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coring" sheetId="1" state="visible" r:id="rId3"/>
    <sheet name="Constants" sheetId="2" state="visible" r:id="rId4"/>
    <sheet name="Export" sheetId="3" state="visible" r:id="rId5"/>
    <sheet name="Changelog" sheetId="4" state="visible" r:id="rId6"/>
    <sheet name="Vers" sheetId="5" state="visible" r:id="rId7"/>
    <sheet name="Info." sheetId="6" state="visible" r:id="rId8"/>
    <sheet name="Dropdowns" sheetId="7" state="visible" r:id="rId9"/>
    <sheet name="ExportRaw" sheetId="8" state="hidden" r:id="rId10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<sst xmlns="http://schemas.openxmlformats.org/spreadsheetml/2006/main" count="184" uniqueCount="130">
  <si>
    <t xml:space="preserve">Check-In</t>
  </si>
  <si>
    <t xml:space="preserve">Event Time</t>
  </si>
  <si>
    <t xml:space="preserve">18. Disqualify (T/F)</t>
  </si>
  <si>
    <t xml:space="preserve">Check In</t>
  </si>
  <si>
    <t xml:space="preserve">Run 1</t>
  </si>
  <si>
    <t xml:space="preserve">Run 2</t>
  </si>
  <si>
    <t xml:space="preserve">Breakdown</t>
  </si>
  <si>
    <t xml:space="preserve">Rank for this team with row() bump</t>
  </si>
  <si>
    <t xml:space="preserve">Rank for this team with same ranks split</t>
  </si>
  <si>
    <t xml:space="preserve">Team Number of this team</t>
  </si>
  <si>
    <t xml:space="preserve">Name of this schoo</t>
  </si>
  <si>
    <t xml:space="preserve">Name of this team</t>
  </si>
  <si>
    <t xml:space="preserve">Tier for this Team</t>
  </si>
  <si>
    <t xml:space="preserve">Score for this team</t>
  </si>
  <si>
    <t xml:space="preserve">Actual Rank for this team</t>
  </si>
  <si>
    <t xml:space="preserve">Final Rankings</t>
  </si>
  <si>
    <t xml:space="preserve">1. Impounded (T/F)</t>
  </si>
  <si>
    <t xml:space="preserve">2. Safety params met (T/F)</t>
  </si>
  <si>
    <t xml:space="preserve">3. Device Width (cm)</t>
  </si>
  <si>
    <t xml:space="preserve">4. Device Length (cm)</t>
  </si>
  <si>
    <t xml:space="preserve">5. Device Height (cm)</t>
  </si>
  <si>
    <t xml:space="preserve">Global: Target Time</t>
  </si>
  <si>
    <t xml:space="preserve">Dimension Error</t>
  </si>
  <si>
    <t xml:space="preserve">Scored Run</t>
  </si>
  <si>
    <t xml:space="preserve">Final Score</t>
  </si>
  <si>
    <t xml:space="preserve">Size Score</t>
  </si>
  <si>
    <t xml:space="preserve">Time Score</t>
  </si>
  <si>
    <t xml:space="preserve">Elevator Score</t>
  </si>
  <si>
    <t xml:space="preserve">Loop Score</t>
  </si>
  <si>
    <t xml:space="preserve">Score</t>
  </si>
  <si>
    <t xml:space="preserve">Tier</t>
  </si>
  <si>
    <t xml:space="preserve">Tiebreaker</t>
  </si>
  <si>
    <t xml:space="preserve">Rank</t>
  </si>
  <si>
    <t xml:space="preserve">Points</t>
  </si>
  <si>
    <t xml:space="preserve">Team #</t>
  </si>
  <si>
    <t xml:space="preserve">School Name</t>
  </si>
  <si>
    <t xml:space="preserve">Team Name</t>
  </si>
  <si>
    <t xml:space="preserve">6. Met all const params (T/F)</t>
  </si>
  <si>
    <t xml:space="preserve">7. Met all comp params (T/F)</t>
  </si>
  <si>
    <t xml:space="preserve">8. Crossed Finish Line (T/F)</t>
  </si>
  <si>
    <t xml:space="preserve">9. Run Time (s)</t>
  </si>
  <si>
    <t xml:space="preserve">10. Elevator Bonus (0-2)</t>
  </si>
  <si>
    <t xml:space="preserve">11. Loop Height (cm)</t>
  </si>
  <si>
    <t xml:space="preserve">12. Met all const params (T/F)</t>
  </si>
  <si>
    <t xml:space="preserve">13. Met all comp params (T/F)</t>
  </si>
  <si>
    <t xml:space="preserve">14. Crossed Finish Line (T/F)</t>
  </si>
  <si>
    <t xml:space="preserve">15. Run Time (s)</t>
  </si>
  <si>
    <t xml:space="preserve">16. Elevator Bonus (0-2)</t>
  </si>
  <si>
    <t xml:space="preserve">17. Loop Height (cm)</t>
  </si>
  <si>
    <t xml:space="preserve">Run 1 Used</t>
  </si>
  <si>
    <t xml:space="preserve">Run 1 Error</t>
  </si>
  <si>
    <t xml:space="preserve">Run Tier</t>
  </si>
  <si>
    <t xml:space="preserve">Run Score</t>
  </si>
  <si>
    <t xml:space="preserve">Run 1 TB4: Run Time</t>
  </si>
  <si>
    <t xml:space="preserve">Run 2 Used</t>
  </si>
  <si>
    <t xml:space="preserve">Run 2 Error</t>
  </si>
  <si>
    <t xml:space="preserve">Run 2 TB4: Run Time</t>
  </si>
  <si>
    <t xml:space="preserve">ERROR: Set Target Time in cell D7</t>
  </si>
  <si>
    <t xml:space="preserve">ERROR: Target Time in cell D7 must be a whole number from 30 to 60</t>
  </si>
  <si>
    <t xml:space="preserve">Target Time (s):</t>
  </si>
  <si>
    <t xml:space="preserve">Tiebreaks</t>
  </si>
  <si>
    <t xml:space="preserve">Target Time Error</t>
  </si>
  <si>
    <t xml:space="preserve">Status</t>
  </si>
  <si>
    <t xml:space="preserve">Scored Run Score</t>
  </si>
  <si>
    <t xml:space="preserve">Score Rank</t>
  </si>
  <si>
    <t xml:space="preserve">Rank (Tier, Score)</t>
  </si>
  <si>
    <t xml:space="preserve">Loop Score of scored run (TB1)</t>
  </si>
  <si>
    <t xml:space="preserve">TB1 Rank</t>
  </si>
  <si>
    <t xml:space="preserve">Size Score of scored run (TB2)</t>
  </si>
  <si>
    <t xml:space="preserve">TB2 Rank</t>
  </si>
  <si>
    <t xml:space="preserve">Time Score of scored run (TB3)</t>
  </si>
  <si>
    <t xml:space="preserve">TB3 Rank</t>
  </si>
  <si>
    <t xml:space="preserve">Run Time of scored run (TB4)</t>
  </si>
  <si>
    <t xml:space="preserve">TB4 Rank</t>
  </si>
  <si>
    <t xml:space="preserve">Rank w/ TB</t>
  </si>
  <si>
    <t xml:space="preserve">Rank Diff</t>
  </si>
  <si>
    <t xml:space="preserve">Errors</t>
  </si>
  <si>
    <t xml:space="preserve">Name Desc</t>
  </si>
  <si>
    <t xml:space="preserve">Value</t>
  </si>
  <si>
    <t xml:space="preserve">T</t>
  </si>
  <si>
    <t xml:space="preserve">F</t>
  </si>
  <si>
    <t xml:space="preserve">Competed</t>
  </si>
  <si>
    <t xml:space="preserve">C</t>
  </si>
  <si>
    <t xml:space="preserve">Participated</t>
  </si>
  <si>
    <t xml:space="preserve">P</t>
  </si>
  <si>
    <t xml:space="preserve">No-Show</t>
  </si>
  <si>
    <t xml:space="preserve">NS</t>
  </si>
  <si>
    <t xml:space="preserve">Disqualified</t>
  </si>
  <si>
    <t xml:space="preserve">DQ</t>
  </si>
  <si>
    <t xml:space="preserve">Error</t>
  </si>
  <si>
    <t xml:space="preserve">ERR</t>
  </si>
  <si>
    <t xml:space="preserve">Tier 1</t>
  </si>
  <si>
    <t xml:space="preserve">Tier 2</t>
  </si>
  <si>
    <t xml:space="preserve">Tier 3</t>
  </si>
  <si>
    <t xml:space="preserve">Device Height Limit (cm)</t>
  </si>
  <si>
    <t xml:space="preserve">Device Width Limit (cm)</t>
  </si>
  <si>
    <t xml:space="preserve">Device Length Limit (cm)</t>
  </si>
  <si>
    <t xml:space="preserve">Time Bonus/Penalty (pt/s)</t>
  </si>
  <si>
    <t xml:space="preserve">Elevator Score (pt each)</t>
  </si>
  <si>
    <t xml:space="preserve">Max Elevators</t>
  </si>
  <si>
    <t xml:space="preserve">Loop Score (pt/cm)</t>
  </si>
  <si>
    <t xml:space="preserve">Target Time Min (s)</t>
  </si>
  <si>
    <t xml:space="preserve">Target Time Max (s)</t>
  </si>
  <si>
    <t xml:space="preserve">Date</t>
  </si>
  <si>
    <t xml:space="preserve">Version #</t>
  </si>
  <si>
    <t xml:space="preserve">Change</t>
  </si>
  <si>
    <t xml:space="preserve">0.1.0</t>
  </si>
  <si>
    <t xml:space="preserve">First draft of 2027 scoresheet completed</t>
  </si>
  <si>
    <t xml:space="preserve">1.0.0</t>
  </si>
  <si>
    <t xml:space="preserve">First main release of scoresheet</t>
  </si>
  <si>
    <t xml:space="preserve">Event</t>
  </si>
  <si>
    <t xml:space="preserve">Roller Coaster</t>
  </si>
  <si>
    <t xml:space="preserve">Last Updated</t>
  </si>
  <si>
    <t xml:space="preserve">Idx of first .</t>
  </si>
  <si>
    <t xml:space="preserve">Idx of second .</t>
  </si>
  <si>
    <t xml:space="preserve">Major Version</t>
  </si>
  <si>
    <t xml:space="preserve">Minor Version</t>
  </si>
  <si>
    <t xml:space="preserve">Minor Patch</t>
  </si>
  <si>
    <t xml:space="preserve">Version</t>
  </si>
  <si>
    <t xml:space="preserve">Division</t>
  </si>
  <si>
    <t xml:space="preserve">B</t>
  </si>
  <si>
    <t xml:space="preserve">Year</t>
  </si>
  <si>
    <t xml:space="preserve">VLook</t>
  </si>
  <si>
    <t xml:space="preserve">Latest Version</t>
  </si>
  <si>
    <t xml:space="preserve">Outdated?</t>
  </si>
  <si>
    <t xml:space="preserve">Compliant</t>
  </si>
  <si>
    <t xml:space="preserve">Complete</t>
  </si>
  <si>
    <t xml:space="preserve">Incomplete</t>
  </si>
  <si>
    <t xml:space="preserve">Non-Compliant</t>
  </si>
  <si>
    <t xml:space="preserve">No Log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</si>
</sst>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"/>
    <numFmt numFmtId="166" formatCode="#,##0.00"/>
    <numFmt numFmtId="167" formatCode="0"/>
    <numFmt numFmtId="168" formatCode="0.00"/>
    <numFmt numFmtId="169" formatCode="#,##0"/>
    <numFmt numFmtId="170" formatCode="mm/dd/yyyy"/>
  </numFmts>
  <fonts count="1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theme="1"/>
      <name val="Overpass"/>
      <family val="0"/>
      <charset val="1"/>
    </font>
    <font>
      <sz val="11"/>
      <color theme="1"/>
      <name val="Arial"/>
      <family val="0"/>
      <charset val="1"/>
    </font>
    <font>
      <sz val="11"/>
      <color theme="1"/>
      <name val="Overpass"/>
      <family val="0"/>
      <charset val="1"/>
    </font>
    <font>
      <b val="true"/>
      <sz val="20"/>
      <color rgb="FF2280BD"/>
      <name val="Overpass"/>
      <family val="0"/>
      <charset val="1"/>
    </font>
    <font>
      <b val="true"/>
      <sz val="11"/>
      <color theme="1"/>
      <name val="Overpass"/>
      <family val="0"/>
      <charset val="1"/>
    </font>
    <font>
      <sz val="11"/>
      <color rgb="FF181A1B"/>
      <name val="Overpass"/>
      <family val="0"/>
      <charset val="1"/>
    </font>
    <font>
      <sz val="13"/>
      <color theme="1"/>
      <name val="Overpass"/>
      <family val="0"/>
      <charset val="1"/>
    </font>
    <font>
      <sz val="11"/>
      <name val="Overpass"/>
      <family val="0"/>
      <charset val="1"/>
    </font>
    <font>
      <sz val="11"/>
      <color rgb="FF000000"/>
      <name val="Overpass"/>
      <family val="0"/>
      <charset val="1"/>
    </font>
    <font>
      <sz val="18"/>
      <color theme="1"/>
      <name val="Overpass"/>
      <family val="0"/>
      <charset val="1"/>
    </font>
    <font>
      <sz val="16"/>
      <color theme="1"/>
      <name val="Overpass"/>
      <family val="0"/>
      <charset val="1"/>
    </font>
    <font>
      <sz val="11"/>
      <color rgb="FF181A1B"/>
      <name val="Arial"/>
      <family val="0"/>
      <charset val="1"/>
    </font>
    <font>
      <b val="true"/>
      <sz val="11"/>
      <color theme="1"/>
      <name val="Inconsolata"/>
      <family val="0"/>
      <charset val="1"/>
    </font>
    <font>
      <sz val="11"/>
      <color theme="1"/>
      <name val="Inconsolata"/>
      <family val="0"/>
      <charset val="1"/>
    </font>
    <font>
      <sz val="11"/>
      <color rgb="FF000000"/>
      <name val="Inconsolata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B5D3E6"/>
        <bgColor rgb="FF99CCFF"/>
      </patternFill>
    </fill>
    <fill>
      <patternFill patternType="solid">
        <fgColor rgb="FFD9D9D9"/>
        <bgColor rgb="FFDEEBF3"/>
      </patternFill>
    </fill>
    <fill>
      <patternFill patternType="solid">
        <fgColor rgb="FFFFB3B3"/>
        <bgColor rgb="FFF4C7C3"/>
      </patternFill>
    </fill>
    <fill>
      <patternFill patternType="solid">
        <fgColor rgb="FFCEEAAE"/>
        <bgColor rgb="FFD9D9D9"/>
      </patternFill>
    </fill>
    <fill>
      <patternFill patternType="solid">
        <fgColor rgb="FFDEEBF3"/>
        <bgColor rgb="FFEBF1DE"/>
      </patternFill>
    </fill>
    <fill>
      <patternFill patternType="solid">
        <fgColor rgb="FFF2F2F2"/>
        <bgColor rgb="FFEBF1DE"/>
      </patternFill>
    </fill>
    <fill>
      <patternFill patternType="solid">
        <fgColor rgb="FFFFE5E5"/>
        <bgColor rgb="FFF2F2F2"/>
      </patternFill>
    </fill>
    <fill>
      <patternFill patternType="solid">
        <fgColor rgb="FFEBF1DE"/>
        <bgColor rgb="FFF2F2F2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8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90" wrapText="false" indent="0" shrinkToFit="false"/>
      <protection locked="true" hidden="false"/>
    </xf>
    <xf numFmtId="164" fontId="5" fillId="2" borderId="9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5" fillId="2" borderId="10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5" fillId="2" borderId="11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2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5" fontId="9" fillId="0" borderId="13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5" fontId="9" fillId="0" borderId="14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8" fillId="0" borderId="1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1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14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13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8" fontId="8" fillId="0" borderId="14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8" fontId="8" fillId="0" borderId="13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7" fontId="8" fillId="0" borderId="14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9" fontId="8" fillId="0" borderId="14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7" fontId="8" fillId="0" borderId="12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right" vertical="bottom" textRotation="90" wrapText="false" indent="0" shrinkToFit="false"/>
      <protection locked="true" hidden="false"/>
    </xf>
    <xf numFmtId="167" fontId="8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3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12" fillId="0" borderId="14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12" fillId="0" borderId="12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9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5" fontId="9" fillId="0" borderId="0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6" fontId="9" fillId="0" borderId="0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9" fillId="0" borderId="6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10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3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1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9" fontId="5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9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6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6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4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4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" fillId="4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4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6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6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6" fillId="6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6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7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7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9" fontId="5" fillId="7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5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5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7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9" fillId="7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8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6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8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8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8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8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" fillId="8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" fillId="8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8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6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6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6" fillId="1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1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1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7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7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9" fontId="6" fillId="7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6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6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7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9" fontId="6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6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7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0" fontId="1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color rgb="FF000000"/>
      </font>
      <fill>
        <patternFill>
          <bgColor rgb="FFFFB3B3"/>
        </patternFill>
      </fill>
    </dxf>
    <dxf>
      <fill>
        <patternFill>
          <bgColor rgb="FFF4C7C3"/>
        </patternFill>
      </fill>
    </dxf>
    <dxf>
      <font>
        <b val="1"/>
        <color rgb="FFFFFFFF"/>
      </font>
      <fill>
        <patternFill>
          <bgColor rgb="FFCC00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280BD"/>
      <rgbColor rgb="FFD9D9D9"/>
      <rgbColor rgb="FF808080"/>
      <rgbColor rgb="FF9999FF"/>
      <rgbColor rgb="FF993366"/>
      <rgbColor rgb="FFEBF1DE"/>
      <rgbColor rgb="FFDEEBF3"/>
      <rgbColor rgb="FF660066"/>
      <rgbColor rgb="FFFF8080"/>
      <rgbColor rgb="FF0066CC"/>
      <rgbColor rgb="FFB5D3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EEAAE"/>
      <rgbColor rgb="FFFFE5E5"/>
      <rgbColor rgb="FF99CCFF"/>
      <rgbColor rgb="FFFFB3B3"/>
      <rgbColor rgb="FFCC99FF"/>
      <rgbColor rgb="FFF4C7C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81A1B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E5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F11" activeCellId="0" sqref="F1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.12"/>
    <col collapsed="false" customWidth="true" hidden="false" outlineLevel="0" max="2" min="2" style="1" width="6.88"/>
    <col collapsed="false" customWidth="true" hidden="false" outlineLevel="0" max="3" min="3" style="1" width="30.75"/>
    <col collapsed="false" customWidth="true" hidden="false" outlineLevel="0" max="4" min="4" style="1" width="15.63"/>
    <col collapsed="false" customWidth="true" hidden="false" outlineLevel="0" max="5" min="5" style="1" width="5"/>
    <col collapsed="false" customWidth="true" hidden="false" outlineLevel="0" max="6" min="6" style="1" width="6.68"/>
    <col collapsed="false" customWidth="true" hidden="false" outlineLevel="0" max="9" min="7" style="1" width="7.5"/>
    <col collapsed="false" customWidth="true" hidden="false" outlineLevel="0" max="12" min="10" style="1" width="6.53"/>
    <col collapsed="false" customWidth="true" hidden="false" outlineLevel="0" max="15" min="13" style="1" width="7.5"/>
    <col collapsed="false" customWidth="true" hidden="false" outlineLevel="0" max="18" min="16" style="1" width="6.53"/>
    <col collapsed="false" customWidth="true" hidden="false" outlineLevel="0" max="21" min="19" style="1" width="7.5"/>
    <col collapsed="false" customWidth="true" hidden="false" outlineLevel="0" max="22" min="22" style="1" width="4"/>
    <col collapsed="false" customWidth="true" hidden="true" outlineLevel="0" max="23" min="23" style="1" width="4.63"/>
    <col collapsed="false" customWidth="true" hidden="true" outlineLevel="0" max="42" min="24" style="1" width="8"/>
    <col collapsed="false" customWidth="true" hidden="true" outlineLevel="0" max="43" min="43" style="1" width="18.92"/>
    <col collapsed="false" customWidth="true" hidden="true" outlineLevel="0" max="44" min="44" style="1" width="30"/>
    <col collapsed="false" customWidth="true" hidden="true" outlineLevel="0" max="53" min="45" style="1" width="8"/>
    <col collapsed="false" customWidth="true" hidden="true" outlineLevel="0" max="54" min="54" style="1" width="6"/>
    <col collapsed="false" customWidth="true" hidden="true" outlineLevel="0" max="63" min="55" style="1" width="8"/>
    <col collapsed="false" customWidth="true" hidden="true" outlineLevel="0" max="65" min="64" style="1" width="9"/>
    <col collapsed="false" customWidth="true" hidden="true" outlineLevel="0" max="66" min="66" style="1" width="19.2"/>
    <col collapsed="false" customWidth="true" hidden="true" outlineLevel="0" max="67" min="67" style="1" width="15.16"/>
    <col collapsed="false" customWidth="true" hidden="true" outlineLevel="0" max="68" min="68" style="1" width="14.06"/>
    <col collapsed="false" customWidth="true" hidden="true" outlineLevel="0" max="69" min="69" style="1" width="18.64"/>
    <col collapsed="false" customWidth="true" hidden="true" outlineLevel="0" max="70" min="70" style="1" width="33.67"/>
    <col collapsed="false" customWidth="true" hidden="true" outlineLevel="0" max="71" min="71" style="1" width="12.94"/>
    <col collapsed="false" customWidth="true" hidden="true" outlineLevel="0" max="72" min="72" style="1" width="31.02"/>
    <col collapsed="false" customWidth="true" hidden="true" outlineLevel="0" max="73" min="73" style="1" width="11.54"/>
    <col collapsed="false" customWidth="true" hidden="true" outlineLevel="0" max="74" min="74" style="1" width="31.3"/>
    <col collapsed="false" customWidth="true" hidden="true" outlineLevel="0" max="75" min="75" style="1" width="11.26"/>
    <col collapsed="false" customWidth="true" hidden="true" outlineLevel="0" max="76" min="76" style="1" width="30.88"/>
    <col collapsed="false" customWidth="true" hidden="true" outlineLevel="0" max="77" min="77" style="1" width="11.26"/>
    <col collapsed="false" customWidth="true" hidden="true" outlineLevel="0" max="78" min="78" style="1" width="11.96"/>
    <col collapsed="false" customWidth="true" hidden="true" outlineLevel="0" max="79" min="79" style="1" width="11.7"/>
    <col collapsed="false" customWidth="true" hidden="true" outlineLevel="0" max="80" min="80" style="1" width="4.63"/>
    <col collapsed="false" customWidth="true" hidden="false" outlineLevel="0" max="81" min="81" style="1" width="40"/>
    <col collapsed="false" customWidth="true" hidden="false" outlineLevel="0" max="82" min="82" style="1" width="5.52"/>
    <col collapsed="false" customWidth="true" hidden="false" outlineLevel="0" max="87" min="83" style="1" width="8.63"/>
    <col collapsed="false" customWidth="true" hidden="false" outlineLevel="0" max="88" min="88" style="1" width="5"/>
    <col collapsed="false" customWidth="true" hidden="false" outlineLevel="0" max="89" min="89" style="1" width="6"/>
    <col collapsed="false" customWidth="true" hidden="false" outlineLevel="0" max="90" min="90" style="1" width="5"/>
    <col collapsed="false" customWidth="true" hidden="false" outlineLevel="0" max="91" min="91" style="1" width="6"/>
    <col collapsed="false" customWidth="true" hidden="false" outlineLevel="0" max="92" min="92" style="1" width="2"/>
    <col collapsed="false" customWidth="true" hidden="true" outlineLevel="0" max="94" min="93" style="1" width="4.63"/>
    <col collapsed="false" customWidth="true" hidden="true" outlineLevel="0" max="102" min="95" style="1" width="8"/>
    <col collapsed="false" customWidth="true" hidden="false" outlineLevel="0" max="103" min="103" style="1" width="5"/>
    <col collapsed="false" customWidth="true" hidden="false" outlineLevel="0" max="104" min="104" style="1" width="6.88"/>
    <col collapsed="false" customWidth="true" hidden="false" outlineLevel="0" max="105" min="105" style="1" width="30.75"/>
    <col collapsed="false" customWidth="true" hidden="false" outlineLevel="0" max="106" min="106" style="1" width="15.63"/>
    <col collapsed="false" customWidth="true" hidden="false" outlineLevel="0" max="107" min="107" style="1" width="5"/>
    <col collapsed="false" customWidth="true" hidden="false" outlineLevel="0" max="108" min="108" style="1" width="8.63"/>
    <col collapsed="false" customWidth="true" hidden="true" outlineLevel="0" max="109" min="109" style="1" width="6.63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3"/>
      <c r="G1" s="3"/>
      <c r="H1" s="3"/>
      <c r="I1" s="3"/>
      <c r="J1" s="2"/>
      <c r="K1" s="2"/>
      <c r="L1" s="2"/>
      <c r="M1" s="4"/>
      <c r="N1" s="2"/>
      <c r="O1" s="2"/>
      <c r="P1" s="2"/>
      <c r="Q1" s="2"/>
      <c r="R1" s="2"/>
      <c r="S1" s="4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3"/>
      <c r="AV1" s="5"/>
      <c r="AW1" s="2"/>
      <c r="AX1" s="2"/>
      <c r="AY1" s="2"/>
      <c r="AZ1" s="5"/>
      <c r="BA1" s="5"/>
      <c r="BB1" s="2"/>
      <c r="BC1" s="2"/>
      <c r="BD1" s="2"/>
      <c r="BE1" s="3"/>
      <c r="BF1" s="5"/>
      <c r="BG1" s="2"/>
      <c r="BH1" s="2"/>
      <c r="BI1" s="2"/>
      <c r="BJ1" s="5"/>
      <c r="BK1" s="5"/>
      <c r="BL1" s="2"/>
      <c r="BM1" s="2"/>
      <c r="BN1" s="2"/>
      <c r="BO1" s="2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2"/>
      <c r="CC1" s="2"/>
      <c r="CD1" s="2"/>
      <c r="CE1" s="2"/>
      <c r="CF1" s="2"/>
      <c r="CG1" s="2"/>
      <c r="CH1" s="2"/>
      <c r="CI1" s="2"/>
      <c r="CJ1" s="7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</row>
    <row r="2" customFormat="false" ht="15.75" hidden="false" customHeight="true" outlineLevel="0" collapsed="false">
      <c r="A2" s="8"/>
      <c r="B2" s="9" t="str">
        <f aca="false">'Info.'!B1&amp;" "&amp;'Info.'!B4</f>
        <v>Roller Coaster B</v>
      </c>
      <c r="C2" s="9"/>
      <c r="D2" s="9"/>
      <c r="E2" s="10" t="s">
        <v>0</v>
      </c>
      <c r="F2" s="10"/>
      <c r="G2" s="10"/>
      <c r="H2" s="10"/>
      <c r="I2" s="10"/>
      <c r="J2" s="11" t="s">
        <v>1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2" t="s">
        <v>2</v>
      </c>
      <c r="W2" s="13"/>
      <c r="X2" s="14" t="s">
        <v>3</v>
      </c>
      <c r="Y2" s="14"/>
      <c r="Z2" s="14"/>
      <c r="AA2" s="14"/>
      <c r="AB2" s="14"/>
      <c r="AC2" s="14" t="s">
        <v>4</v>
      </c>
      <c r="AD2" s="14"/>
      <c r="AE2" s="14"/>
      <c r="AF2" s="14"/>
      <c r="AG2" s="14"/>
      <c r="AH2" s="14"/>
      <c r="AI2" s="14" t="s">
        <v>5</v>
      </c>
      <c r="AJ2" s="14"/>
      <c r="AK2" s="14"/>
      <c r="AL2" s="14"/>
      <c r="AM2" s="14"/>
      <c r="AN2" s="14"/>
      <c r="AO2" s="15"/>
      <c r="AP2" s="15"/>
      <c r="AQ2" s="16"/>
      <c r="AR2" s="16"/>
      <c r="AS2" s="16"/>
      <c r="AT2" s="16"/>
      <c r="AU2" s="17"/>
      <c r="AV2" s="18"/>
      <c r="AW2" s="16"/>
      <c r="AX2" s="16"/>
      <c r="AY2" s="16"/>
      <c r="AZ2" s="18"/>
      <c r="BA2" s="18"/>
      <c r="BB2" s="16"/>
      <c r="BC2" s="16"/>
      <c r="BD2" s="16"/>
      <c r="BE2" s="17"/>
      <c r="BF2" s="18"/>
      <c r="BG2" s="16"/>
      <c r="BH2" s="16"/>
      <c r="BI2" s="16"/>
      <c r="BJ2" s="18"/>
      <c r="BK2" s="18"/>
      <c r="BL2" s="16"/>
      <c r="BM2" s="16"/>
      <c r="BN2" s="16"/>
      <c r="BO2" s="1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19"/>
      <c r="CC2" s="20"/>
      <c r="CD2" s="20" t="s">
        <v>6</v>
      </c>
      <c r="CE2" s="20"/>
      <c r="CF2" s="20"/>
      <c r="CG2" s="20"/>
      <c r="CH2" s="20"/>
      <c r="CI2" s="20"/>
      <c r="CJ2" s="14"/>
      <c r="CK2" s="14"/>
      <c r="CL2" s="14"/>
      <c r="CM2" s="21"/>
      <c r="CN2" s="22"/>
      <c r="CO2" s="16"/>
      <c r="CP2" s="16"/>
      <c r="CQ2" s="23" t="s">
        <v>7</v>
      </c>
      <c r="CR2" s="24" t="s">
        <v>8</v>
      </c>
      <c r="CS2" s="24" t="s">
        <v>9</v>
      </c>
      <c r="CT2" s="24" t="s">
        <v>10</v>
      </c>
      <c r="CU2" s="24" t="s">
        <v>11</v>
      </c>
      <c r="CV2" s="24" t="s">
        <v>12</v>
      </c>
      <c r="CW2" s="24" t="s">
        <v>13</v>
      </c>
      <c r="CX2" s="25" t="s">
        <v>14</v>
      </c>
      <c r="CY2" s="26" t="s">
        <v>15</v>
      </c>
      <c r="CZ2" s="26"/>
      <c r="DA2" s="26"/>
      <c r="DB2" s="26"/>
      <c r="DC2" s="26"/>
      <c r="DD2" s="26"/>
      <c r="DE2" s="16"/>
    </row>
    <row r="3" customFormat="false" ht="15.85" hidden="false" customHeight="true" outlineLevel="0" collapsed="false">
      <c r="A3" s="8"/>
      <c r="B3" s="9"/>
      <c r="C3" s="9"/>
      <c r="D3" s="9"/>
      <c r="E3" s="27" t="s">
        <v>16</v>
      </c>
      <c r="F3" s="28" t="s">
        <v>17</v>
      </c>
      <c r="G3" s="29" t="s">
        <v>18</v>
      </c>
      <c r="H3" s="29" t="s">
        <v>19</v>
      </c>
      <c r="I3" s="29" t="s">
        <v>20</v>
      </c>
      <c r="J3" s="30" t="s">
        <v>4</v>
      </c>
      <c r="K3" s="30"/>
      <c r="L3" s="30"/>
      <c r="M3" s="30"/>
      <c r="N3" s="30"/>
      <c r="O3" s="30"/>
      <c r="P3" s="31" t="s">
        <v>5</v>
      </c>
      <c r="Q3" s="31"/>
      <c r="R3" s="31"/>
      <c r="S3" s="31"/>
      <c r="T3" s="31"/>
      <c r="U3" s="31"/>
      <c r="V3" s="12"/>
      <c r="W3" s="13"/>
      <c r="X3" s="32" t="str">
        <f aca="false">E3</f>
        <v>1. Impounded (T/F)</v>
      </c>
      <c r="Y3" s="32" t="str">
        <f aca="false">F3</f>
        <v>2. Safety params met (T/F)</v>
      </c>
      <c r="Z3" s="32" t="str">
        <f aca="false">G3</f>
        <v>3. Device Width (cm)</v>
      </c>
      <c r="AA3" s="32" t="str">
        <f aca="false">H3</f>
        <v>4. Device Length (cm)</v>
      </c>
      <c r="AB3" s="32" t="str">
        <f aca="false">I3</f>
        <v>5. Device Height (cm)</v>
      </c>
      <c r="AC3" s="32" t="str">
        <f aca="false">J4</f>
        <v>6. Met all const params (T/F)</v>
      </c>
      <c r="AD3" s="32" t="str">
        <f aca="false">K4</f>
        <v>7. Met all comp params (T/F)</v>
      </c>
      <c r="AE3" s="32" t="str">
        <f aca="false">L4</f>
        <v>8. Crossed Finish Line (T/F)</v>
      </c>
      <c r="AF3" s="32" t="str">
        <f aca="false">M4</f>
        <v>9. Run Time (s)</v>
      </c>
      <c r="AG3" s="32" t="str">
        <f aca="false">N4</f>
        <v>10. Elevator Bonus (0-2)</v>
      </c>
      <c r="AH3" s="32" t="str">
        <f aca="false">O4</f>
        <v>11. Loop Height (cm)</v>
      </c>
      <c r="AI3" s="32" t="str">
        <f aca="false">P4</f>
        <v>12. Met all const params (T/F)</v>
      </c>
      <c r="AJ3" s="32" t="str">
        <f aca="false">Q4</f>
        <v>13. Met all comp params (T/F)</v>
      </c>
      <c r="AK3" s="32" t="str">
        <f aca="false">R4</f>
        <v>14. Crossed Finish Line (T/F)</v>
      </c>
      <c r="AL3" s="32" t="str">
        <f aca="false">S4</f>
        <v>15. Run Time (s)</v>
      </c>
      <c r="AM3" s="32" t="str">
        <f aca="false">T4</f>
        <v>16. Elevator Bonus (0-2)</v>
      </c>
      <c r="AN3" s="32" t="str">
        <f aca="false">U4</f>
        <v>17. Loop Height (cm)</v>
      </c>
      <c r="AO3" s="32" t="str">
        <f aca="false">V2</f>
        <v>18. Disqualify (T/F)</v>
      </c>
      <c r="AP3" s="32" t="s">
        <v>21</v>
      </c>
      <c r="AQ3" s="33" t="s">
        <v>22</v>
      </c>
      <c r="AR3" s="33"/>
      <c r="AS3" s="33" t="s">
        <v>4</v>
      </c>
      <c r="AT3" s="33"/>
      <c r="AU3" s="33"/>
      <c r="AV3" s="33"/>
      <c r="AW3" s="33"/>
      <c r="AX3" s="33"/>
      <c r="AY3" s="33"/>
      <c r="AZ3" s="33"/>
      <c r="BA3" s="33"/>
      <c r="BB3" s="34" t="s">
        <v>23</v>
      </c>
      <c r="BC3" s="33" t="s">
        <v>5</v>
      </c>
      <c r="BD3" s="33"/>
      <c r="BE3" s="33"/>
      <c r="BF3" s="33"/>
      <c r="BG3" s="33"/>
      <c r="BH3" s="33"/>
      <c r="BI3" s="33"/>
      <c r="BJ3" s="33"/>
      <c r="BK3" s="33"/>
      <c r="BL3" s="16"/>
      <c r="BM3" s="15" t="s">
        <v>24</v>
      </c>
      <c r="BN3" s="15"/>
      <c r="BO3" s="15"/>
      <c r="BP3" s="15"/>
      <c r="BQ3" s="15"/>
      <c r="BR3" s="6"/>
      <c r="BS3" s="6"/>
      <c r="BT3" s="6"/>
      <c r="BU3" s="6"/>
      <c r="BV3" s="6"/>
      <c r="BW3" s="6"/>
      <c r="BX3" s="6"/>
      <c r="BY3" s="6"/>
      <c r="BZ3" s="6"/>
      <c r="CA3" s="6"/>
      <c r="CB3" s="19"/>
      <c r="CC3" s="35"/>
      <c r="CD3" s="36" t="s">
        <v>23</v>
      </c>
      <c r="CE3" s="37" t="s">
        <v>25</v>
      </c>
      <c r="CF3" s="37" t="s">
        <v>26</v>
      </c>
      <c r="CG3" s="37" t="s">
        <v>27</v>
      </c>
      <c r="CH3" s="37" t="s">
        <v>28</v>
      </c>
      <c r="CI3" s="38" t="s">
        <v>29</v>
      </c>
      <c r="CJ3" s="39" t="s">
        <v>30</v>
      </c>
      <c r="CK3" s="40" t="s">
        <v>31</v>
      </c>
      <c r="CL3" s="39" t="s">
        <v>32</v>
      </c>
      <c r="CM3" s="41" t="s">
        <v>33</v>
      </c>
      <c r="CN3" s="42"/>
      <c r="CO3" s="16"/>
      <c r="CP3" s="16"/>
      <c r="CQ3" s="23"/>
      <c r="CR3" s="24"/>
      <c r="CS3" s="24"/>
      <c r="CT3" s="24"/>
      <c r="CU3" s="24"/>
      <c r="CV3" s="24"/>
      <c r="CW3" s="24"/>
      <c r="CX3" s="25"/>
      <c r="CY3" s="43" t="s">
        <v>32</v>
      </c>
      <c r="CZ3" s="44" t="s">
        <v>34</v>
      </c>
      <c r="DA3" s="44" t="s">
        <v>35</v>
      </c>
      <c r="DB3" s="44" t="s">
        <v>36</v>
      </c>
      <c r="DC3" s="44" t="s">
        <v>30</v>
      </c>
      <c r="DD3" s="45" t="s">
        <v>29</v>
      </c>
      <c r="DE3" s="16"/>
    </row>
    <row r="4" customFormat="false" ht="18.65" hidden="false" customHeight="true" outlineLevel="0" collapsed="false">
      <c r="A4" s="8"/>
      <c r="B4" s="46" t="str">
        <f aca="false">"Event Scoresheet - "&amp;'Info.'!B5&amp;IF('Info.'!B8="T","
The scoresheet has been updated; please 
download version v"&amp;'Info.'!B7&amp;" from soinc.org/scoresheets.","")</f>
        <v>Event Scoresheet - 2027</v>
      </c>
      <c r="C4" s="46"/>
      <c r="D4" s="46"/>
      <c r="E4" s="27"/>
      <c r="F4" s="28"/>
      <c r="G4" s="29"/>
      <c r="H4" s="29"/>
      <c r="I4" s="29"/>
      <c r="J4" s="47" t="s">
        <v>37</v>
      </c>
      <c r="K4" s="48" t="s">
        <v>38</v>
      </c>
      <c r="L4" s="48" t="s">
        <v>39</v>
      </c>
      <c r="M4" s="48" t="s">
        <v>40</v>
      </c>
      <c r="N4" s="48" t="s">
        <v>41</v>
      </c>
      <c r="O4" s="49" t="s">
        <v>42</v>
      </c>
      <c r="P4" s="48" t="s">
        <v>43</v>
      </c>
      <c r="Q4" s="48" t="s">
        <v>44</v>
      </c>
      <c r="R4" s="48" t="s">
        <v>45</v>
      </c>
      <c r="S4" s="48" t="s">
        <v>46</v>
      </c>
      <c r="T4" s="48" t="s">
        <v>47</v>
      </c>
      <c r="U4" s="49" t="s">
        <v>48</v>
      </c>
      <c r="V4" s="12"/>
      <c r="W4" s="13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3"/>
      <c r="AR4" s="50"/>
      <c r="AS4" s="51" t="s">
        <v>49</v>
      </c>
      <c r="AT4" s="51" t="s">
        <v>50</v>
      </c>
      <c r="AU4" s="52" t="s">
        <v>25</v>
      </c>
      <c r="AV4" s="53" t="s">
        <v>26</v>
      </c>
      <c r="AW4" s="34" t="s">
        <v>27</v>
      </c>
      <c r="AX4" s="34" t="s">
        <v>28</v>
      </c>
      <c r="AY4" s="51" t="s">
        <v>51</v>
      </c>
      <c r="AZ4" s="53" t="s">
        <v>52</v>
      </c>
      <c r="BA4" s="54" t="s">
        <v>53</v>
      </c>
      <c r="BB4" s="34"/>
      <c r="BC4" s="51" t="s">
        <v>54</v>
      </c>
      <c r="BD4" s="51" t="s">
        <v>55</v>
      </c>
      <c r="BE4" s="52" t="s">
        <v>25</v>
      </c>
      <c r="BF4" s="53" t="s">
        <v>26</v>
      </c>
      <c r="BG4" s="34" t="s">
        <v>27</v>
      </c>
      <c r="BH4" s="34" t="s">
        <v>28</v>
      </c>
      <c r="BI4" s="51" t="s">
        <v>51</v>
      </c>
      <c r="BJ4" s="53" t="s">
        <v>52</v>
      </c>
      <c r="BK4" s="54" t="s">
        <v>56</v>
      </c>
      <c r="BL4" s="16"/>
      <c r="BM4" s="16"/>
      <c r="BN4" s="16"/>
      <c r="BO4" s="1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19"/>
      <c r="CC4" s="13"/>
      <c r="CD4" s="36"/>
      <c r="CE4" s="37"/>
      <c r="CF4" s="37"/>
      <c r="CG4" s="37"/>
      <c r="CH4" s="37"/>
      <c r="CI4" s="38"/>
      <c r="CJ4" s="39"/>
      <c r="CK4" s="39"/>
      <c r="CL4" s="39"/>
      <c r="CM4" s="41"/>
      <c r="CN4" s="42"/>
      <c r="CO4" s="16"/>
      <c r="CP4" s="16"/>
      <c r="CQ4" s="23"/>
      <c r="CR4" s="24"/>
      <c r="CS4" s="24"/>
      <c r="CT4" s="24"/>
      <c r="CU4" s="24"/>
      <c r="CV4" s="24"/>
      <c r="CW4" s="24"/>
      <c r="CX4" s="25"/>
      <c r="CY4" s="43"/>
      <c r="CZ4" s="44"/>
      <c r="DA4" s="44"/>
      <c r="DB4" s="44"/>
      <c r="DC4" s="44"/>
      <c r="DD4" s="45"/>
      <c r="DE4" s="16"/>
    </row>
    <row r="5" customFormat="false" ht="118.5" hidden="true" customHeight="true" outlineLevel="0" collapsed="false">
      <c r="A5" s="8"/>
      <c r="B5" s="55"/>
      <c r="C5" s="55"/>
      <c r="D5" s="55"/>
      <c r="E5" s="27"/>
      <c r="F5" s="28"/>
      <c r="G5" s="29"/>
      <c r="H5" s="29"/>
      <c r="I5" s="29"/>
      <c r="J5" s="47"/>
      <c r="K5" s="48"/>
      <c r="L5" s="48"/>
      <c r="M5" s="48"/>
      <c r="N5" s="48"/>
      <c r="O5" s="49"/>
      <c r="P5" s="48"/>
      <c r="Q5" s="48"/>
      <c r="R5" s="48"/>
      <c r="S5" s="48"/>
      <c r="T5" s="48"/>
      <c r="U5" s="49"/>
      <c r="V5" s="12"/>
      <c r="W5" s="13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3"/>
      <c r="AR5" s="50" t="s">
        <v>57</v>
      </c>
      <c r="AS5" s="51"/>
      <c r="AT5" s="51"/>
      <c r="AU5" s="52"/>
      <c r="AV5" s="52"/>
      <c r="AW5" s="52"/>
      <c r="AX5" s="52"/>
      <c r="AY5" s="51"/>
      <c r="AZ5" s="53"/>
      <c r="BA5" s="54"/>
      <c r="BB5" s="34"/>
      <c r="BC5" s="51"/>
      <c r="BD5" s="51"/>
      <c r="BE5" s="52"/>
      <c r="BF5" s="52"/>
      <c r="BG5" s="52"/>
      <c r="BH5" s="52"/>
      <c r="BI5" s="51"/>
      <c r="BJ5" s="53"/>
      <c r="BK5" s="54"/>
      <c r="BL5" s="16"/>
      <c r="BM5" s="16"/>
      <c r="BN5" s="16"/>
      <c r="BO5" s="1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19"/>
      <c r="CC5" s="13"/>
      <c r="CD5" s="36"/>
      <c r="CE5" s="37"/>
      <c r="CF5" s="37"/>
      <c r="CG5" s="37"/>
      <c r="CH5" s="37"/>
      <c r="CI5" s="38"/>
      <c r="CJ5" s="39"/>
      <c r="CK5" s="39"/>
      <c r="CL5" s="39"/>
      <c r="CM5" s="41"/>
      <c r="CN5" s="42"/>
      <c r="CO5" s="16"/>
      <c r="CP5" s="16"/>
      <c r="CQ5" s="23"/>
      <c r="CR5" s="24"/>
      <c r="CS5" s="24"/>
      <c r="CT5" s="24"/>
      <c r="CU5" s="24"/>
      <c r="CV5" s="24"/>
      <c r="CW5" s="24"/>
      <c r="CX5" s="25"/>
      <c r="CY5" s="43"/>
      <c r="CZ5" s="44"/>
      <c r="DA5" s="44"/>
      <c r="DB5" s="44"/>
      <c r="DC5" s="44"/>
      <c r="DD5" s="45"/>
      <c r="DE5" s="16"/>
    </row>
    <row r="6" customFormat="false" ht="76.5" hidden="false" customHeight="true" outlineLevel="0" collapsed="false">
      <c r="A6" s="8"/>
      <c r="B6" s="56" t="str">
        <f aca="false">"Last Updated: "&amp;TEXT('Info.'!B2, "mm/dd/yyyy")&amp;" (v"&amp;'Info.'!B3&amp;")
Direct all questions to scoresheets@soinc.org."</f>
        <v>Last Updated: 10/01/2026 (v1.0.0)
Direct all questions to scoresheets@soinc.org.</v>
      </c>
      <c r="C6" s="56"/>
      <c r="D6" s="56"/>
      <c r="E6" s="27"/>
      <c r="F6" s="28"/>
      <c r="G6" s="29"/>
      <c r="H6" s="29"/>
      <c r="I6" s="29"/>
      <c r="J6" s="47"/>
      <c r="K6" s="48"/>
      <c r="L6" s="48"/>
      <c r="M6" s="48"/>
      <c r="N6" s="48"/>
      <c r="O6" s="49"/>
      <c r="P6" s="48"/>
      <c r="Q6" s="48"/>
      <c r="R6" s="48"/>
      <c r="S6" s="48"/>
      <c r="T6" s="48"/>
      <c r="U6" s="49"/>
      <c r="V6" s="12"/>
      <c r="W6" s="13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3"/>
      <c r="AR6" s="50" t="s">
        <v>58</v>
      </c>
      <c r="AS6" s="51"/>
      <c r="AT6" s="51"/>
      <c r="AU6" s="52"/>
      <c r="AV6" s="52"/>
      <c r="AW6" s="52"/>
      <c r="AX6" s="52"/>
      <c r="AY6" s="51"/>
      <c r="AZ6" s="53"/>
      <c r="BA6" s="54"/>
      <c r="BB6" s="34"/>
      <c r="BC6" s="51"/>
      <c r="BD6" s="51"/>
      <c r="BE6" s="52"/>
      <c r="BF6" s="52"/>
      <c r="BG6" s="52"/>
      <c r="BH6" s="52"/>
      <c r="BI6" s="51"/>
      <c r="BJ6" s="53"/>
      <c r="BK6" s="54"/>
      <c r="BL6" s="16"/>
      <c r="BM6" s="57"/>
      <c r="BN6" s="16"/>
      <c r="BO6" s="1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19"/>
      <c r="CC6" s="13"/>
      <c r="CD6" s="36"/>
      <c r="CE6" s="37"/>
      <c r="CF6" s="37"/>
      <c r="CG6" s="37"/>
      <c r="CH6" s="37"/>
      <c r="CI6" s="38"/>
      <c r="CJ6" s="39"/>
      <c r="CK6" s="39"/>
      <c r="CL6" s="39"/>
      <c r="CM6" s="41"/>
      <c r="CN6" s="42"/>
      <c r="CO6" s="16"/>
      <c r="CP6" s="16"/>
      <c r="CQ6" s="23"/>
      <c r="CR6" s="24"/>
      <c r="CS6" s="24"/>
      <c r="CT6" s="24"/>
      <c r="CU6" s="24"/>
      <c r="CV6" s="24"/>
      <c r="CW6" s="24"/>
      <c r="CX6" s="25"/>
      <c r="CY6" s="43"/>
      <c r="CZ6" s="44"/>
      <c r="DA6" s="44"/>
      <c r="DB6" s="44"/>
      <c r="DC6" s="44"/>
      <c r="DD6" s="45"/>
      <c r="DE6" s="16"/>
    </row>
    <row r="7" customFormat="false" ht="26.1" hidden="false" customHeight="true" outlineLevel="0" collapsed="false">
      <c r="A7" s="58"/>
      <c r="B7" s="59" t="s">
        <v>59</v>
      </c>
      <c r="C7" s="59"/>
      <c r="D7" s="60"/>
      <c r="E7" s="27"/>
      <c r="F7" s="28"/>
      <c r="G7" s="29"/>
      <c r="H7" s="29"/>
      <c r="I7" s="29"/>
      <c r="J7" s="47"/>
      <c r="K7" s="48"/>
      <c r="L7" s="48"/>
      <c r="M7" s="48"/>
      <c r="N7" s="48"/>
      <c r="O7" s="49"/>
      <c r="P7" s="48"/>
      <c r="Q7" s="48"/>
      <c r="R7" s="48"/>
      <c r="S7" s="48"/>
      <c r="T7" s="48"/>
      <c r="U7" s="49"/>
      <c r="V7" s="12"/>
      <c r="W7" s="6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3"/>
      <c r="AR7" s="50"/>
      <c r="AS7" s="51"/>
      <c r="AT7" s="51"/>
      <c r="AU7" s="52"/>
      <c r="AV7" s="52"/>
      <c r="AW7" s="52"/>
      <c r="AX7" s="52"/>
      <c r="AY7" s="51"/>
      <c r="AZ7" s="53"/>
      <c r="BA7" s="54"/>
      <c r="BB7" s="34"/>
      <c r="BC7" s="51"/>
      <c r="BD7" s="51"/>
      <c r="BE7" s="52"/>
      <c r="BF7" s="52"/>
      <c r="BG7" s="52"/>
      <c r="BH7" s="52"/>
      <c r="BI7" s="51"/>
      <c r="BJ7" s="53"/>
      <c r="BK7" s="54"/>
      <c r="BL7" s="62"/>
      <c r="BM7" s="63"/>
      <c r="BN7" s="62"/>
      <c r="BO7" s="62"/>
      <c r="BP7" s="64"/>
      <c r="BQ7" s="64"/>
      <c r="BR7" s="65" t="s">
        <v>60</v>
      </c>
      <c r="BS7" s="65"/>
      <c r="BT7" s="65"/>
      <c r="BU7" s="65"/>
      <c r="BV7" s="65"/>
      <c r="BW7" s="65"/>
      <c r="BX7" s="65"/>
      <c r="BY7" s="65"/>
      <c r="BZ7" s="64"/>
      <c r="CA7" s="64"/>
      <c r="CB7" s="62"/>
      <c r="CC7" s="13"/>
      <c r="CD7" s="36"/>
      <c r="CE7" s="37"/>
      <c r="CF7" s="37"/>
      <c r="CG7" s="37"/>
      <c r="CH7" s="37"/>
      <c r="CI7" s="38"/>
      <c r="CJ7" s="39"/>
      <c r="CK7" s="39"/>
      <c r="CL7" s="39"/>
      <c r="CM7" s="41"/>
      <c r="CN7" s="42"/>
      <c r="CO7" s="62"/>
      <c r="CP7" s="62"/>
      <c r="CQ7" s="23"/>
      <c r="CR7" s="24"/>
      <c r="CS7" s="24"/>
      <c r="CT7" s="24"/>
      <c r="CU7" s="24"/>
      <c r="CV7" s="24"/>
      <c r="CW7" s="24"/>
      <c r="CX7" s="25"/>
      <c r="CY7" s="43"/>
      <c r="CZ7" s="44"/>
      <c r="DA7" s="44"/>
      <c r="DB7" s="44"/>
      <c r="DC7" s="44"/>
      <c r="DD7" s="45"/>
      <c r="DE7" s="62"/>
    </row>
    <row r="8" customFormat="false" ht="15.85" hidden="false" customHeight="true" outlineLevel="0" collapsed="false">
      <c r="A8" s="8"/>
      <c r="B8" s="66" t="s">
        <v>34</v>
      </c>
      <c r="C8" s="67" t="s">
        <v>35</v>
      </c>
      <c r="D8" s="68" t="s">
        <v>36</v>
      </c>
      <c r="E8" s="27"/>
      <c r="F8" s="28"/>
      <c r="G8" s="29"/>
      <c r="H8" s="29"/>
      <c r="I8" s="29"/>
      <c r="J8" s="47"/>
      <c r="K8" s="48"/>
      <c r="L8" s="48"/>
      <c r="M8" s="48"/>
      <c r="N8" s="48"/>
      <c r="O8" s="49"/>
      <c r="P8" s="48"/>
      <c r="Q8" s="48"/>
      <c r="R8" s="48"/>
      <c r="S8" s="48"/>
      <c r="T8" s="48"/>
      <c r="U8" s="49"/>
      <c r="V8" s="12"/>
      <c r="W8" s="69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3"/>
      <c r="AR8" s="50" t="s">
        <v>61</v>
      </c>
      <c r="AS8" s="51"/>
      <c r="AT8" s="51"/>
      <c r="AU8" s="52"/>
      <c r="AV8" s="52"/>
      <c r="AW8" s="52"/>
      <c r="AX8" s="52"/>
      <c r="AY8" s="51"/>
      <c r="AZ8" s="53"/>
      <c r="BA8" s="54"/>
      <c r="BB8" s="34"/>
      <c r="BC8" s="51"/>
      <c r="BD8" s="51"/>
      <c r="BE8" s="52"/>
      <c r="BF8" s="52"/>
      <c r="BG8" s="52"/>
      <c r="BH8" s="52"/>
      <c r="BI8" s="51"/>
      <c r="BJ8" s="53"/>
      <c r="BK8" s="54"/>
      <c r="BL8" s="57" t="s">
        <v>62</v>
      </c>
      <c r="BM8" s="57" t="s">
        <v>30</v>
      </c>
      <c r="BN8" s="57" t="s">
        <v>63</v>
      </c>
      <c r="BO8" s="57" t="s">
        <v>24</v>
      </c>
      <c r="BP8" s="57" t="s">
        <v>64</v>
      </c>
      <c r="BQ8" s="57" t="s">
        <v>65</v>
      </c>
      <c r="BR8" s="57" t="s">
        <v>66</v>
      </c>
      <c r="BS8" s="57" t="s">
        <v>67</v>
      </c>
      <c r="BT8" s="57" t="s">
        <v>68</v>
      </c>
      <c r="BU8" s="57" t="s">
        <v>69</v>
      </c>
      <c r="BV8" s="57" t="s">
        <v>70</v>
      </c>
      <c r="BW8" s="57" t="s">
        <v>71</v>
      </c>
      <c r="BX8" s="57" t="s">
        <v>72</v>
      </c>
      <c r="BY8" s="57" t="s">
        <v>73</v>
      </c>
      <c r="BZ8" s="57" t="s">
        <v>74</v>
      </c>
      <c r="CA8" s="57" t="s">
        <v>75</v>
      </c>
      <c r="CB8" s="70"/>
      <c r="CC8" s="71" t="s">
        <v>76</v>
      </c>
      <c r="CD8" s="36"/>
      <c r="CE8" s="37"/>
      <c r="CF8" s="37"/>
      <c r="CG8" s="37"/>
      <c r="CH8" s="37"/>
      <c r="CI8" s="38"/>
      <c r="CJ8" s="39"/>
      <c r="CK8" s="39"/>
      <c r="CL8" s="39"/>
      <c r="CM8" s="41"/>
      <c r="CN8" s="42"/>
      <c r="CO8" s="16" t="n">
        <f aca="false">SUM($CO$9:$CO$508)</f>
        <v>0</v>
      </c>
      <c r="CP8" s="16"/>
      <c r="CQ8" s="23"/>
      <c r="CR8" s="24"/>
      <c r="CS8" s="24"/>
      <c r="CT8" s="24"/>
      <c r="CU8" s="24"/>
      <c r="CV8" s="24"/>
      <c r="CW8" s="24"/>
      <c r="CX8" s="25"/>
      <c r="CY8" s="43"/>
      <c r="CZ8" s="44"/>
      <c r="DA8" s="44"/>
      <c r="DB8" s="44"/>
      <c r="DC8" s="44"/>
      <c r="DD8" s="45"/>
      <c r="DE8" s="16"/>
    </row>
    <row r="9" customFormat="false" ht="15.75" hidden="false" customHeight="false" outlineLevel="0" collapsed="false">
      <c r="A9" s="8"/>
      <c r="B9" s="72"/>
      <c r="C9" s="73"/>
      <c r="D9" s="74"/>
      <c r="E9" s="75"/>
      <c r="F9" s="76"/>
      <c r="G9" s="77"/>
      <c r="H9" s="77"/>
      <c r="I9" s="77"/>
      <c r="J9" s="78"/>
      <c r="K9" s="79"/>
      <c r="L9" s="79"/>
      <c r="M9" s="80"/>
      <c r="N9" s="79"/>
      <c r="O9" s="81"/>
      <c r="P9" s="79"/>
      <c r="Q9" s="79"/>
      <c r="R9" s="79"/>
      <c r="S9" s="82"/>
      <c r="T9" s="79"/>
      <c r="U9" s="83"/>
      <c r="V9" s="84"/>
      <c r="W9" s="85"/>
      <c r="X9" s="86" t="str">
        <f aca="false">IF(ISBLANK($C9),"",IF($E9=Constants!$B$2,TRUE(),IF($E9=Constants!$B$3,FALSE(),TRUE())))</f>
        <v/>
      </c>
      <c r="Y9" s="86" t="str">
        <f aca="false">IF(ISBLANK($C9),"",IF($F9=Constants!$B$2,TRUE(),IF($F9=Constants!$B$3,FALSE(),TRUE())))</f>
        <v/>
      </c>
      <c r="Z9" s="87" t="str">
        <f aca="false">IF(ISBLANK($C9),"",IF(ISNUMBER($G9),IF($G9&gt;=0,$G9,""),""))</f>
        <v/>
      </c>
      <c r="AA9" s="87" t="str">
        <f aca="false">IF(ISBLANK($C9),"",IF(ISNUMBER($H9),IF($H9&gt;=0,$H9,""),""))</f>
        <v/>
      </c>
      <c r="AB9" s="87" t="str">
        <f aca="false">IF(ISBLANK($C9),"",IF(ISNUMBER($I9),IF($I9&gt;=0,$I9,""),""))</f>
        <v/>
      </c>
      <c r="AC9" s="86" t="str">
        <f aca="false">IF(ISBLANK($C9),"",IF($J9=Constants!$B$2,TRUE(),IF($J9=Constants!$B$3,FALSE(),TRUE())))</f>
        <v/>
      </c>
      <c r="AD9" s="86" t="str">
        <f aca="false">IF(ISBLANK($C9),"",IF($K9=Constants!$B$2,TRUE(),IF($K9=Constants!$B$3,FALSE(),TRUE())))</f>
        <v/>
      </c>
      <c r="AE9" s="86" t="str">
        <f aca="false">IF(ISBLANK($C9),"",IF($L9=Constants!$B$2,TRUE(),IF($L9=Constants!$B$3,FALSE(),TRUE())))</f>
        <v/>
      </c>
      <c r="AF9" s="88" t="str">
        <f aca="false">IF(ISBLANK($C9),"",IF(ISNUMBER($M9),IF($M9&gt;=0,$M9,""),""))</f>
        <v/>
      </c>
      <c r="AG9" s="89" t="str">
        <f aca="false">IF(ISBLANK($C9),"",IF(ISBLANK($N9),0,IF(ISNUMBER($N9),IF(AND($N9&gt;=0,$N9&lt;=Constants!$B$17,$N9=INT($N9)),$N9,""),"")))</f>
        <v/>
      </c>
      <c r="AH9" s="87" t="str">
        <f aca="false">IF(ISBLANK($C9),"",IF(ISBLANK($O9),0,IF(ISNUMBER($O9),IF($O9&gt;=0,$O9,""),"")))</f>
        <v/>
      </c>
      <c r="AI9" s="86" t="str">
        <f aca="false">IF(ISBLANK($C9),"",IF($P9=Constants!$B$2,TRUE(),IF($P9=Constants!$B$3,FALSE(),TRUE())))</f>
        <v/>
      </c>
      <c r="AJ9" s="86" t="str">
        <f aca="false">IF(ISBLANK($C9),"",IF($Q9=Constants!$B$2,TRUE(),IF($Q9=Constants!$B$3,FALSE(),TRUE())))</f>
        <v/>
      </c>
      <c r="AK9" s="86" t="str">
        <f aca="false">IF(ISBLANK($C9),"",IF($R9=Constants!$B$2,TRUE(),IF($R9=Constants!$B$3,FALSE(),TRUE())))</f>
        <v/>
      </c>
      <c r="AL9" s="88" t="str">
        <f aca="false">IF(ISBLANK($C9),"",IF(ISNUMBER($S9),IF($S9&gt;=0,$S9,""),""))</f>
        <v/>
      </c>
      <c r="AM9" s="86" t="str">
        <f aca="false">IF(ISBLANK($C9),"",IF(ISBLANK($T9),0,IF(ISNUMBER($T9),IF(AND($T9&gt;=0,$T9&lt;=Constants!$B$17,$T9=INT($T9)),$T9,""),"")))</f>
        <v/>
      </c>
      <c r="AN9" s="87" t="str">
        <f aca="false">IF(ISBLANK($C9),"",IF(ISBLANK($U9),0,IF(ISNUMBER($U9),IF($U9&gt;=0,$U9,""),"")))</f>
        <v/>
      </c>
      <c r="AO9" s="86" t="str">
        <f aca="false">IF(ISBLANK($C9),"",IF($V9=Constants!$B$2,TRUE(),IF($V9=Constants!$B$3,FALSE(),FALSE())))</f>
        <v/>
      </c>
      <c r="AP9" s="89" t="str">
        <f aca="false">IF(ISNUMBER($D$7),IF(AND($D$7&gt;=Constants!$B$19,$D$7&lt;=Constants!$B$20,$D$7=INT($D$7)),$D$7,""),"")</f>
        <v/>
      </c>
      <c r="AQ9" s="85" t="str">
        <f aca="false">IF(ISBLANK($C9),"",AND($Y9,OR($AS9,$BC9),OR($Z9="",$AA9="",$AB9="")))</f>
        <v/>
      </c>
      <c r="AR9" s="85" t="str">
        <f aca="false">IF(ISBLANK($C9),"",IF(OR(NOT($Y9),NOT(OR($AS9,$BC9))),"",IF(ISBLANK($D$7),$AR$5,IF($AP$9="",$AR$6,""))))</f>
        <v/>
      </c>
      <c r="AS9" s="85" t="str">
        <f aca="false">IF(ISBLANK($C9),"",COUNTA($J9:$O9)&gt;0)</f>
        <v/>
      </c>
      <c r="AT9" s="85" t="str">
        <f aca="false">IF(ISBLANK($C9),"",AND($AS9,OR(AND($AF9="",OR($AE9,NOT(ISBLANK($M9)))),$AG9="",$AH9="")))</f>
        <v/>
      </c>
      <c r="AU9" s="87" t="str">
        <f aca="false">IF($BL9&lt;&gt;Constants!$B$4,"",IF(NOT($AS9),"",ROUND((Constants!$B$12-$AB9)+(Constants!$B$13-$Z9)+(Constants!$B$14-$AA9),1)))</f>
        <v/>
      </c>
      <c r="AV9" s="90" t="str">
        <f aca="false">IF($BL9&lt;&gt;Constants!$B$4,"",IF(NOT($AS9),"",IF(NOT($AE9),0,Constants!$B$15*(INT(ROUND(MIN($AF9,$AP$9),6))-INT(ROUND(MAX(0,MIN($AF9,2*$AP$9)-$AP$9),6))))))</f>
        <v/>
      </c>
      <c r="AW9" s="90" t="str">
        <f aca="false">IF($BL9&lt;&gt;Constants!$B$4,"",IF(NOT($AS9),"",Constants!$B$16*$AG9))</f>
        <v/>
      </c>
      <c r="AX9" s="90" t="str">
        <f aca="false">IF($BL9&lt;&gt;Constants!$B$4,"",IF(NOT($AS9),"",Constants!$B$18*INT(ROUND($AH9,6))))</f>
        <v/>
      </c>
      <c r="AY9" s="85" t="str">
        <f aca="false">IF($BL9&lt;&gt;Constants!$B$4,"",IF(NOT($AS9),"",IF(NOT($X9),Constants!$B$11,IF(OR(NOT($AC9),NOT($AD9),ROUND($AB9,1)&gt;Constants!$B$12,ROUND($Z9,1)&gt;Constants!$B$13,ROUND($AA9,1)&gt;Constants!$B$14),Constants!$B$10,Constants!$B$9))))</f>
        <v/>
      </c>
      <c r="AZ9" s="91" t="str">
        <f aca="false">IF($BL9&lt;&gt;Constants!$B$4,"",IF(NOT($AS9),"",ROUND($AU9+$AV9+$AW9+$AX9,1)))</f>
        <v/>
      </c>
      <c r="BA9" s="92" t="str">
        <f aca="false">IF($BL9&lt;&gt;Constants!$B$4,"",IF(NOT($AS9),"",IF(ISNUMBER($AF9),$AF9,0)))</f>
        <v/>
      </c>
      <c r="BB9" s="86" t="str">
        <f aca="false">IF($BL9&lt;&gt;Constants!$B$4,"",IF(NOT($BC9),"&lt;-",IF(NOT($AS9),"-&gt;",IF(OR($BI9&lt;$AY9,AND($BI9=$AY9,OR($BJ9&gt;$AZ9,AND($BJ9=$AZ9,OR($BH9&gt;$AX9,AND($BH9=$AX9,OR($BE9&gt;$AU9,AND($BE9=$AU9,OR($BF9&gt;$AV9,AND($BF9=$AV9,$BK9&gt;$BA9)))))))))),"-&gt;","&lt;-"))))</f>
        <v/>
      </c>
      <c r="BC9" s="85" t="str">
        <f aca="false">IF(ISBLANK($C9),"",COUNTA($P9:$U9)&gt;0)</f>
        <v/>
      </c>
      <c r="BD9" s="85" t="str">
        <f aca="false">IF(ISBLANK($C9),"",AND($BC9,OR(AND($AL9="",OR($AK9,NOT(ISBLANK($S9)))),$AM9="",$AN9="")))</f>
        <v/>
      </c>
      <c r="BE9" s="87" t="str">
        <f aca="false">IF($BL9&lt;&gt;Constants!$B$4,"",IF(NOT($BC9),"",ROUND((Constants!$B$12-$AB9)+(Constants!$B$13-$Z9)+(Constants!$B$14-$AA9),1)))</f>
        <v/>
      </c>
      <c r="BF9" s="90" t="str">
        <f aca="false">IF($BL9&lt;&gt;Constants!$B$4,"",IF(NOT($BC9),"",IF(NOT($AK9),0,Constants!$B$15*(INT(ROUND(MIN($AL9,$AP$9),6))-INT(ROUND(MAX(0,MIN($AL9,2*$AP$9)-$AP$9),6))))))</f>
        <v/>
      </c>
      <c r="BG9" s="90" t="str">
        <f aca="false">IF($BL9&lt;&gt;Constants!$B$4,"",IF(NOT($BC9),"",Constants!$B$16*$AM9))</f>
        <v/>
      </c>
      <c r="BH9" s="90" t="str">
        <f aca="false">IF($BL9&lt;&gt;Constants!$B$4,"",IF(NOT($BC9),"",Constants!$B$18*INT(ROUND($AN9,6))))</f>
        <v/>
      </c>
      <c r="BI9" s="85" t="str">
        <f aca="false">IF($BL9&lt;&gt;Constants!$B$4,"",IF(NOT($BC9),"",IF(NOT($X9),Constants!$B$11,IF(OR(NOT($AI9),NOT($AJ9),ROUND($AB9,1)&gt;Constants!$B$12,ROUND($Z9,1)&gt;Constants!$B$13,ROUND($AA9,1)&gt;Constants!$B$14),Constants!$B$10,Constants!$B$9))))</f>
        <v/>
      </c>
      <c r="BJ9" s="91" t="str">
        <f aca="false">IF($BL9&lt;&gt;Constants!$B$4,"",IF(NOT($BC9),"",ROUND($BE9+$BF9+$BG9+$BH9,1)))</f>
        <v/>
      </c>
      <c r="BK9" s="92" t="str">
        <f aca="false">IF($BL9&lt;&gt;Constants!$B$4,"",IF(NOT($BC9),"",IF(ISNUMBER($AL9),$AL9,0)))</f>
        <v/>
      </c>
      <c r="BL9" s="86" t="str">
        <f aca="false">IF(ISBLANK($C9),"",IF($AO9,Constants!$B$7,IF(COUNTA($E9:$V9)=0,Constants!$B$6,IF(NOT($Y9),Constants!$B$5,IF(NOT(OR($AS9,$BC9)),Constants!$B$5,IF(OR($AT9,$BD9,$AQ9,$AR9&lt;&gt;""),Constants!$B$8,Constants!$B$4))))))</f>
        <v/>
      </c>
      <c r="BM9" s="86" t="str">
        <f aca="false">IF(ISBLANK($C9),"",IF($BL9&lt;&gt;Constants!$B$4,$BL9,IF($BB9="-&gt;",$BI9,$AY9)))</f>
        <v/>
      </c>
      <c r="BN9" s="90" t="str">
        <f aca="false">IF($BL9&lt;&gt;Constants!$B$4,"",IF($BB9="-&gt;",$BJ9,$AZ9))</f>
        <v/>
      </c>
      <c r="BO9" s="90" t="str">
        <f aca="false">IF(ISBLANK($C9),"",IF($BL9&lt;&gt;Constants!$B$4,$BL9,$BN9))</f>
        <v/>
      </c>
      <c r="BP9" s="86" t="str">
        <f aca="false">IF(ISBLANK($C9),"",IF($BL9&lt;&gt;Constants!$B$4,$BL9,RANK($BO9,$BO$9:$BO$508,0)))</f>
        <v/>
      </c>
      <c r="BQ9" s="86" t="str">
        <f aca="false">IF(ISBLANK($C9),"",IF($BL9&lt;&gt;Constants!$B$4,$BL9,COUNTIFS($BM$9:$BM$508,"&lt;"&amp;$BM9)+COUNTIFS($BM$9:$BM$508,$BM9,$BP$9:$BP$508,"&lt;"&amp;$BP9)+1))</f>
        <v/>
      </c>
      <c r="BR9" s="90" t="str">
        <f aca="false">IF($BL9&lt;&gt;Constants!$B$4,"",IF($BB9="-&gt;",$BH9,$AX9))</f>
        <v/>
      </c>
      <c r="BS9" s="86" t="str">
        <f aca="false">IF(ISBLANK($C9),"",IF($BL9&lt;&gt;Constants!$B$4,$BL9,IF(ISNUMBER($BR9),RANK($BR9,$BR$9:$BR$508,0),COUNT($BR$9:$BR$508)+1)))</f>
        <v/>
      </c>
      <c r="BT9" s="90" t="str">
        <f aca="false">IF($BL9&lt;&gt;Constants!$B$4,"",IF($BB9="-&gt;",$BE9,$AU9))</f>
        <v/>
      </c>
      <c r="BU9" s="86" t="str">
        <f aca="false">IF(ISBLANK($C9),"",IF($BL9&lt;&gt;Constants!$B$4,$BL9,IF(ISNUMBER($BT9),RANK($BT9,$BT$9:$BT$508,0),COUNT($BT$9:$BT$508)+1)))</f>
        <v/>
      </c>
      <c r="BV9" s="90" t="str">
        <f aca="false">IF($BL9&lt;&gt;Constants!$B$4,"",IF($BB9="-&gt;",$BF9,$AV9))</f>
        <v/>
      </c>
      <c r="BW9" s="86" t="str">
        <f aca="false">IF(ISBLANK($C9),"",IF($BL9&lt;&gt;Constants!$B$4,$BL9,IF(ISNUMBER($BV9),RANK($BV9,$BV$9:$BV$508,0),COUNT($BV$9:$BV$508)+1)))</f>
        <v/>
      </c>
      <c r="BX9" s="90" t="str">
        <f aca="false">IF($BL9&lt;&gt;Constants!$B$4,"",IF($BB9="-&gt;",$BK9,$BA9))</f>
        <v/>
      </c>
      <c r="BY9" s="86" t="str">
        <f aca="false">IF(ISBLANK($C9),"",IF($BL9&lt;&gt;Constants!$B$4,$BL9,IF(ISNUMBER($BX9),RANK($BX9,$BX$9:$BX$508,0),COUNT($BX$9:$BX$508)+1)))</f>
        <v/>
      </c>
      <c r="BZ9" s="86" t="str">
        <f aca="false">IF(ISBLANK($C9),"",IF($BL9&lt;&gt;Constants!$B$4,$BL9,COUNTIFS($BM$9:$BM$508,"&lt;"&amp;$BM9)+COUNTIFS($BM$9:$BM$508,$BM9,$BP$9:$BP$508,"&lt;"&amp;$BP9)+COUNTIFS($BM$9:$BM$508,$BM9,$BP$9:$BP$508,$BP9,$BS$9:$BS$508,"&lt;"&amp;$BS9)+COUNTIFS($BM$9:$BM$508,$BM9,$BP$9:$BP$508,$BP9,$BS$9:$BS$508,$BS9,$BU$9:$BU$508,"&lt;"&amp;$BU9)+COUNTIFS($BM$9:$BM$508,$BM9,$BP$9:$BP$508,$BP9,$BS$9:$BS$508,$BS9,$BU$9:$BU$508,$BU9,$BW$9:$BW$508,"&lt;"&amp;$BW9)+COUNTIFS($BM$9:$BM$508,$BM9,$BP$9:$BP$508,$BP9,$BS$9:$BS$508,$BS9,$BU$9:$BU$508,$BU9,$BW$9:$BW$508,$BW9,$BY$9:$BY$508,"&lt;"&amp;$BY9)+1))</f>
        <v/>
      </c>
      <c r="CA9" s="86" t="str">
        <f aca="false">IF(ISBLANK($C9),"",IF($BL9&lt;&gt;Constants!$B$4,$BL9,$BQ9-$BZ9))</f>
        <v/>
      </c>
      <c r="CB9" s="93"/>
      <c r="CC9" s="94" t="str">
        <f aca="false">IF(ISBLANK($C9),"",IF($BL9=Constants!$B$8,$AR9,""))</f>
        <v/>
      </c>
      <c r="CD9" s="94" t="str">
        <f aca="false">IF(ISBLANK($C9),"",IF($BL9&lt;&gt;Constants!$B$4,"",IF($BB9="-&gt;",2,1)))</f>
        <v/>
      </c>
      <c r="CE9" s="95" t="str">
        <f aca="false">IF(ISBLANK($C9),"",IF($BL9&lt;&gt;Constants!$B$4,"",IF($BB9="-&gt;",$BE9,$AU9)))</f>
        <v/>
      </c>
      <c r="CF9" s="95" t="str">
        <f aca="false">IF(ISBLANK($C9),"",IF($BL9&lt;&gt;Constants!$B$4,"",IF($BB9="-&gt;",$BF9,$AV9)))</f>
        <v/>
      </c>
      <c r="CG9" s="95" t="str">
        <f aca="false">IF(ISBLANK($C9),"",IF($BL9&lt;&gt;Constants!$B$4,"",IF($BB9="-&gt;",$BG9,$AW9)))</f>
        <v/>
      </c>
      <c r="CH9" s="95" t="str">
        <f aca="false">IF(ISBLANK($C9),"",IF($BL9&lt;&gt;Constants!$B$4,"",IF($BB9="-&gt;",$BH9,$AX9)))</f>
        <v/>
      </c>
      <c r="CI9" s="96" t="str">
        <f aca="false">IF(ISBLANK($C9),"",$BO9)</f>
        <v/>
      </c>
      <c r="CJ9" s="97" t="str">
        <f aca="false">IF(ISBLANK($C9),"",$BM9)</f>
        <v/>
      </c>
      <c r="CK9" s="98" t="str">
        <f aca="false">IF(ISBLANK($C9),"",$CA9)</f>
        <v/>
      </c>
      <c r="CL9" s="98" t="str">
        <f aca="false">IF(ISBLANK($C9),"",$BZ9)</f>
        <v/>
      </c>
      <c r="CM9" s="99" t="str">
        <f aca="false">IF(ISBLANK($C9),"",IF($CL9=Constants!$B$7,COUNTA($C$9:$C$508)+2,IF($CL9=Constants!$B$6,COUNTA($C$9:$C$508)+1,IF($CL9=Constants!$B$5,COUNTA($C$9:$C$508),$CL9))))</f>
        <v/>
      </c>
      <c r="CN9" s="8"/>
      <c r="CO9" s="100" t="n">
        <f aca="false">IF(OR(ISNUMBER($CL9),$CL9=Constants!$B$7,$CL9=Constants!$B$5,$CL9=Constants!$B$6),1,0)</f>
        <v>0</v>
      </c>
      <c r="CP9" s="100" t="n">
        <v>1</v>
      </c>
      <c r="CQ9" s="100" t="str">
        <f aca="false">IF(ISBLANK($C9),"",IF(ISNUMBER($CM9),$CM9+ROW($B9)/1000,""))</f>
        <v/>
      </c>
      <c r="CR9" s="100" t="str">
        <f aca="false">IF(ISNUMBER($CQ9),RANK($CQ9,$CQ$9:$CQ$508,1),"")</f>
        <v/>
      </c>
      <c r="CS9" s="100" t="str">
        <f aca="false">IF(ISBLANK($C9),"",$B9)</f>
        <v/>
      </c>
      <c r="CT9" s="100" t="str">
        <f aca="false">IF(ISBLANK($C9),"",$C9)</f>
        <v/>
      </c>
      <c r="CU9" s="100" t="str">
        <f aca="false">IF(ISBLANK($C9),"",$D9)</f>
        <v/>
      </c>
      <c r="CV9" s="101" t="str">
        <f aca="false">$CJ9</f>
        <v/>
      </c>
      <c r="CW9" s="102" t="str">
        <f aca="false">$CI9</f>
        <v/>
      </c>
      <c r="CX9" s="100" t="str">
        <f aca="false">IF(ISBLANK($C9),"",$CL9)</f>
        <v/>
      </c>
      <c r="CY9" s="103" t="str">
        <f aca="false">IF($CP9&gt;$CO$8,"",VLOOKUP($CP9,$CR$9:$CX$508,7,FALSE()))</f>
        <v/>
      </c>
      <c r="CZ9" s="104" t="str">
        <f aca="false">IF($CP9&gt;$CO$8,"",VLOOKUP($CP9,$CR$9:$CX$508,2,FALSE()))</f>
        <v/>
      </c>
      <c r="DA9" s="104" t="str">
        <f aca="false">IF($CP9&gt;$CO$8,"",VLOOKUP($CP9,$CR$9:$CX$508,3,FALSE()))</f>
        <v/>
      </c>
      <c r="DB9" s="104" t="str">
        <f aca="false">IF($CP9&gt;$CO$8,"",VLOOKUP($CP9,$CR$9:$CX$508,4,FALSE()))</f>
        <v/>
      </c>
      <c r="DC9" s="104" t="str">
        <f aca="false">IF($CP9&gt;$CO$8,"",VLOOKUP($CP9,$CR$9:$CX$508,5,FALSE()))</f>
        <v/>
      </c>
      <c r="DD9" s="105" t="str">
        <f aca="false">IF($CP9&gt;$CO$8,"",VLOOKUP($CP9,$CR$9:$CX$508,6,FALSE()))</f>
        <v/>
      </c>
      <c r="DE9" s="70"/>
    </row>
    <row r="10" customFormat="false" ht="15.75" hidden="false" customHeight="false" outlineLevel="0" collapsed="false">
      <c r="A10" s="8"/>
      <c r="B10" s="106"/>
      <c r="C10" s="107"/>
      <c r="D10" s="74"/>
      <c r="E10" s="75"/>
      <c r="F10" s="108"/>
      <c r="G10" s="77"/>
      <c r="H10" s="77"/>
      <c r="I10" s="77"/>
      <c r="J10" s="78"/>
      <c r="K10" s="79"/>
      <c r="L10" s="79"/>
      <c r="M10" s="80"/>
      <c r="N10" s="79"/>
      <c r="O10" s="81"/>
      <c r="P10" s="79"/>
      <c r="Q10" s="79"/>
      <c r="R10" s="79"/>
      <c r="S10" s="82"/>
      <c r="T10" s="79"/>
      <c r="U10" s="81"/>
      <c r="V10" s="109"/>
      <c r="W10" s="85"/>
      <c r="X10" s="86" t="str">
        <f aca="false">IF(ISBLANK($C10),"",IF($E10=Constants!$B$2,TRUE(),IF($E10=Constants!$B$3,FALSE(),TRUE())))</f>
        <v/>
      </c>
      <c r="Y10" s="86" t="str">
        <f aca="false">IF(ISBLANK($C10),"",IF($F10=Constants!$B$2,TRUE(),IF($F10=Constants!$B$3,FALSE(),TRUE())))</f>
        <v/>
      </c>
      <c r="Z10" s="87" t="str">
        <f aca="false">IF(ISBLANK($C10),"",IF(ISNUMBER($G10),IF($G10&gt;=0,$G10,""),""))</f>
        <v/>
      </c>
      <c r="AA10" s="87" t="str">
        <f aca="false">IF(ISBLANK($C10),"",IF(ISNUMBER($H10),IF($H10&gt;=0,$H10,""),""))</f>
        <v/>
      </c>
      <c r="AB10" s="87" t="str">
        <f aca="false">IF(ISBLANK($C10),"",IF(ISNUMBER($I10),IF($I10&gt;=0,$I10,""),""))</f>
        <v/>
      </c>
      <c r="AC10" s="86" t="str">
        <f aca="false">IF(ISBLANK($C10),"",IF($J10=Constants!$B$2,TRUE(),IF($J10=Constants!$B$3,FALSE(),TRUE())))</f>
        <v/>
      </c>
      <c r="AD10" s="86" t="str">
        <f aca="false">IF(ISBLANK($C10),"",IF($K10=Constants!$B$2,TRUE(),IF($K10=Constants!$B$3,FALSE(),TRUE())))</f>
        <v/>
      </c>
      <c r="AE10" s="86" t="str">
        <f aca="false">IF(ISBLANK($C10),"",IF($L10=Constants!$B$2,TRUE(),IF($L10=Constants!$B$3,FALSE(),TRUE())))</f>
        <v/>
      </c>
      <c r="AF10" s="88" t="str">
        <f aca="false">IF(ISBLANK($C10),"",IF(ISNUMBER($M10),IF($M10&gt;=0,$M10,""),""))</f>
        <v/>
      </c>
      <c r="AG10" s="86" t="str">
        <f aca="false">IF(ISBLANK($C10),"",IF(ISBLANK($N10),0,IF(ISNUMBER($N10),IF(AND($N10&gt;=0,$N10&lt;=Constants!$B$17,$N10=INT($N10)),$N10,""),"")))</f>
        <v/>
      </c>
      <c r="AH10" s="87" t="str">
        <f aca="false">IF(ISBLANK($C10),"",IF(ISBLANK($O10),0,IF(ISNUMBER($O10),IF($O10&gt;=0,$O10,""),"")))</f>
        <v/>
      </c>
      <c r="AI10" s="86" t="str">
        <f aca="false">IF(ISBLANK($C10),"",IF($P10=Constants!$B$2,TRUE(),IF($P10=Constants!$B$3,FALSE(),TRUE())))</f>
        <v/>
      </c>
      <c r="AJ10" s="86" t="str">
        <f aca="false">IF(ISBLANK($C10),"",IF($Q10=Constants!$B$2,TRUE(),IF($Q10=Constants!$B$3,FALSE(),TRUE())))</f>
        <v/>
      </c>
      <c r="AK10" s="86" t="str">
        <f aca="false">IF(ISBLANK($C10),"",IF($R10=Constants!$B$2,TRUE(),IF($R10=Constants!$B$3,FALSE(),TRUE())))</f>
        <v/>
      </c>
      <c r="AL10" s="88" t="str">
        <f aca="false">IF(ISBLANK($C10),"",IF(ISNUMBER($S10),IF($S10&gt;=0,$S10,""),""))</f>
        <v/>
      </c>
      <c r="AM10" s="86" t="str">
        <f aca="false">IF(ISBLANK($C10),"",IF(ISBLANK($T10),0,IF(ISNUMBER($T10),IF(AND($T10&gt;=0,$T10&lt;=Constants!$B$17,$T10=INT($T10)),$T10,""),"")))</f>
        <v/>
      </c>
      <c r="AN10" s="87" t="str">
        <f aca="false">IF(ISBLANK($C10),"",IF(ISBLANK($U10),0,IF(ISNUMBER($U10),IF($U10&gt;=0,$U10,""),"")))</f>
        <v/>
      </c>
      <c r="AO10" s="86" t="str">
        <f aca="false">IF(ISBLANK($C10),"",IF($V10=Constants!$B$2,TRUE(),IF($V10=Constants!$B$3,FALSE(),FALSE())))</f>
        <v/>
      </c>
      <c r="AP10" s="86"/>
      <c r="AQ10" s="85" t="str">
        <f aca="false">IF(ISBLANK($C10),"",AND($Y10,OR($AS10,$BC10),OR($Z10="",$AA10="",$AB10="")))</f>
        <v/>
      </c>
      <c r="AR10" s="85" t="str">
        <f aca="false">IF(ISBLANK($C10),"",IF(OR(NOT($Y10),NOT(OR($AS10,$BC10))),"",IF(ISBLANK($D$7),$AR$5,IF($AP$9="",$AR$6,""))))</f>
        <v/>
      </c>
      <c r="AS10" s="85" t="str">
        <f aca="false">IF(ISBLANK($C10),"",COUNTA($J10:$O10)&gt;0)</f>
        <v/>
      </c>
      <c r="AT10" s="85" t="str">
        <f aca="false">IF(ISBLANK($C10),"",AND($AS10,OR(AND($AF10="",OR($AE10,NOT(ISBLANK($M10)))),$AG10="",$AH10="")))</f>
        <v/>
      </c>
      <c r="AU10" s="87" t="str">
        <f aca="false">IF($BL10&lt;&gt;Constants!$B$4,"",IF(NOT($AS10),"",ROUND((Constants!$B$12-$AB10)+(Constants!$B$13-$Z10)+(Constants!$B$14-$AA10),1)))</f>
        <v/>
      </c>
      <c r="AV10" s="90" t="str">
        <f aca="false">IF($BL10&lt;&gt;Constants!$B$4,"",IF(NOT($AS10),"",IF(NOT($AE10),0,Constants!$B$15*(INT(ROUND(MIN($AF10,$AP$9),6))-INT(ROUND(MAX(0,MIN($AF10,2*$AP$9)-$AP$9),6))))))</f>
        <v/>
      </c>
      <c r="AW10" s="90" t="str">
        <f aca="false">IF($BL10&lt;&gt;Constants!$B$4,"",IF(NOT($AS10),"",Constants!$B$16*$AG10))</f>
        <v/>
      </c>
      <c r="AX10" s="90" t="str">
        <f aca="false">IF($BL10&lt;&gt;Constants!$B$4,"",IF(NOT($AS10),"",Constants!$B$18*INT(ROUND($AH10,6))))</f>
        <v/>
      </c>
      <c r="AY10" s="85" t="str">
        <f aca="false">IF($BL10&lt;&gt;Constants!$B$4,"",IF(NOT($AS10),"",IF(NOT($X10),Constants!$B$11,IF(OR(NOT($AC10),NOT($AD10),ROUND($AB10,1)&gt;Constants!$B$12,ROUND($Z10,1)&gt;Constants!$B$13,ROUND($AA10,1)&gt;Constants!$B$14),Constants!$B$10,Constants!$B$9))))</f>
        <v/>
      </c>
      <c r="AZ10" s="91" t="str">
        <f aca="false">IF($BL10&lt;&gt;Constants!$B$4,"",IF(NOT($AS10),"",ROUND($AU10+$AV10+$AW10+$AX10,1)))</f>
        <v/>
      </c>
      <c r="BA10" s="92" t="str">
        <f aca="false">IF($BL10&lt;&gt;Constants!$B$4,"",IF(NOT($AS10),"",IF(ISNUMBER($AF10),$AF10,0)))</f>
        <v/>
      </c>
      <c r="BB10" s="86" t="str">
        <f aca="false">IF($BL10&lt;&gt;Constants!$B$4,"",IF(NOT($BC10),"&lt;-",IF(NOT($AS10),"-&gt;",IF(OR($BI10&lt;$AY10,AND($BI10=$AY10,OR($BJ10&gt;$AZ10,AND($BJ10=$AZ10,OR($BH10&gt;$AX10,AND($BH10=$AX10,OR($BE10&gt;$AU10,AND($BE10=$AU10,OR($BF10&gt;$AV10,AND($BF10=$AV10,$BK10&gt;$BA10)))))))))),"-&gt;","&lt;-"))))</f>
        <v/>
      </c>
      <c r="BC10" s="85" t="str">
        <f aca="false">IF(ISBLANK($C10),"",COUNTA($P10:$U10)&gt;0)</f>
        <v/>
      </c>
      <c r="BD10" s="85" t="str">
        <f aca="false">IF(ISBLANK($C10),"",AND($BC10,OR(AND($AL10="",OR($AK10,NOT(ISBLANK($S10)))),$AM10="",$AN10="")))</f>
        <v/>
      </c>
      <c r="BE10" s="87" t="str">
        <f aca="false">IF($BL10&lt;&gt;Constants!$B$4,"",IF(NOT($BC10),"",ROUND((Constants!$B$12-$AB10)+(Constants!$B$13-$Z10)+(Constants!$B$14-$AA10),1)))</f>
        <v/>
      </c>
      <c r="BF10" s="90" t="str">
        <f aca="false">IF($BL10&lt;&gt;Constants!$B$4,"",IF(NOT($BC10),"",IF(NOT($AK10),0,Constants!$B$15*(INT(ROUND(MIN($AL10,$AP$9),6))-INT(ROUND(MAX(0,MIN($AL10,2*$AP$9)-$AP$9),6))))))</f>
        <v/>
      </c>
      <c r="BG10" s="90" t="str">
        <f aca="false">IF($BL10&lt;&gt;Constants!$B$4,"",IF(NOT($BC10),"",Constants!$B$16*$AM10))</f>
        <v/>
      </c>
      <c r="BH10" s="90" t="str">
        <f aca="false">IF($BL10&lt;&gt;Constants!$B$4,"",IF(NOT($BC10),"",Constants!$B$18*INT(ROUND($AN10,6))))</f>
        <v/>
      </c>
      <c r="BI10" s="85" t="str">
        <f aca="false">IF($BL10&lt;&gt;Constants!$B$4,"",IF(NOT($BC10),"",IF(NOT($X10),Constants!$B$11,IF(OR(NOT($AI10),NOT($AJ10),ROUND($AB10,1)&gt;Constants!$B$12,ROUND($Z10,1)&gt;Constants!$B$13,ROUND($AA10,1)&gt;Constants!$B$14),Constants!$B$10,Constants!$B$9))))</f>
        <v/>
      </c>
      <c r="BJ10" s="91" t="str">
        <f aca="false">IF($BL10&lt;&gt;Constants!$B$4,"",IF(NOT($BC10),"",ROUND($BE10+$BF10+$BG10+$BH10,1)))</f>
        <v/>
      </c>
      <c r="BK10" s="92" t="str">
        <f aca="false">IF($BL10&lt;&gt;Constants!$B$4,"",IF(NOT($BC10),"",IF(ISNUMBER($AL10),$AL10,0)))</f>
        <v/>
      </c>
      <c r="BL10" s="86" t="str">
        <f aca="false">IF(ISBLANK($C10),"",IF($AO10,Constants!$B$7,IF(COUNTA($E10:$V10)=0,Constants!$B$6,IF(NOT($Y10),Constants!$B$5,IF(NOT(OR($AS10,$BC10)),Constants!$B$5,IF(OR($AT10,$BD10,$AQ10,$AR10&lt;&gt;""),Constants!$B$8,Constants!$B$4))))))</f>
        <v/>
      </c>
      <c r="BM10" s="86" t="str">
        <f aca="false">IF(ISBLANK($C10),"",IF($BL10&lt;&gt;Constants!$B$4,$BL10,IF($BB10="-&gt;",$BI10,$AY10)))</f>
        <v/>
      </c>
      <c r="BN10" s="90" t="str">
        <f aca="false">IF($BL10&lt;&gt;Constants!$B$4,"",IF($BB10="-&gt;",$BJ10,$AZ10))</f>
        <v/>
      </c>
      <c r="BO10" s="90" t="str">
        <f aca="false">IF(ISBLANK($C10),"",IF($BL10&lt;&gt;Constants!$B$4,$BL10,$BN10))</f>
        <v/>
      </c>
      <c r="BP10" s="86" t="str">
        <f aca="false">IF(ISBLANK($C10),"",IF($BL10&lt;&gt;Constants!$B$4,$BL10,RANK($BO10,$BO$9:$BO$508,0)))</f>
        <v/>
      </c>
      <c r="BQ10" s="86" t="str">
        <f aca="false">IF(ISBLANK($C10),"",IF($BL10&lt;&gt;Constants!$B$4,$BL10,COUNTIFS($BM$9:$BM$508,"&lt;"&amp;$BM10)+COUNTIFS($BM$9:$BM$508,$BM10,$BP$9:$BP$508,"&lt;"&amp;$BP10)+1))</f>
        <v/>
      </c>
      <c r="BR10" s="90" t="str">
        <f aca="false">IF($BL10&lt;&gt;Constants!$B$4,"",IF($BB10="-&gt;",$BH10,$AX10))</f>
        <v/>
      </c>
      <c r="BS10" s="86" t="str">
        <f aca="false">IF(ISBLANK($C10),"",IF($BL10&lt;&gt;Constants!$B$4,$BL10,IF(ISNUMBER($BR10),RANK($BR10,$BR$9:$BR$508,0),COUNT($BR$9:$BR$508)+1)))</f>
        <v/>
      </c>
      <c r="BT10" s="90" t="str">
        <f aca="false">IF($BL10&lt;&gt;Constants!$B$4,"",IF($BB10="-&gt;",$BE10,$AU10))</f>
        <v/>
      </c>
      <c r="BU10" s="86" t="str">
        <f aca="false">IF(ISBLANK($C10),"",IF($BL10&lt;&gt;Constants!$B$4,$BL10,IF(ISNUMBER($BT10),RANK($BT10,$BT$9:$BT$508,0),COUNT($BT$9:$BT$508)+1)))</f>
        <v/>
      </c>
      <c r="BV10" s="90" t="str">
        <f aca="false">IF($BL10&lt;&gt;Constants!$B$4,"",IF($BB10="-&gt;",$BF10,$AV10))</f>
        <v/>
      </c>
      <c r="BW10" s="86" t="str">
        <f aca="false">IF(ISBLANK($C10),"",IF($BL10&lt;&gt;Constants!$B$4,$BL10,IF(ISNUMBER($BV10),RANK($BV10,$BV$9:$BV$508,0),COUNT($BV$9:$BV$508)+1)))</f>
        <v/>
      </c>
      <c r="BX10" s="90" t="str">
        <f aca="false">IF($BL10&lt;&gt;Constants!$B$4,"",IF($BB10="-&gt;",$BK10,$BA10))</f>
        <v/>
      </c>
      <c r="BY10" s="86" t="str">
        <f aca="false">IF(ISBLANK($C10),"",IF($BL10&lt;&gt;Constants!$B$4,$BL10,IF(ISNUMBER($BX10),RANK($BX10,$BX$9:$BX$508,0),COUNT($BX$9:$BX$508)+1)))</f>
        <v/>
      </c>
      <c r="BZ10" s="86" t="str">
        <f aca="false">IF(ISBLANK($C10),"",IF($BL10&lt;&gt;Constants!$B$4,$BL10,COUNTIFS($BM$9:$BM$508,"&lt;"&amp;$BM10)+COUNTIFS($BM$9:$BM$508,$BM10,$BP$9:$BP$508,"&lt;"&amp;$BP10)+COUNTIFS($BM$9:$BM$508,$BM10,$BP$9:$BP$508,$BP10,$BS$9:$BS$508,"&lt;"&amp;$BS10)+COUNTIFS($BM$9:$BM$508,$BM10,$BP$9:$BP$508,$BP10,$BS$9:$BS$508,$BS10,$BU$9:$BU$508,"&lt;"&amp;$BU10)+COUNTIFS($BM$9:$BM$508,$BM10,$BP$9:$BP$508,$BP10,$BS$9:$BS$508,$BS10,$BU$9:$BU$508,$BU10,$BW$9:$BW$508,"&lt;"&amp;$BW10)+COUNTIFS($BM$9:$BM$508,$BM10,$BP$9:$BP$508,$BP10,$BS$9:$BS$508,$BS10,$BU$9:$BU$508,$BU10,$BW$9:$BW$508,$BW10,$BY$9:$BY$508,"&lt;"&amp;$BY10)+1))</f>
        <v/>
      </c>
      <c r="CA10" s="86" t="str">
        <f aca="false">IF(ISBLANK($C10),"",IF($BL10&lt;&gt;Constants!$B$4,$BL10,$BQ10-$BZ10))</f>
        <v/>
      </c>
      <c r="CB10" s="93"/>
      <c r="CC10" s="94" t="str">
        <f aca="false">IF(ISBLANK($C10),"",IF($BL10=Constants!$B$8,$AR10,""))</f>
        <v/>
      </c>
      <c r="CD10" s="94" t="str">
        <f aca="false">IF(ISBLANK($C10),"",IF($BL10&lt;&gt;Constants!$B$4,"",IF($BB10="-&gt;",2,1)))</f>
        <v/>
      </c>
      <c r="CE10" s="95" t="str">
        <f aca="false">IF(ISBLANK($C10),"",IF($BL10&lt;&gt;Constants!$B$4,"",IF($BB10="-&gt;",$BE10,$AU10)))</f>
        <v/>
      </c>
      <c r="CF10" s="95" t="str">
        <f aca="false">IF(ISBLANK($C10),"",IF($BL10&lt;&gt;Constants!$B$4,"",IF($BB10="-&gt;",$BF10,$AV10)))</f>
        <v/>
      </c>
      <c r="CG10" s="95" t="str">
        <f aca="false">IF(ISBLANK($C10),"",IF($BL10&lt;&gt;Constants!$B$4,"",IF($BB10="-&gt;",$BG10,$AW10)))</f>
        <v/>
      </c>
      <c r="CH10" s="95" t="str">
        <f aca="false">IF(ISBLANK($C10),"",IF($BL10&lt;&gt;Constants!$B$4,"",IF($BB10="-&gt;",$BH10,$AX10)))</f>
        <v/>
      </c>
      <c r="CI10" s="96" t="str">
        <f aca="false">IF(ISBLANK($C10),"",$BO10)</f>
        <v/>
      </c>
      <c r="CJ10" s="97" t="str">
        <f aca="false">IF(ISBLANK($C10),"",$BM10)</f>
        <v/>
      </c>
      <c r="CK10" s="98" t="str">
        <f aca="false">IF(ISBLANK($C10),"",$CA10)</f>
        <v/>
      </c>
      <c r="CL10" s="98" t="str">
        <f aca="false">IF(ISBLANK($C10),"",$BZ10)</f>
        <v/>
      </c>
      <c r="CM10" s="99" t="str">
        <f aca="false">IF(ISBLANK($C10),"",IF($CL10=Constants!$B$7,COUNTA($C$9:$C$508)+2,IF($CL10=Constants!$B$6,COUNTA($C$9:$C$508)+1,IF($CL10=Constants!$B$5,COUNTA($C$9:$C$508),$CL10))))</f>
        <v/>
      </c>
      <c r="CN10" s="8"/>
      <c r="CO10" s="100" t="n">
        <f aca="false">IF(OR(ISNUMBER($CL10),$CL10=Constants!$B$7,$CL10=Constants!$B$5,$CL10=Constants!$B$6),1,0)</f>
        <v>0</v>
      </c>
      <c r="CP10" s="100" t="n">
        <v>2</v>
      </c>
      <c r="CQ10" s="100" t="str">
        <f aca="false">IF(ISBLANK($C10),"",IF(ISNUMBER($CM10),$CM10+ROW($B10)/1000,""))</f>
        <v/>
      </c>
      <c r="CR10" s="100" t="str">
        <f aca="false">IF(ISNUMBER($CQ10),RANK($CQ10,$CQ$9:$CQ$508,1),"")</f>
        <v/>
      </c>
      <c r="CS10" s="100" t="str">
        <f aca="false">IF(ISBLANK($C10),"",$B10)</f>
        <v/>
      </c>
      <c r="CT10" s="100" t="str">
        <f aca="false">IF(ISBLANK($C10),"",$C10)</f>
        <v/>
      </c>
      <c r="CU10" s="100" t="str">
        <f aca="false">IF(ISBLANK($C10),"",$D10)</f>
        <v/>
      </c>
      <c r="CV10" s="101" t="str">
        <f aca="false">$CJ10</f>
        <v/>
      </c>
      <c r="CW10" s="102" t="str">
        <f aca="false">$CI10</f>
        <v/>
      </c>
      <c r="CX10" s="100" t="str">
        <f aca="false">IF(ISBLANK($C10),"",$CL10)</f>
        <v/>
      </c>
      <c r="CY10" s="103" t="str">
        <f aca="false">IF($CP10&gt;$CO$8,"",VLOOKUP($CP10,$CR$9:$CX$508,7,FALSE()))</f>
        <v/>
      </c>
      <c r="CZ10" s="104" t="str">
        <f aca="false">IF($CP10&gt;$CO$8,"",VLOOKUP($CP10,$CR$9:$CX$508,2,FALSE()))</f>
        <v/>
      </c>
      <c r="DA10" s="104" t="str">
        <f aca="false">IF($CP10&gt;$CO$8,"",VLOOKUP($CP10,$CR$9:$CX$508,3,FALSE()))</f>
        <v/>
      </c>
      <c r="DB10" s="104" t="str">
        <f aca="false">IF($CP10&gt;$CO$8,"",VLOOKUP($CP10,$CR$9:$CX$508,4,FALSE()))</f>
        <v/>
      </c>
      <c r="DC10" s="104" t="str">
        <f aca="false">IF($CP10&gt;$CO$8,"",VLOOKUP($CP10,$CR$9:$CX$508,5,FALSE()))</f>
        <v/>
      </c>
      <c r="DD10" s="105" t="str">
        <f aca="false">IF($CP10&gt;$CO$8,"",VLOOKUP($CP10,$CR$9:$CX$508,6,FALSE()))</f>
        <v/>
      </c>
      <c r="DE10" s="70"/>
    </row>
    <row r="11" customFormat="false" ht="15.75" hidden="false" customHeight="false" outlineLevel="0" collapsed="false">
      <c r="A11" s="8"/>
      <c r="B11" s="106"/>
      <c r="C11" s="107"/>
      <c r="D11" s="74"/>
      <c r="E11" s="75"/>
      <c r="F11" s="108"/>
      <c r="G11" s="77"/>
      <c r="H11" s="77"/>
      <c r="I11" s="77"/>
      <c r="J11" s="78"/>
      <c r="K11" s="79"/>
      <c r="L11" s="79"/>
      <c r="M11" s="80"/>
      <c r="N11" s="79"/>
      <c r="O11" s="81"/>
      <c r="P11" s="79"/>
      <c r="Q11" s="79"/>
      <c r="R11" s="79"/>
      <c r="S11" s="82"/>
      <c r="T11" s="79"/>
      <c r="U11" s="81"/>
      <c r="V11" s="109"/>
      <c r="W11" s="85"/>
      <c r="X11" s="86" t="str">
        <f aca="false">IF(ISBLANK($C11),"",IF($E11=Constants!$B$2,TRUE(),IF($E11=Constants!$B$3,FALSE(),TRUE())))</f>
        <v/>
      </c>
      <c r="Y11" s="86" t="str">
        <f aca="false">IF(ISBLANK($C11),"",IF($F11=Constants!$B$2,TRUE(),IF($F11=Constants!$B$3,FALSE(),TRUE())))</f>
        <v/>
      </c>
      <c r="Z11" s="87" t="str">
        <f aca="false">IF(ISBLANK($C11),"",IF(ISNUMBER($G11),IF($G11&gt;=0,$G11,""),""))</f>
        <v/>
      </c>
      <c r="AA11" s="87" t="str">
        <f aca="false">IF(ISBLANK($C11),"",IF(ISNUMBER($H11),IF($H11&gt;=0,$H11,""),""))</f>
        <v/>
      </c>
      <c r="AB11" s="87" t="str">
        <f aca="false">IF(ISBLANK($C11),"",IF(ISNUMBER($I11),IF($I11&gt;=0,$I11,""),""))</f>
        <v/>
      </c>
      <c r="AC11" s="86" t="str">
        <f aca="false">IF(ISBLANK($C11),"",IF($J11=Constants!$B$2,TRUE(),IF($J11=Constants!$B$3,FALSE(),TRUE())))</f>
        <v/>
      </c>
      <c r="AD11" s="86" t="str">
        <f aca="false">IF(ISBLANK($C11),"",IF($K11=Constants!$B$2,TRUE(),IF($K11=Constants!$B$3,FALSE(),TRUE())))</f>
        <v/>
      </c>
      <c r="AE11" s="86" t="str">
        <f aca="false">IF(ISBLANK($C11),"",IF($L11=Constants!$B$2,TRUE(),IF($L11=Constants!$B$3,FALSE(),TRUE())))</f>
        <v/>
      </c>
      <c r="AF11" s="88" t="str">
        <f aca="false">IF(ISBLANK($C11),"",IF(ISNUMBER($M11),IF($M11&gt;=0,$M11,""),""))</f>
        <v/>
      </c>
      <c r="AG11" s="86" t="str">
        <f aca="false">IF(ISBLANK($C11),"",IF(ISBLANK($N11),0,IF(ISNUMBER($N11),IF(AND($N11&gt;=0,$N11&lt;=Constants!$B$17,$N11=INT($N11)),$N11,""),"")))</f>
        <v/>
      </c>
      <c r="AH11" s="87" t="str">
        <f aca="false">IF(ISBLANK($C11),"",IF(ISBLANK($O11),0,IF(ISNUMBER($O11),IF($O11&gt;=0,$O11,""),"")))</f>
        <v/>
      </c>
      <c r="AI11" s="86" t="str">
        <f aca="false">IF(ISBLANK($C11),"",IF($P11=Constants!$B$2,TRUE(),IF($P11=Constants!$B$3,FALSE(),TRUE())))</f>
        <v/>
      </c>
      <c r="AJ11" s="86" t="str">
        <f aca="false">IF(ISBLANK($C11),"",IF($Q11=Constants!$B$2,TRUE(),IF($Q11=Constants!$B$3,FALSE(),TRUE())))</f>
        <v/>
      </c>
      <c r="AK11" s="86" t="str">
        <f aca="false">IF(ISBLANK($C11),"",IF($R11=Constants!$B$2,TRUE(),IF($R11=Constants!$B$3,FALSE(),TRUE())))</f>
        <v/>
      </c>
      <c r="AL11" s="88" t="str">
        <f aca="false">IF(ISBLANK($C11),"",IF(ISNUMBER($S11),IF($S11&gt;=0,$S11,""),""))</f>
        <v/>
      </c>
      <c r="AM11" s="86" t="str">
        <f aca="false">IF(ISBLANK($C11),"",IF(ISBLANK($T11),0,IF(ISNUMBER($T11),IF(AND($T11&gt;=0,$T11&lt;=Constants!$B$17,$T11=INT($T11)),$T11,""),"")))</f>
        <v/>
      </c>
      <c r="AN11" s="87" t="str">
        <f aca="false">IF(ISBLANK($C11),"",IF(ISBLANK($U11),0,IF(ISNUMBER($U11),IF($U11&gt;=0,$U11,""),"")))</f>
        <v/>
      </c>
      <c r="AO11" s="86" t="str">
        <f aca="false">IF(ISBLANK($C11),"",IF($V11=Constants!$B$2,TRUE(),IF($V11=Constants!$B$3,FALSE(),FALSE())))</f>
        <v/>
      </c>
      <c r="AP11" s="86"/>
      <c r="AQ11" s="85" t="str">
        <f aca="false">IF(ISBLANK($C11),"",AND($Y11,OR($AS11,$BC11),OR($Z11="",$AA11="",$AB11="")))</f>
        <v/>
      </c>
      <c r="AR11" s="85" t="str">
        <f aca="false">IF(ISBLANK($C11),"",IF(OR(NOT($Y11),NOT(OR($AS11,$BC11))),"",IF(ISBLANK($D$7),$AR$5,IF($AP$9="",$AR$6,""))))</f>
        <v/>
      </c>
      <c r="AS11" s="85" t="str">
        <f aca="false">IF(ISBLANK($C11),"",COUNTA($J11:$O11)&gt;0)</f>
        <v/>
      </c>
      <c r="AT11" s="85" t="str">
        <f aca="false">IF(ISBLANK($C11),"",AND($AS11,OR(AND($AF11="",OR($AE11,NOT(ISBLANK($M11)))),$AG11="",$AH11="")))</f>
        <v/>
      </c>
      <c r="AU11" s="87" t="str">
        <f aca="false">IF($BL11&lt;&gt;Constants!$B$4,"",IF(NOT($AS11),"",ROUND((Constants!$B$12-$AB11)+(Constants!$B$13-$Z11)+(Constants!$B$14-$AA11),1)))</f>
        <v/>
      </c>
      <c r="AV11" s="90" t="str">
        <f aca="false">IF($BL11&lt;&gt;Constants!$B$4,"",IF(NOT($AS11),"",IF(NOT($AE11),0,Constants!$B$15*(INT(ROUND(MIN($AF11,$AP$9),6))-INT(ROUND(MAX(0,MIN($AF11,2*$AP$9)-$AP$9),6))))))</f>
        <v/>
      </c>
      <c r="AW11" s="90" t="str">
        <f aca="false">IF($BL11&lt;&gt;Constants!$B$4,"",IF(NOT($AS11),"",Constants!$B$16*$AG11))</f>
        <v/>
      </c>
      <c r="AX11" s="90" t="str">
        <f aca="false">IF($BL11&lt;&gt;Constants!$B$4,"",IF(NOT($AS11),"",Constants!$B$18*INT(ROUND($AH11,6))))</f>
        <v/>
      </c>
      <c r="AY11" s="85" t="str">
        <f aca="false">IF($BL11&lt;&gt;Constants!$B$4,"",IF(NOT($AS11),"",IF(NOT($X11),Constants!$B$11,IF(OR(NOT($AC11),NOT($AD11),ROUND($AB11,1)&gt;Constants!$B$12,ROUND($Z11,1)&gt;Constants!$B$13,ROUND($AA11,1)&gt;Constants!$B$14),Constants!$B$10,Constants!$B$9))))</f>
        <v/>
      </c>
      <c r="AZ11" s="91" t="str">
        <f aca="false">IF($BL11&lt;&gt;Constants!$B$4,"",IF(NOT($AS11),"",ROUND($AU11+$AV11+$AW11+$AX11,1)))</f>
        <v/>
      </c>
      <c r="BA11" s="92" t="str">
        <f aca="false">IF($BL11&lt;&gt;Constants!$B$4,"",IF(NOT($AS11),"",IF(ISNUMBER($AF11),$AF11,0)))</f>
        <v/>
      </c>
      <c r="BB11" s="86" t="str">
        <f aca="false">IF($BL11&lt;&gt;Constants!$B$4,"",IF(NOT($BC11),"&lt;-",IF(NOT($AS11),"-&gt;",IF(OR($BI11&lt;$AY11,AND($BI11=$AY11,OR($BJ11&gt;$AZ11,AND($BJ11=$AZ11,OR($BH11&gt;$AX11,AND($BH11=$AX11,OR($BE11&gt;$AU11,AND($BE11=$AU11,OR($BF11&gt;$AV11,AND($BF11=$AV11,$BK11&gt;$BA11)))))))))),"-&gt;","&lt;-"))))</f>
        <v/>
      </c>
      <c r="BC11" s="85" t="str">
        <f aca="false">IF(ISBLANK($C11),"",COUNTA($P11:$U11)&gt;0)</f>
        <v/>
      </c>
      <c r="BD11" s="85" t="str">
        <f aca="false">IF(ISBLANK($C11),"",AND($BC11,OR(AND($AL11="",OR($AK11,NOT(ISBLANK($S11)))),$AM11="",$AN11="")))</f>
        <v/>
      </c>
      <c r="BE11" s="87" t="str">
        <f aca="false">IF($BL11&lt;&gt;Constants!$B$4,"",IF(NOT($BC11),"",ROUND((Constants!$B$12-$AB11)+(Constants!$B$13-$Z11)+(Constants!$B$14-$AA11),1)))</f>
        <v/>
      </c>
      <c r="BF11" s="90" t="str">
        <f aca="false">IF($BL11&lt;&gt;Constants!$B$4,"",IF(NOT($BC11),"",IF(NOT($AK11),0,Constants!$B$15*(INT(ROUND(MIN($AL11,$AP$9),6))-INT(ROUND(MAX(0,MIN($AL11,2*$AP$9)-$AP$9),6))))))</f>
        <v/>
      </c>
      <c r="BG11" s="90" t="str">
        <f aca="false">IF($BL11&lt;&gt;Constants!$B$4,"",IF(NOT($BC11),"",Constants!$B$16*$AM11))</f>
        <v/>
      </c>
      <c r="BH11" s="90" t="str">
        <f aca="false">IF($BL11&lt;&gt;Constants!$B$4,"",IF(NOT($BC11),"",Constants!$B$18*INT(ROUND($AN11,6))))</f>
        <v/>
      </c>
      <c r="BI11" s="85" t="str">
        <f aca="false">IF($BL11&lt;&gt;Constants!$B$4,"",IF(NOT($BC11),"",IF(NOT($X11),Constants!$B$11,IF(OR(NOT($AI11),NOT($AJ11),ROUND($AB11,1)&gt;Constants!$B$12,ROUND($Z11,1)&gt;Constants!$B$13,ROUND($AA11,1)&gt;Constants!$B$14),Constants!$B$10,Constants!$B$9))))</f>
        <v/>
      </c>
      <c r="BJ11" s="91" t="str">
        <f aca="false">IF($BL11&lt;&gt;Constants!$B$4,"",IF(NOT($BC11),"",ROUND($BE11+$BF11+$BG11+$BH11,1)))</f>
        <v/>
      </c>
      <c r="BK11" s="92" t="str">
        <f aca="false">IF($BL11&lt;&gt;Constants!$B$4,"",IF(NOT($BC11),"",IF(ISNUMBER($AL11),$AL11,0)))</f>
        <v/>
      </c>
      <c r="BL11" s="86" t="str">
        <f aca="false">IF(ISBLANK($C11),"",IF($AO11,Constants!$B$7,IF(COUNTA($E11:$V11)=0,Constants!$B$6,IF(NOT($Y11),Constants!$B$5,IF(NOT(OR($AS11,$BC11)),Constants!$B$5,IF(OR($AT11,$BD11,$AQ11,$AR11&lt;&gt;""),Constants!$B$8,Constants!$B$4))))))</f>
        <v/>
      </c>
      <c r="BM11" s="86" t="str">
        <f aca="false">IF(ISBLANK($C11),"",IF($BL11&lt;&gt;Constants!$B$4,$BL11,IF($BB11="-&gt;",$BI11,$AY11)))</f>
        <v/>
      </c>
      <c r="BN11" s="90" t="str">
        <f aca="false">IF($BL11&lt;&gt;Constants!$B$4,"",IF($BB11="-&gt;",$BJ11,$AZ11))</f>
        <v/>
      </c>
      <c r="BO11" s="90" t="str">
        <f aca="false">IF(ISBLANK($C11),"",IF($BL11&lt;&gt;Constants!$B$4,$BL11,$BN11))</f>
        <v/>
      </c>
      <c r="BP11" s="86" t="str">
        <f aca="false">IF(ISBLANK($C11),"",IF($BL11&lt;&gt;Constants!$B$4,$BL11,RANK($BO11,$BO$9:$BO$508,0)))</f>
        <v/>
      </c>
      <c r="BQ11" s="86" t="str">
        <f aca="false">IF(ISBLANK($C11),"",IF($BL11&lt;&gt;Constants!$B$4,$BL11,COUNTIFS($BM$9:$BM$508,"&lt;"&amp;$BM11)+COUNTIFS($BM$9:$BM$508,$BM11,$BP$9:$BP$508,"&lt;"&amp;$BP11)+1))</f>
        <v/>
      </c>
      <c r="BR11" s="90" t="str">
        <f aca="false">IF($BL11&lt;&gt;Constants!$B$4,"",IF($BB11="-&gt;",$BH11,$AX11))</f>
        <v/>
      </c>
      <c r="BS11" s="86" t="str">
        <f aca="false">IF(ISBLANK($C11),"",IF($BL11&lt;&gt;Constants!$B$4,$BL11,IF(ISNUMBER($BR11),RANK($BR11,$BR$9:$BR$508,0),COUNT($BR$9:$BR$508)+1)))</f>
        <v/>
      </c>
      <c r="BT11" s="90" t="str">
        <f aca="false">IF($BL11&lt;&gt;Constants!$B$4,"",IF($BB11="-&gt;",$BE11,$AU11))</f>
        <v/>
      </c>
      <c r="BU11" s="86" t="str">
        <f aca="false">IF(ISBLANK($C11),"",IF($BL11&lt;&gt;Constants!$B$4,$BL11,IF(ISNUMBER($BT11),RANK($BT11,$BT$9:$BT$508,0),COUNT($BT$9:$BT$508)+1)))</f>
        <v/>
      </c>
      <c r="BV11" s="90" t="str">
        <f aca="false">IF($BL11&lt;&gt;Constants!$B$4,"",IF($BB11="-&gt;",$BF11,$AV11))</f>
        <v/>
      </c>
      <c r="BW11" s="86" t="str">
        <f aca="false">IF(ISBLANK($C11),"",IF($BL11&lt;&gt;Constants!$B$4,$BL11,IF(ISNUMBER($BV11),RANK($BV11,$BV$9:$BV$508,0),COUNT($BV$9:$BV$508)+1)))</f>
        <v/>
      </c>
      <c r="BX11" s="90" t="str">
        <f aca="false">IF($BL11&lt;&gt;Constants!$B$4,"",IF($BB11="-&gt;",$BK11,$BA11))</f>
        <v/>
      </c>
      <c r="BY11" s="86" t="str">
        <f aca="false">IF(ISBLANK($C11),"",IF($BL11&lt;&gt;Constants!$B$4,$BL11,IF(ISNUMBER($BX11),RANK($BX11,$BX$9:$BX$508,0),COUNT($BX$9:$BX$508)+1)))</f>
        <v/>
      </c>
      <c r="BZ11" s="86" t="str">
        <f aca="false">IF(ISBLANK($C11),"",IF($BL11&lt;&gt;Constants!$B$4,$BL11,COUNTIFS($BM$9:$BM$508,"&lt;"&amp;$BM11)+COUNTIFS($BM$9:$BM$508,$BM11,$BP$9:$BP$508,"&lt;"&amp;$BP11)+COUNTIFS($BM$9:$BM$508,$BM11,$BP$9:$BP$508,$BP11,$BS$9:$BS$508,"&lt;"&amp;$BS11)+COUNTIFS($BM$9:$BM$508,$BM11,$BP$9:$BP$508,$BP11,$BS$9:$BS$508,$BS11,$BU$9:$BU$508,"&lt;"&amp;$BU11)+COUNTIFS($BM$9:$BM$508,$BM11,$BP$9:$BP$508,$BP11,$BS$9:$BS$508,$BS11,$BU$9:$BU$508,$BU11,$BW$9:$BW$508,"&lt;"&amp;$BW11)+COUNTIFS($BM$9:$BM$508,$BM11,$BP$9:$BP$508,$BP11,$BS$9:$BS$508,$BS11,$BU$9:$BU$508,$BU11,$BW$9:$BW$508,$BW11,$BY$9:$BY$508,"&lt;"&amp;$BY11)+1))</f>
        <v/>
      </c>
      <c r="CA11" s="86" t="str">
        <f aca="false">IF(ISBLANK($C11),"",IF($BL11&lt;&gt;Constants!$B$4,$BL11,$BQ11-$BZ11))</f>
        <v/>
      </c>
      <c r="CB11" s="93"/>
      <c r="CC11" s="94" t="str">
        <f aca="false">IF(ISBLANK($C11),"",IF($BL11=Constants!$B$8,$AR11,""))</f>
        <v/>
      </c>
      <c r="CD11" s="94" t="str">
        <f aca="false">IF(ISBLANK($C11),"",IF($BL11&lt;&gt;Constants!$B$4,"",IF($BB11="-&gt;",2,1)))</f>
        <v/>
      </c>
      <c r="CE11" s="95" t="str">
        <f aca="false">IF(ISBLANK($C11),"",IF($BL11&lt;&gt;Constants!$B$4,"",IF($BB11="-&gt;",$BE11,$AU11)))</f>
        <v/>
      </c>
      <c r="CF11" s="95" t="str">
        <f aca="false">IF(ISBLANK($C11),"",IF($BL11&lt;&gt;Constants!$B$4,"",IF($BB11="-&gt;",$BF11,$AV11)))</f>
        <v/>
      </c>
      <c r="CG11" s="95" t="str">
        <f aca="false">IF(ISBLANK($C11),"",IF($BL11&lt;&gt;Constants!$B$4,"",IF($BB11="-&gt;",$BG11,$AW11)))</f>
        <v/>
      </c>
      <c r="CH11" s="95" t="str">
        <f aca="false">IF(ISBLANK($C11),"",IF($BL11&lt;&gt;Constants!$B$4,"",IF($BB11="-&gt;",$BH11,$AX11)))</f>
        <v/>
      </c>
      <c r="CI11" s="96" t="str">
        <f aca="false">IF(ISBLANK($C11),"",$BO11)</f>
        <v/>
      </c>
      <c r="CJ11" s="97" t="str">
        <f aca="false">IF(ISBLANK($C11),"",$BM11)</f>
        <v/>
      </c>
      <c r="CK11" s="98" t="str">
        <f aca="false">IF(ISBLANK($C11),"",$CA11)</f>
        <v/>
      </c>
      <c r="CL11" s="98" t="str">
        <f aca="false">IF(ISBLANK($C11),"",$BZ11)</f>
        <v/>
      </c>
      <c r="CM11" s="99" t="str">
        <f aca="false">IF(ISBLANK($C11),"",IF($CL11=Constants!$B$7,COUNTA($C$9:$C$508)+2,IF($CL11=Constants!$B$6,COUNTA($C$9:$C$508)+1,IF($CL11=Constants!$B$5,COUNTA($C$9:$C$508),$CL11))))</f>
        <v/>
      </c>
      <c r="CN11" s="8"/>
      <c r="CO11" s="100" t="n">
        <f aca="false">IF(OR(ISNUMBER($CL11),$CL11=Constants!$B$7,$CL11=Constants!$B$5,$CL11=Constants!$B$6),1,0)</f>
        <v>0</v>
      </c>
      <c r="CP11" s="100" t="n">
        <v>3</v>
      </c>
      <c r="CQ11" s="100" t="str">
        <f aca="false">IF(ISBLANK($C11),"",IF(ISNUMBER($CM11),$CM11+ROW($B11)/1000,""))</f>
        <v/>
      </c>
      <c r="CR11" s="100" t="str">
        <f aca="false">IF(ISNUMBER($CQ11),RANK($CQ11,$CQ$9:$CQ$508,1),"")</f>
        <v/>
      </c>
      <c r="CS11" s="100" t="str">
        <f aca="false">IF(ISBLANK($C11),"",$B11)</f>
        <v/>
      </c>
      <c r="CT11" s="100" t="str">
        <f aca="false">IF(ISBLANK($C11),"",$C11)</f>
        <v/>
      </c>
      <c r="CU11" s="100" t="str">
        <f aca="false">IF(ISBLANK($C11),"",$D11)</f>
        <v/>
      </c>
      <c r="CV11" s="101" t="str">
        <f aca="false">$CJ11</f>
        <v/>
      </c>
      <c r="CW11" s="102" t="str">
        <f aca="false">$CI11</f>
        <v/>
      </c>
      <c r="CX11" s="100" t="str">
        <f aca="false">IF(ISBLANK($C11),"",$CL11)</f>
        <v/>
      </c>
      <c r="CY11" s="103" t="str">
        <f aca="false">IF($CP11&gt;$CO$8,"",VLOOKUP($CP11,$CR$9:$CX$508,7,FALSE()))</f>
        <v/>
      </c>
      <c r="CZ11" s="104" t="str">
        <f aca="false">IF($CP11&gt;$CO$8,"",VLOOKUP($CP11,$CR$9:$CX$508,2,FALSE()))</f>
        <v/>
      </c>
      <c r="DA11" s="104" t="str">
        <f aca="false">IF($CP11&gt;$CO$8,"",VLOOKUP($CP11,$CR$9:$CX$508,3,FALSE()))</f>
        <v/>
      </c>
      <c r="DB11" s="104" t="str">
        <f aca="false">IF($CP11&gt;$CO$8,"",VLOOKUP($CP11,$CR$9:$CX$508,4,FALSE()))</f>
        <v/>
      </c>
      <c r="DC11" s="104" t="str">
        <f aca="false">IF($CP11&gt;$CO$8,"",VLOOKUP($CP11,$CR$9:$CX$508,5,FALSE()))</f>
        <v/>
      </c>
      <c r="DD11" s="105" t="str">
        <f aca="false">IF($CP11&gt;$CO$8,"",VLOOKUP($CP11,$CR$9:$CX$508,6,FALSE()))</f>
        <v/>
      </c>
      <c r="DE11" s="70"/>
    </row>
    <row r="12" customFormat="false" ht="15.75" hidden="false" customHeight="false" outlineLevel="0" collapsed="false">
      <c r="A12" s="8"/>
      <c r="B12" s="110"/>
      <c r="C12" s="111"/>
      <c r="D12" s="112"/>
      <c r="E12" s="113"/>
      <c r="F12" s="114"/>
      <c r="G12" s="115"/>
      <c r="H12" s="115"/>
      <c r="I12" s="115"/>
      <c r="J12" s="116"/>
      <c r="K12" s="117"/>
      <c r="L12" s="117"/>
      <c r="M12" s="118"/>
      <c r="N12" s="117"/>
      <c r="O12" s="119"/>
      <c r="P12" s="117"/>
      <c r="Q12" s="117"/>
      <c r="R12" s="117"/>
      <c r="S12" s="120"/>
      <c r="T12" s="117"/>
      <c r="U12" s="121"/>
      <c r="V12" s="122"/>
      <c r="W12" s="123"/>
      <c r="X12" s="124" t="str">
        <f aca="false">IF(ISBLANK($C12),"",IF($E12=Constants!$B$2,TRUE(),IF($E12=Constants!$B$3,FALSE(),TRUE())))</f>
        <v/>
      </c>
      <c r="Y12" s="124" t="str">
        <f aca="false">IF(ISBLANK($C12),"",IF($F12=Constants!$B$2,TRUE(),IF($F12=Constants!$B$3,FALSE(),TRUE())))</f>
        <v/>
      </c>
      <c r="Z12" s="125" t="str">
        <f aca="false">IF(ISBLANK($C12),"",IF(ISNUMBER($G12),IF($G12&gt;=0,$G12,""),""))</f>
        <v/>
      </c>
      <c r="AA12" s="125" t="str">
        <f aca="false">IF(ISBLANK($C12),"",IF(ISNUMBER($H12),IF($H12&gt;=0,$H12,""),""))</f>
        <v/>
      </c>
      <c r="AB12" s="125" t="str">
        <f aca="false">IF(ISBLANK($C12),"",IF(ISNUMBER($I12),IF($I12&gt;=0,$I12,""),""))</f>
        <v/>
      </c>
      <c r="AC12" s="124" t="str">
        <f aca="false">IF(ISBLANK($C12),"",IF($J12=Constants!$B$2,TRUE(),IF($J12=Constants!$B$3,FALSE(),TRUE())))</f>
        <v/>
      </c>
      <c r="AD12" s="124" t="str">
        <f aca="false">IF(ISBLANK($C12),"",IF($K12=Constants!$B$2,TRUE(),IF($K12=Constants!$B$3,FALSE(),TRUE())))</f>
        <v/>
      </c>
      <c r="AE12" s="124" t="str">
        <f aca="false">IF(ISBLANK($C12),"",IF($L12=Constants!$B$2,TRUE(),IF($L12=Constants!$B$3,FALSE(),TRUE())))</f>
        <v/>
      </c>
      <c r="AF12" s="126" t="str">
        <f aca="false">IF(ISBLANK($C12),"",IF(ISNUMBER($M12),IF($M12&gt;=0,$M12,""),""))</f>
        <v/>
      </c>
      <c r="AG12" s="124" t="str">
        <f aca="false">IF(ISBLANK($C12),"",IF(ISBLANK($N12),0,IF(ISNUMBER($N12),IF(AND($N12&gt;=0,$N12&lt;=Constants!$B$17,$N12=INT($N12)),$N12,""),"")))</f>
        <v/>
      </c>
      <c r="AH12" s="125" t="str">
        <f aca="false">IF(ISBLANK($C12),"",IF(ISBLANK($O12),0,IF(ISNUMBER($O12),IF($O12&gt;=0,$O12,""),"")))</f>
        <v/>
      </c>
      <c r="AI12" s="124" t="str">
        <f aca="false">IF(ISBLANK($C12),"",IF($P12=Constants!$B$2,TRUE(),IF($P12=Constants!$B$3,FALSE(),TRUE())))</f>
        <v/>
      </c>
      <c r="AJ12" s="124" t="str">
        <f aca="false">IF(ISBLANK($C12),"",IF($Q12=Constants!$B$2,TRUE(),IF($Q12=Constants!$B$3,FALSE(),TRUE())))</f>
        <v/>
      </c>
      <c r="AK12" s="124" t="str">
        <f aca="false">IF(ISBLANK($C12),"",IF($R12=Constants!$B$2,TRUE(),IF($R12=Constants!$B$3,FALSE(),TRUE())))</f>
        <v/>
      </c>
      <c r="AL12" s="126" t="str">
        <f aca="false">IF(ISBLANK($C12),"",IF(ISNUMBER($S12),IF($S12&gt;=0,$S12,""),""))</f>
        <v/>
      </c>
      <c r="AM12" s="124" t="str">
        <f aca="false">IF(ISBLANK($C12),"",IF(ISBLANK($T12),0,IF(ISNUMBER($T12),IF(AND($T12&gt;=0,$T12&lt;=Constants!$B$17,$T12=INT($T12)),$T12,""),"")))</f>
        <v/>
      </c>
      <c r="AN12" s="125" t="str">
        <f aca="false">IF(ISBLANK($C12),"",IF(ISBLANK($U12),0,IF(ISNUMBER($U12),IF($U12&gt;=0,$U12,""),"")))</f>
        <v/>
      </c>
      <c r="AO12" s="124" t="str">
        <f aca="false">IF(ISBLANK($C12),"",IF($V12=Constants!$B$2,TRUE(),IF($V12=Constants!$B$3,FALSE(),FALSE())))</f>
        <v/>
      </c>
      <c r="AP12" s="124"/>
      <c r="AQ12" s="123" t="str">
        <f aca="false">IF(ISBLANK($C12),"",AND($Y12,OR($AS12,$BC12),OR($Z12="",$AA12="",$AB12="")))</f>
        <v/>
      </c>
      <c r="AR12" s="123" t="str">
        <f aca="false">IF(ISBLANK($C12),"",IF(OR(NOT($Y12),NOT(OR($AS12,$BC12))),"",IF(ISBLANK($D$7),$AR$5,IF($AP$9="",$AR$6,""))))</f>
        <v/>
      </c>
      <c r="AS12" s="123" t="str">
        <f aca="false">IF(ISBLANK($C12),"",COUNTA($J12:$O12)&gt;0)</f>
        <v/>
      </c>
      <c r="AT12" s="123" t="str">
        <f aca="false">IF(ISBLANK($C12),"",AND($AS12,OR(AND($AF12="",OR($AE12,NOT(ISBLANK($M12)))),$AG12="",$AH12="")))</f>
        <v/>
      </c>
      <c r="AU12" s="125" t="str">
        <f aca="false">IF($BL12&lt;&gt;Constants!$B$4,"",IF(NOT($AS12),"",ROUND((Constants!$B$12-$AB12)+(Constants!$B$13-$Z12)+(Constants!$B$14-$AA12),1)))</f>
        <v/>
      </c>
      <c r="AV12" s="127" t="str">
        <f aca="false">IF($BL12&lt;&gt;Constants!$B$4,"",IF(NOT($AS12),"",IF(NOT($AE12),0,Constants!$B$15*(INT(ROUND(MIN($AF12,$AP$9),6))-INT(ROUND(MAX(0,MIN($AF12,2*$AP$9)-$AP$9),6))))))</f>
        <v/>
      </c>
      <c r="AW12" s="127" t="str">
        <f aca="false">IF($BL12&lt;&gt;Constants!$B$4,"",IF(NOT($AS12),"",Constants!$B$16*$AG12))</f>
        <v/>
      </c>
      <c r="AX12" s="127" t="str">
        <f aca="false">IF($BL12&lt;&gt;Constants!$B$4,"",IF(NOT($AS12),"",Constants!$B$18*INT(ROUND($AH12,6))))</f>
        <v/>
      </c>
      <c r="AY12" s="123" t="str">
        <f aca="false">IF($BL12&lt;&gt;Constants!$B$4,"",IF(NOT($AS12),"",IF(NOT($X12),Constants!$B$11,IF(OR(NOT($AC12),NOT($AD12),ROUND($AB12,1)&gt;Constants!$B$12,ROUND($Z12,1)&gt;Constants!$B$13,ROUND($AA12,1)&gt;Constants!$B$14),Constants!$B$10,Constants!$B$9))))</f>
        <v/>
      </c>
      <c r="AZ12" s="128" t="str">
        <f aca="false">IF($BL12&lt;&gt;Constants!$B$4,"",IF(NOT($AS12),"",ROUND($AU12+$AV12+$AW12+$AX12,1)))</f>
        <v/>
      </c>
      <c r="BA12" s="129" t="str">
        <f aca="false">IF($BL12&lt;&gt;Constants!$B$4,"",IF(NOT($AS12),"",IF(ISNUMBER($AF12),$AF12,0)))</f>
        <v/>
      </c>
      <c r="BB12" s="124" t="str">
        <f aca="false">IF($BL12&lt;&gt;Constants!$B$4,"",IF(NOT($BC12),"&lt;-",IF(NOT($AS12),"-&gt;",IF(OR($BI12&lt;$AY12,AND($BI12=$AY12,OR($BJ12&gt;$AZ12,AND($BJ12=$AZ12,OR($BH12&gt;$AX12,AND($BH12=$AX12,OR($BE12&gt;$AU12,AND($BE12=$AU12,OR($BF12&gt;$AV12,AND($BF12=$AV12,$BK12&gt;$BA12)))))))))),"-&gt;","&lt;-"))))</f>
        <v/>
      </c>
      <c r="BC12" s="123" t="str">
        <f aca="false">IF(ISBLANK($C12),"",COUNTA($P12:$U12)&gt;0)</f>
        <v/>
      </c>
      <c r="BD12" s="123" t="str">
        <f aca="false">IF(ISBLANK($C12),"",AND($BC12,OR(AND($AL12="",OR($AK12,NOT(ISBLANK($S12)))),$AM12="",$AN12="")))</f>
        <v/>
      </c>
      <c r="BE12" s="125" t="str">
        <f aca="false">IF($BL12&lt;&gt;Constants!$B$4,"",IF(NOT($BC12),"",ROUND((Constants!$B$12-$AB12)+(Constants!$B$13-$Z12)+(Constants!$B$14-$AA12),1)))</f>
        <v/>
      </c>
      <c r="BF12" s="127" t="str">
        <f aca="false">IF($BL12&lt;&gt;Constants!$B$4,"",IF(NOT($BC12),"",IF(NOT($AK12),0,Constants!$B$15*(INT(ROUND(MIN($AL12,$AP$9),6))-INT(ROUND(MAX(0,MIN($AL12,2*$AP$9)-$AP$9),6))))))</f>
        <v/>
      </c>
      <c r="BG12" s="127" t="str">
        <f aca="false">IF($BL12&lt;&gt;Constants!$B$4,"",IF(NOT($BC12),"",Constants!$B$16*$AM12))</f>
        <v/>
      </c>
      <c r="BH12" s="127" t="str">
        <f aca="false">IF($BL12&lt;&gt;Constants!$B$4,"",IF(NOT($BC12),"",Constants!$B$18*INT(ROUND($AN12,6))))</f>
        <v/>
      </c>
      <c r="BI12" s="123" t="str">
        <f aca="false">IF($BL12&lt;&gt;Constants!$B$4,"",IF(NOT($BC12),"",IF(NOT($X12),Constants!$B$11,IF(OR(NOT($AI12),NOT($AJ12),ROUND($AB12,1)&gt;Constants!$B$12,ROUND($Z12,1)&gt;Constants!$B$13,ROUND($AA12,1)&gt;Constants!$B$14),Constants!$B$10,Constants!$B$9))))</f>
        <v/>
      </c>
      <c r="BJ12" s="128" t="str">
        <f aca="false">IF($BL12&lt;&gt;Constants!$B$4,"",IF(NOT($BC12),"",ROUND($BE12+$BF12+$BG12+$BH12,1)))</f>
        <v/>
      </c>
      <c r="BK12" s="129" t="str">
        <f aca="false">IF($BL12&lt;&gt;Constants!$B$4,"",IF(NOT($BC12),"",IF(ISNUMBER($AL12),$AL12,0)))</f>
        <v/>
      </c>
      <c r="BL12" s="124" t="str">
        <f aca="false">IF(ISBLANK($C12),"",IF($AO12,Constants!$B$7,IF(COUNTA($E12:$V12)=0,Constants!$B$6,IF(NOT($Y12),Constants!$B$5,IF(NOT(OR($AS12,$BC12)),Constants!$B$5,IF(OR($AT12,$BD12,$AQ12,$AR12&lt;&gt;""),Constants!$B$8,Constants!$B$4))))))</f>
        <v/>
      </c>
      <c r="BM12" s="124" t="str">
        <f aca="false">IF(ISBLANK($C12),"",IF($BL12&lt;&gt;Constants!$B$4,$BL12,IF($BB12="-&gt;",$BI12,$AY12)))</f>
        <v/>
      </c>
      <c r="BN12" s="127" t="str">
        <f aca="false">IF($BL12&lt;&gt;Constants!$B$4,"",IF($BB12="-&gt;",$BJ12,$AZ12))</f>
        <v/>
      </c>
      <c r="BO12" s="127" t="str">
        <f aca="false">IF(ISBLANK($C12),"",IF($BL12&lt;&gt;Constants!$B$4,$BL12,$BN12))</f>
        <v/>
      </c>
      <c r="BP12" s="124" t="str">
        <f aca="false">IF(ISBLANK($C12),"",IF($BL12&lt;&gt;Constants!$B$4,$BL12,RANK($BO12,$BO$9:$BO$508,0)))</f>
        <v/>
      </c>
      <c r="BQ12" s="124" t="str">
        <f aca="false">IF(ISBLANK($C12),"",IF($BL12&lt;&gt;Constants!$B$4,$BL12,COUNTIFS($BM$9:$BM$508,"&lt;"&amp;$BM12)+COUNTIFS($BM$9:$BM$508,$BM12,$BP$9:$BP$508,"&lt;"&amp;$BP12)+1))</f>
        <v/>
      </c>
      <c r="BR12" s="127" t="str">
        <f aca="false">IF($BL12&lt;&gt;Constants!$B$4,"",IF($BB12="-&gt;",$BH12,$AX12))</f>
        <v/>
      </c>
      <c r="BS12" s="124" t="str">
        <f aca="false">IF(ISBLANK($C12),"",IF($BL12&lt;&gt;Constants!$B$4,$BL12,IF(ISNUMBER($BR12),RANK($BR12,$BR$9:$BR$508,0),COUNT($BR$9:$BR$508)+1)))</f>
        <v/>
      </c>
      <c r="BT12" s="127" t="str">
        <f aca="false">IF($BL12&lt;&gt;Constants!$B$4,"",IF($BB12="-&gt;",$BE12,$AU12))</f>
        <v/>
      </c>
      <c r="BU12" s="124" t="str">
        <f aca="false">IF(ISBLANK($C12),"",IF($BL12&lt;&gt;Constants!$B$4,$BL12,IF(ISNUMBER($BT12),RANK($BT12,$BT$9:$BT$508,0),COUNT($BT$9:$BT$508)+1)))</f>
        <v/>
      </c>
      <c r="BV12" s="127" t="str">
        <f aca="false">IF($BL12&lt;&gt;Constants!$B$4,"",IF($BB12="-&gt;",$BF12,$AV12))</f>
        <v/>
      </c>
      <c r="BW12" s="124" t="str">
        <f aca="false">IF(ISBLANK($C12),"",IF($BL12&lt;&gt;Constants!$B$4,$BL12,IF(ISNUMBER($BV12),RANK($BV12,$BV$9:$BV$508,0),COUNT($BV$9:$BV$508)+1)))</f>
        <v/>
      </c>
      <c r="BX12" s="127" t="str">
        <f aca="false">IF($BL12&lt;&gt;Constants!$B$4,"",IF($BB12="-&gt;",$BK12,$BA12))</f>
        <v/>
      </c>
      <c r="BY12" s="124" t="str">
        <f aca="false">IF(ISBLANK($C12),"",IF($BL12&lt;&gt;Constants!$B$4,$BL12,IF(ISNUMBER($BX12),RANK($BX12,$BX$9:$BX$508,0),COUNT($BX$9:$BX$508)+1)))</f>
        <v/>
      </c>
      <c r="BZ12" s="124" t="str">
        <f aca="false">IF(ISBLANK($C12),"",IF($BL12&lt;&gt;Constants!$B$4,$BL12,COUNTIFS($BM$9:$BM$508,"&lt;"&amp;$BM12)+COUNTIFS($BM$9:$BM$508,$BM12,$BP$9:$BP$508,"&lt;"&amp;$BP12)+COUNTIFS($BM$9:$BM$508,$BM12,$BP$9:$BP$508,$BP12,$BS$9:$BS$508,"&lt;"&amp;$BS12)+COUNTIFS($BM$9:$BM$508,$BM12,$BP$9:$BP$508,$BP12,$BS$9:$BS$508,$BS12,$BU$9:$BU$508,"&lt;"&amp;$BU12)+COUNTIFS($BM$9:$BM$508,$BM12,$BP$9:$BP$508,$BP12,$BS$9:$BS$508,$BS12,$BU$9:$BU$508,$BU12,$BW$9:$BW$508,"&lt;"&amp;$BW12)+COUNTIFS($BM$9:$BM$508,$BM12,$BP$9:$BP$508,$BP12,$BS$9:$BS$508,$BS12,$BU$9:$BU$508,$BU12,$BW$9:$BW$508,$BW12,$BY$9:$BY$508,"&lt;"&amp;$BY12)+1))</f>
        <v/>
      </c>
      <c r="CA12" s="124" t="str">
        <f aca="false">IF(ISBLANK($C12),"",IF($BL12&lt;&gt;Constants!$B$4,$BL12,$BQ12-$BZ12))</f>
        <v/>
      </c>
      <c r="CB12" s="130"/>
      <c r="CC12" s="131" t="str">
        <f aca="false">IF(ISBLANK($C12),"",IF($BL12=Constants!$B$8,$AR12,""))</f>
        <v/>
      </c>
      <c r="CD12" s="131" t="str">
        <f aca="false">IF(ISBLANK($C12),"",IF($BL12&lt;&gt;Constants!$B$4,"",IF($BB12="-&gt;",2,1)))</f>
        <v/>
      </c>
      <c r="CE12" s="132" t="str">
        <f aca="false">IF(ISBLANK($C12),"",IF($BL12&lt;&gt;Constants!$B$4,"",IF($BB12="-&gt;",$BE12,$AU12)))</f>
        <v/>
      </c>
      <c r="CF12" s="132" t="str">
        <f aca="false">IF(ISBLANK($C12),"",IF($BL12&lt;&gt;Constants!$B$4,"",IF($BB12="-&gt;",$BF12,$AV12)))</f>
        <v/>
      </c>
      <c r="CG12" s="132" t="str">
        <f aca="false">IF(ISBLANK($C12),"",IF($BL12&lt;&gt;Constants!$B$4,"",IF($BB12="-&gt;",$BG12,$AW12)))</f>
        <v/>
      </c>
      <c r="CH12" s="132" t="str">
        <f aca="false">IF(ISBLANK($C12),"",IF($BL12&lt;&gt;Constants!$B$4,"",IF($BB12="-&gt;",$BH12,$AX12)))</f>
        <v/>
      </c>
      <c r="CI12" s="133" t="str">
        <f aca="false">IF(ISBLANK($C12),"",$BO12)</f>
        <v/>
      </c>
      <c r="CJ12" s="134" t="str">
        <f aca="false">IF(ISBLANK($C12),"",$BM12)</f>
        <v/>
      </c>
      <c r="CK12" s="135" t="str">
        <f aca="false">IF(ISBLANK($C12),"",$CA12)</f>
        <v/>
      </c>
      <c r="CL12" s="135" t="str">
        <f aca="false">IF(ISBLANK($C12),"",$BZ12)</f>
        <v/>
      </c>
      <c r="CM12" s="136" t="str">
        <f aca="false">IF(ISBLANK($C12),"",IF($CL12=Constants!$B$7,COUNTA($C$9:$C$508)+2,IF($CL12=Constants!$B$6,COUNTA($C$9:$C$508)+1,IF($CL12=Constants!$B$5,COUNTA($C$9:$C$508),$CL12))))</f>
        <v/>
      </c>
      <c r="CN12" s="8"/>
      <c r="CO12" s="137" t="n">
        <f aca="false">IF(OR(ISNUMBER($CL12),$CL12=Constants!$B$7,$CL12=Constants!$B$5,$CL12=Constants!$B$6),1,0)</f>
        <v>0</v>
      </c>
      <c r="CP12" s="137" t="n">
        <v>4</v>
      </c>
      <c r="CQ12" s="137" t="str">
        <f aca="false">IF(ISBLANK($C12),"",IF(ISNUMBER($CM12),$CM12+ROW($B12)/1000,""))</f>
        <v/>
      </c>
      <c r="CR12" s="137" t="str">
        <f aca="false">IF(ISNUMBER($CQ12),RANK($CQ12,$CQ$9:$CQ$508,1),"")</f>
        <v/>
      </c>
      <c r="CS12" s="137" t="str">
        <f aca="false">IF(ISBLANK($C12),"",$B12)</f>
        <v/>
      </c>
      <c r="CT12" s="137" t="str">
        <f aca="false">IF(ISBLANK($C12),"",$C12)</f>
        <v/>
      </c>
      <c r="CU12" s="137" t="str">
        <f aca="false">IF(ISBLANK($C12),"",$D12)</f>
        <v/>
      </c>
      <c r="CV12" s="138" t="str">
        <f aca="false">$CJ12</f>
        <v/>
      </c>
      <c r="CW12" s="139" t="str">
        <f aca="false">$CI12</f>
        <v/>
      </c>
      <c r="CX12" s="137" t="str">
        <f aca="false">IF(ISBLANK($C12),"",$CL12)</f>
        <v/>
      </c>
      <c r="CY12" s="140" t="str">
        <f aca="false">IF($CP12&gt;$CO$8,"",VLOOKUP($CP12,$CR$9:$CX$508,7,FALSE()))</f>
        <v/>
      </c>
      <c r="CZ12" s="141" t="str">
        <f aca="false">IF($CP12&gt;$CO$8,"",VLOOKUP($CP12,$CR$9:$CX$508,2,FALSE()))</f>
        <v/>
      </c>
      <c r="DA12" s="141" t="str">
        <f aca="false">IF($CP12&gt;$CO$8,"",VLOOKUP($CP12,$CR$9:$CX$508,3,FALSE()))</f>
        <v/>
      </c>
      <c r="DB12" s="141" t="str">
        <f aca="false">IF($CP12&gt;$CO$8,"",VLOOKUP($CP12,$CR$9:$CX$508,4,FALSE()))</f>
        <v/>
      </c>
      <c r="DC12" s="141" t="str">
        <f aca="false">IF($CP12&gt;$CO$8,"",VLOOKUP($CP12,$CR$9:$CX$508,5,FALSE()))</f>
        <v/>
      </c>
      <c r="DD12" s="142" t="str">
        <f aca="false">IF($CP12&gt;$CO$8,"",VLOOKUP($CP12,$CR$9:$CX$508,6,FALSE()))</f>
        <v/>
      </c>
      <c r="DE12" s="70"/>
    </row>
    <row r="13" customFormat="false" ht="15.75" hidden="false" customHeight="false" outlineLevel="0" collapsed="false">
      <c r="A13" s="8"/>
      <c r="B13" s="110"/>
      <c r="C13" s="143"/>
      <c r="D13" s="112"/>
      <c r="E13" s="113"/>
      <c r="F13" s="144"/>
      <c r="G13" s="115"/>
      <c r="H13" s="115"/>
      <c r="I13" s="115"/>
      <c r="J13" s="116"/>
      <c r="K13" s="117"/>
      <c r="L13" s="117"/>
      <c r="M13" s="118"/>
      <c r="N13" s="117"/>
      <c r="O13" s="119"/>
      <c r="P13" s="117"/>
      <c r="Q13" s="117"/>
      <c r="R13" s="117"/>
      <c r="S13" s="120"/>
      <c r="T13" s="117"/>
      <c r="U13" s="119"/>
      <c r="V13" s="145"/>
      <c r="W13" s="123"/>
      <c r="X13" s="124" t="str">
        <f aca="false">IF(ISBLANK($C13),"",IF($E13=Constants!$B$2,TRUE(),IF($E13=Constants!$B$3,FALSE(),TRUE())))</f>
        <v/>
      </c>
      <c r="Y13" s="124" t="str">
        <f aca="false">IF(ISBLANK($C13),"",IF($F13=Constants!$B$2,TRUE(),IF($F13=Constants!$B$3,FALSE(),TRUE())))</f>
        <v/>
      </c>
      <c r="Z13" s="125" t="str">
        <f aca="false">IF(ISBLANK($C13),"",IF(ISNUMBER($G13),IF($G13&gt;=0,$G13,""),""))</f>
        <v/>
      </c>
      <c r="AA13" s="125" t="str">
        <f aca="false">IF(ISBLANK($C13),"",IF(ISNUMBER($H13),IF($H13&gt;=0,$H13,""),""))</f>
        <v/>
      </c>
      <c r="AB13" s="125" t="str">
        <f aca="false">IF(ISBLANK($C13),"",IF(ISNUMBER($I13),IF($I13&gt;=0,$I13,""),""))</f>
        <v/>
      </c>
      <c r="AC13" s="124" t="str">
        <f aca="false">IF(ISBLANK($C13),"",IF($J13=Constants!$B$2,TRUE(),IF($J13=Constants!$B$3,FALSE(),TRUE())))</f>
        <v/>
      </c>
      <c r="AD13" s="124" t="str">
        <f aca="false">IF(ISBLANK($C13),"",IF($K13=Constants!$B$2,TRUE(),IF($K13=Constants!$B$3,FALSE(),TRUE())))</f>
        <v/>
      </c>
      <c r="AE13" s="124" t="str">
        <f aca="false">IF(ISBLANK($C13),"",IF($L13=Constants!$B$2,TRUE(),IF($L13=Constants!$B$3,FALSE(),TRUE())))</f>
        <v/>
      </c>
      <c r="AF13" s="126" t="str">
        <f aca="false">IF(ISBLANK($C13),"",IF(ISNUMBER($M13),IF($M13&gt;=0,$M13,""),""))</f>
        <v/>
      </c>
      <c r="AG13" s="124" t="str">
        <f aca="false">IF(ISBLANK($C13),"",IF(ISBLANK($N13),0,IF(ISNUMBER($N13),IF(AND($N13&gt;=0,$N13&lt;=Constants!$B$17,$N13=INT($N13)),$N13,""),"")))</f>
        <v/>
      </c>
      <c r="AH13" s="125" t="str">
        <f aca="false">IF(ISBLANK($C13),"",IF(ISBLANK($O13),0,IF(ISNUMBER($O13),IF($O13&gt;=0,$O13,""),"")))</f>
        <v/>
      </c>
      <c r="AI13" s="124" t="str">
        <f aca="false">IF(ISBLANK($C13),"",IF($P13=Constants!$B$2,TRUE(),IF($P13=Constants!$B$3,FALSE(),TRUE())))</f>
        <v/>
      </c>
      <c r="AJ13" s="124" t="str">
        <f aca="false">IF(ISBLANK($C13),"",IF($Q13=Constants!$B$2,TRUE(),IF($Q13=Constants!$B$3,FALSE(),TRUE())))</f>
        <v/>
      </c>
      <c r="AK13" s="124" t="str">
        <f aca="false">IF(ISBLANK($C13),"",IF($R13=Constants!$B$2,TRUE(),IF($R13=Constants!$B$3,FALSE(),TRUE())))</f>
        <v/>
      </c>
      <c r="AL13" s="126" t="str">
        <f aca="false">IF(ISBLANK($C13),"",IF(ISNUMBER($S13),IF($S13&gt;=0,$S13,""),""))</f>
        <v/>
      </c>
      <c r="AM13" s="124" t="str">
        <f aca="false">IF(ISBLANK($C13),"",IF(ISBLANK($T13),0,IF(ISNUMBER($T13),IF(AND($T13&gt;=0,$T13&lt;=Constants!$B$17,$T13=INT($T13)),$T13,""),"")))</f>
        <v/>
      </c>
      <c r="AN13" s="125" t="str">
        <f aca="false">IF(ISBLANK($C13),"",IF(ISBLANK($U13),0,IF(ISNUMBER($U13),IF($U13&gt;=0,$U13,""),"")))</f>
        <v/>
      </c>
      <c r="AO13" s="124" t="str">
        <f aca="false">IF(ISBLANK($C13),"",IF($V13=Constants!$B$2,TRUE(),IF($V13=Constants!$B$3,FALSE(),FALSE())))</f>
        <v/>
      </c>
      <c r="AP13" s="124"/>
      <c r="AQ13" s="123" t="str">
        <f aca="false">IF(ISBLANK($C13),"",AND($Y13,OR($AS13,$BC13),OR($Z13="",$AA13="",$AB13="")))</f>
        <v/>
      </c>
      <c r="AR13" s="123" t="str">
        <f aca="false">IF(ISBLANK($C13),"",IF(OR(NOT($Y13),NOT(OR($AS13,$BC13))),"",IF(ISBLANK($D$7),$AR$5,IF($AP$9="",$AR$6,""))))</f>
        <v/>
      </c>
      <c r="AS13" s="123" t="str">
        <f aca="false">IF(ISBLANK($C13),"",COUNTA($J13:$O13)&gt;0)</f>
        <v/>
      </c>
      <c r="AT13" s="123" t="str">
        <f aca="false">IF(ISBLANK($C13),"",AND($AS13,OR(AND($AF13="",OR($AE13,NOT(ISBLANK($M13)))),$AG13="",$AH13="")))</f>
        <v/>
      </c>
      <c r="AU13" s="125" t="str">
        <f aca="false">IF($BL13&lt;&gt;Constants!$B$4,"",IF(NOT($AS13),"",ROUND((Constants!$B$12-$AB13)+(Constants!$B$13-$Z13)+(Constants!$B$14-$AA13),1)))</f>
        <v/>
      </c>
      <c r="AV13" s="127" t="str">
        <f aca="false">IF($BL13&lt;&gt;Constants!$B$4,"",IF(NOT($AS13),"",IF(NOT($AE13),0,Constants!$B$15*(INT(ROUND(MIN($AF13,$AP$9),6))-INT(ROUND(MAX(0,MIN($AF13,2*$AP$9)-$AP$9),6))))))</f>
        <v/>
      </c>
      <c r="AW13" s="127" t="str">
        <f aca="false">IF($BL13&lt;&gt;Constants!$B$4,"",IF(NOT($AS13),"",Constants!$B$16*$AG13))</f>
        <v/>
      </c>
      <c r="AX13" s="127" t="str">
        <f aca="false">IF($BL13&lt;&gt;Constants!$B$4,"",IF(NOT($AS13),"",Constants!$B$18*INT(ROUND($AH13,6))))</f>
        <v/>
      </c>
      <c r="AY13" s="123" t="str">
        <f aca="false">IF($BL13&lt;&gt;Constants!$B$4,"",IF(NOT($AS13),"",IF(NOT($X13),Constants!$B$11,IF(OR(NOT($AC13),NOT($AD13),ROUND($AB13,1)&gt;Constants!$B$12,ROUND($Z13,1)&gt;Constants!$B$13,ROUND($AA13,1)&gt;Constants!$B$14),Constants!$B$10,Constants!$B$9))))</f>
        <v/>
      </c>
      <c r="AZ13" s="128" t="str">
        <f aca="false">IF($BL13&lt;&gt;Constants!$B$4,"",IF(NOT($AS13),"",ROUND($AU13+$AV13+$AW13+$AX13,1)))</f>
        <v/>
      </c>
      <c r="BA13" s="129" t="str">
        <f aca="false">IF($BL13&lt;&gt;Constants!$B$4,"",IF(NOT($AS13),"",IF(ISNUMBER($AF13),$AF13,0)))</f>
        <v/>
      </c>
      <c r="BB13" s="124" t="str">
        <f aca="false">IF($BL13&lt;&gt;Constants!$B$4,"",IF(NOT($BC13),"&lt;-",IF(NOT($AS13),"-&gt;",IF(OR($BI13&lt;$AY13,AND($BI13=$AY13,OR($BJ13&gt;$AZ13,AND($BJ13=$AZ13,OR($BH13&gt;$AX13,AND($BH13=$AX13,OR($BE13&gt;$AU13,AND($BE13=$AU13,OR($BF13&gt;$AV13,AND($BF13=$AV13,$BK13&gt;$BA13)))))))))),"-&gt;","&lt;-"))))</f>
        <v/>
      </c>
      <c r="BC13" s="123" t="str">
        <f aca="false">IF(ISBLANK($C13),"",COUNTA($P13:$U13)&gt;0)</f>
        <v/>
      </c>
      <c r="BD13" s="123" t="str">
        <f aca="false">IF(ISBLANK($C13),"",AND($BC13,OR(AND($AL13="",OR($AK13,NOT(ISBLANK($S13)))),$AM13="",$AN13="")))</f>
        <v/>
      </c>
      <c r="BE13" s="125" t="str">
        <f aca="false">IF($BL13&lt;&gt;Constants!$B$4,"",IF(NOT($BC13),"",ROUND((Constants!$B$12-$AB13)+(Constants!$B$13-$Z13)+(Constants!$B$14-$AA13),1)))</f>
        <v/>
      </c>
      <c r="BF13" s="127" t="str">
        <f aca="false">IF($BL13&lt;&gt;Constants!$B$4,"",IF(NOT($BC13),"",IF(NOT($AK13),0,Constants!$B$15*(INT(ROUND(MIN($AL13,$AP$9),6))-INT(ROUND(MAX(0,MIN($AL13,2*$AP$9)-$AP$9),6))))))</f>
        <v/>
      </c>
      <c r="BG13" s="127" t="str">
        <f aca="false">IF($BL13&lt;&gt;Constants!$B$4,"",IF(NOT($BC13),"",Constants!$B$16*$AM13))</f>
        <v/>
      </c>
      <c r="BH13" s="127" t="str">
        <f aca="false">IF($BL13&lt;&gt;Constants!$B$4,"",IF(NOT($BC13),"",Constants!$B$18*INT(ROUND($AN13,6))))</f>
        <v/>
      </c>
      <c r="BI13" s="123" t="str">
        <f aca="false">IF($BL13&lt;&gt;Constants!$B$4,"",IF(NOT($BC13),"",IF(NOT($X13),Constants!$B$11,IF(OR(NOT($AI13),NOT($AJ13),ROUND($AB13,1)&gt;Constants!$B$12,ROUND($Z13,1)&gt;Constants!$B$13,ROUND($AA13,1)&gt;Constants!$B$14),Constants!$B$10,Constants!$B$9))))</f>
        <v/>
      </c>
      <c r="BJ13" s="128" t="str">
        <f aca="false">IF($BL13&lt;&gt;Constants!$B$4,"",IF(NOT($BC13),"",ROUND($BE13+$BF13+$BG13+$BH13,1)))</f>
        <v/>
      </c>
      <c r="BK13" s="129" t="str">
        <f aca="false">IF($BL13&lt;&gt;Constants!$B$4,"",IF(NOT($BC13),"",IF(ISNUMBER($AL13),$AL13,0)))</f>
        <v/>
      </c>
      <c r="BL13" s="124" t="str">
        <f aca="false">IF(ISBLANK($C13),"",IF($AO13,Constants!$B$7,IF(COUNTA($E13:$V13)=0,Constants!$B$6,IF(NOT($Y13),Constants!$B$5,IF(NOT(OR($AS13,$BC13)),Constants!$B$5,IF(OR($AT13,$BD13,$AQ13,$AR13&lt;&gt;""),Constants!$B$8,Constants!$B$4))))))</f>
        <v/>
      </c>
      <c r="BM13" s="124" t="str">
        <f aca="false">IF(ISBLANK($C13),"",IF($BL13&lt;&gt;Constants!$B$4,$BL13,IF($BB13="-&gt;",$BI13,$AY13)))</f>
        <v/>
      </c>
      <c r="BN13" s="127" t="str">
        <f aca="false">IF($BL13&lt;&gt;Constants!$B$4,"",IF($BB13="-&gt;",$BJ13,$AZ13))</f>
        <v/>
      </c>
      <c r="BO13" s="127" t="str">
        <f aca="false">IF(ISBLANK($C13),"",IF($BL13&lt;&gt;Constants!$B$4,$BL13,$BN13))</f>
        <v/>
      </c>
      <c r="BP13" s="124" t="str">
        <f aca="false">IF(ISBLANK($C13),"",IF($BL13&lt;&gt;Constants!$B$4,$BL13,RANK($BO13,$BO$9:$BO$508,0)))</f>
        <v/>
      </c>
      <c r="BQ13" s="124" t="str">
        <f aca="false">IF(ISBLANK($C13),"",IF($BL13&lt;&gt;Constants!$B$4,$BL13,COUNTIFS($BM$9:$BM$508,"&lt;"&amp;$BM13)+COUNTIFS($BM$9:$BM$508,$BM13,$BP$9:$BP$508,"&lt;"&amp;$BP13)+1))</f>
        <v/>
      </c>
      <c r="BR13" s="127" t="str">
        <f aca="false">IF($BL13&lt;&gt;Constants!$B$4,"",IF($BB13="-&gt;",$BH13,$AX13))</f>
        <v/>
      </c>
      <c r="BS13" s="124" t="str">
        <f aca="false">IF(ISBLANK($C13),"",IF($BL13&lt;&gt;Constants!$B$4,$BL13,IF(ISNUMBER($BR13),RANK($BR13,$BR$9:$BR$508,0),COUNT($BR$9:$BR$508)+1)))</f>
        <v/>
      </c>
      <c r="BT13" s="127" t="str">
        <f aca="false">IF($BL13&lt;&gt;Constants!$B$4,"",IF($BB13="-&gt;",$BE13,$AU13))</f>
        <v/>
      </c>
      <c r="BU13" s="124" t="str">
        <f aca="false">IF(ISBLANK($C13),"",IF($BL13&lt;&gt;Constants!$B$4,$BL13,IF(ISNUMBER($BT13),RANK($BT13,$BT$9:$BT$508,0),COUNT($BT$9:$BT$508)+1)))</f>
        <v/>
      </c>
      <c r="BV13" s="127" t="str">
        <f aca="false">IF($BL13&lt;&gt;Constants!$B$4,"",IF($BB13="-&gt;",$BF13,$AV13))</f>
        <v/>
      </c>
      <c r="BW13" s="124" t="str">
        <f aca="false">IF(ISBLANK($C13),"",IF($BL13&lt;&gt;Constants!$B$4,$BL13,IF(ISNUMBER($BV13),RANK($BV13,$BV$9:$BV$508,0),COUNT($BV$9:$BV$508)+1)))</f>
        <v/>
      </c>
      <c r="BX13" s="127" t="str">
        <f aca="false">IF($BL13&lt;&gt;Constants!$B$4,"",IF($BB13="-&gt;",$BK13,$BA13))</f>
        <v/>
      </c>
      <c r="BY13" s="124" t="str">
        <f aca="false">IF(ISBLANK($C13),"",IF($BL13&lt;&gt;Constants!$B$4,$BL13,IF(ISNUMBER($BX13),RANK($BX13,$BX$9:$BX$508,0),COUNT($BX$9:$BX$508)+1)))</f>
        <v/>
      </c>
      <c r="BZ13" s="124" t="str">
        <f aca="false">IF(ISBLANK($C13),"",IF($BL13&lt;&gt;Constants!$B$4,$BL13,COUNTIFS($BM$9:$BM$508,"&lt;"&amp;$BM13)+COUNTIFS($BM$9:$BM$508,$BM13,$BP$9:$BP$508,"&lt;"&amp;$BP13)+COUNTIFS($BM$9:$BM$508,$BM13,$BP$9:$BP$508,$BP13,$BS$9:$BS$508,"&lt;"&amp;$BS13)+COUNTIFS($BM$9:$BM$508,$BM13,$BP$9:$BP$508,$BP13,$BS$9:$BS$508,$BS13,$BU$9:$BU$508,"&lt;"&amp;$BU13)+COUNTIFS($BM$9:$BM$508,$BM13,$BP$9:$BP$508,$BP13,$BS$9:$BS$508,$BS13,$BU$9:$BU$508,$BU13,$BW$9:$BW$508,"&lt;"&amp;$BW13)+COUNTIFS($BM$9:$BM$508,$BM13,$BP$9:$BP$508,$BP13,$BS$9:$BS$508,$BS13,$BU$9:$BU$508,$BU13,$BW$9:$BW$508,$BW13,$BY$9:$BY$508,"&lt;"&amp;$BY13)+1))</f>
        <v/>
      </c>
      <c r="CA13" s="124" t="str">
        <f aca="false">IF(ISBLANK($C13),"",IF($BL13&lt;&gt;Constants!$B$4,$BL13,$BQ13-$BZ13))</f>
        <v/>
      </c>
      <c r="CB13" s="130"/>
      <c r="CC13" s="131" t="str">
        <f aca="false">IF(ISBLANK($C13),"",IF($BL13=Constants!$B$8,$AR13,""))</f>
        <v/>
      </c>
      <c r="CD13" s="131" t="str">
        <f aca="false">IF(ISBLANK($C13),"",IF($BL13&lt;&gt;Constants!$B$4,"",IF($BB13="-&gt;",2,1)))</f>
        <v/>
      </c>
      <c r="CE13" s="132" t="str">
        <f aca="false">IF(ISBLANK($C13),"",IF($BL13&lt;&gt;Constants!$B$4,"",IF($BB13="-&gt;",$BE13,$AU13)))</f>
        <v/>
      </c>
      <c r="CF13" s="132" t="str">
        <f aca="false">IF(ISBLANK($C13),"",IF($BL13&lt;&gt;Constants!$B$4,"",IF($BB13="-&gt;",$BF13,$AV13)))</f>
        <v/>
      </c>
      <c r="CG13" s="132" t="str">
        <f aca="false">IF(ISBLANK($C13),"",IF($BL13&lt;&gt;Constants!$B$4,"",IF($BB13="-&gt;",$BG13,$AW13)))</f>
        <v/>
      </c>
      <c r="CH13" s="132" t="str">
        <f aca="false">IF(ISBLANK($C13),"",IF($BL13&lt;&gt;Constants!$B$4,"",IF($BB13="-&gt;",$BH13,$AX13)))</f>
        <v/>
      </c>
      <c r="CI13" s="133" t="str">
        <f aca="false">IF(ISBLANK($C13),"",$BO13)</f>
        <v/>
      </c>
      <c r="CJ13" s="134" t="str">
        <f aca="false">IF(ISBLANK($C13),"",$BM13)</f>
        <v/>
      </c>
      <c r="CK13" s="135" t="str">
        <f aca="false">IF(ISBLANK($C13),"",$CA13)</f>
        <v/>
      </c>
      <c r="CL13" s="135" t="str">
        <f aca="false">IF(ISBLANK($C13),"",$BZ13)</f>
        <v/>
      </c>
      <c r="CM13" s="136" t="str">
        <f aca="false">IF(ISBLANK($C13),"",IF($CL13=Constants!$B$7,COUNTA($C$9:$C$508)+2,IF($CL13=Constants!$B$6,COUNTA($C$9:$C$508)+1,IF($CL13=Constants!$B$5,COUNTA($C$9:$C$508),$CL13))))</f>
        <v/>
      </c>
      <c r="CN13" s="8"/>
      <c r="CO13" s="137" t="n">
        <f aca="false">IF(OR(ISNUMBER($CL13),$CL13=Constants!$B$7,$CL13=Constants!$B$5,$CL13=Constants!$B$6),1,0)</f>
        <v>0</v>
      </c>
      <c r="CP13" s="137" t="n">
        <v>5</v>
      </c>
      <c r="CQ13" s="137" t="str">
        <f aca="false">IF(ISBLANK($C13),"",IF(ISNUMBER($CM13),$CM13+ROW($B13)/1000,""))</f>
        <v/>
      </c>
      <c r="CR13" s="137" t="str">
        <f aca="false">IF(ISNUMBER($CQ13),RANK($CQ13,$CQ$9:$CQ$508,1),"")</f>
        <v/>
      </c>
      <c r="CS13" s="137" t="str">
        <f aca="false">IF(ISBLANK($C13),"",$B13)</f>
        <v/>
      </c>
      <c r="CT13" s="137" t="str">
        <f aca="false">IF(ISBLANK($C13),"",$C13)</f>
        <v/>
      </c>
      <c r="CU13" s="137" t="str">
        <f aca="false">IF(ISBLANK($C13),"",$D13)</f>
        <v/>
      </c>
      <c r="CV13" s="138" t="str">
        <f aca="false">$CJ13</f>
        <v/>
      </c>
      <c r="CW13" s="139" t="str">
        <f aca="false">$CI13</f>
        <v/>
      </c>
      <c r="CX13" s="137" t="str">
        <f aca="false">IF(ISBLANK($C13),"",$CL13)</f>
        <v/>
      </c>
      <c r="CY13" s="140" t="str">
        <f aca="false">IF($CP13&gt;$CO$8,"",VLOOKUP($CP13,$CR$9:$CX$508,7,FALSE()))</f>
        <v/>
      </c>
      <c r="CZ13" s="141" t="str">
        <f aca="false">IF($CP13&gt;$CO$8,"",VLOOKUP($CP13,$CR$9:$CX$508,2,FALSE()))</f>
        <v/>
      </c>
      <c r="DA13" s="141" t="str">
        <f aca="false">IF($CP13&gt;$CO$8,"",VLOOKUP($CP13,$CR$9:$CX$508,3,FALSE()))</f>
        <v/>
      </c>
      <c r="DB13" s="141" t="str">
        <f aca="false">IF($CP13&gt;$CO$8,"",VLOOKUP($CP13,$CR$9:$CX$508,4,FALSE()))</f>
        <v/>
      </c>
      <c r="DC13" s="141" t="str">
        <f aca="false">IF($CP13&gt;$CO$8,"",VLOOKUP($CP13,$CR$9:$CX$508,5,FALSE()))</f>
        <v/>
      </c>
      <c r="DD13" s="142" t="str">
        <f aca="false">IF($CP13&gt;$CO$8,"",VLOOKUP($CP13,$CR$9:$CX$508,6,FALSE()))</f>
        <v/>
      </c>
      <c r="DE13" s="70"/>
    </row>
    <row r="14" customFormat="false" ht="15.65" hidden="false" customHeight="true" outlineLevel="0" collapsed="false">
      <c r="A14" s="8"/>
      <c r="B14" s="110"/>
      <c r="C14" s="143"/>
      <c r="D14" s="112"/>
      <c r="E14" s="113"/>
      <c r="F14" s="144"/>
      <c r="G14" s="115"/>
      <c r="H14" s="115"/>
      <c r="I14" s="115"/>
      <c r="J14" s="116"/>
      <c r="K14" s="117"/>
      <c r="L14" s="117"/>
      <c r="M14" s="118"/>
      <c r="N14" s="117"/>
      <c r="O14" s="119"/>
      <c r="P14" s="117"/>
      <c r="Q14" s="117"/>
      <c r="R14" s="117"/>
      <c r="S14" s="115"/>
      <c r="T14" s="117"/>
      <c r="U14" s="119"/>
      <c r="V14" s="145"/>
      <c r="W14" s="123"/>
      <c r="X14" s="124" t="str">
        <f aca="false">IF(ISBLANK($C14),"",IF($E14=Constants!$B$2,TRUE(),IF($E14=Constants!$B$3,FALSE(),TRUE())))</f>
        <v/>
      </c>
      <c r="Y14" s="124" t="str">
        <f aca="false">IF(ISBLANK($C14),"",IF($F14=Constants!$B$2,TRUE(),IF($F14=Constants!$B$3,FALSE(),TRUE())))</f>
        <v/>
      </c>
      <c r="Z14" s="125" t="str">
        <f aca="false">IF(ISBLANK($C14),"",IF(ISNUMBER($G14),IF($G14&gt;=0,$G14,""),""))</f>
        <v/>
      </c>
      <c r="AA14" s="125" t="str">
        <f aca="false">IF(ISBLANK($C14),"",IF(ISNUMBER($H14),IF($H14&gt;=0,$H14,""),""))</f>
        <v/>
      </c>
      <c r="AB14" s="125" t="str">
        <f aca="false">IF(ISBLANK($C14),"",IF(ISNUMBER($I14),IF($I14&gt;=0,$I14,""),""))</f>
        <v/>
      </c>
      <c r="AC14" s="124" t="str">
        <f aca="false">IF(ISBLANK($C14),"",IF($J14=Constants!$B$2,TRUE(),IF($J14=Constants!$B$3,FALSE(),TRUE())))</f>
        <v/>
      </c>
      <c r="AD14" s="124" t="str">
        <f aca="false">IF(ISBLANK($C14),"",IF($K14=Constants!$B$2,TRUE(),IF($K14=Constants!$B$3,FALSE(),TRUE())))</f>
        <v/>
      </c>
      <c r="AE14" s="124" t="str">
        <f aca="false">IF(ISBLANK($C14),"",IF($L14=Constants!$B$2,TRUE(),IF($L14=Constants!$B$3,FALSE(),TRUE())))</f>
        <v/>
      </c>
      <c r="AF14" s="126" t="str">
        <f aca="false">IF(ISBLANK($C14),"",IF(ISNUMBER($M14),IF($M14&gt;=0,$M14,""),""))</f>
        <v/>
      </c>
      <c r="AG14" s="124" t="str">
        <f aca="false">IF(ISBLANK($C14),"",IF(ISBLANK($N14),0,IF(ISNUMBER($N14),IF(AND($N14&gt;=0,$N14&lt;=Constants!$B$17,$N14=INT($N14)),$N14,""),"")))</f>
        <v/>
      </c>
      <c r="AH14" s="125" t="str">
        <f aca="false">IF(ISBLANK($C14),"",IF(ISBLANK($O14),0,IF(ISNUMBER($O14),IF($O14&gt;=0,$O14,""),"")))</f>
        <v/>
      </c>
      <c r="AI14" s="124" t="str">
        <f aca="false">IF(ISBLANK($C14),"",IF($P14=Constants!$B$2,TRUE(),IF($P14=Constants!$B$3,FALSE(),TRUE())))</f>
        <v/>
      </c>
      <c r="AJ14" s="124" t="str">
        <f aca="false">IF(ISBLANK($C14),"",IF($Q14=Constants!$B$2,TRUE(),IF($Q14=Constants!$B$3,FALSE(),TRUE())))</f>
        <v/>
      </c>
      <c r="AK14" s="124" t="str">
        <f aca="false">IF(ISBLANK($C14),"",IF($R14=Constants!$B$2,TRUE(),IF($R14=Constants!$B$3,FALSE(),TRUE())))</f>
        <v/>
      </c>
      <c r="AL14" s="126" t="str">
        <f aca="false">IF(ISBLANK($C14),"",IF(ISNUMBER($S14),IF($S14&gt;=0,$S14,""),""))</f>
        <v/>
      </c>
      <c r="AM14" s="124" t="str">
        <f aca="false">IF(ISBLANK($C14),"",IF(ISBLANK($T14),0,IF(ISNUMBER($T14),IF(AND($T14&gt;=0,$T14&lt;=Constants!$B$17,$T14=INT($T14)),$T14,""),"")))</f>
        <v/>
      </c>
      <c r="AN14" s="125" t="str">
        <f aca="false">IF(ISBLANK($C14),"",IF(ISBLANK($U14),0,IF(ISNUMBER($U14),IF($U14&gt;=0,$U14,""),"")))</f>
        <v/>
      </c>
      <c r="AO14" s="124" t="str">
        <f aca="false">IF(ISBLANK($C14),"",IF($V14=Constants!$B$2,TRUE(),IF($V14=Constants!$B$3,FALSE(),FALSE())))</f>
        <v/>
      </c>
      <c r="AP14" s="124"/>
      <c r="AQ14" s="123" t="str">
        <f aca="false">IF(ISBLANK($C14),"",AND($Y14,OR($AS14,$BC14),OR($Z14="",$AA14="",$AB14="")))</f>
        <v/>
      </c>
      <c r="AR14" s="123" t="str">
        <f aca="false">IF(ISBLANK($C14),"",IF(OR(NOT($Y14),NOT(OR($AS14,$BC14))),"",IF(ISBLANK($D$7),$AR$5,IF($AP$9="",$AR$6,""))))</f>
        <v/>
      </c>
      <c r="AS14" s="123" t="str">
        <f aca="false">IF(ISBLANK($C14),"",COUNTA($J14:$O14)&gt;0)</f>
        <v/>
      </c>
      <c r="AT14" s="123" t="str">
        <f aca="false">IF(ISBLANK($C14),"",AND($AS14,OR(AND($AF14="",OR($AE14,NOT(ISBLANK($M14)))),$AG14="",$AH14="")))</f>
        <v/>
      </c>
      <c r="AU14" s="125" t="str">
        <f aca="false">IF($BL14&lt;&gt;Constants!$B$4,"",IF(NOT($AS14),"",ROUND((Constants!$B$12-$AB14)+(Constants!$B$13-$Z14)+(Constants!$B$14-$AA14),1)))</f>
        <v/>
      </c>
      <c r="AV14" s="127" t="str">
        <f aca="false">IF($BL14&lt;&gt;Constants!$B$4,"",IF(NOT($AS14),"",IF(NOT($AE14),0,Constants!$B$15*(INT(ROUND(MIN($AF14,$AP$9),6))-INT(ROUND(MAX(0,MIN($AF14,2*$AP$9)-$AP$9),6))))))</f>
        <v/>
      </c>
      <c r="AW14" s="127" t="str">
        <f aca="false">IF($BL14&lt;&gt;Constants!$B$4,"",IF(NOT($AS14),"",Constants!$B$16*$AG14))</f>
        <v/>
      </c>
      <c r="AX14" s="127" t="str">
        <f aca="false">IF($BL14&lt;&gt;Constants!$B$4,"",IF(NOT($AS14),"",Constants!$B$18*INT(ROUND($AH14,6))))</f>
        <v/>
      </c>
      <c r="AY14" s="123" t="str">
        <f aca="false">IF($BL14&lt;&gt;Constants!$B$4,"",IF(NOT($AS14),"",IF(NOT($X14),Constants!$B$11,IF(OR(NOT($AC14),NOT($AD14),ROUND($AB14,1)&gt;Constants!$B$12,ROUND($Z14,1)&gt;Constants!$B$13,ROUND($AA14,1)&gt;Constants!$B$14),Constants!$B$10,Constants!$B$9))))</f>
        <v/>
      </c>
      <c r="AZ14" s="128" t="str">
        <f aca="false">IF($BL14&lt;&gt;Constants!$B$4,"",IF(NOT($AS14),"",ROUND($AU14+$AV14+$AW14+$AX14,1)))</f>
        <v/>
      </c>
      <c r="BA14" s="129" t="str">
        <f aca="false">IF($BL14&lt;&gt;Constants!$B$4,"",IF(NOT($AS14),"",IF(ISNUMBER($AF14),$AF14,0)))</f>
        <v/>
      </c>
      <c r="BB14" s="124" t="str">
        <f aca="false">IF($BL14&lt;&gt;Constants!$B$4,"",IF(NOT($BC14),"&lt;-",IF(NOT($AS14),"-&gt;",IF(OR($BI14&lt;$AY14,AND($BI14=$AY14,OR($BJ14&gt;$AZ14,AND($BJ14=$AZ14,OR($BH14&gt;$AX14,AND($BH14=$AX14,OR($BE14&gt;$AU14,AND($BE14=$AU14,OR($BF14&gt;$AV14,AND($BF14=$AV14,$BK14&gt;$BA14)))))))))),"-&gt;","&lt;-"))))</f>
        <v/>
      </c>
      <c r="BC14" s="123" t="str">
        <f aca="false">IF(ISBLANK($C14),"",COUNTA($P14:$U14)&gt;0)</f>
        <v/>
      </c>
      <c r="BD14" s="123" t="str">
        <f aca="false">IF(ISBLANK($C14),"",AND($BC14,OR(AND($AL14="",OR($AK14,NOT(ISBLANK($S14)))),$AM14="",$AN14="")))</f>
        <v/>
      </c>
      <c r="BE14" s="125" t="str">
        <f aca="false">IF($BL14&lt;&gt;Constants!$B$4,"",IF(NOT($BC14),"",ROUND((Constants!$B$12-$AB14)+(Constants!$B$13-$Z14)+(Constants!$B$14-$AA14),1)))</f>
        <v/>
      </c>
      <c r="BF14" s="127" t="str">
        <f aca="false">IF($BL14&lt;&gt;Constants!$B$4,"",IF(NOT($BC14),"",IF(NOT($AK14),0,Constants!$B$15*(INT(ROUND(MIN($AL14,$AP$9),6))-INT(ROUND(MAX(0,MIN($AL14,2*$AP$9)-$AP$9),6))))))</f>
        <v/>
      </c>
      <c r="BG14" s="127" t="str">
        <f aca="false">IF($BL14&lt;&gt;Constants!$B$4,"",IF(NOT($BC14),"",Constants!$B$16*$AM14))</f>
        <v/>
      </c>
      <c r="BH14" s="127" t="str">
        <f aca="false">IF($BL14&lt;&gt;Constants!$B$4,"",IF(NOT($BC14),"",Constants!$B$18*INT(ROUND($AN14,6))))</f>
        <v/>
      </c>
      <c r="BI14" s="123" t="str">
        <f aca="false">IF($BL14&lt;&gt;Constants!$B$4,"",IF(NOT($BC14),"",IF(NOT($X14),Constants!$B$11,IF(OR(NOT($AI14),NOT($AJ14),ROUND($AB14,1)&gt;Constants!$B$12,ROUND($Z14,1)&gt;Constants!$B$13,ROUND($AA14,1)&gt;Constants!$B$14),Constants!$B$10,Constants!$B$9))))</f>
        <v/>
      </c>
      <c r="BJ14" s="128" t="str">
        <f aca="false">IF($BL14&lt;&gt;Constants!$B$4,"",IF(NOT($BC14),"",ROUND($BE14+$BF14+$BG14+$BH14,1)))</f>
        <v/>
      </c>
      <c r="BK14" s="129" t="str">
        <f aca="false">IF($BL14&lt;&gt;Constants!$B$4,"",IF(NOT($BC14),"",IF(ISNUMBER($AL14),$AL14,0)))</f>
        <v/>
      </c>
      <c r="BL14" s="124" t="str">
        <f aca="false">IF(ISBLANK($C14),"",IF($AO14,Constants!$B$7,IF(COUNTA($E14:$V14)=0,Constants!$B$6,IF(NOT($Y14),Constants!$B$5,IF(NOT(OR($AS14,$BC14)),Constants!$B$5,IF(OR($AT14,$BD14,$AQ14,$AR14&lt;&gt;""),Constants!$B$8,Constants!$B$4))))))</f>
        <v/>
      </c>
      <c r="BM14" s="124" t="str">
        <f aca="false">IF(ISBLANK($C14),"",IF($BL14&lt;&gt;Constants!$B$4,$BL14,IF($BB14="-&gt;",$BI14,$AY14)))</f>
        <v/>
      </c>
      <c r="BN14" s="127" t="str">
        <f aca="false">IF($BL14&lt;&gt;Constants!$B$4,"",IF($BB14="-&gt;",$BJ14,$AZ14))</f>
        <v/>
      </c>
      <c r="BO14" s="127" t="str">
        <f aca="false">IF(ISBLANK($C14),"",IF($BL14&lt;&gt;Constants!$B$4,$BL14,$BN14))</f>
        <v/>
      </c>
      <c r="BP14" s="124" t="str">
        <f aca="false">IF(ISBLANK($C14),"",IF($BL14&lt;&gt;Constants!$B$4,$BL14,RANK($BO14,$BO$9:$BO$508,0)))</f>
        <v/>
      </c>
      <c r="BQ14" s="124" t="str">
        <f aca="false">IF(ISBLANK($C14),"",IF($BL14&lt;&gt;Constants!$B$4,$BL14,COUNTIFS($BM$9:$BM$508,"&lt;"&amp;$BM14)+COUNTIFS($BM$9:$BM$508,$BM14,$BP$9:$BP$508,"&lt;"&amp;$BP14)+1))</f>
        <v/>
      </c>
      <c r="BR14" s="127" t="str">
        <f aca="false">IF($BL14&lt;&gt;Constants!$B$4,"",IF($BB14="-&gt;",$BH14,$AX14))</f>
        <v/>
      </c>
      <c r="BS14" s="124" t="str">
        <f aca="false">IF(ISBLANK($C14),"",IF($BL14&lt;&gt;Constants!$B$4,$BL14,IF(ISNUMBER($BR14),RANK($BR14,$BR$9:$BR$508,0),COUNT($BR$9:$BR$508)+1)))</f>
        <v/>
      </c>
      <c r="BT14" s="127" t="str">
        <f aca="false">IF($BL14&lt;&gt;Constants!$B$4,"",IF($BB14="-&gt;",$BE14,$AU14))</f>
        <v/>
      </c>
      <c r="BU14" s="124" t="str">
        <f aca="false">IF(ISBLANK($C14),"",IF($BL14&lt;&gt;Constants!$B$4,$BL14,IF(ISNUMBER($BT14),RANK($BT14,$BT$9:$BT$508,0),COUNT($BT$9:$BT$508)+1)))</f>
        <v/>
      </c>
      <c r="BV14" s="127" t="str">
        <f aca="false">IF($BL14&lt;&gt;Constants!$B$4,"",IF($BB14="-&gt;",$BF14,$AV14))</f>
        <v/>
      </c>
      <c r="BW14" s="124" t="str">
        <f aca="false">IF(ISBLANK($C14),"",IF($BL14&lt;&gt;Constants!$B$4,$BL14,IF(ISNUMBER($BV14),RANK($BV14,$BV$9:$BV$508,0),COUNT($BV$9:$BV$508)+1)))</f>
        <v/>
      </c>
      <c r="BX14" s="127" t="str">
        <f aca="false">IF($BL14&lt;&gt;Constants!$B$4,"",IF($BB14="-&gt;",$BK14,$BA14))</f>
        <v/>
      </c>
      <c r="BY14" s="124" t="str">
        <f aca="false">IF(ISBLANK($C14),"",IF($BL14&lt;&gt;Constants!$B$4,$BL14,IF(ISNUMBER($BX14),RANK($BX14,$BX$9:$BX$508,0),COUNT($BX$9:$BX$508)+1)))</f>
        <v/>
      </c>
      <c r="BZ14" s="124" t="str">
        <f aca="false">IF(ISBLANK($C14),"",IF($BL14&lt;&gt;Constants!$B$4,$BL14,COUNTIFS($BM$9:$BM$508,"&lt;"&amp;$BM14)+COUNTIFS($BM$9:$BM$508,$BM14,$BP$9:$BP$508,"&lt;"&amp;$BP14)+COUNTIFS($BM$9:$BM$508,$BM14,$BP$9:$BP$508,$BP14,$BS$9:$BS$508,"&lt;"&amp;$BS14)+COUNTIFS($BM$9:$BM$508,$BM14,$BP$9:$BP$508,$BP14,$BS$9:$BS$508,$BS14,$BU$9:$BU$508,"&lt;"&amp;$BU14)+COUNTIFS($BM$9:$BM$508,$BM14,$BP$9:$BP$508,$BP14,$BS$9:$BS$508,$BS14,$BU$9:$BU$508,$BU14,$BW$9:$BW$508,"&lt;"&amp;$BW14)+COUNTIFS($BM$9:$BM$508,$BM14,$BP$9:$BP$508,$BP14,$BS$9:$BS$508,$BS14,$BU$9:$BU$508,$BU14,$BW$9:$BW$508,$BW14,$BY$9:$BY$508,"&lt;"&amp;$BY14)+1))</f>
        <v/>
      </c>
      <c r="CA14" s="124" t="str">
        <f aca="false">IF(ISBLANK($C14),"",IF($BL14&lt;&gt;Constants!$B$4,$BL14,$BQ14-$BZ14))</f>
        <v/>
      </c>
      <c r="CB14" s="130"/>
      <c r="CC14" s="131" t="str">
        <f aca="false">IF(ISBLANK($C14),"",IF($BL14=Constants!$B$8,$AR14,""))</f>
        <v/>
      </c>
      <c r="CD14" s="131" t="str">
        <f aca="false">IF(ISBLANK($C14),"",IF($BL14&lt;&gt;Constants!$B$4,"",IF($BB14="-&gt;",2,1)))</f>
        <v/>
      </c>
      <c r="CE14" s="132" t="str">
        <f aca="false">IF(ISBLANK($C14),"",IF($BL14&lt;&gt;Constants!$B$4,"",IF($BB14="-&gt;",$BE14,$AU14)))</f>
        <v/>
      </c>
      <c r="CF14" s="132" t="str">
        <f aca="false">IF(ISBLANK($C14),"",IF($BL14&lt;&gt;Constants!$B$4,"",IF($BB14="-&gt;",$BF14,$AV14)))</f>
        <v/>
      </c>
      <c r="CG14" s="132" t="str">
        <f aca="false">IF(ISBLANK($C14),"",IF($BL14&lt;&gt;Constants!$B$4,"",IF($BB14="-&gt;",$BG14,$AW14)))</f>
        <v/>
      </c>
      <c r="CH14" s="132" t="str">
        <f aca="false">IF(ISBLANK($C14),"",IF($BL14&lt;&gt;Constants!$B$4,"",IF($BB14="-&gt;",$BH14,$AX14)))</f>
        <v/>
      </c>
      <c r="CI14" s="133" t="str">
        <f aca="false">IF(ISBLANK($C14),"",$BO14)</f>
        <v/>
      </c>
      <c r="CJ14" s="134" t="str">
        <f aca="false">IF(ISBLANK($C14),"",$BM14)</f>
        <v/>
      </c>
      <c r="CK14" s="135" t="str">
        <f aca="false">IF(ISBLANK($C14),"",$CA14)</f>
        <v/>
      </c>
      <c r="CL14" s="135" t="str">
        <f aca="false">IF(ISBLANK($C14),"",$BZ14)</f>
        <v/>
      </c>
      <c r="CM14" s="136" t="str">
        <f aca="false">IF(ISBLANK($C14),"",IF($CL14=Constants!$B$7,COUNTA($C$9:$C$508)+2,IF($CL14=Constants!$B$6,COUNTA($C$9:$C$508)+1,IF($CL14=Constants!$B$5,COUNTA($C$9:$C$508),$CL14))))</f>
        <v/>
      </c>
      <c r="CN14" s="8"/>
      <c r="CO14" s="137" t="n">
        <f aca="false">IF(OR(ISNUMBER($CL14),$CL14=Constants!$B$7,$CL14=Constants!$B$5,$CL14=Constants!$B$6),1,0)</f>
        <v>0</v>
      </c>
      <c r="CP14" s="137" t="n">
        <v>6</v>
      </c>
      <c r="CQ14" s="137" t="str">
        <f aca="false">IF(ISBLANK($C14),"",IF(ISNUMBER($CM14),$CM14+ROW($B14)/1000,""))</f>
        <v/>
      </c>
      <c r="CR14" s="137" t="str">
        <f aca="false">IF(ISNUMBER($CQ14),RANK($CQ14,$CQ$9:$CQ$508,1),"")</f>
        <v/>
      </c>
      <c r="CS14" s="137" t="str">
        <f aca="false">IF(ISBLANK($C14),"",$B14)</f>
        <v/>
      </c>
      <c r="CT14" s="137" t="str">
        <f aca="false">IF(ISBLANK($C14),"",$C14)</f>
        <v/>
      </c>
      <c r="CU14" s="137" t="str">
        <f aca="false">IF(ISBLANK($C14),"",$D14)</f>
        <v/>
      </c>
      <c r="CV14" s="138" t="str">
        <f aca="false">$CJ14</f>
        <v/>
      </c>
      <c r="CW14" s="139" t="str">
        <f aca="false">$CI14</f>
        <v/>
      </c>
      <c r="CX14" s="137" t="str">
        <f aca="false">IF(ISBLANK($C14),"",$CL14)</f>
        <v/>
      </c>
      <c r="CY14" s="140" t="str">
        <f aca="false">IF($CP14&gt;$CO$8,"",VLOOKUP($CP14,$CR$9:$CX$508,7,FALSE()))</f>
        <v/>
      </c>
      <c r="CZ14" s="141" t="str">
        <f aca="false">IF($CP14&gt;$CO$8,"",VLOOKUP($CP14,$CR$9:$CX$508,2,FALSE()))</f>
        <v/>
      </c>
      <c r="DA14" s="141" t="str">
        <f aca="false">IF($CP14&gt;$CO$8,"",VLOOKUP($CP14,$CR$9:$CX$508,3,FALSE()))</f>
        <v/>
      </c>
      <c r="DB14" s="141" t="str">
        <f aca="false">IF($CP14&gt;$CO$8,"",VLOOKUP($CP14,$CR$9:$CX$508,4,FALSE()))</f>
        <v/>
      </c>
      <c r="DC14" s="141" t="str">
        <f aca="false">IF($CP14&gt;$CO$8,"",VLOOKUP($CP14,$CR$9:$CX$508,5,FALSE()))</f>
        <v/>
      </c>
      <c r="DD14" s="142" t="str">
        <f aca="false">IF($CP14&gt;$CO$8,"",VLOOKUP($CP14,$CR$9:$CX$508,6,FALSE()))</f>
        <v/>
      </c>
      <c r="DE14" s="70"/>
    </row>
    <row r="15" customFormat="false" ht="15.75" hidden="false" customHeight="false" outlineLevel="0" collapsed="false">
      <c r="A15" s="8"/>
      <c r="B15" s="106"/>
      <c r="C15" s="107"/>
      <c r="D15" s="74"/>
      <c r="E15" s="75"/>
      <c r="F15" s="108"/>
      <c r="G15" s="77"/>
      <c r="H15" s="77"/>
      <c r="I15" s="77"/>
      <c r="J15" s="78"/>
      <c r="K15" s="79"/>
      <c r="L15" s="79"/>
      <c r="M15" s="80"/>
      <c r="N15" s="79"/>
      <c r="O15" s="81"/>
      <c r="P15" s="79"/>
      <c r="Q15" s="79"/>
      <c r="R15" s="79"/>
      <c r="S15" s="77"/>
      <c r="T15" s="79"/>
      <c r="U15" s="81"/>
      <c r="V15" s="109"/>
      <c r="W15" s="85"/>
      <c r="X15" s="86" t="str">
        <f aca="false">IF(ISBLANK($C15),"",IF($E15=Constants!$B$2,TRUE(),IF($E15=Constants!$B$3,FALSE(),TRUE())))</f>
        <v/>
      </c>
      <c r="Y15" s="86" t="str">
        <f aca="false">IF(ISBLANK($C15),"",IF($F15=Constants!$B$2,TRUE(),IF($F15=Constants!$B$3,FALSE(),TRUE())))</f>
        <v/>
      </c>
      <c r="Z15" s="87" t="str">
        <f aca="false">IF(ISBLANK($C15),"",IF(ISNUMBER($G15),IF($G15&gt;=0,$G15,""),""))</f>
        <v/>
      </c>
      <c r="AA15" s="87" t="str">
        <f aca="false">IF(ISBLANK($C15),"",IF(ISNUMBER($H15),IF($H15&gt;=0,$H15,""),""))</f>
        <v/>
      </c>
      <c r="AB15" s="87" t="str">
        <f aca="false">IF(ISBLANK($C15),"",IF(ISNUMBER($I15),IF($I15&gt;=0,$I15,""),""))</f>
        <v/>
      </c>
      <c r="AC15" s="86" t="str">
        <f aca="false">IF(ISBLANK($C15),"",IF($J15=Constants!$B$2,TRUE(),IF($J15=Constants!$B$3,FALSE(),TRUE())))</f>
        <v/>
      </c>
      <c r="AD15" s="86" t="str">
        <f aca="false">IF(ISBLANK($C15),"",IF($K15=Constants!$B$2,TRUE(),IF($K15=Constants!$B$3,FALSE(),TRUE())))</f>
        <v/>
      </c>
      <c r="AE15" s="86" t="str">
        <f aca="false">IF(ISBLANK($C15),"",IF($L15=Constants!$B$2,TRUE(),IF($L15=Constants!$B$3,FALSE(),TRUE())))</f>
        <v/>
      </c>
      <c r="AF15" s="88" t="str">
        <f aca="false">IF(ISBLANK($C15),"",IF(ISNUMBER($M15),IF($M15&gt;=0,$M15,""),""))</f>
        <v/>
      </c>
      <c r="AG15" s="86" t="str">
        <f aca="false">IF(ISBLANK($C15),"",IF(ISBLANK($N15),0,IF(ISNUMBER($N15),IF(AND($N15&gt;=0,$N15&lt;=Constants!$B$17,$N15=INT($N15)),$N15,""),"")))</f>
        <v/>
      </c>
      <c r="AH15" s="87" t="str">
        <f aca="false">IF(ISBLANK($C15),"",IF(ISBLANK($O15),0,IF(ISNUMBER($O15),IF($O15&gt;=0,$O15,""),"")))</f>
        <v/>
      </c>
      <c r="AI15" s="86" t="str">
        <f aca="false">IF(ISBLANK($C15),"",IF($P15=Constants!$B$2,TRUE(),IF($P15=Constants!$B$3,FALSE(),TRUE())))</f>
        <v/>
      </c>
      <c r="AJ15" s="86" t="str">
        <f aca="false">IF(ISBLANK($C15),"",IF($Q15=Constants!$B$2,TRUE(),IF($Q15=Constants!$B$3,FALSE(),TRUE())))</f>
        <v/>
      </c>
      <c r="AK15" s="86" t="str">
        <f aca="false">IF(ISBLANK($C15),"",IF($R15=Constants!$B$2,TRUE(),IF($R15=Constants!$B$3,FALSE(),TRUE())))</f>
        <v/>
      </c>
      <c r="AL15" s="88" t="str">
        <f aca="false">IF(ISBLANK($C15),"",IF(ISNUMBER($S15),IF($S15&gt;=0,$S15,""),""))</f>
        <v/>
      </c>
      <c r="AM15" s="86" t="str">
        <f aca="false">IF(ISBLANK($C15),"",IF(ISBLANK($T15),0,IF(ISNUMBER($T15),IF(AND($T15&gt;=0,$T15&lt;=Constants!$B$17,$T15=INT($T15)),$T15,""),"")))</f>
        <v/>
      </c>
      <c r="AN15" s="87" t="str">
        <f aca="false">IF(ISBLANK($C15),"",IF(ISBLANK($U15),0,IF(ISNUMBER($U15),IF($U15&gt;=0,$U15,""),"")))</f>
        <v/>
      </c>
      <c r="AO15" s="86" t="str">
        <f aca="false">IF(ISBLANK($C15),"",IF($V15=Constants!$B$2,TRUE(),IF($V15=Constants!$B$3,FALSE(),FALSE())))</f>
        <v/>
      </c>
      <c r="AP15" s="86"/>
      <c r="AQ15" s="85" t="str">
        <f aca="false">IF(ISBLANK($C15),"",AND($Y15,OR($AS15,$BC15),OR($Z15="",$AA15="",$AB15="")))</f>
        <v/>
      </c>
      <c r="AR15" s="85" t="str">
        <f aca="false">IF(ISBLANK($C15),"",IF(OR(NOT($Y15),NOT(OR($AS15,$BC15))),"",IF(ISBLANK($D$7),$AR$5,IF($AP$9="",$AR$6,""))))</f>
        <v/>
      </c>
      <c r="AS15" s="85" t="str">
        <f aca="false">IF(ISBLANK($C15),"",COUNTA($J15:$O15)&gt;0)</f>
        <v/>
      </c>
      <c r="AT15" s="85" t="str">
        <f aca="false">IF(ISBLANK($C15),"",AND($AS15,OR(AND($AF15="",OR($AE15,NOT(ISBLANK($M15)))),$AG15="",$AH15="")))</f>
        <v/>
      </c>
      <c r="AU15" s="87" t="str">
        <f aca="false">IF($BL15&lt;&gt;Constants!$B$4,"",IF(NOT($AS15),"",ROUND((Constants!$B$12-$AB15)+(Constants!$B$13-$Z15)+(Constants!$B$14-$AA15),1)))</f>
        <v/>
      </c>
      <c r="AV15" s="90" t="str">
        <f aca="false">IF($BL15&lt;&gt;Constants!$B$4,"",IF(NOT($AS15),"",IF(NOT($AE15),0,Constants!$B$15*(INT(ROUND(MIN($AF15,$AP$9),6))-INT(ROUND(MAX(0,MIN($AF15,2*$AP$9)-$AP$9),6))))))</f>
        <v/>
      </c>
      <c r="AW15" s="90" t="str">
        <f aca="false">IF($BL15&lt;&gt;Constants!$B$4,"",IF(NOT($AS15),"",Constants!$B$16*$AG15))</f>
        <v/>
      </c>
      <c r="AX15" s="90" t="str">
        <f aca="false">IF($BL15&lt;&gt;Constants!$B$4,"",IF(NOT($AS15),"",Constants!$B$18*INT(ROUND($AH15,6))))</f>
        <v/>
      </c>
      <c r="AY15" s="85" t="str">
        <f aca="false">IF($BL15&lt;&gt;Constants!$B$4,"",IF(NOT($AS15),"",IF(NOT($X15),Constants!$B$11,IF(OR(NOT($AC15),NOT($AD15),ROUND($AB15,1)&gt;Constants!$B$12,ROUND($Z15,1)&gt;Constants!$B$13,ROUND($AA15,1)&gt;Constants!$B$14),Constants!$B$10,Constants!$B$9))))</f>
        <v/>
      </c>
      <c r="AZ15" s="91" t="str">
        <f aca="false">IF($BL15&lt;&gt;Constants!$B$4,"",IF(NOT($AS15),"",ROUND($AU15+$AV15+$AW15+$AX15,1)))</f>
        <v/>
      </c>
      <c r="BA15" s="92" t="str">
        <f aca="false">IF($BL15&lt;&gt;Constants!$B$4,"",IF(NOT($AS15),"",IF(ISNUMBER($AF15),$AF15,0)))</f>
        <v/>
      </c>
      <c r="BB15" s="86" t="str">
        <f aca="false">IF($BL15&lt;&gt;Constants!$B$4,"",IF(NOT($BC15),"&lt;-",IF(NOT($AS15),"-&gt;",IF(OR($BI15&lt;$AY15,AND($BI15=$AY15,OR($BJ15&gt;$AZ15,AND($BJ15=$AZ15,OR($BH15&gt;$AX15,AND($BH15=$AX15,OR($BE15&gt;$AU15,AND($BE15=$AU15,OR($BF15&gt;$AV15,AND($BF15=$AV15,$BK15&gt;$BA15)))))))))),"-&gt;","&lt;-"))))</f>
        <v/>
      </c>
      <c r="BC15" s="85" t="str">
        <f aca="false">IF(ISBLANK($C15),"",COUNTA($P15:$U15)&gt;0)</f>
        <v/>
      </c>
      <c r="BD15" s="85" t="str">
        <f aca="false">IF(ISBLANK($C15),"",AND($BC15,OR(AND($AL15="",OR($AK15,NOT(ISBLANK($S15)))),$AM15="",$AN15="")))</f>
        <v/>
      </c>
      <c r="BE15" s="87" t="str">
        <f aca="false">IF($BL15&lt;&gt;Constants!$B$4,"",IF(NOT($BC15),"",ROUND((Constants!$B$12-$AB15)+(Constants!$B$13-$Z15)+(Constants!$B$14-$AA15),1)))</f>
        <v/>
      </c>
      <c r="BF15" s="90" t="str">
        <f aca="false">IF($BL15&lt;&gt;Constants!$B$4,"",IF(NOT($BC15),"",IF(NOT($AK15),0,Constants!$B$15*(INT(ROUND(MIN($AL15,$AP$9),6))-INT(ROUND(MAX(0,MIN($AL15,2*$AP$9)-$AP$9),6))))))</f>
        <v/>
      </c>
      <c r="BG15" s="90" t="str">
        <f aca="false">IF($BL15&lt;&gt;Constants!$B$4,"",IF(NOT($BC15),"",Constants!$B$16*$AM15))</f>
        <v/>
      </c>
      <c r="BH15" s="90" t="str">
        <f aca="false">IF($BL15&lt;&gt;Constants!$B$4,"",IF(NOT($BC15),"",Constants!$B$18*INT(ROUND($AN15,6))))</f>
        <v/>
      </c>
      <c r="BI15" s="85" t="str">
        <f aca="false">IF($BL15&lt;&gt;Constants!$B$4,"",IF(NOT($BC15),"",IF(NOT($X15),Constants!$B$11,IF(OR(NOT($AI15),NOT($AJ15),ROUND($AB15,1)&gt;Constants!$B$12,ROUND($Z15,1)&gt;Constants!$B$13,ROUND($AA15,1)&gt;Constants!$B$14),Constants!$B$10,Constants!$B$9))))</f>
        <v/>
      </c>
      <c r="BJ15" s="91" t="str">
        <f aca="false">IF($BL15&lt;&gt;Constants!$B$4,"",IF(NOT($BC15),"",ROUND($BE15+$BF15+$BG15+$BH15,1)))</f>
        <v/>
      </c>
      <c r="BK15" s="92" t="str">
        <f aca="false">IF($BL15&lt;&gt;Constants!$B$4,"",IF(NOT($BC15),"",IF(ISNUMBER($AL15),$AL15,0)))</f>
        <v/>
      </c>
      <c r="BL15" s="86" t="str">
        <f aca="false">IF(ISBLANK($C15),"",IF($AO15,Constants!$B$7,IF(COUNTA($E15:$V15)=0,Constants!$B$6,IF(NOT($Y15),Constants!$B$5,IF(NOT(OR($AS15,$BC15)),Constants!$B$5,IF(OR($AT15,$BD15,$AQ15,$AR15&lt;&gt;""),Constants!$B$8,Constants!$B$4))))))</f>
        <v/>
      </c>
      <c r="BM15" s="86" t="str">
        <f aca="false">IF(ISBLANK($C15),"",IF($BL15&lt;&gt;Constants!$B$4,$BL15,IF($BB15="-&gt;",$BI15,$AY15)))</f>
        <v/>
      </c>
      <c r="BN15" s="90" t="str">
        <f aca="false">IF($BL15&lt;&gt;Constants!$B$4,"",IF($BB15="-&gt;",$BJ15,$AZ15))</f>
        <v/>
      </c>
      <c r="BO15" s="90" t="str">
        <f aca="false">IF(ISBLANK($C15),"",IF($BL15&lt;&gt;Constants!$B$4,$BL15,$BN15))</f>
        <v/>
      </c>
      <c r="BP15" s="86" t="str">
        <f aca="false">IF(ISBLANK($C15),"",IF($BL15&lt;&gt;Constants!$B$4,$BL15,RANK($BO15,$BO$9:$BO$508,0)))</f>
        <v/>
      </c>
      <c r="BQ15" s="86" t="str">
        <f aca="false">IF(ISBLANK($C15),"",IF($BL15&lt;&gt;Constants!$B$4,$BL15,COUNTIFS($BM$9:$BM$508,"&lt;"&amp;$BM15)+COUNTIFS($BM$9:$BM$508,$BM15,$BP$9:$BP$508,"&lt;"&amp;$BP15)+1))</f>
        <v/>
      </c>
      <c r="BR15" s="90" t="str">
        <f aca="false">IF($BL15&lt;&gt;Constants!$B$4,"",IF($BB15="-&gt;",$BH15,$AX15))</f>
        <v/>
      </c>
      <c r="BS15" s="86" t="str">
        <f aca="false">IF(ISBLANK($C15),"",IF($BL15&lt;&gt;Constants!$B$4,$BL15,IF(ISNUMBER($BR15),RANK($BR15,$BR$9:$BR$508,0),COUNT($BR$9:$BR$508)+1)))</f>
        <v/>
      </c>
      <c r="BT15" s="90" t="str">
        <f aca="false">IF($BL15&lt;&gt;Constants!$B$4,"",IF($BB15="-&gt;",$BE15,$AU15))</f>
        <v/>
      </c>
      <c r="BU15" s="86" t="str">
        <f aca="false">IF(ISBLANK($C15),"",IF($BL15&lt;&gt;Constants!$B$4,$BL15,IF(ISNUMBER($BT15),RANK($BT15,$BT$9:$BT$508,0),COUNT($BT$9:$BT$508)+1)))</f>
        <v/>
      </c>
      <c r="BV15" s="90" t="str">
        <f aca="false">IF($BL15&lt;&gt;Constants!$B$4,"",IF($BB15="-&gt;",$BF15,$AV15))</f>
        <v/>
      </c>
      <c r="BW15" s="86" t="str">
        <f aca="false">IF(ISBLANK($C15),"",IF($BL15&lt;&gt;Constants!$B$4,$BL15,IF(ISNUMBER($BV15),RANK($BV15,$BV$9:$BV$508,0),COUNT($BV$9:$BV$508)+1)))</f>
        <v/>
      </c>
      <c r="BX15" s="90" t="str">
        <f aca="false">IF($BL15&lt;&gt;Constants!$B$4,"",IF($BB15="-&gt;",$BK15,$BA15))</f>
        <v/>
      </c>
      <c r="BY15" s="86" t="str">
        <f aca="false">IF(ISBLANK($C15),"",IF($BL15&lt;&gt;Constants!$B$4,$BL15,IF(ISNUMBER($BX15),RANK($BX15,$BX$9:$BX$508,0),COUNT($BX$9:$BX$508)+1)))</f>
        <v/>
      </c>
      <c r="BZ15" s="86" t="str">
        <f aca="false">IF(ISBLANK($C15),"",IF($BL15&lt;&gt;Constants!$B$4,$BL15,COUNTIFS($BM$9:$BM$508,"&lt;"&amp;$BM15)+COUNTIFS($BM$9:$BM$508,$BM15,$BP$9:$BP$508,"&lt;"&amp;$BP15)+COUNTIFS($BM$9:$BM$508,$BM15,$BP$9:$BP$508,$BP15,$BS$9:$BS$508,"&lt;"&amp;$BS15)+COUNTIFS($BM$9:$BM$508,$BM15,$BP$9:$BP$508,$BP15,$BS$9:$BS$508,$BS15,$BU$9:$BU$508,"&lt;"&amp;$BU15)+COUNTIFS($BM$9:$BM$508,$BM15,$BP$9:$BP$508,$BP15,$BS$9:$BS$508,$BS15,$BU$9:$BU$508,$BU15,$BW$9:$BW$508,"&lt;"&amp;$BW15)+COUNTIFS($BM$9:$BM$508,$BM15,$BP$9:$BP$508,$BP15,$BS$9:$BS$508,$BS15,$BU$9:$BU$508,$BU15,$BW$9:$BW$508,$BW15,$BY$9:$BY$508,"&lt;"&amp;$BY15)+1))</f>
        <v/>
      </c>
      <c r="CA15" s="86" t="str">
        <f aca="false">IF(ISBLANK($C15),"",IF($BL15&lt;&gt;Constants!$B$4,$BL15,$BQ15-$BZ15))</f>
        <v/>
      </c>
      <c r="CB15" s="93"/>
      <c r="CC15" s="94" t="str">
        <f aca="false">IF(ISBLANK($C15),"",IF($BL15=Constants!$B$8,$AR15,""))</f>
        <v/>
      </c>
      <c r="CD15" s="94" t="str">
        <f aca="false">IF(ISBLANK($C15),"",IF($BL15&lt;&gt;Constants!$B$4,"",IF($BB15="-&gt;",2,1)))</f>
        <v/>
      </c>
      <c r="CE15" s="95" t="str">
        <f aca="false">IF(ISBLANK($C15),"",IF($BL15&lt;&gt;Constants!$B$4,"",IF($BB15="-&gt;",$BE15,$AU15)))</f>
        <v/>
      </c>
      <c r="CF15" s="95" t="str">
        <f aca="false">IF(ISBLANK($C15),"",IF($BL15&lt;&gt;Constants!$B$4,"",IF($BB15="-&gt;",$BF15,$AV15)))</f>
        <v/>
      </c>
      <c r="CG15" s="95" t="str">
        <f aca="false">IF(ISBLANK($C15),"",IF($BL15&lt;&gt;Constants!$B$4,"",IF($BB15="-&gt;",$BG15,$AW15)))</f>
        <v/>
      </c>
      <c r="CH15" s="95" t="str">
        <f aca="false">IF(ISBLANK($C15),"",IF($BL15&lt;&gt;Constants!$B$4,"",IF($BB15="-&gt;",$BH15,$AX15)))</f>
        <v/>
      </c>
      <c r="CI15" s="96" t="str">
        <f aca="false">IF(ISBLANK($C15),"",$BO15)</f>
        <v/>
      </c>
      <c r="CJ15" s="97" t="str">
        <f aca="false">IF(ISBLANK($C15),"",$BM15)</f>
        <v/>
      </c>
      <c r="CK15" s="98" t="str">
        <f aca="false">IF(ISBLANK($C15),"",$CA15)</f>
        <v/>
      </c>
      <c r="CL15" s="98" t="str">
        <f aca="false">IF(ISBLANK($C15),"",$BZ15)</f>
        <v/>
      </c>
      <c r="CM15" s="99" t="str">
        <f aca="false">IF(ISBLANK($C15),"",IF($CL15=Constants!$B$7,COUNTA($C$9:$C$508)+2,IF($CL15=Constants!$B$6,COUNTA($C$9:$C$508)+1,IF($CL15=Constants!$B$5,COUNTA($C$9:$C$508),$CL15))))</f>
        <v/>
      </c>
      <c r="CN15" s="8"/>
      <c r="CO15" s="100" t="n">
        <f aca="false">IF(OR(ISNUMBER($CL15),$CL15=Constants!$B$7,$CL15=Constants!$B$5,$CL15=Constants!$B$6),1,0)</f>
        <v>0</v>
      </c>
      <c r="CP15" s="100" t="n">
        <v>7</v>
      </c>
      <c r="CQ15" s="100" t="str">
        <f aca="false">IF(ISBLANK($C15),"",IF(ISNUMBER($CM15),$CM15+ROW($B15)/1000,""))</f>
        <v/>
      </c>
      <c r="CR15" s="100" t="str">
        <f aca="false">IF(ISNUMBER($CQ15),RANK($CQ15,$CQ$9:$CQ$508,1),"")</f>
        <v/>
      </c>
      <c r="CS15" s="100" t="str">
        <f aca="false">IF(ISBLANK($C15),"",$B15)</f>
        <v/>
      </c>
      <c r="CT15" s="100" t="str">
        <f aca="false">IF(ISBLANK($C15),"",$C15)</f>
        <v/>
      </c>
      <c r="CU15" s="100" t="str">
        <f aca="false">IF(ISBLANK($C15),"",$D15)</f>
        <v/>
      </c>
      <c r="CV15" s="101" t="str">
        <f aca="false">$CJ15</f>
        <v/>
      </c>
      <c r="CW15" s="102" t="str">
        <f aca="false">$CI15</f>
        <v/>
      </c>
      <c r="CX15" s="100" t="str">
        <f aca="false">IF(ISBLANK($C15),"",$CL15)</f>
        <v/>
      </c>
      <c r="CY15" s="103" t="str">
        <f aca="false">IF($CP15&gt;$CO$8,"",VLOOKUP($CP15,$CR$9:$CX$508,7,FALSE()))</f>
        <v/>
      </c>
      <c r="CZ15" s="104" t="str">
        <f aca="false">IF($CP15&gt;$CO$8,"",VLOOKUP($CP15,$CR$9:$CX$508,2,FALSE()))</f>
        <v/>
      </c>
      <c r="DA15" s="104" t="str">
        <f aca="false">IF($CP15&gt;$CO$8,"",VLOOKUP($CP15,$CR$9:$CX$508,3,FALSE()))</f>
        <v/>
      </c>
      <c r="DB15" s="104" t="str">
        <f aca="false">IF($CP15&gt;$CO$8,"",VLOOKUP($CP15,$CR$9:$CX$508,4,FALSE()))</f>
        <v/>
      </c>
      <c r="DC15" s="104" t="str">
        <f aca="false">IF($CP15&gt;$CO$8,"",VLOOKUP($CP15,$CR$9:$CX$508,5,FALSE()))</f>
        <v/>
      </c>
      <c r="DD15" s="105" t="str">
        <f aca="false">IF($CP15&gt;$CO$8,"",VLOOKUP($CP15,$CR$9:$CX$508,6,FALSE()))</f>
        <v/>
      </c>
      <c r="DE15" s="70"/>
    </row>
    <row r="16" customFormat="false" ht="15.75" hidden="false" customHeight="false" outlineLevel="0" collapsed="false">
      <c r="A16" s="8"/>
      <c r="B16" s="106"/>
      <c r="C16" s="107"/>
      <c r="D16" s="74"/>
      <c r="E16" s="75"/>
      <c r="F16" s="108"/>
      <c r="G16" s="77"/>
      <c r="H16" s="77"/>
      <c r="I16" s="77"/>
      <c r="J16" s="78"/>
      <c r="K16" s="79"/>
      <c r="L16" s="79"/>
      <c r="M16" s="80"/>
      <c r="N16" s="79"/>
      <c r="O16" s="81"/>
      <c r="P16" s="79"/>
      <c r="Q16" s="79"/>
      <c r="R16" s="79"/>
      <c r="S16" s="77"/>
      <c r="T16" s="79"/>
      <c r="U16" s="81"/>
      <c r="V16" s="109"/>
      <c r="W16" s="85"/>
      <c r="X16" s="86" t="str">
        <f aca="false">IF(ISBLANK($C16),"",IF($E16=Constants!$B$2,TRUE(),IF($E16=Constants!$B$3,FALSE(),TRUE())))</f>
        <v/>
      </c>
      <c r="Y16" s="86" t="str">
        <f aca="false">IF(ISBLANK($C16),"",IF($F16=Constants!$B$2,TRUE(),IF($F16=Constants!$B$3,FALSE(),TRUE())))</f>
        <v/>
      </c>
      <c r="Z16" s="87" t="str">
        <f aca="false">IF(ISBLANK($C16),"",IF(ISNUMBER($G16),IF($G16&gt;=0,$G16,""),""))</f>
        <v/>
      </c>
      <c r="AA16" s="87" t="str">
        <f aca="false">IF(ISBLANK($C16),"",IF(ISNUMBER($H16),IF($H16&gt;=0,$H16,""),""))</f>
        <v/>
      </c>
      <c r="AB16" s="87" t="str">
        <f aca="false">IF(ISBLANK($C16),"",IF(ISNUMBER($I16),IF($I16&gt;=0,$I16,""),""))</f>
        <v/>
      </c>
      <c r="AC16" s="86" t="str">
        <f aca="false">IF(ISBLANK($C16),"",IF($J16=Constants!$B$2,TRUE(),IF($J16=Constants!$B$3,FALSE(),TRUE())))</f>
        <v/>
      </c>
      <c r="AD16" s="86" t="str">
        <f aca="false">IF(ISBLANK($C16),"",IF($K16=Constants!$B$2,TRUE(),IF($K16=Constants!$B$3,FALSE(),TRUE())))</f>
        <v/>
      </c>
      <c r="AE16" s="86" t="str">
        <f aca="false">IF(ISBLANK($C16),"",IF($L16=Constants!$B$2,TRUE(),IF($L16=Constants!$B$3,FALSE(),TRUE())))</f>
        <v/>
      </c>
      <c r="AF16" s="88" t="str">
        <f aca="false">IF(ISBLANK($C16),"",IF(ISNUMBER($M16),IF($M16&gt;=0,$M16,""),""))</f>
        <v/>
      </c>
      <c r="AG16" s="86" t="str">
        <f aca="false">IF(ISBLANK($C16),"",IF(ISBLANK($N16),0,IF(ISNUMBER($N16),IF(AND($N16&gt;=0,$N16&lt;=Constants!$B$17,$N16=INT($N16)),$N16,""),"")))</f>
        <v/>
      </c>
      <c r="AH16" s="87" t="str">
        <f aca="false">IF(ISBLANK($C16),"",IF(ISBLANK($O16),0,IF(ISNUMBER($O16),IF($O16&gt;=0,$O16,""),"")))</f>
        <v/>
      </c>
      <c r="AI16" s="86" t="str">
        <f aca="false">IF(ISBLANK($C16),"",IF($P16=Constants!$B$2,TRUE(),IF($P16=Constants!$B$3,FALSE(),TRUE())))</f>
        <v/>
      </c>
      <c r="AJ16" s="86" t="str">
        <f aca="false">IF(ISBLANK($C16),"",IF($Q16=Constants!$B$2,TRUE(),IF($Q16=Constants!$B$3,FALSE(),TRUE())))</f>
        <v/>
      </c>
      <c r="AK16" s="86" t="str">
        <f aca="false">IF(ISBLANK($C16),"",IF($R16=Constants!$B$2,TRUE(),IF($R16=Constants!$B$3,FALSE(),TRUE())))</f>
        <v/>
      </c>
      <c r="AL16" s="88" t="str">
        <f aca="false">IF(ISBLANK($C16),"",IF(ISNUMBER($S16),IF($S16&gt;=0,$S16,""),""))</f>
        <v/>
      </c>
      <c r="AM16" s="86" t="str">
        <f aca="false">IF(ISBLANK($C16),"",IF(ISBLANK($T16),0,IF(ISNUMBER($T16),IF(AND($T16&gt;=0,$T16&lt;=Constants!$B$17,$T16=INT($T16)),$T16,""),"")))</f>
        <v/>
      </c>
      <c r="AN16" s="87" t="str">
        <f aca="false">IF(ISBLANK($C16),"",IF(ISBLANK($U16),0,IF(ISNUMBER($U16),IF($U16&gt;=0,$U16,""),"")))</f>
        <v/>
      </c>
      <c r="AO16" s="86" t="str">
        <f aca="false">IF(ISBLANK($C16),"",IF($V16=Constants!$B$2,TRUE(),IF($V16=Constants!$B$3,FALSE(),FALSE())))</f>
        <v/>
      </c>
      <c r="AP16" s="86"/>
      <c r="AQ16" s="85" t="str">
        <f aca="false">IF(ISBLANK($C16),"",AND($Y16,OR($AS16,$BC16),OR($Z16="",$AA16="",$AB16="")))</f>
        <v/>
      </c>
      <c r="AR16" s="85" t="str">
        <f aca="false">IF(ISBLANK($C16),"",IF(OR(NOT($Y16),NOT(OR($AS16,$BC16))),"",IF(ISBLANK($D$7),$AR$5,IF($AP$9="",$AR$6,""))))</f>
        <v/>
      </c>
      <c r="AS16" s="85" t="str">
        <f aca="false">IF(ISBLANK($C16),"",COUNTA($J16:$O16)&gt;0)</f>
        <v/>
      </c>
      <c r="AT16" s="85" t="str">
        <f aca="false">IF(ISBLANK($C16),"",AND($AS16,OR(AND($AF16="",OR($AE16,NOT(ISBLANK($M16)))),$AG16="",$AH16="")))</f>
        <v/>
      </c>
      <c r="AU16" s="87" t="str">
        <f aca="false">IF($BL16&lt;&gt;Constants!$B$4,"",IF(NOT($AS16),"",ROUND((Constants!$B$12-$AB16)+(Constants!$B$13-$Z16)+(Constants!$B$14-$AA16),1)))</f>
        <v/>
      </c>
      <c r="AV16" s="90" t="str">
        <f aca="false">IF($BL16&lt;&gt;Constants!$B$4,"",IF(NOT($AS16),"",IF(NOT($AE16),0,Constants!$B$15*(INT(ROUND(MIN($AF16,$AP$9),6))-INT(ROUND(MAX(0,MIN($AF16,2*$AP$9)-$AP$9),6))))))</f>
        <v/>
      </c>
      <c r="AW16" s="90" t="str">
        <f aca="false">IF($BL16&lt;&gt;Constants!$B$4,"",IF(NOT($AS16),"",Constants!$B$16*$AG16))</f>
        <v/>
      </c>
      <c r="AX16" s="90" t="str">
        <f aca="false">IF($BL16&lt;&gt;Constants!$B$4,"",IF(NOT($AS16),"",Constants!$B$18*INT(ROUND($AH16,6))))</f>
        <v/>
      </c>
      <c r="AY16" s="85" t="str">
        <f aca="false">IF($BL16&lt;&gt;Constants!$B$4,"",IF(NOT($AS16),"",IF(NOT($X16),Constants!$B$11,IF(OR(NOT($AC16),NOT($AD16),ROUND($AB16,1)&gt;Constants!$B$12,ROUND($Z16,1)&gt;Constants!$B$13,ROUND($AA16,1)&gt;Constants!$B$14),Constants!$B$10,Constants!$B$9))))</f>
        <v/>
      </c>
      <c r="AZ16" s="91" t="str">
        <f aca="false">IF($BL16&lt;&gt;Constants!$B$4,"",IF(NOT($AS16),"",ROUND($AU16+$AV16+$AW16+$AX16,1)))</f>
        <v/>
      </c>
      <c r="BA16" s="92" t="str">
        <f aca="false">IF($BL16&lt;&gt;Constants!$B$4,"",IF(NOT($AS16),"",IF(ISNUMBER($AF16),$AF16,0)))</f>
        <v/>
      </c>
      <c r="BB16" s="86" t="str">
        <f aca="false">IF($BL16&lt;&gt;Constants!$B$4,"",IF(NOT($BC16),"&lt;-",IF(NOT($AS16),"-&gt;",IF(OR($BI16&lt;$AY16,AND($BI16=$AY16,OR($BJ16&gt;$AZ16,AND($BJ16=$AZ16,OR($BH16&gt;$AX16,AND($BH16=$AX16,OR($BE16&gt;$AU16,AND($BE16=$AU16,OR($BF16&gt;$AV16,AND($BF16=$AV16,$BK16&gt;$BA16)))))))))),"-&gt;","&lt;-"))))</f>
        <v/>
      </c>
      <c r="BC16" s="85" t="str">
        <f aca="false">IF(ISBLANK($C16),"",COUNTA($P16:$U16)&gt;0)</f>
        <v/>
      </c>
      <c r="BD16" s="85" t="str">
        <f aca="false">IF(ISBLANK($C16),"",AND($BC16,OR(AND($AL16="",OR($AK16,NOT(ISBLANK($S16)))),$AM16="",$AN16="")))</f>
        <v/>
      </c>
      <c r="BE16" s="87" t="str">
        <f aca="false">IF($BL16&lt;&gt;Constants!$B$4,"",IF(NOT($BC16),"",ROUND((Constants!$B$12-$AB16)+(Constants!$B$13-$Z16)+(Constants!$B$14-$AA16),1)))</f>
        <v/>
      </c>
      <c r="BF16" s="90" t="str">
        <f aca="false">IF($BL16&lt;&gt;Constants!$B$4,"",IF(NOT($BC16),"",IF(NOT($AK16),0,Constants!$B$15*(INT(ROUND(MIN($AL16,$AP$9),6))-INT(ROUND(MAX(0,MIN($AL16,2*$AP$9)-$AP$9),6))))))</f>
        <v/>
      </c>
      <c r="BG16" s="90" t="str">
        <f aca="false">IF($BL16&lt;&gt;Constants!$B$4,"",IF(NOT($BC16),"",Constants!$B$16*$AM16))</f>
        <v/>
      </c>
      <c r="BH16" s="90" t="str">
        <f aca="false">IF($BL16&lt;&gt;Constants!$B$4,"",IF(NOT($BC16),"",Constants!$B$18*INT(ROUND($AN16,6))))</f>
        <v/>
      </c>
      <c r="BI16" s="85" t="str">
        <f aca="false">IF($BL16&lt;&gt;Constants!$B$4,"",IF(NOT($BC16),"",IF(NOT($X16),Constants!$B$11,IF(OR(NOT($AI16),NOT($AJ16),ROUND($AB16,1)&gt;Constants!$B$12,ROUND($Z16,1)&gt;Constants!$B$13,ROUND($AA16,1)&gt;Constants!$B$14),Constants!$B$10,Constants!$B$9))))</f>
        <v/>
      </c>
      <c r="BJ16" s="91" t="str">
        <f aca="false">IF($BL16&lt;&gt;Constants!$B$4,"",IF(NOT($BC16),"",ROUND($BE16+$BF16+$BG16+$BH16,1)))</f>
        <v/>
      </c>
      <c r="BK16" s="92" t="str">
        <f aca="false">IF($BL16&lt;&gt;Constants!$B$4,"",IF(NOT($BC16),"",IF(ISNUMBER($AL16),$AL16,0)))</f>
        <v/>
      </c>
      <c r="BL16" s="86" t="str">
        <f aca="false">IF(ISBLANK($C16),"",IF($AO16,Constants!$B$7,IF(COUNTA($E16:$V16)=0,Constants!$B$6,IF(NOT($Y16),Constants!$B$5,IF(NOT(OR($AS16,$BC16)),Constants!$B$5,IF(OR($AT16,$BD16,$AQ16,$AR16&lt;&gt;""),Constants!$B$8,Constants!$B$4))))))</f>
        <v/>
      </c>
      <c r="BM16" s="86" t="str">
        <f aca="false">IF(ISBLANK($C16),"",IF($BL16&lt;&gt;Constants!$B$4,$BL16,IF($BB16="-&gt;",$BI16,$AY16)))</f>
        <v/>
      </c>
      <c r="BN16" s="90" t="str">
        <f aca="false">IF($BL16&lt;&gt;Constants!$B$4,"",IF($BB16="-&gt;",$BJ16,$AZ16))</f>
        <v/>
      </c>
      <c r="BO16" s="90" t="str">
        <f aca="false">IF(ISBLANK($C16),"",IF($BL16&lt;&gt;Constants!$B$4,$BL16,$BN16))</f>
        <v/>
      </c>
      <c r="BP16" s="86" t="str">
        <f aca="false">IF(ISBLANK($C16),"",IF($BL16&lt;&gt;Constants!$B$4,$BL16,RANK($BO16,$BO$9:$BO$508,0)))</f>
        <v/>
      </c>
      <c r="BQ16" s="86" t="str">
        <f aca="false">IF(ISBLANK($C16),"",IF($BL16&lt;&gt;Constants!$B$4,$BL16,COUNTIFS($BM$9:$BM$508,"&lt;"&amp;$BM16)+COUNTIFS($BM$9:$BM$508,$BM16,$BP$9:$BP$508,"&lt;"&amp;$BP16)+1))</f>
        <v/>
      </c>
      <c r="BR16" s="90" t="str">
        <f aca="false">IF($BL16&lt;&gt;Constants!$B$4,"",IF($BB16="-&gt;",$BH16,$AX16))</f>
        <v/>
      </c>
      <c r="BS16" s="86" t="str">
        <f aca="false">IF(ISBLANK($C16),"",IF($BL16&lt;&gt;Constants!$B$4,$BL16,IF(ISNUMBER($BR16),RANK($BR16,$BR$9:$BR$508,0),COUNT($BR$9:$BR$508)+1)))</f>
        <v/>
      </c>
      <c r="BT16" s="90" t="str">
        <f aca="false">IF($BL16&lt;&gt;Constants!$B$4,"",IF($BB16="-&gt;",$BE16,$AU16))</f>
        <v/>
      </c>
      <c r="BU16" s="86" t="str">
        <f aca="false">IF(ISBLANK($C16),"",IF($BL16&lt;&gt;Constants!$B$4,$BL16,IF(ISNUMBER($BT16),RANK($BT16,$BT$9:$BT$508,0),COUNT($BT$9:$BT$508)+1)))</f>
        <v/>
      </c>
      <c r="BV16" s="90" t="str">
        <f aca="false">IF($BL16&lt;&gt;Constants!$B$4,"",IF($BB16="-&gt;",$BF16,$AV16))</f>
        <v/>
      </c>
      <c r="BW16" s="86" t="str">
        <f aca="false">IF(ISBLANK($C16),"",IF($BL16&lt;&gt;Constants!$B$4,$BL16,IF(ISNUMBER($BV16),RANK($BV16,$BV$9:$BV$508,0),COUNT($BV$9:$BV$508)+1)))</f>
        <v/>
      </c>
      <c r="BX16" s="90" t="str">
        <f aca="false">IF($BL16&lt;&gt;Constants!$B$4,"",IF($BB16="-&gt;",$BK16,$BA16))</f>
        <v/>
      </c>
      <c r="BY16" s="86" t="str">
        <f aca="false">IF(ISBLANK($C16),"",IF($BL16&lt;&gt;Constants!$B$4,$BL16,IF(ISNUMBER($BX16),RANK($BX16,$BX$9:$BX$508,0),COUNT($BX$9:$BX$508)+1)))</f>
        <v/>
      </c>
      <c r="BZ16" s="86" t="str">
        <f aca="false">IF(ISBLANK($C16),"",IF($BL16&lt;&gt;Constants!$B$4,$BL16,COUNTIFS($BM$9:$BM$508,"&lt;"&amp;$BM16)+COUNTIFS($BM$9:$BM$508,$BM16,$BP$9:$BP$508,"&lt;"&amp;$BP16)+COUNTIFS($BM$9:$BM$508,$BM16,$BP$9:$BP$508,$BP16,$BS$9:$BS$508,"&lt;"&amp;$BS16)+COUNTIFS($BM$9:$BM$508,$BM16,$BP$9:$BP$508,$BP16,$BS$9:$BS$508,$BS16,$BU$9:$BU$508,"&lt;"&amp;$BU16)+COUNTIFS($BM$9:$BM$508,$BM16,$BP$9:$BP$508,$BP16,$BS$9:$BS$508,$BS16,$BU$9:$BU$508,$BU16,$BW$9:$BW$508,"&lt;"&amp;$BW16)+COUNTIFS($BM$9:$BM$508,$BM16,$BP$9:$BP$508,$BP16,$BS$9:$BS$508,$BS16,$BU$9:$BU$508,$BU16,$BW$9:$BW$508,$BW16,$BY$9:$BY$508,"&lt;"&amp;$BY16)+1))</f>
        <v/>
      </c>
      <c r="CA16" s="86" t="str">
        <f aca="false">IF(ISBLANK($C16),"",IF($BL16&lt;&gt;Constants!$B$4,$BL16,$BQ16-$BZ16))</f>
        <v/>
      </c>
      <c r="CB16" s="93"/>
      <c r="CC16" s="94" t="str">
        <f aca="false">IF(ISBLANK($C16),"",IF($BL16=Constants!$B$8,$AR16,""))</f>
        <v/>
      </c>
      <c r="CD16" s="94" t="str">
        <f aca="false">IF(ISBLANK($C16),"",IF($BL16&lt;&gt;Constants!$B$4,"",IF($BB16="-&gt;",2,1)))</f>
        <v/>
      </c>
      <c r="CE16" s="95" t="str">
        <f aca="false">IF(ISBLANK($C16),"",IF($BL16&lt;&gt;Constants!$B$4,"",IF($BB16="-&gt;",$BE16,$AU16)))</f>
        <v/>
      </c>
      <c r="CF16" s="95" t="str">
        <f aca="false">IF(ISBLANK($C16),"",IF($BL16&lt;&gt;Constants!$B$4,"",IF($BB16="-&gt;",$BF16,$AV16)))</f>
        <v/>
      </c>
      <c r="CG16" s="95" t="str">
        <f aca="false">IF(ISBLANK($C16),"",IF($BL16&lt;&gt;Constants!$B$4,"",IF($BB16="-&gt;",$BG16,$AW16)))</f>
        <v/>
      </c>
      <c r="CH16" s="95" t="str">
        <f aca="false">IF(ISBLANK($C16),"",IF($BL16&lt;&gt;Constants!$B$4,"",IF($BB16="-&gt;",$BH16,$AX16)))</f>
        <v/>
      </c>
      <c r="CI16" s="96" t="str">
        <f aca="false">IF(ISBLANK($C16),"",$BO16)</f>
        <v/>
      </c>
      <c r="CJ16" s="97" t="str">
        <f aca="false">IF(ISBLANK($C16),"",$BM16)</f>
        <v/>
      </c>
      <c r="CK16" s="98" t="str">
        <f aca="false">IF(ISBLANK($C16),"",$CA16)</f>
        <v/>
      </c>
      <c r="CL16" s="98" t="str">
        <f aca="false">IF(ISBLANK($C16),"",$BZ16)</f>
        <v/>
      </c>
      <c r="CM16" s="99" t="str">
        <f aca="false">IF(ISBLANK($C16),"",IF($CL16=Constants!$B$7,COUNTA($C$9:$C$508)+2,IF($CL16=Constants!$B$6,COUNTA($C$9:$C$508)+1,IF($CL16=Constants!$B$5,COUNTA($C$9:$C$508),$CL16))))</f>
        <v/>
      </c>
      <c r="CN16" s="8"/>
      <c r="CO16" s="100" t="n">
        <f aca="false">IF(OR(ISNUMBER($CL16),$CL16=Constants!$B$7,$CL16=Constants!$B$5,$CL16=Constants!$B$6),1,0)</f>
        <v>0</v>
      </c>
      <c r="CP16" s="100" t="n">
        <v>8</v>
      </c>
      <c r="CQ16" s="100" t="str">
        <f aca="false">IF(ISBLANK($C16),"",IF(ISNUMBER($CM16),$CM16+ROW($B16)/1000,""))</f>
        <v/>
      </c>
      <c r="CR16" s="100" t="str">
        <f aca="false">IF(ISNUMBER($CQ16),RANK($CQ16,$CQ$9:$CQ$508,1),"")</f>
        <v/>
      </c>
      <c r="CS16" s="100" t="str">
        <f aca="false">IF(ISBLANK($C16),"",$B16)</f>
        <v/>
      </c>
      <c r="CT16" s="100" t="str">
        <f aca="false">IF(ISBLANK($C16),"",$C16)</f>
        <v/>
      </c>
      <c r="CU16" s="100" t="str">
        <f aca="false">IF(ISBLANK($C16),"",$D16)</f>
        <v/>
      </c>
      <c r="CV16" s="101" t="str">
        <f aca="false">$CJ16</f>
        <v/>
      </c>
      <c r="CW16" s="102" t="str">
        <f aca="false">$CI16</f>
        <v/>
      </c>
      <c r="CX16" s="100" t="str">
        <f aca="false">IF(ISBLANK($C16),"",$CL16)</f>
        <v/>
      </c>
      <c r="CY16" s="103" t="str">
        <f aca="false">IF($CP16&gt;$CO$8,"",VLOOKUP($CP16,$CR$9:$CX$508,7,FALSE()))</f>
        <v/>
      </c>
      <c r="CZ16" s="104" t="str">
        <f aca="false">IF($CP16&gt;$CO$8,"",VLOOKUP($CP16,$CR$9:$CX$508,2,FALSE()))</f>
        <v/>
      </c>
      <c r="DA16" s="104" t="str">
        <f aca="false">IF($CP16&gt;$CO$8,"",VLOOKUP($CP16,$CR$9:$CX$508,3,FALSE()))</f>
        <v/>
      </c>
      <c r="DB16" s="104" t="str">
        <f aca="false">IF($CP16&gt;$CO$8,"",VLOOKUP($CP16,$CR$9:$CX$508,4,FALSE()))</f>
        <v/>
      </c>
      <c r="DC16" s="104" t="str">
        <f aca="false">IF($CP16&gt;$CO$8,"",VLOOKUP($CP16,$CR$9:$CX$508,5,FALSE()))</f>
        <v/>
      </c>
      <c r="DD16" s="105" t="str">
        <f aca="false">IF($CP16&gt;$CO$8,"",VLOOKUP($CP16,$CR$9:$CX$508,6,FALSE()))</f>
        <v/>
      </c>
      <c r="DE16" s="70"/>
    </row>
    <row r="17" customFormat="false" ht="15.75" hidden="false" customHeight="false" outlineLevel="0" collapsed="false">
      <c r="A17" s="8"/>
      <c r="B17" s="106"/>
      <c r="C17" s="107"/>
      <c r="D17" s="74"/>
      <c r="E17" s="75"/>
      <c r="F17" s="108"/>
      <c r="G17" s="77"/>
      <c r="H17" s="77"/>
      <c r="I17" s="77"/>
      <c r="J17" s="78"/>
      <c r="K17" s="79"/>
      <c r="L17" s="79"/>
      <c r="M17" s="80"/>
      <c r="N17" s="79"/>
      <c r="O17" s="81"/>
      <c r="P17" s="79"/>
      <c r="Q17" s="79"/>
      <c r="R17" s="79"/>
      <c r="S17" s="77"/>
      <c r="T17" s="79"/>
      <c r="U17" s="81"/>
      <c r="V17" s="109"/>
      <c r="W17" s="85"/>
      <c r="X17" s="86" t="str">
        <f aca="false">IF(ISBLANK($C17),"",IF($E17=Constants!$B$2,TRUE(),IF($E17=Constants!$B$3,FALSE(),TRUE())))</f>
        <v/>
      </c>
      <c r="Y17" s="86" t="str">
        <f aca="false">IF(ISBLANK($C17),"",IF($F17=Constants!$B$2,TRUE(),IF($F17=Constants!$B$3,FALSE(),TRUE())))</f>
        <v/>
      </c>
      <c r="Z17" s="87" t="str">
        <f aca="false">IF(ISBLANK($C17),"",IF(ISNUMBER($G17),IF($G17&gt;=0,$G17,""),""))</f>
        <v/>
      </c>
      <c r="AA17" s="87" t="str">
        <f aca="false">IF(ISBLANK($C17),"",IF(ISNUMBER($H17),IF($H17&gt;=0,$H17,""),""))</f>
        <v/>
      </c>
      <c r="AB17" s="87" t="str">
        <f aca="false">IF(ISBLANK($C17),"",IF(ISNUMBER($I17),IF($I17&gt;=0,$I17,""),""))</f>
        <v/>
      </c>
      <c r="AC17" s="86" t="str">
        <f aca="false">IF(ISBLANK($C17),"",IF($J17=Constants!$B$2,TRUE(),IF($J17=Constants!$B$3,FALSE(),TRUE())))</f>
        <v/>
      </c>
      <c r="AD17" s="86" t="str">
        <f aca="false">IF(ISBLANK($C17),"",IF($K17=Constants!$B$2,TRUE(),IF($K17=Constants!$B$3,FALSE(),TRUE())))</f>
        <v/>
      </c>
      <c r="AE17" s="86" t="str">
        <f aca="false">IF(ISBLANK($C17),"",IF($L17=Constants!$B$2,TRUE(),IF($L17=Constants!$B$3,FALSE(),TRUE())))</f>
        <v/>
      </c>
      <c r="AF17" s="88" t="str">
        <f aca="false">IF(ISBLANK($C17),"",IF(ISNUMBER($M17),IF($M17&gt;=0,$M17,""),""))</f>
        <v/>
      </c>
      <c r="AG17" s="86" t="str">
        <f aca="false">IF(ISBLANK($C17),"",IF(ISBLANK($N17),0,IF(ISNUMBER($N17),IF(AND($N17&gt;=0,$N17&lt;=Constants!$B$17,$N17=INT($N17)),$N17,""),"")))</f>
        <v/>
      </c>
      <c r="AH17" s="87" t="str">
        <f aca="false">IF(ISBLANK($C17),"",IF(ISBLANK($O17),0,IF(ISNUMBER($O17),IF($O17&gt;=0,$O17,""),"")))</f>
        <v/>
      </c>
      <c r="AI17" s="86" t="str">
        <f aca="false">IF(ISBLANK($C17),"",IF($P17=Constants!$B$2,TRUE(),IF($P17=Constants!$B$3,FALSE(),TRUE())))</f>
        <v/>
      </c>
      <c r="AJ17" s="86" t="str">
        <f aca="false">IF(ISBLANK($C17),"",IF($Q17=Constants!$B$2,TRUE(),IF($Q17=Constants!$B$3,FALSE(),TRUE())))</f>
        <v/>
      </c>
      <c r="AK17" s="86" t="str">
        <f aca="false">IF(ISBLANK($C17),"",IF($R17=Constants!$B$2,TRUE(),IF($R17=Constants!$B$3,FALSE(),TRUE())))</f>
        <v/>
      </c>
      <c r="AL17" s="88" t="str">
        <f aca="false">IF(ISBLANK($C17),"",IF(ISNUMBER($S17),IF($S17&gt;=0,$S17,""),""))</f>
        <v/>
      </c>
      <c r="AM17" s="86" t="str">
        <f aca="false">IF(ISBLANK($C17),"",IF(ISBLANK($T17),0,IF(ISNUMBER($T17),IF(AND($T17&gt;=0,$T17&lt;=Constants!$B$17,$T17=INT($T17)),$T17,""),"")))</f>
        <v/>
      </c>
      <c r="AN17" s="87" t="str">
        <f aca="false">IF(ISBLANK($C17),"",IF(ISBLANK($U17),0,IF(ISNUMBER($U17),IF($U17&gt;=0,$U17,""),"")))</f>
        <v/>
      </c>
      <c r="AO17" s="86" t="str">
        <f aca="false">IF(ISBLANK($C17),"",IF($V17=Constants!$B$2,TRUE(),IF($V17=Constants!$B$3,FALSE(),FALSE())))</f>
        <v/>
      </c>
      <c r="AP17" s="86"/>
      <c r="AQ17" s="85" t="str">
        <f aca="false">IF(ISBLANK($C17),"",AND($Y17,OR($AS17,$BC17),OR($Z17="",$AA17="",$AB17="")))</f>
        <v/>
      </c>
      <c r="AR17" s="85" t="str">
        <f aca="false">IF(ISBLANK($C17),"",IF(OR(NOT($Y17),NOT(OR($AS17,$BC17))),"",IF(ISBLANK($D$7),$AR$5,IF($AP$9="",$AR$6,""))))</f>
        <v/>
      </c>
      <c r="AS17" s="85" t="str">
        <f aca="false">IF(ISBLANK($C17),"",COUNTA($J17:$O17)&gt;0)</f>
        <v/>
      </c>
      <c r="AT17" s="85" t="str">
        <f aca="false">IF(ISBLANK($C17),"",AND($AS17,OR(AND($AF17="",OR($AE17,NOT(ISBLANK($M17)))),$AG17="",$AH17="")))</f>
        <v/>
      </c>
      <c r="AU17" s="87" t="str">
        <f aca="false">IF($BL17&lt;&gt;Constants!$B$4,"",IF(NOT($AS17),"",ROUND((Constants!$B$12-$AB17)+(Constants!$B$13-$Z17)+(Constants!$B$14-$AA17),1)))</f>
        <v/>
      </c>
      <c r="AV17" s="90" t="str">
        <f aca="false">IF($BL17&lt;&gt;Constants!$B$4,"",IF(NOT($AS17),"",IF(NOT($AE17),0,Constants!$B$15*(INT(ROUND(MIN($AF17,$AP$9),6))-INT(ROUND(MAX(0,MIN($AF17,2*$AP$9)-$AP$9),6))))))</f>
        <v/>
      </c>
      <c r="AW17" s="90" t="str">
        <f aca="false">IF($BL17&lt;&gt;Constants!$B$4,"",IF(NOT($AS17),"",Constants!$B$16*$AG17))</f>
        <v/>
      </c>
      <c r="AX17" s="90" t="str">
        <f aca="false">IF($BL17&lt;&gt;Constants!$B$4,"",IF(NOT($AS17),"",Constants!$B$18*INT(ROUND($AH17,6))))</f>
        <v/>
      </c>
      <c r="AY17" s="85" t="str">
        <f aca="false">IF($BL17&lt;&gt;Constants!$B$4,"",IF(NOT($AS17),"",IF(NOT($X17),Constants!$B$11,IF(OR(NOT($AC17),NOT($AD17),ROUND($AB17,1)&gt;Constants!$B$12,ROUND($Z17,1)&gt;Constants!$B$13,ROUND($AA17,1)&gt;Constants!$B$14),Constants!$B$10,Constants!$B$9))))</f>
        <v/>
      </c>
      <c r="AZ17" s="91" t="str">
        <f aca="false">IF($BL17&lt;&gt;Constants!$B$4,"",IF(NOT($AS17),"",ROUND($AU17+$AV17+$AW17+$AX17,1)))</f>
        <v/>
      </c>
      <c r="BA17" s="92" t="str">
        <f aca="false">IF($BL17&lt;&gt;Constants!$B$4,"",IF(NOT($AS17),"",IF(ISNUMBER($AF17),$AF17,0)))</f>
        <v/>
      </c>
      <c r="BB17" s="86" t="str">
        <f aca="false">IF($BL17&lt;&gt;Constants!$B$4,"",IF(NOT($BC17),"&lt;-",IF(NOT($AS17),"-&gt;",IF(OR($BI17&lt;$AY17,AND($BI17=$AY17,OR($BJ17&gt;$AZ17,AND($BJ17=$AZ17,OR($BH17&gt;$AX17,AND($BH17=$AX17,OR($BE17&gt;$AU17,AND($BE17=$AU17,OR($BF17&gt;$AV17,AND($BF17=$AV17,$BK17&gt;$BA17)))))))))),"-&gt;","&lt;-"))))</f>
        <v/>
      </c>
      <c r="BC17" s="85" t="str">
        <f aca="false">IF(ISBLANK($C17),"",COUNTA($P17:$U17)&gt;0)</f>
        <v/>
      </c>
      <c r="BD17" s="85" t="str">
        <f aca="false">IF(ISBLANK($C17),"",AND($BC17,OR(AND($AL17="",OR($AK17,NOT(ISBLANK($S17)))),$AM17="",$AN17="")))</f>
        <v/>
      </c>
      <c r="BE17" s="87" t="str">
        <f aca="false">IF($BL17&lt;&gt;Constants!$B$4,"",IF(NOT($BC17),"",ROUND((Constants!$B$12-$AB17)+(Constants!$B$13-$Z17)+(Constants!$B$14-$AA17),1)))</f>
        <v/>
      </c>
      <c r="BF17" s="90" t="str">
        <f aca="false">IF($BL17&lt;&gt;Constants!$B$4,"",IF(NOT($BC17),"",IF(NOT($AK17),0,Constants!$B$15*(INT(ROUND(MIN($AL17,$AP$9),6))-INT(ROUND(MAX(0,MIN($AL17,2*$AP$9)-$AP$9),6))))))</f>
        <v/>
      </c>
      <c r="BG17" s="90" t="str">
        <f aca="false">IF($BL17&lt;&gt;Constants!$B$4,"",IF(NOT($BC17),"",Constants!$B$16*$AM17))</f>
        <v/>
      </c>
      <c r="BH17" s="90" t="str">
        <f aca="false">IF($BL17&lt;&gt;Constants!$B$4,"",IF(NOT($BC17),"",Constants!$B$18*INT(ROUND($AN17,6))))</f>
        <v/>
      </c>
      <c r="BI17" s="85" t="str">
        <f aca="false">IF($BL17&lt;&gt;Constants!$B$4,"",IF(NOT($BC17),"",IF(NOT($X17),Constants!$B$11,IF(OR(NOT($AI17),NOT($AJ17),ROUND($AB17,1)&gt;Constants!$B$12,ROUND($Z17,1)&gt;Constants!$B$13,ROUND($AA17,1)&gt;Constants!$B$14),Constants!$B$10,Constants!$B$9))))</f>
        <v/>
      </c>
      <c r="BJ17" s="91" t="str">
        <f aca="false">IF($BL17&lt;&gt;Constants!$B$4,"",IF(NOT($BC17),"",ROUND($BE17+$BF17+$BG17+$BH17,1)))</f>
        <v/>
      </c>
      <c r="BK17" s="92" t="str">
        <f aca="false">IF($BL17&lt;&gt;Constants!$B$4,"",IF(NOT($BC17),"",IF(ISNUMBER($AL17),$AL17,0)))</f>
        <v/>
      </c>
      <c r="BL17" s="86" t="str">
        <f aca="false">IF(ISBLANK($C17),"",IF($AO17,Constants!$B$7,IF(COUNTA($E17:$V17)=0,Constants!$B$6,IF(NOT($Y17),Constants!$B$5,IF(NOT(OR($AS17,$BC17)),Constants!$B$5,IF(OR($AT17,$BD17,$AQ17,$AR17&lt;&gt;""),Constants!$B$8,Constants!$B$4))))))</f>
        <v/>
      </c>
      <c r="BM17" s="86" t="str">
        <f aca="false">IF(ISBLANK($C17),"",IF($BL17&lt;&gt;Constants!$B$4,$BL17,IF($BB17="-&gt;",$BI17,$AY17)))</f>
        <v/>
      </c>
      <c r="BN17" s="90" t="str">
        <f aca="false">IF($BL17&lt;&gt;Constants!$B$4,"",IF($BB17="-&gt;",$BJ17,$AZ17))</f>
        <v/>
      </c>
      <c r="BO17" s="90" t="str">
        <f aca="false">IF(ISBLANK($C17),"",IF($BL17&lt;&gt;Constants!$B$4,$BL17,$BN17))</f>
        <v/>
      </c>
      <c r="BP17" s="86" t="str">
        <f aca="false">IF(ISBLANK($C17),"",IF($BL17&lt;&gt;Constants!$B$4,$BL17,RANK($BO17,$BO$9:$BO$508,0)))</f>
        <v/>
      </c>
      <c r="BQ17" s="86" t="str">
        <f aca="false">IF(ISBLANK($C17),"",IF($BL17&lt;&gt;Constants!$B$4,$BL17,COUNTIFS($BM$9:$BM$508,"&lt;"&amp;$BM17)+COUNTIFS($BM$9:$BM$508,$BM17,$BP$9:$BP$508,"&lt;"&amp;$BP17)+1))</f>
        <v/>
      </c>
      <c r="BR17" s="90" t="str">
        <f aca="false">IF($BL17&lt;&gt;Constants!$B$4,"",IF($BB17="-&gt;",$BH17,$AX17))</f>
        <v/>
      </c>
      <c r="BS17" s="86" t="str">
        <f aca="false">IF(ISBLANK($C17),"",IF($BL17&lt;&gt;Constants!$B$4,$BL17,IF(ISNUMBER($BR17),RANK($BR17,$BR$9:$BR$508,0),COUNT($BR$9:$BR$508)+1)))</f>
        <v/>
      </c>
      <c r="BT17" s="90" t="str">
        <f aca="false">IF($BL17&lt;&gt;Constants!$B$4,"",IF($BB17="-&gt;",$BE17,$AU17))</f>
        <v/>
      </c>
      <c r="BU17" s="86" t="str">
        <f aca="false">IF(ISBLANK($C17),"",IF($BL17&lt;&gt;Constants!$B$4,$BL17,IF(ISNUMBER($BT17),RANK($BT17,$BT$9:$BT$508,0),COUNT($BT$9:$BT$508)+1)))</f>
        <v/>
      </c>
      <c r="BV17" s="90" t="str">
        <f aca="false">IF($BL17&lt;&gt;Constants!$B$4,"",IF($BB17="-&gt;",$BF17,$AV17))</f>
        <v/>
      </c>
      <c r="BW17" s="86" t="str">
        <f aca="false">IF(ISBLANK($C17),"",IF($BL17&lt;&gt;Constants!$B$4,$BL17,IF(ISNUMBER($BV17),RANK($BV17,$BV$9:$BV$508,0),COUNT($BV$9:$BV$508)+1)))</f>
        <v/>
      </c>
      <c r="BX17" s="90" t="str">
        <f aca="false">IF($BL17&lt;&gt;Constants!$B$4,"",IF($BB17="-&gt;",$BK17,$BA17))</f>
        <v/>
      </c>
      <c r="BY17" s="86" t="str">
        <f aca="false">IF(ISBLANK($C17),"",IF($BL17&lt;&gt;Constants!$B$4,$BL17,IF(ISNUMBER($BX17),RANK($BX17,$BX$9:$BX$508,0),COUNT($BX$9:$BX$508)+1)))</f>
        <v/>
      </c>
      <c r="BZ17" s="86" t="str">
        <f aca="false">IF(ISBLANK($C17),"",IF($BL17&lt;&gt;Constants!$B$4,$BL17,COUNTIFS($BM$9:$BM$508,"&lt;"&amp;$BM17)+COUNTIFS($BM$9:$BM$508,$BM17,$BP$9:$BP$508,"&lt;"&amp;$BP17)+COUNTIFS($BM$9:$BM$508,$BM17,$BP$9:$BP$508,$BP17,$BS$9:$BS$508,"&lt;"&amp;$BS17)+COUNTIFS($BM$9:$BM$508,$BM17,$BP$9:$BP$508,$BP17,$BS$9:$BS$508,$BS17,$BU$9:$BU$508,"&lt;"&amp;$BU17)+COUNTIFS($BM$9:$BM$508,$BM17,$BP$9:$BP$508,$BP17,$BS$9:$BS$508,$BS17,$BU$9:$BU$508,$BU17,$BW$9:$BW$508,"&lt;"&amp;$BW17)+COUNTIFS($BM$9:$BM$508,$BM17,$BP$9:$BP$508,$BP17,$BS$9:$BS$508,$BS17,$BU$9:$BU$508,$BU17,$BW$9:$BW$508,$BW17,$BY$9:$BY$508,"&lt;"&amp;$BY17)+1))</f>
        <v/>
      </c>
      <c r="CA17" s="86" t="str">
        <f aca="false">IF(ISBLANK($C17),"",IF($BL17&lt;&gt;Constants!$B$4,$BL17,$BQ17-$BZ17))</f>
        <v/>
      </c>
      <c r="CB17" s="93"/>
      <c r="CC17" s="94" t="str">
        <f aca="false">IF(ISBLANK($C17),"",IF($BL17=Constants!$B$8,$AR17,""))</f>
        <v/>
      </c>
      <c r="CD17" s="94" t="str">
        <f aca="false">IF(ISBLANK($C17),"",IF($BL17&lt;&gt;Constants!$B$4,"",IF($BB17="-&gt;",2,1)))</f>
        <v/>
      </c>
      <c r="CE17" s="95" t="str">
        <f aca="false">IF(ISBLANK($C17),"",IF($BL17&lt;&gt;Constants!$B$4,"",IF($BB17="-&gt;",$BE17,$AU17)))</f>
        <v/>
      </c>
      <c r="CF17" s="95" t="str">
        <f aca="false">IF(ISBLANK($C17),"",IF($BL17&lt;&gt;Constants!$B$4,"",IF($BB17="-&gt;",$BF17,$AV17)))</f>
        <v/>
      </c>
      <c r="CG17" s="95" t="str">
        <f aca="false">IF(ISBLANK($C17),"",IF($BL17&lt;&gt;Constants!$B$4,"",IF($BB17="-&gt;",$BG17,$AW17)))</f>
        <v/>
      </c>
      <c r="CH17" s="95" t="str">
        <f aca="false">IF(ISBLANK($C17),"",IF($BL17&lt;&gt;Constants!$B$4,"",IF($BB17="-&gt;",$BH17,$AX17)))</f>
        <v/>
      </c>
      <c r="CI17" s="96" t="str">
        <f aca="false">IF(ISBLANK($C17),"",$BO17)</f>
        <v/>
      </c>
      <c r="CJ17" s="97" t="str">
        <f aca="false">IF(ISBLANK($C17),"",$BM17)</f>
        <v/>
      </c>
      <c r="CK17" s="98" t="str">
        <f aca="false">IF(ISBLANK($C17),"",$CA17)</f>
        <v/>
      </c>
      <c r="CL17" s="98" t="str">
        <f aca="false">IF(ISBLANK($C17),"",$BZ17)</f>
        <v/>
      </c>
      <c r="CM17" s="99" t="str">
        <f aca="false">IF(ISBLANK($C17),"",IF($CL17=Constants!$B$7,COUNTA($C$9:$C$508)+2,IF($CL17=Constants!$B$6,COUNTA($C$9:$C$508)+1,IF($CL17=Constants!$B$5,COUNTA($C$9:$C$508),$CL17))))</f>
        <v/>
      </c>
      <c r="CN17" s="8"/>
      <c r="CO17" s="100" t="n">
        <f aca="false">IF(OR(ISNUMBER($CL17),$CL17=Constants!$B$7,$CL17=Constants!$B$5,$CL17=Constants!$B$6),1,0)</f>
        <v>0</v>
      </c>
      <c r="CP17" s="100" t="n">
        <v>9</v>
      </c>
      <c r="CQ17" s="100" t="str">
        <f aca="false">IF(ISBLANK($C17),"",IF(ISNUMBER($CM17),$CM17+ROW($B17)/1000,""))</f>
        <v/>
      </c>
      <c r="CR17" s="100" t="str">
        <f aca="false">IF(ISNUMBER($CQ17),RANK($CQ17,$CQ$9:$CQ$508,1),"")</f>
        <v/>
      </c>
      <c r="CS17" s="100" t="str">
        <f aca="false">IF(ISBLANK($C17),"",$B17)</f>
        <v/>
      </c>
      <c r="CT17" s="100" t="str">
        <f aca="false">IF(ISBLANK($C17),"",$C17)</f>
        <v/>
      </c>
      <c r="CU17" s="100" t="str">
        <f aca="false">IF(ISBLANK($C17),"",$D17)</f>
        <v/>
      </c>
      <c r="CV17" s="101" t="str">
        <f aca="false">$CJ17</f>
        <v/>
      </c>
      <c r="CW17" s="102" t="str">
        <f aca="false">$CI17</f>
        <v/>
      </c>
      <c r="CX17" s="100" t="str">
        <f aca="false">IF(ISBLANK($C17),"",$CL17)</f>
        <v/>
      </c>
      <c r="CY17" s="103" t="str">
        <f aca="false">IF($CP17&gt;$CO$8,"",VLOOKUP($CP17,$CR$9:$CX$508,7,FALSE()))</f>
        <v/>
      </c>
      <c r="CZ17" s="104" t="str">
        <f aca="false">IF($CP17&gt;$CO$8,"",VLOOKUP($CP17,$CR$9:$CX$508,2,FALSE()))</f>
        <v/>
      </c>
      <c r="DA17" s="104" t="str">
        <f aca="false">IF($CP17&gt;$CO$8,"",VLOOKUP($CP17,$CR$9:$CX$508,3,FALSE()))</f>
        <v/>
      </c>
      <c r="DB17" s="104" t="str">
        <f aca="false">IF($CP17&gt;$CO$8,"",VLOOKUP($CP17,$CR$9:$CX$508,4,FALSE()))</f>
        <v/>
      </c>
      <c r="DC17" s="104" t="str">
        <f aca="false">IF($CP17&gt;$CO$8,"",VLOOKUP($CP17,$CR$9:$CX$508,5,FALSE()))</f>
        <v/>
      </c>
      <c r="DD17" s="105" t="str">
        <f aca="false">IF($CP17&gt;$CO$8,"",VLOOKUP($CP17,$CR$9:$CX$508,6,FALSE()))</f>
        <v/>
      </c>
      <c r="DE17" s="70"/>
    </row>
    <row r="18" customFormat="false" ht="15.75" hidden="false" customHeight="false" outlineLevel="0" collapsed="false">
      <c r="A18" s="8"/>
      <c r="B18" s="146"/>
      <c r="C18" s="147"/>
      <c r="D18" s="148"/>
      <c r="E18" s="149"/>
      <c r="F18" s="150"/>
      <c r="G18" s="115"/>
      <c r="H18" s="115"/>
      <c r="I18" s="115"/>
      <c r="J18" s="151"/>
      <c r="K18" s="152"/>
      <c r="L18" s="152"/>
      <c r="M18" s="118"/>
      <c r="N18" s="152"/>
      <c r="O18" s="153"/>
      <c r="P18" s="152"/>
      <c r="Q18" s="152"/>
      <c r="R18" s="152"/>
      <c r="S18" s="115"/>
      <c r="T18" s="152"/>
      <c r="U18" s="153"/>
      <c r="V18" s="154"/>
      <c r="W18" s="123"/>
      <c r="X18" s="124" t="str">
        <f aca="false">IF(ISBLANK($C18),"",IF($E18=Constants!$B$2,TRUE(),IF($E18=Constants!$B$3,FALSE(),TRUE())))</f>
        <v/>
      </c>
      <c r="Y18" s="124" t="str">
        <f aca="false">IF(ISBLANK($C18),"",IF($F18=Constants!$B$2,TRUE(),IF($F18=Constants!$B$3,FALSE(),TRUE())))</f>
        <v/>
      </c>
      <c r="Z18" s="125" t="str">
        <f aca="false">IF(ISBLANK($C18),"",IF(ISNUMBER($G18),IF($G18&gt;=0,$G18,""),""))</f>
        <v/>
      </c>
      <c r="AA18" s="125" t="str">
        <f aca="false">IF(ISBLANK($C18),"",IF(ISNUMBER($H18),IF($H18&gt;=0,$H18,""),""))</f>
        <v/>
      </c>
      <c r="AB18" s="125" t="str">
        <f aca="false">IF(ISBLANK($C18),"",IF(ISNUMBER($I18),IF($I18&gt;=0,$I18,""),""))</f>
        <v/>
      </c>
      <c r="AC18" s="124" t="str">
        <f aca="false">IF(ISBLANK($C18),"",IF($J18=Constants!$B$2,TRUE(),IF($J18=Constants!$B$3,FALSE(),TRUE())))</f>
        <v/>
      </c>
      <c r="AD18" s="124" t="str">
        <f aca="false">IF(ISBLANK($C18),"",IF($K18=Constants!$B$2,TRUE(),IF($K18=Constants!$B$3,FALSE(),TRUE())))</f>
        <v/>
      </c>
      <c r="AE18" s="124" t="str">
        <f aca="false">IF(ISBLANK($C18),"",IF($L18=Constants!$B$2,TRUE(),IF($L18=Constants!$B$3,FALSE(),TRUE())))</f>
        <v/>
      </c>
      <c r="AF18" s="126" t="str">
        <f aca="false">IF(ISBLANK($C18),"",IF(ISNUMBER($M18),IF($M18&gt;=0,$M18,""),""))</f>
        <v/>
      </c>
      <c r="AG18" s="124" t="str">
        <f aca="false">IF(ISBLANK($C18),"",IF(ISBLANK($N18),0,IF(ISNUMBER($N18),IF(AND($N18&gt;=0,$N18&lt;=Constants!$B$17,$N18=INT($N18)),$N18,""),"")))</f>
        <v/>
      </c>
      <c r="AH18" s="125" t="str">
        <f aca="false">IF(ISBLANK($C18),"",IF(ISBLANK($O18),0,IF(ISNUMBER($O18),IF($O18&gt;=0,$O18,""),"")))</f>
        <v/>
      </c>
      <c r="AI18" s="124" t="str">
        <f aca="false">IF(ISBLANK($C18),"",IF($P18=Constants!$B$2,TRUE(),IF($P18=Constants!$B$3,FALSE(),TRUE())))</f>
        <v/>
      </c>
      <c r="AJ18" s="124" t="str">
        <f aca="false">IF(ISBLANK($C18),"",IF($Q18=Constants!$B$2,TRUE(),IF($Q18=Constants!$B$3,FALSE(),TRUE())))</f>
        <v/>
      </c>
      <c r="AK18" s="124" t="str">
        <f aca="false">IF(ISBLANK($C18),"",IF($R18=Constants!$B$2,TRUE(),IF($R18=Constants!$B$3,FALSE(),TRUE())))</f>
        <v/>
      </c>
      <c r="AL18" s="126" t="str">
        <f aca="false">IF(ISBLANK($C18),"",IF(ISNUMBER($S18),IF($S18&gt;=0,$S18,""),""))</f>
        <v/>
      </c>
      <c r="AM18" s="124" t="str">
        <f aca="false">IF(ISBLANK($C18),"",IF(ISBLANK($T18),0,IF(ISNUMBER($T18),IF(AND($T18&gt;=0,$T18&lt;=Constants!$B$17,$T18=INT($T18)),$T18,""),"")))</f>
        <v/>
      </c>
      <c r="AN18" s="125" t="str">
        <f aca="false">IF(ISBLANK($C18),"",IF(ISBLANK($U18),0,IF(ISNUMBER($U18),IF($U18&gt;=0,$U18,""),"")))</f>
        <v/>
      </c>
      <c r="AO18" s="124" t="str">
        <f aca="false">IF(ISBLANK($C18),"",IF($V18=Constants!$B$2,TRUE(),IF($V18=Constants!$B$3,FALSE(),FALSE())))</f>
        <v/>
      </c>
      <c r="AP18" s="124"/>
      <c r="AQ18" s="123" t="str">
        <f aca="false">IF(ISBLANK($C18),"",AND($Y18,OR($AS18,$BC18),OR($Z18="",$AA18="",$AB18="")))</f>
        <v/>
      </c>
      <c r="AR18" s="123" t="str">
        <f aca="false">IF(ISBLANK($C18),"",IF(OR(NOT($Y18),NOT(OR($AS18,$BC18))),"",IF(ISBLANK($D$7),$AR$5,IF($AP$9="",$AR$6,""))))</f>
        <v/>
      </c>
      <c r="AS18" s="123" t="str">
        <f aca="false">IF(ISBLANK($C18),"",COUNTA($J18:$O18)&gt;0)</f>
        <v/>
      </c>
      <c r="AT18" s="123" t="str">
        <f aca="false">IF(ISBLANK($C18),"",AND($AS18,OR(AND($AF18="",OR($AE18,NOT(ISBLANK($M18)))),$AG18="",$AH18="")))</f>
        <v/>
      </c>
      <c r="AU18" s="125" t="str">
        <f aca="false">IF($BL18&lt;&gt;Constants!$B$4,"",IF(NOT($AS18),"",ROUND((Constants!$B$12-$AB18)+(Constants!$B$13-$Z18)+(Constants!$B$14-$AA18),1)))</f>
        <v/>
      </c>
      <c r="AV18" s="127" t="str">
        <f aca="false">IF($BL18&lt;&gt;Constants!$B$4,"",IF(NOT($AS18),"",IF(NOT($AE18),0,Constants!$B$15*(INT(ROUND(MIN($AF18,$AP$9),6))-INT(ROUND(MAX(0,MIN($AF18,2*$AP$9)-$AP$9),6))))))</f>
        <v/>
      </c>
      <c r="AW18" s="127" t="str">
        <f aca="false">IF($BL18&lt;&gt;Constants!$B$4,"",IF(NOT($AS18),"",Constants!$B$16*$AG18))</f>
        <v/>
      </c>
      <c r="AX18" s="127" t="str">
        <f aca="false">IF($BL18&lt;&gt;Constants!$B$4,"",IF(NOT($AS18),"",Constants!$B$18*INT(ROUND($AH18,6))))</f>
        <v/>
      </c>
      <c r="AY18" s="123" t="str">
        <f aca="false">IF($BL18&lt;&gt;Constants!$B$4,"",IF(NOT($AS18),"",IF(NOT($X18),Constants!$B$11,IF(OR(NOT($AC18),NOT($AD18),ROUND($AB18,1)&gt;Constants!$B$12,ROUND($Z18,1)&gt;Constants!$B$13,ROUND($AA18,1)&gt;Constants!$B$14),Constants!$B$10,Constants!$B$9))))</f>
        <v/>
      </c>
      <c r="AZ18" s="128" t="str">
        <f aca="false">IF($BL18&lt;&gt;Constants!$B$4,"",IF(NOT($AS18),"",ROUND($AU18+$AV18+$AW18+$AX18,1)))</f>
        <v/>
      </c>
      <c r="BA18" s="129" t="str">
        <f aca="false">IF($BL18&lt;&gt;Constants!$B$4,"",IF(NOT($AS18),"",IF(ISNUMBER($AF18),$AF18,0)))</f>
        <v/>
      </c>
      <c r="BB18" s="124" t="str">
        <f aca="false">IF($BL18&lt;&gt;Constants!$B$4,"",IF(NOT($BC18),"&lt;-",IF(NOT($AS18),"-&gt;",IF(OR($BI18&lt;$AY18,AND($BI18=$AY18,OR($BJ18&gt;$AZ18,AND($BJ18=$AZ18,OR($BH18&gt;$AX18,AND($BH18=$AX18,OR($BE18&gt;$AU18,AND($BE18=$AU18,OR($BF18&gt;$AV18,AND($BF18=$AV18,$BK18&gt;$BA18)))))))))),"-&gt;","&lt;-"))))</f>
        <v/>
      </c>
      <c r="BC18" s="123" t="str">
        <f aca="false">IF(ISBLANK($C18),"",COUNTA($P18:$U18)&gt;0)</f>
        <v/>
      </c>
      <c r="BD18" s="123" t="str">
        <f aca="false">IF(ISBLANK($C18),"",AND($BC18,OR(AND($AL18="",OR($AK18,NOT(ISBLANK($S18)))),$AM18="",$AN18="")))</f>
        <v/>
      </c>
      <c r="BE18" s="125" t="str">
        <f aca="false">IF($BL18&lt;&gt;Constants!$B$4,"",IF(NOT($BC18),"",ROUND((Constants!$B$12-$AB18)+(Constants!$B$13-$Z18)+(Constants!$B$14-$AA18),1)))</f>
        <v/>
      </c>
      <c r="BF18" s="127" t="str">
        <f aca="false">IF($BL18&lt;&gt;Constants!$B$4,"",IF(NOT($BC18),"",IF(NOT($AK18),0,Constants!$B$15*(INT(ROUND(MIN($AL18,$AP$9),6))-INT(ROUND(MAX(0,MIN($AL18,2*$AP$9)-$AP$9),6))))))</f>
        <v/>
      </c>
      <c r="BG18" s="127" t="str">
        <f aca="false">IF($BL18&lt;&gt;Constants!$B$4,"",IF(NOT($BC18),"",Constants!$B$16*$AM18))</f>
        <v/>
      </c>
      <c r="BH18" s="127" t="str">
        <f aca="false">IF($BL18&lt;&gt;Constants!$B$4,"",IF(NOT($BC18),"",Constants!$B$18*INT(ROUND($AN18,6))))</f>
        <v/>
      </c>
      <c r="BI18" s="123" t="str">
        <f aca="false">IF($BL18&lt;&gt;Constants!$B$4,"",IF(NOT($BC18),"",IF(NOT($X18),Constants!$B$11,IF(OR(NOT($AI18),NOT($AJ18),ROUND($AB18,1)&gt;Constants!$B$12,ROUND($Z18,1)&gt;Constants!$B$13,ROUND($AA18,1)&gt;Constants!$B$14),Constants!$B$10,Constants!$B$9))))</f>
        <v/>
      </c>
      <c r="BJ18" s="128" t="str">
        <f aca="false">IF($BL18&lt;&gt;Constants!$B$4,"",IF(NOT($BC18),"",ROUND($BE18+$BF18+$BG18+$BH18,1)))</f>
        <v/>
      </c>
      <c r="BK18" s="129" t="str">
        <f aca="false">IF($BL18&lt;&gt;Constants!$B$4,"",IF(NOT($BC18),"",IF(ISNUMBER($AL18),$AL18,0)))</f>
        <v/>
      </c>
      <c r="BL18" s="124" t="str">
        <f aca="false">IF(ISBLANK($C18),"",IF($AO18,Constants!$B$7,IF(COUNTA($E18:$V18)=0,Constants!$B$6,IF(NOT($Y18),Constants!$B$5,IF(NOT(OR($AS18,$BC18)),Constants!$B$5,IF(OR($AT18,$BD18,$AQ18,$AR18&lt;&gt;""),Constants!$B$8,Constants!$B$4))))))</f>
        <v/>
      </c>
      <c r="BM18" s="124" t="str">
        <f aca="false">IF(ISBLANK($C18),"",IF($BL18&lt;&gt;Constants!$B$4,$BL18,IF($BB18="-&gt;",$BI18,$AY18)))</f>
        <v/>
      </c>
      <c r="BN18" s="127" t="str">
        <f aca="false">IF($BL18&lt;&gt;Constants!$B$4,"",IF($BB18="-&gt;",$BJ18,$AZ18))</f>
        <v/>
      </c>
      <c r="BO18" s="127" t="str">
        <f aca="false">IF(ISBLANK($C18),"",IF($BL18&lt;&gt;Constants!$B$4,$BL18,$BN18))</f>
        <v/>
      </c>
      <c r="BP18" s="124" t="str">
        <f aca="false">IF(ISBLANK($C18),"",IF($BL18&lt;&gt;Constants!$B$4,$BL18,RANK($BO18,$BO$9:$BO$508,0)))</f>
        <v/>
      </c>
      <c r="BQ18" s="124" t="str">
        <f aca="false">IF(ISBLANK($C18),"",IF($BL18&lt;&gt;Constants!$B$4,$BL18,COUNTIFS($BM$9:$BM$508,"&lt;"&amp;$BM18)+COUNTIFS($BM$9:$BM$508,$BM18,$BP$9:$BP$508,"&lt;"&amp;$BP18)+1))</f>
        <v/>
      </c>
      <c r="BR18" s="127" t="str">
        <f aca="false">IF($BL18&lt;&gt;Constants!$B$4,"",IF($BB18="-&gt;",$BH18,$AX18))</f>
        <v/>
      </c>
      <c r="BS18" s="124" t="str">
        <f aca="false">IF(ISBLANK($C18),"",IF($BL18&lt;&gt;Constants!$B$4,$BL18,IF(ISNUMBER($BR18),RANK($BR18,$BR$9:$BR$508,0),COUNT($BR$9:$BR$508)+1)))</f>
        <v/>
      </c>
      <c r="BT18" s="127" t="str">
        <f aca="false">IF($BL18&lt;&gt;Constants!$B$4,"",IF($BB18="-&gt;",$BE18,$AU18))</f>
        <v/>
      </c>
      <c r="BU18" s="124" t="str">
        <f aca="false">IF(ISBLANK($C18),"",IF($BL18&lt;&gt;Constants!$B$4,$BL18,IF(ISNUMBER($BT18),RANK($BT18,$BT$9:$BT$508,0),COUNT($BT$9:$BT$508)+1)))</f>
        <v/>
      </c>
      <c r="BV18" s="127" t="str">
        <f aca="false">IF($BL18&lt;&gt;Constants!$B$4,"",IF($BB18="-&gt;",$BF18,$AV18))</f>
        <v/>
      </c>
      <c r="BW18" s="124" t="str">
        <f aca="false">IF(ISBLANK($C18),"",IF($BL18&lt;&gt;Constants!$B$4,$BL18,IF(ISNUMBER($BV18),RANK($BV18,$BV$9:$BV$508,0),COUNT($BV$9:$BV$508)+1)))</f>
        <v/>
      </c>
      <c r="BX18" s="127" t="str">
        <f aca="false">IF($BL18&lt;&gt;Constants!$B$4,"",IF($BB18="-&gt;",$BK18,$BA18))</f>
        <v/>
      </c>
      <c r="BY18" s="124" t="str">
        <f aca="false">IF(ISBLANK($C18),"",IF($BL18&lt;&gt;Constants!$B$4,$BL18,IF(ISNUMBER($BX18),RANK($BX18,$BX$9:$BX$508,0),COUNT($BX$9:$BX$508)+1)))</f>
        <v/>
      </c>
      <c r="BZ18" s="124" t="str">
        <f aca="false">IF(ISBLANK($C18),"",IF($BL18&lt;&gt;Constants!$B$4,$BL18,COUNTIFS($BM$9:$BM$508,"&lt;"&amp;$BM18)+COUNTIFS($BM$9:$BM$508,$BM18,$BP$9:$BP$508,"&lt;"&amp;$BP18)+COUNTIFS($BM$9:$BM$508,$BM18,$BP$9:$BP$508,$BP18,$BS$9:$BS$508,"&lt;"&amp;$BS18)+COUNTIFS($BM$9:$BM$508,$BM18,$BP$9:$BP$508,$BP18,$BS$9:$BS$508,$BS18,$BU$9:$BU$508,"&lt;"&amp;$BU18)+COUNTIFS($BM$9:$BM$508,$BM18,$BP$9:$BP$508,$BP18,$BS$9:$BS$508,$BS18,$BU$9:$BU$508,$BU18,$BW$9:$BW$508,"&lt;"&amp;$BW18)+COUNTIFS($BM$9:$BM$508,$BM18,$BP$9:$BP$508,$BP18,$BS$9:$BS$508,$BS18,$BU$9:$BU$508,$BU18,$BW$9:$BW$508,$BW18,$BY$9:$BY$508,"&lt;"&amp;$BY18)+1))</f>
        <v/>
      </c>
      <c r="CA18" s="124" t="str">
        <f aca="false">IF(ISBLANK($C18),"",IF($BL18&lt;&gt;Constants!$B$4,$BL18,$BQ18-$BZ18))</f>
        <v/>
      </c>
      <c r="CB18" s="130"/>
      <c r="CC18" s="131" t="str">
        <f aca="false">IF(ISBLANK($C18),"",IF($BL18=Constants!$B$8,$AR18,""))</f>
        <v/>
      </c>
      <c r="CD18" s="131" t="str">
        <f aca="false">IF(ISBLANK($C18),"",IF($BL18&lt;&gt;Constants!$B$4,"",IF($BB18="-&gt;",2,1)))</f>
        <v/>
      </c>
      <c r="CE18" s="132" t="str">
        <f aca="false">IF(ISBLANK($C18),"",IF($BL18&lt;&gt;Constants!$B$4,"",IF($BB18="-&gt;",$BE18,$AU18)))</f>
        <v/>
      </c>
      <c r="CF18" s="132" t="str">
        <f aca="false">IF(ISBLANK($C18),"",IF($BL18&lt;&gt;Constants!$B$4,"",IF($BB18="-&gt;",$BF18,$AV18)))</f>
        <v/>
      </c>
      <c r="CG18" s="132" t="str">
        <f aca="false">IF(ISBLANK($C18),"",IF($BL18&lt;&gt;Constants!$B$4,"",IF($BB18="-&gt;",$BG18,$AW18)))</f>
        <v/>
      </c>
      <c r="CH18" s="132" t="str">
        <f aca="false">IF(ISBLANK($C18),"",IF($BL18&lt;&gt;Constants!$B$4,"",IF($BB18="-&gt;",$BH18,$AX18)))</f>
        <v/>
      </c>
      <c r="CI18" s="133" t="str">
        <f aca="false">IF(ISBLANK($C18),"",$BO18)</f>
        <v/>
      </c>
      <c r="CJ18" s="134" t="str">
        <f aca="false">IF(ISBLANK($C18),"",$BM18)</f>
        <v/>
      </c>
      <c r="CK18" s="135" t="str">
        <f aca="false">IF(ISBLANK($C18),"",$CA18)</f>
        <v/>
      </c>
      <c r="CL18" s="135" t="str">
        <f aca="false">IF(ISBLANK($C18),"",$BZ18)</f>
        <v/>
      </c>
      <c r="CM18" s="136" t="str">
        <f aca="false">IF(ISBLANK($C18),"",IF($CL18=Constants!$B$7,COUNTA($C$9:$C$508)+2,IF($CL18=Constants!$B$6,COUNTA($C$9:$C$508)+1,IF($CL18=Constants!$B$5,COUNTA($C$9:$C$508),$CL18))))</f>
        <v/>
      </c>
      <c r="CN18" s="8"/>
      <c r="CO18" s="137" t="n">
        <f aca="false">IF(OR(ISNUMBER($CL18),$CL18=Constants!$B$7,$CL18=Constants!$B$5,$CL18=Constants!$B$6),1,0)</f>
        <v>0</v>
      </c>
      <c r="CP18" s="137" t="n">
        <v>10</v>
      </c>
      <c r="CQ18" s="137" t="str">
        <f aca="false">IF(ISBLANK($C18),"",IF(ISNUMBER($CM18),$CM18+ROW($B18)/1000,""))</f>
        <v/>
      </c>
      <c r="CR18" s="137" t="str">
        <f aca="false">IF(ISNUMBER($CQ18),RANK($CQ18,$CQ$9:$CQ$508,1),"")</f>
        <v/>
      </c>
      <c r="CS18" s="137" t="str">
        <f aca="false">IF(ISBLANK($C18),"",$B18)</f>
        <v/>
      </c>
      <c r="CT18" s="137" t="str">
        <f aca="false">IF(ISBLANK($C18),"",$C18)</f>
        <v/>
      </c>
      <c r="CU18" s="137" t="str">
        <f aca="false">IF(ISBLANK($C18),"",$D18)</f>
        <v/>
      </c>
      <c r="CV18" s="138" t="str">
        <f aca="false">$CJ18</f>
        <v/>
      </c>
      <c r="CW18" s="139" t="str">
        <f aca="false">$CI18</f>
        <v/>
      </c>
      <c r="CX18" s="137" t="str">
        <f aca="false">IF(ISBLANK($C18),"",$CL18)</f>
        <v/>
      </c>
      <c r="CY18" s="140" t="str">
        <f aca="false">IF($CP18&gt;$CO$8,"",VLOOKUP($CP18,$CR$9:$CX$508,7,FALSE()))</f>
        <v/>
      </c>
      <c r="CZ18" s="141" t="str">
        <f aca="false">IF($CP18&gt;$CO$8,"",VLOOKUP($CP18,$CR$9:$CX$508,2,FALSE()))</f>
        <v/>
      </c>
      <c r="DA18" s="141" t="str">
        <f aca="false">IF($CP18&gt;$CO$8,"",VLOOKUP($CP18,$CR$9:$CX$508,3,FALSE()))</f>
        <v/>
      </c>
      <c r="DB18" s="141" t="str">
        <f aca="false">IF($CP18&gt;$CO$8,"",VLOOKUP($CP18,$CR$9:$CX$508,4,FALSE()))</f>
        <v/>
      </c>
      <c r="DC18" s="141" t="str">
        <f aca="false">IF($CP18&gt;$CO$8,"",VLOOKUP($CP18,$CR$9:$CX$508,5,FALSE()))</f>
        <v/>
      </c>
      <c r="DD18" s="142" t="str">
        <f aca="false">IF($CP18&gt;$CO$8,"",VLOOKUP($CP18,$CR$9:$CX$508,6,FALSE()))</f>
        <v/>
      </c>
      <c r="DE18" s="70"/>
    </row>
    <row r="19" customFormat="false" ht="15.75" hidden="false" customHeight="false" outlineLevel="0" collapsed="false">
      <c r="A19" s="8"/>
      <c r="B19" s="146"/>
      <c r="C19" s="147"/>
      <c r="D19" s="148"/>
      <c r="E19" s="149"/>
      <c r="F19" s="150"/>
      <c r="G19" s="115"/>
      <c r="H19" s="115"/>
      <c r="I19" s="115"/>
      <c r="J19" s="151"/>
      <c r="K19" s="152"/>
      <c r="L19" s="152"/>
      <c r="M19" s="118"/>
      <c r="N19" s="152"/>
      <c r="O19" s="153"/>
      <c r="P19" s="152"/>
      <c r="Q19" s="152"/>
      <c r="R19" s="152"/>
      <c r="S19" s="115"/>
      <c r="T19" s="152"/>
      <c r="U19" s="153"/>
      <c r="V19" s="154"/>
      <c r="W19" s="123"/>
      <c r="X19" s="124" t="str">
        <f aca="false">IF(ISBLANK($C19),"",IF($E19=Constants!$B$2,TRUE(),IF($E19=Constants!$B$3,FALSE(),TRUE())))</f>
        <v/>
      </c>
      <c r="Y19" s="124" t="str">
        <f aca="false">IF(ISBLANK($C19),"",IF($F19=Constants!$B$2,TRUE(),IF($F19=Constants!$B$3,FALSE(),TRUE())))</f>
        <v/>
      </c>
      <c r="Z19" s="125" t="str">
        <f aca="false">IF(ISBLANK($C19),"",IF(ISNUMBER($G19),IF($G19&gt;=0,$G19,""),""))</f>
        <v/>
      </c>
      <c r="AA19" s="125" t="str">
        <f aca="false">IF(ISBLANK($C19),"",IF(ISNUMBER($H19),IF($H19&gt;=0,$H19,""),""))</f>
        <v/>
      </c>
      <c r="AB19" s="125" t="str">
        <f aca="false">IF(ISBLANK($C19),"",IF(ISNUMBER($I19),IF($I19&gt;=0,$I19,""),""))</f>
        <v/>
      </c>
      <c r="AC19" s="124" t="str">
        <f aca="false">IF(ISBLANK($C19),"",IF($J19=Constants!$B$2,TRUE(),IF($J19=Constants!$B$3,FALSE(),TRUE())))</f>
        <v/>
      </c>
      <c r="AD19" s="124" t="str">
        <f aca="false">IF(ISBLANK($C19),"",IF($K19=Constants!$B$2,TRUE(),IF($K19=Constants!$B$3,FALSE(),TRUE())))</f>
        <v/>
      </c>
      <c r="AE19" s="124" t="str">
        <f aca="false">IF(ISBLANK($C19),"",IF($L19=Constants!$B$2,TRUE(),IF($L19=Constants!$B$3,FALSE(),TRUE())))</f>
        <v/>
      </c>
      <c r="AF19" s="126" t="str">
        <f aca="false">IF(ISBLANK($C19),"",IF(ISNUMBER($M19),IF($M19&gt;=0,$M19,""),""))</f>
        <v/>
      </c>
      <c r="AG19" s="124" t="str">
        <f aca="false">IF(ISBLANK($C19),"",IF(ISBLANK($N19),0,IF(ISNUMBER($N19),IF(AND($N19&gt;=0,$N19&lt;=Constants!$B$17,$N19=INT($N19)),$N19,""),"")))</f>
        <v/>
      </c>
      <c r="AH19" s="125" t="str">
        <f aca="false">IF(ISBLANK($C19),"",IF(ISBLANK($O19),0,IF(ISNUMBER($O19),IF($O19&gt;=0,$O19,""),"")))</f>
        <v/>
      </c>
      <c r="AI19" s="124" t="str">
        <f aca="false">IF(ISBLANK($C19),"",IF($P19=Constants!$B$2,TRUE(),IF($P19=Constants!$B$3,FALSE(),TRUE())))</f>
        <v/>
      </c>
      <c r="AJ19" s="124" t="str">
        <f aca="false">IF(ISBLANK($C19),"",IF($Q19=Constants!$B$2,TRUE(),IF($Q19=Constants!$B$3,FALSE(),TRUE())))</f>
        <v/>
      </c>
      <c r="AK19" s="124" t="str">
        <f aca="false">IF(ISBLANK($C19),"",IF($R19=Constants!$B$2,TRUE(),IF($R19=Constants!$B$3,FALSE(),TRUE())))</f>
        <v/>
      </c>
      <c r="AL19" s="126" t="str">
        <f aca="false">IF(ISBLANK($C19),"",IF(ISNUMBER($S19),IF($S19&gt;=0,$S19,""),""))</f>
        <v/>
      </c>
      <c r="AM19" s="124" t="str">
        <f aca="false">IF(ISBLANK($C19),"",IF(ISBLANK($T19),0,IF(ISNUMBER($T19),IF(AND($T19&gt;=0,$T19&lt;=Constants!$B$17,$T19=INT($T19)),$T19,""),"")))</f>
        <v/>
      </c>
      <c r="AN19" s="125" t="str">
        <f aca="false">IF(ISBLANK($C19),"",IF(ISBLANK($U19),0,IF(ISNUMBER($U19),IF($U19&gt;=0,$U19,""),"")))</f>
        <v/>
      </c>
      <c r="AO19" s="124" t="str">
        <f aca="false">IF(ISBLANK($C19),"",IF($V19=Constants!$B$2,TRUE(),IF($V19=Constants!$B$3,FALSE(),FALSE())))</f>
        <v/>
      </c>
      <c r="AP19" s="124"/>
      <c r="AQ19" s="123" t="str">
        <f aca="false">IF(ISBLANK($C19),"",AND($Y19,OR($AS19,$BC19),OR($Z19="",$AA19="",$AB19="")))</f>
        <v/>
      </c>
      <c r="AR19" s="123" t="str">
        <f aca="false">IF(ISBLANK($C19),"",IF(OR(NOT($Y19),NOT(OR($AS19,$BC19))),"",IF(ISBLANK($D$7),$AR$5,IF($AP$9="",$AR$6,""))))</f>
        <v/>
      </c>
      <c r="AS19" s="123" t="str">
        <f aca="false">IF(ISBLANK($C19),"",COUNTA($J19:$O19)&gt;0)</f>
        <v/>
      </c>
      <c r="AT19" s="123" t="str">
        <f aca="false">IF(ISBLANK($C19),"",AND($AS19,OR(AND($AF19="",OR($AE19,NOT(ISBLANK($M19)))),$AG19="",$AH19="")))</f>
        <v/>
      </c>
      <c r="AU19" s="125" t="str">
        <f aca="false">IF($BL19&lt;&gt;Constants!$B$4,"",IF(NOT($AS19),"",ROUND((Constants!$B$12-$AB19)+(Constants!$B$13-$Z19)+(Constants!$B$14-$AA19),1)))</f>
        <v/>
      </c>
      <c r="AV19" s="127" t="str">
        <f aca="false">IF($BL19&lt;&gt;Constants!$B$4,"",IF(NOT($AS19),"",IF(NOT($AE19),0,Constants!$B$15*(INT(ROUND(MIN($AF19,$AP$9),6))-INT(ROUND(MAX(0,MIN($AF19,2*$AP$9)-$AP$9),6))))))</f>
        <v/>
      </c>
      <c r="AW19" s="127" t="str">
        <f aca="false">IF($BL19&lt;&gt;Constants!$B$4,"",IF(NOT($AS19),"",Constants!$B$16*$AG19))</f>
        <v/>
      </c>
      <c r="AX19" s="127" t="str">
        <f aca="false">IF($BL19&lt;&gt;Constants!$B$4,"",IF(NOT($AS19),"",Constants!$B$18*INT(ROUND($AH19,6))))</f>
        <v/>
      </c>
      <c r="AY19" s="123" t="str">
        <f aca="false">IF($BL19&lt;&gt;Constants!$B$4,"",IF(NOT($AS19),"",IF(NOT($X19),Constants!$B$11,IF(OR(NOT($AC19),NOT($AD19),ROUND($AB19,1)&gt;Constants!$B$12,ROUND($Z19,1)&gt;Constants!$B$13,ROUND($AA19,1)&gt;Constants!$B$14),Constants!$B$10,Constants!$B$9))))</f>
        <v/>
      </c>
      <c r="AZ19" s="128" t="str">
        <f aca="false">IF($BL19&lt;&gt;Constants!$B$4,"",IF(NOT($AS19),"",ROUND($AU19+$AV19+$AW19+$AX19,1)))</f>
        <v/>
      </c>
      <c r="BA19" s="129" t="str">
        <f aca="false">IF($BL19&lt;&gt;Constants!$B$4,"",IF(NOT($AS19),"",IF(ISNUMBER($AF19),$AF19,0)))</f>
        <v/>
      </c>
      <c r="BB19" s="124" t="str">
        <f aca="false">IF($BL19&lt;&gt;Constants!$B$4,"",IF(NOT($BC19),"&lt;-",IF(NOT($AS19),"-&gt;",IF(OR($BI19&lt;$AY19,AND($BI19=$AY19,OR($BJ19&gt;$AZ19,AND($BJ19=$AZ19,OR($BH19&gt;$AX19,AND($BH19=$AX19,OR($BE19&gt;$AU19,AND($BE19=$AU19,OR($BF19&gt;$AV19,AND($BF19=$AV19,$BK19&gt;$BA19)))))))))),"-&gt;","&lt;-"))))</f>
        <v/>
      </c>
      <c r="BC19" s="123" t="str">
        <f aca="false">IF(ISBLANK($C19),"",COUNTA($P19:$U19)&gt;0)</f>
        <v/>
      </c>
      <c r="BD19" s="123" t="str">
        <f aca="false">IF(ISBLANK($C19),"",AND($BC19,OR(AND($AL19="",OR($AK19,NOT(ISBLANK($S19)))),$AM19="",$AN19="")))</f>
        <v/>
      </c>
      <c r="BE19" s="125" t="str">
        <f aca="false">IF($BL19&lt;&gt;Constants!$B$4,"",IF(NOT($BC19),"",ROUND((Constants!$B$12-$AB19)+(Constants!$B$13-$Z19)+(Constants!$B$14-$AA19),1)))</f>
        <v/>
      </c>
      <c r="BF19" s="127" t="str">
        <f aca="false">IF($BL19&lt;&gt;Constants!$B$4,"",IF(NOT($BC19),"",IF(NOT($AK19),0,Constants!$B$15*(INT(ROUND(MIN($AL19,$AP$9),6))-INT(ROUND(MAX(0,MIN($AL19,2*$AP$9)-$AP$9),6))))))</f>
        <v/>
      </c>
      <c r="BG19" s="127" t="str">
        <f aca="false">IF($BL19&lt;&gt;Constants!$B$4,"",IF(NOT($BC19),"",Constants!$B$16*$AM19))</f>
        <v/>
      </c>
      <c r="BH19" s="127" t="str">
        <f aca="false">IF($BL19&lt;&gt;Constants!$B$4,"",IF(NOT($BC19),"",Constants!$B$18*INT(ROUND($AN19,6))))</f>
        <v/>
      </c>
      <c r="BI19" s="123" t="str">
        <f aca="false">IF($BL19&lt;&gt;Constants!$B$4,"",IF(NOT($BC19),"",IF(NOT($X19),Constants!$B$11,IF(OR(NOT($AI19),NOT($AJ19),ROUND($AB19,1)&gt;Constants!$B$12,ROUND($Z19,1)&gt;Constants!$B$13,ROUND($AA19,1)&gt;Constants!$B$14),Constants!$B$10,Constants!$B$9))))</f>
        <v/>
      </c>
      <c r="BJ19" s="128" t="str">
        <f aca="false">IF($BL19&lt;&gt;Constants!$B$4,"",IF(NOT($BC19),"",ROUND($BE19+$BF19+$BG19+$BH19,1)))</f>
        <v/>
      </c>
      <c r="BK19" s="129" t="str">
        <f aca="false">IF($BL19&lt;&gt;Constants!$B$4,"",IF(NOT($BC19),"",IF(ISNUMBER($AL19),$AL19,0)))</f>
        <v/>
      </c>
      <c r="BL19" s="124" t="str">
        <f aca="false">IF(ISBLANK($C19),"",IF($AO19,Constants!$B$7,IF(COUNTA($E19:$V19)=0,Constants!$B$6,IF(NOT($Y19),Constants!$B$5,IF(NOT(OR($AS19,$BC19)),Constants!$B$5,IF(OR($AT19,$BD19,$AQ19,$AR19&lt;&gt;""),Constants!$B$8,Constants!$B$4))))))</f>
        <v/>
      </c>
      <c r="BM19" s="124" t="str">
        <f aca="false">IF(ISBLANK($C19),"",IF($BL19&lt;&gt;Constants!$B$4,$BL19,IF($BB19="-&gt;",$BI19,$AY19)))</f>
        <v/>
      </c>
      <c r="BN19" s="127" t="str">
        <f aca="false">IF($BL19&lt;&gt;Constants!$B$4,"",IF($BB19="-&gt;",$BJ19,$AZ19))</f>
        <v/>
      </c>
      <c r="BO19" s="127" t="str">
        <f aca="false">IF(ISBLANK($C19),"",IF($BL19&lt;&gt;Constants!$B$4,$BL19,$BN19))</f>
        <v/>
      </c>
      <c r="BP19" s="124" t="str">
        <f aca="false">IF(ISBLANK($C19),"",IF($BL19&lt;&gt;Constants!$B$4,$BL19,RANK($BO19,$BO$9:$BO$508,0)))</f>
        <v/>
      </c>
      <c r="BQ19" s="124" t="str">
        <f aca="false">IF(ISBLANK($C19),"",IF($BL19&lt;&gt;Constants!$B$4,$BL19,COUNTIFS($BM$9:$BM$508,"&lt;"&amp;$BM19)+COUNTIFS($BM$9:$BM$508,$BM19,$BP$9:$BP$508,"&lt;"&amp;$BP19)+1))</f>
        <v/>
      </c>
      <c r="BR19" s="127" t="str">
        <f aca="false">IF($BL19&lt;&gt;Constants!$B$4,"",IF($BB19="-&gt;",$BH19,$AX19))</f>
        <v/>
      </c>
      <c r="BS19" s="124" t="str">
        <f aca="false">IF(ISBLANK($C19),"",IF($BL19&lt;&gt;Constants!$B$4,$BL19,IF(ISNUMBER($BR19),RANK($BR19,$BR$9:$BR$508,0),COUNT($BR$9:$BR$508)+1)))</f>
        <v/>
      </c>
      <c r="BT19" s="127" t="str">
        <f aca="false">IF($BL19&lt;&gt;Constants!$B$4,"",IF($BB19="-&gt;",$BE19,$AU19))</f>
        <v/>
      </c>
      <c r="BU19" s="124" t="str">
        <f aca="false">IF(ISBLANK($C19),"",IF($BL19&lt;&gt;Constants!$B$4,$BL19,IF(ISNUMBER($BT19),RANK($BT19,$BT$9:$BT$508,0),COUNT($BT$9:$BT$508)+1)))</f>
        <v/>
      </c>
      <c r="BV19" s="127" t="str">
        <f aca="false">IF($BL19&lt;&gt;Constants!$B$4,"",IF($BB19="-&gt;",$BF19,$AV19))</f>
        <v/>
      </c>
      <c r="BW19" s="124" t="str">
        <f aca="false">IF(ISBLANK($C19),"",IF($BL19&lt;&gt;Constants!$B$4,$BL19,IF(ISNUMBER($BV19),RANK($BV19,$BV$9:$BV$508,0),COUNT($BV$9:$BV$508)+1)))</f>
        <v/>
      </c>
      <c r="BX19" s="127" t="str">
        <f aca="false">IF($BL19&lt;&gt;Constants!$B$4,"",IF($BB19="-&gt;",$BK19,$BA19))</f>
        <v/>
      </c>
      <c r="BY19" s="124" t="str">
        <f aca="false">IF(ISBLANK($C19),"",IF($BL19&lt;&gt;Constants!$B$4,$BL19,IF(ISNUMBER($BX19),RANK($BX19,$BX$9:$BX$508,0),COUNT($BX$9:$BX$508)+1)))</f>
        <v/>
      </c>
      <c r="BZ19" s="124" t="str">
        <f aca="false">IF(ISBLANK($C19),"",IF($BL19&lt;&gt;Constants!$B$4,$BL19,COUNTIFS($BM$9:$BM$508,"&lt;"&amp;$BM19)+COUNTIFS($BM$9:$BM$508,$BM19,$BP$9:$BP$508,"&lt;"&amp;$BP19)+COUNTIFS($BM$9:$BM$508,$BM19,$BP$9:$BP$508,$BP19,$BS$9:$BS$508,"&lt;"&amp;$BS19)+COUNTIFS($BM$9:$BM$508,$BM19,$BP$9:$BP$508,$BP19,$BS$9:$BS$508,$BS19,$BU$9:$BU$508,"&lt;"&amp;$BU19)+COUNTIFS($BM$9:$BM$508,$BM19,$BP$9:$BP$508,$BP19,$BS$9:$BS$508,$BS19,$BU$9:$BU$508,$BU19,$BW$9:$BW$508,"&lt;"&amp;$BW19)+COUNTIFS($BM$9:$BM$508,$BM19,$BP$9:$BP$508,$BP19,$BS$9:$BS$508,$BS19,$BU$9:$BU$508,$BU19,$BW$9:$BW$508,$BW19,$BY$9:$BY$508,"&lt;"&amp;$BY19)+1))</f>
        <v/>
      </c>
      <c r="CA19" s="124" t="str">
        <f aca="false">IF(ISBLANK($C19),"",IF($BL19&lt;&gt;Constants!$B$4,$BL19,$BQ19-$BZ19))</f>
        <v/>
      </c>
      <c r="CB19" s="130"/>
      <c r="CC19" s="131" t="str">
        <f aca="false">IF(ISBLANK($C19),"",IF($BL19=Constants!$B$8,$AR19,""))</f>
        <v/>
      </c>
      <c r="CD19" s="131" t="str">
        <f aca="false">IF(ISBLANK($C19),"",IF($BL19&lt;&gt;Constants!$B$4,"",IF($BB19="-&gt;",2,1)))</f>
        <v/>
      </c>
      <c r="CE19" s="132" t="str">
        <f aca="false">IF(ISBLANK($C19),"",IF($BL19&lt;&gt;Constants!$B$4,"",IF($BB19="-&gt;",$BE19,$AU19)))</f>
        <v/>
      </c>
      <c r="CF19" s="132" t="str">
        <f aca="false">IF(ISBLANK($C19),"",IF($BL19&lt;&gt;Constants!$B$4,"",IF($BB19="-&gt;",$BF19,$AV19)))</f>
        <v/>
      </c>
      <c r="CG19" s="132" t="str">
        <f aca="false">IF(ISBLANK($C19),"",IF($BL19&lt;&gt;Constants!$B$4,"",IF($BB19="-&gt;",$BG19,$AW19)))</f>
        <v/>
      </c>
      <c r="CH19" s="132" t="str">
        <f aca="false">IF(ISBLANK($C19),"",IF($BL19&lt;&gt;Constants!$B$4,"",IF($BB19="-&gt;",$BH19,$AX19)))</f>
        <v/>
      </c>
      <c r="CI19" s="133" t="str">
        <f aca="false">IF(ISBLANK($C19),"",$BO19)</f>
        <v/>
      </c>
      <c r="CJ19" s="134" t="str">
        <f aca="false">IF(ISBLANK($C19),"",$BM19)</f>
        <v/>
      </c>
      <c r="CK19" s="135" t="str">
        <f aca="false">IF(ISBLANK($C19),"",$CA19)</f>
        <v/>
      </c>
      <c r="CL19" s="135" t="str">
        <f aca="false">IF(ISBLANK($C19),"",$BZ19)</f>
        <v/>
      </c>
      <c r="CM19" s="136" t="str">
        <f aca="false">IF(ISBLANK($C19),"",IF($CL19=Constants!$B$7,COUNTA($C$9:$C$508)+2,IF($CL19=Constants!$B$6,COUNTA($C$9:$C$508)+1,IF($CL19=Constants!$B$5,COUNTA($C$9:$C$508),$CL19))))</f>
        <v/>
      </c>
      <c r="CN19" s="8"/>
      <c r="CO19" s="137" t="n">
        <f aca="false">IF(OR(ISNUMBER($CL19),$CL19=Constants!$B$7,$CL19=Constants!$B$5,$CL19=Constants!$B$6),1,0)</f>
        <v>0</v>
      </c>
      <c r="CP19" s="137" t="n">
        <v>11</v>
      </c>
      <c r="CQ19" s="137" t="str">
        <f aca="false">IF(ISBLANK($C19),"",IF(ISNUMBER($CM19),$CM19+ROW($B19)/1000,""))</f>
        <v/>
      </c>
      <c r="CR19" s="137" t="str">
        <f aca="false">IF(ISNUMBER($CQ19),RANK($CQ19,$CQ$9:$CQ$508,1),"")</f>
        <v/>
      </c>
      <c r="CS19" s="137" t="str">
        <f aca="false">IF(ISBLANK($C19),"",$B19)</f>
        <v/>
      </c>
      <c r="CT19" s="137" t="str">
        <f aca="false">IF(ISBLANK($C19),"",$C19)</f>
        <v/>
      </c>
      <c r="CU19" s="137" t="str">
        <f aca="false">IF(ISBLANK($C19),"",$D19)</f>
        <v/>
      </c>
      <c r="CV19" s="138" t="str">
        <f aca="false">$CJ19</f>
        <v/>
      </c>
      <c r="CW19" s="139" t="str">
        <f aca="false">$CI19</f>
        <v/>
      </c>
      <c r="CX19" s="137" t="str">
        <f aca="false">IF(ISBLANK($C19),"",$CL19)</f>
        <v/>
      </c>
      <c r="CY19" s="140" t="str">
        <f aca="false">IF($CP19&gt;$CO$8,"",VLOOKUP($CP19,$CR$9:$CX$508,7,FALSE()))</f>
        <v/>
      </c>
      <c r="CZ19" s="141" t="str">
        <f aca="false">IF($CP19&gt;$CO$8,"",VLOOKUP($CP19,$CR$9:$CX$508,2,FALSE()))</f>
        <v/>
      </c>
      <c r="DA19" s="141" t="str">
        <f aca="false">IF($CP19&gt;$CO$8,"",VLOOKUP($CP19,$CR$9:$CX$508,3,FALSE()))</f>
        <v/>
      </c>
      <c r="DB19" s="141" t="str">
        <f aca="false">IF($CP19&gt;$CO$8,"",VLOOKUP($CP19,$CR$9:$CX$508,4,FALSE()))</f>
        <v/>
      </c>
      <c r="DC19" s="141" t="str">
        <f aca="false">IF($CP19&gt;$CO$8,"",VLOOKUP($CP19,$CR$9:$CX$508,5,FALSE()))</f>
        <v/>
      </c>
      <c r="DD19" s="142" t="str">
        <f aca="false">IF($CP19&gt;$CO$8,"",VLOOKUP($CP19,$CR$9:$CX$508,6,FALSE()))</f>
        <v/>
      </c>
      <c r="DE19" s="70"/>
    </row>
    <row r="20" customFormat="false" ht="15.75" hidden="false" customHeight="false" outlineLevel="0" collapsed="false">
      <c r="A20" s="8"/>
      <c r="B20" s="146"/>
      <c r="C20" s="147"/>
      <c r="D20" s="148"/>
      <c r="E20" s="149"/>
      <c r="F20" s="150"/>
      <c r="G20" s="115"/>
      <c r="H20" s="115"/>
      <c r="I20" s="115"/>
      <c r="J20" s="151"/>
      <c r="K20" s="152"/>
      <c r="L20" s="152"/>
      <c r="M20" s="118"/>
      <c r="N20" s="152"/>
      <c r="O20" s="153"/>
      <c r="P20" s="152"/>
      <c r="Q20" s="152"/>
      <c r="R20" s="152"/>
      <c r="S20" s="115"/>
      <c r="T20" s="152"/>
      <c r="U20" s="153"/>
      <c r="V20" s="154"/>
      <c r="W20" s="123"/>
      <c r="X20" s="124" t="str">
        <f aca="false">IF(ISBLANK($C20),"",IF($E20=Constants!$B$2,TRUE(),IF($E20=Constants!$B$3,FALSE(),TRUE())))</f>
        <v/>
      </c>
      <c r="Y20" s="124" t="str">
        <f aca="false">IF(ISBLANK($C20),"",IF($F20=Constants!$B$2,TRUE(),IF($F20=Constants!$B$3,FALSE(),TRUE())))</f>
        <v/>
      </c>
      <c r="Z20" s="125" t="str">
        <f aca="false">IF(ISBLANK($C20),"",IF(ISNUMBER($G20),IF($G20&gt;=0,$G20,""),""))</f>
        <v/>
      </c>
      <c r="AA20" s="125" t="str">
        <f aca="false">IF(ISBLANK($C20),"",IF(ISNUMBER($H20),IF($H20&gt;=0,$H20,""),""))</f>
        <v/>
      </c>
      <c r="AB20" s="125" t="str">
        <f aca="false">IF(ISBLANK($C20),"",IF(ISNUMBER($I20),IF($I20&gt;=0,$I20,""),""))</f>
        <v/>
      </c>
      <c r="AC20" s="124" t="str">
        <f aca="false">IF(ISBLANK($C20),"",IF($J20=Constants!$B$2,TRUE(),IF($J20=Constants!$B$3,FALSE(),TRUE())))</f>
        <v/>
      </c>
      <c r="AD20" s="124" t="str">
        <f aca="false">IF(ISBLANK($C20),"",IF($K20=Constants!$B$2,TRUE(),IF($K20=Constants!$B$3,FALSE(),TRUE())))</f>
        <v/>
      </c>
      <c r="AE20" s="124" t="str">
        <f aca="false">IF(ISBLANK($C20),"",IF($L20=Constants!$B$2,TRUE(),IF($L20=Constants!$B$3,FALSE(),TRUE())))</f>
        <v/>
      </c>
      <c r="AF20" s="126" t="str">
        <f aca="false">IF(ISBLANK($C20),"",IF(ISNUMBER($M20),IF($M20&gt;=0,$M20,""),""))</f>
        <v/>
      </c>
      <c r="AG20" s="124" t="str">
        <f aca="false">IF(ISBLANK($C20),"",IF(ISBLANK($N20),0,IF(ISNUMBER($N20),IF(AND($N20&gt;=0,$N20&lt;=Constants!$B$17,$N20=INT($N20)),$N20,""),"")))</f>
        <v/>
      </c>
      <c r="AH20" s="125" t="str">
        <f aca="false">IF(ISBLANK($C20),"",IF(ISBLANK($O20),0,IF(ISNUMBER($O20),IF($O20&gt;=0,$O20,""),"")))</f>
        <v/>
      </c>
      <c r="AI20" s="124" t="str">
        <f aca="false">IF(ISBLANK($C20),"",IF($P20=Constants!$B$2,TRUE(),IF($P20=Constants!$B$3,FALSE(),TRUE())))</f>
        <v/>
      </c>
      <c r="AJ20" s="124" t="str">
        <f aca="false">IF(ISBLANK($C20),"",IF($Q20=Constants!$B$2,TRUE(),IF($Q20=Constants!$B$3,FALSE(),TRUE())))</f>
        <v/>
      </c>
      <c r="AK20" s="124" t="str">
        <f aca="false">IF(ISBLANK($C20),"",IF($R20=Constants!$B$2,TRUE(),IF($R20=Constants!$B$3,FALSE(),TRUE())))</f>
        <v/>
      </c>
      <c r="AL20" s="126" t="str">
        <f aca="false">IF(ISBLANK($C20),"",IF(ISNUMBER($S20),IF($S20&gt;=0,$S20,""),""))</f>
        <v/>
      </c>
      <c r="AM20" s="124" t="str">
        <f aca="false">IF(ISBLANK($C20),"",IF(ISBLANK($T20),0,IF(ISNUMBER($T20),IF(AND($T20&gt;=0,$T20&lt;=Constants!$B$17,$T20=INT($T20)),$T20,""),"")))</f>
        <v/>
      </c>
      <c r="AN20" s="125" t="str">
        <f aca="false">IF(ISBLANK($C20),"",IF(ISBLANK($U20),0,IF(ISNUMBER($U20),IF($U20&gt;=0,$U20,""),"")))</f>
        <v/>
      </c>
      <c r="AO20" s="124" t="str">
        <f aca="false">IF(ISBLANK($C20),"",IF($V20=Constants!$B$2,TRUE(),IF($V20=Constants!$B$3,FALSE(),FALSE())))</f>
        <v/>
      </c>
      <c r="AP20" s="124"/>
      <c r="AQ20" s="123" t="str">
        <f aca="false">IF(ISBLANK($C20),"",AND($Y20,OR($AS20,$BC20),OR($Z20="",$AA20="",$AB20="")))</f>
        <v/>
      </c>
      <c r="AR20" s="123" t="str">
        <f aca="false">IF(ISBLANK($C20),"",IF(OR(NOT($Y20),NOT(OR($AS20,$BC20))),"",IF(ISBLANK($D$7),$AR$5,IF($AP$9="",$AR$6,""))))</f>
        <v/>
      </c>
      <c r="AS20" s="123" t="str">
        <f aca="false">IF(ISBLANK($C20),"",COUNTA($J20:$O20)&gt;0)</f>
        <v/>
      </c>
      <c r="AT20" s="123" t="str">
        <f aca="false">IF(ISBLANK($C20),"",AND($AS20,OR(AND($AF20="",OR($AE20,NOT(ISBLANK($M20)))),$AG20="",$AH20="")))</f>
        <v/>
      </c>
      <c r="AU20" s="125" t="str">
        <f aca="false">IF($BL20&lt;&gt;Constants!$B$4,"",IF(NOT($AS20),"",ROUND((Constants!$B$12-$AB20)+(Constants!$B$13-$Z20)+(Constants!$B$14-$AA20),1)))</f>
        <v/>
      </c>
      <c r="AV20" s="127" t="str">
        <f aca="false">IF($BL20&lt;&gt;Constants!$B$4,"",IF(NOT($AS20),"",IF(NOT($AE20),0,Constants!$B$15*(INT(ROUND(MIN($AF20,$AP$9),6))-INT(ROUND(MAX(0,MIN($AF20,2*$AP$9)-$AP$9),6))))))</f>
        <v/>
      </c>
      <c r="AW20" s="127" t="str">
        <f aca="false">IF($BL20&lt;&gt;Constants!$B$4,"",IF(NOT($AS20),"",Constants!$B$16*$AG20))</f>
        <v/>
      </c>
      <c r="AX20" s="127" t="str">
        <f aca="false">IF($BL20&lt;&gt;Constants!$B$4,"",IF(NOT($AS20),"",Constants!$B$18*INT(ROUND($AH20,6))))</f>
        <v/>
      </c>
      <c r="AY20" s="123" t="str">
        <f aca="false">IF($BL20&lt;&gt;Constants!$B$4,"",IF(NOT($AS20),"",IF(NOT($X20),Constants!$B$11,IF(OR(NOT($AC20),NOT($AD20),ROUND($AB20,1)&gt;Constants!$B$12,ROUND($Z20,1)&gt;Constants!$B$13,ROUND($AA20,1)&gt;Constants!$B$14),Constants!$B$10,Constants!$B$9))))</f>
        <v/>
      </c>
      <c r="AZ20" s="128" t="str">
        <f aca="false">IF($BL20&lt;&gt;Constants!$B$4,"",IF(NOT($AS20),"",ROUND($AU20+$AV20+$AW20+$AX20,1)))</f>
        <v/>
      </c>
      <c r="BA20" s="129" t="str">
        <f aca="false">IF($BL20&lt;&gt;Constants!$B$4,"",IF(NOT($AS20),"",IF(ISNUMBER($AF20),$AF20,0)))</f>
        <v/>
      </c>
      <c r="BB20" s="124" t="str">
        <f aca="false">IF($BL20&lt;&gt;Constants!$B$4,"",IF(NOT($BC20),"&lt;-",IF(NOT($AS20),"-&gt;",IF(OR($BI20&lt;$AY20,AND($BI20=$AY20,OR($BJ20&gt;$AZ20,AND($BJ20=$AZ20,OR($BH20&gt;$AX20,AND($BH20=$AX20,OR($BE20&gt;$AU20,AND($BE20=$AU20,OR($BF20&gt;$AV20,AND($BF20=$AV20,$BK20&gt;$BA20)))))))))),"-&gt;","&lt;-"))))</f>
        <v/>
      </c>
      <c r="BC20" s="123" t="str">
        <f aca="false">IF(ISBLANK($C20),"",COUNTA($P20:$U20)&gt;0)</f>
        <v/>
      </c>
      <c r="BD20" s="123" t="str">
        <f aca="false">IF(ISBLANK($C20),"",AND($BC20,OR(AND($AL20="",OR($AK20,NOT(ISBLANK($S20)))),$AM20="",$AN20="")))</f>
        <v/>
      </c>
      <c r="BE20" s="125" t="str">
        <f aca="false">IF($BL20&lt;&gt;Constants!$B$4,"",IF(NOT($BC20),"",ROUND((Constants!$B$12-$AB20)+(Constants!$B$13-$Z20)+(Constants!$B$14-$AA20),1)))</f>
        <v/>
      </c>
      <c r="BF20" s="127" t="str">
        <f aca="false">IF($BL20&lt;&gt;Constants!$B$4,"",IF(NOT($BC20),"",IF(NOT($AK20),0,Constants!$B$15*(INT(ROUND(MIN($AL20,$AP$9),6))-INT(ROUND(MAX(0,MIN($AL20,2*$AP$9)-$AP$9),6))))))</f>
        <v/>
      </c>
      <c r="BG20" s="127" t="str">
        <f aca="false">IF($BL20&lt;&gt;Constants!$B$4,"",IF(NOT($BC20),"",Constants!$B$16*$AM20))</f>
        <v/>
      </c>
      <c r="BH20" s="127" t="str">
        <f aca="false">IF($BL20&lt;&gt;Constants!$B$4,"",IF(NOT($BC20),"",Constants!$B$18*INT(ROUND($AN20,6))))</f>
        <v/>
      </c>
      <c r="BI20" s="123" t="str">
        <f aca="false">IF($BL20&lt;&gt;Constants!$B$4,"",IF(NOT($BC20),"",IF(NOT($X20),Constants!$B$11,IF(OR(NOT($AI20),NOT($AJ20),ROUND($AB20,1)&gt;Constants!$B$12,ROUND($Z20,1)&gt;Constants!$B$13,ROUND($AA20,1)&gt;Constants!$B$14),Constants!$B$10,Constants!$B$9))))</f>
        <v/>
      </c>
      <c r="BJ20" s="128" t="str">
        <f aca="false">IF($BL20&lt;&gt;Constants!$B$4,"",IF(NOT($BC20),"",ROUND($BE20+$BF20+$BG20+$BH20,1)))</f>
        <v/>
      </c>
      <c r="BK20" s="129" t="str">
        <f aca="false">IF($BL20&lt;&gt;Constants!$B$4,"",IF(NOT($BC20),"",IF(ISNUMBER($AL20),$AL20,0)))</f>
        <v/>
      </c>
      <c r="BL20" s="124" t="str">
        <f aca="false">IF(ISBLANK($C20),"",IF($AO20,Constants!$B$7,IF(COUNTA($E20:$V20)=0,Constants!$B$6,IF(NOT($Y20),Constants!$B$5,IF(NOT(OR($AS20,$BC20)),Constants!$B$5,IF(OR($AT20,$BD20,$AQ20,$AR20&lt;&gt;""),Constants!$B$8,Constants!$B$4))))))</f>
        <v/>
      </c>
      <c r="BM20" s="124" t="str">
        <f aca="false">IF(ISBLANK($C20),"",IF($BL20&lt;&gt;Constants!$B$4,$BL20,IF($BB20="-&gt;",$BI20,$AY20)))</f>
        <v/>
      </c>
      <c r="BN20" s="127" t="str">
        <f aca="false">IF($BL20&lt;&gt;Constants!$B$4,"",IF($BB20="-&gt;",$BJ20,$AZ20))</f>
        <v/>
      </c>
      <c r="BO20" s="127" t="str">
        <f aca="false">IF(ISBLANK($C20),"",IF($BL20&lt;&gt;Constants!$B$4,$BL20,$BN20))</f>
        <v/>
      </c>
      <c r="BP20" s="124" t="str">
        <f aca="false">IF(ISBLANK($C20),"",IF($BL20&lt;&gt;Constants!$B$4,$BL20,RANK($BO20,$BO$9:$BO$508,0)))</f>
        <v/>
      </c>
      <c r="BQ20" s="124" t="str">
        <f aca="false">IF(ISBLANK($C20),"",IF($BL20&lt;&gt;Constants!$B$4,$BL20,COUNTIFS($BM$9:$BM$508,"&lt;"&amp;$BM20)+COUNTIFS($BM$9:$BM$508,$BM20,$BP$9:$BP$508,"&lt;"&amp;$BP20)+1))</f>
        <v/>
      </c>
      <c r="BR20" s="127" t="str">
        <f aca="false">IF($BL20&lt;&gt;Constants!$B$4,"",IF($BB20="-&gt;",$BH20,$AX20))</f>
        <v/>
      </c>
      <c r="BS20" s="124" t="str">
        <f aca="false">IF(ISBLANK($C20),"",IF($BL20&lt;&gt;Constants!$B$4,$BL20,IF(ISNUMBER($BR20),RANK($BR20,$BR$9:$BR$508,0),COUNT($BR$9:$BR$508)+1)))</f>
        <v/>
      </c>
      <c r="BT20" s="127" t="str">
        <f aca="false">IF($BL20&lt;&gt;Constants!$B$4,"",IF($BB20="-&gt;",$BE20,$AU20))</f>
        <v/>
      </c>
      <c r="BU20" s="124" t="str">
        <f aca="false">IF(ISBLANK($C20),"",IF($BL20&lt;&gt;Constants!$B$4,$BL20,IF(ISNUMBER($BT20),RANK($BT20,$BT$9:$BT$508,0),COUNT($BT$9:$BT$508)+1)))</f>
        <v/>
      </c>
      <c r="BV20" s="127" t="str">
        <f aca="false">IF($BL20&lt;&gt;Constants!$B$4,"",IF($BB20="-&gt;",$BF20,$AV20))</f>
        <v/>
      </c>
      <c r="BW20" s="124" t="str">
        <f aca="false">IF(ISBLANK($C20),"",IF($BL20&lt;&gt;Constants!$B$4,$BL20,IF(ISNUMBER($BV20),RANK($BV20,$BV$9:$BV$508,0),COUNT($BV$9:$BV$508)+1)))</f>
        <v/>
      </c>
      <c r="BX20" s="127" t="str">
        <f aca="false">IF($BL20&lt;&gt;Constants!$B$4,"",IF($BB20="-&gt;",$BK20,$BA20))</f>
        <v/>
      </c>
      <c r="BY20" s="124" t="str">
        <f aca="false">IF(ISBLANK($C20),"",IF($BL20&lt;&gt;Constants!$B$4,$BL20,IF(ISNUMBER($BX20),RANK($BX20,$BX$9:$BX$508,0),COUNT($BX$9:$BX$508)+1)))</f>
        <v/>
      </c>
      <c r="BZ20" s="124" t="str">
        <f aca="false">IF(ISBLANK($C20),"",IF($BL20&lt;&gt;Constants!$B$4,$BL20,COUNTIFS($BM$9:$BM$508,"&lt;"&amp;$BM20)+COUNTIFS($BM$9:$BM$508,$BM20,$BP$9:$BP$508,"&lt;"&amp;$BP20)+COUNTIFS($BM$9:$BM$508,$BM20,$BP$9:$BP$508,$BP20,$BS$9:$BS$508,"&lt;"&amp;$BS20)+COUNTIFS($BM$9:$BM$508,$BM20,$BP$9:$BP$508,$BP20,$BS$9:$BS$508,$BS20,$BU$9:$BU$508,"&lt;"&amp;$BU20)+COUNTIFS($BM$9:$BM$508,$BM20,$BP$9:$BP$508,$BP20,$BS$9:$BS$508,$BS20,$BU$9:$BU$508,$BU20,$BW$9:$BW$508,"&lt;"&amp;$BW20)+COUNTIFS($BM$9:$BM$508,$BM20,$BP$9:$BP$508,$BP20,$BS$9:$BS$508,$BS20,$BU$9:$BU$508,$BU20,$BW$9:$BW$508,$BW20,$BY$9:$BY$508,"&lt;"&amp;$BY20)+1))</f>
        <v/>
      </c>
      <c r="CA20" s="124" t="str">
        <f aca="false">IF(ISBLANK($C20),"",IF($BL20&lt;&gt;Constants!$B$4,$BL20,$BQ20-$BZ20))</f>
        <v/>
      </c>
      <c r="CB20" s="130"/>
      <c r="CC20" s="131" t="str">
        <f aca="false">IF(ISBLANK($C20),"",IF($BL20=Constants!$B$8,$AR20,""))</f>
        <v/>
      </c>
      <c r="CD20" s="131" t="str">
        <f aca="false">IF(ISBLANK($C20),"",IF($BL20&lt;&gt;Constants!$B$4,"",IF($BB20="-&gt;",2,1)))</f>
        <v/>
      </c>
      <c r="CE20" s="132" t="str">
        <f aca="false">IF(ISBLANK($C20),"",IF($BL20&lt;&gt;Constants!$B$4,"",IF($BB20="-&gt;",$BE20,$AU20)))</f>
        <v/>
      </c>
      <c r="CF20" s="132" t="str">
        <f aca="false">IF(ISBLANK($C20),"",IF($BL20&lt;&gt;Constants!$B$4,"",IF($BB20="-&gt;",$BF20,$AV20)))</f>
        <v/>
      </c>
      <c r="CG20" s="132" t="str">
        <f aca="false">IF(ISBLANK($C20),"",IF($BL20&lt;&gt;Constants!$B$4,"",IF($BB20="-&gt;",$BG20,$AW20)))</f>
        <v/>
      </c>
      <c r="CH20" s="132" t="str">
        <f aca="false">IF(ISBLANK($C20),"",IF($BL20&lt;&gt;Constants!$B$4,"",IF($BB20="-&gt;",$BH20,$AX20)))</f>
        <v/>
      </c>
      <c r="CI20" s="133" t="str">
        <f aca="false">IF(ISBLANK($C20),"",$BO20)</f>
        <v/>
      </c>
      <c r="CJ20" s="134" t="str">
        <f aca="false">IF(ISBLANK($C20),"",$BM20)</f>
        <v/>
      </c>
      <c r="CK20" s="135" t="str">
        <f aca="false">IF(ISBLANK($C20),"",$CA20)</f>
        <v/>
      </c>
      <c r="CL20" s="135" t="str">
        <f aca="false">IF(ISBLANK($C20),"",$BZ20)</f>
        <v/>
      </c>
      <c r="CM20" s="136" t="str">
        <f aca="false">IF(ISBLANK($C20),"",IF($CL20=Constants!$B$7,COUNTA($C$9:$C$508)+2,IF($CL20=Constants!$B$6,COUNTA($C$9:$C$508)+1,IF($CL20=Constants!$B$5,COUNTA($C$9:$C$508),$CL20))))</f>
        <v/>
      </c>
      <c r="CN20" s="8"/>
      <c r="CO20" s="137" t="n">
        <f aca="false">IF(OR(ISNUMBER($CL20),$CL20=Constants!$B$7,$CL20=Constants!$B$5,$CL20=Constants!$B$6),1,0)</f>
        <v>0</v>
      </c>
      <c r="CP20" s="137" t="n">
        <v>12</v>
      </c>
      <c r="CQ20" s="137" t="str">
        <f aca="false">IF(ISBLANK($C20),"",IF(ISNUMBER($CM20),$CM20+ROW($B20)/1000,""))</f>
        <v/>
      </c>
      <c r="CR20" s="137" t="str">
        <f aca="false">IF(ISNUMBER($CQ20),RANK($CQ20,$CQ$9:$CQ$508,1),"")</f>
        <v/>
      </c>
      <c r="CS20" s="137" t="str">
        <f aca="false">IF(ISBLANK($C20),"",$B20)</f>
        <v/>
      </c>
      <c r="CT20" s="137" t="str">
        <f aca="false">IF(ISBLANK($C20),"",$C20)</f>
        <v/>
      </c>
      <c r="CU20" s="137" t="str">
        <f aca="false">IF(ISBLANK($C20),"",$D20)</f>
        <v/>
      </c>
      <c r="CV20" s="138" t="str">
        <f aca="false">$CJ20</f>
        <v/>
      </c>
      <c r="CW20" s="139" t="str">
        <f aca="false">$CI20</f>
        <v/>
      </c>
      <c r="CX20" s="137" t="str">
        <f aca="false">IF(ISBLANK($C20),"",$CL20)</f>
        <v/>
      </c>
      <c r="CY20" s="140" t="str">
        <f aca="false">IF($CP20&gt;$CO$8,"",VLOOKUP($CP20,$CR$9:$CX$508,7,FALSE()))</f>
        <v/>
      </c>
      <c r="CZ20" s="141" t="str">
        <f aca="false">IF($CP20&gt;$CO$8,"",VLOOKUP($CP20,$CR$9:$CX$508,2,FALSE()))</f>
        <v/>
      </c>
      <c r="DA20" s="141" t="str">
        <f aca="false">IF($CP20&gt;$CO$8,"",VLOOKUP($CP20,$CR$9:$CX$508,3,FALSE()))</f>
        <v/>
      </c>
      <c r="DB20" s="141" t="str">
        <f aca="false">IF($CP20&gt;$CO$8,"",VLOOKUP($CP20,$CR$9:$CX$508,4,FALSE()))</f>
        <v/>
      </c>
      <c r="DC20" s="141" t="str">
        <f aca="false">IF($CP20&gt;$CO$8,"",VLOOKUP($CP20,$CR$9:$CX$508,5,FALSE()))</f>
        <v/>
      </c>
      <c r="DD20" s="142" t="str">
        <f aca="false">IF($CP20&gt;$CO$8,"",VLOOKUP($CP20,$CR$9:$CX$508,6,FALSE()))</f>
        <v/>
      </c>
      <c r="DE20" s="70"/>
    </row>
    <row r="21" customFormat="false" ht="15.75" hidden="false" customHeight="false" outlineLevel="0" collapsed="false">
      <c r="A21" s="8"/>
      <c r="B21" s="72"/>
      <c r="C21" s="73"/>
      <c r="D21" s="155"/>
      <c r="E21" s="156"/>
      <c r="F21" s="157"/>
      <c r="G21" s="77"/>
      <c r="H21" s="77"/>
      <c r="I21" s="77"/>
      <c r="J21" s="158"/>
      <c r="K21" s="159"/>
      <c r="L21" s="159"/>
      <c r="M21" s="80"/>
      <c r="N21" s="159"/>
      <c r="O21" s="160"/>
      <c r="P21" s="159"/>
      <c r="Q21" s="159"/>
      <c r="R21" s="159"/>
      <c r="S21" s="77"/>
      <c r="T21" s="159"/>
      <c r="U21" s="160"/>
      <c r="V21" s="161"/>
      <c r="W21" s="85"/>
      <c r="X21" s="86" t="str">
        <f aca="false">IF(ISBLANK($C21),"",IF($E21=Constants!$B$2,TRUE(),IF($E21=Constants!$B$3,FALSE(),TRUE())))</f>
        <v/>
      </c>
      <c r="Y21" s="86" t="str">
        <f aca="false">IF(ISBLANK($C21),"",IF($F21=Constants!$B$2,TRUE(),IF($F21=Constants!$B$3,FALSE(),TRUE())))</f>
        <v/>
      </c>
      <c r="Z21" s="87" t="str">
        <f aca="false">IF(ISBLANK($C21),"",IF(ISNUMBER($G21),IF($G21&gt;=0,$G21,""),""))</f>
        <v/>
      </c>
      <c r="AA21" s="87" t="str">
        <f aca="false">IF(ISBLANK($C21),"",IF(ISNUMBER($H21),IF($H21&gt;=0,$H21,""),""))</f>
        <v/>
      </c>
      <c r="AB21" s="87" t="str">
        <f aca="false">IF(ISBLANK($C21),"",IF(ISNUMBER($I21),IF($I21&gt;=0,$I21,""),""))</f>
        <v/>
      </c>
      <c r="AC21" s="86" t="str">
        <f aca="false">IF(ISBLANK($C21),"",IF($J21=Constants!$B$2,TRUE(),IF($J21=Constants!$B$3,FALSE(),TRUE())))</f>
        <v/>
      </c>
      <c r="AD21" s="86" t="str">
        <f aca="false">IF(ISBLANK($C21),"",IF($K21=Constants!$B$2,TRUE(),IF($K21=Constants!$B$3,FALSE(),TRUE())))</f>
        <v/>
      </c>
      <c r="AE21" s="86" t="str">
        <f aca="false">IF(ISBLANK($C21),"",IF($L21=Constants!$B$2,TRUE(),IF($L21=Constants!$B$3,FALSE(),TRUE())))</f>
        <v/>
      </c>
      <c r="AF21" s="88" t="str">
        <f aca="false">IF(ISBLANK($C21),"",IF(ISNUMBER($M21),IF($M21&gt;=0,$M21,""),""))</f>
        <v/>
      </c>
      <c r="AG21" s="86" t="str">
        <f aca="false">IF(ISBLANK($C21),"",IF(ISBLANK($N21),0,IF(ISNUMBER($N21),IF(AND($N21&gt;=0,$N21&lt;=Constants!$B$17,$N21=INT($N21)),$N21,""),"")))</f>
        <v/>
      </c>
      <c r="AH21" s="87" t="str">
        <f aca="false">IF(ISBLANK($C21),"",IF(ISBLANK($O21),0,IF(ISNUMBER($O21),IF($O21&gt;=0,$O21,""),"")))</f>
        <v/>
      </c>
      <c r="AI21" s="86" t="str">
        <f aca="false">IF(ISBLANK($C21),"",IF($P21=Constants!$B$2,TRUE(),IF($P21=Constants!$B$3,FALSE(),TRUE())))</f>
        <v/>
      </c>
      <c r="AJ21" s="86" t="str">
        <f aca="false">IF(ISBLANK($C21),"",IF($Q21=Constants!$B$2,TRUE(),IF($Q21=Constants!$B$3,FALSE(),TRUE())))</f>
        <v/>
      </c>
      <c r="AK21" s="86" t="str">
        <f aca="false">IF(ISBLANK($C21),"",IF($R21=Constants!$B$2,TRUE(),IF($R21=Constants!$B$3,FALSE(),TRUE())))</f>
        <v/>
      </c>
      <c r="AL21" s="88" t="str">
        <f aca="false">IF(ISBLANK($C21),"",IF(ISNUMBER($S21),IF($S21&gt;=0,$S21,""),""))</f>
        <v/>
      </c>
      <c r="AM21" s="86" t="str">
        <f aca="false">IF(ISBLANK($C21),"",IF(ISBLANK($T21),0,IF(ISNUMBER($T21),IF(AND($T21&gt;=0,$T21&lt;=Constants!$B$17,$T21=INT($T21)),$T21,""),"")))</f>
        <v/>
      </c>
      <c r="AN21" s="87" t="str">
        <f aca="false">IF(ISBLANK($C21),"",IF(ISBLANK($U21),0,IF(ISNUMBER($U21),IF($U21&gt;=0,$U21,""),"")))</f>
        <v/>
      </c>
      <c r="AO21" s="86" t="str">
        <f aca="false">IF(ISBLANK($C21),"",IF($V21=Constants!$B$2,TRUE(),IF($V21=Constants!$B$3,FALSE(),FALSE())))</f>
        <v/>
      </c>
      <c r="AP21" s="86"/>
      <c r="AQ21" s="85" t="str">
        <f aca="false">IF(ISBLANK($C21),"",AND($Y21,OR($AS21,$BC21),OR($Z21="",$AA21="",$AB21="")))</f>
        <v/>
      </c>
      <c r="AR21" s="85" t="str">
        <f aca="false">IF(ISBLANK($C21),"",IF(OR(NOT($Y21),NOT(OR($AS21,$BC21))),"",IF(ISBLANK($D$7),$AR$5,IF($AP$9="",$AR$6,""))))</f>
        <v/>
      </c>
      <c r="AS21" s="85" t="str">
        <f aca="false">IF(ISBLANK($C21),"",COUNTA($J21:$O21)&gt;0)</f>
        <v/>
      </c>
      <c r="AT21" s="85" t="str">
        <f aca="false">IF(ISBLANK($C21),"",AND($AS21,OR(AND($AF21="",OR($AE21,NOT(ISBLANK($M21)))),$AG21="",$AH21="")))</f>
        <v/>
      </c>
      <c r="AU21" s="87" t="str">
        <f aca="false">IF($BL21&lt;&gt;Constants!$B$4,"",IF(NOT($AS21),"",ROUND((Constants!$B$12-$AB21)+(Constants!$B$13-$Z21)+(Constants!$B$14-$AA21),1)))</f>
        <v/>
      </c>
      <c r="AV21" s="90" t="str">
        <f aca="false">IF($BL21&lt;&gt;Constants!$B$4,"",IF(NOT($AS21),"",IF(NOT($AE21),0,Constants!$B$15*(INT(ROUND(MIN($AF21,$AP$9),6))-INT(ROUND(MAX(0,MIN($AF21,2*$AP$9)-$AP$9),6))))))</f>
        <v/>
      </c>
      <c r="AW21" s="90" t="str">
        <f aca="false">IF($BL21&lt;&gt;Constants!$B$4,"",IF(NOT($AS21),"",Constants!$B$16*$AG21))</f>
        <v/>
      </c>
      <c r="AX21" s="90" t="str">
        <f aca="false">IF($BL21&lt;&gt;Constants!$B$4,"",IF(NOT($AS21),"",Constants!$B$18*INT(ROUND($AH21,6))))</f>
        <v/>
      </c>
      <c r="AY21" s="85" t="str">
        <f aca="false">IF($BL21&lt;&gt;Constants!$B$4,"",IF(NOT($AS21),"",IF(NOT($X21),Constants!$B$11,IF(OR(NOT($AC21),NOT($AD21),ROUND($AB21,1)&gt;Constants!$B$12,ROUND($Z21,1)&gt;Constants!$B$13,ROUND($AA21,1)&gt;Constants!$B$14),Constants!$B$10,Constants!$B$9))))</f>
        <v/>
      </c>
      <c r="AZ21" s="91" t="str">
        <f aca="false">IF($BL21&lt;&gt;Constants!$B$4,"",IF(NOT($AS21),"",ROUND($AU21+$AV21+$AW21+$AX21,1)))</f>
        <v/>
      </c>
      <c r="BA21" s="92" t="str">
        <f aca="false">IF($BL21&lt;&gt;Constants!$B$4,"",IF(NOT($AS21),"",IF(ISNUMBER($AF21),$AF21,0)))</f>
        <v/>
      </c>
      <c r="BB21" s="86" t="str">
        <f aca="false">IF($BL21&lt;&gt;Constants!$B$4,"",IF(NOT($BC21),"&lt;-",IF(NOT($AS21),"-&gt;",IF(OR($BI21&lt;$AY21,AND($BI21=$AY21,OR($BJ21&gt;$AZ21,AND($BJ21=$AZ21,OR($BH21&gt;$AX21,AND($BH21=$AX21,OR($BE21&gt;$AU21,AND($BE21=$AU21,OR($BF21&gt;$AV21,AND($BF21=$AV21,$BK21&gt;$BA21)))))))))),"-&gt;","&lt;-"))))</f>
        <v/>
      </c>
      <c r="BC21" s="85" t="str">
        <f aca="false">IF(ISBLANK($C21),"",COUNTA($P21:$U21)&gt;0)</f>
        <v/>
      </c>
      <c r="BD21" s="85" t="str">
        <f aca="false">IF(ISBLANK($C21),"",AND($BC21,OR(AND($AL21="",OR($AK21,NOT(ISBLANK($S21)))),$AM21="",$AN21="")))</f>
        <v/>
      </c>
      <c r="BE21" s="87" t="str">
        <f aca="false">IF($BL21&lt;&gt;Constants!$B$4,"",IF(NOT($BC21),"",ROUND((Constants!$B$12-$AB21)+(Constants!$B$13-$Z21)+(Constants!$B$14-$AA21),1)))</f>
        <v/>
      </c>
      <c r="BF21" s="90" t="str">
        <f aca="false">IF($BL21&lt;&gt;Constants!$B$4,"",IF(NOT($BC21),"",IF(NOT($AK21),0,Constants!$B$15*(INT(ROUND(MIN($AL21,$AP$9),6))-INT(ROUND(MAX(0,MIN($AL21,2*$AP$9)-$AP$9),6))))))</f>
        <v/>
      </c>
      <c r="BG21" s="90" t="str">
        <f aca="false">IF($BL21&lt;&gt;Constants!$B$4,"",IF(NOT($BC21),"",Constants!$B$16*$AM21))</f>
        <v/>
      </c>
      <c r="BH21" s="90" t="str">
        <f aca="false">IF($BL21&lt;&gt;Constants!$B$4,"",IF(NOT($BC21),"",Constants!$B$18*INT(ROUND($AN21,6))))</f>
        <v/>
      </c>
      <c r="BI21" s="85" t="str">
        <f aca="false">IF($BL21&lt;&gt;Constants!$B$4,"",IF(NOT($BC21),"",IF(NOT($X21),Constants!$B$11,IF(OR(NOT($AI21),NOT($AJ21),ROUND($AB21,1)&gt;Constants!$B$12,ROUND($Z21,1)&gt;Constants!$B$13,ROUND($AA21,1)&gt;Constants!$B$14),Constants!$B$10,Constants!$B$9))))</f>
        <v/>
      </c>
      <c r="BJ21" s="91" t="str">
        <f aca="false">IF($BL21&lt;&gt;Constants!$B$4,"",IF(NOT($BC21),"",ROUND($BE21+$BF21+$BG21+$BH21,1)))</f>
        <v/>
      </c>
      <c r="BK21" s="92" t="str">
        <f aca="false">IF($BL21&lt;&gt;Constants!$B$4,"",IF(NOT($BC21),"",IF(ISNUMBER($AL21),$AL21,0)))</f>
        <v/>
      </c>
      <c r="BL21" s="86" t="str">
        <f aca="false">IF(ISBLANK($C21),"",IF($AO21,Constants!$B$7,IF(COUNTA($E21:$V21)=0,Constants!$B$6,IF(NOT($Y21),Constants!$B$5,IF(NOT(OR($AS21,$BC21)),Constants!$B$5,IF(OR($AT21,$BD21,$AQ21,$AR21&lt;&gt;""),Constants!$B$8,Constants!$B$4))))))</f>
        <v/>
      </c>
      <c r="BM21" s="86" t="str">
        <f aca="false">IF(ISBLANK($C21),"",IF($BL21&lt;&gt;Constants!$B$4,$BL21,IF($BB21="-&gt;",$BI21,$AY21)))</f>
        <v/>
      </c>
      <c r="BN21" s="90" t="str">
        <f aca="false">IF($BL21&lt;&gt;Constants!$B$4,"",IF($BB21="-&gt;",$BJ21,$AZ21))</f>
        <v/>
      </c>
      <c r="BO21" s="90" t="str">
        <f aca="false">IF(ISBLANK($C21),"",IF($BL21&lt;&gt;Constants!$B$4,$BL21,$BN21))</f>
        <v/>
      </c>
      <c r="BP21" s="86" t="str">
        <f aca="false">IF(ISBLANK($C21),"",IF($BL21&lt;&gt;Constants!$B$4,$BL21,RANK($BO21,$BO$9:$BO$508,0)))</f>
        <v/>
      </c>
      <c r="BQ21" s="86" t="str">
        <f aca="false">IF(ISBLANK($C21),"",IF($BL21&lt;&gt;Constants!$B$4,$BL21,COUNTIFS($BM$9:$BM$508,"&lt;"&amp;$BM21)+COUNTIFS($BM$9:$BM$508,$BM21,$BP$9:$BP$508,"&lt;"&amp;$BP21)+1))</f>
        <v/>
      </c>
      <c r="BR21" s="90" t="str">
        <f aca="false">IF($BL21&lt;&gt;Constants!$B$4,"",IF($BB21="-&gt;",$BH21,$AX21))</f>
        <v/>
      </c>
      <c r="BS21" s="86" t="str">
        <f aca="false">IF(ISBLANK($C21),"",IF($BL21&lt;&gt;Constants!$B$4,$BL21,IF(ISNUMBER($BR21),RANK($BR21,$BR$9:$BR$508,0),COUNT($BR$9:$BR$508)+1)))</f>
        <v/>
      </c>
      <c r="BT21" s="90" t="str">
        <f aca="false">IF($BL21&lt;&gt;Constants!$B$4,"",IF($BB21="-&gt;",$BE21,$AU21))</f>
        <v/>
      </c>
      <c r="BU21" s="86" t="str">
        <f aca="false">IF(ISBLANK($C21),"",IF($BL21&lt;&gt;Constants!$B$4,$BL21,IF(ISNUMBER($BT21),RANK($BT21,$BT$9:$BT$508,0),COUNT($BT$9:$BT$508)+1)))</f>
        <v/>
      </c>
      <c r="BV21" s="90" t="str">
        <f aca="false">IF($BL21&lt;&gt;Constants!$B$4,"",IF($BB21="-&gt;",$BF21,$AV21))</f>
        <v/>
      </c>
      <c r="BW21" s="86" t="str">
        <f aca="false">IF(ISBLANK($C21),"",IF($BL21&lt;&gt;Constants!$B$4,$BL21,IF(ISNUMBER($BV21),RANK($BV21,$BV$9:$BV$508,0),COUNT($BV$9:$BV$508)+1)))</f>
        <v/>
      </c>
      <c r="BX21" s="90" t="str">
        <f aca="false">IF($BL21&lt;&gt;Constants!$B$4,"",IF($BB21="-&gt;",$BK21,$BA21))</f>
        <v/>
      </c>
      <c r="BY21" s="86" t="str">
        <f aca="false">IF(ISBLANK($C21),"",IF($BL21&lt;&gt;Constants!$B$4,$BL21,IF(ISNUMBER($BX21),RANK($BX21,$BX$9:$BX$508,0),COUNT($BX$9:$BX$508)+1)))</f>
        <v/>
      </c>
      <c r="BZ21" s="86" t="str">
        <f aca="false">IF(ISBLANK($C21),"",IF($BL21&lt;&gt;Constants!$B$4,$BL21,COUNTIFS($BM$9:$BM$508,"&lt;"&amp;$BM21)+COUNTIFS($BM$9:$BM$508,$BM21,$BP$9:$BP$508,"&lt;"&amp;$BP21)+COUNTIFS($BM$9:$BM$508,$BM21,$BP$9:$BP$508,$BP21,$BS$9:$BS$508,"&lt;"&amp;$BS21)+COUNTIFS($BM$9:$BM$508,$BM21,$BP$9:$BP$508,$BP21,$BS$9:$BS$508,$BS21,$BU$9:$BU$508,"&lt;"&amp;$BU21)+COUNTIFS($BM$9:$BM$508,$BM21,$BP$9:$BP$508,$BP21,$BS$9:$BS$508,$BS21,$BU$9:$BU$508,$BU21,$BW$9:$BW$508,"&lt;"&amp;$BW21)+COUNTIFS($BM$9:$BM$508,$BM21,$BP$9:$BP$508,$BP21,$BS$9:$BS$508,$BS21,$BU$9:$BU$508,$BU21,$BW$9:$BW$508,$BW21,$BY$9:$BY$508,"&lt;"&amp;$BY21)+1))</f>
        <v/>
      </c>
      <c r="CA21" s="86" t="str">
        <f aca="false">IF(ISBLANK($C21),"",IF($BL21&lt;&gt;Constants!$B$4,$BL21,$BQ21-$BZ21))</f>
        <v/>
      </c>
      <c r="CB21" s="93"/>
      <c r="CC21" s="94" t="str">
        <f aca="false">IF(ISBLANK($C21),"",IF($BL21=Constants!$B$8,$AR21,""))</f>
        <v/>
      </c>
      <c r="CD21" s="94" t="str">
        <f aca="false">IF(ISBLANK($C21),"",IF($BL21&lt;&gt;Constants!$B$4,"",IF($BB21="-&gt;",2,1)))</f>
        <v/>
      </c>
      <c r="CE21" s="95" t="str">
        <f aca="false">IF(ISBLANK($C21),"",IF($BL21&lt;&gt;Constants!$B$4,"",IF($BB21="-&gt;",$BE21,$AU21)))</f>
        <v/>
      </c>
      <c r="CF21" s="95" t="str">
        <f aca="false">IF(ISBLANK($C21),"",IF($BL21&lt;&gt;Constants!$B$4,"",IF($BB21="-&gt;",$BF21,$AV21)))</f>
        <v/>
      </c>
      <c r="CG21" s="95" t="str">
        <f aca="false">IF(ISBLANK($C21),"",IF($BL21&lt;&gt;Constants!$B$4,"",IF($BB21="-&gt;",$BG21,$AW21)))</f>
        <v/>
      </c>
      <c r="CH21" s="95" t="str">
        <f aca="false">IF(ISBLANK($C21),"",IF($BL21&lt;&gt;Constants!$B$4,"",IF($BB21="-&gt;",$BH21,$AX21)))</f>
        <v/>
      </c>
      <c r="CI21" s="96" t="str">
        <f aca="false">IF(ISBLANK($C21),"",$BO21)</f>
        <v/>
      </c>
      <c r="CJ21" s="97" t="str">
        <f aca="false">IF(ISBLANK($C21),"",$BM21)</f>
        <v/>
      </c>
      <c r="CK21" s="98" t="str">
        <f aca="false">IF(ISBLANK($C21),"",$CA21)</f>
        <v/>
      </c>
      <c r="CL21" s="98" t="str">
        <f aca="false">IF(ISBLANK($C21),"",$BZ21)</f>
        <v/>
      </c>
      <c r="CM21" s="99" t="str">
        <f aca="false">IF(ISBLANK($C21),"",IF($CL21=Constants!$B$7,COUNTA($C$9:$C$508)+2,IF($CL21=Constants!$B$6,COUNTA($C$9:$C$508)+1,IF($CL21=Constants!$B$5,COUNTA($C$9:$C$508),$CL21))))</f>
        <v/>
      </c>
      <c r="CN21" s="8"/>
      <c r="CO21" s="100" t="n">
        <f aca="false">IF(OR(ISNUMBER($CL21),$CL21=Constants!$B$7,$CL21=Constants!$B$5,$CL21=Constants!$B$6),1,0)</f>
        <v>0</v>
      </c>
      <c r="CP21" s="100" t="n">
        <v>13</v>
      </c>
      <c r="CQ21" s="100" t="str">
        <f aca="false">IF(ISBLANK($C21),"",IF(ISNUMBER($CM21),$CM21+ROW($B21)/1000,""))</f>
        <v/>
      </c>
      <c r="CR21" s="100" t="str">
        <f aca="false">IF(ISNUMBER($CQ21),RANK($CQ21,$CQ$9:$CQ$508,1),"")</f>
        <v/>
      </c>
      <c r="CS21" s="100" t="str">
        <f aca="false">IF(ISBLANK($C21),"",$B21)</f>
        <v/>
      </c>
      <c r="CT21" s="100" t="str">
        <f aca="false">IF(ISBLANK($C21),"",$C21)</f>
        <v/>
      </c>
      <c r="CU21" s="100" t="str">
        <f aca="false">IF(ISBLANK($C21),"",$D21)</f>
        <v/>
      </c>
      <c r="CV21" s="101" t="str">
        <f aca="false">$CJ21</f>
        <v/>
      </c>
      <c r="CW21" s="102" t="str">
        <f aca="false">$CI21</f>
        <v/>
      </c>
      <c r="CX21" s="100" t="str">
        <f aca="false">IF(ISBLANK($C21),"",$CL21)</f>
        <v/>
      </c>
      <c r="CY21" s="103" t="str">
        <f aca="false">IF($CP21&gt;$CO$8,"",VLOOKUP($CP21,$CR$9:$CX$508,7,FALSE()))</f>
        <v/>
      </c>
      <c r="CZ21" s="104" t="str">
        <f aca="false">IF($CP21&gt;$CO$8,"",VLOOKUP($CP21,$CR$9:$CX$508,2,FALSE()))</f>
        <v/>
      </c>
      <c r="DA21" s="104" t="str">
        <f aca="false">IF($CP21&gt;$CO$8,"",VLOOKUP($CP21,$CR$9:$CX$508,3,FALSE()))</f>
        <v/>
      </c>
      <c r="DB21" s="104" t="str">
        <f aca="false">IF($CP21&gt;$CO$8,"",VLOOKUP($CP21,$CR$9:$CX$508,4,FALSE()))</f>
        <v/>
      </c>
      <c r="DC21" s="104" t="str">
        <f aca="false">IF($CP21&gt;$CO$8,"",VLOOKUP($CP21,$CR$9:$CX$508,5,FALSE()))</f>
        <v/>
      </c>
      <c r="DD21" s="105" t="str">
        <f aca="false">IF($CP21&gt;$CO$8,"",VLOOKUP($CP21,$CR$9:$CX$508,6,FALSE()))</f>
        <v/>
      </c>
      <c r="DE21" s="70"/>
    </row>
    <row r="22" customFormat="false" ht="15.75" hidden="false" customHeight="false" outlineLevel="0" collapsed="false">
      <c r="A22" s="8"/>
      <c r="B22" s="72"/>
      <c r="C22" s="73"/>
      <c r="D22" s="155"/>
      <c r="E22" s="156"/>
      <c r="F22" s="157"/>
      <c r="G22" s="77"/>
      <c r="H22" s="77"/>
      <c r="I22" s="77"/>
      <c r="J22" s="158"/>
      <c r="K22" s="159"/>
      <c r="L22" s="159"/>
      <c r="M22" s="80"/>
      <c r="N22" s="159"/>
      <c r="O22" s="160"/>
      <c r="P22" s="159"/>
      <c r="Q22" s="159"/>
      <c r="R22" s="159"/>
      <c r="S22" s="77"/>
      <c r="T22" s="159"/>
      <c r="U22" s="160"/>
      <c r="V22" s="161"/>
      <c r="W22" s="85"/>
      <c r="X22" s="86" t="str">
        <f aca="false">IF(ISBLANK($C22),"",IF($E22=Constants!$B$2,TRUE(),IF($E22=Constants!$B$3,FALSE(),TRUE())))</f>
        <v/>
      </c>
      <c r="Y22" s="86" t="str">
        <f aca="false">IF(ISBLANK($C22),"",IF($F22=Constants!$B$2,TRUE(),IF($F22=Constants!$B$3,FALSE(),TRUE())))</f>
        <v/>
      </c>
      <c r="Z22" s="87" t="str">
        <f aca="false">IF(ISBLANK($C22),"",IF(ISNUMBER($G22),IF($G22&gt;=0,$G22,""),""))</f>
        <v/>
      </c>
      <c r="AA22" s="87" t="str">
        <f aca="false">IF(ISBLANK($C22),"",IF(ISNUMBER($H22),IF($H22&gt;=0,$H22,""),""))</f>
        <v/>
      </c>
      <c r="AB22" s="87" t="str">
        <f aca="false">IF(ISBLANK($C22),"",IF(ISNUMBER($I22),IF($I22&gt;=0,$I22,""),""))</f>
        <v/>
      </c>
      <c r="AC22" s="86" t="str">
        <f aca="false">IF(ISBLANK($C22),"",IF($J22=Constants!$B$2,TRUE(),IF($J22=Constants!$B$3,FALSE(),TRUE())))</f>
        <v/>
      </c>
      <c r="AD22" s="86" t="str">
        <f aca="false">IF(ISBLANK($C22),"",IF($K22=Constants!$B$2,TRUE(),IF($K22=Constants!$B$3,FALSE(),TRUE())))</f>
        <v/>
      </c>
      <c r="AE22" s="86" t="str">
        <f aca="false">IF(ISBLANK($C22),"",IF($L22=Constants!$B$2,TRUE(),IF($L22=Constants!$B$3,FALSE(),TRUE())))</f>
        <v/>
      </c>
      <c r="AF22" s="88" t="str">
        <f aca="false">IF(ISBLANK($C22),"",IF(ISNUMBER($M22),IF($M22&gt;=0,$M22,""),""))</f>
        <v/>
      </c>
      <c r="AG22" s="86" t="str">
        <f aca="false">IF(ISBLANK($C22),"",IF(ISBLANK($N22),0,IF(ISNUMBER($N22),IF(AND($N22&gt;=0,$N22&lt;=Constants!$B$17,$N22=INT($N22)),$N22,""),"")))</f>
        <v/>
      </c>
      <c r="AH22" s="87" t="str">
        <f aca="false">IF(ISBLANK($C22),"",IF(ISBLANK($O22),0,IF(ISNUMBER($O22),IF($O22&gt;=0,$O22,""),"")))</f>
        <v/>
      </c>
      <c r="AI22" s="86" t="str">
        <f aca="false">IF(ISBLANK($C22),"",IF($P22=Constants!$B$2,TRUE(),IF($P22=Constants!$B$3,FALSE(),TRUE())))</f>
        <v/>
      </c>
      <c r="AJ22" s="86" t="str">
        <f aca="false">IF(ISBLANK($C22),"",IF($Q22=Constants!$B$2,TRUE(),IF($Q22=Constants!$B$3,FALSE(),TRUE())))</f>
        <v/>
      </c>
      <c r="AK22" s="86" t="str">
        <f aca="false">IF(ISBLANK($C22),"",IF($R22=Constants!$B$2,TRUE(),IF($R22=Constants!$B$3,FALSE(),TRUE())))</f>
        <v/>
      </c>
      <c r="AL22" s="88" t="str">
        <f aca="false">IF(ISBLANK($C22),"",IF(ISNUMBER($S22),IF($S22&gt;=0,$S22,""),""))</f>
        <v/>
      </c>
      <c r="AM22" s="86" t="str">
        <f aca="false">IF(ISBLANK($C22),"",IF(ISBLANK($T22),0,IF(ISNUMBER($T22),IF(AND($T22&gt;=0,$T22&lt;=Constants!$B$17,$T22=INT($T22)),$T22,""),"")))</f>
        <v/>
      </c>
      <c r="AN22" s="87" t="str">
        <f aca="false">IF(ISBLANK($C22),"",IF(ISBLANK($U22),0,IF(ISNUMBER($U22),IF($U22&gt;=0,$U22,""),"")))</f>
        <v/>
      </c>
      <c r="AO22" s="86" t="str">
        <f aca="false">IF(ISBLANK($C22),"",IF($V22=Constants!$B$2,TRUE(),IF($V22=Constants!$B$3,FALSE(),FALSE())))</f>
        <v/>
      </c>
      <c r="AP22" s="86"/>
      <c r="AQ22" s="85" t="str">
        <f aca="false">IF(ISBLANK($C22),"",AND($Y22,OR($AS22,$BC22),OR($Z22="",$AA22="",$AB22="")))</f>
        <v/>
      </c>
      <c r="AR22" s="85" t="str">
        <f aca="false">IF(ISBLANK($C22),"",IF(OR(NOT($Y22),NOT(OR($AS22,$BC22))),"",IF(ISBLANK($D$7),$AR$5,IF($AP$9="",$AR$6,""))))</f>
        <v/>
      </c>
      <c r="AS22" s="85" t="str">
        <f aca="false">IF(ISBLANK($C22),"",COUNTA($J22:$O22)&gt;0)</f>
        <v/>
      </c>
      <c r="AT22" s="85" t="str">
        <f aca="false">IF(ISBLANK($C22),"",AND($AS22,OR(AND($AF22="",OR($AE22,NOT(ISBLANK($M22)))),$AG22="",$AH22="")))</f>
        <v/>
      </c>
      <c r="AU22" s="87" t="str">
        <f aca="false">IF($BL22&lt;&gt;Constants!$B$4,"",IF(NOT($AS22),"",ROUND((Constants!$B$12-$AB22)+(Constants!$B$13-$Z22)+(Constants!$B$14-$AA22),1)))</f>
        <v/>
      </c>
      <c r="AV22" s="90" t="str">
        <f aca="false">IF($BL22&lt;&gt;Constants!$B$4,"",IF(NOT($AS22),"",IF(NOT($AE22),0,Constants!$B$15*(INT(ROUND(MIN($AF22,$AP$9),6))-INT(ROUND(MAX(0,MIN($AF22,2*$AP$9)-$AP$9),6))))))</f>
        <v/>
      </c>
      <c r="AW22" s="90" t="str">
        <f aca="false">IF($BL22&lt;&gt;Constants!$B$4,"",IF(NOT($AS22),"",Constants!$B$16*$AG22))</f>
        <v/>
      </c>
      <c r="AX22" s="90" t="str">
        <f aca="false">IF($BL22&lt;&gt;Constants!$B$4,"",IF(NOT($AS22),"",Constants!$B$18*INT(ROUND($AH22,6))))</f>
        <v/>
      </c>
      <c r="AY22" s="85" t="str">
        <f aca="false">IF($BL22&lt;&gt;Constants!$B$4,"",IF(NOT($AS22),"",IF(NOT($X22),Constants!$B$11,IF(OR(NOT($AC22),NOT($AD22),ROUND($AB22,1)&gt;Constants!$B$12,ROUND($Z22,1)&gt;Constants!$B$13,ROUND($AA22,1)&gt;Constants!$B$14),Constants!$B$10,Constants!$B$9))))</f>
        <v/>
      </c>
      <c r="AZ22" s="91" t="str">
        <f aca="false">IF($BL22&lt;&gt;Constants!$B$4,"",IF(NOT($AS22),"",ROUND($AU22+$AV22+$AW22+$AX22,1)))</f>
        <v/>
      </c>
      <c r="BA22" s="92" t="str">
        <f aca="false">IF($BL22&lt;&gt;Constants!$B$4,"",IF(NOT($AS22),"",IF(ISNUMBER($AF22),$AF22,0)))</f>
        <v/>
      </c>
      <c r="BB22" s="86" t="str">
        <f aca="false">IF($BL22&lt;&gt;Constants!$B$4,"",IF(NOT($BC22),"&lt;-",IF(NOT($AS22),"-&gt;",IF(OR($BI22&lt;$AY22,AND($BI22=$AY22,OR($BJ22&gt;$AZ22,AND($BJ22=$AZ22,OR($BH22&gt;$AX22,AND($BH22=$AX22,OR($BE22&gt;$AU22,AND($BE22=$AU22,OR($BF22&gt;$AV22,AND($BF22=$AV22,$BK22&gt;$BA22)))))))))),"-&gt;","&lt;-"))))</f>
        <v/>
      </c>
      <c r="BC22" s="85" t="str">
        <f aca="false">IF(ISBLANK($C22),"",COUNTA($P22:$U22)&gt;0)</f>
        <v/>
      </c>
      <c r="BD22" s="85" t="str">
        <f aca="false">IF(ISBLANK($C22),"",AND($BC22,OR(AND($AL22="",OR($AK22,NOT(ISBLANK($S22)))),$AM22="",$AN22="")))</f>
        <v/>
      </c>
      <c r="BE22" s="87" t="str">
        <f aca="false">IF($BL22&lt;&gt;Constants!$B$4,"",IF(NOT($BC22),"",ROUND((Constants!$B$12-$AB22)+(Constants!$B$13-$Z22)+(Constants!$B$14-$AA22),1)))</f>
        <v/>
      </c>
      <c r="BF22" s="90" t="str">
        <f aca="false">IF($BL22&lt;&gt;Constants!$B$4,"",IF(NOT($BC22),"",IF(NOT($AK22),0,Constants!$B$15*(INT(ROUND(MIN($AL22,$AP$9),6))-INT(ROUND(MAX(0,MIN($AL22,2*$AP$9)-$AP$9),6))))))</f>
        <v/>
      </c>
      <c r="BG22" s="90" t="str">
        <f aca="false">IF($BL22&lt;&gt;Constants!$B$4,"",IF(NOT($BC22),"",Constants!$B$16*$AM22))</f>
        <v/>
      </c>
      <c r="BH22" s="90" t="str">
        <f aca="false">IF($BL22&lt;&gt;Constants!$B$4,"",IF(NOT($BC22),"",Constants!$B$18*INT(ROUND($AN22,6))))</f>
        <v/>
      </c>
      <c r="BI22" s="85" t="str">
        <f aca="false">IF($BL22&lt;&gt;Constants!$B$4,"",IF(NOT($BC22),"",IF(NOT($X22),Constants!$B$11,IF(OR(NOT($AI22),NOT($AJ22),ROUND($AB22,1)&gt;Constants!$B$12,ROUND($Z22,1)&gt;Constants!$B$13,ROUND($AA22,1)&gt;Constants!$B$14),Constants!$B$10,Constants!$B$9))))</f>
        <v/>
      </c>
      <c r="BJ22" s="91" t="str">
        <f aca="false">IF($BL22&lt;&gt;Constants!$B$4,"",IF(NOT($BC22),"",ROUND($BE22+$BF22+$BG22+$BH22,1)))</f>
        <v/>
      </c>
      <c r="BK22" s="92" t="str">
        <f aca="false">IF($BL22&lt;&gt;Constants!$B$4,"",IF(NOT($BC22),"",IF(ISNUMBER($AL22),$AL22,0)))</f>
        <v/>
      </c>
      <c r="BL22" s="86" t="str">
        <f aca="false">IF(ISBLANK($C22),"",IF($AO22,Constants!$B$7,IF(COUNTA($E22:$V22)=0,Constants!$B$6,IF(NOT($Y22),Constants!$B$5,IF(NOT(OR($AS22,$BC22)),Constants!$B$5,IF(OR($AT22,$BD22,$AQ22,$AR22&lt;&gt;""),Constants!$B$8,Constants!$B$4))))))</f>
        <v/>
      </c>
      <c r="BM22" s="86" t="str">
        <f aca="false">IF(ISBLANK($C22),"",IF($BL22&lt;&gt;Constants!$B$4,$BL22,IF($BB22="-&gt;",$BI22,$AY22)))</f>
        <v/>
      </c>
      <c r="BN22" s="90" t="str">
        <f aca="false">IF($BL22&lt;&gt;Constants!$B$4,"",IF($BB22="-&gt;",$BJ22,$AZ22))</f>
        <v/>
      </c>
      <c r="BO22" s="90" t="str">
        <f aca="false">IF(ISBLANK($C22),"",IF($BL22&lt;&gt;Constants!$B$4,$BL22,$BN22))</f>
        <v/>
      </c>
      <c r="BP22" s="86" t="str">
        <f aca="false">IF(ISBLANK($C22),"",IF($BL22&lt;&gt;Constants!$B$4,$BL22,RANK($BO22,$BO$9:$BO$508,0)))</f>
        <v/>
      </c>
      <c r="BQ22" s="86" t="str">
        <f aca="false">IF(ISBLANK($C22),"",IF($BL22&lt;&gt;Constants!$B$4,$BL22,COUNTIFS($BM$9:$BM$508,"&lt;"&amp;$BM22)+COUNTIFS($BM$9:$BM$508,$BM22,$BP$9:$BP$508,"&lt;"&amp;$BP22)+1))</f>
        <v/>
      </c>
      <c r="BR22" s="90" t="str">
        <f aca="false">IF($BL22&lt;&gt;Constants!$B$4,"",IF($BB22="-&gt;",$BH22,$AX22))</f>
        <v/>
      </c>
      <c r="BS22" s="86" t="str">
        <f aca="false">IF(ISBLANK($C22),"",IF($BL22&lt;&gt;Constants!$B$4,$BL22,IF(ISNUMBER($BR22),RANK($BR22,$BR$9:$BR$508,0),COUNT($BR$9:$BR$508)+1)))</f>
        <v/>
      </c>
      <c r="BT22" s="90" t="str">
        <f aca="false">IF($BL22&lt;&gt;Constants!$B$4,"",IF($BB22="-&gt;",$BE22,$AU22))</f>
        <v/>
      </c>
      <c r="BU22" s="86" t="str">
        <f aca="false">IF(ISBLANK($C22),"",IF($BL22&lt;&gt;Constants!$B$4,$BL22,IF(ISNUMBER($BT22),RANK($BT22,$BT$9:$BT$508,0),COUNT($BT$9:$BT$508)+1)))</f>
        <v/>
      </c>
      <c r="BV22" s="90" t="str">
        <f aca="false">IF($BL22&lt;&gt;Constants!$B$4,"",IF($BB22="-&gt;",$BF22,$AV22))</f>
        <v/>
      </c>
      <c r="BW22" s="86" t="str">
        <f aca="false">IF(ISBLANK($C22),"",IF($BL22&lt;&gt;Constants!$B$4,$BL22,IF(ISNUMBER($BV22),RANK($BV22,$BV$9:$BV$508,0),COUNT($BV$9:$BV$508)+1)))</f>
        <v/>
      </c>
      <c r="BX22" s="90" t="str">
        <f aca="false">IF($BL22&lt;&gt;Constants!$B$4,"",IF($BB22="-&gt;",$BK22,$BA22))</f>
        <v/>
      </c>
      <c r="BY22" s="86" t="str">
        <f aca="false">IF(ISBLANK($C22),"",IF($BL22&lt;&gt;Constants!$B$4,$BL22,IF(ISNUMBER($BX22),RANK($BX22,$BX$9:$BX$508,0),COUNT($BX$9:$BX$508)+1)))</f>
        <v/>
      </c>
      <c r="BZ22" s="86" t="str">
        <f aca="false">IF(ISBLANK($C22),"",IF($BL22&lt;&gt;Constants!$B$4,$BL22,COUNTIFS($BM$9:$BM$508,"&lt;"&amp;$BM22)+COUNTIFS($BM$9:$BM$508,$BM22,$BP$9:$BP$508,"&lt;"&amp;$BP22)+COUNTIFS($BM$9:$BM$508,$BM22,$BP$9:$BP$508,$BP22,$BS$9:$BS$508,"&lt;"&amp;$BS22)+COUNTIFS($BM$9:$BM$508,$BM22,$BP$9:$BP$508,$BP22,$BS$9:$BS$508,$BS22,$BU$9:$BU$508,"&lt;"&amp;$BU22)+COUNTIFS($BM$9:$BM$508,$BM22,$BP$9:$BP$508,$BP22,$BS$9:$BS$508,$BS22,$BU$9:$BU$508,$BU22,$BW$9:$BW$508,"&lt;"&amp;$BW22)+COUNTIFS($BM$9:$BM$508,$BM22,$BP$9:$BP$508,$BP22,$BS$9:$BS$508,$BS22,$BU$9:$BU$508,$BU22,$BW$9:$BW$508,$BW22,$BY$9:$BY$508,"&lt;"&amp;$BY22)+1))</f>
        <v/>
      </c>
      <c r="CA22" s="86" t="str">
        <f aca="false">IF(ISBLANK($C22),"",IF($BL22&lt;&gt;Constants!$B$4,$BL22,$BQ22-$BZ22))</f>
        <v/>
      </c>
      <c r="CB22" s="93"/>
      <c r="CC22" s="94" t="str">
        <f aca="false">IF(ISBLANK($C22),"",IF($BL22=Constants!$B$8,$AR22,""))</f>
        <v/>
      </c>
      <c r="CD22" s="94" t="str">
        <f aca="false">IF(ISBLANK($C22),"",IF($BL22&lt;&gt;Constants!$B$4,"",IF($BB22="-&gt;",2,1)))</f>
        <v/>
      </c>
      <c r="CE22" s="95" t="str">
        <f aca="false">IF(ISBLANK($C22),"",IF($BL22&lt;&gt;Constants!$B$4,"",IF($BB22="-&gt;",$BE22,$AU22)))</f>
        <v/>
      </c>
      <c r="CF22" s="95" t="str">
        <f aca="false">IF(ISBLANK($C22),"",IF($BL22&lt;&gt;Constants!$B$4,"",IF($BB22="-&gt;",$BF22,$AV22)))</f>
        <v/>
      </c>
      <c r="CG22" s="95" t="str">
        <f aca="false">IF(ISBLANK($C22),"",IF($BL22&lt;&gt;Constants!$B$4,"",IF($BB22="-&gt;",$BG22,$AW22)))</f>
        <v/>
      </c>
      <c r="CH22" s="95" t="str">
        <f aca="false">IF(ISBLANK($C22),"",IF($BL22&lt;&gt;Constants!$B$4,"",IF($BB22="-&gt;",$BH22,$AX22)))</f>
        <v/>
      </c>
      <c r="CI22" s="96" t="str">
        <f aca="false">IF(ISBLANK($C22),"",$BO22)</f>
        <v/>
      </c>
      <c r="CJ22" s="97" t="str">
        <f aca="false">IF(ISBLANK($C22),"",$BM22)</f>
        <v/>
      </c>
      <c r="CK22" s="98" t="str">
        <f aca="false">IF(ISBLANK($C22),"",$CA22)</f>
        <v/>
      </c>
      <c r="CL22" s="98" t="str">
        <f aca="false">IF(ISBLANK($C22),"",$BZ22)</f>
        <v/>
      </c>
      <c r="CM22" s="99" t="str">
        <f aca="false">IF(ISBLANK($C22),"",IF($CL22=Constants!$B$7,COUNTA($C$9:$C$508)+2,IF($CL22=Constants!$B$6,COUNTA($C$9:$C$508)+1,IF($CL22=Constants!$B$5,COUNTA($C$9:$C$508),$CL22))))</f>
        <v/>
      </c>
      <c r="CN22" s="8"/>
      <c r="CO22" s="100" t="n">
        <f aca="false">IF(OR(ISNUMBER($CL22),$CL22=Constants!$B$7,$CL22=Constants!$B$5,$CL22=Constants!$B$6),1,0)</f>
        <v>0</v>
      </c>
      <c r="CP22" s="100" t="n">
        <v>14</v>
      </c>
      <c r="CQ22" s="100" t="str">
        <f aca="false">IF(ISBLANK($C22),"",IF(ISNUMBER($CM22),$CM22+ROW($B22)/1000,""))</f>
        <v/>
      </c>
      <c r="CR22" s="100" t="str">
        <f aca="false">IF(ISNUMBER($CQ22),RANK($CQ22,$CQ$9:$CQ$508,1),"")</f>
        <v/>
      </c>
      <c r="CS22" s="100" t="str">
        <f aca="false">IF(ISBLANK($C22),"",$B22)</f>
        <v/>
      </c>
      <c r="CT22" s="100" t="str">
        <f aca="false">IF(ISBLANK($C22),"",$C22)</f>
        <v/>
      </c>
      <c r="CU22" s="100" t="str">
        <f aca="false">IF(ISBLANK($C22),"",$D22)</f>
        <v/>
      </c>
      <c r="CV22" s="101" t="str">
        <f aca="false">$CJ22</f>
        <v/>
      </c>
      <c r="CW22" s="102" t="str">
        <f aca="false">$CI22</f>
        <v/>
      </c>
      <c r="CX22" s="100" t="str">
        <f aca="false">IF(ISBLANK($C22),"",$CL22)</f>
        <v/>
      </c>
      <c r="CY22" s="103" t="str">
        <f aca="false">IF($CP22&gt;$CO$8,"",VLOOKUP($CP22,$CR$9:$CX$508,7,FALSE()))</f>
        <v/>
      </c>
      <c r="CZ22" s="104" t="str">
        <f aca="false">IF($CP22&gt;$CO$8,"",VLOOKUP($CP22,$CR$9:$CX$508,2,FALSE()))</f>
        <v/>
      </c>
      <c r="DA22" s="104" t="str">
        <f aca="false">IF($CP22&gt;$CO$8,"",VLOOKUP($CP22,$CR$9:$CX$508,3,FALSE()))</f>
        <v/>
      </c>
      <c r="DB22" s="104" t="str">
        <f aca="false">IF($CP22&gt;$CO$8,"",VLOOKUP($CP22,$CR$9:$CX$508,4,FALSE()))</f>
        <v/>
      </c>
      <c r="DC22" s="104" t="str">
        <f aca="false">IF($CP22&gt;$CO$8,"",VLOOKUP($CP22,$CR$9:$CX$508,5,FALSE()))</f>
        <v/>
      </c>
      <c r="DD22" s="105" t="str">
        <f aca="false">IF($CP22&gt;$CO$8,"",VLOOKUP($CP22,$CR$9:$CX$508,6,FALSE()))</f>
        <v/>
      </c>
      <c r="DE22" s="70"/>
    </row>
    <row r="23" customFormat="false" ht="15.75" hidden="false" customHeight="false" outlineLevel="0" collapsed="false">
      <c r="A23" s="8"/>
      <c r="B23" s="72"/>
      <c r="C23" s="73"/>
      <c r="D23" s="155"/>
      <c r="E23" s="156"/>
      <c r="F23" s="157"/>
      <c r="G23" s="77"/>
      <c r="H23" s="77"/>
      <c r="I23" s="77"/>
      <c r="J23" s="158"/>
      <c r="K23" s="159"/>
      <c r="L23" s="159"/>
      <c r="M23" s="80"/>
      <c r="N23" s="159"/>
      <c r="O23" s="160"/>
      <c r="P23" s="159"/>
      <c r="Q23" s="159"/>
      <c r="R23" s="159"/>
      <c r="S23" s="77"/>
      <c r="T23" s="159"/>
      <c r="U23" s="160"/>
      <c r="V23" s="161"/>
      <c r="W23" s="85"/>
      <c r="X23" s="86" t="str">
        <f aca="false">IF(ISBLANK($C23),"",IF($E23=Constants!$B$2,TRUE(),IF($E23=Constants!$B$3,FALSE(),TRUE())))</f>
        <v/>
      </c>
      <c r="Y23" s="86" t="str">
        <f aca="false">IF(ISBLANK($C23),"",IF($F23=Constants!$B$2,TRUE(),IF($F23=Constants!$B$3,FALSE(),TRUE())))</f>
        <v/>
      </c>
      <c r="Z23" s="87" t="str">
        <f aca="false">IF(ISBLANK($C23),"",IF(ISNUMBER($G23),IF($G23&gt;=0,$G23,""),""))</f>
        <v/>
      </c>
      <c r="AA23" s="87" t="str">
        <f aca="false">IF(ISBLANK($C23),"",IF(ISNUMBER($H23),IF($H23&gt;=0,$H23,""),""))</f>
        <v/>
      </c>
      <c r="AB23" s="87" t="str">
        <f aca="false">IF(ISBLANK($C23),"",IF(ISNUMBER($I23),IF($I23&gt;=0,$I23,""),""))</f>
        <v/>
      </c>
      <c r="AC23" s="86" t="str">
        <f aca="false">IF(ISBLANK($C23),"",IF($J23=Constants!$B$2,TRUE(),IF($J23=Constants!$B$3,FALSE(),TRUE())))</f>
        <v/>
      </c>
      <c r="AD23" s="86" t="str">
        <f aca="false">IF(ISBLANK($C23),"",IF($K23=Constants!$B$2,TRUE(),IF($K23=Constants!$B$3,FALSE(),TRUE())))</f>
        <v/>
      </c>
      <c r="AE23" s="86" t="str">
        <f aca="false">IF(ISBLANK($C23),"",IF($L23=Constants!$B$2,TRUE(),IF($L23=Constants!$B$3,FALSE(),TRUE())))</f>
        <v/>
      </c>
      <c r="AF23" s="88" t="str">
        <f aca="false">IF(ISBLANK($C23),"",IF(ISNUMBER($M23),IF($M23&gt;=0,$M23,""),""))</f>
        <v/>
      </c>
      <c r="AG23" s="86" t="str">
        <f aca="false">IF(ISBLANK($C23),"",IF(ISBLANK($N23),0,IF(ISNUMBER($N23),IF(AND($N23&gt;=0,$N23&lt;=Constants!$B$17,$N23=INT($N23)),$N23,""),"")))</f>
        <v/>
      </c>
      <c r="AH23" s="87" t="str">
        <f aca="false">IF(ISBLANK($C23),"",IF(ISBLANK($O23),0,IF(ISNUMBER($O23),IF($O23&gt;=0,$O23,""),"")))</f>
        <v/>
      </c>
      <c r="AI23" s="86" t="str">
        <f aca="false">IF(ISBLANK($C23),"",IF($P23=Constants!$B$2,TRUE(),IF($P23=Constants!$B$3,FALSE(),TRUE())))</f>
        <v/>
      </c>
      <c r="AJ23" s="86" t="str">
        <f aca="false">IF(ISBLANK($C23),"",IF($Q23=Constants!$B$2,TRUE(),IF($Q23=Constants!$B$3,FALSE(),TRUE())))</f>
        <v/>
      </c>
      <c r="AK23" s="86" t="str">
        <f aca="false">IF(ISBLANK($C23),"",IF($R23=Constants!$B$2,TRUE(),IF($R23=Constants!$B$3,FALSE(),TRUE())))</f>
        <v/>
      </c>
      <c r="AL23" s="88" t="str">
        <f aca="false">IF(ISBLANK($C23),"",IF(ISNUMBER($S23),IF($S23&gt;=0,$S23,""),""))</f>
        <v/>
      </c>
      <c r="AM23" s="86" t="str">
        <f aca="false">IF(ISBLANK($C23),"",IF(ISBLANK($T23),0,IF(ISNUMBER($T23),IF(AND($T23&gt;=0,$T23&lt;=Constants!$B$17,$T23=INT($T23)),$T23,""),"")))</f>
        <v/>
      </c>
      <c r="AN23" s="87" t="str">
        <f aca="false">IF(ISBLANK($C23),"",IF(ISBLANK($U23),0,IF(ISNUMBER($U23),IF($U23&gt;=0,$U23,""),"")))</f>
        <v/>
      </c>
      <c r="AO23" s="86" t="str">
        <f aca="false">IF(ISBLANK($C23),"",IF($V23=Constants!$B$2,TRUE(),IF($V23=Constants!$B$3,FALSE(),FALSE())))</f>
        <v/>
      </c>
      <c r="AP23" s="86"/>
      <c r="AQ23" s="85" t="str">
        <f aca="false">IF(ISBLANK($C23),"",AND($Y23,OR($AS23,$BC23),OR($Z23="",$AA23="",$AB23="")))</f>
        <v/>
      </c>
      <c r="AR23" s="85" t="str">
        <f aca="false">IF(ISBLANK($C23),"",IF(OR(NOT($Y23),NOT(OR($AS23,$BC23))),"",IF(ISBLANK($D$7),$AR$5,IF($AP$9="",$AR$6,""))))</f>
        <v/>
      </c>
      <c r="AS23" s="85" t="str">
        <f aca="false">IF(ISBLANK($C23),"",COUNTA($J23:$O23)&gt;0)</f>
        <v/>
      </c>
      <c r="AT23" s="85" t="str">
        <f aca="false">IF(ISBLANK($C23),"",AND($AS23,OR(AND($AF23="",OR($AE23,NOT(ISBLANK($M23)))),$AG23="",$AH23="")))</f>
        <v/>
      </c>
      <c r="AU23" s="87" t="str">
        <f aca="false">IF($BL23&lt;&gt;Constants!$B$4,"",IF(NOT($AS23),"",ROUND((Constants!$B$12-$AB23)+(Constants!$B$13-$Z23)+(Constants!$B$14-$AA23),1)))</f>
        <v/>
      </c>
      <c r="AV23" s="90" t="str">
        <f aca="false">IF($BL23&lt;&gt;Constants!$B$4,"",IF(NOT($AS23),"",IF(NOT($AE23),0,Constants!$B$15*(INT(ROUND(MIN($AF23,$AP$9),6))-INT(ROUND(MAX(0,MIN($AF23,2*$AP$9)-$AP$9),6))))))</f>
        <v/>
      </c>
      <c r="AW23" s="90" t="str">
        <f aca="false">IF($BL23&lt;&gt;Constants!$B$4,"",IF(NOT($AS23),"",Constants!$B$16*$AG23))</f>
        <v/>
      </c>
      <c r="AX23" s="90" t="str">
        <f aca="false">IF($BL23&lt;&gt;Constants!$B$4,"",IF(NOT($AS23),"",Constants!$B$18*INT(ROUND($AH23,6))))</f>
        <v/>
      </c>
      <c r="AY23" s="85" t="str">
        <f aca="false">IF($BL23&lt;&gt;Constants!$B$4,"",IF(NOT($AS23),"",IF(NOT($X23),Constants!$B$11,IF(OR(NOT($AC23),NOT($AD23),ROUND($AB23,1)&gt;Constants!$B$12,ROUND($Z23,1)&gt;Constants!$B$13,ROUND($AA23,1)&gt;Constants!$B$14),Constants!$B$10,Constants!$B$9))))</f>
        <v/>
      </c>
      <c r="AZ23" s="91" t="str">
        <f aca="false">IF($BL23&lt;&gt;Constants!$B$4,"",IF(NOT($AS23),"",ROUND($AU23+$AV23+$AW23+$AX23,1)))</f>
        <v/>
      </c>
      <c r="BA23" s="92" t="str">
        <f aca="false">IF($BL23&lt;&gt;Constants!$B$4,"",IF(NOT($AS23),"",IF(ISNUMBER($AF23),$AF23,0)))</f>
        <v/>
      </c>
      <c r="BB23" s="86" t="str">
        <f aca="false">IF($BL23&lt;&gt;Constants!$B$4,"",IF(NOT($BC23),"&lt;-",IF(NOT($AS23),"-&gt;",IF(OR($BI23&lt;$AY23,AND($BI23=$AY23,OR($BJ23&gt;$AZ23,AND($BJ23=$AZ23,OR($BH23&gt;$AX23,AND($BH23=$AX23,OR($BE23&gt;$AU23,AND($BE23=$AU23,OR($BF23&gt;$AV23,AND($BF23=$AV23,$BK23&gt;$BA23)))))))))),"-&gt;","&lt;-"))))</f>
        <v/>
      </c>
      <c r="BC23" s="85" t="str">
        <f aca="false">IF(ISBLANK($C23),"",COUNTA($P23:$U23)&gt;0)</f>
        <v/>
      </c>
      <c r="BD23" s="85" t="str">
        <f aca="false">IF(ISBLANK($C23),"",AND($BC23,OR(AND($AL23="",OR($AK23,NOT(ISBLANK($S23)))),$AM23="",$AN23="")))</f>
        <v/>
      </c>
      <c r="BE23" s="87" t="str">
        <f aca="false">IF($BL23&lt;&gt;Constants!$B$4,"",IF(NOT($BC23),"",ROUND((Constants!$B$12-$AB23)+(Constants!$B$13-$Z23)+(Constants!$B$14-$AA23),1)))</f>
        <v/>
      </c>
      <c r="BF23" s="90" t="str">
        <f aca="false">IF($BL23&lt;&gt;Constants!$B$4,"",IF(NOT($BC23),"",IF(NOT($AK23),0,Constants!$B$15*(INT(ROUND(MIN($AL23,$AP$9),6))-INT(ROUND(MAX(0,MIN($AL23,2*$AP$9)-$AP$9),6))))))</f>
        <v/>
      </c>
      <c r="BG23" s="90" t="str">
        <f aca="false">IF($BL23&lt;&gt;Constants!$B$4,"",IF(NOT($BC23),"",Constants!$B$16*$AM23))</f>
        <v/>
      </c>
      <c r="BH23" s="90" t="str">
        <f aca="false">IF($BL23&lt;&gt;Constants!$B$4,"",IF(NOT($BC23),"",Constants!$B$18*INT(ROUND($AN23,6))))</f>
        <v/>
      </c>
      <c r="BI23" s="85" t="str">
        <f aca="false">IF($BL23&lt;&gt;Constants!$B$4,"",IF(NOT($BC23),"",IF(NOT($X23),Constants!$B$11,IF(OR(NOT($AI23),NOT($AJ23),ROUND($AB23,1)&gt;Constants!$B$12,ROUND($Z23,1)&gt;Constants!$B$13,ROUND($AA23,1)&gt;Constants!$B$14),Constants!$B$10,Constants!$B$9))))</f>
        <v/>
      </c>
      <c r="BJ23" s="91" t="str">
        <f aca="false">IF($BL23&lt;&gt;Constants!$B$4,"",IF(NOT($BC23),"",ROUND($BE23+$BF23+$BG23+$BH23,1)))</f>
        <v/>
      </c>
      <c r="BK23" s="92" t="str">
        <f aca="false">IF($BL23&lt;&gt;Constants!$B$4,"",IF(NOT($BC23),"",IF(ISNUMBER($AL23),$AL23,0)))</f>
        <v/>
      </c>
      <c r="BL23" s="86" t="str">
        <f aca="false">IF(ISBLANK($C23),"",IF($AO23,Constants!$B$7,IF(COUNTA($E23:$V23)=0,Constants!$B$6,IF(NOT($Y23),Constants!$B$5,IF(NOT(OR($AS23,$BC23)),Constants!$B$5,IF(OR($AT23,$BD23,$AQ23,$AR23&lt;&gt;""),Constants!$B$8,Constants!$B$4))))))</f>
        <v/>
      </c>
      <c r="BM23" s="86" t="str">
        <f aca="false">IF(ISBLANK($C23),"",IF($BL23&lt;&gt;Constants!$B$4,$BL23,IF($BB23="-&gt;",$BI23,$AY23)))</f>
        <v/>
      </c>
      <c r="BN23" s="90" t="str">
        <f aca="false">IF($BL23&lt;&gt;Constants!$B$4,"",IF($BB23="-&gt;",$BJ23,$AZ23))</f>
        <v/>
      </c>
      <c r="BO23" s="90" t="str">
        <f aca="false">IF(ISBLANK($C23),"",IF($BL23&lt;&gt;Constants!$B$4,$BL23,$BN23))</f>
        <v/>
      </c>
      <c r="BP23" s="86" t="str">
        <f aca="false">IF(ISBLANK($C23),"",IF($BL23&lt;&gt;Constants!$B$4,$BL23,RANK($BO23,$BO$9:$BO$508,0)))</f>
        <v/>
      </c>
      <c r="BQ23" s="86" t="str">
        <f aca="false">IF(ISBLANK($C23),"",IF($BL23&lt;&gt;Constants!$B$4,$BL23,COUNTIFS($BM$9:$BM$508,"&lt;"&amp;$BM23)+COUNTIFS($BM$9:$BM$508,$BM23,$BP$9:$BP$508,"&lt;"&amp;$BP23)+1))</f>
        <v/>
      </c>
      <c r="BR23" s="90" t="str">
        <f aca="false">IF($BL23&lt;&gt;Constants!$B$4,"",IF($BB23="-&gt;",$BH23,$AX23))</f>
        <v/>
      </c>
      <c r="BS23" s="86" t="str">
        <f aca="false">IF(ISBLANK($C23),"",IF($BL23&lt;&gt;Constants!$B$4,$BL23,IF(ISNUMBER($BR23),RANK($BR23,$BR$9:$BR$508,0),COUNT($BR$9:$BR$508)+1)))</f>
        <v/>
      </c>
      <c r="BT23" s="90" t="str">
        <f aca="false">IF($BL23&lt;&gt;Constants!$B$4,"",IF($BB23="-&gt;",$BE23,$AU23))</f>
        <v/>
      </c>
      <c r="BU23" s="86" t="str">
        <f aca="false">IF(ISBLANK($C23),"",IF($BL23&lt;&gt;Constants!$B$4,$BL23,IF(ISNUMBER($BT23),RANK($BT23,$BT$9:$BT$508,0),COUNT($BT$9:$BT$508)+1)))</f>
        <v/>
      </c>
      <c r="BV23" s="90" t="str">
        <f aca="false">IF($BL23&lt;&gt;Constants!$B$4,"",IF($BB23="-&gt;",$BF23,$AV23))</f>
        <v/>
      </c>
      <c r="BW23" s="86" t="str">
        <f aca="false">IF(ISBLANK($C23),"",IF($BL23&lt;&gt;Constants!$B$4,$BL23,IF(ISNUMBER($BV23),RANK($BV23,$BV$9:$BV$508,0),COUNT($BV$9:$BV$508)+1)))</f>
        <v/>
      </c>
      <c r="BX23" s="90" t="str">
        <f aca="false">IF($BL23&lt;&gt;Constants!$B$4,"",IF($BB23="-&gt;",$BK23,$BA23))</f>
        <v/>
      </c>
      <c r="BY23" s="86" t="str">
        <f aca="false">IF(ISBLANK($C23),"",IF($BL23&lt;&gt;Constants!$B$4,$BL23,IF(ISNUMBER($BX23),RANK($BX23,$BX$9:$BX$508,0),COUNT($BX$9:$BX$508)+1)))</f>
        <v/>
      </c>
      <c r="BZ23" s="86" t="str">
        <f aca="false">IF(ISBLANK($C23),"",IF($BL23&lt;&gt;Constants!$B$4,$BL23,COUNTIFS($BM$9:$BM$508,"&lt;"&amp;$BM23)+COUNTIFS($BM$9:$BM$508,$BM23,$BP$9:$BP$508,"&lt;"&amp;$BP23)+COUNTIFS($BM$9:$BM$508,$BM23,$BP$9:$BP$508,$BP23,$BS$9:$BS$508,"&lt;"&amp;$BS23)+COUNTIFS($BM$9:$BM$508,$BM23,$BP$9:$BP$508,$BP23,$BS$9:$BS$508,$BS23,$BU$9:$BU$508,"&lt;"&amp;$BU23)+COUNTIFS($BM$9:$BM$508,$BM23,$BP$9:$BP$508,$BP23,$BS$9:$BS$508,$BS23,$BU$9:$BU$508,$BU23,$BW$9:$BW$508,"&lt;"&amp;$BW23)+COUNTIFS($BM$9:$BM$508,$BM23,$BP$9:$BP$508,$BP23,$BS$9:$BS$508,$BS23,$BU$9:$BU$508,$BU23,$BW$9:$BW$508,$BW23,$BY$9:$BY$508,"&lt;"&amp;$BY23)+1))</f>
        <v/>
      </c>
      <c r="CA23" s="86" t="str">
        <f aca="false">IF(ISBLANK($C23),"",IF($BL23&lt;&gt;Constants!$B$4,$BL23,$BQ23-$BZ23))</f>
        <v/>
      </c>
      <c r="CB23" s="93"/>
      <c r="CC23" s="94" t="str">
        <f aca="false">IF(ISBLANK($C23),"",IF($BL23=Constants!$B$8,$AR23,""))</f>
        <v/>
      </c>
      <c r="CD23" s="94" t="str">
        <f aca="false">IF(ISBLANK($C23),"",IF($BL23&lt;&gt;Constants!$B$4,"",IF($BB23="-&gt;",2,1)))</f>
        <v/>
      </c>
      <c r="CE23" s="95" t="str">
        <f aca="false">IF(ISBLANK($C23),"",IF($BL23&lt;&gt;Constants!$B$4,"",IF($BB23="-&gt;",$BE23,$AU23)))</f>
        <v/>
      </c>
      <c r="CF23" s="95" t="str">
        <f aca="false">IF(ISBLANK($C23),"",IF($BL23&lt;&gt;Constants!$B$4,"",IF($BB23="-&gt;",$BF23,$AV23)))</f>
        <v/>
      </c>
      <c r="CG23" s="95" t="str">
        <f aca="false">IF(ISBLANK($C23),"",IF($BL23&lt;&gt;Constants!$B$4,"",IF($BB23="-&gt;",$BG23,$AW23)))</f>
        <v/>
      </c>
      <c r="CH23" s="95" t="str">
        <f aca="false">IF(ISBLANK($C23),"",IF($BL23&lt;&gt;Constants!$B$4,"",IF($BB23="-&gt;",$BH23,$AX23)))</f>
        <v/>
      </c>
      <c r="CI23" s="96" t="str">
        <f aca="false">IF(ISBLANK($C23),"",$BO23)</f>
        <v/>
      </c>
      <c r="CJ23" s="97" t="str">
        <f aca="false">IF(ISBLANK($C23),"",$BM23)</f>
        <v/>
      </c>
      <c r="CK23" s="98" t="str">
        <f aca="false">IF(ISBLANK($C23),"",$CA23)</f>
        <v/>
      </c>
      <c r="CL23" s="98" t="str">
        <f aca="false">IF(ISBLANK($C23),"",$BZ23)</f>
        <v/>
      </c>
      <c r="CM23" s="99" t="str">
        <f aca="false">IF(ISBLANK($C23),"",IF($CL23=Constants!$B$7,COUNTA($C$9:$C$508)+2,IF($CL23=Constants!$B$6,COUNTA($C$9:$C$508)+1,IF($CL23=Constants!$B$5,COUNTA($C$9:$C$508),$CL23))))</f>
        <v/>
      </c>
      <c r="CN23" s="8"/>
      <c r="CO23" s="100" t="n">
        <f aca="false">IF(OR(ISNUMBER($CL23),$CL23=Constants!$B$7,$CL23=Constants!$B$5,$CL23=Constants!$B$6),1,0)</f>
        <v>0</v>
      </c>
      <c r="CP23" s="100" t="n">
        <v>15</v>
      </c>
      <c r="CQ23" s="100" t="str">
        <f aca="false">IF(ISBLANK($C23),"",IF(ISNUMBER($CM23),$CM23+ROW($B23)/1000,""))</f>
        <v/>
      </c>
      <c r="CR23" s="100" t="str">
        <f aca="false">IF(ISNUMBER($CQ23),RANK($CQ23,$CQ$9:$CQ$508,1),"")</f>
        <v/>
      </c>
      <c r="CS23" s="100" t="str">
        <f aca="false">IF(ISBLANK($C23),"",$B23)</f>
        <v/>
      </c>
      <c r="CT23" s="100" t="str">
        <f aca="false">IF(ISBLANK($C23),"",$C23)</f>
        <v/>
      </c>
      <c r="CU23" s="100" t="str">
        <f aca="false">IF(ISBLANK($C23),"",$D23)</f>
        <v/>
      </c>
      <c r="CV23" s="101" t="str">
        <f aca="false">$CJ23</f>
        <v/>
      </c>
      <c r="CW23" s="102" t="str">
        <f aca="false">$CI23</f>
        <v/>
      </c>
      <c r="CX23" s="100" t="str">
        <f aca="false">IF(ISBLANK($C23),"",$CL23)</f>
        <v/>
      </c>
      <c r="CY23" s="103" t="str">
        <f aca="false">IF($CP23&gt;$CO$8,"",VLOOKUP($CP23,$CR$9:$CX$508,7,FALSE()))</f>
        <v/>
      </c>
      <c r="CZ23" s="104" t="str">
        <f aca="false">IF($CP23&gt;$CO$8,"",VLOOKUP($CP23,$CR$9:$CX$508,2,FALSE()))</f>
        <v/>
      </c>
      <c r="DA23" s="104" t="str">
        <f aca="false">IF($CP23&gt;$CO$8,"",VLOOKUP($CP23,$CR$9:$CX$508,3,FALSE()))</f>
        <v/>
      </c>
      <c r="DB23" s="104" t="str">
        <f aca="false">IF($CP23&gt;$CO$8,"",VLOOKUP($CP23,$CR$9:$CX$508,4,FALSE()))</f>
        <v/>
      </c>
      <c r="DC23" s="104" t="str">
        <f aca="false">IF($CP23&gt;$CO$8,"",VLOOKUP($CP23,$CR$9:$CX$508,5,FALSE()))</f>
        <v/>
      </c>
      <c r="DD23" s="105" t="str">
        <f aca="false">IF($CP23&gt;$CO$8,"",VLOOKUP($CP23,$CR$9:$CX$508,6,FALSE()))</f>
        <v/>
      </c>
      <c r="DE23" s="70"/>
    </row>
    <row r="24" customFormat="false" ht="15.75" hidden="false" customHeight="false" outlineLevel="0" collapsed="false">
      <c r="A24" s="8"/>
      <c r="B24" s="146"/>
      <c r="C24" s="147"/>
      <c r="D24" s="148"/>
      <c r="E24" s="149"/>
      <c r="F24" s="150"/>
      <c r="G24" s="115"/>
      <c r="H24" s="115"/>
      <c r="I24" s="115"/>
      <c r="J24" s="151"/>
      <c r="K24" s="152"/>
      <c r="L24" s="152"/>
      <c r="M24" s="118"/>
      <c r="N24" s="152"/>
      <c r="O24" s="153"/>
      <c r="P24" s="152"/>
      <c r="Q24" s="152"/>
      <c r="R24" s="152"/>
      <c r="S24" s="115"/>
      <c r="T24" s="152"/>
      <c r="U24" s="153"/>
      <c r="V24" s="154"/>
      <c r="W24" s="123"/>
      <c r="X24" s="124" t="str">
        <f aca="false">IF(ISBLANK($C24),"",IF($E24=Constants!$B$2,TRUE(),IF($E24=Constants!$B$3,FALSE(),TRUE())))</f>
        <v/>
      </c>
      <c r="Y24" s="124" t="str">
        <f aca="false">IF(ISBLANK($C24),"",IF($F24=Constants!$B$2,TRUE(),IF($F24=Constants!$B$3,FALSE(),TRUE())))</f>
        <v/>
      </c>
      <c r="Z24" s="125" t="str">
        <f aca="false">IF(ISBLANK($C24),"",IF(ISNUMBER($G24),IF($G24&gt;=0,$G24,""),""))</f>
        <v/>
      </c>
      <c r="AA24" s="125" t="str">
        <f aca="false">IF(ISBLANK($C24),"",IF(ISNUMBER($H24),IF($H24&gt;=0,$H24,""),""))</f>
        <v/>
      </c>
      <c r="AB24" s="125" t="str">
        <f aca="false">IF(ISBLANK($C24),"",IF(ISNUMBER($I24),IF($I24&gt;=0,$I24,""),""))</f>
        <v/>
      </c>
      <c r="AC24" s="124" t="str">
        <f aca="false">IF(ISBLANK($C24),"",IF($J24=Constants!$B$2,TRUE(),IF($J24=Constants!$B$3,FALSE(),TRUE())))</f>
        <v/>
      </c>
      <c r="AD24" s="124" t="str">
        <f aca="false">IF(ISBLANK($C24),"",IF($K24=Constants!$B$2,TRUE(),IF($K24=Constants!$B$3,FALSE(),TRUE())))</f>
        <v/>
      </c>
      <c r="AE24" s="124" t="str">
        <f aca="false">IF(ISBLANK($C24),"",IF($L24=Constants!$B$2,TRUE(),IF($L24=Constants!$B$3,FALSE(),TRUE())))</f>
        <v/>
      </c>
      <c r="AF24" s="126" t="str">
        <f aca="false">IF(ISBLANK($C24),"",IF(ISNUMBER($M24),IF($M24&gt;=0,$M24,""),""))</f>
        <v/>
      </c>
      <c r="AG24" s="124" t="str">
        <f aca="false">IF(ISBLANK($C24),"",IF(ISBLANK($N24),0,IF(ISNUMBER($N24),IF(AND($N24&gt;=0,$N24&lt;=Constants!$B$17,$N24=INT($N24)),$N24,""),"")))</f>
        <v/>
      </c>
      <c r="AH24" s="125" t="str">
        <f aca="false">IF(ISBLANK($C24),"",IF(ISBLANK($O24),0,IF(ISNUMBER($O24),IF($O24&gt;=0,$O24,""),"")))</f>
        <v/>
      </c>
      <c r="AI24" s="124" t="str">
        <f aca="false">IF(ISBLANK($C24),"",IF($P24=Constants!$B$2,TRUE(),IF($P24=Constants!$B$3,FALSE(),TRUE())))</f>
        <v/>
      </c>
      <c r="AJ24" s="124" t="str">
        <f aca="false">IF(ISBLANK($C24),"",IF($Q24=Constants!$B$2,TRUE(),IF($Q24=Constants!$B$3,FALSE(),TRUE())))</f>
        <v/>
      </c>
      <c r="AK24" s="124" t="str">
        <f aca="false">IF(ISBLANK($C24),"",IF($R24=Constants!$B$2,TRUE(),IF($R24=Constants!$B$3,FALSE(),TRUE())))</f>
        <v/>
      </c>
      <c r="AL24" s="126" t="str">
        <f aca="false">IF(ISBLANK($C24),"",IF(ISNUMBER($S24),IF($S24&gt;=0,$S24,""),""))</f>
        <v/>
      </c>
      <c r="AM24" s="124" t="str">
        <f aca="false">IF(ISBLANK($C24),"",IF(ISBLANK($T24),0,IF(ISNUMBER($T24),IF(AND($T24&gt;=0,$T24&lt;=Constants!$B$17,$T24=INT($T24)),$T24,""),"")))</f>
        <v/>
      </c>
      <c r="AN24" s="125" t="str">
        <f aca="false">IF(ISBLANK($C24),"",IF(ISBLANK($U24),0,IF(ISNUMBER($U24),IF($U24&gt;=0,$U24,""),"")))</f>
        <v/>
      </c>
      <c r="AO24" s="124" t="str">
        <f aca="false">IF(ISBLANK($C24),"",IF($V24=Constants!$B$2,TRUE(),IF($V24=Constants!$B$3,FALSE(),FALSE())))</f>
        <v/>
      </c>
      <c r="AP24" s="124"/>
      <c r="AQ24" s="123" t="str">
        <f aca="false">IF(ISBLANK($C24),"",AND($Y24,OR($AS24,$BC24),OR($Z24="",$AA24="",$AB24="")))</f>
        <v/>
      </c>
      <c r="AR24" s="123" t="str">
        <f aca="false">IF(ISBLANK($C24),"",IF(OR(NOT($Y24),NOT(OR($AS24,$BC24))),"",IF(ISBLANK($D$7),$AR$5,IF($AP$9="",$AR$6,""))))</f>
        <v/>
      </c>
      <c r="AS24" s="123" t="str">
        <f aca="false">IF(ISBLANK($C24),"",COUNTA($J24:$O24)&gt;0)</f>
        <v/>
      </c>
      <c r="AT24" s="123" t="str">
        <f aca="false">IF(ISBLANK($C24),"",AND($AS24,OR(AND($AF24="",OR($AE24,NOT(ISBLANK($M24)))),$AG24="",$AH24="")))</f>
        <v/>
      </c>
      <c r="AU24" s="125" t="str">
        <f aca="false">IF($BL24&lt;&gt;Constants!$B$4,"",IF(NOT($AS24),"",ROUND((Constants!$B$12-$AB24)+(Constants!$B$13-$Z24)+(Constants!$B$14-$AA24),1)))</f>
        <v/>
      </c>
      <c r="AV24" s="127" t="str">
        <f aca="false">IF($BL24&lt;&gt;Constants!$B$4,"",IF(NOT($AS24),"",IF(NOT($AE24),0,Constants!$B$15*(INT(ROUND(MIN($AF24,$AP$9),6))-INT(ROUND(MAX(0,MIN($AF24,2*$AP$9)-$AP$9),6))))))</f>
        <v/>
      </c>
      <c r="AW24" s="127" t="str">
        <f aca="false">IF($BL24&lt;&gt;Constants!$B$4,"",IF(NOT($AS24),"",Constants!$B$16*$AG24))</f>
        <v/>
      </c>
      <c r="AX24" s="127" t="str">
        <f aca="false">IF($BL24&lt;&gt;Constants!$B$4,"",IF(NOT($AS24),"",Constants!$B$18*INT(ROUND($AH24,6))))</f>
        <v/>
      </c>
      <c r="AY24" s="123" t="str">
        <f aca="false">IF($BL24&lt;&gt;Constants!$B$4,"",IF(NOT($AS24),"",IF(NOT($X24),Constants!$B$11,IF(OR(NOT($AC24),NOT($AD24),ROUND($AB24,1)&gt;Constants!$B$12,ROUND($Z24,1)&gt;Constants!$B$13,ROUND($AA24,1)&gt;Constants!$B$14),Constants!$B$10,Constants!$B$9))))</f>
        <v/>
      </c>
      <c r="AZ24" s="128" t="str">
        <f aca="false">IF($BL24&lt;&gt;Constants!$B$4,"",IF(NOT($AS24),"",ROUND($AU24+$AV24+$AW24+$AX24,1)))</f>
        <v/>
      </c>
      <c r="BA24" s="129" t="str">
        <f aca="false">IF($BL24&lt;&gt;Constants!$B$4,"",IF(NOT($AS24),"",IF(ISNUMBER($AF24),$AF24,0)))</f>
        <v/>
      </c>
      <c r="BB24" s="124" t="str">
        <f aca="false">IF($BL24&lt;&gt;Constants!$B$4,"",IF(NOT($BC24),"&lt;-",IF(NOT($AS24),"-&gt;",IF(OR($BI24&lt;$AY24,AND($BI24=$AY24,OR($BJ24&gt;$AZ24,AND($BJ24=$AZ24,OR($BH24&gt;$AX24,AND($BH24=$AX24,OR($BE24&gt;$AU24,AND($BE24=$AU24,OR($BF24&gt;$AV24,AND($BF24=$AV24,$BK24&gt;$BA24)))))))))),"-&gt;","&lt;-"))))</f>
        <v/>
      </c>
      <c r="BC24" s="123" t="str">
        <f aca="false">IF(ISBLANK($C24),"",COUNTA($P24:$U24)&gt;0)</f>
        <v/>
      </c>
      <c r="BD24" s="123" t="str">
        <f aca="false">IF(ISBLANK($C24),"",AND($BC24,OR(AND($AL24="",OR($AK24,NOT(ISBLANK($S24)))),$AM24="",$AN24="")))</f>
        <v/>
      </c>
      <c r="BE24" s="125" t="str">
        <f aca="false">IF($BL24&lt;&gt;Constants!$B$4,"",IF(NOT($BC24),"",ROUND((Constants!$B$12-$AB24)+(Constants!$B$13-$Z24)+(Constants!$B$14-$AA24),1)))</f>
        <v/>
      </c>
      <c r="BF24" s="127" t="str">
        <f aca="false">IF($BL24&lt;&gt;Constants!$B$4,"",IF(NOT($BC24),"",IF(NOT($AK24),0,Constants!$B$15*(INT(ROUND(MIN($AL24,$AP$9),6))-INT(ROUND(MAX(0,MIN($AL24,2*$AP$9)-$AP$9),6))))))</f>
        <v/>
      </c>
      <c r="BG24" s="127" t="str">
        <f aca="false">IF($BL24&lt;&gt;Constants!$B$4,"",IF(NOT($BC24),"",Constants!$B$16*$AM24))</f>
        <v/>
      </c>
      <c r="BH24" s="127" t="str">
        <f aca="false">IF($BL24&lt;&gt;Constants!$B$4,"",IF(NOT($BC24),"",Constants!$B$18*INT(ROUND($AN24,6))))</f>
        <v/>
      </c>
      <c r="BI24" s="123" t="str">
        <f aca="false">IF($BL24&lt;&gt;Constants!$B$4,"",IF(NOT($BC24),"",IF(NOT($X24),Constants!$B$11,IF(OR(NOT($AI24),NOT($AJ24),ROUND($AB24,1)&gt;Constants!$B$12,ROUND($Z24,1)&gt;Constants!$B$13,ROUND($AA24,1)&gt;Constants!$B$14),Constants!$B$10,Constants!$B$9))))</f>
        <v/>
      </c>
      <c r="BJ24" s="128" t="str">
        <f aca="false">IF($BL24&lt;&gt;Constants!$B$4,"",IF(NOT($BC24),"",ROUND($BE24+$BF24+$BG24+$BH24,1)))</f>
        <v/>
      </c>
      <c r="BK24" s="129" t="str">
        <f aca="false">IF($BL24&lt;&gt;Constants!$B$4,"",IF(NOT($BC24),"",IF(ISNUMBER($AL24),$AL24,0)))</f>
        <v/>
      </c>
      <c r="BL24" s="124" t="str">
        <f aca="false">IF(ISBLANK($C24),"",IF($AO24,Constants!$B$7,IF(COUNTA($E24:$V24)=0,Constants!$B$6,IF(NOT($Y24),Constants!$B$5,IF(NOT(OR($AS24,$BC24)),Constants!$B$5,IF(OR($AT24,$BD24,$AQ24,$AR24&lt;&gt;""),Constants!$B$8,Constants!$B$4))))))</f>
        <v/>
      </c>
      <c r="BM24" s="124" t="str">
        <f aca="false">IF(ISBLANK($C24),"",IF($BL24&lt;&gt;Constants!$B$4,$BL24,IF($BB24="-&gt;",$BI24,$AY24)))</f>
        <v/>
      </c>
      <c r="BN24" s="127" t="str">
        <f aca="false">IF($BL24&lt;&gt;Constants!$B$4,"",IF($BB24="-&gt;",$BJ24,$AZ24))</f>
        <v/>
      </c>
      <c r="BO24" s="127" t="str">
        <f aca="false">IF(ISBLANK($C24),"",IF($BL24&lt;&gt;Constants!$B$4,$BL24,$BN24))</f>
        <v/>
      </c>
      <c r="BP24" s="124" t="str">
        <f aca="false">IF(ISBLANK($C24),"",IF($BL24&lt;&gt;Constants!$B$4,$BL24,RANK($BO24,$BO$9:$BO$508,0)))</f>
        <v/>
      </c>
      <c r="BQ24" s="124" t="str">
        <f aca="false">IF(ISBLANK($C24),"",IF($BL24&lt;&gt;Constants!$B$4,$BL24,COUNTIFS($BM$9:$BM$508,"&lt;"&amp;$BM24)+COUNTIFS($BM$9:$BM$508,$BM24,$BP$9:$BP$508,"&lt;"&amp;$BP24)+1))</f>
        <v/>
      </c>
      <c r="BR24" s="127" t="str">
        <f aca="false">IF($BL24&lt;&gt;Constants!$B$4,"",IF($BB24="-&gt;",$BH24,$AX24))</f>
        <v/>
      </c>
      <c r="BS24" s="124" t="str">
        <f aca="false">IF(ISBLANK($C24),"",IF($BL24&lt;&gt;Constants!$B$4,$BL24,IF(ISNUMBER($BR24),RANK($BR24,$BR$9:$BR$508,0),COUNT($BR$9:$BR$508)+1)))</f>
        <v/>
      </c>
      <c r="BT24" s="127" t="str">
        <f aca="false">IF($BL24&lt;&gt;Constants!$B$4,"",IF($BB24="-&gt;",$BE24,$AU24))</f>
        <v/>
      </c>
      <c r="BU24" s="124" t="str">
        <f aca="false">IF(ISBLANK($C24),"",IF($BL24&lt;&gt;Constants!$B$4,$BL24,IF(ISNUMBER($BT24),RANK($BT24,$BT$9:$BT$508,0),COUNT($BT$9:$BT$508)+1)))</f>
        <v/>
      </c>
      <c r="BV24" s="127" t="str">
        <f aca="false">IF($BL24&lt;&gt;Constants!$B$4,"",IF($BB24="-&gt;",$BF24,$AV24))</f>
        <v/>
      </c>
      <c r="BW24" s="124" t="str">
        <f aca="false">IF(ISBLANK($C24),"",IF($BL24&lt;&gt;Constants!$B$4,$BL24,IF(ISNUMBER($BV24),RANK($BV24,$BV$9:$BV$508,0),COUNT($BV$9:$BV$508)+1)))</f>
        <v/>
      </c>
      <c r="BX24" s="127" t="str">
        <f aca="false">IF($BL24&lt;&gt;Constants!$B$4,"",IF($BB24="-&gt;",$BK24,$BA24))</f>
        <v/>
      </c>
      <c r="BY24" s="124" t="str">
        <f aca="false">IF(ISBLANK($C24),"",IF($BL24&lt;&gt;Constants!$B$4,$BL24,IF(ISNUMBER($BX24),RANK($BX24,$BX$9:$BX$508,0),COUNT($BX$9:$BX$508)+1)))</f>
        <v/>
      </c>
      <c r="BZ24" s="124" t="str">
        <f aca="false">IF(ISBLANK($C24),"",IF($BL24&lt;&gt;Constants!$B$4,$BL24,COUNTIFS($BM$9:$BM$508,"&lt;"&amp;$BM24)+COUNTIFS($BM$9:$BM$508,$BM24,$BP$9:$BP$508,"&lt;"&amp;$BP24)+COUNTIFS($BM$9:$BM$508,$BM24,$BP$9:$BP$508,$BP24,$BS$9:$BS$508,"&lt;"&amp;$BS24)+COUNTIFS($BM$9:$BM$508,$BM24,$BP$9:$BP$508,$BP24,$BS$9:$BS$508,$BS24,$BU$9:$BU$508,"&lt;"&amp;$BU24)+COUNTIFS($BM$9:$BM$508,$BM24,$BP$9:$BP$508,$BP24,$BS$9:$BS$508,$BS24,$BU$9:$BU$508,$BU24,$BW$9:$BW$508,"&lt;"&amp;$BW24)+COUNTIFS($BM$9:$BM$508,$BM24,$BP$9:$BP$508,$BP24,$BS$9:$BS$508,$BS24,$BU$9:$BU$508,$BU24,$BW$9:$BW$508,$BW24,$BY$9:$BY$508,"&lt;"&amp;$BY24)+1))</f>
        <v/>
      </c>
      <c r="CA24" s="124" t="str">
        <f aca="false">IF(ISBLANK($C24),"",IF($BL24&lt;&gt;Constants!$B$4,$BL24,$BQ24-$BZ24))</f>
        <v/>
      </c>
      <c r="CB24" s="130"/>
      <c r="CC24" s="131" t="str">
        <f aca="false">IF(ISBLANK($C24),"",IF($BL24=Constants!$B$8,$AR24,""))</f>
        <v/>
      </c>
      <c r="CD24" s="131" t="str">
        <f aca="false">IF(ISBLANK($C24),"",IF($BL24&lt;&gt;Constants!$B$4,"",IF($BB24="-&gt;",2,1)))</f>
        <v/>
      </c>
      <c r="CE24" s="132" t="str">
        <f aca="false">IF(ISBLANK($C24),"",IF($BL24&lt;&gt;Constants!$B$4,"",IF($BB24="-&gt;",$BE24,$AU24)))</f>
        <v/>
      </c>
      <c r="CF24" s="132" t="str">
        <f aca="false">IF(ISBLANK($C24),"",IF($BL24&lt;&gt;Constants!$B$4,"",IF($BB24="-&gt;",$BF24,$AV24)))</f>
        <v/>
      </c>
      <c r="CG24" s="132" t="str">
        <f aca="false">IF(ISBLANK($C24),"",IF($BL24&lt;&gt;Constants!$B$4,"",IF($BB24="-&gt;",$BG24,$AW24)))</f>
        <v/>
      </c>
      <c r="CH24" s="132" t="str">
        <f aca="false">IF(ISBLANK($C24),"",IF($BL24&lt;&gt;Constants!$B$4,"",IF($BB24="-&gt;",$BH24,$AX24)))</f>
        <v/>
      </c>
      <c r="CI24" s="133" t="str">
        <f aca="false">IF(ISBLANK($C24),"",$BO24)</f>
        <v/>
      </c>
      <c r="CJ24" s="134" t="str">
        <f aca="false">IF(ISBLANK($C24),"",$BM24)</f>
        <v/>
      </c>
      <c r="CK24" s="135" t="str">
        <f aca="false">IF(ISBLANK($C24),"",$CA24)</f>
        <v/>
      </c>
      <c r="CL24" s="135" t="str">
        <f aca="false">IF(ISBLANK($C24),"",$BZ24)</f>
        <v/>
      </c>
      <c r="CM24" s="136" t="str">
        <f aca="false">IF(ISBLANK($C24),"",IF($CL24=Constants!$B$7,COUNTA($C$9:$C$508)+2,IF($CL24=Constants!$B$6,COUNTA($C$9:$C$508)+1,IF($CL24=Constants!$B$5,COUNTA($C$9:$C$508),$CL24))))</f>
        <v/>
      </c>
      <c r="CN24" s="8"/>
      <c r="CO24" s="137" t="n">
        <f aca="false">IF(OR(ISNUMBER($CL24),$CL24=Constants!$B$7,$CL24=Constants!$B$5,$CL24=Constants!$B$6),1,0)</f>
        <v>0</v>
      </c>
      <c r="CP24" s="137" t="n">
        <v>16</v>
      </c>
      <c r="CQ24" s="137" t="str">
        <f aca="false">IF(ISBLANK($C24),"",IF(ISNUMBER($CM24),$CM24+ROW($B24)/1000,""))</f>
        <v/>
      </c>
      <c r="CR24" s="137" t="str">
        <f aca="false">IF(ISNUMBER($CQ24),RANK($CQ24,$CQ$9:$CQ$508,1),"")</f>
        <v/>
      </c>
      <c r="CS24" s="137" t="str">
        <f aca="false">IF(ISBLANK($C24),"",$B24)</f>
        <v/>
      </c>
      <c r="CT24" s="137" t="str">
        <f aca="false">IF(ISBLANK($C24),"",$C24)</f>
        <v/>
      </c>
      <c r="CU24" s="137" t="str">
        <f aca="false">IF(ISBLANK($C24),"",$D24)</f>
        <v/>
      </c>
      <c r="CV24" s="138" t="str">
        <f aca="false">$CJ24</f>
        <v/>
      </c>
      <c r="CW24" s="139" t="str">
        <f aca="false">$CI24</f>
        <v/>
      </c>
      <c r="CX24" s="137" t="str">
        <f aca="false">IF(ISBLANK($C24),"",$CL24)</f>
        <v/>
      </c>
      <c r="CY24" s="140" t="str">
        <f aca="false">IF($CP24&gt;$CO$8,"",VLOOKUP($CP24,$CR$9:$CX$508,7,FALSE()))</f>
        <v/>
      </c>
      <c r="CZ24" s="141" t="str">
        <f aca="false">IF($CP24&gt;$CO$8,"",VLOOKUP($CP24,$CR$9:$CX$508,2,FALSE()))</f>
        <v/>
      </c>
      <c r="DA24" s="141" t="str">
        <f aca="false">IF($CP24&gt;$CO$8,"",VLOOKUP($CP24,$CR$9:$CX$508,3,FALSE()))</f>
        <v/>
      </c>
      <c r="DB24" s="141" t="str">
        <f aca="false">IF($CP24&gt;$CO$8,"",VLOOKUP($CP24,$CR$9:$CX$508,4,FALSE()))</f>
        <v/>
      </c>
      <c r="DC24" s="141" t="str">
        <f aca="false">IF($CP24&gt;$CO$8,"",VLOOKUP($CP24,$CR$9:$CX$508,5,FALSE()))</f>
        <v/>
      </c>
      <c r="DD24" s="142" t="str">
        <f aca="false">IF($CP24&gt;$CO$8,"",VLOOKUP($CP24,$CR$9:$CX$508,6,FALSE()))</f>
        <v/>
      </c>
      <c r="DE24" s="70"/>
    </row>
    <row r="25" customFormat="false" ht="15.75" hidden="false" customHeight="false" outlineLevel="0" collapsed="false">
      <c r="A25" s="8"/>
      <c r="B25" s="146"/>
      <c r="C25" s="147"/>
      <c r="D25" s="148"/>
      <c r="E25" s="149"/>
      <c r="F25" s="150"/>
      <c r="G25" s="115"/>
      <c r="H25" s="115"/>
      <c r="I25" s="115"/>
      <c r="J25" s="151"/>
      <c r="K25" s="152"/>
      <c r="L25" s="152"/>
      <c r="M25" s="118"/>
      <c r="N25" s="152"/>
      <c r="O25" s="153"/>
      <c r="P25" s="152"/>
      <c r="Q25" s="152"/>
      <c r="R25" s="152"/>
      <c r="S25" s="115"/>
      <c r="T25" s="152"/>
      <c r="U25" s="153"/>
      <c r="V25" s="154"/>
      <c r="W25" s="123"/>
      <c r="X25" s="124" t="str">
        <f aca="false">IF(ISBLANK($C25),"",IF($E25=Constants!$B$2,TRUE(),IF($E25=Constants!$B$3,FALSE(),TRUE())))</f>
        <v/>
      </c>
      <c r="Y25" s="124" t="str">
        <f aca="false">IF(ISBLANK($C25),"",IF($F25=Constants!$B$2,TRUE(),IF($F25=Constants!$B$3,FALSE(),TRUE())))</f>
        <v/>
      </c>
      <c r="Z25" s="125" t="str">
        <f aca="false">IF(ISBLANK($C25),"",IF(ISNUMBER($G25),IF($G25&gt;=0,$G25,""),""))</f>
        <v/>
      </c>
      <c r="AA25" s="125" t="str">
        <f aca="false">IF(ISBLANK($C25),"",IF(ISNUMBER($H25),IF($H25&gt;=0,$H25,""),""))</f>
        <v/>
      </c>
      <c r="AB25" s="125" t="str">
        <f aca="false">IF(ISBLANK($C25),"",IF(ISNUMBER($I25),IF($I25&gt;=0,$I25,""),""))</f>
        <v/>
      </c>
      <c r="AC25" s="124" t="str">
        <f aca="false">IF(ISBLANK($C25),"",IF($J25=Constants!$B$2,TRUE(),IF($J25=Constants!$B$3,FALSE(),TRUE())))</f>
        <v/>
      </c>
      <c r="AD25" s="124" t="str">
        <f aca="false">IF(ISBLANK($C25),"",IF($K25=Constants!$B$2,TRUE(),IF($K25=Constants!$B$3,FALSE(),TRUE())))</f>
        <v/>
      </c>
      <c r="AE25" s="124" t="str">
        <f aca="false">IF(ISBLANK($C25),"",IF($L25=Constants!$B$2,TRUE(),IF($L25=Constants!$B$3,FALSE(),TRUE())))</f>
        <v/>
      </c>
      <c r="AF25" s="126" t="str">
        <f aca="false">IF(ISBLANK($C25),"",IF(ISNUMBER($M25),IF($M25&gt;=0,$M25,""),""))</f>
        <v/>
      </c>
      <c r="AG25" s="124" t="str">
        <f aca="false">IF(ISBLANK($C25),"",IF(ISBLANK($N25),0,IF(ISNUMBER($N25),IF(AND($N25&gt;=0,$N25&lt;=Constants!$B$17,$N25=INT($N25)),$N25,""),"")))</f>
        <v/>
      </c>
      <c r="AH25" s="125" t="str">
        <f aca="false">IF(ISBLANK($C25),"",IF(ISBLANK($O25),0,IF(ISNUMBER($O25),IF($O25&gt;=0,$O25,""),"")))</f>
        <v/>
      </c>
      <c r="AI25" s="124" t="str">
        <f aca="false">IF(ISBLANK($C25),"",IF($P25=Constants!$B$2,TRUE(),IF($P25=Constants!$B$3,FALSE(),TRUE())))</f>
        <v/>
      </c>
      <c r="AJ25" s="124" t="str">
        <f aca="false">IF(ISBLANK($C25),"",IF($Q25=Constants!$B$2,TRUE(),IF($Q25=Constants!$B$3,FALSE(),TRUE())))</f>
        <v/>
      </c>
      <c r="AK25" s="124" t="str">
        <f aca="false">IF(ISBLANK($C25),"",IF($R25=Constants!$B$2,TRUE(),IF($R25=Constants!$B$3,FALSE(),TRUE())))</f>
        <v/>
      </c>
      <c r="AL25" s="126" t="str">
        <f aca="false">IF(ISBLANK($C25),"",IF(ISNUMBER($S25),IF($S25&gt;=0,$S25,""),""))</f>
        <v/>
      </c>
      <c r="AM25" s="124" t="str">
        <f aca="false">IF(ISBLANK($C25),"",IF(ISBLANK($T25),0,IF(ISNUMBER($T25),IF(AND($T25&gt;=0,$T25&lt;=Constants!$B$17,$T25=INT($T25)),$T25,""),"")))</f>
        <v/>
      </c>
      <c r="AN25" s="125" t="str">
        <f aca="false">IF(ISBLANK($C25),"",IF(ISBLANK($U25),0,IF(ISNUMBER($U25),IF($U25&gt;=0,$U25,""),"")))</f>
        <v/>
      </c>
      <c r="AO25" s="124" t="str">
        <f aca="false">IF(ISBLANK($C25),"",IF($V25=Constants!$B$2,TRUE(),IF($V25=Constants!$B$3,FALSE(),FALSE())))</f>
        <v/>
      </c>
      <c r="AP25" s="124"/>
      <c r="AQ25" s="123" t="str">
        <f aca="false">IF(ISBLANK($C25),"",AND($Y25,OR($AS25,$BC25),OR($Z25="",$AA25="",$AB25="")))</f>
        <v/>
      </c>
      <c r="AR25" s="123" t="str">
        <f aca="false">IF(ISBLANK($C25),"",IF(OR(NOT($Y25),NOT(OR($AS25,$BC25))),"",IF(ISBLANK($D$7),$AR$5,IF($AP$9="",$AR$6,""))))</f>
        <v/>
      </c>
      <c r="AS25" s="123" t="str">
        <f aca="false">IF(ISBLANK($C25),"",COUNTA($J25:$O25)&gt;0)</f>
        <v/>
      </c>
      <c r="AT25" s="123" t="str">
        <f aca="false">IF(ISBLANK($C25),"",AND($AS25,OR(AND($AF25="",OR($AE25,NOT(ISBLANK($M25)))),$AG25="",$AH25="")))</f>
        <v/>
      </c>
      <c r="AU25" s="125" t="str">
        <f aca="false">IF($BL25&lt;&gt;Constants!$B$4,"",IF(NOT($AS25),"",ROUND((Constants!$B$12-$AB25)+(Constants!$B$13-$Z25)+(Constants!$B$14-$AA25),1)))</f>
        <v/>
      </c>
      <c r="AV25" s="127" t="str">
        <f aca="false">IF($BL25&lt;&gt;Constants!$B$4,"",IF(NOT($AS25),"",IF(NOT($AE25),0,Constants!$B$15*(INT(ROUND(MIN($AF25,$AP$9),6))-INT(ROUND(MAX(0,MIN($AF25,2*$AP$9)-$AP$9),6))))))</f>
        <v/>
      </c>
      <c r="AW25" s="127" t="str">
        <f aca="false">IF($BL25&lt;&gt;Constants!$B$4,"",IF(NOT($AS25),"",Constants!$B$16*$AG25))</f>
        <v/>
      </c>
      <c r="AX25" s="127" t="str">
        <f aca="false">IF($BL25&lt;&gt;Constants!$B$4,"",IF(NOT($AS25),"",Constants!$B$18*INT(ROUND($AH25,6))))</f>
        <v/>
      </c>
      <c r="AY25" s="123" t="str">
        <f aca="false">IF($BL25&lt;&gt;Constants!$B$4,"",IF(NOT($AS25),"",IF(NOT($X25),Constants!$B$11,IF(OR(NOT($AC25),NOT($AD25),ROUND($AB25,1)&gt;Constants!$B$12,ROUND($Z25,1)&gt;Constants!$B$13,ROUND($AA25,1)&gt;Constants!$B$14),Constants!$B$10,Constants!$B$9))))</f>
        <v/>
      </c>
      <c r="AZ25" s="128" t="str">
        <f aca="false">IF($BL25&lt;&gt;Constants!$B$4,"",IF(NOT($AS25),"",ROUND($AU25+$AV25+$AW25+$AX25,1)))</f>
        <v/>
      </c>
      <c r="BA25" s="129" t="str">
        <f aca="false">IF($BL25&lt;&gt;Constants!$B$4,"",IF(NOT($AS25),"",IF(ISNUMBER($AF25),$AF25,0)))</f>
        <v/>
      </c>
      <c r="BB25" s="124" t="str">
        <f aca="false">IF($BL25&lt;&gt;Constants!$B$4,"",IF(NOT($BC25),"&lt;-",IF(NOT($AS25),"-&gt;",IF(OR($BI25&lt;$AY25,AND($BI25=$AY25,OR($BJ25&gt;$AZ25,AND($BJ25=$AZ25,OR($BH25&gt;$AX25,AND($BH25=$AX25,OR($BE25&gt;$AU25,AND($BE25=$AU25,OR($BF25&gt;$AV25,AND($BF25=$AV25,$BK25&gt;$BA25)))))))))),"-&gt;","&lt;-"))))</f>
        <v/>
      </c>
      <c r="BC25" s="123" t="str">
        <f aca="false">IF(ISBLANK($C25),"",COUNTA($P25:$U25)&gt;0)</f>
        <v/>
      </c>
      <c r="BD25" s="123" t="str">
        <f aca="false">IF(ISBLANK($C25),"",AND($BC25,OR(AND($AL25="",OR($AK25,NOT(ISBLANK($S25)))),$AM25="",$AN25="")))</f>
        <v/>
      </c>
      <c r="BE25" s="125" t="str">
        <f aca="false">IF($BL25&lt;&gt;Constants!$B$4,"",IF(NOT($BC25),"",ROUND((Constants!$B$12-$AB25)+(Constants!$B$13-$Z25)+(Constants!$B$14-$AA25),1)))</f>
        <v/>
      </c>
      <c r="BF25" s="127" t="str">
        <f aca="false">IF($BL25&lt;&gt;Constants!$B$4,"",IF(NOT($BC25),"",IF(NOT($AK25),0,Constants!$B$15*(INT(ROUND(MIN($AL25,$AP$9),6))-INT(ROUND(MAX(0,MIN($AL25,2*$AP$9)-$AP$9),6))))))</f>
        <v/>
      </c>
      <c r="BG25" s="127" t="str">
        <f aca="false">IF($BL25&lt;&gt;Constants!$B$4,"",IF(NOT($BC25),"",Constants!$B$16*$AM25))</f>
        <v/>
      </c>
      <c r="BH25" s="127" t="str">
        <f aca="false">IF($BL25&lt;&gt;Constants!$B$4,"",IF(NOT($BC25),"",Constants!$B$18*INT(ROUND($AN25,6))))</f>
        <v/>
      </c>
      <c r="BI25" s="123" t="str">
        <f aca="false">IF($BL25&lt;&gt;Constants!$B$4,"",IF(NOT($BC25),"",IF(NOT($X25),Constants!$B$11,IF(OR(NOT($AI25),NOT($AJ25),ROUND($AB25,1)&gt;Constants!$B$12,ROUND($Z25,1)&gt;Constants!$B$13,ROUND($AA25,1)&gt;Constants!$B$14),Constants!$B$10,Constants!$B$9))))</f>
        <v/>
      </c>
      <c r="BJ25" s="128" t="str">
        <f aca="false">IF($BL25&lt;&gt;Constants!$B$4,"",IF(NOT($BC25),"",ROUND($BE25+$BF25+$BG25+$BH25,1)))</f>
        <v/>
      </c>
      <c r="BK25" s="129" t="str">
        <f aca="false">IF($BL25&lt;&gt;Constants!$B$4,"",IF(NOT($BC25),"",IF(ISNUMBER($AL25),$AL25,0)))</f>
        <v/>
      </c>
      <c r="BL25" s="124" t="str">
        <f aca="false">IF(ISBLANK($C25),"",IF($AO25,Constants!$B$7,IF(COUNTA($E25:$V25)=0,Constants!$B$6,IF(NOT($Y25),Constants!$B$5,IF(NOT(OR($AS25,$BC25)),Constants!$B$5,IF(OR($AT25,$BD25,$AQ25,$AR25&lt;&gt;""),Constants!$B$8,Constants!$B$4))))))</f>
        <v/>
      </c>
      <c r="BM25" s="124" t="str">
        <f aca="false">IF(ISBLANK($C25),"",IF($BL25&lt;&gt;Constants!$B$4,$BL25,IF($BB25="-&gt;",$BI25,$AY25)))</f>
        <v/>
      </c>
      <c r="BN25" s="127" t="str">
        <f aca="false">IF($BL25&lt;&gt;Constants!$B$4,"",IF($BB25="-&gt;",$BJ25,$AZ25))</f>
        <v/>
      </c>
      <c r="BO25" s="127" t="str">
        <f aca="false">IF(ISBLANK($C25),"",IF($BL25&lt;&gt;Constants!$B$4,$BL25,$BN25))</f>
        <v/>
      </c>
      <c r="BP25" s="124" t="str">
        <f aca="false">IF(ISBLANK($C25),"",IF($BL25&lt;&gt;Constants!$B$4,$BL25,RANK($BO25,$BO$9:$BO$508,0)))</f>
        <v/>
      </c>
      <c r="BQ25" s="124" t="str">
        <f aca="false">IF(ISBLANK($C25),"",IF($BL25&lt;&gt;Constants!$B$4,$BL25,COUNTIFS($BM$9:$BM$508,"&lt;"&amp;$BM25)+COUNTIFS($BM$9:$BM$508,$BM25,$BP$9:$BP$508,"&lt;"&amp;$BP25)+1))</f>
        <v/>
      </c>
      <c r="BR25" s="127" t="str">
        <f aca="false">IF($BL25&lt;&gt;Constants!$B$4,"",IF($BB25="-&gt;",$BH25,$AX25))</f>
        <v/>
      </c>
      <c r="BS25" s="124" t="str">
        <f aca="false">IF(ISBLANK($C25),"",IF($BL25&lt;&gt;Constants!$B$4,$BL25,IF(ISNUMBER($BR25),RANK($BR25,$BR$9:$BR$508,0),COUNT($BR$9:$BR$508)+1)))</f>
        <v/>
      </c>
      <c r="BT25" s="127" t="str">
        <f aca="false">IF($BL25&lt;&gt;Constants!$B$4,"",IF($BB25="-&gt;",$BE25,$AU25))</f>
        <v/>
      </c>
      <c r="BU25" s="124" t="str">
        <f aca="false">IF(ISBLANK($C25),"",IF($BL25&lt;&gt;Constants!$B$4,$BL25,IF(ISNUMBER($BT25),RANK($BT25,$BT$9:$BT$508,0),COUNT($BT$9:$BT$508)+1)))</f>
        <v/>
      </c>
      <c r="BV25" s="127" t="str">
        <f aca="false">IF($BL25&lt;&gt;Constants!$B$4,"",IF($BB25="-&gt;",$BF25,$AV25))</f>
        <v/>
      </c>
      <c r="BW25" s="124" t="str">
        <f aca="false">IF(ISBLANK($C25),"",IF($BL25&lt;&gt;Constants!$B$4,$BL25,IF(ISNUMBER($BV25),RANK($BV25,$BV$9:$BV$508,0),COUNT($BV$9:$BV$508)+1)))</f>
        <v/>
      </c>
      <c r="BX25" s="127" t="str">
        <f aca="false">IF($BL25&lt;&gt;Constants!$B$4,"",IF($BB25="-&gt;",$BK25,$BA25))</f>
        <v/>
      </c>
      <c r="BY25" s="124" t="str">
        <f aca="false">IF(ISBLANK($C25),"",IF($BL25&lt;&gt;Constants!$B$4,$BL25,IF(ISNUMBER($BX25),RANK($BX25,$BX$9:$BX$508,0),COUNT($BX$9:$BX$508)+1)))</f>
        <v/>
      </c>
      <c r="BZ25" s="124" t="str">
        <f aca="false">IF(ISBLANK($C25),"",IF($BL25&lt;&gt;Constants!$B$4,$BL25,COUNTIFS($BM$9:$BM$508,"&lt;"&amp;$BM25)+COUNTIFS($BM$9:$BM$508,$BM25,$BP$9:$BP$508,"&lt;"&amp;$BP25)+COUNTIFS($BM$9:$BM$508,$BM25,$BP$9:$BP$508,$BP25,$BS$9:$BS$508,"&lt;"&amp;$BS25)+COUNTIFS($BM$9:$BM$508,$BM25,$BP$9:$BP$508,$BP25,$BS$9:$BS$508,$BS25,$BU$9:$BU$508,"&lt;"&amp;$BU25)+COUNTIFS($BM$9:$BM$508,$BM25,$BP$9:$BP$508,$BP25,$BS$9:$BS$508,$BS25,$BU$9:$BU$508,$BU25,$BW$9:$BW$508,"&lt;"&amp;$BW25)+COUNTIFS($BM$9:$BM$508,$BM25,$BP$9:$BP$508,$BP25,$BS$9:$BS$508,$BS25,$BU$9:$BU$508,$BU25,$BW$9:$BW$508,$BW25,$BY$9:$BY$508,"&lt;"&amp;$BY25)+1))</f>
        <v/>
      </c>
      <c r="CA25" s="124" t="str">
        <f aca="false">IF(ISBLANK($C25),"",IF($BL25&lt;&gt;Constants!$B$4,$BL25,$BQ25-$BZ25))</f>
        <v/>
      </c>
      <c r="CB25" s="130"/>
      <c r="CC25" s="131" t="str">
        <f aca="false">IF(ISBLANK($C25),"",IF($BL25=Constants!$B$8,$AR25,""))</f>
        <v/>
      </c>
      <c r="CD25" s="131" t="str">
        <f aca="false">IF(ISBLANK($C25),"",IF($BL25&lt;&gt;Constants!$B$4,"",IF($BB25="-&gt;",2,1)))</f>
        <v/>
      </c>
      <c r="CE25" s="132" t="str">
        <f aca="false">IF(ISBLANK($C25),"",IF($BL25&lt;&gt;Constants!$B$4,"",IF($BB25="-&gt;",$BE25,$AU25)))</f>
        <v/>
      </c>
      <c r="CF25" s="132" t="str">
        <f aca="false">IF(ISBLANK($C25),"",IF($BL25&lt;&gt;Constants!$B$4,"",IF($BB25="-&gt;",$BF25,$AV25)))</f>
        <v/>
      </c>
      <c r="CG25" s="132" t="str">
        <f aca="false">IF(ISBLANK($C25),"",IF($BL25&lt;&gt;Constants!$B$4,"",IF($BB25="-&gt;",$BG25,$AW25)))</f>
        <v/>
      </c>
      <c r="CH25" s="132" t="str">
        <f aca="false">IF(ISBLANK($C25),"",IF($BL25&lt;&gt;Constants!$B$4,"",IF($BB25="-&gt;",$BH25,$AX25)))</f>
        <v/>
      </c>
      <c r="CI25" s="133" t="str">
        <f aca="false">IF(ISBLANK($C25),"",$BO25)</f>
        <v/>
      </c>
      <c r="CJ25" s="134" t="str">
        <f aca="false">IF(ISBLANK($C25),"",$BM25)</f>
        <v/>
      </c>
      <c r="CK25" s="135" t="str">
        <f aca="false">IF(ISBLANK($C25),"",$CA25)</f>
        <v/>
      </c>
      <c r="CL25" s="135" t="str">
        <f aca="false">IF(ISBLANK($C25),"",$BZ25)</f>
        <v/>
      </c>
      <c r="CM25" s="136" t="str">
        <f aca="false">IF(ISBLANK($C25),"",IF($CL25=Constants!$B$7,COUNTA($C$9:$C$508)+2,IF($CL25=Constants!$B$6,COUNTA($C$9:$C$508)+1,IF($CL25=Constants!$B$5,COUNTA($C$9:$C$508),$CL25))))</f>
        <v/>
      </c>
      <c r="CN25" s="8"/>
      <c r="CO25" s="137" t="n">
        <f aca="false">IF(OR(ISNUMBER($CL25),$CL25=Constants!$B$7,$CL25=Constants!$B$5,$CL25=Constants!$B$6),1,0)</f>
        <v>0</v>
      </c>
      <c r="CP25" s="137" t="n">
        <v>17</v>
      </c>
      <c r="CQ25" s="137" t="str">
        <f aca="false">IF(ISBLANK($C25),"",IF(ISNUMBER($CM25),$CM25+ROW($B25)/1000,""))</f>
        <v/>
      </c>
      <c r="CR25" s="137" t="str">
        <f aca="false">IF(ISNUMBER($CQ25),RANK($CQ25,$CQ$9:$CQ$508,1),"")</f>
        <v/>
      </c>
      <c r="CS25" s="137" t="str">
        <f aca="false">IF(ISBLANK($C25),"",$B25)</f>
        <v/>
      </c>
      <c r="CT25" s="137" t="str">
        <f aca="false">IF(ISBLANK($C25),"",$C25)</f>
        <v/>
      </c>
      <c r="CU25" s="137" t="str">
        <f aca="false">IF(ISBLANK($C25),"",$D25)</f>
        <v/>
      </c>
      <c r="CV25" s="138" t="str">
        <f aca="false">$CJ25</f>
        <v/>
      </c>
      <c r="CW25" s="139" t="str">
        <f aca="false">$CI25</f>
        <v/>
      </c>
      <c r="CX25" s="137" t="str">
        <f aca="false">IF(ISBLANK($C25),"",$CL25)</f>
        <v/>
      </c>
      <c r="CY25" s="140" t="str">
        <f aca="false">IF($CP25&gt;$CO$8,"",VLOOKUP($CP25,$CR$9:$CX$508,7,FALSE()))</f>
        <v/>
      </c>
      <c r="CZ25" s="141" t="str">
        <f aca="false">IF($CP25&gt;$CO$8,"",VLOOKUP($CP25,$CR$9:$CX$508,2,FALSE()))</f>
        <v/>
      </c>
      <c r="DA25" s="141" t="str">
        <f aca="false">IF($CP25&gt;$CO$8,"",VLOOKUP($CP25,$CR$9:$CX$508,3,FALSE()))</f>
        <v/>
      </c>
      <c r="DB25" s="141" t="str">
        <f aca="false">IF($CP25&gt;$CO$8,"",VLOOKUP($CP25,$CR$9:$CX$508,4,FALSE()))</f>
        <v/>
      </c>
      <c r="DC25" s="141" t="str">
        <f aca="false">IF($CP25&gt;$CO$8,"",VLOOKUP($CP25,$CR$9:$CX$508,5,FALSE()))</f>
        <v/>
      </c>
      <c r="DD25" s="142" t="str">
        <f aca="false">IF($CP25&gt;$CO$8,"",VLOOKUP($CP25,$CR$9:$CX$508,6,FALSE()))</f>
        <v/>
      </c>
      <c r="DE25" s="70"/>
    </row>
    <row r="26" customFormat="false" ht="15.75" hidden="false" customHeight="false" outlineLevel="0" collapsed="false">
      <c r="A26" s="8"/>
      <c r="B26" s="146"/>
      <c r="C26" s="147"/>
      <c r="D26" s="148"/>
      <c r="E26" s="149"/>
      <c r="F26" s="150"/>
      <c r="G26" s="115"/>
      <c r="H26" s="115"/>
      <c r="I26" s="115"/>
      <c r="J26" s="151"/>
      <c r="K26" s="152"/>
      <c r="L26" s="152"/>
      <c r="M26" s="118"/>
      <c r="N26" s="152"/>
      <c r="O26" s="153"/>
      <c r="P26" s="152"/>
      <c r="Q26" s="152"/>
      <c r="R26" s="152"/>
      <c r="S26" s="115"/>
      <c r="T26" s="152"/>
      <c r="U26" s="153"/>
      <c r="V26" s="154"/>
      <c r="W26" s="123"/>
      <c r="X26" s="124" t="str">
        <f aca="false">IF(ISBLANK($C26),"",IF($E26=Constants!$B$2,TRUE(),IF($E26=Constants!$B$3,FALSE(),TRUE())))</f>
        <v/>
      </c>
      <c r="Y26" s="124" t="str">
        <f aca="false">IF(ISBLANK($C26),"",IF($F26=Constants!$B$2,TRUE(),IF($F26=Constants!$B$3,FALSE(),TRUE())))</f>
        <v/>
      </c>
      <c r="Z26" s="125" t="str">
        <f aca="false">IF(ISBLANK($C26),"",IF(ISNUMBER($G26),IF($G26&gt;=0,$G26,""),""))</f>
        <v/>
      </c>
      <c r="AA26" s="125" t="str">
        <f aca="false">IF(ISBLANK($C26),"",IF(ISNUMBER($H26),IF($H26&gt;=0,$H26,""),""))</f>
        <v/>
      </c>
      <c r="AB26" s="125" t="str">
        <f aca="false">IF(ISBLANK($C26),"",IF(ISNUMBER($I26),IF($I26&gt;=0,$I26,""),""))</f>
        <v/>
      </c>
      <c r="AC26" s="124" t="str">
        <f aca="false">IF(ISBLANK($C26),"",IF($J26=Constants!$B$2,TRUE(),IF($J26=Constants!$B$3,FALSE(),TRUE())))</f>
        <v/>
      </c>
      <c r="AD26" s="124" t="str">
        <f aca="false">IF(ISBLANK($C26),"",IF($K26=Constants!$B$2,TRUE(),IF($K26=Constants!$B$3,FALSE(),TRUE())))</f>
        <v/>
      </c>
      <c r="AE26" s="124" t="str">
        <f aca="false">IF(ISBLANK($C26),"",IF($L26=Constants!$B$2,TRUE(),IF($L26=Constants!$B$3,FALSE(),TRUE())))</f>
        <v/>
      </c>
      <c r="AF26" s="126" t="str">
        <f aca="false">IF(ISBLANK($C26),"",IF(ISNUMBER($M26),IF($M26&gt;=0,$M26,""),""))</f>
        <v/>
      </c>
      <c r="AG26" s="124" t="str">
        <f aca="false">IF(ISBLANK($C26),"",IF(ISBLANK($N26),0,IF(ISNUMBER($N26),IF(AND($N26&gt;=0,$N26&lt;=Constants!$B$17,$N26=INT($N26)),$N26,""),"")))</f>
        <v/>
      </c>
      <c r="AH26" s="125" t="str">
        <f aca="false">IF(ISBLANK($C26),"",IF(ISBLANK($O26),0,IF(ISNUMBER($O26),IF($O26&gt;=0,$O26,""),"")))</f>
        <v/>
      </c>
      <c r="AI26" s="124" t="str">
        <f aca="false">IF(ISBLANK($C26),"",IF($P26=Constants!$B$2,TRUE(),IF($P26=Constants!$B$3,FALSE(),TRUE())))</f>
        <v/>
      </c>
      <c r="AJ26" s="124" t="str">
        <f aca="false">IF(ISBLANK($C26),"",IF($Q26=Constants!$B$2,TRUE(),IF($Q26=Constants!$B$3,FALSE(),TRUE())))</f>
        <v/>
      </c>
      <c r="AK26" s="124" t="str">
        <f aca="false">IF(ISBLANK($C26),"",IF($R26=Constants!$B$2,TRUE(),IF($R26=Constants!$B$3,FALSE(),TRUE())))</f>
        <v/>
      </c>
      <c r="AL26" s="126" t="str">
        <f aca="false">IF(ISBLANK($C26),"",IF(ISNUMBER($S26),IF($S26&gt;=0,$S26,""),""))</f>
        <v/>
      </c>
      <c r="AM26" s="124" t="str">
        <f aca="false">IF(ISBLANK($C26),"",IF(ISBLANK($T26),0,IF(ISNUMBER($T26),IF(AND($T26&gt;=0,$T26&lt;=Constants!$B$17,$T26=INT($T26)),$T26,""),"")))</f>
        <v/>
      </c>
      <c r="AN26" s="125" t="str">
        <f aca="false">IF(ISBLANK($C26),"",IF(ISBLANK($U26),0,IF(ISNUMBER($U26),IF($U26&gt;=0,$U26,""),"")))</f>
        <v/>
      </c>
      <c r="AO26" s="124" t="str">
        <f aca="false">IF(ISBLANK($C26),"",IF($V26=Constants!$B$2,TRUE(),IF($V26=Constants!$B$3,FALSE(),FALSE())))</f>
        <v/>
      </c>
      <c r="AP26" s="124"/>
      <c r="AQ26" s="123" t="str">
        <f aca="false">IF(ISBLANK($C26),"",AND($Y26,OR($AS26,$BC26),OR($Z26="",$AA26="",$AB26="")))</f>
        <v/>
      </c>
      <c r="AR26" s="123" t="str">
        <f aca="false">IF(ISBLANK($C26),"",IF(OR(NOT($Y26),NOT(OR($AS26,$BC26))),"",IF(ISBLANK($D$7),$AR$5,IF($AP$9="",$AR$6,""))))</f>
        <v/>
      </c>
      <c r="AS26" s="123" t="str">
        <f aca="false">IF(ISBLANK($C26),"",COUNTA($J26:$O26)&gt;0)</f>
        <v/>
      </c>
      <c r="AT26" s="123" t="str">
        <f aca="false">IF(ISBLANK($C26),"",AND($AS26,OR(AND($AF26="",OR($AE26,NOT(ISBLANK($M26)))),$AG26="",$AH26="")))</f>
        <v/>
      </c>
      <c r="AU26" s="125" t="str">
        <f aca="false">IF($BL26&lt;&gt;Constants!$B$4,"",IF(NOT($AS26),"",ROUND((Constants!$B$12-$AB26)+(Constants!$B$13-$Z26)+(Constants!$B$14-$AA26),1)))</f>
        <v/>
      </c>
      <c r="AV26" s="127" t="str">
        <f aca="false">IF($BL26&lt;&gt;Constants!$B$4,"",IF(NOT($AS26),"",IF(NOT($AE26),0,Constants!$B$15*(INT(ROUND(MIN($AF26,$AP$9),6))-INT(ROUND(MAX(0,MIN($AF26,2*$AP$9)-$AP$9),6))))))</f>
        <v/>
      </c>
      <c r="AW26" s="127" t="str">
        <f aca="false">IF($BL26&lt;&gt;Constants!$B$4,"",IF(NOT($AS26),"",Constants!$B$16*$AG26))</f>
        <v/>
      </c>
      <c r="AX26" s="127" t="str">
        <f aca="false">IF($BL26&lt;&gt;Constants!$B$4,"",IF(NOT($AS26),"",Constants!$B$18*INT(ROUND($AH26,6))))</f>
        <v/>
      </c>
      <c r="AY26" s="123" t="str">
        <f aca="false">IF($BL26&lt;&gt;Constants!$B$4,"",IF(NOT($AS26),"",IF(NOT($X26),Constants!$B$11,IF(OR(NOT($AC26),NOT($AD26),ROUND($AB26,1)&gt;Constants!$B$12,ROUND($Z26,1)&gt;Constants!$B$13,ROUND($AA26,1)&gt;Constants!$B$14),Constants!$B$10,Constants!$B$9))))</f>
        <v/>
      </c>
      <c r="AZ26" s="128" t="str">
        <f aca="false">IF($BL26&lt;&gt;Constants!$B$4,"",IF(NOT($AS26),"",ROUND($AU26+$AV26+$AW26+$AX26,1)))</f>
        <v/>
      </c>
      <c r="BA26" s="129" t="str">
        <f aca="false">IF($BL26&lt;&gt;Constants!$B$4,"",IF(NOT($AS26),"",IF(ISNUMBER($AF26),$AF26,0)))</f>
        <v/>
      </c>
      <c r="BB26" s="124" t="str">
        <f aca="false">IF($BL26&lt;&gt;Constants!$B$4,"",IF(NOT($BC26),"&lt;-",IF(NOT($AS26),"-&gt;",IF(OR($BI26&lt;$AY26,AND($BI26=$AY26,OR($BJ26&gt;$AZ26,AND($BJ26=$AZ26,OR($BH26&gt;$AX26,AND($BH26=$AX26,OR($BE26&gt;$AU26,AND($BE26=$AU26,OR($BF26&gt;$AV26,AND($BF26=$AV26,$BK26&gt;$BA26)))))))))),"-&gt;","&lt;-"))))</f>
        <v/>
      </c>
      <c r="BC26" s="123" t="str">
        <f aca="false">IF(ISBLANK($C26),"",COUNTA($P26:$U26)&gt;0)</f>
        <v/>
      </c>
      <c r="BD26" s="123" t="str">
        <f aca="false">IF(ISBLANK($C26),"",AND($BC26,OR(AND($AL26="",OR($AK26,NOT(ISBLANK($S26)))),$AM26="",$AN26="")))</f>
        <v/>
      </c>
      <c r="BE26" s="125" t="str">
        <f aca="false">IF($BL26&lt;&gt;Constants!$B$4,"",IF(NOT($BC26),"",ROUND((Constants!$B$12-$AB26)+(Constants!$B$13-$Z26)+(Constants!$B$14-$AA26),1)))</f>
        <v/>
      </c>
      <c r="BF26" s="127" t="str">
        <f aca="false">IF($BL26&lt;&gt;Constants!$B$4,"",IF(NOT($BC26),"",IF(NOT($AK26),0,Constants!$B$15*(INT(ROUND(MIN($AL26,$AP$9),6))-INT(ROUND(MAX(0,MIN($AL26,2*$AP$9)-$AP$9),6))))))</f>
        <v/>
      </c>
      <c r="BG26" s="127" t="str">
        <f aca="false">IF($BL26&lt;&gt;Constants!$B$4,"",IF(NOT($BC26),"",Constants!$B$16*$AM26))</f>
        <v/>
      </c>
      <c r="BH26" s="127" t="str">
        <f aca="false">IF($BL26&lt;&gt;Constants!$B$4,"",IF(NOT($BC26),"",Constants!$B$18*INT(ROUND($AN26,6))))</f>
        <v/>
      </c>
      <c r="BI26" s="123" t="str">
        <f aca="false">IF($BL26&lt;&gt;Constants!$B$4,"",IF(NOT($BC26),"",IF(NOT($X26),Constants!$B$11,IF(OR(NOT($AI26),NOT($AJ26),ROUND($AB26,1)&gt;Constants!$B$12,ROUND($Z26,1)&gt;Constants!$B$13,ROUND($AA26,1)&gt;Constants!$B$14),Constants!$B$10,Constants!$B$9))))</f>
        <v/>
      </c>
      <c r="BJ26" s="128" t="str">
        <f aca="false">IF($BL26&lt;&gt;Constants!$B$4,"",IF(NOT($BC26),"",ROUND($BE26+$BF26+$BG26+$BH26,1)))</f>
        <v/>
      </c>
      <c r="BK26" s="129" t="str">
        <f aca="false">IF($BL26&lt;&gt;Constants!$B$4,"",IF(NOT($BC26),"",IF(ISNUMBER($AL26),$AL26,0)))</f>
        <v/>
      </c>
      <c r="BL26" s="124" t="str">
        <f aca="false">IF(ISBLANK($C26),"",IF($AO26,Constants!$B$7,IF(COUNTA($E26:$V26)=0,Constants!$B$6,IF(NOT($Y26),Constants!$B$5,IF(NOT(OR($AS26,$BC26)),Constants!$B$5,IF(OR($AT26,$BD26,$AQ26,$AR26&lt;&gt;""),Constants!$B$8,Constants!$B$4))))))</f>
        <v/>
      </c>
      <c r="BM26" s="124" t="str">
        <f aca="false">IF(ISBLANK($C26),"",IF($BL26&lt;&gt;Constants!$B$4,$BL26,IF($BB26="-&gt;",$BI26,$AY26)))</f>
        <v/>
      </c>
      <c r="BN26" s="127" t="str">
        <f aca="false">IF($BL26&lt;&gt;Constants!$B$4,"",IF($BB26="-&gt;",$BJ26,$AZ26))</f>
        <v/>
      </c>
      <c r="BO26" s="127" t="str">
        <f aca="false">IF(ISBLANK($C26),"",IF($BL26&lt;&gt;Constants!$B$4,$BL26,$BN26))</f>
        <v/>
      </c>
      <c r="BP26" s="124" t="str">
        <f aca="false">IF(ISBLANK($C26),"",IF($BL26&lt;&gt;Constants!$B$4,$BL26,RANK($BO26,$BO$9:$BO$508,0)))</f>
        <v/>
      </c>
      <c r="BQ26" s="124" t="str">
        <f aca="false">IF(ISBLANK($C26),"",IF($BL26&lt;&gt;Constants!$B$4,$BL26,COUNTIFS($BM$9:$BM$508,"&lt;"&amp;$BM26)+COUNTIFS($BM$9:$BM$508,$BM26,$BP$9:$BP$508,"&lt;"&amp;$BP26)+1))</f>
        <v/>
      </c>
      <c r="BR26" s="127" t="str">
        <f aca="false">IF($BL26&lt;&gt;Constants!$B$4,"",IF($BB26="-&gt;",$BH26,$AX26))</f>
        <v/>
      </c>
      <c r="BS26" s="124" t="str">
        <f aca="false">IF(ISBLANK($C26),"",IF($BL26&lt;&gt;Constants!$B$4,$BL26,IF(ISNUMBER($BR26),RANK($BR26,$BR$9:$BR$508,0),COUNT($BR$9:$BR$508)+1)))</f>
        <v/>
      </c>
      <c r="BT26" s="127" t="str">
        <f aca="false">IF($BL26&lt;&gt;Constants!$B$4,"",IF($BB26="-&gt;",$BE26,$AU26))</f>
        <v/>
      </c>
      <c r="BU26" s="124" t="str">
        <f aca="false">IF(ISBLANK($C26),"",IF($BL26&lt;&gt;Constants!$B$4,$BL26,IF(ISNUMBER($BT26),RANK($BT26,$BT$9:$BT$508,0),COUNT($BT$9:$BT$508)+1)))</f>
        <v/>
      </c>
      <c r="BV26" s="127" t="str">
        <f aca="false">IF($BL26&lt;&gt;Constants!$B$4,"",IF($BB26="-&gt;",$BF26,$AV26))</f>
        <v/>
      </c>
      <c r="BW26" s="124" t="str">
        <f aca="false">IF(ISBLANK($C26),"",IF($BL26&lt;&gt;Constants!$B$4,$BL26,IF(ISNUMBER($BV26),RANK($BV26,$BV$9:$BV$508,0),COUNT($BV$9:$BV$508)+1)))</f>
        <v/>
      </c>
      <c r="BX26" s="127" t="str">
        <f aca="false">IF($BL26&lt;&gt;Constants!$B$4,"",IF($BB26="-&gt;",$BK26,$BA26))</f>
        <v/>
      </c>
      <c r="BY26" s="124" t="str">
        <f aca="false">IF(ISBLANK($C26),"",IF($BL26&lt;&gt;Constants!$B$4,$BL26,IF(ISNUMBER($BX26),RANK($BX26,$BX$9:$BX$508,0),COUNT($BX$9:$BX$508)+1)))</f>
        <v/>
      </c>
      <c r="BZ26" s="124" t="str">
        <f aca="false">IF(ISBLANK($C26),"",IF($BL26&lt;&gt;Constants!$B$4,$BL26,COUNTIFS($BM$9:$BM$508,"&lt;"&amp;$BM26)+COUNTIFS($BM$9:$BM$508,$BM26,$BP$9:$BP$508,"&lt;"&amp;$BP26)+COUNTIFS($BM$9:$BM$508,$BM26,$BP$9:$BP$508,$BP26,$BS$9:$BS$508,"&lt;"&amp;$BS26)+COUNTIFS($BM$9:$BM$508,$BM26,$BP$9:$BP$508,$BP26,$BS$9:$BS$508,$BS26,$BU$9:$BU$508,"&lt;"&amp;$BU26)+COUNTIFS($BM$9:$BM$508,$BM26,$BP$9:$BP$508,$BP26,$BS$9:$BS$508,$BS26,$BU$9:$BU$508,$BU26,$BW$9:$BW$508,"&lt;"&amp;$BW26)+COUNTIFS($BM$9:$BM$508,$BM26,$BP$9:$BP$508,$BP26,$BS$9:$BS$508,$BS26,$BU$9:$BU$508,$BU26,$BW$9:$BW$508,$BW26,$BY$9:$BY$508,"&lt;"&amp;$BY26)+1))</f>
        <v/>
      </c>
      <c r="CA26" s="124" t="str">
        <f aca="false">IF(ISBLANK($C26),"",IF($BL26&lt;&gt;Constants!$B$4,$BL26,$BQ26-$BZ26))</f>
        <v/>
      </c>
      <c r="CB26" s="130"/>
      <c r="CC26" s="131" t="str">
        <f aca="false">IF(ISBLANK($C26),"",IF($BL26=Constants!$B$8,$AR26,""))</f>
        <v/>
      </c>
      <c r="CD26" s="131" t="str">
        <f aca="false">IF(ISBLANK($C26),"",IF($BL26&lt;&gt;Constants!$B$4,"",IF($BB26="-&gt;",2,1)))</f>
        <v/>
      </c>
      <c r="CE26" s="132" t="str">
        <f aca="false">IF(ISBLANK($C26),"",IF($BL26&lt;&gt;Constants!$B$4,"",IF($BB26="-&gt;",$BE26,$AU26)))</f>
        <v/>
      </c>
      <c r="CF26" s="132" t="str">
        <f aca="false">IF(ISBLANK($C26),"",IF($BL26&lt;&gt;Constants!$B$4,"",IF($BB26="-&gt;",$BF26,$AV26)))</f>
        <v/>
      </c>
      <c r="CG26" s="132" t="str">
        <f aca="false">IF(ISBLANK($C26),"",IF($BL26&lt;&gt;Constants!$B$4,"",IF($BB26="-&gt;",$BG26,$AW26)))</f>
        <v/>
      </c>
      <c r="CH26" s="132" t="str">
        <f aca="false">IF(ISBLANK($C26),"",IF($BL26&lt;&gt;Constants!$B$4,"",IF($BB26="-&gt;",$BH26,$AX26)))</f>
        <v/>
      </c>
      <c r="CI26" s="133" t="str">
        <f aca="false">IF(ISBLANK($C26),"",$BO26)</f>
        <v/>
      </c>
      <c r="CJ26" s="134" t="str">
        <f aca="false">IF(ISBLANK($C26),"",$BM26)</f>
        <v/>
      </c>
      <c r="CK26" s="135" t="str">
        <f aca="false">IF(ISBLANK($C26),"",$CA26)</f>
        <v/>
      </c>
      <c r="CL26" s="135" t="str">
        <f aca="false">IF(ISBLANK($C26),"",$BZ26)</f>
        <v/>
      </c>
      <c r="CM26" s="136" t="str">
        <f aca="false">IF(ISBLANK($C26),"",IF($CL26=Constants!$B$7,COUNTA($C$9:$C$508)+2,IF($CL26=Constants!$B$6,COUNTA($C$9:$C$508)+1,IF($CL26=Constants!$B$5,COUNTA($C$9:$C$508),$CL26))))</f>
        <v/>
      </c>
      <c r="CN26" s="8"/>
      <c r="CO26" s="137" t="n">
        <f aca="false">IF(OR(ISNUMBER($CL26),$CL26=Constants!$B$7,$CL26=Constants!$B$5,$CL26=Constants!$B$6),1,0)</f>
        <v>0</v>
      </c>
      <c r="CP26" s="137" t="n">
        <v>18</v>
      </c>
      <c r="CQ26" s="137" t="str">
        <f aca="false">IF(ISBLANK($C26),"",IF(ISNUMBER($CM26),$CM26+ROW($B26)/1000,""))</f>
        <v/>
      </c>
      <c r="CR26" s="137" t="str">
        <f aca="false">IF(ISNUMBER($CQ26),RANK($CQ26,$CQ$9:$CQ$508,1),"")</f>
        <v/>
      </c>
      <c r="CS26" s="137" t="str">
        <f aca="false">IF(ISBLANK($C26),"",$B26)</f>
        <v/>
      </c>
      <c r="CT26" s="137" t="str">
        <f aca="false">IF(ISBLANK($C26),"",$C26)</f>
        <v/>
      </c>
      <c r="CU26" s="137" t="str">
        <f aca="false">IF(ISBLANK($C26),"",$D26)</f>
        <v/>
      </c>
      <c r="CV26" s="138" t="str">
        <f aca="false">$CJ26</f>
        <v/>
      </c>
      <c r="CW26" s="139" t="str">
        <f aca="false">$CI26</f>
        <v/>
      </c>
      <c r="CX26" s="137" t="str">
        <f aca="false">IF(ISBLANK($C26),"",$CL26)</f>
        <v/>
      </c>
      <c r="CY26" s="140" t="str">
        <f aca="false">IF($CP26&gt;$CO$8,"",VLOOKUP($CP26,$CR$9:$CX$508,7,FALSE()))</f>
        <v/>
      </c>
      <c r="CZ26" s="141" t="str">
        <f aca="false">IF($CP26&gt;$CO$8,"",VLOOKUP($CP26,$CR$9:$CX$508,2,FALSE()))</f>
        <v/>
      </c>
      <c r="DA26" s="141" t="str">
        <f aca="false">IF($CP26&gt;$CO$8,"",VLOOKUP($CP26,$CR$9:$CX$508,3,FALSE()))</f>
        <v/>
      </c>
      <c r="DB26" s="141" t="str">
        <f aca="false">IF($CP26&gt;$CO$8,"",VLOOKUP($CP26,$CR$9:$CX$508,4,FALSE()))</f>
        <v/>
      </c>
      <c r="DC26" s="141" t="str">
        <f aca="false">IF($CP26&gt;$CO$8,"",VLOOKUP($CP26,$CR$9:$CX$508,5,FALSE()))</f>
        <v/>
      </c>
      <c r="DD26" s="142" t="str">
        <f aca="false">IF($CP26&gt;$CO$8,"",VLOOKUP($CP26,$CR$9:$CX$508,6,FALSE()))</f>
        <v/>
      </c>
      <c r="DE26" s="70"/>
    </row>
    <row r="27" customFormat="false" ht="15.75" hidden="false" customHeight="false" outlineLevel="0" collapsed="false">
      <c r="A27" s="8"/>
      <c r="B27" s="72"/>
      <c r="C27" s="73"/>
      <c r="D27" s="155"/>
      <c r="E27" s="156"/>
      <c r="F27" s="157"/>
      <c r="G27" s="77"/>
      <c r="H27" s="77"/>
      <c r="I27" s="77"/>
      <c r="J27" s="158"/>
      <c r="K27" s="159"/>
      <c r="L27" s="159"/>
      <c r="M27" s="80"/>
      <c r="N27" s="159"/>
      <c r="O27" s="160"/>
      <c r="P27" s="159"/>
      <c r="Q27" s="159"/>
      <c r="R27" s="159"/>
      <c r="S27" s="77"/>
      <c r="T27" s="159"/>
      <c r="U27" s="160"/>
      <c r="V27" s="161"/>
      <c r="W27" s="85"/>
      <c r="X27" s="86" t="str">
        <f aca="false">IF(ISBLANK($C27),"",IF($E27=Constants!$B$2,TRUE(),IF($E27=Constants!$B$3,FALSE(),TRUE())))</f>
        <v/>
      </c>
      <c r="Y27" s="86" t="str">
        <f aca="false">IF(ISBLANK($C27),"",IF($F27=Constants!$B$2,TRUE(),IF($F27=Constants!$B$3,FALSE(),TRUE())))</f>
        <v/>
      </c>
      <c r="Z27" s="87" t="str">
        <f aca="false">IF(ISBLANK($C27),"",IF(ISNUMBER($G27),IF($G27&gt;=0,$G27,""),""))</f>
        <v/>
      </c>
      <c r="AA27" s="87" t="str">
        <f aca="false">IF(ISBLANK($C27),"",IF(ISNUMBER($H27),IF($H27&gt;=0,$H27,""),""))</f>
        <v/>
      </c>
      <c r="AB27" s="87" t="str">
        <f aca="false">IF(ISBLANK($C27),"",IF(ISNUMBER($I27),IF($I27&gt;=0,$I27,""),""))</f>
        <v/>
      </c>
      <c r="AC27" s="86" t="str">
        <f aca="false">IF(ISBLANK($C27),"",IF($J27=Constants!$B$2,TRUE(),IF($J27=Constants!$B$3,FALSE(),TRUE())))</f>
        <v/>
      </c>
      <c r="AD27" s="86" t="str">
        <f aca="false">IF(ISBLANK($C27),"",IF($K27=Constants!$B$2,TRUE(),IF($K27=Constants!$B$3,FALSE(),TRUE())))</f>
        <v/>
      </c>
      <c r="AE27" s="86" t="str">
        <f aca="false">IF(ISBLANK($C27),"",IF($L27=Constants!$B$2,TRUE(),IF($L27=Constants!$B$3,FALSE(),TRUE())))</f>
        <v/>
      </c>
      <c r="AF27" s="88" t="str">
        <f aca="false">IF(ISBLANK($C27),"",IF(ISNUMBER($M27),IF($M27&gt;=0,$M27,""),""))</f>
        <v/>
      </c>
      <c r="AG27" s="86" t="str">
        <f aca="false">IF(ISBLANK($C27),"",IF(ISBLANK($N27),0,IF(ISNUMBER($N27),IF(AND($N27&gt;=0,$N27&lt;=Constants!$B$17,$N27=INT($N27)),$N27,""),"")))</f>
        <v/>
      </c>
      <c r="AH27" s="87" t="str">
        <f aca="false">IF(ISBLANK($C27),"",IF(ISBLANK($O27),0,IF(ISNUMBER($O27),IF($O27&gt;=0,$O27,""),"")))</f>
        <v/>
      </c>
      <c r="AI27" s="86" t="str">
        <f aca="false">IF(ISBLANK($C27),"",IF($P27=Constants!$B$2,TRUE(),IF($P27=Constants!$B$3,FALSE(),TRUE())))</f>
        <v/>
      </c>
      <c r="AJ27" s="86" t="str">
        <f aca="false">IF(ISBLANK($C27),"",IF($Q27=Constants!$B$2,TRUE(),IF($Q27=Constants!$B$3,FALSE(),TRUE())))</f>
        <v/>
      </c>
      <c r="AK27" s="86" t="str">
        <f aca="false">IF(ISBLANK($C27),"",IF($R27=Constants!$B$2,TRUE(),IF($R27=Constants!$B$3,FALSE(),TRUE())))</f>
        <v/>
      </c>
      <c r="AL27" s="88" t="str">
        <f aca="false">IF(ISBLANK($C27),"",IF(ISNUMBER($S27),IF($S27&gt;=0,$S27,""),""))</f>
        <v/>
      </c>
      <c r="AM27" s="86" t="str">
        <f aca="false">IF(ISBLANK($C27),"",IF(ISBLANK($T27),0,IF(ISNUMBER($T27),IF(AND($T27&gt;=0,$T27&lt;=Constants!$B$17,$T27=INT($T27)),$T27,""),"")))</f>
        <v/>
      </c>
      <c r="AN27" s="87" t="str">
        <f aca="false">IF(ISBLANK($C27),"",IF(ISBLANK($U27),0,IF(ISNUMBER($U27),IF($U27&gt;=0,$U27,""),"")))</f>
        <v/>
      </c>
      <c r="AO27" s="86" t="str">
        <f aca="false">IF(ISBLANK($C27),"",IF($V27=Constants!$B$2,TRUE(),IF($V27=Constants!$B$3,FALSE(),FALSE())))</f>
        <v/>
      </c>
      <c r="AP27" s="86"/>
      <c r="AQ27" s="85" t="str">
        <f aca="false">IF(ISBLANK($C27),"",AND($Y27,OR($AS27,$BC27),OR($Z27="",$AA27="",$AB27="")))</f>
        <v/>
      </c>
      <c r="AR27" s="85" t="str">
        <f aca="false">IF(ISBLANK($C27),"",IF(OR(NOT($Y27),NOT(OR($AS27,$BC27))),"",IF(ISBLANK($D$7),$AR$5,IF($AP$9="",$AR$6,""))))</f>
        <v/>
      </c>
      <c r="AS27" s="85" t="str">
        <f aca="false">IF(ISBLANK($C27),"",COUNTA($J27:$O27)&gt;0)</f>
        <v/>
      </c>
      <c r="AT27" s="85" t="str">
        <f aca="false">IF(ISBLANK($C27),"",AND($AS27,OR(AND($AF27="",OR($AE27,NOT(ISBLANK($M27)))),$AG27="",$AH27="")))</f>
        <v/>
      </c>
      <c r="AU27" s="87" t="str">
        <f aca="false">IF($BL27&lt;&gt;Constants!$B$4,"",IF(NOT($AS27),"",ROUND((Constants!$B$12-$AB27)+(Constants!$B$13-$Z27)+(Constants!$B$14-$AA27),1)))</f>
        <v/>
      </c>
      <c r="AV27" s="90" t="str">
        <f aca="false">IF($BL27&lt;&gt;Constants!$B$4,"",IF(NOT($AS27),"",IF(NOT($AE27),0,Constants!$B$15*(INT(ROUND(MIN($AF27,$AP$9),6))-INT(ROUND(MAX(0,MIN($AF27,2*$AP$9)-$AP$9),6))))))</f>
        <v/>
      </c>
      <c r="AW27" s="90" t="str">
        <f aca="false">IF($BL27&lt;&gt;Constants!$B$4,"",IF(NOT($AS27),"",Constants!$B$16*$AG27))</f>
        <v/>
      </c>
      <c r="AX27" s="90" t="str">
        <f aca="false">IF($BL27&lt;&gt;Constants!$B$4,"",IF(NOT($AS27),"",Constants!$B$18*INT(ROUND($AH27,6))))</f>
        <v/>
      </c>
      <c r="AY27" s="85" t="str">
        <f aca="false">IF($BL27&lt;&gt;Constants!$B$4,"",IF(NOT($AS27),"",IF(NOT($X27),Constants!$B$11,IF(OR(NOT($AC27),NOT($AD27),ROUND($AB27,1)&gt;Constants!$B$12,ROUND($Z27,1)&gt;Constants!$B$13,ROUND($AA27,1)&gt;Constants!$B$14),Constants!$B$10,Constants!$B$9))))</f>
        <v/>
      </c>
      <c r="AZ27" s="91" t="str">
        <f aca="false">IF($BL27&lt;&gt;Constants!$B$4,"",IF(NOT($AS27),"",ROUND($AU27+$AV27+$AW27+$AX27,1)))</f>
        <v/>
      </c>
      <c r="BA27" s="92" t="str">
        <f aca="false">IF($BL27&lt;&gt;Constants!$B$4,"",IF(NOT($AS27),"",IF(ISNUMBER($AF27),$AF27,0)))</f>
        <v/>
      </c>
      <c r="BB27" s="86" t="str">
        <f aca="false">IF($BL27&lt;&gt;Constants!$B$4,"",IF(NOT($BC27),"&lt;-",IF(NOT($AS27),"-&gt;",IF(OR($BI27&lt;$AY27,AND($BI27=$AY27,OR($BJ27&gt;$AZ27,AND($BJ27=$AZ27,OR($BH27&gt;$AX27,AND($BH27=$AX27,OR($BE27&gt;$AU27,AND($BE27=$AU27,OR($BF27&gt;$AV27,AND($BF27=$AV27,$BK27&gt;$BA27)))))))))),"-&gt;","&lt;-"))))</f>
        <v/>
      </c>
      <c r="BC27" s="85" t="str">
        <f aca="false">IF(ISBLANK($C27),"",COUNTA($P27:$U27)&gt;0)</f>
        <v/>
      </c>
      <c r="BD27" s="85" t="str">
        <f aca="false">IF(ISBLANK($C27),"",AND($BC27,OR(AND($AL27="",OR($AK27,NOT(ISBLANK($S27)))),$AM27="",$AN27="")))</f>
        <v/>
      </c>
      <c r="BE27" s="87" t="str">
        <f aca="false">IF($BL27&lt;&gt;Constants!$B$4,"",IF(NOT($BC27),"",ROUND((Constants!$B$12-$AB27)+(Constants!$B$13-$Z27)+(Constants!$B$14-$AA27),1)))</f>
        <v/>
      </c>
      <c r="BF27" s="90" t="str">
        <f aca="false">IF($BL27&lt;&gt;Constants!$B$4,"",IF(NOT($BC27),"",IF(NOT($AK27),0,Constants!$B$15*(INT(ROUND(MIN($AL27,$AP$9),6))-INT(ROUND(MAX(0,MIN($AL27,2*$AP$9)-$AP$9),6))))))</f>
        <v/>
      </c>
      <c r="BG27" s="90" t="str">
        <f aca="false">IF($BL27&lt;&gt;Constants!$B$4,"",IF(NOT($BC27),"",Constants!$B$16*$AM27))</f>
        <v/>
      </c>
      <c r="BH27" s="90" t="str">
        <f aca="false">IF($BL27&lt;&gt;Constants!$B$4,"",IF(NOT($BC27),"",Constants!$B$18*INT(ROUND($AN27,6))))</f>
        <v/>
      </c>
      <c r="BI27" s="85" t="str">
        <f aca="false">IF($BL27&lt;&gt;Constants!$B$4,"",IF(NOT($BC27),"",IF(NOT($X27),Constants!$B$11,IF(OR(NOT($AI27),NOT($AJ27),ROUND($AB27,1)&gt;Constants!$B$12,ROUND($Z27,1)&gt;Constants!$B$13,ROUND($AA27,1)&gt;Constants!$B$14),Constants!$B$10,Constants!$B$9))))</f>
        <v/>
      </c>
      <c r="BJ27" s="91" t="str">
        <f aca="false">IF($BL27&lt;&gt;Constants!$B$4,"",IF(NOT($BC27),"",ROUND($BE27+$BF27+$BG27+$BH27,1)))</f>
        <v/>
      </c>
      <c r="BK27" s="92" t="str">
        <f aca="false">IF($BL27&lt;&gt;Constants!$B$4,"",IF(NOT($BC27),"",IF(ISNUMBER($AL27),$AL27,0)))</f>
        <v/>
      </c>
      <c r="BL27" s="86" t="str">
        <f aca="false">IF(ISBLANK($C27),"",IF($AO27,Constants!$B$7,IF(COUNTA($E27:$V27)=0,Constants!$B$6,IF(NOT($Y27),Constants!$B$5,IF(NOT(OR($AS27,$BC27)),Constants!$B$5,IF(OR($AT27,$BD27,$AQ27,$AR27&lt;&gt;""),Constants!$B$8,Constants!$B$4))))))</f>
        <v/>
      </c>
      <c r="BM27" s="86" t="str">
        <f aca="false">IF(ISBLANK($C27),"",IF($BL27&lt;&gt;Constants!$B$4,$BL27,IF($BB27="-&gt;",$BI27,$AY27)))</f>
        <v/>
      </c>
      <c r="BN27" s="90" t="str">
        <f aca="false">IF($BL27&lt;&gt;Constants!$B$4,"",IF($BB27="-&gt;",$BJ27,$AZ27))</f>
        <v/>
      </c>
      <c r="BO27" s="90" t="str">
        <f aca="false">IF(ISBLANK($C27),"",IF($BL27&lt;&gt;Constants!$B$4,$BL27,$BN27))</f>
        <v/>
      </c>
      <c r="BP27" s="86" t="str">
        <f aca="false">IF(ISBLANK($C27),"",IF($BL27&lt;&gt;Constants!$B$4,$BL27,RANK($BO27,$BO$9:$BO$508,0)))</f>
        <v/>
      </c>
      <c r="BQ27" s="86" t="str">
        <f aca="false">IF(ISBLANK($C27),"",IF($BL27&lt;&gt;Constants!$B$4,$BL27,COUNTIFS($BM$9:$BM$508,"&lt;"&amp;$BM27)+COUNTIFS($BM$9:$BM$508,$BM27,$BP$9:$BP$508,"&lt;"&amp;$BP27)+1))</f>
        <v/>
      </c>
      <c r="BR27" s="90" t="str">
        <f aca="false">IF($BL27&lt;&gt;Constants!$B$4,"",IF($BB27="-&gt;",$BH27,$AX27))</f>
        <v/>
      </c>
      <c r="BS27" s="86" t="str">
        <f aca="false">IF(ISBLANK($C27),"",IF($BL27&lt;&gt;Constants!$B$4,$BL27,IF(ISNUMBER($BR27),RANK($BR27,$BR$9:$BR$508,0),COUNT($BR$9:$BR$508)+1)))</f>
        <v/>
      </c>
      <c r="BT27" s="90" t="str">
        <f aca="false">IF($BL27&lt;&gt;Constants!$B$4,"",IF($BB27="-&gt;",$BE27,$AU27))</f>
        <v/>
      </c>
      <c r="BU27" s="86" t="str">
        <f aca="false">IF(ISBLANK($C27),"",IF($BL27&lt;&gt;Constants!$B$4,$BL27,IF(ISNUMBER($BT27),RANK($BT27,$BT$9:$BT$508,0),COUNT($BT$9:$BT$508)+1)))</f>
        <v/>
      </c>
      <c r="BV27" s="90" t="str">
        <f aca="false">IF($BL27&lt;&gt;Constants!$B$4,"",IF($BB27="-&gt;",$BF27,$AV27))</f>
        <v/>
      </c>
      <c r="BW27" s="86" t="str">
        <f aca="false">IF(ISBLANK($C27),"",IF($BL27&lt;&gt;Constants!$B$4,$BL27,IF(ISNUMBER($BV27),RANK($BV27,$BV$9:$BV$508,0),COUNT($BV$9:$BV$508)+1)))</f>
        <v/>
      </c>
      <c r="BX27" s="90" t="str">
        <f aca="false">IF($BL27&lt;&gt;Constants!$B$4,"",IF($BB27="-&gt;",$BK27,$BA27))</f>
        <v/>
      </c>
      <c r="BY27" s="86" t="str">
        <f aca="false">IF(ISBLANK($C27),"",IF($BL27&lt;&gt;Constants!$B$4,$BL27,IF(ISNUMBER($BX27),RANK($BX27,$BX$9:$BX$508,0),COUNT($BX$9:$BX$508)+1)))</f>
        <v/>
      </c>
      <c r="BZ27" s="86" t="str">
        <f aca="false">IF(ISBLANK($C27),"",IF($BL27&lt;&gt;Constants!$B$4,$BL27,COUNTIFS($BM$9:$BM$508,"&lt;"&amp;$BM27)+COUNTIFS($BM$9:$BM$508,$BM27,$BP$9:$BP$508,"&lt;"&amp;$BP27)+COUNTIFS($BM$9:$BM$508,$BM27,$BP$9:$BP$508,$BP27,$BS$9:$BS$508,"&lt;"&amp;$BS27)+COUNTIFS($BM$9:$BM$508,$BM27,$BP$9:$BP$508,$BP27,$BS$9:$BS$508,$BS27,$BU$9:$BU$508,"&lt;"&amp;$BU27)+COUNTIFS($BM$9:$BM$508,$BM27,$BP$9:$BP$508,$BP27,$BS$9:$BS$508,$BS27,$BU$9:$BU$508,$BU27,$BW$9:$BW$508,"&lt;"&amp;$BW27)+COUNTIFS($BM$9:$BM$508,$BM27,$BP$9:$BP$508,$BP27,$BS$9:$BS$508,$BS27,$BU$9:$BU$508,$BU27,$BW$9:$BW$508,$BW27,$BY$9:$BY$508,"&lt;"&amp;$BY27)+1))</f>
        <v/>
      </c>
      <c r="CA27" s="86" t="str">
        <f aca="false">IF(ISBLANK($C27),"",IF($BL27&lt;&gt;Constants!$B$4,$BL27,$BQ27-$BZ27))</f>
        <v/>
      </c>
      <c r="CB27" s="93"/>
      <c r="CC27" s="94" t="str">
        <f aca="false">IF(ISBLANK($C27),"",IF($BL27=Constants!$B$8,$AR27,""))</f>
        <v/>
      </c>
      <c r="CD27" s="94" t="str">
        <f aca="false">IF(ISBLANK($C27),"",IF($BL27&lt;&gt;Constants!$B$4,"",IF($BB27="-&gt;",2,1)))</f>
        <v/>
      </c>
      <c r="CE27" s="95" t="str">
        <f aca="false">IF(ISBLANK($C27),"",IF($BL27&lt;&gt;Constants!$B$4,"",IF($BB27="-&gt;",$BE27,$AU27)))</f>
        <v/>
      </c>
      <c r="CF27" s="95" t="str">
        <f aca="false">IF(ISBLANK($C27),"",IF($BL27&lt;&gt;Constants!$B$4,"",IF($BB27="-&gt;",$BF27,$AV27)))</f>
        <v/>
      </c>
      <c r="CG27" s="95" t="str">
        <f aca="false">IF(ISBLANK($C27),"",IF($BL27&lt;&gt;Constants!$B$4,"",IF($BB27="-&gt;",$BG27,$AW27)))</f>
        <v/>
      </c>
      <c r="CH27" s="95" t="str">
        <f aca="false">IF(ISBLANK($C27),"",IF($BL27&lt;&gt;Constants!$B$4,"",IF($BB27="-&gt;",$BH27,$AX27)))</f>
        <v/>
      </c>
      <c r="CI27" s="96" t="str">
        <f aca="false">IF(ISBLANK($C27),"",$BO27)</f>
        <v/>
      </c>
      <c r="CJ27" s="97" t="str">
        <f aca="false">IF(ISBLANK($C27),"",$BM27)</f>
        <v/>
      </c>
      <c r="CK27" s="98" t="str">
        <f aca="false">IF(ISBLANK($C27),"",$CA27)</f>
        <v/>
      </c>
      <c r="CL27" s="98" t="str">
        <f aca="false">IF(ISBLANK($C27),"",$BZ27)</f>
        <v/>
      </c>
      <c r="CM27" s="99" t="str">
        <f aca="false">IF(ISBLANK($C27),"",IF($CL27=Constants!$B$7,COUNTA($C$9:$C$508)+2,IF($CL27=Constants!$B$6,COUNTA($C$9:$C$508)+1,IF($CL27=Constants!$B$5,COUNTA($C$9:$C$508),$CL27))))</f>
        <v/>
      </c>
      <c r="CN27" s="8"/>
      <c r="CO27" s="100" t="n">
        <f aca="false">IF(OR(ISNUMBER($CL27),$CL27=Constants!$B$7,$CL27=Constants!$B$5,$CL27=Constants!$B$6),1,0)</f>
        <v>0</v>
      </c>
      <c r="CP27" s="100" t="n">
        <v>19</v>
      </c>
      <c r="CQ27" s="100" t="str">
        <f aca="false">IF(ISBLANK($C27),"",IF(ISNUMBER($CM27),$CM27+ROW($B27)/1000,""))</f>
        <v/>
      </c>
      <c r="CR27" s="100" t="str">
        <f aca="false">IF(ISNUMBER($CQ27),RANK($CQ27,$CQ$9:$CQ$508,1),"")</f>
        <v/>
      </c>
      <c r="CS27" s="100" t="str">
        <f aca="false">IF(ISBLANK($C27),"",$B27)</f>
        <v/>
      </c>
      <c r="CT27" s="100" t="str">
        <f aca="false">IF(ISBLANK($C27),"",$C27)</f>
        <v/>
      </c>
      <c r="CU27" s="100" t="str">
        <f aca="false">IF(ISBLANK($C27),"",$D27)</f>
        <v/>
      </c>
      <c r="CV27" s="101" t="str">
        <f aca="false">$CJ27</f>
        <v/>
      </c>
      <c r="CW27" s="102" t="str">
        <f aca="false">$CI27</f>
        <v/>
      </c>
      <c r="CX27" s="100" t="str">
        <f aca="false">IF(ISBLANK($C27),"",$CL27)</f>
        <v/>
      </c>
      <c r="CY27" s="103" t="str">
        <f aca="false">IF($CP27&gt;$CO$8,"",VLOOKUP($CP27,$CR$9:$CX$508,7,FALSE()))</f>
        <v/>
      </c>
      <c r="CZ27" s="104" t="str">
        <f aca="false">IF($CP27&gt;$CO$8,"",VLOOKUP($CP27,$CR$9:$CX$508,2,FALSE()))</f>
        <v/>
      </c>
      <c r="DA27" s="104" t="str">
        <f aca="false">IF($CP27&gt;$CO$8,"",VLOOKUP($CP27,$CR$9:$CX$508,3,FALSE()))</f>
        <v/>
      </c>
      <c r="DB27" s="104" t="str">
        <f aca="false">IF($CP27&gt;$CO$8,"",VLOOKUP($CP27,$CR$9:$CX$508,4,FALSE()))</f>
        <v/>
      </c>
      <c r="DC27" s="104" t="str">
        <f aca="false">IF($CP27&gt;$CO$8,"",VLOOKUP($CP27,$CR$9:$CX$508,5,FALSE()))</f>
        <v/>
      </c>
      <c r="DD27" s="105" t="str">
        <f aca="false">IF($CP27&gt;$CO$8,"",VLOOKUP($CP27,$CR$9:$CX$508,6,FALSE()))</f>
        <v/>
      </c>
      <c r="DE27" s="70"/>
    </row>
    <row r="28" customFormat="false" ht="15.75" hidden="false" customHeight="false" outlineLevel="0" collapsed="false">
      <c r="A28" s="8"/>
      <c r="B28" s="72"/>
      <c r="C28" s="73"/>
      <c r="D28" s="155"/>
      <c r="E28" s="156"/>
      <c r="F28" s="157"/>
      <c r="G28" s="77"/>
      <c r="H28" s="77"/>
      <c r="I28" s="77"/>
      <c r="J28" s="158"/>
      <c r="K28" s="159"/>
      <c r="L28" s="159"/>
      <c r="M28" s="80"/>
      <c r="N28" s="159"/>
      <c r="O28" s="160"/>
      <c r="P28" s="159"/>
      <c r="Q28" s="159"/>
      <c r="R28" s="159"/>
      <c r="S28" s="77"/>
      <c r="T28" s="159"/>
      <c r="U28" s="160"/>
      <c r="V28" s="161"/>
      <c r="W28" s="85"/>
      <c r="X28" s="86" t="str">
        <f aca="false">IF(ISBLANK($C28),"",IF($E28=Constants!$B$2,TRUE(),IF($E28=Constants!$B$3,FALSE(),TRUE())))</f>
        <v/>
      </c>
      <c r="Y28" s="86" t="str">
        <f aca="false">IF(ISBLANK($C28),"",IF($F28=Constants!$B$2,TRUE(),IF($F28=Constants!$B$3,FALSE(),TRUE())))</f>
        <v/>
      </c>
      <c r="Z28" s="87" t="str">
        <f aca="false">IF(ISBLANK($C28),"",IF(ISNUMBER($G28),IF($G28&gt;=0,$G28,""),""))</f>
        <v/>
      </c>
      <c r="AA28" s="87" t="str">
        <f aca="false">IF(ISBLANK($C28),"",IF(ISNUMBER($H28),IF($H28&gt;=0,$H28,""),""))</f>
        <v/>
      </c>
      <c r="AB28" s="87" t="str">
        <f aca="false">IF(ISBLANK($C28),"",IF(ISNUMBER($I28),IF($I28&gt;=0,$I28,""),""))</f>
        <v/>
      </c>
      <c r="AC28" s="86" t="str">
        <f aca="false">IF(ISBLANK($C28),"",IF($J28=Constants!$B$2,TRUE(),IF($J28=Constants!$B$3,FALSE(),TRUE())))</f>
        <v/>
      </c>
      <c r="AD28" s="86" t="str">
        <f aca="false">IF(ISBLANK($C28),"",IF($K28=Constants!$B$2,TRUE(),IF($K28=Constants!$B$3,FALSE(),TRUE())))</f>
        <v/>
      </c>
      <c r="AE28" s="86" t="str">
        <f aca="false">IF(ISBLANK($C28),"",IF($L28=Constants!$B$2,TRUE(),IF($L28=Constants!$B$3,FALSE(),TRUE())))</f>
        <v/>
      </c>
      <c r="AF28" s="88" t="str">
        <f aca="false">IF(ISBLANK($C28),"",IF(ISNUMBER($M28),IF($M28&gt;=0,$M28,""),""))</f>
        <v/>
      </c>
      <c r="AG28" s="86" t="str">
        <f aca="false">IF(ISBLANK($C28),"",IF(ISBLANK($N28),0,IF(ISNUMBER($N28),IF(AND($N28&gt;=0,$N28&lt;=Constants!$B$17,$N28=INT($N28)),$N28,""),"")))</f>
        <v/>
      </c>
      <c r="AH28" s="87" t="str">
        <f aca="false">IF(ISBLANK($C28),"",IF(ISBLANK($O28),0,IF(ISNUMBER($O28),IF($O28&gt;=0,$O28,""),"")))</f>
        <v/>
      </c>
      <c r="AI28" s="86" t="str">
        <f aca="false">IF(ISBLANK($C28),"",IF($P28=Constants!$B$2,TRUE(),IF($P28=Constants!$B$3,FALSE(),TRUE())))</f>
        <v/>
      </c>
      <c r="AJ28" s="86" t="str">
        <f aca="false">IF(ISBLANK($C28),"",IF($Q28=Constants!$B$2,TRUE(),IF($Q28=Constants!$B$3,FALSE(),TRUE())))</f>
        <v/>
      </c>
      <c r="AK28" s="86" t="str">
        <f aca="false">IF(ISBLANK($C28),"",IF($R28=Constants!$B$2,TRUE(),IF($R28=Constants!$B$3,FALSE(),TRUE())))</f>
        <v/>
      </c>
      <c r="AL28" s="88" t="str">
        <f aca="false">IF(ISBLANK($C28),"",IF(ISNUMBER($S28),IF($S28&gt;=0,$S28,""),""))</f>
        <v/>
      </c>
      <c r="AM28" s="86" t="str">
        <f aca="false">IF(ISBLANK($C28),"",IF(ISBLANK($T28),0,IF(ISNUMBER($T28),IF(AND($T28&gt;=0,$T28&lt;=Constants!$B$17,$T28=INT($T28)),$T28,""),"")))</f>
        <v/>
      </c>
      <c r="AN28" s="87" t="str">
        <f aca="false">IF(ISBLANK($C28),"",IF(ISBLANK($U28),0,IF(ISNUMBER($U28),IF($U28&gt;=0,$U28,""),"")))</f>
        <v/>
      </c>
      <c r="AO28" s="86" t="str">
        <f aca="false">IF(ISBLANK($C28),"",IF($V28=Constants!$B$2,TRUE(),IF($V28=Constants!$B$3,FALSE(),FALSE())))</f>
        <v/>
      </c>
      <c r="AP28" s="86"/>
      <c r="AQ28" s="85" t="str">
        <f aca="false">IF(ISBLANK($C28),"",AND($Y28,OR($AS28,$BC28),OR($Z28="",$AA28="",$AB28="")))</f>
        <v/>
      </c>
      <c r="AR28" s="85" t="str">
        <f aca="false">IF(ISBLANK($C28),"",IF(OR(NOT($Y28),NOT(OR($AS28,$BC28))),"",IF(ISBLANK($D$7),$AR$5,IF($AP$9="",$AR$6,""))))</f>
        <v/>
      </c>
      <c r="AS28" s="85" t="str">
        <f aca="false">IF(ISBLANK($C28),"",COUNTA($J28:$O28)&gt;0)</f>
        <v/>
      </c>
      <c r="AT28" s="85" t="str">
        <f aca="false">IF(ISBLANK($C28),"",AND($AS28,OR(AND($AF28="",OR($AE28,NOT(ISBLANK($M28)))),$AG28="",$AH28="")))</f>
        <v/>
      </c>
      <c r="AU28" s="87" t="str">
        <f aca="false">IF($BL28&lt;&gt;Constants!$B$4,"",IF(NOT($AS28),"",ROUND((Constants!$B$12-$AB28)+(Constants!$B$13-$Z28)+(Constants!$B$14-$AA28),1)))</f>
        <v/>
      </c>
      <c r="AV28" s="90" t="str">
        <f aca="false">IF($BL28&lt;&gt;Constants!$B$4,"",IF(NOT($AS28),"",IF(NOT($AE28),0,Constants!$B$15*(INT(ROUND(MIN($AF28,$AP$9),6))-INT(ROUND(MAX(0,MIN($AF28,2*$AP$9)-$AP$9),6))))))</f>
        <v/>
      </c>
      <c r="AW28" s="90" t="str">
        <f aca="false">IF($BL28&lt;&gt;Constants!$B$4,"",IF(NOT($AS28),"",Constants!$B$16*$AG28))</f>
        <v/>
      </c>
      <c r="AX28" s="90" t="str">
        <f aca="false">IF($BL28&lt;&gt;Constants!$B$4,"",IF(NOT($AS28),"",Constants!$B$18*INT(ROUND($AH28,6))))</f>
        <v/>
      </c>
      <c r="AY28" s="85" t="str">
        <f aca="false">IF($BL28&lt;&gt;Constants!$B$4,"",IF(NOT($AS28),"",IF(NOT($X28),Constants!$B$11,IF(OR(NOT($AC28),NOT($AD28),ROUND($AB28,1)&gt;Constants!$B$12,ROUND($Z28,1)&gt;Constants!$B$13,ROUND($AA28,1)&gt;Constants!$B$14),Constants!$B$10,Constants!$B$9))))</f>
        <v/>
      </c>
      <c r="AZ28" s="91" t="str">
        <f aca="false">IF($BL28&lt;&gt;Constants!$B$4,"",IF(NOT($AS28),"",ROUND($AU28+$AV28+$AW28+$AX28,1)))</f>
        <v/>
      </c>
      <c r="BA28" s="92" t="str">
        <f aca="false">IF($BL28&lt;&gt;Constants!$B$4,"",IF(NOT($AS28),"",IF(ISNUMBER($AF28),$AF28,0)))</f>
        <v/>
      </c>
      <c r="BB28" s="86" t="str">
        <f aca="false">IF($BL28&lt;&gt;Constants!$B$4,"",IF(NOT($BC28),"&lt;-",IF(NOT($AS28),"-&gt;",IF(OR($BI28&lt;$AY28,AND($BI28=$AY28,OR($BJ28&gt;$AZ28,AND($BJ28=$AZ28,OR($BH28&gt;$AX28,AND($BH28=$AX28,OR($BE28&gt;$AU28,AND($BE28=$AU28,OR($BF28&gt;$AV28,AND($BF28=$AV28,$BK28&gt;$BA28)))))))))),"-&gt;","&lt;-"))))</f>
        <v/>
      </c>
      <c r="BC28" s="85" t="str">
        <f aca="false">IF(ISBLANK($C28),"",COUNTA($P28:$U28)&gt;0)</f>
        <v/>
      </c>
      <c r="BD28" s="85" t="str">
        <f aca="false">IF(ISBLANK($C28),"",AND($BC28,OR(AND($AL28="",OR($AK28,NOT(ISBLANK($S28)))),$AM28="",$AN28="")))</f>
        <v/>
      </c>
      <c r="BE28" s="87" t="str">
        <f aca="false">IF($BL28&lt;&gt;Constants!$B$4,"",IF(NOT($BC28),"",ROUND((Constants!$B$12-$AB28)+(Constants!$B$13-$Z28)+(Constants!$B$14-$AA28),1)))</f>
        <v/>
      </c>
      <c r="BF28" s="90" t="str">
        <f aca="false">IF($BL28&lt;&gt;Constants!$B$4,"",IF(NOT($BC28),"",IF(NOT($AK28),0,Constants!$B$15*(INT(ROUND(MIN($AL28,$AP$9),6))-INT(ROUND(MAX(0,MIN($AL28,2*$AP$9)-$AP$9),6))))))</f>
        <v/>
      </c>
      <c r="BG28" s="90" t="str">
        <f aca="false">IF($BL28&lt;&gt;Constants!$B$4,"",IF(NOT($BC28),"",Constants!$B$16*$AM28))</f>
        <v/>
      </c>
      <c r="BH28" s="90" t="str">
        <f aca="false">IF($BL28&lt;&gt;Constants!$B$4,"",IF(NOT($BC28),"",Constants!$B$18*INT(ROUND($AN28,6))))</f>
        <v/>
      </c>
      <c r="BI28" s="85" t="str">
        <f aca="false">IF($BL28&lt;&gt;Constants!$B$4,"",IF(NOT($BC28),"",IF(NOT($X28),Constants!$B$11,IF(OR(NOT($AI28),NOT($AJ28),ROUND($AB28,1)&gt;Constants!$B$12,ROUND($Z28,1)&gt;Constants!$B$13,ROUND($AA28,1)&gt;Constants!$B$14),Constants!$B$10,Constants!$B$9))))</f>
        <v/>
      </c>
      <c r="BJ28" s="91" t="str">
        <f aca="false">IF($BL28&lt;&gt;Constants!$B$4,"",IF(NOT($BC28),"",ROUND($BE28+$BF28+$BG28+$BH28,1)))</f>
        <v/>
      </c>
      <c r="BK28" s="92" t="str">
        <f aca="false">IF($BL28&lt;&gt;Constants!$B$4,"",IF(NOT($BC28),"",IF(ISNUMBER($AL28),$AL28,0)))</f>
        <v/>
      </c>
      <c r="BL28" s="86" t="str">
        <f aca="false">IF(ISBLANK($C28),"",IF($AO28,Constants!$B$7,IF(COUNTA($E28:$V28)=0,Constants!$B$6,IF(NOT($Y28),Constants!$B$5,IF(NOT(OR($AS28,$BC28)),Constants!$B$5,IF(OR($AT28,$BD28,$AQ28,$AR28&lt;&gt;""),Constants!$B$8,Constants!$B$4))))))</f>
        <v/>
      </c>
      <c r="BM28" s="86" t="str">
        <f aca="false">IF(ISBLANK($C28),"",IF($BL28&lt;&gt;Constants!$B$4,$BL28,IF($BB28="-&gt;",$BI28,$AY28)))</f>
        <v/>
      </c>
      <c r="BN28" s="90" t="str">
        <f aca="false">IF($BL28&lt;&gt;Constants!$B$4,"",IF($BB28="-&gt;",$BJ28,$AZ28))</f>
        <v/>
      </c>
      <c r="BO28" s="90" t="str">
        <f aca="false">IF(ISBLANK($C28),"",IF($BL28&lt;&gt;Constants!$B$4,$BL28,$BN28))</f>
        <v/>
      </c>
      <c r="BP28" s="86" t="str">
        <f aca="false">IF(ISBLANK($C28),"",IF($BL28&lt;&gt;Constants!$B$4,$BL28,RANK($BO28,$BO$9:$BO$508,0)))</f>
        <v/>
      </c>
      <c r="BQ28" s="86" t="str">
        <f aca="false">IF(ISBLANK($C28),"",IF($BL28&lt;&gt;Constants!$B$4,$BL28,COUNTIFS($BM$9:$BM$508,"&lt;"&amp;$BM28)+COUNTIFS($BM$9:$BM$508,$BM28,$BP$9:$BP$508,"&lt;"&amp;$BP28)+1))</f>
        <v/>
      </c>
      <c r="BR28" s="90" t="str">
        <f aca="false">IF($BL28&lt;&gt;Constants!$B$4,"",IF($BB28="-&gt;",$BH28,$AX28))</f>
        <v/>
      </c>
      <c r="BS28" s="86" t="str">
        <f aca="false">IF(ISBLANK($C28),"",IF($BL28&lt;&gt;Constants!$B$4,$BL28,IF(ISNUMBER($BR28),RANK($BR28,$BR$9:$BR$508,0),COUNT($BR$9:$BR$508)+1)))</f>
        <v/>
      </c>
      <c r="BT28" s="90" t="str">
        <f aca="false">IF($BL28&lt;&gt;Constants!$B$4,"",IF($BB28="-&gt;",$BE28,$AU28))</f>
        <v/>
      </c>
      <c r="BU28" s="86" t="str">
        <f aca="false">IF(ISBLANK($C28),"",IF($BL28&lt;&gt;Constants!$B$4,$BL28,IF(ISNUMBER($BT28),RANK($BT28,$BT$9:$BT$508,0),COUNT($BT$9:$BT$508)+1)))</f>
        <v/>
      </c>
      <c r="BV28" s="90" t="str">
        <f aca="false">IF($BL28&lt;&gt;Constants!$B$4,"",IF($BB28="-&gt;",$BF28,$AV28))</f>
        <v/>
      </c>
      <c r="BW28" s="86" t="str">
        <f aca="false">IF(ISBLANK($C28),"",IF($BL28&lt;&gt;Constants!$B$4,$BL28,IF(ISNUMBER($BV28),RANK($BV28,$BV$9:$BV$508,0),COUNT($BV$9:$BV$508)+1)))</f>
        <v/>
      </c>
      <c r="BX28" s="90" t="str">
        <f aca="false">IF($BL28&lt;&gt;Constants!$B$4,"",IF($BB28="-&gt;",$BK28,$BA28))</f>
        <v/>
      </c>
      <c r="BY28" s="86" t="str">
        <f aca="false">IF(ISBLANK($C28),"",IF($BL28&lt;&gt;Constants!$B$4,$BL28,IF(ISNUMBER($BX28),RANK($BX28,$BX$9:$BX$508,0),COUNT($BX$9:$BX$508)+1)))</f>
        <v/>
      </c>
      <c r="BZ28" s="86" t="str">
        <f aca="false">IF(ISBLANK($C28),"",IF($BL28&lt;&gt;Constants!$B$4,$BL28,COUNTIFS($BM$9:$BM$508,"&lt;"&amp;$BM28)+COUNTIFS($BM$9:$BM$508,$BM28,$BP$9:$BP$508,"&lt;"&amp;$BP28)+COUNTIFS($BM$9:$BM$508,$BM28,$BP$9:$BP$508,$BP28,$BS$9:$BS$508,"&lt;"&amp;$BS28)+COUNTIFS($BM$9:$BM$508,$BM28,$BP$9:$BP$508,$BP28,$BS$9:$BS$508,$BS28,$BU$9:$BU$508,"&lt;"&amp;$BU28)+COUNTIFS($BM$9:$BM$508,$BM28,$BP$9:$BP$508,$BP28,$BS$9:$BS$508,$BS28,$BU$9:$BU$508,$BU28,$BW$9:$BW$508,"&lt;"&amp;$BW28)+COUNTIFS($BM$9:$BM$508,$BM28,$BP$9:$BP$508,$BP28,$BS$9:$BS$508,$BS28,$BU$9:$BU$508,$BU28,$BW$9:$BW$508,$BW28,$BY$9:$BY$508,"&lt;"&amp;$BY28)+1))</f>
        <v/>
      </c>
      <c r="CA28" s="86" t="str">
        <f aca="false">IF(ISBLANK($C28),"",IF($BL28&lt;&gt;Constants!$B$4,$BL28,$BQ28-$BZ28))</f>
        <v/>
      </c>
      <c r="CB28" s="93"/>
      <c r="CC28" s="94" t="str">
        <f aca="false">IF(ISBLANK($C28),"",IF($BL28=Constants!$B$8,$AR28,""))</f>
        <v/>
      </c>
      <c r="CD28" s="94" t="str">
        <f aca="false">IF(ISBLANK($C28),"",IF($BL28&lt;&gt;Constants!$B$4,"",IF($BB28="-&gt;",2,1)))</f>
        <v/>
      </c>
      <c r="CE28" s="95" t="str">
        <f aca="false">IF(ISBLANK($C28),"",IF($BL28&lt;&gt;Constants!$B$4,"",IF($BB28="-&gt;",$BE28,$AU28)))</f>
        <v/>
      </c>
      <c r="CF28" s="95" t="str">
        <f aca="false">IF(ISBLANK($C28),"",IF($BL28&lt;&gt;Constants!$B$4,"",IF($BB28="-&gt;",$BF28,$AV28)))</f>
        <v/>
      </c>
      <c r="CG28" s="95" t="str">
        <f aca="false">IF(ISBLANK($C28),"",IF($BL28&lt;&gt;Constants!$B$4,"",IF($BB28="-&gt;",$BG28,$AW28)))</f>
        <v/>
      </c>
      <c r="CH28" s="95" t="str">
        <f aca="false">IF(ISBLANK($C28),"",IF($BL28&lt;&gt;Constants!$B$4,"",IF($BB28="-&gt;",$BH28,$AX28)))</f>
        <v/>
      </c>
      <c r="CI28" s="96" t="str">
        <f aca="false">IF(ISBLANK($C28),"",$BO28)</f>
        <v/>
      </c>
      <c r="CJ28" s="97" t="str">
        <f aca="false">IF(ISBLANK($C28),"",$BM28)</f>
        <v/>
      </c>
      <c r="CK28" s="98" t="str">
        <f aca="false">IF(ISBLANK($C28),"",$CA28)</f>
        <v/>
      </c>
      <c r="CL28" s="98" t="str">
        <f aca="false">IF(ISBLANK($C28),"",$BZ28)</f>
        <v/>
      </c>
      <c r="CM28" s="99" t="str">
        <f aca="false">IF(ISBLANK($C28),"",IF($CL28=Constants!$B$7,COUNTA($C$9:$C$508)+2,IF($CL28=Constants!$B$6,COUNTA($C$9:$C$508)+1,IF($CL28=Constants!$B$5,COUNTA($C$9:$C$508),$CL28))))</f>
        <v/>
      </c>
      <c r="CN28" s="8"/>
      <c r="CO28" s="100" t="n">
        <f aca="false">IF(OR(ISNUMBER($CL28),$CL28=Constants!$B$7,$CL28=Constants!$B$5,$CL28=Constants!$B$6),1,0)</f>
        <v>0</v>
      </c>
      <c r="CP28" s="100" t="n">
        <v>20</v>
      </c>
      <c r="CQ28" s="100" t="str">
        <f aca="false">IF(ISBLANK($C28),"",IF(ISNUMBER($CM28),$CM28+ROW($B28)/1000,""))</f>
        <v/>
      </c>
      <c r="CR28" s="100" t="str">
        <f aca="false">IF(ISNUMBER($CQ28),RANK($CQ28,$CQ$9:$CQ$508,1),"")</f>
        <v/>
      </c>
      <c r="CS28" s="100" t="str">
        <f aca="false">IF(ISBLANK($C28),"",$B28)</f>
        <v/>
      </c>
      <c r="CT28" s="100" t="str">
        <f aca="false">IF(ISBLANK($C28),"",$C28)</f>
        <v/>
      </c>
      <c r="CU28" s="100" t="str">
        <f aca="false">IF(ISBLANK($C28),"",$D28)</f>
        <v/>
      </c>
      <c r="CV28" s="101" t="str">
        <f aca="false">$CJ28</f>
        <v/>
      </c>
      <c r="CW28" s="102" t="str">
        <f aca="false">$CI28</f>
        <v/>
      </c>
      <c r="CX28" s="100" t="str">
        <f aca="false">IF(ISBLANK($C28),"",$CL28)</f>
        <v/>
      </c>
      <c r="CY28" s="103" t="str">
        <f aca="false">IF($CP28&gt;$CO$8,"",VLOOKUP($CP28,$CR$9:$CX$508,7,FALSE()))</f>
        <v/>
      </c>
      <c r="CZ28" s="104" t="str">
        <f aca="false">IF($CP28&gt;$CO$8,"",VLOOKUP($CP28,$CR$9:$CX$508,2,FALSE()))</f>
        <v/>
      </c>
      <c r="DA28" s="104" t="str">
        <f aca="false">IF($CP28&gt;$CO$8,"",VLOOKUP($CP28,$CR$9:$CX$508,3,FALSE()))</f>
        <v/>
      </c>
      <c r="DB28" s="104" t="str">
        <f aca="false">IF($CP28&gt;$CO$8,"",VLOOKUP($CP28,$CR$9:$CX$508,4,FALSE()))</f>
        <v/>
      </c>
      <c r="DC28" s="104" t="str">
        <f aca="false">IF($CP28&gt;$CO$8,"",VLOOKUP($CP28,$CR$9:$CX$508,5,FALSE()))</f>
        <v/>
      </c>
      <c r="DD28" s="105" t="str">
        <f aca="false">IF($CP28&gt;$CO$8,"",VLOOKUP($CP28,$CR$9:$CX$508,6,FALSE()))</f>
        <v/>
      </c>
      <c r="DE28" s="70"/>
    </row>
    <row r="29" customFormat="false" ht="15.75" hidden="false" customHeight="false" outlineLevel="0" collapsed="false">
      <c r="A29" s="8"/>
      <c r="B29" s="72"/>
      <c r="C29" s="73"/>
      <c r="D29" s="155"/>
      <c r="E29" s="156"/>
      <c r="F29" s="157"/>
      <c r="G29" s="77"/>
      <c r="H29" s="77"/>
      <c r="I29" s="77"/>
      <c r="J29" s="158"/>
      <c r="K29" s="159"/>
      <c r="L29" s="159"/>
      <c r="M29" s="80"/>
      <c r="N29" s="159"/>
      <c r="O29" s="160"/>
      <c r="P29" s="159"/>
      <c r="Q29" s="159"/>
      <c r="R29" s="159"/>
      <c r="S29" s="77"/>
      <c r="T29" s="159"/>
      <c r="U29" s="160"/>
      <c r="V29" s="161"/>
      <c r="W29" s="85"/>
      <c r="X29" s="86" t="str">
        <f aca="false">IF(ISBLANK($C29),"",IF($E29=Constants!$B$2,TRUE(),IF($E29=Constants!$B$3,FALSE(),TRUE())))</f>
        <v/>
      </c>
      <c r="Y29" s="86" t="str">
        <f aca="false">IF(ISBLANK($C29),"",IF($F29=Constants!$B$2,TRUE(),IF($F29=Constants!$B$3,FALSE(),TRUE())))</f>
        <v/>
      </c>
      <c r="Z29" s="87" t="str">
        <f aca="false">IF(ISBLANK($C29),"",IF(ISNUMBER($G29),IF($G29&gt;=0,$G29,""),""))</f>
        <v/>
      </c>
      <c r="AA29" s="87" t="str">
        <f aca="false">IF(ISBLANK($C29),"",IF(ISNUMBER($H29),IF($H29&gt;=0,$H29,""),""))</f>
        <v/>
      </c>
      <c r="AB29" s="87" t="str">
        <f aca="false">IF(ISBLANK($C29),"",IF(ISNUMBER($I29),IF($I29&gt;=0,$I29,""),""))</f>
        <v/>
      </c>
      <c r="AC29" s="86" t="str">
        <f aca="false">IF(ISBLANK($C29),"",IF($J29=Constants!$B$2,TRUE(),IF($J29=Constants!$B$3,FALSE(),TRUE())))</f>
        <v/>
      </c>
      <c r="AD29" s="86" t="str">
        <f aca="false">IF(ISBLANK($C29),"",IF($K29=Constants!$B$2,TRUE(),IF($K29=Constants!$B$3,FALSE(),TRUE())))</f>
        <v/>
      </c>
      <c r="AE29" s="86" t="str">
        <f aca="false">IF(ISBLANK($C29),"",IF($L29=Constants!$B$2,TRUE(),IF($L29=Constants!$B$3,FALSE(),TRUE())))</f>
        <v/>
      </c>
      <c r="AF29" s="88" t="str">
        <f aca="false">IF(ISBLANK($C29),"",IF(ISNUMBER($M29),IF($M29&gt;=0,$M29,""),""))</f>
        <v/>
      </c>
      <c r="AG29" s="86" t="str">
        <f aca="false">IF(ISBLANK($C29),"",IF(ISBLANK($N29),0,IF(ISNUMBER($N29),IF(AND($N29&gt;=0,$N29&lt;=Constants!$B$17,$N29=INT($N29)),$N29,""),"")))</f>
        <v/>
      </c>
      <c r="AH29" s="87" t="str">
        <f aca="false">IF(ISBLANK($C29),"",IF(ISBLANK($O29),0,IF(ISNUMBER($O29),IF($O29&gt;=0,$O29,""),"")))</f>
        <v/>
      </c>
      <c r="AI29" s="86" t="str">
        <f aca="false">IF(ISBLANK($C29),"",IF($P29=Constants!$B$2,TRUE(),IF($P29=Constants!$B$3,FALSE(),TRUE())))</f>
        <v/>
      </c>
      <c r="AJ29" s="86" t="str">
        <f aca="false">IF(ISBLANK($C29),"",IF($Q29=Constants!$B$2,TRUE(),IF($Q29=Constants!$B$3,FALSE(),TRUE())))</f>
        <v/>
      </c>
      <c r="AK29" s="86" t="str">
        <f aca="false">IF(ISBLANK($C29),"",IF($R29=Constants!$B$2,TRUE(),IF($R29=Constants!$B$3,FALSE(),TRUE())))</f>
        <v/>
      </c>
      <c r="AL29" s="88" t="str">
        <f aca="false">IF(ISBLANK($C29),"",IF(ISNUMBER($S29),IF($S29&gt;=0,$S29,""),""))</f>
        <v/>
      </c>
      <c r="AM29" s="86" t="str">
        <f aca="false">IF(ISBLANK($C29),"",IF(ISBLANK($T29),0,IF(ISNUMBER($T29),IF(AND($T29&gt;=0,$T29&lt;=Constants!$B$17,$T29=INT($T29)),$T29,""),"")))</f>
        <v/>
      </c>
      <c r="AN29" s="87" t="str">
        <f aca="false">IF(ISBLANK($C29),"",IF(ISBLANK($U29),0,IF(ISNUMBER($U29),IF($U29&gt;=0,$U29,""),"")))</f>
        <v/>
      </c>
      <c r="AO29" s="86" t="str">
        <f aca="false">IF(ISBLANK($C29),"",IF($V29=Constants!$B$2,TRUE(),IF($V29=Constants!$B$3,FALSE(),FALSE())))</f>
        <v/>
      </c>
      <c r="AP29" s="86"/>
      <c r="AQ29" s="85" t="str">
        <f aca="false">IF(ISBLANK($C29),"",AND($Y29,OR($AS29,$BC29),OR($Z29="",$AA29="",$AB29="")))</f>
        <v/>
      </c>
      <c r="AR29" s="85" t="str">
        <f aca="false">IF(ISBLANK($C29),"",IF(OR(NOT($Y29),NOT(OR($AS29,$BC29))),"",IF(ISBLANK($D$7),$AR$5,IF($AP$9="",$AR$6,""))))</f>
        <v/>
      </c>
      <c r="AS29" s="85" t="str">
        <f aca="false">IF(ISBLANK($C29),"",COUNTA($J29:$O29)&gt;0)</f>
        <v/>
      </c>
      <c r="AT29" s="85" t="str">
        <f aca="false">IF(ISBLANK($C29),"",AND($AS29,OR(AND($AF29="",OR($AE29,NOT(ISBLANK($M29)))),$AG29="",$AH29="")))</f>
        <v/>
      </c>
      <c r="AU29" s="87" t="str">
        <f aca="false">IF($BL29&lt;&gt;Constants!$B$4,"",IF(NOT($AS29),"",ROUND((Constants!$B$12-$AB29)+(Constants!$B$13-$Z29)+(Constants!$B$14-$AA29),1)))</f>
        <v/>
      </c>
      <c r="AV29" s="90" t="str">
        <f aca="false">IF($BL29&lt;&gt;Constants!$B$4,"",IF(NOT($AS29),"",IF(NOT($AE29),0,Constants!$B$15*(INT(ROUND(MIN($AF29,$AP$9),6))-INT(ROUND(MAX(0,MIN($AF29,2*$AP$9)-$AP$9),6))))))</f>
        <v/>
      </c>
      <c r="AW29" s="90" t="str">
        <f aca="false">IF($BL29&lt;&gt;Constants!$B$4,"",IF(NOT($AS29),"",Constants!$B$16*$AG29))</f>
        <v/>
      </c>
      <c r="AX29" s="90" t="str">
        <f aca="false">IF($BL29&lt;&gt;Constants!$B$4,"",IF(NOT($AS29),"",Constants!$B$18*INT(ROUND($AH29,6))))</f>
        <v/>
      </c>
      <c r="AY29" s="85" t="str">
        <f aca="false">IF($BL29&lt;&gt;Constants!$B$4,"",IF(NOT($AS29),"",IF(NOT($X29),Constants!$B$11,IF(OR(NOT($AC29),NOT($AD29),ROUND($AB29,1)&gt;Constants!$B$12,ROUND($Z29,1)&gt;Constants!$B$13,ROUND($AA29,1)&gt;Constants!$B$14),Constants!$B$10,Constants!$B$9))))</f>
        <v/>
      </c>
      <c r="AZ29" s="91" t="str">
        <f aca="false">IF($BL29&lt;&gt;Constants!$B$4,"",IF(NOT($AS29),"",ROUND($AU29+$AV29+$AW29+$AX29,1)))</f>
        <v/>
      </c>
      <c r="BA29" s="92" t="str">
        <f aca="false">IF($BL29&lt;&gt;Constants!$B$4,"",IF(NOT($AS29),"",IF(ISNUMBER($AF29),$AF29,0)))</f>
        <v/>
      </c>
      <c r="BB29" s="86" t="str">
        <f aca="false">IF($BL29&lt;&gt;Constants!$B$4,"",IF(NOT($BC29),"&lt;-",IF(NOT($AS29),"-&gt;",IF(OR($BI29&lt;$AY29,AND($BI29=$AY29,OR($BJ29&gt;$AZ29,AND($BJ29=$AZ29,OR($BH29&gt;$AX29,AND($BH29=$AX29,OR($BE29&gt;$AU29,AND($BE29=$AU29,OR($BF29&gt;$AV29,AND($BF29=$AV29,$BK29&gt;$BA29)))))))))),"-&gt;","&lt;-"))))</f>
        <v/>
      </c>
      <c r="BC29" s="85" t="str">
        <f aca="false">IF(ISBLANK($C29),"",COUNTA($P29:$U29)&gt;0)</f>
        <v/>
      </c>
      <c r="BD29" s="85" t="str">
        <f aca="false">IF(ISBLANK($C29),"",AND($BC29,OR(AND($AL29="",OR($AK29,NOT(ISBLANK($S29)))),$AM29="",$AN29="")))</f>
        <v/>
      </c>
      <c r="BE29" s="87" t="str">
        <f aca="false">IF($BL29&lt;&gt;Constants!$B$4,"",IF(NOT($BC29),"",ROUND((Constants!$B$12-$AB29)+(Constants!$B$13-$Z29)+(Constants!$B$14-$AA29),1)))</f>
        <v/>
      </c>
      <c r="BF29" s="90" t="str">
        <f aca="false">IF($BL29&lt;&gt;Constants!$B$4,"",IF(NOT($BC29),"",IF(NOT($AK29),0,Constants!$B$15*(INT(ROUND(MIN($AL29,$AP$9),6))-INT(ROUND(MAX(0,MIN($AL29,2*$AP$9)-$AP$9),6))))))</f>
        <v/>
      </c>
      <c r="BG29" s="90" t="str">
        <f aca="false">IF($BL29&lt;&gt;Constants!$B$4,"",IF(NOT($BC29),"",Constants!$B$16*$AM29))</f>
        <v/>
      </c>
      <c r="BH29" s="90" t="str">
        <f aca="false">IF($BL29&lt;&gt;Constants!$B$4,"",IF(NOT($BC29),"",Constants!$B$18*INT(ROUND($AN29,6))))</f>
        <v/>
      </c>
      <c r="BI29" s="85" t="str">
        <f aca="false">IF($BL29&lt;&gt;Constants!$B$4,"",IF(NOT($BC29),"",IF(NOT($X29),Constants!$B$11,IF(OR(NOT($AI29),NOT($AJ29),ROUND($AB29,1)&gt;Constants!$B$12,ROUND($Z29,1)&gt;Constants!$B$13,ROUND($AA29,1)&gt;Constants!$B$14),Constants!$B$10,Constants!$B$9))))</f>
        <v/>
      </c>
      <c r="BJ29" s="91" t="str">
        <f aca="false">IF($BL29&lt;&gt;Constants!$B$4,"",IF(NOT($BC29),"",ROUND($BE29+$BF29+$BG29+$BH29,1)))</f>
        <v/>
      </c>
      <c r="BK29" s="92" t="str">
        <f aca="false">IF($BL29&lt;&gt;Constants!$B$4,"",IF(NOT($BC29),"",IF(ISNUMBER($AL29),$AL29,0)))</f>
        <v/>
      </c>
      <c r="BL29" s="86" t="str">
        <f aca="false">IF(ISBLANK($C29),"",IF($AO29,Constants!$B$7,IF(COUNTA($E29:$V29)=0,Constants!$B$6,IF(NOT($Y29),Constants!$B$5,IF(NOT(OR($AS29,$BC29)),Constants!$B$5,IF(OR($AT29,$BD29,$AQ29,$AR29&lt;&gt;""),Constants!$B$8,Constants!$B$4))))))</f>
        <v/>
      </c>
      <c r="BM29" s="86" t="str">
        <f aca="false">IF(ISBLANK($C29),"",IF($BL29&lt;&gt;Constants!$B$4,$BL29,IF($BB29="-&gt;",$BI29,$AY29)))</f>
        <v/>
      </c>
      <c r="BN29" s="90" t="str">
        <f aca="false">IF($BL29&lt;&gt;Constants!$B$4,"",IF($BB29="-&gt;",$BJ29,$AZ29))</f>
        <v/>
      </c>
      <c r="BO29" s="90" t="str">
        <f aca="false">IF(ISBLANK($C29),"",IF($BL29&lt;&gt;Constants!$B$4,$BL29,$BN29))</f>
        <v/>
      </c>
      <c r="BP29" s="86" t="str">
        <f aca="false">IF(ISBLANK($C29),"",IF($BL29&lt;&gt;Constants!$B$4,$BL29,RANK($BO29,$BO$9:$BO$508,0)))</f>
        <v/>
      </c>
      <c r="BQ29" s="86" t="str">
        <f aca="false">IF(ISBLANK($C29),"",IF($BL29&lt;&gt;Constants!$B$4,$BL29,COUNTIFS($BM$9:$BM$508,"&lt;"&amp;$BM29)+COUNTIFS($BM$9:$BM$508,$BM29,$BP$9:$BP$508,"&lt;"&amp;$BP29)+1))</f>
        <v/>
      </c>
      <c r="BR29" s="90" t="str">
        <f aca="false">IF($BL29&lt;&gt;Constants!$B$4,"",IF($BB29="-&gt;",$BH29,$AX29))</f>
        <v/>
      </c>
      <c r="BS29" s="86" t="str">
        <f aca="false">IF(ISBLANK($C29),"",IF($BL29&lt;&gt;Constants!$B$4,$BL29,IF(ISNUMBER($BR29),RANK($BR29,$BR$9:$BR$508,0),COUNT($BR$9:$BR$508)+1)))</f>
        <v/>
      </c>
      <c r="BT29" s="90" t="str">
        <f aca="false">IF($BL29&lt;&gt;Constants!$B$4,"",IF($BB29="-&gt;",$BE29,$AU29))</f>
        <v/>
      </c>
      <c r="BU29" s="86" t="str">
        <f aca="false">IF(ISBLANK($C29),"",IF($BL29&lt;&gt;Constants!$B$4,$BL29,IF(ISNUMBER($BT29),RANK($BT29,$BT$9:$BT$508,0),COUNT($BT$9:$BT$508)+1)))</f>
        <v/>
      </c>
      <c r="BV29" s="90" t="str">
        <f aca="false">IF($BL29&lt;&gt;Constants!$B$4,"",IF($BB29="-&gt;",$BF29,$AV29))</f>
        <v/>
      </c>
      <c r="BW29" s="86" t="str">
        <f aca="false">IF(ISBLANK($C29),"",IF($BL29&lt;&gt;Constants!$B$4,$BL29,IF(ISNUMBER($BV29),RANK($BV29,$BV$9:$BV$508,0),COUNT($BV$9:$BV$508)+1)))</f>
        <v/>
      </c>
      <c r="BX29" s="90" t="str">
        <f aca="false">IF($BL29&lt;&gt;Constants!$B$4,"",IF($BB29="-&gt;",$BK29,$BA29))</f>
        <v/>
      </c>
      <c r="BY29" s="86" t="str">
        <f aca="false">IF(ISBLANK($C29),"",IF($BL29&lt;&gt;Constants!$B$4,$BL29,IF(ISNUMBER($BX29),RANK($BX29,$BX$9:$BX$508,0),COUNT($BX$9:$BX$508)+1)))</f>
        <v/>
      </c>
      <c r="BZ29" s="86" t="str">
        <f aca="false">IF(ISBLANK($C29),"",IF($BL29&lt;&gt;Constants!$B$4,$BL29,COUNTIFS($BM$9:$BM$508,"&lt;"&amp;$BM29)+COUNTIFS($BM$9:$BM$508,$BM29,$BP$9:$BP$508,"&lt;"&amp;$BP29)+COUNTIFS($BM$9:$BM$508,$BM29,$BP$9:$BP$508,$BP29,$BS$9:$BS$508,"&lt;"&amp;$BS29)+COUNTIFS($BM$9:$BM$508,$BM29,$BP$9:$BP$508,$BP29,$BS$9:$BS$508,$BS29,$BU$9:$BU$508,"&lt;"&amp;$BU29)+COUNTIFS($BM$9:$BM$508,$BM29,$BP$9:$BP$508,$BP29,$BS$9:$BS$508,$BS29,$BU$9:$BU$508,$BU29,$BW$9:$BW$508,"&lt;"&amp;$BW29)+COUNTIFS($BM$9:$BM$508,$BM29,$BP$9:$BP$508,$BP29,$BS$9:$BS$508,$BS29,$BU$9:$BU$508,$BU29,$BW$9:$BW$508,$BW29,$BY$9:$BY$508,"&lt;"&amp;$BY29)+1))</f>
        <v/>
      </c>
      <c r="CA29" s="86" t="str">
        <f aca="false">IF(ISBLANK($C29),"",IF($BL29&lt;&gt;Constants!$B$4,$BL29,$BQ29-$BZ29))</f>
        <v/>
      </c>
      <c r="CB29" s="93"/>
      <c r="CC29" s="94" t="str">
        <f aca="false">IF(ISBLANK($C29),"",IF($BL29=Constants!$B$8,$AR29,""))</f>
        <v/>
      </c>
      <c r="CD29" s="94" t="str">
        <f aca="false">IF(ISBLANK($C29),"",IF($BL29&lt;&gt;Constants!$B$4,"",IF($BB29="-&gt;",2,1)))</f>
        <v/>
      </c>
      <c r="CE29" s="95" t="str">
        <f aca="false">IF(ISBLANK($C29),"",IF($BL29&lt;&gt;Constants!$B$4,"",IF($BB29="-&gt;",$BE29,$AU29)))</f>
        <v/>
      </c>
      <c r="CF29" s="95" t="str">
        <f aca="false">IF(ISBLANK($C29),"",IF($BL29&lt;&gt;Constants!$B$4,"",IF($BB29="-&gt;",$BF29,$AV29)))</f>
        <v/>
      </c>
      <c r="CG29" s="95" t="str">
        <f aca="false">IF(ISBLANK($C29),"",IF($BL29&lt;&gt;Constants!$B$4,"",IF($BB29="-&gt;",$BG29,$AW29)))</f>
        <v/>
      </c>
      <c r="CH29" s="95" t="str">
        <f aca="false">IF(ISBLANK($C29),"",IF($BL29&lt;&gt;Constants!$B$4,"",IF($BB29="-&gt;",$BH29,$AX29)))</f>
        <v/>
      </c>
      <c r="CI29" s="96" t="str">
        <f aca="false">IF(ISBLANK($C29),"",$BO29)</f>
        <v/>
      </c>
      <c r="CJ29" s="97" t="str">
        <f aca="false">IF(ISBLANK($C29),"",$BM29)</f>
        <v/>
      </c>
      <c r="CK29" s="98" t="str">
        <f aca="false">IF(ISBLANK($C29),"",$CA29)</f>
        <v/>
      </c>
      <c r="CL29" s="98" t="str">
        <f aca="false">IF(ISBLANK($C29),"",$BZ29)</f>
        <v/>
      </c>
      <c r="CM29" s="99" t="str">
        <f aca="false">IF(ISBLANK($C29),"",IF($CL29=Constants!$B$7,COUNTA($C$9:$C$508)+2,IF($CL29=Constants!$B$6,COUNTA($C$9:$C$508)+1,IF($CL29=Constants!$B$5,COUNTA($C$9:$C$508),$CL29))))</f>
        <v/>
      </c>
      <c r="CN29" s="8"/>
      <c r="CO29" s="100" t="n">
        <f aca="false">IF(OR(ISNUMBER($CL29),$CL29=Constants!$B$7,$CL29=Constants!$B$5,$CL29=Constants!$B$6),1,0)</f>
        <v>0</v>
      </c>
      <c r="CP29" s="100" t="n">
        <v>21</v>
      </c>
      <c r="CQ29" s="100" t="str">
        <f aca="false">IF(ISBLANK($C29),"",IF(ISNUMBER($CM29),$CM29+ROW($B29)/1000,""))</f>
        <v/>
      </c>
      <c r="CR29" s="100" t="str">
        <f aca="false">IF(ISNUMBER($CQ29),RANK($CQ29,$CQ$9:$CQ$508,1),"")</f>
        <v/>
      </c>
      <c r="CS29" s="100" t="str">
        <f aca="false">IF(ISBLANK($C29),"",$B29)</f>
        <v/>
      </c>
      <c r="CT29" s="100" t="str">
        <f aca="false">IF(ISBLANK($C29),"",$C29)</f>
        <v/>
      </c>
      <c r="CU29" s="100" t="str">
        <f aca="false">IF(ISBLANK($C29),"",$D29)</f>
        <v/>
      </c>
      <c r="CV29" s="101" t="str">
        <f aca="false">$CJ29</f>
        <v/>
      </c>
      <c r="CW29" s="102" t="str">
        <f aca="false">$CI29</f>
        <v/>
      </c>
      <c r="CX29" s="100" t="str">
        <f aca="false">IF(ISBLANK($C29),"",$CL29)</f>
        <v/>
      </c>
      <c r="CY29" s="103" t="str">
        <f aca="false">IF($CP29&gt;$CO$8,"",VLOOKUP($CP29,$CR$9:$CX$508,7,FALSE()))</f>
        <v/>
      </c>
      <c r="CZ29" s="104" t="str">
        <f aca="false">IF($CP29&gt;$CO$8,"",VLOOKUP($CP29,$CR$9:$CX$508,2,FALSE()))</f>
        <v/>
      </c>
      <c r="DA29" s="104" t="str">
        <f aca="false">IF($CP29&gt;$CO$8,"",VLOOKUP($CP29,$CR$9:$CX$508,3,FALSE()))</f>
        <v/>
      </c>
      <c r="DB29" s="104" t="str">
        <f aca="false">IF($CP29&gt;$CO$8,"",VLOOKUP($CP29,$CR$9:$CX$508,4,FALSE()))</f>
        <v/>
      </c>
      <c r="DC29" s="104" t="str">
        <f aca="false">IF($CP29&gt;$CO$8,"",VLOOKUP($CP29,$CR$9:$CX$508,5,FALSE()))</f>
        <v/>
      </c>
      <c r="DD29" s="105" t="str">
        <f aca="false">IF($CP29&gt;$CO$8,"",VLOOKUP($CP29,$CR$9:$CX$508,6,FALSE()))</f>
        <v/>
      </c>
      <c r="DE29" s="70"/>
    </row>
    <row r="30" customFormat="false" ht="15.75" hidden="false" customHeight="false" outlineLevel="0" collapsed="false">
      <c r="A30" s="8"/>
      <c r="B30" s="146"/>
      <c r="C30" s="147"/>
      <c r="D30" s="148"/>
      <c r="E30" s="149"/>
      <c r="F30" s="150"/>
      <c r="G30" s="115"/>
      <c r="H30" s="115"/>
      <c r="I30" s="115"/>
      <c r="J30" s="151"/>
      <c r="K30" s="152"/>
      <c r="L30" s="152"/>
      <c r="M30" s="118"/>
      <c r="N30" s="152"/>
      <c r="O30" s="153"/>
      <c r="P30" s="152"/>
      <c r="Q30" s="152"/>
      <c r="R30" s="152"/>
      <c r="S30" s="115"/>
      <c r="T30" s="152"/>
      <c r="U30" s="153"/>
      <c r="V30" s="154"/>
      <c r="W30" s="123"/>
      <c r="X30" s="124" t="str">
        <f aca="false">IF(ISBLANK($C30),"",IF($E30=Constants!$B$2,TRUE(),IF($E30=Constants!$B$3,FALSE(),TRUE())))</f>
        <v/>
      </c>
      <c r="Y30" s="124" t="str">
        <f aca="false">IF(ISBLANK($C30),"",IF($F30=Constants!$B$2,TRUE(),IF($F30=Constants!$B$3,FALSE(),TRUE())))</f>
        <v/>
      </c>
      <c r="Z30" s="125" t="str">
        <f aca="false">IF(ISBLANK($C30),"",IF(ISNUMBER($G30),IF($G30&gt;=0,$G30,""),""))</f>
        <v/>
      </c>
      <c r="AA30" s="125" t="str">
        <f aca="false">IF(ISBLANK($C30),"",IF(ISNUMBER($H30),IF($H30&gt;=0,$H30,""),""))</f>
        <v/>
      </c>
      <c r="AB30" s="125" t="str">
        <f aca="false">IF(ISBLANK($C30),"",IF(ISNUMBER($I30),IF($I30&gt;=0,$I30,""),""))</f>
        <v/>
      </c>
      <c r="AC30" s="124" t="str">
        <f aca="false">IF(ISBLANK($C30),"",IF($J30=Constants!$B$2,TRUE(),IF($J30=Constants!$B$3,FALSE(),TRUE())))</f>
        <v/>
      </c>
      <c r="AD30" s="124" t="str">
        <f aca="false">IF(ISBLANK($C30),"",IF($K30=Constants!$B$2,TRUE(),IF($K30=Constants!$B$3,FALSE(),TRUE())))</f>
        <v/>
      </c>
      <c r="AE30" s="124" t="str">
        <f aca="false">IF(ISBLANK($C30),"",IF($L30=Constants!$B$2,TRUE(),IF($L30=Constants!$B$3,FALSE(),TRUE())))</f>
        <v/>
      </c>
      <c r="AF30" s="126" t="str">
        <f aca="false">IF(ISBLANK($C30),"",IF(ISNUMBER($M30),IF($M30&gt;=0,$M30,""),""))</f>
        <v/>
      </c>
      <c r="AG30" s="124" t="str">
        <f aca="false">IF(ISBLANK($C30),"",IF(ISBLANK($N30),0,IF(ISNUMBER($N30),IF(AND($N30&gt;=0,$N30&lt;=Constants!$B$17,$N30=INT($N30)),$N30,""),"")))</f>
        <v/>
      </c>
      <c r="AH30" s="125" t="str">
        <f aca="false">IF(ISBLANK($C30),"",IF(ISBLANK($O30),0,IF(ISNUMBER($O30),IF($O30&gt;=0,$O30,""),"")))</f>
        <v/>
      </c>
      <c r="AI30" s="124" t="str">
        <f aca="false">IF(ISBLANK($C30),"",IF($P30=Constants!$B$2,TRUE(),IF($P30=Constants!$B$3,FALSE(),TRUE())))</f>
        <v/>
      </c>
      <c r="AJ30" s="124" t="str">
        <f aca="false">IF(ISBLANK($C30),"",IF($Q30=Constants!$B$2,TRUE(),IF($Q30=Constants!$B$3,FALSE(),TRUE())))</f>
        <v/>
      </c>
      <c r="AK30" s="124" t="str">
        <f aca="false">IF(ISBLANK($C30),"",IF($R30=Constants!$B$2,TRUE(),IF($R30=Constants!$B$3,FALSE(),TRUE())))</f>
        <v/>
      </c>
      <c r="AL30" s="126" t="str">
        <f aca="false">IF(ISBLANK($C30),"",IF(ISNUMBER($S30),IF($S30&gt;=0,$S30,""),""))</f>
        <v/>
      </c>
      <c r="AM30" s="124" t="str">
        <f aca="false">IF(ISBLANK($C30),"",IF(ISBLANK($T30),0,IF(ISNUMBER($T30),IF(AND($T30&gt;=0,$T30&lt;=Constants!$B$17,$T30=INT($T30)),$T30,""),"")))</f>
        <v/>
      </c>
      <c r="AN30" s="125" t="str">
        <f aca="false">IF(ISBLANK($C30),"",IF(ISBLANK($U30),0,IF(ISNUMBER($U30),IF($U30&gt;=0,$U30,""),"")))</f>
        <v/>
      </c>
      <c r="AO30" s="124" t="str">
        <f aca="false">IF(ISBLANK($C30),"",IF($V30=Constants!$B$2,TRUE(),IF($V30=Constants!$B$3,FALSE(),FALSE())))</f>
        <v/>
      </c>
      <c r="AP30" s="124"/>
      <c r="AQ30" s="123" t="str">
        <f aca="false">IF(ISBLANK($C30),"",AND($Y30,OR($AS30,$BC30),OR($Z30="",$AA30="",$AB30="")))</f>
        <v/>
      </c>
      <c r="AR30" s="123" t="str">
        <f aca="false">IF(ISBLANK($C30),"",IF(OR(NOT($Y30),NOT(OR($AS30,$BC30))),"",IF(ISBLANK($D$7),$AR$5,IF($AP$9="",$AR$6,""))))</f>
        <v/>
      </c>
      <c r="AS30" s="123" t="str">
        <f aca="false">IF(ISBLANK($C30),"",COUNTA($J30:$O30)&gt;0)</f>
        <v/>
      </c>
      <c r="AT30" s="123" t="str">
        <f aca="false">IF(ISBLANK($C30),"",AND($AS30,OR(AND($AF30="",OR($AE30,NOT(ISBLANK($M30)))),$AG30="",$AH30="")))</f>
        <v/>
      </c>
      <c r="AU30" s="125" t="str">
        <f aca="false">IF($BL30&lt;&gt;Constants!$B$4,"",IF(NOT($AS30),"",ROUND((Constants!$B$12-$AB30)+(Constants!$B$13-$Z30)+(Constants!$B$14-$AA30),1)))</f>
        <v/>
      </c>
      <c r="AV30" s="127" t="str">
        <f aca="false">IF($BL30&lt;&gt;Constants!$B$4,"",IF(NOT($AS30),"",IF(NOT($AE30),0,Constants!$B$15*(INT(ROUND(MIN($AF30,$AP$9),6))-INT(ROUND(MAX(0,MIN($AF30,2*$AP$9)-$AP$9),6))))))</f>
        <v/>
      </c>
      <c r="AW30" s="127" t="str">
        <f aca="false">IF($BL30&lt;&gt;Constants!$B$4,"",IF(NOT($AS30),"",Constants!$B$16*$AG30))</f>
        <v/>
      </c>
      <c r="AX30" s="127" t="str">
        <f aca="false">IF($BL30&lt;&gt;Constants!$B$4,"",IF(NOT($AS30),"",Constants!$B$18*INT(ROUND($AH30,6))))</f>
        <v/>
      </c>
      <c r="AY30" s="123" t="str">
        <f aca="false">IF($BL30&lt;&gt;Constants!$B$4,"",IF(NOT($AS30),"",IF(NOT($X30),Constants!$B$11,IF(OR(NOT($AC30),NOT($AD30),ROUND($AB30,1)&gt;Constants!$B$12,ROUND($Z30,1)&gt;Constants!$B$13,ROUND($AA30,1)&gt;Constants!$B$14),Constants!$B$10,Constants!$B$9))))</f>
        <v/>
      </c>
      <c r="AZ30" s="128" t="str">
        <f aca="false">IF($BL30&lt;&gt;Constants!$B$4,"",IF(NOT($AS30),"",ROUND($AU30+$AV30+$AW30+$AX30,1)))</f>
        <v/>
      </c>
      <c r="BA30" s="129" t="str">
        <f aca="false">IF($BL30&lt;&gt;Constants!$B$4,"",IF(NOT($AS30),"",IF(ISNUMBER($AF30),$AF30,0)))</f>
        <v/>
      </c>
      <c r="BB30" s="124" t="str">
        <f aca="false">IF($BL30&lt;&gt;Constants!$B$4,"",IF(NOT($BC30),"&lt;-",IF(NOT($AS30),"-&gt;",IF(OR($BI30&lt;$AY30,AND($BI30=$AY30,OR($BJ30&gt;$AZ30,AND($BJ30=$AZ30,OR($BH30&gt;$AX30,AND($BH30=$AX30,OR($BE30&gt;$AU30,AND($BE30=$AU30,OR($BF30&gt;$AV30,AND($BF30=$AV30,$BK30&gt;$BA30)))))))))),"-&gt;","&lt;-"))))</f>
        <v/>
      </c>
      <c r="BC30" s="123" t="str">
        <f aca="false">IF(ISBLANK($C30),"",COUNTA($P30:$U30)&gt;0)</f>
        <v/>
      </c>
      <c r="BD30" s="123" t="str">
        <f aca="false">IF(ISBLANK($C30),"",AND($BC30,OR(AND($AL30="",OR($AK30,NOT(ISBLANK($S30)))),$AM30="",$AN30="")))</f>
        <v/>
      </c>
      <c r="BE30" s="125" t="str">
        <f aca="false">IF($BL30&lt;&gt;Constants!$B$4,"",IF(NOT($BC30),"",ROUND((Constants!$B$12-$AB30)+(Constants!$B$13-$Z30)+(Constants!$B$14-$AA30),1)))</f>
        <v/>
      </c>
      <c r="BF30" s="127" t="str">
        <f aca="false">IF($BL30&lt;&gt;Constants!$B$4,"",IF(NOT($BC30),"",IF(NOT($AK30),0,Constants!$B$15*(INT(ROUND(MIN($AL30,$AP$9),6))-INT(ROUND(MAX(0,MIN($AL30,2*$AP$9)-$AP$9),6))))))</f>
        <v/>
      </c>
      <c r="BG30" s="127" t="str">
        <f aca="false">IF($BL30&lt;&gt;Constants!$B$4,"",IF(NOT($BC30),"",Constants!$B$16*$AM30))</f>
        <v/>
      </c>
      <c r="BH30" s="127" t="str">
        <f aca="false">IF($BL30&lt;&gt;Constants!$B$4,"",IF(NOT($BC30),"",Constants!$B$18*INT(ROUND($AN30,6))))</f>
        <v/>
      </c>
      <c r="BI30" s="123" t="str">
        <f aca="false">IF($BL30&lt;&gt;Constants!$B$4,"",IF(NOT($BC30),"",IF(NOT($X30),Constants!$B$11,IF(OR(NOT($AI30),NOT($AJ30),ROUND($AB30,1)&gt;Constants!$B$12,ROUND($Z30,1)&gt;Constants!$B$13,ROUND($AA30,1)&gt;Constants!$B$14),Constants!$B$10,Constants!$B$9))))</f>
        <v/>
      </c>
      <c r="BJ30" s="128" t="str">
        <f aca="false">IF($BL30&lt;&gt;Constants!$B$4,"",IF(NOT($BC30),"",ROUND($BE30+$BF30+$BG30+$BH30,1)))</f>
        <v/>
      </c>
      <c r="BK30" s="129" t="str">
        <f aca="false">IF($BL30&lt;&gt;Constants!$B$4,"",IF(NOT($BC30),"",IF(ISNUMBER($AL30),$AL30,0)))</f>
        <v/>
      </c>
      <c r="BL30" s="124" t="str">
        <f aca="false">IF(ISBLANK($C30),"",IF($AO30,Constants!$B$7,IF(COUNTA($E30:$V30)=0,Constants!$B$6,IF(NOT($Y30),Constants!$B$5,IF(NOT(OR($AS30,$BC30)),Constants!$B$5,IF(OR($AT30,$BD30,$AQ30,$AR30&lt;&gt;""),Constants!$B$8,Constants!$B$4))))))</f>
        <v/>
      </c>
      <c r="BM30" s="124" t="str">
        <f aca="false">IF(ISBLANK($C30),"",IF($BL30&lt;&gt;Constants!$B$4,$BL30,IF($BB30="-&gt;",$BI30,$AY30)))</f>
        <v/>
      </c>
      <c r="BN30" s="127" t="str">
        <f aca="false">IF($BL30&lt;&gt;Constants!$B$4,"",IF($BB30="-&gt;",$BJ30,$AZ30))</f>
        <v/>
      </c>
      <c r="BO30" s="127" t="str">
        <f aca="false">IF(ISBLANK($C30),"",IF($BL30&lt;&gt;Constants!$B$4,$BL30,$BN30))</f>
        <v/>
      </c>
      <c r="BP30" s="124" t="str">
        <f aca="false">IF(ISBLANK($C30),"",IF($BL30&lt;&gt;Constants!$B$4,$BL30,RANK($BO30,$BO$9:$BO$508,0)))</f>
        <v/>
      </c>
      <c r="BQ30" s="124" t="str">
        <f aca="false">IF(ISBLANK($C30),"",IF($BL30&lt;&gt;Constants!$B$4,$BL30,COUNTIFS($BM$9:$BM$508,"&lt;"&amp;$BM30)+COUNTIFS($BM$9:$BM$508,$BM30,$BP$9:$BP$508,"&lt;"&amp;$BP30)+1))</f>
        <v/>
      </c>
      <c r="BR30" s="127" t="str">
        <f aca="false">IF($BL30&lt;&gt;Constants!$B$4,"",IF($BB30="-&gt;",$BH30,$AX30))</f>
        <v/>
      </c>
      <c r="BS30" s="124" t="str">
        <f aca="false">IF(ISBLANK($C30),"",IF($BL30&lt;&gt;Constants!$B$4,$BL30,IF(ISNUMBER($BR30),RANK($BR30,$BR$9:$BR$508,0),COUNT($BR$9:$BR$508)+1)))</f>
        <v/>
      </c>
      <c r="BT30" s="127" t="str">
        <f aca="false">IF($BL30&lt;&gt;Constants!$B$4,"",IF($BB30="-&gt;",$BE30,$AU30))</f>
        <v/>
      </c>
      <c r="BU30" s="124" t="str">
        <f aca="false">IF(ISBLANK($C30),"",IF($BL30&lt;&gt;Constants!$B$4,$BL30,IF(ISNUMBER($BT30),RANK($BT30,$BT$9:$BT$508,0),COUNT($BT$9:$BT$508)+1)))</f>
        <v/>
      </c>
      <c r="BV30" s="127" t="str">
        <f aca="false">IF($BL30&lt;&gt;Constants!$B$4,"",IF($BB30="-&gt;",$BF30,$AV30))</f>
        <v/>
      </c>
      <c r="BW30" s="124" t="str">
        <f aca="false">IF(ISBLANK($C30),"",IF($BL30&lt;&gt;Constants!$B$4,$BL30,IF(ISNUMBER($BV30),RANK($BV30,$BV$9:$BV$508,0),COUNT($BV$9:$BV$508)+1)))</f>
        <v/>
      </c>
      <c r="BX30" s="127" t="str">
        <f aca="false">IF($BL30&lt;&gt;Constants!$B$4,"",IF($BB30="-&gt;",$BK30,$BA30))</f>
        <v/>
      </c>
      <c r="BY30" s="124" t="str">
        <f aca="false">IF(ISBLANK($C30),"",IF($BL30&lt;&gt;Constants!$B$4,$BL30,IF(ISNUMBER($BX30),RANK($BX30,$BX$9:$BX$508,0),COUNT($BX$9:$BX$508)+1)))</f>
        <v/>
      </c>
      <c r="BZ30" s="124" t="str">
        <f aca="false">IF(ISBLANK($C30),"",IF($BL30&lt;&gt;Constants!$B$4,$BL30,COUNTIFS($BM$9:$BM$508,"&lt;"&amp;$BM30)+COUNTIFS($BM$9:$BM$508,$BM30,$BP$9:$BP$508,"&lt;"&amp;$BP30)+COUNTIFS($BM$9:$BM$508,$BM30,$BP$9:$BP$508,$BP30,$BS$9:$BS$508,"&lt;"&amp;$BS30)+COUNTIFS($BM$9:$BM$508,$BM30,$BP$9:$BP$508,$BP30,$BS$9:$BS$508,$BS30,$BU$9:$BU$508,"&lt;"&amp;$BU30)+COUNTIFS($BM$9:$BM$508,$BM30,$BP$9:$BP$508,$BP30,$BS$9:$BS$508,$BS30,$BU$9:$BU$508,$BU30,$BW$9:$BW$508,"&lt;"&amp;$BW30)+COUNTIFS($BM$9:$BM$508,$BM30,$BP$9:$BP$508,$BP30,$BS$9:$BS$508,$BS30,$BU$9:$BU$508,$BU30,$BW$9:$BW$508,$BW30,$BY$9:$BY$508,"&lt;"&amp;$BY30)+1))</f>
        <v/>
      </c>
      <c r="CA30" s="124" t="str">
        <f aca="false">IF(ISBLANK($C30),"",IF($BL30&lt;&gt;Constants!$B$4,$BL30,$BQ30-$BZ30))</f>
        <v/>
      </c>
      <c r="CB30" s="130"/>
      <c r="CC30" s="131" t="str">
        <f aca="false">IF(ISBLANK($C30),"",IF($BL30=Constants!$B$8,$AR30,""))</f>
        <v/>
      </c>
      <c r="CD30" s="131" t="str">
        <f aca="false">IF(ISBLANK($C30),"",IF($BL30&lt;&gt;Constants!$B$4,"",IF($BB30="-&gt;",2,1)))</f>
        <v/>
      </c>
      <c r="CE30" s="132" t="str">
        <f aca="false">IF(ISBLANK($C30),"",IF($BL30&lt;&gt;Constants!$B$4,"",IF($BB30="-&gt;",$BE30,$AU30)))</f>
        <v/>
      </c>
      <c r="CF30" s="132" t="str">
        <f aca="false">IF(ISBLANK($C30),"",IF($BL30&lt;&gt;Constants!$B$4,"",IF($BB30="-&gt;",$BF30,$AV30)))</f>
        <v/>
      </c>
      <c r="CG30" s="132" t="str">
        <f aca="false">IF(ISBLANK($C30),"",IF($BL30&lt;&gt;Constants!$B$4,"",IF($BB30="-&gt;",$BG30,$AW30)))</f>
        <v/>
      </c>
      <c r="CH30" s="132" t="str">
        <f aca="false">IF(ISBLANK($C30),"",IF($BL30&lt;&gt;Constants!$B$4,"",IF($BB30="-&gt;",$BH30,$AX30)))</f>
        <v/>
      </c>
      <c r="CI30" s="133" t="str">
        <f aca="false">IF(ISBLANK($C30),"",$BO30)</f>
        <v/>
      </c>
      <c r="CJ30" s="134" t="str">
        <f aca="false">IF(ISBLANK($C30),"",$BM30)</f>
        <v/>
      </c>
      <c r="CK30" s="135" t="str">
        <f aca="false">IF(ISBLANK($C30),"",$CA30)</f>
        <v/>
      </c>
      <c r="CL30" s="135" t="str">
        <f aca="false">IF(ISBLANK($C30),"",$BZ30)</f>
        <v/>
      </c>
      <c r="CM30" s="136" t="str">
        <f aca="false">IF(ISBLANK($C30),"",IF($CL30=Constants!$B$7,COUNTA($C$9:$C$508)+2,IF($CL30=Constants!$B$6,COUNTA($C$9:$C$508)+1,IF($CL30=Constants!$B$5,COUNTA($C$9:$C$508),$CL30))))</f>
        <v/>
      </c>
      <c r="CN30" s="8"/>
      <c r="CO30" s="137" t="n">
        <f aca="false">IF(OR(ISNUMBER($CL30),$CL30=Constants!$B$7,$CL30=Constants!$B$5,$CL30=Constants!$B$6),1,0)</f>
        <v>0</v>
      </c>
      <c r="CP30" s="137" t="n">
        <v>22</v>
      </c>
      <c r="CQ30" s="137" t="str">
        <f aca="false">IF(ISBLANK($C30),"",IF(ISNUMBER($CM30),$CM30+ROW($B30)/1000,""))</f>
        <v/>
      </c>
      <c r="CR30" s="137" t="str">
        <f aca="false">IF(ISNUMBER($CQ30),RANK($CQ30,$CQ$9:$CQ$508,1),"")</f>
        <v/>
      </c>
      <c r="CS30" s="137" t="str">
        <f aca="false">IF(ISBLANK($C30),"",$B30)</f>
        <v/>
      </c>
      <c r="CT30" s="137" t="str">
        <f aca="false">IF(ISBLANK($C30),"",$C30)</f>
        <v/>
      </c>
      <c r="CU30" s="137" t="str">
        <f aca="false">IF(ISBLANK($C30),"",$D30)</f>
        <v/>
      </c>
      <c r="CV30" s="138" t="str">
        <f aca="false">$CJ30</f>
        <v/>
      </c>
      <c r="CW30" s="139" t="str">
        <f aca="false">$CI30</f>
        <v/>
      </c>
      <c r="CX30" s="137" t="str">
        <f aca="false">IF(ISBLANK($C30),"",$CL30)</f>
        <v/>
      </c>
      <c r="CY30" s="140" t="str">
        <f aca="false">IF($CP30&gt;$CO$8,"",VLOOKUP($CP30,$CR$9:$CX$508,7,FALSE()))</f>
        <v/>
      </c>
      <c r="CZ30" s="141" t="str">
        <f aca="false">IF($CP30&gt;$CO$8,"",VLOOKUP($CP30,$CR$9:$CX$508,2,FALSE()))</f>
        <v/>
      </c>
      <c r="DA30" s="141" t="str">
        <f aca="false">IF($CP30&gt;$CO$8,"",VLOOKUP($CP30,$CR$9:$CX$508,3,FALSE()))</f>
        <v/>
      </c>
      <c r="DB30" s="141" t="str">
        <f aca="false">IF($CP30&gt;$CO$8,"",VLOOKUP($CP30,$CR$9:$CX$508,4,FALSE()))</f>
        <v/>
      </c>
      <c r="DC30" s="141" t="str">
        <f aca="false">IF($CP30&gt;$CO$8,"",VLOOKUP($CP30,$CR$9:$CX$508,5,FALSE()))</f>
        <v/>
      </c>
      <c r="DD30" s="142" t="str">
        <f aca="false">IF($CP30&gt;$CO$8,"",VLOOKUP($CP30,$CR$9:$CX$508,6,FALSE()))</f>
        <v/>
      </c>
      <c r="DE30" s="70"/>
    </row>
    <row r="31" customFormat="false" ht="15.75" hidden="false" customHeight="false" outlineLevel="0" collapsed="false">
      <c r="A31" s="8"/>
      <c r="B31" s="146"/>
      <c r="C31" s="147"/>
      <c r="D31" s="148"/>
      <c r="E31" s="149"/>
      <c r="F31" s="150"/>
      <c r="G31" s="115"/>
      <c r="H31" s="115"/>
      <c r="I31" s="115"/>
      <c r="J31" s="151"/>
      <c r="K31" s="152"/>
      <c r="L31" s="152"/>
      <c r="M31" s="118"/>
      <c r="N31" s="152"/>
      <c r="O31" s="153"/>
      <c r="P31" s="152"/>
      <c r="Q31" s="152"/>
      <c r="R31" s="152"/>
      <c r="S31" s="115"/>
      <c r="T31" s="152"/>
      <c r="U31" s="153"/>
      <c r="V31" s="154"/>
      <c r="W31" s="123"/>
      <c r="X31" s="124" t="str">
        <f aca="false">IF(ISBLANK($C31),"",IF($E31=Constants!$B$2,TRUE(),IF($E31=Constants!$B$3,FALSE(),TRUE())))</f>
        <v/>
      </c>
      <c r="Y31" s="124" t="str">
        <f aca="false">IF(ISBLANK($C31),"",IF($F31=Constants!$B$2,TRUE(),IF($F31=Constants!$B$3,FALSE(),TRUE())))</f>
        <v/>
      </c>
      <c r="Z31" s="125" t="str">
        <f aca="false">IF(ISBLANK($C31),"",IF(ISNUMBER($G31),IF($G31&gt;=0,$G31,""),""))</f>
        <v/>
      </c>
      <c r="AA31" s="125" t="str">
        <f aca="false">IF(ISBLANK($C31),"",IF(ISNUMBER($H31),IF($H31&gt;=0,$H31,""),""))</f>
        <v/>
      </c>
      <c r="AB31" s="125" t="str">
        <f aca="false">IF(ISBLANK($C31),"",IF(ISNUMBER($I31),IF($I31&gt;=0,$I31,""),""))</f>
        <v/>
      </c>
      <c r="AC31" s="124" t="str">
        <f aca="false">IF(ISBLANK($C31),"",IF($J31=Constants!$B$2,TRUE(),IF($J31=Constants!$B$3,FALSE(),TRUE())))</f>
        <v/>
      </c>
      <c r="AD31" s="124" t="str">
        <f aca="false">IF(ISBLANK($C31),"",IF($K31=Constants!$B$2,TRUE(),IF($K31=Constants!$B$3,FALSE(),TRUE())))</f>
        <v/>
      </c>
      <c r="AE31" s="124" t="str">
        <f aca="false">IF(ISBLANK($C31),"",IF($L31=Constants!$B$2,TRUE(),IF($L31=Constants!$B$3,FALSE(),TRUE())))</f>
        <v/>
      </c>
      <c r="AF31" s="126" t="str">
        <f aca="false">IF(ISBLANK($C31),"",IF(ISNUMBER($M31),IF($M31&gt;=0,$M31,""),""))</f>
        <v/>
      </c>
      <c r="AG31" s="124" t="str">
        <f aca="false">IF(ISBLANK($C31),"",IF(ISBLANK($N31),0,IF(ISNUMBER($N31),IF(AND($N31&gt;=0,$N31&lt;=Constants!$B$17,$N31=INT($N31)),$N31,""),"")))</f>
        <v/>
      </c>
      <c r="AH31" s="125" t="str">
        <f aca="false">IF(ISBLANK($C31),"",IF(ISBLANK($O31),0,IF(ISNUMBER($O31),IF($O31&gt;=0,$O31,""),"")))</f>
        <v/>
      </c>
      <c r="AI31" s="124" t="str">
        <f aca="false">IF(ISBLANK($C31),"",IF($P31=Constants!$B$2,TRUE(),IF($P31=Constants!$B$3,FALSE(),TRUE())))</f>
        <v/>
      </c>
      <c r="AJ31" s="124" t="str">
        <f aca="false">IF(ISBLANK($C31),"",IF($Q31=Constants!$B$2,TRUE(),IF($Q31=Constants!$B$3,FALSE(),TRUE())))</f>
        <v/>
      </c>
      <c r="AK31" s="124" t="str">
        <f aca="false">IF(ISBLANK($C31),"",IF($R31=Constants!$B$2,TRUE(),IF($R31=Constants!$B$3,FALSE(),TRUE())))</f>
        <v/>
      </c>
      <c r="AL31" s="126" t="str">
        <f aca="false">IF(ISBLANK($C31),"",IF(ISNUMBER($S31),IF($S31&gt;=0,$S31,""),""))</f>
        <v/>
      </c>
      <c r="AM31" s="124" t="str">
        <f aca="false">IF(ISBLANK($C31),"",IF(ISBLANK($T31),0,IF(ISNUMBER($T31),IF(AND($T31&gt;=0,$T31&lt;=Constants!$B$17,$T31=INT($T31)),$T31,""),"")))</f>
        <v/>
      </c>
      <c r="AN31" s="125" t="str">
        <f aca="false">IF(ISBLANK($C31),"",IF(ISBLANK($U31),0,IF(ISNUMBER($U31),IF($U31&gt;=0,$U31,""),"")))</f>
        <v/>
      </c>
      <c r="AO31" s="124" t="str">
        <f aca="false">IF(ISBLANK($C31),"",IF($V31=Constants!$B$2,TRUE(),IF($V31=Constants!$B$3,FALSE(),FALSE())))</f>
        <v/>
      </c>
      <c r="AP31" s="124"/>
      <c r="AQ31" s="123" t="str">
        <f aca="false">IF(ISBLANK($C31),"",AND($Y31,OR($AS31,$BC31),OR($Z31="",$AA31="",$AB31="")))</f>
        <v/>
      </c>
      <c r="AR31" s="123" t="str">
        <f aca="false">IF(ISBLANK($C31),"",IF(OR(NOT($Y31),NOT(OR($AS31,$BC31))),"",IF(ISBLANK($D$7),$AR$5,IF($AP$9="",$AR$6,""))))</f>
        <v/>
      </c>
      <c r="AS31" s="123" t="str">
        <f aca="false">IF(ISBLANK($C31),"",COUNTA($J31:$O31)&gt;0)</f>
        <v/>
      </c>
      <c r="AT31" s="123" t="str">
        <f aca="false">IF(ISBLANK($C31),"",AND($AS31,OR(AND($AF31="",OR($AE31,NOT(ISBLANK($M31)))),$AG31="",$AH31="")))</f>
        <v/>
      </c>
      <c r="AU31" s="125" t="str">
        <f aca="false">IF($BL31&lt;&gt;Constants!$B$4,"",IF(NOT($AS31),"",ROUND((Constants!$B$12-$AB31)+(Constants!$B$13-$Z31)+(Constants!$B$14-$AA31),1)))</f>
        <v/>
      </c>
      <c r="AV31" s="127" t="str">
        <f aca="false">IF($BL31&lt;&gt;Constants!$B$4,"",IF(NOT($AS31),"",IF(NOT($AE31),0,Constants!$B$15*(INT(ROUND(MIN($AF31,$AP$9),6))-INT(ROUND(MAX(0,MIN($AF31,2*$AP$9)-$AP$9),6))))))</f>
        <v/>
      </c>
      <c r="AW31" s="127" t="str">
        <f aca="false">IF($BL31&lt;&gt;Constants!$B$4,"",IF(NOT($AS31),"",Constants!$B$16*$AG31))</f>
        <v/>
      </c>
      <c r="AX31" s="127" t="str">
        <f aca="false">IF($BL31&lt;&gt;Constants!$B$4,"",IF(NOT($AS31),"",Constants!$B$18*INT(ROUND($AH31,6))))</f>
        <v/>
      </c>
      <c r="AY31" s="123" t="str">
        <f aca="false">IF($BL31&lt;&gt;Constants!$B$4,"",IF(NOT($AS31),"",IF(NOT($X31),Constants!$B$11,IF(OR(NOT($AC31),NOT($AD31),ROUND($AB31,1)&gt;Constants!$B$12,ROUND($Z31,1)&gt;Constants!$B$13,ROUND($AA31,1)&gt;Constants!$B$14),Constants!$B$10,Constants!$B$9))))</f>
        <v/>
      </c>
      <c r="AZ31" s="128" t="str">
        <f aca="false">IF($BL31&lt;&gt;Constants!$B$4,"",IF(NOT($AS31),"",ROUND($AU31+$AV31+$AW31+$AX31,1)))</f>
        <v/>
      </c>
      <c r="BA31" s="129" t="str">
        <f aca="false">IF($BL31&lt;&gt;Constants!$B$4,"",IF(NOT($AS31),"",IF(ISNUMBER($AF31),$AF31,0)))</f>
        <v/>
      </c>
      <c r="BB31" s="124" t="str">
        <f aca="false">IF($BL31&lt;&gt;Constants!$B$4,"",IF(NOT($BC31),"&lt;-",IF(NOT($AS31),"-&gt;",IF(OR($BI31&lt;$AY31,AND($BI31=$AY31,OR($BJ31&gt;$AZ31,AND($BJ31=$AZ31,OR($BH31&gt;$AX31,AND($BH31=$AX31,OR($BE31&gt;$AU31,AND($BE31=$AU31,OR($BF31&gt;$AV31,AND($BF31=$AV31,$BK31&gt;$BA31)))))))))),"-&gt;","&lt;-"))))</f>
        <v/>
      </c>
      <c r="BC31" s="123" t="str">
        <f aca="false">IF(ISBLANK($C31),"",COUNTA($P31:$U31)&gt;0)</f>
        <v/>
      </c>
      <c r="BD31" s="123" t="str">
        <f aca="false">IF(ISBLANK($C31),"",AND($BC31,OR(AND($AL31="",OR($AK31,NOT(ISBLANK($S31)))),$AM31="",$AN31="")))</f>
        <v/>
      </c>
      <c r="BE31" s="125" t="str">
        <f aca="false">IF($BL31&lt;&gt;Constants!$B$4,"",IF(NOT($BC31),"",ROUND((Constants!$B$12-$AB31)+(Constants!$B$13-$Z31)+(Constants!$B$14-$AA31),1)))</f>
        <v/>
      </c>
      <c r="BF31" s="127" t="str">
        <f aca="false">IF($BL31&lt;&gt;Constants!$B$4,"",IF(NOT($BC31),"",IF(NOT($AK31),0,Constants!$B$15*(INT(ROUND(MIN($AL31,$AP$9),6))-INT(ROUND(MAX(0,MIN($AL31,2*$AP$9)-$AP$9),6))))))</f>
        <v/>
      </c>
      <c r="BG31" s="127" t="str">
        <f aca="false">IF($BL31&lt;&gt;Constants!$B$4,"",IF(NOT($BC31),"",Constants!$B$16*$AM31))</f>
        <v/>
      </c>
      <c r="BH31" s="127" t="str">
        <f aca="false">IF($BL31&lt;&gt;Constants!$B$4,"",IF(NOT($BC31),"",Constants!$B$18*INT(ROUND($AN31,6))))</f>
        <v/>
      </c>
      <c r="BI31" s="123" t="str">
        <f aca="false">IF($BL31&lt;&gt;Constants!$B$4,"",IF(NOT($BC31),"",IF(NOT($X31),Constants!$B$11,IF(OR(NOT($AI31),NOT($AJ31),ROUND($AB31,1)&gt;Constants!$B$12,ROUND($Z31,1)&gt;Constants!$B$13,ROUND($AA31,1)&gt;Constants!$B$14),Constants!$B$10,Constants!$B$9))))</f>
        <v/>
      </c>
      <c r="BJ31" s="128" t="str">
        <f aca="false">IF($BL31&lt;&gt;Constants!$B$4,"",IF(NOT($BC31),"",ROUND($BE31+$BF31+$BG31+$BH31,1)))</f>
        <v/>
      </c>
      <c r="BK31" s="129" t="str">
        <f aca="false">IF($BL31&lt;&gt;Constants!$B$4,"",IF(NOT($BC31),"",IF(ISNUMBER($AL31),$AL31,0)))</f>
        <v/>
      </c>
      <c r="BL31" s="124" t="str">
        <f aca="false">IF(ISBLANK($C31),"",IF($AO31,Constants!$B$7,IF(COUNTA($E31:$V31)=0,Constants!$B$6,IF(NOT($Y31),Constants!$B$5,IF(NOT(OR($AS31,$BC31)),Constants!$B$5,IF(OR($AT31,$BD31,$AQ31,$AR31&lt;&gt;""),Constants!$B$8,Constants!$B$4))))))</f>
        <v/>
      </c>
      <c r="BM31" s="124" t="str">
        <f aca="false">IF(ISBLANK($C31),"",IF($BL31&lt;&gt;Constants!$B$4,$BL31,IF($BB31="-&gt;",$BI31,$AY31)))</f>
        <v/>
      </c>
      <c r="BN31" s="127" t="str">
        <f aca="false">IF($BL31&lt;&gt;Constants!$B$4,"",IF($BB31="-&gt;",$BJ31,$AZ31))</f>
        <v/>
      </c>
      <c r="BO31" s="127" t="str">
        <f aca="false">IF(ISBLANK($C31),"",IF($BL31&lt;&gt;Constants!$B$4,$BL31,$BN31))</f>
        <v/>
      </c>
      <c r="BP31" s="124" t="str">
        <f aca="false">IF(ISBLANK($C31),"",IF($BL31&lt;&gt;Constants!$B$4,$BL31,RANK($BO31,$BO$9:$BO$508,0)))</f>
        <v/>
      </c>
      <c r="BQ31" s="124" t="str">
        <f aca="false">IF(ISBLANK($C31),"",IF($BL31&lt;&gt;Constants!$B$4,$BL31,COUNTIFS($BM$9:$BM$508,"&lt;"&amp;$BM31)+COUNTIFS($BM$9:$BM$508,$BM31,$BP$9:$BP$508,"&lt;"&amp;$BP31)+1))</f>
        <v/>
      </c>
      <c r="BR31" s="127" t="str">
        <f aca="false">IF($BL31&lt;&gt;Constants!$B$4,"",IF($BB31="-&gt;",$BH31,$AX31))</f>
        <v/>
      </c>
      <c r="BS31" s="124" t="str">
        <f aca="false">IF(ISBLANK($C31),"",IF($BL31&lt;&gt;Constants!$B$4,$BL31,IF(ISNUMBER($BR31),RANK($BR31,$BR$9:$BR$508,0),COUNT($BR$9:$BR$508)+1)))</f>
        <v/>
      </c>
      <c r="BT31" s="127" t="str">
        <f aca="false">IF($BL31&lt;&gt;Constants!$B$4,"",IF($BB31="-&gt;",$BE31,$AU31))</f>
        <v/>
      </c>
      <c r="BU31" s="124" t="str">
        <f aca="false">IF(ISBLANK($C31),"",IF($BL31&lt;&gt;Constants!$B$4,$BL31,IF(ISNUMBER($BT31),RANK($BT31,$BT$9:$BT$508,0),COUNT($BT$9:$BT$508)+1)))</f>
        <v/>
      </c>
      <c r="BV31" s="127" t="str">
        <f aca="false">IF($BL31&lt;&gt;Constants!$B$4,"",IF($BB31="-&gt;",$BF31,$AV31))</f>
        <v/>
      </c>
      <c r="BW31" s="124" t="str">
        <f aca="false">IF(ISBLANK($C31),"",IF($BL31&lt;&gt;Constants!$B$4,$BL31,IF(ISNUMBER($BV31),RANK($BV31,$BV$9:$BV$508,0),COUNT($BV$9:$BV$508)+1)))</f>
        <v/>
      </c>
      <c r="BX31" s="127" t="str">
        <f aca="false">IF($BL31&lt;&gt;Constants!$B$4,"",IF($BB31="-&gt;",$BK31,$BA31))</f>
        <v/>
      </c>
      <c r="BY31" s="124" t="str">
        <f aca="false">IF(ISBLANK($C31),"",IF($BL31&lt;&gt;Constants!$B$4,$BL31,IF(ISNUMBER($BX31),RANK($BX31,$BX$9:$BX$508,0),COUNT($BX$9:$BX$508)+1)))</f>
        <v/>
      </c>
      <c r="BZ31" s="124" t="str">
        <f aca="false">IF(ISBLANK($C31),"",IF($BL31&lt;&gt;Constants!$B$4,$BL31,COUNTIFS($BM$9:$BM$508,"&lt;"&amp;$BM31)+COUNTIFS($BM$9:$BM$508,$BM31,$BP$9:$BP$508,"&lt;"&amp;$BP31)+COUNTIFS($BM$9:$BM$508,$BM31,$BP$9:$BP$508,$BP31,$BS$9:$BS$508,"&lt;"&amp;$BS31)+COUNTIFS($BM$9:$BM$508,$BM31,$BP$9:$BP$508,$BP31,$BS$9:$BS$508,$BS31,$BU$9:$BU$508,"&lt;"&amp;$BU31)+COUNTIFS($BM$9:$BM$508,$BM31,$BP$9:$BP$508,$BP31,$BS$9:$BS$508,$BS31,$BU$9:$BU$508,$BU31,$BW$9:$BW$508,"&lt;"&amp;$BW31)+COUNTIFS($BM$9:$BM$508,$BM31,$BP$9:$BP$508,$BP31,$BS$9:$BS$508,$BS31,$BU$9:$BU$508,$BU31,$BW$9:$BW$508,$BW31,$BY$9:$BY$508,"&lt;"&amp;$BY31)+1))</f>
        <v/>
      </c>
      <c r="CA31" s="124" t="str">
        <f aca="false">IF(ISBLANK($C31),"",IF($BL31&lt;&gt;Constants!$B$4,$BL31,$BQ31-$BZ31))</f>
        <v/>
      </c>
      <c r="CB31" s="130"/>
      <c r="CC31" s="131" t="str">
        <f aca="false">IF(ISBLANK($C31),"",IF($BL31=Constants!$B$8,$AR31,""))</f>
        <v/>
      </c>
      <c r="CD31" s="131" t="str">
        <f aca="false">IF(ISBLANK($C31),"",IF($BL31&lt;&gt;Constants!$B$4,"",IF($BB31="-&gt;",2,1)))</f>
        <v/>
      </c>
      <c r="CE31" s="132" t="str">
        <f aca="false">IF(ISBLANK($C31),"",IF($BL31&lt;&gt;Constants!$B$4,"",IF($BB31="-&gt;",$BE31,$AU31)))</f>
        <v/>
      </c>
      <c r="CF31" s="132" t="str">
        <f aca="false">IF(ISBLANK($C31),"",IF($BL31&lt;&gt;Constants!$B$4,"",IF($BB31="-&gt;",$BF31,$AV31)))</f>
        <v/>
      </c>
      <c r="CG31" s="132" t="str">
        <f aca="false">IF(ISBLANK($C31),"",IF($BL31&lt;&gt;Constants!$B$4,"",IF($BB31="-&gt;",$BG31,$AW31)))</f>
        <v/>
      </c>
      <c r="CH31" s="132" t="str">
        <f aca="false">IF(ISBLANK($C31),"",IF($BL31&lt;&gt;Constants!$B$4,"",IF($BB31="-&gt;",$BH31,$AX31)))</f>
        <v/>
      </c>
      <c r="CI31" s="133" t="str">
        <f aca="false">IF(ISBLANK($C31),"",$BO31)</f>
        <v/>
      </c>
      <c r="CJ31" s="134" t="str">
        <f aca="false">IF(ISBLANK($C31),"",$BM31)</f>
        <v/>
      </c>
      <c r="CK31" s="135" t="str">
        <f aca="false">IF(ISBLANK($C31),"",$CA31)</f>
        <v/>
      </c>
      <c r="CL31" s="135" t="str">
        <f aca="false">IF(ISBLANK($C31),"",$BZ31)</f>
        <v/>
      </c>
      <c r="CM31" s="136" t="str">
        <f aca="false">IF(ISBLANK($C31),"",IF($CL31=Constants!$B$7,COUNTA($C$9:$C$508)+2,IF($CL31=Constants!$B$6,COUNTA($C$9:$C$508)+1,IF($CL31=Constants!$B$5,COUNTA($C$9:$C$508),$CL31))))</f>
        <v/>
      </c>
      <c r="CN31" s="8"/>
      <c r="CO31" s="137" t="n">
        <f aca="false">IF(OR(ISNUMBER($CL31),$CL31=Constants!$B$7,$CL31=Constants!$B$5,$CL31=Constants!$B$6),1,0)</f>
        <v>0</v>
      </c>
      <c r="CP31" s="137" t="n">
        <v>23</v>
      </c>
      <c r="CQ31" s="137" t="str">
        <f aca="false">IF(ISBLANK($C31),"",IF(ISNUMBER($CM31),$CM31+ROW($B31)/1000,""))</f>
        <v/>
      </c>
      <c r="CR31" s="137" t="str">
        <f aca="false">IF(ISNUMBER($CQ31),RANK($CQ31,$CQ$9:$CQ$508,1),"")</f>
        <v/>
      </c>
      <c r="CS31" s="137" t="str">
        <f aca="false">IF(ISBLANK($C31),"",$B31)</f>
        <v/>
      </c>
      <c r="CT31" s="137" t="str">
        <f aca="false">IF(ISBLANK($C31),"",$C31)</f>
        <v/>
      </c>
      <c r="CU31" s="137" t="str">
        <f aca="false">IF(ISBLANK($C31),"",$D31)</f>
        <v/>
      </c>
      <c r="CV31" s="138" t="str">
        <f aca="false">$CJ31</f>
        <v/>
      </c>
      <c r="CW31" s="139" t="str">
        <f aca="false">$CI31</f>
        <v/>
      </c>
      <c r="CX31" s="137" t="str">
        <f aca="false">IF(ISBLANK($C31),"",$CL31)</f>
        <v/>
      </c>
      <c r="CY31" s="140" t="str">
        <f aca="false">IF($CP31&gt;$CO$8,"",VLOOKUP($CP31,$CR$9:$CX$508,7,FALSE()))</f>
        <v/>
      </c>
      <c r="CZ31" s="141" t="str">
        <f aca="false">IF($CP31&gt;$CO$8,"",VLOOKUP($CP31,$CR$9:$CX$508,2,FALSE()))</f>
        <v/>
      </c>
      <c r="DA31" s="141" t="str">
        <f aca="false">IF($CP31&gt;$CO$8,"",VLOOKUP($CP31,$CR$9:$CX$508,3,FALSE()))</f>
        <v/>
      </c>
      <c r="DB31" s="141" t="str">
        <f aca="false">IF($CP31&gt;$CO$8,"",VLOOKUP($CP31,$CR$9:$CX$508,4,FALSE()))</f>
        <v/>
      </c>
      <c r="DC31" s="141" t="str">
        <f aca="false">IF($CP31&gt;$CO$8,"",VLOOKUP($CP31,$CR$9:$CX$508,5,FALSE()))</f>
        <v/>
      </c>
      <c r="DD31" s="142" t="str">
        <f aca="false">IF($CP31&gt;$CO$8,"",VLOOKUP($CP31,$CR$9:$CX$508,6,FALSE()))</f>
        <v/>
      </c>
      <c r="DE31" s="70"/>
    </row>
    <row r="32" customFormat="false" ht="15.75" hidden="false" customHeight="false" outlineLevel="0" collapsed="false">
      <c r="A32" s="8"/>
      <c r="B32" s="146"/>
      <c r="C32" s="147"/>
      <c r="D32" s="148"/>
      <c r="E32" s="149"/>
      <c r="F32" s="150"/>
      <c r="G32" s="115"/>
      <c r="H32" s="115"/>
      <c r="I32" s="115"/>
      <c r="J32" s="151"/>
      <c r="K32" s="152"/>
      <c r="L32" s="152"/>
      <c r="M32" s="118"/>
      <c r="N32" s="152"/>
      <c r="O32" s="153"/>
      <c r="P32" s="152"/>
      <c r="Q32" s="152"/>
      <c r="R32" s="152"/>
      <c r="S32" s="115"/>
      <c r="T32" s="152"/>
      <c r="U32" s="153"/>
      <c r="V32" s="154"/>
      <c r="W32" s="123"/>
      <c r="X32" s="124" t="str">
        <f aca="false">IF(ISBLANK($C32),"",IF($E32=Constants!$B$2,TRUE(),IF($E32=Constants!$B$3,FALSE(),TRUE())))</f>
        <v/>
      </c>
      <c r="Y32" s="124" t="str">
        <f aca="false">IF(ISBLANK($C32),"",IF($F32=Constants!$B$2,TRUE(),IF($F32=Constants!$B$3,FALSE(),TRUE())))</f>
        <v/>
      </c>
      <c r="Z32" s="125" t="str">
        <f aca="false">IF(ISBLANK($C32),"",IF(ISNUMBER($G32),IF($G32&gt;=0,$G32,""),""))</f>
        <v/>
      </c>
      <c r="AA32" s="125" t="str">
        <f aca="false">IF(ISBLANK($C32),"",IF(ISNUMBER($H32),IF($H32&gt;=0,$H32,""),""))</f>
        <v/>
      </c>
      <c r="AB32" s="125" t="str">
        <f aca="false">IF(ISBLANK($C32),"",IF(ISNUMBER($I32),IF($I32&gt;=0,$I32,""),""))</f>
        <v/>
      </c>
      <c r="AC32" s="124" t="str">
        <f aca="false">IF(ISBLANK($C32),"",IF($J32=Constants!$B$2,TRUE(),IF($J32=Constants!$B$3,FALSE(),TRUE())))</f>
        <v/>
      </c>
      <c r="AD32" s="124" t="str">
        <f aca="false">IF(ISBLANK($C32),"",IF($K32=Constants!$B$2,TRUE(),IF($K32=Constants!$B$3,FALSE(),TRUE())))</f>
        <v/>
      </c>
      <c r="AE32" s="124" t="str">
        <f aca="false">IF(ISBLANK($C32),"",IF($L32=Constants!$B$2,TRUE(),IF($L32=Constants!$B$3,FALSE(),TRUE())))</f>
        <v/>
      </c>
      <c r="AF32" s="126" t="str">
        <f aca="false">IF(ISBLANK($C32),"",IF(ISNUMBER($M32),IF($M32&gt;=0,$M32,""),""))</f>
        <v/>
      </c>
      <c r="AG32" s="124" t="str">
        <f aca="false">IF(ISBLANK($C32),"",IF(ISBLANK($N32),0,IF(ISNUMBER($N32),IF(AND($N32&gt;=0,$N32&lt;=Constants!$B$17,$N32=INT($N32)),$N32,""),"")))</f>
        <v/>
      </c>
      <c r="AH32" s="125" t="str">
        <f aca="false">IF(ISBLANK($C32),"",IF(ISBLANK($O32),0,IF(ISNUMBER($O32),IF($O32&gt;=0,$O32,""),"")))</f>
        <v/>
      </c>
      <c r="AI32" s="124" t="str">
        <f aca="false">IF(ISBLANK($C32),"",IF($P32=Constants!$B$2,TRUE(),IF($P32=Constants!$B$3,FALSE(),TRUE())))</f>
        <v/>
      </c>
      <c r="AJ32" s="124" t="str">
        <f aca="false">IF(ISBLANK($C32),"",IF($Q32=Constants!$B$2,TRUE(),IF($Q32=Constants!$B$3,FALSE(),TRUE())))</f>
        <v/>
      </c>
      <c r="AK32" s="124" t="str">
        <f aca="false">IF(ISBLANK($C32),"",IF($R32=Constants!$B$2,TRUE(),IF($R32=Constants!$B$3,FALSE(),TRUE())))</f>
        <v/>
      </c>
      <c r="AL32" s="126" t="str">
        <f aca="false">IF(ISBLANK($C32),"",IF(ISNUMBER($S32),IF($S32&gt;=0,$S32,""),""))</f>
        <v/>
      </c>
      <c r="AM32" s="124" t="str">
        <f aca="false">IF(ISBLANK($C32),"",IF(ISBLANK($T32),0,IF(ISNUMBER($T32),IF(AND($T32&gt;=0,$T32&lt;=Constants!$B$17,$T32=INT($T32)),$T32,""),"")))</f>
        <v/>
      </c>
      <c r="AN32" s="125" t="str">
        <f aca="false">IF(ISBLANK($C32),"",IF(ISBLANK($U32),0,IF(ISNUMBER($U32),IF($U32&gt;=0,$U32,""),"")))</f>
        <v/>
      </c>
      <c r="AO32" s="124" t="str">
        <f aca="false">IF(ISBLANK($C32),"",IF($V32=Constants!$B$2,TRUE(),IF($V32=Constants!$B$3,FALSE(),FALSE())))</f>
        <v/>
      </c>
      <c r="AP32" s="124"/>
      <c r="AQ32" s="123" t="str">
        <f aca="false">IF(ISBLANK($C32),"",AND($Y32,OR($AS32,$BC32),OR($Z32="",$AA32="",$AB32="")))</f>
        <v/>
      </c>
      <c r="AR32" s="123" t="str">
        <f aca="false">IF(ISBLANK($C32),"",IF(OR(NOT($Y32),NOT(OR($AS32,$BC32))),"",IF(ISBLANK($D$7),$AR$5,IF($AP$9="",$AR$6,""))))</f>
        <v/>
      </c>
      <c r="AS32" s="123" t="str">
        <f aca="false">IF(ISBLANK($C32),"",COUNTA($J32:$O32)&gt;0)</f>
        <v/>
      </c>
      <c r="AT32" s="123" t="str">
        <f aca="false">IF(ISBLANK($C32),"",AND($AS32,OR(AND($AF32="",OR($AE32,NOT(ISBLANK($M32)))),$AG32="",$AH32="")))</f>
        <v/>
      </c>
      <c r="AU32" s="125" t="str">
        <f aca="false">IF($BL32&lt;&gt;Constants!$B$4,"",IF(NOT($AS32),"",ROUND((Constants!$B$12-$AB32)+(Constants!$B$13-$Z32)+(Constants!$B$14-$AA32),1)))</f>
        <v/>
      </c>
      <c r="AV32" s="127" t="str">
        <f aca="false">IF($BL32&lt;&gt;Constants!$B$4,"",IF(NOT($AS32),"",IF(NOT($AE32),0,Constants!$B$15*(INT(ROUND(MIN($AF32,$AP$9),6))-INT(ROUND(MAX(0,MIN($AF32,2*$AP$9)-$AP$9),6))))))</f>
        <v/>
      </c>
      <c r="AW32" s="127" t="str">
        <f aca="false">IF($BL32&lt;&gt;Constants!$B$4,"",IF(NOT($AS32),"",Constants!$B$16*$AG32))</f>
        <v/>
      </c>
      <c r="AX32" s="127" t="str">
        <f aca="false">IF($BL32&lt;&gt;Constants!$B$4,"",IF(NOT($AS32),"",Constants!$B$18*INT(ROUND($AH32,6))))</f>
        <v/>
      </c>
      <c r="AY32" s="123" t="str">
        <f aca="false">IF($BL32&lt;&gt;Constants!$B$4,"",IF(NOT($AS32),"",IF(NOT($X32),Constants!$B$11,IF(OR(NOT($AC32),NOT($AD32),ROUND($AB32,1)&gt;Constants!$B$12,ROUND($Z32,1)&gt;Constants!$B$13,ROUND($AA32,1)&gt;Constants!$B$14),Constants!$B$10,Constants!$B$9))))</f>
        <v/>
      </c>
      <c r="AZ32" s="128" t="str">
        <f aca="false">IF($BL32&lt;&gt;Constants!$B$4,"",IF(NOT($AS32),"",ROUND($AU32+$AV32+$AW32+$AX32,1)))</f>
        <v/>
      </c>
      <c r="BA32" s="129" t="str">
        <f aca="false">IF($BL32&lt;&gt;Constants!$B$4,"",IF(NOT($AS32),"",IF(ISNUMBER($AF32),$AF32,0)))</f>
        <v/>
      </c>
      <c r="BB32" s="124" t="str">
        <f aca="false">IF($BL32&lt;&gt;Constants!$B$4,"",IF(NOT($BC32),"&lt;-",IF(NOT($AS32),"-&gt;",IF(OR($BI32&lt;$AY32,AND($BI32=$AY32,OR($BJ32&gt;$AZ32,AND($BJ32=$AZ32,OR($BH32&gt;$AX32,AND($BH32=$AX32,OR($BE32&gt;$AU32,AND($BE32=$AU32,OR($BF32&gt;$AV32,AND($BF32=$AV32,$BK32&gt;$BA32)))))))))),"-&gt;","&lt;-"))))</f>
        <v/>
      </c>
      <c r="BC32" s="123" t="str">
        <f aca="false">IF(ISBLANK($C32),"",COUNTA($P32:$U32)&gt;0)</f>
        <v/>
      </c>
      <c r="BD32" s="123" t="str">
        <f aca="false">IF(ISBLANK($C32),"",AND($BC32,OR(AND($AL32="",OR($AK32,NOT(ISBLANK($S32)))),$AM32="",$AN32="")))</f>
        <v/>
      </c>
      <c r="BE32" s="125" t="str">
        <f aca="false">IF($BL32&lt;&gt;Constants!$B$4,"",IF(NOT($BC32),"",ROUND((Constants!$B$12-$AB32)+(Constants!$B$13-$Z32)+(Constants!$B$14-$AA32),1)))</f>
        <v/>
      </c>
      <c r="BF32" s="127" t="str">
        <f aca="false">IF($BL32&lt;&gt;Constants!$B$4,"",IF(NOT($BC32),"",IF(NOT($AK32),0,Constants!$B$15*(INT(ROUND(MIN($AL32,$AP$9),6))-INT(ROUND(MAX(0,MIN($AL32,2*$AP$9)-$AP$9),6))))))</f>
        <v/>
      </c>
      <c r="BG32" s="127" t="str">
        <f aca="false">IF($BL32&lt;&gt;Constants!$B$4,"",IF(NOT($BC32),"",Constants!$B$16*$AM32))</f>
        <v/>
      </c>
      <c r="BH32" s="127" t="str">
        <f aca="false">IF($BL32&lt;&gt;Constants!$B$4,"",IF(NOT($BC32),"",Constants!$B$18*INT(ROUND($AN32,6))))</f>
        <v/>
      </c>
      <c r="BI32" s="123" t="str">
        <f aca="false">IF($BL32&lt;&gt;Constants!$B$4,"",IF(NOT($BC32),"",IF(NOT($X32),Constants!$B$11,IF(OR(NOT($AI32),NOT($AJ32),ROUND($AB32,1)&gt;Constants!$B$12,ROUND($Z32,1)&gt;Constants!$B$13,ROUND($AA32,1)&gt;Constants!$B$14),Constants!$B$10,Constants!$B$9))))</f>
        <v/>
      </c>
      <c r="BJ32" s="128" t="str">
        <f aca="false">IF($BL32&lt;&gt;Constants!$B$4,"",IF(NOT($BC32),"",ROUND($BE32+$BF32+$BG32+$BH32,1)))</f>
        <v/>
      </c>
      <c r="BK32" s="129" t="str">
        <f aca="false">IF($BL32&lt;&gt;Constants!$B$4,"",IF(NOT($BC32),"",IF(ISNUMBER($AL32),$AL32,0)))</f>
        <v/>
      </c>
      <c r="BL32" s="124" t="str">
        <f aca="false">IF(ISBLANK($C32),"",IF($AO32,Constants!$B$7,IF(COUNTA($E32:$V32)=0,Constants!$B$6,IF(NOT($Y32),Constants!$B$5,IF(NOT(OR($AS32,$BC32)),Constants!$B$5,IF(OR($AT32,$BD32,$AQ32,$AR32&lt;&gt;""),Constants!$B$8,Constants!$B$4))))))</f>
        <v/>
      </c>
      <c r="BM32" s="124" t="str">
        <f aca="false">IF(ISBLANK($C32),"",IF($BL32&lt;&gt;Constants!$B$4,$BL32,IF($BB32="-&gt;",$BI32,$AY32)))</f>
        <v/>
      </c>
      <c r="BN32" s="127" t="str">
        <f aca="false">IF($BL32&lt;&gt;Constants!$B$4,"",IF($BB32="-&gt;",$BJ32,$AZ32))</f>
        <v/>
      </c>
      <c r="BO32" s="127" t="str">
        <f aca="false">IF(ISBLANK($C32),"",IF($BL32&lt;&gt;Constants!$B$4,$BL32,$BN32))</f>
        <v/>
      </c>
      <c r="BP32" s="124" t="str">
        <f aca="false">IF(ISBLANK($C32),"",IF($BL32&lt;&gt;Constants!$B$4,$BL32,RANK($BO32,$BO$9:$BO$508,0)))</f>
        <v/>
      </c>
      <c r="BQ32" s="124" t="str">
        <f aca="false">IF(ISBLANK($C32),"",IF($BL32&lt;&gt;Constants!$B$4,$BL32,COUNTIFS($BM$9:$BM$508,"&lt;"&amp;$BM32)+COUNTIFS($BM$9:$BM$508,$BM32,$BP$9:$BP$508,"&lt;"&amp;$BP32)+1))</f>
        <v/>
      </c>
      <c r="BR32" s="127" t="str">
        <f aca="false">IF($BL32&lt;&gt;Constants!$B$4,"",IF($BB32="-&gt;",$BH32,$AX32))</f>
        <v/>
      </c>
      <c r="BS32" s="124" t="str">
        <f aca="false">IF(ISBLANK($C32),"",IF($BL32&lt;&gt;Constants!$B$4,$BL32,IF(ISNUMBER($BR32),RANK($BR32,$BR$9:$BR$508,0),COUNT($BR$9:$BR$508)+1)))</f>
        <v/>
      </c>
      <c r="BT32" s="127" t="str">
        <f aca="false">IF($BL32&lt;&gt;Constants!$B$4,"",IF($BB32="-&gt;",$BE32,$AU32))</f>
        <v/>
      </c>
      <c r="BU32" s="124" t="str">
        <f aca="false">IF(ISBLANK($C32),"",IF($BL32&lt;&gt;Constants!$B$4,$BL32,IF(ISNUMBER($BT32),RANK($BT32,$BT$9:$BT$508,0),COUNT($BT$9:$BT$508)+1)))</f>
        <v/>
      </c>
      <c r="BV32" s="127" t="str">
        <f aca="false">IF($BL32&lt;&gt;Constants!$B$4,"",IF($BB32="-&gt;",$BF32,$AV32))</f>
        <v/>
      </c>
      <c r="BW32" s="124" t="str">
        <f aca="false">IF(ISBLANK($C32),"",IF($BL32&lt;&gt;Constants!$B$4,$BL32,IF(ISNUMBER($BV32),RANK($BV32,$BV$9:$BV$508,0),COUNT($BV$9:$BV$508)+1)))</f>
        <v/>
      </c>
      <c r="BX32" s="127" t="str">
        <f aca="false">IF($BL32&lt;&gt;Constants!$B$4,"",IF($BB32="-&gt;",$BK32,$BA32))</f>
        <v/>
      </c>
      <c r="BY32" s="124" t="str">
        <f aca="false">IF(ISBLANK($C32),"",IF($BL32&lt;&gt;Constants!$B$4,$BL32,IF(ISNUMBER($BX32),RANK($BX32,$BX$9:$BX$508,0),COUNT($BX$9:$BX$508)+1)))</f>
        <v/>
      </c>
      <c r="BZ32" s="124" t="str">
        <f aca="false">IF(ISBLANK($C32),"",IF($BL32&lt;&gt;Constants!$B$4,$BL32,COUNTIFS($BM$9:$BM$508,"&lt;"&amp;$BM32)+COUNTIFS($BM$9:$BM$508,$BM32,$BP$9:$BP$508,"&lt;"&amp;$BP32)+COUNTIFS($BM$9:$BM$508,$BM32,$BP$9:$BP$508,$BP32,$BS$9:$BS$508,"&lt;"&amp;$BS32)+COUNTIFS($BM$9:$BM$508,$BM32,$BP$9:$BP$508,$BP32,$BS$9:$BS$508,$BS32,$BU$9:$BU$508,"&lt;"&amp;$BU32)+COUNTIFS($BM$9:$BM$508,$BM32,$BP$9:$BP$508,$BP32,$BS$9:$BS$508,$BS32,$BU$9:$BU$508,$BU32,$BW$9:$BW$508,"&lt;"&amp;$BW32)+COUNTIFS($BM$9:$BM$508,$BM32,$BP$9:$BP$508,$BP32,$BS$9:$BS$508,$BS32,$BU$9:$BU$508,$BU32,$BW$9:$BW$508,$BW32,$BY$9:$BY$508,"&lt;"&amp;$BY32)+1))</f>
        <v/>
      </c>
      <c r="CA32" s="124" t="str">
        <f aca="false">IF(ISBLANK($C32),"",IF($BL32&lt;&gt;Constants!$B$4,$BL32,$BQ32-$BZ32))</f>
        <v/>
      </c>
      <c r="CB32" s="130"/>
      <c r="CC32" s="131" t="str">
        <f aca="false">IF(ISBLANK($C32),"",IF($BL32=Constants!$B$8,$AR32,""))</f>
        <v/>
      </c>
      <c r="CD32" s="131" t="str">
        <f aca="false">IF(ISBLANK($C32),"",IF($BL32&lt;&gt;Constants!$B$4,"",IF($BB32="-&gt;",2,1)))</f>
        <v/>
      </c>
      <c r="CE32" s="132" t="str">
        <f aca="false">IF(ISBLANK($C32),"",IF($BL32&lt;&gt;Constants!$B$4,"",IF($BB32="-&gt;",$BE32,$AU32)))</f>
        <v/>
      </c>
      <c r="CF32" s="132" t="str">
        <f aca="false">IF(ISBLANK($C32),"",IF($BL32&lt;&gt;Constants!$B$4,"",IF($BB32="-&gt;",$BF32,$AV32)))</f>
        <v/>
      </c>
      <c r="CG32" s="132" t="str">
        <f aca="false">IF(ISBLANK($C32),"",IF($BL32&lt;&gt;Constants!$B$4,"",IF($BB32="-&gt;",$BG32,$AW32)))</f>
        <v/>
      </c>
      <c r="CH32" s="132" t="str">
        <f aca="false">IF(ISBLANK($C32),"",IF($BL32&lt;&gt;Constants!$B$4,"",IF($BB32="-&gt;",$BH32,$AX32)))</f>
        <v/>
      </c>
      <c r="CI32" s="133" t="str">
        <f aca="false">IF(ISBLANK($C32),"",$BO32)</f>
        <v/>
      </c>
      <c r="CJ32" s="134" t="str">
        <f aca="false">IF(ISBLANK($C32),"",$BM32)</f>
        <v/>
      </c>
      <c r="CK32" s="135" t="str">
        <f aca="false">IF(ISBLANK($C32),"",$CA32)</f>
        <v/>
      </c>
      <c r="CL32" s="135" t="str">
        <f aca="false">IF(ISBLANK($C32),"",$BZ32)</f>
        <v/>
      </c>
      <c r="CM32" s="136" t="str">
        <f aca="false">IF(ISBLANK($C32),"",IF($CL32=Constants!$B$7,COUNTA($C$9:$C$508)+2,IF($CL32=Constants!$B$6,COUNTA($C$9:$C$508)+1,IF($CL32=Constants!$B$5,COUNTA($C$9:$C$508),$CL32))))</f>
        <v/>
      </c>
      <c r="CN32" s="8"/>
      <c r="CO32" s="137" t="n">
        <f aca="false">IF(OR(ISNUMBER($CL32),$CL32=Constants!$B$7,$CL32=Constants!$B$5,$CL32=Constants!$B$6),1,0)</f>
        <v>0</v>
      </c>
      <c r="CP32" s="137" t="n">
        <v>24</v>
      </c>
      <c r="CQ32" s="137" t="str">
        <f aca="false">IF(ISBLANK($C32),"",IF(ISNUMBER($CM32),$CM32+ROW($B32)/1000,""))</f>
        <v/>
      </c>
      <c r="CR32" s="137" t="str">
        <f aca="false">IF(ISNUMBER($CQ32),RANK($CQ32,$CQ$9:$CQ$508,1),"")</f>
        <v/>
      </c>
      <c r="CS32" s="137" t="str">
        <f aca="false">IF(ISBLANK($C32),"",$B32)</f>
        <v/>
      </c>
      <c r="CT32" s="137" t="str">
        <f aca="false">IF(ISBLANK($C32),"",$C32)</f>
        <v/>
      </c>
      <c r="CU32" s="137" t="str">
        <f aca="false">IF(ISBLANK($C32),"",$D32)</f>
        <v/>
      </c>
      <c r="CV32" s="138" t="str">
        <f aca="false">$CJ32</f>
        <v/>
      </c>
      <c r="CW32" s="139" t="str">
        <f aca="false">$CI32</f>
        <v/>
      </c>
      <c r="CX32" s="137" t="str">
        <f aca="false">IF(ISBLANK($C32),"",$CL32)</f>
        <v/>
      </c>
      <c r="CY32" s="140" t="str">
        <f aca="false">IF($CP32&gt;$CO$8,"",VLOOKUP($CP32,$CR$9:$CX$508,7,FALSE()))</f>
        <v/>
      </c>
      <c r="CZ32" s="141" t="str">
        <f aca="false">IF($CP32&gt;$CO$8,"",VLOOKUP($CP32,$CR$9:$CX$508,2,FALSE()))</f>
        <v/>
      </c>
      <c r="DA32" s="141" t="str">
        <f aca="false">IF($CP32&gt;$CO$8,"",VLOOKUP($CP32,$CR$9:$CX$508,3,FALSE()))</f>
        <v/>
      </c>
      <c r="DB32" s="141" t="str">
        <f aca="false">IF($CP32&gt;$CO$8,"",VLOOKUP($CP32,$CR$9:$CX$508,4,FALSE()))</f>
        <v/>
      </c>
      <c r="DC32" s="141" t="str">
        <f aca="false">IF($CP32&gt;$CO$8,"",VLOOKUP($CP32,$CR$9:$CX$508,5,FALSE()))</f>
        <v/>
      </c>
      <c r="DD32" s="142" t="str">
        <f aca="false">IF($CP32&gt;$CO$8,"",VLOOKUP($CP32,$CR$9:$CX$508,6,FALSE()))</f>
        <v/>
      </c>
      <c r="DE32" s="70"/>
    </row>
    <row r="33" customFormat="false" ht="15.75" hidden="false" customHeight="false" outlineLevel="0" collapsed="false">
      <c r="A33" s="8"/>
      <c r="B33" s="72"/>
      <c r="C33" s="73"/>
      <c r="D33" s="155"/>
      <c r="E33" s="156"/>
      <c r="F33" s="157"/>
      <c r="G33" s="77"/>
      <c r="H33" s="77"/>
      <c r="I33" s="77"/>
      <c r="J33" s="158"/>
      <c r="K33" s="159"/>
      <c r="L33" s="159"/>
      <c r="M33" s="80"/>
      <c r="N33" s="159"/>
      <c r="O33" s="160"/>
      <c r="P33" s="159"/>
      <c r="Q33" s="159"/>
      <c r="R33" s="159"/>
      <c r="S33" s="77"/>
      <c r="T33" s="159"/>
      <c r="U33" s="160"/>
      <c r="V33" s="161"/>
      <c r="W33" s="85"/>
      <c r="X33" s="86" t="str">
        <f aca="false">IF(ISBLANK($C33),"",IF($E33=Constants!$B$2,TRUE(),IF($E33=Constants!$B$3,FALSE(),TRUE())))</f>
        <v/>
      </c>
      <c r="Y33" s="86" t="str">
        <f aca="false">IF(ISBLANK($C33),"",IF($F33=Constants!$B$2,TRUE(),IF($F33=Constants!$B$3,FALSE(),TRUE())))</f>
        <v/>
      </c>
      <c r="Z33" s="87" t="str">
        <f aca="false">IF(ISBLANK($C33),"",IF(ISNUMBER($G33),IF($G33&gt;=0,$G33,""),""))</f>
        <v/>
      </c>
      <c r="AA33" s="87" t="str">
        <f aca="false">IF(ISBLANK($C33),"",IF(ISNUMBER($H33),IF($H33&gt;=0,$H33,""),""))</f>
        <v/>
      </c>
      <c r="AB33" s="87" t="str">
        <f aca="false">IF(ISBLANK($C33),"",IF(ISNUMBER($I33),IF($I33&gt;=0,$I33,""),""))</f>
        <v/>
      </c>
      <c r="AC33" s="86" t="str">
        <f aca="false">IF(ISBLANK($C33),"",IF($J33=Constants!$B$2,TRUE(),IF($J33=Constants!$B$3,FALSE(),TRUE())))</f>
        <v/>
      </c>
      <c r="AD33" s="86" t="str">
        <f aca="false">IF(ISBLANK($C33),"",IF($K33=Constants!$B$2,TRUE(),IF($K33=Constants!$B$3,FALSE(),TRUE())))</f>
        <v/>
      </c>
      <c r="AE33" s="86" t="str">
        <f aca="false">IF(ISBLANK($C33),"",IF($L33=Constants!$B$2,TRUE(),IF($L33=Constants!$B$3,FALSE(),TRUE())))</f>
        <v/>
      </c>
      <c r="AF33" s="88" t="str">
        <f aca="false">IF(ISBLANK($C33),"",IF(ISNUMBER($M33),IF($M33&gt;=0,$M33,""),""))</f>
        <v/>
      </c>
      <c r="AG33" s="86" t="str">
        <f aca="false">IF(ISBLANK($C33),"",IF(ISBLANK($N33),0,IF(ISNUMBER($N33),IF(AND($N33&gt;=0,$N33&lt;=Constants!$B$17,$N33=INT($N33)),$N33,""),"")))</f>
        <v/>
      </c>
      <c r="AH33" s="87" t="str">
        <f aca="false">IF(ISBLANK($C33),"",IF(ISBLANK($O33),0,IF(ISNUMBER($O33),IF($O33&gt;=0,$O33,""),"")))</f>
        <v/>
      </c>
      <c r="AI33" s="86" t="str">
        <f aca="false">IF(ISBLANK($C33),"",IF($P33=Constants!$B$2,TRUE(),IF($P33=Constants!$B$3,FALSE(),TRUE())))</f>
        <v/>
      </c>
      <c r="AJ33" s="86" t="str">
        <f aca="false">IF(ISBLANK($C33),"",IF($Q33=Constants!$B$2,TRUE(),IF($Q33=Constants!$B$3,FALSE(),TRUE())))</f>
        <v/>
      </c>
      <c r="AK33" s="86" t="str">
        <f aca="false">IF(ISBLANK($C33),"",IF($R33=Constants!$B$2,TRUE(),IF($R33=Constants!$B$3,FALSE(),TRUE())))</f>
        <v/>
      </c>
      <c r="AL33" s="88" t="str">
        <f aca="false">IF(ISBLANK($C33),"",IF(ISNUMBER($S33),IF($S33&gt;=0,$S33,""),""))</f>
        <v/>
      </c>
      <c r="AM33" s="86" t="str">
        <f aca="false">IF(ISBLANK($C33),"",IF(ISBLANK($T33),0,IF(ISNUMBER($T33),IF(AND($T33&gt;=0,$T33&lt;=Constants!$B$17,$T33=INT($T33)),$T33,""),"")))</f>
        <v/>
      </c>
      <c r="AN33" s="87" t="str">
        <f aca="false">IF(ISBLANK($C33),"",IF(ISBLANK($U33),0,IF(ISNUMBER($U33),IF($U33&gt;=0,$U33,""),"")))</f>
        <v/>
      </c>
      <c r="AO33" s="86" t="str">
        <f aca="false">IF(ISBLANK($C33),"",IF($V33=Constants!$B$2,TRUE(),IF($V33=Constants!$B$3,FALSE(),FALSE())))</f>
        <v/>
      </c>
      <c r="AP33" s="86"/>
      <c r="AQ33" s="85" t="str">
        <f aca="false">IF(ISBLANK($C33),"",AND($Y33,OR($AS33,$BC33),OR($Z33="",$AA33="",$AB33="")))</f>
        <v/>
      </c>
      <c r="AR33" s="85" t="str">
        <f aca="false">IF(ISBLANK($C33),"",IF(OR(NOT($Y33),NOT(OR($AS33,$BC33))),"",IF(ISBLANK($D$7),$AR$5,IF($AP$9="",$AR$6,""))))</f>
        <v/>
      </c>
      <c r="AS33" s="85" t="str">
        <f aca="false">IF(ISBLANK($C33),"",COUNTA($J33:$O33)&gt;0)</f>
        <v/>
      </c>
      <c r="AT33" s="85" t="str">
        <f aca="false">IF(ISBLANK($C33),"",AND($AS33,OR(AND($AF33="",OR($AE33,NOT(ISBLANK($M33)))),$AG33="",$AH33="")))</f>
        <v/>
      </c>
      <c r="AU33" s="87" t="str">
        <f aca="false">IF($BL33&lt;&gt;Constants!$B$4,"",IF(NOT($AS33),"",ROUND((Constants!$B$12-$AB33)+(Constants!$B$13-$Z33)+(Constants!$B$14-$AA33),1)))</f>
        <v/>
      </c>
      <c r="AV33" s="90" t="str">
        <f aca="false">IF($BL33&lt;&gt;Constants!$B$4,"",IF(NOT($AS33),"",IF(NOT($AE33),0,Constants!$B$15*(INT(ROUND(MIN($AF33,$AP$9),6))-INT(ROUND(MAX(0,MIN($AF33,2*$AP$9)-$AP$9),6))))))</f>
        <v/>
      </c>
      <c r="AW33" s="90" t="str">
        <f aca="false">IF($BL33&lt;&gt;Constants!$B$4,"",IF(NOT($AS33),"",Constants!$B$16*$AG33))</f>
        <v/>
      </c>
      <c r="AX33" s="90" t="str">
        <f aca="false">IF($BL33&lt;&gt;Constants!$B$4,"",IF(NOT($AS33),"",Constants!$B$18*INT(ROUND($AH33,6))))</f>
        <v/>
      </c>
      <c r="AY33" s="85" t="str">
        <f aca="false">IF($BL33&lt;&gt;Constants!$B$4,"",IF(NOT($AS33),"",IF(NOT($X33),Constants!$B$11,IF(OR(NOT($AC33),NOT($AD33),ROUND($AB33,1)&gt;Constants!$B$12,ROUND($Z33,1)&gt;Constants!$B$13,ROUND($AA33,1)&gt;Constants!$B$14),Constants!$B$10,Constants!$B$9))))</f>
        <v/>
      </c>
      <c r="AZ33" s="91" t="str">
        <f aca="false">IF($BL33&lt;&gt;Constants!$B$4,"",IF(NOT($AS33),"",ROUND($AU33+$AV33+$AW33+$AX33,1)))</f>
        <v/>
      </c>
      <c r="BA33" s="92" t="str">
        <f aca="false">IF($BL33&lt;&gt;Constants!$B$4,"",IF(NOT($AS33),"",IF(ISNUMBER($AF33),$AF33,0)))</f>
        <v/>
      </c>
      <c r="BB33" s="86" t="str">
        <f aca="false">IF($BL33&lt;&gt;Constants!$B$4,"",IF(NOT($BC33),"&lt;-",IF(NOT($AS33),"-&gt;",IF(OR($BI33&lt;$AY33,AND($BI33=$AY33,OR($BJ33&gt;$AZ33,AND($BJ33=$AZ33,OR($BH33&gt;$AX33,AND($BH33=$AX33,OR($BE33&gt;$AU33,AND($BE33=$AU33,OR($BF33&gt;$AV33,AND($BF33=$AV33,$BK33&gt;$BA33)))))))))),"-&gt;","&lt;-"))))</f>
        <v/>
      </c>
      <c r="BC33" s="85" t="str">
        <f aca="false">IF(ISBLANK($C33),"",COUNTA($P33:$U33)&gt;0)</f>
        <v/>
      </c>
      <c r="BD33" s="85" t="str">
        <f aca="false">IF(ISBLANK($C33),"",AND($BC33,OR(AND($AL33="",OR($AK33,NOT(ISBLANK($S33)))),$AM33="",$AN33="")))</f>
        <v/>
      </c>
      <c r="BE33" s="87" t="str">
        <f aca="false">IF($BL33&lt;&gt;Constants!$B$4,"",IF(NOT($BC33),"",ROUND((Constants!$B$12-$AB33)+(Constants!$B$13-$Z33)+(Constants!$B$14-$AA33),1)))</f>
        <v/>
      </c>
      <c r="BF33" s="90" t="str">
        <f aca="false">IF($BL33&lt;&gt;Constants!$B$4,"",IF(NOT($BC33),"",IF(NOT($AK33),0,Constants!$B$15*(INT(ROUND(MIN($AL33,$AP$9),6))-INT(ROUND(MAX(0,MIN($AL33,2*$AP$9)-$AP$9),6))))))</f>
        <v/>
      </c>
      <c r="BG33" s="90" t="str">
        <f aca="false">IF($BL33&lt;&gt;Constants!$B$4,"",IF(NOT($BC33),"",Constants!$B$16*$AM33))</f>
        <v/>
      </c>
      <c r="BH33" s="90" t="str">
        <f aca="false">IF($BL33&lt;&gt;Constants!$B$4,"",IF(NOT($BC33),"",Constants!$B$18*INT(ROUND($AN33,6))))</f>
        <v/>
      </c>
      <c r="BI33" s="85" t="str">
        <f aca="false">IF($BL33&lt;&gt;Constants!$B$4,"",IF(NOT($BC33),"",IF(NOT($X33),Constants!$B$11,IF(OR(NOT($AI33),NOT($AJ33),ROUND($AB33,1)&gt;Constants!$B$12,ROUND($Z33,1)&gt;Constants!$B$13,ROUND($AA33,1)&gt;Constants!$B$14),Constants!$B$10,Constants!$B$9))))</f>
        <v/>
      </c>
      <c r="BJ33" s="91" t="str">
        <f aca="false">IF($BL33&lt;&gt;Constants!$B$4,"",IF(NOT($BC33),"",ROUND($BE33+$BF33+$BG33+$BH33,1)))</f>
        <v/>
      </c>
      <c r="BK33" s="92" t="str">
        <f aca="false">IF($BL33&lt;&gt;Constants!$B$4,"",IF(NOT($BC33),"",IF(ISNUMBER($AL33),$AL33,0)))</f>
        <v/>
      </c>
      <c r="BL33" s="86" t="str">
        <f aca="false">IF(ISBLANK($C33),"",IF($AO33,Constants!$B$7,IF(COUNTA($E33:$V33)=0,Constants!$B$6,IF(NOT($Y33),Constants!$B$5,IF(NOT(OR($AS33,$BC33)),Constants!$B$5,IF(OR($AT33,$BD33,$AQ33,$AR33&lt;&gt;""),Constants!$B$8,Constants!$B$4))))))</f>
        <v/>
      </c>
      <c r="BM33" s="86" t="str">
        <f aca="false">IF(ISBLANK($C33),"",IF($BL33&lt;&gt;Constants!$B$4,$BL33,IF($BB33="-&gt;",$BI33,$AY33)))</f>
        <v/>
      </c>
      <c r="BN33" s="90" t="str">
        <f aca="false">IF($BL33&lt;&gt;Constants!$B$4,"",IF($BB33="-&gt;",$BJ33,$AZ33))</f>
        <v/>
      </c>
      <c r="BO33" s="90" t="str">
        <f aca="false">IF(ISBLANK($C33),"",IF($BL33&lt;&gt;Constants!$B$4,$BL33,$BN33))</f>
        <v/>
      </c>
      <c r="BP33" s="86" t="str">
        <f aca="false">IF(ISBLANK($C33),"",IF($BL33&lt;&gt;Constants!$B$4,$BL33,RANK($BO33,$BO$9:$BO$508,0)))</f>
        <v/>
      </c>
      <c r="BQ33" s="86" t="str">
        <f aca="false">IF(ISBLANK($C33),"",IF($BL33&lt;&gt;Constants!$B$4,$BL33,COUNTIFS($BM$9:$BM$508,"&lt;"&amp;$BM33)+COUNTIFS($BM$9:$BM$508,$BM33,$BP$9:$BP$508,"&lt;"&amp;$BP33)+1))</f>
        <v/>
      </c>
      <c r="BR33" s="90" t="str">
        <f aca="false">IF($BL33&lt;&gt;Constants!$B$4,"",IF($BB33="-&gt;",$BH33,$AX33))</f>
        <v/>
      </c>
      <c r="BS33" s="86" t="str">
        <f aca="false">IF(ISBLANK($C33),"",IF($BL33&lt;&gt;Constants!$B$4,$BL33,IF(ISNUMBER($BR33),RANK($BR33,$BR$9:$BR$508,0),COUNT($BR$9:$BR$508)+1)))</f>
        <v/>
      </c>
      <c r="BT33" s="90" t="str">
        <f aca="false">IF($BL33&lt;&gt;Constants!$B$4,"",IF($BB33="-&gt;",$BE33,$AU33))</f>
        <v/>
      </c>
      <c r="BU33" s="86" t="str">
        <f aca="false">IF(ISBLANK($C33),"",IF($BL33&lt;&gt;Constants!$B$4,$BL33,IF(ISNUMBER($BT33),RANK($BT33,$BT$9:$BT$508,0),COUNT($BT$9:$BT$508)+1)))</f>
        <v/>
      </c>
      <c r="BV33" s="90" t="str">
        <f aca="false">IF($BL33&lt;&gt;Constants!$B$4,"",IF($BB33="-&gt;",$BF33,$AV33))</f>
        <v/>
      </c>
      <c r="BW33" s="86" t="str">
        <f aca="false">IF(ISBLANK($C33),"",IF($BL33&lt;&gt;Constants!$B$4,$BL33,IF(ISNUMBER($BV33),RANK($BV33,$BV$9:$BV$508,0),COUNT($BV$9:$BV$508)+1)))</f>
        <v/>
      </c>
      <c r="BX33" s="90" t="str">
        <f aca="false">IF($BL33&lt;&gt;Constants!$B$4,"",IF($BB33="-&gt;",$BK33,$BA33))</f>
        <v/>
      </c>
      <c r="BY33" s="86" t="str">
        <f aca="false">IF(ISBLANK($C33),"",IF($BL33&lt;&gt;Constants!$B$4,$BL33,IF(ISNUMBER($BX33),RANK($BX33,$BX$9:$BX$508,0),COUNT($BX$9:$BX$508)+1)))</f>
        <v/>
      </c>
      <c r="BZ33" s="86" t="str">
        <f aca="false">IF(ISBLANK($C33),"",IF($BL33&lt;&gt;Constants!$B$4,$BL33,COUNTIFS($BM$9:$BM$508,"&lt;"&amp;$BM33)+COUNTIFS($BM$9:$BM$508,$BM33,$BP$9:$BP$508,"&lt;"&amp;$BP33)+COUNTIFS($BM$9:$BM$508,$BM33,$BP$9:$BP$508,$BP33,$BS$9:$BS$508,"&lt;"&amp;$BS33)+COUNTIFS($BM$9:$BM$508,$BM33,$BP$9:$BP$508,$BP33,$BS$9:$BS$508,$BS33,$BU$9:$BU$508,"&lt;"&amp;$BU33)+COUNTIFS($BM$9:$BM$508,$BM33,$BP$9:$BP$508,$BP33,$BS$9:$BS$508,$BS33,$BU$9:$BU$508,$BU33,$BW$9:$BW$508,"&lt;"&amp;$BW33)+COUNTIFS($BM$9:$BM$508,$BM33,$BP$9:$BP$508,$BP33,$BS$9:$BS$508,$BS33,$BU$9:$BU$508,$BU33,$BW$9:$BW$508,$BW33,$BY$9:$BY$508,"&lt;"&amp;$BY33)+1))</f>
        <v/>
      </c>
      <c r="CA33" s="86" t="str">
        <f aca="false">IF(ISBLANK($C33),"",IF($BL33&lt;&gt;Constants!$B$4,$BL33,$BQ33-$BZ33))</f>
        <v/>
      </c>
      <c r="CB33" s="93"/>
      <c r="CC33" s="94" t="str">
        <f aca="false">IF(ISBLANK($C33),"",IF($BL33=Constants!$B$8,$AR33,""))</f>
        <v/>
      </c>
      <c r="CD33" s="94" t="str">
        <f aca="false">IF(ISBLANK($C33),"",IF($BL33&lt;&gt;Constants!$B$4,"",IF($BB33="-&gt;",2,1)))</f>
        <v/>
      </c>
      <c r="CE33" s="95" t="str">
        <f aca="false">IF(ISBLANK($C33),"",IF($BL33&lt;&gt;Constants!$B$4,"",IF($BB33="-&gt;",$BE33,$AU33)))</f>
        <v/>
      </c>
      <c r="CF33" s="95" t="str">
        <f aca="false">IF(ISBLANK($C33),"",IF($BL33&lt;&gt;Constants!$B$4,"",IF($BB33="-&gt;",$BF33,$AV33)))</f>
        <v/>
      </c>
      <c r="CG33" s="95" t="str">
        <f aca="false">IF(ISBLANK($C33),"",IF($BL33&lt;&gt;Constants!$B$4,"",IF($BB33="-&gt;",$BG33,$AW33)))</f>
        <v/>
      </c>
      <c r="CH33" s="95" t="str">
        <f aca="false">IF(ISBLANK($C33),"",IF($BL33&lt;&gt;Constants!$B$4,"",IF($BB33="-&gt;",$BH33,$AX33)))</f>
        <v/>
      </c>
      <c r="CI33" s="96" t="str">
        <f aca="false">IF(ISBLANK($C33),"",$BO33)</f>
        <v/>
      </c>
      <c r="CJ33" s="97" t="str">
        <f aca="false">IF(ISBLANK($C33),"",$BM33)</f>
        <v/>
      </c>
      <c r="CK33" s="98" t="str">
        <f aca="false">IF(ISBLANK($C33),"",$CA33)</f>
        <v/>
      </c>
      <c r="CL33" s="98" t="str">
        <f aca="false">IF(ISBLANK($C33),"",$BZ33)</f>
        <v/>
      </c>
      <c r="CM33" s="99" t="str">
        <f aca="false">IF(ISBLANK($C33),"",IF($CL33=Constants!$B$7,COUNTA($C$9:$C$508)+2,IF($CL33=Constants!$B$6,COUNTA($C$9:$C$508)+1,IF($CL33=Constants!$B$5,COUNTA($C$9:$C$508),$CL33))))</f>
        <v/>
      </c>
      <c r="CN33" s="8"/>
      <c r="CO33" s="100" t="n">
        <f aca="false">IF(OR(ISNUMBER($CL33),$CL33=Constants!$B$7,$CL33=Constants!$B$5,$CL33=Constants!$B$6),1,0)</f>
        <v>0</v>
      </c>
      <c r="CP33" s="100" t="n">
        <v>25</v>
      </c>
      <c r="CQ33" s="100" t="str">
        <f aca="false">IF(ISBLANK($C33),"",IF(ISNUMBER($CM33),$CM33+ROW($B33)/1000,""))</f>
        <v/>
      </c>
      <c r="CR33" s="100" t="str">
        <f aca="false">IF(ISNUMBER($CQ33),RANK($CQ33,$CQ$9:$CQ$508,1),"")</f>
        <v/>
      </c>
      <c r="CS33" s="100" t="str">
        <f aca="false">IF(ISBLANK($C33),"",$B33)</f>
        <v/>
      </c>
      <c r="CT33" s="100" t="str">
        <f aca="false">IF(ISBLANK($C33),"",$C33)</f>
        <v/>
      </c>
      <c r="CU33" s="100" t="str">
        <f aca="false">IF(ISBLANK($C33),"",$D33)</f>
        <v/>
      </c>
      <c r="CV33" s="101" t="str">
        <f aca="false">$CJ33</f>
        <v/>
      </c>
      <c r="CW33" s="102" t="str">
        <f aca="false">$CI33</f>
        <v/>
      </c>
      <c r="CX33" s="100" t="str">
        <f aca="false">IF(ISBLANK($C33),"",$CL33)</f>
        <v/>
      </c>
      <c r="CY33" s="103" t="str">
        <f aca="false">IF($CP33&gt;$CO$8,"",VLOOKUP($CP33,$CR$9:$CX$508,7,FALSE()))</f>
        <v/>
      </c>
      <c r="CZ33" s="104" t="str">
        <f aca="false">IF($CP33&gt;$CO$8,"",VLOOKUP($CP33,$CR$9:$CX$508,2,FALSE()))</f>
        <v/>
      </c>
      <c r="DA33" s="104" t="str">
        <f aca="false">IF($CP33&gt;$CO$8,"",VLOOKUP($CP33,$CR$9:$CX$508,3,FALSE()))</f>
        <v/>
      </c>
      <c r="DB33" s="104" t="str">
        <f aca="false">IF($CP33&gt;$CO$8,"",VLOOKUP($CP33,$CR$9:$CX$508,4,FALSE()))</f>
        <v/>
      </c>
      <c r="DC33" s="104" t="str">
        <f aca="false">IF($CP33&gt;$CO$8,"",VLOOKUP($CP33,$CR$9:$CX$508,5,FALSE()))</f>
        <v/>
      </c>
      <c r="DD33" s="105" t="str">
        <f aca="false">IF($CP33&gt;$CO$8,"",VLOOKUP($CP33,$CR$9:$CX$508,6,FALSE()))</f>
        <v/>
      </c>
      <c r="DE33" s="70"/>
    </row>
    <row r="34" customFormat="false" ht="15.75" hidden="false" customHeight="false" outlineLevel="0" collapsed="false">
      <c r="A34" s="8"/>
      <c r="B34" s="72"/>
      <c r="C34" s="73"/>
      <c r="D34" s="155"/>
      <c r="E34" s="156"/>
      <c r="F34" s="157"/>
      <c r="G34" s="77"/>
      <c r="H34" s="77"/>
      <c r="I34" s="77"/>
      <c r="J34" s="158"/>
      <c r="K34" s="159"/>
      <c r="L34" s="159"/>
      <c r="M34" s="80"/>
      <c r="N34" s="159"/>
      <c r="O34" s="160"/>
      <c r="P34" s="159"/>
      <c r="Q34" s="159"/>
      <c r="R34" s="159"/>
      <c r="S34" s="77"/>
      <c r="T34" s="159"/>
      <c r="U34" s="160"/>
      <c r="V34" s="161"/>
      <c r="W34" s="85"/>
      <c r="X34" s="86" t="str">
        <f aca="false">IF(ISBLANK($C34),"",IF($E34=Constants!$B$2,TRUE(),IF($E34=Constants!$B$3,FALSE(),TRUE())))</f>
        <v/>
      </c>
      <c r="Y34" s="86" t="str">
        <f aca="false">IF(ISBLANK($C34),"",IF($F34=Constants!$B$2,TRUE(),IF($F34=Constants!$B$3,FALSE(),TRUE())))</f>
        <v/>
      </c>
      <c r="Z34" s="87" t="str">
        <f aca="false">IF(ISBLANK($C34),"",IF(ISNUMBER($G34),IF($G34&gt;=0,$G34,""),""))</f>
        <v/>
      </c>
      <c r="AA34" s="87" t="str">
        <f aca="false">IF(ISBLANK($C34),"",IF(ISNUMBER($H34),IF($H34&gt;=0,$H34,""),""))</f>
        <v/>
      </c>
      <c r="AB34" s="87" t="str">
        <f aca="false">IF(ISBLANK($C34),"",IF(ISNUMBER($I34),IF($I34&gt;=0,$I34,""),""))</f>
        <v/>
      </c>
      <c r="AC34" s="86" t="str">
        <f aca="false">IF(ISBLANK($C34),"",IF($J34=Constants!$B$2,TRUE(),IF($J34=Constants!$B$3,FALSE(),TRUE())))</f>
        <v/>
      </c>
      <c r="AD34" s="86" t="str">
        <f aca="false">IF(ISBLANK($C34),"",IF($K34=Constants!$B$2,TRUE(),IF($K34=Constants!$B$3,FALSE(),TRUE())))</f>
        <v/>
      </c>
      <c r="AE34" s="86" t="str">
        <f aca="false">IF(ISBLANK($C34),"",IF($L34=Constants!$B$2,TRUE(),IF($L34=Constants!$B$3,FALSE(),TRUE())))</f>
        <v/>
      </c>
      <c r="AF34" s="88" t="str">
        <f aca="false">IF(ISBLANK($C34),"",IF(ISNUMBER($M34),IF($M34&gt;=0,$M34,""),""))</f>
        <v/>
      </c>
      <c r="AG34" s="86" t="str">
        <f aca="false">IF(ISBLANK($C34),"",IF(ISBLANK($N34),0,IF(ISNUMBER($N34),IF(AND($N34&gt;=0,$N34&lt;=Constants!$B$17,$N34=INT($N34)),$N34,""),"")))</f>
        <v/>
      </c>
      <c r="AH34" s="87" t="str">
        <f aca="false">IF(ISBLANK($C34),"",IF(ISBLANK($O34),0,IF(ISNUMBER($O34),IF($O34&gt;=0,$O34,""),"")))</f>
        <v/>
      </c>
      <c r="AI34" s="86" t="str">
        <f aca="false">IF(ISBLANK($C34),"",IF($P34=Constants!$B$2,TRUE(),IF($P34=Constants!$B$3,FALSE(),TRUE())))</f>
        <v/>
      </c>
      <c r="AJ34" s="86" t="str">
        <f aca="false">IF(ISBLANK($C34),"",IF($Q34=Constants!$B$2,TRUE(),IF($Q34=Constants!$B$3,FALSE(),TRUE())))</f>
        <v/>
      </c>
      <c r="AK34" s="86" t="str">
        <f aca="false">IF(ISBLANK($C34),"",IF($R34=Constants!$B$2,TRUE(),IF($R34=Constants!$B$3,FALSE(),TRUE())))</f>
        <v/>
      </c>
      <c r="AL34" s="88" t="str">
        <f aca="false">IF(ISBLANK($C34),"",IF(ISNUMBER($S34),IF($S34&gt;=0,$S34,""),""))</f>
        <v/>
      </c>
      <c r="AM34" s="86" t="str">
        <f aca="false">IF(ISBLANK($C34),"",IF(ISBLANK($T34),0,IF(ISNUMBER($T34),IF(AND($T34&gt;=0,$T34&lt;=Constants!$B$17,$T34=INT($T34)),$T34,""),"")))</f>
        <v/>
      </c>
      <c r="AN34" s="87" t="str">
        <f aca="false">IF(ISBLANK($C34),"",IF(ISBLANK($U34),0,IF(ISNUMBER($U34),IF($U34&gt;=0,$U34,""),"")))</f>
        <v/>
      </c>
      <c r="AO34" s="86" t="str">
        <f aca="false">IF(ISBLANK($C34),"",IF($V34=Constants!$B$2,TRUE(),IF($V34=Constants!$B$3,FALSE(),FALSE())))</f>
        <v/>
      </c>
      <c r="AP34" s="86"/>
      <c r="AQ34" s="85" t="str">
        <f aca="false">IF(ISBLANK($C34),"",AND($Y34,OR($AS34,$BC34),OR($Z34="",$AA34="",$AB34="")))</f>
        <v/>
      </c>
      <c r="AR34" s="85" t="str">
        <f aca="false">IF(ISBLANK($C34),"",IF(OR(NOT($Y34),NOT(OR($AS34,$BC34))),"",IF(ISBLANK($D$7),$AR$5,IF($AP$9="",$AR$6,""))))</f>
        <v/>
      </c>
      <c r="AS34" s="85" t="str">
        <f aca="false">IF(ISBLANK($C34),"",COUNTA($J34:$O34)&gt;0)</f>
        <v/>
      </c>
      <c r="AT34" s="85" t="str">
        <f aca="false">IF(ISBLANK($C34),"",AND($AS34,OR(AND($AF34="",OR($AE34,NOT(ISBLANK($M34)))),$AG34="",$AH34="")))</f>
        <v/>
      </c>
      <c r="AU34" s="87" t="str">
        <f aca="false">IF($BL34&lt;&gt;Constants!$B$4,"",IF(NOT($AS34),"",ROUND((Constants!$B$12-$AB34)+(Constants!$B$13-$Z34)+(Constants!$B$14-$AA34),1)))</f>
        <v/>
      </c>
      <c r="AV34" s="90" t="str">
        <f aca="false">IF($BL34&lt;&gt;Constants!$B$4,"",IF(NOT($AS34),"",IF(NOT($AE34),0,Constants!$B$15*(INT(ROUND(MIN($AF34,$AP$9),6))-INT(ROUND(MAX(0,MIN($AF34,2*$AP$9)-$AP$9),6))))))</f>
        <v/>
      </c>
      <c r="AW34" s="90" t="str">
        <f aca="false">IF($BL34&lt;&gt;Constants!$B$4,"",IF(NOT($AS34),"",Constants!$B$16*$AG34))</f>
        <v/>
      </c>
      <c r="AX34" s="90" t="str">
        <f aca="false">IF($BL34&lt;&gt;Constants!$B$4,"",IF(NOT($AS34),"",Constants!$B$18*INT(ROUND($AH34,6))))</f>
        <v/>
      </c>
      <c r="AY34" s="85" t="str">
        <f aca="false">IF($BL34&lt;&gt;Constants!$B$4,"",IF(NOT($AS34),"",IF(NOT($X34),Constants!$B$11,IF(OR(NOT($AC34),NOT($AD34),ROUND($AB34,1)&gt;Constants!$B$12,ROUND($Z34,1)&gt;Constants!$B$13,ROUND($AA34,1)&gt;Constants!$B$14),Constants!$B$10,Constants!$B$9))))</f>
        <v/>
      </c>
      <c r="AZ34" s="91" t="str">
        <f aca="false">IF($BL34&lt;&gt;Constants!$B$4,"",IF(NOT($AS34),"",ROUND($AU34+$AV34+$AW34+$AX34,1)))</f>
        <v/>
      </c>
      <c r="BA34" s="92" t="str">
        <f aca="false">IF($BL34&lt;&gt;Constants!$B$4,"",IF(NOT($AS34),"",IF(ISNUMBER($AF34),$AF34,0)))</f>
        <v/>
      </c>
      <c r="BB34" s="86" t="str">
        <f aca="false">IF($BL34&lt;&gt;Constants!$B$4,"",IF(NOT($BC34),"&lt;-",IF(NOT($AS34),"-&gt;",IF(OR($BI34&lt;$AY34,AND($BI34=$AY34,OR($BJ34&gt;$AZ34,AND($BJ34=$AZ34,OR($BH34&gt;$AX34,AND($BH34=$AX34,OR($BE34&gt;$AU34,AND($BE34=$AU34,OR($BF34&gt;$AV34,AND($BF34=$AV34,$BK34&gt;$BA34)))))))))),"-&gt;","&lt;-"))))</f>
        <v/>
      </c>
      <c r="BC34" s="85" t="str">
        <f aca="false">IF(ISBLANK($C34),"",COUNTA($P34:$U34)&gt;0)</f>
        <v/>
      </c>
      <c r="BD34" s="85" t="str">
        <f aca="false">IF(ISBLANK($C34),"",AND($BC34,OR(AND($AL34="",OR($AK34,NOT(ISBLANK($S34)))),$AM34="",$AN34="")))</f>
        <v/>
      </c>
      <c r="BE34" s="87" t="str">
        <f aca="false">IF($BL34&lt;&gt;Constants!$B$4,"",IF(NOT($BC34),"",ROUND((Constants!$B$12-$AB34)+(Constants!$B$13-$Z34)+(Constants!$B$14-$AA34),1)))</f>
        <v/>
      </c>
      <c r="BF34" s="90" t="str">
        <f aca="false">IF($BL34&lt;&gt;Constants!$B$4,"",IF(NOT($BC34),"",IF(NOT($AK34),0,Constants!$B$15*(INT(ROUND(MIN($AL34,$AP$9),6))-INT(ROUND(MAX(0,MIN($AL34,2*$AP$9)-$AP$9),6))))))</f>
        <v/>
      </c>
      <c r="BG34" s="90" t="str">
        <f aca="false">IF($BL34&lt;&gt;Constants!$B$4,"",IF(NOT($BC34),"",Constants!$B$16*$AM34))</f>
        <v/>
      </c>
      <c r="BH34" s="90" t="str">
        <f aca="false">IF($BL34&lt;&gt;Constants!$B$4,"",IF(NOT($BC34),"",Constants!$B$18*INT(ROUND($AN34,6))))</f>
        <v/>
      </c>
      <c r="BI34" s="85" t="str">
        <f aca="false">IF($BL34&lt;&gt;Constants!$B$4,"",IF(NOT($BC34),"",IF(NOT($X34),Constants!$B$11,IF(OR(NOT($AI34),NOT($AJ34),ROUND($AB34,1)&gt;Constants!$B$12,ROUND($Z34,1)&gt;Constants!$B$13,ROUND($AA34,1)&gt;Constants!$B$14),Constants!$B$10,Constants!$B$9))))</f>
        <v/>
      </c>
      <c r="BJ34" s="91" t="str">
        <f aca="false">IF($BL34&lt;&gt;Constants!$B$4,"",IF(NOT($BC34),"",ROUND($BE34+$BF34+$BG34+$BH34,1)))</f>
        <v/>
      </c>
      <c r="BK34" s="92" t="str">
        <f aca="false">IF($BL34&lt;&gt;Constants!$B$4,"",IF(NOT($BC34),"",IF(ISNUMBER($AL34),$AL34,0)))</f>
        <v/>
      </c>
      <c r="BL34" s="86" t="str">
        <f aca="false">IF(ISBLANK($C34),"",IF($AO34,Constants!$B$7,IF(COUNTA($E34:$V34)=0,Constants!$B$6,IF(NOT($Y34),Constants!$B$5,IF(NOT(OR($AS34,$BC34)),Constants!$B$5,IF(OR($AT34,$BD34,$AQ34,$AR34&lt;&gt;""),Constants!$B$8,Constants!$B$4))))))</f>
        <v/>
      </c>
      <c r="BM34" s="86" t="str">
        <f aca="false">IF(ISBLANK($C34),"",IF($BL34&lt;&gt;Constants!$B$4,$BL34,IF($BB34="-&gt;",$BI34,$AY34)))</f>
        <v/>
      </c>
      <c r="BN34" s="90" t="str">
        <f aca="false">IF($BL34&lt;&gt;Constants!$B$4,"",IF($BB34="-&gt;",$BJ34,$AZ34))</f>
        <v/>
      </c>
      <c r="BO34" s="90" t="str">
        <f aca="false">IF(ISBLANK($C34),"",IF($BL34&lt;&gt;Constants!$B$4,$BL34,$BN34))</f>
        <v/>
      </c>
      <c r="BP34" s="86" t="str">
        <f aca="false">IF(ISBLANK($C34),"",IF($BL34&lt;&gt;Constants!$B$4,$BL34,RANK($BO34,$BO$9:$BO$508,0)))</f>
        <v/>
      </c>
      <c r="BQ34" s="86" t="str">
        <f aca="false">IF(ISBLANK($C34),"",IF($BL34&lt;&gt;Constants!$B$4,$BL34,COUNTIFS($BM$9:$BM$508,"&lt;"&amp;$BM34)+COUNTIFS($BM$9:$BM$508,$BM34,$BP$9:$BP$508,"&lt;"&amp;$BP34)+1))</f>
        <v/>
      </c>
      <c r="BR34" s="90" t="str">
        <f aca="false">IF($BL34&lt;&gt;Constants!$B$4,"",IF($BB34="-&gt;",$BH34,$AX34))</f>
        <v/>
      </c>
      <c r="BS34" s="86" t="str">
        <f aca="false">IF(ISBLANK($C34),"",IF($BL34&lt;&gt;Constants!$B$4,$BL34,IF(ISNUMBER($BR34),RANK($BR34,$BR$9:$BR$508,0),COUNT($BR$9:$BR$508)+1)))</f>
        <v/>
      </c>
      <c r="BT34" s="90" t="str">
        <f aca="false">IF($BL34&lt;&gt;Constants!$B$4,"",IF($BB34="-&gt;",$BE34,$AU34))</f>
        <v/>
      </c>
      <c r="BU34" s="86" t="str">
        <f aca="false">IF(ISBLANK($C34),"",IF($BL34&lt;&gt;Constants!$B$4,$BL34,IF(ISNUMBER($BT34),RANK($BT34,$BT$9:$BT$508,0),COUNT($BT$9:$BT$508)+1)))</f>
        <v/>
      </c>
      <c r="BV34" s="90" t="str">
        <f aca="false">IF($BL34&lt;&gt;Constants!$B$4,"",IF($BB34="-&gt;",$BF34,$AV34))</f>
        <v/>
      </c>
      <c r="BW34" s="86" t="str">
        <f aca="false">IF(ISBLANK($C34),"",IF($BL34&lt;&gt;Constants!$B$4,$BL34,IF(ISNUMBER($BV34),RANK($BV34,$BV$9:$BV$508,0),COUNT($BV$9:$BV$508)+1)))</f>
        <v/>
      </c>
      <c r="BX34" s="90" t="str">
        <f aca="false">IF($BL34&lt;&gt;Constants!$B$4,"",IF($BB34="-&gt;",$BK34,$BA34))</f>
        <v/>
      </c>
      <c r="BY34" s="86" t="str">
        <f aca="false">IF(ISBLANK($C34),"",IF($BL34&lt;&gt;Constants!$B$4,$BL34,IF(ISNUMBER($BX34),RANK($BX34,$BX$9:$BX$508,0),COUNT($BX$9:$BX$508)+1)))</f>
        <v/>
      </c>
      <c r="BZ34" s="86" t="str">
        <f aca="false">IF(ISBLANK($C34),"",IF($BL34&lt;&gt;Constants!$B$4,$BL34,COUNTIFS($BM$9:$BM$508,"&lt;"&amp;$BM34)+COUNTIFS($BM$9:$BM$508,$BM34,$BP$9:$BP$508,"&lt;"&amp;$BP34)+COUNTIFS($BM$9:$BM$508,$BM34,$BP$9:$BP$508,$BP34,$BS$9:$BS$508,"&lt;"&amp;$BS34)+COUNTIFS($BM$9:$BM$508,$BM34,$BP$9:$BP$508,$BP34,$BS$9:$BS$508,$BS34,$BU$9:$BU$508,"&lt;"&amp;$BU34)+COUNTIFS($BM$9:$BM$508,$BM34,$BP$9:$BP$508,$BP34,$BS$9:$BS$508,$BS34,$BU$9:$BU$508,$BU34,$BW$9:$BW$508,"&lt;"&amp;$BW34)+COUNTIFS($BM$9:$BM$508,$BM34,$BP$9:$BP$508,$BP34,$BS$9:$BS$508,$BS34,$BU$9:$BU$508,$BU34,$BW$9:$BW$508,$BW34,$BY$9:$BY$508,"&lt;"&amp;$BY34)+1))</f>
        <v/>
      </c>
      <c r="CA34" s="86" t="str">
        <f aca="false">IF(ISBLANK($C34),"",IF($BL34&lt;&gt;Constants!$B$4,$BL34,$BQ34-$BZ34))</f>
        <v/>
      </c>
      <c r="CB34" s="93"/>
      <c r="CC34" s="94" t="str">
        <f aca="false">IF(ISBLANK($C34),"",IF($BL34=Constants!$B$8,$AR34,""))</f>
        <v/>
      </c>
      <c r="CD34" s="94" t="str">
        <f aca="false">IF(ISBLANK($C34),"",IF($BL34&lt;&gt;Constants!$B$4,"",IF($BB34="-&gt;",2,1)))</f>
        <v/>
      </c>
      <c r="CE34" s="95" t="str">
        <f aca="false">IF(ISBLANK($C34),"",IF($BL34&lt;&gt;Constants!$B$4,"",IF($BB34="-&gt;",$BE34,$AU34)))</f>
        <v/>
      </c>
      <c r="CF34" s="95" t="str">
        <f aca="false">IF(ISBLANK($C34),"",IF($BL34&lt;&gt;Constants!$B$4,"",IF($BB34="-&gt;",$BF34,$AV34)))</f>
        <v/>
      </c>
      <c r="CG34" s="95" t="str">
        <f aca="false">IF(ISBLANK($C34),"",IF($BL34&lt;&gt;Constants!$B$4,"",IF($BB34="-&gt;",$BG34,$AW34)))</f>
        <v/>
      </c>
      <c r="CH34" s="95" t="str">
        <f aca="false">IF(ISBLANK($C34),"",IF($BL34&lt;&gt;Constants!$B$4,"",IF($BB34="-&gt;",$BH34,$AX34)))</f>
        <v/>
      </c>
      <c r="CI34" s="96" t="str">
        <f aca="false">IF(ISBLANK($C34),"",$BO34)</f>
        <v/>
      </c>
      <c r="CJ34" s="97" t="str">
        <f aca="false">IF(ISBLANK($C34),"",$BM34)</f>
        <v/>
      </c>
      <c r="CK34" s="98" t="str">
        <f aca="false">IF(ISBLANK($C34),"",$CA34)</f>
        <v/>
      </c>
      <c r="CL34" s="98" t="str">
        <f aca="false">IF(ISBLANK($C34),"",$BZ34)</f>
        <v/>
      </c>
      <c r="CM34" s="99" t="str">
        <f aca="false">IF(ISBLANK($C34),"",IF($CL34=Constants!$B$7,COUNTA($C$9:$C$508)+2,IF($CL34=Constants!$B$6,COUNTA($C$9:$C$508)+1,IF($CL34=Constants!$B$5,COUNTA($C$9:$C$508),$CL34))))</f>
        <v/>
      </c>
      <c r="CN34" s="8"/>
      <c r="CO34" s="100" t="n">
        <f aca="false">IF(OR(ISNUMBER($CL34),$CL34=Constants!$B$7,$CL34=Constants!$B$5,$CL34=Constants!$B$6),1,0)</f>
        <v>0</v>
      </c>
      <c r="CP34" s="100" t="n">
        <v>26</v>
      </c>
      <c r="CQ34" s="100" t="str">
        <f aca="false">IF(ISBLANK($C34),"",IF(ISNUMBER($CM34),$CM34+ROW($B34)/1000,""))</f>
        <v/>
      </c>
      <c r="CR34" s="100" t="str">
        <f aca="false">IF(ISNUMBER($CQ34),RANK($CQ34,$CQ$9:$CQ$508,1),"")</f>
        <v/>
      </c>
      <c r="CS34" s="100" t="str">
        <f aca="false">IF(ISBLANK($C34),"",$B34)</f>
        <v/>
      </c>
      <c r="CT34" s="100" t="str">
        <f aca="false">IF(ISBLANK($C34),"",$C34)</f>
        <v/>
      </c>
      <c r="CU34" s="100" t="str">
        <f aca="false">IF(ISBLANK($C34),"",$D34)</f>
        <v/>
      </c>
      <c r="CV34" s="101" t="str">
        <f aca="false">$CJ34</f>
        <v/>
      </c>
      <c r="CW34" s="102" t="str">
        <f aca="false">$CI34</f>
        <v/>
      </c>
      <c r="CX34" s="100" t="str">
        <f aca="false">IF(ISBLANK($C34),"",$CL34)</f>
        <v/>
      </c>
      <c r="CY34" s="103" t="str">
        <f aca="false">IF($CP34&gt;$CO$8,"",VLOOKUP($CP34,$CR$9:$CX$508,7,FALSE()))</f>
        <v/>
      </c>
      <c r="CZ34" s="104" t="str">
        <f aca="false">IF($CP34&gt;$CO$8,"",VLOOKUP($CP34,$CR$9:$CX$508,2,FALSE()))</f>
        <v/>
      </c>
      <c r="DA34" s="104" t="str">
        <f aca="false">IF($CP34&gt;$CO$8,"",VLOOKUP($CP34,$CR$9:$CX$508,3,FALSE()))</f>
        <v/>
      </c>
      <c r="DB34" s="104" t="str">
        <f aca="false">IF($CP34&gt;$CO$8,"",VLOOKUP($CP34,$CR$9:$CX$508,4,FALSE()))</f>
        <v/>
      </c>
      <c r="DC34" s="104" t="str">
        <f aca="false">IF($CP34&gt;$CO$8,"",VLOOKUP($CP34,$CR$9:$CX$508,5,FALSE()))</f>
        <v/>
      </c>
      <c r="DD34" s="105" t="str">
        <f aca="false">IF($CP34&gt;$CO$8,"",VLOOKUP($CP34,$CR$9:$CX$508,6,FALSE()))</f>
        <v/>
      </c>
      <c r="DE34" s="70"/>
    </row>
    <row r="35" customFormat="false" ht="15.75" hidden="false" customHeight="false" outlineLevel="0" collapsed="false">
      <c r="A35" s="8"/>
      <c r="B35" s="72"/>
      <c r="C35" s="73"/>
      <c r="D35" s="155"/>
      <c r="E35" s="156"/>
      <c r="F35" s="157"/>
      <c r="G35" s="77"/>
      <c r="H35" s="77"/>
      <c r="I35" s="77"/>
      <c r="J35" s="158"/>
      <c r="K35" s="159"/>
      <c r="L35" s="159"/>
      <c r="M35" s="80"/>
      <c r="N35" s="159"/>
      <c r="O35" s="160"/>
      <c r="P35" s="159"/>
      <c r="Q35" s="159"/>
      <c r="R35" s="159"/>
      <c r="S35" s="77"/>
      <c r="T35" s="159"/>
      <c r="U35" s="160"/>
      <c r="V35" s="161"/>
      <c r="W35" s="85"/>
      <c r="X35" s="86" t="str">
        <f aca="false">IF(ISBLANK($C35),"",IF($E35=Constants!$B$2,TRUE(),IF($E35=Constants!$B$3,FALSE(),TRUE())))</f>
        <v/>
      </c>
      <c r="Y35" s="86" t="str">
        <f aca="false">IF(ISBLANK($C35),"",IF($F35=Constants!$B$2,TRUE(),IF($F35=Constants!$B$3,FALSE(),TRUE())))</f>
        <v/>
      </c>
      <c r="Z35" s="87" t="str">
        <f aca="false">IF(ISBLANK($C35),"",IF(ISNUMBER($G35),IF($G35&gt;=0,$G35,""),""))</f>
        <v/>
      </c>
      <c r="AA35" s="87" t="str">
        <f aca="false">IF(ISBLANK($C35),"",IF(ISNUMBER($H35),IF($H35&gt;=0,$H35,""),""))</f>
        <v/>
      </c>
      <c r="AB35" s="87" t="str">
        <f aca="false">IF(ISBLANK($C35),"",IF(ISNUMBER($I35),IF($I35&gt;=0,$I35,""),""))</f>
        <v/>
      </c>
      <c r="AC35" s="86" t="str">
        <f aca="false">IF(ISBLANK($C35),"",IF($J35=Constants!$B$2,TRUE(),IF($J35=Constants!$B$3,FALSE(),TRUE())))</f>
        <v/>
      </c>
      <c r="AD35" s="86" t="str">
        <f aca="false">IF(ISBLANK($C35),"",IF($K35=Constants!$B$2,TRUE(),IF($K35=Constants!$B$3,FALSE(),TRUE())))</f>
        <v/>
      </c>
      <c r="AE35" s="86" t="str">
        <f aca="false">IF(ISBLANK($C35),"",IF($L35=Constants!$B$2,TRUE(),IF($L35=Constants!$B$3,FALSE(),TRUE())))</f>
        <v/>
      </c>
      <c r="AF35" s="88" t="str">
        <f aca="false">IF(ISBLANK($C35),"",IF(ISNUMBER($M35),IF($M35&gt;=0,$M35,""),""))</f>
        <v/>
      </c>
      <c r="AG35" s="86" t="str">
        <f aca="false">IF(ISBLANK($C35),"",IF(ISBLANK($N35),0,IF(ISNUMBER($N35),IF(AND($N35&gt;=0,$N35&lt;=Constants!$B$17,$N35=INT($N35)),$N35,""),"")))</f>
        <v/>
      </c>
      <c r="AH35" s="87" t="str">
        <f aca="false">IF(ISBLANK($C35),"",IF(ISBLANK($O35),0,IF(ISNUMBER($O35),IF($O35&gt;=0,$O35,""),"")))</f>
        <v/>
      </c>
      <c r="AI35" s="86" t="str">
        <f aca="false">IF(ISBLANK($C35),"",IF($P35=Constants!$B$2,TRUE(),IF($P35=Constants!$B$3,FALSE(),TRUE())))</f>
        <v/>
      </c>
      <c r="AJ35" s="86" t="str">
        <f aca="false">IF(ISBLANK($C35),"",IF($Q35=Constants!$B$2,TRUE(),IF($Q35=Constants!$B$3,FALSE(),TRUE())))</f>
        <v/>
      </c>
      <c r="AK35" s="86" t="str">
        <f aca="false">IF(ISBLANK($C35),"",IF($R35=Constants!$B$2,TRUE(),IF($R35=Constants!$B$3,FALSE(),TRUE())))</f>
        <v/>
      </c>
      <c r="AL35" s="88" t="str">
        <f aca="false">IF(ISBLANK($C35),"",IF(ISNUMBER($S35),IF($S35&gt;=0,$S35,""),""))</f>
        <v/>
      </c>
      <c r="AM35" s="86" t="str">
        <f aca="false">IF(ISBLANK($C35),"",IF(ISBLANK($T35),0,IF(ISNUMBER($T35),IF(AND($T35&gt;=0,$T35&lt;=Constants!$B$17,$T35=INT($T35)),$T35,""),"")))</f>
        <v/>
      </c>
      <c r="AN35" s="87" t="str">
        <f aca="false">IF(ISBLANK($C35),"",IF(ISBLANK($U35),0,IF(ISNUMBER($U35),IF($U35&gt;=0,$U35,""),"")))</f>
        <v/>
      </c>
      <c r="AO35" s="86" t="str">
        <f aca="false">IF(ISBLANK($C35),"",IF($V35=Constants!$B$2,TRUE(),IF($V35=Constants!$B$3,FALSE(),FALSE())))</f>
        <v/>
      </c>
      <c r="AP35" s="86"/>
      <c r="AQ35" s="85" t="str">
        <f aca="false">IF(ISBLANK($C35),"",AND($Y35,OR($AS35,$BC35),OR($Z35="",$AA35="",$AB35="")))</f>
        <v/>
      </c>
      <c r="AR35" s="85" t="str">
        <f aca="false">IF(ISBLANK($C35),"",IF(OR(NOT($Y35),NOT(OR($AS35,$BC35))),"",IF(ISBLANK($D$7),$AR$5,IF($AP$9="",$AR$6,""))))</f>
        <v/>
      </c>
      <c r="AS35" s="85" t="str">
        <f aca="false">IF(ISBLANK($C35),"",COUNTA($J35:$O35)&gt;0)</f>
        <v/>
      </c>
      <c r="AT35" s="85" t="str">
        <f aca="false">IF(ISBLANK($C35),"",AND($AS35,OR(AND($AF35="",OR($AE35,NOT(ISBLANK($M35)))),$AG35="",$AH35="")))</f>
        <v/>
      </c>
      <c r="AU35" s="87" t="str">
        <f aca="false">IF($BL35&lt;&gt;Constants!$B$4,"",IF(NOT($AS35),"",ROUND((Constants!$B$12-$AB35)+(Constants!$B$13-$Z35)+(Constants!$B$14-$AA35),1)))</f>
        <v/>
      </c>
      <c r="AV35" s="90" t="str">
        <f aca="false">IF($BL35&lt;&gt;Constants!$B$4,"",IF(NOT($AS35),"",IF(NOT($AE35),0,Constants!$B$15*(INT(ROUND(MIN($AF35,$AP$9),6))-INT(ROUND(MAX(0,MIN($AF35,2*$AP$9)-$AP$9),6))))))</f>
        <v/>
      </c>
      <c r="AW35" s="90" t="str">
        <f aca="false">IF($BL35&lt;&gt;Constants!$B$4,"",IF(NOT($AS35),"",Constants!$B$16*$AG35))</f>
        <v/>
      </c>
      <c r="AX35" s="90" t="str">
        <f aca="false">IF($BL35&lt;&gt;Constants!$B$4,"",IF(NOT($AS35),"",Constants!$B$18*INT(ROUND($AH35,6))))</f>
        <v/>
      </c>
      <c r="AY35" s="85" t="str">
        <f aca="false">IF($BL35&lt;&gt;Constants!$B$4,"",IF(NOT($AS35),"",IF(NOT($X35),Constants!$B$11,IF(OR(NOT($AC35),NOT($AD35),ROUND($AB35,1)&gt;Constants!$B$12,ROUND($Z35,1)&gt;Constants!$B$13,ROUND($AA35,1)&gt;Constants!$B$14),Constants!$B$10,Constants!$B$9))))</f>
        <v/>
      </c>
      <c r="AZ35" s="91" t="str">
        <f aca="false">IF($BL35&lt;&gt;Constants!$B$4,"",IF(NOT($AS35),"",ROUND($AU35+$AV35+$AW35+$AX35,1)))</f>
        <v/>
      </c>
      <c r="BA35" s="92" t="str">
        <f aca="false">IF($BL35&lt;&gt;Constants!$B$4,"",IF(NOT($AS35),"",IF(ISNUMBER($AF35),$AF35,0)))</f>
        <v/>
      </c>
      <c r="BB35" s="86" t="str">
        <f aca="false">IF($BL35&lt;&gt;Constants!$B$4,"",IF(NOT($BC35),"&lt;-",IF(NOT($AS35),"-&gt;",IF(OR($BI35&lt;$AY35,AND($BI35=$AY35,OR($BJ35&gt;$AZ35,AND($BJ35=$AZ35,OR($BH35&gt;$AX35,AND($BH35=$AX35,OR($BE35&gt;$AU35,AND($BE35=$AU35,OR($BF35&gt;$AV35,AND($BF35=$AV35,$BK35&gt;$BA35)))))))))),"-&gt;","&lt;-"))))</f>
        <v/>
      </c>
      <c r="BC35" s="85" t="str">
        <f aca="false">IF(ISBLANK($C35),"",COUNTA($P35:$U35)&gt;0)</f>
        <v/>
      </c>
      <c r="BD35" s="85" t="str">
        <f aca="false">IF(ISBLANK($C35),"",AND($BC35,OR(AND($AL35="",OR($AK35,NOT(ISBLANK($S35)))),$AM35="",$AN35="")))</f>
        <v/>
      </c>
      <c r="BE35" s="87" t="str">
        <f aca="false">IF($BL35&lt;&gt;Constants!$B$4,"",IF(NOT($BC35),"",ROUND((Constants!$B$12-$AB35)+(Constants!$B$13-$Z35)+(Constants!$B$14-$AA35),1)))</f>
        <v/>
      </c>
      <c r="BF35" s="90" t="str">
        <f aca="false">IF($BL35&lt;&gt;Constants!$B$4,"",IF(NOT($BC35),"",IF(NOT($AK35),0,Constants!$B$15*(INT(ROUND(MIN($AL35,$AP$9),6))-INT(ROUND(MAX(0,MIN($AL35,2*$AP$9)-$AP$9),6))))))</f>
        <v/>
      </c>
      <c r="BG35" s="90" t="str">
        <f aca="false">IF($BL35&lt;&gt;Constants!$B$4,"",IF(NOT($BC35),"",Constants!$B$16*$AM35))</f>
        <v/>
      </c>
      <c r="BH35" s="90" t="str">
        <f aca="false">IF($BL35&lt;&gt;Constants!$B$4,"",IF(NOT($BC35),"",Constants!$B$18*INT(ROUND($AN35,6))))</f>
        <v/>
      </c>
      <c r="BI35" s="85" t="str">
        <f aca="false">IF($BL35&lt;&gt;Constants!$B$4,"",IF(NOT($BC35),"",IF(NOT($X35),Constants!$B$11,IF(OR(NOT($AI35),NOT($AJ35),ROUND($AB35,1)&gt;Constants!$B$12,ROUND($Z35,1)&gt;Constants!$B$13,ROUND($AA35,1)&gt;Constants!$B$14),Constants!$B$10,Constants!$B$9))))</f>
        <v/>
      </c>
      <c r="BJ35" s="91" t="str">
        <f aca="false">IF($BL35&lt;&gt;Constants!$B$4,"",IF(NOT($BC35),"",ROUND($BE35+$BF35+$BG35+$BH35,1)))</f>
        <v/>
      </c>
      <c r="BK35" s="92" t="str">
        <f aca="false">IF($BL35&lt;&gt;Constants!$B$4,"",IF(NOT($BC35),"",IF(ISNUMBER($AL35),$AL35,0)))</f>
        <v/>
      </c>
      <c r="BL35" s="86" t="str">
        <f aca="false">IF(ISBLANK($C35),"",IF($AO35,Constants!$B$7,IF(COUNTA($E35:$V35)=0,Constants!$B$6,IF(NOT($Y35),Constants!$B$5,IF(NOT(OR($AS35,$BC35)),Constants!$B$5,IF(OR($AT35,$BD35,$AQ35,$AR35&lt;&gt;""),Constants!$B$8,Constants!$B$4))))))</f>
        <v/>
      </c>
      <c r="BM35" s="86" t="str">
        <f aca="false">IF(ISBLANK($C35),"",IF($BL35&lt;&gt;Constants!$B$4,$BL35,IF($BB35="-&gt;",$BI35,$AY35)))</f>
        <v/>
      </c>
      <c r="BN35" s="90" t="str">
        <f aca="false">IF($BL35&lt;&gt;Constants!$B$4,"",IF($BB35="-&gt;",$BJ35,$AZ35))</f>
        <v/>
      </c>
      <c r="BO35" s="90" t="str">
        <f aca="false">IF(ISBLANK($C35),"",IF($BL35&lt;&gt;Constants!$B$4,$BL35,$BN35))</f>
        <v/>
      </c>
      <c r="BP35" s="86" t="str">
        <f aca="false">IF(ISBLANK($C35),"",IF($BL35&lt;&gt;Constants!$B$4,$BL35,RANK($BO35,$BO$9:$BO$508,0)))</f>
        <v/>
      </c>
      <c r="BQ35" s="86" t="str">
        <f aca="false">IF(ISBLANK($C35),"",IF($BL35&lt;&gt;Constants!$B$4,$BL35,COUNTIFS($BM$9:$BM$508,"&lt;"&amp;$BM35)+COUNTIFS($BM$9:$BM$508,$BM35,$BP$9:$BP$508,"&lt;"&amp;$BP35)+1))</f>
        <v/>
      </c>
      <c r="BR35" s="90" t="str">
        <f aca="false">IF($BL35&lt;&gt;Constants!$B$4,"",IF($BB35="-&gt;",$BH35,$AX35))</f>
        <v/>
      </c>
      <c r="BS35" s="86" t="str">
        <f aca="false">IF(ISBLANK($C35),"",IF($BL35&lt;&gt;Constants!$B$4,$BL35,IF(ISNUMBER($BR35),RANK($BR35,$BR$9:$BR$508,0),COUNT($BR$9:$BR$508)+1)))</f>
        <v/>
      </c>
      <c r="BT35" s="90" t="str">
        <f aca="false">IF($BL35&lt;&gt;Constants!$B$4,"",IF($BB35="-&gt;",$BE35,$AU35))</f>
        <v/>
      </c>
      <c r="BU35" s="86" t="str">
        <f aca="false">IF(ISBLANK($C35),"",IF($BL35&lt;&gt;Constants!$B$4,$BL35,IF(ISNUMBER($BT35),RANK($BT35,$BT$9:$BT$508,0),COUNT($BT$9:$BT$508)+1)))</f>
        <v/>
      </c>
      <c r="BV35" s="90" t="str">
        <f aca="false">IF($BL35&lt;&gt;Constants!$B$4,"",IF($BB35="-&gt;",$BF35,$AV35))</f>
        <v/>
      </c>
      <c r="BW35" s="86" t="str">
        <f aca="false">IF(ISBLANK($C35),"",IF($BL35&lt;&gt;Constants!$B$4,$BL35,IF(ISNUMBER($BV35),RANK($BV35,$BV$9:$BV$508,0),COUNT($BV$9:$BV$508)+1)))</f>
        <v/>
      </c>
      <c r="BX35" s="90" t="str">
        <f aca="false">IF($BL35&lt;&gt;Constants!$B$4,"",IF($BB35="-&gt;",$BK35,$BA35))</f>
        <v/>
      </c>
      <c r="BY35" s="86" t="str">
        <f aca="false">IF(ISBLANK($C35),"",IF($BL35&lt;&gt;Constants!$B$4,$BL35,IF(ISNUMBER($BX35),RANK($BX35,$BX$9:$BX$508,0),COUNT($BX$9:$BX$508)+1)))</f>
        <v/>
      </c>
      <c r="BZ35" s="86" t="str">
        <f aca="false">IF(ISBLANK($C35),"",IF($BL35&lt;&gt;Constants!$B$4,$BL35,COUNTIFS($BM$9:$BM$508,"&lt;"&amp;$BM35)+COUNTIFS($BM$9:$BM$508,$BM35,$BP$9:$BP$508,"&lt;"&amp;$BP35)+COUNTIFS($BM$9:$BM$508,$BM35,$BP$9:$BP$508,$BP35,$BS$9:$BS$508,"&lt;"&amp;$BS35)+COUNTIFS($BM$9:$BM$508,$BM35,$BP$9:$BP$508,$BP35,$BS$9:$BS$508,$BS35,$BU$9:$BU$508,"&lt;"&amp;$BU35)+COUNTIFS($BM$9:$BM$508,$BM35,$BP$9:$BP$508,$BP35,$BS$9:$BS$508,$BS35,$BU$9:$BU$508,$BU35,$BW$9:$BW$508,"&lt;"&amp;$BW35)+COUNTIFS($BM$9:$BM$508,$BM35,$BP$9:$BP$508,$BP35,$BS$9:$BS$508,$BS35,$BU$9:$BU$508,$BU35,$BW$9:$BW$508,$BW35,$BY$9:$BY$508,"&lt;"&amp;$BY35)+1))</f>
        <v/>
      </c>
      <c r="CA35" s="86" t="str">
        <f aca="false">IF(ISBLANK($C35),"",IF($BL35&lt;&gt;Constants!$B$4,$BL35,$BQ35-$BZ35))</f>
        <v/>
      </c>
      <c r="CB35" s="93"/>
      <c r="CC35" s="94" t="str">
        <f aca="false">IF(ISBLANK($C35),"",IF($BL35=Constants!$B$8,$AR35,""))</f>
        <v/>
      </c>
      <c r="CD35" s="94" t="str">
        <f aca="false">IF(ISBLANK($C35),"",IF($BL35&lt;&gt;Constants!$B$4,"",IF($BB35="-&gt;",2,1)))</f>
        <v/>
      </c>
      <c r="CE35" s="95" t="str">
        <f aca="false">IF(ISBLANK($C35),"",IF($BL35&lt;&gt;Constants!$B$4,"",IF($BB35="-&gt;",$BE35,$AU35)))</f>
        <v/>
      </c>
      <c r="CF35" s="95" t="str">
        <f aca="false">IF(ISBLANK($C35),"",IF($BL35&lt;&gt;Constants!$B$4,"",IF($BB35="-&gt;",$BF35,$AV35)))</f>
        <v/>
      </c>
      <c r="CG35" s="95" t="str">
        <f aca="false">IF(ISBLANK($C35),"",IF($BL35&lt;&gt;Constants!$B$4,"",IF($BB35="-&gt;",$BG35,$AW35)))</f>
        <v/>
      </c>
      <c r="CH35" s="95" t="str">
        <f aca="false">IF(ISBLANK($C35),"",IF($BL35&lt;&gt;Constants!$B$4,"",IF($BB35="-&gt;",$BH35,$AX35)))</f>
        <v/>
      </c>
      <c r="CI35" s="96" t="str">
        <f aca="false">IF(ISBLANK($C35),"",$BO35)</f>
        <v/>
      </c>
      <c r="CJ35" s="97" t="str">
        <f aca="false">IF(ISBLANK($C35),"",$BM35)</f>
        <v/>
      </c>
      <c r="CK35" s="98" t="str">
        <f aca="false">IF(ISBLANK($C35),"",$CA35)</f>
        <v/>
      </c>
      <c r="CL35" s="98" t="str">
        <f aca="false">IF(ISBLANK($C35),"",$BZ35)</f>
        <v/>
      </c>
      <c r="CM35" s="99" t="str">
        <f aca="false">IF(ISBLANK($C35),"",IF($CL35=Constants!$B$7,COUNTA($C$9:$C$508)+2,IF($CL35=Constants!$B$6,COUNTA($C$9:$C$508)+1,IF($CL35=Constants!$B$5,COUNTA($C$9:$C$508),$CL35))))</f>
        <v/>
      </c>
      <c r="CN35" s="8"/>
      <c r="CO35" s="100" t="n">
        <f aca="false">IF(OR(ISNUMBER($CL35),$CL35=Constants!$B$7,$CL35=Constants!$B$5,$CL35=Constants!$B$6),1,0)</f>
        <v>0</v>
      </c>
      <c r="CP35" s="100" t="n">
        <v>27</v>
      </c>
      <c r="CQ35" s="100" t="str">
        <f aca="false">IF(ISBLANK($C35),"",IF(ISNUMBER($CM35),$CM35+ROW($B35)/1000,""))</f>
        <v/>
      </c>
      <c r="CR35" s="100" t="str">
        <f aca="false">IF(ISNUMBER($CQ35),RANK($CQ35,$CQ$9:$CQ$508,1),"")</f>
        <v/>
      </c>
      <c r="CS35" s="100" t="str">
        <f aca="false">IF(ISBLANK($C35),"",$B35)</f>
        <v/>
      </c>
      <c r="CT35" s="100" t="str">
        <f aca="false">IF(ISBLANK($C35),"",$C35)</f>
        <v/>
      </c>
      <c r="CU35" s="100" t="str">
        <f aca="false">IF(ISBLANK($C35),"",$D35)</f>
        <v/>
      </c>
      <c r="CV35" s="101" t="str">
        <f aca="false">$CJ35</f>
        <v/>
      </c>
      <c r="CW35" s="102" t="str">
        <f aca="false">$CI35</f>
        <v/>
      </c>
      <c r="CX35" s="100" t="str">
        <f aca="false">IF(ISBLANK($C35),"",$CL35)</f>
        <v/>
      </c>
      <c r="CY35" s="103" t="str">
        <f aca="false">IF($CP35&gt;$CO$8,"",VLOOKUP($CP35,$CR$9:$CX$508,7,FALSE()))</f>
        <v/>
      </c>
      <c r="CZ35" s="104" t="str">
        <f aca="false">IF($CP35&gt;$CO$8,"",VLOOKUP($CP35,$CR$9:$CX$508,2,FALSE()))</f>
        <v/>
      </c>
      <c r="DA35" s="104" t="str">
        <f aca="false">IF($CP35&gt;$CO$8,"",VLOOKUP($CP35,$CR$9:$CX$508,3,FALSE()))</f>
        <v/>
      </c>
      <c r="DB35" s="104" t="str">
        <f aca="false">IF($CP35&gt;$CO$8,"",VLOOKUP($CP35,$CR$9:$CX$508,4,FALSE()))</f>
        <v/>
      </c>
      <c r="DC35" s="104" t="str">
        <f aca="false">IF($CP35&gt;$CO$8,"",VLOOKUP($CP35,$CR$9:$CX$508,5,FALSE()))</f>
        <v/>
      </c>
      <c r="DD35" s="105" t="str">
        <f aca="false">IF($CP35&gt;$CO$8,"",VLOOKUP($CP35,$CR$9:$CX$508,6,FALSE()))</f>
        <v/>
      </c>
      <c r="DE35" s="70"/>
    </row>
    <row r="36" customFormat="false" ht="15.75" hidden="false" customHeight="false" outlineLevel="0" collapsed="false">
      <c r="A36" s="8"/>
      <c r="B36" s="146"/>
      <c r="C36" s="147"/>
      <c r="D36" s="148"/>
      <c r="E36" s="149"/>
      <c r="F36" s="150"/>
      <c r="G36" s="115"/>
      <c r="H36" s="115"/>
      <c r="I36" s="115"/>
      <c r="J36" s="151"/>
      <c r="K36" s="152"/>
      <c r="L36" s="152"/>
      <c r="M36" s="118"/>
      <c r="N36" s="152"/>
      <c r="O36" s="153"/>
      <c r="P36" s="152"/>
      <c r="Q36" s="152"/>
      <c r="R36" s="152"/>
      <c r="S36" s="115"/>
      <c r="T36" s="152"/>
      <c r="U36" s="153"/>
      <c r="V36" s="154"/>
      <c r="W36" s="123"/>
      <c r="X36" s="124" t="str">
        <f aca="false">IF(ISBLANK($C36),"",IF($E36=Constants!$B$2,TRUE(),IF($E36=Constants!$B$3,FALSE(),TRUE())))</f>
        <v/>
      </c>
      <c r="Y36" s="124" t="str">
        <f aca="false">IF(ISBLANK($C36),"",IF($F36=Constants!$B$2,TRUE(),IF($F36=Constants!$B$3,FALSE(),TRUE())))</f>
        <v/>
      </c>
      <c r="Z36" s="125" t="str">
        <f aca="false">IF(ISBLANK($C36),"",IF(ISNUMBER($G36),IF($G36&gt;=0,$G36,""),""))</f>
        <v/>
      </c>
      <c r="AA36" s="125" t="str">
        <f aca="false">IF(ISBLANK($C36),"",IF(ISNUMBER($H36),IF($H36&gt;=0,$H36,""),""))</f>
        <v/>
      </c>
      <c r="AB36" s="125" t="str">
        <f aca="false">IF(ISBLANK($C36),"",IF(ISNUMBER($I36),IF($I36&gt;=0,$I36,""),""))</f>
        <v/>
      </c>
      <c r="AC36" s="124" t="str">
        <f aca="false">IF(ISBLANK($C36),"",IF($J36=Constants!$B$2,TRUE(),IF($J36=Constants!$B$3,FALSE(),TRUE())))</f>
        <v/>
      </c>
      <c r="AD36" s="124" t="str">
        <f aca="false">IF(ISBLANK($C36),"",IF($K36=Constants!$B$2,TRUE(),IF($K36=Constants!$B$3,FALSE(),TRUE())))</f>
        <v/>
      </c>
      <c r="AE36" s="124" t="str">
        <f aca="false">IF(ISBLANK($C36),"",IF($L36=Constants!$B$2,TRUE(),IF($L36=Constants!$B$3,FALSE(),TRUE())))</f>
        <v/>
      </c>
      <c r="AF36" s="126" t="str">
        <f aca="false">IF(ISBLANK($C36),"",IF(ISNUMBER($M36),IF($M36&gt;=0,$M36,""),""))</f>
        <v/>
      </c>
      <c r="AG36" s="124" t="str">
        <f aca="false">IF(ISBLANK($C36),"",IF(ISBLANK($N36),0,IF(ISNUMBER($N36),IF(AND($N36&gt;=0,$N36&lt;=Constants!$B$17,$N36=INT($N36)),$N36,""),"")))</f>
        <v/>
      </c>
      <c r="AH36" s="125" t="str">
        <f aca="false">IF(ISBLANK($C36),"",IF(ISBLANK($O36),0,IF(ISNUMBER($O36),IF($O36&gt;=0,$O36,""),"")))</f>
        <v/>
      </c>
      <c r="AI36" s="124" t="str">
        <f aca="false">IF(ISBLANK($C36),"",IF($P36=Constants!$B$2,TRUE(),IF($P36=Constants!$B$3,FALSE(),TRUE())))</f>
        <v/>
      </c>
      <c r="AJ36" s="124" t="str">
        <f aca="false">IF(ISBLANK($C36),"",IF($Q36=Constants!$B$2,TRUE(),IF($Q36=Constants!$B$3,FALSE(),TRUE())))</f>
        <v/>
      </c>
      <c r="AK36" s="124" t="str">
        <f aca="false">IF(ISBLANK($C36),"",IF($R36=Constants!$B$2,TRUE(),IF($R36=Constants!$B$3,FALSE(),TRUE())))</f>
        <v/>
      </c>
      <c r="AL36" s="126" t="str">
        <f aca="false">IF(ISBLANK($C36),"",IF(ISNUMBER($S36),IF($S36&gt;=0,$S36,""),""))</f>
        <v/>
      </c>
      <c r="AM36" s="124" t="str">
        <f aca="false">IF(ISBLANK($C36),"",IF(ISBLANK($T36),0,IF(ISNUMBER($T36),IF(AND($T36&gt;=0,$T36&lt;=Constants!$B$17,$T36=INT($T36)),$T36,""),"")))</f>
        <v/>
      </c>
      <c r="AN36" s="125" t="str">
        <f aca="false">IF(ISBLANK($C36),"",IF(ISBLANK($U36),0,IF(ISNUMBER($U36),IF($U36&gt;=0,$U36,""),"")))</f>
        <v/>
      </c>
      <c r="AO36" s="124" t="str">
        <f aca="false">IF(ISBLANK($C36),"",IF($V36=Constants!$B$2,TRUE(),IF($V36=Constants!$B$3,FALSE(),FALSE())))</f>
        <v/>
      </c>
      <c r="AP36" s="124"/>
      <c r="AQ36" s="123" t="str">
        <f aca="false">IF(ISBLANK($C36),"",AND($Y36,OR($AS36,$BC36),OR($Z36="",$AA36="",$AB36="")))</f>
        <v/>
      </c>
      <c r="AR36" s="123" t="str">
        <f aca="false">IF(ISBLANK($C36),"",IF(OR(NOT($Y36),NOT(OR($AS36,$BC36))),"",IF(ISBLANK($D$7),$AR$5,IF($AP$9="",$AR$6,""))))</f>
        <v/>
      </c>
      <c r="AS36" s="123" t="str">
        <f aca="false">IF(ISBLANK($C36),"",COUNTA($J36:$O36)&gt;0)</f>
        <v/>
      </c>
      <c r="AT36" s="123" t="str">
        <f aca="false">IF(ISBLANK($C36),"",AND($AS36,OR(AND($AF36="",OR($AE36,NOT(ISBLANK($M36)))),$AG36="",$AH36="")))</f>
        <v/>
      </c>
      <c r="AU36" s="125" t="str">
        <f aca="false">IF($BL36&lt;&gt;Constants!$B$4,"",IF(NOT($AS36),"",ROUND((Constants!$B$12-$AB36)+(Constants!$B$13-$Z36)+(Constants!$B$14-$AA36),1)))</f>
        <v/>
      </c>
      <c r="AV36" s="127" t="str">
        <f aca="false">IF($BL36&lt;&gt;Constants!$B$4,"",IF(NOT($AS36),"",IF(NOT($AE36),0,Constants!$B$15*(INT(ROUND(MIN($AF36,$AP$9),6))-INT(ROUND(MAX(0,MIN($AF36,2*$AP$9)-$AP$9),6))))))</f>
        <v/>
      </c>
      <c r="AW36" s="127" t="str">
        <f aca="false">IF($BL36&lt;&gt;Constants!$B$4,"",IF(NOT($AS36),"",Constants!$B$16*$AG36))</f>
        <v/>
      </c>
      <c r="AX36" s="127" t="str">
        <f aca="false">IF($BL36&lt;&gt;Constants!$B$4,"",IF(NOT($AS36),"",Constants!$B$18*INT(ROUND($AH36,6))))</f>
        <v/>
      </c>
      <c r="AY36" s="123" t="str">
        <f aca="false">IF($BL36&lt;&gt;Constants!$B$4,"",IF(NOT($AS36),"",IF(NOT($X36),Constants!$B$11,IF(OR(NOT($AC36),NOT($AD36),ROUND($AB36,1)&gt;Constants!$B$12,ROUND($Z36,1)&gt;Constants!$B$13,ROUND($AA36,1)&gt;Constants!$B$14),Constants!$B$10,Constants!$B$9))))</f>
        <v/>
      </c>
      <c r="AZ36" s="128" t="str">
        <f aca="false">IF($BL36&lt;&gt;Constants!$B$4,"",IF(NOT($AS36),"",ROUND($AU36+$AV36+$AW36+$AX36,1)))</f>
        <v/>
      </c>
      <c r="BA36" s="129" t="str">
        <f aca="false">IF($BL36&lt;&gt;Constants!$B$4,"",IF(NOT($AS36),"",IF(ISNUMBER($AF36),$AF36,0)))</f>
        <v/>
      </c>
      <c r="BB36" s="124" t="str">
        <f aca="false">IF($BL36&lt;&gt;Constants!$B$4,"",IF(NOT($BC36),"&lt;-",IF(NOT($AS36),"-&gt;",IF(OR($BI36&lt;$AY36,AND($BI36=$AY36,OR($BJ36&gt;$AZ36,AND($BJ36=$AZ36,OR($BH36&gt;$AX36,AND($BH36=$AX36,OR($BE36&gt;$AU36,AND($BE36=$AU36,OR($BF36&gt;$AV36,AND($BF36=$AV36,$BK36&gt;$BA36)))))))))),"-&gt;","&lt;-"))))</f>
        <v/>
      </c>
      <c r="BC36" s="123" t="str">
        <f aca="false">IF(ISBLANK($C36),"",COUNTA($P36:$U36)&gt;0)</f>
        <v/>
      </c>
      <c r="BD36" s="123" t="str">
        <f aca="false">IF(ISBLANK($C36),"",AND($BC36,OR(AND($AL36="",OR($AK36,NOT(ISBLANK($S36)))),$AM36="",$AN36="")))</f>
        <v/>
      </c>
      <c r="BE36" s="125" t="str">
        <f aca="false">IF($BL36&lt;&gt;Constants!$B$4,"",IF(NOT($BC36),"",ROUND((Constants!$B$12-$AB36)+(Constants!$B$13-$Z36)+(Constants!$B$14-$AA36),1)))</f>
        <v/>
      </c>
      <c r="BF36" s="127" t="str">
        <f aca="false">IF($BL36&lt;&gt;Constants!$B$4,"",IF(NOT($BC36),"",IF(NOT($AK36),0,Constants!$B$15*(INT(ROUND(MIN($AL36,$AP$9),6))-INT(ROUND(MAX(0,MIN($AL36,2*$AP$9)-$AP$9),6))))))</f>
        <v/>
      </c>
      <c r="BG36" s="127" t="str">
        <f aca="false">IF($BL36&lt;&gt;Constants!$B$4,"",IF(NOT($BC36),"",Constants!$B$16*$AM36))</f>
        <v/>
      </c>
      <c r="BH36" s="127" t="str">
        <f aca="false">IF($BL36&lt;&gt;Constants!$B$4,"",IF(NOT($BC36),"",Constants!$B$18*INT(ROUND($AN36,6))))</f>
        <v/>
      </c>
      <c r="BI36" s="123" t="str">
        <f aca="false">IF($BL36&lt;&gt;Constants!$B$4,"",IF(NOT($BC36),"",IF(NOT($X36),Constants!$B$11,IF(OR(NOT($AI36),NOT($AJ36),ROUND($AB36,1)&gt;Constants!$B$12,ROUND($Z36,1)&gt;Constants!$B$13,ROUND($AA36,1)&gt;Constants!$B$14),Constants!$B$10,Constants!$B$9))))</f>
        <v/>
      </c>
      <c r="BJ36" s="128" t="str">
        <f aca="false">IF($BL36&lt;&gt;Constants!$B$4,"",IF(NOT($BC36),"",ROUND($BE36+$BF36+$BG36+$BH36,1)))</f>
        <v/>
      </c>
      <c r="BK36" s="129" t="str">
        <f aca="false">IF($BL36&lt;&gt;Constants!$B$4,"",IF(NOT($BC36),"",IF(ISNUMBER($AL36),$AL36,0)))</f>
        <v/>
      </c>
      <c r="BL36" s="124" t="str">
        <f aca="false">IF(ISBLANK($C36),"",IF($AO36,Constants!$B$7,IF(COUNTA($E36:$V36)=0,Constants!$B$6,IF(NOT($Y36),Constants!$B$5,IF(NOT(OR($AS36,$BC36)),Constants!$B$5,IF(OR($AT36,$BD36,$AQ36,$AR36&lt;&gt;""),Constants!$B$8,Constants!$B$4))))))</f>
        <v/>
      </c>
      <c r="BM36" s="124" t="str">
        <f aca="false">IF(ISBLANK($C36),"",IF($BL36&lt;&gt;Constants!$B$4,$BL36,IF($BB36="-&gt;",$BI36,$AY36)))</f>
        <v/>
      </c>
      <c r="BN36" s="127" t="str">
        <f aca="false">IF($BL36&lt;&gt;Constants!$B$4,"",IF($BB36="-&gt;",$BJ36,$AZ36))</f>
        <v/>
      </c>
      <c r="BO36" s="127" t="str">
        <f aca="false">IF(ISBLANK($C36),"",IF($BL36&lt;&gt;Constants!$B$4,$BL36,$BN36))</f>
        <v/>
      </c>
      <c r="BP36" s="124" t="str">
        <f aca="false">IF(ISBLANK($C36),"",IF($BL36&lt;&gt;Constants!$B$4,$BL36,RANK($BO36,$BO$9:$BO$508,0)))</f>
        <v/>
      </c>
      <c r="BQ36" s="124" t="str">
        <f aca="false">IF(ISBLANK($C36),"",IF($BL36&lt;&gt;Constants!$B$4,$BL36,COUNTIFS($BM$9:$BM$508,"&lt;"&amp;$BM36)+COUNTIFS($BM$9:$BM$508,$BM36,$BP$9:$BP$508,"&lt;"&amp;$BP36)+1))</f>
        <v/>
      </c>
      <c r="BR36" s="127" t="str">
        <f aca="false">IF($BL36&lt;&gt;Constants!$B$4,"",IF($BB36="-&gt;",$BH36,$AX36))</f>
        <v/>
      </c>
      <c r="BS36" s="124" t="str">
        <f aca="false">IF(ISBLANK($C36),"",IF($BL36&lt;&gt;Constants!$B$4,$BL36,IF(ISNUMBER($BR36),RANK($BR36,$BR$9:$BR$508,0),COUNT($BR$9:$BR$508)+1)))</f>
        <v/>
      </c>
      <c r="BT36" s="127" t="str">
        <f aca="false">IF($BL36&lt;&gt;Constants!$B$4,"",IF($BB36="-&gt;",$BE36,$AU36))</f>
        <v/>
      </c>
      <c r="BU36" s="124" t="str">
        <f aca="false">IF(ISBLANK($C36),"",IF($BL36&lt;&gt;Constants!$B$4,$BL36,IF(ISNUMBER($BT36),RANK($BT36,$BT$9:$BT$508,0),COUNT($BT$9:$BT$508)+1)))</f>
        <v/>
      </c>
      <c r="BV36" s="127" t="str">
        <f aca="false">IF($BL36&lt;&gt;Constants!$B$4,"",IF($BB36="-&gt;",$BF36,$AV36))</f>
        <v/>
      </c>
      <c r="BW36" s="124" t="str">
        <f aca="false">IF(ISBLANK($C36),"",IF($BL36&lt;&gt;Constants!$B$4,$BL36,IF(ISNUMBER($BV36),RANK($BV36,$BV$9:$BV$508,0),COUNT($BV$9:$BV$508)+1)))</f>
        <v/>
      </c>
      <c r="BX36" s="127" t="str">
        <f aca="false">IF($BL36&lt;&gt;Constants!$B$4,"",IF($BB36="-&gt;",$BK36,$BA36))</f>
        <v/>
      </c>
      <c r="BY36" s="124" t="str">
        <f aca="false">IF(ISBLANK($C36),"",IF($BL36&lt;&gt;Constants!$B$4,$BL36,IF(ISNUMBER($BX36),RANK($BX36,$BX$9:$BX$508,0),COUNT($BX$9:$BX$508)+1)))</f>
        <v/>
      </c>
      <c r="BZ36" s="124" t="str">
        <f aca="false">IF(ISBLANK($C36),"",IF($BL36&lt;&gt;Constants!$B$4,$BL36,COUNTIFS($BM$9:$BM$508,"&lt;"&amp;$BM36)+COUNTIFS($BM$9:$BM$508,$BM36,$BP$9:$BP$508,"&lt;"&amp;$BP36)+COUNTIFS($BM$9:$BM$508,$BM36,$BP$9:$BP$508,$BP36,$BS$9:$BS$508,"&lt;"&amp;$BS36)+COUNTIFS($BM$9:$BM$508,$BM36,$BP$9:$BP$508,$BP36,$BS$9:$BS$508,$BS36,$BU$9:$BU$508,"&lt;"&amp;$BU36)+COUNTIFS($BM$9:$BM$508,$BM36,$BP$9:$BP$508,$BP36,$BS$9:$BS$508,$BS36,$BU$9:$BU$508,$BU36,$BW$9:$BW$508,"&lt;"&amp;$BW36)+COUNTIFS($BM$9:$BM$508,$BM36,$BP$9:$BP$508,$BP36,$BS$9:$BS$508,$BS36,$BU$9:$BU$508,$BU36,$BW$9:$BW$508,$BW36,$BY$9:$BY$508,"&lt;"&amp;$BY36)+1))</f>
        <v/>
      </c>
      <c r="CA36" s="124" t="str">
        <f aca="false">IF(ISBLANK($C36),"",IF($BL36&lt;&gt;Constants!$B$4,$BL36,$BQ36-$BZ36))</f>
        <v/>
      </c>
      <c r="CB36" s="130"/>
      <c r="CC36" s="131" t="str">
        <f aca="false">IF(ISBLANK($C36),"",IF($BL36=Constants!$B$8,$AR36,""))</f>
        <v/>
      </c>
      <c r="CD36" s="131" t="str">
        <f aca="false">IF(ISBLANK($C36),"",IF($BL36&lt;&gt;Constants!$B$4,"",IF($BB36="-&gt;",2,1)))</f>
        <v/>
      </c>
      <c r="CE36" s="132" t="str">
        <f aca="false">IF(ISBLANK($C36),"",IF($BL36&lt;&gt;Constants!$B$4,"",IF($BB36="-&gt;",$BE36,$AU36)))</f>
        <v/>
      </c>
      <c r="CF36" s="132" t="str">
        <f aca="false">IF(ISBLANK($C36),"",IF($BL36&lt;&gt;Constants!$B$4,"",IF($BB36="-&gt;",$BF36,$AV36)))</f>
        <v/>
      </c>
      <c r="CG36" s="132" t="str">
        <f aca="false">IF(ISBLANK($C36),"",IF($BL36&lt;&gt;Constants!$B$4,"",IF($BB36="-&gt;",$BG36,$AW36)))</f>
        <v/>
      </c>
      <c r="CH36" s="132" t="str">
        <f aca="false">IF(ISBLANK($C36),"",IF($BL36&lt;&gt;Constants!$B$4,"",IF($BB36="-&gt;",$BH36,$AX36)))</f>
        <v/>
      </c>
      <c r="CI36" s="133" t="str">
        <f aca="false">IF(ISBLANK($C36),"",$BO36)</f>
        <v/>
      </c>
      <c r="CJ36" s="134" t="str">
        <f aca="false">IF(ISBLANK($C36),"",$BM36)</f>
        <v/>
      </c>
      <c r="CK36" s="135" t="str">
        <f aca="false">IF(ISBLANK($C36),"",$CA36)</f>
        <v/>
      </c>
      <c r="CL36" s="135" t="str">
        <f aca="false">IF(ISBLANK($C36),"",$BZ36)</f>
        <v/>
      </c>
      <c r="CM36" s="136" t="str">
        <f aca="false">IF(ISBLANK($C36),"",IF($CL36=Constants!$B$7,COUNTA($C$9:$C$508)+2,IF($CL36=Constants!$B$6,COUNTA($C$9:$C$508)+1,IF($CL36=Constants!$B$5,COUNTA($C$9:$C$508),$CL36))))</f>
        <v/>
      </c>
      <c r="CN36" s="8"/>
      <c r="CO36" s="137" t="n">
        <f aca="false">IF(OR(ISNUMBER($CL36),$CL36=Constants!$B$7,$CL36=Constants!$B$5,$CL36=Constants!$B$6),1,0)</f>
        <v>0</v>
      </c>
      <c r="CP36" s="137" t="n">
        <v>28</v>
      </c>
      <c r="CQ36" s="137" t="str">
        <f aca="false">IF(ISBLANK($C36),"",IF(ISNUMBER($CM36),$CM36+ROW($B36)/1000,""))</f>
        <v/>
      </c>
      <c r="CR36" s="137" t="str">
        <f aca="false">IF(ISNUMBER($CQ36),RANK($CQ36,$CQ$9:$CQ$508,1),"")</f>
        <v/>
      </c>
      <c r="CS36" s="137" t="str">
        <f aca="false">IF(ISBLANK($C36),"",$B36)</f>
        <v/>
      </c>
      <c r="CT36" s="137" t="str">
        <f aca="false">IF(ISBLANK($C36),"",$C36)</f>
        <v/>
      </c>
      <c r="CU36" s="137" t="str">
        <f aca="false">IF(ISBLANK($C36),"",$D36)</f>
        <v/>
      </c>
      <c r="CV36" s="138" t="str">
        <f aca="false">$CJ36</f>
        <v/>
      </c>
      <c r="CW36" s="139" t="str">
        <f aca="false">$CI36</f>
        <v/>
      </c>
      <c r="CX36" s="137" t="str">
        <f aca="false">IF(ISBLANK($C36),"",$CL36)</f>
        <v/>
      </c>
      <c r="CY36" s="140" t="str">
        <f aca="false">IF($CP36&gt;$CO$8,"",VLOOKUP($CP36,$CR$9:$CX$508,7,FALSE()))</f>
        <v/>
      </c>
      <c r="CZ36" s="141" t="str">
        <f aca="false">IF($CP36&gt;$CO$8,"",VLOOKUP($CP36,$CR$9:$CX$508,2,FALSE()))</f>
        <v/>
      </c>
      <c r="DA36" s="141" t="str">
        <f aca="false">IF($CP36&gt;$CO$8,"",VLOOKUP($CP36,$CR$9:$CX$508,3,FALSE()))</f>
        <v/>
      </c>
      <c r="DB36" s="141" t="str">
        <f aca="false">IF($CP36&gt;$CO$8,"",VLOOKUP($CP36,$CR$9:$CX$508,4,FALSE()))</f>
        <v/>
      </c>
      <c r="DC36" s="141" t="str">
        <f aca="false">IF($CP36&gt;$CO$8,"",VLOOKUP($CP36,$CR$9:$CX$508,5,FALSE()))</f>
        <v/>
      </c>
      <c r="DD36" s="142" t="str">
        <f aca="false">IF($CP36&gt;$CO$8,"",VLOOKUP($CP36,$CR$9:$CX$508,6,FALSE()))</f>
        <v/>
      </c>
      <c r="DE36" s="70"/>
    </row>
    <row r="37" customFormat="false" ht="15.75" hidden="false" customHeight="false" outlineLevel="0" collapsed="false">
      <c r="A37" s="8"/>
      <c r="B37" s="146"/>
      <c r="C37" s="147"/>
      <c r="D37" s="148"/>
      <c r="E37" s="149"/>
      <c r="F37" s="150"/>
      <c r="G37" s="115"/>
      <c r="H37" s="115"/>
      <c r="I37" s="115"/>
      <c r="J37" s="151"/>
      <c r="K37" s="152"/>
      <c r="L37" s="152"/>
      <c r="M37" s="118"/>
      <c r="N37" s="152"/>
      <c r="O37" s="153"/>
      <c r="P37" s="152"/>
      <c r="Q37" s="152"/>
      <c r="R37" s="152"/>
      <c r="S37" s="115"/>
      <c r="T37" s="152"/>
      <c r="U37" s="153"/>
      <c r="V37" s="154"/>
      <c r="W37" s="123"/>
      <c r="X37" s="124" t="str">
        <f aca="false">IF(ISBLANK($C37),"",IF($E37=Constants!$B$2,TRUE(),IF($E37=Constants!$B$3,FALSE(),TRUE())))</f>
        <v/>
      </c>
      <c r="Y37" s="124" t="str">
        <f aca="false">IF(ISBLANK($C37),"",IF($F37=Constants!$B$2,TRUE(),IF($F37=Constants!$B$3,FALSE(),TRUE())))</f>
        <v/>
      </c>
      <c r="Z37" s="125" t="str">
        <f aca="false">IF(ISBLANK($C37),"",IF(ISNUMBER($G37),IF($G37&gt;=0,$G37,""),""))</f>
        <v/>
      </c>
      <c r="AA37" s="125" t="str">
        <f aca="false">IF(ISBLANK($C37),"",IF(ISNUMBER($H37),IF($H37&gt;=0,$H37,""),""))</f>
        <v/>
      </c>
      <c r="AB37" s="125" t="str">
        <f aca="false">IF(ISBLANK($C37),"",IF(ISNUMBER($I37),IF($I37&gt;=0,$I37,""),""))</f>
        <v/>
      </c>
      <c r="AC37" s="124" t="str">
        <f aca="false">IF(ISBLANK($C37),"",IF($J37=Constants!$B$2,TRUE(),IF($J37=Constants!$B$3,FALSE(),TRUE())))</f>
        <v/>
      </c>
      <c r="AD37" s="124" t="str">
        <f aca="false">IF(ISBLANK($C37),"",IF($K37=Constants!$B$2,TRUE(),IF($K37=Constants!$B$3,FALSE(),TRUE())))</f>
        <v/>
      </c>
      <c r="AE37" s="124" t="str">
        <f aca="false">IF(ISBLANK($C37),"",IF($L37=Constants!$B$2,TRUE(),IF($L37=Constants!$B$3,FALSE(),TRUE())))</f>
        <v/>
      </c>
      <c r="AF37" s="126" t="str">
        <f aca="false">IF(ISBLANK($C37),"",IF(ISNUMBER($M37),IF($M37&gt;=0,$M37,""),""))</f>
        <v/>
      </c>
      <c r="AG37" s="124" t="str">
        <f aca="false">IF(ISBLANK($C37),"",IF(ISBLANK($N37),0,IF(ISNUMBER($N37),IF(AND($N37&gt;=0,$N37&lt;=Constants!$B$17,$N37=INT($N37)),$N37,""),"")))</f>
        <v/>
      </c>
      <c r="AH37" s="125" t="str">
        <f aca="false">IF(ISBLANK($C37),"",IF(ISBLANK($O37),0,IF(ISNUMBER($O37),IF($O37&gt;=0,$O37,""),"")))</f>
        <v/>
      </c>
      <c r="AI37" s="124" t="str">
        <f aca="false">IF(ISBLANK($C37),"",IF($P37=Constants!$B$2,TRUE(),IF($P37=Constants!$B$3,FALSE(),TRUE())))</f>
        <v/>
      </c>
      <c r="AJ37" s="124" t="str">
        <f aca="false">IF(ISBLANK($C37),"",IF($Q37=Constants!$B$2,TRUE(),IF($Q37=Constants!$B$3,FALSE(),TRUE())))</f>
        <v/>
      </c>
      <c r="AK37" s="124" t="str">
        <f aca="false">IF(ISBLANK($C37),"",IF($R37=Constants!$B$2,TRUE(),IF($R37=Constants!$B$3,FALSE(),TRUE())))</f>
        <v/>
      </c>
      <c r="AL37" s="126" t="str">
        <f aca="false">IF(ISBLANK($C37),"",IF(ISNUMBER($S37),IF($S37&gt;=0,$S37,""),""))</f>
        <v/>
      </c>
      <c r="AM37" s="124" t="str">
        <f aca="false">IF(ISBLANK($C37),"",IF(ISBLANK($T37),0,IF(ISNUMBER($T37),IF(AND($T37&gt;=0,$T37&lt;=Constants!$B$17,$T37=INT($T37)),$T37,""),"")))</f>
        <v/>
      </c>
      <c r="AN37" s="125" t="str">
        <f aca="false">IF(ISBLANK($C37),"",IF(ISBLANK($U37),0,IF(ISNUMBER($U37),IF($U37&gt;=0,$U37,""),"")))</f>
        <v/>
      </c>
      <c r="AO37" s="124" t="str">
        <f aca="false">IF(ISBLANK($C37),"",IF($V37=Constants!$B$2,TRUE(),IF($V37=Constants!$B$3,FALSE(),FALSE())))</f>
        <v/>
      </c>
      <c r="AP37" s="124"/>
      <c r="AQ37" s="123" t="str">
        <f aca="false">IF(ISBLANK($C37),"",AND($Y37,OR($AS37,$BC37),OR($Z37="",$AA37="",$AB37="")))</f>
        <v/>
      </c>
      <c r="AR37" s="123" t="str">
        <f aca="false">IF(ISBLANK($C37),"",IF(OR(NOT($Y37),NOT(OR($AS37,$BC37))),"",IF(ISBLANK($D$7),$AR$5,IF($AP$9="",$AR$6,""))))</f>
        <v/>
      </c>
      <c r="AS37" s="123" t="str">
        <f aca="false">IF(ISBLANK($C37),"",COUNTA($J37:$O37)&gt;0)</f>
        <v/>
      </c>
      <c r="AT37" s="123" t="str">
        <f aca="false">IF(ISBLANK($C37),"",AND($AS37,OR(AND($AF37="",OR($AE37,NOT(ISBLANK($M37)))),$AG37="",$AH37="")))</f>
        <v/>
      </c>
      <c r="AU37" s="125" t="str">
        <f aca="false">IF($BL37&lt;&gt;Constants!$B$4,"",IF(NOT($AS37),"",ROUND((Constants!$B$12-$AB37)+(Constants!$B$13-$Z37)+(Constants!$B$14-$AA37),1)))</f>
        <v/>
      </c>
      <c r="AV37" s="127" t="str">
        <f aca="false">IF($BL37&lt;&gt;Constants!$B$4,"",IF(NOT($AS37),"",IF(NOT($AE37),0,Constants!$B$15*(INT(ROUND(MIN($AF37,$AP$9),6))-INT(ROUND(MAX(0,MIN($AF37,2*$AP$9)-$AP$9),6))))))</f>
        <v/>
      </c>
      <c r="AW37" s="127" t="str">
        <f aca="false">IF($BL37&lt;&gt;Constants!$B$4,"",IF(NOT($AS37),"",Constants!$B$16*$AG37))</f>
        <v/>
      </c>
      <c r="AX37" s="127" t="str">
        <f aca="false">IF($BL37&lt;&gt;Constants!$B$4,"",IF(NOT($AS37),"",Constants!$B$18*INT(ROUND($AH37,6))))</f>
        <v/>
      </c>
      <c r="AY37" s="123" t="str">
        <f aca="false">IF($BL37&lt;&gt;Constants!$B$4,"",IF(NOT($AS37),"",IF(NOT($X37),Constants!$B$11,IF(OR(NOT($AC37),NOT($AD37),ROUND($AB37,1)&gt;Constants!$B$12,ROUND($Z37,1)&gt;Constants!$B$13,ROUND($AA37,1)&gt;Constants!$B$14),Constants!$B$10,Constants!$B$9))))</f>
        <v/>
      </c>
      <c r="AZ37" s="128" t="str">
        <f aca="false">IF($BL37&lt;&gt;Constants!$B$4,"",IF(NOT($AS37),"",ROUND($AU37+$AV37+$AW37+$AX37,1)))</f>
        <v/>
      </c>
      <c r="BA37" s="129" t="str">
        <f aca="false">IF($BL37&lt;&gt;Constants!$B$4,"",IF(NOT($AS37),"",IF(ISNUMBER($AF37),$AF37,0)))</f>
        <v/>
      </c>
      <c r="BB37" s="124" t="str">
        <f aca="false">IF($BL37&lt;&gt;Constants!$B$4,"",IF(NOT($BC37),"&lt;-",IF(NOT($AS37),"-&gt;",IF(OR($BI37&lt;$AY37,AND($BI37=$AY37,OR($BJ37&gt;$AZ37,AND($BJ37=$AZ37,OR($BH37&gt;$AX37,AND($BH37=$AX37,OR($BE37&gt;$AU37,AND($BE37=$AU37,OR($BF37&gt;$AV37,AND($BF37=$AV37,$BK37&gt;$BA37)))))))))),"-&gt;","&lt;-"))))</f>
        <v/>
      </c>
      <c r="BC37" s="123" t="str">
        <f aca="false">IF(ISBLANK($C37),"",COUNTA($P37:$U37)&gt;0)</f>
        <v/>
      </c>
      <c r="BD37" s="123" t="str">
        <f aca="false">IF(ISBLANK($C37),"",AND($BC37,OR(AND($AL37="",OR($AK37,NOT(ISBLANK($S37)))),$AM37="",$AN37="")))</f>
        <v/>
      </c>
      <c r="BE37" s="125" t="str">
        <f aca="false">IF($BL37&lt;&gt;Constants!$B$4,"",IF(NOT($BC37),"",ROUND((Constants!$B$12-$AB37)+(Constants!$B$13-$Z37)+(Constants!$B$14-$AA37),1)))</f>
        <v/>
      </c>
      <c r="BF37" s="127" t="str">
        <f aca="false">IF($BL37&lt;&gt;Constants!$B$4,"",IF(NOT($BC37),"",IF(NOT($AK37),0,Constants!$B$15*(INT(ROUND(MIN($AL37,$AP$9),6))-INT(ROUND(MAX(0,MIN($AL37,2*$AP$9)-$AP$9),6))))))</f>
        <v/>
      </c>
      <c r="BG37" s="127" t="str">
        <f aca="false">IF($BL37&lt;&gt;Constants!$B$4,"",IF(NOT($BC37),"",Constants!$B$16*$AM37))</f>
        <v/>
      </c>
      <c r="BH37" s="127" t="str">
        <f aca="false">IF($BL37&lt;&gt;Constants!$B$4,"",IF(NOT($BC37),"",Constants!$B$18*INT(ROUND($AN37,6))))</f>
        <v/>
      </c>
      <c r="BI37" s="123" t="str">
        <f aca="false">IF($BL37&lt;&gt;Constants!$B$4,"",IF(NOT($BC37),"",IF(NOT($X37),Constants!$B$11,IF(OR(NOT($AI37),NOT($AJ37),ROUND($AB37,1)&gt;Constants!$B$12,ROUND($Z37,1)&gt;Constants!$B$13,ROUND($AA37,1)&gt;Constants!$B$14),Constants!$B$10,Constants!$B$9))))</f>
        <v/>
      </c>
      <c r="BJ37" s="128" t="str">
        <f aca="false">IF($BL37&lt;&gt;Constants!$B$4,"",IF(NOT($BC37),"",ROUND($BE37+$BF37+$BG37+$BH37,1)))</f>
        <v/>
      </c>
      <c r="BK37" s="129" t="str">
        <f aca="false">IF($BL37&lt;&gt;Constants!$B$4,"",IF(NOT($BC37),"",IF(ISNUMBER($AL37),$AL37,0)))</f>
        <v/>
      </c>
      <c r="BL37" s="124" t="str">
        <f aca="false">IF(ISBLANK($C37),"",IF($AO37,Constants!$B$7,IF(COUNTA($E37:$V37)=0,Constants!$B$6,IF(NOT($Y37),Constants!$B$5,IF(NOT(OR($AS37,$BC37)),Constants!$B$5,IF(OR($AT37,$BD37,$AQ37,$AR37&lt;&gt;""),Constants!$B$8,Constants!$B$4))))))</f>
        <v/>
      </c>
      <c r="BM37" s="124" t="str">
        <f aca="false">IF(ISBLANK($C37),"",IF($BL37&lt;&gt;Constants!$B$4,$BL37,IF($BB37="-&gt;",$BI37,$AY37)))</f>
        <v/>
      </c>
      <c r="BN37" s="127" t="str">
        <f aca="false">IF($BL37&lt;&gt;Constants!$B$4,"",IF($BB37="-&gt;",$BJ37,$AZ37))</f>
        <v/>
      </c>
      <c r="BO37" s="127" t="str">
        <f aca="false">IF(ISBLANK($C37),"",IF($BL37&lt;&gt;Constants!$B$4,$BL37,$BN37))</f>
        <v/>
      </c>
      <c r="BP37" s="124" t="str">
        <f aca="false">IF(ISBLANK($C37),"",IF($BL37&lt;&gt;Constants!$B$4,$BL37,RANK($BO37,$BO$9:$BO$508,0)))</f>
        <v/>
      </c>
      <c r="BQ37" s="124" t="str">
        <f aca="false">IF(ISBLANK($C37),"",IF($BL37&lt;&gt;Constants!$B$4,$BL37,COUNTIFS($BM$9:$BM$508,"&lt;"&amp;$BM37)+COUNTIFS($BM$9:$BM$508,$BM37,$BP$9:$BP$508,"&lt;"&amp;$BP37)+1))</f>
        <v/>
      </c>
      <c r="BR37" s="127" t="str">
        <f aca="false">IF($BL37&lt;&gt;Constants!$B$4,"",IF($BB37="-&gt;",$BH37,$AX37))</f>
        <v/>
      </c>
      <c r="BS37" s="124" t="str">
        <f aca="false">IF(ISBLANK($C37),"",IF($BL37&lt;&gt;Constants!$B$4,$BL37,IF(ISNUMBER($BR37),RANK($BR37,$BR$9:$BR$508,0),COUNT($BR$9:$BR$508)+1)))</f>
        <v/>
      </c>
      <c r="BT37" s="127" t="str">
        <f aca="false">IF($BL37&lt;&gt;Constants!$B$4,"",IF($BB37="-&gt;",$BE37,$AU37))</f>
        <v/>
      </c>
      <c r="BU37" s="124" t="str">
        <f aca="false">IF(ISBLANK($C37),"",IF($BL37&lt;&gt;Constants!$B$4,$BL37,IF(ISNUMBER($BT37),RANK($BT37,$BT$9:$BT$508,0),COUNT($BT$9:$BT$508)+1)))</f>
        <v/>
      </c>
      <c r="BV37" s="127" t="str">
        <f aca="false">IF($BL37&lt;&gt;Constants!$B$4,"",IF($BB37="-&gt;",$BF37,$AV37))</f>
        <v/>
      </c>
      <c r="BW37" s="124" t="str">
        <f aca="false">IF(ISBLANK($C37),"",IF($BL37&lt;&gt;Constants!$B$4,$BL37,IF(ISNUMBER($BV37),RANK($BV37,$BV$9:$BV$508,0),COUNT($BV$9:$BV$508)+1)))</f>
        <v/>
      </c>
      <c r="BX37" s="127" t="str">
        <f aca="false">IF($BL37&lt;&gt;Constants!$B$4,"",IF($BB37="-&gt;",$BK37,$BA37))</f>
        <v/>
      </c>
      <c r="BY37" s="124" t="str">
        <f aca="false">IF(ISBLANK($C37),"",IF($BL37&lt;&gt;Constants!$B$4,$BL37,IF(ISNUMBER($BX37),RANK($BX37,$BX$9:$BX$508,0),COUNT($BX$9:$BX$508)+1)))</f>
        <v/>
      </c>
      <c r="BZ37" s="124" t="str">
        <f aca="false">IF(ISBLANK($C37),"",IF($BL37&lt;&gt;Constants!$B$4,$BL37,COUNTIFS($BM$9:$BM$508,"&lt;"&amp;$BM37)+COUNTIFS($BM$9:$BM$508,$BM37,$BP$9:$BP$508,"&lt;"&amp;$BP37)+COUNTIFS($BM$9:$BM$508,$BM37,$BP$9:$BP$508,$BP37,$BS$9:$BS$508,"&lt;"&amp;$BS37)+COUNTIFS($BM$9:$BM$508,$BM37,$BP$9:$BP$508,$BP37,$BS$9:$BS$508,$BS37,$BU$9:$BU$508,"&lt;"&amp;$BU37)+COUNTIFS($BM$9:$BM$508,$BM37,$BP$9:$BP$508,$BP37,$BS$9:$BS$508,$BS37,$BU$9:$BU$508,$BU37,$BW$9:$BW$508,"&lt;"&amp;$BW37)+COUNTIFS($BM$9:$BM$508,$BM37,$BP$9:$BP$508,$BP37,$BS$9:$BS$508,$BS37,$BU$9:$BU$508,$BU37,$BW$9:$BW$508,$BW37,$BY$9:$BY$508,"&lt;"&amp;$BY37)+1))</f>
        <v/>
      </c>
      <c r="CA37" s="124" t="str">
        <f aca="false">IF(ISBLANK($C37),"",IF($BL37&lt;&gt;Constants!$B$4,$BL37,$BQ37-$BZ37))</f>
        <v/>
      </c>
      <c r="CB37" s="130"/>
      <c r="CC37" s="131" t="str">
        <f aca="false">IF(ISBLANK($C37),"",IF($BL37=Constants!$B$8,$AR37,""))</f>
        <v/>
      </c>
      <c r="CD37" s="131" t="str">
        <f aca="false">IF(ISBLANK($C37),"",IF($BL37&lt;&gt;Constants!$B$4,"",IF($BB37="-&gt;",2,1)))</f>
        <v/>
      </c>
      <c r="CE37" s="132" t="str">
        <f aca="false">IF(ISBLANK($C37),"",IF($BL37&lt;&gt;Constants!$B$4,"",IF($BB37="-&gt;",$BE37,$AU37)))</f>
        <v/>
      </c>
      <c r="CF37" s="132" t="str">
        <f aca="false">IF(ISBLANK($C37),"",IF($BL37&lt;&gt;Constants!$B$4,"",IF($BB37="-&gt;",$BF37,$AV37)))</f>
        <v/>
      </c>
      <c r="CG37" s="132" t="str">
        <f aca="false">IF(ISBLANK($C37),"",IF($BL37&lt;&gt;Constants!$B$4,"",IF($BB37="-&gt;",$BG37,$AW37)))</f>
        <v/>
      </c>
      <c r="CH37" s="132" t="str">
        <f aca="false">IF(ISBLANK($C37),"",IF($BL37&lt;&gt;Constants!$B$4,"",IF($BB37="-&gt;",$BH37,$AX37)))</f>
        <v/>
      </c>
      <c r="CI37" s="133" t="str">
        <f aca="false">IF(ISBLANK($C37),"",$BO37)</f>
        <v/>
      </c>
      <c r="CJ37" s="134" t="str">
        <f aca="false">IF(ISBLANK($C37),"",$BM37)</f>
        <v/>
      </c>
      <c r="CK37" s="135" t="str">
        <f aca="false">IF(ISBLANK($C37),"",$CA37)</f>
        <v/>
      </c>
      <c r="CL37" s="135" t="str">
        <f aca="false">IF(ISBLANK($C37),"",$BZ37)</f>
        <v/>
      </c>
      <c r="CM37" s="136" t="str">
        <f aca="false">IF(ISBLANK($C37),"",IF($CL37=Constants!$B$7,COUNTA($C$9:$C$508)+2,IF($CL37=Constants!$B$6,COUNTA($C$9:$C$508)+1,IF($CL37=Constants!$B$5,COUNTA($C$9:$C$508),$CL37))))</f>
        <v/>
      </c>
      <c r="CN37" s="8"/>
      <c r="CO37" s="137" t="n">
        <f aca="false">IF(OR(ISNUMBER($CL37),$CL37=Constants!$B$7,$CL37=Constants!$B$5,$CL37=Constants!$B$6),1,0)</f>
        <v>0</v>
      </c>
      <c r="CP37" s="137" t="n">
        <v>29</v>
      </c>
      <c r="CQ37" s="137" t="str">
        <f aca="false">IF(ISBLANK($C37),"",IF(ISNUMBER($CM37),$CM37+ROW($B37)/1000,""))</f>
        <v/>
      </c>
      <c r="CR37" s="137" t="str">
        <f aca="false">IF(ISNUMBER($CQ37),RANK($CQ37,$CQ$9:$CQ$508,1),"")</f>
        <v/>
      </c>
      <c r="CS37" s="137" t="str">
        <f aca="false">IF(ISBLANK($C37),"",$B37)</f>
        <v/>
      </c>
      <c r="CT37" s="137" t="str">
        <f aca="false">IF(ISBLANK($C37),"",$C37)</f>
        <v/>
      </c>
      <c r="CU37" s="137" t="str">
        <f aca="false">IF(ISBLANK($C37),"",$D37)</f>
        <v/>
      </c>
      <c r="CV37" s="138" t="str">
        <f aca="false">$CJ37</f>
        <v/>
      </c>
      <c r="CW37" s="139" t="str">
        <f aca="false">$CI37</f>
        <v/>
      </c>
      <c r="CX37" s="137" t="str">
        <f aca="false">IF(ISBLANK($C37),"",$CL37)</f>
        <v/>
      </c>
      <c r="CY37" s="140" t="str">
        <f aca="false">IF($CP37&gt;$CO$8,"",VLOOKUP($CP37,$CR$9:$CX$508,7,FALSE()))</f>
        <v/>
      </c>
      <c r="CZ37" s="141" t="str">
        <f aca="false">IF($CP37&gt;$CO$8,"",VLOOKUP($CP37,$CR$9:$CX$508,2,FALSE()))</f>
        <v/>
      </c>
      <c r="DA37" s="141" t="str">
        <f aca="false">IF($CP37&gt;$CO$8,"",VLOOKUP($CP37,$CR$9:$CX$508,3,FALSE()))</f>
        <v/>
      </c>
      <c r="DB37" s="141" t="str">
        <f aca="false">IF($CP37&gt;$CO$8,"",VLOOKUP($CP37,$CR$9:$CX$508,4,FALSE()))</f>
        <v/>
      </c>
      <c r="DC37" s="141" t="str">
        <f aca="false">IF($CP37&gt;$CO$8,"",VLOOKUP($CP37,$CR$9:$CX$508,5,FALSE()))</f>
        <v/>
      </c>
      <c r="DD37" s="142" t="str">
        <f aca="false">IF($CP37&gt;$CO$8,"",VLOOKUP($CP37,$CR$9:$CX$508,6,FALSE()))</f>
        <v/>
      </c>
      <c r="DE37" s="70"/>
    </row>
    <row r="38" customFormat="false" ht="15.75" hidden="false" customHeight="false" outlineLevel="0" collapsed="false">
      <c r="A38" s="8"/>
      <c r="B38" s="146"/>
      <c r="C38" s="147"/>
      <c r="D38" s="148"/>
      <c r="E38" s="149"/>
      <c r="F38" s="150"/>
      <c r="G38" s="115"/>
      <c r="H38" s="115"/>
      <c r="I38" s="115"/>
      <c r="J38" s="151"/>
      <c r="K38" s="152"/>
      <c r="L38" s="152"/>
      <c r="M38" s="118"/>
      <c r="N38" s="152"/>
      <c r="O38" s="153"/>
      <c r="P38" s="152"/>
      <c r="Q38" s="152"/>
      <c r="R38" s="152"/>
      <c r="S38" s="115"/>
      <c r="T38" s="152"/>
      <c r="U38" s="153"/>
      <c r="V38" s="154"/>
      <c r="W38" s="123"/>
      <c r="X38" s="124" t="str">
        <f aca="false">IF(ISBLANK($C38),"",IF($E38=Constants!$B$2,TRUE(),IF($E38=Constants!$B$3,FALSE(),TRUE())))</f>
        <v/>
      </c>
      <c r="Y38" s="124" t="str">
        <f aca="false">IF(ISBLANK($C38),"",IF($F38=Constants!$B$2,TRUE(),IF($F38=Constants!$B$3,FALSE(),TRUE())))</f>
        <v/>
      </c>
      <c r="Z38" s="125" t="str">
        <f aca="false">IF(ISBLANK($C38),"",IF(ISNUMBER($G38),IF($G38&gt;=0,$G38,""),""))</f>
        <v/>
      </c>
      <c r="AA38" s="125" t="str">
        <f aca="false">IF(ISBLANK($C38),"",IF(ISNUMBER($H38),IF($H38&gt;=0,$H38,""),""))</f>
        <v/>
      </c>
      <c r="AB38" s="125" t="str">
        <f aca="false">IF(ISBLANK($C38),"",IF(ISNUMBER($I38),IF($I38&gt;=0,$I38,""),""))</f>
        <v/>
      </c>
      <c r="AC38" s="124" t="str">
        <f aca="false">IF(ISBLANK($C38),"",IF($J38=Constants!$B$2,TRUE(),IF($J38=Constants!$B$3,FALSE(),TRUE())))</f>
        <v/>
      </c>
      <c r="AD38" s="124" t="str">
        <f aca="false">IF(ISBLANK($C38),"",IF($K38=Constants!$B$2,TRUE(),IF($K38=Constants!$B$3,FALSE(),TRUE())))</f>
        <v/>
      </c>
      <c r="AE38" s="124" t="str">
        <f aca="false">IF(ISBLANK($C38),"",IF($L38=Constants!$B$2,TRUE(),IF($L38=Constants!$B$3,FALSE(),TRUE())))</f>
        <v/>
      </c>
      <c r="AF38" s="126" t="str">
        <f aca="false">IF(ISBLANK($C38),"",IF(ISNUMBER($M38),IF($M38&gt;=0,$M38,""),""))</f>
        <v/>
      </c>
      <c r="AG38" s="124" t="str">
        <f aca="false">IF(ISBLANK($C38),"",IF(ISBLANK($N38),0,IF(ISNUMBER($N38),IF(AND($N38&gt;=0,$N38&lt;=Constants!$B$17,$N38=INT($N38)),$N38,""),"")))</f>
        <v/>
      </c>
      <c r="AH38" s="125" t="str">
        <f aca="false">IF(ISBLANK($C38),"",IF(ISBLANK($O38),0,IF(ISNUMBER($O38),IF($O38&gt;=0,$O38,""),"")))</f>
        <v/>
      </c>
      <c r="AI38" s="124" t="str">
        <f aca="false">IF(ISBLANK($C38),"",IF($P38=Constants!$B$2,TRUE(),IF($P38=Constants!$B$3,FALSE(),TRUE())))</f>
        <v/>
      </c>
      <c r="AJ38" s="124" t="str">
        <f aca="false">IF(ISBLANK($C38),"",IF($Q38=Constants!$B$2,TRUE(),IF($Q38=Constants!$B$3,FALSE(),TRUE())))</f>
        <v/>
      </c>
      <c r="AK38" s="124" t="str">
        <f aca="false">IF(ISBLANK($C38),"",IF($R38=Constants!$B$2,TRUE(),IF($R38=Constants!$B$3,FALSE(),TRUE())))</f>
        <v/>
      </c>
      <c r="AL38" s="126" t="str">
        <f aca="false">IF(ISBLANK($C38),"",IF(ISNUMBER($S38),IF($S38&gt;=0,$S38,""),""))</f>
        <v/>
      </c>
      <c r="AM38" s="124" t="str">
        <f aca="false">IF(ISBLANK($C38),"",IF(ISBLANK($T38),0,IF(ISNUMBER($T38),IF(AND($T38&gt;=0,$T38&lt;=Constants!$B$17,$T38=INT($T38)),$T38,""),"")))</f>
        <v/>
      </c>
      <c r="AN38" s="125" t="str">
        <f aca="false">IF(ISBLANK($C38),"",IF(ISBLANK($U38),0,IF(ISNUMBER($U38),IF($U38&gt;=0,$U38,""),"")))</f>
        <v/>
      </c>
      <c r="AO38" s="124" t="str">
        <f aca="false">IF(ISBLANK($C38),"",IF($V38=Constants!$B$2,TRUE(),IF($V38=Constants!$B$3,FALSE(),FALSE())))</f>
        <v/>
      </c>
      <c r="AP38" s="124"/>
      <c r="AQ38" s="123" t="str">
        <f aca="false">IF(ISBLANK($C38),"",AND($Y38,OR($AS38,$BC38),OR($Z38="",$AA38="",$AB38="")))</f>
        <v/>
      </c>
      <c r="AR38" s="123" t="str">
        <f aca="false">IF(ISBLANK($C38),"",IF(OR(NOT($Y38),NOT(OR($AS38,$BC38))),"",IF(ISBLANK($D$7),$AR$5,IF($AP$9="",$AR$6,""))))</f>
        <v/>
      </c>
      <c r="AS38" s="123" t="str">
        <f aca="false">IF(ISBLANK($C38),"",COUNTA($J38:$O38)&gt;0)</f>
        <v/>
      </c>
      <c r="AT38" s="123" t="str">
        <f aca="false">IF(ISBLANK($C38),"",AND($AS38,OR(AND($AF38="",OR($AE38,NOT(ISBLANK($M38)))),$AG38="",$AH38="")))</f>
        <v/>
      </c>
      <c r="AU38" s="125" t="str">
        <f aca="false">IF($BL38&lt;&gt;Constants!$B$4,"",IF(NOT($AS38),"",ROUND((Constants!$B$12-$AB38)+(Constants!$B$13-$Z38)+(Constants!$B$14-$AA38),1)))</f>
        <v/>
      </c>
      <c r="AV38" s="127" t="str">
        <f aca="false">IF($BL38&lt;&gt;Constants!$B$4,"",IF(NOT($AS38),"",IF(NOT($AE38),0,Constants!$B$15*(INT(ROUND(MIN($AF38,$AP$9),6))-INT(ROUND(MAX(0,MIN($AF38,2*$AP$9)-$AP$9),6))))))</f>
        <v/>
      </c>
      <c r="AW38" s="127" t="str">
        <f aca="false">IF($BL38&lt;&gt;Constants!$B$4,"",IF(NOT($AS38),"",Constants!$B$16*$AG38))</f>
        <v/>
      </c>
      <c r="AX38" s="127" t="str">
        <f aca="false">IF($BL38&lt;&gt;Constants!$B$4,"",IF(NOT($AS38),"",Constants!$B$18*INT(ROUND($AH38,6))))</f>
        <v/>
      </c>
      <c r="AY38" s="123" t="str">
        <f aca="false">IF($BL38&lt;&gt;Constants!$B$4,"",IF(NOT($AS38),"",IF(NOT($X38),Constants!$B$11,IF(OR(NOT($AC38),NOT($AD38),ROUND($AB38,1)&gt;Constants!$B$12,ROUND($Z38,1)&gt;Constants!$B$13,ROUND($AA38,1)&gt;Constants!$B$14),Constants!$B$10,Constants!$B$9))))</f>
        <v/>
      </c>
      <c r="AZ38" s="128" t="str">
        <f aca="false">IF($BL38&lt;&gt;Constants!$B$4,"",IF(NOT($AS38),"",ROUND($AU38+$AV38+$AW38+$AX38,1)))</f>
        <v/>
      </c>
      <c r="BA38" s="129" t="str">
        <f aca="false">IF($BL38&lt;&gt;Constants!$B$4,"",IF(NOT($AS38),"",IF(ISNUMBER($AF38),$AF38,0)))</f>
        <v/>
      </c>
      <c r="BB38" s="124" t="str">
        <f aca="false">IF($BL38&lt;&gt;Constants!$B$4,"",IF(NOT($BC38),"&lt;-",IF(NOT($AS38),"-&gt;",IF(OR($BI38&lt;$AY38,AND($BI38=$AY38,OR($BJ38&gt;$AZ38,AND($BJ38=$AZ38,OR($BH38&gt;$AX38,AND($BH38=$AX38,OR($BE38&gt;$AU38,AND($BE38=$AU38,OR($BF38&gt;$AV38,AND($BF38=$AV38,$BK38&gt;$BA38)))))))))),"-&gt;","&lt;-"))))</f>
        <v/>
      </c>
      <c r="BC38" s="123" t="str">
        <f aca="false">IF(ISBLANK($C38),"",COUNTA($P38:$U38)&gt;0)</f>
        <v/>
      </c>
      <c r="BD38" s="123" t="str">
        <f aca="false">IF(ISBLANK($C38),"",AND($BC38,OR(AND($AL38="",OR($AK38,NOT(ISBLANK($S38)))),$AM38="",$AN38="")))</f>
        <v/>
      </c>
      <c r="BE38" s="125" t="str">
        <f aca="false">IF($BL38&lt;&gt;Constants!$B$4,"",IF(NOT($BC38),"",ROUND((Constants!$B$12-$AB38)+(Constants!$B$13-$Z38)+(Constants!$B$14-$AA38),1)))</f>
        <v/>
      </c>
      <c r="BF38" s="127" t="str">
        <f aca="false">IF($BL38&lt;&gt;Constants!$B$4,"",IF(NOT($BC38),"",IF(NOT($AK38),0,Constants!$B$15*(INT(ROUND(MIN($AL38,$AP$9),6))-INT(ROUND(MAX(0,MIN($AL38,2*$AP$9)-$AP$9),6))))))</f>
        <v/>
      </c>
      <c r="BG38" s="127" t="str">
        <f aca="false">IF($BL38&lt;&gt;Constants!$B$4,"",IF(NOT($BC38),"",Constants!$B$16*$AM38))</f>
        <v/>
      </c>
      <c r="BH38" s="127" t="str">
        <f aca="false">IF($BL38&lt;&gt;Constants!$B$4,"",IF(NOT($BC38),"",Constants!$B$18*INT(ROUND($AN38,6))))</f>
        <v/>
      </c>
      <c r="BI38" s="123" t="str">
        <f aca="false">IF($BL38&lt;&gt;Constants!$B$4,"",IF(NOT($BC38),"",IF(NOT($X38),Constants!$B$11,IF(OR(NOT($AI38),NOT($AJ38),ROUND($AB38,1)&gt;Constants!$B$12,ROUND($Z38,1)&gt;Constants!$B$13,ROUND($AA38,1)&gt;Constants!$B$14),Constants!$B$10,Constants!$B$9))))</f>
        <v/>
      </c>
      <c r="BJ38" s="128" t="str">
        <f aca="false">IF($BL38&lt;&gt;Constants!$B$4,"",IF(NOT($BC38),"",ROUND($BE38+$BF38+$BG38+$BH38,1)))</f>
        <v/>
      </c>
      <c r="BK38" s="129" t="str">
        <f aca="false">IF($BL38&lt;&gt;Constants!$B$4,"",IF(NOT($BC38),"",IF(ISNUMBER($AL38),$AL38,0)))</f>
        <v/>
      </c>
      <c r="BL38" s="124" t="str">
        <f aca="false">IF(ISBLANK($C38),"",IF($AO38,Constants!$B$7,IF(COUNTA($E38:$V38)=0,Constants!$B$6,IF(NOT($Y38),Constants!$B$5,IF(NOT(OR($AS38,$BC38)),Constants!$B$5,IF(OR($AT38,$BD38,$AQ38,$AR38&lt;&gt;""),Constants!$B$8,Constants!$B$4))))))</f>
        <v/>
      </c>
      <c r="BM38" s="124" t="str">
        <f aca="false">IF(ISBLANK($C38),"",IF($BL38&lt;&gt;Constants!$B$4,$BL38,IF($BB38="-&gt;",$BI38,$AY38)))</f>
        <v/>
      </c>
      <c r="BN38" s="127" t="str">
        <f aca="false">IF($BL38&lt;&gt;Constants!$B$4,"",IF($BB38="-&gt;",$BJ38,$AZ38))</f>
        <v/>
      </c>
      <c r="BO38" s="127" t="str">
        <f aca="false">IF(ISBLANK($C38),"",IF($BL38&lt;&gt;Constants!$B$4,$BL38,$BN38))</f>
        <v/>
      </c>
      <c r="BP38" s="124" t="str">
        <f aca="false">IF(ISBLANK($C38),"",IF($BL38&lt;&gt;Constants!$B$4,$BL38,RANK($BO38,$BO$9:$BO$508,0)))</f>
        <v/>
      </c>
      <c r="BQ38" s="124" t="str">
        <f aca="false">IF(ISBLANK($C38),"",IF($BL38&lt;&gt;Constants!$B$4,$BL38,COUNTIFS($BM$9:$BM$508,"&lt;"&amp;$BM38)+COUNTIFS($BM$9:$BM$508,$BM38,$BP$9:$BP$508,"&lt;"&amp;$BP38)+1))</f>
        <v/>
      </c>
      <c r="BR38" s="127" t="str">
        <f aca="false">IF($BL38&lt;&gt;Constants!$B$4,"",IF($BB38="-&gt;",$BH38,$AX38))</f>
        <v/>
      </c>
      <c r="BS38" s="124" t="str">
        <f aca="false">IF(ISBLANK($C38),"",IF($BL38&lt;&gt;Constants!$B$4,$BL38,IF(ISNUMBER($BR38),RANK($BR38,$BR$9:$BR$508,0),COUNT($BR$9:$BR$508)+1)))</f>
        <v/>
      </c>
      <c r="BT38" s="127" t="str">
        <f aca="false">IF($BL38&lt;&gt;Constants!$B$4,"",IF($BB38="-&gt;",$BE38,$AU38))</f>
        <v/>
      </c>
      <c r="BU38" s="124" t="str">
        <f aca="false">IF(ISBLANK($C38),"",IF($BL38&lt;&gt;Constants!$B$4,$BL38,IF(ISNUMBER($BT38),RANK($BT38,$BT$9:$BT$508,0),COUNT($BT$9:$BT$508)+1)))</f>
        <v/>
      </c>
      <c r="BV38" s="127" t="str">
        <f aca="false">IF($BL38&lt;&gt;Constants!$B$4,"",IF($BB38="-&gt;",$BF38,$AV38))</f>
        <v/>
      </c>
      <c r="BW38" s="124" t="str">
        <f aca="false">IF(ISBLANK($C38),"",IF($BL38&lt;&gt;Constants!$B$4,$BL38,IF(ISNUMBER($BV38),RANK($BV38,$BV$9:$BV$508,0),COUNT($BV$9:$BV$508)+1)))</f>
        <v/>
      </c>
      <c r="BX38" s="127" t="str">
        <f aca="false">IF($BL38&lt;&gt;Constants!$B$4,"",IF($BB38="-&gt;",$BK38,$BA38))</f>
        <v/>
      </c>
      <c r="BY38" s="124" t="str">
        <f aca="false">IF(ISBLANK($C38),"",IF($BL38&lt;&gt;Constants!$B$4,$BL38,IF(ISNUMBER($BX38),RANK($BX38,$BX$9:$BX$508,0),COUNT($BX$9:$BX$508)+1)))</f>
        <v/>
      </c>
      <c r="BZ38" s="124" t="str">
        <f aca="false">IF(ISBLANK($C38),"",IF($BL38&lt;&gt;Constants!$B$4,$BL38,COUNTIFS($BM$9:$BM$508,"&lt;"&amp;$BM38)+COUNTIFS($BM$9:$BM$508,$BM38,$BP$9:$BP$508,"&lt;"&amp;$BP38)+COUNTIFS($BM$9:$BM$508,$BM38,$BP$9:$BP$508,$BP38,$BS$9:$BS$508,"&lt;"&amp;$BS38)+COUNTIFS($BM$9:$BM$508,$BM38,$BP$9:$BP$508,$BP38,$BS$9:$BS$508,$BS38,$BU$9:$BU$508,"&lt;"&amp;$BU38)+COUNTIFS($BM$9:$BM$508,$BM38,$BP$9:$BP$508,$BP38,$BS$9:$BS$508,$BS38,$BU$9:$BU$508,$BU38,$BW$9:$BW$508,"&lt;"&amp;$BW38)+COUNTIFS($BM$9:$BM$508,$BM38,$BP$9:$BP$508,$BP38,$BS$9:$BS$508,$BS38,$BU$9:$BU$508,$BU38,$BW$9:$BW$508,$BW38,$BY$9:$BY$508,"&lt;"&amp;$BY38)+1))</f>
        <v/>
      </c>
      <c r="CA38" s="124" t="str">
        <f aca="false">IF(ISBLANK($C38),"",IF($BL38&lt;&gt;Constants!$B$4,$BL38,$BQ38-$BZ38))</f>
        <v/>
      </c>
      <c r="CB38" s="130"/>
      <c r="CC38" s="131" t="str">
        <f aca="false">IF(ISBLANK($C38),"",IF($BL38=Constants!$B$8,$AR38,""))</f>
        <v/>
      </c>
      <c r="CD38" s="131" t="str">
        <f aca="false">IF(ISBLANK($C38),"",IF($BL38&lt;&gt;Constants!$B$4,"",IF($BB38="-&gt;",2,1)))</f>
        <v/>
      </c>
      <c r="CE38" s="132" t="str">
        <f aca="false">IF(ISBLANK($C38),"",IF($BL38&lt;&gt;Constants!$B$4,"",IF($BB38="-&gt;",$BE38,$AU38)))</f>
        <v/>
      </c>
      <c r="CF38" s="132" t="str">
        <f aca="false">IF(ISBLANK($C38),"",IF($BL38&lt;&gt;Constants!$B$4,"",IF($BB38="-&gt;",$BF38,$AV38)))</f>
        <v/>
      </c>
      <c r="CG38" s="132" t="str">
        <f aca="false">IF(ISBLANK($C38),"",IF($BL38&lt;&gt;Constants!$B$4,"",IF($BB38="-&gt;",$BG38,$AW38)))</f>
        <v/>
      </c>
      <c r="CH38" s="132" t="str">
        <f aca="false">IF(ISBLANK($C38),"",IF($BL38&lt;&gt;Constants!$B$4,"",IF($BB38="-&gt;",$BH38,$AX38)))</f>
        <v/>
      </c>
      <c r="CI38" s="133" t="str">
        <f aca="false">IF(ISBLANK($C38),"",$BO38)</f>
        <v/>
      </c>
      <c r="CJ38" s="134" t="str">
        <f aca="false">IF(ISBLANK($C38),"",$BM38)</f>
        <v/>
      </c>
      <c r="CK38" s="135" t="str">
        <f aca="false">IF(ISBLANK($C38),"",$CA38)</f>
        <v/>
      </c>
      <c r="CL38" s="135" t="str">
        <f aca="false">IF(ISBLANK($C38),"",$BZ38)</f>
        <v/>
      </c>
      <c r="CM38" s="136" t="str">
        <f aca="false">IF(ISBLANK($C38),"",IF($CL38=Constants!$B$7,COUNTA($C$9:$C$508)+2,IF($CL38=Constants!$B$6,COUNTA($C$9:$C$508)+1,IF($CL38=Constants!$B$5,COUNTA($C$9:$C$508),$CL38))))</f>
        <v/>
      </c>
      <c r="CN38" s="8"/>
      <c r="CO38" s="137" t="n">
        <f aca="false">IF(OR(ISNUMBER($CL38),$CL38=Constants!$B$7,$CL38=Constants!$B$5,$CL38=Constants!$B$6),1,0)</f>
        <v>0</v>
      </c>
      <c r="CP38" s="137" t="n">
        <v>30</v>
      </c>
      <c r="CQ38" s="137" t="str">
        <f aca="false">IF(ISBLANK($C38),"",IF(ISNUMBER($CM38),$CM38+ROW($B38)/1000,""))</f>
        <v/>
      </c>
      <c r="CR38" s="137" t="str">
        <f aca="false">IF(ISNUMBER($CQ38),RANK($CQ38,$CQ$9:$CQ$508,1),"")</f>
        <v/>
      </c>
      <c r="CS38" s="137" t="str">
        <f aca="false">IF(ISBLANK($C38),"",$B38)</f>
        <v/>
      </c>
      <c r="CT38" s="137" t="str">
        <f aca="false">IF(ISBLANK($C38),"",$C38)</f>
        <v/>
      </c>
      <c r="CU38" s="137" t="str">
        <f aca="false">IF(ISBLANK($C38),"",$D38)</f>
        <v/>
      </c>
      <c r="CV38" s="138" t="str">
        <f aca="false">$CJ38</f>
        <v/>
      </c>
      <c r="CW38" s="139" t="str">
        <f aca="false">$CI38</f>
        <v/>
      </c>
      <c r="CX38" s="137" t="str">
        <f aca="false">IF(ISBLANK($C38),"",$CL38)</f>
        <v/>
      </c>
      <c r="CY38" s="140" t="str">
        <f aca="false">IF($CP38&gt;$CO$8,"",VLOOKUP($CP38,$CR$9:$CX$508,7,FALSE()))</f>
        <v/>
      </c>
      <c r="CZ38" s="141" t="str">
        <f aca="false">IF($CP38&gt;$CO$8,"",VLOOKUP($CP38,$CR$9:$CX$508,2,FALSE()))</f>
        <v/>
      </c>
      <c r="DA38" s="141" t="str">
        <f aca="false">IF($CP38&gt;$CO$8,"",VLOOKUP($CP38,$CR$9:$CX$508,3,FALSE()))</f>
        <v/>
      </c>
      <c r="DB38" s="141" t="str">
        <f aca="false">IF($CP38&gt;$CO$8,"",VLOOKUP($CP38,$CR$9:$CX$508,4,FALSE()))</f>
        <v/>
      </c>
      <c r="DC38" s="141" t="str">
        <f aca="false">IF($CP38&gt;$CO$8,"",VLOOKUP($CP38,$CR$9:$CX$508,5,FALSE()))</f>
        <v/>
      </c>
      <c r="DD38" s="142" t="str">
        <f aca="false">IF($CP38&gt;$CO$8,"",VLOOKUP($CP38,$CR$9:$CX$508,6,FALSE()))</f>
        <v/>
      </c>
      <c r="DE38" s="70"/>
    </row>
    <row r="39" customFormat="false" ht="15.75" hidden="false" customHeight="false" outlineLevel="0" collapsed="false">
      <c r="A39" s="8"/>
      <c r="B39" s="72"/>
      <c r="C39" s="73"/>
      <c r="D39" s="155"/>
      <c r="E39" s="156"/>
      <c r="F39" s="157"/>
      <c r="G39" s="77"/>
      <c r="H39" s="77"/>
      <c r="I39" s="77"/>
      <c r="J39" s="158"/>
      <c r="K39" s="159"/>
      <c r="L39" s="159"/>
      <c r="M39" s="80"/>
      <c r="N39" s="159"/>
      <c r="O39" s="160"/>
      <c r="P39" s="159"/>
      <c r="Q39" s="159"/>
      <c r="R39" s="159"/>
      <c r="S39" s="77"/>
      <c r="T39" s="159"/>
      <c r="U39" s="160"/>
      <c r="V39" s="161"/>
      <c r="W39" s="85"/>
      <c r="X39" s="86" t="str">
        <f aca="false">IF(ISBLANK($C39),"",IF($E39=Constants!$B$2,TRUE(),IF($E39=Constants!$B$3,FALSE(),TRUE())))</f>
        <v/>
      </c>
      <c r="Y39" s="86" t="str">
        <f aca="false">IF(ISBLANK($C39),"",IF($F39=Constants!$B$2,TRUE(),IF($F39=Constants!$B$3,FALSE(),TRUE())))</f>
        <v/>
      </c>
      <c r="Z39" s="87" t="str">
        <f aca="false">IF(ISBLANK($C39),"",IF(ISNUMBER($G39),IF($G39&gt;=0,$G39,""),""))</f>
        <v/>
      </c>
      <c r="AA39" s="87" t="str">
        <f aca="false">IF(ISBLANK($C39),"",IF(ISNUMBER($H39),IF($H39&gt;=0,$H39,""),""))</f>
        <v/>
      </c>
      <c r="AB39" s="87" t="str">
        <f aca="false">IF(ISBLANK($C39),"",IF(ISNUMBER($I39),IF($I39&gt;=0,$I39,""),""))</f>
        <v/>
      </c>
      <c r="AC39" s="86" t="str">
        <f aca="false">IF(ISBLANK($C39),"",IF($J39=Constants!$B$2,TRUE(),IF($J39=Constants!$B$3,FALSE(),TRUE())))</f>
        <v/>
      </c>
      <c r="AD39" s="86" t="str">
        <f aca="false">IF(ISBLANK($C39),"",IF($K39=Constants!$B$2,TRUE(),IF($K39=Constants!$B$3,FALSE(),TRUE())))</f>
        <v/>
      </c>
      <c r="AE39" s="86" t="str">
        <f aca="false">IF(ISBLANK($C39),"",IF($L39=Constants!$B$2,TRUE(),IF($L39=Constants!$B$3,FALSE(),TRUE())))</f>
        <v/>
      </c>
      <c r="AF39" s="88" t="str">
        <f aca="false">IF(ISBLANK($C39),"",IF(ISNUMBER($M39),IF($M39&gt;=0,$M39,""),""))</f>
        <v/>
      </c>
      <c r="AG39" s="86" t="str">
        <f aca="false">IF(ISBLANK($C39),"",IF(ISBLANK($N39),0,IF(ISNUMBER($N39),IF(AND($N39&gt;=0,$N39&lt;=Constants!$B$17,$N39=INT($N39)),$N39,""),"")))</f>
        <v/>
      </c>
      <c r="AH39" s="87" t="str">
        <f aca="false">IF(ISBLANK($C39),"",IF(ISBLANK($O39),0,IF(ISNUMBER($O39),IF($O39&gt;=0,$O39,""),"")))</f>
        <v/>
      </c>
      <c r="AI39" s="86" t="str">
        <f aca="false">IF(ISBLANK($C39),"",IF($P39=Constants!$B$2,TRUE(),IF($P39=Constants!$B$3,FALSE(),TRUE())))</f>
        <v/>
      </c>
      <c r="AJ39" s="86" t="str">
        <f aca="false">IF(ISBLANK($C39),"",IF($Q39=Constants!$B$2,TRUE(),IF($Q39=Constants!$B$3,FALSE(),TRUE())))</f>
        <v/>
      </c>
      <c r="AK39" s="86" t="str">
        <f aca="false">IF(ISBLANK($C39),"",IF($R39=Constants!$B$2,TRUE(),IF($R39=Constants!$B$3,FALSE(),TRUE())))</f>
        <v/>
      </c>
      <c r="AL39" s="88" t="str">
        <f aca="false">IF(ISBLANK($C39),"",IF(ISNUMBER($S39),IF($S39&gt;=0,$S39,""),""))</f>
        <v/>
      </c>
      <c r="AM39" s="86" t="str">
        <f aca="false">IF(ISBLANK($C39),"",IF(ISBLANK($T39),0,IF(ISNUMBER($T39),IF(AND($T39&gt;=0,$T39&lt;=Constants!$B$17,$T39=INT($T39)),$T39,""),"")))</f>
        <v/>
      </c>
      <c r="AN39" s="87" t="str">
        <f aca="false">IF(ISBLANK($C39),"",IF(ISBLANK($U39),0,IF(ISNUMBER($U39),IF($U39&gt;=0,$U39,""),"")))</f>
        <v/>
      </c>
      <c r="AO39" s="86" t="str">
        <f aca="false">IF(ISBLANK($C39),"",IF($V39=Constants!$B$2,TRUE(),IF($V39=Constants!$B$3,FALSE(),FALSE())))</f>
        <v/>
      </c>
      <c r="AP39" s="86"/>
      <c r="AQ39" s="85" t="str">
        <f aca="false">IF(ISBLANK($C39),"",AND($Y39,OR($AS39,$BC39),OR($Z39="",$AA39="",$AB39="")))</f>
        <v/>
      </c>
      <c r="AR39" s="85" t="str">
        <f aca="false">IF(ISBLANK($C39),"",IF(OR(NOT($Y39),NOT(OR($AS39,$BC39))),"",IF(ISBLANK($D$7),$AR$5,IF($AP$9="",$AR$6,""))))</f>
        <v/>
      </c>
      <c r="AS39" s="85" t="str">
        <f aca="false">IF(ISBLANK($C39),"",COUNTA($J39:$O39)&gt;0)</f>
        <v/>
      </c>
      <c r="AT39" s="85" t="str">
        <f aca="false">IF(ISBLANK($C39),"",AND($AS39,OR(AND($AF39="",OR($AE39,NOT(ISBLANK($M39)))),$AG39="",$AH39="")))</f>
        <v/>
      </c>
      <c r="AU39" s="87" t="str">
        <f aca="false">IF($BL39&lt;&gt;Constants!$B$4,"",IF(NOT($AS39),"",ROUND((Constants!$B$12-$AB39)+(Constants!$B$13-$Z39)+(Constants!$B$14-$AA39),1)))</f>
        <v/>
      </c>
      <c r="AV39" s="90" t="str">
        <f aca="false">IF($BL39&lt;&gt;Constants!$B$4,"",IF(NOT($AS39),"",IF(NOT($AE39),0,Constants!$B$15*(INT(ROUND(MIN($AF39,$AP$9),6))-INT(ROUND(MAX(0,MIN($AF39,2*$AP$9)-$AP$9),6))))))</f>
        <v/>
      </c>
      <c r="AW39" s="90" t="str">
        <f aca="false">IF($BL39&lt;&gt;Constants!$B$4,"",IF(NOT($AS39),"",Constants!$B$16*$AG39))</f>
        <v/>
      </c>
      <c r="AX39" s="90" t="str">
        <f aca="false">IF($BL39&lt;&gt;Constants!$B$4,"",IF(NOT($AS39),"",Constants!$B$18*INT(ROUND($AH39,6))))</f>
        <v/>
      </c>
      <c r="AY39" s="85" t="str">
        <f aca="false">IF($BL39&lt;&gt;Constants!$B$4,"",IF(NOT($AS39),"",IF(NOT($X39),Constants!$B$11,IF(OR(NOT($AC39),NOT($AD39),ROUND($AB39,1)&gt;Constants!$B$12,ROUND($Z39,1)&gt;Constants!$B$13,ROUND($AA39,1)&gt;Constants!$B$14),Constants!$B$10,Constants!$B$9))))</f>
        <v/>
      </c>
      <c r="AZ39" s="91" t="str">
        <f aca="false">IF($BL39&lt;&gt;Constants!$B$4,"",IF(NOT($AS39),"",ROUND($AU39+$AV39+$AW39+$AX39,1)))</f>
        <v/>
      </c>
      <c r="BA39" s="92" t="str">
        <f aca="false">IF($BL39&lt;&gt;Constants!$B$4,"",IF(NOT($AS39),"",IF(ISNUMBER($AF39),$AF39,0)))</f>
        <v/>
      </c>
      <c r="BB39" s="86" t="str">
        <f aca="false">IF($BL39&lt;&gt;Constants!$B$4,"",IF(NOT($BC39),"&lt;-",IF(NOT($AS39),"-&gt;",IF(OR($BI39&lt;$AY39,AND($BI39=$AY39,OR($BJ39&gt;$AZ39,AND($BJ39=$AZ39,OR($BH39&gt;$AX39,AND($BH39=$AX39,OR($BE39&gt;$AU39,AND($BE39=$AU39,OR($BF39&gt;$AV39,AND($BF39=$AV39,$BK39&gt;$BA39)))))))))),"-&gt;","&lt;-"))))</f>
        <v/>
      </c>
      <c r="BC39" s="85" t="str">
        <f aca="false">IF(ISBLANK($C39),"",COUNTA($P39:$U39)&gt;0)</f>
        <v/>
      </c>
      <c r="BD39" s="85" t="str">
        <f aca="false">IF(ISBLANK($C39),"",AND($BC39,OR(AND($AL39="",OR($AK39,NOT(ISBLANK($S39)))),$AM39="",$AN39="")))</f>
        <v/>
      </c>
      <c r="BE39" s="87" t="str">
        <f aca="false">IF($BL39&lt;&gt;Constants!$B$4,"",IF(NOT($BC39),"",ROUND((Constants!$B$12-$AB39)+(Constants!$B$13-$Z39)+(Constants!$B$14-$AA39),1)))</f>
        <v/>
      </c>
      <c r="BF39" s="90" t="str">
        <f aca="false">IF($BL39&lt;&gt;Constants!$B$4,"",IF(NOT($BC39),"",IF(NOT($AK39),0,Constants!$B$15*(INT(ROUND(MIN($AL39,$AP$9),6))-INT(ROUND(MAX(0,MIN($AL39,2*$AP$9)-$AP$9),6))))))</f>
        <v/>
      </c>
      <c r="BG39" s="90" t="str">
        <f aca="false">IF($BL39&lt;&gt;Constants!$B$4,"",IF(NOT($BC39),"",Constants!$B$16*$AM39))</f>
        <v/>
      </c>
      <c r="BH39" s="90" t="str">
        <f aca="false">IF($BL39&lt;&gt;Constants!$B$4,"",IF(NOT($BC39),"",Constants!$B$18*INT(ROUND($AN39,6))))</f>
        <v/>
      </c>
      <c r="BI39" s="85" t="str">
        <f aca="false">IF($BL39&lt;&gt;Constants!$B$4,"",IF(NOT($BC39),"",IF(NOT($X39),Constants!$B$11,IF(OR(NOT($AI39),NOT($AJ39),ROUND($AB39,1)&gt;Constants!$B$12,ROUND($Z39,1)&gt;Constants!$B$13,ROUND($AA39,1)&gt;Constants!$B$14),Constants!$B$10,Constants!$B$9))))</f>
        <v/>
      </c>
      <c r="BJ39" s="91" t="str">
        <f aca="false">IF($BL39&lt;&gt;Constants!$B$4,"",IF(NOT($BC39),"",ROUND($BE39+$BF39+$BG39+$BH39,1)))</f>
        <v/>
      </c>
      <c r="BK39" s="92" t="str">
        <f aca="false">IF($BL39&lt;&gt;Constants!$B$4,"",IF(NOT($BC39),"",IF(ISNUMBER($AL39),$AL39,0)))</f>
        <v/>
      </c>
      <c r="BL39" s="86" t="str">
        <f aca="false">IF(ISBLANK($C39),"",IF($AO39,Constants!$B$7,IF(COUNTA($E39:$V39)=0,Constants!$B$6,IF(NOT($Y39),Constants!$B$5,IF(NOT(OR($AS39,$BC39)),Constants!$B$5,IF(OR($AT39,$BD39,$AQ39,$AR39&lt;&gt;""),Constants!$B$8,Constants!$B$4))))))</f>
        <v/>
      </c>
      <c r="BM39" s="86" t="str">
        <f aca="false">IF(ISBLANK($C39),"",IF($BL39&lt;&gt;Constants!$B$4,$BL39,IF($BB39="-&gt;",$BI39,$AY39)))</f>
        <v/>
      </c>
      <c r="BN39" s="90" t="str">
        <f aca="false">IF($BL39&lt;&gt;Constants!$B$4,"",IF($BB39="-&gt;",$BJ39,$AZ39))</f>
        <v/>
      </c>
      <c r="BO39" s="90" t="str">
        <f aca="false">IF(ISBLANK($C39),"",IF($BL39&lt;&gt;Constants!$B$4,$BL39,$BN39))</f>
        <v/>
      </c>
      <c r="BP39" s="86" t="str">
        <f aca="false">IF(ISBLANK($C39),"",IF($BL39&lt;&gt;Constants!$B$4,$BL39,RANK($BO39,$BO$9:$BO$508,0)))</f>
        <v/>
      </c>
      <c r="BQ39" s="86" t="str">
        <f aca="false">IF(ISBLANK($C39),"",IF($BL39&lt;&gt;Constants!$B$4,$BL39,COUNTIFS($BM$9:$BM$508,"&lt;"&amp;$BM39)+COUNTIFS($BM$9:$BM$508,$BM39,$BP$9:$BP$508,"&lt;"&amp;$BP39)+1))</f>
        <v/>
      </c>
      <c r="BR39" s="90" t="str">
        <f aca="false">IF($BL39&lt;&gt;Constants!$B$4,"",IF($BB39="-&gt;",$BH39,$AX39))</f>
        <v/>
      </c>
      <c r="BS39" s="86" t="str">
        <f aca="false">IF(ISBLANK($C39),"",IF($BL39&lt;&gt;Constants!$B$4,$BL39,IF(ISNUMBER($BR39),RANK($BR39,$BR$9:$BR$508,0),COUNT($BR$9:$BR$508)+1)))</f>
        <v/>
      </c>
      <c r="BT39" s="90" t="str">
        <f aca="false">IF($BL39&lt;&gt;Constants!$B$4,"",IF($BB39="-&gt;",$BE39,$AU39))</f>
        <v/>
      </c>
      <c r="BU39" s="86" t="str">
        <f aca="false">IF(ISBLANK($C39),"",IF($BL39&lt;&gt;Constants!$B$4,$BL39,IF(ISNUMBER($BT39),RANK($BT39,$BT$9:$BT$508,0),COUNT($BT$9:$BT$508)+1)))</f>
        <v/>
      </c>
      <c r="BV39" s="90" t="str">
        <f aca="false">IF($BL39&lt;&gt;Constants!$B$4,"",IF($BB39="-&gt;",$BF39,$AV39))</f>
        <v/>
      </c>
      <c r="BW39" s="86" t="str">
        <f aca="false">IF(ISBLANK($C39),"",IF($BL39&lt;&gt;Constants!$B$4,$BL39,IF(ISNUMBER($BV39),RANK($BV39,$BV$9:$BV$508,0),COUNT($BV$9:$BV$508)+1)))</f>
        <v/>
      </c>
      <c r="BX39" s="90" t="str">
        <f aca="false">IF($BL39&lt;&gt;Constants!$B$4,"",IF($BB39="-&gt;",$BK39,$BA39))</f>
        <v/>
      </c>
      <c r="BY39" s="86" t="str">
        <f aca="false">IF(ISBLANK($C39),"",IF($BL39&lt;&gt;Constants!$B$4,$BL39,IF(ISNUMBER($BX39),RANK($BX39,$BX$9:$BX$508,0),COUNT($BX$9:$BX$508)+1)))</f>
        <v/>
      </c>
      <c r="BZ39" s="86" t="str">
        <f aca="false">IF(ISBLANK($C39),"",IF($BL39&lt;&gt;Constants!$B$4,$BL39,COUNTIFS($BM$9:$BM$508,"&lt;"&amp;$BM39)+COUNTIFS($BM$9:$BM$508,$BM39,$BP$9:$BP$508,"&lt;"&amp;$BP39)+COUNTIFS($BM$9:$BM$508,$BM39,$BP$9:$BP$508,$BP39,$BS$9:$BS$508,"&lt;"&amp;$BS39)+COUNTIFS($BM$9:$BM$508,$BM39,$BP$9:$BP$508,$BP39,$BS$9:$BS$508,$BS39,$BU$9:$BU$508,"&lt;"&amp;$BU39)+COUNTIFS($BM$9:$BM$508,$BM39,$BP$9:$BP$508,$BP39,$BS$9:$BS$508,$BS39,$BU$9:$BU$508,$BU39,$BW$9:$BW$508,"&lt;"&amp;$BW39)+COUNTIFS($BM$9:$BM$508,$BM39,$BP$9:$BP$508,$BP39,$BS$9:$BS$508,$BS39,$BU$9:$BU$508,$BU39,$BW$9:$BW$508,$BW39,$BY$9:$BY$508,"&lt;"&amp;$BY39)+1))</f>
        <v/>
      </c>
      <c r="CA39" s="86" t="str">
        <f aca="false">IF(ISBLANK($C39),"",IF($BL39&lt;&gt;Constants!$B$4,$BL39,$BQ39-$BZ39))</f>
        <v/>
      </c>
      <c r="CB39" s="93"/>
      <c r="CC39" s="94" t="str">
        <f aca="false">IF(ISBLANK($C39),"",IF($BL39=Constants!$B$8,$AR39,""))</f>
        <v/>
      </c>
      <c r="CD39" s="94" t="str">
        <f aca="false">IF(ISBLANK($C39),"",IF($BL39&lt;&gt;Constants!$B$4,"",IF($BB39="-&gt;",2,1)))</f>
        <v/>
      </c>
      <c r="CE39" s="95" t="str">
        <f aca="false">IF(ISBLANK($C39),"",IF($BL39&lt;&gt;Constants!$B$4,"",IF($BB39="-&gt;",$BE39,$AU39)))</f>
        <v/>
      </c>
      <c r="CF39" s="95" t="str">
        <f aca="false">IF(ISBLANK($C39),"",IF($BL39&lt;&gt;Constants!$B$4,"",IF($BB39="-&gt;",$BF39,$AV39)))</f>
        <v/>
      </c>
      <c r="CG39" s="95" t="str">
        <f aca="false">IF(ISBLANK($C39),"",IF($BL39&lt;&gt;Constants!$B$4,"",IF($BB39="-&gt;",$BG39,$AW39)))</f>
        <v/>
      </c>
      <c r="CH39" s="95" t="str">
        <f aca="false">IF(ISBLANK($C39),"",IF($BL39&lt;&gt;Constants!$B$4,"",IF($BB39="-&gt;",$BH39,$AX39)))</f>
        <v/>
      </c>
      <c r="CI39" s="96" t="str">
        <f aca="false">IF(ISBLANK($C39),"",$BO39)</f>
        <v/>
      </c>
      <c r="CJ39" s="97" t="str">
        <f aca="false">IF(ISBLANK($C39),"",$BM39)</f>
        <v/>
      </c>
      <c r="CK39" s="98" t="str">
        <f aca="false">IF(ISBLANK($C39),"",$CA39)</f>
        <v/>
      </c>
      <c r="CL39" s="98" t="str">
        <f aca="false">IF(ISBLANK($C39),"",$BZ39)</f>
        <v/>
      </c>
      <c r="CM39" s="99" t="str">
        <f aca="false">IF(ISBLANK($C39),"",IF($CL39=Constants!$B$7,COUNTA($C$9:$C$508)+2,IF($CL39=Constants!$B$6,COUNTA($C$9:$C$508)+1,IF($CL39=Constants!$B$5,COUNTA($C$9:$C$508),$CL39))))</f>
        <v/>
      </c>
      <c r="CN39" s="8"/>
      <c r="CO39" s="100" t="n">
        <f aca="false">IF(OR(ISNUMBER($CL39),$CL39=Constants!$B$7,$CL39=Constants!$B$5,$CL39=Constants!$B$6),1,0)</f>
        <v>0</v>
      </c>
      <c r="CP39" s="100" t="n">
        <v>31</v>
      </c>
      <c r="CQ39" s="100" t="str">
        <f aca="false">IF(ISBLANK($C39),"",IF(ISNUMBER($CM39),$CM39+ROW($B39)/1000,""))</f>
        <v/>
      </c>
      <c r="CR39" s="100" t="str">
        <f aca="false">IF(ISNUMBER($CQ39),RANK($CQ39,$CQ$9:$CQ$508,1),"")</f>
        <v/>
      </c>
      <c r="CS39" s="100" t="str">
        <f aca="false">IF(ISBLANK($C39),"",$B39)</f>
        <v/>
      </c>
      <c r="CT39" s="100" t="str">
        <f aca="false">IF(ISBLANK($C39),"",$C39)</f>
        <v/>
      </c>
      <c r="CU39" s="100" t="str">
        <f aca="false">IF(ISBLANK($C39),"",$D39)</f>
        <v/>
      </c>
      <c r="CV39" s="101" t="str">
        <f aca="false">$CJ39</f>
        <v/>
      </c>
      <c r="CW39" s="102" t="str">
        <f aca="false">$CI39</f>
        <v/>
      </c>
      <c r="CX39" s="100" t="str">
        <f aca="false">IF(ISBLANK($C39),"",$CL39)</f>
        <v/>
      </c>
      <c r="CY39" s="103" t="str">
        <f aca="false">IF($CP39&gt;$CO$8,"",VLOOKUP($CP39,$CR$9:$CX$508,7,FALSE()))</f>
        <v/>
      </c>
      <c r="CZ39" s="104" t="str">
        <f aca="false">IF($CP39&gt;$CO$8,"",VLOOKUP($CP39,$CR$9:$CX$508,2,FALSE()))</f>
        <v/>
      </c>
      <c r="DA39" s="104" t="str">
        <f aca="false">IF($CP39&gt;$CO$8,"",VLOOKUP($CP39,$CR$9:$CX$508,3,FALSE()))</f>
        <v/>
      </c>
      <c r="DB39" s="104" t="str">
        <f aca="false">IF($CP39&gt;$CO$8,"",VLOOKUP($CP39,$CR$9:$CX$508,4,FALSE()))</f>
        <v/>
      </c>
      <c r="DC39" s="104" t="str">
        <f aca="false">IF($CP39&gt;$CO$8,"",VLOOKUP($CP39,$CR$9:$CX$508,5,FALSE()))</f>
        <v/>
      </c>
      <c r="DD39" s="105" t="str">
        <f aca="false">IF($CP39&gt;$CO$8,"",VLOOKUP($CP39,$CR$9:$CX$508,6,FALSE()))</f>
        <v/>
      </c>
      <c r="DE39" s="70"/>
    </row>
    <row r="40" customFormat="false" ht="15.75" hidden="false" customHeight="false" outlineLevel="0" collapsed="false">
      <c r="A40" s="8"/>
      <c r="B40" s="72"/>
      <c r="C40" s="73"/>
      <c r="D40" s="155"/>
      <c r="E40" s="162"/>
      <c r="F40" s="157"/>
      <c r="G40" s="77"/>
      <c r="H40" s="77"/>
      <c r="I40" s="77"/>
      <c r="J40" s="163"/>
      <c r="K40" s="161"/>
      <c r="L40" s="161"/>
      <c r="M40" s="80"/>
      <c r="N40" s="161"/>
      <c r="O40" s="160"/>
      <c r="P40" s="161"/>
      <c r="Q40" s="161"/>
      <c r="R40" s="161"/>
      <c r="S40" s="77"/>
      <c r="T40" s="161"/>
      <c r="U40" s="160"/>
      <c r="V40" s="161"/>
      <c r="W40" s="85"/>
      <c r="X40" s="86" t="str">
        <f aca="false">IF(ISBLANK($C40),"",IF($E40=Constants!$B$2,TRUE(),IF($E40=Constants!$B$3,FALSE(),TRUE())))</f>
        <v/>
      </c>
      <c r="Y40" s="86" t="str">
        <f aca="false">IF(ISBLANK($C40),"",IF($F40=Constants!$B$2,TRUE(),IF($F40=Constants!$B$3,FALSE(),TRUE())))</f>
        <v/>
      </c>
      <c r="Z40" s="87" t="str">
        <f aca="false">IF(ISBLANK($C40),"",IF(ISNUMBER($G40),IF($G40&gt;=0,$G40,""),""))</f>
        <v/>
      </c>
      <c r="AA40" s="87" t="str">
        <f aca="false">IF(ISBLANK($C40),"",IF(ISNUMBER($H40),IF($H40&gt;=0,$H40,""),""))</f>
        <v/>
      </c>
      <c r="AB40" s="87" t="str">
        <f aca="false">IF(ISBLANK($C40),"",IF(ISNUMBER($I40),IF($I40&gt;=0,$I40,""),""))</f>
        <v/>
      </c>
      <c r="AC40" s="86" t="str">
        <f aca="false">IF(ISBLANK($C40),"",IF($J40=Constants!$B$2,TRUE(),IF($J40=Constants!$B$3,FALSE(),TRUE())))</f>
        <v/>
      </c>
      <c r="AD40" s="86" t="str">
        <f aca="false">IF(ISBLANK($C40),"",IF($K40=Constants!$B$2,TRUE(),IF($K40=Constants!$B$3,FALSE(),TRUE())))</f>
        <v/>
      </c>
      <c r="AE40" s="86" t="str">
        <f aca="false">IF(ISBLANK($C40),"",IF($L40=Constants!$B$2,TRUE(),IF($L40=Constants!$B$3,FALSE(),TRUE())))</f>
        <v/>
      </c>
      <c r="AF40" s="88" t="str">
        <f aca="false">IF(ISBLANK($C40),"",IF(ISNUMBER($M40),IF($M40&gt;=0,$M40,""),""))</f>
        <v/>
      </c>
      <c r="AG40" s="86" t="str">
        <f aca="false">IF(ISBLANK($C40),"",IF(ISBLANK($N40),0,IF(ISNUMBER($N40),IF(AND($N40&gt;=0,$N40&lt;=Constants!$B$17,$N40=INT($N40)),$N40,""),"")))</f>
        <v/>
      </c>
      <c r="AH40" s="87" t="str">
        <f aca="false">IF(ISBLANK($C40),"",IF(ISBLANK($O40),0,IF(ISNUMBER($O40),IF($O40&gt;=0,$O40,""),"")))</f>
        <v/>
      </c>
      <c r="AI40" s="86" t="str">
        <f aca="false">IF(ISBLANK($C40),"",IF($P40=Constants!$B$2,TRUE(),IF($P40=Constants!$B$3,FALSE(),TRUE())))</f>
        <v/>
      </c>
      <c r="AJ40" s="86" t="str">
        <f aca="false">IF(ISBLANK($C40),"",IF($Q40=Constants!$B$2,TRUE(),IF($Q40=Constants!$B$3,FALSE(),TRUE())))</f>
        <v/>
      </c>
      <c r="AK40" s="86" t="str">
        <f aca="false">IF(ISBLANK($C40),"",IF($R40=Constants!$B$2,TRUE(),IF($R40=Constants!$B$3,FALSE(),TRUE())))</f>
        <v/>
      </c>
      <c r="AL40" s="88" t="str">
        <f aca="false">IF(ISBLANK($C40),"",IF(ISNUMBER($S40),IF($S40&gt;=0,$S40,""),""))</f>
        <v/>
      </c>
      <c r="AM40" s="86" t="str">
        <f aca="false">IF(ISBLANK($C40),"",IF(ISBLANK($T40),0,IF(ISNUMBER($T40),IF(AND($T40&gt;=0,$T40&lt;=Constants!$B$17,$T40=INT($T40)),$T40,""),"")))</f>
        <v/>
      </c>
      <c r="AN40" s="87" t="str">
        <f aca="false">IF(ISBLANK($C40),"",IF(ISBLANK($U40),0,IF(ISNUMBER($U40),IF($U40&gt;=0,$U40,""),"")))</f>
        <v/>
      </c>
      <c r="AO40" s="86" t="str">
        <f aca="false">IF(ISBLANK($C40),"",IF($V40=Constants!$B$2,TRUE(),IF($V40=Constants!$B$3,FALSE(),FALSE())))</f>
        <v/>
      </c>
      <c r="AP40" s="86"/>
      <c r="AQ40" s="85" t="str">
        <f aca="false">IF(ISBLANK($C40),"",AND($Y40,OR($AS40,$BC40),OR($Z40="",$AA40="",$AB40="")))</f>
        <v/>
      </c>
      <c r="AR40" s="85" t="str">
        <f aca="false">IF(ISBLANK($C40),"",IF(OR(NOT($Y40),NOT(OR($AS40,$BC40))),"",IF(ISBLANK($D$7),$AR$5,IF($AP$9="",$AR$6,""))))</f>
        <v/>
      </c>
      <c r="AS40" s="85" t="str">
        <f aca="false">IF(ISBLANK($C40),"",COUNTA($J40:$O40)&gt;0)</f>
        <v/>
      </c>
      <c r="AT40" s="85" t="str">
        <f aca="false">IF(ISBLANK($C40),"",AND($AS40,OR(AND($AF40="",OR($AE40,NOT(ISBLANK($M40)))),$AG40="",$AH40="")))</f>
        <v/>
      </c>
      <c r="AU40" s="87" t="str">
        <f aca="false">IF($BL40&lt;&gt;Constants!$B$4,"",IF(NOT($AS40),"",ROUND((Constants!$B$12-$AB40)+(Constants!$B$13-$Z40)+(Constants!$B$14-$AA40),1)))</f>
        <v/>
      </c>
      <c r="AV40" s="90" t="str">
        <f aca="false">IF($BL40&lt;&gt;Constants!$B$4,"",IF(NOT($AS40),"",IF(NOT($AE40),0,Constants!$B$15*(INT(ROUND(MIN($AF40,$AP$9),6))-INT(ROUND(MAX(0,MIN($AF40,2*$AP$9)-$AP$9),6))))))</f>
        <v/>
      </c>
      <c r="AW40" s="90" t="str">
        <f aca="false">IF($BL40&lt;&gt;Constants!$B$4,"",IF(NOT($AS40),"",Constants!$B$16*$AG40))</f>
        <v/>
      </c>
      <c r="AX40" s="90" t="str">
        <f aca="false">IF($BL40&lt;&gt;Constants!$B$4,"",IF(NOT($AS40),"",Constants!$B$18*INT(ROUND($AH40,6))))</f>
        <v/>
      </c>
      <c r="AY40" s="85" t="str">
        <f aca="false">IF($BL40&lt;&gt;Constants!$B$4,"",IF(NOT($AS40),"",IF(NOT($X40),Constants!$B$11,IF(OR(NOT($AC40),NOT($AD40),ROUND($AB40,1)&gt;Constants!$B$12,ROUND($Z40,1)&gt;Constants!$B$13,ROUND($AA40,1)&gt;Constants!$B$14),Constants!$B$10,Constants!$B$9))))</f>
        <v/>
      </c>
      <c r="AZ40" s="91" t="str">
        <f aca="false">IF($BL40&lt;&gt;Constants!$B$4,"",IF(NOT($AS40),"",ROUND($AU40+$AV40+$AW40+$AX40,1)))</f>
        <v/>
      </c>
      <c r="BA40" s="92" t="str">
        <f aca="false">IF($BL40&lt;&gt;Constants!$B$4,"",IF(NOT($AS40),"",IF(ISNUMBER($AF40),$AF40,0)))</f>
        <v/>
      </c>
      <c r="BB40" s="86" t="str">
        <f aca="false">IF($BL40&lt;&gt;Constants!$B$4,"",IF(NOT($BC40),"&lt;-",IF(NOT($AS40),"-&gt;",IF(OR($BI40&lt;$AY40,AND($BI40=$AY40,OR($BJ40&gt;$AZ40,AND($BJ40=$AZ40,OR($BH40&gt;$AX40,AND($BH40=$AX40,OR($BE40&gt;$AU40,AND($BE40=$AU40,OR($BF40&gt;$AV40,AND($BF40=$AV40,$BK40&gt;$BA40)))))))))),"-&gt;","&lt;-"))))</f>
        <v/>
      </c>
      <c r="BC40" s="85" t="str">
        <f aca="false">IF(ISBLANK($C40),"",COUNTA($P40:$U40)&gt;0)</f>
        <v/>
      </c>
      <c r="BD40" s="85" t="str">
        <f aca="false">IF(ISBLANK($C40),"",AND($BC40,OR(AND($AL40="",OR($AK40,NOT(ISBLANK($S40)))),$AM40="",$AN40="")))</f>
        <v/>
      </c>
      <c r="BE40" s="87" t="str">
        <f aca="false">IF($BL40&lt;&gt;Constants!$B$4,"",IF(NOT($BC40),"",ROUND((Constants!$B$12-$AB40)+(Constants!$B$13-$Z40)+(Constants!$B$14-$AA40),1)))</f>
        <v/>
      </c>
      <c r="BF40" s="90" t="str">
        <f aca="false">IF($BL40&lt;&gt;Constants!$B$4,"",IF(NOT($BC40),"",IF(NOT($AK40),0,Constants!$B$15*(INT(ROUND(MIN($AL40,$AP$9),6))-INT(ROUND(MAX(0,MIN($AL40,2*$AP$9)-$AP$9),6))))))</f>
        <v/>
      </c>
      <c r="BG40" s="90" t="str">
        <f aca="false">IF($BL40&lt;&gt;Constants!$B$4,"",IF(NOT($BC40),"",Constants!$B$16*$AM40))</f>
        <v/>
      </c>
      <c r="BH40" s="90" t="str">
        <f aca="false">IF($BL40&lt;&gt;Constants!$B$4,"",IF(NOT($BC40),"",Constants!$B$18*INT(ROUND($AN40,6))))</f>
        <v/>
      </c>
      <c r="BI40" s="85" t="str">
        <f aca="false">IF($BL40&lt;&gt;Constants!$B$4,"",IF(NOT($BC40),"",IF(NOT($X40),Constants!$B$11,IF(OR(NOT($AI40),NOT($AJ40),ROUND($AB40,1)&gt;Constants!$B$12,ROUND($Z40,1)&gt;Constants!$B$13,ROUND($AA40,1)&gt;Constants!$B$14),Constants!$B$10,Constants!$B$9))))</f>
        <v/>
      </c>
      <c r="BJ40" s="91" t="str">
        <f aca="false">IF($BL40&lt;&gt;Constants!$B$4,"",IF(NOT($BC40),"",ROUND($BE40+$BF40+$BG40+$BH40,1)))</f>
        <v/>
      </c>
      <c r="BK40" s="92" t="str">
        <f aca="false">IF($BL40&lt;&gt;Constants!$B$4,"",IF(NOT($BC40),"",IF(ISNUMBER($AL40),$AL40,0)))</f>
        <v/>
      </c>
      <c r="BL40" s="86" t="str">
        <f aca="false">IF(ISBLANK($C40),"",IF($AO40,Constants!$B$7,IF(COUNTA($E40:$V40)=0,Constants!$B$6,IF(NOT($Y40),Constants!$B$5,IF(NOT(OR($AS40,$BC40)),Constants!$B$5,IF(OR($AT40,$BD40,$AQ40,$AR40&lt;&gt;""),Constants!$B$8,Constants!$B$4))))))</f>
        <v/>
      </c>
      <c r="BM40" s="86" t="str">
        <f aca="false">IF(ISBLANK($C40),"",IF($BL40&lt;&gt;Constants!$B$4,$BL40,IF($BB40="-&gt;",$BI40,$AY40)))</f>
        <v/>
      </c>
      <c r="BN40" s="90" t="str">
        <f aca="false">IF($BL40&lt;&gt;Constants!$B$4,"",IF($BB40="-&gt;",$BJ40,$AZ40))</f>
        <v/>
      </c>
      <c r="BO40" s="90" t="str">
        <f aca="false">IF(ISBLANK($C40),"",IF($BL40&lt;&gt;Constants!$B$4,$BL40,$BN40))</f>
        <v/>
      </c>
      <c r="BP40" s="86" t="str">
        <f aca="false">IF(ISBLANK($C40),"",IF($BL40&lt;&gt;Constants!$B$4,$BL40,RANK($BO40,$BO$9:$BO$508,0)))</f>
        <v/>
      </c>
      <c r="BQ40" s="86" t="str">
        <f aca="false">IF(ISBLANK($C40),"",IF($BL40&lt;&gt;Constants!$B$4,$BL40,COUNTIFS($BM$9:$BM$508,"&lt;"&amp;$BM40)+COUNTIFS($BM$9:$BM$508,$BM40,$BP$9:$BP$508,"&lt;"&amp;$BP40)+1))</f>
        <v/>
      </c>
      <c r="BR40" s="90" t="str">
        <f aca="false">IF($BL40&lt;&gt;Constants!$B$4,"",IF($BB40="-&gt;",$BH40,$AX40))</f>
        <v/>
      </c>
      <c r="BS40" s="86" t="str">
        <f aca="false">IF(ISBLANK($C40),"",IF($BL40&lt;&gt;Constants!$B$4,$BL40,IF(ISNUMBER($BR40),RANK($BR40,$BR$9:$BR$508,0),COUNT($BR$9:$BR$508)+1)))</f>
        <v/>
      </c>
      <c r="BT40" s="90" t="str">
        <f aca="false">IF($BL40&lt;&gt;Constants!$B$4,"",IF($BB40="-&gt;",$BE40,$AU40))</f>
        <v/>
      </c>
      <c r="BU40" s="86" t="str">
        <f aca="false">IF(ISBLANK($C40),"",IF($BL40&lt;&gt;Constants!$B$4,$BL40,IF(ISNUMBER($BT40),RANK($BT40,$BT$9:$BT$508,0),COUNT($BT$9:$BT$508)+1)))</f>
        <v/>
      </c>
      <c r="BV40" s="90" t="str">
        <f aca="false">IF($BL40&lt;&gt;Constants!$B$4,"",IF($BB40="-&gt;",$BF40,$AV40))</f>
        <v/>
      </c>
      <c r="BW40" s="86" t="str">
        <f aca="false">IF(ISBLANK($C40),"",IF($BL40&lt;&gt;Constants!$B$4,$BL40,IF(ISNUMBER($BV40),RANK($BV40,$BV$9:$BV$508,0),COUNT($BV$9:$BV$508)+1)))</f>
        <v/>
      </c>
      <c r="BX40" s="90" t="str">
        <f aca="false">IF($BL40&lt;&gt;Constants!$B$4,"",IF($BB40="-&gt;",$BK40,$BA40))</f>
        <v/>
      </c>
      <c r="BY40" s="86" t="str">
        <f aca="false">IF(ISBLANK($C40),"",IF($BL40&lt;&gt;Constants!$B$4,$BL40,IF(ISNUMBER($BX40),RANK($BX40,$BX$9:$BX$508,0),COUNT($BX$9:$BX$508)+1)))</f>
        <v/>
      </c>
      <c r="BZ40" s="86" t="str">
        <f aca="false">IF(ISBLANK($C40),"",IF($BL40&lt;&gt;Constants!$B$4,$BL40,COUNTIFS($BM$9:$BM$508,"&lt;"&amp;$BM40)+COUNTIFS($BM$9:$BM$508,$BM40,$BP$9:$BP$508,"&lt;"&amp;$BP40)+COUNTIFS($BM$9:$BM$508,$BM40,$BP$9:$BP$508,$BP40,$BS$9:$BS$508,"&lt;"&amp;$BS40)+COUNTIFS($BM$9:$BM$508,$BM40,$BP$9:$BP$508,$BP40,$BS$9:$BS$508,$BS40,$BU$9:$BU$508,"&lt;"&amp;$BU40)+COUNTIFS($BM$9:$BM$508,$BM40,$BP$9:$BP$508,$BP40,$BS$9:$BS$508,$BS40,$BU$9:$BU$508,$BU40,$BW$9:$BW$508,"&lt;"&amp;$BW40)+COUNTIFS($BM$9:$BM$508,$BM40,$BP$9:$BP$508,$BP40,$BS$9:$BS$508,$BS40,$BU$9:$BU$508,$BU40,$BW$9:$BW$508,$BW40,$BY$9:$BY$508,"&lt;"&amp;$BY40)+1))</f>
        <v/>
      </c>
      <c r="CA40" s="86" t="str">
        <f aca="false">IF(ISBLANK($C40),"",IF($BL40&lt;&gt;Constants!$B$4,$BL40,$BQ40-$BZ40))</f>
        <v/>
      </c>
      <c r="CB40" s="93"/>
      <c r="CC40" s="94" t="str">
        <f aca="false">IF(ISBLANK($C40),"",IF($BL40=Constants!$B$8,$AR40,""))</f>
        <v/>
      </c>
      <c r="CD40" s="94" t="str">
        <f aca="false">IF(ISBLANK($C40),"",IF($BL40&lt;&gt;Constants!$B$4,"",IF($BB40="-&gt;",2,1)))</f>
        <v/>
      </c>
      <c r="CE40" s="95" t="str">
        <f aca="false">IF(ISBLANK($C40),"",IF($BL40&lt;&gt;Constants!$B$4,"",IF($BB40="-&gt;",$BE40,$AU40)))</f>
        <v/>
      </c>
      <c r="CF40" s="95" t="str">
        <f aca="false">IF(ISBLANK($C40),"",IF($BL40&lt;&gt;Constants!$B$4,"",IF($BB40="-&gt;",$BF40,$AV40)))</f>
        <v/>
      </c>
      <c r="CG40" s="95" t="str">
        <f aca="false">IF(ISBLANK($C40),"",IF($BL40&lt;&gt;Constants!$B$4,"",IF($BB40="-&gt;",$BG40,$AW40)))</f>
        <v/>
      </c>
      <c r="CH40" s="95" t="str">
        <f aca="false">IF(ISBLANK($C40),"",IF($BL40&lt;&gt;Constants!$B$4,"",IF($BB40="-&gt;",$BH40,$AX40)))</f>
        <v/>
      </c>
      <c r="CI40" s="96" t="str">
        <f aca="false">IF(ISBLANK($C40),"",$BO40)</f>
        <v/>
      </c>
      <c r="CJ40" s="97" t="str">
        <f aca="false">IF(ISBLANK($C40),"",$BM40)</f>
        <v/>
      </c>
      <c r="CK40" s="98" t="str">
        <f aca="false">IF(ISBLANK($C40),"",$CA40)</f>
        <v/>
      </c>
      <c r="CL40" s="98" t="str">
        <f aca="false">IF(ISBLANK($C40),"",$BZ40)</f>
        <v/>
      </c>
      <c r="CM40" s="99" t="str">
        <f aca="false">IF(ISBLANK($C40),"",IF($CL40=Constants!$B$7,COUNTA($C$9:$C$508)+2,IF($CL40=Constants!$B$6,COUNTA($C$9:$C$508)+1,IF($CL40=Constants!$B$5,COUNTA($C$9:$C$508),$CL40))))</f>
        <v/>
      </c>
      <c r="CN40" s="8"/>
      <c r="CO40" s="100" t="n">
        <f aca="false">IF(OR(ISNUMBER($CL40),$CL40=Constants!$B$7,$CL40=Constants!$B$5,$CL40=Constants!$B$6),1,0)</f>
        <v>0</v>
      </c>
      <c r="CP40" s="100" t="n">
        <v>32</v>
      </c>
      <c r="CQ40" s="100" t="str">
        <f aca="false">IF(ISBLANK($C40),"",IF(ISNUMBER($CM40),$CM40+ROW($B40)/1000,""))</f>
        <v/>
      </c>
      <c r="CR40" s="100" t="str">
        <f aca="false">IF(ISNUMBER($CQ40),RANK($CQ40,$CQ$9:$CQ$508,1),"")</f>
        <v/>
      </c>
      <c r="CS40" s="100" t="str">
        <f aca="false">IF(ISBLANK($C40),"",$B40)</f>
        <v/>
      </c>
      <c r="CT40" s="100" t="str">
        <f aca="false">IF(ISBLANK($C40),"",$C40)</f>
        <v/>
      </c>
      <c r="CU40" s="100" t="str">
        <f aca="false">IF(ISBLANK($C40),"",$D40)</f>
        <v/>
      </c>
      <c r="CV40" s="101" t="str">
        <f aca="false">$CJ40</f>
        <v/>
      </c>
      <c r="CW40" s="102" t="str">
        <f aca="false">$CI40</f>
        <v/>
      </c>
      <c r="CX40" s="100" t="str">
        <f aca="false">IF(ISBLANK($C40),"",$CL40)</f>
        <v/>
      </c>
      <c r="CY40" s="103" t="str">
        <f aca="false">IF($CP40&gt;$CO$8,"",VLOOKUP($CP40,$CR$9:$CX$508,7,FALSE()))</f>
        <v/>
      </c>
      <c r="CZ40" s="104" t="str">
        <f aca="false">IF($CP40&gt;$CO$8,"",VLOOKUP($CP40,$CR$9:$CX$508,2,FALSE()))</f>
        <v/>
      </c>
      <c r="DA40" s="104" t="str">
        <f aca="false">IF($CP40&gt;$CO$8,"",VLOOKUP($CP40,$CR$9:$CX$508,3,FALSE()))</f>
        <v/>
      </c>
      <c r="DB40" s="104" t="str">
        <f aca="false">IF($CP40&gt;$CO$8,"",VLOOKUP($CP40,$CR$9:$CX$508,4,FALSE()))</f>
        <v/>
      </c>
      <c r="DC40" s="104" t="str">
        <f aca="false">IF($CP40&gt;$CO$8,"",VLOOKUP($CP40,$CR$9:$CX$508,5,FALSE()))</f>
        <v/>
      </c>
      <c r="DD40" s="105" t="str">
        <f aca="false">IF($CP40&gt;$CO$8,"",VLOOKUP($CP40,$CR$9:$CX$508,6,FALSE()))</f>
        <v/>
      </c>
      <c r="DE40" s="70"/>
    </row>
    <row r="41" customFormat="false" ht="15.75" hidden="false" customHeight="false" outlineLevel="0" collapsed="false">
      <c r="A41" s="8"/>
      <c r="B41" s="72"/>
      <c r="C41" s="73"/>
      <c r="D41" s="155"/>
      <c r="E41" s="162"/>
      <c r="F41" s="157"/>
      <c r="G41" s="77"/>
      <c r="H41" s="77"/>
      <c r="I41" s="77"/>
      <c r="J41" s="163"/>
      <c r="K41" s="161"/>
      <c r="L41" s="161"/>
      <c r="M41" s="80"/>
      <c r="N41" s="161"/>
      <c r="O41" s="160"/>
      <c r="P41" s="161"/>
      <c r="Q41" s="161"/>
      <c r="R41" s="161"/>
      <c r="S41" s="77"/>
      <c r="T41" s="161"/>
      <c r="U41" s="160"/>
      <c r="V41" s="161"/>
      <c r="W41" s="85"/>
      <c r="X41" s="86" t="str">
        <f aca="false">IF(ISBLANK($C41),"",IF($E41=Constants!$B$2,TRUE(),IF($E41=Constants!$B$3,FALSE(),TRUE())))</f>
        <v/>
      </c>
      <c r="Y41" s="86" t="str">
        <f aca="false">IF(ISBLANK($C41),"",IF($F41=Constants!$B$2,TRUE(),IF($F41=Constants!$B$3,FALSE(),TRUE())))</f>
        <v/>
      </c>
      <c r="Z41" s="87" t="str">
        <f aca="false">IF(ISBLANK($C41),"",IF(ISNUMBER($G41),IF($G41&gt;=0,$G41,""),""))</f>
        <v/>
      </c>
      <c r="AA41" s="87" t="str">
        <f aca="false">IF(ISBLANK($C41),"",IF(ISNUMBER($H41),IF($H41&gt;=0,$H41,""),""))</f>
        <v/>
      </c>
      <c r="AB41" s="87" t="str">
        <f aca="false">IF(ISBLANK($C41),"",IF(ISNUMBER($I41),IF($I41&gt;=0,$I41,""),""))</f>
        <v/>
      </c>
      <c r="AC41" s="86" t="str">
        <f aca="false">IF(ISBLANK($C41),"",IF($J41=Constants!$B$2,TRUE(),IF($J41=Constants!$B$3,FALSE(),TRUE())))</f>
        <v/>
      </c>
      <c r="AD41" s="86" t="str">
        <f aca="false">IF(ISBLANK($C41),"",IF($K41=Constants!$B$2,TRUE(),IF($K41=Constants!$B$3,FALSE(),TRUE())))</f>
        <v/>
      </c>
      <c r="AE41" s="86" t="str">
        <f aca="false">IF(ISBLANK($C41),"",IF($L41=Constants!$B$2,TRUE(),IF($L41=Constants!$B$3,FALSE(),TRUE())))</f>
        <v/>
      </c>
      <c r="AF41" s="88" t="str">
        <f aca="false">IF(ISBLANK($C41),"",IF(ISNUMBER($M41),IF($M41&gt;=0,$M41,""),""))</f>
        <v/>
      </c>
      <c r="AG41" s="86" t="str">
        <f aca="false">IF(ISBLANK($C41),"",IF(ISBLANK($N41),0,IF(ISNUMBER($N41),IF(AND($N41&gt;=0,$N41&lt;=Constants!$B$17,$N41=INT($N41)),$N41,""),"")))</f>
        <v/>
      </c>
      <c r="AH41" s="87" t="str">
        <f aca="false">IF(ISBLANK($C41),"",IF(ISBLANK($O41),0,IF(ISNUMBER($O41),IF($O41&gt;=0,$O41,""),"")))</f>
        <v/>
      </c>
      <c r="AI41" s="86" t="str">
        <f aca="false">IF(ISBLANK($C41),"",IF($P41=Constants!$B$2,TRUE(),IF($P41=Constants!$B$3,FALSE(),TRUE())))</f>
        <v/>
      </c>
      <c r="AJ41" s="86" t="str">
        <f aca="false">IF(ISBLANK($C41),"",IF($Q41=Constants!$B$2,TRUE(),IF($Q41=Constants!$B$3,FALSE(),TRUE())))</f>
        <v/>
      </c>
      <c r="AK41" s="86" t="str">
        <f aca="false">IF(ISBLANK($C41),"",IF($R41=Constants!$B$2,TRUE(),IF($R41=Constants!$B$3,FALSE(),TRUE())))</f>
        <v/>
      </c>
      <c r="AL41" s="88" t="str">
        <f aca="false">IF(ISBLANK($C41),"",IF(ISNUMBER($S41),IF($S41&gt;=0,$S41,""),""))</f>
        <v/>
      </c>
      <c r="AM41" s="86" t="str">
        <f aca="false">IF(ISBLANK($C41),"",IF(ISBLANK($T41),0,IF(ISNUMBER($T41),IF(AND($T41&gt;=0,$T41&lt;=Constants!$B$17,$T41=INT($T41)),$T41,""),"")))</f>
        <v/>
      </c>
      <c r="AN41" s="87" t="str">
        <f aca="false">IF(ISBLANK($C41),"",IF(ISBLANK($U41),0,IF(ISNUMBER($U41),IF($U41&gt;=0,$U41,""),"")))</f>
        <v/>
      </c>
      <c r="AO41" s="86" t="str">
        <f aca="false">IF(ISBLANK($C41),"",IF($V41=Constants!$B$2,TRUE(),IF($V41=Constants!$B$3,FALSE(),FALSE())))</f>
        <v/>
      </c>
      <c r="AP41" s="86"/>
      <c r="AQ41" s="85" t="str">
        <f aca="false">IF(ISBLANK($C41),"",AND($Y41,OR($AS41,$BC41),OR($Z41="",$AA41="",$AB41="")))</f>
        <v/>
      </c>
      <c r="AR41" s="85" t="str">
        <f aca="false">IF(ISBLANK($C41),"",IF(OR(NOT($Y41),NOT(OR($AS41,$BC41))),"",IF(ISBLANK($D$7),$AR$5,IF($AP$9="",$AR$6,""))))</f>
        <v/>
      </c>
      <c r="AS41" s="85" t="str">
        <f aca="false">IF(ISBLANK($C41),"",COUNTA($J41:$O41)&gt;0)</f>
        <v/>
      </c>
      <c r="AT41" s="85" t="str">
        <f aca="false">IF(ISBLANK($C41),"",AND($AS41,OR(AND($AF41="",OR($AE41,NOT(ISBLANK($M41)))),$AG41="",$AH41="")))</f>
        <v/>
      </c>
      <c r="AU41" s="87" t="str">
        <f aca="false">IF($BL41&lt;&gt;Constants!$B$4,"",IF(NOT($AS41),"",ROUND((Constants!$B$12-$AB41)+(Constants!$B$13-$Z41)+(Constants!$B$14-$AA41),1)))</f>
        <v/>
      </c>
      <c r="AV41" s="90" t="str">
        <f aca="false">IF($BL41&lt;&gt;Constants!$B$4,"",IF(NOT($AS41),"",IF(NOT($AE41),0,Constants!$B$15*(INT(ROUND(MIN($AF41,$AP$9),6))-INT(ROUND(MAX(0,MIN($AF41,2*$AP$9)-$AP$9),6))))))</f>
        <v/>
      </c>
      <c r="AW41" s="90" t="str">
        <f aca="false">IF($BL41&lt;&gt;Constants!$B$4,"",IF(NOT($AS41),"",Constants!$B$16*$AG41))</f>
        <v/>
      </c>
      <c r="AX41" s="90" t="str">
        <f aca="false">IF($BL41&lt;&gt;Constants!$B$4,"",IF(NOT($AS41),"",Constants!$B$18*INT(ROUND($AH41,6))))</f>
        <v/>
      </c>
      <c r="AY41" s="85" t="str">
        <f aca="false">IF($BL41&lt;&gt;Constants!$B$4,"",IF(NOT($AS41),"",IF(NOT($X41),Constants!$B$11,IF(OR(NOT($AC41),NOT($AD41),ROUND($AB41,1)&gt;Constants!$B$12,ROUND($Z41,1)&gt;Constants!$B$13,ROUND($AA41,1)&gt;Constants!$B$14),Constants!$B$10,Constants!$B$9))))</f>
        <v/>
      </c>
      <c r="AZ41" s="91" t="str">
        <f aca="false">IF($BL41&lt;&gt;Constants!$B$4,"",IF(NOT($AS41),"",ROUND($AU41+$AV41+$AW41+$AX41,1)))</f>
        <v/>
      </c>
      <c r="BA41" s="92" t="str">
        <f aca="false">IF($BL41&lt;&gt;Constants!$B$4,"",IF(NOT($AS41),"",IF(ISNUMBER($AF41),$AF41,0)))</f>
        <v/>
      </c>
      <c r="BB41" s="86" t="str">
        <f aca="false">IF($BL41&lt;&gt;Constants!$B$4,"",IF(NOT($BC41),"&lt;-",IF(NOT($AS41),"-&gt;",IF(OR($BI41&lt;$AY41,AND($BI41=$AY41,OR($BJ41&gt;$AZ41,AND($BJ41=$AZ41,OR($BH41&gt;$AX41,AND($BH41=$AX41,OR($BE41&gt;$AU41,AND($BE41=$AU41,OR($BF41&gt;$AV41,AND($BF41=$AV41,$BK41&gt;$BA41)))))))))),"-&gt;","&lt;-"))))</f>
        <v/>
      </c>
      <c r="BC41" s="85" t="str">
        <f aca="false">IF(ISBLANK($C41),"",COUNTA($P41:$U41)&gt;0)</f>
        <v/>
      </c>
      <c r="BD41" s="85" t="str">
        <f aca="false">IF(ISBLANK($C41),"",AND($BC41,OR(AND($AL41="",OR($AK41,NOT(ISBLANK($S41)))),$AM41="",$AN41="")))</f>
        <v/>
      </c>
      <c r="BE41" s="87" t="str">
        <f aca="false">IF($BL41&lt;&gt;Constants!$B$4,"",IF(NOT($BC41),"",ROUND((Constants!$B$12-$AB41)+(Constants!$B$13-$Z41)+(Constants!$B$14-$AA41),1)))</f>
        <v/>
      </c>
      <c r="BF41" s="90" t="str">
        <f aca="false">IF($BL41&lt;&gt;Constants!$B$4,"",IF(NOT($BC41),"",IF(NOT($AK41),0,Constants!$B$15*(INT(ROUND(MIN($AL41,$AP$9),6))-INT(ROUND(MAX(0,MIN($AL41,2*$AP$9)-$AP$9),6))))))</f>
        <v/>
      </c>
      <c r="BG41" s="90" t="str">
        <f aca="false">IF($BL41&lt;&gt;Constants!$B$4,"",IF(NOT($BC41),"",Constants!$B$16*$AM41))</f>
        <v/>
      </c>
      <c r="BH41" s="90" t="str">
        <f aca="false">IF($BL41&lt;&gt;Constants!$B$4,"",IF(NOT($BC41),"",Constants!$B$18*INT(ROUND($AN41,6))))</f>
        <v/>
      </c>
      <c r="BI41" s="85" t="str">
        <f aca="false">IF($BL41&lt;&gt;Constants!$B$4,"",IF(NOT($BC41),"",IF(NOT($X41),Constants!$B$11,IF(OR(NOT($AI41),NOT($AJ41),ROUND($AB41,1)&gt;Constants!$B$12,ROUND($Z41,1)&gt;Constants!$B$13,ROUND($AA41,1)&gt;Constants!$B$14),Constants!$B$10,Constants!$B$9))))</f>
        <v/>
      </c>
      <c r="BJ41" s="91" t="str">
        <f aca="false">IF($BL41&lt;&gt;Constants!$B$4,"",IF(NOT($BC41),"",ROUND($BE41+$BF41+$BG41+$BH41,1)))</f>
        <v/>
      </c>
      <c r="BK41" s="92" t="str">
        <f aca="false">IF($BL41&lt;&gt;Constants!$B$4,"",IF(NOT($BC41),"",IF(ISNUMBER($AL41),$AL41,0)))</f>
        <v/>
      </c>
      <c r="BL41" s="86" t="str">
        <f aca="false">IF(ISBLANK($C41),"",IF($AO41,Constants!$B$7,IF(COUNTA($E41:$V41)=0,Constants!$B$6,IF(NOT($Y41),Constants!$B$5,IF(NOT(OR($AS41,$BC41)),Constants!$B$5,IF(OR($AT41,$BD41,$AQ41,$AR41&lt;&gt;""),Constants!$B$8,Constants!$B$4))))))</f>
        <v/>
      </c>
      <c r="BM41" s="86" t="str">
        <f aca="false">IF(ISBLANK($C41),"",IF($BL41&lt;&gt;Constants!$B$4,$BL41,IF($BB41="-&gt;",$BI41,$AY41)))</f>
        <v/>
      </c>
      <c r="BN41" s="90" t="str">
        <f aca="false">IF($BL41&lt;&gt;Constants!$B$4,"",IF($BB41="-&gt;",$BJ41,$AZ41))</f>
        <v/>
      </c>
      <c r="BO41" s="90" t="str">
        <f aca="false">IF(ISBLANK($C41),"",IF($BL41&lt;&gt;Constants!$B$4,$BL41,$BN41))</f>
        <v/>
      </c>
      <c r="BP41" s="86" t="str">
        <f aca="false">IF(ISBLANK($C41),"",IF($BL41&lt;&gt;Constants!$B$4,$BL41,RANK($BO41,$BO$9:$BO$508,0)))</f>
        <v/>
      </c>
      <c r="BQ41" s="86" t="str">
        <f aca="false">IF(ISBLANK($C41),"",IF($BL41&lt;&gt;Constants!$B$4,$BL41,COUNTIFS($BM$9:$BM$508,"&lt;"&amp;$BM41)+COUNTIFS($BM$9:$BM$508,$BM41,$BP$9:$BP$508,"&lt;"&amp;$BP41)+1))</f>
        <v/>
      </c>
      <c r="BR41" s="90" t="str">
        <f aca="false">IF($BL41&lt;&gt;Constants!$B$4,"",IF($BB41="-&gt;",$BH41,$AX41))</f>
        <v/>
      </c>
      <c r="BS41" s="86" t="str">
        <f aca="false">IF(ISBLANK($C41),"",IF($BL41&lt;&gt;Constants!$B$4,$BL41,IF(ISNUMBER($BR41),RANK($BR41,$BR$9:$BR$508,0),COUNT($BR$9:$BR$508)+1)))</f>
        <v/>
      </c>
      <c r="BT41" s="90" t="str">
        <f aca="false">IF($BL41&lt;&gt;Constants!$B$4,"",IF($BB41="-&gt;",$BE41,$AU41))</f>
        <v/>
      </c>
      <c r="BU41" s="86" t="str">
        <f aca="false">IF(ISBLANK($C41),"",IF($BL41&lt;&gt;Constants!$B$4,$BL41,IF(ISNUMBER($BT41),RANK($BT41,$BT$9:$BT$508,0),COUNT($BT$9:$BT$508)+1)))</f>
        <v/>
      </c>
      <c r="BV41" s="90" t="str">
        <f aca="false">IF($BL41&lt;&gt;Constants!$B$4,"",IF($BB41="-&gt;",$BF41,$AV41))</f>
        <v/>
      </c>
      <c r="BW41" s="86" t="str">
        <f aca="false">IF(ISBLANK($C41),"",IF($BL41&lt;&gt;Constants!$B$4,$BL41,IF(ISNUMBER($BV41),RANK($BV41,$BV$9:$BV$508,0),COUNT($BV$9:$BV$508)+1)))</f>
        <v/>
      </c>
      <c r="BX41" s="90" t="str">
        <f aca="false">IF($BL41&lt;&gt;Constants!$B$4,"",IF($BB41="-&gt;",$BK41,$BA41))</f>
        <v/>
      </c>
      <c r="BY41" s="86" t="str">
        <f aca="false">IF(ISBLANK($C41),"",IF($BL41&lt;&gt;Constants!$B$4,$BL41,IF(ISNUMBER($BX41),RANK($BX41,$BX$9:$BX$508,0),COUNT($BX$9:$BX$508)+1)))</f>
        <v/>
      </c>
      <c r="BZ41" s="86" t="str">
        <f aca="false">IF(ISBLANK($C41),"",IF($BL41&lt;&gt;Constants!$B$4,$BL41,COUNTIFS($BM$9:$BM$508,"&lt;"&amp;$BM41)+COUNTIFS($BM$9:$BM$508,$BM41,$BP$9:$BP$508,"&lt;"&amp;$BP41)+COUNTIFS($BM$9:$BM$508,$BM41,$BP$9:$BP$508,$BP41,$BS$9:$BS$508,"&lt;"&amp;$BS41)+COUNTIFS($BM$9:$BM$508,$BM41,$BP$9:$BP$508,$BP41,$BS$9:$BS$508,$BS41,$BU$9:$BU$508,"&lt;"&amp;$BU41)+COUNTIFS($BM$9:$BM$508,$BM41,$BP$9:$BP$508,$BP41,$BS$9:$BS$508,$BS41,$BU$9:$BU$508,$BU41,$BW$9:$BW$508,"&lt;"&amp;$BW41)+COUNTIFS($BM$9:$BM$508,$BM41,$BP$9:$BP$508,$BP41,$BS$9:$BS$508,$BS41,$BU$9:$BU$508,$BU41,$BW$9:$BW$508,$BW41,$BY$9:$BY$508,"&lt;"&amp;$BY41)+1))</f>
        <v/>
      </c>
      <c r="CA41" s="86" t="str">
        <f aca="false">IF(ISBLANK($C41),"",IF($BL41&lt;&gt;Constants!$B$4,$BL41,$BQ41-$BZ41))</f>
        <v/>
      </c>
      <c r="CB41" s="93"/>
      <c r="CC41" s="94" t="str">
        <f aca="false">IF(ISBLANK($C41),"",IF($BL41=Constants!$B$8,$AR41,""))</f>
        <v/>
      </c>
      <c r="CD41" s="94" t="str">
        <f aca="false">IF(ISBLANK($C41),"",IF($BL41&lt;&gt;Constants!$B$4,"",IF($BB41="-&gt;",2,1)))</f>
        <v/>
      </c>
      <c r="CE41" s="95" t="str">
        <f aca="false">IF(ISBLANK($C41),"",IF($BL41&lt;&gt;Constants!$B$4,"",IF($BB41="-&gt;",$BE41,$AU41)))</f>
        <v/>
      </c>
      <c r="CF41" s="95" t="str">
        <f aca="false">IF(ISBLANK($C41),"",IF($BL41&lt;&gt;Constants!$B$4,"",IF($BB41="-&gt;",$BF41,$AV41)))</f>
        <v/>
      </c>
      <c r="CG41" s="95" t="str">
        <f aca="false">IF(ISBLANK($C41),"",IF($BL41&lt;&gt;Constants!$B$4,"",IF($BB41="-&gt;",$BG41,$AW41)))</f>
        <v/>
      </c>
      <c r="CH41" s="95" t="str">
        <f aca="false">IF(ISBLANK($C41),"",IF($BL41&lt;&gt;Constants!$B$4,"",IF($BB41="-&gt;",$BH41,$AX41)))</f>
        <v/>
      </c>
      <c r="CI41" s="96" t="str">
        <f aca="false">IF(ISBLANK($C41),"",$BO41)</f>
        <v/>
      </c>
      <c r="CJ41" s="97" t="str">
        <f aca="false">IF(ISBLANK($C41),"",$BM41)</f>
        <v/>
      </c>
      <c r="CK41" s="98" t="str">
        <f aca="false">IF(ISBLANK($C41),"",$CA41)</f>
        <v/>
      </c>
      <c r="CL41" s="98" t="str">
        <f aca="false">IF(ISBLANK($C41),"",$BZ41)</f>
        <v/>
      </c>
      <c r="CM41" s="99" t="str">
        <f aca="false">IF(ISBLANK($C41),"",IF($CL41=Constants!$B$7,COUNTA($C$9:$C$508)+2,IF($CL41=Constants!$B$6,COUNTA($C$9:$C$508)+1,IF($CL41=Constants!$B$5,COUNTA($C$9:$C$508),$CL41))))</f>
        <v/>
      </c>
      <c r="CN41" s="8"/>
      <c r="CO41" s="100" t="n">
        <f aca="false">IF(OR(ISNUMBER($CL41),$CL41=Constants!$B$7,$CL41=Constants!$B$5,$CL41=Constants!$B$6),1,0)</f>
        <v>0</v>
      </c>
      <c r="CP41" s="100" t="n">
        <v>33</v>
      </c>
      <c r="CQ41" s="100" t="str">
        <f aca="false">IF(ISBLANK($C41),"",IF(ISNUMBER($CM41),$CM41+ROW($B41)/1000,""))</f>
        <v/>
      </c>
      <c r="CR41" s="100" t="str">
        <f aca="false">IF(ISNUMBER($CQ41),RANK($CQ41,$CQ$9:$CQ$508,1),"")</f>
        <v/>
      </c>
      <c r="CS41" s="100" t="str">
        <f aca="false">IF(ISBLANK($C41),"",$B41)</f>
        <v/>
      </c>
      <c r="CT41" s="100" t="str">
        <f aca="false">IF(ISBLANK($C41),"",$C41)</f>
        <v/>
      </c>
      <c r="CU41" s="100" t="str">
        <f aca="false">IF(ISBLANK($C41),"",$D41)</f>
        <v/>
      </c>
      <c r="CV41" s="101" t="str">
        <f aca="false">$CJ41</f>
        <v/>
      </c>
      <c r="CW41" s="102" t="str">
        <f aca="false">$CI41</f>
        <v/>
      </c>
      <c r="CX41" s="100" t="str">
        <f aca="false">IF(ISBLANK($C41),"",$CL41)</f>
        <v/>
      </c>
      <c r="CY41" s="103" t="str">
        <f aca="false">IF($CP41&gt;$CO$8,"",VLOOKUP($CP41,$CR$9:$CX$508,7,FALSE()))</f>
        <v/>
      </c>
      <c r="CZ41" s="104" t="str">
        <f aca="false">IF($CP41&gt;$CO$8,"",VLOOKUP($CP41,$CR$9:$CX$508,2,FALSE()))</f>
        <v/>
      </c>
      <c r="DA41" s="104" t="str">
        <f aca="false">IF($CP41&gt;$CO$8,"",VLOOKUP($CP41,$CR$9:$CX$508,3,FALSE()))</f>
        <v/>
      </c>
      <c r="DB41" s="104" t="str">
        <f aca="false">IF($CP41&gt;$CO$8,"",VLOOKUP($CP41,$CR$9:$CX$508,4,FALSE()))</f>
        <v/>
      </c>
      <c r="DC41" s="104" t="str">
        <f aca="false">IF($CP41&gt;$CO$8,"",VLOOKUP($CP41,$CR$9:$CX$508,5,FALSE()))</f>
        <v/>
      </c>
      <c r="DD41" s="105" t="str">
        <f aca="false">IF($CP41&gt;$CO$8,"",VLOOKUP($CP41,$CR$9:$CX$508,6,FALSE()))</f>
        <v/>
      </c>
      <c r="DE41" s="70"/>
    </row>
    <row r="42" customFormat="false" ht="15.75" hidden="false" customHeight="false" outlineLevel="0" collapsed="false">
      <c r="A42" s="8"/>
      <c r="B42" s="146"/>
      <c r="C42" s="147"/>
      <c r="D42" s="148"/>
      <c r="E42" s="164"/>
      <c r="F42" s="150"/>
      <c r="G42" s="115"/>
      <c r="H42" s="115"/>
      <c r="I42" s="115"/>
      <c r="J42" s="165"/>
      <c r="K42" s="154"/>
      <c r="L42" s="154"/>
      <c r="M42" s="118"/>
      <c r="N42" s="154"/>
      <c r="O42" s="153"/>
      <c r="P42" s="154"/>
      <c r="Q42" s="154"/>
      <c r="R42" s="154"/>
      <c r="S42" s="115"/>
      <c r="T42" s="154"/>
      <c r="U42" s="153"/>
      <c r="V42" s="154"/>
      <c r="W42" s="123"/>
      <c r="X42" s="124" t="str">
        <f aca="false">IF(ISBLANK($C42),"",IF($E42=Constants!$B$2,TRUE(),IF($E42=Constants!$B$3,FALSE(),TRUE())))</f>
        <v/>
      </c>
      <c r="Y42" s="124" t="str">
        <f aca="false">IF(ISBLANK($C42),"",IF($F42=Constants!$B$2,TRUE(),IF($F42=Constants!$B$3,FALSE(),TRUE())))</f>
        <v/>
      </c>
      <c r="Z42" s="125" t="str">
        <f aca="false">IF(ISBLANK($C42),"",IF(ISNUMBER($G42),IF($G42&gt;=0,$G42,""),""))</f>
        <v/>
      </c>
      <c r="AA42" s="125" t="str">
        <f aca="false">IF(ISBLANK($C42),"",IF(ISNUMBER($H42),IF($H42&gt;=0,$H42,""),""))</f>
        <v/>
      </c>
      <c r="AB42" s="125" t="str">
        <f aca="false">IF(ISBLANK($C42),"",IF(ISNUMBER($I42),IF($I42&gt;=0,$I42,""),""))</f>
        <v/>
      </c>
      <c r="AC42" s="124" t="str">
        <f aca="false">IF(ISBLANK($C42),"",IF($J42=Constants!$B$2,TRUE(),IF($J42=Constants!$B$3,FALSE(),TRUE())))</f>
        <v/>
      </c>
      <c r="AD42" s="124" t="str">
        <f aca="false">IF(ISBLANK($C42),"",IF($K42=Constants!$B$2,TRUE(),IF($K42=Constants!$B$3,FALSE(),TRUE())))</f>
        <v/>
      </c>
      <c r="AE42" s="124" t="str">
        <f aca="false">IF(ISBLANK($C42),"",IF($L42=Constants!$B$2,TRUE(),IF($L42=Constants!$B$3,FALSE(),TRUE())))</f>
        <v/>
      </c>
      <c r="AF42" s="126" t="str">
        <f aca="false">IF(ISBLANK($C42),"",IF(ISNUMBER($M42),IF($M42&gt;=0,$M42,""),""))</f>
        <v/>
      </c>
      <c r="AG42" s="124" t="str">
        <f aca="false">IF(ISBLANK($C42),"",IF(ISBLANK($N42),0,IF(ISNUMBER($N42),IF(AND($N42&gt;=0,$N42&lt;=Constants!$B$17,$N42=INT($N42)),$N42,""),"")))</f>
        <v/>
      </c>
      <c r="AH42" s="125" t="str">
        <f aca="false">IF(ISBLANK($C42),"",IF(ISBLANK($O42),0,IF(ISNUMBER($O42),IF($O42&gt;=0,$O42,""),"")))</f>
        <v/>
      </c>
      <c r="AI42" s="124" t="str">
        <f aca="false">IF(ISBLANK($C42),"",IF($P42=Constants!$B$2,TRUE(),IF($P42=Constants!$B$3,FALSE(),TRUE())))</f>
        <v/>
      </c>
      <c r="AJ42" s="124" t="str">
        <f aca="false">IF(ISBLANK($C42),"",IF($Q42=Constants!$B$2,TRUE(),IF($Q42=Constants!$B$3,FALSE(),TRUE())))</f>
        <v/>
      </c>
      <c r="AK42" s="124" t="str">
        <f aca="false">IF(ISBLANK($C42),"",IF($R42=Constants!$B$2,TRUE(),IF($R42=Constants!$B$3,FALSE(),TRUE())))</f>
        <v/>
      </c>
      <c r="AL42" s="126" t="str">
        <f aca="false">IF(ISBLANK($C42),"",IF(ISNUMBER($S42),IF($S42&gt;=0,$S42,""),""))</f>
        <v/>
      </c>
      <c r="AM42" s="124" t="str">
        <f aca="false">IF(ISBLANK($C42),"",IF(ISBLANK($T42),0,IF(ISNUMBER($T42),IF(AND($T42&gt;=0,$T42&lt;=Constants!$B$17,$T42=INT($T42)),$T42,""),"")))</f>
        <v/>
      </c>
      <c r="AN42" s="125" t="str">
        <f aca="false">IF(ISBLANK($C42),"",IF(ISBLANK($U42),0,IF(ISNUMBER($U42),IF($U42&gt;=0,$U42,""),"")))</f>
        <v/>
      </c>
      <c r="AO42" s="124" t="str">
        <f aca="false">IF(ISBLANK($C42),"",IF($V42=Constants!$B$2,TRUE(),IF($V42=Constants!$B$3,FALSE(),FALSE())))</f>
        <v/>
      </c>
      <c r="AP42" s="124"/>
      <c r="AQ42" s="123" t="str">
        <f aca="false">IF(ISBLANK($C42),"",AND($Y42,OR($AS42,$BC42),OR($Z42="",$AA42="",$AB42="")))</f>
        <v/>
      </c>
      <c r="AR42" s="123" t="str">
        <f aca="false">IF(ISBLANK($C42),"",IF(OR(NOT($Y42),NOT(OR($AS42,$BC42))),"",IF(ISBLANK($D$7),$AR$5,IF($AP$9="",$AR$6,""))))</f>
        <v/>
      </c>
      <c r="AS42" s="123" t="str">
        <f aca="false">IF(ISBLANK($C42),"",COUNTA($J42:$O42)&gt;0)</f>
        <v/>
      </c>
      <c r="AT42" s="123" t="str">
        <f aca="false">IF(ISBLANK($C42),"",AND($AS42,OR(AND($AF42="",OR($AE42,NOT(ISBLANK($M42)))),$AG42="",$AH42="")))</f>
        <v/>
      </c>
      <c r="AU42" s="125" t="str">
        <f aca="false">IF($BL42&lt;&gt;Constants!$B$4,"",IF(NOT($AS42),"",ROUND((Constants!$B$12-$AB42)+(Constants!$B$13-$Z42)+(Constants!$B$14-$AA42),1)))</f>
        <v/>
      </c>
      <c r="AV42" s="127" t="str">
        <f aca="false">IF($BL42&lt;&gt;Constants!$B$4,"",IF(NOT($AS42),"",IF(NOT($AE42),0,Constants!$B$15*(INT(ROUND(MIN($AF42,$AP$9),6))-INT(ROUND(MAX(0,MIN($AF42,2*$AP$9)-$AP$9),6))))))</f>
        <v/>
      </c>
      <c r="AW42" s="127" t="str">
        <f aca="false">IF($BL42&lt;&gt;Constants!$B$4,"",IF(NOT($AS42),"",Constants!$B$16*$AG42))</f>
        <v/>
      </c>
      <c r="AX42" s="127" t="str">
        <f aca="false">IF($BL42&lt;&gt;Constants!$B$4,"",IF(NOT($AS42),"",Constants!$B$18*INT(ROUND($AH42,6))))</f>
        <v/>
      </c>
      <c r="AY42" s="123" t="str">
        <f aca="false">IF($BL42&lt;&gt;Constants!$B$4,"",IF(NOT($AS42),"",IF(NOT($X42),Constants!$B$11,IF(OR(NOT($AC42),NOT($AD42),ROUND($AB42,1)&gt;Constants!$B$12,ROUND($Z42,1)&gt;Constants!$B$13,ROUND($AA42,1)&gt;Constants!$B$14),Constants!$B$10,Constants!$B$9))))</f>
        <v/>
      </c>
      <c r="AZ42" s="128" t="str">
        <f aca="false">IF($BL42&lt;&gt;Constants!$B$4,"",IF(NOT($AS42),"",ROUND($AU42+$AV42+$AW42+$AX42,1)))</f>
        <v/>
      </c>
      <c r="BA42" s="129" t="str">
        <f aca="false">IF($BL42&lt;&gt;Constants!$B$4,"",IF(NOT($AS42),"",IF(ISNUMBER($AF42),$AF42,0)))</f>
        <v/>
      </c>
      <c r="BB42" s="124" t="str">
        <f aca="false">IF($BL42&lt;&gt;Constants!$B$4,"",IF(NOT($BC42),"&lt;-",IF(NOT($AS42),"-&gt;",IF(OR($BI42&lt;$AY42,AND($BI42=$AY42,OR($BJ42&gt;$AZ42,AND($BJ42=$AZ42,OR($BH42&gt;$AX42,AND($BH42=$AX42,OR($BE42&gt;$AU42,AND($BE42=$AU42,OR($BF42&gt;$AV42,AND($BF42=$AV42,$BK42&gt;$BA42)))))))))),"-&gt;","&lt;-"))))</f>
        <v/>
      </c>
      <c r="BC42" s="123" t="str">
        <f aca="false">IF(ISBLANK($C42),"",COUNTA($P42:$U42)&gt;0)</f>
        <v/>
      </c>
      <c r="BD42" s="123" t="str">
        <f aca="false">IF(ISBLANK($C42),"",AND($BC42,OR(AND($AL42="",OR($AK42,NOT(ISBLANK($S42)))),$AM42="",$AN42="")))</f>
        <v/>
      </c>
      <c r="BE42" s="125" t="str">
        <f aca="false">IF($BL42&lt;&gt;Constants!$B$4,"",IF(NOT($BC42),"",ROUND((Constants!$B$12-$AB42)+(Constants!$B$13-$Z42)+(Constants!$B$14-$AA42),1)))</f>
        <v/>
      </c>
      <c r="BF42" s="127" t="str">
        <f aca="false">IF($BL42&lt;&gt;Constants!$B$4,"",IF(NOT($BC42),"",IF(NOT($AK42),0,Constants!$B$15*(INT(ROUND(MIN($AL42,$AP$9),6))-INT(ROUND(MAX(0,MIN($AL42,2*$AP$9)-$AP$9),6))))))</f>
        <v/>
      </c>
      <c r="BG42" s="127" t="str">
        <f aca="false">IF($BL42&lt;&gt;Constants!$B$4,"",IF(NOT($BC42),"",Constants!$B$16*$AM42))</f>
        <v/>
      </c>
      <c r="BH42" s="127" t="str">
        <f aca="false">IF($BL42&lt;&gt;Constants!$B$4,"",IF(NOT($BC42),"",Constants!$B$18*INT(ROUND($AN42,6))))</f>
        <v/>
      </c>
      <c r="BI42" s="123" t="str">
        <f aca="false">IF($BL42&lt;&gt;Constants!$B$4,"",IF(NOT($BC42),"",IF(NOT($X42),Constants!$B$11,IF(OR(NOT($AI42),NOT($AJ42),ROUND($AB42,1)&gt;Constants!$B$12,ROUND($Z42,1)&gt;Constants!$B$13,ROUND($AA42,1)&gt;Constants!$B$14),Constants!$B$10,Constants!$B$9))))</f>
        <v/>
      </c>
      <c r="BJ42" s="128" t="str">
        <f aca="false">IF($BL42&lt;&gt;Constants!$B$4,"",IF(NOT($BC42),"",ROUND($BE42+$BF42+$BG42+$BH42,1)))</f>
        <v/>
      </c>
      <c r="BK42" s="129" t="str">
        <f aca="false">IF($BL42&lt;&gt;Constants!$B$4,"",IF(NOT($BC42),"",IF(ISNUMBER($AL42),$AL42,0)))</f>
        <v/>
      </c>
      <c r="BL42" s="124" t="str">
        <f aca="false">IF(ISBLANK($C42),"",IF($AO42,Constants!$B$7,IF(COUNTA($E42:$V42)=0,Constants!$B$6,IF(NOT($Y42),Constants!$B$5,IF(NOT(OR($AS42,$BC42)),Constants!$B$5,IF(OR($AT42,$BD42,$AQ42,$AR42&lt;&gt;""),Constants!$B$8,Constants!$B$4))))))</f>
        <v/>
      </c>
      <c r="BM42" s="124" t="str">
        <f aca="false">IF(ISBLANK($C42),"",IF($BL42&lt;&gt;Constants!$B$4,$BL42,IF($BB42="-&gt;",$BI42,$AY42)))</f>
        <v/>
      </c>
      <c r="BN42" s="127" t="str">
        <f aca="false">IF($BL42&lt;&gt;Constants!$B$4,"",IF($BB42="-&gt;",$BJ42,$AZ42))</f>
        <v/>
      </c>
      <c r="BO42" s="127" t="str">
        <f aca="false">IF(ISBLANK($C42),"",IF($BL42&lt;&gt;Constants!$B$4,$BL42,$BN42))</f>
        <v/>
      </c>
      <c r="BP42" s="124" t="str">
        <f aca="false">IF(ISBLANK($C42),"",IF($BL42&lt;&gt;Constants!$B$4,$BL42,RANK($BO42,$BO$9:$BO$508,0)))</f>
        <v/>
      </c>
      <c r="BQ42" s="124" t="str">
        <f aca="false">IF(ISBLANK($C42),"",IF($BL42&lt;&gt;Constants!$B$4,$BL42,COUNTIFS($BM$9:$BM$508,"&lt;"&amp;$BM42)+COUNTIFS($BM$9:$BM$508,$BM42,$BP$9:$BP$508,"&lt;"&amp;$BP42)+1))</f>
        <v/>
      </c>
      <c r="BR42" s="127" t="str">
        <f aca="false">IF($BL42&lt;&gt;Constants!$B$4,"",IF($BB42="-&gt;",$BH42,$AX42))</f>
        <v/>
      </c>
      <c r="BS42" s="124" t="str">
        <f aca="false">IF(ISBLANK($C42),"",IF($BL42&lt;&gt;Constants!$B$4,$BL42,IF(ISNUMBER($BR42),RANK($BR42,$BR$9:$BR$508,0),COUNT($BR$9:$BR$508)+1)))</f>
        <v/>
      </c>
      <c r="BT42" s="127" t="str">
        <f aca="false">IF($BL42&lt;&gt;Constants!$B$4,"",IF($BB42="-&gt;",$BE42,$AU42))</f>
        <v/>
      </c>
      <c r="BU42" s="124" t="str">
        <f aca="false">IF(ISBLANK($C42),"",IF($BL42&lt;&gt;Constants!$B$4,$BL42,IF(ISNUMBER($BT42),RANK($BT42,$BT$9:$BT$508,0),COUNT($BT$9:$BT$508)+1)))</f>
        <v/>
      </c>
      <c r="BV42" s="127" t="str">
        <f aca="false">IF($BL42&lt;&gt;Constants!$B$4,"",IF($BB42="-&gt;",$BF42,$AV42))</f>
        <v/>
      </c>
      <c r="BW42" s="124" t="str">
        <f aca="false">IF(ISBLANK($C42),"",IF($BL42&lt;&gt;Constants!$B$4,$BL42,IF(ISNUMBER($BV42),RANK($BV42,$BV$9:$BV$508,0),COUNT($BV$9:$BV$508)+1)))</f>
        <v/>
      </c>
      <c r="BX42" s="127" t="str">
        <f aca="false">IF($BL42&lt;&gt;Constants!$B$4,"",IF($BB42="-&gt;",$BK42,$BA42))</f>
        <v/>
      </c>
      <c r="BY42" s="124" t="str">
        <f aca="false">IF(ISBLANK($C42),"",IF($BL42&lt;&gt;Constants!$B$4,$BL42,IF(ISNUMBER($BX42),RANK($BX42,$BX$9:$BX$508,0),COUNT($BX$9:$BX$508)+1)))</f>
        <v/>
      </c>
      <c r="BZ42" s="124" t="str">
        <f aca="false">IF(ISBLANK($C42),"",IF($BL42&lt;&gt;Constants!$B$4,$BL42,COUNTIFS($BM$9:$BM$508,"&lt;"&amp;$BM42)+COUNTIFS($BM$9:$BM$508,$BM42,$BP$9:$BP$508,"&lt;"&amp;$BP42)+COUNTIFS($BM$9:$BM$508,$BM42,$BP$9:$BP$508,$BP42,$BS$9:$BS$508,"&lt;"&amp;$BS42)+COUNTIFS($BM$9:$BM$508,$BM42,$BP$9:$BP$508,$BP42,$BS$9:$BS$508,$BS42,$BU$9:$BU$508,"&lt;"&amp;$BU42)+COUNTIFS($BM$9:$BM$508,$BM42,$BP$9:$BP$508,$BP42,$BS$9:$BS$508,$BS42,$BU$9:$BU$508,$BU42,$BW$9:$BW$508,"&lt;"&amp;$BW42)+COUNTIFS($BM$9:$BM$508,$BM42,$BP$9:$BP$508,$BP42,$BS$9:$BS$508,$BS42,$BU$9:$BU$508,$BU42,$BW$9:$BW$508,$BW42,$BY$9:$BY$508,"&lt;"&amp;$BY42)+1))</f>
        <v/>
      </c>
      <c r="CA42" s="124" t="str">
        <f aca="false">IF(ISBLANK($C42),"",IF($BL42&lt;&gt;Constants!$B$4,$BL42,$BQ42-$BZ42))</f>
        <v/>
      </c>
      <c r="CB42" s="130"/>
      <c r="CC42" s="131" t="str">
        <f aca="false">IF(ISBLANK($C42),"",IF($BL42=Constants!$B$8,$AR42,""))</f>
        <v/>
      </c>
      <c r="CD42" s="131" t="str">
        <f aca="false">IF(ISBLANK($C42),"",IF($BL42&lt;&gt;Constants!$B$4,"",IF($BB42="-&gt;",2,1)))</f>
        <v/>
      </c>
      <c r="CE42" s="132" t="str">
        <f aca="false">IF(ISBLANK($C42),"",IF($BL42&lt;&gt;Constants!$B$4,"",IF($BB42="-&gt;",$BE42,$AU42)))</f>
        <v/>
      </c>
      <c r="CF42" s="132" t="str">
        <f aca="false">IF(ISBLANK($C42),"",IF($BL42&lt;&gt;Constants!$B$4,"",IF($BB42="-&gt;",$BF42,$AV42)))</f>
        <v/>
      </c>
      <c r="CG42" s="132" t="str">
        <f aca="false">IF(ISBLANK($C42),"",IF($BL42&lt;&gt;Constants!$B$4,"",IF($BB42="-&gt;",$BG42,$AW42)))</f>
        <v/>
      </c>
      <c r="CH42" s="132" t="str">
        <f aca="false">IF(ISBLANK($C42),"",IF($BL42&lt;&gt;Constants!$B$4,"",IF($BB42="-&gt;",$BH42,$AX42)))</f>
        <v/>
      </c>
      <c r="CI42" s="133" t="str">
        <f aca="false">IF(ISBLANK($C42),"",$BO42)</f>
        <v/>
      </c>
      <c r="CJ42" s="134" t="str">
        <f aca="false">IF(ISBLANK($C42),"",$BM42)</f>
        <v/>
      </c>
      <c r="CK42" s="135" t="str">
        <f aca="false">IF(ISBLANK($C42),"",$CA42)</f>
        <v/>
      </c>
      <c r="CL42" s="135" t="str">
        <f aca="false">IF(ISBLANK($C42),"",$BZ42)</f>
        <v/>
      </c>
      <c r="CM42" s="136" t="str">
        <f aca="false">IF(ISBLANK($C42),"",IF($CL42=Constants!$B$7,COUNTA($C$9:$C$508)+2,IF($CL42=Constants!$B$6,COUNTA($C$9:$C$508)+1,IF($CL42=Constants!$B$5,COUNTA($C$9:$C$508),$CL42))))</f>
        <v/>
      </c>
      <c r="CN42" s="8"/>
      <c r="CO42" s="137" t="n">
        <f aca="false">IF(OR(ISNUMBER($CL42),$CL42=Constants!$B$7,$CL42=Constants!$B$5,$CL42=Constants!$B$6),1,0)</f>
        <v>0</v>
      </c>
      <c r="CP42" s="137" t="n">
        <v>34</v>
      </c>
      <c r="CQ42" s="137" t="str">
        <f aca="false">IF(ISBLANK($C42),"",IF(ISNUMBER($CM42),$CM42+ROW($B42)/1000,""))</f>
        <v/>
      </c>
      <c r="CR42" s="137" t="str">
        <f aca="false">IF(ISNUMBER($CQ42),RANK($CQ42,$CQ$9:$CQ$508,1),"")</f>
        <v/>
      </c>
      <c r="CS42" s="137" t="str">
        <f aca="false">IF(ISBLANK($C42),"",$B42)</f>
        <v/>
      </c>
      <c r="CT42" s="137" t="str">
        <f aca="false">IF(ISBLANK($C42),"",$C42)</f>
        <v/>
      </c>
      <c r="CU42" s="137" t="str">
        <f aca="false">IF(ISBLANK($C42),"",$D42)</f>
        <v/>
      </c>
      <c r="CV42" s="138" t="str">
        <f aca="false">$CJ42</f>
        <v/>
      </c>
      <c r="CW42" s="139" t="str">
        <f aca="false">$CI42</f>
        <v/>
      </c>
      <c r="CX42" s="137" t="str">
        <f aca="false">IF(ISBLANK($C42),"",$CL42)</f>
        <v/>
      </c>
      <c r="CY42" s="140" t="str">
        <f aca="false">IF($CP42&gt;$CO$8,"",VLOOKUP($CP42,$CR$9:$CX$508,7,FALSE()))</f>
        <v/>
      </c>
      <c r="CZ42" s="141" t="str">
        <f aca="false">IF($CP42&gt;$CO$8,"",VLOOKUP($CP42,$CR$9:$CX$508,2,FALSE()))</f>
        <v/>
      </c>
      <c r="DA42" s="141" t="str">
        <f aca="false">IF($CP42&gt;$CO$8,"",VLOOKUP($CP42,$CR$9:$CX$508,3,FALSE()))</f>
        <v/>
      </c>
      <c r="DB42" s="141" t="str">
        <f aca="false">IF($CP42&gt;$CO$8,"",VLOOKUP($CP42,$CR$9:$CX$508,4,FALSE()))</f>
        <v/>
      </c>
      <c r="DC42" s="141" t="str">
        <f aca="false">IF($CP42&gt;$CO$8,"",VLOOKUP($CP42,$CR$9:$CX$508,5,FALSE()))</f>
        <v/>
      </c>
      <c r="DD42" s="142" t="str">
        <f aca="false">IF($CP42&gt;$CO$8,"",VLOOKUP($CP42,$CR$9:$CX$508,6,FALSE()))</f>
        <v/>
      </c>
      <c r="DE42" s="70"/>
    </row>
    <row r="43" customFormat="false" ht="15.75" hidden="false" customHeight="false" outlineLevel="0" collapsed="false">
      <c r="A43" s="8"/>
      <c r="B43" s="146"/>
      <c r="C43" s="147"/>
      <c r="D43" s="148"/>
      <c r="E43" s="164"/>
      <c r="F43" s="150"/>
      <c r="G43" s="115"/>
      <c r="H43" s="115"/>
      <c r="I43" s="115"/>
      <c r="J43" s="165"/>
      <c r="K43" s="154"/>
      <c r="L43" s="154"/>
      <c r="M43" s="118"/>
      <c r="N43" s="154"/>
      <c r="O43" s="153"/>
      <c r="P43" s="154"/>
      <c r="Q43" s="154"/>
      <c r="R43" s="154"/>
      <c r="S43" s="115"/>
      <c r="T43" s="154"/>
      <c r="U43" s="153"/>
      <c r="V43" s="154"/>
      <c r="W43" s="123"/>
      <c r="X43" s="124" t="str">
        <f aca="false">IF(ISBLANK($C43),"",IF($E43=Constants!$B$2,TRUE(),IF($E43=Constants!$B$3,FALSE(),TRUE())))</f>
        <v/>
      </c>
      <c r="Y43" s="124" t="str">
        <f aca="false">IF(ISBLANK($C43),"",IF($F43=Constants!$B$2,TRUE(),IF($F43=Constants!$B$3,FALSE(),TRUE())))</f>
        <v/>
      </c>
      <c r="Z43" s="125" t="str">
        <f aca="false">IF(ISBLANK($C43),"",IF(ISNUMBER($G43),IF($G43&gt;=0,$G43,""),""))</f>
        <v/>
      </c>
      <c r="AA43" s="125" t="str">
        <f aca="false">IF(ISBLANK($C43),"",IF(ISNUMBER($H43),IF($H43&gt;=0,$H43,""),""))</f>
        <v/>
      </c>
      <c r="AB43" s="125" t="str">
        <f aca="false">IF(ISBLANK($C43),"",IF(ISNUMBER($I43),IF($I43&gt;=0,$I43,""),""))</f>
        <v/>
      </c>
      <c r="AC43" s="124" t="str">
        <f aca="false">IF(ISBLANK($C43),"",IF($J43=Constants!$B$2,TRUE(),IF($J43=Constants!$B$3,FALSE(),TRUE())))</f>
        <v/>
      </c>
      <c r="AD43" s="124" t="str">
        <f aca="false">IF(ISBLANK($C43),"",IF($K43=Constants!$B$2,TRUE(),IF($K43=Constants!$B$3,FALSE(),TRUE())))</f>
        <v/>
      </c>
      <c r="AE43" s="124" t="str">
        <f aca="false">IF(ISBLANK($C43),"",IF($L43=Constants!$B$2,TRUE(),IF($L43=Constants!$B$3,FALSE(),TRUE())))</f>
        <v/>
      </c>
      <c r="AF43" s="126" t="str">
        <f aca="false">IF(ISBLANK($C43),"",IF(ISNUMBER($M43),IF($M43&gt;=0,$M43,""),""))</f>
        <v/>
      </c>
      <c r="AG43" s="124" t="str">
        <f aca="false">IF(ISBLANK($C43),"",IF(ISBLANK($N43),0,IF(ISNUMBER($N43),IF(AND($N43&gt;=0,$N43&lt;=Constants!$B$17,$N43=INT($N43)),$N43,""),"")))</f>
        <v/>
      </c>
      <c r="AH43" s="125" t="str">
        <f aca="false">IF(ISBLANK($C43),"",IF(ISBLANK($O43),0,IF(ISNUMBER($O43),IF($O43&gt;=0,$O43,""),"")))</f>
        <v/>
      </c>
      <c r="AI43" s="124" t="str">
        <f aca="false">IF(ISBLANK($C43),"",IF($P43=Constants!$B$2,TRUE(),IF($P43=Constants!$B$3,FALSE(),TRUE())))</f>
        <v/>
      </c>
      <c r="AJ43" s="124" t="str">
        <f aca="false">IF(ISBLANK($C43),"",IF($Q43=Constants!$B$2,TRUE(),IF($Q43=Constants!$B$3,FALSE(),TRUE())))</f>
        <v/>
      </c>
      <c r="AK43" s="124" t="str">
        <f aca="false">IF(ISBLANK($C43),"",IF($R43=Constants!$B$2,TRUE(),IF($R43=Constants!$B$3,FALSE(),TRUE())))</f>
        <v/>
      </c>
      <c r="AL43" s="126" t="str">
        <f aca="false">IF(ISBLANK($C43),"",IF(ISNUMBER($S43),IF($S43&gt;=0,$S43,""),""))</f>
        <v/>
      </c>
      <c r="AM43" s="124" t="str">
        <f aca="false">IF(ISBLANK($C43),"",IF(ISBLANK($T43),0,IF(ISNUMBER($T43),IF(AND($T43&gt;=0,$T43&lt;=Constants!$B$17,$T43=INT($T43)),$T43,""),"")))</f>
        <v/>
      </c>
      <c r="AN43" s="125" t="str">
        <f aca="false">IF(ISBLANK($C43),"",IF(ISBLANK($U43),0,IF(ISNUMBER($U43),IF($U43&gt;=0,$U43,""),"")))</f>
        <v/>
      </c>
      <c r="AO43" s="124" t="str">
        <f aca="false">IF(ISBLANK($C43),"",IF($V43=Constants!$B$2,TRUE(),IF($V43=Constants!$B$3,FALSE(),FALSE())))</f>
        <v/>
      </c>
      <c r="AP43" s="124"/>
      <c r="AQ43" s="123" t="str">
        <f aca="false">IF(ISBLANK($C43),"",AND($Y43,OR($AS43,$BC43),OR($Z43="",$AA43="",$AB43="")))</f>
        <v/>
      </c>
      <c r="AR43" s="123" t="str">
        <f aca="false">IF(ISBLANK($C43),"",IF(OR(NOT($Y43),NOT(OR($AS43,$BC43))),"",IF(ISBLANK($D$7),$AR$5,IF($AP$9="",$AR$6,""))))</f>
        <v/>
      </c>
      <c r="AS43" s="123" t="str">
        <f aca="false">IF(ISBLANK($C43),"",COUNTA($J43:$O43)&gt;0)</f>
        <v/>
      </c>
      <c r="AT43" s="123" t="str">
        <f aca="false">IF(ISBLANK($C43),"",AND($AS43,OR(AND($AF43="",OR($AE43,NOT(ISBLANK($M43)))),$AG43="",$AH43="")))</f>
        <v/>
      </c>
      <c r="AU43" s="125" t="str">
        <f aca="false">IF($BL43&lt;&gt;Constants!$B$4,"",IF(NOT($AS43),"",ROUND((Constants!$B$12-$AB43)+(Constants!$B$13-$Z43)+(Constants!$B$14-$AA43),1)))</f>
        <v/>
      </c>
      <c r="AV43" s="127" t="str">
        <f aca="false">IF($BL43&lt;&gt;Constants!$B$4,"",IF(NOT($AS43),"",IF(NOT($AE43),0,Constants!$B$15*(INT(ROUND(MIN($AF43,$AP$9),6))-INT(ROUND(MAX(0,MIN($AF43,2*$AP$9)-$AP$9),6))))))</f>
        <v/>
      </c>
      <c r="AW43" s="127" t="str">
        <f aca="false">IF($BL43&lt;&gt;Constants!$B$4,"",IF(NOT($AS43),"",Constants!$B$16*$AG43))</f>
        <v/>
      </c>
      <c r="AX43" s="127" t="str">
        <f aca="false">IF($BL43&lt;&gt;Constants!$B$4,"",IF(NOT($AS43),"",Constants!$B$18*INT(ROUND($AH43,6))))</f>
        <v/>
      </c>
      <c r="AY43" s="123" t="str">
        <f aca="false">IF($BL43&lt;&gt;Constants!$B$4,"",IF(NOT($AS43),"",IF(NOT($X43),Constants!$B$11,IF(OR(NOT($AC43),NOT($AD43),ROUND($AB43,1)&gt;Constants!$B$12,ROUND($Z43,1)&gt;Constants!$B$13,ROUND($AA43,1)&gt;Constants!$B$14),Constants!$B$10,Constants!$B$9))))</f>
        <v/>
      </c>
      <c r="AZ43" s="128" t="str">
        <f aca="false">IF($BL43&lt;&gt;Constants!$B$4,"",IF(NOT($AS43),"",ROUND($AU43+$AV43+$AW43+$AX43,1)))</f>
        <v/>
      </c>
      <c r="BA43" s="129" t="str">
        <f aca="false">IF($BL43&lt;&gt;Constants!$B$4,"",IF(NOT($AS43),"",IF(ISNUMBER($AF43),$AF43,0)))</f>
        <v/>
      </c>
      <c r="BB43" s="124" t="str">
        <f aca="false">IF($BL43&lt;&gt;Constants!$B$4,"",IF(NOT($BC43),"&lt;-",IF(NOT($AS43),"-&gt;",IF(OR($BI43&lt;$AY43,AND($BI43=$AY43,OR($BJ43&gt;$AZ43,AND($BJ43=$AZ43,OR($BH43&gt;$AX43,AND($BH43=$AX43,OR($BE43&gt;$AU43,AND($BE43=$AU43,OR($BF43&gt;$AV43,AND($BF43=$AV43,$BK43&gt;$BA43)))))))))),"-&gt;","&lt;-"))))</f>
        <v/>
      </c>
      <c r="BC43" s="123" t="str">
        <f aca="false">IF(ISBLANK($C43),"",COUNTA($P43:$U43)&gt;0)</f>
        <v/>
      </c>
      <c r="BD43" s="123" t="str">
        <f aca="false">IF(ISBLANK($C43),"",AND($BC43,OR(AND($AL43="",OR($AK43,NOT(ISBLANK($S43)))),$AM43="",$AN43="")))</f>
        <v/>
      </c>
      <c r="BE43" s="125" t="str">
        <f aca="false">IF($BL43&lt;&gt;Constants!$B$4,"",IF(NOT($BC43),"",ROUND((Constants!$B$12-$AB43)+(Constants!$B$13-$Z43)+(Constants!$B$14-$AA43),1)))</f>
        <v/>
      </c>
      <c r="BF43" s="127" t="str">
        <f aca="false">IF($BL43&lt;&gt;Constants!$B$4,"",IF(NOT($BC43),"",IF(NOT($AK43),0,Constants!$B$15*(INT(ROUND(MIN($AL43,$AP$9),6))-INT(ROUND(MAX(0,MIN($AL43,2*$AP$9)-$AP$9),6))))))</f>
        <v/>
      </c>
      <c r="BG43" s="127" t="str">
        <f aca="false">IF($BL43&lt;&gt;Constants!$B$4,"",IF(NOT($BC43),"",Constants!$B$16*$AM43))</f>
        <v/>
      </c>
      <c r="BH43" s="127" t="str">
        <f aca="false">IF($BL43&lt;&gt;Constants!$B$4,"",IF(NOT($BC43),"",Constants!$B$18*INT(ROUND($AN43,6))))</f>
        <v/>
      </c>
      <c r="BI43" s="123" t="str">
        <f aca="false">IF($BL43&lt;&gt;Constants!$B$4,"",IF(NOT($BC43),"",IF(NOT($X43),Constants!$B$11,IF(OR(NOT($AI43),NOT($AJ43),ROUND($AB43,1)&gt;Constants!$B$12,ROUND($Z43,1)&gt;Constants!$B$13,ROUND($AA43,1)&gt;Constants!$B$14),Constants!$B$10,Constants!$B$9))))</f>
        <v/>
      </c>
      <c r="BJ43" s="128" t="str">
        <f aca="false">IF($BL43&lt;&gt;Constants!$B$4,"",IF(NOT($BC43),"",ROUND($BE43+$BF43+$BG43+$BH43,1)))</f>
        <v/>
      </c>
      <c r="BK43" s="129" t="str">
        <f aca="false">IF($BL43&lt;&gt;Constants!$B$4,"",IF(NOT($BC43),"",IF(ISNUMBER($AL43),$AL43,0)))</f>
        <v/>
      </c>
      <c r="BL43" s="124" t="str">
        <f aca="false">IF(ISBLANK($C43),"",IF($AO43,Constants!$B$7,IF(COUNTA($E43:$V43)=0,Constants!$B$6,IF(NOT($Y43),Constants!$B$5,IF(NOT(OR($AS43,$BC43)),Constants!$B$5,IF(OR($AT43,$BD43,$AQ43,$AR43&lt;&gt;""),Constants!$B$8,Constants!$B$4))))))</f>
        <v/>
      </c>
      <c r="BM43" s="124" t="str">
        <f aca="false">IF(ISBLANK($C43),"",IF($BL43&lt;&gt;Constants!$B$4,$BL43,IF($BB43="-&gt;",$BI43,$AY43)))</f>
        <v/>
      </c>
      <c r="BN43" s="127" t="str">
        <f aca="false">IF($BL43&lt;&gt;Constants!$B$4,"",IF($BB43="-&gt;",$BJ43,$AZ43))</f>
        <v/>
      </c>
      <c r="BO43" s="127" t="str">
        <f aca="false">IF(ISBLANK($C43),"",IF($BL43&lt;&gt;Constants!$B$4,$BL43,$BN43))</f>
        <v/>
      </c>
      <c r="BP43" s="124" t="str">
        <f aca="false">IF(ISBLANK($C43),"",IF($BL43&lt;&gt;Constants!$B$4,$BL43,RANK($BO43,$BO$9:$BO$508,0)))</f>
        <v/>
      </c>
      <c r="BQ43" s="124" t="str">
        <f aca="false">IF(ISBLANK($C43),"",IF($BL43&lt;&gt;Constants!$B$4,$BL43,COUNTIFS($BM$9:$BM$508,"&lt;"&amp;$BM43)+COUNTIFS($BM$9:$BM$508,$BM43,$BP$9:$BP$508,"&lt;"&amp;$BP43)+1))</f>
        <v/>
      </c>
      <c r="BR43" s="127" t="str">
        <f aca="false">IF($BL43&lt;&gt;Constants!$B$4,"",IF($BB43="-&gt;",$BH43,$AX43))</f>
        <v/>
      </c>
      <c r="BS43" s="124" t="str">
        <f aca="false">IF(ISBLANK($C43),"",IF($BL43&lt;&gt;Constants!$B$4,$BL43,IF(ISNUMBER($BR43),RANK($BR43,$BR$9:$BR$508,0),COUNT($BR$9:$BR$508)+1)))</f>
        <v/>
      </c>
      <c r="BT43" s="127" t="str">
        <f aca="false">IF($BL43&lt;&gt;Constants!$B$4,"",IF($BB43="-&gt;",$BE43,$AU43))</f>
        <v/>
      </c>
      <c r="BU43" s="124" t="str">
        <f aca="false">IF(ISBLANK($C43),"",IF($BL43&lt;&gt;Constants!$B$4,$BL43,IF(ISNUMBER($BT43),RANK($BT43,$BT$9:$BT$508,0),COUNT($BT$9:$BT$508)+1)))</f>
        <v/>
      </c>
      <c r="BV43" s="127" t="str">
        <f aca="false">IF($BL43&lt;&gt;Constants!$B$4,"",IF($BB43="-&gt;",$BF43,$AV43))</f>
        <v/>
      </c>
      <c r="BW43" s="124" t="str">
        <f aca="false">IF(ISBLANK($C43),"",IF($BL43&lt;&gt;Constants!$B$4,$BL43,IF(ISNUMBER($BV43),RANK($BV43,$BV$9:$BV$508,0),COUNT($BV$9:$BV$508)+1)))</f>
        <v/>
      </c>
      <c r="BX43" s="127" t="str">
        <f aca="false">IF($BL43&lt;&gt;Constants!$B$4,"",IF($BB43="-&gt;",$BK43,$BA43))</f>
        <v/>
      </c>
      <c r="BY43" s="124" t="str">
        <f aca="false">IF(ISBLANK($C43),"",IF($BL43&lt;&gt;Constants!$B$4,$BL43,IF(ISNUMBER($BX43),RANK($BX43,$BX$9:$BX$508,0),COUNT($BX$9:$BX$508)+1)))</f>
        <v/>
      </c>
      <c r="BZ43" s="124" t="str">
        <f aca="false">IF(ISBLANK($C43),"",IF($BL43&lt;&gt;Constants!$B$4,$BL43,COUNTIFS($BM$9:$BM$508,"&lt;"&amp;$BM43)+COUNTIFS($BM$9:$BM$508,$BM43,$BP$9:$BP$508,"&lt;"&amp;$BP43)+COUNTIFS($BM$9:$BM$508,$BM43,$BP$9:$BP$508,$BP43,$BS$9:$BS$508,"&lt;"&amp;$BS43)+COUNTIFS($BM$9:$BM$508,$BM43,$BP$9:$BP$508,$BP43,$BS$9:$BS$508,$BS43,$BU$9:$BU$508,"&lt;"&amp;$BU43)+COUNTIFS($BM$9:$BM$508,$BM43,$BP$9:$BP$508,$BP43,$BS$9:$BS$508,$BS43,$BU$9:$BU$508,$BU43,$BW$9:$BW$508,"&lt;"&amp;$BW43)+COUNTIFS($BM$9:$BM$508,$BM43,$BP$9:$BP$508,$BP43,$BS$9:$BS$508,$BS43,$BU$9:$BU$508,$BU43,$BW$9:$BW$508,$BW43,$BY$9:$BY$508,"&lt;"&amp;$BY43)+1))</f>
        <v/>
      </c>
      <c r="CA43" s="124" t="str">
        <f aca="false">IF(ISBLANK($C43),"",IF($BL43&lt;&gt;Constants!$B$4,$BL43,$BQ43-$BZ43))</f>
        <v/>
      </c>
      <c r="CB43" s="130"/>
      <c r="CC43" s="131" t="str">
        <f aca="false">IF(ISBLANK($C43),"",IF($BL43=Constants!$B$8,$AR43,""))</f>
        <v/>
      </c>
      <c r="CD43" s="131" t="str">
        <f aca="false">IF(ISBLANK($C43),"",IF($BL43&lt;&gt;Constants!$B$4,"",IF($BB43="-&gt;",2,1)))</f>
        <v/>
      </c>
      <c r="CE43" s="132" t="str">
        <f aca="false">IF(ISBLANK($C43),"",IF($BL43&lt;&gt;Constants!$B$4,"",IF($BB43="-&gt;",$BE43,$AU43)))</f>
        <v/>
      </c>
      <c r="CF43" s="132" t="str">
        <f aca="false">IF(ISBLANK($C43),"",IF($BL43&lt;&gt;Constants!$B$4,"",IF($BB43="-&gt;",$BF43,$AV43)))</f>
        <v/>
      </c>
      <c r="CG43" s="132" t="str">
        <f aca="false">IF(ISBLANK($C43),"",IF($BL43&lt;&gt;Constants!$B$4,"",IF($BB43="-&gt;",$BG43,$AW43)))</f>
        <v/>
      </c>
      <c r="CH43" s="132" t="str">
        <f aca="false">IF(ISBLANK($C43),"",IF($BL43&lt;&gt;Constants!$B$4,"",IF($BB43="-&gt;",$BH43,$AX43)))</f>
        <v/>
      </c>
      <c r="CI43" s="133" t="str">
        <f aca="false">IF(ISBLANK($C43),"",$BO43)</f>
        <v/>
      </c>
      <c r="CJ43" s="134" t="str">
        <f aca="false">IF(ISBLANK($C43),"",$BM43)</f>
        <v/>
      </c>
      <c r="CK43" s="135" t="str">
        <f aca="false">IF(ISBLANK($C43),"",$CA43)</f>
        <v/>
      </c>
      <c r="CL43" s="135" t="str">
        <f aca="false">IF(ISBLANK($C43),"",$BZ43)</f>
        <v/>
      </c>
      <c r="CM43" s="136" t="str">
        <f aca="false">IF(ISBLANK($C43),"",IF($CL43=Constants!$B$7,COUNTA($C$9:$C$508)+2,IF($CL43=Constants!$B$6,COUNTA($C$9:$C$508)+1,IF($CL43=Constants!$B$5,COUNTA($C$9:$C$508),$CL43))))</f>
        <v/>
      </c>
      <c r="CN43" s="8"/>
      <c r="CO43" s="137" t="n">
        <f aca="false">IF(OR(ISNUMBER($CL43),$CL43=Constants!$B$7,$CL43=Constants!$B$5,$CL43=Constants!$B$6),1,0)</f>
        <v>0</v>
      </c>
      <c r="CP43" s="137" t="n">
        <v>35</v>
      </c>
      <c r="CQ43" s="137" t="str">
        <f aca="false">IF(ISBLANK($C43),"",IF(ISNUMBER($CM43),$CM43+ROW($B43)/1000,""))</f>
        <v/>
      </c>
      <c r="CR43" s="137" t="str">
        <f aca="false">IF(ISNUMBER($CQ43),RANK($CQ43,$CQ$9:$CQ$508,1),"")</f>
        <v/>
      </c>
      <c r="CS43" s="137" t="str">
        <f aca="false">IF(ISBLANK($C43),"",$B43)</f>
        <v/>
      </c>
      <c r="CT43" s="137" t="str">
        <f aca="false">IF(ISBLANK($C43),"",$C43)</f>
        <v/>
      </c>
      <c r="CU43" s="137" t="str">
        <f aca="false">IF(ISBLANK($C43),"",$D43)</f>
        <v/>
      </c>
      <c r="CV43" s="138" t="str">
        <f aca="false">$CJ43</f>
        <v/>
      </c>
      <c r="CW43" s="139" t="str">
        <f aca="false">$CI43</f>
        <v/>
      </c>
      <c r="CX43" s="137" t="str">
        <f aca="false">IF(ISBLANK($C43),"",$CL43)</f>
        <v/>
      </c>
      <c r="CY43" s="140" t="str">
        <f aca="false">IF($CP43&gt;$CO$8,"",VLOOKUP($CP43,$CR$9:$CX$508,7,FALSE()))</f>
        <v/>
      </c>
      <c r="CZ43" s="141" t="str">
        <f aca="false">IF($CP43&gt;$CO$8,"",VLOOKUP($CP43,$CR$9:$CX$508,2,FALSE()))</f>
        <v/>
      </c>
      <c r="DA43" s="141" t="str">
        <f aca="false">IF($CP43&gt;$CO$8,"",VLOOKUP($CP43,$CR$9:$CX$508,3,FALSE()))</f>
        <v/>
      </c>
      <c r="DB43" s="141" t="str">
        <f aca="false">IF($CP43&gt;$CO$8,"",VLOOKUP($CP43,$CR$9:$CX$508,4,FALSE()))</f>
        <v/>
      </c>
      <c r="DC43" s="141" t="str">
        <f aca="false">IF($CP43&gt;$CO$8,"",VLOOKUP($CP43,$CR$9:$CX$508,5,FALSE()))</f>
        <v/>
      </c>
      <c r="DD43" s="142" t="str">
        <f aca="false">IF($CP43&gt;$CO$8,"",VLOOKUP($CP43,$CR$9:$CX$508,6,FALSE()))</f>
        <v/>
      </c>
      <c r="DE43" s="70"/>
    </row>
    <row r="44" customFormat="false" ht="15.75" hidden="false" customHeight="false" outlineLevel="0" collapsed="false">
      <c r="A44" s="8"/>
      <c r="B44" s="146"/>
      <c r="C44" s="147"/>
      <c r="D44" s="148"/>
      <c r="E44" s="164"/>
      <c r="F44" s="150"/>
      <c r="G44" s="115"/>
      <c r="H44" s="115"/>
      <c r="I44" s="115"/>
      <c r="J44" s="165"/>
      <c r="K44" s="154"/>
      <c r="L44" s="154"/>
      <c r="M44" s="118"/>
      <c r="N44" s="154"/>
      <c r="O44" s="153"/>
      <c r="P44" s="154"/>
      <c r="Q44" s="154"/>
      <c r="R44" s="154"/>
      <c r="S44" s="115"/>
      <c r="T44" s="154"/>
      <c r="U44" s="153"/>
      <c r="V44" s="154"/>
      <c r="W44" s="123"/>
      <c r="X44" s="124" t="str">
        <f aca="false">IF(ISBLANK($C44),"",IF($E44=Constants!$B$2,TRUE(),IF($E44=Constants!$B$3,FALSE(),TRUE())))</f>
        <v/>
      </c>
      <c r="Y44" s="124" t="str">
        <f aca="false">IF(ISBLANK($C44),"",IF($F44=Constants!$B$2,TRUE(),IF($F44=Constants!$B$3,FALSE(),TRUE())))</f>
        <v/>
      </c>
      <c r="Z44" s="125" t="str">
        <f aca="false">IF(ISBLANK($C44),"",IF(ISNUMBER($G44),IF($G44&gt;=0,$G44,""),""))</f>
        <v/>
      </c>
      <c r="AA44" s="125" t="str">
        <f aca="false">IF(ISBLANK($C44),"",IF(ISNUMBER($H44),IF($H44&gt;=0,$H44,""),""))</f>
        <v/>
      </c>
      <c r="AB44" s="125" t="str">
        <f aca="false">IF(ISBLANK($C44),"",IF(ISNUMBER($I44),IF($I44&gt;=0,$I44,""),""))</f>
        <v/>
      </c>
      <c r="AC44" s="124" t="str">
        <f aca="false">IF(ISBLANK($C44),"",IF($J44=Constants!$B$2,TRUE(),IF($J44=Constants!$B$3,FALSE(),TRUE())))</f>
        <v/>
      </c>
      <c r="AD44" s="124" t="str">
        <f aca="false">IF(ISBLANK($C44),"",IF($K44=Constants!$B$2,TRUE(),IF($K44=Constants!$B$3,FALSE(),TRUE())))</f>
        <v/>
      </c>
      <c r="AE44" s="124" t="str">
        <f aca="false">IF(ISBLANK($C44),"",IF($L44=Constants!$B$2,TRUE(),IF($L44=Constants!$B$3,FALSE(),TRUE())))</f>
        <v/>
      </c>
      <c r="AF44" s="126" t="str">
        <f aca="false">IF(ISBLANK($C44),"",IF(ISNUMBER($M44),IF($M44&gt;=0,$M44,""),""))</f>
        <v/>
      </c>
      <c r="AG44" s="124" t="str">
        <f aca="false">IF(ISBLANK($C44),"",IF(ISBLANK($N44),0,IF(ISNUMBER($N44),IF(AND($N44&gt;=0,$N44&lt;=Constants!$B$17,$N44=INT($N44)),$N44,""),"")))</f>
        <v/>
      </c>
      <c r="AH44" s="125" t="str">
        <f aca="false">IF(ISBLANK($C44),"",IF(ISBLANK($O44),0,IF(ISNUMBER($O44),IF($O44&gt;=0,$O44,""),"")))</f>
        <v/>
      </c>
      <c r="AI44" s="124" t="str">
        <f aca="false">IF(ISBLANK($C44),"",IF($P44=Constants!$B$2,TRUE(),IF($P44=Constants!$B$3,FALSE(),TRUE())))</f>
        <v/>
      </c>
      <c r="AJ44" s="124" t="str">
        <f aca="false">IF(ISBLANK($C44),"",IF($Q44=Constants!$B$2,TRUE(),IF($Q44=Constants!$B$3,FALSE(),TRUE())))</f>
        <v/>
      </c>
      <c r="AK44" s="124" t="str">
        <f aca="false">IF(ISBLANK($C44),"",IF($R44=Constants!$B$2,TRUE(),IF($R44=Constants!$B$3,FALSE(),TRUE())))</f>
        <v/>
      </c>
      <c r="AL44" s="126" t="str">
        <f aca="false">IF(ISBLANK($C44),"",IF(ISNUMBER($S44),IF($S44&gt;=0,$S44,""),""))</f>
        <v/>
      </c>
      <c r="AM44" s="124" t="str">
        <f aca="false">IF(ISBLANK($C44),"",IF(ISBLANK($T44),0,IF(ISNUMBER($T44),IF(AND($T44&gt;=0,$T44&lt;=Constants!$B$17,$T44=INT($T44)),$T44,""),"")))</f>
        <v/>
      </c>
      <c r="AN44" s="125" t="str">
        <f aca="false">IF(ISBLANK($C44),"",IF(ISBLANK($U44),0,IF(ISNUMBER($U44),IF($U44&gt;=0,$U44,""),"")))</f>
        <v/>
      </c>
      <c r="AO44" s="124" t="str">
        <f aca="false">IF(ISBLANK($C44),"",IF($V44=Constants!$B$2,TRUE(),IF($V44=Constants!$B$3,FALSE(),FALSE())))</f>
        <v/>
      </c>
      <c r="AP44" s="124"/>
      <c r="AQ44" s="123" t="str">
        <f aca="false">IF(ISBLANK($C44),"",AND($Y44,OR($AS44,$BC44),OR($Z44="",$AA44="",$AB44="")))</f>
        <v/>
      </c>
      <c r="AR44" s="123" t="str">
        <f aca="false">IF(ISBLANK($C44),"",IF(OR(NOT($Y44),NOT(OR($AS44,$BC44))),"",IF(ISBLANK($D$7),$AR$5,IF($AP$9="",$AR$6,""))))</f>
        <v/>
      </c>
      <c r="AS44" s="123" t="str">
        <f aca="false">IF(ISBLANK($C44),"",COUNTA($J44:$O44)&gt;0)</f>
        <v/>
      </c>
      <c r="AT44" s="123" t="str">
        <f aca="false">IF(ISBLANK($C44),"",AND($AS44,OR(AND($AF44="",OR($AE44,NOT(ISBLANK($M44)))),$AG44="",$AH44="")))</f>
        <v/>
      </c>
      <c r="AU44" s="125" t="str">
        <f aca="false">IF($BL44&lt;&gt;Constants!$B$4,"",IF(NOT($AS44),"",ROUND((Constants!$B$12-$AB44)+(Constants!$B$13-$Z44)+(Constants!$B$14-$AA44),1)))</f>
        <v/>
      </c>
      <c r="AV44" s="127" t="str">
        <f aca="false">IF($BL44&lt;&gt;Constants!$B$4,"",IF(NOT($AS44),"",IF(NOT($AE44),0,Constants!$B$15*(INT(ROUND(MIN($AF44,$AP$9),6))-INT(ROUND(MAX(0,MIN($AF44,2*$AP$9)-$AP$9),6))))))</f>
        <v/>
      </c>
      <c r="AW44" s="127" t="str">
        <f aca="false">IF($BL44&lt;&gt;Constants!$B$4,"",IF(NOT($AS44),"",Constants!$B$16*$AG44))</f>
        <v/>
      </c>
      <c r="AX44" s="127" t="str">
        <f aca="false">IF($BL44&lt;&gt;Constants!$B$4,"",IF(NOT($AS44),"",Constants!$B$18*INT(ROUND($AH44,6))))</f>
        <v/>
      </c>
      <c r="AY44" s="123" t="str">
        <f aca="false">IF($BL44&lt;&gt;Constants!$B$4,"",IF(NOT($AS44),"",IF(NOT($X44),Constants!$B$11,IF(OR(NOT($AC44),NOT($AD44),ROUND($AB44,1)&gt;Constants!$B$12,ROUND($Z44,1)&gt;Constants!$B$13,ROUND($AA44,1)&gt;Constants!$B$14),Constants!$B$10,Constants!$B$9))))</f>
        <v/>
      </c>
      <c r="AZ44" s="128" t="str">
        <f aca="false">IF($BL44&lt;&gt;Constants!$B$4,"",IF(NOT($AS44),"",ROUND($AU44+$AV44+$AW44+$AX44,1)))</f>
        <v/>
      </c>
      <c r="BA44" s="129" t="str">
        <f aca="false">IF($BL44&lt;&gt;Constants!$B$4,"",IF(NOT($AS44),"",IF(ISNUMBER($AF44),$AF44,0)))</f>
        <v/>
      </c>
      <c r="BB44" s="124" t="str">
        <f aca="false">IF($BL44&lt;&gt;Constants!$B$4,"",IF(NOT($BC44),"&lt;-",IF(NOT($AS44),"-&gt;",IF(OR($BI44&lt;$AY44,AND($BI44=$AY44,OR($BJ44&gt;$AZ44,AND($BJ44=$AZ44,OR($BH44&gt;$AX44,AND($BH44=$AX44,OR($BE44&gt;$AU44,AND($BE44=$AU44,OR($BF44&gt;$AV44,AND($BF44=$AV44,$BK44&gt;$BA44)))))))))),"-&gt;","&lt;-"))))</f>
        <v/>
      </c>
      <c r="BC44" s="123" t="str">
        <f aca="false">IF(ISBLANK($C44),"",COUNTA($P44:$U44)&gt;0)</f>
        <v/>
      </c>
      <c r="BD44" s="123" t="str">
        <f aca="false">IF(ISBLANK($C44),"",AND($BC44,OR(AND($AL44="",OR($AK44,NOT(ISBLANK($S44)))),$AM44="",$AN44="")))</f>
        <v/>
      </c>
      <c r="BE44" s="125" t="str">
        <f aca="false">IF($BL44&lt;&gt;Constants!$B$4,"",IF(NOT($BC44),"",ROUND((Constants!$B$12-$AB44)+(Constants!$B$13-$Z44)+(Constants!$B$14-$AA44),1)))</f>
        <v/>
      </c>
      <c r="BF44" s="127" t="str">
        <f aca="false">IF($BL44&lt;&gt;Constants!$B$4,"",IF(NOT($BC44),"",IF(NOT($AK44),0,Constants!$B$15*(INT(ROUND(MIN($AL44,$AP$9),6))-INT(ROUND(MAX(0,MIN($AL44,2*$AP$9)-$AP$9),6))))))</f>
        <v/>
      </c>
      <c r="BG44" s="127" t="str">
        <f aca="false">IF($BL44&lt;&gt;Constants!$B$4,"",IF(NOT($BC44),"",Constants!$B$16*$AM44))</f>
        <v/>
      </c>
      <c r="BH44" s="127" t="str">
        <f aca="false">IF($BL44&lt;&gt;Constants!$B$4,"",IF(NOT($BC44),"",Constants!$B$18*INT(ROUND($AN44,6))))</f>
        <v/>
      </c>
      <c r="BI44" s="123" t="str">
        <f aca="false">IF($BL44&lt;&gt;Constants!$B$4,"",IF(NOT($BC44),"",IF(NOT($X44),Constants!$B$11,IF(OR(NOT($AI44),NOT($AJ44),ROUND($AB44,1)&gt;Constants!$B$12,ROUND($Z44,1)&gt;Constants!$B$13,ROUND($AA44,1)&gt;Constants!$B$14),Constants!$B$10,Constants!$B$9))))</f>
        <v/>
      </c>
      <c r="BJ44" s="128" t="str">
        <f aca="false">IF($BL44&lt;&gt;Constants!$B$4,"",IF(NOT($BC44),"",ROUND($BE44+$BF44+$BG44+$BH44,1)))</f>
        <v/>
      </c>
      <c r="BK44" s="129" t="str">
        <f aca="false">IF($BL44&lt;&gt;Constants!$B$4,"",IF(NOT($BC44),"",IF(ISNUMBER($AL44),$AL44,0)))</f>
        <v/>
      </c>
      <c r="BL44" s="124" t="str">
        <f aca="false">IF(ISBLANK($C44),"",IF($AO44,Constants!$B$7,IF(COUNTA($E44:$V44)=0,Constants!$B$6,IF(NOT($Y44),Constants!$B$5,IF(NOT(OR($AS44,$BC44)),Constants!$B$5,IF(OR($AT44,$BD44,$AQ44,$AR44&lt;&gt;""),Constants!$B$8,Constants!$B$4))))))</f>
        <v/>
      </c>
      <c r="BM44" s="124" t="str">
        <f aca="false">IF(ISBLANK($C44),"",IF($BL44&lt;&gt;Constants!$B$4,$BL44,IF($BB44="-&gt;",$BI44,$AY44)))</f>
        <v/>
      </c>
      <c r="BN44" s="127" t="str">
        <f aca="false">IF($BL44&lt;&gt;Constants!$B$4,"",IF($BB44="-&gt;",$BJ44,$AZ44))</f>
        <v/>
      </c>
      <c r="BO44" s="127" t="str">
        <f aca="false">IF(ISBLANK($C44),"",IF($BL44&lt;&gt;Constants!$B$4,$BL44,$BN44))</f>
        <v/>
      </c>
      <c r="BP44" s="124" t="str">
        <f aca="false">IF(ISBLANK($C44),"",IF($BL44&lt;&gt;Constants!$B$4,$BL44,RANK($BO44,$BO$9:$BO$508,0)))</f>
        <v/>
      </c>
      <c r="BQ44" s="124" t="str">
        <f aca="false">IF(ISBLANK($C44),"",IF($BL44&lt;&gt;Constants!$B$4,$BL44,COUNTIFS($BM$9:$BM$508,"&lt;"&amp;$BM44)+COUNTIFS($BM$9:$BM$508,$BM44,$BP$9:$BP$508,"&lt;"&amp;$BP44)+1))</f>
        <v/>
      </c>
      <c r="BR44" s="127" t="str">
        <f aca="false">IF($BL44&lt;&gt;Constants!$B$4,"",IF($BB44="-&gt;",$BH44,$AX44))</f>
        <v/>
      </c>
      <c r="BS44" s="124" t="str">
        <f aca="false">IF(ISBLANK($C44),"",IF($BL44&lt;&gt;Constants!$B$4,$BL44,IF(ISNUMBER($BR44),RANK($BR44,$BR$9:$BR$508,0),COUNT($BR$9:$BR$508)+1)))</f>
        <v/>
      </c>
      <c r="BT44" s="127" t="str">
        <f aca="false">IF($BL44&lt;&gt;Constants!$B$4,"",IF($BB44="-&gt;",$BE44,$AU44))</f>
        <v/>
      </c>
      <c r="BU44" s="124" t="str">
        <f aca="false">IF(ISBLANK($C44),"",IF($BL44&lt;&gt;Constants!$B$4,$BL44,IF(ISNUMBER($BT44),RANK($BT44,$BT$9:$BT$508,0),COUNT($BT$9:$BT$508)+1)))</f>
        <v/>
      </c>
      <c r="BV44" s="127" t="str">
        <f aca="false">IF($BL44&lt;&gt;Constants!$B$4,"",IF($BB44="-&gt;",$BF44,$AV44))</f>
        <v/>
      </c>
      <c r="BW44" s="124" t="str">
        <f aca="false">IF(ISBLANK($C44),"",IF($BL44&lt;&gt;Constants!$B$4,$BL44,IF(ISNUMBER($BV44),RANK($BV44,$BV$9:$BV$508,0),COUNT($BV$9:$BV$508)+1)))</f>
        <v/>
      </c>
      <c r="BX44" s="127" t="str">
        <f aca="false">IF($BL44&lt;&gt;Constants!$B$4,"",IF($BB44="-&gt;",$BK44,$BA44))</f>
        <v/>
      </c>
      <c r="BY44" s="124" t="str">
        <f aca="false">IF(ISBLANK($C44),"",IF($BL44&lt;&gt;Constants!$B$4,$BL44,IF(ISNUMBER($BX44),RANK($BX44,$BX$9:$BX$508,0),COUNT($BX$9:$BX$508)+1)))</f>
        <v/>
      </c>
      <c r="BZ44" s="124" t="str">
        <f aca="false">IF(ISBLANK($C44),"",IF($BL44&lt;&gt;Constants!$B$4,$BL44,COUNTIFS($BM$9:$BM$508,"&lt;"&amp;$BM44)+COUNTIFS($BM$9:$BM$508,$BM44,$BP$9:$BP$508,"&lt;"&amp;$BP44)+COUNTIFS($BM$9:$BM$508,$BM44,$BP$9:$BP$508,$BP44,$BS$9:$BS$508,"&lt;"&amp;$BS44)+COUNTIFS($BM$9:$BM$508,$BM44,$BP$9:$BP$508,$BP44,$BS$9:$BS$508,$BS44,$BU$9:$BU$508,"&lt;"&amp;$BU44)+COUNTIFS($BM$9:$BM$508,$BM44,$BP$9:$BP$508,$BP44,$BS$9:$BS$508,$BS44,$BU$9:$BU$508,$BU44,$BW$9:$BW$508,"&lt;"&amp;$BW44)+COUNTIFS($BM$9:$BM$508,$BM44,$BP$9:$BP$508,$BP44,$BS$9:$BS$508,$BS44,$BU$9:$BU$508,$BU44,$BW$9:$BW$508,$BW44,$BY$9:$BY$508,"&lt;"&amp;$BY44)+1))</f>
        <v/>
      </c>
      <c r="CA44" s="124" t="str">
        <f aca="false">IF(ISBLANK($C44),"",IF($BL44&lt;&gt;Constants!$B$4,$BL44,$BQ44-$BZ44))</f>
        <v/>
      </c>
      <c r="CB44" s="130"/>
      <c r="CC44" s="131" t="str">
        <f aca="false">IF(ISBLANK($C44),"",IF($BL44=Constants!$B$8,$AR44,""))</f>
        <v/>
      </c>
      <c r="CD44" s="131" t="str">
        <f aca="false">IF(ISBLANK($C44),"",IF($BL44&lt;&gt;Constants!$B$4,"",IF($BB44="-&gt;",2,1)))</f>
        <v/>
      </c>
      <c r="CE44" s="132" t="str">
        <f aca="false">IF(ISBLANK($C44),"",IF($BL44&lt;&gt;Constants!$B$4,"",IF($BB44="-&gt;",$BE44,$AU44)))</f>
        <v/>
      </c>
      <c r="CF44" s="132" t="str">
        <f aca="false">IF(ISBLANK($C44),"",IF($BL44&lt;&gt;Constants!$B$4,"",IF($BB44="-&gt;",$BF44,$AV44)))</f>
        <v/>
      </c>
      <c r="CG44" s="132" t="str">
        <f aca="false">IF(ISBLANK($C44),"",IF($BL44&lt;&gt;Constants!$B$4,"",IF($BB44="-&gt;",$BG44,$AW44)))</f>
        <v/>
      </c>
      <c r="CH44" s="132" t="str">
        <f aca="false">IF(ISBLANK($C44),"",IF($BL44&lt;&gt;Constants!$B$4,"",IF($BB44="-&gt;",$BH44,$AX44)))</f>
        <v/>
      </c>
      <c r="CI44" s="133" t="str">
        <f aca="false">IF(ISBLANK($C44),"",$BO44)</f>
        <v/>
      </c>
      <c r="CJ44" s="134" t="str">
        <f aca="false">IF(ISBLANK($C44),"",$BM44)</f>
        <v/>
      </c>
      <c r="CK44" s="135" t="str">
        <f aca="false">IF(ISBLANK($C44),"",$CA44)</f>
        <v/>
      </c>
      <c r="CL44" s="135" t="str">
        <f aca="false">IF(ISBLANK($C44),"",$BZ44)</f>
        <v/>
      </c>
      <c r="CM44" s="136" t="str">
        <f aca="false">IF(ISBLANK($C44),"",IF($CL44=Constants!$B$7,COUNTA($C$9:$C$508)+2,IF($CL44=Constants!$B$6,COUNTA($C$9:$C$508)+1,IF($CL44=Constants!$B$5,COUNTA($C$9:$C$508),$CL44))))</f>
        <v/>
      </c>
      <c r="CN44" s="8"/>
      <c r="CO44" s="137" t="n">
        <f aca="false">IF(OR(ISNUMBER($CL44),$CL44=Constants!$B$7,$CL44=Constants!$B$5,$CL44=Constants!$B$6),1,0)</f>
        <v>0</v>
      </c>
      <c r="CP44" s="137" t="n">
        <v>36</v>
      </c>
      <c r="CQ44" s="137" t="str">
        <f aca="false">IF(ISBLANK($C44),"",IF(ISNUMBER($CM44),$CM44+ROW($B44)/1000,""))</f>
        <v/>
      </c>
      <c r="CR44" s="137" t="str">
        <f aca="false">IF(ISNUMBER($CQ44),RANK($CQ44,$CQ$9:$CQ$508,1),"")</f>
        <v/>
      </c>
      <c r="CS44" s="137" t="str">
        <f aca="false">IF(ISBLANK($C44),"",$B44)</f>
        <v/>
      </c>
      <c r="CT44" s="137" t="str">
        <f aca="false">IF(ISBLANK($C44),"",$C44)</f>
        <v/>
      </c>
      <c r="CU44" s="137" t="str">
        <f aca="false">IF(ISBLANK($C44),"",$D44)</f>
        <v/>
      </c>
      <c r="CV44" s="138" t="str">
        <f aca="false">$CJ44</f>
        <v/>
      </c>
      <c r="CW44" s="139" t="str">
        <f aca="false">$CI44</f>
        <v/>
      </c>
      <c r="CX44" s="137" t="str">
        <f aca="false">IF(ISBLANK($C44),"",$CL44)</f>
        <v/>
      </c>
      <c r="CY44" s="140" t="str">
        <f aca="false">IF($CP44&gt;$CO$8,"",VLOOKUP($CP44,$CR$9:$CX$508,7,FALSE()))</f>
        <v/>
      </c>
      <c r="CZ44" s="141" t="str">
        <f aca="false">IF($CP44&gt;$CO$8,"",VLOOKUP($CP44,$CR$9:$CX$508,2,FALSE()))</f>
        <v/>
      </c>
      <c r="DA44" s="141" t="str">
        <f aca="false">IF($CP44&gt;$CO$8,"",VLOOKUP($CP44,$CR$9:$CX$508,3,FALSE()))</f>
        <v/>
      </c>
      <c r="DB44" s="141" t="str">
        <f aca="false">IF($CP44&gt;$CO$8,"",VLOOKUP($CP44,$CR$9:$CX$508,4,FALSE()))</f>
        <v/>
      </c>
      <c r="DC44" s="141" t="str">
        <f aca="false">IF($CP44&gt;$CO$8,"",VLOOKUP($CP44,$CR$9:$CX$508,5,FALSE()))</f>
        <v/>
      </c>
      <c r="DD44" s="142" t="str">
        <f aca="false">IF($CP44&gt;$CO$8,"",VLOOKUP($CP44,$CR$9:$CX$508,6,FALSE()))</f>
        <v/>
      </c>
      <c r="DE44" s="70"/>
    </row>
    <row r="45" customFormat="false" ht="15.75" hidden="false" customHeight="false" outlineLevel="0" collapsed="false">
      <c r="A45" s="8"/>
      <c r="B45" s="72"/>
      <c r="C45" s="73"/>
      <c r="D45" s="155"/>
      <c r="E45" s="162"/>
      <c r="F45" s="157"/>
      <c r="G45" s="77"/>
      <c r="H45" s="77"/>
      <c r="I45" s="77"/>
      <c r="J45" s="163"/>
      <c r="K45" s="161"/>
      <c r="L45" s="161"/>
      <c r="M45" s="80"/>
      <c r="N45" s="161"/>
      <c r="O45" s="160"/>
      <c r="P45" s="161"/>
      <c r="Q45" s="161"/>
      <c r="R45" s="161"/>
      <c r="S45" s="77"/>
      <c r="T45" s="161"/>
      <c r="U45" s="160"/>
      <c r="V45" s="161"/>
      <c r="W45" s="85"/>
      <c r="X45" s="86" t="str">
        <f aca="false">IF(ISBLANK($C45),"",IF($E45=Constants!$B$2,TRUE(),IF($E45=Constants!$B$3,FALSE(),TRUE())))</f>
        <v/>
      </c>
      <c r="Y45" s="86" t="str">
        <f aca="false">IF(ISBLANK($C45),"",IF($F45=Constants!$B$2,TRUE(),IF($F45=Constants!$B$3,FALSE(),TRUE())))</f>
        <v/>
      </c>
      <c r="Z45" s="87" t="str">
        <f aca="false">IF(ISBLANK($C45),"",IF(ISNUMBER($G45),IF($G45&gt;=0,$G45,""),""))</f>
        <v/>
      </c>
      <c r="AA45" s="87" t="str">
        <f aca="false">IF(ISBLANK($C45),"",IF(ISNUMBER($H45),IF($H45&gt;=0,$H45,""),""))</f>
        <v/>
      </c>
      <c r="AB45" s="87" t="str">
        <f aca="false">IF(ISBLANK($C45),"",IF(ISNUMBER($I45),IF($I45&gt;=0,$I45,""),""))</f>
        <v/>
      </c>
      <c r="AC45" s="86" t="str">
        <f aca="false">IF(ISBLANK($C45),"",IF($J45=Constants!$B$2,TRUE(),IF($J45=Constants!$B$3,FALSE(),TRUE())))</f>
        <v/>
      </c>
      <c r="AD45" s="86" t="str">
        <f aca="false">IF(ISBLANK($C45),"",IF($K45=Constants!$B$2,TRUE(),IF($K45=Constants!$B$3,FALSE(),TRUE())))</f>
        <v/>
      </c>
      <c r="AE45" s="86" t="str">
        <f aca="false">IF(ISBLANK($C45),"",IF($L45=Constants!$B$2,TRUE(),IF($L45=Constants!$B$3,FALSE(),TRUE())))</f>
        <v/>
      </c>
      <c r="AF45" s="88" t="str">
        <f aca="false">IF(ISBLANK($C45),"",IF(ISNUMBER($M45),IF($M45&gt;=0,$M45,""),""))</f>
        <v/>
      </c>
      <c r="AG45" s="86" t="str">
        <f aca="false">IF(ISBLANK($C45),"",IF(ISBLANK($N45),0,IF(ISNUMBER($N45),IF(AND($N45&gt;=0,$N45&lt;=Constants!$B$17,$N45=INT($N45)),$N45,""),"")))</f>
        <v/>
      </c>
      <c r="AH45" s="87" t="str">
        <f aca="false">IF(ISBLANK($C45),"",IF(ISBLANK($O45),0,IF(ISNUMBER($O45),IF($O45&gt;=0,$O45,""),"")))</f>
        <v/>
      </c>
      <c r="AI45" s="86" t="str">
        <f aca="false">IF(ISBLANK($C45),"",IF($P45=Constants!$B$2,TRUE(),IF($P45=Constants!$B$3,FALSE(),TRUE())))</f>
        <v/>
      </c>
      <c r="AJ45" s="86" t="str">
        <f aca="false">IF(ISBLANK($C45),"",IF($Q45=Constants!$B$2,TRUE(),IF($Q45=Constants!$B$3,FALSE(),TRUE())))</f>
        <v/>
      </c>
      <c r="AK45" s="86" t="str">
        <f aca="false">IF(ISBLANK($C45),"",IF($R45=Constants!$B$2,TRUE(),IF($R45=Constants!$B$3,FALSE(),TRUE())))</f>
        <v/>
      </c>
      <c r="AL45" s="88" t="str">
        <f aca="false">IF(ISBLANK($C45),"",IF(ISNUMBER($S45),IF($S45&gt;=0,$S45,""),""))</f>
        <v/>
      </c>
      <c r="AM45" s="86" t="str">
        <f aca="false">IF(ISBLANK($C45),"",IF(ISBLANK($T45),0,IF(ISNUMBER($T45),IF(AND($T45&gt;=0,$T45&lt;=Constants!$B$17,$T45=INT($T45)),$T45,""),"")))</f>
        <v/>
      </c>
      <c r="AN45" s="87" t="str">
        <f aca="false">IF(ISBLANK($C45),"",IF(ISBLANK($U45),0,IF(ISNUMBER($U45),IF($U45&gt;=0,$U45,""),"")))</f>
        <v/>
      </c>
      <c r="AO45" s="86" t="str">
        <f aca="false">IF(ISBLANK($C45),"",IF($V45=Constants!$B$2,TRUE(),IF($V45=Constants!$B$3,FALSE(),FALSE())))</f>
        <v/>
      </c>
      <c r="AP45" s="86"/>
      <c r="AQ45" s="85" t="str">
        <f aca="false">IF(ISBLANK($C45),"",AND($Y45,OR($AS45,$BC45),OR($Z45="",$AA45="",$AB45="")))</f>
        <v/>
      </c>
      <c r="AR45" s="85" t="str">
        <f aca="false">IF(ISBLANK($C45),"",IF(OR(NOT($Y45),NOT(OR($AS45,$BC45))),"",IF(ISBLANK($D$7),$AR$5,IF($AP$9="",$AR$6,""))))</f>
        <v/>
      </c>
      <c r="AS45" s="85" t="str">
        <f aca="false">IF(ISBLANK($C45),"",COUNTA($J45:$O45)&gt;0)</f>
        <v/>
      </c>
      <c r="AT45" s="85" t="str">
        <f aca="false">IF(ISBLANK($C45),"",AND($AS45,OR(AND($AF45="",OR($AE45,NOT(ISBLANK($M45)))),$AG45="",$AH45="")))</f>
        <v/>
      </c>
      <c r="AU45" s="87" t="str">
        <f aca="false">IF($BL45&lt;&gt;Constants!$B$4,"",IF(NOT($AS45),"",ROUND((Constants!$B$12-$AB45)+(Constants!$B$13-$Z45)+(Constants!$B$14-$AA45),1)))</f>
        <v/>
      </c>
      <c r="AV45" s="90" t="str">
        <f aca="false">IF($BL45&lt;&gt;Constants!$B$4,"",IF(NOT($AS45),"",IF(NOT($AE45),0,Constants!$B$15*(INT(ROUND(MIN($AF45,$AP$9),6))-INT(ROUND(MAX(0,MIN($AF45,2*$AP$9)-$AP$9),6))))))</f>
        <v/>
      </c>
      <c r="AW45" s="90" t="str">
        <f aca="false">IF($BL45&lt;&gt;Constants!$B$4,"",IF(NOT($AS45),"",Constants!$B$16*$AG45))</f>
        <v/>
      </c>
      <c r="AX45" s="90" t="str">
        <f aca="false">IF($BL45&lt;&gt;Constants!$B$4,"",IF(NOT($AS45),"",Constants!$B$18*INT(ROUND($AH45,6))))</f>
        <v/>
      </c>
      <c r="AY45" s="85" t="str">
        <f aca="false">IF($BL45&lt;&gt;Constants!$B$4,"",IF(NOT($AS45),"",IF(NOT($X45),Constants!$B$11,IF(OR(NOT($AC45),NOT($AD45),ROUND($AB45,1)&gt;Constants!$B$12,ROUND($Z45,1)&gt;Constants!$B$13,ROUND($AA45,1)&gt;Constants!$B$14),Constants!$B$10,Constants!$B$9))))</f>
        <v/>
      </c>
      <c r="AZ45" s="91" t="str">
        <f aca="false">IF($BL45&lt;&gt;Constants!$B$4,"",IF(NOT($AS45),"",ROUND($AU45+$AV45+$AW45+$AX45,1)))</f>
        <v/>
      </c>
      <c r="BA45" s="92" t="str">
        <f aca="false">IF($BL45&lt;&gt;Constants!$B$4,"",IF(NOT($AS45),"",IF(ISNUMBER($AF45),$AF45,0)))</f>
        <v/>
      </c>
      <c r="BB45" s="86" t="str">
        <f aca="false">IF($BL45&lt;&gt;Constants!$B$4,"",IF(NOT($BC45),"&lt;-",IF(NOT($AS45),"-&gt;",IF(OR($BI45&lt;$AY45,AND($BI45=$AY45,OR($BJ45&gt;$AZ45,AND($BJ45=$AZ45,OR($BH45&gt;$AX45,AND($BH45=$AX45,OR($BE45&gt;$AU45,AND($BE45=$AU45,OR($BF45&gt;$AV45,AND($BF45=$AV45,$BK45&gt;$BA45)))))))))),"-&gt;","&lt;-"))))</f>
        <v/>
      </c>
      <c r="BC45" s="85" t="str">
        <f aca="false">IF(ISBLANK($C45),"",COUNTA($P45:$U45)&gt;0)</f>
        <v/>
      </c>
      <c r="BD45" s="85" t="str">
        <f aca="false">IF(ISBLANK($C45),"",AND($BC45,OR(AND($AL45="",OR($AK45,NOT(ISBLANK($S45)))),$AM45="",$AN45="")))</f>
        <v/>
      </c>
      <c r="BE45" s="87" t="str">
        <f aca="false">IF($BL45&lt;&gt;Constants!$B$4,"",IF(NOT($BC45),"",ROUND((Constants!$B$12-$AB45)+(Constants!$B$13-$Z45)+(Constants!$B$14-$AA45),1)))</f>
        <v/>
      </c>
      <c r="BF45" s="90" t="str">
        <f aca="false">IF($BL45&lt;&gt;Constants!$B$4,"",IF(NOT($BC45),"",IF(NOT($AK45),0,Constants!$B$15*(INT(ROUND(MIN($AL45,$AP$9),6))-INT(ROUND(MAX(0,MIN($AL45,2*$AP$9)-$AP$9),6))))))</f>
        <v/>
      </c>
      <c r="BG45" s="90" t="str">
        <f aca="false">IF($BL45&lt;&gt;Constants!$B$4,"",IF(NOT($BC45),"",Constants!$B$16*$AM45))</f>
        <v/>
      </c>
      <c r="BH45" s="90" t="str">
        <f aca="false">IF($BL45&lt;&gt;Constants!$B$4,"",IF(NOT($BC45),"",Constants!$B$18*INT(ROUND($AN45,6))))</f>
        <v/>
      </c>
      <c r="BI45" s="85" t="str">
        <f aca="false">IF($BL45&lt;&gt;Constants!$B$4,"",IF(NOT($BC45),"",IF(NOT($X45),Constants!$B$11,IF(OR(NOT($AI45),NOT($AJ45),ROUND($AB45,1)&gt;Constants!$B$12,ROUND($Z45,1)&gt;Constants!$B$13,ROUND($AA45,1)&gt;Constants!$B$14),Constants!$B$10,Constants!$B$9))))</f>
        <v/>
      </c>
      <c r="BJ45" s="91" t="str">
        <f aca="false">IF($BL45&lt;&gt;Constants!$B$4,"",IF(NOT($BC45),"",ROUND($BE45+$BF45+$BG45+$BH45,1)))</f>
        <v/>
      </c>
      <c r="BK45" s="92" t="str">
        <f aca="false">IF($BL45&lt;&gt;Constants!$B$4,"",IF(NOT($BC45),"",IF(ISNUMBER($AL45),$AL45,0)))</f>
        <v/>
      </c>
      <c r="BL45" s="86" t="str">
        <f aca="false">IF(ISBLANK($C45),"",IF($AO45,Constants!$B$7,IF(COUNTA($E45:$V45)=0,Constants!$B$6,IF(NOT($Y45),Constants!$B$5,IF(NOT(OR($AS45,$BC45)),Constants!$B$5,IF(OR($AT45,$BD45,$AQ45,$AR45&lt;&gt;""),Constants!$B$8,Constants!$B$4))))))</f>
        <v/>
      </c>
      <c r="BM45" s="86" t="str">
        <f aca="false">IF(ISBLANK($C45),"",IF($BL45&lt;&gt;Constants!$B$4,$BL45,IF($BB45="-&gt;",$BI45,$AY45)))</f>
        <v/>
      </c>
      <c r="BN45" s="90" t="str">
        <f aca="false">IF($BL45&lt;&gt;Constants!$B$4,"",IF($BB45="-&gt;",$BJ45,$AZ45))</f>
        <v/>
      </c>
      <c r="BO45" s="90" t="str">
        <f aca="false">IF(ISBLANK($C45),"",IF($BL45&lt;&gt;Constants!$B$4,$BL45,$BN45))</f>
        <v/>
      </c>
      <c r="BP45" s="86" t="str">
        <f aca="false">IF(ISBLANK($C45),"",IF($BL45&lt;&gt;Constants!$B$4,$BL45,RANK($BO45,$BO$9:$BO$508,0)))</f>
        <v/>
      </c>
      <c r="BQ45" s="86" t="str">
        <f aca="false">IF(ISBLANK($C45),"",IF($BL45&lt;&gt;Constants!$B$4,$BL45,COUNTIFS($BM$9:$BM$508,"&lt;"&amp;$BM45)+COUNTIFS($BM$9:$BM$508,$BM45,$BP$9:$BP$508,"&lt;"&amp;$BP45)+1))</f>
        <v/>
      </c>
      <c r="BR45" s="90" t="str">
        <f aca="false">IF($BL45&lt;&gt;Constants!$B$4,"",IF($BB45="-&gt;",$BH45,$AX45))</f>
        <v/>
      </c>
      <c r="BS45" s="86" t="str">
        <f aca="false">IF(ISBLANK($C45),"",IF($BL45&lt;&gt;Constants!$B$4,$BL45,IF(ISNUMBER($BR45),RANK($BR45,$BR$9:$BR$508,0),COUNT($BR$9:$BR$508)+1)))</f>
        <v/>
      </c>
      <c r="BT45" s="90" t="str">
        <f aca="false">IF($BL45&lt;&gt;Constants!$B$4,"",IF($BB45="-&gt;",$BE45,$AU45))</f>
        <v/>
      </c>
      <c r="BU45" s="86" t="str">
        <f aca="false">IF(ISBLANK($C45),"",IF($BL45&lt;&gt;Constants!$B$4,$BL45,IF(ISNUMBER($BT45),RANK($BT45,$BT$9:$BT$508,0),COUNT($BT$9:$BT$508)+1)))</f>
        <v/>
      </c>
      <c r="BV45" s="90" t="str">
        <f aca="false">IF($BL45&lt;&gt;Constants!$B$4,"",IF($BB45="-&gt;",$BF45,$AV45))</f>
        <v/>
      </c>
      <c r="BW45" s="86" t="str">
        <f aca="false">IF(ISBLANK($C45),"",IF($BL45&lt;&gt;Constants!$B$4,$BL45,IF(ISNUMBER($BV45),RANK($BV45,$BV$9:$BV$508,0),COUNT($BV$9:$BV$508)+1)))</f>
        <v/>
      </c>
      <c r="BX45" s="90" t="str">
        <f aca="false">IF($BL45&lt;&gt;Constants!$B$4,"",IF($BB45="-&gt;",$BK45,$BA45))</f>
        <v/>
      </c>
      <c r="BY45" s="86" t="str">
        <f aca="false">IF(ISBLANK($C45),"",IF($BL45&lt;&gt;Constants!$B$4,$BL45,IF(ISNUMBER($BX45),RANK($BX45,$BX$9:$BX$508,0),COUNT($BX$9:$BX$508)+1)))</f>
        <v/>
      </c>
      <c r="BZ45" s="86" t="str">
        <f aca="false">IF(ISBLANK($C45),"",IF($BL45&lt;&gt;Constants!$B$4,$BL45,COUNTIFS($BM$9:$BM$508,"&lt;"&amp;$BM45)+COUNTIFS($BM$9:$BM$508,$BM45,$BP$9:$BP$508,"&lt;"&amp;$BP45)+COUNTIFS($BM$9:$BM$508,$BM45,$BP$9:$BP$508,$BP45,$BS$9:$BS$508,"&lt;"&amp;$BS45)+COUNTIFS($BM$9:$BM$508,$BM45,$BP$9:$BP$508,$BP45,$BS$9:$BS$508,$BS45,$BU$9:$BU$508,"&lt;"&amp;$BU45)+COUNTIFS($BM$9:$BM$508,$BM45,$BP$9:$BP$508,$BP45,$BS$9:$BS$508,$BS45,$BU$9:$BU$508,$BU45,$BW$9:$BW$508,"&lt;"&amp;$BW45)+COUNTIFS($BM$9:$BM$508,$BM45,$BP$9:$BP$508,$BP45,$BS$9:$BS$508,$BS45,$BU$9:$BU$508,$BU45,$BW$9:$BW$508,$BW45,$BY$9:$BY$508,"&lt;"&amp;$BY45)+1))</f>
        <v/>
      </c>
      <c r="CA45" s="86" t="str">
        <f aca="false">IF(ISBLANK($C45),"",IF($BL45&lt;&gt;Constants!$B$4,$BL45,$BQ45-$BZ45))</f>
        <v/>
      </c>
      <c r="CB45" s="93"/>
      <c r="CC45" s="94" t="str">
        <f aca="false">IF(ISBLANK($C45),"",IF($BL45=Constants!$B$8,$AR45,""))</f>
        <v/>
      </c>
      <c r="CD45" s="94" t="str">
        <f aca="false">IF(ISBLANK($C45),"",IF($BL45&lt;&gt;Constants!$B$4,"",IF($BB45="-&gt;",2,1)))</f>
        <v/>
      </c>
      <c r="CE45" s="95" t="str">
        <f aca="false">IF(ISBLANK($C45),"",IF($BL45&lt;&gt;Constants!$B$4,"",IF($BB45="-&gt;",$BE45,$AU45)))</f>
        <v/>
      </c>
      <c r="CF45" s="95" t="str">
        <f aca="false">IF(ISBLANK($C45),"",IF($BL45&lt;&gt;Constants!$B$4,"",IF($BB45="-&gt;",$BF45,$AV45)))</f>
        <v/>
      </c>
      <c r="CG45" s="95" t="str">
        <f aca="false">IF(ISBLANK($C45),"",IF($BL45&lt;&gt;Constants!$B$4,"",IF($BB45="-&gt;",$BG45,$AW45)))</f>
        <v/>
      </c>
      <c r="CH45" s="95" t="str">
        <f aca="false">IF(ISBLANK($C45),"",IF($BL45&lt;&gt;Constants!$B$4,"",IF($BB45="-&gt;",$BH45,$AX45)))</f>
        <v/>
      </c>
      <c r="CI45" s="96" t="str">
        <f aca="false">IF(ISBLANK($C45),"",$BO45)</f>
        <v/>
      </c>
      <c r="CJ45" s="97" t="str">
        <f aca="false">IF(ISBLANK($C45),"",$BM45)</f>
        <v/>
      </c>
      <c r="CK45" s="98" t="str">
        <f aca="false">IF(ISBLANK($C45),"",$CA45)</f>
        <v/>
      </c>
      <c r="CL45" s="98" t="str">
        <f aca="false">IF(ISBLANK($C45),"",$BZ45)</f>
        <v/>
      </c>
      <c r="CM45" s="99" t="str">
        <f aca="false">IF(ISBLANK($C45),"",IF($CL45=Constants!$B$7,COUNTA($C$9:$C$508)+2,IF($CL45=Constants!$B$6,COUNTA($C$9:$C$508)+1,IF($CL45=Constants!$B$5,COUNTA($C$9:$C$508),$CL45))))</f>
        <v/>
      </c>
      <c r="CN45" s="8"/>
      <c r="CO45" s="100" t="n">
        <f aca="false">IF(OR(ISNUMBER($CL45),$CL45=Constants!$B$7,$CL45=Constants!$B$5,$CL45=Constants!$B$6),1,0)</f>
        <v>0</v>
      </c>
      <c r="CP45" s="100" t="n">
        <v>37</v>
      </c>
      <c r="CQ45" s="100" t="str">
        <f aca="false">IF(ISBLANK($C45),"",IF(ISNUMBER($CM45),$CM45+ROW($B45)/1000,""))</f>
        <v/>
      </c>
      <c r="CR45" s="100" t="str">
        <f aca="false">IF(ISNUMBER($CQ45),RANK($CQ45,$CQ$9:$CQ$508,1),"")</f>
        <v/>
      </c>
      <c r="CS45" s="100" t="str">
        <f aca="false">IF(ISBLANK($C45),"",$B45)</f>
        <v/>
      </c>
      <c r="CT45" s="100" t="str">
        <f aca="false">IF(ISBLANK($C45),"",$C45)</f>
        <v/>
      </c>
      <c r="CU45" s="100" t="str">
        <f aca="false">IF(ISBLANK($C45),"",$D45)</f>
        <v/>
      </c>
      <c r="CV45" s="101" t="str">
        <f aca="false">$CJ45</f>
        <v/>
      </c>
      <c r="CW45" s="102" t="str">
        <f aca="false">$CI45</f>
        <v/>
      </c>
      <c r="CX45" s="100" t="str">
        <f aca="false">IF(ISBLANK($C45),"",$CL45)</f>
        <v/>
      </c>
      <c r="CY45" s="103" t="str">
        <f aca="false">IF($CP45&gt;$CO$8,"",VLOOKUP($CP45,$CR$9:$CX$508,7,FALSE()))</f>
        <v/>
      </c>
      <c r="CZ45" s="104" t="str">
        <f aca="false">IF($CP45&gt;$CO$8,"",VLOOKUP($CP45,$CR$9:$CX$508,2,FALSE()))</f>
        <v/>
      </c>
      <c r="DA45" s="104" t="str">
        <f aca="false">IF($CP45&gt;$CO$8,"",VLOOKUP($CP45,$CR$9:$CX$508,3,FALSE()))</f>
        <v/>
      </c>
      <c r="DB45" s="104" t="str">
        <f aca="false">IF($CP45&gt;$CO$8,"",VLOOKUP($CP45,$CR$9:$CX$508,4,FALSE()))</f>
        <v/>
      </c>
      <c r="DC45" s="104" t="str">
        <f aca="false">IF($CP45&gt;$CO$8,"",VLOOKUP($CP45,$CR$9:$CX$508,5,FALSE()))</f>
        <v/>
      </c>
      <c r="DD45" s="105" t="str">
        <f aca="false">IF($CP45&gt;$CO$8,"",VLOOKUP($CP45,$CR$9:$CX$508,6,FALSE()))</f>
        <v/>
      </c>
      <c r="DE45" s="70"/>
    </row>
    <row r="46" customFormat="false" ht="15.75" hidden="false" customHeight="false" outlineLevel="0" collapsed="false">
      <c r="A46" s="8"/>
      <c r="B46" s="72"/>
      <c r="C46" s="73"/>
      <c r="D46" s="155"/>
      <c r="E46" s="162"/>
      <c r="F46" s="157"/>
      <c r="G46" s="77"/>
      <c r="H46" s="77"/>
      <c r="I46" s="77"/>
      <c r="J46" s="163"/>
      <c r="K46" s="161"/>
      <c r="L46" s="161"/>
      <c r="M46" s="80"/>
      <c r="N46" s="161"/>
      <c r="O46" s="160"/>
      <c r="P46" s="161"/>
      <c r="Q46" s="161"/>
      <c r="R46" s="161"/>
      <c r="S46" s="77"/>
      <c r="T46" s="161"/>
      <c r="U46" s="160"/>
      <c r="V46" s="161"/>
      <c r="W46" s="85"/>
      <c r="X46" s="86" t="str">
        <f aca="false">IF(ISBLANK($C46),"",IF($E46=Constants!$B$2,TRUE(),IF($E46=Constants!$B$3,FALSE(),TRUE())))</f>
        <v/>
      </c>
      <c r="Y46" s="86" t="str">
        <f aca="false">IF(ISBLANK($C46),"",IF($F46=Constants!$B$2,TRUE(),IF($F46=Constants!$B$3,FALSE(),TRUE())))</f>
        <v/>
      </c>
      <c r="Z46" s="87" t="str">
        <f aca="false">IF(ISBLANK($C46),"",IF(ISNUMBER($G46),IF($G46&gt;=0,$G46,""),""))</f>
        <v/>
      </c>
      <c r="AA46" s="87" t="str">
        <f aca="false">IF(ISBLANK($C46),"",IF(ISNUMBER($H46),IF($H46&gt;=0,$H46,""),""))</f>
        <v/>
      </c>
      <c r="AB46" s="87" t="str">
        <f aca="false">IF(ISBLANK($C46),"",IF(ISNUMBER($I46),IF($I46&gt;=0,$I46,""),""))</f>
        <v/>
      </c>
      <c r="AC46" s="86" t="str">
        <f aca="false">IF(ISBLANK($C46),"",IF($J46=Constants!$B$2,TRUE(),IF($J46=Constants!$B$3,FALSE(),TRUE())))</f>
        <v/>
      </c>
      <c r="AD46" s="86" t="str">
        <f aca="false">IF(ISBLANK($C46),"",IF($K46=Constants!$B$2,TRUE(),IF($K46=Constants!$B$3,FALSE(),TRUE())))</f>
        <v/>
      </c>
      <c r="AE46" s="86" t="str">
        <f aca="false">IF(ISBLANK($C46),"",IF($L46=Constants!$B$2,TRUE(),IF($L46=Constants!$B$3,FALSE(),TRUE())))</f>
        <v/>
      </c>
      <c r="AF46" s="88" t="str">
        <f aca="false">IF(ISBLANK($C46),"",IF(ISNUMBER($M46),IF($M46&gt;=0,$M46,""),""))</f>
        <v/>
      </c>
      <c r="AG46" s="86" t="str">
        <f aca="false">IF(ISBLANK($C46),"",IF(ISBLANK($N46),0,IF(ISNUMBER($N46),IF(AND($N46&gt;=0,$N46&lt;=Constants!$B$17,$N46=INT($N46)),$N46,""),"")))</f>
        <v/>
      </c>
      <c r="AH46" s="87" t="str">
        <f aca="false">IF(ISBLANK($C46),"",IF(ISBLANK($O46),0,IF(ISNUMBER($O46),IF($O46&gt;=0,$O46,""),"")))</f>
        <v/>
      </c>
      <c r="AI46" s="86" t="str">
        <f aca="false">IF(ISBLANK($C46),"",IF($P46=Constants!$B$2,TRUE(),IF($P46=Constants!$B$3,FALSE(),TRUE())))</f>
        <v/>
      </c>
      <c r="AJ46" s="86" t="str">
        <f aca="false">IF(ISBLANK($C46),"",IF($Q46=Constants!$B$2,TRUE(),IF($Q46=Constants!$B$3,FALSE(),TRUE())))</f>
        <v/>
      </c>
      <c r="AK46" s="86" t="str">
        <f aca="false">IF(ISBLANK($C46),"",IF($R46=Constants!$B$2,TRUE(),IF($R46=Constants!$B$3,FALSE(),TRUE())))</f>
        <v/>
      </c>
      <c r="AL46" s="88" t="str">
        <f aca="false">IF(ISBLANK($C46),"",IF(ISNUMBER($S46),IF($S46&gt;=0,$S46,""),""))</f>
        <v/>
      </c>
      <c r="AM46" s="86" t="str">
        <f aca="false">IF(ISBLANK($C46),"",IF(ISBLANK($T46),0,IF(ISNUMBER($T46),IF(AND($T46&gt;=0,$T46&lt;=Constants!$B$17,$T46=INT($T46)),$T46,""),"")))</f>
        <v/>
      </c>
      <c r="AN46" s="87" t="str">
        <f aca="false">IF(ISBLANK($C46),"",IF(ISBLANK($U46),0,IF(ISNUMBER($U46),IF($U46&gt;=0,$U46,""),"")))</f>
        <v/>
      </c>
      <c r="AO46" s="86" t="str">
        <f aca="false">IF(ISBLANK($C46),"",IF($V46=Constants!$B$2,TRUE(),IF($V46=Constants!$B$3,FALSE(),FALSE())))</f>
        <v/>
      </c>
      <c r="AP46" s="86"/>
      <c r="AQ46" s="85" t="str">
        <f aca="false">IF(ISBLANK($C46),"",AND($Y46,OR($AS46,$BC46),OR($Z46="",$AA46="",$AB46="")))</f>
        <v/>
      </c>
      <c r="AR46" s="85" t="str">
        <f aca="false">IF(ISBLANK($C46),"",IF(OR(NOT($Y46),NOT(OR($AS46,$BC46))),"",IF(ISBLANK($D$7),$AR$5,IF($AP$9="",$AR$6,""))))</f>
        <v/>
      </c>
      <c r="AS46" s="85" t="str">
        <f aca="false">IF(ISBLANK($C46),"",COUNTA($J46:$O46)&gt;0)</f>
        <v/>
      </c>
      <c r="AT46" s="85" t="str">
        <f aca="false">IF(ISBLANK($C46),"",AND($AS46,OR(AND($AF46="",OR($AE46,NOT(ISBLANK($M46)))),$AG46="",$AH46="")))</f>
        <v/>
      </c>
      <c r="AU46" s="87" t="str">
        <f aca="false">IF($BL46&lt;&gt;Constants!$B$4,"",IF(NOT($AS46),"",ROUND((Constants!$B$12-$AB46)+(Constants!$B$13-$Z46)+(Constants!$B$14-$AA46),1)))</f>
        <v/>
      </c>
      <c r="AV46" s="90" t="str">
        <f aca="false">IF($BL46&lt;&gt;Constants!$B$4,"",IF(NOT($AS46),"",IF(NOT($AE46),0,Constants!$B$15*(INT(ROUND(MIN($AF46,$AP$9),6))-INT(ROUND(MAX(0,MIN($AF46,2*$AP$9)-$AP$9),6))))))</f>
        <v/>
      </c>
      <c r="AW46" s="90" t="str">
        <f aca="false">IF($BL46&lt;&gt;Constants!$B$4,"",IF(NOT($AS46),"",Constants!$B$16*$AG46))</f>
        <v/>
      </c>
      <c r="AX46" s="90" t="str">
        <f aca="false">IF($BL46&lt;&gt;Constants!$B$4,"",IF(NOT($AS46),"",Constants!$B$18*INT(ROUND($AH46,6))))</f>
        <v/>
      </c>
      <c r="AY46" s="85" t="str">
        <f aca="false">IF($BL46&lt;&gt;Constants!$B$4,"",IF(NOT($AS46),"",IF(NOT($X46),Constants!$B$11,IF(OR(NOT($AC46),NOT($AD46),ROUND($AB46,1)&gt;Constants!$B$12,ROUND($Z46,1)&gt;Constants!$B$13,ROUND($AA46,1)&gt;Constants!$B$14),Constants!$B$10,Constants!$B$9))))</f>
        <v/>
      </c>
      <c r="AZ46" s="91" t="str">
        <f aca="false">IF($BL46&lt;&gt;Constants!$B$4,"",IF(NOT($AS46),"",ROUND($AU46+$AV46+$AW46+$AX46,1)))</f>
        <v/>
      </c>
      <c r="BA46" s="92" t="str">
        <f aca="false">IF($BL46&lt;&gt;Constants!$B$4,"",IF(NOT($AS46),"",IF(ISNUMBER($AF46),$AF46,0)))</f>
        <v/>
      </c>
      <c r="BB46" s="86" t="str">
        <f aca="false">IF($BL46&lt;&gt;Constants!$B$4,"",IF(NOT($BC46),"&lt;-",IF(NOT($AS46),"-&gt;",IF(OR($BI46&lt;$AY46,AND($BI46=$AY46,OR($BJ46&gt;$AZ46,AND($BJ46=$AZ46,OR($BH46&gt;$AX46,AND($BH46=$AX46,OR($BE46&gt;$AU46,AND($BE46=$AU46,OR($BF46&gt;$AV46,AND($BF46=$AV46,$BK46&gt;$BA46)))))))))),"-&gt;","&lt;-"))))</f>
        <v/>
      </c>
      <c r="BC46" s="85" t="str">
        <f aca="false">IF(ISBLANK($C46),"",COUNTA($P46:$U46)&gt;0)</f>
        <v/>
      </c>
      <c r="BD46" s="85" t="str">
        <f aca="false">IF(ISBLANK($C46),"",AND($BC46,OR(AND($AL46="",OR($AK46,NOT(ISBLANK($S46)))),$AM46="",$AN46="")))</f>
        <v/>
      </c>
      <c r="BE46" s="87" t="str">
        <f aca="false">IF($BL46&lt;&gt;Constants!$B$4,"",IF(NOT($BC46),"",ROUND((Constants!$B$12-$AB46)+(Constants!$B$13-$Z46)+(Constants!$B$14-$AA46),1)))</f>
        <v/>
      </c>
      <c r="BF46" s="90" t="str">
        <f aca="false">IF($BL46&lt;&gt;Constants!$B$4,"",IF(NOT($BC46),"",IF(NOT($AK46),0,Constants!$B$15*(INT(ROUND(MIN($AL46,$AP$9),6))-INT(ROUND(MAX(0,MIN($AL46,2*$AP$9)-$AP$9),6))))))</f>
        <v/>
      </c>
      <c r="BG46" s="90" t="str">
        <f aca="false">IF($BL46&lt;&gt;Constants!$B$4,"",IF(NOT($BC46),"",Constants!$B$16*$AM46))</f>
        <v/>
      </c>
      <c r="BH46" s="90" t="str">
        <f aca="false">IF($BL46&lt;&gt;Constants!$B$4,"",IF(NOT($BC46),"",Constants!$B$18*INT(ROUND($AN46,6))))</f>
        <v/>
      </c>
      <c r="BI46" s="85" t="str">
        <f aca="false">IF($BL46&lt;&gt;Constants!$B$4,"",IF(NOT($BC46),"",IF(NOT($X46),Constants!$B$11,IF(OR(NOT($AI46),NOT($AJ46),ROUND($AB46,1)&gt;Constants!$B$12,ROUND($Z46,1)&gt;Constants!$B$13,ROUND($AA46,1)&gt;Constants!$B$14),Constants!$B$10,Constants!$B$9))))</f>
        <v/>
      </c>
      <c r="BJ46" s="91" t="str">
        <f aca="false">IF($BL46&lt;&gt;Constants!$B$4,"",IF(NOT($BC46),"",ROUND($BE46+$BF46+$BG46+$BH46,1)))</f>
        <v/>
      </c>
      <c r="BK46" s="92" t="str">
        <f aca="false">IF($BL46&lt;&gt;Constants!$B$4,"",IF(NOT($BC46),"",IF(ISNUMBER($AL46),$AL46,0)))</f>
        <v/>
      </c>
      <c r="BL46" s="86" t="str">
        <f aca="false">IF(ISBLANK($C46),"",IF($AO46,Constants!$B$7,IF(COUNTA($E46:$V46)=0,Constants!$B$6,IF(NOT($Y46),Constants!$B$5,IF(NOT(OR($AS46,$BC46)),Constants!$B$5,IF(OR($AT46,$BD46,$AQ46,$AR46&lt;&gt;""),Constants!$B$8,Constants!$B$4))))))</f>
        <v/>
      </c>
      <c r="BM46" s="86" t="str">
        <f aca="false">IF(ISBLANK($C46),"",IF($BL46&lt;&gt;Constants!$B$4,$BL46,IF($BB46="-&gt;",$BI46,$AY46)))</f>
        <v/>
      </c>
      <c r="BN46" s="90" t="str">
        <f aca="false">IF($BL46&lt;&gt;Constants!$B$4,"",IF($BB46="-&gt;",$BJ46,$AZ46))</f>
        <v/>
      </c>
      <c r="BO46" s="90" t="str">
        <f aca="false">IF(ISBLANK($C46),"",IF($BL46&lt;&gt;Constants!$B$4,$BL46,$BN46))</f>
        <v/>
      </c>
      <c r="BP46" s="86" t="str">
        <f aca="false">IF(ISBLANK($C46),"",IF($BL46&lt;&gt;Constants!$B$4,$BL46,RANK($BO46,$BO$9:$BO$508,0)))</f>
        <v/>
      </c>
      <c r="BQ46" s="86" t="str">
        <f aca="false">IF(ISBLANK($C46),"",IF($BL46&lt;&gt;Constants!$B$4,$BL46,COUNTIFS($BM$9:$BM$508,"&lt;"&amp;$BM46)+COUNTIFS($BM$9:$BM$508,$BM46,$BP$9:$BP$508,"&lt;"&amp;$BP46)+1))</f>
        <v/>
      </c>
      <c r="BR46" s="90" t="str">
        <f aca="false">IF($BL46&lt;&gt;Constants!$B$4,"",IF($BB46="-&gt;",$BH46,$AX46))</f>
        <v/>
      </c>
      <c r="BS46" s="86" t="str">
        <f aca="false">IF(ISBLANK($C46),"",IF($BL46&lt;&gt;Constants!$B$4,$BL46,IF(ISNUMBER($BR46),RANK($BR46,$BR$9:$BR$508,0),COUNT($BR$9:$BR$508)+1)))</f>
        <v/>
      </c>
      <c r="BT46" s="90" t="str">
        <f aca="false">IF($BL46&lt;&gt;Constants!$B$4,"",IF($BB46="-&gt;",$BE46,$AU46))</f>
        <v/>
      </c>
      <c r="BU46" s="86" t="str">
        <f aca="false">IF(ISBLANK($C46),"",IF($BL46&lt;&gt;Constants!$B$4,$BL46,IF(ISNUMBER($BT46),RANK($BT46,$BT$9:$BT$508,0),COUNT($BT$9:$BT$508)+1)))</f>
        <v/>
      </c>
      <c r="BV46" s="90" t="str">
        <f aca="false">IF($BL46&lt;&gt;Constants!$B$4,"",IF($BB46="-&gt;",$BF46,$AV46))</f>
        <v/>
      </c>
      <c r="BW46" s="86" t="str">
        <f aca="false">IF(ISBLANK($C46),"",IF($BL46&lt;&gt;Constants!$B$4,$BL46,IF(ISNUMBER($BV46),RANK($BV46,$BV$9:$BV$508,0),COUNT($BV$9:$BV$508)+1)))</f>
        <v/>
      </c>
      <c r="BX46" s="90" t="str">
        <f aca="false">IF($BL46&lt;&gt;Constants!$B$4,"",IF($BB46="-&gt;",$BK46,$BA46))</f>
        <v/>
      </c>
      <c r="BY46" s="86" t="str">
        <f aca="false">IF(ISBLANK($C46),"",IF($BL46&lt;&gt;Constants!$B$4,$BL46,IF(ISNUMBER($BX46),RANK($BX46,$BX$9:$BX$508,0),COUNT($BX$9:$BX$508)+1)))</f>
        <v/>
      </c>
      <c r="BZ46" s="86" t="str">
        <f aca="false">IF(ISBLANK($C46),"",IF($BL46&lt;&gt;Constants!$B$4,$BL46,COUNTIFS($BM$9:$BM$508,"&lt;"&amp;$BM46)+COUNTIFS($BM$9:$BM$508,$BM46,$BP$9:$BP$508,"&lt;"&amp;$BP46)+COUNTIFS($BM$9:$BM$508,$BM46,$BP$9:$BP$508,$BP46,$BS$9:$BS$508,"&lt;"&amp;$BS46)+COUNTIFS($BM$9:$BM$508,$BM46,$BP$9:$BP$508,$BP46,$BS$9:$BS$508,$BS46,$BU$9:$BU$508,"&lt;"&amp;$BU46)+COUNTIFS($BM$9:$BM$508,$BM46,$BP$9:$BP$508,$BP46,$BS$9:$BS$508,$BS46,$BU$9:$BU$508,$BU46,$BW$9:$BW$508,"&lt;"&amp;$BW46)+COUNTIFS($BM$9:$BM$508,$BM46,$BP$9:$BP$508,$BP46,$BS$9:$BS$508,$BS46,$BU$9:$BU$508,$BU46,$BW$9:$BW$508,$BW46,$BY$9:$BY$508,"&lt;"&amp;$BY46)+1))</f>
        <v/>
      </c>
      <c r="CA46" s="86" t="str">
        <f aca="false">IF(ISBLANK($C46),"",IF($BL46&lt;&gt;Constants!$B$4,$BL46,$BQ46-$BZ46))</f>
        <v/>
      </c>
      <c r="CB46" s="93"/>
      <c r="CC46" s="94" t="str">
        <f aca="false">IF(ISBLANK($C46),"",IF($BL46=Constants!$B$8,$AR46,""))</f>
        <v/>
      </c>
      <c r="CD46" s="94" t="str">
        <f aca="false">IF(ISBLANK($C46),"",IF($BL46&lt;&gt;Constants!$B$4,"",IF($BB46="-&gt;",2,1)))</f>
        <v/>
      </c>
      <c r="CE46" s="95" t="str">
        <f aca="false">IF(ISBLANK($C46),"",IF($BL46&lt;&gt;Constants!$B$4,"",IF($BB46="-&gt;",$BE46,$AU46)))</f>
        <v/>
      </c>
      <c r="CF46" s="95" t="str">
        <f aca="false">IF(ISBLANK($C46),"",IF($BL46&lt;&gt;Constants!$B$4,"",IF($BB46="-&gt;",$BF46,$AV46)))</f>
        <v/>
      </c>
      <c r="CG46" s="95" t="str">
        <f aca="false">IF(ISBLANK($C46),"",IF($BL46&lt;&gt;Constants!$B$4,"",IF($BB46="-&gt;",$BG46,$AW46)))</f>
        <v/>
      </c>
      <c r="CH46" s="95" t="str">
        <f aca="false">IF(ISBLANK($C46),"",IF($BL46&lt;&gt;Constants!$B$4,"",IF($BB46="-&gt;",$BH46,$AX46)))</f>
        <v/>
      </c>
      <c r="CI46" s="96" t="str">
        <f aca="false">IF(ISBLANK($C46),"",$BO46)</f>
        <v/>
      </c>
      <c r="CJ46" s="97" t="str">
        <f aca="false">IF(ISBLANK($C46),"",$BM46)</f>
        <v/>
      </c>
      <c r="CK46" s="98" t="str">
        <f aca="false">IF(ISBLANK($C46),"",$CA46)</f>
        <v/>
      </c>
      <c r="CL46" s="98" t="str">
        <f aca="false">IF(ISBLANK($C46),"",$BZ46)</f>
        <v/>
      </c>
      <c r="CM46" s="99" t="str">
        <f aca="false">IF(ISBLANK($C46),"",IF($CL46=Constants!$B$7,COUNTA($C$9:$C$508)+2,IF($CL46=Constants!$B$6,COUNTA($C$9:$C$508)+1,IF($CL46=Constants!$B$5,COUNTA($C$9:$C$508),$CL46))))</f>
        <v/>
      </c>
      <c r="CN46" s="8"/>
      <c r="CO46" s="100" t="n">
        <f aca="false">IF(OR(ISNUMBER($CL46),$CL46=Constants!$B$7,$CL46=Constants!$B$5,$CL46=Constants!$B$6),1,0)</f>
        <v>0</v>
      </c>
      <c r="CP46" s="100" t="n">
        <v>38</v>
      </c>
      <c r="CQ46" s="100" t="str">
        <f aca="false">IF(ISBLANK($C46),"",IF(ISNUMBER($CM46),$CM46+ROW($B46)/1000,""))</f>
        <v/>
      </c>
      <c r="CR46" s="100" t="str">
        <f aca="false">IF(ISNUMBER($CQ46),RANK($CQ46,$CQ$9:$CQ$508,1),"")</f>
        <v/>
      </c>
      <c r="CS46" s="100" t="str">
        <f aca="false">IF(ISBLANK($C46),"",$B46)</f>
        <v/>
      </c>
      <c r="CT46" s="100" t="str">
        <f aca="false">IF(ISBLANK($C46),"",$C46)</f>
        <v/>
      </c>
      <c r="CU46" s="100" t="str">
        <f aca="false">IF(ISBLANK($C46),"",$D46)</f>
        <v/>
      </c>
      <c r="CV46" s="101" t="str">
        <f aca="false">$CJ46</f>
        <v/>
      </c>
      <c r="CW46" s="102" t="str">
        <f aca="false">$CI46</f>
        <v/>
      </c>
      <c r="CX46" s="100" t="str">
        <f aca="false">IF(ISBLANK($C46),"",$CL46)</f>
        <v/>
      </c>
      <c r="CY46" s="103" t="str">
        <f aca="false">IF($CP46&gt;$CO$8,"",VLOOKUP($CP46,$CR$9:$CX$508,7,FALSE()))</f>
        <v/>
      </c>
      <c r="CZ46" s="104" t="str">
        <f aca="false">IF($CP46&gt;$CO$8,"",VLOOKUP($CP46,$CR$9:$CX$508,2,FALSE()))</f>
        <v/>
      </c>
      <c r="DA46" s="104" t="str">
        <f aca="false">IF($CP46&gt;$CO$8,"",VLOOKUP($CP46,$CR$9:$CX$508,3,FALSE()))</f>
        <v/>
      </c>
      <c r="DB46" s="104" t="str">
        <f aca="false">IF($CP46&gt;$CO$8,"",VLOOKUP($CP46,$CR$9:$CX$508,4,FALSE()))</f>
        <v/>
      </c>
      <c r="DC46" s="104" t="str">
        <f aca="false">IF($CP46&gt;$CO$8,"",VLOOKUP($CP46,$CR$9:$CX$508,5,FALSE()))</f>
        <v/>
      </c>
      <c r="DD46" s="105" t="str">
        <f aca="false">IF($CP46&gt;$CO$8,"",VLOOKUP($CP46,$CR$9:$CX$508,6,FALSE()))</f>
        <v/>
      </c>
      <c r="DE46" s="70"/>
    </row>
    <row r="47" customFormat="false" ht="15.75" hidden="false" customHeight="false" outlineLevel="0" collapsed="false">
      <c r="A47" s="8"/>
      <c r="B47" s="72"/>
      <c r="C47" s="73"/>
      <c r="D47" s="155"/>
      <c r="E47" s="162"/>
      <c r="F47" s="157"/>
      <c r="G47" s="77"/>
      <c r="H47" s="77"/>
      <c r="I47" s="77"/>
      <c r="J47" s="163"/>
      <c r="K47" s="161"/>
      <c r="L47" s="161"/>
      <c r="M47" s="80"/>
      <c r="N47" s="161"/>
      <c r="O47" s="160"/>
      <c r="P47" s="161"/>
      <c r="Q47" s="161"/>
      <c r="R47" s="161"/>
      <c r="S47" s="77"/>
      <c r="T47" s="161"/>
      <c r="U47" s="160"/>
      <c r="V47" s="161"/>
      <c r="W47" s="85"/>
      <c r="X47" s="86" t="str">
        <f aca="false">IF(ISBLANK($C47),"",IF($E47=Constants!$B$2,TRUE(),IF($E47=Constants!$B$3,FALSE(),TRUE())))</f>
        <v/>
      </c>
      <c r="Y47" s="86" t="str">
        <f aca="false">IF(ISBLANK($C47),"",IF($F47=Constants!$B$2,TRUE(),IF($F47=Constants!$B$3,FALSE(),TRUE())))</f>
        <v/>
      </c>
      <c r="Z47" s="87" t="str">
        <f aca="false">IF(ISBLANK($C47),"",IF(ISNUMBER($G47),IF($G47&gt;=0,$G47,""),""))</f>
        <v/>
      </c>
      <c r="AA47" s="87" t="str">
        <f aca="false">IF(ISBLANK($C47),"",IF(ISNUMBER($H47),IF($H47&gt;=0,$H47,""),""))</f>
        <v/>
      </c>
      <c r="AB47" s="87" t="str">
        <f aca="false">IF(ISBLANK($C47),"",IF(ISNUMBER($I47),IF($I47&gt;=0,$I47,""),""))</f>
        <v/>
      </c>
      <c r="AC47" s="86" t="str">
        <f aca="false">IF(ISBLANK($C47),"",IF($J47=Constants!$B$2,TRUE(),IF($J47=Constants!$B$3,FALSE(),TRUE())))</f>
        <v/>
      </c>
      <c r="AD47" s="86" t="str">
        <f aca="false">IF(ISBLANK($C47),"",IF($K47=Constants!$B$2,TRUE(),IF($K47=Constants!$B$3,FALSE(),TRUE())))</f>
        <v/>
      </c>
      <c r="AE47" s="86" t="str">
        <f aca="false">IF(ISBLANK($C47),"",IF($L47=Constants!$B$2,TRUE(),IF($L47=Constants!$B$3,FALSE(),TRUE())))</f>
        <v/>
      </c>
      <c r="AF47" s="88" t="str">
        <f aca="false">IF(ISBLANK($C47),"",IF(ISNUMBER($M47),IF($M47&gt;=0,$M47,""),""))</f>
        <v/>
      </c>
      <c r="AG47" s="86" t="str">
        <f aca="false">IF(ISBLANK($C47),"",IF(ISBLANK($N47),0,IF(ISNUMBER($N47),IF(AND($N47&gt;=0,$N47&lt;=Constants!$B$17,$N47=INT($N47)),$N47,""),"")))</f>
        <v/>
      </c>
      <c r="AH47" s="87" t="str">
        <f aca="false">IF(ISBLANK($C47),"",IF(ISBLANK($O47),0,IF(ISNUMBER($O47),IF($O47&gt;=0,$O47,""),"")))</f>
        <v/>
      </c>
      <c r="AI47" s="86" t="str">
        <f aca="false">IF(ISBLANK($C47),"",IF($P47=Constants!$B$2,TRUE(),IF($P47=Constants!$B$3,FALSE(),TRUE())))</f>
        <v/>
      </c>
      <c r="AJ47" s="86" t="str">
        <f aca="false">IF(ISBLANK($C47),"",IF($Q47=Constants!$B$2,TRUE(),IF($Q47=Constants!$B$3,FALSE(),TRUE())))</f>
        <v/>
      </c>
      <c r="AK47" s="86" t="str">
        <f aca="false">IF(ISBLANK($C47),"",IF($R47=Constants!$B$2,TRUE(),IF($R47=Constants!$B$3,FALSE(),TRUE())))</f>
        <v/>
      </c>
      <c r="AL47" s="88" t="str">
        <f aca="false">IF(ISBLANK($C47),"",IF(ISNUMBER($S47),IF($S47&gt;=0,$S47,""),""))</f>
        <v/>
      </c>
      <c r="AM47" s="86" t="str">
        <f aca="false">IF(ISBLANK($C47),"",IF(ISBLANK($T47),0,IF(ISNUMBER($T47),IF(AND($T47&gt;=0,$T47&lt;=Constants!$B$17,$T47=INT($T47)),$T47,""),"")))</f>
        <v/>
      </c>
      <c r="AN47" s="87" t="str">
        <f aca="false">IF(ISBLANK($C47),"",IF(ISBLANK($U47),0,IF(ISNUMBER($U47),IF($U47&gt;=0,$U47,""),"")))</f>
        <v/>
      </c>
      <c r="AO47" s="86" t="str">
        <f aca="false">IF(ISBLANK($C47),"",IF($V47=Constants!$B$2,TRUE(),IF($V47=Constants!$B$3,FALSE(),FALSE())))</f>
        <v/>
      </c>
      <c r="AP47" s="86"/>
      <c r="AQ47" s="85" t="str">
        <f aca="false">IF(ISBLANK($C47),"",AND($Y47,OR($AS47,$BC47),OR($Z47="",$AA47="",$AB47="")))</f>
        <v/>
      </c>
      <c r="AR47" s="85" t="str">
        <f aca="false">IF(ISBLANK($C47),"",IF(OR(NOT($Y47),NOT(OR($AS47,$BC47))),"",IF(ISBLANK($D$7),$AR$5,IF($AP$9="",$AR$6,""))))</f>
        <v/>
      </c>
      <c r="AS47" s="85" t="str">
        <f aca="false">IF(ISBLANK($C47),"",COUNTA($J47:$O47)&gt;0)</f>
        <v/>
      </c>
      <c r="AT47" s="85" t="str">
        <f aca="false">IF(ISBLANK($C47),"",AND($AS47,OR(AND($AF47="",OR($AE47,NOT(ISBLANK($M47)))),$AG47="",$AH47="")))</f>
        <v/>
      </c>
      <c r="AU47" s="87" t="str">
        <f aca="false">IF($BL47&lt;&gt;Constants!$B$4,"",IF(NOT($AS47),"",ROUND((Constants!$B$12-$AB47)+(Constants!$B$13-$Z47)+(Constants!$B$14-$AA47),1)))</f>
        <v/>
      </c>
      <c r="AV47" s="90" t="str">
        <f aca="false">IF($BL47&lt;&gt;Constants!$B$4,"",IF(NOT($AS47),"",IF(NOT($AE47),0,Constants!$B$15*(INT(ROUND(MIN($AF47,$AP$9),6))-INT(ROUND(MAX(0,MIN($AF47,2*$AP$9)-$AP$9),6))))))</f>
        <v/>
      </c>
      <c r="AW47" s="90" t="str">
        <f aca="false">IF($BL47&lt;&gt;Constants!$B$4,"",IF(NOT($AS47),"",Constants!$B$16*$AG47))</f>
        <v/>
      </c>
      <c r="AX47" s="90" t="str">
        <f aca="false">IF($BL47&lt;&gt;Constants!$B$4,"",IF(NOT($AS47),"",Constants!$B$18*INT(ROUND($AH47,6))))</f>
        <v/>
      </c>
      <c r="AY47" s="85" t="str">
        <f aca="false">IF($BL47&lt;&gt;Constants!$B$4,"",IF(NOT($AS47),"",IF(NOT($X47),Constants!$B$11,IF(OR(NOT($AC47),NOT($AD47),ROUND($AB47,1)&gt;Constants!$B$12,ROUND($Z47,1)&gt;Constants!$B$13,ROUND($AA47,1)&gt;Constants!$B$14),Constants!$B$10,Constants!$B$9))))</f>
        <v/>
      </c>
      <c r="AZ47" s="91" t="str">
        <f aca="false">IF($BL47&lt;&gt;Constants!$B$4,"",IF(NOT($AS47),"",ROUND($AU47+$AV47+$AW47+$AX47,1)))</f>
        <v/>
      </c>
      <c r="BA47" s="92" t="str">
        <f aca="false">IF($BL47&lt;&gt;Constants!$B$4,"",IF(NOT($AS47),"",IF(ISNUMBER($AF47),$AF47,0)))</f>
        <v/>
      </c>
      <c r="BB47" s="86" t="str">
        <f aca="false">IF($BL47&lt;&gt;Constants!$B$4,"",IF(NOT($BC47),"&lt;-",IF(NOT($AS47),"-&gt;",IF(OR($BI47&lt;$AY47,AND($BI47=$AY47,OR($BJ47&gt;$AZ47,AND($BJ47=$AZ47,OR($BH47&gt;$AX47,AND($BH47=$AX47,OR($BE47&gt;$AU47,AND($BE47=$AU47,OR($BF47&gt;$AV47,AND($BF47=$AV47,$BK47&gt;$BA47)))))))))),"-&gt;","&lt;-"))))</f>
        <v/>
      </c>
      <c r="BC47" s="85" t="str">
        <f aca="false">IF(ISBLANK($C47),"",COUNTA($P47:$U47)&gt;0)</f>
        <v/>
      </c>
      <c r="BD47" s="85" t="str">
        <f aca="false">IF(ISBLANK($C47),"",AND($BC47,OR(AND($AL47="",OR($AK47,NOT(ISBLANK($S47)))),$AM47="",$AN47="")))</f>
        <v/>
      </c>
      <c r="BE47" s="87" t="str">
        <f aca="false">IF($BL47&lt;&gt;Constants!$B$4,"",IF(NOT($BC47),"",ROUND((Constants!$B$12-$AB47)+(Constants!$B$13-$Z47)+(Constants!$B$14-$AA47),1)))</f>
        <v/>
      </c>
      <c r="BF47" s="90" t="str">
        <f aca="false">IF($BL47&lt;&gt;Constants!$B$4,"",IF(NOT($BC47),"",IF(NOT($AK47),0,Constants!$B$15*(INT(ROUND(MIN($AL47,$AP$9),6))-INT(ROUND(MAX(0,MIN($AL47,2*$AP$9)-$AP$9),6))))))</f>
        <v/>
      </c>
      <c r="BG47" s="90" t="str">
        <f aca="false">IF($BL47&lt;&gt;Constants!$B$4,"",IF(NOT($BC47),"",Constants!$B$16*$AM47))</f>
        <v/>
      </c>
      <c r="BH47" s="90" t="str">
        <f aca="false">IF($BL47&lt;&gt;Constants!$B$4,"",IF(NOT($BC47),"",Constants!$B$18*INT(ROUND($AN47,6))))</f>
        <v/>
      </c>
      <c r="BI47" s="85" t="str">
        <f aca="false">IF($BL47&lt;&gt;Constants!$B$4,"",IF(NOT($BC47),"",IF(NOT($X47),Constants!$B$11,IF(OR(NOT($AI47),NOT($AJ47),ROUND($AB47,1)&gt;Constants!$B$12,ROUND($Z47,1)&gt;Constants!$B$13,ROUND($AA47,1)&gt;Constants!$B$14),Constants!$B$10,Constants!$B$9))))</f>
        <v/>
      </c>
      <c r="BJ47" s="91" t="str">
        <f aca="false">IF($BL47&lt;&gt;Constants!$B$4,"",IF(NOT($BC47),"",ROUND($BE47+$BF47+$BG47+$BH47,1)))</f>
        <v/>
      </c>
      <c r="BK47" s="92" t="str">
        <f aca="false">IF($BL47&lt;&gt;Constants!$B$4,"",IF(NOT($BC47),"",IF(ISNUMBER($AL47),$AL47,0)))</f>
        <v/>
      </c>
      <c r="BL47" s="86" t="str">
        <f aca="false">IF(ISBLANK($C47),"",IF($AO47,Constants!$B$7,IF(COUNTA($E47:$V47)=0,Constants!$B$6,IF(NOT($Y47),Constants!$B$5,IF(NOT(OR($AS47,$BC47)),Constants!$B$5,IF(OR($AT47,$BD47,$AQ47,$AR47&lt;&gt;""),Constants!$B$8,Constants!$B$4))))))</f>
        <v/>
      </c>
      <c r="BM47" s="86" t="str">
        <f aca="false">IF(ISBLANK($C47),"",IF($BL47&lt;&gt;Constants!$B$4,$BL47,IF($BB47="-&gt;",$BI47,$AY47)))</f>
        <v/>
      </c>
      <c r="BN47" s="90" t="str">
        <f aca="false">IF($BL47&lt;&gt;Constants!$B$4,"",IF($BB47="-&gt;",$BJ47,$AZ47))</f>
        <v/>
      </c>
      <c r="BO47" s="90" t="str">
        <f aca="false">IF(ISBLANK($C47),"",IF($BL47&lt;&gt;Constants!$B$4,$BL47,$BN47))</f>
        <v/>
      </c>
      <c r="BP47" s="86" t="str">
        <f aca="false">IF(ISBLANK($C47),"",IF($BL47&lt;&gt;Constants!$B$4,$BL47,RANK($BO47,$BO$9:$BO$508,0)))</f>
        <v/>
      </c>
      <c r="BQ47" s="86" t="str">
        <f aca="false">IF(ISBLANK($C47),"",IF($BL47&lt;&gt;Constants!$B$4,$BL47,COUNTIFS($BM$9:$BM$508,"&lt;"&amp;$BM47)+COUNTIFS($BM$9:$BM$508,$BM47,$BP$9:$BP$508,"&lt;"&amp;$BP47)+1))</f>
        <v/>
      </c>
      <c r="BR47" s="90" t="str">
        <f aca="false">IF($BL47&lt;&gt;Constants!$B$4,"",IF($BB47="-&gt;",$BH47,$AX47))</f>
        <v/>
      </c>
      <c r="BS47" s="86" t="str">
        <f aca="false">IF(ISBLANK($C47),"",IF($BL47&lt;&gt;Constants!$B$4,$BL47,IF(ISNUMBER($BR47),RANK($BR47,$BR$9:$BR$508,0),COUNT($BR$9:$BR$508)+1)))</f>
        <v/>
      </c>
      <c r="BT47" s="90" t="str">
        <f aca="false">IF($BL47&lt;&gt;Constants!$B$4,"",IF($BB47="-&gt;",$BE47,$AU47))</f>
        <v/>
      </c>
      <c r="BU47" s="86" t="str">
        <f aca="false">IF(ISBLANK($C47),"",IF($BL47&lt;&gt;Constants!$B$4,$BL47,IF(ISNUMBER($BT47),RANK($BT47,$BT$9:$BT$508,0),COUNT($BT$9:$BT$508)+1)))</f>
        <v/>
      </c>
      <c r="BV47" s="90" t="str">
        <f aca="false">IF($BL47&lt;&gt;Constants!$B$4,"",IF($BB47="-&gt;",$BF47,$AV47))</f>
        <v/>
      </c>
      <c r="BW47" s="86" t="str">
        <f aca="false">IF(ISBLANK($C47),"",IF($BL47&lt;&gt;Constants!$B$4,$BL47,IF(ISNUMBER($BV47),RANK($BV47,$BV$9:$BV$508,0),COUNT($BV$9:$BV$508)+1)))</f>
        <v/>
      </c>
      <c r="BX47" s="90" t="str">
        <f aca="false">IF($BL47&lt;&gt;Constants!$B$4,"",IF($BB47="-&gt;",$BK47,$BA47))</f>
        <v/>
      </c>
      <c r="BY47" s="86" t="str">
        <f aca="false">IF(ISBLANK($C47),"",IF($BL47&lt;&gt;Constants!$B$4,$BL47,IF(ISNUMBER($BX47),RANK($BX47,$BX$9:$BX$508,0),COUNT($BX$9:$BX$508)+1)))</f>
        <v/>
      </c>
      <c r="BZ47" s="86" t="str">
        <f aca="false">IF(ISBLANK($C47),"",IF($BL47&lt;&gt;Constants!$B$4,$BL47,COUNTIFS($BM$9:$BM$508,"&lt;"&amp;$BM47)+COUNTIFS($BM$9:$BM$508,$BM47,$BP$9:$BP$508,"&lt;"&amp;$BP47)+COUNTIFS($BM$9:$BM$508,$BM47,$BP$9:$BP$508,$BP47,$BS$9:$BS$508,"&lt;"&amp;$BS47)+COUNTIFS($BM$9:$BM$508,$BM47,$BP$9:$BP$508,$BP47,$BS$9:$BS$508,$BS47,$BU$9:$BU$508,"&lt;"&amp;$BU47)+COUNTIFS($BM$9:$BM$508,$BM47,$BP$9:$BP$508,$BP47,$BS$9:$BS$508,$BS47,$BU$9:$BU$508,$BU47,$BW$9:$BW$508,"&lt;"&amp;$BW47)+COUNTIFS($BM$9:$BM$508,$BM47,$BP$9:$BP$508,$BP47,$BS$9:$BS$508,$BS47,$BU$9:$BU$508,$BU47,$BW$9:$BW$508,$BW47,$BY$9:$BY$508,"&lt;"&amp;$BY47)+1))</f>
        <v/>
      </c>
      <c r="CA47" s="86" t="str">
        <f aca="false">IF(ISBLANK($C47),"",IF($BL47&lt;&gt;Constants!$B$4,$BL47,$BQ47-$BZ47))</f>
        <v/>
      </c>
      <c r="CB47" s="93"/>
      <c r="CC47" s="94" t="str">
        <f aca="false">IF(ISBLANK($C47),"",IF($BL47=Constants!$B$8,$AR47,""))</f>
        <v/>
      </c>
      <c r="CD47" s="94" t="str">
        <f aca="false">IF(ISBLANK($C47),"",IF($BL47&lt;&gt;Constants!$B$4,"",IF($BB47="-&gt;",2,1)))</f>
        <v/>
      </c>
      <c r="CE47" s="95" t="str">
        <f aca="false">IF(ISBLANK($C47),"",IF($BL47&lt;&gt;Constants!$B$4,"",IF($BB47="-&gt;",$BE47,$AU47)))</f>
        <v/>
      </c>
      <c r="CF47" s="95" t="str">
        <f aca="false">IF(ISBLANK($C47),"",IF($BL47&lt;&gt;Constants!$B$4,"",IF($BB47="-&gt;",$BF47,$AV47)))</f>
        <v/>
      </c>
      <c r="CG47" s="95" t="str">
        <f aca="false">IF(ISBLANK($C47),"",IF($BL47&lt;&gt;Constants!$B$4,"",IF($BB47="-&gt;",$BG47,$AW47)))</f>
        <v/>
      </c>
      <c r="CH47" s="95" t="str">
        <f aca="false">IF(ISBLANK($C47),"",IF($BL47&lt;&gt;Constants!$B$4,"",IF($BB47="-&gt;",$BH47,$AX47)))</f>
        <v/>
      </c>
      <c r="CI47" s="96" t="str">
        <f aca="false">IF(ISBLANK($C47),"",$BO47)</f>
        <v/>
      </c>
      <c r="CJ47" s="97" t="str">
        <f aca="false">IF(ISBLANK($C47),"",$BM47)</f>
        <v/>
      </c>
      <c r="CK47" s="98" t="str">
        <f aca="false">IF(ISBLANK($C47),"",$CA47)</f>
        <v/>
      </c>
      <c r="CL47" s="98" t="str">
        <f aca="false">IF(ISBLANK($C47),"",$BZ47)</f>
        <v/>
      </c>
      <c r="CM47" s="99" t="str">
        <f aca="false">IF(ISBLANK($C47),"",IF($CL47=Constants!$B$7,COUNTA($C$9:$C$508)+2,IF($CL47=Constants!$B$6,COUNTA($C$9:$C$508)+1,IF($CL47=Constants!$B$5,COUNTA($C$9:$C$508),$CL47))))</f>
        <v/>
      </c>
      <c r="CN47" s="8"/>
      <c r="CO47" s="100" t="n">
        <f aca="false">IF(OR(ISNUMBER($CL47),$CL47=Constants!$B$7,$CL47=Constants!$B$5,$CL47=Constants!$B$6),1,0)</f>
        <v>0</v>
      </c>
      <c r="CP47" s="100" t="n">
        <v>39</v>
      </c>
      <c r="CQ47" s="100" t="str">
        <f aca="false">IF(ISBLANK($C47),"",IF(ISNUMBER($CM47),$CM47+ROW($B47)/1000,""))</f>
        <v/>
      </c>
      <c r="CR47" s="100" t="str">
        <f aca="false">IF(ISNUMBER($CQ47),RANK($CQ47,$CQ$9:$CQ$508,1),"")</f>
        <v/>
      </c>
      <c r="CS47" s="100" t="str">
        <f aca="false">IF(ISBLANK($C47),"",$B47)</f>
        <v/>
      </c>
      <c r="CT47" s="100" t="str">
        <f aca="false">IF(ISBLANK($C47),"",$C47)</f>
        <v/>
      </c>
      <c r="CU47" s="100" t="str">
        <f aca="false">IF(ISBLANK($C47),"",$D47)</f>
        <v/>
      </c>
      <c r="CV47" s="101" t="str">
        <f aca="false">$CJ47</f>
        <v/>
      </c>
      <c r="CW47" s="102" t="str">
        <f aca="false">$CI47</f>
        <v/>
      </c>
      <c r="CX47" s="100" t="str">
        <f aca="false">IF(ISBLANK($C47),"",$CL47)</f>
        <v/>
      </c>
      <c r="CY47" s="103" t="str">
        <f aca="false">IF($CP47&gt;$CO$8,"",VLOOKUP($CP47,$CR$9:$CX$508,7,FALSE()))</f>
        <v/>
      </c>
      <c r="CZ47" s="104" t="str">
        <f aca="false">IF($CP47&gt;$CO$8,"",VLOOKUP($CP47,$CR$9:$CX$508,2,FALSE()))</f>
        <v/>
      </c>
      <c r="DA47" s="104" t="str">
        <f aca="false">IF($CP47&gt;$CO$8,"",VLOOKUP($CP47,$CR$9:$CX$508,3,FALSE()))</f>
        <v/>
      </c>
      <c r="DB47" s="104" t="str">
        <f aca="false">IF($CP47&gt;$CO$8,"",VLOOKUP($CP47,$CR$9:$CX$508,4,FALSE()))</f>
        <v/>
      </c>
      <c r="DC47" s="104" t="str">
        <f aca="false">IF($CP47&gt;$CO$8,"",VLOOKUP($CP47,$CR$9:$CX$508,5,FALSE()))</f>
        <v/>
      </c>
      <c r="DD47" s="105" t="str">
        <f aca="false">IF($CP47&gt;$CO$8,"",VLOOKUP($CP47,$CR$9:$CX$508,6,FALSE()))</f>
        <v/>
      </c>
      <c r="DE47" s="70"/>
    </row>
    <row r="48" customFormat="false" ht="15.75" hidden="false" customHeight="false" outlineLevel="0" collapsed="false">
      <c r="A48" s="8"/>
      <c r="B48" s="146"/>
      <c r="C48" s="147"/>
      <c r="D48" s="148"/>
      <c r="E48" s="164"/>
      <c r="F48" s="150"/>
      <c r="G48" s="115"/>
      <c r="H48" s="115"/>
      <c r="I48" s="115"/>
      <c r="J48" s="165"/>
      <c r="K48" s="154"/>
      <c r="L48" s="154"/>
      <c r="M48" s="118"/>
      <c r="N48" s="154"/>
      <c r="O48" s="153"/>
      <c r="P48" s="154"/>
      <c r="Q48" s="154"/>
      <c r="R48" s="154"/>
      <c r="S48" s="115"/>
      <c r="T48" s="154"/>
      <c r="U48" s="153"/>
      <c r="V48" s="154"/>
      <c r="W48" s="123"/>
      <c r="X48" s="124" t="str">
        <f aca="false">IF(ISBLANK($C48),"",IF($E48=Constants!$B$2,TRUE(),IF($E48=Constants!$B$3,FALSE(),TRUE())))</f>
        <v/>
      </c>
      <c r="Y48" s="124" t="str">
        <f aca="false">IF(ISBLANK($C48),"",IF($F48=Constants!$B$2,TRUE(),IF($F48=Constants!$B$3,FALSE(),TRUE())))</f>
        <v/>
      </c>
      <c r="Z48" s="125" t="str">
        <f aca="false">IF(ISBLANK($C48),"",IF(ISNUMBER($G48),IF($G48&gt;=0,$G48,""),""))</f>
        <v/>
      </c>
      <c r="AA48" s="125" t="str">
        <f aca="false">IF(ISBLANK($C48),"",IF(ISNUMBER($H48),IF($H48&gt;=0,$H48,""),""))</f>
        <v/>
      </c>
      <c r="AB48" s="125" t="str">
        <f aca="false">IF(ISBLANK($C48),"",IF(ISNUMBER($I48),IF($I48&gt;=0,$I48,""),""))</f>
        <v/>
      </c>
      <c r="AC48" s="124" t="str">
        <f aca="false">IF(ISBLANK($C48),"",IF($J48=Constants!$B$2,TRUE(),IF($J48=Constants!$B$3,FALSE(),TRUE())))</f>
        <v/>
      </c>
      <c r="AD48" s="124" t="str">
        <f aca="false">IF(ISBLANK($C48),"",IF($K48=Constants!$B$2,TRUE(),IF($K48=Constants!$B$3,FALSE(),TRUE())))</f>
        <v/>
      </c>
      <c r="AE48" s="124" t="str">
        <f aca="false">IF(ISBLANK($C48),"",IF($L48=Constants!$B$2,TRUE(),IF($L48=Constants!$B$3,FALSE(),TRUE())))</f>
        <v/>
      </c>
      <c r="AF48" s="126" t="str">
        <f aca="false">IF(ISBLANK($C48),"",IF(ISNUMBER($M48),IF($M48&gt;=0,$M48,""),""))</f>
        <v/>
      </c>
      <c r="AG48" s="124" t="str">
        <f aca="false">IF(ISBLANK($C48),"",IF(ISBLANK($N48),0,IF(ISNUMBER($N48),IF(AND($N48&gt;=0,$N48&lt;=Constants!$B$17,$N48=INT($N48)),$N48,""),"")))</f>
        <v/>
      </c>
      <c r="AH48" s="125" t="str">
        <f aca="false">IF(ISBLANK($C48),"",IF(ISBLANK($O48),0,IF(ISNUMBER($O48),IF($O48&gt;=0,$O48,""),"")))</f>
        <v/>
      </c>
      <c r="AI48" s="124" t="str">
        <f aca="false">IF(ISBLANK($C48),"",IF($P48=Constants!$B$2,TRUE(),IF($P48=Constants!$B$3,FALSE(),TRUE())))</f>
        <v/>
      </c>
      <c r="AJ48" s="124" t="str">
        <f aca="false">IF(ISBLANK($C48),"",IF($Q48=Constants!$B$2,TRUE(),IF($Q48=Constants!$B$3,FALSE(),TRUE())))</f>
        <v/>
      </c>
      <c r="AK48" s="124" t="str">
        <f aca="false">IF(ISBLANK($C48),"",IF($R48=Constants!$B$2,TRUE(),IF($R48=Constants!$B$3,FALSE(),TRUE())))</f>
        <v/>
      </c>
      <c r="AL48" s="126" t="str">
        <f aca="false">IF(ISBLANK($C48),"",IF(ISNUMBER($S48),IF($S48&gt;=0,$S48,""),""))</f>
        <v/>
      </c>
      <c r="AM48" s="124" t="str">
        <f aca="false">IF(ISBLANK($C48),"",IF(ISBLANK($T48),0,IF(ISNUMBER($T48),IF(AND($T48&gt;=0,$T48&lt;=Constants!$B$17,$T48=INT($T48)),$T48,""),"")))</f>
        <v/>
      </c>
      <c r="AN48" s="125" t="str">
        <f aca="false">IF(ISBLANK($C48),"",IF(ISBLANK($U48),0,IF(ISNUMBER($U48),IF($U48&gt;=0,$U48,""),"")))</f>
        <v/>
      </c>
      <c r="AO48" s="124" t="str">
        <f aca="false">IF(ISBLANK($C48),"",IF($V48=Constants!$B$2,TRUE(),IF($V48=Constants!$B$3,FALSE(),FALSE())))</f>
        <v/>
      </c>
      <c r="AP48" s="124"/>
      <c r="AQ48" s="123" t="str">
        <f aca="false">IF(ISBLANK($C48),"",AND($Y48,OR($AS48,$BC48),OR($Z48="",$AA48="",$AB48="")))</f>
        <v/>
      </c>
      <c r="AR48" s="123" t="str">
        <f aca="false">IF(ISBLANK($C48),"",IF(OR(NOT($Y48),NOT(OR($AS48,$BC48))),"",IF(ISBLANK($D$7),$AR$5,IF($AP$9="",$AR$6,""))))</f>
        <v/>
      </c>
      <c r="AS48" s="123" t="str">
        <f aca="false">IF(ISBLANK($C48),"",COUNTA($J48:$O48)&gt;0)</f>
        <v/>
      </c>
      <c r="AT48" s="123" t="str">
        <f aca="false">IF(ISBLANK($C48),"",AND($AS48,OR(AND($AF48="",OR($AE48,NOT(ISBLANK($M48)))),$AG48="",$AH48="")))</f>
        <v/>
      </c>
      <c r="AU48" s="125" t="str">
        <f aca="false">IF($BL48&lt;&gt;Constants!$B$4,"",IF(NOT($AS48),"",ROUND((Constants!$B$12-$AB48)+(Constants!$B$13-$Z48)+(Constants!$B$14-$AA48),1)))</f>
        <v/>
      </c>
      <c r="AV48" s="127" t="str">
        <f aca="false">IF($BL48&lt;&gt;Constants!$B$4,"",IF(NOT($AS48),"",IF(NOT($AE48),0,Constants!$B$15*(INT(ROUND(MIN($AF48,$AP$9),6))-INT(ROUND(MAX(0,MIN($AF48,2*$AP$9)-$AP$9),6))))))</f>
        <v/>
      </c>
      <c r="AW48" s="127" t="str">
        <f aca="false">IF($BL48&lt;&gt;Constants!$B$4,"",IF(NOT($AS48),"",Constants!$B$16*$AG48))</f>
        <v/>
      </c>
      <c r="AX48" s="127" t="str">
        <f aca="false">IF($BL48&lt;&gt;Constants!$B$4,"",IF(NOT($AS48),"",Constants!$B$18*INT(ROUND($AH48,6))))</f>
        <v/>
      </c>
      <c r="AY48" s="123" t="str">
        <f aca="false">IF($BL48&lt;&gt;Constants!$B$4,"",IF(NOT($AS48),"",IF(NOT($X48),Constants!$B$11,IF(OR(NOT($AC48),NOT($AD48),ROUND($AB48,1)&gt;Constants!$B$12,ROUND($Z48,1)&gt;Constants!$B$13,ROUND($AA48,1)&gt;Constants!$B$14),Constants!$B$10,Constants!$B$9))))</f>
        <v/>
      </c>
      <c r="AZ48" s="128" t="str">
        <f aca="false">IF($BL48&lt;&gt;Constants!$B$4,"",IF(NOT($AS48),"",ROUND($AU48+$AV48+$AW48+$AX48,1)))</f>
        <v/>
      </c>
      <c r="BA48" s="129" t="str">
        <f aca="false">IF($BL48&lt;&gt;Constants!$B$4,"",IF(NOT($AS48),"",IF(ISNUMBER($AF48),$AF48,0)))</f>
        <v/>
      </c>
      <c r="BB48" s="124" t="str">
        <f aca="false">IF($BL48&lt;&gt;Constants!$B$4,"",IF(NOT($BC48),"&lt;-",IF(NOT($AS48),"-&gt;",IF(OR($BI48&lt;$AY48,AND($BI48=$AY48,OR($BJ48&gt;$AZ48,AND($BJ48=$AZ48,OR($BH48&gt;$AX48,AND($BH48=$AX48,OR($BE48&gt;$AU48,AND($BE48=$AU48,OR($BF48&gt;$AV48,AND($BF48=$AV48,$BK48&gt;$BA48)))))))))),"-&gt;","&lt;-"))))</f>
        <v/>
      </c>
      <c r="BC48" s="123" t="str">
        <f aca="false">IF(ISBLANK($C48),"",COUNTA($P48:$U48)&gt;0)</f>
        <v/>
      </c>
      <c r="BD48" s="123" t="str">
        <f aca="false">IF(ISBLANK($C48),"",AND($BC48,OR(AND($AL48="",OR($AK48,NOT(ISBLANK($S48)))),$AM48="",$AN48="")))</f>
        <v/>
      </c>
      <c r="BE48" s="125" t="str">
        <f aca="false">IF($BL48&lt;&gt;Constants!$B$4,"",IF(NOT($BC48),"",ROUND((Constants!$B$12-$AB48)+(Constants!$B$13-$Z48)+(Constants!$B$14-$AA48),1)))</f>
        <v/>
      </c>
      <c r="BF48" s="127" t="str">
        <f aca="false">IF($BL48&lt;&gt;Constants!$B$4,"",IF(NOT($BC48),"",IF(NOT($AK48),0,Constants!$B$15*(INT(ROUND(MIN($AL48,$AP$9),6))-INT(ROUND(MAX(0,MIN($AL48,2*$AP$9)-$AP$9),6))))))</f>
        <v/>
      </c>
      <c r="BG48" s="127" t="str">
        <f aca="false">IF($BL48&lt;&gt;Constants!$B$4,"",IF(NOT($BC48),"",Constants!$B$16*$AM48))</f>
        <v/>
      </c>
      <c r="BH48" s="127" t="str">
        <f aca="false">IF($BL48&lt;&gt;Constants!$B$4,"",IF(NOT($BC48),"",Constants!$B$18*INT(ROUND($AN48,6))))</f>
        <v/>
      </c>
      <c r="BI48" s="123" t="str">
        <f aca="false">IF($BL48&lt;&gt;Constants!$B$4,"",IF(NOT($BC48),"",IF(NOT($X48),Constants!$B$11,IF(OR(NOT($AI48),NOT($AJ48),ROUND($AB48,1)&gt;Constants!$B$12,ROUND($Z48,1)&gt;Constants!$B$13,ROUND($AA48,1)&gt;Constants!$B$14),Constants!$B$10,Constants!$B$9))))</f>
        <v/>
      </c>
      <c r="BJ48" s="128" t="str">
        <f aca="false">IF($BL48&lt;&gt;Constants!$B$4,"",IF(NOT($BC48),"",ROUND($BE48+$BF48+$BG48+$BH48,1)))</f>
        <v/>
      </c>
      <c r="BK48" s="129" t="str">
        <f aca="false">IF($BL48&lt;&gt;Constants!$B$4,"",IF(NOT($BC48),"",IF(ISNUMBER($AL48),$AL48,0)))</f>
        <v/>
      </c>
      <c r="BL48" s="124" t="str">
        <f aca="false">IF(ISBLANK($C48),"",IF($AO48,Constants!$B$7,IF(COUNTA($E48:$V48)=0,Constants!$B$6,IF(NOT($Y48),Constants!$B$5,IF(NOT(OR($AS48,$BC48)),Constants!$B$5,IF(OR($AT48,$BD48,$AQ48,$AR48&lt;&gt;""),Constants!$B$8,Constants!$B$4))))))</f>
        <v/>
      </c>
      <c r="BM48" s="124" t="str">
        <f aca="false">IF(ISBLANK($C48),"",IF($BL48&lt;&gt;Constants!$B$4,$BL48,IF($BB48="-&gt;",$BI48,$AY48)))</f>
        <v/>
      </c>
      <c r="BN48" s="127" t="str">
        <f aca="false">IF($BL48&lt;&gt;Constants!$B$4,"",IF($BB48="-&gt;",$BJ48,$AZ48))</f>
        <v/>
      </c>
      <c r="BO48" s="127" t="str">
        <f aca="false">IF(ISBLANK($C48),"",IF($BL48&lt;&gt;Constants!$B$4,$BL48,$BN48))</f>
        <v/>
      </c>
      <c r="BP48" s="124" t="str">
        <f aca="false">IF(ISBLANK($C48),"",IF($BL48&lt;&gt;Constants!$B$4,$BL48,RANK($BO48,$BO$9:$BO$508,0)))</f>
        <v/>
      </c>
      <c r="BQ48" s="124" t="str">
        <f aca="false">IF(ISBLANK($C48),"",IF($BL48&lt;&gt;Constants!$B$4,$BL48,COUNTIFS($BM$9:$BM$508,"&lt;"&amp;$BM48)+COUNTIFS($BM$9:$BM$508,$BM48,$BP$9:$BP$508,"&lt;"&amp;$BP48)+1))</f>
        <v/>
      </c>
      <c r="BR48" s="127" t="str">
        <f aca="false">IF($BL48&lt;&gt;Constants!$B$4,"",IF($BB48="-&gt;",$BH48,$AX48))</f>
        <v/>
      </c>
      <c r="BS48" s="124" t="str">
        <f aca="false">IF(ISBLANK($C48),"",IF($BL48&lt;&gt;Constants!$B$4,$BL48,IF(ISNUMBER($BR48),RANK($BR48,$BR$9:$BR$508,0),COUNT($BR$9:$BR$508)+1)))</f>
        <v/>
      </c>
      <c r="BT48" s="127" t="str">
        <f aca="false">IF($BL48&lt;&gt;Constants!$B$4,"",IF($BB48="-&gt;",$BE48,$AU48))</f>
        <v/>
      </c>
      <c r="BU48" s="124" t="str">
        <f aca="false">IF(ISBLANK($C48),"",IF($BL48&lt;&gt;Constants!$B$4,$BL48,IF(ISNUMBER($BT48),RANK($BT48,$BT$9:$BT$508,0),COUNT($BT$9:$BT$508)+1)))</f>
        <v/>
      </c>
      <c r="BV48" s="127" t="str">
        <f aca="false">IF($BL48&lt;&gt;Constants!$B$4,"",IF($BB48="-&gt;",$BF48,$AV48))</f>
        <v/>
      </c>
      <c r="BW48" s="124" t="str">
        <f aca="false">IF(ISBLANK($C48),"",IF($BL48&lt;&gt;Constants!$B$4,$BL48,IF(ISNUMBER($BV48),RANK($BV48,$BV$9:$BV$508,0),COUNT($BV$9:$BV$508)+1)))</f>
        <v/>
      </c>
      <c r="BX48" s="127" t="str">
        <f aca="false">IF($BL48&lt;&gt;Constants!$B$4,"",IF($BB48="-&gt;",$BK48,$BA48))</f>
        <v/>
      </c>
      <c r="BY48" s="124" t="str">
        <f aca="false">IF(ISBLANK($C48),"",IF($BL48&lt;&gt;Constants!$B$4,$BL48,IF(ISNUMBER($BX48),RANK($BX48,$BX$9:$BX$508,0),COUNT($BX$9:$BX$508)+1)))</f>
        <v/>
      </c>
      <c r="BZ48" s="124" t="str">
        <f aca="false">IF(ISBLANK($C48),"",IF($BL48&lt;&gt;Constants!$B$4,$BL48,COUNTIFS($BM$9:$BM$508,"&lt;"&amp;$BM48)+COUNTIFS($BM$9:$BM$508,$BM48,$BP$9:$BP$508,"&lt;"&amp;$BP48)+COUNTIFS($BM$9:$BM$508,$BM48,$BP$9:$BP$508,$BP48,$BS$9:$BS$508,"&lt;"&amp;$BS48)+COUNTIFS($BM$9:$BM$508,$BM48,$BP$9:$BP$508,$BP48,$BS$9:$BS$508,$BS48,$BU$9:$BU$508,"&lt;"&amp;$BU48)+COUNTIFS($BM$9:$BM$508,$BM48,$BP$9:$BP$508,$BP48,$BS$9:$BS$508,$BS48,$BU$9:$BU$508,$BU48,$BW$9:$BW$508,"&lt;"&amp;$BW48)+COUNTIFS($BM$9:$BM$508,$BM48,$BP$9:$BP$508,$BP48,$BS$9:$BS$508,$BS48,$BU$9:$BU$508,$BU48,$BW$9:$BW$508,$BW48,$BY$9:$BY$508,"&lt;"&amp;$BY48)+1))</f>
        <v/>
      </c>
      <c r="CA48" s="124" t="str">
        <f aca="false">IF(ISBLANK($C48),"",IF($BL48&lt;&gt;Constants!$B$4,$BL48,$BQ48-$BZ48))</f>
        <v/>
      </c>
      <c r="CB48" s="130"/>
      <c r="CC48" s="131" t="str">
        <f aca="false">IF(ISBLANK($C48),"",IF($BL48=Constants!$B$8,$AR48,""))</f>
        <v/>
      </c>
      <c r="CD48" s="131" t="str">
        <f aca="false">IF(ISBLANK($C48),"",IF($BL48&lt;&gt;Constants!$B$4,"",IF($BB48="-&gt;",2,1)))</f>
        <v/>
      </c>
      <c r="CE48" s="132" t="str">
        <f aca="false">IF(ISBLANK($C48),"",IF($BL48&lt;&gt;Constants!$B$4,"",IF($BB48="-&gt;",$BE48,$AU48)))</f>
        <v/>
      </c>
      <c r="CF48" s="132" t="str">
        <f aca="false">IF(ISBLANK($C48),"",IF($BL48&lt;&gt;Constants!$B$4,"",IF($BB48="-&gt;",$BF48,$AV48)))</f>
        <v/>
      </c>
      <c r="CG48" s="132" t="str">
        <f aca="false">IF(ISBLANK($C48),"",IF($BL48&lt;&gt;Constants!$B$4,"",IF($BB48="-&gt;",$BG48,$AW48)))</f>
        <v/>
      </c>
      <c r="CH48" s="132" t="str">
        <f aca="false">IF(ISBLANK($C48),"",IF($BL48&lt;&gt;Constants!$B$4,"",IF($BB48="-&gt;",$BH48,$AX48)))</f>
        <v/>
      </c>
      <c r="CI48" s="133" t="str">
        <f aca="false">IF(ISBLANK($C48),"",$BO48)</f>
        <v/>
      </c>
      <c r="CJ48" s="134" t="str">
        <f aca="false">IF(ISBLANK($C48),"",$BM48)</f>
        <v/>
      </c>
      <c r="CK48" s="135" t="str">
        <f aca="false">IF(ISBLANK($C48),"",$CA48)</f>
        <v/>
      </c>
      <c r="CL48" s="135" t="str">
        <f aca="false">IF(ISBLANK($C48),"",$BZ48)</f>
        <v/>
      </c>
      <c r="CM48" s="136" t="str">
        <f aca="false">IF(ISBLANK($C48),"",IF($CL48=Constants!$B$7,COUNTA($C$9:$C$508)+2,IF($CL48=Constants!$B$6,COUNTA($C$9:$C$508)+1,IF($CL48=Constants!$B$5,COUNTA($C$9:$C$508),$CL48))))</f>
        <v/>
      </c>
      <c r="CN48" s="8"/>
      <c r="CO48" s="137" t="n">
        <f aca="false">IF(OR(ISNUMBER($CL48),$CL48=Constants!$B$7,$CL48=Constants!$B$5,$CL48=Constants!$B$6),1,0)</f>
        <v>0</v>
      </c>
      <c r="CP48" s="137" t="n">
        <v>40</v>
      </c>
      <c r="CQ48" s="137" t="str">
        <f aca="false">IF(ISBLANK($C48),"",IF(ISNUMBER($CM48),$CM48+ROW($B48)/1000,""))</f>
        <v/>
      </c>
      <c r="CR48" s="137" t="str">
        <f aca="false">IF(ISNUMBER($CQ48),RANK($CQ48,$CQ$9:$CQ$508,1),"")</f>
        <v/>
      </c>
      <c r="CS48" s="137" t="str">
        <f aca="false">IF(ISBLANK($C48),"",$B48)</f>
        <v/>
      </c>
      <c r="CT48" s="137" t="str">
        <f aca="false">IF(ISBLANK($C48),"",$C48)</f>
        <v/>
      </c>
      <c r="CU48" s="137" t="str">
        <f aca="false">IF(ISBLANK($C48),"",$D48)</f>
        <v/>
      </c>
      <c r="CV48" s="138" t="str">
        <f aca="false">$CJ48</f>
        <v/>
      </c>
      <c r="CW48" s="139" t="str">
        <f aca="false">$CI48</f>
        <v/>
      </c>
      <c r="CX48" s="137" t="str">
        <f aca="false">IF(ISBLANK($C48),"",$CL48)</f>
        <v/>
      </c>
      <c r="CY48" s="140" t="str">
        <f aca="false">IF($CP48&gt;$CO$8,"",VLOOKUP($CP48,$CR$9:$CX$508,7,FALSE()))</f>
        <v/>
      </c>
      <c r="CZ48" s="141" t="str">
        <f aca="false">IF($CP48&gt;$CO$8,"",VLOOKUP($CP48,$CR$9:$CX$508,2,FALSE()))</f>
        <v/>
      </c>
      <c r="DA48" s="141" t="str">
        <f aca="false">IF($CP48&gt;$CO$8,"",VLOOKUP($CP48,$CR$9:$CX$508,3,FALSE()))</f>
        <v/>
      </c>
      <c r="DB48" s="141" t="str">
        <f aca="false">IF($CP48&gt;$CO$8,"",VLOOKUP($CP48,$CR$9:$CX$508,4,FALSE()))</f>
        <v/>
      </c>
      <c r="DC48" s="141" t="str">
        <f aca="false">IF($CP48&gt;$CO$8,"",VLOOKUP($CP48,$CR$9:$CX$508,5,FALSE()))</f>
        <v/>
      </c>
      <c r="DD48" s="142" t="str">
        <f aca="false">IF($CP48&gt;$CO$8,"",VLOOKUP($CP48,$CR$9:$CX$508,6,FALSE()))</f>
        <v/>
      </c>
      <c r="DE48" s="70"/>
    </row>
    <row r="49" customFormat="false" ht="15.75" hidden="false" customHeight="false" outlineLevel="0" collapsed="false">
      <c r="A49" s="8"/>
      <c r="B49" s="146"/>
      <c r="C49" s="147"/>
      <c r="D49" s="148"/>
      <c r="E49" s="164"/>
      <c r="F49" s="150"/>
      <c r="G49" s="115"/>
      <c r="H49" s="115"/>
      <c r="I49" s="115"/>
      <c r="J49" s="165"/>
      <c r="K49" s="154"/>
      <c r="L49" s="154"/>
      <c r="M49" s="118"/>
      <c r="N49" s="154"/>
      <c r="O49" s="153"/>
      <c r="P49" s="154"/>
      <c r="Q49" s="154"/>
      <c r="R49" s="154"/>
      <c r="S49" s="115"/>
      <c r="T49" s="154"/>
      <c r="U49" s="153"/>
      <c r="V49" s="154"/>
      <c r="W49" s="123"/>
      <c r="X49" s="124" t="str">
        <f aca="false">IF(ISBLANK($C49),"",IF($E49=Constants!$B$2,TRUE(),IF($E49=Constants!$B$3,FALSE(),TRUE())))</f>
        <v/>
      </c>
      <c r="Y49" s="124" t="str">
        <f aca="false">IF(ISBLANK($C49),"",IF($F49=Constants!$B$2,TRUE(),IF($F49=Constants!$B$3,FALSE(),TRUE())))</f>
        <v/>
      </c>
      <c r="Z49" s="125" t="str">
        <f aca="false">IF(ISBLANK($C49),"",IF(ISNUMBER($G49),IF($G49&gt;=0,$G49,""),""))</f>
        <v/>
      </c>
      <c r="AA49" s="125" t="str">
        <f aca="false">IF(ISBLANK($C49),"",IF(ISNUMBER($H49),IF($H49&gt;=0,$H49,""),""))</f>
        <v/>
      </c>
      <c r="AB49" s="125" t="str">
        <f aca="false">IF(ISBLANK($C49),"",IF(ISNUMBER($I49),IF($I49&gt;=0,$I49,""),""))</f>
        <v/>
      </c>
      <c r="AC49" s="124" t="str">
        <f aca="false">IF(ISBLANK($C49),"",IF($J49=Constants!$B$2,TRUE(),IF($J49=Constants!$B$3,FALSE(),TRUE())))</f>
        <v/>
      </c>
      <c r="AD49" s="124" t="str">
        <f aca="false">IF(ISBLANK($C49),"",IF($K49=Constants!$B$2,TRUE(),IF($K49=Constants!$B$3,FALSE(),TRUE())))</f>
        <v/>
      </c>
      <c r="AE49" s="124" t="str">
        <f aca="false">IF(ISBLANK($C49),"",IF($L49=Constants!$B$2,TRUE(),IF($L49=Constants!$B$3,FALSE(),TRUE())))</f>
        <v/>
      </c>
      <c r="AF49" s="126" t="str">
        <f aca="false">IF(ISBLANK($C49),"",IF(ISNUMBER($M49),IF($M49&gt;=0,$M49,""),""))</f>
        <v/>
      </c>
      <c r="AG49" s="124" t="str">
        <f aca="false">IF(ISBLANK($C49),"",IF(ISBLANK($N49),0,IF(ISNUMBER($N49),IF(AND($N49&gt;=0,$N49&lt;=Constants!$B$17,$N49=INT($N49)),$N49,""),"")))</f>
        <v/>
      </c>
      <c r="AH49" s="125" t="str">
        <f aca="false">IF(ISBLANK($C49),"",IF(ISBLANK($O49),0,IF(ISNUMBER($O49),IF($O49&gt;=0,$O49,""),"")))</f>
        <v/>
      </c>
      <c r="AI49" s="124" t="str">
        <f aca="false">IF(ISBLANK($C49),"",IF($P49=Constants!$B$2,TRUE(),IF($P49=Constants!$B$3,FALSE(),TRUE())))</f>
        <v/>
      </c>
      <c r="AJ49" s="124" t="str">
        <f aca="false">IF(ISBLANK($C49),"",IF($Q49=Constants!$B$2,TRUE(),IF($Q49=Constants!$B$3,FALSE(),TRUE())))</f>
        <v/>
      </c>
      <c r="AK49" s="124" t="str">
        <f aca="false">IF(ISBLANK($C49),"",IF($R49=Constants!$B$2,TRUE(),IF($R49=Constants!$B$3,FALSE(),TRUE())))</f>
        <v/>
      </c>
      <c r="AL49" s="126" t="str">
        <f aca="false">IF(ISBLANK($C49),"",IF(ISNUMBER($S49),IF($S49&gt;=0,$S49,""),""))</f>
        <v/>
      </c>
      <c r="AM49" s="124" t="str">
        <f aca="false">IF(ISBLANK($C49),"",IF(ISBLANK($T49),0,IF(ISNUMBER($T49),IF(AND($T49&gt;=0,$T49&lt;=Constants!$B$17,$T49=INT($T49)),$T49,""),"")))</f>
        <v/>
      </c>
      <c r="AN49" s="125" t="str">
        <f aca="false">IF(ISBLANK($C49),"",IF(ISBLANK($U49),0,IF(ISNUMBER($U49),IF($U49&gt;=0,$U49,""),"")))</f>
        <v/>
      </c>
      <c r="AO49" s="124" t="str">
        <f aca="false">IF(ISBLANK($C49),"",IF($V49=Constants!$B$2,TRUE(),IF($V49=Constants!$B$3,FALSE(),FALSE())))</f>
        <v/>
      </c>
      <c r="AP49" s="124"/>
      <c r="AQ49" s="123" t="str">
        <f aca="false">IF(ISBLANK($C49),"",AND($Y49,OR($AS49,$BC49),OR($Z49="",$AA49="",$AB49="")))</f>
        <v/>
      </c>
      <c r="AR49" s="123" t="str">
        <f aca="false">IF(ISBLANK($C49),"",IF(OR(NOT($Y49),NOT(OR($AS49,$BC49))),"",IF(ISBLANK($D$7),$AR$5,IF($AP$9="",$AR$6,""))))</f>
        <v/>
      </c>
      <c r="AS49" s="123" t="str">
        <f aca="false">IF(ISBLANK($C49),"",COUNTA($J49:$O49)&gt;0)</f>
        <v/>
      </c>
      <c r="AT49" s="123" t="str">
        <f aca="false">IF(ISBLANK($C49),"",AND($AS49,OR(AND($AF49="",OR($AE49,NOT(ISBLANK($M49)))),$AG49="",$AH49="")))</f>
        <v/>
      </c>
      <c r="AU49" s="125" t="str">
        <f aca="false">IF($BL49&lt;&gt;Constants!$B$4,"",IF(NOT($AS49),"",ROUND((Constants!$B$12-$AB49)+(Constants!$B$13-$Z49)+(Constants!$B$14-$AA49),1)))</f>
        <v/>
      </c>
      <c r="AV49" s="127" t="str">
        <f aca="false">IF($BL49&lt;&gt;Constants!$B$4,"",IF(NOT($AS49),"",IF(NOT($AE49),0,Constants!$B$15*(INT(ROUND(MIN($AF49,$AP$9),6))-INT(ROUND(MAX(0,MIN($AF49,2*$AP$9)-$AP$9),6))))))</f>
        <v/>
      </c>
      <c r="AW49" s="127" t="str">
        <f aca="false">IF($BL49&lt;&gt;Constants!$B$4,"",IF(NOT($AS49),"",Constants!$B$16*$AG49))</f>
        <v/>
      </c>
      <c r="AX49" s="127" t="str">
        <f aca="false">IF($BL49&lt;&gt;Constants!$B$4,"",IF(NOT($AS49),"",Constants!$B$18*INT(ROUND($AH49,6))))</f>
        <v/>
      </c>
      <c r="AY49" s="123" t="str">
        <f aca="false">IF($BL49&lt;&gt;Constants!$B$4,"",IF(NOT($AS49),"",IF(NOT($X49),Constants!$B$11,IF(OR(NOT($AC49),NOT($AD49),ROUND($AB49,1)&gt;Constants!$B$12,ROUND($Z49,1)&gt;Constants!$B$13,ROUND($AA49,1)&gt;Constants!$B$14),Constants!$B$10,Constants!$B$9))))</f>
        <v/>
      </c>
      <c r="AZ49" s="128" t="str">
        <f aca="false">IF($BL49&lt;&gt;Constants!$B$4,"",IF(NOT($AS49),"",ROUND($AU49+$AV49+$AW49+$AX49,1)))</f>
        <v/>
      </c>
      <c r="BA49" s="129" t="str">
        <f aca="false">IF($BL49&lt;&gt;Constants!$B$4,"",IF(NOT($AS49),"",IF(ISNUMBER($AF49),$AF49,0)))</f>
        <v/>
      </c>
      <c r="BB49" s="124" t="str">
        <f aca="false">IF($BL49&lt;&gt;Constants!$B$4,"",IF(NOT($BC49),"&lt;-",IF(NOT($AS49),"-&gt;",IF(OR($BI49&lt;$AY49,AND($BI49=$AY49,OR($BJ49&gt;$AZ49,AND($BJ49=$AZ49,OR($BH49&gt;$AX49,AND($BH49=$AX49,OR($BE49&gt;$AU49,AND($BE49=$AU49,OR($BF49&gt;$AV49,AND($BF49=$AV49,$BK49&gt;$BA49)))))))))),"-&gt;","&lt;-"))))</f>
        <v/>
      </c>
      <c r="BC49" s="123" t="str">
        <f aca="false">IF(ISBLANK($C49),"",COUNTA($P49:$U49)&gt;0)</f>
        <v/>
      </c>
      <c r="BD49" s="123" t="str">
        <f aca="false">IF(ISBLANK($C49),"",AND($BC49,OR(AND($AL49="",OR($AK49,NOT(ISBLANK($S49)))),$AM49="",$AN49="")))</f>
        <v/>
      </c>
      <c r="BE49" s="125" t="str">
        <f aca="false">IF($BL49&lt;&gt;Constants!$B$4,"",IF(NOT($BC49),"",ROUND((Constants!$B$12-$AB49)+(Constants!$B$13-$Z49)+(Constants!$B$14-$AA49),1)))</f>
        <v/>
      </c>
      <c r="BF49" s="127" t="str">
        <f aca="false">IF($BL49&lt;&gt;Constants!$B$4,"",IF(NOT($BC49),"",IF(NOT($AK49),0,Constants!$B$15*(INT(ROUND(MIN($AL49,$AP$9),6))-INT(ROUND(MAX(0,MIN($AL49,2*$AP$9)-$AP$9),6))))))</f>
        <v/>
      </c>
      <c r="BG49" s="127" t="str">
        <f aca="false">IF($BL49&lt;&gt;Constants!$B$4,"",IF(NOT($BC49),"",Constants!$B$16*$AM49))</f>
        <v/>
      </c>
      <c r="BH49" s="127" t="str">
        <f aca="false">IF($BL49&lt;&gt;Constants!$B$4,"",IF(NOT($BC49),"",Constants!$B$18*INT(ROUND($AN49,6))))</f>
        <v/>
      </c>
      <c r="BI49" s="123" t="str">
        <f aca="false">IF($BL49&lt;&gt;Constants!$B$4,"",IF(NOT($BC49),"",IF(NOT($X49),Constants!$B$11,IF(OR(NOT($AI49),NOT($AJ49),ROUND($AB49,1)&gt;Constants!$B$12,ROUND($Z49,1)&gt;Constants!$B$13,ROUND($AA49,1)&gt;Constants!$B$14),Constants!$B$10,Constants!$B$9))))</f>
        <v/>
      </c>
      <c r="BJ49" s="128" t="str">
        <f aca="false">IF($BL49&lt;&gt;Constants!$B$4,"",IF(NOT($BC49),"",ROUND($BE49+$BF49+$BG49+$BH49,1)))</f>
        <v/>
      </c>
      <c r="BK49" s="129" t="str">
        <f aca="false">IF($BL49&lt;&gt;Constants!$B$4,"",IF(NOT($BC49),"",IF(ISNUMBER($AL49),$AL49,0)))</f>
        <v/>
      </c>
      <c r="BL49" s="124" t="str">
        <f aca="false">IF(ISBLANK($C49),"",IF($AO49,Constants!$B$7,IF(COUNTA($E49:$V49)=0,Constants!$B$6,IF(NOT($Y49),Constants!$B$5,IF(NOT(OR($AS49,$BC49)),Constants!$B$5,IF(OR($AT49,$BD49,$AQ49,$AR49&lt;&gt;""),Constants!$B$8,Constants!$B$4))))))</f>
        <v/>
      </c>
      <c r="BM49" s="124" t="str">
        <f aca="false">IF(ISBLANK($C49),"",IF($BL49&lt;&gt;Constants!$B$4,$BL49,IF($BB49="-&gt;",$BI49,$AY49)))</f>
        <v/>
      </c>
      <c r="BN49" s="127" t="str">
        <f aca="false">IF($BL49&lt;&gt;Constants!$B$4,"",IF($BB49="-&gt;",$BJ49,$AZ49))</f>
        <v/>
      </c>
      <c r="BO49" s="127" t="str">
        <f aca="false">IF(ISBLANK($C49),"",IF($BL49&lt;&gt;Constants!$B$4,$BL49,$BN49))</f>
        <v/>
      </c>
      <c r="BP49" s="124" t="str">
        <f aca="false">IF(ISBLANK($C49),"",IF($BL49&lt;&gt;Constants!$B$4,$BL49,RANK($BO49,$BO$9:$BO$508,0)))</f>
        <v/>
      </c>
      <c r="BQ49" s="124" t="str">
        <f aca="false">IF(ISBLANK($C49),"",IF($BL49&lt;&gt;Constants!$B$4,$BL49,COUNTIFS($BM$9:$BM$508,"&lt;"&amp;$BM49)+COUNTIFS($BM$9:$BM$508,$BM49,$BP$9:$BP$508,"&lt;"&amp;$BP49)+1))</f>
        <v/>
      </c>
      <c r="BR49" s="127" t="str">
        <f aca="false">IF($BL49&lt;&gt;Constants!$B$4,"",IF($BB49="-&gt;",$BH49,$AX49))</f>
        <v/>
      </c>
      <c r="BS49" s="124" t="str">
        <f aca="false">IF(ISBLANK($C49),"",IF($BL49&lt;&gt;Constants!$B$4,$BL49,IF(ISNUMBER($BR49),RANK($BR49,$BR$9:$BR$508,0),COUNT($BR$9:$BR$508)+1)))</f>
        <v/>
      </c>
      <c r="BT49" s="127" t="str">
        <f aca="false">IF($BL49&lt;&gt;Constants!$B$4,"",IF($BB49="-&gt;",$BE49,$AU49))</f>
        <v/>
      </c>
      <c r="BU49" s="124" t="str">
        <f aca="false">IF(ISBLANK($C49),"",IF($BL49&lt;&gt;Constants!$B$4,$BL49,IF(ISNUMBER($BT49),RANK($BT49,$BT$9:$BT$508,0),COUNT($BT$9:$BT$508)+1)))</f>
        <v/>
      </c>
      <c r="BV49" s="127" t="str">
        <f aca="false">IF($BL49&lt;&gt;Constants!$B$4,"",IF($BB49="-&gt;",$BF49,$AV49))</f>
        <v/>
      </c>
      <c r="BW49" s="124" t="str">
        <f aca="false">IF(ISBLANK($C49),"",IF($BL49&lt;&gt;Constants!$B$4,$BL49,IF(ISNUMBER($BV49),RANK($BV49,$BV$9:$BV$508,0),COUNT($BV$9:$BV$508)+1)))</f>
        <v/>
      </c>
      <c r="BX49" s="127" t="str">
        <f aca="false">IF($BL49&lt;&gt;Constants!$B$4,"",IF($BB49="-&gt;",$BK49,$BA49))</f>
        <v/>
      </c>
      <c r="BY49" s="124" t="str">
        <f aca="false">IF(ISBLANK($C49),"",IF($BL49&lt;&gt;Constants!$B$4,$BL49,IF(ISNUMBER($BX49),RANK($BX49,$BX$9:$BX$508,0),COUNT($BX$9:$BX$508)+1)))</f>
        <v/>
      </c>
      <c r="BZ49" s="124" t="str">
        <f aca="false">IF(ISBLANK($C49),"",IF($BL49&lt;&gt;Constants!$B$4,$BL49,COUNTIFS($BM$9:$BM$508,"&lt;"&amp;$BM49)+COUNTIFS($BM$9:$BM$508,$BM49,$BP$9:$BP$508,"&lt;"&amp;$BP49)+COUNTIFS($BM$9:$BM$508,$BM49,$BP$9:$BP$508,$BP49,$BS$9:$BS$508,"&lt;"&amp;$BS49)+COUNTIFS($BM$9:$BM$508,$BM49,$BP$9:$BP$508,$BP49,$BS$9:$BS$508,$BS49,$BU$9:$BU$508,"&lt;"&amp;$BU49)+COUNTIFS($BM$9:$BM$508,$BM49,$BP$9:$BP$508,$BP49,$BS$9:$BS$508,$BS49,$BU$9:$BU$508,$BU49,$BW$9:$BW$508,"&lt;"&amp;$BW49)+COUNTIFS($BM$9:$BM$508,$BM49,$BP$9:$BP$508,$BP49,$BS$9:$BS$508,$BS49,$BU$9:$BU$508,$BU49,$BW$9:$BW$508,$BW49,$BY$9:$BY$508,"&lt;"&amp;$BY49)+1))</f>
        <v/>
      </c>
      <c r="CA49" s="124" t="str">
        <f aca="false">IF(ISBLANK($C49),"",IF($BL49&lt;&gt;Constants!$B$4,$BL49,$BQ49-$BZ49))</f>
        <v/>
      </c>
      <c r="CB49" s="130"/>
      <c r="CC49" s="131" t="str">
        <f aca="false">IF(ISBLANK($C49),"",IF($BL49=Constants!$B$8,$AR49,""))</f>
        <v/>
      </c>
      <c r="CD49" s="131" t="str">
        <f aca="false">IF(ISBLANK($C49),"",IF($BL49&lt;&gt;Constants!$B$4,"",IF($BB49="-&gt;",2,1)))</f>
        <v/>
      </c>
      <c r="CE49" s="132" t="str">
        <f aca="false">IF(ISBLANK($C49),"",IF($BL49&lt;&gt;Constants!$B$4,"",IF($BB49="-&gt;",$BE49,$AU49)))</f>
        <v/>
      </c>
      <c r="CF49" s="132" t="str">
        <f aca="false">IF(ISBLANK($C49),"",IF($BL49&lt;&gt;Constants!$B$4,"",IF($BB49="-&gt;",$BF49,$AV49)))</f>
        <v/>
      </c>
      <c r="CG49" s="132" t="str">
        <f aca="false">IF(ISBLANK($C49),"",IF($BL49&lt;&gt;Constants!$B$4,"",IF($BB49="-&gt;",$BG49,$AW49)))</f>
        <v/>
      </c>
      <c r="CH49" s="132" t="str">
        <f aca="false">IF(ISBLANK($C49),"",IF($BL49&lt;&gt;Constants!$B$4,"",IF($BB49="-&gt;",$BH49,$AX49)))</f>
        <v/>
      </c>
      <c r="CI49" s="133" t="str">
        <f aca="false">IF(ISBLANK($C49),"",$BO49)</f>
        <v/>
      </c>
      <c r="CJ49" s="134" t="str">
        <f aca="false">IF(ISBLANK($C49),"",$BM49)</f>
        <v/>
      </c>
      <c r="CK49" s="135" t="str">
        <f aca="false">IF(ISBLANK($C49),"",$CA49)</f>
        <v/>
      </c>
      <c r="CL49" s="135" t="str">
        <f aca="false">IF(ISBLANK($C49),"",$BZ49)</f>
        <v/>
      </c>
      <c r="CM49" s="136" t="str">
        <f aca="false">IF(ISBLANK($C49),"",IF($CL49=Constants!$B$7,COUNTA($C$9:$C$508)+2,IF($CL49=Constants!$B$6,COUNTA($C$9:$C$508)+1,IF($CL49=Constants!$B$5,COUNTA($C$9:$C$508),$CL49))))</f>
        <v/>
      </c>
      <c r="CN49" s="8"/>
      <c r="CO49" s="137" t="n">
        <f aca="false">IF(OR(ISNUMBER($CL49),$CL49=Constants!$B$7,$CL49=Constants!$B$5,$CL49=Constants!$B$6),1,0)</f>
        <v>0</v>
      </c>
      <c r="CP49" s="137" t="n">
        <v>41</v>
      </c>
      <c r="CQ49" s="137" t="str">
        <f aca="false">IF(ISBLANK($C49),"",IF(ISNUMBER($CM49),$CM49+ROW($B49)/1000,""))</f>
        <v/>
      </c>
      <c r="CR49" s="137" t="str">
        <f aca="false">IF(ISNUMBER($CQ49),RANK($CQ49,$CQ$9:$CQ$508,1),"")</f>
        <v/>
      </c>
      <c r="CS49" s="137" t="str">
        <f aca="false">IF(ISBLANK($C49),"",$B49)</f>
        <v/>
      </c>
      <c r="CT49" s="137" t="str">
        <f aca="false">IF(ISBLANK($C49),"",$C49)</f>
        <v/>
      </c>
      <c r="CU49" s="137" t="str">
        <f aca="false">IF(ISBLANK($C49),"",$D49)</f>
        <v/>
      </c>
      <c r="CV49" s="138" t="str">
        <f aca="false">$CJ49</f>
        <v/>
      </c>
      <c r="CW49" s="139" t="str">
        <f aca="false">$CI49</f>
        <v/>
      </c>
      <c r="CX49" s="137" t="str">
        <f aca="false">IF(ISBLANK($C49),"",$CL49)</f>
        <v/>
      </c>
      <c r="CY49" s="140" t="str">
        <f aca="false">IF($CP49&gt;$CO$8,"",VLOOKUP($CP49,$CR$9:$CX$508,7,FALSE()))</f>
        <v/>
      </c>
      <c r="CZ49" s="141" t="str">
        <f aca="false">IF($CP49&gt;$CO$8,"",VLOOKUP($CP49,$CR$9:$CX$508,2,FALSE()))</f>
        <v/>
      </c>
      <c r="DA49" s="141" t="str">
        <f aca="false">IF($CP49&gt;$CO$8,"",VLOOKUP($CP49,$CR$9:$CX$508,3,FALSE()))</f>
        <v/>
      </c>
      <c r="DB49" s="141" t="str">
        <f aca="false">IF($CP49&gt;$CO$8,"",VLOOKUP($CP49,$CR$9:$CX$508,4,FALSE()))</f>
        <v/>
      </c>
      <c r="DC49" s="141" t="str">
        <f aca="false">IF($CP49&gt;$CO$8,"",VLOOKUP($CP49,$CR$9:$CX$508,5,FALSE()))</f>
        <v/>
      </c>
      <c r="DD49" s="142" t="str">
        <f aca="false">IF($CP49&gt;$CO$8,"",VLOOKUP($CP49,$CR$9:$CX$508,6,FALSE()))</f>
        <v/>
      </c>
      <c r="DE49" s="70"/>
    </row>
    <row r="50" customFormat="false" ht="15.75" hidden="false" customHeight="false" outlineLevel="0" collapsed="false">
      <c r="A50" s="8"/>
      <c r="B50" s="146"/>
      <c r="C50" s="147"/>
      <c r="D50" s="148"/>
      <c r="E50" s="164"/>
      <c r="F50" s="150"/>
      <c r="G50" s="115"/>
      <c r="H50" s="115"/>
      <c r="I50" s="115"/>
      <c r="J50" s="165"/>
      <c r="K50" s="154"/>
      <c r="L50" s="154"/>
      <c r="M50" s="118"/>
      <c r="N50" s="154"/>
      <c r="O50" s="153"/>
      <c r="P50" s="154"/>
      <c r="Q50" s="154"/>
      <c r="R50" s="154"/>
      <c r="S50" s="115"/>
      <c r="T50" s="154"/>
      <c r="U50" s="153"/>
      <c r="V50" s="154"/>
      <c r="W50" s="123"/>
      <c r="X50" s="124" t="str">
        <f aca="false">IF(ISBLANK($C50),"",IF($E50=Constants!$B$2,TRUE(),IF($E50=Constants!$B$3,FALSE(),TRUE())))</f>
        <v/>
      </c>
      <c r="Y50" s="124" t="str">
        <f aca="false">IF(ISBLANK($C50),"",IF($F50=Constants!$B$2,TRUE(),IF($F50=Constants!$B$3,FALSE(),TRUE())))</f>
        <v/>
      </c>
      <c r="Z50" s="125" t="str">
        <f aca="false">IF(ISBLANK($C50),"",IF(ISNUMBER($G50),IF($G50&gt;=0,$G50,""),""))</f>
        <v/>
      </c>
      <c r="AA50" s="125" t="str">
        <f aca="false">IF(ISBLANK($C50),"",IF(ISNUMBER($H50),IF($H50&gt;=0,$H50,""),""))</f>
        <v/>
      </c>
      <c r="AB50" s="125" t="str">
        <f aca="false">IF(ISBLANK($C50),"",IF(ISNUMBER($I50),IF($I50&gt;=0,$I50,""),""))</f>
        <v/>
      </c>
      <c r="AC50" s="124" t="str">
        <f aca="false">IF(ISBLANK($C50),"",IF($J50=Constants!$B$2,TRUE(),IF($J50=Constants!$B$3,FALSE(),TRUE())))</f>
        <v/>
      </c>
      <c r="AD50" s="124" t="str">
        <f aca="false">IF(ISBLANK($C50),"",IF($K50=Constants!$B$2,TRUE(),IF($K50=Constants!$B$3,FALSE(),TRUE())))</f>
        <v/>
      </c>
      <c r="AE50" s="124" t="str">
        <f aca="false">IF(ISBLANK($C50),"",IF($L50=Constants!$B$2,TRUE(),IF($L50=Constants!$B$3,FALSE(),TRUE())))</f>
        <v/>
      </c>
      <c r="AF50" s="126" t="str">
        <f aca="false">IF(ISBLANK($C50),"",IF(ISNUMBER($M50),IF($M50&gt;=0,$M50,""),""))</f>
        <v/>
      </c>
      <c r="AG50" s="124" t="str">
        <f aca="false">IF(ISBLANK($C50),"",IF(ISBLANK($N50),0,IF(ISNUMBER($N50),IF(AND($N50&gt;=0,$N50&lt;=Constants!$B$17,$N50=INT($N50)),$N50,""),"")))</f>
        <v/>
      </c>
      <c r="AH50" s="125" t="str">
        <f aca="false">IF(ISBLANK($C50),"",IF(ISBLANK($O50),0,IF(ISNUMBER($O50),IF($O50&gt;=0,$O50,""),"")))</f>
        <v/>
      </c>
      <c r="AI50" s="124" t="str">
        <f aca="false">IF(ISBLANK($C50),"",IF($P50=Constants!$B$2,TRUE(),IF($P50=Constants!$B$3,FALSE(),TRUE())))</f>
        <v/>
      </c>
      <c r="AJ50" s="124" t="str">
        <f aca="false">IF(ISBLANK($C50),"",IF($Q50=Constants!$B$2,TRUE(),IF($Q50=Constants!$B$3,FALSE(),TRUE())))</f>
        <v/>
      </c>
      <c r="AK50" s="124" t="str">
        <f aca="false">IF(ISBLANK($C50),"",IF($R50=Constants!$B$2,TRUE(),IF($R50=Constants!$B$3,FALSE(),TRUE())))</f>
        <v/>
      </c>
      <c r="AL50" s="126" t="str">
        <f aca="false">IF(ISBLANK($C50),"",IF(ISNUMBER($S50),IF($S50&gt;=0,$S50,""),""))</f>
        <v/>
      </c>
      <c r="AM50" s="124" t="str">
        <f aca="false">IF(ISBLANK($C50),"",IF(ISBLANK($T50),0,IF(ISNUMBER($T50),IF(AND($T50&gt;=0,$T50&lt;=Constants!$B$17,$T50=INT($T50)),$T50,""),"")))</f>
        <v/>
      </c>
      <c r="AN50" s="125" t="str">
        <f aca="false">IF(ISBLANK($C50),"",IF(ISBLANK($U50),0,IF(ISNUMBER($U50),IF($U50&gt;=0,$U50,""),"")))</f>
        <v/>
      </c>
      <c r="AO50" s="124" t="str">
        <f aca="false">IF(ISBLANK($C50),"",IF($V50=Constants!$B$2,TRUE(),IF($V50=Constants!$B$3,FALSE(),FALSE())))</f>
        <v/>
      </c>
      <c r="AP50" s="124"/>
      <c r="AQ50" s="123" t="str">
        <f aca="false">IF(ISBLANK($C50),"",AND($Y50,OR($AS50,$BC50),OR($Z50="",$AA50="",$AB50="")))</f>
        <v/>
      </c>
      <c r="AR50" s="123" t="str">
        <f aca="false">IF(ISBLANK($C50),"",IF(OR(NOT($Y50),NOT(OR($AS50,$BC50))),"",IF(ISBLANK($D$7),$AR$5,IF($AP$9="",$AR$6,""))))</f>
        <v/>
      </c>
      <c r="AS50" s="123" t="str">
        <f aca="false">IF(ISBLANK($C50),"",COUNTA($J50:$O50)&gt;0)</f>
        <v/>
      </c>
      <c r="AT50" s="123" t="str">
        <f aca="false">IF(ISBLANK($C50),"",AND($AS50,OR(AND($AF50="",OR($AE50,NOT(ISBLANK($M50)))),$AG50="",$AH50="")))</f>
        <v/>
      </c>
      <c r="AU50" s="125" t="str">
        <f aca="false">IF($BL50&lt;&gt;Constants!$B$4,"",IF(NOT($AS50),"",ROUND((Constants!$B$12-$AB50)+(Constants!$B$13-$Z50)+(Constants!$B$14-$AA50),1)))</f>
        <v/>
      </c>
      <c r="AV50" s="127" t="str">
        <f aca="false">IF($BL50&lt;&gt;Constants!$B$4,"",IF(NOT($AS50),"",IF(NOT($AE50),0,Constants!$B$15*(INT(ROUND(MIN($AF50,$AP$9),6))-INT(ROUND(MAX(0,MIN($AF50,2*$AP$9)-$AP$9),6))))))</f>
        <v/>
      </c>
      <c r="AW50" s="127" t="str">
        <f aca="false">IF($BL50&lt;&gt;Constants!$B$4,"",IF(NOT($AS50),"",Constants!$B$16*$AG50))</f>
        <v/>
      </c>
      <c r="AX50" s="127" t="str">
        <f aca="false">IF($BL50&lt;&gt;Constants!$B$4,"",IF(NOT($AS50),"",Constants!$B$18*INT(ROUND($AH50,6))))</f>
        <v/>
      </c>
      <c r="AY50" s="123" t="str">
        <f aca="false">IF($BL50&lt;&gt;Constants!$B$4,"",IF(NOT($AS50),"",IF(NOT($X50),Constants!$B$11,IF(OR(NOT($AC50),NOT($AD50),ROUND($AB50,1)&gt;Constants!$B$12,ROUND($Z50,1)&gt;Constants!$B$13,ROUND($AA50,1)&gt;Constants!$B$14),Constants!$B$10,Constants!$B$9))))</f>
        <v/>
      </c>
      <c r="AZ50" s="128" t="str">
        <f aca="false">IF($BL50&lt;&gt;Constants!$B$4,"",IF(NOT($AS50),"",ROUND($AU50+$AV50+$AW50+$AX50,1)))</f>
        <v/>
      </c>
      <c r="BA50" s="129" t="str">
        <f aca="false">IF($BL50&lt;&gt;Constants!$B$4,"",IF(NOT($AS50),"",IF(ISNUMBER($AF50),$AF50,0)))</f>
        <v/>
      </c>
      <c r="BB50" s="124" t="str">
        <f aca="false">IF($BL50&lt;&gt;Constants!$B$4,"",IF(NOT($BC50),"&lt;-",IF(NOT($AS50),"-&gt;",IF(OR($BI50&lt;$AY50,AND($BI50=$AY50,OR($BJ50&gt;$AZ50,AND($BJ50=$AZ50,OR($BH50&gt;$AX50,AND($BH50=$AX50,OR($BE50&gt;$AU50,AND($BE50=$AU50,OR($BF50&gt;$AV50,AND($BF50=$AV50,$BK50&gt;$BA50)))))))))),"-&gt;","&lt;-"))))</f>
        <v/>
      </c>
      <c r="BC50" s="123" t="str">
        <f aca="false">IF(ISBLANK($C50),"",COUNTA($P50:$U50)&gt;0)</f>
        <v/>
      </c>
      <c r="BD50" s="123" t="str">
        <f aca="false">IF(ISBLANK($C50),"",AND($BC50,OR(AND($AL50="",OR($AK50,NOT(ISBLANK($S50)))),$AM50="",$AN50="")))</f>
        <v/>
      </c>
      <c r="BE50" s="125" t="str">
        <f aca="false">IF($BL50&lt;&gt;Constants!$B$4,"",IF(NOT($BC50),"",ROUND((Constants!$B$12-$AB50)+(Constants!$B$13-$Z50)+(Constants!$B$14-$AA50),1)))</f>
        <v/>
      </c>
      <c r="BF50" s="127" t="str">
        <f aca="false">IF($BL50&lt;&gt;Constants!$B$4,"",IF(NOT($BC50),"",IF(NOT($AK50),0,Constants!$B$15*(INT(ROUND(MIN($AL50,$AP$9),6))-INT(ROUND(MAX(0,MIN($AL50,2*$AP$9)-$AP$9),6))))))</f>
        <v/>
      </c>
      <c r="BG50" s="127" t="str">
        <f aca="false">IF($BL50&lt;&gt;Constants!$B$4,"",IF(NOT($BC50),"",Constants!$B$16*$AM50))</f>
        <v/>
      </c>
      <c r="BH50" s="127" t="str">
        <f aca="false">IF($BL50&lt;&gt;Constants!$B$4,"",IF(NOT($BC50),"",Constants!$B$18*INT(ROUND($AN50,6))))</f>
        <v/>
      </c>
      <c r="BI50" s="123" t="str">
        <f aca="false">IF($BL50&lt;&gt;Constants!$B$4,"",IF(NOT($BC50),"",IF(NOT($X50),Constants!$B$11,IF(OR(NOT($AI50),NOT($AJ50),ROUND($AB50,1)&gt;Constants!$B$12,ROUND($Z50,1)&gt;Constants!$B$13,ROUND($AA50,1)&gt;Constants!$B$14),Constants!$B$10,Constants!$B$9))))</f>
        <v/>
      </c>
      <c r="BJ50" s="128" t="str">
        <f aca="false">IF($BL50&lt;&gt;Constants!$B$4,"",IF(NOT($BC50),"",ROUND($BE50+$BF50+$BG50+$BH50,1)))</f>
        <v/>
      </c>
      <c r="BK50" s="129" t="str">
        <f aca="false">IF($BL50&lt;&gt;Constants!$B$4,"",IF(NOT($BC50),"",IF(ISNUMBER($AL50),$AL50,0)))</f>
        <v/>
      </c>
      <c r="BL50" s="124" t="str">
        <f aca="false">IF(ISBLANK($C50),"",IF($AO50,Constants!$B$7,IF(COUNTA($E50:$V50)=0,Constants!$B$6,IF(NOT($Y50),Constants!$B$5,IF(NOT(OR($AS50,$BC50)),Constants!$B$5,IF(OR($AT50,$BD50,$AQ50,$AR50&lt;&gt;""),Constants!$B$8,Constants!$B$4))))))</f>
        <v/>
      </c>
      <c r="BM50" s="124" t="str">
        <f aca="false">IF(ISBLANK($C50),"",IF($BL50&lt;&gt;Constants!$B$4,$BL50,IF($BB50="-&gt;",$BI50,$AY50)))</f>
        <v/>
      </c>
      <c r="BN50" s="127" t="str">
        <f aca="false">IF($BL50&lt;&gt;Constants!$B$4,"",IF($BB50="-&gt;",$BJ50,$AZ50))</f>
        <v/>
      </c>
      <c r="BO50" s="127" t="str">
        <f aca="false">IF(ISBLANK($C50),"",IF($BL50&lt;&gt;Constants!$B$4,$BL50,$BN50))</f>
        <v/>
      </c>
      <c r="BP50" s="124" t="str">
        <f aca="false">IF(ISBLANK($C50),"",IF($BL50&lt;&gt;Constants!$B$4,$BL50,RANK($BO50,$BO$9:$BO$508,0)))</f>
        <v/>
      </c>
      <c r="BQ50" s="124" t="str">
        <f aca="false">IF(ISBLANK($C50),"",IF($BL50&lt;&gt;Constants!$B$4,$BL50,COUNTIFS($BM$9:$BM$508,"&lt;"&amp;$BM50)+COUNTIFS($BM$9:$BM$508,$BM50,$BP$9:$BP$508,"&lt;"&amp;$BP50)+1))</f>
        <v/>
      </c>
      <c r="BR50" s="127" t="str">
        <f aca="false">IF($BL50&lt;&gt;Constants!$B$4,"",IF($BB50="-&gt;",$BH50,$AX50))</f>
        <v/>
      </c>
      <c r="BS50" s="124" t="str">
        <f aca="false">IF(ISBLANK($C50),"",IF($BL50&lt;&gt;Constants!$B$4,$BL50,IF(ISNUMBER($BR50),RANK($BR50,$BR$9:$BR$508,0),COUNT($BR$9:$BR$508)+1)))</f>
        <v/>
      </c>
      <c r="BT50" s="127" t="str">
        <f aca="false">IF($BL50&lt;&gt;Constants!$B$4,"",IF($BB50="-&gt;",$BE50,$AU50))</f>
        <v/>
      </c>
      <c r="BU50" s="124" t="str">
        <f aca="false">IF(ISBLANK($C50),"",IF($BL50&lt;&gt;Constants!$B$4,$BL50,IF(ISNUMBER($BT50),RANK($BT50,$BT$9:$BT$508,0),COUNT($BT$9:$BT$508)+1)))</f>
        <v/>
      </c>
      <c r="BV50" s="127" t="str">
        <f aca="false">IF($BL50&lt;&gt;Constants!$B$4,"",IF($BB50="-&gt;",$BF50,$AV50))</f>
        <v/>
      </c>
      <c r="BW50" s="124" t="str">
        <f aca="false">IF(ISBLANK($C50),"",IF($BL50&lt;&gt;Constants!$B$4,$BL50,IF(ISNUMBER($BV50),RANK($BV50,$BV$9:$BV$508,0),COUNT($BV$9:$BV$508)+1)))</f>
        <v/>
      </c>
      <c r="BX50" s="127" t="str">
        <f aca="false">IF($BL50&lt;&gt;Constants!$B$4,"",IF($BB50="-&gt;",$BK50,$BA50))</f>
        <v/>
      </c>
      <c r="BY50" s="124" t="str">
        <f aca="false">IF(ISBLANK($C50),"",IF($BL50&lt;&gt;Constants!$B$4,$BL50,IF(ISNUMBER($BX50),RANK($BX50,$BX$9:$BX$508,0),COUNT($BX$9:$BX$508)+1)))</f>
        <v/>
      </c>
      <c r="BZ50" s="124" t="str">
        <f aca="false">IF(ISBLANK($C50),"",IF($BL50&lt;&gt;Constants!$B$4,$BL50,COUNTIFS($BM$9:$BM$508,"&lt;"&amp;$BM50)+COUNTIFS($BM$9:$BM$508,$BM50,$BP$9:$BP$508,"&lt;"&amp;$BP50)+COUNTIFS($BM$9:$BM$508,$BM50,$BP$9:$BP$508,$BP50,$BS$9:$BS$508,"&lt;"&amp;$BS50)+COUNTIFS($BM$9:$BM$508,$BM50,$BP$9:$BP$508,$BP50,$BS$9:$BS$508,$BS50,$BU$9:$BU$508,"&lt;"&amp;$BU50)+COUNTIFS($BM$9:$BM$508,$BM50,$BP$9:$BP$508,$BP50,$BS$9:$BS$508,$BS50,$BU$9:$BU$508,$BU50,$BW$9:$BW$508,"&lt;"&amp;$BW50)+COUNTIFS($BM$9:$BM$508,$BM50,$BP$9:$BP$508,$BP50,$BS$9:$BS$508,$BS50,$BU$9:$BU$508,$BU50,$BW$9:$BW$508,$BW50,$BY$9:$BY$508,"&lt;"&amp;$BY50)+1))</f>
        <v/>
      </c>
      <c r="CA50" s="124" t="str">
        <f aca="false">IF(ISBLANK($C50),"",IF($BL50&lt;&gt;Constants!$B$4,$BL50,$BQ50-$BZ50))</f>
        <v/>
      </c>
      <c r="CB50" s="130"/>
      <c r="CC50" s="131" t="str">
        <f aca="false">IF(ISBLANK($C50),"",IF($BL50=Constants!$B$8,$AR50,""))</f>
        <v/>
      </c>
      <c r="CD50" s="131" t="str">
        <f aca="false">IF(ISBLANK($C50),"",IF($BL50&lt;&gt;Constants!$B$4,"",IF($BB50="-&gt;",2,1)))</f>
        <v/>
      </c>
      <c r="CE50" s="132" t="str">
        <f aca="false">IF(ISBLANK($C50),"",IF($BL50&lt;&gt;Constants!$B$4,"",IF($BB50="-&gt;",$BE50,$AU50)))</f>
        <v/>
      </c>
      <c r="CF50" s="132" t="str">
        <f aca="false">IF(ISBLANK($C50),"",IF($BL50&lt;&gt;Constants!$B$4,"",IF($BB50="-&gt;",$BF50,$AV50)))</f>
        <v/>
      </c>
      <c r="CG50" s="132" t="str">
        <f aca="false">IF(ISBLANK($C50),"",IF($BL50&lt;&gt;Constants!$B$4,"",IF($BB50="-&gt;",$BG50,$AW50)))</f>
        <v/>
      </c>
      <c r="CH50" s="132" t="str">
        <f aca="false">IF(ISBLANK($C50),"",IF($BL50&lt;&gt;Constants!$B$4,"",IF($BB50="-&gt;",$BH50,$AX50)))</f>
        <v/>
      </c>
      <c r="CI50" s="133" t="str">
        <f aca="false">IF(ISBLANK($C50),"",$BO50)</f>
        <v/>
      </c>
      <c r="CJ50" s="134" t="str">
        <f aca="false">IF(ISBLANK($C50),"",$BM50)</f>
        <v/>
      </c>
      <c r="CK50" s="135" t="str">
        <f aca="false">IF(ISBLANK($C50),"",$CA50)</f>
        <v/>
      </c>
      <c r="CL50" s="135" t="str">
        <f aca="false">IF(ISBLANK($C50),"",$BZ50)</f>
        <v/>
      </c>
      <c r="CM50" s="136" t="str">
        <f aca="false">IF(ISBLANK($C50),"",IF($CL50=Constants!$B$7,COUNTA($C$9:$C$508)+2,IF($CL50=Constants!$B$6,COUNTA($C$9:$C$508)+1,IF($CL50=Constants!$B$5,COUNTA($C$9:$C$508),$CL50))))</f>
        <v/>
      </c>
      <c r="CN50" s="8"/>
      <c r="CO50" s="137" t="n">
        <f aca="false">IF(OR(ISNUMBER($CL50),$CL50=Constants!$B$7,$CL50=Constants!$B$5,$CL50=Constants!$B$6),1,0)</f>
        <v>0</v>
      </c>
      <c r="CP50" s="137" t="n">
        <v>42</v>
      </c>
      <c r="CQ50" s="137" t="str">
        <f aca="false">IF(ISBLANK($C50),"",IF(ISNUMBER($CM50),$CM50+ROW($B50)/1000,""))</f>
        <v/>
      </c>
      <c r="CR50" s="137" t="str">
        <f aca="false">IF(ISNUMBER($CQ50),RANK($CQ50,$CQ$9:$CQ$508,1),"")</f>
        <v/>
      </c>
      <c r="CS50" s="137" t="str">
        <f aca="false">IF(ISBLANK($C50),"",$B50)</f>
        <v/>
      </c>
      <c r="CT50" s="137" t="str">
        <f aca="false">IF(ISBLANK($C50),"",$C50)</f>
        <v/>
      </c>
      <c r="CU50" s="137" t="str">
        <f aca="false">IF(ISBLANK($C50),"",$D50)</f>
        <v/>
      </c>
      <c r="CV50" s="138" t="str">
        <f aca="false">$CJ50</f>
        <v/>
      </c>
      <c r="CW50" s="139" t="str">
        <f aca="false">$CI50</f>
        <v/>
      </c>
      <c r="CX50" s="137" t="str">
        <f aca="false">IF(ISBLANK($C50),"",$CL50)</f>
        <v/>
      </c>
      <c r="CY50" s="140" t="str">
        <f aca="false">IF($CP50&gt;$CO$8,"",VLOOKUP($CP50,$CR$9:$CX$508,7,FALSE()))</f>
        <v/>
      </c>
      <c r="CZ50" s="141" t="str">
        <f aca="false">IF($CP50&gt;$CO$8,"",VLOOKUP($CP50,$CR$9:$CX$508,2,FALSE()))</f>
        <v/>
      </c>
      <c r="DA50" s="141" t="str">
        <f aca="false">IF($CP50&gt;$CO$8,"",VLOOKUP($CP50,$CR$9:$CX$508,3,FALSE()))</f>
        <v/>
      </c>
      <c r="DB50" s="141" t="str">
        <f aca="false">IF($CP50&gt;$CO$8,"",VLOOKUP($CP50,$CR$9:$CX$508,4,FALSE()))</f>
        <v/>
      </c>
      <c r="DC50" s="141" t="str">
        <f aca="false">IF($CP50&gt;$CO$8,"",VLOOKUP($CP50,$CR$9:$CX$508,5,FALSE()))</f>
        <v/>
      </c>
      <c r="DD50" s="142" t="str">
        <f aca="false">IF($CP50&gt;$CO$8,"",VLOOKUP($CP50,$CR$9:$CX$508,6,FALSE()))</f>
        <v/>
      </c>
      <c r="DE50" s="70"/>
    </row>
    <row r="51" customFormat="false" ht="15.75" hidden="false" customHeight="false" outlineLevel="0" collapsed="false">
      <c r="A51" s="8"/>
      <c r="B51" s="72"/>
      <c r="C51" s="73"/>
      <c r="D51" s="155"/>
      <c r="E51" s="162"/>
      <c r="F51" s="157"/>
      <c r="G51" s="77"/>
      <c r="H51" s="77"/>
      <c r="I51" s="77"/>
      <c r="J51" s="163"/>
      <c r="K51" s="161"/>
      <c r="L51" s="161"/>
      <c r="M51" s="80"/>
      <c r="N51" s="161"/>
      <c r="O51" s="160"/>
      <c r="P51" s="161"/>
      <c r="Q51" s="161"/>
      <c r="R51" s="161"/>
      <c r="S51" s="77"/>
      <c r="T51" s="161"/>
      <c r="U51" s="160"/>
      <c r="V51" s="161"/>
      <c r="W51" s="85"/>
      <c r="X51" s="86" t="str">
        <f aca="false">IF(ISBLANK($C51),"",IF($E51=Constants!$B$2,TRUE(),IF($E51=Constants!$B$3,FALSE(),TRUE())))</f>
        <v/>
      </c>
      <c r="Y51" s="86" t="str">
        <f aca="false">IF(ISBLANK($C51),"",IF($F51=Constants!$B$2,TRUE(),IF($F51=Constants!$B$3,FALSE(),TRUE())))</f>
        <v/>
      </c>
      <c r="Z51" s="87" t="str">
        <f aca="false">IF(ISBLANK($C51),"",IF(ISNUMBER($G51),IF($G51&gt;=0,$G51,""),""))</f>
        <v/>
      </c>
      <c r="AA51" s="87" t="str">
        <f aca="false">IF(ISBLANK($C51),"",IF(ISNUMBER($H51),IF($H51&gt;=0,$H51,""),""))</f>
        <v/>
      </c>
      <c r="AB51" s="87" t="str">
        <f aca="false">IF(ISBLANK($C51),"",IF(ISNUMBER($I51),IF($I51&gt;=0,$I51,""),""))</f>
        <v/>
      </c>
      <c r="AC51" s="86" t="str">
        <f aca="false">IF(ISBLANK($C51),"",IF($J51=Constants!$B$2,TRUE(),IF($J51=Constants!$B$3,FALSE(),TRUE())))</f>
        <v/>
      </c>
      <c r="AD51" s="86" t="str">
        <f aca="false">IF(ISBLANK($C51),"",IF($K51=Constants!$B$2,TRUE(),IF($K51=Constants!$B$3,FALSE(),TRUE())))</f>
        <v/>
      </c>
      <c r="AE51" s="86" t="str">
        <f aca="false">IF(ISBLANK($C51),"",IF($L51=Constants!$B$2,TRUE(),IF($L51=Constants!$B$3,FALSE(),TRUE())))</f>
        <v/>
      </c>
      <c r="AF51" s="88" t="str">
        <f aca="false">IF(ISBLANK($C51),"",IF(ISNUMBER($M51),IF($M51&gt;=0,$M51,""),""))</f>
        <v/>
      </c>
      <c r="AG51" s="86" t="str">
        <f aca="false">IF(ISBLANK($C51),"",IF(ISBLANK($N51),0,IF(ISNUMBER($N51),IF(AND($N51&gt;=0,$N51&lt;=Constants!$B$17,$N51=INT($N51)),$N51,""),"")))</f>
        <v/>
      </c>
      <c r="AH51" s="87" t="str">
        <f aca="false">IF(ISBLANK($C51),"",IF(ISBLANK($O51),0,IF(ISNUMBER($O51),IF($O51&gt;=0,$O51,""),"")))</f>
        <v/>
      </c>
      <c r="AI51" s="86" t="str">
        <f aca="false">IF(ISBLANK($C51),"",IF($P51=Constants!$B$2,TRUE(),IF($P51=Constants!$B$3,FALSE(),TRUE())))</f>
        <v/>
      </c>
      <c r="AJ51" s="86" t="str">
        <f aca="false">IF(ISBLANK($C51),"",IF($Q51=Constants!$B$2,TRUE(),IF($Q51=Constants!$B$3,FALSE(),TRUE())))</f>
        <v/>
      </c>
      <c r="AK51" s="86" t="str">
        <f aca="false">IF(ISBLANK($C51),"",IF($R51=Constants!$B$2,TRUE(),IF($R51=Constants!$B$3,FALSE(),TRUE())))</f>
        <v/>
      </c>
      <c r="AL51" s="88" t="str">
        <f aca="false">IF(ISBLANK($C51),"",IF(ISNUMBER($S51),IF($S51&gt;=0,$S51,""),""))</f>
        <v/>
      </c>
      <c r="AM51" s="86" t="str">
        <f aca="false">IF(ISBLANK($C51),"",IF(ISBLANK($T51),0,IF(ISNUMBER($T51),IF(AND($T51&gt;=0,$T51&lt;=Constants!$B$17,$T51=INT($T51)),$T51,""),"")))</f>
        <v/>
      </c>
      <c r="AN51" s="87" t="str">
        <f aca="false">IF(ISBLANK($C51),"",IF(ISBLANK($U51),0,IF(ISNUMBER($U51),IF($U51&gt;=0,$U51,""),"")))</f>
        <v/>
      </c>
      <c r="AO51" s="86" t="str">
        <f aca="false">IF(ISBLANK($C51),"",IF($V51=Constants!$B$2,TRUE(),IF($V51=Constants!$B$3,FALSE(),FALSE())))</f>
        <v/>
      </c>
      <c r="AP51" s="86"/>
      <c r="AQ51" s="85" t="str">
        <f aca="false">IF(ISBLANK($C51),"",AND($Y51,OR($AS51,$BC51),OR($Z51="",$AA51="",$AB51="")))</f>
        <v/>
      </c>
      <c r="AR51" s="85" t="str">
        <f aca="false">IF(ISBLANK($C51),"",IF(OR(NOT($Y51),NOT(OR($AS51,$BC51))),"",IF(ISBLANK($D$7),$AR$5,IF($AP$9="",$AR$6,""))))</f>
        <v/>
      </c>
      <c r="AS51" s="85" t="str">
        <f aca="false">IF(ISBLANK($C51),"",COUNTA($J51:$O51)&gt;0)</f>
        <v/>
      </c>
      <c r="AT51" s="85" t="str">
        <f aca="false">IF(ISBLANK($C51),"",AND($AS51,OR(AND($AF51="",OR($AE51,NOT(ISBLANK($M51)))),$AG51="",$AH51="")))</f>
        <v/>
      </c>
      <c r="AU51" s="87" t="str">
        <f aca="false">IF($BL51&lt;&gt;Constants!$B$4,"",IF(NOT($AS51),"",ROUND((Constants!$B$12-$AB51)+(Constants!$B$13-$Z51)+(Constants!$B$14-$AA51),1)))</f>
        <v/>
      </c>
      <c r="AV51" s="90" t="str">
        <f aca="false">IF($BL51&lt;&gt;Constants!$B$4,"",IF(NOT($AS51),"",IF(NOT($AE51),0,Constants!$B$15*(INT(ROUND(MIN($AF51,$AP$9),6))-INT(ROUND(MAX(0,MIN($AF51,2*$AP$9)-$AP$9),6))))))</f>
        <v/>
      </c>
      <c r="AW51" s="90" t="str">
        <f aca="false">IF($BL51&lt;&gt;Constants!$B$4,"",IF(NOT($AS51),"",Constants!$B$16*$AG51))</f>
        <v/>
      </c>
      <c r="AX51" s="90" t="str">
        <f aca="false">IF($BL51&lt;&gt;Constants!$B$4,"",IF(NOT($AS51),"",Constants!$B$18*INT(ROUND($AH51,6))))</f>
        <v/>
      </c>
      <c r="AY51" s="85" t="str">
        <f aca="false">IF($BL51&lt;&gt;Constants!$B$4,"",IF(NOT($AS51),"",IF(NOT($X51),Constants!$B$11,IF(OR(NOT($AC51),NOT($AD51),ROUND($AB51,1)&gt;Constants!$B$12,ROUND($Z51,1)&gt;Constants!$B$13,ROUND($AA51,1)&gt;Constants!$B$14),Constants!$B$10,Constants!$B$9))))</f>
        <v/>
      </c>
      <c r="AZ51" s="91" t="str">
        <f aca="false">IF($BL51&lt;&gt;Constants!$B$4,"",IF(NOT($AS51),"",ROUND($AU51+$AV51+$AW51+$AX51,1)))</f>
        <v/>
      </c>
      <c r="BA51" s="92" t="str">
        <f aca="false">IF($BL51&lt;&gt;Constants!$B$4,"",IF(NOT($AS51),"",IF(ISNUMBER($AF51),$AF51,0)))</f>
        <v/>
      </c>
      <c r="BB51" s="86" t="str">
        <f aca="false">IF($BL51&lt;&gt;Constants!$B$4,"",IF(NOT($BC51),"&lt;-",IF(NOT($AS51),"-&gt;",IF(OR($BI51&lt;$AY51,AND($BI51=$AY51,OR($BJ51&gt;$AZ51,AND($BJ51=$AZ51,OR($BH51&gt;$AX51,AND($BH51=$AX51,OR($BE51&gt;$AU51,AND($BE51=$AU51,OR($BF51&gt;$AV51,AND($BF51=$AV51,$BK51&gt;$BA51)))))))))),"-&gt;","&lt;-"))))</f>
        <v/>
      </c>
      <c r="BC51" s="85" t="str">
        <f aca="false">IF(ISBLANK($C51),"",COUNTA($P51:$U51)&gt;0)</f>
        <v/>
      </c>
      <c r="BD51" s="85" t="str">
        <f aca="false">IF(ISBLANK($C51),"",AND($BC51,OR(AND($AL51="",OR($AK51,NOT(ISBLANK($S51)))),$AM51="",$AN51="")))</f>
        <v/>
      </c>
      <c r="BE51" s="87" t="str">
        <f aca="false">IF($BL51&lt;&gt;Constants!$B$4,"",IF(NOT($BC51),"",ROUND((Constants!$B$12-$AB51)+(Constants!$B$13-$Z51)+(Constants!$B$14-$AA51),1)))</f>
        <v/>
      </c>
      <c r="BF51" s="90" t="str">
        <f aca="false">IF($BL51&lt;&gt;Constants!$B$4,"",IF(NOT($BC51),"",IF(NOT($AK51),0,Constants!$B$15*(INT(ROUND(MIN($AL51,$AP$9),6))-INT(ROUND(MAX(0,MIN($AL51,2*$AP$9)-$AP$9),6))))))</f>
        <v/>
      </c>
      <c r="BG51" s="90" t="str">
        <f aca="false">IF($BL51&lt;&gt;Constants!$B$4,"",IF(NOT($BC51),"",Constants!$B$16*$AM51))</f>
        <v/>
      </c>
      <c r="BH51" s="90" t="str">
        <f aca="false">IF($BL51&lt;&gt;Constants!$B$4,"",IF(NOT($BC51),"",Constants!$B$18*INT(ROUND($AN51,6))))</f>
        <v/>
      </c>
      <c r="BI51" s="85" t="str">
        <f aca="false">IF($BL51&lt;&gt;Constants!$B$4,"",IF(NOT($BC51),"",IF(NOT($X51),Constants!$B$11,IF(OR(NOT($AI51),NOT($AJ51),ROUND($AB51,1)&gt;Constants!$B$12,ROUND($Z51,1)&gt;Constants!$B$13,ROUND($AA51,1)&gt;Constants!$B$14),Constants!$B$10,Constants!$B$9))))</f>
        <v/>
      </c>
      <c r="BJ51" s="91" t="str">
        <f aca="false">IF($BL51&lt;&gt;Constants!$B$4,"",IF(NOT($BC51),"",ROUND($BE51+$BF51+$BG51+$BH51,1)))</f>
        <v/>
      </c>
      <c r="BK51" s="92" t="str">
        <f aca="false">IF($BL51&lt;&gt;Constants!$B$4,"",IF(NOT($BC51),"",IF(ISNUMBER($AL51),$AL51,0)))</f>
        <v/>
      </c>
      <c r="BL51" s="86" t="str">
        <f aca="false">IF(ISBLANK($C51),"",IF($AO51,Constants!$B$7,IF(COUNTA($E51:$V51)=0,Constants!$B$6,IF(NOT($Y51),Constants!$B$5,IF(NOT(OR($AS51,$BC51)),Constants!$B$5,IF(OR($AT51,$BD51,$AQ51,$AR51&lt;&gt;""),Constants!$B$8,Constants!$B$4))))))</f>
        <v/>
      </c>
      <c r="BM51" s="86" t="str">
        <f aca="false">IF(ISBLANK($C51),"",IF($BL51&lt;&gt;Constants!$B$4,$BL51,IF($BB51="-&gt;",$BI51,$AY51)))</f>
        <v/>
      </c>
      <c r="BN51" s="90" t="str">
        <f aca="false">IF($BL51&lt;&gt;Constants!$B$4,"",IF($BB51="-&gt;",$BJ51,$AZ51))</f>
        <v/>
      </c>
      <c r="BO51" s="90" t="str">
        <f aca="false">IF(ISBLANK($C51),"",IF($BL51&lt;&gt;Constants!$B$4,$BL51,$BN51))</f>
        <v/>
      </c>
      <c r="BP51" s="86" t="str">
        <f aca="false">IF(ISBLANK($C51),"",IF($BL51&lt;&gt;Constants!$B$4,$BL51,RANK($BO51,$BO$9:$BO$508,0)))</f>
        <v/>
      </c>
      <c r="BQ51" s="86" t="str">
        <f aca="false">IF(ISBLANK($C51),"",IF($BL51&lt;&gt;Constants!$B$4,$BL51,COUNTIFS($BM$9:$BM$508,"&lt;"&amp;$BM51)+COUNTIFS($BM$9:$BM$508,$BM51,$BP$9:$BP$508,"&lt;"&amp;$BP51)+1))</f>
        <v/>
      </c>
      <c r="BR51" s="90" t="str">
        <f aca="false">IF($BL51&lt;&gt;Constants!$B$4,"",IF($BB51="-&gt;",$BH51,$AX51))</f>
        <v/>
      </c>
      <c r="BS51" s="86" t="str">
        <f aca="false">IF(ISBLANK($C51),"",IF($BL51&lt;&gt;Constants!$B$4,$BL51,IF(ISNUMBER($BR51),RANK($BR51,$BR$9:$BR$508,0),COUNT($BR$9:$BR$508)+1)))</f>
        <v/>
      </c>
      <c r="BT51" s="90" t="str">
        <f aca="false">IF($BL51&lt;&gt;Constants!$B$4,"",IF($BB51="-&gt;",$BE51,$AU51))</f>
        <v/>
      </c>
      <c r="BU51" s="86" t="str">
        <f aca="false">IF(ISBLANK($C51),"",IF($BL51&lt;&gt;Constants!$B$4,$BL51,IF(ISNUMBER($BT51),RANK($BT51,$BT$9:$BT$508,0),COUNT($BT$9:$BT$508)+1)))</f>
        <v/>
      </c>
      <c r="BV51" s="90" t="str">
        <f aca="false">IF($BL51&lt;&gt;Constants!$B$4,"",IF($BB51="-&gt;",$BF51,$AV51))</f>
        <v/>
      </c>
      <c r="BW51" s="86" t="str">
        <f aca="false">IF(ISBLANK($C51),"",IF($BL51&lt;&gt;Constants!$B$4,$BL51,IF(ISNUMBER($BV51),RANK($BV51,$BV$9:$BV$508,0),COUNT($BV$9:$BV$508)+1)))</f>
        <v/>
      </c>
      <c r="BX51" s="90" t="str">
        <f aca="false">IF($BL51&lt;&gt;Constants!$B$4,"",IF($BB51="-&gt;",$BK51,$BA51))</f>
        <v/>
      </c>
      <c r="BY51" s="86" t="str">
        <f aca="false">IF(ISBLANK($C51),"",IF($BL51&lt;&gt;Constants!$B$4,$BL51,IF(ISNUMBER($BX51),RANK($BX51,$BX$9:$BX$508,0),COUNT($BX$9:$BX$508)+1)))</f>
        <v/>
      </c>
      <c r="BZ51" s="86" t="str">
        <f aca="false">IF(ISBLANK($C51),"",IF($BL51&lt;&gt;Constants!$B$4,$BL51,COUNTIFS($BM$9:$BM$508,"&lt;"&amp;$BM51)+COUNTIFS($BM$9:$BM$508,$BM51,$BP$9:$BP$508,"&lt;"&amp;$BP51)+COUNTIFS($BM$9:$BM$508,$BM51,$BP$9:$BP$508,$BP51,$BS$9:$BS$508,"&lt;"&amp;$BS51)+COUNTIFS($BM$9:$BM$508,$BM51,$BP$9:$BP$508,$BP51,$BS$9:$BS$508,$BS51,$BU$9:$BU$508,"&lt;"&amp;$BU51)+COUNTIFS($BM$9:$BM$508,$BM51,$BP$9:$BP$508,$BP51,$BS$9:$BS$508,$BS51,$BU$9:$BU$508,$BU51,$BW$9:$BW$508,"&lt;"&amp;$BW51)+COUNTIFS($BM$9:$BM$508,$BM51,$BP$9:$BP$508,$BP51,$BS$9:$BS$508,$BS51,$BU$9:$BU$508,$BU51,$BW$9:$BW$508,$BW51,$BY$9:$BY$508,"&lt;"&amp;$BY51)+1))</f>
        <v/>
      </c>
      <c r="CA51" s="86" t="str">
        <f aca="false">IF(ISBLANK($C51),"",IF($BL51&lt;&gt;Constants!$B$4,$BL51,$BQ51-$BZ51))</f>
        <v/>
      </c>
      <c r="CB51" s="93"/>
      <c r="CC51" s="94" t="str">
        <f aca="false">IF(ISBLANK($C51),"",IF($BL51=Constants!$B$8,$AR51,""))</f>
        <v/>
      </c>
      <c r="CD51" s="94" t="str">
        <f aca="false">IF(ISBLANK($C51),"",IF($BL51&lt;&gt;Constants!$B$4,"",IF($BB51="-&gt;",2,1)))</f>
        <v/>
      </c>
      <c r="CE51" s="95" t="str">
        <f aca="false">IF(ISBLANK($C51),"",IF($BL51&lt;&gt;Constants!$B$4,"",IF($BB51="-&gt;",$BE51,$AU51)))</f>
        <v/>
      </c>
      <c r="CF51" s="95" t="str">
        <f aca="false">IF(ISBLANK($C51),"",IF($BL51&lt;&gt;Constants!$B$4,"",IF($BB51="-&gt;",$BF51,$AV51)))</f>
        <v/>
      </c>
      <c r="CG51" s="95" t="str">
        <f aca="false">IF(ISBLANK($C51),"",IF($BL51&lt;&gt;Constants!$B$4,"",IF($BB51="-&gt;",$BG51,$AW51)))</f>
        <v/>
      </c>
      <c r="CH51" s="95" t="str">
        <f aca="false">IF(ISBLANK($C51),"",IF($BL51&lt;&gt;Constants!$B$4,"",IF($BB51="-&gt;",$BH51,$AX51)))</f>
        <v/>
      </c>
      <c r="CI51" s="96" t="str">
        <f aca="false">IF(ISBLANK($C51),"",$BO51)</f>
        <v/>
      </c>
      <c r="CJ51" s="97" t="str">
        <f aca="false">IF(ISBLANK($C51),"",$BM51)</f>
        <v/>
      </c>
      <c r="CK51" s="98" t="str">
        <f aca="false">IF(ISBLANK($C51),"",$CA51)</f>
        <v/>
      </c>
      <c r="CL51" s="98" t="str">
        <f aca="false">IF(ISBLANK($C51),"",$BZ51)</f>
        <v/>
      </c>
      <c r="CM51" s="99" t="str">
        <f aca="false">IF(ISBLANK($C51),"",IF($CL51=Constants!$B$7,COUNTA($C$9:$C$508)+2,IF($CL51=Constants!$B$6,COUNTA($C$9:$C$508)+1,IF($CL51=Constants!$B$5,COUNTA($C$9:$C$508),$CL51))))</f>
        <v/>
      </c>
      <c r="CN51" s="8"/>
      <c r="CO51" s="100" t="n">
        <f aca="false">IF(OR(ISNUMBER($CL51),$CL51=Constants!$B$7,$CL51=Constants!$B$5,$CL51=Constants!$B$6),1,0)</f>
        <v>0</v>
      </c>
      <c r="CP51" s="100" t="n">
        <v>43</v>
      </c>
      <c r="CQ51" s="100" t="str">
        <f aca="false">IF(ISBLANK($C51),"",IF(ISNUMBER($CM51),$CM51+ROW($B51)/1000,""))</f>
        <v/>
      </c>
      <c r="CR51" s="100" t="str">
        <f aca="false">IF(ISNUMBER($CQ51),RANK($CQ51,$CQ$9:$CQ$508,1),"")</f>
        <v/>
      </c>
      <c r="CS51" s="100" t="str">
        <f aca="false">IF(ISBLANK($C51),"",$B51)</f>
        <v/>
      </c>
      <c r="CT51" s="100" t="str">
        <f aca="false">IF(ISBLANK($C51),"",$C51)</f>
        <v/>
      </c>
      <c r="CU51" s="100" t="str">
        <f aca="false">IF(ISBLANK($C51),"",$D51)</f>
        <v/>
      </c>
      <c r="CV51" s="101" t="str">
        <f aca="false">$CJ51</f>
        <v/>
      </c>
      <c r="CW51" s="102" t="str">
        <f aca="false">$CI51</f>
        <v/>
      </c>
      <c r="CX51" s="100" t="str">
        <f aca="false">IF(ISBLANK($C51),"",$CL51)</f>
        <v/>
      </c>
      <c r="CY51" s="103" t="str">
        <f aca="false">IF($CP51&gt;$CO$8,"",VLOOKUP($CP51,$CR$9:$CX$508,7,FALSE()))</f>
        <v/>
      </c>
      <c r="CZ51" s="104" t="str">
        <f aca="false">IF($CP51&gt;$CO$8,"",VLOOKUP($CP51,$CR$9:$CX$508,2,FALSE()))</f>
        <v/>
      </c>
      <c r="DA51" s="104" t="str">
        <f aca="false">IF($CP51&gt;$CO$8,"",VLOOKUP($CP51,$CR$9:$CX$508,3,FALSE()))</f>
        <v/>
      </c>
      <c r="DB51" s="104" t="str">
        <f aca="false">IF($CP51&gt;$CO$8,"",VLOOKUP($CP51,$CR$9:$CX$508,4,FALSE()))</f>
        <v/>
      </c>
      <c r="DC51" s="104" t="str">
        <f aca="false">IF($CP51&gt;$CO$8,"",VLOOKUP($CP51,$CR$9:$CX$508,5,FALSE()))</f>
        <v/>
      </c>
      <c r="DD51" s="105" t="str">
        <f aca="false">IF($CP51&gt;$CO$8,"",VLOOKUP($CP51,$CR$9:$CX$508,6,FALSE()))</f>
        <v/>
      </c>
      <c r="DE51" s="70"/>
    </row>
    <row r="52" customFormat="false" ht="15.75" hidden="false" customHeight="false" outlineLevel="0" collapsed="false">
      <c r="A52" s="8"/>
      <c r="B52" s="72"/>
      <c r="C52" s="73"/>
      <c r="D52" s="155"/>
      <c r="E52" s="162"/>
      <c r="F52" s="157"/>
      <c r="G52" s="77"/>
      <c r="H52" s="77"/>
      <c r="I52" s="77"/>
      <c r="J52" s="163"/>
      <c r="K52" s="161"/>
      <c r="L52" s="161"/>
      <c r="M52" s="80"/>
      <c r="N52" s="161"/>
      <c r="O52" s="160"/>
      <c r="P52" s="161"/>
      <c r="Q52" s="161"/>
      <c r="R52" s="161"/>
      <c r="S52" s="77"/>
      <c r="T52" s="161"/>
      <c r="U52" s="160"/>
      <c r="V52" s="161"/>
      <c r="W52" s="85"/>
      <c r="X52" s="86" t="str">
        <f aca="false">IF(ISBLANK($C52),"",IF($E52=Constants!$B$2,TRUE(),IF($E52=Constants!$B$3,FALSE(),TRUE())))</f>
        <v/>
      </c>
      <c r="Y52" s="86" t="str">
        <f aca="false">IF(ISBLANK($C52),"",IF($F52=Constants!$B$2,TRUE(),IF($F52=Constants!$B$3,FALSE(),TRUE())))</f>
        <v/>
      </c>
      <c r="Z52" s="87" t="str">
        <f aca="false">IF(ISBLANK($C52),"",IF(ISNUMBER($G52),IF($G52&gt;=0,$G52,""),""))</f>
        <v/>
      </c>
      <c r="AA52" s="87" t="str">
        <f aca="false">IF(ISBLANK($C52),"",IF(ISNUMBER($H52),IF($H52&gt;=0,$H52,""),""))</f>
        <v/>
      </c>
      <c r="AB52" s="87" t="str">
        <f aca="false">IF(ISBLANK($C52),"",IF(ISNUMBER($I52),IF($I52&gt;=0,$I52,""),""))</f>
        <v/>
      </c>
      <c r="AC52" s="86" t="str">
        <f aca="false">IF(ISBLANK($C52),"",IF($J52=Constants!$B$2,TRUE(),IF($J52=Constants!$B$3,FALSE(),TRUE())))</f>
        <v/>
      </c>
      <c r="AD52" s="86" t="str">
        <f aca="false">IF(ISBLANK($C52),"",IF($K52=Constants!$B$2,TRUE(),IF($K52=Constants!$B$3,FALSE(),TRUE())))</f>
        <v/>
      </c>
      <c r="AE52" s="86" t="str">
        <f aca="false">IF(ISBLANK($C52),"",IF($L52=Constants!$B$2,TRUE(),IF($L52=Constants!$B$3,FALSE(),TRUE())))</f>
        <v/>
      </c>
      <c r="AF52" s="88" t="str">
        <f aca="false">IF(ISBLANK($C52),"",IF(ISNUMBER($M52),IF($M52&gt;=0,$M52,""),""))</f>
        <v/>
      </c>
      <c r="AG52" s="86" t="str">
        <f aca="false">IF(ISBLANK($C52),"",IF(ISBLANK($N52),0,IF(ISNUMBER($N52),IF(AND($N52&gt;=0,$N52&lt;=Constants!$B$17,$N52=INT($N52)),$N52,""),"")))</f>
        <v/>
      </c>
      <c r="AH52" s="87" t="str">
        <f aca="false">IF(ISBLANK($C52),"",IF(ISBLANK($O52),0,IF(ISNUMBER($O52),IF($O52&gt;=0,$O52,""),"")))</f>
        <v/>
      </c>
      <c r="AI52" s="86" t="str">
        <f aca="false">IF(ISBLANK($C52),"",IF($P52=Constants!$B$2,TRUE(),IF($P52=Constants!$B$3,FALSE(),TRUE())))</f>
        <v/>
      </c>
      <c r="AJ52" s="86" t="str">
        <f aca="false">IF(ISBLANK($C52),"",IF($Q52=Constants!$B$2,TRUE(),IF($Q52=Constants!$B$3,FALSE(),TRUE())))</f>
        <v/>
      </c>
      <c r="AK52" s="86" t="str">
        <f aca="false">IF(ISBLANK($C52),"",IF($R52=Constants!$B$2,TRUE(),IF($R52=Constants!$B$3,FALSE(),TRUE())))</f>
        <v/>
      </c>
      <c r="AL52" s="88" t="str">
        <f aca="false">IF(ISBLANK($C52),"",IF(ISNUMBER($S52),IF($S52&gt;=0,$S52,""),""))</f>
        <v/>
      </c>
      <c r="AM52" s="86" t="str">
        <f aca="false">IF(ISBLANK($C52),"",IF(ISBLANK($T52),0,IF(ISNUMBER($T52),IF(AND($T52&gt;=0,$T52&lt;=Constants!$B$17,$T52=INT($T52)),$T52,""),"")))</f>
        <v/>
      </c>
      <c r="AN52" s="87" t="str">
        <f aca="false">IF(ISBLANK($C52),"",IF(ISBLANK($U52),0,IF(ISNUMBER($U52),IF($U52&gt;=0,$U52,""),"")))</f>
        <v/>
      </c>
      <c r="AO52" s="86" t="str">
        <f aca="false">IF(ISBLANK($C52),"",IF($V52=Constants!$B$2,TRUE(),IF($V52=Constants!$B$3,FALSE(),FALSE())))</f>
        <v/>
      </c>
      <c r="AP52" s="86"/>
      <c r="AQ52" s="85" t="str">
        <f aca="false">IF(ISBLANK($C52),"",AND($Y52,OR($AS52,$BC52),OR($Z52="",$AA52="",$AB52="")))</f>
        <v/>
      </c>
      <c r="AR52" s="85" t="str">
        <f aca="false">IF(ISBLANK($C52),"",IF(OR(NOT($Y52),NOT(OR($AS52,$BC52))),"",IF(ISBLANK($D$7),$AR$5,IF($AP$9="",$AR$6,""))))</f>
        <v/>
      </c>
      <c r="AS52" s="85" t="str">
        <f aca="false">IF(ISBLANK($C52),"",COUNTA($J52:$O52)&gt;0)</f>
        <v/>
      </c>
      <c r="AT52" s="85" t="str">
        <f aca="false">IF(ISBLANK($C52),"",AND($AS52,OR(AND($AF52="",OR($AE52,NOT(ISBLANK($M52)))),$AG52="",$AH52="")))</f>
        <v/>
      </c>
      <c r="AU52" s="87" t="str">
        <f aca="false">IF($BL52&lt;&gt;Constants!$B$4,"",IF(NOT($AS52),"",ROUND((Constants!$B$12-$AB52)+(Constants!$B$13-$Z52)+(Constants!$B$14-$AA52),1)))</f>
        <v/>
      </c>
      <c r="AV52" s="90" t="str">
        <f aca="false">IF($BL52&lt;&gt;Constants!$B$4,"",IF(NOT($AS52),"",IF(NOT($AE52),0,Constants!$B$15*(INT(ROUND(MIN($AF52,$AP$9),6))-INT(ROUND(MAX(0,MIN($AF52,2*$AP$9)-$AP$9),6))))))</f>
        <v/>
      </c>
      <c r="AW52" s="90" t="str">
        <f aca="false">IF($BL52&lt;&gt;Constants!$B$4,"",IF(NOT($AS52),"",Constants!$B$16*$AG52))</f>
        <v/>
      </c>
      <c r="AX52" s="90" t="str">
        <f aca="false">IF($BL52&lt;&gt;Constants!$B$4,"",IF(NOT($AS52),"",Constants!$B$18*INT(ROUND($AH52,6))))</f>
        <v/>
      </c>
      <c r="AY52" s="85" t="str">
        <f aca="false">IF($BL52&lt;&gt;Constants!$B$4,"",IF(NOT($AS52),"",IF(NOT($X52),Constants!$B$11,IF(OR(NOT($AC52),NOT($AD52),ROUND($AB52,1)&gt;Constants!$B$12,ROUND($Z52,1)&gt;Constants!$B$13,ROUND($AA52,1)&gt;Constants!$B$14),Constants!$B$10,Constants!$B$9))))</f>
        <v/>
      </c>
      <c r="AZ52" s="91" t="str">
        <f aca="false">IF($BL52&lt;&gt;Constants!$B$4,"",IF(NOT($AS52),"",ROUND($AU52+$AV52+$AW52+$AX52,1)))</f>
        <v/>
      </c>
      <c r="BA52" s="92" t="str">
        <f aca="false">IF($BL52&lt;&gt;Constants!$B$4,"",IF(NOT($AS52),"",IF(ISNUMBER($AF52),$AF52,0)))</f>
        <v/>
      </c>
      <c r="BB52" s="86" t="str">
        <f aca="false">IF($BL52&lt;&gt;Constants!$B$4,"",IF(NOT($BC52),"&lt;-",IF(NOT($AS52),"-&gt;",IF(OR($BI52&lt;$AY52,AND($BI52=$AY52,OR($BJ52&gt;$AZ52,AND($BJ52=$AZ52,OR($BH52&gt;$AX52,AND($BH52=$AX52,OR($BE52&gt;$AU52,AND($BE52=$AU52,OR($BF52&gt;$AV52,AND($BF52=$AV52,$BK52&gt;$BA52)))))))))),"-&gt;","&lt;-"))))</f>
        <v/>
      </c>
      <c r="BC52" s="85" t="str">
        <f aca="false">IF(ISBLANK($C52),"",COUNTA($P52:$U52)&gt;0)</f>
        <v/>
      </c>
      <c r="BD52" s="85" t="str">
        <f aca="false">IF(ISBLANK($C52),"",AND($BC52,OR(AND($AL52="",OR($AK52,NOT(ISBLANK($S52)))),$AM52="",$AN52="")))</f>
        <v/>
      </c>
      <c r="BE52" s="87" t="str">
        <f aca="false">IF($BL52&lt;&gt;Constants!$B$4,"",IF(NOT($BC52),"",ROUND((Constants!$B$12-$AB52)+(Constants!$B$13-$Z52)+(Constants!$B$14-$AA52),1)))</f>
        <v/>
      </c>
      <c r="BF52" s="90" t="str">
        <f aca="false">IF($BL52&lt;&gt;Constants!$B$4,"",IF(NOT($BC52),"",IF(NOT($AK52),0,Constants!$B$15*(INT(ROUND(MIN($AL52,$AP$9),6))-INT(ROUND(MAX(0,MIN($AL52,2*$AP$9)-$AP$9),6))))))</f>
        <v/>
      </c>
      <c r="BG52" s="90" t="str">
        <f aca="false">IF($BL52&lt;&gt;Constants!$B$4,"",IF(NOT($BC52),"",Constants!$B$16*$AM52))</f>
        <v/>
      </c>
      <c r="BH52" s="90" t="str">
        <f aca="false">IF($BL52&lt;&gt;Constants!$B$4,"",IF(NOT($BC52),"",Constants!$B$18*INT(ROUND($AN52,6))))</f>
        <v/>
      </c>
      <c r="BI52" s="85" t="str">
        <f aca="false">IF($BL52&lt;&gt;Constants!$B$4,"",IF(NOT($BC52),"",IF(NOT($X52),Constants!$B$11,IF(OR(NOT($AI52),NOT($AJ52),ROUND($AB52,1)&gt;Constants!$B$12,ROUND($Z52,1)&gt;Constants!$B$13,ROUND($AA52,1)&gt;Constants!$B$14),Constants!$B$10,Constants!$B$9))))</f>
        <v/>
      </c>
      <c r="BJ52" s="91" t="str">
        <f aca="false">IF($BL52&lt;&gt;Constants!$B$4,"",IF(NOT($BC52),"",ROUND($BE52+$BF52+$BG52+$BH52,1)))</f>
        <v/>
      </c>
      <c r="BK52" s="92" t="str">
        <f aca="false">IF($BL52&lt;&gt;Constants!$B$4,"",IF(NOT($BC52),"",IF(ISNUMBER($AL52),$AL52,0)))</f>
        <v/>
      </c>
      <c r="BL52" s="86" t="str">
        <f aca="false">IF(ISBLANK($C52),"",IF($AO52,Constants!$B$7,IF(COUNTA($E52:$V52)=0,Constants!$B$6,IF(NOT($Y52),Constants!$B$5,IF(NOT(OR($AS52,$BC52)),Constants!$B$5,IF(OR($AT52,$BD52,$AQ52,$AR52&lt;&gt;""),Constants!$B$8,Constants!$B$4))))))</f>
        <v/>
      </c>
      <c r="BM52" s="86" t="str">
        <f aca="false">IF(ISBLANK($C52),"",IF($BL52&lt;&gt;Constants!$B$4,$BL52,IF($BB52="-&gt;",$BI52,$AY52)))</f>
        <v/>
      </c>
      <c r="BN52" s="90" t="str">
        <f aca="false">IF($BL52&lt;&gt;Constants!$B$4,"",IF($BB52="-&gt;",$BJ52,$AZ52))</f>
        <v/>
      </c>
      <c r="BO52" s="90" t="str">
        <f aca="false">IF(ISBLANK($C52),"",IF($BL52&lt;&gt;Constants!$B$4,$BL52,$BN52))</f>
        <v/>
      </c>
      <c r="BP52" s="86" t="str">
        <f aca="false">IF(ISBLANK($C52),"",IF($BL52&lt;&gt;Constants!$B$4,$BL52,RANK($BO52,$BO$9:$BO$508,0)))</f>
        <v/>
      </c>
      <c r="BQ52" s="86" t="str">
        <f aca="false">IF(ISBLANK($C52),"",IF($BL52&lt;&gt;Constants!$B$4,$BL52,COUNTIFS($BM$9:$BM$508,"&lt;"&amp;$BM52)+COUNTIFS($BM$9:$BM$508,$BM52,$BP$9:$BP$508,"&lt;"&amp;$BP52)+1))</f>
        <v/>
      </c>
      <c r="BR52" s="90" t="str">
        <f aca="false">IF($BL52&lt;&gt;Constants!$B$4,"",IF($BB52="-&gt;",$BH52,$AX52))</f>
        <v/>
      </c>
      <c r="BS52" s="86" t="str">
        <f aca="false">IF(ISBLANK($C52),"",IF($BL52&lt;&gt;Constants!$B$4,$BL52,IF(ISNUMBER($BR52),RANK($BR52,$BR$9:$BR$508,0),COUNT($BR$9:$BR$508)+1)))</f>
        <v/>
      </c>
      <c r="BT52" s="90" t="str">
        <f aca="false">IF($BL52&lt;&gt;Constants!$B$4,"",IF($BB52="-&gt;",$BE52,$AU52))</f>
        <v/>
      </c>
      <c r="BU52" s="86" t="str">
        <f aca="false">IF(ISBLANK($C52),"",IF($BL52&lt;&gt;Constants!$B$4,$BL52,IF(ISNUMBER($BT52),RANK($BT52,$BT$9:$BT$508,0),COUNT($BT$9:$BT$508)+1)))</f>
        <v/>
      </c>
      <c r="BV52" s="90" t="str">
        <f aca="false">IF($BL52&lt;&gt;Constants!$B$4,"",IF($BB52="-&gt;",$BF52,$AV52))</f>
        <v/>
      </c>
      <c r="BW52" s="86" t="str">
        <f aca="false">IF(ISBLANK($C52),"",IF($BL52&lt;&gt;Constants!$B$4,$BL52,IF(ISNUMBER($BV52),RANK($BV52,$BV$9:$BV$508,0),COUNT($BV$9:$BV$508)+1)))</f>
        <v/>
      </c>
      <c r="BX52" s="90" t="str">
        <f aca="false">IF($BL52&lt;&gt;Constants!$B$4,"",IF($BB52="-&gt;",$BK52,$BA52))</f>
        <v/>
      </c>
      <c r="BY52" s="86" t="str">
        <f aca="false">IF(ISBLANK($C52),"",IF($BL52&lt;&gt;Constants!$B$4,$BL52,IF(ISNUMBER($BX52),RANK($BX52,$BX$9:$BX$508,0),COUNT($BX$9:$BX$508)+1)))</f>
        <v/>
      </c>
      <c r="BZ52" s="86" t="str">
        <f aca="false">IF(ISBLANK($C52),"",IF($BL52&lt;&gt;Constants!$B$4,$BL52,COUNTIFS($BM$9:$BM$508,"&lt;"&amp;$BM52)+COUNTIFS($BM$9:$BM$508,$BM52,$BP$9:$BP$508,"&lt;"&amp;$BP52)+COUNTIFS($BM$9:$BM$508,$BM52,$BP$9:$BP$508,$BP52,$BS$9:$BS$508,"&lt;"&amp;$BS52)+COUNTIFS($BM$9:$BM$508,$BM52,$BP$9:$BP$508,$BP52,$BS$9:$BS$508,$BS52,$BU$9:$BU$508,"&lt;"&amp;$BU52)+COUNTIFS($BM$9:$BM$508,$BM52,$BP$9:$BP$508,$BP52,$BS$9:$BS$508,$BS52,$BU$9:$BU$508,$BU52,$BW$9:$BW$508,"&lt;"&amp;$BW52)+COUNTIFS($BM$9:$BM$508,$BM52,$BP$9:$BP$508,$BP52,$BS$9:$BS$508,$BS52,$BU$9:$BU$508,$BU52,$BW$9:$BW$508,$BW52,$BY$9:$BY$508,"&lt;"&amp;$BY52)+1))</f>
        <v/>
      </c>
      <c r="CA52" s="86" t="str">
        <f aca="false">IF(ISBLANK($C52),"",IF($BL52&lt;&gt;Constants!$B$4,$BL52,$BQ52-$BZ52))</f>
        <v/>
      </c>
      <c r="CB52" s="93"/>
      <c r="CC52" s="94" t="str">
        <f aca="false">IF(ISBLANK($C52),"",IF($BL52=Constants!$B$8,$AR52,""))</f>
        <v/>
      </c>
      <c r="CD52" s="94" t="str">
        <f aca="false">IF(ISBLANK($C52),"",IF($BL52&lt;&gt;Constants!$B$4,"",IF($BB52="-&gt;",2,1)))</f>
        <v/>
      </c>
      <c r="CE52" s="95" t="str">
        <f aca="false">IF(ISBLANK($C52),"",IF($BL52&lt;&gt;Constants!$B$4,"",IF($BB52="-&gt;",$BE52,$AU52)))</f>
        <v/>
      </c>
      <c r="CF52" s="95" t="str">
        <f aca="false">IF(ISBLANK($C52),"",IF($BL52&lt;&gt;Constants!$B$4,"",IF($BB52="-&gt;",$BF52,$AV52)))</f>
        <v/>
      </c>
      <c r="CG52" s="95" t="str">
        <f aca="false">IF(ISBLANK($C52),"",IF($BL52&lt;&gt;Constants!$B$4,"",IF($BB52="-&gt;",$BG52,$AW52)))</f>
        <v/>
      </c>
      <c r="CH52" s="95" t="str">
        <f aca="false">IF(ISBLANK($C52),"",IF($BL52&lt;&gt;Constants!$B$4,"",IF($BB52="-&gt;",$BH52,$AX52)))</f>
        <v/>
      </c>
      <c r="CI52" s="96" t="str">
        <f aca="false">IF(ISBLANK($C52),"",$BO52)</f>
        <v/>
      </c>
      <c r="CJ52" s="97" t="str">
        <f aca="false">IF(ISBLANK($C52),"",$BM52)</f>
        <v/>
      </c>
      <c r="CK52" s="98" t="str">
        <f aca="false">IF(ISBLANK($C52),"",$CA52)</f>
        <v/>
      </c>
      <c r="CL52" s="98" t="str">
        <f aca="false">IF(ISBLANK($C52),"",$BZ52)</f>
        <v/>
      </c>
      <c r="CM52" s="99" t="str">
        <f aca="false">IF(ISBLANK($C52),"",IF($CL52=Constants!$B$7,COUNTA($C$9:$C$508)+2,IF($CL52=Constants!$B$6,COUNTA($C$9:$C$508)+1,IF($CL52=Constants!$B$5,COUNTA($C$9:$C$508),$CL52))))</f>
        <v/>
      </c>
      <c r="CN52" s="8"/>
      <c r="CO52" s="100" t="n">
        <f aca="false">IF(OR(ISNUMBER($CL52),$CL52=Constants!$B$7,$CL52=Constants!$B$5,$CL52=Constants!$B$6),1,0)</f>
        <v>0</v>
      </c>
      <c r="CP52" s="100" t="n">
        <v>44</v>
      </c>
      <c r="CQ52" s="100" t="str">
        <f aca="false">IF(ISBLANK($C52),"",IF(ISNUMBER($CM52),$CM52+ROW($B52)/1000,""))</f>
        <v/>
      </c>
      <c r="CR52" s="100" t="str">
        <f aca="false">IF(ISNUMBER($CQ52),RANK($CQ52,$CQ$9:$CQ$508,1),"")</f>
        <v/>
      </c>
      <c r="CS52" s="100" t="str">
        <f aca="false">IF(ISBLANK($C52),"",$B52)</f>
        <v/>
      </c>
      <c r="CT52" s="100" t="str">
        <f aca="false">IF(ISBLANK($C52),"",$C52)</f>
        <v/>
      </c>
      <c r="CU52" s="100" t="str">
        <f aca="false">IF(ISBLANK($C52),"",$D52)</f>
        <v/>
      </c>
      <c r="CV52" s="101" t="str">
        <f aca="false">$CJ52</f>
        <v/>
      </c>
      <c r="CW52" s="102" t="str">
        <f aca="false">$CI52</f>
        <v/>
      </c>
      <c r="CX52" s="100" t="str">
        <f aca="false">IF(ISBLANK($C52),"",$CL52)</f>
        <v/>
      </c>
      <c r="CY52" s="103" t="str">
        <f aca="false">IF($CP52&gt;$CO$8,"",VLOOKUP($CP52,$CR$9:$CX$508,7,FALSE()))</f>
        <v/>
      </c>
      <c r="CZ52" s="104" t="str">
        <f aca="false">IF($CP52&gt;$CO$8,"",VLOOKUP($CP52,$CR$9:$CX$508,2,FALSE()))</f>
        <v/>
      </c>
      <c r="DA52" s="104" t="str">
        <f aca="false">IF($CP52&gt;$CO$8,"",VLOOKUP($CP52,$CR$9:$CX$508,3,FALSE()))</f>
        <v/>
      </c>
      <c r="DB52" s="104" t="str">
        <f aca="false">IF($CP52&gt;$CO$8,"",VLOOKUP($CP52,$CR$9:$CX$508,4,FALSE()))</f>
        <v/>
      </c>
      <c r="DC52" s="104" t="str">
        <f aca="false">IF($CP52&gt;$CO$8,"",VLOOKUP($CP52,$CR$9:$CX$508,5,FALSE()))</f>
        <v/>
      </c>
      <c r="DD52" s="105" t="str">
        <f aca="false">IF($CP52&gt;$CO$8,"",VLOOKUP($CP52,$CR$9:$CX$508,6,FALSE()))</f>
        <v/>
      </c>
      <c r="DE52" s="70"/>
    </row>
    <row r="53" customFormat="false" ht="15.75" hidden="false" customHeight="false" outlineLevel="0" collapsed="false">
      <c r="A53" s="8"/>
      <c r="B53" s="72"/>
      <c r="C53" s="73"/>
      <c r="D53" s="155"/>
      <c r="E53" s="162"/>
      <c r="F53" s="157"/>
      <c r="G53" s="77"/>
      <c r="H53" s="77"/>
      <c r="I53" s="77"/>
      <c r="J53" s="163"/>
      <c r="K53" s="161"/>
      <c r="L53" s="161"/>
      <c r="M53" s="80"/>
      <c r="N53" s="161"/>
      <c r="O53" s="160"/>
      <c r="P53" s="161"/>
      <c r="Q53" s="161"/>
      <c r="R53" s="161"/>
      <c r="S53" s="77"/>
      <c r="T53" s="161"/>
      <c r="U53" s="160"/>
      <c r="V53" s="161"/>
      <c r="W53" s="85"/>
      <c r="X53" s="86" t="str">
        <f aca="false">IF(ISBLANK($C53),"",IF($E53=Constants!$B$2,TRUE(),IF($E53=Constants!$B$3,FALSE(),TRUE())))</f>
        <v/>
      </c>
      <c r="Y53" s="86" t="str">
        <f aca="false">IF(ISBLANK($C53),"",IF($F53=Constants!$B$2,TRUE(),IF($F53=Constants!$B$3,FALSE(),TRUE())))</f>
        <v/>
      </c>
      <c r="Z53" s="87" t="str">
        <f aca="false">IF(ISBLANK($C53),"",IF(ISNUMBER($G53),IF($G53&gt;=0,$G53,""),""))</f>
        <v/>
      </c>
      <c r="AA53" s="87" t="str">
        <f aca="false">IF(ISBLANK($C53),"",IF(ISNUMBER($H53),IF($H53&gt;=0,$H53,""),""))</f>
        <v/>
      </c>
      <c r="AB53" s="87" t="str">
        <f aca="false">IF(ISBLANK($C53),"",IF(ISNUMBER($I53),IF($I53&gt;=0,$I53,""),""))</f>
        <v/>
      </c>
      <c r="AC53" s="86" t="str">
        <f aca="false">IF(ISBLANK($C53),"",IF($J53=Constants!$B$2,TRUE(),IF($J53=Constants!$B$3,FALSE(),TRUE())))</f>
        <v/>
      </c>
      <c r="AD53" s="86" t="str">
        <f aca="false">IF(ISBLANK($C53),"",IF($K53=Constants!$B$2,TRUE(),IF($K53=Constants!$B$3,FALSE(),TRUE())))</f>
        <v/>
      </c>
      <c r="AE53" s="86" t="str">
        <f aca="false">IF(ISBLANK($C53),"",IF($L53=Constants!$B$2,TRUE(),IF($L53=Constants!$B$3,FALSE(),TRUE())))</f>
        <v/>
      </c>
      <c r="AF53" s="88" t="str">
        <f aca="false">IF(ISBLANK($C53),"",IF(ISNUMBER($M53),IF($M53&gt;=0,$M53,""),""))</f>
        <v/>
      </c>
      <c r="AG53" s="86" t="str">
        <f aca="false">IF(ISBLANK($C53),"",IF(ISBLANK($N53),0,IF(ISNUMBER($N53),IF(AND($N53&gt;=0,$N53&lt;=Constants!$B$17,$N53=INT($N53)),$N53,""),"")))</f>
        <v/>
      </c>
      <c r="AH53" s="87" t="str">
        <f aca="false">IF(ISBLANK($C53),"",IF(ISBLANK($O53),0,IF(ISNUMBER($O53),IF($O53&gt;=0,$O53,""),"")))</f>
        <v/>
      </c>
      <c r="AI53" s="86" t="str">
        <f aca="false">IF(ISBLANK($C53),"",IF($P53=Constants!$B$2,TRUE(),IF($P53=Constants!$B$3,FALSE(),TRUE())))</f>
        <v/>
      </c>
      <c r="AJ53" s="86" t="str">
        <f aca="false">IF(ISBLANK($C53),"",IF($Q53=Constants!$B$2,TRUE(),IF($Q53=Constants!$B$3,FALSE(),TRUE())))</f>
        <v/>
      </c>
      <c r="AK53" s="86" t="str">
        <f aca="false">IF(ISBLANK($C53),"",IF($R53=Constants!$B$2,TRUE(),IF($R53=Constants!$B$3,FALSE(),TRUE())))</f>
        <v/>
      </c>
      <c r="AL53" s="88" t="str">
        <f aca="false">IF(ISBLANK($C53),"",IF(ISNUMBER($S53),IF($S53&gt;=0,$S53,""),""))</f>
        <v/>
      </c>
      <c r="AM53" s="86" t="str">
        <f aca="false">IF(ISBLANK($C53),"",IF(ISBLANK($T53),0,IF(ISNUMBER($T53),IF(AND($T53&gt;=0,$T53&lt;=Constants!$B$17,$T53=INT($T53)),$T53,""),"")))</f>
        <v/>
      </c>
      <c r="AN53" s="87" t="str">
        <f aca="false">IF(ISBLANK($C53),"",IF(ISBLANK($U53),0,IF(ISNUMBER($U53),IF($U53&gt;=0,$U53,""),"")))</f>
        <v/>
      </c>
      <c r="AO53" s="86" t="str">
        <f aca="false">IF(ISBLANK($C53),"",IF($V53=Constants!$B$2,TRUE(),IF($V53=Constants!$B$3,FALSE(),FALSE())))</f>
        <v/>
      </c>
      <c r="AP53" s="86"/>
      <c r="AQ53" s="85" t="str">
        <f aca="false">IF(ISBLANK($C53),"",AND($Y53,OR($AS53,$BC53),OR($Z53="",$AA53="",$AB53="")))</f>
        <v/>
      </c>
      <c r="AR53" s="85" t="str">
        <f aca="false">IF(ISBLANK($C53),"",IF(OR(NOT($Y53),NOT(OR($AS53,$BC53))),"",IF(ISBLANK($D$7),$AR$5,IF($AP$9="",$AR$6,""))))</f>
        <v/>
      </c>
      <c r="AS53" s="85" t="str">
        <f aca="false">IF(ISBLANK($C53),"",COUNTA($J53:$O53)&gt;0)</f>
        <v/>
      </c>
      <c r="AT53" s="85" t="str">
        <f aca="false">IF(ISBLANK($C53),"",AND($AS53,OR(AND($AF53="",OR($AE53,NOT(ISBLANK($M53)))),$AG53="",$AH53="")))</f>
        <v/>
      </c>
      <c r="AU53" s="87" t="str">
        <f aca="false">IF($BL53&lt;&gt;Constants!$B$4,"",IF(NOT($AS53),"",ROUND((Constants!$B$12-$AB53)+(Constants!$B$13-$Z53)+(Constants!$B$14-$AA53),1)))</f>
        <v/>
      </c>
      <c r="AV53" s="90" t="str">
        <f aca="false">IF($BL53&lt;&gt;Constants!$B$4,"",IF(NOT($AS53),"",IF(NOT($AE53),0,Constants!$B$15*(INT(ROUND(MIN($AF53,$AP$9),6))-INT(ROUND(MAX(0,MIN($AF53,2*$AP$9)-$AP$9),6))))))</f>
        <v/>
      </c>
      <c r="AW53" s="90" t="str">
        <f aca="false">IF($BL53&lt;&gt;Constants!$B$4,"",IF(NOT($AS53),"",Constants!$B$16*$AG53))</f>
        <v/>
      </c>
      <c r="AX53" s="90" t="str">
        <f aca="false">IF($BL53&lt;&gt;Constants!$B$4,"",IF(NOT($AS53),"",Constants!$B$18*INT(ROUND($AH53,6))))</f>
        <v/>
      </c>
      <c r="AY53" s="85" t="str">
        <f aca="false">IF($BL53&lt;&gt;Constants!$B$4,"",IF(NOT($AS53),"",IF(NOT($X53),Constants!$B$11,IF(OR(NOT($AC53),NOT($AD53),ROUND($AB53,1)&gt;Constants!$B$12,ROUND($Z53,1)&gt;Constants!$B$13,ROUND($AA53,1)&gt;Constants!$B$14),Constants!$B$10,Constants!$B$9))))</f>
        <v/>
      </c>
      <c r="AZ53" s="91" t="str">
        <f aca="false">IF($BL53&lt;&gt;Constants!$B$4,"",IF(NOT($AS53),"",ROUND($AU53+$AV53+$AW53+$AX53,1)))</f>
        <v/>
      </c>
      <c r="BA53" s="92" t="str">
        <f aca="false">IF($BL53&lt;&gt;Constants!$B$4,"",IF(NOT($AS53),"",IF(ISNUMBER($AF53),$AF53,0)))</f>
        <v/>
      </c>
      <c r="BB53" s="86" t="str">
        <f aca="false">IF($BL53&lt;&gt;Constants!$B$4,"",IF(NOT($BC53),"&lt;-",IF(NOT($AS53),"-&gt;",IF(OR($BI53&lt;$AY53,AND($BI53=$AY53,OR($BJ53&gt;$AZ53,AND($BJ53=$AZ53,OR($BH53&gt;$AX53,AND($BH53=$AX53,OR($BE53&gt;$AU53,AND($BE53=$AU53,OR($BF53&gt;$AV53,AND($BF53=$AV53,$BK53&gt;$BA53)))))))))),"-&gt;","&lt;-"))))</f>
        <v/>
      </c>
      <c r="BC53" s="85" t="str">
        <f aca="false">IF(ISBLANK($C53),"",COUNTA($P53:$U53)&gt;0)</f>
        <v/>
      </c>
      <c r="BD53" s="85" t="str">
        <f aca="false">IF(ISBLANK($C53),"",AND($BC53,OR(AND($AL53="",OR($AK53,NOT(ISBLANK($S53)))),$AM53="",$AN53="")))</f>
        <v/>
      </c>
      <c r="BE53" s="87" t="str">
        <f aca="false">IF($BL53&lt;&gt;Constants!$B$4,"",IF(NOT($BC53),"",ROUND((Constants!$B$12-$AB53)+(Constants!$B$13-$Z53)+(Constants!$B$14-$AA53),1)))</f>
        <v/>
      </c>
      <c r="BF53" s="90" t="str">
        <f aca="false">IF($BL53&lt;&gt;Constants!$B$4,"",IF(NOT($BC53),"",IF(NOT($AK53),0,Constants!$B$15*(INT(ROUND(MIN($AL53,$AP$9),6))-INT(ROUND(MAX(0,MIN($AL53,2*$AP$9)-$AP$9),6))))))</f>
        <v/>
      </c>
      <c r="BG53" s="90" t="str">
        <f aca="false">IF($BL53&lt;&gt;Constants!$B$4,"",IF(NOT($BC53),"",Constants!$B$16*$AM53))</f>
        <v/>
      </c>
      <c r="BH53" s="90" t="str">
        <f aca="false">IF($BL53&lt;&gt;Constants!$B$4,"",IF(NOT($BC53),"",Constants!$B$18*INT(ROUND($AN53,6))))</f>
        <v/>
      </c>
      <c r="BI53" s="85" t="str">
        <f aca="false">IF($BL53&lt;&gt;Constants!$B$4,"",IF(NOT($BC53),"",IF(NOT($X53),Constants!$B$11,IF(OR(NOT($AI53),NOT($AJ53),ROUND($AB53,1)&gt;Constants!$B$12,ROUND($Z53,1)&gt;Constants!$B$13,ROUND($AA53,1)&gt;Constants!$B$14),Constants!$B$10,Constants!$B$9))))</f>
        <v/>
      </c>
      <c r="BJ53" s="91" t="str">
        <f aca="false">IF($BL53&lt;&gt;Constants!$B$4,"",IF(NOT($BC53),"",ROUND($BE53+$BF53+$BG53+$BH53,1)))</f>
        <v/>
      </c>
      <c r="BK53" s="92" t="str">
        <f aca="false">IF($BL53&lt;&gt;Constants!$B$4,"",IF(NOT($BC53),"",IF(ISNUMBER($AL53),$AL53,0)))</f>
        <v/>
      </c>
      <c r="BL53" s="86" t="str">
        <f aca="false">IF(ISBLANK($C53),"",IF($AO53,Constants!$B$7,IF(COUNTA($E53:$V53)=0,Constants!$B$6,IF(NOT($Y53),Constants!$B$5,IF(NOT(OR($AS53,$BC53)),Constants!$B$5,IF(OR($AT53,$BD53,$AQ53,$AR53&lt;&gt;""),Constants!$B$8,Constants!$B$4))))))</f>
        <v/>
      </c>
      <c r="BM53" s="86" t="str">
        <f aca="false">IF(ISBLANK($C53),"",IF($BL53&lt;&gt;Constants!$B$4,$BL53,IF($BB53="-&gt;",$BI53,$AY53)))</f>
        <v/>
      </c>
      <c r="BN53" s="90" t="str">
        <f aca="false">IF($BL53&lt;&gt;Constants!$B$4,"",IF($BB53="-&gt;",$BJ53,$AZ53))</f>
        <v/>
      </c>
      <c r="BO53" s="90" t="str">
        <f aca="false">IF(ISBLANK($C53),"",IF($BL53&lt;&gt;Constants!$B$4,$BL53,$BN53))</f>
        <v/>
      </c>
      <c r="BP53" s="86" t="str">
        <f aca="false">IF(ISBLANK($C53),"",IF($BL53&lt;&gt;Constants!$B$4,$BL53,RANK($BO53,$BO$9:$BO$508,0)))</f>
        <v/>
      </c>
      <c r="BQ53" s="86" t="str">
        <f aca="false">IF(ISBLANK($C53),"",IF($BL53&lt;&gt;Constants!$B$4,$BL53,COUNTIFS($BM$9:$BM$508,"&lt;"&amp;$BM53)+COUNTIFS($BM$9:$BM$508,$BM53,$BP$9:$BP$508,"&lt;"&amp;$BP53)+1))</f>
        <v/>
      </c>
      <c r="BR53" s="90" t="str">
        <f aca="false">IF($BL53&lt;&gt;Constants!$B$4,"",IF($BB53="-&gt;",$BH53,$AX53))</f>
        <v/>
      </c>
      <c r="BS53" s="86" t="str">
        <f aca="false">IF(ISBLANK($C53),"",IF($BL53&lt;&gt;Constants!$B$4,$BL53,IF(ISNUMBER($BR53),RANK($BR53,$BR$9:$BR$508,0),COUNT($BR$9:$BR$508)+1)))</f>
        <v/>
      </c>
      <c r="BT53" s="90" t="str">
        <f aca="false">IF($BL53&lt;&gt;Constants!$B$4,"",IF($BB53="-&gt;",$BE53,$AU53))</f>
        <v/>
      </c>
      <c r="BU53" s="86" t="str">
        <f aca="false">IF(ISBLANK($C53),"",IF($BL53&lt;&gt;Constants!$B$4,$BL53,IF(ISNUMBER($BT53),RANK($BT53,$BT$9:$BT$508,0),COUNT($BT$9:$BT$508)+1)))</f>
        <v/>
      </c>
      <c r="BV53" s="90" t="str">
        <f aca="false">IF($BL53&lt;&gt;Constants!$B$4,"",IF($BB53="-&gt;",$BF53,$AV53))</f>
        <v/>
      </c>
      <c r="BW53" s="86" t="str">
        <f aca="false">IF(ISBLANK($C53),"",IF($BL53&lt;&gt;Constants!$B$4,$BL53,IF(ISNUMBER($BV53),RANK($BV53,$BV$9:$BV$508,0),COUNT($BV$9:$BV$508)+1)))</f>
        <v/>
      </c>
      <c r="BX53" s="90" t="str">
        <f aca="false">IF($BL53&lt;&gt;Constants!$B$4,"",IF($BB53="-&gt;",$BK53,$BA53))</f>
        <v/>
      </c>
      <c r="BY53" s="86" t="str">
        <f aca="false">IF(ISBLANK($C53),"",IF($BL53&lt;&gt;Constants!$B$4,$BL53,IF(ISNUMBER($BX53),RANK($BX53,$BX$9:$BX$508,0),COUNT($BX$9:$BX$508)+1)))</f>
        <v/>
      </c>
      <c r="BZ53" s="86" t="str">
        <f aca="false">IF(ISBLANK($C53),"",IF($BL53&lt;&gt;Constants!$B$4,$BL53,COUNTIFS($BM$9:$BM$508,"&lt;"&amp;$BM53)+COUNTIFS($BM$9:$BM$508,$BM53,$BP$9:$BP$508,"&lt;"&amp;$BP53)+COUNTIFS($BM$9:$BM$508,$BM53,$BP$9:$BP$508,$BP53,$BS$9:$BS$508,"&lt;"&amp;$BS53)+COUNTIFS($BM$9:$BM$508,$BM53,$BP$9:$BP$508,$BP53,$BS$9:$BS$508,$BS53,$BU$9:$BU$508,"&lt;"&amp;$BU53)+COUNTIFS($BM$9:$BM$508,$BM53,$BP$9:$BP$508,$BP53,$BS$9:$BS$508,$BS53,$BU$9:$BU$508,$BU53,$BW$9:$BW$508,"&lt;"&amp;$BW53)+COUNTIFS($BM$9:$BM$508,$BM53,$BP$9:$BP$508,$BP53,$BS$9:$BS$508,$BS53,$BU$9:$BU$508,$BU53,$BW$9:$BW$508,$BW53,$BY$9:$BY$508,"&lt;"&amp;$BY53)+1))</f>
        <v/>
      </c>
      <c r="CA53" s="86" t="str">
        <f aca="false">IF(ISBLANK($C53),"",IF($BL53&lt;&gt;Constants!$B$4,$BL53,$BQ53-$BZ53))</f>
        <v/>
      </c>
      <c r="CB53" s="93"/>
      <c r="CC53" s="94" t="str">
        <f aca="false">IF(ISBLANK($C53),"",IF($BL53=Constants!$B$8,$AR53,""))</f>
        <v/>
      </c>
      <c r="CD53" s="94" t="str">
        <f aca="false">IF(ISBLANK($C53),"",IF($BL53&lt;&gt;Constants!$B$4,"",IF($BB53="-&gt;",2,1)))</f>
        <v/>
      </c>
      <c r="CE53" s="95" t="str">
        <f aca="false">IF(ISBLANK($C53),"",IF($BL53&lt;&gt;Constants!$B$4,"",IF($BB53="-&gt;",$BE53,$AU53)))</f>
        <v/>
      </c>
      <c r="CF53" s="95" t="str">
        <f aca="false">IF(ISBLANK($C53),"",IF($BL53&lt;&gt;Constants!$B$4,"",IF($BB53="-&gt;",$BF53,$AV53)))</f>
        <v/>
      </c>
      <c r="CG53" s="95" t="str">
        <f aca="false">IF(ISBLANK($C53),"",IF($BL53&lt;&gt;Constants!$B$4,"",IF($BB53="-&gt;",$BG53,$AW53)))</f>
        <v/>
      </c>
      <c r="CH53" s="95" t="str">
        <f aca="false">IF(ISBLANK($C53),"",IF($BL53&lt;&gt;Constants!$B$4,"",IF($BB53="-&gt;",$BH53,$AX53)))</f>
        <v/>
      </c>
      <c r="CI53" s="96" t="str">
        <f aca="false">IF(ISBLANK($C53),"",$BO53)</f>
        <v/>
      </c>
      <c r="CJ53" s="97" t="str">
        <f aca="false">IF(ISBLANK($C53),"",$BM53)</f>
        <v/>
      </c>
      <c r="CK53" s="98" t="str">
        <f aca="false">IF(ISBLANK($C53),"",$CA53)</f>
        <v/>
      </c>
      <c r="CL53" s="98" t="str">
        <f aca="false">IF(ISBLANK($C53),"",$BZ53)</f>
        <v/>
      </c>
      <c r="CM53" s="99" t="str">
        <f aca="false">IF(ISBLANK($C53),"",IF($CL53=Constants!$B$7,COUNTA($C$9:$C$508)+2,IF($CL53=Constants!$B$6,COUNTA($C$9:$C$508)+1,IF($CL53=Constants!$B$5,COUNTA($C$9:$C$508),$CL53))))</f>
        <v/>
      </c>
      <c r="CN53" s="8"/>
      <c r="CO53" s="100" t="n">
        <f aca="false">IF(OR(ISNUMBER($CL53),$CL53=Constants!$B$7,$CL53=Constants!$B$5,$CL53=Constants!$B$6),1,0)</f>
        <v>0</v>
      </c>
      <c r="CP53" s="100" t="n">
        <v>45</v>
      </c>
      <c r="CQ53" s="100" t="str">
        <f aca="false">IF(ISBLANK($C53),"",IF(ISNUMBER($CM53),$CM53+ROW($B53)/1000,""))</f>
        <v/>
      </c>
      <c r="CR53" s="100" t="str">
        <f aca="false">IF(ISNUMBER($CQ53),RANK($CQ53,$CQ$9:$CQ$508,1),"")</f>
        <v/>
      </c>
      <c r="CS53" s="100" t="str">
        <f aca="false">IF(ISBLANK($C53),"",$B53)</f>
        <v/>
      </c>
      <c r="CT53" s="100" t="str">
        <f aca="false">IF(ISBLANK($C53),"",$C53)</f>
        <v/>
      </c>
      <c r="CU53" s="100" t="str">
        <f aca="false">IF(ISBLANK($C53),"",$D53)</f>
        <v/>
      </c>
      <c r="CV53" s="101" t="str">
        <f aca="false">$CJ53</f>
        <v/>
      </c>
      <c r="CW53" s="102" t="str">
        <f aca="false">$CI53</f>
        <v/>
      </c>
      <c r="CX53" s="100" t="str">
        <f aca="false">IF(ISBLANK($C53),"",$CL53)</f>
        <v/>
      </c>
      <c r="CY53" s="103" t="str">
        <f aca="false">IF($CP53&gt;$CO$8,"",VLOOKUP($CP53,$CR$9:$CX$508,7,FALSE()))</f>
        <v/>
      </c>
      <c r="CZ53" s="104" t="str">
        <f aca="false">IF($CP53&gt;$CO$8,"",VLOOKUP($CP53,$CR$9:$CX$508,2,FALSE()))</f>
        <v/>
      </c>
      <c r="DA53" s="104" t="str">
        <f aca="false">IF($CP53&gt;$CO$8,"",VLOOKUP($CP53,$CR$9:$CX$508,3,FALSE()))</f>
        <v/>
      </c>
      <c r="DB53" s="104" t="str">
        <f aca="false">IF($CP53&gt;$CO$8,"",VLOOKUP($CP53,$CR$9:$CX$508,4,FALSE()))</f>
        <v/>
      </c>
      <c r="DC53" s="104" t="str">
        <f aca="false">IF($CP53&gt;$CO$8,"",VLOOKUP($CP53,$CR$9:$CX$508,5,FALSE()))</f>
        <v/>
      </c>
      <c r="DD53" s="105" t="str">
        <f aca="false">IF($CP53&gt;$CO$8,"",VLOOKUP($CP53,$CR$9:$CX$508,6,FALSE()))</f>
        <v/>
      </c>
      <c r="DE53" s="70"/>
    </row>
    <row r="54" customFormat="false" ht="15.75" hidden="false" customHeight="false" outlineLevel="0" collapsed="false">
      <c r="A54" s="8"/>
      <c r="B54" s="146"/>
      <c r="C54" s="147"/>
      <c r="D54" s="148"/>
      <c r="E54" s="164"/>
      <c r="F54" s="150"/>
      <c r="G54" s="115"/>
      <c r="H54" s="115"/>
      <c r="I54" s="115"/>
      <c r="J54" s="165"/>
      <c r="K54" s="154"/>
      <c r="L54" s="154"/>
      <c r="M54" s="118"/>
      <c r="N54" s="154"/>
      <c r="O54" s="153"/>
      <c r="P54" s="154"/>
      <c r="Q54" s="154"/>
      <c r="R54" s="154"/>
      <c r="S54" s="115"/>
      <c r="T54" s="154"/>
      <c r="U54" s="153"/>
      <c r="V54" s="154"/>
      <c r="W54" s="123"/>
      <c r="X54" s="124" t="str">
        <f aca="false">IF(ISBLANK($C54),"",IF($E54=Constants!$B$2,TRUE(),IF($E54=Constants!$B$3,FALSE(),TRUE())))</f>
        <v/>
      </c>
      <c r="Y54" s="124" t="str">
        <f aca="false">IF(ISBLANK($C54),"",IF($F54=Constants!$B$2,TRUE(),IF($F54=Constants!$B$3,FALSE(),TRUE())))</f>
        <v/>
      </c>
      <c r="Z54" s="125" t="str">
        <f aca="false">IF(ISBLANK($C54),"",IF(ISNUMBER($G54),IF($G54&gt;=0,$G54,""),""))</f>
        <v/>
      </c>
      <c r="AA54" s="125" t="str">
        <f aca="false">IF(ISBLANK($C54),"",IF(ISNUMBER($H54),IF($H54&gt;=0,$H54,""),""))</f>
        <v/>
      </c>
      <c r="AB54" s="125" t="str">
        <f aca="false">IF(ISBLANK($C54),"",IF(ISNUMBER($I54),IF($I54&gt;=0,$I54,""),""))</f>
        <v/>
      </c>
      <c r="AC54" s="124" t="str">
        <f aca="false">IF(ISBLANK($C54),"",IF($J54=Constants!$B$2,TRUE(),IF($J54=Constants!$B$3,FALSE(),TRUE())))</f>
        <v/>
      </c>
      <c r="AD54" s="124" t="str">
        <f aca="false">IF(ISBLANK($C54),"",IF($K54=Constants!$B$2,TRUE(),IF($K54=Constants!$B$3,FALSE(),TRUE())))</f>
        <v/>
      </c>
      <c r="AE54" s="124" t="str">
        <f aca="false">IF(ISBLANK($C54),"",IF($L54=Constants!$B$2,TRUE(),IF($L54=Constants!$B$3,FALSE(),TRUE())))</f>
        <v/>
      </c>
      <c r="AF54" s="126" t="str">
        <f aca="false">IF(ISBLANK($C54),"",IF(ISNUMBER($M54),IF($M54&gt;=0,$M54,""),""))</f>
        <v/>
      </c>
      <c r="AG54" s="124" t="str">
        <f aca="false">IF(ISBLANK($C54),"",IF(ISBLANK($N54),0,IF(ISNUMBER($N54),IF(AND($N54&gt;=0,$N54&lt;=Constants!$B$17,$N54=INT($N54)),$N54,""),"")))</f>
        <v/>
      </c>
      <c r="AH54" s="125" t="str">
        <f aca="false">IF(ISBLANK($C54),"",IF(ISBLANK($O54),0,IF(ISNUMBER($O54),IF($O54&gt;=0,$O54,""),"")))</f>
        <v/>
      </c>
      <c r="AI54" s="124" t="str">
        <f aca="false">IF(ISBLANK($C54),"",IF($P54=Constants!$B$2,TRUE(),IF($P54=Constants!$B$3,FALSE(),TRUE())))</f>
        <v/>
      </c>
      <c r="AJ54" s="124" t="str">
        <f aca="false">IF(ISBLANK($C54),"",IF($Q54=Constants!$B$2,TRUE(),IF($Q54=Constants!$B$3,FALSE(),TRUE())))</f>
        <v/>
      </c>
      <c r="AK54" s="124" t="str">
        <f aca="false">IF(ISBLANK($C54),"",IF($R54=Constants!$B$2,TRUE(),IF($R54=Constants!$B$3,FALSE(),TRUE())))</f>
        <v/>
      </c>
      <c r="AL54" s="126" t="str">
        <f aca="false">IF(ISBLANK($C54),"",IF(ISNUMBER($S54),IF($S54&gt;=0,$S54,""),""))</f>
        <v/>
      </c>
      <c r="AM54" s="124" t="str">
        <f aca="false">IF(ISBLANK($C54),"",IF(ISBLANK($T54),0,IF(ISNUMBER($T54),IF(AND($T54&gt;=0,$T54&lt;=Constants!$B$17,$T54=INT($T54)),$T54,""),"")))</f>
        <v/>
      </c>
      <c r="AN54" s="125" t="str">
        <f aca="false">IF(ISBLANK($C54),"",IF(ISBLANK($U54),0,IF(ISNUMBER($U54),IF($U54&gt;=0,$U54,""),"")))</f>
        <v/>
      </c>
      <c r="AO54" s="124" t="str">
        <f aca="false">IF(ISBLANK($C54),"",IF($V54=Constants!$B$2,TRUE(),IF($V54=Constants!$B$3,FALSE(),FALSE())))</f>
        <v/>
      </c>
      <c r="AP54" s="124"/>
      <c r="AQ54" s="123" t="str">
        <f aca="false">IF(ISBLANK($C54),"",AND($Y54,OR($AS54,$BC54),OR($Z54="",$AA54="",$AB54="")))</f>
        <v/>
      </c>
      <c r="AR54" s="123" t="str">
        <f aca="false">IF(ISBLANK($C54),"",IF(OR(NOT($Y54),NOT(OR($AS54,$BC54))),"",IF(ISBLANK($D$7),$AR$5,IF($AP$9="",$AR$6,""))))</f>
        <v/>
      </c>
      <c r="AS54" s="123" t="str">
        <f aca="false">IF(ISBLANK($C54),"",COUNTA($J54:$O54)&gt;0)</f>
        <v/>
      </c>
      <c r="AT54" s="123" t="str">
        <f aca="false">IF(ISBLANK($C54),"",AND($AS54,OR(AND($AF54="",OR($AE54,NOT(ISBLANK($M54)))),$AG54="",$AH54="")))</f>
        <v/>
      </c>
      <c r="AU54" s="125" t="str">
        <f aca="false">IF($BL54&lt;&gt;Constants!$B$4,"",IF(NOT($AS54),"",ROUND((Constants!$B$12-$AB54)+(Constants!$B$13-$Z54)+(Constants!$B$14-$AA54),1)))</f>
        <v/>
      </c>
      <c r="AV54" s="127" t="str">
        <f aca="false">IF($BL54&lt;&gt;Constants!$B$4,"",IF(NOT($AS54),"",IF(NOT($AE54),0,Constants!$B$15*(INT(ROUND(MIN($AF54,$AP$9),6))-INT(ROUND(MAX(0,MIN($AF54,2*$AP$9)-$AP$9),6))))))</f>
        <v/>
      </c>
      <c r="AW54" s="127" t="str">
        <f aca="false">IF($BL54&lt;&gt;Constants!$B$4,"",IF(NOT($AS54),"",Constants!$B$16*$AG54))</f>
        <v/>
      </c>
      <c r="AX54" s="127" t="str">
        <f aca="false">IF($BL54&lt;&gt;Constants!$B$4,"",IF(NOT($AS54),"",Constants!$B$18*INT(ROUND($AH54,6))))</f>
        <v/>
      </c>
      <c r="AY54" s="123" t="str">
        <f aca="false">IF($BL54&lt;&gt;Constants!$B$4,"",IF(NOT($AS54),"",IF(NOT($X54),Constants!$B$11,IF(OR(NOT($AC54),NOT($AD54),ROUND($AB54,1)&gt;Constants!$B$12,ROUND($Z54,1)&gt;Constants!$B$13,ROUND($AA54,1)&gt;Constants!$B$14),Constants!$B$10,Constants!$B$9))))</f>
        <v/>
      </c>
      <c r="AZ54" s="128" t="str">
        <f aca="false">IF($BL54&lt;&gt;Constants!$B$4,"",IF(NOT($AS54),"",ROUND($AU54+$AV54+$AW54+$AX54,1)))</f>
        <v/>
      </c>
      <c r="BA54" s="129" t="str">
        <f aca="false">IF($BL54&lt;&gt;Constants!$B$4,"",IF(NOT($AS54),"",IF(ISNUMBER($AF54),$AF54,0)))</f>
        <v/>
      </c>
      <c r="BB54" s="124" t="str">
        <f aca="false">IF($BL54&lt;&gt;Constants!$B$4,"",IF(NOT($BC54),"&lt;-",IF(NOT($AS54),"-&gt;",IF(OR($BI54&lt;$AY54,AND($BI54=$AY54,OR($BJ54&gt;$AZ54,AND($BJ54=$AZ54,OR($BH54&gt;$AX54,AND($BH54=$AX54,OR($BE54&gt;$AU54,AND($BE54=$AU54,OR($BF54&gt;$AV54,AND($BF54=$AV54,$BK54&gt;$BA54)))))))))),"-&gt;","&lt;-"))))</f>
        <v/>
      </c>
      <c r="BC54" s="123" t="str">
        <f aca="false">IF(ISBLANK($C54),"",COUNTA($P54:$U54)&gt;0)</f>
        <v/>
      </c>
      <c r="BD54" s="123" t="str">
        <f aca="false">IF(ISBLANK($C54),"",AND($BC54,OR(AND($AL54="",OR($AK54,NOT(ISBLANK($S54)))),$AM54="",$AN54="")))</f>
        <v/>
      </c>
      <c r="BE54" s="125" t="str">
        <f aca="false">IF($BL54&lt;&gt;Constants!$B$4,"",IF(NOT($BC54),"",ROUND((Constants!$B$12-$AB54)+(Constants!$B$13-$Z54)+(Constants!$B$14-$AA54),1)))</f>
        <v/>
      </c>
      <c r="BF54" s="127" t="str">
        <f aca="false">IF($BL54&lt;&gt;Constants!$B$4,"",IF(NOT($BC54),"",IF(NOT($AK54),0,Constants!$B$15*(INT(ROUND(MIN($AL54,$AP$9),6))-INT(ROUND(MAX(0,MIN($AL54,2*$AP$9)-$AP$9),6))))))</f>
        <v/>
      </c>
      <c r="BG54" s="127" t="str">
        <f aca="false">IF($BL54&lt;&gt;Constants!$B$4,"",IF(NOT($BC54),"",Constants!$B$16*$AM54))</f>
        <v/>
      </c>
      <c r="BH54" s="127" t="str">
        <f aca="false">IF($BL54&lt;&gt;Constants!$B$4,"",IF(NOT($BC54),"",Constants!$B$18*INT(ROUND($AN54,6))))</f>
        <v/>
      </c>
      <c r="BI54" s="123" t="str">
        <f aca="false">IF($BL54&lt;&gt;Constants!$B$4,"",IF(NOT($BC54),"",IF(NOT($X54),Constants!$B$11,IF(OR(NOT($AI54),NOT($AJ54),ROUND($AB54,1)&gt;Constants!$B$12,ROUND($Z54,1)&gt;Constants!$B$13,ROUND($AA54,1)&gt;Constants!$B$14),Constants!$B$10,Constants!$B$9))))</f>
        <v/>
      </c>
      <c r="BJ54" s="128" t="str">
        <f aca="false">IF($BL54&lt;&gt;Constants!$B$4,"",IF(NOT($BC54),"",ROUND($BE54+$BF54+$BG54+$BH54,1)))</f>
        <v/>
      </c>
      <c r="BK54" s="129" t="str">
        <f aca="false">IF($BL54&lt;&gt;Constants!$B$4,"",IF(NOT($BC54),"",IF(ISNUMBER($AL54),$AL54,0)))</f>
        <v/>
      </c>
      <c r="BL54" s="124" t="str">
        <f aca="false">IF(ISBLANK($C54),"",IF($AO54,Constants!$B$7,IF(COUNTA($E54:$V54)=0,Constants!$B$6,IF(NOT($Y54),Constants!$B$5,IF(NOT(OR($AS54,$BC54)),Constants!$B$5,IF(OR($AT54,$BD54,$AQ54,$AR54&lt;&gt;""),Constants!$B$8,Constants!$B$4))))))</f>
        <v/>
      </c>
      <c r="BM54" s="124" t="str">
        <f aca="false">IF(ISBLANK($C54),"",IF($BL54&lt;&gt;Constants!$B$4,$BL54,IF($BB54="-&gt;",$BI54,$AY54)))</f>
        <v/>
      </c>
      <c r="BN54" s="127" t="str">
        <f aca="false">IF($BL54&lt;&gt;Constants!$B$4,"",IF($BB54="-&gt;",$BJ54,$AZ54))</f>
        <v/>
      </c>
      <c r="BO54" s="127" t="str">
        <f aca="false">IF(ISBLANK($C54),"",IF($BL54&lt;&gt;Constants!$B$4,$BL54,$BN54))</f>
        <v/>
      </c>
      <c r="BP54" s="124" t="str">
        <f aca="false">IF(ISBLANK($C54),"",IF($BL54&lt;&gt;Constants!$B$4,$BL54,RANK($BO54,$BO$9:$BO$508,0)))</f>
        <v/>
      </c>
      <c r="BQ54" s="124" t="str">
        <f aca="false">IF(ISBLANK($C54),"",IF($BL54&lt;&gt;Constants!$B$4,$BL54,COUNTIFS($BM$9:$BM$508,"&lt;"&amp;$BM54)+COUNTIFS($BM$9:$BM$508,$BM54,$BP$9:$BP$508,"&lt;"&amp;$BP54)+1))</f>
        <v/>
      </c>
      <c r="BR54" s="127" t="str">
        <f aca="false">IF($BL54&lt;&gt;Constants!$B$4,"",IF($BB54="-&gt;",$BH54,$AX54))</f>
        <v/>
      </c>
      <c r="BS54" s="124" t="str">
        <f aca="false">IF(ISBLANK($C54),"",IF($BL54&lt;&gt;Constants!$B$4,$BL54,IF(ISNUMBER($BR54),RANK($BR54,$BR$9:$BR$508,0),COUNT($BR$9:$BR$508)+1)))</f>
        <v/>
      </c>
      <c r="BT54" s="127" t="str">
        <f aca="false">IF($BL54&lt;&gt;Constants!$B$4,"",IF($BB54="-&gt;",$BE54,$AU54))</f>
        <v/>
      </c>
      <c r="BU54" s="124" t="str">
        <f aca="false">IF(ISBLANK($C54),"",IF($BL54&lt;&gt;Constants!$B$4,$BL54,IF(ISNUMBER($BT54),RANK($BT54,$BT$9:$BT$508,0),COUNT($BT$9:$BT$508)+1)))</f>
        <v/>
      </c>
      <c r="BV54" s="127" t="str">
        <f aca="false">IF($BL54&lt;&gt;Constants!$B$4,"",IF($BB54="-&gt;",$BF54,$AV54))</f>
        <v/>
      </c>
      <c r="BW54" s="124" t="str">
        <f aca="false">IF(ISBLANK($C54),"",IF($BL54&lt;&gt;Constants!$B$4,$BL54,IF(ISNUMBER($BV54),RANK($BV54,$BV$9:$BV$508,0),COUNT($BV$9:$BV$508)+1)))</f>
        <v/>
      </c>
      <c r="BX54" s="127" t="str">
        <f aca="false">IF($BL54&lt;&gt;Constants!$B$4,"",IF($BB54="-&gt;",$BK54,$BA54))</f>
        <v/>
      </c>
      <c r="BY54" s="124" t="str">
        <f aca="false">IF(ISBLANK($C54),"",IF($BL54&lt;&gt;Constants!$B$4,$BL54,IF(ISNUMBER($BX54),RANK($BX54,$BX$9:$BX$508,0),COUNT($BX$9:$BX$508)+1)))</f>
        <v/>
      </c>
      <c r="BZ54" s="124" t="str">
        <f aca="false">IF(ISBLANK($C54),"",IF($BL54&lt;&gt;Constants!$B$4,$BL54,COUNTIFS($BM$9:$BM$508,"&lt;"&amp;$BM54)+COUNTIFS($BM$9:$BM$508,$BM54,$BP$9:$BP$508,"&lt;"&amp;$BP54)+COUNTIFS($BM$9:$BM$508,$BM54,$BP$9:$BP$508,$BP54,$BS$9:$BS$508,"&lt;"&amp;$BS54)+COUNTIFS($BM$9:$BM$508,$BM54,$BP$9:$BP$508,$BP54,$BS$9:$BS$508,$BS54,$BU$9:$BU$508,"&lt;"&amp;$BU54)+COUNTIFS($BM$9:$BM$508,$BM54,$BP$9:$BP$508,$BP54,$BS$9:$BS$508,$BS54,$BU$9:$BU$508,$BU54,$BW$9:$BW$508,"&lt;"&amp;$BW54)+COUNTIFS($BM$9:$BM$508,$BM54,$BP$9:$BP$508,$BP54,$BS$9:$BS$508,$BS54,$BU$9:$BU$508,$BU54,$BW$9:$BW$508,$BW54,$BY$9:$BY$508,"&lt;"&amp;$BY54)+1))</f>
        <v/>
      </c>
      <c r="CA54" s="124" t="str">
        <f aca="false">IF(ISBLANK($C54),"",IF($BL54&lt;&gt;Constants!$B$4,$BL54,$BQ54-$BZ54))</f>
        <v/>
      </c>
      <c r="CB54" s="130"/>
      <c r="CC54" s="131" t="str">
        <f aca="false">IF(ISBLANK($C54),"",IF($BL54=Constants!$B$8,$AR54,""))</f>
        <v/>
      </c>
      <c r="CD54" s="131" t="str">
        <f aca="false">IF(ISBLANK($C54),"",IF($BL54&lt;&gt;Constants!$B$4,"",IF($BB54="-&gt;",2,1)))</f>
        <v/>
      </c>
      <c r="CE54" s="132" t="str">
        <f aca="false">IF(ISBLANK($C54),"",IF($BL54&lt;&gt;Constants!$B$4,"",IF($BB54="-&gt;",$BE54,$AU54)))</f>
        <v/>
      </c>
      <c r="CF54" s="132" t="str">
        <f aca="false">IF(ISBLANK($C54),"",IF($BL54&lt;&gt;Constants!$B$4,"",IF($BB54="-&gt;",$BF54,$AV54)))</f>
        <v/>
      </c>
      <c r="CG54" s="132" t="str">
        <f aca="false">IF(ISBLANK($C54),"",IF($BL54&lt;&gt;Constants!$B$4,"",IF($BB54="-&gt;",$BG54,$AW54)))</f>
        <v/>
      </c>
      <c r="CH54" s="132" t="str">
        <f aca="false">IF(ISBLANK($C54),"",IF($BL54&lt;&gt;Constants!$B$4,"",IF($BB54="-&gt;",$BH54,$AX54)))</f>
        <v/>
      </c>
      <c r="CI54" s="133" t="str">
        <f aca="false">IF(ISBLANK($C54),"",$BO54)</f>
        <v/>
      </c>
      <c r="CJ54" s="134" t="str">
        <f aca="false">IF(ISBLANK($C54),"",$BM54)</f>
        <v/>
      </c>
      <c r="CK54" s="135" t="str">
        <f aca="false">IF(ISBLANK($C54),"",$CA54)</f>
        <v/>
      </c>
      <c r="CL54" s="135" t="str">
        <f aca="false">IF(ISBLANK($C54),"",$BZ54)</f>
        <v/>
      </c>
      <c r="CM54" s="136" t="str">
        <f aca="false">IF(ISBLANK($C54),"",IF($CL54=Constants!$B$7,COUNTA($C$9:$C$508)+2,IF($CL54=Constants!$B$6,COUNTA($C$9:$C$508)+1,IF($CL54=Constants!$B$5,COUNTA($C$9:$C$508),$CL54))))</f>
        <v/>
      </c>
      <c r="CN54" s="8"/>
      <c r="CO54" s="137" t="n">
        <f aca="false">IF(OR(ISNUMBER($CL54),$CL54=Constants!$B$7,$CL54=Constants!$B$5,$CL54=Constants!$B$6),1,0)</f>
        <v>0</v>
      </c>
      <c r="CP54" s="137" t="n">
        <v>46</v>
      </c>
      <c r="CQ54" s="137" t="str">
        <f aca="false">IF(ISBLANK($C54),"",IF(ISNUMBER($CM54),$CM54+ROW($B54)/1000,""))</f>
        <v/>
      </c>
      <c r="CR54" s="137" t="str">
        <f aca="false">IF(ISNUMBER($CQ54),RANK($CQ54,$CQ$9:$CQ$508,1),"")</f>
        <v/>
      </c>
      <c r="CS54" s="137" t="str">
        <f aca="false">IF(ISBLANK($C54),"",$B54)</f>
        <v/>
      </c>
      <c r="CT54" s="137" t="str">
        <f aca="false">IF(ISBLANK($C54),"",$C54)</f>
        <v/>
      </c>
      <c r="CU54" s="137" t="str">
        <f aca="false">IF(ISBLANK($C54),"",$D54)</f>
        <v/>
      </c>
      <c r="CV54" s="138" t="str">
        <f aca="false">$CJ54</f>
        <v/>
      </c>
      <c r="CW54" s="139" t="str">
        <f aca="false">$CI54</f>
        <v/>
      </c>
      <c r="CX54" s="137" t="str">
        <f aca="false">IF(ISBLANK($C54),"",$CL54)</f>
        <v/>
      </c>
      <c r="CY54" s="140" t="str">
        <f aca="false">IF($CP54&gt;$CO$8,"",VLOOKUP($CP54,$CR$9:$CX$508,7,FALSE()))</f>
        <v/>
      </c>
      <c r="CZ54" s="141" t="str">
        <f aca="false">IF($CP54&gt;$CO$8,"",VLOOKUP($CP54,$CR$9:$CX$508,2,FALSE()))</f>
        <v/>
      </c>
      <c r="DA54" s="141" t="str">
        <f aca="false">IF($CP54&gt;$CO$8,"",VLOOKUP($CP54,$CR$9:$CX$508,3,FALSE()))</f>
        <v/>
      </c>
      <c r="DB54" s="141" t="str">
        <f aca="false">IF($CP54&gt;$CO$8,"",VLOOKUP($CP54,$CR$9:$CX$508,4,FALSE()))</f>
        <v/>
      </c>
      <c r="DC54" s="141" t="str">
        <f aca="false">IF($CP54&gt;$CO$8,"",VLOOKUP($CP54,$CR$9:$CX$508,5,FALSE()))</f>
        <v/>
      </c>
      <c r="DD54" s="142" t="str">
        <f aca="false">IF($CP54&gt;$CO$8,"",VLOOKUP($CP54,$CR$9:$CX$508,6,FALSE()))</f>
        <v/>
      </c>
      <c r="DE54" s="70"/>
    </row>
    <row r="55" customFormat="false" ht="15.75" hidden="false" customHeight="false" outlineLevel="0" collapsed="false">
      <c r="A55" s="8"/>
      <c r="B55" s="146"/>
      <c r="C55" s="147"/>
      <c r="D55" s="148"/>
      <c r="E55" s="164"/>
      <c r="F55" s="150"/>
      <c r="G55" s="115"/>
      <c r="H55" s="115"/>
      <c r="I55" s="115"/>
      <c r="J55" s="165"/>
      <c r="K55" s="154"/>
      <c r="L55" s="154"/>
      <c r="M55" s="118"/>
      <c r="N55" s="154"/>
      <c r="O55" s="153"/>
      <c r="P55" s="154"/>
      <c r="Q55" s="154"/>
      <c r="R55" s="154"/>
      <c r="S55" s="115"/>
      <c r="T55" s="154"/>
      <c r="U55" s="153"/>
      <c r="V55" s="154"/>
      <c r="W55" s="123"/>
      <c r="X55" s="124" t="str">
        <f aca="false">IF(ISBLANK($C55),"",IF($E55=Constants!$B$2,TRUE(),IF($E55=Constants!$B$3,FALSE(),TRUE())))</f>
        <v/>
      </c>
      <c r="Y55" s="124" t="str">
        <f aca="false">IF(ISBLANK($C55),"",IF($F55=Constants!$B$2,TRUE(),IF($F55=Constants!$B$3,FALSE(),TRUE())))</f>
        <v/>
      </c>
      <c r="Z55" s="125" t="str">
        <f aca="false">IF(ISBLANK($C55),"",IF(ISNUMBER($G55),IF($G55&gt;=0,$G55,""),""))</f>
        <v/>
      </c>
      <c r="AA55" s="125" t="str">
        <f aca="false">IF(ISBLANK($C55),"",IF(ISNUMBER($H55),IF($H55&gt;=0,$H55,""),""))</f>
        <v/>
      </c>
      <c r="AB55" s="125" t="str">
        <f aca="false">IF(ISBLANK($C55),"",IF(ISNUMBER($I55),IF($I55&gt;=0,$I55,""),""))</f>
        <v/>
      </c>
      <c r="AC55" s="124" t="str">
        <f aca="false">IF(ISBLANK($C55),"",IF($J55=Constants!$B$2,TRUE(),IF($J55=Constants!$B$3,FALSE(),TRUE())))</f>
        <v/>
      </c>
      <c r="AD55" s="124" t="str">
        <f aca="false">IF(ISBLANK($C55),"",IF($K55=Constants!$B$2,TRUE(),IF($K55=Constants!$B$3,FALSE(),TRUE())))</f>
        <v/>
      </c>
      <c r="AE55" s="124" t="str">
        <f aca="false">IF(ISBLANK($C55),"",IF($L55=Constants!$B$2,TRUE(),IF($L55=Constants!$B$3,FALSE(),TRUE())))</f>
        <v/>
      </c>
      <c r="AF55" s="126" t="str">
        <f aca="false">IF(ISBLANK($C55),"",IF(ISNUMBER($M55),IF($M55&gt;=0,$M55,""),""))</f>
        <v/>
      </c>
      <c r="AG55" s="124" t="str">
        <f aca="false">IF(ISBLANK($C55),"",IF(ISBLANK($N55),0,IF(ISNUMBER($N55),IF(AND($N55&gt;=0,$N55&lt;=Constants!$B$17,$N55=INT($N55)),$N55,""),"")))</f>
        <v/>
      </c>
      <c r="AH55" s="125" t="str">
        <f aca="false">IF(ISBLANK($C55),"",IF(ISBLANK($O55),0,IF(ISNUMBER($O55),IF($O55&gt;=0,$O55,""),"")))</f>
        <v/>
      </c>
      <c r="AI55" s="124" t="str">
        <f aca="false">IF(ISBLANK($C55),"",IF($P55=Constants!$B$2,TRUE(),IF($P55=Constants!$B$3,FALSE(),TRUE())))</f>
        <v/>
      </c>
      <c r="AJ55" s="124" t="str">
        <f aca="false">IF(ISBLANK($C55),"",IF($Q55=Constants!$B$2,TRUE(),IF($Q55=Constants!$B$3,FALSE(),TRUE())))</f>
        <v/>
      </c>
      <c r="AK55" s="124" t="str">
        <f aca="false">IF(ISBLANK($C55),"",IF($R55=Constants!$B$2,TRUE(),IF($R55=Constants!$B$3,FALSE(),TRUE())))</f>
        <v/>
      </c>
      <c r="AL55" s="126" t="str">
        <f aca="false">IF(ISBLANK($C55),"",IF(ISNUMBER($S55),IF($S55&gt;=0,$S55,""),""))</f>
        <v/>
      </c>
      <c r="AM55" s="124" t="str">
        <f aca="false">IF(ISBLANK($C55),"",IF(ISBLANK($T55),0,IF(ISNUMBER($T55),IF(AND($T55&gt;=0,$T55&lt;=Constants!$B$17,$T55=INT($T55)),$T55,""),"")))</f>
        <v/>
      </c>
      <c r="AN55" s="125" t="str">
        <f aca="false">IF(ISBLANK($C55),"",IF(ISBLANK($U55),0,IF(ISNUMBER($U55),IF($U55&gt;=0,$U55,""),"")))</f>
        <v/>
      </c>
      <c r="AO55" s="124" t="str">
        <f aca="false">IF(ISBLANK($C55),"",IF($V55=Constants!$B$2,TRUE(),IF($V55=Constants!$B$3,FALSE(),FALSE())))</f>
        <v/>
      </c>
      <c r="AP55" s="124"/>
      <c r="AQ55" s="123" t="str">
        <f aca="false">IF(ISBLANK($C55),"",AND($Y55,OR($AS55,$BC55),OR($Z55="",$AA55="",$AB55="")))</f>
        <v/>
      </c>
      <c r="AR55" s="123" t="str">
        <f aca="false">IF(ISBLANK($C55),"",IF(OR(NOT($Y55),NOT(OR($AS55,$BC55))),"",IF(ISBLANK($D$7),$AR$5,IF($AP$9="",$AR$6,""))))</f>
        <v/>
      </c>
      <c r="AS55" s="123" t="str">
        <f aca="false">IF(ISBLANK($C55),"",COUNTA($J55:$O55)&gt;0)</f>
        <v/>
      </c>
      <c r="AT55" s="123" t="str">
        <f aca="false">IF(ISBLANK($C55),"",AND($AS55,OR(AND($AF55="",OR($AE55,NOT(ISBLANK($M55)))),$AG55="",$AH55="")))</f>
        <v/>
      </c>
      <c r="AU55" s="125" t="str">
        <f aca="false">IF($BL55&lt;&gt;Constants!$B$4,"",IF(NOT($AS55),"",ROUND((Constants!$B$12-$AB55)+(Constants!$B$13-$Z55)+(Constants!$B$14-$AA55),1)))</f>
        <v/>
      </c>
      <c r="AV55" s="127" t="str">
        <f aca="false">IF($BL55&lt;&gt;Constants!$B$4,"",IF(NOT($AS55),"",IF(NOT($AE55),0,Constants!$B$15*(INT(ROUND(MIN($AF55,$AP$9),6))-INT(ROUND(MAX(0,MIN($AF55,2*$AP$9)-$AP$9),6))))))</f>
        <v/>
      </c>
      <c r="AW55" s="127" t="str">
        <f aca="false">IF($BL55&lt;&gt;Constants!$B$4,"",IF(NOT($AS55),"",Constants!$B$16*$AG55))</f>
        <v/>
      </c>
      <c r="AX55" s="127" t="str">
        <f aca="false">IF($BL55&lt;&gt;Constants!$B$4,"",IF(NOT($AS55),"",Constants!$B$18*INT(ROUND($AH55,6))))</f>
        <v/>
      </c>
      <c r="AY55" s="123" t="str">
        <f aca="false">IF($BL55&lt;&gt;Constants!$B$4,"",IF(NOT($AS55),"",IF(NOT($X55),Constants!$B$11,IF(OR(NOT($AC55),NOT($AD55),ROUND($AB55,1)&gt;Constants!$B$12,ROUND($Z55,1)&gt;Constants!$B$13,ROUND($AA55,1)&gt;Constants!$B$14),Constants!$B$10,Constants!$B$9))))</f>
        <v/>
      </c>
      <c r="AZ55" s="128" t="str">
        <f aca="false">IF($BL55&lt;&gt;Constants!$B$4,"",IF(NOT($AS55),"",ROUND($AU55+$AV55+$AW55+$AX55,1)))</f>
        <v/>
      </c>
      <c r="BA55" s="129" t="str">
        <f aca="false">IF($BL55&lt;&gt;Constants!$B$4,"",IF(NOT($AS55),"",IF(ISNUMBER($AF55),$AF55,0)))</f>
        <v/>
      </c>
      <c r="BB55" s="124" t="str">
        <f aca="false">IF($BL55&lt;&gt;Constants!$B$4,"",IF(NOT($BC55),"&lt;-",IF(NOT($AS55),"-&gt;",IF(OR($BI55&lt;$AY55,AND($BI55=$AY55,OR($BJ55&gt;$AZ55,AND($BJ55=$AZ55,OR($BH55&gt;$AX55,AND($BH55=$AX55,OR($BE55&gt;$AU55,AND($BE55=$AU55,OR($BF55&gt;$AV55,AND($BF55=$AV55,$BK55&gt;$BA55)))))))))),"-&gt;","&lt;-"))))</f>
        <v/>
      </c>
      <c r="BC55" s="123" t="str">
        <f aca="false">IF(ISBLANK($C55),"",COUNTA($P55:$U55)&gt;0)</f>
        <v/>
      </c>
      <c r="BD55" s="123" t="str">
        <f aca="false">IF(ISBLANK($C55),"",AND($BC55,OR(AND($AL55="",OR($AK55,NOT(ISBLANK($S55)))),$AM55="",$AN55="")))</f>
        <v/>
      </c>
      <c r="BE55" s="125" t="str">
        <f aca="false">IF($BL55&lt;&gt;Constants!$B$4,"",IF(NOT($BC55),"",ROUND((Constants!$B$12-$AB55)+(Constants!$B$13-$Z55)+(Constants!$B$14-$AA55),1)))</f>
        <v/>
      </c>
      <c r="BF55" s="127" t="str">
        <f aca="false">IF($BL55&lt;&gt;Constants!$B$4,"",IF(NOT($BC55),"",IF(NOT($AK55),0,Constants!$B$15*(INT(ROUND(MIN($AL55,$AP$9),6))-INT(ROUND(MAX(0,MIN($AL55,2*$AP$9)-$AP$9),6))))))</f>
        <v/>
      </c>
      <c r="BG55" s="127" t="str">
        <f aca="false">IF($BL55&lt;&gt;Constants!$B$4,"",IF(NOT($BC55),"",Constants!$B$16*$AM55))</f>
        <v/>
      </c>
      <c r="BH55" s="127" t="str">
        <f aca="false">IF($BL55&lt;&gt;Constants!$B$4,"",IF(NOT($BC55),"",Constants!$B$18*INT(ROUND($AN55,6))))</f>
        <v/>
      </c>
      <c r="BI55" s="123" t="str">
        <f aca="false">IF($BL55&lt;&gt;Constants!$B$4,"",IF(NOT($BC55),"",IF(NOT($X55),Constants!$B$11,IF(OR(NOT($AI55),NOT($AJ55),ROUND($AB55,1)&gt;Constants!$B$12,ROUND($Z55,1)&gt;Constants!$B$13,ROUND($AA55,1)&gt;Constants!$B$14),Constants!$B$10,Constants!$B$9))))</f>
        <v/>
      </c>
      <c r="BJ55" s="128" t="str">
        <f aca="false">IF($BL55&lt;&gt;Constants!$B$4,"",IF(NOT($BC55),"",ROUND($BE55+$BF55+$BG55+$BH55,1)))</f>
        <v/>
      </c>
      <c r="BK55" s="129" t="str">
        <f aca="false">IF($BL55&lt;&gt;Constants!$B$4,"",IF(NOT($BC55),"",IF(ISNUMBER($AL55),$AL55,0)))</f>
        <v/>
      </c>
      <c r="BL55" s="124" t="str">
        <f aca="false">IF(ISBLANK($C55),"",IF($AO55,Constants!$B$7,IF(COUNTA($E55:$V55)=0,Constants!$B$6,IF(NOT($Y55),Constants!$B$5,IF(NOT(OR($AS55,$BC55)),Constants!$B$5,IF(OR($AT55,$BD55,$AQ55,$AR55&lt;&gt;""),Constants!$B$8,Constants!$B$4))))))</f>
        <v/>
      </c>
      <c r="BM55" s="124" t="str">
        <f aca="false">IF(ISBLANK($C55),"",IF($BL55&lt;&gt;Constants!$B$4,$BL55,IF($BB55="-&gt;",$BI55,$AY55)))</f>
        <v/>
      </c>
      <c r="BN55" s="127" t="str">
        <f aca="false">IF($BL55&lt;&gt;Constants!$B$4,"",IF($BB55="-&gt;",$BJ55,$AZ55))</f>
        <v/>
      </c>
      <c r="BO55" s="127" t="str">
        <f aca="false">IF(ISBLANK($C55),"",IF($BL55&lt;&gt;Constants!$B$4,$BL55,$BN55))</f>
        <v/>
      </c>
      <c r="BP55" s="124" t="str">
        <f aca="false">IF(ISBLANK($C55),"",IF($BL55&lt;&gt;Constants!$B$4,$BL55,RANK($BO55,$BO$9:$BO$508,0)))</f>
        <v/>
      </c>
      <c r="BQ55" s="124" t="str">
        <f aca="false">IF(ISBLANK($C55),"",IF($BL55&lt;&gt;Constants!$B$4,$BL55,COUNTIFS($BM$9:$BM$508,"&lt;"&amp;$BM55)+COUNTIFS($BM$9:$BM$508,$BM55,$BP$9:$BP$508,"&lt;"&amp;$BP55)+1))</f>
        <v/>
      </c>
      <c r="BR55" s="127" t="str">
        <f aca="false">IF($BL55&lt;&gt;Constants!$B$4,"",IF($BB55="-&gt;",$BH55,$AX55))</f>
        <v/>
      </c>
      <c r="BS55" s="124" t="str">
        <f aca="false">IF(ISBLANK($C55),"",IF($BL55&lt;&gt;Constants!$B$4,$BL55,IF(ISNUMBER($BR55),RANK($BR55,$BR$9:$BR$508,0),COUNT($BR$9:$BR$508)+1)))</f>
        <v/>
      </c>
      <c r="BT55" s="127" t="str">
        <f aca="false">IF($BL55&lt;&gt;Constants!$B$4,"",IF($BB55="-&gt;",$BE55,$AU55))</f>
        <v/>
      </c>
      <c r="BU55" s="124" t="str">
        <f aca="false">IF(ISBLANK($C55),"",IF($BL55&lt;&gt;Constants!$B$4,$BL55,IF(ISNUMBER($BT55),RANK($BT55,$BT$9:$BT$508,0),COUNT($BT$9:$BT$508)+1)))</f>
        <v/>
      </c>
      <c r="BV55" s="127" t="str">
        <f aca="false">IF($BL55&lt;&gt;Constants!$B$4,"",IF($BB55="-&gt;",$BF55,$AV55))</f>
        <v/>
      </c>
      <c r="BW55" s="124" t="str">
        <f aca="false">IF(ISBLANK($C55),"",IF($BL55&lt;&gt;Constants!$B$4,$BL55,IF(ISNUMBER($BV55),RANK($BV55,$BV$9:$BV$508,0),COUNT($BV$9:$BV$508)+1)))</f>
        <v/>
      </c>
      <c r="BX55" s="127" t="str">
        <f aca="false">IF($BL55&lt;&gt;Constants!$B$4,"",IF($BB55="-&gt;",$BK55,$BA55))</f>
        <v/>
      </c>
      <c r="BY55" s="124" t="str">
        <f aca="false">IF(ISBLANK($C55),"",IF($BL55&lt;&gt;Constants!$B$4,$BL55,IF(ISNUMBER($BX55),RANK($BX55,$BX$9:$BX$508,0),COUNT($BX$9:$BX$508)+1)))</f>
        <v/>
      </c>
      <c r="BZ55" s="124" t="str">
        <f aca="false">IF(ISBLANK($C55),"",IF($BL55&lt;&gt;Constants!$B$4,$BL55,COUNTIFS($BM$9:$BM$508,"&lt;"&amp;$BM55)+COUNTIFS($BM$9:$BM$508,$BM55,$BP$9:$BP$508,"&lt;"&amp;$BP55)+COUNTIFS($BM$9:$BM$508,$BM55,$BP$9:$BP$508,$BP55,$BS$9:$BS$508,"&lt;"&amp;$BS55)+COUNTIFS($BM$9:$BM$508,$BM55,$BP$9:$BP$508,$BP55,$BS$9:$BS$508,$BS55,$BU$9:$BU$508,"&lt;"&amp;$BU55)+COUNTIFS($BM$9:$BM$508,$BM55,$BP$9:$BP$508,$BP55,$BS$9:$BS$508,$BS55,$BU$9:$BU$508,$BU55,$BW$9:$BW$508,"&lt;"&amp;$BW55)+COUNTIFS($BM$9:$BM$508,$BM55,$BP$9:$BP$508,$BP55,$BS$9:$BS$508,$BS55,$BU$9:$BU$508,$BU55,$BW$9:$BW$508,$BW55,$BY$9:$BY$508,"&lt;"&amp;$BY55)+1))</f>
        <v/>
      </c>
      <c r="CA55" s="124" t="str">
        <f aca="false">IF(ISBLANK($C55),"",IF($BL55&lt;&gt;Constants!$B$4,$BL55,$BQ55-$BZ55))</f>
        <v/>
      </c>
      <c r="CB55" s="130"/>
      <c r="CC55" s="131" t="str">
        <f aca="false">IF(ISBLANK($C55),"",IF($BL55=Constants!$B$8,$AR55,""))</f>
        <v/>
      </c>
      <c r="CD55" s="131" t="str">
        <f aca="false">IF(ISBLANK($C55),"",IF($BL55&lt;&gt;Constants!$B$4,"",IF($BB55="-&gt;",2,1)))</f>
        <v/>
      </c>
      <c r="CE55" s="132" t="str">
        <f aca="false">IF(ISBLANK($C55),"",IF($BL55&lt;&gt;Constants!$B$4,"",IF($BB55="-&gt;",$BE55,$AU55)))</f>
        <v/>
      </c>
      <c r="CF55" s="132" t="str">
        <f aca="false">IF(ISBLANK($C55),"",IF($BL55&lt;&gt;Constants!$B$4,"",IF($BB55="-&gt;",$BF55,$AV55)))</f>
        <v/>
      </c>
      <c r="CG55" s="132" t="str">
        <f aca="false">IF(ISBLANK($C55),"",IF($BL55&lt;&gt;Constants!$B$4,"",IF($BB55="-&gt;",$BG55,$AW55)))</f>
        <v/>
      </c>
      <c r="CH55" s="132" t="str">
        <f aca="false">IF(ISBLANK($C55),"",IF($BL55&lt;&gt;Constants!$B$4,"",IF($BB55="-&gt;",$BH55,$AX55)))</f>
        <v/>
      </c>
      <c r="CI55" s="133" t="str">
        <f aca="false">IF(ISBLANK($C55),"",$BO55)</f>
        <v/>
      </c>
      <c r="CJ55" s="134" t="str">
        <f aca="false">IF(ISBLANK($C55),"",$BM55)</f>
        <v/>
      </c>
      <c r="CK55" s="135" t="str">
        <f aca="false">IF(ISBLANK($C55),"",$CA55)</f>
        <v/>
      </c>
      <c r="CL55" s="135" t="str">
        <f aca="false">IF(ISBLANK($C55),"",$BZ55)</f>
        <v/>
      </c>
      <c r="CM55" s="136" t="str">
        <f aca="false">IF(ISBLANK($C55),"",IF($CL55=Constants!$B$7,COUNTA($C$9:$C$508)+2,IF($CL55=Constants!$B$6,COUNTA($C$9:$C$508)+1,IF($CL55=Constants!$B$5,COUNTA($C$9:$C$508),$CL55))))</f>
        <v/>
      </c>
      <c r="CN55" s="8"/>
      <c r="CO55" s="137" t="n">
        <f aca="false">IF(OR(ISNUMBER($CL55),$CL55=Constants!$B$7,$CL55=Constants!$B$5,$CL55=Constants!$B$6),1,0)</f>
        <v>0</v>
      </c>
      <c r="CP55" s="137" t="n">
        <v>47</v>
      </c>
      <c r="CQ55" s="137" t="str">
        <f aca="false">IF(ISBLANK($C55),"",IF(ISNUMBER($CM55),$CM55+ROW($B55)/1000,""))</f>
        <v/>
      </c>
      <c r="CR55" s="137" t="str">
        <f aca="false">IF(ISNUMBER($CQ55),RANK($CQ55,$CQ$9:$CQ$508,1),"")</f>
        <v/>
      </c>
      <c r="CS55" s="137" t="str">
        <f aca="false">IF(ISBLANK($C55),"",$B55)</f>
        <v/>
      </c>
      <c r="CT55" s="137" t="str">
        <f aca="false">IF(ISBLANK($C55),"",$C55)</f>
        <v/>
      </c>
      <c r="CU55" s="137" t="str">
        <f aca="false">IF(ISBLANK($C55),"",$D55)</f>
        <v/>
      </c>
      <c r="CV55" s="138" t="str">
        <f aca="false">$CJ55</f>
        <v/>
      </c>
      <c r="CW55" s="139" t="str">
        <f aca="false">$CI55</f>
        <v/>
      </c>
      <c r="CX55" s="137" t="str">
        <f aca="false">IF(ISBLANK($C55),"",$CL55)</f>
        <v/>
      </c>
      <c r="CY55" s="140" t="str">
        <f aca="false">IF($CP55&gt;$CO$8,"",VLOOKUP($CP55,$CR$9:$CX$508,7,FALSE()))</f>
        <v/>
      </c>
      <c r="CZ55" s="141" t="str">
        <f aca="false">IF($CP55&gt;$CO$8,"",VLOOKUP($CP55,$CR$9:$CX$508,2,FALSE()))</f>
        <v/>
      </c>
      <c r="DA55" s="141" t="str">
        <f aca="false">IF($CP55&gt;$CO$8,"",VLOOKUP($CP55,$CR$9:$CX$508,3,FALSE()))</f>
        <v/>
      </c>
      <c r="DB55" s="141" t="str">
        <f aca="false">IF($CP55&gt;$CO$8,"",VLOOKUP($CP55,$CR$9:$CX$508,4,FALSE()))</f>
        <v/>
      </c>
      <c r="DC55" s="141" t="str">
        <f aca="false">IF($CP55&gt;$CO$8,"",VLOOKUP($CP55,$CR$9:$CX$508,5,FALSE()))</f>
        <v/>
      </c>
      <c r="DD55" s="142" t="str">
        <f aca="false">IF($CP55&gt;$CO$8,"",VLOOKUP($CP55,$CR$9:$CX$508,6,FALSE()))</f>
        <v/>
      </c>
      <c r="DE55" s="70"/>
    </row>
    <row r="56" customFormat="false" ht="15.75" hidden="false" customHeight="false" outlineLevel="0" collapsed="false">
      <c r="A56" s="8"/>
      <c r="B56" s="146"/>
      <c r="C56" s="147"/>
      <c r="D56" s="148"/>
      <c r="E56" s="164"/>
      <c r="F56" s="150"/>
      <c r="G56" s="115"/>
      <c r="H56" s="115"/>
      <c r="I56" s="115"/>
      <c r="J56" s="165"/>
      <c r="K56" s="154"/>
      <c r="L56" s="154"/>
      <c r="M56" s="118"/>
      <c r="N56" s="154"/>
      <c r="O56" s="153"/>
      <c r="P56" s="154"/>
      <c r="Q56" s="154"/>
      <c r="R56" s="154"/>
      <c r="S56" s="115"/>
      <c r="T56" s="154"/>
      <c r="U56" s="153"/>
      <c r="V56" s="154"/>
      <c r="W56" s="123"/>
      <c r="X56" s="124" t="str">
        <f aca="false">IF(ISBLANK($C56),"",IF($E56=Constants!$B$2,TRUE(),IF($E56=Constants!$B$3,FALSE(),TRUE())))</f>
        <v/>
      </c>
      <c r="Y56" s="124" t="str">
        <f aca="false">IF(ISBLANK($C56),"",IF($F56=Constants!$B$2,TRUE(),IF($F56=Constants!$B$3,FALSE(),TRUE())))</f>
        <v/>
      </c>
      <c r="Z56" s="125" t="str">
        <f aca="false">IF(ISBLANK($C56),"",IF(ISNUMBER($G56),IF($G56&gt;=0,$G56,""),""))</f>
        <v/>
      </c>
      <c r="AA56" s="125" t="str">
        <f aca="false">IF(ISBLANK($C56),"",IF(ISNUMBER($H56),IF($H56&gt;=0,$H56,""),""))</f>
        <v/>
      </c>
      <c r="AB56" s="125" t="str">
        <f aca="false">IF(ISBLANK($C56),"",IF(ISNUMBER($I56),IF($I56&gt;=0,$I56,""),""))</f>
        <v/>
      </c>
      <c r="AC56" s="124" t="str">
        <f aca="false">IF(ISBLANK($C56),"",IF($J56=Constants!$B$2,TRUE(),IF($J56=Constants!$B$3,FALSE(),TRUE())))</f>
        <v/>
      </c>
      <c r="AD56" s="124" t="str">
        <f aca="false">IF(ISBLANK($C56),"",IF($K56=Constants!$B$2,TRUE(),IF($K56=Constants!$B$3,FALSE(),TRUE())))</f>
        <v/>
      </c>
      <c r="AE56" s="124" t="str">
        <f aca="false">IF(ISBLANK($C56),"",IF($L56=Constants!$B$2,TRUE(),IF($L56=Constants!$B$3,FALSE(),TRUE())))</f>
        <v/>
      </c>
      <c r="AF56" s="126" t="str">
        <f aca="false">IF(ISBLANK($C56),"",IF(ISNUMBER($M56),IF($M56&gt;=0,$M56,""),""))</f>
        <v/>
      </c>
      <c r="AG56" s="124" t="str">
        <f aca="false">IF(ISBLANK($C56),"",IF(ISBLANK($N56),0,IF(ISNUMBER($N56),IF(AND($N56&gt;=0,$N56&lt;=Constants!$B$17,$N56=INT($N56)),$N56,""),"")))</f>
        <v/>
      </c>
      <c r="AH56" s="125" t="str">
        <f aca="false">IF(ISBLANK($C56),"",IF(ISBLANK($O56),0,IF(ISNUMBER($O56),IF($O56&gt;=0,$O56,""),"")))</f>
        <v/>
      </c>
      <c r="AI56" s="124" t="str">
        <f aca="false">IF(ISBLANK($C56),"",IF($P56=Constants!$B$2,TRUE(),IF($P56=Constants!$B$3,FALSE(),TRUE())))</f>
        <v/>
      </c>
      <c r="AJ56" s="124" t="str">
        <f aca="false">IF(ISBLANK($C56),"",IF($Q56=Constants!$B$2,TRUE(),IF($Q56=Constants!$B$3,FALSE(),TRUE())))</f>
        <v/>
      </c>
      <c r="AK56" s="124" t="str">
        <f aca="false">IF(ISBLANK($C56),"",IF($R56=Constants!$B$2,TRUE(),IF($R56=Constants!$B$3,FALSE(),TRUE())))</f>
        <v/>
      </c>
      <c r="AL56" s="126" t="str">
        <f aca="false">IF(ISBLANK($C56),"",IF(ISNUMBER($S56),IF($S56&gt;=0,$S56,""),""))</f>
        <v/>
      </c>
      <c r="AM56" s="124" t="str">
        <f aca="false">IF(ISBLANK($C56),"",IF(ISBLANK($T56),0,IF(ISNUMBER($T56),IF(AND($T56&gt;=0,$T56&lt;=Constants!$B$17,$T56=INT($T56)),$T56,""),"")))</f>
        <v/>
      </c>
      <c r="AN56" s="125" t="str">
        <f aca="false">IF(ISBLANK($C56),"",IF(ISBLANK($U56),0,IF(ISNUMBER($U56),IF($U56&gt;=0,$U56,""),"")))</f>
        <v/>
      </c>
      <c r="AO56" s="124" t="str">
        <f aca="false">IF(ISBLANK($C56),"",IF($V56=Constants!$B$2,TRUE(),IF($V56=Constants!$B$3,FALSE(),FALSE())))</f>
        <v/>
      </c>
      <c r="AP56" s="124"/>
      <c r="AQ56" s="123" t="str">
        <f aca="false">IF(ISBLANK($C56),"",AND($Y56,OR($AS56,$BC56),OR($Z56="",$AA56="",$AB56="")))</f>
        <v/>
      </c>
      <c r="AR56" s="123" t="str">
        <f aca="false">IF(ISBLANK($C56),"",IF(OR(NOT($Y56),NOT(OR($AS56,$BC56))),"",IF(ISBLANK($D$7),$AR$5,IF($AP$9="",$AR$6,""))))</f>
        <v/>
      </c>
      <c r="AS56" s="123" t="str">
        <f aca="false">IF(ISBLANK($C56),"",COUNTA($J56:$O56)&gt;0)</f>
        <v/>
      </c>
      <c r="AT56" s="123" t="str">
        <f aca="false">IF(ISBLANK($C56),"",AND($AS56,OR(AND($AF56="",OR($AE56,NOT(ISBLANK($M56)))),$AG56="",$AH56="")))</f>
        <v/>
      </c>
      <c r="AU56" s="125" t="str">
        <f aca="false">IF($BL56&lt;&gt;Constants!$B$4,"",IF(NOT($AS56),"",ROUND((Constants!$B$12-$AB56)+(Constants!$B$13-$Z56)+(Constants!$B$14-$AA56),1)))</f>
        <v/>
      </c>
      <c r="AV56" s="127" t="str">
        <f aca="false">IF($BL56&lt;&gt;Constants!$B$4,"",IF(NOT($AS56),"",IF(NOT($AE56),0,Constants!$B$15*(INT(ROUND(MIN($AF56,$AP$9),6))-INT(ROUND(MAX(0,MIN($AF56,2*$AP$9)-$AP$9),6))))))</f>
        <v/>
      </c>
      <c r="AW56" s="127" t="str">
        <f aca="false">IF($BL56&lt;&gt;Constants!$B$4,"",IF(NOT($AS56),"",Constants!$B$16*$AG56))</f>
        <v/>
      </c>
      <c r="AX56" s="127" t="str">
        <f aca="false">IF($BL56&lt;&gt;Constants!$B$4,"",IF(NOT($AS56),"",Constants!$B$18*INT(ROUND($AH56,6))))</f>
        <v/>
      </c>
      <c r="AY56" s="123" t="str">
        <f aca="false">IF($BL56&lt;&gt;Constants!$B$4,"",IF(NOT($AS56),"",IF(NOT($X56),Constants!$B$11,IF(OR(NOT($AC56),NOT($AD56),ROUND($AB56,1)&gt;Constants!$B$12,ROUND($Z56,1)&gt;Constants!$B$13,ROUND($AA56,1)&gt;Constants!$B$14),Constants!$B$10,Constants!$B$9))))</f>
        <v/>
      </c>
      <c r="AZ56" s="128" t="str">
        <f aca="false">IF($BL56&lt;&gt;Constants!$B$4,"",IF(NOT($AS56),"",ROUND($AU56+$AV56+$AW56+$AX56,1)))</f>
        <v/>
      </c>
      <c r="BA56" s="129" t="str">
        <f aca="false">IF($BL56&lt;&gt;Constants!$B$4,"",IF(NOT($AS56),"",IF(ISNUMBER($AF56),$AF56,0)))</f>
        <v/>
      </c>
      <c r="BB56" s="124" t="str">
        <f aca="false">IF($BL56&lt;&gt;Constants!$B$4,"",IF(NOT($BC56),"&lt;-",IF(NOT($AS56),"-&gt;",IF(OR($BI56&lt;$AY56,AND($BI56=$AY56,OR($BJ56&gt;$AZ56,AND($BJ56=$AZ56,OR($BH56&gt;$AX56,AND($BH56=$AX56,OR($BE56&gt;$AU56,AND($BE56=$AU56,OR($BF56&gt;$AV56,AND($BF56=$AV56,$BK56&gt;$BA56)))))))))),"-&gt;","&lt;-"))))</f>
        <v/>
      </c>
      <c r="BC56" s="123" t="str">
        <f aca="false">IF(ISBLANK($C56),"",COUNTA($P56:$U56)&gt;0)</f>
        <v/>
      </c>
      <c r="BD56" s="123" t="str">
        <f aca="false">IF(ISBLANK($C56),"",AND($BC56,OR(AND($AL56="",OR($AK56,NOT(ISBLANK($S56)))),$AM56="",$AN56="")))</f>
        <v/>
      </c>
      <c r="BE56" s="125" t="str">
        <f aca="false">IF($BL56&lt;&gt;Constants!$B$4,"",IF(NOT($BC56),"",ROUND((Constants!$B$12-$AB56)+(Constants!$B$13-$Z56)+(Constants!$B$14-$AA56),1)))</f>
        <v/>
      </c>
      <c r="BF56" s="127" t="str">
        <f aca="false">IF($BL56&lt;&gt;Constants!$B$4,"",IF(NOT($BC56),"",IF(NOT($AK56),0,Constants!$B$15*(INT(ROUND(MIN($AL56,$AP$9),6))-INT(ROUND(MAX(0,MIN($AL56,2*$AP$9)-$AP$9),6))))))</f>
        <v/>
      </c>
      <c r="BG56" s="127" t="str">
        <f aca="false">IF($BL56&lt;&gt;Constants!$B$4,"",IF(NOT($BC56),"",Constants!$B$16*$AM56))</f>
        <v/>
      </c>
      <c r="BH56" s="127" t="str">
        <f aca="false">IF($BL56&lt;&gt;Constants!$B$4,"",IF(NOT($BC56),"",Constants!$B$18*INT(ROUND($AN56,6))))</f>
        <v/>
      </c>
      <c r="BI56" s="123" t="str">
        <f aca="false">IF($BL56&lt;&gt;Constants!$B$4,"",IF(NOT($BC56),"",IF(NOT($X56),Constants!$B$11,IF(OR(NOT($AI56),NOT($AJ56),ROUND($AB56,1)&gt;Constants!$B$12,ROUND($Z56,1)&gt;Constants!$B$13,ROUND($AA56,1)&gt;Constants!$B$14),Constants!$B$10,Constants!$B$9))))</f>
        <v/>
      </c>
      <c r="BJ56" s="128" t="str">
        <f aca="false">IF($BL56&lt;&gt;Constants!$B$4,"",IF(NOT($BC56),"",ROUND($BE56+$BF56+$BG56+$BH56,1)))</f>
        <v/>
      </c>
      <c r="BK56" s="129" t="str">
        <f aca="false">IF($BL56&lt;&gt;Constants!$B$4,"",IF(NOT($BC56),"",IF(ISNUMBER($AL56),$AL56,0)))</f>
        <v/>
      </c>
      <c r="BL56" s="124" t="str">
        <f aca="false">IF(ISBLANK($C56),"",IF($AO56,Constants!$B$7,IF(COUNTA($E56:$V56)=0,Constants!$B$6,IF(NOT($Y56),Constants!$B$5,IF(NOT(OR($AS56,$BC56)),Constants!$B$5,IF(OR($AT56,$BD56,$AQ56,$AR56&lt;&gt;""),Constants!$B$8,Constants!$B$4))))))</f>
        <v/>
      </c>
      <c r="BM56" s="124" t="str">
        <f aca="false">IF(ISBLANK($C56),"",IF($BL56&lt;&gt;Constants!$B$4,$BL56,IF($BB56="-&gt;",$BI56,$AY56)))</f>
        <v/>
      </c>
      <c r="BN56" s="127" t="str">
        <f aca="false">IF($BL56&lt;&gt;Constants!$B$4,"",IF($BB56="-&gt;",$BJ56,$AZ56))</f>
        <v/>
      </c>
      <c r="BO56" s="127" t="str">
        <f aca="false">IF(ISBLANK($C56),"",IF($BL56&lt;&gt;Constants!$B$4,$BL56,$BN56))</f>
        <v/>
      </c>
      <c r="BP56" s="124" t="str">
        <f aca="false">IF(ISBLANK($C56),"",IF($BL56&lt;&gt;Constants!$B$4,$BL56,RANK($BO56,$BO$9:$BO$508,0)))</f>
        <v/>
      </c>
      <c r="BQ56" s="124" t="str">
        <f aca="false">IF(ISBLANK($C56),"",IF($BL56&lt;&gt;Constants!$B$4,$BL56,COUNTIFS($BM$9:$BM$508,"&lt;"&amp;$BM56)+COUNTIFS($BM$9:$BM$508,$BM56,$BP$9:$BP$508,"&lt;"&amp;$BP56)+1))</f>
        <v/>
      </c>
      <c r="BR56" s="127" t="str">
        <f aca="false">IF($BL56&lt;&gt;Constants!$B$4,"",IF($BB56="-&gt;",$BH56,$AX56))</f>
        <v/>
      </c>
      <c r="BS56" s="124" t="str">
        <f aca="false">IF(ISBLANK($C56),"",IF($BL56&lt;&gt;Constants!$B$4,$BL56,IF(ISNUMBER($BR56),RANK($BR56,$BR$9:$BR$508,0),COUNT($BR$9:$BR$508)+1)))</f>
        <v/>
      </c>
      <c r="BT56" s="127" t="str">
        <f aca="false">IF($BL56&lt;&gt;Constants!$B$4,"",IF($BB56="-&gt;",$BE56,$AU56))</f>
        <v/>
      </c>
      <c r="BU56" s="124" t="str">
        <f aca="false">IF(ISBLANK($C56),"",IF($BL56&lt;&gt;Constants!$B$4,$BL56,IF(ISNUMBER($BT56),RANK($BT56,$BT$9:$BT$508,0),COUNT($BT$9:$BT$508)+1)))</f>
        <v/>
      </c>
      <c r="BV56" s="127" t="str">
        <f aca="false">IF($BL56&lt;&gt;Constants!$B$4,"",IF($BB56="-&gt;",$BF56,$AV56))</f>
        <v/>
      </c>
      <c r="BW56" s="124" t="str">
        <f aca="false">IF(ISBLANK($C56),"",IF($BL56&lt;&gt;Constants!$B$4,$BL56,IF(ISNUMBER($BV56),RANK($BV56,$BV$9:$BV$508,0),COUNT($BV$9:$BV$508)+1)))</f>
        <v/>
      </c>
      <c r="BX56" s="127" t="str">
        <f aca="false">IF($BL56&lt;&gt;Constants!$B$4,"",IF($BB56="-&gt;",$BK56,$BA56))</f>
        <v/>
      </c>
      <c r="BY56" s="124" t="str">
        <f aca="false">IF(ISBLANK($C56),"",IF($BL56&lt;&gt;Constants!$B$4,$BL56,IF(ISNUMBER($BX56),RANK($BX56,$BX$9:$BX$508,0),COUNT($BX$9:$BX$508)+1)))</f>
        <v/>
      </c>
      <c r="BZ56" s="124" t="str">
        <f aca="false">IF(ISBLANK($C56),"",IF($BL56&lt;&gt;Constants!$B$4,$BL56,COUNTIFS($BM$9:$BM$508,"&lt;"&amp;$BM56)+COUNTIFS($BM$9:$BM$508,$BM56,$BP$9:$BP$508,"&lt;"&amp;$BP56)+COUNTIFS($BM$9:$BM$508,$BM56,$BP$9:$BP$508,$BP56,$BS$9:$BS$508,"&lt;"&amp;$BS56)+COUNTIFS($BM$9:$BM$508,$BM56,$BP$9:$BP$508,$BP56,$BS$9:$BS$508,$BS56,$BU$9:$BU$508,"&lt;"&amp;$BU56)+COUNTIFS($BM$9:$BM$508,$BM56,$BP$9:$BP$508,$BP56,$BS$9:$BS$508,$BS56,$BU$9:$BU$508,$BU56,$BW$9:$BW$508,"&lt;"&amp;$BW56)+COUNTIFS($BM$9:$BM$508,$BM56,$BP$9:$BP$508,$BP56,$BS$9:$BS$508,$BS56,$BU$9:$BU$508,$BU56,$BW$9:$BW$508,$BW56,$BY$9:$BY$508,"&lt;"&amp;$BY56)+1))</f>
        <v/>
      </c>
      <c r="CA56" s="124" t="str">
        <f aca="false">IF(ISBLANK($C56),"",IF($BL56&lt;&gt;Constants!$B$4,$BL56,$BQ56-$BZ56))</f>
        <v/>
      </c>
      <c r="CB56" s="130"/>
      <c r="CC56" s="131" t="str">
        <f aca="false">IF(ISBLANK($C56),"",IF($BL56=Constants!$B$8,$AR56,""))</f>
        <v/>
      </c>
      <c r="CD56" s="131" t="str">
        <f aca="false">IF(ISBLANK($C56),"",IF($BL56&lt;&gt;Constants!$B$4,"",IF($BB56="-&gt;",2,1)))</f>
        <v/>
      </c>
      <c r="CE56" s="132" t="str">
        <f aca="false">IF(ISBLANK($C56),"",IF($BL56&lt;&gt;Constants!$B$4,"",IF($BB56="-&gt;",$BE56,$AU56)))</f>
        <v/>
      </c>
      <c r="CF56" s="132" t="str">
        <f aca="false">IF(ISBLANK($C56),"",IF($BL56&lt;&gt;Constants!$B$4,"",IF($BB56="-&gt;",$BF56,$AV56)))</f>
        <v/>
      </c>
      <c r="CG56" s="132" t="str">
        <f aca="false">IF(ISBLANK($C56),"",IF($BL56&lt;&gt;Constants!$B$4,"",IF($BB56="-&gt;",$BG56,$AW56)))</f>
        <v/>
      </c>
      <c r="CH56" s="132" t="str">
        <f aca="false">IF(ISBLANK($C56),"",IF($BL56&lt;&gt;Constants!$B$4,"",IF($BB56="-&gt;",$BH56,$AX56)))</f>
        <v/>
      </c>
      <c r="CI56" s="133" t="str">
        <f aca="false">IF(ISBLANK($C56),"",$BO56)</f>
        <v/>
      </c>
      <c r="CJ56" s="134" t="str">
        <f aca="false">IF(ISBLANK($C56),"",$BM56)</f>
        <v/>
      </c>
      <c r="CK56" s="135" t="str">
        <f aca="false">IF(ISBLANK($C56),"",$CA56)</f>
        <v/>
      </c>
      <c r="CL56" s="135" t="str">
        <f aca="false">IF(ISBLANK($C56),"",$BZ56)</f>
        <v/>
      </c>
      <c r="CM56" s="136" t="str">
        <f aca="false">IF(ISBLANK($C56),"",IF($CL56=Constants!$B$7,COUNTA($C$9:$C$508)+2,IF($CL56=Constants!$B$6,COUNTA($C$9:$C$508)+1,IF($CL56=Constants!$B$5,COUNTA($C$9:$C$508),$CL56))))</f>
        <v/>
      </c>
      <c r="CN56" s="8"/>
      <c r="CO56" s="137" t="n">
        <f aca="false">IF(OR(ISNUMBER($CL56),$CL56=Constants!$B$7,$CL56=Constants!$B$5,$CL56=Constants!$B$6),1,0)</f>
        <v>0</v>
      </c>
      <c r="CP56" s="137" t="n">
        <v>48</v>
      </c>
      <c r="CQ56" s="137" t="str">
        <f aca="false">IF(ISBLANK($C56),"",IF(ISNUMBER($CM56),$CM56+ROW($B56)/1000,""))</f>
        <v/>
      </c>
      <c r="CR56" s="137" t="str">
        <f aca="false">IF(ISNUMBER($CQ56),RANK($CQ56,$CQ$9:$CQ$508,1),"")</f>
        <v/>
      </c>
      <c r="CS56" s="137" t="str">
        <f aca="false">IF(ISBLANK($C56),"",$B56)</f>
        <v/>
      </c>
      <c r="CT56" s="137" t="str">
        <f aca="false">IF(ISBLANK($C56),"",$C56)</f>
        <v/>
      </c>
      <c r="CU56" s="137" t="str">
        <f aca="false">IF(ISBLANK($C56),"",$D56)</f>
        <v/>
      </c>
      <c r="CV56" s="138" t="str">
        <f aca="false">$CJ56</f>
        <v/>
      </c>
      <c r="CW56" s="139" t="str">
        <f aca="false">$CI56</f>
        <v/>
      </c>
      <c r="CX56" s="137" t="str">
        <f aca="false">IF(ISBLANK($C56),"",$CL56)</f>
        <v/>
      </c>
      <c r="CY56" s="140" t="str">
        <f aca="false">IF($CP56&gt;$CO$8,"",VLOOKUP($CP56,$CR$9:$CX$508,7,FALSE()))</f>
        <v/>
      </c>
      <c r="CZ56" s="141" t="str">
        <f aca="false">IF($CP56&gt;$CO$8,"",VLOOKUP($CP56,$CR$9:$CX$508,2,FALSE()))</f>
        <v/>
      </c>
      <c r="DA56" s="141" t="str">
        <f aca="false">IF($CP56&gt;$CO$8,"",VLOOKUP($CP56,$CR$9:$CX$508,3,FALSE()))</f>
        <v/>
      </c>
      <c r="DB56" s="141" t="str">
        <f aca="false">IF($CP56&gt;$CO$8,"",VLOOKUP($CP56,$CR$9:$CX$508,4,FALSE()))</f>
        <v/>
      </c>
      <c r="DC56" s="141" t="str">
        <f aca="false">IF($CP56&gt;$CO$8,"",VLOOKUP($CP56,$CR$9:$CX$508,5,FALSE()))</f>
        <v/>
      </c>
      <c r="DD56" s="142" t="str">
        <f aca="false">IF($CP56&gt;$CO$8,"",VLOOKUP($CP56,$CR$9:$CX$508,6,FALSE()))</f>
        <v/>
      </c>
      <c r="DE56" s="70"/>
    </row>
    <row r="57" customFormat="false" ht="15.75" hidden="false" customHeight="false" outlineLevel="0" collapsed="false">
      <c r="A57" s="8"/>
      <c r="B57" s="72"/>
      <c r="C57" s="73"/>
      <c r="D57" s="155"/>
      <c r="E57" s="162"/>
      <c r="F57" s="157"/>
      <c r="G57" s="77"/>
      <c r="H57" s="77"/>
      <c r="I57" s="77"/>
      <c r="J57" s="163"/>
      <c r="K57" s="161"/>
      <c r="L57" s="161"/>
      <c r="M57" s="80"/>
      <c r="N57" s="161"/>
      <c r="O57" s="160"/>
      <c r="P57" s="161"/>
      <c r="Q57" s="161"/>
      <c r="R57" s="161"/>
      <c r="S57" s="77"/>
      <c r="T57" s="161"/>
      <c r="U57" s="160"/>
      <c r="V57" s="161"/>
      <c r="W57" s="85"/>
      <c r="X57" s="86" t="str">
        <f aca="false">IF(ISBLANK($C57),"",IF($E57=Constants!$B$2,TRUE(),IF($E57=Constants!$B$3,FALSE(),TRUE())))</f>
        <v/>
      </c>
      <c r="Y57" s="86" t="str">
        <f aca="false">IF(ISBLANK($C57),"",IF($F57=Constants!$B$2,TRUE(),IF($F57=Constants!$B$3,FALSE(),TRUE())))</f>
        <v/>
      </c>
      <c r="Z57" s="87" t="str">
        <f aca="false">IF(ISBLANK($C57),"",IF(ISNUMBER($G57),IF($G57&gt;=0,$G57,""),""))</f>
        <v/>
      </c>
      <c r="AA57" s="87" t="str">
        <f aca="false">IF(ISBLANK($C57),"",IF(ISNUMBER($H57),IF($H57&gt;=0,$H57,""),""))</f>
        <v/>
      </c>
      <c r="AB57" s="87" t="str">
        <f aca="false">IF(ISBLANK($C57),"",IF(ISNUMBER($I57),IF($I57&gt;=0,$I57,""),""))</f>
        <v/>
      </c>
      <c r="AC57" s="86" t="str">
        <f aca="false">IF(ISBLANK($C57),"",IF($J57=Constants!$B$2,TRUE(),IF($J57=Constants!$B$3,FALSE(),TRUE())))</f>
        <v/>
      </c>
      <c r="AD57" s="86" t="str">
        <f aca="false">IF(ISBLANK($C57),"",IF($K57=Constants!$B$2,TRUE(),IF($K57=Constants!$B$3,FALSE(),TRUE())))</f>
        <v/>
      </c>
      <c r="AE57" s="86" t="str">
        <f aca="false">IF(ISBLANK($C57),"",IF($L57=Constants!$B$2,TRUE(),IF($L57=Constants!$B$3,FALSE(),TRUE())))</f>
        <v/>
      </c>
      <c r="AF57" s="88" t="str">
        <f aca="false">IF(ISBLANK($C57),"",IF(ISNUMBER($M57),IF($M57&gt;=0,$M57,""),""))</f>
        <v/>
      </c>
      <c r="AG57" s="86" t="str">
        <f aca="false">IF(ISBLANK($C57),"",IF(ISBLANK($N57),0,IF(ISNUMBER($N57),IF(AND($N57&gt;=0,$N57&lt;=Constants!$B$17,$N57=INT($N57)),$N57,""),"")))</f>
        <v/>
      </c>
      <c r="AH57" s="87" t="str">
        <f aca="false">IF(ISBLANK($C57),"",IF(ISBLANK($O57),0,IF(ISNUMBER($O57),IF($O57&gt;=0,$O57,""),"")))</f>
        <v/>
      </c>
      <c r="AI57" s="86" t="str">
        <f aca="false">IF(ISBLANK($C57),"",IF($P57=Constants!$B$2,TRUE(),IF($P57=Constants!$B$3,FALSE(),TRUE())))</f>
        <v/>
      </c>
      <c r="AJ57" s="86" t="str">
        <f aca="false">IF(ISBLANK($C57),"",IF($Q57=Constants!$B$2,TRUE(),IF($Q57=Constants!$B$3,FALSE(),TRUE())))</f>
        <v/>
      </c>
      <c r="AK57" s="86" t="str">
        <f aca="false">IF(ISBLANK($C57),"",IF($R57=Constants!$B$2,TRUE(),IF($R57=Constants!$B$3,FALSE(),TRUE())))</f>
        <v/>
      </c>
      <c r="AL57" s="88" t="str">
        <f aca="false">IF(ISBLANK($C57),"",IF(ISNUMBER($S57),IF($S57&gt;=0,$S57,""),""))</f>
        <v/>
      </c>
      <c r="AM57" s="86" t="str">
        <f aca="false">IF(ISBLANK($C57),"",IF(ISBLANK($T57),0,IF(ISNUMBER($T57),IF(AND($T57&gt;=0,$T57&lt;=Constants!$B$17,$T57=INT($T57)),$T57,""),"")))</f>
        <v/>
      </c>
      <c r="AN57" s="87" t="str">
        <f aca="false">IF(ISBLANK($C57),"",IF(ISBLANK($U57),0,IF(ISNUMBER($U57),IF($U57&gt;=0,$U57,""),"")))</f>
        <v/>
      </c>
      <c r="AO57" s="86" t="str">
        <f aca="false">IF(ISBLANK($C57),"",IF($V57=Constants!$B$2,TRUE(),IF($V57=Constants!$B$3,FALSE(),FALSE())))</f>
        <v/>
      </c>
      <c r="AP57" s="86"/>
      <c r="AQ57" s="85" t="str">
        <f aca="false">IF(ISBLANK($C57),"",AND($Y57,OR($AS57,$BC57),OR($Z57="",$AA57="",$AB57="")))</f>
        <v/>
      </c>
      <c r="AR57" s="85" t="str">
        <f aca="false">IF(ISBLANK($C57),"",IF(OR(NOT($Y57),NOT(OR($AS57,$BC57))),"",IF(ISBLANK($D$7),$AR$5,IF($AP$9="",$AR$6,""))))</f>
        <v/>
      </c>
      <c r="AS57" s="85" t="str">
        <f aca="false">IF(ISBLANK($C57),"",COUNTA($J57:$O57)&gt;0)</f>
        <v/>
      </c>
      <c r="AT57" s="85" t="str">
        <f aca="false">IF(ISBLANK($C57),"",AND($AS57,OR(AND($AF57="",OR($AE57,NOT(ISBLANK($M57)))),$AG57="",$AH57="")))</f>
        <v/>
      </c>
      <c r="AU57" s="87" t="str">
        <f aca="false">IF($BL57&lt;&gt;Constants!$B$4,"",IF(NOT($AS57),"",ROUND((Constants!$B$12-$AB57)+(Constants!$B$13-$Z57)+(Constants!$B$14-$AA57),1)))</f>
        <v/>
      </c>
      <c r="AV57" s="90" t="str">
        <f aca="false">IF($BL57&lt;&gt;Constants!$B$4,"",IF(NOT($AS57),"",IF(NOT($AE57),0,Constants!$B$15*(INT(ROUND(MIN($AF57,$AP$9),6))-INT(ROUND(MAX(0,MIN($AF57,2*$AP$9)-$AP$9),6))))))</f>
        <v/>
      </c>
      <c r="AW57" s="90" t="str">
        <f aca="false">IF($BL57&lt;&gt;Constants!$B$4,"",IF(NOT($AS57),"",Constants!$B$16*$AG57))</f>
        <v/>
      </c>
      <c r="AX57" s="90" t="str">
        <f aca="false">IF($BL57&lt;&gt;Constants!$B$4,"",IF(NOT($AS57),"",Constants!$B$18*INT(ROUND($AH57,6))))</f>
        <v/>
      </c>
      <c r="AY57" s="85" t="str">
        <f aca="false">IF($BL57&lt;&gt;Constants!$B$4,"",IF(NOT($AS57),"",IF(NOT($X57),Constants!$B$11,IF(OR(NOT($AC57),NOT($AD57),ROUND($AB57,1)&gt;Constants!$B$12,ROUND($Z57,1)&gt;Constants!$B$13,ROUND($AA57,1)&gt;Constants!$B$14),Constants!$B$10,Constants!$B$9))))</f>
        <v/>
      </c>
      <c r="AZ57" s="91" t="str">
        <f aca="false">IF($BL57&lt;&gt;Constants!$B$4,"",IF(NOT($AS57),"",ROUND($AU57+$AV57+$AW57+$AX57,1)))</f>
        <v/>
      </c>
      <c r="BA57" s="92" t="str">
        <f aca="false">IF($BL57&lt;&gt;Constants!$B$4,"",IF(NOT($AS57),"",IF(ISNUMBER($AF57),$AF57,0)))</f>
        <v/>
      </c>
      <c r="BB57" s="86" t="str">
        <f aca="false">IF($BL57&lt;&gt;Constants!$B$4,"",IF(NOT($BC57),"&lt;-",IF(NOT($AS57),"-&gt;",IF(OR($BI57&lt;$AY57,AND($BI57=$AY57,OR($BJ57&gt;$AZ57,AND($BJ57=$AZ57,OR($BH57&gt;$AX57,AND($BH57=$AX57,OR($BE57&gt;$AU57,AND($BE57=$AU57,OR($BF57&gt;$AV57,AND($BF57=$AV57,$BK57&gt;$BA57)))))))))),"-&gt;","&lt;-"))))</f>
        <v/>
      </c>
      <c r="BC57" s="85" t="str">
        <f aca="false">IF(ISBLANK($C57),"",COUNTA($P57:$U57)&gt;0)</f>
        <v/>
      </c>
      <c r="BD57" s="85" t="str">
        <f aca="false">IF(ISBLANK($C57),"",AND($BC57,OR(AND($AL57="",OR($AK57,NOT(ISBLANK($S57)))),$AM57="",$AN57="")))</f>
        <v/>
      </c>
      <c r="BE57" s="87" t="str">
        <f aca="false">IF($BL57&lt;&gt;Constants!$B$4,"",IF(NOT($BC57),"",ROUND((Constants!$B$12-$AB57)+(Constants!$B$13-$Z57)+(Constants!$B$14-$AA57),1)))</f>
        <v/>
      </c>
      <c r="BF57" s="90" t="str">
        <f aca="false">IF($BL57&lt;&gt;Constants!$B$4,"",IF(NOT($BC57),"",IF(NOT($AK57),0,Constants!$B$15*(INT(ROUND(MIN($AL57,$AP$9),6))-INT(ROUND(MAX(0,MIN($AL57,2*$AP$9)-$AP$9),6))))))</f>
        <v/>
      </c>
      <c r="BG57" s="90" t="str">
        <f aca="false">IF($BL57&lt;&gt;Constants!$B$4,"",IF(NOT($BC57),"",Constants!$B$16*$AM57))</f>
        <v/>
      </c>
      <c r="BH57" s="90" t="str">
        <f aca="false">IF($BL57&lt;&gt;Constants!$B$4,"",IF(NOT($BC57),"",Constants!$B$18*INT(ROUND($AN57,6))))</f>
        <v/>
      </c>
      <c r="BI57" s="85" t="str">
        <f aca="false">IF($BL57&lt;&gt;Constants!$B$4,"",IF(NOT($BC57),"",IF(NOT($X57),Constants!$B$11,IF(OR(NOT($AI57),NOT($AJ57),ROUND($AB57,1)&gt;Constants!$B$12,ROUND($Z57,1)&gt;Constants!$B$13,ROUND($AA57,1)&gt;Constants!$B$14),Constants!$B$10,Constants!$B$9))))</f>
        <v/>
      </c>
      <c r="BJ57" s="91" t="str">
        <f aca="false">IF($BL57&lt;&gt;Constants!$B$4,"",IF(NOT($BC57),"",ROUND($BE57+$BF57+$BG57+$BH57,1)))</f>
        <v/>
      </c>
      <c r="BK57" s="92" t="str">
        <f aca="false">IF($BL57&lt;&gt;Constants!$B$4,"",IF(NOT($BC57),"",IF(ISNUMBER($AL57),$AL57,0)))</f>
        <v/>
      </c>
      <c r="BL57" s="86" t="str">
        <f aca="false">IF(ISBLANK($C57),"",IF($AO57,Constants!$B$7,IF(COUNTA($E57:$V57)=0,Constants!$B$6,IF(NOT($Y57),Constants!$B$5,IF(NOT(OR($AS57,$BC57)),Constants!$B$5,IF(OR($AT57,$BD57,$AQ57,$AR57&lt;&gt;""),Constants!$B$8,Constants!$B$4))))))</f>
        <v/>
      </c>
      <c r="BM57" s="86" t="str">
        <f aca="false">IF(ISBLANK($C57),"",IF($BL57&lt;&gt;Constants!$B$4,$BL57,IF($BB57="-&gt;",$BI57,$AY57)))</f>
        <v/>
      </c>
      <c r="BN57" s="90" t="str">
        <f aca="false">IF($BL57&lt;&gt;Constants!$B$4,"",IF($BB57="-&gt;",$BJ57,$AZ57))</f>
        <v/>
      </c>
      <c r="BO57" s="90" t="str">
        <f aca="false">IF(ISBLANK($C57),"",IF($BL57&lt;&gt;Constants!$B$4,$BL57,$BN57))</f>
        <v/>
      </c>
      <c r="BP57" s="86" t="str">
        <f aca="false">IF(ISBLANK($C57),"",IF($BL57&lt;&gt;Constants!$B$4,$BL57,RANK($BO57,$BO$9:$BO$508,0)))</f>
        <v/>
      </c>
      <c r="BQ57" s="86" t="str">
        <f aca="false">IF(ISBLANK($C57),"",IF($BL57&lt;&gt;Constants!$B$4,$BL57,COUNTIFS($BM$9:$BM$508,"&lt;"&amp;$BM57)+COUNTIFS($BM$9:$BM$508,$BM57,$BP$9:$BP$508,"&lt;"&amp;$BP57)+1))</f>
        <v/>
      </c>
      <c r="BR57" s="90" t="str">
        <f aca="false">IF($BL57&lt;&gt;Constants!$B$4,"",IF($BB57="-&gt;",$BH57,$AX57))</f>
        <v/>
      </c>
      <c r="BS57" s="86" t="str">
        <f aca="false">IF(ISBLANK($C57),"",IF($BL57&lt;&gt;Constants!$B$4,$BL57,IF(ISNUMBER($BR57),RANK($BR57,$BR$9:$BR$508,0),COUNT($BR$9:$BR$508)+1)))</f>
        <v/>
      </c>
      <c r="BT57" s="90" t="str">
        <f aca="false">IF($BL57&lt;&gt;Constants!$B$4,"",IF($BB57="-&gt;",$BE57,$AU57))</f>
        <v/>
      </c>
      <c r="BU57" s="86" t="str">
        <f aca="false">IF(ISBLANK($C57),"",IF($BL57&lt;&gt;Constants!$B$4,$BL57,IF(ISNUMBER($BT57),RANK($BT57,$BT$9:$BT$508,0),COUNT($BT$9:$BT$508)+1)))</f>
        <v/>
      </c>
      <c r="BV57" s="90" t="str">
        <f aca="false">IF($BL57&lt;&gt;Constants!$B$4,"",IF($BB57="-&gt;",$BF57,$AV57))</f>
        <v/>
      </c>
      <c r="BW57" s="86" t="str">
        <f aca="false">IF(ISBLANK($C57),"",IF($BL57&lt;&gt;Constants!$B$4,$BL57,IF(ISNUMBER($BV57),RANK($BV57,$BV$9:$BV$508,0),COUNT($BV$9:$BV$508)+1)))</f>
        <v/>
      </c>
      <c r="BX57" s="90" t="str">
        <f aca="false">IF($BL57&lt;&gt;Constants!$B$4,"",IF($BB57="-&gt;",$BK57,$BA57))</f>
        <v/>
      </c>
      <c r="BY57" s="86" t="str">
        <f aca="false">IF(ISBLANK($C57),"",IF($BL57&lt;&gt;Constants!$B$4,$BL57,IF(ISNUMBER($BX57),RANK($BX57,$BX$9:$BX$508,0),COUNT($BX$9:$BX$508)+1)))</f>
        <v/>
      </c>
      <c r="BZ57" s="86" t="str">
        <f aca="false">IF(ISBLANK($C57),"",IF($BL57&lt;&gt;Constants!$B$4,$BL57,COUNTIFS($BM$9:$BM$508,"&lt;"&amp;$BM57)+COUNTIFS($BM$9:$BM$508,$BM57,$BP$9:$BP$508,"&lt;"&amp;$BP57)+COUNTIFS($BM$9:$BM$508,$BM57,$BP$9:$BP$508,$BP57,$BS$9:$BS$508,"&lt;"&amp;$BS57)+COUNTIFS($BM$9:$BM$508,$BM57,$BP$9:$BP$508,$BP57,$BS$9:$BS$508,$BS57,$BU$9:$BU$508,"&lt;"&amp;$BU57)+COUNTIFS($BM$9:$BM$508,$BM57,$BP$9:$BP$508,$BP57,$BS$9:$BS$508,$BS57,$BU$9:$BU$508,$BU57,$BW$9:$BW$508,"&lt;"&amp;$BW57)+COUNTIFS($BM$9:$BM$508,$BM57,$BP$9:$BP$508,$BP57,$BS$9:$BS$508,$BS57,$BU$9:$BU$508,$BU57,$BW$9:$BW$508,$BW57,$BY$9:$BY$508,"&lt;"&amp;$BY57)+1))</f>
        <v/>
      </c>
      <c r="CA57" s="86" t="str">
        <f aca="false">IF(ISBLANK($C57),"",IF($BL57&lt;&gt;Constants!$B$4,$BL57,$BQ57-$BZ57))</f>
        <v/>
      </c>
      <c r="CB57" s="93"/>
      <c r="CC57" s="94" t="str">
        <f aca="false">IF(ISBLANK($C57),"",IF($BL57=Constants!$B$8,$AR57,""))</f>
        <v/>
      </c>
      <c r="CD57" s="94" t="str">
        <f aca="false">IF(ISBLANK($C57),"",IF($BL57&lt;&gt;Constants!$B$4,"",IF($BB57="-&gt;",2,1)))</f>
        <v/>
      </c>
      <c r="CE57" s="95" t="str">
        <f aca="false">IF(ISBLANK($C57),"",IF($BL57&lt;&gt;Constants!$B$4,"",IF($BB57="-&gt;",$BE57,$AU57)))</f>
        <v/>
      </c>
      <c r="CF57" s="95" t="str">
        <f aca="false">IF(ISBLANK($C57),"",IF($BL57&lt;&gt;Constants!$B$4,"",IF($BB57="-&gt;",$BF57,$AV57)))</f>
        <v/>
      </c>
      <c r="CG57" s="95" t="str">
        <f aca="false">IF(ISBLANK($C57),"",IF($BL57&lt;&gt;Constants!$B$4,"",IF($BB57="-&gt;",$BG57,$AW57)))</f>
        <v/>
      </c>
      <c r="CH57" s="95" t="str">
        <f aca="false">IF(ISBLANK($C57),"",IF($BL57&lt;&gt;Constants!$B$4,"",IF($BB57="-&gt;",$BH57,$AX57)))</f>
        <v/>
      </c>
      <c r="CI57" s="96" t="str">
        <f aca="false">IF(ISBLANK($C57),"",$BO57)</f>
        <v/>
      </c>
      <c r="CJ57" s="97" t="str">
        <f aca="false">IF(ISBLANK($C57),"",$BM57)</f>
        <v/>
      </c>
      <c r="CK57" s="98" t="str">
        <f aca="false">IF(ISBLANK($C57),"",$CA57)</f>
        <v/>
      </c>
      <c r="CL57" s="98" t="str">
        <f aca="false">IF(ISBLANK($C57),"",$BZ57)</f>
        <v/>
      </c>
      <c r="CM57" s="99" t="str">
        <f aca="false">IF(ISBLANK($C57),"",IF($CL57=Constants!$B$7,COUNTA($C$9:$C$508)+2,IF($CL57=Constants!$B$6,COUNTA($C$9:$C$508)+1,IF($CL57=Constants!$B$5,COUNTA($C$9:$C$508),$CL57))))</f>
        <v/>
      </c>
      <c r="CN57" s="8"/>
      <c r="CO57" s="100" t="n">
        <f aca="false">IF(OR(ISNUMBER($CL57),$CL57=Constants!$B$7,$CL57=Constants!$B$5,$CL57=Constants!$B$6),1,0)</f>
        <v>0</v>
      </c>
      <c r="CP57" s="100" t="n">
        <v>49</v>
      </c>
      <c r="CQ57" s="100" t="str">
        <f aca="false">IF(ISBLANK($C57),"",IF(ISNUMBER($CM57),$CM57+ROW($B57)/1000,""))</f>
        <v/>
      </c>
      <c r="CR57" s="100" t="str">
        <f aca="false">IF(ISNUMBER($CQ57),RANK($CQ57,$CQ$9:$CQ$508,1),"")</f>
        <v/>
      </c>
      <c r="CS57" s="100" t="str">
        <f aca="false">IF(ISBLANK($C57),"",$B57)</f>
        <v/>
      </c>
      <c r="CT57" s="100" t="str">
        <f aca="false">IF(ISBLANK($C57),"",$C57)</f>
        <v/>
      </c>
      <c r="CU57" s="100" t="str">
        <f aca="false">IF(ISBLANK($C57),"",$D57)</f>
        <v/>
      </c>
      <c r="CV57" s="101" t="str">
        <f aca="false">$CJ57</f>
        <v/>
      </c>
      <c r="CW57" s="102" t="str">
        <f aca="false">$CI57</f>
        <v/>
      </c>
      <c r="CX57" s="100" t="str">
        <f aca="false">IF(ISBLANK($C57),"",$CL57)</f>
        <v/>
      </c>
      <c r="CY57" s="103" t="str">
        <f aca="false">IF($CP57&gt;$CO$8,"",VLOOKUP($CP57,$CR$9:$CX$508,7,FALSE()))</f>
        <v/>
      </c>
      <c r="CZ57" s="104" t="str">
        <f aca="false">IF($CP57&gt;$CO$8,"",VLOOKUP($CP57,$CR$9:$CX$508,2,FALSE()))</f>
        <v/>
      </c>
      <c r="DA57" s="104" t="str">
        <f aca="false">IF($CP57&gt;$CO$8,"",VLOOKUP($CP57,$CR$9:$CX$508,3,FALSE()))</f>
        <v/>
      </c>
      <c r="DB57" s="104" t="str">
        <f aca="false">IF($CP57&gt;$CO$8,"",VLOOKUP($CP57,$CR$9:$CX$508,4,FALSE()))</f>
        <v/>
      </c>
      <c r="DC57" s="104" t="str">
        <f aca="false">IF($CP57&gt;$CO$8,"",VLOOKUP($CP57,$CR$9:$CX$508,5,FALSE()))</f>
        <v/>
      </c>
      <c r="DD57" s="105" t="str">
        <f aca="false">IF($CP57&gt;$CO$8,"",VLOOKUP($CP57,$CR$9:$CX$508,6,FALSE()))</f>
        <v/>
      </c>
      <c r="DE57" s="70"/>
    </row>
    <row r="58" customFormat="false" ht="15.75" hidden="false" customHeight="false" outlineLevel="0" collapsed="false">
      <c r="A58" s="8"/>
      <c r="B58" s="72"/>
      <c r="C58" s="73"/>
      <c r="D58" s="155"/>
      <c r="E58" s="162"/>
      <c r="F58" s="157"/>
      <c r="G58" s="77"/>
      <c r="H58" s="77"/>
      <c r="I58" s="77"/>
      <c r="J58" s="163"/>
      <c r="K58" s="161"/>
      <c r="L58" s="161"/>
      <c r="M58" s="80"/>
      <c r="N58" s="161"/>
      <c r="O58" s="160"/>
      <c r="P58" s="161"/>
      <c r="Q58" s="161"/>
      <c r="R58" s="161"/>
      <c r="S58" s="77"/>
      <c r="T58" s="161"/>
      <c r="U58" s="160"/>
      <c r="V58" s="161"/>
      <c r="W58" s="85"/>
      <c r="X58" s="86" t="str">
        <f aca="false">IF(ISBLANK($C58),"",IF($E58=Constants!$B$2,TRUE(),IF($E58=Constants!$B$3,FALSE(),TRUE())))</f>
        <v/>
      </c>
      <c r="Y58" s="86" t="str">
        <f aca="false">IF(ISBLANK($C58),"",IF($F58=Constants!$B$2,TRUE(),IF($F58=Constants!$B$3,FALSE(),TRUE())))</f>
        <v/>
      </c>
      <c r="Z58" s="87" t="str">
        <f aca="false">IF(ISBLANK($C58),"",IF(ISNUMBER($G58),IF($G58&gt;=0,$G58,""),""))</f>
        <v/>
      </c>
      <c r="AA58" s="87" t="str">
        <f aca="false">IF(ISBLANK($C58),"",IF(ISNUMBER($H58),IF($H58&gt;=0,$H58,""),""))</f>
        <v/>
      </c>
      <c r="AB58" s="87" t="str">
        <f aca="false">IF(ISBLANK($C58),"",IF(ISNUMBER($I58),IF($I58&gt;=0,$I58,""),""))</f>
        <v/>
      </c>
      <c r="AC58" s="86" t="str">
        <f aca="false">IF(ISBLANK($C58),"",IF($J58=Constants!$B$2,TRUE(),IF($J58=Constants!$B$3,FALSE(),TRUE())))</f>
        <v/>
      </c>
      <c r="AD58" s="86" t="str">
        <f aca="false">IF(ISBLANK($C58),"",IF($K58=Constants!$B$2,TRUE(),IF($K58=Constants!$B$3,FALSE(),TRUE())))</f>
        <v/>
      </c>
      <c r="AE58" s="86" t="str">
        <f aca="false">IF(ISBLANK($C58),"",IF($L58=Constants!$B$2,TRUE(),IF($L58=Constants!$B$3,FALSE(),TRUE())))</f>
        <v/>
      </c>
      <c r="AF58" s="88" t="str">
        <f aca="false">IF(ISBLANK($C58),"",IF(ISNUMBER($M58),IF($M58&gt;=0,$M58,""),""))</f>
        <v/>
      </c>
      <c r="AG58" s="86" t="str">
        <f aca="false">IF(ISBLANK($C58),"",IF(ISBLANK($N58),0,IF(ISNUMBER($N58),IF(AND($N58&gt;=0,$N58&lt;=Constants!$B$17,$N58=INT($N58)),$N58,""),"")))</f>
        <v/>
      </c>
      <c r="AH58" s="87" t="str">
        <f aca="false">IF(ISBLANK($C58),"",IF(ISBLANK($O58),0,IF(ISNUMBER($O58),IF($O58&gt;=0,$O58,""),"")))</f>
        <v/>
      </c>
      <c r="AI58" s="86" t="str">
        <f aca="false">IF(ISBLANK($C58),"",IF($P58=Constants!$B$2,TRUE(),IF($P58=Constants!$B$3,FALSE(),TRUE())))</f>
        <v/>
      </c>
      <c r="AJ58" s="86" t="str">
        <f aca="false">IF(ISBLANK($C58),"",IF($Q58=Constants!$B$2,TRUE(),IF($Q58=Constants!$B$3,FALSE(),TRUE())))</f>
        <v/>
      </c>
      <c r="AK58" s="86" t="str">
        <f aca="false">IF(ISBLANK($C58),"",IF($R58=Constants!$B$2,TRUE(),IF($R58=Constants!$B$3,FALSE(),TRUE())))</f>
        <v/>
      </c>
      <c r="AL58" s="88" t="str">
        <f aca="false">IF(ISBLANK($C58),"",IF(ISNUMBER($S58),IF($S58&gt;=0,$S58,""),""))</f>
        <v/>
      </c>
      <c r="AM58" s="86" t="str">
        <f aca="false">IF(ISBLANK($C58),"",IF(ISBLANK($T58),0,IF(ISNUMBER($T58),IF(AND($T58&gt;=0,$T58&lt;=Constants!$B$17,$T58=INT($T58)),$T58,""),"")))</f>
        <v/>
      </c>
      <c r="AN58" s="87" t="str">
        <f aca="false">IF(ISBLANK($C58),"",IF(ISBLANK($U58),0,IF(ISNUMBER($U58),IF($U58&gt;=0,$U58,""),"")))</f>
        <v/>
      </c>
      <c r="AO58" s="86" t="str">
        <f aca="false">IF(ISBLANK($C58),"",IF($V58=Constants!$B$2,TRUE(),IF($V58=Constants!$B$3,FALSE(),FALSE())))</f>
        <v/>
      </c>
      <c r="AP58" s="86"/>
      <c r="AQ58" s="85" t="str">
        <f aca="false">IF(ISBLANK($C58),"",AND($Y58,OR($AS58,$BC58),OR($Z58="",$AA58="",$AB58="")))</f>
        <v/>
      </c>
      <c r="AR58" s="85" t="str">
        <f aca="false">IF(ISBLANK($C58),"",IF(OR(NOT($Y58),NOT(OR($AS58,$BC58))),"",IF(ISBLANK($D$7),$AR$5,IF($AP$9="",$AR$6,""))))</f>
        <v/>
      </c>
      <c r="AS58" s="85" t="str">
        <f aca="false">IF(ISBLANK($C58),"",COUNTA($J58:$O58)&gt;0)</f>
        <v/>
      </c>
      <c r="AT58" s="85" t="str">
        <f aca="false">IF(ISBLANK($C58),"",AND($AS58,OR(AND($AF58="",OR($AE58,NOT(ISBLANK($M58)))),$AG58="",$AH58="")))</f>
        <v/>
      </c>
      <c r="AU58" s="87" t="str">
        <f aca="false">IF($BL58&lt;&gt;Constants!$B$4,"",IF(NOT($AS58),"",ROUND((Constants!$B$12-$AB58)+(Constants!$B$13-$Z58)+(Constants!$B$14-$AA58),1)))</f>
        <v/>
      </c>
      <c r="AV58" s="90" t="str">
        <f aca="false">IF($BL58&lt;&gt;Constants!$B$4,"",IF(NOT($AS58),"",IF(NOT($AE58),0,Constants!$B$15*(INT(ROUND(MIN($AF58,$AP$9),6))-INT(ROUND(MAX(0,MIN($AF58,2*$AP$9)-$AP$9),6))))))</f>
        <v/>
      </c>
      <c r="AW58" s="90" t="str">
        <f aca="false">IF($BL58&lt;&gt;Constants!$B$4,"",IF(NOT($AS58),"",Constants!$B$16*$AG58))</f>
        <v/>
      </c>
      <c r="AX58" s="90" t="str">
        <f aca="false">IF($BL58&lt;&gt;Constants!$B$4,"",IF(NOT($AS58),"",Constants!$B$18*INT(ROUND($AH58,6))))</f>
        <v/>
      </c>
      <c r="AY58" s="85" t="str">
        <f aca="false">IF($BL58&lt;&gt;Constants!$B$4,"",IF(NOT($AS58),"",IF(NOT($X58),Constants!$B$11,IF(OR(NOT($AC58),NOT($AD58),ROUND($AB58,1)&gt;Constants!$B$12,ROUND($Z58,1)&gt;Constants!$B$13,ROUND($AA58,1)&gt;Constants!$B$14),Constants!$B$10,Constants!$B$9))))</f>
        <v/>
      </c>
      <c r="AZ58" s="91" t="str">
        <f aca="false">IF($BL58&lt;&gt;Constants!$B$4,"",IF(NOT($AS58),"",ROUND($AU58+$AV58+$AW58+$AX58,1)))</f>
        <v/>
      </c>
      <c r="BA58" s="92" t="str">
        <f aca="false">IF($BL58&lt;&gt;Constants!$B$4,"",IF(NOT($AS58),"",IF(ISNUMBER($AF58),$AF58,0)))</f>
        <v/>
      </c>
      <c r="BB58" s="86" t="str">
        <f aca="false">IF($BL58&lt;&gt;Constants!$B$4,"",IF(NOT($BC58),"&lt;-",IF(NOT($AS58),"-&gt;",IF(OR($BI58&lt;$AY58,AND($BI58=$AY58,OR($BJ58&gt;$AZ58,AND($BJ58=$AZ58,OR($BH58&gt;$AX58,AND($BH58=$AX58,OR($BE58&gt;$AU58,AND($BE58=$AU58,OR($BF58&gt;$AV58,AND($BF58=$AV58,$BK58&gt;$BA58)))))))))),"-&gt;","&lt;-"))))</f>
        <v/>
      </c>
      <c r="BC58" s="85" t="str">
        <f aca="false">IF(ISBLANK($C58),"",COUNTA($P58:$U58)&gt;0)</f>
        <v/>
      </c>
      <c r="BD58" s="85" t="str">
        <f aca="false">IF(ISBLANK($C58),"",AND($BC58,OR(AND($AL58="",OR($AK58,NOT(ISBLANK($S58)))),$AM58="",$AN58="")))</f>
        <v/>
      </c>
      <c r="BE58" s="87" t="str">
        <f aca="false">IF($BL58&lt;&gt;Constants!$B$4,"",IF(NOT($BC58),"",ROUND((Constants!$B$12-$AB58)+(Constants!$B$13-$Z58)+(Constants!$B$14-$AA58),1)))</f>
        <v/>
      </c>
      <c r="BF58" s="90" t="str">
        <f aca="false">IF($BL58&lt;&gt;Constants!$B$4,"",IF(NOT($BC58),"",IF(NOT($AK58),0,Constants!$B$15*(INT(ROUND(MIN($AL58,$AP$9),6))-INT(ROUND(MAX(0,MIN($AL58,2*$AP$9)-$AP$9),6))))))</f>
        <v/>
      </c>
      <c r="BG58" s="90" t="str">
        <f aca="false">IF($BL58&lt;&gt;Constants!$B$4,"",IF(NOT($BC58),"",Constants!$B$16*$AM58))</f>
        <v/>
      </c>
      <c r="BH58" s="90" t="str">
        <f aca="false">IF($BL58&lt;&gt;Constants!$B$4,"",IF(NOT($BC58),"",Constants!$B$18*INT(ROUND($AN58,6))))</f>
        <v/>
      </c>
      <c r="BI58" s="85" t="str">
        <f aca="false">IF($BL58&lt;&gt;Constants!$B$4,"",IF(NOT($BC58),"",IF(NOT($X58),Constants!$B$11,IF(OR(NOT($AI58),NOT($AJ58),ROUND($AB58,1)&gt;Constants!$B$12,ROUND($Z58,1)&gt;Constants!$B$13,ROUND($AA58,1)&gt;Constants!$B$14),Constants!$B$10,Constants!$B$9))))</f>
        <v/>
      </c>
      <c r="BJ58" s="91" t="str">
        <f aca="false">IF($BL58&lt;&gt;Constants!$B$4,"",IF(NOT($BC58),"",ROUND($BE58+$BF58+$BG58+$BH58,1)))</f>
        <v/>
      </c>
      <c r="BK58" s="92" t="str">
        <f aca="false">IF($BL58&lt;&gt;Constants!$B$4,"",IF(NOT($BC58),"",IF(ISNUMBER($AL58),$AL58,0)))</f>
        <v/>
      </c>
      <c r="BL58" s="86" t="str">
        <f aca="false">IF(ISBLANK($C58),"",IF($AO58,Constants!$B$7,IF(COUNTA($E58:$V58)=0,Constants!$B$6,IF(NOT($Y58),Constants!$B$5,IF(NOT(OR($AS58,$BC58)),Constants!$B$5,IF(OR($AT58,$BD58,$AQ58,$AR58&lt;&gt;""),Constants!$B$8,Constants!$B$4))))))</f>
        <v/>
      </c>
      <c r="BM58" s="86" t="str">
        <f aca="false">IF(ISBLANK($C58),"",IF($BL58&lt;&gt;Constants!$B$4,$BL58,IF($BB58="-&gt;",$BI58,$AY58)))</f>
        <v/>
      </c>
      <c r="BN58" s="90" t="str">
        <f aca="false">IF($BL58&lt;&gt;Constants!$B$4,"",IF($BB58="-&gt;",$BJ58,$AZ58))</f>
        <v/>
      </c>
      <c r="BO58" s="90" t="str">
        <f aca="false">IF(ISBLANK($C58),"",IF($BL58&lt;&gt;Constants!$B$4,$BL58,$BN58))</f>
        <v/>
      </c>
      <c r="BP58" s="86" t="str">
        <f aca="false">IF(ISBLANK($C58),"",IF($BL58&lt;&gt;Constants!$B$4,$BL58,RANK($BO58,$BO$9:$BO$508,0)))</f>
        <v/>
      </c>
      <c r="BQ58" s="86" t="str">
        <f aca="false">IF(ISBLANK($C58),"",IF($BL58&lt;&gt;Constants!$B$4,$BL58,COUNTIFS($BM$9:$BM$508,"&lt;"&amp;$BM58)+COUNTIFS($BM$9:$BM$508,$BM58,$BP$9:$BP$508,"&lt;"&amp;$BP58)+1))</f>
        <v/>
      </c>
      <c r="BR58" s="90" t="str">
        <f aca="false">IF($BL58&lt;&gt;Constants!$B$4,"",IF($BB58="-&gt;",$BH58,$AX58))</f>
        <v/>
      </c>
      <c r="BS58" s="86" t="str">
        <f aca="false">IF(ISBLANK($C58),"",IF($BL58&lt;&gt;Constants!$B$4,$BL58,IF(ISNUMBER($BR58),RANK($BR58,$BR$9:$BR$508,0),COUNT($BR$9:$BR$508)+1)))</f>
        <v/>
      </c>
      <c r="BT58" s="90" t="str">
        <f aca="false">IF($BL58&lt;&gt;Constants!$B$4,"",IF($BB58="-&gt;",$BE58,$AU58))</f>
        <v/>
      </c>
      <c r="BU58" s="86" t="str">
        <f aca="false">IF(ISBLANK($C58),"",IF($BL58&lt;&gt;Constants!$B$4,$BL58,IF(ISNUMBER($BT58),RANK($BT58,$BT$9:$BT$508,0),COUNT($BT$9:$BT$508)+1)))</f>
        <v/>
      </c>
      <c r="BV58" s="90" t="str">
        <f aca="false">IF($BL58&lt;&gt;Constants!$B$4,"",IF($BB58="-&gt;",$BF58,$AV58))</f>
        <v/>
      </c>
      <c r="BW58" s="86" t="str">
        <f aca="false">IF(ISBLANK($C58),"",IF($BL58&lt;&gt;Constants!$B$4,$BL58,IF(ISNUMBER($BV58),RANK($BV58,$BV$9:$BV$508,0),COUNT($BV$9:$BV$508)+1)))</f>
        <v/>
      </c>
      <c r="BX58" s="90" t="str">
        <f aca="false">IF($BL58&lt;&gt;Constants!$B$4,"",IF($BB58="-&gt;",$BK58,$BA58))</f>
        <v/>
      </c>
      <c r="BY58" s="86" t="str">
        <f aca="false">IF(ISBLANK($C58),"",IF($BL58&lt;&gt;Constants!$B$4,$BL58,IF(ISNUMBER($BX58),RANK($BX58,$BX$9:$BX$508,0),COUNT($BX$9:$BX$508)+1)))</f>
        <v/>
      </c>
      <c r="BZ58" s="86" t="str">
        <f aca="false">IF(ISBLANK($C58),"",IF($BL58&lt;&gt;Constants!$B$4,$BL58,COUNTIFS($BM$9:$BM$508,"&lt;"&amp;$BM58)+COUNTIFS($BM$9:$BM$508,$BM58,$BP$9:$BP$508,"&lt;"&amp;$BP58)+COUNTIFS($BM$9:$BM$508,$BM58,$BP$9:$BP$508,$BP58,$BS$9:$BS$508,"&lt;"&amp;$BS58)+COUNTIFS($BM$9:$BM$508,$BM58,$BP$9:$BP$508,$BP58,$BS$9:$BS$508,$BS58,$BU$9:$BU$508,"&lt;"&amp;$BU58)+COUNTIFS($BM$9:$BM$508,$BM58,$BP$9:$BP$508,$BP58,$BS$9:$BS$508,$BS58,$BU$9:$BU$508,$BU58,$BW$9:$BW$508,"&lt;"&amp;$BW58)+COUNTIFS($BM$9:$BM$508,$BM58,$BP$9:$BP$508,$BP58,$BS$9:$BS$508,$BS58,$BU$9:$BU$508,$BU58,$BW$9:$BW$508,$BW58,$BY$9:$BY$508,"&lt;"&amp;$BY58)+1))</f>
        <v/>
      </c>
      <c r="CA58" s="86" t="str">
        <f aca="false">IF(ISBLANK($C58),"",IF($BL58&lt;&gt;Constants!$B$4,$BL58,$BQ58-$BZ58))</f>
        <v/>
      </c>
      <c r="CB58" s="93"/>
      <c r="CC58" s="94" t="str">
        <f aca="false">IF(ISBLANK($C58),"",IF($BL58=Constants!$B$8,$AR58,""))</f>
        <v/>
      </c>
      <c r="CD58" s="94" t="str">
        <f aca="false">IF(ISBLANK($C58),"",IF($BL58&lt;&gt;Constants!$B$4,"",IF($BB58="-&gt;",2,1)))</f>
        <v/>
      </c>
      <c r="CE58" s="95" t="str">
        <f aca="false">IF(ISBLANK($C58),"",IF($BL58&lt;&gt;Constants!$B$4,"",IF($BB58="-&gt;",$BE58,$AU58)))</f>
        <v/>
      </c>
      <c r="CF58" s="95" t="str">
        <f aca="false">IF(ISBLANK($C58),"",IF($BL58&lt;&gt;Constants!$B$4,"",IF($BB58="-&gt;",$BF58,$AV58)))</f>
        <v/>
      </c>
      <c r="CG58" s="95" t="str">
        <f aca="false">IF(ISBLANK($C58),"",IF($BL58&lt;&gt;Constants!$B$4,"",IF($BB58="-&gt;",$BG58,$AW58)))</f>
        <v/>
      </c>
      <c r="CH58" s="95" t="str">
        <f aca="false">IF(ISBLANK($C58),"",IF($BL58&lt;&gt;Constants!$B$4,"",IF($BB58="-&gt;",$BH58,$AX58)))</f>
        <v/>
      </c>
      <c r="CI58" s="96" t="str">
        <f aca="false">IF(ISBLANK($C58),"",$BO58)</f>
        <v/>
      </c>
      <c r="CJ58" s="97" t="str">
        <f aca="false">IF(ISBLANK($C58),"",$BM58)</f>
        <v/>
      </c>
      <c r="CK58" s="98" t="str">
        <f aca="false">IF(ISBLANK($C58),"",$CA58)</f>
        <v/>
      </c>
      <c r="CL58" s="98" t="str">
        <f aca="false">IF(ISBLANK($C58),"",$BZ58)</f>
        <v/>
      </c>
      <c r="CM58" s="99" t="str">
        <f aca="false">IF(ISBLANK($C58),"",IF($CL58=Constants!$B$7,COUNTA($C$9:$C$508)+2,IF($CL58=Constants!$B$6,COUNTA($C$9:$C$508)+1,IF($CL58=Constants!$B$5,COUNTA($C$9:$C$508),$CL58))))</f>
        <v/>
      </c>
      <c r="CN58" s="8"/>
      <c r="CO58" s="100" t="n">
        <f aca="false">IF(OR(ISNUMBER($CL58),$CL58=Constants!$B$7,$CL58=Constants!$B$5,$CL58=Constants!$B$6),1,0)</f>
        <v>0</v>
      </c>
      <c r="CP58" s="100" t="n">
        <v>50</v>
      </c>
      <c r="CQ58" s="100" t="str">
        <f aca="false">IF(ISBLANK($C58),"",IF(ISNUMBER($CM58),$CM58+ROW($B58)/1000,""))</f>
        <v/>
      </c>
      <c r="CR58" s="100" t="str">
        <f aca="false">IF(ISNUMBER($CQ58),RANK($CQ58,$CQ$9:$CQ$508,1),"")</f>
        <v/>
      </c>
      <c r="CS58" s="100" t="str">
        <f aca="false">IF(ISBLANK($C58),"",$B58)</f>
        <v/>
      </c>
      <c r="CT58" s="100" t="str">
        <f aca="false">IF(ISBLANK($C58),"",$C58)</f>
        <v/>
      </c>
      <c r="CU58" s="100" t="str">
        <f aca="false">IF(ISBLANK($C58),"",$D58)</f>
        <v/>
      </c>
      <c r="CV58" s="101" t="str">
        <f aca="false">$CJ58</f>
        <v/>
      </c>
      <c r="CW58" s="102" t="str">
        <f aca="false">$CI58</f>
        <v/>
      </c>
      <c r="CX58" s="100" t="str">
        <f aca="false">IF(ISBLANK($C58),"",$CL58)</f>
        <v/>
      </c>
      <c r="CY58" s="103" t="str">
        <f aca="false">IF($CP58&gt;$CO$8,"",VLOOKUP($CP58,$CR$9:$CX$508,7,FALSE()))</f>
        <v/>
      </c>
      <c r="CZ58" s="104" t="str">
        <f aca="false">IF($CP58&gt;$CO$8,"",VLOOKUP($CP58,$CR$9:$CX$508,2,FALSE()))</f>
        <v/>
      </c>
      <c r="DA58" s="104" t="str">
        <f aca="false">IF($CP58&gt;$CO$8,"",VLOOKUP($CP58,$CR$9:$CX$508,3,FALSE()))</f>
        <v/>
      </c>
      <c r="DB58" s="104" t="str">
        <f aca="false">IF($CP58&gt;$CO$8,"",VLOOKUP($CP58,$CR$9:$CX$508,4,FALSE()))</f>
        <v/>
      </c>
      <c r="DC58" s="104" t="str">
        <f aca="false">IF($CP58&gt;$CO$8,"",VLOOKUP($CP58,$CR$9:$CX$508,5,FALSE()))</f>
        <v/>
      </c>
      <c r="DD58" s="105" t="str">
        <f aca="false">IF($CP58&gt;$CO$8,"",VLOOKUP($CP58,$CR$9:$CX$508,6,FALSE()))</f>
        <v/>
      </c>
      <c r="DE58" s="70"/>
    </row>
    <row r="59" customFormat="false" ht="15.75" hidden="false" customHeight="false" outlineLevel="0" collapsed="false">
      <c r="A59" s="8"/>
      <c r="B59" s="72"/>
      <c r="C59" s="73"/>
      <c r="D59" s="155"/>
      <c r="E59" s="162"/>
      <c r="F59" s="157"/>
      <c r="G59" s="77"/>
      <c r="H59" s="77"/>
      <c r="I59" s="77"/>
      <c r="J59" s="163"/>
      <c r="K59" s="161"/>
      <c r="L59" s="161"/>
      <c r="M59" s="80"/>
      <c r="N59" s="161"/>
      <c r="O59" s="160"/>
      <c r="P59" s="161"/>
      <c r="Q59" s="161"/>
      <c r="R59" s="161"/>
      <c r="S59" s="77"/>
      <c r="T59" s="161"/>
      <c r="U59" s="160"/>
      <c r="V59" s="161"/>
      <c r="W59" s="85"/>
      <c r="X59" s="86" t="str">
        <f aca="false">IF(ISBLANK($C59),"",IF($E59=Constants!$B$2,TRUE(),IF($E59=Constants!$B$3,FALSE(),TRUE())))</f>
        <v/>
      </c>
      <c r="Y59" s="86" t="str">
        <f aca="false">IF(ISBLANK($C59),"",IF($F59=Constants!$B$2,TRUE(),IF($F59=Constants!$B$3,FALSE(),TRUE())))</f>
        <v/>
      </c>
      <c r="Z59" s="87" t="str">
        <f aca="false">IF(ISBLANK($C59),"",IF(ISNUMBER($G59),IF($G59&gt;=0,$G59,""),""))</f>
        <v/>
      </c>
      <c r="AA59" s="87" t="str">
        <f aca="false">IF(ISBLANK($C59),"",IF(ISNUMBER($H59),IF($H59&gt;=0,$H59,""),""))</f>
        <v/>
      </c>
      <c r="AB59" s="87" t="str">
        <f aca="false">IF(ISBLANK($C59),"",IF(ISNUMBER($I59),IF($I59&gt;=0,$I59,""),""))</f>
        <v/>
      </c>
      <c r="AC59" s="86" t="str">
        <f aca="false">IF(ISBLANK($C59),"",IF($J59=Constants!$B$2,TRUE(),IF($J59=Constants!$B$3,FALSE(),TRUE())))</f>
        <v/>
      </c>
      <c r="AD59" s="86" t="str">
        <f aca="false">IF(ISBLANK($C59),"",IF($K59=Constants!$B$2,TRUE(),IF($K59=Constants!$B$3,FALSE(),TRUE())))</f>
        <v/>
      </c>
      <c r="AE59" s="86" t="str">
        <f aca="false">IF(ISBLANK($C59),"",IF($L59=Constants!$B$2,TRUE(),IF($L59=Constants!$B$3,FALSE(),TRUE())))</f>
        <v/>
      </c>
      <c r="AF59" s="88" t="str">
        <f aca="false">IF(ISBLANK($C59),"",IF(ISNUMBER($M59),IF($M59&gt;=0,$M59,""),""))</f>
        <v/>
      </c>
      <c r="AG59" s="86" t="str">
        <f aca="false">IF(ISBLANK($C59),"",IF(ISBLANK($N59),0,IF(ISNUMBER($N59),IF(AND($N59&gt;=0,$N59&lt;=Constants!$B$17,$N59=INT($N59)),$N59,""),"")))</f>
        <v/>
      </c>
      <c r="AH59" s="87" t="str">
        <f aca="false">IF(ISBLANK($C59),"",IF(ISBLANK($O59),0,IF(ISNUMBER($O59),IF($O59&gt;=0,$O59,""),"")))</f>
        <v/>
      </c>
      <c r="AI59" s="86" t="str">
        <f aca="false">IF(ISBLANK($C59),"",IF($P59=Constants!$B$2,TRUE(),IF($P59=Constants!$B$3,FALSE(),TRUE())))</f>
        <v/>
      </c>
      <c r="AJ59" s="86" t="str">
        <f aca="false">IF(ISBLANK($C59),"",IF($Q59=Constants!$B$2,TRUE(),IF($Q59=Constants!$B$3,FALSE(),TRUE())))</f>
        <v/>
      </c>
      <c r="AK59" s="86" t="str">
        <f aca="false">IF(ISBLANK($C59),"",IF($R59=Constants!$B$2,TRUE(),IF($R59=Constants!$B$3,FALSE(),TRUE())))</f>
        <v/>
      </c>
      <c r="AL59" s="88" t="str">
        <f aca="false">IF(ISBLANK($C59),"",IF(ISNUMBER($S59),IF($S59&gt;=0,$S59,""),""))</f>
        <v/>
      </c>
      <c r="AM59" s="86" t="str">
        <f aca="false">IF(ISBLANK($C59),"",IF(ISBLANK($T59),0,IF(ISNUMBER($T59),IF(AND($T59&gt;=0,$T59&lt;=Constants!$B$17,$T59=INT($T59)),$T59,""),"")))</f>
        <v/>
      </c>
      <c r="AN59" s="87" t="str">
        <f aca="false">IF(ISBLANK($C59),"",IF(ISBLANK($U59),0,IF(ISNUMBER($U59),IF($U59&gt;=0,$U59,""),"")))</f>
        <v/>
      </c>
      <c r="AO59" s="86" t="str">
        <f aca="false">IF(ISBLANK($C59),"",IF($V59=Constants!$B$2,TRUE(),IF($V59=Constants!$B$3,FALSE(),FALSE())))</f>
        <v/>
      </c>
      <c r="AP59" s="86"/>
      <c r="AQ59" s="85" t="str">
        <f aca="false">IF(ISBLANK($C59),"",AND($Y59,OR($AS59,$BC59),OR($Z59="",$AA59="",$AB59="")))</f>
        <v/>
      </c>
      <c r="AR59" s="85" t="str">
        <f aca="false">IF(ISBLANK($C59),"",IF(OR(NOT($Y59),NOT(OR($AS59,$BC59))),"",IF(ISBLANK($D$7),$AR$5,IF($AP$9="",$AR$6,""))))</f>
        <v/>
      </c>
      <c r="AS59" s="85" t="str">
        <f aca="false">IF(ISBLANK($C59),"",COUNTA($J59:$O59)&gt;0)</f>
        <v/>
      </c>
      <c r="AT59" s="85" t="str">
        <f aca="false">IF(ISBLANK($C59),"",AND($AS59,OR(AND($AF59="",OR($AE59,NOT(ISBLANK($M59)))),$AG59="",$AH59="")))</f>
        <v/>
      </c>
      <c r="AU59" s="87" t="str">
        <f aca="false">IF($BL59&lt;&gt;Constants!$B$4,"",IF(NOT($AS59),"",ROUND((Constants!$B$12-$AB59)+(Constants!$B$13-$Z59)+(Constants!$B$14-$AA59),1)))</f>
        <v/>
      </c>
      <c r="AV59" s="90" t="str">
        <f aca="false">IF($BL59&lt;&gt;Constants!$B$4,"",IF(NOT($AS59),"",IF(NOT($AE59),0,Constants!$B$15*(INT(ROUND(MIN($AF59,$AP$9),6))-INT(ROUND(MAX(0,MIN($AF59,2*$AP$9)-$AP$9),6))))))</f>
        <v/>
      </c>
      <c r="AW59" s="90" t="str">
        <f aca="false">IF($BL59&lt;&gt;Constants!$B$4,"",IF(NOT($AS59),"",Constants!$B$16*$AG59))</f>
        <v/>
      </c>
      <c r="AX59" s="90" t="str">
        <f aca="false">IF($BL59&lt;&gt;Constants!$B$4,"",IF(NOT($AS59),"",Constants!$B$18*INT(ROUND($AH59,6))))</f>
        <v/>
      </c>
      <c r="AY59" s="85" t="str">
        <f aca="false">IF($BL59&lt;&gt;Constants!$B$4,"",IF(NOT($AS59),"",IF(NOT($X59),Constants!$B$11,IF(OR(NOT($AC59),NOT($AD59),ROUND($AB59,1)&gt;Constants!$B$12,ROUND($Z59,1)&gt;Constants!$B$13,ROUND($AA59,1)&gt;Constants!$B$14),Constants!$B$10,Constants!$B$9))))</f>
        <v/>
      </c>
      <c r="AZ59" s="91" t="str">
        <f aca="false">IF($BL59&lt;&gt;Constants!$B$4,"",IF(NOT($AS59),"",ROUND($AU59+$AV59+$AW59+$AX59,1)))</f>
        <v/>
      </c>
      <c r="BA59" s="92" t="str">
        <f aca="false">IF($BL59&lt;&gt;Constants!$B$4,"",IF(NOT($AS59),"",IF(ISNUMBER($AF59),$AF59,0)))</f>
        <v/>
      </c>
      <c r="BB59" s="86" t="str">
        <f aca="false">IF($BL59&lt;&gt;Constants!$B$4,"",IF(NOT($BC59),"&lt;-",IF(NOT($AS59),"-&gt;",IF(OR($BI59&lt;$AY59,AND($BI59=$AY59,OR($BJ59&gt;$AZ59,AND($BJ59=$AZ59,OR($BH59&gt;$AX59,AND($BH59=$AX59,OR($BE59&gt;$AU59,AND($BE59=$AU59,OR($BF59&gt;$AV59,AND($BF59=$AV59,$BK59&gt;$BA59)))))))))),"-&gt;","&lt;-"))))</f>
        <v/>
      </c>
      <c r="BC59" s="85" t="str">
        <f aca="false">IF(ISBLANK($C59),"",COUNTA($P59:$U59)&gt;0)</f>
        <v/>
      </c>
      <c r="BD59" s="85" t="str">
        <f aca="false">IF(ISBLANK($C59),"",AND($BC59,OR(AND($AL59="",OR($AK59,NOT(ISBLANK($S59)))),$AM59="",$AN59="")))</f>
        <v/>
      </c>
      <c r="BE59" s="87" t="str">
        <f aca="false">IF($BL59&lt;&gt;Constants!$B$4,"",IF(NOT($BC59),"",ROUND((Constants!$B$12-$AB59)+(Constants!$B$13-$Z59)+(Constants!$B$14-$AA59),1)))</f>
        <v/>
      </c>
      <c r="BF59" s="90" t="str">
        <f aca="false">IF($BL59&lt;&gt;Constants!$B$4,"",IF(NOT($BC59),"",IF(NOT($AK59),0,Constants!$B$15*(INT(ROUND(MIN($AL59,$AP$9),6))-INT(ROUND(MAX(0,MIN($AL59,2*$AP$9)-$AP$9),6))))))</f>
        <v/>
      </c>
      <c r="BG59" s="90" t="str">
        <f aca="false">IF($BL59&lt;&gt;Constants!$B$4,"",IF(NOT($BC59),"",Constants!$B$16*$AM59))</f>
        <v/>
      </c>
      <c r="BH59" s="90" t="str">
        <f aca="false">IF($BL59&lt;&gt;Constants!$B$4,"",IF(NOT($BC59),"",Constants!$B$18*INT(ROUND($AN59,6))))</f>
        <v/>
      </c>
      <c r="BI59" s="85" t="str">
        <f aca="false">IF($BL59&lt;&gt;Constants!$B$4,"",IF(NOT($BC59),"",IF(NOT($X59),Constants!$B$11,IF(OR(NOT($AI59),NOT($AJ59),ROUND($AB59,1)&gt;Constants!$B$12,ROUND($Z59,1)&gt;Constants!$B$13,ROUND($AA59,1)&gt;Constants!$B$14),Constants!$B$10,Constants!$B$9))))</f>
        <v/>
      </c>
      <c r="BJ59" s="91" t="str">
        <f aca="false">IF($BL59&lt;&gt;Constants!$B$4,"",IF(NOT($BC59),"",ROUND($BE59+$BF59+$BG59+$BH59,1)))</f>
        <v/>
      </c>
      <c r="BK59" s="92" t="str">
        <f aca="false">IF($BL59&lt;&gt;Constants!$B$4,"",IF(NOT($BC59),"",IF(ISNUMBER($AL59),$AL59,0)))</f>
        <v/>
      </c>
      <c r="BL59" s="86" t="str">
        <f aca="false">IF(ISBLANK($C59),"",IF($AO59,Constants!$B$7,IF(COUNTA($E59:$V59)=0,Constants!$B$6,IF(NOT($Y59),Constants!$B$5,IF(NOT(OR($AS59,$BC59)),Constants!$B$5,IF(OR($AT59,$BD59,$AQ59,$AR59&lt;&gt;""),Constants!$B$8,Constants!$B$4))))))</f>
        <v/>
      </c>
      <c r="BM59" s="86" t="str">
        <f aca="false">IF(ISBLANK($C59),"",IF($BL59&lt;&gt;Constants!$B$4,$BL59,IF($BB59="-&gt;",$BI59,$AY59)))</f>
        <v/>
      </c>
      <c r="BN59" s="90" t="str">
        <f aca="false">IF($BL59&lt;&gt;Constants!$B$4,"",IF($BB59="-&gt;",$BJ59,$AZ59))</f>
        <v/>
      </c>
      <c r="BO59" s="90" t="str">
        <f aca="false">IF(ISBLANK($C59),"",IF($BL59&lt;&gt;Constants!$B$4,$BL59,$BN59))</f>
        <v/>
      </c>
      <c r="BP59" s="86" t="str">
        <f aca="false">IF(ISBLANK($C59),"",IF($BL59&lt;&gt;Constants!$B$4,$BL59,RANK($BO59,$BO$9:$BO$508,0)))</f>
        <v/>
      </c>
      <c r="BQ59" s="86" t="str">
        <f aca="false">IF(ISBLANK($C59),"",IF($BL59&lt;&gt;Constants!$B$4,$BL59,COUNTIFS($BM$9:$BM$508,"&lt;"&amp;$BM59)+COUNTIFS($BM$9:$BM$508,$BM59,$BP$9:$BP$508,"&lt;"&amp;$BP59)+1))</f>
        <v/>
      </c>
      <c r="BR59" s="90" t="str">
        <f aca="false">IF($BL59&lt;&gt;Constants!$B$4,"",IF($BB59="-&gt;",$BH59,$AX59))</f>
        <v/>
      </c>
      <c r="BS59" s="86" t="str">
        <f aca="false">IF(ISBLANK($C59),"",IF($BL59&lt;&gt;Constants!$B$4,$BL59,IF(ISNUMBER($BR59),RANK($BR59,$BR$9:$BR$508,0),COUNT($BR$9:$BR$508)+1)))</f>
        <v/>
      </c>
      <c r="BT59" s="90" t="str">
        <f aca="false">IF($BL59&lt;&gt;Constants!$B$4,"",IF($BB59="-&gt;",$BE59,$AU59))</f>
        <v/>
      </c>
      <c r="BU59" s="86" t="str">
        <f aca="false">IF(ISBLANK($C59),"",IF($BL59&lt;&gt;Constants!$B$4,$BL59,IF(ISNUMBER($BT59),RANK($BT59,$BT$9:$BT$508,0),COUNT($BT$9:$BT$508)+1)))</f>
        <v/>
      </c>
      <c r="BV59" s="90" t="str">
        <f aca="false">IF($BL59&lt;&gt;Constants!$B$4,"",IF($BB59="-&gt;",$BF59,$AV59))</f>
        <v/>
      </c>
      <c r="BW59" s="86" t="str">
        <f aca="false">IF(ISBLANK($C59),"",IF($BL59&lt;&gt;Constants!$B$4,$BL59,IF(ISNUMBER($BV59),RANK($BV59,$BV$9:$BV$508,0),COUNT($BV$9:$BV$508)+1)))</f>
        <v/>
      </c>
      <c r="BX59" s="90" t="str">
        <f aca="false">IF($BL59&lt;&gt;Constants!$B$4,"",IF($BB59="-&gt;",$BK59,$BA59))</f>
        <v/>
      </c>
      <c r="BY59" s="86" t="str">
        <f aca="false">IF(ISBLANK($C59),"",IF($BL59&lt;&gt;Constants!$B$4,$BL59,IF(ISNUMBER($BX59),RANK($BX59,$BX$9:$BX$508,0),COUNT($BX$9:$BX$508)+1)))</f>
        <v/>
      </c>
      <c r="BZ59" s="86" t="str">
        <f aca="false">IF(ISBLANK($C59),"",IF($BL59&lt;&gt;Constants!$B$4,$BL59,COUNTIFS($BM$9:$BM$508,"&lt;"&amp;$BM59)+COUNTIFS($BM$9:$BM$508,$BM59,$BP$9:$BP$508,"&lt;"&amp;$BP59)+COUNTIFS($BM$9:$BM$508,$BM59,$BP$9:$BP$508,$BP59,$BS$9:$BS$508,"&lt;"&amp;$BS59)+COUNTIFS($BM$9:$BM$508,$BM59,$BP$9:$BP$508,$BP59,$BS$9:$BS$508,$BS59,$BU$9:$BU$508,"&lt;"&amp;$BU59)+COUNTIFS($BM$9:$BM$508,$BM59,$BP$9:$BP$508,$BP59,$BS$9:$BS$508,$BS59,$BU$9:$BU$508,$BU59,$BW$9:$BW$508,"&lt;"&amp;$BW59)+COUNTIFS($BM$9:$BM$508,$BM59,$BP$9:$BP$508,$BP59,$BS$9:$BS$508,$BS59,$BU$9:$BU$508,$BU59,$BW$9:$BW$508,$BW59,$BY$9:$BY$508,"&lt;"&amp;$BY59)+1))</f>
        <v/>
      </c>
      <c r="CA59" s="86" t="str">
        <f aca="false">IF(ISBLANK($C59),"",IF($BL59&lt;&gt;Constants!$B$4,$BL59,$BQ59-$BZ59))</f>
        <v/>
      </c>
      <c r="CB59" s="93"/>
      <c r="CC59" s="94" t="str">
        <f aca="false">IF(ISBLANK($C59),"",IF($BL59=Constants!$B$8,$AR59,""))</f>
        <v/>
      </c>
      <c r="CD59" s="94" t="str">
        <f aca="false">IF(ISBLANK($C59),"",IF($BL59&lt;&gt;Constants!$B$4,"",IF($BB59="-&gt;",2,1)))</f>
        <v/>
      </c>
      <c r="CE59" s="95" t="str">
        <f aca="false">IF(ISBLANK($C59),"",IF($BL59&lt;&gt;Constants!$B$4,"",IF($BB59="-&gt;",$BE59,$AU59)))</f>
        <v/>
      </c>
      <c r="CF59" s="95" t="str">
        <f aca="false">IF(ISBLANK($C59),"",IF($BL59&lt;&gt;Constants!$B$4,"",IF($BB59="-&gt;",$BF59,$AV59)))</f>
        <v/>
      </c>
      <c r="CG59" s="95" t="str">
        <f aca="false">IF(ISBLANK($C59),"",IF($BL59&lt;&gt;Constants!$B$4,"",IF($BB59="-&gt;",$BG59,$AW59)))</f>
        <v/>
      </c>
      <c r="CH59" s="95" t="str">
        <f aca="false">IF(ISBLANK($C59),"",IF($BL59&lt;&gt;Constants!$B$4,"",IF($BB59="-&gt;",$BH59,$AX59)))</f>
        <v/>
      </c>
      <c r="CI59" s="96" t="str">
        <f aca="false">IF(ISBLANK($C59),"",$BO59)</f>
        <v/>
      </c>
      <c r="CJ59" s="97" t="str">
        <f aca="false">IF(ISBLANK($C59),"",$BM59)</f>
        <v/>
      </c>
      <c r="CK59" s="98" t="str">
        <f aca="false">IF(ISBLANK($C59),"",$CA59)</f>
        <v/>
      </c>
      <c r="CL59" s="98" t="str">
        <f aca="false">IF(ISBLANK($C59),"",$BZ59)</f>
        <v/>
      </c>
      <c r="CM59" s="99" t="str">
        <f aca="false">IF(ISBLANK($C59),"",IF($CL59=Constants!$B$7,COUNTA($C$9:$C$508)+2,IF($CL59=Constants!$B$6,COUNTA($C$9:$C$508)+1,IF($CL59=Constants!$B$5,COUNTA($C$9:$C$508),$CL59))))</f>
        <v/>
      </c>
      <c r="CN59" s="8"/>
      <c r="CO59" s="100" t="n">
        <f aca="false">IF(OR(ISNUMBER($CL59),$CL59=Constants!$B$7,$CL59=Constants!$B$5,$CL59=Constants!$B$6),1,0)</f>
        <v>0</v>
      </c>
      <c r="CP59" s="100" t="n">
        <v>51</v>
      </c>
      <c r="CQ59" s="100" t="str">
        <f aca="false">IF(ISBLANK($C59),"",IF(ISNUMBER($CM59),$CM59+ROW($B59)/1000,""))</f>
        <v/>
      </c>
      <c r="CR59" s="100" t="str">
        <f aca="false">IF(ISNUMBER($CQ59),RANK($CQ59,$CQ$9:$CQ$508,1),"")</f>
        <v/>
      </c>
      <c r="CS59" s="100" t="str">
        <f aca="false">IF(ISBLANK($C59),"",$B59)</f>
        <v/>
      </c>
      <c r="CT59" s="100" t="str">
        <f aca="false">IF(ISBLANK($C59),"",$C59)</f>
        <v/>
      </c>
      <c r="CU59" s="100" t="str">
        <f aca="false">IF(ISBLANK($C59),"",$D59)</f>
        <v/>
      </c>
      <c r="CV59" s="101" t="str">
        <f aca="false">$CJ59</f>
        <v/>
      </c>
      <c r="CW59" s="102" t="str">
        <f aca="false">$CI59</f>
        <v/>
      </c>
      <c r="CX59" s="100" t="str">
        <f aca="false">IF(ISBLANK($C59),"",$CL59)</f>
        <v/>
      </c>
      <c r="CY59" s="103" t="str">
        <f aca="false">IF($CP59&gt;$CO$8,"",VLOOKUP($CP59,$CR$9:$CX$508,7,FALSE()))</f>
        <v/>
      </c>
      <c r="CZ59" s="104" t="str">
        <f aca="false">IF($CP59&gt;$CO$8,"",VLOOKUP($CP59,$CR$9:$CX$508,2,FALSE()))</f>
        <v/>
      </c>
      <c r="DA59" s="104" t="str">
        <f aca="false">IF($CP59&gt;$CO$8,"",VLOOKUP($CP59,$CR$9:$CX$508,3,FALSE()))</f>
        <v/>
      </c>
      <c r="DB59" s="104" t="str">
        <f aca="false">IF($CP59&gt;$CO$8,"",VLOOKUP($CP59,$CR$9:$CX$508,4,FALSE()))</f>
        <v/>
      </c>
      <c r="DC59" s="104" t="str">
        <f aca="false">IF($CP59&gt;$CO$8,"",VLOOKUP($CP59,$CR$9:$CX$508,5,FALSE()))</f>
        <v/>
      </c>
      <c r="DD59" s="105" t="str">
        <f aca="false">IF($CP59&gt;$CO$8,"",VLOOKUP($CP59,$CR$9:$CX$508,6,FALSE()))</f>
        <v/>
      </c>
      <c r="DE59" s="70"/>
    </row>
    <row r="60" customFormat="false" ht="15.75" hidden="false" customHeight="false" outlineLevel="0" collapsed="false">
      <c r="A60" s="8"/>
      <c r="B60" s="146"/>
      <c r="C60" s="147"/>
      <c r="D60" s="148"/>
      <c r="E60" s="164"/>
      <c r="F60" s="150"/>
      <c r="G60" s="115"/>
      <c r="H60" s="115"/>
      <c r="I60" s="115"/>
      <c r="J60" s="165"/>
      <c r="K60" s="154"/>
      <c r="L60" s="154"/>
      <c r="M60" s="118"/>
      <c r="N60" s="154"/>
      <c r="O60" s="153"/>
      <c r="P60" s="154"/>
      <c r="Q60" s="154"/>
      <c r="R60" s="154"/>
      <c r="S60" s="115"/>
      <c r="T60" s="154"/>
      <c r="U60" s="153"/>
      <c r="V60" s="154"/>
      <c r="W60" s="123"/>
      <c r="X60" s="124" t="str">
        <f aca="false">IF(ISBLANK($C60),"",IF($E60=Constants!$B$2,TRUE(),IF($E60=Constants!$B$3,FALSE(),TRUE())))</f>
        <v/>
      </c>
      <c r="Y60" s="124" t="str">
        <f aca="false">IF(ISBLANK($C60),"",IF($F60=Constants!$B$2,TRUE(),IF($F60=Constants!$B$3,FALSE(),TRUE())))</f>
        <v/>
      </c>
      <c r="Z60" s="125" t="str">
        <f aca="false">IF(ISBLANK($C60),"",IF(ISNUMBER($G60),IF($G60&gt;=0,$G60,""),""))</f>
        <v/>
      </c>
      <c r="AA60" s="125" t="str">
        <f aca="false">IF(ISBLANK($C60),"",IF(ISNUMBER($H60),IF($H60&gt;=0,$H60,""),""))</f>
        <v/>
      </c>
      <c r="AB60" s="125" t="str">
        <f aca="false">IF(ISBLANK($C60),"",IF(ISNUMBER($I60),IF($I60&gt;=0,$I60,""),""))</f>
        <v/>
      </c>
      <c r="AC60" s="124" t="str">
        <f aca="false">IF(ISBLANK($C60),"",IF($J60=Constants!$B$2,TRUE(),IF($J60=Constants!$B$3,FALSE(),TRUE())))</f>
        <v/>
      </c>
      <c r="AD60" s="124" t="str">
        <f aca="false">IF(ISBLANK($C60),"",IF($K60=Constants!$B$2,TRUE(),IF($K60=Constants!$B$3,FALSE(),TRUE())))</f>
        <v/>
      </c>
      <c r="AE60" s="124" t="str">
        <f aca="false">IF(ISBLANK($C60),"",IF($L60=Constants!$B$2,TRUE(),IF($L60=Constants!$B$3,FALSE(),TRUE())))</f>
        <v/>
      </c>
      <c r="AF60" s="126" t="str">
        <f aca="false">IF(ISBLANK($C60),"",IF(ISNUMBER($M60),IF($M60&gt;=0,$M60,""),""))</f>
        <v/>
      </c>
      <c r="AG60" s="124" t="str">
        <f aca="false">IF(ISBLANK($C60),"",IF(ISBLANK($N60),0,IF(ISNUMBER($N60),IF(AND($N60&gt;=0,$N60&lt;=Constants!$B$17,$N60=INT($N60)),$N60,""),"")))</f>
        <v/>
      </c>
      <c r="AH60" s="125" t="str">
        <f aca="false">IF(ISBLANK($C60),"",IF(ISBLANK($O60),0,IF(ISNUMBER($O60),IF($O60&gt;=0,$O60,""),"")))</f>
        <v/>
      </c>
      <c r="AI60" s="124" t="str">
        <f aca="false">IF(ISBLANK($C60),"",IF($P60=Constants!$B$2,TRUE(),IF($P60=Constants!$B$3,FALSE(),TRUE())))</f>
        <v/>
      </c>
      <c r="AJ60" s="124" t="str">
        <f aca="false">IF(ISBLANK($C60),"",IF($Q60=Constants!$B$2,TRUE(),IF($Q60=Constants!$B$3,FALSE(),TRUE())))</f>
        <v/>
      </c>
      <c r="AK60" s="124" t="str">
        <f aca="false">IF(ISBLANK($C60),"",IF($R60=Constants!$B$2,TRUE(),IF($R60=Constants!$B$3,FALSE(),TRUE())))</f>
        <v/>
      </c>
      <c r="AL60" s="126" t="str">
        <f aca="false">IF(ISBLANK($C60),"",IF(ISNUMBER($S60),IF($S60&gt;=0,$S60,""),""))</f>
        <v/>
      </c>
      <c r="AM60" s="124" t="str">
        <f aca="false">IF(ISBLANK($C60),"",IF(ISBLANK($T60),0,IF(ISNUMBER($T60),IF(AND($T60&gt;=0,$T60&lt;=Constants!$B$17,$T60=INT($T60)),$T60,""),"")))</f>
        <v/>
      </c>
      <c r="AN60" s="125" t="str">
        <f aca="false">IF(ISBLANK($C60),"",IF(ISBLANK($U60),0,IF(ISNUMBER($U60),IF($U60&gt;=0,$U60,""),"")))</f>
        <v/>
      </c>
      <c r="AO60" s="124" t="str">
        <f aca="false">IF(ISBLANK($C60),"",IF($V60=Constants!$B$2,TRUE(),IF($V60=Constants!$B$3,FALSE(),FALSE())))</f>
        <v/>
      </c>
      <c r="AP60" s="124"/>
      <c r="AQ60" s="123" t="str">
        <f aca="false">IF(ISBLANK($C60),"",AND($Y60,OR($AS60,$BC60),OR($Z60="",$AA60="",$AB60="")))</f>
        <v/>
      </c>
      <c r="AR60" s="123" t="str">
        <f aca="false">IF(ISBLANK($C60),"",IF(OR(NOT($Y60),NOT(OR($AS60,$BC60))),"",IF(ISBLANK($D$7),$AR$5,IF($AP$9="",$AR$6,""))))</f>
        <v/>
      </c>
      <c r="AS60" s="123" t="str">
        <f aca="false">IF(ISBLANK($C60),"",COUNTA($J60:$O60)&gt;0)</f>
        <v/>
      </c>
      <c r="AT60" s="123" t="str">
        <f aca="false">IF(ISBLANK($C60),"",AND($AS60,OR(AND($AF60="",OR($AE60,NOT(ISBLANK($M60)))),$AG60="",$AH60="")))</f>
        <v/>
      </c>
      <c r="AU60" s="125" t="str">
        <f aca="false">IF($BL60&lt;&gt;Constants!$B$4,"",IF(NOT($AS60),"",ROUND((Constants!$B$12-$AB60)+(Constants!$B$13-$Z60)+(Constants!$B$14-$AA60),1)))</f>
        <v/>
      </c>
      <c r="AV60" s="127" t="str">
        <f aca="false">IF($BL60&lt;&gt;Constants!$B$4,"",IF(NOT($AS60),"",IF(NOT($AE60),0,Constants!$B$15*(INT(ROUND(MIN($AF60,$AP$9),6))-INT(ROUND(MAX(0,MIN($AF60,2*$AP$9)-$AP$9),6))))))</f>
        <v/>
      </c>
      <c r="AW60" s="127" t="str">
        <f aca="false">IF($BL60&lt;&gt;Constants!$B$4,"",IF(NOT($AS60),"",Constants!$B$16*$AG60))</f>
        <v/>
      </c>
      <c r="AX60" s="127" t="str">
        <f aca="false">IF($BL60&lt;&gt;Constants!$B$4,"",IF(NOT($AS60),"",Constants!$B$18*INT(ROUND($AH60,6))))</f>
        <v/>
      </c>
      <c r="AY60" s="123" t="str">
        <f aca="false">IF($BL60&lt;&gt;Constants!$B$4,"",IF(NOT($AS60),"",IF(NOT($X60),Constants!$B$11,IF(OR(NOT($AC60),NOT($AD60),ROUND($AB60,1)&gt;Constants!$B$12,ROUND($Z60,1)&gt;Constants!$B$13,ROUND($AA60,1)&gt;Constants!$B$14),Constants!$B$10,Constants!$B$9))))</f>
        <v/>
      </c>
      <c r="AZ60" s="128" t="str">
        <f aca="false">IF($BL60&lt;&gt;Constants!$B$4,"",IF(NOT($AS60),"",ROUND($AU60+$AV60+$AW60+$AX60,1)))</f>
        <v/>
      </c>
      <c r="BA60" s="129" t="str">
        <f aca="false">IF($BL60&lt;&gt;Constants!$B$4,"",IF(NOT($AS60),"",IF(ISNUMBER($AF60),$AF60,0)))</f>
        <v/>
      </c>
      <c r="BB60" s="124" t="str">
        <f aca="false">IF($BL60&lt;&gt;Constants!$B$4,"",IF(NOT($BC60),"&lt;-",IF(NOT($AS60),"-&gt;",IF(OR($BI60&lt;$AY60,AND($BI60=$AY60,OR($BJ60&gt;$AZ60,AND($BJ60=$AZ60,OR($BH60&gt;$AX60,AND($BH60=$AX60,OR($BE60&gt;$AU60,AND($BE60=$AU60,OR($BF60&gt;$AV60,AND($BF60=$AV60,$BK60&gt;$BA60)))))))))),"-&gt;","&lt;-"))))</f>
        <v/>
      </c>
      <c r="BC60" s="123" t="str">
        <f aca="false">IF(ISBLANK($C60),"",COUNTA($P60:$U60)&gt;0)</f>
        <v/>
      </c>
      <c r="BD60" s="123" t="str">
        <f aca="false">IF(ISBLANK($C60),"",AND($BC60,OR(AND($AL60="",OR($AK60,NOT(ISBLANK($S60)))),$AM60="",$AN60="")))</f>
        <v/>
      </c>
      <c r="BE60" s="125" t="str">
        <f aca="false">IF($BL60&lt;&gt;Constants!$B$4,"",IF(NOT($BC60),"",ROUND((Constants!$B$12-$AB60)+(Constants!$B$13-$Z60)+(Constants!$B$14-$AA60),1)))</f>
        <v/>
      </c>
      <c r="BF60" s="127" t="str">
        <f aca="false">IF($BL60&lt;&gt;Constants!$B$4,"",IF(NOT($BC60),"",IF(NOT($AK60),0,Constants!$B$15*(INT(ROUND(MIN($AL60,$AP$9),6))-INT(ROUND(MAX(0,MIN($AL60,2*$AP$9)-$AP$9),6))))))</f>
        <v/>
      </c>
      <c r="BG60" s="127" t="str">
        <f aca="false">IF($BL60&lt;&gt;Constants!$B$4,"",IF(NOT($BC60),"",Constants!$B$16*$AM60))</f>
        <v/>
      </c>
      <c r="BH60" s="127" t="str">
        <f aca="false">IF($BL60&lt;&gt;Constants!$B$4,"",IF(NOT($BC60),"",Constants!$B$18*INT(ROUND($AN60,6))))</f>
        <v/>
      </c>
      <c r="BI60" s="123" t="str">
        <f aca="false">IF($BL60&lt;&gt;Constants!$B$4,"",IF(NOT($BC60),"",IF(NOT($X60),Constants!$B$11,IF(OR(NOT($AI60),NOT($AJ60),ROUND($AB60,1)&gt;Constants!$B$12,ROUND($Z60,1)&gt;Constants!$B$13,ROUND($AA60,1)&gt;Constants!$B$14),Constants!$B$10,Constants!$B$9))))</f>
        <v/>
      </c>
      <c r="BJ60" s="128" t="str">
        <f aca="false">IF($BL60&lt;&gt;Constants!$B$4,"",IF(NOT($BC60),"",ROUND($BE60+$BF60+$BG60+$BH60,1)))</f>
        <v/>
      </c>
      <c r="BK60" s="129" t="str">
        <f aca="false">IF($BL60&lt;&gt;Constants!$B$4,"",IF(NOT($BC60),"",IF(ISNUMBER($AL60),$AL60,0)))</f>
        <v/>
      </c>
      <c r="BL60" s="124" t="str">
        <f aca="false">IF(ISBLANK($C60),"",IF($AO60,Constants!$B$7,IF(COUNTA($E60:$V60)=0,Constants!$B$6,IF(NOT($Y60),Constants!$B$5,IF(NOT(OR($AS60,$BC60)),Constants!$B$5,IF(OR($AT60,$BD60,$AQ60,$AR60&lt;&gt;""),Constants!$B$8,Constants!$B$4))))))</f>
        <v/>
      </c>
      <c r="BM60" s="124" t="str">
        <f aca="false">IF(ISBLANK($C60),"",IF($BL60&lt;&gt;Constants!$B$4,$BL60,IF($BB60="-&gt;",$BI60,$AY60)))</f>
        <v/>
      </c>
      <c r="BN60" s="127" t="str">
        <f aca="false">IF($BL60&lt;&gt;Constants!$B$4,"",IF($BB60="-&gt;",$BJ60,$AZ60))</f>
        <v/>
      </c>
      <c r="BO60" s="127" t="str">
        <f aca="false">IF(ISBLANK($C60),"",IF($BL60&lt;&gt;Constants!$B$4,$BL60,$BN60))</f>
        <v/>
      </c>
      <c r="BP60" s="124" t="str">
        <f aca="false">IF(ISBLANK($C60),"",IF($BL60&lt;&gt;Constants!$B$4,$BL60,RANK($BO60,$BO$9:$BO$508,0)))</f>
        <v/>
      </c>
      <c r="BQ60" s="124" t="str">
        <f aca="false">IF(ISBLANK($C60),"",IF($BL60&lt;&gt;Constants!$B$4,$BL60,COUNTIFS($BM$9:$BM$508,"&lt;"&amp;$BM60)+COUNTIFS($BM$9:$BM$508,$BM60,$BP$9:$BP$508,"&lt;"&amp;$BP60)+1))</f>
        <v/>
      </c>
      <c r="BR60" s="127" t="str">
        <f aca="false">IF($BL60&lt;&gt;Constants!$B$4,"",IF($BB60="-&gt;",$BH60,$AX60))</f>
        <v/>
      </c>
      <c r="BS60" s="124" t="str">
        <f aca="false">IF(ISBLANK($C60),"",IF($BL60&lt;&gt;Constants!$B$4,$BL60,IF(ISNUMBER($BR60),RANK($BR60,$BR$9:$BR$508,0),COUNT($BR$9:$BR$508)+1)))</f>
        <v/>
      </c>
      <c r="BT60" s="127" t="str">
        <f aca="false">IF($BL60&lt;&gt;Constants!$B$4,"",IF($BB60="-&gt;",$BE60,$AU60))</f>
        <v/>
      </c>
      <c r="BU60" s="124" t="str">
        <f aca="false">IF(ISBLANK($C60),"",IF($BL60&lt;&gt;Constants!$B$4,$BL60,IF(ISNUMBER($BT60),RANK($BT60,$BT$9:$BT$508,0),COUNT($BT$9:$BT$508)+1)))</f>
        <v/>
      </c>
      <c r="BV60" s="127" t="str">
        <f aca="false">IF($BL60&lt;&gt;Constants!$B$4,"",IF($BB60="-&gt;",$BF60,$AV60))</f>
        <v/>
      </c>
      <c r="BW60" s="124" t="str">
        <f aca="false">IF(ISBLANK($C60),"",IF($BL60&lt;&gt;Constants!$B$4,$BL60,IF(ISNUMBER($BV60),RANK($BV60,$BV$9:$BV$508,0),COUNT($BV$9:$BV$508)+1)))</f>
        <v/>
      </c>
      <c r="BX60" s="127" t="str">
        <f aca="false">IF($BL60&lt;&gt;Constants!$B$4,"",IF($BB60="-&gt;",$BK60,$BA60))</f>
        <v/>
      </c>
      <c r="BY60" s="124" t="str">
        <f aca="false">IF(ISBLANK($C60),"",IF($BL60&lt;&gt;Constants!$B$4,$BL60,IF(ISNUMBER($BX60),RANK($BX60,$BX$9:$BX$508,0),COUNT($BX$9:$BX$508)+1)))</f>
        <v/>
      </c>
      <c r="BZ60" s="124" t="str">
        <f aca="false">IF(ISBLANK($C60),"",IF($BL60&lt;&gt;Constants!$B$4,$BL60,COUNTIFS($BM$9:$BM$508,"&lt;"&amp;$BM60)+COUNTIFS($BM$9:$BM$508,$BM60,$BP$9:$BP$508,"&lt;"&amp;$BP60)+COUNTIFS($BM$9:$BM$508,$BM60,$BP$9:$BP$508,$BP60,$BS$9:$BS$508,"&lt;"&amp;$BS60)+COUNTIFS($BM$9:$BM$508,$BM60,$BP$9:$BP$508,$BP60,$BS$9:$BS$508,$BS60,$BU$9:$BU$508,"&lt;"&amp;$BU60)+COUNTIFS($BM$9:$BM$508,$BM60,$BP$9:$BP$508,$BP60,$BS$9:$BS$508,$BS60,$BU$9:$BU$508,$BU60,$BW$9:$BW$508,"&lt;"&amp;$BW60)+COUNTIFS($BM$9:$BM$508,$BM60,$BP$9:$BP$508,$BP60,$BS$9:$BS$508,$BS60,$BU$9:$BU$508,$BU60,$BW$9:$BW$508,$BW60,$BY$9:$BY$508,"&lt;"&amp;$BY60)+1))</f>
        <v/>
      </c>
      <c r="CA60" s="124" t="str">
        <f aca="false">IF(ISBLANK($C60),"",IF($BL60&lt;&gt;Constants!$B$4,$BL60,$BQ60-$BZ60))</f>
        <v/>
      </c>
      <c r="CB60" s="130"/>
      <c r="CC60" s="131" t="str">
        <f aca="false">IF(ISBLANK($C60),"",IF($BL60=Constants!$B$8,$AR60,""))</f>
        <v/>
      </c>
      <c r="CD60" s="131" t="str">
        <f aca="false">IF(ISBLANK($C60),"",IF($BL60&lt;&gt;Constants!$B$4,"",IF($BB60="-&gt;",2,1)))</f>
        <v/>
      </c>
      <c r="CE60" s="132" t="str">
        <f aca="false">IF(ISBLANK($C60),"",IF($BL60&lt;&gt;Constants!$B$4,"",IF($BB60="-&gt;",$BE60,$AU60)))</f>
        <v/>
      </c>
      <c r="CF60" s="132" t="str">
        <f aca="false">IF(ISBLANK($C60),"",IF($BL60&lt;&gt;Constants!$B$4,"",IF($BB60="-&gt;",$BF60,$AV60)))</f>
        <v/>
      </c>
      <c r="CG60" s="132" t="str">
        <f aca="false">IF(ISBLANK($C60),"",IF($BL60&lt;&gt;Constants!$B$4,"",IF($BB60="-&gt;",$BG60,$AW60)))</f>
        <v/>
      </c>
      <c r="CH60" s="132" t="str">
        <f aca="false">IF(ISBLANK($C60),"",IF($BL60&lt;&gt;Constants!$B$4,"",IF($BB60="-&gt;",$BH60,$AX60)))</f>
        <v/>
      </c>
      <c r="CI60" s="133" t="str">
        <f aca="false">IF(ISBLANK($C60),"",$BO60)</f>
        <v/>
      </c>
      <c r="CJ60" s="134" t="str">
        <f aca="false">IF(ISBLANK($C60),"",$BM60)</f>
        <v/>
      </c>
      <c r="CK60" s="135" t="str">
        <f aca="false">IF(ISBLANK($C60),"",$CA60)</f>
        <v/>
      </c>
      <c r="CL60" s="135" t="str">
        <f aca="false">IF(ISBLANK($C60),"",$BZ60)</f>
        <v/>
      </c>
      <c r="CM60" s="136" t="str">
        <f aca="false">IF(ISBLANK($C60),"",IF($CL60=Constants!$B$7,COUNTA($C$9:$C$508)+2,IF($CL60=Constants!$B$6,COUNTA($C$9:$C$508)+1,IF($CL60=Constants!$B$5,COUNTA($C$9:$C$508),$CL60))))</f>
        <v/>
      </c>
      <c r="CN60" s="8"/>
      <c r="CO60" s="137" t="n">
        <f aca="false">IF(OR(ISNUMBER($CL60),$CL60=Constants!$B$7,$CL60=Constants!$B$5,$CL60=Constants!$B$6),1,0)</f>
        <v>0</v>
      </c>
      <c r="CP60" s="137" t="n">
        <v>52</v>
      </c>
      <c r="CQ60" s="137" t="str">
        <f aca="false">IF(ISBLANK($C60),"",IF(ISNUMBER($CM60),$CM60+ROW($B60)/1000,""))</f>
        <v/>
      </c>
      <c r="CR60" s="137" t="str">
        <f aca="false">IF(ISNUMBER($CQ60),RANK($CQ60,$CQ$9:$CQ$508,1),"")</f>
        <v/>
      </c>
      <c r="CS60" s="137" t="str">
        <f aca="false">IF(ISBLANK($C60),"",$B60)</f>
        <v/>
      </c>
      <c r="CT60" s="137" t="str">
        <f aca="false">IF(ISBLANK($C60),"",$C60)</f>
        <v/>
      </c>
      <c r="CU60" s="137" t="str">
        <f aca="false">IF(ISBLANK($C60),"",$D60)</f>
        <v/>
      </c>
      <c r="CV60" s="138" t="str">
        <f aca="false">$CJ60</f>
        <v/>
      </c>
      <c r="CW60" s="139" t="str">
        <f aca="false">$CI60</f>
        <v/>
      </c>
      <c r="CX60" s="137" t="str">
        <f aca="false">IF(ISBLANK($C60),"",$CL60)</f>
        <v/>
      </c>
      <c r="CY60" s="140" t="str">
        <f aca="false">IF($CP60&gt;$CO$8,"",VLOOKUP($CP60,$CR$9:$CX$508,7,FALSE()))</f>
        <v/>
      </c>
      <c r="CZ60" s="141" t="str">
        <f aca="false">IF($CP60&gt;$CO$8,"",VLOOKUP($CP60,$CR$9:$CX$508,2,FALSE()))</f>
        <v/>
      </c>
      <c r="DA60" s="141" t="str">
        <f aca="false">IF($CP60&gt;$CO$8,"",VLOOKUP($CP60,$CR$9:$CX$508,3,FALSE()))</f>
        <v/>
      </c>
      <c r="DB60" s="141" t="str">
        <f aca="false">IF($CP60&gt;$CO$8,"",VLOOKUP($CP60,$CR$9:$CX$508,4,FALSE()))</f>
        <v/>
      </c>
      <c r="DC60" s="141" t="str">
        <f aca="false">IF($CP60&gt;$CO$8,"",VLOOKUP($CP60,$CR$9:$CX$508,5,FALSE()))</f>
        <v/>
      </c>
      <c r="DD60" s="142" t="str">
        <f aca="false">IF($CP60&gt;$CO$8,"",VLOOKUP($CP60,$CR$9:$CX$508,6,FALSE()))</f>
        <v/>
      </c>
      <c r="DE60" s="70"/>
    </row>
    <row r="61" customFormat="false" ht="15.75" hidden="false" customHeight="false" outlineLevel="0" collapsed="false">
      <c r="A61" s="8"/>
      <c r="B61" s="146"/>
      <c r="C61" s="147"/>
      <c r="D61" s="148"/>
      <c r="E61" s="164"/>
      <c r="F61" s="150"/>
      <c r="G61" s="115"/>
      <c r="H61" s="115"/>
      <c r="I61" s="115"/>
      <c r="J61" s="165"/>
      <c r="K61" s="154"/>
      <c r="L61" s="154"/>
      <c r="M61" s="118"/>
      <c r="N61" s="154"/>
      <c r="O61" s="153"/>
      <c r="P61" s="154"/>
      <c r="Q61" s="154"/>
      <c r="R61" s="154"/>
      <c r="S61" s="115"/>
      <c r="T61" s="154"/>
      <c r="U61" s="153"/>
      <c r="V61" s="154"/>
      <c r="W61" s="123"/>
      <c r="X61" s="124" t="str">
        <f aca="false">IF(ISBLANK($C61),"",IF($E61=Constants!$B$2,TRUE(),IF($E61=Constants!$B$3,FALSE(),TRUE())))</f>
        <v/>
      </c>
      <c r="Y61" s="124" t="str">
        <f aca="false">IF(ISBLANK($C61),"",IF($F61=Constants!$B$2,TRUE(),IF($F61=Constants!$B$3,FALSE(),TRUE())))</f>
        <v/>
      </c>
      <c r="Z61" s="125" t="str">
        <f aca="false">IF(ISBLANK($C61),"",IF(ISNUMBER($G61),IF($G61&gt;=0,$G61,""),""))</f>
        <v/>
      </c>
      <c r="AA61" s="125" t="str">
        <f aca="false">IF(ISBLANK($C61),"",IF(ISNUMBER($H61),IF($H61&gt;=0,$H61,""),""))</f>
        <v/>
      </c>
      <c r="AB61" s="125" t="str">
        <f aca="false">IF(ISBLANK($C61),"",IF(ISNUMBER($I61),IF($I61&gt;=0,$I61,""),""))</f>
        <v/>
      </c>
      <c r="AC61" s="124" t="str">
        <f aca="false">IF(ISBLANK($C61),"",IF($J61=Constants!$B$2,TRUE(),IF($J61=Constants!$B$3,FALSE(),TRUE())))</f>
        <v/>
      </c>
      <c r="AD61" s="124" t="str">
        <f aca="false">IF(ISBLANK($C61),"",IF($K61=Constants!$B$2,TRUE(),IF($K61=Constants!$B$3,FALSE(),TRUE())))</f>
        <v/>
      </c>
      <c r="AE61" s="124" t="str">
        <f aca="false">IF(ISBLANK($C61),"",IF($L61=Constants!$B$2,TRUE(),IF($L61=Constants!$B$3,FALSE(),TRUE())))</f>
        <v/>
      </c>
      <c r="AF61" s="126" t="str">
        <f aca="false">IF(ISBLANK($C61),"",IF(ISNUMBER($M61),IF($M61&gt;=0,$M61,""),""))</f>
        <v/>
      </c>
      <c r="AG61" s="124" t="str">
        <f aca="false">IF(ISBLANK($C61),"",IF(ISBLANK($N61),0,IF(ISNUMBER($N61),IF(AND($N61&gt;=0,$N61&lt;=Constants!$B$17,$N61=INT($N61)),$N61,""),"")))</f>
        <v/>
      </c>
      <c r="AH61" s="125" t="str">
        <f aca="false">IF(ISBLANK($C61),"",IF(ISBLANK($O61),0,IF(ISNUMBER($O61),IF($O61&gt;=0,$O61,""),"")))</f>
        <v/>
      </c>
      <c r="AI61" s="124" t="str">
        <f aca="false">IF(ISBLANK($C61),"",IF($P61=Constants!$B$2,TRUE(),IF($P61=Constants!$B$3,FALSE(),TRUE())))</f>
        <v/>
      </c>
      <c r="AJ61" s="124" t="str">
        <f aca="false">IF(ISBLANK($C61),"",IF($Q61=Constants!$B$2,TRUE(),IF($Q61=Constants!$B$3,FALSE(),TRUE())))</f>
        <v/>
      </c>
      <c r="AK61" s="124" t="str">
        <f aca="false">IF(ISBLANK($C61),"",IF($R61=Constants!$B$2,TRUE(),IF($R61=Constants!$B$3,FALSE(),TRUE())))</f>
        <v/>
      </c>
      <c r="AL61" s="126" t="str">
        <f aca="false">IF(ISBLANK($C61),"",IF(ISNUMBER($S61),IF($S61&gt;=0,$S61,""),""))</f>
        <v/>
      </c>
      <c r="AM61" s="124" t="str">
        <f aca="false">IF(ISBLANK($C61),"",IF(ISBLANK($T61),0,IF(ISNUMBER($T61),IF(AND($T61&gt;=0,$T61&lt;=Constants!$B$17,$T61=INT($T61)),$T61,""),"")))</f>
        <v/>
      </c>
      <c r="AN61" s="125" t="str">
        <f aca="false">IF(ISBLANK($C61),"",IF(ISBLANK($U61),0,IF(ISNUMBER($U61),IF($U61&gt;=0,$U61,""),"")))</f>
        <v/>
      </c>
      <c r="AO61" s="124" t="str">
        <f aca="false">IF(ISBLANK($C61),"",IF($V61=Constants!$B$2,TRUE(),IF($V61=Constants!$B$3,FALSE(),FALSE())))</f>
        <v/>
      </c>
      <c r="AP61" s="124"/>
      <c r="AQ61" s="123" t="str">
        <f aca="false">IF(ISBLANK($C61),"",AND($Y61,OR($AS61,$BC61),OR($Z61="",$AA61="",$AB61="")))</f>
        <v/>
      </c>
      <c r="AR61" s="123" t="str">
        <f aca="false">IF(ISBLANK($C61),"",IF(OR(NOT($Y61),NOT(OR($AS61,$BC61))),"",IF(ISBLANK($D$7),$AR$5,IF($AP$9="",$AR$6,""))))</f>
        <v/>
      </c>
      <c r="AS61" s="123" t="str">
        <f aca="false">IF(ISBLANK($C61),"",COUNTA($J61:$O61)&gt;0)</f>
        <v/>
      </c>
      <c r="AT61" s="123" t="str">
        <f aca="false">IF(ISBLANK($C61),"",AND($AS61,OR(AND($AF61="",OR($AE61,NOT(ISBLANK($M61)))),$AG61="",$AH61="")))</f>
        <v/>
      </c>
      <c r="AU61" s="125" t="str">
        <f aca="false">IF($BL61&lt;&gt;Constants!$B$4,"",IF(NOT($AS61),"",ROUND((Constants!$B$12-$AB61)+(Constants!$B$13-$Z61)+(Constants!$B$14-$AA61),1)))</f>
        <v/>
      </c>
      <c r="AV61" s="127" t="str">
        <f aca="false">IF($BL61&lt;&gt;Constants!$B$4,"",IF(NOT($AS61),"",IF(NOT($AE61),0,Constants!$B$15*(INT(ROUND(MIN($AF61,$AP$9),6))-INT(ROUND(MAX(0,MIN($AF61,2*$AP$9)-$AP$9),6))))))</f>
        <v/>
      </c>
      <c r="AW61" s="127" t="str">
        <f aca="false">IF($BL61&lt;&gt;Constants!$B$4,"",IF(NOT($AS61),"",Constants!$B$16*$AG61))</f>
        <v/>
      </c>
      <c r="AX61" s="127" t="str">
        <f aca="false">IF($BL61&lt;&gt;Constants!$B$4,"",IF(NOT($AS61),"",Constants!$B$18*INT(ROUND($AH61,6))))</f>
        <v/>
      </c>
      <c r="AY61" s="123" t="str">
        <f aca="false">IF($BL61&lt;&gt;Constants!$B$4,"",IF(NOT($AS61),"",IF(NOT($X61),Constants!$B$11,IF(OR(NOT($AC61),NOT($AD61),ROUND($AB61,1)&gt;Constants!$B$12,ROUND($Z61,1)&gt;Constants!$B$13,ROUND($AA61,1)&gt;Constants!$B$14),Constants!$B$10,Constants!$B$9))))</f>
        <v/>
      </c>
      <c r="AZ61" s="128" t="str">
        <f aca="false">IF($BL61&lt;&gt;Constants!$B$4,"",IF(NOT($AS61),"",ROUND($AU61+$AV61+$AW61+$AX61,1)))</f>
        <v/>
      </c>
      <c r="BA61" s="129" t="str">
        <f aca="false">IF($BL61&lt;&gt;Constants!$B$4,"",IF(NOT($AS61),"",IF(ISNUMBER($AF61),$AF61,0)))</f>
        <v/>
      </c>
      <c r="BB61" s="124" t="str">
        <f aca="false">IF($BL61&lt;&gt;Constants!$B$4,"",IF(NOT($BC61),"&lt;-",IF(NOT($AS61),"-&gt;",IF(OR($BI61&lt;$AY61,AND($BI61=$AY61,OR($BJ61&gt;$AZ61,AND($BJ61=$AZ61,OR($BH61&gt;$AX61,AND($BH61=$AX61,OR($BE61&gt;$AU61,AND($BE61=$AU61,OR($BF61&gt;$AV61,AND($BF61=$AV61,$BK61&gt;$BA61)))))))))),"-&gt;","&lt;-"))))</f>
        <v/>
      </c>
      <c r="BC61" s="123" t="str">
        <f aca="false">IF(ISBLANK($C61),"",COUNTA($P61:$U61)&gt;0)</f>
        <v/>
      </c>
      <c r="BD61" s="123" t="str">
        <f aca="false">IF(ISBLANK($C61),"",AND($BC61,OR(AND($AL61="",OR($AK61,NOT(ISBLANK($S61)))),$AM61="",$AN61="")))</f>
        <v/>
      </c>
      <c r="BE61" s="125" t="str">
        <f aca="false">IF($BL61&lt;&gt;Constants!$B$4,"",IF(NOT($BC61),"",ROUND((Constants!$B$12-$AB61)+(Constants!$B$13-$Z61)+(Constants!$B$14-$AA61),1)))</f>
        <v/>
      </c>
      <c r="BF61" s="127" t="str">
        <f aca="false">IF($BL61&lt;&gt;Constants!$B$4,"",IF(NOT($BC61),"",IF(NOT($AK61),0,Constants!$B$15*(INT(ROUND(MIN($AL61,$AP$9),6))-INT(ROUND(MAX(0,MIN($AL61,2*$AP$9)-$AP$9),6))))))</f>
        <v/>
      </c>
      <c r="BG61" s="127" t="str">
        <f aca="false">IF($BL61&lt;&gt;Constants!$B$4,"",IF(NOT($BC61),"",Constants!$B$16*$AM61))</f>
        <v/>
      </c>
      <c r="BH61" s="127" t="str">
        <f aca="false">IF($BL61&lt;&gt;Constants!$B$4,"",IF(NOT($BC61),"",Constants!$B$18*INT(ROUND($AN61,6))))</f>
        <v/>
      </c>
      <c r="BI61" s="123" t="str">
        <f aca="false">IF($BL61&lt;&gt;Constants!$B$4,"",IF(NOT($BC61),"",IF(NOT($X61),Constants!$B$11,IF(OR(NOT($AI61),NOT($AJ61),ROUND($AB61,1)&gt;Constants!$B$12,ROUND($Z61,1)&gt;Constants!$B$13,ROUND($AA61,1)&gt;Constants!$B$14),Constants!$B$10,Constants!$B$9))))</f>
        <v/>
      </c>
      <c r="BJ61" s="128" t="str">
        <f aca="false">IF($BL61&lt;&gt;Constants!$B$4,"",IF(NOT($BC61),"",ROUND($BE61+$BF61+$BG61+$BH61,1)))</f>
        <v/>
      </c>
      <c r="BK61" s="129" t="str">
        <f aca="false">IF($BL61&lt;&gt;Constants!$B$4,"",IF(NOT($BC61),"",IF(ISNUMBER($AL61),$AL61,0)))</f>
        <v/>
      </c>
      <c r="BL61" s="124" t="str">
        <f aca="false">IF(ISBLANK($C61),"",IF($AO61,Constants!$B$7,IF(COUNTA($E61:$V61)=0,Constants!$B$6,IF(NOT($Y61),Constants!$B$5,IF(NOT(OR($AS61,$BC61)),Constants!$B$5,IF(OR($AT61,$BD61,$AQ61,$AR61&lt;&gt;""),Constants!$B$8,Constants!$B$4))))))</f>
        <v/>
      </c>
      <c r="BM61" s="124" t="str">
        <f aca="false">IF(ISBLANK($C61),"",IF($BL61&lt;&gt;Constants!$B$4,$BL61,IF($BB61="-&gt;",$BI61,$AY61)))</f>
        <v/>
      </c>
      <c r="BN61" s="127" t="str">
        <f aca="false">IF($BL61&lt;&gt;Constants!$B$4,"",IF($BB61="-&gt;",$BJ61,$AZ61))</f>
        <v/>
      </c>
      <c r="BO61" s="127" t="str">
        <f aca="false">IF(ISBLANK($C61),"",IF($BL61&lt;&gt;Constants!$B$4,$BL61,$BN61))</f>
        <v/>
      </c>
      <c r="BP61" s="124" t="str">
        <f aca="false">IF(ISBLANK($C61),"",IF($BL61&lt;&gt;Constants!$B$4,$BL61,RANK($BO61,$BO$9:$BO$508,0)))</f>
        <v/>
      </c>
      <c r="BQ61" s="124" t="str">
        <f aca="false">IF(ISBLANK($C61),"",IF($BL61&lt;&gt;Constants!$B$4,$BL61,COUNTIFS($BM$9:$BM$508,"&lt;"&amp;$BM61)+COUNTIFS($BM$9:$BM$508,$BM61,$BP$9:$BP$508,"&lt;"&amp;$BP61)+1))</f>
        <v/>
      </c>
      <c r="BR61" s="127" t="str">
        <f aca="false">IF($BL61&lt;&gt;Constants!$B$4,"",IF($BB61="-&gt;",$BH61,$AX61))</f>
        <v/>
      </c>
      <c r="BS61" s="124" t="str">
        <f aca="false">IF(ISBLANK($C61),"",IF($BL61&lt;&gt;Constants!$B$4,$BL61,IF(ISNUMBER($BR61),RANK($BR61,$BR$9:$BR$508,0),COUNT($BR$9:$BR$508)+1)))</f>
        <v/>
      </c>
      <c r="BT61" s="127" t="str">
        <f aca="false">IF($BL61&lt;&gt;Constants!$B$4,"",IF($BB61="-&gt;",$BE61,$AU61))</f>
        <v/>
      </c>
      <c r="BU61" s="124" t="str">
        <f aca="false">IF(ISBLANK($C61),"",IF($BL61&lt;&gt;Constants!$B$4,$BL61,IF(ISNUMBER($BT61),RANK($BT61,$BT$9:$BT$508,0),COUNT($BT$9:$BT$508)+1)))</f>
        <v/>
      </c>
      <c r="BV61" s="127" t="str">
        <f aca="false">IF($BL61&lt;&gt;Constants!$B$4,"",IF($BB61="-&gt;",$BF61,$AV61))</f>
        <v/>
      </c>
      <c r="BW61" s="124" t="str">
        <f aca="false">IF(ISBLANK($C61),"",IF($BL61&lt;&gt;Constants!$B$4,$BL61,IF(ISNUMBER($BV61),RANK($BV61,$BV$9:$BV$508,0),COUNT($BV$9:$BV$508)+1)))</f>
        <v/>
      </c>
      <c r="BX61" s="127" t="str">
        <f aca="false">IF($BL61&lt;&gt;Constants!$B$4,"",IF($BB61="-&gt;",$BK61,$BA61))</f>
        <v/>
      </c>
      <c r="BY61" s="124" t="str">
        <f aca="false">IF(ISBLANK($C61),"",IF($BL61&lt;&gt;Constants!$B$4,$BL61,IF(ISNUMBER($BX61),RANK($BX61,$BX$9:$BX$508,0),COUNT($BX$9:$BX$508)+1)))</f>
        <v/>
      </c>
      <c r="BZ61" s="124" t="str">
        <f aca="false">IF(ISBLANK($C61),"",IF($BL61&lt;&gt;Constants!$B$4,$BL61,COUNTIFS($BM$9:$BM$508,"&lt;"&amp;$BM61)+COUNTIFS($BM$9:$BM$508,$BM61,$BP$9:$BP$508,"&lt;"&amp;$BP61)+COUNTIFS($BM$9:$BM$508,$BM61,$BP$9:$BP$508,$BP61,$BS$9:$BS$508,"&lt;"&amp;$BS61)+COUNTIFS($BM$9:$BM$508,$BM61,$BP$9:$BP$508,$BP61,$BS$9:$BS$508,$BS61,$BU$9:$BU$508,"&lt;"&amp;$BU61)+COUNTIFS($BM$9:$BM$508,$BM61,$BP$9:$BP$508,$BP61,$BS$9:$BS$508,$BS61,$BU$9:$BU$508,$BU61,$BW$9:$BW$508,"&lt;"&amp;$BW61)+COUNTIFS($BM$9:$BM$508,$BM61,$BP$9:$BP$508,$BP61,$BS$9:$BS$508,$BS61,$BU$9:$BU$508,$BU61,$BW$9:$BW$508,$BW61,$BY$9:$BY$508,"&lt;"&amp;$BY61)+1))</f>
        <v/>
      </c>
      <c r="CA61" s="124" t="str">
        <f aca="false">IF(ISBLANK($C61),"",IF($BL61&lt;&gt;Constants!$B$4,$BL61,$BQ61-$BZ61))</f>
        <v/>
      </c>
      <c r="CB61" s="130"/>
      <c r="CC61" s="131" t="str">
        <f aca="false">IF(ISBLANK($C61),"",IF($BL61=Constants!$B$8,$AR61,""))</f>
        <v/>
      </c>
      <c r="CD61" s="131" t="str">
        <f aca="false">IF(ISBLANK($C61),"",IF($BL61&lt;&gt;Constants!$B$4,"",IF($BB61="-&gt;",2,1)))</f>
        <v/>
      </c>
      <c r="CE61" s="132" t="str">
        <f aca="false">IF(ISBLANK($C61),"",IF($BL61&lt;&gt;Constants!$B$4,"",IF($BB61="-&gt;",$BE61,$AU61)))</f>
        <v/>
      </c>
      <c r="CF61" s="132" t="str">
        <f aca="false">IF(ISBLANK($C61),"",IF($BL61&lt;&gt;Constants!$B$4,"",IF($BB61="-&gt;",$BF61,$AV61)))</f>
        <v/>
      </c>
      <c r="CG61" s="132" t="str">
        <f aca="false">IF(ISBLANK($C61),"",IF($BL61&lt;&gt;Constants!$B$4,"",IF($BB61="-&gt;",$BG61,$AW61)))</f>
        <v/>
      </c>
      <c r="CH61" s="132" t="str">
        <f aca="false">IF(ISBLANK($C61),"",IF($BL61&lt;&gt;Constants!$B$4,"",IF($BB61="-&gt;",$BH61,$AX61)))</f>
        <v/>
      </c>
      <c r="CI61" s="133" t="str">
        <f aca="false">IF(ISBLANK($C61),"",$BO61)</f>
        <v/>
      </c>
      <c r="CJ61" s="134" t="str">
        <f aca="false">IF(ISBLANK($C61),"",$BM61)</f>
        <v/>
      </c>
      <c r="CK61" s="135" t="str">
        <f aca="false">IF(ISBLANK($C61),"",$CA61)</f>
        <v/>
      </c>
      <c r="CL61" s="135" t="str">
        <f aca="false">IF(ISBLANK($C61),"",$BZ61)</f>
        <v/>
      </c>
      <c r="CM61" s="136" t="str">
        <f aca="false">IF(ISBLANK($C61),"",IF($CL61=Constants!$B$7,COUNTA($C$9:$C$508)+2,IF($CL61=Constants!$B$6,COUNTA($C$9:$C$508)+1,IF($CL61=Constants!$B$5,COUNTA($C$9:$C$508),$CL61))))</f>
        <v/>
      </c>
      <c r="CN61" s="8"/>
      <c r="CO61" s="137" t="n">
        <f aca="false">IF(OR(ISNUMBER($CL61),$CL61=Constants!$B$7,$CL61=Constants!$B$5,$CL61=Constants!$B$6),1,0)</f>
        <v>0</v>
      </c>
      <c r="CP61" s="137" t="n">
        <v>53</v>
      </c>
      <c r="CQ61" s="137" t="str">
        <f aca="false">IF(ISBLANK($C61),"",IF(ISNUMBER($CM61),$CM61+ROW($B61)/1000,""))</f>
        <v/>
      </c>
      <c r="CR61" s="137" t="str">
        <f aca="false">IF(ISNUMBER($CQ61),RANK($CQ61,$CQ$9:$CQ$508,1),"")</f>
        <v/>
      </c>
      <c r="CS61" s="137" t="str">
        <f aca="false">IF(ISBLANK($C61),"",$B61)</f>
        <v/>
      </c>
      <c r="CT61" s="137" t="str">
        <f aca="false">IF(ISBLANK($C61),"",$C61)</f>
        <v/>
      </c>
      <c r="CU61" s="137" t="str">
        <f aca="false">IF(ISBLANK($C61),"",$D61)</f>
        <v/>
      </c>
      <c r="CV61" s="138" t="str">
        <f aca="false">$CJ61</f>
        <v/>
      </c>
      <c r="CW61" s="139" t="str">
        <f aca="false">$CI61</f>
        <v/>
      </c>
      <c r="CX61" s="137" t="str">
        <f aca="false">IF(ISBLANK($C61),"",$CL61)</f>
        <v/>
      </c>
      <c r="CY61" s="140" t="str">
        <f aca="false">IF($CP61&gt;$CO$8,"",VLOOKUP($CP61,$CR$9:$CX$508,7,FALSE()))</f>
        <v/>
      </c>
      <c r="CZ61" s="141" t="str">
        <f aca="false">IF($CP61&gt;$CO$8,"",VLOOKUP($CP61,$CR$9:$CX$508,2,FALSE()))</f>
        <v/>
      </c>
      <c r="DA61" s="141" t="str">
        <f aca="false">IF($CP61&gt;$CO$8,"",VLOOKUP($CP61,$CR$9:$CX$508,3,FALSE()))</f>
        <v/>
      </c>
      <c r="DB61" s="141" t="str">
        <f aca="false">IF($CP61&gt;$CO$8,"",VLOOKUP($CP61,$CR$9:$CX$508,4,FALSE()))</f>
        <v/>
      </c>
      <c r="DC61" s="141" t="str">
        <f aca="false">IF($CP61&gt;$CO$8,"",VLOOKUP($CP61,$CR$9:$CX$508,5,FALSE()))</f>
        <v/>
      </c>
      <c r="DD61" s="142" t="str">
        <f aca="false">IF($CP61&gt;$CO$8,"",VLOOKUP($CP61,$CR$9:$CX$508,6,FALSE()))</f>
        <v/>
      </c>
      <c r="DE61" s="70"/>
    </row>
    <row r="62" customFormat="false" ht="15.75" hidden="false" customHeight="false" outlineLevel="0" collapsed="false">
      <c r="A62" s="8"/>
      <c r="B62" s="146"/>
      <c r="C62" s="147"/>
      <c r="D62" s="148"/>
      <c r="E62" s="164"/>
      <c r="F62" s="150"/>
      <c r="G62" s="115"/>
      <c r="H62" s="115"/>
      <c r="I62" s="115"/>
      <c r="J62" s="165"/>
      <c r="K62" s="154"/>
      <c r="L62" s="154"/>
      <c r="M62" s="118"/>
      <c r="N62" s="154"/>
      <c r="O62" s="153"/>
      <c r="P62" s="154"/>
      <c r="Q62" s="154"/>
      <c r="R62" s="154"/>
      <c r="S62" s="115"/>
      <c r="T62" s="154"/>
      <c r="U62" s="153"/>
      <c r="V62" s="154"/>
      <c r="W62" s="123"/>
      <c r="X62" s="124" t="str">
        <f aca="false">IF(ISBLANK($C62),"",IF($E62=Constants!$B$2,TRUE(),IF($E62=Constants!$B$3,FALSE(),TRUE())))</f>
        <v/>
      </c>
      <c r="Y62" s="124" t="str">
        <f aca="false">IF(ISBLANK($C62),"",IF($F62=Constants!$B$2,TRUE(),IF($F62=Constants!$B$3,FALSE(),TRUE())))</f>
        <v/>
      </c>
      <c r="Z62" s="125" t="str">
        <f aca="false">IF(ISBLANK($C62),"",IF(ISNUMBER($G62),IF($G62&gt;=0,$G62,""),""))</f>
        <v/>
      </c>
      <c r="AA62" s="125" t="str">
        <f aca="false">IF(ISBLANK($C62),"",IF(ISNUMBER($H62),IF($H62&gt;=0,$H62,""),""))</f>
        <v/>
      </c>
      <c r="AB62" s="125" t="str">
        <f aca="false">IF(ISBLANK($C62),"",IF(ISNUMBER($I62),IF($I62&gt;=0,$I62,""),""))</f>
        <v/>
      </c>
      <c r="AC62" s="124" t="str">
        <f aca="false">IF(ISBLANK($C62),"",IF($J62=Constants!$B$2,TRUE(),IF($J62=Constants!$B$3,FALSE(),TRUE())))</f>
        <v/>
      </c>
      <c r="AD62" s="124" t="str">
        <f aca="false">IF(ISBLANK($C62),"",IF($K62=Constants!$B$2,TRUE(),IF($K62=Constants!$B$3,FALSE(),TRUE())))</f>
        <v/>
      </c>
      <c r="AE62" s="124" t="str">
        <f aca="false">IF(ISBLANK($C62),"",IF($L62=Constants!$B$2,TRUE(),IF($L62=Constants!$B$3,FALSE(),TRUE())))</f>
        <v/>
      </c>
      <c r="AF62" s="126" t="str">
        <f aca="false">IF(ISBLANK($C62),"",IF(ISNUMBER($M62),IF($M62&gt;=0,$M62,""),""))</f>
        <v/>
      </c>
      <c r="AG62" s="124" t="str">
        <f aca="false">IF(ISBLANK($C62),"",IF(ISBLANK($N62),0,IF(ISNUMBER($N62),IF(AND($N62&gt;=0,$N62&lt;=Constants!$B$17,$N62=INT($N62)),$N62,""),"")))</f>
        <v/>
      </c>
      <c r="AH62" s="125" t="str">
        <f aca="false">IF(ISBLANK($C62),"",IF(ISBLANK($O62),0,IF(ISNUMBER($O62),IF($O62&gt;=0,$O62,""),"")))</f>
        <v/>
      </c>
      <c r="AI62" s="124" t="str">
        <f aca="false">IF(ISBLANK($C62),"",IF($P62=Constants!$B$2,TRUE(),IF($P62=Constants!$B$3,FALSE(),TRUE())))</f>
        <v/>
      </c>
      <c r="AJ62" s="124" t="str">
        <f aca="false">IF(ISBLANK($C62),"",IF($Q62=Constants!$B$2,TRUE(),IF($Q62=Constants!$B$3,FALSE(),TRUE())))</f>
        <v/>
      </c>
      <c r="AK62" s="124" t="str">
        <f aca="false">IF(ISBLANK($C62),"",IF($R62=Constants!$B$2,TRUE(),IF($R62=Constants!$B$3,FALSE(),TRUE())))</f>
        <v/>
      </c>
      <c r="AL62" s="126" t="str">
        <f aca="false">IF(ISBLANK($C62),"",IF(ISNUMBER($S62),IF($S62&gt;=0,$S62,""),""))</f>
        <v/>
      </c>
      <c r="AM62" s="124" t="str">
        <f aca="false">IF(ISBLANK($C62),"",IF(ISBLANK($T62),0,IF(ISNUMBER($T62),IF(AND($T62&gt;=0,$T62&lt;=Constants!$B$17,$T62=INT($T62)),$T62,""),"")))</f>
        <v/>
      </c>
      <c r="AN62" s="125" t="str">
        <f aca="false">IF(ISBLANK($C62),"",IF(ISBLANK($U62),0,IF(ISNUMBER($U62),IF($U62&gt;=0,$U62,""),"")))</f>
        <v/>
      </c>
      <c r="AO62" s="124" t="str">
        <f aca="false">IF(ISBLANK($C62),"",IF($V62=Constants!$B$2,TRUE(),IF($V62=Constants!$B$3,FALSE(),FALSE())))</f>
        <v/>
      </c>
      <c r="AP62" s="124"/>
      <c r="AQ62" s="123" t="str">
        <f aca="false">IF(ISBLANK($C62),"",AND($Y62,OR($AS62,$BC62),OR($Z62="",$AA62="",$AB62="")))</f>
        <v/>
      </c>
      <c r="AR62" s="123" t="str">
        <f aca="false">IF(ISBLANK($C62),"",IF(OR(NOT($Y62),NOT(OR($AS62,$BC62))),"",IF(ISBLANK($D$7),$AR$5,IF($AP$9="",$AR$6,""))))</f>
        <v/>
      </c>
      <c r="AS62" s="123" t="str">
        <f aca="false">IF(ISBLANK($C62),"",COUNTA($J62:$O62)&gt;0)</f>
        <v/>
      </c>
      <c r="AT62" s="123" t="str">
        <f aca="false">IF(ISBLANK($C62),"",AND($AS62,OR(AND($AF62="",OR($AE62,NOT(ISBLANK($M62)))),$AG62="",$AH62="")))</f>
        <v/>
      </c>
      <c r="AU62" s="125" t="str">
        <f aca="false">IF($BL62&lt;&gt;Constants!$B$4,"",IF(NOT($AS62),"",ROUND((Constants!$B$12-$AB62)+(Constants!$B$13-$Z62)+(Constants!$B$14-$AA62),1)))</f>
        <v/>
      </c>
      <c r="AV62" s="127" t="str">
        <f aca="false">IF($BL62&lt;&gt;Constants!$B$4,"",IF(NOT($AS62),"",IF(NOT($AE62),0,Constants!$B$15*(INT(ROUND(MIN($AF62,$AP$9),6))-INT(ROUND(MAX(0,MIN($AF62,2*$AP$9)-$AP$9),6))))))</f>
        <v/>
      </c>
      <c r="AW62" s="127" t="str">
        <f aca="false">IF($BL62&lt;&gt;Constants!$B$4,"",IF(NOT($AS62),"",Constants!$B$16*$AG62))</f>
        <v/>
      </c>
      <c r="AX62" s="127" t="str">
        <f aca="false">IF($BL62&lt;&gt;Constants!$B$4,"",IF(NOT($AS62),"",Constants!$B$18*INT(ROUND($AH62,6))))</f>
        <v/>
      </c>
      <c r="AY62" s="123" t="str">
        <f aca="false">IF($BL62&lt;&gt;Constants!$B$4,"",IF(NOT($AS62),"",IF(NOT($X62),Constants!$B$11,IF(OR(NOT($AC62),NOT($AD62),ROUND($AB62,1)&gt;Constants!$B$12,ROUND($Z62,1)&gt;Constants!$B$13,ROUND($AA62,1)&gt;Constants!$B$14),Constants!$B$10,Constants!$B$9))))</f>
        <v/>
      </c>
      <c r="AZ62" s="128" t="str">
        <f aca="false">IF($BL62&lt;&gt;Constants!$B$4,"",IF(NOT($AS62),"",ROUND($AU62+$AV62+$AW62+$AX62,1)))</f>
        <v/>
      </c>
      <c r="BA62" s="129" t="str">
        <f aca="false">IF($BL62&lt;&gt;Constants!$B$4,"",IF(NOT($AS62),"",IF(ISNUMBER($AF62),$AF62,0)))</f>
        <v/>
      </c>
      <c r="BB62" s="124" t="str">
        <f aca="false">IF($BL62&lt;&gt;Constants!$B$4,"",IF(NOT($BC62),"&lt;-",IF(NOT($AS62),"-&gt;",IF(OR($BI62&lt;$AY62,AND($BI62=$AY62,OR($BJ62&gt;$AZ62,AND($BJ62=$AZ62,OR($BH62&gt;$AX62,AND($BH62=$AX62,OR($BE62&gt;$AU62,AND($BE62=$AU62,OR($BF62&gt;$AV62,AND($BF62=$AV62,$BK62&gt;$BA62)))))))))),"-&gt;","&lt;-"))))</f>
        <v/>
      </c>
      <c r="BC62" s="123" t="str">
        <f aca="false">IF(ISBLANK($C62),"",COUNTA($P62:$U62)&gt;0)</f>
        <v/>
      </c>
      <c r="BD62" s="123" t="str">
        <f aca="false">IF(ISBLANK($C62),"",AND($BC62,OR(AND($AL62="",OR($AK62,NOT(ISBLANK($S62)))),$AM62="",$AN62="")))</f>
        <v/>
      </c>
      <c r="BE62" s="125" t="str">
        <f aca="false">IF($BL62&lt;&gt;Constants!$B$4,"",IF(NOT($BC62),"",ROUND((Constants!$B$12-$AB62)+(Constants!$B$13-$Z62)+(Constants!$B$14-$AA62),1)))</f>
        <v/>
      </c>
      <c r="BF62" s="127" t="str">
        <f aca="false">IF($BL62&lt;&gt;Constants!$B$4,"",IF(NOT($BC62),"",IF(NOT($AK62),0,Constants!$B$15*(INT(ROUND(MIN($AL62,$AP$9),6))-INT(ROUND(MAX(0,MIN($AL62,2*$AP$9)-$AP$9),6))))))</f>
        <v/>
      </c>
      <c r="BG62" s="127" t="str">
        <f aca="false">IF($BL62&lt;&gt;Constants!$B$4,"",IF(NOT($BC62),"",Constants!$B$16*$AM62))</f>
        <v/>
      </c>
      <c r="BH62" s="127" t="str">
        <f aca="false">IF($BL62&lt;&gt;Constants!$B$4,"",IF(NOT($BC62),"",Constants!$B$18*INT(ROUND($AN62,6))))</f>
        <v/>
      </c>
      <c r="BI62" s="123" t="str">
        <f aca="false">IF($BL62&lt;&gt;Constants!$B$4,"",IF(NOT($BC62),"",IF(NOT($X62),Constants!$B$11,IF(OR(NOT($AI62),NOT($AJ62),ROUND($AB62,1)&gt;Constants!$B$12,ROUND($Z62,1)&gt;Constants!$B$13,ROUND($AA62,1)&gt;Constants!$B$14),Constants!$B$10,Constants!$B$9))))</f>
        <v/>
      </c>
      <c r="BJ62" s="128" t="str">
        <f aca="false">IF($BL62&lt;&gt;Constants!$B$4,"",IF(NOT($BC62),"",ROUND($BE62+$BF62+$BG62+$BH62,1)))</f>
        <v/>
      </c>
      <c r="BK62" s="129" t="str">
        <f aca="false">IF($BL62&lt;&gt;Constants!$B$4,"",IF(NOT($BC62),"",IF(ISNUMBER($AL62),$AL62,0)))</f>
        <v/>
      </c>
      <c r="BL62" s="124" t="str">
        <f aca="false">IF(ISBLANK($C62),"",IF($AO62,Constants!$B$7,IF(COUNTA($E62:$V62)=0,Constants!$B$6,IF(NOT($Y62),Constants!$B$5,IF(NOT(OR($AS62,$BC62)),Constants!$B$5,IF(OR($AT62,$BD62,$AQ62,$AR62&lt;&gt;""),Constants!$B$8,Constants!$B$4))))))</f>
        <v/>
      </c>
      <c r="BM62" s="124" t="str">
        <f aca="false">IF(ISBLANK($C62),"",IF($BL62&lt;&gt;Constants!$B$4,$BL62,IF($BB62="-&gt;",$BI62,$AY62)))</f>
        <v/>
      </c>
      <c r="BN62" s="127" t="str">
        <f aca="false">IF($BL62&lt;&gt;Constants!$B$4,"",IF($BB62="-&gt;",$BJ62,$AZ62))</f>
        <v/>
      </c>
      <c r="BO62" s="127" t="str">
        <f aca="false">IF(ISBLANK($C62),"",IF($BL62&lt;&gt;Constants!$B$4,$BL62,$BN62))</f>
        <v/>
      </c>
      <c r="BP62" s="124" t="str">
        <f aca="false">IF(ISBLANK($C62),"",IF($BL62&lt;&gt;Constants!$B$4,$BL62,RANK($BO62,$BO$9:$BO$508,0)))</f>
        <v/>
      </c>
      <c r="BQ62" s="124" t="str">
        <f aca="false">IF(ISBLANK($C62),"",IF($BL62&lt;&gt;Constants!$B$4,$BL62,COUNTIFS($BM$9:$BM$508,"&lt;"&amp;$BM62)+COUNTIFS($BM$9:$BM$508,$BM62,$BP$9:$BP$508,"&lt;"&amp;$BP62)+1))</f>
        <v/>
      </c>
      <c r="BR62" s="127" t="str">
        <f aca="false">IF($BL62&lt;&gt;Constants!$B$4,"",IF($BB62="-&gt;",$BH62,$AX62))</f>
        <v/>
      </c>
      <c r="BS62" s="124" t="str">
        <f aca="false">IF(ISBLANK($C62),"",IF($BL62&lt;&gt;Constants!$B$4,$BL62,IF(ISNUMBER($BR62),RANK($BR62,$BR$9:$BR$508,0),COUNT($BR$9:$BR$508)+1)))</f>
        <v/>
      </c>
      <c r="BT62" s="127" t="str">
        <f aca="false">IF($BL62&lt;&gt;Constants!$B$4,"",IF($BB62="-&gt;",$BE62,$AU62))</f>
        <v/>
      </c>
      <c r="BU62" s="124" t="str">
        <f aca="false">IF(ISBLANK($C62),"",IF($BL62&lt;&gt;Constants!$B$4,$BL62,IF(ISNUMBER($BT62),RANK($BT62,$BT$9:$BT$508,0),COUNT($BT$9:$BT$508)+1)))</f>
        <v/>
      </c>
      <c r="BV62" s="127" t="str">
        <f aca="false">IF($BL62&lt;&gt;Constants!$B$4,"",IF($BB62="-&gt;",$BF62,$AV62))</f>
        <v/>
      </c>
      <c r="BW62" s="124" t="str">
        <f aca="false">IF(ISBLANK($C62),"",IF($BL62&lt;&gt;Constants!$B$4,$BL62,IF(ISNUMBER($BV62),RANK($BV62,$BV$9:$BV$508,0),COUNT($BV$9:$BV$508)+1)))</f>
        <v/>
      </c>
      <c r="BX62" s="127" t="str">
        <f aca="false">IF($BL62&lt;&gt;Constants!$B$4,"",IF($BB62="-&gt;",$BK62,$BA62))</f>
        <v/>
      </c>
      <c r="BY62" s="124" t="str">
        <f aca="false">IF(ISBLANK($C62),"",IF($BL62&lt;&gt;Constants!$B$4,$BL62,IF(ISNUMBER($BX62),RANK($BX62,$BX$9:$BX$508,0),COUNT($BX$9:$BX$508)+1)))</f>
        <v/>
      </c>
      <c r="BZ62" s="124" t="str">
        <f aca="false">IF(ISBLANK($C62),"",IF($BL62&lt;&gt;Constants!$B$4,$BL62,COUNTIFS($BM$9:$BM$508,"&lt;"&amp;$BM62)+COUNTIFS($BM$9:$BM$508,$BM62,$BP$9:$BP$508,"&lt;"&amp;$BP62)+COUNTIFS($BM$9:$BM$508,$BM62,$BP$9:$BP$508,$BP62,$BS$9:$BS$508,"&lt;"&amp;$BS62)+COUNTIFS($BM$9:$BM$508,$BM62,$BP$9:$BP$508,$BP62,$BS$9:$BS$508,$BS62,$BU$9:$BU$508,"&lt;"&amp;$BU62)+COUNTIFS($BM$9:$BM$508,$BM62,$BP$9:$BP$508,$BP62,$BS$9:$BS$508,$BS62,$BU$9:$BU$508,$BU62,$BW$9:$BW$508,"&lt;"&amp;$BW62)+COUNTIFS($BM$9:$BM$508,$BM62,$BP$9:$BP$508,$BP62,$BS$9:$BS$508,$BS62,$BU$9:$BU$508,$BU62,$BW$9:$BW$508,$BW62,$BY$9:$BY$508,"&lt;"&amp;$BY62)+1))</f>
        <v/>
      </c>
      <c r="CA62" s="124" t="str">
        <f aca="false">IF(ISBLANK($C62),"",IF($BL62&lt;&gt;Constants!$B$4,$BL62,$BQ62-$BZ62))</f>
        <v/>
      </c>
      <c r="CB62" s="130"/>
      <c r="CC62" s="131" t="str">
        <f aca="false">IF(ISBLANK($C62),"",IF($BL62=Constants!$B$8,$AR62,""))</f>
        <v/>
      </c>
      <c r="CD62" s="131" t="str">
        <f aca="false">IF(ISBLANK($C62),"",IF($BL62&lt;&gt;Constants!$B$4,"",IF($BB62="-&gt;",2,1)))</f>
        <v/>
      </c>
      <c r="CE62" s="132" t="str">
        <f aca="false">IF(ISBLANK($C62),"",IF($BL62&lt;&gt;Constants!$B$4,"",IF($BB62="-&gt;",$BE62,$AU62)))</f>
        <v/>
      </c>
      <c r="CF62" s="132" t="str">
        <f aca="false">IF(ISBLANK($C62),"",IF($BL62&lt;&gt;Constants!$B$4,"",IF($BB62="-&gt;",$BF62,$AV62)))</f>
        <v/>
      </c>
      <c r="CG62" s="132" t="str">
        <f aca="false">IF(ISBLANK($C62),"",IF($BL62&lt;&gt;Constants!$B$4,"",IF($BB62="-&gt;",$BG62,$AW62)))</f>
        <v/>
      </c>
      <c r="CH62" s="132" t="str">
        <f aca="false">IF(ISBLANK($C62),"",IF($BL62&lt;&gt;Constants!$B$4,"",IF($BB62="-&gt;",$BH62,$AX62)))</f>
        <v/>
      </c>
      <c r="CI62" s="133" t="str">
        <f aca="false">IF(ISBLANK($C62),"",$BO62)</f>
        <v/>
      </c>
      <c r="CJ62" s="134" t="str">
        <f aca="false">IF(ISBLANK($C62),"",$BM62)</f>
        <v/>
      </c>
      <c r="CK62" s="135" t="str">
        <f aca="false">IF(ISBLANK($C62),"",$CA62)</f>
        <v/>
      </c>
      <c r="CL62" s="135" t="str">
        <f aca="false">IF(ISBLANK($C62),"",$BZ62)</f>
        <v/>
      </c>
      <c r="CM62" s="136" t="str">
        <f aca="false">IF(ISBLANK($C62),"",IF($CL62=Constants!$B$7,COUNTA($C$9:$C$508)+2,IF($CL62=Constants!$B$6,COUNTA($C$9:$C$508)+1,IF($CL62=Constants!$B$5,COUNTA($C$9:$C$508),$CL62))))</f>
        <v/>
      </c>
      <c r="CN62" s="8"/>
      <c r="CO62" s="137" t="n">
        <f aca="false">IF(OR(ISNUMBER($CL62),$CL62=Constants!$B$7,$CL62=Constants!$B$5,$CL62=Constants!$B$6),1,0)</f>
        <v>0</v>
      </c>
      <c r="CP62" s="137" t="n">
        <v>54</v>
      </c>
      <c r="CQ62" s="137" t="str">
        <f aca="false">IF(ISBLANK($C62),"",IF(ISNUMBER($CM62),$CM62+ROW($B62)/1000,""))</f>
        <v/>
      </c>
      <c r="CR62" s="137" t="str">
        <f aca="false">IF(ISNUMBER($CQ62),RANK($CQ62,$CQ$9:$CQ$508,1),"")</f>
        <v/>
      </c>
      <c r="CS62" s="137" t="str">
        <f aca="false">IF(ISBLANK($C62),"",$B62)</f>
        <v/>
      </c>
      <c r="CT62" s="137" t="str">
        <f aca="false">IF(ISBLANK($C62),"",$C62)</f>
        <v/>
      </c>
      <c r="CU62" s="137" t="str">
        <f aca="false">IF(ISBLANK($C62),"",$D62)</f>
        <v/>
      </c>
      <c r="CV62" s="138" t="str">
        <f aca="false">$CJ62</f>
        <v/>
      </c>
      <c r="CW62" s="139" t="str">
        <f aca="false">$CI62</f>
        <v/>
      </c>
      <c r="CX62" s="137" t="str">
        <f aca="false">IF(ISBLANK($C62),"",$CL62)</f>
        <v/>
      </c>
      <c r="CY62" s="140" t="str">
        <f aca="false">IF($CP62&gt;$CO$8,"",VLOOKUP($CP62,$CR$9:$CX$508,7,FALSE()))</f>
        <v/>
      </c>
      <c r="CZ62" s="141" t="str">
        <f aca="false">IF($CP62&gt;$CO$8,"",VLOOKUP($CP62,$CR$9:$CX$508,2,FALSE()))</f>
        <v/>
      </c>
      <c r="DA62" s="141" t="str">
        <f aca="false">IF($CP62&gt;$CO$8,"",VLOOKUP($CP62,$CR$9:$CX$508,3,FALSE()))</f>
        <v/>
      </c>
      <c r="DB62" s="141" t="str">
        <f aca="false">IF($CP62&gt;$CO$8,"",VLOOKUP($CP62,$CR$9:$CX$508,4,FALSE()))</f>
        <v/>
      </c>
      <c r="DC62" s="141" t="str">
        <f aca="false">IF($CP62&gt;$CO$8,"",VLOOKUP($CP62,$CR$9:$CX$508,5,FALSE()))</f>
        <v/>
      </c>
      <c r="DD62" s="142" t="str">
        <f aca="false">IF($CP62&gt;$CO$8,"",VLOOKUP($CP62,$CR$9:$CX$508,6,FALSE()))</f>
        <v/>
      </c>
      <c r="DE62" s="70"/>
    </row>
    <row r="63" customFormat="false" ht="15.75" hidden="false" customHeight="false" outlineLevel="0" collapsed="false">
      <c r="A63" s="8"/>
      <c r="B63" s="72"/>
      <c r="C63" s="73"/>
      <c r="D63" s="155"/>
      <c r="E63" s="162"/>
      <c r="F63" s="157"/>
      <c r="G63" s="77"/>
      <c r="H63" s="77"/>
      <c r="I63" s="77"/>
      <c r="J63" s="163"/>
      <c r="K63" s="161"/>
      <c r="L63" s="161"/>
      <c r="M63" s="80"/>
      <c r="N63" s="161"/>
      <c r="O63" s="160"/>
      <c r="P63" s="161"/>
      <c r="Q63" s="161"/>
      <c r="R63" s="161"/>
      <c r="S63" s="77"/>
      <c r="T63" s="161"/>
      <c r="U63" s="160"/>
      <c r="V63" s="161"/>
      <c r="W63" s="85"/>
      <c r="X63" s="86" t="str">
        <f aca="false">IF(ISBLANK($C63),"",IF($E63=Constants!$B$2,TRUE(),IF($E63=Constants!$B$3,FALSE(),TRUE())))</f>
        <v/>
      </c>
      <c r="Y63" s="86" t="str">
        <f aca="false">IF(ISBLANK($C63),"",IF($F63=Constants!$B$2,TRUE(),IF($F63=Constants!$B$3,FALSE(),TRUE())))</f>
        <v/>
      </c>
      <c r="Z63" s="87" t="str">
        <f aca="false">IF(ISBLANK($C63),"",IF(ISNUMBER($G63),IF($G63&gt;=0,$G63,""),""))</f>
        <v/>
      </c>
      <c r="AA63" s="87" t="str">
        <f aca="false">IF(ISBLANK($C63),"",IF(ISNUMBER($H63),IF($H63&gt;=0,$H63,""),""))</f>
        <v/>
      </c>
      <c r="AB63" s="87" t="str">
        <f aca="false">IF(ISBLANK($C63),"",IF(ISNUMBER($I63),IF($I63&gt;=0,$I63,""),""))</f>
        <v/>
      </c>
      <c r="AC63" s="86" t="str">
        <f aca="false">IF(ISBLANK($C63),"",IF($J63=Constants!$B$2,TRUE(),IF($J63=Constants!$B$3,FALSE(),TRUE())))</f>
        <v/>
      </c>
      <c r="AD63" s="86" t="str">
        <f aca="false">IF(ISBLANK($C63),"",IF($K63=Constants!$B$2,TRUE(),IF($K63=Constants!$B$3,FALSE(),TRUE())))</f>
        <v/>
      </c>
      <c r="AE63" s="86" t="str">
        <f aca="false">IF(ISBLANK($C63),"",IF($L63=Constants!$B$2,TRUE(),IF($L63=Constants!$B$3,FALSE(),TRUE())))</f>
        <v/>
      </c>
      <c r="AF63" s="88" t="str">
        <f aca="false">IF(ISBLANK($C63),"",IF(ISNUMBER($M63),IF($M63&gt;=0,$M63,""),""))</f>
        <v/>
      </c>
      <c r="AG63" s="86" t="str">
        <f aca="false">IF(ISBLANK($C63),"",IF(ISBLANK($N63),0,IF(ISNUMBER($N63),IF(AND($N63&gt;=0,$N63&lt;=Constants!$B$17,$N63=INT($N63)),$N63,""),"")))</f>
        <v/>
      </c>
      <c r="AH63" s="87" t="str">
        <f aca="false">IF(ISBLANK($C63),"",IF(ISBLANK($O63),0,IF(ISNUMBER($O63),IF($O63&gt;=0,$O63,""),"")))</f>
        <v/>
      </c>
      <c r="AI63" s="86" t="str">
        <f aca="false">IF(ISBLANK($C63),"",IF($P63=Constants!$B$2,TRUE(),IF($P63=Constants!$B$3,FALSE(),TRUE())))</f>
        <v/>
      </c>
      <c r="AJ63" s="86" t="str">
        <f aca="false">IF(ISBLANK($C63),"",IF($Q63=Constants!$B$2,TRUE(),IF($Q63=Constants!$B$3,FALSE(),TRUE())))</f>
        <v/>
      </c>
      <c r="AK63" s="86" t="str">
        <f aca="false">IF(ISBLANK($C63),"",IF($R63=Constants!$B$2,TRUE(),IF($R63=Constants!$B$3,FALSE(),TRUE())))</f>
        <v/>
      </c>
      <c r="AL63" s="88" t="str">
        <f aca="false">IF(ISBLANK($C63),"",IF(ISNUMBER($S63),IF($S63&gt;=0,$S63,""),""))</f>
        <v/>
      </c>
      <c r="AM63" s="86" t="str">
        <f aca="false">IF(ISBLANK($C63),"",IF(ISBLANK($T63),0,IF(ISNUMBER($T63),IF(AND($T63&gt;=0,$T63&lt;=Constants!$B$17,$T63=INT($T63)),$T63,""),"")))</f>
        <v/>
      </c>
      <c r="AN63" s="87" t="str">
        <f aca="false">IF(ISBLANK($C63),"",IF(ISBLANK($U63),0,IF(ISNUMBER($U63),IF($U63&gt;=0,$U63,""),"")))</f>
        <v/>
      </c>
      <c r="AO63" s="86" t="str">
        <f aca="false">IF(ISBLANK($C63),"",IF($V63=Constants!$B$2,TRUE(),IF($V63=Constants!$B$3,FALSE(),FALSE())))</f>
        <v/>
      </c>
      <c r="AP63" s="86"/>
      <c r="AQ63" s="85" t="str">
        <f aca="false">IF(ISBLANK($C63),"",AND($Y63,OR($AS63,$BC63),OR($Z63="",$AA63="",$AB63="")))</f>
        <v/>
      </c>
      <c r="AR63" s="85" t="str">
        <f aca="false">IF(ISBLANK($C63),"",IF(OR(NOT($Y63),NOT(OR($AS63,$BC63))),"",IF(ISBLANK($D$7),$AR$5,IF($AP$9="",$AR$6,""))))</f>
        <v/>
      </c>
      <c r="AS63" s="85" t="str">
        <f aca="false">IF(ISBLANK($C63),"",COUNTA($J63:$O63)&gt;0)</f>
        <v/>
      </c>
      <c r="AT63" s="85" t="str">
        <f aca="false">IF(ISBLANK($C63),"",AND($AS63,OR(AND($AF63="",OR($AE63,NOT(ISBLANK($M63)))),$AG63="",$AH63="")))</f>
        <v/>
      </c>
      <c r="AU63" s="87" t="str">
        <f aca="false">IF($BL63&lt;&gt;Constants!$B$4,"",IF(NOT($AS63),"",ROUND((Constants!$B$12-$AB63)+(Constants!$B$13-$Z63)+(Constants!$B$14-$AA63),1)))</f>
        <v/>
      </c>
      <c r="AV63" s="90" t="str">
        <f aca="false">IF($BL63&lt;&gt;Constants!$B$4,"",IF(NOT($AS63),"",IF(NOT($AE63),0,Constants!$B$15*(INT(ROUND(MIN($AF63,$AP$9),6))-INT(ROUND(MAX(0,MIN($AF63,2*$AP$9)-$AP$9),6))))))</f>
        <v/>
      </c>
      <c r="AW63" s="90" t="str">
        <f aca="false">IF($BL63&lt;&gt;Constants!$B$4,"",IF(NOT($AS63),"",Constants!$B$16*$AG63))</f>
        <v/>
      </c>
      <c r="AX63" s="90" t="str">
        <f aca="false">IF($BL63&lt;&gt;Constants!$B$4,"",IF(NOT($AS63),"",Constants!$B$18*INT(ROUND($AH63,6))))</f>
        <v/>
      </c>
      <c r="AY63" s="85" t="str">
        <f aca="false">IF($BL63&lt;&gt;Constants!$B$4,"",IF(NOT($AS63),"",IF(NOT($X63),Constants!$B$11,IF(OR(NOT($AC63),NOT($AD63),ROUND($AB63,1)&gt;Constants!$B$12,ROUND($Z63,1)&gt;Constants!$B$13,ROUND($AA63,1)&gt;Constants!$B$14),Constants!$B$10,Constants!$B$9))))</f>
        <v/>
      </c>
      <c r="AZ63" s="91" t="str">
        <f aca="false">IF($BL63&lt;&gt;Constants!$B$4,"",IF(NOT($AS63),"",ROUND($AU63+$AV63+$AW63+$AX63,1)))</f>
        <v/>
      </c>
      <c r="BA63" s="92" t="str">
        <f aca="false">IF($BL63&lt;&gt;Constants!$B$4,"",IF(NOT($AS63),"",IF(ISNUMBER($AF63),$AF63,0)))</f>
        <v/>
      </c>
      <c r="BB63" s="86" t="str">
        <f aca="false">IF($BL63&lt;&gt;Constants!$B$4,"",IF(NOT($BC63),"&lt;-",IF(NOT($AS63),"-&gt;",IF(OR($BI63&lt;$AY63,AND($BI63=$AY63,OR($BJ63&gt;$AZ63,AND($BJ63=$AZ63,OR($BH63&gt;$AX63,AND($BH63=$AX63,OR($BE63&gt;$AU63,AND($BE63=$AU63,OR($BF63&gt;$AV63,AND($BF63=$AV63,$BK63&gt;$BA63)))))))))),"-&gt;","&lt;-"))))</f>
        <v/>
      </c>
      <c r="BC63" s="85" t="str">
        <f aca="false">IF(ISBLANK($C63),"",COUNTA($P63:$U63)&gt;0)</f>
        <v/>
      </c>
      <c r="BD63" s="85" t="str">
        <f aca="false">IF(ISBLANK($C63),"",AND($BC63,OR(AND($AL63="",OR($AK63,NOT(ISBLANK($S63)))),$AM63="",$AN63="")))</f>
        <v/>
      </c>
      <c r="BE63" s="87" t="str">
        <f aca="false">IF($BL63&lt;&gt;Constants!$B$4,"",IF(NOT($BC63),"",ROUND((Constants!$B$12-$AB63)+(Constants!$B$13-$Z63)+(Constants!$B$14-$AA63),1)))</f>
        <v/>
      </c>
      <c r="BF63" s="90" t="str">
        <f aca="false">IF($BL63&lt;&gt;Constants!$B$4,"",IF(NOT($BC63),"",IF(NOT($AK63),0,Constants!$B$15*(INT(ROUND(MIN($AL63,$AP$9),6))-INT(ROUND(MAX(0,MIN($AL63,2*$AP$9)-$AP$9),6))))))</f>
        <v/>
      </c>
      <c r="BG63" s="90" t="str">
        <f aca="false">IF($BL63&lt;&gt;Constants!$B$4,"",IF(NOT($BC63),"",Constants!$B$16*$AM63))</f>
        <v/>
      </c>
      <c r="BH63" s="90" t="str">
        <f aca="false">IF($BL63&lt;&gt;Constants!$B$4,"",IF(NOT($BC63),"",Constants!$B$18*INT(ROUND($AN63,6))))</f>
        <v/>
      </c>
      <c r="BI63" s="85" t="str">
        <f aca="false">IF($BL63&lt;&gt;Constants!$B$4,"",IF(NOT($BC63),"",IF(NOT($X63),Constants!$B$11,IF(OR(NOT($AI63),NOT($AJ63),ROUND($AB63,1)&gt;Constants!$B$12,ROUND($Z63,1)&gt;Constants!$B$13,ROUND($AA63,1)&gt;Constants!$B$14),Constants!$B$10,Constants!$B$9))))</f>
        <v/>
      </c>
      <c r="BJ63" s="91" t="str">
        <f aca="false">IF($BL63&lt;&gt;Constants!$B$4,"",IF(NOT($BC63),"",ROUND($BE63+$BF63+$BG63+$BH63,1)))</f>
        <v/>
      </c>
      <c r="BK63" s="92" t="str">
        <f aca="false">IF($BL63&lt;&gt;Constants!$B$4,"",IF(NOT($BC63),"",IF(ISNUMBER($AL63),$AL63,0)))</f>
        <v/>
      </c>
      <c r="BL63" s="86" t="str">
        <f aca="false">IF(ISBLANK($C63),"",IF($AO63,Constants!$B$7,IF(COUNTA($E63:$V63)=0,Constants!$B$6,IF(NOT($Y63),Constants!$B$5,IF(NOT(OR($AS63,$BC63)),Constants!$B$5,IF(OR($AT63,$BD63,$AQ63,$AR63&lt;&gt;""),Constants!$B$8,Constants!$B$4))))))</f>
        <v/>
      </c>
      <c r="BM63" s="86" t="str">
        <f aca="false">IF(ISBLANK($C63),"",IF($BL63&lt;&gt;Constants!$B$4,$BL63,IF($BB63="-&gt;",$BI63,$AY63)))</f>
        <v/>
      </c>
      <c r="BN63" s="90" t="str">
        <f aca="false">IF($BL63&lt;&gt;Constants!$B$4,"",IF($BB63="-&gt;",$BJ63,$AZ63))</f>
        <v/>
      </c>
      <c r="BO63" s="90" t="str">
        <f aca="false">IF(ISBLANK($C63),"",IF($BL63&lt;&gt;Constants!$B$4,$BL63,$BN63))</f>
        <v/>
      </c>
      <c r="BP63" s="86" t="str">
        <f aca="false">IF(ISBLANK($C63),"",IF($BL63&lt;&gt;Constants!$B$4,$BL63,RANK($BO63,$BO$9:$BO$508,0)))</f>
        <v/>
      </c>
      <c r="BQ63" s="86" t="str">
        <f aca="false">IF(ISBLANK($C63),"",IF($BL63&lt;&gt;Constants!$B$4,$BL63,COUNTIFS($BM$9:$BM$508,"&lt;"&amp;$BM63)+COUNTIFS($BM$9:$BM$508,$BM63,$BP$9:$BP$508,"&lt;"&amp;$BP63)+1))</f>
        <v/>
      </c>
      <c r="BR63" s="90" t="str">
        <f aca="false">IF($BL63&lt;&gt;Constants!$B$4,"",IF($BB63="-&gt;",$BH63,$AX63))</f>
        <v/>
      </c>
      <c r="BS63" s="86" t="str">
        <f aca="false">IF(ISBLANK($C63),"",IF($BL63&lt;&gt;Constants!$B$4,$BL63,IF(ISNUMBER($BR63),RANK($BR63,$BR$9:$BR$508,0),COUNT($BR$9:$BR$508)+1)))</f>
        <v/>
      </c>
      <c r="BT63" s="90" t="str">
        <f aca="false">IF($BL63&lt;&gt;Constants!$B$4,"",IF($BB63="-&gt;",$BE63,$AU63))</f>
        <v/>
      </c>
      <c r="BU63" s="86" t="str">
        <f aca="false">IF(ISBLANK($C63),"",IF($BL63&lt;&gt;Constants!$B$4,$BL63,IF(ISNUMBER($BT63),RANK($BT63,$BT$9:$BT$508,0),COUNT($BT$9:$BT$508)+1)))</f>
        <v/>
      </c>
      <c r="BV63" s="90" t="str">
        <f aca="false">IF($BL63&lt;&gt;Constants!$B$4,"",IF($BB63="-&gt;",$BF63,$AV63))</f>
        <v/>
      </c>
      <c r="BW63" s="86" t="str">
        <f aca="false">IF(ISBLANK($C63),"",IF($BL63&lt;&gt;Constants!$B$4,$BL63,IF(ISNUMBER($BV63),RANK($BV63,$BV$9:$BV$508,0),COUNT($BV$9:$BV$508)+1)))</f>
        <v/>
      </c>
      <c r="BX63" s="90" t="str">
        <f aca="false">IF($BL63&lt;&gt;Constants!$B$4,"",IF($BB63="-&gt;",$BK63,$BA63))</f>
        <v/>
      </c>
      <c r="BY63" s="86" t="str">
        <f aca="false">IF(ISBLANK($C63),"",IF($BL63&lt;&gt;Constants!$B$4,$BL63,IF(ISNUMBER($BX63),RANK($BX63,$BX$9:$BX$508,0),COUNT($BX$9:$BX$508)+1)))</f>
        <v/>
      </c>
      <c r="BZ63" s="86" t="str">
        <f aca="false">IF(ISBLANK($C63),"",IF($BL63&lt;&gt;Constants!$B$4,$BL63,COUNTIFS($BM$9:$BM$508,"&lt;"&amp;$BM63)+COUNTIFS($BM$9:$BM$508,$BM63,$BP$9:$BP$508,"&lt;"&amp;$BP63)+COUNTIFS($BM$9:$BM$508,$BM63,$BP$9:$BP$508,$BP63,$BS$9:$BS$508,"&lt;"&amp;$BS63)+COUNTIFS($BM$9:$BM$508,$BM63,$BP$9:$BP$508,$BP63,$BS$9:$BS$508,$BS63,$BU$9:$BU$508,"&lt;"&amp;$BU63)+COUNTIFS($BM$9:$BM$508,$BM63,$BP$9:$BP$508,$BP63,$BS$9:$BS$508,$BS63,$BU$9:$BU$508,$BU63,$BW$9:$BW$508,"&lt;"&amp;$BW63)+COUNTIFS($BM$9:$BM$508,$BM63,$BP$9:$BP$508,$BP63,$BS$9:$BS$508,$BS63,$BU$9:$BU$508,$BU63,$BW$9:$BW$508,$BW63,$BY$9:$BY$508,"&lt;"&amp;$BY63)+1))</f>
        <v/>
      </c>
      <c r="CA63" s="86" t="str">
        <f aca="false">IF(ISBLANK($C63),"",IF($BL63&lt;&gt;Constants!$B$4,$BL63,$BQ63-$BZ63))</f>
        <v/>
      </c>
      <c r="CB63" s="93"/>
      <c r="CC63" s="94" t="str">
        <f aca="false">IF(ISBLANK($C63),"",IF($BL63=Constants!$B$8,$AR63,""))</f>
        <v/>
      </c>
      <c r="CD63" s="94" t="str">
        <f aca="false">IF(ISBLANK($C63),"",IF($BL63&lt;&gt;Constants!$B$4,"",IF($BB63="-&gt;",2,1)))</f>
        <v/>
      </c>
      <c r="CE63" s="95" t="str">
        <f aca="false">IF(ISBLANK($C63),"",IF($BL63&lt;&gt;Constants!$B$4,"",IF($BB63="-&gt;",$BE63,$AU63)))</f>
        <v/>
      </c>
      <c r="CF63" s="95" t="str">
        <f aca="false">IF(ISBLANK($C63),"",IF($BL63&lt;&gt;Constants!$B$4,"",IF($BB63="-&gt;",$BF63,$AV63)))</f>
        <v/>
      </c>
      <c r="CG63" s="95" t="str">
        <f aca="false">IF(ISBLANK($C63),"",IF($BL63&lt;&gt;Constants!$B$4,"",IF($BB63="-&gt;",$BG63,$AW63)))</f>
        <v/>
      </c>
      <c r="CH63" s="95" t="str">
        <f aca="false">IF(ISBLANK($C63),"",IF($BL63&lt;&gt;Constants!$B$4,"",IF($BB63="-&gt;",$BH63,$AX63)))</f>
        <v/>
      </c>
      <c r="CI63" s="96" t="str">
        <f aca="false">IF(ISBLANK($C63),"",$BO63)</f>
        <v/>
      </c>
      <c r="CJ63" s="97" t="str">
        <f aca="false">IF(ISBLANK($C63),"",$BM63)</f>
        <v/>
      </c>
      <c r="CK63" s="98" t="str">
        <f aca="false">IF(ISBLANK($C63),"",$CA63)</f>
        <v/>
      </c>
      <c r="CL63" s="98" t="str">
        <f aca="false">IF(ISBLANK($C63),"",$BZ63)</f>
        <v/>
      </c>
      <c r="CM63" s="99" t="str">
        <f aca="false">IF(ISBLANK($C63),"",IF($CL63=Constants!$B$7,COUNTA($C$9:$C$508)+2,IF($CL63=Constants!$B$6,COUNTA($C$9:$C$508)+1,IF($CL63=Constants!$B$5,COUNTA($C$9:$C$508),$CL63))))</f>
        <v/>
      </c>
      <c r="CN63" s="8"/>
      <c r="CO63" s="100" t="n">
        <f aca="false">IF(OR(ISNUMBER($CL63),$CL63=Constants!$B$7,$CL63=Constants!$B$5,$CL63=Constants!$B$6),1,0)</f>
        <v>0</v>
      </c>
      <c r="CP63" s="100" t="n">
        <v>55</v>
      </c>
      <c r="CQ63" s="100" t="str">
        <f aca="false">IF(ISBLANK($C63),"",IF(ISNUMBER($CM63),$CM63+ROW($B63)/1000,""))</f>
        <v/>
      </c>
      <c r="CR63" s="100" t="str">
        <f aca="false">IF(ISNUMBER($CQ63),RANK($CQ63,$CQ$9:$CQ$508,1),"")</f>
        <v/>
      </c>
      <c r="CS63" s="100" t="str">
        <f aca="false">IF(ISBLANK($C63),"",$B63)</f>
        <v/>
      </c>
      <c r="CT63" s="100" t="str">
        <f aca="false">IF(ISBLANK($C63),"",$C63)</f>
        <v/>
      </c>
      <c r="CU63" s="100" t="str">
        <f aca="false">IF(ISBLANK($C63),"",$D63)</f>
        <v/>
      </c>
      <c r="CV63" s="101" t="str">
        <f aca="false">$CJ63</f>
        <v/>
      </c>
      <c r="CW63" s="102" t="str">
        <f aca="false">$CI63</f>
        <v/>
      </c>
      <c r="CX63" s="100" t="str">
        <f aca="false">IF(ISBLANK($C63),"",$CL63)</f>
        <v/>
      </c>
      <c r="CY63" s="103" t="str">
        <f aca="false">IF($CP63&gt;$CO$8,"",VLOOKUP($CP63,$CR$9:$CX$508,7,FALSE()))</f>
        <v/>
      </c>
      <c r="CZ63" s="104" t="str">
        <f aca="false">IF($CP63&gt;$CO$8,"",VLOOKUP($CP63,$CR$9:$CX$508,2,FALSE()))</f>
        <v/>
      </c>
      <c r="DA63" s="104" t="str">
        <f aca="false">IF($CP63&gt;$CO$8,"",VLOOKUP($CP63,$CR$9:$CX$508,3,FALSE()))</f>
        <v/>
      </c>
      <c r="DB63" s="104" t="str">
        <f aca="false">IF($CP63&gt;$CO$8,"",VLOOKUP($CP63,$CR$9:$CX$508,4,FALSE()))</f>
        <v/>
      </c>
      <c r="DC63" s="104" t="str">
        <f aca="false">IF($CP63&gt;$CO$8,"",VLOOKUP($CP63,$CR$9:$CX$508,5,FALSE()))</f>
        <v/>
      </c>
      <c r="DD63" s="105" t="str">
        <f aca="false">IF($CP63&gt;$CO$8,"",VLOOKUP($CP63,$CR$9:$CX$508,6,FALSE()))</f>
        <v/>
      </c>
      <c r="DE63" s="70"/>
    </row>
    <row r="64" customFormat="false" ht="15.75" hidden="false" customHeight="false" outlineLevel="0" collapsed="false">
      <c r="A64" s="8"/>
      <c r="B64" s="72"/>
      <c r="C64" s="73"/>
      <c r="D64" s="155"/>
      <c r="E64" s="162"/>
      <c r="F64" s="157"/>
      <c r="G64" s="77"/>
      <c r="H64" s="77"/>
      <c r="I64" s="77"/>
      <c r="J64" s="163"/>
      <c r="K64" s="161"/>
      <c r="L64" s="161"/>
      <c r="M64" s="80"/>
      <c r="N64" s="161"/>
      <c r="O64" s="160"/>
      <c r="P64" s="161"/>
      <c r="Q64" s="161"/>
      <c r="R64" s="161"/>
      <c r="S64" s="77"/>
      <c r="T64" s="161"/>
      <c r="U64" s="160"/>
      <c r="V64" s="161"/>
      <c r="W64" s="85"/>
      <c r="X64" s="86" t="str">
        <f aca="false">IF(ISBLANK($C64),"",IF($E64=Constants!$B$2,TRUE(),IF($E64=Constants!$B$3,FALSE(),TRUE())))</f>
        <v/>
      </c>
      <c r="Y64" s="86" t="str">
        <f aca="false">IF(ISBLANK($C64),"",IF($F64=Constants!$B$2,TRUE(),IF($F64=Constants!$B$3,FALSE(),TRUE())))</f>
        <v/>
      </c>
      <c r="Z64" s="87" t="str">
        <f aca="false">IF(ISBLANK($C64),"",IF(ISNUMBER($G64),IF($G64&gt;=0,$G64,""),""))</f>
        <v/>
      </c>
      <c r="AA64" s="87" t="str">
        <f aca="false">IF(ISBLANK($C64),"",IF(ISNUMBER($H64),IF($H64&gt;=0,$H64,""),""))</f>
        <v/>
      </c>
      <c r="AB64" s="87" t="str">
        <f aca="false">IF(ISBLANK($C64),"",IF(ISNUMBER($I64),IF($I64&gt;=0,$I64,""),""))</f>
        <v/>
      </c>
      <c r="AC64" s="86" t="str">
        <f aca="false">IF(ISBLANK($C64),"",IF($J64=Constants!$B$2,TRUE(),IF($J64=Constants!$B$3,FALSE(),TRUE())))</f>
        <v/>
      </c>
      <c r="AD64" s="86" t="str">
        <f aca="false">IF(ISBLANK($C64),"",IF($K64=Constants!$B$2,TRUE(),IF($K64=Constants!$B$3,FALSE(),TRUE())))</f>
        <v/>
      </c>
      <c r="AE64" s="86" t="str">
        <f aca="false">IF(ISBLANK($C64),"",IF($L64=Constants!$B$2,TRUE(),IF($L64=Constants!$B$3,FALSE(),TRUE())))</f>
        <v/>
      </c>
      <c r="AF64" s="88" t="str">
        <f aca="false">IF(ISBLANK($C64),"",IF(ISNUMBER($M64),IF($M64&gt;=0,$M64,""),""))</f>
        <v/>
      </c>
      <c r="AG64" s="86" t="str">
        <f aca="false">IF(ISBLANK($C64),"",IF(ISBLANK($N64),0,IF(ISNUMBER($N64),IF(AND($N64&gt;=0,$N64&lt;=Constants!$B$17,$N64=INT($N64)),$N64,""),"")))</f>
        <v/>
      </c>
      <c r="AH64" s="87" t="str">
        <f aca="false">IF(ISBLANK($C64),"",IF(ISBLANK($O64),0,IF(ISNUMBER($O64),IF($O64&gt;=0,$O64,""),"")))</f>
        <v/>
      </c>
      <c r="AI64" s="86" t="str">
        <f aca="false">IF(ISBLANK($C64),"",IF($P64=Constants!$B$2,TRUE(),IF($P64=Constants!$B$3,FALSE(),TRUE())))</f>
        <v/>
      </c>
      <c r="AJ64" s="86" t="str">
        <f aca="false">IF(ISBLANK($C64),"",IF($Q64=Constants!$B$2,TRUE(),IF($Q64=Constants!$B$3,FALSE(),TRUE())))</f>
        <v/>
      </c>
      <c r="AK64" s="86" t="str">
        <f aca="false">IF(ISBLANK($C64),"",IF($R64=Constants!$B$2,TRUE(),IF($R64=Constants!$B$3,FALSE(),TRUE())))</f>
        <v/>
      </c>
      <c r="AL64" s="88" t="str">
        <f aca="false">IF(ISBLANK($C64),"",IF(ISNUMBER($S64),IF($S64&gt;=0,$S64,""),""))</f>
        <v/>
      </c>
      <c r="AM64" s="86" t="str">
        <f aca="false">IF(ISBLANK($C64),"",IF(ISBLANK($T64),0,IF(ISNUMBER($T64),IF(AND($T64&gt;=0,$T64&lt;=Constants!$B$17,$T64=INT($T64)),$T64,""),"")))</f>
        <v/>
      </c>
      <c r="AN64" s="87" t="str">
        <f aca="false">IF(ISBLANK($C64),"",IF(ISBLANK($U64),0,IF(ISNUMBER($U64),IF($U64&gt;=0,$U64,""),"")))</f>
        <v/>
      </c>
      <c r="AO64" s="86" t="str">
        <f aca="false">IF(ISBLANK($C64),"",IF($V64=Constants!$B$2,TRUE(),IF($V64=Constants!$B$3,FALSE(),FALSE())))</f>
        <v/>
      </c>
      <c r="AP64" s="86"/>
      <c r="AQ64" s="85" t="str">
        <f aca="false">IF(ISBLANK($C64),"",AND($Y64,OR($AS64,$BC64),OR($Z64="",$AA64="",$AB64="")))</f>
        <v/>
      </c>
      <c r="AR64" s="85" t="str">
        <f aca="false">IF(ISBLANK($C64),"",IF(OR(NOT($Y64),NOT(OR($AS64,$BC64))),"",IF(ISBLANK($D$7),$AR$5,IF($AP$9="",$AR$6,""))))</f>
        <v/>
      </c>
      <c r="AS64" s="85" t="str">
        <f aca="false">IF(ISBLANK($C64),"",COUNTA($J64:$O64)&gt;0)</f>
        <v/>
      </c>
      <c r="AT64" s="85" t="str">
        <f aca="false">IF(ISBLANK($C64),"",AND($AS64,OR(AND($AF64="",OR($AE64,NOT(ISBLANK($M64)))),$AG64="",$AH64="")))</f>
        <v/>
      </c>
      <c r="AU64" s="87" t="str">
        <f aca="false">IF($BL64&lt;&gt;Constants!$B$4,"",IF(NOT($AS64),"",ROUND((Constants!$B$12-$AB64)+(Constants!$B$13-$Z64)+(Constants!$B$14-$AA64),1)))</f>
        <v/>
      </c>
      <c r="AV64" s="90" t="str">
        <f aca="false">IF($BL64&lt;&gt;Constants!$B$4,"",IF(NOT($AS64),"",IF(NOT($AE64),0,Constants!$B$15*(INT(ROUND(MIN($AF64,$AP$9),6))-INT(ROUND(MAX(0,MIN($AF64,2*$AP$9)-$AP$9),6))))))</f>
        <v/>
      </c>
      <c r="AW64" s="90" t="str">
        <f aca="false">IF($BL64&lt;&gt;Constants!$B$4,"",IF(NOT($AS64),"",Constants!$B$16*$AG64))</f>
        <v/>
      </c>
      <c r="AX64" s="90" t="str">
        <f aca="false">IF($BL64&lt;&gt;Constants!$B$4,"",IF(NOT($AS64),"",Constants!$B$18*INT(ROUND($AH64,6))))</f>
        <v/>
      </c>
      <c r="AY64" s="85" t="str">
        <f aca="false">IF($BL64&lt;&gt;Constants!$B$4,"",IF(NOT($AS64),"",IF(NOT($X64),Constants!$B$11,IF(OR(NOT($AC64),NOT($AD64),ROUND($AB64,1)&gt;Constants!$B$12,ROUND($Z64,1)&gt;Constants!$B$13,ROUND($AA64,1)&gt;Constants!$B$14),Constants!$B$10,Constants!$B$9))))</f>
        <v/>
      </c>
      <c r="AZ64" s="91" t="str">
        <f aca="false">IF($BL64&lt;&gt;Constants!$B$4,"",IF(NOT($AS64),"",ROUND($AU64+$AV64+$AW64+$AX64,1)))</f>
        <v/>
      </c>
      <c r="BA64" s="92" t="str">
        <f aca="false">IF($BL64&lt;&gt;Constants!$B$4,"",IF(NOT($AS64),"",IF(ISNUMBER($AF64),$AF64,0)))</f>
        <v/>
      </c>
      <c r="BB64" s="86" t="str">
        <f aca="false">IF($BL64&lt;&gt;Constants!$B$4,"",IF(NOT($BC64),"&lt;-",IF(NOT($AS64),"-&gt;",IF(OR($BI64&lt;$AY64,AND($BI64=$AY64,OR($BJ64&gt;$AZ64,AND($BJ64=$AZ64,OR($BH64&gt;$AX64,AND($BH64=$AX64,OR($BE64&gt;$AU64,AND($BE64=$AU64,OR($BF64&gt;$AV64,AND($BF64=$AV64,$BK64&gt;$BA64)))))))))),"-&gt;","&lt;-"))))</f>
        <v/>
      </c>
      <c r="BC64" s="85" t="str">
        <f aca="false">IF(ISBLANK($C64),"",COUNTA($P64:$U64)&gt;0)</f>
        <v/>
      </c>
      <c r="BD64" s="85" t="str">
        <f aca="false">IF(ISBLANK($C64),"",AND($BC64,OR(AND($AL64="",OR($AK64,NOT(ISBLANK($S64)))),$AM64="",$AN64="")))</f>
        <v/>
      </c>
      <c r="BE64" s="87" t="str">
        <f aca="false">IF($BL64&lt;&gt;Constants!$B$4,"",IF(NOT($BC64),"",ROUND((Constants!$B$12-$AB64)+(Constants!$B$13-$Z64)+(Constants!$B$14-$AA64),1)))</f>
        <v/>
      </c>
      <c r="BF64" s="90" t="str">
        <f aca="false">IF($BL64&lt;&gt;Constants!$B$4,"",IF(NOT($BC64),"",IF(NOT($AK64),0,Constants!$B$15*(INT(ROUND(MIN($AL64,$AP$9),6))-INT(ROUND(MAX(0,MIN($AL64,2*$AP$9)-$AP$9),6))))))</f>
        <v/>
      </c>
      <c r="BG64" s="90" t="str">
        <f aca="false">IF($BL64&lt;&gt;Constants!$B$4,"",IF(NOT($BC64),"",Constants!$B$16*$AM64))</f>
        <v/>
      </c>
      <c r="BH64" s="90" t="str">
        <f aca="false">IF($BL64&lt;&gt;Constants!$B$4,"",IF(NOT($BC64),"",Constants!$B$18*INT(ROUND($AN64,6))))</f>
        <v/>
      </c>
      <c r="BI64" s="85" t="str">
        <f aca="false">IF($BL64&lt;&gt;Constants!$B$4,"",IF(NOT($BC64),"",IF(NOT($X64),Constants!$B$11,IF(OR(NOT($AI64),NOT($AJ64),ROUND($AB64,1)&gt;Constants!$B$12,ROUND($Z64,1)&gt;Constants!$B$13,ROUND($AA64,1)&gt;Constants!$B$14),Constants!$B$10,Constants!$B$9))))</f>
        <v/>
      </c>
      <c r="BJ64" s="91" t="str">
        <f aca="false">IF($BL64&lt;&gt;Constants!$B$4,"",IF(NOT($BC64),"",ROUND($BE64+$BF64+$BG64+$BH64,1)))</f>
        <v/>
      </c>
      <c r="BK64" s="92" t="str">
        <f aca="false">IF($BL64&lt;&gt;Constants!$B$4,"",IF(NOT($BC64),"",IF(ISNUMBER($AL64),$AL64,0)))</f>
        <v/>
      </c>
      <c r="BL64" s="86" t="str">
        <f aca="false">IF(ISBLANK($C64),"",IF($AO64,Constants!$B$7,IF(COUNTA($E64:$V64)=0,Constants!$B$6,IF(NOT($Y64),Constants!$B$5,IF(NOT(OR($AS64,$BC64)),Constants!$B$5,IF(OR($AT64,$BD64,$AQ64,$AR64&lt;&gt;""),Constants!$B$8,Constants!$B$4))))))</f>
        <v/>
      </c>
      <c r="BM64" s="86" t="str">
        <f aca="false">IF(ISBLANK($C64),"",IF($BL64&lt;&gt;Constants!$B$4,$BL64,IF($BB64="-&gt;",$BI64,$AY64)))</f>
        <v/>
      </c>
      <c r="BN64" s="90" t="str">
        <f aca="false">IF($BL64&lt;&gt;Constants!$B$4,"",IF($BB64="-&gt;",$BJ64,$AZ64))</f>
        <v/>
      </c>
      <c r="BO64" s="90" t="str">
        <f aca="false">IF(ISBLANK($C64),"",IF($BL64&lt;&gt;Constants!$B$4,$BL64,$BN64))</f>
        <v/>
      </c>
      <c r="BP64" s="86" t="str">
        <f aca="false">IF(ISBLANK($C64),"",IF($BL64&lt;&gt;Constants!$B$4,$BL64,RANK($BO64,$BO$9:$BO$508,0)))</f>
        <v/>
      </c>
      <c r="BQ64" s="86" t="str">
        <f aca="false">IF(ISBLANK($C64),"",IF($BL64&lt;&gt;Constants!$B$4,$BL64,COUNTIFS($BM$9:$BM$508,"&lt;"&amp;$BM64)+COUNTIFS($BM$9:$BM$508,$BM64,$BP$9:$BP$508,"&lt;"&amp;$BP64)+1))</f>
        <v/>
      </c>
      <c r="BR64" s="90" t="str">
        <f aca="false">IF($BL64&lt;&gt;Constants!$B$4,"",IF($BB64="-&gt;",$BH64,$AX64))</f>
        <v/>
      </c>
      <c r="BS64" s="86" t="str">
        <f aca="false">IF(ISBLANK($C64),"",IF($BL64&lt;&gt;Constants!$B$4,$BL64,IF(ISNUMBER($BR64),RANK($BR64,$BR$9:$BR$508,0),COUNT($BR$9:$BR$508)+1)))</f>
        <v/>
      </c>
      <c r="BT64" s="90" t="str">
        <f aca="false">IF($BL64&lt;&gt;Constants!$B$4,"",IF($BB64="-&gt;",$BE64,$AU64))</f>
        <v/>
      </c>
      <c r="BU64" s="86" t="str">
        <f aca="false">IF(ISBLANK($C64),"",IF($BL64&lt;&gt;Constants!$B$4,$BL64,IF(ISNUMBER($BT64),RANK($BT64,$BT$9:$BT$508,0),COUNT($BT$9:$BT$508)+1)))</f>
        <v/>
      </c>
      <c r="BV64" s="90" t="str">
        <f aca="false">IF($BL64&lt;&gt;Constants!$B$4,"",IF($BB64="-&gt;",$BF64,$AV64))</f>
        <v/>
      </c>
      <c r="BW64" s="86" t="str">
        <f aca="false">IF(ISBLANK($C64),"",IF($BL64&lt;&gt;Constants!$B$4,$BL64,IF(ISNUMBER($BV64),RANK($BV64,$BV$9:$BV$508,0),COUNT($BV$9:$BV$508)+1)))</f>
        <v/>
      </c>
      <c r="BX64" s="90" t="str">
        <f aca="false">IF($BL64&lt;&gt;Constants!$B$4,"",IF($BB64="-&gt;",$BK64,$BA64))</f>
        <v/>
      </c>
      <c r="BY64" s="86" t="str">
        <f aca="false">IF(ISBLANK($C64),"",IF($BL64&lt;&gt;Constants!$B$4,$BL64,IF(ISNUMBER($BX64),RANK($BX64,$BX$9:$BX$508,0),COUNT($BX$9:$BX$508)+1)))</f>
        <v/>
      </c>
      <c r="BZ64" s="86" t="str">
        <f aca="false">IF(ISBLANK($C64),"",IF($BL64&lt;&gt;Constants!$B$4,$BL64,COUNTIFS($BM$9:$BM$508,"&lt;"&amp;$BM64)+COUNTIFS($BM$9:$BM$508,$BM64,$BP$9:$BP$508,"&lt;"&amp;$BP64)+COUNTIFS($BM$9:$BM$508,$BM64,$BP$9:$BP$508,$BP64,$BS$9:$BS$508,"&lt;"&amp;$BS64)+COUNTIFS($BM$9:$BM$508,$BM64,$BP$9:$BP$508,$BP64,$BS$9:$BS$508,$BS64,$BU$9:$BU$508,"&lt;"&amp;$BU64)+COUNTIFS($BM$9:$BM$508,$BM64,$BP$9:$BP$508,$BP64,$BS$9:$BS$508,$BS64,$BU$9:$BU$508,$BU64,$BW$9:$BW$508,"&lt;"&amp;$BW64)+COUNTIFS($BM$9:$BM$508,$BM64,$BP$9:$BP$508,$BP64,$BS$9:$BS$508,$BS64,$BU$9:$BU$508,$BU64,$BW$9:$BW$508,$BW64,$BY$9:$BY$508,"&lt;"&amp;$BY64)+1))</f>
        <v/>
      </c>
      <c r="CA64" s="86" t="str">
        <f aca="false">IF(ISBLANK($C64),"",IF($BL64&lt;&gt;Constants!$B$4,$BL64,$BQ64-$BZ64))</f>
        <v/>
      </c>
      <c r="CB64" s="93"/>
      <c r="CC64" s="94" t="str">
        <f aca="false">IF(ISBLANK($C64),"",IF($BL64=Constants!$B$8,$AR64,""))</f>
        <v/>
      </c>
      <c r="CD64" s="94" t="str">
        <f aca="false">IF(ISBLANK($C64),"",IF($BL64&lt;&gt;Constants!$B$4,"",IF($BB64="-&gt;",2,1)))</f>
        <v/>
      </c>
      <c r="CE64" s="95" t="str">
        <f aca="false">IF(ISBLANK($C64),"",IF($BL64&lt;&gt;Constants!$B$4,"",IF($BB64="-&gt;",$BE64,$AU64)))</f>
        <v/>
      </c>
      <c r="CF64" s="95" t="str">
        <f aca="false">IF(ISBLANK($C64),"",IF($BL64&lt;&gt;Constants!$B$4,"",IF($BB64="-&gt;",$BF64,$AV64)))</f>
        <v/>
      </c>
      <c r="CG64" s="95" t="str">
        <f aca="false">IF(ISBLANK($C64),"",IF($BL64&lt;&gt;Constants!$B$4,"",IF($BB64="-&gt;",$BG64,$AW64)))</f>
        <v/>
      </c>
      <c r="CH64" s="95" t="str">
        <f aca="false">IF(ISBLANK($C64),"",IF($BL64&lt;&gt;Constants!$B$4,"",IF($BB64="-&gt;",$BH64,$AX64)))</f>
        <v/>
      </c>
      <c r="CI64" s="96" t="str">
        <f aca="false">IF(ISBLANK($C64),"",$BO64)</f>
        <v/>
      </c>
      <c r="CJ64" s="97" t="str">
        <f aca="false">IF(ISBLANK($C64),"",$BM64)</f>
        <v/>
      </c>
      <c r="CK64" s="98" t="str">
        <f aca="false">IF(ISBLANK($C64),"",$CA64)</f>
        <v/>
      </c>
      <c r="CL64" s="98" t="str">
        <f aca="false">IF(ISBLANK($C64),"",$BZ64)</f>
        <v/>
      </c>
      <c r="CM64" s="99" t="str">
        <f aca="false">IF(ISBLANK($C64),"",IF($CL64=Constants!$B$7,COUNTA($C$9:$C$508)+2,IF($CL64=Constants!$B$6,COUNTA($C$9:$C$508)+1,IF($CL64=Constants!$B$5,COUNTA($C$9:$C$508),$CL64))))</f>
        <v/>
      </c>
      <c r="CN64" s="8"/>
      <c r="CO64" s="100" t="n">
        <f aca="false">IF(OR(ISNUMBER($CL64),$CL64=Constants!$B$7,$CL64=Constants!$B$5,$CL64=Constants!$B$6),1,0)</f>
        <v>0</v>
      </c>
      <c r="CP64" s="100" t="n">
        <v>56</v>
      </c>
      <c r="CQ64" s="100" t="str">
        <f aca="false">IF(ISBLANK($C64),"",IF(ISNUMBER($CM64),$CM64+ROW($B64)/1000,""))</f>
        <v/>
      </c>
      <c r="CR64" s="100" t="str">
        <f aca="false">IF(ISNUMBER($CQ64),RANK($CQ64,$CQ$9:$CQ$508,1),"")</f>
        <v/>
      </c>
      <c r="CS64" s="100" t="str">
        <f aca="false">IF(ISBLANK($C64),"",$B64)</f>
        <v/>
      </c>
      <c r="CT64" s="100" t="str">
        <f aca="false">IF(ISBLANK($C64),"",$C64)</f>
        <v/>
      </c>
      <c r="CU64" s="100" t="str">
        <f aca="false">IF(ISBLANK($C64),"",$D64)</f>
        <v/>
      </c>
      <c r="CV64" s="101" t="str">
        <f aca="false">$CJ64</f>
        <v/>
      </c>
      <c r="CW64" s="102" t="str">
        <f aca="false">$CI64</f>
        <v/>
      </c>
      <c r="CX64" s="100" t="str">
        <f aca="false">IF(ISBLANK($C64),"",$CL64)</f>
        <v/>
      </c>
      <c r="CY64" s="103" t="str">
        <f aca="false">IF($CP64&gt;$CO$8,"",VLOOKUP($CP64,$CR$9:$CX$508,7,FALSE()))</f>
        <v/>
      </c>
      <c r="CZ64" s="104" t="str">
        <f aca="false">IF($CP64&gt;$CO$8,"",VLOOKUP($CP64,$CR$9:$CX$508,2,FALSE()))</f>
        <v/>
      </c>
      <c r="DA64" s="104" t="str">
        <f aca="false">IF($CP64&gt;$CO$8,"",VLOOKUP($CP64,$CR$9:$CX$508,3,FALSE()))</f>
        <v/>
      </c>
      <c r="DB64" s="104" t="str">
        <f aca="false">IF($CP64&gt;$CO$8,"",VLOOKUP($CP64,$CR$9:$CX$508,4,FALSE()))</f>
        <v/>
      </c>
      <c r="DC64" s="104" t="str">
        <f aca="false">IF($CP64&gt;$CO$8,"",VLOOKUP($CP64,$CR$9:$CX$508,5,FALSE()))</f>
        <v/>
      </c>
      <c r="DD64" s="105" t="str">
        <f aca="false">IF($CP64&gt;$CO$8,"",VLOOKUP($CP64,$CR$9:$CX$508,6,FALSE()))</f>
        <v/>
      </c>
      <c r="DE64" s="70"/>
    </row>
    <row r="65" customFormat="false" ht="15.75" hidden="false" customHeight="false" outlineLevel="0" collapsed="false">
      <c r="A65" s="8"/>
      <c r="B65" s="72"/>
      <c r="C65" s="73"/>
      <c r="D65" s="155"/>
      <c r="E65" s="162"/>
      <c r="F65" s="157"/>
      <c r="G65" s="77"/>
      <c r="H65" s="77"/>
      <c r="I65" s="77"/>
      <c r="J65" s="163"/>
      <c r="K65" s="161"/>
      <c r="L65" s="161"/>
      <c r="M65" s="80"/>
      <c r="N65" s="161"/>
      <c r="O65" s="160"/>
      <c r="P65" s="161"/>
      <c r="Q65" s="161"/>
      <c r="R65" s="161"/>
      <c r="S65" s="77"/>
      <c r="T65" s="161"/>
      <c r="U65" s="160"/>
      <c r="V65" s="161"/>
      <c r="W65" s="85"/>
      <c r="X65" s="86" t="str">
        <f aca="false">IF(ISBLANK($C65),"",IF($E65=Constants!$B$2,TRUE(),IF($E65=Constants!$B$3,FALSE(),TRUE())))</f>
        <v/>
      </c>
      <c r="Y65" s="86" t="str">
        <f aca="false">IF(ISBLANK($C65),"",IF($F65=Constants!$B$2,TRUE(),IF($F65=Constants!$B$3,FALSE(),TRUE())))</f>
        <v/>
      </c>
      <c r="Z65" s="87" t="str">
        <f aca="false">IF(ISBLANK($C65),"",IF(ISNUMBER($G65),IF($G65&gt;=0,$G65,""),""))</f>
        <v/>
      </c>
      <c r="AA65" s="87" t="str">
        <f aca="false">IF(ISBLANK($C65),"",IF(ISNUMBER($H65),IF($H65&gt;=0,$H65,""),""))</f>
        <v/>
      </c>
      <c r="AB65" s="87" t="str">
        <f aca="false">IF(ISBLANK($C65),"",IF(ISNUMBER($I65),IF($I65&gt;=0,$I65,""),""))</f>
        <v/>
      </c>
      <c r="AC65" s="86" t="str">
        <f aca="false">IF(ISBLANK($C65),"",IF($J65=Constants!$B$2,TRUE(),IF($J65=Constants!$B$3,FALSE(),TRUE())))</f>
        <v/>
      </c>
      <c r="AD65" s="86" t="str">
        <f aca="false">IF(ISBLANK($C65),"",IF($K65=Constants!$B$2,TRUE(),IF($K65=Constants!$B$3,FALSE(),TRUE())))</f>
        <v/>
      </c>
      <c r="AE65" s="86" t="str">
        <f aca="false">IF(ISBLANK($C65),"",IF($L65=Constants!$B$2,TRUE(),IF($L65=Constants!$B$3,FALSE(),TRUE())))</f>
        <v/>
      </c>
      <c r="AF65" s="88" t="str">
        <f aca="false">IF(ISBLANK($C65),"",IF(ISNUMBER($M65),IF($M65&gt;=0,$M65,""),""))</f>
        <v/>
      </c>
      <c r="AG65" s="86" t="str">
        <f aca="false">IF(ISBLANK($C65),"",IF(ISBLANK($N65),0,IF(ISNUMBER($N65),IF(AND($N65&gt;=0,$N65&lt;=Constants!$B$17,$N65=INT($N65)),$N65,""),"")))</f>
        <v/>
      </c>
      <c r="AH65" s="87" t="str">
        <f aca="false">IF(ISBLANK($C65),"",IF(ISBLANK($O65),0,IF(ISNUMBER($O65),IF($O65&gt;=0,$O65,""),"")))</f>
        <v/>
      </c>
      <c r="AI65" s="86" t="str">
        <f aca="false">IF(ISBLANK($C65),"",IF($P65=Constants!$B$2,TRUE(),IF($P65=Constants!$B$3,FALSE(),TRUE())))</f>
        <v/>
      </c>
      <c r="AJ65" s="86" t="str">
        <f aca="false">IF(ISBLANK($C65),"",IF($Q65=Constants!$B$2,TRUE(),IF($Q65=Constants!$B$3,FALSE(),TRUE())))</f>
        <v/>
      </c>
      <c r="AK65" s="86" t="str">
        <f aca="false">IF(ISBLANK($C65),"",IF($R65=Constants!$B$2,TRUE(),IF($R65=Constants!$B$3,FALSE(),TRUE())))</f>
        <v/>
      </c>
      <c r="AL65" s="88" t="str">
        <f aca="false">IF(ISBLANK($C65),"",IF(ISNUMBER($S65),IF($S65&gt;=0,$S65,""),""))</f>
        <v/>
      </c>
      <c r="AM65" s="86" t="str">
        <f aca="false">IF(ISBLANK($C65),"",IF(ISBLANK($T65),0,IF(ISNUMBER($T65),IF(AND($T65&gt;=0,$T65&lt;=Constants!$B$17,$T65=INT($T65)),$T65,""),"")))</f>
        <v/>
      </c>
      <c r="AN65" s="87" t="str">
        <f aca="false">IF(ISBLANK($C65),"",IF(ISBLANK($U65),0,IF(ISNUMBER($U65),IF($U65&gt;=0,$U65,""),"")))</f>
        <v/>
      </c>
      <c r="AO65" s="86" t="str">
        <f aca="false">IF(ISBLANK($C65),"",IF($V65=Constants!$B$2,TRUE(),IF($V65=Constants!$B$3,FALSE(),FALSE())))</f>
        <v/>
      </c>
      <c r="AP65" s="86"/>
      <c r="AQ65" s="85" t="str">
        <f aca="false">IF(ISBLANK($C65),"",AND($Y65,OR($AS65,$BC65),OR($Z65="",$AA65="",$AB65="")))</f>
        <v/>
      </c>
      <c r="AR65" s="85" t="str">
        <f aca="false">IF(ISBLANK($C65),"",IF(OR(NOT($Y65),NOT(OR($AS65,$BC65))),"",IF(ISBLANK($D$7),$AR$5,IF($AP$9="",$AR$6,""))))</f>
        <v/>
      </c>
      <c r="AS65" s="85" t="str">
        <f aca="false">IF(ISBLANK($C65),"",COUNTA($J65:$O65)&gt;0)</f>
        <v/>
      </c>
      <c r="AT65" s="85" t="str">
        <f aca="false">IF(ISBLANK($C65),"",AND($AS65,OR(AND($AF65="",OR($AE65,NOT(ISBLANK($M65)))),$AG65="",$AH65="")))</f>
        <v/>
      </c>
      <c r="AU65" s="87" t="str">
        <f aca="false">IF($BL65&lt;&gt;Constants!$B$4,"",IF(NOT($AS65),"",ROUND((Constants!$B$12-$AB65)+(Constants!$B$13-$Z65)+(Constants!$B$14-$AA65),1)))</f>
        <v/>
      </c>
      <c r="AV65" s="90" t="str">
        <f aca="false">IF($BL65&lt;&gt;Constants!$B$4,"",IF(NOT($AS65),"",IF(NOT($AE65),0,Constants!$B$15*(INT(ROUND(MIN($AF65,$AP$9),6))-INT(ROUND(MAX(0,MIN($AF65,2*$AP$9)-$AP$9),6))))))</f>
        <v/>
      </c>
      <c r="AW65" s="90" t="str">
        <f aca="false">IF($BL65&lt;&gt;Constants!$B$4,"",IF(NOT($AS65),"",Constants!$B$16*$AG65))</f>
        <v/>
      </c>
      <c r="AX65" s="90" t="str">
        <f aca="false">IF($BL65&lt;&gt;Constants!$B$4,"",IF(NOT($AS65),"",Constants!$B$18*INT(ROUND($AH65,6))))</f>
        <v/>
      </c>
      <c r="AY65" s="85" t="str">
        <f aca="false">IF($BL65&lt;&gt;Constants!$B$4,"",IF(NOT($AS65),"",IF(NOT($X65),Constants!$B$11,IF(OR(NOT($AC65),NOT($AD65),ROUND($AB65,1)&gt;Constants!$B$12,ROUND($Z65,1)&gt;Constants!$B$13,ROUND($AA65,1)&gt;Constants!$B$14),Constants!$B$10,Constants!$B$9))))</f>
        <v/>
      </c>
      <c r="AZ65" s="91" t="str">
        <f aca="false">IF($BL65&lt;&gt;Constants!$B$4,"",IF(NOT($AS65),"",ROUND($AU65+$AV65+$AW65+$AX65,1)))</f>
        <v/>
      </c>
      <c r="BA65" s="92" t="str">
        <f aca="false">IF($BL65&lt;&gt;Constants!$B$4,"",IF(NOT($AS65),"",IF(ISNUMBER($AF65),$AF65,0)))</f>
        <v/>
      </c>
      <c r="BB65" s="86" t="str">
        <f aca="false">IF($BL65&lt;&gt;Constants!$B$4,"",IF(NOT($BC65),"&lt;-",IF(NOT($AS65),"-&gt;",IF(OR($BI65&lt;$AY65,AND($BI65=$AY65,OR($BJ65&gt;$AZ65,AND($BJ65=$AZ65,OR($BH65&gt;$AX65,AND($BH65=$AX65,OR($BE65&gt;$AU65,AND($BE65=$AU65,OR($BF65&gt;$AV65,AND($BF65=$AV65,$BK65&gt;$BA65)))))))))),"-&gt;","&lt;-"))))</f>
        <v/>
      </c>
      <c r="BC65" s="85" t="str">
        <f aca="false">IF(ISBLANK($C65),"",COUNTA($P65:$U65)&gt;0)</f>
        <v/>
      </c>
      <c r="BD65" s="85" t="str">
        <f aca="false">IF(ISBLANK($C65),"",AND($BC65,OR(AND($AL65="",OR($AK65,NOT(ISBLANK($S65)))),$AM65="",$AN65="")))</f>
        <v/>
      </c>
      <c r="BE65" s="87" t="str">
        <f aca="false">IF($BL65&lt;&gt;Constants!$B$4,"",IF(NOT($BC65),"",ROUND((Constants!$B$12-$AB65)+(Constants!$B$13-$Z65)+(Constants!$B$14-$AA65),1)))</f>
        <v/>
      </c>
      <c r="BF65" s="90" t="str">
        <f aca="false">IF($BL65&lt;&gt;Constants!$B$4,"",IF(NOT($BC65),"",IF(NOT($AK65),0,Constants!$B$15*(INT(ROUND(MIN($AL65,$AP$9),6))-INT(ROUND(MAX(0,MIN($AL65,2*$AP$9)-$AP$9),6))))))</f>
        <v/>
      </c>
      <c r="BG65" s="90" t="str">
        <f aca="false">IF($BL65&lt;&gt;Constants!$B$4,"",IF(NOT($BC65),"",Constants!$B$16*$AM65))</f>
        <v/>
      </c>
      <c r="BH65" s="90" t="str">
        <f aca="false">IF($BL65&lt;&gt;Constants!$B$4,"",IF(NOT($BC65),"",Constants!$B$18*INT(ROUND($AN65,6))))</f>
        <v/>
      </c>
      <c r="BI65" s="85" t="str">
        <f aca="false">IF($BL65&lt;&gt;Constants!$B$4,"",IF(NOT($BC65),"",IF(NOT($X65),Constants!$B$11,IF(OR(NOT($AI65),NOT($AJ65),ROUND($AB65,1)&gt;Constants!$B$12,ROUND($Z65,1)&gt;Constants!$B$13,ROUND($AA65,1)&gt;Constants!$B$14),Constants!$B$10,Constants!$B$9))))</f>
        <v/>
      </c>
      <c r="BJ65" s="91" t="str">
        <f aca="false">IF($BL65&lt;&gt;Constants!$B$4,"",IF(NOT($BC65),"",ROUND($BE65+$BF65+$BG65+$BH65,1)))</f>
        <v/>
      </c>
      <c r="BK65" s="92" t="str">
        <f aca="false">IF($BL65&lt;&gt;Constants!$B$4,"",IF(NOT($BC65),"",IF(ISNUMBER($AL65),$AL65,0)))</f>
        <v/>
      </c>
      <c r="BL65" s="86" t="str">
        <f aca="false">IF(ISBLANK($C65),"",IF($AO65,Constants!$B$7,IF(COUNTA($E65:$V65)=0,Constants!$B$6,IF(NOT($Y65),Constants!$B$5,IF(NOT(OR($AS65,$BC65)),Constants!$B$5,IF(OR($AT65,$BD65,$AQ65,$AR65&lt;&gt;""),Constants!$B$8,Constants!$B$4))))))</f>
        <v/>
      </c>
      <c r="BM65" s="86" t="str">
        <f aca="false">IF(ISBLANK($C65),"",IF($BL65&lt;&gt;Constants!$B$4,$BL65,IF($BB65="-&gt;",$BI65,$AY65)))</f>
        <v/>
      </c>
      <c r="BN65" s="90" t="str">
        <f aca="false">IF($BL65&lt;&gt;Constants!$B$4,"",IF($BB65="-&gt;",$BJ65,$AZ65))</f>
        <v/>
      </c>
      <c r="BO65" s="90" t="str">
        <f aca="false">IF(ISBLANK($C65),"",IF($BL65&lt;&gt;Constants!$B$4,$BL65,$BN65))</f>
        <v/>
      </c>
      <c r="BP65" s="86" t="str">
        <f aca="false">IF(ISBLANK($C65),"",IF($BL65&lt;&gt;Constants!$B$4,$BL65,RANK($BO65,$BO$9:$BO$508,0)))</f>
        <v/>
      </c>
      <c r="BQ65" s="86" t="str">
        <f aca="false">IF(ISBLANK($C65),"",IF($BL65&lt;&gt;Constants!$B$4,$BL65,COUNTIFS($BM$9:$BM$508,"&lt;"&amp;$BM65)+COUNTIFS($BM$9:$BM$508,$BM65,$BP$9:$BP$508,"&lt;"&amp;$BP65)+1))</f>
        <v/>
      </c>
      <c r="BR65" s="90" t="str">
        <f aca="false">IF($BL65&lt;&gt;Constants!$B$4,"",IF($BB65="-&gt;",$BH65,$AX65))</f>
        <v/>
      </c>
      <c r="BS65" s="86" t="str">
        <f aca="false">IF(ISBLANK($C65),"",IF($BL65&lt;&gt;Constants!$B$4,$BL65,IF(ISNUMBER($BR65),RANK($BR65,$BR$9:$BR$508,0),COUNT($BR$9:$BR$508)+1)))</f>
        <v/>
      </c>
      <c r="BT65" s="90" t="str">
        <f aca="false">IF($BL65&lt;&gt;Constants!$B$4,"",IF($BB65="-&gt;",$BE65,$AU65))</f>
        <v/>
      </c>
      <c r="BU65" s="86" t="str">
        <f aca="false">IF(ISBLANK($C65),"",IF($BL65&lt;&gt;Constants!$B$4,$BL65,IF(ISNUMBER($BT65),RANK($BT65,$BT$9:$BT$508,0),COUNT($BT$9:$BT$508)+1)))</f>
        <v/>
      </c>
      <c r="BV65" s="90" t="str">
        <f aca="false">IF($BL65&lt;&gt;Constants!$B$4,"",IF($BB65="-&gt;",$BF65,$AV65))</f>
        <v/>
      </c>
      <c r="BW65" s="86" t="str">
        <f aca="false">IF(ISBLANK($C65),"",IF($BL65&lt;&gt;Constants!$B$4,$BL65,IF(ISNUMBER($BV65),RANK($BV65,$BV$9:$BV$508,0),COUNT($BV$9:$BV$508)+1)))</f>
        <v/>
      </c>
      <c r="BX65" s="90" t="str">
        <f aca="false">IF($BL65&lt;&gt;Constants!$B$4,"",IF($BB65="-&gt;",$BK65,$BA65))</f>
        <v/>
      </c>
      <c r="BY65" s="86" t="str">
        <f aca="false">IF(ISBLANK($C65),"",IF($BL65&lt;&gt;Constants!$B$4,$BL65,IF(ISNUMBER($BX65),RANK($BX65,$BX$9:$BX$508,0),COUNT($BX$9:$BX$508)+1)))</f>
        <v/>
      </c>
      <c r="BZ65" s="86" t="str">
        <f aca="false">IF(ISBLANK($C65),"",IF($BL65&lt;&gt;Constants!$B$4,$BL65,COUNTIFS($BM$9:$BM$508,"&lt;"&amp;$BM65)+COUNTIFS($BM$9:$BM$508,$BM65,$BP$9:$BP$508,"&lt;"&amp;$BP65)+COUNTIFS($BM$9:$BM$508,$BM65,$BP$9:$BP$508,$BP65,$BS$9:$BS$508,"&lt;"&amp;$BS65)+COUNTIFS($BM$9:$BM$508,$BM65,$BP$9:$BP$508,$BP65,$BS$9:$BS$508,$BS65,$BU$9:$BU$508,"&lt;"&amp;$BU65)+COUNTIFS($BM$9:$BM$508,$BM65,$BP$9:$BP$508,$BP65,$BS$9:$BS$508,$BS65,$BU$9:$BU$508,$BU65,$BW$9:$BW$508,"&lt;"&amp;$BW65)+COUNTIFS($BM$9:$BM$508,$BM65,$BP$9:$BP$508,$BP65,$BS$9:$BS$508,$BS65,$BU$9:$BU$508,$BU65,$BW$9:$BW$508,$BW65,$BY$9:$BY$508,"&lt;"&amp;$BY65)+1))</f>
        <v/>
      </c>
      <c r="CA65" s="86" t="str">
        <f aca="false">IF(ISBLANK($C65),"",IF($BL65&lt;&gt;Constants!$B$4,$BL65,$BQ65-$BZ65))</f>
        <v/>
      </c>
      <c r="CB65" s="93"/>
      <c r="CC65" s="94" t="str">
        <f aca="false">IF(ISBLANK($C65),"",IF($BL65=Constants!$B$8,$AR65,""))</f>
        <v/>
      </c>
      <c r="CD65" s="94" t="str">
        <f aca="false">IF(ISBLANK($C65),"",IF($BL65&lt;&gt;Constants!$B$4,"",IF($BB65="-&gt;",2,1)))</f>
        <v/>
      </c>
      <c r="CE65" s="95" t="str">
        <f aca="false">IF(ISBLANK($C65),"",IF($BL65&lt;&gt;Constants!$B$4,"",IF($BB65="-&gt;",$BE65,$AU65)))</f>
        <v/>
      </c>
      <c r="CF65" s="95" t="str">
        <f aca="false">IF(ISBLANK($C65),"",IF($BL65&lt;&gt;Constants!$B$4,"",IF($BB65="-&gt;",$BF65,$AV65)))</f>
        <v/>
      </c>
      <c r="CG65" s="95" t="str">
        <f aca="false">IF(ISBLANK($C65),"",IF($BL65&lt;&gt;Constants!$B$4,"",IF($BB65="-&gt;",$BG65,$AW65)))</f>
        <v/>
      </c>
      <c r="CH65" s="95" t="str">
        <f aca="false">IF(ISBLANK($C65),"",IF($BL65&lt;&gt;Constants!$B$4,"",IF($BB65="-&gt;",$BH65,$AX65)))</f>
        <v/>
      </c>
      <c r="CI65" s="96" t="str">
        <f aca="false">IF(ISBLANK($C65),"",$BO65)</f>
        <v/>
      </c>
      <c r="CJ65" s="97" t="str">
        <f aca="false">IF(ISBLANK($C65),"",$BM65)</f>
        <v/>
      </c>
      <c r="CK65" s="98" t="str">
        <f aca="false">IF(ISBLANK($C65),"",$CA65)</f>
        <v/>
      </c>
      <c r="CL65" s="98" t="str">
        <f aca="false">IF(ISBLANK($C65),"",$BZ65)</f>
        <v/>
      </c>
      <c r="CM65" s="99" t="str">
        <f aca="false">IF(ISBLANK($C65),"",IF($CL65=Constants!$B$7,COUNTA($C$9:$C$508)+2,IF($CL65=Constants!$B$6,COUNTA($C$9:$C$508)+1,IF($CL65=Constants!$B$5,COUNTA($C$9:$C$508),$CL65))))</f>
        <v/>
      </c>
      <c r="CN65" s="8"/>
      <c r="CO65" s="100" t="n">
        <f aca="false">IF(OR(ISNUMBER($CL65),$CL65=Constants!$B$7,$CL65=Constants!$B$5,$CL65=Constants!$B$6),1,0)</f>
        <v>0</v>
      </c>
      <c r="CP65" s="100" t="n">
        <v>57</v>
      </c>
      <c r="CQ65" s="100" t="str">
        <f aca="false">IF(ISBLANK($C65),"",IF(ISNUMBER($CM65),$CM65+ROW($B65)/1000,""))</f>
        <v/>
      </c>
      <c r="CR65" s="100" t="str">
        <f aca="false">IF(ISNUMBER($CQ65),RANK($CQ65,$CQ$9:$CQ$508,1),"")</f>
        <v/>
      </c>
      <c r="CS65" s="100" t="str">
        <f aca="false">IF(ISBLANK($C65),"",$B65)</f>
        <v/>
      </c>
      <c r="CT65" s="100" t="str">
        <f aca="false">IF(ISBLANK($C65),"",$C65)</f>
        <v/>
      </c>
      <c r="CU65" s="100" t="str">
        <f aca="false">IF(ISBLANK($C65),"",$D65)</f>
        <v/>
      </c>
      <c r="CV65" s="101" t="str">
        <f aca="false">$CJ65</f>
        <v/>
      </c>
      <c r="CW65" s="102" t="str">
        <f aca="false">$CI65</f>
        <v/>
      </c>
      <c r="CX65" s="100" t="str">
        <f aca="false">IF(ISBLANK($C65),"",$CL65)</f>
        <v/>
      </c>
      <c r="CY65" s="103" t="str">
        <f aca="false">IF($CP65&gt;$CO$8,"",VLOOKUP($CP65,$CR$9:$CX$508,7,FALSE()))</f>
        <v/>
      </c>
      <c r="CZ65" s="104" t="str">
        <f aca="false">IF($CP65&gt;$CO$8,"",VLOOKUP($CP65,$CR$9:$CX$508,2,FALSE()))</f>
        <v/>
      </c>
      <c r="DA65" s="104" t="str">
        <f aca="false">IF($CP65&gt;$CO$8,"",VLOOKUP($CP65,$CR$9:$CX$508,3,FALSE()))</f>
        <v/>
      </c>
      <c r="DB65" s="104" t="str">
        <f aca="false">IF($CP65&gt;$CO$8,"",VLOOKUP($CP65,$CR$9:$CX$508,4,FALSE()))</f>
        <v/>
      </c>
      <c r="DC65" s="104" t="str">
        <f aca="false">IF($CP65&gt;$CO$8,"",VLOOKUP($CP65,$CR$9:$CX$508,5,FALSE()))</f>
        <v/>
      </c>
      <c r="DD65" s="105" t="str">
        <f aca="false">IF($CP65&gt;$CO$8,"",VLOOKUP($CP65,$CR$9:$CX$508,6,FALSE()))</f>
        <v/>
      </c>
      <c r="DE65" s="70"/>
    </row>
    <row r="66" customFormat="false" ht="15.75" hidden="false" customHeight="false" outlineLevel="0" collapsed="false">
      <c r="A66" s="8"/>
      <c r="B66" s="146"/>
      <c r="C66" s="147"/>
      <c r="D66" s="148"/>
      <c r="E66" s="164"/>
      <c r="F66" s="150"/>
      <c r="G66" s="115"/>
      <c r="H66" s="115"/>
      <c r="I66" s="115"/>
      <c r="J66" s="165"/>
      <c r="K66" s="154"/>
      <c r="L66" s="154"/>
      <c r="M66" s="118"/>
      <c r="N66" s="154"/>
      <c r="O66" s="153"/>
      <c r="P66" s="154"/>
      <c r="Q66" s="154"/>
      <c r="R66" s="154"/>
      <c r="S66" s="115"/>
      <c r="T66" s="154"/>
      <c r="U66" s="153"/>
      <c r="V66" s="154"/>
      <c r="W66" s="123"/>
      <c r="X66" s="124" t="str">
        <f aca="false">IF(ISBLANK($C66),"",IF($E66=Constants!$B$2,TRUE(),IF($E66=Constants!$B$3,FALSE(),TRUE())))</f>
        <v/>
      </c>
      <c r="Y66" s="124" t="str">
        <f aca="false">IF(ISBLANK($C66),"",IF($F66=Constants!$B$2,TRUE(),IF($F66=Constants!$B$3,FALSE(),TRUE())))</f>
        <v/>
      </c>
      <c r="Z66" s="125" t="str">
        <f aca="false">IF(ISBLANK($C66),"",IF(ISNUMBER($G66),IF($G66&gt;=0,$G66,""),""))</f>
        <v/>
      </c>
      <c r="AA66" s="125" t="str">
        <f aca="false">IF(ISBLANK($C66),"",IF(ISNUMBER($H66),IF($H66&gt;=0,$H66,""),""))</f>
        <v/>
      </c>
      <c r="AB66" s="125" t="str">
        <f aca="false">IF(ISBLANK($C66),"",IF(ISNUMBER($I66),IF($I66&gt;=0,$I66,""),""))</f>
        <v/>
      </c>
      <c r="AC66" s="124" t="str">
        <f aca="false">IF(ISBLANK($C66),"",IF($J66=Constants!$B$2,TRUE(),IF($J66=Constants!$B$3,FALSE(),TRUE())))</f>
        <v/>
      </c>
      <c r="AD66" s="124" t="str">
        <f aca="false">IF(ISBLANK($C66),"",IF($K66=Constants!$B$2,TRUE(),IF($K66=Constants!$B$3,FALSE(),TRUE())))</f>
        <v/>
      </c>
      <c r="AE66" s="124" t="str">
        <f aca="false">IF(ISBLANK($C66),"",IF($L66=Constants!$B$2,TRUE(),IF($L66=Constants!$B$3,FALSE(),TRUE())))</f>
        <v/>
      </c>
      <c r="AF66" s="126" t="str">
        <f aca="false">IF(ISBLANK($C66),"",IF(ISNUMBER($M66),IF($M66&gt;=0,$M66,""),""))</f>
        <v/>
      </c>
      <c r="AG66" s="124" t="str">
        <f aca="false">IF(ISBLANK($C66),"",IF(ISBLANK($N66),0,IF(ISNUMBER($N66),IF(AND($N66&gt;=0,$N66&lt;=Constants!$B$17,$N66=INT($N66)),$N66,""),"")))</f>
        <v/>
      </c>
      <c r="AH66" s="125" t="str">
        <f aca="false">IF(ISBLANK($C66),"",IF(ISBLANK($O66),0,IF(ISNUMBER($O66),IF($O66&gt;=0,$O66,""),"")))</f>
        <v/>
      </c>
      <c r="AI66" s="124" t="str">
        <f aca="false">IF(ISBLANK($C66),"",IF($P66=Constants!$B$2,TRUE(),IF($P66=Constants!$B$3,FALSE(),TRUE())))</f>
        <v/>
      </c>
      <c r="AJ66" s="124" t="str">
        <f aca="false">IF(ISBLANK($C66),"",IF($Q66=Constants!$B$2,TRUE(),IF($Q66=Constants!$B$3,FALSE(),TRUE())))</f>
        <v/>
      </c>
      <c r="AK66" s="124" t="str">
        <f aca="false">IF(ISBLANK($C66),"",IF($R66=Constants!$B$2,TRUE(),IF($R66=Constants!$B$3,FALSE(),TRUE())))</f>
        <v/>
      </c>
      <c r="AL66" s="126" t="str">
        <f aca="false">IF(ISBLANK($C66),"",IF(ISNUMBER($S66),IF($S66&gt;=0,$S66,""),""))</f>
        <v/>
      </c>
      <c r="AM66" s="124" t="str">
        <f aca="false">IF(ISBLANK($C66),"",IF(ISBLANK($T66),0,IF(ISNUMBER($T66),IF(AND($T66&gt;=0,$T66&lt;=Constants!$B$17,$T66=INT($T66)),$T66,""),"")))</f>
        <v/>
      </c>
      <c r="AN66" s="125" t="str">
        <f aca="false">IF(ISBLANK($C66),"",IF(ISBLANK($U66),0,IF(ISNUMBER($U66),IF($U66&gt;=0,$U66,""),"")))</f>
        <v/>
      </c>
      <c r="AO66" s="124" t="str">
        <f aca="false">IF(ISBLANK($C66),"",IF($V66=Constants!$B$2,TRUE(),IF($V66=Constants!$B$3,FALSE(),FALSE())))</f>
        <v/>
      </c>
      <c r="AP66" s="124"/>
      <c r="AQ66" s="123" t="str">
        <f aca="false">IF(ISBLANK($C66),"",AND($Y66,OR($AS66,$BC66),OR($Z66="",$AA66="",$AB66="")))</f>
        <v/>
      </c>
      <c r="AR66" s="123" t="str">
        <f aca="false">IF(ISBLANK($C66),"",IF(OR(NOT($Y66),NOT(OR($AS66,$BC66))),"",IF(ISBLANK($D$7),$AR$5,IF($AP$9="",$AR$6,""))))</f>
        <v/>
      </c>
      <c r="AS66" s="123" t="str">
        <f aca="false">IF(ISBLANK($C66),"",COUNTA($J66:$O66)&gt;0)</f>
        <v/>
      </c>
      <c r="AT66" s="123" t="str">
        <f aca="false">IF(ISBLANK($C66),"",AND($AS66,OR(AND($AF66="",OR($AE66,NOT(ISBLANK($M66)))),$AG66="",$AH66="")))</f>
        <v/>
      </c>
      <c r="AU66" s="125" t="str">
        <f aca="false">IF($BL66&lt;&gt;Constants!$B$4,"",IF(NOT($AS66),"",ROUND((Constants!$B$12-$AB66)+(Constants!$B$13-$Z66)+(Constants!$B$14-$AA66),1)))</f>
        <v/>
      </c>
      <c r="AV66" s="127" t="str">
        <f aca="false">IF($BL66&lt;&gt;Constants!$B$4,"",IF(NOT($AS66),"",IF(NOT($AE66),0,Constants!$B$15*(INT(ROUND(MIN($AF66,$AP$9),6))-INT(ROUND(MAX(0,MIN($AF66,2*$AP$9)-$AP$9),6))))))</f>
        <v/>
      </c>
      <c r="AW66" s="127" t="str">
        <f aca="false">IF($BL66&lt;&gt;Constants!$B$4,"",IF(NOT($AS66),"",Constants!$B$16*$AG66))</f>
        <v/>
      </c>
      <c r="AX66" s="127" t="str">
        <f aca="false">IF($BL66&lt;&gt;Constants!$B$4,"",IF(NOT($AS66),"",Constants!$B$18*INT(ROUND($AH66,6))))</f>
        <v/>
      </c>
      <c r="AY66" s="123" t="str">
        <f aca="false">IF($BL66&lt;&gt;Constants!$B$4,"",IF(NOT($AS66),"",IF(NOT($X66),Constants!$B$11,IF(OR(NOT($AC66),NOT($AD66),ROUND($AB66,1)&gt;Constants!$B$12,ROUND($Z66,1)&gt;Constants!$B$13,ROUND($AA66,1)&gt;Constants!$B$14),Constants!$B$10,Constants!$B$9))))</f>
        <v/>
      </c>
      <c r="AZ66" s="128" t="str">
        <f aca="false">IF($BL66&lt;&gt;Constants!$B$4,"",IF(NOT($AS66),"",ROUND($AU66+$AV66+$AW66+$AX66,1)))</f>
        <v/>
      </c>
      <c r="BA66" s="129" t="str">
        <f aca="false">IF($BL66&lt;&gt;Constants!$B$4,"",IF(NOT($AS66),"",IF(ISNUMBER($AF66),$AF66,0)))</f>
        <v/>
      </c>
      <c r="BB66" s="124" t="str">
        <f aca="false">IF($BL66&lt;&gt;Constants!$B$4,"",IF(NOT($BC66),"&lt;-",IF(NOT($AS66),"-&gt;",IF(OR($BI66&lt;$AY66,AND($BI66=$AY66,OR($BJ66&gt;$AZ66,AND($BJ66=$AZ66,OR($BH66&gt;$AX66,AND($BH66=$AX66,OR($BE66&gt;$AU66,AND($BE66=$AU66,OR($BF66&gt;$AV66,AND($BF66=$AV66,$BK66&gt;$BA66)))))))))),"-&gt;","&lt;-"))))</f>
        <v/>
      </c>
      <c r="BC66" s="123" t="str">
        <f aca="false">IF(ISBLANK($C66),"",COUNTA($P66:$U66)&gt;0)</f>
        <v/>
      </c>
      <c r="BD66" s="123" t="str">
        <f aca="false">IF(ISBLANK($C66),"",AND($BC66,OR(AND($AL66="",OR($AK66,NOT(ISBLANK($S66)))),$AM66="",$AN66="")))</f>
        <v/>
      </c>
      <c r="BE66" s="125" t="str">
        <f aca="false">IF($BL66&lt;&gt;Constants!$B$4,"",IF(NOT($BC66),"",ROUND((Constants!$B$12-$AB66)+(Constants!$B$13-$Z66)+(Constants!$B$14-$AA66),1)))</f>
        <v/>
      </c>
      <c r="BF66" s="127" t="str">
        <f aca="false">IF($BL66&lt;&gt;Constants!$B$4,"",IF(NOT($BC66),"",IF(NOT($AK66),0,Constants!$B$15*(INT(ROUND(MIN($AL66,$AP$9),6))-INT(ROUND(MAX(0,MIN($AL66,2*$AP$9)-$AP$9),6))))))</f>
        <v/>
      </c>
      <c r="BG66" s="127" t="str">
        <f aca="false">IF($BL66&lt;&gt;Constants!$B$4,"",IF(NOT($BC66),"",Constants!$B$16*$AM66))</f>
        <v/>
      </c>
      <c r="BH66" s="127" t="str">
        <f aca="false">IF($BL66&lt;&gt;Constants!$B$4,"",IF(NOT($BC66),"",Constants!$B$18*INT(ROUND($AN66,6))))</f>
        <v/>
      </c>
      <c r="BI66" s="123" t="str">
        <f aca="false">IF($BL66&lt;&gt;Constants!$B$4,"",IF(NOT($BC66),"",IF(NOT($X66),Constants!$B$11,IF(OR(NOT($AI66),NOT($AJ66),ROUND($AB66,1)&gt;Constants!$B$12,ROUND($Z66,1)&gt;Constants!$B$13,ROUND($AA66,1)&gt;Constants!$B$14),Constants!$B$10,Constants!$B$9))))</f>
        <v/>
      </c>
      <c r="BJ66" s="128" t="str">
        <f aca="false">IF($BL66&lt;&gt;Constants!$B$4,"",IF(NOT($BC66),"",ROUND($BE66+$BF66+$BG66+$BH66,1)))</f>
        <v/>
      </c>
      <c r="BK66" s="129" t="str">
        <f aca="false">IF($BL66&lt;&gt;Constants!$B$4,"",IF(NOT($BC66),"",IF(ISNUMBER($AL66),$AL66,0)))</f>
        <v/>
      </c>
      <c r="BL66" s="124" t="str">
        <f aca="false">IF(ISBLANK($C66),"",IF($AO66,Constants!$B$7,IF(COUNTA($E66:$V66)=0,Constants!$B$6,IF(NOT($Y66),Constants!$B$5,IF(NOT(OR($AS66,$BC66)),Constants!$B$5,IF(OR($AT66,$BD66,$AQ66,$AR66&lt;&gt;""),Constants!$B$8,Constants!$B$4))))))</f>
        <v/>
      </c>
      <c r="BM66" s="124" t="str">
        <f aca="false">IF(ISBLANK($C66),"",IF($BL66&lt;&gt;Constants!$B$4,$BL66,IF($BB66="-&gt;",$BI66,$AY66)))</f>
        <v/>
      </c>
      <c r="BN66" s="127" t="str">
        <f aca="false">IF($BL66&lt;&gt;Constants!$B$4,"",IF($BB66="-&gt;",$BJ66,$AZ66))</f>
        <v/>
      </c>
      <c r="BO66" s="127" t="str">
        <f aca="false">IF(ISBLANK($C66),"",IF($BL66&lt;&gt;Constants!$B$4,$BL66,$BN66))</f>
        <v/>
      </c>
      <c r="BP66" s="124" t="str">
        <f aca="false">IF(ISBLANK($C66),"",IF($BL66&lt;&gt;Constants!$B$4,$BL66,RANK($BO66,$BO$9:$BO$508,0)))</f>
        <v/>
      </c>
      <c r="BQ66" s="124" t="str">
        <f aca="false">IF(ISBLANK($C66),"",IF($BL66&lt;&gt;Constants!$B$4,$BL66,COUNTIFS($BM$9:$BM$508,"&lt;"&amp;$BM66)+COUNTIFS($BM$9:$BM$508,$BM66,$BP$9:$BP$508,"&lt;"&amp;$BP66)+1))</f>
        <v/>
      </c>
      <c r="BR66" s="127" t="str">
        <f aca="false">IF($BL66&lt;&gt;Constants!$B$4,"",IF($BB66="-&gt;",$BH66,$AX66))</f>
        <v/>
      </c>
      <c r="BS66" s="124" t="str">
        <f aca="false">IF(ISBLANK($C66),"",IF($BL66&lt;&gt;Constants!$B$4,$BL66,IF(ISNUMBER($BR66),RANK($BR66,$BR$9:$BR$508,0),COUNT($BR$9:$BR$508)+1)))</f>
        <v/>
      </c>
      <c r="BT66" s="127" t="str">
        <f aca="false">IF($BL66&lt;&gt;Constants!$B$4,"",IF($BB66="-&gt;",$BE66,$AU66))</f>
        <v/>
      </c>
      <c r="BU66" s="124" t="str">
        <f aca="false">IF(ISBLANK($C66),"",IF($BL66&lt;&gt;Constants!$B$4,$BL66,IF(ISNUMBER($BT66),RANK($BT66,$BT$9:$BT$508,0),COUNT($BT$9:$BT$508)+1)))</f>
        <v/>
      </c>
      <c r="BV66" s="127" t="str">
        <f aca="false">IF($BL66&lt;&gt;Constants!$B$4,"",IF($BB66="-&gt;",$BF66,$AV66))</f>
        <v/>
      </c>
      <c r="BW66" s="124" t="str">
        <f aca="false">IF(ISBLANK($C66),"",IF($BL66&lt;&gt;Constants!$B$4,$BL66,IF(ISNUMBER($BV66),RANK($BV66,$BV$9:$BV$508,0),COUNT($BV$9:$BV$508)+1)))</f>
        <v/>
      </c>
      <c r="BX66" s="127" t="str">
        <f aca="false">IF($BL66&lt;&gt;Constants!$B$4,"",IF($BB66="-&gt;",$BK66,$BA66))</f>
        <v/>
      </c>
      <c r="BY66" s="124" t="str">
        <f aca="false">IF(ISBLANK($C66),"",IF($BL66&lt;&gt;Constants!$B$4,$BL66,IF(ISNUMBER($BX66),RANK($BX66,$BX$9:$BX$508,0),COUNT($BX$9:$BX$508)+1)))</f>
        <v/>
      </c>
      <c r="BZ66" s="124" t="str">
        <f aca="false">IF(ISBLANK($C66),"",IF($BL66&lt;&gt;Constants!$B$4,$BL66,COUNTIFS($BM$9:$BM$508,"&lt;"&amp;$BM66)+COUNTIFS($BM$9:$BM$508,$BM66,$BP$9:$BP$508,"&lt;"&amp;$BP66)+COUNTIFS($BM$9:$BM$508,$BM66,$BP$9:$BP$508,$BP66,$BS$9:$BS$508,"&lt;"&amp;$BS66)+COUNTIFS($BM$9:$BM$508,$BM66,$BP$9:$BP$508,$BP66,$BS$9:$BS$508,$BS66,$BU$9:$BU$508,"&lt;"&amp;$BU66)+COUNTIFS($BM$9:$BM$508,$BM66,$BP$9:$BP$508,$BP66,$BS$9:$BS$508,$BS66,$BU$9:$BU$508,$BU66,$BW$9:$BW$508,"&lt;"&amp;$BW66)+COUNTIFS($BM$9:$BM$508,$BM66,$BP$9:$BP$508,$BP66,$BS$9:$BS$508,$BS66,$BU$9:$BU$508,$BU66,$BW$9:$BW$508,$BW66,$BY$9:$BY$508,"&lt;"&amp;$BY66)+1))</f>
        <v/>
      </c>
      <c r="CA66" s="124" t="str">
        <f aca="false">IF(ISBLANK($C66),"",IF($BL66&lt;&gt;Constants!$B$4,$BL66,$BQ66-$BZ66))</f>
        <v/>
      </c>
      <c r="CB66" s="130"/>
      <c r="CC66" s="131" t="str">
        <f aca="false">IF(ISBLANK($C66),"",IF($BL66=Constants!$B$8,$AR66,""))</f>
        <v/>
      </c>
      <c r="CD66" s="131" t="str">
        <f aca="false">IF(ISBLANK($C66),"",IF($BL66&lt;&gt;Constants!$B$4,"",IF($BB66="-&gt;",2,1)))</f>
        <v/>
      </c>
      <c r="CE66" s="132" t="str">
        <f aca="false">IF(ISBLANK($C66),"",IF($BL66&lt;&gt;Constants!$B$4,"",IF($BB66="-&gt;",$BE66,$AU66)))</f>
        <v/>
      </c>
      <c r="CF66" s="132" t="str">
        <f aca="false">IF(ISBLANK($C66),"",IF($BL66&lt;&gt;Constants!$B$4,"",IF($BB66="-&gt;",$BF66,$AV66)))</f>
        <v/>
      </c>
      <c r="CG66" s="132" t="str">
        <f aca="false">IF(ISBLANK($C66),"",IF($BL66&lt;&gt;Constants!$B$4,"",IF($BB66="-&gt;",$BG66,$AW66)))</f>
        <v/>
      </c>
      <c r="CH66" s="132" t="str">
        <f aca="false">IF(ISBLANK($C66),"",IF($BL66&lt;&gt;Constants!$B$4,"",IF($BB66="-&gt;",$BH66,$AX66)))</f>
        <v/>
      </c>
      <c r="CI66" s="133" t="str">
        <f aca="false">IF(ISBLANK($C66),"",$BO66)</f>
        <v/>
      </c>
      <c r="CJ66" s="134" t="str">
        <f aca="false">IF(ISBLANK($C66),"",$BM66)</f>
        <v/>
      </c>
      <c r="CK66" s="135" t="str">
        <f aca="false">IF(ISBLANK($C66),"",$CA66)</f>
        <v/>
      </c>
      <c r="CL66" s="135" t="str">
        <f aca="false">IF(ISBLANK($C66),"",$BZ66)</f>
        <v/>
      </c>
      <c r="CM66" s="136" t="str">
        <f aca="false">IF(ISBLANK($C66),"",IF($CL66=Constants!$B$7,COUNTA($C$9:$C$508)+2,IF($CL66=Constants!$B$6,COUNTA($C$9:$C$508)+1,IF($CL66=Constants!$B$5,COUNTA($C$9:$C$508),$CL66))))</f>
        <v/>
      </c>
      <c r="CN66" s="8"/>
      <c r="CO66" s="137" t="n">
        <f aca="false">IF(OR(ISNUMBER($CL66),$CL66=Constants!$B$7,$CL66=Constants!$B$5,$CL66=Constants!$B$6),1,0)</f>
        <v>0</v>
      </c>
      <c r="CP66" s="137" t="n">
        <v>58</v>
      </c>
      <c r="CQ66" s="137" t="str">
        <f aca="false">IF(ISBLANK($C66),"",IF(ISNUMBER($CM66),$CM66+ROW($B66)/1000,""))</f>
        <v/>
      </c>
      <c r="CR66" s="137" t="str">
        <f aca="false">IF(ISNUMBER($CQ66),RANK($CQ66,$CQ$9:$CQ$508,1),"")</f>
        <v/>
      </c>
      <c r="CS66" s="137" t="str">
        <f aca="false">IF(ISBLANK($C66),"",$B66)</f>
        <v/>
      </c>
      <c r="CT66" s="137" t="str">
        <f aca="false">IF(ISBLANK($C66),"",$C66)</f>
        <v/>
      </c>
      <c r="CU66" s="137" t="str">
        <f aca="false">IF(ISBLANK($C66),"",$D66)</f>
        <v/>
      </c>
      <c r="CV66" s="138" t="str">
        <f aca="false">$CJ66</f>
        <v/>
      </c>
      <c r="CW66" s="139" t="str">
        <f aca="false">$CI66</f>
        <v/>
      </c>
      <c r="CX66" s="137" t="str">
        <f aca="false">IF(ISBLANK($C66),"",$CL66)</f>
        <v/>
      </c>
      <c r="CY66" s="140" t="str">
        <f aca="false">IF($CP66&gt;$CO$8,"",VLOOKUP($CP66,$CR$9:$CX$508,7,FALSE()))</f>
        <v/>
      </c>
      <c r="CZ66" s="141" t="str">
        <f aca="false">IF($CP66&gt;$CO$8,"",VLOOKUP($CP66,$CR$9:$CX$508,2,FALSE()))</f>
        <v/>
      </c>
      <c r="DA66" s="141" t="str">
        <f aca="false">IF($CP66&gt;$CO$8,"",VLOOKUP($CP66,$CR$9:$CX$508,3,FALSE()))</f>
        <v/>
      </c>
      <c r="DB66" s="141" t="str">
        <f aca="false">IF($CP66&gt;$CO$8,"",VLOOKUP($CP66,$CR$9:$CX$508,4,FALSE()))</f>
        <v/>
      </c>
      <c r="DC66" s="141" t="str">
        <f aca="false">IF($CP66&gt;$CO$8,"",VLOOKUP($CP66,$CR$9:$CX$508,5,FALSE()))</f>
        <v/>
      </c>
      <c r="DD66" s="142" t="str">
        <f aca="false">IF($CP66&gt;$CO$8,"",VLOOKUP($CP66,$CR$9:$CX$508,6,FALSE()))</f>
        <v/>
      </c>
      <c r="DE66" s="70"/>
    </row>
    <row r="67" customFormat="false" ht="15.75" hidden="false" customHeight="false" outlineLevel="0" collapsed="false">
      <c r="A67" s="8"/>
      <c r="B67" s="146"/>
      <c r="C67" s="147"/>
      <c r="D67" s="148"/>
      <c r="E67" s="164"/>
      <c r="F67" s="150"/>
      <c r="G67" s="115"/>
      <c r="H67" s="115"/>
      <c r="I67" s="115"/>
      <c r="J67" s="165"/>
      <c r="K67" s="154"/>
      <c r="L67" s="154"/>
      <c r="M67" s="118"/>
      <c r="N67" s="154"/>
      <c r="O67" s="153"/>
      <c r="P67" s="154"/>
      <c r="Q67" s="154"/>
      <c r="R67" s="154"/>
      <c r="S67" s="115"/>
      <c r="T67" s="154"/>
      <c r="U67" s="153"/>
      <c r="V67" s="154"/>
      <c r="W67" s="123"/>
      <c r="X67" s="124" t="str">
        <f aca="false">IF(ISBLANK($C67),"",IF($E67=Constants!$B$2,TRUE(),IF($E67=Constants!$B$3,FALSE(),TRUE())))</f>
        <v/>
      </c>
      <c r="Y67" s="124" t="str">
        <f aca="false">IF(ISBLANK($C67),"",IF($F67=Constants!$B$2,TRUE(),IF($F67=Constants!$B$3,FALSE(),TRUE())))</f>
        <v/>
      </c>
      <c r="Z67" s="125" t="str">
        <f aca="false">IF(ISBLANK($C67),"",IF(ISNUMBER($G67),IF($G67&gt;=0,$G67,""),""))</f>
        <v/>
      </c>
      <c r="AA67" s="125" t="str">
        <f aca="false">IF(ISBLANK($C67),"",IF(ISNUMBER($H67),IF($H67&gt;=0,$H67,""),""))</f>
        <v/>
      </c>
      <c r="AB67" s="125" t="str">
        <f aca="false">IF(ISBLANK($C67),"",IF(ISNUMBER($I67),IF($I67&gt;=0,$I67,""),""))</f>
        <v/>
      </c>
      <c r="AC67" s="124" t="str">
        <f aca="false">IF(ISBLANK($C67),"",IF($J67=Constants!$B$2,TRUE(),IF($J67=Constants!$B$3,FALSE(),TRUE())))</f>
        <v/>
      </c>
      <c r="AD67" s="124" t="str">
        <f aca="false">IF(ISBLANK($C67),"",IF($K67=Constants!$B$2,TRUE(),IF($K67=Constants!$B$3,FALSE(),TRUE())))</f>
        <v/>
      </c>
      <c r="AE67" s="124" t="str">
        <f aca="false">IF(ISBLANK($C67),"",IF($L67=Constants!$B$2,TRUE(),IF($L67=Constants!$B$3,FALSE(),TRUE())))</f>
        <v/>
      </c>
      <c r="AF67" s="126" t="str">
        <f aca="false">IF(ISBLANK($C67),"",IF(ISNUMBER($M67),IF($M67&gt;=0,$M67,""),""))</f>
        <v/>
      </c>
      <c r="AG67" s="124" t="str">
        <f aca="false">IF(ISBLANK($C67),"",IF(ISBLANK($N67),0,IF(ISNUMBER($N67),IF(AND($N67&gt;=0,$N67&lt;=Constants!$B$17,$N67=INT($N67)),$N67,""),"")))</f>
        <v/>
      </c>
      <c r="AH67" s="125" t="str">
        <f aca="false">IF(ISBLANK($C67),"",IF(ISBLANK($O67),0,IF(ISNUMBER($O67),IF($O67&gt;=0,$O67,""),"")))</f>
        <v/>
      </c>
      <c r="AI67" s="124" t="str">
        <f aca="false">IF(ISBLANK($C67),"",IF($P67=Constants!$B$2,TRUE(),IF($P67=Constants!$B$3,FALSE(),TRUE())))</f>
        <v/>
      </c>
      <c r="AJ67" s="124" t="str">
        <f aca="false">IF(ISBLANK($C67),"",IF($Q67=Constants!$B$2,TRUE(),IF($Q67=Constants!$B$3,FALSE(),TRUE())))</f>
        <v/>
      </c>
      <c r="AK67" s="124" t="str">
        <f aca="false">IF(ISBLANK($C67),"",IF($R67=Constants!$B$2,TRUE(),IF($R67=Constants!$B$3,FALSE(),TRUE())))</f>
        <v/>
      </c>
      <c r="AL67" s="126" t="str">
        <f aca="false">IF(ISBLANK($C67),"",IF(ISNUMBER($S67),IF($S67&gt;=0,$S67,""),""))</f>
        <v/>
      </c>
      <c r="AM67" s="124" t="str">
        <f aca="false">IF(ISBLANK($C67),"",IF(ISBLANK($T67),0,IF(ISNUMBER($T67),IF(AND($T67&gt;=0,$T67&lt;=Constants!$B$17,$T67=INT($T67)),$T67,""),"")))</f>
        <v/>
      </c>
      <c r="AN67" s="125" t="str">
        <f aca="false">IF(ISBLANK($C67),"",IF(ISBLANK($U67),0,IF(ISNUMBER($U67),IF($U67&gt;=0,$U67,""),"")))</f>
        <v/>
      </c>
      <c r="AO67" s="124" t="str">
        <f aca="false">IF(ISBLANK($C67),"",IF($V67=Constants!$B$2,TRUE(),IF($V67=Constants!$B$3,FALSE(),FALSE())))</f>
        <v/>
      </c>
      <c r="AP67" s="124"/>
      <c r="AQ67" s="123" t="str">
        <f aca="false">IF(ISBLANK($C67),"",AND($Y67,OR($AS67,$BC67),OR($Z67="",$AA67="",$AB67="")))</f>
        <v/>
      </c>
      <c r="AR67" s="123" t="str">
        <f aca="false">IF(ISBLANK($C67),"",IF(OR(NOT($Y67),NOT(OR($AS67,$BC67))),"",IF(ISBLANK($D$7),$AR$5,IF($AP$9="",$AR$6,""))))</f>
        <v/>
      </c>
      <c r="AS67" s="123" t="str">
        <f aca="false">IF(ISBLANK($C67),"",COUNTA($J67:$O67)&gt;0)</f>
        <v/>
      </c>
      <c r="AT67" s="123" t="str">
        <f aca="false">IF(ISBLANK($C67),"",AND($AS67,OR(AND($AF67="",OR($AE67,NOT(ISBLANK($M67)))),$AG67="",$AH67="")))</f>
        <v/>
      </c>
      <c r="AU67" s="125" t="str">
        <f aca="false">IF($BL67&lt;&gt;Constants!$B$4,"",IF(NOT($AS67),"",ROUND((Constants!$B$12-$AB67)+(Constants!$B$13-$Z67)+(Constants!$B$14-$AA67),1)))</f>
        <v/>
      </c>
      <c r="AV67" s="127" t="str">
        <f aca="false">IF($BL67&lt;&gt;Constants!$B$4,"",IF(NOT($AS67),"",IF(NOT($AE67),0,Constants!$B$15*(INT(ROUND(MIN($AF67,$AP$9),6))-INT(ROUND(MAX(0,MIN($AF67,2*$AP$9)-$AP$9),6))))))</f>
        <v/>
      </c>
      <c r="AW67" s="127" t="str">
        <f aca="false">IF($BL67&lt;&gt;Constants!$B$4,"",IF(NOT($AS67),"",Constants!$B$16*$AG67))</f>
        <v/>
      </c>
      <c r="AX67" s="127" t="str">
        <f aca="false">IF($BL67&lt;&gt;Constants!$B$4,"",IF(NOT($AS67),"",Constants!$B$18*INT(ROUND($AH67,6))))</f>
        <v/>
      </c>
      <c r="AY67" s="123" t="str">
        <f aca="false">IF($BL67&lt;&gt;Constants!$B$4,"",IF(NOT($AS67),"",IF(NOT($X67),Constants!$B$11,IF(OR(NOT($AC67),NOT($AD67),ROUND($AB67,1)&gt;Constants!$B$12,ROUND($Z67,1)&gt;Constants!$B$13,ROUND($AA67,1)&gt;Constants!$B$14),Constants!$B$10,Constants!$B$9))))</f>
        <v/>
      </c>
      <c r="AZ67" s="128" t="str">
        <f aca="false">IF($BL67&lt;&gt;Constants!$B$4,"",IF(NOT($AS67),"",ROUND($AU67+$AV67+$AW67+$AX67,1)))</f>
        <v/>
      </c>
      <c r="BA67" s="129" t="str">
        <f aca="false">IF($BL67&lt;&gt;Constants!$B$4,"",IF(NOT($AS67),"",IF(ISNUMBER($AF67),$AF67,0)))</f>
        <v/>
      </c>
      <c r="BB67" s="124" t="str">
        <f aca="false">IF($BL67&lt;&gt;Constants!$B$4,"",IF(NOT($BC67),"&lt;-",IF(NOT($AS67),"-&gt;",IF(OR($BI67&lt;$AY67,AND($BI67=$AY67,OR($BJ67&gt;$AZ67,AND($BJ67=$AZ67,OR($BH67&gt;$AX67,AND($BH67=$AX67,OR($BE67&gt;$AU67,AND($BE67=$AU67,OR($BF67&gt;$AV67,AND($BF67=$AV67,$BK67&gt;$BA67)))))))))),"-&gt;","&lt;-"))))</f>
        <v/>
      </c>
      <c r="BC67" s="123" t="str">
        <f aca="false">IF(ISBLANK($C67),"",COUNTA($P67:$U67)&gt;0)</f>
        <v/>
      </c>
      <c r="BD67" s="123" t="str">
        <f aca="false">IF(ISBLANK($C67),"",AND($BC67,OR(AND($AL67="",OR($AK67,NOT(ISBLANK($S67)))),$AM67="",$AN67="")))</f>
        <v/>
      </c>
      <c r="BE67" s="125" t="str">
        <f aca="false">IF($BL67&lt;&gt;Constants!$B$4,"",IF(NOT($BC67),"",ROUND((Constants!$B$12-$AB67)+(Constants!$B$13-$Z67)+(Constants!$B$14-$AA67),1)))</f>
        <v/>
      </c>
      <c r="BF67" s="127" t="str">
        <f aca="false">IF($BL67&lt;&gt;Constants!$B$4,"",IF(NOT($BC67),"",IF(NOT($AK67),0,Constants!$B$15*(INT(ROUND(MIN($AL67,$AP$9),6))-INT(ROUND(MAX(0,MIN($AL67,2*$AP$9)-$AP$9),6))))))</f>
        <v/>
      </c>
      <c r="BG67" s="127" t="str">
        <f aca="false">IF($BL67&lt;&gt;Constants!$B$4,"",IF(NOT($BC67),"",Constants!$B$16*$AM67))</f>
        <v/>
      </c>
      <c r="BH67" s="127" t="str">
        <f aca="false">IF($BL67&lt;&gt;Constants!$B$4,"",IF(NOT($BC67),"",Constants!$B$18*INT(ROUND($AN67,6))))</f>
        <v/>
      </c>
      <c r="BI67" s="123" t="str">
        <f aca="false">IF($BL67&lt;&gt;Constants!$B$4,"",IF(NOT($BC67),"",IF(NOT($X67),Constants!$B$11,IF(OR(NOT($AI67),NOT($AJ67),ROUND($AB67,1)&gt;Constants!$B$12,ROUND($Z67,1)&gt;Constants!$B$13,ROUND($AA67,1)&gt;Constants!$B$14),Constants!$B$10,Constants!$B$9))))</f>
        <v/>
      </c>
      <c r="BJ67" s="128" t="str">
        <f aca="false">IF($BL67&lt;&gt;Constants!$B$4,"",IF(NOT($BC67),"",ROUND($BE67+$BF67+$BG67+$BH67,1)))</f>
        <v/>
      </c>
      <c r="BK67" s="129" t="str">
        <f aca="false">IF($BL67&lt;&gt;Constants!$B$4,"",IF(NOT($BC67),"",IF(ISNUMBER($AL67),$AL67,0)))</f>
        <v/>
      </c>
      <c r="BL67" s="124" t="str">
        <f aca="false">IF(ISBLANK($C67),"",IF($AO67,Constants!$B$7,IF(COUNTA($E67:$V67)=0,Constants!$B$6,IF(NOT($Y67),Constants!$B$5,IF(NOT(OR($AS67,$BC67)),Constants!$B$5,IF(OR($AT67,$BD67,$AQ67,$AR67&lt;&gt;""),Constants!$B$8,Constants!$B$4))))))</f>
        <v/>
      </c>
      <c r="BM67" s="124" t="str">
        <f aca="false">IF(ISBLANK($C67),"",IF($BL67&lt;&gt;Constants!$B$4,$BL67,IF($BB67="-&gt;",$BI67,$AY67)))</f>
        <v/>
      </c>
      <c r="BN67" s="127" t="str">
        <f aca="false">IF($BL67&lt;&gt;Constants!$B$4,"",IF($BB67="-&gt;",$BJ67,$AZ67))</f>
        <v/>
      </c>
      <c r="BO67" s="127" t="str">
        <f aca="false">IF(ISBLANK($C67),"",IF($BL67&lt;&gt;Constants!$B$4,$BL67,$BN67))</f>
        <v/>
      </c>
      <c r="BP67" s="124" t="str">
        <f aca="false">IF(ISBLANK($C67),"",IF($BL67&lt;&gt;Constants!$B$4,$BL67,RANK($BO67,$BO$9:$BO$508,0)))</f>
        <v/>
      </c>
      <c r="BQ67" s="124" t="str">
        <f aca="false">IF(ISBLANK($C67),"",IF($BL67&lt;&gt;Constants!$B$4,$BL67,COUNTIFS($BM$9:$BM$508,"&lt;"&amp;$BM67)+COUNTIFS($BM$9:$BM$508,$BM67,$BP$9:$BP$508,"&lt;"&amp;$BP67)+1))</f>
        <v/>
      </c>
      <c r="BR67" s="127" t="str">
        <f aca="false">IF($BL67&lt;&gt;Constants!$B$4,"",IF($BB67="-&gt;",$BH67,$AX67))</f>
        <v/>
      </c>
      <c r="BS67" s="124" t="str">
        <f aca="false">IF(ISBLANK($C67),"",IF($BL67&lt;&gt;Constants!$B$4,$BL67,IF(ISNUMBER($BR67),RANK($BR67,$BR$9:$BR$508,0),COUNT($BR$9:$BR$508)+1)))</f>
        <v/>
      </c>
      <c r="BT67" s="127" t="str">
        <f aca="false">IF($BL67&lt;&gt;Constants!$B$4,"",IF($BB67="-&gt;",$BE67,$AU67))</f>
        <v/>
      </c>
      <c r="BU67" s="124" t="str">
        <f aca="false">IF(ISBLANK($C67),"",IF($BL67&lt;&gt;Constants!$B$4,$BL67,IF(ISNUMBER($BT67),RANK($BT67,$BT$9:$BT$508,0),COUNT($BT$9:$BT$508)+1)))</f>
        <v/>
      </c>
      <c r="BV67" s="127" t="str">
        <f aca="false">IF($BL67&lt;&gt;Constants!$B$4,"",IF($BB67="-&gt;",$BF67,$AV67))</f>
        <v/>
      </c>
      <c r="BW67" s="124" t="str">
        <f aca="false">IF(ISBLANK($C67),"",IF($BL67&lt;&gt;Constants!$B$4,$BL67,IF(ISNUMBER($BV67),RANK($BV67,$BV$9:$BV$508,0),COUNT($BV$9:$BV$508)+1)))</f>
        <v/>
      </c>
      <c r="BX67" s="127" t="str">
        <f aca="false">IF($BL67&lt;&gt;Constants!$B$4,"",IF($BB67="-&gt;",$BK67,$BA67))</f>
        <v/>
      </c>
      <c r="BY67" s="124" t="str">
        <f aca="false">IF(ISBLANK($C67),"",IF($BL67&lt;&gt;Constants!$B$4,$BL67,IF(ISNUMBER($BX67),RANK($BX67,$BX$9:$BX$508,0),COUNT($BX$9:$BX$508)+1)))</f>
        <v/>
      </c>
      <c r="BZ67" s="124" t="str">
        <f aca="false">IF(ISBLANK($C67),"",IF($BL67&lt;&gt;Constants!$B$4,$BL67,COUNTIFS($BM$9:$BM$508,"&lt;"&amp;$BM67)+COUNTIFS($BM$9:$BM$508,$BM67,$BP$9:$BP$508,"&lt;"&amp;$BP67)+COUNTIFS($BM$9:$BM$508,$BM67,$BP$9:$BP$508,$BP67,$BS$9:$BS$508,"&lt;"&amp;$BS67)+COUNTIFS($BM$9:$BM$508,$BM67,$BP$9:$BP$508,$BP67,$BS$9:$BS$508,$BS67,$BU$9:$BU$508,"&lt;"&amp;$BU67)+COUNTIFS($BM$9:$BM$508,$BM67,$BP$9:$BP$508,$BP67,$BS$9:$BS$508,$BS67,$BU$9:$BU$508,$BU67,$BW$9:$BW$508,"&lt;"&amp;$BW67)+COUNTIFS($BM$9:$BM$508,$BM67,$BP$9:$BP$508,$BP67,$BS$9:$BS$508,$BS67,$BU$9:$BU$508,$BU67,$BW$9:$BW$508,$BW67,$BY$9:$BY$508,"&lt;"&amp;$BY67)+1))</f>
        <v/>
      </c>
      <c r="CA67" s="124" t="str">
        <f aca="false">IF(ISBLANK($C67),"",IF($BL67&lt;&gt;Constants!$B$4,$BL67,$BQ67-$BZ67))</f>
        <v/>
      </c>
      <c r="CB67" s="130"/>
      <c r="CC67" s="131" t="str">
        <f aca="false">IF(ISBLANK($C67),"",IF($BL67=Constants!$B$8,$AR67,""))</f>
        <v/>
      </c>
      <c r="CD67" s="131" t="str">
        <f aca="false">IF(ISBLANK($C67),"",IF($BL67&lt;&gt;Constants!$B$4,"",IF($BB67="-&gt;",2,1)))</f>
        <v/>
      </c>
      <c r="CE67" s="132" t="str">
        <f aca="false">IF(ISBLANK($C67),"",IF($BL67&lt;&gt;Constants!$B$4,"",IF($BB67="-&gt;",$BE67,$AU67)))</f>
        <v/>
      </c>
      <c r="CF67" s="132" t="str">
        <f aca="false">IF(ISBLANK($C67),"",IF($BL67&lt;&gt;Constants!$B$4,"",IF($BB67="-&gt;",$BF67,$AV67)))</f>
        <v/>
      </c>
      <c r="CG67" s="132" t="str">
        <f aca="false">IF(ISBLANK($C67),"",IF($BL67&lt;&gt;Constants!$B$4,"",IF($BB67="-&gt;",$BG67,$AW67)))</f>
        <v/>
      </c>
      <c r="CH67" s="132" t="str">
        <f aca="false">IF(ISBLANK($C67),"",IF($BL67&lt;&gt;Constants!$B$4,"",IF($BB67="-&gt;",$BH67,$AX67)))</f>
        <v/>
      </c>
      <c r="CI67" s="133" t="str">
        <f aca="false">IF(ISBLANK($C67),"",$BO67)</f>
        <v/>
      </c>
      <c r="CJ67" s="134" t="str">
        <f aca="false">IF(ISBLANK($C67),"",$BM67)</f>
        <v/>
      </c>
      <c r="CK67" s="135" t="str">
        <f aca="false">IF(ISBLANK($C67),"",$CA67)</f>
        <v/>
      </c>
      <c r="CL67" s="135" t="str">
        <f aca="false">IF(ISBLANK($C67),"",$BZ67)</f>
        <v/>
      </c>
      <c r="CM67" s="136" t="str">
        <f aca="false">IF(ISBLANK($C67),"",IF($CL67=Constants!$B$7,COUNTA($C$9:$C$508)+2,IF($CL67=Constants!$B$6,COUNTA($C$9:$C$508)+1,IF($CL67=Constants!$B$5,COUNTA($C$9:$C$508),$CL67))))</f>
        <v/>
      </c>
      <c r="CN67" s="8"/>
      <c r="CO67" s="137" t="n">
        <f aca="false">IF(OR(ISNUMBER($CL67),$CL67=Constants!$B$7,$CL67=Constants!$B$5,$CL67=Constants!$B$6),1,0)</f>
        <v>0</v>
      </c>
      <c r="CP67" s="137" t="n">
        <v>59</v>
      </c>
      <c r="CQ67" s="137" t="str">
        <f aca="false">IF(ISBLANK($C67),"",IF(ISNUMBER($CM67),$CM67+ROW($B67)/1000,""))</f>
        <v/>
      </c>
      <c r="CR67" s="137" t="str">
        <f aca="false">IF(ISNUMBER($CQ67),RANK($CQ67,$CQ$9:$CQ$508,1),"")</f>
        <v/>
      </c>
      <c r="CS67" s="137" t="str">
        <f aca="false">IF(ISBLANK($C67),"",$B67)</f>
        <v/>
      </c>
      <c r="CT67" s="137" t="str">
        <f aca="false">IF(ISBLANK($C67),"",$C67)</f>
        <v/>
      </c>
      <c r="CU67" s="137" t="str">
        <f aca="false">IF(ISBLANK($C67),"",$D67)</f>
        <v/>
      </c>
      <c r="CV67" s="138" t="str">
        <f aca="false">$CJ67</f>
        <v/>
      </c>
      <c r="CW67" s="139" t="str">
        <f aca="false">$CI67</f>
        <v/>
      </c>
      <c r="CX67" s="137" t="str">
        <f aca="false">IF(ISBLANK($C67),"",$CL67)</f>
        <v/>
      </c>
      <c r="CY67" s="140" t="str">
        <f aca="false">IF($CP67&gt;$CO$8,"",VLOOKUP($CP67,$CR$9:$CX$508,7,FALSE()))</f>
        <v/>
      </c>
      <c r="CZ67" s="141" t="str">
        <f aca="false">IF($CP67&gt;$CO$8,"",VLOOKUP($CP67,$CR$9:$CX$508,2,FALSE()))</f>
        <v/>
      </c>
      <c r="DA67" s="141" t="str">
        <f aca="false">IF($CP67&gt;$CO$8,"",VLOOKUP($CP67,$CR$9:$CX$508,3,FALSE()))</f>
        <v/>
      </c>
      <c r="DB67" s="141" t="str">
        <f aca="false">IF($CP67&gt;$CO$8,"",VLOOKUP($CP67,$CR$9:$CX$508,4,FALSE()))</f>
        <v/>
      </c>
      <c r="DC67" s="141" t="str">
        <f aca="false">IF($CP67&gt;$CO$8,"",VLOOKUP($CP67,$CR$9:$CX$508,5,FALSE()))</f>
        <v/>
      </c>
      <c r="DD67" s="142" t="str">
        <f aca="false">IF($CP67&gt;$CO$8,"",VLOOKUP($CP67,$CR$9:$CX$508,6,FALSE()))</f>
        <v/>
      </c>
      <c r="DE67" s="70"/>
    </row>
    <row r="68" customFormat="false" ht="15.75" hidden="false" customHeight="false" outlineLevel="0" collapsed="false">
      <c r="A68" s="8"/>
      <c r="B68" s="146"/>
      <c r="C68" s="147"/>
      <c r="D68" s="148"/>
      <c r="E68" s="164"/>
      <c r="F68" s="150"/>
      <c r="G68" s="115"/>
      <c r="H68" s="115"/>
      <c r="I68" s="115"/>
      <c r="J68" s="165"/>
      <c r="K68" s="154"/>
      <c r="L68" s="154"/>
      <c r="M68" s="118"/>
      <c r="N68" s="154"/>
      <c r="O68" s="153"/>
      <c r="P68" s="154"/>
      <c r="Q68" s="154"/>
      <c r="R68" s="154"/>
      <c r="S68" s="115"/>
      <c r="T68" s="154"/>
      <c r="U68" s="153"/>
      <c r="V68" s="154"/>
      <c r="W68" s="123"/>
      <c r="X68" s="124" t="str">
        <f aca="false">IF(ISBLANK($C68),"",IF($E68=Constants!$B$2,TRUE(),IF($E68=Constants!$B$3,FALSE(),TRUE())))</f>
        <v/>
      </c>
      <c r="Y68" s="124" t="str">
        <f aca="false">IF(ISBLANK($C68),"",IF($F68=Constants!$B$2,TRUE(),IF($F68=Constants!$B$3,FALSE(),TRUE())))</f>
        <v/>
      </c>
      <c r="Z68" s="125" t="str">
        <f aca="false">IF(ISBLANK($C68),"",IF(ISNUMBER($G68),IF($G68&gt;=0,$G68,""),""))</f>
        <v/>
      </c>
      <c r="AA68" s="125" t="str">
        <f aca="false">IF(ISBLANK($C68),"",IF(ISNUMBER($H68),IF($H68&gt;=0,$H68,""),""))</f>
        <v/>
      </c>
      <c r="AB68" s="125" t="str">
        <f aca="false">IF(ISBLANK($C68),"",IF(ISNUMBER($I68),IF($I68&gt;=0,$I68,""),""))</f>
        <v/>
      </c>
      <c r="AC68" s="124" t="str">
        <f aca="false">IF(ISBLANK($C68),"",IF($J68=Constants!$B$2,TRUE(),IF($J68=Constants!$B$3,FALSE(),TRUE())))</f>
        <v/>
      </c>
      <c r="AD68" s="124" t="str">
        <f aca="false">IF(ISBLANK($C68),"",IF($K68=Constants!$B$2,TRUE(),IF($K68=Constants!$B$3,FALSE(),TRUE())))</f>
        <v/>
      </c>
      <c r="AE68" s="124" t="str">
        <f aca="false">IF(ISBLANK($C68),"",IF($L68=Constants!$B$2,TRUE(),IF($L68=Constants!$B$3,FALSE(),TRUE())))</f>
        <v/>
      </c>
      <c r="AF68" s="126" t="str">
        <f aca="false">IF(ISBLANK($C68),"",IF(ISNUMBER($M68),IF($M68&gt;=0,$M68,""),""))</f>
        <v/>
      </c>
      <c r="AG68" s="124" t="str">
        <f aca="false">IF(ISBLANK($C68),"",IF(ISBLANK($N68),0,IF(ISNUMBER($N68),IF(AND($N68&gt;=0,$N68&lt;=Constants!$B$17,$N68=INT($N68)),$N68,""),"")))</f>
        <v/>
      </c>
      <c r="AH68" s="125" t="str">
        <f aca="false">IF(ISBLANK($C68),"",IF(ISBLANK($O68),0,IF(ISNUMBER($O68),IF($O68&gt;=0,$O68,""),"")))</f>
        <v/>
      </c>
      <c r="AI68" s="124" t="str">
        <f aca="false">IF(ISBLANK($C68),"",IF($P68=Constants!$B$2,TRUE(),IF($P68=Constants!$B$3,FALSE(),TRUE())))</f>
        <v/>
      </c>
      <c r="AJ68" s="124" t="str">
        <f aca="false">IF(ISBLANK($C68),"",IF($Q68=Constants!$B$2,TRUE(),IF($Q68=Constants!$B$3,FALSE(),TRUE())))</f>
        <v/>
      </c>
      <c r="AK68" s="124" t="str">
        <f aca="false">IF(ISBLANK($C68),"",IF($R68=Constants!$B$2,TRUE(),IF($R68=Constants!$B$3,FALSE(),TRUE())))</f>
        <v/>
      </c>
      <c r="AL68" s="126" t="str">
        <f aca="false">IF(ISBLANK($C68),"",IF(ISNUMBER($S68),IF($S68&gt;=0,$S68,""),""))</f>
        <v/>
      </c>
      <c r="AM68" s="124" t="str">
        <f aca="false">IF(ISBLANK($C68),"",IF(ISBLANK($T68),0,IF(ISNUMBER($T68),IF(AND($T68&gt;=0,$T68&lt;=Constants!$B$17,$T68=INT($T68)),$T68,""),"")))</f>
        <v/>
      </c>
      <c r="AN68" s="125" t="str">
        <f aca="false">IF(ISBLANK($C68),"",IF(ISBLANK($U68),0,IF(ISNUMBER($U68),IF($U68&gt;=0,$U68,""),"")))</f>
        <v/>
      </c>
      <c r="AO68" s="124" t="str">
        <f aca="false">IF(ISBLANK($C68),"",IF($V68=Constants!$B$2,TRUE(),IF($V68=Constants!$B$3,FALSE(),FALSE())))</f>
        <v/>
      </c>
      <c r="AP68" s="124"/>
      <c r="AQ68" s="123" t="str">
        <f aca="false">IF(ISBLANK($C68),"",AND($Y68,OR($AS68,$BC68),OR($Z68="",$AA68="",$AB68="")))</f>
        <v/>
      </c>
      <c r="AR68" s="123" t="str">
        <f aca="false">IF(ISBLANK($C68),"",IF(OR(NOT($Y68),NOT(OR($AS68,$BC68))),"",IF(ISBLANK($D$7),$AR$5,IF($AP$9="",$AR$6,""))))</f>
        <v/>
      </c>
      <c r="AS68" s="123" t="str">
        <f aca="false">IF(ISBLANK($C68),"",COUNTA($J68:$O68)&gt;0)</f>
        <v/>
      </c>
      <c r="AT68" s="123" t="str">
        <f aca="false">IF(ISBLANK($C68),"",AND($AS68,OR(AND($AF68="",OR($AE68,NOT(ISBLANK($M68)))),$AG68="",$AH68="")))</f>
        <v/>
      </c>
      <c r="AU68" s="125" t="str">
        <f aca="false">IF($BL68&lt;&gt;Constants!$B$4,"",IF(NOT($AS68),"",ROUND((Constants!$B$12-$AB68)+(Constants!$B$13-$Z68)+(Constants!$B$14-$AA68),1)))</f>
        <v/>
      </c>
      <c r="AV68" s="127" t="str">
        <f aca="false">IF($BL68&lt;&gt;Constants!$B$4,"",IF(NOT($AS68),"",IF(NOT($AE68),0,Constants!$B$15*(INT(ROUND(MIN($AF68,$AP$9),6))-INT(ROUND(MAX(0,MIN($AF68,2*$AP$9)-$AP$9),6))))))</f>
        <v/>
      </c>
      <c r="AW68" s="127" t="str">
        <f aca="false">IF($BL68&lt;&gt;Constants!$B$4,"",IF(NOT($AS68),"",Constants!$B$16*$AG68))</f>
        <v/>
      </c>
      <c r="AX68" s="127" t="str">
        <f aca="false">IF($BL68&lt;&gt;Constants!$B$4,"",IF(NOT($AS68),"",Constants!$B$18*INT(ROUND($AH68,6))))</f>
        <v/>
      </c>
      <c r="AY68" s="123" t="str">
        <f aca="false">IF($BL68&lt;&gt;Constants!$B$4,"",IF(NOT($AS68),"",IF(NOT($X68),Constants!$B$11,IF(OR(NOT($AC68),NOT($AD68),ROUND($AB68,1)&gt;Constants!$B$12,ROUND($Z68,1)&gt;Constants!$B$13,ROUND($AA68,1)&gt;Constants!$B$14),Constants!$B$10,Constants!$B$9))))</f>
        <v/>
      </c>
      <c r="AZ68" s="128" t="str">
        <f aca="false">IF($BL68&lt;&gt;Constants!$B$4,"",IF(NOT($AS68),"",ROUND($AU68+$AV68+$AW68+$AX68,1)))</f>
        <v/>
      </c>
      <c r="BA68" s="129" t="str">
        <f aca="false">IF($BL68&lt;&gt;Constants!$B$4,"",IF(NOT($AS68),"",IF(ISNUMBER($AF68),$AF68,0)))</f>
        <v/>
      </c>
      <c r="BB68" s="124" t="str">
        <f aca="false">IF($BL68&lt;&gt;Constants!$B$4,"",IF(NOT($BC68),"&lt;-",IF(NOT($AS68),"-&gt;",IF(OR($BI68&lt;$AY68,AND($BI68=$AY68,OR($BJ68&gt;$AZ68,AND($BJ68=$AZ68,OR($BH68&gt;$AX68,AND($BH68=$AX68,OR($BE68&gt;$AU68,AND($BE68=$AU68,OR($BF68&gt;$AV68,AND($BF68=$AV68,$BK68&gt;$BA68)))))))))),"-&gt;","&lt;-"))))</f>
        <v/>
      </c>
      <c r="BC68" s="123" t="str">
        <f aca="false">IF(ISBLANK($C68),"",COUNTA($P68:$U68)&gt;0)</f>
        <v/>
      </c>
      <c r="BD68" s="123" t="str">
        <f aca="false">IF(ISBLANK($C68),"",AND($BC68,OR(AND($AL68="",OR($AK68,NOT(ISBLANK($S68)))),$AM68="",$AN68="")))</f>
        <v/>
      </c>
      <c r="BE68" s="125" t="str">
        <f aca="false">IF($BL68&lt;&gt;Constants!$B$4,"",IF(NOT($BC68),"",ROUND((Constants!$B$12-$AB68)+(Constants!$B$13-$Z68)+(Constants!$B$14-$AA68),1)))</f>
        <v/>
      </c>
      <c r="BF68" s="127" t="str">
        <f aca="false">IF($BL68&lt;&gt;Constants!$B$4,"",IF(NOT($BC68),"",IF(NOT($AK68),0,Constants!$B$15*(INT(ROUND(MIN($AL68,$AP$9),6))-INT(ROUND(MAX(0,MIN($AL68,2*$AP$9)-$AP$9),6))))))</f>
        <v/>
      </c>
      <c r="BG68" s="127" t="str">
        <f aca="false">IF($BL68&lt;&gt;Constants!$B$4,"",IF(NOT($BC68),"",Constants!$B$16*$AM68))</f>
        <v/>
      </c>
      <c r="BH68" s="127" t="str">
        <f aca="false">IF($BL68&lt;&gt;Constants!$B$4,"",IF(NOT($BC68),"",Constants!$B$18*INT(ROUND($AN68,6))))</f>
        <v/>
      </c>
      <c r="BI68" s="123" t="str">
        <f aca="false">IF($BL68&lt;&gt;Constants!$B$4,"",IF(NOT($BC68),"",IF(NOT($X68),Constants!$B$11,IF(OR(NOT($AI68),NOT($AJ68),ROUND($AB68,1)&gt;Constants!$B$12,ROUND($Z68,1)&gt;Constants!$B$13,ROUND($AA68,1)&gt;Constants!$B$14),Constants!$B$10,Constants!$B$9))))</f>
        <v/>
      </c>
      <c r="BJ68" s="128" t="str">
        <f aca="false">IF($BL68&lt;&gt;Constants!$B$4,"",IF(NOT($BC68),"",ROUND($BE68+$BF68+$BG68+$BH68,1)))</f>
        <v/>
      </c>
      <c r="BK68" s="129" t="str">
        <f aca="false">IF($BL68&lt;&gt;Constants!$B$4,"",IF(NOT($BC68),"",IF(ISNUMBER($AL68),$AL68,0)))</f>
        <v/>
      </c>
      <c r="BL68" s="124" t="str">
        <f aca="false">IF(ISBLANK($C68),"",IF($AO68,Constants!$B$7,IF(COUNTA($E68:$V68)=0,Constants!$B$6,IF(NOT($Y68),Constants!$B$5,IF(NOT(OR($AS68,$BC68)),Constants!$B$5,IF(OR($AT68,$BD68,$AQ68,$AR68&lt;&gt;""),Constants!$B$8,Constants!$B$4))))))</f>
        <v/>
      </c>
      <c r="BM68" s="124" t="str">
        <f aca="false">IF(ISBLANK($C68),"",IF($BL68&lt;&gt;Constants!$B$4,$BL68,IF($BB68="-&gt;",$BI68,$AY68)))</f>
        <v/>
      </c>
      <c r="BN68" s="127" t="str">
        <f aca="false">IF($BL68&lt;&gt;Constants!$B$4,"",IF($BB68="-&gt;",$BJ68,$AZ68))</f>
        <v/>
      </c>
      <c r="BO68" s="127" t="str">
        <f aca="false">IF(ISBLANK($C68),"",IF($BL68&lt;&gt;Constants!$B$4,$BL68,$BN68))</f>
        <v/>
      </c>
      <c r="BP68" s="124" t="str">
        <f aca="false">IF(ISBLANK($C68),"",IF($BL68&lt;&gt;Constants!$B$4,$BL68,RANK($BO68,$BO$9:$BO$508,0)))</f>
        <v/>
      </c>
      <c r="BQ68" s="124" t="str">
        <f aca="false">IF(ISBLANK($C68),"",IF($BL68&lt;&gt;Constants!$B$4,$BL68,COUNTIFS($BM$9:$BM$508,"&lt;"&amp;$BM68)+COUNTIFS($BM$9:$BM$508,$BM68,$BP$9:$BP$508,"&lt;"&amp;$BP68)+1))</f>
        <v/>
      </c>
      <c r="BR68" s="127" t="str">
        <f aca="false">IF($BL68&lt;&gt;Constants!$B$4,"",IF($BB68="-&gt;",$BH68,$AX68))</f>
        <v/>
      </c>
      <c r="BS68" s="124" t="str">
        <f aca="false">IF(ISBLANK($C68),"",IF($BL68&lt;&gt;Constants!$B$4,$BL68,IF(ISNUMBER($BR68),RANK($BR68,$BR$9:$BR$508,0),COUNT($BR$9:$BR$508)+1)))</f>
        <v/>
      </c>
      <c r="BT68" s="127" t="str">
        <f aca="false">IF($BL68&lt;&gt;Constants!$B$4,"",IF($BB68="-&gt;",$BE68,$AU68))</f>
        <v/>
      </c>
      <c r="BU68" s="124" t="str">
        <f aca="false">IF(ISBLANK($C68),"",IF($BL68&lt;&gt;Constants!$B$4,$BL68,IF(ISNUMBER($BT68),RANK($BT68,$BT$9:$BT$508,0),COUNT($BT$9:$BT$508)+1)))</f>
        <v/>
      </c>
      <c r="BV68" s="127" t="str">
        <f aca="false">IF($BL68&lt;&gt;Constants!$B$4,"",IF($BB68="-&gt;",$BF68,$AV68))</f>
        <v/>
      </c>
      <c r="BW68" s="124" t="str">
        <f aca="false">IF(ISBLANK($C68),"",IF($BL68&lt;&gt;Constants!$B$4,$BL68,IF(ISNUMBER($BV68),RANK($BV68,$BV$9:$BV$508,0),COUNT($BV$9:$BV$508)+1)))</f>
        <v/>
      </c>
      <c r="BX68" s="127" t="str">
        <f aca="false">IF($BL68&lt;&gt;Constants!$B$4,"",IF($BB68="-&gt;",$BK68,$BA68))</f>
        <v/>
      </c>
      <c r="BY68" s="124" t="str">
        <f aca="false">IF(ISBLANK($C68),"",IF($BL68&lt;&gt;Constants!$B$4,$BL68,IF(ISNUMBER($BX68),RANK($BX68,$BX$9:$BX$508,0),COUNT($BX$9:$BX$508)+1)))</f>
        <v/>
      </c>
      <c r="BZ68" s="124" t="str">
        <f aca="false">IF(ISBLANK($C68),"",IF($BL68&lt;&gt;Constants!$B$4,$BL68,COUNTIFS($BM$9:$BM$508,"&lt;"&amp;$BM68)+COUNTIFS($BM$9:$BM$508,$BM68,$BP$9:$BP$508,"&lt;"&amp;$BP68)+COUNTIFS($BM$9:$BM$508,$BM68,$BP$9:$BP$508,$BP68,$BS$9:$BS$508,"&lt;"&amp;$BS68)+COUNTIFS($BM$9:$BM$508,$BM68,$BP$9:$BP$508,$BP68,$BS$9:$BS$508,$BS68,$BU$9:$BU$508,"&lt;"&amp;$BU68)+COUNTIFS($BM$9:$BM$508,$BM68,$BP$9:$BP$508,$BP68,$BS$9:$BS$508,$BS68,$BU$9:$BU$508,$BU68,$BW$9:$BW$508,"&lt;"&amp;$BW68)+COUNTIFS($BM$9:$BM$508,$BM68,$BP$9:$BP$508,$BP68,$BS$9:$BS$508,$BS68,$BU$9:$BU$508,$BU68,$BW$9:$BW$508,$BW68,$BY$9:$BY$508,"&lt;"&amp;$BY68)+1))</f>
        <v/>
      </c>
      <c r="CA68" s="124" t="str">
        <f aca="false">IF(ISBLANK($C68),"",IF($BL68&lt;&gt;Constants!$B$4,$BL68,$BQ68-$BZ68))</f>
        <v/>
      </c>
      <c r="CB68" s="130"/>
      <c r="CC68" s="131" t="str">
        <f aca="false">IF(ISBLANK($C68),"",IF($BL68=Constants!$B$8,$AR68,""))</f>
        <v/>
      </c>
      <c r="CD68" s="131" t="str">
        <f aca="false">IF(ISBLANK($C68),"",IF($BL68&lt;&gt;Constants!$B$4,"",IF($BB68="-&gt;",2,1)))</f>
        <v/>
      </c>
      <c r="CE68" s="132" t="str">
        <f aca="false">IF(ISBLANK($C68),"",IF($BL68&lt;&gt;Constants!$B$4,"",IF($BB68="-&gt;",$BE68,$AU68)))</f>
        <v/>
      </c>
      <c r="CF68" s="132" t="str">
        <f aca="false">IF(ISBLANK($C68),"",IF($BL68&lt;&gt;Constants!$B$4,"",IF($BB68="-&gt;",$BF68,$AV68)))</f>
        <v/>
      </c>
      <c r="CG68" s="132" t="str">
        <f aca="false">IF(ISBLANK($C68),"",IF($BL68&lt;&gt;Constants!$B$4,"",IF($BB68="-&gt;",$BG68,$AW68)))</f>
        <v/>
      </c>
      <c r="CH68" s="132" t="str">
        <f aca="false">IF(ISBLANK($C68),"",IF($BL68&lt;&gt;Constants!$B$4,"",IF($BB68="-&gt;",$BH68,$AX68)))</f>
        <v/>
      </c>
      <c r="CI68" s="133" t="str">
        <f aca="false">IF(ISBLANK($C68),"",$BO68)</f>
        <v/>
      </c>
      <c r="CJ68" s="134" t="str">
        <f aca="false">IF(ISBLANK($C68),"",$BM68)</f>
        <v/>
      </c>
      <c r="CK68" s="135" t="str">
        <f aca="false">IF(ISBLANK($C68),"",$CA68)</f>
        <v/>
      </c>
      <c r="CL68" s="135" t="str">
        <f aca="false">IF(ISBLANK($C68),"",$BZ68)</f>
        <v/>
      </c>
      <c r="CM68" s="136" t="str">
        <f aca="false">IF(ISBLANK($C68),"",IF($CL68=Constants!$B$7,COUNTA($C$9:$C$508)+2,IF($CL68=Constants!$B$6,COUNTA($C$9:$C$508)+1,IF($CL68=Constants!$B$5,COUNTA($C$9:$C$508),$CL68))))</f>
        <v/>
      </c>
      <c r="CN68" s="8"/>
      <c r="CO68" s="137" t="n">
        <f aca="false">IF(OR(ISNUMBER($CL68),$CL68=Constants!$B$7,$CL68=Constants!$B$5,$CL68=Constants!$B$6),1,0)</f>
        <v>0</v>
      </c>
      <c r="CP68" s="137" t="n">
        <v>60</v>
      </c>
      <c r="CQ68" s="137" t="str">
        <f aca="false">IF(ISBLANK($C68),"",IF(ISNUMBER($CM68),$CM68+ROW($B68)/1000,""))</f>
        <v/>
      </c>
      <c r="CR68" s="137" t="str">
        <f aca="false">IF(ISNUMBER($CQ68),RANK($CQ68,$CQ$9:$CQ$508,1),"")</f>
        <v/>
      </c>
      <c r="CS68" s="137" t="str">
        <f aca="false">IF(ISBLANK($C68),"",$B68)</f>
        <v/>
      </c>
      <c r="CT68" s="137" t="str">
        <f aca="false">IF(ISBLANK($C68),"",$C68)</f>
        <v/>
      </c>
      <c r="CU68" s="137" t="str">
        <f aca="false">IF(ISBLANK($C68),"",$D68)</f>
        <v/>
      </c>
      <c r="CV68" s="138" t="str">
        <f aca="false">$CJ68</f>
        <v/>
      </c>
      <c r="CW68" s="139" t="str">
        <f aca="false">$CI68</f>
        <v/>
      </c>
      <c r="CX68" s="137" t="str">
        <f aca="false">IF(ISBLANK($C68),"",$CL68)</f>
        <v/>
      </c>
      <c r="CY68" s="140" t="str">
        <f aca="false">IF($CP68&gt;$CO$8,"",VLOOKUP($CP68,$CR$9:$CX$508,7,FALSE()))</f>
        <v/>
      </c>
      <c r="CZ68" s="141" t="str">
        <f aca="false">IF($CP68&gt;$CO$8,"",VLOOKUP($CP68,$CR$9:$CX$508,2,FALSE()))</f>
        <v/>
      </c>
      <c r="DA68" s="141" t="str">
        <f aca="false">IF($CP68&gt;$CO$8,"",VLOOKUP($CP68,$CR$9:$CX$508,3,FALSE()))</f>
        <v/>
      </c>
      <c r="DB68" s="141" t="str">
        <f aca="false">IF($CP68&gt;$CO$8,"",VLOOKUP($CP68,$CR$9:$CX$508,4,FALSE()))</f>
        <v/>
      </c>
      <c r="DC68" s="141" t="str">
        <f aca="false">IF($CP68&gt;$CO$8,"",VLOOKUP($CP68,$CR$9:$CX$508,5,FALSE()))</f>
        <v/>
      </c>
      <c r="DD68" s="142" t="str">
        <f aca="false">IF($CP68&gt;$CO$8,"",VLOOKUP($CP68,$CR$9:$CX$508,6,FALSE()))</f>
        <v/>
      </c>
      <c r="DE68" s="70"/>
    </row>
    <row r="69" customFormat="false" ht="15.75" hidden="false" customHeight="false" outlineLevel="0" collapsed="false">
      <c r="A69" s="8"/>
      <c r="B69" s="72"/>
      <c r="C69" s="73"/>
      <c r="D69" s="155"/>
      <c r="E69" s="162"/>
      <c r="F69" s="157"/>
      <c r="G69" s="77"/>
      <c r="H69" s="77"/>
      <c r="I69" s="77"/>
      <c r="J69" s="163"/>
      <c r="K69" s="161"/>
      <c r="L69" s="161"/>
      <c r="M69" s="80"/>
      <c r="N69" s="161"/>
      <c r="O69" s="160"/>
      <c r="P69" s="161"/>
      <c r="Q69" s="161"/>
      <c r="R69" s="161"/>
      <c r="S69" s="77"/>
      <c r="T69" s="161"/>
      <c r="U69" s="160"/>
      <c r="V69" s="161"/>
      <c r="W69" s="85"/>
      <c r="X69" s="86" t="str">
        <f aca="false">IF(ISBLANK($C69),"",IF($E69=Constants!$B$2,TRUE(),IF($E69=Constants!$B$3,FALSE(),TRUE())))</f>
        <v/>
      </c>
      <c r="Y69" s="86" t="str">
        <f aca="false">IF(ISBLANK($C69),"",IF($F69=Constants!$B$2,TRUE(),IF($F69=Constants!$B$3,FALSE(),TRUE())))</f>
        <v/>
      </c>
      <c r="Z69" s="87" t="str">
        <f aca="false">IF(ISBLANK($C69),"",IF(ISNUMBER($G69),IF($G69&gt;=0,$G69,""),""))</f>
        <v/>
      </c>
      <c r="AA69" s="87" t="str">
        <f aca="false">IF(ISBLANK($C69),"",IF(ISNUMBER($H69),IF($H69&gt;=0,$H69,""),""))</f>
        <v/>
      </c>
      <c r="AB69" s="87" t="str">
        <f aca="false">IF(ISBLANK($C69),"",IF(ISNUMBER($I69),IF($I69&gt;=0,$I69,""),""))</f>
        <v/>
      </c>
      <c r="AC69" s="86" t="str">
        <f aca="false">IF(ISBLANK($C69),"",IF($J69=Constants!$B$2,TRUE(),IF($J69=Constants!$B$3,FALSE(),TRUE())))</f>
        <v/>
      </c>
      <c r="AD69" s="86" t="str">
        <f aca="false">IF(ISBLANK($C69),"",IF($K69=Constants!$B$2,TRUE(),IF($K69=Constants!$B$3,FALSE(),TRUE())))</f>
        <v/>
      </c>
      <c r="AE69" s="86" t="str">
        <f aca="false">IF(ISBLANK($C69),"",IF($L69=Constants!$B$2,TRUE(),IF($L69=Constants!$B$3,FALSE(),TRUE())))</f>
        <v/>
      </c>
      <c r="AF69" s="88" t="str">
        <f aca="false">IF(ISBLANK($C69),"",IF(ISNUMBER($M69),IF($M69&gt;=0,$M69,""),""))</f>
        <v/>
      </c>
      <c r="AG69" s="86" t="str">
        <f aca="false">IF(ISBLANK($C69),"",IF(ISBLANK($N69),0,IF(ISNUMBER($N69),IF(AND($N69&gt;=0,$N69&lt;=Constants!$B$17,$N69=INT($N69)),$N69,""),"")))</f>
        <v/>
      </c>
      <c r="AH69" s="87" t="str">
        <f aca="false">IF(ISBLANK($C69),"",IF(ISBLANK($O69),0,IF(ISNUMBER($O69),IF($O69&gt;=0,$O69,""),"")))</f>
        <v/>
      </c>
      <c r="AI69" s="86" t="str">
        <f aca="false">IF(ISBLANK($C69),"",IF($P69=Constants!$B$2,TRUE(),IF($P69=Constants!$B$3,FALSE(),TRUE())))</f>
        <v/>
      </c>
      <c r="AJ69" s="86" t="str">
        <f aca="false">IF(ISBLANK($C69),"",IF($Q69=Constants!$B$2,TRUE(),IF($Q69=Constants!$B$3,FALSE(),TRUE())))</f>
        <v/>
      </c>
      <c r="AK69" s="86" t="str">
        <f aca="false">IF(ISBLANK($C69),"",IF($R69=Constants!$B$2,TRUE(),IF($R69=Constants!$B$3,FALSE(),TRUE())))</f>
        <v/>
      </c>
      <c r="AL69" s="88" t="str">
        <f aca="false">IF(ISBLANK($C69),"",IF(ISNUMBER($S69),IF($S69&gt;=0,$S69,""),""))</f>
        <v/>
      </c>
      <c r="AM69" s="86" t="str">
        <f aca="false">IF(ISBLANK($C69),"",IF(ISBLANK($T69),0,IF(ISNUMBER($T69),IF(AND($T69&gt;=0,$T69&lt;=Constants!$B$17,$T69=INT($T69)),$T69,""),"")))</f>
        <v/>
      </c>
      <c r="AN69" s="87" t="str">
        <f aca="false">IF(ISBLANK($C69),"",IF(ISBLANK($U69),0,IF(ISNUMBER($U69),IF($U69&gt;=0,$U69,""),"")))</f>
        <v/>
      </c>
      <c r="AO69" s="86" t="str">
        <f aca="false">IF(ISBLANK($C69),"",IF($V69=Constants!$B$2,TRUE(),IF($V69=Constants!$B$3,FALSE(),FALSE())))</f>
        <v/>
      </c>
      <c r="AP69" s="86"/>
      <c r="AQ69" s="85" t="str">
        <f aca="false">IF(ISBLANK($C69),"",AND($Y69,OR($AS69,$BC69),OR($Z69="",$AA69="",$AB69="")))</f>
        <v/>
      </c>
      <c r="AR69" s="85" t="str">
        <f aca="false">IF(ISBLANK($C69),"",IF(OR(NOT($Y69),NOT(OR($AS69,$BC69))),"",IF(ISBLANK($D$7),$AR$5,IF($AP$9="",$AR$6,""))))</f>
        <v/>
      </c>
      <c r="AS69" s="85" t="str">
        <f aca="false">IF(ISBLANK($C69),"",COUNTA($J69:$O69)&gt;0)</f>
        <v/>
      </c>
      <c r="AT69" s="85" t="str">
        <f aca="false">IF(ISBLANK($C69),"",AND($AS69,OR(AND($AF69="",OR($AE69,NOT(ISBLANK($M69)))),$AG69="",$AH69="")))</f>
        <v/>
      </c>
      <c r="AU69" s="87" t="str">
        <f aca="false">IF($BL69&lt;&gt;Constants!$B$4,"",IF(NOT($AS69),"",ROUND((Constants!$B$12-$AB69)+(Constants!$B$13-$Z69)+(Constants!$B$14-$AA69),1)))</f>
        <v/>
      </c>
      <c r="AV69" s="90" t="str">
        <f aca="false">IF($BL69&lt;&gt;Constants!$B$4,"",IF(NOT($AS69),"",IF(NOT($AE69),0,Constants!$B$15*(INT(ROUND(MIN($AF69,$AP$9),6))-INT(ROUND(MAX(0,MIN($AF69,2*$AP$9)-$AP$9),6))))))</f>
        <v/>
      </c>
      <c r="AW69" s="90" t="str">
        <f aca="false">IF($BL69&lt;&gt;Constants!$B$4,"",IF(NOT($AS69),"",Constants!$B$16*$AG69))</f>
        <v/>
      </c>
      <c r="AX69" s="90" t="str">
        <f aca="false">IF($BL69&lt;&gt;Constants!$B$4,"",IF(NOT($AS69),"",Constants!$B$18*INT(ROUND($AH69,6))))</f>
        <v/>
      </c>
      <c r="AY69" s="85" t="str">
        <f aca="false">IF($BL69&lt;&gt;Constants!$B$4,"",IF(NOT($AS69),"",IF(NOT($X69),Constants!$B$11,IF(OR(NOT($AC69),NOT($AD69),ROUND($AB69,1)&gt;Constants!$B$12,ROUND($Z69,1)&gt;Constants!$B$13,ROUND($AA69,1)&gt;Constants!$B$14),Constants!$B$10,Constants!$B$9))))</f>
        <v/>
      </c>
      <c r="AZ69" s="91" t="str">
        <f aca="false">IF($BL69&lt;&gt;Constants!$B$4,"",IF(NOT($AS69),"",ROUND($AU69+$AV69+$AW69+$AX69,1)))</f>
        <v/>
      </c>
      <c r="BA69" s="92" t="str">
        <f aca="false">IF($BL69&lt;&gt;Constants!$B$4,"",IF(NOT($AS69),"",IF(ISNUMBER($AF69),$AF69,0)))</f>
        <v/>
      </c>
      <c r="BB69" s="86" t="str">
        <f aca="false">IF($BL69&lt;&gt;Constants!$B$4,"",IF(NOT($BC69),"&lt;-",IF(NOT($AS69),"-&gt;",IF(OR($BI69&lt;$AY69,AND($BI69=$AY69,OR($BJ69&gt;$AZ69,AND($BJ69=$AZ69,OR($BH69&gt;$AX69,AND($BH69=$AX69,OR($BE69&gt;$AU69,AND($BE69=$AU69,OR($BF69&gt;$AV69,AND($BF69=$AV69,$BK69&gt;$BA69)))))))))),"-&gt;","&lt;-"))))</f>
        <v/>
      </c>
      <c r="BC69" s="85" t="str">
        <f aca="false">IF(ISBLANK($C69),"",COUNTA($P69:$U69)&gt;0)</f>
        <v/>
      </c>
      <c r="BD69" s="85" t="str">
        <f aca="false">IF(ISBLANK($C69),"",AND($BC69,OR(AND($AL69="",OR($AK69,NOT(ISBLANK($S69)))),$AM69="",$AN69="")))</f>
        <v/>
      </c>
      <c r="BE69" s="87" t="str">
        <f aca="false">IF($BL69&lt;&gt;Constants!$B$4,"",IF(NOT($BC69),"",ROUND((Constants!$B$12-$AB69)+(Constants!$B$13-$Z69)+(Constants!$B$14-$AA69),1)))</f>
        <v/>
      </c>
      <c r="BF69" s="90" t="str">
        <f aca="false">IF($BL69&lt;&gt;Constants!$B$4,"",IF(NOT($BC69),"",IF(NOT($AK69),0,Constants!$B$15*(INT(ROUND(MIN($AL69,$AP$9),6))-INT(ROUND(MAX(0,MIN($AL69,2*$AP$9)-$AP$9),6))))))</f>
        <v/>
      </c>
      <c r="BG69" s="90" t="str">
        <f aca="false">IF($BL69&lt;&gt;Constants!$B$4,"",IF(NOT($BC69),"",Constants!$B$16*$AM69))</f>
        <v/>
      </c>
      <c r="BH69" s="90" t="str">
        <f aca="false">IF($BL69&lt;&gt;Constants!$B$4,"",IF(NOT($BC69),"",Constants!$B$18*INT(ROUND($AN69,6))))</f>
        <v/>
      </c>
      <c r="BI69" s="85" t="str">
        <f aca="false">IF($BL69&lt;&gt;Constants!$B$4,"",IF(NOT($BC69),"",IF(NOT($X69),Constants!$B$11,IF(OR(NOT($AI69),NOT($AJ69),ROUND($AB69,1)&gt;Constants!$B$12,ROUND($Z69,1)&gt;Constants!$B$13,ROUND($AA69,1)&gt;Constants!$B$14),Constants!$B$10,Constants!$B$9))))</f>
        <v/>
      </c>
      <c r="BJ69" s="91" t="str">
        <f aca="false">IF($BL69&lt;&gt;Constants!$B$4,"",IF(NOT($BC69),"",ROUND($BE69+$BF69+$BG69+$BH69,1)))</f>
        <v/>
      </c>
      <c r="BK69" s="92" t="str">
        <f aca="false">IF($BL69&lt;&gt;Constants!$B$4,"",IF(NOT($BC69),"",IF(ISNUMBER($AL69),$AL69,0)))</f>
        <v/>
      </c>
      <c r="BL69" s="86" t="str">
        <f aca="false">IF(ISBLANK($C69),"",IF($AO69,Constants!$B$7,IF(COUNTA($E69:$V69)=0,Constants!$B$6,IF(NOT($Y69),Constants!$B$5,IF(NOT(OR($AS69,$BC69)),Constants!$B$5,IF(OR($AT69,$BD69,$AQ69,$AR69&lt;&gt;""),Constants!$B$8,Constants!$B$4))))))</f>
        <v/>
      </c>
      <c r="BM69" s="86" t="str">
        <f aca="false">IF(ISBLANK($C69),"",IF($BL69&lt;&gt;Constants!$B$4,$BL69,IF($BB69="-&gt;",$BI69,$AY69)))</f>
        <v/>
      </c>
      <c r="BN69" s="90" t="str">
        <f aca="false">IF($BL69&lt;&gt;Constants!$B$4,"",IF($BB69="-&gt;",$BJ69,$AZ69))</f>
        <v/>
      </c>
      <c r="BO69" s="90" t="str">
        <f aca="false">IF(ISBLANK($C69),"",IF($BL69&lt;&gt;Constants!$B$4,$BL69,$BN69))</f>
        <v/>
      </c>
      <c r="BP69" s="86" t="str">
        <f aca="false">IF(ISBLANK($C69),"",IF($BL69&lt;&gt;Constants!$B$4,$BL69,RANK($BO69,$BO$9:$BO$508,0)))</f>
        <v/>
      </c>
      <c r="BQ69" s="86" t="str">
        <f aca="false">IF(ISBLANK($C69),"",IF($BL69&lt;&gt;Constants!$B$4,$BL69,COUNTIFS($BM$9:$BM$508,"&lt;"&amp;$BM69)+COUNTIFS($BM$9:$BM$508,$BM69,$BP$9:$BP$508,"&lt;"&amp;$BP69)+1))</f>
        <v/>
      </c>
      <c r="BR69" s="90" t="str">
        <f aca="false">IF($BL69&lt;&gt;Constants!$B$4,"",IF($BB69="-&gt;",$BH69,$AX69))</f>
        <v/>
      </c>
      <c r="BS69" s="86" t="str">
        <f aca="false">IF(ISBLANK($C69),"",IF($BL69&lt;&gt;Constants!$B$4,$BL69,IF(ISNUMBER($BR69),RANK($BR69,$BR$9:$BR$508,0),COUNT($BR$9:$BR$508)+1)))</f>
        <v/>
      </c>
      <c r="BT69" s="90" t="str">
        <f aca="false">IF($BL69&lt;&gt;Constants!$B$4,"",IF($BB69="-&gt;",$BE69,$AU69))</f>
        <v/>
      </c>
      <c r="BU69" s="86" t="str">
        <f aca="false">IF(ISBLANK($C69),"",IF($BL69&lt;&gt;Constants!$B$4,$BL69,IF(ISNUMBER($BT69),RANK($BT69,$BT$9:$BT$508,0),COUNT($BT$9:$BT$508)+1)))</f>
        <v/>
      </c>
      <c r="BV69" s="90" t="str">
        <f aca="false">IF($BL69&lt;&gt;Constants!$B$4,"",IF($BB69="-&gt;",$BF69,$AV69))</f>
        <v/>
      </c>
      <c r="BW69" s="86" t="str">
        <f aca="false">IF(ISBLANK($C69),"",IF($BL69&lt;&gt;Constants!$B$4,$BL69,IF(ISNUMBER($BV69),RANK($BV69,$BV$9:$BV$508,0),COUNT($BV$9:$BV$508)+1)))</f>
        <v/>
      </c>
      <c r="BX69" s="90" t="str">
        <f aca="false">IF($BL69&lt;&gt;Constants!$B$4,"",IF($BB69="-&gt;",$BK69,$BA69))</f>
        <v/>
      </c>
      <c r="BY69" s="86" t="str">
        <f aca="false">IF(ISBLANK($C69),"",IF($BL69&lt;&gt;Constants!$B$4,$BL69,IF(ISNUMBER($BX69),RANK($BX69,$BX$9:$BX$508,0),COUNT($BX$9:$BX$508)+1)))</f>
        <v/>
      </c>
      <c r="BZ69" s="86" t="str">
        <f aca="false">IF(ISBLANK($C69),"",IF($BL69&lt;&gt;Constants!$B$4,$BL69,COUNTIFS($BM$9:$BM$508,"&lt;"&amp;$BM69)+COUNTIFS($BM$9:$BM$508,$BM69,$BP$9:$BP$508,"&lt;"&amp;$BP69)+COUNTIFS($BM$9:$BM$508,$BM69,$BP$9:$BP$508,$BP69,$BS$9:$BS$508,"&lt;"&amp;$BS69)+COUNTIFS($BM$9:$BM$508,$BM69,$BP$9:$BP$508,$BP69,$BS$9:$BS$508,$BS69,$BU$9:$BU$508,"&lt;"&amp;$BU69)+COUNTIFS($BM$9:$BM$508,$BM69,$BP$9:$BP$508,$BP69,$BS$9:$BS$508,$BS69,$BU$9:$BU$508,$BU69,$BW$9:$BW$508,"&lt;"&amp;$BW69)+COUNTIFS($BM$9:$BM$508,$BM69,$BP$9:$BP$508,$BP69,$BS$9:$BS$508,$BS69,$BU$9:$BU$508,$BU69,$BW$9:$BW$508,$BW69,$BY$9:$BY$508,"&lt;"&amp;$BY69)+1))</f>
        <v/>
      </c>
      <c r="CA69" s="86" t="str">
        <f aca="false">IF(ISBLANK($C69),"",IF($BL69&lt;&gt;Constants!$B$4,$BL69,$BQ69-$BZ69))</f>
        <v/>
      </c>
      <c r="CB69" s="93"/>
      <c r="CC69" s="94" t="str">
        <f aca="false">IF(ISBLANK($C69),"",IF($BL69=Constants!$B$8,$AR69,""))</f>
        <v/>
      </c>
      <c r="CD69" s="94" t="str">
        <f aca="false">IF(ISBLANK($C69),"",IF($BL69&lt;&gt;Constants!$B$4,"",IF($BB69="-&gt;",2,1)))</f>
        <v/>
      </c>
      <c r="CE69" s="95" t="str">
        <f aca="false">IF(ISBLANK($C69),"",IF($BL69&lt;&gt;Constants!$B$4,"",IF($BB69="-&gt;",$BE69,$AU69)))</f>
        <v/>
      </c>
      <c r="CF69" s="95" t="str">
        <f aca="false">IF(ISBLANK($C69),"",IF($BL69&lt;&gt;Constants!$B$4,"",IF($BB69="-&gt;",$BF69,$AV69)))</f>
        <v/>
      </c>
      <c r="CG69" s="95" t="str">
        <f aca="false">IF(ISBLANK($C69),"",IF($BL69&lt;&gt;Constants!$B$4,"",IF($BB69="-&gt;",$BG69,$AW69)))</f>
        <v/>
      </c>
      <c r="CH69" s="95" t="str">
        <f aca="false">IF(ISBLANK($C69),"",IF($BL69&lt;&gt;Constants!$B$4,"",IF($BB69="-&gt;",$BH69,$AX69)))</f>
        <v/>
      </c>
      <c r="CI69" s="96" t="str">
        <f aca="false">IF(ISBLANK($C69),"",$BO69)</f>
        <v/>
      </c>
      <c r="CJ69" s="97" t="str">
        <f aca="false">IF(ISBLANK($C69),"",$BM69)</f>
        <v/>
      </c>
      <c r="CK69" s="98" t="str">
        <f aca="false">IF(ISBLANK($C69),"",$CA69)</f>
        <v/>
      </c>
      <c r="CL69" s="98" t="str">
        <f aca="false">IF(ISBLANK($C69),"",$BZ69)</f>
        <v/>
      </c>
      <c r="CM69" s="99" t="str">
        <f aca="false">IF(ISBLANK($C69),"",IF($CL69=Constants!$B$7,COUNTA($C$9:$C$508)+2,IF($CL69=Constants!$B$6,COUNTA($C$9:$C$508)+1,IF($CL69=Constants!$B$5,COUNTA($C$9:$C$508),$CL69))))</f>
        <v/>
      </c>
      <c r="CN69" s="8"/>
      <c r="CO69" s="100" t="n">
        <f aca="false">IF(OR(ISNUMBER($CL69),$CL69=Constants!$B$7,$CL69=Constants!$B$5,$CL69=Constants!$B$6),1,0)</f>
        <v>0</v>
      </c>
      <c r="CP69" s="100" t="n">
        <v>61</v>
      </c>
      <c r="CQ69" s="100" t="str">
        <f aca="false">IF(ISBLANK($C69),"",IF(ISNUMBER($CM69),$CM69+ROW($B69)/1000,""))</f>
        <v/>
      </c>
      <c r="CR69" s="100" t="str">
        <f aca="false">IF(ISNUMBER($CQ69),RANK($CQ69,$CQ$9:$CQ$508,1),"")</f>
        <v/>
      </c>
      <c r="CS69" s="100" t="str">
        <f aca="false">IF(ISBLANK($C69),"",$B69)</f>
        <v/>
      </c>
      <c r="CT69" s="100" t="str">
        <f aca="false">IF(ISBLANK($C69),"",$C69)</f>
        <v/>
      </c>
      <c r="CU69" s="100" t="str">
        <f aca="false">IF(ISBLANK($C69),"",$D69)</f>
        <v/>
      </c>
      <c r="CV69" s="101" t="str">
        <f aca="false">$CJ69</f>
        <v/>
      </c>
      <c r="CW69" s="102" t="str">
        <f aca="false">$CI69</f>
        <v/>
      </c>
      <c r="CX69" s="100" t="str">
        <f aca="false">IF(ISBLANK($C69),"",$CL69)</f>
        <v/>
      </c>
      <c r="CY69" s="103" t="str">
        <f aca="false">IF($CP69&gt;$CO$8,"",VLOOKUP($CP69,$CR$9:$CX$508,7,FALSE()))</f>
        <v/>
      </c>
      <c r="CZ69" s="104" t="str">
        <f aca="false">IF($CP69&gt;$CO$8,"",VLOOKUP($CP69,$CR$9:$CX$508,2,FALSE()))</f>
        <v/>
      </c>
      <c r="DA69" s="104" t="str">
        <f aca="false">IF($CP69&gt;$CO$8,"",VLOOKUP($CP69,$CR$9:$CX$508,3,FALSE()))</f>
        <v/>
      </c>
      <c r="DB69" s="104" t="str">
        <f aca="false">IF($CP69&gt;$CO$8,"",VLOOKUP($CP69,$CR$9:$CX$508,4,FALSE()))</f>
        <v/>
      </c>
      <c r="DC69" s="104" t="str">
        <f aca="false">IF($CP69&gt;$CO$8,"",VLOOKUP($CP69,$CR$9:$CX$508,5,FALSE()))</f>
        <v/>
      </c>
      <c r="DD69" s="105" t="str">
        <f aca="false">IF($CP69&gt;$CO$8,"",VLOOKUP($CP69,$CR$9:$CX$508,6,FALSE()))</f>
        <v/>
      </c>
      <c r="DE69" s="70"/>
    </row>
    <row r="70" customFormat="false" ht="15.75" hidden="false" customHeight="false" outlineLevel="0" collapsed="false">
      <c r="A70" s="8"/>
      <c r="B70" s="72"/>
      <c r="C70" s="73"/>
      <c r="D70" s="155"/>
      <c r="E70" s="162"/>
      <c r="F70" s="157"/>
      <c r="G70" s="77"/>
      <c r="H70" s="77"/>
      <c r="I70" s="77"/>
      <c r="J70" s="163"/>
      <c r="K70" s="161"/>
      <c r="L70" s="161"/>
      <c r="M70" s="80"/>
      <c r="N70" s="161"/>
      <c r="O70" s="160"/>
      <c r="P70" s="161"/>
      <c r="Q70" s="161"/>
      <c r="R70" s="161"/>
      <c r="S70" s="77"/>
      <c r="T70" s="161"/>
      <c r="U70" s="160"/>
      <c r="V70" s="161"/>
      <c r="W70" s="85"/>
      <c r="X70" s="86" t="str">
        <f aca="false">IF(ISBLANK($C70),"",IF($E70=Constants!$B$2,TRUE(),IF($E70=Constants!$B$3,FALSE(),TRUE())))</f>
        <v/>
      </c>
      <c r="Y70" s="86" t="str">
        <f aca="false">IF(ISBLANK($C70),"",IF($F70=Constants!$B$2,TRUE(),IF($F70=Constants!$B$3,FALSE(),TRUE())))</f>
        <v/>
      </c>
      <c r="Z70" s="87" t="str">
        <f aca="false">IF(ISBLANK($C70),"",IF(ISNUMBER($G70),IF($G70&gt;=0,$G70,""),""))</f>
        <v/>
      </c>
      <c r="AA70" s="87" t="str">
        <f aca="false">IF(ISBLANK($C70),"",IF(ISNUMBER($H70),IF($H70&gt;=0,$H70,""),""))</f>
        <v/>
      </c>
      <c r="AB70" s="87" t="str">
        <f aca="false">IF(ISBLANK($C70),"",IF(ISNUMBER($I70),IF($I70&gt;=0,$I70,""),""))</f>
        <v/>
      </c>
      <c r="AC70" s="86" t="str">
        <f aca="false">IF(ISBLANK($C70),"",IF($J70=Constants!$B$2,TRUE(),IF($J70=Constants!$B$3,FALSE(),TRUE())))</f>
        <v/>
      </c>
      <c r="AD70" s="86" t="str">
        <f aca="false">IF(ISBLANK($C70),"",IF($K70=Constants!$B$2,TRUE(),IF($K70=Constants!$B$3,FALSE(),TRUE())))</f>
        <v/>
      </c>
      <c r="AE70" s="86" t="str">
        <f aca="false">IF(ISBLANK($C70),"",IF($L70=Constants!$B$2,TRUE(),IF($L70=Constants!$B$3,FALSE(),TRUE())))</f>
        <v/>
      </c>
      <c r="AF70" s="88" t="str">
        <f aca="false">IF(ISBLANK($C70),"",IF(ISNUMBER($M70),IF($M70&gt;=0,$M70,""),""))</f>
        <v/>
      </c>
      <c r="AG70" s="86" t="str">
        <f aca="false">IF(ISBLANK($C70),"",IF(ISBLANK($N70),0,IF(ISNUMBER($N70),IF(AND($N70&gt;=0,$N70&lt;=Constants!$B$17,$N70=INT($N70)),$N70,""),"")))</f>
        <v/>
      </c>
      <c r="AH70" s="87" t="str">
        <f aca="false">IF(ISBLANK($C70),"",IF(ISBLANK($O70),0,IF(ISNUMBER($O70),IF($O70&gt;=0,$O70,""),"")))</f>
        <v/>
      </c>
      <c r="AI70" s="86" t="str">
        <f aca="false">IF(ISBLANK($C70),"",IF($P70=Constants!$B$2,TRUE(),IF($P70=Constants!$B$3,FALSE(),TRUE())))</f>
        <v/>
      </c>
      <c r="AJ70" s="86" t="str">
        <f aca="false">IF(ISBLANK($C70),"",IF($Q70=Constants!$B$2,TRUE(),IF($Q70=Constants!$B$3,FALSE(),TRUE())))</f>
        <v/>
      </c>
      <c r="AK70" s="86" t="str">
        <f aca="false">IF(ISBLANK($C70),"",IF($R70=Constants!$B$2,TRUE(),IF($R70=Constants!$B$3,FALSE(),TRUE())))</f>
        <v/>
      </c>
      <c r="AL70" s="88" t="str">
        <f aca="false">IF(ISBLANK($C70),"",IF(ISNUMBER($S70),IF($S70&gt;=0,$S70,""),""))</f>
        <v/>
      </c>
      <c r="AM70" s="86" t="str">
        <f aca="false">IF(ISBLANK($C70),"",IF(ISBLANK($T70),0,IF(ISNUMBER($T70),IF(AND($T70&gt;=0,$T70&lt;=Constants!$B$17,$T70=INT($T70)),$T70,""),"")))</f>
        <v/>
      </c>
      <c r="AN70" s="87" t="str">
        <f aca="false">IF(ISBLANK($C70),"",IF(ISBLANK($U70),0,IF(ISNUMBER($U70),IF($U70&gt;=0,$U70,""),"")))</f>
        <v/>
      </c>
      <c r="AO70" s="86" t="str">
        <f aca="false">IF(ISBLANK($C70),"",IF($V70=Constants!$B$2,TRUE(),IF($V70=Constants!$B$3,FALSE(),FALSE())))</f>
        <v/>
      </c>
      <c r="AP70" s="86"/>
      <c r="AQ70" s="85" t="str">
        <f aca="false">IF(ISBLANK($C70),"",AND($Y70,OR($AS70,$BC70),OR($Z70="",$AA70="",$AB70="")))</f>
        <v/>
      </c>
      <c r="AR70" s="85" t="str">
        <f aca="false">IF(ISBLANK($C70),"",IF(OR(NOT($Y70),NOT(OR($AS70,$BC70))),"",IF(ISBLANK($D$7),$AR$5,IF($AP$9="",$AR$6,""))))</f>
        <v/>
      </c>
      <c r="AS70" s="85" t="str">
        <f aca="false">IF(ISBLANK($C70),"",COUNTA($J70:$O70)&gt;0)</f>
        <v/>
      </c>
      <c r="AT70" s="85" t="str">
        <f aca="false">IF(ISBLANK($C70),"",AND($AS70,OR(AND($AF70="",OR($AE70,NOT(ISBLANK($M70)))),$AG70="",$AH70="")))</f>
        <v/>
      </c>
      <c r="AU70" s="87" t="str">
        <f aca="false">IF($BL70&lt;&gt;Constants!$B$4,"",IF(NOT($AS70),"",ROUND((Constants!$B$12-$AB70)+(Constants!$B$13-$Z70)+(Constants!$B$14-$AA70),1)))</f>
        <v/>
      </c>
      <c r="AV70" s="90" t="str">
        <f aca="false">IF($BL70&lt;&gt;Constants!$B$4,"",IF(NOT($AS70),"",IF(NOT($AE70),0,Constants!$B$15*(INT(ROUND(MIN($AF70,$AP$9),6))-INT(ROUND(MAX(0,MIN($AF70,2*$AP$9)-$AP$9),6))))))</f>
        <v/>
      </c>
      <c r="AW70" s="90" t="str">
        <f aca="false">IF($BL70&lt;&gt;Constants!$B$4,"",IF(NOT($AS70),"",Constants!$B$16*$AG70))</f>
        <v/>
      </c>
      <c r="AX70" s="90" t="str">
        <f aca="false">IF($BL70&lt;&gt;Constants!$B$4,"",IF(NOT($AS70),"",Constants!$B$18*INT(ROUND($AH70,6))))</f>
        <v/>
      </c>
      <c r="AY70" s="85" t="str">
        <f aca="false">IF($BL70&lt;&gt;Constants!$B$4,"",IF(NOT($AS70),"",IF(NOT($X70),Constants!$B$11,IF(OR(NOT($AC70),NOT($AD70),ROUND($AB70,1)&gt;Constants!$B$12,ROUND($Z70,1)&gt;Constants!$B$13,ROUND($AA70,1)&gt;Constants!$B$14),Constants!$B$10,Constants!$B$9))))</f>
        <v/>
      </c>
      <c r="AZ70" s="91" t="str">
        <f aca="false">IF($BL70&lt;&gt;Constants!$B$4,"",IF(NOT($AS70),"",ROUND($AU70+$AV70+$AW70+$AX70,1)))</f>
        <v/>
      </c>
      <c r="BA70" s="92" t="str">
        <f aca="false">IF($BL70&lt;&gt;Constants!$B$4,"",IF(NOT($AS70),"",IF(ISNUMBER($AF70),$AF70,0)))</f>
        <v/>
      </c>
      <c r="BB70" s="86" t="str">
        <f aca="false">IF($BL70&lt;&gt;Constants!$B$4,"",IF(NOT($BC70),"&lt;-",IF(NOT($AS70),"-&gt;",IF(OR($BI70&lt;$AY70,AND($BI70=$AY70,OR($BJ70&gt;$AZ70,AND($BJ70=$AZ70,OR($BH70&gt;$AX70,AND($BH70=$AX70,OR($BE70&gt;$AU70,AND($BE70=$AU70,OR($BF70&gt;$AV70,AND($BF70=$AV70,$BK70&gt;$BA70)))))))))),"-&gt;","&lt;-"))))</f>
        <v/>
      </c>
      <c r="BC70" s="85" t="str">
        <f aca="false">IF(ISBLANK($C70),"",COUNTA($P70:$U70)&gt;0)</f>
        <v/>
      </c>
      <c r="BD70" s="85" t="str">
        <f aca="false">IF(ISBLANK($C70),"",AND($BC70,OR(AND($AL70="",OR($AK70,NOT(ISBLANK($S70)))),$AM70="",$AN70="")))</f>
        <v/>
      </c>
      <c r="BE70" s="87" t="str">
        <f aca="false">IF($BL70&lt;&gt;Constants!$B$4,"",IF(NOT($BC70),"",ROUND((Constants!$B$12-$AB70)+(Constants!$B$13-$Z70)+(Constants!$B$14-$AA70),1)))</f>
        <v/>
      </c>
      <c r="BF70" s="90" t="str">
        <f aca="false">IF($BL70&lt;&gt;Constants!$B$4,"",IF(NOT($BC70),"",IF(NOT($AK70),0,Constants!$B$15*(INT(ROUND(MIN($AL70,$AP$9),6))-INT(ROUND(MAX(0,MIN($AL70,2*$AP$9)-$AP$9),6))))))</f>
        <v/>
      </c>
      <c r="BG70" s="90" t="str">
        <f aca="false">IF($BL70&lt;&gt;Constants!$B$4,"",IF(NOT($BC70),"",Constants!$B$16*$AM70))</f>
        <v/>
      </c>
      <c r="BH70" s="90" t="str">
        <f aca="false">IF($BL70&lt;&gt;Constants!$B$4,"",IF(NOT($BC70),"",Constants!$B$18*INT(ROUND($AN70,6))))</f>
        <v/>
      </c>
      <c r="BI70" s="85" t="str">
        <f aca="false">IF($BL70&lt;&gt;Constants!$B$4,"",IF(NOT($BC70),"",IF(NOT($X70),Constants!$B$11,IF(OR(NOT($AI70),NOT($AJ70),ROUND($AB70,1)&gt;Constants!$B$12,ROUND($Z70,1)&gt;Constants!$B$13,ROUND($AA70,1)&gt;Constants!$B$14),Constants!$B$10,Constants!$B$9))))</f>
        <v/>
      </c>
      <c r="BJ70" s="91" t="str">
        <f aca="false">IF($BL70&lt;&gt;Constants!$B$4,"",IF(NOT($BC70),"",ROUND($BE70+$BF70+$BG70+$BH70,1)))</f>
        <v/>
      </c>
      <c r="BK70" s="92" t="str">
        <f aca="false">IF($BL70&lt;&gt;Constants!$B$4,"",IF(NOT($BC70),"",IF(ISNUMBER($AL70),$AL70,0)))</f>
        <v/>
      </c>
      <c r="BL70" s="86" t="str">
        <f aca="false">IF(ISBLANK($C70),"",IF($AO70,Constants!$B$7,IF(COUNTA($E70:$V70)=0,Constants!$B$6,IF(NOT($Y70),Constants!$B$5,IF(NOT(OR($AS70,$BC70)),Constants!$B$5,IF(OR($AT70,$BD70,$AQ70,$AR70&lt;&gt;""),Constants!$B$8,Constants!$B$4))))))</f>
        <v/>
      </c>
      <c r="BM70" s="86" t="str">
        <f aca="false">IF(ISBLANK($C70),"",IF($BL70&lt;&gt;Constants!$B$4,$BL70,IF($BB70="-&gt;",$BI70,$AY70)))</f>
        <v/>
      </c>
      <c r="BN70" s="90" t="str">
        <f aca="false">IF($BL70&lt;&gt;Constants!$B$4,"",IF($BB70="-&gt;",$BJ70,$AZ70))</f>
        <v/>
      </c>
      <c r="BO70" s="90" t="str">
        <f aca="false">IF(ISBLANK($C70),"",IF($BL70&lt;&gt;Constants!$B$4,$BL70,$BN70))</f>
        <v/>
      </c>
      <c r="BP70" s="86" t="str">
        <f aca="false">IF(ISBLANK($C70),"",IF($BL70&lt;&gt;Constants!$B$4,$BL70,RANK($BO70,$BO$9:$BO$508,0)))</f>
        <v/>
      </c>
      <c r="BQ70" s="86" t="str">
        <f aca="false">IF(ISBLANK($C70),"",IF($BL70&lt;&gt;Constants!$B$4,$BL70,COUNTIFS($BM$9:$BM$508,"&lt;"&amp;$BM70)+COUNTIFS($BM$9:$BM$508,$BM70,$BP$9:$BP$508,"&lt;"&amp;$BP70)+1))</f>
        <v/>
      </c>
      <c r="BR70" s="90" t="str">
        <f aca="false">IF($BL70&lt;&gt;Constants!$B$4,"",IF($BB70="-&gt;",$BH70,$AX70))</f>
        <v/>
      </c>
      <c r="BS70" s="86" t="str">
        <f aca="false">IF(ISBLANK($C70),"",IF($BL70&lt;&gt;Constants!$B$4,$BL70,IF(ISNUMBER($BR70),RANK($BR70,$BR$9:$BR$508,0),COUNT($BR$9:$BR$508)+1)))</f>
        <v/>
      </c>
      <c r="BT70" s="90" t="str">
        <f aca="false">IF($BL70&lt;&gt;Constants!$B$4,"",IF($BB70="-&gt;",$BE70,$AU70))</f>
        <v/>
      </c>
      <c r="BU70" s="86" t="str">
        <f aca="false">IF(ISBLANK($C70),"",IF($BL70&lt;&gt;Constants!$B$4,$BL70,IF(ISNUMBER($BT70),RANK($BT70,$BT$9:$BT$508,0),COUNT($BT$9:$BT$508)+1)))</f>
        <v/>
      </c>
      <c r="BV70" s="90" t="str">
        <f aca="false">IF($BL70&lt;&gt;Constants!$B$4,"",IF($BB70="-&gt;",$BF70,$AV70))</f>
        <v/>
      </c>
      <c r="BW70" s="86" t="str">
        <f aca="false">IF(ISBLANK($C70),"",IF($BL70&lt;&gt;Constants!$B$4,$BL70,IF(ISNUMBER($BV70),RANK($BV70,$BV$9:$BV$508,0),COUNT($BV$9:$BV$508)+1)))</f>
        <v/>
      </c>
      <c r="BX70" s="90" t="str">
        <f aca="false">IF($BL70&lt;&gt;Constants!$B$4,"",IF($BB70="-&gt;",$BK70,$BA70))</f>
        <v/>
      </c>
      <c r="BY70" s="86" t="str">
        <f aca="false">IF(ISBLANK($C70),"",IF($BL70&lt;&gt;Constants!$B$4,$BL70,IF(ISNUMBER($BX70),RANK($BX70,$BX$9:$BX$508,0),COUNT($BX$9:$BX$508)+1)))</f>
        <v/>
      </c>
      <c r="BZ70" s="86" t="str">
        <f aca="false">IF(ISBLANK($C70),"",IF($BL70&lt;&gt;Constants!$B$4,$BL70,COUNTIFS($BM$9:$BM$508,"&lt;"&amp;$BM70)+COUNTIFS($BM$9:$BM$508,$BM70,$BP$9:$BP$508,"&lt;"&amp;$BP70)+COUNTIFS($BM$9:$BM$508,$BM70,$BP$9:$BP$508,$BP70,$BS$9:$BS$508,"&lt;"&amp;$BS70)+COUNTIFS($BM$9:$BM$508,$BM70,$BP$9:$BP$508,$BP70,$BS$9:$BS$508,$BS70,$BU$9:$BU$508,"&lt;"&amp;$BU70)+COUNTIFS($BM$9:$BM$508,$BM70,$BP$9:$BP$508,$BP70,$BS$9:$BS$508,$BS70,$BU$9:$BU$508,$BU70,$BW$9:$BW$508,"&lt;"&amp;$BW70)+COUNTIFS($BM$9:$BM$508,$BM70,$BP$9:$BP$508,$BP70,$BS$9:$BS$508,$BS70,$BU$9:$BU$508,$BU70,$BW$9:$BW$508,$BW70,$BY$9:$BY$508,"&lt;"&amp;$BY70)+1))</f>
        <v/>
      </c>
      <c r="CA70" s="86" t="str">
        <f aca="false">IF(ISBLANK($C70),"",IF($BL70&lt;&gt;Constants!$B$4,$BL70,$BQ70-$BZ70))</f>
        <v/>
      </c>
      <c r="CB70" s="93"/>
      <c r="CC70" s="94" t="str">
        <f aca="false">IF(ISBLANK($C70),"",IF($BL70=Constants!$B$8,$AR70,""))</f>
        <v/>
      </c>
      <c r="CD70" s="94" t="str">
        <f aca="false">IF(ISBLANK($C70),"",IF($BL70&lt;&gt;Constants!$B$4,"",IF($BB70="-&gt;",2,1)))</f>
        <v/>
      </c>
      <c r="CE70" s="95" t="str">
        <f aca="false">IF(ISBLANK($C70),"",IF($BL70&lt;&gt;Constants!$B$4,"",IF($BB70="-&gt;",$BE70,$AU70)))</f>
        <v/>
      </c>
      <c r="CF70" s="95" t="str">
        <f aca="false">IF(ISBLANK($C70),"",IF($BL70&lt;&gt;Constants!$B$4,"",IF($BB70="-&gt;",$BF70,$AV70)))</f>
        <v/>
      </c>
      <c r="CG70" s="95" t="str">
        <f aca="false">IF(ISBLANK($C70),"",IF($BL70&lt;&gt;Constants!$B$4,"",IF($BB70="-&gt;",$BG70,$AW70)))</f>
        <v/>
      </c>
      <c r="CH70" s="95" t="str">
        <f aca="false">IF(ISBLANK($C70),"",IF($BL70&lt;&gt;Constants!$B$4,"",IF($BB70="-&gt;",$BH70,$AX70)))</f>
        <v/>
      </c>
      <c r="CI70" s="96" t="str">
        <f aca="false">IF(ISBLANK($C70),"",$BO70)</f>
        <v/>
      </c>
      <c r="CJ70" s="97" t="str">
        <f aca="false">IF(ISBLANK($C70),"",$BM70)</f>
        <v/>
      </c>
      <c r="CK70" s="98" t="str">
        <f aca="false">IF(ISBLANK($C70),"",$CA70)</f>
        <v/>
      </c>
      <c r="CL70" s="98" t="str">
        <f aca="false">IF(ISBLANK($C70),"",$BZ70)</f>
        <v/>
      </c>
      <c r="CM70" s="99" t="str">
        <f aca="false">IF(ISBLANK($C70),"",IF($CL70=Constants!$B$7,COUNTA($C$9:$C$508)+2,IF($CL70=Constants!$B$6,COUNTA($C$9:$C$508)+1,IF($CL70=Constants!$B$5,COUNTA($C$9:$C$508),$CL70))))</f>
        <v/>
      </c>
      <c r="CN70" s="8"/>
      <c r="CO70" s="100" t="n">
        <f aca="false">IF(OR(ISNUMBER($CL70),$CL70=Constants!$B$7,$CL70=Constants!$B$5,$CL70=Constants!$B$6),1,0)</f>
        <v>0</v>
      </c>
      <c r="CP70" s="100" t="n">
        <v>62</v>
      </c>
      <c r="CQ70" s="100" t="str">
        <f aca="false">IF(ISBLANK($C70),"",IF(ISNUMBER($CM70),$CM70+ROW($B70)/1000,""))</f>
        <v/>
      </c>
      <c r="CR70" s="100" t="str">
        <f aca="false">IF(ISNUMBER($CQ70),RANK($CQ70,$CQ$9:$CQ$508,1),"")</f>
        <v/>
      </c>
      <c r="CS70" s="100" t="str">
        <f aca="false">IF(ISBLANK($C70),"",$B70)</f>
        <v/>
      </c>
      <c r="CT70" s="100" t="str">
        <f aca="false">IF(ISBLANK($C70),"",$C70)</f>
        <v/>
      </c>
      <c r="CU70" s="100" t="str">
        <f aca="false">IF(ISBLANK($C70),"",$D70)</f>
        <v/>
      </c>
      <c r="CV70" s="101" t="str">
        <f aca="false">$CJ70</f>
        <v/>
      </c>
      <c r="CW70" s="102" t="str">
        <f aca="false">$CI70</f>
        <v/>
      </c>
      <c r="CX70" s="100" t="str">
        <f aca="false">IF(ISBLANK($C70),"",$CL70)</f>
        <v/>
      </c>
      <c r="CY70" s="103" t="str">
        <f aca="false">IF($CP70&gt;$CO$8,"",VLOOKUP($CP70,$CR$9:$CX$508,7,FALSE()))</f>
        <v/>
      </c>
      <c r="CZ70" s="104" t="str">
        <f aca="false">IF($CP70&gt;$CO$8,"",VLOOKUP($CP70,$CR$9:$CX$508,2,FALSE()))</f>
        <v/>
      </c>
      <c r="DA70" s="104" t="str">
        <f aca="false">IF($CP70&gt;$CO$8,"",VLOOKUP($CP70,$CR$9:$CX$508,3,FALSE()))</f>
        <v/>
      </c>
      <c r="DB70" s="104" t="str">
        <f aca="false">IF($CP70&gt;$CO$8,"",VLOOKUP($CP70,$CR$9:$CX$508,4,FALSE()))</f>
        <v/>
      </c>
      <c r="DC70" s="104" t="str">
        <f aca="false">IF($CP70&gt;$CO$8,"",VLOOKUP($CP70,$CR$9:$CX$508,5,FALSE()))</f>
        <v/>
      </c>
      <c r="DD70" s="105" t="str">
        <f aca="false">IF($CP70&gt;$CO$8,"",VLOOKUP($CP70,$CR$9:$CX$508,6,FALSE()))</f>
        <v/>
      </c>
      <c r="DE70" s="70"/>
    </row>
    <row r="71" customFormat="false" ht="15.75" hidden="false" customHeight="false" outlineLevel="0" collapsed="false">
      <c r="A71" s="8"/>
      <c r="B71" s="72"/>
      <c r="C71" s="73"/>
      <c r="D71" s="155"/>
      <c r="E71" s="162"/>
      <c r="F71" s="157"/>
      <c r="G71" s="77"/>
      <c r="H71" s="77"/>
      <c r="I71" s="77"/>
      <c r="J71" s="163"/>
      <c r="K71" s="161"/>
      <c r="L71" s="161"/>
      <c r="M71" s="80"/>
      <c r="N71" s="161"/>
      <c r="O71" s="160"/>
      <c r="P71" s="161"/>
      <c r="Q71" s="161"/>
      <c r="R71" s="161"/>
      <c r="S71" s="77"/>
      <c r="T71" s="161"/>
      <c r="U71" s="160"/>
      <c r="V71" s="161"/>
      <c r="W71" s="85"/>
      <c r="X71" s="86" t="str">
        <f aca="false">IF(ISBLANK($C71),"",IF($E71=Constants!$B$2,TRUE(),IF($E71=Constants!$B$3,FALSE(),TRUE())))</f>
        <v/>
      </c>
      <c r="Y71" s="86" t="str">
        <f aca="false">IF(ISBLANK($C71),"",IF($F71=Constants!$B$2,TRUE(),IF($F71=Constants!$B$3,FALSE(),TRUE())))</f>
        <v/>
      </c>
      <c r="Z71" s="87" t="str">
        <f aca="false">IF(ISBLANK($C71),"",IF(ISNUMBER($G71),IF($G71&gt;=0,$G71,""),""))</f>
        <v/>
      </c>
      <c r="AA71" s="87" t="str">
        <f aca="false">IF(ISBLANK($C71),"",IF(ISNUMBER($H71),IF($H71&gt;=0,$H71,""),""))</f>
        <v/>
      </c>
      <c r="AB71" s="87" t="str">
        <f aca="false">IF(ISBLANK($C71),"",IF(ISNUMBER($I71),IF($I71&gt;=0,$I71,""),""))</f>
        <v/>
      </c>
      <c r="AC71" s="86" t="str">
        <f aca="false">IF(ISBLANK($C71),"",IF($J71=Constants!$B$2,TRUE(),IF($J71=Constants!$B$3,FALSE(),TRUE())))</f>
        <v/>
      </c>
      <c r="AD71" s="86" t="str">
        <f aca="false">IF(ISBLANK($C71),"",IF($K71=Constants!$B$2,TRUE(),IF($K71=Constants!$B$3,FALSE(),TRUE())))</f>
        <v/>
      </c>
      <c r="AE71" s="86" t="str">
        <f aca="false">IF(ISBLANK($C71),"",IF($L71=Constants!$B$2,TRUE(),IF($L71=Constants!$B$3,FALSE(),TRUE())))</f>
        <v/>
      </c>
      <c r="AF71" s="88" t="str">
        <f aca="false">IF(ISBLANK($C71),"",IF(ISNUMBER($M71),IF($M71&gt;=0,$M71,""),""))</f>
        <v/>
      </c>
      <c r="AG71" s="86" t="str">
        <f aca="false">IF(ISBLANK($C71),"",IF(ISBLANK($N71),0,IF(ISNUMBER($N71),IF(AND($N71&gt;=0,$N71&lt;=Constants!$B$17,$N71=INT($N71)),$N71,""),"")))</f>
        <v/>
      </c>
      <c r="AH71" s="87" t="str">
        <f aca="false">IF(ISBLANK($C71),"",IF(ISBLANK($O71),0,IF(ISNUMBER($O71),IF($O71&gt;=0,$O71,""),"")))</f>
        <v/>
      </c>
      <c r="AI71" s="86" t="str">
        <f aca="false">IF(ISBLANK($C71),"",IF($P71=Constants!$B$2,TRUE(),IF($P71=Constants!$B$3,FALSE(),TRUE())))</f>
        <v/>
      </c>
      <c r="AJ71" s="86" t="str">
        <f aca="false">IF(ISBLANK($C71),"",IF($Q71=Constants!$B$2,TRUE(),IF($Q71=Constants!$B$3,FALSE(),TRUE())))</f>
        <v/>
      </c>
      <c r="AK71" s="86" t="str">
        <f aca="false">IF(ISBLANK($C71),"",IF($R71=Constants!$B$2,TRUE(),IF($R71=Constants!$B$3,FALSE(),TRUE())))</f>
        <v/>
      </c>
      <c r="AL71" s="88" t="str">
        <f aca="false">IF(ISBLANK($C71),"",IF(ISNUMBER($S71),IF($S71&gt;=0,$S71,""),""))</f>
        <v/>
      </c>
      <c r="AM71" s="86" t="str">
        <f aca="false">IF(ISBLANK($C71),"",IF(ISBLANK($T71),0,IF(ISNUMBER($T71),IF(AND($T71&gt;=0,$T71&lt;=Constants!$B$17,$T71=INT($T71)),$T71,""),"")))</f>
        <v/>
      </c>
      <c r="AN71" s="87" t="str">
        <f aca="false">IF(ISBLANK($C71),"",IF(ISBLANK($U71),0,IF(ISNUMBER($U71),IF($U71&gt;=0,$U71,""),"")))</f>
        <v/>
      </c>
      <c r="AO71" s="86" t="str">
        <f aca="false">IF(ISBLANK($C71),"",IF($V71=Constants!$B$2,TRUE(),IF($V71=Constants!$B$3,FALSE(),FALSE())))</f>
        <v/>
      </c>
      <c r="AP71" s="86"/>
      <c r="AQ71" s="85" t="str">
        <f aca="false">IF(ISBLANK($C71),"",AND($Y71,OR($AS71,$BC71),OR($Z71="",$AA71="",$AB71="")))</f>
        <v/>
      </c>
      <c r="AR71" s="85" t="str">
        <f aca="false">IF(ISBLANK($C71),"",IF(OR(NOT($Y71),NOT(OR($AS71,$BC71))),"",IF(ISBLANK($D$7),$AR$5,IF($AP$9="",$AR$6,""))))</f>
        <v/>
      </c>
      <c r="AS71" s="85" t="str">
        <f aca="false">IF(ISBLANK($C71),"",COUNTA($J71:$O71)&gt;0)</f>
        <v/>
      </c>
      <c r="AT71" s="85" t="str">
        <f aca="false">IF(ISBLANK($C71),"",AND($AS71,OR(AND($AF71="",OR($AE71,NOT(ISBLANK($M71)))),$AG71="",$AH71="")))</f>
        <v/>
      </c>
      <c r="AU71" s="87" t="str">
        <f aca="false">IF($BL71&lt;&gt;Constants!$B$4,"",IF(NOT($AS71),"",ROUND((Constants!$B$12-$AB71)+(Constants!$B$13-$Z71)+(Constants!$B$14-$AA71),1)))</f>
        <v/>
      </c>
      <c r="AV71" s="90" t="str">
        <f aca="false">IF($BL71&lt;&gt;Constants!$B$4,"",IF(NOT($AS71),"",IF(NOT($AE71),0,Constants!$B$15*(INT(ROUND(MIN($AF71,$AP$9),6))-INT(ROUND(MAX(0,MIN($AF71,2*$AP$9)-$AP$9),6))))))</f>
        <v/>
      </c>
      <c r="AW71" s="90" t="str">
        <f aca="false">IF($BL71&lt;&gt;Constants!$B$4,"",IF(NOT($AS71),"",Constants!$B$16*$AG71))</f>
        <v/>
      </c>
      <c r="AX71" s="90" t="str">
        <f aca="false">IF($BL71&lt;&gt;Constants!$B$4,"",IF(NOT($AS71),"",Constants!$B$18*INT(ROUND($AH71,6))))</f>
        <v/>
      </c>
      <c r="AY71" s="85" t="str">
        <f aca="false">IF($BL71&lt;&gt;Constants!$B$4,"",IF(NOT($AS71),"",IF(NOT($X71),Constants!$B$11,IF(OR(NOT($AC71),NOT($AD71),ROUND($AB71,1)&gt;Constants!$B$12,ROUND($Z71,1)&gt;Constants!$B$13,ROUND($AA71,1)&gt;Constants!$B$14),Constants!$B$10,Constants!$B$9))))</f>
        <v/>
      </c>
      <c r="AZ71" s="91" t="str">
        <f aca="false">IF($BL71&lt;&gt;Constants!$B$4,"",IF(NOT($AS71),"",ROUND($AU71+$AV71+$AW71+$AX71,1)))</f>
        <v/>
      </c>
      <c r="BA71" s="92" t="str">
        <f aca="false">IF($BL71&lt;&gt;Constants!$B$4,"",IF(NOT($AS71),"",IF(ISNUMBER($AF71),$AF71,0)))</f>
        <v/>
      </c>
      <c r="BB71" s="86" t="str">
        <f aca="false">IF($BL71&lt;&gt;Constants!$B$4,"",IF(NOT($BC71),"&lt;-",IF(NOT($AS71),"-&gt;",IF(OR($BI71&lt;$AY71,AND($BI71=$AY71,OR($BJ71&gt;$AZ71,AND($BJ71=$AZ71,OR($BH71&gt;$AX71,AND($BH71=$AX71,OR($BE71&gt;$AU71,AND($BE71=$AU71,OR($BF71&gt;$AV71,AND($BF71=$AV71,$BK71&gt;$BA71)))))))))),"-&gt;","&lt;-"))))</f>
        <v/>
      </c>
      <c r="BC71" s="85" t="str">
        <f aca="false">IF(ISBLANK($C71),"",COUNTA($P71:$U71)&gt;0)</f>
        <v/>
      </c>
      <c r="BD71" s="85" t="str">
        <f aca="false">IF(ISBLANK($C71),"",AND($BC71,OR(AND($AL71="",OR($AK71,NOT(ISBLANK($S71)))),$AM71="",$AN71="")))</f>
        <v/>
      </c>
      <c r="BE71" s="87" t="str">
        <f aca="false">IF($BL71&lt;&gt;Constants!$B$4,"",IF(NOT($BC71),"",ROUND((Constants!$B$12-$AB71)+(Constants!$B$13-$Z71)+(Constants!$B$14-$AA71),1)))</f>
        <v/>
      </c>
      <c r="BF71" s="90" t="str">
        <f aca="false">IF($BL71&lt;&gt;Constants!$B$4,"",IF(NOT($BC71),"",IF(NOT($AK71),0,Constants!$B$15*(INT(ROUND(MIN($AL71,$AP$9),6))-INT(ROUND(MAX(0,MIN($AL71,2*$AP$9)-$AP$9),6))))))</f>
        <v/>
      </c>
      <c r="BG71" s="90" t="str">
        <f aca="false">IF($BL71&lt;&gt;Constants!$B$4,"",IF(NOT($BC71),"",Constants!$B$16*$AM71))</f>
        <v/>
      </c>
      <c r="BH71" s="90" t="str">
        <f aca="false">IF($BL71&lt;&gt;Constants!$B$4,"",IF(NOT($BC71),"",Constants!$B$18*INT(ROUND($AN71,6))))</f>
        <v/>
      </c>
      <c r="BI71" s="85" t="str">
        <f aca="false">IF($BL71&lt;&gt;Constants!$B$4,"",IF(NOT($BC71),"",IF(NOT($X71),Constants!$B$11,IF(OR(NOT($AI71),NOT($AJ71),ROUND($AB71,1)&gt;Constants!$B$12,ROUND($Z71,1)&gt;Constants!$B$13,ROUND($AA71,1)&gt;Constants!$B$14),Constants!$B$10,Constants!$B$9))))</f>
        <v/>
      </c>
      <c r="BJ71" s="91" t="str">
        <f aca="false">IF($BL71&lt;&gt;Constants!$B$4,"",IF(NOT($BC71),"",ROUND($BE71+$BF71+$BG71+$BH71,1)))</f>
        <v/>
      </c>
      <c r="BK71" s="92" t="str">
        <f aca="false">IF($BL71&lt;&gt;Constants!$B$4,"",IF(NOT($BC71),"",IF(ISNUMBER($AL71),$AL71,0)))</f>
        <v/>
      </c>
      <c r="BL71" s="86" t="str">
        <f aca="false">IF(ISBLANK($C71),"",IF($AO71,Constants!$B$7,IF(COUNTA($E71:$V71)=0,Constants!$B$6,IF(NOT($Y71),Constants!$B$5,IF(NOT(OR($AS71,$BC71)),Constants!$B$5,IF(OR($AT71,$BD71,$AQ71,$AR71&lt;&gt;""),Constants!$B$8,Constants!$B$4))))))</f>
        <v/>
      </c>
      <c r="BM71" s="86" t="str">
        <f aca="false">IF(ISBLANK($C71),"",IF($BL71&lt;&gt;Constants!$B$4,$BL71,IF($BB71="-&gt;",$BI71,$AY71)))</f>
        <v/>
      </c>
      <c r="BN71" s="90" t="str">
        <f aca="false">IF($BL71&lt;&gt;Constants!$B$4,"",IF($BB71="-&gt;",$BJ71,$AZ71))</f>
        <v/>
      </c>
      <c r="BO71" s="90" t="str">
        <f aca="false">IF(ISBLANK($C71),"",IF($BL71&lt;&gt;Constants!$B$4,$BL71,$BN71))</f>
        <v/>
      </c>
      <c r="BP71" s="86" t="str">
        <f aca="false">IF(ISBLANK($C71),"",IF($BL71&lt;&gt;Constants!$B$4,$BL71,RANK($BO71,$BO$9:$BO$508,0)))</f>
        <v/>
      </c>
      <c r="BQ71" s="86" t="str">
        <f aca="false">IF(ISBLANK($C71),"",IF($BL71&lt;&gt;Constants!$B$4,$BL71,COUNTIFS($BM$9:$BM$508,"&lt;"&amp;$BM71)+COUNTIFS($BM$9:$BM$508,$BM71,$BP$9:$BP$508,"&lt;"&amp;$BP71)+1))</f>
        <v/>
      </c>
      <c r="BR71" s="90" t="str">
        <f aca="false">IF($BL71&lt;&gt;Constants!$B$4,"",IF($BB71="-&gt;",$BH71,$AX71))</f>
        <v/>
      </c>
      <c r="BS71" s="86" t="str">
        <f aca="false">IF(ISBLANK($C71),"",IF($BL71&lt;&gt;Constants!$B$4,$BL71,IF(ISNUMBER($BR71),RANK($BR71,$BR$9:$BR$508,0),COUNT($BR$9:$BR$508)+1)))</f>
        <v/>
      </c>
      <c r="BT71" s="90" t="str">
        <f aca="false">IF($BL71&lt;&gt;Constants!$B$4,"",IF($BB71="-&gt;",$BE71,$AU71))</f>
        <v/>
      </c>
      <c r="BU71" s="86" t="str">
        <f aca="false">IF(ISBLANK($C71),"",IF($BL71&lt;&gt;Constants!$B$4,$BL71,IF(ISNUMBER($BT71),RANK($BT71,$BT$9:$BT$508,0),COUNT($BT$9:$BT$508)+1)))</f>
        <v/>
      </c>
      <c r="BV71" s="90" t="str">
        <f aca="false">IF($BL71&lt;&gt;Constants!$B$4,"",IF($BB71="-&gt;",$BF71,$AV71))</f>
        <v/>
      </c>
      <c r="BW71" s="86" t="str">
        <f aca="false">IF(ISBLANK($C71),"",IF($BL71&lt;&gt;Constants!$B$4,$BL71,IF(ISNUMBER($BV71),RANK($BV71,$BV$9:$BV$508,0),COUNT($BV$9:$BV$508)+1)))</f>
        <v/>
      </c>
      <c r="BX71" s="90" t="str">
        <f aca="false">IF($BL71&lt;&gt;Constants!$B$4,"",IF($BB71="-&gt;",$BK71,$BA71))</f>
        <v/>
      </c>
      <c r="BY71" s="86" t="str">
        <f aca="false">IF(ISBLANK($C71),"",IF($BL71&lt;&gt;Constants!$B$4,$BL71,IF(ISNUMBER($BX71),RANK($BX71,$BX$9:$BX$508,0),COUNT($BX$9:$BX$508)+1)))</f>
        <v/>
      </c>
      <c r="BZ71" s="86" t="str">
        <f aca="false">IF(ISBLANK($C71),"",IF($BL71&lt;&gt;Constants!$B$4,$BL71,COUNTIFS($BM$9:$BM$508,"&lt;"&amp;$BM71)+COUNTIFS($BM$9:$BM$508,$BM71,$BP$9:$BP$508,"&lt;"&amp;$BP71)+COUNTIFS($BM$9:$BM$508,$BM71,$BP$9:$BP$508,$BP71,$BS$9:$BS$508,"&lt;"&amp;$BS71)+COUNTIFS($BM$9:$BM$508,$BM71,$BP$9:$BP$508,$BP71,$BS$9:$BS$508,$BS71,$BU$9:$BU$508,"&lt;"&amp;$BU71)+COUNTIFS($BM$9:$BM$508,$BM71,$BP$9:$BP$508,$BP71,$BS$9:$BS$508,$BS71,$BU$9:$BU$508,$BU71,$BW$9:$BW$508,"&lt;"&amp;$BW71)+COUNTIFS($BM$9:$BM$508,$BM71,$BP$9:$BP$508,$BP71,$BS$9:$BS$508,$BS71,$BU$9:$BU$508,$BU71,$BW$9:$BW$508,$BW71,$BY$9:$BY$508,"&lt;"&amp;$BY71)+1))</f>
        <v/>
      </c>
      <c r="CA71" s="86" t="str">
        <f aca="false">IF(ISBLANK($C71),"",IF($BL71&lt;&gt;Constants!$B$4,$BL71,$BQ71-$BZ71))</f>
        <v/>
      </c>
      <c r="CB71" s="93"/>
      <c r="CC71" s="94" t="str">
        <f aca="false">IF(ISBLANK($C71),"",IF($BL71=Constants!$B$8,$AR71,""))</f>
        <v/>
      </c>
      <c r="CD71" s="94" t="str">
        <f aca="false">IF(ISBLANK($C71),"",IF($BL71&lt;&gt;Constants!$B$4,"",IF($BB71="-&gt;",2,1)))</f>
        <v/>
      </c>
      <c r="CE71" s="95" t="str">
        <f aca="false">IF(ISBLANK($C71),"",IF($BL71&lt;&gt;Constants!$B$4,"",IF($BB71="-&gt;",$BE71,$AU71)))</f>
        <v/>
      </c>
      <c r="CF71" s="95" t="str">
        <f aca="false">IF(ISBLANK($C71),"",IF($BL71&lt;&gt;Constants!$B$4,"",IF($BB71="-&gt;",$BF71,$AV71)))</f>
        <v/>
      </c>
      <c r="CG71" s="95" t="str">
        <f aca="false">IF(ISBLANK($C71),"",IF($BL71&lt;&gt;Constants!$B$4,"",IF($BB71="-&gt;",$BG71,$AW71)))</f>
        <v/>
      </c>
      <c r="CH71" s="95" t="str">
        <f aca="false">IF(ISBLANK($C71),"",IF($BL71&lt;&gt;Constants!$B$4,"",IF($BB71="-&gt;",$BH71,$AX71)))</f>
        <v/>
      </c>
      <c r="CI71" s="96" t="str">
        <f aca="false">IF(ISBLANK($C71),"",$BO71)</f>
        <v/>
      </c>
      <c r="CJ71" s="97" t="str">
        <f aca="false">IF(ISBLANK($C71),"",$BM71)</f>
        <v/>
      </c>
      <c r="CK71" s="98" t="str">
        <f aca="false">IF(ISBLANK($C71),"",$CA71)</f>
        <v/>
      </c>
      <c r="CL71" s="98" t="str">
        <f aca="false">IF(ISBLANK($C71),"",$BZ71)</f>
        <v/>
      </c>
      <c r="CM71" s="99" t="str">
        <f aca="false">IF(ISBLANK($C71),"",IF($CL71=Constants!$B$7,COUNTA($C$9:$C$508)+2,IF($CL71=Constants!$B$6,COUNTA($C$9:$C$508)+1,IF($CL71=Constants!$B$5,COUNTA($C$9:$C$508),$CL71))))</f>
        <v/>
      </c>
      <c r="CN71" s="8"/>
      <c r="CO71" s="100" t="n">
        <f aca="false">IF(OR(ISNUMBER($CL71),$CL71=Constants!$B$7,$CL71=Constants!$B$5,$CL71=Constants!$B$6),1,0)</f>
        <v>0</v>
      </c>
      <c r="CP71" s="100" t="n">
        <v>63</v>
      </c>
      <c r="CQ71" s="100" t="str">
        <f aca="false">IF(ISBLANK($C71),"",IF(ISNUMBER($CM71),$CM71+ROW($B71)/1000,""))</f>
        <v/>
      </c>
      <c r="CR71" s="100" t="str">
        <f aca="false">IF(ISNUMBER($CQ71),RANK($CQ71,$CQ$9:$CQ$508,1),"")</f>
        <v/>
      </c>
      <c r="CS71" s="100" t="str">
        <f aca="false">IF(ISBLANK($C71),"",$B71)</f>
        <v/>
      </c>
      <c r="CT71" s="100" t="str">
        <f aca="false">IF(ISBLANK($C71),"",$C71)</f>
        <v/>
      </c>
      <c r="CU71" s="100" t="str">
        <f aca="false">IF(ISBLANK($C71),"",$D71)</f>
        <v/>
      </c>
      <c r="CV71" s="101" t="str">
        <f aca="false">$CJ71</f>
        <v/>
      </c>
      <c r="CW71" s="102" t="str">
        <f aca="false">$CI71</f>
        <v/>
      </c>
      <c r="CX71" s="100" t="str">
        <f aca="false">IF(ISBLANK($C71),"",$CL71)</f>
        <v/>
      </c>
      <c r="CY71" s="103" t="str">
        <f aca="false">IF($CP71&gt;$CO$8,"",VLOOKUP($CP71,$CR$9:$CX$508,7,FALSE()))</f>
        <v/>
      </c>
      <c r="CZ71" s="104" t="str">
        <f aca="false">IF($CP71&gt;$CO$8,"",VLOOKUP($CP71,$CR$9:$CX$508,2,FALSE()))</f>
        <v/>
      </c>
      <c r="DA71" s="104" t="str">
        <f aca="false">IF($CP71&gt;$CO$8,"",VLOOKUP($CP71,$CR$9:$CX$508,3,FALSE()))</f>
        <v/>
      </c>
      <c r="DB71" s="104" t="str">
        <f aca="false">IF($CP71&gt;$CO$8,"",VLOOKUP($CP71,$CR$9:$CX$508,4,FALSE()))</f>
        <v/>
      </c>
      <c r="DC71" s="104" t="str">
        <f aca="false">IF($CP71&gt;$CO$8,"",VLOOKUP($CP71,$CR$9:$CX$508,5,FALSE()))</f>
        <v/>
      </c>
      <c r="DD71" s="105" t="str">
        <f aca="false">IF($CP71&gt;$CO$8,"",VLOOKUP($CP71,$CR$9:$CX$508,6,FALSE()))</f>
        <v/>
      </c>
      <c r="DE71" s="70"/>
    </row>
    <row r="72" customFormat="false" ht="15.75" hidden="false" customHeight="false" outlineLevel="0" collapsed="false">
      <c r="A72" s="8"/>
      <c r="B72" s="146"/>
      <c r="C72" s="147"/>
      <c r="D72" s="148"/>
      <c r="E72" s="164"/>
      <c r="F72" s="150"/>
      <c r="G72" s="115"/>
      <c r="H72" s="115"/>
      <c r="I72" s="115"/>
      <c r="J72" s="165"/>
      <c r="K72" s="154"/>
      <c r="L72" s="154"/>
      <c r="M72" s="118"/>
      <c r="N72" s="154"/>
      <c r="O72" s="153"/>
      <c r="P72" s="154"/>
      <c r="Q72" s="154"/>
      <c r="R72" s="154"/>
      <c r="S72" s="115"/>
      <c r="T72" s="154"/>
      <c r="U72" s="153"/>
      <c r="V72" s="154"/>
      <c r="W72" s="123"/>
      <c r="X72" s="124" t="str">
        <f aca="false">IF(ISBLANK($C72),"",IF($E72=Constants!$B$2,TRUE(),IF($E72=Constants!$B$3,FALSE(),TRUE())))</f>
        <v/>
      </c>
      <c r="Y72" s="124" t="str">
        <f aca="false">IF(ISBLANK($C72),"",IF($F72=Constants!$B$2,TRUE(),IF($F72=Constants!$B$3,FALSE(),TRUE())))</f>
        <v/>
      </c>
      <c r="Z72" s="125" t="str">
        <f aca="false">IF(ISBLANK($C72),"",IF(ISNUMBER($G72),IF($G72&gt;=0,$G72,""),""))</f>
        <v/>
      </c>
      <c r="AA72" s="125" t="str">
        <f aca="false">IF(ISBLANK($C72),"",IF(ISNUMBER($H72),IF($H72&gt;=0,$H72,""),""))</f>
        <v/>
      </c>
      <c r="AB72" s="125" t="str">
        <f aca="false">IF(ISBLANK($C72),"",IF(ISNUMBER($I72),IF($I72&gt;=0,$I72,""),""))</f>
        <v/>
      </c>
      <c r="AC72" s="124" t="str">
        <f aca="false">IF(ISBLANK($C72),"",IF($J72=Constants!$B$2,TRUE(),IF($J72=Constants!$B$3,FALSE(),TRUE())))</f>
        <v/>
      </c>
      <c r="AD72" s="124" t="str">
        <f aca="false">IF(ISBLANK($C72),"",IF($K72=Constants!$B$2,TRUE(),IF($K72=Constants!$B$3,FALSE(),TRUE())))</f>
        <v/>
      </c>
      <c r="AE72" s="124" t="str">
        <f aca="false">IF(ISBLANK($C72),"",IF($L72=Constants!$B$2,TRUE(),IF($L72=Constants!$B$3,FALSE(),TRUE())))</f>
        <v/>
      </c>
      <c r="AF72" s="126" t="str">
        <f aca="false">IF(ISBLANK($C72),"",IF(ISNUMBER($M72),IF($M72&gt;=0,$M72,""),""))</f>
        <v/>
      </c>
      <c r="AG72" s="124" t="str">
        <f aca="false">IF(ISBLANK($C72),"",IF(ISBLANK($N72),0,IF(ISNUMBER($N72),IF(AND($N72&gt;=0,$N72&lt;=Constants!$B$17,$N72=INT($N72)),$N72,""),"")))</f>
        <v/>
      </c>
      <c r="AH72" s="125" t="str">
        <f aca="false">IF(ISBLANK($C72),"",IF(ISBLANK($O72),0,IF(ISNUMBER($O72),IF($O72&gt;=0,$O72,""),"")))</f>
        <v/>
      </c>
      <c r="AI72" s="124" t="str">
        <f aca="false">IF(ISBLANK($C72),"",IF($P72=Constants!$B$2,TRUE(),IF($P72=Constants!$B$3,FALSE(),TRUE())))</f>
        <v/>
      </c>
      <c r="AJ72" s="124" t="str">
        <f aca="false">IF(ISBLANK($C72),"",IF($Q72=Constants!$B$2,TRUE(),IF($Q72=Constants!$B$3,FALSE(),TRUE())))</f>
        <v/>
      </c>
      <c r="AK72" s="124" t="str">
        <f aca="false">IF(ISBLANK($C72),"",IF($R72=Constants!$B$2,TRUE(),IF($R72=Constants!$B$3,FALSE(),TRUE())))</f>
        <v/>
      </c>
      <c r="AL72" s="126" t="str">
        <f aca="false">IF(ISBLANK($C72),"",IF(ISNUMBER($S72),IF($S72&gt;=0,$S72,""),""))</f>
        <v/>
      </c>
      <c r="AM72" s="124" t="str">
        <f aca="false">IF(ISBLANK($C72),"",IF(ISBLANK($T72),0,IF(ISNUMBER($T72),IF(AND($T72&gt;=0,$T72&lt;=Constants!$B$17,$T72=INT($T72)),$T72,""),"")))</f>
        <v/>
      </c>
      <c r="AN72" s="125" t="str">
        <f aca="false">IF(ISBLANK($C72),"",IF(ISBLANK($U72),0,IF(ISNUMBER($U72),IF($U72&gt;=0,$U72,""),"")))</f>
        <v/>
      </c>
      <c r="AO72" s="124" t="str">
        <f aca="false">IF(ISBLANK($C72),"",IF($V72=Constants!$B$2,TRUE(),IF($V72=Constants!$B$3,FALSE(),FALSE())))</f>
        <v/>
      </c>
      <c r="AP72" s="124"/>
      <c r="AQ72" s="123" t="str">
        <f aca="false">IF(ISBLANK($C72),"",AND($Y72,OR($AS72,$BC72),OR($Z72="",$AA72="",$AB72="")))</f>
        <v/>
      </c>
      <c r="AR72" s="123" t="str">
        <f aca="false">IF(ISBLANK($C72),"",IF(OR(NOT($Y72),NOT(OR($AS72,$BC72))),"",IF(ISBLANK($D$7),$AR$5,IF($AP$9="",$AR$6,""))))</f>
        <v/>
      </c>
      <c r="AS72" s="123" t="str">
        <f aca="false">IF(ISBLANK($C72),"",COUNTA($J72:$O72)&gt;0)</f>
        <v/>
      </c>
      <c r="AT72" s="123" t="str">
        <f aca="false">IF(ISBLANK($C72),"",AND($AS72,OR(AND($AF72="",OR($AE72,NOT(ISBLANK($M72)))),$AG72="",$AH72="")))</f>
        <v/>
      </c>
      <c r="AU72" s="125" t="str">
        <f aca="false">IF($BL72&lt;&gt;Constants!$B$4,"",IF(NOT($AS72),"",ROUND((Constants!$B$12-$AB72)+(Constants!$B$13-$Z72)+(Constants!$B$14-$AA72),1)))</f>
        <v/>
      </c>
      <c r="AV72" s="127" t="str">
        <f aca="false">IF($BL72&lt;&gt;Constants!$B$4,"",IF(NOT($AS72),"",IF(NOT($AE72),0,Constants!$B$15*(INT(ROUND(MIN($AF72,$AP$9),6))-INT(ROUND(MAX(0,MIN($AF72,2*$AP$9)-$AP$9),6))))))</f>
        <v/>
      </c>
      <c r="AW72" s="127" t="str">
        <f aca="false">IF($BL72&lt;&gt;Constants!$B$4,"",IF(NOT($AS72),"",Constants!$B$16*$AG72))</f>
        <v/>
      </c>
      <c r="AX72" s="127" t="str">
        <f aca="false">IF($BL72&lt;&gt;Constants!$B$4,"",IF(NOT($AS72),"",Constants!$B$18*INT(ROUND($AH72,6))))</f>
        <v/>
      </c>
      <c r="AY72" s="123" t="str">
        <f aca="false">IF($BL72&lt;&gt;Constants!$B$4,"",IF(NOT($AS72),"",IF(NOT($X72),Constants!$B$11,IF(OR(NOT($AC72),NOT($AD72),ROUND($AB72,1)&gt;Constants!$B$12,ROUND($Z72,1)&gt;Constants!$B$13,ROUND($AA72,1)&gt;Constants!$B$14),Constants!$B$10,Constants!$B$9))))</f>
        <v/>
      </c>
      <c r="AZ72" s="128" t="str">
        <f aca="false">IF($BL72&lt;&gt;Constants!$B$4,"",IF(NOT($AS72),"",ROUND($AU72+$AV72+$AW72+$AX72,1)))</f>
        <v/>
      </c>
      <c r="BA72" s="129" t="str">
        <f aca="false">IF($BL72&lt;&gt;Constants!$B$4,"",IF(NOT($AS72),"",IF(ISNUMBER($AF72),$AF72,0)))</f>
        <v/>
      </c>
      <c r="BB72" s="124" t="str">
        <f aca="false">IF($BL72&lt;&gt;Constants!$B$4,"",IF(NOT($BC72),"&lt;-",IF(NOT($AS72),"-&gt;",IF(OR($BI72&lt;$AY72,AND($BI72=$AY72,OR($BJ72&gt;$AZ72,AND($BJ72=$AZ72,OR($BH72&gt;$AX72,AND($BH72=$AX72,OR($BE72&gt;$AU72,AND($BE72=$AU72,OR($BF72&gt;$AV72,AND($BF72=$AV72,$BK72&gt;$BA72)))))))))),"-&gt;","&lt;-"))))</f>
        <v/>
      </c>
      <c r="BC72" s="123" t="str">
        <f aca="false">IF(ISBLANK($C72),"",COUNTA($P72:$U72)&gt;0)</f>
        <v/>
      </c>
      <c r="BD72" s="123" t="str">
        <f aca="false">IF(ISBLANK($C72),"",AND($BC72,OR(AND($AL72="",OR($AK72,NOT(ISBLANK($S72)))),$AM72="",$AN72="")))</f>
        <v/>
      </c>
      <c r="BE72" s="125" t="str">
        <f aca="false">IF($BL72&lt;&gt;Constants!$B$4,"",IF(NOT($BC72),"",ROUND((Constants!$B$12-$AB72)+(Constants!$B$13-$Z72)+(Constants!$B$14-$AA72),1)))</f>
        <v/>
      </c>
      <c r="BF72" s="127" t="str">
        <f aca="false">IF($BL72&lt;&gt;Constants!$B$4,"",IF(NOT($BC72),"",IF(NOT($AK72),0,Constants!$B$15*(INT(ROUND(MIN($AL72,$AP$9),6))-INT(ROUND(MAX(0,MIN($AL72,2*$AP$9)-$AP$9),6))))))</f>
        <v/>
      </c>
      <c r="BG72" s="127" t="str">
        <f aca="false">IF($BL72&lt;&gt;Constants!$B$4,"",IF(NOT($BC72),"",Constants!$B$16*$AM72))</f>
        <v/>
      </c>
      <c r="BH72" s="127" t="str">
        <f aca="false">IF($BL72&lt;&gt;Constants!$B$4,"",IF(NOT($BC72),"",Constants!$B$18*INT(ROUND($AN72,6))))</f>
        <v/>
      </c>
      <c r="BI72" s="123" t="str">
        <f aca="false">IF($BL72&lt;&gt;Constants!$B$4,"",IF(NOT($BC72),"",IF(NOT($X72),Constants!$B$11,IF(OR(NOT($AI72),NOT($AJ72),ROUND($AB72,1)&gt;Constants!$B$12,ROUND($Z72,1)&gt;Constants!$B$13,ROUND($AA72,1)&gt;Constants!$B$14),Constants!$B$10,Constants!$B$9))))</f>
        <v/>
      </c>
      <c r="BJ72" s="128" t="str">
        <f aca="false">IF($BL72&lt;&gt;Constants!$B$4,"",IF(NOT($BC72),"",ROUND($BE72+$BF72+$BG72+$BH72,1)))</f>
        <v/>
      </c>
      <c r="BK72" s="129" t="str">
        <f aca="false">IF($BL72&lt;&gt;Constants!$B$4,"",IF(NOT($BC72),"",IF(ISNUMBER($AL72),$AL72,0)))</f>
        <v/>
      </c>
      <c r="BL72" s="124" t="str">
        <f aca="false">IF(ISBLANK($C72),"",IF($AO72,Constants!$B$7,IF(COUNTA($E72:$V72)=0,Constants!$B$6,IF(NOT($Y72),Constants!$B$5,IF(NOT(OR($AS72,$BC72)),Constants!$B$5,IF(OR($AT72,$BD72,$AQ72,$AR72&lt;&gt;""),Constants!$B$8,Constants!$B$4))))))</f>
        <v/>
      </c>
      <c r="BM72" s="124" t="str">
        <f aca="false">IF(ISBLANK($C72),"",IF($BL72&lt;&gt;Constants!$B$4,$BL72,IF($BB72="-&gt;",$BI72,$AY72)))</f>
        <v/>
      </c>
      <c r="BN72" s="127" t="str">
        <f aca="false">IF($BL72&lt;&gt;Constants!$B$4,"",IF($BB72="-&gt;",$BJ72,$AZ72))</f>
        <v/>
      </c>
      <c r="BO72" s="127" t="str">
        <f aca="false">IF(ISBLANK($C72),"",IF($BL72&lt;&gt;Constants!$B$4,$BL72,$BN72))</f>
        <v/>
      </c>
      <c r="BP72" s="124" t="str">
        <f aca="false">IF(ISBLANK($C72),"",IF($BL72&lt;&gt;Constants!$B$4,$BL72,RANK($BO72,$BO$9:$BO$508,0)))</f>
        <v/>
      </c>
      <c r="BQ72" s="124" t="str">
        <f aca="false">IF(ISBLANK($C72),"",IF($BL72&lt;&gt;Constants!$B$4,$BL72,COUNTIFS($BM$9:$BM$508,"&lt;"&amp;$BM72)+COUNTIFS($BM$9:$BM$508,$BM72,$BP$9:$BP$508,"&lt;"&amp;$BP72)+1))</f>
        <v/>
      </c>
      <c r="BR72" s="127" t="str">
        <f aca="false">IF($BL72&lt;&gt;Constants!$B$4,"",IF($BB72="-&gt;",$BH72,$AX72))</f>
        <v/>
      </c>
      <c r="BS72" s="124" t="str">
        <f aca="false">IF(ISBLANK($C72),"",IF($BL72&lt;&gt;Constants!$B$4,$BL72,IF(ISNUMBER($BR72),RANK($BR72,$BR$9:$BR$508,0),COUNT($BR$9:$BR$508)+1)))</f>
        <v/>
      </c>
      <c r="BT72" s="127" t="str">
        <f aca="false">IF($BL72&lt;&gt;Constants!$B$4,"",IF($BB72="-&gt;",$BE72,$AU72))</f>
        <v/>
      </c>
      <c r="BU72" s="124" t="str">
        <f aca="false">IF(ISBLANK($C72),"",IF($BL72&lt;&gt;Constants!$B$4,$BL72,IF(ISNUMBER($BT72),RANK($BT72,$BT$9:$BT$508,0),COUNT($BT$9:$BT$508)+1)))</f>
        <v/>
      </c>
      <c r="BV72" s="127" t="str">
        <f aca="false">IF($BL72&lt;&gt;Constants!$B$4,"",IF($BB72="-&gt;",$BF72,$AV72))</f>
        <v/>
      </c>
      <c r="BW72" s="124" t="str">
        <f aca="false">IF(ISBLANK($C72),"",IF($BL72&lt;&gt;Constants!$B$4,$BL72,IF(ISNUMBER($BV72),RANK($BV72,$BV$9:$BV$508,0),COUNT($BV$9:$BV$508)+1)))</f>
        <v/>
      </c>
      <c r="BX72" s="127" t="str">
        <f aca="false">IF($BL72&lt;&gt;Constants!$B$4,"",IF($BB72="-&gt;",$BK72,$BA72))</f>
        <v/>
      </c>
      <c r="BY72" s="124" t="str">
        <f aca="false">IF(ISBLANK($C72),"",IF($BL72&lt;&gt;Constants!$B$4,$BL72,IF(ISNUMBER($BX72),RANK($BX72,$BX$9:$BX$508,0),COUNT($BX$9:$BX$508)+1)))</f>
        <v/>
      </c>
      <c r="BZ72" s="124" t="str">
        <f aca="false">IF(ISBLANK($C72),"",IF($BL72&lt;&gt;Constants!$B$4,$BL72,COUNTIFS($BM$9:$BM$508,"&lt;"&amp;$BM72)+COUNTIFS($BM$9:$BM$508,$BM72,$BP$9:$BP$508,"&lt;"&amp;$BP72)+COUNTIFS($BM$9:$BM$508,$BM72,$BP$9:$BP$508,$BP72,$BS$9:$BS$508,"&lt;"&amp;$BS72)+COUNTIFS($BM$9:$BM$508,$BM72,$BP$9:$BP$508,$BP72,$BS$9:$BS$508,$BS72,$BU$9:$BU$508,"&lt;"&amp;$BU72)+COUNTIFS($BM$9:$BM$508,$BM72,$BP$9:$BP$508,$BP72,$BS$9:$BS$508,$BS72,$BU$9:$BU$508,$BU72,$BW$9:$BW$508,"&lt;"&amp;$BW72)+COUNTIFS($BM$9:$BM$508,$BM72,$BP$9:$BP$508,$BP72,$BS$9:$BS$508,$BS72,$BU$9:$BU$508,$BU72,$BW$9:$BW$508,$BW72,$BY$9:$BY$508,"&lt;"&amp;$BY72)+1))</f>
        <v/>
      </c>
      <c r="CA72" s="124" t="str">
        <f aca="false">IF(ISBLANK($C72),"",IF($BL72&lt;&gt;Constants!$B$4,$BL72,$BQ72-$BZ72))</f>
        <v/>
      </c>
      <c r="CB72" s="130"/>
      <c r="CC72" s="131" t="str">
        <f aca="false">IF(ISBLANK($C72),"",IF($BL72=Constants!$B$8,$AR72,""))</f>
        <v/>
      </c>
      <c r="CD72" s="131" t="str">
        <f aca="false">IF(ISBLANK($C72),"",IF($BL72&lt;&gt;Constants!$B$4,"",IF($BB72="-&gt;",2,1)))</f>
        <v/>
      </c>
      <c r="CE72" s="132" t="str">
        <f aca="false">IF(ISBLANK($C72),"",IF($BL72&lt;&gt;Constants!$B$4,"",IF($BB72="-&gt;",$BE72,$AU72)))</f>
        <v/>
      </c>
      <c r="CF72" s="132" t="str">
        <f aca="false">IF(ISBLANK($C72),"",IF($BL72&lt;&gt;Constants!$B$4,"",IF($BB72="-&gt;",$BF72,$AV72)))</f>
        <v/>
      </c>
      <c r="CG72" s="132" t="str">
        <f aca="false">IF(ISBLANK($C72),"",IF($BL72&lt;&gt;Constants!$B$4,"",IF($BB72="-&gt;",$BG72,$AW72)))</f>
        <v/>
      </c>
      <c r="CH72" s="132" t="str">
        <f aca="false">IF(ISBLANK($C72),"",IF($BL72&lt;&gt;Constants!$B$4,"",IF($BB72="-&gt;",$BH72,$AX72)))</f>
        <v/>
      </c>
      <c r="CI72" s="133" t="str">
        <f aca="false">IF(ISBLANK($C72),"",$BO72)</f>
        <v/>
      </c>
      <c r="CJ72" s="134" t="str">
        <f aca="false">IF(ISBLANK($C72),"",$BM72)</f>
        <v/>
      </c>
      <c r="CK72" s="135" t="str">
        <f aca="false">IF(ISBLANK($C72),"",$CA72)</f>
        <v/>
      </c>
      <c r="CL72" s="135" t="str">
        <f aca="false">IF(ISBLANK($C72),"",$BZ72)</f>
        <v/>
      </c>
      <c r="CM72" s="136" t="str">
        <f aca="false">IF(ISBLANK($C72),"",IF($CL72=Constants!$B$7,COUNTA($C$9:$C$508)+2,IF($CL72=Constants!$B$6,COUNTA($C$9:$C$508)+1,IF($CL72=Constants!$B$5,COUNTA($C$9:$C$508),$CL72))))</f>
        <v/>
      </c>
      <c r="CN72" s="8"/>
      <c r="CO72" s="137" t="n">
        <f aca="false">IF(OR(ISNUMBER($CL72),$CL72=Constants!$B$7,$CL72=Constants!$B$5,$CL72=Constants!$B$6),1,0)</f>
        <v>0</v>
      </c>
      <c r="CP72" s="137" t="n">
        <v>64</v>
      </c>
      <c r="CQ72" s="137" t="str">
        <f aca="false">IF(ISBLANK($C72),"",IF(ISNUMBER($CM72),$CM72+ROW($B72)/1000,""))</f>
        <v/>
      </c>
      <c r="CR72" s="137" t="str">
        <f aca="false">IF(ISNUMBER($CQ72),RANK($CQ72,$CQ$9:$CQ$508,1),"")</f>
        <v/>
      </c>
      <c r="CS72" s="137" t="str">
        <f aca="false">IF(ISBLANK($C72),"",$B72)</f>
        <v/>
      </c>
      <c r="CT72" s="137" t="str">
        <f aca="false">IF(ISBLANK($C72),"",$C72)</f>
        <v/>
      </c>
      <c r="CU72" s="137" t="str">
        <f aca="false">IF(ISBLANK($C72),"",$D72)</f>
        <v/>
      </c>
      <c r="CV72" s="138" t="str">
        <f aca="false">$CJ72</f>
        <v/>
      </c>
      <c r="CW72" s="139" t="str">
        <f aca="false">$CI72</f>
        <v/>
      </c>
      <c r="CX72" s="137" t="str">
        <f aca="false">IF(ISBLANK($C72),"",$CL72)</f>
        <v/>
      </c>
      <c r="CY72" s="140" t="str">
        <f aca="false">IF($CP72&gt;$CO$8,"",VLOOKUP($CP72,$CR$9:$CX$508,7,FALSE()))</f>
        <v/>
      </c>
      <c r="CZ72" s="141" t="str">
        <f aca="false">IF($CP72&gt;$CO$8,"",VLOOKUP($CP72,$CR$9:$CX$508,2,FALSE()))</f>
        <v/>
      </c>
      <c r="DA72" s="141" t="str">
        <f aca="false">IF($CP72&gt;$CO$8,"",VLOOKUP($CP72,$CR$9:$CX$508,3,FALSE()))</f>
        <v/>
      </c>
      <c r="DB72" s="141" t="str">
        <f aca="false">IF($CP72&gt;$CO$8,"",VLOOKUP($CP72,$CR$9:$CX$508,4,FALSE()))</f>
        <v/>
      </c>
      <c r="DC72" s="141" t="str">
        <f aca="false">IF($CP72&gt;$CO$8,"",VLOOKUP($CP72,$CR$9:$CX$508,5,FALSE()))</f>
        <v/>
      </c>
      <c r="DD72" s="142" t="str">
        <f aca="false">IF($CP72&gt;$CO$8,"",VLOOKUP($CP72,$CR$9:$CX$508,6,FALSE()))</f>
        <v/>
      </c>
      <c r="DE72" s="70"/>
    </row>
    <row r="73" customFormat="false" ht="15.75" hidden="false" customHeight="false" outlineLevel="0" collapsed="false">
      <c r="A73" s="8"/>
      <c r="B73" s="146"/>
      <c r="C73" s="147"/>
      <c r="D73" s="148"/>
      <c r="E73" s="164"/>
      <c r="F73" s="150"/>
      <c r="G73" s="115"/>
      <c r="H73" s="115"/>
      <c r="I73" s="115"/>
      <c r="J73" s="165"/>
      <c r="K73" s="154"/>
      <c r="L73" s="154"/>
      <c r="M73" s="118"/>
      <c r="N73" s="154"/>
      <c r="O73" s="153"/>
      <c r="P73" s="154"/>
      <c r="Q73" s="154"/>
      <c r="R73" s="154"/>
      <c r="S73" s="115"/>
      <c r="T73" s="154"/>
      <c r="U73" s="153"/>
      <c r="V73" s="154"/>
      <c r="W73" s="123"/>
      <c r="X73" s="124" t="str">
        <f aca="false">IF(ISBLANK($C73),"",IF($E73=Constants!$B$2,TRUE(),IF($E73=Constants!$B$3,FALSE(),TRUE())))</f>
        <v/>
      </c>
      <c r="Y73" s="124" t="str">
        <f aca="false">IF(ISBLANK($C73),"",IF($F73=Constants!$B$2,TRUE(),IF($F73=Constants!$B$3,FALSE(),TRUE())))</f>
        <v/>
      </c>
      <c r="Z73" s="125" t="str">
        <f aca="false">IF(ISBLANK($C73),"",IF(ISNUMBER($G73),IF($G73&gt;=0,$G73,""),""))</f>
        <v/>
      </c>
      <c r="AA73" s="125" t="str">
        <f aca="false">IF(ISBLANK($C73),"",IF(ISNUMBER($H73),IF($H73&gt;=0,$H73,""),""))</f>
        <v/>
      </c>
      <c r="AB73" s="125" t="str">
        <f aca="false">IF(ISBLANK($C73),"",IF(ISNUMBER($I73),IF($I73&gt;=0,$I73,""),""))</f>
        <v/>
      </c>
      <c r="AC73" s="124" t="str">
        <f aca="false">IF(ISBLANK($C73),"",IF($J73=Constants!$B$2,TRUE(),IF($J73=Constants!$B$3,FALSE(),TRUE())))</f>
        <v/>
      </c>
      <c r="AD73" s="124" t="str">
        <f aca="false">IF(ISBLANK($C73),"",IF($K73=Constants!$B$2,TRUE(),IF($K73=Constants!$B$3,FALSE(),TRUE())))</f>
        <v/>
      </c>
      <c r="AE73" s="124" t="str">
        <f aca="false">IF(ISBLANK($C73),"",IF($L73=Constants!$B$2,TRUE(),IF($L73=Constants!$B$3,FALSE(),TRUE())))</f>
        <v/>
      </c>
      <c r="AF73" s="126" t="str">
        <f aca="false">IF(ISBLANK($C73),"",IF(ISNUMBER($M73),IF($M73&gt;=0,$M73,""),""))</f>
        <v/>
      </c>
      <c r="AG73" s="124" t="str">
        <f aca="false">IF(ISBLANK($C73),"",IF(ISBLANK($N73),0,IF(ISNUMBER($N73),IF(AND($N73&gt;=0,$N73&lt;=Constants!$B$17,$N73=INT($N73)),$N73,""),"")))</f>
        <v/>
      </c>
      <c r="AH73" s="125" t="str">
        <f aca="false">IF(ISBLANK($C73),"",IF(ISBLANK($O73),0,IF(ISNUMBER($O73),IF($O73&gt;=0,$O73,""),"")))</f>
        <v/>
      </c>
      <c r="AI73" s="124" t="str">
        <f aca="false">IF(ISBLANK($C73),"",IF($P73=Constants!$B$2,TRUE(),IF($P73=Constants!$B$3,FALSE(),TRUE())))</f>
        <v/>
      </c>
      <c r="AJ73" s="124" t="str">
        <f aca="false">IF(ISBLANK($C73),"",IF($Q73=Constants!$B$2,TRUE(),IF($Q73=Constants!$B$3,FALSE(),TRUE())))</f>
        <v/>
      </c>
      <c r="AK73" s="124" t="str">
        <f aca="false">IF(ISBLANK($C73),"",IF($R73=Constants!$B$2,TRUE(),IF($R73=Constants!$B$3,FALSE(),TRUE())))</f>
        <v/>
      </c>
      <c r="AL73" s="126" t="str">
        <f aca="false">IF(ISBLANK($C73),"",IF(ISNUMBER($S73),IF($S73&gt;=0,$S73,""),""))</f>
        <v/>
      </c>
      <c r="AM73" s="124" t="str">
        <f aca="false">IF(ISBLANK($C73),"",IF(ISBLANK($T73),0,IF(ISNUMBER($T73),IF(AND($T73&gt;=0,$T73&lt;=Constants!$B$17,$T73=INT($T73)),$T73,""),"")))</f>
        <v/>
      </c>
      <c r="AN73" s="125" t="str">
        <f aca="false">IF(ISBLANK($C73),"",IF(ISBLANK($U73),0,IF(ISNUMBER($U73),IF($U73&gt;=0,$U73,""),"")))</f>
        <v/>
      </c>
      <c r="AO73" s="124" t="str">
        <f aca="false">IF(ISBLANK($C73),"",IF($V73=Constants!$B$2,TRUE(),IF($V73=Constants!$B$3,FALSE(),FALSE())))</f>
        <v/>
      </c>
      <c r="AP73" s="124"/>
      <c r="AQ73" s="123" t="str">
        <f aca="false">IF(ISBLANK($C73),"",AND($Y73,OR($AS73,$BC73),OR($Z73="",$AA73="",$AB73="")))</f>
        <v/>
      </c>
      <c r="AR73" s="123" t="str">
        <f aca="false">IF(ISBLANK($C73),"",IF(OR(NOT($Y73),NOT(OR($AS73,$BC73))),"",IF(ISBLANK($D$7),$AR$5,IF($AP$9="",$AR$6,""))))</f>
        <v/>
      </c>
      <c r="AS73" s="123" t="str">
        <f aca="false">IF(ISBLANK($C73),"",COUNTA($J73:$O73)&gt;0)</f>
        <v/>
      </c>
      <c r="AT73" s="123" t="str">
        <f aca="false">IF(ISBLANK($C73),"",AND($AS73,OR(AND($AF73="",OR($AE73,NOT(ISBLANK($M73)))),$AG73="",$AH73="")))</f>
        <v/>
      </c>
      <c r="AU73" s="125" t="str">
        <f aca="false">IF($BL73&lt;&gt;Constants!$B$4,"",IF(NOT($AS73),"",ROUND((Constants!$B$12-$AB73)+(Constants!$B$13-$Z73)+(Constants!$B$14-$AA73),1)))</f>
        <v/>
      </c>
      <c r="AV73" s="127" t="str">
        <f aca="false">IF($BL73&lt;&gt;Constants!$B$4,"",IF(NOT($AS73),"",IF(NOT($AE73),0,Constants!$B$15*(INT(ROUND(MIN($AF73,$AP$9),6))-INT(ROUND(MAX(0,MIN($AF73,2*$AP$9)-$AP$9),6))))))</f>
        <v/>
      </c>
      <c r="AW73" s="127" t="str">
        <f aca="false">IF($BL73&lt;&gt;Constants!$B$4,"",IF(NOT($AS73),"",Constants!$B$16*$AG73))</f>
        <v/>
      </c>
      <c r="AX73" s="127" t="str">
        <f aca="false">IF($BL73&lt;&gt;Constants!$B$4,"",IF(NOT($AS73),"",Constants!$B$18*INT(ROUND($AH73,6))))</f>
        <v/>
      </c>
      <c r="AY73" s="123" t="str">
        <f aca="false">IF($BL73&lt;&gt;Constants!$B$4,"",IF(NOT($AS73),"",IF(NOT($X73),Constants!$B$11,IF(OR(NOT($AC73),NOT($AD73),ROUND($AB73,1)&gt;Constants!$B$12,ROUND($Z73,1)&gt;Constants!$B$13,ROUND($AA73,1)&gt;Constants!$B$14),Constants!$B$10,Constants!$B$9))))</f>
        <v/>
      </c>
      <c r="AZ73" s="128" t="str">
        <f aca="false">IF($BL73&lt;&gt;Constants!$B$4,"",IF(NOT($AS73),"",ROUND($AU73+$AV73+$AW73+$AX73,1)))</f>
        <v/>
      </c>
      <c r="BA73" s="129" t="str">
        <f aca="false">IF($BL73&lt;&gt;Constants!$B$4,"",IF(NOT($AS73),"",IF(ISNUMBER($AF73),$AF73,0)))</f>
        <v/>
      </c>
      <c r="BB73" s="124" t="str">
        <f aca="false">IF($BL73&lt;&gt;Constants!$B$4,"",IF(NOT($BC73),"&lt;-",IF(NOT($AS73),"-&gt;",IF(OR($BI73&lt;$AY73,AND($BI73=$AY73,OR($BJ73&gt;$AZ73,AND($BJ73=$AZ73,OR($BH73&gt;$AX73,AND($BH73=$AX73,OR($BE73&gt;$AU73,AND($BE73=$AU73,OR($BF73&gt;$AV73,AND($BF73=$AV73,$BK73&gt;$BA73)))))))))),"-&gt;","&lt;-"))))</f>
        <v/>
      </c>
      <c r="BC73" s="123" t="str">
        <f aca="false">IF(ISBLANK($C73),"",COUNTA($P73:$U73)&gt;0)</f>
        <v/>
      </c>
      <c r="BD73" s="123" t="str">
        <f aca="false">IF(ISBLANK($C73),"",AND($BC73,OR(AND($AL73="",OR($AK73,NOT(ISBLANK($S73)))),$AM73="",$AN73="")))</f>
        <v/>
      </c>
      <c r="BE73" s="125" t="str">
        <f aca="false">IF($BL73&lt;&gt;Constants!$B$4,"",IF(NOT($BC73),"",ROUND((Constants!$B$12-$AB73)+(Constants!$B$13-$Z73)+(Constants!$B$14-$AA73),1)))</f>
        <v/>
      </c>
      <c r="BF73" s="127" t="str">
        <f aca="false">IF($BL73&lt;&gt;Constants!$B$4,"",IF(NOT($BC73),"",IF(NOT($AK73),0,Constants!$B$15*(INT(ROUND(MIN($AL73,$AP$9),6))-INT(ROUND(MAX(0,MIN($AL73,2*$AP$9)-$AP$9),6))))))</f>
        <v/>
      </c>
      <c r="BG73" s="127" t="str">
        <f aca="false">IF($BL73&lt;&gt;Constants!$B$4,"",IF(NOT($BC73),"",Constants!$B$16*$AM73))</f>
        <v/>
      </c>
      <c r="BH73" s="127" t="str">
        <f aca="false">IF($BL73&lt;&gt;Constants!$B$4,"",IF(NOT($BC73),"",Constants!$B$18*INT(ROUND($AN73,6))))</f>
        <v/>
      </c>
      <c r="BI73" s="123" t="str">
        <f aca="false">IF($BL73&lt;&gt;Constants!$B$4,"",IF(NOT($BC73),"",IF(NOT($X73),Constants!$B$11,IF(OR(NOT($AI73),NOT($AJ73),ROUND($AB73,1)&gt;Constants!$B$12,ROUND($Z73,1)&gt;Constants!$B$13,ROUND($AA73,1)&gt;Constants!$B$14),Constants!$B$10,Constants!$B$9))))</f>
        <v/>
      </c>
      <c r="BJ73" s="128" t="str">
        <f aca="false">IF($BL73&lt;&gt;Constants!$B$4,"",IF(NOT($BC73),"",ROUND($BE73+$BF73+$BG73+$BH73,1)))</f>
        <v/>
      </c>
      <c r="BK73" s="129" t="str">
        <f aca="false">IF($BL73&lt;&gt;Constants!$B$4,"",IF(NOT($BC73),"",IF(ISNUMBER($AL73),$AL73,0)))</f>
        <v/>
      </c>
      <c r="BL73" s="124" t="str">
        <f aca="false">IF(ISBLANK($C73),"",IF($AO73,Constants!$B$7,IF(COUNTA($E73:$V73)=0,Constants!$B$6,IF(NOT($Y73),Constants!$B$5,IF(NOT(OR($AS73,$BC73)),Constants!$B$5,IF(OR($AT73,$BD73,$AQ73,$AR73&lt;&gt;""),Constants!$B$8,Constants!$B$4))))))</f>
        <v/>
      </c>
      <c r="BM73" s="124" t="str">
        <f aca="false">IF(ISBLANK($C73),"",IF($BL73&lt;&gt;Constants!$B$4,$BL73,IF($BB73="-&gt;",$BI73,$AY73)))</f>
        <v/>
      </c>
      <c r="BN73" s="127" t="str">
        <f aca="false">IF($BL73&lt;&gt;Constants!$B$4,"",IF($BB73="-&gt;",$BJ73,$AZ73))</f>
        <v/>
      </c>
      <c r="BO73" s="127" t="str">
        <f aca="false">IF(ISBLANK($C73),"",IF($BL73&lt;&gt;Constants!$B$4,$BL73,$BN73))</f>
        <v/>
      </c>
      <c r="BP73" s="124" t="str">
        <f aca="false">IF(ISBLANK($C73),"",IF($BL73&lt;&gt;Constants!$B$4,$BL73,RANK($BO73,$BO$9:$BO$508,0)))</f>
        <v/>
      </c>
      <c r="BQ73" s="124" t="str">
        <f aca="false">IF(ISBLANK($C73),"",IF($BL73&lt;&gt;Constants!$B$4,$BL73,COUNTIFS($BM$9:$BM$508,"&lt;"&amp;$BM73)+COUNTIFS($BM$9:$BM$508,$BM73,$BP$9:$BP$508,"&lt;"&amp;$BP73)+1))</f>
        <v/>
      </c>
      <c r="BR73" s="127" t="str">
        <f aca="false">IF($BL73&lt;&gt;Constants!$B$4,"",IF($BB73="-&gt;",$BH73,$AX73))</f>
        <v/>
      </c>
      <c r="BS73" s="124" t="str">
        <f aca="false">IF(ISBLANK($C73),"",IF($BL73&lt;&gt;Constants!$B$4,$BL73,IF(ISNUMBER($BR73),RANK($BR73,$BR$9:$BR$508,0),COUNT($BR$9:$BR$508)+1)))</f>
        <v/>
      </c>
      <c r="BT73" s="127" t="str">
        <f aca="false">IF($BL73&lt;&gt;Constants!$B$4,"",IF($BB73="-&gt;",$BE73,$AU73))</f>
        <v/>
      </c>
      <c r="BU73" s="124" t="str">
        <f aca="false">IF(ISBLANK($C73),"",IF($BL73&lt;&gt;Constants!$B$4,$BL73,IF(ISNUMBER($BT73),RANK($BT73,$BT$9:$BT$508,0),COUNT($BT$9:$BT$508)+1)))</f>
        <v/>
      </c>
      <c r="BV73" s="127" t="str">
        <f aca="false">IF($BL73&lt;&gt;Constants!$B$4,"",IF($BB73="-&gt;",$BF73,$AV73))</f>
        <v/>
      </c>
      <c r="BW73" s="124" t="str">
        <f aca="false">IF(ISBLANK($C73),"",IF($BL73&lt;&gt;Constants!$B$4,$BL73,IF(ISNUMBER($BV73),RANK($BV73,$BV$9:$BV$508,0),COUNT($BV$9:$BV$508)+1)))</f>
        <v/>
      </c>
      <c r="BX73" s="127" t="str">
        <f aca="false">IF($BL73&lt;&gt;Constants!$B$4,"",IF($BB73="-&gt;",$BK73,$BA73))</f>
        <v/>
      </c>
      <c r="BY73" s="124" t="str">
        <f aca="false">IF(ISBLANK($C73),"",IF($BL73&lt;&gt;Constants!$B$4,$BL73,IF(ISNUMBER($BX73),RANK($BX73,$BX$9:$BX$508,0),COUNT($BX$9:$BX$508)+1)))</f>
        <v/>
      </c>
      <c r="BZ73" s="124" t="str">
        <f aca="false">IF(ISBLANK($C73),"",IF($BL73&lt;&gt;Constants!$B$4,$BL73,COUNTIFS($BM$9:$BM$508,"&lt;"&amp;$BM73)+COUNTIFS($BM$9:$BM$508,$BM73,$BP$9:$BP$508,"&lt;"&amp;$BP73)+COUNTIFS($BM$9:$BM$508,$BM73,$BP$9:$BP$508,$BP73,$BS$9:$BS$508,"&lt;"&amp;$BS73)+COUNTIFS($BM$9:$BM$508,$BM73,$BP$9:$BP$508,$BP73,$BS$9:$BS$508,$BS73,$BU$9:$BU$508,"&lt;"&amp;$BU73)+COUNTIFS($BM$9:$BM$508,$BM73,$BP$9:$BP$508,$BP73,$BS$9:$BS$508,$BS73,$BU$9:$BU$508,$BU73,$BW$9:$BW$508,"&lt;"&amp;$BW73)+COUNTIFS($BM$9:$BM$508,$BM73,$BP$9:$BP$508,$BP73,$BS$9:$BS$508,$BS73,$BU$9:$BU$508,$BU73,$BW$9:$BW$508,$BW73,$BY$9:$BY$508,"&lt;"&amp;$BY73)+1))</f>
        <v/>
      </c>
      <c r="CA73" s="124" t="str">
        <f aca="false">IF(ISBLANK($C73),"",IF($BL73&lt;&gt;Constants!$B$4,$BL73,$BQ73-$BZ73))</f>
        <v/>
      </c>
      <c r="CB73" s="130"/>
      <c r="CC73" s="131" t="str">
        <f aca="false">IF(ISBLANK($C73),"",IF($BL73=Constants!$B$8,$AR73,""))</f>
        <v/>
      </c>
      <c r="CD73" s="131" t="str">
        <f aca="false">IF(ISBLANK($C73),"",IF($BL73&lt;&gt;Constants!$B$4,"",IF($BB73="-&gt;",2,1)))</f>
        <v/>
      </c>
      <c r="CE73" s="132" t="str">
        <f aca="false">IF(ISBLANK($C73),"",IF($BL73&lt;&gt;Constants!$B$4,"",IF($BB73="-&gt;",$BE73,$AU73)))</f>
        <v/>
      </c>
      <c r="CF73" s="132" t="str">
        <f aca="false">IF(ISBLANK($C73),"",IF($BL73&lt;&gt;Constants!$B$4,"",IF($BB73="-&gt;",$BF73,$AV73)))</f>
        <v/>
      </c>
      <c r="CG73" s="132" t="str">
        <f aca="false">IF(ISBLANK($C73),"",IF($BL73&lt;&gt;Constants!$B$4,"",IF($BB73="-&gt;",$BG73,$AW73)))</f>
        <v/>
      </c>
      <c r="CH73" s="132" t="str">
        <f aca="false">IF(ISBLANK($C73),"",IF($BL73&lt;&gt;Constants!$B$4,"",IF($BB73="-&gt;",$BH73,$AX73)))</f>
        <v/>
      </c>
      <c r="CI73" s="133" t="str">
        <f aca="false">IF(ISBLANK($C73),"",$BO73)</f>
        <v/>
      </c>
      <c r="CJ73" s="134" t="str">
        <f aca="false">IF(ISBLANK($C73),"",$BM73)</f>
        <v/>
      </c>
      <c r="CK73" s="135" t="str">
        <f aca="false">IF(ISBLANK($C73),"",$CA73)</f>
        <v/>
      </c>
      <c r="CL73" s="135" t="str">
        <f aca="false">IF(ISBLANK($C73),"",$BZ73)</f>
        <v/>
      </c>
      <c r="CM73" s="136" t="str">
        <f aca="false">IF(ISBLANK($C73),"",IF($CL73=Constants!$B$7,COUNTA($C$9:$C$508)+2,IF($CL73=Constants!$B$6,COUNTA($C$9:$C$508)+1,IF($CL73=Constants!$B$5,COUNTA($C$9:$C$508),$CL73))))</f>
        <v/>
      </c>
      <c r="CN73" s="8"/>
      <c r="CO73" s="137" t="n">
        <f aca="false">IF(OR(ISNUMBER($CL73),$CL73=Constants!$B$7,$CL73=Constants!$B$5,$CL73=Constants!$B$6),1,0)</f>
        <v>0</v>
      </c>
      <c r="CP73" s="137" t="n">
        <v>65</v>
      </c>
      <c r="CQ73" s="137" t="str">
        <f aca="false">IF(ISBLANK($C73),"",IF(ISNUMBER($CM73),$CM73+ROW($B73)/1000,""))</f>
        <v/>
      </c>
      <c r="CR73" s="137" t="str">
        <f aca="false">IF(ISNUMBER($CQ73),RANK($CQ73,$CQ$9:$CQ$508,1),"")</f>
        <v/>
      </c>
      <c r="CS73" s="137" t="str">
        <f aca="false">IF(ISBLANK($C73),"",$B73)</f>
        <v/>
      </c>
      <c r="CT73" s="137" t="str">
        <f aca="false">IF(ISBLANK($C73),"",$C73)</f>
        <v/>
      </c>
      <c r="CU73" s="137" t="str">
        <f aca="false">IF(ISBLANK($C73),"",$D73)</f>
        <v/>
      </c>
      <c r="CV73" s="138" t="str">
        <f aca="false">$CJ73</f>
        <v/>
      </c>
      <c r="CW73" s="139" t="str">
        <f aca="false">$CI73</f>
        <v/>
      </c>
      <c r="CX73" s="137" t="str">
        <f aca="false">IF(ISBLANK($C73),"",$CL73)</f>
        <v/>
      </c>
      <c r="CY73" s="140" t="str">
        <f aca="false">IF($CP73&gt;$CO$8,"",VLOOKUP($CP73,$CR$9:$CX$508,7,FALSE()))</f>
        <v/>
      </c>
      <c r="CZ73" s="141" t="str">
        <f aca="false">IF($CP73&gt;$CO$8,"",VLOOKUP($CP73,$CR$9:$CX$508,2,FALSE()))</f>
        <v/>
      </c>
      <c r="DA73" s="141" t="str">
        <f aca="false">IF($CP73&gt;$CO$8,"",VLOOKUP($CP73,$CR$9:$CX$508,3,FALSE()))</f>
        <v/>
      </c>
      <c r="DB73" s="141" t="str">
        <f aca="false">IF($CP73&gt;$CO$8,"",VLOOKUP($CP73,$CR$9:$CX$508,4,FALSE()))</f>
        <v/>
      </c>
      <c r="DC73" s="141" t="str">
        <f aca="false">IF($CP73&gt;$CO$8,"",VLOOKUP($CP73,$CR$9:$CX$508,5,FALSE()))</f>
        <v/>
      </c>
      <c r="DD73" s="142" t="str">
        <f aca="false">IF($CP73&gt;$CO$8,"",VLOOKUP($CP73,$CR$9:$CX$508,6,FALSE()))</f>
        <v/>
      </c>
      <c r="DE73" s="70"/>
    </row>
    <row r="74" customFormat="false" ht="15.75" hidden="false" customHeight="false" outlineLevel="0" collapsed="false">
      <c r="A74" s="8"/>
      <c r="B74" s="146"/>
      <c r="C74" s="147"/>
      <c r="D74" s="148"/>
      <c r="E74" s="164"/>
      <c r="F74" s="150"/>
      <c r="G74" s="115"/>
      <c r="H74" s="115"/>
      <c r="I74" s="115"/>
      <c r="J74" s="165"/>
      <c r="K74" s="154"/>
      <c r="L74" s="154"/>
      <c r="M74" s="118"/>
      <c r="N74" s="154"/>
      <c r="O74" s="153"/>
      <c r="P74" s="154"/>
      <c r="Q74" s="154"/>
      <c r="R74" s="154"/>
      <c r="S74" s="115"/>
      <c r="T74" s="154"/>
      <c r="U74" s="153"/>
      <c r="V74" s="154"/>
      <c r="W74" s="123"/>
      <c r="X74" s="124" t="str">
        <f aca="false">IF(ISBLANK($C74),"",IF($E74=Constants!$B$2,TRUE(),IF($E74=Constants!$B$3,FALSE(),TRUE())))</f>
        <v/>
      </c>
      <c r="Y74" s="124" t="str">
        <f aca="false">IF(ISBLANK($C74),"",IF($F74=Constants!$B$2,TRUE(),IF($F74=Constants!$B$3,FALSE(),TRUE())))</f>
        <v/>
      </c>
      <c r="Z74" s="125" t="str">
        <f aca="false">IF(ISBLANK($C74),"",IF(ISNUMBER($G74),IF($G74&gt;=0,$G74,""),""))</f>
        <v/>
      </c>
      <c r="AA74" s="125" t="str">
        <f aca="false">IF(ISBLANK($C74),"",IF(ISNUMBER($H74),IF($H74&gt;=0,$H74,""),""))</f>
        <v/>
      </c>
      <c r="AB74" s="125" t="str">
        <f aca="false">IF(ISBLANK($C74),"",IF(ISNUMBER($I74),IF($I74&gt;=0,$I74,""),""))</f>
        <v/>
      </c>
      <c r="AC74" s="124" t="str">
        <f aca="false">IF(ISBLANK($C74),"",IF($J74=Constants!$B$2,TRUE(),IF($J74=Constants!$B$3,FALSE(),TRUE())))</f>
        <v/>
      </c>
      <c r="AD74" s="124" t="str">
        <f aca="false">IF(ISBLANK($C74),"",IF($K74=Constants!$B$2,TRUE(),IF($K74=Constants!$B$3,FALSE(),TRUE())))</f>
        <v/>
      </c>
      <c r="AE74" s="124" t="str">
        <f aca="false">IF(ISBLANK($C74),"",IF($L74=Constants!$B$2,TRUE(),IF($L74=Constants!$B$3,FALSE(),TRUE())))</f>
        <v/>
      </c>
      <c r="AF74" s="126" t="str">
        <f aca="false">IF(ISBLANK($C74),"",IF(ISNUMBER($M74),IF($M74&gt;=0,$M74,""),""))</f>
        <v/>
      </c>
      <c r="AG74" s="124" t="str">
        <f aca="false">IF(ISBLANK($C74),"",IF(ISBLANK($N74),0,IF(ISNUMBER($N74),IF(AND($N74&gt;=0,$N74&lt;=Constants!$B$17,$N74=INT($N74)),$N74,""),"")))</f>
        <v/>
      </c>
      <c r="AH74" s="125" t="str">
        <f aca="false">IF(ISBLANK($C74),"",IF(ISBLANK($O74),0,IF(ISNUMBER($O74),IF($O74&gt;=0,$O74,""),"")))</f>
        <v/>
      </c>
      <c r="AI74" s="124" t="str">
        <f aca="false">IF(ISBLANK($C74),"",IF($P74=Constants!$B$2,TRUE(),IF($P74=Constants!$B$3,FALSE(),TRUE())))</f>
        <v/>
      </c>
      <c r="AJ74" s="124" t="str">
        <f aca="false">IF(ISBLANK($C74),"",IF($Q74=Constants!$B$2,TRUE(),IF($Q74=Constants!$B$3,FALSE(),TRUE())))</f>
        <v/>
      </c>
      <c r="AK74" s="124" t="str">
        <f aca="false">IF(ISBLANK($C74),"",IF($R74=Constants!$B$2,TRUE(),IF($R74=Constants!$B$3,FALSE(),TRUE())))</f>
        <v/>
      </c>
      <c r="AL74" s="126" t="str">
        <f aca="false">IF(ISBLANK($C74),"",IF(ISNUMBER($S74),IF($S74&gt;=0,$S74,""),""))</f>
        <v/>
      </c>
      <c r="AM74" s="124" t="str">
        <f aca="false">IF(ISBLANK($C74),"",IF(ISBLANK($T74),0,IF(ISNUMBER($T74),IF(AND($T74&gt;=0,$T74&lt;=Constants!$B$17,$T74=INT($T74)),$T74,""),"")))</f>
        <v/>
      </c>
      <c r="AN74" s="125" t="str">
        <f aca="false">IF(ISBLANK($C74),"",IF(ISBLANK($U74),0,IF(ISNUMBER($U74),IF($U74&gt;=0,$U74,""),"")))</f>
        <v/>
      </c>
      <c r="AO74" s="124" t="str">
        <f aca="false">IF(ISBLANK($C74),"",IF($V74=Constants!$B$2,TRUE(),IF($V74=Constants!$B$3,FALSE(),FALSE())))</f>
        <v/>
      </c>
      <c r="AP74" s="124"/>
      <c r="AQ74" s="123" t="str">
        <f aca="false">IF(ISBLANK($C74),"",AND($Y74,OR($AS74,$BC74),OR($Z74="",$AA74="",$AB74="")))</f>
        <v/>
      </c>
      <c r="AR74" s="123" t="str">
        <f aca="false">IF(ISBLANK($C74),"",IF(OR(NOT($Y74),NOT(OR($AS74,$BC74))),"",IF(ISBLANK($D$7),$AR$5,IF($AP$9="",$AR$6,""))))</f>
        <v/>
      </c>
      <c r="AS74" s="123" t="str">
        <f aca="false">IF(ISBLANK($C74),"",COUNTA($J74:$O74)&gt;0)</f>
        <v/>
      </c>
      <c r="AT74" s="123" t="str">
        <f aca="false">IF(ISBLANK($C74),"",AND($AS74,OR(AND($AF74="",OR($AE74,NOT(ISBLANK($M74)))),$AG74="",$AH74="")))</f>
        <v/>
      </c>
      <c r="AU74" s="125" t="str">
        <f aca="false">IF($BL74&lt;&gt;Constants!$B$4,"",IF(NOT($AS74),"",ROUND((Constants!$B$12-$AB74)+(Constants!$B$13-$Z74)+(Constants!$B$14-$AA74),1)))</f>
        <v/>
      </c>
      <c r="AV74" s="127" t="str">
        <f aca="false">IF($BL74&lt;&gt;Constants!$B$4,"",IF(NOT($AS74),"",IF(NOT($AE74),0,Constants!$B$15*(INT(ROUND(MIN($AF74,$AP$9),6))-INT(ROUND(MAX(0,MIN($AF74,2*$AP$9)-$AP$9),6))))))</f>
        <v/>
      </c>
      <c r="AW74" s="127" t="str">
        <f aca="false">IF($BL74&lt;&gt;Constants!$B$4,"",IF(NOT($AS74),"",Constants!$B$16*$AG74))</f>
        <v/>
      </c>
      <c r="AX74" s="127" t="str">
        <f aca="false">IF($BL74&lt;&gt;Constants!$B$4,"",IF(NOT($AS74),"",Constants!$B$18*INT(ROUND($AH74,6))))</f>
        <v/>
      </c>
      <c r="AY74" s="123" t="str">
        <f aca="false">IF($BL74&lt;&gt;Constants!$B$4,"",IF(NOT($AS74),"",IF(NOT($X74),Constants!$B$11,IF(OR(NOT($AC74),NOT($AD74),ROUND($AB74,1)&gt;Constants!$B$12,ROUND($Z74,1)&gt;Constants!$B$13,ROUND($AA74,1)&gt;Constants!$B$14),Constants!$B$10,Constants!$B$9))))</f>
        <v/>
      </c>
      <c r="AZ74" s="128" t="str">
        <f aca="false">IF($BL74&lt;&gt;Constants!$B$4,"",IF(NOT($AS74),"",ROUND($AU74+$AV74+$AW74+$AX74,1)))</f>
        <v/>
      </c>
      <c r="BA74" s="129" t="str">
        <f aca="false">IF($BL74&lt;&gt;Constants!$B$4,"",IF(NOT($AS74),"",IF(ISNUMBER($AF74),$AF74,0)))</f>
        <v/>
      </c>
      <c r="BB74" s="124" t="str">
        <f aca="false">IF($BL74&lt;&gt;Constants!$B$4,"",IF(NOT($BC74),"&lt;-",IF(NOT($AS74),"-&gt;",IF(OR($BI74&lt;$AY74,AND($BI74=$AY74,OR($BJ74&gt;$AZ74,AND($BJ74=$AZ74,OR($BH74&gt;$AX74,AND($BH74=$AX74,OR($BE74&gt;$AU74,AND($BE74=$AU74,OR($BF74&gt;$AV74,AND($BF74=$AV74,$BK74&gt;$BA74)))))))))),"-&gt;","&lt;-"))))</f>
        <v/>
      </c>
      <c r="BC74" s="123" t="str">
        <f aca="false">IF(ISBLANK($C74),"",COUNTA($P74:$U74)&gt;0)</f>
        <v/>
      </c>
      <c r="BD74" s="123" t="str">
        <f aca="false">IF(ISBLANK($C74),"",AND($BC74,OR(AND($AL74="",OR($AK74,NOT(ISBLANK($S74)))),$AM74="",$AN74="")))</f>
        <v/>
      </c>
      <c r="BE74" s="125" t="str">
        <f aca="false">IF($BL74&lt;&gt;Constants!$B$4,"",IF(NOT($BC74),"",ROUND((Constants!$B$12-$AB74)+(Constants!$B$13-$Z74)+(Constants!$B$14-$AA74),1)))</f>
        <v/>
      </c>
      <c r="BF74" s="127" t="str">
        <f aca="false">IF($BL74&lt;&gt;Constants!$B$4,"",IF(NOT($BC74),"",IF(NOT($AK74),0,Constants!$B$15*(INT(ROUND(MIN($AL74,$AP$9),6))-INT(ROUND(MAX(0,MIN($AL74,2*$AP$9)-$AP$9),6))))))</f>
        <v/>
      </c>
      <c r="BG74" s="127" t="str">
        <f aca="false">IF($BL74&lt;&gt;Constants!$B$4,"",IF(NOT($BC74),"",Constants!$B$16*$AM74))</f>
        <v/>
      </c>
      <c r="BH74" s="127" t="str">
        <f aca="false">IF($BL74&lt;&gt;Constants!$B$4,"",IF(NOT($BC74),"",Constants!$B$18*INT(ROUND($AN74,6))))</f>
        <v/>
      </c>
      <c r="BI74" s="123" t="str">
        <f aca="false">IF($BL74&lt;&gt;Constants!$B$4,"",IF(NOT($BC74),"",IF(NOT($X74),Constants!$B$11,IF(OR(NOT($AI74),NOT($AJ74),ROUND($AB74,1)&gt;Constants!$B$12,ROUND($Z74,1)&gt;Constants!$B$13,ROUND($AA74,1)&gt;Constants!$B$14),Constants!$B$10,Constants!$B$9))))</f>
        <v/>
      </c>
      <c r="BJ74" s="128" t="str">
        <f aca="false">IF($BL74&lt;&gt;Constants!$B$4,"",IF(NOT($BC74),"",ROUND($BE74+$BF74+$BG74+$BH74,1)))</f>
        <v/>
      </c>
      <c r="BK74" s="129" t="str">
        <f aca="false">IF($BL74&lt;&gt;Constants!$B$4,"",IF(NOT($BC74),"",IF(ISNUMBER($AL74),$AL74,0)))</f>
        <v/>
      </c>
      <c r="BL74" s="124" t="str">
        <f aca="false">IF(ISBLANK($C74),"",IF($AO74,Constants!$B$7,IF(COUNTA($E74:$V74)=0,Constants!$B$6,IF(NOT($Y74),Constants!$B$5,IF(NOT(OR($AS74,$BC74)),Constants!$B$5,IF(OR($AT74,$BD74,$AQ74,$AR74&lt;&gt;""),Constants!$B$8,Constants!$B$4))))))</f>
        <v/>
      </c>
      <c r="BM74" s="124" t="str">
        <f aca="false">IF(ISBLANK($C74),"",IF($BL74&lt;&gt;Constants!$B$4,$BL74,IF($BB74="-&gt;",$BI74,$AY74)))</f>
        <v/>
      </c>
      <c r="BN74" s="127" t="str">
        <f aca="false">IF($BL74&lt;&gt;Constants!$B$4,"",IF($BB74="-&gt;",$BJ74,$AZ74))</f>
        <v/>
      </c>
      <c r="BO74" s="127" t="str">
        <f aca="false">IF(ISBLANK($C74),"",IF($BL74&lt;&gt;Constants!$B$4,$BL74,$BN74))</f>
        <v/>
      </c>
      <c r="BP74" s="124" t="str">
        <f aca="false">IF(ISBLANK($C74),"",IF($BL74&lt;&gt;Constants!$B$4,$BL74,RANK($BO74,$BO$9:$BO$508,0)))</f>
        <v/>
      </c>
      <c r="BQ74" s="124" t="str">
        <f aca="false">IF(ISBLANK($C74),"",IF($BL74&lt;&gt;Constants!$B$4,$BL74,COUNTIFS($BM$9:$BM$508,"&lt;"&amp;$BM74)+COUNTIFS($BM$9:$BM$508,$BM74,$BP$9:$BP$508,"&lt;"&amp;$BP74)+1))</f>
        <v/>
      </c>
      <c r="BR74" s="127" t="str">
        <f aca="false">IF($BL74&lt;&gt;Constants!$B$4,"",IF($BB74="-&gt;",$BH74,$AX74))</f>
        <v/>
      </c>
      <c r="BS74" s="124" t="str">
        <f aca="false">IF(ISBLANK($C74),"",IF($BL74&lt;&gt;Constants!$B$4,$BL74,IF(ISNUMBER($BR74),RANK($BR74,$BR$9:$BR$508,0),COUNT($BR$9:$BR$508)+1)))</f>
        <v/>
      </c>
      <c r="BT74" s="127" t="str">
        <f aca="false">IF($BL74&lt;&gt;Constants!$B$4,"",IF($BB74="-&gt;",$BE74,$AU74))</f>
        <v/>
      </c>
      <c r="BU74" s="124" t="str">
        <f aca="false">IF(ISBLANK($C74),"",IF($BL74&lt;&gt;Constants!$B$4,$BL74,IF(ISNUMBER($BT74),RANK($BT74,$BT$9:$BT$508,0),COUNT($BT$9:$BT$508)+1)))</f>
        <v/>
      </c>
      <c r="BV74" s="127" t="str">
        <f aca="false">IF($BL74&lt;&gt;Constants!$B$4,"",IF($BB74="-&gt;",$BF74,$AV74))</f>
        <v/>
      </c>
      <c r="BW74" s="124" t="str">
        <f aca="false">IF(ISBLANK($C74),"",IF($BL74&lt;&gt;Constants!$B$4,$BL74,IF(ISNUMBER($BV74),RANK($BV74,$BV$9:$BV$508,0),COUNT($BV$9:$BV$508)+1)))</f>
        <v/>
      </c>
      <c r="BX74" s="127" t="str">
        <f aca="false">IF($BL74&lt;&gt;Constants!$B$4,"",IF($BB74="-&gt;",$BK74,$BA74))</f>
        <v/>
      </c>
      <c r="BY74" s="124" t="str">
        <f aca="false">IF(ISBLANK($C74),"",IF($BL74&lt;&gt;Constants!$B$4,$BL74,IF(ISNUMBER($BX74),RANK($BX74,$BX$9:$BX$508,0),COUNT($BX$9:$BX$508)+1)))</f>
        <v/>
      </c>
      <c r="BZ74" s="124" t="str">
        <f aca="false">IF(ISBLANK($C74),"",IF($BL74&lt;&gt;Constants!$B$4,$BL74,COUNTIFS($BM$9:$BM$508,"&lt;"&amp;$BM74)+COUNTIFS($BM$9:$BM$508,$BM74,$BP$9:$BP$508,"&lt;"&amp;$BP74)+COUNTIFS($BM$9:$BM$508,$BM74,$BP$9:$BP$508,$BP74,$BS$9:$BS$508,"&lt;"&amp;$BS74)+COUNTIFS($BM$9:$BM$508,$BM74,$BP$9:$BP$508,$BP74,$BS$9:$BS$508,$BS74,$BU$9:$BU$508,"&lt;"&amp;$BU74)+COUNTIFS($BM$9:$BM$508,$BM74,$BP$9:$BP$508,$BP74,$BS$9:$BS$508,$BS74,$BU$9:$BU$508,$BU74,$BW$9:$BW$508,"&lt;"&amp;$BW74)+COUNTIFS($BM$9:$BM$508,$BM74,$BP$9:$BP$508,$BP74,$BS$9:$BS$508,$BS74,$BU$9:$BU$508,$BU74,$BW$9:$BW$508,$BW74,$BY$9:$BY$508,"&lt;"&amp;$BY74)+1))</f>
        <v/>
      </c>
      <c r="CA74" s="124" t="str">
        <f aca="false">IF(ISBLANK($C74),"",IF($BL74&lt;&gt;Constants!$B$4,$BL74,$BQ74-$BZ74))</f>
        <v/>
      </c>
      <c r="CB74" s="130"/>
      <c r="CC74" s="131" t="str">
        <f aca="false">IF(ISBLANK($C74),"",IF($BL74=Constants!$B$8,$AR74,""))</f>
        <v/>
      </c>
      <c r="CD74" s="131" t="str">
        <f aca="false">IF(ISBLANK($C74),"",IF($BL74&lt;&gt;Constants!$B$4,"",IF($BB74="-&gt;",2,1)))</f>
        <v/>
      </c>
      <c r="CE74" s="132" t="str">
        <f aca="false">IF(ISBLANK($C74),"",IF($BL74&lt;&gt;Constants!$B$4,"",IF($BB74="-&gt;",$BE74,$AU74)))</f>
        <v/>
      </c>
      <c r="CF74" s="132" t="str">
        <f aca="false">IF(ISBLANK($C74),"",IF($BL74&lt;&gt;Constants!$B$4,"",IF($BB74="-&gt;",$BF74,$AV74)))</f>
        <v/>
      </c>
      <c r="CG74" s="132" t="str">
        <f aca="false">IF(ISBLANK($C74),"",IF($BL74&lt;&gt;Constants!$B$4,"",IF($BB74="-&gt;",$BG74,$AW74)))</f>
        <v/>
      </c>
      <c r="CH74" s="132" t="str">
        <f aca="false">IF(ISBLANK($C74),"",IF($BL74&lt;&gt;Constants!$B$4,"",IF($BB74="-&gt;",$BH74,$AX74)))</f>
        <v/>
      </c>
      <c r="CI74" s="133" t="str">
        <f aca="false">IF(ISBLANK($C74),"",$BO74)</f>
        <v/>
      </c>
      <c r="CJ74" s="134" t="str">
        <f aca="false">IF(ISBLANK($C74),"",$BM74)</f>
        <v/>
      </c>
      <c r="CK74" s="135" t="str">
        <f aca="false">IF(ISBLANK($C74),"",$CA74)</f>
        <v/>
      </c>
      <c r="CL74" s="135" t="str">
        <f aca="false">IF(ISBLANK($C74),"",$BZ74)</f>
        <v/>
      </c>
      <c r="CM74" s="136" t="str">
        <f aca="false">IF(ISBLANK($C74),"",IF($CL74=Constants!$B$7,COUNTA($C$9:$C$508)+2,IF($CL74=Constants!$B$6,COUNTA($C$9:$C$508)+1,IF($CL74=Constants!$B$5,COUNTA($C$9:$C$508),$CL74))))</f>
        <v/>
      </c>
      <c r="CN74" s="8"/>
      <c r="CO74" s="137" t="n">
        <f aca="false">IF(OR(ISNUMBER($CL74),$CL74=Constants!$B$7,$CL74=Constants!$B$5,$CL74=Constants!$B$6),1,0)</f>
        <v>0</v>
      </c>
      <c r="CP74" s="137" t="n">
        <v>66</v>
      </c>
      <c r="CQ74" s="137" t="str">
        <f aca="false">IF(ISBLANK($C74),"",IF(ISNUMBER($CM74),$CM74+ROW($B74)/1000,""))</f>
        <v/>
      </c>
      <c r="CR74" s="137" t="str">
        <f aca="false">IF(ISNUMBER($CQ74),RANK($CQ74,$CQ$9:$CQ$508,1),"")</f>
        <v/>
      </c>
      <c r="CS74" s="137" t="str">
        <f aca="false">IF(ISBLANK($C74),"",$B74)</f>
        <v/>
      </c>
      <c r="CT74" s="137" t="str">
        <f aca="false">IF(ISBLANK($C74),"",$C74)</f>
        <v/>
      </c>
      <c r="CU74" s="137" t="str">
        <f aca="false">IF(ISBLANK($C74),"",$D74)</f>
        <v/>
      </c>
      <c r="CV74" s="138" t="str">
        <f aca="false">$CJ74</f>
        <v/>
      </c>
      <c r="CW74" s="139" t="str">
        <f aca="false">$CI74</f>
        <v/>
      </c>
      <c r="CX74" s="137" t="str">
        <f aca="false">IF(ISBLANK($C74),"",$CL74)</f>
        <v/>
      </c>
      <c r="CY74" s="140" t="str">
        <f aca="false">IF($CP74&gt;$CO$8,"",VLOOKUP($CP74,$CR$9:$CX$508,7,FALSE()))</f>
        <v/>
      </c>
      <c r="CZ74" s="141" t="str">
        <f aca="false">IF($CP74&gt;$CO$8,"",VLOOKUP($CP74,$CR$9:$CX$508,2,FALSE()))</f>
        <v/>
      </c>
      <c r="DA74" s="141" t="str">
        <f aca="false">IF($CP74&gt;$CO$8,"",VLOOKUP($CP74,$CR$9:$CX$508,3,FALSE()))</f>
        <v/>
      </c>
      <c r="DB74" s="141" t="str">
        <f aca="false">IF($CP74&gt;$CO$8,"",VLOOKUP($CP74,$CR$9:$CX$508,4,FALSE()))</f>
        <v/>
      </c>
      <c r="DC74" s="141" t="str">
        <f aca="false">IF($CP74&gt;$CO$8,"",VLOOKUP($CP74,$CR$9:$CX$508,5,FALSE()))</f>
        <v/>
      </c>
      <c r="DD74" s="142" t="str">
        <f aca="false">IF($CP74&gt;$CO$8,"",VLOOKUP($CP74,$CR$9:$CX$508,6,FALSE()))</f>
        <v/>
      </c>
      <c r="DE74" s="70"/>
    </row>
    <row r="75" customFormat="false" ht="15.75" hidden="false" customHeight="false" outlineLevel="0" collapsed="false">
      <c r="A75" s="8"/>
      <c r="B75" s="72"/>
      <c r="C75" s="73"/>
      <c r="D75" s="155"/>
      <c r="E75" s="162"/>
      <c r="F75" s="157"/>
      <c r="G75" s="77"/>
      <c r="H75" s="77"/>
      <c r="I75" s="77"/>
      <c r="J75" s="163"/>
      <c r="K75" s="161"/>
      <c r="L75" s="161"/>
      <c r="M75" s="80"/>
      <c r="N75" s="161"/>
      <c r="O75" s="160"/>
      <c r="P75" s="161"/>
      <c r="Q75" s="161"/>
      <c r="R75" s="161"/>
      <c r="S75" s="77"/>
      <c r="T75" s="161"/>
      <c r="U75" s="160"/>
      <c r="V75" s="161"/>
      <c r="W75" s="85"/>
      <c r="X75" s="86" t="str">
        <f aca="false">IF(ISBLANK($C75),"",IF($E75=Constants!$B$2,TRUE(),IF($E75=Constants!$B$3,FALSE(),TRUE())))</f>
        <v/>
      </c>
      <c r="Y75" s="86" t="str">
        <f aca="false">IF(ISBLANK($C75),"",IF($F75=Constants!$B$2,TRUE(),IF($F75=Constants!$B$3,FALSE(),TRUE())))</f>
        <v/>
      </c>
      <c r="Z75" s="87" t="str">
        <f aca="false">IF(ISBLANK($C75),"",IF(ISNUMBER($G75),IF($G75&gt;=0,$G75,""),""))</f>
        <v/>
      </c>
      <c r="AA75" s="87" t="str">
        <f aca="false">IF(ISBLANK($C75),"",IF(ISNUMBER($H75),IF($H75&gt;=0,$H75,""),""))</f>
        <v/>
      </c>
      <c r="AB75" s="87" t="str">
        <f aca="false">IF(ISBLANK($C75),"",IF(ISNUMBER($I75),IF($I75&gt;=0,$I75,""),""))</f>
        <v/>
      </c>
      <c r="AC75" s="86" t="str">
        <f aca="false">IF(ISBLANK($C75),"",IF($J75=Constants!$B$2,TRUE(),IF($J75=Constants!$B$3,FALSE(),TRUE())))</f>
        <v/>
      </c>
      <c r="AD75" s="86" t="str">
        <f aca="false">IF(ISBLANK($C75),"",IF($K75=Constants!$B$2,TRUE(),IF($K75=Constants!$B$3,FALSE(),TRUE())))</f>
        <v/>
      </c>
      <c r="AE75" s="86" t="str">
        <f aca="false">IF(ISBLANK($C75),"",IF($L75=Constants!$B$2,TRUE(),IF($L75=Constants!$B$3,FALSE(),TRUE())))</f>
        <v/>
      </c>
      <c r="AF75" s="88" t="str">
        <f aca="false">IF(ISBLANK($C75),"",IF(ISNUMBER($M75),IF($M75&gt;=0,$M75,""),""))</f>
        <v/>
      </c>
      <c r="AG75" s="86" t="str">
        <f aca="false">IF(ISBLANK($C75),"",IF(ISBLANK($N75),0,IF(ISNUMBER($N75),IF(AND($N75&gt;=0,$N75&lt;=Constants!$B$17,$N75=INT($N75)),$N75,""),"")))</f>
        <v/>
      </c>
      <c r="AH75" s="87" t="str">
        <f aca="false">IF(ISBLANK($C75),"",IF(ISBLANK($O75),0,IF(ISNUMBER($O75),IF($O75&gt;=0,$O75,""),"")))</f>
        <v/>
      </c>
      <c r="AI75" s="86" t="str">
        <f aca="false">IF(ISBLANK($C75),"",IF($P75=Constants!$B$2,TRUE(),IF($P75=Constants!$B$3,FALSE(),TRUE())))</f>
        <v/>
      </c>
      <c r="AJ75" s="86" t="str">
        <f aca="false">IF(ISBLANK($C75),"",IF($Q75=Constants!$B$2,TRUE(),IF($Q75=Constants!$B$3,FALSE(),TRUE())))</f>
        <v/>
      </c>
      <c r="AK75" s="86" t="str">
        <f aca="false">IF(ISBLANK($C75),"",IF($R75=Constants!$B$2,TRUE(),IF($R75=Constants!$B$3,FALSE(),TRUE())))</f>
        <v/>
      </c>
      <c r="AL75" s="88" t="str">
        <f aca="false">IF(ISBLANK($C75),"",IF(ISNUMBER($S75),IF($S75&gt;=0,$S75,""),""))</f>
        <v/>
      </c>
      <c r="AM75" s="86" t="str">
        <f aca="false">IF(ISBLANK($C75),"",IF(ISBLANK($T75),0,IF(ISNUMBER($T75),IF(AND($T75&gt;=0,$T75&lt;=Constants!$B$17,$T75=INT($T75)),$T75,""),"")))</f>
        <v/>
      </c>
      <c r="AN75" s="87" t="str">
        <f aca="false">IF(ISBLANK($C75),"",IF(ISBLANK($U75),0,IF(ISNUMBER($U75),IF($U75&gt;=0,$U75,""),"")))</f>
        <v/>
      </c>
      <c r="AO75" s="86" t="str">
        <f aca="false">IF(ISBLANK($C75),"",IF($V75=Constants!$B$2,TRUE(),IF($V75=Constants!$B$3,FALSE(),FALSE())))</f>
        <v/>
      </c>
      <c r="AP75" s="86"/>
      <c r="AQ75" s="85" t="str">
        <f aca="false">IF(ISBLANK($C75),"",AND($Y75,OR($AS75,$BC75),OR($Z75="",$AA75="",$AB75="")))</f>
        <v/>
      </c>
      <c r="AR75" s="85" t="str">
        <f aca="false">IF(ISBLANK($C75),"",IF(OR(NOT($Y75),NOT(OR($AS75,$BC75))),"",IF(ISBLANK($D$7),$AR$5,IF($AP$9="",$AR$6,""))))</f>
        <v/>
      </c>
      <c r="AS75" s="85" t="str">
        <f aca="false">IF(ISBLANK($C75),"",COUNTA($J75:$O75)&gt;0)</f>
        <v/>
      </c>
      <c r="AT75" s="85" t="str">
        <f aca="false">IF(ISBLANK($C75),"",AND($AS75,OR(AND($AF75="",OR($AE75,NOT(ISBLANK($M75)))),$AG75="",$AH75="")))</f>
        <v/>
      </c>
      <c r="AU75" s="87" t="str">
        <f aca="false">IF($BL75&lt;&gt;Constants!$B$4,"",IF(NOT($AS75),"",ROUND((Constants!$B$12-$AB75)+(Constants!$B$13-$Z75)+(Constants!$B$14-$AA75),1)))</f>
        <v/>
      </c>
      <c r="AV75" s="90" t="str">
        <f aca="false">IF($BL75&lt;&gt;Constants!$B$4,"",IF(NOT($AS75),"",IF(NOT($AE75),0,Constants!$B$15*(INT(ROUND(MIN($AF75,$AP$9),6))-INT(ROUND(MAX(0,MIN($AF75,2*$AP$9)-$AP$9),6))))))</f>
        <v/>
      </c>
      <c r="AW75" s="90" t="str">
        <f aca="false">IF($BL75&lt;&gt;Constants!$B$4,"",IF(NOT($AS75),"",Constants!$B$16*$AG75))</f>
        <v/>
      </c>
      <c r="AX75" s="90" t="str">
        <f aca="false">IF($BL75&lt;&gt;Constants!$B$4,"",IF(NOT($AS75),"",Constants!$B$18*INT(ROUND($AH75,6))))</f>
        <v/>
      </c>
      <c r="AY75" s="85" t="str">
        <f aca="false">IF($BL75&lt;&gt;Constants!$B$4,"",IF(NOT($AS75),"",IF(NOT($X75),Constants!$B$11,IF(OR(NOT($AC75),NOT($AD75),ROUND($AB75,1)&gt;Constants!$B$12,ROUND($Z75,1)&gt;Constants!$B$13,ROUND($AA75,1)&gt;Constants!$B$14),Constants!$B$10,Constants!$B$9))))</f>
        <v/>
      </c>
      <c r="AZ75" s="91" t="str">
        <f aca="false">IF($BL75&lt;&gt;Constants!$B$4,"",IF(NOT($AS75),"",ROUND($AU75+$AV75+$AW75+$AX75,1)))</f>
        <v/>
      </c>
      <c r="BA75" s="92" t="str">
        <f aca="false">IF($BL75&lt;&gt;Constants!$B$4,"",IF(NOT($AS75),"",IF(ISNUMBER($AF75),$AF75,0)))</f>
        <v/>
      </c>
      <c r="BB75" s="86" t="str">
        <f aca="false">IF($BL75&lt;&gt;Constants!$B$4,"",IF(NOT($BC75),"&lt;-",IF(NOT($AS75),"-&gt;",IF(OR($BI75&lt;$AY75,AND($BI75=$AY75,OR($BJ75&gt;$AZ75,AND($BJ75=$AZ75,OR($BH75&gt;$AX75,AND($BH75=$AX75,OR($BE75&gt;$AU75,AND($BE75=$AU75,OR($BF75&gt;$AV75,AND($BF75=$AV75,$BK75&gt;$BA75)))))))))),"-&gt;","&lt;-"))))</f>
        <v/>
      </c>
      <c r="BC75" s="85" t="str">
        <f aca="false">IF(ISBLANK($C75),"",COUNTA($P75:$U75)&gt;0)</f>
        <v/>
      </c>
      <c r="BD75" s="85" t="str">
        <f aca="false">IF(ISBLANK($C75),"",AND($BC75,OR(AND($AL75="",OR($AK75,NOT(ISBLANK($S75)))),$AM75="",$AN75="")))</f>
        <v/>
      </c>
      <c r="BE75" s="87" t="str">
        <f aca="false">IF($BL75&lt;&gt;Constants!$B$4,"",IF(NOT($BC75),"",ROUND((Constants!$B$12-$AB75)+(Constants!$B$13-$Z75)+(Constants!$B$14-$AA75),1)))</f>
        <v/>
      </c>
      <c r="BF75" s="90" t="str">
        <f aca="false">IF($BL75&lt;&gt;Constants!$B$4,"",IF(NOT($BC75),"",IF(NOT($AK75),0,Constants!$B$15*(INT(ROUND(MIN($AL75,$AP$9),6))-INT(ROUND(MAX(0,MIN($AL75,2*$AP$9)-$AP$9),6))))))</f>
        <v/>
      </c>
      <c r="BG75" s="90" t="str">
        <f aca="false">IF($BL75&lt;&gt;Constants!$B$4,"",IF(NOT($BC75),"",Constants!$B$16*$AM75))</f>
        <v/>
      </c>
      <c r="BH75" s="90" t="str">
        <f aca="false">IF($BL75&lt;&gt;Constants!$B$4,"",IF(NOT($BC75),"",Constants!$B$18*INT(ROUND($AN75,6))))</f>
        <v/>
      </c>
      <c r="BI75" s="85" t="str">
        <f aca="false">IF($BL75&lt;&gt;Constants!$B$4,"",IF(NOT($BC75),"",IF(NOT($X75),Constants!$B$11,IF(OR(NOT($AI75),NOT($AJ75),ROUND($AB75,1)&gt;Constants!$B$12,ROUND($Z75,1)&gt;Constants!$B$13,ROUND($AA75,1)&gt;Constants!$B$14),Constants!$B$10,Constants!$B$9))))</f>
        <v/>
      </c>
      <c r="BJ75" s="91" t="str">
        <f aca="false">IF($BL75&lt;&gt;Constants!$B$4,"",IF(NOT($BC75),"",ROUND($BE75+$BF75+$BG75+$BH75,1)))</f>
        <v/>
      </c>
      <c r="BK75" s="92" t="str">
        <f aca="false">IF($BL75&lt;&gt;Constants!$B$4,"",IF(NOT($BC75),"",IF(ISNUMBER($AL75),$AL75,0)))</f>
        <v/>
      </c>
      <c r="BL75" s="86" t="str">
        <f aca="false">IF(ISBLANK($C75),"",IF($AO75,Constants!$B$7,IF(COUNTA($E75:$V75)=0,Constants!$B$6,IF(NOT($Y75),Constants!$B$5,IF(NOT(OR($AS75,$BC75)),Constants!$B$5,IF(OR($AT75,$BD75,$AQ75,$AR75&lt;&gt;""),Constants!$B$8,Constants!$B$4))))))</f>
        <v/>
      </c>
      <c r="BM75" s="86" t="str">
        <f aca="false">IF(ISBLANK($C75),"",IF($BL75&lt;&gt;Constants!$B$4,$BL75,IF($BB75="-&gt;",$BI75,$AY75)))</f>
        <v/>
      </c>
      <c r="BN75" s="90" t="str">
        <f aca="false">IF($BL75&lt;&gt;Constants!$B$4,"",IF($BB75="-&gt;",$BJ75,$AZ75))</f>
        <v/>
      </c>
      <c r="BO75" s="90" t="str">
        <f aca="false">IF(ISBLANK($C75),"",IF($BL75&lt;&gt;Constants!$B$4,$BL75,$BN75))</f>
        <v/>
      </c>
      <c r="BP75" s="86" t="str">
        <f aca="false">IF(ISBLANK($C75),"",IF($BL75&lt;&gt;Constants!$B$4,$BL75,RANK($BO75,$BO$9:$BO$508,0)))</f>
        <v/>
      </c>
      <c r="BQ75" s="86" t="str">
        <f aca="false">IF(ISBLANK($C75),"",IF($BL75&lt;&gt;Constants!$B$4,$BL75,COUNTIFS($BM$9:$BM$508,"&lt;"&amp;$BM75)+COUNTIFS($BM$9:$BM$508,$BM75,$BP$9:$BP$508,"&lt;"&amp;$BP75)+1))</f>
        <v/>
      </c>
      <c r="BR75" s="90" t="str">
        <f aca="false">IF($BL75&lt;&gt;Constants!$B$4,"",IF($BB75="-&gt;",$BH75,$AX75))</f>
        <v/>
      </c>
      <c r="BS75" s="86" t="str">
        <f aca="false">IF(ISBLANK($C75),"",IF($BL75&lt;&gt;Constants!$B$4,$BL75,IF(ISNUMBER($BR75),RANK($BR75,$BR$9:$BR$508,0),COUNT($BR$9:$BR$508)+1)))</f>
        <v/>
      </c>
      <c r="BT75" s="90" t="str">
        <f aca="false">IF($BL75&lt;&gt;Constants!$B$4,"",IF($BB75="-&gt;",$BE75,$AU75))</f>
        <v/>
      </c>
      <c r="BU75" s="86" t="str">
        <f aca="false">IF(ISBLANK($C75),"",IF($BL75&lt;&gt;Constants!$B$4,$BL75,IF(ISNUMBER($BT75),RANK($BT75,$BT$9:$BT$508,0),COUNT($BT$9:$BT$508)+1)))</f>
        <v/>
      </c>
      <c r="BV75" s="90" t="str">
        <f aca="false">IF($BL75&lt;&gt;Constants!$B$4,"",IF($BB75="-&gt;",$BF75,$AV75))</f>
        <v/>
      </c>
      <c r="BW75" s="86" t="str">
        <f aca="false">IF(ISBLANK($C75),"",IF($BL75&lt;&gt;Constants!$B$4,$BL75,IF(ISNUMBER($BV75),RANK($BV75,$BV$9:$BV$508,0),COUNT($BV$9:$BV$508)+1)))</f>
        <v/>
      </c>
      <c r="BX75" s="90" t="str">
        <f aca="false">IF($BL75&lt;&gt;Constants!$B$4,"",IF($BB75="-&gt;",$BK75,$BA75))</f>
        <v/>
      </c>
      <c r="BY75" s="86" t="str">
        <f aca="false">IF(ISBLANK($C75),"",IF($BL75&lt;&gt;Constants!$B$4,$BL75,IF(ISNUMBER($BX75),RANK($BX75,$BX$9:$BX$508,0),COUNT($BX$9:$BX$508)+1)))</f>
        <v/>
      </c>
      <c r="BZ75" s="86" t="str">
        <f aca="false">IF(ISBLANK($C75),"",IF($BL75&lt;&gt;Constants!$B$4,$BL75,COUNTIFS($BM$9:$BM$508,"&lt;"&amp;$BM75)+COUNTIFS($BM$9:$BM$508,$BM75,$BP$9:$BP$508,"&lt;"&amp;$BP75)+COUNTIFS($BM$9:$BM$508,$BM75,$BP$9:$BP$508,$BP75,$BS$9:$BS$508,"&lt;"&amp;$BS75)+COUNTIFS($BM$9:$BM$508,$BM75,$BP$9:$BP$508,$BP75,$BS$9:$BS$508,$BS75,$BU$9:$BU$508,"&lt;"&amp;$BU75)+COUNTIFS($BM$9:$BM$508,$BM75,$BP$9:$BP$508,$BP75,$BS$9:$BS$508,$BS75,$BU$9:$BU$508,$BU75,$BW$9:$BW$508,"&lt;"&amp;$BW75)+COUNTIFS($BM$9:$BM$508,$BM75,$BP$9:$BP$508,$BP75,$BS$9:$BS$508,$BS75,$BU$9:$BU$508,$BU75,$BW$9:$BW$508,$BW75,$BY$9:$BY$508,"&lt;"&amp;$BY75)+1))</f>
        <v/>
      </c>
      <c r="CA75" s="86" t="str">
        <f aca="false">IF(ISBLANK($C75),"",IF($BL75&lt;&gt;Constants!$B$4,$BL75,$BQ75-$BZ75))</f>
        <v/>
      </c>
      <c r="CB75" s="93"/>
      <c r="CC75" s="94" t="str">
        <f aca="false">IF(ISBLANK($C75),"",IF($BL75=Constants!$B$8,$AR75,""))</f>
        <v/>
      </c>
      <c r="CD75" s="94" t="str">
        <f aca="false">IF(ISBLANK($C75),"",IF($BL75&lt;&gt;Constants!$B$4,"",IF($BB75="-&gt;",2,1)))</f>
        <v/>
      </c>
      <c r="CE75" s="95" t="str">
        <f aca="false">IF(ISBLANK($C75),"",IF($BL75&lt;&gt;Constants!$B$4,"",IF($BB75="-&gt;",$BE75,$AU75)))</f>
        <v/>
      </c>
      <c r="CF75" s="95" t="str">
        <f aca="false">IF(ISBLANK($C75),"",IF($BL75&lt;&gt;Constants!$B$4,"",IF($BB75="-&gt;",$BF75,$AV75)))</f>
        <v/>
      </c>
      <c r="CG75" s="95" t="str">
        <f aca="false">IF(ISBLANK($C75),"",IF($BL75&lt;&gt;Constants!$B$4,"",IF($BB75="-&gt;",$BG75,$AW75)))</f>
        <v/>
      </c>
      <c r="CH75" s="95" t="str">
        <f aca="false">IF(ISBLANK($C75),"",IF($BL75&lt;&gt;Constants!$B$4,"",IF($BB75="-&gt;",$BH75,$AX75)))</f>
        <v/>
      </c>
      <c r="CI75" s="96" t="str">
        <f aca="false">IF(ISBLANK($C75),"",$BO75)</f>
        <v/>
      </c>
      <c r="CJ75" s="97" t="str">
        <f aca="false">IF(ISBLANK($C75),"",$BM75)</f>
        <v/>
      </c>
      <c r="CK75" s="98" t="str">
        <f aca="false">IF(ISBLANK($C75),"",$CA75)</f>
        <v/>
      </c>
      <c r="CL75" s="98" t="str">
        <f aca="false">IF(ISBLANK($C75),"",$BZ75)</f>
        <v/>
      </c>
      <c r="CM75" s="99" t="str">
        <f aca="false">IF(ISBLANK($C75),"",IF($CL75=Constants!$B$7,COUNTA($C$9:$C$508)+2,IF($CL75=Constants!$B$6,COUNTA($C$9:$C$508)+1,IF($CL75=Constants!$B$5,COUNTA($C$9:$C$508),$CL75))))</f>
        <v/>
      </c>
      <c r="CN75" s="8"/>
      <c r="CO75" s="100" t="n">
        <f aca="false">IF(OR(ISNUMBER($CL75),$CL75=Constants!$B$7,$CL75=Constants!$B$5,$CL75=Constants!$B$6),1,0)</f>
        <v>0</v>
      </c>
      <c r="CP75" s="100" t="n">
        <v>67</v>
      </c>
      <c r="CQ75" s="100" t="str">
        <f aca="false">IF(ISBLANK($C75),"",IF(ISNUMBER($CM75),$CM75+ROW($B75)/1000,""))</f>
        <v/>
      </c>
      <c r="CR75" s="100" t="str">
        <f aca="false">IF(ISNUMBER($CQ75),RANK($CQ75,$CQ$9:$CQ$508,1),"")</f>
        <v/>
      </c>
      <c r="CS75" s="100" t="str">
        <f aca="false">IF(ISBLANK($C75),"",$B75)</f>
        <v/>
      </c>
      <c r="CT75" s="100" t="str">
        <f aca="false">IF(ISBLANK($C75),"",$C75)</f>
        <v/>
      </c>
      <c r="CU75" s="100" t="str">
        <f aca="false">IF(ISBLANK($C75),"",$D75)</f>
        <v/>
      </c>
      <c r="CV75" s="101" t="str">
        <f aca="false">$CJ75</f>
        <v/>
      </c>
      <c r="CW75" s="102" t="str">
        <f aca="false">$CI75</f>
        <v/>
      </c>
      <c r="CX75" s="100" t="str">
        <f aca="false">IF(ISBLANK($C75),"",$CL75)</f>
        <v/>
      </c>
      <c r="CY75" s="103" t="str">
        <f aca="false">IF($CP75&gt;$CO$8,"",VLOOKUP($CP75,$CR$9:$CX$508,7,FALSE()))</f>
        <v/>
      </c>
      <c r="CZ75" s="104" t="str">
        <f aca="false">IF($CP75&gt;$CO$8,"",VLOOKUP($CP75,$CR$9:$CX$508,2,FALSE()))</f>
        <v/>
      </c>
      <c r="DA75" s="104" t="str">
        <f aca="false">IF($CP75&gt;$CO$8,"",VLOOKUP($CP75,$CR$9:$CX$508,3,FALSE()))</f>
        <v/>
      </c>
      <c r="DB75" s="104" t="str">
        <f aca="false">IF($CP75&gt;$CO$8,"",VLOOKUP($CP75,$CR$9:$CX$508,4,FALSE()))</f>
        <v/>
      </c>
      <c r="DC75" s="104" t="str">
        <f aca="false">IF($CP75&gt;$CO$8,"",VLOOKUP($CP75,$CR$9:$CX$508,5,FALSE()))</f>
        <v/>
      </c>
      <c r="DD75" s="105" t="str">
        <f aca="false">IF($CP75&gt;$CO$8,"",VLOOKUP($CP75,$CR$9:$CX$508,6,FALSE()))</f>
        <v/>
      </c>
      <c r="DE75" s="70"/>
    </row>
    <row r="76" customFormat="false" ht="15.75" hidden="false" customHeight="false" outlineLevel="0" collapsed="false">
      <c r="A76" s="8"/>
      <c r="B76" s="72"/>
      <c r="C76" s="73"/>
      <c r="D76" s="155"/>
      <c r="E76" s="162"/>
      <c r="F76" s="157"/>
      <c r="G76" s="77"/>
      <c r="H76" s="77"/>
      <c r="I76" s="77"/>
      <c r="J76" s="163"/>
      <c r="K76" s="161"/>
      <c r="L76" s="161"/>
      <c r="M76" s="80"/>
      <c r="N76" s="161"/>
      <c r="O76" s="160"/>
      <c r="P76" s="161"/>
      <c r="Q76" s="161"/>
      <c r="R76" s="161"/>
      <c r="S76" s="77"/>
      <c r="T76" s="161"/>
      <c r="U76" s="160"/>
      <c r="V76" s="161"/>
      <c r="W76" s="85"/>
      <c r="X76" s="86" t="str">
        <f aca="false">IF(ISBLANK($C76),"",IF($E76=Constants!$B$2,TRUE(),IF($E76=Constants!$B$3,FALSE(),TRUE())))</f>
        <v/>
      </c>
      <c r="Y76" s="86" t="str">
        <f aca="false">IF(ISBLANK($C76),"",IF($F76=Constants!$B$2,TRUE(),IF($F76=Constants!$B$3,FALSE(),TRUE())))</f>
        <v/>
      </c>
      <c r="Z76" s="87" t="str">
        <f aca="false">IF(ISBLANK($C76),"",IF(ISNUMBER($G76),IF($G76&gt;=0,$G76,""),""))</f>
        <v/>
      </c>
      <c r="AA76" s="87" t="str">
        <f aca="false">IF(ISBLANK($C76),"",IF(ISNUMBER($H76),IF($H76&gt;=0,$H76,""),""))</f>
        <v/>
      </c>
      <c r="AB76" s="87" t="str">
        <f aca="false">IF(ISBLANK($C76),"",IF(ISNUMBER($I76),IF($I76&gt;=0,$I76,""),""))</f>
        <v/>
      </c>
      <c r="AC76" s="86" t="str">
        <f aca="false">IF(ISBLANK($C76),"",IF($J76=Constants!$B$2,TRUE(),IF($J76=Constants!$B$3,FALSE(),TRUE())))</f>
        <v/>
      </c>
      <c r="AD76" s="86" t="str">
        <f aca="false">IF(ISBLANK($C76),"",IF($K76=Constants!$B$2,TRUE(),IF($K76=Constants!$B$3,FALSE(),TRUE())))</f>
        <v/>
      </c>
      <c r="AE76" s="86" t="str">
        <f aca="false">IF(ISBLANK($C76),"",IF($L76=Constants!$B$2,TRUE(),IF($L76=Constants!$B$3,FALSE(),TRUE())))</f>
        <v/>
      </c>
      <c r="AF76" s="88" t="str">
        <f aca="false">IF(ISBLANK($C76),"",IF(ISNUMBER($M76),IF($M76&gt;=0,$M76,""),""))</f>
        <v/>
      </c>
      <c r="AG76" s="86" t="str">
        <f aca="false">IF(ISBLANK($C76),"",IF(ISBLANK($N76),0,IF(ISNUMBER($N76),IF(AND($N76&gt;=0,$N76&lt;=Constants!$B$17,$N76=INT($N76)),$N76,""),"")))</f>
        <v/>
      </c>
      <c r="AH76" s="87" t="str">
        <f aca="false">IF(ISBLANK($C76),"",IF(ISBLANK($O76),0,IF(ISNUMBER($O76),IF($O76&gt;=0,$O76,""),"")))</f>
        <v/>
      </c>
      <c r="AI76" s="86" t="str">
        <f aca="false">IF(ISBLANK($C76),"",IF($P76=Constants!$B$2,TRUE(),IF($P76=Constants!$B$3,FALSE(),TRUE())))</f>
        <v/>
      </c>
      <c r="AJ76" s="86" t="str">
        <f aca="false">IF(ISBLANK($C76),"",IF($Q76=Constants!$B$2,TRUE(),IF($Q76=Constants!$B$3,FALSE(),TRUE())))</f>
        <v/>
      </c>
      <c r="AK76" s="86" t="str">
        <f aca="false">IF(ISBLANK($C76),"",IF($R76=Constants!$B$2,TRUE(),IF($R76=Constants!$B$3,FALSE(),TRUE())))</f>
        <v/>
      </c>
      <c r="AL76" s="88" t="str">
        <f aca="false">IF(ISBLANK($C76),"",IF(ISNUMBER($S76),IF($S76&gt;=0,$S76,""),""))</f>
        <v/>
      </c>
      <c r="AM76" s="86" t="str">
        <f aca="false">IF(ISBLANK($C76),"",IF(ISBLANK($T76),0,IF(ISNUMBER($T76),IF(AND($T76&gt;=0,$T76&lt;=Constants!$B$17,$T76=INT($T76)),$T76,""),"")))</f>
        <v/>
      </c>
      <c r="AN76" s="87" t="str">
        <f aca="false">IF(ISBLANK($C76),"",IF(ISBLANK($U76),0,IF(ISNUMBER($U76),IF($U76&gt;=0,$U76,""),"")))</f>
        <v/>
      </c>
      <c r="AO76" s="86" t="str">
        <f aca="false">IF(ISBLANK($C76),"",IF($V76=Constants!$B$2,TRUE(),IF($V76=Constants!$B$3,FALSE(),FALSE())))</f>
        <v/>
      </c>
      <c r="AP76" s="86"/>
      <c r="AQ76" s="85" t="str">
        <f aca="false">IF(ISBLANK($C76),"",AND($Y76,OR($AS76,$BC76),OR($Z76="",$AA76="",$AB76="")))</f>
        <v/>
      </c>
      <c r="AR76" s="85" t="str">
        <f aca="false">IF(ISBLANK($C76),"",IF(OR(NOT($Y76),NOT(OR($AS76,$BC76))),"",IF(ISBLANK($D$7),$AR$5,IF($AP$9="",$AR$6,""))))</f>
        <v/>
      </c>
      <c r="AS76" s="85" t="str">
        <f aca="false">IF(ISBLANK($C76),"",COUNTA($J76:$O76)&gt;0)</f>
        <v/>
      </c>
      <c r="AT76" s="85" t="str">
        <f aca="false">IF(ISBLANK($C76),"",AND($AS76,OR(AND($AF76="",OR($AE76,NOT(ISBLANK($M76)))),$AG76="",$AH76="")))</f>
        <v/>
      </c>
      <c r="AU76" s="87" t="str">
        <f aca="false">IF($BL76&lt;&gt;Constants!$B$4,"",IF(NOT($AS76),"",ROUND((Constants!$B$12-$AB76)+(Constants!$B$13-$Z76)+(Constants!$B$14-$AA76),1)))</f>
        <v/>
      </c>
      <c r="AV76" s="90" t="str">
        <f aca="false">IF($BL76&lt;&gt;Constants!$B$4,"",IF(NOT($AS76),"",IF(NOT($AE76),0,Constants!$B$15*(INT(ROUND(MIN($AF76,$AP$9),6))-INT(ROUND(MAX(0,MIN($AF76,2*$AP$9)-$AP$9),6))))))</f>
        <v/>
      </c>
      <c r="AW76" s="90" t="str">
        <f aca="false">IF($BL76&lt;&gt;Constants!$B$4,"",IF(NOT($AS76),"",Constants!$B$16*$AG76))</f>
        <v/>
      </c>
      <c r="AX76" s="90" t="str">
        <f aca="false">IF($BL76&lt;&gt;Constants!$B$4,"",IF(NOT($AS76),"",Constants!$B$18*INT(ROUND($AH76,6))))</f>
        <v/>
      </c>
      <c r="AY76" s="85" t="str">
        <f aca="false">IF($BL76&lt;&gt;Constants!$B$4,"",IF(NOT($AS76),"",IF(NOT($X76),Constants!$B$11,IF(OR(NOT($AC76),NOT($AD76),ROUND($AB76,1)&gt;Constants!$B$12,ROUND($Z76,1)&gt;Constants!$B$13,ROUND($AA76,1)&gt;Constants!$B$14),Constants!$B$10,Constants!$B$9))))</f>
        <v/>
      </c>
      <c r="AZ76" s="91" t="str">
        <f aca="false">IF($BL76&lt;&gt;Constants!$B$4,"",IF(NOT($AS76),"",ROUND($AU76+$AV76+$AW76+$AX76,1)))</f>
        <v/>
      </c>
      <c r="BA76" s="92" t="str">
        <f aca="false">IF($BL76&lt;&gt;Constants!$B$4,"",IF(NOT($AS76),"",IF(ISNUMBER($AF76),$AF76,0)))</f>
        <v/>
      </c>
      <c r="BB76" s="86" t="str">
        <f aca="false">IF($BL76&lt;&gt;Constants!$B$4,"",IF(NOT($BC76),"&lt;-",IF(NOT($AS76),"-&gt;",IF(OR($BI76&lt;$AY76,AND($BI76=$AY76,OR($BJ76&gt;$AZ76,AND($BJ76=$AZ76,OR($BH76&gt;$AX76,AND($BH76=$AX76,OR($BE76&gt;$AU76,AND($BE76=$AU76,OR($BF76&gt;$AV76,AND($BF76=$AV76,$BK76&gt;$BA76)))))))))),"-&gt;","&lt;-"))))</f>
        <v/>
      </c>
      <c r="BC76" s="85" t="str">
        <f aca="false">IF(ISBLANK($C76),"",COUNTA($P76:$U76)&gt;0)</f>
        <v/>
      </c>
      <c r="BD76" s="85" t="str">
        <f aca="false">IF(ISBLANK($C76),"",AND($BC76,OR(AND($AL76="",OR($AK76,NOT(ISBLANK($S76)))),$AM76="",$AN76="")))</f>
        <v/>
      </c>
      <c r="BE76" s="87" t="str">
        <f aca="false">IF($BL76&lt;&gt;Constants!$B$4,"",IF(NOT($BC76),"",ROUND((Constants!$B$12-$AB76)+(Constants!$B$13-$Z76)+(Constants!$B$14-$AA76),1)))</f>
        <v/>
      </c>
      <c r="BF76" s="90" t="str">
        <f aca="false">IF($BL76&lt;&gt;Constants!$B$4,"",IF(NOT($BC76),"",IF(NOT($AK76),0,Constants!$B$15*(INT(ROUND(MIN($AL76,$AP$9),6))-INT(ROUND(MAX(0,MIN($AL76,2*$AP$9)-$AP$9),6))))))</f>
        <v/>
      </c>
      <c r="BG76" s="90" t="str">
        <f aca="false">IF($BL76&lt;&gt;Constants!$B$4,"",IF(NOT($BC76),"",Constants!$B$16*$AM76))</f>
        <v/>
      </c>
      <c r="BH76" s="90" t="str">
        <f aca="false">IF($BL76&lt;&gt;Constants!$B$4,"",IF(NOT($BC76),"",Constants!$B$18*INT(ROUND($AN76,6))))</f>
        <v/>
      </c>
      <c r="BI76" s="85" t="str">
        <f aca="false">IF($BL76&lt;&gt;Constants!$B$4,"",IF(NOT($BC76),"",IF(NOT($X76),Constants!$B$11,IF(OR(NOT($AI76),NOT($AJ76),ROUND($AB76,1)&gt;Constants!$B$12,ROUND($Z76,1)&gt;Constants!$B$13,ROUND($AA76,1)&gt;Constants!$B$14),Constants!$B$10,Constants!$B$9))))</f>
        <v/>
      </c>
      <c r="BJ76" s="91" t="str">
        <f aca="false">IF($BL76&lt;&gt;Constants!$B$4,"",IF(NOT($BC76),"",ROUND($BE76+$BF76+$BG76+$BH76,1)))</f>
        <v/>
      </c>
      <c r="BK76" s="92" t="str">
        <f aca="false">IF($BL76&lt;&gt;Constants!$B$4,"",IF(NOT($BC76),"",IF(ISNUMBER($AL76),$AL76,0)))</f>
        <v/>
      </c>
      <c r="BL76" s="86" t="str">
        <f aca="false">IF(ISBLANK($C76),"",IF($AO76,Constants!$B$7,IF(COUNTA($E76:$V76)=0,Constants!$B$6,IF(NOT($Y76),Constants!$B$5,IF(NOT(OR($AS76,$BC76)),Constants!$B$5,IF(OR($AT76,$BD76,$AQ76,$AR76&lt;&gt;""),Constants!$B$8,Constants!$B$4))))))</f>
        <v/>
      </c>
      <c r="BM76" s="86" t="str">
        <f aca="false">IF(ISBLANK($C76),"",IF($BL76&lt;&gt;Constants!$B$4,$BL76,IF($BB76="-&gt;",$BI76,$AY76)))</f>
        <v/>
      </c>
      <c r="BN76" s="90" t="str">
        <f aca="false">IF($BL76&lt;&gt;Constants!$B$4,"",IF($BB76="-&gt;",$BJ76,$AZ76))</f>
        <v/>
      </c>
      <c r="BO76" s="90" t="str">
        <f aca="false">IF(ISBLANK($C76),"",IF($BL76&lt;&gt;Constants!$B$4,$BL76,$BN76))</f>
        <v/>
      </c>
      <c r="BP76" s="86" t="str">
        <f aca="false">IF(ISBLANK($C76),"",IF($BL76&lt;&gt;Constants!$B$4,$BL76,RANK($BO76,$BO$9:$BO$508,0)))</f>
        <v/>
      </c>
      <c r="BQ76" s="86" t="str">
        <f aca="false">IF(ISBLANK($C76),"",IF($BL76&lt;&gt;Constants!$B$4,$BL76,COUNTIFS($BM$9:$BM$508,"&lt;"&amp;$BM76)+COUNTIFS($BM$9:$BM$508,$BM76,$BP$9:$BP$508,"&lt;"&amp;$BP76)+1))</f>
        <v/>
      </c>
      <c r="BR76" s="90" t="str">
        <f aca="false">IF($BL76&lt;&gt;Constants!$B$4,"",IF($BB76="-&gt;",$BH76,$AX76))</f>
        <v/>
      </c>
      <c r="BS76" s="86" t="str">
        <f aca="false">IF(ISBLANK($C76),"",IF($BL76&lt;&gt;Constants!$B$4,$BL76,IF(ISNUMBER($BR76),RANK($BR76,$BR$9:$BR$508,0),COUNT($BR$9:$BR$508)+1)))</f>
        <v/>
      </c>
      <c r="BT76" s="90" t="str">
        <f aca="false">IF($BL76&lt;&gt;Constants!$B$4,"",IF($BB76="-&gt;",$BE76,$AU76))</f>
        <v/>
      </c>
      <c r="BU76" s="86" t="str">
        <f aca="false">IF(ISBLANK($C76),"",IF($BL76&lt;&gt;Constants!$B$4,$BL76,IF(ISNUMBER($BT76),RANK($BT76,$BT$9:$BT$508,0),COUNT($BT$9:$BT$508)+1)))</f>
        <v/>
      </c>
      <c r="BV76" s="90" t="str">
        <f aca="false">IF($BL76&lt;&gt;Constants!$B$4,"",IF($BB76="-&gt;",$BF76,$AV76))</f>
        <v/>
      </c>
      <c r="BW76" s="86" t="str">
        <f aca="false">IF(ISBLANK($C76),"",IF($BL76&lt;&gt;Constants!$B$4,$BL76,IF(ISNUMBER($BV76),RANK($BV76,$BV$9:$BV$508,0),COUNT($BV$9:$BV$508)+1)))</f>
        <v/>
      </c>
      <c r="BX76" s="90" t="str">
        <f aca="false">IF($BL76&lt;&gt;Constants!$B$4,"",IF($BB76="-&gt;",$BK76,$BA76))</f>
        <v/>
      </c>
      <c r="BY76" s="86" t="str">
        <f aca="false">IF(ISBLANK($C76),"",IF($BL76&lt;&gt;Constants!$B$4,$BL76,IF(ISNUMBER($BX76),RANK($BX76,$BX$9:$BX$508,0),COUNT($BX$9:$BX$508)+1)))</f>
        <v/>
      </c>
      <c r="BZ76" s="86" t="str">
        <f aca="false">IF(ISBLANK($C76),"",IF($BL76&lt;&gt;Constants!$B$4,$BL76,COUNTIFS($BM$9:$BM$508,"&lt;"&amp;$BM76)+COUNTIFS($BM$9:$BM$508,$BM76,$BP$9:$BP$508,"&lt;"&amp;$BP76)+COUNTIFS($BM$9:$BM$508,$BM76,$BP$9:$BP$508,$BP76,$BS$9:$BS$508,"&lt;"&amp;$BS76)+COUNTIFS($BM$9:$BM$508,$BM76,$BP$9:$BP$508,$BP76,$BS$9:$BS$508,$BS76,$BU$9:$BU$508,"&lt;"&amp;$BU76)+COUNTIFS($BM$9:$BM$508,$BM76,$BP$9:$BP$508,$BP76,$BS$9:$BS$508,$BS76,$BU$9:$BU$508,$BU76,$BW$9:$BW$508,"&lt;"&amp;$BW76)+COUNTIFS($BM$9:$BM$508,$BM76,$BP$9:$BP$508,$BP76,$BS$9:$BS$508,$BS76,$BU$9:$BU$508,$BU76,$BW$9:$BW$508,$BW76,$BY$9:$BY$508,"&lt;"&amp;$BY76)+1))</f>
        <v/>
      </c>
      <c r="CA76" s="86" t="str">
        <f aca="false">IF(ISBLANK($C76),"",IF($BL76&lt;&gt;Constants!$B$4,$BL76,$BQ76-$BZ76))</f>
        <v/>
      </c>
      <c r="CB76" s="93"/>
      <c r="CC76" s="94" t="str">
        <f aca="false">IF(ISBLANK($C76),"",IF($BL76=Constants!$B$8,$AR76,""))</f>
        <v/>
      </c>
      <c r="CD76" s="94" t="str">
        <f aca="false">IF(ISBLANK($C76),"",IF($BL76&lt;&gt;Constants!$B$4,"",IF($BB76="-&gt;",2,1)))</f>
        <v/>
      </c>
      <c r="CE76" s="95" t="str">
        <f aca="false">IF(ISBLANK($C76),"",IF($BL76&lt;&gt;Constants!$B$4,"",IF($BB76="-&gt;",$BE76,$AU76)))</f>
        <v/>
      </c>
      <c r="CF76" s="95" t="str">
        <f aca="false">IF(ISBLANK($C76),"",IF($BL76&lt;&gt;Constants!$B$4,"",IF($BB76="-&gt;",$BF76,$AV76)))</f>
        <v/>
      </c>
      <c r="CG76" s="95" t="str">
        <f aca="false">IF(ISBLANK($C76),"",IF($BL76&lt;&gt;Constants!$B$4,"",IF($BB76="-&gt;",$BG76,$AW76)))</f>
        <v/>
      </c>
      <c r="CH76" s="95" t="str">
        <f aca="false">IF(ISBLANK($C76),"",IF($BL76&lt;&gt;Constants!$B$4,"",IF($BB76="-&gt;",$BH76,$AX76)))</f>
        <v/>
      </c>
      <c r="CI76" s="96" t="str">
        <f aca="false">IF(ISBLANK($C76),"",$BO76)</f>
        <v/>
      </c>
      <c r="CJ76" s="97" t="str">
        <f aca="false">IF(ISBLANK($C76),"",$BM76)</f>
        <v/>
      </c>
      <c r="CK76" s="98" t="str">
        <f aca="false">IF(ISBLANK($C76),"",$CA76)</f>
        <v/>
      </c>
      <c r="CL76" s="98" t="str">
        <f aca="false">IF(ISBLANK($C76),"",$BZ76)</f>
        <v/>
      </c>
      <c r="CM76" s="99" t="str">
        <f aca="false">IF(ISBLANK($C76),"",IF($CL76=Constants!$B$7,COUNTA($C$9:$C$508)+2,IF($CL76=Constants!$B$6,COUNTA($C$9:$C$508)+1,IF($CL76=Constants!$B$5,COUNTA($C$9:$C$508),$CL76))))</f>
        <v/>
      </c>
      <c r="CN76" s="8"/>
      <c r="CO76" s="100" t="n">
        <f aca="false">IF(OR(ISNUMBER($CL76),$CL76=Constants!$B$7,$CL76=Constants!$B$5,$CL76=Constants!$B$6),1,0)</f>
        <v>0</v>
      </c>
      <c r="CP76" s="100" t="n">
        <v>68</v>
      </c>
      <c r="CQ76" s="100" t="str">
        <f aca="false">IF(ISBLANK($C76),"",IF(ISNUMBER($CM76),$CM76+ROW($B76)/1000,""))</f>
        <v/>
      </c>
      <c r="CR76" s="100" t="str">
        <f aca="false">IF(ISNUMBER($CQ76),RANK($CQ76,$CQ$9:$CQ$508,1),"")</f>
        <v/>
      </c>
      <c r="CS76" s="100" t="str">
        <f aca="false">IF(ISBLANK($C76),"",$B76)</f>
        <v/>
      </c>
      <c r="CT76" s="100" t="str">
        <f aca="false">IF(ISBLANK($C76),"",$C76)</f>
        <v/>
      </c>
      <c r="CU76" s="100" t="str">
        <f aca="false">IF(ISBLANK($C76),"",$D76)</f>
        <v/>
      </c>
      <c r="CV76" s="101" t="str">
        <f aca="false">$CJ76</f>
        <v/>
      </c>
      <c r="CW76" s="102" t="str">
        <f aca="false">$CI76</f>
        <v/>
      </c>
      <c r="CX76" s="100" t="str">
        <f aca="false">IF(ISBLANK($C76),"",$CL76)</f>
        <v/>
      </c>
      <c r="CY76" s="103" t="str">
        <f aca="false">IF($CP76&gt;$CO$8,"",VLOOKUP($CP76,$CR$9:$CX$508,7,FALSE()))</f>
        <v/>
      </c>
      <c r="CZ76" s="104" t="str">
        <f aca="false">IF($CP76&gt;$CO$8,"",VLOOKUP($CP76,$CR$9:$CX$508,2,FALSE()))</f>
        <v/>
      </c>
      <c r="DA76" s="104" t="str">
        <f aca="false">IF($CP76&gt;$CO$8,"",VLOOKUP($CP76,$CR$9:$CX$508,3,FALSE()))</f>
        <v/>
      </c>
      <c r="DB76" s="104" t="str">
        <f aca="false">IF($CP76&gt;$CO$8,"",VLOOKUP($CP76,$CR$9:$CX$508,4,FALSE()))</f>
        <v/>
      </c>
      <c r="DC76" s="104" t="str">
        <f aca="false">IF($CP76&gt;$CO$8,"",VLOOKUP($CP76,$CR$9:$CX$508,5,FALSE()))</f>
        <v/>
      </c>
      <c r="DD76" s="105" t="str">
        <f aca="false">IF($CP76&gt;$CO$8,"",VLOOKUP($CP76,$CR$9:$CX$508,6,FALSE()))</f>
        <v/>
      </c>
      <c r="DE76" s="70"/>
    </row>
    <row r="77" customFormat="false" ht="15.75" hidden="false" customHeight="false" outlineLevel="0" collapsed="false">
      <c r="A77" s="8"/>
      <c r="B77" s="72"/>
      <c r="C77" s="73"/>
      <c r="D77" s="155"/>
      <c r="E77" s="162"/>
      <c r="F77" s="157"/>
      <c r="G77" s="77"/>
      <c r="H77" s="77"/>
      <c r="I77" s="77"/>
      <c r="J77" s="163"/>
      <c r="K77" s="161"/>
      <c r="L77" s="161"/>
      <c r="M77" s="80"/>
      <c r="N77" s="161"/>
      <c r="O77" s="160"/>
      <c r="P77" s="161"/>
      <c r="Q77" s="161"/>
      <c r="R77" s="161"/>
      <c r="S77" s="77"/>
      <c r="T77" s="161"/>
      <c r="U77" s="160"/>
      <c r="V77" s="161"/>
      <c r="W77" s="85"/>
      <c r="X77" s="86" t="str">
        <f aca="false">IF(ISBLANK($C77),"",IF($E77=Constants!$B$2,TRUE(),IF($E77=Constants!$B$3,FALSE(),TRUE())))</f>
        <v/>
      </c>
      <c r="Y77" s="86" t="str">
        <f aca="false">IF(ISBLANK($C77),"",IF($F77=Constants!$B$2,TRUE(),IF($F77=Constants!$B$3,FALSE(),TRUE())))</f>
        <v/>
      </c>
      <c r="Z77" s="87" t="str">
        <f aca="false">IF(ISBLANK($C77),"",IF(ISNUMBER($G77),IF($G77&gt;=0,$G77,""),""))</f>
        <v/>
      </c>
      <c r="AA77" s="87" t="str">
        <f aca="false">IF(ISBLANK($C77),"",IF(ISNUMBER($H77),IF($H77&gt;=0,$H77,""),""))</f>
        <v/>
      </c>
      <c r="AB77" s="87" t="str">
        <f aca="false">IF(ISBLANK($C77),"",IF(ISNUMBER($I77),IF($I77&gt;=0,$I77,""),""))</f>
        <v/>
      </c>
      <c r="AC77" s="86" t="str">
        <f aca="false">IF(ISBLANK($C77),"",IF($J77=Constants!$B$2,TRUE(),IF($J77=Constants!$B$3,FALSE(),TRUE())))</f>
        <v/>
      </c>
      <c r="AD77" s="86" t="str">
        <f aca="false">IF(ISBLANK($C77),"",IF($K77=Constants!$B$2,TRUE(),IF($K77=Constants!$B$3,FALSE(),TRUE())))</f>
        <v/>
      </c>
      <c r="AE77" s="86" t="str">
        <f aca="false">IF(ISBLANK($C77),"",IF($L77=Constants!$B$2,TRUE(),IF($L77=Constants!$B$3,FALSE(),TRUE())))</f>
        <v/>
      </c>
      <c r="AF77" s="88" t="str">
        <f aca="false">IF(ISBLANK($C77),"",IF(ISNUMBER($M77),IF($M77&gt;=0,$M77,""),""))</f>
        <v/>
      </c>
      <c r="AG77" s="86" t="str">
        <f aca="false">IF(ISBLANK($C77),"",IF(ISBLANK($N77),0,IF(ISNUMBER($N77),IF(AND($N77&gt;=0,$N77&lt;=Constants!$B$17,$N77=INT($N77)),$N77,""),"")))</f>
        <v/>
      </c>
      <c r="AH77" s="87" t="str">
        <f aca="false">IF(ISBLANK($C77),"",IF(ISBLANK($O77),0,IF(ISNUMBER($O77),IF($O77&gt;=0,$O77,""),"")))</f>
        <v/>
      </c>
      <c r="AI77" s="86" t="str">
        <f aca="false">IF(ISBLANK($C77),"",IF($P77=Constants!$B$2,TRUE(),IF($P77=Constants!$B$3,FALSE(),TRUE())))</f>
        <v/>
      </c>
      <c r="AJ77" s="86" t="str">
        <f aca="false">IF(ISBLANK($C77),"",IF($Q77=Constants!$B$2,TRUE(),IF($Q77=Constants!$B$3,FALSE(),TRUE())))</f>
        <v/>
      </c>
      <c r="AK77" s="86" t="str">
        <f aca="false">IF(ISBLANK($C77),"",IF($R77=Constants!$B$2,TRUE(),IF($R77=Constants!$B$3,FALSE(),TRUE())))</f>
        <v/>
      </c>
      <c r="AL77" s="88" t="str">
        <f aca="false">IF(ISBLANK($C77),"",IF(ISNUMBER($S77),IF($S77&gt;=0,$S77,""),""))</f>
        <v/>
      </c>
      <c r="AM77" s="86" t="str">
        <f aca="false">IF(ISBLANK($C77),"",IF(ISBLANK($T77),0,IF(ISNUMBER($T77),IF(AND($T77&gt;=0,$T77&lt;=Constants!$B$17,$T77=INT($T77)),$T77,""),"")))</f>
        <v/>
      </c>
      <c r="AN77" s="87" t="str">
        <f aca="false">IF(ISBLANK($C77),"",IF(ISBLANK($U77),0,IF(ISNUMBER($U77),IF($U77&gt;=0,$U77,""),"")))</f>
        <v/>
      </c>
      <c r="AO77" s="86" t="str">
        <f aca="false">IF(ISBLANK($C77),"",IF($V77=Constants!$B$2,TRUE(),IF($V77=Constants!$B$3,FALSE(),FALSE())))</f>
        <v/>
      </c>
      <c r="AP77" s="86"/>
      <c r="AQ77" s="85" t="str">
        <f aca="false">IF(ISBLANK($C77),"",AND($Y77,OR($AS77,$BC77),OR($Z77="",$AA77="",$AB77="")))</f>
        <v/>
      </c>
      <c r="AR77" s="85" t="str">
        <f aca="false">IF(ISBLANK($C77),"",IF(OR(NOT($Y77),NOT(OR($AS77,$BC77))),"",IF(ISBLANK($D$7),$AR$5,IF($AP$9="",$AR$6,""))))</f>
        <v/>
      </c>
      <c r="AS77" s="85" t="str">
        <f aca="false">IF(ISBLANK($C77),"",COUNTA($J77:$O77)&gt;0)</f>
        <v/>
      </c>
      <c r="AT77" s="85" t="str">
        <f aca="false">IF(ISBLANK($C77),"",AND($AS77,OR(AND($AF77="",OR($AE77,NOT(ISBLANK($M77)))),$AG77="",$AH77="")))</f>
        <v/>
      </c>
      <c r="AU77" s="87" t="str">
        <f aca="false">IF($BL77&lt;&gt;Constants!$B$4,"",IF(NOT($AS77),"",ROUND((Constants!$B$12-$AB77)+(Constants!$B$13-$Z77)+(Constants!$B$14-$AA77),1)))</f>
        <v/>
      </c>
      <c r="AV77" s="90" t="str">
        <f aca="false">IF($BL77&lt;&gt;Constants!$B$4,"",IF(NOT($AS77),"",IF(NOT($AE77),0,Constants!$B$15*(INT(ROUND(MIN($AF77,$AP$9),6))-INT(ROUND(MAX(0,MIN($AF77,2*$AP$9)-$AP$9),6))))))</f>
        <v/>
      </c>
      <c r="AW77" s="90" t="str">
        <f aca="false">IF($BL77&lt;&gt;Constants!$B$4,"",IF(NOT($AS77),"",Constants!$B$16*$AG77))</f>
        <v/>
      </c>
      <c r="AX77" s="90" t="str">
        <f aca="false">IF($BL77&lt;&gt;Constants!$B$4,"",IF(NOT($AS77),"",Constants!$B$18*INT(ROUND($AH77,6))))</f>
        <v/>
      </c>
      <c r="AY77" s="85" t="str">
        <f aca="false">IF($BL77&lt;&gt;Constants!$B$4,"",IF(NOT($AS77),"",IF(NOT($X77),Constants!$B$11,IF(OR(NOT($AC77),NOT($AD77),ROUND($AB77,1)&gt;Constants!$B$12,ROUND($Z77,1)&gt;Constants!$B$13,ROUND($AA77,1)&gt;Constants!$B$14),Constants!$B$10,Constants!$B$9))))</f>
        <v/>
      </c>
      <c r="AZ77" s="91" t="str">
        <f aca="false">IF($BL77&lt;&gt;Constants!$B$4,"",IF(NOT($AS77),"",ROUND($AU77+$AV77+$AW77+$AX77,1)))</f>
        <v/>
      </c>
      <c r="BA77" s="92" t="str">
        <f aca="false">IF($BL77&lt;&gt;Constants!$B$4,"",IF(NOT($AS77),"",IF(ISNUMBER($AF77),$AF77,0)))</f>
        <v/>
      </c>
      <c r="BB77" s="86" t="str">
        <f aca="false">IF($BL77&lt;&gt;Constants!$B$4,"",IF(NOT($BC77),"&lt;-",IF(NOT($AS77),"-&gt;",IF(OR($BI77&lt;$AY77,AND($BI77=$AY77,OR($BJ77&gt;$AZ77,AND($BJ77=$AZ77,OR($BH77&gt;$AX77,AND($BH77=$AX77,OR($BE77&gt;$AU77,AND($BE77=$AU77,OR($BF77&gt;$AV77,AND($BF77=$AV77,$BK77&gt;$BA77)))))))))),"-&gt;","&lt;-"))))</f>
        <v/>
      </c>
      <c r="BC77" s="85" t="str">
        <f aca="false">IF(ISBLANK($C77),"",COUNTA($P77:$U77)&gt;0)</f>
        <v/>
      </c>
      <c r="BD77" s="85" t="str">
        <f aca="false">IF(ISBLANK($C77),"",AND($BC77,OR(AND($AL77="",OR($AK77,NOT(ISBLANK($S77)))),$AM77="",$AN77="")))</f>
        <v/>
      </c>
      <c r="BE77" s="87" t="str">
        <f aca="false">IF($BL77&lt;&gt;Constants!$B$4,"",IF(NOT($BC77),"",ROUND((Constants!$B$12-$AB77)+(Constants!$B$13-$Z77)+(Constants!$B$14-$AA77),1)))</f>
        <v/>
      </c>
      <c r="BF77" s="90" t="str">
        <f aca="false">IF($BL77&lt;&gt;Constants!$B$4,"",IF(NOT($BC77),"",IF(NOT($AK77),0,Constants!$B$15*(INT(ROUND(MIN($AL77,$AP$9),6))-INT(ROUND(MAX(0,MIN($AL77,2*$AP$9)-$AP$9),6))))))</f>
        <v/>
      </c>
      <c r="BG77" s="90" t="str">
        <f aca="false">IF($BL77&lt;&gt;Constants!$B$4,"",IF(NOT($BC77),"",Constants!$B$16*$AM77))</f>
        <v/>
      </c>
      <c r="BH77" s="90" t="str">
        <f aca="false">IF($BL77&lt;&gt;Constants!$B$4,"",IF(NOT($BC77),"",Constants!$B$18*INT(ROUND($AN77,6))))</f>
        <v/>
      </c>
      <c r="BI77" s="85" t="str">
        <f aca="false">IF($BL77&lt;&gt;Constants!$B$4,"",IF(NOT($BC77),"",IF(NOT($X77),Constants!$B$11,IF(OR(NOT($AI77),NOT($AJ77),ROUND($AB77,1)&gt;Constants!$B$12,ROUND($Z77,1)&gt;Constants!$B$13,ROUND($AA77,1)&gt;Constants!$B$14),Constants!$B$10,Constants!$B$9))))</f>
        <v/>
      </c>
      <c r="BJ77" s="91" t="str">
        <f aca="false">IF($BL77&lt;&gt;Constants!$B$4,"",IF(NOT($BC77),"",ROUND($BE77+$BF77+$BG77+$BH77,1)))</f>
        <v/>
      </c>
      <c r="BK77" s="92" t="str">
        <f aca="false">IF($BL77&lt;&gt;Constants!$B$4,"",IF(NOT($BC77),"",IF(ISNUMBER($AL77),$AL77,0)))</f>
        <v/>
      </c>
      <c r="BL77" s="86" t="str">
        <f aca="false">IF(ISBLANK($C77),"",IF($AO77,Constants!$B$7,IF(COUNTA($E77:$V77)=0,Constants!$B$6,IF(NOT($Y77),Constants!$B$5,IF(NOT(OR($AS77,$BC77)),Constants!$B$5,IF(OR($AT77,$BD77,$AQ77,$AR77&lt;&gt;""),Constants!$B$8,Constants!$B$4))))))</f>
        <v/>
      </c>
      <c r="BM77" s="86" t="str">
        <f aca="false">IF(ISBLANK($C77),"",IF($BL77&lt;&gt;Constants!$B$4,$BL77,IF($BB77="-&gt;",$BI77,$AY77)))</f>
        <v/>
      </c>
      <c r="BN77" s="90" t="str">
        <f aca="false">IF($BL77&lt;&gt;Constants!$B$4,"",IF($BB77="-&gt;",$BJ77,$AZ77))</f>
        <v/>
      </c>
      <c r="BO77" s="90" t="str">
        <f aca="false">IF(ISBLANK($C77),"",IF($BL77&lt;&gt;Constants!$B$4,$BL77,$BN77))</f>
        <v/>
      </c>
      <c r="BP77" s="86" t="str">
        <f aca="false">IF(ISBLANK($C77),"",IF($BL77&lt;&gt;Constants!$B$4,$BL77,RANK($BO77,$BO$9:$BO$508,0)))</f>
        <v/>
      </c>
      <c r="BQ77" s="86" t="str">
        <f aca="false">IF(ISBLANK($C77),"",IF($BL77&lt;&gt;Constants!$B$4,$BL77,COUNTIFS($BM$9:$BM$508,"&lt;"&amp;$BM77)+COUNTIFS($BM$9:$BM$508,$BM77,$BP$9:$BP$508,"&lt;"&amp;$BP77)+1))</f>
        <v/>
      </c>
      <c r="BR77" s="90" t="str">
        <f aca="false">IF($BL77&lt;&gt;Constants!$B$4,"",IF($BB77="-&gt;",$BH77,$AX77))</f>
        <v/>
      </c>
      <c r="BS77" s="86" t="str">
        <f aca="false">IF(ISBLANK($C77),"",IF($BL77&lt;&gt;Constants!$B$4,$BL77,IF(ISNUMBER($BR77),RANK($BR77,$BR$9:$BR$508,0),COUNT($BR$9:$BR$508)+1)))</f>
        <v/>
      </c>
      <c r="BT77" s="90" t="str">
        <f aca="false">IF($BL77&lt;&gt;Constants!$B$4,"",IF($BB77="-&gt;",$BE77,$AU77))</f>
        <v/>
      </c>
      <c r="BU77" s="86" t="str">
        <f aca="false">IF(ISBLANK($C77),"",IF($BL77&lt;&gt;Constants!$B$4,$BL77,IF(ISNUMBER($BT77),RANK($BT77,$BT$9:$BT$508,0),COUNT($BT$9:$BT$508)+1)))</f>
        <v/>
      </c>
      <c r="BV77" s="90" t="str">
        <f aca="false">IF($BL77&lt;&gt;Constants!$B$4,"",IF($BB77="-&gt;",$BF77,$AV77))</f>
        <v/>
      </c>
      <c r="BW77" s="86" t="str">
        <f aca="false">IF(ISBLANK($C77),"",IF($BL77&lt;&gt;Constants!$B$4,$BL77,IF(ISNUMBER($BV77),RANK($BV77,$BV$9:$BV$508,0),COUNT($BV$9:$BV$508)+1)))</f>
        <v/>
      </c>
      <c r="BX77" s="90" t="str">
        <f aca="false">IF($BL77&lt;&gt;Constants!$B$4,"",IF($BB77="-&gt;",$BK77,$BA77))</f>
        <v/>
      </c>
      <c r="BY77" s="86" t="str">
        <f aca="false">IF(ISBLANK($C77),"",IF($BL77&lt;&gt;Constants!$B$4,$BL77,IF(ISNUMBER($BX77),RANK($BX77,$BX$9:$BX$508,0),COUNT($BX$9:$BX$508)+1)))</f>
        <v/>
      </c>
      <c r="BZ77" s="86" t="str">
        <f aca="false">IF(ISBLANK($C77),"",IF($BL77&lt;&gt;Constants!$B$4,$BL77,COUNTIFS($BM$9:$BM$508,"&lt;"&amp;$BM77)+COUNTIFS($BM$9:$BM$508,$BM77,$BP$9:$BP$508,"&lt;"&amp;$BP77)+COUNTIFS($BM$9:$BM$508,$BM77,$BP$9:$BP$508,$BP77,$BS$9:$BS$508,"&lt;"&amp;$BS77)+COUNTIFS($BM$9:$BM$508,$BM77,$BP$9:$BP$508,$BP77,$BS$9:$BS$508,$BS77,$BU$9:$BU$508,"&lt;"&amp;$BU77)+COUNTIFS($BM$9:$BM$508,$BM77,$BP$9:$BP$508,$BP77,$BS$9:$BS$508,$BS77,$BU$9:$BU$508,$BU77,$BW$9:$BW$508,"&lt;"&amp;$BW77)+COUNTIFS($BM$9:$BM$508,$BM77,$BP$9:$BP$508,$BP77,$BS$9:$BS$508,$BS77,$BU$9:$BU$508,$BU77,$BW$9:$BW$508,$BW77,$BY$9:$BY$508,"&lt;"&amp;$BY77)+1))</f>
        <v/>
      </c>
      <c r="CA77" s="86" t="str">
        <f aca="false">IF(ISBLANK($C77),"",IF($BL77&lt;&gt;Constants!$B$4,$BL77,$BQ77-$BZ77))</f>
        <v/>
      </c>
      <c r="CB77" s="93"/>
      <c r="CC77" s="94" t="str">
        <f aca="false">IF(ISBLANK($C77),"",IF($BL77=Constants!$B$8,$AR77,""))</f>
        <v/>
      </c>
      <c r="CD77" s="94" t="str">
        <f aca="false">IF(ISBLANK($C77),"",IF($BL77&lt;&gt;Constants!$B$4,"",IF($BB77="-&gt;",2,1)))</f>
        <v/>
      </c>
      <c r="CE77" s="95" t="str">
        <f aca="false">IF(ISBLANK($C77),"",IF($BL77&lt;&gt;Constants!$B$4,"",IF($BB77="-&gt;",$BE77,$AU77)))</f>
        <v/>
      </c>
      <c r="CF77" s="95" t="str">
        <f aca="false">IF(ISBLANK($C77),"",IF($BL77&lt;&gt;Constants!$B$4,"",IF($BB77="-&gt;",$BF77,$AV77)))</f>
        <v/>
      </c>
      <c r="CG77" s="95" t="str">
        <f aca="false">IF(ISBLANK($C77),"",IF($BL77&lt;&gt;Constants!$B$4,"",IF($BB77="-&gt;",$BG77,$AW77)))</f>
        <v/>
      </c>
      <c r="CH77" s="95" t="str">
        <f aca="false">IF(ISBLANK($C77),"",IF($BL77&lt;&gt;Constants!$B$4,"",IF($BB77="-&gt;",$BH77,$AX77)))</f>
        <v/>
      </c>
      <c r="CI77" s="96" t="str">
        <f aca="false">IF(ISBLANK($C77),"",$BO77)</f>
        <v/>
      </c>
      <c r="CJ77" s="97" t="str">
        <f aca="false">IF(ISBLANK($C77),"",$BM77)</f>
        <v/>
      </c>
      <c r="CK77" s="98" t="str">
        <f aca="false">IF(ISBLANK($C77),"",$CA77)</f>
        <v/>
      </c>
      <c r="CL77" s="98" t="str">
        <f aca="false">IF(ISBLANK($C77),"",$BZ77)</f>
        <v/>
      </c>
      <c r="CM77" s="99" t="str">
        <f aca="false">IF(ISBLANK($C77),"",IF($CL77=Constants!$B$7,COUNTA($C$9:$C$508)+2,IF($CL77=Constants!$B$6,COUNTA($C$9:$C$508)+1,IF($CL77=Constants!$B$5,COUNTA($C$9:$C$508),$CL77))))</f>
        <v/>
      </c>
      <c r="CN77" s="8"/>
      <c r="CO77" s="100" t="n">
        <f aca="false">IF(OR(ISNUMBER($CL77),$CL77=Constants!$B$7,$CL77=Constants!$B$5,$CL77=Constants!$B$6),1,0)</f>
        <v>0</v>
      </c>
      <c r="CP77" s="100" t="n">
        <v>69</v>
      </c>
      <c r="CQ77" s="100" t="str">
        <f aca="false">IF(ISBLANK($C77),"",IF(ISNUMBER($CM77),$CM77+ROW($B77)/1000,""))</f>
        <v/>
      </c>
      <c r="CR77" s="100" t="str">
        <f aca="false">IF(ISNUMBER($CQ77),RANK($CQ77,$CQ$9:$CQ$508,1),"")</f>
        <v/>
      </c>
      <c r="CS77" s="100" t="str">
        <f aca="false">IF(ISBLANK($C77),"",$B77)</f>
        <v/>
      </c>
      <c r="CT77" s="100" t="str">
        <f aca="false">IF(ISBLANK($C77),"",$C77)</f>
        <v/>
      </c>
      <c r="CU77" s="100" t="str">
        <f aca="false">IF(ISBLANK($C77),"",$D77)</f>
        <v/>
      </c>
      <c r="CV77" s="101" t="str">
        <f aca="false">$CJ77</f>
        <v/>
      </c>
      <c r="CW77" s="102" t="str">
        <f aca="false">$CI77</f>
        <v/>
      </c>
      <c r="CX77" s="100" t="str">
        <f aca="false">IF(ISBLANK($C77),"",$CL77)</f>
        <v/>
      </c>
      <c r="CY77" s="103" t="str">
        <f aca="false">IF($CP77&gt;$CO$8,"",VLOOKUP($CP77,$CR$9:$CX$508,7,FALSE()))</f>
        <v/>
      </c>
      <c r="CZ77" s="104" t="str">
        <f aca="false">IF($CP77&gt;$CO$8,"",VLOOKUP($CP77,$CR$9:$CX$508,2,FALSE()))</f>
        <v/>
      </c>
      <c r="DA77" s="104" t="str">
        <f aca="false">IF($CP77&gt;$CO$8,"",VLOOKUP($CP77,$CR$9:$CX$508,3,FALSE()))</f>
        <v/>
      </c>
      <c r="DB77" s="104" t="str">
        <f aca="false">IF($CP77&gt;$CO$8,"",VLOOKUP($CP77,$CR$9:$CX$508,4,FALSE()))</f>
        <v/>
      </c>
      <c r="DC77" s="104" t="str">
        <f aca="false">IF($CP77&gt;$CO$8,"",VLOOKUP($CP77,$CR$9:$CX$508,5,FALSE()))</f>
        <v/>
      </c>
      <c r="DD77" s="105" t="str">
        <f aca="false">IF($CP77&gt;$CO$8,"",VLOOKUP($CP77,$CR$9:$CX$508,6,FALSE()))</f>
        <v/>
      </c>
      <c r="DE77" s="70"/>
    </row>
    <row r="78" customFormat="false" ht="15.75" hidden="false" customHeight="false" outlineLevel="0" collapsed="false">
      <c r="A78" s="8"/>
      <c r="B78" s="146"/>
      <c r="C78" s="147"/>
      <c r="D78" s="148"/>
      <c r="E78" s="164"/>
      <c r="F78" s="150"/>
      <c r="G78" s="115"/>
      <c r="H78" s="115"/>
      <c r="I78" s="115"/>
      <c r="J78" s="165"/>
      <c r="K78" s="154"/>
      <c r="L78" s="154"/>
      <c r="M78" s="118"/>
      <c r="N78" s="154"/>
      <c r="O78" s="153"/>
      <c r="P78" s="154"/>
      <c r="Q78" s="154"/>
      <c r="R78" s="154"/>
      <c r="S78" s="115"/>
      <c r="T78" s="154"/>
      <c r="U78" s="153"/>
      <c r="V78" s="154"/>
      <c r="W78" s="123"/>
      <c r="X78" s="124" t="str">
        <f aca="false">IF(ISBLANK($C78),"",IF($E78=Constants!$B$2,TRUE(),IF($E78=Constants!$B$3,FALSE(),TRUE())))</f>
        <v/>
      </c>
      <c r="Y78" s="124" t="str">
        <f aca="false">IF(ISBLANK($C78),"",IF($F78=Constants!$B$2,TRUE(),IF($F78=Constants!$B$3,FALSE(),TRUE())))</f>
        <v/>
      </c>
      <c r="Z78" s="125" t="str">
        <f aca="false">IF(ISBLANK($C78),"",IF(ISNUMBER($G78),IF($G78&gt;=0,$G78,""),""))</f>
        <v/>
      </c>
      <c r="AA78" s="125" t="str">
        <f aca="false">IF(ISBLANK($C78),"",IF(ISNUMBER($H78),IF($H78&gt;=0,$H78,""),""))</f>
        <v/>
      </c>
      <c r="AB78" s="125" t="str">
        <f aca="false">IF(ISBLANK($C78),"",IF(ISNUMBER($I78),IF($I78&gt;=0,$I78,""),""))</f>
        <v/>
      </c>
      <c r="AC78" s="124" t="str">
        <f aca="false">IF(ISBLANK($C78),"",IF($J78=Constants!$B$2,TRUE(),IF($J78=Constants!$B$3,FALSE(),TRUE())))</f>
        <v/>
      </c>
      <c r="AD78" s="124" t="str">
        <f aca="false">IF(ISBLANK($C78),"",IF($K78=Constants!$B$2,TRUE(),IF($K78=Constants!$B$3,FALSE(),TRUE())))</f>
        <v/>
      </c>
      <c r="AE78" s="124" t="str">
        <f aca="false">IF(ISBLANK($C78),"",IF($L78=Constants!$B$2,TRUE(),IF($L78=Constants!$B$3,FALSE(),TRUE())))</f>
        <v/>
      </c>
      <c r="AF78" s="126" t="str">
        <f aca="false">IF(ISBLANK($C78),"",IF(ISNUMBER($M78),IF($M78&gt;=0,$M78,""),""))</f>
        <v/>
      </c>
      <c r="AG78" s="124" t="str">
        <f aca="false">IF(ISBLANK($C78),"",IF(ISBLANK($N78),0,IF(ISNUMBER($N78),IF(AND($N78&gt;=0,$N78&lt;=Constants!$B$17,$N78=INT($N78)),$N78,""),"")))</f>
        <v/>
      </c>
      <c r="AH78" s="125" t="str">
        <f aca="false">IF(ISBLANK($C78),"",IF(ISBLANK($O78),0,IF(ISNUMBER($O78),IF($O78&gt;=0,$O78,""),"")))</f>
        <v/>
      </c>
      <c r="AI78" s="124" t="str">
        <f aca="false">IF(ISBLANK($C78),"",IF($P78=Constants!$B$2,TRUE(),IF($P78=Constants!$B$3,FALSE(),TRUE())))</f>
        <v/>
      </c>
      <c r="AJ78" s="124" t="str">
        <f aca="false">IF(ISBLANK($C78),"",IF($Q78=Constants!$B$2,TRUE(),IF($Q78=Constants!$B$3,FALSE(),TRUE())))</f>
        <v/>
      </c>
      <c r="AK78" s="124" t="str">
        <f aca="false">IF(ISBLANK($C78),"",IF($R78=Constants!$B$2,TRUE(),IF($R78=Constants!$B$3,FALSE(),TRUE())))</f>
        <v/>
      </c>
      <c r="AL78" s="126" t="str">
        <f aca="false">IF(ISBLANK($C78),"",IF(ISNUMBER($S78),IF($S78&gt;=0,$S78,""),""))</f>
        <v/>
      </c>
      <c r="AM78" s="124" t="str">
        <f aca="false">IF(ISBLANK($C78),"",IF(ISBLANK($T78),0,IF(ISNUMBER($T78),IF(AND($T78&gt;=0,$T78&lt;=Constants!$B$17,$T78=INT($T78)),$T78,""),"")))</f>
        <v/>
      </c>
      <c r="AN78" s="125" t="str">
        <f aca="false">IF(ISBLANK($C78),"",IF(ISBLANK($U78),0,IF(ISNUMBER($U78),IF($U78&gt;=0,$U78,""),"")))</f>
        <v/>
      </c>
      <c r="AO78" s="124" t="str">
        <f aca="false">IF(ISBLANK($C78),"",IF($V78=Constants!$B$2,TRUE(),IF($V78=Constants!$B$3,FALSE(),FALSE())))</f>
        <v/>
      </c>
      <c r="AP78" s="124"/>
      <c r="AQ78" s="123" t="str">
        <f aca="false">IF(ISBLANK($C78),"",AND($Y78,OR($AS78,$BC78),OR($Z78="",$AA78="",$AB78="")))</f>
        <v/>
      </c>
      <c r="AR78" s="123" t="str">
        <f aca="false">IF(ISBLANK($C78),"",IF(OR(NOT($Y78),NOT(OR($AS78,$BC78))),"",IF(ISBLANK($D$7),$AR$5,IF($AP$9="",$AR$6,""))))</f>
        <v/>
      </c>
      <c r="AS78" s="123" t="str">
        <f aca="false">IF(ISBLANK($C78),"",COUNTA($J78:$O78)&gt;0)</f>
        <v/>
      </c>
      <c r="AT78" s="123" t="str">
        <f aca="false">IF(ISBLANK($C78),"",AND($AS78,OR(AND($AF78="",OR($AE78,NOT(ISBLANK($M78)))),$AG78="",$AH78="")))</f>
        <v/>
      </c>
      <c r="AU78" s="125" t="str">
        <f aca="false">IF($BL78&lt;&gt;Constants!$B$4,"",IF(NOT($AS78),"",ROUND((Constants!$B$12-$AB78)+(Constants!$B$13-$Z78)+(Constants!$B$14-$AA78),1)))</f>
        <v/>
      </c>
      <c r="AV78" s="127" t="str">
        <f aca="false">IF($BL78&lt;&gt;Constants!$B$4,"",IF(NOT($AS78),"",IF(NOT($AE78),0,Constants!$B$15*(INT(ROUND(MIN($AF78,$AP$9),6))-INT(ROUND(MAX(0,MIN($AF78,2*$AP$9)-$AP$9),6))))))</f>
        <v/>
      </c>
      <c r="AW78" s="127" t="str">
        <f aca="false">IF($BL78&lt;&gt;Constants!$B$4,"",IF(NOT($AS78),"",Constants!$B$16*$AG78))</f>
        <v/>
      </c>
      <c r="AX78" s="127" t="str">
        <f aca="false">IF($BL78&lt;&gt;Constants!$B$4,"",IF(NOT($AS78),"",Constants!$B$18*INT(ROUND($AH78,6))))</f>
        <v/>
      </c>
      <c r="AY78" s="123" t="str">
        <f aca="false">IF($BL78&lt;&gt;Constants!$B$4,"",IF(NOT($AS78),"",IF(NOT($X78),Constants!$B$11,IF(OR(NOT($AC78),NOT($AD78),ROUND($AB78,1)&gt;Constants!$B$12,ROUND($Z78,1)&gt;Constants!$B$13,ROUND($AA78,1)&gt;Constants!$B$14),Constants!$B$10,Constants!$B$9))))</f>
        <v/>
      </c>
      <c r="AZ78" s="128" t="str">
        <f aca="false">IF($BL78&lt;&gt;Constants!$B$4,"",IF(NOT($AS78),"",ROUND($AU78+$AV78+$AW78+$AX78,1)))</f>
        <v/>
      </c>
      <c r="BA78" s="129" t="str">
        <f aca="false">IF($BL78&lt;&gt;Constants!$B$4,"",IF(NOT($AS78),"",IF(ISNUMBER($AF78),$AF78,0)))</f>
        <v/>
      </c>
      <c r="BB78" s="124" t="str">
        <f aca="false">IF($BL78&lt;&gt;Constants!$B$4,"",IF(NOT($BC78),"&lt;-",IF(NOT($AS78),"-&gt;",IF(OR($BI78&lt;$AY78,AND($BI78=$AY78,OR($BJ78&gt;$AZ78,AND($BJ78=$AZ78,OR($BH78&gt;$AX78,AND($BH78=$AX78,OR($BE78&gt;$AU78,AND($BE78=$AU78,OR($BF78&gt;$AV78,AND($BF78=$AV78,$BK78&gt;$BA78)))))))))),"-&gt;","&lt;-"))))</f>
        <v/>
      </c>
      <c r="BC78" s="123" t="str">
        <f aca="false">IF(ISBLANK($C78),"",COUNTA($P78:$U78)&gt;0)</f>
        <v/>
      </c>
      <c r="BD78" s="123" t="str">
        <f aca="false">IF(ISBLANK($C78),"",AND($BC78,OR(AND($AL78="",OR($AK78,NOT(ISBLANK($S78)))),$AM78="",$AN78="")))</f>
        <v/>
      </c>
      <c r="BE78" s="125" t="str">
        <f aca="false">IF($BL78&lt;&gt;Constants!$B$4,"",IF(NOT($BC78),"",ROUND((Constants!$B$12-$AB78)+(Constants!$B$13-$Z78)+(Constants!$B$14-$AA78),1)))</f>
        <v/>
      </c>
      <c r="BF78" s="127" t="str">
        <f aca="false">IF($BL78&lt;&gt;Constants!$B$4,"",IF(NOT($BC78),"",IF(NOT($AK78),0,Constants!$B$15*(INT(ROUND(MIN($AL78,$AP$9),6))-INT(ROUND(MAX(0,MIN($AL78,2*$AP$9)-$AP$9),6))))))</f>
        <v/>
      </c>
      <c r="BG78" s="127" t="str">
        <f aca="false">IF($BL78&lt;&gt;Constants!$B$4,"",IF(NOT($BC78),"",Constants!$B$16*$AM78))</f>
        <v/>
      </c>
      <c r="BH78" s="127" t="str">
        <f aca="false">IF($BL78&lt;&gt;Constants!$B$4,"",IF(NOT($BC78),"",Constants!$B$18*INT(ROUND($AN78,6))))</f>
        <v/>
      </c>
      <c r="BI78" s="123" t="str">
        <f aca="false">IF($BL78&lt;&gt;Constants!$B$4,"",IF(NOT($BC78),"",IF(NOT($X78),Constants!$B$11,IF(OR(NOT($AI78),NOT($AJ78),ROUND($AB78,1)&gt;Constants!$B$12,ROUND($Z78,1)&gt;Constants!$B$13,ROUND($AA78,1)&gt;Constants!$B$14),Constants!$B$10,Constants!$B$9))))</f>
        <v/>
      </c>
      <c r="BJ78" s="128" t="str">
        <f aca="false">IF($BL78&lt;&gt;Constants!$B$4,"",IF(NOT($BC78),"",ROUND($BE78+$BF78+$BG78+$BH78,1)))</f>
        <v/>
      </c>
      <c r="BK78" s="129" t="str">
        <f aca="false">IF($BL78&lt;&gt;Constants!$B$4,"",IF(NOT($BC78),"",IF(ISNUMBER($AL78),$AL78,0)))</f>
        <v/>
      </c>
      <c r="BL78" s="124" t="str">
        <f aca="false">IF(ISBLANK($C78),"",IF($AO78,Constants!$B$7,IF(COUNTA($E78:$V78)=0,Constants!$B$6,IF(NOT($Y78),Constants!$B$5,IF(NOT(OR($AS78,$BC78)),Constants!$B$5,IF(OR($AT78,$BD78,$AQ78,$AR78&lt;&gt;""),Constants!$B$8,Constants!$B$4))))))</f>
        <v/>
      </c>
      <c r="BM78" s="124" t="str">
        <f aca="false">IF(ISBLANK($C78),"",IF($BL78&lt;&gt;Constants!$B$4,$BL78,IF($BB78="-&gt;",$BI78,$AY78)))</f>
        <v/>
      </c>
      <c r="BN78" s="127" t="str">
        <f aca="false">IF($BL78&lt;&gt;Constants!$B$4,"",IF($BB78="-&gt;",$BJ78,$AZ78))</f>
        <v/>
      </c>
      <c r="BO78" s="127" t="str">
        <f aca="false">IF(ISBLANK($C78),"",IF($BL78&lt;&gt;Constants!$B$4,$BL78,$BN78))</f>
        <v/>
      </c>
      <c r="BP78" s="124" t="str">
        <f aca="false">IF(ISBLANK($C78),"",IF($BL78&lt;&gt;Constants!$B$4,$BL78,RANK($BO78,$BO$9:$BO$508,0)))</f>
        <v/>
      </c>
      <c r="BQ78" s="124" t="str">
        <f aca="false">IF(ISBLANK($C78),"",IF($BL78&lt;&gt;Constants!$B$4,$BL78,COUNTIFS($BM$9:$BM$508,"&lt;"&amp;$BM78)+COUNTIFS($BM$9:$BM$508,$BM78,$BP$9:$BP$508,"&lt;"&amp;$BP78)+1))</f>
        <v/>
      </c>
      <c r="BR78" s="127" t="str">
        <f aca="false">IF($BL78&lt;&gt;Constants!$B$4,"",IF($BB78="-&gt;",$BH78,$AX78))</f>
        <v/>
      </c>
      <c r="BS78" s="124" t="str">
        <f aca="false">IF(ISBLANK($C78),"",IF($BL78&lt;&gt;Constants!$B$4,$BL78,IF(ISNUMBER($BR78),RANK($BR78,$BR$9:$BR$508,0),COUNT($BR$9:$BR$508)+1)))</f>
        <v/>
      </c>
      <c r="BT78" s="127" t="str">
        <f aca="false">IF($BL78&lt;&gt;Constants!$B$4,"",IF($BB78="-&gt;",$BE78,$AU78))</f>
        <v/>
      </c>
      <c r="BU78" s="124" t="str">
        <f aca="false">IF(ISBLANK($C78),"",IF($BL78&lt;&gt;Constants!$B$4,$BL78,IF(ISNUMBER($BT78),RANK($BT78,$BT$9:$BT$508,0),COUNT($BT$9:$BT$508)+1)))</f>
        <v/>
      </c>
      <c r="BV78" s="127" t="str">
        <f aca="false">IF($BL78&lt;&gt;Constants!$B$4,"",IF($BB78="-&gt;",$BF78,$AV78))</f>
        <v/>
      </c>
      <c r="BW78" s="124" t="str">
        <f aca="false">IF(ISBLANK($C78),"",IF($BL78&lt;&gt;Constants!$B$4,$BL78,IF(ISNUMBER($BV78),RANK($BV78,$BV$9:$BV$508,0),COUNT($BV$9:$BV$508)+1)))</f>
        <v/>
      </c>
      <c r="BX78" s="127" t="str">
        <f aca="false">IF($BL78&lt;&gt;Constants!$B$4,"",IF($BB78="-&gt;",$BK78,$BA78))</f>
        <v/>
      </c>
      <c r="BY78" s="124" t="str">
        <f aca="false">IF(ISBLANK($C78),"",IF($BL78&lt;&gt;Constants!$B$4,$BL78,IF(ISNUMBER($BX78),RANK($BX78,$BX$9:$BX$508,0),COUNT($BX$9:$BX$508)+1)))</f>
        <v/>
      </c>
      <c r="BZ78" s="124" t="str">
        <f aca="false">IF(ISBLANK($C78),"",IF($BL78&lt;&gt;Constants!$B$4,$BL78,COUNTIFS($BM$9:$BM$508,"&lt;"&amp;$BM78)+COUNTIFS($BM$9:$BM$508,$BM78,$BP$9:$BP$508,"&lt;"&amp;$BP78)+COUNTIFS($BM$9:$BM$508,$BM78,$BP$9:$BP$508,$BP78,$BS$9:$BS$508,"&lt;"&amp;$BS78)+COUNTIFS($BM$9:$BM$508,$BM78,$BP$9:$BP$508,$BP78,$BS$9:$BS$508,$BS78,$BU$9:$BU$508,"&lt;"&amp;$BU78)+COUNTIFS($BM$9:$BM$508,$BM78,$BP$9:$BP$508,$BP78,$BS$9:$BS$508,$BS78,$BU$9:$BU$508,$BU78,$BW$9:$BW$508,"&lt;"&amp;$BW78)+COUNTIFS($BM$9:$BM$508,$BM78,$BP$9:$BP$508,$BP78,$BS$9:$BS$508,$BS78,$BU$9:$BU$508,$BU78,$BW$9:$BW$508,$BW78,$BY$9:$BY$508,"&lt;"&amp;$BY78)+1))</f>
        <v/>
      </c>
      <c r="CA78" s="124" t="str">
        <f aca="false">IF(ISBLANK($C78),"",IF($BL78&lt;&gt;Constants!$B$4,$BL78,$BQ78-$BZ78))</f>
        <v/>
      </c>
      <c r="CB78" s="130"/>
      <c r="CC78" s="131" t="str">
        <f aca="false">IF(ISBLANK($C78),"",IF($BL78=Constants!$B$8,$AR78,""))</f>
        <v/>
      </c>
      <c r="CD78" s="131" t="str">
        <f aca="false">IF(ISBLANK($C78),"",IF($BL78&lt;&gt;Constants!$B$4,"",IF($BB78="-&gt;",2,1)))</f>
        <v/>
      </c>
      <c r="CE78" s="132" t="str">
        <f aca="false">IF(ISBLANK($C78),"",IF($BL78&lt;&gt;Constants!$B$4,"",IF($BB78="-&gt;",$BE78,$AU78)))</f>
        <v/>
      </c>
      <c r="CF78" s="132" t="str">
        <f aca="false">IF(ISBLANK($C78),"",IF($BL78&lt;&gt;Constants!$B$4,"",IF($BB78="-&gt;",$BF78,$AV78)))</f>
        <v/>
      </c>
      <c r="CG78" s="132" t="str">
        <f aca="false">IF(ISBLANK($C78),"",IF($BL78&lt;&gt;Constants!$B$4,"",IF($BB78="-&gt;",$BG78,$AW78)))</f>
        <v/>
      </c>
      <c r="CH78" s="132" t="str">
        <f aca="false">IF(ISBLANK($C78),"",IF($BL78&lt;&gt;Constants!$B$4,"",IF($BB78="-&gt;",$BH78,$AX78)))</f>
        <v/>
      </c>
      <c r="CI78" s="133" t="str">
        <f aca="false">IF(ISBLANK($C78),"",$BO78)</f>
        <v/>
      </c>
      <c r="CJ78" s="134" t="str">
        <f aca="false">IF(ISBLANK($C78),"",$BM78)</f>
        <v/>
      </c>
      <c r="CK78" s="135" t="str">
        <f aca="false">IF(ISBLANK($C78),"",$CA78)</f>
        <v/>
      </c>
      <c r="CL78" s="135" t="str">
        <f aca="false">IF(ISBLANK($C78),"",$BZ78)</f>
        <v/>
      </c>
      <c r="CM78" s="136" t="str">
        <f aca="false">IF(ISBLANK($C78),"",IF($CL78=Constants!$B$7,COUNTA($C$9:$C$508)+2,IF($CL78=Constants!$B$6,COUNTA($C$9:$C$508)+1,IF($CL78=Constants!$B$5,COUNTA($C$9:$C$508),$CL78))))</f>
        <v/>
      </c>
      <c r="CN78" s="8"/>
      <c r="CO78" s="137" t="n">
        <f aca="false">IF(OR(ISNUMBER($CL78),$CL78=Constants!$B$7,$CL78=Constants!$B$5,$CL78=Constants!$B$6),1,0)</f>
        <v>0</v>
      </c>
      <c r="CP78" s="137" t="n">
        <v>70</v>
      </c>
      <c r="CQ78" s="137" t="str">
        <f aca="false">IF(ISBLANK($C78),"",IF(ISNUMBER($CM78),$CM78+ROW($B78)/1000,""))</f>
        <v/>
      </c>
      <c r="CR78" s="137" t="str">
        <f aca="false">IF(ISNUMBER($CQ78),RANK($CQ78,$CQ$9:$CQ$508,1),"")</f>
        <v/>
      </c>
      <c r="CS78" s="137" t="str">
        <f aca="false">IF(ISBLANK($C78),"",$B78)</f>
        <v/>
      </c>
      <c r="CT78" s="137" t="str">
        <f aca="false">IF(ISBLANK($C78),"",$C78)</f>
        <v/>
      </c>
      <c r="CU78" s="137" t="str">
        <f aca="false">IF(ISBLANK($C78),"",$D78)</f>
        <v/>
      </c>
      <c r="CV78" s="138" t="str">
        <f aca="false">$CJ78</f>
        <v/>
      </c>
      <c r="CW78" s="139" t="str">
        <f aca="false">$CI78</f>
        <v/>
      </c>
      <c r="CX78" s="137" t="str">
        <f aca="false">IF(ISBLANK($C78),"",$CL78)</f>
        <v/>
      </c>
      <c r="CY78" s="140" t="str">
        <f aca="false">IF($CP78&gt;$CO$8,"",VLOOKUP($CP78,$CR$9:$CX$508,7,FALSE()))</f>
        <v/>
      </c>
      <c r="CZ78" s="141" t="str">
        <f aca="false">IF($CP78&gt;$CO$8,"",VLOOKUP($CP78,$CR$9:$CX$508,2,FALSE()))</f>
        <v/>
      </c>
      <c r="DA78" s="141" t="str">
        <f aca="false">IF($CP78&gt;$CO$8,"",VLOOKUP($CP78,$CR$9:$CX$508,3,FALSE()))</f>
        <v/>
      </c>
      <c r="DB78" s="141" t="str">
        <f aca="false">IF($CP78&gt;$CO$8,"",VLOOKUP($CP78,$CR$9:$CX$508,4,FALSE()))</f>
        <v/>
      </c>
      <c r="DC78" s="141" t="str">
        <f aca="false">IF($CP78&gt;$CO$8,"",VLOOKUP($CP78,$CR$9:$CX$508,5,FALSE()))</f>
        <v/>
      </c>
      <c r="DD78" s="142" t="str">
        <f aca="false">IF($CP78&gt;$CO$8,"",VLOOKUP($CP78,$CR$9:$CX$508,6,FALSE()))</f>
        <v/>
      </c>
      <c r="DE78" s="70"/>
    </row>
    <row r="79" customFormat="false" ht="15.75" hidden="false" customHeight="false" outlineLevel="0" collapsed="false">
      <c r="A79" s="8"/>
      <c r="B79" s="146"/>
      <c r="C79" s="147"/>
      <c r="D79" s="148"/>
      <c r="E79" s="164"/>
      <c r="F79" s="150"/>
      <c r="G79" s="115"/>
      <c r="H79" s="115"/>
      <c r="I79" s="115"/>
      <c r="J79" s="165"/>
      <c r="K79" s="154"/>
      <c r="L79" s="154"/>
      <c r="M79" s="118"/>
      <c r="N79" s="154"/>
      <c r="O79" s="153"/>
      <c r="P79" s="154"/>
      <c r="Q79" s="154"/>
      <c r="R79" s="154"/>
      <c r="S79" s="115"/>
      <c r="T79" s="154"/>
      <c r="U79" s="153"/>
      <c r="V79" s="154"/>
      <c r="W79" s="123"/>
      <c r="X79" s="124" t="str">
        <f aca="false">IF(ISBLANK($C79),"",IF($E79=Constants!$B$2,TRUE(),IF($E79=Constants!$B$3,FALSE(),TRUE())))</f>
        <v/>
      </c>
      <c r="Y79" s="124" t="str">
        <f aca="false">IF(ISBLANK($C79),"",IF($F79=Constants!$B$2,TRUE(),IF($F79=Constants!$B$3,FALSE(),TRUE())))</f>
        <v/>
      </c>
      <c r="Z79" s="125" t="str">
        <f aca="false">IF(ISBLANK($C79),"",IF(ISNUMBER($G79),IF($G79&gt;=0,$G79,""),""))</f>
        <v/>
      </c>
      <c r="AA79" s="125" t="str">
        <f aca="false">IF(ISBLANK($C79),"",IF(ISNUMBER($H79),IF($H79&gt;=0,$H79,""),""))</f>
        <v/>
      </c>
      <c r="AB79" s="125" t="str">
        <f aca="false">IF(ISBLANK($C79),"",IF(ISNUMBER($I79),IF($I79&gt;=0,$I79,""),""))</f>
        <v/>
      </c>
      <c r="AC79" s="124" t="str">
        <f aca="false">IF(ISBLANK($C79),"",IF($J79=Constants!$B$2,TRUE(),IF($J79=Constants!$B$3,FALSE(),TRUE())))</f>
        <v/>
      </c>
      <c r="AD79" s="124" t="str">
        <f aca="false">IF(ISBLANK($C79),"",IF($K79=Constants!$B$2,TRUE(),IF($K79=Constants!$B$3,FALSE(),TRUE())))</f>
        <v/>
      </c>
      <c r="AE79" s="124" t="str">
        <f aca="false">IF(ISBLANK($C79),"",IF($L79=Constants!$B$2,TRUE(),IF($L79=Constants!$B$3,FALSE(),TRUE())))</f>
        <v/>
      </c>
      <c r="AF79" s="126" t="str">
        <f aca="false">IF(ISBLANK($C79),"",IF(ISNUMBER($M79),IF($M79&gt;=0,$M79,""),""))</f>
        <v/>
      </c>
      <c r="AG79" s="124" t="str">
        <f aca="false">IF(ISBLANK($C79),"",IF(ISBLANK($N79),0,IF(ISNUMBER($N79),IF(AND($N79&gt;=0,$N79&lt;=Constants!$B$17,$N79=INT($N79)),$N79,""),"")))</f>
        <v/>
      </c>
      <c r="AH79" s="125" t="str">
        <f aca="false">IF(ISBLANK($C79),"",IF(ISBLANK($O79),0,IF(ISNUMBER($O79),IF($O79&gt;=0,$O79,""),"")))</f>
        <v/>
      </c>
      <c r="AI79" s="124" t="str">
        <f aca="false">IF(ISBLANK($C79),"",IF($P79=Constants!$B$2,TRUE(),IF($P79=Constants!$B$3,FALSE(),TRUE())))</f>
        <v/>
      </c>
      <c r="AJ79" s="124" t="str">
        <f aca="false">IF(ISBLANK($C79),"",IF($Q79=Constants!$B$2,TRUE(),IF($Q79=Constants!$B$3,FALSE(),TRUE())))</f>
        <v/>
      </c>
      <c r="AK79" s="124" t="str">
        <f aca="false">IF(ISBLANK($C79),"",IF($R79=Constants!$B$2,TRUE(),IF($R79=Constants!$B$3,FALSE(),TRUE())))</f>
        <v/>
      </c>
      <c r="AL79" s="126" t="str">
        <f aca="false">IF(ISBLANK($C79),"",IF(ISNUMBER($S79),IF($S79&gt;=0,$S79,""),""))</f>
        <v/>
      </c>
      <c r="AM79" s="124" t="str">
        <f aca="false">IF(ISBLANK($C79),"",IF(ISBLANK($T79),0,IF(ISNUMBER($T79),IF(AND($T79&gt;=0,$T79&lt;=Constants!$B$17,$T79=INT($T79)),$T79,""),"")))</f>
        <v/>
      </c>
      <c r="AN79" s="125" t="str">
        <f aca="false">IF(ISBLANK($C79),"",IF(ISBLANK($U79),0,IF(ISNUMBER($U79),IF($U79&gt;=0,$U79,""),"")))</f>
        <v/>
      </c>
      <c r="AO79" s="124" t="str">
        <f aca="false">IF(ISBLANK($C79),"",IF($V79=Constants!$B$2,TRUE(),IF($V79=Constants!$B$3,FALSE(),FALSE())))</f>
        <v/>
      </c>
      <c r="AP79" s="124"/>
      <c r="AQ79" s="123" t="str">
        <f aca="false">IF(ISBLANK($C79),"",AND($Y79,OR($AS79,$BC79),OR($Z79="",$AA79="",$AB79="")))</f>
        <v/>
      </c>
      <c r="AR79" s="123" t="str">
        <f aca="false">IF(ISBLANK($C79),"",IF(OR(NOT($Y79),NOT(OR($AS79,$BC79))),"",IF(ISBLANK($D$7),$AR$5,IF($AP$9="",$AR$6,""))))</f>
        <v/>
      </c>
      <c r="AS79" s="123" t="str">
        <f aca="false">IF(ISBLANK($C79),"",COUNTA($J79:$O79)&gt;0)</f>
        <v/>
      </c>
      <c r="AT79" s="123" t="str">
        <f aca="false">IF(ISBLANK($C79),"",AND($AS79,OR(AND($AF79="",OR($AE79,NOT(ISBLANK($M79)))),$AG79="",$AH79="")))</f>
        <v/>
      </c>
      <c r="AU79" s="125" t="str">
        <f aca="false">IF($BL79&lt;&gt;Constants!$B$4,"",IF(NOT($AS79),"",ROUND((Constants!$B$12-$AB79)+(Constants!$B$13-$Z79)+(Constants!$B$14-$AA79),1)))</f>
        <v/>
      </c>
      <c r="AV79" s="127" t="str">
        <f aca="false">IF($BL79&lt;&gt;Constants!$B$4,"",IF(NOT($AS79),"",IF(NOT($AE79),0,Constants!$B$15*(INT(ROUND(MIN($AF79,$AP$9),6))-INT(ROUND(MAX(0,MIN($AF79,2*$AP$9)-$AP$9),6))))))</f>
        <v/>
      </c>
      <c r="AW79" s="127" t="str">
        <f aca="false">IF($BL79&lt;&gt;Constants!$B$4,"",IF(NOT($AS79),"",Constants!$B$16*$AG79))</f>
        <v/>
      </c>
      <c r="AX79" s="127" t="str">
        <f aca="false">IF($BL79&lt;&gt;Constants!$B$4,"",IF(NOT($AS79),"",Constants!$B$18*INT(ROUND($AH79,6))))</f>
        <v/>
      </c>
      <c r="AY79" s="123" t="str">
        <f aca="false">IF($BL79&lt;&gt;Constants!$B$4,"",IF(NOT($AS79),"",IF(NOT($X79),Constants!$B$11,IF(OR(NOT($AC79),NOT($AD79),ROUND($AB79,1)&gt;Constants!$B$12,ROUND($Z79,1)&gt;Constants!$B$13,ROUND($AA79,1)&gt;Constants!$B$14),Constants!$B$10,Constants!$B$9))))</f>
        <v/>
      </c>
      <c r="AZ79" s="128" t="str">
        <f aca="false">IF($BL79&lt;&gt;Constants!$B$4,"",IF(NOT($AS79),"",ROUND($AU79+$AV79+$AW79+$AX79,1)))</f>
        <v/>
      </c>
      <c r="BA79" s="129" t="str">
        <f aca="false">IF($BL79&lt;&gt;Constants!$B$4,"",IF(NOT($AS79),"",IF(ISNUMBER($AF79),$AF79,0)))</f>
        <v/>
      </c>
      <c r="BB79" s="124" t="str">
        <f aca="false">IF($BL79&lt;&gt;Constants!$B$4,"",IF(NOT($BC79),"&lt;-",IF(NOT($AS79),"-&gt;",IF(OR($BI79&lt;$AY79,AND($BI79=$AY79,OR($BJ79&gt;$AZ79,AND($BJ79=$AZ79,OR($BH79&gt;$AX79,AND($BH79=$AX79,OR($BE79&gt;$AU79,AND($BE79=$AU79,OR($BF79&gt;$AV79,AND($BF79=$AV79,$BK79&gt;$BA79)))))))))),"-&gt;","&lt;-"))))</f>
        <v/>
      </c>
      <c r="BC79" s="123" t="str">
        <f aca="false">IF(ISBLANK($C79),"",COUNTA($P79:$U79)&gt;0)</f>
        <v/>
      </c>
      <c r="BD79" s="123" t="str">
        <f aca="false">IF(ISBLANK($C79),"",AND($BC79,OR(AND($AL79="",OR($AK79,NOT(ISBLANK($S79)))),$AM79="",$AN79="")))</f>
        <v/>
      </c>
      <c r="BE79" s="125" t="str">
        <f aca="false">IF($BL79&lt;&gt;Constants!$B$4,"",IF(NOT($BC79),"",ROUND((Constants!$B$12-$AB79)+(Constants!$B$13-$Z79)+(Constants!$B$14-$AA79),1)))</f>
        <v/>
      </c>
      <c r="BF79" s="127" t="str">
        <f aca="false">IF($BL79&lt;&gt;Constants!$B$4,"",IF(NOT($BC79),"",IF(NOT($AK79),0,Constants!$B$15*(INT(ROUND(MIN($AL79,$AP$9),6))-INT(ROUND(MAX(0,MIN($AL79,2*$AP$9)-$AP$9),6))))))</f>
        <v/>
      </c>
      <c r="BG79" s="127" t="str">
        <f aca="false">IF($BL79&lt;&gt;Constants!$B$4,"",IF(NOT($BC79),"",Constants!$B$16*$AM79))</f>
        <v/>
      </c>
      <c r="BH79" s="127" t="str">
        <f aca="false">IF($BL79&lt;&gt;Constants!$B$4,"",IF(NOT($BC79),"",Constants!$B$18*INT(ROUND($AN79,6))))</f>
        <v/>
      </c>
      <c r="BI79" s="123" t="str">
        <f aca="false">IF($BL79&lt;&gt;Constants!$B$4,"",IF(NOT($BC79),"",IF(NOT($X79),Constants!$B$11,IF(OR(NOT($AI79),NOT($AJ79),ROUND($AB79,1)&gt;Constants!$B$12,ROUND($Z79,1)&gt;Constants!$B$13,ROUND($AA79,1)&gt;Constants!$B$14),Constants!$B$10,Constants!$B$9))))</f>
        <v/>
      </c>
      <c r="BJ79" s="128" t="str">
        <f aca="false">IF($BL79&lt;&gt;Constants!$B$4,"",IF(NOT($BC79),"",ROUND($BE79+$BF79+$BG79+$BH79,1)))</f>
        <v/>
      </c>
      <c r="BK79" s="129" t="str">
        <f aca="false">IF($BL79&lt;&gt;Constants!$B$4,"",IF(NOT($BC79),"",IF(ISNUMBER($AL79),$AL79,0)))</f>
        <v/>
      </c>
      <c r="BL79" s="124" t="str">
        <f aca="false">IF(ISBLANK($C79),"",IF($AO79,Constants!$B$7,IF(COUNTA($E79:$V79)=0,Constants!$B$6,IF(NOT($Y79),Constants!$B$5,IF(NOT(OR($AS79,$BC79)),Constants!$B$5,IF(OR($AT79,$BD79,$AQ79,$AR79&lt;&gt;""),Constants!$B$8,Constants!$B$4))))))</f>
        <v/>
      </c>
      <c r="BM79" s="124" t="str">
        <f aca="false">IF(ISBLANK($C79),"",IF($BL79&lt;&gt;Constants!$B$4,$BL79,IF($BB79="-&gt;",$BI79,$AY79)))</f>
        <v/>
      </c>
      <c r="BN79" s="127" t="str">
        <f aca="false">IF($BL79&lt;&gt;Constants!$B$4,"",IF($BB79="-&gt;",$BJ79,$AZ79))</f>
        <v/>
      </c>
      <c r="BO79" s="127" t="str">
        <f aca="false">IF(ISBLANK($C79),"",IF($BL79&lt;&gt;Constants!$B$4,$BL79,$BN79))</f>
        <v/>
      </c>
      <c r="BP79" s="124" t="str">
        <f aca="false">IF(ISBLANK($C79),"",IF($BL79&lt;&gt;Constants!$B$4,$BL79,RANK($BO79,$BO$9:$BO$508,0)))</f>
        <v/>
      </c>
      <c r="BQ79" s="124" t="str">
        <f aca="false">IF(ISBLANK($C79),"",IF($BL79&lt;&gt;Constants!$B$4,$BL79,COUNTIFS($BM$9:$BM$508,"&lt;"&amp;$BM79)+COUNTIFS($BM$9:$BM$508,$BM79,$BP$9:$BP$508,"&lt;"&amp;$BP79)+1))</f>
        <v/>
      </c>
      <c r="BR79" s="127" t="str">
        <f aca="false">IF($BL79&lt;&gt;Constants!$B$4,"",IF($BB79="-&gt;",$BH79,$AX79))</f>
        <v/>
      </c>
      <c r="BS79" s="124" t="str">
        <f aca="false">IF(ISBLANK($C79),"",IF($BL79&lt;&gt;Constants!$B$4,$BL79,IF(ISNUMBER($BR79),RANK($BR79,$BR$9:$BR$508,0),COUNT($BR$9:$BR$508)+1)))</f>
        <v/>
      </c>
      <c r="BT79" s="127" t="str">
        <f aca="false">IF($BL79&lt;&gt;Constants!$B$4,"",IF($BB79="-&gt;",$BE79,$AU79))</f>
        <v/>
      </c>
      <c r="BU79" s="124" t="str">
        <f aca="false">IF(ISBLANK($C79),"",IF($BL79&lt;&gt;Constants!$B$4,$BL79,IF(ISNUMBER($BT79),RANK($BT79,$BT$9:$BT$508,0),COUNT($BT$9:$BT$508)+1)))</f>
        <v/>
      </c>
      <c r="BV79" s="127" t="str">
        <f aca="false">IF($BL79&lt;&gt;Constants!$B$4,"",IF($BB79="-&gt;",$BF79,$AV79))</f>
        <v/>
      </c>
      <c r="BW79" s="124" t="str">
        <f aca="false">IF(ISBLANK($C79),"",IF($BL79&lt;&gt;Constants!$B$4,$BL79,IF(ISNUMBER($BV79),RANK($BV79,$BV$9:$BV$508,0),COUNT($BV$9:$BV$508)+1)))</f>
        <v/>
      </c>
      <c r="BX79" s="127" t="str">
        <f aca="false">IF($BL79&lt;&gt;Constants!$B$4,"",IF($BB79="-&gt;",$BK79,$BA79))</f>
        <v/>
      </c>
      <c r="BY79" s="124" t="str">
        <f aca="false">IF(ISBLANK($C79),"",IF($BL79&lt;&gt;Constants!$B$4,$BL79,IF(ISNUMBER($BX79),RANK($BX79,$BX$9:$BX$508,0),COUNT($BX$9:$BX$508)+1)))</f>
        <v/>
      </c>
      <c r="BZ79" s="124" t="str">
        <f aca="false">IF(ISBLANK($C79),"",IF($BL79&lt;&gt;Constants!$B$4,$BL79,COUNTIFS($BM$9:$BM$508,"&lt;"&amp;$BM79)+COUNTIFS($BM$9:$BM$508,$BM79,$BP$9:$BP$508,"&lt;"&amp;$BP79)+COUNTIFS($BM$9:$BM$508,$BM79,$BP$9:$BP$508,$BP79,$BS$9:$BS$508,"&lt;"&amp;$BS79)+COUNTIFS($BM$9:$BM$508,$BM79,$BP$9:$BP$508,$BP79,$BS$9:$BS$508,$BS79,$BU$9:$BU$508,"&lt;"&amp;$BU79)+COUNTIFS($BM$9:$BM$508,$BM79,$BP$9:$BP$508,$BP79,$BS$9:$BS$508,$BS79,$BU$9:$BU$508,$BU79,$BW$9:$BW$508,"&lt;"&amp;$BW79)+COUNTIFS($BM$9:$BM$508,$BM79,$BP$9:$BP$508,$BP79,$BS$9:$BS$508,$BS79,$BU$9:$BU$508,$BU79,$BW$9:$BW$508,$BW79,$BY$9:$BY$508,"&lt;"&amp;$BY79)+1))</f>
        <v/>
      </c>
      <c r="CA79" s="124" t="str">
        <f aca="false">IF(ISBLANK($C79),"",IF($BL79&lt;&gt;Constants!$B$4,$BL79,$BQ79-$BZ79))</f>
        <v/>
      </c>
      <c r="CB79" s="130"/>
      <c r="CC79" s="131" t="str">
        <f aca="false">IF(ISBLANK($C79),"",IF($BL79=Constants!$B$8,$AR79,""))</f>
        <v/>
      </c>
      <c r="CD79" s="131" t="str">
        <f aca="false">IF(ISBLANK($C79),"",IF($BL79&lt;&gt;Constants!$B$4,"",IF($BB79="-&gt;",2,1)))</f>
        <v/>
      </c>
      <c r="CE79" s="132" t="str">
        <f aca="false">IF(ISBLANK($C79),"",IF($BL79&lt;&gt;Constants!$B$4,"",IF($BB79="-&gt;",$BE79,$AU79)))</f>
        <v/>
      </c>
      <c r="CF79" s="132" t="str">
        <f aca="false">IF(ISBLANK($C79),"",IF($BL79&lt;&gt;Constants!$B$4,"",IF($BB79="-&gt;",$BF79,$AV79)))</f>
        <v/>
      </c>
      <c r="CG79" s="132" t="str">
        <f aca="false">IF(ISBLANK($C79),"",IF($BL79&lt;&gt;Constants!$B$4,"",IF($BB79="-&gt;",$BG79,$AW79)))</f>
        <v/>
      </c>
      <c r="CH79" s="132" t="str">
        <f aca="false">IF(ISBLANK($C79),"",IF($BL79&lt;&gt;Constants!$B$4,"",IF($BB79="-&gt;",$BH79,$AX79)))</f>
        <v/>
      </c>
      <c r="CI79" s="133" t="str">
        <f aca="false">IF(ISBLANK($C79),"",$BO79)</f>
        <v/>
      </c>
      <c r="CJ79" s="134" t="str">
        <f aca="false">IF(ISBLANK($C79),"",$BM79)</f>
        <v/>
      </c>
      <c r="CK79" s="135" t="str">
        <f aca="false">IF(ISBLANK($C79),"",$CA79)</f>
        <v/>
      </c>
      <c r="CL79" s="135" t="str">
        <f aca="false">IF(ISBLANK($C79),"",$BZ79)</f>
        <v/>
      </c>
      <c r="CM79" s="136" t="str">
        <f aca="false">IF(ISBLANK($C79),"",IF($CL79=Constants!$B$7,COUNTA($C$9:$C$508)+2,IF($CL79=Constants!$B$6,COUNTA($C$9:$C$508)+1,IF($CL79=Constants!$B$5,COUNTA($C$9:$C$508),$CL79))))</f>
        <v/>
      </c>
      <c r="CN79" s="8"/>
      <c r="CO79" s="137" t="n">
        <f aca="false">IF(OR(ISNUMBER($CL79),$CL79=Constants!$B$7,$CL79=Constants!$B$5,$CL79=Constants!$B$6),1,0)</f>
        <v>0</v>
      </c>
      <c r="CP79" s="137" t="n">
        <v>71</v>
      </c>
      <c r="CQ79" s="137" t="str">
        <f aca="false">IF(ISBLANK($C79),"",IF(ISNUMBER($CM79),$CM79+ROW($B79)/1000,""))</f>
        <v/>
      </c>
      <c r="CR79" s="137" t="str">
        <f aca="false">IF(ISNUMBER($CQ79),RANK($CQ79,$CQ$9:$CQ$508,1),"")</f>
        <v/>
      </c>
      <c r="CS79" s="137" t="str">
        <f aca="false">IF(ISBLANK($C79),"",$B79)</f>
        <v/>
      </c>
      <c r="CT79" s="137" t="str">
        <f aca="false">IF(ISBLANK($C79),"",$C79)</f>
        <v/>
      </c>
      <c r="CU79" s="137" t="str">
        <f aca="false">IF(ISBLANK($C79),"",$D79)</f>
        <v/>
      </c>
      <c r="CV79" s="138" t="str">
        <f aca="false">$CJ79</f>
        <v/>
      </c>
      <c r="CW79" s="139" t="str">
        <f aca="false">$CI79</f>
        <v/>
      </c>
      <c r="CX79" s="137" t="str">
        <f aca="false">IF(ISBLANK($C79),"",$CL79)</f>
        <v/>
      </c>
      <c r="CY79" s="140" t="str">
        <f aca="false">IF($CP79&gt;$CO$8,"",VLOOKUP($CP79,$CR$9:$CX$508,7,FALSE()))</f>
        <v/>
      </c>
      <c r="CZ79" s="141" t="str">
        <f aca="false">IF($CP79&gt;$CO$8,"",VLOOKUP($CP79,$CR$9:$CX$508,2,FALSE()))</f>
        <v/>
      </c>
      <c r="DA79" s="141" t="str">
        <f aca="false">IF($CP79&gt;$CO$8,"",VLOOKUP($CP79,$CR$9:$CX$508,3,FALSE()))</f>
        <v/>
      </c>
      <c r="DB79" s="141" t="str">
        <f aca="false">IF($CP79&gt;$CO$8,"",VLOOKUP($CP79,$CR$9:$CX$508,4,FALSE()))</f>
        <v/>
      </c>
      <c r="DC79" s="141" t="str">
        <f aca="false">IF($CP79&gt;$CO$8,"",VLOOKUP($CP79,$CR$9:$CX$508,5,FALSE()))</f>
        <v/>
      </c>
      <c r="DD79" s="142" t="str">
        <f aca="false">IF($CP79&gt;$CO$8,"",VLOOKUP($CP79,$CR$9:$CX$508,6,FALSE()))</f>
        <v/>
      </c>
      <c r="DE79" s="70"/>
    </row>
    <row r="80" customFormat="false" ht="15.75" hidden="false" customHeight="false" outlineLevel="0" collapsed="false">
      <c r="A80" s="8"/>
      <c r="B80" s="146"/>
      <c r="C80" s="147"/>
      <c r="D80" s="148"/>
      <c r="E80" s="164"/>
      <c r="F80" s="150"/>
      <c r="G80" s="115"/>
      <c r="H80" s="115"/>
      <c r="I80" s="115"/>
      <c r="J80" s="165"/>
      <c r="K80" s="154"/>
      <c r="L80" s="154"/>
      <c r="M80" s="118"/>
      <c r="N80" s="154"/>
      <c r="O80" s="153"/>
      <c r="P80" s="154"/>
      <c r="Q80" s="154"/>
      <c r="R80" s="154"/>
      <c r="S80" s="115"/>
      <c r="T80" s="154"/>
      <c r="U80" s="153"/>
      <c r="V80" s="154"/>
      <c r="W80" s="123"/>
      <c r="X80" s="124" t="str">
        <f aca="false">IF(ISBLANK($C80),"",IF($E80=Constants!$B$2,TRUE(),IF($E80=Constants!$B$3,FALSE(),TRUE())))</f>
        <v/>
      </c>
      <c r="Y80" s="124" t="str">
        <f aca="false">IF(ISBLANK($C80),"",IF($F80=Constants!$B$2,TRUE(),IF($F80=Constants!$B$3,FALSE(),TRUE())))</f>
        <v/>
      </c>
      <c r="Z80" s="125" t="str">
        <f aca="false">IF(ISBLANK($C80),"",IF(ISNUMBER($G80),IF($G80&gt;=0,$G80,""),""))</f>
        <v/>
      </c>
      <c r="AA80" s="125" t="str">
        <f aca="false">IF(ISBLANK($C80),"",IF(ISNUMBER($H80),IF($H80&gt;=0,$H80,""),""))</f>
        <v/>
      </c>
      <c r="AB80" s="125" t="str">
        <f aca="false">IF(ISBLANK($C80),"",IF(ISNUMBER($I80),IF($I80&gt;=0,$I80,""),""))</f>
        <v/>
      </c>
      <c r="AC80" s="124" t="str">
        <f aca="false">IF(ISBLANK($C80),"",IF($J80=Constants!$B$2,TRUE(),IF($J80=Constants!$B$3,FALSE(),TRUE())))</f>
        <v/>
      </c>
      <c r="AD80" s="124" t="str">
        <f aca="false">IF(ISBLANK($C80),"",IF($K80=Constants!$B$2,TRUE(),IF($K80=Constants!$B$3,FALSE(),TRUE())))</f>
        <v/>
      </c>
      <c r="AE80" s="124" t="str">
        <f aca="false">IF(ISBLANK($C80),"",IF($L80=Constants!$B$2,TRUE(),IF($L80=Constants!$B$3,FALSE(),TRUE())))</f>
        <v/>
      </c>
      <c r="AF80" s="126" t="str">
        <f aca="false">IF(ISBLANK($C80),"",IF(ISNUMBER($M80),IF($M80&gt;=0,$M80,""),""))</f>
        <v/>
      </c>
      <c r="AG80" s="124" t="str">
        <f aca="false">IF(ISBLANK($C80),"",IF(ISBLANK($N80),0,IF(ISNUMBER($N80),IF(AND($N80&gt;=0,$N80&lt;=Constants!$B$17,$N80=INT($N80)),$N80,""),"")))</f>
        <v/>
      </c>
      <c r="AH80" s="125" t="str">
        <f aca="false">IF(ISBLANK($C80),"",IF(ISBLANK($O80),0,IF(ISNUMBER($O80),IF($O80&gt;=0,$O80,""),"")))</f>
        <v/>
      </c>
      <c r="AI80" s="124" t="str">
        <f aca="false">IF(ISBLANK($C80),"",IF($P80=Constants!$B$2,TRUE(),IF($P80=Constants!$B$3,FALSE(),TRUE())))</f>
        <v/>
      </c>
      <c r="AJ80" s="124" t="str">
        <f aca="false">IF(ISBLANK($C80),"",IF($Q80=Constants!$B$2,TRUE(),IF($Q80=Constants!$B$3,FALSE(),TRUE())))</f>
        <v/>
      </c>
      <c r="AK80" s="124" t="str">
        <f aca="false">IF(ISBLANK($C80),"",IF($R80=Constants!$B$2,TRUE(),IF($R80=Constants!$B$3,FALSE(),TRUE())))</f>
        <v/>
      </c>
      <c r="AL80" s="126" t="str">
        <f aca="false">IF(ISBLANK($C80),"",IF(ISNUMBER($S80),IF($S80&gt;=0,$S80,""),""))</f>
        <v/>
      </c>
      <c r="AM80" s="124" t="str">
        <f aca="false">IF(ISBLANK($C80),"",IF(ISBLANK($T80),0,IF(ISNUMBER($T80),IF(AND($T80&gt;=0,$T80&lt;=Constants!$B$17,$T80=INT($T80)),$T80,""),"")))</f>
        <v/>
      </c>
      <c r="AN80" s="125" t="str">
        <f aca="false">IF(ISBLANK($C80),"",IF(ISBLANK($U80),0,IF(ISNUMBER($U80),IF($U80&gt;=0,$U80,""),"")))</f>
        <v/>
      </c>
      <c r="AO80" s="124" t="str">
        <f aca="false">IF(ISBLANK($C80),"",IF($V80=Constants!$B$2,TRUE(),IF($V80=Constants!$B$3,FALSE(),FALSE())))</f>
        <v/>
      </c>
      <c r="AP80" s="124"/>
      <c r="AQ80" s="123" t="str">
        <f aca="false">IF(ISBLANK($C80),"",AND($Y80,OR($AS80,$BC80),OR($Z80="",$AA80="",$AB80="")))</f>
        <v/>
      </c>
      <c r="AR80" s="123" t="str">
        <f aca="false">IF(ISBLANK($C80),"",IF(OR(NOT($Y80),NOT(OR($AS80,$BC80))),"",IF(ISBLANK($D$7),$AR$5,IF($AP$9="",$AR$6,""))))</f>
        <v/>
      </c>
      <c r="AS80" s="123" t="str">
        <f aca="false">IF(ISBLANK($C80),"",COUNTA($J80:$O80)&gt;0)</f>
        <v/>
      </c>
      <c r="AT80" s="123" t="str">
        <f aca="false">IF(ISBLANK($C80),"",AND($AS80,OR(AND($AF80="",OR($AE80,NOT(ISBLANK($M80)))),$AG80="",$AH80="")))</f>
        <v/>
      </c>
      <c r="AU80" s="125" t="str">
        <f aca="false">IF($BL80&lt;&gt;Constants!$B$4,"",IF(NOT($AS80),"",ROUND((Constants!$B$12-$AB80)+(Constants!$B$13-$Z80)+(Constants!$B$14-$AA80),1)))</f>
        <v/>
      </c>
      <c r="AV80" s="127" t="str">
        <f aca="false">IF($BL80&lt;&gt;Constants!$B$4,"",IF(NOT($AS80),"",IF(NOT($AE80),0,Constants!$B$15*(INT(ROUND(MIN($AF80,$AP$9),6))-INT(ROUND(MAX(0,MIN($AF80,2*$AP$9)-$AP$9),6))))))</f>
        <v/>
      </c>
      <c r="AW80" s="127" t="str">
        <f aca="false">IF($BL80&lt;&gt;Constants!$B$4,"",IF(NOT($AS80),"",Constants!$B$16*$AG80))</f>
        <v/>
      </c>
      <c r="AX80" s="127" t="str">
        <f aca="false">IF($BL80&lt;&gt;Constants!$B$4,"",IF(NOT($AS80),"",Constants!$B$18*INT(ROUND($AH80,6))))</f>
        <v/>
      </c>
      <c r="AY80" s="123" t="str">
        <f aca="false">IF($BL80&lt;&gt;Constants!$B$4,"",IF(NOT($AS80),"",IF(NOT($X80),Constants!$B$11,IF(OR(NOT($AC80),NOT($AD80),ROUND($AB80,1)&gt;Constants!$B$12,ROUND($Z80,1)&gt;Constants!$B$13,ROUND($AA80,1)&gt;Constants!$B$14),Constants!$B$10,Constants!$B$9))))</f>
        <v/>
      </c>
      <c r="AZ80" s="128" t="str">
        <f aca="false">IF($BL80&lt;&gt;Constants!$B$4,"",IF(NOT($AS80),"",ROUND($AU80+$AV80+$AW80+$AX80,1)))</f>
        <v/>
      </c>
      <c r="BA80" s="129" t="str">
        <f aca="false">IF($BL80&lt;&gt;Constants!$B$4,"",IF(NOT($AS80),"",IF(ISNUMBER($AF80),$AF80,0)))</f>
        <v/>
      </c>
      <c r="BB80" s="124" t="str">
        <f aca="false">IF($BL80&lt;&gt;Constants!$B$4,"",IF(NOT($BC80),"&lt;-",IF(NOT($AS80),"-&gt;",IF(OR($BI80&lt;$AY80,AND($BI80=$AY80,OR($BJ80&gt;$AZ80,AND($BJ80=$AZ80,OR($BH80&gt;$AX80,AND($BH80=$AX80,OR($BE80&gt;$AU80,AND($BE80=$AU80,OR($BF80&gt;$AV80,AND($BF80=$AV80,$BK80&gt;$BA80)))))))))),"-&gt;","&lt;-"))))</f>
        <v/>
      </c>
      <c r="BC80" s="123" t="str">
        <f aca="false">IF(ISBLANK($C80),"",COUNTA($P80:$U80)&gt;0)</f>
        <v/>
      </c>
      <c r="BD80" s="123" t="str">
        <f aca="false">IF(ISBLANK($C80),"",AND($BC80,OR(AND($AL80="",OR($AK80,NOT(ISBLANK($S80)))),$AM80="",$AN80="")))</f>
        <v/>
      </c>
      <c r="BE80" s="125" t="str">
        <f aca="false">IF($BL80&lt;&gt;Constants!$B$4,"",IF(NOT($BC80),"",ROUND((Constants!$B$12-$AB80)+(Constants!$B$13-$Z80)+(Constants!$B$14-$AA80),1)))</f>
        <v/>
      </c>
      <c r="BF80" s="127" t="str">
        <f aca="false">IF($BL80&lt;&gt;Constants!$B$4,"",IF(NOT($BC80),"",IF(NOT($AK80),0,Constants!$B$15*(INT(ROUND(MIN($AL80,$AP$9),6))-INT(ROUND(MAX(0,MIN($AL80,2*$AP$9)-$AP$9),6))))))</f>
        <v/>
      </c>
      <c r="BG80" s="127" t="str">
        <f aca="false">IF($BL80&lt;&gt;Constants!$B$4,"",IF(NOT($BC80),"",Constants!$B$16*$AM80))</f>
        <v/>
      </c>
      <c r="BH80" s="127" t="str">
        <f aca="false">IF($BL80&lt;&gt;Constants!$B$4,"",IF(NOT($BC80),"",Constants!$B$18*INT(ROUND($AN80,6))))</f>
        <v/>
      </c>
      <c r="BI80" s="123" t="str">
        <f aca="false">IF($BL80&lt;&gt;Constants!$B$4,"",IF(NOT($BC80),"",IF(NOT($X80),Constants!$B$11,IF(OR(NOT($AI80),NOT($AJ80),ROUND($AB80,1)&gt;Constants!$B$12,ROUND($Z80,1)&gt;Constants!$B$13,ROUND($AA80,1)&gt;Constants!$B$14),Constants!$B$10,Constants!$B$9))))</f>
        <v/>
      </c>
      <c r="BJ80" s="128" t="str">
        <f aca="false">IF($BL80&lt;&gt;Constants!$B$4,"",IF(NOT($BC80),"",ROUND($BE80+$BF80+$BG80+$BH80,1)))</f>
        <v/>
      </c>
      <c r="BK80" s="129" t="str">
        <f aca="false">IF($BL80&lt;&gt;Constants!$B$4,"",IF(NOT($BC80),"",IF(ISNUMBER($AL80),$AL80,0)))</f>
        <v/>
      </c>
      <c r="BL80" s="124" t="str">
        <f aca="false">IF(ISBLANK($C80),"",IF($AO80,Constants!$B$7,IF(COUNTA($E80:$V80)=0,Constants!$B$6,IF(NOT($Y80),Constants!$B$5,IF(NOT(OR($AS80,$BC80)),Constants!$B$5,IF(OR($AT80,$BD80,$AQ80,$AR80&lt;&gt;""),Constants!$B$8,Constants!$B$4))))))</f>
        <v/>
      </c>
      <c r="BM80" s="124" t="str">
        <f aca="false">IF(ISBLANK($C80),"",IF($BL80&lt;&gt;Constants!$B$4,$BL80,IF($BB80="-&gt;",$BI80,$AY80)))</f>
        <v/>
      </c>
      <c r="BN80" s="127" t="str">
        <f aca="false">IF($BL80&lt;&gt;Constants!$B$4,"",IF($BB80="-&gt;",$BJ80,$AZ80))</f>
        <v/>
      </c>
      <c r="BO80" s="127" t="str">
        <f aca="false">IF(ISBLANK($C80),"",IF($BL80&lt;&gt;Constants!$B$4,$BL80,$BN80))</f>
        <v/>
      </c>
      <c r="BP80" s="124" t="str">
        <f aca="false">IF(ISBLANK($C80),"",IF($BL80&lt;&gt;Constants!$B$4,$BL80,RANK($BO80,$BO$9:$BO$508,0)))</f>
        <v/>
      </c>
      <c r="BQ80" s="124" t="str">
        <f aca="false">IF(ISBLANK($C80),"",IF($BL80&lt;&gt;Constants!$B$4,$BL80,COUNTIFS($BM$9:$BM$508,"&lt;"&amp;$BM80)+COUNTIFS($BM$9:$BM$508,$BM80,$BP$9:$BP$508,"&lt;"&amp;$BP80)+1))</f>
        <v/>
      </c>
      <c r="BR80" s="127" t="str">
        <f aca="false">IF($BL80&lt;&gt;Constants!$B$4,"",IF($BB80="-&gt;",$BH80,$AX80))</f>
        <v/>
      </c>
      <c r="BS80" s="124" t="str">
        <f aca="false">IF(ISBLANK($C80),"",IF($BL80&lt;&gt;Constants!$B$4,$BL80,IF(ISNUMBER($BR80),RANK($BR80,$BR$9:$BR$508,0),COUNT($BR$9:$BR$508)+1)))</f>
        <v/>
      </c>
      <c r="BT80" s="127" t="str">
        <f aca="false">IF($BL80&lt;&gt;Constants!$B$4,"",IF($BB80="-&gt;",$BE80,$AU80))</f>
        <v/>
      </c>
      <c r="BU80" s="124" t="str">
        <f aca="false">IF(ISBLANK($C80),"",IF($BL80&lt;&gt;Constants!$B$4,$BL80,IF(ISNUMBER($BT80),RANK($BT80,$BT$9:$BT$508,0),COUNT($BT$9:$BT$508)+1)))</f>
        <v/>
      </c>
      <c r="BV80" s="127" t="str">
        <f aca="false">IF($BL80&lt;&gt;Constants!$B$4,"",IF($BB80="-&gt;",$BF80,$AV80))</f>
        <v/>
      </c>
      <c r="BW80" s="124" t="str">
        <f aca="false">IF(ISBLANK($C80),"",IF($BL80&lt;&gt;Constants!$B$4,$BL80,IF(ISNUMBER($BV80),RANK($BV80,$BV$9:$BV$508,0),COUNT($BV$9:$BV$508)+1)))</f>
        <v/>
      </c>
      <c r="BX80" s="127" t="str">
        <f aca="false">IF($BL80&lt;&gt;Constants!$B$4,"",IF($BB80="-&gt;",$BK80,$BA80))</f>
        <v/>
      </c>
      <c r="BY80" s="124" t="str">
        <f aca="false">IF(ISBLANK($C80),"",IF($BL80&lt;&gt;Constants!$B$4,$BL80,IF(ISNUMBER($BX80),RANK($BX80,$BX$9:$BX$508,0),COUNT($BX$9:$BX$508)+1)))</f>
        <v/>
      </c>
      <c r="BZ80" s="124" t="str">
        <f aca="false">IF(ISBLANK($C80),"",IF($BL80&lt;&gt;Constants!$B$4,$BL80,COUNTIFS($BM$9:$BM$508,"&lt;"&amp;$BM80)+COUNTIFS($BM$9:$BM$508,$BM80,$BP$9:$BP$508,"&lt;"&amp;$BP80)+COUNTIFS($BM$9:$BM$508,$BM80,$BP$9:$BP$508,$BP80,$BS$9:$BS$508,"&lt;"&amp;$BS80)+COUNTIFS($BM$9:$BM$508,$BM80,$BP$9:$BP$508,$BP80,$BS$9:$BS$508,$BS80,$BU$9:$BU$508,"&lt;"&amp;$BU80)+COUNTIFS($BM$9:$BM$508,$BM80,$BP$9:$BP$508,$BP80,$BS$9:$BS$508,$BS80,$BU$9:$BU$508,$BU80,$BW$9:$BW$508,"&lt;"&amp;$BW80)+COUNTIFS($BM$9:$BM$508,$BM80,$BP$9:$BP$508,$BP80,$BS$9:$BS$508,$BS80,$BU$9:$BU$508,$BU80,$BW$9:$BW$508,$BW80,$BY$9:$BY$508,"&lt;"&amp;$BY80)+1))</f>
        <v/>
      </c>
      <c r="CA80" s="124" t="str">
        <f aca="false">IF(ISBLANK($C80),"",IF($BL80&lt;&gt;Constants!$B$4,$BL80,$BQ80-$BZ80))</f>
        <v/>
      </c>
      <c r="CB80" s="130"/>
      <c r="CC80" s="131" t="str">
        <f aca="false">IF(ISBLANK($C80),"",IF($BL80=Constants!$B$8,$AR80,""))</f>
        <v/>
      </c>
      <c r="CD80" s="131" t="str">
        <f aca="false">IF(ISBLANK($C80),"",IF($BL80&lt;&gt;Constants!$B$4,"",IF($BB80="-&gt;",2,1)))</f>
        <v/>
      </c>
      <c r="CE80" s="132" t="str">
        <f aca="false">IF(ISBLANK($C80),"",IF($BL80&lt;&gt;Constants!$B$4,"",IF($BB80="-&gt;",$BE80,$AU80)))</f>
        <v/>
      </c>
      <c r="CF80" s="132" t="str">
        <f aca="false">IF(ISBLANK($C80),"",IF($BL80&lt;&gt;Constants!$B$4,"",IF($BB80="-&gt;",$BF80,$AV80)))</f>
        <v/>
      </c>
      <c r="CG80" s="132" t="str">
        <f aca="false">IF(ISBLANK($C80),"",IF($BL80&lt;&gt;Constants!$B$4,"",IF($BB80="-&gt;",$BG80,$AW80)))</f>
        <v/>
      </c>
      <c r="CH80" s="132" t="str">
        <f aca="false">IF(ISBLANK($C80),"",IF($BL80&lt;&gt;Constants!$B$4,"",IF($BB80="-&gt;",$BH80,$AX80)))</f>
        <v/>
      </c>
      <c r="CI80" s="133" t="str">
        <f aca="false">IF(ISBLANK($C80),"",$BO80)</f>
        <v/>
      </c>
      <c r="CJ80" s="134" t="str">
        <f aca="false">IF(ISBLANK($C80),"",$BM80)</f>
        <v/>
      </c>
      <c r="CK80" s="135" t="str">
        <f aca="false">IF(ISBLANK($C80),"",$CA80)</f>
        <v/>
      </c>
      <c r="CL80" s="135" t="str">
        <f aca="false">IF(ISBLANK($C80),"",$BZ80)</f>
        <v/>
      </c>
      <c r="CM80" s="136" t="str">
        <f aca="false">IF(ISBLANK($C80),"",IF($CL80=Constants!$B$7,COUNTA($C$9:$C$508)+2,IF($CL80=Constants!$B$6,COUNTA($C$9:$C$508)+1,IF($CL80=Constants!$B$5,COUNTA($C$9:$C$508),$CL80))))</f>
        <v/>
      </c>
      <c r="CN80" s="8"/>
      <c r="CO80" s="137" t="n">
        <f aca="false">IF(OR(ISNUMBER($CL80),$CL80=Constants!$B$7,$CL80=Constants!$B$5,$CL80=Constants!$B$6),1,0)</f>
        <v>0</v>
      </c>
      <c r="CP80" s="137" t="n">
        <v>72</v>
      </c>
      <c r="CQ80" s="137" t="str">
        <f aca="false">IF(ISBLANK($C80),"",IF(ISNUMBER($CM80),$CM80+ROW($B80)/1000,""))</f>
        <v/>
      </c>
      <c r="CR80" s="137" t="str">
        <f aca="false">IF(ISNUMBER($CQ80),RANK($CQ80,$CQ$9:$CQ$508,1),"")</f>
        <v/>
      </c>
      <c r="CS80" s="137" t="str">
        <f aca="false">IF(ISBLANK($C80),"",$B80)</f>
        <v/>
      </c>
      <c r="CT80" s="137" t="str">
        <f aca="false">IF(ISBLANK($C80),"",$C80)</f>
        <v/>
      </c>
      <c r="CU80" s="137" t="str">
        <f aca="false">IF(ISBLANK($C80),"",$D80)</f>
        <v/>
      </c>
      <c r="CV80" s="138" t="str">
        <f aca="false">$CJ80</f>
        <v/>
      </c>
      <c r="CW80" s="139" t="str">
        <f aca="false">$CI80</f>
        <v/>
      </c>
      <c r="CX80" s="137" t="str">
        <f aca="false">IF(ISBLANK($C80),"",$CL80)</f>
        <v/>
      </c>
      <c r="CY80" s="140" t="str">
        <f aca="false">IF($CP80&gt;$CO$8,"",VLOOKUP($CP80,$CR$9:$CX$508,7,FALSE()))</f>
        <v/>
      </c>
      <c r="CZ80" s="141" t="str">
        <f aca="false">IF($CP80&gt;$CO$8,"",VLOOKUP($CP80,$CR$9:$CX$508,2,FALSE()))</f>
        <v/>
      </c>
      <c r="DA80" s="141" t="str">
        <f aca="false">IF($CP80&gt;$CO$8,"",VLOOKUP($CP80,$CR$9:$CX$508,3,FALSE()))</f>
        <v/>
      </c>
      <c r="DB80" s="141" t="str">
        <f aca="false">IF($CP80&gt;$CO$8,"",VLOOKUP($CP80,$CR$9:$CX$508,4,FALSE()))</f>
        <v/>
      </c>
      <c r="DC80" s="141" t="str">
        <f aca="false">IF($CP80&gt;$CO$8,"",VLOOKUP($CP80,$CR$9:$CX$508,5,FALSE()))</f>
        <v/>
      </c>
      <c r="DD80" s="142" t="str">
        <f aca="false">IF($CP80&gt;$CO$8,"",VLOOKUP($CP80,$CR$9:$CX$508,6,FALSE()))</f>
        <v/>
      </c>
      <c r="DE80" s="70"/>
    </row>
    <row r="81" customFormat="false" ht="15.75" hidden="false" customHeight="false" outlineLevel="0" collapsed="false">
      <c r="A81" s="8"/>
      <c r="B81" s="72"/>
      <c r="C81" s="73"/>
      <c r="D81" s="155"/>
      <c r="E81" s="162"/>
      <c r="F81" s="157"/>
      <c r="G81" s="77"/>
      <c r="H81" s="77"/>
      <c r="I81" s="77"/>
      <c r="J81" s="163"/>
      <c r="K81" s="161"/>
      <c r="L81" s="161"/>
      <c r="M81" s="80"/>
      <c r="N81" s="161"/>
      <c r="O81" s="160"/>
      <c r="P81" s="161"/>
      <c r="Q81" s="161"/>
      <c r="R81" s="161"/>
      <c r="S81" s="77"/>
      <c r="T81" s="161"/>
      <c r="U81" s="160"/>
      <c r="V81" s="161"/>
      <c r="W81" s="85"/>
      <c r="X81" s="86" t="str">
        <f aca="false">IF(ISBLANK($C81),"",IF($E81=Constants!$B$2,TRUE(),IF($E81=Constants!$B$3,FALSE(),TRUE())))</f>
        <v/>
      </c>
      <c r="Y81" s="86" t="str">
        <f aca="false">IF(ISBLANK($C81),"",IF($F81=Constants!$B$2,TRUE(),IF($F81=Constants!$B$3,FALSE(),TRUE())))</f>
        <v/>
      </c>
      <c r="Z81" s="87" t="str">
        <f aca="false">IF(ISBLANK($C81),"",IF(ISNUMBER($G81),IF($G81&gt;=0,$G81,""),""))</f>
        <v/>
      </c>
      <c r="AA81" s="87" t="str">
        <f aca="false">IF(ISBLANK($C81),"",IF(ISNUMBER($H81),IF($H81&gt;=0,$H81,""),""))</f>
        <v/>
      </c>
      <c r="AB81" s="87" t="str">
        <f aca="false">IF(ISBLANK($C81),"",IF(ISNUMBER($I81),IF($I81&gt;=0,$I81,""),""))</f>
        <v/>
      </c>
      <c r="AC81" s="86" t="str">
        <f aca="false">IF(ISBLANK($C81),"",IF($J81=Constants!$B$2,TRUE(),IF($J81=Constants!$B$3,FALSE(),TRUE())))</f>
        <v/>
      </c>
      <c r="AD81" s="86" t="str">
        <f aca="false">IF(ISBLANK($C81),"",IF($K81=Constants!$B$2,TRUE(),IF($K81=Constants!$B$3,FALSE(),TRUE())))</f>
        <v/>
      </c>
      <c r="AE81" s="86" t="str">
        <f aca="false">IF(ISBLANK($C81),"",IF($L81=Constants!$B$2,TRUE(),IF($L81=Constants!$B$3,FALSE(),TRUE())))</f>
        <v/>
      </c>
      <c r="AF81" s="88" t="str">
        <f aca="false">IF(ISBLANK($C81),"",IF(ISNUMBER($M81),IF($M81&gt;=0,$M81,""),""))</f>
        <v/>
      </c>
      <c r="AG81" s="86" t="str">
        <f aca="false">IF(ISBLANK($C81),"",IF(ISBLANK($N81),0,IF(ISNUMBER($N81),IF(AND($N81&gt;=0,$N81&lt;=Constants!$B$17,$N81=INT($N81)),$N81,""),"")))</f>
        <v/>
      </c>
      <c r="AH81" s="87" t="str">
        <f aca="false">IF(ISBLANK($C81),"",IF(ISBLANK($O81),0,IF(ISNUMBER($O81),IF($O81&gt;=0,$O81,""),"")))</f>
        <v/>
      </c>
      <c r="AI81" s="86" t="str">
        <f aca="false">IF(ISBLANK($C81),"",IF($P81=Constants!$B$2,TRUE(),IF($P81=Constants!$B$3,FALSE(),TRUE())))</f>
        <v/>
      </c>
      <c r="AJ81" s="86" t="str">
        <f aca="false">IF(ISBLANK($C81),"",IF($Q81=Constants!$B$2,TRUE(),IF($Q81=Constants!$B$3,FALSE(),TRUE())))</f>
        <v/>
      </c>
      <c r="AK81" s="86" t="str">
        <f aca="false">IF(ISBLANK($C81),"",IF($R81=Constants!$B$2,TRUE(),IF($R81=Constants!$B$3,FALSE(),TRUE())))</f>
        <v/>
      </c>
      <c r="AL81" s="88" t="str">
        <f aca="false">IF(ISBLANK($C81),"",IF(ISNUMBER($S81),IF($S81&gt;=0,$S81,""),""))</f>
        <v/>
      </c>
      <c r="AM81" s="86" t="str">
        <f aca="false">IF(ISBLANK($C81),"",IF(ISBLANK($T81),0,IF(ISNUMBER($T81),IF(AND($T81&gt;=0,$T81&lt;=Constants!$B$17,$T81=INT($T81)),$T81,""),"")))</f>
        <v/>
      </c>
      <c r="AN81" s="87" t="str">
        <f aca="false">IF(ISBLANK($C81),"",IF(ISBLANK($U81),0,IF(ISNUMBER($U81),IF($U81&gt;=0,$U81,""),"")))</f>
        <v/>
      </c>
      <c r="AO81" s="86" t="str">
        <f aca="false">IF(ISBLANK($C81),"",IF($V81=Constants!$B$2,TRUE(),IF($V81=Constants!$B$3,FALSE(),FALSE())))</f>
        <v/>
      </c>
      <c r="AP81" s="86"/>
      <c r="AQ81" s="85" t="str">
        <f aca="false">IF(ISBLANK($C81),"",AND($Y81,OR($AS81,$BC81),OR($Z81="",$AA81="",$AB81="")))</f>
        <v/>
      </c>
      <c r="AR81" s="85" t="str">
        <f aca="false">IF(ISBLANK($C81),"",IF(OR(NOT($Y81),NOT(OR($AS81,$BC81))),"",IF(ISBLANK($D$7),$AR$5,IF($AP$9="",$AR$6,""))))</f>
        <v/>
      </c>
      <c r="AS81" s="85" t="str">
        <f aca="false">IF(ISBLANK($C81),"",COUNTA($J81:$O81)&gt;0)</f>
        <v/>
      </c>
      <c r="AT81" s="85" t="str">
        <f aca="false">IF(ISBLANK($C81),"",AND($AS81,OR(AND($AF81="",OR($AE81,NOT(ISBLANK($M81)))),$AG81="",$AH81="")))</f>
        <v/>
      </c>
      <c r="AU81" s="87" t="str">
        <f aca="false">IF($BL81&lt;&gt;Constants!$B$4,"",IF(NOT($AS81),"",ROUND((Constants!$B$12-$AB81)+(Constants!$B$13-$Z81)+(Constants!$B$14-$AA81),1)))</f>
        <v/>
      </c>
      <c r="AV81" s="90" t="str">
        <f aca="false">IF($BL81&lt;&gt;Constants!$B$4,"",IF(NOT($AS81),"",IF(NOT($AE81),0,Constants!$B$15*(INT(ROUND(MIN($AF81,$AP$9),6))-INT(ROUND(MAX(0,MIN($AF81,2*$AP$9)-$AP$9),6))))))</f>
        <v/>
      </c>
      <c r="AW81" s="90" t="str">
        <f aca="false">IF($BL81&lt;&gt;Constants!$B$4,"",IF(NOT($AS81),"",Constants!$B$16*$AG81))</f>
        <v/>
      </c>
      <c r="AX81" s="90" t="str">
        <f aca="false">IF($BL81&lt;&gt;Constants!$B$4,"",IF(NOT($AS81),"",Constants!$B$18*INT(ROUND($AH81,6))))</f>
        <v/>
      </c>
      <c r="AY81" s="85" t="str">
        <f aca="false">IF($BL81&lt;&gt;Constants!$B$4,"",IF(NOT($AS81),"",IF(NOT($X81),Constants!$B$11,IF(OR(NOT($AC81),NOT($AD81),ROUND($AB81,1)&gt;Constants!$B$12,ROUND($Z81,1)&gt;Constants!$B$13,ROUND($AA81,1)&gt;Constants!$B$14),Constants!$B$10,Constants!$B$9))))</f>
        <v/>
      </c>
      <c r="AZ81" s="91" t="str">
        <f aca="false">IF($BL81&lt;&gt;Constants!$B$4,"",IF(NOT($AS81),"",ROUND($AU81+$AV81+$AW81+$AX81,1)))</f>
        <v/>
      </c>
      <c r="BA81" s="92" t="str">
        <f aca="false">IF($BL81&lt;&gt;Constants!$B$4,"",IF(NOT($AS81),"",IF(ISNUMBER($AF81),$AF81,0)))</f>
        <v/>
      </c>
      <c r="BB81" s="86" t="str">
        <f aca="false">IF($BL81&lt;&gt;Constants!$B$4,"",IF(NOT($BC81),"&lt;-",IF(NOT($AS81),"-&gt;",IF(OR($BI81&lt;$AY81,AND($BI81=$AY81,OR($BJ81&gt;$AZ81,AND($BJ81=$AZ81,OR($BH81&gt;$AX81,AND($BH81=$AX81,OR($BE81&gt;$AU81,AND($BE81=$AU81,OR($BF81&gt;$AV81,AND($BF81=$AV81,$BK81&gt;$BA81)))))))))),"-&gt;","&lt;-"))))</f>
        <v/>
      </c>
      <c r="BC81" s="85" t="str">
        <f aca="false">IF(ISBLANK($C81),"",COUNTA($P81:$U81)&gt;0)</f>
        <v/>
      </c>
      <c r="BD81" s="85" t="str">
        <f aca="false">IF(ISBLANK($C81),"",AND($BC81,OR(AND($AL81="",OR($AK81,NOT(ISBLANK($S81)))),$AM81="",$AN81="")))</f>
        <v/>
      </c>
      <c r="BE81" s="87" t="str">
        <f aca="false">IF($BL81&lt;&gt;Constants!$B$4,"",IF(NOT($BC81),"",ROUND((Constants!$B$12-$AB81)+(Constants!$B$13-$Z81)+(Constants!$B$14-$AA81),1)))</f>
        <v/>
      </c>
      <c r="BF81" s="90" t="str">
        <f aca="false">IF($BL81&lt;&gt;Constants!$B$4,"",IF(NOT($BC81),"",IF(NOT($AK81),0,Constants!$B$15*(INT(ROUND(MIN($AL81,$AP$9),6))-INT(ROUND(MAX(0,MIN($AL81,2*$AP$9)-$AP$9),6))))))</f>
        <v/>
      </c>
      <c r="BG81" s="90" t="str">
        <f aca="false">IF($BL81&lt;&gt;Constants!$B$4,"",IF(NOT($BC81),"",Constants!$B$16*$AM81))</f>
        <v/>
      </c>
      <c r="BH81" s="90" t="str">
        <f aca="false">IF($BL81&lt;&gt;Constants!$B$4,"",IF(NOT($BC81),"",Constants!$B$18*INT(ROUND($AN81,6))))</f>
        <v/>
      </c>
      <c r="BI81" s="85" t="str">
        <f aca="false">IF($BL81&lt;&gt;Constants!$B$4,"",IF(NOT($BC81),"",IF(NOT($X81),Constants!$B$11,IF(OR(NOT($AI81),NOT($AJ81),ROUND($AB81,1)&gt;Constants!$B$12,ROUND($Z81,1)&gt;Constants!$B$13,ROUND($AA81,1)&gt;Constants!$B$14),Constants!$B$10,Constants!$B$9))))</f>
        <v/>
      </c>
      <c r="BJ81" s="91" t="str">
        <f aca="false">IF($BL81&lt;&gt;Constants!$B$4,"",IF(NOT($BC81),"",ROUND($BE81+$BF81+$BG81+$BH81,1)))</f>
        <v/>
      </c>
      <c r="BK81" s="92" t="str">
        <f aca="false">IF($BL81&lt;&gt;Constants!$B$4,"",IF(NOT($BC81),"",IF(ISNUMBER($AL81),$AL81,0)))</f>
        <v/>
      </c>
      <c r="BL81" s="86" t="str">
        <f aca="false">IF(ISBLANK($C81),"",IF($AO81,Constants!$B$7,IF(COUNTA($E81:$V81)=0,Constants!$B$6,IF(NOT($Y81),Constants!$B$5,IF(NOT(OR($AS81,$BC81)),Constants!$B$5,IF(OR($AT81,$BD81,$AQ81,$AR81&lt;&gt;""),Constants!$B$8,Constants!$B$4))))))</f>
        <v/>
      </c>
      <c r="BM81" s="86" t="str">
        <f aca="false">IF(ISBLANK($C81),"",IF($BL81&lt;&gt;Constants!$B$4,$BL81,IF($BB81="-&gt;",$BI81,$AY81)))</f>
        <v/>
      </c>
      <c r="BN81" s="90" t="str">
        <f aca="false">IF($BL81&lt;&gt;Constants!$B$4,"",IF($BB81="-&gt;",$BJ81,$AZ81))</f>
        <v/>
      </c>
      <c r="BO81" s="90" t="str">
        <f aca="false">IF(ISBLANK($C81),"",IF($BL81&lt;&gt;Constants!$B$4,$BL81,$BN81))</f>
        <v/>
      </c>
      <c r="BP81" s="86" t="str">
        <f aca="false">IF(ISBLANK($C81),"",IF($BL81&lt;&gt;Constants!$B$4,$BL81,RANK($BO81,$BO$9:$BO$508,0)))</f>
        <v/>
      </c>
      <c r="BQ81" s="86" t="str">
        <f aca="false">IF(ISBLANK($C81),"",IF($BL81&lt;&gt;Constants!$B$4,$BL81,COUNTIFS($BM$9:$BM$508,"&lt;"&amp;$BM81)+COUNTIFS($BM$9:$BM$508,$BM81,$BP$9:$BP$508,"&lt;"&amp;$BP81)+1))</f>
        <v/>
      </c>
      <c r="BR81" s="90" t="str">
        <f aca="false">IF($BL81&lt;&gt;Constants!$B$4,"",IF($BB81="-&gt;",$BH81,$AX81))</f>
        <v/>
      </c>
      <c r="BS81" s="86" t="str">
        <f aca="false">IF(ISBLANK($C81),"",IF($BL81&lt;&gt;Constants!$B$4,$BL81,IF(ISNUMBER($BR81),RANK($BR81,$BR$9:$BR$508,0),COUNT($BR$9:$BR$508)+1)))</f>
        <v/>
      </c>
      <c r="BT81" s="90" t="str">
        <f aca="false">IF($BL81&lt;&gt;Constants!$B$4,"",IF($BB81="-&gt;",$BE81,$AU81))</f>
        <v/>
      </c>
      <c r="BU81" s="86" t="str">
        <f aca="false">IF(ISBLANK($C81),"",IF($BL81&lt;&gt;Constants!$B$4,$BL81,IF(ISNUMBER($BT81),RANK($BT81,$BT$9:$BT$508,0),COUNT($BT$9:$BT$508)+1)))</f>
        <v/>
      </c>
      <c r="BV81" s="90" t="str">
        <f aca="false">IF($BL81&lt;&gt;Constants!$B$4,"",IF($BB81="-&gt;",$BF81,$AV81))</f>
        <v/>
      </c>
      <c r="BW81" s="86" t="str">
        <f aca="false">IF(ISBLANK($C81),"",IF($BL81&lt;&gt;Constants!$B$4,$BL81,IF(ISNUMBER($BV81),RANK($BV81,$BV$9:$BV$508,0),COUNT($BV$9:$BV$508)+1)))</f>
        <v/>
      </c>
      <c r="BX81" s="90" t="str">
        <f aca="false">IF($BL81&lt;&gt;Constants!$B$4,"",IF($BB81="-&gt;",$BK81,$BA81))</f>
        <v/>
      </c>
      <c r="BY81" s="86" t="str">
        <f aca="false">IF(ISBLANK($C81),"",IF($BL81&lt;&gt;Constants!$B$4,$BL81,IF(ISNUMBER($BX81),RANK($BX81,$BX$9:$BX$508,0),COUNT($BX$9:$BX$508)+1)))</f>
        <v/>
      </c>
      <c r="BZ81" s="86" t="str">
        <f aca="false">IF(ISBLANK($C81),"",IF($BL81&lt;&gt;Constants!$B$4,$BL81,COUNTIFS($BM$9:$BM$508,"&lt;"&amp;$BM81)+COUNTIFS($BM$9:$BM$508,$BM81,$BP$9:$BP$508,"&lt;"&amp;$BP81)+COUNTIFS($BM$9:$BM$508,$BM81,$BP$9:$BP$508,$BP81,$BS$9:$BS$508,"&lt;"&amp;$BS81)+COUNTIFS($BM$9:$BM$508,$BM81,$BP$9:$BP$508,$BP81,$BS$9:$BS$508,$BS81,$BU$9:$BU$508,"&lt;"&amp;$BU81)+COUNTIFS($BM$9:$BM$508,$BM81,$BP$9:$BP$508,$BP81,$BS$9:$BS$508,$BS81,$BU$9:$BU$508,$BU81,$BW$9:$BW$508,"&lt;"&amp;$BW81)+COUNTIFS($BM$9:$BM$508,$BM81,$BP$9:$BP$508,$BP81,$BS$9:$BS$508,$BS81,$BU$9:$BU$508,$BU81,$BW$9:$BW$508,$BW81,$BY$9:$BY$508,"&lt;"&amp;$BY81)+1))</f>
        <v/>
      </c>
      <c r="CA81" s="86" t="str">
        <f aca="false">IF(ISBLANK($C81),"",IF($BL81&lt;&gt;Constants!$B$4,$BL81,$BQ81-$BZ81))</f>
        <v/>
      </c>
      <c r="CB81" s="93"/>
      <c r="CC81" s="94" t="str">
        <f aca="false">IF(ISBLANK($C81),"",IF($BL81=Constants!$B$8,$AR81,""))</f>
        <v/>
      </c>
      <c r="CD81" s="94" t="str">
        <f aca="false">IF(ISBLANK($C81),"",IF($BL81&lt;&gt;Constants!$B$4,"",IF($BB81="-&gt;",2,1)))</f>
        <v/>
      </c>
      <c r="CE81" s="95" t="str">
        <f aca="false">IF(ISBLANK($C81),"",IF($BL81&lt;&gt;Constants!$B$4,"",IF($BB81="-&gt;",$BE81,$AU81)))</f>
        <v/>
      </c>
      <c r="CF81" s="95" t="str">
        <f aca="false">IF(ISBLANK($C81),"",IF($BL81&lt;&gt;Constants!$B$4,"",IF($BB81="-&gt;",$BF81,$AV81)))</f>
        <v/>
      </c>
      <c r="CG81" s="95" t="str">
        <f aca="false">IF(ISBLANK($C81),"",IF($BL81&lt;&gt;Constants!$B$4,"",IF($BB81="-&gt;",$BG81,$AW81)))</f>
        <v/>
      </c>
      <c r="CH81" s="95" t="str">
        <f aca="false">IF(ISBLANK($C81),"",IF($BL81&lt;&gt;Constants!$B$4,"",IF($BB81="-&gt;",$BH81,$AX81)))</f>
        <v/>
      </c>
      <c r="CI81" s="96" t="str">
        <f aca="false">IF(ISBLANK($C81),"",$BO81)</f>
        <v/>
      </c>
      <c r="CJ81" s="97" t="str">
        <f aca="false">IF(ISBLANK($C81),"",$BM81)</f>
        <v/>
      </c>
      <c r="CK81" s="98" t="str">
        <f aca="false">IF(ISBLANK($C81),"",$CA81)</f>
        <v/>
      </c>
      <c r="CL81" s="98" t="str">
        <f aca="false">IF(ISBLANK($C81),"",$BZ81)</f>
        <v/>
      </c>
      <c r="CM81" s="99" t="str">
        <f aca="false">IF(ISBLANK($C81),"",IF($CL81=Constants!$B$7,COUNTA($C$9:$C$508)+2,IF($CL81=Constants!$B$6,COUNTA($C$9:$C$508)+1,IF($CL81=Constants!$B$5,COUNTA($C$9:$C$508),$CL81))))</f>
        <v/>
      </c>
      <c r="CN81" s="8"/>
      <c r="CO81" s="100" t="n">
        <f aca="false">IF(OR(ISNUMBER($CL81),$CL81=Constants!$B$7,$CL81=Constants!$B$5,$CL81=Constants!$B$6),1,0)</f>
        <v>0</v>
      </c>
      <c r="CP81" s="100" t="n">
        <v>73</v>
      </c>
      <c r="CQ81" s="100" t="str">
        <f aca="false">IF(ISBLANK($C81),"",IF(ISNUMBER($CM81),$CM81+ROW($B81)/1000,""))</f>
        <v/>
      </c>
      <c r="CR81" s="100" t="str">
        <f aca="false">IF(ISNUMBER($CQ81),RANK($CQ81,$CQ$9:$CQ$508,1),"")</f>
        <v/>
      </c>
      <c r="CS81" s="100" t="str">
        <f aca="false">IF(ISBLANK($C81),"",$B81)</f>
        <v/>
      </c>
      <c r="CT81" s="100" t="str">
        <f aca="false">IF(ISBLANK($C81),"",$C81)</f>
        <v/>
      </c>
      <c r="CU81" s="100" t="str">
        <f aca="false">IF(ISBLANK($C81),"",$D81)</f>
        <v/>
      </c>
      <c r="CV81" s="101" t="str">
        <f aca="false">$CJ81</f>
        <v/>
      </c>
      <c r="CW81" s="102" t="str">
        <f aca="false">$CI81</f>
        <v/>
      </c>
      <c r="CX81" s="100" t="str">
        <f aca="false">IF(ISBLANK($C81),"",$CL81)</f>
        <v/>
      </c>
      <c r="CY81" s="103" t="str">
        <f aca="false">IF($CP81&gt;$CO$8,"",VLOOKUP($CP81,$CR$9:$CX$508,7,FALSE()))</f>
        <v/>
      </c>
      <c r="CZ81" s="104" t="str">
        <f aca="false">IF($CP81&gt;$CO$8,"",VLOOKUP($CP81,$CR$9:$CX$508,2,FALSE()))</f>
        <v/>
      </c>
      <c r="DA81" s="104" t="str">
        <f aca="false">IF($CP81&gt;$CO$8,"",VLOOKUP($CP81,$CR$9:$CX$508,3,FALSE()))</f>
        <v/>
      </c>
      <c r="DB81" s="104" t="str">
        <f aca="false">IF($CP81&gt;$CO$8,"",VLOOKUP($CP81,$CR$9:$CX$508,4,FALSE()))</f>
        <v/>
      </c>
      <c r="DC81" s="104" t="str">
        <f aca="false">IF($CP81&gt;$CO$8,"",VLOOKUP($CP81,$CR$9:$CX$508,5,FALSE()))</f>
        <v/>
      </c>
      <c r="DD81" s="105" t="str">
        <f aca="false">IF($CP81&gt;$CO$8,"",VLOOKUP($CP81,$CR$9:$CX$508,6,FALSE()))</f>
        <v/>
      </c>
      <c r="DE81" s="70"/>
    </row>
    <row r="82" customFormat="false" ht="15.75" hidden="false" customHeight="false" outlineLevel="0" collapsed="false">
      <c r="A82" s="8"/>
      <c r="B82" s="72"/>
      <c r="C82" s="73"/>
      <c r="D82" s="155"/>
      <c r="E82" s="162"/>
      <c r="F82" s="157"/>
      <c r="G82" s="77"/>
      <c r="H82" s="77"/>
      <c r="I82" s="77"/>
      <c r="J82" s="163"/>
      <c r="K82" s="161"/>
      <c r="L82" s="161"/>
      <c r="M82" s="80"/>
      <c r="N82" s="161"/>
      <c r="O82" s="160"/>
      <c r="P82" s="161"/>
      <c r="Q82" s="161"/>
      <c r="R82" s="161"/>
      <c r="S82" s="77"/>
      <c r="T82" s="161"/>
      <c r="U82" s="160"/>
      <c r="V82" s="161"/>
      <c r="W82" s="85"/>
      <c r="X82" s="86" t="str">
        <f aca="false">IF(ISBLANK($C82),"",IF($E82=Constants!$B$2,TRUE(),IF($E82=Constants!$B$3,FALSE(),TRUE())))</f>
        <v/>
      </c>
      <c r="Y82" s="86" t="str">
        <f aca="false">IF(ISBLANK($C82),"",IF($F82=Constants!$B$2,TRUE(),IF($F82=Constants!$B$3,FALSE(),TRUE())))</f>
        <v/>
      </c>
      <c r="Z82" s="87" t="str">
        <f aca="false">IF(ISBLANK($C82),"",IF(ISNUMBER($G82),IF($G82&gt;=0,$G82,""),""))</f>
        <v/>
      </c>
      <c r="AA82" s="87" t="str">
        <f aca="false">IF(ISBLANK($C82),"",IF(ISNUMBER($H82),IF($H82&gt;=0,$H82,""),""))</f>
        <v/>
      </c>
      <c r="AB82" s="87" t="str">
        <f aca="false">IF(ISBLANK($C82),"",IF(ISNUMBER($I82),IF($I82&gt;=0,$I82,""),""))</f>
        <v/>
      </c>
      <c r="AC82" s="86" t="str">
        <f aca="false">IF(ISBLANK($C82),"",IF($J82=Constants!$B$2,TRUE(),IF($J82=Constants!$B$3,FALSE(),TRUE())))</f>
        <v/>
      </c>
      <c r="AD82" s="86" t="str">
        <f aca="false">IF(ISBLANK($C82),"",IF($K82=Constants!$B$2,TRUE(),IF($K82=Constants!$B$3,FALSE(),TRUE())))</f>
        <v/>
      </c>
      <c r="AE82" s="86" t="str">
        <f aca="false">IF(ISBLANK($C82),"",IF($L82=Constants!$B$2,TRUE(),IF($L82=Constants!$B$3,FALSE(),TRUE())))</f>
        <v/>
      </c>
      <c r="AF82" s="88" t="str">
        <f aca="false">IF(ISBLANK($C82),"",IF(ISNUMBER($M82),IF($M82&gt;=0,$M82,""),""))</f>
        <v/>
      </c>
      <c r="AG82" s="86" t="str">
        <f aca="false">IF(ISBLANK($C82),"",IF(ISBLANK($N82),0,IF(ISNUMBER($N82),IF(AND($N82&gt;=0,$N82&lt;=Constants!$B$17,$N82=INT($N82)),$N82,""),"")))</f>
        <v/>
      </c>
      <c r="AH82" s="87" t="str">
        <f aca="false">IF(ISBLANK($C82),"",IF(ISBLANK($O82),0,IF(ISNUMBER($O82),IF($O82&gt;=0,$O82,""),"")))</f>
        <v/>
      </c>
      <c r="AI82" s="86" t="str">
        <f aca="false">IF(ISBLANK($C82),"",IF($P82=Constants!$B$2,TRUE(),IF($P82=Constants!$B$3,FALSE(),TRUE())))</f>
        <v/>
      </c>
      <c r="AJ82" s="86" t="str">
        <f aca="false">IF(ISBLANK($C82),"",IF($Q82=Constants!$B$2,TRUE(),IF($Q82=Constants!$B$3,FALSE(),TRUE())))</f>
        <v/>
      </c>
      <c r="AK82" s="86" t="str">
        <f aca="false">IF(ISBLANK($C82),"",IF($R82=Constants!$B$2,TRUE(),IF($R82=Constants!$B$3,FALSE(),TRUE())))</f>
        <v/>
      </c>
      <c r="AL82" s="88" t="str">
        <f aca="false">IF(ISBLANK($C82),"",IF(ISNUMBER($S82),IF($S82&gt;=0,$S82,""),""))</f>
        <v/>
      </c>
      <c r="AM82" s="86" t="str">
        <f aca="false">IF(ISBLANK($C82),"",IF(ISBLANK($T82),0,IF(ISNUMBER($T82),IF(AND($T82&gt;=0,$T82&lt;=Constants!$B$17,$T82=INT($T82)),$T82,""),"")))</f>
        <v/>
      </c>
      <c r="AN82" s="87" t="str">
        <f aca="false">IF(ISBLANK($C82),"",IF(ISBLANK($U82),0,IF(ISNUMBER($U82),IF($U82&gt;=0,$U82,""),"")))</f>
        <v/>
      </c>
      <c r="AO82" s="86" t="str">
        <f aca="false">IF(ISBLANK($C82),"",IF($V82=Constants!$B$2,TRUE(),IF($V82=Constants!$B$3,FALSE(),FALSE())))</f>
        <v/>
      </c>
      <c r="AP82" s="86"/>
      <c r="AQ82" s="85" t="str">
        <f aca="false">IF(ISBLANK($C82),"",AND($Y82,OR($AS82,$BC82),OR($Z82="",$AA82="",$AB82="")))</f>
        <v/>
      </c>
      <c r="AR82" s="85" t="str">
        <f aca="false">IF(ISBLANK($C82),"",IF(OR(NOT($Y82),NOT(OR($AS82,$BC82))),"",IF(ISBLANK($D$7),$AR$5,IF($AP$9="",$AR$6,""))))</f>
        <v/>
      </c>
      <c r="AS82" s="85" t="str">
        <f aca="false">IF(ISBLANK($C82),"",COUNTA($J82:$O82)&gt;0)</f>
        <v/>
      </c>
      <c r="AT82" s="85" t="str">
        <f aca="false">IF(ISBLANK($C82),"",AND($AS82,OR(AND($AF82="",OR($AE82,NOT(ISBLANK($M82)))),$AG82="",$AH82="")))</f>
        <v/>
      </c>
      <c r="AU82" s="87" t="str">
        <f aca="false">IF($BL82&lt;&gt;Constants!$B$4,"",IF(NOT($AS82),"",ROUND((Constants!$B$12-$AB82)+(Constants!$B$13-$Z82)+(Constants!$B$14-$AA82),1)))</f>
        <v/>
      </c>
      <c r="AV82" s="90" t="str">
        <f aca="false">IF($BL82&lt;&gt;Constants!$B$4,"",IF(NOT($AS82),"",IF(NOT($AE82),0,Constants!$B$15*(INT(ROUND(MIN($AF82,$AP$9),6))-INT(ROUND(MAX(0,MIN($AF82,2*$AP$9)-$AP$9),6))))))</f>
        <v/>
      </c>
      <c r="AW82" s="90" t="str">
        <f aca="false">IF($BL82&lt;&gt;Constants!$B$4,"",IF(NOT($AS82),"",Constants!$B$16*$AG82))</f>
        <v/>
      </c>
      <c r="AX82" s="90" t="str">
        <f aca="false">IF($BL82&lt;&gt;Constants!$B$4,"",IF(NOT($AS82),"",Constants!$B$18*INT(ROUND($AH82,6))))</f>
        <v/>
      </c>
      <c r="AY82" s="85" t="str">
        <f aca="false">IF($BL82&lt;&gt;Constants!$B$4,"",IF(NOT($AS82),"",IF(NOT($X82),Constants!$B$11,IF(OR(NOT($AC82),NOT($AD82),ROUND($AB82,1)&gt;Constants!$B$12,ROUND($Z82,1)&gt;Constants!$B$13,ROUND($AA82,1)&gt;Constants!$B$14),Constants!$B$10,Constants!$B$9))))</f>
        <v/>
      </c>
      <c r="AZ82" s="91" t="str">
        <f aca="false">IF($BL82&lt;&gt;Constants!$B$4,"",IF(NOT($AS82),"",ROUND($AU82+$AV82+$AW82+$AX82,1)))</f>
        <v/>
      </c>
      <c r="BA82" s="92" t="str">
        <f aca="false">IF($BL82&lt;&gt;Constants!$B$4,"",IF(NOT($AS82),"",IF(ISNUMBER($AF82),$AF82,0)))</f>
        <v/>
      </c>
      <c r="BB82" s="86" t="str">
        <f aca="false">IF($BL82&lt;&gt;Constants!$B$4,"",IF(NOT($BC82),"&lt;-",IF(NOT($AS82),"-&gt;",IF(OR($BI82&lt;$AY82,AND($BI82=$AY82,OR($BJ82&gt;$AZ82,AND($BJ82=$AZ82,OR($BH82&gt;$AX82,AND($BH82=$AX82,OR($BE82&gt;$AU82,AND($BE82=$AU82,OR($BF82&gt;$AV82,AND($BF82=$AV82,$BK82&gt;$BA82)))))))))),"-&gt;","&lt;-"))))</f>
        <v/>
      </c>
      <c r="BC82" s="85" t="str">
        <f aca="false">IF(ISBLANK($C82),"",COUNTA($P82:$U82)&gt;0)</f>
        <v/>
      </c>
      <c r="BD82" s="85" t="str">
        <f aca="false">IF(ISBLANK($C82),"",AND($BC82,OR(AND($AL82="",OR($AK82,NOT(ISBLANK($S82)))),$AM82="",$AN82="")))</f>
        <v/>
      </c>
      <c r="BE82" s="87" t="str">
        <f aca="false">IF($BL82&lt;&gt;Constants!$B$4,"",IF(NOT($BC82),"",ROUND((Constants!$B$12-$AB82)+(Constants!$B$13-$Z82)+(Constants!$B$14-$AA82),1)))</f>
        <v/>
      </c>
      <c r="BF82" s="90" t="str">
        <f aca="false">IF($BL82&lt;&gt;Constants!$B$4,"",IF(NOT($BC82),"",IF(NOT($AK82),0,Constants!$B$15*(INT(ROUND(MIN($AL82,$AP$9),6))-INT(ROUND(MAX(0,MIN($AL82,2*$AP$9)-$AP$9),6))))))</f>
        <v/>
      </c>
      <c r="BG82" s="90" t="str">
        <f aca="false">IF($BL82&lt;&gt;Constants!$B$4,"",IF(NOT($BC82),"",Constants!$B$16*$AM82))</f>
        <v/>
      </c>
      <c r="BH82" s="90" t="str">
        <f aca="false">IF($BL82&lt;&gt;Constants!$B$4,"",IF(NOT($BC82),"",Constants!$B$18*INT(ROUND($AN82,6))))</f>
        <v/>
      </c>
      <c r="BI82" s="85" t="str">
        <f aca="false">IF($BL82&lt;&gt;Constants!$B$4,"",IF(NOT($BC82),"",IF(NOT($X82),Constants!$B$11,IF(OR(NOT($AI82),NOT($AJ82),ROUND($AB82,1)&gt;Constants!$B$12,ROUND($Z82,1)&gt;Constants!$B$13,ROUND($AA82,1)&gt;Constants!$B$14),Constants!$B$10,Constants!$B$9))))</f>
        <v/>
      </c>
      <c r="BJ82" s="91" t="str">
        <f aca="false">IF($BL82&lt;&gt;Constants!$B$4,"",IF(NOT($BC82),"",ROUND($BE82+$BF82+$BG82+$BH82,1)))</f>
        <v/>
      </c>
      <c r="BK82" s="92" t="str">
        <f aca="false">IF($BL82&lt;&gt;Constants!$B$4,"",IF(NOT($BC82),"",IF(ISNUMBER($AL82),$AL82,0)))</f>
        <v/>
      </c>
      <c r="BL82" s="86" t="str">
        <f aca="false">IF(ISBLANK($C82),"",IF($AO82,Constants!$B$7,IF(COUNTA($E82:$V82)=0,Constants!$B$6,IF(NOT($Y82),Constants!$B$5,IF(NOT(OR($AS82,$BC82)),Constants!$B$5,IF(OR($AT82,$BD82,$AQ82,$AR82&lt;&gt;""),Constants!$B$8,Constants!$B$4))))))</f>
        <v/>
      </c>
      <c r="BM82" s="86" t="str">
        <f aca="false">IF(ISBLANK($C82),"",IF($BL82&lt;&gt;Constants!$B$4,$BL82,IF($BB82="-&gt;",$BI82,$AY82)))</f>
        <v/>
      </c>
      <c r="BN82" s="90" t="str">
        <f aca="false">IF($BL82&lt;&gt;Constants!$B$4,"",IF($BB82="-&gt;",$BJ82,$AZ82))</f>
        <v/>
      </c>
      <c r="BO82" s="90" t="str">
        <f aca="false">IF(ISBLANK($C82),"",IF($BL82&lt;&gt;Constants!$B$4,$BL82,$BN82))</f>
        <v/>
      </c>
      <c r="BP82" s="86" t="str">
        <f aca="false">IF(ISBLANK($C82),"",IF($BL82&lt;&gt;Constants!$B$4,$BL82,RANK($BO82,$BO$9:$BO$508,0)))</f>
        <v/>
      </c>
      <c r="BQ82" s="86" t="str">
        <f aca="false">IF(ISBLANK($C82),"",IF($BL82&lt;&gt;Constants!$B$4,$BL82,COUNTIFS($BM$9:$BM$508,"&lt;"&amp;$BM82)+COUNTIFS($BM$9:$BM$508,$BM82,$BP$9:$BP$508,"&lt;"&amp;$BP82)+1))</f>
        <v/>
      </c>
      <c r="BR82" s="90" t="str">
        <f aca="false">IF($BL82&lt;&gt;Constants!$B$4,"",IF($BB82="-&gt;",$BH82,$AX82))</f>
        <v/>
      </c>
      <c r="BS82" s="86" t="str">
        <f aca="false">IF(ISBLANK($C82),"",IF($BL82&lt;&gt;Constants!$B$4,$BL82,IF(ISNUMBER($BR82),RANK($BR82,$BR$9:$BR$508,0),COUNT($BR$9:$BR$508)+1)))</f>
        <v/>
      </c>
      <c r="BT82" s="90" t="str">
        <f aca="false">IF($BL82&lt;&gt;Constants!$B$4,"",IF($BB82="-&gt;",$BE82,$AU82))</f>
        <v/>
      </c>
      <c r="BU82" s="86" t="str">
        <f aca="false">IF(ISBLANK($C82),"",IF($BL82&lt;&gt;Constants!$B$4,$BL82,IF(ISNUMBER($BT82),RANK($BT82,$BT$9:$BT$508,0),COUNT($BT$9:$BT$508)+1)))</f>
        <v/>
      </c>
      <c r="BV82" s="90" t="str">
        <f aca="false">IF($BL82&lt;&gt;Constants!$B$4,"",IF($BB82="-&gt;",$BF82,$AV82))</f>
        <v/>
      </c>
      <c r="BW82" s="86" t="str">
        <f aca="false">IF(ISBLANK($C82),"",IF($BL82&lt;&gt;Constants!$B$4,$BL82,IF(ISNUMBER($BV82),RANK($BV82,$BV$9:$BV$508,0),COUNT($BV$9:$BV$508)+1)))</f>
        <v/>
      </c>
      <c r="BX82" s="90" t="str">
        <f aca="false">IF($BL82&lt;&gt;Constants!$B$4,"",IF($BB82="-&gt;",$BK82,$BA82))</f>
        <v/>
      </c>
      <c r="BY82" s="86" t="str">
        <f aca="false">IF(ISBLANK($C82),"",IF($BL82&lt;&gt;Constants!$B$4,$BL82,IF(ISNUMBER($BX82),RANK($BX82,$BX$9:$BX$508,0),COUNT($BX$9:$BX$508)+1)))</f>
        <v/>
      </c>
      <c r="BZ82" s="86" t="str">
        <f aca="false">IF(ISBLANK($C82),"",IF($BL82&lt;&gt;Constants!$B$4,$BL82,COUNTIFS($BM$9:$BM$508,"&lt;"&amp;$BM82)+COUNTIFS($BM$9:$BM$508,$BM82,$BP$9:$BP$508,"&lt;"&amp;$BP82)+COUNTIFS($BM$9:$BM$508,$BM82,$BP$9:$BP$508,$BP82,$BS$9:$BS$508,"&lt;"&amp;$BS82)+COUNTIFS($BM$9:$BM$508,$BM82,$BP$9:$BP$508,$BP82,$BS$9:$BS$508,$BS82,$BU$9:$BU$508,"&lt;"&amp;$BU82)+COUNTIFS($BM$9:$BM$508,$BM82,$BP$9:$BP$508,$BP82,$BS$9:$BS$508,$BS82,$BU$9:$BU$508,$BU82,$BW$9:$BW$508,"&lt;"&amp;$BW82)+COUNTIFS($BM$9:$BM$508,$BM82,$BP$9:$BP$508,$BP82,$BS$9:$BS$508,$BS82,$BU$9:$BU$508,$BU82,$BW$9:$BW$508,$BW82,$BY$9:$BY$508,"&lt;"&amp;$BY82)+1))</f>
        <v/>
      </c>
      <c r="CA82" s="86" t="str">
        <f aca="false">IF(ISBLANK($C82),"",IF($BL82&lt;&gt;Constants!$B$4,$BL82,$BQ82-$BZ82))</f>
        <v/>
      </c>
      <c r="CB82" s="93"/>
      <c r="CC82" s="94" t="str">
        <f aca="false">IF(ISBLANK($C82),"",IF($BL82=Constants!$B$8,$AR82,""))</f>
        <v/>
      </c>
      <c r="CD82" s="94" t="str">
        <f aca="false">IF(ISBLANK($C82),"",IF($BL82&lt;&gt;Constants!$B$4,"",IF($BB82="-&gt;",2,1)))</f>
        <v/>
      </c>
      <c r="CE82" s="95" t="str">
        <f aca="false">IF(ISBLANK($C82),"",IF($BL82&lt;&gt;Constants!$B$4,"",IF($BB82="-&gt;",$BE82,$AU82)))</f>
        <v/>
      </c>
      <c r="CF82" s="95" t="str">
        <f aca="false">IF(ISBLANK($C82),"",IF($BL82&lt;&gt;Constants!$B$4,"",IF($BB82="-&gt;",$BF82,$AV82)))</f>
        <v/>
      </c>
      <c r="CG82" s="95" t="str">
        <f aca="false">IF(ISBLANK($C82),"",IF($BL82&lt;&gt;Constants!$B$4,"",IF($BB82="-&gt;",$BG82,$AW82)))</f>
        <v/>
      </c>
      <c r="CH82" s="95" t="str">
        <f aca="false">IF(ISBLANK($C82),"",IF($BL82&lt;&gt;Constants!$B$4,"",IF($BB82="-&gt;",$BH82,$AX82)))</f>
        <v/>
      </c>
      <c r="CI82" s="96" t="str">
        <f aca="false">IF(ISBLANK($C82),"",$BO82)</f>
        <v/>
      </c>
      <c r="CJ82" s="97" t="str">
        <f aca="false">IF(ISBLANK($C82),"",$BM82)</f>
        <v/>
      </c>
      <c r="CK82" s="98" t="str">
        <f aca="false">IF(ISBLANK($C82),"",$CA82)</f>
        <v/>
      </c>
      <c r="CL82" s="98" t="str">
        <f aca="false">IF(ISBLANK($C82),"",$BZ82)</f>
        <v/>
      </c>
      <c r="CM82" s="99" t="str">
        <f aca="false">IF(ISBLANK($C82),"",IF($CL82=Constants!$B$7,COUNTA($C$9:$C$508)+2,IF($CL82=Constants!$B$6,COUNTA($C$9:$C$508)+1,IF($CL82=Constants!$B$5,COUNTA($C$9:$C$508),$CL82))))</f>
        <v/>
      </c>
      <c r="CN82" s="8"/>
      <c r="CO82" s="100" t="n">
        <f aca="false">IF(OR(ISNUMBER($CL82),$CL82=Constants!$B$7,$CL82=Constants!$B$5,$CL82=Constants!$B$6),1,0)</f>
        <v>0</v>
      </c>
      <c r="CP82" s="100" t="n">
        <v>74</v>
      </c>
      <c r="CQ82" s="100" t="str">
        <f aca="false">IF(ISBLANK($C82),"",IF(ISNUMBER($CM82),$CM82+ROW($B82)/1000,""))</f>
        <v/>
      </c>
      <c r="CR82" s="100" t="str">
        <f aca="false">IF(ISNUMBER($CQ82),RANK($CQ82,$CQ$9:$CQ$508,1),"")</f>
        <v/>
      </c>
      <c r="CS82" s="100" t="str">
        <f aca="false">IF(ISBLANK($C82),"",$B82)</f>
        <v/>
      </c>
      <c r="CT82" s="100" t="str">
        <f aca="false">IF(ISBLANK($C82),"",$C82)</f>
        <v/>
      </c>
      <c r="CU82" s="100" t="str">
        <f aca="false">IF(ISBLANK($C82),"",$D82)</f>
        <v/>
      </c>
      <c r="CV82" s="101" t="str">
        <f aca="false">$CJ82</f>
        <v/>
      </c>
      <c r="CW82" s="102" t="str">
        <f aca="false">$CI82</f>
        <v/>
      </c>
      <c r="CX82" s="100" t="str">
        <f aca="false">IF(ISBLANK($C82),"",$CL82)</f>
        <v/>
      </c>
      <c r="CY82" s="103" t="str">
        <f aca="false">IF($CP82&gt;$CO$8,"",VLOOKUP($CP82,$CR$9:$CX$508,7,FALSE()))</f>
        <v/>
      </c>
      <c r="CZ82" s="104" t="str">
        <f aca="false">IF($CP82&gt;$CO$8,"",VLOOKUP($CP82,$CR$9:$CX$508,2,FALSE()))</f>
        <v/>
      </c>
      <c r="DA82" s="104" t="str">
        <f aca="false">IF($CP82&gt;$CO$8,"",VLOOKUP($CP82,$CR$9:$CX$508,3,FALSE()))</f>
        <v/>
      </c>
      <c r="DB82" s="104" t="str">
        <f aca="false">IF($CP82&gt;$CO$8,"",VLOOKUP($CP82,$CR$9:$CX$508,4,FALSE()))</f>
        <v/>
      </c>
      <c r="DC82" s="104" t="str">
        <f aca="false">IF($CP82&gt;$CO$8,"",VLOOKUP($CP82,$CR$9:$CX$508,5,FALSE()))</f>
        <v/>
      </c>
      <c r="DD82" s="105" t="str">
        <f aca="false">IF($CP82&gt;$CO$8,"",VLOOKUP($CP82,$CR$9:$CX$508,6,FALSE()))</f>
        <v/>
      </c>
      <c r="DE82" s="70"/>
    </row>
    <row r="83" customFormat="false" ht="15.75" hidden="false" customHeight="false" outlineLevel="0" collapsed="false">
      <c r="A83" s="8"/>
      <c r="B83" s="72"/>
      <c r="C83" s="73"/>
      <c r="D83" s="155"/>
      <c r="E83" s="162"/>
      <c r="F83" s="157"/>
      <c r="G83" s="77"/>
      <c r="H83" s="77"/>
      <c r="I83" s="77"/>
      <c r="J83" s="163"/>
      <c r="K83" s="161"/>
      <c r="L83" s="161"/>
      <c r="M83" s="80"/>
      <c r="N83" s="161"/>
      <c r="O83" s="160"/>
      <c r="P83" s="161"/>
      <c r="Q83" s="161"/>
      <c r="R83" s="161"/>
      <c r="S83" s="77"/>
      <c r="T83" s="161"/>
      <c r="U83" s="160"/>
      <c r="V83" s="161"/>
      <c r="W83" s="85"/>
      <c r="X83" s="86" t="str">
        <f aca="false">IF(ISBLANK($C83),"",IF($E83=Constants!$B$2,TRUE(),IF($E83=Constants!$B$3,FALSE(),TRUE())))</f>
        <v/>
      </c>
      <c r="Y83" s="86" t="str">
        <f aca="false">IF(ISBLANK($C83),"",IF($F83=Constants!$B$2,TRUE(),IF($F83=Constants!$B$3,FALSE(),TRUE())))</f>
        <v/>
      </c>
      <c r="Z83" s="87" t="str">
        <f aca="false">IF(ISBLANK($C83),"",IF(ISNUMBER($G83),IF($G83&gt;=0,$G83,""),""))</f>
        <v/>
      </c>
      <c r="AA83" s="87" t="str">
        <f aca="false">IF(ISBLANK($C83),"",IF(ISNUMBER($H83),IF($H83&gt;=0,$H83,""),""))</f>
        <v/>
      </c>
      <c r="AB83" s="87" t="str">
        <f aca="false">IF(ISBLANK($C83),"",IF(ISNUMBER($I83),IF($I83&gt;=0,$I83,""),""))</f>
        <v/>
      </c>
      <c r="AC83" s="86" t="str">
        <f aca="false">IF(ISBLANK($C83),"",IF($J83=Constants!$B$2,TRUE(),IF($J83=Constants!$B$3,FALSE(),TRUE())))</f>
        <v/>
      </c>
      <c r="AD83" s="86" t="str">
        <f aca="false">IF(ISBLANK($C83),"",IF($K83=Constants!$B$2,TRUE(),IF($K83=Constants!$B$3,FALSE(),TRUE())))</f>
        <v/>
      </c>
      <c r="AE83" s="86" t="str">
        <f aca="false">IF(ISBLANK($C83),"",IF($L83=Constants!$B$2,TRUE(),IF($L83=Constants!$B$3,FALSE(),TRUE())))</f>
        <v/>
      </c>
      <c r="AF83" s="88" t="str">
        <f aca="false">IF(ISBLANK($C83),"",IF(ISNUMBER($M83),IF($M83&gt;=0,$M83,""),""))</f>
        <v/>
      </c>
      <c r="AG83" s="86" t="str">
        <f aca="false">IF(ISBLANK($C83),"",IF(ISBLANK($N83),0,IF(ISNUMBER($N83),IF(AND($N83&gt;=0,$N83&lt;=Constants!$B$17,$N83=INT($N83)),$N83,""),"")))</f>
        <v/>
      </c>
      <c r="AH83" s="87" t="str">
        <f aca="false">IF(ISBLANK($C83),"",IF(ISBLANK($O83),0,IF(ISNUMBER($O83),IF($O83&gt;=0,$O83,""),"")))</f>
        <v/>
      </c>
      <c r="AI83" s="86" t="str">
        <f aca="false">IF(ISBLANK($C83),"",IF($P83=Constants!$B$2,TRUE(),IF($P83=Constants!$B$3,FALSE(),TRUE())))</f>
        <v/>
      </c>
      <c r="AJ83" s="86" t="str">
        <f aca="false">IF(ISBLANK($C83),"",IF($Q83=Constants!$B$2,TRUE(),IF($Q83=Constants!$B$3,FALSE(),TRUE())))</f>
        <v/>
      </c>
      <c r="AK83" s="86" t="str">
        <f aca="false">IF(ISBLANK($C83),"",IF($R83=Constants!$B$2,TRUE(),IF($R83=Constants!$B$3,FALSE(),TRUE())))</f>
        <v/>
      </c>
      <c r="AL83" s="88" t="str">
        <f aca="false">IF(ISBLANK($C83),"",IF(ISNUMBER($S83),IF($S83&gt;=0,$S83,""),""))</f>
        <v/>
      </c>
      <c r="AM83" s="86" t="str">
        <f aca="false">IF(ISBLANK($C83),"",IF(ISBLANK($T83),0,IF(ISNUMBER($T83),IF(AND($T83&gt;=0,$T83&lt;=Constants!$B$17,$T83=INT($T83)),$T83,""),"")))</f>
        <v/>
      </c>
      <c r="AN83" s="87" t="str">
        <f aca="false">IF(ISBLANK($C83),"",IF(ISBLANK($U83),0,IF(ISNUMBER($U83),IF($U83&gt;=0,$U83,""),"")))</f>
        <v/>
      </c>
      <c r="AO83" s="86" t="str">
        <f aca="false">IF(ISBLANK($C83),"",IF($V83=Constants!$B$2,TRUE(),IF($V83=Constants!$B$3,FALSE(),FALSE())))</f>
        <v/>
      </c>
      <c r="AP83" s="86"/>
      <c r="AQ83" s="85" t="str">
        <f aca="false">IF(ISBLANK($C83),"",AND($Y83,OR($AS83,$BC83),OR($Z83="",$AA83="",$AB83="")))</f>
        <v/>
      </c>
      <c r="AR83" s="85" t="str">
        <f aca="false">IF(ISBLANK($C83),"",IF(OR(NOT($Y83),NOT(OR($AS83,$BC83))),"",IF(ISBLANK($D$7),$AR$5,IF($AP$9="",$AR$6,""))))</f>
        <v/>
      </c>
      <c r="AS83" s="85" t="str">
        <f aca="false">IF(ISBLANK($C83),"",COUNTA($J83:$O83)&gt;0)</f>
        <v/>
      </c>
      <c r="AT83" s="85" t="str">
        <f aca="false">IF(ISBLANK($C83),"",AND($AS83,OR(AND($AF83="",OR($AE83,NOT(ISBLANK($M83)))),$AG83="",$AH83="")))</f>
        <v/>
      </c>
      <c r="AU83" s="87" t="str">
        <f aca="false">IF($BL83&lt;&gt;Constants!$B$4,"",IF(NOT($AS83),"",ROUND((Constants!$B$12-$AB83)+(Constants!$B$13-$Z83)+(Constants!$B$14-$AA83),1)))</f>
        <v/>
      </c>
      <c r="AV83" s="90" t="str">
        <f aca="false">IF($BL83&lt;&gt;Constants!$B$4,"",IF(NOT($AS83),"",IF(NOT($AE83),0,Constants!$B$15*(INT(ROUND(MIN($AF83,$AP$9),6))-INT(ROUND(MAX(0,MIN($AF83,2*$AP$9)-$AP$9),6))))))</f>
        <v/>
      </c>
      <c r="AW83" s="90" t="str">
        <f aca="false">IF($BL83&lt;&gt;Constants!$B$4,"",IF(NOT($AS83),"",Constants!$B$16*$AG83))</f>
        <v/>
      </c>
      <c r="AX83" s="90" t="str">
        <f aca="false">IF($BL83&lt;&gt;Constants!$B$4,"",IF(NOT($AS83),"",Constants!$B$18*INT(ROUND($AH83,6))))</f>
        <v/>
      </c>
      <c r="AY83" s="85" t="str">
        <f aca="false">IF($BL83&lt;&gt;Constants!$B$4,"",IF(NOT($AS83),"",IF(NOT($X83),Constants!$B$11,IF(OR(NOT($AC83),NOT($AD83),ROUND($AB83,1)&gt;Constants!$B$12,ROUND($Z83,1)&gt;Constants!$B$13,ROUND($AA83,1)&gt;Constants!$B$14),Constants!$B$10,Constants!$B$9))))</f>
        <v/>
      </c>
      <c r="AZ83" s="91" t="str">
        <f aca="false">IF($BL83&lt;&gt;Constants!$B$4,"",IF(NOT($AS83),"",ROUND($AU83+$AV83+$AW83+$AX83,1)))</f>
        <v/>
      </c>
      <c r="BA83" s="92" t="str">
        <f aca="false">IF($BL83&lt;&gt;Constants!$B$4,"",IF(NOT($AS83),"",IF(ISNUMBER($AF83),$AF83,0)))</f>
        <v/>
      </c>
      <c r="BB83" s="86" t="str">
        <f aca="false">IF($BL83&lt;&gt;Constants!$B$4,"",IF(NOT($BC83),"&lt;-",IF(NOT($AS83),"-&gt;",IF(OR($BI83&lt;$AY83,AND($BI83=$AY83,OR($BJ83&gt;$AZ83,AND($BJ83=$AZ83,OR($BH83&gt;$AX83,AND($BH83=$AX83,OR($BE83&gt;$AU83,AND($BE83=$AU83,OR($BF83&gt;$AV83,AND($BF83=$AV83,$BK83&gt;$BA83)))))))))),"-&gt;","&lt;-"))))</f>
        <v/>
      </c>
      <c r="BC83" s="85" t="str">
        <f aca="false">IF(ISBLANK($C83),"",COUNTA($P83:$U83)&gt;0)</f>
        <v/>
      </c>
      <c r="BD83" s="85" t="str">
        <f aca="false">IF(ISBLANK($C83),"",AND($BC83,OR(AND($AL83="",OR($AK83,NOT(ISBLANK($S83)))),$AM83="",$AN83="")))</f>
        <v/>
      </c>
      <c r="BE83" s="87" t="str">
        <f aca="false">IF($BL83&lt;&gt;Constants!$B$4,"",IF(NOT($BC83),"",ROUND((Constants!$B$12-$AB83)+(Constants!$B$13-$Z83)+(Constants!$B$14-$AA83),1)))</f>
        <v/>
      </c>
      <c r="BF83" s="90" t="str">
        <f aca="false">IF($BL83&lt;&gt;Constants!$B$4,"",IF(NOT($BC83),"",IF(NOT($AK83),0,Constants!$B$15*(INT(ROUND(MIN($AL83,$AP$9),6))-INT(ROUND(MAX(0,MIN($AL83,2*$AP$9)-$AP$9),6))))))</f>
        <v/>
      </c>
      <c r="BG83" s="90" t="str">
        <f aca="false">IF($BL83&lt;&gt;Constants!$B$4,"",IF(NOT($BC83),"",Constants!$B$16*$AM83))</f>
        <v/>
      </c>
      <c r="BH83" s="90" t="str">
        <f aca="false">IF($BL83&lt;&gt;Constants!$B$4,"",IF(NOT($BC83),"",Constants!$B$18*INT(ROUND($AN83,6))))</f>
        <v/>
      </c>
      <c r="BI83" s="85" t="str">
        <f aca="false">IF($BL83&lt;&gt;Constants!$B$4,"",IF(NOT($BC83),"",IF(NOT($X83),Constants!$B$11,IF(OR(NOT($AI83),NOT($AJ83),ROUND($AB83,1)&gt;Constants!$B$12,ROUND($Z83,1)&gt;Constants!$B$13,ROUND($AA83,1)&gt;Constants!$B$14),Constants!$B$10,Constants!$B$9))))</f>
        <v/>
      </c>
      <c r="BJ83" s="91" t="str">
        <f aca="false">IF($BL83&lt;&gt;Constants!$B$4,"",IF(NOT($BC83),"",ROUND($BE83+$BF83+$BG83+$BH83,1)))</f>
        <v/>
      </c>
      <c r="BK83" s="92" t="str">
        <f aca="false">IF($BL83&lt;&gt;Constants!$B$4,"",IF(NOT($BC83),"",IF(ISNUMBER($AL83),$AL83,0)))</f>
        <v/>
      </c>
      <c r="BL83" s="86" t="str">
        <f aca="false">IF(ISBLANK($C83),"",IF($AO83,Constants!$B$7,IF(COUNTA($E83:$V83)=0,Constants!$B$6,IF(NOT($Y83),Constants!$B$5,IF(NOT(OR($AS83,$BC83)),Constants!$B$5,IF(OR($AT83,$BD83,$AQ83,$AR83&lt;&gt;""),Constants!$B$8,Constants!$B$4))))))</f>
        <v/>
      </c>
      <c r="BM83" s="86" t="str">
        <f aca="false">IF(ISBLANK($C83),"",IF($BL83&lt;&gt;Constants!$B$4,$BL83,IF($BB83="-&gt;",$BI83,$AY83)))</f>
        <v/>
      </c>
      <c r="BN83" s="90" t="str">
        <f aca="false">IF($BL83&lt;&gt;Constants!$B$4,"",IF($BB83="-&gt;",$BJ83,$AZ83))</f>
        <v/>
      </c>
      <c r="BO83" s="90" t="str">
        <f aca="false">IF(ISBLANK($C83),"",IF($BL83&lt;&gt;Constants!$B$4,$BL83,$BN83))</f>
        <v/>
      </c>
      <c r="BP83" s="86" t="str">
        <f aca="false">IF(ISBLANK($C83),"",IF($BL83&lt;&gt;Constants!$B$4,$BL83,RANK($BO83,$BO$9:$BO$508,0)))</f>
        <v/>
      </c>
      <c r="BQ83" s="86" t="str">
        <f aca="false">IF(ISBLANK($C83),"",IF($BL83&lt;&gt;Constants!$B$4,$BL83,COUNTIFS($BM$9:$BM$508,"&lt;"&amp;$BM83)+COUNTIFS($BM$9:$BM$508,$BM83,$BP$9:$BP$508,"&lt;"&amp;$BP83)+1))</f>
        <v/>
      </c>
      <c r="BR83" s="90" t="str">
        <f aca="false">IF($BL83&lt;&gt;Constants!$B$4,"",IF($BB83="-&gt;",$BH83,$AX83))</f>
        <v/>
      </c>
      <c r="BS83" s="86" t="str">
        <f aca="false">IF(ISBLANK($C83),"",IF($BL83&lt;&gt;Constants!$B$4,$BL83,IF(ISNUMBER($BR83),RANK($BR83,$BR$9:$BR$508,0),COUNT($BR$9:$BR$508)+1)))</f>
        <v/>
      </c>
      <c r="BT83" s="90" t="str">
        <f aca="false">IF($BL83&lt;&gt;Constants!$B$4,"",IF($BB83="-&gt;",$BE83,$AU83))</f>
        <v/>
      </c>
      <c r="BU83" s="86" t="str">
        <f aca="false">IF(ISBLANK($C83),"",IF($BL83&lt;&gt;Constants!$B$4,$BL83,IF(ISNUMBER($BT83),RANK($BT83,$BT$9:$BT$508,0),COUNT($BT$9:$BT$508)+1)))</f>
        <v/>
      </c>
      <c r="BV83" s="90" t="str">
        <f aca="false">IF($BL83&lt;&gt;Constants!$B$4,"",IF($BB83="-&gt;",$BF83,$AV83))</f>
        <v/>
      </c>
      <c r="BW83" s="86" t="str">
        <f aca="false">IF(ISBLANK($C83),"",IF($BL83&lt;&gt;Constants!$B$4,$BL83,IF(ISNUMBER($BV83),RANK($BV83,$BV$9:$BV$508,0),COUNT($BV$9:$BV$508)+1)))</f>
        <v/>
      </c>
      <c r="BX83" s="90" t="str">
        <f aca="false">IF($BL83&lt;&gt;Constants!$B$4,"",IF($BB83="-&gt;",$BK83,$BA83))</f>
        <v/>
      </c>
      <c r="BY83" s="86" t="str">
        <f aca="false">IF(ISBLANK($C83),"",IF($BL83&lt;&gt;Constants!$B$4,$BL83,IF(ISNUMBER($BX83),RANK($BX83,$BX$9:$BX$508,0),COUNT($BX$9:$BX$508)+1)))</f>
        <v/>
      </c>
      <c r="BZ83" s="86" t="str">
        <f aca="false">IF(ISBLANK($C83),"",IF($BL83&lt;&gt;Constants!$B$4,$BL83,COUNTIFS($BM$9:$BM$508,"&lt;"&amp;$BM83)+COUNTIFS($BM$9:$BM$508,$BM83,$BP$9:$BP$508,"&lt;"&amp;$BP83)+COUNTIFS($BM$9:$BM$508,$BM83,$BP$9:$BP$508,$BP83,$BS$9:$BS$508,"&lt;"&amp;$BS83)+COUNTIFS($BM$9:$BM$508,$BM83,$BP$9:$BP$508,$BP83,$BS$9:$BS$508,$BS83,$BU$9:$BU$508,"&lt;"&amp;$BU83)+COUNTIFS($BM$9:$BM$508,$BM83,$BP$9:$BP$508,$BP83,$BS$9:$BS$508,$BS83,$BU$9:$BU$508,$BU83,$BW$9:$BW$508,"&lt;"&amp;$BW83)+COUNTIFS($BM$9:$BM$508,$BM83,$BP$9:$BP$508,$BP83,$BS$9:$BS$508,$BS83,$BU$9:$BU$508,$BU83,$BW$9:$BW$508,$BW83,$BY$9:$BY$508,"&lt;"&amp;$BY83)+1))</f>
        <v/>
      </c>
      <c r="CA83" s="86" t="str">
        <f aca="false">IF(ISBLANK($C83),"",IF($BL83&lt;&gt;Constants!$B$4,$BL83,$BQ83-$BZ83))</f>
        <v/>
      </c>
      <c r="CB83" s="93"/>
      <c r="CC83" s="94" t="str">
        <f aca="false">IF(ISBLANK($C83),"",IF($BL83=Constants!$B$8,$AR83,""))</f>
        <v/>
      </c>
      <c r="CD83" s="94" t="str">
        <f aca="false">IF(ISBLANK($C83),"",IF($BL83&lt;&gt;Constants!$B$4,"",IF($BB83="-&gt;",2,1)))</f>
        <v/>
      </c>
      <c r="CE83" s="95" t="str">
        <f aca="false">IF(ISBLANK($C83),"",IF($BL83&lt;&gt;Constants!$B$4,"",IF($BB83="-&gt;",$BE83,$AU83)))</f>
        <v/>
      </c>
      <c r="CF83" s="95" t="str">
        <f aca="false">IF(ISBLANK($C83),"",IF($BL83&lt;&gt;Constants!$B$4,"",IF($BB83="-&gt;",$BF83,$AV83)))</f>
        <v/>
      </c>
      <c r="CG83" s="95" t="str">
        <f aca="false">IF(ISBLANK($C83),"",IF($BL83&lt;&gt;Constants!$B$4,"",IF($BB83="-&gt;",$BG83,$AW83)))</f>
        <v/>
      </c>
      <c r="CH83" s="95" t="str">
        <f aca="false">IF(ISBLANK($C83),"",IF($BL83&lt;&gt;Constants!$B$4,"",IF($BB83="-&gt;",$BH83,$AX83)))</f>
        <v/>
      </c>
      <c r="CI83" s="96" t="str">
        <f aca="false">IF(ISBLANK($C83),"",$BO83)</f>
        <v/>
      </c>
      <c r="CJ83" s="97" t="str">
        <f aca="false">IF(ISBLANK($C83),"",$BM83)</f>
        <v/>
      </c>
      <c r="CK83" s="98" t="str">
        <f aca="false">IF(ISBLANK($C83),"",$CA83)</f>
        <v/>
      </c>
      <c r="CL83" s="98" t="str">
        <f aca="false">IF(ISBLANK($C83),"",$BZ83)</f>
        <v/>
      </c>
      <c r="CM83" s="99" t="str">
        <f aca="false">IF(ISBLANK($C83),"",IF($CL83=Constants!$B$7,COUNTA($C$9:$C$508)+2,IF($CL83=Constants!$B$6,COUNTA($C$9:$C$508)+1,IF($CL83=Constants!$B$5,COUNTA($C$9:$C$508),$CL83))))</f>
        <v/>
      </c>
      <c r="CN83" s="8"/>
      <c r="CO83" s="100" t="n">
        <f aca="false">IF(OR(ISNUMBER($CL83),$CL83=Constants!$B$7,$CL83=Constants!$B$5,$CL83=Constants!$B$6),1,0)</f>
        <v>0</v>
      </c>
      <c r="CP83" s="100" t="n">
        <v>75</v>
      </c>
      <c r="CQ83" s="100" t="str">
        <f aca="false">IF(ISBLANK($C83),"",IF(ISNUMBER($CM83),$CM83+ROW($B83)/1000,""))</f>
        <v/>
      </c>
      <c r="CR83" s="100" t="str">
        <f aca="false">IF(ISNUMBER($CQ83),RANK($CQ83,$CQ$9:$CQ$508,1),"")</f>
        <v/>
      </c>
      <c r="CS83" s="100" t="str">
        <f aca="false">IF(ISBLANK($C83),"",$B83)</f>
        <v/>
      </c>
      <c r="CT83" s="100" t="str">
        <f aca="false">IF(ISBLANK($C83),"",$C83)</f>
        <v/>
      </c>
      <c r="CU83" s="100" t="str">
        <f aca="false">IF(ISBLANK($C83),"",$D83)</f>
        <v/>
      </c>
      <c r="CV83" s="101" t="str">
        <f aca="false">$CJ83</f>
        <v/>
      </c>
      <c r="CW83" s="102" t="str">
        <f aca="false">$CI83</f>
        <v/>
      </c>
      <c r="CX83" s="100" t="str">
        <f aca="false">IF(ISBLANK($C83),"",$CL83)</f>
        <v/>
      </c>
      <c r="CY83" s="103" t="str">
        <f aca="false">IF($CP83&gt;$CO$8,"",VLOOKUP($CP83,$CR$9:$CX$508,7,FALSE()))</f>
        <v/>
      </c>
      <c r="CZ83" s="104" t="str">
        <f aca="false">IF($CP83&gt;$CO$8,"",VLOOKUP($CP83,$CR$9:$CX$508,2,FALSE()))</f>
        <v/>
      </c>
      <c r="DA83" s="104" t="str">
        <f aca="false">IF($CP83&gt;$CO$8,"",VLOOKUP($CP83,$CR$9:$CX$508,3,FALSE()))</f>
        <v/>
      </c>
      <c r="DB83" s="104" t="str">
        <f aca="false">IF($CP83&gt;$CO$8,"",VLOOKUP($CP83,$CR$9:$CX$508,4,FALSE()))</f>
        <v/>
      </c>
      <c r="DC83" s="104" t="str">
        <f aca="false">IF($CP83&gt;$CO$8,"",VLOOKUP($CP83,$CR$9:$CX$508,5,FALSE()))</f>
        <v/>
      </c>
      <c r="DD83" s="105" t="str">
        <f aca="false">IF($CP83&gt;$CO$8,"",VLOOKUP($CP83,$CR$9:$CX$508,6,FALSE()))</f>
        <v/>
      </c>
      <c r="DE83" s="70"/>
    </row>
    <row r="84" customFormat="false" ht="15.75" hidden="false" customHeight="false" outlineLevel="0" collapsed="false">
      <c r="A84" s="8"/>
      <c r="B84" s="146"/>
      <c r="C84" s="147"/>
      <c r="D84" s="148"/>
      <c r="E84" s="164"/>
      <c r="F84" s="150"/>
      <c r="G84" s="115"/>
      <c r="H84" s="115"/>
      <c r="I84" s="115"/>
      <c r="J84" s="165"/>
      <c r="K84" s="154"/>
      <c r="L84" s="154"/>
      <c r="M84" s="118"/>
      <c r="N84" s="154"/>
      <c r="O84" s="153"/>
      <c r="P84" s="154"/>
      <c r="Q84" s="154"/>
      <c r="R84" s="154"/>
      <c r="S84" s="115"/>
      <c r="T84" s="154"/>
      <c r="U84" s="153"/>
      <c r="V84" s="154"/>
      <c r="W84" s="123"/>
      <c r="X84" s="124" t="str">
        <f aca="false">IF(ISBLANK($C84),"",IF($E84=Constants!$B$2,TRUE(),IF($E84=Constants!$B$3,FALSE(),TRUE())))</f>
        <v/>
      </c>
      <c r="Y84" s="124" t="str">
        <f aca="false">IF(ISBLANK($C84),"",IF($F84=Constants!$B$2,TRUE(),IF($F84=Constants!$B$3,FALSE(),TRUE())))</f>
        <v/>
      </c>
      <c r="Z84" s="125" t="str">
        <f aca="false">IF(ISBLANK($C84),"",IF(ISNUMBER($G84),IF($G84&gt;=0,$G84,""),""))</f>
        <v/>
      </c>
      <c r="AA84" s="125" t="str">
        <f aca="false">IF(ISBLANK($C84),"",IF(ISNUMBER($H84),IF($H84&gt;=0,$H84,""),""))</f>
        <v/>
      </c>
      <c r="AB84" s="125" t="str">
        <f aca="false">IF(ISBLANK($C84),"",IF(ISNUMBER($I84),IF($I84&gt;=0,$I84,""),""))</f>
        <v/>
      </c>
      <c r="AC84" s="124" t="str">
        <f aca="false">IF(ISBLANK($C84),"",IF($J84=Constants!$B$2,TRUE(),IF($J84=Constants!$B$3,FALSE(),TRUE())))</f>
        <v/>
      </c>
      <c r="AD84" s="124" t="str">
        <f aca="false">IF(ISBLANK($C84),"",IF($K84=Constants!$B$2,TRUE(),IF($K84=Constants!$B$3,FALSE(),TRUE())))</f>
        <v/>
      </c>
      <c r="AE84" s="124" t="str">
        <f aca="false">IF(ISBLANK($C84),"",IF($L84=Constants!$B$2,TRUE(),IF($L84=Constants!$B$3,FALSE(),TRUE())))</f>
        <v/>
      </c>
      <c r="AF84" s="126" t="str">
        <f aca="false">IF(ISBLANK($C84),"",IF(ISNUMBER($M84),IF($M84&gt;=0,$M84,""),""))</f>
        <v/>
      </c>
      <c r="AG84" s="124" t="str">
        <f aca="false">IF(ISBLANK($C84),"",IF(ISBLANK($N84),0,IF(ISNUMBER($N84),IF(AND($N84&gt;=0,$N84&lt;=Constants!$B$17,$N84=INT($N84)),$N84,""),"")))</f>
        <v/>
      </c>
      <c r="AH84" s="125" t="str">
        <f aca="false">IF(ISBLANK($C84),"",IF(ISBLANK($O84),0,IF(ISNUMBER($O84),IF($O84&gt;=0,$O84,""),"")))</f>
        <v/>
      </c>
      <c r="AI84" s="124" t="str">
        <f aca="false">IF(ISBLANK($C84),"",IF($P84=Constants!$B$2,TRUE(),IF($P84=Constants!$B$3,FALSE(),TRUE())))</f>
        <v/>
      </c>
      <c r="AJ84" s="124" t="str">
        <f aca="false">IF(ISBLANK($C84),"",IF($Q84=Constants!$B$2,TRUE(),IF($Q84=Constants!$B$3,FALSE(),TRUE())))</f>
        <v/>
      </c>
      <c r="AK84" s="124" t="str">
        <f aca="false">IF(ISBLANK($C84),"",IF($R84=Constants!$B$2,TRUE(),IF($R84=Constants!$B$3,FALSE(),TRUE())))</f>
        <v/>
      </c>
      <c r="AL84" s="126" t="str">
        <f aca="false">IF(ISBLANK($C84),"",IF(ISNUMBER($S84),IF($S84&gt;=0,$S84,""),""))</f>
        <v/>
      </c>
      <c r="AM84" s="124" t="str">
        <f aca="false">IF(ISBLANK($C84),"",IF(ISBLANK($T84),0,IF(ISNUMBER($T84),IF(AND($T84&gt;=0,$T84&lt;=Constants!$B$17,$T84=INT($T84)),$T84,""),"")))</f>
        <v/>
      </c>
      <c r="AN84" s="125" t="str">
        <f aca="false">IF(ISBLANK($C84),"",IF(ISBLANK($U84),0,IF(ISNUMBER($U84),IF($U84&gt;=0,$U84,""),"")))</f>
        <v/>
      </c>
      <c r="AO84" s="124" t="str">
        <f aca="false">IF(ISBLANK($C84),"",IF($V84=Constants!$B$2,TRUE(),IF($V84=Constants!$B$3,FALSE(),FALSE())))</f>
        <v/>
      </c>
      <c r="AP84" s="124"/>
      <c r="AQ84" s="123" t="str">
        <f aca="false">IF(ISBLANK($C84),"",AND($Y84,OR($AS84,$BC84),OR($Z84="",$AA84="",$AB84="")))</f>
        <v/>
      </c>
      <c r="AR84" s="123" t="str">
        <f aca="false">IF(ISBLANK($C84),"",IF(OR(NOT($Y84),NOT(OR($AS84,$BC84))),"",IF(ISBLANK($D$7),$AR$5,IF($AP$9="",$AR$6,""))))</f>
        <v/>
      </c>
      <c r="AS84" s="123" t="str">
        <f aca="false">IF(ISBLANK($C84),"",COUNTA($J84:$O84)&gt;0)</f>
        <v/>
      </c>
      <c r="AT84" s="123" t="str">
        <f aca="false">IF(ISBLANK($C84),"",AND($AS84,OR(AND($AF84="",OR($AE84,NOT(ISBLANK($M84)))),$AG84="",$AH84="")))</f>
        <v/>
      </c>
      <c r="AU84" s="125" t="str">
        <f aca="false">IF($BL84&lt;&gt;Constants!$B$4,"",IF(NOT($AS84),"",ROUND((Constants!$B$12-$AB84)+(Constants!$B$13-$Z84)+(Constants!$B$14-$AA84),1)))</f>
        <v/>
      </c>
      <c r="AV84" s="127" t="str">
        <f aca="false">IF($BL84&lt;&gt;Constants!$B$4,"",IF(NOT($AS84),"",IF(NOT($AE84),0,Constants!$B$15*(INT(ROUND(MIN($AF84,$AP$9),6))-INT(ROUND(MAX(0,MIN($AF84,2*$AP$9)-$AP$9),6))))))</f>
        <v/>
      </c>
      <c r="AW84" s="127" t="str">
        <f aca="false">IF($BL84&lt;&gt;Constants!$B$4,"",IF(NOT($AS84),"",Constants!$B$16*$AG84))</f>
        <v/>
      </c>
      <c r="AX84" s="127" t="str">
        <f aca="false">IF($BL84&lt;&gt;Constants!$B$4,"",IF(NOT($AS84),"",Constants!$B$18*INT(ROUND($AH84,6))))</f>
        <v/>
      </c>
      <c r="AY84" s="123" t="str">
        <f aca="false">IF($BL84&lt;&gt;Constants!$B$4,"",IF(NOT($AS84),"",IF(NOT($X84),Constants!$B$11,IF(OR(NOT($AC84),NOT($AD84),ROUND($AB84,1)&gt;Constants!$B$12,ROUND($Z84,1)&gt;Constants!$B$13,ROUND($AA84,1)&gt;Constants!$B$14),Constants!$B$10,Constants!$B$9))))</f>
        <v/>
      </c>
      <c r="AZ84" s="128" t="str">
        <f aca="false">IF($BL84&lt;&gt;Constants!$B$4,"",IF(NOT($AS84),"",ROUND($AU84+$AV84+$AW84+$AX84,1)))</f>
        <v/>
      </c>
      <c r="BA84" s="129" t="str">
        <f aca="false">IF($BL84&lt;&gt;Constants!$B$4,"",IF(NOT($AS84),"",IF(ISNUMBER($AF84),$AF84,0)))</f>
        <v/>
      </c>
      <c r="BB84" s="124" t="str">
        <f aca="false">IF($BL84&lt;&gt;Constants!$B$4,"",IF(NOT($BC84),"&lt;-",IF(NOT($AS84),"-&gt;",IF(OR($BI84&lt;$AY84,AND($BI84=$AY84,OR($BJ84&gt;$AZ84,AND($BJ84=$AZ84,OR($BH84&gt;$AX84,AND($BH84=$AX84,OR($BE84&gt;$AU84,AND($BE84=$AU84,OR($BF84&gt;$AV84,AND($BF84=$AV84,$BK84&gt;$BA84)))))))))),"-&gt;","&lt;-"))))</f>
        <v/>
      </c>
      <c r="BC84" s="123" t="str">
        <f aca="false">IF(ISBLANK($C84),"",COUNTA($P84:$U84)&gt;0)</f>
        <v/>
      </c>
      <c r="BD84" s="123" t="str">
        <f aca="false">IF(ISBLANK($C84),"",AND($BC84,OR(AND($AL84="",OR($AK84,NOT(ISBLANK($S84)))),$AM84="",$AN84="")))</f>
        <v/>
      </c>
      <c r="BE84" s="125" t="str">
        <f aca="false">IF($BL84&lt;&gt;Constants!$B$4,"",IF(NOT($BC84),"",ROUND((Constants!$B$12-$AB84)+(Constants!$B$13-$Z84)+(Constants!$B$14-$AA84),1)))</f>
        <v/>
      </c>
      <c r="BF84" s="127" t="str">
        <f aca="false">IF($BL84&lt;&gt;Constants!$B$4,"",IF(NOT($BC84),"",IF(NOT($AK84),0,Constants!$B$15*(INT(ROUND(MIN($AL84,$AP$9),6))-INT(ROUND(MAX(0,MIN($AL84,2*$AP$9)-$AP$9),6))))))</f>
        <v/>
      </c>
      <c r="BG84" s="127" t="str">
        <f aca="false">IF($BL84&lt;&gt;Constants!$B$4,"",IF(NOT($BC84),"",Constants!$B$16*$AM84))</f>
        <v/>
      </c>
      <c r="BH84" s="127" t="str">
        <f aca="false">IF($BL84&lt;&gt;Constants!$B$4,"",IF(NOT($BC84),"",Constants!$B$18*INT(ROUND($AN84,6))))</f>
        <v/>
      </c>
      <c r="BI84" s="123" t="str">
        <f aca="false">IF($BL84&lt;&gt;Constants!$B$4,"",IF(NOT($BC84),"",IF(NOT($X84),Constants!$B$11,IF(OR(NOT($AI84),NOT($AJ84),ROUND($AB84,1)&gt;Constants!$B$12,ROUND($Z84,1)&gt;Constants!$B$13,ROUND($AA84,1)&gt;Constants!$B$14),Constants!$B$10,Constants!$B$9))))</f>
        <v/>
      </c>
      <c r="BJ84" s="128" t="str">
        <f aca="false">IF($BL84&lt;&gt;Constants!$B$4,"",IF(NOT($BC84),"",ROUND($BE84+$BF84+$BG84+$BH84,1)))</f>
        <v/>
      </c>
      <c r="BK84" s="129" t="str">
        <f aca="false">IF($BL84&lt;&gt;Constants!$B$4,"",IF(NOT($BC84),"",IF(ISNUMBER($AL84),$AL84,0)))</f>
        <v/>
      </c>
      <c r="BL84" s="124" t="str">
        <f aca="false">IF(ISBLANK($C84),"",IF($AO84,Constants!$B$7,IF(COUNTA($E84:$V84)=0,Constants!$B$6,IF(NOT($Y84),Constants!$B$5,IF(NOT(OR($AS84,$BC84)),Constants!$B$5,IF(OR($AT84,$BD84,$AQ84,$AR84&lt;&gt;""),Constants!$B$8,Constants!$B$4))))))</f>
        <v/>
      </c>
      <c r="BM84" s="124" t="str">
        <f aca="false">IF(ISBLANK($C84),"",IF($BL84&lt;&gt;Constants!$B$4,$BL84,IF($BB84="-&gt;",$BI84,$AY84)))</f>
        <v/>
      </c>
      <c r="BN84" s="127" t="str">
        <f aca="false">IF($BL84&lt;&gt;Constants!$B$4,"",IF($BB84="-&gt;",$BJ84,$AZ84))</f>
        <v/>
      </c>
      <c r="BO84" s="127" t="str">
        <f aca="false">IF(ISBLANK($C84),"",IF($BL84&lt;&gt;Constants!$B$4,$BL84,$BN84))</f>
        <v/>
      </c>
      <c r="BP84" s="124" t="str">
        <f aca="false">IF(ISBLANK($C84),"",IF($BL84&lt;&gt;Constants!$B$4,$BL84,RANK($BO84,$BO$9:$BO$508,0)))</f>
        <v/>
      </c>
      <c r="BQ84" s="124" t="str">
        <f aca="false">IF(ISBLANK($C84),"",IF($BL84&lt;&gt;Constants!$B$4,$BL84,COUNTIFS($BM$9:$BM$508,"&lt;"&amp;$BM84)+COUNTIFS($BM$9:$BM$508,$BM84,$BP$9:$BP$508,"&lt;"&amp;$BP84)+1))</f>
        <v/>
      </c>
      <c r="BR84" s="127" t="str">
        <f aca="false">IF($BL84&lt;&gt;Constants!$B$4,"",IF($BB84="-&gt;",$BH84,$AX84))</f>
        <v/>
      </c>
      <c r="BS84" s="124" t="str">
        <f aca="false">IF(ISBLANK($C84),"",IF($BL84&lt;&gt;Constants!$B$4,$BL84,IF(ISNUMBER($BR84),RANK($BR84,$BR$9:$BR$508,0),COUNT($BR$9:$BR$508)+1)))</f>
        <v/>
      </c>
      <c r="BT84" s="127" t="str">
        <f aca="false">IF($BL84&lt;&gt;Constants!$B$4,"",IF($BB84="-&gt;",$BE84,$AU84))</f>
        <v/>
      </c>
      <c r="BU84" s="124" t="str">
        <f aca="false">IF(ISBLANK($C84),"",IF($BL84&lt;&gt;Constants!$B$4,$BL84,IF(ISNUMBER($BT84),RANK($BT84,$BT$9:$BT$508,0),COUNT($BT$9:$BT$508)+1)))</f>
        <v/>
      </c>
      <c r="BV84" s="127" t="str">
        <f aca="false">IF($BL84&lt;&gt;Constants!$B$4,"",IF($BB84="-&gt;",$BF84,$AV84))</f>
        <v/>
      </c>
      <c r="BW84" s="124" t="str">
        <f aca="false">IF(ISBLANK($C84),"",IF($BL84&lt;&gt;Constants!$B$4,$BL84,IF(ISNUMBER($BV84),RANK($BV84,$BV$9:$BV$508,0),COUNT($BV$9:$BV$508)+1)))</f>
        <v/>
      </c>
      <c r="BX84" s="127" t="str">
        <f aca="false">IF($BL84&lt;&gt;Constants!$B$4,"",IF($BB84="-&gt;",$BK84,$BA84))</f>
        <v/>
      </c>
      <c r="BY84" s="124" t="str">
        <f aca="false">IF(ISBLANK($C84),"",IF($BL84&lt;&gt;Constants!$B$4,$BL84,IF(ISNUMBER($BX84),RANK($BX84,$BX$9:$BX$508,0),COUNT($BX$9:$BX$508)+1)))</f>
        <v/>
      </c>
      <c r="BZ84" s="124" t="str">
        <f aca="false">IF(ISBLANK($C84),"",IF($BL84&lt;&gt;Constants!$B$4,$BL84,COUNTIFS($BM$9:$BM$508,"&lt;"&amp;$BM84)+COUNTIFS($BM$9:$BM$508,$BM84,$BP$9:$BP$508,"&lt;"&amp;$BP84)+COUNTIFS($BM$9:$BM$508,$BM84,$BP$9:$BP$508,$BP84,$BS$9:$BS$508,"&lt;"&amp;$BS84)+COUNTIFS($BM$9:$BM$508,$BM84,$BP$9:$BP$508,$BP84,$BS$9:$BS$508,$BS84,$BU$9:$BU$508,"&lt;"&amp;$BU84)+COUNTIFS($BM$9:$BM$508,$BM84,$BP$9:$BP$508,$BP84,$BS$9:$BS$508,$BS84,$BU$9:$BU$508,$BU84,$BW$9:$BW$508,"&lt;"&amp;$BW84)+COUNTIFS($BM$9:$BM$508,$BM84,$BP$9:$BP$508,$BP84,$BS$9:$BS$508,$BS84,$BU$9:$BU$508,$BU84,$BW$9:$BW$508,$BW84,$BY$9:$BY$508,"&lt;"&amp;$BY84)+1))</f>
        <v/>
      </c>
      <c r="CA84" s="124" t="str">
        <f aca="false">IF(ISBLANK($C84),"",IF($BL84&lt;&gt;Constants!$B$4,$BL84,$BQ84-$BZ84))</f>
        <v/>
      </c>
      <c r="CB84" s="130"/>
      <c r="CC84" s="131" t="str">
        <f aca="false">IF(ISBLANK($C84),"",IF($BL84=Constants!$B$8,$AR84,""))</f>
        <v/>
      </c>
      <c r="CD84" s="131" t="str">
        <f aca="false">IF(ISBLANK($C84),"",IF($BL84&lt;&gt;Constants!$B$4,"",IF($BB84="-&gt;",2,1)))</f>
        <v/>
      </c>
      <c r="CE84" s="132" t="str">
        <f aca="false">IF(ISBLANK($C84),"",IF($BL84&lt;&gt;Constants!$B$4,"",IF($BB84="-&gt;",$BE84,$AU84)))</f>
        <v/>
      </c>
      <c r="CF84" s="132" t="str">
        <f aca="false">IF(ISBLANK($C84),"",IF($BL84&lt;&gt;Constants!$B$4,"",IF($BB84="-&gt;",$BF84,$AV84)))</f>
        <v/>
      </c>
      <c r="CG84" s="132" t="str">
        <f aca="false">IF(ISBLANK($C84),"",IF($BL84&lt;&gt;Constants!$B$4,"",IF($BB84="-&gt;",$BG84,$AW84)))</f>
        <v/>
      </c>
      <c r="CH84" s="132" t="str">
        <f aca="false">IF(ISBLANK($C84),"",IF($BL84&lt;&gt;Constants!$B$4,"",IF($BB84="-&gt;",$BH84,$AX84)))</f>
        <v/>
      </c>
      <c r="CI84" s="133" t="str">
        <f aca="false">IF(ISBLANK($C84),"",$BO84)</f>
        <v/>
      </c>
      <c r="CJ84" s="134" t="str">
        <f aca="false">IF(ISBLANK($C84),"",$BM84)</f>
        <v/>
      </c>
      <c r="CK84" s="135" t="str">
        <f aca="false">IF(ISBLANK($C84),"",$CA84)</f>
        <v/>
      </c>
      <c r="CL84" s="135" t="str">
        <f aca="false">IF(ISBLANK($C84),"",$BZ84)</f>
        <v/>
      </c>
      <c r="CM84" s="136" t="str">
        <f aca="false">IF(ISBLANK($C84),"",IF($CL84=Constants!$B$7,COUNTA($C$9:$C$508)+2,IF($CL84=Constants!$B$6,COUNTA($C$9:$C$508)+1,IF($CL84=Constants!$B$5,COUNTA($C$9:$C$508),$CL84))))</f>
        <v/>
      </c>
      <c r="CN84" s="8"/>
      <c r="CO84" s="137" t="n">
        <f aca="false">IF(OR(ISNUMBER($CL84),$CL84=Constants!$B$7,$CL84=Constants!$B$5,$CL84=Constants!$B$6),1,0)</f>
        <v>0</v>
      </c>
      <c r="CP84" s="137" t="n">
        <v>76</v>
      </c>
      <c r="CQ84" s="137" t="str">
        <f aca="false">IF(ISBLANK($C84),"",IF(ISNUMBER($CM84),$CM84+ROW($B84)/1000,""))</f>
        <v/>
      </c>
      <c r="CR84" s="137" t="str">
        <f aca="false">IF(ISNUMBER($CQ84),RANK($CQ84,$CQ$9:$CQ$508,1),"")</f>
        <v/>
      </c>
      <c r="CS84" s="137" t="str">
        <f aca="false">IF(ISBLANK($C84),"",$B84)</f>
        <v/>
      </c>
      <c r="CT84" s="137" t="str">
        <f aca="false">IF(ISBLANK($C84),"",$C84)</f>
        <v/>
      </c>
      <c r="CU84" s="137" t="str">
        <f aca="false">IF(ISBLANK($C84),"",$D84)</f>
        <v/>
      </c>
      <c r="CV84" s="138" t="str">
        <f aca="false">$CJ84</f>
        <v/>
      </c>
      <c r="CW84" s="139" t="str">
        <f aca="false">$CI84</f>
        <v/>
      </c>
      <c r="CX84" s="137" t="str">
        <f aca="false">IF(ISBLANK($C84),"",$CL84)</f>
        <v/>
      </c>
      <c r="CY84" s="140" t="str">
        <f aca="false">IF($CP84&gt;$CO$8,"",VLOOKUP($CP84,$CR$9:$CX$508,7,FALSE()))</f>
        <v/>
      </c>
      <c r="CZ84" s="141" t="str">
        <f aca="false">IF($CP84&gt;$CO$8,"",VLOOKUP($CP84,$CR$9:$CX$508,2,FALSE()))</f>
        <v/>
      </c>
      <c r="DA84" s="141" t="str">
        <f aca="false">IF($CP84&gt;$CO$8,"",VLOOKUP($CP84,$CR$9:$CX$508,3,FALSE()))</f>
        <v/>
      </c>
      <c r="DB84" s="141" t="str">
        <f aca="false">IF($CP84&gt;$CO$8,"",VLOOKUP($CP84,$CR$9:$CX$508,4,FALSE()))</f>
        <v/>
      </c>
      <c r="DC84" s="141" t="str">
        <f aca="false">IF($CP84&gt;$CO$8,"",VLOOKUP($CP84,$CR$9:$CX$508,5,FALSE()))</f>
        <v/>
      </c>
      <c r="DD84" s="142" t="str">
        <f aca="false">IF($CP84&gt;$CO$8,"",VLOOKUP($CP84,$CR$9:$CX$508,6,FALSE()))</f>
        <v/>
      </c>
      <c r="DE84" s="70"/>
    </row>
    <row r="85" customFormat="false" ht="15.75" hidden="false" customHeight="false" outlineLevel="0" collapsed="false">
      <c r="A85" s="8"/>
      <c r="B85" s="146"/>
      <c r="C85" s="147"/>
      <c r="D85" s="148"/>
      <c r="E85" s="164"/>
      <c r="F85" s="150"/>
      <c r="G85" s="115"/>
      <c r="H85" s="115"/>
      <c r="I85" s="115"/>
      <c r="J85" s="165"/>
      <c r="K85" s="154"/>
      <c r="L85" s="154"/>
      <c r="M85" s="118"/>
      <c r="N85" s="154"/>
      <c r="O85" s="153"/>
      <c r="P85" s="154"/>
      <c r="Q85" s="154"/>
      <c r="R85" s="154"/>
      <c r="S85" s="115"/>
      <c r="T85" s="154"/>
      <c r="U85" s="153"/>
      <c r="V85" s="154"/>
      <c r="W85" s="123"/>
      <c r="X85" s="124" t="str">
        <f aca="false">IF(ISBLANK($C85),"",IF($E85=Constants!$B$2,TRUE(),IF($E85=Constants!$B$3,FALSE(),TRUE())))</f>
        <v/>
      </c>
      <c r="Y85" s="124" t="str">
        <f aca="false">IF(ISBLANK($C85),"",IF($F85=Constants!$B$2,TRUE(),IF($F85=Constants!$B$3,FALSE(),TRUE())))</f>
        <v/>
      </c>
      <c r="Z85" s="125" t="str">
        <f aca="false">IF(ISBLANK($C85),"",IF(ISNUMBER($G85),IF($G85&gt;=0,$G85,""),""))</f>
        <v/>
      </c>
      <c r="AA85" s="125" t="str">
        <f aca="false">IF(ISBLANK($C85),"",IF(ISNUMBER($H85),IF($H85&gt;=0,$H85,""),""))</f>
        <v/>
      </c>
      <c r="AB85" s="125" t="str">
        <f aca="false">IF(ISBLANK($C85),"",IF(ISNUMBER($I85),IF($I85&gt;=0,$I85,""),""))</f>
        <v/>
      </c>
      <c r="AC85" s="124" t="str">
        <f aca="false">IF(ISBLANK($C85),"",IF($J85=Constants!$B$2,TRUE(),IF($J85=Constants!$B$3,FALSE(),TRUE())))</f>
        <v/>
      </c>
      <c r="AD85" s="124" t="str">
        <f aca="false">IF(ISBLANK($C85),"",IF($K85=Constants!$B$2,TRUE(),IF($K85=Constants!$B$3,FALSE(),TRUE())))</f>
        <v/>
      </c>
      <c r="AE85" s="124" t="str">
        <f aca="false">IF(ISBLANK($C85),"",IF($L85=Constants!$B$2,TRUE(),IF($L85=Constants!$B$3,FALSE(),TRUE())))</f>
        <v/>
      </c>
      <c r="AF85" s="126" t="str">
        <f aca="false">IF(ISBLANK($C85),"",IF(ISNUMBER($M85),IF($M85&gt;=0,$M85,""),""))</f>
        <v/>
      </c>
      <c r="AG85" s="124" t="str">
        <f aca="false">IF(ISBLANK($C85),"",IF(ISBLANK($N85),0,IF(ISNUMBER($N85),IF(AND($N85&gt;=0,$N85&lt;=Constants!$B$17,$N85=INT($N85)),$N85,""),"")))</f>
        <v/>
      </c>
      <c r="AH85" s="125" t="str">
        <f aca="false">IF(ISBLANK($C85),"",IF(ISBLANK($O85),0,IF(ISNUMBER($O85),IF($O85&gt;=0,$O85,""),"")))</f>
        <v/>
      </c>
      <c r="AI85" s="124" t="str">
        <f aca="false">IF(ISBLANK($C85),"",IF($P85=Constants!$B$2,TRUE(),IF($P85=Constants!$B$3,FALSE(),TRUE())))</f>
        <v/>
      </c>
      <c r="AJ85" s="124" t="str">
        <f aca="false">IF(ISBLANK($C85),"",IF($Q85=Constants!$B$2,TRUE(),IF($Q85=Constants!$B$3,FALSE(),TRUE())))</f>
        <v/>
      </c>
      <c r="AK85" s="124" t="str">
        <f aca="false">IF(ISBLANK($C85),"",IF($R85=Constants!$B$2,TRUE(),IF($R85=Constants!$B$3,FALSE(),TRUE())))</f>
        <v/>
      </c>
      <c r="AL85" s="126" t="str">
        <f aca="false">IF(ISBLANK($C85),"",IF(ISNUMBER($S85),IF($S85&gt;=0,$S85,""),""))</f>
        <v/>
      </c>
      <c r="AM85" s="124" t="str">
        <f aca="false">IF(ISBLANK($C85),"",IF(ISBLANK($T85),0,IF(ISNUMBER($T85),IF(AND($T85&gt;=0,$T85&lt;=Constants!$B$17,$T85=INT($T85)),$T85,""),"")))</f>
        <v/>
      </c>
      <c r="AN85" s="125" t="str">
        <f aca="false">IF(ISBLANK($C85),"",IF(ISBLANK($U85),0,IF(ISNUMBER($U85),IF($U85&gt;=0,$U85,""),"")))</f>
        <v/>
      </c>
      <c r="AO85" s="124" t="str">
        <f aca="false">IF(ISBLANK($C85),"",IF($V85=Constants!$B$2,TRUE(),IF($V85=Constants!$B$3,FALSE(),FALSE())))</f>
        <v/>
      </c>
      <c r="AP85" s="124"/>
      <c r="AQ85" s="123" t="str">
        <f aca="false">IF(ISBLANK($C85),"",AND($Y85,OR($AS85,$BC85),OR($Z85="",$AA85="",$AB85="")))</f>
        <v/>
      </c>
      <c r="AR85" s="123" t="str">
        <f aca="false">IF(ISBLANK($C85),"",IF(OR(NOT($Y85),NOT(OR($AS85,$BC85))),"",IF(ISBLANK($D$7),$AR$5,IF($AP$9="",$AR$6,""))))</f>
        <v/>
      </c>
      <c r="AS85" s="123" t="str">
        <f aca="false">IF(ISBLANK($C85),"",COUNTA($J85:$O85)&gt;0)</f>
        <v/>
      </c>
      <c r="AT85" s="123" t="str">
        <f aca="false">IF(ISBLANK($C85),"",AND($AS85,OR(AND($AF85="",OR($AE85,NOT(ISBLANK($M85)))),$AG85="",$AH85="")))</f>
        <v/>
      </c>
      <c r="AU85" s="125" t="str">
        <f aca="false">IF($BL85&lt;&gt;Constants!$B$4,"",IF(NOT($AS85),"",ROUND((Constants!$B$12-$AB85)+(Constants!$B$13-$Z85)+(Constants!$B$14-$AA85),1)))</f>
        <v/>
      </c>
      <c r="AV85" s="127" t="str">
        <f aca="false">IF($BL85&lt;&gt;Constants!$B$4,"",IF(NOT($AS85),"",IF(NOT($AE85),0,Constants!$B$15*(INT(ROUND(MIN($AF85,$AP$9),6))-INT(ROUND(MAX(0,MIN($AF85,2*$AP$9)-$AP$9),6))))))</f>
        <v/>
      </c>
      <c r="AW85" s="127" t="str">
        <f aca="false">IF($BL85&lt;&gt;Constants!$B$4,"",IF(NOT($AS85),"",Constants!$B$16*$AG85))</f>
        <v/>
      </c>
      <c r="AX85" s="127" t="str">
        <f aca="false">IF($BL85&lt;&gt;Constants!$B$4,"",IF(NOT($AS85),"",Constants!$B$18*INT(ROUND($AH85,6))))</f>
        <v/>
      </c>
      <c r="AY85" s="123" t="str">
        <f aca="false">IF($BL85&lt;&gt;Constants!$B$4,"",IF(NOT($AS85),"",IF(NOT($X85),Constants!$B$11,IF(OR(NOT($AC85),NOT($AD85),ROUND($AB85,1)&gt;Constants!$B$12,ROUND($Z85,1)&gt;Constants!$B$13,ROUND($AA85,1)&gt;Constants!$B$14),Constants!$B$10,Constants!$B$9))))</f>
        <v/>
      </c>
      <c r="AZ85" s="128" t="str">
        <f aca="false">IF($BL85&lt;&gt;Constants!$B$4,"",IF(NOT($AS85),"",ROUND($AU85+$AV85+$AW85+$AX85,1)))</f>
        <v/>
      </c>
      <c r="BA85" s="129" t="str">
        <f aca="false">IF($BL85&lt;&gt;Constants!$B$4,"",IF(NOT($AS85),"",IF(ISNUMBER($AF85),$AF85,0)))</f>
        <v/>
      </c>
      <c r="BB85" s="124" t="str">
        <f aca="false">IF($BL85&lt;&gt;Constants!$B$4,"",IF(NOT($BC85),"&lt;-",IF(NOT($AS85),"-&gt;",IF(OR($BI85&lt;$AY85,AND($BI85=$AY85,OR($BJ85&gt;$AZ85,AND($BJ85=$AZ85,OR($BH85&gt;$AX85,AND($BH85=$AX85,OR($BE85&gt;$AU85,AND($BE85=$AU85,OR($BF85&gt;$AV85,AND($BF85=$AV85,$BK85&gt;$BA85)))))))))),"-&gt;","&lt;-"))))</f>
        <v/>
      </c>
      <c r="BC85" s="123" t="str">
        <f aca="false">IF(ISBLANK($C85),"",COUNTA($P85:$U85)&gt;0)</f>
        <v/>
      </c>
      <c r="BD85" s="123" t="str">
        <f aca="false">IF(ISBLANK($C85),"",AND($BC85,OR(AND($AL85="",OR($AK85,NOT(ISBLANK($S85)))),$AM85="",$AN85="")))</f>
        <v/>
      </c>
      <c r="BE85" s="125" t="str">
        <f aca="false">IF($BL85&lt;&gt;Constants!$B$4,"",IF(NOT($BC85),"",ROUND((Constants!$B$12-$AB85)+(Constants!$B$13-$Z85)+(Constants!$B$14-$AA85),1)))</f>
        <v/>
      </c>
      <c r="BF85" s="127" t="str">
        <f aca="false">IF($BL85&lt;&gt;Constants!$B$4,"",IF(NOT($BC85),"",IF(NOT($AK85),0,Constants!$B$15*(INT(ROUND(MIN($AL85,$AP$9),6))-INT(ROUND(MAX(0,MIN($AL85,2*$AP$9)-$AP$9),6))))))</f>
        <v/>
      </c>
      <c r="BG85" s="127" t="str">
        <f aca="false">IF($BL85&lt;&gt;Constants!$B$4,"",IF(NOT($BC85),"",Constants!$B$16*$AM85))</f>
        <v/>
      </c>
      <c r="BH85" s="127" t="str">
        <f aca="false">IF($BL85&lt;&gt;Constants!$B$4,"",IF(NOT($BC85),"",Constants!$B$18*INT(ROUND($AN85,6))))</f>
        <v/>
      </c>
      <c r="BI85" s="123" t="str">
        <f aca="false">IF($BL85&lt;&gt;Constants!$B$4,"",IF(NOT($BC85),"",IF(NOT($X85),Constants!$B$11,IF(OR(NOT($AI85),NOT($AJ85),ROUND($AB85,1)&gt;Constants!$B$12,ROUND($Z85,1)&gt;Constants!$B$13,ROUND($AA85,1)&gt;Constants!$B$14),Constants!$B$10,Constants!$B$9))))</f>
        <v/>
      </c>
      <c r="BJ85" s="128" t="str">
        <f aca="false">IF($BL85&lt;&gt;Constants!$B$4,"",IF(NOT($BC85),"",ROUND($BE85+$BF85+$BG85+$BH85,1)))</f>
        <v/>
      </c>
      <c r="BK85" s="129" t="str">
        <f aca="false">IF($BL85&lt;&gt;Constants!$B$4,"",IF(NOT($BC85),"",IF(ISNUMBER($AL85),$AL85,0)))</f>
        <v/>
      </c>
      <c r="BL85" s="124" t="str">
        <f aca="false">IF(ISBLANK($C85),"",IF($AO85,Constants!$B$7,IF(COUNTA($E85:$V85)=0,Constants!$B$6,IF(NOT($Y85),Constants!$B$5,IF(NOT(OR($AS85,$BC85)),Constants!$B$5,IF(OR($AT85,$BD85,$AQ85,$AR85&lt;&gt;""),Constants!$B$8,Constants!$B$4))))))</f>
        <v/>
      </c>
      <c r="BM85" s="124" t="str">
        <f aca="false">IF(ISBLANK($C85),"",IF($BL85&lt;&gt;Constants!$B$4,$BL85,IF($BB85="-&gt;",$BI85,$AY85)))</f>
        <v/>
      </c>
      <c r="BN85" s="127" t="str">
        <f aca="false">IF($BL85&lt;&gt;Constants!$B$4,"",IF($BB85="-&gt;",$BJ85,$AZ85))</f>
        <v/>
      </c>
      <c r="BO85" s="127" t="str">
        <f aca="false">IF(ISBLANK($C85),"",IF($BL85&lt;&gt;Constants!$B$4,$BL85,$BN85))</f>
        <v/>
      </c>
      <c r="BP85" s="124" t="str">
        <f aca="false">IF(ISBLANK($C85),"",IF($BL85&lt;&gt;Constants!$B$4,$BL85,RANK($BO85,$BO$9:$BO$508,0)))</f>
        <v/>
      </c>
      <c r="BQ85" s="124" t="str">
        <f aca="false">IF(ISBLANK($C85),"",IF($BL85&lt;&gt;Constants!$B$4,$BL85,COUNTIFS($BM$9:$BM$508,"&lt;"&amp;$BM85)+COUNTIFS($BM$9:$BM$508,$BM85,$BP$9:$BP$508,"&lt;"&amp;$BP85)+1))</f>
        <v/>
      </c>
      <c r="BR85" s="127" t="str">
        <f aca="false">IF($BL85&lt;&gt;Constants!$B$4,"",IF($BB85="-&gt;",$BH85,$AX85))</f>
        <v/>
      </c>
      <c r="BS85" s="124" t="str">
        <f aca="false">IF(ISBLANK($C85),"",IF($BL85&lt;&gt;Constants!$B$4,$BL85,IF(ISNUMBER($BR85),RANK($BR85,$BR$9:$BR$508,0),COUNT($BR$9:$BR$508)+1)))</f>
        <v/>
      </c>
      <c r="BT85" s="127" t="str">
        <f aca="false">IF($BL85&lt;&gt;Constants!$B$4,"",IF($BB85="-&gt;",$BE85,$AU85))</f>
        <v/>
      </c>
      <c r="BU85" s="124" t="str">
        <f aca="false">IF(ISBLANK($C85),"",IF($BL85&lt;&gt;Constants!$B$4,$BL85,IF(ISNUMBER($BT85),RANK($BT85,$BT$9:$BT$508,0),COUNT($BT$9:$BT$508)+1)))</f>
        <v/>
      </c>
      <c r="BV85" s="127" t="str">
        <f aca="false">IF($BL85&lt;&gt;Constants!$B$4,"",IF($BB85="-&gt;",$BF85,$AV85))</f>
        <v/>
      </c>
      <c r="BW85" s="124" t="str">
        <f aca="false">IF(ISBLANK($C85),"",IF($BL85&lt;&gt;Constants!$B$4,$BL85,IF(ISNUMBER($BV85),RANK($BV85,$BV$9:$BV$508,0),COUNT($BV$9:$BV$508)+1)))</f>
        <v/>
      </c>
      <c r="BX85" s="127" t="str">
        <f aca="false">IF($BL85&lt;&gt;Constants!$B$4,"",IF($BB85="-&gt;",$BK85,$BA85))</f>
        <v/>
      </c>
      <c r="BY85" s="124" t="str">
        <f aca="false">IF(ISBLANK($C85),"",IF($BL85&lt;&gt;Constants!$B$4,$BL85,IF(ISNUMBER($BX85),RANK($BX85,$BX$9:$BX$508,0),COUNT($BX$9:$BX$508)+1)))</f>
        <v/>
      </c>
      <c r="BZ85" s="124" t="str">
        <f aca="false">IF(ISBLANK($C85),"",IF($BL85&lt;&gt;Constants!$B$4,$BL85,COUNTIFS($BM$9:$BM$508,"&lt;"&amp;$BM85)+COUNTIFS($BM$9:$BM$508,$BM85,$BP$9:$BP$508,"&lt;"&amp;$BP85)+COUNTIFS($BM$9:$BM$508,$BM85,$BP$9:$BP$508,$BP85,$BS$9:$BS$508,"&lt;"&amp;$BS85)+COUNTIFS($BM$9:$BM$508,$BM85,$BP$9:$BP$508,$BP85,$BS$9:$BS$508,$BS85,$BU$9:$BU$508,"&lt;"&amp;$BU85)+COUNTIFS($BM$9:$BM$508,$BM85,$BP$9:$BP$508,$BP85,$BS$9:$BS$508,$BS85,$BU$9:$BU$508,$BU85,$BW$9:$BW$508,"&lt;"&amp;$BW85)+COUNTIFS($BM$9:$BM$508,$BM85,$BP$9:$BP$508,$BP85,$BS$9:$BS$508,$BS85,$BU$9:$BU$508,$BU85,$BW$9:$BW$508,$BW85,$BY$9:$BY$508,"&lt;"&amp;$BY85)+1))</f>
        <v/>
      </c>
      <c r="CA85" s="124" t="str">
        <f aca="false">IF(ISBLANK($C85),"",IF($BL85&lt;&gt;Constants!$B$4,$BL85,$BQ85-$BZ85))</f>
        <v/>
      </c>
      <c r="CB85" s="130"/>
      <c r="CC85" s="131" t="str">
        <f aca="false">IF(ISBLANK($C85),"",IF($BL85=Constants!$B$8,$AR85,""))</f>
        <v/>
      </c>
      <c r="CD85" s="131" t="str">
        <f aca="false">IF(ISBLANK($C85),"",IF($BL85&lt;&gt;Constants!$B$4,"",IF($BB85="-&gt;",2,1)))</f>
        <v/>
      </c>
      <c r="CE85" s="132" t="str">
        <f aca="false">IF(ISBLANK($C85),"",IF($BL85&lt;&gt;Constants!$B$4,"",IF($BB85="-&gt;",$BE85,$AU85)))</f>
        <v/>
      </c>
      <c r="CF85" s="132" t="str">
        <f aca="false">IF(ISBLANK($C85),"",IF($BL85&lt;&gt;Constants!$B$4,"",IF($BB85="-&gt;",$BF85,$AV85)))</f>
        <v/>
      </c>
      <c r="CG85" s="132" t="str">
        <f aca="false">IF(ISBLANK($C85),"",IF($BL85&lt;&gt;Constants!$B$4,"",IF($BB85="-&gt;",$BG85,$AW85)))</f>
        <v/>
      </c>
      <c r="CH85" s="132" t="str">
        <f aca="false">IF(ISBLANK($C85),"",IF($BL85&lt;&gt;Constants!$B$4,"",IF($BB85="-&gt;",$BH85,$AX85)))</f>
        <v/>
      </c>
      <c r="CI85" s="133" t="str">
        <f aca="false">IF(ISBLANK($C85),"",$BO85)</f>
        <v/>
      </c>
      <c r="CJ85" s="134" t="str">
        <f aca="false">IF(ISBLANK($C85),"",$BM85)</f>
        <v/>
      </c>
      <c r="CK85" s="135" t="str">
        <f aca="false">IF(ISBLANK($C85),"",$CA85)</f>
        <v/>
      </c>
      <c r="CL85" s="135" t="str">
        <f aca="false">IF(ISBLANK($C85),"",$BZ85)</f>
        <v/>
      </c>
      <c r="CM85" s="136" t="str">
        <f aca="false">IF(ISBLANK($C85),"",IF($CL85=Constants!$B$7,COUNTA($C$9:$C$508)+2,IF($CL85=Constants!$B$6,COUNTA($C$9:$C$508)+1,IF($CL85=Constants!$B$5,COUNTA($C$9:$C$508),$CL85))))</f>
        <v/>
      </c>
      <c r="CN85" s="8"/>
      <c r="CO85" s="137" t="n">
        <f aca="false">IF(OR(ISNUMBER($CL85),$CL85=Constants!$B$7,$CL85=Constants!$B$5,$CL85=Constants!$B$6),1,0)</f>
        <v>0</v>
      </c>
      <c r="CP85" s="137" t="n">
        <v>77</v>
      </c>
      <c r="CQ85" s="137" t="str">
        <f aca="false">IF(ISBLANK($C85),"",IF(ISNUMBER($CM85),$CM85+ROW($B85)/1000,""))</f>
        <v/>
      </c>
      <c r="CR85" s="137" t="str">
        <f aca="false">IF(ISNUMBER($CQ85),RANK($CQ85,$CQ$9:$CQ$508,1),"")</f>
        <v/>
      </c>
      <c r="CS85" s="137" t="str">
        <f aca="false">IF(ISBLANK($C85),"",$B85)</f>
        <v/>
      </c>
      <c r="CT85" s="137" t="str">
        <f aca="false">IF(ISBLANK($C85),"",$C85)</f>
        <v/>
      </c>
      <c r="CU85" s="137" t="str">
        <f aca="false">IF(ISBLANK($C85),"",$D85)</f>
        <v/>
      </c>
      <c r="CV85" s="138" t="str">
        <f aca="false">$CJ85</f>
        <v/>
      </c>
      <c r="CW85" s="139" t="str">
        <f aca="false">$CI85</f>
        <v/>
      </c>
      <c r="CX85" s="137" t="str">
        <f aca="false">IF(ISBLANK($C85),"",$CL85)</f>
        <v/>
      </c>
      <c r="CY85" s="140" t="str">
        <f aca="false">IF($CP85&gt;$CO$8,"",VLOOKUP($CP85,$CR$9:$CX$508,7,FALSE()))</f>
        <v/>
      </c>
      <c r="CZ85" s="141" t="str">
        <f aca="false">IF($CP85&gt;$CO$8,"",VLOOKUP($CP85,$CR$9:$CX$508,2,FALSE()))</f>
        <v/>
      </c>
      <c r="DA85" s="141" t="str">
        <f aca="false">IF($CP85&gt;$CO$8,"",VLOOKUP($CP85,$CR$9:$CX$508,3,FALSE()))</f>
        <v/>
      </c>
      <c r="DB85" s="141" t="str">
        <f aca="false">IF($CP85&gt;$CO$8,"",VLOOKUP($CP85,$CR$9:$CX$508,4,FALSE()))</f>
        <v/>
      </c>
      <c r="DC85" s="141" t="str">
        <f aca="false">IF($CP85&gt;$CO$8,"",VLOOKUP($CP85,$CR$9:$CX$508,5,FALSE()))</f>
        <v/>
      </c>
      <c r="DD85" s="142" t="str">
        <f aca="false">IF($CP85&gt;$CO$8,"",VLOOKUP($CP85,$CR$9:$CX$508,6,FALSE()))</f>
        <v/>
      </c>
      <c r="DE85" s="70"/>
    </row>
    <row r="86" customFormat="false" ht="15.75" hidden="false" customHeight="false" outlineLevel="0" collapsed="false">
      <c r="A86" s="8"/>
      <c r="B86" s="146"/>
      <c r="C86" s="147"/>
      <c r="D86" s="148"/>
      <c r="E86" s="164"/>
      <c r="F86" s="150"/>
      <c r="G86" s="115"/>
      <c r="H86" s="115"/>
      <c r="I86" s="115"/>
      <c r="J86" s="165"/>
      <c r="K86" s="154"/>
      <c r="L86" s="154"/>
      <c r="M86" s="118"/>
      <c r="N86" s="154"/>
      <c r="O86" s="153"/>
      <c r="P86" s="154"/>
      <c r="Q86" s="154"/>
      <c r="R86" s="154"/>
      <c r="S86" s="115"/>
      <c r="T86" s="154"/>
      <c r="U86" s="153"/>
      <c r="V86" s="154"/>
      <c r="W86" s="123"/>
      <c r="X86" s="124" t="str">
        <f aca="false">IF(ISBLANK($C86),"",IF($E86=Constants!$B$2,TRUE(),IF($E86=Constants!$B$3,FALSE(),TRUE())))</f>
        <v/>
      </c>
      <c r="Y86" s="124" t="str">
        <f aca="false">IF(ISBLANK($C86),"",IF($F86=Constants!$B$2,TRUE(),IF($F86=Constants!$B$3,FALSE(),TRUE())))</f>
        <v/>
      </c>
      <c r="Z86" s="125" t="str">
        <f aca="false">IF(ISBLANK($C86),"",IF(ISNUMBER($G86),IF($G86&gt;=0,$G86,""),""))</f>
        <v/>
      </c>
      <c r="AA86" s="125" t="str">
        <f aca="false">IF(ISBLANK($C86),"",IF(ISNUMBER($H86),IF($H86&gt;=0,$H86,""),""))</f>
        <v/>
      </c>
      <c r="AB86" s="125" t="str">
        <f aca="false">IF(ISBLANK($C86),"",IF(ISNUMBER($I86),IF($I86&gt;=0,$I86,""),""))</f>
        <v/>
      </c>
      <c r="AC86" s="124" t="str">
        <f aca="false">IF(ISBLANK($C86),"",IF($J86=Constants!$B$2,TRUE(),IF($J86=Constants!$B$3,FALSE(),TRUE())))</f>
        <v/>
      </c>
      <c r="AD86" s="124" t="str">
        <f aca="false">IF(ISBLANK($C86),"",IF($K86=Constants!$B$2,TRUE(),IF($K86=Constants!$B$3,FALSE(),TRUE())))</f>
        <v/>
      </c>
      <c r="AE86" s="124" t="str">
        <f aca="false">IF(ISBLANK($C86),"",IF($L86=Constants!$B$2,TRUE(),IF($L86=Constants!$B$3,FALSE(),TRUE())))</f>
        <v/>
      </c>
      <c r="AF86" s="126" t="str">
        <f aca="false">IF(ISBLANK($C86),"",IF(ISNUMBER($M86),IF($M86&gt;=0,$M86,""),""))</f>
        <v/>
      </c>
      <c r="AG86" s="124" t="str">
        <f aca="false">IF(ISBLANK($C86),"",IF(ISBLANK($N86),0,IF(ISNUMBER($N86),IF(AND($N86&gt;=0,$N86&lt;=Constants!$B$17,$N86=INT($N86)),$N86,""),"")))</f>
        <v/>
      </c>
      <c r="AH86" s="125" t="str">
        <f aca="false">IF(ISBLANK($C86),"",IF(ISBLANK($O86),0,IF(ISNUMBER($O86),IF($O86&gt;=0,$O86,""),"")))</f>
        <v/>
      </c>
      <c r="AI86" s="124" t="str">
        <f aca="false">IF(ISBLANK($C86),"",IF($P86=Constants!$B$2,TRUE(),IF($P86=Constants!$B$3,FALSE(),TRUE())))</f>
        <v/>
      </c>
      <c r="AJ86" s="124" t="str">
        <f aca="false">IF(ISBLANK($C86),"",IF($Q86=Constants!$B$2,TRUE(),IF($Q86=Constants!$B$3,FALSE(),TRUE())))</f>
        <v/>
      </c>
      <c r="AK86" s="124" t="str">
        <f aca="false">IF(ISBLANK($C86),"",IF($R86=Constants!$B$2,TRUE(),IF($R86=Constants!$B$3,FALSE(),TRUE())))</f>
        <v/>
      </c>
      <c r="AL86" s="126" t="str">
        <f aca="false">IF(ISBLANK($C86),"",IF(ISNUMBER($S86),IF($S86&gt;=0,$S86,""),""))</f>
        <v/>
      </c>
      <c r="AM86" s="124" t="str">
        <f aca="false">IF(ISBLANK($C86),"",IF(ISBLANK($T86),0,IF(ISNUMBER($T86),IF(AND($T86&gt;=0,$T86&lt;=Constants!$B$17,$T86=INT($T86)),$T86,""),"")))</f>
        <v/>
      </c>
      <c r="AN86" s="125" t="str">
        <f aca="false">IF(ISBLANK($C86),"",IF(ISBLANK($U86),0,IF(ISNUMBER($U86),IF($U86&gt;=0,$U86,""),"")))</f>
        <v/>
      </c>
      <c r="AO86" s="124" t="str">
        <f aca="false">IF(ISBLANK($C86),"",IF($V86=Constants!$B$2,TRUE(),IF($V86=Constants!$B$3,FALSE(),FALSE())))</f>
        <v/>
      </c>
      <c r="AP86" s="124"/>
      <c r="AQ86" s="123" t="str">
        <f aca="false">IF(ISBLANK($C86),"",AND($Y86,OR($AS86,$BC86),OR($Z86="",$AA86="",$AB86="")))</f>
        <v/>
      </c>
      <c r="AR86" s="123" t="str">
        <f aca="false">IF(ISBLANK($C86),"",IF(OR(NOT($Y86),NOT(OR($AS86,$BC86))),"",IF(ISBLANK($D$7),$AR$5,IF($AP$9="",$AR$6,""))))</f>
        <v/>
      </c>
      <c r="AS86" s="123" t="str">
        <f aca="false">IF(ISBLANK($C86),"",COUNTA($J86:$O86)&gt;0)</f>
        <v/>
      </c>
      <c r="AT86" s="123" t="str">
        <f aca="false">IF(ISBLANK($C86),"",AND($AS86,OR(AND($AF86="",OR($AE86,NOT(ISBLANK($M86)))),$AG86="",$AH86="")))</f>
        <v/>
      </c>
      <c r="AU86" s="125" t="str">
        <f aca="false">IF($BL86&lt;&gt;Constants!$B$4,"",IF(NOT($AS86),"",ROUND((Constants!$B$12-$AB86)+(Constants!$B$13-$Z86)+(Constants!$B$14-$AA86),1)))</f>
        <v/>
      </c>
      <c r="AV86" s="127" t="str">
        <f aca="false">IF($BL86&lt;&gt;Constants!$B$4,"",IF(NOT($AS86),"",IF(NOT($AE86),0,Constants!$B$15*(INT(ROUND(MIN($AF86,$AP$9),6))-INT(ROUND(MAX(0,MIN($AF86,2*$AP$9)-$AP$9),6))))))</f>
        <v/>
      </c>
      <c r="AW86" s="127" t="str">
        <f aca="false">IF($BL86&lt;&gt;Constants!$B$4,"",IF(NOT($AS86),"",Constants!$B$16*$AG86))</f>
        <v/>
      </c>
      <c r="AX86" s="127" t="str">
        <f aca="false">IF($BL86&lt;&gt;Constants!$B$4,"",IF(NOT($AS86),"",Constants!$B$18*INT(ROUND($AH86,6))))</f>
        <v/>
      </c>
      <c r="AY86" s="123" t="str">
        <f aca="false">IF($BL86&lt;&gt;Constants!$B$4,"",IF(NOT($AS86),"",IF(NOT($X86),Constants!$B$11,IF(OR(NOT($AC86),NOT($AD86),ROUND($AB86,1)&gt;Constants!$B$12,ROUND($Z86,1)&gt;Constants!$B$13,ROUND($AA86,1)&gt;Constants!$B$14),Constants!$B$10,Constants!$B$9))))</f>
        <v/>
      </c>
      <c r="AZ86" s="128" t="str">
        <f aca="false">IF($BL86&lt;&gt;Constants!$B$4,"",IF(NOT($AS86),"",ROUND($AU86+$AV86+$AW86+$AX86,1)))</f>
        <v/>
      </c>
      <c r="BA86" s="129" t="str">
        <f aca="false">IF($BL86&lt;&gt;Constants!$B$4,"",IF(NOT($AS86),"",IF(ISNUMBER($AF86),$AF86,0)))</f>
        <v/>
      </c>
      <c r="BB86" s="124" t="str">
        <f aca="false">IF($BL86&lt;&gt;Constants!$B$4,"",IF(NOT($BC86),"&lt;-",IF(NOT($AS86),"-&gt;",IF(OR($BI86&lt;$AY86,AND($BI86=$AY86,OR($BJ86&gt;$AZ86,AND($BJ86=$AZ86,OR($BH86&gt;$AX86,AND($BH86=$AX86,OR($BE86&gt;$AU86,AND($BE86=$AU86,OR($BF86&gt;$AV86,AND($BF86=$AV86,$BK86&gt;$BA86)))))))))),"-&gt;","&lt;-"))))</f>
        <v/>
      </c>
      <c r="BC86" s="123" t="str">
        <f aca="false">IF(ISBLANK($C86),"",COUNTA($P86:$U86)&gt;0)</f>
        <v/>
      </c>
      <c r="BD86" s="123" t="str">
        <f aca="false">IF(ISBLANK($C86),"",AND($BC86,OR(AND($AL86="",OR($AK86,NOT(ISBLANK($S86)))),$AM86="",$AN86="")))</f>
        <v/>
      </c>
      <c r="BE86" s="125" t="str">
        <f aca="false">IF($BL86&lt;&gt;Constants!$B$4,"",IF(NOT($BC86),"",ROUND((Constants!$B$12-$AB86)+(Constants!$B$13-$Z86)+(Constants!$B$14-$AA86),1)))</f>
        <v/>
      </c>
      <c r="BF86" s="127" t="str">
        <f aca="false">IF($BL86&lt;&gt;Constants!$B$4,"",IF(NOT($BC86),"",IF(NOT($AK86),0,Constants!$B$15*(INT(ROUND(MIN($AL86,$AP$9),6))-INT(ROUND(MAX(0,MIN($AL86,2*$AP$9)-$AP$9),6))))))</f>
        <v/>
      </c>
      <c r="BG86" s="127" t="str">
        <f aca="false">IF($BL86&lt;&gt;Constants!$B$4,"",IF(NOT($BC86),"",Constants!$B$16*$AM86))</f>
        <v/>
      </c>
      <c r="BH86" s="127" t="str">
        <f aca="false">IF($BL86&lt;&gt;Constants!$B$4,"",IF(NOT($BC86),"",Constants!$B$18*INT(ROUND($AN86,6))))</f>
        <v/>
      </c>
      <c r="BI86" s="123" t="str">
        <f aca="false">IF($BL86&lt;&gt;Constants!$B$4,"",IF(NOT($BC86),"",IF(NOT($X86),Constants!$B$11,IF(OR(NOT($AI86),NOT($AJ86),ROUND($AB86,1)&gt;Constants!$B$12,ROUND($Z86,1)&gt;Constants!$B$13,ROUND($AA86,1)&gt;Constants!$B$14),Constants!$B$10,Constants!$B$9))))</f>
        <v/>
      </c>
      <c r="BJ86" s="128" t="str">
        <f aca="false">IF($BL86&lt;&gt;Constants!$B$4,"",IF(NOT($BC86),"",ROUND($BE86+$BF86+$BG86+$BH86,1)))</f>
        <v/>
      </c>
      <c r="BK86" s="129" t="str">
        <f aca="false">IF($BL86&lt;&gt;Constants!$B$4,"",IF(NOT($BC86),"",IF(ISNUMBER($AL86),$AL86,0)))</f>
        <v/>
      </c>
      <c r="BL86" s="124" t="str">
        <f aca="false">IF(ISBLANK($C86),"",IF($AO86,Constants!$B$7,IF(COUNTA($E86:$V86)=0,Constants!$B$6,IF(NOT($Y86),Constants!$B$5,IF(NOT(OR($AS86,$BC86)),Constants!$B$5,IF(OR($AT86,$BD86,$AQ86,$AR86&lt;&gt;""),Constants!$B$8,Constants!$B$4))))))</f>
        <v/>
      </c>
      <c r="BM86" s="124" t="str">
        <f aca="false">IF(ISBLANK($C86),"",IF($BL86&lt;&gt;Constants!$B$4,$BL86,IF($BB86="-&gt;",$BI86,$AY86)))</f>
        <v/>
      </c>
      <c r="BN86" s="127" t="str">
        <f aca="false">IF($BL86&lt;&gt;Constants!$B$4,"",IF($BB86="-&gt;",$BJ86,$AZ86))</f>
        <v/>
      </c>
      <c r="BO86" s="127" t="str">
        <f aca="false">IF(ISBLANK($C86),"",IF($BL86&lt;&gt;Constants!$B$4,$BL86,$BN86))</f>
        <v/>
      </c>
      <c r="BP86" s="124" t="str">
        <f aca="false">IF(ISBLANK($C86),"",IF($BL86&lt;&gt;Constants!$B$4,$BL86,RANK($BO86,$BO$9:$BO$508,0)))</f>
        <v/>
      </c>
      <c r="BQ86" s="124" t="str">
        <f aca="false">IF(ISBLANK($C86),"",IF($BL86&lt;&gt;Constants!$B$4,$BL86,COUNTIFS($BM$9:$BM$508,"&lt;"&amp;$BM86)+COUNTIFS($BM$9:$BM$508,$BM86,$BP$9:$BP$508,"&lt;"&amp;$BP86)+1))</f>
        <v/>
      </c>
      <c r="BR86" s="127" t="str">
        <f aca="false">IF($BL86&lt;&gt;Constants!$B$4,"",IF($BB86="-&gt;",$BH86,$AX86))</f>
        <v/>
      </c>
      <c r="BS86" s="124" t="str">
        <f aca="false">IF(ISBLANK($C86),"",IF($BL86&lt;&gt;Constants!$B$4,$BL86,IF(ISNUMBER($BR86),RANK($BR86,$BR$9:$BR$508,0),COUNT($BR$9:$BR$508)+1)))</f>
        <v/>
      </c>
      <c r="BT86" s="127" t="str">
        <f aca="false">IF($BL86&lt;&gt;Constants!$B$4,"",IF($BB86="-&gt;",$BE86,$AU86))</f>
        <v/>
      </c>
      <c r="BU86" s="124" t="str">
        <f aca="false">IF(ISBLANK($C86),"",IF($BL86&lt;&gt;Constants!$B$4,$BL86,IF(ISNUMBER($BT86),RANK($BT86,$BT$9:$BT$508,0),COUNT($BT$9:$BT$508)+1)))</f>
        <v/>
      </c>
      <c r="BV86" s="127" t="str">
        <f aca="false">IF($BL86&lt;&gt;Constants!$B$4,"",IF($BB86="-&gt;",$BF86,$AV86))</f>
        <v/>
      </c>
      <c r="BW86" s="124" t="str">
        <f aca="false">IF(ISBLANK($C86),"",IF($BL86&lt;&gt;Constants!$B$4,$BL86,IF(ISNUMBER($BV86),RANK($BV86,$BV$9:$BV$508,0),COUNT($BV$9:$BV$508)+1)))</f>
        <v/>
      </c>
      <c r="BX86" s="127" t="str">
        <f aca="false">IF($BL86&lt;&gt;Constants!$B$4,"",IF($BB86="-&gt;",$BK86,$BA86))</f>
        <v/>
      </c>
      <c r="BY86" s="124" t="str">
        <f aca="false">IF(ISBLANK($C86),"",IF($BL86&lt;&gt;Constants!$B$4,$BL86,IF(ISNUMBER($BX86),RANK($BX86,$BX$9:$BX$508,0),COUNT($BX$9:$BX$508)+1)))</f>
        <v/>
      </c>
      <c r="BZ86" s="124" t="str">
        <f aca="false">IF(ISBLANK($C86),"",IF($BL86&lt;&gt;Constants!$B$4,$BL86,COUNTIFS($BM$9:$BM$508,"&lt;"&amp;$BM86)+COUNTIFS($BM$9:$BM$508,$BM86,$BP$9:$BP$508,"&lt;"&amp;$BP86)+COUNTIFS($BM$9:$BM$508,$BM86,$BP$9:$BP$508,$BP86,$BS$9:$BS$508,"&lt;"&amp;$BS86)+COUNTIFS($BM$9:$BM$508,$BM86,$BP$9:$BP$508,$BP86,$BS$9:$BS$508,$BS86,$BU$9:$BU$508,"&lt;"&amp;$BU86)+COUNTIFS($BM$9:$BM$508,$BM86,$BP$9:$BP$508,$BP86,$BS$9:$BS$508,$BS86,$BU$9:$BU$508,$BU86,$BW$9:$BW$508,"&lt;"&amp;$BW86)+COUNTIFS($BM$9:$BM$508,$BM86,$BP$9:$BP$508,$BP86,$BS$9:$BS$508,$BS86,$BU$9:$BU$508,$BU86,$BW$9:$BW$508,$BW86,$BY$9:$BY$508,"&lt;"&amp;$BY86)+1))</f>
        <v/>
      </c>
      <c r="CA86" s="124" t="str">
        <f aca="false">IF(ISBLANK($C86),"",IF($BL86&lt;&gt;Constants!$B$4,$BL86,$BQ86-$BZ86))</f>
        <v/>
      </c>
      <c r="CB86" s="130"/>
      <c r="CC86" s="131" t="str">
        <f aca="false">IF(ISBLANK($C86),"",IF($BL86=Constants!$B$8,$AR86,""))</f>
        <v/>
      </c>
      <c r="CD86" s="131" t="str">
        <f aca="false">IF(ISBLANK($C86),"",IF($BL86&lt;&gt;Constants!$B$4,"",IF($BB86="-&gt;",2,1)))</f>
        <v/>
      </c>
      <c r="CE86" s="132" t="str">
        <f aca="false">IF(ISBLANK($C86),"",IF($BL86&lt;&gt;Constants!$B$4,"",IF($BB86="-&gt;",$BE86,$AU86)))</f>
        <v/>
      </c>
      <c r="CF86" s="132" t="str">
        <f aca="false">IF(ISBLANK($C86),"",IF($BL86&lt;&gt;Constants!$B$4,"",IF($BB86="-&gt;",$BF86,$AV86)))</f>
        <v/>
      </c>
      <c r="CG86" s="132" t="str">
        <f aca="false">IF(ISBLANK($C86),"",IF($BL86&lt;&gt;Constants!$B$4,"",IF($BB86="-&gt;",$BG86,$AW86)))</f>
        <v/>
      </c>
      <c r="CH86" s="132" t="str">
        <f aca="false">IF(ISBLANK($C86),"",IF($BL86&lt;&gt;Constants!$B$4,"",IF($BB86="-&gt;",$BH86,$AX86)))</f>
        <v/>
      </c>
      <c r="CI86" s="133" t="str">
        <f aca="false">IF(ISBLANK($C86),"",$BO86)</f>
        <v/>
      </c>
      <c r="CJ86" s="134" t="str">
        <f aca="false">IF(ISBLANK($C86),"",$BM86)</f>
        <v/>
      </c>
      <c r="CK86" s="135" t="str">
        <f aca="false">IF(ISBLANK($C86),"",$CA86)</f>
        <v/>
      </c>
      <c r="CL86" s="135" t="str">
        <f aca="false">IF(ISBLANK($C86),"",$BZ86)</f>
        <v/>
      </c>
      <c r="CM86" s="136" t="str">
        <f aca="false">IF(ISBLANK($C86),"",IF($CL86=Constants!$B$7,COUNTA($C$9:$C$508)+2,IF($CL86=Constants!$B$6,COUNTA($C$9:$C$508)+1,IF($CL86=Constants!$B$5,COUNTA($C$9:$C$508),$CL86))))</f>
        <v/>
      </c>
      <c r="CN86" s="8"/>
      <c r="CO86" s="137" t="n">
        <f aca="false">IF(OR(ISNUMBER($CL86),$CL86=Constants!$B$7,$CL86=Constants!$B$5,$CL86=Constants!$B$6),1,0)</f>
        <v>0</v>
      </c>
      <c r="CP86" s="137" t="n">
        <v>78</v>
      </c>
      <c r="CQ86" s="137" t="str">
        <f aca="false">IF(ISBLANK($C86),"",IF(ISNUMBER($CM86),$CM86+ROW($B86)/1000,""))</f>
        <v/>
      </c>
      <c r="CR86" s="137" t="str">
        <f aca="false">IF(ISNUMBER($CQ86),RANK($CQ86,$CQ$9:$CQ$508,1),"")</f>
        <v/>
      </c>
      <c r="CS86" s="137" t="str">
        <f aca="false">IF(ISBLANK($C86),"",$B86)</f>
        <v/>
      </c>
      <c r="CT86" s="137" t="str">
        <f aca="false">IF(ISBLANK($C86),"",$C86)</f>
        <v/>
      </c>
      <c r="CU86" s="137" t="str">
        <f aca="false">IF(ISBLANK($C86),"",$D86)</f>
        <v/>
      </c>
      <c r="CV86" s="138" t="str">
        <f aca="false">$CJ86</f>
        <v/>
      </c>
      <c r="CW86" s="139" t="str">
        <f aca="false">$CI86</f>
        <v/>
      </c>
      <c r="CX86" s="137" t="str">
        <f aca="false">IF(ISBLANK($C86),"",$CL86)</f>
        <v/>
      </c>
      <c r="CY86" s="140" t="str">
        <f aca="false">IF($CP86&gt;$CO$8,"",VLOOKUP($CP86,$CR$9:$CX$508,7,FALSE()))</f>
        <v/>
      </c>
      <c r="CZ86" s="141" t="str">
        <f aca="false">IF($CP86&gt;$CO$8,"",VLOOKUP($CP86,$CR$9:$CX$508,2,FALSE()))</f>
        <v/>
      </c>
      <c r="DA86" s="141" t="str">
        <f aca="false">IF($CP86&gt;$CO$8,"",VLOOKUP($CP86,$CR$9:$CX$508,3,FALSE()))</f>
        <v/>
      </c>
      <c r="DB86" s="141" t="str">
        <f aca="false">IF($CP86&gt;$CO$8,"",VLOOKUP($CP86,$CR$9:$CX$508,4,FALSE()))</f>
        <v/>
      </c>
      <c r="DC86" s="141" t="str">
        <f aca="false">IF($CP86&gt;$CO$8,"",VLOOKUP($CP86,$CR$9:$CX$508,5,FALSE()))</f>
        <v/>
      </c>
      <c r="DD86" s="142" t="str">
        <f aca="false">IF($CP86&gt;$CO$8,"",VLOOKUP($CP86,$CR$9:$CX$508,6,FALSE()))</f>
        <v/>
      </c>
      <c r="DE86" s="70"/>
    </row>
    <row r="87" customFormat="false" ht="15.75" hidden="false" customHeight="false" outlineLevel="0" collapsed="false">
      <c r="A87" s="8"/>
      <c r="B87" s="72"/>
      <c r="C87" s="73"/>
      <c r="D87" s="155"/>
      <c r="E87" s="162"/>
      <c r="F87" s="157"/>
      <c r="G87" s="77"/>
      <c r="H87" s="77"/>
      <c r="I87" s="77"/>
      <c r="J87" s="163"/>
      <c r="K87" s="161"/>
      <c r="L87" s="161"/>
      <c r="M87" s="80"/>
      <c r="N87" s="161"/>
      <c r="O87" s="160"/>
      <c r="P87" s="161"/>
      <c r="Q87" s="161"/>
      <c r="R87" s="161"/>
      <c r="S87" s="77"/>
      <c r="T87" s="161"/>
      <c r="U87" s="160"/>
      <c r="V87" s="161"/>
      <c r="W87" s="85"/>
      <c r="X87" s="86" t="str">
        <f aca="false">IF(ISBLANK($C87),"",IF($E87=Constants!$B$2,TRUE(),IF($E87=Constants!$B$3,FALSE(),TRUE())))</f>
        <v/>
      </c>
      <c r="Y87" s="86" t="str">
        <f aca="false">IF(ISBLANK($C87),"",IF($F87=Constants!$B$2,TRUE(),IF($F87=Constants!$B$3,FALSE(),TRUE())))</f>
        <v/>
      </c>
      <c r="Z87" s="87" t="str">
        <f aca="false">IF(ISBLANK($C87),"",IF(ISNUMBER($G87),IF($G87&gt;=0,$G87,""),""))</f>
        <v/>
      </c>
      <c r="AA87" s="87" t="str">
        <f aca="false">IF(ISBLANK($C87),"",IF(ISNUMBER($H87),IF($H87&gt;=0,$H87,""),""))</f>
        <v/>
      </c>
      <c r="AB87" s="87" t="str">
        <f aca="false">IF(ISBLANK($C87),"",IF(ISNUMBER($I87),IF($I87&gt;=0,$I87,""),""))</f>
        <v/>
      </c>
      <c r="AC87" s="86" t="str">
        <f aca="false">IF(ISBLANK($C87),"",IF($J87=Constants!$B$2,TRUE(),IF($J87=Constants!$B$3,FALSE(),TRUE())))</f>
        <v/>
      </c>
      <c r="AD87" s="86" t="str">
        <f aca="false">IF(ISBLANK($C87),"",IF($K87=Constants!$B$2,TRUE(),IF($K87=Constants!$B$3,FALSE(),TRUE())))</f>
        <v/>
      </c>
      <c r="AE87" s="86" t="str">
        <f aca="false">IF(ISBLANK($C87),"",IF($L87=Constants!$B$2,TRUE(),IF($L87=Constants!$B$3,FALSE(),TRUE())))</f>
        <v/>
      </c>
      <c r="AF87" s="88" t="str">
        <f aca="false">IF(ISBLANK($C87),"",IF(ISNUMBER($M87),IF($M87&gt;=0,$M87,""),""))</f>
        <v/>
      </c>
      <c r="AG87" s="86" t="str">
        <f aca="false">IF(ISBLANK($C87),"",IF(ISBLANK($N87),0,IF(ISNUMBER($N87),IF(AND($N87&gt;=0,$N87&lt;=Constants!$B$17,$N87=INT($N87)),$N87,""),"")))</f>
        <v/>
      </c>
      <c r="AH87" s="87" t="str">
        <f aca="false">IF(ISBLANK($C87),"",IF(ISBLANK($O87),0,IF(ISNUMBER($O87),IF($O87&gt;=0,$O87,""),"")))</f>
        <v/>
      </c>
      <c r="AI87" s="86" t="str">
        <f aca="false">IF(ISBLANK($C87),"",IF($P87=Constants!$B$2,TRUE(),IF($P87=Constants!$B$3,FALSE(),TRUE())))</f>
        <v/>
      </c>
      <c r="AJ87" s="86" t="str">
        <f aca="false">IF(ISBLANK($C87),"",IF($Q87=Constants!$B$2,TRUE(),IF($Q87=Constants!$B$3,FALSE(),TRUE())))</f>
        <v/>
      </c>
      <c r="AK87" s="86" t="str">
        <f aca="false">IF(ISBLANK($C87),"",IF($R87=Constants!$B$2,TRUE(),IF($R87=Constants!$B$3,FALSE(),TRUE())))</f>
        <v/>
      </c>
      <c r="AL87" s="88" t="str">
        <f aca="false">IF(ISBLANK($C87),"",IF(ISNUMBER($S87),IF($S87&gt;=0,$S87,""),""))</f>
        <v/>
      </c>
      <c r="AM87" s="86" t="str">
        <f aca="false">IF(ISBLANK($C87),"",IF(ISBLANK($T87),0,IF(ISNUMBER($T87),IF(AND($T87&gt;=0,$T87&lt;=Constants!$B$17,$T87=INT($T87)),$T87,""),"")))</f>
        <v/>
      </c>
      <c r="AN87" s="87" t="str">
        <f aca="false">IF(ISBLANK($C87),"",IF(ISBLANK($U87),0,IF(ISNUMBER($U87),IF($U87&gt;=0,$U87,""),"")))</f>
        <v/>
      </c>
      <c r="AO87" s="86" t="str">
        <f aca="false">IF(ISBLANK($C87),"",IF($V87=Constants!$B$2,TRUE(),IF($V87=Constants!$B$3,FALSE(),FALSE())))</f>
        <v/>
      </c>
      <c r="AP87" s="86"/>
      <c r="AQ87" s="85" t="str">
        <f aca="false">IF(ISBLANK($C87),"",AND($Y87,OR($AS87,$BC87),OR($Z87="",$AA87="",$AB87="")))</f>
        <v/>
      </c>
      <c r="AR87" s="85" t="str">
        <f aca="false">IF(ISBLANK($C87),"",IF(OR(NOT($Y87),NOT(OR($AS87,$BC87))),"",IF(ISBLANK($D$7),$AR$5,IF($AP$9="",$AR$6,""))))</f>
        <v/>
      </c>
      <c r="AS87" s="85" t="str">
        <f aca="false">IF(ISBLANK($C87),"",COUNTA($J87:$O87)&gt;0)</f>
        <v/>
      </c>
      <c r="AT87" s="85" t="str">
        <f aca="false">IF(ISBLANK($C87),"",AND($AS87,OR(AND($AF87="",OR($AE87,NOT(ISBLANK($M87)))),$AG87="",$AH87="")))</f>
        <v/>
      </c>
      <c r="AU87" s="87" t="str">
        <f aca="false">IF($BL87&lt;&gt;Constants!$B$4,"",IF(NOT($AS87),"",ROUND((Constants!$B$12-$AB87)+(Constants!$B$13-$Z87)+(Constants!$B$14-$AA87),1)))</f>
        <v/>
      </c>
      <c r="AV87" s="90" t="str">
        <f aca="false">IF($BL87&lt;&gt;Constants!$B$4,"",IF(NOT($AS87),"",IF(NOT($AE87),0,Constants!$B$15*(INT(ROUND(MIN($AF87,$AP$9),6))-INT(ROUND(MAX(0,MIN($AF87,2*$AP$9)-$AP$9),6))))))</f>
        <v/>
      </c>
      <c r="AW87" s="90" t="str">
        <f aca="false">IF($BL87&lt;&gt;Constants!$B$4,"",IF(NOT($AS87),"",Constants!$B$16*$AG87))</f>
        <v/>
      </c>
      <c r="AX87" s="90" t="str">
        <f aca="false">IF($BL87&lt;&gt;Constants!$B$4,"",IF(NOT($AS87),"",Constants!$B$18*INT(ROUND($AH87,6))))</f>
        <v/>
      </c>
      <c r="AY87" s="85" t="str">
        <f aca="false">IF($BL87&lt;&gt;Constants!$B$4,"",IF(NOT($AS87),"",IF(NOT($X87),Constants!$B$11,IF(OR(NOT($AC87),NOT($AD87),ROUND($AB87,1)&gt;Constants!$B$12,ROUND($Z87,1)&gt;Constants!$B$13,ROUND($AA87,1)&gt;Constants!$B$14),Constants!$B$10,Constants!$B$9))))</f>
        <v/>
      </c>
      <c r="AZ87" s="91" t="str">
        <f aca="false">IF($BL87&lt;&gt;Constants!$B$4,"",IF(NOT($AS87),"",ROUND($AU87+$AV87+$AW87+$AX87,1)))</f>
        <v/>
      </c>
      <c r="BA87" s="92" t="str">
        <f aca="false">IF($BL87&lt;&gt;Constants!$B$4,"",IF(NOT($AS87),"",IF(ISNUMBER($AF87),$AF87,0)))</f>
        <v/>
      </c>
      <c r="BB87" s="86" t="str">
        <f aca="false">IF($BL87&lt;&gt;Constants!$B$4,"",IF(NOT($BC87),"&lt;-",IF(NOT($AS87),"-&gt;",IF(OR($BI87&lt;$AY87,AND($BI87=$AY87,OR($BJ87&gt;$AZ87,AND($BJ87=$AZ87,OR($BH87&gt;$AX87,AND($BH87=$AX87,OR($BE87&gt;$AU87,AND($BE87=$AU87,OR($BF87&gt;$AV87,AND($BF87=$AV87,$BK87&gt;$BA87)))))))))),"-&gt;","&lt;-"))))</f>
        <v/>
      </c>
      <c r="BC87" s="85" t="str">
        <f aca="false">IF(ISBLANK($C87),"",COUNTA($P87:$U87)&gt;0)</f>
        <v/>
      </c>
      <c r="BD87" s="85" t="str">
        <f aca="false">IF(ISBLANK($C87),"",AND($BC87,OR(AND($AL87="",OR($AK87,NOT(ISBLANK($S87)))),$AM87="",$AN87="")))</f>
        <v/>
      </c>
      <c r="BE87" s="87" t="str">
        <f aca="false">IF($BL87&lt;&gt;Constants!$B$4,"",IF(NOT($BC87),"",ROUND((Constants!$B$12-$AB87)+(Constants!$B$13-$Z87)+(Constants!$B$14-$AA87),1)))</f>
        <v/>
      </c>
      <c r="BF87" s="90" t="str">
        <f aca="false">IF($BL87&lt;&gt;Constants!$B$4,"",IF(NOT($BC87),"",IF(NOT($AK87),0,Constants!$B$15*(INT(ROUND(MIN($AL87,$AP$9),6))-INT(ROUND(MAX(0,MIN($AL87,2*$AP$9)-$AP$9),6))))))</f>
        <v/>
      </c>
      <c r="BG87" s="90" t="str">
        <f aca="false">IF($BL87&lt;&gt;Constants!$B$4,"",IF(NOT($BC87),"",Constants!$B$16*$AM87))</f>
        <v/>
      </c>
      <c r="BH87" s="90" t="str">
        <f aca="false">IF($BL87&lt;&gt;Constants!$B$4,"",IF(NOT($BC87),"",Constants!$B$18*INT(ROUND($AN87,6))))</f>
        <v/>
      </c>
      <c r="BI87" s="85" t="str">
        <f aca="false">IF($BL87&lt;&gt;Constants!$B$4,"",IF(NOT($BC87),"",IF(NOT($X87),Constants!$B$11,IF(OR(NOT($AI87),NOT($AJ87),ROUND($AB87,1)&gt;Constants!$B$12,ROUND($Z87,1)&gt;Constants!$B$13,ROUND($AA87,1)&gt;Constants!$B$14),Constants!$B$10,Constants!$B$9))))</f>
        <v/>
      </c>
      <c r="BJ87" s="91" t="str">
        <f aca="false">IF($BL87&lt;&gt;Constants!$B$4,"",IF(NOT($BC87),"",ROUND($BE87+$BF87+$BG87+$BH87,1)))</f>
        <v/>
      </c>
      <c r="BK87" s="92" t="str">
        <f aca="false">IF($BL87&lt;&gt;Constants!$B$4,"",IF(NOT($BC87),"",IF(ISNUMBER($AL87),$AL87,0)))</f>
        <v/>
      </c>
      <c r="BL87" s="86" t="str">
        <f aca="false">IF(ISBLANK($C87),"",IF($AO87,Constants!$B$7,IF(COUNTA($E87:$V87)=0,Constants!$B$6,IF(NOT($Y87),Constants!$B$5,IF(NOT(OR($AS87,$BC87)),Constants!$B$5,IF(OR($AT87,$BD87,$AQ87,$AR87&lt;&gt;""),Constants!$B$8,Constants!$B$4))))))</f>
        <v/>
      </c>
      <c r="BM87" s="86" t="str">
        <f aca="false">IF(ISBLANK($C87),"",IF($BL87&lt;&gt;Constants!$B$4,$BL87,IF($BB87="-&gt;",$BI87,$AY87)))</f>
        <v/>
      </c>
      <c r="BN87" s="90" t="str">
        <f aca="false">IF($BL87&lt;&gt;Constants!$B$4,"",IF($BB87="-&gt;",$BJ87,$AZ87))</f>
        <v/>
      </c>
      <c r="BO87" s="90" t="str">
        <f aca="false">IF(ISBLANK($C87),"",IF($BL87&lt;&gt;Constants!$B$4,$BL87,$BN87))</f>
        <v/>
      </c>
      <c r="BP87" s="86" t="str">
        <f aca="false">IF(ISBLANK($C87),"",IF($BL87&lt;&gt;Constants!$B$4,$BL87,RANK($BO87,$BO$9:$BO$508,0)))</f>
        <v/>
      </c>
      <c r="BQ87" s="86" t="str">
        <f aca="false">IF(ISBLANK($C87),"",IF($BL87&lt;&gt;Constants!$B$4,$BL87,COUNTIFS($BM$9:$BM$508,"&lt;"&amp;$BM87)+COUNTIFS($BM$9:$BM$508,$BM87,$BP$9:$BP$508,"&lt;"&amp;$BP87)+1))</f>
        <v/>
      </c>
      <c r="BR87" s="90" t="str">
        <f aca="false">IF($BL87&lt;&gt;Constants!$B$4,"",IF($BB87="-&gt;",$BH87,$AX87))</f>
        <v/>
      </c>
      <c r="BS87" s="86" t="str">
        <f aca="false">IF(ISBLANK($C87),"",IF($BL87&lt;&gt;Constants!$B$4,$BL87,IF(ISNUMBER($BR87),RANK($BR87,$BR$9:$BR$508,0),COUNT($BR$9:$BR$508)+1)))</f>
        <v/>
      </c>
      <c r="BT87" s="90" t="str">
        <f aca="false">IF($BL87&lt;&gt;Constants!$B$4,"",IF($BB87="-&gt;",$BE87,$AU87))</f>
        <v/>
      </c>
      <c r="BU87" s="86" t="str">
        <f aca="false">IF(ISBLANK($C87),"",IF($BL87&lt;&gt;Constants!$B$4,$BL87,IF(ISNUMBER($BT87),RANK($BT87,$BT$9:$BT$508,0),COUNT($BT$9:$BT$508)+1)))</f>
        <v/>
      </c>
      <c r="BV87" s="90" t="str">
        <f aca="false">IF($BL87&lt;&gt;Constants!$B$4,"",IF($BB87="-&gt;",$BF87,$AV87))</f>
        <v/>
      </c>
      <c r="BW87" s="86" t="str">
        <f aca="false">IF(ISBLANK($C87),"",IF($BL87&lt;&gt;Constants!$B$4,$BL87,IF(ISNUMBER($BV87),RANK($BV87,$BV$9:$BV$508,0),COUNT($BV$9:$BV$508)+1)))</f>
        <v/>
      </c>
      <c r="BX87" s="90" t="str">
        <f aca="false">IF($BL87&lt;&gt;Constants!$B$4,"",IF($BB87="-&gt;",$BK87,$BA87))</f>
        <v/>
      </c>
      <c r="BY87" s="86" t="str">
        <f aca="false">IF(ISBLANK($C87),"",IF($BL87&lt;&gt;Constants!$B$4,$BL87,IF(ISNUMBER($BX87),RANK($BX87,$BX$9:$BX$508,0),COUNT($BX$9:$BX$508)+1)))</f>
        <v/>
      </c>
      <c r="BZ87" s="86" t="str">
        <f aca="false">IF(ISBLANK($C87),"",IF($BL87&lt;&gt;Constants!$B$4,$BL87,COUNTIFS($BM$9:$BM$508,"&lt;"&amp;$BM87)+COUNTIFS($BM$9:$BM$508,$BM87,$BP$9:$BP$508,"&lt;"&amp;$BP87)+COUNTIFS($BM$9:$BM$508,$BM87,$BP$9:$BP$508,$BP87,$BS$9:$BS$508,"&lt;"&amp;$BS87)+COUNTIFS($BM$9:$BM$508,$BM87,$BP$9:$BP$508,$BP87,$BS$9:$BS$508,$BS87,$BU$9:$BU$508,"&lt;"&amp;$BU87)+COUNTIFS($BM$9:$BM$508,$BM87,$BP$9:$BP$508,$BP87,$BS$9:$BS$508,$BS87,$BU$9:$BU$508,$BU87,$BW$9:$BW$508,"&lt;"&amp;$BW87)+COUNTIFS($BM$9:$BM$508,$BM87,$BP$9:$BP$508,$BP87,$BS$9:$BS$508,$BS87,$BU$9:$BU$508,$BU87,$BW$9:$BW$508,$BW87,$BY$9:$BY$508,"&lt;"&amp;$BY87)+1))</f>
        <v/>
      </c>
      <c r="CA87" s="86" t="str">
        <f aca="false">IF(ISBLANK($C87),"",IF($BL87&lt;&gt;Constants!$B$4,$BL87,$BQ87-$BZ87))</f>
        <v/>
      </c>
      <c r="CB87" s="93"/>
      <c r="CC87" s="94" t="str">
        <f aca="false">IF(ISBLANK($C87),"",IF($BL87=Constants!$B$8,$AR87,""))</f>
        <v/>
      </c>
      <c r="CD87" s="94" t="str">
        <f aca="false">IF(ISBLANK($C87),"",IF($BL87&lt;&gt;Constants!$B$4,"",IF($BB87="-&gt;",2,1)))</f>
        <v/>
      </c>
      <c r="CE87" s="95" t="str">
        <f aca="false">IF(ISBLANK($C87),"",IF($BL87&lt;&gt;Constants!$B$4,"",IF($BB87="-&gt;",$BE87,$AU87)))</f>
        <v/>
      </c>
      <c r="CF87" s="95" t="str">
        <f aca="false">IF(ISBLANK($C87),"",IF($BL87&lt;&gt;Constants!$B$4,"",IF($BB87="-&gt;",$BF87,$AV87)))</f>
        <v/>
      </c>
      <c r="CG87" s="95" t="str">
        <f aca="false">IF(ISBLANK($C87),"",IF($BL87&lt;&gt;Constants!$B$4,"",IF($BB87="-&gt;",$BG87,$AW87)))</f>
        <v/>
      </c>
      <c r="CH87" s="95" t="str">
        <f aca="false">IF(ISBLANK($C87),"",IF($BL87&lt;&gt;Constants!$B$4,"",IF($BB87="-&gt;",$BH87,$AX87)))</f>
        <v/>
      </c>
      <c r="CI87" s="96" t="str">
        <f aca="false">IF(ISBLANK($C87),"",$BO87)</f>
        <v/>
      </c>
      <c r="CJ87" s="97" t="str">
        <f aca="false">IF(ISBLANK($C87),"",$BM87)</f>
        <v/>
      </c>
      <c r="CK87" s="98" t="str">
        <f aca="false">IF(ISBLANK($C87),"",$CA87)</f>
        <v/>
      </c>
      <c r="CL87" s="98" t="str">
        <f aca="false">IF(ISBLANK($C87),"",$BZ87)</f>
        <v/>
      </c>
      <c r="CM87" s="99" t="str">
        <f aca="false">IF(ISBLANK($C87),"",IF($CL87=Constants!$B$7,COUNTA($C$9:$C$508)+2,IF($CL87=Constants!$B$6,COUNTA($C$9:$C$508)+1,IF($CL87=Constants!$B$5,COUNTA($C$9:$C$508),$CL87))))</f>
        <v/>
      </c>
      <c r="CN87" s="8"/>
      <c r="CO87" s="100" t="n">
        <f aca="false">IF(OR(ISNUMBER($CL87),$CL87=Constants!$B$7,$CL87=Constants!$B$5,$CL87=Constants!$B$6),1,0)</f>
        <v>0</v>
      </c>
      <c r="CP87" s="100" t="n">
        <v>79</v>
      </c>
      <c r="CQ87" s="100" t="str">
        <f aca="false">IF(ISBLANK($C87),"",IF(ISNUMBER($CM87),$CM87+ROW($B87)/1000,""))</f>
        <v/>
      </c>
      <c r="CR87" s="100" t="str">
        <f aca="false">IF(ISNUMBER($CQ87),RANK($CQ87,$CQ$9:$CQ$508,1),"")</f>
        <v/>
      </c>
      <c r="CS87" s="100" t="str">
        <f aca="false">IF(ISBLANK($C87),"",$B87)</f>
        <v/>
      </c>
      <c r="CT87" s="100" t="str">
        <f aca="false">IF(ISBLANK($C87),"",$C87)</f>
        <v/>
      </c>
      <c r="CU87" s="100" t="str">
        <f aca="false">IF(ISBLANK($C87),"",$D87)</f>
        <v/>
      </c>
      <c r="CV87" s="101" t="str">
        <f aca="false">$CJ87</f>
        <v/>
      </c>
      <c r="CW87" s="102" t="str">
        <f aca="false">$CI87</f>
        <v/>
      </c>
      <c r="CX87" s="100" t="str">
        <f aca="false">IF(ISBLANK($C87),"",$CL87)</f>
        <v/>
      </c>
      <c r="CY87" s="103" t="str">
        <f aca="false">IF($CP87&gt;$CO$8,"",VLOOKUP($CP87,$CR$9:$CX$508,7,FALSE()))</f>
        <v/>
      </c>
      <c r="CZ87" s="104" t="str">
        <f aca="false">IF($CP87&gt;$CO$8,"",VLOOKUP($CP87,$CR$9:$CX$508,2,FALSE()))</f>
        <v/>
      </c>
      <c r="DA87" s="104" t="str">
        <f aca="false">IF($CP87&gt;$CO$8,"",VLOOKUP($CP87,$CR$9:$CX$508,3,FALSE()))</f>
        <v/>
      </c>
      <c r="DB87" s="104" t="str">
        <f aca="false">IF($CP87&gt;$CO$8,"",VLOOKUP($CP87,$CR$9:$CX$508,4,FALSE()))</f>
        <v/>
      </c>
      <c r="DC87" s="104" t="str">
        <f aca="false">IF($CP87&gt;$CO$8,"",VLOOKUP($CP87,$CR$9:$CX$508,5,FALSE()))</f>
        <v/>
      </c>
      <c r="DD87" s="105" t="str">
        <f aca="false">IF($CP87&gt;$CO$8,"",VLOOKUP($CP87,$CR$9:$CX$508,6,FALSE()))</f>
        <v/>
      </c>
      <c r="DE87" s="70"/>
    </row>
    <row r="88" customFormat="false" ht="15.75" hidden="false" customHeight="false" outlineLevel="0" collapsed="false">
      <c r="A88" s="8"/>
      <c r="B88" s="72"/>
      <c r="C88" s="73"/>
      <c r="D88" s="155"/>
      <c r="E88" s="162"/>
      <c r="F88" s="157"/>
      <c r="G88" s="77"/>
      <c r="H88" s="77"/>
      <c r="I88" s="77"/>
      <c r="J88" s="163"/>
      <c r="K88" s="161"/>
      <c r="L88" s="161"/>
      <c r="M88" s="80"/>
      <c r="N88" s="161"/>
      <c r="O88" s="160"/>
      <c r="P88" s="161"/>
      <c r="Q88" s="161"/>
      <c r="R88" s="161"/>
      <c r="S88" s="77"/>
      <c r="T88" s="161"/>
      <c r="U88" s="160"/>
      <c r="V88" s="161"/>
      <c r="W88" s="85"/>
      <c r="X88" s="86" t="str">
        <f aca="false">IF(ISBLANK($C88),"",IF($E88=Constants!$B$2,TRUE(),IF($E88=Constants!$B$3,FALSE(),TRUE())))</f>
        <v/>
      </c>
      <c r="Y88" s="86" t="str">
        <f aca="false">IF(ISBLANK($C88),"",IF($F88=Constants!$B$2,TRUE(),IF($F88=Constants!$B$3,FALSE(),TRUE())))</f>
        <v/>
      </c>
      <c r="Z88" s="87" t="str">
        <f aca="false">IF(ISBLANK($C88),"",IF(ISNUMBER($G88),IF($G88&gt;=0,$G88,""),""))</f>
        <v/>
      </c>
      <c r="AA88" s="87" t="str">
        <f aca="false">IF(ISBLANK($C88),"",IF(ISNUMBER($H88),IF($H88&gt;=0,$H88,""),""))</f>
        <v/>
      </c>
      <c r="AB88" s="87" t="str">
        <f aca="false">IF(ISBLANK($C88),"",IF(ISNUMBER($I88),IF($I88&gt;=0,$I88,""),""))</f>
        <v/>
      </c>
      <c r="AC88" s="86" t="str">
        <f aca="false">IF(ISBLANK($C88),"",IF($J88=Constants!$B$2,TRUE(),IF($J88=Constants!$B$3,FALSE(),TRUE())))</f>
        <v/>
      </c>
      <c r="AD88" s="86" t="str">
        <f aca="false">IF(ISBLANK($C88),"",IF($K88=Constants!$B$2,TRUE(),IF($K88=Constants!$B$3,FALSE(),TRUE())))</f>
        <v/>
      </c>
      <c r="AE88" s="86" t="str">
        <f aca="false">IF(ISBLANK($C88),"",IF($L88=Constants!$B$2,TRUE(),IF($L88=Constants!$B$3,FALSE(),TRUE())))</f>
        <v/>
      </c>
      <c r="AF88" s="88" t="str">
        <f aca="false">IF(ISBLANK($C88),"",IF(ISNUMBER($M88),IF($M88&gt;=0,$M88,""),""))</f>
        <v/>
      </c>
      <c r="AG88" s="86" t="str">
        <f aca="false">IF(ISBLANK($C88),"",IF(ISBLANK($N88),0,IF(ISNUMBER($N88),IF(AND($N88&gt;=0,$N88&lt;=Constants!$B$17,$N88=INT($N88)),$N88,""),"")))</f>
        <v/>
      </c>
      <c r="AH88" s="87" t="str">
        <f aca="false">IF(ISBLANK($C88),"",IF(ISBLANK($O88),0,IF(ISNUMBER($O88),IF($O88&gt;=0,$O88,""),"")))</f>
        <v/>
      </c>
      <c r="AI88" s="86" t="str">
        <f aca="false">IF(ISBLANK($C88),"",IF($P88=Constants!$B$2,TRUE(),IF($P88=Constants!$B$3,FALSE(),TRUE())))</f>
        <v/>
      </c>
      <c r="AJ88" s="86" t="str">
        <f aca="false">IF(ISBLANK($C88),"",IF($Q88=Constants!$B$2,TRUE(),IF($Q88=Constants!$B$3,FALSE(),TRUE())))</f>
        <v/>
      </c>
      <c r="AK88" s="86" t="str">
        <f aca="false">IF(ISBLANK($C88),"",IF($R88=Constants!$B$2,TRUE(),IF($R88=Constants!$B$3,FALSE(),TRUE())))</f>
        <v/>
      </c>
      <c r="AL88" s="88" t="str">
        <f aca="false">IF(ISBLANK($C88),"",IF(ISNUMBER($S88),IF($S88&gt;=0,$S88,""),""))</f>
        <v/>
      </c>
      <c r="AM88" s="86" t="str">
        <f aca="false">IF(ISBLANK($C88),"",IF(ISBLANK($T88),0,IF(ISNUMBER($T88),IF(AND($T88&gt;=0,$T88&lt;=Constants!$B$17,$T88=INT($T88)),$T88,""),"")))</f>
        <v/>
      </c>
      <c r="AN88" s="87" t="str">
        <f aca="false">IF(ISBLANK($C88),"",IF(ISBLANK($U88),0,IF(ISNUMBER($U88),IF($U88&gt;=0,$U88,""),"")))</f>
        <v/>
      </c>
      <c r="AO88" s="86" t="str">
        <f aca="false">IF(ISBLANK($C88),"",IF($V88=Constants!$B$2,TRUE(),IF($V88=Constants!$B$3,FALSE(),FALSE())))</f>
        <v/>
      </c>
      <c r="AP88" s="86"/>
      <c r="AQ88" s="85" t="str">
        <f aca="false">IF(ISBLANK($C88),"",AND($Y88,OR($AS88,$BC88),OR($Z88="",$AA88="",$AB88="")))</f>
        <v/>
      </c>
      <c r="AR88" s="85" t="str">
        <f aca="false">IF(ISBLANK($C88),"",IF(OR(NOT($Y88),NOT(OR($AS88,$BC88))),"",IF(ISBLANK($D$7),$AR$5,IF($AP$9="",$AR$6,""))))</f>
        <v/>
      </c>
      <c r="AS88" s="85" t="str">
        <f aca="false">IF(ISBLANK($C88),"",COUNTA($J88:$O88)&gt;0)</f>
        <v/>
      </c>
      <c r="AT88" s="85" t="str">
        <f aca="false">IF(ISBLANK($C88),"",AND($AS88,OR(AND($AF88="",OR($AE88,NOT(ISBLANK($M88)))),$AG88="",$AH88="")))</f>
        <v/>
      </c>
      <c r="AU88" s="87" t="str">
        <f aca="false">IF($BL88&lt;&gt;Constants!$B$4,"",IF(NOT($AS88),"",ROUND((Constants!$B$12-$AB88)+(Constants!$B$13-$Z88)+(Constants!$B$14-$AA88),1)))</f>
        <v/>
      </c>
      <c r="AV88" s="90" t="str">
        <f aca="false">IF($BL88&lt;&gt;Constants!$B$4,"",IF(NOT($AS88),"",IF(NOT($AE88),0,Constants!$B$15*(INT(ROUND(MIN($AF88,$AP$9),6))-INT(ROUND(MAX(0,MIN($AF88,2*$AP$9)-$AP$9),6))))))</f>
        <v/>
      </c>
      <c r="AW88" s="90" t="str">
        <f aca="false">IF($BL88&lt;&gt;Constants!$B$4,"",IF(NOT($AS88),"",Constants!$B$16*$AG88))</f>
        <v/>
      </c>
      <c r="AX88" s="90" t="str">
        <f aca="false">IF($BL88&lt;&gt;Constants!$B$4,"",IF(NOT($AS88),"",Constants!$B$18*INT(ROUND($AH88,6))))</f>
        <v/>
      </c>
      <c r="AY88" s="85" t="str">
        <f aca="false">IF($BL88&lt;&gt;Constants!$B$4,"",IF(NOT($AS88),"",IF(NOT($X88),Constants!$B$11,IF(OR(NOT($AC88),NOT($AD88),ROUND($AB88,1)&gt;Constants!$B$12,ROUND($Z88,1)&gt;Constants!$B$13,ROUND($AA88,1)&gt;Constants!$B$14),Constants!$B$10,Constants!$B$9))))</f>
        <v/>
      </c>
      <c r="AZ88" s="91" t="str">
        <f aca="false">IF($BL88&lt;&gt;Constants!$B$4,"",IF(NOT($AS88),"",ROUND($AU88+$AV88+$AW88+$AX88,1)))</f>
        <v/>
      </c>
      <c r="BA88" s="92" t="str">
        <f aca="false">IF($BL88&lt;&gt;Constants!$B$4,"",IF(NOT($AS88),"",IF(ISNUMBER($AF88),$AF88,0)))</f>
        <v/>
      </c>
      <c r="BB88" s="86" t="str">
        <f aca="false">IF($BL88&lt;&gt;Constants!$B$4,"",IF(NOT($BC88),"&lt;-",IF(NOT($AS88),"-&gt;",IF(OR($BI88&lt;$AY88,AND($BI88=$AY88,OR($BJ88&gt;$AZ88,AND($BJ88=$AZ88,OR($BH88&gt;$AX88,AND($BH88=$AX88,OR($BE88&gt;$AU88,AND($BE88=$AU88,OR($BF88&gt;$AV88,AND($BF88=$AV88,$BK88&gt;$BA88)))))))))),"-&gt;","&lt;-"))))</f>
        <v/>
      </c>
      <c r="BC88" s="85" t="str">
        <f aca="false">IF(ISBLANK($C88),"",COUNTA($P88:$U88)&gt;0)</f>
        <v/>
      </c>
      <c r="BD88" s="85" t="str">
        <f aca="false">IF(ISBLANK($C88),"",AND($BC88,OR(AND($AL88="",OR($AK88,NOT(ISBLANK($S88)))),$AM88="",$AN88="")))</f>
        <v/>
      </c>
      <c r="BE88" s="87" t="str">
        <f aca="false">IF($BL88&lt;&gt;Constants!$B$4,"",IF(NOT($BC88),"",ROUND((Constants!$B$12-$AB88)+(Constants!$B$13-$Z88)+(Constants!$B$14-$AA88),1)))</f>
        <v/>
      </c>
      <c r="BF88" s="90" t="str">
        <f aca="false">IF($BL88&lt;&gt;Constants!$B$4,"",IF(NOT($BC88),"",IF(NOT($AK88),0,Constants!$B$15*(INT(ROUND(MIN($AL88,$AP$9),6))-INT(ROUND(MAX(0,MIN($AL88,2*$AP$9)-$AP$9),6))))))</f>
        <v/>
      </c>
      <c r="BG88" s="90" t="str">
        <f aca="false">IF($BL88&lt;&gt;Constants!$B$4,"",IF(NOT($BC88),"",Constants!$B$16*$AM88))</f>
        <v/>
      </c>
      <c r="BH88" s="90" t="str">
        <f aca="false">IF($BL88&lt;&gt;Constants!$B$4,"",IF(NOT($BC88),"",Constants!$B$18*INT(ROUND($AN88,6))))</f>
        <v/>
      </c>
      <c r="BI88" s="85" t="str">
        <f aca="false">IF($BL88&lt;&gt;Constants!$B$4,"",IF(NOT($BC88),"",IF(NOT($X88),Constants!$B$11,IF(OR(NOT($AI88),NOT($AJ88),ROUND($AB88,1)&gt;Constants!$B$12,ROUND($Z88,1)&gt;Constants!$B$13,ROUND($AA88,1)&gt;Constants!$B$14),Constants!$B$10,Constants!$B$9))))</f>
        <v/>
      </c>
      <c r="BJ88" s="91" t="str">
        <f aca="false">IF($BL88&lt;&gt;Constants!$B$4,"",IF(NOT($BC88),"",ROUND($BE88+$BF88+$BG88+$BH88,1)))</f>
        <v/>
      </c>
      <c r="BK88" s="92" t="str">
        <f aca="false">IF($BL88&lt;&gt;Constants!$B$4,"",IF(NOT($BC88),"",IF(ISNUMBER($AL88),$AL88,0)))</f>
        <v/>
      </c>
      <c r="BL88" s="86" t="str">
        <f aca="false">IF(ISBLANK($C88),"",IF($AO88,Constants!$B$7,IF(COUNTA($E88:$V88)=0,Constants!$B$6,IF(NOT($Y88),Constants!$B$5,IF(NOT(OR($AS88,$BC88)),Constants!$B$5,IF(OR($AT88,$BD88,$AQ88,$AR88&lt;&gt;""),Constants!$B$8,Constants!$B$4))))))</f>
        <v/>
      </c>
      <c r="BM88" s="86" t="str">
        <f aca="false">IF(ISBLANK($C88),"",IF($BL88&lt;&gt;Constants!$B$4,$BL88,IF($BB88="-&gt;",$BI88,$AY88)))</f>
        <v/>
      </c>
      <c r="BN88" s="90" t="str">
        <f aca="false">IF($BL88&lt;&gt;Constants!$B$4,"",IF($BB88="-&gt;",$BJ88,$AZ88))</f>
        <v/>
      </c>
      <c r="BO88" s="90" t="str">
        <f aca="false">IF(ISBLANK($C88),"",IF($BL88&lt;&gt;Constants!$B$4,$BL88,$BN88))</f>
        <v/>
      </c>
      <c r="BP88" s="86" t="str">
        <f aca="false">IF(ISBLANK($C88),"",IF($BL88&lt;&gt;Constants!$B$4,$BL88,RANK($BO88,$BO$9:$BO$508,0)))</f>
        <v/>
      </c>
      <c r="BQ88" s="86" t="str">
        <f aca="false">IF(ISBLANK($C88),"",IF($BL88&lt;&gt;Constants!$B$4,$BL88,COUNTIFS($BM$9:$BM$508,"&lt;"&amp;$BM88)+COUNTIFS($BM$9:$BM$508,$BM88,$BP$9:$BP$508,"&lt;"&amp;$BP88)+1))</f>
        <v/>
      </c>
      <c r="BR88" s="90" t="str">
        <f aca="false">IF($BL88&lt;&gt;Constants!$B$4,"",IF($BB88="-&gt;",$BH88,$AX88))</f>
        <v/>
      </c>
      <c r="BS88" s="86" t="str">
        <f aca="false">IF(ISBLANK($C88),"",IF($BL88&lt;&gt;Constants!$B$4,$BL88,IF(ISNUMBER($BR88),RANK($BR88,$BR$9:$BR$508,0),COUNT($BR$9:$BR$508)+1)))</f>
        <v/>
      </c>
      <c r="BT88" s="90" t="str">
        <f aca="false">IF($BL88&lt;&gt;Constants!$B$4,"",IF($BB88="-&gt;",$BE88,$AU88))</f>
        <v/>
      </c>
      <c r="BU88" s="86" t="str">
        <f aca="false">IF(ISBLANK($C88),"",IF($BL88&lt;&gt;Constants!$B$4,$BL88,IF(ISNUMBER($BT88),RANK($BT88,$BT$9:$BT$508,0),COUNT($BT$9:$BT$508)+1)))</f>
        <v/>
      </c>
      <c r="BV88" s="90" t="str">
        <f aca="false">IF($BL88&lt;&gt;Constants!$B$4,"",IF($BB88="-&gt;",$BF88,$AV88))</f>
        <v/>
      </c>
      <c r="BW88" s="86" t="str">
        <f aca="false">IF(ISBLANK($C88),"",IF($BL88&lt;&gt;Constants!$B$4,$BL88,IF(ISNUMBER($BV88),RANK($BV88,$BV$9:$BV$508,0),COUNT($BV$9:$BV$508)+1)))</f>
        <v/>
      </c>
      <c r="BX88" s="90" t="str">
        <f aca="false">IF($BL88&lt;&gt;Constants!$B$4,"",IF($BB88="-&gt;",$BK88,$BA88))</f>
        <v/>
      </c>
      <c r="BY88" s="86" t="str">
        <f aca="false">IF(ISBLANK($C88),"",IF($BL88&lt;&gt;Constants!$B$4,$BL88,IF(ISNUMBER($BX88),RANK($BX88,$BX$9:$BX$508,0),COUNT($BX$9:$BX$508)+1)))</f>
        <v/>
      </c>
      <c r="BZ88" s="86" t="str">
        <f aca="false">IF(ISBLANK($C88),"",IF($BL88&lt;&gt;Constants!$B$4,$BL88,COUNTIFS($BM$9:$BM$508,"&lt;"&amp;$BM88)+COUNTIFS($BM$9:$BM$508,$BM88,$BP$9:$BP$508,"&lt;"&amp;$BP88)+COUNTIFS($BM$9:$BM$508,$BM88,$BP$9:$BP$508,$BP88,$BS$9:$BS$508,"&lt;"&amp;$BS88)+COUNTIFS($BM$9:$BM$508,$BM88,$BP$9:$BP$508,$BP88,$BS$9:$BS$508,$BS88,$BU$9:$BU$508,"&lt;"&amp;$BU88)+COUNTIFS($BM$9:$BM$508,$BM88,$BP$9:$BP$508,$BP88,$BS$9:$BS$508,$BS88,$BU$9:$BU$508,$BU88,$BW$9:$BW$508,"&lt;"&amp;$BW88)+COUNTIFS($BM$9:$BM$508,$BM88,$BP$9:$BP$508,$BP88,$BS$9:$BS$508,$BS88,$BU$9:$BU$508,$BU88,$BW$9:$BW$508,$BW88,$BY$9:$BY$508,"&lt;"&amp;$BY88)+1))</f>
        <v/>
      </c>
      <c r="CA88" s="86" t="str">
        <f aca="false">IF(ISBLANK($C88),"",IF($BL88&lt;&gt;Constants!$B$4,$BL88,$BQ88-$BZ88))</f>
        <v/>
      </c>
      <c r="CB88" s="93"/>
      <c r="CC88" s="94" t="str">
        <f aca="false">IF(ISBLANK($C88),"",IF($BL88=Constants!$B$8,$AR88,""))</f>
        <v/>
      </c>
      <c r="CD88" s="94" t="str">
        <f aca="false">IF(ISBLANK($C88),"",IF($BL88&lt;&gt;Constants!$B$4,"",IF($BB88="-&gt;",2,1)))</f>
        <v/>
      </c>
      <c r="CE88" s="95" t="str">
        <f aca="false">IF(ISBLANK($C88),"",IF($BL88&lt;&gt;Constants!$B$4,"",IF($BB88="-&gt;",$BE88,$AU88)))</f>
        <v/>
      </c>
      <c r="CF88" s="95" t="str">
        <f aca="false">IF(ISBLANK($C88),"",IF($BL88&lt;&gt;Constants!$B$4,"",IF($BB88="-&gt;",$BF88,$AV88)))</f>
        <v/>
      </c>
      <c r="CG88" s="95" t="str">
        <f aca="false">IF(ISBLANK($C88),"",IF($BL88&lt;&gt;Constants!$B$4,"",IF($BB88="-&gt;",$BG88,$AW88)))</f>
        <v/>
      </c>
      <c r="CH88" s="95" t="str">
        <f aca="false">IF(ISBLANK($C88),"",IF($BL88&lt;&gt;Constants!$B$4,"",IF($BB88="-&gt;",$BH88,$AX88)))</f>
        <v/>
      </c>
      <c r="CI88" s="96" t="str">
        <f aca="false">IF(ISBLANK($C88),"",$BO88)</f>
        <v/>
      </c>
      <c r="CJ88" s="97" t="str">
        <f aca="false">IF(ISBLANK($C88),"",$BM88)</f>
        <v/>
      </c>
      <c r="CK88" s="98" t="str">
        <f aca="false">IF(ISBLANK($C88),"",$CA88)</f>
        <v/>
      </c>
      <c r="CL88" s="98" t="str">
        <f aca="false">IF(ISBLANK($C88),"",$BZ88)</f>
        <v/>
      </c>
      <c r="CM88" s="99" t="str">
        <f aca="false">IF(ISBLANK($C88),"",IF($CL88=Constants!$B$7,COUNTA($C$9:$C$508)+2,IF($CL88=Constants!$B$6,COUNTA($C$9:$C$508)+1,IF($CL88=Constants!$B$5,COUNTA($C$9:$C$508),$CL88))))</f>
        <v/>
      </c>
      <c r="CN88" s="8"/>
      <c r="CO88" s="100" t="n">
        <f aca="false">IF(OR(ISNUMBER($CL88),$CL88=Constants!$B$7,$CL88=Constants!$B$5,$CL88=Constants!$B$6),1,0)</f>
        <v>0</v>
      </c>
      <c r="CP88" s="100" t="n">
        <v>80</v>
      </c>
      <c r="CQ88" s="100" t="str">
        <f aca="false">IF(ISBLANK($C88),"",IF(ISNUMBER($CM88),$CM88+ROW($B88)/1000,""))</f>
        <v/>
      </c>
      <c r="CR88" s="100" t="str">
        <f aca="false">IF(ISNUMBER($CQ88),RANK($CQ88,$CQ$9:$CQ$508,1),"")</f>
        <v/>
      </c>
      <c r="CS88" s="100" t="str">
        <f aca="false">IF(ISBLANK($C88),"",$B88)</f>
        <v/>
      </c>
      <c r="CT88" s="100" t="str">
        <f aca="false">IF(ISBLANK($C88),"",$C88)</f>
        <v/>
      </c>
      <c r="CU88" s="100" t="str">
        <f aca="false">IF(ISBLANK($C88),"",$D88)</f>
        <v/>
      </c>
      <c r="CV88" s="101" t="str">
        <f aca="false">$CJ88</f>
        <v/>
      </c>
      <c r="CW88" s="102" t="str">
        <f aca="false">$CI88</f>
        <v/>
      </c>
      <c r="CX88" s="100" t="str">
        <f aca="false">IF(ISBLANK($C88),"",$CL88)</f>
        <v/>
      </c>
      <c r="CY88" s="103" t="str">
        <f aca="false">IF($CP88&gt;$CO$8,"",VLOOKUP($CP88,$CR$9:$CX$508,7,FALSE()))</f>
        <v/>
      </c>
      <c r="CZ88" s="104" t="str">
        <f aca="false">IF($CP88&gt;$CO$8,"",VLOOKUP($CP88,$CR$9:$CX$508,2,FALSE()))</f>
        <v/>
      </c>
      <c r="DA88" s="104" t="str">
        <f aca="false">IF($CP88&gt;$CO$8,"",VLOOKUP($CP88,$CR$9:$CX$508,3,FALSE()))</f>
        <v/>
      </c>
      <c r="DB88" s="104" t="str">
        <f aca="false">IF($CP88&gt;$CO$8,"",VLOOKUP($CP88,$CR$9:$CX$508,4,FALSE()))</f>
        <v/>
      </c>
      <c r="DC88" s="104" t="str">
        <f aca="false">IF($CP88&gt;$CO$8,"",VLOOKUP($CP88,$CR$9:$CX$508,5,FALSE()))</f>
        <v/>
      </c>
      <c r="DD88" s="105" t="str">
        <f aca="false">IF($CP88&gt;$CO$8,"",VLOOKUP($CP88,$CR$9:$CX$508,6,FALSE()))</f>
        <v/>
      </c>
      <c r="DE88" s="70"/>
    </row>
    <row r="89" customFormat="false" ht="15.75" hidden="false" customHeight="false" outlineLevel="0" collapsed="false">
      <c r="A89" s="8"/>
      <c r="B89" s="72"/>
      <c r="C89" s="73"/>
      <c r="D89" s="155"/>
      <c r="E89" s="162"/>
      <c r="F89" s="157"/>
      <c r="G89" s="77"/>
      <c r="H89" s="77"/>
      <c r="I89" s="77"/>
      <c r="J89" s="163"/>
      <c r="K89" s="161"/>
      <c r="L89" s="161"/>
      <c r="M89" s="80"/>
      <c r="N89" s="161"/>
      <c r="O89" s="160"/>
      <c r="P89" s="161"/>
      <c r="Q89" s="161"/>
      <c r="R89" s="161"/>
      <c r="S89" s="77"/>
      <c r="T89" s="161"/>
      <c r="U89" s="160"/>
      <c r="V89" s="161"/>
      <c r="W89" s="85"/>
      <c r="X89" s="86" t="str">
        <f aca="false">IF(ISBLANK($C89),"",IF($E89=Constants!$B$2,TRUE(),IF($E89=Constants!$B$3,FALSE(),TRUE())))</f>
        <v/>
      </c>
      <c r="Y89" s="86" t="str">
        <f aca="false">IF(ISBLANK($C89),"",IF($F89=Constants!$B$2,TRUE(),IF($F89=Constants!$B$3,FALSE(),TRUE())))</f>
        <v/>
      </c>
      <c r="Z89" s="87" t="str">
        <f aca="false">IF(ISBLANK($C89),"",IF(ISNUMBER($G89),IF($G89&gt;=0,$G89,""),""))</f>
        <v/>
      </c>
      <c r="AA89" s="87" t="str">
        <f aca="false">IF(ISBLANK($C89),"",IF(ISNUMBER($H89),IF($H89&gt;=0,$H89,""),""))</f>
        <v/>
      </c>
      <c r="AB89" s="87" t="str">
        <f aca="false">IF(ISBLANK($C89),"",IF(ISNUMBER($I89),IF($I89&gt;=0,$I89,""),""))</f>
        <v/>
      </c>
      <c r="AC89" s="86" t="str">
        <f aca="false">IF(ISBLANK($C89),"",IF($J89=Constants!$B$2,TRUE(),IF($J89=Constants!$B$3,FALSE(),TRUE())))</f>
        <v/>
      </c>
      <c r="AD89" s="86" t="str">
        <f aca="false">IF(ISBLANK($C89),"",IF($K89=Constants!$B$2,TRUE(),IF($K89=Constants!$B$3,FALSE(),TRUE())))</f>
        <v/>
      </c>
      <c r="AE89" s="86" t="str">
        <f aca="false">IF(ISBLANK($C89),"",IF($L89=Constants!$B$2,TRUE(),IF($L89=Constants!$B$3,FALSE(),TRUE())))</f>
        <v/>
      </c>
      <c r="AF89" s="88" t="str">
        <f aca="false">IF(ISBLANK($C89),"",IF(ISNUMBER($M89),IF($M89&gt;=0,$M89,""),""))</f>
        <v/>
      </c>
      <c r="AG89" s="86" t="str">
        <f aca="false">IF(ISBLANK($C89),"",IF(ISBLANK($N89),0,IF(ISNUMBER($N89),IF(AND($N89&gt;=0,$N89&lt;=Constants!$B$17,$N89=INT($N89)),$N89,""),"")))</f>
        <v/>
      </c>
      <c r="AH89" s="87" t="str">
        <f aca="false">IF(ISBLANK($C89),"",IF(ISBLANK($O89),0,IF(ISNUMBER($O89),IF($O89&gt;=0,$O89,""),"")))</f>
        <v/>
      </c>
      <c r="AI89" s="86" t="str">
        <f aca="false">IF(ISBLANK($C89),"",IF($P89=Constants!$B$2,TRUE(),IF($P89=Constants!$B$3,FALSE(),TRUE())))</f>
        <v/>
      </c>
      <c r="AJ89" s="86" t="str">
        <f aca="false">IF(ISBLANK($C89),"",IF($Q89=Constants!$B$2,TRUE(),IF($Q89=Constants!$B$3,FALSE(),TRUE())))</f>
        <v/>
      </c>
      <c r="AK89" s="86" t="str">
        <f aca="false">IF(ISBLANK($C89),"",IF($R89=Constants!$B$2,TRUE(),IF($R89=Constants!$B$3,FALSE(),TRUE())))</f>
        <v/>
      </c>
      <c r="AL89" s="88" t="str">
        <f aca="false">IF(ISBLANK($C89),"",IF(ISNUMBER($S89),IF($S89&gt;=0,$S89,""),""))</f>
        <v/>
      </c>
      <c r="AM89" s="86" t="str">
        <f aca="false">IF(ISBLANK($C89),"",IF(ISBLANK($T89),0,IF(ISNUMBER($T89),IF(AND($T89&gt;=0,$T89&lt;=Constants!$B$17,$T89=INT($T89)),$T89,""),"")))</f>
        <v/>
      </c>
      <c r="AN89" s="87" t="str">
        <f aca="false">IF(ISBLANK($C89),"",IF(ISBLANK($U89),0,IF(ISNUMBER($U89),IF($U89&gt;=0,$U89,""),"")))</f>
        <v/>
      </c>
      <c r="AO89" s="86" t="str">
        <f aca="false">IF(ISBLANK($C89),"",IF($V89=Constants!$B$2,TRUE(),IF($V89=Constants!$B$3,FALSE(),FALSE())))</f>
        <v/>
      </c>
      <c r="AP89" s="86"/>
      <c r="AQ89" s="85" t="str">
        <f aca="false">IF(ISBLANK($C89),"",AND($Y89,OR($AS89,$BC89),OR($Z89="",$AA89="",$AB89="")))</f>
        <v/>
      </c>
      <c r="AR89" s="85" t="str">
        <f aca="false">IF(ISBLANK($C89),"",IF(OR(NOT($Y89),NOT(OR($AS89,$BC89))),"",IF(ISBLANK($D$7),$AR$5,IF($AP$9="",$AR$6,""))))</f>
        <v/>
      </c>
      <c r="AS89" s="85" t="str">
        <f aca="false">IF(ISBLANK($C89),"",COUNTA($J89:$O89)&gt;0)</f>
        <v/>
      </c>
      <c r="AT89" s="85" t="str">
        <f aca="false">IF(ISBLANK($C89),"",AND($AS89,OR(AND($AF89="",OR($AE89,NOT(ISBLANK($M89)))),$AG89="",$AH89="")))</f>
        <v/>
      </c>
      <c r="AU89" s="87" t="str">
        <f aca="false">IF($BL89&lt;&gt;Constants!$B$4,"",IF(NOT($AS89),"",ROUND((Constants!$B$12-$AB89)+(Constants!$B$13-$Z89)+(Constants!$B$14-$AA89),1)))</f>
        <v/>
      </c>
      <c r="AV89" s="90" t="str">
        <f aca="false">IF($BL89&lt;&gt;Constants!$B$4,"",IF(NOT($AS89),"",IF(NOT($AE89),0,Constants!$B$15*(INT(ROUND(MIN($AF89,$AP$9),6))-INT(ROUND(MAX(0,MIN($AF89,2*$AP$9)-$AP$9),6))))))</f>
        <v/>
      </c>
      <c r="AW89" s="90" t="str">
        <f aca="false">IF($BL89&lt;&gt;Constants!$B$4,"",IF(NOT($AS89),"",Constants!$B$16*$AG89))</f>
        <v/>
      </c>
      <c r="AX89" s="90" t="str">
        <f aca="false">IF($BL89&lt;&gt;Constants!$B$4,"",IF(NOT($AS89),"",Constants!$B$18*INT(ROUND($AH89,6))))</f>
        <v/>
      </c>
      <c r="AY89" s="85" t="str">
        <f aca="false">IF($BL89&lt;&gt;Constants!$B$4,"",IF(NOT($AS89),"",IF(NOT($X89),Constants!$B$11,IF(OR(NOT($AC89),NOT($AD89),ROUND($AB89,1)&gt;Constants!$B$12,ROUND($Z89,1)&gt;Constants!$B$13,ROUND($AA89,1)&gt;Constants!$B$14),Constants!$B$10,Constants!$B$9))))</f>
        <v/>
      </c>
      <c r="AZ89" s="91" t="str">
        <f aca="false">IF($BL89&lt;&gt;Constants!$B$4,"",IF(NOT($AS89),"",ROUND($AU89+$AV89+$AW89+$AX89,1)))</f>
        <v/>
      </c>
      <c r="BA89" s="92" t="str">
        <f aca="false">IF($BL89&lt;&gt;Constants!$B$4,"",IF(NOT($AS89),"",IF(ISNUMBER($AF89),$AF89,0)))</f>
        <v/>
      </c>
      <c r="BB89" s="86" t="str">
        <f aca="false">IF($BL89&lt;&gt;Constants!$B$4,"",IF(NOT($BC89),"&lt;-",IF(NOT($AS89),"-&gt;",IF(OR($BI89&lt;$AY89,AND($BI89=$AY89,OR($BJ89&gt;$AZ89,AND($BJ89=$AZ89,OR($BH89&gt;$AX89,AND($BH89=$AX89,OR($BE89&gt;$AU89,AND($BE89=$AU89,OR($BF89&gt;$AV89,AND($BF89=$AV89,$BK89&gt;$BA89)))))))))),"-&gt;","&lt;-"))))</f>
        <v/>
      </c>
      <c r="BC89" s="85" t="str">
        <f aca="false">IF(ISBLANK($C89),"",COUNTA($P89:$U89)&gt;0)</f>
        <v/>
      </c>
      <c r="BD89" s="85" t="str">
        <f aca="false">IF(ISBLANK($C89),"",AND($BC89,OR(AND($AL89="",OR($AK89,NOT(ISBLANK($S89)))),$AM89="",$AN89="")))</f>
        <v/>
      </c>
      <c r="BE89" s="87" t="str">
        <f aca="false">IF($BL89&lt;&gt;Constants!$B$4,"",IF(NOT($BC89),"",ROUND((Constants!$B$12-$AB89)+(Constants!$B$13-$Z89)+(Constants!$B$14-$AA89),1)))</f>
        <v/>
      </c>
      <c r="BF89" s="90" t="str">
        <f aca="false">IF($BL89&lt;&gt;Constants!$B$4,"",IF(NOT($BC89),"",IF(NOT($AK89),0,Constants!$B$15*(INT(ROUND(MIN($AL89,$AP$9),6))-INT(ROUND(MAX(0,MIN($AL89,2*$AP$9)-$AP$9),6))))))</f>
        <v/>
      </c>
      <c r="BG89" s="90" t="str">
        <f aca="false">IF($BL89&lt;&gt;Constants!$B$4,"",IF(NOT($BC89),"",Constants!$B$16*$AM89))</f>
        <v/>
      </c>
      <c r="BH89" s="90" t="str">
        <f aca="false">IF($BL89&lt;&gt;Constants!$B$4,"",IF(NOT($BC89),"",Constants!$B$18*INT(ROUND($AN89,6))))</f>
        <v/>
      </c>
      <c r="BI89" s="85" t="str">
        <f aca="false">IF($BL89&lt;&gt;Constants!$B$4,"",IF(NOT($BC89),"",IF(NOT($X89),Constants!$B$11,IF(OR(NOT($AI89),NOT($AJ89),ROUND($AB89,1)&gt;Constants!$B$12,ROUND($Z89,1)&gt;Constants!$B$13,ROUND($AA89,1)&gt;Constants!$B$14),Constants!$B$10,Constants!$B$9))))</f>
        <v/>
      </c>
      <c r="BJ89" s="91" t="str">
        <f aca="false">IF($BL89&lt;&gt;Constants!$B$4,"",IF(NOT($BC89),"",ROUND($BE89+$BF89+$BG89+$BH89,1)))</f>
        <v/>
      </c>
      <c r="BK89" s="92" t="str">
        <f aca="false">IF($BL89&lt;&gt;Constants!$B$4,"",IF(NOT($BC89),"",IF(ISNUMBER($AL89),$AL89,0)))</f>
        <v/>
      </c>
      <c r="BL89" s="86" t="str">
        <f aca="false">IF(ISBLANK($C89),"",IF($AO89,Constants!$B$7,IF(COUNTA($E89:$V89)=0,Constants!$B$6,IF(NOT($Y89),Constants!$B$5,IF(NOT(OR($AS89,$BC89)),Constants!$B$5,IF(OR($AT89,$BD89,$AQ89,$AR89&lt;&gt;""),Constants!$B$8,Constants!$B$4))))))</f>
        <v/>
      </c>
      <c r="BM89" s="86" t="str">
        <f aca="false">IF(ISBLANK($C89),"",IF($BL89&lt;&gt;Constants!$B$4,$BL89,IF($BB89="-&gt;",$BI89,$AY89)))</f>
        <v/>
      </c>
      <c r="BN89" s="90" t="str">
        <f aca="false">IF($BL89&lt;&gt;Constants!$B$4,"",IF($BB89="-&gt;",$BJ89,$AZ89))</f>
        <v/>
      </c>
      <c r="BO89" s="90" t="str">
        <f aca="false">IF(ISBLANK($C89),"",IF($BL89&lt;&gt;Constants!$B$4,$BL89,$BN89))</f>
        <v/>
      </c>
      <c r="BP89" s="86" t="str">
        <f aca="false">IF(ISBLANK($C89),"",IF($BL89&lt;&gt;Constants!$B$4,$BL89,RANK($BO89,$BO$9:$BO$508,0)))</f>
        <v/>
      </c>
      <c r="BQ89" s="86" t="str">
        <f aca="false">IF(ISBLANK($C89),"",IF($BL89&lt;&gt;Constants!$B$4,$BL89,COUNTIFS($BM$9:$BM$508,"&lt;"&amp;$BM89)+COUNTIFS($BM$9:$BM$508,$BM89,$BP$9:$BP$508,"&lt;"&amp;$BP89)+1))</f>
        <v/>
      </c>
      <c r="BR89" s="90" t="str">
        <f aca="false">IF($BL89&lt;&gt;Constants!$B$4,"",IF($BB89="-&gt;",$BH89,$AX89))</f>
        <v/>
      </c>
      <c r="BS89" s="86" t="str">
        <f aca="false">IF(ISBLANK($C89),"",IF($BL89&lt;&gt;Constants!$B$4,$BL89,IF(ISNUMBER($BR89),RANK($BR89,$BR$9:$BR$508,0),COUNT($BR$9:$BR$508)+1)))</f>
        <v/>
      </c>
      <c r="BT89" s="90" t="str">
        <f aca="false">IF($BL89&lt;&gt;Constants!$B$4,"",IF($BB89="-&gt;",$BE89,$AU89))</f>
        <v/>
      </c>
      <c r="BU89" s="86" t="str">
        <f aca="false">IF(ISBLANK($C89),"",IF($BL89&lt;&gt;Constants!$B$4,$BL89,IF(ISNUMBER($BT89),RANK($BT89,$BT$9:$BT$508,0),COUNT($BT$9:$BT$508)+1)))</f>
        <v/>
      </c>
      <c r="BV89" s="90" t="str">
        <f aca="false">IF($BL89&lt;&gt;Constants!$B$4,"",IF($BB89="-&gt;",$BF89,$AV89))</f>
        <v/>
      </c>
      <c r="BW89" s="86" t="str">
        <f aca="false">IF(ISBLANK($C89),"",IF($BL89&lt;&gt;Constants!$B$4,$BL89,IF(ISNUMBER($BV89),RANK($BV89,$BV$9:$BV$508,0),COUNT($BV$9:$BV$508)+1)))</f>
        <v/>
      </c>
      <c r="BX89" s="90" t="str">
        <f aca="false">IF($BL89&lt;&gt;Constants!$B$4,"",IF($BB89="-&gt;",$BK89,$BA89))</f>
        <v/>
      </c>
      <c r="BY89" s="86" t="str">
        <f aca="false">IF(ISBLANK($C89),"",IF($BL89&lt;&gt;Constants!$B$4,$BL89,IF(ISNUMBER($BX89),RANK($BX89,$BX$9:$BX$508,0),COUNT($BX$9:$BX$508)+1)))</f>
        <v/>
      </c>
      <c r="BZ89" s="86" t="str">
        <f aca="false">IF(ISBLANK($C89),"",IF($BL89&lt;&gt;Constants!$B$4,$BL89,COUNTIFS($BM$9:$BM$508,"&lt;"&amp;$BM89)+COUNTIFS($BM$9:$BM$508,$BM89,$BP$9:$BP$508,"&lt;"&amp;$BP89)+COUNTIFS($BM$9:$BM$508,$BM89,$BP$9:$BP$508,$BP89,$BS$9:$BS$508,"&lt;"&amp;$BS89)+COUNTIFS($BM$9:$BM$508,$BM89,$BP$9:$BP$508,$BP89,$BS$9:$BS$508,$BS89,$BU$9:$BU$508,"&lt;"&amp;$BU89)+COUNTIFS($BM$9:$BM$508,$BM89,$BP$9:$BP$508,$BP89,$BS$9:$BS$508,$BS89,$BU$9:$BU$508,$BU89,$BW$9:$BW$508,"&lt;"&amp;$BW89)+COUNTIFS($BM$9:$BM$508,$BM89,$BP$9:$BP$508,$BP89,$BS$9:$BS$508,$BS89,$BU$9:$BU$508,$BU89,$BW$9:$BW$508,$BW89,$BY$9:$BY$508,"&lt;"&amp;$BY89)+1))</f>
        <v/>
      </c>
      <c r="CA89" s="86" t="str">
        <f aca="false">IF(ISBLANK($C89),"",IF($BL89&lt;&gt;Constants!$B$4,$BL89,$BQ89-$BZ89))</f>
        <v/>
      </c>
      <c r="CB89" s="93"/>
      <c r="CC89" s="94" t="str">
        <f aca="false">IF(ISBLANK($C89),"",IF($BL89=Constants!$B$8,$AR89,""))</f>
        <v/>
      </c>
      <c r="CD89" s="94" t="str">
        <f aca="false">IF(ISBLANK($C89),"",IF($BL89&lt;&gt;Constants!$B$4,"",IF($BB89="-&gt;",2,1)))</f>
        <v/>
      </c>
      <c r="CE89" s="95" t="str">
        <f aca="false">IF(ISBLANK($C89),"",IF($BL89&lt;&gt;Constants!$B$4,"",IF($BB89="-&gt;",$BE89,$AU89)))</f>
        <v/>
      </c>
      <c r="CF89" s="95" t="str">
        <f aca="false">IF(ISBLANK($C89),"",IF($BL89&lt;&gt;Constants!$B$4,"",IF($BB89="-&gt;",$BF89,$AV89)))</f>
        <v/>
      </c>
      <c r="CG89" s="95" t="str">
        <f aca="false">IF(ISBLANK($C89),"",IF($BL89&lt;&gt;Constants!$B$4,"",IF($BB89="-&gt;",$BG89,$AW89)))</f>
        <v/>
      </c>
      <c r="CH89" s="95" t="str">
        <f aca="false">IF(ISBLANK($C89),"",IF($BL89&lt;&gt;Constants!$B$4,"",IF($BB89="-&gt;",$BH89,$AX89)))</f>
        <v/>
      </c>
      <c r="CI89" s="96" t="str">
        <f aca="false">IF(ISBLANK($C89),"",$BO89)</f>
        <v/>
      </c>
      <c r="CJ89" s="97" t="str">
        <f aca="false">IF(ISBLANK($C89),"",$BM89)</f>
        <v/>
      </c>
      <c r="CK89" s="98" t="str">
        <f aca="false">IF(ISBLANK($C89),"",$CA89)</f>
        <v/>
      </c>
      <c r="CL89" s="98" t="str">
        <f aca="false">IF(ISBLANK($C89),"",$BZ89)</f>
        <v/>
      </c>
      <c r="CM89" s="99" t="str">
        <f aca="false">IF(ISBLANK($C89),"",IF($CL89=Constants!$B$7,COUNTA($C$9:$C$508)+2,IF($CL89=Constants!$B$6,COUNTA($C$9:$C$508)+1,IF($CL89=Constants!$B$5,COUNTA($C$9:$C$508),$CL89))))</f>
        <v/>
      </c>
      <c r="CN89" s="8"/>
      <c r="CO89" s="100" t="n">
        <f aca="false">IF(OR(ISNUMBER($CL89),$CL89=Constants!$B$7,$CL89=Constants!$B$5,$CL89=Constants!$B$6),1,0)</f>
        <v>0</v>
      </c>
      <c r="CP89" s="100" t="n">
        <v>81</v>
      </c>
      <c r="CQ89" s="100" t="str">
        <f aca="false">IF(ISBLANK($C89),"",IF(ISNUMBER($CM89),$CM89+ROW($B89)/1000,""))</f>
        <v/>
      </c>
      <c r="CR89" s="100" t="str">
        <f aca="false">IF(ISNUMBER($CQ89),RANK($CQ89,$CQ$9:$CQ$508,1),"")</f>
        <v/>
      </c>
      <c r="CS89" s="100" t="str">
        <f aca="false">IF(ISBLANK($C89),"",$B89)</f>
        <v/>
      </c>
      <c r="CT89" s="100" t="str">
        <f aca="false">IF(ISBLANK($C89),"",$C89)</f>
        <v/>
      </c>
      <c r="CU89" s="100" t="str">
        <f aca="false">IF(ISBLANK($C89),"",$D89)</f>
        <v/>
      </c>
      <c r="CV89" s="101" t="str">
        <f aca="false">$CJ89</f>
        <v/>
      </c>
      <c r="CW89" s="102" t="str">
        <f aca="false">$CI89</f>
        <v/>
      </c>
      <c r="CX89" s="100" t="str">
        <f aca="false">IF(ISBLANK($C89),"",$CL89)</f>
        <v/>
      </c>
      <c r="CY89" s="103" t="str">
        <f aca="false">IF($CP89&gt;$CO$8,"",VLOOKUP($CP89,$CR$9:$CX$508,7,FALSE()))</f>
        <v/>
      </c>
      <c r="CZ89" s="104" t="str">
        <f aca="false">IF($CP89&gt;$CO$8,"",VLOOKUP($CP89,$CR$9:$CX$508,2,FALSE()))</f>
        <v/>
      </c>
      <c r="DA89" s="104" t="str">
        <f aca="false">IF($CP89&gt;$CO$8,"",VLOOKUP($CP89,$CR$9:$CX$508,3,FALSE()))</f>
        <v/>
      </c>
      <c r="DB89" s="104" t="str">
        <f aca="false">IF($CP89&gt;$CO$8,"",VLOOKUP($CP89,$CR$9:$CX$508,4,FALSE()))</f>
        <v/>
      </c>
      <c r="DC89" s="104" t="str">
        <f aca="false">IF($CP89&gt;$CO$8,"",VLOOKUP($CP89,$CR$9:$CX$508,5,FALSE()))</f>
        <v/>
      </c>
      <c r="DD89" s="105" t="str">
        <f aca="false">IF($CP89&gt;$CO$8,"",VLOOKUP($CP89,$CR$9:$CX$508,6,FALSE()))</f>
        <v/>
      </c>
      <c r="DE89" s="70"/>
    </row>
    <row r="90" customFormat="false" ht="15.75" hidden="false" customHeight="false" outlineLevel="0" collapsed="false">
      <c r="A90" s="8"/>
      <c r="B90" s="146"/>
      <c r="C90" s="147"/>
      <c r="D90" s="148"/>
      <c r="E90" s="164"/>
      <c r="F90" s="150"/>
      <c r="G90" s="115"/>
      <c r="H90" s="115"/>
      <c r="I90" s="115"/>
      <c r="J90" s="165"/>
      <c r="K90" s="154"/>
      <c r="L90" s="154"/>
      <c r="M90" s="118"/>
      <c r="N90" s="154"/>
      <c r="O90" s="153"/>
      <c r="P90" s="154"/>
      <c r="Q90" s="154"/>
      <c r="R90" s="154"/>
      <c r="S90" s="115"/>
      <c r="T90" s="154"/>
      <c r="U90" s="153"/>
      <c r="V90" s="154"/>
      <c r="W90" s="123"/>
      <c r="X90" s="124" t="str">
        <f aca="false">IF(ISBLANK($C90),"",IF($E90=Constants!$B$2,TRUE(),IF($E90=Constants!$B$3,FALSE(),TRUE())))</f>
        <v/>
      </c>
      <c r="Y90" s="124" t="str">
        <f aca="false">IF(ISBLANK($C90),"",IF($F90=Constants!$B$2,TRUE(),IF($F90=Constants!$B$3,FALSE(),TRUE())))</f>
        <v/>
      </c>
      <c r="Z90" s="125" t="str">
        <f aca="false">IF(ISBLANK($C90),"",IF(ISNUMBER($G90),IF($G90&gt;=0,$G90,""),""))</f>
        <v/>
      </c>
      <c r="AA90" s="125" t="str">
        <f aca="false">IF(ISBLANK($C90),"",IF(ISNUMBER($H90),IF($H90&gt;=0,$H90,""),""))</f>
        <v/>
      </c>
      <c r="AB90" s="125" t="str">
        <f aca="false">IF(ISBLANK($C90),"",IF(ISNUMBER($I90),IF($I90&gt;=0,$I90,""),""))</f>
        <v/>
      </c>
      <c r="AC90" s="124" t="str">
        <f aca="false">IF(ISBLANK($C90),"",IF($J90=Constants!$B$2,TRUE(),IF($J90=Constants!$B$3,FALSE(),TRUE())))</f>
        <v/>
      </c>
      <c r="AD90" s="124" t="str">
        <f aca="false">IF(ISBLANK($C90),"",IF($K90=Constants!$B$2,TRUE(),IF($K90=Constants!$B$3,FALSE(),TRUE())))</f>
        <v/>
      </c>
      <c r="AE90" s="124" t="str">
        <f aca="false">IF(ISBLANK($C90),"",IF($L90=Constants!$B$2,TRUE(),IF($L90=Constants!$B$3,FALSE(),TRUE())))</f>
        <v/>
      </c>
      <c r="AF90" s="126" t="str">
        <f aca="false">IF(ISBLANK($C90),"",IF(ISNUMBER($M90),IF($M90&gt;=0,$M90,""),""))</f>
        <v/>
      </c>
      <c r="AG90" s="124" t="str">
        <f aca="false">IF(ISBLANK($C90),"",IF(ISBLANK($N90),0,IF(ISNUMBER($N90),IF(AND($N90&gt;=0,$N90&lt;=Constants!$B$17,$N90=INT($N90)),$N90,""),"")))</f>
        <v/>
      </c>
      <c r="AH90" s="125" t="str">
        <f aca="false">IF(ISBLANK($C90),"",IF(ISBLANK($O90),0,IF(ISNUMBER($O90),IF($O90&gt;=0,$O90,""),"")))</f>
        <v/>
      </c>
      <c r="AI90" s="124" t="str">
        <f aca="false">IF(ISBLANK($C90),"",IF($P90=Constants!$B$2,TRUE(),IF($P90=Constants!$B$3,FALSE(),TRUE())))</f>
        <v/>
      </c>
      <c r="AJ90" s="124" t="str">
        <f aca="false">IF(ISBLANK($C90),"",IF($Q90=Constants!$B$2,TRUE(),IF($Q90=Constants!$B$3,FALSE(),TRUE())))</f>
        <v/>
      </c>
      <c r="AK90" s="124" t="str">
        <f aca="false">IF(ISBLANK($C90),"",IF($R90=Constants!$B$2,TRUE(),IF($R90=Constants!$B$3,FALSE(),TRUE())))</f>
        <v/>
      </c>
      <c r="AL90" s="126" t="str">
        <f aca="false">IF(ISBLANK($C90),"",IF(ISNUMBER($S90),IF($S90&gt;=0,$S90,""),""))</f>
        <v/>
      </c>
      <c r="AM90" s="124" t="str">
        <f aca="false">IF(ISBLANK($C90),"",IF(ISBLANK($T90),0,IF(ISNUMBER($T90),IF(AND($T90&gt;=0,$T90&lt;=Constants!$B$17,$T90=INT($T90)),$T90,""),"")))</f>
        <v/>
      </c>
      <c r="AN90" s="125" t="str">
        <f aca="false">IF(ISBLANK($C90),"",IF(ISBLANK($U90),0,IF(ISNUMBER($U90),IF($U90&gt;=0,$U90,""),"")))</f>
        <v/>
      </c>
      <c r="AO90" s="124" t="str">
        <f aca="false">IF(ISBLANK($C90),"",IF($V90=Constants!$B$2,TRUE(),IF($V90=Constants!$B$3,FALSE(),FALSE())))</f>
        <v/>
      </c>
      <c r="AP90" s="124"/>
      <c r="AQ90" s="123" t="str">
        <f aca="false">IF(ISBLANK($C90),"",AND($Y90,OR($AS90,$BC90),OR($Z90="",$AA90="",$AB90="")))</f>
        <v/>
      </c>
      <c r="AR90" s="123" t="str">
        <f aca="false">IF(ISBLANK($C90),"",IF(OR(NOT($Y90),NOT(OR($AS90,$BC90))),"",IF(ISBLANK($D$7),$AR$5,IF($AP$9="",$AR$6,""))))</f>
        <v/>
      </c>
      <c r="AS90" s="123" t="str">
        <f aca="false">IF(ISBLANK($C90),"",COUNTA($J90:$O90)&gt;0)</f>
        <v/>
      </c>
      <c r="AT90" s="123" t="str">
        <f aca="false">IF(ISBLANK($C90),"",AND($AS90,OR(AND($AF90="",OR($AE90,NOT(ISBLANK($M90)))),$AG90="",$AH90="")))</f>
        <v/>
      </c>
      <c r="AU90" s="125" t="str">
        <f aca="false">IF($BL90&lt;&gt;Constants!$B$4,"",IF(NOT($AS90),"",ROUND((Constants!$B$12-$AB90)+(Constants!$B$13-$Z90)+(Constants!$B$14-$AA90),1)))</f>
        <v/>
      </c>
      <c r="AV90" s="127" t="str">
        <f aca="false">IF($BL90&lt;&gt;Constants!$B$4,"",IF(NOT($AS90),"",IF(NOT($AE90),0,Constants!$B$15*(INT(ROUND(MIN($AF90,$AP$9),6))-INT(ROUND(MAX(0,MIN($AF90,2*$AP$9)-$AP$9),6))))))</f>
        <v/>
      </c>
      <c r="AW90" s="127" t="str">
        <f aca="false">IF($BL90&lt;&gt;Constants!$B$4,"",IF(NOT($AS90),"",Constants!$B$16*$AG90))</f>
        <v/>
      </c>
      <c r="AX90" s="127" t="str">
        <f aca="false">IF($BL90&lt;&gt;Constants!$B$4,"",IF(NOT($AS90),"",Constants!$B$18*INT(ROUND($AH90,6))))</f>
        <v/>
      </c>
      <c r="AY90" s="123" t="str">
        <f aca="false">IF($BL90&lt;&gt;Constants!$B$4,"",IF(NOT($AS90),"",IF(NOT($X90),Constants!$B$11,IF(OR(NOT($AC90),NOT($AD90),ROUND($AB90,1)&gt;Constants!$B$12,ROUND($Z90,1)&gt;Constants!$B$13,ROUND($AA90,1)&gt;Constants!$B$14),Constants!$B$10,Constants!$B$9))))</f>
        <v/>
      </c>
      <c r="AZ90" s="128" t="str">
        <f aca="false">IF($BL90&lt;&gt;Constants!$B$4,"",IF(NOT($AS90),"",ROUND($AU90+$AV90+$AW90+$AX90,1)))</f>
        <v/>
      </c>
      <c r="BA90" s="129" t="str">
        <f aca="false">IF($BL90&lt;&gt;Constants!$B$4,"",IF(NOT($AS90),"",IF(ISNUMBER($AF90),$AF90,0)))</f>
        <v/>
      </c>
      <c r="BB90" s="124" t="str">
        <f aca="false">IF($BL90&lt;&gt;Constants!$B$4,"",IF(NOT($BC90),"&lt;-",IF(NOT($AS90),"-&gt;",IF(OR($BI90&lt;$AY90,AND($BI90=$AY90,OR($BJ90&gt;$AZ90,AND($BJ90=$AZ90,OR($BH90&gt;$AX90,AND($BH90=$AX90,OR($BE90&gt;$AU90,AND($BE90=$AU90,OR($BF90&gt;$AV90,AND($BF90=$AV90,$BK90&gt;$BA90)))))))))),"-&gt;","&lt;-"))))</f>
        <v/>
      </c>
      <c r="BC90" s="123" t="str">
        <f aca="false">IF(ISBLANK($C90),"",COUNTA($P90:$U90)&gt;0)</f>
        <v/>
      </c>
      <c r="BD90" s="123" t="str">
        <f aca="false">IF(ISBLANK($C90),"",AND($BC90,OR(AND($AL90="",OR($AK90,NOT(ISBLANK($S90)))),$AM90="",$AN90="")))</f>
        <v/>
      </c>
      <c r="BE90" s="125" t="str">
        <f aca="false">IF($BL90&lt;&gt;Constants!$B$4,"",IF(NOT($BC90),"",ROUND((Constants!$B$12-$AB90)+(Constants!$B$13-$Z90)+(Constants!$B$14-$AA90),1)))</f>
        <v/>
      </c>
      <c r="BF90" s="127" t="str">
        <f aca="false">IF($BL90&lt;&gt;Constants!$B$4,"",IF(NOT($BC90),"",IF(NOT($AK90),0,Constants!$B$15*(INT(ROUND(MIN($AL90,$AP$9),6))-INT(ROUND(MAX(0,MIN($AL90,2*$AP$9)-$AP$9),6))))))</f>
        <v/>
      </c>
      <c r="BG90" s="127" t="str">
        <f aca="false">IF($BL90&lt;&gt;Constants!$B$4,"",IF(NOT($BC90),"",Constants!$B$16*$AM90))</f>
        <v/>
      </c>
      <c r="BH90" s="127" t="str">
        <f aca="false">IF($BL90&lt;&gt;Constants!$B$4,"",IF(NOT($BC90),"",Constants!$B$18*INT(ROUND($AN90,6))))</f>
        <v/>
      </c>
      <c r="BI90" s="123" t="str">
        <f aca="false">IF($BL90&lt;&gt;Constants!$B$4,"",IF(NOT($BC90),"",IF(NOT($X90),Constants!$B$11,IF(OR(NOT($AI90),NOT($AJ90),ROUND($AB90,1)&gt;Constants!$B$12,ROUND($Z90,1)&gt;Constants!$B$13,ROUND($AA90,1)&gt;Constants!$B$14),Constants!$B$10,Constants!$B$9))))</f>
        <v/>
      </c>
      <c r="BJ90" s="128" t="str">
        <f aca="false">IF($BL90&lt;&gt;Constants!$B$4,"",IF(NOT($BC90),"",ROUND($BE90+$BF90+$BG90+$BH90,1)))</f>
        <v/>
      </c>
      <c r="BK90" s="129" t="str">
        <f aca="false">IF($BL90&lt;&gt;Constants!$B$4,"",IF(NOT($BC90),"",IF(ISNUMBER($AL90),$AL90,0)))</f>
        <v/>
      </c>
      <c r="BL90" s="124" t="str">
        <f aca="false">IF(ISBLANK($C90),"",IF($AO90,Constants!$B$7,IF(COUNTA($E90:$V90)=0,Constants!$B$6,IF(NOT($Y90),Constants!$B$5,IF(NOT(OR($AS90,$BC90)),Constants!$B$5,IF(OR($AT90,$BD90,$AQ90,$AR90&lt;&gt;""),Constants!$B$8,Constants!$B$4))))))</f>
        <v/>
      </c>
      <c r="BM90" s="124" t="str">
        <f aca="false">IF(ISBLANK($C90),"",IF($BL90&lt;&gt;Constants!$B$4,$BL90,IF($BB90="-&gt;",$BI90,$AY90)))</f>
        <v/>
      </c>
      <c r="BN90" s="127" t="str">
        <f aca="false">IF($BL90&lt;&gt;Constants!$B$4,"",IF($BB90="-&gt;",$BJ90,$AZ90))</f>
        <v/>
      </c>
      <c r="BO90" s="127" t="str">
        <f aca="false">IF(ISBLANK($C90),"",IF($BL90&lt;&gt;Constants!$B$4,$BL90,$BN90))</f>
        <v/>
      </c>
      <c r="BP90" s="124" t="str">
        <f aca="false">IF(ISBLANK($C90),"",IF($BL90&lt;&gt;Constants!$B$4,$BL90,RANK($BO90,$BO$9:$BO$508,0)))</f>
        <v/>
      </c>
      <c r="BQ90" s="124" t="str">
        <f aca="false">IF(ISBLANK($C90),"",IF($BL90&lt;&gt;Constants!$B$4,$BL90,COUNTIFS($BM$9:$BM$508,"&lt;"&amp;$BM90)+COUNTIFS($BM$9:$BM$508,$BM90,$BP$9:$BP$508,"&lt;"&amp;$BP90)+1))</f>
        <v/>
      </c>
      <c r="BR90" s="127" t="str">
        <f aca="false">IF($BL90&lt;&gt;Constants!$B$4,"",IF($BB90="-&gt;",$BH90,$AX90))</f>
        <v/>
      </c>
      <c r="BS90" s="124" t="str">
        <f aca="false">IF(ISBLANK($C90),"",IF($BL90&lt;&gt;Constants!$B$4,$BL90,IF(ISNUMBER($BR90),RANK($BR90,$BR$9:$BR$508,0),COUNT($BR$9:$BR$508)+1)))</f>
        <v/>
      </c>
      <c r="BT90" s="127" t="str">
        <f aca="false">IF($BL90&lt;&gt;Constants!$B$4,"",IF($BB90="-&gt;",$BE90,$AU90))</f>
        <v/>
      </c>
      <c r="BU90" s="124" t="str">
        <f aca="false">IF(ISBLANK($C90),"",IF($BL90&lt;&gt;Constants!$B$4,$BL90,IF(ISNUMBER($BT90),RANK($BT90,$BT$9:$BT$508,0),COUNT($BT$9:$BT$508)+1)))</f>
        <v/>
      </c>
      <c r="BV90" s="127" t="str">
        <f aca="false">IF($BL90&lt;&gt;Constants!$B$4,"",IF($BB90="-&gt;",$BF90,$AV90))</f>
        <v/>
      </c>
      <c r="BW90" s="124" t="str">
        <f aca="false">IF(ISBLANK($C90),"",IF($BL90&lt;&gt;Constants!$B$4,$BL90,IF(ISNUMBER($BV90),RANK($BV90,$BV$9:$BV$508,0),COUNT($BV$9:$BV$508)+1)))</f>
        <v/>
      </c>
      <c r="BX90" s="127" t="str">
        <f aca="false">IF($BL90&lt;&gt;Constants!$B$4,"",IF($BB90="-&gt;",$BK90,$BA90))</f>
        <v/>
      </c>
      <c r="BY90" s="124" t="str">
        <f aca="false">IF(ISBLANK($C90),"",IF($BL90&lt;&gt;Constants!$B$4,$BL90,IF(ISNUMBER($BX90),RANK($BX90,$BX$9:$BX$508,0),COUNT($BX$9:$BX$508)+1)))</f>
        <v/>
      </c>
      <c r="BZ90" s="124" t="str">
        <f aca="false">IF(ISBLANK($C90),"",IF($BL90&lt;&gt;Constants!$B$4,$BL90,COUNTIFS($BM$9:$BM$508,"&lt;"&amp;$BM90)+COUNTIFS($BM$9:$BM$508,$BM90,$BP$9:$BP$508,"&lt;"&amp;$BP90)+COUNTIFS($BM$9:$BM$508,$BM90,$BP$9:$BP$508,$BP90,$BS$9:$BS$508,"&lt;"&amp;$BS90)+COUNTIFS($BM$9:$BM$508,$BM90,$BP$9:$BP$508,$BP90,$BS$9:$BS$508,$BS90,$BU$9:$BU$508,"&lt;"&amp;$BU90)+COUNTIFS($BM$9:$BM$508,$BM90,$BP$9:$BP$508,$BP90,$BS$9:$BS$508,$BS90,$BU$9:$BU$508,$BU90,$BW$9:$BW$508,"&lt;"&amp;$BW90)+COUNTIFS($BM$9:$BM$508,$BM90,$BP$9:$BP$508,$BP90,$BS$9:$BS$508,$BS90,$BU$9:$BU$508,$BU90,$BW$9:$BW$508,$BW90,$BY$9:$BY$508,"&lt;"&amp;$BY90)+1))</f>
        <v/>
      </c>
      <c r="CA90" s="124" t="str">
        <f aca="false">IF(ISBLANK($C90),"",IF($BL90&lt;&gt;Constants!$B$4,$BL90,$BQ90-$BZ90))</f>
        <v/>
      </c>
      <c r="CB90" s="130"/>
      <c r="CC90" s="131" t="str">
        <f aca="false">IF(ISBLANK($C90),"",IF($BL90=Constants!$B$8,$AR90,""))</f>
        <v/>
      </c>
      <c r="CD90" s="131" t="str">
        <f aca="false">IF(ISBLANK($C90),"",IF($BL90&lt;&gt;Constants!$B$4,"",IF($BB90="-&gt;",2,1)))</f>
        <v/>
      </c>
      <c r="CE90" s="132" t="str">
        <f aca="false">IF(ISBLANK($C90),"",IF($BL90&lt;&gt;Constants!$B$4,"",IF($BB90="-&gt;",$BE90,$AU90)))</f>
        <v/>
      </c>
      <c r="CF90" s="132" t="str">
        <f aca="false">IF(ISBLANK($C90),"",IF($BL90&lt;&gt;Constants!$B$4,"",IF($BB90="-&gt;",$BF90,$AV90)))</f>
        <v/>
      </c>
      <c r="CG90" s="132" t="str">
        <f aca="false">IF(ISBLANK($C90),"",IF($BL90&lt;&gt;Constants!$B$4,"",IF($BB90="-&gt;",$BG90,$AW90)))</f>
        <v/>
      </c>
      <c r="CH90" s="132" t="str">
        <f aca="false">IF(ISBLANK($C90),"",IF($BL90&lt;&gt;Constants!$B$4,"",IF($BB90="-&gt;",$BH90,$AX90)))</f>
        <v/>
      </c>
      <c r="CI90" s="133" t="str">
        <f aca="false">IF(ISBLANK($C90),"",$BO90)</f>
        <v/>
      </c>
      <c r="CJ90" s="134" t="str">
        <f aca="false">IF(ISBLANK($C90),"",$BM90)</f>
        <v/>
      </c>
      <c r="CK90" s="135" t="str">
        <f aca="false">IF(ISBLANK($C90),"",$CA90)</f>
        <v/>
      </c>
      <c r="CL90" s="135" t="str">
        <f aca="false">IF(ISBLANK($C90),"",$BZ90)</f>
        <v/>
      </c>
      <c r="CM90" s="136" t="str">
        <f aca="false">IF(ISBLANK($C90),"",IF($CL90=Constants!$B$7,COUNTA($C$9:$C$508)+2,IF($CL90=Constants!$B$6,COUNTA($C$9:$C$508)+1,IF($CL90=Constants!$B$5,COUNTA($C$9:$C$508),$CL90))))</f>
        <v/>
      </c>
      <c r="CN90" s="8"/>
      <c r="CO90" s="137" t="n">
        <f aca="false">IF(OR(ISNUMBER($CL90),$CL90=Constants!$B$7,$CL90=Constants!$B$5,$CL90=Constants!$B$6),1,0)</f>
        <v>0</v>
      </c>
      <c r="CP90" s="137" t="n">
        <v>82</v>
      </c>
      <c r="CQ90" s="137" t="str">
        <f aca="false">IF(ISBLANK($C90),"",IF(ISNUMBER($CM90),$CM90+ROW($B90)/1000,""))</f>
        <v/>
      </c>
      <c r="CR90" s="137" t="str">
        <f aca="false">IF(ISNUMBER($CQ90),RANK($CQ90,$CQ$9:$CQ$508,1),"")</f>
        <v/>
      </c>
      <c r="CS90" s="137" t="str">
        <f aca="false">IF(ISBLANK($C90),"",$B90)</f>
        <v/>
      </c>
      <c r="CT90" s="137" t="str">
        <f aca="false">IF(ISBLANK($C90),"",$C90)</f>
        <v/>
      </c>
      <c r="CU90" s="137" t="str">
        <f aca="false">IF(ISBLANK($C90),"",$D90)</f>
        <v/>
      </c>
      <c r="CV90" s="138" t="str">
        <f aca="false">$CJ90</f>
        <v/>
      </c>
      <c r="CW90" s="139" t="str">
        <f aca="false">$CI90</f>
        <v/>
      </c>
      <c r="CX90" s="137" t="str">
        <f aca="false">IF(ISBLANK($C90),"",$CL90)</f>
        <v/>
      </c>
      <c r="CY90" s="140" t="str">
        <f aca="false">IF($CP90&gt;$CO$8,"",VLOOKUP($CP90,$CR$9:$CX$508,7,FALSE()))</f>
        <v/>
      </c>
      <c r="CZ90" s="141" t="str">
        <f aca="false">IF($CP90&gt;$CO$8,"",VLOOKUP($CP90,$CR$9:$CX$508,2,FALSE()))</f>
        <v/>
      </c>
      <c r="DA90" s="141" t="str">
        <f aca="false">IF($CP90&gt;$CO$8,"",VLOOKUP($CP90,$CR$9:$CX$508,3,FALSE()))</f>
        <v/>
      </c>
      <c r="DB90" s="141" t="str">
        <f aca="false">IF($CP90&gt;$CO$8,"",VLOOKUP($CP90,$CR$9:$CX$508,4,FALSE()))</f>
        <v/>
      </c>
      <c r="DC90" s="141" t="str">
        <f aca="false">IF($CP90&gt;$CO$8,"",VLOOKUP($CP90,$CR$9:$CX$508,5,FALSE()))</f>
        <v/>
      </c>
      <c r="DD90" s="142" t="str">
        <f aca="false">IF($CP90&gt;$CO$8,"",VLOOKUP($CP90,$CR$9:$CX$508,6,FALSE()))</f>
        <v/>
      </c>
      <c r="DE90" s="70"/>
    </row>
    <row r="91" customFormat="false" ht="15.75" hidden="false" customHeight="false" outlineLevel="0" collapsed="false">
      <c r="A91" s="8"/>
      <c r="B91" s="146"/>
      <c r="C91" s="147"/>
      <c r="D91" s="148"/>
      <c r="E91" s="164"/>
      <c r="F91" s="150"/>
      <c r="G91" s="115"/>
      <c r="H91" s="115"/>
      <c r="I91" s="115"/>
      <c r="J91" s="165"/>
      <c r="K91" s="154"/>
      <c r="L91" s="154"/>
      <c r="M91" s="118"/>
      <c r="N91" s="154"/>
      <c r="O91" s="153"/>
      <c r="P91" s="154"/>
      <c r="Q91" s="154"/>
      <c r="R91" s="154"/>
      <c r="S91" s="115"/>
      <c r="T91" s="154"/>
      <c r="U91" s="153"/>
      <c r="V91" s="154"/>
      <c r="W91" s="123"/>
      <c r="X91" s="124" t="str">
        <f aca="false">IF(ISBLANK($C91),"",IF($E91=Constants!$B$2,TRUE(),IF($E91=Constants!$B$3,FALSE(),TRUE())))</f>
        <v/>
      </c>
      <c r="Y91" s="124" t="str">
        <f aca="false">IF(ISBLANK($C91),"",IF($F91=Constants!$B$2,TRUE(),IF($F91=Constants!$B$3,FALSE(),TRUE())))</f>
        <v/>
      </c>
      <c r="Z91" s="125" t="str">
        <f aca="false">IF(ISBLANK($C91),"",IF(ISNUMBER($G91),IF($G91&gt;=0,$G91,""),""))</f>
        <v/>
      </c>
      <c r="AA91" s="125" t="str">
        <f aca="false">IF(ISBLANK($C91),"",IF(ISNUMBER($H91),IF($H91&gt;=0,$H91,""),""))</f>
        <v/>
      </c>
      <c r="AB91" s="125" t="str">
        <f aca="false">IF(ISBLANK($C91),"",IF(ISNUMBER($I91),IF($I91&gt;=0,$I91,""),""))</f>
        <v/>
      </c>
      <c r="AC91" s="124" t="str">
        <f aca="false">IF(ISBLANK($C91),"",IF($J91=Constants!$B$2,TRUE(),IF($J91=Constants!$B$3,FALSE(),TRUE())))</f>
        <v/>
      </c>
      <c r="AD91" s="124" t="str">
        <f aca="false">IF(ISBLANK($C91),"",IF($K91=Constants!$B$2,TRUE(),IF($K91=Constants!$B$3,FALSE(),TRUE())))</f>
        <v/>
      </c>
      <c r="AE91" s="124" t="str">
        <f aca="false">IF(ISBLANK($C91),"",IF($L91=Constants!$B$2,TRUE(),IF($L91=Constants!$B$3,FALSE(),TRUE())))</f>
        <v/>
      </c>
      <c r="AF91" s="126" t="str">
        <f aca="false">IF(ISBLANK($C91),"",IF(ISNUMBER($M91),IF($M91&gt;=0,$M91,""),""))</f>
        <v/>
      </c>
      <c r="AG91" s="124" t="str">
        <f aca="false">IF(ISBLANK($C91),"",IF(ISBLANK($N91),0,IF(ISNUMBER($N91),IF(AND($N91&gt;=0,$N91&lt;=Constants!$B$17,$N91=INT($N91)),$N91,""),"")))</f>
        <v/>
      </c>
      <c r="AH91" s="125" t="str">
        <f aca="false">IF(ISBLANK($C91),"",IF(ISBLANK($O91),0,IF(ISNUMBER($O91),IF($O91&gt;=0,$O91,""),"")))</f>
        <v/>
      </c>
      <c r="AI91" s="124" t="str">
        <f aca="false">IF(ISBLANK($C91),"",IF($P91=Constants!$B$2,TRUE(),IF($P91=Constants!$B$3,FALSE(),TRUE())))</f>
        <v/>
      </c>
      <c r="AJ91" s="124" t="str">
        <f aca="false">IF(ISBLANK($C91),"",IF($Q91=Constants!$B$2,TRUE(),IF($Q91=Constants!$B$3,FALSE(),TRUE())))</f>
        <v/>
      </c>
      <c r="AK91" s="124" t="str">
        <f aca="false">IF(ISBLANK($C91),"",IF($R91=Constants!$B$2,TRUE(),IF($R91=Constants!$B$3,FALSE(),TRUE())))</f>
        <v/>
      </c>
      <c r="AL91" s="126" t="str">
        <f aca="false">IF(ISBLANK($C91),"",IF(ISNUMBER($S91),IF($S91&gt;=0,$S91,""),""))</f>
        <v/>
      </c>
      <c r="AM91" s="124" t="str">
        <f aca="false">IF(ISBLANK($C91),"",IF(ISBLANK($T91),0,IF(ISNUMBER($T91),IF(AND($T91&gt;=0,$T91&lt;=Constants!$B$17,$T91=INT($T91)),$T91,""),"")))</f>
        <v/>
      </c>
      <c r="AN91" s="125" t="str">
        <f aca="false">IF(ISBLANK($C91),"",IF(ISBLANK($U91),0,IF(ISNUMBER($U91),IF($U91&gt;=0,$U91,""),"")))</f>
        <v/>
      </c>
      <c r="AO91" s="124" t="str">
        <f aca="false">IF(ISBLANK($C91),"",IF($V91=Constants!$B$2,TRUE(),IF($V91=Constants!$B$3,FALSE(),FALSE())))</f>
        <v/>
      </c>
      <c r="AP91" s="124"/>
      <c r="AQ91" s="123" t="str">
        <f aca="false">IF(ISBLANK($C91),"",AND($Y91,OR($AS91,$BC91),OR($Z91="",$AA91="",$AB91="")))</f>
        <v/>
      </c>
      <c r="AR91" s="123" t="str">
        <f aca="false">IF(ISBLANK($C91),"",IF(OR(NOT($Y91),NOT(OR($AS91,$BC91))),"",IF(ISBLANK($D$7),$AR$5,IF($AP$9="",$AR$6,""))))</f>
        <v/>
      </c>
      <c r="AS91" s="123" t="str">
        <f aca="false">IF(ISBLANK($C91),"",COUNTA($J91:$O91)&gt;0)</f>
        <v/>
      </c>
      <c r="AT91" s="123" t="str">
        <f aca="false">IF(ISBLANK($C91),"",AND($AS91,OR(AND($AF91="",OR($AE91,NOT(ISBLANK($M91)))),$AG91="",$AH91="")))</f>
        <v/>
      </c>
      <c r="AU91" s="125" t="str">
        <f aca="false">IF($BL91&lt;&gt;Constants!$B$4,"",IF(NOT($AS91),"",ROUND((Constants!$B$12-$AB91)+(Constants!$B$13-$Z91)+(Constants!$B$14-$AA91),1)))</f>
        <v/>
      </c>
      <c r="AV91" s="127" t="str">
        <f aca="false">IF($BL91&lt;&gt;Constants!$B$4,"",IF(NOT($AS91),"",IF(NOT($AE91),0,Constants!$B$15*(INT(ROUND(MIN($AF91,$AP$9),6))-INT(ROUND(MAX(0,MIN($AF91,2*$AP$9)-$AP$9),6))))))</f>
        <v/>
      </c>
      <c r="AW91" s="127" t="str">
        <f aca="false">IF($BL91&lt;&gt;Constants!$B$4,"",IF(NOT($AS91),"",Constants!$B$16*$AG91))</f>
        <v/>
      </c>
      <c r="AX91" s="127" t="str">
        <f aca="false">IF($BL91&lt;&gt;Constants!$B$4,"",IF(NOT($AS91),"",Constants!$B$18*INT(ROUND($AH91,6))))</f>
        <v/>
      </c>
      <c r="AY91" s="123" t="str">
        <f aca="false">IF($BL91&lt;&gt;Constants!$B$4,"",IF(NOT($AS91),"",IF(NOT($X91),Constants!$B$11,IF(OR(NOT($AC91),NOT($AD91),ROUND($AB91,1)&gt;Constants!$B$12,ROUND($Z91,1)&gt;Constants!$B$13,ROUND($AA91,1)&gt;Constants!$B$14),Constants!$B$10,Constants!$B$9))))</f>
        <v/>
      </c>
      <c r="AZ91" s="128" t="str">
        <f aca="false">IF($BL91&lt;&gt;Constants!$B$4,"",IF(NOT($AS91),"",ROUND($AU91+$AV91+$AW91+$AX91,1)))</f>
        <v/>
      </c>
      <c r="BA91" s="129" t="str">
        <f aca="false">IF($BL91&lt;&gt;Constants!$B$4,"",IF(NOT($AS91),"",IF(ISNUMBER($AF91),$AF91,0)))</f>
        <v/>
      </c>
      <c r="BB91" s="124" t="str">
        <f aca="false">IF($BL91&lt;&gt;Constants!$B$4,"",IF(NOT($BC91),"&lt;-",IF(NOT($AS91),"-&gt;",IF(OR($BI91&lt;$AY91,AND($BI91=$AY91,OR($BJ91&gt;$AZ91,AND($BJ91=$AZ91,OR($BH91&gt;$AX91,AND($BH91=$AX91,OR($BE91&gt;$AU91,AND($BE91=$AU91,OR($BF91&gt;$AV91,AND($BF91=$AV91,$BK91&gt;$BA91)))))))))),"-&gt;","&lt;-"))))</f>
        <v/>
      </c>
      <c r="BC91" s="123" t="str">
        <f aca="false">IF(ISBLANK($C91),"",COUNTA($P91:$U91)&gt;0)</f>
        <v/>
      </c>
      <c r="BD91" s="123" t="str">
        <f aca="false">IF(ISBLANK($C91),"",AND($BC91,OR(AND($AL91="",OR($AK91,NOT(ISBLANK($S91)))),$AM91="",$AN91="")))</f>
        <v/>
      </c>
      <c r="BE91" s="125" t="str">
        <f aca="false">IF($BL91&lt;&gt;Constants!$B$4,"",IF(NOT($BC91),"",ROUND((Constants!$B$12-$AB91)+(Constants!$B$13-$Z91)+(Constants!$B$14-$AA91),1)))</f>
        <v/>
      </c>
      <c r="BF91" s="127" t="str">
        <f aca="false">IF($BL91&lt;&gt;Constants!$B$4,"",IF(NOT($BC91),"",IF(NOT($AK91),0,Constants!$B$15*(INT(ROUND(MIN($AL91,$AP$9),6))-INT(ROUND(MAX(0,MIN($AL91,2*$AP$9)-$AP$9),6))))))</f>
        <v/>
      </c>
      <c r="BG91" s="127" t="str">
        <f aca="false">IF($BL91&lt;&gt;Constants!$B$4,"",IF(NOT($BC91),"",Constants!$B$16*$AM91))</f>
        <v/>
      </c>
      <c r="BH91" s="127" t="str">
        <f aca="false">IF($BL91&lt;&gt;Constants!$B$4,"",IF(NOT($BC91),"",Constants!$B$18*INT(ROUND($AN91,6))))</f>
        <v/>
      </c>
      <c r="BI91" s="123" t="str">
        <f aca="false">IF($BL91&lt;&gt;Constants!$B$4,"",IF(NOT($BC91),"",IF(NOT($X91),Constants!$B$11,IF(OR(NOT($AI91),NOT($AJ91),ROUND($AB91,1)&gt;Constants!$B$12,ROUND($Z91,1)&gt;Constants!$B$13,ROUND($AA91,1)&gt;Constants!$B$14),Constants!$B$10,Constants!$B$9))))</f>
        <v/>
      </c>
      <c r="BJ91" s="128" t="str">
        <f aca="false">IF($BL91&lt;&gt;Constants!$B$4,"",IF(NOT($BC91),"",ROUND($BE91+$BF91+$BG91+$BH91,1)))</f>
        <v/>
      </c>
      <c r="BK91" s="129" t="str">
        <f aca="false">IF($BL91&lt;&gt;Constants!$B$4,"",IF(NOT($BC91),"",IF(ISNUMBER($AL91),$AL91,0)))</f>
        <v/>
      </c>
      <c r="BL91" s="124" t="str">
        <f aca="false">IF(ISBLANK($C91),"",IF($AO91,Constants!$B$7,IF(COUNTA($E91:$V91)=0,Constants!$B$6,IF(NOT($Y91),Constants!$B$5,IF(NOT(OR($AS91,$BC91)),Constants!$B$5,IF(OR($AT91,$BD91,$AQ91,$AR91&lt;&gt;""),Constants!$B$8,Constants!$B$4))))))</f>
        <v/>
      </c>
      <c r="BM91" s="124" t="str">
        <f aca="false">IF(ISBLANK($C91),"",IF($BL91&lt;&gt;Constants!$B$4,$BL91,IF($BB91="-&gt;",$BI91,$AY91)))</f>
        <v/>
      </c>
      <c r="BN91" s="127" t="str">
        <f aca="false">IF($BL91&lt;&gt;Constants!$B$4,"",IF($BB91="-&gt;",$BJ91,$AZ91))</f>
        <v/>
      </c>
      <c r="BO91" s="127" t="str">
        <f aca="false">IF(ISBLANK($C91),"",IF($BL91&lt;&gt;Constants!$B$4,$BL91,$BN91))</f>
        <v/>
      </c>
      <c r="BP91" s="124" t="str">
        <f aca="false">IF(ISBLANK($C91),"",IF($BL91&lt;&gt;Constants!$B$4,$BL91,RANK($BO91,$BO$9:$BO$508,0)))</f>
        <v/>
      </c>
      <c r="BQ91" s="124" t="str">
        <f aca="false">IF(ISBLANK($C91),"",IF($BL91&lt;&gt;Constants!$B$4,$BL91,COUNTIFS($BM$9:$BM$508,"&lt;"&amp;$BM91)+COUNTIFS($BM$9:$BM$508,$BM91,$BP$9:$BP$508,"&lt;"&amp;$BP91)+1))</f>
        <v/>
      </c>
      <c r="BR91" s="127" t="str">
        <f aca="false">IF($BL91&lt;&gt;Constants!$B$4,"",IF($BB91="-&gt;",$BH91,$AX91))</f>
        <v/>
      </c>
      <c r="BS91" s="124" t="str">
        <f aca="false">IF(ISBLANK($C91),"",IF($BL91&lt;&gt;Constants!$B$4,$BL91,IF(ISNUMBER($BR91),RANK($BR91,$BR$9:$BR$508,0),COUNT($BR$9:$BR$508)+1)))</f>
        <v/>
      </c>
      <c r="BT91" s="127" t="str">
        <f aca="false">IF($BL91&lt;&gt;Constants!$B$4,"",IF($BB91="-&gt;",$BE91,$AU91))</f>
        <v/>
      </c>
      <c r="BU91" s="124" t="str">
        <f aca="false">IF(ISBLANK($C91),"",IF($BL91&lt;&gt;Constants!$B$4,$BL91,IF(ISNUMBER($BT91),RANK($BT91,$BT$9:$BT$508,0),COUNT($BT$9:$BT$508)+1)))</f>
        <v/>
      </c>
      <c r="BV91" s="127" t="str">
        <f aca="false">IF($BL91&lt;&gt;Constants!$B$4,"",IF($BB91="-&gt;",$BF91,$AV91))</f>
        <v/>
      </c>
      <c r="BW91" s="124" t="str">
        <f aca="false">IF(ISBLANK($C91),"",IF($BL91&lt;&gt;Constants!$B$4,$BL91,IF(ISNUMBER($BV91),RANK($BV91,$BV$9:$BV$508,0),COUNT($BV$9:$BV$508)+1)))</f>
        <v/>
      </c>
      <c r="BX91" s="127" t="str">
        <f aca="false">IF($BL91&lt;&gt;Constants!$B$4,"",IF($BB91="-&gt;",$BK91,$BA91))</f>
        <v/>
      </c>
      <c r="BY91" s="124" t="str">
        <f aca="false">IF(ISBLANK($C91),"",IF($BL91&lt;&gt;Constants!$B$4,$BL91,IF(ISNUMBER($BX91),RANK($BX91,$BX$9:$BX$508,0),COUNT($BX$9:$BX$508)+1)))</f>
        <v/>
      </c>
      <c r="BZ91" s="124" t="str">
        <f aca="false">IF(ISBLANK($C91),"",IF($BL91&lt;&gt;Constants!$B$4,$BL91,COUNTIFS($BM$9:$BM$508,"&lt;"&amp;$BM91)+COUNTIFS($BM$9:$BM$508,$BM91,$BP$9:$BP$508,"&lt;"&amp;$BP91)+COUNTIFS($BM$9:$BM$508,$BM91,$BP$9:$BP$508,$BP91,$BS$9:$BS$508,"&lt;"&amp;$BS91)+COUNTIFS($BM$9:$BM$508,$BM91,$BP$9:$BP$508,$BP91,$BS$9:$BS$508,$BS91,$BU$9:$BU$508,"&lt;"&amp;$BU91)+COUNTIFS($BM$9:$BM$508,$BM91,$BP$9:$BP$508,$BP91,$BS$9:$BS$508,$BS91,$BU$9:$BU$508,$BU91,$BW$9:$BW$508,"&lt;"&amp;$BW91)+COUNTIFS($BM$9:$BM$508,$BM91,$BP$9:$BP$508,$BP91,$BS$9:$BS$508,$BS91,$BU$9:$BU$508,$BU91,$BW$9:$BW$508,$BW91,$BY$9:$BY$508,"&lt;"&amp;$BY91)+1))</f>
        <v/>
      </c>
      <c r="CA91" s="124" t="str">
        <f aca="false">IF(ISBLANK($C91),"",IF($BL91&lt;&gt;Constants!$B$4,$BL91,$BQ91-$BZ91))</f>
        <v/>
      </c>
      <c r="CB91" s="130"/>
      <c r="CC91" s="131" t="str">
        <f aca="false">IF(ISBLANK($C91),"",IF($BL91=Constants!$B$8,$AR91,""))</f>
        <v/>
      </c>
      <c r="CD91" s="131" t="str">
        <f aca="false">IF(ISBLANK($C91),"",IF($BL91&lt;&gt;Constants!$B$4,"",IF($BB91="-&gt;",2,1)))</f>
        <v/>
      </c>
      <c r="CE91" s="132" t="str">
        <f aca="false">IF(ISBLANK($C91),"",IF($BL91&lt;&gt;Constants!$B$4,"",IF($BB91="-&gt;",$BE91,$AU91)))</f>
        <v/>
      </c>
      <c r="CF91" s="132" t="str">
        <f aca="false">IF(ISBLANK($C91),"",IF($BL91&lt;&gt;Constants!$B$4,"",IF($BB91="-&gt;",$BF91,$AV91)))</f>
        <v/>
      </c>
      <c r="CG91" s="132" t="str">
        <f aca="false">IF(ISBLANK($C91),"",IF($BL91&lt;&gt;Constants!$B$4,"",IF($BB91="-&gt;",$BG91,$AW91)))</f>
        <v/>
      </c>
      <c r="CH91" s="132" t="str">
        <f aca="false">IF(ISBLANK($C91),"",IF($BL91&lt;&gt;Constants!$B$4,"",IF($BB91="-&gt;",$BH91,$AX91)))</f>
        <v/>
      </c>
      <c r="CI91" s="133" t="str">
        <f aca="false">IF(ISBLANK($C91),"",$BO91)</f>
        <v/>
      </c>
      <c r="CJ91" s="134" t="str">
        <f aca="false">IF(ISBLANK($C91),"",$BM91)</f>
        <v/>
      </c>
      <c r="CK91" s="135" t="str">
        <f aca="false">IF(ISBLANK($C91),"",$CA91)</f>
        <v/>
      </c>
      <c r="CL91" s="135" t="str">
        <f aca="false">IF(ISBLANK($C91),"",$BZ91)</f>
        <v/>
      </c>
      <c r="CM91" s="136" t="str">
        <f aca="false">IF(ISBLANK($C91),"",IF($CL91=Constants!$B$7,COUNTA($C$9:$C$508)+2,IF($CL91=Constants!$B$6,COUNTA($C$9:$C$508)+1,IF($CL91=Constants!$B$5,COUNTA($C$9:$C$508),$CL91))))</f>
        <v/>
      </c>
      <c r="CN91" s="8"/>
      <c r="CO91" s="137" t="n">
        <f aca="false">IF(OR(ISNUMBER($CL91),$CL91=Constants!$B$7,$CL91=Constants!$B$5,$CL91=Constants!$B$6),1,0)</f>
        <v>0</v>
      </c>
      <c r="CP91" s="137" t="n">
        <v>83</v>
      </c>
      <c r="CQ91" s="137" t="str">
        <f aca="false">IF(ISBLANK($C91),"",IF(ISNUMBER($CM91),$CM91+ROW($B91)/1000,""))</f>
        <v/>
      </c>
      <c r="CR91" s="137" t="str">
        <f aca="false">IF(ISNUMBER($CQ91),RANK($CQ91,$CQ$9:$CQ$508,1),"")</f>
        <v/>
      </c>
      <c r="CS91" s="137" t="str">
        <f aca="false">IF(ISBLANK($C91),"",$B91)</f>
        <v/>
      </c>
      <c r="CT91" s="137" t="str">
        <f aca="false">IF(ISBLANK($C91),"",$C91)</f>
        <v/>
      </c>
      <c r="CU91" s="137" t="str">
        <f aca="false">IF(ISBLANK($C91),"",$D91)</f>
        <v/>
      </c>
      <c r="CV91" s="138" t="str">
        <f aca="false">$CJ91</f>
        <v/>
      </c>
      <c r="CW91" s="139" t="str">
        <f aca="false">$CI91</f>
        <v/>
      </c>
      <c r="CX91" s="137" t="str">
        <f aca="false">IF(ISBLANK($C91),"",$CL91)</f>
        <v/>
      </c>
      <c r="CY91" s="140" t="str">
        <f aca="false">IF($CP91&gt;$CO$8,"",VLOOKUP($CP91,$CR$9:$CX$508,7,FALSE()))</f>
        <v/>
      </c>
      <c r="CZ91" s="141" t="str">
        <f aca="false">IF($CP91&gt;$CO$8,"",VLOOKUP($CP91,$CR$9:$CX$508,2,FALSE()))</f>
        <v/>
      </c>
      <c r="DA91" s="141" t="str">
        <f aca="false">IF($CP91&gt;$CO$8,"",VLOOKUP($CP91,$CR$9:$CX$508,3,FALSE()))</f>
        <v/>
      </c>
      <c r="DB91" s="141" t="str">
        <f aca="false">IF($CP91&gt;$CO$8,"",VLOOKUP($CP91,$CR$9:$CX$508,4,FALSE()))</f>
        <v/>
      </c>
      <c r="DC91" s="141" t="str">
        <f aca="false">IF($CP91&gt;$CO$8,"",VLOOKUP($CP91,$CR$9:$CX$508,5,FALSE()))</f>
        <v/>
      </c>
      <c r="DD91" s="142" t="str">
        <f aca="false">IF($CP91&gt;$CO$8,"",VLOOKUP($CP91,$CR$9:$CX$508,6,FALSE()))</f>
        <v/>
      </c>
      <c r="DE91" s="70"/>
    </row>
    <row r="92" customFormat="false" ht="15.75" hidden="false" customHeight="false" outlineLevel="0" collapsed="false">
      <c r="A92" s="8"/>
      <c r="B92" s="146"/>
      <c r="C92" s="147"/>
      <c r="D92" s="148"/>
      <c r="E92" s="164"/>
      <c r="F92" s="150"/>
      <c r="G92" s="115"/>
      <c r="H92" s="115"/>
      <c r="I92" s="115"/>
      <c r="J92" s="165"/>
      <c r="K92" s="154"/>
      <c r="L92" s="154"/>
      <c r="M92" s="118"/>
      <c r="N92" s="154"/>
      <c r="O92" s="153"/>
      <c r="P92" s="154"/>
      <c r="Q92" s="154"/>
      <c r="R92" s="154"/>
      <c r="S92" s="115"/>
      <c r="T92" s="154"/>
      <c r="U92" s="153"/>
      <c r="V92" s="154"/>
      <c r="W92" s="123"/>
      <c r="X92" s="124" t="str">
        <f aca="false">IF(ISBLANK($C92),"",IF($E92=Constants!$B$2,TRUE(),IF($E92=Constants!$B$3,FALSE(),TRUE())))</f>
        <v/>
      </c>
      <c r="Y92" s="124" t="str">
        <f aca="false">IF(ISBLANK($C92),"",IF($F92=Constants!$B$2,TRUE(),IF($F92=Constants!$B$3,FALSE(),TRUE())))</f>
        <v/>
      </c>
      <c r="Z92" s="125" t="str">
        <f aca="false">IF(ISBLANK($C92),"",IF(ISNUMBER($G92),IF($G92&gt;=0,$G92,""),""))</f>
        <v/>
      </c>
      <c r="AA92" s="125" t="str">
        <f aca="false">IF(ISBLANK($C92),"",IF(ISNUMBER($H92),IF($H92&gt;=0,$H92,""),""))</f>
        <v/>
      </c>
      <c r="AB92" s="125" t="str">
        <f aca="false">IF(ISBLANK($C92),"",IF(ISNUMBER($I92),IF($I92&gt;=0,$I92,""),""))</f>
        <v/>
      </c>
      <c r="AC92" s="124" t="str">
        <f aca="false">IF(ISBLANK($C92),"",IF($J92=Constants!$B$2,TRUE(),IF($J92=Constants!$B$3,FALSE(),TRUE())))</f>
        <v/>
      </c>
      <c r="AD92" s="124" t="str">
        <f aca="false">IF(ISBLANK($C92),"",IF($K92=Constants!$B$2,TRUE(),IF($K92=Constants!$B$3,FALSE(),TRUE())))</f>
        <v/>
      </c>
      <c r="AE92" s="124" t="str">
        <f aca="false">IF(ISBLANK($C92),"",IF($L92=Constants!$B$2,TRUE(),IF($L92=Constants!$B$3,FALSE(),TRUE())))</f>
        <v/>
      </c>
      <c r="AF92" s="126" t="str">
        <f aca="false">IF(ISBLANK($C92),"",IF(ISNUMBER($M92),IF($M92&gt;=0,$M92,""),""))</f>
        <v/>
      </c>
      <c r="AG92" s="124" t="str">
        <f aca="false">IF(ISBLANK($C92),"",IF(ISBLANK($N92),0,IF(ISNUMBER($N92),IF(AND($N92&gt;=0,$N92&lt;=Constants!$B$17,$N92=INT($N92)),$N92,""),"")))</f>
        <v/>
      </c>
      <c r="AH92" s="125" t="str">
        <f aca="false">IF(ISBLANK($C92),"",IF(ISBLANK($O92),0,IF(ISNUMBER($O92),IF($O92&gt;=0,$O92,""),"")))</f>
        <v/>
      </c>
      <c r="AI92" s="124" t="str">
        <f aca="false">IF(ISBLANK($C92),"",IF($P92=Constants!$B$2,TRUE(),IF($P92=Constants!$B$3,FALSE(),TRUE())))</f>
        <v/>
      </c>
      <c r="AJ92" s="124" t="str">
        <f aca="false">IF(ISBLANK($C92),"",IF($Q92=Constants!$B$2,TRUE(),IF($Q92=Constants!$B$3,FALSE(),TRUE())))</f>
        <v/>
      </c>
      <c r="AK92" s="124" t="str">
        <f aca="false">IF(ISBLANK($C92),"",IF($R92=Constants!$B$2,TRUE(),IF($R92=Constants!$B$3,FALSE(),TRUE())))</f>
        <v/>
      </c>
      <c r="AL92" s="126" t="str">
        <f aca="false">IF(ISBLANK($C92),"",IF(ISNUMBER($S92),IF($S92&gt;=0,$S92,""),""))</f>
        <v/>
      </c>
      <c r="AM92" s="124" t="str">
        <f aca="false">IF(ISBLANK($C92),"",IF(ISBLANK($T92),0,IF(ISNUMBER($T92),IF(AND($T92&gt;=0,$T92&lt;=Constants!$B$17,$T92=INT($T92)),$T92,""),"")))</f>
        <v/>
      </c>
      <c r="AN92" s="125" t="str">
        <f aca="false">IF(ISBLANK($C92),"",IF(ISBLANK($U92),0,IF(ISNUMBER($U92),IF($U92&gt;=0,$U92,""),"")))</f>
        <v/>
      </c>
      <c r="AO92" s="124" t="str">
        <f aca="false">IF(ISBLANK($C92),"",IF($V92=Constants!$B$2,TRUE(),IF($V92=Constants!$B$3,FALSE(),FALSE())))</f>
        <v/>
      </c>
      <c r="AP92" s="124"/>
      <c r="AQ92" s="123" t="str">
        <f aca="false">IF(ISBLANK($C92),"",AND($Y92,OR($AS92,$BC92),OR($Z92="",$AA92="",$AB92="")))</f>
        <v/>
      </c>
      <c r="AR92" s="123" t="str">
        <f aca="false">IF(ISBLANK($C92),"",IF(OR(NOT($Y92),NOT(OR($AS92,$BC92))),"",IF(ISBLANK($D$7),$AR$5,IF($AP$9="",$AR$6,""))))</f>
        <v/>
      </c>
      <c r="AS92" s="123" t="str">
        <f aca="false">IF(ISBLANK($C92),"",COUNTA($J92:$O92)&gt;0)</f>
        <v/>
      </c>
      <c r="AT92" s="123" t="str">
        <f aca="false">IF(ISBLANK($C92),"",AND($AS92,OR(AND($AF92="",OR($AE92,NOT(ISBLANK($M92)))),$AG92="",$AH92="")))</f>
        <v/>
      </c>
      <c r="AU92" s="125" t="str">
        <f aca="false">IF($BL92&lt;&gt;Constants!$B$4,"",IF(NOT($AS92),"",ROUND((Constants!$B$12-$AB92)+(Constants!$B$13-$Z92)+(Constants!$B$14-$AA92),1)))</f>
        <v/>
      </c>
      <c r="AV92" s="127" t="str">
        <f aca="false">IF($BL92&lt;&gt;Constants!$B$4,"",IF(NOT($AS92),"",IF(NOT($AE92),0,Constants!$B$15*(INT(ROUND(MIN($AF92,$AP$9),6))-INT(ROUND(MAX(0,MIN($AF92,2*$AP$9)-$AP$9),6))))))</f>
        <v/>
      </c>
      <c r="AW92" s="127" t="str">
        <f aca="false">IF($BL92&lt;&gt;Constants!$B$4,"",IF(NOT($AS92),"",Constants!$B$16*$AG92))</f>
        <v/>
      </c>
      <c r="AX92" s="127" t="str">
        <f aca="false">IF($BL92&lt;&gt;Constants!$B$4,"",IF(NOT($AS92),"",Constants!$B$18*INT(ROUND($AH92,6))))</f>
        <v/>
      </c>
      <c r="AY92" s="123" t="str">
        <f aca="false">IF($BL92&lt;&gt;Constants!$B$4,"",IF(NOT($AS92),"",IF(NOT($X92),Constants!$B$11,IF(OR(NOT($AC92),NOT($AD92),ROUND($AB92,1)&gt;Constants!$B$12,ROUND($Z92,1)&gt;Constants!$B$13,ROUND($AA92,1)&gt;Constants!$B$14),Constants!$B$10,Constants!$B$9))))</f>
        <v/>
      </c>
      <c r="AZ92" s="128" t="str">
        <f aca="false">IF($BL92&lt;&gt;Constants!$B$4,"",IF(NOT($AS92),"",ROUND($AU92+$AV92+$AW92+$AX92,1)))</f>
        <v/>
      </c>
      <c r="BA92" s="129" t="str">
        <f aca="false">IF($BL92&lt;&gt;Constants!$B$4,"",IF(NOT($AS92),"",IF(ISNUMBER($AF92),$AF92,0)))</f>
        <v/>
      </c>
      <c r="BB92" s="124" t="str">
        <f aca="false">IF($BL92&lt;&gt;Constants!$B$4,"",IF(NOT($BC92),"&lt;-",IF(NOT($AS92),"-&gt;",IF(OR($BI92&lt;$AY92,AND($BI92=$AY92,OR($BJ92&gt;$AZ92,AND($BJ92=$AZ92,OR($BH92&gt;$AX92,AND($BH92=$AX92,OR($BE92&gt;$AU92,AND($BE92=$AU92,OR($BF92&gt;$AV92,AND($BF92=$AV92,$BK92&gt;$BA92)))))))))),"-&gt;","&lt;-"))))</f>
        <v/>
      </c>
      <c r="BC92" s="123" t="str">
        <f aca="false">IF(ISBLANK($C92),"",COUNTA($P92:$U92)&gt;0)</f>
        <v/>
      </c>
      <c r="BD92" s="123" t="str">
        <f aca="false">IF(ISBLANK($C92),"",AND($BC92,OR(AND($AL92="",OR($AK92,NOT(ISBLANK($S92)))),$AM92="",$AN92="")))</f>
        <v/>
      </c>
      <c r="BE92" s="125" t="str">
        <f aca="false">IF($BL92&lt;&gt;Constants!$B$4,"",IF(NOT($BC92),"",ROUND((Constants!$B$12-$AB92)+(Constants!$B$13-$Z92)+(Constants!$B$14-$AA92),1)))</f>
        <v/>
      </c>
      <c r="BF92" s="127" t="str">
        <f aca="false">IF($BL92&lt;&gt;Constants!$B$4,"",IF(NOT($BC92),"",IF(NOT($AK92),0,Constants!$B$15*(INT(ROUND(MIN($AL92,$AP$9),6))-INT(ROUND(MAX(0,MIN($AL92,2*$AP$9)-$AP$9),6))))))</f>
        <v/>
      </c>
      <c r="BG92" s="127" t="str">
        <f aca="false">IF($BL92&lt;&gt;Constants!$B$4,"",IF(NOT($BC92),"",Constants!$B$16*$AM92))</f>
        <v/>
      </c>
      <c r="BH92" s="127" t="str">
        <f aca="false">IF($BL92&lt;&gt;Constants!$B$4,"",IF(NOT($BC92),"",Constants!$B$18*INT(ROUND($AN92,6))))</f>
        <v/>
      </c>
      <c r="BI92" s="123" t="str">
        <f aca="false">IF($BL92&lt;&gt;Constants!$B$4,"",IF(NOT($BC92),"",IF(NOT($X92),Constants!$B$11,IF(OR(NOT($AI92),NOT($AJ92),ROUND($AB92,1)&gt;Constants!$B$12,ROUND($Z92,1)&gt;Constants!$B$13,ROUND($AA92,1)&gt;Constants!$B$14),Constants!$B$10,Constants!$B$9))))</f>
        <v/>
      </c>
      <c r="BJ92" s="128" t="str">
        <f aca="false">IF($BL92&lt;&gt;Constants!$B$4,"",IF(NOT($BC92),"",ROUND($BE92+$BF92+$BG92+$BH92,1)))</f>
        <v/>
      </c>
      <c r="BK92" s="129" t="str">
        <f aca="false">IF($BL92&lt;&gt;Constants!$B$4,"",IF(NOT($BC92),"",IF(ISNUMBER($AL92),$AL92,0)))</f>
        <v/>
      </c>
      <c r="BL92" s="124" t="str">
        <f aca="false">IF(ISBLANK($C92),"",IF($AO92,Constants!$B$7,IF(COUNTA($E92:$V92)=0,Constants!$B$6,IF(NOT($Y92),Constants!$B$5,IF(NOT(OR($AS92,$BC92)),Constants!$B$5,IF(OR($AT92,$BD92,$AQ92,$AR92&lt;&gt;""),Constants!$B$8,Constants!$B$4))))))</f>
        <v/>
      </c>
      <c r="BM92" s="124" t="str">
        <f aca="false">IF(ISBLANK($C92),"",IF($BL92&lt;&gt;Constants!$B$4,$BL92,IF($BB92="-&gt;",$BI92,$AY92)))</f>
        <v/>
      </c>
      <c r="BN92" s="127" t="str">
        <f aca="false">IF($BL92&lt;&gt;Constants!$B$4,"",IF($BB92="-&gt;",$BJ92,$AZ92))</f>
        <v/>
      </c>
      <c r="BO92" s="127" t="str">
        <f aca="false">IF(ISBLANK($C92),"",IF($BL92&lt;&gt;Constants!$B$4,$BL92,$BN92))</f>
        <v/>
      </c>
      <c r="BP92" s="124" t="str">
        <f aca="false">IF(ISBLANK($C92),"",IF($BL92&lt;&gt;Constants!$B$4,$BL92,RANK($BO92,$BO$9:$BO$508,0)))</f>
        <v/>
      </c>
      <c r="BQ92" s="124" t="str">
        <f aca="false">IF(ISBLANK($C92),"",IF($BL92&lt;&gt;Constants!$B$4,$BL92,COUNTIFS($BM$9:$BM$508,"&lt;"&amp;$BM92)+COUNTIFS($BM$9:$BM$508,$BM92,$BP$9:$BP$508,"&lt;"&amp;$BP92)+1))</f>
        <v/>
      </c>
      <c r="BR92" s="127" t="str">
        <f aca="false">IF($BL92&lt;&gt;Constants!$B$4,"",IF($BB92="-&gt;",$BH92,$AX92))</f>
        <v/>
      </c>
      <c r="BS92" s="124" t="str">
        <f aca="false">IF(ISBLANK($C92),"",IF($BL92&lt;&gt;Constants!$B$4,$BL92,IF(ISNUMBER($BR92),RANK($BR92,$BR$9:$BR$508,0),COUNT($BR$9:$BR$508)+1)))</f>
        <v/>
      </c>
      <c r="BT92" s="127" t="str">
        <f aca="false">IF($BL92&lt;&gt;Constants!$B$4,"",IF($BB92="-&gt;",$BE92,$AU92))</f>
        <v/>
      </c>
      <c r="BU92" s="124" t="str">
        <f aca="false">IF(ISBLANK($C92),"",IF($BL92&lt;&gt;Constants!$B$4,$BL92,IF(ISNUMBER($BT92),RANK($BT92,$BT$9:$BT$508,0),COUNT($BT$9:$BT$508)+1)))</f>
        <v/>
      </c>
      <c r="BV92" s="127" t="str">
        <f aca="false">IF($BL92&lt;&gt;Constants!$B$4,"",IF($BB92="-&gt;",$BF92,$AV92))</f>
        <v/>
      </c>
      <c r="BW92" s="124" t="str">
        <f aca="false">IF(ISBLANK($C92),"",IF($BL92&lt;&gt;Constants!$B$4,$BL92,IF(ISNUMBER($BV92),RANK($BV92,$BV$9:$BV$508,0),COUNT($BV$9:$BV$508)+1)))</f>
        <v/>
      </c>
      <c r="BX92" s="127" t="str">
        <f aca="false">IF($BL92&lt;&gt;Constants!$B$4,"",IF($BB92="-&gt;",$BK92,$BA92))</f>
        <v/>
      </c>
      <c r="BY92" s="124" t="str">
        <f aca="false">IF(ISBLANK($C92),"",IF($BL92&lt;&gt;Constants!$B$4,$BL92,IF(ISNUMBER($BX92),RANK($BX92,$BX$9:$BX$508,0),COUNT($BX$9:$BX$508)+1)))</f>
        <v/>
      </c>
      <c r="BZ92" s="124" t="str">
        <f aca="false">IF(ISBLANK($C92),"",IF($BL92&lt;&gt;Constants!$B$4,$BL92,COUNTIFS($BM$9:$BM$508,"&lt;"&amp;$BM92)+COUNTIFS($BM$9:$BM$508,$BM92,$BP$9:$BP$508,"&lt;"&amp;$BP92)+COUNTIFS($BM$9:$BM$508,$BM92,$BP$9:$BP$508,$BP92,$BS$9:$BS$508,"&lt;"&amp;$BS92)+COUNTIFS($BM$9:$BM$508,$BM92,$BP$9:$BP$508,$BP92,$BS$9:$BS$508,$BS92,$BU$9:$BU$508,"&lt;"&amp;$BU92)+COUNTIFS($BM$9:$BM$508,$BM92,$BP$9:$BP$508,$BP92,$BS$9:$BS$508,$BS92,$BU$9:$BU$508,$BU92,$BW$9:$BW$508,"&lt;"&amp;$BW92)+COUNTIFS($BM$9:$BM$508,$BM92,$BP$9:$BP$508,$BP92,$BS$9:$BS$508,$BS92,$BU$9:$BU$508,$BU92,$BW$9:$BW$508,$BW92,$BY$9:$BY$508,"&lt;"&amp;$BY92)+1))</f>
        <v/>
      </c>
      <c r="CA92" s="124" t="str">
        <f aca="false">IF(ISBLANK($C92),"",IF($BL92&lt;&gt;Constants!$B$4,$BL92,$BQ92-$BZ92))</f>
        <v/>
      </c>
      <c r="CB92" s="130"/>
      <c r="CC92" s="131" t="str">
        <f aca="false">IF(ISBLANK($C92),"",IF($BL92=Constants!$B$8,$AR92,""))</f>
        <v/>
      </c>
      <c r="CD92" s="131" t="str">
        <f aca="false">IF(ISBLANK($C92),"",IF($BL92&lt;&gt;Constants!$B$4,"",IF($BB92="-&gt;",2,1)))</f>
        <v/>
      </c>
      <c r="CE92" s="132" t="str">
        <f aca="false">IF(ISBLANK($C92),"",IF($BL92&lt;&gt;Constants!$B$4,"",IF($BB92="-&gt;",$BE92,$AU92)))</f>
        <v/>
      </c>
      <c r="CF92" s="132" t="str">
        <f aca="false">IF(ISBLANK($C92),"",IF($BL92&lt;&gt;Constants!$B$4,"",IF($BB92="-&gt;",$BF92,$AV92)))</f>
        <v/>
      </c>
      <c r="CG92" s="132" t="str">
        <f aca="false">IF(ISBLANK($C92),"",IF($BL92&lt;&gt;Constants!$B$4,"",IF($BB92="-&gt;",$BG92,$AW92)))</f>
        <v/>
      </c>
      <c r="CH92" s="132" t="str">
        <f aca="false">IF(ISBLANK($C92),"",IF($BL92&lt;&gt;Constants!$B$4,"",IF($BB92="-&gt;",$BH92,$AX92)))</f>
        <v/>
      </c>
      <c r="CI92" s="133" t="str">
        <f aca="false">IF(ISBLANK($C92),"",$BO92)</f>
        <v/>
      </c>
      <c r="CJ92" s="134" t="str">
        <f aca="false">IF(ISBLANK($C92),"",$BM92)</f>
        <v/>
      </c>
      <c r="CK92" s="135" t="str">
        <f aca="false">IF(ISBLANK($C92),"",$CA92)</f>
        <v/>
      </c>
      <c r="CL92" s="135" t="str">
        <f aca="false">IF(ISBLANK($C92),"",$BZ92)</f>
        <v/>
      </c>
      <c r="CM92" s="136" t="str">
        <f aca="false">IF(ISBLANK($C92),"",IF($CL92=Constants!$B$7,COUNTA($C$9:$C$508)+2,IF($CL92=Constants!$B$6,COUNTA($C$9:$C$508)+1,IF($CL92=Constants!$B$5,COUNTA($C$9:$C$508),$CL92))))</f>
        <v/>
      </c>
      <c r="CN92" s="8"/>
      <c r="CO92" s="137" t="n">
        <f aca="false">IF(OR(ISNUMBER($CL92),$CL92=Constants!$B$7,$CL92=Constants!$B$5,$CL92=Constants!$B$6),1,0)</f>
        <v>0</v>
      </c>
      <c r="CP92" s="137" t="n">
        <v>84</v>
      </c>
      <c r="CQ92" s="137" t="str">
        <f aca="false">IF(ISBLANK($C92),"",IF(ISNUMBER($CM92),$CM92+ROW($B92)/1000,""))</f>
        <v/>
      </c>
      <c r="CR92" s="137" t="str">
        <f aca="false">IF(ISNUMBER($CQ92),RANK($CQ92,$CQ$9:$CQ$508,1),"")</f>
        <v/>
      </c>
      <c r="CS92" s="137" t="str">
        <f aca="false">IF(ISBLANK($C92),"",$B92)</f>
        <v/>
      </c>
      <c r="CT92" s="137" t="str">
        <f aca="false">IF(ISBLANK($C92),"",$C92)</f>
        <v/>
      </c>
      <c r="CU92" s="137" t="str">
        <f aca="false">IF(ISBLANK($C92),"",$D92)</f>
        <v/>
      </c>
      <c r="CV92" s="138" t="str">
        <f aca="false">$CJ92</f>
        <v/>
      </c>
      <c r="CW92" s="139" t="str">
        <f aca="false">$CI92</f>
        <v/>
      </c>
      <c r="CX92" s="137" t="str">
        <f aca="false">IF(ISBLANK($C92),"",$CL92)</f>
        <v/>
      </c>
      <c r="CY92" s="140" t="str">
        <f aca="false">IF($CP92&gt;$CO$8,"",VLOOKUP($CP92,$CR$9:$CX$508,7,FALSE()))</f>
        <v/>
      </c>
      <c r="CZ92" s="141" t="str">
        <f aca="false">IF($CP92&gt;$CO$8,"",VLOOKUP($CP92,$CR$9:$CX$508,2,FALSE()))</f>
        <v/>
      </c>
      <c r="DA92" s="141" t="str">
        <f aca="false">IF($CP92&gt;$CO$8,"",VLOOKUP($CP92,$CR$9:$CX$508,3,FALSE()))</f>
        <v/>
      </c>
      <c r="DB92" s="141" t="str">
        <f aca="false">IF($CP92&gt;$CO$8,"",VLOOKUP($CP92,$CR$9:$CX$508,4,FALSE()))</f>
        <v/>
      </c>
      <c r="DC92" s="141" t="str">
        <f aca="false">IF($CP92&gt;$CO$8,"",VLOOKUP($CP92,$CR$9:$CX$508,5,FALSE()))</f>
        <v/>
      </c>
      <c r="DD92" s="142" t="str">
        <f aca="false">IF($CP92&gt;$CO$8,"",VLOOKUP($CP92,$CR$9:$CX$508,6,FALSE()))</f>
        <v/>
      </c>
      <c r="DE92" s="70"/>
    </row>
    <row r="93" customFormat="false" ht="15.75" hidden="false" customHeight="false" outlineLevel="0" collapsed="false">
      <c r="A93" s="8"/>
      <c r="B93" s="72"/>
      <c r="C93" s="73"/>
      <c r="D93" s="155"/>
      <c r="E93" s="162"/>
      <c r="F93" s="157"/>
      <c r="G93" s="77"/>
      <c r="H93" s="77"/>
      <c r="I93" s="77"/>
      <c r="J93" s="163"/>
      <c r="K93" s="161"/>
      <c r="L93" s="161"/>
      <c r="M93" s="80"/>
      <c r="N93" s="161"/>
      <c r="O93" s="160"/>
      <c r="P93" s="161"/>
      <c r="Q93" s="161"/>
      <c r="R93" s="161"/>
      <c r="S93" s="77"/>
      <c r="T93" s="161"/>
      <c r="U93" s="160"/>
      <c r="V93" s="161"/>
      <c r="W93" s="85"/>
      <c r="X93" s="86" t="str">
        <f aca="false">IF(ISBLANK($C93),"",IF($E93=Constants!$B$2,TRUE(),IF($E93=Constants!$B$3,FALSE(),TRUE())))</f>
        <v/>
      </c>
      <c r="Y93" s="86" t="str">
        <f aca="false">IF(ISBLANK($C93),"",IF($F93=Constants!$B$2,TRUE(),IF($F93=Constants!$B$3,FALSE(),TRUE())))</f>
        <v/>
      </c>
      <c r="Z93" s="87" t="str">
        <f aca="false">IF(ISBLANK($C93),"",IF(ISNUMBER($G93),IF($G93&gt;=0,$G93,""),""))</f>
        <v/>
      </c>
      <c r="AA93" s="87" t="str">
        <f aca="false">IF(ISBLANK($C93),"",IF(ISNUMBER($H93),IF($H93&gt;=0,$H93,""),""))</f>
        <v/>
      </c>
      <c r="AB93" s="87" t="str">
        <f aca="false">IF(ISBLANK($C93),"",IF(ISNUMBER($I93),IF($I93&gt;=0,$I93,""),""))</f>
        <v/>
      </c>
      <c r="AC93" s="86" t="str">
        <f aca="false">IF(ISBLANK($C93),"",IF($J93=Constants!$B$2,TRUE(),IF($J93=Constants!$B$3,FALSE(),TRUE())))</f>
        <v/>
      </c>
      <c r="AD93" s="86" t="str">
        <f aca="false">IF(ISBLANK($C93),"",IF($K93=Constants!$B$2,TRUE(),IF($K93=Constants!$B$3,FALSE(),TRUE())))</f>
        <v/>
      </c>
      <c r="AE93" s="86" t="str">
        <f aca="false">IF(ISBLANK($C93),"",IF($L93=Constants!$B$2,TRUE(),IF($L93=Constants!$B$3,FALSE(),TRUE())))</f>
        <v/>
      </c>
      <c r="AF93" s="88" t="str">
        <f aca="false">IF(ISBLANK($C93),"",IF(ISNUMBER($M93),IF($M93&gt;=0,$M93,""),""))</f>
        <v/>
      </c>
      <c r="AG93" s="86" t="str">
        <f aca="false">IF(ISBLANK($C93),"",IF(ISBLANK($N93),0,IF(ISNUMBER($N93),IF(AND($N93&gt;=0,$N93&lt;=Constants!$B$17,$N93=INT($N93)),$N93,""),"")))</f>
        <v/>
      </c>
      <c r="AH93" s="87" t="str">
        <f aca="false">IF(ISBLANK($C93),"",IF(ISBLANK($O93),0,IF(ISNUMBER($O93),IF($O93&gt;=0,$O93,""),"")))</f>
        <v/>
      </c>
      <c r="AI93" s="86" t="str">
        <f aca="false">IF(ISBLANK($C93),"",IF($P93=Constants!$B$2,TRUE(),IF($P93=Constants!$B$3,FALSE(),TRUE())))</f>
        <v/>
      </c>
      <c r="AJ93" s="86" t="str">
        <f aca="false">IF(ISBLANK($C93),"",IF($Q93=Constants!$B$2,TRUE(),IF($Q93=Constants!$B$3,FALSE(),TRUE())))</f>
        <v/>
      </c>
      <c r="AK93" s="86" t="str">
        <f aca="false">IF(ISBLANK($C93),"",IF($R93=Constants!$B$2,TRUE(),IF($R93=Constants!$B$3,FALSE(),TRUE())))</f>
        <v/>
      </c>
      <c r="AL93" s="88" t="str">
        <f aca="false">IF(ISBLANK($C93),"",IF(ISNUMBER($S93),IF($S93&gt;=0,$S93,""),""))</f>
        <v/>
      </c>
      <c r="AM93" s="86" t="str">
        <f aca="false">IF(ISBLANK($C93),"",IF(ISBLANK($T93),0,IF(ISNUMBER($T93),IF(AND($T93&gt;=0,$T93&lt;=Constants!$B$17,$T93=INT($T93)),$T93,""),"")))</f>
        <v/>
      </c>
      <c r="AN93" s="87" t="str">
        <f aca="false">IF(ISBLANK($C93),"",IF(ISBLANK($U93),0,IF(ISNUMBER($U93),IF($U93&gt;=0,$U93,""),"")))</f>
        <v/>
      </c>
      <c r="AO93" s="86" t="str">
        <f aca="false">IF(ISBLANK($C93),"",IF($V93=Constants!$B$2,TRUE(),IF($V93=Constants!$B$3,FALSE(),FALSE())))</f>
        <v/>
      </c>
      <c r="AP93" s="86"/>
      <c r="AQ93" s="85" t="str">
        <f aca="false">IF(ISBLANK($C93),"",AND($Y93,OR($AS93,$BC93),OR($Z93="",$AA93="",$AB93="")))</f>
        <v/>
      </c>
      <c r="AR93" s="85" t="str">
        <f aca="false">IF(ISBLANK($C93),"",IF(OR(NOT($Y93),NOT(OR($AS93,$BC93))),"",IF(ISBLANK($D$7),$AR$5,IF($AP$9="",$AR$6,""))))</f>
        <v/>
      </c>
      <c r="AS93" s="85" t="str">
        <f aca="false">IF(ISBLANK($C93),"",COUNTA($J93:$O93)&gt;0)</f>
        <v/>
      </c>
      <c r="AT93" s="85" t="str">
        <f aca="false">IF(ISBLANK($C93),"",AND($AS93,OR(AND($AF93="",OR($AE93,NOT(ISBLANK($M93)))),$AG93="",$AH93="")))</f>
        <v/>
      </c>
      <c r="AU93" s="87" t="str">
        <f aca="false">IF($BL93&lt;&gt;Constants!$B$4,"",IF(NOT($AS93),"",ROUND((Constants!$B$12-$AB93)+(Constants!$B$13-$Z93)+(Constants!$B$14-$AA93),1)))</f>
        <v/>
      </c>
      <c r="AV93" s="90" t="str">
        <f aca="false">IF($BL93&lt;&gt;Constants!$B$4,"",IF(NOT($AS93),"",IF(NOT($AE93),0,Constants!$B$15*(INT(ROUND(MIN($AF93,$AP$9),6))-INT(ROUND(MAX(0,MIN($AF93,2*$AP$9)-$AP$9),6))))))</f>
        <v/>
      </c>
      <c r="AW93" s="90" t="str">
        <f aca="false">IF($BL93&lt;&gt;Constants!$B$4,"",IF(NOT($AS93),"",Constants!$B$16*$AG93))</f>
        <v/>
      </c>
      <c r="AX93" s="90" t="str">
        <f aca="false">IF($BL93&lt;&gt;Constants!$B$4,"",IF(NOT($AS93),"",Constants!$B$18*INT(ROUND($AH93,6))))</f>
        <v/>
      </c>
      <c r="AY93" s="85" t="str">
        <f aca="false">IF($BL93&lt;&gt;Constants!$B$4,"",IF(NOT($AS93),"",IF(NOT($X93),Constants!$B$11,IF(OR(NOT($AC93),NOT($AD93),ROUND($AB93,1)&gt;Constants!$B$12,ROUND($Z93,1)&gt;Constants!$B$13,ROUND($AA93,1)&gt;Constants!$B$14),Constants!$B$10,Constants!$B$9))))</f>
        <v/>
      </c>
      <c r="AZ93" s="91" t="str">
        <f aca="false">IF($BL93&lt;&gt;Constants!$B$4,"",IF(NOT($AS93),"",ROUND($AU93+$AV93+$AW93+$AX93,1)))</f>
        <v/>
      </c>
      <c r="BA93" s="92" t="str">
        <f aca="false">IF($BL93&lt;&gt;Constants!$B$4,"",IF(NOT($AS93),"",IF(ISNUMBER($AF93),$AF93,0)))</f>
        <v/>
      </c>
      <c r="BB93" s="86" t="str">
        <f aca="false">IF($BL93&lt;&gt;Constants!$B$4,"",IF(NOT($BC93),"&lt;-",IF(NOT($AS93),"-&gt;",IF(OR($BI93&lt;$AY93,AND($BI93=$AY93,OR($BJ93&gt;$AZ93,AND($BJ93=$AZ93,OR($BH93&gt;$AX93,AND($BH93=$AX93,OR($BE93&gt;$AU93,AND($BE93=$AU93,OR($BF93&gt;$AV93,AND($BF93=$AV93,$BK93&gt;$BA93)))))))))),"-&gt;","&lt;-"))))</f>
        <v/>
      </c>
      <c r="BC93" s="85" t="str">
        <f aca="false">IF(ISBLANK($C93),"",COUNTA($P93:$U93)&gt;0)</f>
        <v/>
      </c>
      <c r="BD93" s="85" t="str">
        <f aca="false">IF(ISBLANK($C93),"",AND($BC93,OR(AND($AL93="",OR($AK93,NOT(ISBLANK($S93)))),$AM93="",$AN93="")))</f>
        <v/>
      </c>
      <c r="BE93" s="87" t="str">
        <f aca="false">IF($BL93&lt;&gt;Constants!$B$4,"",IF(NOT($BC93),"",ROUND((Constants!$B$12-$AB93)+(Constants!$B$13-$Z93)+(Constants!$B$14-$AA93),1)))</f>
        <v/>
      </c>
      <c r="BF93" s="90" t="str">
        <f aca="false">IF($BL93&lt;&gt;Constants!$B$4,"",IF(NOT($BC93),"",IF(NOT($AK93),0,Constants!$B$15*(INT(ROUND(MIN($AL93,$AP$9),6))-INT(ROUND(MAX(0,MIN($AL93,2*$AP$9)-$AP$9),6))))))</f>
        <v/>
      </c>
      <c r="BG93" s="90" t="str">
        <f aca="false">IF($BL93&lt;&gt;Constants!$B$4,"",IF(NOT($BC93),"",Constants!$B$16*$AM93))</f>
        <v/>
      </c>
      <c r="BH93" s="90" t="str">
        <f aca="false">IF($BL93&lt;&gt;Constants!$B$4,"",IF(NOT($BC93),"",Constants!$B$18*INT(ROUND($AN93,6))))</f>
        <v/>
      </c>
      <c r="BI93" s="85" t="str">
        <f aca="false">IF($BL93&lt;&gt;Constants!$B$4,"",IF(NOT($BC93),"",IF(NOT($X93),Constants!$B$11,IF(OR(NOT($AI93),NOT($AJ93),ROUND($AB93,1)&gt;Constants!$B$12,ROUND($Z93,1)&gt;Constants!$B$13,ROUND($AA93,1)&gt;Constants!$B$14),Constants!$B$10,Constants!$B$9))))</f>
        <v/>
      </c>
      <c r="BJ93" s="91" t="str">
        <f aca="false">IF($BL93&lt;&gt;Constants!$B$4,"",IF(NOT($BC93),"",ROUND($BE93+$BF93+$BG93+$BH93,1)))</f>
        <v/>
      </c>
      <c r="BK93" s="92" t="str">
        <f aca="false">IF($BL93&lt;&gt;Constants!$B$4,"",IF(NOT($BC93),"",IF(ISNUMBER($AL93),$AL93,0)))</f>
        <v/>
      </c>
      <c r="BL93" s="86" t="str">
        <f aca="false">IF(ISBLANK($C93),"",IF($AO93,Constants!$B$7,IF(COUNTA($E93:$V93)=0,Constants!$B$6,IF(NOT($Y93),Constants!$B$5,IF(NOT(OR($AS93,$BC93)),Constants!$B$5,IF(OR($AT93,$BD93,$AQ93,$AR93&lt;&gt;""),Constants!$B$8,Constants!$B$4))))))</f>
        <v/>
      </c>
      <c r="BM93" s="86" t="str">
        <f aca="false">IF(ISBLANK($C93),"",IF($BL93&lt;&gt;Constants!$B$4,$BL93,IF($BB93="-&gt;",$BI93,$AY93)))</f>
        <v/>
      </c>
      <c r="BN93" s="90" t="str">
        <f aca="false">IF($BL93&lt;&gt;Constants!$B$4,"",IF($BB93="-&gt;",$BJ93,$AZ93))</f>
        <v/>
      </c>
      <c r="BO93" s="90" t="str">
        <f aca="false">IF(ISBLANK($C93),"",IF($BL93&lt;&gt;Constants!$B$4,$BL93,$BN93))</f>
        <v/>
      </c>
      <c r="BP93" s="86" t="str">
        <f aca="false">IF(ISBLANK($C93),"",IF($BL93&lt;&gt;Constants!$B$4,$BL93,RANK($BO93,$BO$9:$BO$508,0)))</f>
        <v/>
      </c>
      <c r="BQ93" s="86" t="str">
        <f aca="false">IF(ISBLANK($C93),"",IF($BL93&lt;&gt;Constants!$B$4,$BL93,COUNTIFS($BM$9:$BM$508,"&lt;"&amp;$BM93)+COUNTIFS($BM$9:$BM$508,$BM93,$BP$9:$BP$508,"&lt;"&amp;$BP93)+1))</f>
        <v/>
      </c>
      <c r="BR93" s="90" t="str">
        <f aca="false">IF($BL93&lt;&gt;Constants!$B$4,"",IF($BB93="-&gt;",$BH93,$AX93))</f>
        <v/>
      </c>
      <c r="BS93" s="86" t="str">
        <f aca="false">IF(ISBLANK($C93),"",IF($BL93&lt;&gt;Constants!$B$4,$BL93,IF(ISNUMBER($BR93),RANK($BR93,$BR$9:$BR$508,0),COUNT($BR$9:$BR$508)+1)))</f>
        <v/>
      </c>
      <c r="BT93" s="90" t="str">
        <f aca="false">IF($BL93&lt;&gt;Constants!$B$4,"",IF($BB93="-&gt;",$BE93,$AU93))</f>
        <v/>
      </c>
      <c r="BU93" s="86" t="str">
        <f aca="false">IF(ISBLANK($C93),"",IF($BL93&lt;&gt;Constants!$B$4,$BL93,IF(ISNUMBER($BT93),RANK($BT93,$BT$9:$BT$508,0),COUNT($BT$9:$BT$508)+1)))</f>
        <v/>
      </c>
      <c r="BV93" s="90" t="str">
        <f aca="false">IF($BL93&lt;&gt;Constants!$B$4,"",IF($BB93="-&gt;",$BF93,$AV93))</f>
        <v/>
      </c>
      <c r="BW93" s="86" t="str">
        <f aca="false">IF(ISBLANK($C93),"",IF($BL93&lt;&gt;Constants!$B$4,$BL93,IF(ISNUMBER($BV93),RANK($BV93,$BV$9:$BV$508,0),COUNT($BV$9:$BV$508)+1)))</f>
        <v/>
      </c>
      <c r="BX93" s="90" t="str">
        <f aca="false">IF($BL93&lt;&gt;Constants!$B$4,"",IF($BB93="-&gt;",$BK93,$BA93))</f>
        <v/>
      </c>
      <c r="BY93" s="86" t="str">
        <f aca="false">IF(ISBLANK($C93),"",IF($BL93&lt;&gt;Constants!$B$4,$BL93,IF(ISNUMBER($BX93),RANK($BX93,$BX$9:$BX$508,0),COUNT($BX$9:$BX$508)+1)))</f>
        <v/>
      </c>
      <c r="BZ93" s="86" t="str">
        <f aca="false">IF(ISBLANK($C93),"",IF($BL93&lt;&gt;Constants!$B$4,$BL93,COUNTIFS($BM$9:$BM$508,"&lt;"&amp;$BM93)+COUNTIFS($BM$9:$BM$508,$BM93,$BP$9:$BP$508,"&lt;"&amp;$BP93)+COUNTIFS($BM$9:$BM$508,$BM93,$BP$9:$BP$508,$BP93,$BS$9:$BS$508,"&lt;"&amp;$BS93)+COUNTIFS($BM$9:$BM$508,$BM93,$BP$9:$BP$508,$BP93,$BS$9:$BS$508,$BS93,$BU$9:$BU$508,"&lt;"&amp;$BU93)+COUNTIFS($BM$9:$BM$508,$BM93,$BP$9:$BP$508,$BP93,$BS$9:$BS$508,$BS93,$BU$9:$BU$508,$BU93,$BW$9:$BW$508,"&lt;"&amp;$BW93)+COUNTIFS($BM$9:$BM$508,$BM93,$BP$9:$BP$508,$BP93,$BS$9:$BS$508,$BS93,$BU$9:$BU$508,$BU93,$BW$9:$BW$508,$BW93,$BY$9:$BY$508,"&lt;"&amp;$BY93)+1))</f>
        <v/>
      </c>
      <c r="CA93" s="86" t="str">
        <f aca="false">IF(ISBLANK($C93),"",IF($BL93&lt;&gt;Constants!$B$4,$BL93,$BQ93-$BZ93))</f>
        <v/>
      </c>
      <c r="CB93" s="93"/>
      <c r="CC93" s="94" t="str">
        <f aca="false">IF(ISBLANK($C93),"",IF($BL93=Constants!$B$8,$AR93,""))</f>
        <v/>
      </c>
      <c r="CD93" s="94" t="str">
        <f aca="false">IF(ISBLANK($C93),"",IF($BL93&lt;&gt;Constants!$B$4,"",IF($BB93="-&gt;",2,1)))</f>
        <v/>
      </c>
      <c r="CE93" s="95" t="str">
        <f aca="false">IF(ISBLANK($C93),"",IF($BL93&lt;&gt;Constants!$B$4,"",IF($BB93="-&gt;",$BE93,$AU93)))</f>
        <v/>
      </c>
      <c r="CF93" s="95" t="str">
        <f aca="false">IF(ISBLANK($C93),"",IF($BL93&lt;&gt;Constants!$B$4,"",IF($BB93="-&gt;",$BF93,$AV93)))</f>
        <v/>
      </c>
      <c r="CG93" s="95" t="str">
        <f aca="false">IF(ISBLANK($C93),"",IF($BL93&lt;&gt;Constants!$B$4,"",IF($BB93="-&gt;",$BG93,$AW93)))</f>
        <v/>
      </c>
      <c r="CH93" s="95" t="str">
        <f aca="false">IF(ISBLANK($C93),"",IF($BL93&lt;&gt;Constants!$B$4,"",IF($BB93="-&gt;",$BH93,$AX93)))</f>
        <v/>
      </c>
      <c r="CI93" s="96" t="str">
        <f aca="false">IF(ISBLANK($C93),"",$BO93)</f>
        <v/>
      </c>
      <c r="CJ93" s="97" t="str">
        <f aca="false">IF(ISBLANK($C93),"",$BM93)</f>
        <v/>
      </c>
      <c r="CK93" s="98" t="str">
        <f aca="false">IF(ISBLANK($C93),"",$CA93)</f>
        <v/>
      </c>
      <c r="CL93" s="98" t="str">
        <f aca="false">IF(ISBLANK($C93),"",$BZ93)</f>
        <v/>
      </c>
      <c r="CM93" s="99" t="str">
        <f aca="false">IF(ISBLANK($C93),"",IF($CL93=Constants!$B$7,COUNTA($C$9:$C$508)+2,IF($CL93=Constants!$B$6,COUNTA($C$9:$C$508)+1,IF($CL93=Constants!$B$5,COUNTA($C$9:$C$508),$CL93))))</f>
        <v/>
      </c>
      <c r="CN93" s="8"/>
      <c r="CO93" s="100" t="n">
        <f aca="false">IF(OR(ISNUMBER($CL93),$CL93=Constants!$B$7,$CL93=Constants!$B$5,$CL93=Constants!$B$6),1,0)</f>
        <v>0</v>
      </c>
      <c r="CP93" s="100" t="n">
        <v>85</v>
      </c>
      <c r="CQ93" s="100" t="str">
        <f aca="false">IF(ISBLANK($C93),"",IF(ISNUMBER($CM93),$CM93+ROW($B93)/1000,""))</f>
        <v/>
      </c>
      <c r="CR93" s="100" t="str">
        <f aca="false">IF(ISNUMBER($CQ93),RANK($CQ93,$CQ$9:$CQ$508,1),"")</f>
        <v/>
      </c>
      <c r="CS93" s="100" t="str">
        <f aca="false">IF(ISBLANK($C93),"",$B93)</f>
        <v/>
      </c>
      <c r="CT93" s="100" t="str">
        <f aca="false">IF(ISBLANK($C93),"",$C93)</f>
        <v/>
      </c>
      <c r="CU93" s="100" t="str">
        <f aca="false">IF(ISBLANK($C93),"",$D93)</f>
        <v/>
      </c>
      <c r="CV93" s="101" t="str">
        <f aca="false">$CJ93</f>
        <v/>
      </c>
      <c r="CW93" s="102" t="str">
        <f aca="false">$CI93</f>
        <v/>
      </c>
      <c r="CX93" s="100" t="str">
        <f aca="false">IF(ISBLANK($C93),"",$CL93)</f>
        <v/>
      </c>
      <c r="CY93" s="103" t="str">
        <f aca="false">IF($CP93&gt;$CO$8,"",VLOOKUP($CP93,$CR$9:$CX$508,7,FALSE()))</f>
        <v/>
      </c>
      <c r="CZ93" s="104" t="str">
        <f aca="false">IF($CP93&gt;$CO$8,"",VLOOKUP($CP93,$CR$9:$CX$508,2,FALSE()))</f>
        <v/>
      </c>
      <c r="DA93" s="104" t="str">
        <f aca="false">IF($CP93&gt;$CO$8,"",VLOOKUP($CP93,$CR$9:$CX$508,3,FALSE()))</f>
        <v/>
      </c>
      <c r="DB93" s="104" t="str">
        <f aca="false">IF($CP93&gt;$CO$8,"",VLOOKUP($CP93,$CR$9:$CX$508,4,FALSE()))</f>
        <v/>
      </c>
      <c r="DC93" s="104" t="str">
        <f aca="false">IF($CP93&gt;$CO$8,"",VLOOKUP($CP93,$CR$9:$CX$508,5,FALSE()))</f>
        <v/>
      </c>
      <c r="DD93" s="105" t="str">
        <f aca="false">IF($CP93&gt;$CO$8,"",VLOOKUP($CP93,$CR$9:$CX$508,6,FALSE()))</f>
        <v/>
      </c>
      <c r="DE93" s="70"/>
    </row>
    <row r="94" customFormat="false" ht="15.75" hidden="false" customHeight="false" outlineLevel="0" collapsed="false">
      <c r="A94" s="8"/>
      <c r="B94" s="72"/>
      <c r="C94" s="73"/>
      <c r="D94" s="155"/>
      <c r="E94" s="162"/>
      <c r="F94" s="157"/>
      <c r="G94" s="77"/>
      <c r="H94" s="77"/>
      <c r="I94" s="77"/>
      <c r="J94" s="163"/>
      <c r="K94" s="161"/>
      <c r="L94" s="161"/>
      <c r="M94" s="80"/>
      <c r="N94" s="161"/>
      <c r="O94" s="160"/>
      <c r="P94" s="161"/>
      <c r="Q94" s="161"/>
      <c r="R94" s="161"/>
      <c r="S94" s="77"/>
      <c r="T94" s="161"/>
      <c r="U94" s="160"/>
      <c r="V94" s="161"/>
      <c r="W94" s="85"/>
      <c r="X94" s="86" t="str">
        <f aca="false">IF(ISBLANK($C94),"",IF($E94=Constants!$B$2,TRUE(),IF($E94=Constants!$B$3,FALSE(),TRUE())))</f>
        <v/>
      </c>
      <c r="Y94" s="86" t="str">
        <f aca="false">IF(ISBLANK($C94),"",IF($F94=Constants!$B$2,TRUE(),IF($F94=Constants!$B$3,FALSE(),TRUE())))</f>
        <v/>
      </c>
      <c r="Z94" s="87" t="str">
        <f aca="false">IF(ISBLANK($C94),"",IF(ISNUMBER($G94),IF($G94&gt;=0,$G94,""),""))</f>
        <v/>
      </c>
      <c r="AA94" s="87" t="str">
        <f aca="false">IF(ISBLANK($C94),"",IF(ISNUMBER($H94),IF($H94&gt;=0,$H94,""),""))</f>
        <v/>
      </c>
      <c r="AB94" s="87" t="str">
        <f aca="false">IF(ISBLANK($C94),"",IF(ISNUMBER($I94),IF($I94&gt;=0,$I94,""),""))</f>
        <v/>
      </c>
      <c r="AC94" s="86" t="str">
        <f aca="false">IF(ISBLANK($C94),"",IF($J94=Constants!$B$2,TRUE(),IF($J94=Constants!$B$3,FALSE(),TRUE())))</f>
        <v/>
      </c>
      <c r="AD94" s="86" t="str">
        <f aca="false">IF(ISBLANK($C94),"",IF($K94=Constants!$B$2,TRUE(),IF($K94=Constants!$B$3,FALSE(),TRUE())))</f>
        <v/>
      </c>
      <c r="AE94" s="86" t="str">
        <f aca="false">IF(ISBLANK($C94),"",IF($L94=Constants!$B$2,TRUE(),IF($L94=Constants!$B$3,FALSE(),TRUE())))</f>
        <v/>
      </c>
      <c r="AF94" s="88" t="str">
        <f aca="false">IF(ISBLANK($C94),"",IF(ISNUMBER($M94),IF($M94&gt;=0,$M94,""),""))</f>
        <v/>
      </c>
      <c r="AG94" s="86" t="str">
        <f aca="false">IF(ISBLANK($C94),"",IF(ISBLANK($N94),0,IF(ISNUMBER($N94),IF(AND($N94&gt;=0,$N94&lt;=Constants!$B$17,$N94=INT($N94)),$N94,""),"")))</f>
        <v/>
      </c>
      <c r="AH94" s="87" t="str">
        <f aca="false">IF(ISBLANK($C94),"",IF(ISBLANK($O94),0,IF(ISNUMBER($O94),IF($O94&gt;=0,$O94,""),"")))</f>
        <v/>
      </c>
      <c r="AI94" s="86" t="str">
        <f aca="false">IF(ISBLANK($C94),"",IF($P94=Constants!$B$2,TRUE(),IF($P94=Constants!$B$3,FALSE(),TRUE())))</f>
        <v/>
      </c>
      <c r="AJ94" s="86" t="str">
        <f aca="false">IF(ISBLANK($C94),"",IF($Q94=Constants!$B$2,TRUE(),IF($Q94=Constants!$B$3,FALSE(),TRUE())))</f>
        <v/>
      </c>
      <c r="AK94" s="86" t="str">
        <f aca="false">IF(ISBLANK($C94),"",IF($R94=Constants!$B$2,TRUE(),IF($R94=Constants!$B$3,FALSE(),TRUE())))</f>
        <v/>
      </c>
      <c r="AL94" s="88" t="str">
        <f aca="false">IF(ISBLANK($C94),"",IF(ISNUMBER($S94),IF($S94&gt;=0,$S94,""),""))</f>
        <v/>
      </c>
      <c r="AM94" s="86" t="str">
        <f aca="false">IF(ISBLANK($C94),"",IF(ISBLANK($T94),0,IF(ISNUMBER($T94),IF(AND($T94&gt;=0,$T94&lt;=Constants!$B$17,$T94=INT($T94)),$T94,""),"")))</f>
        <v/>
      </c>
      <c r="AN94" s="87" t="str">
        <f aca="false">IF(ISBLANK($C94),"",IF(ISBLANK($U94),0,IF(ISNUMBER($U94),IF($U94&gt;=0,$U94,""),"")))</f>
        <v/>
      </c>
      <c r="AO94" s="86" t="str">
        <f aca="false">IF(ISBLANK($C94),"",IF($V94=Constants!$B$2,TRUE(),IF($V94=Constants!$B$3,FALSE(),FALSE())))</f>
        <v/>
      </c>
      <c r="AP94" s="86"/>
      <c r="AQ94" s="85" t="str">
        <f aca="false">IF(ISBLANK($C94),"",AND($Y94,OR($AS94,$BC94),OR($Z94="",$AA94="",$AB94="")))</f>
        <v/>
      </c>
      <c r="AR94" s="85" t="str">
        <f aca="false">IF(ISBLANK($C94),"",IF(OR(NOT($Y94),NOT(OR($AS94,$BC94))),"",IF(ISBLANK($D$7),$AR$5,IF($AP$9="",$AR$6,""))))</f>
        <v/>
      </c>
      <c r="AS94" s="85" t="str">
        <f aca="false">IF(ISBLANK($C94),"",COUNTA($J94:$O94)&gt;0)</f>
        <v/>
      </c>
      <c r="AT94" s="85" t="str">
        <f aca="false">IF(ISBLANK($C94),"",AND($AS94,OR(AND($AF94="",OR($AE94,NOT(ISBLANK($M94)))),$AG94="",$AH94="")))</f>
        <v/>
      </c>
      <c r="AU94" s="87" t="str">
        <f aca="false">IF($BL94&lt;&gt;Constants!$B$4,"",IF(NOT($AS94),"",ROUND((Constants!$B$12-$AB94)+(Constants!$B$13-$Z94)+(Constants!$B$14-$AA94),1)))</f>
        <v/>
      </c>
      <c r="AV94" s="90" t="str">
        <f aca="false">IF($BL94&lt;&gt;Constants!$B$4,"",IF(NOT($AS94),"",IF(NOT($AE94),0,Constants!$B$15*(INT(ROUND(MIN($AF94,$AP$9),6))-INT(ROUND(MAX(0,MIN($AF94,2*$AP$9)-$AP$9),6))))))</f>
        <v/>
      </c>
      <c r="AW94" s="90" t="str">
        <f aca="false">IF($BL94&lt;&gt;Constants!$B$4,"",IF(NOT($AS94),"",Constants!$B$16*$AG94))</f>
        <v/>
      </c>
      <c r="AX94" s="90" t="str">
        <f aca="false">IF($BL94&lt;&gt;Constants!$B$4,"",IF(NOT($AS94),"",Constants!$B$18*INT(ROUND($AH94,6))))</f>
        <v/>
      </c>
      <c r="AY94" s="85" t="str">
        <f aca="false">IF($BL94&lt;&gt;Constants!$B$4,"",IF(NOT($AS94),"",IF(NOT($X94),Constants!$B$11,IF(OR(NOT($AC94),NOT($AD94),ROUND($AB94,1)&gt;Constants!$B$12,ROUND($Z94,1)&gt;Constants!$B$13,ROUND($AA94,1)&gt;Constants!$B$14),Constants!$B$10,Constants!$B$9))))</f>
        <v/>
      </c>
      <c r="AZ94" s="91" t="str">
        <f aca="false">IF($BL94&lt;&gt;Constants!$B$4,"",IF(NOT($AS94),"",ROUND($AU94+$AV94+$AW94+$AX94,1)))</f>
        <v/>
      </c>
      <c r="BA94" s="92" t="str">
        <f aca="false">IF($BL94&lt;&gt;Constants!$B$4,"",IF(NOT($AS94),"",IF(ISNUMBER($AF94),$AF94,0)))</f>
        <v/>
      </c>
      <c r="BB94" s="86" t="str">
        <f aca="false">IF($BL94&lt;&gt;Constants!$B$4,"",IF(NOT($BC94),"&lt;-",IF(NOT($AS94),"-&gt;",IF(OR($BI94&lt;$AY94,AND($BI94=$AY94,OR($BJ94&gt;$AZ94,AND($BJ94=$AZ94,OR($BH94&gt;$AX94,AND($BH94=$AX94,OR($BE94&gt;$AU94,AND($BE94=$AU94,OR($BF94&gt;$AV94,AND($BF94=$AV94,$BK94&gt;$BA94)))))))))),"-&gt;","&lt;-"))))</f>
        <v/>
      </c>
      <c r="BC94" s="85" t="str">
        <f aca="false">IF(ISBLANK($C94),"",COUNTA($P94:$U94)&gt;0)</f>
        <v/>
      </c>
      <c r="BD94" s="85" t="str">
        <f aca="false">IF(ISBLANK($C94),"",AND($BC94,OR(AND($AL94="",OR($AK94,NOT(ISBLANK($S94)))),$AM94="",$AN94="")))</f>
        <v/>
      </c>
      <c r="BE94" s="87" t="str">
        <f aca="false">IF($BL94&lt;&gt;Constants!$B$4,"",IF(NOT($BC94),"",ROUND((Constants!$B$12-$AB94)+(Constants!$B$13-$Z94)+(Constants!$B$14-$AA94),1)))</f>
        <v/>
      </c>
      <c r="BF94" s="90" t="str">
        <f aca="false">IF($BL94&lt;&gt;Constants!$B$4,"",IF(NOT($BC94),"",IF(NOT($AK94),0,Constants!$B$15*(INT(ROUND(MIN($AL94,$AP$9),6))-INT(ROUND(MAX(0,MIN($AL94,2*$AP$9)-$AP$9),6))))))</f>
        <v/>
      </c>
      <c r="BG94" s="90" t="str">
        <f aca="false">IF($BL94&lt;&gt;Constants!$B$4,"",IF(NOT($BC94),"",Constants!$B$16*$AM94))</f>
        <v/>
      </c>
      <c r="BH94" s="90" t="str">
        <f aca="false">IF($BL94&lt;&gt;Constants!$B$4,"",IF(NOT($BC94),"",Constants!$B$18*INT(ROUND($AN94,6))))</f>
        <v/>
      </c>
      <c r="BI94" s="85" t="str">
        <f aca="false">IF($BL94&lt;&gt;Constants!$B$4,"",IF(NOT($BC94),"",IF(NOT($X94),Constants!$B$11,IF(OR(NOT($AI94),NOT($AJ94),ROUND($AB94,1)&gt;Constants!$B$12,ROUND($Z94,1)&gt;Constants!$B$13,ROUND($AA94,1)&gt;Constants!$B$14),Constants!$B$10,Constants!$B$9))))</f>
        <v/>
      </c>
      <c r="BJ94" s="91" t="str">
        <f aca="false">IF($BL94&lt;&gt;Constants!$B$4,"",IF(NOT($BC94),"",ROUND($BE94+$BF94+$BG94+$BH94,1)))</f>
        <v/>
      </c>
      <c r="BK94" s="92" t="str">
        <f aca="false">IF($BL94&lt;&gt;Constants!$B$4,"",IF(NOT($BC94),"",IF(ISNUMBER($AL94),$AL94,0)))</f>
        <v/>
      </c>
      <c r="BL94" s="86" t="str">
        <f aca="false">IF(ISBLANK($C94),"",IF($AO94,Constants!$B$7,IF(COUNTA($E94:$V94)=0,Constants!$B$6,IF(NOT($Y94),Constants!$B$5,IF(NOT(OR($AS94,$BC94)),Constants!$B$5,IF(OR($AT94,$BD94,$AQ94,$AR94&lt;&gt;""),Constants!$B$8,Constants!$B$4))))))</f>
        <v/>
      </c>
      <c r="BM94" s="86" t="str">
        <f aca="false">IF(ISBLANK($C94),"",IF($BL94&lt;&gt;Constants!$B$4,$BL94,IF($BB94="-&gt;",$BI94,$AY94)))</f>
        <v/>
      </c>
      <c r="BN94" s="90" t="str">
        <f aca="false">IF($BL94&lt;&gt;Constants!$B$4,"",IF($BB94="-&gt;",$BJ94,$AZ94))</f>
        <v/>
      </c>
      <c r="BO94" s="90" t="str">
        <f aca="false">IF(ISBLANK($C94),"",IF($BL94&lt;&gt;Constants!$B$4,$BL94,$BN94))</f>
        <v/>
      </c>
      <c r="BP94" s="86" t="str">
        <f aca="false">IF(ISBLANK($C94),"",IF($BL94&lt;&gt;Constants!$B$4,$BL94,RANK($BO94,$BO$9:$BO$508,0)))</f>
        <v/>
      </c>
      <c r="BQ94" s="86" t="str">
        <f aca="false">IF(ISBLANK($C94),"",IF($BL94&lt;&gt;Constants!$B$4,$BL94,COUNTIFS($BM$9:$BM$508,"&lt;"&amp;$BM94)+COUNTIFS($BM$9:$BM$508,$BM94,$BP$9:$BP$508,"&lt;"&amp;$BP94)+1))</f>
        <v/>
      </c>
      <c r="BR94" s="90" t="str">
        <f aca="false">IF($BL94&lt;&gt;Constants!$B$4,"",IF($BB94="-&gt;",$BH94,$AX94))</f>
        <v/>
      </c>
      <c r="BS94" s="86" t="str">
        <f aca="false">IF(ISBLANK($C94),"",IF($BL94&lt;&gt;Constants!$B$4,$BL94,IF(ISNUMBER($BR94),RANK($BR94,$BR$9:$BR$508,0),COUNT($BR$9:$BR$508)+1)))</f>
        <v/>
      </c>
      <c r="BT94" s="90" t="str">
        <f aca="false">IF($BL94&lt;&gt;Constants!$B$4,"",IF($BB94="-&gt;",$BE94,$AU94))</f>
        <v/>
      </c>
      <c r="BU94" s="86" t="str">
        <f aca="false">IF(ISBLANK($C94),"",IF($BL94&lt;&gt;Constants!$B$4,$BL94,IF(ISNUMBER($BT94),RANK($BT94,$BT$9:$BT$508,0),COUNT($BT$9:$BT$508)+1)))</f>
        <v/>
      </c>
      <c r="BV94" s="90" t="str">
        <f aca="false">IF($BL94&lt;&gt;Constants!$B$4,"",IF($BB94="-&gt;",$BF94,$AV94))</f>
        <v/>
      </c>
      <c r="BW94" s="86" t="str">
        <f aca="false">IF(ISBLANK($C94),"",IF($BL94&lt;&gt;Constants!$B$4,$BL94,IF(ISNUMBER($BV94),RANK($BV94,$BV$9:$BV$508,0),COUNT($BV$9:$BV$508)+1)))</f>
        <v/>
      </c>
      <c r="BX94" s="90" t="str">
        <f aca="false">IF($BL94&lt;&gt;Constants!$B$4,"",IF($BB94="-&gt;",$BK94,$BA94))</f>
        <v/>
      </c>
      <c r="BY94" s="86" t="str">
        <f aca="false">IF(ISBLANK($C94),"",IF($BL94&lt;&gt;Constants!$B$4,$BL94,IF(ISNUMBER($BX94),RANK($BX94,$BX$9:$BX$508,0),COUNT($BX$9:$BX$508)+1)))</f>
        <v/>
      </c>
      <c r="BZ94" s="86" t="str">
        <f aca="false">IF(ISBLANK($C94),"",IF($BL94&lt;&gt;Constants!$B$4,$BL94,COUNTIFS($BM$9:$BM$508,"&lt;"&amp;$BM94)+COUNTIFS($BM$9:$BM$508,$BM94,$BP$9:$BP$508,"&lt;"&amp;$BP94)+COUNTIFS($BM$9:$BM$508,$BM94,$BP$9:$BP$508,$BP94,$BS$9:$BS$508,"&lt;"&amp;$BS94)+COUNTIFS($BM$9:$BM$508,$BM94,$BP$9:$BP$508,$BP94,$BS$9:$BS$508,$BS94,$BU$9:$BU$508,"&lt;"&amp;$BU94)+COUNTIFS($BM$9:$BM$508,$BM94,$BP$9:$BP$508,$BP94,$BS$9:$BS$508,$BS94,$BU$9:$BU$508,$BU94,$BW$9:$BW$508,"&lt;"&amp;$BW94)+COUNTIFS($BM$9:$BM$508,$BM94,$BP$9:$BP$508,$BP94,$BS$9:$BS$508,$BS94,$BU$9:$BU$508,$BU94,$BW$9:$BW$508,$BW94,$BY$9:$BY$508,"&lt;"&amp;$BY94)+1))</f>
        <v/>
      </c>
      <c r="CA94" s="86" t="str">
        <f aca="false">IF(ISBLANK($C94),"",IF($BL94&lt;&gt;Constants!$B$4,$BL94,$BQ94-$BZ94))</f>
        <v/>
      </c>
      <c r="CB94" s="93"/>
      <c r="CC94" s="94" t="str">
        <f aca="false">IF(ISBLANK($C94),"",IF($BL94=Constants!$B$8,$AR94,""))</f>
        <v/>
      </c>
      <c r="CD94" s="94" t="str">
        <f aca="false">IF(ISBLANK($C94),"",IF($BL94&lt;&gt;Constants!$B$4,"",IF($BB94="-&gt;",2,1)))</f>
        <v/>
      </c>
      <c r="CE94" s="95" t="str">
        <f aca="false">IF(ISBLANK($C94),"",IF($BL94&lt;&gt;Constants!$B$4,"",IF($BB94="-&gt;",$BE94,$AU94)))</f>
        <v/>
      </c>
      <c r="CF94" s="95" t="str">
        <f aca="false">IF(ISBLANK($C94),"",IF($BL94&lt;&gt;Constants!$B$4,"",IF($BB94="-&gt;",$BF94,$AV94)))</f>
        <v/>
      </c>
      <c r="CG94" s="95" t="str">
        <f aca="false">IF(ISBLANK($C94),"",IF($BL94&lt;&gt;Constants!$B$4,"",IF($BB94="-&gt;",$BG94,$AW94)))</f>
        <v/>
      </c>
      <c r="CH94" s="95" t="str">
        <f aca="false">IF(ISBLANK($C94),"",IF($BL94&lt;&gt;Constants!$B$4,"",IF($BB94="-&gt;",$BH94,$AX94)))</f>
        <v/>
      </c>
      <c r="CI94" s="96" t="str">
        <f aca="false">IF(ISBLANK($C94),"",$BO94)</f>
        <v/>
      </c>
      <c r="CJ94" s="97" t="str">
        <f aca="false">IF(ISBLANK($C94),"",$BM94)</f>
        <v/>
      </c>
      <c r="CK94" s="98" t="str">
        <f aca="false">IF(ISBLANK($C94),"",$CA94)</f>
        <v/>
      </c>
      <c r="CL94" s="98" t="str">
        <f aca="false">IF(ISBLANK($C94),"",$BZ94)</f>
        <v/>
      </c>
      <c r="CM94" s="99" t="str">
        <f aca="false">IF(ISBLANK($C94),"",IF($CL94=Constants!$B$7,COUNTA($C$9:$C$508)+2,IF($CL94=Constants!$B$6,COUNTA($C$9:$C$508)+1,IF($CL94=Constants!$B$5,COUNTA($C$9:$C$508),$CL94))))</f>
        <v/>
      </c>
      <c r="CN94" s="8"/>
      <c r="CO94" s="100" t="n">
        <f aca="false">IF(OR(ISNUMBER($CL94),$CL94=Constants!$B$7,$CL94=Constants!$B$5,$CL94=Constants!$B$6),1,0)</f>
        <v>0</v>
      </c>
      <c r="CP94" s="100" t="n">
        <v>86</v>
      </c>
      <c r="CQ94" s="100" t="str">
        <f aca="false">IF(ISBLANK($C94),"",IF(ISNUMBER($CM94),$CM94+ROW($B94)/1000,""))</f>
        <v/>
      </c>
      <c r="CR94" s="100" t="str">
        <f aca="false">IF(ISNUMBER($CQ94),RANK($CQ94,$CQ$9:$CQ$508,1),"")</f>
        <v/>
      </c>
      <c r="CS94" s="100" t="str">
        <f aca="false">IF(ISBLANK($C94),"",$B94)</f>
        <v/>
      </c>
      <c r="CT94" s="100" t="str">
        <f aca="false">IF(ISBLANK($C94),"",$C94)</f>
        <v/>
      </c>
      <c r="CU94" s="100" t="str">
        <f aca="false">IF(ISBLANK($C94),"",$D94)</f>
        <v/>
      </c>
      <c r="CV94" s="101" t="str">
        <f aca="false">$CJ94</f>
        <v/>
      </c>
      <c r="CW94" s="102" t="str">
        <f aca="false">$CI94</f>
        <v/>
      </c>
      <c r="CX94" s="100" t="str">
        <f aca="false">IF(ISBLANK($C94),"",$CL94)</f>
        <v/>
      </c>
      <c r="CY94" s="103" t="str">
        <f aca="false">IF($CP94&gt;$CO$8,"",VLOOKUP($CP94,$CR$9:$CX$508,7,FALSE()))</f>
        <v/>
      </c>
      <c r="CZ94" s="104" t="str">
        <f aca="false">IF($CP94&gt;$CO$8,"",VLOOKUP($CP94,$CR$9:$CX$508,2,FALSE()))</f>
        <v/>
      </c>
      <c r="DA94" s="104" t="str">
        <f aca="false">IF($CP94&gt;$CO$8,"",VLOOKUP($CP94,$CR$9:$CX$508,3,FALSE()))</f>
        <v/>
      </c>
      <c r="DB94" s="104" t="str">
        <f aca="false">IF($CP94&gt;$CO$8,"",VLOOKUP($CP94,$CR$9:$CX$508,4,FALSE()))</f>
        <v/>
      </c>
      <c r="DC94" s="104" t="str">
        <f aca="false">IF($CP94&gt;$CO$8,"",VLOOKUP($CP94,$CR$9:$CX$508,5,FALSE()))</f>
        <v/>
      </c>
      <c r="DD94" s="105" t="str">
        <f aca="false">IF($CP94&gt;$CO$8,"",VLOOKUP($CP94,$CR$9:$CX$508,6,FALSE()))</f>
        <v/>
      </c>
      <c r="DE94" s="70"/>
    </row>
    <row r="95" customFormat="false" ht="15.75" hidden="false" customHeight="false" outlineLevel="0" collapsed="false">
      <c r="A95" s="8"/>
      <c r="B95" s="72"/>
      <c r="C95" s="73"/>
      <c r="D95" s="155"/>
      <c r="E95" s="162"/>
      <c r="F95" s="157"/>
      <c r="G95" s="77"/>
      <c r="H95" s="77"/>
      <c r="I95" s="77"/>
      <c r="J95" s="163"/>
      <c r="K95" s="161"/>
      <c r="L95" s="161"/>
      <c r="M95" s="80"/>
      <c r="N95" s="161"/>
      <c r="O95" s="160"/>
      <c r="P95" s="161"/>
      <c r="Q95" s="161"/>
      <c r="R95" s="161"/>
      <c r="S95" s="77"/>
      <c r="T95" s="161"/>
      <c r="U95" s="160"/>
      <c r="V95" s="161"/>
      <c r="W95" s="85"/>
      <c r="X95" s="86" t="str">
        <f aca="false">IF(ISBLANK($C95),"",IF($E95=Constants!$B$2,TRUE(),IF($E95=Constants!$B$3,FALSE(),TRUE())))</f>
        <v/>
      </c>
      <c r="Y95" s="86" t="str">
        <f aca="false">IF(ISBLANK($C95),"",IF($F95=Constants!$B$2,TRUE(),IF($F95=Constants!$B$3,FALSE(),TRUE())))</f>
        <v/>
      </c>
      <c r="Z95" s="87" t="str">
        <f aca="false">IF(ISBLANK($C95),"",IF(ISNUMBER($G95),IF($G95&gt;=0,$G95,""),""))</f>
        <v/>
      </c>
      <c r="AA95" s="87" t="str">
        <f aca="false">IF(ISBLANK($C95),"",IF(ISNUMBER($H95),IF($H95&gt;=0,$H95,""),""))</f>
        <v/>
      </c>
      <c r="AB95" s="87" t="str">
        <f aca="false">IF(ISBLANK($C95),"",IF(ISNUMBER($I95),IF($I95&gt;=0,$I95,""),""))</f>
        <v/>
      </c>
      <c r="AC95" s="86" t="str">
        <f aca="false">IF(ISBLANK($C95),"",IF($J95=Constants!$B$2,TRUE(),IF($J95=Constants!$B$3,FALSE(),TRUE())))</f>
        <v/>
      </c>
      <c r="AD95" s="86" t="str">
        <f aca="false">IF(ISBLANK($C95),"",IF($K95=Constants!$B$2,TRUE(),IF($K95=Constants!$B$3,FALSE(),TRUE())))</f>
        <v/>
      </c>
      <c r="AE95" s="86" t="str">
        <f aca="false">IF(ISBLANK($C95),"",IF($L95=Constants!$B$2,TRUE(),IF($L95=Constants!$B$3,FALSE(),TRUE())))</f>
        <v/>
      </c>
      <c r="AF95" s="88" t="str">
        <f aca="false">IF(ISBLANK($C95),"",IF(ISNUMBER($M95),IF($M95&gt;=0,$M95,""),""))</f>
        <v/>
      </c>
      <c r="AG95" s="86" t="str">
        <f aca="false">IF(ISBLANK($C95),"",IF(ISBLANK($N95),0,IF(ISNUMBER($N95),IF(AND($N95&gt;=0,$N95&lt;=Constants!$B$17,$N95=INT($N95)),$N95,""),"")))</f>
        <v/>
      </c>
      <c r="AH95" s="87" t="str">
        <f aca="false">IF(ISBLANK($C95),"",IF(ISBLANK($O95),0,IF(ISNUMBER($O95),IF($O95&gt;=0,$O95,""),"")))</f>
        <v/>
      </c>
      <c r="AI95" s="86" t="str">
        <f aca="false">IF(ISBLANK($C95),"",IF($P95=Constants!$B$2,TRUE(),IF($P95=Constants!$B$3,FALSE(),TRUE())))</f>
        <v/>
      </c>
      <c r="AJ95" s="86" t="str">
        <f aca="false">IF(ISBLANK($C95),"",IF($Q95=Constants!$B$2,TRUE(),IF($Q95=Constants!$B$3,FALSE(),TRUE())))</f>
        <v/>
      </c>
      <c r="AK95" s="86" t="str">
        <f aca="false">IF(ISBLANK($C95),"",IF($R95=Constants!$B$2,TRUE(),IF($R95=Constants!$B$3,FALSE(),TRUE())))</f>
        <v/>
      </c>
      <c r="AL95" s="88" t="str">
        <f aca="false">IF(ISBLANK($C95),"",IF(ISNUMBER($S95),IF($S95&gt;=0,$S95,""),""))</f>
        <v/>
      </c>
      <c r="AM95" s="86" t="str">
        <f aca="false">IF(ISBLANK($C95),"",IF(ISBLANK($T95),0,IF(ISNUMBER($T95),IF(AND($T95&gt;=0,$T95&lt;=Constants!$B$17,$T95=INT($T95)),$T95,""),"")))</f>
        <v/>
      </c>
      <c r="AN95" s="87" t="str">
        <f aca="false">IF(ISBLANK($C95),"",IF(ISBLANK($U95),0,IF(ISNUMBER($U95),IF($U95&gt;=0,$U95,""),"")))</f>
        <v/>
      </c>
      <c r="AO95" s="86" t="str">
        <f aca="false">IF(ISBLANK($C95),"",IF($V95=Constants!$B$2,TRUE(),IF($V95=Constants!$B$3,FALSE(),FALSE())))</f>
        <v/>
      </c>
      <c r="AP95" s="86"/>
      <c r="AQ95" s="85" t="str">
        <f aca="false">IF(ISBLANK($C95),"",AND($Y95,OR($AS95,$BC95),OR($Z95="",$AA95="",$AB95="")))</f>
        <v/>
      </c>
      <c r="AR95" s="85" t="str">
        <f aca="false">IF(ISBLANK($C95),"",IF(OR(NOT($Y95),NOT(OR($AS95,$BC95))),"",IF(ISBLANK($D$7),$AR$5,IF($AP$9="",$AR$6,""))))</f>
        <v/>
      </c>
      <c r="AS95" s="85" t="str">
        <f aca="false">IF(ISBLANK($C95),"",COUNTA($J95:$O95)&gt;0)</f>
        <v/>
      </c>
      <c r="AT95" s="85" t="str">
        <f aca="false">IF(ISBLANK($C95),"",AND($AS95,OR(AND($AF95="",OR($AE95,NOT(ISBLANK($M95)))),$AG95="",$AH95="")))</f>
        <v/>
      </c>
      <c r="AU95" s="87" t="str">
        <f aca="false">IF($BL95&lt;&gt;Constants!$B$4,"",IF(NOT($AS95),"",ROUND((Constants!$B$12-$AB95)+(Constants!$B$13-$Z95)+(Constants!$B$14-$AA95),1)))</f>
        <v/>
      </c>
      <c r="AV95" s="90" t="str">
        <f aca="false">IF($BL95&lt;&gt;Constants!$B$4,"",IF(NOT($AS95),"",IF(NOT($AE95),0,Constants!$B$15*(INT(ROUND(MIN($AF95,$AP$9),6))-INT(ROUND(MAX(0,MIN($AF95,2*$AP$9)-$AP$9),6))))))</f>
        <v/>
      </c>
      <c r="AW95" s="90" t="str">
        <f aca="false">IF($BL95&lt;&gt;Constants!$B$4,"",IF(NOT($AS95),"",Constants!$B$16*$AG95))</f>
        <v/>
      </c>
      <c r="AX95" s="90" t="str">
        <f aca="false">IF($BL95&lt;&gt;Constants!$B$4,"",IF(NOT($AS95),"",Constants!$B$18*INT(ROUND($AH95,6))))</f>
        <v/>
      </c>
      <c r="AY95" s="85" t="str">
        <f aca="false">IF($BL95&lt;&gt;Constants!$B$4,"",IF(NOT($AS95),"",IF(NOT($X95),Constants!$B$11,IF(OR(NOT($AC95),NOT($AD95),ROUND($AB95,1)&gt;Constants!$B$12,ROUND($Z95,1)&gt;Constants!$B$13,ROUND($AA95,1)&gt;Constants!$B$14),Constants!$B$10,Constants!$B$9))))</f>
        <v/>
      </c>
      <c r="AZ95" s="91" t="str">
        <f aca="false">IF($BL95&lt;&gt;Constants!$B$4,"",IF(NOT($AS95),"",ROUND($AU95+$AV95+$AW95+$AX95,1)))</f>
        <v/>
      </c>
      <c r="BA95" s="92" t="str">
        <f aca="false">IF($BL95&lt;&gt;Constants!$B$4,"",IF(NOT($AS95),"",IF(ISNUMBER($AF95),$AF95,0)))</f>
        <v/>
      </c>
      <c r="BB95" s="86" t="str">
        <f aca="false">IF($BL95&lt;&gt;Constants!$B$4,"",IF(NOT($BC95),"&lt;-",IF(NOT($AS95),"-&gt;",IF(OR($BI95&lt;$AY95,AND($BI95=$AY95,OR($BJ95&gt;$AZ95,AND($BJ95=$AZ95,OR($BH95&gt;$AX95,AND($BH95=$AX95,OR($BE95&gt;$AU95,AND($BE95=$AU95,OR($BF95&gt;$AV95,AND($BF95=$AV95,$BK95&gt;$BA95)))))))))),"-&gt;","&lt;-"))))</f>
        <v/>
      </c>
      <c r="BC95" s="85" t="str">
        <f aca="false">IF(ISBLANK($C95),"",COUNTA($P95:$U95)&gt;0)</f>
        <v/>
      </c>
      <c r="BD95" s="85" t="str">
        <f aca="false">IF(ISBLANK($C95),"",AND($BC95,OR(AND($AL95="",OR($AK95,NOT(ISBLANK($S95)))),$AM95="",$AN95="")))</f>
        <v/>
      </c>
      <c r="BE95" s="87" t="str">
        <f aca="false">IF($BL95&lt;&gt;Constants!$B$4,"",IF(NOT($BC95),"",ROUND((Constants!$B$12-$AB95)+(Constants!$B$13-$Z95)+(Constants!$B$14-$AA95),1)))</f>
        <v/>
      </c>
      <c r="BF95" s="90" t="str">
        <f aca="false">IF($BL95&lt;&gt;Constants!$B$4,"",IF(NOT($BC95),"",IF(NOT($AK95),0,Constants!$B$15*(INT(ROUND(MIN($AL95,$AP$9),6))-INT(ROUND(MAX(0,MIN($AL95,2*$AP$9)-$AP$9),6))))))</f>
        <v/>
      </c>
      <c r="BG95" s="90" t="str">
        <f aca="false">IF($BL95&lt;&gt;Constants!$B$4,"",IF(NOT($BC95),"",Constants!$B$16*$AM95))</f>
        <v/>
      </c>
      <c r="BH95" s="90" t="str">
        <f aca="false">IF($BL95&lt;&gt;Constants!$B$4,"",IF(NOT($BC95),"",Constants!$B$18*INT(ROUND($AN95,6))))</f>
        <v/>
      </c>
      <c r="BI95" s="85" t="str">
        <f aca="false">IF($BL95&lt;&gt;Constants!$B$4,"",IF(NOT($BC95),"",IF(NOT($X95),Constants!$B$11,IF(OR(NOT($AI95),NOT($AJ95),ROUND($AB95,1)&gt;Constants!$B$12,ROUND($Z95,1)&gt;Constants!$B$13,ROUND($AA95,1)&gt;Constants!$B$14),Constants!$B$10,Constants!$B$9))))</f>
        <v/>
      </c>
      <c r="BJ95" s="91" t="str">
        <f aca="false">IF($BL95&lt;&gt;Constants!$B$4,"",IF(NOT($BC95),"",ROUND($BE95+$BF95+$BG95+$BH95,1)))</f>
        <v/>
      </c>
      <c r="BK95" s="92" t="str">
        <f aca="false">IF($BL95&lt;&gt;Constants!$B$4,"",IF(NOT($BC95),"",IF(ISNUMBER($AL95),$AL95,0)))</f>
        <v/>
      </c>
      <c r="BL95" s="86" t="str">
        <f aca="false">IF(ISBLANK($C95),"",IF($AO95,Constants!$B$7,IF(COUNTA($E95:$V95)=0,Constants!$B$6,IF(NOT($Y95),Constants!$B$5,IF(NOT(OR($AS95,$BC95)),Constants!$B$5,IF(OR($AT95,$BD95,$AQ95,$AR95&lt;&gt;""),Constants!$B$8,Constants!$B$4))))))</f>
        <v/>
      </c>
      <c r="BM95" s="86" t="str">
        <f aca="false">IF(ISBLANK($C95),"",IF($BL95&lt;&gt;Constants!$B$4,$BL95,IF($BB95="-&gt;",$BI95,$AY95)))</f>
        <v/>
      </c>
      <c r="BN95" s="90" t="str">
        <f aca="false">IF($BL95&lt;&gt;Constants!$B$4,"",IF($BB95="-&gt;",$BJ95,$AZ95))</f>
        <v/>
      </c>
      <c r="BO95" s="90" t="str">
        <f aca="false">IF(ISBLANK($C95),"",IF($BL95&lt;&gt;Constants!$B$4,$BL95,$BN95))</f>
        <v/>
      </c>
      <c r="BP95" s="86" t="str">
        <f aca="false">IF(ISBLANK($C95),"",IF($BL95&lt;&gt;Constants!$B$4,$BL95,RANK($BO95,$BO$9:$BO$508,0)))</f>
        <v/>
      </c>
      <c r="BQ95" s="86" t="str">
        <f aca="false">IF(ISBLANK($C95),"",IF($BL95&lt;&gt;Constants!$B$4,$BL95,COUNTIFS($BM$9:$BM$508,"&lt;"&amp;$BM95)+COUNTIFS($BM$9:$BM$508,$BM95,$BP$9:$BP$508,"&lt;"&amp;$BP95)+1))</f>
        <v/>
      </c>
      <c r="BR95" s="90" t="str">
        <f aca="false">IF($BL95&lt;&gt;Constants!$B$4,"",IF($BB95="-&gt;",$BH95,$AX95))</f>
        <v/>
      </c>
      <c r="BS95" s="86" t="str">
        <f aca="false">IF(ISBLANK($C95),"",IF($BL95&lt;&gt;Constants!$B$4,$BL95,IF(ISNUMBER($BR95),RANK($BR95,$BR$9:$BR$508,0),COUNT($BR$9:$BR$508)+1)))</f>
        <v/>
      </c>
      <c r="BT95" s="90" t="str">
        <f aca="false">IF($BL95&lt;&gt;Constants!$B$4,"",IF($BB95="-&gt;",$BE95,$AU95))</f>
        <v/>
      </c>
      <c r="BU95" s="86" t="str">
        <f aca="false">IF(ISBLANK($C95),"",IF($BL95&lt;&gt;Constants!$B$4,$BL95,IF(ISNUMBER($BT95),RANK($BT95,$BT$9:$BT$508,0),COUNT($BT$9:$BT$508)+1)))</f>
        <v/>
      </c>
      <c r="BV95" s="90" t="str">
        <f aca="false">IF($BL95&lt;&gt;Constants!$B$4,"",IF($BB95="-&gt;",$BF95,$AV95))</f>
        <v/>
      </c>
      <c r="BW95" s="86" t="str">
        <f aca="false">IF(ISBLANK($C95),"",IF($BL95&lt;&gt;Constants!$B$4,$BL95,IF(ISNUMBER($BV95),RANK($BV95,$BV$9:$BV$508,0),COUNT($BV$9:$BV$508)+1)))</f>
        <v/>
      </c>
      <c r="BX95" s="90" t="str">
        <f aca="false">IF($BL95&lt;&gt;Constants!$B$4,"",IF($BB95="-&gt;",$BK95,$BA95))</f>
        <v/>
      </c>
      <c r="BY95" s="86" t="str">
        <f aca="false">IF(ISBLANK($C95),"",IF($BL95&lt;&gt;Constants!$B$4,$BL95,IF(ISNUMBER($BX95),RANK($BX95,$BX$9:$BX$508,0),COUNT($BX$9:$BX$508)+1)))</f>
        <v/>
      </c>
      <c r="BZ95" s="86" t="str">
        <f aca="false">IF(ISBLANK($C95),"",IF($BL95&lt;&gt;Constants!$B$4,$BL95,COUNTIFS($BM$9:$BM$508,"&lt;"&amp;$BM95)+COUNTIFS($BM$9:$BM$508,$BM95,$BP$9:$BP$508,"&lt;"&amp;$BP95)+COUNTIFS($BM$9:$BM$508,$BM95,$BP$9:$BP$508,$BP95,$BS$9:$BS$508,"&lt;"&amp;$BS95)+COUNTIFS($BM$9:$BM$508,$BM95,$BP$9:$BP$508,$BP95,$BS$9:$BS$508,$BS95,$BU$9:$BU$508,"&lt;"&amp;$BU95)+COUNTIFS($BM$9:$BM$508,$BM95,$BP$9:$BP$508,$BP95,$BS$9:$BS$508,$BS95,$BU$9:$BU$508,$BU95,$BW$9:$BW$508,"&lt;"&amp;$BW95)+COUNTIFS($BM$9:$BM$508,$BM95,$BP$9:$BP$508,$BP95,$BS$9:$BS$508,$BS95,$BU$9:$BU$508,$BU95,$BW$9:$BW$508,$BW95,$BY$9:$BY$508,"&lt;"&amp;$BY95)+1))</f>
        <v/>
      </c>
      <c r="CA95" s="86" t="str">
        <f aca="false">IF(ISBLANK($C95),"",IF($BL95&lt;&gt;Constants!$B$4,$BL95,$BQ95-$BZ95))</f>
        <v/>
      </c>
      <c r="CB95" s="93"/>
      <c r="CC95" s="94" t="str">
        <f aca="false">IF(ISBLANK($C95),"",IF($BL95=Constants!$B$8,$AR95,""))</f>
        <v/>
      </c>
      <c r="CD95" s="94" t="str">
        <f aca="false">IF(ISBLANK($C95),"",IF($BL95&lt;&gt;Constants!$B$4,"",IF($BB95="-&gt;",2,1)))</f>
        <v/>
      </c>
      <c r="CE95" s="95" t="str">
        <f aca="false">IF(ISBLANK($C95),"",IF($BL95&lt;&gt;Constants!$B$4,"",IF($BB95="-&gt;",$BE95,$AU95)))</f>
        <v/>
      </c>
      <c r="CF95" s="95" t="str">
        <f aca="false">IF(ISBLANK($C95),"",IF($BL95&lt;&gt;Constants!$B$4,"",IF($BB95="-&gt;",$BF95,$AV95)))</f>
        <v/>
      </c>
      <c r="CG95" s="95" t="str">
        <f aca="false">IF(ISBLANK($C95),"",IF($BL95&lt;&gt;Constants!$B$4,"",IF($BB95="-&gt;",$BG95,$AW95)))</f>
        <v/>
      </c>
      <c r="CH95" s="95" t="str">
        <f aca="false">IF(ISBLANK($C95),"",IF($BL95&lt;&gt;Constants!$B$4,"",IF($BB95="-&gt;",$BH95,$AX95)))</f>
        <v/>
      </c>
      <c r="CI95" s="96" t="str">
        <f aca="false">IF(ISBLANK($C95),"",$BO95)</f>
        <v/>
      </c>
      <c r="CJ95" s="97" t="str">
        <f aca="false">IF(ISBLANK($C95),"",$BM95)</f>
        <v/>
      </c>
      <c r="CK95" s="98" t="str">
        <f aca="false">IF(ISBLANK($C95),"",$CA95)</f>
        <v/>
      </c>
      <c r="CL95" s="98" t="str">
        <f aca="false">IF(ISBLANK($C95),"",$BZ95)</f>
        <v/>
      </c>
      <c r="CM95" s="99" t="str">
        <f aca="false">IF(ISBLANK($C95),"",IF($CL95=Constants!$B$7,COUNTA($C$9:$C$508)+2,IF($CL95=Constants!$B$6,COUNTA($C$9:$C$508)+1,IF($CL95=Constants!$B$5,COUNTA($C$9:$C$508),$CL95))))</f>
        <v/>
      </c>
      <c r="CN95" s="8"/>
      <c r="CO95" s="100" t="n">
        <f aca="false">IF(OR(ISNUMBER($CL95),$CL95=Constants!$B$7,$CL95=Constants!$B$5,$CL95=Constants!$B$6),1,0)</f>
        <v>0</v>
      </c>
      <c r="CP95" s="100" t="n">
        <v>87</v>
      </c>
      <c r="CQ95" s="100" t="str">
        <f aca="false">IF(ISBLANK($C95),"",IF(ISNUMBER($CM95),$CM95+ROW($B95)/1000,""))</f>
        <v/>
      </c>
      <c r="CR95" s="100" t="str">
        <f aca="false">IF(ISNUMBER($CQ95),RANK($CQ95,$CQ$9:$CQ$508,1),"")</f>
        <v/>
      </c>
      <c r="CS95" s="100" t="str">
        <f aca="false">IF(ISBLANK($C95),"",$B95)</f>
        <v/>
      </c>
      <c r="CT95" s="100" t="str">
        <f aca="false">IF(ISBLANK($C95),"",$C95)</f>
        <v/>
      </c>
      <c r="CU95" s="100" t="str">
        <f aca="false">IF(ISBLANK($C95),"",$D95)</f>
        <v/>
      </c>
      <c r="CV95" s="101" t="str">
        <f aca="false">$CJ95</f>
        <v/>
      </c>
      <c r="CW95" s="102" t="str">
        <f aca="false">$CI95</f>
        <v/>
      </c>
      <c r="CX95" s="100" t="str">
        <f aca="false">IF(ISBLANK($C95),"",$CL95)</f>
        <v/>
      </c>
      <c r="CY95" s="103" t="str">
        <f aca="false">IF($CP95&gt;$CO$8,"",VLOOKUP($CP95,$CR$9:$CX$508,7,FALSE()))</f>
        <v/>
      </c>
      <c r="CZ95" s="104" t="str">
        <f aca="false">IF($CP95&gt;$CO$8,"",VLOOKUP($CP95,$CR$9:$CX$508,2,FALSE()))</f>
        <v/>
      </c>
      <c r="DA95" s="104" t="str">
        <f aca="false">IF($CP95&gt;$CO$8,"",VLOOKUP($CP95,$CR$9:$CX$508,3,FALSE()))</f>
        <v/>
      </c>
      <c r="DB95" s="104" t="str">
        <f aca="false">IF($CP95&gt;$CO$8,"",VLOOKUP($CP95,$CR$9:$CX$508,4,FALSE()))</f>
        <v/>
      </c>
      <c r="DC95" s="104" t="str">
        <f aca="false">IF($CP95&gt;$CO$8,"",VLOOKUP($CP95,$CR$9:$CX$508,5,FALSE()))</f>
        <v/>
      </c>
      <c r="DD95" s="105" t="str">
        <f aca="false">IF($CP95&gt;$CO$8,"",VLOOKUP($CP95,$CR$9:$CX$508,6,FALSE()))</f>
        <v/>
      </c>
      <c r="DE95" s="70"/>
    </row>
    <row r="96" customFormat="false" ht="15.75" hidden="false" customHeight="false" outlineLevel="0" collapsed="false">
      <c r="A96" s="8"/>
      <c r="B96" s="146"/>
      <c r="C96" s="147"/>
      <c r="D96" s="148"/>
      <c r="E96" s="164"/>
      <c r="F96" s="150"/>
      <c r="G96" s="115"/>
      <c r="H96" s="115"/>
      <c r="I96" s="115"/>
      <c r="J96" s="165"/>
      <c r="K96" s="154"/>
      <c r="L96" s="154"/>
      <c r="M96" s="118"/>
      <c r="N96" s="154"/>
      <c r="O96" s="153"/>
      <c r="P96" s="154"/>
      <c r="Q96" s="154"/>
      <c r="R96" s="154"/>
      <c r="S96" s="115"/>
      <c r="T96" s="154"/>
      <c r="U96" s="153"/>
      <c r="V96" s="154"/>
      <c r="W96" s="123"/>
      <c r="X96" s="124" t="str">
        <f aca="false">IF(ISBLANK($C96),"",IF($E96=Constants!$B$2,TRUE(),IF($E96=Constants!$B$3,FALSE(),TRUE())))</f>
        <v/>
      </c>
      <c r="Y96" s="124" t="str">
        <f aca="false">IF(ISBLANK($C96),"",IF($F96=Constants!$B$2,TRUE(),IF($F96=Constants!$B$3,FALSE(),TRUE())))</f>
        <v/>
      </c>
      <c r="Z96" s="125" t="str">
        <f aca="false">IF(ISBLANK($C96),"",IF(ISNUMBER($G96),IF($G96&gt;=0,$G96,""),""))</f>
        <v/>
      </c>
      <c r="AA96" s="125" t="str">
        <f aca="false">IF(ISBLANK($C96),"",IF(ISNUMBER($H96),IF($H96&gt;=0,$H96,""),""))</f>
        <v/>
      </c>
      <c r="AB96" s="125" t="str">
        <f aca="false">IF(ISBLANK($C96),"",IF(ISNUMBER($I96),IF($I96&gt;=0,$I96,""),""))</f>
        <v/>
      </c>
      <c r="AC96" s="124" t="str">
        <f aca="false">IF(ISBLANK($C96),"",IF($J96=Constants!$B$2,TRUE(),IF($J96=Constants!$B$3,FALSE(),TRUE())))</f>
        <v/>
      </c>
      <c r="AD96" s="124" t="str">
        <f aca="false">IF(ISBLANK($C96),"",IF($K96=Constants!$B$2,TRUE(),IF($K96=Constants!$B$3,FALSE(),TRUE())))</f>
        <v/>
      </c>
      <c r="AE96" s="124" t="str">
        <f aca="false">IF(ISBLANK($C96),"",IF($L96=Constants!$B$2,TRUE(),IF($L96=Constants!$B$3,FALSE(),TRUE())))</f>
        <v/>
      </c>
      <c r="AF96" s="126" t="str">
        <f aca="false">IF(ISBLANK($C96),"",IF(ISNUMBER($M96),IF($M96&gt;=0,$M96,""),""))</f>
        <v/>
      </c>
      <c r="AG96" s="124" t="str">
        <f aca="false">IF(ISBLANK($C96),"",IF(ISBLANK($N96),0,IF(ISNUMBER($N96),IF(AND($N96&gt;=0,$N96&lt;=Constants!$B$17,$N96=INT($N96)),$N96,""),"")))</f>
        <v/>
      </c>
      <c r="AH96" s="125" t="str">
        <f aca="false">IF(ISBLANK($C96),"",IF(ISBLANK($O96),0,IF(ISNUMBER($O96),IF($O96&gt;=0,$O96,""),"")))</f>
        <v/>
      </c>
      <c r="AI96" s="124" t="str">
        <f aca="false">IF(ISBLANK($C96),"",IF($P96=Constants!$B$2,TRUE(),IF($P96=Constants!$B$3,FALSE(),TRUE())))</f>
        <v/>
      </c>
      <c r="AJ96" s="124" t="str">
        <f aca="false">IF(ISBLANK($C96),"",IF($Q96=Constants!$B$2,TRUE(),IF($Q96=Constants!$B$3,FALSE(),TRUE())))</f>
        <v/>
      </c>
      <c r="AK96" s="124" t="str">
        <f aca="false">IF(ISBLANK($C96),"",IF($R96=Constants!$B$2,TRUE(),IF($R96=Constants!$B$3,FALSE(),TRUE())))</f>
        <v/>
      </c>
      <c r="AL96" s="126" t="str">
        <f aca="false">IF(ISBLANK($C96),"",IF(ISNUMBER($S96),IF($S96&gt;=0,$S96,""),""))</f>
        <v/>
      </c>
      <c r="AM96" s="124" t="str">
        <f aca="false">IF(ISBLANK($C96),"",IF(ISBLANK($T96),0,IF(ISNUMBER($T96),IF(AND($T96&gt;=0,$T96&lt;=Constants!$B$17,$T96=INT($T96)),$T96,""),"")))</f>
        <v/>
      </c>
      <c r="AN96" s="125" t="str">
        <f aca="false">IF(ISBLANK($C96),"",IF(ISBLANK($U96),0,IF(ISNUMBER($U96),IF($U96&gt;=0,$U96,""),"")))</f>
        <v/>
      </c>
      <c r="AO96" s="124" t="str">
        <f aca="false">IF(ISBLANK($C96),"",IF($V96=Constants!$B$2,TRUE(),IF($V96=Constants!$B$3,FALSE(),FALSE())))</f>
        <v/>
      </c>
      <c r="AP96" s="124"/>
      <c r="AQ96" s="123" t="str">
        <f aca="false">IF(ISBLANK($C96),"",AND($Y96,OR($AS96,$BC96),OR($Z96="",$AA96="",$AB96="")))</f>
        <v/>
      </c>
      <c r="AR96" s="123" t="str">
        <f aca="false">IF(ISBLANK($C96),"",IF(OR(NOT($Y96),NOT(OR($AS96,$BC96))),"",IF(ISBLANK($D$7),$AR$5,IF($AP$9="",$AR$6,""))))</f>
        <v/>
      </c>
      <c r="AS96" s="123" t="str">
        <f aca="false">IF(ISBLANK($C96),"",COUNTA($J96:$O96)&gt;0)</f>
        <v/>
      </c>
      <c r="AT96" s="123" t="str">
        <f aca="false">IF(ISBLANK($C96),"",AND($AS96,OR(AND($AF96="",OR($AE96,NOT(ISBLANK($M96)))),$AG96="",$AH96="")))</f>
        <v/>
      </c>
      <c r="AU96" s="125" t="str">
        <f aca="false">IF($BL96&lt;&gt;Constants!$B$4,"",IF(NOT($AS96),"",ROUND((Constants!$B$12-$AB96)+(Constants!$B$13-$Z96)+(Constants!$B$14-$AA96),1)))</f>
        <v/>
      </c>
      <c r="AV96" s="127" t="str">
        <f aca="false">IF($BL96&lt;&gt;Constants!$B$4,"",IF(NOT($AS96),"",IF(NOT($AE96),0,Constants!$B$15*(INT(ROUND(MIN($AF96,$AP$9),6))-INT(ROUND(MAX(0,MIN($AF96,2*$AP$9)-$AP$9),6))))))</f>
        <v/>
      </c>
      <c r="AW96" s="127" t="str">
        <f aca="false">IF($BL96&lt;&gt;Constants!$B$4,"",IF(NOT($AS96),"",Constants!$B$16*$AG96))</f>
        <v/>
      </c>
      <c r="AX96" s="127" t="str">
        <f aca="false">IF($BL96&lt;&gt;Constants!$B$4,"",IF(NOT($AS96),"",Constants!$B$18*INT(ROUND($AH96,6))))</f>
        <v/>
      </c>
      <c r="AY96" s="123" t="str">
        <f aca="false">IF($BL96&lt;&gt;Constants!$B$4,"",IF(NOT($AS96),"",IF(NOT($X96),Constants!$B$11,IF(OR(NOT($AC96),NOT($AD96),ROUND($AB96,1)&gt;Constants!$B$12,ROUND($Z96,1)&gt;Constants!$B$13,ROUND($AA96,1)&gt;Constants!$B$14),Constants!$B$10,Constants!$B$9))))</f>
        <v/>
      </c>
      <c r="AZ96" s="128" t="str">
        <f aca="false">IF($BL96&lt;&gt;Constants!$B$4,"",IF(NOT($AS96),"",ROUND($AU96+$AV96+$AW96+$AX96,1)))</f>
        <v/>
      </c>
      <c r="BA96" s="129" t="str">
        <f aca="false">IF($BL96&lt;&gt;Constants!$B$4,"",IF(NOT($AS96),"",IF(ISNUMBER($AF96),$AF96,0)))</f>
        <v/>
      </c>
      <c r="BB96" s="124" t="str">
        <f aca="false">IF($BL96&lt;&gt;Constants!$B$4,"",IF(NOT($BC96),"&lt;-",IF(NOT($AS96),"-&gt;",IF(OR($BI96&lt;$AY96,AND($BI96=$AY96,OR($BJ96&gt;$AZ96,AND($BJ96=$AZ96,OR($BH96&gt;$AX96,AND($BH96=$AX96,OR($BE96&gt;$AU96,AND($BE96=$AU96,OR($BF96&gt;$AV96,AND($BF96=$AV96,$BK96&gt;$BA96)))))))))),"-&gt;","&lt;-"))))</f>
        <v/>
      </c>
      <c r="BC96" s="123" t="str">
        <f aca="false">IF(ISBLANK($C96),"",COUNTA($P96:$U96)&gt;0)</f>
        <v/>
      </c>
      <c r="BD96" s="123" t="str">
        <f aca="false">IF(ISBLANK($C96),"",AND($BC96,OR(AND($AL96="",OR($AK96,NOT(ISBLANK($S96)))),$AM96="",$AN96="")))</f>
        <v/>
      </c>
      <c r="BE96" s="125" t="str">
        <f aca="false">IF($BL96&lt;&gt;Constants!$B$4,"",IF(NOT($BC96),"",ROUND((Constants!$B$12-$AB96)+(Constants!$B$13-$Z96)+(Constants!$B$14-$AA96),1)))</f>
        <v/>
      </c>
      <c r="BF96" s="127" t="str">
        <f aca="false">IF($BL96&lt;&gt;Constants!$B$4,"",IF(NOT($BC96),"",IF(NOT($AK96),0,Constants!$B$15*(INT(ROUND(MIN($AL96,$AP$9),6))-INT(ROUND(MAX(0,MIN($AL96,2*$AP$9)-$AP$9),6))))))</f>
        <v/>
      </c>
      <c r="BG96" s="127" t="str">
        <f aca="false">IF($BL96&lt;&gt;Constants!$B$4,"",IF(NOT($BC96),"",Constants!$B$16*$AM96))</f>
        <v/>
      </c>
      <c r="BH96" s="127" t="str">
        <f aca="false">IF($BL96&lt;&gt;Constants!$B$4,"",IF(NOT($BC96),"",Constants!$B$18*INT(ROUND($AN96,6))))</f>
        <v/>
      </c>
      <c r="BI96" s="123" t="str">
        <f aca="false">IF($BL96&lt;&gt;Constants!$B$4,"",IF(NOT($BC96),"",IF(NOT($X96),Constants!$B$11,IF(OR(NOT($AI96),NOT($AJ96),ROUND($AB96,1)&gt;Constants!$B$12,ROUND($Z96,1)&gt;Constants!$B$13,ROUND($AA96,1)&gt;Constants!$B$14),Constants!$B$10,Constants!$B$9))))</f>
        <v/>
      </c>
      <c r="BJ96" s="128" t="str">
        <f aca="false">IF($BL96&lt;&gt;Constants!$B$4,"",IF(NOT($BC96),"",ROUND($BE96+$BF96+$BG96+$BH96,1)))</f>
        <v/>
      </c>
      <c r="BK96" s="129" t="str">
        <f aca="false">IF($BL96&lt;&gt;Constants!$B$4,"",IF(NOT($BC96),"",IF(ISNUMBER($AL96),$AL96,0)))</f>
        <v/>
      </c>
      <c r="BL96" s="124" t="str">
        <f aca="false">IF(ISBLANK($C96),"",IF($AO96,Constants!$B$7,IF(COUNTA($E96:$V96)=0,Constants!$B$6,IF(NOT($Y96),Constants!$B$5,IF(NOT(OR($AS96,$BC96)),Constants!$B$5,IF(OR($AT96,$BD96,$AQ96,$AR96&lt;&gt;""),Constants!$B$8,Constants!$B$4))))))</f>
        <v/>
      </c>
      <c r="BM96" s="124" t="str">
        <f aca="false">IF(ISBLANK($C96),"",IF($BL96&lt;&gt;Constants!$B$4,$BL96,IF($BB96="-&gt;",$BI96,$AY96)))</f>
        <v/>
      </c>
      <c r="BN96" s="127" t="str">
        <f aca="false">IF($BL96&lt;&gt;Constants!$B$4,"",IF($BB96="-&gt;",$BJ96,$AZ96))</f>
        <v/>
      </c>
      <c r="BO96" s="127" t="str">
        <f aca="false">IF(ISBLANK($C96),"",IF($BL96&lt;&gt;Constants!$B$4,$BL96,$BN96))</f>
        <v/>
      </c>
      <c r="BP96" s="124" t="str">
        <f aca="false">IF(ISBLANK($C96),"",IF($BL96&lt;&gt;Constants!$B$4,$BL96,RANK($BO96,$BO$9:$BO$508,0)))</f>
        <v/>
      </c>
      <c r="BQ96" s="124" t="str">
        <f aca="false">IF(ISBLANK($C96),"",IF($BL96&lt;&gt;Constants!$B$4,$BL96,COUNTIFS($BM$9:$BM$508,"&lt;"&amp;$BM96)+COUNTIFS($BM$9:$BM$508,$BM96,$BP$9:$BP$508,"&lt;"&amp;$BP96)+1))</f>
        <v/>
      </c>
      <c r="BR96" s="127" t="str">
        <f aca="false">IF($BL96&lt;&gt;Constants!$B$4,"",IF($BB96="-&gt;",$BH96,$AX96))</f>
        <v/>
      </c>
      <c r="BS96" s="124" t="str">
        <f aca="false">IF(ISBLANK($C96),"",IF($BL96&lt;&gt;Constants!$B$4,$BL96,IF(ISNUMBER($BR96),RANK($BR96,$BR$9:$BR$508,0),COUNT($BR$9:$BR$508)+1)))</f>
        <v/>
      </c>
      <c r="BT96" s="127" t="str">
        <f aca="false">IF($BL96&lt;&gt;Constants!$B$4,"",IF($BB96="-&gt;",$BE96,$AU96))</f>
        <v/>
      </c>
      <c r="BU96" s="124" t="str">
        <f aca="false">IF(ISBLANK($C96),"",IF($BL96&lt;&gt;Constants!$B$4,$BL96,IF(ISNUMBER($BT96),RANK($BT96,$BT$9:$BT$508,0),COUNT($BT$9:$BT$508)+1)))</f>
        <v/>
      </c>
      <c r="BV96" s="127" t="str">
        <f aca="false">IF($BL96&lt;&gt;Constants!$B$4,"",IF($BB96="-&gt;",$BF96,$AV96))</f>
        <v/>
      </c>
      <c r="BW96" s="124" t="str">
        <f aca="false">IF(ISBLANK($C96),"",IF($BL96&lt;&gt;Constants!$B$4,$BL96,IF(ISNUMBER($BV96),RANK($BV96,$BV$9:$BV$508,0),COUNT($BV$9:$BV$508)+1)))</f>
        <v/>
      </c>
      <c r="BX96" s="127" t="str">
        <f aca="false">IF($BL96&lt;&gt;Constants!$B$4,"",IF($BB96="-&gt;",$BK96,$BA96))</f>
        <v/>
      </c>
      <c r="BY96" s="124" t="str">
        <f aca="false">IF(ISBLANK($C96),"",IF($BL96&lt;&gt;Constants!$B$4,$BL96,IF(ISNUMBER($BX96),RANK($BX96,$BX$9:$BX$508,0),COUNT($BX$9:$BX$508)+1)))</f>
        <v/>
      </c>
      <c r="BZ96" s="124" t="str">
        <f aca="false">IF(ISBLANK($C96),"",IF($BL96&lt;&gt;Constants!$B$4,$BL96,COUNTIFS($BM$9:$BM$508,"&lt;"&amp;$BM96)+COUNTIFS($BM$9:$BM$508,$BM96,$BP$9:$BP$508,"&lt;"&amp;$BP96)+COUNTIFS($BM$9:$BM$508,$BM96,$BP$9:$BP$508,$BP96,$BS$9:$BS$508,"&lt;"&amp;$BS96)+COUNTIFS($BM$9:$BM$508,$BM96,$BP$9:$BP$508,$BP96,$BS$9:$BS$508,$BS96,$BU$9:$BU$508,"&lt;"&amp;$BU96)+COUNTIFS($BM$9:$BM$508,$BM96,$BP$9:$BP$508,$BP96,$BS$9:$BS$508,$BS96,$BU$9:$BU$508,$BU96,$BW$9:$BW$508,"&lt;"&amp;$BW96)+COUNTIFS($BM$9:$BM$508,$BM96,$BP$9:$BP$508,$BP96,$BS$9:$BS$508,$BS96,$BU$9:$BU$508,$BU96,$BW$9:$BW$508,$BW96,$BY$9:$BY$508,"&lt;"&amp;$BY96)+1))</f>
        <v/>
      </c>
      <c r="CA96" s="124" t="str">
        <f aca="false">IF(ISBLANK($C96),"",IF($BL96&lt;&gt;Constants!$B$4,$BL96,$BQ96-$BZ96))</f>
        <v/>
      </c>
      <c r="CB96" s="130"/>
      <c r="CC96" s="131" t="str">
        <f aca="false">IF(ISBLANK($C96),"",IF($BL96=Constants!$B$8,$AR96,""))</f>
        <v/>
      </c>
      <c r="CD96" s="131" t="str">
        <f aca="false">IF(ISBLANK($C96),"",IF($BL96&lt;&gt;Constants!$B$4,"",IF($BB96="-&gt;",2,1)))</f>
        <v/>
      </c>
      <c r="CE96" s="132" t="str">
        <f aca="false">IF(ISBLANK($C96),"",IF($BL96&lt;&gt;Constants!$B$4,"",IF($BB96="-&gt;",$BE96,$AU96)))</f>
        <v/>
      </c>
      <c r="CF96" s="132" t="str">
        <f aca="false">IF(ISBLANK($C96),"",IF($BL96&lt;&gt;Constants!$B$4,"",IF($BB96="-&gt;",$BF96,$AV96)))</f>
        <v/>
      </c>
      <c r="CG96" s="132" t="str">
        <f aca="false">IF(ISBLANK($C96),"",IF($BL96&lt;&gt;Constants!$B$4,"",IF($BB96="-&gt;",$BG96,$AW96)))</f>
        <v/>
      </c>
      <c r="CH96" s="132" t="str">
        <f aca="false">IF(ISBLANK($C96),"",IF($BL96&lt;&gt;Constants!$B$4,"",IF($BB96="-&gt;",$BH96,$AX96)))</f>
        <v/>
      </c>
      <c r="CI96" s="133" t="str">
        <f aca="false">IF(ISBLANK($C96),"",$BO96)</f>
        <v/>
      </c>
      <c r="CJ96" s="134" t="str">
        <f aca="false">IF(ISBLANK($C96),"",$BM96)</f>
        <v/>
      </c>
      <c r="CK96" s="135" t="str">
        <f aca="false">IF(ISBLANK($C96),"",$CA96)</f>
        <v/>
      </c>
      <c r="CL96" s="135" t="str">
        <f aca="false">IF(ISBLANK($C96),"",$BZ96)</f>
        <v/>
      </c>
      <c r="CM96" s="136" t="str">
        <f aca="false">IF(ISBLANK($C96),"",IF($CL96=Constants!$B$7,COUNTA($C$9:$C$508)+2,IF($CL96=Constants!$B$6,COUNTA($C$9:$C$508)+1,IF($CL96=Constants!$B$5,COUNTA($C$9:$C$508),$CL96))))</f>
        <v/>
      </c>
      <c r="CN96" s="8"/>
      <c r="CO96" s="137" t="n">
        <f aca="false">IF(OR(ISNUMBER($CL96),$CL96=Constants!$B$7,$CL96=Constants!$B$5,$CL96=Constants!$B$6),1,0)</f>
        <v>0</v>
      </c>
      <c r="CP96" s="137" t="n">
        <v>88</v>
      </c>
      <c r="CQ96" s="137" t="str">
        <f aca="false">IF(ISBLANK($C96),"",IF(ISNUMBER($CM96),$CM96+ROW($B96)/1000,""))</f>
        <v/>
      </c>
      <c r="CR96" s="137" t="str">
        <f aca="false">IF(ISNUMBER($CQ96),RANK($CQ96,$CQ$9:$CQ$508,1),"")</f>
        <v/>
      </c>
      <c r="CS96" s="137" t="str">
        <f aca="false">IF(ISBLANK($C96),"",$B96)</f>
        <v/>
      </c>
      <c r="CT96" s="137" t="str">
        <f aca="false">IF(ISBLANK($C96),"",$C96)</f>
        <v/>
      </c>
      <c r="CU96" s="137" t="str">
        <f aca="false">IF(ISBLANK($C96),"",$D96)</f>
        <v/>
      </c>
      <c r="CV96" s="138" t="str">
        <f aca="false">$CJ96</f>
        <v/>
      </c>
      <c r="CW96" s="139" t="str">
        <f aca="false">$CI96</f>
        <v/>
      </c>
      <c r="CX96" s="137" t="str">
        <f aca="false">IF(ISBLANK($C96),"",$CL96)</f>
        <v/>
      </c>
      <c r="CY96" s="140" t="str">
        <f aca="false">IF($CP96&gt;$CO$8,"",VLOOKUP($CP96,$CR$9:$CX$508,7,FALSE()))</f>
        <v/>
      </c>
      <c r="CZ96" s="141" t="str">
        <f aca="false">IF($CP96&gt;$CO$8,"",VLOOKUP($CP96,$CR$9:$CX$508,2,FALSE()))</f>
        <v/>
      </c>
      <c r="DA96" s="141" t="str">
        <f aca="false">IF($CP96&gt;$CO$8,"",VLOOKUP($CP96,$CR$9:$CX$508,3,FALSE()))</f>
        <v/>
      </c>
      <c r="DB96" s="141" t="str">
        <f aca="false">IF($CP96&gt;$CO$8,"",VLOOKUP($CP96,$CR$9:$CX$508,4,FALSE()))</f>
        <v/>
      </c>
      <c r="DC96" s="141" t="str">
        <f aca="false">IF($CP96&gt;$CO$8,"",VLOOKUP($CP96,$CR$9:$CX$508,5,FALSE()))</f>
        <v/>
      </c>
      <c r="DD96" s="142" t="str">
        <f aca="false">IF($CP96&gt;$CO$8,"",VLOOKUP($CP96,$CR$9:$CX$508,6,FALSE()))</f>
        <v/>
      </c>
      <c r="DE96" s="70"/>
    </row>
    <row r="97" customFormat="false" ht="15.75" hidden="false" customHeight="false" outlineLevel="0" collapsed="false">
      <c r="A97" s="8"/>
      <c r="B97" s="146"/>
      <c r="C97" s="147"/>
      <c r="D97" s="148"/>
      <c r="E97" s="164"/>
      <c r="F97" s="150"/>
      <c r="G97" s="115"/>
      <c r="H97" s="115"/>
      <c r="I97" s="115"/>
      <c r="J97" s="165"/>
      <c r="K97" s="154"/>
      <c r="L97" s="154"/>
      <c r="M97" s="118"/>
      <c r="N97" s="154"/>
      <c r="O97" s="153"/>
      <c r="P97" s="154"/>
      <c r="Q97" s="154"/>
      <c r="R97" s="154"/>
      <c r="S97" s="115"/>
      <c r="T97" s="154"/>
      <c r="U97" s="153"/>
      <c r="V97" s="154"/>
      <c r="W97" s="123"/>
      <c r="X97" s="124" t="str">
        <f aca="false">IF(ISBLANK($C97),"",IF($E97=Constants!$B$2,TRUE(),IF($E97=Constants!$B$3,FALSE(),TRUE())))</f>
        <v/>
      </c>
      <c r="Y97" s="124" t="str">
        <f aca="false">IF(ISBLANK($C97),"",IF($F97=Constants!$B$2,TRUE(),IF($F97=Constants!$B$3,FALSE(),TRUE())))</f>
        <v/>
      </c>
      <c r="Z97" s="125" t="str">
        <f aca="false">IF(ISBLANK($C97),"",IF(ISNUMBER($G97),IF($G97&gt;=0,$G97,""),""))</f>
        <v/>
      </c>
      <c r="AA97" s="125" t="str">
        <f aca="false">IF(ISBLANK($C97),"",IF(ISNUMBER($H97),IF($H97&gt;=0,$H97,""),""))</f>
        <v/>
      </c>
      <c r="AB97" s="125" t="str">
        <f aca="false">IF(ISBLANK($C97),"",IF(ISNUMBER($I97),IF($I97&gt;=0,$I97,""),""))</f>
        <v/>
      </c>
      <c r="AC97" s="124" t="str">
        <f aca="false">IF(ISBLANK($C97),"",IF($J97=Constants!$B$2,TRUE(),IF($J97=Constants!$B$3,FALSE(),TRUE())))</f>
        <v/>
      </c>
      <c r="AD97" s="124" t="str">
        <f aca="false">IF(ISBLANK($C97),"",IF($K97=Constants!$B$2,TRUE(),IF($K97=Constants!$B$3,FALSE(),TRUE())))</f>
        <v/>
      </c>
      <c r="AE97" s="124" t="str">
        <f aca="false">IF(ISBLANK($C97),"",IF($L97=Constants!$B$2,TRUE(),IF($L97=Constants!$B$3,FALSE(),TRUE())))</f>
        <v/>
      </c>
      <c r="AF97" s="126" t="str">
        <f aca="false">IF(ISBLANK($C97),"",IF(ISNUMBER($M97),IF($M97&gt;=0,$M97,""),""))</f>
        <v/>
      </c>
      <c r="AG97" s="124" t="str">
        <f aca="false">IF(ISBLANK($C97),"",IF(ISBLANK($N97),0,IF(ISNUMBER($N97),IF(AND($N97&gt;=0,$N97&lt;=Constants!$B$17,$N97=INT($N97)),$N97,""),"")))</f>
        <v/>
      </c>
      <c r="AH97" s="125" t="str">
        <f aca="false">IF(ISBLANK($C97),"",IF(ISBLANK($O97),0,IF(ISNUMBER($O97),IF($O97&gt;=0,$O97,""),"")))</f>
        <v/>
      </c>
      <c r="AI97" s="124" t="str">
        <f aca="false">IF(ISBLANK($C97),"",IF($P97=Constants!$B$2,TRUE(),IF($P97=Constants!$B$3,FALSE(),TRUE())))</f>
        <v/>
      </c>
      <c r="AJ97" s="124" t="str">
        <f aca="false">IF(ISBLANK($C97),"",IF($Q97=Constants!$B$2,TRUE(),IF($Q97=Constants!$B$3,FALSE(),TRUE())))</f>
        <v/>
      </c>
      <c r="AK97" s="124" t="str">
        <f aca="false">IF(ISBLANK($C97),"",IF($R97=Constants!$B$2,TRUE(),IF($R97=Constants!$B$3,FALSE(),TRUE())))</f>
        <v/>
      </c>
      <c r="AL97" s="126" t="str">
        <f aca="false">IF(ISBLANK($C97),"",IF(ISNUMBER($S97),IF($S97&gt;=0,$S97,""),""))</f>
        <v/>
      </c>
      <c r="AM97" s="124" t="str">
        <f aca="false">IF(ISBLANK($C97),"",IF(ISBLANK($T97),0,IF(ISNUMBER($T97),IF(AND($T97&gt;=0,$T97&lt;=Constants!$B$17,$T97=INT($T97)),$T97,""),"")))</f>
        <v/>
      </c>
      <c r="AN97" s="125" t="str">
        <f aca="false">IF(ISBLANK($C97),"",IF(ISBLANK($U97),0,IF(ISNUMBER($U97),IF($U97&gt;=0,$U97,""),"")))</f>
        <v/>
      </c>
      <c r="AO97" s="124" t="str">
        <f aca="false">IF(ISBLANK($C97),"",IF($V97=Constants!$B$2,TRUE(),IF($V97=Constants!$B$3,FALSE(),FALSE())))</f>
        <v/>
      </c>
      <c r="AP97" s="124"/>
      <c r="AQ97" s="123" t="str">
        <f aca="false">IF(ISBLANK($C97),"",AND($Y97,OR($AS97,$BC97),OR($Z97="",$AA97="",$AB97="")))</f>
        <v/>
      </c>
      <c r="AR97" s="123" t="str">
        <f aca="false">IF(ISBLANK($C97),"",IF(OR(NOT($Y97),NOT(OR($AS97,$BC97))),"",IF(ISBLANK($D$7),$AR$5,IF($AP$9="",$AR$6,""))))</f>
        <v/>
      </c>
      <c r="AS97" s="123" t="str">
        <f aca="false">IF(ISBLANK($C97),"",COUNTA($J97:$O97)&gt;0)</f>
        <v/>
      </c>
      <c r="AT97" s="123" t="str">
        <f aca="false">IF(ISBLANK($C97),"",AND($AS97,OR(AND($AF97="",OR($AE97,NOT(ISBLANK($M97)))),$AG97="",$AH97="")))</f>
        <v/>
      </c>
      <c r="AU97" s="125" t="str">
        <f aca="false">IF($BL97&lt;&gt;Constants!$B$4,"",IF(NOT($AS97),"",ROUND((Constants!$B$12-$AB97)+(Constants!$B$13-$Z97)+(Constants!$B$14-$AA97),1)))</f>
        <v/>
      </c>
      <c r="AV97" s="127" t="str">
        <f aca="false">IF($BL97&lt;&gt;Constants!$B$4,"",IF(NOT($AS97),"",IF(NOT($AE97),0,Constants!$B$15*(INT(ROUND(MIN($AF97,$AP$9),6))-INT(ROUND(MAX(0,MIN($AF97,2*$AP$9)-$AP$9),6))))))</f>
        <v/>
      </c>
      <c r="AW97" s="127" t="str">
        <f aca="false">IF($BL97&lt;&gt;Constants!$B$4,"",IF(NOT($AS97),"",Constants!$B$16*$AG97))</f>
        <v/>
      </c>
      <c r="AX97" s="127" t="str">
        <f aca="false">IF($BL97&lt;&gt;Constants!$B$4,"",IF(NOT($AS97),"",Constants!$B$18*INT(ROUND($AH97,6))))</f>
        <v/>
      </c>
      <c r="AY97" s="123" t="str">
        <f aca="false">IF($BL97&lt;&gt;Constants!$B$4,"",IF(NOT($AS97),"",IF(NOT($X97),Constants!$B$11,IF(OR(NOT($AC97),NOT($AD97),ROUND($AB97,1)&gt;Constants!$B$12,ROUND($Z97,1)&gt;Constants!$B$13,ROUND($AA97,1)&gt;Constants!$B$14),Constants!$B$10,Constants!$B$9))))</f>
        <v/>
      </c>
      <c r="AZ97" s="128" t="str">
        <f aca="false">IF($BL97&lt;&gt;Constants!$B$4,"",IF(NOT($AS97),"",ROUND($AU97+$AV97+$AW97+$AX97,1)))</f>
        <v/>
      </c>
      <c r="BA97" s="129" t="str">
        <f aca="false">IF($BL97&lt;&gt;Constants!$B$4,"",IF(NOT($AS97),"",IF(ISNUMBER($AF97),$AF97,0)))</f>
        <v/>
      </c>
      <c r="BB97" s="124" t="str">
        <f aca="false">IF($BL97&lt;&gt;Constants!$B$4,"",IF(NOT($BC97),"&lt;-",IF(NOT($AS97),"-&gt;",IF(OR($BI97&lt;$AY97,AND($BI97=$AY97,OR($BJ97&gt;$AZ97,AND($BJ97=$AZ97,OR($BH97&gt;$AX97,AND($BH97=$AX97,OR($BE97&gt;$AU97,AND($BE97=$AU97,OR($BF97&gt;$AV97,AND($BF97=$AV97,$BK97&gt;$BA97)))))))))),"-&gt;","&lt;-"))))</f>
        <v/>
      </c>
      <c r="BC97" s="123" t="str">
        <f aca="false">IF(ISBLANK($C97),"",COUNTA($P97:$U97)&gt;0)</f>
        <v/>
      </c>
      <c r="BD97" s="123" t="str">
        <f aca="false">IF(ISBLANK($C97),"",AND($BC97,OR(AND($AL97="",OR($AK97,NOT(ISBLANK($S97)))),$AM97="",$AN97="")))</f>
        <v/>
      </c>
      <c r="BE97" s="125" t="str">
        <f aca="false">IF($BL97&lt;&gt;Constants!$B$4,"",IF(NOT($BC97),"",ROUND((Constants!$B$12-$AB97)+(Constants!$B$13-$Z97)+(Constants!$B$14-$AA97),1)))</f>
        <v/>
      </c>
      <c r="BF97" s="127" t="str">
        <f aca="false">IF($BL97&lt;&gt;Constants!$B$4,"",IF(NOT($BC97),"",IF(NOT($AK97),0,Constants!$B$15*(INT(ROUND(MIN($AL97,$AP$9),6))-INT(ROUND(MAX(0,MIN($AL97,2*$AP$9)-$AP$9),6))))))</f>
        <v/>
      </c>
      <c r="BG97" s="127" t="str">
        <f aca="false">IF($BL97&lt;&gt;Constants!$B$4,"",IF(NOT($BC97),"",Constants!$B$16*$AM97))</f>
        <v/>
      </c>
      <c r="BH97" s="127" t="str">
        <f aca="false">IF($BL97&lt;&gt;Constants!$B$4,"",IF(NOT($BC97),"",Constants!$B$18*INT(ROUND($AN97,6))))</f>
        <v/>
      </c>
      <c r="BI97" s="123" t="str">
        <f aca="false">IF($BL97&lt;&gt;Constants!$B$4,"",IF(NOT($BC97),"",IF(NOT($X97),Constants!$B$11,IF(OR(NOT($AI97),NOT($AJ97),ROUND($AB97,1)&gt;Constants!$B$12,ROUND($Z97,1)&gt;Constants!$B$13,ROUND($AA97,1)&gt;Constants!$B$14),Constants!$B$10,Constants!$B$9))))</f>
        <v/>
      </c>
      <c r="BJ97" s="128" t="str">
        <f aca="false">IF($BL97&lt;&gt;Constants!$B$4,"",IF(NOT($BC97),"",ROUND($BE97+$BF97+$BG97+$BH97,1)))</f>
        <v/>
      </c>
      <c r="BK97" s="129" t="str">
        <f aca="false">IF($BL97&lt;&gt;Constants!$B$4,"",IF(NOT($BC97),"",IF(ISNUMBER($AL97),$AL97,0)))</f>
        <v/>
      </c>
      <c r="BL97" s="124" t="str">
        <f aca="false">IF(ISBLANK($C97),"",IF($AO97,Constants!$B$7,IF(COUNTA($E97:$V97)=0,Constants!$B$6,IF(NOT($Y97),Constants!$B$5,IF(NOT(OR($AS97,$BC97)),Constants!$B$5,IF(OR($AT97,$BD97,$AQ97,$AR97&lt;&gt;""),Constants!$B$8,Constants!$B$4))))))</f>
        <v/>
      </c>
      <c r="BM97" s="124" t="str">
        <f aca="false">IF(ISBLANK($C97),"",IF($BL97&lt;&gt;Constants!$B$4,$BL97,IF($BB97="-&gt;",$BI97,$AY97)))</f>
        <v/>
      </c>
      <c r="BN97" s="127" t="str">
        <f aca="false">IF($BL97&lt;&gt;Constants!$B$4,"",IF($BB97="-&gt;",$BJ97,$AZ97))</f>
        <v/>
      </c>
      <c r="BO97" s="127" t="str">
        <f aca="false">IF(ISBLANK($C97),"",IF($BL97&lt;&gt;Constants!$B$4,$BL97,$BN97))</f>
        <v/>
      </c>
      <c r="BP97" s="124" t="str">
        <f aca="false">IF(ISBLANK($C97),"",IF($BL97&lt;&gt;Constants!$B$4,$BL97,RANK($BO97,$BO$9:$BO$508,0)))</f>
        <v/>
      </c>
      <c r="BQ97" s="124" t="str">
        <f aca="false">IF(ISBLANK($C97),"",IF($BL97&lt;&gt;Constants!$B$4,$BL97,COUNTIFS($BM$9:$BM$508,"&lt;"&amp;$BM97)+COUNTIFS($BM$9:$BM$508,$BM97,$BP$9:$BP$508,"&lt;"&amp;$BP97)+1))</f>
        <v/>
      </c>
      <c r="BR97" s="127" t="str">
        <f aca="false">IF($BL97&lt;&gt;Constants!$B$4,"",IF($BB97="-&gt;",$BH97,$AX97))</f>
        <v/>
      </c>
      <c r="BS97" s="124" t="str">
        <f aca="false">IF(ISBLANK($C97),"",IF($BL97&lt;&gt;Constants!$B$4,$BL97,IF(ISNUMBER($BR97),RANK($BR97,$BR$9:$BR$508,0),COUNT($BR$9:$BR$508)+1)))</f>
        <v/>
      </c>
      <c r="BT97" s="127" t="str">
        <f aca="false">IF($BL97&lt;&gt;Constants!$B$4,"",IF($BB97="-&gt;",$BE97,$AU97))</f>
        <v/>
      </c>
      <c r="BU97" s="124" t="str">
        <f aca="false">IF(ISBLANK($C97),"",IF($BL97&lt;&gt;Constants!$B$4,$BL97,IF(ISNUMBER($BT97),RANK($BT97,$BT$9:$BT$508,0),COUNT($BT$9:$BT$508)+1)))</f>
        <v/>
      </c>
      <c r="BV97" s="127" t="str">
        <f aca="false">IF($BL97&lt;&gt;Constants!$B$4,"",IF($BB97="-&gt;",$BF97,$AV97))</f>
        <v/>
      </c>
      <c r="BW97" s="124" t="str">
        <f aca="false">IF(ISBLANK($C97),"",IF($BL97&lt;&gt;Constants!$B$4,$BL97,IF(ISNUMBER($BV97),RANK($BV97,$BV$9:$BV$508,0),COUNT($BV$9:$BV$508)+1)))</f>
        <v/>
      </c>
      <c r="BX97" s="127" t="str">
        <f aca="false">IF($BL97&lt;&gt;Constants!$B$4,"",IF($BB97="-&gt;",$BK97,$BA97))</f>
        <v/>
      </c>
      <c r="BY97" s="124" t="str">
        <f aca="false">IF(ISBLANK($C97),"",IF($BL97&lt;&gt;Constants!$B$4,$BL97,IF(ISNUMBER($BX97),RANK($BX97,$BX$9:$BX$508,0),COUNT($BX$9:$BX$508)+1)))</f>
        <v/>
      </c>
      <c r="BZ97" s="124" t="str">
        <f aca="false">IF(ISBLANK($C97),"",IF($BL97&lt;&gt;Constants!$B$4,$BL97,COUNTIFS($BM$9:$BM$508,"&lt;"&amp;$BM97)+COUNTIFS($BM$9:$BM$508,$BM97,$BP$9:$BP$508,"&lt;"&amp;$BP97)+COUNTIFS($BM$9:$BM$508,$BM97,$BP$9:$BP$508,$BP97,$BS$9:$BS$508,"&lt;"&amp;$BS97)+COUNTIFS($BM$9:$BM$508,$BM97,$BP$9:$BP$508,$BP97,$BS$9:$BS$508,$BS97,$BU$9:$BU$508,"&lt;"&amp;$BU97)+COUNTIFS($BM$9:$BM$508,$BM97,$BP$9:$BP$508,$BP97,$BS$9:$BS$508,$BS97,$BU$9:$BU$508,$BU97,$BW$9:$BW$508,"&lt;"&amp;$BW97)+COUNTIFS($BM$9:$BM$508,$BM97,$BP$9:$BP$508,$BP97,$BS$9:$BS$508,$BS97,$BU$9:$BU$508,$BU97,$BW$9:$BW$508,$BW97,$BY$9:$BY$508,"&lt;"&amp;$BY97)+1))</f>
        <v/>
      </c>
      <c r="CA97" s="124" t="str">
        <f aca="false">IF(ISBLANK($C97),"",IF($BL97&lt;&gt;Constants!$B$4,$BL97,$BQ97-$BZ97))</f>
        <v/>
      </c>
      <c r="CB97" s="130"/>
      <c r="CC97" s="131" t="str">
        <f aca="false">IF(ISBLANK($C97),"",IF($BL97=Constants!$B$8,$AR97,""))</f>
        <v/>
      </c>
      <c r="CD97" s="131" t="str">
        <f aca="false">IF(ISBLANK($C97),"",IF($BL97&lt;&gt;Constants!$B$4,"",IF($BB97="-&gt;",2,1)))</f>
        <v/>
      </c>
      <c r="CE97" s="132" t="str">
        <f aca="false">IF(ISBLANK($C97),"",IF($BL97&lt;&gt;Constants!$B$4,"",IF($BB97="-&gt;",$BE97,$AU97)))</f>
        <v/>
      </c>
      <c r="CF97" s="132" t="str">
        <f aca="false">IF(ISBLANK($C97),"",IF($BL97&lt;&gt;Constants!$B$4,"",IF($BB97="-&gt;",$BF97,$AV97)))</f>
        <v/>
      </c>
      <c r="CG97" s="132" t="str">
        <f aca="false">IF(ISBLANK($C97),"",IF($BL97&lt;&gt;Constants!$B$4,"",IF($BB97="-&gt;",$BG97,$AW97)))</f>
        <v/>
      </c>
      <c r="CH97" s="132" t="str">
        <f aca="false">IF(ISBLANK($C97),"",IF($BL97&lt;&gt;Constants!$B$4,"",IF($BB97="-&gt;",$BH97,$AX97)))</f>
        <v/>
      </c>
      <c r="CI97" s="133" t="str">
        <f aca="false">IF(ISBLANK($C97),"",$BO97)</f>
        <v/>
      </c>
      <c r="CJ97" s="134" t="str">
        <f aca="false">IF(ISBLANK($C97),"",$BM97)</f>
        <v/>
      </c>
      <c r="CK97" s="135" t="str">
        <f aca="false">IF(ISBLANK($C97),"",$CA97)</f>
        <v/>
      </c>
      <c r="CL97" s="135" t="str">
        <f aca="false">IF(ISBLANK($C97),"",$BZ97)</f>
        <v/>
      </c>
      <c r="CM97" s="136" t="str">
        <f aca="false">IF(ISBLANK($C97),"",IF($CL97=Constants!$B$7,COUNTA($C$9:$C$508)+2,IF($CL97=Constants!$B$6,COUNTA($C$9:$C$508)+1,IF($CL97=Constants!$B$5,COUNTA($C$9:$C$508),$CL97))))</f>
        <v/>
      </c>
      <c r="CN97" s="8"/>
      <c r="CO97" s="137" t="n">
        <f aca="false">IF(OR(ISNUMBER($CL97),$CL97=Constants!$B$7,$CL97=Constants!$B$5,$CL97=Constants!$B$6),1,0)</f>
        <v>0</v>
      </c>
      <c r="CP97" s="137" t="n">
        <v>89</v>
      </c>
      <c r="CQ97" s="137" t="str">
        <f aca="false">IF(ISBLANK($C97),"",IF(ISNUMBER($CM97),$CM97+ROW($B97)/1000,""))</f>
        <v/>
      </c>
      <c r="CR97" s="137" t="str">
        <f aca="false">IF(ISNUMBER($CQ97),RANK($CQ97,$CQ$9:$CQ$508,1),"")</f>
        <v/>
      </c>
      <c r="CS97" s="137" t="str">
        <f aca="false">IF(ISBLANK($C97),"",$B97)</f>
        <v/>
      </c>
      <c r="CT97" s="137" t="str">
        <f aca="false">IF(ISBLANK($C97),"",$C97)</f>
        <v/>
      </c>
      <c r="CU97" s="137" t="str">
        <f aca="false">IF(ISBLANK($C97),"",$D97)</f>
        <v/>
      </c>
      <c r="CV97" s="138" t="str">
        <f aca="false">$CJ97</f>
        <v/>
      </c>
      <c r="CW97" s="139" t="str">
        <f aca="false">$CI97</f>
        <v/>
      </c>
      <c r="CX97" s="137" t="str">
        <f aca="false">IF(ISBLANK($C97),"",$CL97)</f>
        <v/>
      </c>
      <c r="CY97" s="140" t="str">
        <f aca="false">IF($CP97&gt;$CO$8,"",VLOOKUP($CP97,$CR$9:$CX$508,7,FALSE()))</f>
        <v/>
      </c>
      <c r="CZ97" s="141" t="str">
        <f aca="false">IF($CP97&gt;$CO$8,"",VLOOKUP($CP97,$CR$9:$CX$508,2,FALSE()))</f>
        <v/>
      </c>
      <c r="DA97" s="141" t="str">
        <f aca="false">IF($CP97&gt;$CO$8,"",VLOOKUP($CP97,$CR$9:$CX$508,3,FALSE()))</f>
        <v/>
      </c>
      <c r="DB97" s="141" t="str">
        <f aca="false">IF($CP97&gt;$CO$8,"",VLOOKUP($CP97,$CR$9:$CX$508,4,FALSE()))</f>
        <v/>
      </c>
      <c r="DC97" s="141" t="str">
        <f aca="false">IF($CP97&gt;$CO$8,"",VLOOKUP($CP97,$CR$9:$CX$508,5,FALSE()))</f>
        <v/>
      </c>
      <c r="DD97" s="142" t="str">
        <f aca="false">IF($CP97&gt;$CO$8,"",VLOOKUP($CP97,$CR$9:$CX$508,6,FALSE()))</f>
        <v/>
      </c>
      <c r="DE97" s="70"/>
    </row>
    <row r="98" customFormat="false" ht="15.75" hidden="false" customHeight="false" outlineLevel="0" collapsed="false">
      <c r="A98" s="8"/>
      <c r="B98" s="146"/>
      <c r="C98" s="147"/>
      <c r="D98" s="148"/>
      <c r="E98" s="164"/>
      <c r="F98" s="150"/>
      <c r="G98" s="115"/>
      <c r="H98" s="115"/>
      <c r="I98" s="115"/>
      <c r="J98" s="165"/>
      <c r="K98" s="154"/>
      <c r="L98" s="154"/>
      <c r="M98" s="118"/>
      <c r="N98" s="154"/>
      <c r="O98" s="153"/>
      <c r="P98" s="154"/>
      <c r="Q98" s="154"/>
      <c r="R98" s="154"/>
      <c r="S98" s="115"/>
      <c r="T98" s="154"/>
      <c r="U98" s="153"/>
      <c r="V98" s="154"/>
      <c r="W98" s="123"/>
      <c r="X98" s="124" t="str">
        <f aca="false">IF(ISBLANK($C98),"",IF($E98=Constants!$B$2,TRUE(),IF($E98=Constants!$B$3,FALSE(),TRUE())))</f>
        <v/>
      </c>
      <c r="Y98" s="124" t="str">
        <f aca="false">IF(ISBLANK($C98),"",IF($F98=Constants!$B$2,TRUE(),IF($F98=Constants!$B$3,FALSE(),TRUE())))</f>
        <v/>
      </c>
      <c r="Z98" s="125" t="str">
        <f aca="false">IF(ISBLANK($C98),"",IF(ISNUMBER($G98),IF($G98&gt;=0,$G98,""),""))</f>
        <v/>
      </c>
      <c r="AA98" s="125" t="str">
        <f aca="false">IF(ISBLANK($C98),"",IF(ISNUMBER($H98),IF($H98&gt;=0,$H98,""),""))</f>
        <v/>
      </c>
      <c r="AB98" s="125" t="str">
        <f aca="false">IF(ISBLANK($C98),"",IF(ISNUMBER($I98),IF($I98&gt;=0,$I98,""),""))</f>
        <v/>
      </c>
      <c r="AC98" s="124" t="str">
        <f aca="false">IF(ISBLANK($C98),"",IF($J98=Constants!$B$2,TRUE(),IF($J98=Constants!$B$3,FALSE(),TRUE())))</f>
        <v/>
      </c>
      <c r="AD98" s="124" t="str">
        <f aca="false">IF(ISBLANK($C98),"",IF($K98=Constants!$B$2,TRUE(),IF($K98=Constants!$B$3,FALSE(),TRUE())))</f>
        <v/>
      </c>
      <c r="AE98" s="124" t="str">
        <f aca="false">IF(ISBLANK($C98),"",IF($L98=Constants!$B$2,TRUE(),IF($L98=Constants!$B$3,FALSE(),TRUE())))</f>
        <v/>
      </c>
      <c r="AF98" s="126" t="str">
        <f aca="false">IF(ISBLANK($C98),"",IF(ISNUMBER($M98),IF($M98&gt;=0,$M98,""),""))</f>
        <v/>
      </c>
      <c r="AG98" s="124" t="str">
        <f aca="false">IF(ISBLANK($C98),"",IF(ISBLANK($N98),0,IF(ISNUMBER($N98),IF(AND($N98&gt;=0,$N98&lt;=Constants!$B$17,$N98=INT($N98)),$N98,""),"")))</f>
        <v/>
      </c>
      <c r="AH98" s="125" t="str">
        <f aca="false">IF(ISBLANK($C98),"",IF(ISBLANK($O98),0,IF(ISNUMBER($O98),IF($O98&gt;=0,$O98,""),"")))</f>
        <v/>
      </c>
      <c r="AI98" s="124" t="str">
        <f aca="false">IF(ISBLANK($C98),"",IF($P98=Constants!$B$2,TRUE(),IF($P98=Constants!$B$3,FALSE(),TRUE())))</f>
        <v/>
      </c>
      <c r="AJ98" s="124" t="str">
        <f aca="false">IF(ISBLANK($C98),"",IF($Q98=Constants!$B$2,TRUE(),IF($Q98=Constants!$B$3,FALSE(),TRUE())))</f>
        <v/>
      </c>
      <c r="AK98" s="124" t="str">
        <f aca="false">IF(ISBLANK($C98),"",IF($R98=Constants!$B$2,TRUE(),IF($R98=Constants!$B$3,FALSE(),TRUE())))</f>
        <v/>
      </c>
      <c r="AL98" s="126" t="str">
        <f aca="false">IF(ISBLANK($C98),"",IF(ISNUMBER($S98),IF($S98&gt;=0,$S98,""),""))</f>
        <v/>
      </c>
      <c r="AM98" s="124" t="str">
        <f aca="false">IF(ISBLANK($C98),"",IF(ISBLANK($T98),0,IF(ISNUMBER($T98),IF(AND($T98&gt;=0,$T98&lt;=Constants!$B$17,$T98=INT($T98)),$T98,""),"")))</f>
        <v/>
      </c>
      <c r="AN98" s="125" t="str">
        <f aca="false">IF(ISBLANK($C98),"",IF(ISBLANK($U98),0,IF(ISNUMBER($U98),IF($U98&gt;=0,$U98,""),"")))</f>
        <v/>
      </c>
      <c r="AO98" s="124" t="str">
        <f aca="false">IF(ISBLANK($C98),"",IF($V98=Constants!$B$2,TRUE(),IF($V98=Constants!$B$3,FALSE(),FALSE())))</f>
        <v/>
      </c>
      <c r="AP98" s="124"/>
      <c r="AQ98" s="123" t="str">
        <f aca="false">IF(ISBLANK($C98),"",AND($Y98,OR($AS98,$BC98),OR($Z98="",$AA98="",$AB98="")))</f>
        <v/>
      </c>
      <c r="AR98" s="123" t="str">
        <f aca="false">IF(ISBLANK($C98),"",IF(OR(NOT($Y98),NOT(OR($AS98,$BC98))),"",IF(ISBLANK($D$7),$AR$5,IF($AP$9="",$AR$6,""))))</f>
        <v/>
      </c>
      <c r="AS98" s="123" t="str">
        <f aca="false">IF(ISBLANK($C98),"",COUNTA($J98:$O98)&gt;0)</f>
        <v/>
      </c>
      <c r="AT98" s="123" t="str">
        <f aca="false">IF(ISBLANK($C98),"",AND($AS98,OR(AND($AF98="",OR($AE98,NOT(ISBLANK($M98)))),$AG98="",$AH98="")))</f>
        <v/>
      </c>
      <c r="AU98" s="125" t="str">
        <f aca="false">IF($BL98&lt;&gt;Constants!$B$4,"",IF(NOT($AS98),"",ROUND((Constants!$B$12-$AB98)+(Constants!$B$13-$Z98)+(Constants!$B$14-$AA98),1)))</f>
        <v/>
      </c>
      <c r="AV98" s="127" t="str">
        <f aca="false">IF($BL98&lt;&gt;Constants!$B$4,"",IF(NOT($AS98),"",IF(NOT($AE98),0,Constants!$B$15*(INT(ROUND(MIN($AF98,$AP$9),6))-INT(ROUND(MAX(0,MIN($AF98,2*$AP$9)-$AP$9),6))))))</f>
        <v/>
      </c>
      <c r="AW98" s="127" t="str">
        <f aca="false">IF($BL98&lt;&gt;Constants!$B$4,"",IF(NOT($AS98),"",Constants!$B$16*$AG98))</f>
        <v/>
      </c>
      <c r="AX98" s="127" t="str">
        <f aca="false">IF($BL98&lt;&gt;Constants!$B$4,"",IF(NOT($AS98),"",Constants!$B$18*INT(ROUND($AH98,6))))</f>
        <v/>
      </c>
      <c r="AY98" s="123" t="str">
        <f aca="false">IF($BL98&lt;&gt;Constants!$B$4,"",IF(NOT($AS98),"",IF(NOT($X98),Constants!$B$11,IF(OR(NOT($AC98),NOT($AD98),ROUND($AB98,1)&gt;Constants!$B$12,ROUND($Z98,1)&gt;Constants!$B$13,ROUND($AA98,1)&gt;Constants!$B$14),Constants!$B$10,Constants!$B$9))))</f>
        <v/>
      </c>
      <c r="AZ98" s="128" t="str">
        <f aca="false">IF($BL98&lt;&gt;Constants!$B$4,"",IF(NOT($AS98),"",ROUND($AU98+$AV98+$AW98+$AX98,1)))</f>
        <v/>
      </c>
      <c r="BA98" s="129" t="str">
        <f aca="false">IF($BL98&lt;&gt;Constants!$B$4,"",IF(NOT($AS98),"",IF(ISNUMBER($AF98),$AF98,0)))</f>
        <v/>
      </c>
      <c r="BB98" s="124" t="str">
        <f aca="false">IF($BL98&lt;&gt;Constants!$B$4,"",IF(NOT($BC98),"&lt;-",IF(NOT($AS98),"-&gt;",IF(OR($BI98&lt;$AY98,AND($BI98=$AY98,OR($BJ98&gt;$AZ98,AND($BJ98=$AZ98,OR($BH98&gt;$AX98,AND($BH98=$AX98,OR($BE98&gt;$AU98,AND($BE98=$AU98,OR($BF98&gt;$AV98,AND($BF98=$AV98,$BK98&gt;$BA98)))))))))),"-&gt;","&lt;-"))))</f>
        <v/>
      </c>
      <c r="BC98" s="123" t="str">
        <f aca="false">IF(ISBLANK($C98),"",COUNTA($P98:$U98)&gt;0)</f>
        <v/>
      </c>
      <c r="BD98" s="123" t="str">
        <f aca="false">IF(ISBLANK($C98),"",AND($BC98,OR(AND($AL98="",OR($AK98,NOT(ISBLANK($S98)))),$AM98="",$AN98="")))</f>
        <v/>
      </c>
      <c r="BE98" s="125" t="str">
        <f aca="false">IF($BL98&lt;&gt;Constants!$B$4,"",IF(NOT($BC98),"",ROUND((Constants!$B$12-$AB98)+(Constants!$B$13-$Z98)+(Constants!$B$14-$AA98),1)))</f>
        <v/>
      </c>
      <c r="BF98" s="127" t="str">
        <f aca="false">IF($BL98&lt;&gt;Constants!$B$4,"",IF(NOT($BC98),"",IF(NOT($AK98),0,Constants!$B$15*(INT(ROUND(MIN($AL98,$AP$9),6))-INT(ROUND(MAX(0,MIN($AL98,2*$AP$9)-$AP$9),6))))))</f>
        <v/>
      </c>
      <c r="BG98" s="127" t="str">
        <f aca="false">IF($BL98&lt;&gt;Constants!$B$4,"",IF(NOT($BC98),"",Constants!$B$16*$AM98))</f>
        <v/>
      </c>
      <c r="BH98" s="127" t="str">
        <f aca="false">IF($BL98&lt;&gt;Constants!$B$4,"",IF(NOT($BC98),"",Constants!$B$18*INT(ROUND($AN98,6))))</f>
        <v/>
      </c>
      <c r="BI98" s="123" t="str">
        <f aca="false">IF($BL98&lt;&gt;Constants!$B$4,"",IF(NOT($BC98),"",IF(NOT($X98),Constants!$B$11,IF(OR(NOT($AI98),NOT($AJ98),ROUND($AB98,1)&gt;Constants!$B$12,ROUND($Z98,1)&gt;Constants!$B$13,ROUND($AA98,1)&gt;Constants!$B$14),Constants!$B$10,Constants!$B$9))))</f>
        <v/>
      </c>
      <c r="BJ98" s="128" t="str">
        <f aca="false">IF($BL98&lt;&gt;Constants!$B$4,"",IF(NOT($BC98),"",ROUND($BE98+$BF98+$BG98+$BH98,1)))</f>
        <v/>
      </c>
      <c r="BK98" s="129" t="str">
        <f aca="false">IF($BL98&lt;&gt;Constants!$B$4,"",IF(NOT($BC98),"",IF(ISNUMBER($AL98),$AL98,0)))</f>
        <v/>
      </c>
      <c r="BL98" s="124" t="str">
        <f aca="false">IF(ISBLANK($C98),"",IF($AO98,Constants!$B$7,IF(COUNTA($E98:$V98)=0,Constants!$B$6,IF(NOT($Y98),Constants!$B$5,IF(NOT(OR($AS98,$BC98)),Constants!$B$5,IF(OR($AT98,$BD98,$AQ98,$AR98&lt;&gt;""),Constants!$B$8,Constants!$B$4))))))</f>
        <v/>
      </c>
      <c r="BM98" s="124" t="str">
        <f aca="false">IF(ISBLANK($C98),"",IF($BL98&lt;&gt;Constants!$B$4,$BL98,IF($BB98="-&gt;",$BI98,$AY98)))</f>
        <v/>
      </c>
      <c r="BN98" s="127" t="str">
        <f aca="false">IF($BL98&lt;&gt;Constants!$B$4,"",IF($BB98="-&gt;",$BJ98,$AZ98))</f>
        <v/>
      </c>
      <c r="BO98" s="127" t="str">
        <f aca="false">IF(ISBLANK($C98),"",IF($BL98&lt;&gt;Constants!$B$4,$BL98,$BN98))</f>
        <v/>
      </c>
      <c r="BP98" s="124" t="str">
        <f aca="false">IF(ISBLANK($C98),"",IF($BL98&lt;&gt;Constants!$B$4,$BL98,RANK($BO98,$BO$9:$BO$508,0)))</f>
        <v/>
      </c>
      <c r="BQ98" s="124" t="str">
        <f aca="false">IF(ISBLANK($C98),"",IF($BL98&lt;&gt;Constants!$B$4,$BL98,COUNTIFS($BM$9:$BM$508,"&lt;"&amp;$BM98)+COUNTIFS($BM$9:$BM$508,$BM98,$BP$9:$BP$508,"&lt;"&amp;$BP98)+1))</f>
        <v/>
      </c>
      <c r="BR98" s="127" t="str">
        <f aca="false">IF($BL98&lt;&gt;Constants!$B$4,"",IF($BB98="-&gt;",$BH98,$AX98))</f>
        <v/>
      </c>
      <c r="BS98" s="124" t="str">
        <f aca="false">IF(ISBLANK($C98),"",IF($BL98&lt;&gt;Constants!$B$4,$BL98,IF(ISNUMBER($BR98),RANK($BR98,$BR$9:$BR$508,0),COUNT($BR$9:$BR$508)+1)))</f>
        <v/>
      </c>
      <c r="BT98" s="127" t="str">
        <f aca="false">IF($BL98&lt;&gt;Constants!$B$4,"",IF($BB98="-&gt;",$BE98,$AU98))</f>
        <v/>
      </c>
      <c r="BU98" s="124" t="str">
        <f aca="false">IF(ISBLANK($C98),"",IF($BL98&lt;&gt;Constants!$B$4,$BL98,IF(ISNUMBER($BT98),RANK($BT98,$BT$9:$BT$508,0),COUNT($BT$9:$BT$508)+1)))</f>
        <v/>
      </c>
      <c r="BV98" s="127" t="str">
        <f aca="false">IF($BL98&lt;&gt;Constants!$B$4,"",IF($BB98="-&gt;",$BF98,$AV98))</f>
        <v/>
      </c>
      <c r="BW98" s="124" t="str">
        <f aca="false">IF(ISBLANK($C98),"",IF($BL98&lt;&gt;Constants!$B$4,$BL98,IF(ISNUMBER($BV98),RANK($BV98,$BV$9:$BV$508,0),COUNT($BV$9:$BV$508)+1)))</f>
        <v/>
      </c>
      <c r="BX98" s="127" t="str">
        <f aca="false">IF($BL98&lt;&gt;Constants!$B$4,"",IF($BB98="-&gt;",$BK98,$BA98))</f>
        <v/>
      </c>
      <c r="BY98" s="124" t="str">
        <f aca="false">IF(ISBLANK($C98),"",IF($BL98&lt;&gt;Constants!$B$4,$BL98,IF(ISNUMBER($BX98),RANK($BX98,$BX$9:$BX$508,0),COUNT($BX$9:$BX$508)+1)))</f>
        <v/>
      </c>
      <c r="BZ98" s="124" t="str">
        <f aca="false">IF(ISBLANK($C98),"",IF($BL98&lt;&gt;Constants!$B$4,$BL98,COUNTIFS($BM$9:$BM$508,"&lt;"&amp;$BM98)+COUNTIFS($BM$9:$BM$508,$BM98,$BP$9:$BP$508,"&lt;"&amp;$BP98)+COUNTIFS($BM$9:$BM$508,$BM98,$BP$9:$BP$508,$BP98,$BS$9:$BS$508,"&lt;"&amp;$BS98)+COUNTIFS($BM$9:$BM$508,$BM98,$BP$9:$BP$508,$BP98,$BS$9:$BS$508,$BS98,$BU$9:$BU$508,"&lt;"&amp;$BU98)+COUNTIFS($BM$9:$BM$508,$BM98,$BP$9:$BP$508,$BP98,$BS$9:$BS$508,$BS98,$BU$9:$BU$508,$BU98,$BW$9:$BW$508,"&lt;"&amp;$BW98)+COUNTIFS($BM$9:$BM$508,$BM98,$BP$9:$BP$508,$BP98,$BS$9:$BS$508,$BS98,$BU$9:$BU$508,$BU98,$BW$9:$BW$508,$BW98,$BY$9:$BY$508,"&lt;"&amp;$BY98)+1))</f>
        <v/>
      </c>
      <c r="CA98" s="124" t="str">
        <f aca="false">IF(ISBLANK($C98),"",IF($BL98&lt;&gt;Constants!$B$4,$BL98,$BQ98-$BZ98))</f>
        <v/>
      </c>
      <c r="CB98" s="130"/>
      <c r="CC98" s="131" t="str">
        <f aca="false">IF(ISBLANK($C98),"",IF($BL98=Constants!$B$8,$AR98,""))</f>
        <v/>
      </c>
      <c r="CD98" s="131" t="str">
        <f aca="false">IF(ISBLANK($C98),"",IF($BL98&lt;&gt;Constants!$B$4,"",IF($BB98="-&gt;",2,1)))</f>
        <v/>
      </c>
      <c r="CE98" s="132" t="str">
        <f aca="false">IF(ISBLANK($C98),"",IF($BL98&lt;&gt;Constants!$B$4,"",IF($BB98="-&gt;",$BE98,$AU98)))</f>
        <v/>
      </c>
      <c r="CF98" s="132" t="str">
        <f aca="false">IF(ISBLANK($C98),"",IF($BL98&lt;&gt;Constants!$B$4,"",IF($BB98="-&gt;",$BF98,$AV98)))</f>
        <v/>
      </c>
      <c r="CG98" s="132" t="str">
        <f aca="false">IF(ISBLANK($C98),"",IF($BL98&lt;&gt;Constants!$B$4,"",IF($BB98="-&gt;",$BG98,$AW98)))</f>
        <v/>
      </c>
      <c r="CH98" s="132" t="str">
        <f aca="false">IF(ISBLANK($C98),"",IF($BL98&lt;&gt;Constants!$B$4,"",IF($BB98="-&gt;",$BH98,$AX98)))</f>
        <v/>
      </c>
      <c r="CI98" s="133" t="str">
        <f aca="false">IF(ISBLANK($C98),"",$BO98)</f>
        <v/>
      </c>
      <c r="CJ98" s="134" t="str">
        <f aca="false">IF(ISBLANK($C98),"",$BM98)</f>
        <v/>
      </c>
      <c r="CK98" s="135" t="str">
        <f aca="false">IF(ISBLANK($C98),"",$CA98)</f>
        <v/>
      </c>
      <c r="CL98" s="135" t="str">
        <f aca="false">IF(ISBLANK($C98),"",$BZ98)</f>
        <v/>
      </c>
      <c r="CM98" s="136" t="str">
        <f aca="false">IF(ISBLANK($C98),"",IF($CL98=Constants!$B$7,COUNTA($C$9:$C$508)+2,IF($CL98=Constants!$B$6,COUNTA($C$9:$C$508)+1,IF($CL98=Constants!$B$5,COUNTA($C$9:$C$508),$CL98))))</f>
        <v/>
      </c>
      <c r="CN98" s="8"/>
      <c r="CO98" s="137" t="n">
        <f aca="false">IF(OR(ISNUMBER($CL98),$CL98=Constants!$B$7,$CL98=Constants!$B$5,$CL98=Constants!$B$6),1,0)</f>
        <v>0</v>
      </c>
      <c r="CP98" s="137" t="n">
        <v>90</v>
      </c>
      <c r="CQ98" s="137" t="str">
        <f aca="false">IF(ISBLANK($C98),"",IF(ISNUMBER($CM98),$CM98+ROW($B98)/1000,""))</f>
        <v/>
      </c>
      <c r="CR98" s="137" t="str">
        <f aca="false">IF(ISNUMBER($CQ98),RANK($CQ98,$CQ$9:$CQ$508,1),"")</f>
        <v/>
      </c>
      <c r="CS98" s="137" t="str">
        <f aca="false">IF(ISBLANK($C98),"",$B98)</f>
        <v/>
      </c>
      <c r="CT98" s="137" t="str">
        <f aca="false">IF(ISBLANK($C98),"",$C98)</f>
        <v/>
      </c>
      <c r="CU98" s="137" t="str">
        <f aca="false">IF(ISBLANK($C98),"",$D98)</f>
        <v/>
      </c>
      <c r="CV98" s="138" t="str">
        <f aca="false">$CJ98</f>
        <v/>
      </c>
      <c r="CW98" s="139" t="str">
        <f aca="false">$CI98</f>
        <v/>
      </c>
      <c r="CX98" s="137" t="str">
        <f aca="false">IF(ISBLANK($C98),"",$CL98)</f>
        <v/>
      </c>
      <c r="CY98" s="140" t="str">
        <f aca="false">IF($CP98&gt;$CO$8,"",VLOOKUP($CP98,$CR$9:$CX$508,7,FALSE()))</f>
        <v/>
      </c>
      <c r="CZ98" s="141" t="str">
        <f aca="false">IF($CP98&gt;$CO$8,"",VLOOKUP($CP98,$CR$9:$CX$508,2,FALSE()))</f>
        <v/>
      </c>
      <c r="DA98" s="141" t="str">
        <f aca="false">IF($CP98&gt;$CO$8,"",VLOOKUP($CP98,$CR$9:$CX$508,3,FALSE()))</f>
        <v/>
      </c>
      <c r="DB98" s="141" t="str">
        <f aca="false">IF($CP98&gt;$CO$8,"",VLOOKUP($CP98,$CR$9:$CX$508,4,FALSE()))</f>
        <v/>
      </c>
      <c r="DC98" s="141" t="str">
        <f aca="false">IF($CP98&gt;$CO$8,"",VLOOKUP($CP98,$CR$9:$CX$508,5,FALSE()))</f>
        <v/>
      </c>
      <c r="DD98" s="142" t="str">
        <f aca="false">IF($CP98&gt;$CO$8,"",VLOOKUP($CP98,$CR$9:$CX$508,6,FALSE()))</f>
        <v/>
      </c>
      <c r="DE98" s="70"/>
    </row>
    <row r="99" customFormat="false" ht="15.75" hidden="false" customHeight="false" outlineLevel="0" collapsed="false">
      <c r="A99" s="8"/>
      <c r="B99" s="72"/>
      <c r="C99" s="73"/>
      <c r="D99" s="155"/>
      <c r="E99" s="162"/>
      <c r="F99" s="157"/>
      <c r="G99" s="77"/>
      <c r="H99" s="77"/>
      <c r="I99" s="77"/>
      <c r="J99" s="163"/>
      <c r="K99" s="161"/>
      <c r="L99" s="161"/>
      <c r="M99" s="80"/>
      <c r="N99" s="161"/>
      <c r="O99" s="160"/>
      <c r="P99" s="161"/>
      <c r="Q99" s="161"/>
      <c r="R99" s="161"/>
      <c r="S99" s="77"/>
      <c r="T99" s="161"/>
      <c r="U99" s="160"/>
      <c r="V99" s="161"/>
      <c r="W99" s="85"/>
      <c r="X99" s="86" t="str">
        <f aca="false">IF(ISBLANK($C99),"",IF($E99=Constants!$B$2,TRUE(),IF($E99=Constants!$B$3,FALSE(),TRUE())))</f>
        <v/>
      </c>
      <c r="Y99" s="86" t="str">
        <f aca="false">IF(ISBLANK($C99),"",IF($F99=Constants!$B$2,TRUE(),IF($F99=Constants!$B$3,FALSE(),TRUE())))</f>
        <v/>
      </c>
      <c r="Z99" s="87" t="str">
        <f aca="false">IF(ISBLANK($C99),"",IF(ISNUMBER($G99),IF($G99&gt;=0,$G99,""),""))</f>
        <v/>
      </c>
      <c r="AA99" s="87" t="str">
        <f aca="false">IF(ISBLANK($C99),"",IF(ISNUMBER($H99),IF($H99&gt;=0,$H99,""),""))</f>
        <v/>
      </c>
      <c r="AB99" s="87" t="str">
        <f aca="false">IF(ISBLANK($C99),"",IF(ISNUMBER($I99),IF($I99&gt;=0,$I99,""),""))</f>
        <v/>
      </c>
      <c r="AC99" s="86" t="str">
        <f aca="false">IF(ISBLANK($C99),"",IF($J99=Constants!$B$2,TRUE(),IF($J99=Constants!$B$3,FALSE(),TRUE())))</f>
        <v/>
      </c>
      <c r="AD99" s="86" t="str">
        <f aca="false">IF(ISBLANK($C99),"",IF($K99=Constants!$B$2,TRUE(),IF($K99=Constants!$B$3,FALSE(),TRUE())))</f>
        <v/>
      </c>
      <c r="AE99" s="86" t="str">
        <f aca="false">IF(ISBLANK($C99),"",IF($L99=Constants!$B$2,TRUE(),IF($L99=Constants!$B$3,FALSE(),TRUE())))</f>
        <v/>
      </c>
      <c r="AF99" s="88" t="str">
        <f aca="false">IF(ISBLANK($C99),"",IF(ISNUMBER($M99),IF($M99&gt;=0,$M99,""),""))</f>
        <v/>
      </c>
      <c r="AG99" s="86" t="str">
        <f aca="false">IF(ISBLANK($C99),"",IF(ISBLANK($N99),0,IF(ISNUMBER($N99),IF(AND($N99&gt;=0,$N99&lt;=Constants!$B$17,$N99=INT($N99)),$N99,""),"")))</f>
        <v/>
      </c>
      <c r="AH99" s="87" t="str">
        <f aca="false">IF(ISBLANK($C99),"",IF(ISBLANK($O99),0,IF(ISNUMBER($O99),IF($O99&gt;=0,$O99,""),"")))</f>
        <v/>
      </c>
      <c r="AI99" s="86" t="str">
        <f aca="false">IF(ISBLANK($C99),"",IF($P99=Constants!$B$2,TRUE(),IF($P99=Constants!$B$3,FALSE(),TRUE())))</f>
        <v/>
      </c>
      <c r="AJ99" s="86" t="str">
        <f aca="false">IF(ISBLANK($C99),"",IF($Q99=Constants!$B$2,TRUE(),IF($Q99=Constants!$B$3,FALSE(),TRUE())))</f>
        <v/>
      </c>
      <c r="AK99" s="86" t="str">
        <f aca="false">IF(ISBLANK($C99),"",IF($R99=Constants!$B$2,TRUE(),IF($R99=Constants!$B$3,FALSE(),TRUE())))</f>
        <v/>
      </c>
      <c r="AL99" s="88" t="str">
        <f aca="false">IF(ISBLANK($C99),"",IF(ISNUMBER($S99),IF($S99&gt;=0,$S99,""),""))</f>
        <v/>
      </c>
      <c r="AM99" s="86" t="str">
        <f aca="false">IF(ISBLANK($C99),"",IF(ISBLANK($T99),0,IF(ISNUMBER($T99),IF(AND($T99&gt;=0,$T99&lt;=Constants!$B$17,$T99=INT($T99)),$T99,""),"")))</f>
        <v/>
      </c>
      <c r="AN99" s="87" t="str">
        <f aca="false">IF(ISBLANK($C99),"",IF(ISBLANK($U99),0,IF(ISNUMBER($U99),IF($U99&gt;=0,$U99,""),"")))</f>
        <v/>
      </c>
      <c r="AO99" s="86" t="str">
        <f aca="false">IF(ISBLANK($C99),"",IF($V99=Constants!$B$2,TRUE(),IF($V99=Constants!$B$3,FALSE(),FALSE())))</f>
        <v/>
      </c>
      <c r="AP99" s="86"/>
      <c r="AQ99" s="85" t="str">
        <f aca="false">IF(ISBLANK($C99),"",AND($Y99,OR($AS99,$BC99),OR($Z99="",$AA99="",$AB99="")))</f>
        <v/>
      </c>
      <c r="AR99" s="85" t="str">
        <f aca="false">IF(ISBLANK($C99),"",IF(OR(NOT($Y99),NOT(OR($AS99,$BC99))),"",IF(ISBLANK($D$7),$AR$5,IF($AP$9="",$AR$6,""))))</f>
        <v/>
      </c>
      <c r="AS99" s="85" t="str">
        <f aca="false">IF(ISBLANK($C99),"",COUNTA($J99:$O99)&gt;0)</f>
        <v/>
      </c>
      <c r="AT99" s="85" t="str">
        <f aca="false">IF(ISBLANK($C99),"",AND($AS99,OR(AND($AF99="",OR($AE99,NOT(ISBLANK($M99)))),$AG99="",$AH99="")))</f>
        <v/>
      </c>
      <c r="AU99" s="87" t="str">
        <f aca="false">IF($BL99&lt;&gt;Constants!$B$4,"",IF(NOT($AS99),"",ROUND((Constants!$B$12-$AB99)+(Constants!$B$13-$Z99)+(Constants!$B$14-$AA99),1)))</f>
        <v/>
      </c>
      <c r="AV99" s="90" t="str">
        <f aca="false">IF($BL99&lt;&gt;Constants!$B$4,"",IF(NOT($AS99),"",IF(NOT($AE99),0,Constants!$B$15*(INT(ROUND(MIN($AF99,$AP$9),6))-INT(ROUND(MAX(0,MIN($AF99,2*$AP$9)-$AP$9),6))))))</f>
        <v/>
      </c>
      <c r="AW99" s="90" t="str">
        <f aca="false">IF($BL99&lt;&gt;Constants!$B$4,"",IF(NOT($AS99),"",Constants!$B$16*$AG99))</f>
        <v/>
      </c>
      <c r="AX99" s="90" t="str">
        <f aca="false">IF($BL99&lt;&gt;Constants!$B$4,"",IF(NOT($AS99),"",Constants!$B$18*INT(ROUND($AH99,6))))</f>
        <v/>
      </c>
      <c r="AY99" s="85" t="str">
        <f aca="false">IF($BL99&lt;&gt;Constants!$B$4,"",IF(NOT($AS99),"",IF(NOT($X99),Constants!$B$11,IF(OR(NOT($AC99),NOT($AD99),ROUND($AB99,1)&gt;Constants!$B$12,ROUND($Z99,1)&gt;Constants!$B$13,ROUND($AA99,1)&gt;Constants!$B$14),Constants!$B$10,Constants!$B$9))))</f>
        <v/>
      </c>
      <c r="AZ99" s="91" t="str">
        <f aca="false">IF($BL99&lt;&gt;Constants!$B$4,"",IF(NOT($AS99),"",ROUND($AU99+$AV99+$AW99+$AX99,1)))</f>
        <v/>
      </c>
      <c r="BA99" s="92" t="str">
        <f aca="false">IF($BL99&lt;&gt;Constants!$B$4,"",IF(NOT($AS99),"",IF(ISNUMBER($AF99),$AF99,0)))</f>
        <v/>
      </c>
      <c r="BB99" s="86" t="str">
        <f aca="false">IF($BL99&lt;&gt;Constants!$B$4,"",IF(NOT($BC99),"&lt;-",IF(NOT($AS99),"-&gt;",IF(OR($BI99&lt;$AY99,AND($BI99=$AY99,OR($BJ99&gt;$AZ99,AND($BJ99=$AZ99,OR($BH99&gt;$AX99,AND($BH99=$AX99,OR($BE99&gt;$AU99,AND($BE99=$AU99,OR($BF99&gt;$AV99,AND($BF99=$AV99,$BK99&gt;$BA99)))))))))),"-&gt;","&lt;-"))))</f>
        <v/>
      </c>
      <c r="BC99" s="85" t="str">
        <f aca="false">IF(ISBLANK($C99),"",COUNTA($P99:$U99)&gt;0)</f>
        <v/>
      </c>
      <c r="BD99" s="85" t="str">
        <f aca="false">IF(ISBLANK($C99),"",AND($BC99,OR(AND($AL99="",OR($AK99,NOT(ISBLANK($S99)))),$AM99="",$AN99="")))</f>
        <v/>
      </c>
      <c r="BE99" s="87" t="str">
        <f aca="false">IF($BL99&lt;&gt;Constants!$B$4,"",IF(NOT($BC99),"",ROUND((Constants!$B$12-$AB99)+(Constants!$B$13-$Z99)+(Constants!$B$14-$AA99),1)))</f>
        <v/>
      </c>
      <c r="BF99" s="90" t="str">
        <f aca="false">IF($BL99&lt;&gt;Constants!$B$4,"",IF(NOT($BC99),"",IF(NOT($AK99),0,Constants!$B$15*(INT(ROUND(MIN($AL99,$AP$9),6))-INT(ROUND(MAX(0,MIN($AL99,2*$AP$9)-$AP$9),6))))))</f>
        <v/>
      </c>
      <c r="BG99" s="90" t="str">
        <f aca="false">IF($BL99&lt;&gt;Constants!$B$4,"",IF(NOT($BC99),"",Constants!$B$16*$AM99))</f>
        <v/>
      </c>
      <c r="BH99" s="90" t="str">
        <f aca="false">IF($BL99&lt;&gt;Constants!$B$4,"",IF(NOT($BC99),"",Constants!$B$18*INT(ROUND($AN99,6))))</f>
        <v/>
      </c>
      <c r="BI99" s="85" t="str">
        <f aca="false">IF($BL99&lt;&gt;Constants!$B$4,"",IF(NOT($BC99),"",IF(NOT($X99),Constants!$B$11,IF(OR(NOT($AI99),NOT($AJ99),ROUND($AB99,1)&gt;Constants!$B$12,ROUND($Z99,1)&gt;Constants!$B$13,ROUND($AA99,1)&gt;Constants!$B$14),Constants!$B$10,Constants!$B$9))))</f>
        <v/>
      </c>
      <c r="BJ99" s="91" t="str">
        <f aca="false">IF($BL99&lt;&gt;Constants!$B$4,"",IF(NOT($BC99),"",ROUND($BE99+$BF99+$BG99+$BH99,1)))</f>
        <v/>
      </c>
      <c r="BK99" s="92" t="str">
        <f aca="false">IF($BL99&lt;&gt;Constants!$B$4,"",IF(NOT($BC99),"",IF(ISNUMBER($AL99),$AL99,0)))</f>
        <v/>
      </c>
      <c r="BL99" s="86" t="str">
        <f aca="false">IF(ISBLANK($C99),"",IF($AO99,Constants!$B$7,IF(COUNTA($E99:$V99)=0,Constants!$B$6,IF(NOT($Y99),Constants!$B$5,IF(NOT(OR($AS99,$BC99)),Constants!$B$5,IF(OR($AT99,$BD99,$AQ99,$AR99&lt;&gt;""),Constants!$B$8,Constants!$B$4))))))</f>
        <v/>
      </c>
      <c r="BM99" s="86" t="str">
        <f aca="false">IF(ISBLANK($C99),"",IF($BL99&lt;&gt;Constants!$B$4,$BL99,IF($BB99="-&gt;",$BI99,$AY99)))</f>
        <v/>
      </c>
      <c r="BN99" s="90" t="str">
        <f aca="false">IF($BL99&lt;&gt;Constants!$B$4,"",IF($BB99="-&gt;",$BJ99,$AZ99))</f>
        <v/>
      </c>
      <c r="BO99" s="90" t="str">
        <f aca="false">IF(ISBLANK($C99),"",IF($BL99&lt;&gt;Constants!$B$4,$BL99,$BN99))</f>
        <v/>
      </c>
      <c r="BP99" s="86" t="str">
        <f aca="false">IF(ISBLANK($C99),"",IF($BL99&lt;&gt;Constants!$B$4,$BL99,RANK($BO99,$BO$9:$BO$508,0)))</f>
        <v/>
      </c>
      <c r="BQ99" s="86" t="str">
        <f aca="false">IF(ISBLANK($C99),"",IF($BL99&lt;&gt;Constants!$B$4,$BL99,COUNTIFS($BM$9:$BM$508,"&lt;"&amp;$BM99)+COUNTIFS($BM$9:$BM$508,$BM99,$BP$9:$BP$508,"&lt;"&amp;$BP99)+1))</f>
        <v/>
      </c>
      <c r="BR99" s="90" t="str">
        <f aca="false">IF($BL99&lt;&gt;Constants!$B$4,"",IF($BB99="-&gt;",$BH99,$AX99))</f>
        <v/>
      </c>
      <c r="BS99" s="86" t="str">
        <f aca="false">IF(ISBLANK($C99),"",IF($BL99&lt;&gt;Constants!$B$4,$BL99,IF(ISNUMBER($BR99),RANK($BR99,$BR$9:$BR$508,0),COUNT($BR$9:$BR$508)+1)))</f>
        <v/>
      </c>
      <c r="BT99" s="90" t="str">
        <f aca="false">IF($BL99&lt;&gt;Constants!$B$4,"",IF($BB99="-&gt;",$BE99,$AU99))</f>
        <v/>
      </c>
      <c r="BU99" s="86" t="str">
        <f aca="false">IF(ISBLANK($C99),"",IF($BL99&lt;&gt;Constants!$B$4,$BL99,IF(ISNUMBER($BT99),RANK($BT99,$BT$9:$BT$508,0),COUNT($BT$9:$BT$508)+1)))</f>
        <v/>
      </c>
      <c r="BV99" s="90" t="str">
        <f aca="false">IF($BL99&lt;&gt;Constants!$B$4,"",IF($BB99="-&gt;",$BF99,$AV99))</f>
        <v/>
      </c>
      <c r="BW99" s="86" t="str">
        <f aca="false">IF(ISBLANK($C99),"",IF($BL99&lt;&gt;Constants!$B$4,$BL99,IF(ISNUMBER($BV99),RANK($BV99,$BV$9:$BV$508,0),COUNT($BV$9:$BV$508)+1)))</f>
        <v/>
      </c>
      <c r="BX99" s="90" t="str">
        <f aca="false">IF($BL99&lt;&gt;Constants!$B$4,"",IF($BB99="-&gt;",$BK99,$BA99))</f>
        <v/>
      </c>
      <c r="BY99" s="86" t="str">
        <f aca="false">IF(ISBLANK($C99),"",IF($BL99&lt;&gt;Constants!$B$4,$BL99,IF(ISNUMBER($BX99),RANK($BX99,$BX$9:$BX$508,0),COUNT($BX$9:$BX$508)+1)))</f>
        <v/>
      </c>
      <c r="BZ99" s="86" t="str">
        <f aca="false">IF(ISBLANK($C99),"",IF($BL99&lt;&gt;Constants!$B$4,$BL99,COUNTIFS($BM$9:$BM$508,"&lt;"&amp;$BM99)+COUNTIFS($BM$9:$BM$508,$BM99,$BP$9:$BP$508,"&lt;"&amp;$BP99)+COUNTIFS($BM$9:$BM$508,$BM99,$BP$9:$BP$508,$BP99,$BS$9:$BS$508,"&lt;"&amp;$BS99)+COUNTIFS($BM$9:$BM$508,$BM99,$BP$9:$BP$508,$BP99,$BS$9:$BS$508,$BS99,$BU$9:$BU$508,"&lt;"&amp;$BU99)+COUNTIFS($BM$9:$BM$508,$BM99,$BP$9:$BP$508,$BP99,$BS$9:$BS$508,$BS99,$BU$9:$BU$508,$BU99,$BW$9:$BW$508,"&lt;"&amp;$BW99)+COUNTIFS($BM$9:$BM$508,$BM99,$BP$9:$BP$508,$BP99,$BS$9:$BS$508,$BS99,$BU$9:$BU$508,$BU99,$BW$9:$BW$508,$BW99,$BY$9:$BY$508,"&lt;"&amp;$BY99)+1))</f>
        <v/>
      </c>
      <c r="CA99" s="86" t="str">
        <f aca="false">IF(ISBLANK($C99),"",IF($BL99&lt;&gt;Constants!$B$4,$BL99,$BQ99-$BZ99))</f>
        <v/>
      </c>
      <c r="CB99" s="93"/>
      <c r="CC99" s="94" t="str">
        <f aca="false">IF(ISBLANK($C99),"",IF($BL99=Constants!$B$8,$AR99,""))</f>
        <v/>
      </c>
      <c r="CD99" s="94" t="str">
        <f aca="false">IF(ISBLANK($C99),"",IF($BL99&lt;&gt;Constants!$B$4,"",IF($BB99="-&gt;",2,1)))</f>
        <v/>
      </c>
      <c r="CE99" s="95" t="str">
        <f aca="false">IF(ISBLANK($C99),"",IF($BL99&lt;&gt;Constants!$B$4,"",IF($BB99="-&gt;",$BE99,$AU99)))</f>
        <v/>
      </c>
      <c r="CF99" s="95" t="str">
        <f aca="false">IF(ISBLANK($C99),"",IF($BL99&lt;&gt;Constants!$B$4,"",IF($BB99="-&gt;",$BF99,$AV99)))</f>
        <v/>
      </c>
      <c r="CG99" s="95" t="str">
        <f aca="false">IF(ISBLANK($C99),"",IF($BL99&lt;&gt;Constants!$B$4,"",IF($BB99="-&gt;",$BG99,$AW99)))</f>
        <v/>
      </c>
      <c r="CH99" s="95" t="str">
        <f aca="false">IF(ISBLANK($C99),"",IF($BL99&lt;&gt;Constants!$B$4,"",IF($BB99="-&gt;",$BH99,$AX99)))</f>
        <v/>
      </c>
      <c r="CI99" s="96" t="str">
        <f aca="false">IF(ISBLANK($C99),"",$BO99)</f>
        <v/>
      </c>
      <c r="CJ99" s="97" t="str">
        <f aca="false">IF(ISBLANK($C99),"",$BM99)</f>
        <v/>
      </c>
      <c r="CK99" s="98" t="str">
        <f aca="false">IF(ISBLANK($C99),"",$CA99)</f>
        <v/>
      </c>
      <c r="CL99" s="98" t="str">
        <f aca="false">IF(ISBLANK($C99),"",$BZ99)</f>
        <v/>
      </c>
      <c r="CM99" s="99" t="str">
        <f aca="false">IF(ISBLANK($C99),"",IF($CL99=Constants!$B$7,COUNTA($C$9:$C$508)+2,IF($CL99=Constants!$B$6,COUNTA($C$9:$C$508)+1,IF($CL99=Constants!$B$5,COUNTA($C$9:$C$508),$CL99))))</f>
        <v/>
      </c>
      <c r="CN99" s="8"/>
      <c r="CO99" s="100" t="n">
        <f aca="false">IF(OR(ISNUMBER($CL99),$CL99=Constants!$B$7,$CL99=Constants!$B$5,$CL99=Constants!$B$6),1,0)</f>
        <v>0</v>
      </c>
      <c r="CP99" s="100" t="n">
        <v>91</v>
      </c>
      <c r="CQ99" s="100" t="str">
        <f aca="false">IF(ISBLANK($C99),"",IF(ISNUMBER($CM99),$CM99+ROW($B99)/1000,""))</f>
        <v/>
      </c>
      <c r="CR99" s="100" t="str">
        <f aca="false">IF(ISNUMBER($CQ99),RANK($CQ99,$CQ$9:$CQ$508,1),"")</f>
        <v/>
      </c>
      <c r="CS99" s="100" t="str">
        <f aca="false">IF(ISBLANK($C99),"",$B99)</f>
        <v/>
      </c>
      <c r="CT99" s="100" t="str">
        <f aca="false">IF(ISBLANK($C99),"",$C99)</f>
        <v/>
      </c>
      <c r="CU99" s="100" t="str">
        <f aca="false">IF(ISBLANK($C99),"",$D99)</f>
        <v/>
      </c>
      <c r="CV99" s="101" t="str">
        <f aca="false">$CJ99</f>
        <v/>
      </c>
      <c r="CW99" s="102" t="str">
        <f aca="false">$CI99</f>
        <v/>
      </c>
      <c r="CX99" s="100" t="str">
        <f aca="false">IF(ISBLANK($C99),"",$CL99)</f>
        <v/>
      </c>
      <c r="CY99" s="103" t="str">
        <f aca="false">IF($CP99&gt;$CO$8,"",VLOOKUP($CP99,$CR$9:$CX$508,7,FALSE()))</f>
        <v/>
      </c>
      <c r="CZ99" s="104" t="str">
        <f aca="false">IF($CP99&gt;$CO$8,"",VLOOKUP($CP99,$CR$9:$CX$508,2,FALSE()))</f>
        <v/>
      </c>
      <c r="DA99" s="104" t="str">
        <f aca="false">IF($CP99&gt;$CO$8,"",VLOOKUP($CP99,$CR$9:$CX$508,3,FALSE()))</f>
        <v/>
      </c>
      <c r="DB99" s="104" t="str">
        <f aca="false">IF($CP99&gt;$CO$8,"",VLOOKUP($CP99,$CR$9:$CX$508,4,FALSE()))</f>
        <v/>
      </c>
      <c r="DC99" s="104" t="str">
        <f aca="false">IF($CP99&gt;$CO$8,"",VLOOKUP($CP99,$CR$9:$CX$508,5,FALSE()))</f>
        <v/>
      </c>
      <c r="DD99" s="105" t="str">
        <f aca="false">IF($CP99&gt;$CO$8,"",VLOOKUP($CP99,$CR$9:$CX$508,6,FALSE()))</f>
        <v/>
      </c>
      <c r="DE99" s="70"/>
    </row>
    <row r="100" customFormat="false" ht="15.75" hidden="false" customHeight="false" outlineLevel="0" collapsed="false">
      <c r="A100" s="8"/>
      <c r="B100" s="72"/>
      <c r="C100" s="73"/>
      <c r="D100" s="155"/>
      <c r="E100" s="162"/>
      <c r="F100" s="157"/>
      <c r="G100" s="77"/>
      <c r="H100" s="77"/>
      <c r="I100" s="77"/>
      <c r="J100" s="163"/>
      <c r="K100" s="161"/>
      <c r="L100" s="161"/>
      <c r="M100" s="80"/>
      <c r="N100" s="161"/>
      <c r="O100" s="160"/>
      <c r="P100" s="161"/>
      <c r="Q100" s="161"/>
      <c r="R100" s="161"/>
      <c r="S100" s="77"/>
      <c r="T100" s="161"/>
      <c r="U100" s="160"/>
      <c r="V100" s="161"/>
      <c r="W100" s="85"/>
      <c r="X100" s="86" t="str">
        <f aca="false">IF(ISBLANK($C100),"",IF($E100=Constants!$B$2,TRUE(),IF($E100=Constants!$B$3,FALSE(),TRUE())))</f>
        <v/>
      </c>
      <c r="Y100" s="86" t="str">
        <f aca="false">IF(ISBLANK($C100),"",IF($F100=Constants!$B$2,TRUE(),IF($F100=Constants!$B$3,FALSE(),TRUE())))</f>
        <v/>
      </c>
      <c r="Z100" s="87" t="str">
        <f aca="false">IF(ISBLANK($C100),"",IF(ISNUMBER($G100),IF($G100&gt;=0,$G100,""),""))</f>
        <v/>
      </c>
      <c r="AA100" s="87" t="str">
        <f aca="false">IF(ISBLANK($C100),"",IF(ISNUMBER($H100),IF($H100&gt;=0,$H100,""),""))</f>
        <v/>
      </c>
      <c r="AB100" s="87" t="str">
        <f aca="false">IF(ISBLANK($C100),"",IF(ISNUMBER($I100),IF($I100&gt;=0,$I100,""),""))</f>
        <v/>
      </c>
      <c r="AC100" s="86" t="str">
        <f aca="false">IF(ISBLANK($C100),"",IF($J100=Constants!$B$2,TRUE(),IF($J100=Constants!$B$3,FALSE(),TRUE())))</f>
        <v/>
      </c>
      <c r="AD100" s="86" t="str">
        <f aca="false">IF(ISBLANK($C100),"",IF($K100=Constants!$B$2,TRUE(),IF($K100=Constants!$B$3,FALSE(),TRUE())))</f>
        <v/>
      </c>
      <c r="AE100" s="86" t="str">
        <f aca="false">IF(ISBLANK($C100),"",IF($L100=Constants!$B$2,TRUE(),IF($L100=Constants!$B$3,FALSE(),TRUE())))</f>
        <v/>
      </c>
      <c r="AF100" s="88" t="str">
        <f aca="false">IF(ISBLANK($C100),"",IF(ISNUMBER($M100),IF($M100&gt;=0,$M100,""),""))</f>
        <v/>
      </c>
      <c r="AG100" s="86" t="str">
        <f aca="false">IF(ISBLANK($C100),"",IF(ISBLANK($N100),0,IF(ISNUMBER($N100),IF(AND($N100&gt;=0,$N100&lt;=Constants!$B$17,$N100=INT($N100)),$N100,""),"")))</f>
        <v/>
      </c>
      <c r="AH100" s="87" t="str">
        <f aca="false">IF(ISBLANK($C100),"",IF(ISBLANK($O100),0,IF(ISNUMBER($O100),IF($O100&gt;=0,$O100,""),"")))</f>
        <v/>
      </c>
      <c r="AI100" s="86" t="str">
        <f aca="false">IF(ISBLANK($C100),"",IF($P100=Constants!$B$2,TRUE(),IF($P100=Constants!$B$3,FALSE(),TRUE())))</f>
        <v/>
      </c>
      <c r="AJ100" s="86" t="str">
        <f aca="false">IF(ISBLANK($C100),"",IF($Q100=Constants!$B$2,TRUE(),IF($Q100=Constants!$B$3,FALSE(),TRUE())))</f>
        <v/>
      </c>
      <c r="AK100" s="86" t="str">
        <f aca="false">IF(ISBLANK($C100),"",IF($R100=Constants!$B$2,TRUE(),IF($R100=Constants!$B$3,FALSE(),TRUE())))</f>
        <v/>
      </c>
      <c r="AL100" s="88" t="str">
        <f aca="false">IF(ISBLANK($C100),"",IF(ISNUMBER($S100),IF($S100&gt;=0,$S100,""),""))</f>
        <v/>
      </c>
      <c r="AM100" s="86" t="str">
        <f aca="false">IF(ISBLANK($C100),"",IF(ISBLANK($T100),0,IF(ISNUMBER($T100),IF(AND($T100&gt;=0,$T100&lt;=Constants!$B$17,$T100=INT($T100)),$T100,""),"")))</f>
        <v/>
      </c>
      <c r="AN100" s="87" t="str">
        <f aca="false">IF(ISBLANK($C100),"",IF(ISBLANK($U100),0,IF(ISNUMBER($U100),IF($U100&gt;=0,$U100,""),"")))</f>
        <v/>
      </c>
      <c r="AO100" s="86" t="str">
        <f aca="false">IF(ISBLANK($C100),"",IF($V100=Constants!$B$2,TRUE(),IF($V100=Constants!$B$3,FALSE(),FALSE())))</f>
        <v/>
      </c>
      <c r="AP100" s="86"/>
      <c r="AQ100" s="85" t="str">
        <f aca="false">IF(ISBLANK($C100),"",AND($Y100,OR($AS100,$BC100),OR($Z100="",$AA100="",$AB100="")))</f>
        <v/>
      </c>
      <c r="AR100" s="85" t="str">
        <f aca="false">IF(ISBLANK($C100),"",IF(OR(NOT($Y100),NOT(OR($AS100,$BC100))),"",IF(ISBLANK($D$7),$AR$5,IF($AP$9="",$AR$6,""))))</f>
        <v/>
      </c>
      <c r="AS100" s="85" t="str">
        <f aca="false">IF(ISBLANK($C100),"",COUNTA($J100:$O100)&gt;0)</f>
        <v/>
      </c>
      <c r="AT100" s="85" t="str">
        <f aca="false">IF(ISBLANK($C100),"",AND($AS100,OR(AND($AF100="",OR($AE100,NOT(ISBLANK($M100)))),$AG100="",$AH100="")))</f>
        <v/>
      </c>
      <c r="AU100" s="87" t="str">
        <f aca="false">IF($BL100&lt;&gt;Constants!$B$4,"",IF(NOT($AS100),"",ROUND((Constants!$B$12-$AB100)+(Constants!$B$13-$Z100)+(Constants!$B$14-$AA100),1)))</f>
        <v/>
      </c>
      <c r="AV100" s="90" t="str">
        <f aca="false">IF($BL100&lt;&gt;Constants!$B$4,"",IF(NOT($AS100),"",IF(NOT($AE100),0,Constants!$B$15*(INT(ROUND(MIN($AF100,$AP$9),6))-INT(ROUND(MAX(0,MIN($AF100,2*$AP$9)-$AP$9),6))))))</f>
        <v/>
      </c>
      <c r="AW100" s="90" t="str">
        <f aca="false">IF($BL100&lt;&gt;Constants!$B$4,"",IF(NOT($AS100),"",Constants!$B$16*$AG100))</f>
        <v/>
      </c>
      <c r="AX100" s="90" t="str">
        <f aca="false">IF($BL100&lt;&gt;Constants!$B$4,"",IF(NOT($AS100),"",Constants!$B$18*INT(ROUND($AH100,6))))</f>
        <v/>
      </c>
      <c r="AY100" s="85" t="str">
        <f aca="false">IF($BL100&lt;&gt;Constants!$B$4,"",IF(NOT($AS100),"",IF(NOT($X100),Constants!$B$11,IF(OR(NOT($AC100),NOT($AD100),ROUND($AB100,1)&gt;Constants!$B$12,ROUND($Z100,1)&gt;Constants!$B$13,ROUND($AA100,1)&gt;Constants!$B$14),Constants!$B$10,Constants!$B$9))))</f>
        <v/>
      </c>
      <c r="AZ100" s="91" t="str">
        <f aca="false">IF($BL100&lt;&gt;Constants!$B$4,"",IF(NOT($AS100),"",ROUND($AU100+$AV100+$AW100+$AX100,1)))</f>
        <v/>
      </c>
      <c r="BA100" s="92" t="str">
        <f aca="false">IF($BL100&lt;&gt;Constants!$B$4,"",IF(NOT($AS100),"",IF(ISNUMBER($AF100),$AF100,0)))</f>
        <v/>
      </c>
      <c r="BB100" s="86" t="str">
        <f aca="false">IF($BL100&lt;&gt;Constants!$B$4,"",IF(NOT($BC100),"&lt;-",IF(NOT($AS100),"-&gt;",IF(OR($BI100&lt;$AY100,AND($BI100=$AY100,OR($BJ100&gt;$AZ100,AND($BJ100=$AZ100,OR($BH100&gt;$AX100,AND($BH100=$AX100,OR($BE100&gt;$AU100,AND($BE100=$AU100,OR($BF100&gt;$AV100,AND($BF100=$AV100,$BK100&gt;$BA100)))))))))),"-&gt;","&lt;-"))))</f>
        <v/>
      </c>
      <c r="BC100" s="85" t="str">
        <f aca="false">IF(ISBLANK($C100),"",COUNTA($P100:$U100)&gt;0)</f>
        <v/>
      </c>
      <c r="BD100" s="85" t="str">
        <f aca="false">IF(ISBLANK($C100),"",AND($BC100,OR(AND($AL100="",OR($AK100,NOT(ISBLANK($S100)))),$AM100="",$AN100="")))</f>
        <v/>
      </c>
      <c r="BE100" s="87" t="str">
        <f aca="false">IF($BL100&lt;&gt;Constants!$B$4,"",IF(NOT($BC100),"",ROUND((Constants!$B$12-$AB100)+(Constants!$B$13-$Z100)+(Constants!$B$14-$AA100),1)))</f>
        <v/>
      </c>
      <c r="BF100" s="90" t="str">
        <f aca="false">IF($BL100&lt;&gt;Constants!$B$4,"",IF(NOT($BC100),"",IF(NOT($AK100),0,Constants!$B$15*(INT(ROUND(MIN($AL100,$AP$9),6))-INT(ROUND(MAX(0,MIN($AL100,2*$AP$9)-$AP$9),6))))))</f>
        <v/>
      </c>
      <c r="BG100" s="90" t="str">
        <f aca="false">IF($BL100&lt;&gt;Constants!$B$4,"",IF(NOT($BC100),"",Constants!$B$16*$AM100))</f>
        <v/>
      </c>
      <c r="BH100" s="90" t="str">
        <f aca="false">IF($BL100&lt;&gt;Constants!$B$4,"",IF(NOT($BC100),"",Constants!$B$18*INT(ROUND($AN100,6))))</f>
        <v/>
      </c>
      <c r="BI100" s="85" t="str">
        <f aca="false">IF($BL100&lt;&gt;Constants!$B$4,"",IF(NOT($BC100),"",IF(NOT($X100),Constants!$B$11,IF(OR(NOT($AI100),NOT($AJ100),ROUND($AB100,1)&gt;Constants!$B$12,ROUND($Z100,1)&gt;Constants!$B$13,ROUND($AA100,1)&gt;Constants!$B$14),Constants!$B$10,Constants!$B$9))))</f>
        <v/>
      </c>
      <c r="BJ100" s="91" t="str">
        <f aca="false">IF($BL100&lt;&gt;Constants!$B$4,"",IF(NOT($BC100),"",ROUND($BE100+$BF100+$BG100+$BH100,1)))</f>
        <v/>
      </c>
      <c r="BK100" s="92" t="str">
        <f aca="false">IF($BL100&lt;&gt;Constants!$B$4,"",IF(NOT($BC100),"",IF(ISNUMBER($AL100),$AL100,0)))</f>
        <v/>
      </c>
      <c r="BL100" s="86" t="str">
        <f aca="false">IF(ISBLANK($C100),"",IF($AO100,Constants!$B$7,IF(COUNTA($E100:$V100)=0,Constants!$B$6,IF(NOT($Y100),Constants!$B$5,IF(NOT(OR($AS100,$BC100)),Constants!$B$5,IF(OR($AT100,$BD100,$AQ100,$AR100&lt;&gt;""),Constants!$B$8,Constants!$B$4))))))</f>
        <v/>
      </c>
      <c r="BM100" s="86" t="str">
        <f aca="false">IF(ISBLANK($C100),"",IF($BL100&lt;&gt;Constants!$B$4,$BL100,IF($BB100="-&gt;",$BI100,$AY100)))</f>
        <v/>
      </c>
      <c r="BN100" s="90" t="str">
        <f aca="false">IF($BL100&lt;&gt;Constants!$B$4,"",IF($BB100="-&gt;",$BJ100,$AZ100))</f>
        <v/>
      </c>
      <c r="BO100" s="90" t="str">
        <f aca="false">IF(ISBLANK($C100),"",IF($BL100&lt;&gt;Constants!$B$4,$BL100,$BN100))</f>
        <v/>
      </c>
      <c r="BP100" s="86" t="str">
        <f aca="false">IF(ISBLANK($C100),"",IF($BL100&lt;&gt;Constants!$B$4,$BL100,RANK($BO100,$BO$9:$BO$508,0)))</f>
        <v/>
      </c>
      <c r="BQ100" s="86" t="str">
        <f aca="false">IF(ISBLANK($C100),"",IF($BL100&lt;&gt;Constants!$B$4,$BL100,COUNTIFS($BM$9:$BM$508,"&lt;"&amp;$BM100)+COUNTIFS($BM$9:$BM$508,$BM100,$BP$9:$BP$508,"&lt;"&amp;$BP100)+1))</f>
        <v/>
      </c>
      <c r="BR100" s="90" t="str">
        <f aca="false">IF($BL100&lt;&gt;Constants!$B$4,"",IF($BB100="-&gt;",$BH100,$AX100))</f>
        <v/>
      </c>
      <c r="BS100" s="86" t="str">
        <f aca="false">IF(ISBLANK($C100),"",IF($BL100&lt;&gt;Constants!$B$4,$BL100,IF(ISNUMBER($BR100),RANK($BR100,$BR$9:$BR$508,0),COUNT($BR$9:$BR$508)+1)))</f>
        <v/>
      </c>
      <c r="BT100" s="90" t="str">
        <f aca="false">IF($BL100&lt;&gt;Constants!$B$4,"",IF($BB100="-&gt;",$BE100,$AU100))</f>
        <v/>
      </c>
      <c r="BU100" s="86" t="str">
        <f aca="false">IF(ISBLANK($C100),"",IF($BL100&lt;&gt;Constants!$B$4,$BL100,IF(ISNUMBER($BT100),RANK($BT100,$BT$9:$BT$508,0),COUNT($BT$9:$BT$508)+1)))</f>
        <v/>
      </c>
      <c r="BV100" s="90" t="str">
        <f aca="false">IF($BL100&lt;&gt;Constants!$B$4,"",IF($BB100="-&gt;",$BF100,$AV100))</f>
        <v/>
      </c>
      <c r="BW100" s="86" t="str">
        <f aca="false">IF(ISBLANK($C100),"",IF($BL100&lt;&gt;Constants!$B$4,$BL100,IF(ISNUMBER($BV100),RANK($BV100,$BV$9:$BV$508,0),COUNT($BV$9:$BV$508)+1)))</f>
        <v/>
      </c>
      <c r="BX100" s="90" t="str">
        <f aca="false">IF($BL100&lt;&gt;Constants!$B$4,"",IF($BB100="-&gt;",$BK100,$BA100))</f>
        <v/>
      </c>
      <c r="BY100" s="86" t="str">
        <f aca="false">IF(ISBLANK($C100),"",IF($BL100&lt;&gt;Constants!$B$4,$BL100,IF(ISNUMBER($BX100),RANK($BX100,$BX$9:$BX$508,0),COUNT($BX$9:$BX$508)+1)))</f>
        <v/>
      </c>
      <c r="BZ100" s="86" t="str">
        <f aca="false">IF(ISBLANK($C100),"",IF($BL100&lt;&gt;Constants!$B$4,$BL100,COUNTIFS($BM$9:$BM$508,"&lt;"&amp;$BM100)+COUNTIFS($BM$9:$BM$508,$BM100,$BP$9:$BP$508,"&lt;"&amp;$BP100)+COUNTIFS($BM$9:$BM$508,$BM100,$BP$9:$BP$508,$BP100,$BS$9:$BS$508,"&lt;"&amp;$BS100)+COUNTIFS($BM$9:$BM$508,$BM100,$BP$9:$BP$508,$BP100,$BS$9:$BS$508,$BS100,$BU$9:$BU$508,"&lt;"&amp;$BU100)+COUNTIFS($BM$9:$BM$508,$BM100,$BP$9:$BP$508,$BP100,$BS$9:$BS$508,$BS100,$BU$9:$BU$508,$BU100,$BW$9:$BW$508,"&lt;"&amp;$BW100)+COUNTIFS($BM$9:$BM$508,$BM100,$BP$9:$BP$508,$BP100,$BS$9:$BS$508,$BS100,$BU$9:$BU$508,$BU100,$BW$9:$BW$508,$BW100,$BY$9:$BY$508,"&lt;"&amp;$BY100)+1))</f>
        <v/>
      </c>
      <c r="CA100" s="86" t="str">
        <f aca="false">IF(ISBLANK($C100),"",IF($BL100&lt;&gt;Constants!$B$4,$BL100,$BQ100-$BZ100))</f>
        <v/>
      </c>
      <c r="CB100" s="93"/>
      <c r="CC100" s="94" t="str">
        <f aca="false">IF(ISBLANK($C100),"",IF($BL100=Constants!$B$8,$AR100,""))</f>
        <v/>
      </c>
      <c r="CD100" s="94" t="str">
        <f aca="false">IF(ISBLANK($C100),"",IF($BL100&lt;&gt;Constants!$B$4,"",IF($BB100="-&gt;",2,1)))</f>
        <v/>
      </c>
      <c r="CE100" s="95" t="str">
        <f aca="false">IF(ISBLANK($C100),"",IF($BL100&lt;&gt;Constants!$B$4,"",IF($BB100="-&gt;",$BE100,$AU100)))</f>
        <v/>
      </c>
      <c r="CF100" s="95" t="str">
        <f aca="false">IF(ISBLANK($C100),"",IF($BL100&lt;&gt;Constants!$B$4,"",IF($BB100="-&gt;",$BF100,$AV100)))</f>
        <v/>
      </c>
      <c r="CG100" s="95" t="str">
        <f aca="false">IF(ISBLANK($C100),"",IF($BL100&lt;&gt;Constants!$B$4,"",IF($BB100="-&gt;",$BG100,$AW100)))</f>
        <v/>
      </c>
      <c r="CH100" s="95" t="str">
        <f aca="false">IF(ISBLANK($C100),"",IF($BL100&lt;&gt;Constants!$B$4,"",IF($BB100="-&gt;",$BH100,$AX100)))</f>
        <v/>
      </c>
      <c r="CI100" s="96" t="str">
        <f aca="false">IF(ISBLANK($C100),"",$BO100)</f>
        <v/>
      </c>
      <c r="CJ100" s="97" t="str">
        <f aca="false">IF(ISBLANK($C100),"",$BM100)</f>
        <v/>
      </c>
      <c r="CK100" s="98" t="str">
        <f aca="false">IF(ISBLANK($C100),"",$CA100)</f>
        <v/>
      </c>
      <c r="CL100" s="98" t="str">
        <f aca="false">IF(ISBLANK($C100),"",$BZ100)</f>
        <v/>
      </c>
      <c r="CM100" s="99" t="str">
        <f aca="false">IF(ISBLANK($C100),"",IF($CL100=Constants!$B$7,COUNTA($C$9:$C$508)+2,IF($CL100=Constants!$B$6,COUNTA($C$9:$C$508)+1,IF($CL100=Constants!$B$5,COUNTA($C$9:$C$508),$CL100))))</f>
        <v/>
      </c>
      <c r="CN100" s="8"/>
      <c r="CO100" s="100" t="n">
        <f aca="false">IF(OR(ISNUMBER($CL100),$CL100=Constants!$B$7,$CL100=Constants!$B$5,$CL100=Constants!$B$6),1,0)</f>
        <v>0</v>
      </c>
      <c r="CP100" s="100" t="n">
        <v>92</v>
      </c>
      <c r="CQ100" s="100" t="str">
        <f aca="false">IF(ISBLANK($C100),"",IF(ISNUMBER($CM100),$CM100+ROW($B100)/1000,""))</f>
        <v/>
      </c>
      <c r="CR100" s="100" t="str">
        <f aca="false">IF(ISNUMBER($CQ100),RANK($CQ100,$CQ$9:$CQ$508,1),"")</f>
        <v/>
      </c>
      <c r="CS100" s="100" t="str">
        <f aca="false">IF(ISBLANK($C100),"",$B100)</f>
        <v/>
      </c>
      <c r="CT100" s="100" t="str">
        <f aca="false">IF(ISBLANK($C100),"",$C100)</f>
        <v/>
      </c>
      <c r="CU100" s="100" t="str">
        <f aca="false">IF(ISBLANK($C100),"",$D100)</f>
        <v/>
      </c>
      <c r="CV100" s="101" t="str">
        <f aca="false">$CJ100</f>
        <v/>
      </c>
      <c r="CW100" s="102" t="str">
        <f aca="false">$CI100</f>
        <v/>
      </c>
      <c r="CX100" s="100" t="str">
        <f aca="false">IF(ISBLANK($C100),"",$CL100)</f>
        <v/>
      </c>
      <c r="CY100" s="103" t="str">
        <f aca="false">IF($CP100&gt;$CO$8,"",VLOOKUP($CP100,$CR$9:$CX$508,7,FALSE()))</f>
        <v/>
      </c>
      <c r="CZ100" s="104" t="str">
        <f aca="false">IF($CP100&gt;$CO$8,"",VLOOKUP($CP100,$CR$9:$CX$508,2,FALSE()))</f>
        <v/>
      </c>
      <c r="DA100" s="104" t="str">
        <f aca="false">IF($CP100&gt;$CO$8,"",VLOOKUP($CP100,$CR$9:$CX$508,3,FALSE()))</f>
        <v/>
      </c>
      <c r="DB100" s="104" t="str">
        <f aca="false">IF($CP100&gt;$CO$8,"",VLOOKUP($CP100,$CR$9:$CX$508,4,FALSE()))</f>
        <v/>
      </c>
      <c r="DC100" s="104" t="str">
        <f aca="false">IF($CP100&gt;$CO$8,"",VLOOKUP($CP100,$CR$9:$CX$508,5,FALSE()))</f>
        <v/>
      </c>
      <c r="DD100" s="105" t="str">
        <f aca="false">IF($CP100&gt;$CO$8,"",VLOOKUP($CP100,$CR$9:$CX$508,6,FALSE()))</f>
        <v/>
      </c>
      <c r="DE100" s="70"/>
    </row>
    <row r="101" customFormat="false" ht="15.75" hidden="false" customHeight="false" outlineLevel="0" collapsed="false">
      <c r="A101" s="8"/>
      <c r="B101" s="72"/>
      <c r="C101" s="73"/>
      <c r="D101" s="155"/>
      <c r="E101" s="162"/>
      <c r="F101" s="157"/>
      <c r="G101" s="77"/>
      <c r="H101" s="77"/>
      <c r="I101" s="77"/>
      <c r="J101" s="163"/>
      <c r="K101" s="161"/>
      <c r="L101" s="161"/>
      <c r="M101" s="80"/>
      <c r="N101" s="161"/>
      <c r="O101" s="160"/>
      <c r="P101" s="161"/>
      <c r="Q101" s="161"/>
      <c r="R101" s="161"/>
      <c r="S101" s="77"/>
      <c r="T101" s="161"/>
      <c r="U101" s="160"/>
      <c r="V101" s="161"/>
      <c r="W101" s="85"/>
      <c r="X101" s="86" t="str">
        <f aca="false">IF(ISBLANK($C101),"",IF($E101=Constants!$B$2,TRUE(),IF($E101=Constants!$B$3,FALSE(),TRUE())))</f>
        <v/>
      </c>
      <c r="Y101" s="86" t="str">
        <f aca="false">IF(ISBLANK($C101),"",IF($F101=Constants!$B$2,TRUE(),IF($F101=Constants!$B$3,FALSE(),TRUE())))</f>
        <v/>
      </c>
      <c r="Z101" s="87" t="str">
        <f aca="false">IF(ISBLANK($C101),"",IF(ISNUMBER($G101),IF($G101&gt;=0,$G101,""),""))</f>
        <v/>
      </c>
      <c r="AA101" s="87" t="str">
        <f aca="false">IF(ISBLANK($C101),"",IF(ISNUMBER($H101),IF($H101&gt;=0,$H101,""),""))</f>
        <v/>
      </c>
      <c r="AB101" s="87" t="str">
        <f aca="false">IF(ISBLANK($C101),"",IF(ISNUMBER($I101),IF($I101&gt;=0,$I101,""),""))</f>
        <v/>
      </c>
      <c r="AC101" s="86" t="str">
        <f aca="false">IF(ISBLANK($C101),"",IF($J101=Constants!$B$2,TRUE(),IF($J101=Constants!$B$3,FALSE(),TRUE())))</f>
        <v/>
      </c>
      <c r="AD101" s="86" t="str">
        <f aca="false">IF(ISBLANK($C101),"",IF($K101=Constants!$B$2,TRUE(),IF($K101=Constants!$B$3,FALSE(),TRUE())))</f>
        <v/>
      </c>
      <c r="AE101" s="86" t="str">
        <f aca="false">IF(ISBLANK($C101),"",IF($L101=Constants!$B$2,TRUE(),IF($L101=Constants!$B$3,FALSE(),TRUE())))</f>
        <v/>
      </c>
      <c r="AF101" s="88" t="str">
        <f aca="false">IF(ISBLANK($C101),"",IF(ISNUMBER($M101),IF($M101&gt;=0,$M101,""),""))</f>
        <v/>
      </c>
      <c r="AG101" s="86" t="str">
        <f aca="false">IF(ISBLANK($C101),"",IF(ISBLANK($N101),0,IF(ISNUMBER($N101),IF(AND($N101&gt;=0,$N101&lt;=Constants!$B$17,$N101=INT($N101)),$N101,""),"")))</f>
        <v/>
      </c>
      <c r="AH101" s="87" t="str">
        <f aca="false">IF(ISBLANK($C101),"",IF(ISBLANK($O101),0,IF(ISNUMBER($O101),IF($O101&gt;=0,$O101,""),"")))</f>
        <v/>
      </c>
      <c r="AI101" s="86" t="str">
        <f aca="false">IF(ISBLANK($C101),"",IF($P101=Constants!$B$2,TRUE(),IF($P101=Constants!$B$3,FALSE(),TRUE())))</f>
        <v/>
      </c>
      <c r="AJ101" s="86" t="str">
        <f aca="false">IF(ISBLANK($C101),"",IF($Q101=Constants!$B$2,TRUE(),IF($Q101=Constants!$B$3,FALSE(),TRUE())))</f>
        <v/>
      </c>
      <c r="AK101" s="86" t="str">
        <f aca="false">IF(ISBLANK($C101),"",IF($R101=Constants!$B$2,TRUE(),IF($R101=Constants!$B$3,FALSE(),TRUE())))</f>
        <v/>
      </c>
      <c r="AL101" s="88" t="str">
        <f aca="false">IF(ISBLANK($C101),"",IF(ISNUMBER($S101),IF($S101&gt;=0,$S101,""),""))</f>
        <v/>
      </c>
      <c r="AM101" s="86" t="str">
        <f aca="false">IF(ISBLANK($C101),"",IF(ISBLANK($T101),0,IF(ISNUMBER($T101),IF(AND($T101&gt;=0,$T101&lt;=Constants!$B$17,$T101=INT($T101)),$T101,""),"")))</f>
        <v/>
      </c>
      <c r="AN101" s="87" t="str">
        <f aca="false">IF(ISBLANK($C101),"",IF(ISBLANK($U101),0,IF(ISNUMBER($U101),IF($U101&gt;=0,$U101,""),"")))</f>
        <v/>
      </c>
      <c r="AO101" s="86" t="str">
        <f aca="false">IF(ISBLANK($C101),"",IF($V101=Constants!$B$2,TRUE(),IF($V101=Constants!$B$3,FALSE(),FALSE())))</f>
        <v/>
      </c>
      <c r="AP101" s="86"/>
      <c r="AQ101" s="85" t="str">
        <f aca="false">IF(ISBLANK($C101),"",AND($Y101,OR($AS101,$BC101),OR($Z101="",$AA101="",$AB101="")))</f>
        <v/>
      </c>
      <c r="AR101" s="85" t="str">
        <f aca="false">IF(ISBLANK($C101),"",IF(OR(NOT($Y101),NOT(OR($AS101,$BC101))),"",IF(ISBLANK($D$7),$AR$5,IF($AP$9="",$AR$6,""))))</f>
        <v/>
      </c>
      <c r="AS101" s="85" t="str">
        <f aca="false">IF(ISBLANK($C101),"",COUNTA($J101:$O101)&gt;0)</f>
        <v/>
      </c>
      <c r="AT101" s="85" t="str">
        <f aca="false">IF(ISBLANK($C101),"",AND($AS101,OR(AND($AF101="",OR($AE101,NOT(ISBLANK($M101)))),$AG101="",$AH101="")))</f>
        <v/>
      </c>
      <c r="AU101" s="87" t="str">
        <f aca="false">IF($BL101&lt;&gt;Constants!$B$4,"",IF(NOT($AS101),"",ROUND((Constants!$B$12-$AB101)+(Constants!$B$13-$Z101)+(Constants!$B$14-$AA101),1)))</f>
        <v/>
      </c>
      <c r="AV101" s="90" t="str">
        <f aca="false">IF($BL101&lt;&gt;Constants!$B$4,"",IF(NOT($AS101),"",IF(NOT($AE101),0,Constants!$B$15*(INT(ROUND(MIN($AF101,$AP$9),6))-INT(ROUND(MAX(0,MIN($AF101,2*$AP$9)-$AP$9),6))))))</f>
        <v/>
      </c>
      <c r="AW101" s="90" t="str">
        <f aca="false">IF($BL101&lt;&gt;Constants!$B$4,"",IF(NOT($AS101),"",Constants!$B$16*$AG101))</f>
        <v/>
      </c>
      <c r="AX101" s="90" t="str">
        <f aca="false">IF($BL101&lt;&gt;Constants!$B$4,"",IF(NOT($AS101),"",Constants!$B$18*INT(ROUND($AH101,6))))</f>
        <v/>
      </c>
      <c r="AY101" s="85" t="str">
        <f aca="false">IF($BL101&lt;&gt;Constants!$B$4,"",IF(NOT($AS101),"",IF(NOT($X101),Constants!$B$11,IF(OR(NOT($AC101),NOT($AD101),ROUND($AB101,1)&gt;Constants!$B$12,ROUND($Z101,1)&gt;Constants!$B$13,ROUND($AA101,1)&gt;Constants!$B$14),Constants!$B$10,Constants!$B$9))))</f>
        <v/>
      </c>
      <c r="AZ101" s="91" t="str">
        <f aca="false">IF($BL101&lt;&gt;Constants!$B$4,"",IF(NOT($AS101),"",ROUND($AU101+$AV101+$AW101+$AX101,1)))</f>
        <v/>
      </c>
      <c r="BA101" s="92" t="str">
        <f aca="false">IF($BL101&lt;&gt;Constants!$B$4,"",IF(NOT($AS101),"",IF(ISNUMBER($AF101),$AF101,0)))</f>
        <v/>
      </c>
      <c r="BB101" s="86" t="str">
        <f aca="false">IF($BL101&lt;&gt;Constants!$B$4,"",IF(NOT($BC101),"&lt;-",IF(NOT($AS101),"-&gt;",IF(OR($BI101&lt;$AY101,AND($BI101=$AY101,OR($BJ101&gt;$AZ101,AND($BJ101=$AZ101,OR($BH101&gt;$AX101,AND($BH101=$AX101,OR($BE101&gt;$AU101,AND($BE101=$AU101,OR($BF101&gt;$AV101,AND($BF101=$AV101,$BK101&gt;$BA101)))))))))),"-&gt;","&lt;-"))))</f>
        <v/>
      </c>
      <c r="BC101" s="85" t="str">
        <f aca="false">IF(ISBLANK($C101),"",COUNTA($P101:$U101)&gt;0)</f>
        <v/>
      </c>
      <c r="BD101" s="85" t="str">
        <f aca="false">IF(ISBLANK($C101),"",AND($BC101,OR(AND($AL101="",OR($AK101,NOT(ISBLANK($S101)))),$AM101="",$AN101="")))</f>
        <v/>
      </c>
      <c r="BE101" s="87" t="str">
        <f aca="false">IF($BL101&lt;&gt;Constants!$B$4,"",IF(NOT($BC101),"",ROUND((Constants!$B$12-$AB101)+(Constants!$B$13-$Z101)+(Constants!$B$14-$AA101),1)))</f>
        <v/>
      </c>
      <c r="BF101" s="90" t="str">
        <f aca="false">IF($BL101&lt;&gt;Constants!$B$4,"",IF(NOT($BC101),"",IF(NOT($AK101),0,Constants!$B$15*(INT(ROUND(MIN($AL101,$AP$9),6))-INT(ROUND(MAX(0,MIN($AL101,2*$AP$9)-$AP$9),6))))))</f>
        <v/>
      </c>
      <c r="BG101" s="90" t="str">
        <f aca="false">IF($BL101&lt;&gt;Constants!$B$4,"",IF(NOT($BC101),"",Constants!$B$16*$AM101))</f>
        <v/>
      </c>
      <c r="BH101" s="90" t="str">
        <f aca="false">IF($BL101&lt;&gt;Constants!$B$4,"",IF(NOT($BC101),"",Constants!$B$18*INT(ROUND($AN101,6))))</f>
        <v/>
      </c>
      <c r="BI101" s="85" t="str">
        <f aca="false">IF($BL101&lt;&gt;Constants!$B$4,"",IF(NOT($BC101),"",IF(NOT($X101),Constants!$B$11,IF(OR(NOT($AI101),NOT($AJ101),ROUND($AB101,1)&gt;Constants!$B$12,ROUND($Z101,1)&gt;Constants!$B$13,ROUND($AA101,1)&gt;Constants!$B$14),Constants!$B$10,Constants!$B$9))))</f>
        <v/>
      </c>
      <c r="BJ101" s="91" t="str">
        <f aca="false">IF($BL101&lt;&gt;Constants!$B$4,"",IF(NOT($BC101),"",ROUND($BE101+$BF101+$BG101+$BH101,1)))</f>
        <v/>
      </c>
      <c r="BK101" s="92" t="str">
        <f aca="false">IF($BL101&lt;&gt;Constants!$B$4,"",IF(NOT($BC101),"",IF(ISNUMBER($AL101),$AL101,0)))</f>
        <v/>
      </c>
      <c r="BL101" s="86" t="str">
        <f aca="false">IF(ISBLANK($C101),"",IF($AO101,Constants!$B$7,IF(COUNTA($E101:$V101)=0,Constants!$B$6,IF(NOT($Y101),Constants!$B$5,IF(NOT(OR($AS101,$BC101)),Constants!$B$5,IF(OR($AT101,$BD101,$AQ101,$AR101&lt;&gt;""),Constants!$B$8,Constants!$B$4))))))</f>
        <v/>
      </c>
      <c r="BM101" s="86" t="str">
        <f aca="false">IF(ISBLANK($C101),"",IF($BL101&lt;&gt;Constants!$B$4,$BL101,IF($BB101="-&gt;",$BI101,$AY101)))</f>
        <v/>
      </c>
      <c r="BN101" s="90" t="str">
        <f aca="false">IF($BL101&lt;&gt;Constants!$B$4,"",IF($BB101="-&gt;",$BJ101,$AZ101))</f>
        <v/>
      </c>
      <c r="BO101" s="90" t="str">
        <f aca="false">IF(ISBLANK($C101),"",IF($BL101&lt;&gt;Constants!$B$4,$BL101,$BN101))</f>
        <v/>
      </c>
      <c r="BP101" s="86" t="str">
        <f aca="false">IF(ISBLANK($C101),"",IF($BL101&lt;&gt;Constants!$B$4,$BL101,RANK($BO101,$BO$9:$BO$508,0)))</f>
        <v/>
      </c>
      <c r="BQ101" s="86" t="str">
        <f aca="false">IF(ISBLANK($C101),"",IF($BL101&lt;&gt;Constants!$B$4,$BL101,COUNTIFS($BM$9:$BM$508,"&lt;"&amp;$BM101)+COUNTIFS($BM$9:$BM$508,$BM101,$BP$9:$BP$508,"&lt;"&amp;$BP101)+1))</f>
        <v/>
      </c>
      <c r="BR101" s="90" t="str">
        <f aca="false">IF($BL101&lt;&gt;Constants!$B$4,"",IF($BB101="-&gt;",$BH101,$AX101))</f>
        <v/>
      </c>
      <c r="BS101" s="86" t="str">
        <f aca="false">IF(ISBLANK($C101),"",IF($BL101&lt;&gt;Constants!$B$4,$BL101,IF(ISNUMBER($BR101),RANK($BR101,$BR$9:$BR$508,0),COUNT($BR$9:$BR$508)+1)))</f>
        <v/>
      </c>
      <c r="BT101" s="90" t="str">
        <f aca="false">IF($BL101&lt;&gt;Constants!$B$4,"",IF($BB101="-&gt;",$BE101,$AU101))</f>
        <v/>
      </c>
      <c r="BU101" s="86" t="str">
        <f aca="false">IF(ISBLANK($C101),"",IF($BL101&lt;&gt;Constants!$B$4,$BL101,IF(ISNUMBER($BT101),RANK($BT101,$BT$9:$BT$508,0),COUNT($BT$9:$BT$508)+1)))</f>
        <v/>
      </c>
      <c r="BV101" s="90" t="str">
        <f aca="false">IF($BL101&lt;&gt;Constants!$B$4,"",IF($BB101="-&gt;",$BF101,$AV101))</f>
        <v/>
      </c>
      <c r="BW101" s="86" t="str">
        <f aca="false">IF(ISBLANK($C101),"",IF($BL101&lt;&gt;Constants!$B$4,$BL101,IF(ISNUMBER($BV101),RANK($BV101,$BV$9:$BV$508,0),COUNT($BV$9:$BV$508)+1)))</f>
        <v/>
      </c>
      <c r="BX101" s="90" t="str">
        <f aca="false">IF($BL101&lt;&gt;Constants!$B$4,"",IF($BB101="-&gt;",$BK101,$BA101))</f>
        <v/>
      </c>
      <c r="BY101" s="86" t="str">
        <f aca="false">IF(ISBLANK($C101),"",IF($BL101&lt;&gt;Constants!$B$4,$BL101,IF(ISNUMBER($BX101),RANK($BX101,$BX$9:$BX$508,0),COUNT($BX$9:$BX$508)+1)))</f>
        <v/>
      </c>
      <c r="BZ101" s="86" t="str">
        <f aca="false">IF(ISBLANK($C101),"",IF($BL101&lt;&gt;Constants!$B$4,$BL101,COUNTIFS($BM$9:$BM$508,"&lt;"&amp;$BM101)+COUNTIFS($BM$9:$BM$508,$BM101,$BP$9:$BP$508,"&lt;"&amp;$BP101)+COUNTIFS($BM$9:$BM$508,$BM101,$BP$9:$BP$508,$BP101,$BS$9:$BS$508,"&lt;"&amp;$BS101)+COUNTIFS($BM$9:$BM$508,$BM101,$BP$9:$BP$508,$BP101,$BS$9:$BS$508,$BS101,$BU$9:$BU$508,"&lt;"&amp;$BU101)+COUNTIFS($BM$9:$BM$508,$BM101,$BP$9:$BP$508,$BP101,$BS$9:$BS$508,$BS101,$BU$9:$BU$508,$BU101,$BW$9:$BW$508,"&lt;"&amp;$BW101)+COUNTIFS($BM$9:$BM$508,$BM101,$BP$9:$BP$508,$BP101,$BS$9:$BS$508,$BS101,$BU$9:$BU$508,$BU101,$BW$9:$BW$508,$BW101,$BY$9:$BY$508,"&lt;"&amp;$BY101)+1))</f>
        <v/>
      </c>
      <c r="CA101" s="86" t="str">
        <f aca="false">IF(ISBLANK($C101),"",IF($BL101&lt;&gt;Constants!$B$4,$BL101,$BQ101-$BZ101))</f>
        <v/>
      </c>
      <c r="CB101" s="93"/>
      <c r="CC101" s="94" t="str">
        <f aca="false">IF(ISBLANK($C101),"",IF($BL101=Constants!$B$8,$AR101,""))</f>
        <v/>
      </c>
      <c r="CD101" s="94" t="str">
        <f aca="false">IF(ISBLANK($C101),"",IF($BL101&lt;&gt;Constants!$B$4,"",IF($BB101="-&gt;",2,1)))</f>
        <v/>
      </c>
      <c r="CE101" s="95" t="str">
        <f aca="false">IF(ISBLANK($C101),"",IF($BL101&lt;&gt;Constants!$B$4,"",IF($BB101="-&gt;",$BE101,$AU101)))</f>
        <v/>
      </c>
      <c r="CF101" s="95" t="str">
        <f aca="false">IF(ISBLANK($C101),"",IF($BL101&lt;&gt;Constants!$B$4,"",IF($BB101="-&gt;",$BF101,$AV101)))</f>
        <v/>
      </c>
      <c r="CG101" s="95" t="str">
        <f aca="false">IF(ISBLANK($C101),"",IF($BL101&lt;&gt;Constants!$B$4,"",IF($BB101="-&gt;",$BG101,$AW101)))</f>
        <v/>
      </c>
      <c r="CH101" s="95" t="str">
        <f aca="false">IF(ISBLANK($C101),"",IF($BL101&lt;&gt;Constants!$B$4,"",IF($BB101="-&gt;",$BH101,$AX101)))</f>
        <v/>
      </c>
      <c r="CI101" s="96" t="str">
        <f aca="false">IF(ISBLANK($C101),"",$BO101)</f>
        <v/>
      </c>
      <c r="CJ101" s="97" t="str">
        <f aca="false">IF(ISBLANK($C101),"",$BM101)</f>
        <v/>
      </c>
      <c r="CK101" s="98" t="str">
        <f aca="false">IF(ISBLANK($C101),"",$CA101)</f>
        <v/>
      </c>
      <c r="CL101" s="98" t="str">
        <f aca="false">IF(ISBLANK($C101),"",$BZ101)</f>
        <v/>
      </c>
      <c r="CM101" s="99" t="str">
        <f aca="false">IF(ISBLANK($C101),"",IF($CL101=Constants!$B$7,COUNTA($C$9:$C$508)+2,IF($CL101=Constants!$B$6,COUNTA($C$9:$C$508)+1,IF($CL101=Constants!$B$5,COUNTA($C$9:$C$508),$CL101))))</f>
        <v/>
      </c>
      <c r="CN101" s="8"/>
      <c r="CO101" s="100" t="n">
        <f aca="false">IF(OR(ISNUMBER($CL101),$CL101=Constants!$B$7,$CL101=Constants!$B$5,$CL101=Constants!$B$6),1,0)</f>
        <v>0</v>
      </c>
      <c r="CP101" s="100" t="n">
        <v>93</v>
      </c>
      <c r="CQ101" s="100" t="str">
        <f aca="false">IF(ISBLANK($C101),"",IF(ISNUMBER($CM101),$CM101+ROW($B101)/1000,""))</f>
        <v/>
      </c>
      <c r="CR101" s="100" t="str">
        <f aca="false">IF(ISNUMBER($CQ101),RANK($CQ101,$CQ$9:$CQ$508,1),"")</f>
        <v/>
      </c>
      <c r="CS101" s="100" t="str">
        <f aca="false">IF(ISBLANK($C101),"",$B101)</f>
        <v/>
      </c>
      <c r="CT101" s="100" t="str">
        <f aca="false">IF(ISBLANK($C101),"",$C101)</f>
        <v/>
      </c>
      <c r="CU101" s="100" t="str">
        <f aca="false">IF(ISBLANK($C101),"",$D101)</f>
        <v/>
      </c>
      <c r="CV101" s="101" t="str">
        <f aca="false">$CJ101</f>
        <v/>
      </c>
      <c r="CW101" s="102" t="str">
        <f aca="false">$CI101</f>
        <v/>
      </c>
      <c r="CX101" s="100" t="str">
        <f aca="false">IF(ISBLANK($C101),"",$CL101)</f>
        <v/>
      </c>
      <c r="CY101" s="103" t="str">
        <f aca="false">IF($CP101&gt;$CO$8,"",VLOOKUP($CP101,$CR$9:$CX$508,7,FALSE()))</f>
        <v/>
      </c>
      <c r="CZ101" s="104" t="str">
        <f aca="false">IF($CP101&gt;$CO$8,"",VLOOKUP($CP101,$CR$9:$CX$508,2,FALSE()))</f>
        <v/>
      </c>
      <c r="DA101" s="104" t="str">
        <f aca="false">IF($CP101&gt;$CO$8,"",VLOOKUP($CP101,$CR$9:$CX$508,3,FALSE()))</f>
        <v/>
      </c>
      <c r="DB101" s="104" t="str">
        <f aca="false">IF($CP101&gt;$CO$8,"",VLOOKUP($CP101,$CR$9:$CX$508,4,FALSE()))</f>
        <v/>
      </c>
      <c r="DC101" s="104" t="str">
        <f aca="false">IF($CP101&gt;$CO$8,"",VLOOKUP($CP101,$CR$9:$CX$508,5,FALSE()))</f>
        <v/>
      </c>
      <c r="DD101" s="105" t="str">
        <f aca="false">IF($CP101&gt;$CO$8,"",VLOOKUP($CP101,$CR$9:$CX$508,6,FALSE()))</f>
        <v/>
      </c>
      <c r="DE101" s="70"/>
    </row>
    <row r="102" customFormat="false" ht="15.75" hidden="false" customHeight="false" outlineLevel="0" collapsed="false">
      <c r="A102" s="8"/>
      <c r="B102" s="146"/>
      <c r="C102" s="147"/>
      <c r="D102" s="148"/>
      <c r="E102" s="164"/>
      <c r="F102" s="150"/>
      <c r="G102" s="115"/>
      <c r="H102" s="115"/>
      <c r="I102" s="115"/>
      <c r="J102" s="165"/>
      <c r="K102" s="154"/>
      <c r="L102" s="154"/>
      <c r="M102" s="118"/>
      <c r="N102" s="154"/>
      <c r="O102" s="153"/>
      <c r="P102" s="154"/>
      <c r="Q102" s="154"/>
      <c r="R102" s="154"/>
      <c r="S102" s="115"/>
      <c r="T102" s="154"/>
      <c r="U102" s="153"/>
      <c r="V102" s="154"/>
      <c r="W102" s="123"/>
      <c r="X102" s="124" t="str">
        <f aca="false">IF(ISBLANK($C102),"",IF($E102=Constants!$B$2,TRUE(),IF($E102=Constants!$B$3,FALSE(),TRUE())))</f>
        <v/>
      </c>
      <c r="Y102" s="124" t="str">
        <f aca="false">IF(ISBLANK($C102),"",IF($F102=Constants!$B$2,TRUE(),IF($F102=Constants!$B$3,FALSE(),TRUE())))</f>
        <v/>
      </c>
      <c r="Z102" s="125" t="str">
        <f aca="false">IF(ISBLANK($C102),"",IF(ISNUMBER($G102),IF($G102&gt;=0,$G102,""),""))</f>
        <v/>
      </c>
      <c r="AA102" s="125" t="str">
        <f aca="false">IF(ISBLANK($C102),"",IF(ISNUMBER($H102),IF($H102&gt;=0,$H102,""),""))</f>
        <v/>
      </c>
      <c r="AB102" s="125" t="str">
        <f aca="false">IF(ISBLANK($C102),"",IF(ISNUMBER($I102),IF($I102&gt;=0,$I102,""),""))</f>
        <v/>
      </c>
      <c r="AC102" s="124" t="str">
        <f aca="false">IF(ISBLANK($C102),"",IF($J102=Constants!$B$2,TRUE(),IF($J102=Constants!$B$3,FALSE(),TRUE())))</f>
        <v/>
      </c>
      <c r="AD102" s="124" t="str">
        <f aca="false">IF(ISBLANK($C102),"",IF($K102=Constants!$B$2,TRUE(),IF($K102=Constants!$B$3,FALSE(),TRUE())))</f>
        <v/>
      </c>
      <c r="AE102" s="124" t="str">
        <f aca="false">IF(ISBLANK($C102),"",IF($L102=Constants!$B$2,TRUE(),IF($L102=Constants!$B$3,FALSE(),TRUE())))</f>
        <v/>
      </c>
      <c r="AF102" s="126" t="str">
        <f aca="false">IF(ISBLANK($C102),"",IF(ISNUMBER($M102),IF($M102&gt;=0,$M102,""),""))</f>
        <v/>
      </c>
      <c r="AG102" s="124" t="str">
        <f aca="false">IF(ISBLANK($C102),"",IF(ISBLANK($N102),0,IF(ISNUMBER($N102),IF(AND($N102&gt;=0,$N102&lt;=Constants!$B$17,$N102=INT($N102)),$N102,""),"")))</f>
        <v/>
      </c>
      <c r="AH102" s="125" t="str">
        <f aca="false">IF(ISBLANK($C102),"",IF(ISBLANK($O102),0,IF(ISNUMBER($O102),IF($O102&gt;=0,$O102,""),"")))</f>
        <v/>
      </c>
      <c r="AI102" s="124" t="str">
        <f aca="false">IF(ISBLANK($C102),"",IF($P102=Constants!$B$2,TRUE(),IF($P102=Constants!$B$3,FALSE(),TRUE())))</f>
        <v/>
      </c>
      <c r="AJ102" s="124" t="str">
        <f aca="false">IF(ISBLANK($C102),"",IF($Q102=Constants!$B$2,TRUE(),IF($Q102=Constants!$B$3,FALSE(),TRUE())))</f>
        <v/>
      </c>
      <c r="AK102" s="124" t="str">
        <f aca="false">IF(ISBLANK($C102),"",IF($R102=Constants!$B$2,TRUE(),IF($R102=Constants!$B$3,FALSE(),TRUE())))</f>
        <v/>
      </c>
      <c r="AL102" s="126" t="str">
        <f aca="false">IF(ISBLANK($C102),"",IF(ISNUMBER($S102),IF($S102&gt;=0,$S102,""),""))</f>
        <v/>
      </c>
      <c r="AM102" s="124" t="str">
        <f aca="false">IF(ISBLANK($C102),"",IF(ISBLANK($T102),0,IF(ISNUMBER($T102),IF(AND($T102&gt;=0,$T102&lt;=Constants!$B$17,$T102=INT($T102)),$T102,""),"")))</f>
        <v/>
      </c>
      <c r="AN102" s="125" t="str">
        <f aca="false">IF(ISBLANK($C102),"",IF(ISBLANK($U102),0,IF(ISNUMBER($U102),IF($U102&gt;=0,$U102,""),"")))</f>
        <v/>
      </c>
      <c r="AO102" s="124" t="str">
        <f aca="false">IF(ISBLANK($C102),"",IF($V102=Constants!$B$2,TRUE(),IF($V102=Constants!$B$3,FALSE(),FALSE())))</f>
        <v/>
      </c>
      <c r="AP102" s="124"/>
      <c r="AQ102" s="123" t="str">
        <f aca="false">IF(ISBLANK($C102),"",AND($Y102,OR($AS102,$BC102),OR($Z102="",$AA102="",$AB102="")))</f>
        <v/>
      </c>
      <c r="AR102" s="123" t="str">
        <f aca="false">IF(ISBLANK($C102),"",IF(OR(NOT($Y102),NOT(OR($AS102,$BC102))),"",IF(ISBLANK($D$7),$AR$5,IF($AP$9="",$AR$6,""))))</f>
        <v/>
      </c>
      <c r="AS102" s="123" t="str">
        <f aca="false">IF(ISBLANK($C102),"",COUNTA($J102:$O102)&gt;0)</f>
        <v/>
      </c>
      <c r="AT102" s="123" t="str">
        <f aca="false">IF(ISBLANK($C102),"",AND($AS102,OR(AND($AF102="",OR($AE102,NOT(ISBLANK($M102)))),$AG102="",$AH102="")))</f>
        <v/>
      </c>
      <c r="AU102" s="125" t="str">
        <f aca="false">IF($BL102&lt;&gt;Constants!$B$4,"",IF(NOT($AS102),"",ROUND((Constants!$B$12-$AB102)+(Constants!$B$13-$Z102)+(Constants!$B$14-$AA102),1)))</f>
        <v/>
      </c>
      <c r="AV102" s="127" t="str">
        <f aca="false">IF($BL102&lt;&gt;Constants!$B$4,"",IF(NOT($AS102),"",IF(NOT($AE102),0,Constants!$B$15*(INT(ROUND(MIN($AF102,$AP$9),6))-INT(ROUND(MAX(0,MIN($AF102,2*$AP$9)-$AP$9),6))))))</f>
        <v/>
      </c>
      <c r="AW102" s="127" t="str">
        <f aca="false">IF($BL102&lt;&gt;Constants!$B$4,"",IF(NOT($AS102),"",Constants!$B$16*$AG102))</f>
        <v/>
      </c>
      <c r="AX102" s="127" t="str">
        <f aca="false">IF($BL102&lt;&gt;Constants!$B$4,"",IF(NOT($AS102),"",Constants!$B$18*INT(ROUND($AH102,6))))</f>
        <v/>
      </c>
      <c r="AY102" s="123" t="str">
        <f aca="false">IF($BL102&lt;&gt;Constants!$B$4,"",IF(NOT($AS102),"",IF(NOT($X102),Constants!$B$11,IF(OR(NOT($AC102),NOT($AD102),ROUND($AB102,1)&gt;Constants!$B$12,ROUND($Z102,1)&gt;Constants!$B$13,ROUND($AA102,1)&gt;Constants!$B$14),Constants!$B$10,Constants!$B$9))))</f>
        <v/>
      </c>
      <c r="AZ102" s="128" t="str">
        <f aca="false">IF($BL102&lt;&gt;Constants!$B$4,"",IF(NOT($AS102),"",ROUND($AU102+$AV102+$AW102+$AX102,1)))</f>
        <v/>
      </c>
      <c r="BA102" s="129" t="str">
        <f aca="false">IF($BL102&lt;&gt;Constants!$B$4,"",IF(NOT($AS102),"",IF(ISNUMBER($AF102),$AF102,0)))</f>
        <v/>
      </c>
      <c r="BB102" s="124" t="str">
        <f aca="false">IF($BL102&lt;&gt;Constants!$B$4,"",IF(NOT($BC102),"&lt;-",IF(NOT($AS102),"-&gt;",IF(OR($BI102&lt;$AY102,AND($BI102=$AY102,OR($BJ102&gt;$AZ102,AND($BJ102=$AZ102,OR($BH102&gt;$AX102,AND($BH102=$AX102,OR($BE102&gt;$AU102,AND($BE102=$AU102,OR($BF102&gt;$AV102,AND($BF102=$AV102,$BK102&gt;$BA102)))))))))),"-&gt;","&lt;-"))))</f>
        <v/>
      </c>
      <c r="BC102" s="123" t="str">
        <f aca="false">IF(ISBLANK($C102),"",COUNTA($P102:$U102)&gt;0)</f>
        <v/>
      </c>
      <c r="BD102" s="123" t="str">
        <f aca="false">IF(ISBLANK($C102),"",AND($BC102,OR(AND($AL102="",OR($AK102,NOT(ISBLANK($S102)))),$AM102="",$AN102="")))</f>
        <v/>
      </c>
      <c r="BE102" s="125" t="str">
        <f aca="false">IF($BL102&lt;&gt;Constants!$B$4,"",IF(NOT($BC102),"",ROUND((Constants!$B$12-$AB102)+(Constants!$B$13-$Z102)+(Constants!$B$14-$AA102),1)))</f>
        <v/>
      </c>
      <c r="BF102" s="127" t="str">
        <f aca="false">IF($BL102&lt;&gt;Constants!$B$4,"",IF(NOT($BC102),"",IF(NOT($AK102),0,Constants!$B$15*(INT(ROUND(MIN($AL102,$AP$9),6))-INT(ROUND(MAX(0,MIN($AL102,2*$AP$9)-$AP$9),6))))))</f>
        <v/>
      </c>
      <c r="BG102" s="127" t="str">
        <f aca="false">IF($BL102&lt;&gt;Constants!$B$4,"",IF(NOT($BC102),"",Constants!$B$16*$AM102))</f>
        <v/>
      </c>
      <c r="BH102" s="127" t="str">
        <f aca="false">IF($BL102&lt;&gt;Constants!$B$4,"",IF(NOT($BC102),"",Constants!$B$18*INT(ROUND($AN102,6))))</f>
        <v/>
      </c>
      <c r="BI102" s="123" t="str">
        <f aca="false">IF($BL102&lt;&gt;Constants!$B$4,"",IF(NOT($BC102),"",IF(NOT($X102),Constants!$B$11,IF(OR(NOT($AI102),NOT($AJ102),ROUND($AB102,1)&gt;Constants!$B$12,ROUND($Z102,1)&gt;Constants!$B$13,ROUND($AA102,1)&gt;Constants!$B$14),Constants!$B$10,Constants!$B$9))))</f>
        <v/>
      </c>
      <c r="BJ102" s="128" t="str">
        <f aca="false">IF($BL102&lt;&gt;Constants!$B$4,"",IF(NOT($BC102),"",ROUND($BE102+$BF102+$BG102+$BH102,1)))</f>
        <v/>
      </c>
      <c r="BK102" s="129" t="str">
        <f aca="false">IF($BL102&lt;&gt;Constants!$B$4,"",IF(NOT($BC102),"",IF(ISNUMBER($AL102),$AL102,0)))</f>
        <v/>
      </c>
      <c r="BL102" s="124" t="str">
        <f aca="false">IF(ISBLANK($C102),"",IF($AO102,Constants!$B$7,IF(COUNTA($E102:$V102)=0,Constants!$B$6,IF(NOT($Y102),Constants!$B$5,IF(NOT(OR($AS102,$BC102)),Constants!$B$5,IF(OR($AT102,$BD102,$AQ102,$AR102&lt;&gt;""),Constants!$B$8,Constants!$B$4))))))</f>
        <v/>
      </c>
      <c r="BM102" s="124" t="str">
        <f aca="false">IF(ISBLANK($C102),"",IF($BL102&lt;&gt;Constants!$B$4,$BL102,IF($BB102="-&gt;",$BI102,$AY102)))</f>
        <v/>
      </c>
      <c r="BN102" s="127" t="str">
        <f aca="false">IF($BL102&lt;&gt;Constants!$B$4,"",IF($BB102="-&gt;",$BJ102,$AZ102))</f>
        <v/>
      </c>
      <c r="BO102" s="127" t="str">
        <f aca="false">IF(ISBLANK($C102),"",IF($BL102&lt;&gt;Constants!$B$4,$BL102,$BN102))</f>
        <v/>
      </c>
      <c r="BP102" s="124" t="str">
        <f aca="false">IF(ISBLANK($C102),"",IF($BL102&lt;&gt;Constants!$B$4,$BL102,RANK($BO102,$BO$9:$BO$508,0)))</f>
        <v/>
      </c>
      <c r="BQ102" s="124" t="str">
        <f aca="false">IF(ISBLANK($C102),"",IF($BL102&lt;&gt;Constants!$B$4,$BL102,COUNTIFS($BM$9:$BM$508,"&lt;"&amp;$BM102)+COUNTIFS($BM$9:$BM$508,$BM102,$BP$9:$BP$508,"&lt;"&amp;$BP102)+1))</f>
        <v/>
      </c>
      <c r="BR102" s="127" t="str">
        <f aca="false">IF($BL102&lt;&gt;Constants!$B$4,"",IF($BB102="-&gt;",$BH102,$AX102))</f>
        <v/>
      </c>
      <c r="BS102" s="124" t="str">
        <f aca="false">IF(ISBLANK($C102),"",IF($BL102&lt;&gt;Constants!$B$4,$BL102,IF(ISNUMBER($BR102),RANK($BR102,$BR$9:$BR$508,0),COUNT($BR$9:$BR$508)+1)))</f>
        <v/>
      </c>
      <c r="BT102" s="127" t="str">
        <f aca="false">IF($BL102&lt;&gt;Constants!$B$4,"",IF($BB102="-&gt;",$BE102,$AU102))</f>
        <v/>
      </c>
      <c r="BU102" s="124" t="str">
        <f aca="false">IF(ISBLANK($C102),"",IF($BL102&lt;&gt;Constants!$B$4,$BL102,IF(ISNUMBER($BT102),RANK($BT102,$BT$9:$BT$508,0),COUNT($BT$9:$BT$508)+1)))</f>
        <v/>
      </c>
      <c r="BV102" s="127" t="str">
        <f aca="false">IF($BL102&lt;&gt;Constants!$B$4,"",IF($BB102="-&gt;",$BF102,$AV102))</f>
        <v/>
      </c>
      <c r="BW102" s="124" t="str">
        <f aca="false">IF(ISBLANK($C102),"",IF($BL102&lt;&gt;Constants!$B$4,$BL102,IF(ISNUMBER($BV102),RANK($BV102,$BV$9:$BV$508,0),COUNT($BV$9:$BV$508)+1)))</f>
        <v/>
      </c>
      <c r="BX102" s="127" t="str">
        <f aca="false">IF($BL102&lt;&gt;Constants!$B$4,"",IF($BB102="-&gt;",$BK102,$BA102))</f>
        <v/>
      </c>
      <c r="BY102" s="124" t="str">
        <f aca="false">IF(ISBLANK($C102),"",IF($BL102&lt;&gt;Constants!$B$4,$BL102,IF(ISNUMBER($BX102),RANK($BX102,$BX$9:$BX$508,0),COUNT($BX$9:$BX$508)+1)))</f>
        <v/>
      </c>
      <c r="BZ102" s="124" t="str">
        <f aca="false">IF(ISBLANK($C102),"",IF($BL102&lt;&gt;Constants!$B$4,$BL102,COUNTIFS($BM$9:$BM$508,"&lt;"&amp;$BM102)+COUNTIFS($BM$9:$BM$508,$BM102,$BP$9:$BP$508,"&lt;"&amp;$BP102)+COUNTIFS($BM$9:$BM$508,$BM102,$BP$9:$BP$508,$BP102,$BS$9:$BS$508,"&lt;"&amp;$BS102)+COUNTIFS($BM$9:$BM$508,$BM102,$BP$9:$BP$508,$BP102,$BS$9:$BS$508,$BS102,$BU$9:$BU$508,"&lt;"&amp;$BU102)+COUNTIFS($BM$9:$BM$508,$BM102,$BP$9:$BP$508,$BP102,$BS$9:$BS$508,$BS102,$BU$9:$BU$508,$BU102,$BW$9:$BW$508,"&lt;"&amp;$BW102)+COUNTIFS($BM$9:$BM$508,$BM102,$BP$9:$BP$508,$BP102,$BS$9:$BS$508,$BS102,$BU$9:$BU$508,$BU102,$BW$9:$BW$508,$BW102,$BY$9:$BY$508,"&lt;"&amp;$BY102)+1))</f>
        <v/>
      </c>
      <c r="CA102" s="124" t="str">
        <f aca="false">IF(ISBLANK($C102),"",IF($BL102&lt;&gt;Constants!$B$4,$BL102,$BQ102-$BZ102))</f>
        <v/>
      </c>
      <c r="CB102" s="130"/>
      <c r="CC102" s="131" t="str">
        <f aca="false">IF(ISBLANK($C102),"",IF($BL102=Constants!$B$8,$AR102,""))</f>
        <v/>
      </c>
      <c r="CD102" s="131" t="str">
        <f aca="false">IF(ISBLANK($C102),"",IF($BL102&lt;&gt;Constants!$B$4,"",IF($BB102="-&gt;",2,1)))</f>
        <v/>
      </c>
      <c r="CE102" s="132" t="str">
        <f aca="false">IF(ISBLANK($C102),"",IF($BL102&lt;&gt;Constants!$B$4,"",IF($BB102="-&gt;",$BE102,$AU102)))</f>
        <v/>
      </c>
      <c r="CF102" s="132" t="str">
        <f aca="false">IF(ISBLANK($C102),"",IF($BL102&lt;&gt;Constants!$B$4,"",IF($BB102="-&gt;",$BF102,$AV102)))</f>
        <v/>
      </c>
      <c r="CG102" s="132" t="str">
        <f aca="false">IF(ISBLANK($C102),"",IF($BL102&lt;&gt;Constants!$B$4,"",IF($BB102="-&gt;",$BG102,$AW102)))</f>
        <v/>
      </c>
      <c r="CH102" s="132" t="str">
        <f aca="false">IF(ISBLANK($C102),"",IF($BL102&lt;&gt;Constants!$B$4,"",IF($BB102="-&gt;",$BH102,$AX102)))</f>
        <v/>
      </c>
      <c r="CI102" s="133" t="str">
        <f aca="false">IF(ISBLANK($C102),"",$BO102)</f>
        <v/>
      </c>
      <c r="CJ102" s="134" t="str">
        <f aca="false">IF(ISBLANK($C102),"",$BM102)</f>
        <v/>
      </c>
      <c r="CK102" s="135" t="str">
        <f aca="false">IF(ISBLANK($C102),"",$CA102)</f>
        <v/>
      </c>
      <c r="CL102" s="135" t="str">
        <f aca="false">IF(ISBLANK($C102),"",$BZ102)</f>
        <v/>
      </c>
      <c r="CM102" s="136" t="str">
        <f aca="false">IF(ISBLANK($C102),"",IF($CL102=Constants!$B$7,COUNTA($C$9:$C$508)+2,IF($CL102=Constants!$B$6,COUNTA($C$9:$C$508)+1,IF($CL102=Constants!$B$5,COUNTA($C$9:$C$508),$CL102))))</f>
        <v/>
      </c>
      <c r="CN102" s="8"/>
      <c r="CO102" s="137" t="n">
        <f aca="false">IF(OR(ISNUMBER($CL102),$CL102=Constants!$B$7,$CL102=Constants!$B$5,$CL102=Constants!$B$6),1,0)</f>
        <v>0</v>
      </c>
      <c r="CP102" s="137" t="n">
        <v>94</v>
      </c>
      <c r="CQ102" s="137" t="str">
        <f aca="false">IF(ISBLANK($C102),"",IF(ISNUMBER($CM102),$CM102+ROW($B102)/1000,""))</f>
        <v/>
      </c>
      <c r="CR102" s="137" t="str">
        <f aca="false">IF(ISNUMBER($CQ102),RANK($CQ102,$CQ$9:$CQ$508,1),"")</f>
        <v/>
      </c>
      <c r="CS102" s="137" t="str">
        <f aca="false">IF(ISBLANK($C102),"",$B102)</f>
        <v/>
      </c>
      <c r="CT102" s="137" t="str">
        <f aca="false">IF(ISBLANK($C102),"",$C102)</f>
        <v/>
      </c>
      <c r="CU102" s="137" t="str">
        <f aca="false">IF(ISBLANK($C102),"",$D102)</f>
        <v/>
      </c>
      <c r="CV102" s="138" t="str">
        <f aca="false">$CJ102</f>
        <v/>
      </c>
      <c r="CW102" s="139" t="str">
        <f aca="false">$CI102</f>
        <v/>
      </c>
      <c r="CX102" s="137" t="str">
        <f aca="false">IF(ISBLANK($C102),"",$CL102)</f>
        <v/>
      </c>
      <c r="CY102" s="140" t="str">
        <f aca="false">IF($CP102&gt;$CO$8,"",VLOOKUP($CP102,$CR$9:$CX$508,7,FALSE()))</f>
        <v/>
      </c>
      <c r="CZ102" s="141" t="str">
        <f aca="false">IF($CP102&gt;$CO$8,"",VLOOKUP($CP102,$CR$9:$CX$508,2,FALSE()))</f>
        <v/>
      </c>
      <c r="DA102" s="141" t="str">
        <f aca="false">IF($CP102&gt;$CO$8,"",VLOOKUP($CP102,$CR$9:$CX$508,3,FALSE()))</f>
        <v/>
      </c>
      <c r="DB102" s="141" t="str">
        <f aca="false">IF($CP102&gt;$CO$8,"",VLOOKUP($CP102,$CR$9:$CX$508,4,FALSE()))</f>
        <v/>
      </c>
      <c r="DC102" s="141" t="str">
        <f aca="false">IF($CP102&gt;$CO$8,"",VLOOKUP($CP102,$CR$9:$CX$508,5,FALSE()))</f>
        <v/>
      </c>
      <c r="DD102" s="142" t="str">
        <f aca="false">IF($CP102&gt;$CO$8,"",VLOOKUP($CP102,$CR$9:$CX$508,6,FALSE()))</f>
        <v/>
      </c>
      <c r="DE102" s="70"/>
    </row>
    <row r="103" customFormat="false" ht="15.75" hidden="false" customHeight="false" outlineLevel="0" collapsed="false">
      <c r="A103" s="8"/>
      <c r="B103" s="146"/>
      <c r="C103" s="147"/>
      <c r="D103" s="148"/>
      <c r="E103" s="164"/>
      <c r="F103" s="150"/>
      <c r="G103" s="115"/>
      <c r="H103" s="115"/>
      <c r="I103" s="115"/>
      <c r="J103" s="165"/>
      <c r="K103" s="154"/>
      <c r="L103" s="154"/>
      <c r="M103" s="118"/>
      <c r="N103" s="154"/>
      <c r="O103" s="153"/>
      <c r="P103" s="154"/>
      <c r="Q103" s="154"/>
      <c r="R103" s="154"/>
      <c r="S103" s="115"/>
      <c r="T103" s="154"/>
      <c r="U103" s="153"/>
      <c r="V103" s="154"/>
      <c r="W103" s="123"/>
      <c r="X103" s="124" t="str">
        <f aca="false">IF(ISBLANK($C103),"",IF($E103=Constants!$B$2,TRUE(),IF($E103=Constants!$B$3,FALSE(),TRUE())))</f>
        <v/>
      </c>
      <c r="Y103" s="124" t="str">
        <f aca="false">IF(ISBLANK($C103),"",IF($F103=Constants!$B$2,TRUE(),IF($F103=Constants!$B$3,FALSE(),TRUE())))</f>
        <v/>
      </c>
      <c r="Z103" s="125" t="str">
        <f aca="false">IF(ISBLANK($C103),"",IF(ISNUMBER($G103),IF($G103&gt;=0,$G103,""),""))</f>
        <v/>
      </c>
      <c r="AA103" s="125" t="str">
        <f aca="false">IF(ISBLANK($C103),"",IF(ISNUMBER($H103),IF($H103&gt;=0,$H103,""),""))</f>
        <v/>
      </c>
      <c r="AB103" s="125" t="str">
        <f aca="false">IF(ISBLANK($C103),"",IF(ISNUMBER($I103),IF($I103&gt;=0,$I103,""),""))</f>
        <v/>
      </c>
      <c r="AC103" s="124" t="str">
        <f aca="false">IF(ISBLANK($C103),"",IF($J103=Constants!$B$2,TRUE(),IF($J103=Constants!$B$3,FALSE(),TRUE())))</f>
        <v/>
      </c>
      <c r="AD103" s="124" t="str">
        <f aca="false">IF(ISBLANK($C103),"",IF($K103=Constants!$B$2,TRUE(),IF($K103=Constants!$B$3,FALSE(),TRUE())))</f>
        <v/>
      </c>
      <c r="AE103" s="124" t="str">
        <f aca="false">IF(ISBLANK($C103),"",IF($L103=Constants!$B$2,TRUE(),IF($L103=Constants!$B$3,FALSE(),TRUE())))</f>
        <v/>
      </c>
      <c r="AF103" s="126" t="str">
        <f aca="false">IF(ISBLANK($C103),"",IF(ISNUMBER($M103),IF($M103&gt;=0,$M103,""),""))</f>
        <v/>
      </c>
      <c r="AG103" s="124" t="str">
        <f aca="false">IF(ISBLANK($C103),"",IF(ISBLANK($N103),0,IF(ISNUMBER($N103),IF(AND($N103&gt;=0,$N103&lt;=Constants!$B$17,$N103=INT($N103)),$N103,""),"")))</f>
        <v/>
      </c>
      <c r="AH103" s="125" t="str">
        <f aca="false">IF(ISBLANK($C103),"",IF(ISBLANK($O103),0,IF(ISNUMBER($O103),IF($O103&gt;=0,$O103,""),"")))</f>
        <v/>
      </c>
      <c r="AI103" s="124" t="str">
        <f aca="false">IF(ISBLANK($C103),"",IF($P103=Constants!$B$2,TRUE(),IF($P103=Constants!$B$3,FALSE(),TRUE())))</f>
        <v/>
      </c>
      <c r="AJ103" s="124" t="str">
        <f aca="false">IF(ISBLANK($C103),"",IF($Q103=Constants!$B$2,TRUE(),IF($Q103=Constants!$B$3,FALSE(),TRUE())))</f>
        <v/>
      </c>
      <c r="AK103" s="124" t="str">
        <f aca="false">IF(ISBLANK($C103),"",IF($R103=Constants!$B$2,TRUE(),IF($R103=Constants!$B$3,FALSE(),TRUE())))</f>
        <v/>
      </c>
      <c r="AL103" s="126" t="str">
        <f aca="false">IF(ISBLANK($C103),"",IF(ISNUMBER($S103),IF($S103&gt;=0,$S103,""),""))</f>
        <v/>
      </c>
      <c r="AM103" s="124" t="str">
        <f aca="false">IF(ISBLANK($C103),"",IF(ISBLANK($T103),0,IF(ISNUMBER($T103),IF(AND($T103&gt;=0,$T103&lt;=Constants!$B$17,$T103=INT($T103)),$T103,""),"")))</f>
        <v/>
      </c>
      <c r="AN103" s="125" t="str">
        <f aca="false">IF(ISBLANK($C103),"",IF(ISBLANK($U103),0,IF(ISNUMBER($U103),IF($U103&gt;=0,$U103,""),"")))</f>
        <v/>
      </c>
      <c r="AO103" s="124" t="str">
        <f aca="false">IF(ISBLANK($C103),"",IF($V103=Constants!$B$2,TRUE(),IF($V103=Constants!$B$3,FALSE(),FALSE())))</f>
        <v/>
      </c>
      <c r="AP103" s="124"/>
      <c r="AQ103" s="123" t="str">
        <f aca="false">IF(ISBLANK($C103),"",AND($Y103,OR($AS103,$BC103),OR($Z103="",$AA103="",$AB103="")))</f>
        <v/>
      </c>
      <c r="AR103" s="123" t="str">
        <f aca="false">IF(ISBLANK($C103),"",IF(OR(NOT($Y103),NOT(OR($AS103,$BC103))),"",IF(ISBLANK($D$7),$AR$5,IF($AP$9="",$AR$6,""))))</f>
        <v/>
      </c>
      <c r="AS103" s="123" t="str">
        <f aca="false">IF(ISBLANK($C103),"",COUNTA($J103:$O103)&gt;0)</f>
        <v/>
      </c>
      <c r="AT103" s="123" t="str">
        <f aca="false">IF(ISBLANK($C103),"",AND($AS103,OR(AND($AF103="",OR($AE103,NOT(ISBLANK($M103)))),$AG103="",$AH103="")))</f>
        <v/>
      </c>
      <c r="AU103" s="125" t="str">
        <f aca="false">IF($BL103&lt;&gt;Constants!$B$4,"",IF(NOT($AS103),"",ROUND((Constants!$B$12-$AB103)+(Constants!$B$13-$Z103)+(Constants!$B$14-$AA103),1)))</f>
        <v/>
      </c>
      <c r="AV103" s="127" t="str">
        <f aca="false">IF($BL103&lt;&gt;Constants!$B$4,"",IF(NOT($AS103),"",IF(NOT($AE103),0,Constants!$B$15*(INT(ROUND(MIN($AF103,$AP$9),6))-INT(ROUND(MAX(0,MIN($AF103,2*$AP$9)-$AP$9),6))))))</f>
        <v/>
      </c>
      <c r="AW103" s="127" t="str">
        <f aca="false">IF($BL103&lt;&gt;Constants!$B$4,"",IF(NOT($AS103),"",Constants!$B$16*$AG103))</f>
        <v/>
      </c>
      <c r="AX103" s="127" t="str">
        <f aca="false">IF($BL103&lt;&gt;Constants!$B$4,"",IF(NOT($AS103),"",Constants!$B$18*INT(ROUND($AH103,6))))</f>
        <v/>
      </c>
      <c r="AY103" s="123" t="str">
        <f aca="false">IF($BL103&lt;&gt;Constants!$B$4,"",IF(NOT($AS103),"",IF(NOT($X103),Constants!$B$11,IF(OR(NOT($AC103),NOT($AD103),ROUND($AB103,1)&gt;Constants!$B$12,ROUND($Z103,1)&gt;Constants!$B$13,ROUND($AA103,1)&gt;Constants!$B$14),Constants!$B$10,Constants!$B$9))))</f>
        <v/>
      </c>
      <c r="AZ103" s="128" t="str">
        <f aca="false">IF($BL103&lt;&gt;Constants!$B$4,"",IF(NOT($AS103),"",ROUND($AU103+$AV103+$AW103+$AX103,1)))</f>
        <v/>
      </c>
      <c r="BA103" s="129" t="str">
        <f aca="false">IF($BL103&lt;&gt;Constants!$B$4,"",IF(NOT($AS103),"",IF(ISNUMBER($AF103),$AF103,0)))</f>
        <v/>
      </c>
      <c r="BB103" s="124" t="str">
        <f aca="false">IF($BL103&lt;&gt;Constants!$B$4,"",IF(NOT($BC103),"&lt;-",IF(NOT($AS103),"-&gt;",IF(OR($BI103&lt;$AY103,AND($BI103=$AY103,OR($BJ103&gt;$AZ103,AND($BJ103=$AZ103,OR($BH103&gt;$AX103,AND($BH103=$AX103,OR($BE103&gt;$AU103,AND($BE103=$AU103,OR($BF103&gt;$AV103,AND($BF103=$AV103,$BK103&gt;$BA103)))))))))),"-&gt;","&lt;-"))))</f>
        <v/>
      </c>
      <c r="BC103" s="123" t="str">
        <f aca="false">IF(ISBLANK($C103),"",COUNTA($P103:$U103)&gt;0)</f>
        <v/>
      </c>
      <c r="BD103" s="123" t="str">
        <f aca="false">IF(ISBLANK($C103),"",AND($BC103,OR(AND($AL103="",OR($AK103,NOT(ISBLANK($S103)))),$AM103="",$AN103="")))</f>
        <v/>
      </c>
      <c r="BE103" s="125" t="str">
        <f aca="false">IF($BL103&lt;&gt;Constants!$B$4,"",IF(NOT($BC103),"",ROUND((Constants!$B$12-$AB103)+(Constants!$B$13-$Z103)+(Constants!$B$14-$AA103),1)))</f>
        <v/>
      </c>
      <c r="BF103" s="127" t="str">
        <f aca="false">IF($BL103&lt;&gt;Constants!$B$4,"",IF(NOT($BC103),"",IF(NOT($AK103),0,Constants!$B$15*(INT(ROUND(MIN($AL103,$AP$9),6))-INT(ROUND(MAX(0,MIN($AL103,2*$AP$9)-$AP$9),6))))))</f>
        <v/>
      </c>
      <c r="BG103" s="127" t="str">
        <f aca="false">IF($BL103&lt;&gt;Constants!$B$4,"",IF(NOT($BC103),"",Constants!$B$16*$AM103))</f>
        <v/>
      </c>
      <c r="BH103" s="127" t="str">
        <f aca="false">IF($BL103&lt;&gt;Constants!$B$4,"",IF(NOT($BC103),"",Constants!$B$18*INT(ROUND($AN103,6))))</f>
        <v/>
      </c>
      <c r="BI103" s="123" t="str">
        <f aca="false">IF($BL103&lt;&gt;Constants!$B$4,"",IF(NOT($BC103),"",IF(NOT($X103),Constants!$B$11,IF(OR(NOT($AI103),NOT($AJ103),ROUND($AB103,1)&gt;Constants!$B$12,ROUND($Z103,1)&gt;Constants!$B$13,ROUND($AA103,1)&gt;Constants!$B$14),Constants!$B$10,Constants!$B$9))))</f>
        <v/>
      </c>
      <c r="BJ103" s="128" t="str">
        <f aca="false">IF($BL103&lt;&gt;Constants!$B$4,"",IF(NOT($BC103),"",ROUND($BE103+$BF103+$BG103+$BH103,1)))</f>
        <v/>
      </c>
      <c r="BK103" s="129" t="str">
        <f aca="false">IF($BL103&lt;&gt;Constants!$B$4,"",IF(NOT($BC103),"",IF(ISNUMBER($AL103),$AL103,0)))</f>
        <v/>
      </c>
      <c r="BL103" s="124" t="str">
        <f aca="false">IF(ISBLANK($C103),"",IF($AO103,Constants!$B$7,IF(COUNTA($E103:$V103)=0,Constants!$B$6,IF(NOT($Y103),Constants!$B$5,IF(NOT(OR($AS103,$BC103)),Constants!$B$5,IF(OR($AT103,$BD103,$AQ103,$AR103&lt;&gt;""),Constants!$B$8,Constants!$B$4))))))</f>
        <v/>
      </c>
      <c r="BM103" s="124" t="str">
        <f aca="false">IF(ISBLANK($C103),"",IF($BL103&lt;&gt;Constants!$B$4,$BL103,IF($BB103="-&gt;",$BI103,$AY103)))</f>
        <v/>
      </c>
      <c r="BN103" s="127" t="str">
        <f aca="false">IF($BL103&lt;&gt;Constants!$B$4,"",IF($BB103="-&gt;",$BJ103,$AZ103))</f>
        <v/>
      </c>
      <c r="BO103" s="127" t="str">
        <f aca="false">IF(ISBLANK($C103),"",IF($BL103&lt;&gt;Constants!$B$4,$BL103,$BN103))</f>
        <v/>
      </c>
      <c r="BP103" s="124" t="str">
        <f aca="false">IF(ISBLANK($C103),"",IF($BL103&lt;&gt;Constants!$B$4,$BL103,RANK($BO103,$BO$9:$BO$508,0)))</f>
        <v/>
      </c>
      <c r="BQ103" s="124" t="str">
        <f aca="false">IF(ISBLANK($C103),"",IF($BL103&lt;&gt;Constants!$B$4,$BL103,COUNTIFS($BM$9:$BM$508,"&lt;"&amp;$BM103)+COUNTIFS($BM$9:$BM$508,$BM103,$BP$9:$BP$508,"&lt;"&amp;$BP103)+1))</f>
        <v/>
      </c>
      <c r="BR103" s="127" t="str">
        <f aca="false">IF($BL103&lt;&gt;Constants!$B$4,"",IF($BB103="-&gt;",$BH103,$AX103))</f>
        <v/>
      </c>
      <c r="BS103" s="124" t="str">
        <f aca="false">IF(ISBLANK($C103),"",IF($BL103&lt;&gt;Constants!$B$4,$BL103,IF(ISNUMBER($BR103),RANK($BR103,$BR$9:$BR$508,0),COUNT($BR$9:$BR$508)+1)))</f>
        <v/>
      </c>
      <c r="BT103" s="127" t="str">
        <f aca="false">IF($BL103&lt;&gt;Constants!$B$4,"",IF($BB103="-&gt;",$BE103,$AU103))</f>
        <v/>
      </c>
      <c r="BU103" s="124" t="str">
        <f aca="false">IF(ISBLANK($C103),"",IF($BL103&lt;&gt;Constants!$B$4,$BL103,IF(ISNUMBER($BT103),RANK($BT103,$BT$9:$BT$508,0),COUNT($BT$9:$BT$508)+1)))</f>
        <v/>
      </c>
      <c r="BV103" s="127" t="str">
        <f aca="false">IF($BL103&lt;&gt;Constants!$B$4,"",IF($BB103="-&gt;",$BF103,$AV103))</f>
        <v/>
      </c>
      <c r="BW103" s="124" t="str">
        <f aca="false">IF(ISBLANK($C103),"",IF($BL103&lt;&gt;Constants!$B$4,$BL103,IF(ISNUMBER($BV103),RANK($BV103,$BV$9:$BV$508,0),COUNT($BV$9:$BV$508)+1)))</f>
        <v/>
      </c>
      <c r="BX103" s="127" t="str">
        <f aca="false">IF($BL103&lt;&gt;Constants!$B$4,"",IF($BB103="-&gt;",$BK103,$BA103))</f>
        <v/>
      </c>
      <c r="BY103" s="124" t="str">
        <f aca="false">IF(ISBLANK($C103),"",IF($BL103&lt;&gt;Constants!$B$4,$BL103,IF(ISNUMBER($BX103),RANK($BX103,$BX$9:$BX$508,0),COUNT($BX$9:$BX$508)+1)))</f>
        <v/>
      </c>
      <c r="BZ103" s="124" t="str">
        <f aca="false">IF(ISBLANK($C103),"",IF($BL103&lt;&gt;Constants!$B$4,$BL103,COUNTIFS($BM$9:$BM$508,"&lt;"&amp;$BM103)+COUNTIFS($BM$9:$BM$508,$BM103,$BP$9:$BP$508,"&lt;"&amp;$BP103)+COUNTIFS($BM$9:$BM$508,$BM103,$BP$9:$BP$508,$BP103,$BS$9:$BS$508,"&lt;"&amp;$BS103)+COUNTIFS($BM$9:$BM$508,$BM103,$BP$9:$BP$508,$BP103,$BS$9:$BS$508,$BS103,$BU$9:$BU$508,"&lt;"&amp;$BU103)+COUNTIFS($BM$9:$BM$508,$BM103,$BP$9:$BP$508,$BP103,$BS$9:$BS$508,$BS103,$BU$9:$BU$508,$BU103,$BW$9:$BW$508,"&lt;"&amp;$BW103)+COUNTIFS($BM$9:$BM$508,$BM103,$BP$9:$BP$508,$BP103,$BS$9:$BS$508,$BS103,$BU$9:$BU$508,$BU103,$BW$9:$BW$508,$BW103,$BY$9:$BY$508,"&lt;"&amp;$BY103)+1))</f>
        <v/>
      </c>
      <c r="CA103" s="124" t="str">
        <f aca="false">IF(ISBLANK($C103),"",IF($BL103&lt;&gt;Constants!$B$4,$BL103,$BQ103-$BZ103))</f>
        <v/>
      </c>
      <c r="CB103" s="130"/>
      <c r="CC103" s="131" t="str">
        <f aca="false">IF(ISBLANK($C103),"",IF($BL103=Constants!$B$8,$AR103,""))</f>
        <v/>
      </c>
      <c r="CD103" s="131" t="str">
        <f aca="false">IF(ISBLANK($C103),"",IF($BL103&lt;&gt;Constants!$B$4,"",IF($BB103="-&gt;",2,1)))</f>
        <v/>
      </c>
      <c r="CE103" s="132" t="str">
        <f aca="false">IF(ISBLANK($C103),"",IF($BL103&lt;&gt;Constants!$B$4,"",IF($BB103="-&gt;",$BE103,$AU103)))</f>
        <v/>
      </c>
      <c r="CF103" s="132" t="str">
        <f aca="false">IF(ISBLANK($C103),"",IF($BL103&lt;&gt;Constants!$B$4,"",IF($BB103="-&gt;",$BF103,$AV103)))</f>
        <v/>
      </c>
      <c r="CG103" s="132" t="str">
        <f aca="false">IF(ISBLANK($C103),"",IF($BL103&lt;&gt;Constants!$B$4,"",IF($BB103="-&gt;",$BG103,$AW103)))</f>
        <v/>
      </c>
      <c r="CH103" s="132" t="str">
        <f aca="false">IF(ISBLANK($C103),"",IF($BL103&lt;&gt;Constants!$B$4,"",IF($BB103="-&gt;",$BH103,$AX103)))</f>
        <v/>
      </c>
      <c r="CI103" s="133" t="str">
        <f aca="false">IF(ISBLANK($C103),"",$BO103)</f>
        <v/>
      </c>
      <c r="CJ103" s="134" t="str">
        <f aca="false">IF(ISBLANK($C103),"",$BM103)</f>
        <v/>
      </c>
      <c r="CK103" s="135" t="str">
        <f aca="false">IF(ISBLANK($C103),"",$CA103)</f>
        <v/>
      </c>
      <c r="CL103" s="135" t="str">
        <f aca="false">IF(ISBLANK($C103),"",$BZ103)</f>
        <v/>
      </c>
      <c r="CM103" s="136" t="str">
        <f aca="false">IF(ISBLANK($C103),"",IF($CL103=Constants!$B$7,COUNTA($C$9:$C$508)+2,IF($CL103=Constants!$B$6,COUNTA($C$9:$C$508)+1,IF($CL103=Constants!$B$5,COUNTA($C$9:$C$508),$CL103))))</f>
        <v/>
      </c>
      <c r="CN103" s="8"/>
      <c r="CO103" s="137" t="n">
        <f aca="false">IF(OR(ISNUMBER($CL103),$CL103=Constants!$B$7,$CL103=Constants!$B$5,$CL103=Constants!$B$6),1,0)</f>
        <v>0</v>
      </c>
      <c r="CP103" s="137" t="n">
        <v>95</v>
      </c>
      <c r="CQ103" s="137" t="str">
        <f aca="false">IF(ISBLANK($C103),"",IF(ISNUMBER($CM103),$CM103+ROW($B103)/1000,""))</f>
        <v/>
      </c>
      <c r="CR103" s="137" t="str">
        <f aca="false">IF(ISNUMBER($CQ103),RANK($CQ103,$CQ$9:$CQ$508,1),"")</f>
        <v/>
      </c>
      <c r="CS103" s="137" t="str">
        <f aca="false">IF(ISBLANK($C103),"",$B103)</f>
        <v/>
      </c>
      <c r="CT103" s="137" t="str">
        <f aca="false">IF(ISBLANK($C103),"",$C103)</f>
        <v/>
      </c>
      <c r="CU103" s="137" t="str">
        <f aca="false">IF(ISBLANK($C103),"",$D103)</f>
        <v/>
      </c>
      <c r="CV103" s="138" t="str">
        <f aca="false">$CJ103</f>
        <v/>
      </c>
      <c r="CW103" s="139" t="str">
        <f aca="false">$CI103</f>
        <v/>
      </c>
      <c r="CX103" s="137" t="str">
        <f aca="false">IF(ISBLANK($C103),"",$CL103)</f>
        <v/>
      </c>
      <c r="CY103" s="140" t="str">
        <f aca="false">IF($CP103&gt;$CO$8,"",VLOOKUP($CP103,$CR$9:$CX$508,7,FALSE()))</f>
        <v/>
      </c>
      <c r="CZ103" s="141" t="str">
        <f aca="false">IF($CP103&gt;$CO$8,"",VLOOKUP($CP103,$CR$9:$CX$508,2,FALSE()))</f>
        <v/>
      </c>
      <c r="DA103" s="141" t="str">
        <f aca="false">IF($CP103&gt;$CO$8,"",VLOOKUP($CP103,$CR$9:$CX$508,3,FALSE()))</f>
        <v/>
      </c>
      <c r="DB103" s="141" t="str">
        <f aca="false">IF($CP103&gt;$CO$8,"",VLOOKUP($CP103,$CR$9:$CX$508,4,FALSE()))</f>
        <v/>
      </c>
      <c r="DC103" s="141" t="str">
        <f aca="false">IF($CP103&gt;$CO$8,"",VLOOKUP($CP103,$CR$9:$CX$508,5,FALSE()))</f>
        <v/>
      </c>
      <c r="DD103" s="142" t="str">
        <f aca="false">IF($CP103&gt;$CO$8,"",VLOOKUP($CP103,$CR$9:$CX$508,6,FALSE()))</f>
        <v/>
      </c>
      <c r="DE103" s="70"/>
    </row>
    <row r="104" customFormat="false" ht="15.75" hidden="false" customHeight="false" outlineLevel="0" collapsed="false">
      <c r="A104" s="8"/>
      <c r="B104" s="146"/>
      <c r="C104" s="147"/>
      <c r="D104" s="148"/>
      <c r="E104" s="164"/>
      <c r="F104" s="150"/>
      <c r="G104" s="115"/>
      <c r="H104" s="115"/>
      <c r="I104" s="115"/>
      <c r="J104" s="165"/>
      <c r="K104" s="154"/>
      <c r="L104" s="154"/>
      <c r="M104" s="118"/>
      <c r="N104" s="154"/>
      <c r="O104" s="153"/>
      <c r="P104" s="154"/>
      <c r="Q104" s="154"/>
      <c r="R104" s="154"/>
      <c r="S104" s="115"/>
      <c r="T104" s="154"/>
      <c r="U104" s="153"/>
      <c r="V104" s="154"/>
      <c r="W104" s="123"/>
      <c r="X104" s="124" t="str">
        <f aca="false">IF(ISBLANK($C104),"",IF($E104=Constants!$B$2,TRUE(),IF($E104=Constants!$B$3,FALSE(),TRUE())))</f>
        <v/>
      </c>
      <c r="Y104" s="124" t="str">
        <f aca="false">IF(ISBLANK($C104),"",IF($F104=Constants!$B$2,TRUE(),IF($F104=Constants!$B$3,FALSE(),TRUE())))</f>
        <v/>
      </c>
      <c r="Z104" s="125" t="str">
        <f aca="false">IF(ISBLANK($C104),"",IF(ISNUMBER($G104),IF($G104&gt;=0,$G104,""),""))</f>
        <v/>
      </c>
      <c r="AA104" s="125" t="str">
        <f aca="false">IF(ISBLANK($C104),"",IF(ISNUMBER($H104),IF($H104&gt;=0,$H104,""),""))</f>
        <v/>
      </c>
      <c r="AB104" s="125" t="str">
        <f aca="false">IF(ISBLANK($C104),"",IF(ISNUMBER($I104),IF($I104&gt;=0,$I104,""),""))</f>
        <v/>
      </c>
      <c r="AC104" s="124" t="str">
        <f aca="false">IF(ISBLANK($C104),"",IF($J104=Constants!$B$2,TRUE(),IF($J104=Constants!$B$3,FALSE(),TRUE())))</f>
        <v/>
      </c>
      <c r="AD104" s="124" t="str">
        <f aca="false">IF(ISBLANK($C104),"",IF($K104=Constants!$B$2,TRUE(),IF($K104=Constants!$B$3,FALSE(),TRUE())))</f>
        <v/>
      </c>
      <c r="AE104" s="124" t="str">
        <f aca="false">IF(ISBLANK($C104),"",IF($L104=Constants!$B$2,TRUE(),IF($L104=Constants!$B$3,FALSE(),TRUE())))</f>
        <v/>
      </c>
      <c r="AF104" s="126" t="str">
        <f aca="false">IF(ISBLANK($C104),"",IF(ISNUMBER($M104),IF($M104&gt;=0,$M104,""),""))</f>
        <v/>
      </c>
      <c r="AG104" s="124" t="str">
        <f aca="false">IF(ISBLANK($C104),"",IF(ISBLANK($N104),0,IF(ISNUMBER($N104),IF(AND($N104&gt;=0,$N104&lt;=Constants!$B$17,$N104=INT($N104)),$N104,""),"")))</f>
        <v/>
      </c>
      <c r="AH104" s="125" t="str">
        <f aca="false">IF(ISBLANK($C104),"",IF(ISBLANK($O104),0,IF(ISNUMBER($O104),IF($O104&gt;=0,$O104,""),"")))</f>
        <v/>
      </c>
      <c r="AI104" s="124" t="str">
        <f aca="false">IF(ISBLANK($C104),"",IF($P104=Constants!$B$2,TRUE(),IF($P104=Constants!$B$3,FALSE(),TRUE())))</f>
        <v/>
      </c>
      <c r="AJ104" s="124" t="str">
        <f aca="false">IF(ISBLANK($C104),"",IF($Q104=Constants!$B$2,TRUE(),IF($Q104=Constants!$B$3,FALSE(),TRUE())))</f>
        <v/>
      </c>
      <c r="AK104" s="124" t="str">
        <f aca="false">IF(ISBLANK($C104),"",IF($R104=Constants!$B$2,TRUE(),IF($R104=Constants!$B$3,FALSE(),TRUE())))</f>
        <v/>
      </c>
      <c r="AL104" s="126" t="str">
        <f aca="false">IF(ISBLANK($C104),"",IF(ISNUMBER($S104),IF($S104&gt;=0,$S104,""),""))</f>
        <v/>
      </c>
      <c r="AM104" s="124" t="str">
        <f aca="false">IF(ISBLANK($C104),"",IF(ISBLANK($T104),0,IF(ISNUMBER($T104),IF(AND($T104&gt;=0,$T104&lt;=Constants!$B$17,$T104=INT($T104)),$T104,""),"")))</f>
        <v/>
      </c>
      <c r="AN104" s="125" t="str">
        <f aca="false">IF(ISBLANK($C104),"",IF(ISBLANK($U104),0,IF(ISNUMBER($U104),IF($U104&gt;=0,$U104,""),"")))</f>
        <v/>
      </c>
      <c r="AO104" s="124" t="str">
        <f aca="false">IF(ISBLANK($C104),"",IF($V104=Constants!$B$2,TRUE(),IF($V104=Constants!$B$3,FALSE(),FALSE())))</f>
        <v/>
      </c>
      <c r="AP104" s="124"/>
      <c r="AQ104" s="123" t="str">
        <f aca="false">IF(ISBLANK($C104),"",AND($Y104,OR($AS104,$BC104),OR($Z104="",$AA104="",$AB104="")))</f>
        <v/>
      </c>
      <c r="AR104" s="123" t="str">
        <f aca="false">IF(ISBLANK($C104),"",IF(OR(NOT($Y104),NOT(OR($AS104,$BC104))),"",IF(ISBLANK($D$7),$AR$5,IF($AP$9="",$AR$6,""))))</f>
        <v/>
      </c>
      <c r="AS104" s="123" t="str">
        <f aca="false">IF(ISBLANK($C104),"",COUNTA($J104:$O104)&gt;0)</f>
        <v/>
      </c>
      <c r="AT104" s="123" t="str">
        <f aca="false">IF(ISBLANK($C104),"",AND($AS104,OR(AND($AF104="",OR($AE104,NOT(ISBLANK($M104)))),$AG104="",$AH104="")))</f>
        <v/>
      </c>
      <c r="AU104" s="125" t="str">
        <f aca="false">IF($BL104&lt;&gt;Constants!$B$4,"",IF(NOT($AS104),"",ROUND((Constants!$B$12-$AB104)+(Constants!$B$13-$Z104)+(Constants!$B$14-$AA104),1)))</f>
        <v/>
      </c>
      <c r="AV104" s="127" t="str">
        <f aca="false">IF($BL104&lt;&gt;Constants!$B$4,"",IF(NOT($AS104),"",IF(NOT($AE104),0,Constants!$B$15*(INT(ROUND(MIN($AF104,$AP$9),6))-INT(ROUND(MAX(0,MIN($AF104,2*$AP$9)-$AP$9),6))))))</f>
        <v/>
      </c>
      <c r="AW104" s="127" t="str">
        <f aca="false">IF($BL104&lt;&gt;Constants!$B$4,"",IF(NOT($AS104),"",Constants!$B$16*$AG104))</f>
        <v/>
      </c>
      <c r="AX104" s="127" t="str">
        <f aca="false">IF($BL104&lt;&gt;Constants!$B$4,"",IF(NOT($AS104),"",Constants!$B$18*INT(ROUND($AH104,6))))</f>
        <v/>
      </c>
      <c r="AY104" s="123" t="str">
        <f aca="false">IF($BL104&lt;&gt;Constants!$B$4,"",IF(NOT($AS104),"",IF(NOT($X104),Constants!$B$11,IF(OR(NOT($AC104),NOT($AD104),ROUND($AB104,1)&gt;Constants!$B$12,ROUND($Z104,1)&gt;Constants!$B$13,ROUND($AA104,1)&gt;Constants!$B$14),Constants!$B$10,Constants!$B$9))))</f>
        <v/>
      </c>
      <c r="AZ104" s="128" t="str">
        <f aca="false">IF($BL104&lt;&gt;Constants!$B$4,"",IF(NOT($AS104),"",ROUND($AU104+$AV104+$AW104+$AX104,1)))</f>
        <v/>
      </c>
      <c r="BA104" s="129" t="str">
        <f aca="false">IF($BL104&lt;&gt;Constants!$B$4,"",IF(NOT($AS104),"",IF(ISNUMBER($AF104),$AF104,0)))</f>
        <v/>
      </c>
      <c r="BB104" s="124" t="str">
        <f aca="false">IF($BL104&lt;&gt;Constants!$B$4,"",IF(NOT($BC104),"&lt;-",IF(NOT($AS104),"-&gt;",IF(OR($BI104&lt;$AY104,AND($BI104=$AY104,OR($BJ104&gt;$AZ104,AND($BJ104=$AZ104,OR($BH104&gt;$AX104,AND($BH104=$AX104,OR($BE104&gt;$AU104,AND($BE104=$AU104,OR($BF104&gt;$AV104,AND($BF104=$AV104,$BK104&gt;$BA104)))))))))),"-&gt;","&lt;-"))))</f>
        <v/>
      </c>
      <c r="BC104" s="123" t="str">
        <f aca="false">IF(ISBLANK($C104),"",COUNTA($P104:$U104)&gt;0)</f>
        <v/>
      </c>
      <c r="BD104" s="123" t="str">
        <f aca="false">IF(ISBLANK($C104),"",AND($BC104,OR(AND($AL104="",OR($AK104,NOT(ISBLANK($S104)))),$AM104="",$AN104="")))</f>
        <v/>
      </c>
      <c r="BE104" s="125" t="str">
        <f aca="false">IF($BL104&lt;&gt;Constants!$B$4,"",IF(NOT($BC104),"",ROUND((Constants!$B$12-$AB104)+(Constants!$B$13-$Z104)+(Constants!$B$14-$AA104),1)))</f>
        <v/>
      </c>
      <c r="BF104" s="127" t="str">
        <f aca="false">IF($BL104&lt;&gt;Constants!$B$4,"",IF(NOT($BC104),"",IF(NOT($AK104),0,Constants!$B$15*(INT(ROUND(MIN($AL104,$AP$9),6))-INT(ROUND(MAX(0,MIN($AL104,2*$AP$9)-$AP$9),6))))))</f>
        <v/>
      </c>
      <c r="BG104" s="127" t="str">
        <f aca="false">IF($BL104&lt;&gt;Constants!$B$4,"",IF(NOT($BC104),"",Constants!$B$16*$AM104))</f>
        <v/>
      </c>
      <c r="BH104" s="127" t="str">
        <f aca="false">IF($BL104&lt;&gt;Constants!$B$4,"",IF(NOT($BC104),"",Constants!$B$18*INT(ROUND($AN104,6))))</f>
        <v/>
      </c>
      <c r="BI104" s="123" t="str">
        <f aca="false">IF($BL104&lt;&gt;Constants!$B$4,"",IF(NOT($BC104),"",IF(NOT($X104),Constants!$B$11,IF(OR(NOT($AI104),NOT($AJ104),ROUND($AB104,1)&gt;Constants!$B$12,ROUND($Z104,1)&gt;Constants!$B$13,ROUND($AA104,1)&gt;Constants!$B$14),Constants!$B$10,Constants!$B$9))))</f>
        <v/>
      </c>
      <c r="BJ104" s="128" t="str">
        <f aca="false">IF($BL104&lt;&gt;Constants!$B$4,"",IF(NOT($BC104),"",ROUND($BE104+$BF104+$BG104+$BH104,1)))</f>
        <v/>
      </c>
      <c r="BK104" s="129" t="str">
        <f aca="false">IF($BL104&lt;&gt;Constants!$B$4,"",IF(NOT($BC104),"",IF(ISNUMBER($AL104),$AL104,0)))</f>
        <v/>
      </c>
      <c r="BL104" s="124" t="str">
        <f aca="false">IF(ISBLANK($C104),"",IF($AO104,Constants!$B$7,IF(COUNTA($E104:$V104)=0,Constants!$B$6,IF(NOT($Y104),Constants!$B$5,IF(NOT(OR($AS104,$BC104)),Constants!$B$5,IF(OR($AT104,$BD104,$AQ104,$AR104&lt;&gt;""),Constants!$B$8,Constants!$B$4))))))</f>
        <v/>
      </c>
      <c r="BM104" s="124" t="str">
        <f aca="false">IF(ISBLANK($C104),"",IF($BL104&lt;&gt;Constants!$B$4,$BL104,IF($BB104="-&gt;",$BI104,$AY104)))</f>
        <v/>
      </c>
      <c r="BN104" s="127" t="str">
        <f aca="false">IF($BL104&lt;&gt;Constants!$B$4,"",IF($BB104="-&gt;",$BJ104,$AZ104))</f>
        <v/>
      </c>
      <c r="BO104" s="127" t="str">
        <f aca="false">IF(ISBLANK($C104),"",IF($BL104&lt;&gt;Constants!$B$4,$BL104,$BN104))</f>
        <v/>
      </c>
      <c r="BP104" s="124" t="str">
        <f aca="false">IF(ISBLANK($C104),"",IF($BL104&lt;&gt;Constants!$B$4,$BL104,RANK($BO104,$BO$9:$BO$508,0)))</f>
        <v/>
      </c>
      <c r="BQ104" s="124" t="str">
        <f aca="false">IF(ISBLANK($C104),"",IF($BL104&lt;&gt;Constants!$B$4,$BL104,COUNTIFS($BM$9:$BM$508,"&lt;"&amp;$BM104)+COUNTIFS($BM$9:$BM$508,$BM104,$BP$9:$BP$508,"&lt;"&amp;$BP104)+1))</f>
        <v/>
      </c>
      <c r="BR104" s="127" t="str">
        <f aca="false">IF($BL104&lt;&gt;Constants!$B$4,"",IF($BB104="-&gt;",$BH104,$AX104))</f>
        <v/>
      </c>
      <c r="BS104" s="124" t="str">
        <f aca="false">IF(ISBLANK($C104),"",IF($BL104&lt;&gt;Constants!$B$4,$BL104,IF(ISNUMBER($BR104),RANK($BR104,$BR$9:$BR$508,0),COUNT($BR$9:$BR$508)+1)))</f>
        <v/>
      </c>
      <c r="BT104" s="127" t="str">
        <f aca="false">IF($BL104&lt;&gt;Constants!$B$4,"",IF($BB104="-&gt;",$BE104,$AU104))</f>
        <v/>
      </c>
      <c r="BU104" s="124" t="str">
        <f aca="false">IF(ISBLANK($C104),"",IF($BL104&lt;&gt;Constants!$B$4,$BL104,IF(ISNUMBER($BT104),RANK($BT104,$BT$9:$BT$508,0),COUNT($BT$9:$BT$508)+1)))</f>
        <v/>
      </c>
      <c r="BV104" s="127" t="str">
        <f aca="false">IF($BL104&lt;&gt;Constants!$B$4,"",IF($BB104="-&gt;",$BF104,$AV104))</f>
        <v/>
      </c>
      <c r="BW104" s="124" t="str">
        <f aca="false">IF(ISBLANK($C104),"",IF($BL104&lt;&gt;Constants!$B$4,$BL104,IF(ISNUMBER($BV104),RANK($BV104,$BV$9:$BV$508,0),COUNT($BV$9:$BV$508)+1)))</f>
        <v/>
      </c>
      <c r="BX104" s="127" t="str">
        <f aca="false">IF($BL104&lt;&gt;Constants!$B$4,"",IF($BB104="-&gt;",$BK104,$BA104))</f>
        <v/>
      </c>
      <c r="BY104" s="124" t="str">
        <f aca="false">IF(ISBLANK($C104),"",IF($BL104&lt;&gt;Constants!$B$4,$BL104,IF(ISNUMBER($BX104),RANK($BX104,$BX$9:$BX$508,0),COUNT($BX$9:$BX$508)+1)))</f>
        <v/>
      </c>
      <c r="BZ104" s="124" t="str">
        <f aca="false">IF(ISBLANK($C104),"",IF($BL104&lt;&gt;Constants!$B$4,$BL104,COUNTIFS($BM$9:$BM$508,"&lt;"&amp;$BM104)+COUNTIFS($BM$9:$BM$508,$BM104,$BP$9:$BP$508,"&lt;"&amp;$BP104)+COUNTIFS($BM$9:$BM$508,$BM104,$BP$9:$BP$508,$BP104,$BS$9:$BS$508,"&lt;"&amp;$BS104)+COUNTIFS($BM$9:$BM$508,$BM104,$BP$9:$BP$508,$BP104,$BS$9:$BS$508,$BS104,$BU$9:$BU$508,"&lt;"&amp;$BU104)+COUNTIFS($BM$9:$BM$508,$BM104,$BP$9:$BP$508,$BP104,$BS$9:$BS$508,$BS104,$BU$9:$BU$508,$BU104,$BW$9:$BW$508,"&lt;"&amp;$BW104)+COUNTIFS($BM$9:$BM$508,$BM104,$BP$9:$BP$508,$BP104,$BS$9:$BS$508,$BS104,$BU$9:$BU$508,$BU104,$BW$9:$BW$508,$BW104,$BY$9:$BY$508,"&lt;"&amp;$BY104)+1))</f>
        <v/>
      </c>
      <c r="CA104" s="124" t="str">
        <f aca="false">IF(ISBLANK($C104),"",IF($BL104&lt;&gt;Constants!$B$4,$BL104,$BQ104-$BZ104))</f>
        <v/>
      </c>
      <c r="CB104" s="130"/>
      <c r="CC104" s="131" t="str">
        <f aca="false">IF(ISBLANK($C104),"",IF($BL104=Constants!$B$8,$AR104,""))</f>
        <v/>
      </c>
      <c r="CD104" s="131" t="str">
        <f aca="false">IF(ISBLANK($C104),"",IF($BL104&lt;&gt;Constants!$B$4,"",IF($BB104="-&gt;",2,1)))</f>
        <v/>
      </c>
      <c r="CE104" s="132" t="str">
        <f aca="false">IF(ISBLANK($C104),"",IF($BL104&lt;&gt;Constants!$B$4,"",IF($BB104="-&gt;",$BE104,$AU104)))</f>
        <v/>
      </c>
      <c r="CF104" s="132" t="str">
        <f aca="false">IF(ISBLANK($C104),"",IF($BL104&lt;&gt;Constants!$B$4,"",IF($BB104="-&gt;",$BF104,$AV104)))</f>
        <v/>
      </c>
      <c r="CG104" s="132" t="str">
        <f aca="false">IF(ISBLANK($C104),"",IF($BL104&lt;&gt;Constants!$B$4,"",IF($BB104="-&gt;",$BG104,$AW104)))</f>
        <v/>
      </c>
      <c r="CH104" s="132" t="str">
        <f aca="false">IF(ISBLANK($C104),"",IF($BL104&lt;&gt;Constants!$B$4,"",IF($BB104="-&gt;",$BH104,$AX104)))</f>
        <v/>
      </c>
      <c r="CI104" s="133" t="str">
        <f aca="false">IF(ISBLANK($C104),"",$BO104)</f>
        <v/>
      </c>
      <c r="CJ104" s="134" t="str">
        <f aca="false">IF(ISBLANK($C104),"",$BM104)</f>
        <v/>
      </c>
      <c r="CK104" s="135" t="str">
        <f aca="false">IF(ISBLANK($C104),"",$CA104)</f>
        <v/>
      </c>
      <c r="CL104" s="135" t="str">
        <f aca="false">IF(ISBLANK($C104),"",$BZ104)</f>
        <v/>
      </c>
      <c r="CM104" s="136" t="str">
        <f aca="false">IF(ISBLANK($C104),"",IF($CL104=Constants!$B$7,COUNTA($C$9:$C$508)+2,IF($CL104=Constants!$B$6,COUNTA($C$9:$C$508)+1,IF($CL104=Constants!$B$5,COUNTA($C$9:$C$508),$CL104))))</f>
        <v/>
      </c>
      <c r="CN104" s="8"/>
      <c r="CO104" s="137" t="n">
        <f aca="false">IF(OR(ISNUMBER($CL104),$CL104=Constants!$B$7,$CL104=Constants!$B$5,$CL104=Constants!$B$6),1,0)</f>
        <v>0</v>
      </c>
      <c r="CP104" s="137" t="n">
        <v>96</v>
      </c>
      <c r="CQ104" s="137" t="str">
        <f aca="false">IF(ISBLANK($C104),"",IF(ISNUMBER($CM104),$CM104+ROW($B104)/1000,""))</f>
        <v/>
      </c>
      <c r="CR104" s="137" t="str">
        <f aca="false">IF(ISNUMBER($CQ104),RANK($CQ104,$CQ$9:$CQ$508,1),"")</f>
        <v/>
      </c>
      <c r="CS104" s="137" t="str">
        <f aca="false">IF(ISBLANK($C104),"",$B104)</f>
        <v/>
      </c>
      <c r="CT104" s="137" t="str">
        <f aca="false">IF(ISBLANK($C104),"",$C104)</f>
        <v/>
      </c>
      <c r="CU104" s="137" t="str">
        <f aca="false">IF(ISBLANK($C104),"",$D104)</f>
        <v/>
      </c>
      <c r="CV104" s="138" t="str">
        <f aca="false">$CJ104</f>
        <v/>
      </c>
      <c r="CW104" s="139" t="str">
        <f aca="false">$CI104</f>
        <v/>
      </c>
      <c r="CX104" s="137" t="str">
        <f aca="false">IF(ISBLANK($C104),"",$CL104)</f>
        <v/>
      </c>
      <c r="CY104" s="140" t="str">
        <f aca="false">IF($CP104&gt;$CO$8,"",VLOOKUP($CP104,$CR$9:$CX$508,7,FALSE()))</f>
        <v/>
      </c>
      <c r="CZ104" s="141" t="str">
        <f aca="false">IF($CP104&gt;$CO$8,"",VLOOKUP($CP104,$CR$9:$CX$508,2,FALSE()))</f>
        <v/>
      </c>
      <c r="DA104" s="141" t="str">
        <f aca="false">IF($CP104&gt;$CO$8,"",VLOOKUP($CP104,$CR$9:$CX$508,3,FALSE()))</f>
        <v/>
      </c>
      <c r="DB104" s="141" t="str">
        <f aca="false">IF($CP104&gt;$CO$8,"",VLOOKUP($CP104,$CR$9:$CX$508,4,FALSE()))</f>
        <v/>
      </c>
      <c r="DC104" s="141" t="str">
        <f aca="false">IF($CP104&gt;$CO$8,"",VLOOKUP($CP104,$CR$9:$CX$508,5,FALSE()))</f>
        <v/>
      </c>
      <c r="DD104" s="142" t="str">
        <f aca="false">IF($CP104&gt;$CO$8,"",VLOOKUP($CP104,$CR$9:$CX$508,6,FALSE()))</f>
        <v/>
      </c>
      <c r="DE104" s="70"/>
    </row>
    <row r="105" customFormat="false" ht="15.75" hidden="false" customHeight="false" outlineLevel="0" collapsed="false">
      <c r="A105" s="8"/>
      <c r="B105" s="72"/>
      <c r="C105" s="73"/>
      <c r="D105" s="155"/>
      <c r="E105" s="162"/>
      <c r="F105" s="157"/>
      <c r="G105" s="77"/>
      <c r="H105" s="77"/>
      <c r="I105" s="77"/>
      <c r="J105" s="163"/>
      <c r="K105" s="161"/>
      <c r="L105" s="161"/>
      <c r="M105" s="80"/>
      <c r="N105" s="161"/>
      <c r="O105" s="160"/>
      <c r="P105" s="161"/>
      <c r="Q105" s="161"/>
      <c r="R105" s="161"/>
      <c r="S105" s="77"/>
      <c r="T105" s="161"/>
      <c r="U105" s="160"/>
      <c r="V105" s="161"/>
      <c r="W105" s="85"/>
      <c r="X105" s="86" t="str">
        <f aca="false">IF(ISBLANK($C105),"",IF($E105=Constants!$B$2,TRUE(),IF($E105=Constants!$B$3,FALSE(),TRUE())))</f>
        <v/>
      </c>
      <c r="Y105" s="86" t="str">
        <f aca="false">IF(ISBLANK($C105),"",IF($F105=Constants!$B$2,TRUE(),IF($F105=Constants!$B$3,FALSE(),TRUE())))</f>
        <v/>
      </c>
      <c r="Z105" s="87" t="str">
        <f aca="false">IF(ISBLANK($C105),"",IF(ISNUMBER($G105),IF($G105&gt;=0,$G105,""),""))</f>
        <v/>
      </c>
      <c r="AA105" s="87" t="str">
        <f aca="false">IF(ISBLANK($C105),"",IF(ISNUMBER($H105),IF($H105&gt;=0,$H105,""),""))</f>
        <v/>
      </c>
      <c r="AB105" s="87" t="str">
        <f aca="false">IF(ISBLANK($C105),"",IF(ISNUMBER($I105),IF($I105&gt;=0,$I105,""),""))</f>
        <v/>
      </c>
      <c r="AC105" s="86" t="str">
        <f aca="false">IF(ISBLANK($C105),"",IF($J105=Constants!$B$2,TRUE(),IF($J105=Constants!$B$3,FALSE(),TRUE())))</f>
        <v/>
      </c>
      <c r="AD105" s="86" t="str">
        <f aca="false">IF(ISBLANK($C105),"",IF($K105=Constants!$B$2,TRUE(),IF($K105=Constants!$B$3,FALSE(),TRUE())))</f>
        <v/>
      </c>
      <c r="AE105" s="86" t="str">
        <f aca="false">IF(ISBLANK($C105),"",IF($L105=Constants!$B$2,TRUE(),IF($L105=Constants!$B$3,FALSE(),TRUE())))</f>
        <v/>
      </c>
      <c r="AF105" s="88" t="str">
        <f aca="false">IF(ISBLANK($C105),"",IF(ISNUMBER($M105),IF($M105&gt;=0,$M105,""),""))</f>
        <v/>
      </c>
      <c r="AG105" s="86" t="str">
        <f aca="false">IF(ISBLANK($C105),"",IF(ISBLANK($N105),0,IF(ISNUMBER($N105),IF(AND($N105&gt;=0,$N105&lt;=Constants!$B$17,$N105=INT($N105)),$N105,""),"")))</f>
        <v/>
      </c>
      <c r="AH105" s="87" t="str">
        <f aca="false">IF(ISBLANK($C105),"",IF(ISBLANK($O105),0,IF(ISNUMBER($O105),IF($O105&gt;=0,$O105,""),"")))</f>
        <v/>
      </c>
      <c r="AI105" s="86" t="str">
        <f aca="false">IF(ISBLANK($C105),"",IF($P105=Constants!$B$2,TRUE(),IF($P105=Constants!$B$3,FALSE(),TRUE())))</f>
        <v/>
      </c>
      <c r="AJ105" s="86" t="str">
        <f aca="false">IF(ISBLANK($C105),"",IF($Q105=Constants!$B$2,TRUE(),IF($Q105=Constants!$B$3,FALSE(),TRUE())))</f>
        <v/>
      </c>
      <c r="AK105" s="86" t="str">
        <f aca="false">IF(ISBLANK($C105),"",IF($R105=Constants!$B$2,TRUE(),IF($R105=Constants!$B$3,FALSE(),TRUE())))</f>
        <v/>
      </c>
      <c r="AL105" s="88" t="str">
        <f aca="false">IF(ISBLANK($C105),"",IF(ISNUMBER($S105),IF($S105&gt;=0,$S105,""),""))</f>
        <v/>
      </c>
      <c r="AM105" s="86" t="str">
        <f aca="false">IF(ISBLANK($C105),"",IF(ISBLANK($T105),0,IF(ISNUMBER($T105),IF(AND($T105&gt;=0,$T105&lt;=Constants!$B$17,$T105=INT($T105)),$T105,""),"")))</f>
        <v/>
      </c>
      <c r="AN105" s="87" t="str">
        <f aca="false">IF(ISBLANK($C105),"",IF(ISBLANK($U105),0,IF(ISNUMBER($U105),IF($U105&gt;=0,$U105,""),"")))</f>
        <v/>
      </c>
      <c r="AO105" s="86" t="str">
        <f aca="false">IF(ISBLANK($C105),"",IF($V105=Constants!$B$2,TRUE(),IF($V105=Constants!$B$3,FALSE(),FALSE())))</f>
        <v/>
      </c>
      <c r="AP105" s="86"/>
      <c r="AQ105" s="85" t="str">
        <f aca="false">IF(ISBLANK($C105),"",AND($Y105,OR($AS105,$BC105),OR($Z105="",$AA105="",$AB105="")))</f>
        <v/>
      </c>
      <c r="AR105" s="85" t="str">
        <f aca="false">IF(ISBLANK($C105),"",IF(OR(NOT($Y105),NOT(OR($AS105,$BC105))),"",IF(ISBLANK($D$7),$AR$5,IF($AP$9="",$AR$6,""))))</f>
        <v/>
      </c>
      <c r="AS105" s="85" t="str">
        <f aca="false">IF(ISBLANK($C105),"",COUNTA($J105:$O105)&gt;0)</f>
        <v/>
      </c>
      <c r="AT105" s="85" t="str">
        <f aca="false">IF(ISBLANK($C105),"",AND($AS105,OR(AND($AF105="",OR($AE105,NOT(ISBLANK($M105)))),$AG105="",$AH105="")))</f>
        <v/>
      </c>
      <c r="AU105" s="87" t="str">
        <f aca="false">IF($BL105&lt;&gt;Constants!$B$4,"",IF(NOT($AS105),"",ROUND((Constants!$B$12-$AB105)+(Constants!$B$13-$Z105)+(Constants!$B$14-$AA105),1)))</f>
        <v/>
      </c>
      <c r="AV105" s="90" t="str">
        <f aca="false">IF($BL105&lt;&gt;Constants!$B$4,"",IF(NOT($AS105),"",IF(NOT($AE105),0,Constants!$B$15*(INT(ROUND(MIN($AF105,$AP$9),6))-INT(ROUND(MAX(0,MIN($AF105,2*$AP$9)-$AP$9),6))))))</f>
        <v/>
      </c>
      <c r="AW105" s="90" t="str">
        <f aca="false">IF($BL105&lt;&gt;Constants!$B$4,"",IF(NOT($AS105),"",Constants!$B$16*$AG105))</f>
        <v/>
      </c>
      <c r="AX105" s="90" t="str">
        <f aca="false">IF($BL105&lt;&gt;Constants!$B$4,"",IF(NOT($AS105),"",Constants!$B$18*INT(ROUND($AH105,6))))</f>
        <v/>
      </c>
      <c r="AY105" s="85" t="str">
        <f aca="false">IF($BL105&lt;&gt;Constants!$B$4,"",IF(NOT($AS105),"",IF(NOT($X105),Constants!$B$11,IF(OR(NOT($AC105),NOT($AD105),ROUND($AB105,1)&gt;Constants!$B$12,ROUND($Z105,1)&gt;Constants!$B$13,ROUND($AA105,1)&gt;Constants!$B$14),Constants!$B$10,Constants!$B$9))))</f>
        <v/>
      </c>
      <c r="AZ105" s="91" t="str">
        <f aca="false">IF($BL105&lt;&gt;Constants!$B$4,"",IF(NOT($AS105),"",ROUND($AU105+$AV105+$AW105+$AX105,1)))</f>
        <v/>
      </c>
      <c r="BA105" s="92" t="str">
        <f aca="false">IF($BL105&lt;&gt;Constants!$B$4,"",IF(NOT($AS105),"",IF(ISNUMBER($AF105),$AF105,0)))</f>
        <v/>
      </c>
      <c r="BB105" s="86" t="str">
        <f aca="false">IF($BL105&lt;&gt;Constants!$B$4,"",IF(NOT($BC105),"&lt;-",IF(NOT($AS105),"-&gt;",IF(OR($BI105&lt;$AY105,AND($BI105=$AY105,OR($BJ105&gt;$AZ105,AND($BJ105=$AZ105,OR($BH105&gt;$AX105,AND($BH105=$AX105,OR($BE105&gt;$AU105,AND($BE105=$AU105,OR($BF105&gt;$AV105,AND($BF105=$AV105,$BK105&gt;$BA105)))))))))),"-&gt;","&lt;-"))))</f>
        <v/>
      </c>
      <c r="BC105" s="85" t="str">
        <f aca="false">IF(ISBLANK($C105),"",COUNTA($P105:$U105)&gt;0)</f>
        <v/>
      </c>
      <c r="BD105" s="85" t="str">
        <f aca="false">IF(ISBLANK($C105),"",AND($BC105,OR(AND($AL105="",OR($AK105,NOT(ISBLANK($S105)))),$AM105="",$AN105="")))</f>
        <v/>
      </c>
      <c r="BE105" s="87" t="str">
        <f aca="false">IF($BL105&lt;&gt;Constants!$B$4,"",IF(NOT($BC105),"",ROUND((Constants!$B$12-$AB105)+(Constants!$B$13-$Z105)+(Constants!$B$14-$AA105),1)))</f>
        <v/>
      </c>
      <c r="BF105" s="90" t="str">
        <f aca="false">IF($BL105&lt;&gt;Constants!$B$4,"",IF(NOT($BC105),"",IF(NOT($AK105),0,Constants!$B$15*(INT(ROUND(MIN($AL105,$AP$9),6))-INT(ROUND(MAX(0,MIN($AL105,2*$AP$9)-$AP$9),6))))))</f>
        <v/>
      </c>
      <c r="BG105" s="90" t="str">
        <f aca="false">IF($BL105&lt;&gt;Constants!$B$4,"",IF(NOT($BC105),"",Constants!$B$16*$AM105))</f>
        <v/>
      </c>
      <c r="BH105" s="90" t="str">
        <f aca="false">IF($BL105&lt;&gt;Constants!$B$4,"",IF(NOT($BC105),"",Constants!$B$18*INT(ROUND($AN105,6))))</f>
        <v/>
      </c>
      <c r="BI105" s="85" t="str">
        <f aca="false">IF($BL105&lt;&gt;Constants!$B$4,"",IF(NOT($BC105),"",IF(NOT($X105),Constants!$B$11,IF(OR(NOT($AI105),NOT($AJ105),ROUND($AB105,1)&gt;Constants!$B$12,ROUND($Z105,1)&gt;Constants!$B$13,ROUND($AA105,1)&gt;Constants!$B$14),Constants!$B$10,Constants!$B$9))))</f>
        <v/>
      </c>
      <c r="BJ105" s="91" t="str">
        <f aca="false">IF($BL105&lt;&gt;Constants!$B$4,"",IF(NOT($BC105),"",ROUND($BE105+$BF105+$BG105+$BH105,1)))</f>
        <v/>
      </c>
      <c r="BK105" s="92" t="str">
        <f aca="false">IF($BL105&lt;&gt;Constants!$B$4,"",IF(NOT($BC105),"",IF(ISNUMBER($AL105),$AL105,0)))</f>
        <v/>
      </c>
      <c r="BL105" s="86" t="str">
        <f aca="false">IF(ISBLANK($C105),"",IF($AO105,Constants!$B$7,IF(COUNTA($E105:$V105)=0,Constants!$B$6,IF(NOT($Y105),Constants!$B$5,IF(NOT(OR($AS105,$BC105)),Constants!$B$5,IF(OR($AT105,$BD105,$AQ105,$AR105&lt;&gt;""),Constants!$B$8,Constants!$B$4))))))</f>
        <v/>
      </c>
      <c r="BM105" s="86" t="str">
        <f aca="false">IF(ISBLANK($C105),"",IF($BL105&lt;&gt;Constants!$B$4,$BL105,IF($BB105="-&gt;",$BI105,$AY105)))</f>
        <v/>
      </c>
      <c r="BN105" s="90" t="str">
        <f aca="false">IF($BL105&lt;&gt;Constants!$B$4,"",IF($BB105="-&gt;",$BJ105,$AZ105))</f>
        <v/>
      </c>
      <c r="BO105" s="90" t="str">
        <f aca="false">IF(ISBLANK($C105),"",IF($BL105&lt;&gt;Constants!$B$4,$BL105,$BN105))</f>
        <v/>
      </c>
      <c r="BP105" s="86" t="str">
        <f aca="false">IF(ISBLANK($C105),"",IF($BL105&lt;&gt;Constants!$B$4,$BL105,RANK($BO105,$BO$9:$BO$508,0)))</f>
        <v/>
      </c>
      <c r="BQ105" s="86" t="str">
        <f aca="false">IF(ISBLANK($C105),"",IF($BL105&lt;&gt;Constants!$B$4,$BL105,COUNTIFS($BM$9:$BM$508,"&lt;"&amp;$BM105)+COUNTIFS($BM$9:$BM$508,$BM105,$BP$9:$BP$508,"&lt;"&amp;$BP105)+1))</f>
        <v/>
      </c>
      <c r="BR105" s="90" t="str">
        <f aca="false">IF($BL105&lt;&gt;Constants!$B$4,"",IF($BB105="-&gt;",$BH105,$AX105))</f>
        <v/>
      </c>
      <c r="BS105" s="86" t="str">
        <f aca="false">IF(ISBLANK($C105),"",IF($BL105&lt;&gt;Constants!$B$4,$BL105,IF(ISNUMBER($BR105),RANK($BR105,$BR$9:$BR$508,0),COUNT($BR$9:$BR$508)+1)))</f>
        <v/>
      </c>
      <c r="BT105" s="90" t="str">
        <f aca="false">IF($BL105&lt;&gt;Constants!$B$4,"",IF($BB105="-&gt;",$BE105,$AU105))</f>
        <v/>
      </c>
      <c r="BU105" s="86" t="str">
        <f aca="false">IF(ISBLANK($C105),"",IF($BL105&lt;&gt;Constants!$B$4,$BL105,IF(ISNUMBER($BT105),RANK($BT105,$BT$9:$BT$508,0),COUNT($BT$9:$BT$508)+1)))</f>
        <v/>
      </c>
      <c r="BV105" s="90" t="str">
        <f aca="false">IF($BL105&lt;&gt;Constants!$B$4,"",IF($BB105="-&gt;",$BF105,$AV105))</f>
        <v/>
      </c>
      <c r="BW105" s="86" t="str">
        <f aca="false">IF(ISBLANK($C105),"",IF($BL105&lt;&gt;Constants!$B$4,$BL105,IF(ISNUMBER($BV105),RANK($BV105,$BV$9:$BV$508,0),COUNT($BV$9:$BV$508)+1)))</f>
        <v/>
      </c>
      <c r="BX105" s="90" t="str">
        <f aca="false">IF($BL105&lt;&gt;Constants!$B$4,"",IF($BB105="-&gt;",$BK105,$BA105))</f>
        <v/>
      </c>
      <c r="BY105" s="86" t="str">
        <f aca="false">IF(ISBLANK($C105),"",IF($BL105&lt;&gt;Constants!$B$4,$BL105,IF(ISNUMBER($BX105),RANK($BX105,$BX$9:$BX$508,0),COUNT($BX$9:$BX$508)+1)))</f>
        <v/>
      </c>
      <c r="BZ105" s="86" t="str">
        <f aca="false">IF(ISBLANK($C105),"",IF($BL105&lt;&gt;Constants!$B$4,$BL105,COUNTIFS($BM$9:$BM$508,"&lt;"&amp;$BM105)+COUNTIFS($BM$9:$BM$508,$BM105,$BP$9:$BP$508,"&lt;"&amp;$BP105)+COUNTIFS($BM$9:$BM$508,$BM105,$BP$9:$BP$508,$BP105,$BS$9:$BS$508,"&lt;"&amp;$BS105)+COUNTIFS($BM$9:$BM$508,$BM105,$BP$9:$BP$508,$BP105,$BS$9:$BS$508,$BS105,$BU$9:$BU$508,"&lt;"&amp;$BU105)+COUNTIFS($BM$9:$BM$508,$BM105,$BP$9:$BP$508,$BP105,$BS$9:$BS$508,$BS105,$BU$9:$BU$508,$BU105,$BW$9:$BW$508,"&lt;"&amp;$BW105)+COUNTIFS($BM$9:$BM$508,$BM105,$BP$9:$BP$508,$BP105,$BS$9:$BS$508,$BS105,$BU$9:$BU$508,$BU105,$BW$9:$BW$508,$BW105,$BY$9:$BY$508,"&lt;"&amp;$BY105)+1))</f>
        <v/>
      </c>
      <c r="CA105" s="86" t="str">
        <f aca="false">IF(ISBLANK($C105),"",IF($BL105&lt;&gt;Constants!$B$4,$BL105,$BQ105-$BZ105))</f>
        <v/>
      </c>
      <c r="CB105" s="93"/>
      <c r="CC105" s="94" t="str">
        <f aca="false">IF(ISBLANK($C105),"",IF($BL105=Constants!$B$8,$AR105,""))</f>
        <v/>
      </c>
      <c r="CD105" s="94" t="str">
        <f aca="false">IF(ISBLANK($C105),"",IF($BL105&lt;&gt;Constants!$B$4,"",IF($BB105="-&gt;",2,1)))</f>
        <v/>
      </c>
      <c r="CE105" s="95" t="str">
        <f aca="false">IF(ISBLANK($C105),"",IF($BL105&lt;&gt;Constants!$B$4,"",IF($BB105="-&gt;",$BE105,$AU105)))</f>
        <v/>
      </c>
      <c r="CF105" s="95" t="str">
        <f aca="false">IF(ISBLANK($C105),"",IF($BL105&lt;&gt;Constants!$B$4,"",IF($BB105="-&gt;",$BF105,$AV105)))</f>
        <v/>
      </c>
      <c r="CG105" s="95" t="str">
        <f aca="false">IF(ISBLANK($C105),"",IF($BL105&lt;&gt;Constants!$B$4,"",IF($BB105="-&gt;",$BG105,$AW105)))</f>
        <v/>
      </c>
      <c r="CH105" s="95" t="str">
        <f aca="false">IF(ISBLANK($C105),"",IF($BL105&lt;&gt;Constants!$B$4,"",IF($BB105="-&gt;",$BH105,$AX105)))</f>
        <v/>
      </c>
      <c r="CI105" s="96" t="str">
        <f aca="false">IF(ISBLANK($C105),"",$BO105)</f>
        <v/>
      </c>
      <c r="CJ105" s="97" t="str">
        <f aca="false">IF(ISBLANK($C105),"",$BM105)</f>
        <v/>
      </c>
      <c r="CK105" s="98" t="str">
        <f aca="false">IF(ISBLANK($C105),"",$CA105)</f>
        <v/>
      </c>
      <c r="CL105" s="98" t="str">
        <f aca="false">IF(ISBLANK($C105),"",$BZ105)</f>
        <v/>
      </c>
      <c r="CM105" s="99" t="str">
        <f aca="false">IF(ISBLANK($C105),"",IF($CL105=Constants!$B$7,COUNTA($C$9:$C$508)+2,IF($CL105=Constants!$B$6,COUNTA($C$9:$C$508)+1,IF($CL105=Constants!$B$5,COUNTA($C$9:$C$508),$CL105))))</f>
        <v/>
      </c>
      <c r="CN105" s="8"/>
      <c r="CO105" s="100" t="n">
        <f aca="false">IF(OR(ISNUMBER($CL105),$CL105=Constants!$B$7,$CL105=Constants!$B$5,$CL105=Constants!$B$6),1,0)</f>
        <v>0</v>
      </c>
      <c r="CP105" s="100" t="n">
        <v>97</v>
      </c>
      <c r="CQ105" s="100" t="str">
        <f aca="false">IF(ISBLANK($C105),"",IF(ISNUMBER($CM105),$CM105+ROW($B105)/1000,""))</f>
        <v/>
      </c>
      <c r="CR105" s="100" t="str">
        <f aca="false">IF(ISNUMBER($CQ105),RANK($CQ105,$CQ$9:$CQ$508,1),"")</f>
        <v/>
      </c>
      <c r="CS105" s="100" t="str">
        <f aca="false">IF(ISBLANK($C105),"",$B105)</f>
        <v/>
      </c>
      <c r="CT105" s="100" t="str">
        <f aca="false">IF(ISBLANK($C105),"",$C105)</f>
        <v/>
      </c>
      <c r="CU105" s="100" t="str">
        <f aca="false">IF(ISBLANK($C105),"",$D105)</f>
        <v/>
      </c>
      <c r="CV105" s="101" t="str">
        <f aca="false">$CJ105</f>
        <v/>
      </c>
      <c r="CW105" s="102" t="str">
        <f aca="false">$CI105</f>
        <v/>
      </c>
      <c r="CX105" s="100" t="str">
        <f aca="false">IF(ISBLANK($C105),"",$CL105)</f>
        <v/>
      </c>
      <c r="CY105" s="103" t="str">
        <f aca="false">IF($CP105&gt;$CO$8,"",VLOOKUP($CP105,$CR$9:$CX$508,7,FALSE()))</f>
        <v/>
      </c>
      <c r="CZ105" s="104" t="str">
        <f aca="false">IF($CP105&gt;$CO$8,"",VLOOKUP($CP105,$CR$9:$CX$508,2,FALSE()))</f>
        <v/>
      </c>
      <c r="DA105" s="104" t="str">
        <f aca="false">IF($CP105&gt;$CO$8,"",VLOOKUP($CP105,$CR$9:$CX$508,3,FALSE()))</f>
        <v/>
      </c>
      <c r="DB105" s="104" t="str">
        <f aca="false">IF($CP105&gt;$CO$8,"",VLOOKUP($CP105,$CR$9:$CX$508,4,FALSE()))</f>
        <v/>
      </c>
      <c r="DC105" s="104" t="str">
        <f aca="false">IF($CP105&gt;$CO$8,"",VLOOKUP($CP105,$CR$9:$CX$508,5,FALSE()))</f>
        <v/>
      </c>
      <c r="DD105" s="105" t="str">
        <f aca="false">IF($CP105&gt;$CO$8,"",VLOOKUP($CP105,$CR$9:$CX$508,6,FALSE()))</f>
        <v/>
      </c>
      <c r="DE105" s="70"/>
    </row>
    <row r="106" customFormat="false" ht="15.75" hidden="false" customHeight="false" outlineLevel="0" collapsed="false">
      <c r="A106" s="8"/>
      <c r="B106" s="72"/>
      <c r="C106" s="73"/>
      <c r="D106" s="155"/>
      <c r="E106" s="162"/>
      <c r="F106" s="157"/>
      <c r="G106" s="77"/>
      <c r="H106" s="77"/>
      <c r="I106" s="77"/>
      <c r="J106" s="163"/>
      <c r="K106" s="161"/>
      <c r="L106" s="161"/>
      <c r="M106" s="80"/>
      <c r="N106" s="161"/>
      <c r="O106" s="160"/>
      <c r="P106" s="161"/>
      <c r="Q106" s="161"/>
      <c r="R106" s="161"/>
      <c r="S106" s="77"/>
      <c r="T106" s="161"/>
      <c r="U106" s="160"/>
      <c r="V106" s="161"/>
      <c r="W106" s="85"/>
      <c r="X106" s="86" t="str">
        <f aca="false">IF(ISBLANK($C106),"",IF($E106=Constants!$B$2,TRUE(),IF($E106=Constants!$B$3,FALSE(),TRUE())))</f>
        <v/>
      </c>
      <c r="Y106" s="86" t="str">
        <f aca="false">IF(ISBLANK($C106),"",IF($F106=Constants!$B$2,TRUE(),IF($F106=Constants!$B$3,FALSE(),TRUE())))</f>
        <v/>
      </c>
      <c r="Z106" s="87" t="str">
        <f aca="false">IF(ISBLANK($C106),"",IF(ISNUMBER($G106),IF($G106&gt;=0,$G106,""),""))</f>
        <v/>
      </c>
      <c r="AA106" s="87" t="str">
        <f aca="false">IF(ISBLANK($C106),"",IF(ISNUMBER($H106),IF($H106&gt;=0,$H106,""),""))</f>
        <v/>
      </c>
      <c r="AB106" s="87" t="str">
        <f aca="false">IF(ISBLANK($C106),"",IF(ISNUMBER($I106),IF($I106&gt;=0,$I106,""),""))</f>
        <v/>
      </c>
      <c r="AC106" s="86" t="str">
        <f aca="false">IF(ISBLANK($C106),"",IF($J106=Constants!$B$2,TRUE(),IF($J106=Constants!$B$3,FALSE(),TRUE())))</f>
        <v/>
      </c>
      <c r="AD106" s="86" t="str">
        <f aca="false">IF(ISBLANK($C106),"",IF($K106=Constants!$B$2,TRUE(),IF($K106=Constants!$B$3,FALSE(),TRUE())))</f>
        <v/>
      </c>
      <c r="AE106" s="86" t="str">
        <f aca="false">IF(ISBLANK($C106),"",IF($L106=Constants!$B$2,TRUE(),IF($L106=Constants!$B$3,FALSE(),TRUE())))</f>
        <v/>
      </c>
      <c r="AF106" s="88" t="str">
        <f aca="false">IF(ISBLANK($C106),"",IF(ISNUMBER($M106),IF($M106&gt;=0,$M106,""),""))</f>
        <v/>
      </c>
      <c r="AG106" s="86" t="str">
        <f aca="false">IF(ISBLANK($C106),"",IF(ISBLANK($N106),0,IF(ISNUMBER($N106),IF(AND($N106&gt;=0,$N106&lt;=Constants!$B$17,$N106=INT($N106)),$N106,""),"")))</f>
        <v/>
      </c>
      <c r="AH106" s="87" t="str">
        <f aca="false">IF(ISBLANK($C106),"",IF(ISBLANK($O106),0,IF(ISNUMBER($O106),IF($O106&gt;=0,$O106,""),"")))</f>
        <v/>
      </c>
      <c r="AI106" s="86" t="str">
        <f aca="false">IF(ISBLANK($C106),"",IF($P106=Constants!$B$2,TRUE(),IF($P106=Constants!$B$3,FALSE(),TRUE())))</f>
        <v/>
      </c>
      <c r="AJ106" s="86" t="str">
        <f aca="false">IF(ISBLANK($C106),"",IF($Q106=Constants!$B$2,TRUE(),IF($Q106=Constants!$B$3,FALSE(),TRUE())))</f>
        <v/>
      </c>
      <c r="AK106" s="86" t="str">
        <f aca="false">IF(ISBLANK($C106),"",IF($R106=Constants!$B$2,TRUE(),IF($R106=Constants!$B$3,FALSE(),TRUE())))</f>
        <v/>
      </c>
      <c r="AL106" s="88" t="str">
        <f aca="false">IF(ISBLANK($C106),"",IF(ISNUMBER($S106),IF($S106&gt;=0,$S106,""),""))</f>
        <v/>
      </c>
      <c r="AM106" s="86" t="str">
        <f aca="false">IF(ISBLANK($C106),"",IF(ISBLANK($T106),0,IF(ISNUMBER($T106),IF(AND($T106&gt;=0,$T106&lt;=Constants!$B$17,$T106=INT($T106)),$T106,""),"")))</f>
        <v/>
      </c>
      <c r="AN106" s="87" t="str">
        <f aca="false">IF(ISBLANK($C106),"",IF(ISBLANK($U106),0,IF(ISNUMBER($U106),IF($U106&gt;=0,$U106,""),"")))</f>
        <v/>
      </c>
      <c r="AO106" s="86" t="str">
        <f aca="false">IF(ISBLANK($C106),"",IF($V106=Constants!$B$2,TRUE(),IF($V106=Constants!$B$3,FALSE(),FALSE())))</f>
        <v/>
      </c>
      <c r="AP106" s="86"/>
      <c r="AQ106" s="85" t="str">
        <f aca="false">IF(ISBLANK($C106),"",AND($Y106,OR($AS106,$BC106),OR($Z106="",$AA106="",$AB106="")))</f>
        <v/>
      </c>
      <c r="AR106" s="85" t="str">
        <f aca="false">IF(ISBLANK($C106),"",IF(OR(NOT($Y106),NOT(OR($AS106,$BC106))),"",IF(ISBLANK($D$7),$AR$5,IF($AP$9="",$AR$6,""))))</f>
        <v/>
      </c>
      <c r="AS106" s="85" t="str">
        <f aca="false">IF(ISBLANK($C106),"",COUNTA($J106:$O106)&gt;0)</f>
        <v/>
      </c>
      <c r="AT106" s="85" t="str">
        <f aca="false">IF(ISBLANK($C106),"",AND($AS106,OR(AND($AF106="",OR($AE106,NOT(ISBLANK($M106)))),$AG106="",$AH106="")))</f>
        <v/>
      </c>
      <c r="AU106" s="87" t="str">
        <f aca="false">IF($BL106&lt;&gt;Constants!$B$4,"",IF(NOT($AS106),"",ROUND((Constants!$B$12-$AB106)+(Constants!$B$13-$Z106)+(Constants!$B$14-$AA106),1)))</f>
        <v/>
      </c>
      <c r="AV106" s="90" t="str">
        <f aca="false">IF($BL106&lt;&gt;Constants!$B$4,"",IF(NOT($AS106),"",IF(NOT($AE106),0,Constants!$B$15*(INT(ROUND(MIN($AF106,$AP$9),6))-INT(ROUND(MAX(0,MIN($AF106,2*$AP$9)-$AP$9),6))))))</f>
        <v/>
      </c>
      <c r="AW106" s="90" t="str">
        <f aca="false">IF($BL106&lt;&gt;Constants!$B$4,"",IF(NOT($AS106),"",Constants!$B$16*$AG106))</f>
        <v/>
      </c>
      <c r="AX106" s="90" t="str">
        <f aca="false">IF($BL106&lt;&gt;Constants!$B$4,"",IF(NOT($AS106),"",Constants!$B$18*INT(ROUND($AH106,6))))</f>
        <v/>
      </c>
      <c r="AY106" s="85" t="str">
        <f aca="false">IF($BL106&lt;&gt;Constants!$B$4,"",IF(NOT($AS106),"",IF(NOT($X106),Constants!$B$11,IF(OR(NOT($AC106),NOT($AD106),ROUND($AB106,1)&gt;Constants!$B$12,ROUND($Z106,1)&gt;Constants!$B$13,ROUND($AA106,1)&gt;Constants!$B$14),Constants!$B$10,Constants!$B$9))))</f>
        <v/>
      </c>
      <c r="AZ106" s="91" t="str">
        <f aca="false">IF($BL106&lt;&gt;Constants!$B$4,"",IF(NOT($AS106),"",ROUND($AU106+$AV106+$AW106+$AX106,1)))</f>
        <v/>
      </c>
      <c r="BA106" s="92" t="str">
        <f aca="false">IF($BL106&lt;&gt;Constants!$B$4,"",IF(NOT($AS106),"",IF(ISNUMBER($AF106),$AF106,0)))</f>
        <v/>
      </c>
      <c r="BB106" s="86" t="str">
        <f aca="false">IF($BL106&lt;&gt;Constants!$B$4,"",IF(NOT($BC106),"&lt;-",IF(NOT($AS106),"-&gt;",IF(OR($BI106&lt;$AY106,AND($BI106=$AY106,OR($BJ106&gt;$AZ106,AND($BJ106=$AZ106,OR($BH106&gt;$AX106,AND($BH106=$AX106,OR($BE106&gt;$AU106,AND($BE106=$AU106,OR($BF106&gt;$AV106,AND($BF106=$AV106,$BK106&gt;$BA106)))))))))),"-&gt;","&lt;-"))))</f>
        <v/>
      </c>
      <c r="BC106" s="85" t="str">
        <f aca="false">IF(ISBLANK($C106),"",COUNTA($P106:$U106)&gt;0)</f>
        <v/>
      </c>
      <c r="BD106" s="85" t="str">
        <f aca="false">IF(ISBLANK($C106),"",AND($BC106,OR(AND($AL106="",OR($AK106,NOT(ISBLANK($S106)))),$AM106="",$AN106="")))</f>
        <v/>
      </c>
      <c r="BE106" s="87" t="str">
        <f aca="false">IF($BL106&lt;&gt;Constants!$B$4,"",IF(NOT($BC106),"",ROUND((Constants!$B$12-$AB106)+(Constants!$B$13-$Z106)+(Constants!$B$14-$AA106),1)))</f>
        <v/>
      </c>
      <c r="BF106" s="90" t="str">
        <f aca="false">IF($BL106&lt;&gt;Constants!$B$4,"",IF(NOT($BC106),"",IF(NOT($AK106),0,Constants!$B$15*(INT(ROUND(MIN($AL106,$AP$9),6))-INT(ROUND(MAX(0,MIN($AL106,2*$AP$9)-$AP$9),6))))))</f>
        <v/>
      </c>
      <c r="BG106" s="90" t="str">
        <f aca="false">IF($BL106&lt;&gt;Constants!$B$4,"",IF(NOT($BC106),"",Constants!$B$16*$AM106))</f>
        <v/>
      </c>
      <c r="BH106" s="90" t="str">
        <f aca="false">IF($BL106&lt;&gt;Constants!$B$4,"",IF(NOT($BC106),"",Constants!$B$18*INT(ROUND($AN106,6))))</f>
        <v/>
      </c>
      <c r="BI106" s="85" t="str">
        <f aca="false">IF($BL106&lt;&gt;Constants!$B$4,"",IF(NOT($BC106),"",IF(NOT($X106),Constants!$B$11,IF(OR(NOT($AI106),NOT($AJ106),ROUND($AB106,1)&gt;Constants!$B$12,ROUND($Z106,1)&gt;Constants!$B$13,ROUND($AA106,1)&gt;Constants!$B$14),Constants!$B$10,Constants!$B$9))))</f>
        <v/>
      </c>
      <c r="BJ106" s="91" t="str">
        <f aca="false">IF($BL106&lt;&gt;Constants!$B$4,"",IF(NOT($BC106),"",ROUND($BE106+$BF106+$BG106+$BH106,1)))</f>
        <v/>
      </c>
      <c r="BK106" s="92" t="str">
        <f aca="false">IF($BL106&lt;&gt;Constants!$B$4,"",IF(NOT($BC106),"",IF(ISNUMBER($AL106),$AL106,0)))</f>
        <v/>
      </c>
      <c r="BL106" s="86" t="str">
        <f aca="false">IF(ISBLANK($C106),"",IF($AO106,Constants!$B$7,IF(COUNTA($E106:$V106)=0,Constants!$B$6,IF(NOT($Y106),Constants!$B$5,IF(NOT(OR($AS106,$BC106)),Constants!$B$5,IF(OR($AT106,$BD106,$AQ106,$AR106&lt;&gt;""),Constants!$B$8,Constants!$B$4))))))</f>
        <v/>
      </c>
      <c r="BM106" s="86" t="str">
        <f aca="false">IF(ISBLANK($C106),"",IF($BL106&lt;&gt;Constants!$B$4,$BL106,IF($BB106="-&gt;",$BI106,$AY106)))</f>
        <v/>
      </c>
      <c r="BN106" s="90" t="str">
        <f aca="false">IF($BL106&lt;&gt;Constants!$B$4,"",IF($BB106="-&gt;",$BJ106,$AZ106))</f>
        <v/>
      </c>
      <c r="BO106" s="90" t="str">
        <f aca="false">IF(ISBLANK($C106),"",IF($BL106&lt;&gt;Constants!$B$4,$BL106,$BN106))</f>
        <v/>
      </c>
      <c r="BP106" s="86" t="str">
        <f aca="false">IF(ISBLANK($C106),"",IF($BL106&lt;&gt;Constants!$B$4,$BL106,RANK($BO106,$BO$9:$BO$508,0)))</f>
        <v/>
      </c>
      <c r="BQ106" s="86" t="str">
        <f aca="false">IF(ISBLANK($C106),"",IF($BL106&lt;&gt;Constants!$B$4,$BL106,COUNTIFS($BM$9:$BM$508,"&lt;"&amp;$BM106)+COUNTIFS($BM$9:$BM$508,$BM106,$BP$9:$BP$508,"&lt;"&amp;$BP106)+1))</f>
        <v/>
      </c>
      <c r="BR106" s="90" t="str">
        <f aca="false">IF($BL106&lt;&gt;Constants!$B$4,"",IF($BB106="-&gt;",$BH106,$AX106))</f>
        <v/>
      </c>
      <c r="BS106" s="86" t="str">
        <f aca="false">IF(ISBLANK($C106),"",IF($BL106&lt;&gt;Constants!$B$4,$BL106,IF(ISNUMBER($BR106),RANK($BR106,$BR$9:$BR$508,0),COUNT($BR$9:$BR$508)+1)))</f>
        <v/>
      </c>
      <c r="BT106" s="90" t="str">
        <f aca="false">IF($BL106&lt;&gt;Constants!$B$4,"",IF($BB106="-&gt;",$BE106,$AU106))</f>
        <v/>
      </c>
      <c r="BU106" s="86" t="str">
        <f aca="false">IF(ISBLANK($C106),"",IF($BL106&lt;&gt;Constants!$B$4,$BL106,IF(ISNUMBER($BT106),RANK($BT106,$BT$9:$BT$508,0),COUNT($BT$9:$BT$508)+1)))</f>
        <v/>
      </c>
      <c r="BV106" s="90" t="str">
        <f aca="false">IF($BL106&lt;&gt;Constants!$B$4,"",IF($BB106="-&gt;",$BF106,$AV106))</f>
        <v/>
      </c>
      <c r="BW106" s="86" t="str">
        <f aca="false">IF(ISBLANK($C106),"",IF($BL106&lt;&gt;Constants!$B$4,$BL106,IF(ISNUMBER($BV106),RANK($BV106,$BV$9:$BV$508,0),COUNT($BV$9:$BV$508)+1)))</f>
        <v/>
      </c>
      <c r="BX106" s="90" t="str">
        <f aca="false">IF($BL106&lt;&gt;Constants!$B$4,"",IF($BB106="-&gt;",$BK106,$BA106))</f>
        <v/>
      </c>
      <c r="BY106" s="86" t="str">
        <f aca="false">IF(ISBLANK($C106),"",IF($BL106&lt;&gt;Constants!$B$4,$BL106,IF(ISNUMBER($BX106),RANK($BX106,$BX$9:$BX$508,0),COUNT($BX$9:$BX$508)+1)))</f>
        <v/>
      </c>
      <c r="BZ106" s="86" t="str">
        <f aca="false">IF(ISBLANK($C106),"",IF($BL106&lt;&gt;Constants!$B$4,$BL106,COUNTIFS($BM$9:$BM$508,"&lt;"&amp;$BM106)+COUNTIFS($BM$9:$BM$508,$BM106,$BP$9:$BP$508,"&lt;"&amp;$BP106)+COUNTIFS($BM$9:$BM$508,$BM106,$BP$9:$BP$508,$BP106,$BS$9:$BS$508,"&lt;"&amp;$BS106)+COUNTIFS($BM$9:$BM$508,$BM106,$BP$9:$BP$508,$BP106,$BS$9:$BS$508,$BS106,$BU$9:$BU$508,"&lt;"&amp;$BU106)+COUNTIFS($BM$9:$BM$508,$BM106,$BP$9:$BP$508,$BP106,$BS$9:$BS$508,$BS106,$BU$9:$BU$508,$BU106,$BW$9:$BW$508,"&lt;"&amp;$BW106)+COUNTIFS($BM$9:$BM$508,$BM106,$BP$9:$BP$508,$BP106,$BS$9:$BS$508,$BS106,$BU$9:$BU$508,$BU106,$BW$9:$BW$508,$BW106,$BY$9:$BY$508,"&lt;"&amp;$BY106)+1))</f>
        <v/>
      </c>
      <c r="CA106" s="86" t="str">
        <f aca="false">IF(ISBLANK($C106),"",IF($BL106&lt;&gt;Constants!$B$4,$BL106,$BQ106-$BZ106))</f>
        <v/>
      </c>
      <c r="CB106" s="93"/>
      <c r="CC106" s="94" t="str">
        <f aca="false">IF(ISBLANK($C106),"",IF($BL106=Constants!$B$8,$AR106,""))</f>
        <v/>
      </c>
      <c r="CD106" s="94" t="str">
        <f aca="false">IF(ISBLANK($C106),"",IF($BL106&lt;&gt;Constants!$B$4,"",IF($BB106="-&gt;",2,1)))</f>
        <v/>
      </c>
      <c r="CE106" s="95" t="str">
        <f aca="false">IF(ISBLANK($C106),"",IF($BL106&lt;&gt;Constants!$B$4,"",IF($BB106="-&gt;",$BE106,$AU106)))</f>
        <v/>
      </c>
      <c r="CF106" s="95" t="str">
        <f aca="false">IF(ISBLANK($C106),"",IF($BL106&lt;&gt;Constants!$B$4,"",IF($BB106="-&gt;",$BF106,$AV106)))</f>
        <v/>
      </c>
      <c r="CG106" s="95" t="str">
        <f aca="false">IF(ISBLANK($C106),"",IF($BL106&lt;&gt;Constants!$B$4,"",IF($BB106="-&gt;",$BG106,$AW106)))</f>
        <v/>
      </c>
      <c r="CH106" s="95" t="str">
        <f aca="false">IF(ISBLANK($C106),"",IF($BL106&lt;&gt;Constants!$B$4,"",IF($BB106="-&gt;",$BH106,$AX106)))</f>
        <v/>
      </c>
      <c r="CI106" s="96" t="str">
        <f aca="false">IF(ISBLANK($C106),"",$BO106)</f>
        <v/>
      </c>
      <c r="CJ106" s="97" t="str">
        <f aca="false">IF(ISBLANK($C106),"",$BM106)</f>
        <v/>
      </c>
      <c r="CK106" s="98" t="str">
        <f aca="false">IF(ISBLANK($C106),"",$CA106)</f>
        <v/>
      </c>
      <c r="CL106" s="98" t="str">
        <f aca="false">IF(ISBLANK($C106),"",$BZ106)</f>
        <v/>
      </c>
      <c r="CM106" s="99" t="str">
        <f aca="false">IF(ISBLANK($C106),"",IF($CL106=Constants!$B$7,COUNTA($C$9:$C$508)+2,IF($CL106=Constants!$B$6,COUNTA($C$9:$C$508)+1,IF($CL106=Constants!$B$5,COUNTA($C$9:$C$508),$CL106))))</f>
        <v/>
      </c>
      <c r="CN106" s="8"/>
      <c r="CO106" s="100" t="n">
        <f aca="false">IF(OR(ISNUMBER($CL106),$CL106=Constants!$B$7,$CL106=Constants!$B$5,$CL106=Constants!$B$6),1,0)</f>
        <v>0</v>
      </c>
      <c r="CP106" s="100" t="n">
        <v>98</v>
      </c>
      <c r="CQ106" s="100" t="str">
        <f aca="false">IF(ISBLANK($C106),"",IF(ISNUMBER($CM106),$CM106+ROW($B106)/1000,""))</f>
        <v/>
      </c>
      <c r="CR106" s="100" t="str">
        <f aca="false">IF(ISNUMBER($CQ106),RANK($CQ106,$CQ$9:$CQ$508,1),"")</f>
        <v/>
      </c>
      <c r="CS106" s="100" t="str">
        <f aca="false">IF(ISBLANK($C106),"",$B106)</f>
        <v/>
      </c>
      <c r="CT106" s="100" t="str">
        <f aca="false">IF(ISBLANK($C106),"",$C106)</f>
        <v/>
      </c>
      <c r="CU106" s="100" t="str">
        <f aca="false">IF(ISBLANK($C106),"",$D106)</f>
        <v/>
      </c>
      <c r="CV106" s="101" t="str">
        <f aca="false">$CJ106</f>
        <v/>
      </c>
      <c r="CW106" s="102" t="str">
        <f aca="false">$CI106</f>
        <v/>
      </c>
      <c r="CX106" s="100" t="str">
        <f aca="false">IF(ISBLANK($C106),"",$CL106)</f>
        <v/>
      </c>
      <c r="CY106" s="103" t="str">
        <f aca="false">IF($CP106&gt;$CO$8,"",VLOOKUP($CP106,$CR$9:$CX$508,7,FALSE()))</f>
        <v/>
      </c>
      <c r="CZ106" s="104" t="str">
        <f aca="false">IF($CP106&gt;$CO$8,"",VLOOKUP($CP106,$CR$9:$CX$508,2,FALSE()))</f>
        <v/>
      </c>
      <c r="DA106" s="104" t="str">
        <f aca="false">IF($CP106&gt;$CO$8,"",VLOOKUP($CP106,$CR$9:$CX$508,3,FALSE()))</f>
        <v/>
      </c>
      <c r="DB106" s="104" t="str">
        <f aca="false">IF($CP106&gt;$CO$8,"",VLOOKUP($CP106,$CR$9:$CX$508,4,FALSE()))</f>
        <v/>
      </c>
      <c r="DC106" s="104" t="str">
        <f aca="false">IF($CP106&gt;$CO$8,"",VLOOKUP($CP106,$CR$9:$CX$508,5,FALSE()))</f>
        <v/>
      </c>
      <c r="DD106" s="105" t="str">
        <f aca="false">IF($CP106&gt;$CO$8,"",VLOOKUP($CP106,$CR$9:$CX$508,6,FALSE()))</f>
        <v/>
      </c>
      <c r="DE106" s="70"/>
    </row>
    <row r="107" customFormat="false" ht="15.75" hidden="false" customHeight="false" outlineLevel="0" collapsed="false">
      <c r="A107" s="8"/>
      <c r="B107" s="72"/>
      <c r="C107" s="73"/>
      <c r="D107" s="155"/>
      <c r="E107" s="162"/>
      <c r="F107" s="157"/>
      <c r="G107" s="77"/>
      <c r="H107" s="77"/>
      <c r="I107" s="77"/>
      <c r="J107" s="163"/>
      <c r="K107" s="161"/>
      <c r="L107" s="161"/>
      <c r="M107" s="80"/>
      <c r="N107" s="161"/>
      <c r="O107" s="160"/>
      <c r="P107" s="161"/>
      <c r="Q107" s="161"/>
      <c r="R107" s="161"/>
      <c r="S107" s="77"/>
      <c r="T107" s="161"/>
      <c r="U107" s="160"/>
      <c r="V107" s="161"/>
      <c r="W107" s="85"/>
      <c r="X107" s="86" t="str">
        <f aca="false">IF(ISBLANK($C107),"",IF($E107=Constants!$B$2,TRUE(),IF($E107=Constants!$B$3,FALSE(),TRUE())))</f>
        <v/>
      </c>
      <c r="Y107" s="86" t="str">
        <f aca="false">IF(ISBLANK($C107),"",IF($F107=Constants!$B$2,TRUE(),IF($F107=Constants!$B$3,FALSE(),TRUE())))</f>
        <v/>
      </c>
      <c r="Z107" s="87" t="str">
        <f aca="false">IF(ISBLANK($C107),"",IF(ISNUMBER($G107),IF($G107&gt;=0,$G107,""),""))</f>
        <v/>
      </c>
      <c r="AA107" s="87" t="str">
        <f aca="false">IF(ISBLANK($C107),"",IF(ISNUMBER($H107),IF($H107&gt;=0,$H107,""),""))</f>
        <v/>
      </c>
      <c r="AB107" s="87" t="str">
        <f aca="false">IF(ISBLANK($C107),"",IF(ISNUMBER($I107),IF($I107&gt;=0,$I107,""),""))</f>
        <v/>
      </c>
      <c r="AC107" s="86" t="str">
        <f aca="false">IF(ISBLANK($C107),"",IF($J107=Constants!$B$2,TRUE(),IF($J107=Constants!$B$3,FALSE(),TRUE())))</f>
        <v/>
      </c>
      <c r="AD107" s="86" t="str">
        <f aca="false">IF(ISBLANK($C107),"",IF($K107=Constants!$B$2,TRUE(),IF($K107=Constants!$B$3,FALSE(),TRUE())))</f>
        <v/>
      </c>
      <c r="AE107" s="86" t="str">
        <f aca="false">IF(ISBLANK($C107),"",IF($L107=Constants!$B$2,TRUE(),IF($L107=Constants!$B$3,FALSE(),TRUE())))</f>
        <v/>
      </c>
      <c r="AF107" s="88" t="str">
        <f aca="false">IF(ISBLANK($C107),"",IF(ISNUMBER($M107),IF($M107&gt;=0,$M107,""),""))</f>
        <v/>
      </c>
      <c r="AG107" s="86" t="str">
        <f aca="false">IF(ISBLANK($C107),"",IF(ISBLANK($N107),0,IF(ISNUMBER($N107),IF(AND($N107&gt;=0,$N107&lt;=Constants!$B$17,$N107=INT($N107)),$N107,""),"")))</f>
        <v/>
      </c>
      <c r="AH107" s="87" t="str">
        <f aca="false">IF(ISBLANK($C107),"",IF(ISBLANK($O107),0,IF(ISNUMBER($O107),IF($O107&gt;=0,$O107,""),"")))</f>
        <v/>
      </c>
      <c r="AI107" s="86" t="str">
        <f aca="false">IF(ISBLANK($C107),"",IF($P107=Constants!$B$2,TRUE(),IF($P107=Constants!$B$3,FALSE(),TRUE())))</f>
        <v/>
      </c>
      <c r="AJ107" s="86" t="str">
        <f aca="false">IF(ISBLANK($C107),"",IF($Q107=Constants!$B$2,TRUE(),IF($Q107=Constants!$B$3,FALSE(),TRUE())))</f>
        <v/>
      </c>
      <c r="AK107" s="86" t="str">
        <f aca="false">IF(ISBLANK($C107),"",IF($R107=Constants!$B$2,TRUE(),IF($R107=Constants!$B$3,FALSE(),TRUE())))</f>
        <v/>
      </c>
      <c r="AL107" s="88" t="str">
        <f aca="false">IF(ISBLANK($C107),"",IF(ISNUMBER($S107),IF($S107&gt;=0,$S107,""),""))</f>
        <v/>
      </c>
      <c r="AM107" s="86" t="str">
        <f aca="false">IF(ISBLANK($C107),"",IF(ISBLANK($T107),0,IF(ISNUMBER($T107),IF(AND($T107&gt;=0,$T107&lt;=Constants!$B$17,$T107=INT($T107)),$T107,""),"")))</f>
        <v/>
      </c>
      <c r="AN107" s="87" t="str">
        <f aca="false">IF(ISBLANK($C107),"",IF(ISBLANK($U107),0,IF(ISNUMBER($U107),IF($U107&gt;=0,$U107,""),"")))</f>
        <v/>
      </c>
      <c r="AO107" s="86" t="str">
        <f aca="false">IF(ISBLANK($C107),"",IF($V107=Constants!$B$2,TRUE(),IF($V107=Constants!$B$3,FALSE(),FALSE())))</f>
        <v/>
      </c>
      <c r="AP107" s="86"/>
      <c r="AQ107" s="85" t="str">
        <f aca="false">IF(ISBLANK($C107),"",AND($Y107,OR($AS107,$BC107),OR($Z107="",$AA107="",$AB107="")))</f>
        <v/>
      </c>
      <c r="AR107" s="85" t="str">
        <f aca="false">IF(ISBLANK($C107),"",IF(OR(NOT($Y107),NOT(OR($AS107,$BC107))),"",IF(ISBLANK($D$7),$AR$5,IF($AP$9="",$AR$6,""))))</f>
        <v/>
      </c>
      <c r="AS107" s="85" t="str">
        <f aca="false">IF(ISBLANK($C107),"",COUNTA($J107:$O107)&gt;0)</f>
        <v/>
      </c>
      <c r="AT107" s="85" t="str">
        <f aca="false">IF(ISBLANK($C107),"",AND($AS107,OR(AND($AF107="",OR($AE107,NOT(ISBLANK($M107)))),$AG107="",$AH107="")))</f>
        <v/>
      </c>
      <c r="AU107" s="87" t="str">
        <f aca="false">IF($BL107&lt;&gt;Constants!$B$4,"",IF(NOT($AS107),"",ROUND((Constants!$B$12-$AB107)+(Constants!$B$13-$Z107)+(Constants!$B$14-$AA107),1)))</f>
        <v/>
      </c>
      <c r="AV107" s="90" t="str">
        <f aca="false">IF($BL107&lt;&gt;Constants!$B$4,"",IF(NOT($AS107),"",IF(NOT($AE107),0,Constants!$B$15*(INT(ROUND(MIN($AF107,$AP$9),6))-INT(ROUND(MAX(0,MIN($AF107,2*$AP$9)-$AP$9),6))))))</f>
        <v/>
      </c>
      <c r="AW107" s="90" t="str">
        <f aca="false">IF($BL107&lt;&gt;Constants!$B$4,"",IF(NOT($AS107),"",Constants!$B$16*$AG107))</f>
        <v/>
      </c>
      <c r="AX107" s="90" t="str">
        <f aca="false">IF($BL107&lt;&gt;Constants!$B$4,"",IF(NOT($AS107),"",Constants!$B$18*INT(ROUND($AH107,6))))</f>
        <v/>
      </c>
      <c r="AY107" s="85" t="str">
        <f aca="false">IF($BL107&lt;&gt;Constants!$B$4,"",IF(NOT($AS107),"",IF(NOT($X107),Constants!$B$11,IF(OR(NOT($AC107),NOT($AD107),ROUND($AB107,1)&gt;Constants!$B$12,ROUND($Z107,1)&gt;Constants!$B$13,ROUND($AA107,1)&gt;Constants!$B$14),Constants!$B$10,Constants!$B$9))))</f>
        <v/>
      </c>
      <c r="AZ107" s="91" t="str">
        <f aca="false">IF($BL107&lt;&gt;Constants!$B$4,"",IF(NOT($AS107),"",ROUND($AU107+$AV107+$AW107+$AX107,1)))</f>
        <v/>
      </c>
      <c r="BA107" s="92" t="str">
        <f aca="false">IF($BL107&lt;&gt;Constants!$B$4,"",IF(NOT($AS107),"",IF(ISNUMBER($AF107),$AF107,0)))</f>
        <v/>
      </c>
      <c r="BB107" s="86" t="str">
        <f aca="false">IF($BL107&lt;&gt;Constants!$B$4,"",IF(NOT($BC107),"&lt;-",IF(NOT($AS107),"-&gt;",IF(OR($BI107&lt;$AY107,AND($BI107=$AY107,OR($BJ107&gt;$AZ107,AND($BJ107=$AZ107,OR($BH107&gt;$AX107,AND($BH107=$AX107,OR($BE107&gt;$AU107,AND($BE107=$AU107,OR($BF107&gt;$AV107,AND($BF107=$AV107,$BK107&gt;$BA107)))))))))),"-&gt;","&lt;-"))))</f>
        <v/>
      </c>
      <c r="BC107" s="85" t="str">
        <f aca="false">IF(ISBLANK($C107),"",COUNTA($P107:$U107)&gt;0)</f>
        <v/>
      </c>
      <c r="BD107" s="85" t="str">
        <f aca="false">IF(ISBLANK($C107),"",AND($BC107,OR(AND($AL107="",OR($AK107,NOT(ISBLANK($S107)))),$AM107="",$AN107="")))</f>
        <v/>
      </c>
      <c r="BE107" s="87" t="str">
        <f aca="false">IF($BL107&lt;&gt;Constants!$B$4,"",IF(NOT($BC107),"",ROUND((Constants!$B$12-$AB107)+(Constants!$B$13-$Z107)+(Constants!$B$14-$AA107),1)))</f>
        <v/>
      </c>
      <c r="BF107" s="90" t="str">
        <f aca="false">IF($BL107&lt;&gt;Constants!$B$4,"",IF(NOT($BC107),"",IF(NOT($AK107),0,Constants!$B$15*(INT(ROUND(MIN($AL107,$AP$9),6))-INT(ROUND(MAX(0,MIN($AL107,2*$AP$9)-$AP$9),6))))))</f>
        <v/>
      </c>
      <c r="BG107" s="90" t="str">
        <f aca="false">IF($BL107&lt;&gt;Constants!$B$4,"",IF(NOT($BC107),"",Constants!$B$16*$AM107))</f>
        <v/>
      </c>
      <c r="BH107" s="90" t="str">
        <f aca="false">IF($BL107&lt;&gt;Constants!$B$4,"",IF(NOT($BC107),"",Constants!$B$18*INT(ROUND($AN107,6))))</f>
        <v/>
      </c>
      <c r="BI107" s="85" t="str">
        <f aca="false">IF($BL107&lt;&gt;Constants!$B$4,"",IF(NOT($BC107),"",IF(NOT($X107),Constants!$B$11,IF(OR(NOT($AI107),NOT($AJ107),ROUND($AB107,1)&gt;Constants!$B$12,ROUND($Z107,1)&gt;Constants!$B$13,ROUND($AA107,1)&gt;Constants!$B$14),Constants!$B$10,Constants!$B$9))))</f>
        <v/>
      </c>
      <c r="BJ107" s="91" t="str">
        <f aca="false">IF($BL107&lt;&gt;Constants!$B$4,"",IF(NOT($BC107),"",ROUND($BE107+$BF107+$BG107+$BH107,1)))</f>
        <v/>
      </c>
      <c r="BK107" s="92" t="str">
        <f aca="false">IF($BL107&lt;&gt;Constants!$B$4,"",IF(NOT($BC107),"",IF(ISNUMBER($AL107),$AL107,0)))</f>
        <v/>
      </c>
      <c r="BL107" s="86" t="str">
        <f aca="false">IF(ISBLANK($C107),"",IF($AO107,Constants!$B$7,IF(COUNTA($E107:$V107)=0,Constants!$B$6,IF(NOT($Y107),Constants!$B$5,IF(NOT(OR($AS107,$BC107)),Constants!$B$5,IF(OR($AT107,$BD107,$AQ107,$AR107&lt;&gt;""),Constants!$B$8,Constants!$B$4))))))</f>
        <v/>
      </c>
      <c r="BM107" s="86" t="str">
        <f aca="false">IF(ISBLANK($C107),"",IF($BL107&lt;&gt;Constants!$B$4,$BL107,IF($BB107="-&gt;",$BI107,$AY107)))</f>
        <v/>
      </c>
      <c r="BN107" s="90" t="str">
        <f aca="false">IF($BL107&lt;&gt;Constants!$B$4,"",IF($BB107="-&gt;",$BJ107,$AZ107))</f>
        <v/>
      </c>
      <c r="BO107" s="90" t="str">
        <f aca="false">IF(ISBLANK($C107),"",IF($BL107&lt;&gt;Constants!$B$4,$BL107,$BN107))</f>
        <v/>
      </c>
      <c r="BP107" s="86" t="str">
        <f aca="false">IF(ISBLANK($C107),"",IF($BL107&lt;&gt;Constants!$B$4,$BL107,RANK($BO107,$BO$9:$BO$508,0)))</f>
        <v/>
      </c>
      <c r="BQ107" s="86" t="str">
        <f aca="false">IF(ISBLANK($C107),"",IF($BL107&lt;&gt;Constants!$B$4,$BL107,COUNTIFS($BM$9:$BM$508,"&lt;"&amp;$BM107)+COUNTIFS($BM$9:$BM$508,$BM107,$BP$9:$BP$508,"&lt;"&amp;$BP107)+1))</f>
        <v/>
      </c>
      <c r="BR107" s="90" t="str">
        <f aca="false">IF($BL107&lt;&gt;Constants!$B$4,"",IF($BB107="-&gt;",$BH107,$AX107))</f>
        <v/>
      </c>
      <c r="BS107" s="86" t="str">
        <f aca="false">IF(ISBLANK($C107),"",IF($BL107&lt;&gt;Constants!$B$4,$BL107,IF(ISNUMBER($BR107),RANK($BR107,$BR$9:$BR$508,0),COUNT($BR$9:$BR$508)+1)))</f>
        <v/>
      </c>
      <c r="BT107" s="90" t="str">
        <f aca="false">IF($BL107&lt;&gt;Constants!$B$4,"",IF($BB107="-&gt;",$BE107,$AU107))</f>
        <v/>
      </c>
      <c r="BU107" s="86" t="str">
        <f aca="false">IF(ISBLANK($C107),"",IF($BL107&lt;&gt;Constants!$B$4,$BL107,IF(ISNUMBER($BT107),RANK($BT107,$BT$9:$BT$508,0),COUNT($BT$9:$BT$508)+1)))</f>
        <v/>
      </c>
      <c r="BV107" s="90" t="str">
        <f aca="false">IF($BL107&lt;&gt;Constants!$B$4,"",IF($BB107="-&gt;",$BF107,$AV107))</f>
        <v/>
      </c>
      <c r="BW107" s="86" t="str">
        <f aca="false">IF(ISBLANK($C107),"",IF($BL107&lt;&gt;Constants!$B$4,$BL107,IF(ISNUMBER($BV107),RANK($BV107,$BV$9:$BV$508,0),COUNT($BV$9:$BV$508)+1)))</f>
        <v/>
      </c>
      <c r="BX107" s="90" t="str">
        <f aca="false">IF($BL107&lt;&gt;Constants!$B$4,"",IF($BB107="-&gt;",$BK107,$BA107))</f>
        <v/>
      </c>
      <c r="BY107" s="86" t="str">
        <f aca="false">IF(ISBLANK($C107),"",IF($BL107&lt;&gt;Constants!$B$4,$BL107,IF(ISNUMBER($BX107),RANK($BX107,$BX$9:$BX$508,0),COUNT($BX$9:$BX$508)+1)))</f>
        <v/>
      </c>
      <c r="BZ107" s="86" t="str">
        <f aca="false">IF(ISBLANK($C107),"",IF($BL107&lt;&gt;Constants!$B$4,$BL107,COUNTIFS($BM$9:$BM$508,"&lt;"&amp;$BM107)+COUNTIFS($BM$9:$BM$508,$BM107,$BP$9:$BP$508,"&lt;"&amp;$BP107)+COUNTIFS($BM$9:$BM$508,$BM107,$BP$9:$BP$508,$BP107,$BS$9:$BS$508,"&lt;"&amp;$BS107)+COUNTIFS($BM$9:$BM$508,$BM107,$BP$9:$BP$508,$BP107,$BS$9:$BS$508,$BS107,$BU$9:$BU$508,"&lt;"&amp;$BU107)+COUNTIFS($BM$9:$BM$508,$BM107,$BP$9:$BP$508,$BP107,$BS$9:$BS$508,$BS107,$BU$9:$BU$508,$BU107,$BW$9:$BW$508,"&lt;"&amp;$BW107)+COUNTIFS($BM$9:$BM$508,$BM107,$BP$9:$BP$508,$BP107,$BS$9:$BS$508,$BS107,$BU$9:$BU$508,$BU107,$BW$9:$BW$508,$BW107,$BY$9:$BY$508,"&lt;"&amp;$BY107)+1))</f>
        <v/>
      </c>
      <c r="CA107" s="86" t="str">
        <f aca="false">IF(ISBLANK($C107),"",IF($BL107&lt;&gt;Constants!$B$4,$BL107,$BQ107-$BZ107))</f>
        <v/>
      </c>
      <c r="CB107" s="93"/>
      <c r="CC107" s="94" t="str">
        <f aca="false">IF(ISBLANK($C107),"",IF($BL107=Constants!$B$8,$AR107,""))</f>
        <v/>
      </c>
      <c r="CD107" s="94" t="str">
        <f aca="false">IF(ISBLANK($C107),"",IF($BL107&lt;&gt;Constants!$B$4,"",IF($BB107="-&gt;",2,1)))</f>
        <v/>
      </c>
      <c r="CE107" s="95" t="str">
        <f aca="false">IF(ISBLANK($C107),"",IF($BL107&lt;&gt;Constants!$B$4,"",IF($BB107="-&gt;",$BE107,$AU107)))</f>
        <v/>
      </c>
      <c r="CF107" s="95" t="str">
        <f aca="false">IF(ISBLANK($C107),"",IF($BL107&lt;&gt;Constants!$B$4,"",IF($BB107="-&gt;",$BF107,$AV107)))</f>
        <v/>
      </c>
      <c r="CG107" s="95" t="str">
        <f aca="false">IF(ISBLANK($C107),"",IF($BL107&lt;&gt;Constants!$B$4,"",IF($BB107="-&gt;",$BG107,$AW107)))</f>
        <v/>
      </c>
      <c r="CH107" s="95" t="str">
        <f aca="false">IF(ISBLANK($C107),"",IF($BL107&lt;&gt;Constants!$B$4,"",IF($BB107="-&gt;",$BH107,$AX107)))</f>
        <v/>
      </c>
      <c r="CI107" s="96" t="str">
        <f aca="false">IF(ISBLANK($C107),"",$BO107)</f>
        <v/>
      </c>
      <c r="CJ107" s="97" t="str">
        <f aca="false">IF(ISBLANK($C107),"",$BM107)</f>
        <v/>
      </c>
      <c r="CK107" s="98" t="str">
        <f aca="false">IF(ISBLANK($C107),"",$CA107)</f>
        <v/>
      </c>
      <c r="CL107" s="98" t="str">
        <f aca="false">IF(ISBLANK($C107),"",$BZ107)</f>
        <v/>
      </c>
      <c r="CM107" s="99" t="str">
        <f aca="false">IF(ISBLANK($C107),"",IF($CL107=Constants!$B$7,COUNTA($C$9:$C$508)+2,IF($CL107=Constants!$B$6,COUNTA($C$9:$C$508)+1,IF($CL107=Constants!$B$5,COUNTA($C$9:$C$508),$CL107))))</f>
        <v/>
      </c>
      <c r="CN107" s="8"/>
      <c r="CO107" s="100" t="n">
        <f aca="false">IF(OR(ISNUMBER($CL107),$CL107=Constants!$B$7,$CL107=Constants!$B$5,$CL107=Constants!$B$6),1,0)</f>
        <v>0</v>
      </c>
      <c r="CP107" s="100" t="n">
        <v>99</v>
      </c>
      <c r="CQ107" s="100" t="str">
        <f aca="false">IF(ISBLANK($C107),"",IF(ISNUMBER($CM107),$CM107+ROW($B107)/1000,""))</f>
        <v/>
      </c>
      <c r="CR107" s="100" t="str">
        <f aca="false">IF(ISNUMBER($CQ107),RANK($CQ107,$CQ$9:$CQ$508,1),"")</f>
        <v/>
      </c>
      <c r="CS107" s="100" t="str">
        <f aca="false">IF(ISBLANK($C107),"",$B107)</f>
        <v/>
      </c>
      <c r="CT107" s="100" t="str">
        <f aca="false">IF(ISBLANK($C107),"",$C107)</f>
        <v/>
      </c>
      <c r="CU107" s="100" t="str">
        <f aca="false">IF(ISBLANK($C107),"",$D107)</f>
        <v/>
      </c>
      <c r="CV107" s="101" t="str">
        <f aca="false">$CJ107</f>
        <v/>
      </c>
      <c r="CW107" s="102" t="str">
        <f aca="false">$CI107</f>
        <v/>
      </c>
      <c r="CX107" s="100" t="str">
        <f aca="false">IF(ISBLANK($C107),"",$CL107)</f>
        <v/>
      </c>
      <c r="CY107" s="103" t="str">
        <f aca="false">IF($CP107&gt;$CO$8,"",VLOOKUP($CP107,$CR$9:$CX$508,7,FALSE()))</f>
        <v/>
      </c>
      <c r="CZ107" s="104" t="str">
        <f aca="false">IF($CP107&gt;$CO$8,"",VLOOKUP($CP107,$CR$9:$CX$508,2,FALSE()))</f>
        <v/>
      </c>
      <c r="DA107" s="104" t="str">
        <f aca="false">IF($CP107&gt;$CO$8,"",VLOOKUP($CP107,$CR$9:$CX$508,3,FALSE()))</f>
        <v/>
      </c>
      <c r="DB107" s="104" t="str">
        <f aca="false">IF($CP107&gt;$CO$8,"",VLOOKUP($CP107,$CR$9:$CX$508,4,FALSE()))</f>
        <v/>
      </c>
      <c r="DC107" s="104" t="str">
        <f aca="false">IF($CP107&gt;$CO$8,"",VLOOKUP($CP107,$CR$9:$CX$508,5,FALSE()))</f>
        <v/>
      </c>
      <c r="DD107" s="105" t="str">
        <f aca="false">IF($CP107&gt;$CO$8,"",VLOOKUP($CP107,$CR$9:$CX$508,6,FALSE()))</f>
        <v/>
      </c>
      <c r="DE107" s="70"/>
    </row>
    <row r="108" customFormat="false" ht="15.75" hidden="false" customHeight="false" outlineLevel="0" collapsed="false">
      <c r="A108" s="8"/>
      <c r="B108" s="146"/>
      <c r="C108" s="147"/>
      <c r="D108" s="148"/>
      <c r="E108" s="164"/>
      <c r="F108" s="150"/>
      <c r="G108" s="115"/>
      <c r="H108" s="115"/>
      <c r="I108" s="115"/>
      <c r="J108" s="165"/>
      <c r="K108" s="154"/>
      <c r="L108" s="154"/>
      <c r="M108" s="118"/>
      <c r="N108" s="154"/>
      <c r="O108" s="153"/>
      <c r="P108" s="154"/>
      <c r="Q108" s="154"/>
      <c r="R108" s="154"/>
      <c r="S108" s="115"/>
      <c r="T108" s="154"/>
      <c r="U108" s="153"/>
      <c r="V108" s="154"/>
      <c r="W108" s="123"/>
      <c r="X108" s="124" t="str">
        <f aca="false">IF(ISBLANK($C108),"",IF($E108=Constants!$B$2,TRUE(),IF($E108=Constants!$B$3,FALSE(),TRUE())))</f>
        <v/>
      </c>
      <c r="Y108" s="124" t="str">
        <f aca="false">IF(ISBLANK($C108),"",IF($F108=Constants!$B$2,TRUE(),IF($F108=Constants!$B$3,FALSE(),TRUE())))</f>
        <v/>
      </c>
      <c r="Z108" s="125" t="str">
        <f aca="false">IF(ISBLANK($C108),"",IF(ISNUMBER($G108),IF($G108&gt;=0,$G108,""),""))</f>
        <v/>
      </c>
      <c r="AA108" s="125" t="str">
        <f aca="false">IF(ISBLANK($C108),"",IF(ISNUMBER($H108),IF($H108&gt;=0,$H108,""),""))</f>
        <v/>
      </c>
      <c r="AB108" s="125" t="str">
        <f aca="false">IF(ISBLANK($C108),"",IF(ISNUMBER($I108),IF($I108&gt;=0,$I108,""),""))</f>
        <v/>
      </c>
      <c r="AC108" s="124" t="str">
        <f aca="false">IF(ISBLANK($C108),"",IF($J108=Constants!$B$2,TRUE(),IF($J108=Constants!$B$3,FALSE(),TRUE())))</f>
        <v/>
      </c>
      <c r="AD108" s="124" t="str">
        <f aca="false">IF(ISBLANK($C108),"",IF($K108=Constants!$B$2,TRUE(),IF($K108=Constants!$B$3,FALSE(),TRUE())))</f>
        <v/>
      </c>
      <c r="AE108" s="124" t="str">
        <f aca="false">IF(ISBLANK($C108),"",IF($L108=Constants!$B$2,TRUE(),IF($L108=Constants!$B$3,FALSE(),TRUE())))</f>
        <v/>
      </c>
      <c r="AF108" s="126" t="str">
        <f aca="false">IF(ISBLANK($C108),"",IF(ISNUMBER($M108),IF($M108&gt;=0,$M108,""),""))</f>
        <v/>
      </c>
      <c r="AG108" s="124" t="str">
        <f aca="false">IF(ISBLANK($C108),"",IF(ISBLANK($N108),0,IF(ISNUMBER($N108),IF(AND($N108&gt;=0,$N108&lt;=Constants!$B$17,$N108=INT($N108)),$N108,""),"")))</f>
        <v/>
      </c>
      <c r="AH108" s="125" t="str">
        <f aca="false">IF(ISBLANK($C108),"",IF(ISBLANK($O108),0,IF(ISNUMBER($O108),IF($O108&gt;=0,$O108,""),"")))</f>
        <v/>
      </c>
      <c r="AI108" s="124" t="str">
        <f aca="false">IF(ISBLANK($C108),"",IF($P108=Constants!$B$2,TRUE(),IF($P108=Constants!$B$3,FALSE(),TRUE())))</f>
        <v/>
      </c>
      <c r="AJ108" s="124" t="str">
        <f aca="false">IF(ISBLANK($C108),"",IF($Q108=Constants!$B$2,TRUE(),IF($Q108=Constants!$B$3,FALSE(),TRUE())))</f>
        <v/>
      </c>
      <c r="AK108" s="124" t="str">
        <f aca="false">IF(ISBLANK($C108),"",IF($R108=Constants!$B$2,TRUE(),IF($R108=Constants!$B$3,FALSE(),TRUE())))</f>
        <v/>
      </c>
      <c r="AL108" s="126" t="str">
        <f aca="false">IF(ISBLANK($C108),"",IF(ISNUMBER($S108),IF($S108&gt;=0,$S108,""),""))</f>
        <v/>
      </c>
      <c r="AM108" s="124" t="str">
        <f aca="false">IF(ISBLANK($C108),"",IF(ISBLANK($T108),0,IF(ISNUMBER($T108),IF(AND($T108&gt;=0,$T108&lt;=Constants!$B$17,$T108=INT($T108)),$T108,""),"")))</f>
        <v/>
      </c>
      <c r="AN108" s="125" t="str">
        <f aca="false">IF(ISBLANK($C108),"",IF(ISBLANK($U108),0,IF(ISNUMBER($U108),IF($U108&gt;=0,$U108,""),"")))</f>
        <v/>
      </c>
      <c r="AO108" s="124" t="str">
        <f aca="false">IF(ISBLANK($C108),"",IF($V108=Constants!$B$2,TRUE(),IF($V108=Constants!$B$3,FALSE(),FALSE())))</f>
        <v/>
      </c>
      <c r="AP108" s="124"/>
      <c r="AQ108" s="123" t="str">
        <f aca="false">IF(ISBLANK($C108),"",AND($Y108,OR($AS108,$BC108),OR($Z108="",$AA108="",$AB108="")))</f>
        <v/>
      </c>
      <c r="AR108" s="123" t="str">
        <f aca="false">IF(ISBLANK($C108),"",IF(OR(NOT($Y108),NOT(OR($AS108,$BC108))),"",IF(ISBLANK($D$7),$AR$5,IF($AP$9="",$AR$6,""))))</f>
        <v/>
      </c>
      <c r="AS108" s="123" t="str">
        <f aca="false">IF(ISBLANK($C108),"",COUNTA($J108:$O108)&gt;0)</f>
        <v/>
      </c>
      <c r="AT108" s="123" t="str">
        <f aca="false">IF(ISBLANK($C108),"",AND($AS108,OR(AND($AF108="",OR($AE108,NOT(ISBLANK($M108)))),$AG108="",$AH108="")))</f>
        <v/>
      </c>
      <c r="AU108" s="125" t="str">
        <f aca="false">IF($BL108&lt;&gt;Constants!$B$4,"",IF(NOT($AS108),"",ROUND((Constants!$B$12-$AB108)+(Constants!$B$13-$Z108)+(Constants!$B$14-$AA108),1)))</f>
        <v/>
      </c>
      <c r="AV108" s="127" t="str">
        <f aca="false">IF($BL108&lt;&gt;Constants!$B$4,"",IF(NOT($AS108),"",IF(NOT($AE108),0,Constants!$B$15*(INT(ROUND(MIN($AF108,$AP$9),6))-INT(ROUND(MAX(0,MIN($AF108,2*$AP$9)-$AP$9),6))))))</f>
        <v/>
      </c>
      <c r="AW108" s="127" t="str">
        <f aca="false">IF($BL108&lt;&gt;Constants!$B$4,"",IF(NOT($AS108),"",Constants!$B$16*$AG108))</f>
        <v/>
      </c>
      <c r="AX108" s="127" t="str">
        <f aca="false">IF($BL108&lt;&gt;Constants!$B$4,"",IF(NOT($AS108),"",Constants!$B$18*INT(ROUND($AH108,6))))</f>
        <v/>
      </c>
      <c r="AY108" s="123" t="str">
        <f aca="false">IF($BL108&lt;&gt;Constants!$B$4,"",IF(NOT($AS108),"",IF(NOT($X108),Constants!$B$11,IF(OR(NOT($AC108),NOT($AD108),ROUND($AB108,1)&gt;Constants!$B$12,ROUND($Z108,1)&gt;Constants!$B$13,ROUND($AA108,1)&gt;Constants!$B$14),Constants!$B$10,Constants!$B$9))))</f>
        <v/>
      </c>
      <c r="AZ108" s="128" t="str">
        <f aca="false">IF($BL108&lt;&gt;Constants!$B$4,"",IF(NOT($AS108),"",ROUND($AU108+$AV108+$AW108+$AX108,1)))</f>
        <v/>
      </c>
      <c r="BA108" s="129" t="str">
        <f aca="false">IF($BL108&lt;&gt;Constants!$B$4,"",IF(NOT($AS108),"",IF(ISNUMBER($AF108),$AF108,0)))</f>
        <v/>
      </c>
      <c r="BB108" s="124" t="str">
        <f aca="false">IF($BL108&lt;&gt;Constants!$B$4,"",IF(NOT($BC108),"&lt;-",IF(NOT($AS108),"-&gt;",IF(OR($BI108&lt;$AY108,AND($BI108=$AY108,OR($BJ108&gt;$AZ108,AND($BJ108=$AZ108,OR($BH108&gt;$AX108,AND($BH108=$AX108,OR($BE108&gt;$AU108,AND($BE108=$AU108,OR($BF108&gt;$AV108,AND($BF108=$AV108,$BK108&gt;$BA108)))))))))),"-&gt;","&lt;-"))))</f>
        <v/>
      </c>
      <c r="BC108" s="123" t="str">
        <f aca="false">IF(ISBLANK($C108),"",COUNTA($P108:$U108)&gt;0)</f>
        <v/>
      </c>
      <c r="BD108" s="123" t="str">
        <f aca="false">IF(ISBLANK($C108),"",AND($BC108,OR(AND($AL108="",OR($AK108,NOT(ISBLANK($S108)))),$AM108="",$AN108="")))</f>
        <v/>
      </c>
      <c r="BE108" s="125" t="str">
        <f aca="false">IF($BL108&lt;&gt;Constants!$B$4,"",IF(NOT($BC108),"",ROUND((Constants!$B$12-$AB108)+(Constants!$B$13-$Z108)+(Constants!$B$14-$AA108),1)))</f>
        <v/>
      </c>
      <c r="BF108" s="127" t="str">
        <f aca="false">IF($BL108&lt;&gt;Constants!$B$4,"",IF(NOT($BC108),"",IF(NOT($AK108),0,Constants!$B$15*(INT(ROUND(MIN($AL108,$AP$9),6))-INT(ROUND(MAX(0,MIN($AL108,2*$AP$9)-$AP$9),6))))))</f>
        <v/>
      </c>
      <c r="BG108" s="127" t="str">
        <f aca="false">IF($BL108&lt;&gt;Constants!$B$4,"",IF(NOT($BC108),"",Constants!$B$16*$AM108))</f>
        <v/>
      </c>
      <c r="BH108" s="127" t="str">
        <f aca="false">IF($BL108&lt;&gt;Constants!$B$4,"",IF(NOT($BC108),"",Constants!$B$18*INT(ROUND($AN108,6))))</f>
        <v/>
      </c>
      <c r="BI108" s="123" t="str">
        <f aca="false">IF($BL108&lt;&gt;Constants!$B$4,"",IF(NOT($BC108),"",IF(NOT($X108),Constants!$B$11,IF(OR(NOT($AI108),NOT($AJ108),ROUND($AB108,1)&gt;Constants!$B$12,ROUND($Z108,1)&gt;Constants!$B$13,ROUND($AA108,1)&gt;Constants!$B$14),Constants!$B$10,Constants!$B$9))))</f>
        <v/>
      </c>
      <c r="BJ108" s="128" t="str">
        <f aca="false">IF($BL108&lt;&gt;Constants!$B$4,"",IF(NOT($BC108),"",ROUND($BE108+$BF108+$BG108+$BH108,1)))</f>
        <v/>
      </c>
      <c r="BK108" s="129" t="str">
        <f aca="false">IF($BL108&lt;&gt;Constants!$B$4,"",IF(NOT($BC108),"",IF(ISNUMBER($AL108),$AL108,0)))</f>
        <v/>
      </c>
      <c r="BL108" s="124" t="str">
        <f aca="false">IF(ISBLANK($C108),"",IF($AO108,Constants!$B$7,IF(COUNTA($E108:$V108)=0,Constants!$B$6,IF(NOT($Y108),Constants!$B$5,IF(NOT(OR($AS108,$BC108)),Constants!$B$5,IF(OR($AT108,$BD108,$AQ108,$AR108&lt;&gt;""),Constants!$B$8,Constants!$B$4))))))</f>
        <v/>
      </c>
      <c r="BM108" s="124" t="str">
        <f aca="false">IF(ISBLANK($C108),"",IF($BL108&lt;&gt;Constants!$B$4,$BL108,IF($BB108="-&gt;",$BI108,$AY108)))</f>
        <v/>
      </c>
      <c r="BN108" s="127" t="str">
        <f aca="false">IF($BL108&lt;&gt;Constants!$B$4,"",IF($BB108="-&gt;",$BJ108,$AZ108))</f>
        <v/>
      </c>
      <c r="BO108" s="127" t="str">
        <f aca="false">IF(ISBLANK($C108),"",IF($BL108&lt;&gt;Constants!$B$4,$BL108,$BN108))</f>
        <v/>
      </c>
      <c r="BP108" s="124" t="str">
        <f aca="false">IF(ISBLANK($C108),"",IF($BL108&lt;&gt;Constants!$B$4,$BL108,RANK($BO108,$BO$9:$BO$508,0)))</f>
        <v/>
      </c>
      <c r="BQ108" s="124" t="str">
        <f aca="false">IF(ISBLANK($C108),"",IF($BL108&lt;&gt;Constants!$B$4,$BL108,COUNTIFS($BM$9:$BM$508,"&lt;"&amp;$BM108)+COUNTIFS($BM$9:$BM$508,$BM108,$BP$9:$BP$508,"&lt;"&amp;$BP108)+1))</f>
        <v/>
      </c>
      <c r="BR108" s="127" t="str">
        <f aca="false">IF($BL108&lt;&gt;Constants!$B$4,"",IF($BB108="-&gt;",$BH108,$AX108))</f>
        <v/>
      </c>
      <c r="BS108" s="124" t="str">
        <f aca="false">IF(ISBLANK($C108),"",IF($BL108&lt;&gt;Constants!$B$4,$BL108,IF(ISNUMBER($BR108),RANK($BR108,$BR$9:$BR$508,0),COUNT($BR$9:$BR$508)+1)))</f>
        <v/>
      </c>
      <c r="BT108" s="127" t="str">
        <f aca="false">IF($BL108&lt;&gt;Constants!$B$4,"",IF($BB108="-&gt;",$BE108,$AU108))</f>
        <v/>
      </c>
      <c r="BU108" s="124" t="str">
        <f aca="false">IF(ISBLANK($C108),"",IF($BL108&lt;&gt;Constants!$B$4,$BL108,IF(ISNUMBER($BT108),RANK($BT108,$BT$9:$BT$508,0),COUNT($BT$9:$BT$508)+1)))</f>
        <v/>
      </c>
      <c r="BV108" s="127" t="str">
        <f aca="false">IF($BL108&lt;&gt;Constants!$B$4,"",IF($BB108="-&gt;",$BF108,$AV108))</f>
        <v/>
      </c>
      <c r="BW108" s="124" t="str">
        <f aca="false">IF(ISBLANK($C108),"",IF($BL108&lt;&gt;Constants!$B$4,$BL108,IF(ISNUMBER($BV108),RANK($BV108,$BV$9:$BV$508,0),COUNT($BV$9:$BV$508)+1)))</f>
        <v/>
      </c>
      <c r="BX108" s="127" t="str">
        <f aca="false">IF($BL108&lt;&gt;Constants!$B$4,"",IF($BB108="-&gt;",$BK108,$BA108))</f>
        <v/>
      </c>
      <c r="BY108" s="124" t="str">
        <f aca="false">IF(ISBLANK($C108),"",IF($BL108&lt;&gt;Constants!$B$4,$BL108,IF(ISNUMBER($BX108),RANK($BX108,$BX$9:$BX$508,0),COUNT($BX$9:$BX$508)+1)))</f>
        <v/>
      </c>
      <c r="BZ108" s="124" t="str">
        <f aca="false">IF(ISBLANK($C108),"",IF($BL108&lt;&gt;Constants!$B$4,$BL108,COUNTIFS($BM$9:$BM$508,"&lt;"&amp;$BM108)+COUNTIFS($BM$9:$BM$508,$BM108,$BP$9:$BP$508,"&lt;"&amp;$BP108)+COUNTIFS($BM$9:$BM$508,$BM108,$BP$9:$BP$508,$BP108,$BS$9:$BS$508,"&lt;"&amp;$BS108)+COUNTIFS($BM$9:$BM$508,$BM108,$BP$9:$BP$508,$BP108,$BS$9:$BS$508,$BS108,$BU$9:$BU$508,"&lt;"&amp;$BU108)+COUNTIFS($BM$9:$BM$508,$BM108,$BP$9:$BP$508,$BP108,$BS$9:$BS$508,$BS108,$BU$9:$BU$508,$BU108,$BW$9:$BW$508,"&lt;"&amp;$BW108)+COUNTIFS($BM$9:$BM$508,$BM108,$BP$9:$BP$508,$BP108,$BS$9:$BS$508,$BS108,$BU$9:$BU$508,$BU108,$BW$9:$BW$508,$BW108,$BY$9:$BY$508,"&lt;"&amp;$BY108)+1))</f>
        <v/>
      </c>
      <c r="CA108" s="124" t="str">
        <f aca="false">IF(ISBLANK($C108),"",IF($BL108&lt;&gt;Constants!$B$4,$BL108,$BQ108-$BZ108))</f>
        <v/>
      </c>
      <c r="CB108" s="130"/>
      <c r="CC108" s="131" t="str">
        <f aca="false">IF(ISBLANK($C108),"",IF($BL108=Constants!$B$8,$AR108,""))</f>
        <v/>
      </c>
      <c r="CD108" s="131" t="str">
        <f aca="false">IF(ISBLANK($C108),"",IF($BL108&lt;&gt;Constants!$B$4,"",IF($BB108="-&gt;",2,1)))</f>
        <v/>
      </c>
      <c r="CE108" s="132" t="str">
        <f aca="false">IF(ISBLANK($C108),"",IF($BL108&lt;&gt;Constants!$B$4,"",IF($BB108="-&gt;",$BE108,$AU108)))</f>
        <v/>
      </c>
      <c r="CF108" s="132" t="str">
        <f aca="false">IF(ISBLANK($C108),"",IF($BL108&lt;&gt;Constants!$B$4,"",IF($BB108="-&gt;",$BF108,$AV108)))</f>
        <v/>
      </c>
      <c r="CG108" s="132" t="str">
        <f aca="false">IF(ISBLANK($C108),"",IF($BL108&lt;&gt;Constants!$B$4,"",IF($BB108="-&gt;",$BG108,$AW108)))</f>
        <v/>
      </c>
      <c r="CH108" s="132" t="str">
        <f aca="false">IF(ISBLANK($C108),"",IF($BL108&lt;&gt;Constants!$B$4,"",IF($BB108="-&gt;",$BH108,$AX108)))</f>
        <v/>
      </c>
      <c r="CI108" s="133" t="str">
        <f aca="false">IF(ISBLANK($C108),"",$BO108)</f>
        <v/>
      </c>
      <c r="CJ108" s="134" t="str">
        <f aca="false">IF(ISBLANK($C108),"",$BM108)</f>
        <v/>
      </c>
      <c r="CK108" s="135" t="str">
        <f aca="false">IF(ISBLANK($C108),"",$CA108)</f>
        <v/>
      </c>
      <c r="CL108" s="135" t="str">
        <f aca="false">IF(ISBLANK($C108),"",$BZ108)</f>
        <v/>
      </c>
      <c r="CM108" s="136" t="str">
        <f aca="false">IF(ISBLANK($C108),"",IF($CL108=Constants!$B$7,COUNTA($C$9:$C$508)+2,IF($CL108=Constants!$B$6,COUNTA($C$9:$C$508)+1,IF($CL108=Constants!$B$5,COUNTA($C$9:$C$508),$CL108))))</f>
        <v/>
      </c>
      <c r="CN108" s="8"/>
      <c r="CO108" s="137" t="n">
        <f aca="false">IF(OR(ISNUMBER($CL108),$CL108=Constants!$B$7,$CL108=Constants!$B$5,$CL108=Constants!$B$6),1,0)</f>
        <v>0</v>
      </c>
      <c r="CP108" s="137" t="n">
        <v>100</v>
      </c>
      <c r="CQ108" s="137" t="str">
        <f aca="false">IF(ISBLANK($C108),"",IF(ISNUMBER($CM108),$CM108+ROW($B108)/1000,""))</f>
        <v/>
      </c>
      <c r="CR108" s="137" t="str">
        <f aca="false">IF(ISNUMBER($CQ108),RANK($CQ108,$CQ$9:$CQ$508,1),"")</f>
        <v/>
      </c>
      <c r="CS108" s="137" t="str">
        <f aca="false">IF(ISBLANK($C108),"",$B108)</f>
        <v/>
      </c>
      <c r="CT108" s="137" t="str">
        <f aca="false">IF(ISBLANK($C108),"",$C108)</f>
        <v/>
      </c>
      <c r="CU108" s="137" t="str">
        <f aca="false">IF(ISBLANK($C108),"",$D108)</f>
        <v/>
      </c>
      <c r="CV108" s="138" t="str">
        <f aca="false">$CJ108</f>
        <v/>
      </c>
      <c r="CW108" s="139" t="str">
        <f aca="false">$CI108</f>
        <v/>
      </c>
      <c r="CX108" s="137" t="str">
        <f aca="false">IF(ISBLANK($C108),"",$CL108)</f>
        <v/>
      </c>
      <c r="CY108" s="140" t="str">
        <f aca="false">IF($CP108&gt;$CO$8,"",VLOOKUP($CP108,$CR$9:$CX$508,7,FALSE()))</f>
        <v/>
      </c>
      <c r="CZ108" s="141" t="str">
        <f aca="false">IF($CP108&gt;$CO$8,"",VLOOKUP($CP108,$CR$9:$CX$508,2,FALSE()))</f>
        <v/>
      </c>
      <c r="DA108" s="141" t="str">
        <f aca="false">IF($CP108&gt;$CO$8,"",VLOOKUP($CP108,$CR$9:$CX$508,3,FALSE()))</f>
        <v/>
      </c>
      <c r="DB108" s="141" t="str">
        <f aca="false">IF($CP108&gt;$CO$8,"",VLOOKUP($CP108,$CR$9:$CX$508,4,FALSE()))</f>
        <v/>
      </c>
      <c r="DC108" s="141" t="str">
        <f aca="false">IF($CP108&gt;$CO$8,"",VLOOKUP($CP108,$CR$9:$CX$508,5,FALSE()))</f>
        <v/>
      </c>
      <c r="DD108" s="142" t="str">
        <f aca="false">IF($CP108&gt;$CO$8,"",VLOOKUP($CP108,$CR$9:$CX$508,6,FALSE()))</f>
        <v/>
      </c>
      <c r="DE108" s="70"/>
    </row>
    <row r="109" customFormat="false" ht="15.75" hidden="false" customHeight="false" outlineLevel="0" collapsed="false">
      <c r="A109" s="8"/>
      <c r="B109" s="146"/>
      <c r="C109" s="147"/>
      <c r="D109" s="148"/>
      <c r="E109" s="164"/>
      <c r="F109" s="150"/>
      <c r="G109" s="115"/>
      <c r="H109" s="115"/>
      <c r="I109" s="115"/>
      <c r="J109" s="165"/>
      <c r="K109" s="154"/>
      <c r="L109" s="154"/>
      <c r="M109" s="118"/>
      <c r="N109" s="154"/>
      <c r="O109" s="153"/>
      <c r="P109" s="154"/>
      <c r="Q109" s="154"/>
      <c r="R109" s="154"/>
      <c r="S109" s="115"/>
      <c r="T109" s="154"/>
      <c r="U109" s="153"/>
      <c r="V109" s="154"/>
      <c r="W109" s="123"/>
      <c r="X109" s="124" t="str">
        <f aca="false">IF(ISBLANK($C109),"",IF($E109=Constants!$B$2,TRUE(),IF($E109=Constants!$B$3,FALSE(),TRUE())))</f>
        <v/>
      </c>
      <c r="Y109" s="124" t="str">
        <f aca="false">IF(ISBLANK($C109),"",IF($F109=Constants!$B$2,TRUE(),IF($F109=Constants!$B$3,FALSE(),TRUE())))</f>
        <v/>
      </c>
      <c r="Z109" s="125" t="str">
        <f aca="false">IF(ISBLANK($C109),"",IF(ISNUMBER($G109),IF($G109&gt;=0,$G109,""),""))</f>
        <v/>
      </c>
      <c r="AA109" s="125" t="str">
        <f aca="false">IF(ISBLANK($C109),"",IF(ISNUMBER($H109),IF($H109&gt;=0,$H109,""),""))</f>
        <v/>
      </c>
      <c r="AB109" s="125" t="str">
        <f aca="false">IF(ISBLANK($C109),"",IF(ISNUMBER($I109),IF($I109&gt;=0,$I109,""),""))</f>
        <v/>
      </c>
      <c r="AC109" s="124" t="str">
        <f aca="false">IF(ISBLANK($C109),"",IF($J109=Constants!$B$2,TRUE(),IF($J109=Constants!$B$3,FALSE(),TRUE())))</f>
        <v/>
      </c>
      <c r="AD109" s="124" t="str">
        <f aca="false">IF(ISBLANK($C109),"",IF($K109=Constants!$B$2,TRUE(),IF($K109=Constants!$B$3,FALSE(),TRUE())))</f>
        <v/>
      </c>
      <c r="AE109" s="124" t="str">
        <f aca="false">IF(ISBLANK($C109),"",IF($L109=Constants!$B$2,TRUE(),IF($L109=Constants!$B$3,FALSE(),TRUE())))</f>
        <v/>
      </c>
      <c r="AF109" s="126" t="str">
        <f aca="false">IF(ISBLANK($C109),"",IF(ISNUMBER($M109),IF($M109&gt;=0,$M109,""),""))</f>
        <v/>
      </c>
      <c r="AG109" s="124" t="str">
        <f aca="false">IF(ISBLANK($C109),"",IF(ISBLANK($N109),0,IF(ISNUMBER($N109),IF(AND($N109&gt;=0,$N109&lt;=Constants!$B$17,$N109=INT($N109)),$N109,""),"")))</f>
        <v/>
      </c>
      <c r="AH109" s="125" t="str">
        <f aca="false">IF(ISBLANK($C109),"",IF(ISBLANK($O109),0,IF(ISNUMBER($O109),IF($O109&gt;=0,$O109,""),"")))</f>
        <v/>
      </c>
      <c r="AI109" s="124" t="str">
        <f aca="false">IF(ISBLANK($C109),"",IF($P109=Constants!$B$2,TRUE(),IF($P109=Constants!$B$3,FALSE(),TRUE())))</f>
        <v/>
      </c>
      <c r="AJ109" s="124" t="str">
        <f aca="false">IF(ISBLANK($C109),"",IF($Q109=Constants!$B$2,TRUE(),IF($Q109=Constants!$B$3,FALSE(),TRUE())))</f>
        <v/>
      </c>
      <c r="AK109" s="124" t="str">
        <f aca="false">IF(ISBLANK($C109),"",IF($R109=Constants!$B$2,TRUE(),IF($R109=Constants!$B$3,FALSE(),TRUE())))</f>
        <v/>
      </c>
      <c r="AL109" s="126" t="str">
        <f aca="false">IF(ISBLANK($C109),"",IF(ISNUMBER($S109),IF($S109&gt;=0,$S109,""),""))</f>
        <v/>
      </c>
      <c r="AM109" s="124" t="str">
        <f aca="false">IF(ISBLANK($C109),"",IF(ISBLANK($T109),0,IF(ISNUMBER($T109),IF(AND($T109&gt;=0,$T109&lt;=Constants!$B$17,$T109=INT($T109)),$T109,""),"")))</f>
        <v/>
      </c>
      <c r="AN109" s="125" t="str">
        <f aca="false">IF(ISBLANK($C109),"",IF(ISBLANK($U109),0,IF(ISNUMBER($U109),IF($U109&gt;=0,$U109,""),"")))</f>
        <v/>
      </c>
      <c r="AO109" s="124" t="str">
        <f aca="false">IF(ISBLANK($C109),"",IF($V109=Constants!$B$2,TRUE(),IF($V109=Constants!$B$3,FALSE(),FALSE())))</f>
        <v/>
      </c>
      <c r="AP109" s="124"/>
      <c r="AQ109" s="123" t="str">
        <f aca="false">IF(ISBLANK($C109),"",AND($Y109,OR($AS109,$BC109),OR($Z109="",$AA109="",$AB109="")))</f>
        <v/>
      </c>
      <c r="AR109" s="123" t="str">
        <f aca="false">IF(ISBLANK($C109),"",IF(OR(NOT($Y109),NOT(OR($AS109,$BC109))),"",IF(ISBLANK($D$7),$AR$5,IF($AP$9="",$AR$6,""))))</f>
        <v/>
      </c>
      <c r="AS109" s="123" t="str">
        <f aca="false">IF(ISBLANK($C109),"",COUNTA($J109:$O109)&gt;0)</f>
        <v/>
      </c>
      <c r="AT109" s="123" t="str">
        <f aca="false">IF(ISBLANK($C109),"",AND($AS109,OR(AND($AF109="",OR($AE109,NOT(ISBLANK($M109)))),$AG109="",$AH109="")))</f>
        <v/>
      </c>
      <c r="AU109" s="125" t="str">
        <f aca="false">IF($BL109&lt;&gt;Constants!$B$4,"",IF(NOT($AS109),"",ROUND((Constants!$B$12-$AB109)+(Constants!$B$13-$Z109)+(Constants!$B$14-$AA109),1)))</f>
        <v/>
      </c>
      <c r="AV109" s="127" t="str">
        <f aca="false">IF($BL109&lt;&gt;Constants!$B$4,"",IF(NOT($AS109),"",IF(NOT($AE109),0,Constants!$B$15*(INT(ROUND(MIN($AF109,$AP$9),6))-INT(ROUND(MAX(0,MIN($AF109,2*$AP$9)-$AP$9),6))))))</f>
        <v/>
      </c>
      <c r="AW109" s="127" t="str">
        <f aca="false">IF($BL109&lt;&gt;Constants!$B$4,"",IF(NOT($AS109),"",Constants!$B$16*$AG109))</f>
        <v/>
      </c>
      <c r="AX109" s="127" t="str">
        <f aca="false">IF($BL109&lt;&gt;Constants!$B$4,"",IF(NOT($AS109),"",Constants!$B$18*INT(ROUND($AH109,6))))</f>
        <v/>
      </c>
      <c r="AY109" s="123" t="str">
        <f aca="false">IF($BL109&lt;&gt;Constants!$B$4,"",IF(NOT($AS109),"",IF(NOT($X109),Constants!$B$11,IF(OR(NOT($AC109),NOT($AD109),ROUND($AB109,1)&gt;Constants!$B$12,ROUND($Z109,1)&gt;Constants!$B$13,ROUND($AA109,1)&gt;Constants!$B$14),Constants!$B$10,Constants!$B$9))))</f>
        <v/>
      </c>
      <c r="AZ109" s="128" t="str">
        <f aca="false">IF($BL109&lt;&gt;Constants!$B$4,"",IF(NOT($AS109),"",ROUND($AU109+$AV109+$AW109+$AX109,1)))</f>
        <v/>
      </c>
      <c r="BA109" s="129" t="str">
        <f aca="false">IF($BL109&lt;&gt;Constants!$B$4,"",IF(NOT($AS109),"",IF(ISNUMBER($AF109),$AF109,0)))</f>
        <v/>
      </c>
      <c r="BB109" s="124" t="str">
        <f aca="false">IF($BL109&lt;&gt;Constants!$B$4,"",IF(NOT($BC109),"&lt;-",IF(NOT($AS109),"-&gt;",IF(OR($BI109&lt;$AY109,AND($BI109=$AY109,OR($BJ109&gt;$AZ109,AND($BJ109=$AZ109,OR($BH109&gt;$AX109,AND($BH109=$AX109,OR($BE109&gt;$AU109,AND($BE109=$AU109,OR($BF109&gt;$AV109,AND($BF109=$AV109,$BK109&gt;$BA109)))))))))),"-&gt;","&lt;-"))))</f>
        <v/>
      </c>
      <c r="BC109" s="123" t="str">
        <f aca="false">IF(ISBLANK($C109),"",COUNTA($P109:$U109)&gt;0)</f>
        <v/>
      </c>
      <c r="BD109" s="123" t="str">
        <f aca="false">IF(ISBLANK($C109),"",AND($BC109,OR(AND($AL109="",OR($AK109,NOT(ISBLANK($S109)))),$AM109="",$AN109="")))</f>
        <v/>
      </c>
      <c r="BE109" s="125" t="str">
        <f aca="false">IF($BL109&lt;&gt;Constants!$B$4,"",IF(NOT($BC109),"",ROUND((Constants!$B$12-$AB109)+(Constants!$B$13-$Z109)+(Constants!$B$14-$AA109),1)))</f>
        <v/>
      </c>
      <c r="BF109" s="127" t="str">
        <f aca="false">IF($BL109&lt;&gt;Constants!$B$4,"",IF(NOT($BC109),"",IF(NOT($AK109),0,Constants!$B$15*(INT(ROUND(MIN($AL109,$AP$9),6))-INT(ROUND(MAX(0,MIN($AL109,2*$AP$9)-$AP$9),6))))))</f>
        <v/>
      </c>
      <c r="BG109" s="127" t="str">
        <f aca="false">IF($BL109&lt;&gt;Constants!$B$4,"",IF(NOT($BC109),"",Constants!$B$16*$AM109))</f>
        <v/>
      </c>
      <c r="BH109" s="127" t="str">
        <f aca="false">IF($BL109&lt;&gt;Constants!$B$4,"",IF(NOT($BC109),"",Constants!$B$18*INT(ROUND($AN109,6))))</f>
        <v/>
      </c>
      <c r="BI109" s="123" t="str">
        <f aca="false">IF($BL109&lt;&gt;Constants!$B$4,"",IF(NOT($BC109),"",IF(NOT($X109),Constants!$B$11,IF(OR(NOT($AI109),NOT($AJ109),ROUND($AB109,1)&gt;Constants!$B$12,ROUND($Z109,1)&gt;Constants!$B$13,ROUND($AA109,1)&gt;Constants!$B$14),Constants!$B$10,Constants!$B$9))))</f>
        <v/>
      </c>
      <c r="BJ109" s="128" t="str">
        <f aca="false">IF($BL109&lt;&gt;Constants!$B$4,"",IF(NOT($BC109),"",ROUND($BE109+$BF109+$BG109+$BH109,1)))</f>
        <v/>
      </c>
      <c r="BK109" s="129" t="str">
        <f aca="false">IF($BL109&lt;&gt;Constants!$B$4,"",IF(NOT($BC109),"",IF(ISNUMBER($AL109),$AL109,0)))</f>
        <v/>
      </c>
      <c r="BL109" s="124" t="str">
        <f aca="false">IF(ISBLANK($C109),"",IF($AO109,Constants!$B$7,IF(COUNTA($E109:$V109)=0,Constants!$B$6,IF(NOT($Y109),Constants!$B$5,IF(NOT(OR($AS109,$BC109)),Constants!$B$5,IF(OR($AT109,$BD109,$AQ109,$AR109&lt;&gt;""),Constants!$B$8,Constants!$B$4))))))</f>
        <v/>
      </c>
      <c r="BM109" s="124" t="str">
        <f aca="false">IF(ISBLANK($C109),"",IF($BL109&lt;&gt;Constants!$B$4,$BL109,IF($BB109="-&gt;",$BI109,$AY109)))</f>
        <v/>
      </c>
      <c r="BN109" s="127" t="str">
        <f aca="false">IF($BL109&lt;&gt;Constants!$B$4,"",IF($BB109="-&gt;",$BJ109,$AZ109))</f>
        <v/>
      </c>
      <c r="BO109" s="127" t="str">
        <f aca="false">IF(ISBLANK($C109),"",IF($BL109&lt;&gt;Constants!$B$4,$BL109,$BN109))</f>
        <v/>
      </c>
      <c r="BP109" s="124" t="str">
        <f aca="false">IF(ISBLANK($C109),"",IF($BL109&lt;&gt;Constants!$B$4,$BL109,RANK($BO109,$BO$9:$BO$508,0)))</f>
        <v/>
      </c>
      <c r="BQ109" s="124" t="str">
        <f aca="false">IF(ISBLANK($C109),"",IF($BL109&lt;&gt;Constants!$B$4,$BL109,COUNTIFS($BM$9:$BM$508,"&lt;"&amp;$BM109)+COUNTIFS($BM$9:$BM$508,$BM109,$BP$9:$BP$508,"&lt;"&amp;$BP109)+1))</f>
        <v/>
      </c>
      <c r="BR109" s="127" t="str">
        <f aca="false">IF($BL109&lt;&gt;Constants!$B$4,"",IF($BB109="-&gt;",$BH109,$AX109))</f>
        <v/>
      </c>
      <c r="BS109" s="124" t="str">
        <f aca="false">IF(ISBLANK($C109),"",IF($BL109&lt;&gt;Constants!$B$4,$BL109,IF(ISNUMBER($BR109),RANK($BR109,$BR$9:$BR$508,0),COUNT($BR$9:$BR$508)+1)))</f>
        <v/>
      </c>
      <c r="BT109" s="127" t="str">
        <f aca="false">IF($BL109&lt;&gt;Constants!$B$4,"",IF($BB109="-&gt;",$BE109,$AU109))</f>
        <v/>
      </c>
      <c r="BU109" s="124" t="str">
        <f aca="false">IF(ISBLANK($C109),"",IF($BL109&lt;&gt;Constants!$B$4,$BL109,IF(ISNUMBER($BT109),RANK($BT109,$BT$9:$BT$508,0),COUNT($BT$9:$BT$508)+1)))</f>
        <v/>
      </c>
      <c r="BV109" s="127" t="str">
        <f aca="false">IF($BL109&lt;&gt;Constants!$B$4,"",IF($BB109="-&gt;",$BF109,$AV109))</f>
        <v/>
      </c>
      <c r="BW109" s="124" t="str">
        <f aca="false">IF(ISBLANK($C109),"",IF($BL109&lt;&gt;Constants!$B$4,$BL109,IF(ISNUMBER($BV109),RANK($BV109,$BV$9:$BV$508,0),COUNT($BV$9:$BV$508)+1)))</f>
        <v/>
      </c>
      <c r="BX109" s="127" t="str">
        <f aca="false">IF($BL109&lt;&gt;Constants!$B$4,"",IF($BB109="-&gt;",$BK109,$BA109))</f>
        <v/>
      </c>
      <c r="BY109" s="124" t="str">
        <f aca="false">IF(ISBLANK($C109),"",IF($BL109&lt;&gt;Constants!$B$4,$BL109,IF(ISNUMBER($BX109),RANK($BX109,$BX$9:$BX$508,0),COUNT($BX$9:$BX$508)+1)))</f>
        <v/>
      </c>
      <c r="BZ109" s="124" t="str">
        <f aca="false">IF(ISBLANK($C109),"",IF($BL109&lt;&gt;Constants!$B$4,$BL109,COUNTIFS($BM$9:$BM$508,"&lt;"&amp;$BM109)+COUNTIFS($BM$9:$BM$508,$BM109,$BP$9:$BP$508,"&lt;"&amp;$BP109)+COUNTIFS($BM$9:$BM$508,$BM109,$BP$9:$BP$508,$BP109,$BS$9:$BS$508,"&lt;"&amp;$BS109)+COUNTIFS($BM$9:$BM$508,$BM109,$BP$9:$BP$508,$BP109,$BS$9:$BS$508,$BS109,$BU$9:$BU$508,"&lt;"&amp;$BU109)+COUNTIFS($BM$9:$BM$508,$BM109,$BP$9:$BP$508,$BP109,$BS$9:$BS$508,$BS109,$BU$9:$BU$508,$BU109,$BW$9:$BW$508,"&lt;"&amp;$BW109)+COUNTIFS($BM$9:$BM$508,$BM109,$BP$9:$BP$508,$BP109,$BS$9:$BS$508,$BS109,$BU$9:$BU$508,$BU109,$BW$9:$BW$508,$BW109,$BY$9:$BY$508,"&lt;"&amp;$BY109)+1))</f>
        <v/>
      </c>
      <c r="CA109" s="124" t="str">
        <f aca="false">IF(ISBLANK($C109),"",IF($BL109&lt;&gt;Constants!$B$4,$BL109,$BQ109-$BZ109))</f>
        <v/>
      </c>
      <c r="CB109" s="130"/>
      <c r="CC109" s="131" t="str">
        <f aca="false">IF(ISBLANK($C109),"",IF($BL109=Constants!$B$8,$AR109,""))</f>
        <v/>
      </c>
      <c r="CD109" s="131" t="str">
        <f aca="false">IF(ISBLANK($C109),"",IF($BL109&lt;&gt;Constants!$B$4,"",IF($BB109="-&gt;",2,1)))</f>
        <v/>
      </c>
      <c r="CE109" s="132" t="str">
        <f aca="false">IF(ISBLANK($C109),"",IF($BL109&lt;&gt;Constants!$B$4,"",IF($BB109="-&gt;",$BE109,$AU109)))</f>
        <v/>
      </c>
      <c r="CF109" s="132" t="str">
        <f aca="false">IF(ISBLANK($C109),"",IF($BL109&lt;&gt;Constants!$B$4,"",IF($BB109="-&gt;",$BF109,$AV109)))</f>
        <v/>
      </c>
      <c r="CG109" s="132" t="str">
        <f aca="false">IF(ISBLANK($C109),"",IF($BL109&lt;&gt;Constants!$B$4,"",IF($BB109="-&gt;",$BG109,$AW109)))</f>
        <v/>
      </c>
      <c r="CH109" s="132" t="str">
        <f aca="false">IF(ISBLANK($C109),"",IF($BL109&lt;&gt;Constants!$B$4,"",IF($BB109="-&gt;",$BH109,$AX109)))</f>
        <v/>
      </c>
      <c r="CI109" s="133" t="str">
        <f aca="false">IF(ISBLANK($C109),"",$BO109)</f>
        <v/>
      </c>
      <c r="CJ109" s="134" t="str">
        <f aca="false">IF(ISBLANK($C109),"",$BM109)</f>
        <v/>
      </c>
      <c r="CK109" s="135" t="str">
        <f aca="false">IF(ISBLANK($C109),"",$CA109)</f>
        <v/>
      </c>
      <c r="CL109" s="135" t="str">
        <f aca="false">IF(ISBLANK($C109),"",$BZ109)</f>
        <v/>
      </c>
      <c r="CM109" s="136" t="str">
        <f aca="false">IF(ISBLANK($C109),"",IF($CL109=Constants!$B$7,COUNTA($C$9:$C$508)+2,IF($CL109=Constants!$B$6,COUNTA($C$9:$C$508)+1,IF($CL109=Constants!$B$5,COUNTA($C$9:$C$508),$CL109))))</f>
        <v/>
      </c>
      <c r="CN109" s="8"/>
      <c r="CO109" s="137" t="n">
        <f aca="false">IF(OR(ISNUMBER($CL109),$CL109=Constants!$B$7,$CL109=Constants!$B$5,$CL109=Constants!$B$6),1,0)</f>
        <v>0</v>
      </c>
      <c r="CP109" s="137" t="n">
        <v>101</v>
      </c>
      <c r="CQ109" s="137" t="str">
        <f aca="false">IF(ISBLANK($C109),"",IF(ISNUMBER($CM109),$CM109+ROW($B109)/1000,""))</f>
        <v/>
      </c>
      <c r="CR109" s="137" t="str">
        <f aca="false">IF(ISNUMBER($CQ109),RANK($CQ109,$CQ$9:$CQ$508,1),"")</f>
        <v/>
      </c>
      <c r="CS109" s="137" t="str">
        <f aca="false">IF(ISBLANK($C109),"",$B109)</f>
        <v/>
      </c>
      <c r="CT109" s="137" t="str">
        <f aca="false">IF(ISBLANK($C109),"",$C109)</f>
        <v/>
      </c>
      <c r="CU109" s="137" t="str">
        <f aca="false">IF(ISBLANK($C109),"",$D109)</f>
        <v/>
      </c>
      <c r="CV109" s="138" t="str">
        <f aca="false">$CJ109</f>
        <v/>
      </c>
      <c r="CW109" s="139" t="str">
        <f aca="false">$CI109</f>
        <v/>
      </c>
      <c r="CX109" s="137" t="str">
        <f aca="false">IF(ISBLANK($C109),"",$CL109)</f>
        <v/>
      </c>
      <c r="CY109" s="140" t="str">
        <f aca="false">IF($CP109&gt;$CO$8,"",VLOOKUP($CP109,$CR$9:$CX$508,7,FALSE()))</f>
        <v/>
      </c>
      <c r="CZ109" s="141" t="str">
        <f aca="false">IF($CP109&gt;$CO$8,"",VLOOKUP($CP109,$CR$9:$CX$508,2,FALSE()))</f>
        <v/>
      </c>
      <c r="DA109" s="141" t="str">
        <f aca="false">IF($CP109&gt;$CO$8,"",VLOOKUP($CP109,$CR$9:$CX$508,3,FALSE()))</f>
        <v/>
      </c>
      <c r="DB109" s="141" t="str">
        <f aca="false">IF($CP109&gt;$CO$8,"",VLOOKUP($CP109,$CR$9:$CX$508,4,FALSE()))</f>
        <v/>
      </c>
      <c r="DC109" s="141" t="str">
        <f aca="false">IF($CP109&gt;$CO$8,"",VLOOKUP($CP109,$CR$9:$CX$508,5,FALSE()))</f>
        <v/>
      </c>
      <c r="DD109" s="142" t="str">
        <f aca="false">IF($CP109&gt;$CO$8,"",VLOOKUP($CP109,$CR$9:$CX$508,6,FALSE()))</f>
        <v/>
      </c>
      <c r="DE109" s="70"/>
    </row>
    <row r="110" customFormat="false" ht="15.75" hidden="false" customHeight="false" outlineLevel="0" collapsed="false">
      <c r="A110" s="8"/>
      <c r="B110" s="146"/>
      <c r="C110" s="147"/>
      <c r="D110" s="148"/>
      <c r="E110" s="164"/>
      <c r="F110" s="150"/>
      <c r="G110" s="115"/>
      <c r="H110" s="115"/>
      <c r="I110" s="115"/>
      <c r="J110" s="165"/>
      <c r="K110" s="154"/>
      <c r="L110" s="154"/>
      <c r="M110" s="118"/>
      <c r="N110" s="154"/>
      <c r="O110" s="153"/>
      <c r="P110" s="154"/>
      <c r="Q110" s="154"/>
      <c r="R110" s="154"/>
      <c r="S110" s="115"/>
      <c r="T110" s="154"/>
      <c r="U110" s="153"/>
      <c r="V110" s="154"/>
      <c r="W110" s="123"/>
      <c r="X110" s="124" t="str">
        <f aca="false">IF(ISBLANK($C110),"",IF($E110=Constants!$B$2,TRUE(),IF($E110=Constants!$B$3,FALSE(),TRUE())))</f>
        <v/>
      </c>
      <c r="Y110" s="124" t="str">
        <f aca="false">IF(ISBLANK($C110),"",IF($F110=Constants!$B$2,TRUE(),IF($F110=Constants!$B$3,FALSE(),TRUE())))</f>
        <v/>
      </c>
      <c r="Z110" s="125" t="str">
        <f aca="false">IF(ISBLANK($C110),"",IF(ISNUMBER($G110),IF($G110&gt;=0,$G110,""),""))</f>
        <v/>
      </c>
      <c r="AA110" s="125" t="str">
        <f aca="false">IF(ISBLANK($C110),"",IF(ISNUMBER($H110),IF($H110&gt;=0,$H110,""),""))</f>
        <v/>
      </c>
      <c r="AB110" s="125" t="str">
        <f aca="false">IF(ISBLANK($C110),"",IF(ISNUMBER($I110),IF($I110&gt;=0,$I110,""),""))</f>
        <v/>
      </c>
      <c r="AC110" s="124" t="str">
        <f aca="false">IF(ISBLANK($C110),"",IF($J110=Constants!$B$2,TRUE(),IF($J110=Constants!$B$3,FALSE(),TRUE())))</f>
        <v/>
      </c>
      <c r="AD110" s="124" t="str">
        <f aca="false">IF(ISBLANK($C110),"",IF($K110=Constants!$B$2,TRUE(),IF($K110=Constants!$B$3,FALSE(),TRUE())))</f>
        <v/>
      </c>
      <c r="AE110" s="124" t="str">
        <f aca="false">IF(ISBLANK($C110),"",IF($L110=Constants!$B$2,TRUE(),IF($L110=Constants!$B$3,FALSE(),TRUE())))</f>
        <v/>
      </c>
      <c r="AF110" s="126" t="str">
        <f aca="false">IF(ISBLANK($C110),"",IF(ISNUMBER($M110),IF($M110&gt;=0,$M110,""),""))</f>
        <v/>
      </c>
      <c r="AG110" s="124" t="str">
        <f aca="false">IF(ISBLANK($C110),"",IF(ISBLANK($N110),0,IF(ISNUMBER($N110),IF(AND($N110&gt;=0,$N110&lt;=Constants!$B$17,$N110=INT($N110)),$N110,""),"")))</f>
        <v/>
      </c>
      <c r="AH110" s="125" t="str">
        <f aca="false">IF(ISBLANK($C110),"",IF(ISBLANK($O110),0,IF(ISNUMBER($O110),IF($O110&gt;=0,$O110,""),"")))</f>
        <v/>
      </c>
      <c r="AI110" s="124" t="str">
        <f aca="false">IF(ISBLANK($C110),"",IF($P110=Constants!$B$2,TRUE(),IF($P110=Constants!$B$3,FALSE(),TRUE())))</f>
        <v/>
      </c>
      <c r="AJ110" s="124" t="str">
        <f aca="false">IF(ISBLANK($C110),"",IF($Q110=Constants!$B$2,TRUE(),IF($Q110=Constants!$B$3,FALSE(),TRUE())))</f>
        <v/>
      </c>
      <c r="AK110" s="124" t="str">
        <f aca="false">IF(ISBLANK($C110),"",IF($R110=Constants!$B$2,TRUE(),IF($R110=Constants!$B$3,FALSE(),TRUE())))</f>
        <v/>
      </c>
      <c r="AL110" s="126" t="str">
        <f aca="false">IF(ISBLANK($C110),"",IF(ISNUMBER($S110),IF($S110&gt;=0,$S110,""),""))</f>
        <v/>
      </c>
      <c r="AM110" s="124" t="str">
        <f aca="false">IF(ISBLANK($C110),"",IF(ISBLANK($T110),0,IF(ISNUMBER($T110),IF(AND($T110&gt;=0,$T110&lt;=Constants!$B$17,$T110=INT($T110)),$T110,""),"")))</f>
        <v/>
      </c>
      <c r="AN110" s="125" t="str">
        <f aca="false">IF(ISBLANK($C110),"",IF(ISBLANK($U110),0,IF(ISNUMBER($U110),IF($U110&gt;=0,$U110,""),"")))</f>
        <v/>
      </c>
      <c r="AO110" s="124" t="str">
        <f aca="false">IF(ISBLANK($C110),"",IF($V110=Constants!$B$2,TRUE(),IF($V110=Constants!$B$3,FALSE(),FALSE())))</f>
        <v/>
      </c>
      <c r="AP110" s="124"/>
      <c r="AQ110" s="123" t="str">
        <f aca="false">IF(ISBLANK($C110),"",AND($Y110,OR($AS110,$BC110),OR($Z110="",$AA110="",$AB110="")))</f>
        <v/>
      </c>
      <c r="AR110" s="123" t="str">
        <f aca="false">IF(ISBLANK($C110),"",IF(OR(NOT($Y110),NOT(OR($AS110,$BC110))),"",IF(ISBLANK($D$7),$AR$5,IF($AP$9="",$AR$6,""))))</f>
        <v/>
      </c>
      <c r="AS110" s="123" t="str">
        <f aca="false">IF(ISBLANK($C110),"",COUNTA($J110:$O110)&gt;0)</f>
        <v/>
      </c>
      <c r="AT110" s="123" t="str">
        <f aca="false">IF(ISBLANK($C110),"",AND($AS110,OR(AND($AF110="",OR($AE110,NOT(ISBLANK($M110)))),$AG110="",$AH110="")))</f>
        <v/>
      </c>
      <c r="AU110" s="125" t="str">
        <f aca="false">IF($BL110&lt;&gt;Constants!$B$4,"",IF(NOT($AS110),"",ROUND((Constants!$B$12-$AB110)+(Constants!$B$13-$Z110)+(Constants!$B$14-$AA110),1)))</f>
        <v/>
      </c>
      <c r="AV110" s="127" t="str">
        <f aca="false">IF($BL110&lt;&gt;Constants!$B$4,"",IF(NOT($AS110),"",IF(NOT($AE110),0,Constants!$B$15*(INT(ROUND(MIN($AF110,$AP$9),6))-INT(ROUND(MAX(0,MIN($AF110,2*$AP$9)-$AP$9),6))))))</f>
        <v/>
      </c>
      <c r="AW110" s="127" t="str">
        <f aca="false">IF($BL110&lt;&gt;Constants!$B$4,"",IF(NOT($AS110),"",Constants!$B$16*$AG110))</f>
        <v/>
      </c>
      <c r="AX110" s="127" t="str">
        <f aca="false">IF($BL110&lt;&gt;Constants!$B$4,"",IF(NOT($AS110),"",Constants!$B$18*INT(ROUND($AH110,6))))</f>
        <v/>
      </c>
      <c r="AY110" s="123" t="str">
        <f aca="false">IF($BL110&lt;&gt;Constants!$B$4,"",IF(NOT($AS110),"",IF(NOT($X110),Constants!$B$11,IF(OR(NOT($AC110),NOT($AD110),ROUND($AB110,1)&gt;Constants!$B$12,ROUND($Z110,1)&gt;Constants!$B$13,ROUND($AA110,1)&gt;Constants!$B$14),Constants!$B$10,Constants!$B$9))))</f>
        <v/>
      </c>
      <c r="AZ110" s="128" t="str">
        <f aca="false">IF($BL110&lt;&gt;Constants!$B$4,"",IF(NOT($AS110),"",ROUND($AU110+$AV110+$AW110+$AX110,1)))</f>
        <v/>
      </c>
      <c r="BA110" s="129" t="str">
        <f aca="false">IF($BL110&lt;&gt;Constants!$B$4,"",IF(NOT($AS110),"",IF(ISNUMBER($AF110),$AF110,0)))</f>
        <v/>
      </c>
      <c r="BB110" s="124" t="str">
        <f aca="false">IF($BL110&lt;&gt;Constants!$B$4,"",IF(NOT($BC110),"&lt;-",IF(NOT($AS110),"-&gt;",IF(OR($BI110&lt;$AY110,AND($BI110=$AY110,OR($BJ110&gt;$AZ110,AND($BJ110=$AZ110,OR($BH110&gt;$AX110,AND($BH110=$AX110,OR($BE110&gt;$AU110,AND($BE110=$AU110,OR($BF110&gt;$AV110,AND($BF110=$AV110,$BK110&gt;$BA110)))))))))),"-&gt;","&lt;-"))))</f>
        <v/>
      </c>
      <c r="BC110" s="123" t="str">
        <f aca="false">IF(ISBLANK($C110),"",COUNTA($P110:$U110)&gt;0)</f>
        <v/>
      </c>
      <c r="BD110" s="123" t="str">
        <f aca="false">IF(ISBLANK($C110),"",AND($BC110,OR(AND($AL110="",OR($AK110,NOT(ISBLANK($S110)))),$AM110="",$AN110="")))</f>
        <v/>
      </c>
      <c r="BE110" s="125" t="str">
        <f aca="false">IF($BL110&lt;&gt;Constants!$B$4,"",IF(NOT($BC110),"",ROUND((Constants!$B$12-$AB110)+(Constants!$B$13-$Z110)+(Constants!$B$14-$AA110),1)))</f>
        <v/>
      </c>
      <c r="BF110" s="127" t="str">
        <f aca="false">IF($BL110&lt;&gt;Constants!$B$4,"",IF(NOT($BC110),"",IF(NOT($AK110),0,Constants!$B$15*(INT(ROUND(MIN($AL110,$AP$9),6))-INT(ROUND(MAX(0,MIN($AL110,2*$AP$9)-$AP$9),6))))))</f>
        <v/>
      </c>
      <c r="BG110" s="127" t="str">
        <f aca="false">IF($BL110&lt;&gt;Constants!$B$4,"",IF(NOT($BC110),"",Constants!$B$16*$AM110))</f>
        <v/>
      </c>
      <c r="BH110" s="127" t="str">
        <f aca="false">IF($BL110&lt;&gt;Constants!$B$4,"",IF(NOT($BC110),"",Constants!$B$18*INT(ROUND($AN110,6))))</f>
        <v/>
      </c>
      <c r="BI110" s="123" t="str">
        <f aca="false">IF($BL110&lt;&gt;Constants!$B$4,"",IF(NOT($BC110),"",IF(NOT($X110),Constants!$B$11,IF(OR(NOT($AI110),NOT($AJ110),ROUND($AB110,1)&gt;Constants!$B$12,ROUND($Z110,1)&gt;Constants!$B$13,ROUND($AA110,1)&gt;Constants!$B$14),Constants!$B$10,Constants!$B$9))))</f>
        <v/>
      </c>
      <c r="BJ110" s="128" t="str">
        <f aca="false">IF($BL110&lt;&gt;Constants!$B$4,"",IF(NOT($BC110),"",ROUND($BE110+$BF110+$BG110+$BH110,1)))</f>
        <v/>
      </c>
      <c r="BK110" s="129" t="str">
        <f aca="false">IF($BL110&lt;&gt;Constants!$B$4,"",IF(NOT($BC110),"",IF(ISNUMBER($AL110),$AL110,0)))</f>
        <v/>
      </c>
      <c r="BL110" s="124" t="str">
        <f aca="false">IF(ISBLANK($C110),"",IF($AO110,Constants!$B$7,IF(COUNTA($E110:$V110)=0,Constants!$B$6,IF(NOT($Y110),Constants!$B$5,IF(NOT(OR($AS110,$BC110)),Constants!$B$5,IF(OR($AT110,$BD110,$AQ110,$AR110&lt;&gt;""),Constants!$B$8,Constants!$B$4))))))</f>
        <v/>
      </c>
      <c r="BM110" s="124" t="str">
        <f aca="false">IF(ISBLANK($C110),"",IF($BL110&lt;&gt;Constants!$B$4,$BL110,IF($BB110="-&gt;",$BI110,$AY110)))</f>
        <v/>
      </c>
      <c r="BN110" s="127" t="str">
        <f aca="false">IF($BL110&lt;&gt;Constants!$B$4,"",IF($BB110="-&gt;",$BJ110,$AZ110))</f>
        <v/>
      </c>
      <c r="BO110" s="127" t="str">
        <f aca="false">IF(ISBLANK($C110),"",IF($BL110&lt;&gt;Constants!$B$4,$BL110,$BN110))</f>
        <v/>
      </c>
      <c r="BP110" s="124" t="str">
        <f aca="false">IF(ISBLANK($C110),"",IF($BL110&lt;&gt;Constants!$B$4,$BL110,RANK($BO110,$BO$9:$BO$508,0)))</f>
        <v/>
      </c>
      <c r="BQ110" s="124" t="str">
        <f aca="false">IF(ISBLANK($C110),"",IF($BL110&lt;&gt;Constants!$B$4,$BL110,COUNTIFS($BM$9:$BM$508,"&lt;"&amp;$BM110)+COUNTIFS($BM$9:$BM$508,$BM110,$BP$9:$BP$508,"&lt;"&amp;$BP110)+1))</f>
        <v/>
      </c>
      <c r="BR110" s="127" t="str">
        <f aca="false">IF($BL110&lt;&gt;Constants!$B$4,"",IF($BB110="-&gt;",$BH110,$AX110))</f>
        <v/>
      </c>
      <c r="BS110" s="124" t="str">
        <f aca="false">IF(ISBLANK($C110),"",IF($BL110&lt;&gt;Constants!$B$4,$BL110,IF(ISNUMBER($BR110),RANK($BR110,$BR$9:$BR$508,0),COUNT($BR$9:$BR$508)+1)))</f>
        <v/>
      </c>
      <c r="BT110" s="127" t="str">
        <f aca="false">IF($BL110&lt;&gt;Constants!$B$4,"",IF($BB110="-&gt;",$BE110,$AU110))</f>
        <v/>
      </c>
      <c r="BU110" s="124" t="str">
        <f aca="false">IF(ISBLANK($C110),"",IF($BL110&lt;&gt;Constants!$B$4,$BL110,IF(ISNUMBER($BT110),RANK($BT110,$BT$9:$BT$508,0),COUNT($BT$9:$BT$508)+1)))</f>
        <v/>
      </c>
      <c r="BV110" s="127" t="str">
        <f aca="false">IF($BL110&lt;&gt;Constants!$B$4,"",IF($BB110="-&gt;",$BF110,$AV110))</f>
        <v/>
      </c>
      <c r="BW110" s="124" t="str">
        <f aca="false">IF(ISBLANK($C110),"",IF($BL110&lt;&gt;Constants!$B$4,$BL110,IF(ISNUMBER($BV110),RANK($BV110,$BV$9:$BV$508,0),COUNT($BV$9:$BV$508)+1)))</f>
        <v/>
      </c>
      <c r="BX110" s="127" t="str">
        <f aca="false">IF($BL110&lt;&gt;Constants!$B$4,"",IF($BB110="-&gt;",$BK110,$BA110))</f>
        <v/>
      </c>
      <c r="BY110" s="124" t="str">
        <f aca="false">IF(ISBLANK($C110),"",IF($BL110&lt;&gt;Constants!$B$4,$BL110,IF(ISNUMBER($BX110),RANK($BX110,$BX$9:$BX$508,0),COUNT($BX$9:$BX$508)+1)))</f>
        <v/>
      </c>
      <c r="BZ110" s="124" t="str">
        <f aca="false">IF(ISBLANK($C110),"",IF($BL110&lt;&gt;Constants!$B$4,$BL110,COUNTIFS($BM$9:$BM$508,"&lt;"&amp;$BM110)+COUNTIFS($BM$9:$BM$508,$BM110,$BP$9:$BP$508,"&lt;"&amp;$BP110)+COUNTIFS($BM$9:$BM$508,$BM110,$BP$9:$BP$508,$BP110,$BS$9:$BS$508,"&lt;"&amp;$BS110)+COUNTIFS($BM$9:$BM$508,$BM110,$BP$9:$BP$508,$BP110,$BS$9:$BS$508,$BS110,$BU$9:$BU$508,"&lt;"&amp;$BU110)+COUNTIFS($BM$9:$BM$508,$BM110,$BP$9:$BP$508,$BP110,$BS$9:$BS$508,$BS110,$BU$9:$BU$508,$BU110,$BW$9:$BW$508,"&lt;"&amp;$BW110)+COUNTIFS($BM$9:$BM$508,$BM110,$BP$9:$BP$508,$BP110,$BS$9:$BS$508,$BS110,$BU$9:$BU$508,$BU110,$BW$9:$BW$508,$BW110,$BY$9:$BY$508,"&lt;"&amp;$BY110)+1))</f>
        <v/>
      </c>
      <c r="CA110" s="124" t="str">
        <f aca="false">IF(ISBLANK($C110),"",IF($BL110&lt;&gt;Constants!$B$4,$BL110,$BQ110-$BZ110))</f>
        <v/>
      </c>
      <c r="CB110" s="130"/>
      <c r="CC110" s="131" t="str">
        <f aca="false">IF(ISBLANK($C110),"",IF($BL110=Constants!$B$8,$AR110,""))</f>
        <v/>
      </c>
      <c r="CD110" s="131" t="str">
        <f aca="false">IF(ISBLANK($C110),"",IF($BL110&lt;&gt;Constants!$B$4,"",IF($BB110="-&gt;",2,1)))</f>
        <v/>
      </c>
      <c r="CE110" s="132" t="str">
        <f aca="false">IF(ISBLANK($C110),"",IF($BL110&lt;&gt;Constants!$B$4,"",IF($BB110="-&gt;",$BE110,$AU110)))</f>
        <v/>
      </c>
      <c r="CF110" s="132" t="str">
        <f aca="false">IF(ISBLANK($C110),"",IF($BL110&lt;&gt;Constants!$B$4,"",IF($BB110="-&gt;",$BF110,$AV110)))</f>
        <v/>
      </c>
      <c r="CG110" s="132" t="str">
        <f aca="false">IF(ISBLANK($C110),"",IF($BL110&lt;&gt;Constants!$B$4,"",IF($BB110="-&gt;",$BG110,$AW110)))</f>
        <v/>
      </c>
      <c r="CH110" s="132" t="str">
        <f aca="false">IF(ISBLANK($C110),"",IF($BL110&lt;&gt;Constants!$B$4,"",IF($BB110="-&gt;",$BH110,$AX110)))</f>
        <v/>
      </c>
      <c r="CI110" s="133" t="str">
        <f aca="false">IF(ISBLANK($C110),"",$BO110)</f>
        <v/>
      </c>
      <c r="CJ110" s="134" t="str">
        <f aca="false">IF(ISBLANK($C110),"",$BM110)</f>
        <v/>
      </c>
      <c r="CK110" s="135" t="str">
        <f aca="false">IF(ISBLANK($C110),"",$CA110)</f>
        <v/>
      </c>
      <c r="CL110" s="135" t="str">
        <f aca="false">IF(ISBLANK($C110),"",$BZ110)</f>
        <v/>
      </c>
      <c r="CM110" s="136" t="str">
        <f aca="false">IF(ISBLANK($C110),"",IF($CL110=Constants!$B$7,COUNTA($C$9:$C$508)+2,IF($CL110=Constants!$B$6,COUNTA($C$9:$C$508)+1,IF($CL110=Constants!$B$5,COUNTA($C$9:$C$508),$CL110))))</f>
        <v/>
      </c>
      <c r="CN110" s="8"/>
      <c r="CO110" s="137" t="n">
        <f aca="false">IF(OR(ISNUMBER($CL110),$CL110=Constants!$B$7,$CL110=Constants!$B$5,$CL110=Constants!$B$6),1,0)</f>
        <v>0</v>
      </c>
      <c r="CP110" s="137" t="n">
        <v>102</v>
      </c>
      <c r="CQ110" s="137" t="str">
        <f aca="false">IF(ISBLANK($C110),"",IF(ISNUMBER($CM110),$CM110+ROW($B110)/1000,""))</f>
        <v/>
      </c>
      <c r="CR110" s="137" t="str">
        <f aca="false">IF(ISNUMBER($CQ110),RANK($CQ110,$CQ$9:$CQ$508,1),"")</f>
        <v/>
      </c>
      <c r="CS110" s="137" t="str">
        <f aca="false">IF(ISBLANK($C110),"",$B110)</f>
        <v/>
      </c>
      <c r="CT110" s="137" t="str">
        <f aca="false">IF(ISBLANK($C110),"",$C110)</f>
        <v/>
      </c>
      <c r="CU110" s="137" t="str">
        <f aca="false">IF(ISBLANK($C110),"",$D110)</f>
        <v/>
      </c>
      <c r="CV110" s="138" t="str">
        <f aca="false">$CJ110</f>
        <v/>
      </c>
      <c r="CW110" s="139" t="str">
        <f aca="false">$CI110</f>
        <v/>
      </c>
      <c r="CX110" s="137" t="str">
        <f aca="false">IF(ISBLANK($C110),"",$CL110)</f>
        <v/>
      </c>
      <c r="CY110" s="140" t="str">
        <f aca="false">IF($CP110&gt;$CO$8,"",VLOOKUP($CP110,$CR$9:$CX$508,7,FALSE()))</f>
        <v/>
      </c>
      <c r="CZ110" s="141" t="str">
        <f aca="false">IF($CP110&gt;$CO$8,"",VLOOKUP($CP110,$CR$9:$CX$508,2,FALSE()))</f>
        <v/>
      </c>
      <c r="DA110" s="141" t="str">
        <f aca="false">IF($CP110&gt;$CO$8,"",VLOOKUP($CP110,$CR$9:$CX$508,3,FALSE()))</f>
        <v/>
      </c>
      <c r="DB110" s="141" t="str">
        <f aca="false">IF($CP110&gt;$CO$8,"",VLOOKUP($CP110,$CR$9:$CX$508,4,FALSE()))</f>
        <v/>
      </c>
      <c r="DC110" s="141" t="str">
        <f aca="false">IF($CP110&gt;$CO$8,"",VLOOKUP($CP110,$CR$9:$CX$508,5,FALSE()))</f>
        <v/>
      </c>
      <c r="DD110" s="142" t="str">
        <f aca="false">IF($CP110&gt;$CO$8,"",VLOOKUP($CP110,$CR$9:$CX$508,6,FALSE()))</f>
        <v/>
      </c>
      <c r="DE110" s="70"/>
    </row>
    <row r="111" customFormat="false" ht="15.75" hidden="false" customHeight="false" outlineLevel="0" collapsed="false">
      <c r="A111" s="8"/>
      <c r="B111" s="72"/>
      <c r="C111" s="73"/>
      <c r="D111" s="155"/>
      <c r="E111" s="162"/>
      <c r="F111" s="157"/>
      <c r="G111" s="77"/>
      <c r="H111" s="77"/>
      <c r="I111" s="77"/>
      <c r="J111" s="163"/>
      <c r="K111" s="161"/>
      <c r="L111" s="161"/>
      <c r="M111" s="80"/>
      <c r="N111" s="161"/>
      <c r="O111" s="160"/>
      <c r="P111" s="161"/>
      <c r="Q111" s="161"/>
      <c r="R111" s="161"/>
      <c r="S111" s="77"/>
      <c r="T111" s="161"/>
      <c r="U111" s="160"/>
      <c r="V111" s="161"/>
      <c r="W111" s="85"/>
      <c r="X111" s="86" t="str">
        <f aca="false">IF(ISBLANK($C111),"",IF($E111=Constants!$B$2,TRUE(),IF($E111=Constants!$B$3,FALSE(),TRUE())))</f>
        <v/>
      </c>
      <c r="Y111" s="86" t="str">
        <f aca="false">IF(ISBLANK($C111),"",IF($F111=Constants!$B$2,TRUE(),IF($F111=Constants!$B$3,FALSE(),TRUE())))</f>
        <v/>
      </c>
      <c r="Z111" s="87" t="str">
        <f aca="false">IF(ISBLANK($C111),"",IF(ISNUMBER($G111),IF($G111&gt;=0,$G111,""),""))</f>
        <v/>
      </c>
      <c r="AA111" s="87" t="str">
        <f aca="false">IF(ISBLANK($C111),"",IF(ISNUMBER($H111),IF($H111&gt;=0,$H111,""),""))</f>
        <v/>
      </c>
      <c r="AB111" s="87" t="str">
        <f aca="false">IF(ISBLANK($C111),"",IF(ISNUMBER($I111),IF($I111&gt;=0,$I111,""),""))</f>
        <v/>
      </c>
      <c r="AC111" s="86" t="str">
        <f aca="false">IF(ISBLANK($C111),"",IF($J111=Constants!$B$2,TRUE(),IF($J111=Constants!$B$3,FALSE(),TRUE())))</f>
        <v/>
      </c>
      <c r="AD111" s="86" t="str">
        <f aca="false">IF(ISBLANK($C111),"",IF($K111=Constants!$B$2,TRUE(),IF($K111=Constants!$B$3,FALSE(),TRUE())))</f>
        <v/>
      </c>
      <c r="AE111" s="86" t="str">
        <f aca="false">IF(ISBLANK($C111),"",IF($L111=Constants!$B$2,TRUE(),IF($L111=Constants!$B$3,FALSE(),TRUE())))</f>
        <v/>
      </c>
      <c r="AF111" s="88" t="str">
        <f aca="false">IF(ISBLANK($C111),"",IF(ISNUMBER($M111),IF($M111&gt;=0,$M111,""),""))</f>
        <v/>
      </c>
      <c r="AG111" s="86" t="str">
        <f aca="false">IF(ISBLANK($C111),"",IF(ISBLANK($N111),0,IF(ISNUMBER($N111),IF(AND($N111&gt;=0,$N111&lt;=Constants!$B$17,$N111=INT($N111)),$N111,""),"")))</f>
        <v/>
      </c>
      <c r="AH111" s="87" t="str">
        <f aca="false">IF(ISBLANK($C111),"",IF(ISBLANK($O111),0,IF(ISNUMBER($O111),IF($O111&gt;=0,$O111,""),"")))</f>
        <v/>
      </c>
      <c r="AI111" s="86" t="str">
        <f aca="false">IF(ISBLANK($C111),"",IF($P111=Constants!$B$2,TRUE(),IF($P111=Constants!$B$3,FALSE(),TRUE())))</f>
        <v/>
      </c>
      <c r="AJ111" s="86" t="str">
        <f aca="false">IF(ISBLANK($C111),"",IF($Q111=Constants!$B$2,TRUE(),IF($Q111=Constants!$B$3,FALSE(),TRUE())))</f>
        <v/>
      </c>
      <c r="AK111" s="86" t="str">
        <f aca="false">IF(ISBLANK($C111),"",IF($R111=Constants!$B$2,TRUE(),IF($R111=Constants!$B$3,FALSE(),TRUE())))</f>
        <v/>
      </c>
      <c r="AL111" s="88" t="str">
        <f aca="false">IF(ISBLANK($C111),"",IF(ISNUMBER($S111),IF($S111&gt;=0,$S111,""),""))</f>
        <v/>
      </c>
      <c r="AM111" s="86" t="str">
        <f aca="false">IF(ISBLANK($C111),"",IF(ISBLANK($T111),0,IF(ISNUMBER($T111),IF(AND($T111&gt;=0,$T111&lt;=Constants!$B$17,$T111=INT($T111)),$T111,""),"")))</f>
        <v/>
      </c>
      <c r="AN111" s="87" t="str">
        <f aca="false">IF(ISBLANK($C111),"",IF(ISBLANK($U111),0,IF(ISNUMBER($U111),IF($U111&gt;=0,$U111,""),"")))</f>
        <v/>
      </c>
      <c r="AO111" s="86" t="str">
        <f aca="false">IF(ISBLANK($C111),"",IF($V111=Constants!$B$2,TRUE(),IF($V111=Constants!$B$3,FALSE(),FALSE())))</f>
        <v/>
      </c>
      <c r="AP111" s="86"/>
      <c r="AQ111" s="85" t="str">
        <f aca="false">IF(ISBLANK($C111),"",AND($Y111,OR($AS111,$BC111),OR($Z111="",$AA111="",$AB111="")))</f>
        <v/>
      </c>
      <c r="AR111" s="85" t="str">
        <f aca="false">IF(ISBLANK($C111),"",IF(OR(NOT($Y111),NOT(OR($AS111,$BC111))),"",IF(ISBLANK($D$7),$AR$5,IF($AP$9="",$AR$6,""))))</f>
        <v/>
      </c>
      <c r="AS111" s="85" t="str">
        <f aca="false">IF(ISBLANK($C111),"",COUNTA($J111:$O111)&gt;0)</f>
        <v/>
      </c>
      <c r="AT111" s="85" t="str">
        <f aca="false">IF(ISBLANK($C111),"",AND($AS111,OR(AND($AF111="",OR($AE111,NOT(ISBLANK($M111)))),$AG111="",$AH111="")))</f>
        <v/>
      </c>
      <c r="AU111" s="87" t="str">
        <f aca="false">IF($BL111&lt;&gt;Constants!$B$4,"",IF(NOT($AS111),"",ROUND((Constants!$B$12-$AB111)+(Constants!$B$13-$Z111)+(Constants!$B$14-$AA111),1)))</f>
        <v/>
      </c>
      <c r="AV111" s="90" t="str">
        <f aca="false">IF($BL111&lt;&gt;Constants!$B$4,"",IF(NOT($AS111),"",IF(NOT($AE111),0,Constants!$B$15*(INT(ROUND(MIN($AF111,$AP$9),6))-INT(ROUND(MAX(0,MIN($AF111,2*$AP$9)-$AP$9),6))))))</f>
        <v/>
      </c>
      <c r="AW111" s="90" t="str">
        <f aca="false">IF($BL111&lt;&gt;Constants!$B$4,"",IF(NOT($AS111),"",Constants!$B$16*$AG111))</f>
        <v/>
      </c>
      <c r="AX111" s="90" t="str">
        <f aca="false">IF($BL111&lt;&gt;Constants!$B$4,"",IF(NOT($AS111),"",Constants!$B$18*INT(ROUND($AH111,6))))</f>
        <v/>
      </c>
      <c r="AY111" s="85" t="str">
        <f aca="false">IF($BL111&lt;&gt;Constants!$B$4,"",IF(NOT($AS111),"",IF(NOT($X111),Constants!$B$11,IF(OR(NOT($AC111),NOT($AD111),ROUND($AB111,1)&gt;Constants!$B$12,ROUND($Z111,1)&gt;Constants!$B$13,ROUND($AA111,1)&gt;Constants!$B$14),Constants!$B$10,Constants!$B$9))))</f>
        <v/>
      </c>
      <c r="AZ111" s="91" t="str">
        <f aca="false">IF($BL111&lt;&gt;Constants!$B$4,"",IF(NOT($AS111),"",ROUND($AU111+$AV111+$AW111+$AX111,1)))</f>
        <v/>
      </c>
      <c r="BA111" s="92" t="str">
        <f aca="false">IF($BL111&lt;&gt;Constants!$B$4,"",IF(NOT($AS111),"",IF(ISNUMBER($AF111),$AF111,0)))</f>
        <v/>
      </c>
      <c r="BB111" s="86" t="str">
        <f aca="false">IF($BL111&lt;&gt;Constants!$B$4,"",IF(NOT($BC111),"&lt;-",IF(NOT($AS111),"-&gt;",IF(OR($BI111&lt;$AY111,AND($BI111=$AY111,OR($BJ111&gt;$AZ111,AND($BJ111=$AZ111,OR($BH111&gt;$AX111,AND($BH111=$AX111,OR($BE111&gt;$AU111,AND($BE111=$AU111,OR($BF111&gt;$AV111,AND($BF111=$AV111,$BK111&gt;$BA111)))))))))),"-&gt;","&lt;-"))))</f>
        <v/>
      </c>
      <c r="BC111" s="85" t="str">
        <f aca="false">IF(ISBLANK($C111),"",COUNTA($P111:$U111)&gt;0)</f>
        <v/>
      </c>
      <c r="BD111" s="85" t="str">
        <f aca="false">IF(ISBLANK($C111),"",AND($BC111,OR(AND($AL111="",OR($AK111,NOT(ISBLANK($S111)))),$AM111="",$AN111="")))</f>
        <v/>
      </c>
      <c r="BE111" s="87" t="str">
        <f aca="false">IF($BL111&lt;&gt;Constants!$B$4,"",IF(NOT($BC111),"",ROUND((Constants!$B$12-$AB111)+(Constants!$B$13-$Z111)+(Constants!$B$14-$AA111),1)))</f>
        <v/>
      </c>
      <c r="BF111" s="90" t="str">
        <f aca="false">IF($BL111&lt;&gt;Constants!$B$4,"",IF(NOT($BC111),"",IF(NOT($AK111),0,Constants!$B$15*(INT(ROUND(MIN($AL111,$AP$9),6))-INT(ROUND(MAX(0,MIN($AL111,2*$AP$9)-$AP$9),6))))))</f>
        <v/>
      </c>
      <c r="BG111" s="90" t="str">
        <f aca="false">IF($BL111&lt;&gt;Constants!$B$4,"",IF(NOT($BC111),"",Constants!$B$16*$AM111))</f>
        <v/>
      </c>
      <c r="BH111" s="90" t="str">
        <f aca="false">IF($BL111&lt;&gt;Constants!$B$4,"",IF(NOT($BC111),"",Constants!$B$18*INT(ROUND($AN111,6))))</f>
        <v/>
      </c>
      <c r="BI111" s="85" t="str">
        <f aca="false">IF($BL111&lt;&gt;Constants!$B$4,"",IF(NOT($BC111),"",IF(NOT($X111),Constants!$B$11,IF(OR(NOT($AI111),NOT($AJ111),ROUND($AB111,1)&gt;Constants!$B$12,ROUND($Z111,1)&gt;Constants!$B$13,ROUND($AA111,1)&gt;Constants!$B$14),Constants!$B$10,Constants!$B$9))))</f>
        <v/>
      </c>
      <c r="BJ111" s="91" t="str">
        <f aca="false">IF($BL111&lt;&gt;Constants!$B$4,"",IF(NOT($BC111),"",ROUND($BE111+$BF111+$BG111+$BH111,1)))</f>
        <v/>
      </c>
      <c r="BK111" s="92" t="str">
        <f aca="false">IF($BL111&lt;&gt;Constants!$B$4,"",IF(NOT($BC111),"",IF(ISNUMBER($AL111),$AL111,0)))</f>
        <v/>
      </c>
      <c r="BL111" s="86" t="str">
        <f aca="false">IF(ISBLANK($C111),"",IF($AO111,Constants!$B$7,IF(COUNTA($E111:$V111)=0,Constants!$B$6,IF(NOT($Y111),Constants!$B$5,IF(NOT(OR($AS111,$BC111)),Constants!$B$5,IF(OR($AT111,$BD111,$AQ111,$AR111&lt;&gt;""),Constants!$B$8,Constants!$B$4))))))</f>
        <v/>
      </c>
      <c r="BM111" s="86" t="str">
        <f aca="false">IF(ISBLANK($C111),"",IF($BL111&lt;&gt;Constants!$B$4,$BL111,IF($BB111="-&gt;",$BI111,$AY111)))</f>
        <v/>
      </c>
      <c r="BN111" s="90" t="str">
        <f aca="false">IF($BL111&lt;&gt;Constants!$B$4,"",IF($BB111="-&gt;",$BJ111,$AZ111))</f>
        <v/>
      </c>
      <c r="BO111" s="90" t="str">
        <f aca="false">IF(ISBLANK($C111),"",IF($BL111&lt;&gt;Constants!$B$4,$BL111,$BN111))</f>
        <v/>
      </c>
      <c r="BP111" s="86" t="str">
        <f aca="false">IF(ISBLANK($C111),"",IF($BL111&lt;&gt;Constants!$B$4,$BL111,RANK($BO111,$BO$9:$BO$508,0)))</f>
        <v/>
      </c>
      <c r="BQ111" s="86" t="str">
        <f aca="false">IF(ISBLANK($C111),"",IF($BL111&lt;&gt;Constants!$B$4,$BL111,COUNTIFS($BM$9:$BM$508,"&lt;"&amp;$BM111)+COUNTIFS($BM$9:$BM$508,$BM111,$BP$9:$BP$508,"&lt;"&amp;$BP111)+1))</f>
        <v/>
      </c>
      <c r="BR111" s="90" t="str">
        <f aca="false">IF($BL111&lt;&gt;Constants!$B$4,"",IF($BB111="-&gt;",$BH111,$AX111))</f>
        <v/>
      </c>
      <c r="BS111" s="86" t="str">
        <f aca="false">IF(ISBLANK($C111),"",IF($BL111&lt;&gt;Constants!$B$4,$BL111,IF(ISNUMBER($BR111),RANK($BR111,$BR$9:$BR$508,0),COUNT($BR$9:$BR$508)+1)))</f>
        <v/>
      </c>
      <c r="BT111" s="90" t="str">
        <f aca="false">IF($BL111&lt;&gt;Constants!$B$4,"",IF($BB111="-&gt;",$BE111,$AU111))</f>
        <v/>
      </c>
      <c r="BU111" s="86" t="str">
        <f aca="false">IF(ISBLANK($C111),"",IF($BL111&lt;&gt;Constants!$B$4,$BL111,IF(ISNUMBER($BT111),RANK($BT111,$BT$9:$BT$508,0),COUNT($BT$9:$BT$508)+1)))</f>
        <v/>
      </c>
      <c r="BV111" s="90" t="str">
        <f aca="false">IF($BL111&lt;&gt;Constants!$B$4,"",IF($BB111="-&gt;",$BF111,$AV111))</f>
        <v/>
      </c>
      <c r="BW111" s="86" t="str">
        <f aca="false">IF(ISBLANK($C111),"",IF($BL111&lt;&gt;Constants!$B$4,$BL111,IF(ISNUMBER($BV111),RANK($BV111,$BV$9:$BV$508,0),COUNT($BV$9:$BV$508)+1)))</f>
        <v/>
      </c>
      <c r="BX111" s="90" t="str">
        <f aca="false">IF($BL111&lt;&gt;Constants!$B$4,"",IF($BB111="-&gt;",$BK111,$BA111))</f>
        <v/>
      </c>
      <c r="BY111" s="86" t="str">
        <f aca="false">IF(ISBLANK($C111),"",IF($BL111&lt;&gt;Constants!$B$4,$BL111,IF(ISNUMBER($BX111),RANK($BX111,$BX$9:$BX$508,0),COUNT($BX$9:$BX$508)+1)))</f>
        <v/>
      </c>
      <c r="BZ111" s="86" t="str">
        <f aca="false">IF(ISBLANK($C111),"",IF($BL111&lt;&gt;Constants!$B$4,$BL111,COUNTIFS($BM$9:$BM$508,"&lt;"&amp;$BM111)+COUNTIFS($BM$9:$BM$508,$BM111,$BP$9:$BP$508,"&lt;"&amp;$BP111)+COUNTIFS($BM$9:$BM$508,$BM111,$BP$9:$BP$508,$BP111,$BS$9:$BS$508,"&lt;"&amp;$BS111)+COUNTIFS($BM$9:$BM$508,$BM111,$BP$9:$BP$508,$BP111,$BS$9:$BS$508,$BS111,$BU$9:$BU$508,"&lt;"&amp;$BU111)+COUNTIFS($BM$9:$BM$508,$BM111,$BP$9:$BP$508,$BP111,$BS$9:$BS$508,$BS111,$BU$9:$BU$508,$BU111,$BW$9:$BW$508,"&lt;"&amp;$BW111)+COUNTIFS($BM$9:$BM$508,$BM111,$BP$9:$BP$508,$BP111,$BS$9:$BS$508,$BS111,$BU$9:$BU$508,$BU111,$BW$9:$BW$508,$BW111,$BY$9:$BY$508,"&lt;"&amp;$BY111)+1))</f>
        <v/>
      </c>
      <c r="CA111" s="86" t="str">
        <f aca="false">IF(ISBLANK($C111),"",IF($BL111&lt;&gt;Constants!$B$4,$BL111,$BQ111-$BZ111))</f>
        <v/>
      </c>
      <c r="CB111" s="93"/>
      <c r="CC111" s="94" t="str">
        <f aca="false">IF(ISBLANK($C111),"",IF($BL111=Constants!$B$8,$AR111,""))</f>
        <v/>
      </c>
      <c r="CD111" s="94" t="str">
        <f aca="false">IF(ISBLANK($C111),"",IF($BL111&lt;&gt;Constants!$B$4,"",IF($BB111="-&gt;",2,1)))</f>
        <v/>
      </c>
      <c r="CE111" s="95" t="str">
        <f aca="false">IF(ISBLANK($C111),"",IF($BL111&lt;&gt;Constants!$B$4,"",IF($BB111="-&gt;",$BE111,$AU111)))</f>
        <v/>
      </c>
      <c r="CF111" s="95" t="str">
        <f aca="false">IF(ISBLANK($C111),"",IF($BL111&lt;&gt;Constants!$B$4,"",IF($BB111="-&gt;",$BF111,$AV111)))</f>
        <v/>
      </c>
      <c r="CG111" s="95" t="str">
        <f aca="false">IF(ISBLANK($C111),"",IF($BL111&lt;&gt;Constants!$B$4,"",IF($BB111="-&gt;",$BG111,$AW111)))</f>
        <v/>
      </c>
      <c r="CH111" s="95" t="str">
        <f aca="false">IF(ISBLANK($C111),"",IF($BL111&lt;&gt;Constants!$B$4,"",IF($BB111="-&gt;",$BH111,$AX111)))</f>
        <v/>
      </c>
      <c r="CI111" s="96" t="str">
        <f aca="false">IF(ISBLANK($C111),"",$BO111)</f>
        <v/>
      </c>
      <c r="CJ111" s="97" t="str">
        <f aca="false">IF(ISBLANK($C111),"",$BM111)</f>
        <v/>
      </c>
      <c r="CK111" s="98" t="str">
        <f aca="false">IF(ISBLANK($C111),"",$CA111)</f>
        <v/>
      </c>
      <c r="CL111" s="98" t="str">
        <f aca="false">IF(ISBLANK($C111),"",$BZ111)</f>
        <v/>
      </c>
      <c r="CM111" s="99" t="str">
        <f aca="false">IF(ISBLANK($C111),"",IF($CL111=Constants!$B$7,COUNTA($C$9:$C$508)+2,IF($CL111=Constants!$B$6,COUNTA($C$9:$C$508)+1,IF($CL111=Constants!$B$5,COUNTA($C$9:$C$508),$CL111))))</f>
        <v/>
      </c>
      <c r="CN111" s="8"/>
      <c r="CO111" s="100" t="n">
        <f aca="false">IF(OR(ISNUMBER($CL111),$CL111=Constants!$B$7,$CL111=Constants!$B$5,$CL111=Constants!$B$6),1,0)</f>
        <v>0</v>
      </c>
      <c r="CP111" s="100" t="n">
        <v>103</v>
      </c>
      <c r="CQ111" s="100" t="str">
        <f aca="false">IF(ISBLANK($C111),"",IF(ISNUMBER($CM111),$CM111+ROW($B111)/1000,""))</f>
        <v/>
      </c>
      <c r="CR111" s="100" t="str">
        <f aca="false">IF(ISNUMBER($CQ111),RANK($CQ111,$CQ$9:$CQ$508,1),"")</f>
        <v/>
      </c>
      <c r="CS111" s="100" t="str">
        <f aca="false">IF(ISBLANK($C111),"",$B111)</f>
        <v/>
      </c>
      <c r="CT111" s="100" t="str">
        <f aca="false">IF(ISBLANK($C111),"",$C111)</f>
        <v/>
      </c>
      <c r="CU111" s="100" t="str">
        <f aca="false">IF(ISBLANK($C111),"",$D111)</f>
        <v/>
      </c>
      <c r="CV111" s="101" t="str">
        <f aca="false">$CJ111</f>
        <v/>
      </c>
      <c r="CW111" s="102" t="str">
        <f aca="false">$CI111</f>
        <v/>
      </c>
      <c r="CX111" s="100" t="str">
        <f aca="false">IF(ISBLANK($C111),"",$CL111)</f>
        <v/>
      </c>
      <c r="CY111" s="103" t="str">
        <f aca="false">IF($CP111&gt;$CO$8,"",VLOOKUP($CP111,$CR$9:$CX$508,7,FALSE()))</f>
        <v/>
      </c>
      <c r="CZ111" s="104" t="str">
        <f aca="false">IF($CP111&gt;$CO$8,"",VLOOKUP($CP111,$CR$9:$CX$508,2,FALSE()))</f>
        <v/>
      </c>
      <c r="DA111" s="104" t="str">
        <f aca="false">IF($CP111&gt;$CO$8,"",VLOOKUP($CP111,$CR$9:$CX$508,3,FALSE()))</f>
        <v/>
      </c>
      <c r="DB111" s="104" t="str">
        <f aca="false">IF($CP111&gt;$CO$8,"",VLOOKUP($CP111,$CR$9:$CX$508,4,FALSE()))</f>
        <v/>
      </c>
      <c r="DC111" s="104" t="str">
        <f aca="false">IF($CP111&gt;$CO$8,"",VLOOKUP($CP111,$CR$9:$CX$508,5,FALSE()))</f>
        <v/>
      </c>
      <c r="DD111" s="105" t="str">
        <f aca="false">IF($CP111&gt;$CO$8,"",VLOOKUP($CP111,$CR$9:$CX$508,6,FALSE()))</f>
        <v/>
      </c>
      <c r="DE111" s="70"/>
    </row>
    <row r="112" customFormat="false" ht="15.75" hidden="false" customHeight="false" outlineLevel="0" collapsed="false">
      <c r="A112" s="8"/>
      <c r="B112" s="72"/>
      <c r="C112" s="73"/>
      <c r="D112" s="155"/>
      <c r="E112" s="162"/>
      <c r="F112" s="157"/>
      <c r="G112" s="77"/>
      <c r="H112" s="77"/>
      <c r="I112" s="77"/>
      <c r="J112" s="163"/>
      <c r="K112" s="161"/>
      <c r="L112" s="161"/>
      <c r="M112" s="80"/>
      <c r="N112" s="161"/>
      <c r="O112" s="160"/>
      <c r="P112" s="161"/>
      <c r="Q112" s="161"/>
      <c r="R112" s="161"/>
      <c r="S112" s="77"/>
      <c r="T112" s="161"/>
      <c r="U112" s="160"/>
      <c r="V112" s="161"/>
      <c r="W112" s="85"/>
      <c r="X112" s="86" t="str">
        <f aca="false">IF(ISBLANK($C112),"",IF($E112=Constants!$B$2,TRUE(),IF($E112=Constants!$B$3,FALSE(),TRUE())))</f>
        <v/>
      </c>
      <c r="Y112" s="86" t="str">
        <f aca="false">IF(ISBLANK($C112),"",IF($F112=Constants!$B$2,TRUE(),IF($F112=Constants!$B$3,FALSE(),TRUE())))</f>
        <v/>
      </c>
      <c r="Z112" s="87" t="str">
        <f aca="false">IF(ISBLANK($C112),"",IF(ISNUMBER($G112),IF($G112&gt;=0,$G112,""),""))</f>
        <v/>
      </c>
      <c r="AA112" s="87" t="str">
        <f aca="false">IF(ISBLANK($C112),"",IF(ISNUMBER($H112),IF($H112&gt;=0,$H112,""),""))</f>
        <v/>
      </c>
      <c r="AB112" s="87" t="str">
        <f aca="false">IF(ISBLANK($C112),"",IF(ISNUMBER($I112),IF($I112&gt;=0,$I112,""),""))</f>
        <v/>
      </c>
      <c r="AC112" s="86" t="str">
        <f aca="false">IF(ISBLANK($C112),"",IF($J112=Constants!$B$2,TRUE(),IF($J112=Constants!$B$3,FALSE(),TRUE())))</f>
        <v/>
      </c>
      <c r="AD112" s="86" t="str">
        <f aca="false">IF(ISBLANK($C112),"",IF($K112=Constants!$B$2,TRUE(),IF($K112=Constants!$B$3,FALSE(),TRUE())))</f>
        <v/>
      </c>
      <c r="AE112" s="86" t="str">
        <f aca="false">IF(ISBLANK($C112),"",IF($L112=Constants!$B$2,TRUE(),IF($L112=Constants!$B$3,FALSE(),TRUE())))</f>
        <v/>
      </c>
      <c r="AF112" s="88" t="str">
        <f aca="false">IF(ISBLANK($C112),"",IF(ISNUMBER($M112),IF($M112&gt;=0,$M112,""),""))</f>
        <v/>
      </c>
      <c r="AG112" s="86" t="str">
        <f aca="false">IF(ISBLANK($C112),"",IF(ISBLANK($N112),0,IF(ISNUMBER($N112),IF(AND($N112&gt;=0,$N112&lt;=Constants!$B$17,$N112=INT($N112)),$N112,""),"")))</f>
        <v/>
      </c>
      <c r="AH112" s="87" t="str">
        <f aca="false">IF(ISBLANK($C112),"",IF(ISBLANK($O112),0,IF(ISNUMBER($O112),IF($O112&gt;=0,$O112,""),"")))</f>
        <v/>
      </c>
      <c r="AI112" s="86" t="str">
        <f aca="false">IF(ISBLANK($C112),"",IF($P112=Constants!$B$2,TRUE(),IF($P112=Constants!$B$3,FALSE(),TRUE())))</f>
        <v/>
      </c>
      <c r="AJ112" s="86" t="str">
        <f aca="false">IF(ISBLANK($C112),"",IF($Q112=Constants!$B$2,TRUE(),IF($Q112=Constants!$B$3,FALSE(),TRUE())))</f>
        <v/>
      </c>
      <c r="AK112" s="86" t="str">
        <f aca="false">IF(ISBLANK($C112),"",IF($R112=Constants!$B$2,TRUE(),IF($R112=Constants!$B$3,FALSE(),TRUE())))</f>
        <v/>
      </c>
      <c r="AL112" s="88" t="str">
        <f aca="false">IF(ISBLANK($C112),"",IF(ISNUMBER($S112),IF($S112&gt;=0,$S112,""),""))</f>
        <v/>
      </c>
      <c r="AM112" s="86" t="str">
        <f aca="false">IF(ISBLANK($C112),"",IF(ISBLANK($T112),0,IF(ISNUMBER($T112),IF(AND($T112&gt;=0,$T112&lt;=Constants!$B$17,$T112=INT($T112)),$T112,""),"")))</f>
        <v/>
      </c>
      <c r="AN112" s="87" t="str">
        <f aca="false">IF(ISBLANK($C112),"",IF(ISBLANK($U112),0,IF(ISNUMBER($U112),IF($U112&gt;=0,$U112,""),"")))</f>
        <v/>
      </c>
      <c r="AO112" s="86" t="str">
        <f aca="false">IF(ISBLANK($C112),"",IF($V112=Constants!$B$2,TRUE(),IF($V112=Constants!$B$3,FALSE(),FALSE())))</f>
        <v/>
      </c>
      <c r="AP112" s="86"/>
      <c r="AQ112" s="85" t="str">
        <f aca="false">IF(ISBLANK($C112),"",AND($Y112,OR($AS112,$BC112),OR($Z112="",$AA112="",$AB112="")))</f>
        <v/>
      </c>
      <c r="AR112" s="85" t="str">
        <f aca="false">IF(ISBLANK($C112),"",IF(OR(NOT($Y112),NOT(OR($AS112,$BC112))),"",IF(ISBLANK($D$7),$AR$5,IF($AP$9="",$AR$6,""))))</f>
        <v/>
      </c>
      <c r="AS112" s="85" t="str">
        <f aca="false">IF(ISBLANK($C112),"",COUNTA($J112:$O112)&gt;0)</f>
        <v/>
      </c>
      <c r="AT112" s="85" t="str">
        <f aca="false">IF(ISBLANK($C112),"",AND($AS112,OR(AND($AF112="",OR($AE112,NOT(ISBLANK($M112)))),$AG112="",$AH112="")))</f>
        <v/>
      </c>
      <c r="AU112" s="87" t="str">
        <f aca="false">IF($BL112&lt;&gt;Constants!$B$4,"",IF(NOT($AS112),"",ROUND((Constants!$B$12-$AB112)+(Constants!$B$13-$Z112)+(Constants!$B$14-$AA112),1)))</f>
        <v/>
      </c>
      <c r="AV112" s="90" t="str">
        <f aca="false">IF($BL112&lt;&gt;Constants!$B$4,"",IF(NOT($AS112),"",IF(NOT($AE112),0,Constants!$B$15*(INT(ROUND(MIN($AF112,$AP$9),6))-INT(ROUND(MAX(0,MIN($AF112,2*$AP$9)-$AP$9),6))))))</f>
        <v/>
      </c>
      <c r="AW112" s="90" t="str">
        <f aca="false">IF($BL112&lt;&gt;Constants!$B$4,"",IF(NOT($AS112),"",Constants!$B$16*$AG112))</f>
        <v/>
      </c>
      <c r="AX112" s="90" t="str">
        <f aca="false">IF($BL112&lt;&gt;Constants!$B$4,"",IF(NOT($AS112),"",Constants!$B$18*INT(ROUND($AH112,6))))</f>
        <v/>
      </c>
      <c r="AY112" s="85" t="str">
        <f aca="false">IF($BL112&lt;&gt;Constants!$B$4,"",IF(NOT($AS112),"",IF(NOT($X112),Constants!$B$11,IF(OR(NOT($AC112),NOT($AD112),ROUND($AB112,1)&gt;Constants!$B$12,ROUND($Z112,1)&gt;Constants!$B$13,ROUND($AA112,1)&gt;Constants!$B$14),Constants!$B$10,Constants!$B$9))))</f>
        <v/>
      </c>
      <c r="AZ112" s="91" t="str">
        <f aca="false">IF($BL112&lt;&gt;Constants!$B$4,"",IF(NOT($AS112),"",ROUND($AU112+$AV112+$AW112+$AX112,1)))</f>
        <v/>
      </c>
      <c r="BA112" s="92" t="str">
        <f aca="false">IF($BL112&lt;&gt;Constants!$B$4,"",IF(NOT($AS112),"",IF(ISNUMBER($AF112),$AF112,0)))</f>
        <v/>
      </c>
      <c r="BB112" s="86" t="str">
        <f aca="false">IF($BL112&lt;&gt;Constants!$B$4,"",IF(NOT($BC112),"&lt;-",IF(NOT($AS112),"-&gt;",IF(OR($BI112&lt;$AY112,AND($BI112=$AY112,OR($BJ112&gt;$AZ112,AND($BJ112=$AZ112,OR($BH112&gt;$AX112,AND($BH112=$AX112,OR($BE112&gt;$AU112,AND($BE112=$AU112,OR($BF112&gt;$AV112,AND($BF112=$AV112,$BK112&gt;$BA112)))))))))),"-&gt;","&lt;-"))))</f>
        <v/>
      </c>
      <c r="BC112" s="85" t="str">
        <f aca="false">IF(ISBLANK($C112),"",COUNTA($P112:$U112)&gt;0)</f>
        <v/>
      </c>
      <c r="BD112" s="85" t="str">
        <f aca="false">IF(ISBLANK($C112),"",AND($BC112,OR(AND($AL112="",OR($AK112,NOT(ISBLANK($S112)))),$AM112="",$AN112="")))</f>
        <v/>
      </c>
      <c r="BE112" s="87" t="str">
        <f aca="false">IF($BL112&lt;&gt;Constants!$B$4,"",IF(NOT($BC112),"",ROUND((Constants!$B$12-$AB112)+(Constants!$B$13-$Z112)+(Constants!$B$14-$AA112),1)))</f>
        <v/>
      </c>
      <c r="BF112" s="90" t="str">
        <f aca="false">IF($BL112&lt;&gt;Constants!$B$4,"",IF(NOT($BC112),"",IF(NOT($AK112),0,Constants!$B$15*(INT(ROUND(MIN($AL112,$AP$9),6))-INT(ROUND(MAX(0,MIN($AL112,2*$AP$9)-$AP$9),6))))))</f>
        <v/>
      </c>
      <c r="BG112" s="90" t="str">
        <f aca="false">IF($BL112&lt;&gt;Constants!$B$4,"",IF(NOT($BC112),"",Constants!$B$16*$AM112))</f>
        <v/>
      </c>
      <c r="BH112" s="90" t="str">
        <f aca="false">IF($BL112&lt;&gt;Constants!$B$4,"",IF(NOT($BC112),"",Constants!$B$18*INT(ROUND($AN112,6))))</f>
        <v/>
      </c>
      <c r="BI112" s="85" t="str">
        <f aca="false">IF($BL112&lt;&gt;Constants!$B$4,"",IF(NOT($BC112),"",IF(NOT($X112),Constants!$B$11,IF(OR(NOT($AI112),NOT($AJ112),ROUND($AB112,1)&gt;Constants!$B$12,ROUND($Z112,1)&gt;Constants!$B$13,ROUND($AA112,1)&gt;Constants!$B$14),Constants!$B$10,Constants!$B$9))))</f>
        <v/>
      </c>
      <c r="BJ112" s="91" t="str">
        <f aca="false">IF($BL112&lt;&gt;Constants!$B$4,"",IF(NOT($BC112),"",ROUND($BE112+$BF112+$BG112+$BH112,1)))</f>
        <v/>
      </c>
      <c r="BK112" s="92" t="str">
        <f aca="false">IF($BL112&lt;&gt;Constants!$B$4,"",IF(NOT($BC112),"",IF(ISNUMBER($AL112),$AL112,0)))</f>
        <v/>
      </c>
      <c r="BL112" s="86" t="str">
        <f aca="false">IF(ISBLANK($C112),"",IF($AO112,Constants!$B$7,IF(COUNTA($E112:$V112)=0,Constants!$B$6,IF(NOT($Y112),Constants!$B$5,IF(NOT(OR($AS112,$BC112)),Constants!$B$5,IF(OR($AT112,$BD112,$AQ112,$AR112&lt;&gt;""),Constants!$B$8,Constants!$B$4))))))</f>
        <v/>
      </c>
      <c r="BM112" s="86" t="str">
        <f aca="false">IF(ISBLANK($C112),"",IF($BL112&lt;&gt;Constants!$B$4,$BL112,IF($BB112="-&gt;",$BI112,$AY112)))</f>
        <v/>
      </c>
      <c r="BN112" s="90" t="str">
        <f aca="false">IF($BL112&lt;&gt;Constants!$B$4,"",IF($BB112="-&gt;",$BJ112,$AZ112))</f>
        <v/>
      </c>
      <c r="BO112" s="90" t="str">
        <f aca="false">IF(ISBLANK($C112),"",IF($BL112&lt;&gt;Constants!$B$4,$BL112,$BN112))</f>
        <v/>
      </c>
      <c r="BP112" s="86" t="str">
        <f aca="false">IF(ISBLANK($C112),"",IF($BL112&lt;&gt;Constants!$B$4,$BL112,RANK($BO112,$BO$9:$BO$508,0)))</f>
        <v/>
      </c>
      <c r="BQ112" s="86" t="str">
        <f aca="false">IF(ISBLANK($C112),"",IF($BL112&lt;&gt;Constants!$B$4,$BL112,COUNTIFS($BM$9:$BM$508,"&lt;"&amp;$BM112)+COUNTIFS($BM$9:$BM$508,$BM112,$BP$9:$BP$508,"&lt;"&amp;$BP112)+1))</f>
        <v/>
      </c>
      <c r="BR112" s="90" t="str">
        <f aca="false">IF($BL112&lt;&gt;Constants!$B$4,"",IF($BB112="-&gt;",$BH112,$AX112))</f>
        <v/>
      </c>
      <c r="BS112" s="86" t="str">
        <f aca="false">IF(ISBLANK($C112),"",IF($BL112&lt;&gt;Constants!$B$4,$BL112,IF(ISNUMBER($BR112),RANK($BR112,$BR$9:$BR$508,0),COUNT($BR$9:$BR$508)+1)))</f>
        <v/>
      </c>
      <c r="BT112" s="90" t="str">
        <f aca="false">IF($BL112&lt;&gt;Constants!$B$4,"",IF($BB112="-&gt;",$BE112,$AU112))</f>
        <v/>
      </c>
      <c r="BU112" s="86" t="str">
        <f aca="false">IF(ISBLANK($C112),"",IF($BL112&lt;&gt;Constants!$B$4,$BL112,IF(ISNUMBER($BT112),RANK($BT112,$BT$9:$BT$508,0),COUNT($BT$9:$BT$508)+1)))</f>
        <v/>
      </c>
      <c r="BV112" s="90" t="str">
        <f aca="false">IF($BL112&lt;&gt;Constants!$B$4,"",IF($BB112="-&gt;",$BF112,$AV112))</f>
        <v/>
      </c>
      <c r="BW112" s="86" t="str">
        <f aca="false">IF(ISBLANK($C112),"",IF($BL112&lt;&gt;Constants!$B$4,$BL112,IF(ISNUMBER($BV112),RANK($BV112,$BV$9:$BV$508,0),COUNT($BV$9:$BV$508)+1)))</f>
        <v/>
      </c>
      <c r="BX112" s="90" t="str">
        <f aca="false">IF($BL112&lt;&gt;Constants!$B$4,"",IF($BB112="-&gt;",$BK112,$BA112))</f>
        <v/>
      </c>
      <c r="BY112" s="86" t="str">
        <f aca="false">IF(ISBLANK($C112),"",IF($BL112&lt;&gt;Constants!$B$4,$BL112,IF(ISNUMBER($BX112),RANK($BX112,$BX$9:$BX$508,0),COUNT($BX$9:$BX$508)+1)))</f>
        <v/>
      </c>
      <c r="BZ112" s="86" t="str">
        <f aca="false">IF(ISBLANK($C112),"",IF($BL112&lt;&gt;Constants!$B$4,$BL112,COUNTIFS($BM$9:$BM$508,"&lt;"&amp;$BM112)+COUNTIFS($BM$9:$BM$508,$BM112,$BP$9:$BP$508,"&lt;"&amp;$BP112)+COUNTIFS($BM$9:$BM$508,$BM112,$BP$9:$BP$508,$BP112,$BS$9:$BS$508,"&lt;"&amp;$BS112)+COUNTIFS($BM$9:$BM$508,$BM112,$BP$9:$BP$508,$BP112,$BS$9:$BS$508,$BS112,$BU$9:$BU$508,"&lt;"&amp;$BU112)+COUNTIFS($BM$9:$BM$508,$BM112,$BP$9:$BP$508,$BP112,$BS$9:$BS$508,$BS112,$BU$9:$BU$508,$BU112,$BW$9:$BW$508,"&lt;"&amp;$BW112)+COUNTIFS($BM$9:$BM$508,$BM112,$BP$9:$BP$508,$BP112,$BS$9:$BS$508,$BS112,$BU$9:$BU$508,$BU112,$BW$9:$BW$508,$BW112,$BY$9:$BY$508,"&lt;"&amp;$BY112)+1))</f>
        <v/>
      </c>
      <c r="CA112" s="86" t="str">
        <f aca="false">IF(ISBLANK($C112),"",IF($BL112&lt;&gt;Constants!$B$4,$BL112,$BQ112-$BZ112))</f>
        <v/>
      </c>
      <c r="CB112" s="93"/>
      <c r="CC112" s="94" t="str">
        <f aca="false">IF(ISBLANK($C112),"",IF($BL112=Constants!$B$8,$AR112,""))</f>
        <v/>
      </c>
      <c r="CD112" s="94" t="str">
        <f aca="false">IF(ISBLANK($C112),"",IF($BL112&lt;&gt;Constants!$B$4,"",IF($BB112="-&gt;",2,1)))</f>
        <v/>
      </c>
      <c r="CE112" s="95" t="str">
        <f aca="false">IF(ISBLANK($C112),"",IF($BL112&lt;&gt;Constants!$B$4,"",IF($BB112="-&gt;",$BE112,$AU112)))</f>
        <v/>
      </c>
      <c r="CF112" s="95" t="str">
        <f aca="false">IF(ISBLANK($C112),"",IF($BL112&lt;&gt;Constants!$B$4,"",IF($BB112="-&gt;",$BF112,$AV112)))</f>
        <v/>
      </c>
      <c r="CG112" s="95" t="str">
        <f aca="false">IF(ISBLANK($C112),"",IF($BL112&lt;&gt;Constants!$B$4,"",IF($BB112="-&gt;",$BG112,$AW112)))</f>
        <v/>
      </c>
      <c r="CH112" s="95" t="str">
        <f aca="false">IF(ISBLANK($C112),"",IF($BL112&lt;&gt;Constants!$B$4,"",IF($BB112="-&gt;",$BH112,$AX112)))</f>
        <v/>
      </c>
      <c r="CI112" s="96" t="str">
        <f aca="false">IF(ISBLANK($C112),"",$BO112)</f>
        <v/>
      </c>
      <c r="CJ112" s="97" t="str">
        <f aca="false">IF(ISBLANK($C112),"",$BM112)</f>
        <v/>
      </c>
      <c r="CK112" s="98" t="str">
        <f aca="false">IF(ISBLANK($C112),"",$CA112)</f>
        <v/>
      </c>
      <c r="CL112" s="98" t="str">
        <f aca="false">IF(ISBLANK($C112),"",$BZ112)</f>
        <v/>
      </c>
      <c r="CM112" s="99" t="str">
        <f aca="false">IF(ISBLANK($C112),"",IF($CL112=Constants!$B$7,COUNTA($C$9:$C$508)+2,IF($CL112=Constants!$B$6,COUNTA($C$9:$C$508)+1,IF($CL112=Constants!$B$5,COUNTA($C$9:$C$508),$CL112))))</f>
        <v/>
      </c>
      <c r="CN112" s="8"/>
      <c r="CO112" s="100" t="n">
        <f aca="false">IF(OR(ISNUMBER($CL112),$CL112=Constants!$B$7,$CL112=Constants!$B$5,$CL112=Constants!$B$6),1,0)</f>
        <v>0</v>
      </c>
      <c r="CP112" s="100" t="n">
        <v>104</v>
      </c>
      <c r="CQ112" s="100" t="str">
        <f aca="false">IF(ISBLANK($C112),"",IF(ISNUMBER($CM112),$CM112+ROW($B112)/1000,""))</f>
        <v/>
      </c>
      <c r="CR112" s="100" t="str">
        <f aca="false">IF(ISNUMBER($CQ112),RANK($CQ112,$CQ$9:$CQ$508,1),"")</f>
        <v/>
      </c>
      <c r="CS112" s="100" t="str">
        <f aca="false">IF(ISBLANK($C112),"",$B112)</f>
        <v/>
      </c>
      <c r="CT112" s="100" t="str">
        <f aca="false">IF(ISBLANK($C112),"",$C112)</f>
        <v/>
      </c>
      <c r="CU112" s="100" t="str">
        <f aca="false">IF(ISBLANK($C112),"",$D112)</f>
        <v/>
      </c>
      <c r="CV112" s="101" t="str">
        <f aca="false">$CJ112</f>
        <v/>
      </c>
      <c r="CW112" s="102" t="str">
        <f aca="false">$CI112</f>
        <v/>
      </c>
      <c r="CX112" s="100" t="str">
        <f aca="false">IF(ISBLANK($C112),"",$CL112)</f>
        <v/>
      </c>
      <c r="CY112" s="103" t="str">
        <f aca="false">IF($CP112&gt;$CO$8,"",VLOOKUP($CP112,$CR$9:$CX$508,7,FALSE()))</f>
        <v/>
      </c>
      <c r="CZ112" s="104" t="str">
        <f aca="false">IF($CP112&gt;$CO$8,"",VLOOKUP($CP112,$CR$9:$CX$508,2,FALSE()))</f>
        <v/>
      </c>
      <c r="DA112" s="104" t="str">
        <f aca="false">IF($CP112&gt;$CO$8,"",VLOOKUP($CP112,$CR$9:$CX$508,3,FALSE()))</f>
        <v/>
      </c>
      <c r="DB112" s="104" t="str">
        <f aca="false">IF($CP112&gt;$CO$8,"",VLOOKUP($CP112,$CR$9:$CX$508,4,FALSE()))</f>
        <v/>
      </c>
      <c r="DC112" s="104" t="str">
        <f aca="false">IF($CP112&gt;$CO$8,"",VLOOKUP($CP112,$CR$9:$CX$508,5,FALSE()))</f>
        <v/>
      </c>
      <c r="DD112" s="105" t="str">
        <f aca="false">IF($CP112&gt;$CO$8,"",VLOOKUP($CP112,$CR$9:$CX$508,6,FALSE()))</f>
        <v/>
      </c>
      <c r="DE112" s="70"/>
    </row>
    <row r="113" customFormat="false" ht="15.75" hidden="false" customHeight="false" outlineLevel="0" collapsed="false">
      <c r="A113" s="8"/>
      <c r="B113" s="72"/>
      <c r="C113" s="73"/>
      <c r="D113" s="155"/>
      <c r="E113" s="162"/>
      <c r="F113" s="157"/>
      <c r="G113" s="77"/>
      <c r="H113" s="77"/>
      <c r="I113" s="77"/>
      <c r="J113" s="163"/>
      <c r="K113" s="161"/>
      <c r="L113" s="161"/>
      <c r="M113" s="80"/>
      <c r="N113" s="161"/>
      <c r="O113" s="160"/>
      <c r="P113" s="161"/>
      <c r="Q113" s="161"/>
      <c r="R113" s="161"/>
      <c r="S113" s="77"/>
      <c r="T113" s="161"/>
      <c r="U113" s="160"/>
      <c r="V113" s="161"/>
      <c r="W113" s="85"/>
      <c r="X113" s="86" t="str">
        <f aca="false">IF(ISBLANK($C113),"",IF($E113=Constants!$B$2,TRUE(),IF($E113=Constants!$B$3,FALSE(),TRUE())))</f>
        <v/>
      </c>
      <c r="Y113" s="86" t="str">
        <f aca="false">IF(ISBLANK($C113),"",IF($F113=Constants!$B$2,TRUE(),IF($F113=Constants!$B$3,FALSE(),TRUE())))</f>
        <v/>
      </c>
      <c r="Z113" s="87" t="str">
        <f aca="false">IF(ISBLANK($C113),"",IF(ISNUMBER($G113),IF($G113&gt;=0,$G113,""),""))</f>
        <v/>
      </c>
      <c r="AA113" s="87" t="str">
        <f aca="false">IF(ISBLANK($C113),"",IF(ISNUMBER($H113),IF($H113&gt;=0,$H113,""),""))</f>
        <v/>
      </c>
      <c r="AB113" s="87" t="str">
        <f aca="false">IF(ISBLANK($C113),"",IF(ISNUMBER($I113),IF($I113&gt;=0,$I113,""),""))</f>
        <v/>
      </c>
      <c r="AC113" s="86" t="str">
        <f aca="false">IF(ISBLANK($C113),"",IF($J113=Constants!$B$2,TRUE(),IF($J113=Constants!$B$3,FALSE(),TRUE())))</f>
        <v/>
      </c>
      <c r="AD113" s="86" t="str">
        <f aca="false">IF(ISBLANK($C113),"",IF($K113=Constants!$B$2,TRUE(),IF($K113=Constants!$B$3,FALSE(),TRUE())))</f>
        <v/>
      </c>
      <c r="AE113" s="86" t="str">
        <f aca="false">IF(ISBLANK($C113),"",IF($L113=Constants!$B$2,TRUE(),IF($L113=Constants!$B$3,FALSE(),TRUE())))</f>
        <v/>
      </c>
      <c r="AF113" s="88" t="str">
        <f aca="false">IF(ISBLANK($C113),"",IF(ISNUMBER($M113),IF($M113&gt;=0,$M113,""),""))</f>
        <v/>
      </c>
      <c r="AG113" s="86" t="str">
        <f aca="false">IF(ISBLANK($C113),"",IF(ISBLANK($N113),0,IF(ISNUMBER($N113),IF(AND($N113&gt;=0,$N113&lt;=Constants!$B$17,$N113=INT($N113)),$N113,""),"")))</f>
        <v/>
      </c>
      <c r="AH113" s="87" t="str">
        <f aca="false">IF(ISBLANK($C113),"",IF(ISBLANK($O113),0,IF(ISNUMBER($O113),IF($O113&gt;=0,$O113,""),"")))</f>
        <v/>
      </c>
      <c r="AI113" s="86" t="str">
        <f aca="false">IF(ISBLANK($C113),"",IF($P113=Constants!$B$2,TRUE(),IF($P113=Constants!$B$3,FALSE(),TRUE())))</f>
        <v/>
      </c>
      <c r="AJ113" s="86" t="str">
        <f aca="false">IF(ISBLANK($C113),"",IF($Q113=Constants!$B$2,TRUE(),IF($Q113=Constants!$B$3,FALSE(),TRUE())))</f>
        <v/>
      </c>
      <c r="AK113" s="86" t="str">
        <f aca="false">IF(ISBLANK($C113),"",IF($R113=Constants!$B$2,TRUE(),IF($R113=Constants!$B$3,FALSE(),TRUE())))</f>
        <v/>
      </c>
      <c r="AL113" s="88" t="str">
        <f aca="false">IF(ISBLANK($C113),"",IF(ISNUMBER($S113),IF($S113&gt;=0,$S113,""),""))</f>
        <v/>
      </c>
      <c r="AM113" s="86" t="str">
        <f aca="false">IF(ISBLANK($C113),"",IF(ISBLANK($T113),0,IF(ISNUMBER($T113),IF(AND($T113&gt;=0,$T113&lt;=Constants!$B$17,$T113=INT($T113)),$T113,""),"")))</f>
        <v/>
      </c>
      <c r="AN113" s="87" t="str">
        <f aca="false">IF(ISBLANK($C113),"",IF(ISBLANK($U113),0,IF(ISNUMBER($U113),IF($U113&gt;=0,$U113,""),"")))</f>
        <v/>
      </c>
      <c r="AO113" s="86" t="str">
        <f aca="false">IF(ISBLANK($C113),"",IF($V113=Constants!$B$2,TRUE(),IF($V113=Constants!$B$3,FALSE(),FALSE())))</f>
        <v/>
      </c>
      <c r="AP113" s="86"/>
      <c r="AQ113" s="85" t="str">
        <f aca="false">IF(ISBLANK($C113),"",AND($Y113,OR($AS113,$BC113),OR($Z113="",$AA113="",$AB113="")))</f>
        <v/>
      </c>
      <c r="AR113" s="85" t="str">
        <f aca="false">IF(ISBLANK($C113),"",IF(OR(NOT($Y113),NOT(OR($AS113,$BC113))),"",IF(ISBLANK($D$7),$AR$5,IF($AP$9="",$AR$6,""))))</f>
        <v/>
      </c>
      <c r="AS113" s="85" t="str">
        <f aca="false">IF(ISBLANK($C113),"",COUNTA($J113:$O113)&gt;0)</f>
        <v/>
      </c>
      <c r="AT113" s="85" t="str">
        <f aca="false">IF(ISBLANK($C113),"",AND($AS113,OR(AND($AF113="",OR($AE113,NOT(ISBLANK($M113)))),$AG113="",$AH113="")))</f>
        <v/>
      </c>
      <c r="AU113" s="87" t="str">
        <f aca="false">IF($BL113&lt;&gt;Constants!$B$4,"",IF(NOT($AS113),"",ROUND((Constants!$B$12-$AB113)+(Constants!$B$13-$Z113)+(Constants!$B$14-$AA113),1)))</f>
        <v/>
      </c>
      <c r="AV113" s="90" t="str">
        <f aca="false">IF($BL113&lt;&gt;Constants!$B$4,"",IF(NOT($AS113),"",IF(NOT($AE113),0,Constants!$B$15*(INT(ROUND(MIN($AF113,$AP$9),6))-INT(ROUND(MAX(0,MIN($AF113,2*$AP$9)-$AP$9),6))))))</f>
        <v/>
      </c>
      <c r="AW113" s="90" t="str">
        <f aca="false">IF($BL113&lt;&gt;Constants!$B$4,"",IF(NOT($AS113),"",Constants!$B$16*$AG113))</f>
        <v/>
      </c>
      <c r="AX113" s="90" t="str">
        <f aca="false">IF($BL113&lt;&gt;Constants!$B$4,"",IF(NOT($AS113),"",Constants!$B$18*INT(ROUND($AH113,6))))</f>
        <v/>
      </c>
      <c r="AY113" s="85" t="str">
        <f aca="false">IF($BL113&lt;&gt;Constants!$B$4,"",IF(NOT($AS113),"",IF(NOT($X113),Constants!$B$11,IF(OR(NOT($AC113),NOT($AD113),ROUND($AB113,1)&gt;Constants!$B$12,ROUND($Z113,1)&gt;Constants!$B$13,ROUND($AA113,1)&gt;Constants!$B$14),Constants!$B$10,Constants!$B$9))))</f>
        <v/>
      </c>
      <c r="AZ113" s="91" t="str">
        <f aca="false">IF($BL113&lt;&gt;Constants!$B$4,"",IF(NOT($AS113),"",ROUND($AU113+$AV113+$AW113+$AX113,1)))</f>
        <v/>
      </c>
      <c r="BA113" s="92" t="str">
        <f aca="false">IF($BL113&lt;&gt;Constants!$B$4,"",IF(NOT($AS113),"",IF(ISNUMBER($AF113),$AF113,0)))</f>
        <v/>
      </c>
      <c r="BB113" s="86" t="str">
        <f aca="false">IF($BL113&lt;&gt;Constants!$B$4,"",IF(NOT($BC113),"&lt;-",IF(NOT($AS113),"-&gt;",IF(OR($BI113&lt;$AY113,AND($BI113=$AY113,OR($BJ113&gt;$AZ113,AND($BJ113=$AZ113,OR($BH113&gt;$AX113,AND($BH113=$AX113,OR($BE113&gt;$AU113,AND($BE113=$AU113,OR($BF113&gt;$AV113,AND($BF113=$AV113,$BK113&gt;$BA113)))))))))),"-&gt;","&lt;-"))))</f>
        <v/>
      </c>
      <c r="BC113" s="85" t="str">
        <f aca="false">IF(ISBLANK($C113),"",COUNTA($P113:$U113)&gt;0)</f>
        <v/>
      </c>
      <c r="BD113" s="85" t="str">
        <f aca="false">IF(ISBLANK($C113),"",AND($BC113,OR(AND($AL113="",OR($AK113,NOT(ISBLANK($S113)))),$AM113="",$AN113="")))</f>
        <v/>
      </c>
      <c r="BE113" s="87" t="str">
        <f aca="false">IF($BL113&lt;&gt;Constants!$B$4,"",IF(NOT($BC113),"",ROUND((Constants!$B$12-$AB113)+(Constants!$B$13-$Z113)+(Constants!$B$14-$AA113),1)))</f>
        <v/>
      </c>
      <c r="BF113" s="90" t="str">
        <f aca="false">IF($BL113&lt;&gt;Constants!$B$4,"",IF(NOT($BC113),"",IF(NOT($AK113),0,Constants!$B$15*(INT(ROUND(MIN($AL113,$AP$9),6))-INT(ROUND(MAX(0,MIN($AL113,2*$AP$9)-$AP$9),6))))))</f>
        <v/>
      </c>
      <c r="BG113" s="90" t="str">
        <f aca="false">IF($BL113&lt;&gt;Constants!$B$4,"",IF(NOT($BC113),"",Constants!$B$16*$AM113))</f>
        <v/>
      </c>
      <c r="BH113" s="90" t="str">
        <f aca="false">IF($BL113&lt;&gt;Constants!$B$4,"",IF(NOT($BC113),"",Constants!$B$18*INT(ROUND($AN113,6))))</f>
        <v/>
      </c>
      <c r="BI113" s="85" t="str">
        <f aca="false">IF($BL113&lt;&gt;Constants!$B$4,"",IF(NOT($BC113),"",IF(NOT($X113),Constants!$B$11,IF(OR(NOT($AI113),NOT($AJ113),ROUND($AB113,1)&gt;Constants!$B$12,ROUND($Z113,1)&gt;Constants!$B$13,ROUND($AA113,1)&gt;Constants!$B$14),Constants!$B$10,Constants!$B$9))))</f>
        <v/>
      </c>
      <c r="BJ113" s="91" t="str">
        <f aca="false">IF($BL113&lt;&gt;Constants!$B$4,"",IF(NOT($BC113),"",ROUND($BE113+$BF113+$BG113+$BH113,1)))</f>
        <v/>
      </c>
      <c r="BK113" s="92" t="str">
        <f aca="false">IF($BL113&lt;&gt;Constants!$B$4,"",IF(NOT($BC113),"",IF(ISNUMBER($AL113),$AL113,0)))</f>
        <v/>
      </c>
      <c r="BL113" s="86" t="str">
        <f aca="false">IF(ISBLANK($C113),"",IF($AO113,Constants!$B$7,IF(COUNTA($E113:$V113)=0,Constants!$B$6,IF(NOT($Y113),Constants!$B$5,IF(NOT(OR($AS113,$BC113)),Constants!$B$5,IF(OR($AT113,$BD113,$AQ113,$AR113&lt;&gt;""),Constants!$B$8,Constants!$B$4))))))</f>
        <v/>
      </c>
      <c r="BM113" s="86" t="str">
        <f aca="false">IF(ISBLANK($C113),"",IF($BL113&lt;&gt;Constants!$B$4,$BL113,IF($BB113="-&gt;",$BI113,$AY113)))</f>
        <v/>
      </c>
      <c r="BN113" s="90" t="str">
        <f aca="false">IF($BL113&lt;&gt;Constants!$B$4,"",IF($BB113="-&gt;",$BJ113,$AZ113))</f>
        <v/>
      </c>
      <c r="BO113" s="90" t="str">
        <f aca="false">IF(ISBLANK($C113),"",IF($BL113&lt;&gt;Constants!$B$4,$BL113,$BN113))</f>
        <v/>
      </c>
      <c r="BP113" s="86" t="str">
        <f aca="false">IF(ISBLANK($C113),"",IF($BL113&lt;&gt;Constants!$B$4,$BL113,RANK($BO113,$BO$9:$BO$508,0)))</f>
        <v/>
      </c>
      <c r="BQ113" s="86" t="str">
        <f aca="false">IF(ISBLANK($C113),"",IF($BL113&lt;&gt;Constants!$B$4,$BL113,COUNTIFS($BM$9:$BM$508,"&lt;"&amp;$BM113)+COUNTIFS($BM$9:$BM$508,$BM113,$BP$9:$BP$508,"&lt;"&amp;$BP113)+1))</f>
        <v/>
      </c>
      <c r="BR113" s="90" t="str">
        <f aca="false">IF($BL113&lt;&gt;Constants!$B$4,"",IF($BB113="-&gt;",$BH113,$AX113))</f>
        <v/>
      </c>
      <c r="BS113" s="86" t="str">
        <f aca="false">IF(ISBLANK($C113),"",IF($BL113&lt;&gt;Constants!$B$4,$BL113,IF(ISNUMBER($BR113),RANK($BR113,$BR$9:$BR$508,0),COUNT($BR$9:$BR$508)+1)))</f>
        <v/>
      </c>
      <c r="BT113" s="90" t="str">
        <f aca="false">IF($BL113&lt;&gt;Constants!$B$4,"",IF($BB113="-&gt;",$BE113,$AU113))</f>
        <v/>
      </c>
      <c r="BU113" s="86" t="str">
        <f aca="false">IF(ISBLANK($C113),"",IF($BL113&lt;&gt;Constants!$B$4,$BL113,IF(ISNUMBER($BT113),RANK($BT113,$BT$9:$BT$508,0),COUNT($BT$9:$BT$508)+1)))</f>
        <v/>
      </c>
      <c r="BV113" s="90" t="str">
        <f aca="false">IF($BL113&lt;&gt;Constants!$B$4,"",IF($BB113="-&gt;",$BF113,$AV113))</f>
        <v/>
      </c>
      <c r="BW113" s="86" t="str">
        <f aca="false">IF(ISBLANK($C113),"",IF($BL113&lt;&gt;Constants!$B$4,$BL113,IF(ISNUMBER($BV113),RANK($BV113,$BV$9:$BV$508,0),COUNT($BV$9:$BV$508)+1)))</f>
        <v/>
      </c>
      <c r="BX113" s="90" t="str">
        <f aca="false">IF($BL113&lt;&gt;Constants!$B$4,"",IF($BB113="-&gt;",$BK113,$BA113))</f>
        <v/>
      </c>
      <c r="BY113" s="86" t="str">
        <f aca="false">IF(ISBLANK($C113),"",IF($BL113&lt;&gt;Constants!$B$4,$BL113,IF(ISNUMBER($BX113),RANK($BX113,$BX$9:$BX$508,0),COUNT($BX$9:$BX$508)+1)))</f>
        <v/>
      </c>
      <c r="BZ113" s="86" t="str">
        <f aca="false">IF(ISBLANK($C113),"",IF($BL113&lt;&gt;Constants!$B$4,$BL113,COUNTIFS($BM$9:$BM$508,"&lt;"&amp;$BM113)+COUNTIFS($BM$9:$BM$508,$BM113,$BP$9:$BP$508,"&lt;"&amp;$BP113)+COUNTIFS($BM$9:$BM$508,$BM113,$BP$9:$BP$508,$BP113,$BS$9:$BS$508,"&lt;"&amp;$BS113)+COUNTIFS($BM$9:$BM$508,$BM113,$BP$9:$BP$508,$BP113,$BS$9:$BS$508,$BS113,$BU$9:$BU$508,"&lt;"&amp;$BU113)+COUNTIFS($BM$9:$BM$508,$BM113,$BP$9:$BP$508,$BP113,$BS$9:$BS$508,$BS113,$BU$9:$BU$508,$BU113,$BW$9:$BW$508,"&lt;"&amp;$BW113)+COUNTIFS($BM$9:$BM$508,$BM113,$BP$9:$BP$508,$BP113,$BS$9:$BS$508,$BS113,$BU$9:$BU$508,$BU113,$BW$9:$BW$508,$BW113,$BY$9:$BY$508,"&lt;"&amp;$BY113)+1))</f>
        <v/>
      </c>
      <c r="CA113" s="86" t="str">
        <f aca="false">IF(ISBLANK($C113),"",IF($BL113&lt;&gt;Constants!$B$4,$BL113,$BQ113-$BZ113))</f>
        <v/>
      </c>
      <c r="CB113" s="93"/>
      <c r="CC113" s="94" t="str">
        <f aca="false">IF(ISBLANK($C113),"",IF($BL113=Constants!$B$8,$AR113,""))</f>
        <v/>
      </c>
      <c r="CD113" s="94" t="str">
        <f aca="false">IF(ISBLANK($C113),"",IF($BL113&lt;&gt;Constants!$B$4,"",IF($BB113="-&gt;",2,1)))</f>
        <v/>
      </c>
      <c r="CE113" s="95" t="str">
        <f aca="false">IF(ISBLANK($C113),"",IF($BL113&lt;&gt;Constants!$B$4,"",IF($BB113="-&gt;",$BE113,$AU113)))</f>
        <v/>
      </c>
      <c r="CF113" s="95" t="str">
        <f aca="false">IF(ISBLANK($C113),"",IF($BL113&lt;&gt;Constants!$B$4,"",IF($BB113="-&gt;",$BF113,$AV113)))</f>
        <v/>
      </c>
      <c r="CG113" s="95" t="str">
        <f aca="false">IF(ISBLANK($C113),"",IF($BL113&lt;&gt;Constants!$B$4,"",IF($BB113="-&gt;",$BG113,$AW113)))</f>
        <v/>
      </c>
      <c r="CH113" s="95" t="str">
        <f aca="false">IF(ISBLANK($C113),"",IF($BL113&lt;&gt;Constants!$B$4,"",IF($BB113="-&gt;",$BH113,$AX113)))</f>
        <v/>
      </c>
      <c r="CI113" s="96" t="str">
        <f aca="false">IF(ISBLANK($C113),"",$BO113)</f>
        <v/>
      </c>
      <c r="CJ113" s="97" t="str">
        <f aca="false">IF(ISBLANK($C113),"",$BM113)</f>
        <v/>
      </c>
      <c r="CK113" s="98" t="str">
        <f aca="false">IF(ISBLANK($C113),"",$CA113)</f>
        <v/>
      </c>
      <c r="CL113" s="98" t="str">
        <f aca="false">IF(ISBLANK($C113),"",$BZ113)</f>
        <v/>
      </c>
      <c r="CM113" s="99" t="str">
        <f aca="false">IF(ISBLANK($C113),"",IF($CL113=Constants!$B$7,COUNTA($C$9:$C$508)+2,IF($CL113=Constants!$B$6,COUNTA($C$9:$C$508)+1,IF($CL113=Constants!$B$5,COUNTA($C$9:$C$508),$CL113))))</f>
        <v/>
      </c>
      <c r="CN113" s="8"/>
      <c r="CO113" s="100" t="n">
        <f aca="false">IF(OR(ISNUMBER($CL113),$CL113=Constants!$B$7,$CL113=Constants!$B$5,$CL113=Constants!$B$6),1,0)</f>
        <v>0</v>
      </c>
      <c r="CP113" s="100" t="n">
        <v>105</v>
      </c>
      <c r="CQ113" s="100" t="str">
        <f aca="false">IF(ISBLANK($C113),"",IF(ISNUMBER($CM113),$CM113+ROW($B113)/1000,""))</f>
        <v/>
      </c>
      <c r="CR113" s="100" t="str">
        <f aca="false">IF(ISNUMBER($CQ113),RANK($CQ113,$CQ$9:$CQ$508,1),"")</f>
        <v/>
      </c>
      <c r="CS113" s="100" t="str">
        <f aca="false">IF(ISBLANK($C113),"",$B113)</f>
        <v/>
      </c>
      <c r="CT113" s="100" t="str">
        <f aca="false">IF(ISBLANK($C113),"",$C113)</f>
        <v/>
      </c>
      <c r="CU113" s="100" t="str">
        <f aca="false">IF(ISBLANK($C113),"",$D113)</f>
        <v/>
      </c>
      <c r="CV113" s="101" t="str">
        <f aca="false">$CJ113</f>
        <v/>
      </c>
      <c r="CW113" s="102" t="str">
        <f aca="false">$CI113</f>
        <v/>
      </c>
      <c r="CX113" s="100" t="str">
        <f aca="false">IF(ISBLANK($C113),"",$CL113)</f>
        <v/>
      </c>
      <c r="CY113" s="103" t="str">
        <f aca="false">IF($CP113&gt;$CO$8,"",VLOOKUP($CP113,$CR$9:$CX$508,7,FALSE()))</f>
        <v/>
      </c>
      <c r="CZ113" s="104" t="str">
        <f aca="false">IF($CP113&gt;$CO$8,"",VLOOKUP($CP113,$CR$9:$CX$508,2,FALSE()))</f>
        <v/>
      </c>
      <c r="DA113" s="104" t="str">
        <f aca="false">IF($CP113&gt;$CO$8,"",VLOOKUP($CP113,$CR$9:$CX$508,3,FALSE()))</f>
        <v/>
      </c>
      <c r="DB113" s="104" t="str">
        <f aca="false">IF($CP113&gt;$CO$8,"",VLOOKUP($CP113,$CR$9:$CX$508,4,FALSE()))</f>
        <v/>
      </c>
      <c r="DC113" s="104" t="str">
        <f aca="false">IF($CP113&gt;$CO$8,"",VLOOKUP($CP113,$CR$9:$CX$508,5,FALSE()))</f>
        <v/>
      </c>
      <c r="DD113" s="105" t="str">
        <f aca="false">IF($CP113&gt;$CO$8,"",VLOOKUP($CP113,$CR$9:$CX$508,6,FALSE()))</f>
        <v/>
      </c>
      <c r="DE113" s="70"/>
    </row>
    <row r="114" customFormat="false" ht="15.75" hidden="false" customHeight="false" outlineLevel="0" collapsed="false">
      <c r="A114" s="8"/>
      <c r="B114" s="146"/>
      <c r="C114" s="147"/>
      <c r="D114" s="148"/>
      <c r="E114" s="164"/>
      <c r="F114" s="150"/>
      <c r="G114" s="115"/>
      <c r="H114" s="115"/>
      <c r="I114" s="115"/>
      <c r="J114" s="165"/>
      <c r="K114" s="154"/>
      <c r="L114" s="154"/>
      <c r="M114" s="118"/>
      <c r="N114" s="154"/>
      <c r="O114" s="153"/>
      <c r="P114" s="154"/>
      <c r="Q114" s="154"/>
      <c r="R114" s="154"/>
      <c r="S114" s="115"/>
      <c r="T114" s="154"/>
      <c r="U114" s="153"/>
      <c r="V114" s="154"/>
      <c r="W114" s="123"/>
      <c r="X114" s="124" t="str">
        <f aca="false">IF(ISBLANK($C114),"",IF($E114=Constants!$B$2,TRUE(),IF($E114=Constants!$B$3,FALSE(),TRUE())))</f>
        <v/>
      </c>
      <c r="Y114" s="124" t="str">
        <f aca="false">IF(ISBLANK($C114),"",IF($F114=Constants!$B$2,TRUE(),IF($F114=Constants!$B$3,FALSE(),TRUE())))</f>
        <v/>
      </c>
      <c r="Z114" s="125" t="str">
        <f aca="false">IF(ISBLANK($C114),"",IF(ISNUMBER($G114),IF($G114&gt;=0,$G114,""),""))</f>
        <v/>
      </c>
      <c r="AA114" s="125" t="str">
        <f aca="false">IF(ISBLANK($C114),"",IF(ISNUMBER($H114),IF($H114&gt;=0,$H114,""),""))</f>
        <v/>
      </c>
      <c r="AB114" s="125" t="str">
        <f aca="false">IF(ISBLANK($C114),"",IF(ISNUMBER($I114),IF($I114&gt;=0,$I114,""),""))</f>
        <v/>
      </c>
      <c r="AC114" s="124" t="str">
        <f aca="false">IF(ISBLANK($C114),"",IF($J114=Constants!$B$2,TRUE(),IF($J114=Constants!$B$3,FALSE(),TRUE())))</f>
        <v/>
      </c>
      <c r="AD114" s="124" t="str">
        <f aca="false">IF(ISBLANK($C114),"",IF($K114=Constants!$B$2,TRUE(),IF($K114=Constants!$B$3,FALSE(),TRUE())))</f>
        <v/>
      </c>
      <c r="AE114" s="124" t="str">
        <f aca="false">IF(ISBLANK($C114),"",IF($L114=Constants!$B$2,TRUE(),IF($L114=Constants!$B$3,FALSE(),TRUE())))</f>
        <v/>
      </c>
      <c r="AF114" s="126" t="str">
        <f aca="false">IF(ISBLANK($C114),"",IF(ISNUMBER($M114),IF($M114&gt;=0,$M114,""),""))</f>
        <v/>
      </c>
      <c r="AG114" s="124" t="str">
        <f aca="false">IF(ISBLANK($C114),"",IF(ISBLANK($N114),0,IF(ISNUMBER($N114),IF(AND($N114&gt;=0,$N114&lt;=Constants!$B$17,$N114=INT($N114)),$N114,""),"")))</f>
        <v/>
      </c>
      <c r="AH114" s="125" t="str">
        <f aca="false">IF(ISBLANK($C114),"",IF(ISBLANK($O114),0,IF(ISNUMBER($O114),IF($O114&gt;=0,$O114,""),"")))</f>
        <v/>
      </c>
      <c r="AI114" s="124" t="str">
        <f aca="false">IF(ISBLANK($C114),"",IF($P114=Constants!$B$2,TRUE(),IF($P114=Constants!$B$3,FALSE(),TRUE())))</f>
        <v/>
      </c>
      <c r="AJ114" s="124" t="str">
        <f aca="false">IF(ISBLANK($C114),"",IF($Q114=Constants!$B$2,TRUE(),IF($Q114=Constants!$B$3,FALSE(),TRUE())))</f>
        <v/>
      </c>
      <c r="AK114" s="124" t="str">
        <f aca="false">IF(ISBLANK($C114),"",IF($R114=Constants!$B$2,TRUE(),IF($R114=Constants!$B$3,FALSE(),TRUE())))</f>
        <v/>
      </c>
      <c r="AL114" s="126" t="str">
        <f aca="false">IF(ISBLANK($C114),"",IF(ISNUMBER($S114),IF($S114&gt;=0,$S114,""),""))</f>
        <v/>
      </c>
      <c r="AM114" s="124" t="str">
        <f aca="false">IF(ISBLANK($C114),"",IF(ISBLANK($T114),0,IF(ISNUMBER($T114),IF(AND($T114&gt;=0,$T114&lt;=Constants!$B$17,$T114=INT($T114)),$T114,""),"")))</f>
        <v/>
      </c>
      <c r="AN114" s="125" t="str">
        <f aca="false">IF(ISBLANK($C114),"",IF(ISBLANK($U114),0,IF(ISNUMBER($U114),IF($U114&gt;=0,$U114,""),"")))</f>
        <v/>
      </c>
      <c r="AO114" s="124" t="str">
        <f aca="false">IF(ISBLANK($C114),"",IF($V114=Constants!$B$2,TRUE(),IF($V114=Constants!$B$3,FALSE(),FALSE())))</f>
        <v/>
      </c>
      <c r="AP114" s="124"/>
      <c r="AQ114" s="123" t="str">
        <f aca="false">IF(ISBLANK($C114),"",AND($Y114,OR($AS114,$BC114),OR($Z114="",$AA114="",$AB114="")))</f>
        <v/>
      </c>
      <c r="AR114" s="123" t="str">
        <f aca="false">IF(ISBLANK($C114),"",IF(OR(NOT($Y114),NOT(OR($AS114,$BC114))),"",IF(ISBLANK($D$7),$AR$5,IF($AP$9="",$AR$6,""))))</f>
        <v/>
      </c>
      <c r="AS114" s="123" t="str">
        <f aca="false">IF(ISBLANK($C114),"",COUNTA($J114:$O114)&gt;0)</f>
        <v/>
      </c>
      <c r="AT114" s="123" t="str">
        <f aca="false">IF(ISBLANK($C114),"",AND($AS114,OR(AND($AF114="",OR($AE114,NOT(ISBLANK($M114)))),$AG114="",$AH114="")))</f>
        <v/>
      </c>
      <c r="AU114" s="125" t="str">
        <f aca="false">IF($BL114&lt;&gt;Constants!$B$4,"",IF(NOT($AS114),"",ROUND((Constants!$B$12-$AB114)+(Constants!$B$13-$Z114)+(Constants!$B$14-$AA114),1)))</f>
        <v/>
      </c>
      <c r="AV114" s="127" t="str">
        <f aca="false">IF($BL114&lt;&gt;Constants!$B$4,"",IF(NOT($AS114),"",IF(NOT($AE114),0,Constants!$B$15*(INT(ROUND(MIN($AF114,$AP$9),6))-INT(ROUND(MAX(0,MIN($AF114,2*$AP$9)-$AP$9),6))))))</f>
        <v/>
      </c>
      <c r="AW114" s="127" t="str">
        <f aca="false">IF($BL114&lt;&gt;Constants!$B$4,"",IF(NOT($AS114),"",Constants!$B$16*$AG114))</f>
        <v/>
      </c>
      <c r="AX114" s="127" t="str">
        <f aca="false">IF($BL114&lt;&gt;Constants!$B$4,"",IF(NOT($AS114),"",Constants!$B$18*INT(ROUND($AH114,6))))</f>
        <v/>
      </c>
      <c r="AY114" s="123" t="str">
        <f aca="false">IF($BL114&lt;&gt;Constants!$B$4,"",IF(NOT($AS114),"",IF(NOT($X114),Constants!$B$11,IF(OR(NOT($AC114),NOT($AD114),ROUND($AB114,1)&gt;Constants!$B$12,ROUND($Z114,1)&gt;Constants!$B$13,ROUND($AA114,1)&gt;Constants!$B$14),Constants!$B$10,Constants!$B$9))))</f>
        <v/>
      </c>
      <c r="AZ114" s="128" t="str">
        <f aca="false">IF($BL114&lt;&gt;Constants!$B$4,"",IF(NOT($AS114),"",ROUND($AU114+$AV114+$AW114+$AX114,1)))</f>
        <v/>
      </c>
      <c r="BA114" s="129" t="str">
        <f aca="false">IF($BL114&lt;&gt;Constants!$B$4,"",IF(NOT($AS114),"",IF(ISNUMBER($AF114),$AF114,0)))</f>
        <v/>
      </c>
      <c r="BB114" s="124" t="str">
        <f aca="false">IF($BL114&lt;&gt;Constants!$B$4,"",IF(NOT($BC114),"&lt;-",IF(NOT($AS114),"-&gt;",IF(OR($BI114&lt;$AY114,AND($BI114=$AY114,OR($BJ114&gt;$AZ114,AND($BJ114=$AZ114,OR($BH114&gt;$AX114,AND($BH114=$AX114,OR($BE114&gt;$AU114,AND($BE114=$AU114,OR($BF114&gt;$AV114,AND($BF114=$AV114,$BK114&gt;$BA114)))))))))),"-&gt;","&lt;-"))))</f>
        <v/>
      </c>
      <c r="BC114" s="123" t="str">
        <f aca="false">IF(ISBLANK($C114),"",COUNTA($P114:$U114)&gt;0)</f>
        <v/>
      </c>
      <c r="BD114" s="123" t="str">
        <f aca="false">IF(ISBLANK($C114),"",AND($BC114,OR(AND($AL114="",OR($AK114,NOT(ISBLANK($S114)))),$AM114="",$AN114="")))</f>
        <v/>
      </c>
      <c r="BE114" s="125" t="str">
        <f aca="false">IF($BL114&lt;&gt;Constants!$B$4,"",IF(NOT($BC114),"",ROUND((Constants!$B$12-$AB114)+(Constants!$B$13-$Z114)+(Constants!$B$14-$AA114),1)))</f>
        <v/>
      </c>
      <c r="BF114" s="127" t="str">
        <f aca="false">IF($BL114&lt;&gt;Constants!$B$4,"",IF(NOT($BC114),"",IF(NOT($AK114),0,Constants!$B$15*(INT(ROUND(MIN($AL114,$AP$9),6))-INT(ROUND(MAX(0,MIN($AL114,2*$AP$9)-$AP$9),6))))))</f>
        <v/>
      </c>
      <c r="BG114" s="127" t="str">
        <f aca="false">IF($BL114&lt;&gt;Constants!$B$4,"",IF(NOT($BC114),"",Constants!$B$16*$AM114))</f>
        <v/>
      </c>
      <c r="BH114" s="127" t="str">
        <f aca="false">IF($BL114&lt;&gt;Constants!$B$4,"",IF(NOT($BC114),"",Constants!$B$18*INT(ROUND($AN114,6))))</f>
        <v/>
      </c>
      <c r="BI114" s="123" t="str">
        <f aca="false">IF($BL114&lt;&gt;Constants!$B$4,"",IF(NOT($BC114),"",IF(NOT($X114),Constants!$B$11,IF(OR(NOT($AI114),NOT($AJ114),ROUND($AB114,1)&gt;Constants!$B$12,ROUND($Z114,1)&gt;Constants!$B$13,ROUND($AA114,1)&gt;Constants!$B$14),Constants!$B$10,Constants!$B$9))))</f>
        <v/>
      </c>
      <c r="BJ114" s="128" t="str">
        <f aca="false">IF($BL114&lt;&gt;Constants!$B$4,"",IF(NOT($BC114),"",ROUND($BE114+$BF114+$BG114+$BH114,1)))</f>
        <v/>
      </c>
      <c r="BK114" s="129" t="str">
        <f aca="false">IF($BL114&lt;&gt;Constants!$B$4,"",IF(NOT($BC114),"",IF(ISNUMBER($AL114),$AL114,0)))</f>
        <v/>
      </c>
      <c r="BL114" s="124" t="str">
        <f aca="false">IF(ISBLANK($C114),"",IF($AO114,Constants!$B$7,IF(COUNTA($E114:$V114)=0,Constants!$B$6,IF(NOT($Y114),Constants!$B$5,IF(NOT(OR($AS114,$BC114)),Constants!$B$5,IF(OR($AT114,$BD114,$AQ114,$AR114&lt;&gt;""),Constants!$B$8,Constants!$B$4))))))</f>
        <v/>
      </c>
      <c r="BM114" s="124" t="str">
        <f aca="false">IF(ISBLANK($C114),"",IF($BL114&lt;&gt;Constants!$B$4,$BL114,IF($BB114="-&gt;",$BI114,$AY114)))</f>
        <v/>
      </c>
      <c r="BN114" s="127" t="str">
        <f aca="false">IF($BL114&lt;&gt;Constants!$B$4,"",IF($BB114="-&gt;",$BJ114,$AZ114))</f>
        <v/>
      </c>
      <c r="BO114" s="127" t="str">
        <f aca="false">IF(ISBLANK($C114),"",IF($BL114&lt;&gt;Constants!$B$4,$BL114,$BN114))</f>
        <v/>
      </c>
      <c r="BP114" s="124" t="str">
        <f aca="false">IF(ISBLANK($C114),"",IF($BL114&lt;&gt;Constants!$B$4,$BL114,RANK($BO114,$BO$9:$BO$508,0)))</f>
        <v/>
      </c>
      <c r="BQ114" s="124" t="str">
        <f aca="false">IF(ISBLANK($C114),"",IF($BL114&lt;&gt;Constants!$B$4,$BL114,COUNTIFS($BM$9:$BM$508,"&lt;"&amp;$BM114)+COUNTIFS($BM$9:$BM$508,$BM114,$BP$9:$BP$508,"&lt;"&amp;$BP114)+1))</f>
        <v/>
      </c>
      <c r="BR114" s="127" t="str">
        <f aca="false">IF($BL114&lt;&gt;Constants!$B$4,"",IF($BB114="-&gt;",$BH114,$AX114))</f>
        <v/>
      </c>
      <c r="BS114" s="124" t="str">
        <f aca="false">IF(ISBLANK($C114),"",IF($BL114&lt;&gt;Constants!$B$4,$BL114,IF(ISNUMBER($BR114),RANK($BR114,$BR$9:$BR$508,0),COUNT($BR$9:$BR$508)+1)))</f>
        <v/>
      </c>
      <c r="BT114" s="127" t="str">
        <f aca="false">IF($BL114&lt;&gt;Constants!$B$4,"",IF($BB114="-&gt;",$BE114,$AU114))</f>
        <v/>
      </c>
      <c r="BU114" s="124" t="str">
        <f aca="false">IF(ISBLANK($C114),"",IF($BL114&lt;&gt;Constants!$B$4,$BL114,IF(ISNUMBER($BT114),RANK($BT114,$BT$9:$BT$508,0),COUNT($BT$9:$BT$508)+1)))</f>
        <v/>
      </c>
      <c r="BV114" s="127" t="str">
        <f aca="false">IF($BL114&lt;&gt;Constants!$B$4,"",IF($BB114="-&gt;",$BF114,$AV114))</f>
        <v/>
      </c>
      <c r="BW114" s="124" t="str">
        <f aca="false">IF(ISBLANK($C114),"",IF($BL114&lt;&gt;Constants!$B$4,$BL114,IF(ISNUMBER($BV114),RANK($BV114,$BV$9:$BV$508,0),COUNT($BV$9:$BV$508)+1)))</f>
        <v/>
      </c>
      <c r="BX114" s="127" t="str">
        <f aca="false">IF($BL114&lt;&gt;Constants!$B$4,"",IF($BB114="-&gt;",$BK114,$BA114))</f>
        <v/>
      </c>
      <c r="BY114" s="124" t="str">
        <f aca="false">IF(ISBLANK($C114),"",IF($BL114&lt;&gt;Constants!$B$4,$BL114,IF(ISNUMBER($BX114),RANK($BX114,$BX$9:$BX$508,0),COUNT($BX$9:$BX$508)+1)))</f>
        <v/>
      </c>
      <c r="BZ114" s="124" t="str">
        <f aca="false">IF(ISBLANK($C114),"",IF($BL114&lt;&gt;Constants!$B$4,$BL114,COUNTIFS($BM$9:$BM$508,"&lt;"&amp;$BM114)+COUNTIFS($BM$9:$BM$508,$BM114,$BP$9:$BP$508,"&lt;"&amp;$BP114)+COUNTIFS($BM$9:$BM$508,$BM114,$BP$9:$BP$508,$BP114,$BS$9:$BS$508,"&lt;"&amp;$BS114)+COUNTIFS($BM$9:$BM$508,$BM114,$BP$9:$BP$508,$BP114,$BS$9:$BS$508,$BS114,$BU$9:$BU$508,"&lt;"&amp;$BU114)+COUNTIFS($BM$9:$BM$508,$BM114,$BP$9:$BP$508,$BP114,$BS$9:$BS$508,$BS114,$BU$9:$BU$508,$BU114,$BW$9:$BW$508,"&lt;"&amp;$BW114)+COUNTIFS($BM$9:$BM$508,$BM114,$BP$9:$BP$508,$BP114,$BS$9:$BS$508,$BS114,$BU$9:$BU$508,$BU114,$BW$9:$BW$508,$BW114,$BY$9:$BY$508,"&lt;"&amp;$BY114)+1))</f>
        <v/>
      </c>
      <c r="CA114" s="124" t="str">
        <f aca="false">IF(ISBLANK($C114),"",IF($BL114&lt;&gt;Constants!$B$4,$BL114,$BQ114-$BZ114))</f>
        <v/>
      </c>
      <c r="CB114" s="130"/>
      <c r="CC114" s="131" t="str">
        <f aca="false">IF(ISBLANK($C114),"",IF($BL114=Constants!$B$8,$AR114,""))</f>
        <v/>
      </c>
      <c r="CD114" s="131" t="str">
        <f aca="false">IF(ISBLANK($C114),"",IF($BL114&lt;&gt;Constants!$B$4,"",IF($BB114="-&gt;",2,1)))</f>
        <v/>
      </c>
      <c r="CE114" s="132" t="str">
        <f aca="false">IF(ISBLANK($C114),"",IF($BL114&lt;&gt;Constants!$B$4,"",IF($BB114="-&gt;",$BE114,$AU114)))</f>
        <v/>
      </c>
      <c r="CF114" s="132" t="str">
        <f aca="false">IF(ISBLANK($C114),"",IF($BL114&lt;&gt;Constants!$B$4,"",IF($BB114="-&gt;",$BF114,$AV114)))</f>
        <v/>
      </c>
      <c r="CG114" s="132" t="str">
        <f aca="false">IF(ISBLANK($C114),"",IF($BL114&lt;&gt;Constants!$B$4,"",IF($BB114="-&gt;",$BG114,$AW114)))</f>
        <v/>
      </c>
      <c r="CH114" s="132" t="str">
        <f aca="false">IF(ISBLANK($C114),"",IF($BL114&lt;&gt;Constants!$B$4,"",IF($BB114="-&gt;",$BH114,$AX114)))</f>
        <v/>
      </c>
      <c r="CI114" s="133" t="str">
        <f aca="false">IF(ISBLANK($C114),"",$BO114)</f>
        <v/>
      </c>
      <c r="CJ114" s="134" t="str">
        <f aca="false">IF(ISBLANK($C114),"",$BM114)</f>
        <v/>
      </c>
      <c r="CK114" s="135" t="str">
        <f aca="false">IF(ISBLANK($C114),"",$CA114)</f>
        <v/>
      </c>
      <c r="CL114" s="135" t="str">
        <f aca="false">IF(ISBLANK($C114),"",$BZ114)</f>
        <v/>
      </c>
      <c r="CM114" s="136" t="str">
        <f aca="false">IF(ISBLANK($C114),"",IF($CL114=Constants!$B$7,COUNTA($C$9:$C$508)+2,IF($CL114=Constants!$B$6,COUNTA($C$9:$C$508)+1,IF($CL114=Constants!$B$5,COUNTA($C$9:$C$508),$CL114))))</f>
        <v/>
      </c>
      <c r="CN114" s="8"/>
      <c r="CO114" s="137" t="n">
        <f aca="false">IF(OR(ISNUMBER($CL114),$CL114=Constants!$B$7,$CL114=Constants!$B$5,$CL114=Constants!$B$6),1,0)</f>
        <v>0</v>
      </c>
      <c r="CP114" s="137" t="n">
        <v>106</v>
      </c>
      <c r="CQ114" s="137" t="str">
        <f aca="false">IF(ISBLANK($C114),"",IF(ISNUMBER($CM114),$CM114+ROW($B114)/1000,""))</f>
        <v/>
      </c>
      <c r="CR114" s="137" t="str">
        <f aca="false">IF(ISNUMBER($CQ114),RANK($CQ114,$CQ$9:$CQ$508,1),"")</f>
        <v/>
      </c>
      <c r="CS114" s="137" t="str">
        <f aca="false">IF(ISBLANK($C114),"",$B114)</f>
        <v/>
      </c>
      <c r="CT114" s="137" t="str">
        <f aca="false">IF(ISBLANK($C114),"",$C114)</f>
        <v/>
      </c>
      <c r="CU114" s="137" t="str">
        <f aca="false">IF(ISBLANK($C114),"",$D114)</f>
        <v/>
      </c>
      <c r="CV114" s="138" t="str">
        <f aca="false">$CJ114</f>
        <v/>
      </c>
      <c r="CW114" s="139" t="str">
        <f aca="false">$CI114</f>
        <v/>
      </c>
      <c r="CX114" s="137" t="str">
        <f aca="false">IF(ISBLANK($C114),"",$CL114)</f>
        <v/>
      </c>
      <c r="CY114" s="140" t="str">
        <f aca="false">IF($CP114&gt;$CO$8,"",VLOOKUP($CP114,$CR$9:$CX$508,7,FALSE()))</f>
        <v/>
      </c>
      <c r="CZ114" s="141" t="str">
        <f aca="false">IF($CP114&gt;$CO$8,"",VLOOKUP($CP114,$CR$9:$CX$508,2,FALSE()))</f>
        <v/>
      </c>
      <c r="DA114" s="141" t="str">
        <f aca="false">IF($CP114&gt;$CO$8,"",VLOOKUP($CP114,$CR$9:$CX$508,3,FALSE()))</f>
        <v/>
      </c>
      <c r="DB114" s="141" t="str">
        <f aca="false">IF($CP114&gt;$CO$8,"",VLOOKUP($CP114,$CR$9:$CX$508,4,FALSE()))</f>
        <v/>
      </c>
      <c r="DC114" s="141" t="str">
        <f aca="false">IF($CP114&gt;$CO$8,"",VLOOKUP($CP114,$CR$9:$CX$508,5,FALSE()))</f>
        <v/>
      </c>
      <c r="DD114" s="142" t="str">
        <f aca="false">IF($CP114&gt;$CO$8,"",VLOOKUP($CP114,$CR$9:$CX$508,6,FALSE()))</f>
        <v/>
      </c>
      <c r="DE114" s="70"/>
    </row>
    <row r="115" customFormat="false" ht="15.75" hidden="false" customHeight="false" outlineLevel="0" collapsed="false">
      <c r="A115" s="8"/>
      <c r="B115" s="146"/>
      <c r="C115" s="147"/>
      <c r="D115" s="148"/>
      <c r="E115" s="164"/>
      <c r="F115" s="150"/>
      <c r="G115" s="115"/>
      <c r="H115" s="115"/>
      <c r="I115" s="115"/>
      <c r="J115" s="165"/>
      <c r="K115" s="154"/>
      <c r="L115" s="154"/>
      <c r="M115" s="118"/>
      <c r="N115" s="154"/>
      <c r="O115" s="153"/>
      <c r="P115" s="154"/>
      <c r="Q115" s="154"/>
      <c r="R115" s="154"/>
      <c r="S115" s="115"/>
      <c r="T115" s="154"/>
      <c r="U115" s="153"/>
      <c r="V115" s="154"/>
      <c r="W115" s="123"/>
      <c r="X115" s="124" t="str">
        <f aca="false">IF(ISBLANK($C115),"",IF($E115=Constants!$B$2,TRUE(),IF($E115=Constants!$B$3,FALSE(),TRUE())))</f>
        <v/>
      </c>
      <c r="Y115" s="124" t="str">
        <f aca="false">IF(ISBLANK($C115),"",IF($F115=Constants!$B$2,TRUE(),IF($F115=Constants!$B$3,FALSE(),TRUE())))</f>
        <v/>
      </c>
      <c r="Z115" s="125" t="str">
        <f aca="false">IF(ISBLANK($C115),"",IF(ISNUMBER($G115),IF($G115&gt;=0,$G115,""),""))</f>
        <v/>
      </c>
      <c r="AA115" s="125" t="str">
        <f aca="false">IF(ISBLANK($C115),"",IF(ISNUMBER($H115),IF($H115&gt;=0,$H115,""),""))</f>
        <v/>
      </c>
      <c r="AB115" s="125" t="str">
        <f aca="false">IF(ISBLANK($C115),"",IF(ISNUMBER($I115),IF($I115&gt;=0,$I115,""),""))</f>
        <v/>
      </c>
      <c r="AC115" s="124" t="str">
        <f aca="false">IF(ISBLANK($C115),"",IF($J115=Constants!$B$2,TRUE(),IF($J115=Constants!$B$3,FALSE(),TRUE())))</f>
        <v/>
      </c>
      <c r="AD115" s="124" t="str">
        <f aca="false">IF(ISBLANK($C115),"",IF($K115=Constants!$B$2,TRUE(),IF($K115=Constants!$B$3,FALSE(),TRUE())))</f>
        <v/>
      </c>
      <c r="AE115" s="124" t="str">
        <f aca="false">IF(ISBLANK($C115),"",IF($L115=Constants!$B$2,TRUE(),IF($L115=Constants!$B$3,FALSE(),TRUE())))</f>
        <v/>
      </c>
      <c r="AF115" s="126" t="str">
        <f aca="false">IF(ISBLANK($C115),"",IF(ISNUMBER($M115),IF($M115&gt;=0,$M115,""),""))</f>
        <v/>
      </c>
      <c r="AG115" s="124" t="str">
        <f aca="false">IF(ISBLANK($C115),"",IF(ISBLANK($N115),0,IF(ISNUMBER($N115),IF(AND($N115&gt;=0,$N115&lt;=Constants!$B$17,$N115=INT($N115)),$N115,""),"")))</f>
        <v/>
      </c>
      <c r="AH115" s="125" t="str">
        <f aca="false">IF(ISBLANK($C115),"",IF(ISBLANK($O115),0,IF(ISNUMBER($O115),IF($O115&gt;=0,$O115,""),"")))</f>
        <v/>
      </c>
      <c r="AI115" s="124" t="str">
        <f aca="false">IF(ISBLANK($C115),"",IF($P115=Constants!$B$2,TRUE(),IF($P115=Constants!$B$3,FALSE(),TRUE())))</f>
        <v/>
      </c>
      <c r="AJ115" s="124" t="str">
        <f aca="false">IF(ISBLANK($C115),"",IF($Q115=Constants!$B$2,TRUE(),IF($Q115=Constants!$B$3,FALSE(),TRUE())))</f>
        <v/>
      </c>
      <c r="AK115" s="124" t="str">
        <f aca="false">IF(ISBLANK($C115),"",IF($R115=Constants!$B$2,TRUE(),IF($R115=Constants!$B$3,FALSE(),TRUE())))</f>
        <v/>
      </c>
      <c r="AL115" s="126" t="str">
        <f aca="false">IF(ISBLANK($C115),"",IF(ISNUMBER($S115),IF($S115&gt;=0,$S115,""),""))</f>
        <v/>
      </c>
      <c r="AM115" s="124" t="str">
        <f aca="false">IF(ISBLANK($C115),"",IF(ISBLANK($T115),0,IF(ISNUMBER($T115),IF(AND($T115&gt;=0,$T115&lt;=Constants!$B$17,$T115=INT($T115)),$T115,""),"")))</f>
        <v/>
      </c>
      <c r="AN115" s="125" t="str">
        <f aca="false">IF(ISBLANK($C115),"",IF(ISBLANK($U115),0,IF(ISNUMBER($U115),IF($U115&gt;=0,$U115,""),"")))</f>
        <v/>
      </c>
      <c r="AO115" s="124" t="str">
        <f aca="false">IF(ISBLANK($C115),"",IF($V115=Constants!$B$2,TRUE(),IF($V115=Constants!$B$3,FALSE(),FALSE())))</f>
        <v/>
      </c>
      <c r="AP115" s="124"/>
      <c r="AQ115" s="123" t="str">
        <f aca="false">IF(ISBLANK($C115),"",AND($Y115,OR($AS115,$BC115),OR($Z115="",$AA115="",$AB115="")))</f>
        <v/>
      </c>
      <c r="AR115" s="123" t="str">
        <f aca="false">IF(ISBLANK($C115),"",IF(OR(NOT($Y115),NOT(OR($AS115,$BC115))),"",IF(ISBLANK($D$7),$AR$5,IF($AP$9="",$AR$6,""))))</f>
        <v/>
      </c>
      <c r="AS115" s="123" t="str">
        <f aca="false">IF(ISBLANK($C115),"",COUNTA($J115:$O115)&gt;0)</f>
        <v/>
      </c>
      <c r="AT115" s="123" t="str">
        <f aca="false">IF(ISBLANK($C115),"",AND($AS115,OR(AND($AF115="",OR($AE115,NOT(ISBLANK($M115)))),$AG115="",$AH115="")))</f>
        <v/>
      </c>
      <c r="AU115" s="125" t="str">
        <f aca="false">IF($BL115&lt;&gt;Constants!$B$4,"",IF(NOT($AS115),"",ROUND((Constants!$B$12-$AB115)+(Constants!$B$13-$Z115)+(Constants!$B$14-$AA115),1)))</f>
        <v/>
      </c>
      <c r="AV115" s="127" t="str">
        <f aca="false">IF($BL115&lt;&gt;Constants!$B$4,"",IF(NOT($AS115),"",IF(NOT($AE115),0,Constants!$B$15*(INT(ROUND(MIN($AF115,$AP$9),6))-INT(ROUND(MAX(0,MIN($AF115,2*$AP$9)-$AP$9),6))))))</f>
        <v/>
      </c>
      <c r="AW115" s="127" t="str">
        <f aca="false">IF($BL115&lt;&gt;Constants!$B$4,"",IF(NOT($AS115),"",Constants!$B$16*$AG115))</f>
        <v/>
      </c>
      <c r="AX115" s="127" t="str">
        <f aca="false">IF($BL115&lt;&gt;Constants!$B$4,"",IF(NOT($AS115),"",Constants!$B$18*INT(ROUND($AH115,6))))</f>
        <v/>
      </c>
      <c r="AY115" s="123" t="str">
        <f aca="false">IF($BL115&lt;&gt;Constants!$B$4,"",IF(NOT($AS115),"",IF(NOT($X115),Constants!$B$11,IF(OR(NOT($AC115),NOT($AD115),ROUND($AB115,1)&gt;Constants!$B$12,ROUND($Z115,1)&gt;Constants!$B$13,ROUND($AA115,1)&gt;Constants!$B$14),Constants!$B$10,Constants!$B$9))))</f>
        <v/>
      </c>
      <c r="AZ115" s="128" t="str">
        <f aca="false">IF($BL115&lt;&gt;Constants!$B$4,"",IF(NOT($AS115),"",ROUND($AU115+$AV115+$AW115+$AX115,1)))</f>
        <v/>
      </c>
      <c r="BA115" s="129" t="str">
        <f aca="false">IF($BL115&lt;&gt;Constants!$B$4,"",IF(NOT($AS115),"",IF(ISNUMBER($AF115),$AF115,0)))</f>
        <v/>
      </c>
      <c r="BB115" s="124" t="str">
        <f aca="false">IF($BL115&lt;&gt;Constants!$B$4,"",IF(NOT($BC115),"&lt;-",IF(NOT($AS115),"-&gt;",IF(OR($BI115&lt;$AY115,AND($BI115=$AY115,OR($BJ115&gt;$AZ115,AND($BJ115=$AZ115,OR($BH115&gt;$AX115,AND($BH115=$AX115,OR($BE115&gt;$AU115,AND($BE115=$AU115,OR($BF115&gt;$AV115,AND($BF115=$AV115,$BK115&gt;$BA115)))))))))),"-&gt;","&lt;-"))))</f>
        <v/>
      </c>
      <c r="BC115" s="123" t="str">
        <f aca="false">IF(ISBLANK($C115),"",COUNTA($P115:$U115)&gt;0)</f>
        <v/>
      </c>
      <c r="BD115" s="123" t="str">
        <f aca="false">IF(ISBLANK($C115),"",AND($BC115,OR(AND($AL115="",OR($AK115,NOT(ISBLANK($S115)))),$AM115="",$AN115="")))</f>
        <v/>
      </c>
      <c r="BE115" s="125" t="str">
        <f aca="false">IF($BL115&lt;&gt;Constants!$B$4,"",IF(NOT($BC115),"",ROUND((Constants!$B$12-$AB115)+(Constants!$B$13-$Z115)+(Constants!$B$14-$AA115),1)))</f>
        <v/>
      </c>
      <c r="BF115" s="127" t="str">
        <f aca="false">IF($BL115&lt;&gt;Constants!$B$4,"",IF(NOT($BC115),"",IF(NOT($AK115),0,Constants!$B$15*(INT(ROUND(MIN($AL115,$AP$9),6))-INT(ROUND(MAX(0,MIN($AL115,2*$AP$9)-$AP$9),6))))))</f>
        <v/>
      </c>
      <c r="BG115" s="127" t="str">
        <f aca="false">IF($BL115&lt;&gt;Constants!$B$4,"",IF(NOT($BC115),"",Constants!$B$16*$AM115))</f>
        <v/>
      </c>
      <c r="BH115" s="127" t="str">
        <f aca="false">IF($BL115&lt;&gt;Constants!$B$4,"",IF(NOT($BC115),"",Constants!$B$18*INT(ROUND($AN115,6))))</f>
        <v/>
      </c>
      <c r="BI115" s="123" t="str">
        <f aca="false">IF($BL115&lt;&gt;Constants!$B$4,"",IF(NOT($BC115),"",IF(NOT($X115),Constants!$B$11,IF(OR(NOT($AI115),NOT($AJ115),ROUND($AB115,1)&gt;Constants!$B$12,ROUND($Z115,1)&gt;Constants!$B$13,ROUND($AA115,1)&gt;Constants!$B$14),Constants!$B$10,Constants!$B$9))))</f>
        <v/>
      </c>
      <c r="BJ115" s="128" t="str">
        <f aca="false">IF($BL115&lt;&gt;Constants!$B$4,"",IF(NOT($BC115),"",ROUND($BE115+$BF115+$BG115+$BH115,1)))</f>
        <v/>
      </c>
      <c r="BK115" s="129" t="str">
        <f aca="false">IF($BL115&lt;&gt;Constants!$B$4,"",IF(NOT($BC115),"",IF(ISNUMBER($AL115),$AL115,0)))</f>
        <v/>
      </c>
      <c r="BL115" s="124" t="str">
        <f aca="false">IF(ISBLANK($C115),"",IF($AO115,Constants!$B$7,IF(COUNTA($E115:$V115)=0,Constants!$B$6,IF(NOT($Y115),Constants!$B$5,IF(NOT(OR($AS115,$BC115)),Constants!$B$5,IF(OR($AT115,$BD115,$AQ115,$AR115&lt;&gt;""),Constants!$B$8,Constants!$B$4))))))</f>
        <v/>
      </c>
      <c r="BM115" s="124" t="str">
        <f aca="false">IF(ISBLANK($C115),"",IF($BL115&lt;&gt;Constants!$B$4,$BL115,IF($BB115="-&gt;",$BI115,$AY115)))</f>
        <v/>
      </c>
      <c r="BN115" s="127" t="str">
        <f aca="false">IF($BL115&lt;&gt;Constants!$B$4,"",IF($BB115="-&gt;",$BJ115,$AZ115))</f>
        <v/>
      </c>
      <c r="BO115" s="127" t="str">
        <f aca="false">IF(ISBLANK($C115),"",IF($BL115&lt;&gt;Constants!$B$4,$BL115,$BN115))</f>
        <v/>
      </c>
      <c r="BP115" s="124" t="str">
        <f aca="false">IF(ISBLANK($C115),"",IF($BL115&lt;&gt;Constants!$B$4,$BL115,RANK($BO115,$BO$9:$BO$508,0)))</f>
        <v/>
      </c>
      <c r="BQ115" s="124" t="str">
        <f aca="false">IF(ISBLANK($C115),"",IF($BL115&lt;&gt;Constants!$B$4,$BL115,COUNTIFS($BM$9:$BM$508,"&lt;"&amp;$BM115)+COUNTIFS($BM$9:$BM$508,$BM115,$BP$9:$BP$508,"&lt;"&amp;$BP115)+1))</f>
        <v/>
      </c>
      <c r="BR115" s="127" t="str">
        <f aca="false">IF($BL115&lt;&gt;Constants!$B$4,"",IF($BB115="-&gt;",$BH115,$AX115))</f>
        <v/>
      </c>
      <c r="BS115" s="124" t="str">
        <f aca="false">IF(ISBLANK($C115),"",IF($BL115&lt;&gt;Constants!$B$4,$BL115,IF(ISNUMBER($BR115),RANK($BR115,$BR$9:$BR$508,0),COUNT($BR$9:$BR$508)+1)))</f>
        <v/>
      </c>
      <c r="BT115" s="127" t="str">
        <f aca="false">IF($BL115&lt;&gt;Constants!$B$4,"",IF($BB115="-&gt;",$BE115,$AU115))</f>
        <v/>
      </c>
      <c r="BU115" s="124" t="str">
        <f aca="false">IF(ISBLANK($C115),"",IF($BL115&lt;&gt;Constants!$B$4,$BL115,IF(ISNUMBER($BT115),RANK($BT115,$BT$9:$BT$508,0),COUNT($BT$9:$BT$508)+1)))</f>
        <v/>
      </c>
      <c r="BV115" s="127" t="str">
        <f aca="false">IF($BL115&lt;&gt;Constants!$B$4,"",IF($BB115="-&gt;",$BF115,$AV115))</f>
        <v/>
      </c>
      <c r="BW115" s="124" t="str">
        <f aca="false">IF(ISBLANK($C115),"",IF($BL115&lt;&gt;Constants!$B$4,$BL115,IF(ISNUMBER($BV115),RANK($BV115,$BV$9:$BV$508,0),COUNT($BV$9:$BV$508)+1)))</f>
        <v/>
      </c>
      <c r="BX115" s="127" t="str">
        <f aca="false">IF($BL115&lt;&gt;Constants!$B$4,"",IF($BB115="-&gt;",$BK115,$BA115))</f>
        <v/>
      </c>
      <c r="BY115" s="124" t="str">
        <f aca="false">IF(ISBLANK($C115),"",IF($BL115&lt;&gt;Constants!$B$4,$BL115,IF(ISNUMBER($BX115),RANK($BX115,$BX$9:$BX$508,0),COUNT($BX$9:$BX$508)+1)))</f>
        <v/>
      </c>
      <c r="BZ115" s="124" t="str">
        <f aca="false">IF(ISBLANK($C115),"",IF($BL115&lt;&gt;Constants!$B$4,$BL115,COUNTIFS($BM$9:$BM$508,"&lt;"&amp;$BM115)+COUNTIFS($BM$9:$BM$508,$BM115,$BP$9:$BP$508,"&lt;"&amp;$BP115)+COUNTIFS($BM$9:$BM$508,$BM115,$BP$9:$BP$508,$BP115,$BS$9:$BS$508,"&lt;"&amp;$BS115)+COUNTIFS($BM$9:$BM$508,$BM115,$BP$9:$BP$508,$BP115,$BS$9:$BS$508,$BS115,$BU$9:$BU$508,"&lt;"&amp;$BU115)+COUNTIFS($BM$9:$BM$508,$BM115,$BP$9:$BP$508,$BP115,$BS$9:$BS$508,$BS115,$BU$9:$BU$508,$BU115,$BW$9:$BW$508,"&lt;"&amp;$BW115)+COUNTIFS($BM$9:$BM$508,$BM115,$BP$9:$BP$508,$BP115,$BS$9:$BS$508,$BS115,$BU$9:$BU$508,$BU115,$BW$9:$BW$508,$BW115,$BY$9:$BY$508,"&lt;"&amp;$BY115)+1))</f>
        <v/>
      </c>
      <c r="CA115" s="124" t="str">
        <f aca="false">IF(ISBLANK($C115),"",IF($BL115&lt;&gt;Constants!$B$4,$BL115,$BQ115-$BZ115))</f>
        <v/>
      </c>
      <c r="CB115" s="130"/>
      <c r="CC115" s="131" t="str">
        <f aca="false">IF(ISBLANK($C115),"",IF($BL115=Constants!$B$8,$AR115,""))</f>
        <v/>
      </c>
      <c r="CD115" s="131" t="str">
        <f aca="false">IF(ISBLANK($C115),"",IF($BL115&lt;&gt;Constants!$B$4,"",IF($BB115="-&gt;",2,1)))</f>
        <v/>
      </c>
      <c r="CE115" s="132" t="str">
        <f aca="false">IF(ISBLANK($C115),"",IF($BL115&lt;&gt;Constants!$B$4,"",IF($BB115="-&gt;",$BE115,$AU115)))</f>
        <v/>
      </c>
      <c r="CF115" s="132" t="str">
        <f aca="false">IF(ISBLANK($C115),"",IF($BL115&lt;&gt;Constants!$B$4,"",IF($BB115="-&gt;",$BF115,$AV115)))</f>
        <v/>
      </c>
      <c r="CG115" s="132" t="str">
        <f aca="false">IF(ISBLANK($C115),"",IF($BL115&lt;&gt;Constants!$B$4,"",IF($BB115="-&gt;",$BG115,$AW115)))</f>
        <v/>
      </c>
      <c r="CH115" s="132" t="str">
        <f aca="false">IF(ISBLANK($C115),"",IF($BL115&lt;&gt;Constants!$B$4,"",IF($BB115="-&gt;",$BH115,$AX115)))</f>
        <v/>
      </c>
      <c r="CI115" s="133" t="str">
        <f aca="false">IF(ISBLANK($C115),"",$BO115)</f>
        <v/>
      </c>
      <c r="CJ115" s="134" t="str">
        <f aca="false">IF(ISBLANK($C115),"",$BM115)</f>
        <v/>
      </c>
      <c r="CK115" s="135" t="str">
        <f aca="false">IF(ISBLANK($C115),"",$CA115)</f>
        <v/>
      </c>
      <c r="CL115" s="135" t="str">
        <f aca="false">IF(ISBLANK($C115),"",$BZ115)</f>
        <v/>
      </c>
      <c r="CM115" s="136" t="str">
        <f aca="false">IF(ISBLANK($C115),"",IF($CL115=Constants!$B$7,COUNTA($C$9:$C$508)+2,IF($CL115=Constants!$B$6,COUNTA($C$9:$C$508)+1,IF($CL115=Constants!$B$5,COUNTA($C$9:$C$508),$CL115))))</f>
        <v/>
      </c>
      <c r="CN115" s="8"/>
      <c r="CO115" s="137" t="n">
        <f aca="false">IF(OR(ISNUMBER($CL115),$CL115=Constants!$B$7,$CL115=Constants!$B$5,$CL115=Constants!$B$6),1,0)</f>
        <v>0</v>
      </c>
      <c r="CP115" s="137" t="n">
        <v>107</v>
      </c>
      <c r="CQ115" s="137" t="str">
        <f aca="false">IF(ISBLANK($C115),"",IF(ISNUMBER($CM115),$CM115+ROW($B115)/1000,""))</f>
        <v/>
      </c>
      <c r="CR115" s="137" t="str">
        <f aca="false">IF(ISNUMBER($CQ115),RANK($CQ115,$CQ$9:$CQ$508,1),"")</f>
        <v/>
      </c>
      <c r="CS115" s="137" t="str">
        <f aca="false">IF(ISBLANK($C115),"",$B115)</f>
        <v/>
      </c>
      <c r="CT115" s="137" t="str">
        <f aca="false">IF(ISBLANK($C115),"",$C115)</f>
        <v/>
      </c>
      <c r="CU115" s="137" t="str">
        <f aca="false">IF(ISBLANK($C115),"",$D115)</f>
        <v/>
      </c>
      <c r="CV115" s="138" t="str">
        <f aca="false">$CJ115</f>
        <v/>
      </c>
      <c r="CW115" s="139" t="str">
        <f aca="false">$CI115</f>
        <v/>
      </c>
      <c r="CX115" s="137" t="str">
        <f aca="false">IF(ISBLANK($C115),"",$CL115)</f>
        <v/>
      </c>
      <c r="CY115" s="140" t="str">
        <f aca="false">IF($CP115&gt;$CO$8,"",VLOOKUP($CP115,$CR$9:$CX$508,7,FALSE()))</f>
        <v/>
      </c>
      <c r="CZ115" s="141" t="str">
        <f aca="false">IF($CP115&gt;$CO$8,"",VLOOKUP($CP115,$CR$9:$CX$508,2,FALSE()))</f>
        <v/>
      </c>
      <c r="DA115" s="141" t="str">
        <f aca="false">IF($CP115&gt;$CO$8,"",VLOOKUP($CP115,$CR$9:$CX$508,3,FALSE()))</f>
        <v/>
      </c>
      <c r="DB115" s="141" t="str">
        <f aca="false">IF($CP115&gt;$CO$8,"",VLOOKUP($CP115,$CR$9:$CX$508,4,FALSE()))</f>
        <v/>
      </c>
      <c r="DC115" s="141" t="str">
        <f aca="false">IF($CP115&gt;$CO$8,"",VLOOKUP($CP115,$CR$9:$CX$508,5,FALSE()))</f>
        <v/>
      </c>
      <c r="DD115" s="142" t="str">
        <f aca="false">IF($CP115&gt;$CO$8,"",VLOOKUP($CP115,$CR$9:$CX$508,6,FALSE()))</f>
        <v/>
      </c>
      <c r="DE115" s="70"/>
    </row>
    <row r="116" customFormat="false" ht="15.75" hidden="false" customHeight="false" outlineLevel="0" collapsed="false">
      <c r="A116" s="8"/>
      <c r="B116" s="146"/>
      <c r="C116" s="147"/>
      <c r="D116" s="148"/>
      <c r="E116" s="164"/>
      <c r="F116" s="150"/>
      <c r="G116" s="115"/>
      <c r="H116" s="115"/>
      <c r="I116" s="115"/>
      <c r="J116" s="165"/>
      <c r="K116" s="154"/>
      <c r="L116" s="154"/>
      <c r="M116" s="118"/>
      <c r="N116" s="154"/>
      <c r="O116" s="153"/>
      <c r="P116" s="154"/>
      <c r="Q116" s="154"/>
      <c r="R116" s="154"/>
      <c r="S116" s="115"/>
      <c r="T116" s="154"/>
      <c r="U116" s="153"/>
      <c r="V116" s="154"/>
      <c r="W116" s="123"/>
      <c r="X116" s="124" t="str">
        <f aca="false">IF(ISBLANK($C116),"",IF($E116=Constants!$B$2,TRUE(),IF($E116=Constants!$B$3,FALSE(),TRUE())))</f>
        <v/>
      </c>
      <c r="Y116" s="124" t="str">
        <f aca="false">IF(ISBLANK($C116),"",IF($F116=Constants!$B$2,TRUE(),IF($F116=Constants!$B$3,FALSE(),TRUE())))</f>
        <v/>
      </c>
      <c r="Z116" s="125" t="str">
        <f aca="false">IF(ISBLANK($C116),"",IF(ISNUMBER($G116),IF($G116&gt;=0,$G116,""),""))</f>
        <v/>
      </c>
      <c r="AA116" s="125" t="str">
        <f aca="false">IF(ISBLANK($C116),"",IF(ISNUMBER($H116),IF($H116&gt;=0,$H116,""),""))</f>
        <v/>
      </c>
      <c r="AB116" s="125" t="str">
        <f aca="false">IF(ISBLANK($C116),"",IF(ISNUMBER($I116),IF($I116&gt;=0,$I116,""),""))</f>
        <v/>
      </c>
      <c r="AC116" s="124" t="str">
        <f aca="false">IF(ISBLANK($C116),"",IF($J116=Constants!$B$2,TRUE(),IF($J116=Constants!$B$3,FALSE(),TRUE())))</f>
        <v/>
      </c>
      <c r="AD116" s="124" t="str">
        <f aca="false">IF(ISBLANK($C116),"",IF($K116=Constants!$B$2,TRUE(),IF($K116=Constants!$B$3,FALSE(),TRUE())))</f>
        <v/>
      </c>
      <c r="AE116" s="124" t="str">
        <f aca="false">IF(ISBLANK($C116),"",IF($L116=Constants!$B$2,TRUE(),IF($L116=Constants!$B$3,FALSE(),TRUE())))</f>
        <v/>
      </c>
      <c r="AF116" s="126" t="str">
        <f aca="false">IF(ISBLANK($C116),"",IF(ISNUMBER($M116),IF($M116&gt;=0,$M116,""),""))</f>
        <v/>
      </c>
      <c r="AG116" s="124" t="str">
        <f aca="false">IF(ISBLANK($C116),"",IF(ISBLANK($N116),0,IF(ISNUMBER($N116),IF(AND($N116&gt;=0,$N116&lt;=Constants!$B$17,$N116=INT($N116)),$N116,""),"")))</f>
        <v/>
      </c>
      <c r="AH116" s="125" t="str">
        <f aca="false">IF(ISBLANK($C116),"",IF(ISBLANK($O116),0,IF(ISNUMBER($O116),IF($O116&gt;=0,$O116,""),"")))</f>
        <v/>
      </c>
      <c r="AI116" s="124" t="str">
        <f aca="false">IF(ISBLANK($C116),"",IF($P116=Constants!$B$2,TRUE(),IF($P116=Constants!$B$3,FALSE(),TRUE())))</f>
        <v/>
      </c>
      <c r="AJ116" s="124" t="str">
        <f aca="false">IF(ISBLANK($C116),"",IF($Q116=Constants!$B$2,TRUE(),IF($Q116=Constants!$B$3,FALSE(),TRUE())))</f>
        <v/>
      </c>
      <c r="AK116" s="124" t="str">
        <f aca="false">IF(ISBLANK($C116),"",IF($R116=Constants!$B$2,TRUE(),IF($R116=Constants!$B$3,FALSE(),TRUE())))</f>
        <v/>
      </c>
      <c r="AL116" s="126" t="str">
        <f aca="false">IF(ISBLANK($C116),"",IF(ISNUMBER($S116),IF($S116&gt;=0,$S116,""),""))</f>
        <v/>
      </c>
      <c r="AM116" s="124" t="str">
        <f aca="false">IF(ISBLANK($C116),"",IF(ISBLANK($T116),0,IF(ISNUMBER($T116),IF(AND($T116&gt;=0,$T116&lt;=Constants!$B$17,$T116=INT($T116)),$T116,""),"")))</f>
        <v/>
      </c>
      <c r="AN116" s="125" t="str">
        <f aca="false">IF(ISBLANK($C116),"",IF(ISBLANK($U116),0,IF(ISNUMBER($U116),IF($U116&gt;=0,$U116,""),"")))</f>
        <v/>
      </c>
      <c r="AO116" s="124" t="str">
        <f aca="false">IF(ISBLANK($C116),"",IF($V116=Constants!$B$2,TRUE(),IF($V116=Constants!$B$3,FALSE(),FALSE())))</f>
        <v/>
      </c>
      <c r="AP116" s="124"/>
      <c r="AQ116" s="123" t="str">
        <f aca="false">IF(ISBLANK($C116),"",AND($Y116,OR($AS116,$BC116),OR($Z116="",$AA116="",$AB116="")))</f>
        <v/>
      </c>
      <c r="AR116" s="123" t="str">
        <f aca="false">IF(ISBLANK($C116),"",IF(OR(NOT($Y116),NOT(OR($AS116,$BC116))),"",IF(ISBLANK($D$7),$AR$5,IF($AP$9="",$AR$6,""))))</f>
        <v/>
      </c>
      <c r="AS116" s="123" t="str">
        <f aca="false">IF(ISBLANK($C116),"",COUNTA($J116:$O116)&gt;0)</f>
        <v/>
      </c>
      <c r="AT116" s="123" t="str">
        <f aca="false">IF(ISBLANK($C116),"",AND($AS116,OR(AND($AF116="",OR($AE116,NOT(ISBLANK($M116)))),$AG116="",$AH116="")))</f>
        <v/>
      </c>
      <c r="AU116" s="125" t="str">
        <f aca="false">IF($BL116&lt;&gt;Constants!$B$4,"",IF(NOT($AS116),"",ROUND((Constants!$B$12-$AB116)+(Constants!$B$13-$Z116)+(Constants!$B$14-$AA116),1)))</f>
        <v/>
      </c>
      <c r="AV116" s="127" t="str">
        <f aca="false">IF($BL116&lt;&gt;Constants!$B$4,"",IF(NOT($AS116),"",IF(NOT($AE116),0,Constants!$B$15*(INT(ROUND(MIN($AF116,$AP$9),6))-INT(ROUND(MAX(0,MIN($AF116,2*$AP$9)-$AP$9),6))))))</f>
        <v/>
      </c>
      <c r="AW116" s="127" t="str">
        <f aca="false">IF($BL116&lt;&gt;Constants!$B$4,"",IF(NOT($AS116),"",Constants!$B$16*$AG116))</f>
        <v/>
      </c>
      <c r="AX116" s="127" t="str">
        <f aca="false">IF($BL116&lt;&gt;Constants!$B$4,"",IF(NOT($AS116),"",Constants!$B$18*INT(ROUND($AH116,6))))</f>
        <v/>
      </c>
      <c r="AY116" s="123" t="str">
        <f aca="false">IF($BL116&lt;&gt;Constants!$B$4,"",IF(NOT($AS116),"",IF(NOT($X116),Constants!$B$11,IF(OR(NOT($AC116),NOT($AD116),ROUND($AB116,1)&gt;Constants!$B$12,ROUND($Z116,1)&gt;Constants!$B$13,ROUND($AA116,1)&gt;Constants!$B$14),Constants!$B$10,Constants!$B$9))))</f>
        <v/>
      </c>
      <c r="AZ116" s="128" t="str">
        <f aca="false">IF($BL116&lt;&gt;Constants!$B$4,"",IF(NOT($AS116),"",ROUND($AU116+$AV116+$AW116+$AX116,1)))</f>
        <v/>
      </c>
      <c r="BA116" s="129" t="str">
        <f aca="false">IF($BL116&lt;&gt;Constants!$B$4,"",IF(NOT($AS116),"",IF(ISNUMBER($AF116),$AF116,0)))</f>
        <v/>
      </c>
      <c r="BB116" s="124" t="str">
        <f aca="false">IF($BL116&lt;&gt;Constants!$B$4,"",IF(NOT($BC116),"&lt;-",IF(NOT($AS116),"-&gt;",IF(OR($BI116&lt;$AY116,AND($BI116=$AY116,OR($BJ116&gt;$AZ116,AND($BJ116=$AZ116,OR($BH116&gt;$AX116,AND($BH116=$AX116,OR($BE116&gt;$AU116,AND($BE116=$AU116,OR($BF116&gt;$AV116,AND($BF116=$AV116,$BK116&gt;$BA116)))))))))),"-&gt;","&lt;-"))))</f>
        <v/>
      </c>
      <c r="BC116" s="123" t="str">
        <f aca="false">IF(ISBLANK($C116),"",COUNTA($P116:$U116)&gt;0)</f>
        <v/>
      </c>
      <c r="BD116" s="123" t="str">
        <f aca="false">IF(ISBLANK($C116),"",AND($BC116,OR(AND($AL116="",OR($AK116,NOT(ISBLANK($S116)))),$AM116="",$AN116="")))</f>
        <v/>
      </c>
      <c r="BE116" s="125" t="str">
        <f aca="false">IF($BL116&lt;&gt;Constants!$B$4,"",IF(NOT($BC116),"",ROUND((Constants!$B$12-$AB116)+(Constants!$B$13-$Z116)+(Constants!$B$14-$AA116),1)))</f>
        <v/>
      </c>
      <c r="BF116" s="127" t="str">
        <f aca="false">IF($BL116&lt;&gt;Constants!$B$4,"",IF(NOT($BC116),"",IF(NOT($AK116),0,Constants!$B$15*(INT(ROUND(MIN($AL116,$AP$9),6))-INT(ROUND(MAX(0,MIN($AL116,2*$AP$9)-$AP$9),6))))))</f>
        <v/>
      </c>
      <c r="BG116" s="127" t="str">
        <f aca="false">IF($BL116&lt;&gt;Constants!$B$4,"",IF(NOT($BC116),"",Constants!$B$16*$AM116))</f>
        <v/>
      </c>
      <c r="BH116" s="127" t="str">
        <f aca="false">IF($BL116&lt;&gt;Constants!$B$4,"",IF(NOT($BC116),"",Constants!$B$18*INT(ROUND($AN116,6))))</f>
        <v/>
      </c>
      <c r="BI116" s="123" t="str">
        <f aca="false">IF($BL116&lt;&gt;Constants!$B$4,"",IF(NOT($BC116),"",IF(NOT($X116),Constants!$B$11,IF(OR(NOT($AI116),NOT($AJ116),ROUND($AB116,1)&gt;Constants!$B$12,ROUND($Z116,1)&gt;Constants!$B$13,ROUND($AA116,1)&gt;Constants!$B$14),Constants!$B$10,Constants!$B$9))))</f>
        <v/>
      </c>
      <c r="BJ116" s="128" t="str">
        <f aca="false">IF($BL116&lt;&gt;Constants!$B$4,"",IF(NOT($BC116),"",ROUND($BE116+$BF116+$BG116+$BH116,1)))</f>
        <v/>
      </c>
      <c r="BK116" s="129" t="str">
        <f aca="false">IF($BL116&lt;&gt;Constants!$B$4,"",IF(NOT($BC116),"",IF(ISNUMBER($AL116),$AL116,0)))</f>
        <v/>
      </c>
      <c r="BL116" s="124" t="str">
        <f aca="false">IF(ISBLANK($C116),"",IF($AO116,Constants!$B$7,IF(COUNTA($E116:$V116)=0,Constants!$B$6,IF(NOT($Y116),Constants!$B$5,IF(NOT(OR($AS116,$BC116)),Constants!$B$5,IF(OR($AT116,$BD116,$AQ116,$AR116&lt;&gt;""),Constants!$B$8,Constants!$B$4))))))</f>
        <v/>
      </c>
      <c r="BM116" s="124" t="str">
        <f aca="false">IF(ISBLANK($C116),"",IF($BL116&lt;&gt;Constants!$B$4,$BL116,IF($BB116="-&gt;",$BI116,$AY116)))</f>
        <v/>
      </c>
      <c r="BN116" s="127" t="str">
        <f aca="false">IF($BL116&lt;&gt;Constants!$B$4,"",IF($BB116="-&gt;",$BJ116,$AZ116))</f>
        <v/>
      </c>
      <c r="BO116" s="127" t="str">
        <f aca="false">IF(ISBLANK($C116),"",IF($BL116&lt;&gt;Constants!$B$4,$BL116,$BN116))</f>
        <v/>
      </c>
      <c r="BP116" s="124" t="str">
        <f aca="false">IF(ISBLANK($C116),"",IF($BL116&lt;&gt;Constants!$B$4,$BL116,RANK($BO116,$BO$9:$BO$508,0)))</f>
        <v/>
      </c>
      <c r="BQ116" s="124" t="str">
        <f aca="false">IF(ISBLANK($C116),"",IF($BL116&lt;&gt;Constants!$B$4,$BL116,COUNTIFS($BM$9:$BM$508,"&lt;"&amp;$BM116)+COUNTIFS($BM$9:$BM$508,$BM116,$BP$9:$BP$508,"&lt;"&amp;$BP116)+1))</f>
        <v/>
      </c>
      <c r="BR116" s="127" t="str">
        <f aca="false">IF($BL116&lt;&gt;Constants!$B$4,"",IF($BB116="-&gt;",$BH116,$AX116))</f>
        <v/>
      </c>
      <c r="BS116" s="124" t="str">
        <f aca="false">IF(ISBLANK($C116),"",IF($BL116&lt;&gt;Constants!$B$4,$BL116,IF(ISNUMBER($BR116),RANK($BR116,$BR$9:$BR$508,0),COUNT($BR$9:$BR$508)+1)))</f>
        <v/>
      </c>
      <c r="BT116" s="127" t="str">
        <f aca="false">IF($BL116&lt;&gt;Constants!$B$4,"",IF($BB116="-&gt;",$BE116,$AU116))</f>
        <v/>
      </c>
      <c r="BU116" s="124" t="str">
        <f aca="false">IF(ISBLANK($C116),"",IF($BL116&lt;&gt;Constants!$B$4,$BL116,IF(ISNUMBER($BT116),RANK($BT116,$BT$9:$BT$508,0),COUNT($BT$9:$BT$508)+1)))</f>
        <v/>
      </c>
      <c r="BV116" s="127" t="str">
        <f aca="false">IF($BL116&lt;&gt;Constants!$B$4,"",IF($BB116="-&gt;",$BF116,$AV116))</f>
        <v/>
      </c>
      <c r="BW116" s="124" t="str">
        <f aca="false">IF(ISBLANK($C116),"",IF($BL116&lt;&gt;Constants!$B$4,$BL116,IF(ISNUMBER($BV116),RANK($BV116,$BV$9:$BV$508,0),COUNT($BV$9:$BV$508)+1)))</f>
        <v/>
      </c>
      <c r="BX116" s="127" t="str">
        <f aca="false">IF($BL116&lt;&gt;Constants!$B$4,"",IF($BB116="-&gt;",$BK116,$BA116))</f>
        <v/>
      </c>
      <c r="BY116" s="124" t="str">
        <f aca="false">IF(ISBLANK($C116),"",IF($BL116&lt;&gt;Constants!$B$4,$BL116,IF(ISNUMBER($BX116),RANK($BX116,$BX$9:$BX$508,0),COUNT($BX$9:$BX$508)+1)))</f>
        <v/>
      </c>
      <c r="BZ116" s="124" t="str">
        <f aca="false">IF(ISBLANK($C116),"",IF($BL116&lt;&gt;Constants!$B$4,$BL116,COUNTIFS($BM$9:$BM$508,"&lt;"&amp;$BM116)+COUNTIFS($BM$9:$BM$508,$BM116,$BP$9:$BP$508,"&lt;"&amp;$BP116)+COUNTIFS($BM$9:$BM$508,$BM116,$BP$9:$BP$508,$BP116,$BS$9:$BS$508,"&lt;"&amp;$BS116)+COUNTIFS($BM$9:$BM$508,$BM116,$BP$9:$BP$508,$BP116,$BS$9:$BS$508,$BS116,$BU$9:$BU$508,"&lt;"&amp;$BU116)+COUNTIFS($BM$9:$BM$508,$BM116,$BP$9:$BP$508,$BP116,$BS$9:$BS$508,$BS116,$BU$9:$BU$508,$BU116,$BW$9:$BW$508,"&lt;"&amp;$BW116)+COUNTIFS($BM$9:$BM$508,$BM116,$BP$9:$BP$508,$BP116,$BS$9:$BS$508,$BS116,$BU$9:$BU$508,$BU116,$BW$9:$BW$508,$BW116,$BY$9:$BY$508,"&lt;"&amp;$BY116)+1))</f>
        <v/>
      </c>
      <c r="CA116" s="124" t="str">
        <f aca="false">IF(ISBLANK($C116),"",IF($BL116&lt;&gt;Constants!$B$4,$BL116,$BQ116-$BZ116))</f>
        <v/>
      </c>
      <c r="CB116" s="130"/>
      <c r="CC116" s="131" t="str">
        <f aca="false">IF(ISBLANK($C116),"",IF($BL116=Constants!$B$8,$AR116,""))</f>
        <v/>
      </c>
      <c r="CD116" s="131" t="str">
        <f aca="false">IF(ISBLANK($C116),"",IF($BL116&lt;&gt;Constants!$B$4,"",IF($BB116="-&gt;",2,1)))</f>
        <v/>
      </c>
      <c r="CE116" s="132" t="str">
        <f aca="false">IF(ISBLANK($C116),"",IF($BL116&lt;&gt;Constants!$B$4,"",IF($BB116="-&gt;",$BE116,$AU116)))</f>
        <v/>
      </c>
      <c r="CF116" s="132" t="str">
        <f aca="false">IF(ISBLANK($C116),"",IF($BL116&lt;&gt;Constants!$B$4,"",IF($BB116="-&gt;",$BF116,$AV116)))</f>
        <v/>
      </c>
      <c r="CG116" s="132" t="str">
        <f aca="false">IF(ISBLANK($C116),"",IF($BL116&lt;&gt;Constants!$B$4,"",IF($BB116="-&gt;",$BG116,$AW116)))</f>
        <v/>
      </c>
      <c r="CH116" s="132" t="str">
        <f aca="false">IF(ISBLANK($C116),"",IF($BL116&lt;&gt;Constants!$B$4,"",IF($BB116="-&gt;",$BH116,$AX116)))</f>
        <v/>
      </c>
      <c r="CI116" s="133" t="str">
        <f aca="false">IF(ISBLANK($C116),"",$BO116)</f>
        <v/>
      </c>
      <c r="CJ116" s="134" t="str">
        <f aca="false">IF(ISBLANK($C116),"",$BM116)</f>
        <v/>
      </c>
      <c r="CK116" s="135" t="str">
        <f aca="false">IF(ISBLANK($C116),"",$CA116)</f>
        <v/>
      </c>
      <c r="CL116" s="135" t="str">
        <f aca="false">IF(ISBLANK($C116),"",$BZ116)</f>
        <v/>
      </c>
      <c r="CM116" s="136" t="str">
        <f aca="false">IF(ISBLANK($C116),"",IF($CL116=Constants!$B$7,COUNTA($C$9:$C$508)+2,IF($CL116=Constants!$B$6,COUNTA($C$9:$C$508)+1,IF($CL116=Constants!$B$5,COUNTA($C$9:$C$508),$CL116))))</f>
        <v/>
      </c>
      <c r="CN116" s="8"/>
      <c r="CO116" s="137" t="n">
        <f aca="false">IF(OR(ISNUMBER($CL116),$CL116=Constants!$B$7,$CL116=Constants!$B$5,$CL116=Constants!$B$6),1,0)</f>
        <v>0</v>
      </c>
      <c r="CP116" s="137" t="n">
        <v>108</v>
      </c>
      <c r="CQ116" s="137" t="str">
        <f aca="false">IF(ISBLANK($C116),"",IF(ISNUMBER($CM116),$CM116+ROW($B116)/1000,""))</f>
        <v/>
      </c>
      <c r="CR116" s="137" t="str">
        <f aca="false">IF(ISNUMBER($CQ116),RANK($CQ116,$CQ$9:$CQ$508,1),"")</f>
        <v/>
      </c>
      <c r="CS116" s="137" t="str">
        <f aca="false">IF(ISBLANK($C116),"",$B116)</f>
        <v/>
      </c>
      <c r="CT116" s="137" t="str">
        <f aca="false">IF(ISBLANK($C116),"",$C116)</f>
        <v/>
      </c>
      <c r="CU116" s="137" t="str">
        <f aca="false">IF(ISBLANK($C116),"",$D116)</f>
        <v/>
      </c>
      <c r="CV116" s="138" t="str">
        <f aca="false">$CJ116</f>
        <v/>
      </c>
      <c r="CW116" s="139" t="str">
        <f aca="false">$CI116</f>
        <v/>
      </c>
      <c r="CX116" s="137" t="str">
        <f aca="false">IF(ISBLANK($C116),"",$CL116)</f>
        <v/>
      </c>
      <c r="CY116" s="140" t="str">
        <f aca="false">IF($CP116&gt;$CO$8,"",VLOOKUP($CP116,$CR$9:$CX$508,7,FALSE()))</f>
        <v/>
      </c>
      <c r="CZ116" s="141" t="str">
        <f aca="false">IF($CP116&gt;$CO$8,"",VLOOKUP($CP116,$CR$9:$CX$508,2,FALSE()))</f>
        <v/>
      </c>
      <c r="DA116" s="141" t="str">
        <f aca="false">IF($CP116&gt;$CO$8,"",VLOOKUP($CP116,$CR$9:$CX$508,3,FALSE()))</f>
        <v/>
      </c>
      <c r="DB116" s="141" t="str">
        <f aca="false">IF($CP116&gt;$CO$8,"",VLOOKUP($CP116,$CR$9:$CX$508,4,FALSE()))</f>
        <v/>
      </c>
      <c r="DC116" s="141" t="str">
        <f aca="false">IF($CP116&gt;$CO$8,"",VLOOKUP($CP116,$CR$9:$CX$508,5,FALSE()))</f>
        <v/>
      </c>
      <c r="DD116" s="142" t="str">
        <f aca="false">IF($CP116&gt;$CO$8,"",VLOOKUP($CP116,$CR$9:$CX$508,6,FALSE()))</f>
        <v/>
      </c>
      <c r="DE116" s="70"/>
    </row>
    <row r="117" customFormat="false" ht="15.75" hidden="false" customHeight="false" outlineLevel="0" collapsed="false">
      <c r="A117" s="8"/>
      <c r="B117" s="72"/>
      <c r="C117" s="73"/>
      <c r="D117" s="155"/>
      <c r="E117" s="162"/>
      <c r="F117" s="157"/>
      <c r="G117" s="77"/>
      <c r="H117" s="77"/>
      <c r="I117" s="77"/>
      <c r="J117" s="163"/>
      <c r="K117" s="161"/>
      <c r="L117" s="161"/>
      <c r="M117" s="80"/>
      <c r="N117" s="161"/>
      <c r="O117" s="160"/>
      <c r="P117" s="161"/>
      <c r="Q117" s="161"/>
      <c r="R117" s="161"/>
      <c r="S117" s="77"/>
      <c r="T117" s="161"/>
      <c r="U117" s="160"/>
      <c r="V117" s="161"/>
      <c r="W117" s="85"/>
      <c r="X117" s="86" t="str">
        <f aca="false">IF(ISBLANK($C117),"",IF($E117=Constants!$B$2,TRUE(),IF($E117=Constants!$B$3,FALSE(),TRUE())))</f>
        <v/>
      </c>
      <c r="Y117" s="86" t="str">
        <f aca="false">IF(ISBLANK($C117),"",IF($F117=Constants!$B$2,TRUE(),IF($F117=Constants!$B$3,FALSE(),TRUE())))</f>
        <v/>
      </c>
      <c r="Z117" s="87" t="str">
        <f aca="false">IF(ISBLANK($C117),"",IF(ISNUMBER($G117),IF($G117&gt;=0,$G117,""),""))</f>
        <v/>
      </c>
      <c r="AA117" s="87" t="str">
        <f aca="false">IF(ISBLANK($C117),"",IF(ISNUMBER($H117),IF($H117&gt;=0,$H117,""),""))</f>
        <v/>
      </c>
      <c r="AB117" s="87" t="str">
        <f aca="false">IF(ISBLANK($C117),"",IF(ISNUMBER($I117),IF($I117&gt;=0,$I117,""),""))</f>
        <v/>
      </c>
      <c r="AC117" s="86" t="str">
        <f aca="false">IF(ISBLANK($C117),"",IF($J117=Constants!$B$2,TRUE(),IF($J117=Constants!$B$3,FALSE(),TRUE())))</f>
        <v/>
      </c>
      <c r="AD117" s="86" t="str">
        <f aca="false">IF(ISBLANK($C117),"",IF($K117=Constants!$B$2,TRUE(),IF($K117=Constants!$B$3,FALSE(),TRUE())))</f>
        <v/>
      </c>
      <c r="AE117" s="86" t="str">
        <f aca="false">IF(ISBLANK($C117),"",IF($L117=Constants!$B$2,TRUE(),IF($L117=Constants!$B$3,FALSE(),TRUE())))</f>
        <v/>
      </c>
      <c r="AF117" s="88" t="str">
        <f aca="false">IF(ISBLANK($C117),"",IF(ISNUMBER($M117),IF($M117&gt;=0,$M117,""),""))</f>
        <v/>
      </c>
      <c r="AG117" s="86" t="str">
        <f aca="false">IF(ISBLANK($C117),"",IF(ISBLANK($N117),0,IF(ISNUMBER($N117),IF(AND($N117&gt;=0,$N117&lt;=Constants!$B$17,$N117=INT($N117)),$N117,""),"")))</f>
        <v/>
      </c>
      <c r="AH117" s="87" t="str">
        <f aca="false">IF(ISBLANK($C117),"",IF(ISBLANK($O117),0,IF(ISNUMBER($O117),IF($O117&gt;=0,$O117,""),"")))</f>
        <v/>
      </c>
      <c r="AI117" s="86" t="str">
        <f aca="false">IF(ISBLANK($C117),"",IF($P117=Constants!$B$2,TRUE(),IF($P117=Constants!$B$3,FALSE(),TRUE())))</f>
        <v/>
      </c>
      <c r="AJ117" s="86" t="str">
        <f aca="false">IF(ISBLANK($C117),"",IF($Q117=Constants!$B$2,TRUE(),IF($Q117=Constants!$B$3,FALSE(),TRUE())))</f>
        <v/>
      </c>
      <c r="AK117" s="86" t="str">
        <f aca="false">IF(ISBLANK($C117),"",IF($R117=Constants!$B$2,TRUE(),IF($R117=Constants!$B$3,FALSE(),TRUE())))</f>
        <v/>
      </c>
      <c r="AL117" s="88" t="str">
        <f aca="false">IF(ISBLANK($C117),"",IF(ISNUMBER($S117),IF($S117&gt;=0,$S117,""),""))</f>
        <v/>
      </c>
      <c r="AM117" s="86" t="str">
        <f aca="false">IF(ISBLANK($C117),"",IF(ISBLANK($T117),0,IF(ISNUMBER($T117),IF(AND($T117&gt;=0,$T117&lt;=Constants!$B$17,$T117=INT($T117)),$T117,""),"")))</f>
        <v/>
      </c>
      <c r="AN117" s="87" t="str">
        <f aca="false">IF(ISBLANK($C117),"",IF(ISBLANK($U117),0,IF(ISNUMBER($U117),IF($U117&gt;=0,$U117,""),"")))</f>
        <v/>
      </c>
      <c r="AO117" s="86" t="str">
        <f aca="false">IF(ISBLANK($C117),"",IF($V117=Constants!$B$2,TRUE(),IF($V117=Constants!$B$3,FALSE(),FALSE())))</f>
        <v/>
      </c>
      <c r="AP117" s="86"/>
      <c r="AQ117" s="85" t="str">
        <f aca="false">IF(ISBLANK($C117),"",AND($Y117,OR($AS117,$BC117),OR($Z117="",$AA117="",$AB117="")))</f>
        <v/>
      </c>
      <c r="AR117" s="85" t="str">
        <f aca="false">IF(ISBLANK($C117),"",IF(OR(NOT($Y117),NOT(OR($AS117,$BC117))),"",IF(ISBLANK($D$7),$AR$5,IF($AP$9="",$AR$6,""))))</f>
        <v/>
      </c>
      <c r="AS117" s="85" t="str">
        <f aca="false">IF(ISBLANK($C117),"",COUNTA($J117:$O117)&gt;0)</f>
        <v/>
      </c>
      <c r="AT117" s="85" t="str">
        <f aca="false">IF(ISBLANK($C117),"",AND($AS117,OR(AND($AF117="",OR($AE117,NOT(ISBLANK($M117)))),$AG117="",$AH117="")))</f>
        <v/>
      </c>
      <c r="AU117" s="87" t="str">
        <f aca="false">IF($BL117&lt;&gt;Constants!$B$4,"",IF(NOT($AS117),"",ROUND((Constants!$B$12-$AB117)+(Constants!$B$13-$Z117)+(Constants!$B$14-$AA117),1)))</f>
        <v/>
      </c>
      <c r="AV117" s="90" t="str">
        <f aca="false">IF($BL117&lt;&gt;Constants!$B$4,"",IF(NOT($AS117),"",IF(NOT($AE117),0,Constants!$B$15*(INT(ROUND(MIN($AF117,$AP$9),6))-INT(ROUND(MAX(0,MIN($AF117,2*$AP$9)-$AP$9),6))))))</f>
        <v/>
      </c>
      <c r="AW117" s="90" t="str">
        <f aca="false">IF($BL117&lt;&gt;Constants!$B$4,"",IF(NOT($AS117),"",Constants!$B$16*$AG117))</f>
        <v/>
      </c>
      <c r="AX117" s="90" t="str">
        <f aca="false">IF($BL117&lt;&gt;Constants!$B$4,"",IF(NOT($AS117),"",Constants!$B$18*INT(ROUND($AH117,6))))</f>
        <v/>
      </c>
      <c r="AY117" s="85" t="str">
        <f aca="false">IF($BL117&lt;&gt;Constants!$B$4,"",IF(NOT($AS117),"",IF(NOT($X117),Constants!$B$11,IF(OR(NOT($AC117),NOT($AD117),ROUND($AB117,1)&gt;Constants!$B$12,ROUND($Z117,1)&gt;Constants!$B$13,ROUND($AA117,1)&gt;Constants!$B$14),Constants!$B$10,Constants!$B$9))))</f>
        <v/>
      </c>
      <c r="AZ117" s="91" t="str">
        <f aca="false">IF($BL117&lt;&gt;Constants!$B$4,"",IF(NOT($AS117),"",ROUND($AU117+$AV117+$AW117+$AX117,1)))</f>
        <v/>
      </c>
      <c r="BA117" s="92" t="str">
        <f aca="false">IF($BL117&lt;&gt;Constants!$B$4,"",IF(NOT($AS117),"",IF(ISNUMBER($AF117),$AF117,0)))</f>
        <v/>
      </c>
      <c r="BB117" s="86" t="str">
        <f aca="false">IF($BL117&lt;&gt;Constants!$B$4,"",IF(NOT($BC117),"&lt;-",IF(NOT($AS117),"-&gt;",IF(OR($BI117&lt;$AY117,AND($BI117=$AY117,OR($BJ117&gt;$AZ117,AND($BJ117=$AZ117,OR($BH117&gt;$AX117,AND($BH117=$AX117,OR($BE117&gt;$AU117,AND($BE117=$AU117,OR($BF117&gt;$AV117,AND($BF117=$AV117,$BK117&gt;$BA117)))))))))),"-&gt;","&lt;-"))))</f>
        <v/>
      </c>
      <c r="BC117" s="85" t="str">
        <f aca="false">IF(ISBLANK($C117),"",COUNTA($P117:$U117)&gt;0)</f>
        <v/>
      </c>
      <c r="BD117" s="85" t="str">
        <f aca="false">IF(ISBLANK($C117),"",AND($BC117,OR(AND($AL117="",OR($AK117,NOT(ISBLANK($S117)))),$AM117="",$AN117="")))</f>
        <v/>
      </c>
      <c r="BE117" s="87" t="str">
        <f aca="false">IF($BL117&lt;&gt;Constants!$B$4,"",IF(NOT($BC117),"",ROUND((Constants!$B$12-$AB117)+(Constants!$B$13-$Z117)+(Constants!$B$14-$AA117),1)))</f>
        <v/>
      </c>
      <c r="BF117" s="90" t="str">
        <f aca="false">IF($BL117&lt;&gt;Constants!$B$4,"",IF(NOT($BC117),"",IF(NOT($AK117),0,Constants!$B$15*(INT(ROUND(MIN($AL117,$AP$9),6))-INT(ROUND(MAX(0,MIN($AL117,2*$AP$9)-$AP$9),6))))))</f>
        <v/>
      </c>
      <c r="BG117" s="90" t="str">
        <f aca="false">IF($BL117&lt;&gt;Constants!$B$4,"",IF(NOT($BC117),"",Constants!$B$16*$AM117))</f>
        <v/>
      </c>
      <c r="BH117" s="90" t="str">
        <f aca="false">IF($BL117&lt;&gt;Constants!$B$4,"",IF(NOT($BC117),"",Constants!$B$18*INT(ROUND($AN117,6))))</f>
        <v/>
      </c>
      <c r="BI117" s="85" t="str">
        <f aca="false">IF($BL117&lt;&gt;Constants!$B$4,"",IF(NOT($BC117),"",IF(NOT($X117),Constants!$B$11,IF(OR(NOT($AI117),NOT($AJ117),ROUND($AB117,1)&gt;Constants!$B$12,ROUND($Z117,1)&gt;Constants!$B$13,ROUND($AA117,1)&gt;Constants!$B$14),Constants!$B$10,Constants!$B$9))))</f>
        <v/>
      </c>
      <c r="BJ117" s="91" t="str">
        <f aca="false">IF($BL117&lt;&gt;Constants!$B$4,"",IF(NOT($BC117),"",ROUND($BE117+$BF117+$BG117+$BH117,1)))</f>
        <v/>
      </c>
      <c r="BK117" s="92" t="str">
        <f aca="false">IF($BL117&lt;&gt;Constants!$B$4,"",IF(NOT($BC117),"",IF(ISNUMBER($AL117),$AL117,0)))</f>
        <v/>
      </c>
      <c r="BL117" s="86" t="str">
        <f aca="false">IF(ISBLANK($C117),"",IF($AO117,Constants!$B$7,IF(COUNTA($E117:$V117)=0,Constants!$B$6,IF(NOT($Y117),Constants!$B$5,IF(NOT(OR($AS117,$BC117)),Constants!$B$5,IF(OR($AT117,$BD117,$AQ117,$AR117&lt;&gt;""),Constants!$B$8,Constants!$B$4))))))</f>
        <v/>
      </c>
      <c r="BM117" s="86" t="str">
        <f aca="false">IF(ISBLANK($C117),"",IF($BL117&lt;&gt;Constants!$B$4,$BL117,IF($BB117="-&gt;",$BI117,$AY117)))</f>
        <v/>
      </c>
      <c r="BN117" s="90" t="str">
        <f aca="false">IF($BL117&lt;&gt;Constants!$B$4,"",IF($BB117="-&gt;",$BJ117,$AZ117))</f>
        <v/>
      </c>
      <c r="BO117" s="90" t="str">
        <f aca="false">IF(ISBLANK($C117),"",IF($BL117&lt;&gt;Constants!$B$4,$BL117,$BN117))</f>
        <v/>
      </c>
      <c r="BP117" s="86" t="str">
        <f aca="false">IF(ISBLANK($C117),"",IF($BL117&lt;&gt;Constants!$B$4,$BL117,RANK($BO117,$BO$9:$BO$508,0)))</f>
        <v/>
      </c>
      <c r="BQ117" s="86" t="str">
        <f aca="false">IF(ISBLANK($C117),"",IF($BL117&lt;&gt;Constants!$B$4,$BL117,COUNTIFS($BM$9:$BM$508,"&lt;"&amp;$BM117)+COUNTIFS($BM$9:$BM$508,$BM117,$BP$9:$BP$508,"&lt;"&amp;$BP117)+1))</f>
        <v/>
      </c>
      <c r="BR117" s="90" t="str">
        <f aca="false">IF($BL117&lt;&gt;Constants!$B$4,"",IF($BB117="-&gt;",$BH117,$AX117))</f>
        <v/>
      </c>
      <c r="BS117" s="86" t="str">
        <f aca="false">IF(ISBLANK($C117),"",IF($BL117&lt;&gt;Constants!$B$4,$BL117,IF(ISNUMBER($BR117),RANK($BR117,$BR$9:$BR$508,0),COUNT($BR$9:$BR$508)+1)))</f>
        <v/>
      </c>
      <c r="BT117" s="90" t="str">
        <f aca="false">IF($BL117&lt;&gt;Constants!$B$4,"",IF($BB117="-&gt;",$BE117,$AU117))</f>
        <v/>
      </c>
      <c r="BU117" s="86" t="str">
        <f aca="false">IF(ISBLANK($C117),"",IF($BL117&lt;&gt;Constants!$B$4,$BL117,IF(ISNUMBER($BT117),RANK($BT117,$BT$9:$BT$508,0),COUNT($BT$9:$BT$508)+1)))</f>
        <v/>
      </c>
      <c r="BV117" s="90" t="str">
        <f aca="false">IF($BL117&lt;&gt;Constants!$B$4,"",IF($BB117="-&gt;",$BF117,$AV117))</f>
        <v/>
      </c>
      <c r="BW117" s="86" t="str">
        <f aca="false">IF(ISBLANK($C117),"",IF($BL117&lt;&gt;Constants!$B$4,$BL117,IF(ISNUMBER($BV117),RANK($BV117,$BV$9:$BV$508,0),COUNT($BV$9:$BV$508)+1)))</f>
        <v/>
      </c>
      <c r="BX117" s="90" t="str">
        <f aca="false">IF($BL117&lt;&gt;Constants!$B$4,"",IF($BB117="-&gt;",$BK117,$BA117))</f>
        <v/>
      </c>
      <c r="BY117" s="86" t="str">
        <f aca="false">IF(ISBLANK($C117),"",IF($BL117&lt;&gt;Constants!$B$4,$BL117,IF(ISNUMBER($BX117),RANK($BX117,$BX$9:$BX$508,0),COUNT($BX$9:$BX$508)+1)))</f>
        <v/>
      </c>
      <c r="BZ117" s="86" t="str">
        <f aca="false">IF(ISBLANK($C117),"",IF($BL117&lt;&gt;Constants!$B$4,$BL117,COUNTIFS($BM$9:$BM$508,"&lt;"&amp;$BM117)+COUNTIFS($BM$9:$BM$508,$BM117,$BP$9:$BP$508,"&lt;"&amp;$BP117)+COUNTIFS($BM$9:$BM$508,$BM117,$BP$9:$BP$508,$BP117,$BS$9:$BS$508,"&lt;"&amp;$BS117)+COUNTIFS($BM$9:$BM$508,$BM117,$BP$9:$BP$508,$BP117,$BS$9:$BS$508,$BS117,$BU$9:$BU$508,"&lt;"&amp;$BU117)+COUNTIFS($BM$9:$BM$508,$BM117,$BP$9:$BP$508,$BP117,$BS$9:$BS$508,$BS117,$BU$9:$BU$508,$BU117,$BW$9:$BW$508,"&lt;"&amp;$BW117)+COUNTIFS($BM$9:$BM$508,$BM117,$BP$9:$BP$508,$BP117,$BS$9:$BS$508,$BS117,$BU$9:$BU$508,$BU117,$BW$9:$BW$508,$BW117,$BY$9:$BY$508,"&lt;"&amp;$BY117)+1))</f>
        <v/>
      </c>
      <c r="CA117" s="86" t="str">
        <f aca="false">IF(ISBLANK($C117),"",IF($BL117&lt;&gt;Constants!$B$4,$BL117,$BQ117-$BZ117))</f>
        <v/>
      </c>
      <c r="CB117" s="93"/>
      <c r="CC117" s="94" t="str">
        <f aca="false">IF(ISBLANK($C117),"",IF($BL117=Constants!$B$8,$AR117,""))</f>
        <v/>
      </c>
      <c r="CD117" s="94" t="str">
        <f aca="false">IF(ISBLANK($C117),"",IF($BL117&lt;&gt;Constants!$B$4,"",IF($BB117="-&gt;",2,1)))</f>
        <v/>
      </c>
      <c r="CE117" s="95" t="str">
        <f aca="false">IF(ISBLANK($C117),"",IF($BL117&lt;&gt;Constants!$B$4,"",IF($BB117="-&gt;",$BE117,$AU117)))</f>
        <v/>
      </c>
      <c r="CF117" s="95" t="str">
        <f aca="false">IF(ISBLANK($C117),"",IF($BL117&lt;&gt;Constants!$B$4,"",IF($BB117="-&gt;",$BF117,$AV117)))</f>
        <v/>
      </c>
      <c r="CG117" s="95" t="str">
        <f aca="false">IF(ISBLANK($C117),"",IF($BL117&lt;&gt;Constants!$B$4,"",IF($BB117="-&gt;",$BG117,$AW117)))</f>
        <v/>
      </c>
      <c r="CH117" s="95" t="str">
        <f aca="false">IF(ISBLANK($C117),"",IF($BL117&lt;&gt;Constants!$B$4,"",IF($BB117="-&gt;",$BH117,$AX117)))</f>
        <v/>
      </c>
      <c r="CI117" s="96" t="str">
        <f aca="false">IF(ISBLANK($C117),"",$BO117)</f>
        <v/>
      </c>
      <c r="CJ117" s="97" t="str">
        <f aca="false">IF(ISBLANK($C117),"",$BM117)</f>
        <v/>
      </c>
      <c r="CK117" s="98" t="str">
        <f aca="false">IF(ISBLANK($C117),"",$CA117)</f>
        <v/>
      </c>
      <c r="CL117" s="98" t="str">
        <f aca="false">IF(ISBLANK($C117),"",$BZ117)</f>
        <v/>
      </c>
      <c r="CM117" s="99" t="str">
        <f aca="false">IF(ISBLANK($C117),"",IF($CL117=Constants!$B$7,COUNTA($C$9:$C$508)+2,IF($CL117=Constants!$B$6,COUNTA($C$9:$C$508)+1,IF($CL117=Constants!$B$5,COUNTA($C$9:$C$508),$CL117))))</f>
        <v/>
      </c>
      <c r="CN117" s="8"/>
      <c r="CO117" s="100" t="n">
        <f aca="false">IF(OR(ISNUMBER($CL117),$CL117=Constants!$B$7,$CL117=Constants!$B$5,$CL117=Constants!$B$6),1,0)</f>
        <v>0</v>
      </c>
      <c r="CP117" s="100" t="n">
        <v>109</v>
      </c>
      <c r="CQ117" s="100" t="str">
        <f aca="false">IF(ISBLANK($C117),"",IF(ISNUMBER($CM117),$CM117+ROW($B117)/1000,""))</f>
        <v/>
      </c>
      <c r="CR117" s="100" t="str">
        <f aca="false">IF(ISNUMBER($CQ117),RANK($CQ117,$CQ$9:$CQ$508,1),"")</f>
        <v/>
      </c>
      <c r="CS117" s="100" t="str">
        <f aca="false">IF(ISBLANK($C117),"",$B117)</f>
        <v/>
      </c>
      <c r="CT117" s="100" t="str">
        <f aca="false">IF(ISBLANK($C117),"",$C117)</f>
        <v/>
      </c>
      <c r="CU117" s="100" t="str">
        <f aca="false">IF(ISBLANK($C117),"",$D117)</f>
        <v/>
      </c>
      <c r="CV117" s="101" t="str">
        <f aca="false">$CJ117</f>
        <v/>
      </c>
      <c r="CW117" s="102" t="str">
        <f aca="false">$CI117</f>
        <v/>
      </c>
      <c r="CX117" s="100" t="str">
        <f aca="false">IF(ISBLANK($C117),"",$CL117)</f>
        <v/>
      </c>
      <c r="CY117" s="103" t="str">
        <f aca="false">IF($CP117&gt;$CO$8,"",VLOOKUP($CP117,$CR$9:$CX$508,7,FALSE()))</f>
        <v/>
      </c>
      <c r="CZ117" s="104" t="str">
        <f aca="false">IF($CP117&gt;$CO$8,"",VLOOKUP($CP117,$CR$9:$CX$508,2,FALSE()))</f>
        <v/>
      </c>
      <c r="DA117" s="104" t="str">
        <f aca="false">IF($CP117&gt;$CO$8,"",VLOOKUP($CP117,$CR$9:$CX$508,3,FALSE()))</f>
        <v/>
      </c>
      <c r="DB117" s="104" t="str">
        <f aca="false">IF($CP117&gt;$CO$8,"",VLOOKUP($CP117,$CR$9:$CX$508,4,FALSE()))</f>
        <v/>
      </c>
      <c r="DC117" s="104" t="str">
        <f aca="false">IF($CP117&gt;$CO$8,"",VLOOKUP($CP117,$CR$9:$CX$508,5,FALSE()))</f>
        <v/>
      </c>
      <c r="DD117" s="105" t="str">
        <f aca="false">IF($CP117&gt;$CO$8,"",VLOOKUP($CP117,$CR$9:$CX$508,6,FALSE()))</f>
        <v/>
      </c>
      <c r="DE117" s="70"/>
    </row>
    <row r="118" customFormat="false" ht="15.75" hidden="false" customHeight="false" outlineLevel="0" collapsed="false">
      <c r="A118" s="8"/>
      <c r="B118" s="72"/>
      <c r="C118" s="73"/>
      <c r="D118" s="155"/>
      <c r="E118" s="162"/>
      <c r="F118" s="157"/>
      <c r="G118" s="77"/>
      <c r="H118" s="77"/>
      <c r="I118" s="77"/>
      <c r="J118" s="163"/>
      <c r="K118" s="161"/>
      <c r="L118" s="161"/>
      <c r="M118" s="80"/>
      <c r="N118" s="161"/>
      <c r="O118" s="160"/>
      <c r="P118" s="161"/>
      <c r="Q118" s="161"/>
      <c r="R118" s="161"/>
      <c r="S118" s="77"/>
      <c r="T118" s="161"/>
      <c r="U118" s="160"/>
      <c r="V118" s="161"/>
      <c r="W118" s="85"/>
      <c r="X118" s="86" t="str">
        <f aca="false">IF(ISBLANK($C118),"",IF($E118=Constants!$B$2,TRUE(),IF($E118=Constants!$B$3,FALSE(),TRUE())))</f>
        <v/>
      </c>
      <c r="Y118" s="86" t="str">
        <f aca="false">IF(ISBLANK($C118),"",IF($F118=Constants!$B$2,TRUE(),IF($F118=Constants!$B$3,FALSE(),TRUE())))</f>
        <v/>
      </c>
      <c r="Z118" s="87" t="str">
        <f aca="false">IF(ISBLANK($C118),"",IF(ISNUMBER($G118),IF($G118&gt;=0,$G118,""),""))</f>
        <v/>
      </c>
      <c r="AA118" s="87" t="str">
        <f aca="false">IF(ISBLANK($C118),"",IF(ISNUMBER($H118),IF($H118&gt;=0,$H118,""),""))</f>
        <v/>
      </c>
      <c r="AB118" s="87" t="str">
        <f aca="false">IF(ISBLANK($C118),"",IF(ISNUMBER($I118),IF($I118&gt;=0,$I118,""),""))</f>
        <v/>
      </c>
      <c r="AC118" s="86" t="str">
        <f aca="false">IF(ISBLANK($C118),"",IF($J118=Constants!$B$2,TRUE(),IF($J118=Constants!$B$3,FALSE(),TRUE())))</f>
        <v/>
      </c>
      <c r="AD118" s="86" t="str">
        <f aca="false">IF(ISBLANK($C118),"",IF($K118=Constants!$B$2,TRUE(),IF($K118=Constants!$B$3,FALSE(),TRUE())))</f>
        <v/>
      </c>
      <c r="AE118" s="86" t="str">
        <f aca="false">IF(ISBLANK($C118),"",IF($L118=Constants!$B$2,TRUE(),IF($L118=Constants!$B$3,FALSE(),TRUE())))</f>
        <v/>
      </c>
      <c r="AF118" s="88" t="str">
        <f aca="false">IF(ISBLANK($C118),"",IF(ISNUMBER($M118),IF($M118&gt;=0,$M118,""),""))</f>
        <v/>
      </c>
      <c r="AG118" s="86" t="str">
        <f aca="false">IF(ISBLANK($C118),"",IF(ISBLANK($N118),0,IF(ISNUMBER($N118),IF(AND($N118&gt;=0,$N118&lt;=Constants!$B$17,$N118=INT($N118)),$N118,""),"")))</f>
        <v/>
      </c>
      <c r="AH118" s="87" t="str">
        <f aca="false">IF(ISBLANK($C118),"",IF(ISBLANK($O118),0,IF(ISNUMBER($O118),IF($O118&gt;=0,$O118,""),"")))</f>
        <v/>
      </c>
      <c r="AI118" s="86" t="str">
        <f aca="false">IF(ISBLANK($C118),"",IF($P118=Constants!$B$2,TRUE(),IF($P118=Constants!$B$3,FALSE(),TRUE())))</f>
        <v/>
      </c>
      <c r="AJ118" s="86" t="str">
        <f aca="false">IF(ISBLANK($C118),"",IF($Q118=Constants!$B$2,TRUE(),IF($Q118=Constants!$B$3,FALSE(),TRUE())))</f>
        <v/>
      </c>
      <c r="AK118" s="86" t="str">
        <f aca="false">IF(ISBLANK($C118),"",IF($R118=Constants!$B$2,TRUE(),IF($R118=Constants!$B$3,FALSE(),TRUE())))</f>
        <v/>
      </c>
      <c r="AL118" s="88" t="str">
        <f aca="false">IF(ISBLANK($C118),"",IF(ISNUMBER($S118),IF($S118&gt;=0,$S118,""),""))</f>
        <v/>
      </c>
      <c r="AM118" s="86" t="str">
        <f aca="false">IF(ISBLANK($C118),"",IF(ISBLANK($T118),0,IF(ISNUMBER($T118),IF(AND($T118&gt;=0,$T118&lt;=Constants!$B$17,$T118=INT($T118)),$T118,""),"")))</f>
        <v/>
      </c>
      <c r="AN118" s="87" t="str">
        <f aca="false">IF(ISBLANK($C118),"",IF(ISBLANK($U118),0,IF(ISNUMBER($U118),IF($U118&gt;=0,$U118,""),"")))</f>
        <v/>
      </c>
      <c r="AO118" s="86" t="str">
        <f aca="false">IF(ISBLANK($C118),"",IF($V118=Constants!$B$2,TRUE(),IF($V118=Constants!$B$3,FALSE(),FALSE())))</f>
        <v/>
      </c>
      <c r="AP118" s="86"/>
      <c r="AQ118" s="85" t="str">
        <f aca="false">IF(ISBLANK($C118),"",AND($Y118,OR($AS118,$BC118),OR($Z118="",$AA118="",$AB118="")))</f>
        <v/>
      </c>
      <c r="AR118" s="85" t="str">
        <f aca="false">IF(ISBLANK($C118),"",IF(OR(NOT($Y118),NOT(OR($AS118,$BC118))),"",IF(ISBLANK($D$7),$AR$5,IF($AP$9="",$AR$6,""))))</f>
        <v/>
      </c>
      <c r="AS118" s="85" t="str">
        <f aca="false">IF(ISBLANK($C118),"",COUNTA($J118:$O118)&gt;0)</f>
        <v/>
      </c>
      <c r="AT118" s="85" t="str">
        <f aca="false">IF(ISBLANK($C118),"",AND($AS118,OR(AND($AF118="",OR($AE118,NOT(ISBLANK($M118)))),$AG118="",$AH118="")))</f>
        <v/>
      </c>
      <c r="AU118" s="87" t="str">
        <f aca="false">IF($BL118&lt;&gt;Constants!$B$4,"",IF(NOT($AS118),"",ROUND((Constants!$B$12-$AB118)+(Constants!$B$13-$Z118)+(Constants!$B$14-$AA118),1)))</f>
        <v/>
      </c>
      <c r="AV118" s="90" t="str">
        <f aca="false">IF($BL118&lt;&gt;Constants!$B$4,"",IF(NOT($AS118),"",IF(NOT($AE118),0,Constants!$B$15*(INT(ROUND(MIN($AF118,$AP$9),6))-INT(ROUND(MAX(0,MIN($AF118,2*$AP$9)-$AP$9),6))))))</f>
        <v/>
      </c>
      <c r="AW118" s="90" t="str">
        <f aca="false">IF($BL118&lt;&gt;Constants!$B$4,"",IF(NOT($AS118),"",Constants!$B$16*$AG118))</f>
        <v/>
      </c>
      <c r="AX118" s="90" t="str">
        <f aca="false">IF($BL118&lt;&gt;Constants!$B$4,"",IF(NOT($AS118),"",Constants!$B$18*INT(ROUND($AH118,6))))</f>
        <v/>
      </c>
      <c r="AY118" s="85" t="str">
        <f aca="false">IF($BL118&lt;&gt;Constants!$B$4,"",IF(NOT($AS118),"",IF(NOT($X118),Constants!$B$11,IF(OR(NOT($AC118),NOT($AD118),ROUND($AB118,1)&gt;Constants!$B$12,ROUND($Z118,1)&gt;Constants!$B$13,ROUND($AA118,1)&gt;Constants!$B$14),Constants!$B$10,Constants!$B$9))))</f>
        <v/>
      </c>
      <c r="AZ118" s="91" t="str">
        <f aca="false">IF($BL118&lt;&gt;Constants!$B$4,"",IF(NOT($AS118),"",ROUND($AU118+$AV118+$AW118+$AX118,1)))</f>
        <v/>
      </c>
      <c r="BA118" s="92" t="str">
        <f aca="false">IF($BL118&lt;&gt;Constants!$B$4,"",IF(NOT($AS118),"",IF(ISNUMBER($AF118),$AF118,0)))</f>
        <v/>
      </c>
      <c r="BB118" s="86" t="str">
        <f aca="false">IF($BL118&lt;&gt;Constants!$B$4,"",IF(NOT($BC118),"&lt;-",IF(NOT($AS118),"-&gt;",IF(OR($BI118&lt;$AY118,AND($BI118=$AY118,OR($BJ118&gt;$AZ118,AND($BJ118=$AZ118,OR($BH118&gt;$AX118,AND($BH118=$AX118,OR($BE118&gt;$AU118,AND($BE118=$AU118,OR($BF118&gt;$AV118,AND($BF118=$AV118,$BK118&gt;$BA118)))))))))),"-&gt;","&lt;-"))))</f>
        <v/>
      </c>
      <c r="BC118" s="85" t="str">
        <f aca="false">IF(ISBLANK($C118),"",COUNTA($P118:$U118)&gt;0)</f>
        <v/>
      </c>
      <c r="BD118" s="85" t="str">
        <f aca="false">IF(ISBLANK($C118),"",AND($BC118,OR(AND($AL118="",OR($AK118,NOT(ISBLANK($S118)))),$AM118="",$AN118="")))</f>
        <v/>
      </c>
      <c r="BE118" s="87" t="str">
        <f aca="false">IF($BL118&lt;&gt;Constants!$B$4,"",IF(NOT($BC118),"",ROUND((Constants!$B$12-$AB118)+(Constants!$B$13-$Z118)+(Constants!$B$14-$AA118),1)))</f>
        <v/>
      </c>
      <c r="BF118" s="90" t="str">
        <f aca="false">IF($BL118&lt;&gt;Constants!$B$4,"",IF(NOT($BC118),"",IF(NOT($AK118),0,Constants!$B$15*(INT(ROUND(MIN($AL118,$AP$9),6))-INT(ROUND(MAX(0,MIN($AL118,2*$AP$9)-$AP$9),6))))))</f>
        <v/>
      </c>
      <c r="BG118" s="90" t="str">
        <f aca="false">IF($BL118&lt;&gt;Constants!$B$4,"",IF(NOT($BC118),"",Constants!$B$16*$AM118))</f>
        <v/>
      </c>
      <c r="BH118" s="90" t="str">
        <f aca="false">IF($BL118&lt;&gt;Constants!$B$4,"",IF(NOT($BC118),"",Constants!$B$18*INT(ROUND($AN118,6))))</f>
        <v/>
      </c>
      <c r="BI118" s="85" t="str">
        <f aca="false">IF($BL118&lt;&gt;Constants!$B$4,"",IF(NOT($BC118),"",IF(NOT($X118),Constants!$B$11,IF(OR(NOT($AI118),NOT($AJ118),ROUND($AB118,1)&gt;Constants!$B$12,ROUND($Z118,1)&gt;Constants!$B$13,ROUND($AA118,1)&gt;Constants!$B$14),Constants!$B$10,Constants!$B$9))))</f>
        <v/>
      </c>
      <c r="BJ118" s="91" t="str">
        <f aca="false">IF($BL118&lt;&gt;Constants!$B$4,"",IF(NOT($BC118),"",ROUND($BE118+$BF118+$BG118+$BH118,1)))</f>
        <v/>
      </c>
      <c r="BK118" s="92" t="str">
        <f aca="false">IF($BL118&lt;&gt;Constants!$B$4,"",IF(NOT($BC118),"",IF(ISNUMBER($AL118),$AL118,0)))</f>
        <v/>
      </c>
      <c r="BL118" s="86" t="str">
        <f aca="false">IF(ISBLANK($C118),"",IF($AO118,Constants!$B$7,IF(COUNTA($E118:$V118)=0,Constants!$B$6,IF(NOT($Y118),Constants!$B$5,IF(NOT(OR($AS118,$BC118)),Constants!$B$5,IF(OR($AT118,$BD118,$AQ118,$AR118&lt;&gt;""),Constants!$B$8,Constants!$B$4))))))</f>
        <v/>
      </c>
      <c r="BM118" s="86" t="str">
        <f aca="false">IF(ISBLANK($C118),"",IF($BL118&lt;&gt;Constants!$B$4,$BL118,IF($BB118="-&gt;",$BI118,$AY118)))</f>
        <v/>
      </c>
      <c r="BN118" s="90" t="str">
        <f aca="false">IF($BL118&lt;&gt;Constants!$B$4,"",IF($BB118="-&gt;",$BJ118,$AZ118))</f>
        <v/>
      </c>
      <c r="BO118" s="90" t="str">
        <f aca="false">IF(ISBLANK($C118),"",IF($BL118&lt;&gt;Constants!$B$4,$BL118,$BN118))</f>
        <v/>
      </c>
      <c r="BP118" s="86" t="str">
        <f aca="false">IF(ISBLANK($C118),"",IF($BL118&lt;&gt;Constants!$B$4,$BL118,RANK($BO118,$BO$9:$BO$508,0)))</f>
        <v/>
      </c>
      <c r="BQ118" s="86" t="str">
        <f aca="false">IF(ISBLANK($C118),"",IF($BL118&lt;&gt;Constants!$B$4,$BL118,COUNTIFS($BM$9:$BM$508,"&lt;"&amp;$BM118)+COUNTIFS($BM$9:$BM$508,$BM118,$BP$9:$BP$508,"&lt;"&amp;$BP118)+1))</f>
        <v/>
      </c>
      <c r="BR118" s="90" t="str">
        <f aca="false">IF($BL118&lt;&gt;Constants!$B$4,"",IF($BB118="-&gt;",$BH118,$AX118))</f>
        <v/>
      </c>
      <c r="BS118" s="86" t="str">
        <f aca="false">IF(ISBLANK($C118),"",IF($BL118&lt;&gt;Constants!$B$4,$BL118,IF(ISNUMBER($BR118),RANK($BR118,$BR$9:$BR$508,0),COUNT($BR$9:$BR$508)+1)))</f>
        <v/>
      </c>
      <c r="BT118" s="90" t="str">
        <f aca="false">IF($BL118&lt;&gt;Constants!$B$4,"",IF($BB118="-&gt;",$BE118,$AU118))</f>
        <v/>
      </c>
      <c r="BU118" s="86" t="str">
        <f aca="false">IF(ISBLANK($C118),"",IF($BL118&lt;&gt;Constants!$B$4,$BL118,IF(ISNUMBER($BT118),RANK($BT118,$BT$9:$BT$508,0),COUNT($BT$9:$BT$508)+1)))</f>
        <v/>
      </c>
      <c r="BV118" s="90" t="str">
        <f aca="false">IF($BL118&lt;&gt;Constants!$B$4,"",IF($BB118="-&gt;",$BF118,$AV118))</f>
        <v/>
      </c>
      <c r="BW118" s="86" t="str">
        <f aca="false">IF(ISBLANK($C118),"",IF($BL118&lt;&gt;Constants!$B$4,$BL118,IF(ISNUMBER($BV118),RANK($BV118,$BV$9:$BV$508,0),COUNT($BV$9:$BV$508)+1)))</f>
        <v/>
      </c>
      <c r="BX118" s="90" t="str">
        <f aca="false">IF($BL118&lt;&gt;Constants!$B$4,"",IF($BB118="-&gt;",$BK118,$BA118))</f>
        <v/>
      </c>
      <c r="BY118" s="86" t="str">
        <f aca="false">IF(ISBLANK($C118),"",IF($BL118&lt;&gt;Constants!$B$4,$BL118,IF(ISNUMBER($BX118),RANK($BX118,$BX$9:$BX$508,0),COUNT($BX$9:$BX$508)+1)))</f>
        <v/>
      </c>
      <c r="BZ118" s="86" t="str">
        <f aca="false">IF(ISBLANK($C118),"",IF($BL118&lt;&gt;Constants!$B$4,$BL118,COUNTIFS($BM$9:$BM$508,"&lt;"&amp;$BM118)+COUNTIFS($BM$9:$BM$508,$BM118,$BP$9:$BP$508,"&lt;"&amp;$BP118)+COUNTIFS($BM$9:$BM$508,$BM118,$BP$9:$BP$508,$BP118,$BS$9:$BS$508,"&lt;"&amp;$BS118)+COUNTIFS($BM$9:$BM$508,$BM118,$BP$9:$BP$508,$BP118,$BS$9:$BS$508,$BS118,$BU$9:$BU$508,"&lt;"&amp;$BU118)+COUNTIFS($BM$9:$BM$508,$BM118,$BP$9:$BP$508,$BP118,$BS$9:$BS$508,$BS118,$BU$9:$BU$508,$BU118,$BW$9:$BW$508,"&lt;"&amp;$BW118)+COUNTIFS($BM$9:$BM$508,$BM118,$BP$9:$BP$508,$BP118,$BS$9:$BS$508,$BS118,$BU$9:$BU$508,$BU118,$BW$9:$BW$508,$BW118,$BY$9:$BY$508,"&lt;"&amp;$BY118)+1))</f>
        <v/>
      </c>
      <c r="CA118" s="86" t="str">
        <f aca="false">IF(ISBLANK($C118),"",IF($BL118&lt;&gt;Constants!$B$4,$BL118,$BQ118-$BZ118))</f>
        <v/>
      </c>
      <c r="CB118" s="93"/>
      <c r="CC118" s="94" t="str">
        <f aca="false">IF(ISBLANK($C118),"",IF($BL118=Constants!$B$8,$AR118,""))</f>
        <v/>
      </c>
      <c r="CD118" s="94" t="str">
        <f aca="false">IF(ISBLANK($C118),"",IF($BL118&lt;&gt;Constants!$B$4,"",IF($BB118="-&gt;",2,1)))</f>
        <v/>
      </c>
      <c r="CE118" s="95" t="str">
        <f aca="false">IF(ISBLANK($C118),"",IF($BL118&lt;&gt;Constants!$B$4,"",IF($BB118="-&gt;",$BE118,$AU118)))</f>
        <v/>
      </c>
      <c r="CF118" s="95" t="str">
        <f aca="false">IF(ISBLANK($C118),"",IF($BL118&lt;&gt;Constants!$B$4,"",IF($BB118="-&gt;",$BF118,$AV118)))</f>
        <v/>
      </c>
      <c r="CG118" s="95" t="str">
        <f aca="false">IF(ISBLANK($C118),"",IF($BL118&lt;&gt;Constants!$B$4,"",IF($BB118="-&gt;",$BG118,$AW118)))</f>
        <v/>
      </c>
      <c r="CH118" s="95" t="str">
        <f aca="false">IF(ISBLANK($C118),"",IF($BL118&lt;&gt;Constants!$B$4,"",IF($BB118="-&gt;",$BH118,$AX118)))</f>
        <v/>
      </c>
      <c r="CI118" s="96" t="str">
        <f aca="false">IF(ISBLANK($C118),"",$BO118)</f>
        <v/>
      </c>
      <c r="CJ118" s="97" t="str">
        <f aca="false">IF(ISBLANK($C118),"",$BM118)</f>
        <v/>
      </c>
      <c r="CK118" s="98" t="str">
        <f aca="false">IF(ISBLANK($C118),"",$CA118)</f>
        <v/>
      </c>
      <c r="CL118" s="98" t="str">
        <f aca="false">IF(ISBLANK($C118),"",$BZ118)</f>
        <v/>
      </c>
      <c r="CM118" s="99" t="str">
        <f aca="false">IF(ISBLANK($C118),"",IF($CL118=Constants!$B$7,COUNTA($C$9:$C$508)+2,IF($CL118=Constants!$B$6,COUNTA($C$9:$C$508)+1,IF($CL118=Constants!$B$5,COUNTA($C$9:$C$508),$CL118))))</f>
        <v/>
      </c>
      <c r="CN118" s="8"/>
      <c r="CO118" s="100" t="n">
        <f aca="false">IF(OR(ISNUMBER($CL118),$CL118=Constants!$B$7,$CL118=Constants!$B$5,$CL118=Constants!$B$6),1,0)</f>
        <v>0</v>
      </c>
      <c r="CP118" s="100" t="n">
        <v>110</v>
      </c>
      <c r="CQ118" s="100" t="str">
        <f aca="false">IF(ISBLANK($C118),"",IF(ISNUMBER($CM118),$CM118+ROW($B118)/1000,""))</f>
        <v/>
      </c>
      <c r="CR118" s="100" t="str">
        <f aca="false">IF(ISNUMBER($CQ118),RANK($CQ118,$CQ$9:$CQ$508,1),"")</f>
        <v/>
      </c>
      <c r="CS118" s="100" t="str">
        <f aca="false">IF(ISBLANK($C118),"",$B118)</f>
        <v/>
      </c>
      <c r="CT118" s="100" t="str">
        <f aca="false">IF(ISBLANK($C118),"",$C118)</f>
        <v/>
      </c>
      <c r="CU118" s="100" t="str">
        <f aca="false">IF(ISBLANK($C118),"",$D118)</f>
        <v/>
      </c>
      <c r="CV118" s="101" t="str">
        <f aca="false">$CJ118</f>
        <v/>
      </c>
      <c r="CW118" s="102" t="str">
        <f aca="false">$CI118</f>
        <v/>
      </c>
      <c r="CX118" s="100" t="str">
        <f aca="false">IF(ISBLANK($C118),"",$CL118)</f>
        <v/>
      </c>
      <c r="CY118" s="103" t="str">
        <f aca="false">IF($CP118&gt;$CO$8,"",VLOOKUP($CP118,$CR$9:$CX$508,7,FALSE()))</f>
        <v/>
      </c>
      <c r="CZ118" s="104" t="str">
        <f aca="false">IF($CP118&gt;$CO$8,"",VLOOKUP($CP118,$CR$9:$CX$508,2,FALSE()))</f>
        <v/>
      </c>
      <c r="DA118" s="104" t="str">
        <f aca="false">IF($CP118&gt;$CO$8,"",VLOOKUP($CP118,$CR$9:$CX$508,3,FALSE()))</f>
        <v/>
      </c>
      <c r="DB118" s="104" t="str">
        <f aca="false">IF($CP118&gt;$CO$8,"",VLOOKUP($CP118,$CR$9:$CX$508,4,FALSE()))</f>
        <v/>
      </c>
      <c r="DC118" s="104" t="str">
        <f aca="false">IF($CP118&gt;$CO$8,"",VLOOKUP($CP118,$CR$9:$CX$508,5,FALSE()))</f>
        <v/>
      </c>
      <c r="DD118" s="105" t="str">
        <f aca="false">IF($CP118&gt;$CO$8,"",VLOOKUP($CP118,$CR$9:$CX$508,6,FALSE()))</f>
        <v/>
      </c>
      <c r="DE118" s="70"/>
    </row>
    <row r="119" customFormat="false" ht="15.75" hidden="false" customHeight="false" outlineLevel="0" collapsed="false">
      <c r="A119" s="8"/>
      <c r="B119" s="72"/>
      <c r="C119" s="73"/>
      <c r="D119" s="155"/>
      <c r="E119" s="162"/>
      <c r="F119" s="157"/>
      <c r="G119" s="77"/>
      <c r="H119" s="77"/>
      <c r="I119" s="77"/>
      <c r="J119" s="163"/>
      <c r="K119" s="161"/>
      <c r="L119" s="161"/>
      <c r="M119" s="80"/>
      <c r="N119" s="161"/>
      <c r="O119" s="160"/>
      <c r="P119" s="161"/>
      <c r="Q119" s="161"/>
      <c r="R119" s="161"/>
      <c r="S119" s="77"/>
      <c r="T119" s="161"/>
      <c r="U119" s="160"/>
      <c r="V119" s="161"/>
      <c r="W119" s="85"/>
      <c r="X119" s="86" t="str">
        <f aca="false">IF(ISBLANK($C119),"",IF($E119=Constants!$B$2,TRUE(),IF($E119=Constants!$B$3,FALSE(),TRUE())))</f>
        <v/>
      </c>
      <c r="Y119" s="86" t="str">
        <f aca="false">IF(ISBLANK($C119),"",IF($F119=Constants!$B$2,TRUE(),IF($F119=Constants!$B$3,FALSE(),TRUE())))</f>
        <v/>
      </c>
      <c r="Z119" s="87" t="str">
        <f aca="false">IF(ISBLANK($C119),"",IF(ISNUMBER($G119),IF($G119&gt;=0,$G119,""),""))</f>
        <v/>
      </c>
      <c r="AA119" s="87" t="str">
        <f aca="false">IF(ISBLANK($C119),"",IF(ISNUMBER($H119),IF($H119&gt;=0,$H119,""),""))</f>
        <v/>
      </c>
      <c r="AB119" s="87" t="str">
        <f aca="false">IF(ISBLANK($C119),"",IF(ISNUMBER($I119),IF($I119&gt;=0,$I119,""),""))</f>
        <v/>
      </c>
      <c r="AC119" s="86" t="str">
        <f aca="false">IF(ISBLANK($C119),"",IF($J119=Constants!$B$2,TRUE(),IF($J119=Constants!$B$3,FALSE(),TRUE())))</f>
        <v/>
      </c>
      <c r="AD119" s="86" t="str">
        <f aca="false">IF(ISBLANK($C119),"",IF($K119=Constants!$B$2,TRUE(),IF($K119=Constants!$B$3,FALSE(),TRUE())))</f>
        <v/>
      </c>
      <c r="AE119" s="86" t="str">
        <f aca="false">IF(ISBLANK($C119),"",IF($L119=Constants!$B$2,TRUE(),IF($L119=Constants!$B$3,FALSE(),TRUE())))</f>
        <v/>
      </c>
      <c r="AF119" s="88" t="str">
        <f aca="false">IF(ISBLANK($C119),"",IF(ISNUMBER($M119),IF($M119&gt;=0,$M119,""),""))</f>
        <v/>
      </c>
      <c r="AG119" s="86" t="str">
        <f aca="false">IF(ISBLANK($C119),"",IF(ISBLANK($N119),0,IF(ISNUMBER($N119),IF(AND($N119&gt;=0,$N119&lt;=Constants!$B$17,$N119=INT($N119)),$N119,""),"")))</f>
        <v/>
      </c>
      <c r="AH119" s="87" t="str">
        <f aca="false">IF(ISBLANK($C119),"",IF(ISBLANK($O119),0,IF(ISNUMBER($O119),IF($O119&gt;=0,$O119,""),"")))</f>
        <v/>
      </c>
      <c r="AI119" s="86" t="str">
        <f aca="false">IF(ISBLANK($C119),"",IF($P119=Constants!$B$2,TRUE(),IF($P119=Constants!$B$3,FALSE(),TRUE())))</f>
        <v/>
      </c>
      <c r="AJ119" s="86" t="str">
        <f aca="false">IF(ISBLANK($C119),"",IF($Q119=Constants!$B$2,TRUE(),IF($Q119=Constants!$B$3,FALSE(),TRUE())))</f>
        <v/>
      </c>
      <c r="AK119" s="86" t="str">
        <f aca="false">IF(ISBLANK($C119),"",IF($R119=Constants!$B$2,TRUE(),IF($R119=Constants!$B$3,FALSE(),TRUE())))</f>
        <v/>
      </c>
      <c r="AL119" s="88" t="str">
        <f aca="false">IF(ISBLANK($C119),"",IF(ISNUMBER($S119),IF($S119&gt;=0,$S119,""),""))</f>
        <v/>
      </c>
      <c r="AM119" s="86" t="str">
        <f aca="false">IF(ISBLANK($C119),"",IF(ISBLANK($T119),0,IF(ISNUMBER($T119),IF(AND($T119&gt;=0,$T119&lt;=Constants!$B$17,$T119=INT($T119)),$T119,""),"")))</f>
        <v/>
      </c>
      <c r="AN119" s="87" t="str">
        <f aca="false">IF(ISBLANK($C119),"",IF(ISBLANK($U119),0,IF(ISNUMBER($U119),IF($U119&gt;=0,$U119,""),"")))</f>
        <v/>
      </c>
      <c r="AO119" s="86" t="str">
        <f aca="false">IF(ISBLANK($C119),"",IF($V119=Constants!$B$2,TRUE(),IF($V119=Constants!$B$3,FALSE(),FALSE())))</f>
        <v/>
      </c>
      <c r="AP119" s="86"/>
      <c r="AQ119" s="85" t="str">
        <f aca="false">IF(ISBLANK($C119),"",AND($Y119,OR($AS119,$BC119),OR($Z119="",$AA119="",$AB119="")))</f>
        <v/>
      </c>
      <c r="AR119" s="85" t="str">
        <f aca="false">IF(ISBLANK($C119),"",IF(OR(NOT($Y119),NOT(OR($AS119,$BC119))),"",IF(ISBLANK($D$7),$AR$5,IF($AP$9="",$AR$6,""))))</f>
        <v/>
      </c>
      <c r="AS119" s="85" t="str">
        <f aca="false">IF(ISBLANK($C119),"",COUNTA($J119:$O119)&gt;0)</f>
        <v/>
      </c>
      <c r="AT119" s="85" t="str">
        <f aca="false">IF(ISBLANK($C119),"",AND($AS119,OR(AND($AF119="",OR($AE119,NOT(ISBLANK($M119)))),$AG119="",$AH119="")))</f>
        <v/>
      </c>
      <c r="AU119" s="87" t="str">
        <f aca="false">IF($BL119&lt;&gt;Constants!$B$4,"",IF(NOT($AS119),"",ROUND((Constants!$B$12-$AB119)+(Constants!$B$13-$Z119)+(Constants!$B$14-$AA119),1)))</f>
        <v/>
      </c>
      <c r="AV119" s="90" t="str">
        <f aca="false">IF($BL119&lt;&gt;Constants!$B$4,"",IF(NOT($AS119),"",IF(NOT($AE119),0,Constants!$B$15*(INT(ROUND(MIN($AF119,$AP$9),6))-INT(ROUND(MAX(0,MIN($AF119,2*$AP$9)-$AP$9),6))))))</f>
        <v/>
      </c>
      <c r="AW119" s="90" t="str">
        <f aca="false">IF($BL119&lt;&gt;Constants!$B$4,"",IF(NOT($AS119),"",Constants!$B$16*$AG119))</f>
        <v/>
      </c>
      <c r="AX119" s="90" t="str">
        <f aca="false">IF($BL119&lt;&gt;Constants!$B$4,"",IF(NOT($AS119),"",Constants!$B$18*INT(ROUND($AH119,6))))</f>
        <v/>
      </c>
      <c r="AY119" s="85" t="str">
        <f aca="false">IF($BL119&lt;&gt;Constants!$B$4,"",IF(NOT($AS119),"",IF(NOT($X119),Constants!$B$11,IF(OR(NOT($AC119),NOT($AD119),ROUND($AB119,1)&gt;Constants!$B$12,ROUND($Z119,1)&gt;Constants!$B$13,ROUND($AA119,1)&gt;Constants!$B$14),Constants!$B$10,Constants!$B$9))))</f>
        <v/>
      </c>
      <c r="AZ119" s="91" t="str">
        <f aca="false">IF($BL119&lt;&gt;Constants!$B$4,"",IF(NOT($AS119),"",ROUND($AU119+$AV119+$AW119+$AX119,1)))</f>
        <v/>
      </c>
      <c r="BA119" s="92" t="str">
        <f aca="false">IF($BL119&lt;&gt;Constants!$B$4,"",IF(NOT($AS119),"",IF(ISNUMBER($AF119),$AF119,0)))</f>
        <v/>
      </c>
      <c r="BB119" s="86" t="str">
        <f aca="false">IF($BL119&lt;&gt;Constants!$B$4,"",IF(NOT($BC119),"&lt;-",IF(NOT($AS119),"-&gt;",IF(OR($BI119&lt;$AY119,AND($BI119=$AY119,OR($BJ119&gt;$AZ119,AND($BJ119=$AZ119,OR($BH119&gt;$AX119,AND($BH119=$AX119,OR($BE119&gt;$AU119,AND($BE119=$AU119,OR($BF119&gt;$AV119,AND($BF119=$AV119,$BK119&gt;$BA119)))))))))),"-&gt;","&lt;-"))))</f>
        <v/>
      </c>
      <c r="BC119" s="85" t="str">
        <f aca="false">IF(ISBLANK($C119),"",COUNTA($P119:$U119)&gt;0)</f>
        <v/>
      </c>
      <c r="BD119" s="85" t="str">
        <f aca="false">IF(ISBLANK($C119),"",AND($BC119,OR(AND($AL119="",OR($AK119,NOT(ISBLANK($S119)))),$AM119="",$AN119="")))</f>
        <v/>
      </c>
      <c r="BE119" s="87" t="str">
        <f aca="false">IF($BL119&lt;&gt;Constants!$B$4,"",IF(NOT($BC119),"",ROUND((Constants!$B$12-$AB119)+(Constants!$B$13-$Z119)+(Constants!$B$14-$AA119),1)))</f>
        <v/>
      </c>
      <c r="BF119" s="90" t="str">
        <f aca="false">IF($BL119&lt;&gt;Constants!$B$4,"",IF(NOT($BC119),"",IF(NOT($AK119),0,Constants!$B$15*(INT(ROUND(MIN($AL119,$AP$9),6))-INT(ROUND(MAX(0,MIN($AL119,2*$AP$9)-$AP$9),6))))))</f>
        <v/>
      </c>
      <c r="BG119" s="90" t="str">
        <f aca="false">IF($BL119&lt;&gt;Constants!$B$4,"",IF(NOT($BC119),"",Constants!$B$16*$AM119))</f>
        <v/>
      </c>
      <c r="BH119" s="90" t="str">
        <f aca="false">IF($BL119&lt;&gt;Constants!$B$4,"",IF(NOT($BC119),"",Constants!$B$18*INT(ROUND($AN119,6))))</f>
        <v/>
      </c>
      <c r="BI119" s="85" t="str">
        <f aca="false">IF($BL119&lt;&gt;Constants!$B$4,"",IF(NOT($BC119),"",IF(NOT($X119),Constants!$B$11,IF(OR(NOT($AI119),NOT($AJ119),ROUND($AB119,1)&gt;Constants!$B$12,ROUND($Z119,1)&gt;Constants!$B$13,ROUND($AA119,1)&gt;Constants!$B$14),Constants!$B$10,Constants!$B$9))))</f>
        <v/>
      </c>
      <c r="BJ119" s="91" t="str">
        <f aca="false">IF($BL119&lt;&gt;Constants!$B$4,"",IF(NOT($BC119),"",ROUND($BE119+$BF119+$BG119+$BH119,1)))</f>
        <v/>
      </c>
      <c r="BK119" s="92" t="str">
        <f aca="false">IF($BL119&lt;&gt;Constants!$B$4,"",IF(NOT($BC119),"",IF(ISNUMBER($AL119),$AL119,0)))</f>
        <v/>
      </c>
      <c r="BL119" s="86" t="str">
        <f aca="false">IF(ISBLANK($C119),"",IF($AO119,Constants!$B$7,IF(COUNTA($E119:$V119)=0,Constants!$B$6,IF(NOT($Y119),Constants!$B$5,IF(NOT(OR($AS119,$BC119)),Constants!$B$5,IF(OR($AT119,$BD119,$AQ119,$AR119&lt;&gt;""),Constants!$B$8,Constants!$B$4))))))</f>
        <v/>
      </c>
      <c r="BM119" s="86" t="str">
        <f aca="false">IF(ISBLANK($C119),"",IF($BL119&lt;&gt;Constants!$B$4,$BL119,IF($BB119="-&gt;",$BI119,$AY119)))</f>
        <v/>
      </c>
      <c r="BN119" s="90" t="str">
        <f aca="false">IF($BL119&lt;&gt;Constants!$B$4,"",IF($BB119="-&gt;",$BJ119,$AZ119))</f>
        <v/>
      </c>
      <c r="BO119" s="90" t="str">
        <f aca="false">IF(ISBLANK($C119),"",IF($BL119&lt;&gt;Constants!$B$4,$BL119,$BN119))</f>
        <v/>
      </c>
      <c r="BP119" s="86" t="str">
        <f aca="false">IF(ISBLANK($C119),"",IF($BL119&lt;&gt;Constants!$B$4,$BL119,RANK($BO119,$BO$9:$BO$508,0)))</f>
        <v/>
      </c>
      <c r="BQ119" s="86" t="str">
        <f aca="false">IF(ISBLANK($C119),"",IF($BL119&lt;&gt;Constants!$B$4,$BL119,COUNTIFS($BM$9:$BM$508,"&lt;"&amp;$BM119)+COUNTIFS($BM$9:$BM$508,$BM119,$BP$9:$BP$508,"&lt;"&amp;$BP119)+1))</f>
        <v/>
      </c>
      <c r="BR119" s="90" t="str">
        <f aca="false">IF($BL119&lt;&gt;Constants!$B$4,"",IF($BB119="-&gt;",$BH119,$AX119))</f>
        <v/>
      </c>
      <c r="BS119" s="86" t="str">
        <f aca="false">IF(ISBLANK($C119),"",IF($BL119&lt;&gt;Constants!$B$4,$BL119,IF(ISNUMBER($BR119),RANK($BR119,$BR$9:$BR$508,0),COUNT($BR$9:$BR$508)+1)))</f>
        <v/>
      </c>
      <c r="BT119" s="90" t="str">
        <f aca="false">IF($BL119&lt;&gt;Constants!$B$4,"",IF($BB119="-&gt;",$BE119,$AU119))</f>
        <v/>
      </c>
      <c r="BU119" s="86" t="str">
        <f aca="false">IF(ISBLANK($C119),"",IF($BL119&lt;&gt;Constants!$B$4,$BL119,IF(ISNUMBER($BT119),RANK($BT119,$BT$9:$BT$508,0),COUNT($BT$9:$BT$508)+1)))</f>
        <v/>
      </c>
      <c r="BV119" s="90" t="str">
        <f aca="false">IF($BL119&lt;&gt;Constants!$B$4,"",IF($BB119="-&gt;",$BF119,$AV119))</f>
        <v/>
      </c>
      <c r="BW119" s="86" t="str">
        <f aca="false">IF(ISBLANK($C119),"",IF($BL119&lt;&gt;Constants!$B$4,$BL119,IF(ISNUMBER($BV119),RANK($BV119,$BV$9:$BV$508,0),COUNT($BV$9:$BV$508)+1)))</f>
        <v/>
      </c>
      <c r="BX119" s="90" t="str">
        <f aca="false">IF($BL119&lt;&gt;Constants!$B$4,"",IF($BB119="-&gt;",$BK119,$BA119))</f>
        <v/>
      </c>
      <c r="BY119" s="86" t="str">
        <f aca="false">IF(ISBLANK($C119),"",IF($BL119&lt;&gt;Constants!$B$4,$BL119,IF(ISNUMBER($BX119),RANK($BX119,$BX$9:$BX$508,0),COUNT($BX$9:$BX$508)+1)))</f>
        <v/>
      </c>
      <c r="BZ119" s="86" t="str">
        <f aca="false">IF(ISBLANK($C119),"",IF($BL119&lt;&gt;Constants!$B$4,$BL119,COUNTIFS($BM$9:$BM$508,"&lt;"&amp;$BM119)+COUNTIFS($BM$9:$BM$508,$BM119,$BP$9:$BP$508,"&lt;"&amp;$BP119)+COUNTIFS($BM$9:$BM$508,$BM119,$BP$9:$BP$508,$BP119,$BS$9:$BS$508,"&lt;"&amp;$BS119)+COUNTIFS($BM$9:$BM$508,$BM119,$BP$9:$BP$508,$BP119,$BS$9:$BS$508,$BS119,$BU$9:$BU$508,"&lt;"&amp;$BU119)+COUNTIFS($BM$9:$BM$508,$BM119,$BP$9:$BP$508,$BP119,$BS$9:$BS$508,$BS119,$BU$9:$BU$508,$BU119,$BW$9:$BW$508,"&lt;"&amp;$BW119)+COUNTIFS($BM$9:$BM$508,$BM119,$BP$9:$BP$508,$BP119,$BS$9:$BS$508,$BS119,$BU$9:$BU$508,$BU119,$BW$9:$BW$508,$BW119,$BY$9:$BY$508,"&lt;"&amp;$BY119)+1))</f>
        <v/>
      </c>
      <c r="CA119" s="86" t="str">
        <f aca="false">IF(ISBLANK($C119),"",IF($BL119&lt;&gt;Constants!$B$4,$BL119,$BQ119-$BZ119))</f>
        <v/>
      </c>
      <c r="CB119" s="93"/>
      <c r="CC119" s="94" t="str">
        <f aca="false">IF(ISBLANK($C119),"",IF($BL119=Constants!$B$8,$AR119,""))</f>
        <v/>
      </c>
      <c r="CD119" s="94" t="str">
        <f aca="false">IF(ISBLANK($C119),"",IF($BL119&lt;&gt;Constants!$B$4,"",IF($BB119="-&gt;",2,1)))</f>
        <v/>
      </c>
      <c r="CE119" s="95" t="str">
        <f aca="false">IF(ISBLANK($C119),"",IF($BL119&lt;&gt;Constants!$B$4,"",IF($BB119="-&gt;",$BE119,$AU119)))</f>
        <v/>
      </c>
      <c r="CF119" s="95" t="str">
        <f aca="false">IF(ISBLANK($C119),"",IF($BL119&lt;&gt;Constants!$B$4,"",IF($BB119="-&gt;",$BF119,$AV119)))</f>
        <v/>
      </c>
      <c r="CG119" s="95" t="str">
        <f aca="false">IF(ISBLANK($C119),"",IF($BL119&lt;&gt;Constants!$B$4,"",IF($BB119="-&gt;",$BG119,$AW119)))</f>
        <v/>
      </c>
      <c r="CH119" s="95" t="str">
        <f aca="false">IF(ISBLANK($C119),"",IF($BL119&lt;&gt;Constants!$B$4,"",IF($BB119="-&gt;",$BH119,$AX119)))</f>
        <v/>
      </c>
      <c r="CI119" s="96" t="str">
        <f aca="false">IF(ISBLANK($C119),"",$BO119)</f>
        <v/>
      </c>
      <c r="CJ119" s="97" t="str">
        <f aca="false">IF(ISBLANK($C119),"",$BM119)</f>
        <v/>
      </c>
      <c r="CK119" s="98" t="str">
        <f aca="false">IF(ISBLANK($C119),"",$CA119)</f>
        <v/>
      </c>
      <c r="CL119" s="98" t="str">
        <f aca="false">IF(ISBLANK($C119),"",$BZ119)</f>
        <v/>
      </c>
      <c r="CM119" s="99" t="str">
        <f aca="false">IF(ISBLANK($C119),"",IF($CL119=Constants!$B$7,COUNTA($C$9:$C$508)+2,IF($CL119=Constants!$B$6,COUNTA($C$9:$C$508)+1,IF($CL119=Constants!$B$5,COUNTA($C$9:$C$508),$CL119))))</f>
        <v/>
      </c>
      <c r="CN119" s="8"/>
      <c r="CO119" s="100" t="n">
        <f aca="false">IF(OR(ISNUMBER($CL119),$CL119=Constants!$B$7,$CL119=Constants!$B$5,$CL119=Constants!$B$6),1,0)</f>
        <v>0</v>
      </c>
      <c r="CP119" s="100" t="n">
        <v>111</v>
      </c>
      <c r="CQ119" s="100" t="str">
        <f aca="false">IF(ISBLANK($C119),"",IF(ISNUMBER($CM119),$CM119+ROW($B119)/1000,""))</f>
        <v/>
      </c>
      <c r="CR119" s="100" t="str">
        <f aca="false">IF(ISNUMBER($CQ119),RANK($CQ119,$CQ$9:$CQ$508,1),"")</f>
        <v/>
      </c>
      <c r="CS119" s="100" t="str">
        <f aca="false">IF(ISBLANK($C119),"",$B119)</f>
        <v/>
      </c>
      <c r="CT119" s="100" t="str">
        <f aca="false">IF(ISBLANK($C119),"",$C119)</f>
        <v/>
      </c>
      <c r="CU119" s="100" t="str">
        <f aca="false">IF(ISBLANK($C119),"",$D119)</f>
        <v/>
      </c>
      <c r="CV119" s="101" t="str">
        <f aca="false">$CJ119</f>
        <v/>
      </c>
      <c r="CW119" s="102" t="str">
        <f aca="false">$CI119</f>
        <v/>
      </c>
      <c r="CX119" s="100" t="str">
        <f aca="false">IF(ISBLANK($C119),"",$CL119)</f>
        <v/>
      </c>
      <c r="CY119" s="103" t="str">
        <f aca="false">IF($CP119&gt;$CO$8,"",VLOOKUP($CP119,$CR$9:$CX$508,7,FALSE()))</f>
        <v/>
      </c>
      <c r="CZ119" s="104" t="str">
        <f aca="false">IF($CP119&gt;$CO$8,"",VLOOKUP($CP119,$CR$9:$CX$508,2,FALSE()))</f>
        <v/>
      </c>
      <c r="DA119" s="104" t="str">
        <f aca="false">IF($CP119&gt;$CO$8,"",VLOOKUP($CP119,$CR$9:$CX$508,3,FALSE()))</f>
        <v/>
      </c>
      <c r="DB119" s="104" t="str">
        <f aca="false">IF($CP119&gt;$CO$8,"",VLOOKUP($CP119,$CR$9:$CX$508,4,FALSE()))</f>
        <v/>
      </c>
      <c r="DC119" s="104" t="str">
        <f aca="false">IF($CP119&gt;$CO$8,"",VLOOKUP($CP119,$CR$9:$CX$508,5,FALSE()))</f>
        <v/>
      </c>
      <c r="DD119" s="105" t="str">
        <f aca="false">IF($CP119&gt;$CO$8,"",VLOOKUP($CP119,$CR$9:$CX$508,6,FALSE()))</f>
        <v/>
      </c>
      <c r="DE119" s="70"/>
    </row>
    <row r="120" customFormat="false" ht="15.75" hidden="false" customHeight="false" outlineLevel="0" collapsed="false">
      <c r="A120" s="8"/>
      <c r="B120" s="146"/>
      <c r="C120" s="147"/>
      <c r="D120" s="148"/>
      <c r="E120" s="164"/>
      <c r="F120" s="150"/>
      <c r="G120" s="115"/>
      <c r="H120" s="115"/>
      <c r="I120" s="115"/>
      <c r="J120" s="165"/>
      <c r="K120" s="154"/>
      <c r="L120" s="154"/>
      <c r="M120" s="118"/>
      <c r="N120" s="154"/>
      <c r="O120" s="153"/>
      <c r="P120" s="154"/>
      <c r="Q120" s="154"/>
      <c r="R120" s="154"/>
      <c r="S120" s="115"/>
      <c r="T120" s="154"/>
      <c r="U120" s="153"/>
      <c r="V120" s="154"/>
      <c r="W120" s="123"/>
      <c r="X120" s="124" t="str">
        <f aca="false">IF(ISBLANK($C120),"",IF($E120=Constants!$B$2,TRUE(),IF($E120=Constants!$B$3,FALSE(),TRUE())))</f>
        <v/>
      </c>
      <c r="Y120" s="124" t="str">
        <f aca="false">IF(ISBLANK($C120),"",IF($F120=Constants!$B$2,TRUE(),IF($F120=Constants!$B$3,FALSE(),TRUE())))</f>
        <v/>
      </c>
      <c r="Z120" s="125" t="str">
        <f aca="false">IF(ISBLANK($C120),"",IF(ISNUMBER($G120),IF($G120&gt;=0,$G120,""),""))</f>
        <v/>
      </c>
      <c r="AA120" s="125" t="str">
        <f aca="false">IF(ISBLANK($C120),"",IF(ISNUMBER($H120),IF($H120&gt;=0,$H120,""),""))</f>
        <v/>
      </c>
      <c r="AB120" s="125" t="str">
        <f aca="false">IF(ISBLANK($C120),"",IF(ISNUMBER($I120),IF($I120&gt;=0,$I120,""),""))</f>
        <v/>
      </c>
      <c r="AC120" s="124" t="str">
        <f aca="false">IF(ISBLANK($C120),"",IF($J120=Constants!$B$2,TRUE(),IF($J120=Constants!$B$3,FALSE(),TRUE())))</f>
        <v/>
      </c>
      <c r="AD120" s="124" t="str">
        <f aca="false">IF(ISBLANK($C120),"",IF($K120=Constants!$B$2,TRUE(),IF($K120=Constants!$B$3,FALSE(),TRUE())))</f>
        <v/>
      </c>
      <c r="AE120" s="124" t="str">
        <f aca="false">IF(ISBLANK($C120),"",IF($L120=Constants!$B$2,TRUE(),IF($L120=Constants!$B$3,FALSE(),TRUE())))</f>
        <v/>
      </c>
      <c r="AF120" s="126" t="str">
        <f aca="false">IF(ISBLANK($C120),"",IF(ISNUMBER($M120),IF($M120&gt;=0,$M120,""),""))</f>
        <v/>
      </c>
      <c r="AG120" s="124" t="str">
        <f aca="false">IF(ISBLANK($C120),"",IF(ISBLANK($N120),0,IF(ISNUMBER($N120),IF(AND($N120&gt;=0,$N120&lt;=Constants!$B$17,$N120=INT($N120)),$N120,""),"")))</f>
        <v/>
      </c>
      <c r="AH120" s="125" t="str">
        <f aca="false">IF(ISBLANK($C120),"",IF(ISBLANK($O120),0,IF(ISNUMBER($O120),IF($O120&gt;=0,$O120,""),"")))</f>
        <v/>
      </c>
      <c r="AI120" s="124" t="str">
        <f aca="false">IF(ISBLANK($C120),"",IF($P120=Constants!$B$2,TRUE(),IF($P120=Constants!$B$3,FALSE(),TRUE())))</f>
        <v/>
      </c>
      <c r="AJ120" s="124" t="str">
        <f aca="false">IF(ISBLANK($C120),"",IF($Q120=Constants!$B$2,TRUE(),IF($Q120=Constants!$B$3,FALSE(),TRUE())))</f>
        <v/>
      </c>
      <c r="AK120" s="124" t="str">
        <f aca="false">IF(ISBLANK($C120),"",IF($R120=Constants!$B$2,TRUE(),IF($R120=Constants!$B$3,FALSE(),TRUE())))</f>
        <v/>
      </c>
      <c r="AL120" s="126" t="str">
        <f aca="false">IF(ISBLANK($C120),"",IF(ISNUMBER($S120),IF($S120&gt;=0,$S120,""),""))</f>
        <v/>
      </c>
      <c r="AM120" s="124" t="str">
        <f aca="false">IF(ISBLANK($C120),"",IF(ISBLANK($T120),0,IF(ISNUMBER($T120),IF(AND($T120&gt;=0,$T120&lt;=Constants!$B$17,$T120=INT($T120)),$T120,""),"")))</f>
        <v/>
      </c>
      <c r="AN120" s="125" t="str">
        <f aca="false">IF(ISBLANK($C120),"",IF(ISBLANK($U120),0,IF(ISNUMBER($U120),IF($U120&gt;=0,$U120,""),"")))</f>
        <v/>
      </c>
      <c r="AO120" s="124" t="str">
        <f aca="false">IF(ISBLANK($C120),"",IF($V120=Constants!$B$2,TRUE(),IF($V120=Constants!$B$3,FALSE(),FALSE())))</f>
        <v/>
      </c>
      <c r="AP120" s="124"/>
      <c r="AQ120" s="123" t="str">
        <f aca="false">IF(ISBLANK($C120),"",AND($Y120,OR($AS120,$BC120),OR($Z120="",$AA120="",$AB120="")))</f>
        <v/>
      </c>
      <c r="AR120" s="123" t="str">
        <f aca="false">IF(ISBLANK($C120),"",IF(OR(NOT($Y120),NOT(OR($AS120,$BC120))),"",IF(ISBLANK($D$7),$AR$5,IF($AP$9="",$AR$6,""))))</f>
        <v/>
      </c>
      <c r="AS120" s="123" t="str">
        <f aca="false">IF(ISBLANK($C120),"",COUNTA($J120:$O120)&gt;0)</f>
        <v/>
      </c>
      <c r="AT120" s="123" t="str">
        <f aca="false">IF(ISBLANK($C120),"",AND($AS120,OR(AND($AF120="",OR($AE120,NOT(ISBLANK($M120)))),$AG120="",$AH120="")))</f>
        <v/>
      </c>
      <c r="AU120" s="125" t="str">
        <f aca="false">IF($BL120&lt;&gt;Constants!$B$4,"",IF(NOT($AS120),"",ROUND((Constants!$B$12-$AB120)+(Constants!$B$13-$Z120)+(Constants!$B$14-$AA120),1)))</f>
        <v/>
      </c>
      <c r="AV120" s="127" t="str">
        <f aca="false">IF($BL120&lt;&gt;Constants!$B$4,"",IF(NOT($AS120),"",IF(NOT($AE120),0,Constants!$B$15*(INT(ROUND(MIN($AF120,$AP$9),6))-INT(ROUND(MAX(0,MIN($AF120,2*$AP$9)-$AP$9),6))))))</f>
        <v/>
      </c>
      <c r="AW120" s="127" t="str">
        <f aca="false">IF($BL120&lt;&gt;Constants!$B$4,"",IF(NOT($AS120),"",Constants!$B$16*$AG120))</f>
        <v/>
      </c>
      <c r="AX120" s="127" t="str">
        <f aca="false">IF($BL120&lt;&gt;Constants!$B$4,"",IF(NOT($AS120),"",Constants!$B$18*INT(ROUND($AH120,6))))</f>
        <v/>
      </c>
      <c r="AY120" s="123" t="str">
        <f aca="false">IF($BL120&lt;&gt;Constants!$B$4,"",IF(NOT($AS120),"",IF(NOT($X120),Constants!$B$11,IF(OR(NOT($AC120),NOT($AD120),ROUND($AB120,1)&gt;Constants!$B$12,ROUND($Z120,1)&gt;Constants!$B$13,ROUND($AA120,1)&gt;Constants!$B$14),Constants!$B$10,Constants!$B$9))))</f>
        <v/>
      </c>
      <c r="AZ120" s="128" t="str">
        <f aca="false">IF($BL120&lt;&gt;Constants!$B$4,"",IF(NOT($AS120),"",ROUND($AU120+$AV120+$AW120+$AX120,1)))</f>
        <v/>
      </c>
      <c r="BA120" s="129" t="str">
        <f aca="false">IF($BL120&lt;&gt;Constants!$B$4,"",IF(NOT($AS120),"",IF(ISNUMBER($AF120),$AF120,0)))</f>
        <v/>
      </c>
      <c r="BB120" s="124" t="str">
        <f aca="false">IF($BL120&lt;&gt;Constants!$B$4,"",IF(NOT($BC120),"&lt;-",IF(NOT($AS120),"-&gt;",IF(OR($BI120&lt;$AY120,AND($BI120=$AY120,OR($BJ120&gt;$AZ120,AND($BJ120=$AZ120,OR($BH120&gt;$AX120,AND($BH120=$AX120,OR($BE120&gt;$AU120,AND($BE120=$AU120,OR($BF120&gt;$AV120,AND($BF120=$AV120,$BK120&gt;$BA120)))))))))),"-&gt;","&lt;-"))))</f>
        <v/>
      </c>
      <c r="BC120" s="123" t="str">
        <f aca="false">IF(ISBLANK($C120),"",COUNTA($P120:$U120)&gt;0)</f>
        <v/>
      </c>
      <c r="BD120" s="123" t="str">
        <f aca="false">IF(ISBLANK($C120),"",AND($BC120,OR(AND($AL120="",OR($AK120,NOT(ISBLANK($S120)))),$AM120="",$AN120="")))</f>
        <v/>
      </c>
      <c r="BE120" s="125" t="str">
        <f aca="false">IF($BL120&lt;&gt;Constants!$B$4,"",IF(NOT($BC120),"",ROUND((Constants!$B$12-$AB120)+(Constants!$B$13-$Z120)+(Constants!$B$14-$AA120),1)))</f>
        <v/>
      </c>
      <c r="BF120" s="127" t="str">
        <f aca="false">IF($BL120&lt;&gt;Constants!$B$4,"",IF(NOT($BC120),"",IF(NOT($AK120),0,Constants!$B$15*(INT(ROUND(MIN($AL120,$AP$9),6))-INT(ROUND(MAX(0,MIN($AL120,2*$AP$9)-$AP$9),6))))))</f>
        <v/>
      </c>
      <c r="BG120" s="127" t="str">
        <f aca="false">IF($BL120&lt;&gt;Constants!$B$4,"",IF(NOT($BC120),"",Constants!$B$16*$AM120))</f>
        <v/>
      </c>
      <c r="BH120" s="127" t="str">
        <f aca="false">IF($BL120&lt;&gt;Constants!$B$4,"",IF(NOT($BC120),"",Constants!$B$18*INT(ROUND($AN120,6))))</f>
        <v/>
      </c>
      <c r="BI120" s="123" t="str">
        <f aca="false">IF($BL120&lt;&gt;Constants!$B$4,"",IF(NOT($BC120),"",IF(NOT($X120),Constants!$B$11,IF(OR(NOT($AI120),NOT($AJ120),ROUND($AB120,1)&gt;Constants!$B$12,ROUND($Z120,1)&gt;Constants!$B$13,ROUND($AA120,1)&gt;Constants!$B$14),Constants!$B$10,Constants!$B$9))))</f>
        <v/>
      </c>
      <c r="BJ120" s="128" t="str">
        <f aca="false">IF($BL120&lt;&gt;Constants!$B$4,"",IF(NOT($BC120),"",ROUND($BE120+$BF120+$BG120+$BH120,1)))</f>
        <v/>
      </c>
      <c r="BK120" s="129" t="str">
        <f aca="false">IF($BL120&lt;&gt;Constants!$B$4,"",IF(NOT($BC120),"",IF(ISNUMBER($AL120),$AL120,0)))</f>
        <v/>
      </c>
      <c r="BL120" s="124" t="str">
        <f aca="false">IF(ISBLANK($C120),"",IF($AO120,Constants!$B$7,IF(COUNTA($E120:$V120)=0,Constants!$B$6,IF(NOT($Y120),Constants!$B$5,IF(NOT(OR($AS120,$BC120)),Constants!$B$5,IF(OR($AT120,$BD120,$AQ120,$AR120&lt;&gt;""),Constants!$B$8,Constants!$B$4))))))</f>
        <v/>
      </c>
      <c r="BM120" s="124" t="str">
        <f aca="false">IF(ISBLANK($C120),"",IF($BL120&lt;&gt;Constants!$B$4,$BL120,IF($BB120="-&gt;",$BI120,$AY120)))</f>
        <v/>
      </c>
      <c r="BN120" s="127" t="str">
        <f aca="false">IF($BL120&lt;&gt;Constants!$B$4,"",IF($BB120="-&gt;",$BJ120,$AZ120))</f>
        <v/>
      </c>
      <c r="BO120" s="127" t="str">
        <f aca="false">IF(ISBLANK($C120),"",IF($BL120&lt;&gt;Constants!$B$4,$BL120,$BN120))</f>
        <v/>
      </c>
      <c r="BP120" s="124" t="str">
        <f aca="false">IF(ISBLANK($C120),"",IF($BL120&lt;&gt;Constants!$B$4,$BL120,RANK($BO120,$BO$9:$BO$508,0)))</f>
        <v/>
      </c>
      <c r="BQ120" s="124" t="str">
        <f aca="false">IF(ISBLANK($C120),"",IF($BL120&lt;&gt;Constants!$B$4,$BL120,COUNTIFS($BM$9:$BM$508,"&lt;"&amp;$BM120)+COUNTIFS($BM$9:$BM$508,$BM120,$BP$9:$BP$508,"&lt;"&amp;$BP120)+1))</f>
        <v/>
      </c>
      <c r="BR120" s="127" t="str">
        <f aca="false">IF($BL120&lt;&gt;Constants!$B$4,"",IF($BB120="-&gt;",$BH120,$AX120))</f>
        <v/>
      </c>
      <c r="BS120" s="124" t="str">
        <f aca="false">IF(ISBLANK($C120),"",IF($BL120&lt;&gt;Constants!$B$4,$BL120,IF(ISNUMBER($BR120),RANK($BR120,$BR$9:$BR$508,0),COUNT($BR$9:$BR$508)+1)))</f>
        <v/>
      </c>
      <c r="BT120" s="127" t="str">
        <f aca="false">IF($BL120&lt;&gt;Constants!$B$4,"",IF($BB120="-&gt;",$BE120,$AU120))</f>
        <v/>
      </c>
      <c r="BU120" s="124" t="str">
        <f aca="false">IF(ISBLANK($C120),"",IF($BL120&lt;&gt;Constants!$B$4,$BL120,IF(ISNUMBER($BT120),RANK($BT120,$BT$9:$BT$508,0),COUNT($BT$9:$BT$508)+1)))</f>
        <v/>
      </c>
      <c r="BV120" s="127" t="str">
        <f aca="false">IF($BL120&lt;&gt;Constants!$B$4,"",IF($BB120="-&gt;",$BF120,$AV120))</f>
        <v/>
      </c>
      <c r="BW120" s="124" t="str">
        <f aca="false">IF(ISBLANK($C120),"",IF($BL120&lt;&gt;Constants!$B$4,$BL120,IF(ISNUMBER($BV120),RANK($BV120,$BV$9:$BV$508,0),COUNT($BV$9:$BV$508)+1)))</f>
        <v/>
      </c>
      <c r="BX120" s="127" t="str">
        <f aca="false">IF($BL120&lt;&gt;Constants!$B$4,"",IF($BB120="-&gt;",$BK120,$BA120))</f>
        <v/>
      </c>
      <c r="BY120" s="124" t="str">
        <f aca="false">IF(ISBLANK($C120),"",IF($BL120&lt;&gt;Constants!$B$4,$BL120,IF(ISNUMBER($BX120),RANK($BX120,$BX$9:$BX$508,0),COUNT($BX$9:$BX$508)+1)))</f>
        <v/>
      </c>
      <c r="BZ120" s="124" t="str">
        <f aca="false">IF(ISBLANK($C120),"",IF($BL120&lt;&gt;Constants!$B$4,$BL120,COUNTIFS($BM$9:$BM$508,"&lt;"&amp;$BM120)+COUNTIFS($BM$9:$BM$508,$BM120,$BP$9:$BP$508,"&lt;"&amp;$BP120)+COUNTIFS($BM$9:$BM$508,$BM120,$BP$9:$BP$508,$BP120,$BS$9:$BS$508,"&lt;"&amp;$BS120)+COUNTIFS($BM$9:$BM$508,$BM120,$BP$9:$BP$508,$BP120,$BS$9:$BS$508,$BS120,$BU$9:$BU$508,"&lt;"&amp;$BU120)+COUNTIFS($BM$9:$BM$508,$BM120,$BP$9:$BP$508,$BP120,$BS$9:$BS$508,$BS120,$BU$9:$BU$508,$BU120,$BW$9:$BW$508,"&lt;"&amp;$BW120)+COUNTIFS($BM$9:$BM$508,$BM120,$BP$9:$BP$508,$BP120,$BS$9:$BS$508,$BS120,$BU$9:$BU$508,$BU120,$BW$9:$BW$508,$BW120,$BY$9:$BY$508,"&lt;"&amp;$BY120)+1))</f>
        <v/>
      </c>
      <c r="CA120" s="124" t="str">
        <f aca="false">IF(ISBLANK($C120),"",IF($BL120&lt;&gt;Constants!$B$4,$BL120,$BQ120-$BZ120))</f>
        <v/>
      </c>
      <c r="CB120" s="130"/>
      <c r="CC120" s="131" t="str">
        <f aca="false">IF(ISBLANK($C120),"",IF($BL120=Constants!$B$8,$AR120,""))</f>
        <v/>
      </c>
      <c r="CD120" s="131" t="str">
        <f aca="false">IF(ISBLANK($C120),"",IF($BL120&lt;&gt;Constants!$B$4,"",IF($BB120="-&gt;",2,1)))</f>
        <v/>
      </c>
      <c r="CE120" s="132" t="str">
        <f aca="false">IF(ISBLANK($C120),"",IF($BL120&lt;&gt;Constants!$B$4,"",IF($BB120="-&gt;",$BE120,$AU120)))</f>
        <v/>
      </c>
      <c r="CF120" s="132" t="str">
        <f aca="false">IF(ISBLANK($C120),"",IF($BL120&lt;&gt;Constants!$B$4,"",IF($BB120="-&gt;",$BF120,$AV120)))</f>
        <v/>
      </c>
      <c r="CG120" s="132" t="str">
        <f aca="false">IF(ISBLANK($C120),"",IF($BL120&lt;&gt;Constants!$B$4,"",IF($BB120="-&gt;",$BG120,$AW120)))</f>
        <v/>
      </c>
      <c r="CH120" s="132" t="str">
        <f aca="false">IF(ISBLANK($C120),"",IF($BL120&lt;&gt;Constants!$B$4,"",IF($BB120="-&gt;",$BH120,$AX120)))</f>
        <v/>
      </c>
      <c r="CI120" s="133" t="str">
        <f aca="false">IF(ISBLANK($C120),"",$BO120)</f>
        <v/>
      </c>
      <c r="CJ120" s="134" t="str">
        <f aca="false">IF(ISBLANK($C120),"",$BM120)</f>
        <v/>
      </c>
      <c r="CK120" s="135" t="str">
        <f aca="false">IF(ISBLANK($C120),"",$CA120)</f>
        <v/>
      </c>
      <c r="CL120" s="135" t="str">
        <f aca="false">IF(ISBLANK($C120),"",$BZ120)</f>
        <v/>
      </c>
      <c r="CM120" s="136" t="str">
        <f aca="false">IF(ISBLANK($C120),"",IF($CL120=Constants!$B$7,COUNTA($C$9:$C$508)+2,IF($CL120=Constants!$B$6,COUNTA($C$9:$C$508)+1,IF($CL120=Constants!$B$5,COUNTA($C$9:$C$508),$CL120))))</f>
        <v/>
      </c>
      <c r="CN120" s="8"/>
      <c r="CO120" s="137" t="n">
        <f aca="false">IF(OR(ISNUMBER($CL120),$CL120=Constants!$B$7,$CL120=Constants!$B$5,$CL120=Constants!$B$6),1,0)</f>
        <v>0</v>
      </c>
      <c r="CP120" s="137" t="n">
        <v>112</v>
      </c>
      <c r="CQ120" s="137" t="str">
        <f aca="false">IF(ISBLANK($C120),"",IF(ISNUMBER($CM120),$CM120+ROW($B120)/1000,""))</f>
        <v/>
      </c>
      <c r="CR120" s="137" t="str">
        <f aca="false">IF(ISNUMBER($CQ120),RANK($CQ120,$CQ$9:$CQ$508,1),"")</f>
        <v/>
      </c>
      <c r="CS120" s="137" t="str">
        <f aca="false">IF(ISBLANK($C120),"",$B120)</f>
        <v/>
      </c>
      <c r="CT120" s="137" t="str">
        <f aca="false">IF(ISBLANK($C120),"",$C120)</f>
        <v/>
      </c>
      <c r="CU120" s="137" t="str">
        <f aca="false">IF(ISBLANK($C120),"",$D120)</f>
        <v/>
      </c>
      <c r="CV120" s="138" t="str">
        <f aca="false">$CJ120</f>
        <v/>
      </c>
      <c r="CW120" s="139" t="str">
        <f aca="false">$CI120</f>
        <v/>
      </c>
      <c r="CX120" s="137" t="str">
        <f aca="false">IF(ISBLANK($C120),"",$CL120)</f>
        <v/>
      </c>
      <c r="CY120" s="140" t="str">
        <f aca="false">IF($CP120&gt;$CO$8,"",VLOOKUP($CP120,$CR$9:$CX$508,7,FALSE()))</f>
        <v/>
      </c>
      <c r="CZ120" s="141" t="str">
        <f aca="false">IF($CP120&gt;$CO$8,"",VLOOKUP($CP120,$CR$9:$CX$508,2,FALSE()))</f>
        <v/>
      </c>
      <c r="DA120" s="141" t="str">
        <f aca="false">IF($CP120&gt;$CO$8,"",VLOOKUP($CP120,$CR$9:$CX$508,3,FALSE()))</f>
        <v/>
      </c>
      <c r="DB120" s="141" t="str">
        <f aca="false">IF($CP120&gt;$CO$8,"",VLOOKUP($CP120,$CR$9:$CX$508,4,FALSE()))</f>
        <v/>
      </c>
      <c r="DC120" s="141" t="str">
        <f aca="false">IF($CP120&gt;$CO$8,"",VLOOKUP($CP120,$CR$9:$CX$508,5,FALSE()))</f>
        <v/>
      </c>
      <c r="DD120" s="142" t="str">
        <f aca="false">IF($CP120&gt;$CO$8,"",VLOOKUP($CP120,$CR$9:$CX$508,6,FALSE()))</f>
        <v/>
      </c>
      <c r="DE120" s="70"/>
    </row>
    <row r="121" customFormat="false" ht="15.75" hidden="false" customHeight="false" outlineLevel="0" collapsed="false">
      <c r="A121" s="8"/>
      <c r="B121" s="146"/>
      <c r="C121" s="147"/>
      <c r="D121" s="148"/>
      <c r="E121" s="164"/>
      <c r="F121" s="150"/>
      <c r="G121" s="115"/>
      <c r="H121" s="115"/>
      <c r="I121" s="115"/>
      <c r="J121" s="165"/>
      <c r="K121" s="154"/>
      <c r="L121" s="154"/>
      <c r="M121" s="118"/>
      <c r="N121" s="154"/>
      <c r="O121" s="153"/>
      <c r="P121" s="154"/>
      <c r="Q121" s="154"/>
      <c r="R121" s="154"/>
      <c r="S121" s="115"/>
      <c r="T121" s="154"/>
      <c r="U121" s="153"/>
      <c r="V121" s="154"/>
      <c r="W121" s="123"/>
      <c r="X121" s="124" t="str">
        <f aca="false">IF(ISBLANK($C121),"",IF($E121=Constants!$B$2,TRUE(),IF($E121=Constants!$B$3,FALSE(),TRUE())))</f>
        <v/>
      </c>
      <c r="Y121" s="124" t="str">
        <f aca="false">IF(ISBLANK($C121),"",IF($F121=Constants!$B$2,TRUE(),IF($F121=Constants!$B$3,FALSE(),TRUE())))</f>
        <v/>
      </c>
      <c r="Z121" s="125" t="str">
        <f aca="false">IF(ISBLANK($C121),"",IF(ISNUMBER($G121),IF($G121&gt;=0,$G121,""),""))</f>
        <v/>
      </c>
      <c r="AA121" s="125" t="str">
        <f aca="false">IF(ISBLANK($C121),"",IF(ISNUMBER($H121),IF($H121&gt;=0,$H121,""),""))</f>
        <v/>
      </c>
      <c r="AB121" s="125" t="str">
        <f aca="false">IF(ISBLANK($C121),"",IF(ISNUMBER($I121),IF($I121&gt;=0,$I121,""),""))</f>
        <v/>
      </c>
      <c r="AC121" s="124" t="str">
        <f aca="false">IF(ISBLANK($C121),"",IF($J121=Constants!$B$2,TRUE(),IF($J121=Constants!$B$3,FALSE(),TRUE())))</f>
        <v/>
      </c>
      <c r="AD121" s="124" t="str">
        <f aca="false">IF(ISBLANK($C121),"",IF($K121=Constants!$B$2,TRUE(),IF($K121=Constants!$B$3,FALSE(),TRUE())))</f>
        <v/>
      </c>
      <c r="AE121" s="124" t="str">
        <f aca="false">IF(ISBLANK($C121),"",IF($L121=Constants!$B$2,TRUE(),IF($L121=Constants!$B$3,FALSE(),TRUE())))</f>
        <v/>
      </c>
      <c r="AF121" s="126" t="str">
        <f aca="false">IF(ISBLANK($C121),"",IF(ISNUMBER($M121),IF($M121&gt;=0,$M121,""),""))</f>
        <v/>
      </c>
      <c r="AG121" s="124" t="str">
        <f aca="false">IF(ISBLANK($C121),"",IF(ISBLANK($N121),0,IF(ISNUMBER($N121),IF(AND($N121&gt;=0,$N121&lt;=Constants!$B$17,$N121=INT($N121)),$N121,""),"")))</f>
        <v/>
      </c>
      <c r="AH121" s="125" t="str">
        <f aca="false">IF(ISBLANK($C121),"",IF(ISBLANK($O121),0,IF(ISNUMBER($O121),IF($O121&gt;=0,$O121,""),"")))</f>
        <v/>
      </c>
      <c r="AI121" s="124" t="str">
        <f aca="false">IF(ISBLANK($C121),"",IF($P121=Constants!$B$2,TRUE(),IF($P121=Constants!$B$3,FALSE(),TRUE())))</f>
        <v/>
      </c>
      <c r="AJ121" s="124" t="str">
        <f aca="false">IF(ISBLANK($C121),"",IF($Q121=Constants!$B$2,TRUE(),IF($Q121=Constants!$B$3,FALSE(),TRUE())))</f>
        <v/>
      </c>
      <c r="AK121" s="124" t="str">
        <f aca="false">IF(ISBLANK($C121),"",IF($R121=Constants!$B$2,TRUE(),IF($R121=Constants!$B$3,FALSE(),TRUE())))</f>
        <v/>
      </c>
      <c r="AL121" s="126" t="str">
        <f aca="false">IF(ISBLANK($C121),"",IF(ISNUMBER($S121),IF($S121&gt;=0,$S121,""),""))</f>
        <v/>
      </c>
      <c r="AM121" s="124" t="str">
        <f aca="false">IF(ISBLANK($C121),"",IF(ISBLANK($T121),0,IF(ISNUMBER($T121),IF(AND($T121&gt;=0,$T121&lt;=Constants!$B$17,$T121=INT($T121)),$T121,""),"")))</f>
        <v/>
      </c>
      <c r="AN121" s="125" t="str">
        <f aca="false">IF(ISBLANK($C121),"",IF(ISBLANK($U121),0,IF(ISNUMBER($U121),IF($U121&gt;=0,$U121,""),"")))</f>
        <v/>
      </c>
      <c r="AO121" s="124" t="str">
        <f aca="false">IF(ISBLANK($C121),"",IF($V121=Constants!$B$2,TRUE(),IF($V121=Constants!$B$3,FALSE(),FALSE())))</f>
        <v/>
      </c>
      <c r="AP121" s="124"/>
      <c r="AQ121" s="123" t="str">
        <f aca="false">IF(ISBLANK($C121),"",AND($Y121,OR($AS121,$BC121),OR($Z121="",$AA121="",$AB121="")))</f>
        <v/>
      </c>
      <c r="AR121" s="123" t="str">
        <f aca="false">IF(ISBLANK($C121),"",IF(OR(NOT($Y121),NOT(OR($AS121,$BC121))),"",IF(ISBLANK($D$7),$AR$5,IF($AP$9="",$AR$6,""))))</f>
        <v/>
      </c>
      <c r="AS121" s="123" t="str">
        <f aca="false">IF(ISBLANK($C121),"",COUNTA($J121:$O121)&gt;0)</f>
        <v/>
      </c>
      <c r="AT121" s="123" t="str">
        <f aca="false">IF(ISBLANK($C121),"",AND($AS121,OR(AND($AF121="",OR($AE121,NOT(ISBLANK($M121)))),$AG121="",$AH121="")))</f>
        <v/>
      </c>
      <c r="AU121" s="125" t="str">
        <f aca="false">IF($BL121&lt;&gt;Constants!$B$4,"",IF(NOT($AS121),"",ROUND((Constants!$B$12-$AB121)+(Constants!$B$13-$Z121)+(Constants!$B$14-$AA121),1)))</f>
        <v/>
      </c>
      <c r="AV121" s="127" t="str">
        <f aca="false">IF($BL121&lt;&gt;Constants!$B$4,"",IF(NOT($AS121),"",IF(NOT($AE121),0,Constants!$B$15*(INT(ROUND(MIN($AF121,$AP$9),6))-INT(ROUND(MAX(0,MIN($AF121,2*$AP$9)-$AP$9),6))))))</f>
        <v/>
      </c>
      <c r="AW121" s="127" t="str">
        <f aca="false">IF($BL121&lt;&gt;Constants!$B$4,"",IF(NOT($AS121),"",Constants!$B$16*$AG121))</f>
        <v/>
      </c>
      <c r="AX121" s="127" t="str">
        <f aca="false">IF($BL121&lt;&gt;Constants!$B$4,"",IF(NOT($AS121),"",Constants!$B$18*INT(ROUND($AH121,6))))</f>
        <v/>
      </c>
      <c r="AY121" s="123" t="str">
        <f aca="false">IF($BL121&lt;&gt;Constants!$B$4,"",IF(NOT($AS121),"",IF(NOT($X121),Constants!$B$11,IF(OR(NOT($AC121),NOT($AD121),ROUND($AB121,1)&gt;Constants!$B$12,ROUND($Z121,1)&gt;Constants!$B$13,ROUND($AA121,1)&gt;Constants!$B$14),Constants!$B$10,Constants!$B$9))))</f>
        <v/>
      </c>
      <c r="AZ121" s="128" t="str">
        <f aca="false">IF($BL121&lt;&gt;Constants!$B$4,"",IF(NOT($AS121),"",ROUND($AU121+$AV121+$AW121+$AX121,1)))</f>
        <v/>
      </c>
      <c r="BA121" s="129" t="str">
        <f aca="false">IF($BL121&lt;&gt;Constants!$B$4,"",IF(NOT($AS121),"",IF(ISNUMBER($AF121),$AF121,0)))</f>
        <v/>
      </c>
      <c r="BB121" s="124" t="str">
        <f aca="false">IF($BL121&lt;&gt;Constants!$B$4,"",IF(NOT($BC121),"&lt;-",IF(NOT($AS121),"-&gt;",IF(OR($BI121&lt;$AY121,AND($BI121=$AY121,OR($BJ121&gt;$AZ121,AND($BJ121=$AZ121,OR($BH121&gt;$AX121,AND($BH121=$AX121,OR($BE121&gt;$AU121,AND($BE121=$AU121,OR($BF121&gt;$AV121,AND($BF121=$AV121,$BK121&gt;$BA121)))))))))),"-&gt;","&lt;-"))))</f>
        <v/>
      </c>
      <c r="BC121" s="123" t="str">
        <f aca="false">IF(ISBLANK($C121),"",COUNTA($P121:$U121)&gt;0)</f>
        <v/>
      </c>
      <c r="BD121" s="123" t="str">
        <f aca="false">IF(ISBLANK($C121),"",AND($BC121,OR(AND($AL121="",OR($AK121,NOT(ISBLANK($S121)))),$AM121="",$AN121="")))</f>
        <v/>
      </c>
      <c r="BE121" s="125" t="str">
        <f aca="false">IF($BL121&lt;&gt;Constants!$B$4,"",IF(NOT($BC121),"",ROUND((Constants!$B$12-$AB121)+(Constants!$B$13-$Z121)+(Constants!$B$14-$AA121),1)))</f>
        <v/>
      </c>
      <c r="BF121" s="127" t="str">
        <f aca="false">IF($BL121&lt;&gt;Constants!$B$4,"",IF(NOT($BC121),"",IF(NOT($AK121),0,Constants!$B$15*(INT(ROUND(MIN($AL121,$AP$9),6))-INT(ROUND(MAX(0,MIN($AL121,2*$AP$9)-$AP$9),6))))))</f>
        <v/>
      </c>
      <c r="BG121" s="127" t="str">
        <f aca="false">IF($BL121&lt;&gt;Constants!$B$4,"",IF(NOT($BC121),"",Constants!$B$16*$AM121))</f>
        <v/>
      </c>
      <c r="BH121" s="127" t="str">
        <f aca="false">IF($BL121&lt;&gt;Constants!$B$4,"",IF(NOT($BC121),"",Constants!$B$18*INT(ROUND($AN121,6))))</f>
        <v/>
      </c>
      <c r="BI121" s="123" t="str">
        <f aca="false">IF($BL121&lt;&gt;Constants!$B$4,"",IF(NOT($BC121),"",IF(NOT($X121),Constants!$B$11,IF(OR(NOT($AI121),NOT($AJ121),ROUND($AB121,1)&gt;Constants!$B$12,ROUND($Z121,1)&gt;Constants!$B$13,ROUND($AA121,1)&gt;Constants!$B$14),Constants!$B$10,Constants!$B$9))))</f>
        <v/>
      </c>
      <c r="BJ121" s="128" t="str">
        <f aca="false">IF($BL121&lt;&gt;Constants!$B$4,"",IF(NOT($BC121),"",ROUND($BE121+$BF121+$BG121+$BH121,1)))</f>
        <v/>
      </c>
      <c r="BK121" s="129" t="str">
        <f aca="false">IF($BL121&lt;&gt;Constants!$B$4,"",IF(NOT($BC121),"",IF(ISNUMBER($AL121),$AL121,0)))</f>
        <v/>
      </c>
      <c r="BL121" s="124" t="str">
        <f aca="false">IF(ISBLANK($C121),"",IF($AO121,Constants!$B$7,IF(COUNTA($E121:$V121)=0,Constants!$B$6,IF(NOT($Y121),Constants!$B$5,IF(NOT(OR($AS121,$BC121)),Constants!$B$5,IF(OR($AT121,$BD121,$AQ121,$AR121&lt;&gt;""),Constants!$B$8,Constants!$B$4))))))</f>
        <v/>
      </c>
      <c r="BM121" s="124" t="str">
        <f aca="false">IF(ISBLANK($C121),"",IF($BL121&lt;&gt;Constants!$B$4,$BL121,IF($BB121="-&gt;",$BI121,$AY121)))</f>
        <v/>
      </c>
      <c r="BN121" s="127" t="str">
        <f aca="false">IF($BL121&lt;&gt;Constants!$B$4,"",IF($BB121="-&gt;",$BJ121,$AZ121))</f>
        <v/>
      </c>
      <c r="BO121" s="127" t="str">
        <f aca="false">IF(ISBLANK($C121),"",IF($BL121&lt;&gt;Constants!$B$4,$BL121,$BN121))</f>
        <v/>
      </c>
      <c r="BP121" s="124" t="str">
        <f aca="false">IF(ISBLANK($C121),"",IF($BL121&lt;&gt;Constants!$B$4,$BL121,RANK($BO121,$BO$9:$BO$508,0)))</f>
        <v/>
      </c>
      <c r="BQ121" s="124" t="str">
        <f aca="false">IF(ISBLANK($C121),"",IF($BL121&lt;&gt;Constants!$B$4,$BL121,COUNTIFS($BM$9:$BM$508,"&lt;"&amp;$BM121)+COUNTIFS($BM$9:$BM$508,$BM121,$BP$9:$BP$508,"&lt;"&amp;$BP121)+1))</f>
        <v/>
      </c>
      <c r="BR121" s="127" t="str">
        <f aca="false">IF($BL121&lt;&gt;Constants!$B$4,"",IF($BB121="-&gt;",$BH121,$AX121))</f>
        <v/>
      </c>
      <c r="BS121" s="124" t="str">
        <f aca="false">IF(ISBLANK($C121),"",IF($BL121&lt;&gt;Constants!$B$4,$BL121,IF(ISNUMBER($BR121),RANK($BR121,$BR$9:$BR$508,0),COUNT($BR$9:$BR$508)+1)))</f>
        <v/>
      </c>
      <c r="BT121" s="127" t="str">
        <f aca="false">IF($BL121&lt;&gt;Constants!$B$4,"",IF($BB121="-&gt;",$BE121,$AU121))</f>
        <v/>
      </c>
      <c r="BU121" s="124" t="str">
        <f aca="false">IF(ISBLANK($C121),"",IF($BL121&lt;&gt;Constants!$B$4,$BL121,IF(ISNUMBER($BT121),RANK($BT121,$BT$9:$BT$508,0),COUNT($BT$9:$BT$508)+1)))</f>
        <v/>
      </c>
      <c r="BV121" s="127" t="str">
        <f aca="false">IF($BL121&lt;&gt;Constants!$B$4,"",IF($BB121="-&gt;",$BF121,$AV121))</f>
        <v/>
      </c>
      <c r="BW121" s="124" t="str">
        <f aca="false">IF(ISBLANK($C121),"",IF($BL121&lt;&gt;Constants!$B$4,$BL121,IF(ISNUMBER($BV121),RANK($BV121,$BV$9:$BV$508,0),COUNT($BV$9:$BV$508)+1)))</f>
        <v/>
      </c>
      <c r="BX121" s="127" t="str">
        <f aca="false">IF($BL121&lt;&gt;Constants!$B$4,"",IF($BB121="-&gt;",$BK121,$BA121))</f>
        <v/>
      </c>
      <c r="BY121" s="124" t="str">
        <f aca="false">IF(ISBLANK($C121),"",IF($BL121&lt;&gt;Constants!$B$4,$BL121,IF(ISNUMBER($BX121),RANK($BX121,$BX$9:$BX$508,0),COUNT($BX$9:$BX$508)+1)))</f>
        <v/>
      </c>
      <c r="BZ121" s="124" t="str">
        <f aca="false">IF(ISBLANK($C121),"",IF($BL121&lt;&gt;Constants!$B$4,$BL121,COUNTIFS($BM$9:$BM$508,"&lt;"&amp;$BM121)+COUNTIFS($BM$9:$BM$508,$BM121,$BP$9:$BP$508,"&lt;"&amp;$BP121)+COUNTIFS($BM$9:$BM$508,$BM121,$BP$9:$BP$508,$BP121,$BS$9:$BS$508,"&lt;"&amp;$BS121)+COUNTIFS($BM$9:$BM$508,$BM121,$BP$9:$BP$508,$BP121,$BS$9:$BS$508,$BS121,$BU$9:$BU$508,"&lt;"&amp;$BU121)+COUNTIFS($BM$9:$BM$508,$BM121,$BP$9:$BP$508,$BP121,$BS$9:$BS$508,$BS121,$BU$9:$BU$508,$BU121,$BW$9:$BW$508,"&lt;"&amp;$BW121)+COUNTIFS($BM$9:$BM$508,$BM121,$BP$9:$BP$508,$BP121,$BS$9:$BS$508,$BS121,$BU$9:$BU$508,$BU121,$BW$9:$BW$508,$BW121,$BY$9:$BY$508,"&lt;"&amp;$BY121)+1))</f>
        <v/>
      </c>
      <c r="CA121" s="124" t="str">
        <f aca="false">IF(ISBLANK($C121),"",IF($BL121&lt;&gt;Constants!$B$4,$BL121,$BQ121-$BZ121))</f>
        <v/>
      </c>
      <c r="CB121" s="130"/>
      <c r="CC121" s="131" t="str">
        <f aca="false">IF(ISBLANK($C121),"",IF($BL121=Constants!$B$8,$AR121,""))</f>
        <v/>
      </c>
      <c r="CD121" s="131" t="str">
        <f aca="false">IF(ISBLANK($C121),"",IF($BL121&lt;&gt;Constants!$B$4,"",IF($BB121="-&gt;",2,1)))</f>
        <v/>
      </c>
      <c r="CE121" s="132" t="str">
        <f aca="false">IF(ISBLANK($C121),"",IF($BL121&lt;&gt;Constants!$B$4,"",IF($BB121="-&gt;",$BE121,$AU121)))</f>
        <v/>
      </c>
      <c r="CF121" s="132" t="str">
        <f aca="false">IF(ISBLANK($C121),"",IF($BL121&lt;&gt;Constants!$B$4,"",IF($BB121="-&gt;",$BF121,$AV121)))</f>
        <v/>
      </c>
      <c r="CG121" s="132" t="str">
        <f aca="false">IF(ISBLANK($C121),"",IF($BL121&lt;&gt;Constants!$B$4,"",IF($BB121="-&gt;",$BG121,$AW121)))</f>
        <v/>
      </c>
      <c r="CH121" s="132" t="str">
        <f aca="false">IF(ISBLANK($C121),"",IF($BL121&lt;&gt;Constants!$B$4,"",IF($BB121="-&gt;",$BH121,$AX121)))</f>
        <v/>
      </c>
      <c r="CI121" s="133" t="str">
        <f aca="false">IF(ISBLANK($C121),"",$BO121)</f>
        <v/>
      </c>
      <c r="CJ121" s="134" t="str">
        <f aca="false">IF(ISBLANK($C121),"",$BM121)</f>
        <v/>
      </c>
      <c r="CK121" s="135" t="str">
        <f aca="false">IF(ISBLANK($C121),"",$CA121)</f>
        <v/>
      </c>
      <c r="CL121" s="135" t="str">
        <f aca="false">IF(ISBLANK($C121),"",$BZ121)</f>
        <v/>
      </c>
      <c r="CM121" s="136" t="str">
        <f aca="false">IF(ISBLANK($C121),"",IF($CL121=Constants!$B$7,COUNTA($C$9:$C$508)+2,IF($CL121=Constants!$B$6,COUNTA($C$9:$C$508)+1,IF($CL121=Constants!$B$5,COUNTA($C$9:$C$508),$CL121))))</f>
        <v/>
      </c>
      <c r="CN121" s="8"/>
      <c r="CO121" s="137" t="n">
        <f aca="false">IF(OR(ISNUMBER($CL121),$CL121=Constants!$B$7,$CL121=Constants!$B$5,$CL121=Constants!$B$6),1,0)</f>
        <v>0</v>
      </c>
      <c r="CP121" s="137" t="n">
        <v>113</v>
      </c>
      <c r="CQ121" s="137" t="str">
        <f aca="false">IF(ISBLANK($C121),"",IF(ISNUMBER($CM121),$CM121+ROW($B121)/1000,""))</f>
        <v/>
      </c>
      <c r="CR121" s="137" t="str">
        <f aca="false">IF(ISNUMBER($CQ121),RANK($CQ121,$CQ$9:$CQ$508,1),"")</f>
        <v/>
      </c>
      <c r="CS121" s="137" t="str">
        <f aca="false">IF(ISBLANK($C121),"",$B121)</f>
        <v/>
      </c>
      <c r="CT121" s="137" t="str">
        <f aca="false">IF(ISBLANK($C121),"",$C121)</f>
        <v/>
      </c>
      <c r="CU121" s="137" t="str">
        <f aca="false">IF(ISBLANK($C121),"",$D121)</f>
        <v/>
      </c>
      <c r="CV121" s="138" t="str">
        <f aca="false">$CJ121</f>
        <v/>
      </c>
      <c r="CW121" s="139" t="str">
        <f aca="false">$CI121</f>
        <v/>
      </c>
      <c r="CX121" s="137" t="str">
        <f aca="false">IF(ISBLANK($C121),"",$CL121)</f>
        <v/>
      </c>
      <c r="CY121" s="140" t="str">
        <f aca="false">IF($CP121&gt;$CO$8,"",VLOOKUP($CP121,$CR$9:$CX$508,7,FALSE()))</f>
        <v/>
      </c>
      <c r="CZ121" s="141" t="str">
        <f aca="false">IF($CP121&gt;$CO$8,"",VLOOKUP($CP121,$CR$9:$CX$508,2,FALSE()))</f>
        <v/>
      </c>
      <c r="DA121" s="141" t="str">
        <f aca="false">IF($CP121&gt;$CO$8,"",VLOOKUP($CP121,$CR$9:$CX$508,3,FALSE()))</f>
        <v/>
      </c>
      <c r="DB121" s="141" t="str">
        <f aca="false">IF($CP121&gt;$CO$8,"",VLOOKUP($CP121,$CR$9:$CX$508,4,FALSE()))</f>
        <v/>
      </c>
      <c r="DC121" s="141" t="str">
        <f aca="false">IF($CP121&gt;$CO$8,"",VLOOKUP($CP121,$CR$9:$CX$508,5,FALSE()))</f>
        <v/>
      </c>
      <c r="DD121" s="142" t="str">
        <f aca="false">IF($CP121&gt;$CO$8,"",VLOOKUP($CP121,$CR$9:$CX$508,6,FALSE()))</f>
        <v/>
      </c>
      <c r="DE121" s="70"/>
    </row>
    <row r="122" customFormat="false" ht="15.75" hidden="false" customHeight="false" outlineLevel="0" collapsed="false">
      <c r="A122" s="8"/>
      <c r="B122" s="146"/>
      <c r="C122" s="147"/>
      <c r="D122" s="148"/>
      <c r="E122" s="164"/>
      <c r="F122" s="150"/>
      <c r="G122" s="115"/>
      <c r="H122" s="115"/>
      <c r="I122" s="115"/>
      <c r="J122" s="165"/>
      <c r="K122" s="154"/>
      <c r="L122" s="154"/>
      <c r="M122" s="118"/>
      <c r="N122" s="154"/>
      <c r="O122" s="153"/>
      <c r="P122" s="154"/>
      <c r="Q122" s="154"/>
      <c r="R122" s="154"/>
      <c r="S122" s="115"/>
      <c r="T122" s="154"/>
      <c r="U122" s="153"/>
      <c r="V122" s="154"/>
      <c r="W122" s="123"/>
      <c r="X122" s="124" t="str">
        <f aca="false">IF(ISBLANK($C122),"",IF($E122=Constants!$B$2,TRUE(),IF($E122=Constants!$B$3,FALSE(),TRUE())))</f>
        <v/>
      </c>
      <c r="Y122" s="124" t="str">
        <f aca="false">IF(ISBLANK($C122),"",IF($F122=Constants!$B$2,TRUE(),IF($F122=Constants!$B$3,FALSE(),TRUE())))</f>
        <v/>
      </c>
      <c r="Z122" s="125" t="str">
        <f aca="false">IF(ISBLANK($C122),"",IF(ISNUMBER($G122),IF($G122&gt;=0,$G122,""),""))</f>
        <v/>
      </c>
      <c r="AA122" s="125" t="str">
        <f aca="false">IF(ISBLANK($C122),"",IF(ISNUMBER($H122),IF($H122&gt;=0,$H122,""),""))</f>
        <v/>
      </c>
      <c r="AB122" s="125" t="str">
        <f aca="false">IF(ISBLANK($C122),"",IF(ISNUMBER($I122),IF($I122&gt;=0,$I122,""),""))</f>
        <v/>
      </c>
      <c r="AC122" s="124" t="str">
        <f aca="false">IF(ISBLANK($C122),"",IF($J122=Constants!$B$2,TRUE(),IF($J122=Constants!$B$3,FALSE(),TRUE())))</f>
        <v/>
      </c>
      <c r="AD122" s="124" t="str">
        <f aca="false">IF(ISBLANK($C122),"",IF($K122=Constants!$B$2,TRUE(),IF($K122=Constants!$B$3,FALSE(),TRUE())))</f>
        <v/>
      </c>
      <c r="AE122" s="124" t="str">
        <f aca="false">IF(ISBLANK($C122),"",IF($L122=Constants!$B$2,TRUE(),IF($L122=Constants!$B$3,FALSE(),TRUE())))</f>
        <v/>
      </c>
      <c r="AF122" s="126" t="str">
        <f aca="false">IF(ISBLANK($C122),"",IF(ISNUMBER($M122),IF($M122&gt;=0,$M122,""),""))</f>
        <v/>
      </c>
      <c r="AG122" s="124" t="str">
        <f aca="false">IF(ISBLANK($C122),"",IF(ISBLANK($N122),0,IF(ISNUMBER($N122),IF(AND($N122&gt;=0,$N122&lt;=Constants!$B$17,$N122=INT($N122)),$N122,""),"")))</f>
        <v/>
      </c>
      <c r="AH122" s="125" t="str">
        <f aca="false">IF(ISBLANK($C122),"",IF(ISBLANK($O122),0,IF(ISNUMBER($O122),IF($O122&gt;=0,$O122,""),"")))</f>
        <v/>
      </c>
      <c r="AI122" s="124" t="str">
        <f aca="false">IF(ISBLANK($C122),"",IF($P122=Constants!$B$2,TRUE(),IF($P122=Constants!$B$3,FALSE(),TRUE())))</f>
        <v/>
      </c>
      <c r="AJ122" s="124" t="str">
        <f aca="false">IF(ISBLANK($C122),"",IF($Q122=Constants!$B$2,TRUE(),IF($Q122=Constants!$B$3,FALSE(),TRUE())))</f>
        <v/>
      </c>
      <c r="AK122" s="124" t="str">
        <f aca="false">IF(ISBLANK($C122),"",IF($R122=Constants!$B$2,TRUE(),IF($R122=Constants!$B$3,FALSE(),TRUE())))</f>
        <v/>
      </c>
      <c r="AL122" s="126" t="str">
        <f aca="false">IF(ISBLANK($C122),"",IF(ISNUMBER($S122),IF($S122&gt;=0,$S122,""),""))</f>
        <v/>
      </c>
      <c r="AM122" s="124" t="str">
        <f aca="false">IF(ISBLANK($C122),"",IF(ISBLANK($T122),0,IF(ISNUMBER($T122),IF(AND($T122&gt;=0,$T122&lt;=Constants!$B$17,$T122=INT($T122)),$T122,""),"")))</f>
        <v/>
      </c>
      <c r="AN122" s="125" t="str">
        <f aca="false">IF(ISBLANK($C122),"",IF(ISBLANK($U122),0,IF(ISNUMBER($U122),IF($U122&gt;=0,$U122,""),"")))</f>
        <v/>
      </c>
      <c r="AO122" s="124" t="str">
        <f aca="false">IF(ISBLANK($C122),"",IF($V122=Constants!$B$2,TRUE(),IF($V122=Constants!$B$3,FALSE(),FALSE())))</f>
        <v/>
      </c>
      <c r="AP122" s="124"/>
      <c r="AQ122" s="123" t="str">
        <f aca="false">IF(ISBLANK($C122),"",AND($Y122,OR($AS122,$BC122),OR($Z122="",$AA122="",$AB122="")))</f>
        <v/>
      </c>
      <c r="AR122" s="123" t="str">
        <f aca="false">IF(ISBLANK($C122),"",IF(OR(NOT($Y122),NOT(OR($AS122,$BC122))),"",IF(ISBLANK($D$7),$AR$5,IF($AP$9="",$AR$6,""))))</f>
        <v/>
      </c>
      <c r="AS122" s="123" t="str">
        <f aca="false">IF(ISBLANK($C122),"",COUNTA($J122:$O122)&gt;0)</f>
        <v/>
      </c>
      <c r="AT122" s="123" t="str">
        <f aca="false">IF(ISBLANK($C122),"",AND($AS122,OR(AND($AF122="",OR($AE122,NOT(ISBLANK($M122)))),$AG122="",$AH122="")))</f>
        <v/>
      </c>
      <c r="AU122" s="125" t="str">
        <f aca="false">IF($BL122&lt;&gt;Constants!$B$4,"",IF(NOT($AS122),"",ROUND((Constants!$B$12-$AB122)+(Constants!$B$13-$Z122)+(Constants!$B$14-$AA122),1)))</f>
        <v/>
      </c>
      <c r="AV122" s="127" t="str">
        <f aca="false">IF($BL122&lt;&gt;Constants!$B$4,"",IF(NOT($AS122),"",IF(NOT($AE122),0,Constants!$B$15*(INT(ROUND(MIN($AF122,$AP$9),6))-INT(ROUND(MAX(0,MIN($AF122,2*$AP$9)-$AP$9),6))))))</f>
        <v/>
      </c>
      <c r="AW122" s="127" t="str">
        <f aca="false">IF($BL122&lt;&gt;Constants!$B$4,"",IF(NOT($AS122),"",Constants!$B$16*$AG122))</f>
        <v/>
      </c>
      <c r="AX122" s="127" t="str">
        <f aca="false">IF($BL122&lt;&gt;Constants!$B$4,"",IF(NOT($AS122),"",Constants!$B$18*INT(ROUND($AH122,6))))</f>
        <v/>
      </c>
      <c r="AY122" s="123" t="str">
        <f aca="false">IF($BL122&lt;&gt;Constants!$B$4,"",IF(NOT($AS122),"",IF(NOT($X122),Constants!$B$11,IF(OR(NOT($AC122),NOT($AD122),ROUND($AB122,1)&gt;Constants!$B$12,ROUND($Z122,1)&gt;Constants!$B$13,ROUND($AA122,1)&gt;Constants!$B$14),Constants!$B$10,Constants!$B$9))))</f>
        <v/>
      </c>
      <c r="AZ122" s="128" t="str">
        <f aca="false">IF($BL122&lt;&gt;Constants!$B$4,"",IF(NOT($AS122),"",ROUND($AU122+$AV122+$AW122+$AX122,1)))</f>
        <v/>
      </c>
      <c r="BA122" s="129" t="str">
        <f aca="false">IF($BL122&lt;&gt;Constants!$B$4,"",IF(NOT($AS122),"",IF(ISNUMBER($AF122),$AF122,0)))</f>
        <v/>
      </c>
      <c r="BB122" s="124" t="str">
        <f aca="false">IF($BL122&lt;&gt;Constants!$B$4,"",IF(NOT($BC122),"&lt;-",IF(NOT($AS122),"-&gt;",IF(OR($BI122&lt;$AY122,AND($BI122=$AY122,OR($BJ122&gt;$AZ122,AND($BJ122=$AZ122,OR($BH122&gt;$AX122,AND($BH122=$AX122,OR($BE122&gt;$AU122,AND($BE122=$AU122,OR($BF122&gt;$AV122,AND($BF122=$AV122,$BK122&gt;$BA122)))))))))),"-&gt;","&lt;-"))))</f>
        <v/>
      </c>
      <c r="BC122" s="123" t="str">
        <f aca="false">IF(ISBLANK($C122),"",COUNTA($P122:$U122)&gt;0)</f>
        <v/>
      </c>
      <c r="BD122" s="123" t="str">
        <f aca="false">IF(ISBLANK($C122),"",AND($BC122,OR(AND($AL122="",OR($AK122,NOT(ISBLANK($S122)))),$AM122="",$AN122="")))</f>
        <v/>
      </c>
      <c r="BE122" s="125" t="str">
        <f aca="false">IF($BL122&lt;&gt;Constants!$B$4,"",IF(NOT($BC122),"",ROUND((Constants!$B$12-$AB122)+(Constants!$B$13-$Z122)+(Constants!$B$14-$AA122),1)))</f>
        <v/>
      </c>
      <c r="BF122" s="127" t="str">
        <f aca="false">IF($BL122&lt;&gt;Constants!$B$4,"",IF(NOT($BC122),"",IF(NOT($AK122),0,Constants!$B$15*(INT(ROUND(MIN($AL122,$AP$9),6))-INT(ROUND(MAX(0,MIN($AL122,2*$AP$9)-$AP$9),6))))))</f>
        <v/>
      </c>
      <c r="BG122" s="127" t="str">
        <f aca="false">IF($BL122&lt;&gt;Constants!$B$4,"",IF(NOT($BC122),"",Constants!$B$16*$AM122))</f>
        <v/>
      </c>
      <c r="BH122" s="127" t="str">
        <f aca="false">IF($BL122&lt;&gt;Constants!$B$4,"",IF(NOT($BC122),"",Constants!$B$18*INT(ROUND($AN122,6))))</f>
        <v/>
      </c>
      <c r="BI122" s="123" t="str">
        <f aca="false">IF($BL122&lt;&gt;Constants!$B$4,"",IF(NOT($BC122),"",IF(NOT($X122),Constants!$B$11,IF(OR(NOT($AI122),NOT($AJ122),ROUND($AB122,1)&gt;Constants!$B$12,ROUND($Z122,1)&gt;Constants!$B$13,ROUND($AA122,1)&gt;Constants!$B$14),Constants!$B$10,Constants!$B$9))))</f>
        <v/>
      </c>
      <c r="BJ122" s="128" t="str">
        <f aca="false">IF($BL122&lt;&gt;Constants!$B$4,"",IF(NOT($BC122),"",ROUND($BE122+$BF122+$BG122+$BH122,1)))</f>
        <v/>
      </c>
      <c r="BK122" s="129" t="str">
        <f aca="false">IF($BL122&lt;&gt;Constants!$B$4,"",IF(NOT($BC122),"",IF(ISNUMBER($AL122),$AL122,0)))</f>
        <v/>
      </c>
      <c r="BL122" s="124" t="str">
        <f aca="false">IF(ISBLANK($C122),"",IF($AO122,Constants!$B$7,IF(COUNTA($E122:$V122)=0,Constants!$B$6,IF(NOT($Y122),Constants!$B$5,IF(NOT(OR($AS122,$BC122)),Constants!$B$5,IF(OR($AT122,$BD122,$AQ122,$AR122&lt;&gt;""),Constants!$B$8,Constants!$B$4))))))</f>
        <v/>
      </c>
      <c r="BM122" s="124" t="str">
        <f aca="false">IF(ISBLANK($C122),"",IF($BL122&lt;&gt;Constants!$B$4,$BL122,IF($BB122="-&gt;",$BI122,$AY122)))</f>
        <v/>
      </c>
      <c r="BN122" s="127" t="str">
        <f aca="false">IF($BL122&lt;&gt;Constants!$B$4,"",IF($BB122="-&gt;",$BJ122,$AZ122))</f>
        <v/>
      </c>
      <c r="BO122" s="127" t="str">
        <f aca="false">IF(ISBLANK($C122),"",IF($BL122&lt;&gt;Constants!$B$4,$BL122,$BN122))</f>
        <v/>
      </c>
      <c r="BP122" s="124" t="str">
        <f aca="false">IF(ISBLANK($C122),"",IF($BL122&lt;&gt;Constants!$B$4,$BL122,RANK($BO122,$BO$9:$BO$508,0)))</f>
        <v/>
      </c>
      <c r="BQ122" s="124" t="str">
        <f aca="false">IF(ISBLANK($C122),"",IF($BL122&lt;&gt;Constants!$B$4,$BL122,COUNTIFS($BM$9:$BM$508,"&lt;"&amp;$BM122)+COUNTIFS($BM$9:$BM$508,$BM122,$BP$9:$BP$508,"&lt;"&amp;$BP122)+1))</f>
        <v/>
      </c>
      <c r="BR122" s="127" t="str">
        <f aca="false">IF($BL122&lt;&gt;Constants!$B$4,"",IF($BB122="-&gt;",$BH122,$AX122))</f>
        <v/>
      </c>
      <c r="BS122" s="124" t="str">
        <f aca="false">IF(ISBLANK($C122),"",IF($BL122&lt;&gt;Constants!$B$4,$BL122,IF(ISNUMBER($BR122),RANK($BR122,$BR$9:$BR$508,0),COUNT($BR$9:$BR$508)+1)))</f>
        <v/>
      </c>
      <c r="BT122" s="127" t="str">
        <f aca="false">IF($BL122&lt;&gt;Constants!$B$4,"",IF($BB122="-&gt;",$BE122,$AU122))</f>
        <v/>
      </c>
      <c r="BU122" s="124" t="str">
        <f aca="false">IF(ISBLANK($C122),"",IF($BL122&lt;&gt;Constants!$B$4,$BL122,IF(ISNUMBER($BT122),RANK($BT122,$BT$9:$BT$508,0),COUNT($BT$9:$BT$508)+1)))</f>
        <v/>
      </c>
      <c r="BV122" s="127" t="str">
        <f aca="false">IF($BL122&lt;&gt;Constants!$B$4,"",IF($BB122="-&gt;",$BF122,$AV122))</f>
        <v/>
      </c>
      <c r="BW122" s="124" t="str">
        <f aca="false">IF(ISBLANK($C122),"",IF($BL122&lt;&gt;Constants!$B$4,$BL122,IF(ISNUMBER($BV122),RANK($BV122,$BV$9:$BV$508,0),COUNT($BV$9:$BV$508)+1)))</f>
        <v/>
      </c>
      <c r="BX122" s="127" t="str">
        <f aca="false">IF($BL122&lt;&gt;Constants!$B$4,"",IF($BB122="-&gt;",$BK122,$BA122))</f>
        <v/>
      </c>
      <c r="BY122" s="124" t="str">
        <f aca="false">IF(ISBLANK($C122),"",IF($BL122&lt;&gt;Constants!$B$4,$BL122,IF(ISNUMBER($BX122),RANK($BX122,$BX$9:$BX$508,0),COUNT($BX$9:$BX$508)+1)))</f>
        <v/>
      </c>
      <c r="BZ122" s="124" t="str">
        <f aca="false">IF(ISBLANK($C122),"",IF($BL122&lt;&gt;Constants!$B$4,$BL122,COUNTIFS($BM$9:$BM$508,"&lt;"&amp;$BM122)+COUNTIFS($BM$9:$BM$508,$BM122,$BP$9:$BP$508,"&lt;"&amp;$BP122)+COUNTIFS($BM$9:$BM$508,$BM122,$BP$9:$BP$508,$BP122,$BS$9:$BS$508,"&lt;"&amp;$BS122)+COUNTIFS($BM$9:$BM$508,$BM122,$BP$9:$BP$508,$BP122,$BS$9:$BS$508,$BS122,$BU$9:$BU$508,"&lt;"&amp;$BU122)+COUNTIFS($BM$9:$BM$508,$BM122,$BP$9:$BP$508,$BP122,$BS$9:$BS$508,$BS122,$BU$9:$BU$508,$BU122,$BW$9:$BW$508,"&lt;"&amp;$BW122)+COUNTIFS($BM$9:$BM$508,$BM122,$BP$9:$BP$508,$BP122,$BS$9:$BS$508,$BS122,$BU$9:$BU$508,$BU122,$BW$9:$BW$508,$BW122,$BY$9:$BY$508,"&lt;"&amp;$BY122)+1))</f>
        <v/>
      </c>
      <c r="CA122" s="124" t="str">
        <f aca="false">IF(ISBLANK($C122),"",IF($BL122&lt;&gt;Constants!$B$4,$BL122,$BQ122-$BZ122))</f>
        <v/>
      </c>
      <c r="CB122" s="130"/>
      <c r="CC122" s="131" t="str">
        <f aca="false">IF(ISBLANK($C122),"",IF($BL122=Constants!$B$8,$AR122,""))</f>
        <v/>
      </c>
      <c r="CD122" s="131" t="str">
        <f aca="false">IF(ISBLANK($C122),"",IF($BL122&lt;&gt;Constants!$B$4,"",IF($BB122="-&gt;",2,1)))</f>
        <v/>
      </c>
      <c r="CE122" s="132" t="str">
        <f aca="false">IF(ISBLANK($C122),"",IF($BL122&lt;&gt;Constants!$B$4,"",IF($BB122="-&gt;",$BE122,$AU122)))</f>
        <v/>
      </c>
      <c r="CF122" s="132" t="str">
        <f aca="false">IF(ISBLANK($C122),"",IF($BL122&lt;&gt;Constants!$B$4,"",IF($BB122="-&gt;",$BF122,$AV122)))</f>
        <v/>
      </c>
      <c r="CG122" s="132" t="str">
        <f aca="false">IF(ISBLANK($C122),"",IF($BL122&lt;&gt;Constants!$B$4,"",IF($BB122="-&gt;",$BG122,$AW122)))</f>
        <v/>
      </c>
      <c r="CH122" s="132" t="str">
        <f aca="false">IF(ISBLANK($C122),"",IF($BL122&lt;&gt;Constants!$B$4,"",IF($BB122="-&gt;",$BH122,$AX122)))</f>
        <v/>
      </c>
      <c r="CI122" s="133" t="str">
        <f aca="false">IF(ISBLANK($C122),"",$BO122)</f>
        <v/>
      </c>
      <c r="CJ122" s="134" t="str">
        <f aca="false">IF(ISBLANK($C122),"",$BM122)</f>
        <v/>
      </c>
      <c r="CK122" s="135" t="str">
        <f aca="false">IF(ISBLANK($C122),"",$CA122)</f>
        <v/>
      </c>
      <c r="CL122" s="135" t="str">
        <f aca="false">IF(ISBLANK($C122),"",$BZ122)</f>
        <v/>
      </c>
      <c r="CM122" s="136" t="str">
        <f aca="false">IF(ISBLANK($C122),"",IF($CL122=Constants!$B$7,COUNTA($C$9:$C$508)+2,IF($CL122=Constants!$B$6,COUNTA($C$9:$C$508)+1,IF($CL122=Constants!$B$5,COUNTA($C$9:$C$508),$CL122))))</f>
        <v/>
      </c>
      <c r="CN122" s="8"/>
      <c r="CO122" s="137" t="n">
        <f aca="false">IF(OR(ISNUMBER($CL122),$CL122=Constants!$B$7,$CL122=Constants!$B$5,$CL122=Constants!$B$6),1,0)</f>
        <v>0</v>
      </c>
      <c r="CP122" s="137" t="n">
        <v>114</v>
      </c>
      <c r="CQ122" s="137" t="str">
        <f aca="false">IF(ISBLANK($C122),"",IF(ISNUMBER($CM122),$CM122+ROW($B122)/1000,""))</f>
        <v/>
      </c>
      <c r="CR122" s="137" t="str">
        <f aca="false">IF(ISNUMBER($CQ122),RANK($CQ122,$CQ$9:$CQ$508,1),"")</f>
        <v/>
      </c>
      <c r="CS122" s="137" t="str">
        <f aca="false">IF(ISBLANK($C122),"",$B122)</f>
        <v/>
      </c>
      <c r="CT122" s="137" t="str">
        <f aca="false">IF(ISBLANK($C122),"",$C122)</f>
        <v/>
      </c>
      <c r="CU122" s="137" t="str">
        <f aca="false">IF(ISBLANK($C122),"",$D122)</f>
        <v/>
      </c>
      <c r="CV122" s="138" t="str">
        <f aca="false">$CJ122</f>
        <v/>
      </c>
      <c r="CW122" s="139" t="str">
        <f aca="false">$CI122</f>
        <v/>
      </c>
      <c r="CX122" s="137" t="str">
        <f aca="false">IF(ISBLANK($C122),"",$CL122)</f>
        <v/>
      </c>
      <c r="CY122" s="140" t="str">
        <f aca="false">IF($CP122&gt;$CO$8,"",VLOOKUP($CP122,$CR$9:$CX$508,7,FALSE()))</f>
        <v/>
      </c>
      <c r="CZ122" s="141" t="str">
        <f aca="false">IF($CP122&gt;$CO$8,"",VLOOKUP($CP122,$CR$9:$CX$508,2,FALSE()))</f>
        <v/>
      </c>
      <c r="DA122" s="141" t="str">
        <f aca="false">IF($CP122&gt;$CO$8,"",VLOOKUP($CP122,$CR$9:$CX$508,3,FALSE()))</f>
        <v/>
      </c>
      <c r="DB122" s="141" t="str">
        <f aca="false">IF($CP122&gt;$CO$8,"",VLOOKUP($CP122,$CR$9:$CX$508,4,FALSE()))</f>
        <v/>
      </c>
      <c r="DC122" s="141" t="str">
        <f aca="false">IF($CP122&gt;$CO$8,"",VLOOKUP($CP122,$CR$9:$CX$508,5,FALSE()))</f>
        <v/>
      </c>
      <c r="DD122" s="142" t="str">
        <f aca="false">IF($CP122&gt;$CO$8,"",VLOOKUP($CP122,$CR$9:$CX$508,6,FALSE()))</f>
        <v/>
      </c>
      <c r="DE122" s="70"/>
    </row>
    <row r="123" customFormat="false" ht="15.75" hidden="false" customHeight="false" outlineLevel="0" collapsed="false">
      <c r="A123" s="8"/>
      <c r="B123" s="72"/>
      <c r="C123" s="73"/>
      <c r="D123" s="155"/>
      <c r="E123" s="162"/>
      <c r="F123" s="157"/>
      <c r="G123" s="77"/>
      <c r="H123" s="77"/>
      <c r="I123" s="77"/>
      <c r="J123" s="163"/>
      <c r="K123" s="161"/>
      <c r="L123" s="161"/>
      <c r="M123" s="80"/>
      <c r="N123" s="161"/>
      <c r="O123" s="160"/>
      <c r="P123" s="161"/>
      <c r="Q123" s="161"/>
      <c r="R123" s="161"/>
      <c r="S123" s="77"/>
      <c r="T123" s="161"/>
      <c r="U123" s="160"/>
      <c r="V123" s="161"/>
      <c r="W123" s="85"/>
      <c r="X123" s="86" t="str">
        <f aca="false">IF(ISBLANK($C123),"",IF($E123=Constants!$B$2,TRUE(),IF($E123=Constants!$B$3,FALSE(),TRUE())))</f>
        <v/>
      </c>
      <c r="Y123" s="86" t="str">
        <f aca="false">IF(ISBLANK($C123),"",IF($F123=Constants!$B$2,TRUE(),IF($F123=Constants!$B$3,FALSE(),TRUE())))</f>
        <v/>
      </c>
      <c r="Z123" s="87" t="str">
        <f aca="false">IF(ISBLANK($C123),"",IF(ISNUMBER($G123),IF($G123&gt;=0,$G123,""),""))</f>
        <v/>
      </c>
      <c r="AA123" s="87" t="str">
        <f aca="false">IF(ISBLANK($C123),"",IF(ISNUMBER($H123),IF($H123&gt;=0,$H123,""),""))</f>
        <v/>
      </c>
      <c r="AB123" s="87" t="str">
        <f aca="false">IF(ISBLANK($C123),"",IF(ISNUMBER($I123),IF($I123&gt;=0,$I123,""),""))</f>
        <v/>
      </c>
      <c r="AC123" s="86" t="str">
        <f aca="false">IF(ISBLANK($C123),"",IF($J123=Constants!$B$2,TRUE(),IF($J123=Constants!$B$3,FALSE(),TRUE())))</f>
        <v/>
      </c>
      <c r="AD123" s="86" t="str">
        <f aca="false">IF(ISBLANK($C123),"",IF($K123=Constants!$B$2,TRUE(),IF($K123=Constants!$B$3,FALSE(),TRUE())))</f>
        <v/>
      </c>
      <c r="AE123" s="86" t="str">
        <f aca="false">IF(ISBLANK($C123),"",IF($L123=Constants!$B$2,TRUE(),IF($L123=Constants!$B$3,FALSE(),TRUE())))</f>
        <v/>
      </c>
      <c r="AF123" s="88" t="str">
        <f aca="false">IF(ISBLANK($C123),"",IF(ISNUMBER($M123),IF($M123&gt;=0,$M123,""),""))</f>
        <v/>
      </c>
      <c r="AG123" s="86" t="str">
        <f aca="false">IF(ISBLANK($C123),"",IF(ISBLANK($N123),0,IF(ISNUMBER($N123),IF(AND($N123&gt;=0,$N123&lt;=Constants!$B$17,$N123=INT($N123)),$N123,""),"")))</f>
        <v/>
      </c>
      <c r="AH123" s="87" t="str">
        <f aca="false">IF(ISBLANK($C123),"",IF(ISBLANK($O123),0,IF(ISNUMBER($O123),IF($O123&gt;=0,$O123,""),"")))</f>
        <v/>
      </c>
      <c r="AI123" s="86" t="str">
        <f aca="false">IF(ISBLANK($C123),"",IF($P123=Constants!$B$2,TRUE(),IF($P123=Constants!$B$3,FALSE(),TRUE())))</f>
        <v/>
      </c>
      <c r="AJ123" s="86" t="str">
        <f aca="false">IF(ISBLANK($C123),"",IF($Q123=Constants!$B$2,TRUE(),IF($Q123=Constants!$B$3,FALSE(),TRUE())))</f>
        <v/>
      </c>
      <c r="AK123" s="86" t="str">
        <f aca="false">IF(ISBLANK($C123),"",IF($R123=Constants!$B$2,TRUE(),IF($R123=Constants!$B$3,FALSE(),TRUE())))</f>
        <v/>
      </c>
      <c r="AL123" s="88" t="str">
        <f aca="false">IF(ISBLANK($C123),"",IF(ISNUMBER($S123),IF($S123&gt;=0,$S123,""),""))</f>
        <v/>
      </c>
      <c r="AM123" s="86" t="str">
        <f aca="false">IF(ISBLANK($C123),"",IF(ISBLANK($T123),0,IF(ISNUMBER($T123),IF(AND($T123&gt;=0,$T123&lt;=Constants!$B$17,$T123=INT($T123)),$T123,""),"")))</f>
        <v/>
      </c>
      <c r="AN123" s="87" t="str">
        <f aca="false">IF(ISBLANK($C123),"",IF(ISBLANK($U123),0,IF(ISNUMBER($U123),IF($U123&gt;=0,$U123,""),"")))</f>
        <v/>
      </c>
      <c r="AO123" s="86" t="str">
        <f aca="false">IF(ISBLANK($C123),"",IF($V123=Constants!$B$2,TRUE(),IF($V123=Constants!$B$3,FALSE(),FALSE())))</f>
        <v/>
      </c>
      <c r="AP123" s="86"/>
      <c r="AQ123" s="85" t="str">
        <f aca="false">IF(ISBLANK($C123),"",AND($Y123,OR($AS123,$BC123),OR($Z123="",$AA123="",$AB123="")))</f>
        <v/>
      </c>
      <c r="AR123" s="85" t="str">
        <f aca="false">IF(ISBLANK($C123),"",IF(OR(NOT($Y123),NOT(OR($AS123,$BC123))),"",IF(ISBLANK($D$7),$AR$5,IF($AP$9="",$AR$6,""))))</f>
        <v/>
      </c>
      <c r="AS123" s="85" t="str">
        <f aca="false">IF(ISBLANK($C123),"",COUNTA($J123:$O123)&gt;0)</f>
        <v/>
      </c>
      <c r="AT123" s="85" t="str">
        <f aca="false">IF(ISBLANK($C123),"",AND($AS123,OR(AND($AF123="",OR($AE123,NOT(ISBLANK($M123)))),$AG123="",$AH123="")))</f>
        <v/>
      </c>
      <c r="AU123" s="87" t="str">
        <f aca="false">IF($BL123&lt;&gt;Constants!$B$4,"",IF(NOT($AS123),"",ROUND((Constants!$B$12-$AB123)+(Constants!$B$13-$Z123)+(Constants!$B$14-$AA123),1)))</f>
        <v/>
      </c>
      <c r="AV123" s="90" t="str">
        <f aca="false">IF($BL123&lt;&gt;Constants!$B$4,"",IF(NOT($AS123),"",IF(NOT($AE123),0,Constants!$B$15*(INT(ROUND(MIN($AF123,$AP$9),6))-INT(ROUND(MAX(0,MIN($AF123,2*$AP$9)-$AP$9),6))))))</f>
        <v/>
      </c>
      <c r="AW123" s="90" t="str">
        <f aca="false">IF($BL123&lt;&gt;Constants!$B$4,"",IF(NOT($AS123),"",Constants!$B$16*$AG123))</f>
        <v/>
      </c>
      <c r="AX123" s="90" t="str">
        <f aca="false">IF($BL123&lt;&gt;Constants!$B$4,"",IF(NOT($AS123),"",Constants!$B$18*INT(ROUND($AH123,6))))</f>
        <v/>
      </c>
      <c r="AY123" s="85" t="str">
        <f aca="false">IF($BL123&lt;&gt;Constants!$B$4,"",IF(NOT($AS123),"",IF(NOT($X123),Constants!$B$11,IF(OR(NOT($AC123),NOT($AD123),ROUND($AB123,1)&gt;Constants!$B$12,ROUND($Z123,1)&gt;Constants!$B$13,ROUND($AA123,1)&gt;Constants!$B$14),Constants!$B$10,Constants!$B$9))))</f>
        <v/>
      </c>
      <c r="AZ123" s="91" t="str">
        <f aca="false">IF($BL123&lt;&gt;Constants!$B$4,"",IF(NOT($AS123),"",ROUND($AU123+$AV123+$AW123+$AX123,1)))</f>
        <v/>
      </c>
      <c r="BA123" s="92" t="str">
        <f aca="false">IF($BL123&lt;&gt;Constants!$B$4,"",IF(NOT($AS123),"",IF(ISNUMBER($AF123),$AF123,0)))</f>
        <v/>
      </c>
      <c r="BB123" s="86" t="str">
        <f aca="false">IF($BL123&lt;&gt;Constants!$B$4,"",IF(NOT($BC123),"&lt;-",IF(NOT($AS123),"-&gt;",IF(OR($BI123&lt;$AY123,AND($BI123=$AY123,OR($BJ123&gt;$AZ123,AND($BJ123=$AZ123,OR($BH123&gt;$AX123,AND($BH123=$AX123,OR($BE123&gt;$AU123,AND($BE123=$AU123,OR($BF123&gt;$AV123,AND($BF123=$AV123,$BK123&gt;$BA123)))))))))),"-&gt;","&lt;-"))))</f>
        <v/>
      </c>
      <c r="BC123" s="85" t="str">
        <f aca="false">IF(ISBLANK($C123),"",COUNTA($P123:$U123)&gt;0)</f>
        <v/>
      </c>
      <c r="BD123" s="85" t="str">
        <f aca="false">IF(ISBLANK($C123),"",AND($BC123,OR(AND($AL123="",OR($AK123,NOT(ISBLANK($S123)))),$AM123="",$AN123="")))</f>
        <v/>
      </c>
      <c r="BE123" s="87" t="str">
        <f aca="false">IF($BL123&lt;&gt;Constants!$B$4,"",IF(NOT($BC123),"",ROUND((Constants!$B$12-$AB123)+(Constants!$B$13-$Z123)+(Constants!$B$14-$AA123),1)))</f>
        <v/>
      </c>
      <c r="BF123" s="90" t="str">
        <f aca="false">IF($BL123&lt;&gt;Constants!$B$4,"",IF(NOT($BC123),"",IF(NOT($AK123),0,Constants!$B$15*(INT(ROUND(MIN($AL123,$AP$9),6))-INT(ROUND(MAX(0,MIN($AL123,2*$AP$9)-$AP$9),6))))))</f>
        <v/>
      </c>
      <c r="BG123" s="90" t="str">
        <f aca="false">IF($BL123&lt;&gt;Constants!$B$4,"",IF(NOT($BC123),"",Constants!$B$16*$AM123))</f>
        <v/>
      </c>
      <c r="BH123" s="90" t="str">
        <f aca="false">IF($BL123&lt;&gt;Constants!$B$4,"",IF(NOT($BC123),"",Constants!$B$18*INT(ROUND($AN123,6))))</f>
        <v/>
      </c>
      <c r="BI123" s="85" t="str">
        <f aca="false">IF($BL123&lt;&gt;Constants!$B$4,"",IF(NOT($BC123),"",IF(NOT($X123),Constants!$B$11,IF(OR(NOT($AI123),NOT($AJ123),ROUND($AB123,1)&gt;Constants!$B$12,ROUND($Z123,1)&gt;Constants!$B$13,ROUND($AA123,1)&gt;Constants!$B$14),Constants!$B$10,Constants!$B$9))))</f>
        <v/>
      </c>
      <c r="BJ123" s="91" t="str">
        <f aca="false">IF($BL123&lt;&gt;Constants!$B$4,"",IF(NOT($BC123),"",ROUND($BE123+$BF123+$BG123+$BH123,1)))</f>
        <v/>
      </c>
      <c r="BK123" s="92" t="str">
        <f aca="false">IF($BL123&lt;&gt;Constants!$B$4,"",IF(NOT($BC123),"",IF(ISNUMBER($AL123),$AL123,0)))</f>
        <v/>
      </c>
      <c r="BL123" s="86" t="str">
        <f aca="false">IF(ISBLANK($C123),"",IF($AO123,Constants!$B$7,IF(COUNTA($E123:$V123)=0,Constants!$B$6,IF(NOT($Y123),Constants!$B$5,IF(NOT(OR($AS123,$BC123)),Constants!$B$5,IF(OR($AT123,$BD123,$AQ123,$AR123&lt;&gt;""),Constants!$B$8,Constants!$B$4))))))</f>
        <v/>
      </c>
      <c r="BM123" s="86" t="str">
        <f aca="false">IF(ISBLANK($C123),"",IF($BL123&lt;&gt;Constants!$B$4,$BL123,IF($BB123="-&gt;",$BI123,$AY123)))</f>
        <v/>
      </c>
      <c r="BN123" s="90" t="str">
        <f aca="false">IF($BL123&lt;&gt;Constants!$B$4,"",IF($BB123="-&gt;",$BJ123,$AZ123))</f>
        <v/>
      </c>
      <c r="BO123" s="90" t="str">
        <f aca="false">IF(ISBLANK($C123),"",IF($BL123&lt;&gt;Constants!$B$4,$BL123,$BN123))</f>
        <v/>
      </c>
      <c r="BP123" s="86" t="str">
        <f aca="false">IF(ISBLANK($C123),"",IF($BL123&lt;&gt;Constants!$B$4,$BL123,RANK($BO123,$BO$9:$BO$508,0)))</f>
        <v/>
      </c>
      <c r="BQ123" s="86" t="str">
        <f aca="false">IF(ISBLANK($C123),"",IF($BL123&lt;&gt;Constants!$B$4,$BL123,COUNTIFS($BM$9:$BM$508,"&lt;"&amp;$BM123)+COUNTIFS($BM$9:$BM$508,$BM123,$BP$9:$BP$508,"&lt;"&amp;$BP123)+1))</f>
        <v/>
      </c>
      <c r="BR123" s="90" t="str">
        <f aca="false">IF($BL123&lt;&gt;Constants!$B$4,"",IF($BB123="-&gt;",$BH123,$AX123))</f>
        <v/>
      </c>
      <c r="BS123" s="86" t="str">
        <f aca="false">IF(ISBLANK($C123),"",IF($BL123&lt;&gt;Constants!$B$4,$BL123,IF(ISNUMBER($BR123),RANK($BR123,$BR$9:$BR$508,0),COUNT($BR$9:$BR$508)+1)))</f>
        <v/>
      </c>
      <c r="BT123" s="90" t="str">
        <f aca="false">IF($BL123&lt;&gt;Constants!$B$4,"",IF($BB123="-&gt;",$BE123,$AU123))</f>
        <v/>
      </c>
      <c r="BU123" s="86" t="str">
        <f aca="false">IF(ISBLANK($C123),"",IF($BL123&lt;&gt;Constants!$B$4,$BL123,IF(ISNUMBER($BT123),RANK($BT123,$BT$9:$BT$508,0),COUNT($BT$9:$BT$508)+1)))</f>
        <v/>
      </c>
      <c r="BV123" s="90" t="str">
        <f aca="false">IF($BL123&lt;&gt;Constants!$B$4,"",IF($BB123="-&gt;",$BF123,$AV123))</f>
        <v/>
      </c>
      <c r="BW123" s="86" t="str">
        <f aca="false">IF(ISBLANK($C123),"",IF($BL123&lt;&gt;Constants!$B$4,$BL123,IF(ISNUMBER($BV123),RANK($BV123,$BV$9:$BV$508,0),COUNT($BV$9:$BV$508)+1)))</f>
        <v/>
      </c>
      <c r="BX123" s="90" t="str">
        <f aca="false">IF($BL123&lt;&gt;Constants!$B$4,"",IF($BB123="-&gt;",$BK123,$BA123))</f>
        <v/>
      </c>
      <c r="BY123" s="86" t="str">
        <f aca="false">IF(ISBLANK($C123),"",IF($BL123&lt;&gt;Constants!$B$4,$BL123,IF(ISNUMBER($BX123),RANK($BX123,$BX$9:$BX$508,0),COUNT($BX$9:$BX$508)+1)))</f>
        <v/>
      </c>
      <c r="BZ123" s="86" t="str">
        <f aca="false">IF(ISBLANK($C123),"",IF($BL123&lt;&gt;Constants!$B$4,$BL123,COUNTIFS($BM$9:$BM$508,"&lt;"&amp;$BM123)+COUNTIFS($BM$9:$BM$508,$BM123,$BP$9:$BP$508,"&lt;"&amp;$BP123)+COUNTIFS($BM$9:$BM$508,$BM123,$BP$9:$BP$508,$BP123,$BS$9:$BS$508,"&lt;"&amp;$BS123)+COUNTIFS($BM$9:$BM$508,$BM123,$BP$9:$BP$508,$BP123,$BS$9:$BS$508,$BS123,$BU$9:$BU$508,"&lt;"&amp;$BU123)+COUNTIFS($BM$9:$BM$508,$BM123,$BP$9:$BP$508,$BP123,$BS$9:$BS$508,$BS123,$BU$9:$BU$508,$BU123,$BW$9:$BW$508,"&lt;"&amp;$BW123)+COUNTIFS($BM$9:$BM$508,$BM123,$BP$9:$BP$508,$BP123,$BS$9:$BS$508,$BS123,$BU$9:$BU$508,$BU123,$BW$9:$BW$508,$BW123,$BY$9:$BY$508,"&lt;"&amp;$BY123)+1))</f>
        <v/>
      </c>
      <c r="CA123" s="86" t="str">
        <f aca="false">IF(ISBLANK($C123),"",IF($BL123&lt;&gt;Constants!$B$4,$BL123,$BQ123-$BZ123))</f>
        <v/>
      </c>
      <c r="CB123" s="93"/>
      <c r="CC123" s="94" t="str">
        <f aca="false">IF(ISBLANK($C123),"",IF($BL123=Constants!$B$8,$AR123,""))</f>
        <v/>
      </c>
      <c r="CD123" s="94" t="str">
        <f aca="false">IF(ISBLANK($C123),"",IF($BL123&lt;&gt;Constants!$B$4,"",IF($BB123="-&gt;",2,1)))</f>
        <v/>
      </c>
      <c r="CE123" s="95" t="str">
        <f aca="false">IF(ISBLANK($C123),"",IF($BL123&lt;&gt;Constants!$B$4,"",IF($BB123="-&gt;",$BE123,$AU123)))</f>
        <v/>
      </c>
      <c r="CF123" s="95" t="str">
        <f aca="false">IF(ISBLANK($C123),"",IF($BL123&lt;&gt;Constants!$B$4,"",IF($BB123="-&gt;",$BF123,$AV123)))</f>
        <v/>
      </c>
      <c r="CG123" s="95" t="str">
        <f aca="false">IF(ISBLANK($C123),"",IF($BL123&lt;&gt;Constants!$B$4,"",IF($BB123="-&gt;",$BG123,$AW123)))</f>
        <v/>
      </c>
      <c r="CH123" s="95" t="str">
        <f aca="false">IF(ISBLANK($C123),"",IF($BL123&lt;&gt;Constants!$B$4,"",IF($BB123="-&gt;",$BH123,$AX123)))</f>
        <v/>
      </c>
      <c r="CI123" s="96" t="str">
        <f aca="false">IF(ISBLANK($C123),"",$BO123)</f>
        <v/>
      </c>
      <c r="CJ123" s="97" t="str">
        <f aca="false">IF(ISBLANK($C123),"",$BM123)</f>
        <v/>
      </c>
      <c r="CK123" s="98" t="str">
        <f aca="false">IF(ISBLANK($C123),"",$CA123)</f>
        <v/>
      </c>
      <c r="CL123" s="98" t="str">
        <f aca="false">IF(ISBLANK($C123),"",$BZ123)</f>
        <v/>
      </c>
      <c r="CM123" s="99" t="str">
        <f aca="false">IF(ISBLANK($C123),"",IF($CL123=Constants!$B$7,COUNTA($C$9:$C$508)+2,IF($CL123=Constants!$B$6,COUNTA($C$9:$C$508)+1,IF($CL123=Constants!$B$5,COUNTA($C$9:$C$508),$CL123))))</f>
        <v/>
      </c>
      <c r="CN123" s="8"/>
      <c r="CO123" s="100" t="n">
        <f aca="false">IF(OR(ISNUMBER($CL123),$CL123=Constants!$B$7,$CL123=Constants!$B$5,$CL123=Constants!$B$6),1,0)</f>
        <v>0</v>
      </c>
      <c r="CP123" s="100" t="n">
        <v>115</v>
      </c>
      <c r="CQ123" s="100" t="str">
        <f aca="false">IF(ISBLANK($C123),"",IF(ISNUMBER($CM123),$CM123+ROW($B123)/1000,""))</f>
        <v/>
      </c>
      <c r="CR123" s="100" t="str">
        <f aca="false">IF(ISNUMBER($CQ123),RANK($CQ123,$CQ$9:$CQ$508,1),"")</f>
        <v/>
      </c>
      <c r="CS123" s="100" t="str">
        <f aca="false">IF(ISBLANK($C123),"",$B123)</f>
        <v/>
      </c>
      <c r="CT123" s="100" t="str">
        <f aca="false">IF(ISBLANK($C123),"",$C123)</f>
        <v/>
      </c>
      <c r="CU123" s="100" t="str">
        <f aca="false">IF(ISBLANK($C123),"",$D123)</f>
        <v/>
      </c>
      <c r="CV123" s="101" t="str">
        <f aca="false">$CJ123</f>
        <v/>
      </c>
      <c r="CW123" s="102" t="str">
        <f aca="false">$CI123</f>
        <v/>
      </c>
      <c r="CX123" s="100" t="str">
        <f aca="false">IF(ISBLANK($C123),"",$CL123)</f>
        <v/>
      </c>
      <c r="CY123" s="103" t="str">
        <f aca="false">IF($CP123&gt;$CO$8,"",VLOOKUP($CP123,$CR$9:$CX$508,7,FALSE()))</f>
        <v/>
      </c>
      <c r="CZ123" s="104" t="str">
        <f aca="false">IF($CP123&gt;$CO$8,"",VLOOKUP($CP123,$CR$9:$CX$508,2,FALSE()))</f>
        <v/>
      </c>
      <c r="DA123" s="104" t="str">
        <f aca="false">IF($CP123&gt;$CO$8,"",VLOOKUP($CP123,$CR$9:$CX$508,3,FALSE()))</f>
        <v/>
      </c>
      <c r="DB123" s="104" t="str">
        <f aca="false">IF($CP123&gt;$CO$8,"",VLOOKUP($CP123,$CR$9:$CX$508,4,FALSE()))</f>
        <v/>
      </c>
      <c r="DC123" s="104" t="str">
        <f aca="false">IF($CP123&gt;$CO$8,"",VLOOKUP($CP123,$CR$9:$CX$508,5,FALSE()))</f>
        <v/>
      </c>
      <c r="DD123" s="105" t="str">
        <f aca="false">IF($CP123&gt;$CO$8,"",VLOOKUP($CP123,$CR$9:$CX$508,6,FALSE()))</f>
        <v/>
      </c>
      <c r="DE123" s="70"/>
    </row>
    <row r="124" customFormat="false" ht="15.75" hidden="false" customHeight="false" outlineLevel="0" collapsed="false">
      <c r="A124" s="8"/>
      <c r="B124" s="72"/>
      <c r="C124" s="73"/>
      <c r="D124" s="155"/>
      <c r="E124" s="162"/>
      <c r="F124" s="157"/>
      <c r="G124" s="77"/>
      <c r="H124" s="77"/>
      <c r="I124" s="77"/>
      <c r="J124" s="163"/>
      <c r="K124" s="161"/>
      <c r="L124" s="161"/>
      <c r="M124" s="80"/>
      <c r="N124" s="161"/>
      <c r="O124" s="160"/>
      <c r="P124" s="161"/>
      <c r="Q124" s="161"/>
      <c r="R124" s="161"/>
      <c r="S124" s="77"/>
      <c r="T124" s="161"/>
      <c r="U124" s="160"/>
      <c r="V124" s="161"/>
      <c r="W124" s="85"/>
      <c r="X124" s="86" t="str">
        <f aca="false">IF(ISBLANK($C124),"",IF($E124=Constants!$B$2,TRUE(),IF($E124=Constants!$B$3,FALSE(),TRUE())))</f>
        <v/>
      </c>
      <c r="Y124" s="86" t="str">
        <f aca="false">IF(ISBLANK($C124),"",IF($F124=Constants!$B$2,TRUE(),IF($F124=Constants!$B$3,FALSE(),TRUE())))</f>
        <v/>
      </c>
      <c r="Z124" s="87" t="str">
        <f aca="false">IF(ISBLANK($C124),"",IF(ISNUMBER($G124),IF($G124&gt;=0,$G124,""),""))</f>
        <v/>
      </c>
      <c r="AA124" s="87" t="str">
        <f aca="false">IF(ISBLANK($C124),"",IF(ISNUMBER($H124),IF($H124&gt;=0,$H124,""),""))</f>
        <v/>
      </c>
      <c r="AB124" s="87" t="str">
        <f aca="false">IF(ISBLANK($C124),"",IF(ISNUMBER($I124),IF($I124&gt;=0,$I124,""),""))</f>
        <v/>
      </c>
      <c r="AC124" s="86" t="str">
        <f aca="false">IF(ISBLANK($C124),"",IF($J124=Constants!$B$2,TRUE(),IF($J124=Constants!$B$3,FALSE(),TRUE())))</f>
        <v/>
      </c>
      <c r="AD124" s="86" t="str">
        <f aca="false">IF(ISBLANK($C124),"",IF($K124=Constants!$B$2,TRUE(),IF($K124=Constants!$B$3,FALSE(),TRUE())))</f>
        <v/>
      </c>
      <c r="AE124" s="86" t="str">
        <f aca="false">IF(ISBLANK($C124),"",IF($L124=Constants!$B$2,TRUE(),IF($L124=Constants!$B$3,FALSE(),TRUE())))</f>
        <v/>
      </c>
      <c r="AF124" s="88" t="str">
        <f aca="false">IF(ISBLANK($C124),"",IF(ISNUMBER($M124),IF($M124&gt;=0,$M124,""),""))</f>
        <v/>
      </c>
      <c r="AG124" s="86" t="str">
        <f aca="false">IF(ISBLANK($C124),"",IF(ISBLANK($N124),0,IF(ISNUMBER($N124),IF(AND($N124&gt;=0,$N124&lt;=Constants!$B$17,$N124=INT($N124)),$N124,""),"")))</f>
        <v/>
      </c>
      <c r="AH124" s="87" t="str">
        <f aca="false">IF(ISBLANK($C124),"",IF(ISBLANK($O124),0,IF(ISNUMBER($O124),IF($O124&gt;=0,$O124,""),"")))</f>
        <v/>
      </c>
      <c r="AI124" s="86" t="str">
        <f aca="false">IF(ISBLANK($C124),"",IF($P124=Constants!$B$2,TRUE(),IF($P124=Constants!$B$3,FALSE(),TRUE())))</f>
        <v/>
      </c>
      <c r="AJ124" s="86" t="str">
        <f aca="false">IF(ISBLANK($C124),"",IF($Q124=Constants!$B$2,TRUE(),IF($Q124=Constants!$B$3,FALSE(),TRUE())))</f>
        <v/>
      </c>
      <c r="AK124" s="86" t="str">
        <f aca="false">IF(ISBLANK($C124),"",IF($R124=Constants!$B$2,TRUE(),IF($R124=Constants!$B$3,FALSE(),TRUE())))</f>
        <v/>
      </c>
      <c r="AL124" s="88" t="str">
        <f aca="false">IF(ISBLANK($C124),"",IF(ISNUMBER($S124),IF($S124&gt;=0,$S124,""),""))</f>
        <v/>
      </c>
      <c r="AM124" s="86" t="str">
        <f aca="false">IF(ISBLANK($C124),"",IF(ISBLANK($T124),0,IF(ISNUMBER($T124),IF(AND($T124&gt;=0,$T124&lt;=Constants!$B$17,$T124=INT($T124)),$T124,""),"")))</f>
        <v/>
      </c>
      <c r="AN124" s="87" t="str">
        <f aca="false">IF(ISBLANK($C124),"",IF(ISBLANK($U124),0,IF(ISNUMBER($U124),IF($U124&gt;=0,$U124,""),"")))</f>
        <v/>
      </c>
      <c r="AO124" s="86" t="str">
        <f aca="false">IF(ISBLANK($C124),"",IF($V124=Constants!$B$2,TRUE(),IF($V124=Constants!$B$3,FALSE(),FALSE())))</f>
        <v/>
      </c>
      <c r="AP124" s="86"/>
      <c r="AQ124" s="85" t="str">
        <f aca="false">IF(ISBLANK($C124),"",AND($Y124,OR($AS124,$BC124),OR($Z124="",$AA124="",$AB124="")))</f>
        <v/>
      </c>
      <c r="AR124" s="85" t="str">
        <f aca="false">IF(ISBLANK($C124),"",IF(OR(NOT($Y124),NOT(OR($AS124,$BC124))),"",IF(ISBLANK($D$7),$AR$5,IF($AP$9="",$AR$6,""))))</f>
        <v/>
      </c>
      <c r="AS124" s="85" t="str">
        <f aca="false">IF(ISBLANK($C124),"",COUNTA($J124:$O124)&gt;0)</f>
        <v/>
      </c>
      <c r="AT124" s="85" t="str">
        <f aca="false">IF(ISBLANK($C124),"",AND($AS124,OR(AND($AF124="",OR($AE124,NOT(ISBLANK($M124)))),$AG124="",$AH124="")))</f>
        <v/>
      </c>
      <c r="AU124" s="87" t="str">
        <f aca="false">IF($BL124&lt;&gt;Constants!$B$4,"",IF(NOT($AS124),"",ROUND((Constants!$B$12-$AB124)+(Constants!$B$13-$Z124)+(Constants!$B$14-$AA124),1)))</f>
        <v/>
      </c>
      <c r="AV124" s="90" t="str">
        <f aca="false">IF($BL124&lt;&gt;Constants!$B$4,"",IF(NOT($AS124),"",IF(NOT($AE124),0,Constants!$B$15*(INT(ROUND(MIN($AF124,$AP$9),6))-INT(ROUND(MAX(0,MIN($AF124,2*$AP$9)-$AP$9),6))))))</f>
        <v/>
      </c>
      <c r="AW124" s="90" t="str">
        <f aca="false">IF($BL124&lt;&gt;Constants!$B$4,"",IF(NOT($AS124),"",Constants!$B$16*$AG124))</f>
        <v/>
      </c>
      <c r="AX124" s="90" t="str">
        <f aca="false">IF($BL124&lt;&gt;Constants!$B$4,"",IF(NOT($AS124),"",Constants!$B$18*INT(ROUND($AH124,6))))</f>
        <v/>
      </c>
      <c r="AY124" s="85" t="str">
        <f aca="false">IF($BL124&lt;&gt;Constants!$B$4,"",IF(NOT($AS124),"",IF(NOT($X124),Constants!$B$11,IF(OR(NOT($AC124),NOT($AD124),ROUND($AB124,1)&gt;Constants!$B$12,ROUND($Z124,1)&gt;Constants!$B$13,ROUND($AA124,1)&gt;Constants!$B$14),Constants!$B$10,Constants!$B$9))))</f>
        <v/>
      </c>
      <c r="AZ124" s="91" t="str">
        <f aca="false">IF($BL124&lt;&gt;Constants!$B$4,"",IF(NOT($AS124),"",ROUND($AU124+$AV124+$AW124+$AX124,1)))</f>
        <v/>
      </c>
      <c r="BA124" s="92" t="str">
        <f aca="false">IF($BL124&lt;&gt;Constants!$B$4,"",IF(NOT($AS124),"",IF(ISNUMBER($AF124),$AF124,0)))</f>
        <v/>
      </c>
      <c r="BB124" s="86" t="str">
        <f aca="false">IF($BL124&lt;&gt;Constants!$B$4,"",IF(NOT($BC124),"&lt;-",IF(NOT($AS124),"-&gt;",IF(OR($BI124&lt;$AY124,AND($BI124=$AY124,OR($BJ124&gt;$AZ124,AND($BJ124=$AZ124,OR($BH124&gt;$AX124,AND($BH124=$AX124,OR($BE124&gt;$AU124,AND($BE124=$AU124,OR($BF124&gt;$AV124,AND($BF124=$AV124,$BK124&gt;$BA124)))))))))),"-&gt;","&lt;-"))))</f>
        <v/>
      </c>
      <c r="BC124" s="85" t="str">
        <f aca="false">IF(ISBLANK($C124),"",COUNTA($P124:$U124)&gt;0)</f>
        <v/>
      </c>
      <c r="BD124" s="85" t="str">
        <f aca="false">IF(ISBLANK($C124),"",AND($BC124,OR(AND($AL124="",OR($AK124,NOT(ISBLANK($S124)))),$AM124="",$AN124="")))</f>
        <v/>
      </c>
      <c r="BE124" s="87" t="str">
        <f aca="false">IF($BL124&lt;&gt;Constants!$B$4,"",IF(NOT($BC124),"",ROUND((Constants!$B$12-$AB124)+(Constants!$B$13-$Z124)+(Constants!$B$14-$AA124),1)))</f>
        <v/>
      </c>
      <c r="BF124" s="90" t="str">
        <f aca="false">IF($BL124&lt;&gt;Constants!$B$4,"",IF(NOT($BC124),"",IF(NOT($AK124),0,Constants!$B$15*(INT(ROUND(MIN($AL124,$AP$9),6))-INT(ROUND(MAX(0,MIN($AL124,2*$AP$9)-$AP$9),6))))))</f>
        <v/>
      </c>
      <c r="BG124" s="90" t="str">
        <f aca="false">IF($BL124&lt;&gt;Constants!$B$4,"",IF(NOT($BC124),"",Constants!$B$16*$AM124))</f>
        <v/>
      </c>
      <c r="BH124" s="90" t="str">
        <f aca="false">IF($BL124&lt;&gt;Constants!$B$4,"",IF(NOT($BC124),"",Constants!$B$18*INT(ROUND($AN124,6))))</f>
        <v/>
      </c>
      <c r="BI124" s="85" t="str">
        <f aca="false">IF($BL124&lt;&gt;Constants!$B$4,"",IF(NOT($BC124),"",IF(NOT($X124),Constants!$B$11,IF(OR(NOT($AI124),NOT($AJ124),ROUND($AB124,1)&gt;Constants!$B$12,ROUND($Z124,1)&gt;Constants!$B$13,ROUND($AA124,1)&gt;Constants!$B$14),Constants!$B$10,Constants!$B$9))))</f>
        <v/>
      </c>
      <c r="BJ124" s="91" t="str">
        <f aca="false">IF($BL124&lt;&gt;Constants!$B$4,"",IF(NOT($BC124),"",ROUND($BE124+$BF124+$BG124+$BH124,1)))</f>
        <v/>
      </c>
      <c r="BK124" s="92" t="str">
        <f aca="false">IF($BL124&lt;&gt;Constants!$B$4,"",IF(NOT($BC124),"",IF(ISNUMBER($AL124),$AL124,0)))</f>
        <v/>
      </c>
      <c r="BL124" s="86" t="str">
        <f aca="false">IF(ISBLANK($C124),"",IF($AO124,Constants!$B$7,IF(COUNTA($E124:$V124)=0,Constants!$B$6,IF(NOT($Y124),Constants!$B$5,IF(NOT(OR($AS124,$BC124)),Constants!$B$5,IF(OR($AT124,$BD124,$AQ124,$AR124&lt;&gt;""),Constants!$B$8,Constants!$B$4))))))</f>
        <v/>
      </c>
      <c r="BM124" s="86" t="str">
        <f aca="false">IF(ISBLANK($C124),"",IF($BL124&lt;&gt;Constants!$B$4,$BL124,IF($BB124="-&gt;",$BI124,$AY124)))</f>
        <v/>
      </c>
      <c r="BN124" s="90" t="str">
        <f aca="false">IF($BL124&lt;&gt;Constants!$B$4,"",IF($BB124="-&gt;",$BJ124,$AZ124))</f>
        <v/>
      </c>
      <c r="BO124" s="90" t="str">
        <f aca="false">IF(ISBLANK($C124),"",IF($BL124&lt;&gt;Constants!$B$4,$BL124,$BN124))</f>
        <v/>
      </c>
      <c r="BP124" s="86" t="str">
        <f aca="false">IF(ISBLANK($C124),"",IF($BL124&lt;&gt;Constants!$B$4,$BL124,RANK($BO124,$BO$9:$BO$508,0)))</f>
        <v/>
      </c>
      <c r="BQ124" s="86" t="str">
        <f aca="false">IF(ISBLANK($C124),"",IF($BL124&lt;&gt;Constants!$B$4,$BL124,COUNTIFS($BM$9:$BM$508,"&lt;"&amp;$BM124)+COUNTIFS($BM$9:$BM$508,$BM124,$BP$9:$BP$508,"&lt;"&amp;$BP124)+1))</f>
        <v/>
      </c>
      <c r="BR124" s="90" t="str">
        <f aca="false">IF($BL124&lt;&gt;Constants!$B$4,"",IF($BB124="-&gt;",$BH124,$AX124))</f>
        <v/>
      </c>
      <c r="BS124" s="86" t="str">
        <f aca="false">IF(ISBLANK($C124),"",IF($BL124&lt;&gt;Constants!$B$4,$BL124,IF(ISNUMBER($BR124),RANK($BR124,$BR$9:$BR$508,0),COUNT($BR$9:$BR$508)+1)))</f>
        <v/>
      </c>
      <c r="BT124" s="90" t="str">
        <f aca="false">IF($BL124&lt;&gt;Constants!$B$4,"",IF($BB124="-&gt;",$BE124,$AU124))</f>
        <v/>
      </c>
      <c r="BU124" s="86" t="str">
        <f aca="false">IF(ISBLANK($C124),"",IF($BL124&lt;&gt;Constants!$B$4,$BL124,IF(ISNUMBER($BT124),RANK($BT124,$BT$9:$BT$508,0),COUNT($BT$9:$BT$508)+1)))</f>
        <v/>
      </c>
      <c r="BV124" s="90" t="str">
        <f aca="false">IF($BL124&lt;&gt;Constants!$B$4,"",IF($BB124="-&gt;",$BF124,$AV124))</f>
        <v/>
      </c>
      <c r="BW124" s="86" t="str">
        <f aca="false">IF(ISBLANK($C124),"",IF($BL124&lt;&gt;Constants!$B$4,$BL124,IF(ISNUMBER($BV124),RANK($BV124,$BV$9:$BV$508,0),COUNT($BV$9:$BV$508)+1)))</f>
        <v/>
      </c>
      <c r="BX124" s="90" t="str">
        <f aca="false">IF($BL124&lt;&gt;Constants!$B$4,"",IF($BB124="-&gt;",$BK124,$BA124))</f>
        <v/>
      </c>
      <c r="BY124" s="86" t="str">
        <f aca="false">IF(ISBLANK($C124),"",IF($BL124&lt;&gt;Constants!$B$4,$BL124,IF(ISNUMBER($BX124),RANK($BX124,$BX$9:$BX$508,0),COUNT($BX$9:$BX$508)+1)))</f>
        <v/>
      </c>
      <c r="BZ124" s="86" t="str">
        <f aca="false">IF(ISBLANK($C124),"",IF($BL124&lt;&gt;Constants!$B$4,$BL124,COUNTIFS($BM$9:$BM$508,"&lt;"&amp;$BM124)+COUNTIFS($BM$9:$BM$508,$BM124,$BP$9:$BP$508,"&lt;"&amp;$BP124)+COUNTIFS($BM$9:$BM$508,$BM124,$BP$9:$BP$508,$BP124,$BS$9:$BS$508,"&lt;"&amp;$BS124)+COUNTIFS($BM$9:$BM$508,$BM124,$BP$9:$BP$508,$BP124,$BS$9:$BS$508,$BS124,$BU$9:$BU$508,"&lt;"&amp;$BU124)+COUNTIFS($BM$9:$BM$508,$BM124,$BP$9:$BP$508,$BP124,$BS$9:$BS$508,$BS124,$BU$9:$BU$508,$BU124,$BW$9:$BW$508,"&lt;"&amp;$BW124)+COUNTIFS($BM$9:$BM$508,$BM124,$BP$9:$BP$508,$BP124,$BS$9:$BS$508,$BS124,$BU$9:$BU$508,$BU124,$BW$9:$BW$508,$BW124,$BY$9:$BY$508,"&lt;"&amp;$BY124)+1))</f>
        <v/>
      </c>
      <c r="CA124" s="86" t="str">
        <f aca="false">IF(ISBLANK($C124),"",IF($BL124&lt;&gt;Constants!$B$4,$BL124,$BQ124-$BZ124))</f>
        <v/>
      </c>
      <c r="CB124" s="93"/>
      <c r="CC124" s="94" t="str">
        <f aca="false">IF(ISBLANK($C124),"",IF($BL124=Constants!$B$8,$AR124,""))</f>
        <v/>
      </c>
      <c r="CD124" s="94" t="str">
        <f aca="false">IF(ISBLANK($C124),"",IF($BL124&lt;&gt;Constants!$B$4,"",IF($BB124="-&gt;",2,1)))</f>
        <v/>
      </c>
      <c r="CE124" s="95" t="str">
        <f aca="false">IF(ISBLANK($C124),"",IF($BL124&lt;&gt;Constants!$B$4,"",IF($BB124="-&gt;",$BE124,$AU124)))</f>
        <v/>
      </c>
      <c r="CF124" s="95" t="str">
        <f aca="false">IF(ISBLANK($C124),"",IF($BL124&lt;&gt;Constants!$B$4,"",IF($BB124="-&gt;",$BF124,$AV124)))</f>
        <v/>
      </c>
      <c r="CG124" s="95" t="str">
        <f aca="false">IF(ISBLANK($C124),"",IF($BL124&lt;&gt;Constants!$B$4,"",IF($BB124="-&gt;",$BG124,$AW124)))</f>
        <v/>
      </c>
      <c r="CH124" s="95" t="str">
        <f aca="false">IF(ISBLANK($C124),"",IF($BL124&lt;&gt;Constants!$B$4,"",IF($BB124="-&gt;",$BH124,$AX124)))</f>
        <v/>
      </c>
      <c r="CI124" s="96" t="str">
        <f aca="false">IF(ISBLANK($C124),"",$BO124)</f>
        <v/>
      </c>
      <c r="CJ124" s="97" t="str">
        <f aca="false">IF(ISBLANK($C124),"",$BM124)</f>
        <v/>
      </c>
      <c r="CK124" s="98" t="str">
        <f aca="false">IF(ISBLANK($C124),"",$CA124)</f>
        <v/>
      </c>
      <c r="CL124" s="98" t="str">
        <f aca="false">IF(ISBLANK($C124),"",$BZ124)</f>
        <v/>
      </c>
      <c r="CM124" s="99" t="str">
        <f aca="false">IF(ISBLANK($C124),"",IF($CL124=Constants!$B$7,COUNTA($C$9:$C$508)+2,IF($CL124=Constants!$B$6,COUNTA($C$9:$C$508)+1,IF($CL124=Constants!$B$5,COUNTA($C$9:$C$508),$CL124))))</f>
        <v/>
      </c>
      <c r="CN124" s="8"/>
      <c r="CO124" s="100" t="n">
        <f aca="false">IF(OR(ISNUMBER($CL124),$CL124=Constants!$B$7,$CL124=Constants!$B$5,$CL124=Constants!$B$6),1,0)</f>
        <v>0</v>
      </c>
      <c r="CP124" s="100" t="n">
        <v>116</v>
      </c>
      <c r="CQ124" s="100" t="str">
        <f aca="false">IF(ISBLANK($C124),"",IF(ISNUMBER($CM124),$CM124+ROW($B124)/1000,""))</f>
        <v/>
      </c>
      <c r="CR124" s="100" t="str">
        <f aca="false">IF(ISNUMBER($CQ124),RANK($CQ124,$CQ$9:$CQ$508,1),"")</f>
        <v/>
      </c>
      <c r="CS124" s="100" t="str">
        <f aca="false">IF(ISBLANK($C124),"",$B124)</f>
        <v/>
      </c>
      <c r="CT124" s="100" t="str">
        <f aca="false">IF(ISBLANK($C124),"",$C124)</f>
        <v/>
      </c>
      <c r="CU124" s="100" t="str">
        <f aca="false">IF(ISBLANK($C124),"",$D124)</f>
        <v/>
      </c>
      <c r="CV124" s="101" t="str">
        <f aca="false">$CJ124</f>
        <v/>
      </c>
      <c r="CW124" s="102" t="str">
        <f aca="false">$CI124</f>
        <v/>
      </c>
      <c r="CX124" s="100" t="str">
        <f aca="false">IF(ISBLANK($C124),"",$CL124)</f>
        <v/>
      </c>
      <c r="CY124" s="103" t="str">
        <f aca="false">IF($CP124&gt;$CO$8,"",VLOOKUP($CP124,$CR$9:$CX$508,7,FALSE()))</f>
        <v/>
      </c>
      <c r="CZ124" s="104" t="str">
        <f aca="false">IF($CP124&gt;$CO$8,"",VLOOKUP($CP124,$CR$9:$CX$508,2,FALSE()))</f>
        <v/>
      </c>
      <c r="DA124" s="104" t="str">
        <f aca="false">IF($CP124&gt;$CO$8,"",VLOOKUP($CP124,$CR$9:$CX$508,3,FALSE()))</f>
        <v/>
      </c>
      <c r="DB124" s="104" t="str">
        <f aca="false">IF($CP124&gt;$CO$8,"",VLOOKUP($CP124,$CR$9:$CX$508,4,FALSE()))</f>
        <v/>
      </c>
      <c r="DC124" s="104" t="str">
        <f aca="false">IF($CP124&gt;$CO$8,"",VLOOKUP($CP124,$CR$9:$CX$508,5,FALSE()))</f>
        <v/>
      </c>
      <c r="DD124" s="105" t="str">
        <f aca="false">IF($CP124&gt;$CO$8,"",VLOOKUP($CP124,$CR$9:$CX$508,6,FALSE()))</f>
        <v/>
      </c>
      <c r="DE124" s="70"/>
    </row>
    <row r="125" customFormat="false" ht="15.75" hidden="false" customHeight="false" outlineLevel="0" collapsed="false">
      <c r="A125" s="8"/>
      <c r="B125" s="72"/>
      <c r="C125" s="73"/>
      <c r="D125" s="155"/>
      <c r="E125" s="162"/>
      <c r="F125" s="157"/>
      <c r="G125" s="77"/>
      <c r="H125" s="77"/>
      <c r="I125" s="77"/>
      <c r="J125" s="163"/>
      <c r="K125" s="161"/>
      <c r="L125" s="161"/>
      <c r="M125" s="80"/>
      <c r="N125" s="161"/>
      <c r="O125" s="160"/>
      <c r="P125" s="161"/>
      <c r="Q125" s="161"/>
      <c r="R125" s="161"/>
      <c r="S125" s="77"/>
      <c r="T125" s="161"/>
      <c r="U125" s="160"/>
      <c r="V125" s="161"/>
      <c r="W125" s="85"/>
      <c r="X125" s="86" t="str">
        <f aca="false">IF(ISBLANK($C125),"",IF($E125=Constants!$B$2,TRUE(),IF($E125=Constants!$B$3,FALSE(),TRUE())))</f>
        <v/>
      </c>
      <c r="Y125" s="86" t="str">
        <f aca="false">IF(ISBLANK($C125),"",IF($F125=Constants!$B$2,TRUE(),IF($F125=Constants!$B$3,FALSE(),TRUE())))</f>
        <v/>
      </c>
      <c r="Z125" s="87" t="str">
        <f aca="false">IF(ISBLANK($C125),"",IF(ISNUMBER($G125),IF($G125&gt;=0,$G125,""),""))</f>
        <v/>
      </c>
      <c r="AA125" s="87" t="str">
        <f aca="false">IF(ISBLANK($C125),"",IF(ISNUMBER($H125),IF($H125&gt;=0,$H125,""),""))</f>
        <v/>
      </c>
      <c r="AB125" s="87" t="str">
        <f aca="false">IF(ISBLANK($C125),"",IF(ISNUMBER($I125),IF($I125&gt;=0,$I125,""),""))</f>
        <v/>
      </c>
      <c r="AC125" s="86" t="str">
        <f aca="false">IF(ISBLANK($C125),"",IF($J125=Constants!$B$2,TRUE(),IF($J125=Constants!$B$3,FALSE(),TRUE())))</f>
        <v/>
      </c>
      <c r="AD125" s="86" t="str">
        <f aca="false">IF(ISBLANK($C125),"",IF($K125=Constants!$B$2,TRUE(),IF($K125=Constants!$B$3,FALSE(),TRUE())))</f>
        <v/>
      </c>
      <c r="AE125" s="86" t="str">
        <f aca="false">IF(ISBLANK($C125),"",IF($L125=Constants!$B$2,TRUE(),IF($L125=Constants!$B$3,FALSE(),TRUE())))</f>
        <v/>
      </c>
      <c r="AF125" s="88" t="str">
        <f aca="false">IF(ISBLANK($C125),"",IF(ISNUMBER($M125),IF($M125&gt;=0,$M125,""),""))</f>
        <v/>
      </c>
      <c r="AG125" s="86" t="str">
        <f aca="false">IF(ISBLANK($C125),"",IF(ISBLANK($N125),0,IF(ISNUMBER($N125),IF(AND($N125&gt;=0,$N125&lt;=Constants!$B$17,$N125=INT($N125)),$N125,""),"")))</f>
        <v/>
      </c>
      <c r="AH125" s="87" t="str">
        <f aca="false">IF(ISBLANK($C125),"",IF(ISBLANK($O125),0,IF(ISNUMBER($O125),IF($O125&gt;=0,$O125,""),"")))</f>
        <v/>
      </c>
      <c r="AI125" s="86" t="str">
        <f aca="false">IF(ISBLANK($C125),"",IF($P125=Constants!$B$2,TRUE(),IF($P125=Constants!$B$3,FALSE(),TRUE())))</f>
        <v/>
      </c>
      <c r="AJ125" s="86" t="str">
        <f aca="false">IF(ISBLANK($C125),"",IF($Q125=Constants!$B$2,TRUE(),IF($Q125=Constants!$B$3,FALSE(),TRUE())))</f>
        <v/>
      </c>
      <c r="AK125" s="86" t="str">
        <f aca="false">IF(ISBLANK($C125),"",IF($R125=Constants!$B$2,TRUE(),IF($R125=Constants!$B$3,FALSE(),TRUE())))</f>
        <v/>
      </c>
      <c r="AL125" s="88" t="str">
        <f aca="false">IF(ISBLANK($C125),"",IF(ISNUMBER($S125),IF($S125&gt;=0,$S125,""),""))</f>
        <v/>
      </c>
      <c r="AM125" s="86" t="str">
        <f aca="false">IF(ISBLANK($C125),"",IF(ISBLANK($T125),0,IF(ISNUMBER($T125),IF(AND($T125&gt;=0,$T125&lt;=Constants!$B$17,$T125=INT($T125)),$T125,""),"")))</f>
        <v/>
      </c>
      <c r="AN125" s="87" t="str">
        <f aca="false">IF(ISBLANK($C125),"",IF(ISBLANK($U125),0,IF(ISNUMBER($U125),IF($U125&gt;=0,$U125,""),"")))</f>
        <v/>
      </c>
      <c r="AO125" s="86" t="str">
        <f aca="false">IF(ISBLANK($C125),"",IF($V125=Constants!$B$2,TRUE(),IF($V125=Constants!$B$3,FALSE(),FALSE())))</f>
        <v/>
      </c>
      <c r="AP125" s="86"/>
      <c r="AQ125" s="85" t="str">
        <f aca="false">IF(ISBLANK($C125),"",AND($Y125,OR($AS125,$BC125),OR($Z125="",$AA125="",$AB125="")))</f>
        <v/>
      </c>
      <c r="AR125" s="85" t="str">
        <f aca="false">IF(ISBLANK($C125),"",IF(OR(NOT($Y125),NOT(OR($AS125,$BC125))),"",IF(ISBLANK($D$7),$AR$5,IF($AP$9="",$AR$6,""))))</f>
        <v/>
      </c>
      <c r="AS125" s="85" t="str">
        <f aca="false">IF(ISBLANK($C125),"",COUNTA($J125:$O125)&gt;0)</f>
        <v/>
      </c>
      <c r="AT125" s="85" t="str">
        <f aca="false">IF(ISBLANK($C125),"",AND($AS125,OR(AND($AF125="",OR($AE125,NOT(ISBLANK($M125)))),$AG125="",$AH125="")))</f>
        <v/>
      </c>
      <c r="AU125" s="87" t="str">
        <f aca="false">IF($BL125&lt;&gt;Constants!$B$4,"",IF(NOT($AS125),"",ROUND((Constants!$B$12-$AB125)+(Constants!$B$13-$Z125)+(Constants!$B$14-$AA125),1)))</f>
        <v/>
      </c>
      <c r="AV125" s="90" t="str">
        <f aca="false">IF($BL125&lt;&gt;Constants!$B$4,"",IF(NOT($AS125),"",IF(NOT($AE125),0,Constants!$B$15*(INT(ROUND(MIN($AF125,$AP$9),6))-INT(ROUND(MAX(0,MIN($AF125,2*$AP$9)-$AP$9),6))))))</f>
        <v/>
      </c>
      <c r="AW125" s="90" t="str">
        <f aca="false">IF($BL125&lt;&gt;Constants!$B$4,"",IF(NOT($AS125),"",Constants!$B$16*$AG125))</f>
        <v/>
      </c>
      <c r="AX125" s="90" t="str">
        <f aca="false">IF($BL125&lt;&gt;Constants!$B$4,"",IF(NOT($AS125),"",Constants!$B$18*INT(ROUND($AH125,6))))</f>
        <v/>
      </c>
      <c r="AY125" s="85" t="str">
        <f aca="false">IF($BL125&lt;&gt;Constants!$B$4,"",IF(NOT($AS125),"",IF(NOT($X125),Constants!$B$11,IF(OR(NOT($AC125),NOT($AD125),ROUND($AB125,1)&gt;Constants!$B$12,ROUND($Z125,1)&gt;Constants!$B$13,ROUND($AA125,1)&gt;Constants!$B$14),Constants!$B$10,Constants!$B$9))))</f>
        <v/>
      </c>
      <c r="AZ125" s="91" t="str">
        <f aca="false">IF($BL125&lt;&gt;Constants!$B$4,"",IF(NOT($AS125),"",ROUND($AU125+$AV125+$AW125+$AX125,1)))</f>
        <v/>
      </c>
      <c r="BA125" s="92" t="str">
        <f aca="false">IF($BL125&lt;&gt;Constants!$B$4,"",IF(NOT($AS125),"",IF(ISNUMBER($AF125),$AF125,0)))</f>
        <v/>
      </c>
      <c r="BB125" s="86" t="str">
        <f aca="false">IF($BL125&lt;&gt;Constants!$B$4,"",IF(NOT($BC125),"&lt;-",IF(NOT($AS125),"-&gt;",IF(OR($BI125&lt;$AY125,AND($BI125=$AY125,OR($BJ125&gt;$AZ125,AND($BJ125=$AZ125,OR($BH125&gt;$AX125,AND($BH125=$AX125,OR($BE125&gt;$AU125,AND($BE125=$AU125,OR($BF125&gt;$AV125,AND($BF125=$AV125,$BK125&gt;$BA125)))))))))),"-&gt;","&lt;-"))))</f>
        <v/>
      </c>
      <c r="BC125" s="85" t="str">
        <f aca="false">IF(ISBLANK($C125),"",COUNTA($P125:$U125)&gt;0)</f>
        <v/>
      </c>
      <c r="BD125" s="85" t="str">
        <f aca="false">IF(ISBLANK($C125),"",AND($BC125,OR(AND($AL125="",OR($AK125,NOT(ISBLANK($S125)))),$AM125="",$AN125="")))</f>
        <v/>
      </c>
      <c r="BE125" s="87" t="str">
        <f aca="false">IF($BL125&lt;&gt;Constants!$B$4,"",IF(NOT($BC125),"",ROUND((Constants!$B$12-$AB125)+(Constants!$B$13-$Z125)+(Constants!$B$14-$AA125),1)))</f>
        <v/>
      </c>
      <c r="BF125" s="90" t="str">
        <f aca="false">IF($BL125&lt;&gt;Constants!$B$4,"",IF(NOT($BC125),"",IF(NOT($AK125),0,Constants!$B$15*(INT(ROUND(MIN($AL125,$AP$9),6))-INT(ROUND(MAX(0,MIN($AL125,2*$AP$9)-$AP$9),6))))))</f>
        <v/>
      </c>
      <c r="BG125" s="90" t="str">
        <f aca="false">IF($BL125&lt;&gt;Constants!$B$4,"",IF(NOT($BC125),"",Constants!$B$16*$AM125))</f>
        <v/>
      </c>
      <c r="BH125" s="90" t="str">
        <f aca="false">IF($BL125&lt;&gt;Constants!$B$4,"",IF(NOT($BC125),"",Constants!$B$18*INT(ROUND($AN125,6))))</f>
        <v/>
      </c>
      <c r="BI125" s="85" t="str">
        <f aca="false">IF($BL125&lt;&gt;Constants!$B$4,"",IF(NOT($BC125),"",IF(NOT($X125),Constants!$B$11,IF(OR(NOT($AI125),NOT($AJ125),ROUND($AB125,1)&gt;Constants!$B$12,ROUND($Z125,1)&gt;Constants!$B$13,ROUND($AA125,1)&gt;Constants!$B$14),Constants!$B$10,Constants!$B$9))))</f>
        <v/>
      </c>
      <c r="BJ125" s="91" t="str">
        <f aca="false">IF($BL125&lt;&gt;Constants!$B$4,"",IF(NOT($BC125),"",ROUND($BE125+$BF125+$BG125+$BH125,1)))</f>
        <v/>
      </c>
      <c r="BK125" s="92" t="str">
        <f aca="false">IF($BL125&lt;&gt;Constants!$B$4,"",IF(NOT($BC125),"",IF(ISNUMBER($AL125),$AL125,0)))</f>
        <v/>
      </c>
      <c r="BL125" s="86" t="str">
        <f aca="false">IF(ISBLANK($C125),"",IF($AO125,Constants!$B$7,IF(COUNTA($E125:$V125)=0,Constants!$B$6,IF(NOT($Y125),Constants!$B$5,IF(NOT(OR($AS125,$BC125)),Constants!$B$5,IF(OR($AT125,$BD125,$AQ125,$AR125&lt;&gt;""),Constants!$B$8,Constants!$B$4))))))</f>
        <v/>
      </c>
      <c r="BM125" s="86" t="str">
        <f aca="false">IF(ISBLANK($C125),"",IF($BL125&lt;&gt;Constants!$B$4,$BL125,IF($BB125="-&gt;",$BI125,$AY125)))</f>
        <v/>
      </c>
      <c r="BN125" s="90" t="str">
        <f aca="false">IF($BL125&lt;&gt;Constants!$B$4,"",IF($BB125="-&gt;",$BJ125,$AZ125))</f>
        <v/>
      </c>
      <c r="BO125" s="90" t="str">
        <f aca="false">IF(ISBLANK($C125),"",IF($BL125&lt;&gt;Constants!$B$4,$BL125,$BN125))</f>
        <v/>
      </c>
      <c r="BP125" s="86" t="str">
        <f aca="false">IF(ISBLANK($C125),"",IF($BL125&lt;&gt;Constants!$B$4,$BL125,RANK($BO125,$BO$9:$BO$508,0)))</f>
        <v/>
      </c>
      <c r="BQ125" s="86" t="str">
        <f aca="false">IF(ISBLANK($C125),"",IF($BL125&lt;&gt;Constants!$B$4,$BL125,COUNTIFS($BM$9:$BM$508,"&lt;"&amp;$BM125)+COUNTIFS($BM$9:$BM$508,$BM125,$BP$9:$BP$508,"&lt;"&amp;$BP125)+1))</f>
        <v/>
      </c>
      <c r="BR125" s="90" t="str">
        <f aca="false">IF($BL125&lt;&gt;Constants!$B$4,"",IF($BB125="-&gt;",$BH125,$AX125))</f>
        <v/>
      </c>
      <c r="BS125" s="86" t="str">
        <f aca="false">IF(ISBLANK($C125),"",IF($BL125&lt;&gt;Constants!$B$4,$BL125,IF(ISNUMBER($BR125),RANK($BR125,$BR$9:$BR$508,0),COUNT($BR$9:$BR$508)+1)))</f>
        <v/>
      </c>
      <c r="BT125" s="90" t="str">
        <f aca="false">IF($BL125&lt;&gt;Constants!$B$4,"",IF($BB125="-&gt;",$BE125,$AU125))</f>
        <v/>
      </c>
      <c r="BU125" s="86" t="str">
        <f aca="false">IF(ISBLANK($C125),"",IF($BL125&lt;&gt;Constants!$B$4,$BL125,IF(ISNUMBER($BT125),RANK($BT125,$BT$9:$BT$508,0),COUNT($BT$9:$BT$508)+1)))</f>
        <v/>
      </c>
      <c r="BV125" s="90" t="str">
        <f aca="false">IF($BL125&lt;&gt;Constants!$B$4,"",IF($BB125="-&gt;",$BF125,$AV125))</f>
        <v/>
      </c>
      <c r="BW125" s="86" t="str">
        <f aca="false">IF(ISBLANK($C125),"",IF($BL125&lt;&gt;Constants!$B$4,$BL125,IF(ISNUMBER($BV125),RANK($BV125,$BV$9:$BV$508,0),COUNT($BV$9:$BV$508)+1)))</f>
        <v/>
      </c>
      <c r="BX125" s="90" t="str">
        <f aca="false">IF($BL125&lt;&gt;Constants!$B$4,"",IF($BB125="-&gt;",$BK125,$BA125))</f>
        <v/>
      </c>
      <c r="BY125" s="86" t="str">
        <f aca="false">IF(ISBLANK($C125),"",IF($BL125&lt;&gt;Constants!$B$4,$BL125,IF(ISNUMBER($BX125),RANK($BX125,$BX$9:$BX$508,0),COUNT($BX$9:$BX$508)+1)))</f>
        <v/>
      </c>
      <c r="BZ125" s="86" t="str">
        <f aca="false">IF(ISBLANK($C125),"",IF($BL125&lt;&gt;Constants!$B$4,$BL125,COUNTIFS($BM$9:$BM$508,"&lt;"&amp;$BM125)+COUNTIFS($BM$9:$BM$508,$BM125,$BP$9:$BP$508,"&lt;"&amp;$BP125)+COUNTIFS($BM$9:$BM$508,$BM125,$BP$9:$BP$508,$BP125,$BS$9:$BS$508,"&lt;"&amp;$BS125)+COUNTIFS($BM$9:$BM$508,$BM125,$BP$9:$BP$508,$BP125,$BS$9:$BS$508,$BS125,$BU$9:$BU$508,"&lt;"&amp;$BU125)+COUNTIFS($BM$9:$BM$508,$BM125,$BP$9:$BP$508,$BP125,$BS$9:$BS$508,$BS125,$BU$9:$BU$508,$BU125,$BW$9:$BW$508,"&lt;"&amp;$BW125)+COUNTIFS($BM$9:$BM$508,$BM125,$BP$9:$BP$508,$BP125,$BS$9:$BS$508,$BS125,$BU$9:$BU$508,$BU125,$BW$9:$BW$508,$BW125,$BY$9:$BY$508,"&lt;"&amp;$BY125)+1))</f>
        <v/>
      </c>
      <c r="CA125" s="86" t="str">
        <f aca="false">IF(ISBLANK($C125),"",IF($BL125&lt;&gt;Constants!$B$4,$BL125,$BQ125-$BZ125))</f>
        <v/>
      </c>
      <c r="CB125" s="93"/>
      <c r="CC125" s="94" t="str">
        <f aca="false">IF(ISBLANK($C125),"",IF($BL125=Constants!$B$8,$AR125,""))</f>
        <v/>
      </c>
      <c r="CD125" s="94" t="str">
        <f aca="false">IF(ISBLANK($C125),"",IF($BL125&lt;&gt;Constants!$B$4,"",IF($BB125="-&gt;",2,1)))</f>
        <v/>
      </c>
      <c r="CE125" s="95" t="str">
        <f aca="false">IF(ISBLANK($C125),"",IF($BL125&lt;&gt;Constants!$B$4,"",IF($BB125="-&gt;",$BE125,$AU125)))</f>
        <v/>
      </c>
      <c r="CF125" s="95" t="str">
        <f aca="false">IF(ISBLANK($C125),"",IF($BL125&lt;&gt;Constants!$B$4,"",IF($BB125="-&gt;",$BF125,$AV125)))</f>
        <v/>
      </c>
      <c r="CG125" s="95" t="str">
        <f aca="false">IF(ISBLANK($C125),"",IF($BL125&lt;&gt;Constants!$B$4,"",IF($BB125="-&gt;",$BG125,$AW125)))</f>
        <v/>
      </c>
      <c r="CH125" s="95" t="str">
        <f aca="false">IF(ISBLANK($C125),"",IF($BL125&lt;&gt;Constants!$B$4,"",IF($BB125="-&gt;",$BH125,$AX125)))</f>
        <v/>
      </c>
      <c r="CI125" s="96" t="str">
        <f aca="false">IF(ISBLANK($C125),"",$BO125)</f>
        <v/>
      </c>
      <c r="CJ125" s="97" t="str">
        <f aca="false">IF(ISBLANK($C125),"",$BM125)</f>
        <v/>
      </c>
      <c r="CK125" s="98" t="str">
        <f aca="false">IF(ISBLANK($C125),"",$CA125)</f>
        <v/>
      </c>
      <c r="CL125" s="98" t="str">
        <f aca="false">IF(ISBLANK($C125),"",$BZ125)</f>
        <v/>
      </c>
      <c r="CM125" s="99" t="str">
        <f aca="false">IF(ISBLANK($C125),"",IF($CL125=Constants!$B$7,COUNTA($C$9:$C$508)+2,IF($CL125=Constants!$B$6,COUNTA($C$9:$C$508)+1,IF($CL125=Constants!$B$5,COUNTA($C$9:$C$508),$CL125))))</f>
        <v/>
      </c>
      <c r="CN125" s="8"/>
      <c r="CO125" s="100" t="n">
        <f aca="false">IF(OR(ISNUMBER($CL125),$CL125=Constants!$B$7,$CL125=Constants!$B$5,$CL125=Constants!$B$6),1,0)</f>
        <v>0</v>
      </c>
      <c r="CP125" s="100" t="n">
        <v>117</v>
      </c>
      <c r="CQ125" s="100" t="str">
        <f aca="false">IF(ISBLANK($C125),"",IF(ISNUMBER($CM125),$CM125+ROW($B125)/1000,""))</f>
        <v/>
      </c>
      <c r="CR125" s="100" t="str">
        <f aca="false">IF(ISNUMBER($CQ125),RANK($CQ125,$CQ$9:$CQ$508,1),"")</f>
        <v/>
      </c>
      <c r="CS125" s="100" t="str">
        <f aca="false">IF(ISBLANK($C125),"",$B125)</f>
        <v/>
      </c>
      <c r="CT125" s="100" t="str">
        <f aca="false">IF(ISBLANK($C125),"",$C125)</f>
        <v/>
      </c>
      <c r="CU125" s="100" t="str">
        <f aca="false">IF(ISBLANK($C125),"",$D125)</f>
        <v/>
      </c>
      <c r="CV125" s="101" t="str">
        <f aca="false">$CJ125</f>
        <v/>
      </c>
      <c r="CW125" s="102" t="str">
        <f aca="false">$CI125</f>
        <v/>
      </c>
      <c r="CX125" s="100" t="str">
        <f aca="false">IF(ISBLANK($C125),"",$CL125)</f>
        <v/>
      </c>
      <c r="CY125" s="103" t="str">
        <f aca="false">IF($CP125&gt;$CO$8,"",VLOOKUP($CP125,$CR$9:$CX$508,7,FALSE()))</f>
        <v/>
      </c>
      <c r="CZ125" s="104" t="str">
        <f aca="false">IF($CP125&gt;$CO$8,"",VLOOKUP($CP125,$CR$9:$CX$508,2,FALSE()))</f>
        <v/>
      </c>
      <c r="DA125" s="104" t="str">
        <f aca="false">IF($CP125&gt;$CO$8,"",VLOOKUP($CP125,$CR$9:$CX$508,3,FALSE()))</f>
        <v/>
      </c>
      <c r="DB125" s="104" t="str">
        <f aca="false">IF($CP125&gt;$CO$8,"",VLOOKUP($CP125,$CR$9:$CX$508,4,FALSE()))</f>
        <v/>
      </c>
      <c r="DC125" s="104" t="str">
        <f aca="false">IF($CP125&gt;$CO$8,"",VLOOKUP($CP125,$CR$9:$CX$508,5,FALSE()))</f>
        <v/>
      </c>
      <c r="DD125" s="105" t="str">
        <f aca="false">IF($CP125&gt;$CO$8,"",VLOOKUP($CP125,$CR$9:$CX$508,6,FALSE()))</f>
        <v/>
      </c>
      <c r="DE125" s="70"/>
    </row>
    <row r="126" customFormat="false" ht="15.75" hidden="false" customHeight="false" outlineLevel="0" collapsed="false">
      <c r="A126" s="8"/>
      <c r="B126" s="146"/>
      <c r="C126" s="147"/>
      <c r="D126" s="148"/>
      <c r="E126" s="164"/>
      <c r="F126" s="150"/>
      <c r="G126" s="115"/>
      <c r="H126" s="115"/>
      <c r="I126" s="115"/>
      <c r="J126" s="165"/>
      <c r="K126" s="154"/>
      <c r="L126" s="154"/>
      <c r="M126" s="118"/>
      <c r="N126" s="154"/>
      <c r="O126" s="153"/>
      <c r="P126" s="154"/>
      <c r="Q126" s="154"/>
      <c r="R126" s="154"/>
      <c r="S126" s="115"/>
      <c r="T126" s="154"/>
      <c r="U126" s="153"/>
      <c r="V126" s="154"/>
      <c r="W126" s="123"/>
      <c r="X126" s="124" t="str">
        <f aca="false">IF(ISBLANK($C126),"",IF($E126=Constants!$B$2,TRUE(),IF($E126=Constants!$B$3,FALSE(),TRUE())))</f>
        <v/>
      </c>
      <c r="Y126" s="124" t="str">
        <f aca="false">IF(ISBLANK($C126),"",IF($F126=Constants!$B$2,TRUE(),IF($F126=Constants!$B$3,FALSE(),TRUE())))</f>
        <v/>
      </c>
      <c r="Z126" s="125" t="str">
        <f aca="false">IF(ISBLANK($C126),"",IF(ISNUMBER($G126),IF($G126&gt;=0,$G126,""),""))</f>
        <v/>
      </c>
      <c r="AA126" s="125" t="str">
        <f aca="false">IF(ISBLANK($C126),"",IF(ISNUMBER($H126),IF($H126&gt;=0,$H126,""),""))</f>
        <v/>
      </c>
      <c r="AB126" s="125" t="str">
        <f aca="false">IF(ISBLANK($C126),"",IF(ISNUMBER($I126),IF($I126&gt;=0,$I126,""),""))</f>
        <v/>
      </c>
      <c r="AC126" s="124" t="str">
        <f aca="false">IF(ISBLANK($C126),"",IF($J126=Constants!$B$2,TRUE(),IF($J126=Constants!$B$3,FALSE(),TRUE())))</f>
        <v/>
      </c>
      <c r="AD126" s="124" t="str">
        <f aca="false">IF(ISBLANK($C126),"",IF($K126=Constants!$B$2,TRUE(),IF($K126=Constants!$B$3,FALSE(),TRUE())))</f>
        <v/>
      </c>
      <c r="AE126" s="124" t="str">
        <f aca="false">IF(ISBLANK($C126),"",IF($L126=Constants!$B$2,TRUE(),IF($L126=Constants!$B$3,FALSE(),TRUE())))</f>
        <v/>
      </c>
      <c r="AF126" s="126" t="str">
        <f aca="false">IF(ISBLANK($C126),"",IF(ISNUMBER($M126),IF($M126&gt;=0,$M126,""),""))</f>
        <v/>
      </c>
      <c r="AG126" s="124" t="str">
        <f aca="false">IF(ISBLANK($C126),"",IF(ISBLANK($N126),0,IF(ISNUMBER($N126),IF(AND($N126&gt;=0,$N126&lt;=Constants!$B$17,$N126=INT($N126)),$N126,""),"")))</f>
        <v/>
      </c>
      <c r="AH126" s="125" t="str">
        <f aca="false">IF(ISBLANK($C126),"",IF(ISBLANK($O126),0,IF(ISNUMBER($O126),IF($O126&gt;=0,$O126,""),"")))</f>
        <v/>
      </c>
      <c r="AI126" s="124" t="str">
        <f aca="false">IF(ISBLANK($C126),"",IF($P126=Constants!$B$2,TRUE(),IF($P126=Constants!$B$3,FALSE(),TRUE())))</f>
        <v/>
      </c>
      <c r="AJ126" s="124" t="str">
        <f aca="false">IF(ISBLANK($C126),"",IF($Q126=Constants!$B$2,TRUE(),IF($Q126=Constants!$B$3,FALSE(),TRUE())))</f>
        <v/>
      </c>
      <c r="AK126" s="124" t="str">
        <f aca="false">IF(ISBLANK($C126),"",IF($R126=Constants!$B$2,TRUE(),IF($R126=Constants!$B$3,FALSE(),TRUE())))</f>
        <v/>
      </c>
      <c r="AL126" s="126" t="str">
        <f aca="false">IF(ISBLANK($C126),"",IF(ISNUMBER($S126),IF($S126&gt;=0,$S126,""),""))</f>
        <v/>
      </c>
      <c r="AM126" s="124" t="str">
        <f aca="false">IF(ISBLANK($C126),"",IF(ISBLANK($T126),0,IF(ISNUMBER($T126),IF(AND($T126&gt;=0,$T126&lt;=Constants!$B$17,$T126=INT($T126)),$T126,""),"")))</f>
        <v/>
      </c>
      <c r="AN126" s="125" t="str">
        <f aca="false">IF(ISBLANK($C126),"",IF(ISBLANK($U126),0,IF(ISNUMBER($U126),IF($U126&gt;=0,$U126,""),"")))</f>
        <v/>
      </c>
      <c r="AO126" s="124" t="str">
        <f aca="false">IF(ISBLANK($C126),"",IF($V126=Constants!$B$2,TRUE(),IF($V126=Constants!$B$3,FALSE(),FALSE())))</f>
        <v/>
      </c>
      <c r="AP126" s="124"/>
      <c r="AQ126" s="123" t="str">
        <f aca="false">IF(ISBLANK($C126),"",AND($Y126,OR($AS126,$BC126),OR($Z126="",$AA126="",$AB126="")))</f>
        <v/>
      </c>
      <c r="AR126" s="123" t="str">
        <f aca="false">IF(ISBLANK($C126),"",IF(OR(NOT($Y126),NOT(OR($AS126,$BC126))),"",IF(ISBLANK($D$7),$AR$5,IF($AP$9="",$AR$6,""))))</f>
        <v/>
      </c>
      <c r="AS126" s="123" t="str">
        <f aca="false">IF(ISBLANK($C126),"",COUNTA($J126:$O126)&gt;0)</f>
        <v/>
      </c>
      <c r="AT126" s="123" t="str">
        <f aca="false">IF(ISBLANK($C126),"",AND($AS126,OR(AND($AF126="",OR($AE126,NOT(ISBLANK($M126)))),$AG126="",$AH126="")))</f>
        <v/>
      </c>
      <c r="AU126" s="125" t="str">
        <f aca="false">IF($BL126&lt;&gt;Constants!$B$4,"",IF(NOT($AS126),"",ROUND((Constants!$B$12-$AB126)+(Constants!$B$13-$Z126)+(Constants!$B$14-$AA126),1)))</f>
        <v/>
      </c>
      <c r="AV126" s="127" t="str">
        <f aca="false">IF($BL126&lt;&gt;Constants!$B$4,"",IF(NOT($AS126),"",IF(NOT($AE126),0,Constants!$B$15*(INT(ROUND(MIN($AF126,$AP$9),6))-INT(ROUND(MAX(0,MIN($AF126,2*$AP$9)-$AP$9),6))))))</f>
        <v/>
      </c>
      <c r="AW126" s="127" t="str">
        <f aca="false">IF($BL126&lt;&gt;Constants!$B$4,"",IF(NOT($AS126),"",Constants!$B$16*$AG126))</f>
        <v/>
      </c>
      <c r="AX126" s="127" t="str">
        <f aca="false">IF($BL126&lt;&gt;Constants!$B$4,"",IF(NOT($AS126),"",Constants!$B$18*INT(ROUND($AH126,6))))</f>
        <v/>
      </c>
      <c r="AY126" s="123" t="str">
        <f aca="false">IF($BL126&lt;&gt;Constants!$B$4,"",IF(NOT($AS126),"",IF(NOT($X126),Constants!$B$11,IF(OR(NOT($AC126),NOT($AD126),ROUND($AB126,1)&gt;Constants!$B$12,ROUND($Z126,1)&gt;Constants!$B$13,ROUND($AA126,1)&gt;Constants!$B$14),Constants!$B$10,Constants!$B$9))))</f>
        <v/>
      </c>
      <c r="AZ126" s="128" t="str">
        <f aca="false">IF($BL126&lt;&gt;Constants!$B$4,"",IF(NOT($AS126),"",ROUND($AU126+$AV126+$AW126+$AX126,1)))</f>
        <v/>
      </c>
      <c r="BA126" s="129" t="str">
        <f aca="false">IF($BL126&lt;&gt;Constants!$B$4,"",IF(NOT($AS126),"",IF(ISNUMBER($AF126),$AF126,0)))</f>
        <v/>
      </c>
      <c r="BB126" s="124" t="str">
        <f aca="false">IF($BL126&lt;&gt;Constants!$B$4,"",IF(NOT($BC126),"&lt;-",IF(NOT($AS126),"-&gt;",IF(OR($BI126&lt;$AY126,AND($BI126=$AY126,OR($BJ126&gt;$AZ126,AND($BJ126=$AZ126,OR($BH126&gt;$AX126,AND($BH126=$AX126,OR($BE126&gt;$AU126,AND($BE126=$AU126,OR($BF126&gt;$AV126,AND($BF126=$AV126,$BK126&gt;$BA126)))))))))),"-&gt;","&lt;-"))))</f>
        <v/>
      </c>
      <c r="BC126" s="123" t="str">
        <f aca="false">IF(ISBLANK($C126),"",COUNTA($P126:$U126)&gt;0)</f>
        <v/>
      </c>
      <c r="BD126" s="123" t="str">
        <f aca="false">IF(ISBLANK($C126),"",AND($BC126,OR(AND($AL126="",OR($AK126,NOT(ISBLANK($S126)))),$AM126="",$AN126="")))</f>
        <v/>
      </c>
      <c r="BE126" s="125" t="str">
        <f aca="false">IF($BL126&lt;&gt;Constants!$B$4,"",IF(NOT($BC126),"",ROUND((Constants!$B$12-$AB126)+(Constants!$B$13-$Z126)+(Constants!$B$14-$AA126),1)))</f>
        <v/>
      </c>
      <c r="BF126" s="127" t="str">
        <f aca="false">IF($BL126&lt;&gt;Constants!$B$4,"",IF(NOT($BC126),"",IF(NOT($AK126),0,Constants!$B$15*(INT(ROUND(MIN($AL126,$AP$9),6))-INT(ROUND(MAX(0,MIN($AL126,2*$AP$9)-$AP$9),6))))))</f>
        <v/>
      </c>
      <c r="BG126" s="127" t="str">
        <f aca="false">IF($BL126&lt;&gt;Constants!$B$4,"",IF(NOT($BC126),"",Constants!$B$16*$AM126))</f>
        <v/>
      </c>
      <c r="BH126" s="127" t="str">
        <f aca="false">IF($BL126&lt;&gt;Constants!$B$4,"",IF(NOT($BC126),"",Constants!$B$18*INT(ROUND($AN126,6))))</f>
        <v/>
      </c>
      <c r="BI126" s="123" t="str">
        <f aca="false">IF($BL126&lt;&gt;Constants!$B$4,"",IF(NOT($BC126),"",IF(NOT($X126),Constants!$B$11,IF(OR(NOT($AI126),NOT($AJ126),ROUND($AB126,1)&gt;Constants!$B$12,ROUND($Z126,1)&gt;Constants!$B$13,ROUND($AA126,1)&gt;Constants!$B$14),Constants!$B$10,Constants!$B$9))))</f>
        <v/>
      </c>
      <c r="BJ126" s="128" t="str">
        <f aca="false">IF($BL126&lt;&gt;Constants!$B$4,"",IF(NOT($BC126),"",ROUND($BE126+$BF126+$BG126+$BH126,1)))</f>
        <v/>
      </c>
      <c r="BK126" s="129" t="str">
        <f aca="false">IF($BL126&lt;&gt;Constants!$B$4,"",IF(NOT($BC126),"",IF(ISNUMBER($AL126),$AL126,0)))</f>
        <v/>
      </c>
      <c r="BL126" s="124" t="str">
        <f aca="false">IF(ISBLANK($C126),"",IF($AO126,Constants!$B$7,IF(COUNTA($E126:$V126)=0,Constants!$B$6,IF(NOT($Y126),Constants!$B$5,IF(NOT(OR($AS126,$BC126)),Constants!$B$5,IF(OR($AT126,$BD126,$AQ126,$AR126&lt;&gt;""),Constants!$B$8,Constants!$B$4))))))</f>
        <v/>
      </c>
      <c r="BM126" s="124" t="str">
        <f aca="false">IF(ISBLANK($C126),"",IF($BL126&lt;&gt;Constants!$B$4,$BL126,IF($BB126="-&gt;",$BI126,$AY126)))</f>
        <v/>
      </c>
      <c r="BN126" s="127" t="str">
        <f aca="false">IF($BL126&lt;&gt;Constants!$B$4,"",IF($BB126="-&gt;",$BJ126,$AZ126))</f>
        <v/>
      </c>
      <c r="BO126" s="127" t="str">
        <f aca="false">IF(ISBLANK($C126),"",IF($BL126&lt;&gt;Constants!$B$4,$BL126,$BN126))</f>
        <v/>
      </c>
      <c r="BP126" s="124" t="str">
        <f aca="false">IF(ISBLANK($C126),"",IF($BL126&lt;&gt;Constants!$B$4,$BL126,RANK($BO126,$BO$9:$BO$508,0)))</f>
        <v/>
      </c>
      <c r="BQ126" s="124" t="str">
        <f aca="false">IF(ISBLANK($C126),"",IF($BL126&lt;&gt;Constants!$B$4,$BL126,COUNTIFS($BM$9:$BM$508,"&lt;"&amp;$BM126)+COUNTIFS($BM$9:$BM$508,$BM126,$BP$9:$BP$508,"&lt;"&amp;$BP126)+1))</f>
        <v/>
      </c>
      <c r="BR126" s="127" t="str">
        <f aca="false">IF($BL126&lt;&gt;Constants!$B$4,"",IF($BB126="-&gt;",$BH126,$AX126))</f>
        <v/>
      </c>
      <c r="BS126" s="124" t="str">
        <f aca="false">IF(ISBLANK($C126),"",IF($BL126&lt;&gt;Constants!$B$4,$BL126,IF(ISNUMBER($BR126),RANK($BR126,$BR$9:$BR$508,0),COUNT($BR$9:$BR$508)+1)))</f>
        <v/>
      </c>
      <c r="BT126" s="127" t="str">
        <f aca="false">IF($BL126&lt;&gt;Constants!$B$4,"",IF($BB126="-&gt;",$BE126,$AU126))</f>
        <v/>
      </c>
      <c r="BU126" s="124" t="str">
        <f aca="false">IF(ISBLANK($C126),"",IF($BL126&lt;&gt;Constants!$B$4,$BL126,IF(ISNUMBER($BT126),RANK($BT126,$BT$9:$BT$508,0),COUNT($BT$9:$BT$508)+1)))</f>
        <v/>
      </c>
      <c r="BV126" s="127" t="str">
        <f aca="false">IF($BL126&lt;&gt;Constants!$B$4,"",IF($BB126="-&gt;",$BF126,$AV126))</f>
        <v/>
      </c>
      <c r="BW126" s="124" t="str">
        <f aca="false">IF(ISBLANK($C126),"",IF($BL126&lt;&gt;Constants!$B$4,$BL126,IF(ISNUMBER($BV126),RANK($BV126,$BV$9:$BV$508,0),COUNT($BV$9:$BV$508)+1)))</f>
        <v/>
      </c>
      <c r="BX126" s="127" t="str">
        <f aca="false">IF($BL126&lt;&gt;Constants!$B$4,"",IF($BB126="-&gt;",$BK126,$BA126))</f>
        <v/>
      </c>
      <c r="BY126" s="124" t="str">
        <f aca="false">IF(ISBLANK($C126),"",IF($BL126&lt;&gt;Constants!$B$4,$BL126,IF(ISNUMBER($BX126),RANK($BX126,$BX$9:$BX$508,0),COUNT($BX$9:$BX$508)+1)))</f>
        <v/>
      </c>
      <c r="BZ126" s="124" t="str">
        <f aca="false">IF(ISBLANK($C126),"",IF($BL126&lt;&gt;Constants!$B$4,$BL126,COUNTIFS($BM$9:$BM$508,"&lt;"&amp;$BM126)+COUNTIFS($BM$9:$BM$508,$BM126,$BP$9:$BP$508,"&lt;"&amp;$BP126)+COUNTIFS($BM$9:$BM$508,$BM126,$BP$9:$BP$508,$BP126,$BS$9:$BS$508,"&lt;"&amp;$BS126)+COUNTIFS($BM$9:$BM$508,$BM126,$BP$9:$BP$508,$BP126,$BS$9:$BS$508,$BS126,$BU$9:$BU$508,"&lt;"&amp;$BU126)+COUNTIFS($BM$9:$BM$508,$BM126,$BP$9:$BP$508,$BP126,$BS$9:$BS$508,$BS126,$BU$9:$BU$508,$BU126,$BW$9:$BW$508,"&lt;"&amp;$BW126)+COUNTIFS($BM$9:$BM$508,$BM126,$BP$9:$BP$508,$BP126,$BS$9:$BS$508,$BS126,$BU$9:$BU$508,$BU126,$BW$9:$BW$508,$BW126,$BY$9:$BY$508,"&lt;"&amp;$BY126)+1))</f>
        <v/>
      </c>
      <c r="CA126" s="124" t="str">
        <f aca="false">IF(ISBLANK($C126),"",IF($BL126&lt;&gt;Constants!$B$4,$BL126,$BQ126-$BZ126))</f>
        <v/>
      </c>
      <c r="CB126" s="130"/>
      <c r="CC126" s="131" t="str">
        <f aca="false">IF(ISBLANK($C126),"",IF($BL126=Constants!$B$8,$AR126,""))</f>
        <v/>
      </c>
      <c r="CD126" s="131" t="str">
        <f aca="false">IF(ISBLANK($C126),"",IF($BL126&lt;&gt;Constants!$B$4,"",IF($BB126="-&gt;",2,1)))</f>
        <v/>
      </c>
      <c r="CE126" s="132" t="str">
        <f aca="false">IF(ISBLANK($C126),"",IF($BL126&lt;&gt;Constants!$B$4,"",IF($BB126="-&gt;",$BE126,$AU126)))</f>
        <v/>
      </c>
      <c r="CF126" s="132" t="str">
        <f aca="false">IF(ISBLANK($C126),"",IF($BL126&lt;&gt;Constants!$B$4,"",IF($BB126="-&gt;",$BF126,$AV126)))</f>
        <v/>
      </c>
      <c r="CG126" s="132" t="str">
        <f aca="false">IF(ISBLANK($C126),"",IF($BL126&lt;&gt;Constants!$B$4,"",IF($BB126="-&gt;",$BG126,$AW126)))</f>
        <v/>
      </c>
      <c r="CH126" s="132" t="str">
        <f aca="false">IF(ISBLANK($C126),"",IF($BL126&lt;&gt;Constants!$B$4,"",IF($BB126="-&gt;",$BH126,$AX126)))</f>
        <v/>
      </c>
      <c r="CI126" s="133" t="str">
        <f aca="false">IF(ISBLANK($C126),"",$BO126)</f>
        <v/>
      </c>
      <c r="CJ126" s="134" t="str">
        <f aca="false">IF(ISBLANK($C126),"",$BM126)</f>
        <v/>
      </c>
      <c r="CK126" s="135" t="str">
        <f aca="false">IF(ISBLANK($C126),"",$CA126)</f>
        <v/>
      </c>
      <c r="CL126" s="135" t="str">
        <f aca="false">IF(ISBLANK($C126),"",$BZ126)</f>
        <v/>
      </c>
      <c r="CM126" s="136" t="str">
        <f aca="false">IF(ISBLANK($C126),"",IF($CL126=Constants!$B$7,COUNTA($C$9:$C$508)+2,IF($CL126=Constants!$B$6,COUNTA($C$9:$C$508)+1,IF($CL126=Constants!$B$5,COUNTA($C$9:$C$508),$CL126))))</f>
        <v/>
      </c>
      <c r="CN126" s="8"/>
      <c r="CO126" s="137" t="n">
        <f aca="false">IF(OR(ISNUMBER($CL126),$CL126=Constants!$B$7,$CL126=Constants!$B$5,$CL126=Constants!$B$6),1,0)</f>
        <v>0</v>
      </c>
      <c r="CP126" s="137" t="n">
        <v>118</v>
      </c>
      <c r="CQ126" s="137" t="str">
        <f aca="false">IF(ISBLANK($C126),"",IF(ISNUMBER($CM126),$CM126+ROW($B126)/1000,""))</f>
        <v/>
      </c>
      <c r="CR126" s="137" t="str">
        <f aca="false">IF(ISNUMBER($CQ126),RANK($CQ126,$CQ$9:$CQ$508,1),"")</f>
        <v/>
      </c>
      <c r="CS126" s="137" t="str">
        <f aca="false">IF(ISBLANK($C126),"",$B126)</f>
        <v/>
      </c>
      <c r="CT126" s="137" t="str">
        <f aca="false">IF(ISBLANK($C126),"",$C126)</f>
        <v/>
      </c>
      <c r="CU126" s="137" t="str">
        <f aca="false">IF(ISBLANK($C126),"",$D126)</f>
        <v/>
      </c>
      <c r="CV126" s="138" t="str">
        <f aca="false">$CJ126</f>
        <v/>
      </c>
      <c r="CW126" s="139" t="str">
        <f aca="false">$CI126</f>
        <v/>
      </c>
      <c r="CX126" s="137" t="str">
        <f aca="false">IF(ISBLANK($C126),"",$CL126)</f>
        <v/>
      </c>
      <c r="CY126" s="140" t="str">
        <f aca="false">IF($CP126&gt;$CO$8,"",VLOOKUP($CP126,$CR$9:$CX$508,7,FALSE()))</f>
        <v/>
      </c>
      <c r="CZ126" s="141" t="str">
        <f aca="false">IF($CP126&gt;$CO$8,"",VLOOKUP($CP126,$CR$9:$CX$508,2,FALSE()))</f>
        <v/>
      </c>
      <c r="DA126" s="141" t="str">
        <f aca="false">IF($CP126&gt;$CO$8,"",VLOOKUP($CP126,$CR$9:$CX$508,3,FALSE()))</f>
        <v/>
      </c>
      <c r="DB126" s="141" t="str">
        <f aca="false">IF($CP126&gt;$CO$8,"",VLOOKUP($CP126,$CR$9:$CX$508,4,FALSE()))</f>
        <v/>
      </c>
      <c r="DC126" s="141" t="str">
        <f aca="false">IF($CP126&gt;$CO$8,"",VLOOKUP($CP126,$CR$9:$CX$508,5,FALSE()))</f>
        <v/>
      </c>
      <c r="DD126" s="142" t="str">
        <f aca="false">IF($CP126&gt;$CO$8,"",VLOOKUP($CP126,$CR$9:$CX$508,6,FALSE()))</f>
        <v/>
      </c>
      <c r="DE126" s="70"/>
    </row>
    <row r="127" customFormat="false" ht="15.75" hidden="false" customHeight="false" outlineLevel="0" collapsed="false">
      <c r="A127" s="8"/>
      <c r="B127" s="146"/>
      <c r="C127" s="147"/>
      <c r="D127" s="148"/>
      <c r="E127" s="164"/>
      <c r="F127" s="150"/>
      <c r="G127" s="115"/>
      <c r="H127" s="115"/>
      <c r="I127" s="115"/>
      <c r="J127" s="165"/>
      <c r="K127" s="154"/>
      <c r="L127" s="154"/>
      <c r="M127" s="118"/>
      <c r="N127" s="154"/>
      <c r="O127" s="153"/>
      <c r="P127" s="154"/>
      <c r="Q127" s="154"/>
      <c r="R127" s="154"/>
      <c r="S127" s="115"/>
      <c r="T127" s="154"/>
      <c r="U127" s="153"/>
      <c r="V127" s="154"/>
      <c r="W127" s="123"/>
      <c r="X127" s="124" t="str">
        <f aca="false">IF(ISBLANK($C127),"",IF($E127=Constants!$B$2,TRUE(),IF($E127=Constants!$B$3,FALSE(),TRUE())))</f>
        <v/>
      </c>
      <c r="Y127" s="124" t="str">
        <f aca="false">IF(ISBLANK($C127),"",IF($F127=Constants!$B$2,TRUE(),IF($F127=Constants!$B$3,FALSE(),TRUE())))</f>
        <v/>
      </c>
      <c r="Z127" s="125" t="str">
        <f aca="false">IF(ISBLANK($C127),"",IF(ISNUMBER($G127),IF($G127&gt;=0,$G127,""),""))</f>
        <v/>
      </c>
      <c r="AA127" s="125" t="str">
        <f aca="false">IF(ISBLANK($C127),"",IF(ISNUMBER($H127),IF($H127&gt;=0,$H127,""),""))</f>
        <v/>
      </c>
      <c r="AB127" s="125" t="str">
        <f aca="false">IF(ISBLANK($C127),"",IF(ISNUMBER($I127),IF($I127&gt;=0,$I127,""),""))</f>
        <v/>
      </c>
      <c r="AC127" s="124" t="str">
        <f aca="false">IF(ISBLANK($C127),"",IF($J127=Constants!$B$2,TRUE(),IF($J127=Constants!$B$3,FALSE(),TRUE())))</f>
        <v/>
      </c>
      <c r="AD127" s="124" t="str">
        <f aca="false">IF(ISBLANK($C127),"",IF($K127=Constants!$B$2,TRUE(),IF($K127=Constants!$B$3,FALSE(),TRUE())))</f>
        <v/>
      </c>
      <c r="AE127" s="124" t="str">
        <f aca="false">IF(ISBLANK($C127),"",IF($L127=Constants!$B$2,TRUE(),IF($L127=Constants!$B$3,FALSE(),TRUE())))</f>
        <v/>
      </c>
      <c r="AF127" s="126" t="str">
        <f aca="false">IF(ISBLANK($C127),"",IF(ISNUMBER($M127),IF($M127&gt;=0,$M127,""),""))</f>
        <v/>
      </c>
      <c r="AG127" s="124" t="str">
        <f aca="false">IF(ISBLANK($C127),"",IF(ISBLANK($N127),0,IF(ISNUMBER($N127),IF(AND($N127&gt;=0,$N127&lt;=Constants!$B$17,$N127=INT($N127)),$N127,""),"")))</f>
        <v/>
      </c>
      <c r="AH127" s="125" t="str">
        <f aca="false">IF(ISBLANK($C127),"",IF(ISBLANK($O127),0,IF(ISNUMBER($O127),IF($O127&gt;=0,$O127,""),"")))</f>
        <v/>
      </c>
      <c r="AI127" s="124" t="str">
        <f aca="false">IF(ISBLANK($C127),"",IF($P127=Constants!$B$2,TRUE(),IF($P127=Constants!$B$3,FALSE(),TRUE())))</f>
        <v/>
      </c>
      <c r="AJ127" s="124" t="str">
        <f aca="false">IF(ISBLANK($C127),"",IF($Q127=Constants!$B$2,TRUE(),IF($Q127=Constants!$B$3,FALSE(),TRUE())))</f>
        <v/>
      </c>
      <c r="AK127" s="124" t="str">
        <f aca="false">IF(ISBLANK($C127),"",IF($R127=Constants!$B$2,TRUE(),IF($R127=Constants!$B$3,FALSE(),TRUE())))</f>
        <v/>
      </c>
      <c r="AL127" s="126" t="str">
        <f aca="false">IF(ISBLANK($C127),"",IF(ISNUMBER($S127),IF($S127&gt;=0,$S127,""),""))</f>
        <v/>
      </c>
      <c r="AM127" s="124" t="str">
        <f aca="false">IF(ISBLANK($C127),"",IF(ISBLANK($T127),0,IF(ISNUMBER($T127),IF(AND($T127&gt;=0,$T127&lt;=Constants!$B$17,$T127=INT($T127)),$T127,""),"")))</f>
        <v/>
      </c>
      <c r="AN127" s="125" t="str">
        <f aca="false">IF(ISBLANK($C127),"",IF(ISBLANK($U127),0,IF(ISNUMBER($U127),IF($U127&gt;=0,$U127,""),"")))</f>
        <v/>
      </c>
      <c r="AO127" s="124" t="str">
        <f aca="false">IF(ISBLANK($C127),"",IF($V127=Constants!$B$2,TRUE(),IF($V127=Constants!$B$3,FALSE(),FALSE())))</f>
        <v/>
      </c>
      <c r="AP127" s="124"/>
      <c r="AQ127" s="123" t="str">
        <f aca="false">IF(ISBLANK($C127),"",AND($Y127,OR($AS127,$BC127),OR($Z127="",$AA127="",$AB127="")))</f>
        <v/>
      </c>
      <c r="AR127" s="123" t="str">
        <f aca="false">IF(ISBLANK($C127),"",IF(OR(NOT($Y127),NOT(OR($AS127,$BC127))),"",IF(ISBLANK($D$7),$AR$5,IF($AP$9="",$AR$6,""))))</f>
        <v/>
      </c>
      <c r="AS127" s="123" t="str">
        <f aca="false">IF(ISBLANK($C127),"",COUNTA($J127:$O127)&gt;0)</f>
        <v/>
      </c>
      <c r="AT127" s="123" t="str">
        <f aca="false">IF(ISBLANK($C127),"",AND($AS127,OR(AND($AF127="",OR($AE127,NOT(ISBLANK($M127)))),$AG127="",$AH127="")))</f>
        <v/>
      </c>
      <c r="AU127" s="125" t="str">
        <f aca="false">IF($BL127&lt;&gt;Constants!$B$4,"",IF(NOT($AS127),"",ROUND((Constants!$B$12-$AB127)+(Constants!$B$13-$Z127)+(Constants!$B$14-$AA127),1)))</f>
        <v/>
      </c>
      <c r="AV127" s="127" t="str">
        <f aca="false">IF($BL127&lt;&gt;Constants!$B$4,"",IF(NOT($AS127),"",IF(NOT($AE127),0,Constants!$B$15*(INT(ROUND(MIN($AF127,$AP$9),6))-INT(ROUND(MAX(0,MIN($AF127,2*$AP$9)-$AP$9),6))))))</f>
        <v/>
      </c>
      <c r="AW127" s="127" t="str">
        <f aca="false">IF($BL127&lt;&gt;Constants!$B$4,"",IF(NOT($AS127),"",Constants!$B$16*$AG127))</f>
        <v/>
      </c>
      <c r="AX127" s="127" t="str">
        <f aca="false">IF($BL127&lt;&gt;Constants!$B$4,"",IF(NOT($AS127),"",Constants!$B$18*INT(ROUND($AH127,6))))</f>
        <v/>
      </c>
      <c r="AY127" s="123" t="str">
        <f aca="false">IF($BL127&lt;&gt;Constants!$B$4,"",IF(NOT($AS127),"",IF(NOT($X127),Constants!$B$11,IF(OR(NOT($AC127),NOT($AD127),ROUND($AB127,1)&gt;Constants!$B$12,ROUND($Z127,1)&gt;Constants!$B$13,ROUND($AA127,1)&gt;Constants!$B$14),Constants!$B$10,Constants!$B$9))))</f>
        <v/>
      </c>
      <c r="AZ127" s="128" t="str">
        <f aca="false">IF($BL127&lt;&gt;Constants!$B$4,"",IF(NOT($AS127),"",ROUND($AU127+$AV127+$AW127+$AX127,1)))</f>
        <v/>
      </c>
      <c r="BA127" s="129" t="str">
        <f aca="false">IF($BL127&lt;&gt;Constants!$B$4,"",IF(NOT($AS127),"",IF(ISNUMBER($AF127),$AF127,0)))</f>
        <v/>
      </c>
      <c r="BB127" s="124" t="str">
        <f aca="false">IF($BL127&lt;&gt;Constants!$B$4,"",IF(NOT($BC127),"&lt;-",IF(NOT($AS127),"-&gt;",IF(OR($BI127&lt;$AY127,AND($BI127=$AY127,OR($BJ127&gt;$AZ127,AND($BJ127=$AZ127,OR($BH127&gt;$AX127,AND($BH127=$AX127,OR($BE127&gt;$AU127,AND($BE127=$AU127,OR($BF127&gt;$AV127,AND($BF127=$AV127,$BK127&gt;$BA127)))))))))),"-&gt;","&lt;-"))))</f>
        <v/>
      </c>
      <c r="BC127" s="123" t="str">
        <f aca="false">IF(ISBLANK($C127),"",COUNTA($P127:$U127)&gt;0)</f>
        <v/>
      </c>
      <c r="BD127" s="123" t="str">
        <f aca="false">IF(ISBLANK($C127),"",AND($BC127,OR(AND($AL127="",OR($AK127,NOT(ISBLANK($S127)))),$AM127="",$AN127="")))</f>
        <v/>
      </c>
      <c r="BE127" s="125" t="str">
        <f aca="false">IF($BL127&lt;&gt;Constants!$B$4,"",IF(NOT($BC127),"",ROUND((Constants!$B$12-$AB127)+(Constants!$B$13-$Z127)+(Constants!$B$14-$AA127),1)))</f>
        <v/>
      </c>
      <c r="BF127" s="127" t="str">
        <f aca="false">IF($BL127&lt;&gt;Constants!$B$4,"",IF(NOT($BC127),"",IF(NOT($AK127),0,Constants!$B$15*(INT(ROUND(MIN($AL127,$AP$9),6))-INT(ROUND(MAX(0,MIN($AL127,2*$AP$9)-$AP$9),6))))))</f>
        <v/>
      </c>
      <c r="BG127" s="127" t="str">
        <f aca="false">IF($BL127&lt;&gt;Constants!$B$4,"",IF(NOT($BC127),"",Constants!$B$16*$AM127))</f>
        <v/>
      </c>
      <c r="BH127" s="127" t="str">
        <f aca="false">IF($BL127&lt;&gt;Constants!$B$4,"",IF(NOT($BC127),"",Constants!$B$18*INT(ROUND($AN127,6))))</f>
        <v/>
      </c>
      <c r="BI127" s="123" t="str">
        <f aca="false">IF($BL127&lt;&gt;Constants!$B$4,"",IF(NOT($BC127),"",IF(NOT($X127),Constants!$B$11,IF(OR(NOT($AI127),NOT($AJ127),ROUND($AB127,1)&gt;Constants!$B$12,ROUND($Z127,1)&gt;Constants!$B$13,ROUND($AA127,1)&gt;Constants!$B$14),Constants!$B$10,Constants!$B$9))))</f>
        <v/>
      </c>
      <c r="BJ127" s="128" t="str">
        <f aca="false">IF($BL127&lt;&gt;Constants!$B$4,"",IF(NOT($BC127),"",ROUND($BE127+$BF127+$BG127+$BH127,1)))</f>
        <v/>
      </c>
      <c r="BK127" s="129" t="str">
        <f aca="false">IF($BL127&lt;&gt;Constants!$B$4,"",IF(NOT($BC127),"",IF(ISNUMBER($AL127),$AL127,0)))</f>
        <v/>
      </c>
      <c r="BL127" s="124" t="str">
        <f aca="false">IF(ISBLANK($C127),"",IF($AO127,Constants!$B$7,IF(COUNTA($E127:$V127)=0,Constants!$B$6,IF(NOT($Y127),Constants!$B$5,IF(NOT(OR($AS127,$BC127)),Constants!$B$5,IF(OR($AT127,$BD127,$AQ127,$AR127&lt;&gt;""),Constants!$B$8,Constants!$B$4))))))</f>
        <v/>
      </c>
      <c r="BM127" s="124" t="str">
        <f aca="false">IF(ISBLANK($C127),"",IF($BL127&lt;&gt;Constants!$B$4,$BL127,IF($BB127="-&gt;",$BI127,$AY127)))</f>
        <v/>
      </c>
      <c r="BN127" s="127" t="str">
        <f aca="false">IF($BL127&lt;&gt;Constants!$B$4,"",IF($BB127="-&gt;",$BJ127,$AZ127))</f>
        <v/>
      </c>
      <c r="BO127" s="127" t="str">
        <f aca="false">IF(ISBLANK($C127),"",IF($BL127&lt;&gt;Constants!$B$4,$BL127,$BN127))</f>
        <v/>
      </c>
      <c r="BP127" s="124" t="str">
        <f aca="false">IF(ISBLANK($C127),"",IF($BL127&lt;&gt;Constants!$B$4,$BL127,RANK($BO127,$BO$9:$BO$508,0)))</f>
        <v/>
      </c>
      <c r="BQ127" s="124" t="str">
        <f aca="false">IF(ISBLANK($C127),"",IF($BL127&lt;&gt;Constants!$B$4,$BL127,COUNTIFS($BM$9:$BM$508,"&lt;"&amp;$BM127)+COUNTIFS($BM$9:$BM$508,$BM127,$BP$9:$BP$508,"&lt;"&amp;$BP127)+1))</f>
        <v/>
      </c>
      <c r="BR127" s="127" t="str">
        <f aca="false">IF($BL127&lt;&gt;Constants!$B$4,"",IF($BB127="-&gt;",$BH127,$AX127))</f>
        <v/>
      </c>
      <c r="BS127" s="124" t="str">
        <f aca="false">IF(ISBLANK($C127),"",IF($BL127&lt;&gt;Constants!$B$4,$BL127,IF(ISNUMBER($BR127),RANK($BR127,$BR$9:$BR$508,0),COUNT($BR$9:$BR$508)+1)))</f>
        <v/>
      </c>
      <c r="BT127" s="127" t="str">
        <f aca="false">IF($BL127&lt;&gt;Constants!$B$4,"",IF($BB127="-&gt;",$BE127,$AU127))</f>
        <v/>
      </c>
      <c r="BU127" s="124" t="str">
        <f aca="false">IF(ISBLANK($C127),"",IF($BL127&lt;&gt;Constants!$B$4,$BL127,IF(ISNUMBER($BT127),RANK($BT127,$BT$9:$BT$508,0),COUNT($BT$9:$BT$508)+1)))</f>
        <v/>
      </c>
      <c r="BV127" s="127" t="str">
        <f aca="false">IF($BL127&lt;&gt;Constants!$B$4,"",IF($BB127="-&gt;",$BF127,$AV127))</f>
        <v/>
      </c>
      <c r="BW127" s="124" t="str">
        <f aca="false">IF(ISBLANK($C127),"",IF($BL127&lt;&gt;Constants!$B$4,$BL127,IF(ISNUMBER($BV127),RANK($BV127,$BV$9:$BV$508,0),COUNT($BV$9:$BV$508)+1)))</f>
        <v/>
      </c>
      <c r="BX127" s="127" t="str">
        <f aca="false">IF($BL127&lt;&gt;Constants!$B$4,"",IF($BB127="-&gt;",$BK127,$BA127))</f>
        <v/>
      </c>
      <c r="BY127" s="124" t="str">
        <f aca="false">IF(ISBLANK($C127),"",IF($BL127&lt;&gt;Constants!$B$4,$BL127,IF(ISNUMBER($BX127),RANK($BX127,$BX$9:$BX$508,0),COUNT($BX$9:$BX$508)+1)))</f>
        <v/>
      </c>
      <c r="BZ127" s="124" t="str">
        <f aca="false">IF(ISBLANK($C127),"",IF($BL127&lt;&gt;Constants!$B$4,$BL127,COUNTIFS($BM$9:$BM$508,"&lt;"&amp;$BM127)+COUNTIFS($BM$9:$BM$508,$BM127,$BP$9:$BP$508,"&lt;"&amp;$BP127)+COUNTIFS($BM$9:$BM$508,$BM127,$BP$9:$BP$508,$BP127,$BS$9:$BS$508,"&lt;"&amp;$BS127)+COUNTIFS($BM$9:$BM$508,$BM127,$BP$9:$BP$508,$BP127,$BS$9:$BS$508,$BS127,$BU$9:$BU$508,"&lt;"&amp;$BU127)+COUNTIFS($BM$9:$BM$508,$BM127,$BP$9:$BP$508,$BP127,$BS$9:$BS$508,$BS127,$BU$9:$BU$508,$BU127,$BW$9:$BW$508,"&lt;"&amp;$BW127)+COUNTIFS($BM$9:$BM$508,$BM127,$BP$9:$BP$508,$BP127,$BS$9:$BS$508,$BS127,$BU$9:$BU$508,$BU127,$BW$9:$BW$508,$BW127,$BY$9:$BY$508,"&lt;"&amp;$BY127)+1))</f>
        <v/>
      </c>
      <c r="CA127" s="124" t="str">
        <f aca="false">IF(ISBLANK($C127),"",IF($BL127&lt;&gt;Constants!$B$4,$BL127,$BQ127-$BZ127))</f>
        <v/>
      </c>
      <c r="CB127" s="130"/>
      <c r="CC127" s="131" t="str">
        <f aca="false">IF(ISBLANK($C127),"",IF($BL127=Constants!$B$8,$AR127,""))</f>
        <v/>
      </c>
      <c r="CD127" s="131" t="str">
        <f aca="false">IF(ISBLANK($C127),"",IF($BL127&lt;&gt;Constants!$B$4,"",IF($BB127="-&gt;",2,1)))</f>
        <v/>
      </c>
      <c r="CE127" s="132" t="str">
        <f aca="false">IF(ISBLANK($C127),"",IF($BL127&lt;&gt;Constants!$B$4,"",IF($BB127="-&gt;",$BE127,$AU127)))</f>
        <v/>
      </c>
      <c r="CF127" s="132" t="str">
        <f aca="false">IF(ISBLANK($C127),"",IF($BL127&lt;&gt;Constants!$B$4,"",IF($BB127="-&gt;",$BF127,$AV127)))</f>
        <v/>
      </c>
      <c r="CG127" s="132" t="str">
        <f aca="false">IF(ISBLANK($C127),"",IF($BL127&lt;&gt;Constants!$B$4,"",IF($BB127="-&gt;",$BG127,$AW127)))</f>
        <v/>
      </c>
      <c r="CH127" s="132" t="str">
        <f aca="false">IF(ISBLANK($C127),"",IF($BL127&lt;&gt;Constants!$B$4,"",IF($BB127="-&gt;",$BH127,$AX127)))</f>
        <v/>
      </c>
      <c r="CI127" s="133" t="str">
        <f aca="false">IF(ISBLANK($C127),"",$BO127)</f>
        <v/>
      </c>
      <c r="CJ127" s="134" t="str">
        <f aca="false">IF(ISBLANK($C127),"",$BM127)</f>
        <v/>
      </c>
      <c r="CK127" s="135" t="str">
        <f aca="false">IF(ISBLANK($C127),"",$CA127)</f>
        <v/>
      </c>
      <c r="CL127" s="135" t="str">
        <f aca="false">IF(ISBLANK($C127),"",$BZ127)</f>
        <v/>
      </c>
      <c r="CM127" s="136" t="str">
        <f aca="false">IF(ISBLANK($C127),"",IF($CL127=Constants!$B$7,COUNTA($C$9:$C$508)+2,IF($CL127=Constants!$B$6,COUNTA($C$9:$C$508)+1,IF($CL127=Constants!$B$5,COUNTA($C$9:$C$508),$CL127))))</f>
        <v/>
      </c>
      <c r="CN127" s="8"/>
      <c r="CO127" s="137" t="n">
        <f aca="false">IF(OR(ISNUMBER($CL127),$CL127=Constants!$B$7,$CL127=Constants!$B$5,$CL127=Constants!$B$6),1,0)</f>
        <v>0</v>
      </c>
      <c r="CP127" s="137" t="n">
        <v>119</v>
      </c>
      <c r="CQ127" s="137" t="str">
        <f aca="false">IF(ISBLANK($C127),"",IF(ISNUMBER($CM127),$CM127+ROW($B127)/1000,""))</f>
        <v/>
      </c>
      <c r="CR127" s="137" t="str">
        <f aca="false">IF(ISNUMBER($CQ127),RANK($CQ127,$CQ$9:$CQ$508,1),"")</f>
        <v/>
      </c>
      <c r="CS127" s="137" t="str">
        <f aca="false">IF(ISBLANK($C127),"",$B127)</f>
        <v/>
      </c>
      <c r="CT127" s="137" t="str">
        <f aca="false">IF(ISBLANK($C127),"",$C127)</f>
        <v/>
      </c>
      <c r="CU127" s="137" t="str">
        <f aca="false">IF(ISBLANK($C127),"",$D127)</f>
        <v/>
      </c>
      <c r="CV127" s="138" t="str">
        <f aca="false">$CJ127</f>
        <v/>
      </c>
      <c r="CW127" s="139" t="str">
        <f aca="false">$CI127</f>
        <v/>
      </c>
      <c r="CX127" s="137" t="str">
        <f aca="false">IF(ISBLANK($C127),"",$CL127)</f>
        <v/>
      </c>
      <c r="CY127" s="140" t="str">
        <f aca="false">IF($CP127&gt;$CO$8,"",VLOOKUP($CP127,$CR$9:$CX$508,7,FALSE()))</f>
        <v/>
      </c>
      <c r="CZ127" s="141" t="str">
        <f aca="false">IF($CP127&gt;$CO$8,"",VLOOKUP($CP127,$CR$9:$CX$508,2,FALSE()))</f>
        <v/>
      </c>
      <c r="DA127" s="141" t="str">
        <f aca="false">IF($CP127&gt;$CO$8,"",VLOOKUP($CP127,$CR$9:$CX$508,3,FALSE()))</f>
        <v/>
      </c>
      <c r="DB127" s="141" t="str">
        <f aca="false">IF($CP127&gt;$CO$8,"",VLOOKUP($CP127,$CR$9:$CX$508,4,FALSE()))</f>
        <v/>
      </c>
      <c r="DC127" s="141" t="str">
        <f aca="false">IF($CP127&gt;$CO$8,"",VLOOKUP($CP127,$CR$9:$CX$508,5,FALSE()))</f>
        <v/>
      </c>
      <c r="DD127" s="142" t="str">
        <f aca="false">IF($CP127&gt;$CO$8,"",VLOOKUP($CP127,$CR$9:$CX$508,6,FALSE()))</f>
        <v/>
      </c>
      <c r="DE127" s="70"/>
    </row>
    <row r="128" customFormat="false" ht="15.75" hidden="false" customHeight="false" outlineLevel="0" collapsed="false">
      <c r="A128" s="8"/>
      <c r="B128" s="146"/>
      <c r="C128" s="147"/>
      <c r="D128" s="148"/>
      <c r="E128" s="164"/>
      <c r="F128" s="150"/>
      <c r="G128" s="115"/>
      <c r="H128" s="115"/>
      <c r="I128" s="115"/>
      <c r="J128" s="165"/>
      <c r="K128" s="154"/>
      <c r="L128" s="154"/>
      <c r="M128" s="118"/>
      <c r="N128" s="154"/>
      <c r="O128" s="153"/>
      <c r="P128" s="154"/>
      <c r="Q128" s="154"/>
      <c r="R128" s="154"/>
      <c r="S128" s="115"/>
      <c r="T128" s="154"/>
      <c r="U128" s="153"/>
      <c r="V128" s="154"/>
      <c r="W128" s="123"/>
      <c r="X128" s="124" t="str">
        <f aca="false">IF(ISBLANK($C128),"",IF($E128=Constants!$B$2,TRUE(),IF($E128=Constants!$B$3,FALSE(),TRUE())))</f>
        <v/>
      </c>
      <c r="Y128" s="124" t="str">
        <f aca="false">IF(ISBLANK($C128),"",IF($F128=Constants!$B$2,TRUE(),IF($F128=Constants!$B$3,FALSE(),TRUE())))</f>
        <v/>
      </c>
      <c r="Z128" s="125" t="str">
        <f aca="false">IF(ISBLANK($C128),"",IF(ISNUMBER($G128),IF($G128&gt;=0,$G128,""),""))</f>
        <v/>
      </c>
      <c r="AA128" s="125" t="str">
        <f aca="false">IF(ISBLANK($C128),"",IF(ISNUMBER($H128),IF($H128&gt;=0,$H128,""),""))</f>
        <v/>
      </c>
      <c r="AB128" s="125" t="str">
        <f aca="false">IF(ISBLANK($C128),"",IF(ISNUMBER($I128),IF($I128&gt;=0,$I128,""),""))</f>
        <v/>
      </c>
      <c r="AC128" s="124" t="str">
        <f aca="false">IF(ISBLANK($C128),"",IF($J128=Constants!$B$2,TRUE(),IF($J128=Constants!$B$3,FALSE(),TRUE())))</f>
        <v/>
      </c>
      <c r="AD128" s="124" t="str">
        <f aca="false">IF(ISBLANK($C128),"",IF($K128=Constants!$B$2,TRUE(),IF($K128=Constants!$B$3,FALSE(),TRUE())))</f>
        <v/>
      </c>
      <c r="AE128" s="124" t="str">
        <f aca="false">IF(ISBLANK($C128),"",IF($L128=Constants!$B$2,TRUE(),IF($L128=Constants!$B$3,FALSE(),TRUE())))</f>
        <v/>
      </c>
      <c r="AF128" s="126" t="str">
        <f aca="false">IF(ISBLANK($C128),"",IF(ISNUMBER($M128),IF($M128&gt;=0,$M128,""),""))</f>
        <v/>
      </c>
      <c r="AG128" s="124" t="str">
        <f aca="false">IF(ISBLANK($C128),"",IF(ISBLANK($N128),0,IF(ISNUMBER($N128),IF(AND($N128&gt;=0,$N128&lt;=Constants!$B$17,$N128=INT($N128)),$N128,""),"")))</f>
        <v/>
      </c>
      <c r="AH128" s="125" t="str">
        <f aca="false">IF(ISBLANK($C128),"",IF(ISBLANK($O128),0,IF(ISNUMBER($O128),IF($O128&gt;=0,$O128,""),"")))</f>
        <v/>
      </c>
      <c r="AI128" s="124" t="str">
        <f aca="false">IF(ISBLANK($C128),"",IF($P128=Constants!$B$2,TRUE(),IF($P128=Constants!$B$3,FALSE(),TRUE())))</f>
        <v/>
      </c>
      <c r="AJ128" s="124" t="str">
        <f aca="false">IF(ISBLANK($C128),"",IF($Q128=Constants!$B$2,TRUE(),IF($Q128=Constants!$B$3,FALSE(),TRUE())))</f>
        <v/>
      </c>
      <c r="AK128" s="124" t="str">
        <f aca="false">IF(ISBLANK($C128),"",IF($R128=Constants!$B$2,TRUE(),IF($R128=Constants!$B$3,FALSE(),TRUE())))</f>
        <v/>
      </c>
      <c r="AL128" s="126" t="str">
        <f aca="false">IF(ISBLANK($C128),"",IF(ISNUMBER($S128),IF($S128&gt;=0,$S128,""),""))</f>
        <v/>
      </c>
      <c r="AM128" s="124" t="str">
        <f aca="false">IF(ISBLANK($C128),"",IF(ISBLANK($T128),0,IF(ISNUMBER($T128),IF(AND($T128&gt;=0,$T128&lt;=Constants!$B$17,$T128=INT($T128)),$T128,""),"")))</f>
        <v/>
      </c>
      <c r="AN128" s="125" t="str">
        <f aca="false">IF(ISBLANK($C128),"",IF(ISBLANK($U128),0,IF(ISNUMBER($U128),IF($U128&gt;=0,$U128,""),"")))</f>
        <v/>
      </c>
      <c r="AO128" s="124" t="str">
        <f aca="false">IF(ISBLANK($C128),"",IF($V128=Constants!$B$2,TRUE(),IF($V128=Constants!$B$3,FALSE(),FALSE())))</f>
        <v/>
      </c>
      <c r="AP128" s="124"/>
      <c r="AQ128" s="123" t="str">
        <f aca="false">IF(ISBLANK($C128),"",AND($Y128,OR($AS128,$BC128),OR($Z128="",$AA128="",$AB128="")))</f>
        <v/>
      </c>
      <c r="AR128" s="123" t="str">
        <f aca="false">IF(ISBLANK($C128),"",IF(OR(NOT($Y128),NOT(OR($AS128,$BC128))),"",IF(ISBLANK($D$7),$AR$5,IF($AP$9="",$AR$6,""))))</f>
        <v/>
      </c>
      <c r="AS128" s="123" t="str">
        <f aca="false">IF(ISBLANK($C128),"",COUNTA($J128:$O128)&gt;0)</f>
        <v/>
      </c>
      <c r="AT128" s="123" t="str">
        <f aca="false">IF(ISBLANK($C128),"",AND($AS128,OR(AND($AF128="",OR($AE128,NOT(ISBLANK($M128)))),$AG128="",$AH128="")))</f>
        <v/>
      </c>
      <c r="AU128" s="125" t="str">
        <f aca="false">IF($BL128&lt;&gt;Constants!$B$4,"",IF(NOT($AS128),"",ROUND((Constants!$B$12-$AB128)+(Constants!$B$13-$Z128)+(Constants!$B$14-$AA128),1)))</f>
        <v/>
      </c>
      <c r="AV128" s="127" t="str">
        <f aca="false">IF($BL128&lt;&gt;Constants!$B$4,"",IF(NOT($AS128),"",IF(NOT($AE128),0,Constants!$B$15*(INT(ROUND(MIN($AF128,$AP$9),6))-INT(ROUND(MAX(0,MIN($AF128,2*$AP$9)-$AP$9),6))))))</f>
        <v/>
      </c>
      <c r="AW128" s="127" t="str">
        <f aca="false">IF($BL128&lt;&gt;Constants!$B$4,"",IF(NOT($AS128),"",Constants!$B$16*$AG128))</f>
        <v/>
      </c>
      <c r="AX128" s="127" t="str">
        <f aca="false">IF($BL128&lt;&gt;Constants!$B$4,"",IF(NOT($AS128),"",Constants!$B$18*INT(ROUND($AH128,6))))</f>
        <v/>
      </c>
      <c r="AY128" s="123" t="str">
        <f aca="false">IF($BL128&lt;&gt;Constants!$B$4,"",IF(NOT($AS128),"",IF(NOT($X128),Constants!$B$11,IF(OR(NOT($AC128),NOT($AD128),ROUND($AB128,1)&gt;Constants!$B$12,ROUND($Z128,1)&gt;Constants!$B$13,ROUND($AA128,1)&gt;Constants!$B$14),Constants!$B$10,Constants!$B$9))))</f>
        <v/>
      </c>
      <c r="AZ128" s="128" t="str">
        <f aca="false">IF($BL128&lt;&gt;Constants!$B$4,"",IF(NOT($AS128),"",ROUND($AU128+$AV128+$AW128+$AX128,1)))</f>
        <v/>
      </c>
      <c r="BA128" s="129" t="str">
        <f aca="false">IF($BL128&lt;&gt;Constants!$B$4,"",IF(NOT($AS128),"",IF(ISNUMBER($AF128),$AF128,0)))</f>
        <v/>
      </c>
      <c r="BB128" s="124" t="str">
        <f aca="false">IF($BL128&lt;&gt;Constants!$B$4,"",IF(NOT($BC128),"&lt;-",IF(NOT($AS128),"-&gt;",IF(OR($BI128&lt;$AY128,AND($BI128=$AY128,OR($BJ128&gt;$AZ128,AND($BJ128=$AZ128,OR($BH128&gt;$AX128,AND($BH128=$AX128,OR($BE128&gt;$AU128,AND($BE128=$AU128,OR($BF128&gt;$AV128,AND($BF128=$AV128,$BK128&gt;$BA128)))))))))),"-&gt;","&lt;-"))))</f>
        <v/>
      </c>
      <c r="BC128" s="123" t="str">
        <f aca="false">IF(ISBLANK($C128),"",COUNTA($P128:$U128)&gt;0)</f>
        <v/>
      </c>
      <c r="BD128" s="123" t="str">
        <f aca="false">IF(ISBLANK($C128),"",AND($BC128,OR(AND($AL128="",OR($AK128,NOT(ISBLANK($S128)))),$AM128="",$AN128="")))</f>
        <v/>
      </c>
      <c r="BE128" s="125" t="str">
        <f aca="false">IF($BL128&lt;&gt;Constants!$B$4,"",IF(NOT($BC128),"",ROUND((Constants!$B$12-$AB128)+(Constants!$B$13-$Z128)+(Constants!$B$14-$AA128),1)))</f>
        <v/>
      </c>
      <c r="BF128" s="127" t="str">
        <f aca="false">IF($BL128&lt;&gt;Constants!$B$4,"",IF(NOT($BC128),"",IF(NOT($AK128),0,Constants!$B$15*(INT(ROUND(MIN($AL128,$AP$9),6))-INT(ROUND(MAX(0,MIN($AL128,2*$AP$9)-$AP$9),6))))))</f>
        <v/>
      </c>
      <c r="BG128" s="127" t="str">
        <f aca="false">IF($BL128&lt;&gt;Constants!$B$4,"",IF(NOT($BC128),"",Constants!$B$16*$AM128))</f>
        <v/>
      </c>
      <c r="BH128" s="127" t="str">
        <f aca="false">IF($BL128&lt;&gt;Constants!$B$4,"",IF(NOT($BC128),"",Constants!$B$18*INT(ROUND($AN128,6))))</f>
        <v/>
      </c>
      <c r="BI128" s="123" t="str">
        <f aca="false">IF($BL128&lt;&gt;Constants!$B$4,"",IF(NOT($BC128),"",IF(NOT($X128),Constants!$B$11,IF(OR(NOT($AI128),NOT($AJ128),ROUND($AB128,1)&gt;Constants!$B$12,ROUND($Z128,1)&gt;Constants!$B$13,ROUND($AA128,1)&gt;Constants!$B$14),Constants!$B$10,Constants!$B$9))))</f>
        <v/>
      </c>
      <c r="BJ128" s="128" t="str">
        <f aca="false">IF($BL128&lt;&gt;Constants!$B$4,"",IF(NOT($BC128),"",ROUND($BE128+$BF128+$BG128+$BH128,1)))</f>
        <v/>
      </c>
      <c r="BK128" s="129" t="str">
        <f aca="false">IF($BL128&lt;&gt;Constants!$B$4,"",IF(NOT($BC128),"",IF(ISNUMBER($AL128),$AL128,0)))</f>
        <v/>
      </c>
      <c r="BL128" s="124" t="str">
        <f aca="false">IF(ISBLANK($C128),"",IF($AO128,Constants!$B$7,IF(COUNTA($E128:$V128)=0,Constants!$B$6,IF(NOT($Y128),Constants!$B$5,IF(NOT(OR($AS128,$BC128)),Constants!$B$5,IF(OR($AT128,$BD128,$AQ128,$AR128&lt;&gt;""),Constants!$B$8,Constants!$B$4))))))</f>
        <v/>
      </c>
      <c r="BM128" s="124" t="str">
        <f aca="false">IF(ISBLANK($C128),"",IF($BL128&lt;&gt;Constants!$B$4,$BL128,IF($BB128="-&gt;",$BI128,$AY128)))</f>
        <v/>
      </c>
      <c r="BN128" s="127" t="str">
        <f aca="false">IF($BL128&lt;&gt;Constants!$B$4,"",IF($BB128="-&gt;",$BJ128,$AZ128))</f>
        <v/>
      </c>
      <c r="BO128" s="127" t="str">
        <f aca="false">IF(ISBLANK($C128),"",IF($BL128&lt;&gt;Constants!$B$4,$BL128,$BN128))</f>
        <v/>
      </c>
      <c r="BP128" s="124" t="str">
        <f aca="false">IF(ISBLANK($C128),"",IF($BL128&lt;&gt;Constants!$B$4,$BL128,RANK($BO128,$BO$9:$BO$508,0)))</f>
        <v/>
      </c>
      <c r="BQ128" s="124" t="str">
        <f aca="false">IF(ISBLANK($C128),"",IF($BL128&lt;&gt;Constants!$B$4,$BL128,COUNTIFS($BM$9:$BM$508,"&lt;"&amp;$BM128)+COUNTIFS($BM$9:$BM$508,$BM128,$BP$9:$BP$508,"&lt;"&amp;$BP128)+1))</f>
        <v/>
      </c>
      <c r="BR128" s="127" t="str">
        <f aca="false">IF($BL128&lt;&gt;Constants!$B$4,"",IF($BB128="-&gt;",$BH128,$AX128))</f>
        <v/>
      </c>
      <c r="BS128" s="124" t="str">
        <f aca="false">IF(ISBLANK($C128),"",IF($BL128&lt;&gt;Constants!$B$4,$BL128,IF(ISNUMBER($BR128),RANK($BR128,$BR$9:$BR$508,0),COUNT($BR$9:$BR$508)+1)))</f>
        <v/>
      </c>
      <c r="BT128" s="127" t="str">
        <f aca="false">IF($BL128&lt;&gt;Constants!$B$4,"",IF($BB128="-&gt;",$BE128,$AU128))</f>
        <v/>
      </c>
      <c r="BU128" s="124" t="str">
        <f aca="false">IF(ISBLANK($C128),"",IF($BL128&lt;&gt;Constants!$B$4,$BL128,IF(ISNUMBER($BT128),RANK($BT128,$BT$9:$BT$508,0),COUNT($BT$9:$BT$508)+1)))</f>
        <v/>
      </c>
      <c r="BV128" s="127" t="str">
        <f aca="false">IF($BL128&lt;&gt;Constants!$B$4,"",IF($BB128="-&gt;",$BF128,$AV128))</f>
        <v/>
      </c>
      <c r="BW128" s="124" t="str">
        <f aca="false">IF(ISBLANK($C128),"",IF($BL128&lt;&gt;Constants!$B$4,$BL128,IF(ISNUMBER($BV128),RANK($BV128,$BV$9:$BV$508,0),COUNT($BV$9:$BV$508)+1)))</f>
        <v/>
      </c>
      <c r="BX128" s="127" t="str">
        <f aca="false">IF($BL128&lt;&gt;Constants!$B$4,"",IF($BB128="-&gt;",$BK128,$BA128))</f>
        <v/>
      </c>
      <c r="BY128" s="124" t="str">
        <f aca="false">IF(ISBLANK($C128),"",IF($BL128&lt;&gt;Constants!$B$4,$BL128,IF(ISNUMBER($BX128),RANK($BX128,$BX$9:$BX$508,0),COUNT($BX$9:$BX$508)+1)))</f>
        <v/>
      </c>
      <c r="BZ128" s="124" t="str">
        <f aca="false">IF(ISBLANK($C128),"",IF($BL128&lt;&gt;Constants!$B$4,$BL128,COUNTIFS($BM$9:$BM$508,"&lt;"&amp;$BM128)+COUNTIFS($BM$9:$BM$508,$BM128,$BP$9:$BP$508,"&lt;"&amp;$BP128)+COUNTIFS($BM$9:$BM$508,$BM128,$BP$9:$BP$508,$BP128,$BS$9:$BS$508,"&lt;"&amp;$BS128)+COUNTIFS($BM$9:$BM$508,$BM128,$BP$9:$BP$508,$BP128,$BS$9:$BS$508,$BS128,$BU$9:$BU$508,"&lt;"&amp;$BU128)+COUNTIFS($BM$9:$BM$508,$BM128,$BP$9:$BP$508,$BP128,$BS$9:$BS$508,$BS128,$BU$9:$BU$508,$BU128,$BW$9:$BW$508,"&lt;"&amp;$BW128)+COUNTIFS($BM$9:$BM$508,$BM128,$BP$9:$BP$508,$BP128,$BS$9:$BS$508,$BS128,$BU$9:$BU$508,$BU128,$BW$9:$BW$508,$BW128,$BY$9:$BY$508,"&lt;"&amp;$BY128)+1))</f>
        <v/>
      </c>
      <c r="CA128" s="124" t="str">
        <f aca="false">IF(ISBLANK($C128),"",IF($BL128&lt;&gt;Constants!$B$4,$BL128,$BQ128-$BZ128))</f>
        <v/>
      </c>
      <c r="CB128" s="130"/>
      <c r="CC128" s="131" t="str">
        <f aca="false">IF(ISBLANK($C128),"",IF($BL128=Constants!$B$8,$AR128,""))</f>
        <v/>
      </c>
      <c r="CD128" s="131" t="str">
        <f aca="false">IF(ISBLANK($C128),"",IF($BL128&lt;&gt;Constants!$B$4,"",IF($BB128="-&gt;",2,1)))</f>
        <v/>
      </c>
      <c r="CE128" s="132" t="str">
        <f aca="false">IF(ISBLANK($C128),"",IF($BL128&lt;&gt;Constants!$B$4,"",IF($BB128="-&gt;",$BE128,$AU128)))</f>
        <v/>
      </c>
      <c r="CF128" s="132" t="str">
        <f aca="false">IF(ISBLANK($C128),"",IF($BL128&lt;&gt;Constants!$B$4,"",IF($BB128="-&gt;",$BF128,$AV128)))</f>
        <v/>
      </c>
      <c r="CG128" s="132" t="str">
        <f aca="false">IF(ISBLANK($C128),"",IF($BL128&lt;&gt;Constants!$B$4,"",IF($BB128="-&gt;",$BG128,$AW128)))</f>
        <v/>
      </c>
      <c r="CH128" s="132" t="str">
        <f aca="false">IF(ISBLANK($C128),"",IF($BL128&lt;&gt;Constants!$B$4,"",IF($BB128="-&gt;",$BH128,$AX128)))</f>
        <v/>
      </c>
      <c r="CI128" s="133" t="str">
        <f aca="false">IF(ISBLANK($C128),"",$BO128)</f>
        <v/>
      </c>
      <c r="CJ128" s="134" t="str">
        <f aca="false">IF(ISBLANK($C128),"",$BM128)</f>
        <v/>
      </c>
      <c r="CK128" s="135" t="str">
        <f aca="false">IF(ISBLANK($C128),"",$CA128)</f>
        <v/>
      </c>
      <c r="CL128" s="135" t="str">
        <f aca="false">IF(ISBLANK($C128),"",$BZ128)</f>
        <v/>
      </c>
      <c r="CM128" s="136" t="str">
        <f aca="false">IF(ISBLANK($C128),"",IF($CL128=Constants!$B$7,COUNTA($C$9:$C$508)+2,IF($CL128=Constants!$B$6,COUNTA($C$9:$C$508)+1,IF($CL128=Constants!$B$5,COUNTA($C$9:$C$508),$CL128))))</f>
        <v/>
      </c>
      <c r="CN128" s="8"/>
      <c r="CO128" s="137" t="n">
        <f aca="false">IF(OR(ISNUMBER($CL128),$CL128=Constants!$B$7,$CL128=Constants!$B$5,$CL128=Constants!$B$6),1,0)</f>
        <v>0</v>
      </c>
      <c r="CP128" s="137" t="n">
        <v>120</v>
      </c>
      <c r="CQ128" s="137" t="str">
        <f aca="false">IF(ISBLANK($C128),"",IF(ISNUMBER($CM128),$CM128+ROW($B128)/1000,""))</f>
        <v/>
      </c>
      <c r="CR128" s="137" t="str">
        <f aca="false">IF(ISNUMBER($CQ128),RANK($CQ128,$CQ$9:$CQ$508,1),"")</f>
        <v/>
      </c>
      <c r="CS128" s="137" t="str">
        <f aca="false">IF(ISBLANK($C128),"",$B128)</f>
        <v/>
      </c>
      <c r="CT128" s="137" t="str">
        <f aca="false">IF(ISBLANK($C128),"",$C128)</f>
        <v/>
      </c>
      <c r="CU128" s="137" t="str">
        <f aca="false">IF(ISBLANK($C128),"",$D128)</f>
        <v/>
      </c>
      <c r="CV128" s="138" t="str">
        <f aca="false">$CJ128</f>
        <v/>
      </c>
      <c r="CW128" s="139" t="str">
        <f aca="false">$CI128</f>
        <v/>
      </c>
      <c r="CX128" s="137" t="str">
        <f aca="false">IF(ISBLANK($C128),"",$CL128)</f>
        <v/>
      </c>
      <c r="CY128" s="140" t="str">
        <f aca="false">IF($CP128&gt;$CO$8,"",VLOOKUP($CP128,$CR$9:$CX$508,7,FALSE()))</f>
        <v/>
      </c>
      <c r="CZ128" s="141" t="str">
        <f aca="false">IF($CP128&gt;$CO$8,"",VLOOKUP($CP128,$CR$9:$CX$508,2,FALSE()))</f>
        <v/>
      </c>
      <c r="DA128" s="141" t="str">
        <f aca="false">IF($CP128&gt;$CO$8,"",VLOOKUP($CP128,$CR$9:$CX$508,3,FALSE()))</f>
        <v/>
      </c>
      <c r="DB128" s="141" t="str">
        <f aca="false">IF($CP128&gt;$CO$8,"",VLOOKUP($CP128,$CR$9:$CX$508,4,FALSE()))</f>
        <v/>
      </c>
      <c r="DC128" s="141" t="str">
        <f aca="false">IF($CP128&gt;$CO$8,"",VLOOKUP($CP128,$CR$9:$CX$508,5,FALSE()))</f>
        <v/>
      </c>
      <c r="DD128" s="142" t="str">
        <f aca="false">IF($CP128&gt;$CO$8,"",VLOOKUP($CP128,$CR$9:$CX$508,6,FALSE()))</f>
        <v/>
      </c>
      <c r="DE128" s="70"/>
    </row>
    <row r="129" customFormat="false" ht="15.75" hidden="false" customHeight="false" outlineLevel="0" collapsed="false">
      <c r="A129" s="8"/>
      <c r="B129" s="72"/>
      <c r="C129" s="73"/>
      <c r="D129" s="155"/>
      <c r="E129" s="162"/>
      <c r="F129" s="157"/>
      <c r="G129" s="77"/>
      <c r="H129" s="77"/>
      <c r="I129" s="77"/>
      <c r="J129" s="163"/>
      <c r="K129" s="161"/>
      <c r="L129" s="161"/>
      <c r="M129" s="80"/>
      <c r="N129" s="161"/>
      <c r="O129" s="160"/>
      <c r="P129" s="161"/>
      <c r="Q129" s="161"/>
      <c r="R129" s="161"/>
      <c r="S129" s="77"/>
      <c r="T129" s="161"/>
      <c r="U129" s="160"/>
      <c r="V129" s="161"/>
      <c r="W129" s="85"/>
      <c r="X129" s="86" t="str">
        <f aca="false">IF(ISBLANK($C129),"",IF($E129=Constants!$B$2,TRUE(),IF($E129=Constants!$B$3,FALSE(),TRUE())))</f>
        <v/>
      </c>
      <c r="Y129" s="86" t="str">
        <f aca="false">IF(ISBLANK($C129),"",IF($F129=Constants!$B$2,TRUE(),IF($F129=Constants!$B$3,FALSE(),TRUE())))</f>
        <v/>
      </c>
      <c r="Z129" s="87" t="str">
        <f aca="false">IF(ISBLANK($C129),"",IF(ISNUMBER($G129),IF($G129&gt;=0,$G129,""),""))</f>
        <v/>
      </c>
      <c r="AA129" s="87" t="str">
        <f aca="false">IF(ISBLANK($C129),"",IF(ISNUMBER($H129),IF($H129&gt;=0,$H129,""),""))</f>
        <v/>
      </c>
      <c r="AB129" s="87" t="str">
        <f aca="false">IF(ISBLANK($C129),"",IF(ISNUMBER($I129),IF($I129&gt;=0,$I129,""),""))</f>
        <v/>
      </c>
      <c r="AC129" s="86" t="str">
        <f aca="false">IF(ISBLANK($C129),"",IF($J129=Constants!$B$2,TRUE(),IF($J129=Constants!$B$3,FALSE(),TRUE())))</f>
        <v/>
      </c>
      <c r="AD129" s="86" t="str">
        <f aca="false">IF(ISBLANK($C129),"",IF($K129=Constants!$B$2,TRUE(),IF($K129=Constants!$B$3,FALSE(),TRUE())))</f>
        <v/>
      </c>
      <c r="AE129" s="86" t="str">
        <f aca="false">IF(ISBLANK($C129),"",IF($L129=Constants!$B$2,TRUE(),IF($L129=Constants!$B$3,FALSE(),TRUE())))</f>
        <v/>
      </c>
      <c r="AF129" s="88" t="str">
        <f aca="false">IF(ISBLANK($C129),"",IF(ISNUMBER($M129),IF($M129&gt;=0,$M129,""),""))</f>
        <v/>
      </c>
      <c r="AG129" s="86" t="str">
        <f aca="false">IF(ISBLANK($C129),"",IF(ISBLANK($N129),0,IF(ISNUMBER($N129),IF(AND($N129&gt;=0,$N129&lt;=Constants!$B$17,$N129=INT($N129)),$N129,""),"")))</f>
        <v/>
      </c>
      <c r="AH129" s="87" t="str">
        <f aca="false">IF(ISBLANK($C129),"",IF(ISBLANK($O129),0,IF(ISNUMBER($O129),IF($O129&gt;=0,$O129,""),"")))</f>
        <v/>
      </c>
      <c r="AI129" s="86" t="str">
        <f aca="false">IF(ISBLANK($C129),"",IF($P129=Constants!$B$2,TRUE(),IF($P129=Constants!$B$3,FALSE(),TRUE())))</f>
        <v/>
      </c>
      <c r="AJ129" s="86" t="str">
        <f aca="false">IF(ISBLANK($C129),"",IF($Q129=Constants!$B$2,TRUE(),IF($Q129=Constants!$B$3,FALSE(),TRUE())))</f>
        <v/>
      </c>
      <c r="AK129" s="86" t="str">
        <f aca="false">IF(ISBLANK($C129),"",IF($R129=Constants!$B$2,TRUE(),IF($R129=Constants!$B$3,FALSE(),TRUE())))</f>
        <v/>
      </c>
      <c r="AL129" s="88" t="str">
        <f aca="false">IF(ISBLANK($C129),"",IF(ISNUMBER($S129),IF($S129&gt;=0,$S129,""),""))</f>
        <v/>
      </c>
      <c r="AM129" s="86" t="str">
        <f aca="false">IF(ISBLANK($C129),"",IF(ISBLANK($T129),0,IF(ISNUMBER($T129),IF(AND($T129&gt;=0,$T129&lt;=Constants!$B$17,$T129=INT($T129)),$T129,""),"")))</f>
        <v/>
      </c>
      <c r="AN129" s="87" t="str">
        <f aca="false">IF(ISBLANK($C129),"",IF(ISBLANK($U129),0,IF(ISNUMBER($U129),IF($U129&gt;=0,$U129,""),"")))</f>
        <v/>
      </c>
      <c r="AO129" s="86" t="str">
        <f aca="false">IF(ISBLANK($C129),"",IF($V129=Constants!$B$2,TRUE(),IF($V129=Constants!$B$3,FALSE(),FALSE())))</f>
        <v/>
      </c>
      <c r="AP129" s="86"/>
      <c r="AQ129" s="85" t="str">
        <f aca="false">IF(ISBLANK($C129),"",AND($Y129,OR($AS129,$BC129),OR($Z129="",$AA129="",$AB129="")))</f>
        <v/>
      </c>
      <c r="AR129" s="85" t="str">
        <f aca="false">IF(ISBLANK($C129),"",IF(OR(NOT($Y129),NOT(OR($AS129,$BC129))),"",IF(ISBLANK($D$7),$AR$5,IF($AP$9="",$AR$6,""))))</f>
        <v/>
      </c>
      <c r="AS129" s="85" t="str">
        <f aca="false">IF(ISBLANK($C129),"",COUNTA($J129:$O129)&gt;0)</f>
        <v/>
      </c>
      <c r="AT129" s="85" t="str">
        <f aca="false">IF(ISBLANK($C129),"",AND($AS129,OR(AND($AF129="",OR($AE129,NOT(ISBLANK($M129)))),$AG129="",$AH129="")))</f>
        <v/>
      </c>
      <c r="AU129" s="87" t="str">
        <f aca="false">IF($BL129&lt;&gt;Constants!$B$4,"",IF(NOT($AS129),"",ROUND((Constants!$B$12-$AB129)+(Constants!$B$13-$Z129)+(Constants!$B$14-$AA129),1)))</f>
        <v/>
      </c>
      <c r="AV129" s="90" t="str">
        <f aca="false">IF($BL129&lt;&gt;Constants!$B$4,"",IF(NOT($AS129),"",IF(NOT($AE129),0,Constants!$B$15*(INT(ROUND(MIN($AF129,$AP$9),6))-INT(ROUND(MAX(0,MIN($AF129,2*$AP$9)-$AP$9),6))))))</f>
        <v/>
      </c>
      <c r="AW129" s="90" t="str">
        <f aca="false">IF($BL129&lt;&gt;Constants!$B$4,"",IF(NOT($AS129),"",Constants!$B$16*$AG129))</f>
        <v/>
      </c>
      <c r="AX129" s="90" t="str">
        <f aca="false">IF($BL129&lt;&gt;Constants!$B$4,"",IF(NOT($AS129),"",Constants!$B$18*INT(ROUND($AH129,6))))</f>
        <v/>
      </c>
      <c r="AY129" s="85" t="str">
        <f aca="false">IF($BL129&lt;&gt;Constants!$B$4,"",IF(NOT($AS129),"",IF(NOT($X129),Constants!$B$11,IF(OR(NOT($AC129),NOT($AD129),ROUND($AB129,1)&gt;Constants!$B$12,ROUND($Z129,1)&gt;Constants!$B$13,ROUND($AA129,1)&gt;Constants!$B$14),Constants!$B$10,Constants!$B$9))))</f>
        <v/>
      </c>
      <c r="AZ129" s="91" t="str">
        <f aca="false">IF($BL129&lt;&gt;Constants!$B$4,"",IF(NOT($AS129),"",ROUND($AU129+$AV129+$AW129+$AX129,1)))</f>
        <v/>
      </c>
      <c r="BA129" s="92" t="str">
        <f aca="false">IF($BL129&lt;&gt;Constants!$B$4,"",IF(NOT($AS129),"",IF(ISNUMBER($AF129),$AF129,0)))</f>
        <v/>
      </c>
      <c r="BB129" s="86" t="str">
        <f aca="false">IF($BL129&lt;&gt;Constants!$B$4,"",IF(NOT($BC129),"&lt;-",IF(NOT($AS129),"-&gt;",IF(OR($BI129&lt;$AY129,AND($BI129=$AY129,OR($BJ129&gt;$AZ129,AND($BJ129=$AZ129,OR($BH129&gt;$AX129,AND($BH129=$AX129,OR($BE129&gt;$AU129,AND($BE129=$AU129,OR($BF129&gt;$AV129,AND($BF129=$AV129,$BK129&gt;$BA129)))))))))),"-&gt;","&lt;-"))))</f>
        <v/>
      </c>
      <c r="BC129" s="85" t="str">
        <f aca="false">IF(ISBLANK($C129),"",COUNTA($P129:$U129)&gt;0)</f>
        <v/>
      </c>
      <c r="BD129" s="85" t="str">
        <f aca="false">IF(ISBLANK($C129),"",AND($BC129,OR(AND($AL129="",OR($AK129,NOT(ISBLANK($S129)))),$AM129="",$AN129="")))</f>
        <v/>
      </c>
      <c r="BE129" s="87" t="str">
        <f aca="false">IF($BL129&lt;&gt;Constants!$B$4,"",IF(NOT($BC129),"",ROUND((Constants!$B$12-$AB129)+(Constants!$B$13-$Z129)+(Constants!$B$14-$AA129),1)))</f>
        <v/>
      </c>
      <c r="BF129" s="90" t="str">
        <f aca="false">IF($BL129&lt;&gt;Constants!$B$4,"",IF(NOT($BC129),"",IF(NOT($AK129),0,Constants!$B$15*(INT(ROUND(MIN($AL129,$AP$9),6))-INT(ROUND(MAX(0,MIN($AL129,2*$AP$9)-$AP$9),6))))))</f>
        <v/>
      </c>
      <c r="BG129" s="90" t="str">
        <f aca="false">IF($BL129&lt;&gt;Constants!$B$4,"",IF(NOT($BC129),"",Constants!$B$16*$AM129))</f>
        <v/>
      </c>
      <c r="BH129" s="90" t="str">
        <f aca="false">IF($BL129&lt;&gt;Constants!$B$4,"",IF(NOT($BC129),"",Constants!$B$18*INT(ROUND($AN129,6))))</f>
        <v/>
      </c>
      <c r="BI129" s="85" t="str">
        <f aca="false">IF($BL129&lt;&gt;Constants!$B$4,"",IF(NOT($BC129),"",IF(NOT($X129),Constants!$B$11,IF(OR(NOT($AI129),NOT($AJ129),ROUND($AB129,1)&gt;Constants!$B$12,ROUND($Z129,1)&gt;Constants!$B$13,ROUND($AA129,1)&gt;Constants!$B$14),Constants!$B$10,Constants!$B$9))))</f>
        <v/>
      </c>
      <c r="BJ129" s="91" t="str">
        <f aca="false">IF($BL129&lt;&gt;Constants!$B$4,"",IF(NOT($BC129),"",ROUND($BE129+$BF129+$BG129+$BH129,1)))</f>
        <v/>
      </c>
      <c r="BK129" s="92" t="str">
        <f aca="false">IF($BL129&lt;&gt;Constants!$B$4,"",IF(NOT($BC129),"",IF(ISNUMBER($AL129),$AL129,0)))</f>
        <v/>
      </c>
      <c r="BL129" s="86" t="str">
        <f aca="false">IF(ISBLANK($C129),"",IF($AO129,Constants!$B$7,IF(COUNTA($E129:$V129)=0,Constants!$B$6,IF(NOT($Y129),Constants!$B$5,IF(NOT(OR($AS129,$BC129)),Constants!$B$5,IF(OR($AT129,$BD129,$AQ129,$AR129&lt;&gt;""),Constants!$B$8,Constants!$B$4))))))</f>
        <v/>
      </c>
      <c r="BM129" s="86" t="str">
        <f aca="false">IF(ISBLANK($C129),"",IF($BL129&lt;&gt;Constants!$B$4,$BL129,IF($BB129="-&gt;",$BI129,$AY129)))</f>
        <v/>
      </c>
      <c r="BN129" s="90" t="str">
        <f aca="false">IF($BL129&lt;&gt;Constants!$B$4,"",IF($BB129="-&gt;",$BJ129,$AZ129))</f>
        <v/>
      </c>
      <c r="BO129" s="90" t="str">
        <f aca="false">IF(ISBLANK($C129),"",IF($BL129&lt;&gt;Constants!$B$4,$BL129,$BN129))</f>
        <v/>
      </c>
      <c r="BP129" s="86" t="str">
        <f aca="false">IF(ISBLANK($C129),"",IF($BL129&lt;&gt;Constants!$B$4,$BL129,RANK($BO129,$BO$9:$BO$508,0)))</f>
        <v/>
      </c>
      <c r="BQ129" s="86" t="str">
        <f aca="false">IF(ISBLANK($C129),"",IF($BL129&lt;&gt;Constants!$B$4,$BL129,COUNTIFS($BM$9:$BM$508,"&lt;"&amp;$BM129)+COUNTIFS($BM$9:$BM$508,$BM129,$BP$9:$BP$508,"&lt;"&amp;$BP129)+1))</f>
        <v/>
      </c>
      <c r="BR129" s="90" t="str">
        <f aca="false">IF($BL129&lt;&gt;Constants!$B$4,"",IF($BB129="-&gt;",$BH129,$AX129))</f>
        <v/>
      </c>
      <c r="BS129" s="86" t="str">
        <f aca="false">IF(ISBLANK($C129),"",IF($BL129&lt;&gt;Constants!$B$4,$BL129,IF(ISNUMBER($BR129),RANK($BR129,$BR$9:$BR$508,0),COUNT($BR$9:$BR$508)+1)))</f>
        <v/>
      </c>
      <c r="BT129" s="90" t="str">
        <f aca="false">IF($BL129&lt;&gt;Constants!$B$4,"",IF($BB129="-&gt;",$BE129,$AU129))</f>
        <v/>
      </c>
      <c r="BU129" s="86" t="str">
        <f aca="false">IF(ISBLANK($C129),"",IF($BL129&lt;&gt;Constants!$B$4,$BL129,IF(ISNUMBER($BT129),RANK($BT129,$BT$9:$BT$508,0),COUNT($BT$9:$BT$508)+1)))</f>
        <v/>
      </c>
      <c r="BV129" s="90" t="str">
        <f aca="false">IF($BL129&lt;&gt;Constants!$B$4,"",IF($BB129="-&gt;",$BF129,$AV129))</f>
        <v/>
      </c>
      <c r="BW129" s="86" t="str">
        <f aca="false">IF(ISBLANK($C129),"",IF($BL129&lt;&gt;Constants!$B$4,$BL129,IF(ISNUMBER($BV129),RANK($BV129,$BV$9:$BV$508,0),COUNT($BV$9:$BV$508)+1)))</f>
        <v/>
      </c>
      <c r="BX129" s="90" t="str">
        <f aca="false">IF($BL129&lt;&gt;Constants!$B$4,"",IF($BB129="-&gt;",$BK129,$BA129))</f>
        <v/>
      </c>
      <c r="BY129" s="86" t="str">
        <f aca="false">IF(ISBLANK($C129),"",IF($BL129&lt;&gt;Constants!$B$4,$BL129,IF(ISNUMBER($BX129),RANK($BX129,$BX$9:$BX$508,0),COUNT($BX$9:$BX$508)+1)))</f>
        <v/>
      </c>
      <c r="BZ129" s="86" t="str">
        <f aca="false">IF(ISBLANK($C129),"",IF($BL129&lt;&gt;Constants!$B$4,$BL129,COUNTIFS($BM$9:$BM$508,"&lt;"&amp;$BM129)+COUNTIFS($BM$9:$BM$508,$BM129,$BP$9:$BP$508,"&lt;"&amp;$BP129)+COUNTIFS($BM$9:$BM$508,$BM129,$BP$9:$BP$508,$BP129,$BS$9:$BS$508,"&lt;"&amp;$BS129)+COUNTIFS($BM$9:$BM$508,$BM129,$BP$9:$BP$508,$BP129,$BS$9:$BS$508,$BS129,$BU$9:$BU$508,"&lt;"&amp;$BU129)+COUNTIFS($BM$9:$BM$508,$BM129,$BP$9:$BP$508,$BP129,$BS$9:$BS$508,$BS129,$BU$9:$BU$508,$BU129,$BW$9:$BW$508,"&lt;"&amp;$BW129)+COUNTIFS($BM$9:$BM$508,$BM129,$BP$9:$BP$508,$BP129,$BS$9:$BS$508,$BS129,$BU$9:$BU$508,$BU129,$BW$9:$BW$508,$BW129,$BY$9:$BY$508,"&lt;"&amp;$BY129)+1))</f>
        <v/>
      </c>
      <c r="CA129" s="86" t="str">
        <f aca="false">IF(ISBLANK($C129),"",IF($BL129&lt;&gt;Constants!$B$4,$BL129,$BQ129-$BZ129))</f>
        <v/>
      </c>
      <c r="CB129" s="93"/>
      <c r="CC129" s="94" t="str">
        <f aca="false">IF(ISBLANK($C129),"",IF($BL129=Constants!$B$8,$AR129,""))</f>
        <v/>
      </c>
      <c r="CD129" s="94" t="str">
        <f aca="false">IF(ISBLANK($C129),"",IF($BL129&lt;&gt;Constants!$B$4,"",IF($BB129="-&gt;",2,1)))</f>
        <v/>
      </c>
      <c r="CE129" s="95" t="str">
        <f aca="false">IF(ISBLANK($C129),"",IF($BL129&lt;&gt;Constants!$B$4,"",IF($BB129="-&gt;",$BE129,$AU129)))</f>
        <v/>
      </c>
      <c r="CF129" s="95" t="str">
        <f aca="false">IF(ISBLANK($C129),"",IF($BL129&lt;&gt;Constants!$B$4,"",IF($BB129="-&gt;",$BF129,$AV129)))</f>
        <v/>
      </c>
      <c r="CG129" s="95" t="str">
        <f aca="false">IF(ISBLANK($C129),"",IF($BL129&lt;&gt;Constants!$B$4,"",IF($BB129="-&gt;",$BG129,$AW129)))</f>
        <v/>
      </c>
      <c r="CH129" s="95" t="str">
        <f aca="false">IF(ISBLANK($C129),"",IF($BL129&lt;&gt;Constants!$B$4,"",IF($BB129="-&gt;",$BH129,$AX129)))</f>
        <v/>
      </c>
      <c r="CI129" s="96" t="str">
        <f aca="false">IF(ISBLANK($C129),"",$BO129)</f>
        <v/>
      </c>
      <c r="CJ129" s="97" t="str">
        <f aca="false">IF(ISBLANK($C129),"",$BM129)</f>
        <v/>
      </c>
      <c r="CK129" s="98" t="str">
        <f aca="false">IF(ISBLANK($C129),"",$CA129)</f>
        <v/>
      </c>
      <c r="CL129" s="98" t="str">
        <f aca="false">IF(ISBLANK($C129),"",$BZ129)</f>
        <v/>
      </c>
      <c r="CM129" s="99" t="str">
        <f aca="false">IF(ISBLANK($C129),"",IF($CL129=Constants!$B$7,COUNTA($C$9:$C$508)+2,IF($CL129=Constants!$B$6,COUNTA($C$9:$C$508)+1,IF($CL129=Constants!$B$5,COUNTA($C$9:$C$508),$CL129))))</f>
        <v/>
      </c>
      <c r="CN129" s="8"/>
      <c r="CO129" s="100" t="n">
        <f aca="false">IF(OR(ISNUMBER($CL129),$CL129=Constants!$B$7,$CL129=Constants!$B$5,$CL129=Constants!$B$6),1,0)</f>
        <v>0</v>
      </c>
      <c r="CP129" s="100" t="n">
        <v>121</v>
      </c>
      <c r="CQ129" s="100" t="str">
        <f aca="false">IF(ISBLANK($C129),"",IF(ISNUMBER($CM129),$CM129+ROW($B129)/1000,""))</f>
        <v/>
      </c>
      <c r="CR129" s="100" t="str">
        <f aca="false">IF(ISNUMBER($CQ129),RANK($CQ129,$CQ$9:$CQ$508,1),"")</f>
        <v/>
      </c>
      <c r="CS129" s="100" t="str">
        <f aca="false">IF(ISBLANK($C129),"",$B129)</f>
        <v/>
      </c>
      <c r="CT129" s="100" t="str">
        <f aca="false">IF(ISBLANK($C129),"",$C129)</f>
        <v/>
      </c>
      <c r="CU129" s="100" t="str">
        <f aca="false">IF(ISBLANK($C129),"",$D129)</f>
        <v/>
      </c>
      <c r="CV129" s="101" t="str">
        <f aca="false">$CJ129</f>
        <v/>
      </c>
      <c r="CW129" s="102" t="str">
        <f aca="false">$CI129</f>
        <v/>
      </c>
      <c r="CX129" s="100" t="str">
        <f aca="false">IF(ISBLANK($C129),"",$CL129)</f>
        <v/>
      </c>
      <c r="CY129" s="103" t="str">
        <f aca="false">IF($CP129&gt;$CO$8,"",VLOOKUP($CP129,$CR$9:$CX$508,7,FALSE()))</f>
        <v/>
      </c>
      <c r="CZ129" s="104" t="str">
        <f aca="false">IF($CP129&gt;$CO$8,"",VLOOKUP($CP129,$CR$9:$CX$508,2,FALSE()))</f>
        <v/>
      </c>
      <c r="DA129" s="104" t="str">
        <f aca="false">IF($CP129&gt;$CO$8,"",VLOOKUP($CP129,$CR$9:$CX$508,3,FALSE()))</f>
        <v/>
      </c>
      <c r="DB129" s="104" t="str">
        <f aca="false">IF($CP129&gt;$CO$8,"",VLOOKUP($CP129,$CR$9:$CX$508,4,FALSE()))</f>
        <v/>
      </c>
      <c r="DC129" s="104" t="str">
        <f aca="false">IF($CP129&gt;$CO$8,"",VLOOKUP($CP129,$CR$9:$CX$508,5,FALSE()))</f>
        <v/>
      </c>
      <c r="DD129" s="105" t="str">
        <f aca="false">IF($CP129&gt;$CO$8,"",VLOOKUP($CP129,$CR$9:$CX$508,6,FALSE()))</f>
        <v/>
      </c>
      <c r="DE129" s="70"/>
    </row>
    <row r="130" customFormat="false" ht="15.75" hidden="false" customHeight="false" outlineLevel="0" collapsed="false">
      <c r="A130" s="8"/>
      <c r="B130" s="72"/>
      <c r="C130" s="73"/>
      <c r="D130" s="155"/>
      <c r="E130" s="162"/>
      <c r="F130" s="157"/>
      <c r="G130" s="77"/>
      <c r="H130" s="77"/>
      <c r="I130" s="77"/>
      <c r="J130" s="163"/>
      <c r="K130" s="161"/>
      <c r="L130" s="161"/>
      <c r="M130" s="80"/>
      <c r="N130" s="161"/>
      <c r="O130" s="160"/>
      <c r="P130" s="161"/>
      <c r="Q130" s="161"/>
      <c r="R130" s="161"/>
      <c r="S130" s="77"/>
      <c r="T130" s="161"/>
      <c r="U130" s="160"/>
      <c r="V130" s="161"/>
      <c r="W130" s="85"/>
      <c r="X130" s="86" t="str">
        <f aca="false">IF(ISBLANK($C130),"",IF($E130=Constants!$B$2,TRUE(),IF($E130=Constants!$B$3,FALSE(),TRUE())))</f>
        <v/>
      </c>
      <c r="Y130" s="86" t="str">
        <f aca="false">IF(ISBLANK($C130),"",IF($F130=Constants!$B$2,TRUE(),IF($F130=Constants!$B$3,FALSE(),TRUE())))</f>
        <v/>
      </c>
      <c r="Z130" s="87" t="str">
        <f aca="false">IF(ISBLANK($C130),"",IF(ISNUMBER($G130),IF($G130&gt;=0,$G130,""),""))</f>
        <v/>
      </c>
      <c r="AA130" s="87" t="str">
        <f aca="false">IF(ISBLANK($C130),"",IF(ISNUMBER($H130),IF($H130&gt;=0,$H130,""),""))</f>
        <v/>
      </c>
      <c r="AB130" s="87" t="str">
        <f aca="false">IF(ISBLANK($C130),"",IF(ISNUMBER($I130),IF($I130&gt;=0,$I130,""),""))</f>
        <v/>
      </c>
      <c r="AC130" s="86" t="str">
        <f aca="false">IF(ISBLANK($C130),"",IF($J130=Constants!$B$2,TRUE(),IF($J130=Constants!$B$3,FALSE(),TRUE())))</f>
        <v/>
      </c>
      <c r="AD130" s="86" t="str">
        <f aca="false">IF(ISBLANK($C130),"",IF($K130=Constants!$B$2,TRUE(),IF($K130=Constants!$B$3,FALSE(),TRUE())))</f>
        <v/>
      </c>
      <c r="AE130" s="86" t="str">
        <f aca="false">IF(ISBLANK($C130),"",IF($L130=Constants!$B$2,TRUE(),IF($L130=Constants!$B$3,FALSE(),TRUE())))</f>
        <v/>
      </c>
      <c r="AF130" s="88" t="str">
        <f aca="false">IF(ISBLANK($C130),"",IF(ISNUMBER($M130),IF($M130&gt;=0,$M130,""),""))</f>
        <v/>
      </c>
      <c r="AG130" s="86" t="str">
        <f aca="false">IF(ISBLANK($C130),"",IF(ISBLANK($N130),0,IF(ISNUMBER($N130),IF(AND($N130&gt;=0,$N130&lt;=Constants!$B$17,$N130=INT($N130)),$N130,""),"")))</f>
        <v/>
      </c>
      <c r="AH130" s="87" t="str">
        <f aca="false">IF(ISBLANK($C130),"",IF(ISBLANK($O130),0,IF(ISNUMBER($O130),IF($O130&gt;=0,$O130,""),"")))</f>
        <v/>
      </c>
      <c r="AI130" s="86" t="str">
        <f aca="false">IF(ISBLANK($C130),"",IF($P130=Constants!$B$2,TRUE(),IF($P130=Constants!$B$3,FALSE(),TRUE())))</f>
        <v/>
      </c>
      <c r="AJ130" s="86" t="str">
        <f aca="false">IF(ISBLANK($C130),"",IF($Q130=Constants!$B$2,TRUE(),IF($Q130=Constants!$B$3,FALSE(),TRUE())))</f>
        <v/>
      </c>
      <c r="AK130" s="86" t="str">
        <f aca="false">IF(ISBLANK($C130),"",IF($R130=Constants!$B$2,TRUE(),IF($R130=Constants!$B$3,FALSE(),TRUE())))</f>
        <v/>
      </c>
      <c r="AL130" s="88" t="str">
        <f aca="false">IF(ISBLANK($C130),"",IF(ISNUMBER($S130),IF($S130&gt;=0,$S130,""),""))</f>
        <v/>
      </c>
      <c r="AM130" s="86" t="str">
        <f aca="false">IF(ISBLANK($C130),"",IF(ISBLANK($T130),0,IF(ISNUMBER($T130),IF(AND($T130&gt;=0,$T130&lt;=Constants!$B$17,$T130=INT($T130)),$T130,""),"")))</f>
        <v/>
      </c>
      <c r="AN130" s="87" t="str">
        <f aca="false">IF(ISBLANK($C130),"",IF(ISBLANK($U130),0,IF(ISNUMBER($U130),IF($U130&gt;=0,$U130,""),"")))</f>
        <v/>
      </c>
      <c r="AO130" s="86" t="str">
        <f aca="false">IF(ISBLANK($C130),"",IF($V130=Constants!$B$2,TRUE(),IF($V130=Constants!$B$3,FALSE(),FALSE())))</f>
        <v/>
      </c>
      <c r="AP130" s="86"/>
      <c r="AQ130" s="85" t="str">
        <f aca="false">IF(ISBLANK($C130),"",AND($Y130,OR($AS130,$BC130),OR($Z130="",$AA130="",$AB130="")))</f>
        <v/>
      </c>
      <c r="AR130" s="85" t="str">
        <f aca="false">IF(ISBLANK($C130),"",IF(OR(NOT($Y130),NOT(OR($AS130,$BC130))),"",IF(ISBLANK($D$7),$AR$5,IF($AP$9="",$AR$6,""))))</f>
        <v/>
      </c>
      <c r="AS130" s="85" t="str">
        <f aca="false">IF(ISBLANK($C130),"",COUNTA($J130:$O130)&gt;0)</f>
        <v/>
      </c>
      <c r="AT130" s="85" t="str">
        <f aca="false">IF(ISBLANK($C130),"",AND($AS130,OR(AND($AF130="",OR($AE130,NOT(ISBLANK($M130)))),$AG130="",$AH130="")))</f>
        <v/>
      </c>
      <c r="AU130" s="87" t="str">
        <f aca="false">IF($BL130&lt;&gt;Constants!$B$4,"",IF(NOT($AS130),"",ROUND((Constants!$B$12-$AB130)+(Constants!$B$13-$Z130)+(Constants!$B$14-$AA130),1)))</f>
        <v/>
      </c>
      <c r="AV130" s="90" t="str">
        <f aca="false">IF($BL130&lt;&gt;Constants!$B$4,"",IF(NOT($AS130),"",IF(NOT($AE130),0,Constants!$B$15*(INT(ROUND(MIN($AF130,$AP$9),6))-INT(ROUND(MAX(0,MIN($AF130,2*$AP$9)-$AP$9),6))))))</f>
        <v/>
      </c>
      <c r="AW130" s="90" t="str">
        <f aca="false">IF($BL130&lt;&gt;Constants!$B$4,"",IF(NOT($AS130),"",Constants!$B$16*$AG130))</f>
        <v/>
      </c>
      <c r="AX130" s="90" t="str">
        <f aca="false">IF($BL130&lt;&gt;Constants!$B$4,"",IF(NOT($AS130),"",Constants!$B$18*INT(ROUND($AH130,6))))</f>
        <v/>
      </c>
      <c r="AY130" s="85" t="str">
        <f aca="false">IF($BL130&lt;&gt;Constants!$B$4,"",IF(NOT($AS130),"",IF(NOT($X130),Constants!$B$11,IF(OR(NOT($AC130),NOT($AD130),ROUND($AB130,1)&gt;Constants!$B$12,ROUND($Z130,1)&gt;Constants!$B$13,ROUND($AA130,1)&gt;Constants!$B$14),Constants!$B$10,Constants!$B$9))))</f>
        <v/>
      </c>
      <c r="AZ130" s="91" t="str">
        <f aca="false">IF($BL130&lt;&gt;Constants!$B$4,"",IF(NOT($AS130),"",ROUND($AU130+$AV130+$AW130+$AX130,1)))</f>
        <v/>
      </c>
      <c r="BA130" s="92" t="str">
        <f aca="false">IF($BL130&lt;&gt;Constants!$B$4,"",IF(NOT($AS130),"",IF(ISNUMBER($AF130),$AF130,0)))</f>
        <v/>
      </c>
      <c r="BB130" s="86" t="str">
        <f aca="false">IF($BL130&lt;&gt;Constants!$B$4,"",IF(NOT($BC130),"&lt;-",IF(NOT($AS130),"-&gt;",IF(OR($BI130&lt;$AY130,AND($BI130=$AY130,OR($BJ130&gt;$AZ130,AND($BJ130=$AZ130,OR($BH130&gt;$AX130,AND($BH130=$AX130,OR($BE130&gt;$AU130,AND($BE130=$AU130,OR($BF130&gt;$AV130,AND($BF130=$AV130,$BK130&gt;$BA130)))))))))),"-&gt;","&lt;-"))))</f>
        <v/>
      </c>
      <c r="BC130" s="85" t="str">
        <f aca="false">IF(ISBLANK($C130),"",COUNTA($P130:$U130)&gt;0)</f>
        <v/>
      </c>
      <c r="BD130" s="85" t="str">
        <f aca="false">IF(ISBLANK($C130),"",AND($BC130,OR(AND($AL130="",OR($AK130,NOT(ISBLANK($S130)))),$AM130="",$AN130="")))</f>
        <v/>
      </c>
      <c r="BE130" s="87" t="str">
        <f aca="false">IF($BL130&lt;&gt;Constants!$B$4,"",IF(NOT($BC130),"",ROUND((Constants!$B$12-$AB130)+(Constants!$B$13-$Z130)+(Constants!$B$14-$AA130),1)))</f>
        <v/>
      </c>
      <c r="BF130" s="90" t="str">
        <f aca="false">IF($BL130&lt;&gt;Constants!$B$4,"",IF(NOT($BC130),"",IF(NOT($AK130),0,Constants!$B$15*(INT(ROUND(MIN($AL130,$AP$9),6))-INT(ROUND(MAX(0,MIN($AL130,2*$AP$9)-$AP$9),6))))))</f>
        <v/>
      </c>
      <c r="BG130" s="90" t="str">
        <f aca="false">IF($BL130&lt;&gt;Constants!$B$4,"",IF(NOT($BC130),"",Constants!$B$16*$AM130))</f>
        <v/>
      </c>
      <c r="BH130" s="90" t="str">
        <f aca="false">IF($BL130&lt;&gt;Constants!$B$4,"",IF(NOT($BC130),"",Constants!$B$18*INT(ROUND($AN130,6))))</f>
        <v/>
      </c>
      <c r="BI130" s="85" t="str">
        <f aca="false">IF($BL130&lt;&gt;Constants!$B$4,"",IF(NOT($BC130),"",IF(NOT($X130),Constants!$B$11,IF(OR(NOT($AI130),NOT($AJ130),ROUND($AB130,1)&gt;Constants!$B$12,ROUND($Z130,1)&gt;Constants!$B$13,ROUND($AA130,1)&gt;Constants!$B$14),Constants!$B$10,Constants!$B$9))))</f>
        <v/>
      </c>
      <c r="BJ130" s="91" t="str">
        <f aca="false">IF($BL130&lt;&gt;Constants!$B$4,"",IF(NOT($BC130),"",ROUND($BE130+$BF130+$BG130+$BH130,1)))</f>
        <v/>
      </c>
      <c r="BK130" s="92" t="str">
        <f aca="false">IF($BL130&lt;&gt;Constants!$B$4,"",IF(NOT($BC130),"",IF(ISNUMBER($AL130),$AL130,0)))</f>
        <v/>
      </c>
      <c r="BL130" s="86" t="str">
        <f aca="false">IF(ISBLANK($C130),"",IF($AO130,Constants!$B$7,IF(COUNTA($E130:$V130)=0,Constants!$B$6,IF(NOT($Y130),Constants!$B$5,IF(NOT(OR($AS130,$BC130)),Constants!$B$5,IF(OR($AT130,$BD130,$AQ130,$AR130&lt;&gt;""),Constants!$B$8,Constants!$B$4))))))</f>
        <v/>
      </c>
      <c r="BM130" s="86" t="str">
        <f aca="false">IF(ISBLANK($C130),"",IF($BL130&lt;&gt;Constants!$B$4,$BL130,IF($BB130="-&gt;",$BI130,$AY130)))</f>
        <v/>
      </c>
      <c r="BN130" s="90" t="str">
        <f aca="false">IF($BL130&lt;&gt;Constants!$B$4,"",IF($BB130="-&gt;",$BJ130,$AZ130))</f>
        <v/>
      </c>
      <c r="BO130" s="90" t="str">
        <f aca="false">IF(ISBLANK($C130),"",IF($BL130&lt;&gt;Constants!$B$4,$BL130,$BN130))</f>
        <v/>
      </c>
      <c r="BP130" s="86" t="str">
        <f aca="false">IF(ISBLANK($C130),"",IF($BL130&lt;&gt;Constants!$B$4,$BL130,RANK($BO130,$BO$9:$BO$508,0)))</f>
        <v/>
      </c>
      <c r="BQ130" s="86" t="str">
        <f aca="false">IF(ISBLANK($C130),"",IF($BL130&lt;&gt;Constants!$B$4,$BL130,COUNTIFS($BM$9:$BM$508,"&lt;"&amp;$BM130)+COUNTIFS($BM$9:$BM$508,$BM130,$BP$9:$BP$508,"&lt;"&amp;$BP130)+1))</f>
        <v/>
      </c>
      <c r="BR130" s="90" t="str">
        <f aca="false">IF($BL130&lt;&gt;Constants!$B$4,"",IF($BB130="-&gt;",$BH130,$AX130))</f>
        <v/>
      </c>
      <c r="BS130" s="86" t="str">
        <f aca="false">IF(ISBLANK($C130),"",IF($BL130&lt;&gt;Constants!$B$4,$BL130,IF(ISNUMBER($BR130),RANK($BR130,$BR$9:$BR$508,0),COUNT($BR$9:$BR$508)+1)))</f>
        <v/>
      </c>
      <c r="BT130" s="90" t="str">
        <f aca="false">IF($BL130&lt;&gt;Constants!$B$4,"",IF($BB130="-&gt;",$BE130,$AU130))</f>
        <v/>
      </c>
      <c r="BU130" s="86" t="str">
        <f aca="false">IF(ISBLANK($C130),"",IF($BL130&lt;&gt;Constants!$B$4,$BL130,IF(ISNUMBER($BT130),RANK($BT130,$BT$9:$BT$508,0),COUNT($BT$9:$BT$508)+1)))</f>
        <v/>
      </c>
      <c r="BV130" s="90" t="str">
        <f aca="false">IF($BL130&lt;&gt;Constants!$B$4,"",IF($BB130="-&gt;",$BF130,$AV130))</f>
        <v/>
      </c>
      <c r="BW130" s="86" t="str">
        <f aca="false">IF(ISBLANK($C130),"",IF($BL130&lt;&gt;Constants!$B$4,$BL130,IF(ISNUMBER($BV130),RANK($BV130,$BV$9:$BV$508,0),COUNT($BV$9:$BV$508)+1)))</f>
        <v/>
      </c>
      <c r="BX130" s="90" t="str">
        <f aca="false">IF($BL130&lt;&gt;Constants!$B$4,"",IF($BB130="-&gt;",$BK130,$BA130))</f>
        <v/>
      </c>
      <c r="BY130" s="86" t="str">
        <f aca="false">IF(ISBLANK($C130),"",IF($BL130&lt;&gt;Constants!$B$4,$BL130,IF(ISNUMBER($BX130),RANK($BX130,$BX$9:$BX$508,0),COUNT($BX$9:$BX$508)+1)))</f>
        <v/>
      </c>
      <c r="BZ130" s="86" t="str">
        <f aca="false">IF(ISBLANK($C130),"",IF($BL130&lt;&gt;Constants!$B$4,$BL130,COUNTIFS($BM$9:$BM$508,"&lt;"&amp;$BM130)+COUNTIFS($BM$9:$BM$508,$BM130,$BP$9:$BP$508,"&lt;"&amp;$BP130)+COUNTIFS($BM$9:$BM$508,$BM130,$BP$9:$BP$508,$BP130,$BS$9:$BS$508,"&lt;"&amp;$BS130)+COUNTIFS($BM$9:$BM$508,$BM130,$BP$9:$BP$508,$BP130,$BS$9:$BS$508,$BS130,$BU$9:$BU$508,"&lt;"&amp;$BU130)+COUNTIFS($BM$9:$BM$508,$BM130,$BP$9:$BP$508,$BP130,$BS$9:$BS$508,$BS130,$BU$9:$BU$508,$BU130,$BW$9:$BW$508,"&lt;"&amp;$BW130)+COUNTIFS($BM$9:$BM$508,$BM130,$BP$9:$BP$508,$BP130,$BS$9:$BS$508,$BS130,$BU$9:$BU$508,$BU130,$BW$9:$BW$508,$BW130,$BY$9:$BY$508,"&lt;"&amp;$BY130)+1))</f>
        <v/>
      </c>
      <c r="CA130" s="86" t="str">
        <f aca="false">IF(ISBLANK($C130),"",IF($BL130&lt;&gt;Constants!$B$4,$BL130,$BQ130-$BZ130))</f>
        <v/>
      </c>
      <c r="CB130" s="93"/>
      <c r="CC130" s="94" t="str">
        <f aca="false">IF(ISBLANK($C130),"",IF($BL130=Constants!$B$8,$AR130,""))</f>
        <v/>
      </c>
      <c r="CD130" s="94" t="str">
        <f aca="false">IF(ISBLANK($C130),"",IF($BL130&lt;&gt;Constants!$B$4,"",IF($BB130="-&gt;",2,1)))</f>
        <v/>
      </c>
      <c r="CE130" s="95" t="str">
        <f aca="false">IF(ISBLANK($C130),"",IF($BL130&lt;&gt;Constants!$B$4,"",IF($BB130="-&gt;",$BE130,$AU130)))</f>
        <v/>
      </c>
      <c r="CF130" s="95" t="str">
        <f aca="false">IF(ISBLANK($C130),"",IF($BL130&lt;&gt;Constants!$B$4,"",IF($BB130="-&gt;",$BF130,$AV130)))</f>
        <v/>
      </c>
      <c r="CG130" s="95" t="str">
        <f aca="false">IF(ISBLANK($C130),"",IF($BL130&lt;&gt;Constants!$B$4,"",IF($BB130="-&gt;",$BG130,$AW130)))</f>
        <v/>
      </c>
      <c r="CH130" s="95" t="str">
        <f aca="false">IF(ISBLANK($C130),"",IF($BL130&lt;&gt;Constants!$B$4,"",IF($BB130="-&gt;",$BH130,$AX130)))</f>
        <v/>
      </c>
      <c r="CI130" s="96" t="str">
        <f aca="false">IF(ISBLANK($C130),"",$BO130)</f>
        <v/>
      </c>
      <c r="CJ130" s="97" t="str">
        <f aca="false">IF(ISBLANK($C130),"",$BM130)</f>
        <v/>
      </c>
      <c r="CK130" s="98" t="str">
        <f aca="false">IF(ISBLANK($C130),"",$CA130)</f>
        <v/>
      </c>
      <c r="CL130" s="98" t="str">
        <f aca="false">IF(ISBLANK($C130),"",$BZ130)</f>
        <v/>
      </c>
      <c r="CM130" s="99" t="str">
        <f aca="false">IF(ISBLANK($C130),"",IF($CL130=Constants!$B$7,COUNTA($C$9:$C$508)+2,IF($CL130=Constants!$B$6,COUNTA($C$9:$C$508)+1,IF($CL130=Constants!$B$5,COUNTA($C$9:$C$508),$CL130))))</f>
        <v/>
      </c>
      <c r="CN130" s="8"/>
      <c r="CO130" s="100" t="n">
        <f aca="false">IF(OR(ISNUMBER($CL130),$CL130=Constants!$B$7,$CL130=Constants!$B$5,$CL130=Constants!$B$6),1,0)</f>
        <v>0</v>
      </c>
      <c r="CP130" s="100" t="n">
        <v>122</v>
      </c>
      <c r="CQ130" s="100" t="str">
        <f aca="false">IF(ISBLANK($C130),"",IF(ISNUMBER($CM130),$CM130+ROW($B130)/1000,""))</f>
        <v/>
      </c>
      <c r="CR130" s="100" t="str">
        <f aca="false">IF(ISNUMBER($CQ130),RANK($CQ130,$CQ$9:$CQ$508,1),"")</f>
        <v/>
      </c>
      <c r="CS130" s="100" t="str">
        <f aca="false">IF(ISBLANK($C130),"",$B130)</f>
        <v/>
      </c>
      <c r="CT130" s="100" t="str">
        <f aca="false">IF(ISBLANK($C130),"",$C130)</f>
        <v/>
      </c>
      <c r="CU130" s="100" t="str">
        <f aca="false">IF(ISBLANK($C130),"",$D130)</f>
        <v/>
      </c>
      <c r="CV130" s="101" t="str">
        <f aca="false">$CJ130</f>
        <v/>
      </c>
      <c r="CW130" s="102" t="str">
        <f aca="false">$CI130</f>
        <v/>
      </c>
      <c r="CX130" s="100" t="str">
        <f aca="false">IF(ISBLANK($C130),"",$CL130)</f>
        <v/>
      </c>
      <c r="CY130" s="103" t="str">
        <f aca="false">IF($CP130&gt;$CO$8,"",VLOOKUP($CP130,$CR$9:$CX$508,7,FALSE()))</f>
        <v/>
      </c>
      <c r="CZ130" s="104" t="str">
        <f aca="false">IF($CP130&gt;$CO$8,"",VLOOKUP($CP130,$CR$9:$CX$508,2,FALSE()))</f>
        <v/>
      </c>
      <c r="DA130" s="104" t="str">
        <f aca="false">IF($CP130&gt;$CO$8,"",VLOOKUP($CP130,$CR$9:$CX$508,3,FALSE()))</f>
        <v/>
      </c>
      <c r="DB130" s="104" t="str">
        <f aca="false">IF($CP130&gt;$CO$8,"",VLOOKUP($CP130,$CR$9:$CX$508,4,FALSE()))</f>
        <v/>
      </c>
      <c r="DC130" s="104" t="str">
        <f aca="false">IF($CP130&gt;$CO$8,"",VLOOKUP($CP130,$CR$9:$CX$508,5,FALSE()))</f>
        <v/>
      </c>
      <c r="DD130" s="105" t="str">
        <f aca="false">IF($CP130&gt;$CO$8,"",VLOOKUP($CP130,$CR$9:$CX$508,6,FALSE()))</f>
        <v/>
      </c>
      <c r="DE130" s="70"/>
    </row>
    <row r="131" customFormat="false" ht="15.75" hidden="false" customHeight="false" outlineLevel="0" collapsed="false">
      <c r="A131" s="8"/>
      <c r="B131" s="72"/>
      <c r="C131" s="73"/>
      <c r="D131" s="155"/>
      <c r="E131" s="162"/>
      <c r="F131" s="157"/>
      <c r="G131" s="77"/>
      <c r="H131" s="77"/>
      <c r="I131" s="77"/>
      <c r="J131" s="163"/>
      <c r="K131" s="161"/>
      <c r="L131" s="161"/>
      <c r="M131" s="80"/>
      <c r="N131" s="161"/>
      <c r="O131" s="160"/>
      <c r="P131" s="161"/>
      <c r="Q131" s="161"/>
      <c r="R131" s="161"/>
      <c r="S131" s="77"/>
      <c r="T131" s="161"/>
      <c r="U131" s="160"/>
      <c r="V131" s="161"/>
      <c r="W131" s="85"/>
      <c r="X131" s="86" t="str">
        <f aca="false">IF(ISBLANK($C131),"",IF($E131=Constants!$B$2,TRUE(),IF($E131=Constants!$B$3,FALSE(),TRUE())))</f>
        <v/>
      </c>
      <c r="Y131" s="86" t="str">
        <f aca="false">IF(ISBLANK($C131),"",IF($F131=Constants!$B$2,TRUE(),IF($F131=Constants!$B$3,FALSE(),TRUE())))</f>
        <v/>
      </c>
      <c r="Z131" s="87" t="str">
        <f aca="false">IF(ISBLANK($C131),"",IF(ISNUMBER($G131),IF($G131&gt;=0,$G131,""),""))</f>
        <v/>
      </c>
      <c r="AA131" s="87" t="str">
        <f aca="false">IF(ISBLANK($C131),"",IF(ISNUMBER($H131),IF($H131&gt;=0,$H131,""),""))</f>
        <v/>
      </c>
      <c r="AB131" s="87" t="str">
        <f aca="false">IF(ISBLANK($C131),"",IF(ISNUMBER($I131),IF($I131&gt;=0,$I131,""),""))</f>
        <v/>
      </c>
      <c r="AC131" s="86" t="str">
        <f aca="false">IF(ISBLANK($C131),"",IF($J131=Constants!$B$2,TRUE(),IF($J131=Constants!$B$3,FALSE(),TRUE())))</f>
        <v/>
      </c>
      <c r="AD131" s="86" t="str">
        <f aca="false">IF(ISBLANK($C131),"",IF($K131=Constants!$B$2,TRUE(),IF($K131=Constants!$B$3,FALSE(),TRUE())))</f>
        <v/>
      </c>
      <c r="AE131" s="86" t="str">
        <f aca="false">IF(ISBLANK($C131),"",IF($L131=Constants!$B$2,TRUE(),IF($L131=Constants!$B$3,FALSE(),TRUE())))</f>
        <v/>
      </c>
      <c r="AF131" s="88" t="str">
        <f aca="false">IF(ISBLANK($C131),"",IF(ISNUMBER($M131),IF($M131&gt;=0,$M131,""),""))</f>
        <v/>
      </c>
      <c r="AG131" s="86" t="str">
        <f aca="false">IF(ISBLANK($C131),"",IF(ISBLANK($N131),0,IF(ISNUMBER($N131),IF(AND($N131&gt;=0,$N131&lt;=Constants!$B$17,$N131=INT($N131)),$N131,""),"")))</f>
        <v/>
      </c>
      <c r="AH131" s="87" t="str">
        <f aca="false">IF(ISBLANK($C131),"",IF(ISBLANK($O131),0,IF(ISNUMBER($O131),IF($O131&gt;=0,$O131,""),"")))</f>
        <v/>
      </c>
      <c r="AI131" s="86" t="str">
        <f aca="false">IF(ISBLANK($C131),"",IF($P131=Constants!$B$2,TRUE(),IF($P131=Constants!$B$3,FALSE(),TRUE())))</f>
        <v/>
      </c>
      <c r="AJ131" s="86" t="str">
        <f aca="false">IF(ISBLANK($C131),"",IF($Q131=Constants!$B$2,TRUE(),IF($Q131=Constants!$B$3,FALSE(),TRUE())))</f>
        <v/>
      </c>
      <c r="AK131" s="86" t="str">
        <f aca="false">IF(ISBLANK($C131),"",IF($R131=Constants!$B$2,TRUE(),IF($R131=Constants!$B$3,FALSE(),TRUE())))</f>
        <v/>
      </c>
      <c r="AL131" s="88" t="str">
        <f aca="false">IF(ISBLANK($C131),"",IF(ISNUMBER($S131),IF($S131&gt;=0,$S131,""),""))</f>
        <v/>
      </c>
      <c r="AM131" s="86" t="str">
        <f aca="false">IF(ISBLANK($C131),"",IF(ISBLANK($T131),0,IF(ISNUMBER($T131),IF(AND($T131&gt;=0,$T131&lt;=Constants!$B$17,$T131=INT($T131)),$T131,""),"")))</f>
        <v/>
      </c>
      <c r="AN131" s="87" t="str">
        <f aca="false">IF(ISBLANK($C131),"",IF(ISBLANK($U131),0,IF(ISNUMBER($U131),IF($U131&gt;=0,$U131,""),"")))</f>
        <v/>
      </c>
      <c r="AO131" s="86" t="str">
        <f aca="false">IF(ISBLANK($C131),"",IF($V131=Constants!$B$2,TRUE(),IF($V131=Constants!$B$3,FALSE(),FALSE())))</f>
        <v/>
      </c>
      <c r="AP131" s="86"/>
      <c r="AQ131" s="85" t="str">
        <f aca="false">IF(ISBLANK($C131),"",AND($Y131,OR($AS131,$BC131),OR($Z131="",$AA131="",$AB131="")))</f>
        <v/>
      </c>
      <c r="AR131" s="85" t="str">
        <f aca="false">IF(ISBLANK($C131),"",IF(OR(NOT($Y131),NOT(OR($AS131,$BC131))),"",IF(ISBLANK($D$7),$AR$5,IF($AP$9="",$AR$6,""))))</f>
        <v/>
      </c>
      <c r="AS131" s="85" t="str">
        <f aca="false">IF(ISBLANK($C131),"",COUNTA($J131:$O131)&gt;0)</f>
        <v/>
      </c>
      <c r="AT131" s="85" t="str">
        <f aca="false">IF(ISBLANK($C131),"",AND($AS131,OR(AND($AF131="",OR($AE131,NOT(ISBLANK($M131)))),$AG131="",$AH131="")))</f>
        <v/>
      </c>
      <c r="AU131" s="87" t="str">
        <f aca="false">IF($BL131&lt;&gt;Constants!$B$4,"",IF(NOT($AS131),"",ROUND((Constants!$B$12-$AB131)+(Constants!$B$13-$Z131)+(Constants!$B$14-$AA131),1)))</f>
        <v/>
      </c>
      <c r="AV131" s="90" t="str">
        <f aca="false">IF($BL131&lt;&gt;Constants!$B$4,"",IF(NOT($AS131),"",IF(NOT($AE131),0,Constants!$B$15*(INT(ROUND(MIN($AF131,$AP$9),6))-INT(ROUND(MAX(0,MIN($AF131,2*$AP$9)-$AP$9),6))))))</f>
        <v/>
      </c>
      <c r="AW131" s="90" t="str">
        <f aca="false">IF($BL131&lt;&gt;Constants!$B$4,"",IF(NOT($AS131),"",Constants!$B$16*$AG131))</f>
        <v/>
      </c>
      <c r="AX131" s="90" t="str">
        <f aca="false">IF($BL131&lt;&gt;Constants!$B$4,"",IF(NOT($AS131),"",Constants!$B$18*INT(ROUND($AH131,6))))</f>
        <v/>
      </c>
      <c r="AY131" s="85" t="str">
        <f aca="false">IF($BL131&lt;&gt;Constants!$B$4,"",IF(NOT($AS131),"",IF(NOT($X131),Constants!$B$11,IF(OR(NOT($AC131),NOT($AD131),ROUND($AB131,1)&gt;Constants!$B$12,ROUND($Z131,1)&gt;Constants!$B$13,ROUND($AA131,1)&gt;Constants!$B$14),Constants!$B$10,Constants!$B$9))))</f>
        <v/>
      </c>
      <c r="AZ131" s="91" t="str">
        <f aca="false">IF($BL131&lt;&gt;Constants!$B$4,"",IF(NOT($AS131),"",ROUND($AU131+$AV131+$AW131+$AX131,1)))</f>
        <v/>
      </c>
      <c r="BA131" s="92" t="str">
        <f aca="false">IF($BL131&lt;&gt;Constants!$B$4,"",IF(NOT($AS131),"",IF(ISNUMBER($AF131),$AF131,0)))</f>
        <v/>
      </c>
      <c r="BB131" s="86" t="str">
        <f aca="false">IF($BL131&lt;&gt;Constants!$B$4,"",IF(NOT($BC131),"&lt;-",IF(NOT($AS131),"-&gt;",IF(OR($BI131&lt;$AY131,AND($BI131=$AY131,OR($BJ131&gt;$AZ131,AND($BJ131=$AZ131,OR($BH131&gt;$AX131,AND($BH131=$AX131,OR($BE131&gt;$AU131,AND($BE131=$AU131,OR($BF131&gt;$AV131,AND($BF131=$AV131,$BK131&gt;$BA131)))))))))),"-&gt;","&lt;-"))))</f>
        <v/>
      </c>
      <c r="BC131" s="85" t="str">
        <f aca="false">IF(ISBLANK($C131),"",COUNTA($P131:$U131)&gt;0)</f>
        <v/>
      </c>
      <c r="BD131" s="85" t="str">
        <f aca="false">IF(ISBLANK($C131),"",AND($BC131,OR(AND($AL131="",OR($AK131,NOT(ISBLANK($S131)))),$AM131="",$AN131="")))</f>
        <v/>
      </c>
      <c r="BE131" s="87" t="str">
        <f aca="false">IF($BL131&lt;&gt;Constants!$B$4,"",IF(NOT($BC131),"",ROUND((Constants!$B$12-$AB131)+(Constants!$B$13-$Z131)+(Constants!$B$14-$AA131),1)))</f>
        <v/>
      </c>
      <c r="BF131" s="90" t="str">
        <f aca="false">IF($BL131&lt;&gt;Constants!$B$4,"",IF(NOT($BC131),"",IF(NOT($AK131),0,Constants!$B$15*(INT(ROUND(MIN($AL131,$AP$9),6))-INT(ROUND(MAX(0,MIN($AL131,2*$AP$9)-$AP$9),6))))))</f>
        <v/>
      </c>
      <c r="BG131" s="90" t="str">
        <f aca="false">IF($BL131&lt;&gt;Constants!$B$4,"",IF(NOT($BC131),"",Constants!$B$16*$AM131))</f>
        <v/>
      </c>
      <c r="BH131" s="90" t="str">
        <f aca="false">IF($BL131&lt;&gt;Constants!$B$4,"",IF(NOT($BC131),"",Constants!$B$18*INT(ROUND($AN131,6))))</f>
        <v/>
      </c>
      <c r="BI131" s="85" t="str">
        <f aca="false">IF($BL131&lt;&gt;Constants!$B$4,"",IF(NOT($BC131),"",IF(NOT($X131),Constants!$B$11,IF(OR(NOT($AI131),NOT($AJ131),ROUND($AB131,1)&gt;Constants!$B$12,ROUND($Z131,1)&gt;Constants!$B$13,ROUND($AA131,1)&gt;Constants!$B$14),Constants!$B$10,Constants!$B$9))))</f>
        <v/>
      </c>
      <c r="BJ131" s="91" t="str">
        <f aca="false">IF($BL131&lt;&gt;Constants!$B$4,"",IF(NOT($BC131),"",ROUND($BE131+$BF131+$BG131+$BH131,1)))</f>
        <v/>
      </c>
      <c r="BK131" s="92" t="str">
        <f aca="false">IF($BL131&lt;&gt;Constants!$B$4,"",IF(NOT($BC131),"",IF(ISNUMBER($AL131),$AL131,0)))</f>
        <v/>
      </c>
      <c r="BL131" s="86" t="str">
        <f aca="false">IF(ISBLANK($C131),"",IF($AO131,Constants!$B$7,IF(COUNTA($E131:$V131)=0,Constants!$B$6,IF(NOT($Y131),Constants!$B$5,IF(NOT(OR($AS131,$BC131)),Constants!$B$5,IF(OR($AT131,$BD131,$AQ131,$AR131&lt;&gt;""),Constants!$B$8,Constants!$B$4))))))</f>
        <v/>
      </c>
      <c r="BM131" s="86" t="str">
        <f aca="false">IF(ISBLANK($C131),"",IF($BL131&lt;&gt;Constants!$B$4,$BL131,IF($BB131="-&gt;",$BI131,$AY131)))</f>
        <v/>
      </c>
      <c r="BN131" s="90" t="str">
        <f aca="false">IF($BL131&lt;&gt;Constants!$B$4,"",IF($BB131="-&gt;",$BJ131,$AZ131))</f>
        <v/>
      </c>
      <c r="BO131" s="90" t="str">
        <f aca="false">IF(ISBLANK($C131),"",IF($BL131&lt;&gt;Constants!$B$4,$BL131,$BN131))</f>
        <v/>
      </c>
      <c r="BP131" s="86" t="str">
        <f aca="false">IF(ISBLANK($C131),"",IF($BL131&lt;&gt;Constants!$B$4,$BL131,RANK($BO131,$BO$9:$BO$508,0)))</f>
        <v/>
      </c>
      <c r="BQ131" s="86" t="str">
        <f aca="false">IF(ISBLANK($C131),"",IF($BL131&lt;&gt;Constants!$B$4,$BL131,COUNTIFS($BM$9:$BM$508,"&lt;"&amp;$BM131)+COUNTIFS($BM$9:$BM$508,$BM131,$BP$9:$BP$508,"&lt;"&amp;$BP131)+1))</f>
        <v/>
      </c>
      <c r="BR131" s="90" t="str">
        <f aca="false">IF($BL131&lt;&gt;Constants!$B$4,"",IF($BB131="-&gt;",$BH131,$AX131))</f>
        <v/>
      </c>
      <c r="BS131" s="86" t="str">
        <f aca="false">IF(ISBLANK($C131),"",IF($BL131&lt;&gt;Constants!$B$4,$BL131,IF(ISNUMBER($BR131),RANK($BR131,$BR$9:$BR$508,0),COUNT($BR$9:$BR$508)+1)))</f>
        <v/>
      </c>
      <c r="BT131" s="90" t="str">
        <f aca="false">IF($BL131&lt;&gt;Constants!$B$4,"",IF($BB131="-&gt;",$BE131,$AU131))</f>
        <v/>
      </c>
      <c r="BU131" s="86" t="str">
        <f aca="false">IF(ISBLANK($C131),"",IF($BL131&lt;&gt;Constants!$B$4,$BL131,IF(ISNUMBER($BT131),RANK($BT131,$BT$9:$BT$508,0),COUNT($BT$9:$BT$508)+1)))</f>
        <v/>
      </c>
      <c r="BV131" s="90" t="str">
        <f aca="false">IF($BL131&lt;&gt;Constants!$B$4,"",IF($BB131="-&gt;",$BF131,$AV131))</f>
        <v/>
      </c>
      <c r="BW131" s="86" t="str">
        <f aca="false">IF(ISBLANK($C131),"",IF($BL131&lt;&gt;Constants!$B$4,$BL131,IF(ISNUMBER($BV131),RANK($BV131,$BV$9:$BV$508,0),COUNT($BV$9:$BV$508)+1)))</f>
        <v/>
      </c>
      <c r="BX131" s="90" t="str">
        <f aca="false">IF($BL131&lt;&gt;Constants!$B$4,"",IF($BB131="-&gt;",$BK131,$BA131))</f>
        <v/>
      </c>
      <c r="BY131" s="86" t="str">
        <f aca="false">IF(ISBLANK($C131),"",IF($BL131&lt;&gt;Constants!$B$4,$BL131,IF(ISNUMBER($BX131),RANK($BX131,$BX$9:$BX$508,0),COUNT($BX$9:$BX$508)+1)))</f>
        <v/>
      </c>
      <c r="BZ131" s="86" t="str">
        <f aca="false">IF(ISBLANK($C131),"",IF($BL131&lt;&gt;Constants!$B$4,$BL131,COUNTIFS($BM$9:$BM$508,"&lt;"&amp;$BM131)+COUNTIFS($BM$9:$BM$508,$BM131,$BP$9:$BP$508,"&lt;"&amp;$BP131)+COUNTIFS($BM$9:$BM$508,$BM131,$BP$9:$BP$508,$BP131,$BS$9:$BS$508,"&lt;"&amp;$BS131)+COUNTIFS($BM$9:$BM$508,$BM131,$BP$9:$BP$508,$BP131,$BS$9:$BS$508,$BS131,$BU$9:$BU$508,"&lt;"&amp;$BU131)+COUNTIFS($BM$9:$BM$508,$BM131,$BP$9:$BP$508,$BP131,$BS$9:$BS$508,$BS131,$BU$9:$BU$508,$BU131,$BW$9:$BW$508,"&lt;"&amp;$BW131)+COUNTIFS($BM$9:$BM$508,$BM131,$BP$9:$BP$508,$BP131,$BS$9:$BS$508,$BS131,$BU$9:$BU$508,$BU131,$BW$9:$BW$508,$BW131,$BY$9:$BY$508,"&lt;"&amp;$BY131)+1))</f>
        <v/>
      </c>
      <c r="CA131" s="86" t="str">
        <f aca="false">IF(ISBLANK($C131),"",IF($BL131&lt;&gt;Constants!$B$4,$BL131,$BQ131-$BZ131))</f>
        <v/>
      </c>
      <c r="CB131" s="93"/>
      <c r="CC131" s="94" t="str">
        <f aca="false">IF(ISBLANK($C131),"",IF($BL131=Constants!$B$8,$AR131,""))</f>
        <v/>
      </c>
      <c r="CD131" s="94" t="str">
        <f aca="false">IF(ISBLANK($C131),"",IF($BL131&lt;&gt;Constants!$B$4,"",IF($BB131="-&gt;",2,1)))</f>
        <v/>
      </c>
      <c r="CE131" s="95" t="str">
        <f aca="false">IF(ISBLANK($C131),"",IF($BL131&lt;&gt;Constants!$B$4,"",IF($BB131="-&gt;",$BE131,$AU131)))</f>
        <v/>
      </c>
      <c r="CF131" s="95" t="str">
        <f aca="false">IF(ISBLANK($C131),"",IF($BL131&lt;&gt;Constants!$B$4,"",IF($BB131="-&gt;",$BF131,$AV131)))</f>
        <v/>
      </c>
      <c r="CG131" s="95" t="str">
        <f aca="false">IF(ISBLANK($C131),"",IF($BL131&lt;&gt;Constants!$B$4,"",IF($BB131="-&gt;",$BG131,$AW131)))</f>
        <v/>
      </c>
      <c r="CH131" s="95" t="str">
        <f aca="false">IF(ISBLANK($C131),"",IF($BL131&lt;&gt;Constants!$B$4,"",IF($BB131="-&gt;",$BH131,$AX131)))</f>
        <v/>
      </c>
      <c r="CI131" s="96" t="str">
        <f aca="false">IF(ISBLANK($C131),"",$BO131)</f>
        <v/>
      </c>
      <c r="CJ131" s="97" t="str">
        <f aca="false">IF(ISBLANK($C131),"",$BM131)</f>
        <v/>
      </c>
      <c r="CK131" s="98" t="str">
        <f aca="false">IF(ISBLANK($C131),"",$CA131)</f>
        <v/>
      </c>
      <c r="CL131" s="98" t="str">
        <f aca="false">IF(ISBLANK($C131),"",$BZ131)</f>
        <v/>
      </c>
      <c r="CM131" s="99" t="str">
        <f aca="false">IF(ISBLANK($C131),"",IF($CL131=Constants!$B$7,COUNTA($C$9:$C$508)+2,IF($CL131=Constants!$B$6,COUNTA($C$9:$C$508)+1,IF($CL131=Constants!$B$5,COUNTA($C$9:$C$508),$CL131))))</f>
        <v/>
      </c>
      <c r="CN131" s="8"/>
      <c r="CO131" s="100" t="n">
        <f aca="false">IF(OR(ISNUMBER($CL131),$CL131=Constants!$B$7,$CL131=Constants!$B$5,$CL131=Constants!$B$6),1,0)</f>
        <v>0</v>
      </c>
      <c r="CP131" s="100" t="n">
        <v>123</v>
      </c>
      <c r="CQ131" s="100" t="str">
        <f aca="false">IF(ISBLANK($C131),"",IF(ISNUMBER($CM131),$CM131+ROW($B131)/1000,""))</f>
        <v/>
      </c>
      <c r="CR131" s="100" t="str">
        <f aca="false">IF(ISNUMBER($CQ131),RANK($CQ131,$CQ$9:$CQ$508,1),"")</f>
        <v/>
      </c>
      <c r="CS131" s="100" t="str">
        <f aca="false">IF(ISBLANK($C131),"",$B131)</f>
        <v/>
      </c>
      <c r="CT131" s="100" t="str">
        <f aca="false">IF(ISBLANK($C131),"",$C131)</f>
        <v/>
      </c>
      <c r="CU131" s="100" t="str">
        <f aca="false">IF(ISBLANK($C131),"",$D131)</f>
        <v/>
      </c>
      <c r="CV131" s="101" t="str">
        <f aca="false">$CJ131</f>
        <v/>
      </c>
      <c r="CW131" s="102" t="str">
        <f aca="false">$CI131</f>
        <v/>
      </c>
      <c r="CX131" s="100" t="str">
        <f aca="false">IF(ISBLANK($C131),"",$CL131)</f>
        <v/>
      </c>
      <c r="CY131" s="103" t="str">
        <f aca="false">IF($CP131&gt;$CO$8,"",VLOOKUP($CP131,$CR$9:$CX$508,7,FALSE()))</f>
        <v/>
      </c>
      <c r="CZ131" s="104" t="str">
        <f aca="false">IF($CP131&gt;$CO$8,"",VLOOKUP($CP131,$CR$9:$CX$508,2,FALSE()))</f>
        <v/>
      </c>
      <c r="DA131" s="104" t="str">
        <f aca="false">IF($CP131&gt;$CO$8,"",VLOOKUP($CP131,$CR$9:$CX$508,3,FALSE()))</f>
        <v/>
      </c>
      <c r="DB131" s="104" t="str">
        <f aca="false">IF($CP131&gt;$CO$8,"",VLOOKUP($CP131,$CR$9:$CX$508,4,FALSE()))</f>
        <v/>
      </c>
      <c r="DC131" s="104" t="str">
        <f aca="false">IF($CP131&gt;$CO$8,"",VLOOKUP($CP131,$CR$9:$CX$508,5,FALSE()))</f>
        <v/>
      </c>
      <c r="DD131" s="105" t="str">
        <f aca="false">IF($CP131&gt;$CO$8,"",VLOOKUP($CP131,$CR$9:$CX$508,6,FALSE()))</f>
        <v/>
      </c>
      <c r="DE131" s="70"/>
    </row>
    <row r="132" customFormat="false" ht="15.75" hidden="false" customHeight="false" outlineLevel="0" collapsed="false">
      <c r="A132" s="8"/>
      <c r="B132" s="146"/>
      <c r="C132" s="147"/>
      <c r="D132" s="148"/>
      <c r="E132" s="164"/>
      <c r="F132" s="150"/>
      <c r="G132" s="115"/>
      <c r="H132" s="115"/>
      <c r="I132" s="115"/>
      <c r="J132" s="165"/>
      <c r="K132" s="154"/>
      <c r="L132" s="154"/>
      <c r="M132" s="118"/>
      <c r="N132" s="154"/>
      <c r="O132" s="153"/>
      <c r="P132" s="154"/>
      <c r="Q132" s="154"/>
      <c r="R132" s="154"/>
      <c r="S132" s="115"/>
      <c r="T132" s="154"/>
      <c r="U132" s="153"/>
      <c r="V132" s="154"/>
      <c r="W132" s="123"/>
      <c r="X132" s="124" t="str">
        <f aca="false">IF(ISBLANK($C132),"",IF($E132=Constants!$B$2,TRUE(),IF($E132=Constants!$B$3,FALSE(),TRUE())))</f>
        <v/>
      </c>
      <c r="Y132" s="124" t="str">
        <f aca="false">IF(ISBLANK($C132),"",IF($F132=Constants!$B$2,TRUE(),IF($F132=Constants!$B$3,FALSE(),TRUE())))</f>
        <v/>
      </c>
      <c r="Z132" s="125" t="str">
        <f aca="false">IF(ISBLANK($C132),"",IF(ISNUMBER($G132),IF($G132&gt;=0,$G132,""),""))</f>
        <v/>
      </c>
      <c r="AA132" s="125" t="str">
        <f aca="false">IF(ISBLANK($C132),"",IF(ISNUMBER($H132),IF($H132&gt;=0,$H132,""),""))</f>
        <v/>
      </c>
      <c r="AB132" s="125" t="str">
        <f aca="false">IF(ISBLANK($C132),"",IF(ISNUMBER($I132),IF($I132&gt;=0,$I132,""),""))</f>
        <v/>
      </c>
      <c r="AC132" s="124" t="str">
        <f aca="false">IF(ISBLANK($C132),"",IF($J132=Constants!$B$2,TRUE(),IF($J132=Constants!$B$3,FALSE(),TRUE())))</f>
        <v/>
      </c>
      <c r="AD132" s="124" t="str">
        <f aca="false">IF(ISBLANK($C132),"",IF($K132=Constants!$B$2,TRUE(),IF($K132=Constants!$B$3,FALSE(),TRUE())))</f>
        <v/>
      </c>
      <c r="AE132" s="124" t="str">
        <f aca="false">IF(ISBLANK($C132),"",IF($L132=Constants!$B$2,TRUE(),IF($L132=Constants!$B$3,FALSE(),TRUE())))</f>
        <v/>
      </c>
      <c r="AF132" s="126" t="str">
        <f aca="false">IF(ISBLANK($C132),"",IF(ISNUMBER($M132),IF($M132&gt;=0,$M132,""),""))</f>
        <v/>
      </c>
      <c r="AG132" s="124" t="str">
        <f aca="false">IF(ISBLANK($C132),"",IF(ISBLANK($N132),0,IF(ISNUMBER($N132),IF(AND($N132&gt;=0,$N132&lt;=Constants!$B$17,$N132=INT($N132)),$N132,""),"")))</f>
        <v/>
      </c>
      <c r="AH132" s="125" t="str">
        <f aca="false">IF(ISBLANK($C132),"",IF(ISBLANK($O132),0,IF(ISNUMBER($O132),IF($O132&gt;=0,$O132,""),"")))</f>
        <v/>
      </c>
      <c r="AI132" s="124" t="str">
        <f aca="false">IF(ISBLANK($C132),"",IF($P132=Constants!$B$2,TRUE(),IF($P132=Constants!$B$3,FALSE(),TRUE())))</f>
        <v/>
      </c>
      <c r="AJ132" s="124" t="str">
        <f aca="false">IF(ISBLANK($C132),"",IF($Q132=Constants!$B$2,TRUE(),IF($Q132=Constants!$B$3,FALSE(),TRUE())))</f>
        <v/>
      </c>
      <c r="AK132" s="124" t="str">
        <f aca="false">IF(ISBLANK($C132),"",IF($R132=Constants!$B$2,TRUE(),IF($R132=Constants!$B$3,FALSE(),TRUE())))</f>
        <v/>
      </c>
      <c r="AL132" s="126" t="str">
        <f aca="false">IF(ISBLANK($C132),"",IF(ISNUMBER($S132),IF($S132&gt;=0,$S132,""),""))</f>
        <v/>
      </c>
      <c r="AM132" s="124" t="str">
        <f aca="false">IF(ISBLANK($C132),"",IF(ISBLANK($T132),0,IF(ISNUMBER($T132),IF(AND($T132&gt;=0,$T132&lt;=Constants!$B$17,$T132=INT($T132)),$T132,""),"")))</f>
        <v/>
      </c>
      <c r="AN132" s="125" t="str">
        <f aca="false">IF(ISBLANK($C132),"",IF(ISBLANK($U132),0,IF(ISNUMBER($U132),IF($U132&gt;=0,$U132,""),"")))</f>
        <v/>
      </c>
      <c r="AO132" s="124" t="str">
        <f aca="false">IF(ISBLANK($C132),"",IF($V132=Constants!$B$2,TRUE(),IF($V132=Constants!$B$3,FALSE(),FALSE())))</f>
        <v/>
      </c>
      <c r="AP132" s="124"/>
      <c r="AQ132" s="123" t="str">
        <f aca="false">IF(ISBLANK($C132),"",AND($Y132,OR($AS132,$BC132),OR($Z132="",$AA132="",$AB132="")))</f>
        <v/>
      </c>
      <c r="AR132" s="123" t="str">
        <f aca="false">IF(ISBLANK($C132),"",IF(OR(NOT($Y132),NOT(OR($AS132,$BC132))),"",IF(ISBLANK($D$7),$AR$5,IF($AP$9="",$AR$6,""))))</f>
        <v/>
      </c>
      <c r="AS132" s="123" t="str">
        <f aca="false">IF(ISBLANK($C132),"",COUNTA($J132:$O132)&gt;0)</f>
        <v/>
      </c>
      <c r="AT132" s="123" t="str">
        <f aca="false">IF(ISBLANK($C132),"",AND($AS132,OR(AND($AF132="",OR($AE132,NOT(ISBLANK($M132)))),$AG132="",$AH132="")))</f>
        <v/>
      </c>
      <c r="AU132" s="125" t="str">
        <f aca="false">IF($BL132&lt;&gt;Constants!$B$4,"",IF(NOT($AS132),"",ROUND((Constants!$B$12-$AB132)+(Constants!$B$13-$Z132)+(Constants!$B$14-$AA132),1)))</f>
        <v/>
      </c>
      <c r="AV132" s="127" t="str">
        <f aca="false">IF($BL132&lt;&gt;Constants!$B$4,"",IF(NOT($AS132),"",IF(NOT($AE132),0,Constants!$B$15*(INT(ROUND(MIN($AF132,$AP$9),6))-INT(ROUND(MAX(0,MIN($AF132,2*$AP$9)-$AP$9),6))))))</f>
        <v/>
      </c>
      <c r="AW132" s="127" t="str">
        <f aca="false">IF($BL132&lt;&gt;Constants!$B$4,"",IF(NOT($AS132),"",Constants!$B$16*$AG132))</f>
        <v/>
      </c>
      <c r="AX132" s="127" t="str">
        <f aca="false">IF($BL132&lt;&gt;Constants!$B$4,"",IF(NOT($AS132),"",Constants!$B$18*INT(ROUND($AH132,6))))</f>
        <v/>
      </c>
      <c r="AY132" s="123" t="str">
        <f aca="false">IF($BL132&lt;&gt;Constants!$B$4,"",IF(NOT($AS132),"",IF(NOT($X132),Constants!$B$11,IF(OR(NOT($AC132),NOT($AD132),ROUND($AB132,1)&gt;Constants!$B$12,ROUND($Z132,1)&gt;Constants!$B$13,ROUND($AA132,1)&gt;Constants!$B$14),Constants!$B$10,Constants!$B$9))))</f>
        <v/>
      </c>
      <c r="AZ132" s="128" t="str">
        <f aca="false">IF($BL132&lt;&gt;Constants!$B$4,"",IF(NOT($AS132),"",ROUND($AU132+$AV132+$AW132+$AX132,1)))</f>
        <v/>
      </c>
      <c r="BA132" s="129" t="str">
        <f aca="false">IF($BL132&lt;&gt;Constants!$B$4,"",IF(NOT($AS132),"",IF(ISNUMBER($AF132),$AF132,0)))</f>
        <v/>
      </c>
      <c r="BB132" s="124" t="str">
        <f aca="false">IF($BL132&lt;&gt;Constants!$B$4,"",IF(NOT($BC132),"&lt;-",IF(NOT($AS132),"-&gt;",IF(OR($BI132&lt;$AY132,AND($BI132=$AY132,OR($BJ132&gt;$AZ132,AND($BJ132=$AZ132,OR($BH132&gt;$AX132,AND($BH132=$AX132,OR($BE132&gt;$AU132,AND($BE132=$AU132,OR($BF132&gt;$AV132,AND($BF132=$AV132,$BK132&gt;$BA132)))))))))),"-&gt;","&lt;-"))))</f>
        <v/>
      </c>
      <c r="BC132" s="123" t="str">
        <f aca="false">IF(ISBLANK($C132),"",COUNTA($P132:$U132)&gt;0)</f>
        <v/>
      </c>
      <c r="BD132" s="123" t="str">
        <f aca="false">IF(ISBLANK($C132),"",AND($BC132,OR(AND($AL132="",OR($AK132,NOT(ISBLANK($S132)))),$AM132="",$AN132="")))</f>
        <v/>
      </c>
      <c r="BE132" s="125" t="str">
        <f aca="false">IF($BL132&lt;&gt;Constants!$B$4,"",IF(NOT($BC132),"",ROUND((Constants!$B$12-$AB132)+(Constants!$B$13-$Z132)+(Constants!$B$14-$AA132),1)))</f>
        <v/>
      </c>
      <c r="BF132" s="127" t="str">
        <f aca="false">IF($BL132&lt;&gt;Constants!$B$4,"",IF(NOT($BC132),"",IF(NOT($AK132),0,Constants!$B$15*(INT(ROUND(MIN($AL132,$AP$9),6))-INT(ROUND(MAX(0,MIN($AL132,2*$AP$9)-$AP$9),6))))))</f>
        <v/>
      </c>
      <c r="BG132" s="127" t="str">
        <f aca="false">IF($BL132&lt;&gt;Constants!$B$4,"",IF(NOT($BC132),"",Constants!$B$16*$AM132))</f>
        <v/>
      </c>
      <c r="BH132" s="127" t="str">
        <f aca="false">IF($BL132&lt;&gt;Constants!$B$4,"",IF(NOT($BC132),"",Constants!$B$18*INT(ROUND($AN132,6))))</f>
        <v/>
      </c>
      <c r="BI132" s="123" t="str">
        <f aca="false">IF($BL132&lt;&gt;Constants!$B$4,"",IF(NOT($BC132),"",IF(NOT($X132),Constants!$B$11,IF(OR(NOT($AI132),NOT($AJ132),ROUND($AB132,1)&gt;Constants!$B$12,ROUND($Z132,1)&gt;Constants!$B$13,ROUND($AA132,1)&gt;Constants!$B$14),Constants!$B$10,Constants!$B$9))))</f>
        <v/>
      </c>
      <c r="BJ132" s="128" t="str">
        <f aca="false">IF($BL132&lt;&gt;Constants!$B$4,"",IF(NOT($BC132),"",ROUND($BE132+$BF132+$BG132+$BH132,1)))</f>
        <v/>
      </c>
      <c r="BK132" s="129" t="str">
        <f aca="false">IF($BL132&lt;&gt;Constants!$B$4,"",IF(NOT($BC132),"",IF(ISNUMBER($AL132),$AL132,0)))</f>
        <v/>
      </c>
      <c r="BL132" s="124" t="str">
        <f aca="false">IF(ISBLANK($C132),"",IF($AO132,Constants!$B$7,IF(COUNTA($E132:$V132)=0,Constants!$B$6,IF(NOT($Y132),Constants!$B$5,IF(NOT(OR($AS132,$BC132)),Constants!$B$5,IF(OR($AT132,$BD132,$AQ132,$AR132&lt;&gt;""),Constants!$B$8,Constants!$B$4))))))</f>
        <v/>
      </c>
      <c r="BM132" s="124" t="str">
        <f aca="false">IF(ISBLANK($C132),"",IF($BL132&lt;&gt;Constants!$B$4,$BL132,IF($BB132="-&gt;",$BI132,$AY132)))</f>
        <v/>
      </c>
      <c r="BN132" s="127" t="str">
        <f aca="false">IF($BL132&lt;&gt;Constants!$B$4,"",IF($BB132="-&gt;",$BJ132,$AZ132))</f>
        <v/>
      </c>
      <c r="BO132" s="127" t="str">
        <f aca="false">IF(ISBLANK($C132),"",IF($BL132&lt;&gt;Constants!$B$4,$BL132,$BN132))</f>
        <v/>
      </c>
      <c r="BP132" s="124" t="str">
        <f aca="false">IF(ISBLANK($C132),"",IF($BL132&lt;&gt;Constants!$B$4,$BL132,RANK($BO132,$BO$9:$BO$508,0)))</f>
        <v/>
      </c>
      <c r="BQ132" s="124" t="str">
        <f aca="false">IF(ISBLANK($C132),"",IF($BL132&lt;&gt;Constants!$B$4,$BL132,COUNTIFS($BM$9:$BM$508,"&lt;"&amp;$BM132)+COUNTIFS($BM$9:$BM$508,$BM132,$BP$9:$BP$508,"&lt;"&amp;$BP132)+1))</f>
        <v/>
      </c>
      <c r="BR132" s="127" t="str">
        <f aca="false">IF($BL132&lt;&gt;Constants!$B$4,"",IF($BB132="-&gt;",$BH132,$AX132))</f>
        <v/>
      </c>
      <c r="BS132" s="124" t="str">
        <f aca="false">IF(ISBLANK($C132),"",IF($BL132&lt;&gt;Constants!$B$4,$BL132,IF(ISNUMBER($BR132),RANK($BR132,$BR$9:$BR$508,0),COUNT($BR$9:$BR$508)+1)))</f>
        <v/>
      </c>
      <c r="BT132" s="127" t="str">
        <f aca="false">IF($BL132&lt;&gt;Constants!$B$4,"",IF($BB132="-&gt;",$BE132,$AU132))</f>
        <v/>
      </c>
      <c r="BU132" s="124" t="str">
        <f aca="false">IF(ISBLANK($C132),"",IF($BL132&lt;&gt;Constants!$B$4,$BL132,IF(ISNUMBER($BT132),RANK($BT132,$BT$9:$BT$508,0),COUNT($BT$9:$BT$508)+1)))</f>
        <v/>
      </c>
      <c r="BV132" s="127" t="str">
        <f aca="false">IF($BL132&lt;&gt;Constants!$B$4,"",IF($BB132="-&gt;",$BF132,$AV132))</f>
        <v/>
      </c>
      <c r="BW132" s="124" t="str">
        <f aca="false">IF(ISBLANK($C132),"",IF($BL132&lt;&gt;Constants!$B$4,$BL132,IF(ISNUMBER($BV132),RANK($BV132,$BV$9:$BV$508,0),COUNT($BV$9:$BV$508)+1)))</f>
        <v/>
      </c>
      <c r="BX132" s="127" t="str">
        <f aca="false">IF($BL132&lt;&gt;Constants!$B$4,"",IF($BB132="-&gt;",$BK132,$BA132))</f>
        <v/>
      </c>
      <c r="BY132" s="124" t="str">
        <f aca="false">IF(ISBLANK($C132),"",IF($BL132&lt;&gt;Constants!$B$4,$BL132,IF(ISNUMBER($BX132),RANK($BX132,$BX$9:$BX$508,0),COUNT($BX$9:$BX$508)+1)))</f>
        <v/>
      </c>
      <c r="BZ132" s="124" t="str">
        <f aca="false">IF(ISBLANK($C132),"",IF($BL132&lt;&gt;Constants!$B$4,$BL132,COUNTIFS($BM$9:$BM$508,"&lt;"&amp;$BM132)+COUNTIFS($BM$9:$BM$508,$BM132,$BP$9:$BP$508,"&lt;"&amp;$BP132)+COUNTIFS($BM$9:$BM$508,$BM132,$BP$9:$BP$508,$BP132,$BS$9:$BS$508,"&lt;"&amp;$BS132)+COUNTIFS($BM$9:$BM$508,$BM132,$BP$9:$BP$508,$BP132,$BS$9:$BS$508,$BS132,$BU$9:$BU$508,"&lt;"&amp;$BU132)+COUNTIFS($BM$9:$BM$508,$BM132,$BP$9:$BP$508,$BP132,$BS$9:$BS$508,$BS132,$BU$9:$BU$508,$BU132,$BW$9:$BW$508,"&lt;"&amp;$BW132)+COUNTIFS($BM$9:$BM$508,$BM132,$BP$9:$BP$508,$BP132,$BS$9:$BS$508,$BS132,$BU$9:$BU$508,$BU132,$BW$9:$BW$508,$BW132,$BY$9:$BY$508,"&lt;"&amp;$BY132)+1))</f>
        <v/>
      </c>
      <c r="CA132" s="124" t="str">
        <f aca="false">IF(ISBLANK($C132),"",IF($BL132&lt;&gt;Constants!$B$4,$BL132,$BQ132-$BZ132))</f>
        <v/>
      </c>
      <c r="CB132" s="130"/>
      <c r="CC132" s="131" t="str">
        <f aca="false">IF(ISBLANK($C132),"",IF($BL132=Constants!$B$8,$AR132,""))</f>
        <v/>
      </c>
      <c r="CD132" s="131" t="str">
        <f aca="false">IF(ISBLANK($C132),"",IF($BL132&lt;&gt;Constants!$B$4,"",IF($BB132="-&gt;",2,1)))</f>
        <v/>
      </c>
      <c r="CE132" s="132" t="str">
        <f aca="false">IF(ISBLANK($C132),"",IF($BL132&lt;&gt;Constants!$B$4,"",IF($BB132="-&gt;",$BE132,$AU132)))</f>
        <v/>
      </c>
      <c r="CF132" s="132" t="str">
        <f aca="false">IF(ISBLANK($C132),"",IF($BL132&lt;&gt;Constants!$B$4,"",IF($BB132="-&gt;",$BF132,$AV132)))</f>
        <v/>
      </c>
      <c r="CG132" s="132" t="str">
        <f aca="false">IF(ISBLANK($C132),"",IF($BL132&lt;&gt;Constants!$B$4,"",IF($BB132="-&gt;",$BG132,$AW132)))</f>
        <v/>
      </c>
      <c r="CH132" s="132" t="str">
        <f aca="false">IF(ISBLANK($C132),"",IF($BL132&lt;&gt;Constants!$B$4,"",IF($BB132="-&gt;",$BH132,$AX132)))</f>
        <v/>
      </c>
      <c r="CI132" s="133" t="str">
        <f aca="false">IF(ISBLANK($C132),"",$BO132)</f>
        <v/>
      </c>
      <c r="CJ132" s="134" t="str">
        <f aca="false">IF(ISBLANK($C132),"",$BM132)</f>
        <v/>
      </c>
      <c r="CK132" s="135" t="str">
        <f aca="false">IF(ISBLANK($C132),"",$CA132)</f>
        <v/>
      </c>
      <c r="CL132" s="135" t="str">
        <f aca="false">IF(ISBLANK($C132),"",$BZ132)</f>
        <v/>
      </c>
      <c r="CM132" s="136" t="str">
        <f aca="false">IF(ISBLANK($C132),"",IF($CL132=Constants!$B$7,COUNTA($C$9:$C$508)+2,IF($CL132=Constants!$B$6,COUNTA($C$9:$C$508)+1,IF($CL132=Constants!$B$5,COUNTA($C$9:$C$508),$CL132))))</f>
        <v/>
      </c>
      <c r="CN132" s="8"/>
      <c r="CO132" s="137" t="n">
        <f aca="false">IF(OR(ISNUMBER($CL132),$CL132=Constants!$B$7,$CL132=Constants!$B$5,$CL132=Constants!$B$6),1,0)</f>
        <v>0</v>
      </c>
      <c r="CP132" s="137" t="n">
        <v>124</v>
      </c>
      <c r="CQ132" s="137" t="str">
        <f aca="false">IF(ISBLANK($C132),"",IF(ISNUMBER($CM132),$CM132+ROW($B132)/1000,""))</f>
        <v/>
      </c>
      <c r="CR132" s="137" t="str">
        <f aca="false">IF(ISNUMBER($CQ132),RANK($CQ132,$CQ$9:$CQ$508,1),"")</f>
        <v/>
      </c>
      <c r="CS132" s="137" t="str">
        <f aca="false">IF(ISBLANK($C132),"",$B132)</f>
        <v/>
      </c>
      <c r="CT132" s="137" t="str">
        <f aca="false">IF(ISBLANK($C132),"",$C132)</f>
        <v/>
      </c>
      <c r="CU132" s="137" t="str">
        <f aca="false">IF(ISBLANK($C132),"",$D132)</f>
        <v/>
      </c>
      <c r="CV132" s="138" t="str">
        <f aca="false">$CJ132</f>
        <v/>
      </c>
      <c r="CW132" s="139" t="str">
        <f aca="false">$CI132</f>
        <v/>
      </c>
      <c r="CX132" s="137" t="str">
        <f aca="false">IF(ISBLANK($C132),"",$CL132)</f>
        <v/>
      </c>
      <c r="CY132" s="140" t="str">
        <f aca="false">IF($CP132&gt;$CO$8,"",VLOOKUP($CP132,$CR$9:$CX$508,7,FALSE()))</f>
        <v/>
      </c>
      <c r="CZ132" s="141" t="str">
        <f aca="false">IF($CP132&gt;$CO$8,"",VLOOKUP($CP132,$CR$9:$CX$508,2,FALSE()))</f>
        <v/>
      </c>
      <c r="DA132" s="141" t="str">
        <f aca="false">IF($CP132&gt;$CO$8,"",VLOOKUP($CP132,$CR$9:$CX$508,3,FALSE()))</f>
        <v/>
      </c>
      <c r="DB132" s="141" t="str">
        <f aca="false">IF($CP132&gt;$CO$8,"",VLOOKUP($CP132,$CR$9:$CX$508,4,FALSE()))</f>
        <v/>
      </c>
      <c r="DC132" s="141" t="str">
        <f aca="false">IF($CP132&gt;$CO$8,"",VLOOKUP($CP132,$CR$9:$CX$508,5,FALSE()))</f>
        <v/>
      </c>
      <c r="DD132" s="142" t="str">
        <f aca="false">IF($CP132&gt;$CO$8,"",VLOOKUP($CP132,$CR$9:$CX$508,6,FALSE()))</f>
        <v/>
      </c>
      <c r="DE132" s="70"/>
    </row>
    <row r="133" customFormat="false" ht="15.75" hidden="false" customHeight="false" outlineLevel="0" collapsed="false">
      <c r="A133" s="8"/>
      <c r="B133" s="146"/>
      <c r="C133" s="147"/>
      <c r="D133" s="148"/>
      <c r="E133" s="164"/>
      <c r="F133" s="150"/>
      <c r="G133" s="115"/>
      <c r="H133" s="115"/>
      <c r="I133" s="115"/>
      <c r="J133" s="165"/>
      <c r="K133" s="154"/>
      <c r="L133" s="154"/>
      <c r="M133" s="118"/>
      <c r="N133" s="154"/>
      <c r="O133" s="153"/>
      <c r="P133" s="154"/>
      <c r="Q133" s="154"/>
      <c r="R133" s="154"/>
      <c r="S133" s="115"/>
      <c r="T133" s="154"/>
      <c r="U133" s="153"/>
      <c r="V133" s="154"/>
      <c r="W133" s="123"/>
      <c r="X133" s="124" t="str">
        <f aca="false">IF(ISBLANK($C133),"",IF($E133=Constants!$B$2,TRUE(),IF($E133=Constants!$B$3,FALSE(),TRUE())))</f>
        <v/>
      </c>
      <c r="Y133" s="124" t="str">
        <f aca="false">IF(ISBLANK($C133),"",IF($F133=Constants!$B$2,TRUE(),IF($F133=Constants!$B$3,FALSE(),TRUE())))</f>
        <v/>
      </c>
      <c r="Z133" s="125" t="str">
        <f aca="false">IF(ISBLANK($C133),"",IF(ISNUMBER($G133),IF($G133&gt;=0,$G133,""),""))</f>
        <v/>
      </c>
      <c r="AA133" s="125" t="str">
        <f aca="false">IF(ISBLANK($C133),"",IF(ISNUMBER($H133),IF($H133&gt;=0,$H133,""),""))</f>
        <v/>
      </c>
      <c r="AB133" s="125" t="str">
        <f aca="false">IF(ISBLANK($C133),"",IF(ISNUMBER($I133),IF($I133&gt;=0,$I133,""),""))</f>
        <v/>
      </c>
      <c r="AC133" s="124" t="str">
        <f aca="false">IF(ISBLANK($C133),"",IF($J133=Constants!$B$2,TRUE(),IF($J133=Constants!$B$3,FALSE(),TRUE())))</f>
        <v/>
      </c>
      <c r="AD133" s="124" t="str">
        <f aca="false">IF(ISBLANK($C133),"",IF($K133=Constants!$B$2,TRUE(),IF($K133=Constants!$B$3,FALSE(),TRUE())))</f>
        <v/>
      </c>
      <c r="AE133" s="124" t="str">
        <f aca="false">IF(ISBLANK($C133),"",IF($L133=Constants!$B$2,TRUE(),IF($L133=Constants!$B$3,FALSE(),TRUE())))</f>
        <v/>
      </c>
      <c r="AF133" s="126" t="str">
        <f aca="false">IF(ISBLANK($C133),"",IF(ISNUMBER($M133),IF($M133&gt;=0,$M133,""),""))</f>
        <v/>
      </c>
      <c r="AG133" s="124" t="str">
        <f aca="false">IF(ISBLANK($C133),"",IF(ISBLANK($N133),0,IF(ISNUMBER($N133),IF(AND($N133&gt;=0,$N133&lt;=Constants!$B$17,$N133=INT($N133)),$N133,""),"")))</f>
        <v/>
      </c>
      <c r="AH133" s="125" t="str">
        <f aca="false">IF(ISBLANK($C133),"",IF(ISBLANK($O133),0,IF(ISNUMBER($O133),IF($O133&gt;=0,$O133,""),"")))</f>
        <v/>
      </c>
      <c r="AI133" s="124" t="str">
        <f aca="false">IF(ISBLANK($C133),"",IF($P133=Constants!$B$2,TRUE(),IF($P133=Constants!$B$3,FALSE(),TRUE())))</f>
        <v/>
      </c>
      <c r="AJ133" s="124" t="str">
        <f aca="false">IF(ISBLANK($C133),"",IF($Q133=Constants!$B$2,TRUE(),IF($Q133=Constants!$B$3,FALSE(),TRUE())))</f>
        <v/>
      </c>
      <c r="AK133" s="124" t="str">
        <f aca="false">IF(ISBLANK($C133),"",IF($R133=Constants!$B$2,TRUE(),IF($R133=Constants!$B$3,FALSE(),TRUE())))</f>
        <v/>
      </c>
      <c r="AL133" s="126" t="str">
        <f aca="false">IF(ISBLANK($C133),"",IF(ISNUMBER($S133),IF($S133&gt;=0,$S133,""),""))</f>
        <v/>
      </c>
      <c r="AM133" s="124" t="str">
        <f aca="false">IF(ISBLANK($C133),"",IF(ISBLANK($T133),0,IF(ISNUMBER($T133),IF(AND($T133&gt;=0,$T133&lt;=Constants!$B$17,$T133=INT($T133)),$T133,""),"")))</f>
        <v/>
      </c>
      <c r="AN133" s="125" t="str">
        <f aca="false">IF(ISBLANK($C133),"",IF(ISBLANK($U133),0,IF(ISNUMBER($U133),IF($U133&gt;=0,$U133,""),"")))</f>
        <v/>
      </c>
      <c r="AO133" s="124" t="str">
        <f aca="false">IF(ISBLANK($C133),"",IF($V133=Constants!$B$2,TRUE(),IF($V133=Constants!$B$3,FALSE(),FALSE())))</f>
        <v/>
      </c>
      <c r="AP133" s="124"/>
      <c r="AQ133" s="123" t="str">
        <f aca="false">IF(ISBLANK($C133),"",AND($Y133,OR($AS133,$BC133),OR($Z133="",$AA133="",$AB133="")))</f>
        <v/>
      </c>
      <c r="AR133" s="123" t="str">
        <f aca="false">IF(ISBLANK($C133),"",IF(OR(NOT($Y133),NOT(OR($AS133,$BC133))),"",IF(ISBLANK($D$7),$AR$5,IF($AP$9="",$AR$6,""))))</f>
        <v/>
      </c>
      <c r="AS133" s="123" t="str">
        <f aca="false">IF(ISBLANK($C133),"",COUNTA($J133:$O133)&gt;0)</f>
        <v/>
      </c>
      <c r="AT133" s="123" t="str">
        <f aca="false">IF(ISBLANK($C133),"",AND($AS133,OR(AND($AF133="",OR($AE133,NOT(ISBLANK($M133)))),$AG133="",$AH133="")))</f>
        <v/>
      </c>
      <c r="AU133" s="125" t="str">
        <f aca="false">IF($BL133&lt;&gt;Constants!$B$4,"",IF(NOT($AS133),"",ROUND((Constants!$B$12-$AB133)+(Constants!$B$13-$Z133)+(Constants!$B$14-$AA133),1)))</f>
        <v/>
      </c>
      <c r="AV133" s="127" t="str">
        <f aca="false">IF($BL133&lt;&gt;Constants!$B$4,"",IF(NOT($AS133),"",IF(NOT($AE133),0,Constants!$B$15*(INT(ROUND(MIN($AF133,$AP$9),6))-INT(ROUND(MAX(0,MIN($AF133,2*$AP$9)-$AP$9),6))))))</f>
        <v/>
      </c>
      <c r="AW133" s="127" t="str">
        <f aca="false">IF($BL133&lt;&gt;Constants!$B$4,"",IF(NOT($AS133),"",Constants!$B$16*$AG133))</f>
        <v/>
      </c>
      <c r="AX133" s="127" t="str">
        <f aca="false">IF($BL133&lt;&gt;Constants!$B$4,"",IF(NOT($AS133),"",Constants!$B$18*INT(ROUND($AH133,6))))</f>
        <v/>
      </c>
      <c r="AY133" s="123" t="str">
        <f aca="false">IF($BL133&lt;&gt;Constants!$B$4,"",IF(NOT($AS133),"",IF(NOT($X133),Constants!$B$11,IF(OR(NOT($AC133),NOT($AD133),ROUND($AB133,1)&gt;Constants!$B$12,ROUND($Z133,1)&gt;Constants!$B$13,ROUND($AA133,1)&gt;Constants!$B$14),Constants!$B$10,Constants!$B$9))))</f>
        <v/>
      </c>
      <c r="AZ133" s="128" t="str">
        <f aca="false">IF($BL133&lt;&gt;Constants!$B$4,"",IF(NOT($AS133),"",ROUND($AU133+$AV133+$AW133+$AX133,1)))</f>
        <v/>
      </c>
      <c r="BA133" s="129" t="str">
        <f aca="false">IF($BL133&lt;&gt;Constants!$B$4,"",IF(NOT($AS133),"",IF(ISNUMBER($AF133),$AF133,0)))</f>
        <v/>
      </c>
      <c r="BB133" s="124" t="str">
        <f aca="false">IF($BL133&lt;&gt;Constants!$B$4,"",IF(NOT($BC133),"&lt;-",IF(NOT($AS133),"-&gt;",IF(OR($BI133&lt;$AY133,AND($BI133=$AY133,OR($BJ133&gt;$AZ133,AND($BJ133=$AZ133,OR($BH133&gt;$AX133,AND($BH133=$AX133,OR($BE133&gt;$AU133,AND($BE133=$AU133,OR($BF133&gt;$AV133,AND($BF133=$AV133,$BK133&gt;$BA133)))))))))),"-&gt;","&lt;-"))))</f>
        <v/>
      </c>
      <c r="BC133" s="123" t="str">
        <f aca="false">IF(ISBLANK($C133),"",COUNTA($P133:$U133)&gt;0)</f>
        <v/>
      </c>
      <c r="BD133" s="123" t="str">
        <f aca="false">IF(ISBLANK($C133),"",AND($BC133,OR(AND($AL133="",OR($AK133,NOT(ISBLANK($S133)))),$AM133="",$AN133="")))</f>
        <v/>
      </c>
      <c r="BE133" s="125" t="str">
        <f aca="false">IF($BL133&lt;&gt;Constants!$B$4,"",IF(NOT($BC133),"",ROUND((Constants!$B$12-$AB133)+(Constants!$B$13-$Z133)+(Constants!$B$14-$AA133),1)))</f>
        <v/>
      </c>
      <c r="BF133" s="127" t="str">
        <f aca="false">IF($BL133&lt;&gt;Constants!$B$4,"",IF(NOT($BC133),"",IF(NOT($AK133),0,Constants!$B$15*(INT(ROUND(MIN($AL133,$AP$9),6))-INT(ROUND(MAX(0,MIN($AL133,2*$AP$9)-$AP$9),6))))))</f>
        <v/>
      </c>
      <c r="BG133" s="127" t="str">
        <f aca="false">IF($BL133&lt;&gt;Constants!$B$4,"",IF(NOT($BC133),"",Constants!$B$16*$AM133))</f>
        <v/>
      </c>
      <c r="BH133" s="127" t="str">
        <f aca="false">IF($BL133&lt;&gt;Constants!$B$4,"",IF(NOT($BC133),"",Constants!$B$18*INT(ROUND($AN133,6))))</f>
        <v/>
      </c>
      <c r="BI133" s="123" t="str">
        <f aca="false">IF($BL133&lt;&gt;Constants!$B$4,"",IF(NOT($BC133),"",IF(NOT($X133),Constants!$B$11,IF(OR(NOT($AI133),NOT($AJ133),ROUND($AB133,1)&gt;Constants!$B$12,ROUND($Z133,1)&gt;Constants!$B$13,ROUND($AA133,1)&gt;Constants!$B$14),Constants!$B$10,Constants!$B$9))))</f>
        <v/>
      </c>
      <c r="BJ133" s="128" t="str">
        <f aca="false">IF($BL133&lt;&gt;Constants!$B$4,"",IF(NOT($BC133),"",ROUND($BE133+$BF133+$BG133+$BH133,1)))</f>
        <v/>
      </c>
      <c r="BK133" s="129" t="str">
        <f aca="false">IF($BL133&lt;&gt;Constants!$B$4,"",IF(NOT($BC133),"",IF(ISNUMBER($AL133),$AL133,0)))</f>
        <v/>
      </c>
      <c r="BL133" s="124" t="str">
        <f aca="false">IF(ISBLANK($C133),"",IF($AO133,Constants!$B$7,IF(COUNTA($E133:$V133)=0,Constants!$B$6,IF(NOT($Y133),Constants!$B$5,IF(NOT(OR($AS133,$BC133)),Constants!$B$5,IF(OR($AT133,$BD133,$AQ133,$AR133&lt;&gt;""),Constants!$B$8,Constants!$B$4))))))</f>
        <v/>
      </c>
      <c r="BM133" s="124" t="str">
        <f aca="false">IF(ISBLANK($C133),"",IF($BL133&lt;&gt;Constants!$B$4,$BL133,IF($BB133="-&gt;",$BI133,$AY133)))</f>
        <v/>
      </c>
      <c r="BN133" s="127" t="str">
        <f aca="false">IF($BL133&lt;&gt;Constants!$B$4,"",IF($BB133="-&gt;",$BJ133,$AZ133))</f>
        <v/>
      </c>
      <c r="BO133" s="127" t="str">
        <f aca="false">IF(ISBLANK($C133),"",IF($BL133&lt;&gt;Constants!$B$4,$BL133,$BN133))</f>
        <v/>
      </c>
      <c r="BP133" s="124" t="str">
        <f aca="false">IF(ISBLANK($C133),"",IF($BL133&lt;&gt;Constants!$B$4,$BL133,RANK($BO133,$BO$9:$BO$508,0)))</f>
        <v/>
      </c>
      <c r="BQ133" s="124" t="str">
        <f aca="false">IF(ISBLANK($C133),"",IF($BL133&lt;&gt;Constants!$B$4,$BL133,COUNTIFS($BM$9:$BM$508,"&lt;"&amp;$BM133)+COUNTIFS($BM$9:$BM$508,$BM133,$BP$9:$BP$508,"&lt;"&amp;$BP133)+1))</f>
        <v/>
      </c>
      <c r="BR133" s="127" t="str">
        <f aca="false">IF($BL133&lt;&gt;Constants!$B$4,"",IF($BB133="-&gt;",$BH133,$AX133))</f>
        <v/>
      </c>
      <c r="BS133" s="124" t="str">
        <f aca="false">IF(ISBLANK($C133),"",IF($BL133&lt;&gt;Constants!$B$4,$BL133,IF(ISNUMBER($BR133),RANK($BR133,$BR$9:$BR$508,0),COUNT($BR$9:$BR$508)+1)))</f>
        <v/>
      </c>
      <c r="BT133" s="127" t="str">
        <f aca="false">IF($BL133&lt;&gt;Constants!$B$4,"",IF($BB133="-&gt;",$BE133,$AU133))</f>
        <v/>
      </c>
      <c r="BU133" s="124" t="str">
        <f aca="false">IF(ISBLANK($C133),"",IF($BL133&lt;&gt;Constants!$B$4,$BL133,IF(ISNUMBER($BT133),RANK($BT133,$BT$9:$BT$508,0),COUNT($BT$9:$BT$508)+1)))</f>
        <v/>
      </c>
      <c r="BV133" s="127" t="str">
        <f aca="false">IF($BL133&lt;&gt;Constants!$B$4,"",IF($BB133="-&gt;",$BF133,$AV133))</f>
        <v/>
      </c>
      <c r="BW133" s="124" t="str">
        <f aca="false">IF(ISBLANK($C133),"",IF($BL133&lt;&gt;Constants!$B$4,$BL133,IF(ISNUMBER($BV133),RANK($BV133,$BV$9:$BV$508,0),COUNT($BV$9:$BV$508)+1)))</f>
        <v/>
      </c>
      <c r="BX133" s="127" t="str">
        <f aca="false">IF($BL133&lt;&gt;Constants!$B$4,"",IF($BB133="-&gt;",$BK133,$BA133))</f>
        <v/>
      </c>
      <c r="BY133" s="124" t="str">
        <f aca="false">IF(ISBLANK($C133),"",IF($BL133&lt;&gt;Constants!$B$4,$BL133,IF(ISNUMBER($BX133),RANK($BX133,$BX$9:$BX$508,0),COUNT($BX$9:$BX$508)+1)))</f>
        <v/>
      </c>
      <c r="BZ133" s="124" t="str">
        <f aca="false">IF(ISBLANK($C133),"",IF($BL133&lt;&gt;Constants!$B$4,$BL133,COUNTIFS($BM$9:$BM$508,"&lt;"&amp;$BM133)+COUNTIFS($BM$9:$BM$508,$BM133,$BP$9:$BP$508,"&lt;"&amp;$BP133)+COUNTIFS($BM$9:$BM$508,$BM133,$BP$9:$BP$508,$BP133,$BS$9:$BS$508,"&lt;"&amp;$BS133)+COUNTIFS($BM$9:$BM$508,$BM133,$BP$9:$BP$508,$BP133,$BS$9:$BS$508,$BS133,$BU$9:$BU$508,"&lt;"&amp;$BU133)+COUNTIFS($BM$9:$BM$508,$BM133,$BP$9:$BP$508,$BP133,$BS$9:$BS$508,$BS133,$BU$9:$BU$508,$BU133,$BW$9:$BW$508,"&lt;"&amp;$BW133)+COUNTIFS($BM$9:$BM$508,$BM133,$BP$9:$BP$508,$BP133,$BS$9:$BS$508,$BS133,$BU$9:$BU$508,$BU133,$BW$9:$BW$508,$BW133,$BY$9:$BY$508,"&lt;"&amp;$BY133)+1))</f>
        <v/>
      </c>
      <c r="CA133" s="124" t="str">
        <f aca="false">IF(ISBLANK($C133),"",IF($BL133&lt;&gt;Constants!$B$4,$BL133,$BQ133-$BZ133))</f>
        <v/>
      </c>
      <c r="CB133" s="130"/>
      <c r="CC133" s="131" t="str">
        <f aca="false">IF(ISBLANK($C133),"",IF($BL133=Constants!$B$8,$AR133,""))</f>
        <v/>
      </c>
      <c r="CD133" s="131" t="str">
        <f aca="false">IF(ISBLANK($C133),"",IF($BL133&lt;&gt;Constants!$B$4,"",IF($BB133="-&gt;",2,1)))</f>
        <v/>
      </c>
      <c r="CE133" s="132" t="str">
        <f aca="false">IF(ISBLANK($C133),"",IF($BL133&lt;&gt;Constants!$B$4,"",IF($BB133="-&gt;",$BE133,$AU133)))</f>
        <v/>
      </c>
      <c r="CF133" s="132" t="str">
        <f aca="false">IF(ISBLANK($C133),"",IF($BL133&lt;&gt;Constants!$B$4,"",IF($BB133="-&gt;",$BF133,$AV133)))</f>
        <v/>
      </c>
      <c r="CG133" s="132" t="str">
        <f aca="false">IF(ISBLANK($C133),"",IF($BL133&lt;&gt;Constants!$B$4,"",IF($BB133="-&gt;",$BG133,$AW133)))</f>
        <v/>
      </c>
      <c r="CH133" s="132" t="str">
        <f aca="false">IF(ISBLANK($C133),"",IF($BL133&lt;&gt;Constants!$B$4,"",IF($BB133="-&gt;",$BH133,$AX133)))</f>
        <v/>
      </c>
      <c r="CI133" s="133" t="str">
        <f aca="false">IF(ISBLANK($C133),"",$BO133)</f>
        <v/>
      </c>
      <c r="CJ133" s="134" t="str">
        <f aca="false">IF(ISBLANK($C133),"",$BM133)</f>
        <v/>
      </c>
      <c r="CK133" s="135" t="str">
        <f aca="false">IF(ISBLANK($C133),"",$CA133)</f>
        <v/>
      </c>
      <c r="CL133" s="135" t="str">
        <f aca="false">IF(ISBLANK($C133),"",$BZ133)</f>
        <v/>
      </c>
      <c r="CM133" s="136" t="str">
        <f aca="false">IF(ISBLANK($C133),"",IF($CL133=Constants!$B$7,COUNTA($C$9:$C$508)+2,IF($CL133=Constants!$B$6,COUNTA($C$9:$C$508)+1,IF($CL133=Constants!$B$5,COUNTA($C$9:$C$508),$CL133))))</f>
        <v/>
      </c>
      <c r="CN133" s="8"/>
      <c r="CO133" s="137" t="n">
        <f aca="false">IF(OR(ISNUMBER($CL133),$CL133=Constants!$B$7,$CL133=Constants!$B$5,$CL133=Constants!$B$6),1,0)</f>
        <v>0</v>
      </c>
      <c r="CP133" s="137" t="n">
        <v>125</v>
      </c>
      <c r="CQ133" s="137" t="str">
        <f aca="false">IF(ISBLANK($C133),"",IF(ISNUMBER($CM133),$CM133+ROW($B133)/1000,""))</f>
        <v/>
      </c>
      <c r="CR133" s="137" t="str">
        <f aca="false">IF(ISNUMBER($CQ133),RANK($CQ133,$CQ$9:$CQ$508,1),"")</f>
        <v/>
      </c>
      <c r="CS133" s="137" t="str">
        <f aca="false">IF(ISBLANK($C133),"",$B133)</f>
        <v/>
      </c>
      <c r="CT133" s="137" t="str">
        <f aca="false">IF(ISBLANK($C133),"",$C133)</f>
        <v/>
      </c>
      <c r="CU133" s="137" t="str">
        <f aca="false">IF(ISBLANK($C133),"",$D133)</f>
        <v/>
      </c>
      <c r="CV133" s="138" t="str">
        <f aca="false">$CJ133</f>
        <v/>
      </c>
      <c r="CW133" s="139" t="str">
        <f aca="false">$CI133</f>
        <v/>
      </c>
      <c r="CX133" s="137" t="str">
        <f aca="false">IF(ISBLANK($C133),"",$CL133)</f>
        <v/>
      </c>
      <c r="CY133" s="140" t="str">
        <f aca="false">IF($CP133&gt;$CO$8,"",VLOOKUP($CP133,$CR$9:$CX$508,7,FALSE()))</f>
        <v/>
      </c>
      <c r="CZ133" s="141" t="str">
        <f aca="false">IF($CP133&gt;$CO$8,"",VLOOKUP($CP133,$CR$9:$CX$508,2,FALSE()))</f>
        <v/>
      </c>
      <c r="DA133" s="141" t="str">
        <f aca="false">IF($CP133&gt;$CO$8,"",VLOOKUP($CP133,$CR$9:$CX$508,3,FALSE()))</f>
        <v/>
      </c>
      <c r="DB133" s="141" t="str">
        <f aca="false">IF($CP133&gt;$CO$8,"",VLOOKUP($CP133,$CR$9:$CX$508,4,FALSE()))</f>
        <v/>
      </c>
      <c r="DC133" s="141" t="str">
        <f aca="false">IF($CP133&gt;$CO$8,"",VLOOKUP($CP133,$CR$9:$CX$508,5,FALSE()))</f>
        <v/>
      </c>
      <c r="DD133" s="142" t="str">
        <f aca="false">IF($CP133&gt;$CO$8,"",VLOOKUP($CP133,$CR$9:$CX$508,6,FALSE()))</f>
        <v/>
      </c>
      <c r="DE133" s="70"/>
    </row>
    <row r="134" customFormat="false" ht="15.75" hidden="false" customHeight="false" outlineLevel="0" collapsed="false">
      <c r="A134" s="8"/>
      <c r="B134" s="146"/>
      <c r="C134" s="147"/>
      <c r="D134" s="148"/>
      <c r="E134" s="164"/>
      <c r="F134" s="150"/>
      <c r="G134" s="115"/>
      <c r="H134" s="115"/>
      <c r="I134" s="115"/>
      <c r="J134" s="165"/>
      <c r="K134" s="154"/>
      <c r="L134" s="154"/>
      <c r="M134" s="118"/>
      <c r="N134" s="154"/>
      <c r="O134" s="153"/>
      <c r="P134" s="154"/>
      <c r="Q134" s="154"/>
      <c r="R134" s="154"/>
      <c r="S134" s="115"/>
      <c r="T134" s="154"/>
      <c r="U134" s="153"/>
      <c r="V134" s="154"/>
      <c r="W134" s="123"/>
      <c r="X134" s="124" t="str">
        <f aca="false">IF(ISBLANK($C134),"",IF($E134=Constants!$B$2,TRUE(),IF($E134=Constants!$B$3,FALSE(),TRUE())))</f>
        <v/>
      </c>
      <c r="Y134" s="124" t="str">
        <f aca="false">IF(ISBLANK($C134),"",IF($F134=Constants!$B$2,TRUE(),IF($F134=Constants!$B$3,FALSE(),TRUE())))</f>
        <v/>
      </c>
      <c r="Z134" s="125" t="str">
        <f aca="false">IF(ISBLANK($C134),"",IF(ISNUMBER($G134),IF($G134&gt;=0,$G134,""),""))</f>
        <v/>
      </c>
      <c r="AA134" s="125" t="str">
        <f aca="false">IF(ISBLANK($C134),"",IF(ISNUMBER($H134),IF($H134&gt;=0,$H134,""),""))</f>
        <v/>
      </c>
      <c r="AB134" s="125" t="str">
        <f aca="false">IF(ISBLANK($C134),"",IF(ISNUMBER($I134),IF($I134&gt;=0,$I134,""),""))</f>
        <v/>
      </c>
      <c r="AC134" s="124" t="str">
        <f aca="false">IF(ISBLANK($C134),"",IF($J134=Constants!$B$2,TRUE(),IF($J134=Constants!$B$3,FALSE(),TRUE())))</f>
        <v/>
      </c>
      <c r="AD134" s="124" t="str">
        <f aca="false">IF(ISBLANK($C134),"",IF($K134=Constants!$B$2,TRUE(),IF($K134=Constants!$B$3,FALSE(),TRUE())))</f>
        <v/>
      </c>
      <c r="AE134" s="124" t="str">
        <f aca="false">IF(ISBLANK($C134),"",IF($L134=Constants!$B$2,TRUE(),IF($L134=Constants!$B$3,FALSE(),TRUE())))</f>
        <v/>
      </c>
      <c r="AF134" s="126" t="str">
        <f aca="false">IF(ISBLANK($C134),"",IF(ISNUMBER($M134),IF($M134&gt;=0,$M134,""),""))</f>
        <v/>
      </c>
      <c r="AG134" s="124" t="str">
        <f aca="false">IF(ISBLANK($C134),"",IF(ISBLANK($N134),0,IF(ISNUMBER($N134),IF(AND($N134&gt;=0,$N134&lt;=Constants!$B$17,$N134=INT($N134)),$N134,""),"")))</f>
        <v/>
      </c>
      <c r="AH134" s="125" t="str">
        <f aca="false">IF(ISBLANK($C134),"",IF(ISBLANK($O134),0,IF(ISNUMBER($O134),IF($O134&gt;=0,$O134,""),"")))</f>
        <v/>
      </c>
      <c r="AI134" s="124" t="str">
        <f aca="false">IF(ISBLANK($C134),"",IF($P134=Constants!$B$2,TRUE(),IF($P134=Constants!$B$3,FALSE(),TRUE())))</f>
        <v/>
      </c>
      <c r="AJ134" s="124" t="str">
        <f aca="false">IF(ISBLANK($C134),"",IF($Q134=Constants!$B$2,TRUE(),IF($Q134=Constants!$B$3,FALSE(),TRUE())))</f>
        <v/>
      </c>
      <c r="AK134" s="124" t="str">
        <f aca="false">IF(ISBLANK($C134),"",IF($R134=Constants!$B$2,TRUE(),IF($R134=Constants!$B$3,FALSE(),TRUE())))</f>
        <v/>
      </c>
      <c r="AL134" s="126" t="str">
        <f aca="false">IF(ISBLANK($C134),"",IF(ISNUMBER($S134),IF($S134&gt;=0,$S134,""),""))</f>
        <v/>
      </c>
      <c r="AM134" s="124" t="str">
        <f aca="false">IF(ISBLANK($C134),"",IF(ISBLANK($T134),0,IF(ISNUMBER($T134),IF(AND($T134&gt;=0,$T134&lt;=Constants!$B$17,$T134=INT($T134)),$T134,""),"")))</f>
        <v/>
      </c>
      <c r="AN134" s="125" t="str">
        <f aca="false">IF(ISBLANK($C134),"",IF(ISBLANK($U134),0,IF(ISNUMBER($U134),IF($U134&gt;=0,$U134,""),"")))</f>
        <v/>
      </c>
      <c r="AO134" s="124" t="str">
        <f aca="false">IF(ISBLANK($C134),"",IF($V134=Constants!$B$2,TRUE(),IF($V134=Constants!$B$3,FALSE(),FALSE())))</f>
        <v/>
      </c>
      <c r="AP134" s="124"/>
      <c r="AQ134" s="123" t="str">
        <f aca="false">IF(ISBLANK($C134),"",AND($Y134,OR($AS134,$BC134),OR($Z134="",$AA134="",$AB134="")))</f>
        <v/>
      </c>
      <c r="AR134" s="123" t="str">
        <f aca="false">IF(ISBLANK($C134),"",IF(OR(NOT($Y134),NOT(OR($AS134,$BC134))),"",IF(ISBLANK($D$7),$AR$5,IF($AP$9="",$AR$6,""))))</f>
        <v/>
      </c>
      <c r="AS134" s="123" t="str">
        <f aca="false">IF(ISBLANK($C134),"",COUNTA($J134:$O134)&gt;0)</f>
        <v/>
      </c>
      <c r="AT134" s="123" t="str">
        <f aca="false">IF(ISBLANK($C134),"",AND($AS134,OR(AND($AF134="",OR($AE134,NOT(ISBLANK($M134)))),$AG134="",$AH134="")))</f>
        <v/>
      </c>
      <c r="AU134" s="125" t="str">
        <f aca="false">IF($BL134&lt;&gt;Constants!$B$4,"",IF(NOT($AS134),"",ROUND((Constants!$B$12-$AB134)+(Constants!$B$13-$Z134)+(Constants!$B$14-$AA134),1)))</f>
        <v/>
      </c>
      <c r="AV134" s="127" t="str">
        <f aca="false">IF($BL134&lt;&gt;Constants!$B$4,"",IF(NOT($AS134),"",IF(NOT($AE134),0,Constants!$B$15*(INT(ROUND(MIN($AF134,$AP$9),6))-INT(ROUND(MAX(0,MIN($AF134,2*$AP$9)-$AP$9),6))))))</f>
        <v/>
      </c>
      <c r="AW134" s="127" t="str">
        <f aca="false">IF($BL134&lt;&gt;Constants!$B$4,"",IF(NOT($AS134),"",Constants!$B$16*$AG134))</f>
        <v/>
      </c>
      <c r="AX134" s="127" t="str">
        <f aca="false">IF($BL134&lt;&gt;Constants!$B$4,"",IF(NOT($AS134),"",Constants!$B$18*INT(ROUND($AH134,6))))</f>
        <v/>
      </c>
      <c r="AY134" s="123" t="str">
        <f aca="false">IF($BL134&lt;&gt;Constants!$B$4,"",IF(NOT($AS134),"",IF(NOT($X134),Constants!$B$11,IF(OR(NOT($AC134),NOT($AD134),ROUND($AB134,1)&gt;Constants!$B$12,ROUND($Z134,1)&gt;Constants!$B$13,ROUND($AA134,1)&gt;Constants!$B$14),Constants!$B$10,Constants!$B$9))))</f>
        <v/>
      </c>
      <c r="AZ134" s="128" t="str">
        <f aca="false">IF($BL134&lt;&gt;Constants!$B$4,"",IF(NOT($AS134),"",ROUND($AU134+$AV134+$AW134+$AX134,1)))</f>
        <v/>
      </c>
      <c r="BA134" s="129" t="str">
        <f aca="false">IF($BL134&lt;&gt;Constants!$B$4,"",IF(NOT($AS134),"",IF(ISNUMBER($AF134),$AF134,0)))</f>
        <v/>
      </c>
      <c r="BB134" s="124" t="str">
        <f aca="false">IF($BL134&lt;&gt;Constants!$B$4,"",IF(NOT($BC134),"&lt;-",IF(NOT($AS134),"-&gt;",IF(OR($BI134&lt;$AY134,AND($BI134=$AY134,OR($BJ134&gt;$AZ134,AND($BJ134=$AZ134,OR($BH134&gt;$AX134,AND($BH134=$AX134,OR($BE134&gt;$AU134,AND($BE134=$AU134,OR($BF134&gt;$AV134,AND($BF134=$AV134,$BK134&gt;$BA134)))))))))),"-&gt;","&lt;-"))))</f>
        <v/>
      </c>
      <c r="BC134" s="123" t="str">
        <f aca="false">IF(ISBLANK($C134),"",COUNTA($P134:$U134)&gt;0)</f>
        <v/>
      </c>
      <c r="BD134" s="123" t="str">
        <f aca="false">IF(ISBLANK($C134),"",AND($BC134,OR(AND($AL134="",OR($AK134,NOT(ISBLANK($S134)))),$AM134="",$AN134="")))</f>
        <v/>
      </c>
      <c r="BE134" s="125" t="str">
        <f aca="false">IF($BL134&lt;&gt;Constants!$B$4,"",IF(NOT($BC134),"",ROUND((Constants!$B$12-$AB134)+(Constants!$B$13-$Z134)+(Constants!$B$14-$AA134),1)))</f>
        <v/>
      </c>
      <c r="BF134" s="127" t="str">
        <f aca="false">IF($BL134&lt;&gt;Constants!$B$4,"",IF(NOT($BC134),"",IF(NOT($AK134),0,Constants!$B$15*(INT(ROUND(MIN($AL134,$AP$9),6))-INT(ROUND(MAX(0,MIN($AL134,2*$AP$9)-$AP$9),6))))))</f>
        <v/>
      </c>
      <c r="BG134" s="127" t="str">
        <f aca="false">IF($BL134&lt;&gt;Constants!$B$4,"",IF(NOT($BC134),"",Constants!$B$16*$AM134))</f>
        <v/>
      </c>
      <c r="BH134" s="127" t="str">
        <f aca="false">IF($BL134&lt;&gt;Constants!$B$4,"",IF(NOT($BC134),"",Constants!$B$18*INT(ROUND($AN134,6))))</f>
        <v/>
      </c>
      <c r="BI134" s="123" t="str">
        <f aca="false">IF($BL134&lt;&gt;Constants!$B$4,"",IF(NOT($BC134),"",IF(NOT($X134),Constants!$B$11,IF(OR(NOT($AI134),NOT($AJ134),ROUND($AB134,1)&gt;Constants!$B$12,ROUND($Z134,1)&gt;Constants!$B$13,ROUND($AA134,1)&gt;Constants!$B$14),Constants!$B$10,Constants!$B$9))))</f>
        <v/>
      </c>
      <c r="BJ134" s="128" t="str">
        <f aca="false">IF($BL134&lt;&gt;Constants!$B$4,"",IF(NOT($BC134),"",ROUND($BE134+$BF134+$BG134+$BH134,1)))</f>
        <v/>
      </c>
      <c r="BK134" s="129" t="str">
        <f aca="false">IF($BL134&lt;&gt;Constants!$B$4,"",IF(NOT($BC134),"",IF(ISNUMBER($AL134),$AL134,0)))</f>
        <v/>
      </c>
      <c r="BL134" s="124" t="str">
        <f aca="false">IF(ISBLANK($C134),"",IF($AO134,Constants!$B$7,IF(COUNTA($E134:$V134)=0,Constants!$B$6,IF(NOT($Y134),Constants!$B$5,IF(NOT(OR($AS134,$BC134)),Constants!$B$5,IF(OR($AT134,$BD134,$AQ134,$AR134&lt;&gt;""),Constants!$B$8,Constants!$B$4))))))</f>
        <v/>
      </c>
      <c r="BM134" s="124" t="str">
        <f aca="false">IF(ISBLANK($C134),"",IF($BL134&lt;&gt;Constants!$B$4,$BL134,IF($BB134="-&gt;",$BI134,$AY134)))</f>
        <v/>
      </c>
      <c r="BN134" s="127" t="str">
        <f aca="false">IF($BL134&lt;&gt;Constants!$B$4,"",IF($BB134="-&gt;",$BJ134,$AZ134))</f>
        <v/>
      </c>
      <c r="BO134" s="127" t="str">
        <f aca="false">IF(ISBLANK($C134),"",IF($BL134&lt;&gt;Constants!$B$4,$BL134,$BN134))</f>
        <v/>
      </c>
      <c r="BP134" s="124" t="str">
        <f aca="false">IF(ISBLANK($C134),"",IF($BL134&lt;&gt;Constants!$B$4,$BL134,RANK($BO134,$BO$9:$BO$508,0)))</f>
        <v/>
      </c>
      <c r="BQ134" s="124" t="str">
        <f aca="false">IF(ISBLANK($C134),"",IF($BL134&lt;&gt;Constants!$B$4,$BL134,COUNTIFS($BM$9:$BM$508,"&lt;"&amp;$BM134)+COUNTIFS($BM$9:$BM$508,$BM134,$BP$9:$BP$508,"&lt;"&amp;$BP134)+1))</f>
        <v/>
      </c>
      <c r="BR134" s="127" t="str">
        <f aca="false">IF($BL134&lt;&gt;Constants!$B$4,"",IF($BB134="-&gt;",$BH134,$AX134))</f>
        <v/>
      </c>
      <c r="BS134" s="124" t="str">
        <f aca="false">IF(ISBLANK($C134),"",IF($BL134&lt;&gt;Constants!$B$4,$BL134,IF(ISNUMBER($BR134),RANK($BR134,$BR$9:$BR$508,0),COUNT($BR$9:$BR$508)+1)))</f>
        <v/>
      </c>
      <c r="BT134" s="127" t="str">
        <f aca="false">IF($BL134&lt;&gt;Constants!$B$4,"",IF($BB134="-&gt;",$BE134,$AU134))</f>
        <v/>
      </c>
      <c r="BU134" s="124" t="str">
        <f aca="false">IF(ISBLANK($C134),"",IF($BL134&lt;&gt;Constants!$B$4,$BL134,IF(ISNUMBER($BT134),RANK($BT134,$BT$9:$BT$508,0),COUNT($BT$9:$BT$508)+1)))</f>
        <v/>
      </c>
      <c r="BV134" s="127" t="str">
        <f aca="false">IF($BL134&lt;&gt;Constants!$B$4,"",IF($BB134="-&gt;",$BF134,$AV134))</f>
        <v/>
      </c>
      <c r="BW134" s="124" t="str">
        <f aca="false">IF(ISBLANK($C134),"",IF($BL134&lt;&gt;Constants!$B$4,$BL134,IF(ISNUMBER($BV134),RANK($BV134,$BV$9:$BV$508,0),COUNT($BV$9:$BV$508)+1)))</f>
        <v/>
      </c>
      <c r="BX134" s="127" t="str">
        <f aca="false">IF($BL134&lt;&gt;Constants!$B$4,"",IF($BB134="-&gt;",$BK134,$BA134))</f>
        <v/>
      </c>
      <c r="BY134" s="124" t="str">
        <f aca="false">IF(ISBLANK($C134),"",IF($BL134&lt;&gt;Constants!$B$4,$BL134,IF(ISNUMBER($BX134),RANK($BX134,$BX$9:$BX$508,0),COUNT($BX$9:$BX$508)+1)))</f>
        <v/>
      </c>
      <c r="BZ134" s="124" t="str">
        <f aca="false">IF(ISBLANK($C134),"",IF($BL134&lt;&gt;Constants!$B$4,$BL134,COUNTIFS($BM$9:$BM$508,"&lt;"&amp;$BM134)+COUNTIFS($BM$9:$BM$508,$BM134,$BP$9:$BP$508,"&lt;"&amp;$BP134)+COUNTIFS($BM$9:$BM$508,$BM134,$BP$9:$BP$508,$BP134,$BS$9:$BS$508,"&lt;"&amp;$BS134)+COUNTIFS($BM$9:$BM$508,$BM134,$BP$9:$BP$508,$BP134,$BS$9:$BS$508,$BS134,$BU$9:$BU$508,"&lt;"&amp;$BU134)+COUNTIFS($BM$9:$BM$508,$BM134,$BP$9:$BP$508,$BP134,$BS$9:$BS$508,$BS134,$BU$9:$BU$508,$BU134,$BW$9:$BW$508,"&lt;"&amp;$BW134)+COUNTIFS($BM$9:$BM$508,$BM134,$BP$9:$BP$508,$BP134,$BS$9:$BS$508,$BS134,$BU$9:$BU$508,$BU134,$BW$9:$BW$508,$BW134,$BY$9:$BY$508,"&lt;"&amp;$BY134)+1))</f>
        <v/>
      </c>
      <c r="CA134" s="124" t="str">
        <f aca="false">IF(ISBLANK($C134),"",IF($BL134&lt;&gt;Constants!$B$4,$BL134,$BQ134-$BZ134))</f>
        <v/>
      </c>
      <c r="CB134" s="130"/>
      <c r="CC134" s="131" t="str">
        <f aca="false">IF(ISBLANK($C134),"",IF($BL134=Constants!$B$8,$AR134,""))</f>
        <v/>
      </c>
      <c r="CD134" s="131" t="str">
        <f aca="false">IF(ISBLANK($C134),"",IF($BL134&lt;&gt;Constants!$B$4,"",IF($BB134="-&gt;",2,1)))</f>
        <v/>
      </c>
      <c r="CE134" s="132" t="str">
        <f aca="false">IF(ISBLANK($C134),"",IF($BL134&lt;&gt;Constants!$B$4,"",IF($BB134="-&gt;",$BE134,$AU134)))</f>
        <v/>
      </c>
      <c r="CF134" s="132" t="str">
        <f aca="false">IF(ISBLANK($C134),"",IF($BL134&lt;&gt;Constants!$B$4,"",IF($BB134="-&gt;",$BF134,$AV134)))</f>
        <v/>
      </c>
      <c r="CG134" s="132" t="str">
        <f aca="false">IF(ISBLANK($C134),"",IF($BL134&lt;&gt;Constants!$B$4,"",IF($BB134="-&gt;",$BG134,$AW134)))</f>
        <v/>
      </c>
      <c r="CH134" s="132" t="str">
        <f aca="false">IF(ISBLANK($C134),"",IF($BL134&lt;&gt;Constants!$B$4,"",IF($BB134="-&gt;",$BH134,$AX134)))</f>
        <v/>
      </c>
      <c r="CI134" s="133" t="str">
        <f aca="false">IF(ISBLANK($C134),"",$BO134)</f>
        <v/>
      </c>
      <c r="CJ134" s="134" t="str">
        <f aca="false">IF(ISBLANK($C134),"",$BM134)</f>
        <v/>
      </c>
      <c r="CK134" s="135" t="str">
        <f aca="false">IF(ISBLANK($C134),"",$CA134)</f>
        <v/>
      </c>
      <c r="CL134" s="135" t="str">
        <f aca="false">IF(ISBLANK($C134),"",$BZ134)</f>
        <v/>
      </c>
      <c r="CM134" s="136" t="str">
        <f aca="false">IF(ISBLANK($C134),"",IF($CL134=Constants!$B$7,COUNTA($C$9:$C$508)+2,IF($CL134=Constants!$B$6,COUNTA($C$9:$C$508)+1,IF($CL134=Constants!$B$5,COUNTA($C$9:$C$508),$CL134))))</f>
        <v/>
      </c>
      <c r="CN134" s="8"/>
      <c r="CO134" s="137" t="n">
        <f aca="false">IF(OR(ISNUMBER($CL134),$CL134=Constants!$B$7,$CL134=Constants!$B$5,$CL134=Constants!$B$6),1,0)</f>
        <v>0</v>
      </c>
      <c r="CP134" s="137" t="n">
        <v>126</v>
      </c>
      <c r="CQ134" s="137" t="str">
        <f aca="false">IF(ISBLANK($C134),"",IF(ISNUMBER($CM134),$CM134+ROW($B134)/1000,""))</f>
        <v/>
      </c>
      <c r="CR134" s="137" t="str">
        <f aca="false">IF(ISNUMBER($CQ134),RANK($CQ134,$CQ$9:$CQ$508,1),"")</f>
        <v/>
      </c>
      <c r="CS134" s="137" t="str">
        <f aca="false">IF(ISBLANK($C134),"",$B134)</f>
        <v/>
      </c>
      <c r="CT134" s="137" t="str">
        <f aca="false">IF(ISBLANK($C134),"",$C134)</f>
        <v/>
      </c>
      <c r="CU134" s="137" t="str">
        <f aca="false">IF(ISBLANK($C134),"",$D134)</f>
        <v/>
      </c>
      <c r="CV134" s="138" t="str">
        <f aca="false">$CJ134</f>
        <v/>
      </c>
      <c r="CW134" s="139" t="str">
        <f aca="false">$CI134</f>
        <v/>
      </c>
      <c r="CX134" s="137" t="str">
        <f aca="false">IF(ISBLANK($C134),"",$CL134)</f>
        <v/>
      </c>
      <c r="CY134" s="140" t="str">
        <f aca="false">IF($CP134&gt;$CO$8,"",VLOOKUP($CP134,$CR$9:$CX$508,7,FALSE()))</f>
        <v/>
      </c>
      <c r="CZ134" s="141" t="str">
        <f aca="false">IF($CP134&gt;$CO$8,"",VLOOKUP($CP134,$CR$9:$CX$508,2,FALSE()))</f>
        <v/>
      </c>
      <c r="DA134" s="141" t="str">
        <f aca="false">IF($CP134&gt;$CO$8,"",VLOOKUP($CP134,$CR$9:$CX$508,3,FALSE()))</f>
        <v/>
      </c>
      <c r="DB134" s="141" t="str">
        <f aca="false">IF($CP134&gt;$CO$8,"",VLOOKUP($CP134,$CR$9:$CX$508,4,FALSE()))</f>
        <v/>
      </c>
      <c r="DC134" s="141" t="str">
        <f aca="false">IF($CP134&gt;$CO$8,"",VLOOKUP($CP134,$CR$9:$CX$508,5,FALSE()))</f>
        <v/>
      </c>
      <c r="DD134" s="142" t="str">
        <f aca="false">IF($CP134&gt;$CO$8,"",VLOOKUP($CP134,$CR$9:$CX$508,6,FALSE()))</f>
        <v/>
      </c>
      <c r="DE134" s="70"/>
    </row>
    <row r="135" customFormat="false" ht="15.75" hidden="false" customHeight="false" outlineLevel="0" collapsed="false">
      <c r="A135" s="8"/>
      <c r="B135" s="72"/>
      <c r="C135" s="73"/>
      <c r="D135" s="155"/>
      <c r="E135" s="162"/>
      <c r="F135" s="157"/>
      <c r="G135" s="77"/>
      <c r="H135" s="77"/>
      <c r="I135" s="77"/>
      <c r="J135" s="163"/>
      <c r="K135" s="161"/>
      <c r="L135" s="161"/>
      <c r="M135" s="80"/>
      <c r="N135" s="161"/>
      <c r="O135" s="160"/>
      <c r="P135" s="161"/>
      <c r="Q135" s="161"/>
      <c r="R135" s="161"/>
      <c r="S135" s="77"/>
      <c r="T135" s="161"/>
      <c r="U135" s="160"/>
      <c r="V135" s="161"/>
      <c r="W135" s="85"/>
      <c r="X135" s="86" t="str">
        <f aca="false">IF(ISBLANK($C135),"",IF($E135=Constants!$B$2,TRUE(),IF($E135=Constants!$B$3,FALSE(),TRUE())))</f>
        <v/>
      </c>
      <c r="Y135" s="86" t="str">
        <f aca="false">IF(ISBLANK($C135),"",IF($F135=Constants!$B$2,TRUE(),IF($F135=Constants!$B$3,FALSE(),TRUE())))</f>
        <v/>
      </c>
      <c r="Z135" s="87" t="str">
        <f aca="false">IF(ISBLANK($C135),"",IF(ISNUMBER($G135),IF($G135&gt;=0,$G135,""),""))</f>
        <v/>
      </c>
      <c r="AA135" s="87" t="str">
        <f aca="false">IF(ISBLANK($C135),"",IF(ISNUMBER($H135),IF($H135&gt;=0,$H135,""),""))</f>
        <v/>
      </c>
      <c r="AB135" s="87" t="str">
        <f aca="false">IF(ISBLANK($C135),"",IF(ISNUMBER($I135),IF($I135&gt;=0,$I135,""),""))</f>
        <v/>
      </c>
      <c r="AC135" s="86" t="str">
        <f aca="false">IF(ISBLANK($C135),"",IF($J135=Constants!$B$2,TRUE(),IF($J135=Constants!$B$3,FALSE(),TRUE())))</f>
        <v/>
      </c>
      <c r="AD135" s="86" t="str">
        <f aca="false">IF(ISBLANK($C135),"",IF($K135=Constants!$B$2,TRUE(),IF($K135=Constants!$B$3,FALSE(),TRUE())))</f>
        <v/>
      </c>
      <c r="AE135" s="86" t="str">
        <f aca="false">IF(ISBLANK($C135),"",IF($L135=Constants!$B$2,TRUE(),IF($L135=Constants!$B$3,FALSE(),TRUE())))</f>
        <v/>
      </c>
      <c r="AF135" s="88" t="str">
        <f aca="false">IF(ISBLANK($C135),"",IF(ISNUMBER($M135),IF($M135&gt;=0,$M135,""),""))</f>
        <v/>
      </c>
      <c r="AG135" s="86" t="str">
        <f aca="false">IF(ISBLANK($C135),"",IF(ISBLANK($N135),0,IF(ISNUMBER($N135),IF(AND($N135&gt;=0,$N135&lt;=Constants!$B$17,$N135=INT($N135)),$N135,""),"")))</f>
        <v/>
      </c>
      <c r="AH135" s="87" t="str">
        <f aca="false">IF(ISBLANK($C135),"",IF(ISBLANK($O135),0,IF(ISNUMBER($O135),IF($O135&gt;=0,$O135,""),"")))</f>
        <v/>
      </c>
      <c r="AI135" s="86" t="str">
        <f aca="false">IF(ISBLANK($C135),"",IF($P135=Constants!$B$2,TRUE(),IF($P135=Constants!$B$3,FALSE(),TRUE())))</f>
        <v/>
      </c>
      <c r="AJ135" s="86" t="str">
        <f aca="false">IF(ISBLANK($C135),"",IF($Q135=Constants!$B$2,TRUE(),IF($Q135=Constants!$B$3,FALSE(),TRUE())))</f>
        <v/>
      </c>
      <c r="AK135" s="86" t="str">
        <f aca="false">IF(ISBLANK($C135),"",IF($R135=Constants!$B$2,TRUE(),IF($R135=Constants!$B$3,FALSE(),TRUE())))</f>
        <v/>
      </c>
      <c r="AL135" s="88" t="str">
        <f aca="false">IF(ISBLANK($C135),"",IF(ISNUMBER($S135),IF($S135&gt;=0,$S135,""),""))</f>
        <v/>
      </c>
      <c r="AM135" s="86" t="str">
        <f aca="false">IF(ISBLANK($C135),"",IF(ISBLANK($T135),0,IF(ISNUMBER($T135),IF(AND($T135&gt;=0,$T135&lt;=Constants!$B$17,$T135=INT($T135)),$T135,""),"")))</f>
        <v/>
      </c>
      <c r="AN135" s="87" t="str">
        <f aca="false">IF(ISBLANK($C135),"",IF(ISBLANK($U135),0,IF(ISNUMBER($U135),IF($U135&gt;=0,$U135,""),"")))</f>
        <v/>
      </c>
      <c r="AO135" s="86" t="str">
        <f aca="false">IF(ISBLANK($C135),"",IF($V135=Constants!$B$2,TRUE(),IF($V135=Constants!$B$3,FALSE(),FALSE())))</f>
        <v/>
      </c>
      <c r="AP135" s="86"/>
      <c r="AQ135" s="85" t="str">
        <f aca="false">IF(ISBLANK($C135),"",AND($Y135,OR($AS135,$BC135),OR($Z135="",$AA135="",$AB135="")))</f>
        <v/>
      </c>
      <c r="AR135" s="85" t="str">
        <f aca="false">IF(ISBLANK($C135),"",IF(OR(NOT($Y135),NOT(OR($AS135,$BC135))),"",IF(ISBLANK($D$7),$AR$5,IF($AP$9="",$AR$6,""))))</f>
        <v/>
      </c>
      <c r="AS135" s="85" t="str">
        <f aca="false">IF(ISBLANK($C135),"",COUNTA($J135:$O135)&gt;0)</f>
        <v/>
      </c>
      <c r="AT135" s="85" t="str">
        <f aca="false">IF(ISBLANK($C135),"",AND($AS135,OR(AND($AF135="",OR($AE135,NOT(ISBLANK($M135)))),$AG135="",$AH135="")))</f>
        <v/>
      </c>
      <c r="AU135" s="87" t="str">
        <f aca="false">IF($BL135&lt;&gt;Constants!$B$4,"",IF(NOT($AS135),"",ROUND((Constants!$B$12-$AB135)+(Constants!$B$13-$Z135)+(Constants!$B$14-$AA135),1)))</f>
        <v/>
      </c>
      <c r="AV135" s="90" t="str">
        <f aca="false">IF($BL135&lt;&gt;Constants!$B$4,"",IF(NOT($AS135),"",IF(NOT($AE135),0,Constants!$B$15*(INT(ROUND(MIN($AF135,$AP$9),6))-INT(ROUND(MAX(0,MIN($AF135,2*$AP$9)-$AP$9),6))))))</f>
        <v/>
      </c>
      <c r="AW135" s="90" t="str">
        <f aca="false">IF($BL135&lt;&gt;Constants!$B$4,"",IF(NOT($AS135),"",Constants!$B$16*$AG135))</f>
        <v/>
      </c>
      <c r="AX135" s="90" t="str">
        <f aca="false">IF($BL135&lt;&gt;Constants!$B$4,"",IF(NOT($AS135),"",Constants!$B$18*INT(ROUND($AH135,6))))</f>
        <v/>
      </c>
      <c r="AY135" s="85" t="str">
        <f aca="false">IF($BL135&lt;&gt;Constants!$B$4,"",IF(NOT($AS135),"",IF(NOT($X135),Constants!$B$11,IF(OR(NOT($AC135),NOT($AD135),ROUND($AB135,1)&gt;Constants!$B$12,ROUND($Z135,1)&gt;Constants!$B$13,ROUND($AA135,1)&gt;Constants!$B$14),Constants!$B$10,Constants!$B$9))))</f>
        <v/>
      </c>
      <c r="AZ135" s="91" t="str">
        <f aca="false">IF($BL135&lt;&gt;Constants!$B$4,"",IF(NOT($AS135),"",ROUND($AU135+$AV135+$AW135+$AX135,1)))</f>
        <v/>
      </c>
      <c r="BA135" s="92" t="str">
        <f aca="false">IF($BL135&lt;&gt;Constants!$B$4,"",IF(NOT($AS135),"",IF(ISNUMBER($AF135),$AF135,0)))</f>
        <v/>
      </c>
      <c r="BB135" s="86" t="str">
        <f aca="false">IF($BL135&lt;&gt;Constants!$B$4,"",IF(NOT($BC135),"&lt;-",IF(NOT($AS135),"-&gt;",IF(OR($BI135&lt;$AY135,AND($BI135=$AY135,OR($BJ135&gt;$AZ135,AND($BJ135=$AZ135,OR($BH135&gt;$AX135,AND($BH135=$AX135,OR($BE135&gt;$AU135,AND($BE135=$AU135,OR($BF135&gt;$AV135,AND($BF135=$AV135,$BK135&gt;$BA135)))))))))),"-&gt;","&lt;-"))))</f>
        <v/>
      </c>
      <c r="BC135" s="85" t="str">
        <f aca="false">IF(ISBLANK($C135),"",COUNTA($P135:$U135)&gt;0)</f>
        <v/>
      </c>
      <c r="BD135" s="85" t="str">
        <f aca="false">IF(ISBLANK($C135),"",AND($BC135,OR(AND($AL135="",OR($AK135,NOT(ISBLANK($S135)))),$AM135="",$AN135="")))</f>
        <v/>
      </c>
      <c r="BE135" s="87" t="str">
        <f aca="false">IF($BL135&lt;&gt;Constants!$B$4,"",IF(NOT($BC135),"",ROUND((Constants!$B$12-$AB135)+(Constants!$B$13-$Z135)+(Constants!$B$14-$AA135),1)))</f>
        <v/>
      </c>
      <c r="BF135" s="90" t="str">
        <f aca="false">IF($BL135&lt;&gt;Constants!$B$4,"",IF(NOT($BC135),"",IF(NOT($AK135),0,Constants!$B$15*(INT(ROUND(MIN($AL135,$AP$9),6))-INT(ROUND(MAX(0,MIN($AL135,2*$AP$9)-$AP$9),6))))))</f>
        <v/>
      </c>
      <c r="BG135" s="90" t="str">
        <f aca="false">IF($BL135&lt;&gt;Constants!$B$4,"",IF(NOT($BC135),"",Constants!$B$16*$AM135))</f>
        <v/>
      </c>
      <c r="BH135" s="90" t="str">
        <f aca="false">IF($BL135&lt;&gt;Constants!$B$4,"",IF(NOT($BC135),"",Constants!$B$18*INT(ROUND($AN135,6))))</f>
        <v/>
      </c>
      <c r="BI135" s="85" t="str">
        <f aca="false">IF($BL135&lt;&gt;Constants!$B$4,"",IF(NOT($BC135),"",IF(NOT($X135),Constants!$B$11,IF(OR(NOT($AI135),NOT($AJ135),ROUND($AB135,1)&gt;Constants!$B$12,ROUND($Z135,1)&gt;Constants!$B$13,ROUND($AA135,1)&gt;Constants!$B$14),Constants!$B$10,Constants!$B$9))))</f>
        <v/>
      </c>
      <c r="BJ135" s="91" t="str">
        <f aca="false">IF($BL135&lt;&gt;Constants!$B$4,"",IF(NOT($BC135),"",ROUND($BE135+$BF135+$BG135+$BH135,1)))</f>
        <v/>
      </c>
      <c r="BK135" s="92" t="str">
        <f aca="false">IF($BL135&lt;&gt;Constants!$B$4,"",IF(NOT($BC135),"",IF(ISNUMBER($AL135),$AL135,0)))</f>
        <v/>
      </c>
      <c r="BL135" s="86" t="str">
        <f aca="false">IF(ISBLANK($C135),"",IF($AO135,Constants!$B$7,IF(COUNTA($E135:$V135)=0,Constants!$B$6,IF(NOT($Y135),Constants!$B$5,IF(NOT(OR($AS135,$BC135)),Constants!$B$5,IF(OR($AT135,$BD135,$AQ135,$AR135&lt;&gt;""),Constants!$B$8,Constants!$B$4))))))</f>
        <v/>
      </c>
      <c r="BM135" s="86" t="str">
        <f aca="false">IF(ISBLANK($C135),"",IF($BL135&lt;&gt;Constants!$B$4,$BL135,IF($BB135="-&gt;",$BI135,$AY135)))</f>
        <v/>
      </c>
      <c r="BN135" s="90" t="str">
        <f aca="false">IF($BL135&lt;&gt;Constants!$B$4,"",IF($BB135="-&gt;",$BJ135,$AZ135))</f>
        <v/>
      </c>
      <c r="BO135" s="90" t="str">
        <f aca="false">IF(ISBLANK($C135),"",IF($BL135&lt;&gt;Constants!$B$4,$BL135,$BN135))</f>
        <v/>
      </c>
      <c r="BP135" s="86" t="str">
        <f aca="false">IF(ISBLANK($C135),"",IF($BL135&lt;&gt;Constants!$B$4,$BL135,RANK($BO135,$BO$9:$BO$508,0)))</f>
        <v/>
      </c>
      <c r="BQ135" s="86" t="str">
        <f aca="false">IF(ISBLANK($C135),"",IF($BL135&lt;&gt;Constants!$B$4,$BL135,COUNTIFS($BM$9:$BM$508,"&lt;"&amp;$BM135)+COUNTIFS($BM$9:$BM$508,$BM135,$BP$9:$BP$508,"&lt;"&amp;$BP135)+1))</f>
        <v/>
      </c>
      <c r="BR135" s="90" t="str">
        <f aca="false">IF($BL135&lt;&gt;Constants!$B$4,"",IF($BB135="-&gt;",$BH135,$AX135))</f>
        <v/>
      </c>
      <c r="BS135" s="86" t="str">
        <f aca="false">IF(ISBLANK($C135),"",IF($BL135&lt;&gt;Constants!$B$4,$BL135,IF(ISNUMBER($BR135),RANK($BR135,$BR$9:$BR$508,0),COUNT($BR$9:$BR$508)+1)))</f>
        <v/>
      </c>
      <c r="BT135" s="90" t="str">
        <f aca="false">IF($BL135&lt;&gt;Constants!$B$4,"",IF($BB135="-&gt;",$BE135,$AU135))</f>
        <v/>
      </c>
      <c r="BU135" s="86" t="str">
        <f aca="false">IF(ISBLANK($C135),"",IF($BL135&lt;&gt;Constants!$B$4,$BL135,IF(ISNUMBER($BT135),RANK($BT135,$BT$9:$BT$508,0),COUNT($BT$9:$BT$508)+1)))</f>
        <v/>
      </c>
      <c r="BV135" s="90" t="str">
        <f aca="false">IF($BL135&lt;&gt;Constants!$B$4,"",IF($BB135="-&gt;",$BF135,$AV135))</f>
        <v/>
      </c>
      <c r="BW135" s="86" t="str">
        <f aca="false">IF(ISBLANK($C135),"",IF($BL135&lt;&gt;Constants!$B$4,$BL135,IF(ISNUMBER($BV135),RANK($BV135,$BV$9:$BV$508,0),COUNT($BV$9:$BV$508)+1)))</f>
        <v/>
      </c>
      <c r="BX135" s="90" t="str">
        <f aca="false">IF($BL135&lt;&gt;Constants!$B$4,"",IF($BB135="-&gt;",$BK135,$BA135))</f>
        <v/>
      </c>
      <c r="BY135" s="86" t="str">
        <f aca="false">IF(ISBLANK($C135),"",IF($BL135&lt;&gt;Constants!$B$4,$BL135,IF(ISNUMBER($BX135),RANK($BX135,$BX$9:$BX$508,0),COUNT($BX$9:$BX$508)+1)))</f>
        <v/>
      </c>
      <c r="BZ135" s="86" t="str">
        <f aca="false">IF(ISBLANK($C135),"",IF($BL135&lt;&gt;Constants!$B$4,$BL135,COUNTIFS($BM$9:$BM$508,"&lt;"&amp;$BM135)+COUNTIFS($BM$9:$BM$508,$BM135,$BP$9:$BP$508,"&lt;"&amp;$BP135)+COUNTIFS($BM$9:$BM$508,$BM135,$BP$9:$BP$508,$BP135,$BS$9:$BS$508,"&lt;"&amp;$BS135)+COUNTIFS($BM$9:$BM$508,$BM135,$BP$9:$BP$508,$BP135,$BS$9:$BS$508,$BS135,$BU$9:$BU$508,"&lt;"&amp;$BU135)+COUNTIFS($BM$9:$BM$508,$BM135,$BP$9:$BP$508,$BP135,$BS$9:$BS$508,$BS135,$BU$9:$BU$508,$BU135,$BW$9:$BW$508,"&lt;"&amp;$BW135)+COUNTIFS($BM$9:$BM$508,$BM135,$BP$9:$BP$508,$BP135,$BS$9:$BS$508,$BS135,$BU$9:$BU$508,$BU135,$BW$9:$BW$508,$BW135,$BY$9:$BY$508,"&lt;"&amp;$BY135)+1))</f>
        <v/>
      </c>
      <c r="CA135" s="86" t="str">
        <f aca="false">IF(ISBLANK($C135),"",IF($BL135&lt;&gt;Constants!$B$4,$BL135,$BQ135-$BZ135))</f>
        <v/>
      </c>
      <c r="CB135" s="93"/>
      <c r="CC135" s="94" t="str">
        <f aca="false">IF(ISBLANK($C135),"",IF($BL135=Constants!$B$8,$AR135,""))</f>
        <v/>
      </c>
      <c r="CD135" s="94" t="str">
        <f aca="false">IF(ISBLANK($C135),"",IF($BL135&lt;&gt;Constants!$B$4,"",IF($BB135="-&gt;",2,1)))</f>
        <v/>
      </c>
      <c r="CE135" s="95" t="str">
        <f aca="false">IF(ISBLANK($C135),"",IF($BL135&lt;&gt;Constants!$B$4,"",IF($BB135="-&gt;",$BE135,$AU135)))</f>
        <v/>
      </c>
      <c r="CF135" s="95" t="str">
        <f aca="false">IF(ISBLANK($C135),"",IF($BL135&lt;&gt;Constants!$B$4,"",IF($BB135="-&gt;",$BF135,$AV135)))</f>
        <v/>
      </c>
      <c r="CG135" s="95" t="str">
        <f aca="false">IF(ISBLANK($C135),"",IF($BL135&lt;&gt;Constants!$B$4,"",IF($BB135="-&gt;",$BG135,$AW135)))</f>
        <v/>
      </c>
      <c r="CH135" s="95" t="str">
        <f aca="false">IF(ISBLANK($C135),"",IF($BL135&lt;&gt;Constants!$B$4,"",IF($BB135="-&gt;",$BH135,$AX135)))</f>
        <v/>
      </c>
      <c r="CI135" s="96" t="str">
        <f aca="false">IF(ISBLANK($C135),"",$BO135)</f>
        <v/>
      </c>
      <c r="CJ135" s="97" t="str">
        <f aca="false">IF(ISBLANK($C135),"",$BM135)</f>
        <v/>
      </c>
      <c r="CK135" s="98" t="str">
        <f aca="false">IF(ISBLANK($C135),"",$CA135)</f>
        <v/>
      </c>
      <c r="CL135" s="98" t="str">
        <f aca="false">IF(ISBLANK($C135),"",$BZ135)</f>
        <v/>
      </c>
      <c r="CM135" s="99" t="str">
        <f aca="false">IF(ISBLANK($C135),"",IF($CL135=Constants!$B$7,COUNTA($C$9:$C$508)+2,IF($CL135=Constants!$B$6,COUNTA($C$9:$C$508)+1,IF($CL135=Constants!$B$5,COUNTA($C$9:$C$508),$CL135))))</f>
        <v/>
      </c>
      <c r="CN135" s="8"/>
      <c r="CO135" s="100" t="n">
        <f aca="false">IF(OR(ISNUMBER($CL135),$CL135=Constants!$B$7,$CL135=Constants!$B$5,$CL135=Constants!$B$6),1,0)</f>
        <v>0</v>
      </c>
      <c r="CP135" s="100" t="n">
        <v>127</v>
      </c>
      <c r="CQ135" s="100" t="str">
        <f aca="false">IF(ISBLANK($C135),"",IF(ISNUMBER($CM135),$CM135+ROW($B135)/1000,""))</f>
        <v/>
      </c>
      <c r="CR135" s="100" t="str">
        <f aca="false">IF(ISNUMBER($CQ135),RANK($CQ135,$CQ$9:$CQ$508,1),"")</f>
        <v/>
      </c>
      <c r="CS135" s="100" t="str">
        <f aca="false">IF(ISBLANK($C135),"",$B135)</f>
        <v/>
      </c>
      <c r="CT135" s="100" t="str">
        <f aca="false">IF(ISBLANK($C135),"",$C135)</f>
        <v/>
      </c>
      <c r="CU135" s="100" t="str">
        <f aca="false">IF(ISBLANK($C135),"",$D135)</f>
        <v/>
      </c>
      <c r="CV135" s="101" t="str">
        <f aca="false">$CJ135</f>
        <v/>
      </c>
      <c r="CW135" s="102" t="str">
        <f aca="false">$CI135</f>
        <v/>
      </c>
      <c r="CX135" s="100" t="str">
        <f aca="false">IF(ISBLANK($C135),"",$CL135)</f>
        <v/>
      </c>
      <c r="CY135" s="103" t="str">
        <f aca="false">IF($CP135&gt;$CO$8,"",VLOOKUP($CP135,$CR$9:$CX$508,7,FALSE()))</f>
        <v/>
      </c>
      <c r="CZ135" s="104" t="str">
        <f aca="false">IF($CP135&gt;$CO$8,"",VLOOKUP($CP135,$CR$9:$CX$508,2,FALSE()))</f>
        <v/>
      </c>
      <c r="DA135" s="104" t="str">
        <f aca="false">IF($CP135&gt;$CO$8,"",VLOOKUP($CP135,$CR$9:$CX$508,3,FALSE()))</f>
        <v/>
      </c>
      <c r="DB135" s="104" t="str">
        <f aca="false">IF($CP135&gt;$CO$8,"",VLOOKUP($CP135,$CR$9:$CX$508,4,FALSE()))</f>
        <v/>
      </c>
      <c r="DC135" s="104" t="str">
        <f aca="false">IF($CP135&gt;$CO$8,"",VLOOKUP($CP135,$CR$9:$CX$508,5,FALSE()))</f>
        <v/>
      </c>
      <c r="DD135" s="105" t="str">
        <f aca="false">IF($CP135&gt;$CO$8,"",VLOOKUP($CP135,$CR$9:$CX$508,6,FALSE()))</f>
        <v/>
      </c>
      <c r="DE135" s="70"/>
    </row>
    <row r="136" customFormat="false" ht="15.75" hidden="false" customHeight="false" outlineLevel="0" collapsed="false">
      <c r="A136" s="8"/>
      <c r="B136" s="72"/>
      <c r="C136" s="73"/>
      <c r="D136" s="155"/>
      <c r="E136" s="162"/>
      <c r="F136" s="157"/>
      <c r="G136" s="77"/>
      <c r="H136" s="77"/>
      <c r="I136" s="77"/>
      <c r="J136" s="163"/>
      <c r="K136" s="161"/>
      <c r="L136" s="161"/>
      <c r="M136" s="80"/>
      <c r="N136" s="161"/>
      <c r="O136" s="160"/>
      <c r="P136" s="161"/>
      <c r="Q136" s="161"/>
      <c r="R136" s="161"/>
      <c r="S136" s="77"/>
      <c r="T136" s="161"/>
      <c r="U136" s="160"/>
      <c r="V136" s="161"/>
      <c r="W136" s="85"/>
      <c r="X136" s="86" t="str">
        <f aca="false">IF(ISBLANK($C136),"",IF($E136=Constants!$B$2,TRUE(),IF($E136=Constants!$B$3,FALSE(),TRUE())))</f>
        <v/>
      </c>
      <c r="Y136" s="86" t="str">
        <f aca="false">IF(ISBLANK($C136),"",IF($F136=Constants!$B$2,TRUE(),IF($F136=Constants!$B$3,FALSE(),TRUE())))</f>
        <v/>
      </c>
      <c r="Z136" s="87" t="str">
        <f aca="false">IF(ISBLANK($C136),"",IF(ISNUMBER($G136),IF($G136&gt;=0,$G136,""),""))</f>
        <v/>
      </c>
      <c r="AA136" s="87" t="str">
        <f aca="false">IF(ISBLANK($C136),"",IF(ISNUMBER($H136),IF($H136&gt;=0,$H136,""),""))</f>
        <v/>
      </c>
      <c r="AB136" s="87" t="str">
        <f aca="false">IF(ISBLANK($C136),"",IF(ISNUMBER($I136),IF($I136&gt;=0,$I136,""),""))</f>
        <v/>
      </c>
      <c r="AC136" s="86" t="str">
        <f aca="false">IF(ISBLANK($C136),"",IF($J136=Constants!$B$2,TRUE(),IF($J136=Constants!$B$3,FALSE(),TRUE())))</f>
        <v/>
      </c>
      <c r="AD136" s="86" t="str">
        <f aca="false">IF(ISBLANK($C136),"",IF($K136=Constants!$B$2,TRUE(),IF($K136=Constants!$B$3,FALSE(),TRUE())))</f>
        <v/>
      </c>
      <c r="AE136" s="86" t="str">
        <f aca="false">IF(ISBLANK($C136),"",IF($L136=Constants!$B$2,TRUE(),IF($L136=Constants!$B$3,FALSE(),TRUE())))</f>
        <v/>
      </c>
      <c r="AF136" s="88" t="str">
        <f aca="false">IF(ISBLANK($C136),"",IF(ISNUMBER($M136),IF($M136&gt;=0,$M136,""),""))</f>
        <v/>
      </c>
      <c r="AG136" s="86" t="str">
        <f aca="false">IF(ISBLANK($C136),"",IF(ISBLANK($N136),0,IF(ISNUMBER($N136),IF(AND($N136&gt;=0,$N136&lt;=Constants!$B$17,$N136=INT($N136)),$N136,""),"")))</f>
        <v/>
      </c>
      <c r="AH136" s="87" t="str">
        <f aca="false">IF(ISBLANK($C136),"",IF(ISBLANK($O136),0,IF(ISNUMBER($O136),IF($O136&gt;=0,$O136,""),"")))</f>
        <v/>
      </c>
      <c r="AI136" s="86" t="str">
        <f aca="false">IF(ISBLANK($C136),"",IF($P136=Constants!$B$2,TRUE(),IF($P136=Constants!$B$3,FALSE(),TRUE())))</f>
        <v/>
      </c>
      <c r="AJ136" s="86" t="str">
        <f aca="false">IF(ISBLANK($C136),"",IF($Q136=Constants!$B$2,TRUE(),IF($Q136=Constants!$B$3,FALSE(),TRUE())))</f>
        <v/>
      </c>
      <c r="AK136" s="86" t="str">
        <f aca="false">IF(ISBLANK($C136),"",IF($R136=Constants!$B$2,TRUE(),IF($R136=Constants!$B$3,FALSE(),TRUE())))</f>
        <v/>
      </c>
      <c r="AL136" s="88" t="str">
        <f aca="false">IF(ISBLANK($C136),"",IF(ISNUMBER($S136),IF($S136&gt;=0,$S136,""),""))</f>
        <v/>
      </c>
      <c r="AM136" s="86" t="str">
        <f aca="false">IF(ISBLANK($C136),"",IF(ISBLANK($T136),0,IF(ISNUMBER($T136),IF(AND($T136&gt;=0,$T136&lt;=Constants!$B$17,$T136=INT($T136)),$T136,""),"")))</f>
        <v/>
      </c>
      <c r="AN136" s="87" t="str">
        <f aca="false">IF(ISBLANK($C136),"",IF(ISBLANK($U136),0,IF(ISNUMBER($U136),IF($U136&gt;=0,$U136,""),"")))</f>
        <v/>
      </c>
      <c r="AO136" s="86" t="str">
        <f aca="false">IF(ISBLANK($C136),"",IF($V136=Constants!$B$2,TRUE(),IF($V136=Constants!$B$3,FALSE(),FALSE())))</f>
        <v/>
      </c>
      <c r="AP136" s="86"/>
      <c r="AQ136" s="85" t="str">
        <f aca="false">IF(ISBLANK($C136),"",AND($Y136,OR($AS136,$BC136),OR($Z136="",$AA136="",$AB136="")))</f>
        <v/>
      </c>
      <c r="AR136" s="85" t="str">
        <f aca="false">IF(ISBLANK($C136),"",IF(OR(NOT($Y136),NOT(OR($AS136,$BC136))),"",IF(ISBLANK($D$7),$AR$5,IF($AP$9="",$AR$6,""))))</f>
        <v/>
      </c>
      <c r="AS136" s="85" t="str">
        <f aca="false">IF(ISBLANK($C136),"",COUNTA($J136:$O136)&gt;0)</f>
        <v/>
      </c>
      <c r="AT136" s="85" t="str">
        <f aca="false">IF(ISBLANK($C136),"",AND($AS136,OR(AND($AF136="",OR($AE136,NOT(ISBLANK($M136)))),$AG136="",$AH136="")))</f>
        <v/>
      </c>
      <c r="AU136" s="87" t="str">
        <f aca="false">IF($BL136&lt;&gt;Constants!$B$4,"",IF(NOT($AS136),"",ROUND((Constants!$B$12-$AB136)+(Constants!$B$13-$Z136)+(Constants!$B$14-$AA136),1)))</f>
        <v/>
      </c>
      <c r="AV136" s="90" t="str">
        <f aca="false">IF($BL136&lt;&gt;Constants!$B$4,"",IF(NOT($AS136),"",IF(NOT($AE136),0,Constants!$B$15*(INT(ROUND(MIN($AF136,$AP$9),6))-INT(ROUND(MAX(0,MIN($AF136,2*$AP$9)-$AP$9),6))))))</f>
        <v/>
      </c>
      <c r="AW136" s="90" t="str">
        <f aca="false">IF($BL136&lt;&gt;Constants!$B$4,"",IF(NOT($AS136),"",Constants!$B$16*$AG136))</f>
        <v/>
      </c>
      <c r="AX136" s="90" t="str">
        <f aca="false">IF($BL136&lt;&gt;Constants!$B$4,"",IF(NOT($AS136),"",Constants!$B$18*INT(ROUND($AH136,6))))</f>
        <v/>
      </c>
      <c r="AY136" s="85" t="str">
        <f aca="false">IF($BL136&lt;&gt;Constants!$B$4,"",IF(NOT($AS136),"",IF(NOT($X136),Constants!$B$11,IF(OR(NOT($AC136),NOT($AD136),ROUND($AB136,1)&gt;Constants!$B$12,ROUND($Z136,1)&gt;Constants!$B$13,ROUND($AA136,1)&gt;Constants!$B$14),Constants!$B$10,Constants!$B$9))))</f>
        <v/>
      </c>
      <c r="AZ136" s="91" t="str">
        <f aca="false">IF($BL136&lt;&gt;Constants!$B$4,"",IF(NOT($AS136),"",ROUND($AU136+$AV136+$AW136+$AX136,1)))</f>
        <v/>
      </c>
      <c r="BA136" s="92" t="str">
        <f aca="false">IF($BL136&lt;&gt;Constants!$B$4,"",IF(NOT($AS136),"",IF(ISNUMBER($AF136),$AF136,0)))</f>
        <v/>
      </c>
      <c r="BB136" s="86" t="str">
        <f aca="false">IF($BL136&lt;&gt;Constants!$B$4,"",IF(NOT($BC136),"&lt;-",IF(NOT($AS136),"-&gt;",IF(OR($BI136&lt;$AY136,AND($BI136=$AY136,OR($BJ136&gt;$AZ136,AND($BJ136=$AZ136,OR($BH136&gt;$AX136,AND($BH136=$AX136,OR($BE136&gt;$AU136,AND($BE136=$AU136,OR($BF136&gt;$AV136,AND($BF136=$AV136,$BK136&gt;$BA136)))))))))),"-&gt;","&lt;-"))))</f>
        <v/>
      </c>
      <c r="BC136" s="85" t="str">
        <f aca="false">IF(ISBLANK($C136),"",COUNTA($P136:$U136)&gt;0)</f>
        <v/>
      </c>
      <c r="BD136" s="85" t="str">
        <f aca="false">IF(ISBLANK($C136),"",AND($BC136,OR(AND($AL136="",OR($AK136,NOT(ISBLANK($S136)))),$AM136="",$AN136="")))</f>
        <v/>
      </c>
      <c r="BE136" s="87" t="str">
        <f aca="false">IF($BL136&lt;&gt;Constants!$B$4,"",IF(NOT($BC136),"",ROUND((Constants!$B$12-$AB136)+(Constants!$B$13-$Z136)+(Constants!$B$14-$AA136),1)))</f>
        <v/>
      </c>
      <c r="BF136" s="90" t="str">
        <f aca="false">IF($BL136&lt;&gt;Constants!$B$4,"",IF(NOT($BC136),"",IF(NOT($AK136),0,Constants!$B$15*(INT(ROUND(MIN($AL136,$AP$9),6))-INT(ROUND(MAX(0,MIN($AL136,2*$AP$9)-$AP$9),6))))))</f>
        <v/>
      </c>
      <c r="BG136" s="90" t="str">
        <f aca="false">IF($BL136&lt;&gt;Constants!$B$4,"",IF(NOT($BC136),"",Constants!$B$16*$AM136))</f>
        <v/>
      </c>
      <c r="BH136" s="90" t="str">
        <f aca="false">IF($BL136&lt;&gt;Constants!$B$4,"",IF(NOT($BC136),"",Constants!$B$18*INT(ROUND($AN136,6))))</f>
        <v/>
      </c>
      <c r="BI136" s="85" t="str">
        <f aca="false">IF($BL136&lt;&gt;Constants!$B$4,"",IF(NOT($BC136),"",IF(NOT($X136),Constants!$B$11,IF(OR(NOT($AI136),NOT($AJ136),ROUND($AB136,1)&gt;Constants!$B$12,ROUND($Z136,1)&gt;Constants!$B$13,ROUND($AA136,1)&gt;Constants!$B$14),Constants!$B$10,Constants!$B$9))))</f>
        <v/>
      </c>
      <c r="BJ136" s="91" t="str">
        <f aca="false">IF($BL136&lt;&gt;Constants!$B$4,"",IF(NOT($BC136),"",ROUND($BE136+$BF136+$BG136+$BH136,1)))</f>
        <v/>
      </c>
      <c r="BK136" s="92" t="str">
        <f aca="false">IF($BL136&lt;&gt;Constants!$B$4,"",IF(NOT($BC136),"",IF(ISNUMBER($AL136),$AL136,0)))</f>
        <v/>
      </c>
      <c r="BL136" s="86" t="str">
        <f aca="false">IF(ISBLANK($C136),"",IF($AO136,Constants!$B$7,IF(COUNTA($E136:$V136)=0,Constants!$B$6,IF(NOT($Y136),Constants!$B$5,IF(NOT(OR($AS136,$BC136)),Constants!$B$5,IF(OR($AT136,$BD136,$AQ136,$AR136&lt;&gt;""),Constants!$B$8,Constants!$B$4))))))</f>
        <v/>
      </c>
      <c r="BM136" s="86" t="str">
        <f aca="false">IF(ISBLANK($C136),"",IF($BL136&lt;&gt;Constants!$B$4,$BL136,IF($BB136="-&gt;",$BI136,$AY136)))</f>
        <v/>
      </c>
      <c r="BN136" s="90" t="str">
        <f aca="false">IF($BL136&lt;&gt;Constants!$B$4,"",IF($BB136="-&gt;",$BJ136,$AZ136))</f>
        <v/>
      </c>
      <c r="BO136" s="90" t="str">
        <f aca="false">IF(ISBLANK($C136),"",IF($BL136&lt;&gt;Constants!$B$4,$BL136,$BN136))</f>
        <v/>
      </c>
      <c r="BP136" s="86" t="str">
        <f aca="false">IF(ISBLANK($C136),"",IF($BL136&lt;&gt;Constants!$B$4,$BL136,RANK($BO136,$BO$9:$BO$508,0)))</f>
        <v/>
      </c>
      <c r="BQ136" s="86" t="str">
        <f aca="false">IF(ISBLANK($C136),"",IF($BL136&lt;&gt;Constants!$B$4,$BL136,COUNTIFS($BM$9:$BM$508,"&lt;"&amp;$BM136)+COUNTIFS($BM$9:$BM$508,$BM136,$BP$9:$BP$508,"&lt;"&amp;$BP136)+1))</f>
        <v/>
      </c>
      <c r="BR136" s="90" t="str">
        <f aca="false">IF($BL136&lt;&gt;Constants!$B$4,"",IF($BB136="-&gt;",$BH136,$AX136))</f>
        <v/>
      </c>
      <c r="BS136" s="86" t="str">
        <f aca="false">IF(ISBLANK($C136),"",IF($BL136&lt;&gt;Constants!$B$4,$BL136,IF(ISNUMBER($BR136),RANK($BR136,$BR$9:$BR$508,0),COUNT($BR$9:$BR$508)+1)))</f>
        <v/>
      </c>
      <c r="BT136" s="90" t="str">
        <f aca="false">IF($BL136&lt;&gt;Constants!$B$4,"",IF($BB136="-&gt;",$BE136,$AU136))</f>
        <v/>
      </c>
      <c r="BU136" s="86" t="str">
        <f aca="false">IF(ISBLANK($C136),"",IF($BL136&lt;&gt;Constants!$B$4,$BL136,IF(ISNUMBER($BT136),RANK($BT136,$BT$9:$BT$508,0),COUNT($BT$9:$BT$508)+1)))</f>
        <v/>
      </c>
      <c r="BV136" s="90" t="str">
        <f aca="false">IF($BL136&lt;&gt;Constants!$B$4,"",IF($BB136="-&gt;",$BF136,$AV136))</f>
        <v/>
      </c>
      <c r="BW136" s="86" t="str">
        <f aca="false">IF(ISBLANK($C136),"",IF($BL136&lt;&gt;Constants!$B$4,$BL136,IF(ISNUMBER($BV136),RANK($BV136,$BV$9:$BV$508,0),COUNT($BV$9:$BV$508)+1)))</f>
        <v/>
      </c>
      <c r="BX136" s="90" t="str">
        <f aca="false">IF($BL136&lt;&gt;Constants!$B$4,"",IF($BB136="-&gt;",$BK136,$BA136))</f>
        <v/>
      </c>
      <c r="BY136" s="86" t="str">
        <f aca="false">IF(ISBLANK($C136),"",IF($BL136&lt;&gt;Constants!$B$4,$BL136,IF(ISNUMBER($BX136),RANK($BX136,$BX$9:$BX$508,0),COUNT($BX$9:$BX$508)+1)))</f>
        <v/>
      </c>
      <c r="BZ136" s="86" t="str">
        <f aca="false">IF(ISBLANK($C136),"",IF($BL136&lt;&gt;Constants!$B$4,$BL136,COUNTIFS($BM$9:$BM$508,"&lt;"&amp;$BM136)+COUNTIFS($BM$9:$BM$508,$BM136,$BP$9:$BP$508,"&lt;"&amp;$BP136)+COUNTIFS($BM$9:$BM$508,$BM136,$BP$9:$BP$508,$BP136,$BS$9:$BS$508,"&lt;"&amp;$BS136)+COUNTIFS($BM$9:$BM$508,$BM136,$BP$9:$BP$508,$BP136,$BS$9:$BS$508,$BS136,$BU$9:$BU$508,"&lt;"&amp;$BU136)+COUNTIFS($BM$9:$BM$508,$BM136,$BP$9:$BP$508,$BP136,$BS$9:$BS$508,$BS136,$BU$9:$BU$508,$BU136,$BW$9:$BW$508,"&lt;"&amp;$BW136)+COUNTIFS($BM$9:$BM$508,$BM136,$BP$9:$BP$508,$BP136,$BS$9:$BS$508,$BS136,$BU$9:$BU$508,$BU136,$BW$9:$BW$508,$BW136,$BY$9:$BY$508,"&lt;"&amp;$BY136)+1))</f>
        <v/>
      </c>
      <c r="CA136" s="86" t="str">
        <f aca="false">IF(ISBLANK($C136),"",IF($BL136&lt;&gt;Constants!$B$4,$BL136,$BQ136-$BZ136))</f>
        <v/>
      </c>
      <c r="CB136" s="93"/>
      <c r="CC136" s="94" t="str">
        <f aca="false">IF(ISBLANK($C136),"",IF($BL136=Constants!$B$8,$AR136,""))</f>
        <v/>
      </c>
      <c r="CD136" s="94" t="str">
        <f aca="false">IF(ISBLANK($C136),"",IF($BL136&lt;&gt;Constants!$B$4,"",IF($BB136="-&gt;",2,1)))</f>
        <v/>
      </c>
      <c r="CE136" s="95" t="str">
        <f aca="false">IF(ISBLANK($C136),"",IF($BL136&lt;&gt;Constants!$B$4,"",IF($BB136="-&gt;",$BE136,$AU136)))</f>
        <v/>
      </c>
      <c r="CF136" s="95" t="str">
        <f aca="false">IF(ISBLANK($C136),"",IF($BL136&lt;&gt;Constants!$B$4,"",IF($BB136="-&gt;",$BF136,$AV136)))</f>
        <v/>
      </c>
      <c r="CG136" s="95" t="str">
        <f aca="false">IF(ISBLANK($C136),"",IF($BL136&lt;&gt;Constants!$B$4,"",IF($BB136="-&gt;",$BG136,$AW136)))</f>
        <v/>
      </c>
      <c r="CH136" s="95" t="str">
        <f aca="false">IF(ISBLANK($C136),"",IF($BL136&lt;&gt;Constants!$B$4,"",IF($BB136="-&gt;",$BH136,$AX136)))</f>
        <v/>
      </c>
      <c r="CI136" s="96" t="str">
        <f aca="false">IF(ISBLANK($C136),"",$BO136)</f>
        <v/>
      </c>
      <c r="CJ136" s="97" t="str">
        <f aca="false">IF(ISBLANK($C136),"",$BM136)</f>
        <v/>
      </c>
      <c r="CK136" s="98" t="str">
        <f aca="false">IF(ISBLANK($C136),"",$CA136)</f>
        <v/>
      </c>
      <c r="CL136" s="98" t="str">
        <f aca="false">IF(ISBLANK($C136),"",$BZ136)</f>
        <v/>
      </c>
      <c r="CM136" s="99" t="str">
        <f aca="false">IF(ISBLANK($C136),"",IF($CL136=Constants!$B$7,COUNTA($C$9:$C$508)+2,IF($CL136=Constants!$B$6,COUNTA($C$9:$C$508)+1,IF($CL136=Constants!$B$5,COUNTA($C$9:$C$508),$CL136))))</f>
        <v/>
      </c>
      <c r="CN136" s="8"/>
      <c r="CO136" s="100" t="n">
        <f aca="false">IF(OR(ISNUMBER($CL136),$CL136=Constants!$B$7,$CL136=Constants!$B$5,$CL136=Constants!$B$6),1,0)</f>
        <v>0</v>
      </c>
      <c r="CP136" s="100" t="n">
        <v>128</v>
      </c>
      <c r="CQ136" s="100" t="str">
        <f aca="false">IF(ISBLANK($C136),"",IF(ISNUMBER($CM136),$CM136+ROW($B136)/1000,""))</f>
        <v/>
      </c>
      <c r="CR136" s="100" t="str">
        <f aca="false">IF(ISNUMBER($CQ136),RANK($CQ136,$CQ$9:$CQ$508,1),"")</f>
        <v/>
      </c>
      <c r="CS136" s="100" t="str">
        <f aca="false">IF(ISBLANK($C136),"",$B136)</f>
        <v/>
      </c>
      <c r="CT136" s="100" t="str">
        <f aca="false">IF(ISBLANK($C136),"",$C136)</f>
        <v/>
      </c>
      <c r="CU136" s="100" t="str">
        <f aca="false">IF(ISBLANK($C136),"",$D136)</f>
        <v/>
      </c>
      <c r="CV136" s="101" t="str">
        <f aca="false">$CJ136</f>
        <v/>
      </c>
      <c r="CW136" s="102" t="str">
        <f aca="false">$CI136</f>
        <v/>
      </c>
      <c r="CX136" s="100" t="str">
        <f aca="false">IF(ISBLANK($C136),"",$CL136)</f>
        <v/>
      </c>
      <c r="CY136" s="103" t="str">
        <f aca="false">IF($CP136&gt;$CO$8,"",VLOOKUP($CP136,$CR$9:$CX$508,7,FALSE()))</f>
        <v/>
      </c>
      <c r="CZ136" s="104" t="str">
        <f aca="false">IF($CP136&gt;$CO$8,"",VLOOKUP($CP136,$CR$9:$CX$508,2,FALSE()))</f>
        <v/>
      </c>
      <c r="DA136" s="104" t="str">
        <f aca="false">IF($CP136&gt;$CO$8,"",VLOOKUP($CP136,$CR$9:$CX$508,3,FALSE()))</f>
        <v/>
      </c>
      <c r="DB136" s="104" t="str">
        <f aca="false">IF($CP136&gt;$CO$8,"",VLOOKUP($CP136,$CR$9:$CX$508,4,FALSE()))</f>
        <v/>
      </c>
      <c r="DC136" s="104" t="str">
        <f aca="false">IF($CP136&gt;$CO$8,"",VLOOKUP($CP136,$CR$9:$CX$508,5,FALSE()))</f>
        <v/>
      </c>
      <c r="DD136" s="105" t="str">
        <f aca="false">IF($CP136&gt;$CO$8,"",VLOOKUP($CP136,$CR$9:$CX$508,6,FALSE()))</f>
        <v/>
      </c>
      <c r="DE136" s="70"/>
    </row>
    <row r="137" customFormat="false" ht="15.75" hidden="false" customHeight="false" outlineLevel="0" collapsed="false">
      <c r="A137" s="8"/>
      <c r="B137" s="72"/>
      <c r="C137" s="73"/>
      <c r="D137" s="155"/>
      <c r="E137" s="162"/>
      <c r="F137" s="157"/>
      <c r="G137" s="77"/>
      <c r="H137" s="77"/>
      <c r="I137" s="77"/>
      <c r="J137" s="163"/>
      <c r="K137" s="161"/>
      <c r="L137" s="161"/>
      <c r="M137" s="80"/>
      <c r="N137" s="161"/>
      <c r="O137" s="160"/>
      <c r="P137" s="161"/>
      <c r="Q137" s="161"/>
      <c r="R137" s="161"/>
      <c r="S137" s="77"/>
      <c r="T137" s="161"/>
      <c r="U137" s="160"/>
      <c r="V137" s="161"/>
      <c r="W137" s="85"/>
      <c r="X137" s="86" t="str">
        <f aca="false">IF(ISBLANK($C137),"",IF($E137=Constants!$B$2,TRUE(),IF($E137=Constants!$B$3,FALSE(),TRUE())))</f>
        <v/>
      </c>
      <c r="Y137" s="86" t="str">
        <f aca="false">IF(ISBLANK($C137),"",IF($F137=Constants!$B$2,TRUE(),IF($F137=Constants!$B$3,FALSE(),TRUE())))</f>
        <v/>
      </c>
      <c r="Z137" s="87" t="str">
        <f aca="false">IF(ISBLANK($C137),"",IF(ISNUMBER($G137),IF($G137&gt;=0,$G137,""),""))</f>
        <v/>
      </c>
      <c r="AA137" s="87" t="str">
        <f aca="false">IF(ISBLANK($C137),"",IF(ISNUMBER($H137),IF($H137&gt;=0,$H137,""),""))</f>
        <v/>
      </c>
      <c r="AB137" s="87" t="str">
        <f aca="false">IF(ISBLANK($C137),"",IF(ISNUMBER($I137),IF($I137&gt;=0,$I137,""),""))</f>
        <v/>
      </c>
      <c r="AC137" s="86" t="str">
        <f aca="false">IF(ISBLANK($C137),"",IF($J137=Constants!$B$2,TRUE(),IF($J137=Constants!$B$3,FALSE(),TRUE())))</f>
        <v/>
      </c>
      <c r="AD137" s="86" t="str">
        <f aca="false">IF(ISBLANK($C137),"",IF($K137=Constants!$B$2,TRUE(),IF($K137=Constants!$B$3,FALSE(),TRUE())))</f>
        <v/>
      </c>
      <c r="AE137" s="86" t="str">
        <f aca="false">IF(ISBLANK($C137),"",IF($L137=Constants!$B$2,TRUE(),IF($L137=Constants!$B$3,FALSE(),TRUE())))</f>
        <v/>
      </c>
      <c r="AF137" s="88" t="str">
        <f aca="false">IF(ISBLANK($C137),"",IF(ISNUMBER($M137),IF($M137&gt;=0,$M137,""),""))</f>
        <v/>
      </c>
      <c r="AG137" s="86" t="str">
        <f aca="false">IF(ISBLANK($C137),"",IF(ISBLANK($N137),0,IF(ISNUMBER($N137),IF(AND($N137&gt;=0,$N137&lt;=Constants!$B$17,$N137=INT($N137)),$N137,""),"")))</f>
        <v/>
      </c>
      <c r="AH137" s="87" t="str">
        <f aca="false">IF(ISBLANK($C137),"",IF(ISBLANK($O137),0,IF(ISNUMBER($O137),IF($O137&gt;=0,$O137,""),"")))</f>
        <v/>
      </c>
      <c r="AI137" s="86" t="str">
        <f aca="false">IF(ISBLANK($C137),"",IF($P137=Constants!$B$2,TRUE(),IF($P137=Constants!$B$3,FALSE(),TRUE())))</f>
        <v/>
      </c>
      <c r="AJ137" s="86" t="str">
        <f aca="false">IF(ISBLANK($C137),"",IF($Q137=Constants!$B$2,TRUE(),IF($Q137=Constants!$B$3,FALSE(),TRUE())))</f>
        <v/>
      </c>
      <c r="AK137" s="86" t="str">
        <f aca="false">IF(ISBLANK($C137),"",IF($R137=Constants!$B$2,TRUE(),IF($R137=Constants!$B$3,FALSE(),TRUE())))</f>
        <v/>
      </c>
      <c r="AL137" s="88" t="str">
        <f aca="false">IF(ISBLANK($C137),"",IF(ISNUMBER($S137),IF($S137&gt;=0,$S137,""),""))</f>
        <v/>
      </c>
      <c r="AM137" s="86" t="str">
        <f aca="false">IF(ISBLANK($C137),"",IF(ISBLANK($T137),0,IF(ISNUMBER($T137),IF(AND($T137&gt;=0,$T137&lt;=Constants!$B$17,$T137=INT($T137)),$T137,""),"")))</f>
        <v/>
      </c>
      <c r="AN137" s="87" t="str">
        <f aca="false">IF(ISBLANK($C137),"",IF(ISBLANK($U137),0,IF(ISNUMBER($U137),IF($U137&gt;=0,$U137,""),"")))</f>
        <v/>
      </c>
      <c r="AO137" s="86" t="str">
        <f aca="false">IF(ISBLANK($C137),"",IF($V137=Constants!$B$2,TRUE(),IF($V137=Constants!$B$3,FALSE(),FALSE())))</f>
        <v/>
      </c>
      <c r="AP137" s="86"/>
      <c r="AQ137" s="85" t="str">
        <f aca="false">IF(ISBLANK($C137),"",AND($Y137,OR($AS137,$BC137),OR($Z137="",$AA137="",$AB137="")))</f>
        <v/>
      </c>
      <c r="AR137" s="85" t="str">
        <f aca="false">IF(ISBLANK($C137),"",IF(OR(NOT($Y137),NOT(OR($AS137,$BC137))),"",IF(ISBLANK($D$7),$AR$5,IF($AP$9="",$AR$6,""))))</f>
        <v/>
      </c>
      <c r="AS137" s="85" t="str">
        <f aca="false">IF(ISBLANK($C137),"",COUNTA($J137:$O137)&gt;0)</f>
        <v/>
      </c>
      <c r="AT137" s="85" t="str">
        <f aca="false">IF(ISBLANK($C137),"",AND($AS137,OR(AND($AF137="",OR($AE137,NOT(ISBLANK($M137)))),$AG137="",$AH137="")))</f>
        <v/>
      </c>
      <c r="AU137" s="87" t="str">
        <f aca="false">IF($BL137&lt;&gt;Constants!$B$4,"",IF(NOT($AS137),"",ROUND((Constants!$B$12-$AB137)+(Constants!$B$13-$Z137)+(Constants!$B$14-$AA137),1)))</f>
        <v/>
      </c>
      <c r="AV137" s="90" t="str">
        <f aca="false">IF($BL137&lt;&gt;Constants!$B$4,"",IF(NOT($AS137),"",IF(NOT($AE137),0,Constants!$B$15*(INT(ROUND(MIN($AF137,$AP$9),6))-INT(ROUND(MAX(0,MIN($AF137,2*$AP$9)-$AP$9),6))))))</f>
        <v/>
      </c>
      <c r="AW137" s="90" t="str">
        <f aca="false">IF($BL137&lt;&gt;Constants!$B$4,"",IF(NOT($AS137),"",Constants!$B$16*$AG137))</f>
        <v/>
      </c>
      <c r="AX137" s="90" t="str">
        <f aca="false">IF($BL137&lt;&gt;Constants!$B$4,"",IF(NOT($AS137),"",Constants!$B$18*INT(ROUND($AH137,6))))</f>
        <v/>
      </c>
      <c r="AY137" s="85" t="str">
        <f aca="false">IF($BL137&lt;&gt;Constants!$B$4,"",IF(NOT($AS137),"",IF(NOT($X137),Constants!$B$11,IF(OR(NOT($AC137),NOT($AD137),ROUND($AB137,1)&gt;Constants!$B$12,ROUND($Z137,1)&gt;Constants!$B$13,ROUND($AA137,1)&gt;Constants!$B$14),Constants!$B$10,Constants!$B$9))))</f>
        <v/>
      </c>
      <c r="AZ137" s="91" t="str">
        <f aca="false">IF($BL137&lt;&gt;Constants!$B$4,"",IF(NOT($AS137),"",ROUND($AU137+$AV137+$AW137+$AX137,1)))</f>
        <v/>
      </c>
      <c r="BA137" s="92" t="str">
        <f aca="false">IF($BL137&lt;&gt;Constants!$B$4,"",IF(NOT($AS137),"",IF(ISNUMBER($AF137),$AF137,0)))</f>
        <v/>
      </c>
      <c r="BB137" s="86" t="str">
        <f aca="false">IF($BL137&lt;&gt;Constants!$B$4,"",IF(NOT($BC137),"&lt;-",IF(NOT($AS137),"-&gt;",IF(OR($BI137&lt;$AY137,AND($BI137=$AY137,OR($BJ137&gt;$AZ137,AND($BJ137=$AZ137,OR($BH137&gt;$AX137,AND($BH137=$AX137,OR($BE137&gt;$AU137,AND($BE137=$AU137,OR($BF137&gt;$AV137,AND($BF137=$AV137,$BK137&gt;$BA137)))))))))),"-&gt;","&lt;-"))))</f>
        <v/>
      </c>
      <c r="BC137" s="85" t="str">
        <f aca="false">IF(ISBLANK($C137),"",COUNTA($P137:$U137)&gt;0)</f>
        <v/>
      </c>
      <c r="BD137" s="85" t="str">
        <f aca="false">IF(ISBLANK($C137),"",AND($BC137,OR(AND($AL137="",OR($AK137,NOT(ISBLANK($S137)))),$AM137="",$AN137="")))</f>
        <v/>
      </c>
      <c r="BE137" s="87" t="str">
        <f aca="false">IF($BL137&lt;&gt;Constants!$B$4,"",IF(NOT($BC137),"",ROUND((Constants!$B$12-$AB137)+(Constants!$B$13-$Z137)+(Constants!$B$14-$AA137),1)))</f>
        <v/>
      </c>
      <c r="BF137" s="90" t="str">
        <f aca="false">IF($BL137&lt;&gt;Constants!$B$4,"",IF(NOT($BC137),"",IF(NOT($AK137),0,Constants!$B$15*(INT(ROUND(MIN($AL137,$AP$9),6))-INT(ROUND(MAX(0,MIN($AL137,2*$AP$9)-$AP$9),6))))))</f>
        <v/>
      </c>
      <c r="BG137" s="90" t="str">
        <f aca="false">IF($BL137&lt;&gt;Constants!$B$4,"",IF(NOT($BC137),"",Constants!$B$16*$AM137))</f>
        <v/>
      </c>
      <c r="BH137" s="90" t="str">
        <f aca="false">IF($BL137&lt;&gt;Constants!$B$4,"",IF(NOT($BC137),"",Constants!$B$18*INT(ROUND($AN137,6))))</f>
        <v/>
      </c>
      <c r="BI137" s="85" t="str">
        <f aca="false">IF($BL137&lt;&gt;Constants!$B$4,"",IF(NOT($BC137),"",IF(NOT($X137),Constants!$B$11,IF(OR(NOT($AI137),NOT($AJ137),ROUND($AB137,1)&gt;Constants!$B$12,ROUND($Z137,1)&gt;Constants!$B$13,ROUND($AA137,1)&gt;Constants!$B$14),Constants!$B$10,Constants!$B$9))))</f>
        <v/>
      </c>
      <c r="BJ137" s="91" t="str">
        <f aca="false">IF($BL137&lt;&gt;Constants!$B$4,"",IF(NOT($BC137),"",ROUND($BE137+$BF137+$BG137+$BH137,1)))</f>
        <v/>
      </c>
      <c r="BK137" s="92" t="str">
        <f aca="false">IF($BL137&lt;&gt;Constants!$B$4,"",IF(NOT($BC137),"",IF(ISNUMBER($AL137),$AL137,0)))</f>
        <v/>
      </c>
      <c r="BL137" s="86" t="str">
        <f aca="false">IF(ISBLANK($C137),"",IF($AO137,Constants!$B$7,IF(COUNTA($E137:$V137)=0,Constants!$B$6,IF(NOT($Y137),Constants!$B$5,IF(NOT(OR($AS137,$BC137)),Constants!$B$5,IF(OR($AT137,$BD137,$AQ137,$AR137&lt;&gt;""),Constants!$B$8,Constants!$B$4))))))</f>
        <v/>
      </c>
      <c r="BM137" s="86" t="str">
        <f aca="false">IF(ISBLANK($C137),"",IF($BL137&lt;&gt;Constants!$B$4,$BL137,IF($BB137="-&gt;",$BI137,$AY137)))</f>
        <v/>
      </c>
      <c r="BN137" s="90" t="str">
        <f aca="false">IF($BL137&lt;&gt;Constants!$B$4,"",IF($BB137="-&gt;",$BJ137,$AZ137))</f>
        <v/>
      </c>
      <c r="BO137" s="90" t="str">
        <f aca="false">IF(ISBLANK($C137),"",IF($BL137&lt;&gt;Constants!$B$4,$BL137,$BN137))</f>
        <v/>
      </c>
      <c r="BP137" s="86" t="str">
        <f aca="false">IF(ISBLANK($C137),"",IF($BL137&lt;&gt;Constants!$B$4,$BL137,RANK($BO137,$BO$9:$BO$508,0)))</f>
        <v/>
      </c>
      <c r="BQ137" s="86" t="str">
        <f aca="false">IF(ISBLANK($C137),"",IF($BL137&lt;&gt;Constants!$B$4,$BL137,COUNTIFS($BM$9:$BM$508,"&lt;"&amp;$BM137)+COUNTIFS($BM$9:$BM$508,$BM137,$BP$9:$BP$508,"&lt;"&amp;$BP137)+1))</f>
        <v/>
      </c>
      <c r="BR137" s="90" t="str">
        <f aca="false">IF($BL137&lt;&gt;Constants!$B$4,"",IF($BB137="-&gt;",$BH137,$AX137))</f>
        <v/>
      </c>
      <c r="BS137" s="86" t="str">
        <f aca="false">IF(ISBLANK($C137),"",IF($BL137&lt;&gt;Constants!$B$4,$BL137,IF(ISNUMBER($BR137),RANK($BR137,$BR$9:$BR$508,0),COUNT($BR$9:$BR$508)+1)))</f>
        <v/>
      </c>
      <c r="BT137" s="90" t="str">
        <f aca="false">IF($BL137&lt;&gt;Constants!$B$4,"",IF($BB137="-&gt;",$BE137,$AU137))</f>
        <v/>
      </c>
      <c r="BU137" s="86" t="str">
        <f aca="false">IF(ISBLANK($C137),"",IF($BL137&lt;&gt;Constants!$B$4,$BL137,IF(ISNUMBER($BT137),RANK($BT137,$BT$9:$BT$508,0),COUNT($BT$9:$BT$508)+1)))</f>
        <v/>
      </c>
      <c r="BV137" s="90" t="str">
        <f aca="false">IF($BL137&lt;&gt;Constants!$B$4,"",IF($BB137="-&gt;",$BF137,$AV137))</f>
        <v/>
      </c>
      <c r="BW137" s="86" t="str">
        <f aca="false">IF(ISBLANK($C137),"",IF($BL137&lt;&gt;Constants!$B$4,$BL137,IF(ISNUMBER($BV137),RANK($BV137,$BV$9:$BV$508,0),COUNT($BV$9:$BV$508)+1)))</f>
        <v/>
      </c>
      <c r="BX137" s="90" t="str">
        <f aca="false">IF($BL137&lt;&gt;Constants!$B$4,"",IF($BB137="-&gt;",$BK137,$BA137))</f>
        <v/>
      </c>
      <c r="BY137" s="86" t="str">
        <f aca="false">IF(ISBLANK($C137),"",IF($BL137&lt;&gt;Constants!$B$4,$BL137,IF(ISNUMBER($BX137),RANK($BX137,$BX$9:$BX$508,0),COUNT($BX$9:$BX$508)+1)))</f>
        <v/>
      </c>
      <c r="BZ137" s="86" t="str">
        <f aca="false">IF(ISBLANK($C137),"",IF($BL137&lt;&gt;Constants!$B$4,$BL137,COUNTIFS($BM$9:$BM$508,"&lt;"&amp;$BM137)+COUNTIFS($BM$9:$BM$508,$BM137,$BP$9:$BP$508,"&lt;"&amp;$BP137)+COUNTIFS($BM$9:$BM$508,$BM137,$BP$9:$BP$508,$BP137,$BS$9:$BS$508,"&lt;"&amp;$BS137)+COUNTIFS($BM$9:$BM$508,$BM137,$BP$9:$BP$508,$BP137,$BS$9:$BS$508,$BS137,$BU$9:$BU$508,"&lt;"&amp;$BU137)+COUNTIFS($BM$9:$BM$508,$BM137,$BP$9:$BP$508,$BP137,$BS$9:$BS$508,$BS137,$BU$9:$BU$508,$BU137,$BW$9:$BW$508,"&lt;"&amp;$BW137)+COUNTIFS($BM$9:$BM$508,$BM137,$BP$9:$BP$508,$BP137,$BS$9:$BS$508,$BS137,$BU$9:$BU$508,$BU137,$BW$9:$BW$508,$BW137,$BY$9:$BY$508,"&lt;"&amp;$BY137)+1))</f>
        <v/>
      </c>
      <c r="CA137" s="86" t="str">
        <f aca="false">IF(ISBLANK($C137),"",IF($BL137&lt;&gt;Constants!$B$4,$BL137,$BQ137-$BZ137))</f>
        <v/>
      </c>
      <c r="CB137" s="93"/>
      <c r="CC137" s="94" t="str">
        <f aca="false">IF(ISBLANK($C137),"",IF($BL137=Constants!$B$8,$AR137,""))</f>
        <v/>
      </c>
      <c r="CD137" s="94" t="str">
        <f aca="false">IF(ISBLANK($C137),"",IF($BL137&lt;&gt;Constants!$B$4,"",IF($BB137="-&gt;",2,1)))</f>
        <v/>
      </c>
      <c r="CE137" s="95" t="str">
        <f aca="false">IF(ISBLANK($C137),"",IF($BL137&lt;&gt;Constants!$B$4,"",IF($BB137="-&gt;",$BE137,$AU137)))</f>
        <v/>
      </c>
      <c r="CF137" s="95" t="str">
        <f aca="false">IF(ISBLANK($C137),"",IF($BL137&lt;&gt;Constants!$B$4,"",IF($BB137="-&gt;",$BF137,$AV137)))</f>
        <v/>
      </c>
      <c r="CG137" s="95" t="str">
        <f aca="false">IF(ISBLANK($C137),"",IF($BL137&lt;&gt;Constants!$B$4,"",IF($BB137="-&gt;",$BG137,$AW137)))</f>
        <v/>
      </c>
      <c r="CH137" s="95" t="str">
        <f aca="false">IF(ISBLANK($C137),"",IF($BL137&lt;&gt;Constants!$B$4,"",IF($BB137="-&gt;",$BH137,$AX137)))</f>
        <v/>
      </c>
      <c r="CI137" s="96" t="str">
        <f aca="false">IF(ISBLANK($C137),"",$BO137)</f>
        <v/>
      </c>
      <c r="CJ137" s="97" t="str">
        <f aca="false">IF(ISBLANK($C137),"",$BM137)</f>
        <v/>
      </c>
      <c r="CK137" s="98" t="str">
        <f aca="false">IF(ISBLANK($C137),"",$CA137)</f>
        <v/>
      </c>
      <c r="CL137" s="98" t="str">
        <f aca="false">IF(ISBLANK($C137),"",$BZ137)</f>
        <v/>
      </c>
      <c r="CM137" s="99" t="str">
        <f aca="false">IF(ISBLANK($C137),"",IF($CL137=Constants!$B$7,COUNTA($C$9:$C$508)+2,IF($CL137=Constants!$B$6,COUNTA($C$9:$C$508)+1,IF($CL137=Constants!$B$5,COUNTA($C$9:$C$508),$CL137))))</f>
        <v/>
      </c>
      <c r="CN137" s="8"/>
      <c r="CO137" s="100" t="n">
        <f aca="false">IF(OR(ISNUMBER($CL137),$CL137=Constants!$B$7,$CL137=Constants!$B$5,$CL137=Constants!$B$6),1,0)</f>
        <v>0</v>
      </c>
      <c r="CP137" s="100" t="n">
        <v>129</v>
      </c>
      <c r="CQ137" s="100" t="str">
        <f aca="false">IF(ISBLANK($C137),"",IF(ISNUMBER($CM137),$CM137+ROW($B137)/1000,""))</f>
        <v/>
      </c>
      <c r="CR137" s="100" t="str">
        <f aca="false">IF(ISNUMBER($CQ137),RANK($CQ137,$CQ$9:$CQ$508,1),"")</f>
        <v/>
      </c>
      <c r="CS137" s="100" t="str">
        <f aca="false">IF(ISBLANK($C137),"",$B137)</f>
        <v/>
      </c>
      <c r="CT137" s="100" t="str">
        <f aca="false">IF(ISBLANK($C137),"",$C137)</f>
        <v/>
      </c>
      <c r="CU137" s="100" t="str">
        <f aca="false">IF(ISBLANK($C137),"",$D137)</f>
        <v/>
      </c>
      <c r="CV137" s="101" t="str">
        <f aca="false">$CJ137</f>
        <v/>
      </c>
      <c r="CW137" s="102" t="str">
        <f aca="false">$CI137</f>
        <v/>
      </c>
      <c r="CX137" s="100" t="str">
        <f aca="false">IF(ISBLANK($C137),"",$CL137)</f>
        <v/>
      </c>
      <c r="CY137" s="103" t="str">
        <f aca="false">IF($CP137&gt;$CO$8,"",VLOOKUP($CP137,$CR$9:$CX$508,7,FALSE()))</f>
        <v/>
      </c>
      <c r="CZ137" s="104" t="str">
        <f aca="false">IF($CP137&gt;$CO$8,"",VLOOKUP($CP137,$CR$9:$CX$508,2,FALSE()))</f>
        <v/>
      </c>
      <c r="DA137" s="104" t="str">
        <f aca="false">IF($CP137&gt;$CO$8,"",VLOOKUP($CP137,$CR$9:$CX$508,3,FALSE()))</f>
        <v/>
      </c>
      <c r="DB137" s="104" t="str">
        <f aca="false">IF($CP137&gt;$CO$8,"",VLOOKUP($CP137,$CR$9:$CX$508,4,FALSE()))</f>
        <v/>
      </c>
      <c r="DC137" s="104" t="str">
        <f aca="false">IF($CP137&gt;$CO$8,"",VLOOKUP($CP137,$CR$9:$CX$508,5,FALSE()))</f>
        <v/>
      </c>
      <c r="DD137" s="105" t="str">
        <f aca="false">IF($CP137&gt;$CO$8,"",VLOOKUP($CP137,$CR$9:$CX$508,6,FALSE()))</f>
        <v/>
      </c>
      <c r="DE137" s="70"/>
    </row>
    <row r="138" customFormat="false" ht="15.75" hidden="false" customHeight="false" outlineLevel="0" collapsed="false">
      <c r="A138" s="8"/>
      <c r="B138" s="146"/>
      <c r="C138" s="147"/>
      <c r="D138" s="148"/>
      <c r="E138" s="164"/>
      <c r="F138" s="150"/>
      <c r="G138" s="115"/>
      <c r="H138" s="115"/>
      <c r="I138" s="115"/>
      <c r="J138" s="165"/>
      <c r="K138" s="154"/>
      <c r="L138" s="154"/>
      <c r="M138" s="118"/>
      <c r="N138" s="154"/>
      <c r="O138" s="153"/>
      <c r="P138" s="154"/>
      <c r="Q138" s="154"/>
      <c r="R138" s="154"/>
      <c r="S138" s="115"/>
      <c r="T138" s="154"/>
      <c r="U138" s="153"/>
      <c r="V138" s="154"/>
      <c r="W138" s="123"/>
      <c r="X138" s="124" t="str">
        <f aca="false">IF(ISBLANK($C138),"",IF($E138=Constants!$B$2,TRUE(),IF($E138=Constants!$B$3,FALSE(),TRUE())))</f>
        <v/>
      </c>
      <c r="Y138" s="124" t="str">
        <f aca="false">IF(ISBLANK($C138),"",IF($F138=Constants!$B$2,TRUE(),IF($F138=Constants!$B$3,FALSE(),TRUE())))</f>
        <v/>
      </c>
      <c r="Z138" s="125" t="str">
        <f aca="false">IF(ISBLANK($C138),"",IF(ISNUMBER($G138),IF($G138&gt;=0,$G138,""),""))</f>
        <v/>
      </c>
      <c r="AA138" s="125" t="str">
        <f aca="false">IF(ISBLANK($C138),"",IF(ISNUMBER($H138),IF($H138&gt;=0,$H138,""),""))</f>
        <v/>
      </c>
      <c r="AB138" s="125" t="str">
        <f aca="false">IF(ISBLANK($C138),"",IF(ISNUMBER($I138),IF($I138&gt;=0,$I138,""),""))</f>
        <v/>
      </c>
      <c r="AC138" s="124" t="str">
        <f aca="false">IF(ISBLANK($C138),"",IF($J138=Constants!$B$2,TRUE(),IF($J138=Constants!$B$3,FALSE(),TRUE())))</f>
        <v/>
      </c>
      <c r="AD138" s="124" t="str">
        <f aca="false">IF(ISBLANK($C138),"",IF($K138=Constants!$B$2,TRUE(),IF($K138=Constants!$B$3,FALSE(),TRUE())))</f>
        <v/>
      </c>
      <c r="AE138" s="124" t="str">
        <f aca="false">IF(ISBLANK($C138),"",IF($L138=Constants!$B$2,TRUE(),IF($L138=Constants!$B$3,FALSE(),TRUE())))</f>
        <v/>
      </c>
      <c r="AF138" s="126" t="str">
        <f aca="false">IF(ISBLANK($C138),"",IF(ISNUMBER($M138),IF($M138&gt;=0,$M138,""),""))</f>
        <v/>
      </c>
      <c r="AG138" s="124" t="str">
        <f aca="false">IF(ISBLANK($C138),"",IF(ISBLANK($N138),0,IF(ISNUMBER($N138),IF(AND($N138&gt;=0,$N138&lt;=Constants!$B$17,$N138=INT($N138)),$N138,""),"")))</f>
        <v/>
      </c>
      <c r="AH138" s="125" t="str">
        <f aca="false">IF(ISBLANK($C138),"",IF(ISBLANK($O138),0,IF(ISNUMBER($O138),IF($O138&gt;=0,$O138,""),"")))</f>
        <v/>
      </c>
      <c r="AI138" s="124" t="str">
        <f aca="false">IF(ISBLANK($C138),"",IF($P138=Constants!$B$2,TRUE(),IF($P138=Constants!$B$3,FALSE(),TRUE())))</f>
        <v/>
      </c>
      <c r="AJ138" s="124" t="str">
        <f aca="false">IF(ISBLANK($C138),"",IF($Q138=Constants!$B$2,TRUE(),IF($Q138=Constants!$B$3,FALSE(),TRUE())))</f>
        <v/>
      </c>
      <c r="AK138" s="124" t="str">
        <f aca="false">IF(ISBLANK($C138),"",IF($R138=Constants!$B$2,TRUE(),IF($R138=Constants!$B$3,FALSE(),TRUE())))</f>
        <v/>
      </c>
      <c r="AL138" s="126" t="str">
        <f aca="false">IF(ISBLANK($C138),"",IF(ISNUMBER($S138),IF($S138&gt;=0,$S138,""),""))</f>
        <v/>
      </c>
      <c r="AM138" s="124" t="str">
        <f aca="false">IF(ISBLANK($C138),"",IF(ISBLANK($T138),0,IF(ISNUMBER($T138),IF(AND($T138&gt;=0,$T138&lt;=Constants!$B$17,$T138=INT($T138)),$T138,""),"")))</f>
        <v/>
      </c>
      <c r="AN138" s="125" t="str">
        <f aca="false">IF(ISBLANK($C138),"",IF(ISBLANK($U138),0,IF(ISNUMBER($U138),IF($U138&gt;=0,$U138,""),"")))</f>
        <v/>
      </c>
      <c r="AO138" s="124" t="str">
        <f aca="false">IF(ISBLANK($C138),"",IF($V138=Constants!$B$2,TRUE(),IF($V138=Constants!$B$3,FALSE(),FALSE())))</f>
        <v/>
      </c>
      <c r="AP138" s="124"/>
      <c r="AQ138" s="123" t="str">
        <f aca="false">IF(ISBLANK($C138),"",AND($Y138,OR($AS138,$BC138),OR($Z138="",$AA138="",$AB138="")))</f>
        <v/>
      </c>
      <c r="AR138" s="123" t="str">
        <f aca="false">IF(ISBLANK($C138),"",IF(OR(NOT($Y138),NOT(OR($AS138,$BC138))),"",IF(ISBLANK($D$7),$AR$5,IF($AP$9="",$AR$6,""))))</f>
        <v/>
      </c>
      <c r="AS138" s="123" t="str">
        <f aca="false">IF(ISBLANK($C138),"",COUNTA($J138:$O138)&gt;0)</f>
        <v/>
      </c>
      <c r="AT138" s="123" t="str">
        <f aca="false">IF(ISBLANK($C138),"",AND($AS138,OR(AND($AF138="",OR($AE138,NOT(ISBLANK($M138)))),$AG138="",$AH138="")))</f>
        <v/>
      </c>
      <c r="AU138" s="125" t="str">
        <f aca="false">IF($BL138&lt;&gt;Constants!$B$4,"",IF(NOT($AS138),"",ROUND((Constants!$B$12-$AB138)+(Constants!$B$13-$Z138)+(Constants!$B$14-$AA138),1)))</f>
        <v/>
      </c>
      <c r="AV138" s="127" t="str">
        <f aca="false">IF($BL138&lt;&gt;Constants!$B$4,"",IF(NOT($AS138),"",IF(NOT($AE138),0,Constants!$B$15*(INT(ROUND(MIN($AF138,$AP$9),6))-INT(ROUND(MAX(0,MIN($AF138,2*$AP$9)-$AP$9),6))))))</f>
        <v/>
      </c>
      <c r="AW138" s="127" t="str">
        <f aca="false">IF($BL138&lt;&gt;Constants!$B$4,"",IF(NOT($AS138),"",Constants!$B$16*$AG138))</f>
        <v/>
      </c>
      <c r="AX138" s="127" t="str">
        <f aca="false">IF($BL138&lt;&gt;Constants!$B$4,"",IF(NOT($AS138),"",Constants!$B$18*INT(ROUND($AH138,6))))</f>
        <v/>
      </c>
      <c r="AY138" s="123" t="str">
        <f aca="false">IF($BL138&lt;&gt;Constants!$B$4,"",IF(NOT($AS138),"",IF(NOT($X138),Constants!$B$11,IF(OR(NOT($AC138),NOT($AD138),ROUND($AB138,1)&gt;Constants!$B$12,ROUND($Z138,1)&gt;Constants!$B$13,ROUND($AA138,1)&gt;Constants!$B$14),Constants!$B$10,Constants!$B$9))))</f>
        <v/>
      </c>
      <c r="AZ138" s="128" t="str">
        <f aca="false">IF($BL138&lt;&gt;Constants!$B$4,"",IF(NOT($AS138),"",ROUND($AU138+$AV138+$AW138+$AX138,1)))</f>
        <v/>
      </c>
      <c r="BA138" s="129" t="str">
        <f aca="false">IF($BL138&lt;&gt;Constants!$B$4,"",IF(NOT($AS138),"",IF(ISNUMBER($AF138),$AF138,0)))</f>
        <v/>
      </c>
      <c r="BB138" s="124" t="str">
        <f aca="false">IF($BL138&lt;&gt;Constants!$B$4,"",IF(NOT($BC138),"&lt;-",IF(NOT($AS138),"-&gt;",IF(OR($BI138&lt;$AY138,AND($BI138=$AY138,OR($BJ138&gt;$AZ138,AND($BJ138=$AZ138,OR($BH138&gt;$AX138,AND($BH138=$AX138,OR($BE138&gt;$AU138,AND($BE138=$AU138,OR($BF138&gt;$AV138,AND($BF138=$AV138,$BK138&gt;$BA138)))))))))),"-&gt;","&lt;-"))))</f>
        <v/>
      </c>
      <c r="BC138" s="123" t="str">
        <f aca="false">IF(ISBLANK($C138),"",COUNTA($P138:$U138)&gt;0)</f>
        <v/>
      </c>
      <c r="BD138" s="123" t="str">
        <f aca="false">IF(ISBLANK($C138),"",AND($BC138,OR(AND($AL138="",OR($AK138,NOT(ISBLANK($S138)))),$AM138="",$AN138="")))</f>
        <v/>
      </c>
      <c r="BE138" s="125" t="str">
        <f aca="false">IF($BL138&lt;&gt;Constants!$B$4,"",IF(NOT($BC138),"",ROUND((Constants!$B$12-$AB138)+(Constants!$B$13-$Z138)+(Constants!$B$14-$AA138),1)))</f>
        <v/>
      </c>
      <c r="BF138" s="127" t="str">
        <f aca="false">IF($BL138&lt;&gt;Constants!$B$4,"",IF(NOT($BC138),"",IF(NOT($AK138),0,Constants!$B$15*(INT(ROUND(MIN($AL138,$AP$9),6))-INT(ROUND(MAX(0,MIN($AL138,2*$AP$9)-$AP$9),6))))))</f>
        <v/>
      </c>
      <c r="BG138" s="127" t="str">
        <f aca="false">IF($BL138&lt;&gt;Constants!$B$4,"",IF(NOT($BC138),"",Constants!$B$16*$AM138))</f>
        <v/>
      </c>
      <c r="BH138" s="127" t="str">
        <f aca="false">IF($BL138&lt;&gt;Constants!$B$4,"",IF(NOT($BC138),"",Constants!$B$18*INT(ROUND($AN138,6))))</f>
        <v/>
      </c>
      <c r="BI138" s="123" t="str">
        <f aca="false">IF($BL138&lt;&gt;Constants!$B$4,"",IF(NOT($BC138),"",IF(NOT($X138),Constants!$B$11,IF(OR(NOT($AI138),NOT($AJ138),ROUND($AB138,1)&gt;Constants!$B$12,ROUND($Z138,1)&gt;Constants!$B$13,ROUND($AA138,1)&gt;Constants!$B$14),Constants!$B$10,Constants!$B$9))))</f>
        <v/>
      </c>
      <c r="BJ138" s="128" t="str">
        <f aca="false">IF($BL138&lt;&gt;Constants!$B$4,"",IF(NOT($BC138),"",ROUND($BE138+$BF138+$BG138+$BH138,1)))</f>
        <v/>
      </c>
      <c r="BK138" s="129" t="str">
        <f aca="false">IF($BL138&lt;&gt;Constants!$B$4,"",IF(NOT($BC138),"",IF(ISNUMBER($AL138),$AL138,0)))</f>
        <v/>
      </c>
      <c r="BL138" s="124" t="str">
        <f aca="false">IF(ISBLANK($C138),"",IF($AO138,Constants!$B$7,IF(COUNTA($E138:$V138)=0,Constants!$B$6,IF(NOT($Y138),Constants!$B$5,IF(NOT(OR($AS138,$BC138)),Constants!$B$5,IF(OR($AT138,$BD138,$AQ138,$AR138&lt;&gt;""),Constants!$B$8,Constants!$B$4))))))</f>
        <v/>
      </c>
      <c r="BM138" s="124" t="str">
        <f aca="false">IF(ISBLANK($C138),"",IF($BL138&lt;&gt;Constants!$B$4,$BL138,IF($BB138="-&gt;",$BI138,$AY138)))</f>
        <v/>
      </c>
      <c r="BN138" s="127" t="str">
        <f aca="false">IF($BL138&lt;&gt;Constants!$B$4,"",IF($BB138="-&gt;",$BJ138,$AZ138))</f>
        <v/>
      </c>
      <c r="BO138" s="127" t="str">
        <f aca="false">IF(ISBLANK($C138),"",IF($BL138&lt;&gt;Constants!$B$4,$BL138,$BN138))</f>
        <v/>
      </c>
      <c r="BP138" s="124" t="str">
        <f aca="false">IF(ISBLANK($C138),"",IF($BL138&lt;&gt;Constants!$B$4,$BL138,RANK($BO138,$BO$9:$BO$508,0)))</f>
        <v/>
      </c>
      <c r="BQ138" s="124" t="str">
        <f aca="false">IF(ISBLANK($C138),"",IF($BL138&lt;&gt;Constants!$B$4,$BL138,COUNTIFS($BM$9:$BM$508,"&lt;"&amp;$BM138)+COUNTIFS($BM$9:$BM$508,$BM138,$BP$9:$BP$508,"&lt;"&amp;$BP138)+1))</f>
        <v/>
      </c>
      <c r="BR138" s="127" t="str">
        <f aca="false">IF($BL138&lt;&gt;Constants!$B$4,"",IF($BB138="-&gt;",$BH138,$AX138))</f>
        <v/>
      </c>
      <c r="BS138" s="124" t="str">
        <f aca="false">IF(ISBLANK($C138),"",IF($BL138&lt;&gt;Constants!$B$4,$BL138,IF(ISNUMBER($BR138),RANK($BR138,$BR$9:$BR$508,0),COUNT($BR$9:$BR$508)+1)))</f>
        <v/>
      </c>
      <c r="BT138" s="127" t="str">
        <f aca="false">IF($BL138&lt;&gt;Constants!$B$4,"",IF($BB138="-&gt;",$BE138,$AU138))</f>
        <v/>
      </c>
      <c r="BU138" s="124" t="str">
        <f aca="false">IF(ISBLANK($C138),"",IF($BL138&lt;&gt;Constants!$B$4,$BL138,IF(ISNUMBER($BT138),RANK($BT138,$BT$9:$BT$508,0),COUNT($BT$9:$BT$508)+1)))</f>
        <v/>
      </c>
      <c r="BV138" s="127" t="str">
        <f aca="false">IF($BL138&lt;&gt;Constants!$B$4,"",IF($BB138="-&gt;",$BF138,$AV138))</f>
        <v/>
      </c>
      <c r="BW138" s="124" t="str">
        <f aca="false">IF(ISBLANK($C138),"",IF($BL138&lt;&gt;Constants!$B$4,$BL138,IF(ISNUMBER($BV138),RANK($BV138,$BV$9:$BV$508,0),COUNT($BV$9:$BV$508)+1)))</f>
        <v/>
      </c>
      <c r="BX138" s="127" t="str">
        <f aca="false">IF($BL138&lt;&gt;Constants!$B$4,"",IF($BB138="-&gt;",$BK138,$BA138))</f>
        <v/>
      </c>
      <c r="BY138" s="124" t="str">
        <f aca="false">IF(ISBLANK($C138),"",IF($BL138&lt;&gt;Constants!$B$4,$BL138,IF(ISNUMBER($BX138),RANK($BX138,$BX$9:$BX$508,0),COUNT($BX$9:$BX$508)+1)))</f>
        <v/>
      </c>
      <c r="BZ138" s="124" t="str">
        <f aca="false">IF(ISBLANK($C138),"",IF($BL138&lt;&gt;Constants!$B$4,$BL138,COUNTIFS($BM$9:$BM$508,"&lt;"&amp;$BM138)+COUNTIFS($BM$9:$BM$508,$BM138,$BP$9:$BP$508,"&lt;"&amp;$BP138)+COUNTIFS($BM$9:$BM$508,$BM138,$BP$9:$BP$508,$BP138,$BS$9:$BS$508,"&lt;"&amp;$BS138)+COUNTIFS($BM$9:$BM$508,$BM138,$BP$9:$BP$508,$BP138,$BS$9:$BS$508,$BS138,$BU$9:$BU$508,"&lt;"&amp;$BU138)+COUNTIFS($BM$9:$BM$508,$BM138,$BP$9:$BP$508,$BP138,$BS$9:$BS$508,$BS138,$BU$9:$BU$508,$BU138,$BW$9:$BW$508,"&lt;"&amp;$BW138)+COUNTIFS($BM$9:$BM$508,$BM138,$BP$9:$BP$508,$BP138,$BS$9:$BS$508,$BS138,$BU$9:$BU$508,$BU138,$BW$9:$BW$508,$BW138,$BY$9:$BY$508,"&lt;"&amp;$BY138)+1))</f>
        <v/>
      </c>
      <c r="CA138" s="124" t="str">
        <f aca="false">IF(ISBLANK($C138),"",IF($BL138&lt;&gt;Constants!$B$4,$BL138,$BQ138-$BZ138))</f>
        <v/>
      </c>
      <c r="CB138" s="130"/>
      <c r="CC138" s="131" t="str">
        <f aca="false">IF(ISBLANK($C138),"",IF($BL138=Constants!$B$8,$AR138,""))</f>
        <v/>
      </c>
      <c r="CD138" s="131" t="str">
        <f aca="false">IF(ISBLANK($C138),"",IF($BL138&lt;&gt;Constants!$B$4,"",IF($BB138="-&gt;",2,1)))</f>
        <v/>
      </c>
      <c r="CE138" s="132" t="str">
        <f aca="false">IF(ISBLANK($C138),"",IF($BL138&lt;&gt;Constants!$B$4,"",IF($BB138="-&gt;",$BE138,$AU138)))</f>
        <v/>
      </c>
      <c r="CF138" s="132" t="str">
        <f aca="false">IF(ISBLANK($C138),"",IF($BL138&lt;&gt;Constants!$B$4,"",IF($BB138="-&gt;",$BF138,$AV138)))</f>
        <v/>
      </c>
      <c r="CG138" s="132" t="str">
        <f aca="false">IF(ISBLANK($C138),"",IF($BL138&lt;&gt;Constants!$B$4,"",IF($BB138="-&gt;",$BG138,$AW138)))</f>
        <v/>
      </c>
      <c r="CH138" s="132" t="str">
        <f aca="false">IF(ISBLANK($C138),"",IF($BL138&lt;&gt;Constants!$B$4,"",IF($BB138="-&gt;",$BH138,$AX138)))</f>
        <v/>
      </c>
      <c r="CI138" s="133" t="str">
        <f aca="false">IF(ISBLANK($C138),"",$BO138)</f>
        <v/>
      </c>
      <c r="CJ138" s="134" t="str">
        <f aca="false">IF(ISBLANK($C138),"",$BM138)</f>
        <v/>
      </c>
      <c r="CK138" s="135" t="str">
        <f aca="false">IF(ISBLANK($C138),"",$CA138)</f>
        <v/>
      </c>
      <c r="CL138" s="135" t="str">
        <f aca="false">IF(ISBLANK($C138),"",$BZ138)</f>
        <v/>
      </c>
      <c r="CM138" s="136" t="str">
        <f aca="false">IF(ISBLANK($C138),"",IF($CL138=Constants!$B$7,COUNTA($C$9:$C$508)+2,IF($CL138=Constants!$B$6,COUNTA($C$9:$C$508)+1,IF($CL138=Constants!$B$5,COUNTA($C$9:$C$508),$CL138))))</f>
        <v/>
      </c>
      <c r="CN138" s="8"/>
      <c r="CO138" s="137" t="n">
        <f aca="false">IF(OR(ISNUMBER($CL138),$CL138=Constants!$B$7,$CL138=Constants!$B$5,$CL138=Constants!$B$6),1,0)</f>
        <v>0</v>
      </c>
      <c r="CP138" s="137" t="n">
        <v>130</v>
      </c>
      <c r="CQ138" s="137" t="str">
        <f aca="false">IF(ISBLANK($C138),"",IF(ISNUMBER($CM138),$CM138+ROW($B138)/1000,""))</f>
        <v/>
      </c>
      <c r="CR138" s="137" t="str">
        <f aca="false">IF(ISNUMBER($CQ138),RANK($CQ138,$CQ$9:$CQ$508,1),"")</f>
        <v/>
      </c>
      <c r="CS138" s="137" t="str">
        <f aca="false">IF(ISBLANK($C138),"",$B138)</f>
        <v/>
      </c>
      <c r="CT138" s="137" t="str">
        <f aca="false">IF(ISBLANK($C138),"",$C138)</f>
        <v/>
      </c>
      <c r="CU138" s="137" t="str">
        <f aca="false">IF(ISBLANK($C138),"",$D138)</f>
        <v/>
      </c>
      <c r="CV138" s="138" t="str">
        <f aca="false">$CJ138</f>
        <v/>
      </c>
      <c r="CW138" s="139" t="str">
        <f aca="false">$CI138</f>
        <v/>
      </c>
      <c r="CX138" s="137" t="str">
        <f aca="false">IF(ISBLANK($C138),"",$CL138)</f>
        <v/>
      </c>
      <c r="CY138" s="140" t="str">
        <f aca="false">IF($CP138&gt;$CO$8,"",VLOOKUP($CP138,$CR$9:$CX$508,7,FALSE()))</f>
        <v/>
      </c>
      <c r="CZ138" s="141" t="str">
        <f aca="false">IF($CP138&gt;$CO$8,"",VLOOKUP($CP138,$CR$9:$CX$508,2,FALSE()))</f>
        <v/>
      </c>
      <c r="DA138" s="141" t="str">
        <f aca="false">IF($CP138&gt;$CO$8,"",VLOOKUP($CP138,$CR$9:$CX$508,3,FALSE()))</f>
        <v/>
      </c>
      <c r="DB138" s="141" t="str">
        <f aca="false">IF($CP138&gt;$CO$8,"",VLOOKUP($CP138,$CR$9:$CX$508,4,FALSE()))</f>
        <v/>
      </c>
      <c r="DC138" s="141" t="str">
        <f aca="false">IF($CP138&gt;$CO$8,"",VLOOKUP($CP138,$CR$9:$CX$508,5,FALSE()))</f>
        <v/>
      </c>
      <c r="DD138" s="142" t="str">
        <f aca="false">IF($CP138&gt;$CO$8,"",VLOOKUP($CP138,$CR$9:$CX$508,6,FALSE()))</f>
        <v/>
      </c>
      <c r="DE138" s="70"/>
    </row>
    <row r="139" customFormat="false" ht="15.75" hidden="false" customHeight="false" outlineLevel="0" collapsed="false">
      <c r="A139" s="8"/>
      <c r="B139" s="146"/>
      <c r="C139" s="147"/>
      <c r="D139" s="148"/>
      <c r="E139" s="164"/>
      <c r="F139" s="150"/>
      <c r="G139" s="115"/>
      <c r="H139" s="115"/>
      <c r="I139" s="115"/>
      <c r="J139" s="165"/>
      <c r="K139" s="154"/>
      <c r="L139" s="154"/>
      <c r="M139" s="118"/>
      <c r="N139" s="154"/>
      <c r="O139" s="153"/>
      <c r="P139" s="154"/>
      <c r="Q139" s="154"/>
      <c r="R139" s="154"/>
      <c r="S139" s="115"/>
      <c r="T139" s="154"/>
      <c r="U139" s="153"/>
      <c r="V139" s="154"/>
      <c r="W139" s="123"/>
      <c r="X139" s="124" t="str">
        <f aca="false">IF(ISBLANK($C139),"",IF($E139=Constants!$B$2,TRUE(),IF($E139=Constants!$B$3,FALSE(),TRUE())))</f>
        <v/>
      </c>
      <c r="Y139" s="124" t="str">
        <f aca="false">IF(ISBLANK($C139),"",IF($F139=Constants!$B$2,TRUE(),IF($F139=Constants!$B$3,FALSE(),TRUE())))</f>
        <v/>
      </c>
      <c r="Z139" s="125" t="str">
        <f aca="false">IF(ISBLANK($C139),"",IF(ISNUMBER($G139),IF($G139&gt;=0,$G139,""),""))</f>
        <v/>
      </c>
      <c r="AA139" s="125" t="str">
        <f aca="false">IF(ISBLANK($C139),"",IF(ISNUMBER($H139),IF($H139&gt;=0,$H139,""),""))</f>
        <v/>
      </c>
      <c r="AB139" s="125" t="str">
        <f aca="false">IF(ISBLANK($C139),"",IF(ISNUMBER($I139),IF($I139&gt;=0,$I139,""),""))</f>
        <v/>
      </c>
      <c r="AC139" s="124" t="str">
        <f aca="false">IF(ISBLANK($C139),"",IF($J139=Constants!$B$2,TRUE(),IF($J139=Constants!$B$3,FALSE(),TRUE())))</f>
        <v/>
      </c>
      <c r="AD139" s="124" t="str">
        <f aca="false">IF(ISBLANK($C139),"",IF($K139=Constants!$B$2,TRUE(),IF($K139=Constants!$B$3,FALSE(),TRUE())))</f>
        <v/>
      </c>
      <c r="AE139" s="124" t="str">
        <f aca="false">IF(ISBLANK($C139),"",IF($L139=Constants!$B$2,TRUE(),IF($L139=Constants!$B$3,FALSE(),TRUE())))</f>
        <v/>
      </c>
      <c r="AF139" s="126" t="str">
        <f aca="false">IF(ISBLANK($C139),"",IF(ISNUMBER($M139),IF($M139&gt;=0,$M139,""),""))</f>
        <v/>
      </c>
      <c r="AG139" s="124" t="str">
        <f aca="false">IF(ISBLANK($C139),"",IF(ISBLANK($N139),0,IF(ISNUMBER($N139),IF(AND($N139&gt;=0,$N139&lt;=Constants!$B$17,$N139=INT($N139)),$N139,""),"")))</f>
        <v/>
      </c>
      <c r="AH139" s="125" t="str">
        <f aca="false">IF(ISBLANK($C139),"",IF(ISBLANK($O139),0,IF(ISNUMBER($O139),IF($O139&gt;=0,$O139,""),"")))</f>
        <v/>
      </c>
      <c r="AI139" s="124" t="str">
        <f aca="false">IF(ISBLANK($C139),"",IF($P139=Constants!$B$2,TRUE(),IF($P139=Constants!$B$3,FALSE(),TRUE())))</f>
        <v/>
      </c>
      <c r="AJ139" s="124" t="str">
        <f aca="false">IF(ISBLANK($C139),"",IF($Q139=Constants!$B$2,TRUE(),IF($Q139=Constants!$B$3,FALSE(),TRUE())))</f>
        <v/>
      </c>
      <c r="AK139" s="124" t="str">
        <f aca="false">IF(ISBLANK($C139),"",IF($R139=Constants!$B$2,TRUE(),IF($R139=Constants!$B$3,FALSE(),TRUE())))</f>
        <v/>
      </c>
      <c r="AL139" s="126" t="str">
        <f aca="false">IF(ISBLANK($C139),"",IF(ISNUMBER($S139),IF($S139&gt;=0,$S139,""),""))</f>
        <v/>
      </c>
      <c r="AM139" s="124" t="str">
        <f aca="false">IF(ISBLANK($C139),"",IF(ISBLANK($T139),0,IF(ISNUMBER($T139),IF(AND($T139&gt;=0,$T139&lt;=Constants!$B$17,$T139=INT($T139)),$T139,""),"")))</f>
        <v/>
      </c>
      <c r="AN139" s="125" t="str">
        <f aca="false">IF(ISBLANK($C139),"",IF(ISBLANK($U139),0,IF(ISNUMBER($U139),IF($U139&gt;=0,$U139,""),"")))</f>
        <v/>
      </c>
      <c r="AO139" s="124" t="str">
        <f aca="false">IF(ISBLANK($C139),"",IF($V139=Constants!$B$2,TRUE(),IF($V139=Constants!$B$3,FALSE(),FALSE())))</f>
        <v/>
      </c>
      <c r="AP139" s="124"/>
      <c r="AQ139" s="123" t="str">
        <f aca="false">IF(ISBLANK($C139),"",AND($Y139,OR($AS139,$BC139),OR($Z139="",$AA139="",$AB139="")))</f>
        <v/>
      </c>
      <c r="AR139" s="123" t="str">
        <f aca="false">IF(ISBLANK($C139),"",IF(OR(NOT($Y139),NOT(OR($AS139,$BC139))),"",IF(ISBLANK($D$7),$AR$5,IF($AP$9="",$AR$6,""))))</f>
        <v/>
      </c>
      <c r="AS139" s="123" t="str">
        <f aca="false">IF(ISBLANK($C139),"",COUNTA($J139:$O139)&gt;0)</f>
        <v/>
      </c>
      <c r="AT139" s="123" t="str">
        <f aca="false">IF(ISBLANK($C139),"",AND($AS139,OR(AND($AF139="",OR($AE139,NOT(ISBLANK($M139)))),$AG139="",$AH139="")))</f>
        <v/>
      </c>
      <c r="AU139" s="125" t="str">
        <f aca="false">IF($BL139&lt;&gt;Constants!$B$4,"",IF(NOT($AS139),"",ROUND((Constants!$B$12-$AB139)+(Constants!$B$13-$Z139)+(Constants!$B$14-$AA139),1)))</f>
        <v/>
      </c>
      <c r="AV139" s="127" t="str">
        <f aca="false">IF($BL139&lt;&gt;Constants!$B$4,"",IF(NOT($AS139),"",IF(NOT($AE139),0,Constants!$B$15*(INT(ROUND(MIN($AF139,$AP$9),6))-INT(ROUND(MAX(0,MIN($AF139,2*$AP$9)-$AP$9),6))))))</f>
        <v/>
      </c>
      <c r="AW139" s="127" t="str">
        <f aca="false">IF($BL139&lt;&gt;Constants!$B$4,"",IF(NOT($AS139),"",Constants!$B$16*$AG139))</f>
        <v/>
      </c>
      <c r="AX139" s="127" t="str">
        <f aca="false">IF($BL139&lt;&gt;Constants!$B$4,"",IF(NOT($AS139),"",Constants!$B$18*INT(ROUND($AH139,6))))</f>
        <v/>
      </c>
      <c r="AY139" s="123" t="str">
        <f aca="false">IF($BL139&lt;&gt;Constants!$B$4,"",IF(NOT($AS139),"",IF(NOT($X139),Constants!$B$11,IF(OR(NOT($AC139),NOT($AD139),ROUND($AB139,1)&gt;Constants!$B$12,ROUND($Z139,1)&gt;Constants!$B$13,ROUND($AA139,1)&gt;Constants!$B$14),Constants!$B$10,Constants!$B$9))))</f>
        <v/>
      </c>
      <c r="AZ139" s="128" t="str">
        <f aca="false">IF($BL139&lt;&gt;Constants!$B$4,"",IF(NOT($AS139),"",ROUND($AU139+$AV139+$AW139+$AX139,1)))</f>
        <v/>
      </c>
      <c r="BA139" s="129" t="str">
        <f aca="false">IF($BL139&lt;&gt;Constants!$B$4,"",IF(NOT($AS139),"",IF(ISNUMBER($AF139),$AF139,0)))</f>
        <v/>
      </c>
      <c r="BB139" s="124" t="str">
        <f aca="false">IF($BL139&lt;&gt;Constants!$B$4,"",IF(NOT($BC139),"&lt;-",IF(NOT($AS139),"-&gt;",IF(OR($BI139&lt;$AY139,AND($BI139=$AY139,OR($BJ139&gt;$AZ139,AND($BJ139=$AZ139,OR($BH139&gt;$AX139,AND($BH139=$AX139,OR($BE139&gt;$AU139,AND($BE139=$AU139,OR($BF139&gt;$AV139,AND($BF139=$AV139,$BK139&gt;$BA139)))))))))),"-&gt;","&lt;-"))))</f>
        <v/>
      </c>
      <c r="BC139" s="123" t="str">
        <f aca="false">IF(ISBLANK($C139),"",COUNTA($P139:$U139)&gt;0)</f>
        <v/>
      </c>
      <c r="BD139" s="123" t="str">
        <f aca="false">IF(ISBLANK($C139),"",AND($BC139,OR(AND($AL139="",OR($AK139,NOT(ISBLANK($S139)))),$AM139="",$AN139="")))</f>
        <v/>
      </c>
      <c r="BE139" s="125" t="str">
        <f aca="false">IF($BL139&lt;&gt;Constants!$B$4,"",IF(NOT($BC139),"",ROUND((Constants!$B$12-$AB139)+(Constants!$B$13-$Z139)+(Constants!$B$14-$AA139),1)))</f>
        <v/>
      </c>
      <c r="BF139" s="127" t="str">
        <f aca="false">IF($BL139&lt;&gt;Constants!$B$4,"",IF(NOT($BC139),"",IF(NOT($AK139),0,Constants!$B$15*(INT(ROUND(MIN($AL139,$AP$9),6))-INT(ROUND(MAX(0,MIN($AL139,2*$AP$9)-$AP$9),6))))))</f>
        <v/>
      </c>
      <c r="BG139" s="127" t="str">
        <f aca="false">IF($BL139&lt;&gt;Constants!$B$4,"",IF(NOT($BC139),"",Constants!$B$16*$AM139))</f>
        <v/>
      </c>
      <c r="BH139" s="127" t="str">
        <f aca="false">IF($BL139&lt;&gt;Constants!$B$4,"",IF(NOT($BC139),"",Constants!$B$18*INT(ROUND($AN139,6))))</f>
        <v/>
      </c>
      <c r="BI139" s="123" t="str">
        <f aca="false">IF($BL139&lt;&gt;Constants!$B$4,"",IF(NOT($BC139),"",IF(NOT($X139),Constants!$B$11,IF(OR(NOT($AI139),NOT($AJ139),ROUND($AB139,1)&gt;Constants!$B$12,ROUND($Z139,1)&gt;Constants!$B$13,ROUND($AA139,1)&gt;Constants!$B$14),Constants!$B$10,Constants!$B$9))))</f>
        <v/>
      </c>
      <c r="BJ139" s="128" t="str">
        <f aca="false">IF($BL139&lt;&gt;Constants!$B$4,"",IF(NOT($BC139),"",ROUND($BE139+$BF139+$BG139+$BH139,1)))</f>
        <v/>
      </c>
      <c r="BK139" s="129" t="str">
        <f aca="false">IF($BL139&lt;&gt;Constants!$B$4,"",IF(NOT($BC139),"",IF(ISNUMBER($AL139),$AL139,0)))</f>
        <v/>
      </c>
      <c r="BL139" s="124" t="str">
        <f aca="false">IF(ISBLANK($C139),"",IF($AO139,Constants!$B$7,IF(COUNTA($E139:$V139)=0,Constants!$B$6,IF(NOT($Y139),Constants!$B$5,IF(NOT(OR($AS139,$BC139)),Constants!$B$5,IF(OR($AT139,$BD139,$AQ139,$AR139&lt;&gt;""),Constants!$B$8,Constants!$B$4))))))</f>
        <v/>
      </c>
      <c r="BM139" s="124" t="str">
        <f aca="false">IF(ISBLANK($C139),"",IF($BL139&lt;&gt;Constants!$B$4,$BL139,IF($BB139="-&gt;",$BI139,$AY139)))</f>
        <v/>
      </c>
      <c r="BN139" s="127" t="str">
        <f aca="false">IF($BL139&lt;&gt;Constants!$B$4,"",IF($BB139="-&gt;",$BJ139,$AZ139))</f>
        <v/>
      </c>
      <c r="BO139" s="127" t="str">
        <f aca="false">IF(ISBLANK($C139),"",IF($BL139&lt;&gt;Constants!$B$4,$BL139,$BN139))</f>
        <v/>
      </c>
      <c r="BP139" s="124" t="str">
        <f aca="false">IF(ISBLANK($C139),"",IF($BL139&lt;&gt;Constants!$B$4,$BL139,RANK($BO139,$BO$9:$BO$508,0)))</f>
        <v/>
      </c>
      <c r="BQ139" s="124" t="str">
        <f aca="false">IF(ISBLANK($C139),"",IF($BL139&lt;&gt;Constants!$B$4,$BL139,COUNTIFS($BM$9:$BM$508,"&lt;"&amp;$BM139)+COUNTIFS($BM$9:$BM$508,$BM139,$BP$9:$BP$508,"&lt;"&amp;$BP139)+1))</f>
        <v/>
      </c>
      <c r="BR139" s="127" t="str">
        <f aca="false">IF($BL139&lt;&gt;Constants!$B$4,"",IF($BB139="-&gt;",$BH139,$AX139))</f>
        <v/>
      </c>
      <c r="BS139" s="124" t="str">
        <f aca="false">IF(ISBLANK($C139),"",IF($BL139&lt;&gt;Constants!$B$4,$BL139,IF(ISNUMBER($BR139),RANK($BR139,$BR$9:$BR$508,0),COUNT($BR$9:$BR$508)+1)))</f>
        <v/>
      </c>
      <c r="BT139" s="127" t="str">
        <f aca="false">IF($BL139&lt;&gt;Constants!$B$4,"",IF($BB139="-&gt;",$BE139,$AU139))</f>
        <v/>
      </c>
      <c r="BU139" s="124" t="str">
        <f aca="false">IF(ISBLANK($C139),"",IF($BL139&lt;&gt;Constants!$B$4,$BL139,IF(ISNUMBER($BT139),RANK($BT139,$BT$9:$BT$508,0),COUNT($BT$9:$BT$508)+1)))</f>
        <v/>
      </c>
      <c r="BV139" s="127" t="str">
        <f aca="false">IF($BL139&lt;&gt;Constants!$B$4,"",IF($BB139="-&gt;",$BF139,$AV139))</f>
        <v/>
      </c>
      <c r="BW139" s="124" t="str">
        <f aca="false">IF(ISBLANK($C139),"",IF($BL139&lt;&gt;Constants!$B$4,$BL139,IF(ISNUMBER($BV139),RANK($BV139,$BV$9:$BV$508,0),COUNT($BV$9:$BV$508)+1)))</f>
        <v/>
      </c>
      <c r="BX139" s="127" t="str">
        <f aca="false">IF($BL139&lt;&gt;Constants!$B$4,"",IF($BB139="-&gt;",$BK139,$BA139))</f>
        <v/>
      </c>
      <c r="BY139" s="124" t="str">
        <f aca="false">IF(ISBLANK($C139),"",IF($BL139&lt;&gt;Constants!$B$4,$BL139,IF(ISNUMBER($BX139),RANK($BX139,$BX$9:$BX$508,0),COUNT($BX$9:$BX$508)+1)))</f>
        <v/>
      </c>
      <c r="BZ139" s="124" t="str">
        <f aca="false">IF(ISBLANK($C139),"",IF($BL139&lt;&gt;Constants!$B$4,$BL139,COUNTIFS($BM$9:$BM$508,"&lt;"&amp;$BM139)+COUNTIFS($BM$9:$BM$508,$BM139,$BP$9:$BP$508,"&lt;"&amp;$BP139)+COUNTIFS($BM$9:$BM$508,$BM139,$BP$9:$BP$508,$BP139,$BS$9:$BS$508,"&lt;"&amp;$BS139)+COUNTIFS($BM$9:$BM$508,$BM139,$BP$9:$BP$508,$BP139,$BS$9:$BS$508,$BS139,$BU$9:$BU$508,"&lt;"&amp;$BU139)+COUNTIFS($BM$9:$BM$508,$BM139,$BP$9:$BP$508,$BP139,$BS$9:$BS$508,$BS139,$BU$9:$BU$508,$BU139,$BW$9:$BW$508,"&lt;"&amp;$BW139)+COUNTIFS($BM$9:$BM$508,$BM139,$BP$9:$BP$508,$BP139,$BS$9:$BS$508,$BS139,$BU$9:$BU$508,$BU139,$BW$9:$BW$508,$BW139,$BY$9:$BY$508,"&lt;"&amp;$BY139)+1))</f>
        <v/>
      </c>
      <c r="CA139" s="124" t="str">
        <f aca="false">IF(ISBLANK($C139),"",IF($BL139&lt;&gt;Constants!$B$4,$BL139,$BQ139-$BZ139))</f>
        <v/>
      </c>
      <c r="CB139" s="130"/>
      <c r="CC139" s="131" t="str">
        <f aca="false">IF(ISBLANK($C139),"",IF($BL139=Constants!$B$8,$AR139,""))</f>
        <v/>
      </c>
      <c r="CD139" s="131" t="str">
        <f aca="false">IF(ISBLANK($C139),"",IF($BL139&lt;&gt;Constants!$B$4,"",IF($BB139="-&gt;",2,1)))</f>
        <v/>
      </c>
      <c r="CE139" s="132" t="str">
        <f aca="false">IF(ISBLANK($C139),"",IF($BL139&lt;&gt;Constants!$B$4,"",IF($BB139="-&gt;",$BE139,$AU139)))</f>
        <v/>
      </c>
      <c r="CF139" s="132" t="str">
        <f aca="false">IF(ISBLANK($C139),"",IF($BL139&lt;&gt;Constants!$B$4,"",IF($BB139="-&gt;",$BF139,$AV139)))</f>
        <v/>
      </c>
      <c r="CG139" s="132" t="str">
        <f aca="false">IF(ISBLANK($C139),"",IF($BL139&lt;&gt;Constants!$B$4,"",IF($BB139="-&gt;",$BG139,$AW139)))</f>
        <v/>
      </c>
      <c r="CH139" s="132" t="str">
        <f aca="false">IF(ISBLANK($C139),"",IF($BL139&lt;&gt;Constants!$B$4,"",IF($BB139="-&gt;",$BH139,$AX139)))</f>
        <v/>
      </c>
      <c r="CI139" s="133" t="str">
        <f aca="false">IF(ISBLANK($C139),"",$BO139)</f>
        <v/>
      </c>
      <c r="CJ139" s="134" t="str">
        <f aca="false">IF(ISBLANK($C139),"",$BM139)</f>
        <v/>
      </c>
      <c r="CK139" s="135" t="str">
        <f aca="false">IF(ISBLANK($C139),"",$CA139)</f>
        <v/>
      </c>
      <c r="CL139" s="135" t="str">
        <f aca="false">IF(ISBLANK($C139),"",$BZ139)</f>
        <v/>
      </c>
      <c r="CM139" s="136" t="str">
        <f aca="false">IF(ISBLANK($C139),"",IF($CL139=Constants!$B$7,COUNTA($C$9:$C$508)+2,IF($CL139=Constants!$B$6,COUNTA($C$9:$C$508)+1,IF($CL139=Constants!$B$5,COUNTA($C$9:$C$508),$CL139))))</f>
        <v/>
      </c>
      <c r="CN139" s="8"/>
      <c r="CO139" s="137" t="n">
        <f aca="false">IF(OR(ISNUMBER($CL139),$CL139=Constants!$B$7,$CL139=Constants!$B$5,$CL139=Constants!$B$6),1,0)</f>
        <v>0</v>
      </c>
      <c r="CP139" s="137" t="n">
        <v>131</v>
      </c>
      <c r="CQ139" s="137" t="str">
        <f aca="false">IF(ISBLANK($C139),"",IF(ISNUMBER($CM139),$CM139+ROW($B139)/1000,""))</f>
        <v/>
      </c>
      <c r="CR139" s="137" t="str">
        <f aca="false">IF(ISNUMBER($CQ139),RANK($CQ139,$CQ$9:$CQ$508,1),"")</f>
        <v/>
      </c>
      <c r="CS139" s="137" t="str">
        <f aca="false">IF(ISBLANK($C139),"",$B139)</f>
        <v/>
      </c>
      <c r="CT139" s="137" t="str">
        <f aca="false">IF(ISBLANK($C139),"",$C139)</f>
        <v/>
      </c>
      <c r="CU139" s="137" t="str">
        <f aca="false">IF(ISBLANK($C139),"",$D139)</f>
        <v/>
      </c>
      <c r="CV139" s="138" t="str">
        <f aca="false">$CJ139</f>
        <v/>
      </c>
      <c r="CW139" s="139" t="str">
        <f aca="false">$CI139</f>
        <v/>
      </c>
      <c r="CX139" s="137" t="str">
        <f aca="false">IF(ISBLANK($C139),"",$CL139)</f>
        <v/>
      </c>
      <c r="CY139" s="140" t="str">
        <f aca="false">IF($CP139&gt;$CO$8,"",VLOOKUP($CP139,$CR$9:$CX$508,7,FALSE()))</f>
        <v/>
      </c>
      <c r="CZ139" s="141" t="str">
        <f aca="false">IF($CP139&gt;$CO$8,"",VLOOKUP($CP139,$CR$9:$CX$508,2,FALSE()))</f>
        <v/>
      </c>
      <c r="DA139" s="141" t="str">
        <f aca="false">IF($CP139&gt;$CO$8,"",VLOOKUP($CP139,$CR$9:$CX$508,3,FALSE()))</f>
        <v/>
      </c>
      <c r="DB139" s="141" t="str">
        <f aca="false">IF($CP139&gt;$CO$8,"",VLOOKUP($CP139,$CR$9:$CX$508,4,FALSE()))</f>
        <v/>
      </c>
      <c r="DC139" s="141" t="str">
        <f aca="false">IF($CP139&gt;$CO$8,"",VLOOKUP($CP139,$CR$9:$CX$508,5,FALSE()))</f>
        <v/>
      </c>
      <c r="DD139" s="142" t="str">
        <f aca="false">IF($CP139&gt;$CO$8,"",VLOOKUP($CP139,$CR$9:$CX$508,6,FALSE()))</f>
        <v/>
      </c>
      <c r="DE139" s="70"/>
    </row>
    <row r="140" customFormat="false" ht="15.75" hidden="false" customHeight="false" outlineLevel="0" collapsed="false">
      <c r="A140" s="8"/>
      <c r="B140" s="146"/>
      <c r="C140" s="147"/>
      <c r="D140" s="148"/>
      <c r="E140" s="164"/>
      <c r="F140" s="150"/>
      <c r="G140" s="115"/>
      <c r="H140" s="115"/>
      <c r="I140" s="115"/>
      <c r="J140" s="165"/>
      <c r="K140" s="154"/>
      <c r="L140" s="154"/>
      <c r="M140" s="118"/>
      <c r="N140" s="154"/>
      <c r="O140" s="153"/>
      <c r="P140" s="154"/>
      <c r="Q140" s="154"/>
      <c r="R140" s="154"/>
      <c r="S140" s="115"/>
      <c r="T140" s="154"/>
      <c r="U140" s="153"/>
      <c r="V140" s="154"/>
      <c r="W140" s="123"/>
      <c r="X140" s="124" t="str">
        <f aca="false">IF(ISBLANK($C140),"",IF($E140=Constants!$B$2,TRUE(),IF($E140=Constants!$B$3,FALSE(),TRUE())))</f>
        <v/>
      </c>
      <c r="Y140" s="124" t="str">
        <f aca="false">IF(ISBLANK($C140),"",IF($F140=Constants!$B$2,TRUE(),IF($F140=Constants!$B$3,FALSE(),TRUE())))</f>
        <v/>
      </c>
      <c r="Z140" s="125" t="str">
        <f aca="false">IF(ISBLANK($C140),"",IF(ISNUMBER($G140),IF($G140&gt;=0,$G140,""),""))</f>
        <v/>
      </c>
      <c r="AA140" s="125" t="str">
        <f aca="false">IF(ISBLANK($C140),"",IF(ISNUMBER($H140),IF($H140&gt;=0,$H140,""),""))</f>
        <v/>
      </c>
      <c r="AB140" s="125" t="str">
        <f aca="false">IF(ISBLANK($C140),"",IF(ISNUMBER($I140),IF($I140&gt;=0,$I140,""),""))</f>
        <v/>
      </c>
      <c r="AC140" s="124" t="str">
        <f aca="false">IF(ISBLANK($C140),"",IF($J140=Constants!$B$2,TRUE(),IF($J140=Constants!$B$3,FALSE(),TRUE())))</f>
        <v/>
      </c>
      <c r="AD140" s="124" t="str">
        <f aca="false">IF(ISBLANK($C140),"",IF($K140=Constants!$B$2,TRUE(),IF($K140=Constants!$B$3,FALSE(),TRUE())))</f>
        <v/>
      </c>
      <c r="AE140" s="124" t="str">
        <f aca="false">IF(ISBLANK($C140),"",IF($L140=Constants!$B$2,TRUE(),IF($L140=Constants!$B$3,FALSE(),TRUE())))</f>
        <v/>
      </c>
      <c r="AF140" s="126" t="str">
        <f aca="false">IF(ISBLANK($C140),"",IF(ISNUMBER($M140),IF($M140&gt;=0,$M140,""),""))</f>
        <v/>
      </c>
      <c r="AG140" s="124" t="str">
        <f aca="false">IF(ISBLANK($C140),"",IF(ISBLANK($N140),0,IF(ISNUMBER($N140),IF(AND($N140&gt;=0,$N140&lt;=Constants!$B$17,$N140=INT($N140)),$N140,""),"")))</f>
        <v/>
      </c>
      <c r="AH140" s="125" t="str">
        <f aca="false">IF(ISBLANK($C140),"",IF(ISBLANK($O140),0,IF(ISNUMBER($O140),IF($O140&gt;=0,$O140,""),"")))</f>
        <v/>
      </c>
      <c r="AI140" s="124" t="str">
        <f aca="false">IF(ISBLANK($C140),"",IF($P140=Constants!$B$2,TRUE(),IF($P140=Constants!$B$3,FALSE(),TRUE())))</f>
        <v/>
      </c>
      <c r="AJ140" s="124" t="str">
        <f aca="false">IF(ISBLANK($C140),"",IF($Q140=Constants!$B$2,TRUE(),IF($Q140=Constants!$B$3,FALSE(),TRUE())))</f>
        <v/>
      </c>
      <c r="AK140" s="124" t="str">
        <f aca="false">IF(ISBLANK($C140),"",IF($R140=Constants!$B$2,TRUE(),IF($R140=Constants!$B$3,FALSE(),TRUE())))</f>
        <v/>
      </c>
      <c r="AL140" s="126" t="str">
        <f aca="false">IF(ISBLANK($C140),"",IF(ISNUMBER($S140),IF($S140&gt;=0,$S140,""),""))</f>
        <v/>
      </c>
      <c r="AM140" s="124" t="str">
        <f aca="false">IF(ISBLANK($C140),"",IF(ISBLANK($T140),0,IF(ISNUMBER($T140),IF(AND($T140&gt;=0,$T140&lt;=Constants!$B$17,$T140=INT($T140)),$T140,""),"")))</f>
        <v/>
      </c>
      <c r="AN140" s="125" t="str">
        <f aca="false">IF(ISBLANK($C140),"",IF(ISBLANK($U140),0,IF(ISNUMBER($U140),IF($U140&gt;=0,$U140,""),"")))</f>
        <v/>
      </c>
      <c r="AO140" s="124" t="str">
        <f aca="false">IF(ISBLANK($C140),"",IF($V140=Constants!$B$2,TRUE(),IF($V140=Constants!$B$3,FALSE(),FALSE())))</f>
        <v/>
      </c>
      <c r="AP140" s="124"/>
      <c r="AQ140" s="123" t="str">
        <f aca="false">IF(ISBLANK($C140),"",AND($Y140,OR($AS140,$BC140),OR($Z140="",$AA140="",$AB140="")))</f>
        <v/>
      </c>
      <c r="AR140" s="123" t="str">
        <f aca="false">IF(ISBLANK($C140),"",IF(OR(NOT($Y140),NOT(OR($AS140,$BC140))),"",IF(ISBLANK($D$7),$AR$5,IF($AP$9="",$AR$6,""))))</f>
        <v/>
      </c>
      <c r="AS140" s="123" t="str">
        <f aca="false">IF(ISBLANK($C140),"",COUNTA($J140:$O140)&gt;0)</f>
        <v/>
      </c>
      <c r="AT140" s="123" t="str">
        <f aca="false">IF(ISBLANK($C140),"",AND($AS140,OR(AND($AF140="",OR($AE140,NOT(ISBLANK($M140)))),$AG140="",$AH140="")))</f>
        <v/>
      </c>
      <c r="AU140" s="125" t="str">
        <f aca="false">IF($BL140&lt;&gt;Constants!$B$4,"",IF(NOT($AS140),"",ROUND((Constants!$B$12-$AB140)+(Constants!$B$13-$Z140)+(Constants!$B$14-$AA140),1)))</f>
        <v/>
      </c>
      <c r="AV140" s="127" t="str">
        <f aca="false">IF($BL140&lt;&gt;Constants!$B$4,"",IF(NOT($AS140),"",IF(NOT($AE140),0,Constants!$B$15*(INT(ROUND(MIN($AF140,$AP$9),6))-INT(ROUND(MAX(0,MIN($AF140,2*$AP$9)-$AP$9),6))))))</f>
        <v/>
      </c>
      <c r="AW140" s="127" t="str">
        <f aca="false">IF($BL140&lt;&gt;Constants!$B$4,"",IF(NOT($AS140),"",Constants!$B$16*$AG140))</f>
        <v/>
      </c>
      <c r="AX140" s="127" t="str">
        <f aca="false">IF($BL140&lt;&gt;Constants!$B$4,"",IF(NOT($AS140),"",Constants!$B$18*INT(ROUND($AH140,6))))</f>
        <v/>
      </c>
      <c r="AY140" s="123" t="str">
        <f aca="false">IF($BL140&lt;&gt;Constants!$B$4,"",IF(NOT($AS140),"",IF(NOT($X140),Constants!$B$11,IF(OR(NOT($AC140),NOT($AD140),ROUND($AB140,1)&gt;Constants!$B$12,ROUND($Z140,1)&gt;Constants!$B$13,ROUND($AA140,1)&gt;Constants!$B$14),Constants!$B$10,Constants!$B$9))))</f>
        <v/>
      </c>
      <c r="AZ140" s="128" t="str">
        <f aca="false">IF($BL140&lt;&gt;Constants!$B$4,"",IF(NOT($AS140),"",ROUND($AU140+$AV140+$AW140+$AX140,1)))</f>
        <v/>
      </c>
      <c r="BA140" s="129" t="str">
        <f aca="false">IF($BL140&lt;&gt;Constants!$B$4,"",IF(NOT($AS140),"",IF(ISNUMBER($AF140),$AF140,0)))</f>
        <v/>
      </c>
      <c r="BB140" s="124" t="str">
        <f aca="false">IF($BL140&lt;&gt;Constants!$B$4,"",IF(NOT($BC140),"&lt;-",IF(NOT($AS140),"-&gt;",IF(OR($BI140&lt;$AY140,AND($BI140=$AY140,OR($BJ140&gt;$AZ140,AND($BJ140=$AZ140,OR($BH140&gt;$AX140,AND($BH140=$AX140,OR($BE140&gt;$AU140,AND($BE140=$AU140,OR($BF140&gt;$AV140,AND($BF140=$AV140,$BK140&gt;$BA140)))))))))),"-&gt;","&lt;-"))))</f>
        <v/>
      </c>
      <c r="BC140" s="123" t="str">
        <f aca="false">IF(ISBLANK($C140),"",COUNTA($P140:$U140)&gt;0)</f>
        <v/>
      </c>
      <c r="BD140" s="123" t="str">
        <f aca="false">IF(ISBLANK($C140),"",AND($BC140,OR(AND($AL140="",OR($AK140,NOT(ISBLANK($S140)))),$AM140="",$AN140="")))</f>
        <v/>
      </c>
      <c r="BE140" s="125" t="str">
        <f aca="false">IF($BL140&lt;&gt;Constants!$B$4,"",IF(NOT($BC140),"",ROUND((Constants!$B$12-$AB140)+(Constants!$B$13-$Z140)+(Constants!$B$14-$AA140),1)))</f>
        <v/>
      </c>
      <c r="BF140" s="127" t="str">
        <f aca="false">IF($BL140&lt;&gt;Constants!$B$4,"",IF(NOT($BC140),"",IF(NOT($AK140),0,Constants!$B$15*(INT(ROUND(MIN($AL140,$AP$9),6))-INT(ROUND(MAX(0,MIN($AL140,2*$AP$9)-$AP$9),6))))))</f>
        <v/>
      </c>
      <c r="BG140" s="127" t="str">
        <f aca="false">IF($BL140&lt;&gt;Constants!$B$4,"",IF(NOT($BC140),"",Constants!$B$16*$AM140))</f>
        <v/>
      </c>
      <c r="BH140" s="127" t="str">
        <f aca="false">IF($BL140&lt;&gt;Constants!$B$4,"",IF(NOT($BC140),"",Constants!$B$18*INT(ROUND($AN140,6))))</f>
        <v/>
      </c>
      <c r="BI140" s="123" t="str">
        <f aca="false">IF($BL140&lt;&gt;Constants!$B$4,"",IF(NOT($BC140),"",IF(NOT($X140),Constants!$B$11,IF(OR(NOT($AI140),NOT($AJ140),ROUND($AB140,1)&gt;Constants!$B$12,ROUND($Z140,1)&gt;Constants!$B$13,ROUND($AA140,1)&gt;Constants!$B$14),Constants!$B$10,Constants!$B$9))))</f>
        <v/>
      </c>
      <c r="BJ140" s="128" t="str">
        <f aca="false">IF($BL140&lt;&gt;Constants!$B$4,"",IF(NOT($BC140),"",ROUND($BE140+$BF140+$BG140+$BH140,1)))</f>
        <v/>
      </c>
      <c r="BK140" s="129" t="str">
        <f aca="false">IF($BL140&lt;&gt;Constants!$B$4,"",IF(NOT($BC140),"",IF(ISNUMBER($AL140),$AL140,0)))</f>
        <v/>
      </c>
      <c r="BL140" s="124" t="str">
        <f aca="false">IF(ISBLANK($C140),"",IF($AO140,Constants!$B$7,IF(COUNTA($E140:$V140)=0,Constants!$B$6,IF(NOT($Y140),Constants!$B$5,IF(NOT(OR($AS140,$BC140)),Constants!$B$5,IF(OR($AT140,$BD140,$AQ140,$AR140&lt;&gt;""),Constants!$B$8,Constants!$B$4))))))</f>
        <v/>
      </c>
      <c r="BM140" s="124" t="str">
        <f aca="false">IF(ISBLANK($C140),"",IF($BL140&lt;&gt;Constants!$B$4,$BL140,IF($BB140="-&gt;",$BI140,$AY140)))</f>
        <v/>
      </c>
      <c r="BN140" s="127" t="str">
        <f aca="false">IF($BL140&lt;&gt;Constants!$B$4,"",IF($BB140="-&gt;",$BJ140,$AZ140))</f>
        <v/>
      </c>
      <c r="BO140" s="127" t="str">
        <f aca="false">IF(ISBLANK($C140),"",IF($BL140&lt;&gt;Constants!$B$4,$BL140,$BN140))</f>
        <v/>
      </c>
      <c r="BP140" s="124" t="str">
        <f aca="false">IF(ISBLANK($C140),"",IF($BL140&lt;&gt;Constants!$B$4,$BL140,RANK($BO140,$BO$9:$BO$508,0)))</f>
        <v/>
      </c>
      <c r="BQ140" s="124" t="str">
        <f aca="false">IF(ISBLANK($C140),"",IF($BL140&lt;&gt;Constants!$B$4,$BL140,COUNTIFS($BM$9:$BM$508,"&lt;"&amp;$BM140)+COUNTIFS($BM$9:$BM$508,$BM140,$BP$9:$BP$508,"&lt;"&amp;$BP140)+1))</f>
        <v/>
      </c>
      <c r="BR140" s="127" t="str">
        <f aca="false">IF($BL140&lt;&gt;Constants!$B$4,"",IF($BB140="-&gt;",$BH140,$AX140))</f>
        <v/>
      </c>
      <c r="BS140" s="124" t="str">
        <f aca="false">IF(ISBLANK($C140),"",IF($BL140&lt;&gt;Constants!$B$4,$BL140,IF(ISNUMBER($BR140),RANK($BR140,$BR$9:$BR$508,0),COUNT($BR$9:$BR$508)+1)))</f>
        <v/>
      </c>
      <c r="BT140" s="127" t="str">
        <f aca="false">IF($BL140&lt;&gt;Constants!$B$4,"",IF($BB140="-&gt;",$BE140,$AU140))</f>
        <v/>
      </c>
      <c r="BU140" s="124" t="str">
        <f aca="false">IF(ISBLANK($C140),"",IF($BL140&lt;&gt;Constants!$B$4,$BL140,IF(ISNUMBER($BT140),RANK($BT140,$BT$9:$BT$508,0),COUNT($BT$9:$BT$508)+1)))</f>
        <v/>
      </c>
      <c r="BV140" s="127" t="str">
        <f aca="false">IF($BL140&lt;&gt;Constants!$B$4,"",IF($BB140="-&gt;",$BF140,$AV140))</f>
        <v/>
      </c>
      <c r="BW140" s="124" t="str">
        <f aca="false">IF(ISBLANK($C140),"",IF($BL140&lt;&gt;Constants!$B$4,$BL140,IF(ISNUMBER($BV140),RANK($BV140,$BV$9:$BV$508,0),COUNT($BV$9:$BV$508)+1)))</f>
        <v/>
      </c>
      <c r="BX140" s="127" t="str">
        <f aca="false">IF($BL140&lt;&gt;Constants!$B$4,"",IF($BB140="-&gt;",$BK140,$BA140))</f>
        <v/>
      </c>
      <c r="BY140" s="124" t="str">
        <f aca="false">IF(ISBLANK($C140),"",IF($BL140&lt;&gt;Constants!$B$4,$BL140,IF(ISNUMBER($BX140),RANK($BX140,$BX$9:$BX$508,0),COUNT($BX$9:$BX$508)+1)))</f>
        <v/>
      </c>
      <c r="BZ140" s="124" t="str">
        <f aca="false">IF(ISBLANK($C140),"",IF($BL140&lt;&gt;Constants!$B$4,$BL140,COUNTIFS($BM$9:$BM$508,"&lt;"&amp;$BM140)+COUNTIFS($BM$9:$BM$508,$BM140,$BP$9:$BP$508,"&lt;"&amp;$BP140)+COUNTIFS($BM$9:$BM$508,$BM140,$BP$9:$BP$508,$BP140,$BS$9:$BS$508,"&lt;"&amp;$BS140)+COUNTIFS($BM$9:$BM$508,$BM140,$BP$9:$BP$508,$BP140,$BS$9:$BS$508,$BS140,$BU$9:$BU$508,"&lt;"&amp;$BU140)+COUNTIFS($BM$9:$BM$508,$BM140,$BP$9:$BP$508,$BP140,$BS$9:$BS$508,$BS140,$BU$9:$BU$508,$BU140,$BW$9:$BW$508,"&lt;"&amp;$BW140)+COUNTIFS($BM$9:$BM$508,$BM140,$BP$9:$BP$508,$BP140,$BS$9:$BS$508,$BS140,$BU$9:$BU$508,$BU140,$BW$9:$BW$508,$BW140,$BY$9:$BY$508,"&lt;"&amp;$BY140)+1))</f>
        <v/>
      </c>
      <c r="CA140" s="124" t="str">
        <f aca="false">IF(ISBLANK($C140),"",IF($BL140&lt;&gt;Constants!$B$4,$BL140,$BQ140-$BZ140))</f>
        <v/>
      </c>
      <c r="CB140" s="130"/>
      <c r="CC140" s="131" t="str">
        <f aca="false">IF(ISBLANK($C140),"",IF($BL140=Constants!$B$8,$AR140,""))</f>
        <v/>
      </c>
      <c r="CD140" s="131" t="str">
        <f aca="false">IF(ISBLANK($C140),"",IF($BL140&lt;&gt;Constants!$B$4,"",IF($BB140="-&gt;",2,1)))</f>
        <v/>
      </c>
      <c r="CE140" s="132" t="str">
        <f aca="false">IF(ISBLANK($C140),"",IF($BL140&lt;&gt;Constants!$B$4,"",IF($BB140="-&gt;",$BE140,$AU140)))</f>
        <v/>
      </c>
      <c r="CF140" s="132" t="str">
        <f aca="false">IF(ISBLANK($C140),"",IF($BL140&lt;&gt;Constants!$B$4,"",IF($BB140="-&gt;",$BF140,$AV140)))</f>
        <v/>
      </c>
      <c r="CG140" s="132" t="str">
        <f aca="false">IF(ISBLANK($C140),"",IF($BL140&lt;&gt;Constants!$B$4,"",IF($BB140="-&gt;",$BG140,$AW140)))</f>
        <v/>
      </c>
      <c r="CH140" s="132" t="str">
        <f aca="false">IF(ISBLANK($C140),"",IF($BL140&lt;&gt;Constants!$B$4,"",IF($BB140="-&gt;",$BH140,$AX140)))</f>
        <v/>
      </c>
      <c r="CI140" s="133" t="str">
        <f aca="false">IF(ISBLANK($C140),"",$BO140)</f>
        <v/>
      </c>
      <c r="CJ140" s="134" t="str">
        <f aca="false">IF(ISBLANK($C140),"",$BM140)</f>
        <v/>
      </c>
      <c r="CK140" s="135" t="str">
        <f aca="false">IF(ISBLANK($C140),"",$CA140)</f>
        <v/>
      </c>
      <c r="CL140" s="135" t="str">
        <f aca="false">IF(ISBLANK($C140),"",$BZ140)</f>
        <v/>
      </c>
      <c r="CM140" s="136" t="str">
        <f aca="false">IF(ISBLANK($C140),"",IF($CL140=Constants!$B$7,COUNTA($C$9:$C$508)+2,IF($CL140=Constants!$B$6,COUNTA($C$9:$C$508)+1,IF($CL140=Constants!$B$5,COUNTA($C$9:$C$508),$CL140))))</f>
        <v/>
      </c>
      <c r="CN140" s="8"/>
      <c r="CO140" s="137" t="n">
        <f aca="false">IF(OR(ISNUMBER($CL140),$CL140=Constants!$B$7,$CL140=Constants!$B$5,$CL140=Constants!$B$6),1,0)</f>
        <v>0</v>
      </c>
      <c r="CP140" s="137" t="n">
        <v>132</v>
      </c>
      <c r="CQ140" s="137" t="str">
        <f aca="false">IF(ISBLANK($C140),"",IF(ISNUMBER($CM140),$CM140+ROW($B140)/1000,""))</f>
        <v/>
      </c>
      <c r="CR140" s="137" t="str">
        <f aca="false">IF(ISNUMBER($CQ140),RANK($CQ140,$CQ$9:$CQ$508,1),"")</f>
        <v/>
      </c>
      <c r="CS140" s="137" t="str">
        <f aca="false">IF(ISBLANK($C140),"",$B140)</f>
        <v/>
      </c>
      <c r="CT140" s="137" t="str">
        <f aca="false">IF(ISBLANK($C140),"",$C140)</f>
        <v/>
      </c>
      <c r="CU140" s="137" t="str">
        <f aca="false">IF(ISBLANK($C140),"",$D140)</f>
        <v/>
      </c>
      <c r="CV140" s="138" t="str">
        <f aca="false">$CJ140</f>
        <v/>
      </c>
      <c r="CW140" s="139" t="str">
        <f aca="false">$CI140</f>
        <v/>
      </c>
      <c r="CX140" s="137" t="str">
        <f aca="false">IF(ISBLANK($C140),"",$CL140)</f>
        <v/>
      </c>
      <c r="CY140" s="140" t="str">
        <f aca="false">IF($CP140&gt;$CO$8,"",VLOOKUP($CP140,$CR$9:$CX$508,7,FALSE()))</f>
        <v/>
      </c>
      <c r="CZ140" s="141" t="str">
        <f aca="false">IF($CP140&gt;$CO$8,"",VLOOKUP($CP140,$CR$9:$CX$508,2,FALSE()))</f>
        <v/>
      </c>
      <c r="DA140" s="141" t="str">
        <f aca="false">IF($CP140&gt;$CO$8,"",VLOOKUP($CP140,$CR$9:$CX$508,3,FALSE()))</f>
        <v/>
      </c>
      <c r="DB140" s="141" t="str">
        <f aca="false">IF($CP140&gt;$CO$8,"",VLOOKUP($CP140,$CR$9:$CX$508,4,FALSE()))</f>
        <v/>
      </c>
      <c r="DC140" s="141" t="str">
        <f aca="false">IF($CP140&gt;$CO$8,"",VLOOKUP($CP140,$CR$9:$CX$508,5,FALSE()))</f>
        <v/>
      </c>
      <c r="DD140" s="142" t="str">
        <f aca="false">IF($CP140&gt;$CO$8,"",VLOOKUP($CP140,$CR$9:$CX$508,6,FALSE()))</f>
        <v/>
      </c>
      <c r="DE140" s="70"/>
    </row>
    <row r="141" customFormat="false" ht="15.75" hidden="false" customHeight="false" outlineLevel="0" collapsed="false">
      <c r="A141" s="8"/>
      <c r="B141" s="72"/>
      <c r="C141" s="73"/>
      <c r="D141" s="155"/>
      <c r="E141" s="162"/>
      <c r="F141" s="157"/>
      <c r="G141" s="77"/>
      <c r="H141" s="77"/>
      <c r="I141" s="77"/>
      <c r="J141" s="163"/>
      <c r="K141" s="161"/>
      <c r="L141" s="161"/>
      <c r="M141" s="80"/>
      <c r="N141" s="161"/>
      <c r="O141" s="160"/>
      <c r="P141" s="161"/>
      <c r="Q141" s="161"/>
      <c r="R141" s="161"/>
      <c r="S141" s="77"/>
      <c r="T141" s="161"/>
      <c r="U141" s="160"/>
      <c r="V141" s="161"/>
      <c r="W141" s="85"/>
      <c r="X141" s="86" t="str">
        <f aca="false">IF(ISBLANK($C141),"",IF($E141=Constants!$B$2,TRUE(),IF($E141=Constants!$B$3,FALSE(),TRUE())))</f>
        <v/>
      </c>
      <c r="Y141" s="86" t="str">
        <f aca="false">IF(ISBLANK($C141),"",IF($F141=Constants!$B$2,TRUE(),IF($F141=Constants!$B$3,FALSE(),TRUE())))</f>
        <v/>
      </c>
      <c r="Z141" s="87" t="str">
        <f aca="false">IF(ISBLANK($C141),"",IF(ISNUMBER($G141),IF($G141&gt;=0,$G141,""),""))</f>
        <v/>
      </c>
      <c r="AA141" s="87" t="str">
        <f aca="false">IF(ISBLANK($C141),"",IF(ISNUMBER($H141),IF($H141&gt;=0,$H141,""),""))</f>
        <v/>
      </c>
      <c r="AB141" s="87" t="str">
        <f aca="false">IF(ISBLANK($C141),"",IF(ISNUMBER($I141),IF($I141&gt;=0,$I141,""),""))</f>
        <v/>
      </c>
      <c r="AC141" s="86" t="str">
        <f aca="false">IF(ISBLANK($C141),"",IF($J141=Constants!$B$2,TRUE(),IF($J141=Constants!$B$3,FALSE(),TRUE())))</f>
        <v/>
      </c>
      <c r="AD141" s="86" t="str">
        <f aca="false">IF(ISBLANK($C141),"",IF($K141=Constants!$B$2,TRUE(),IF($K141=Constants!$B$3,FALSE(),TRUE())))</f>
        <v/>
      </c>
      <c r="AE141" s="86" t="str">
        <f aca="false">IF(ISBLANK($C141),"",IF($L141=Constants!$B$2,TRUE(),IF($L141=Constants!$B$3,FALSE(),TRUE())))</f>
        <v/>
      </c>
      <c r="AF141" s="88" t="str">
        <f aca="false">IF(ISBLANK($C141),"",IF(ISNUMBER($M141),IF($M141&gt;=0,$M141,""),""))</f>
        <v/>
      </c>
      <c r="AG141" s="86" t="str">
        <f aca="false">IF(ISBLANK($C141),"",IF(ISBLANK($N141),0,IF(ISNUMBER($N141),IF(AND($N141&gt;=0,$N141&lt;=Constants!$B$17,$N141=INT($N141)),$N141,""),"")))</f>
        <v/>
      </c>
      <c r="AH141" s="87" t="str">
        <f aca="false">IF(ISBLANK($C141),"",IF(ISBLANK($O141),0,IF(ISNUMBER($O141),IF($O141&gt;=0,$O141,""),"")))</f>
        <v/>
      </c>
      <c r="AI141" s="86" t="str">
        <f aca="false">IF(ISBLANK($C141),"",IF($P141=Constants!$B$2,TRUE(),IF($P141=Constants!$B$3,FALSE(),TRUE())))</f>
        <v/>
      </c>
      <c r="AJ141" s="86" t="str">
        <f aca="false">IF(ISBLANK($C141),"",IF($Q141=Constants!$B$2,TRUE(),IF($Q141=Constants!$B$3,FALSE(),TRUE())))</f>
        <v/>
      </c>
      <c r="AK141" s="86" t="str">
        <f aca="false">IF(ISBLANK($C141),"",IF($R141=Constants!$B$2,TRUE(),IF($R141=Constants!$B$3,FALSE(),TRUE())))</f>
        <v/>
      </c>
      <c r="AL141" s="88" t="str">
        <f aca="false">IF(ISBLANK($C141),"",IF(ISNUMBER($S141),IF($S141&gt;=0,$S141,""),""))</f>
        <v/>
      </c>
      <c r="AM141" s="86" t="str">
        <f aca="false">IF(ISBLANK($C141),"",IF(ISBLANK($T141),0,IF(ISNUMBER($T141),IF(AND($T141&gt;=0,$T141&lt;=Constants!$B$17,$T141=INT($T141)),$T141,""),"")))</f>
        <v/>
      </c>
      <c r="AN141" s="87" t="str">
        <f aca="false">IF(ISBLANK($C141),"",IF(ISBLANK($U141),0,IF(ISNUMBER($U141),IF($U141&gt;=0,$U141,""),"")))</f>
        <v/>
      </c>
      <c r="AO141" s="86" t="str">
        <f aca="false">IF(ISBLANK($C141),"",IF($V141=Constants!$B$2,TRUE(),IF($V141=Constants!$B$3,FALSE(),FALSE())))</f>
        <v/>
      </c>
      <c r="AP141" s="86"/>
      <c r="AQ141" s="85" t="str">
        <f aca="false">IF(ISBLANK($C141),"",AND($Y141,OR($AS141,$BC141),OR($Z141="",$AA141="",$AB141="")))</f>
        <v/>
      </c>
      <c r="AR141" s="85" t="str">
        <f aca="false">IF(ISBLANK($C141),"",IF(OR(NOT($Y141),NOT(OR($AS141,$BC141))),"",IF(ISBLANK($D$7),$AR$5,IF($AP$9="",$AR$6,""))))</f>
        <v/>
      </c>
      <c r="AS141" s="85" t="str">
        <f aca="false">IF(ISBLANK($C141),"",COUNTA($J141:$O141)&gt;0)</f>
        <v/>
      </c>
      <c r="AT141" s="85" t="str">
        <f aca="false">IF(ISBLANK($C141),"",AND($AS141,OR(AND($AF141="",OR($AE141,NOT(ISBLANK($M141)))),$AG141="",$AH141="")))</f>
        <v/>
      </c>
      <c r="AU141" s="87" t="str">
        <f aca="false">IF($BL141&lt;&gt;Constants!$B$4,"",IF(NOT($AS141),"",ROUND((Constants!$B$12-$AB141)+(Constants!$B$13-$Z141)+(Constants!$B$14-$AA141),1)))</f>
        <v/>
      </c>
      <c r="AV141" s="90" t="str">
        <f aca="false">IF($BL141&lt;&gt;Constants!$B$4,"",IF(NOT($AS141),"",IF(NOT($AE141),0,Constants!$B$15*(INT(ROUND(MIN($AF141,$AP$9),6))-INT(ROUND(MAX(0,MIN($AF141,2*$AP$9)-$AP$9),6))))))</f>
        <v/>
      </c>
      <c r="AW141" s="90" t="str">
        <f aca="false">IF($BL141&lt;&gt;Constants!$B$4,"",IF(NOT($AS141),"",Constants!$B$16*$AG141))</f>
        <v/>
      </c>
      <c r="AX141" s="90" t="str">
        <f aca="false">IF($BL141&lt;&gt;Constants!$B$4,"",IF(NOT($AS141),"",Constants!$B$18*INT(ROUND($AH141,6))))</f>
        <v/>
      </c>
      <c r="AY141" s="85" t="str">
        <f aca="false">IF($BL141&lt;&gt;Constants!$B$4,"",IF(NOT($AS141),"",IF(NOT($X141),Constants!$B$11,IF(OR(NOT($AC141),NOT($AD141),ROUND($AB141,1)&gt;Constants!$B$12,ROUND($Z141,1)&gt;Constants!$B$13,ROUND($AA141,1)&gt;Constants!$B$14),Constants!$B$10,Constants!$B$9))))</f>
        <v/>
      </c>
      <c r="AZ141" s="91" t="str">
        <f aca="false">IF($BL141&lt;&gt;Constants!$B$4,"",IF(NOT($AS141),"",ROUND($AU141+$AV141+$AW141+$AX141,1)))</f>
        <v/>
      </c>
      <c r="BA141" s="92" t="str">
        <f aca="false">IF($BL141&lt;&gt;Constants!$B$4,"",IF(NOT($AS141),"",IF(ISNUMBER($AF141),$AF141,0)))</f>
        <v/>
      </c>
      <c r="BB141" s="86" t="str">
        <f aca="false">IF($BL141&lt;&gt;Constants!$B$4,"",IF(NOT($BC141),"&lt;-",IF(NOT($AS141),"-&gt;",IF(OR($BI141&lt;$AY141,AND($BI141=$AY141,OR($BJ141&gt;$AZ141,AND($BJ141=$AZ141,OR($BH141&gt;$AX141,AND($BH141=$AX141,OR($BE141&gt;$AU141,AND($BE141=$AU141,OR($BF141&gt;$AV141,AND($BF141=$AV141,$BK141&gt;$BA141)))))))))),"-&gt;","&lt;-"))))</f>
        <v/>
      </c>
      <c r="BC141" s="85" t="str">
        <f aca="false">IF(ISBLANK($C141),"",COUNTA($P141:$U141)&gt;0)</f>
        <v/>
      </c>
      <c r="BD141" s="85" t="str">
        <f aca="false">IF(ISBLANK($C141),"",AND($BC141,OR(AND($AL141="",OR($AK141,NOT(ISBLANK($S141)))),$AM141="",$AN141="")))</f>
        <v/>
      </c>
      <c r="BE141" s="87" t="str">
        <f aca="false">IF($BL141&lt;&gt;Constants!$B$4,"",IF(NOT($BC141),"",ROUND((Constants!$B$12-$AB141)+(Constants!$B$13-$Z141)+(Constants!$B$14-$AA141),1)))</f>
        <v/>
      </c>
      <c r="BF141" s="90" t="str">
        <f aca="false">IF($BL141&lt;&gt;Constants!$B$4,"",IF(NOT($BC141),"",IF(NOT($AK141),0,Constants!$B$15*(INT(ROUND(MIN($AL141,$AP$9),6))-INT(ROUND(MAX(0,MIN($AL141,2*$AP$9)-$AP$9),6))))))</f>
        <v/>
      </c>
      <c r="BG141" s="90" t="str">
        <f aca="false">IF($BL141&lt;&gt;Constants!$B$4,"",IF(NOT($BC141),"",Constants!$B$16*$AM141))</f>
        <v/>
      </c>
      <c r="BH141" s="90" t="str">
        <f aca="false">IF($BL141&lt;&gt;Constants!$B$4,"",IF(NOT($BC141),"",Constants!$B$18*INT(ROUND($AN141,6))))</f>
        <v/>
      </c>
      <c r="BI141" s="85" t="str">
        <f aca="false">IF($BL141&lt;&gt;Constants!$B$4,"",IF(NOT($BC141),"",IF(NOT($X141),Constants!$B$11,IF(OR(NOT($AI141),NOT($AJ141),ROUND($AB141,1)&gt;Constants!$B$12,ROUND($Z141,1)&gt;Constants!$B$13,ROUND($AA141,1)&gt;Constants!$B$14),Constants!$B$10,Constants!$B$9))))</f>
        <v/>
      </c>
      <c r="BJ141" s="91" t="str">
        <f aca="false">IF($BL141&lt;&gt;Constants!$B$4,"",IF(NOT($BC141),"",ROUND($BE141+$BF141+$BG141+$BH141,1)))</f>
        <v/>
      </c>
      <c r="BK141" s="92" t="str">
        <f aca="false">IF($BL141&lt;&gt;Constants!$B$4,"",IF(NOT($BC141),"",IF(ISNUMBER($AL141),$AL141,0)))</f>
        <v/>
      </c>
      <c r="BL141" s="86" t="str">
        <f aca="false">IF(ISBLANK($C141),"",IF($AO141,Constants!$B$7,IF(COUNTA($E141:$V141)=0,Constants!$B$6,IF(NOT($Y141),Constants!$B$5,IF(NOT(OR($AS141,$BC141)),Constants!$B$5,IF(OR($AT141,$BD141,$AQ141,$AR141&lt;&gt;""),Constants!$B$8,Constants!$B$4))))))</f>
        <v/>
      </c>
      <c r="BM141" s="86" t="str">
        <f aca="false">IF(ISBLANK($C141),"",IF($BL141&lt;&gt;Constants!$B$4,$BL141,IF($BB141="-&gt;",$BI141,$AY141)))</f>
        <v/>
      </c>
      <c r="BN141" s="90" t="str">
        <f aca="false">IF($BL141&lt;&gt;Constants!$B$4,"",IF($BB141="-&gt;",$BJ141,$AZ141))</f>
        <v/>
      </c>
      <c r="BO141" s="90" t="str">
        <f aca="false">IF(ISBLANK($C141),"",IF($BL141&lt;&gt;Constants!$B$4,$BL141,$BN141))</f>
        <v/>
      </c>
      <c r="BP141" s="86" t="str">
        <f aca="false">IF(ISBLANK($C141),"",IF($BL141&lt;&gt;Constants!$B$4,$BL141,RANK($BO141,$BO$9:$BO$508,0)))</f>
        <v/>
      </c>
      <c r="BQ141" s="86" t="str">
        <f aca="false">IF(ISBLANK($C141),"",IF($BL141&lt;&gt;Constants!$B$4,$BL141,COUNTIFS($BM$9:$BM$508,"&lt;"&amp;$BM141)+COUNTIFS($BM$9:$BM$508,$BM141,$BP$9:$BP$508,"&lt;"&amp;$BP141)+1))</f>
        <v/>
      </c>
      <c r="BR141" s="90" t="str">
        <f aca="false">IF($BL141&lt;&gt;Constants!$B$4,"",IF($BB141="-&gt;",$BH141,$AX141))</f>
        <v/>
      </c>
      <c r="BS141" s="86" t="str">
        <f aca="false">IF(ISBLANK($C141),"",IF($BL141&lt;&gt;Constants!$B$4,$BL141,IF(ISNUMBER($BR141),RANK($BR141,$BR$9:$BR$508,0),COUNT($BR$9:$BR$508)+1)))</f>
        <v/>
      </c>
      <c r="BT141" s="90" t="str">
        <f aca="false">IF($BL141&lt;&gt;Constants!$B$4,"",IF($BB141="-&gt;",$BE141,$AU141))</f>
        <v/>
      </c>
      <c r="BU141" s="86" t="str">
        <f aca="false">IF(ISBLANK($C141),"",IF($BL141&lt;&gt;Constants!$B$4,$BL141,IF(ISNUMBER($BT141),RANK($BT141,$BT$9:$BT$508,0),COUNT($BT$9:$BT$508)+1)))</f>
        <v/>
      </c>
      <c r="BV141" s="90" t="str">
        <f aca="false">IF($BL141&lt;&gt;Constants!$B$4,"",IF($BB141="-&gt;",$BF141,$AV141))</f>
        <v/>
      </c>
      <c r="BW141" s="86" t="str">
        <f aca="false">IF(ISBLANK($C141),"",IF($BL141&lt;&gt;Constants!$B$4,$BL141,IF(ISNUMBER($BV141),RANK($BV141,$BV$9:$BV$508,0),COUNT($BV$9:$BV$508)+1)))</f>
        <v/>
      </c>
      <c r="BX141" s="90" t="str">
        <f aca="false">IF($BL141&lt;&gt;Constants!$B$4,"",IF($BB141="-&gt;",$BK141,$BA141))</f>
        <v/>
      </c>
      <c r="BY141" s="86" t="str">
        <f aca="false">IF(ISBLANK($C141),"",IF($BL141&lt;&gt;Constants!$B$4,$BL141,IF(ISNUMBER($BX141),RANK($BX141,$BX$9:$BX$508,0),COUNT($BX$9:$BX$508)+1)))</f>
        <v/>
      </c>
      <c r="BZ141" s="86" t="str">
        <f aca="false">IF(ISBLANK($C141),"",IF($BL141&lt;&gt;Constants!$B$4,$BL141,COUNTIFS($BM$9:$BM$508,"&lt;"&amp;$BM141)+COUNTIFS($BM$9:$BM$508,$BM141,$BP$9:$BP$508,"&lt;"&amp;$BP141)+COUNTIFS($BM$9:$BM$508,$BM141,$BP$9:$BP$508,$BP141,$BS$9:$BS$508,"&lt;"&amp;$BS141)+COUNTIFS($BM$9:$BM$508,$BM141,$BP$9:$BP$508,$BP141,$BS$9:$BS$508,$BS141,$BU$9:$BU$508,"&lt;"&amp;$BU141)+COUNTIFS($BM$9:$BM$508,$BM141,$BP$9:$BP$508,$BP141,$BS$9:$BS$508,$BS141,$BU$9:$BU$508,$BU141,$BW$9:$BW$508,"&lt;"&amp;$BW141)+COUNTIFS($BM$9:$BM$508,$BM141,$BP$9:$BP$508,$BP141,$BS$9:$BS$508,$BS141,$BU$9:$BU$508,$BU141,$BW$9:$BW$508,$BW141,$BY$9:$BY$508,"&lt;"&amp;$BY141)+1))</f>
        <v/>
      </c>
      <c r="CA141" s="86" t="str">
        <f aca="false">IF(ISBLANK($C141),"",IF($BL141&lt;&gt;Constants!$B$4,$BL141,$BQ141-$BZ141))</f>
        <v/>
      </c>
      <c r="CB141" s="93"/>
      <c r="CC141" s="94" t="str">
        <f aca="false">IF(ISBLANK($C141),"",IF($BL141=Constants!$B$8,$AR141,""))</f>
        <v/>
      </c>
      <c r="CD141" s="94" t="str">
        <f aca="false">IF(ISBLANK($C141),"",IF($BL141&lt;&gt;Constants!$B$4,"",IF($BB141="-&gt;",2,1)))</f>
        <v/>
      </c>
      <c r="CE141" s="95" t="str">
        <f aca="false">IF(ISBLANK($C141),"",IF($BL141&lt;&gt;Constants!$B$4,"",IF($BB141="-&gt;",$BE141,$AU141)))</f>
        <v/>
      </c>
      <c r="CF141" s="95" t="str">
        <f aca="false">IF(ISBLANK($C141),"",IF($BL141&lt;&gt;Constants!$B$4,"",IF($BB141="-&gt;",$BF141,$AV141)))</f>
        <v/>
      </c>
      <c r="CG141" s="95" t="str">
        <f aca="false">IF(ISBLANK($C141),"",IF($BL141&lt;&gt;Constants!$B$4,"",IF($BB141="-&gt;",$BG141,$AW141)))</f>
        <v/>
      </c>
      <c r="CH141" s="95" t="str">
        <f aca="false">IF(ISBLANK($C141),"",IF($BL141&lt;&gt;Constants!$B$4,"",IF($BB141="-&gt;",$BH141,$AX141)))</f>
        <v/>
      </c>
      <c r="CI141" s="96" t="str">
        <f aca="false">IF(ISBLANK($C141),"",$BO141)</f>
        <v/>
      </c>
      <c r="CJ141" s="97" t="str">
        <f aca="false">IF(ISBLANK($C141),"",$BM141)</f>
        <v/>
      </c>
      <c r="CK141" s="98" t="str">
        <f aca="false">IF(ISBLANK($C141),"",$CA141)</f>
        <v/>
      </c>
      <c r="CL141" s="98" t="str">
        <f aca="false">IF(ISBLANK($C141),"",$BZ141)</f>
        <v/>
      </c>
      <c r="CM141" s="99" t="str">
        <f aca="false">IF(ISBLANK($C141),"",IF($CL141=Constants!$B$7,COUNTA($C$9:$C$508)+2,IF($CL141=Constants!$B$6,COUNTA($C$9:$C$508)+1,IF($CL141=Constants!$B$5,COUNTA($C$9:$C$508),$CL141))))</f>
        <v/>
      </c>
      <c r="CN141" s="8"/>
      <c r="CO141" s="100" t="n">
        <f aca="false">IF(OR(ISNUMBER($CL141),$CL141=Constants!$B$7,$CL141=Constants!$B$5,$CL141=Constants!$B$6),1,0)</f>
        <v>0</v>
      </c>
      <c r="CP141" s="100" t="n">
        <v>133</v>
      </c>
      <c r="CQ141" s="100" t="str">
        <f aca="false">IF(ISBLANK($C141),"",IF(ISNUMBER($CM141),$CM141+ROW($B141)/1000,""))</f>
        <v/>
      </c>
      <c r="CR141" s="100" t="str">
        <f aca="false">IF(ISNUMBER($CQ141),RANK($CQ141,$CQ$9:$CQ$508,1),"")</f>
        <v/>
      </c>
      <c r="CS141" s="100" t="str">
        <f aca="false">IF(ISBLANK($C141),"",$B141)</f>
        <v/>
      </c>
      <c r="CT141" s="100" t="str">
        <f aca="false">IF(ISBLANK($C141),"",$C141)</f>
        <v/>
      </c>
      <c r="CU141" s="100" t="str">
        <f aca="false">IF(ISBLANK($C141),"",$D141)</f>
        <v/>
      </c>
      <c r="CV141" s="101" t="str">
        <f aca="false">$CJ141</f>
        <v/>
      </c>
      <c r="CW141" s="102" t="str">
        <f aca="false">$CI141</f>
        <v/>
      </c>
      <c r="CX141" s="100" t="str">
        <f aca="false">IF(ISBLANK($C141),"",$CL141)</f>
        <v/>
      </c>
      <c r="CY141" s="103" t="str">
        <f aca="false">IF($CP141&gt;$CO$8,"",VLOOKUP($CP141,$CR$9:$CX$508,7,FALSE()))</f>
        <v/>
      </c>
      <c r="CZ141" s="104" t="str">
        <f aca="false">IF($CP141&gt;$CO$8,"",VLOOKUP($CP141,$CR$9:$CX$508,2,FALSE()))</f>
        <v/>
      </c>
      <c r="DA141" s="104" t="str">
        <f aca="false">IF($CP141&gt;$CO$8,"",VLOOKUP($CP141,$CR$9:$CX$508,3,FALSE()))</f>
        <v/>
      </c>
      <c r="DB141" s="104" t="str">
        <f aca="false">IF($CP141&gt;$CO$8,"",VLOOKUP($CP141,$CR$9:$CX$508,4,FALSE()))</f>
        <v/>
      </c>
      <c r="DC141" s="104" t="str">
        <f aca="false">IF($CP141&gt;$CO$8,"",VLOOKUP($CP141,$CR$9:$CX$508,5,FALSE()))</f>
        <v/>
      </c>
      <c r="DD141" s="105" t="str">
        <f aca="false">IF($CP141&gt;$CO$8,"",VLOOKUP($CP141,$CR$9:$CX$508,6,FALSE()))</f>
        <v/>
      </c>
      <c r="DE141" s="70"/>
    </row>
    <row r="142" customFormat="false" ht="15.75" hidden="false" customHeight="false" outlineLevel="0" collapsed="false">
      <c r="A142" s="8"/>
      <c r="B142" s="72"/>
      <c r="C142" s="73"/>
      <c r="D142" s="155"/>
      <c r="E142" s="162"/>
      <c r="F142" s="157"/>
      <c r="G142" s="77"/>
      <c r="H142" s="77"/>
      <c r="I142" s="77"/>
      <c r="J142" s="163"/>
      <c r="K142" s="161"/>
      <c r="L142" s="161"/>
      <c r="M142" s="80"/>
      <c r="N142" s="161"/>
      <c r="O142" s="160"/>
      <c r="P142" s="161"/>
      <c r="Q142" s="161"/>
      <c r="R142" s="161"/>
      <c r="S142" s="77"/>
      <c r="T142" s="161"/>
      <c r="U142" s="160"/>
      <c r="V142" s="161"/>
      <c r="W142" s="85"/>
      <c r="X142" s="86" t="str">
        <f aca="false">IF(ISBLANK($C142),"",IF($E142=Constants!$B$2,TRUE(),IF($E142=Constants!$B$3,FALSE(),TRUE())))</f>
        <v/>
      </c>
      <c r="Y142" s="86" t="str">
        <f aca="false">IF(ISBLANK($C142),"",IF($F142=Constants!$B$2,TRUE(),IF($F142=Constants!$B$3,FALSE(),TRUE())))</f>
        <v/>
      </c>
      <c r="Z142" s="87" t="str">
        <f aca="false">IF(ISBLANK($C142),"",IF(ISNUMBER($G142),IF($G142&gt;=0,$G142,""),""))</f>
        <v/>
      </c>
      <c r="AA142" s="87" t="str">
        <f aca="false">IF(ISBLANK($C142),"",IF(ISNUMBER($H142),IF($H142&gt;=0,$H142,""),""))</f>
        <v/>
      </c>
      <c r="AB142" s="87" t="str">
        <f aca="false">IF(ISBLANK($C142),"",IF(ISNUMBER($I142),IF($I142&gt;=0,$I142,""),""))</f>
        <v/>
      </c>
      <c r="AC142" s="86" t="str">
        <f aca="false">IF(ISBLANK($C142),"",IF($J142=Constants!$B$2,TRUE(),IF($J142=Constants!$B$3,FALSE(),TRUE())))</f>
        <v/>
      </c>
      <c r="AD142" s="86" t="str">
        <f aca="false">IF(ISBLANK($C142),"",IF($K142=Constants!$B$2,TRUE(),IF($K142=Constants!$B$3,FALSE(),TRUE())))</f>
        <v/>
      </c>
      <c r="AE142" s="86" t="str">
        <f aca="false">IF(ISBLANK($C142),"",IF($L142=Constants!$B$2,TRUE(),IF($L142=Constants!$B$3,FALSE(),TRUE())))</f>
        <v/>
      </c>
      <c r="AF142" s="88" t="str">
        <f aca="false">IF(ISBLANK($C142),"",IF(ISNUMBER($M142),IF($M142&gt;=0,$M142,""),""))</f>
        <v/>
      </c>
      <c r="AG142" s="86" t="str">
        <f aca="false">IF(ISBLANK($C142),"",IF(ISBLANK($N142),0,IF(ISNUMBER($N142),IF(AND($N142&gt;=0,$N142&lt;=Constants!$B$17,$N142=INT($N142)),$N142,""),"")))</f>
        <v/>
      </c>
      <c r="AH142" s="87" t="str">
        <f aca="false">IF(ISBLANK($C142),"",IF(ISBLANK($O142),0,IF(ISNUMBER($O142),IF($O142&gt;=0,$O142,""),"")))</f>
        <v/>
      </c>
      <c r="AI142" s="86" t="str">
        <f aca="false">IF(ISBLANK($C142),"",IF($P142=Constants!$B$2,TRUE(),IF($P142=Constants!$B$3,FALSE(),TRUE())))</f>
        <v/>
      </c>
      <c r="AJ142" s="86" t="str">
        <f aca="false">IF(ISBLANK($C142),"",IF($Q142=Constants!$B$2,TRUE(),IF($Q142=Constants!$B$3,FALSE(),TRUE())))</f>
        <v/>
      </c>
      <c r="AK142" s="86" t="str">
        <f aca="false">IF(ISBLANK($C142),"",IF($R142=Constants!$B$2,TRUE(),IF($R142=Constants!$B$3,FALSE(),TRUE())))</f>
        <v/>
      </c>
      <c r="AL142" s="88" t="str">
        <f aca="false">IF(ISBLANK($C142),"",IF(ISNUMBER($S142),IF($S142&gt;=0,$S142,""),""))</f>
        <v/>
      </c>
      <c r="AM142" s="86" t="str">
        <f aca="false">IF(ISBLANK($C142),"",IF(ISBLANK($T142),0,IF(ISNUMBER($T142),IF(AND($T142&gt;=0,$T142&lt;=Constants!$B$17,$T142=INT($T142)),$T142,""),"")))</f>
        <v/>
      </c>
      <c r="AN142" s="87" t="str">
        <f aca="false">IF(ISBLANK($C142),"",IF(ISBLANK($U142),0,IF(ISNUMBER($U142),IF($U142&gt;=0,$U142,""),"")))</f>
        <v/>
      </c>
      <c r="AO142" s="86" t="str">
        <f aca="false">IF(ISBLANK($C142),"",IF($V142=Constants!$B$2,TRUE(),IF($V142=Constants!$B$3,FALSE(),FALSE())))</f>
        <v/>
      </c>
      <c r="AP142" s="86"/>
      <c r="AQ142" s="85" t="str">
        <f aca="false">IF(ISBLANK($C142),"",AND($Y142,OR($AS142,$BC142),OR($Z142="",$AA142="",$AB142="")))</f>
        <v/>
      </c>
      <c r="AR142" s="85" t="str">
        <f aca="false">IF(ISBLANK($C142),"",IF(OR(NOT($Y142),NOT(OR($AS142,$BC142))),"",IF(ISBLANK($D$7),$AR$5,IF($AP$9="",$AR$6,""))))</f>
        <v/>
      </c>
      <c r="AS142" s="85" t="str">
        <f aca="false">IF(ISBLANK($C142),"",COUNTA($J142:$O142)&gt;0)</f>
        <v/>
      </c>
      <c r="AT142" s="85" t="str">
        <f aca="false">IF(ISBLANK($C142),"",AND($AS142,OR(AND($AF142="",OR($AE142,NOT(ISBLANK($M142)))),$AG142="",$AH142="")))</f>
        <v/>
      </c>
      <c r="AU142" s="87" t="str">
        <f aca="false">IF($BL142&lt;&gt;Constants!$B$4,"",IF(NOT($AS142),"",ROUND((Constants!$B$12-$AB142)+(Constants!$B$13-$Z142)+(Constants!$B$14-$AA142),1)))</f>
        <v/>
      </c>
      <c r="AV142" s="90" t="str">
        <f aca="false">IF($BL142&lt;&gt;Constants!$B$4,"",IF(NOT($AS142),"",IF(NOT($AE142),0,Constants!$B$15*(INT(ROUND(MIN($AF142,$AP$9),6))-INT(ROUND(MAX(0,MIN($AF142,2*$AP$9)-$AP$9),6))))))</f>
        <v/>
      </c>
      <c r="AW142" s="90" t="str">
        <f aca="false">IF($BL142&lt;&gt;Constants!$B$4,"",IF(NOT($AS142),"",Constants!$B$16*$AG142))</f>
        <v/>
      </c>
      <c r="AX142" s="90" t="str">
        <f aca="false">IF($BL142&lt;&gt;Constants!$B$4,"",IF(NOT($AS142),"",Constants!$B$18*INT(ROUND($AH142,6))))</f>
        <v/>
      </c>
      <c r="AY142" s="85" t="str">
        <f aca="false">IF($BL142&lt;&gt;Constants!$B$4,"",IF(NOT($AS142),"",IF(NOT($X142),Constants!$B$11,IF(OR(NOT($AC142),NOT($AD142),ROUND($AB142,1)&gt;Constants!$B$12,ROUND($Z142,1)&gt;Constants!$B$13,ROUND($AA142,1)&gt;Constants!$B$14),Constants!$B$10,Constants!$B$9))))</f>
        <v/>
      </c>
      <c r="AZ142" s="91" t="str">
        <f aca="false">IF($BL142&lt;&gt;Constants!$B$4,"",IF(NOT($AS142),"",ROUND($AU142+$AV142+$AW142+$AX142,1)))</f>
        <v/>
      </c>
      <c r="BA142" s="92" t="str">
        <f aca="false">IF($BL142&lt;&gt;Constants!$B$4,"",IF(NOT($AS142),"",IF(ISNUMBER($AF142),$AF142,0)))</f>
        <v/>
      </c>
      <c r="BB142" s="86" t="str">
        <f aca="false">IF($BL142&lt;&gt;Constants!$B$4,"",IF(NOT($BC142),"&lt;-",IF(NOT($AS142),"-&gt;",IF(OR($BI142&lt;$AY142,AND($BI142=$AY142,OR($BJ142&gt;$AZ142,AND($BJ142=$AZ142,OR($BH142&gt;$AX142,AND($BH142=$AX142,OR($BE142&gt;$AU142,AND($BE142=$AU142,OR($BF142&gt;$AV142,AND($BF142=$AV142,$BK142&gt;$BA142)))))))))),"-&gt;","&lt;-"))))</f>
        <v/>
      </c>
      <c r="BC142" s="85" t="str">
        <f aca="false">IF(ISBLANK($C142),"",COUNTA($P142:$U142)&gt;0)</f>
        <v/>
      </c>
      <c r="BD142" s="85" t="str">
        <f aca="false">IF(ISBLANK($C142),"",AND($BC142,OR(AND($AL142="",OR($AK142,NOT(ISBLANK($S142)))),$AM142="",$AN142="")))</f>
        <v/>
      </c>
      <c r="BE142" s="87" t="str">
        <f aca="false">IF($BL142&lt;&gt;Constants!$B$4,"",IF(NOT($BC142),"",ROUND((Constants!$B$12-$AB142)+(Constants!$B$13-$Z142)+(Constants!$B$14-$AA142),1)))</f>
        <v/>
      </c>
      <c r="BF142" s="90" t="str">
        <f aca="false">IF($BL142&lt;&gt;Constants!$B$4,"",IF(NOT($BC142),"",IF(NOT($AK142),0,Constants!$B$15*(INT(ROUND(MIN($AL142,$AP$9),6))-INT(ROUND(MAX(0,MIN($AL142,2*$AP$9)-$AP$9),6))))))</f>
        <v/>
      </c>
      <c r="BG142" s="90" t="str">
        <f aca="false">IF($BL142&lt;&gt;Constants!$B$4,"",IF(NOT($BC142),"",Constants!$B$16*$AM142))</f>
        <v/>
      </c>
      <c r="BH142" s="90" t="str">
        <f aca="false">IF($BL142&lt;&gt;Constants!$B$4,"",IF(NOT($BC142),"",Constants!$B$18*INT(ROUND($AN142,6))))</f>
        <v/>
      </c>
      <c r="BI142" s="85" t="str">
        <f aca="false">IF($BL142&lt;&gt;Constants!$B$4,"",IF(NOT($BC142),"",IF(NOT($X142),Constants!$B$11,IF(OR(NOT($AI142),NOT($AJ142),ROUND($AB142,1)&gt;Constants!$B$12,ROUND($Z142,1)&gt;Constants!$B$13,ROUND($AA142,1)&gt;Constants!$B$14),Constants!$B$10,Constants!$B$9))))</f>
        <v/>
      </c>
      <c r="BJ142" s="91" t="str">
        <f aca="false">IF($BL142&lt;&gt;Constants!$B$4,"",IF(NOT($BC142),"",ROUND($BE142+$BF142+$BG142+$BH142,1)))</f>
        <v/>
      </c>
      <c r="BK142" s="92" t="str">
        <f aca="false">IF($BL142&lt;&gt;Constants!$B$4,"",IF(NOT($BC142),"",IF(ISNUMBER($AL142),$AL142,0)))</f>
        <v/>
      </c>
      <c r="BL142" s="86" t="str">
        <f aca="false">IF(ISBLANK($C142),"",IF($AO142,Constants!$B$7,IF(COUNTA($E142:$V142)=0,Constants!$B$6,IF(NOT($Y142),Constants!$B$5,IF(NOT(OR($AS142,$BC142)),Constants!$B$5,IF(OR($AT142,$BD142,$AQ142,$AR142&lt;&gt;""),Constants!$B$8,Constants!$B$4))))))</f>
        <v/>
      </c>
      <c r="BM142" s="86" t="str">
        <f aca="false">IF(ISBLANK($C142),"",IF($BL142&lt;&gt;Constants!$B$4,$BL142,IF($BB142="-&gt;",$BI142,$AY142)))</f>
        <v/>
      </c>
      <c r="BN142" s="90" t="str">
        <f aca="false">IF($BL142&lt;&gt;Constants!$B$4,"",IF($BB142="-&gt;",$BJ142,$AZ142))</f>
        <v/>
      </c>
      <c r="BO142" s="90" t="str">
        <f aca="false">IF(ISBLANK($C142),"",IF($BL142&lt;&gt;Constants!$B$4,$BL142,$BN142))</f>
        <v/>
      </c>
      <c r="BP142" s="86" t="str">
        <f aca="false">IF(ISBLANK($C142),"",IF($BL142&lt;&gt;Constants!$B$4,$BL142,RANK($BO142,$BO$9:$BO$508,0)))</f>
        <v/>
      </c>
      <c r="BQ142" s="86" t="str">
        <f aca="false">IF(ISBLANK($C142),"",IF($BL142&lt;&gt;Constants!$B$4,$BL142,COUNTIFS($BM$9:$BM$508,"&lt;"&amp;$BM142)+COUNTIFS($BM$9:$BM$508,$BM142,$BP$9:$BP$508,"&lt;"&amp;$BP142)+1))</f>
        <v/>
      </c>
      <c r="BR142" s="90" t="str">
        <f aca="false">IF($BL142&lt;&gt;Constants!$B$4,"",IF($BB142="-&gt;",$BH142,$AX142))</f>
        <v/>
      </c>
      <c r="BS142" s="86" t="str">
        <f aca="false">IF(ISBLANK($C142),"",IF($BL142&lt;&gt;Constants!$B$4,$BL142,IF(ISNUMBER($BR142),RANK($BR142,$BR$9:$BR$508,0),COUNT($BR$9:$BR$508)+1)))</f>
        <v/>
      </c>
      <c r="BT142" s="90" t="str">
        <f aca="false">IF($BL142&lt;&gt;Constants!$B$4,"",IF($BB142="-&gt;",$BE142,$AU142))</f>
        <v/>
      </c>
      <c r="BU142" s="86" t="str">
        <f aca="false">IF(ISBLANK($C142),"",IF($BL142&lt;&gt;Constants!$B$4,$BL142,IF(ISNUMBER($BT142),RANK($BT142,$BT$9:$BT$508,0),COUNT($BT$9:$BT$508)+1)))</f>
        <v/>
      </c>
      <c r="BV142" s="90" t="str">
        <f aca="false">IF($BL142&lt;&gt;Constants!$B$4,"",IF($BB142="-&gt;",$BF142,$AV142))</f>
        <v/>
      </c>
      <c r="BW142" s="86" t="str">
        <f aca="false">IF(ISBLANK($C142),"",IF($BL142&lt;&gt;Constants!$B$4,$BL142,IF(ISNUMBER($BV142),RANK($BV142,$BV$9:$BV$508,0),COUNT($BV$9:$BV$508)+1)))</f>
        <v/>
      </c>
      <c r="BX142" s="90" t="str">
        <f aca="false">IF($BL142&lt;&gt;Constants!$B$4,"",IF($BB142="-&gt;",$BK142,$BA142))</f>
        <v/>
      </c>
      <c r="BY142" s="86" t="str">
        <f aca="false">IF(ISBLANK($C142),"",IF($BL142&lt;&gt;Constants!$B$4,$BL142,IF(ISNUMBER($BX142),RANK($BX142,$BX$9:$BX$508,0),COUNT($BX$9:$BX$508)+1)))</f>
        <v/>
      </c>
      <c r="BZ142" s="86" t="str">
        <f aca="false">IF(ISBLANK($C142),"",IF($BL142&lt;&gt;Constants!$B$4,$BL142,COUNTIFS($BM$9:$BM$508,"&lt;"&amp;$BM142)+COUNTIFS($BM$9:$BM$508,$BM142,$BP$9:$BP$508,"&lt;"&amp;$BP142)+COUNTIFS($BM$9:$BM$508,$BM142,$BP$9:$BP$508,$BP142,$BS$9:$BS$508,"&lt;"&amp;$BS142)+COUNTIFS($BM$9:$BM$508,$BM142,$BP$9:$BP$508,$BP142,$BS$9:$BS$508,$BS142,$BU$9:$BU$508,"&lt;"&amp;$BU142)+COUNTIFS($BM$9:$BM$508,$BM142,$BP$9:$BP$508,$BP142,$BS$9:$BS$508,$BS142,$BU$9:$BU$508,$BU142,$BW$9:$BW$508,"&lt;"&amp;$BW142)+COUNTIFS($BM$9:$BM$508,$BM142,$BP$9:$BP$508,$BP142,$BS$9:$BS$508,$BS142,$BU$9:$BU$508,$BU142,$BW$9:$BW$508,$BW142,$BY$9:$BY$508,"&lt;"&amp;$BY142)+1))</f>
        <v/>
      </c>
      <c r="CA142" s="86" t="str">
        <f aca="false">IF(ISBLANK($C142),"",IF($BL142&lt;&gt;Constants!$B$4,$BL142,$BQ142-$BZ142))</f>
        <v/>
      </c>
      <c r="CB142" s="93"/>
      <c r="CC142" s="94" t="str">
        <f aca="false">IF(ISBLANK($C142),"",IF($BL142=Constants!$B$8,$AR142,""))</f>
        <v/>
      </c>
      <c r="CD142" s="94" t="str">
        <f aca="false">IF(ISBLANK($C142),"",IF($BL142&lt;&gt;Constants!$B$4,"",IF($BB142="-&gt;",2,1)))</f>
        <v/>
      </c>
      <c r="CE142" s="95" t="str">
        <f aca="false">IF(ISBLANK($C142),"",IF($BL142&lt;&gt;Constants!$B$4,"",IF($BB142="-&gt;",$BE142,$AU142)))</f>
        <v/>
      </c>
      <c r="CF142" s="95" t="str">
        <f aca="false">IF(ISBLANK($C142),"",IF($BL142&lt;&gt;Constants!$B$4,"",IF($BB142="-&gt;",$BF142,$AV142)))</f>
        <v/>
      </c>
      <c r="CG142" s="95" t="str">
        <f aca="false">IF(ISBLANK($C142),"",IF($BL142&lt;&gt;Constants!$B$4,"",IF($BB142="-&gt;",$BG142,$AW142)))</f>
        <v/>
      </c>
      <c r="CH142" s="95" t="str">
        <f aca="false">IF(ISBLANK($C142),"",IF($BL142&lt;&gt;Constants!$B$4,"",IF($BB142="-&gt;",$BH142,$AX142)))</f>
        <v/>
      </c>
      <c r="CI142" s="96" t="str">
        <f aca="false">IF(ISBLANK($C142),"",$BO142)</f>
        <v/>
      </c>
      <c r="CJ142" s="97" t="str">
        <f aca="false">IF(ISBLANK($C142),"",$BM142)</f>
        <v/>
      </c>
      <c r="CK142" s="98" t="str">
        <f aca="false">IF(ISBLANK($C142),"",$CA142)</f>
        <v/>
      </c>
      <c r="CL142" s="98" t="str">
        <f aca="false">IF(ISBLANK($C142),"",$BZ142)</f>
        <v/>
      </c>
      <c r="CM142" s="99" t="str">
        <f aca="false">IF(ISBLANK($C142),"",IF($CL142=Constants!$B$7,COUNTA($C$9:$C$508)+2,IF($CL142=Constants!$B$6,COUNTA($C$9:$C$508)+1,IF($CL142=Constants!$B$5,COUNTA($C$9:$C$508),$CL142))))</f>
        <v/>
      </c>
      <c r="CN142" s="8"/>
      <c r="CO142" s="100" t="n">
        <f aca="false">IF(OR(ISNUMBER($CL142),$CL142=Constants!$B$7,$CL142=Constants!$B$5,$CL142=Constants!$B$6),1,0)</f>
        <v>0</v>
      </c>
      <c r="CP142" s="100" t="n">
        <v>134</v>
      </c>
      <c r="CQ142" s="100" t="str">
        <f aca="false">IF(ISBLANK($C142),"",IF(ISNUMBER($CM142),$CM142+ROW($B142)/1000,""))</f>
        <v/>
      </c>
      <c r="CR142" s="100" t="str">
        <f aca="false">IF(ISNUMBER($CQ142),RANK($CQ142,$CQ$9:$CQ$508,1),"")</f>
        <v/>
      </c>
      <c r="CS142" s="100" t="str">
        <f aca="false">IF(ISBLANK($C142),"",$B142)</f>
        <v/>
      </c>
      <c r="CT142" s="100" t="str">
        <f aca="false">IF(ISBLANK($C142),"",$C142)</f>
        <v/>
      </c>
      <c r="CU142" s="100" t="str">
        <f aca="false">IF(ISBLANK($C142),"",$D142)</f>
        <v/>
      </c>
      <c r="CV142" s="101" t="str">
        <f aca="false">$CJ142</f>
        <v/>
      </c>
      <c r="CW142" s="102" t="str">
        <f aca="false">$CI142</f>
        <v/>
      </c>
      <c r="CX142" s="100" t="str">
        <f aca="false">IF(ISBLANK($C142),"",$CL142)</f>
        <v/>
      </c>
      <c r="CY142" s="103" t="str">
        <f aca="false">IF($CP142&gt;$CO$8,"",VLOOKUP($CP142,$CR$9:$CX$508,7,FALSE()))</f>
        <v/>
      </c>
      <c r="CZ142" s="104" t="str">
        <f aca="false">IF($CP142&gt;$CO$8,"",VLOOKUP($CP142,$CR$9:$CX$508,2,FALSE()))</f>
        <v/>
      </c>
      <c r="DA142" s="104" t="str">
        <f aca="false">IF($CP142&gt;$CO$8,"",VLOOKUP($CP142,$CR$9:$CX$508,3,FALSE()))</f>
        <v/>
      </c>
      <c r="DB142" s="104" t="str">
        <f aca="false">IF($CP142&gt;$CO$8,"",VLOOKUP($CP142,$CR$9:$CX$508,4,FALSE()))</f>
        <v/>
      </c>
      <c r="DC142" s="104" t="str">
        <f aca="false">IF($CP142&gt;$CO$8,"",VLOOKUP($CP142,$CR$9:$CX$508,5,FALSE()))</f>
        <v/>
      </c>
      <c r="DD142" s="105" t="str">
        <f aca="false">IF($CP142&gt;$CO$8,"",VLOOKUP($CP142,$CR$9:$CX$508,6,FALSE()))</f>
        <v/>
      </c>
      <c r="DE142" s="70"/>
    </row>
    <row r="143" customFormat="false" ht="15.75" hidden="false" customHeight="false" outlineLevel="0" collapsed="false">
      <c r="A143" s="8"/>
      <c r="B143" s="72"/>
      <c r="C143" s="73"/>
      <c r="D143" s="155"/>
      <c r="E143" s="162"/>
      <c r="F143" s="157"/>
      <c r="G143" s="77"/>
      <c r="H143" s="77"/>
      <c r="I143" s="77"/>
      <c r="J143" s="163"/>
      <c r="K143" s="161"/>
      <c r="L143" s="161"/>
      <c r="M143" s="80"/>
      <c r="N143" s="161"/>
      <c r="O143" s="160"/>
      <c r="P143" s="161"/>
      <c r="Q143" s="161"/>
      <c r="R143" s="161"/>
      <c r="S143" s="77"/>
      <c r="T143" s="161"/>
      <c r="U143" s="160"/>
      <c r="V143" s="161"/>
      <c r="W143" s="85"/>
      <c r="X143" s="86" t="str">
        <f aca="false">IF(ISBLANK($C143),"",IF($E143=Constants!$B$2,TRUE(),IF($E143=Constants!$B$3,FALSE(),TRUE())))</f>
        <v/>
      </c>
      <c r="Y143" s="86" t="str">
        <f aca="false">IF(ISBLANK($C143),"",IF($F143=Constants!$B$2,TRUE(),IF($F143=Constants!$B$3,FALSE(),TRUE())))</f>
        <v/>
      </c>
      <c r="Z143" s="87" t="str">
        <f aca="false">IF(ISBLANK($C143),"",IF(ISNUMBER($G143),IF($G143&gt;=0,$G143,""),""))</f>
        <v/>
      </c>
      <c r="AA143" s="87" t="str">
        <f aca="false">IF(ISBLANK($C143),"",IF(ISNUMBER($H143),IF($H143&gt;=0,$H143,""),""))</f>
        <v/>
      </c>
      <c r="AB143" s="87" t="str">
        <f aca="false">IF(ISBLANK($C143),"",IF(ISNUMBER($I143),IF($I143&gt;=0,$I143,""),""))</f>
        <v/>
      </c>
      <c r="AC143" s="86" t="str">
        <f aca="false">IF(ISBLANK($C143),"",IF($J143=Constants!$B$2,TRUE(),IF($J143=Constants!$B$3,FALSE(),TRUE())))</f>
        <v/>
      </c>
      <c r="AD143" s="86" t="str">
        <f aca="false">IF(ISBLANK($C143),"",IF($K143=Constants!$B$2,TRUE(),IF($K143=Constants!$B$3,FALSE(),TRUE())))</f>
        <v/>
      </c>
      <c r="AE143" s="86" t="str">
        <f aca="false">IF(ISBLANK($C143),"",IF($L143=Constants!$B$2,TRUE(),IF($L143=Constants!$B$3,FALSE(),TRUE())))</f>
        <v/>
      </c>
      <c r="AF143" s="88" t="str">
        <f aca="false">IF(ISBLANK($C143),"",IF(ISNUMBER($M143),IF($M143&gt;=0,$M143,""),""))</f>
        <v/>
      </c>
      <c r="AG143" s="86" t="str">
        <f aca="false">IF(ISBLANK($C143),"",IF(ISBLANK($N143),0,IF(ISNUMBER($N143),IF(AND($N143&gt;=0,$N143&lt;=Constants!$B$17,$N143=INT($N143)),$N143,""),"")))</f>
        <v/>
      </c>
      <c r="AH143" s="87" t="str">
        <f aca="false">IF(ISBLANK($C143),"",IF(ISBLANK($O143),0,IF(ISNUMBER($O143),IF($O143&gt;=0,$O143,""),"")))</f>
        <v/>
      </c>
      <c r="AI143" s="86" t="str">
        <f aca="false">IF(ISBLANK($C143),"",IF($P143=Constants!$B$2,TRUE(),IF($P143=Constants!$B$3,FALSE(),TRUE())))</f>
        <v/>
      </c>
      <c r="AJ143" s="86" t="str">
        <f aca="false">IF(ISBLANK($C143),"",IF($Q143=Constants!$B$2,TRUE(),IF($Q143=Constants!$B$3,FALSE(),TRUE())))</f>
        <v/>
      </c>
      <c r="AK143" s="86" t="str">
        <f aca="false">IF(ISBLANK($C143),"",IF($R143=Constants!$B$2,TRUE(),IF($R143=Constants!$B$3,FALSE(),TRUE())))</f>
        <v/>
      </c>
      <c r="AL143" s="88" t="str">
        <f aca="false">IF(ISBLANK($C143),"",IF(ISNUMBER($S143),IF($S143&gt;=0,$S143,""),""))</f>
        <v/>
      </c>
      <c r="AM143" s="86" t="str">
        <f aca="false">IF(ISBLANK($C143),"",IF(ISBLANK($T143),0,IF(ISNUMBER($T143),IF(AND($T143&gt;=0,$T143&lt;=Constants!$B$17,$T143=INT($T143)),$T143,""),"")))</f>
        <v/>
      </c>
      <c r="AN143" s="87" t="str">
        <f aca="false">IF(ISBLANK($C143),"",IF(ISBLANK($U143),0,IF(ISNUMBER($U143),IF($U143&gt;=0,$U143,""),"")))</f>
        <v/>
      </c>
      <c r="AO143" s="86" t="str">
        <f aca="false">IF(ISBLANK($C143),"",IF($V143=Constants!$B$2,TRUE(),IF($V143=Constants!$B$3,FALSE(),FALSE())))</f>
        <v/>
      </c>
      <c r="AP143" s="86"/>
      <c r="AQ143" s="85" t="str">
        <f aca="false">IF(ISBLANK($C143),"",AND($Y143,OR($AS143,$BC143),OR($Z143="",$AA143="",$AB143="")))</f>
        <v/>
      </c>
      <c r="AR143" s="85" t="str">
        <f aca="false">IF(ISBLANK($C143),"",IF(OR(NOT($Y143),NOT(OR($AS143,$BC143))),"",IF(ISBLANK($D$7),$AR$5,IF($AP$9="",$AR$6,""))))</f>
        <v/>
      </c>
      <c r="AS143" s="85" t="str">
        <f aca="false">IF(ISBLANK($C143),"",COUNTA($J143:$O143)&gt;0)</f>
        <v/>
      </c>
      <c r="AT143" s="85" t="str">
        <f aca="false">IF(ISBLANK($C143),"",AND($AS143,OR(AND($AF143="",OR($AE143,NOT(ISBLANK($M143)))),$AG143="",$AH143="")))</f>
        <v/>
      </c>
      <c r="AU143" s="87" t="str">
        <f aca="false">IF($BL143&lt;&gt;Constants!$B$4,"",IF(NOT($AS143),"",ROUND((Constants!$B$12-$AB143)+(Constants!$B$13-$Z143)+(Constants!$B$14-$AA143),1)))</f>
        <v/>
      </c>
      <c r="AV143" s="90" t="str">
        <f aca="false">IF($BL143&lt;&gt;Constants!$B$4,"",IF(NOT($AS143),"",IF(NOT($AE143),0,Constants!$B$15*(INT(ROUND(MIN($AF143,$AP$9),6))-INT(ROUND(MAX(0,MIN($AF143,2*$AP$9)-$AP$9),6))))))</f>
        <v/>
      </c>
      <c r="AW143" s="90" t="str">
        <f aca="false">IF($BL143&lt;&gt;Constants!$B$4,"",IF(NOT($AS143),"",Constants!$B$16*$AG143))</f>
        <v/>
      </c>
      <c r="AX143" s="90" t="str">
        <f aca="false">IF($BL143&lt;&gt;Constants!$B$4,"",IF(NOT($AS143),"",Constants!$B$18*INT(ROUND($AH143,6))))</f>
        <v/>
      </c>
      <c r="AY143" s="85" t="str">
        <f aca="false">IF($BL143&lt;&gt;Constants!$B$4,"",IF(NOT($AS143),"",IF(NOT($X143),Constants!$B$11,IF(OR(NOT($AC143),NOT($AD143),ROUND($AB143,1)&gt;Constants!$B$12,ROUND($Z143,1)&gt;Constants!$B$13,ROUND($AA143,1)&gt;Constants!$B$14),Constants!$B$10,Constants!$B$9))))</f>
        <v/>
      </c>
      <c r="AZ143" s="91" t="str">
        <f aca="false">IF($BL143&lt;&gt;Constants!$B$4,"",IF(NOT($AS143),"",ROUND($AU143+$AV143+$AW143+$AX143,1)))</f>
        <v/>
      </c>
      <c r="BA143" s="92" t="str">
        <f aca="false">IF($BL143&lt;&gt;Constants!$B$4,"",IF(NOT($AS143),"",IF(ISNUMBER($AF143),$AF143,0)))</f>
        <v/>
      </c>
      <c r="BB143" s="86" t="str">
        <f aca="false">IF($BL143&lt;&gt;Constants!$B$4,"",IF(NOT($BC143),"&lt;-",IF(NOT($AS143),"-&gt;",IF(OR($BI143&lt;$AY143,AND($BI143=$AY143,OR($BJ143&gt;$AZ143,AND($BJ143=$AZ143,OR($BH143&gt;$AX143,AND($BH143=$AX143,OR($BE143&gt;$AU143,AND($BE143=$AU143,OR($BF143&gt;$AV143,AND($BF143=$AV143,$BK143&gt;$BA143)))))))))),"-&gt;","&lt;-"))))</f>
        <v/>
      </c>
      <c r="BC143" s="85" t="str">
        <f aca="false">IF(ISBLANK($C143),"",COUNTA($P143:$U143)&gt;0)</f>
        <v/>
      </c>
      <c r="BD143" s="85" t="str">
        <f aca="false">IF(ISBLANK($C143),"",AND($BC143,OR(AND($AL143="",OR($AK143,NOT(ISBLANK($S143)))),$AM143="",$AN143="")))</f>
        <v/>
      </c>
      <c r="BE143" s="87" t="str">
        <f aca="false">IF($BL143&lt;&gt;Constants!$B$4,"",IF(NOT($BC143),"",ROUND((Constants!$B$12-$AB143)+(Constants!$B$13-$Z143)+(Constants!$B$14-$AA143),1)))</f>
        <v/>
      </c>
      <c r="BF143" s="90" t="str">
        <f aca="false">IF($BL143&lt;&gt;Constants!$B$4,"",IF(NOT($BC143),"",IF(NOT($AK143),0,Constants!$B$15*(INT(ROUND(MIN($AL143,$AP$9),6))-INT(ROUND(MAX(0,MIN($AL143,2*$AP$9)-$AP$9),6))))))</f>
        <v/>
      </c>
      <c r="BG143" s="90" t="str">
        <f aca="false">IF($BL143&lt;&gt;Constants!$B$4,"",IF(NOT($BC143),"",Constants!$B$16*$AM143))</f>
        <v/>
      </c>
      <c r="BH143" s="90" t="str">
        <f aca="false">IF($BL143&lt;&gt;Constants!$B$4,"",IF(NOT($BC143),"",Constants!$B$18*INT(ROUND($AN143,6))))</f>
        <v/>
      </c>
      <c r="BI143" s="85" t="str">
        <f aca="false">IF($BL143&lt;&gt;Constants!$B$4,"",IF(NOT($BC143),"",IF(NOT($X143),Constants!$B$11,IF(OR(NOT($AI143),NOT($AJ143),ROUND($AB143,1)&gt;Constants!$B$12,ROUND($Z143,1)&gt;Constants!$B$13,ROUND($AA143,1)&gt;Constants!$B$14),Constants!$B$10,Constants!$B$9))))</f>
        <v/>
      </c>
      <c r="BJ143" s="91" t="str">
        <f aca="false">IF($BL143&lt;&gt;Constants!$B$4,"",IF(NOT($BC143),"",ROUND($BE143+$BF143+$BG143+$BH143,1)))</f>
        <v/>
      </c>
      <c r="BK143" s="92" t="str">
        <f aca="false">IF($BL143&lt;&gt;Constants!$B$4,"",IF(NOT($BC143),"",IF(ISNUMBER($AL143),$AL143,0)))</f>
        <v/>
      </c>
      <c r="BL143" s="86" t="str">
        <f aca="false">IF(ISBLANK($C143),"",IF($AO143,Constants!$B$7,IF(COUNTA($E143:$V143)=0,Constants!$B$6,IF(NOT($Y143),Constants!$B$5,IF(NOT(OR($AS143,$BC143)),Constants!$B$5,IF(OR($AT143,$BD143,$AQ143,$AR143&lt;&gt;""),Constants!$B$8,Constants!$B$4))))))</f>
        <v/>
      </c>
      <c r="BM143" s="86" t="str">
        <f aca="false">IF(ISBLANK($C143),"",IF($BL143&lt;&gt;Constants!$B$4,$BL143,IF($BB143="-&gt;",$BI143,$AY143)))</f>
        <v/>
      </c>
      <c r="BN143" s="90" t="str">
        <f aca="false">IF($BL143&lt;&gt;Constants!$B$4,"",IF($BB143="-&gt;",$BJ143,$AZ143))</f>
        <v/>
      </c>
      <c r="BO143" s="90" t="str">
        <f aca="false">IF(ISBLANK($C143),"",IF($BL143&lt;&gt;Constants!$B$4,$BL143,$BN143))</f>
        <v/>
      </c>
      <c r="BP143" s="86" t="str">
        <f aca="false">IF(ISBLANK($C143),"",IF($BL143&lt;&gt;Constants!$B$4,$BL143,RANK($BO143,$BO$9:$BO$508,0)))</f>
        <v/>
      </c>
      <c r="BQ143" s="86" t="str">
        <f aca="false">IF(ISBLANK($C143),"",IF($BL143&lt;&gt;Constants!$B$4,$BL143,COUNTIFS($BM$9:$BM$508,"&lt;"&amp;$BM143)+COUNTIFS($BM$9:$BM$508,$BM143,$BP$9:$BP$508,"&lt;"&amp;$BP143)+1))</f>
        <v/>
      </c>
      <c r="BR143" s="90" t="str">
        <f aca="false">IF($BL143&lt;&gt;Constants!$B$4,"",IF($BB143="-&gt;",$BH143,$AX143))</f>
        <v/>
      </c>
      <c r="BS143" s="86" t="str">
        <f aca="false">IF(ISBLANK($C143),"",IF($BL143&lt;&gt;Constants!$B$4,$BL143,IF(ISNUMBER($BR143),RANK($BR143,$BR$9:$BR$508,0),COUNT($BR$9:$BR$508)+1)))</f>
        <v/>
      </c>
      <c r="BT143" s="90" t="str">
        <f aca="false">IF($BL143&lt;&gt;Constants!$B$4,"",IF($BB143="-&gt;",$BE143,$AU143))</f>
        <v/>
      </c>
      <c r="BU143" s="86" t="str">
        <f aca="false">IF(ISBLANK($C143),"",IF($BL143&lt;&gt;Constants!$B$4,$BL143,IF(ISNUMBER($BT143),RANK($BT143,$BT$9:$BT$508,0),COUNT($BT$9:$BT$508)+1)))</f>
        <v/>
      </c>
      <c r="BV143" s="90" t="str">
        <f aca="false">IF($BL143&lt;&gt;Constants!$B$4,"",IF($BB143="-&gt;",$BF143,$AV143))</f>
        <v/>
      </c>
      <c r="BW143" s="86" t="str">
        <f aca="false">IF(ISBLANK($C143),"",IF($BL143&lt;&gt;Constants!$B$4,$BL143,IF(ISNUMBER($BV143),RANK($BV143,$BV$9:$BV$508,0),COUNT($BV$9:$BV$508)+1)))</f>
        <v/>
      </c>
      <c r="BX143" s="90" t="str">
        <f aca="false">IF($BL143&lt;&gt;Constants!$B$4,"",IF($BB143="-&gt;",$BK143,$BA143))</f>
        <v/>
      </c>
      <c r="BY143" s="86" t="str">
        <f aca="false">IF(ISBLANK($C143),"",IF($BL143&lt;&gt;Constants!$B$4,$BL143,IF(ISNUMBER($BX143),RANK($BX143,$BX$9:$BX$508,0),COUNT($BX$9:$BX$508)+1)))</f>
        <v/>
      </c>
      <c r="BZ143" s="86" t="str">
        <f aca="false">IF(ISBLANK($C143),"",IF($BL143&lt;&gt;Constants!$B$4,$BL143,COUNTIFS($BM$9:$BM$508,"&lt;"&amp;$BM143)+COUNTIFS($BM$9:$BM$508,$BM143,$BP$9:$BP$508,"&lt;"&amp;$BP143)+COUNTIFS($BM$9:$BM$508,$BM143,$BP$9:$BP$508,$BP143,$BS$9:$BS$508,"&lt;"&amp;$BS143)+COUNTIFS($BM$9:$BM$508,$BM143,$BP$9:$BP$508,$BP143,$BS$9:$BS$508,$BS143,$BU$9:$BU$508,"&lt;"&amp;$BU143)+COUNTIFS($BM$9:$BM$508,$BM143,$BP$9:$BP$508,$BP143,$BS$9:$BS$508,$BS143,$BU$9:$BU$508,$BU143,$BW$9:$BW$508,"&lt;"&amp;$BW143)+COUNTIFS($BM$9:$BM$508,$BM143,$BP$9:$BP$508,$BP143,$BS$9:$BS$508,$BS143,$BU$9:$BU$508,$BU143,$BW$9:$BW$508,$BW143,$BY$9:$BY$508,"&lt;"&amp;$BY143)+1))</f>
        <v/>
      </c>
      <c r="CA143" s="86" t="str">
        <f aca="false">IF(ISBLANK($C143),"",IF($BL143&lt;&gt;Constants!$B$4,$BL143,$BQ143-$BZ143))</f>
        <v/>
      </c>
      <c r="CB143" s="93"/>
      <c r="CC143" s="94" t="str">
        <f aca="false">IF(ISBLANK($C143),"",IF($BL143=Constants!$B$8,$AR143,""))</f>
        <v/>
      </c>
      <c r="CD143" s="94" t="str">
        <f aca="false">IF(ISBLANK($C143),"",IF($BL143&lt;&gt;Constants!$B$4,"",IF($BB143="-&gt;",2,1)))</f>
        <v/>
      </c>
      <c r="CE143" s="95" t="str">
        <f aca="false">IF(ISBLANK($C143),"",IF($BL143&lt;&gt;Constants!$B$4,"",IF($BB143="-&gt;",$BE143,$AU143)))</f>
        <v/>
      </c>
      <c r="CF143" s="95" t="str">
        <f aca="false">IF(ISBLANK($C143),"",IF($BL143&lt;&gt;Constants!$B$4,"",IF($BB143="-&gt;",$BF143,$AV143)))</f>
        <v/>
      </c>
      <c r="CG143" s="95" t="str">
        <f aca="false">IF(ISBLANK($C143),"",IF($BL143&lt;&gt;Constants!$B$4,"",IF($BB143="-&gt;",$BG143,$AW143)))</f>
        <v/>
      </c>
      <c r="CH143" s="95" t="str">
        <f aca="false">IF(ISBLANK($C143),"",IF($BL143&lt;&gt;Constants!$B$4,"",IF($BB143="-&gt;",$BH143,$AX143)))</f>
        <v/>
      </c>
      <c r="CI143" s="96" t="str">
        <f aca="false">IF(ISBLANK($C143),"",$BO143)</f>
        <v/>
      </c>
      <c r="CJ143" s="97" t="str">
        <f aca="false">IF(ISBLANK($C143),"",$BM143)</f>
        <v/>
      </c>
      <c r="CK143" s="98" t="str">
        <f aca="false">IF(ISBLANK($C143),"",$CA143)</f>
        <v/>
      </c>
      <c r="CL143" s="98" t="str">
        <f aca="false">IF(ISBLANK($C143),"",$BZ143)</f>
        <v/>
      </c>
      <c r="CM143" s="99" t="str">
        <f aca="false">IF(ISBLANK($C143),"",IF($CL143=Constants!$B$7,COUNTA($C$9:$C$508)+2,IF($CL143=Constants!$B$6,COUNTA($C$9:$C$508)+1,IF($CL143=Constants!$B$5,COUNTA($C$9:$C$508),$CL143))))</f>
        <v/>
      </c>
      <c r="CN143" s="8"/>
      <c r="CO143" s="100" t="n">
        <f aca="false">IF(OR(ISNUMBER($CL143),$CL143=Constants!$B$7,$CL143=Constants!$B$5,$CL143=Constants!$B$6),1,0)</f>
        <v>0</v>
      </c>
      <c r="CP143" s="100" t="n">
        <v>135</v>
      </c>
      <c r="CQ143" s="100" t="str">
        <f aca="false">IF(ISBLANK($C143),"",IF(ISNUMBER($CM143),$CM143+ROW($B143)/1000,""))</f>
        <v/>
      </c>
      <c r="CR143" s="100" t="str">
        <f aca="false">IF(ISNUMBER($CQ143),RANK($CQ143,$CQ$9:$CQ$508,1),"")</f>
        <v/>
      </c>
      <c r="CS143" s="100" t="str">
        <f aca="false">IF(ISBLANK($C143),"",$B143)</f>
        <v/>
      </c>
      <c r="CT143" s="100" t="str">
        <f aca="false">IF(ISBLANK($C143),"",$C143)</f>
        <v/>
      </c>
      <c r="CU143" s="100" t="str">
        <f aca="false">IF(ISBLANK($C143),"",$D143)</f>
        <v/>
      </c>
      <c r="CV143" s="101" t="str">
        <f aca="false">$CJ143</f>
        <v/>
      </c>
      <c r="CW143" s="102" t="str">
        <f aca="false">$CI143</f>
        <v/>
      </c>
      <c r="CX143" s="100" t="str">
        <f aca="false">IF(ISBLANK($C143),"",$CL143)</f>
        <v/>
      </c>
      <c r="CY143" s="103" t="str">
        <f aca="false">IF($CP143&gt;$CO$8,"",VLOOKUP($CP143,$CR$9:$CX$508,7,FALSE()))</f>
        <v/>
      </c>
      <c r="CZ143" s="104" t="str">
        <f aca="false">IF($CP143&gt;$CO$8,"",VLOOKUP($CP143,$CR$9:$CX$508,2,FALSE()))</f>
        <v/>
      </c>
      <c r="DA143" s="104" t="str">
        <f aca="false">IF($CP143&gt;$CO$8,"",VLOOKUP($CP143,$CR$9:$CX$508,3,FALSE()))</f>
        <v/>
      </c>
      <c r="DB143" s="104" t="str">
        <f aca="false">IF($CP143&gt;$CO$8,"",VLOOKUP($CP143,$CR$9:$CX$508,4,FALSE()))</f>
        <v/>
      </c>
      <c r="DC143" s="104" t="str">
        <f aca="false">IF($CP143&gt;$CO$8,"",VLOOKUP($CP143,$CR$9:$CX$508,5,FALSE()))</f>
        <v/>
      </c>
      <c r="DD143" s="105" t="str">
        <f aca="false">IF($CP143&gt;$CO$8,"",VLOOKUP($CP143,$CR$9:$CX$508,6,FALSE()))</f>
        <v/>
      </c>
      <c r="DE143" s="70"/>
    </row>
    <row r="144" customFormat="false" ht="15.75" hidden="false" customHeight="false" outlineLevel="0" collapsed="false">
      <c r="A144" s="8"/>
      <c r="B144" s="146"/>
      <c r="C144" s="147"/>
      <c r="D144" s="148"/>
      <c r="E144" s="164"/>
      <c r="F144" s="150"/>
      <c r="G144" s="115"/>
      <c r="H144" s="115"/>
      <c r="I144" s="115"/>
      <c r="J144" s="165"/>
      <c r="K144" s="154"/>
      <c r="L144" s="154"/>
      <c r="M144" s="118"/>
      <c r="N144" s="154"/>
      <c r="O144" s="153"/>
      <c r="P144" s="154"/>
      <c r="Q144" s="154"/>
      <c r="R144" s="154"/>
      <c r="S144" s="115"/>
      <c r="T144" s="154"/>
      <c r="U144" s="153"/>
      <c r="V144" s="154"/>
      <c r="W144" s="123"/>
      <c r="X144" s="124" t="str">
        <f aca="false">IF(ISBLANK($C144),"",IF($E144=Constants!$B$2,TRUE(),IF($E144=Constants!$B$3,FALSE(),TRUE())))</f>
        <v/>
      </c>
      <c r="Y144" s="124" t="str">
        <f aca="false">IF(ISBLANK($C144),"",IF($F144=Constants!$B$2,TRUE(),IF($F144=Constants!$B$3,FALSE(),TRUE())))</f>
        <v/>
      </c>
      <c r="Z144" s="125" t="str">
        <f aca="false">IF(ISBLANK($C144),"",IF(ISNUMBER($G144),IF($G144&gt;=0,$G144,""),""))</f>
        <v/>
      </c>
      <c r="AA144" s="125" t="str">
        <f aca="false">IF(ISBLANK($C144),"",IF(ISNUMBER($H144),IF($H144&gt;=0,$H144,""),""))</f>
        <v/>
      </c>
      <c r="AB144" s="125" t="str">
        <f aca="false">IF(ISBLANK($C144),"",IF(ISNUMBER($I144),IF($I144&gt;=0,$I144,""),""))</f>
        <v/>
      </c>
      <c r="AC144" s="124" t="str">
        <f aca="false">IF(ISBLANK($C144),"",IF($J144=Constants!$B$2,TRUE(),IF($J144=Constants!$B$3,FALSE(),TRUE())))</f>
        <v/>
      </c>
      <c r="AD144" s="124" t="str">
        <f aca="false">IF(ISBLANK($C144),"",IF($K144=Constants!$B$2,TRUE(),IF($K144=Constants!$B$3,FALSE(),TRUE())))</f>
        <v/>
      </c>
      <c r="AE144" s="124" t="str">
        <f aca="false">IF(ISBLANK($C144),"",IF($L144=Constants!$B$2,TRUE(),IF($L144=Constants!$B$3,FALSE(),TRUE())))</f>
        <v/>
      </c>
      <c r="AF144" s="126" t="str">
        <f aca="false">IF(ISBLANK($C144),"",IF(ISNUMBER($M144),IF($M144&gt;=0,$M144,""),""))</f>
        <v/>
      </c>
      <c r="AG144" s="124" t="str">
        <f aca="false">IF(ISBLANK($C144),"",IF(ISBLANK($N144),0,IF(ISNUMBER($N144),IF(AND($N144&gt;=0,$N144&lt;=Constants!$B$17,$N144=INT($N144)),$N144,""),"")))</f>
        <v/>
      </c>
      <c r="AH144" s="125" t="str">
        <f aca="false">IF(ISBLANK($C144),"",IF(ISBLANK($O144),0,IF(ISNUMBER($O144),IF($O144&gt;=0,$O144,""),"")))</f>
        <v/>
      </c>
      <c r="AI144" s="124" t="str">
        <f aca="false">IF(ISBLANK($C144),"",IF($P144=Constants!$B$2,TRUE(),IF($P144=Constants!$B$3,FALSE(),TRUE())))</f>
        <v/>
      </c>
      <c r="AJ144" s="124" t="str">
        <f aca="false">IF(ISBLANK($C144),"",IF($Q144=Constants!$B$2,TRUE(),IF($Q144=Constants!$B$3,FALSE(),TRUE())))</f>
        <v/>
      </c>
      <c r="AK144" s="124" t="str">
        <f aca="false">IF(ISBLANK($C144),"",IF($R144=Constants!$B$2,TRUE(),IF($R144=Constants!$B$3,FALSE(),TRUE())))</f>
        <v/>
      </c>
      <c r="AL144" s="126" t="str">
        <f aca="false">IF(ISBLANK($C144),"",IF(ISNUMBER($S144),IF($S144&gt;=0,$S144,""),""))</f>
        <v/>
      </c>
      <c r="AM144" s="124" t="str">
        <f aca="false">IF(ISBLANK($C144),"",IF(ISBLANK($T144),0,IF(ISNUMBER($T144),IF(AND($T144&gt;=0,$T144&lt;=Constants!$B$17,$T144=INT($T144)),$T144,""),"")))</f>
        <v/>
      </c>
      <c r="AN144" s="125" t="str">
        <f aca="false">IF(ISBLANK($C144),"",IF(ISBLANK($U144),0,IF(ISNUMBER($U144),IF($U144&gt;=0,$U144,""),"")))</f>
        <v/>
      </c>
      <c r="AO144" s="124" t="str">
        <f aca="false">IF(ISBLANK($C144),"",IF($V144=Constants!$B$2,TRUE(),IF($V144=Constants!$B$3,FALSE(),FALSE())))</f>
        <v/>
      </c>
      <c r="AP144" s="124"/>
      <c r="AQ144" s="123" t="str">
        <f aca="false">IF(ISBLANK($C144),"",AND($Y144,OR($AS144,$BC144),OR($Z144="",$AA144="",$AB144="")))</f>
        <v/>
      </c>
      <c r="AR144" s="123" t="str">
        <f aca="false">IF(ISBLANK($C144),"",IF(OR(NOT($Y144),NOT(OR($AS144,$BC144))),"",IF(ISBLANK($D$7),$AR$5,IF($AP$9="",$AR$6,""))))</f>
        <v/>
      </c>
      <c r="AS144" s="123" t="str">
        <f aca="false">IF(ISBLANK($C144),"",COUNTA($J144:$O144)&gt;0)</f>
        <v/>
      </c>
      <c r="AT144" s="123" t="str">
        <f aca="false">IF(ISBLANK($C144),"",AND($AS144,OR(AND($AF144="",OR($AE144,NOT(ISBLANK($M144)))),$AG144="",$AH144="")))</f>
        <v/>
      </c>
      <c r="AU144" s="125" t="str">
        <f aca="false">IF($BL144&lt;&gt;Constants!$B$4,"",IF(NOT($AS144),"",ROUND((Constants!$B$12-$AB144)+(Constants!$B$13-$Z144)+(Constants!$B$14-$AA144),1)))</f>
        <v/>
      </c>
      <c r="AV144" s="127" t="str">
        <f aca="false">IF($BL144&lt;&gt;Constants!$B$4,"",IF(NOT($AS144),"",IF(NOT($AE144),0,Constants!$B$15*(INT(ROUND(MIN($AF144,$AP$9),6))-INT(ROUND(MAX(0,MIN($AF144,2*$AP$9)-$AP$9),6))))))</f>
        <v/>
      </c>
      <c r="AW144" s="127" t="str">
        <f aca="false">IF($BL144&lt;&gt;Constants!$B$4,"",IF(NOT($AS144),"",Constants!$B$16*$AG144))</f>
        <v/>
      </c>
      <c r="AX144" s="127" t="str">
        <f aca="false">IF($BL144&lt;&gt;Constants!$B$4,"",IF(NOT($AS144),"",Constants!$B$18*INT(ROUND($AH144,6))))</f>
        <v/>
      </c>
      <c r="AY144" s="123" t="str">
        <f aca="false">IF($BL144&lt;&gt;Constants!$B$4,"",IF(NOT($AS144),"",IF(NOT($X144),Constants!$B$11,IF(OR(NOT($AC144),NOT($AD144),ROUND($AB144,1)&gt;Constants!$B$12,ROUND($Z144,1)&gt;Constants!$B$13,ROUND($AA144,1)&gt;Constants!$B$14),Constants!$B$10,Constants!$B$9))))</f>
        <v/>
      </c>
      <c r="AZ144" s="128" t="str">
        <f aca="false">IF($BL144&lt;&gt;Constants!$B$4,"",IF(NOT($AS144),"",ROUND($AU144+$AV144+$AW144+$AX144,1)))</f>
        <v/>
      </c>
      <c r="BA144" s="129" t="str">
        <f aca="false">IF($BL144&lt;&gt;Constants!$B$4,"",IF(NOT($AS144),"",IF(ISNUMBER($AF144),$AF144,0)))</f>
        <v/>
      </c>
      <c r="BB144" s="124" t="str">
        <f aca="false">IF($BL144&lt;&gt;Constants!$B$4,"",IF(NOT($BC144),"&lt;-",IF(NOT($AS144),"-&gt;",IF(OR($BI144&lt;$AY144,AND($BI144=$AY144,OR($BJ144&gt;$AZ144,AND($BJ144=$AZ144,OR($BH144&gt;$AX144,AND($BH144=$AX144,OR($BE144&gt;$AU144,AND($BE144=$AU144,OR($BF144&gt;$AV144,AND($BF144=$AV144,$BK144&gt;$BA144)))))))))),"-&gt;","&lt;-"))))</f>
        <v/>
      </c>
      <c r="BC144" s="123" t="str">
        <f aca="false">IF(ISBLANK($C144),"",COUNTA($P144:$U144)&gt;0)</f>
        <v/>
      </c>
      <c r="BD144" s="123" t="str">
        <f aca="false">IF(ISBLANK($C144),"",AND($BC144,OR(AND($AL144="",OR($AK144,NOT(ISBLANK($S144)))),$AM144="",$AN144="")))</f>
        <v/>
      </c>
      <c r="BE144" s="125" t="str">
        <f aca="false">IF($BL144&lt;&gt;Constants!$B$4,"",IF(NOT($BC144),"",ROUND((Constants!$B$12-$AB144)+(Constants!$B$13-$Z144)+(Constants!$B$14-$AA144),1)))</f>
        <v/>
      </c>
      <c r="BF144" s="127" t="str">
        <f aca="false">IF($BL144&lt;&gt;Constants!$B$4,"",IF(NOT($BC144),"",IF(NOT($AK144),0,Constants!$B$15*(INT(ROUND(MIN($AL144,$AP$9),6))-INT(ROUND(MAX(0,MIN($AL144,2*$AP$9)-$AP$9),6))))))</f>
        <v/>
      </c>
      <c r="BG144" s="127" t="str">
        <f aca="false">IF($BL144&lt;&gt;Constants!$B$4,"",IF(NOT($BC144),"",Constants!$B$16*$AM144))</f>
        <v/>
      </c>
      <c r="BH144" s="127" t="str">
        <f aca="false">IF($BL144&lt;&gt;Constants!$B$4,"",IF(NOT($BC144),"",Constants!$B$18*INT(ROUND($AN144,6))))</f>
        <v/>
      </c>
      <c r="BI144" s="123" t="str">
        <f aca="false">IF($BL144&lt;&gt;Constants!$B$4,"",IF(NOT($BC144),"",IF(NOT($X144),Constants!$B$11,IF(OR(NOT($AI144),NOT($AJ144),ROUND($AB144,1)&gt;Constants!$B$12,ROUND($Z144,1)&gt;Constants!$B$13,ROUND($AA144,1)&gt;Constants!$B$14),Constants!$B$10,Constants!$B$9))))</f>
        <v/>
      </c>
      <c r="BJ144" s="128" t="str">
        <f aca="false">IF($BL144&lt;&gt;Constants!$B$4,"",IF(NOT($BC144),"",ROUND($BE144+$BF144+$BG144+$BH144,1)))</f>
        <v/>
      </c>
      <c r="BK144" s="129" t="str">
        <f aca="false">IF($BL144&lt;&gt;Constants!$B$4,"",IF(NOT($BC144),"",IF(ISNUMBER($AL144),$AL144,0)))</f>
        <v/>
      </c>
      <c r="BL144" s="124" t="str">
        <f aca="false">IF(ISBLANK($C144),"",IF($AO144,Constants!$B$7,IF(COUNTA($E144:$V144)=0,Constants!$B$6,IF(NOT($Y144),Constants!$B$5,IF(NOT(OR($AS144,$BC144)),Constants!$B$5,IF(OR($AT144,$BD144,$AQ144,$AR144&lt;&gt;""),Constants!$B$8,Constants!$B$4))))))</f>
        <v/>
      </c>
      <c r="BM144" s="124" t="str">
        <f aca="false">IF(ISBLANK($C144),"",IF($BL144&lt;&gt;Constants!$B$4,$BL144,IF($BB144="-&gt;",$BI144,$AY144)))</f>
        <v/>
      </c>
      <c r="BN144" s="127" t="str">
        <f aca="false">IF($BL144&lt;&gt;Constants!$B$4,"",IF($BB144="-&gt;",$BJ144,$AZ144))</f>
        <v/>
      </c>
      <c r="BO144" s="127" t="str">
        <f aca="false">IF(ISBLANK($C144),"",IF($BL144&lt;&gt;Constants!$B$4,$BL144,$BN144))</f>
        <v/>
      </c>
      <c r="BP144" s="124" t="str">
        <f aca="false">IF(ISBLANK($C144),"",IF($BL144&lt;&gt;Constants!$B$4,$BL144,RANK($BO144,$BO$9:$BO$508,0)))</f>
        <v/>
      </c>
      <c r="BQ144" s="124" t="str">
        <f aca="false">IF(ISBLANK($C144),"",IF($BL144&lt;&gt;Constants!$B$4,$BL144,COUNTIFS($BM$9:$BM$508,"&lt;"&amp;$BM144)+COUNTIFS($BM$9:$BM$508,$BM144,$BP$9:$BP$508,"&lt;"&amp;$BP144)+1))</f>
        <v/>
      </c>
      <c r="BR144" s="127" t="str">
        <f aca="false">IF($BL144&lt;&gt;Constants!$B$4,"",IF($BB144="-&gt;",$BH144,$AX144))</f>
        <v/>
      </c>
      <c r="BS144" s="124" t="str">
        <f aca="false">IF(ISBLANK($C144),"",IF($BL144&lt;&gt;Constants!$B$4,$BL144,IF(ISNUMBER($BR144),RANK($BR144,$BR$9:$BR$508,0),COUNT($BR$9:$BR$508)+1)))</f>
        <v/>
      </c>
      <c r="BT144" s="127" t="str">
        <f aca="false">IF($BL144&lt;&gt;Constants!$B$4,"",IF($BB144="-&gt;",$BE144,$AU144))</f>
        <v/>
      </c>
      <c r="BU144" s="124" t="str">
        <f aca="false">IF(ISBLANK($C144),"",IF($BL144&lt;&gt;Constants!$B$4,$BL144,IF(ISNUMBER($BT144),RANK($BT144,$BT$9:$BT$508,0),COUNT($BT$9:$BT$508)+1)))</f>
        <v/>
      </c>
      <c r="BV144" s="127" t="str">
        <f aca="false">IF($BL144&lt;&gt;Constants!$B$4,"",IF($BB144="-&gt;",$BF144,$AV144))</f>
        <v/>
      </c>
      <c r="BW144" s="124" t="str">
        <f aca="false">IF(ISBLANK($C144),"",IF($BL144&lt;&gt;Constants!$B$4,$BL144,IF(ISNUMBER($BV144),RANK($BV144,$BV$9:$BV$508,0),COUNT($BV$9:$BV$508)+1)))</f>
        <v/>
      </c>
      <c r="BX144" s="127" t="str">
        <f aca="false">IF($BL144&lt;&gt;Constants!$B$4,"",IF($BB144="-&gt;",$BK144,$BA144))</f>
        <v/>
      </c>
      <c r="BY144" s="124" t="str">
        <f aca="false">IF(ISBLANK($C144),"",IF($BL144&lt;&gt;Constants!$B$4,$BL144,IF(ISNUMBER($BX144),RANK($BX144,$BX$9:$BX$508,0),COUNT($BX$9:$BX$508)+1)))</f>
        <v/>
      </c>
      <c r="BZ144" s="124" t="str">
        <f aca="false">IF(ISBLANK($C144),"",IF($BL144&lt;&gt;Constants!$B$4,$BL144,COUNTIFS($BM$9:$BM$508,"&lt;"&amp;$BM144)+COUNTIFS($BM$9:$BM$508,$BM144,$BP$9:$BP$508,"&lt;"&amp;$BP144)+COUNTIFS($BM$9:$BM$508,$BM144,$BP$9:$BP$508,$BP144,$BS$9:$BS$508,"&lt;"&amp;$BS144)+COUNTIFS($BM$9:$BM$508,$BM144,$BP$9:$BP$508,$BP144,$BS$9:$BS$508,$BS144,$BU$9:$BU$508,"&lt;"&amp;$BU144)+COUNTIFS($BM$9:$BM$508,$BM144,$BP$9:$BP$508,$BP144,$BS$9:$BS$508,$BS144,$BU$9:$BU$508,$BU144,$BW$9:$BW$508,"&lt;"&amp;$BW144)+COUNTIFS($BM$9:$BM$508,$BM144,$BP$9:$BP$508,$BP144,$BS$9:$BS$508,$BS144,$BU$9:$BU$508,$BU144,$BW$9:$BW$508,$BW144,$BY$9:$BY$508,"&lt;"&amp;$BY144)+1))</f>
        <v/>
      </c>
      <c r="CA144" s="124" t="str">
        <f aca="false">IF(ISBLANK($C144),"",IF($BL144&lt;&gt;Constants!$B$4,$BL144,$BQ144-$BZ144))</f>
        <v/>
      </c>
      <c r="CB144" s="130"/>
      <c r="CC144" s="131" t="str">
        <f aca="false">IF(ISBLANK($C144),"",IF($BL144=Constants!$B$8,$AR144,""))</f>
        <v/>
      </c>
      <c r="CD144" s="131" t="str">
        <f aca="false">IF(ISBLANK($C144),"",IF($BL144&lt;&gt;Constants!$B$4,"",IF($BB144="-&gt;",2,1)))</f>
        <v/>
      </c>
      <c r="CE144" s="132" t="str">
        <f aca="false">IF(ISBLANK($C144),"",IF($BL144&lt;&gt;Constants!$B$4,"",IF($BB144="-&gt;",$BE144,$AU144)))</f>
        <v/>
      </c>
      <c r="CF144" s="132" t="str">
        <f aca="false">IF(ISBLANK($C144),"",IF($BL144&lt;&gt;Constants!$B$4,"",IF($BB144="-&gt;",$BF144,$AV144)))</f>
        <v/>
      </c>
      <c r="CG144" s="132" t="str">
        <f aca="false">IF(ISBLANK($C144),"",IF($BL144&lt;&gt;Constants!$B$4,"",IF($BB144="-&gt;",$BG144,$AW144)))</f>
        <v/>
      </c>
      <c r="CH144" s="132" t="str">
        <f aca="false">IF(ISBLANK($C144),"",IF($BL144&lt;&gt;Constants!$B$4,"",IF($BB144="-&gt;",$BH144,$AX144)))</f>
        <v/>
      </c>
      <c r="CI144" s="133" t="str">
        <f aca="false">IF(ISBLANK($C144),"",$BO144)</f>
        <v/>
      </c>
      <c r="CJ144" s="134" t="str">
        <f aca="false">IF(ISBLANK($C144),"",$BM144)</f>
        <v/>
      </c>
      <c r="CK144" s="135" t="str">
        <f aca="false">IF(ISBLANK($C144),"",$CA144)</f>
        <v/>
      </c>
      <c r="CL144" s="135" t="str">
        <f aca="false">IF(ISBLANK($C144),"",$BZ144)</f>
        <v/>
      </c>
      <c r="CM144" s="136" t="str">
        <f aca="false">IF(ISBLANK($C144),"",IF($CL144=Constants!$B$7,COUNTA($C$9:$C$508)+2,IF($CL144=Constants!$B$6,COUNTA($C$9:$C$508)+1,IF($CL144=Constants!$B$5,COUNTA($C$9:$C$508),$CL144))))</f>
        <v/>
      </c>
      <c r="CN144" s="8"/>
      <c r="CO144" s="137" t="n">
        <f aca="false">IF(OR(ISNUMBER($CL144),$CL144=Constants!$B$7,$CL144=Constants!$B$5,$CL144=Constants!$B$6),1,0)</f>
        <v>0</v>
      </c>
      <c r="CP144" s="137" t="n">
        <v>136</v>
      </c>
      <c r="CQ144" s="137" t="str">
        <f aca="false">IF(ISBLANK($C144),"",IF(ISNUMBER($CM144),$CM144+ROW($B144)/1000,""))</f>
        <v/>
      </c>
      <c r="CR144" s="137" t="str">
        <f aca="false">IF(ISNUMBER($CQ144),RANK($CQ144,$CQ$9:$CQ$508,1),"")</f>
        <v/>
      </c>
      <c r="CS144" s="137" t="str">
        <f aca="false">IF(ISBLANK($C144),"",$B144)</f>
        <v/>
      </c>
      <c r="CT144" s="137" t="str">
        <f aca="false">IF(ISBLANK($C144),"",$C144)</f>
        <v/>
      </c>
      <c r="CU144" s="137" t="str">
        <f aca="false">IF(ISBLANK($C144),"",$D144)</f>
        <v/>
      </c>
      <c r="CV144" s="138" t="str">
        <f aca="false">$CJ144</f>
        <v/>
      </c>
      <c r="CW144" s="139" t="str">
        <f aca="false">$CI144</f>
        <v/>
      </c>
      <c r="CX144" s="137" t="str">
        <f aca="false">IF(ISBLANK($C144),"",$CL144)</f>
        <v/>
      </c>
      <c r="CY144" s="140" t="str">
        <f aca="false">IF($CP144&gt;$CO$8,"",VLOOKUP($CP144,$CR$9:$CX$508,7,FALSE()))</f>
        <v/>
      </c>
      <c r="CZ144" s="141" t="str">
        <f aca="false">IF($CP144&gt;$CO$8,"",VLOOKUP($CP144,$CR$9:$CX$508,2,FALSE()))</f>
        <v/>
      </c>
      <c r="DA144" s="141" t="str">
        <f aca="false">IF($CP144&gt;$CO$8,"",VLOOKUP($CP144,$CR$9:$CX$508,3,FALSE()))</f>
        <v/>
      </c>
      <c r="DB144" s="141" t="str">
        <f aca="false">IF($CP144&gt;$CO$8,"",VLOOKUP($CP144,$CR$9:$CX$508,4,FALSE()))</f>
        <v/>
      </c>
      <c r="DC144" s="141" t="str">
        <f aca="false">IF($CP144&gt;$CO$8,"",VLOOKUP($CP144,$CR$9:$CX$508,5,FALSE()))</f>
        <v/>
      </c>
      <c r="DD144" s="142" t="str">
        <f aca="false">IF($CP144&gt;$CO$8,"",VLOOKUP($CP144,$CR$9:$CX$508,6,FALSE()))</f>
        <v/>
      </c>
      <c r="DE144" s="70"/>
    </row>
    <row r="145" customFormat="false" ht="15.75" hidden="false" customHeight="false" outlineLevel="0" collapsed="false">
      <c r="A145" s="8"/>
      <c r="B145" s="146"/>
      <c r="C145" s="147"/>
      <c r="D145" s="148"/>
      <c r="E145" s="164"/>
      <c r="F145" s="150"/>
      <c r="G145" s="115"/>
      <c r="H145" s="115"/>
      <c r="I145" s="115"/>
      <c r="J145" s="165"/>
      <c r="K145" s="154"/>
      <c r="L145" s="154"/>
      <c r="M145" s="118"/>
      <c r="N145" s="154"/>
      <c r="O145" s="153"/>
      <c r="P145" s="154"/>
      <c r="Q145" s="154"/>
      <c r="R145" s="154"/>
      <c r="S145" s="115"/>
      <c r="T145" s="154"/>
      <c r="U145" s="153"/>
      <c r="V145" s="154"/>
      <c r="W145" s="123"/>
      <c r="X145" s="124" t="str">
        <f aca="false">IF(ISBLANK($C145),"",IF($E145=Constants!$B$2,TRUE(),IF($E145=Constants!$B$3,FALSE(),TRUE())))</f>
        <v/>
      </c>
      <c r="Y145" s="124" t="str">
        <f aca="false">IF(ISBLANK($C145),"",IF($F145=Constants!$B$2,TRUE(),IF($F145=Constants!$B$3,FALSE(),TRUE())))</f>
        <v/>
      </c>
      <c r="Z145" s="125" t="str">
        <f aca="false">IF(ISBLANK($C145),"",IF(ISNUMBER($G145),IF($G145&gt;=0,$G145,""),""))</f>
        <v/>
      </c>
      <c r="AA145" s="125" t="str">
        <f aca="false">IF(ISBLANK($C145),"",IF(ISNUMBER($H145),IF($H145&gt;=0,$H145,""),""))</f>
        <v/>
      </c>
      <c r="AB145" s="125" t="str">
        <f aca="false">IF(ISBLANK($C145),"",IF(ISNUMBER($I145),IF($I145&gt;=0,$I145,""),""))</f>
        <v/>
      </c>
      <c r="AC145" s="124" t="str">
        <f aca="false">IF(ISBLANK($C145),"",IF($J145=Constants!$B$2,TRUE(),IF($J145=Constants!$B$3,FALSE(),TRUE())))</f>
        <v/>
      </c>
      <c r="AD145" s="124" t="str">
        <f aca="false">IF(ISBLANK($C145),"",IF($K145=Constants!$B$2,TRUE(),IF($K145=Constants!$B$3,FALSE(),TRUE())))</f>
        <v/>
      </c>
      <c r="AE145" s="124" t="str">
        <f aca="false">IF(ISBLANK($C145),"",IF($L145=Constants!$B$2,TRUE(),IF($L145=Constants!$B$3,FALSE(),TRUE())))</f>
        <v/>
      </c>
      <c r="AF145" s="126" t="str">
        <f aca="false">IF(ISBLANK($C145),"",IF(ISNUMBER($M145),IF($M145&gt;=0,$M145,""),""))</f>
        <v/>
      </c>
      <c r="AG145" s="124" t="str">
        <f aca="false">IF(ISBLANK($C145),"",IF(ISBLANK($N145),0,IF(ISNUMBER($N145),IF(AND($N145&gt;=0,$N145&lt;=Constants!$B$17,$N145=INT($N145)),$N145,""),"")))</f>
        <v/>
      </c>
      <c r="AH145" s="125" t="str">
        <f aca="false">IF(ISBLANK($C145),"",IF(ISBLANK($O145),0,IF(ISNUMBER($O145),IF($O145&gt;=0,$O145,""),"")))</f>
        <v/>
      </c>
      <c r="AI145" s="124" t="str">
        <f aca="false">IF(ISBLANK($C145),"",IF($P145=Constants!$B$2,TRUE(),IF($P145=Constants!$B$3,FALSE(),TRUE())))</f>
        <v/>
      </c>
      <c r="AJ145" s="124" t="str">
        <f aca="false">IF(ISBLANK($C145),"",IF($Q145=Constants!$B$2,TRUE(),IF($Q145=Constants!$B$3,FALSE(),TRUE())))</f>
        <v/>
      </c>
      <c r="AK145" s="124" t="str">
        <f aca="false">IF(ISBLANK($C145),"",IF($R145=Constants!$B$2,TRUE(),IF($R145=Constants!$B$3,FALSE(),TRUE())))</f>
        <v/>
      </c>
      <c r="AL145" s="126" t="str">
        <f aca="false">IF(ISBLANK($C145),"",IF(ISNUMBER($S145),IF($S145&gt;=0,$S145,""),""))</f>
        <v/>
      </c>
      <c r="AM145" s="124" t="str">
        <f aca="false">IF(ISBLANK($C145),"",IF(ISBLANK($T145),0,IF(ISNUMBER($T145),IF(AND($T145&gt;=0,$T145&lt;=Constants!$B$17,$T145=INT($T145)),$T145,""),"")))</f>
        <v/>
      </c>
      <c r="AN145" s="125" t="str">
        <f aca="false">IF(ISBLANK($C145),"",IF(ISBLANK($U145),0,IF(ISNUMBER($U145),IF($U145&gt;=0,$U145,""),"")))</f>
        <v/>
      </c>
      <c r="AO145" s="124" t="str">
        <f aca="false">IF(ISBLANK($C145),"",IF($V145=Constants!$B$2,TRUE(),IF($V145=Constants!$B$3,FALSE(),FALSE())))</f>
        <v/>
      </c>
      <c r="AP145" s="124"/>
      <c r="AQ145" s="123" t="str">
        <f aca="false">IF(ISBLANK($C145),"",AND($Y145,OR($AS145,$BC145),OR($Z145="",$AA145="",$AB145="")))</f>
        <v/>
      </c>
      <c r="AR145" s="123" t="str">
        <f aca="false">IF(ISBLANK($C145),"",IF(OR(NOT($Y145),NOT(OR($AS145,$BC145))),"",IF(ISBLANK($D$7),$AR$5,IF($AP$9="",$AR$6,""))))</f>
        <v/>
      </c>
      <c r="AS145" s="123" t="str">
        <f aca="false">IF(ISBLANK($C145),"",COUNTA($J145:$O145)&gt;0)</f>
        <v/>
      </c>
      <c r="AT145" s="123" t="str">
        <f aca="false">IF(ISBLANK($C145),"",AND($AS145,OR(AND($AF145="",OR($AE145,NOT(ISBLANK($M145)))),$AG145="",$AH145="")))</f>
        <v/>
      </c>
      <c r="AU145" s="125" t="str">
        <f aca="false">IF($BL145&lt;&gt;Constants!$B$4,"",IF(NOT($AS145),"",ROUND((Constants!$B$12-$AB145)+(Constants!$B$13-$Z145)+(Constants!$B$14-$AA145),1)))</f>
        <v/>
      </c>
      <c r="AV145" s="127" t="str">
        <f aca="false">IF($BL145&lt;&gt;Constants!$B$4,"",IF(NOT($AS145),"",IF(NOT($AE145),0,Constants!$B$15*(INT(ROUND(MIN($AF145,$AP$9),6))-INT(ROUND(MAX(0,MIN($AF145,2*$AP$9)-$AP$9),6))))))</f>
        <v/>
      </c>
      <c r="AW145" s="127" t="str">
        <f aca="false">IF($BL145&lt;&gt;Constants!$B$4,"",IF(NOT($AS145),"",Constants!$B$16*$AG145))</f>
        <v/>
      </c>
      <c r="AX145" s="127" t="str">
        <f aca="false">IF($BL145&lt;&gt;Constants!$B$4,"",IF(NOT($AS145),"",Constants!$B$18*INT(ROUND($AH145,6))))</f>
        <v/>
      </c>
      <c r="AY145" s="123" t="str">
        <f aca="false">IF($BL145&lt;&gt;Constants!$B$4,"",IF(NOT($AS145),"",IF(NOT($X145),Constants!$B$11,IF(OR(NOT($AC145),NOT($AD145),ROUND($AB145,1)&gt;Constants!$B$12,ROUND($Z145,1)&gt;Constants!$B$13,ROUND($AA145,1)&gt;Constants!$B$14),Constants!$B$10,Constants!$B$9))))</f>
        <v/>
      </c>
      <c r="AZ145" s="128" t="str">
        <f aca="false">IF($BL145&lt;&gt;Constants!$B$4,"",IF(NOT($AS145),"",ROUND($AU145+$AV145+$AW145+$AX145,1)))</f>
        <v/>
      </c>
      <c r="BA145" s="129" t="str">
        <f aca="false">IF($BL145&lt;&gt;Constants!$B$4,"",IF(NOT($AS145),"",IF(ISNUMBER($AF145),$AF145,0)))</f>
        <v/>
      </c>
      <c r="BB145" s="124" t="str">
        <f aca="false">IF($BL145&lt;&gt;Constants!$B$4,"",IF(NOT($BC145),"&lt;-",IF(NOT($AS145),"-&gt;",IF(OR($BI145&lt;$AY145,AND($BI145=$AY145,OR($BJ145&gt;$AZ145,AND($BJ145=$AZ145,OR($BH145&gt;$AX145,AND($BH145=$AX145,OR($BE145&gt;$AU145,AND($BE145=$AU145,OR($BF145&gt;$AV145,AND($BF145=$AV145,$BK145&gt;$BA145)))))))))),"-&gt;","&lt;-"))))</f>
        <v/>
      </c>
      <c r="BC145" s="123" t="str">
        <f aca="false">IF(ISBLANK($C145),"",COUNTA($P145:$U145)&gt;0)</f>
        <v/>
      </c>
      <c r="BD145" s="123" t="str">
        <f aca="false">IF(ISBLANK($C145),"",AND($BC145,OR(AND($AL145="",OR($AK145,NOT(ISBLANK($S145)))),$AM145="",$AN145="")))</f>
        <v/>
      </c>
      <c r="BE145" s="125" t="str">
        <f aca="false">IF($BL145&lt;&gt;Constants!$B$4,"",IF(NOT($BC145),"",ROUND((Constants!$B$12-$AB145)+(Constants!$B$13-$Z145)+(Constants!$B$14-$AA145),1)))</f>
        <v/>
      </c>
      <c r="BF145" s="127" t="str">
        <f aca="false">IF($BL145&lt;&gt;Constants!$B$4,"",IF(NOT($BC145),"",IF(NOT($AK145),0,Constants!$B$15*(INT(ROUND(MIN($AL145,$AP$9),6))-INT(ROUND(MAX(0,MIN($AL145,2*$AP$9)-$AP$9),6))))))</f>
        <v/>
      </c>
      <c r="BG145" s="127" t="str">
        <f aca="false">IF($BL145&lt;&gt;Constants!$B$4,"",IF(NOT($BC145),"",Constants!$B$16*$AM145))</f>
        <v/>
      </c>
      <c r="BH145" s="127" t="str">
        <f aca="false">IF($BL145&lt;&gt;Constants!$B$4,"",IF(NOT($BC145),"",Constants!$B$18*INT(ROUND($AN145,6))))</f>
        <v/>
      </c>
      <c r="BI145" s="123" t="str">
        <f aca="false">IF($BL145&lt;&gt;Constants!$B$4,"",IF(NOT($BC145),"",IF(NOT($X145),Constants!$B$11,IF(OR(NOT($AI145),NOT($AJ145),ROUND($AB145,1)&gt;Constants!$B$12,ROUND($Z145,1)&gt;Constants!$B$13,ROUND($AA145,1)&gt;Constants!$B$14),Constants!$B$10,Constants!$B$9))))</f>
        <v/>
      </c>
      <c r="BJ145" s="128" t="str">
        <f aca="false">IF($BL145&lt;&gt;Constants!$B$4,"",IF(NOT($BC145),"",ROUND($BE145+$BF145+$BG145+$BH145,1)))</f>
        <v/>
      </c>
      <c r="BK145" s="129" t="str">
        <f aca="false">IF($BL145&lt;&gt;Constants!$B$4,"",IF(NOT($BC145),"",IF(ISNUMBER($AL145),$AL145,0)))</f>
        <v/>
      </c>
      <c r="BL145" s="124" t="str">
        <f aca="false">IF(ISBLANK($C145),"",IF($AO145,Constants!$B$7,IF(COUNTA($E145:$V145)=0,Constants!$B$6,IF(NOT($Y145),Constants!$B$5,IF(NOT(OR($AS145,$BC145)),Constants!$B$5,IF(OR($AT145,$BD145,$AQ145,$AR145&lt;&gt;""),Constants!$B$8,Constants!$B$4))))))</f>
        <v/>
      </c>
      <c r="BM145" s="124" t="str">
        <f aca="false">IF(ISBLANK($C145),"",IF($BL145&lt;&gt;Constants!$B$4,$BL145,IF($BB145="-&gt;",$BI145,$AY145)))</f>
        <v/>
      </c>
      <c r="BN145" s="127" t="str">
        <f aca="false">IF($BL145&lt;&gt;Constants!$B$4,"",IF($BB145="-&gt;",$BJ145,$AZ145))</f>
        <v/>
      </c>
      <c r="BO145" s="127" t="str">
        <f aca="false">IF(ISBLANK($C145),"",IF($BL145&lt;&gt;Constants!$B$4,$BL145,$BN145))</f>
        <v/>
      </c>
      <c r="BP145" s="124" t="str">
        <f aca="false">IF(ISBLANK($C145),"",IF($BL145&lt;&gt;Constants!$B$4,$BL145,RANK($BO145,$BO$9:$BO$508,0)))</f>
        <v/>
      </c>
      <c r="BQ145" s="124" t="str">
        <f aca="false">IF(ISBLANK($C145),"",IF($BL145&lt;&gt;Constants!$B$4,$BL145,COUNTIFS($BM$9:$BM$508,"&lt;"&amp;$BM145)+COUNTIFS($BM$9:$BM$508,$BM145,$BP$9:$BP$508,"&lt;"&amp;$BP145)+1))</f>
        <v/>
      </c>
      <c r="BR145" s="127" t="str">
        <f aca="false">IF($BL145&lt;&gt;Constants!$B$4,"",IF($BB145="-&gt;",$BH145,$AX145))</f>
        <v/>
      </c>
      <c r="BS145" s="124" t="str">
        <f aca="false">IF(ISBLANK($C145),"",IF($BL145&lt;&gt;Constants!$B$4,$BL145,IF(ISNUMBER($BR145),RANK($BR145,$BR$9:$BR$508,0),COUNT($BR$9:$BR$508)+1)))</f>
        <v/>
      </c>
      <c r="BT145" s="127" t="str">
        <f aca="false">IF($BL145&lt;&gt;Constants!$B$4,"",IF($BB145="-&gt;",$BE145,$AU145))</f>
        <v/>
      </c>
      <c r="BU145" s="124" t="str">
        <f aca="false">IF(ISBLANK($C145),"",IF($BL145&lt;&gt;Constants!$B$4,$BL145,IF(ISNUMBER($BT145),RANK($BT145,$BT$9:$BT$508,0),COUNT($BT$9:$BT$508)+1)))</f>
        <v/>
      </c>
      <c r="BV145" s="127" t="str">
        <f aca="false">IF($BL145&lt;&gt;Constants!$B$4,"",IF($BB145="-&gt;",$BF145,$AV145))</f>
        <v/>
      </c>
      <c r="BW145" s="124" t="str">
        <f aca="false">IF(ISBLANK($C145),"",IF($BL145&lt;&gt;Constants!$B$4,$BL145,IF(ISNUMBER($BV145),RANK($BV145,$BV$9:$BV$508,0),COUNT($BV$9:$BV$508)+1)))</f>
        <v/>
      </c>
      <c r="BX145" s="127" t="str">
        <f aca="false">IF($BL145&lt;&gt;Constants!$B$4,"",IF($BB145="-&gt;",$BK145,$BA145))</f>
        <v/>
      </c>
      <c r="BY145" s="124" t="str">
        <f aca="false">IF(ISBLANK($C145),"",IF($BL145&lt;&gt;Constants!$B$4,$BL145,IF(ISNUMBER($BX145),RANK($BX145,$BX$9:$BX$508,0),COUNT($BX$9:$BX$508)+1)))</f>
        <v/>
      </c>
      <c r="BZ145" s="124" t="str">
        <f aca="false">IF(ISBLANK($C145),"",IF($BL145&lt;&gt;Constants!$B$4,$BL145,COUNTIFS($BM$9:$BM$508,"&lt;"&amp;$BM145)+COUNTIFS($BM$9:$BM$508,$BM145,$BP$9:$BP$508,"&lt;"&amp;$BP145)+COUNTIFS($BM$9:$BM$508,$BM145,$BP$9:$BP$508,$BP145,$BS$9:$BS$508,"&lt;"&amp;$BS145)+COUNTIFS($BM$9:$BM$508,$BM145,$BP$9:$BP$508,$BP145,$BS$9:$BS$508,$BS145,$BU$9:$BU$508,"&lt;"&amp;$BU145)+COUNTIFS($BM$9:$BM$508,$BM145,$BP$9:$BP$508,$BP145,$BS$9:$BS$508,$BS145,$BU$9:$BU$508,$BU145,$BW$9:$BW$508,"&lt;"&amp;$BW145)+COUNTIFS($BM$9:$BM$508,$BM145,$BP$9:$BP$508,$BP145,$BS$9:$BS$508,$BS145,$BU$9:$BU$508,$BU145,$BW$9:$BW$508,$BW145,$BY$9:$BY$508,"&lt;"&amp;$BY145)+1))</f>
        <v/>
      </c>
      <c r="CA145" s="124" t="str">
        <f aca="false">IF(ISBLANK($C145),"",IF($BL145&lt;&gt;Constants!$B$4,$BL145,$BQ145-$BZ145))</f>
        <v/>
      </c>
      <c r="CB145" s="130"/>
      <c r="CC145" s="131" t="str">
        <f aca="false">IF(ISBLANK($C145),"",IF($BL145=Constants!$B$8,$AR145,""))</f>
        <v/>
      </c>
      <c r="CD145" s="131" t="str">
        <f aca="false">IF(ISBLANK($C145),"",IF($BL145&lt;&gt;Constants!$B$4,"",IF($BB145="-&gt;",2,1)))</f>
        <v/>
      </c>
      <c r="CE145" s="132" t="str">
        <f aca="false">IF(ISBLANK($C145),"",IF($BL145&lt;&gt;Constants!$B$4,"",IF($BB145="-&gt;",$BE145,$AU145)))</f>
        <v/>
      </c>
      <c r="CF145" s="132" t="str">
        <f aca="false">IF(ISBLANK($C145),"",IF($BL145&lt;&gt;Constants!$B$4,"",IF($BB145="-&gt;",$BF145,$AV145)))</f>
        <v/>
      </c>
      <c r="CG145" s="132" t="str">
        <f aca="false">IF(ISBLANK($C145),"",IF($BL145&lt;&gt;Constants!$B$4,"",IF($BB145="-&gt;",$BG145,$AW145)))</f>
        <v/>
      </c>
      <c r="CH145" s="132" t="str">
        <f aca="false">IF(ISBLANK($C145),"",IF($BL145&lt;&gt;Constants!$B$4,"",IF($BB145="-&gt;",$BH145,$AX145)))</f>
        <v/>
      </c>
      <c r="CI145" s="133" t="str">
        <f aca="false">IF(ISBLANK($C145),"",$BO145)</f>
        <v/>
      </c>
      <c r="CJ145" s="134" t="str">
        <f aca="false">IF(ISBLANK($C145),"",$BM145)</f>
        <v/>
      </c>
      <c r="CK145" s="135" t="str">
        <f aca="false">IF(ISBLANK($C145),"",$CA145)</f>
        <v/>
      </c>
      <c r="CL145" s="135" t="str">
        <f aca="false">IF(ISBLANK($C145),"",$BZ145)</f>
        <v/>
      </c>
      <c r="CM145" s="136" t="str">
        <f aca="false">IF(ISBLANK($C145),"",IF($CL145=Constants!$B$7,COUNTA($C$9:$C$508)+2,IF($CL145=Constants!$B$6,COUNTA($C$9:$C$508)+1,IF($CL145=Constants!$B$5,COUNTA($C$9:$C$508),$CL145))))</f>
        <v/>
      </c>
      <c r="CN145" s="8"/>
      <c r="CO145" s="137" t="n">
        <f aca="false">IF(OR(ISNUMBER($CL145),$CL145=Constants!$B$7,$CL145=Constants!$B$5,$CL145=Constants!$B$6),1,0)</f>
        <v>0</v>
      </c>
      <c r="CP145" s="137" t="n">
        <v>137</v>
      </c>
      <c r="CQ145" s="137" t="str">
        <f aca="false">IF(ISBLANK($C145),"",IF(ISNUMBER($CM145),$CM145+ROW($B145)/1000,""))</f>
        <v/>
      </c>
      <c r="CR145" s="137" t="str">
        <f aca="false">IF(ISNUMBER($CQ145),RANK($CQ145,$CQ$9:$CQ$508,1),"")</f>
        <v/>
      </c>
      <c r="CS145" s="137" t="str">
        <f aca="false">IF(ISBLANK($C145),"",$B145)</f>
        <v/>
      </c>
      <c r="CT145" s="137" t="str">
        <f aca="false">IF(ISBLANK($C145),"",$C145)</f>
        <v/>
      </c>
      <c r="CU145" s="137" t="str">
        <f aca="false">IF(ISBLANK($C145),"",$D145)</f>
        <v/>
      </c>
      <c r="CV145" s="138" t="str">
        <f aca="false">$CJ145</f>
        <v/>
      </c>
      <c r="CW145" s="139" t="str">
        <f aca="false">$CI145</f>
        <v/>
      </c>
      <c r="CX145" s="137" t="str">
        <f aca="false">IF(ISBLANK($C145),"",$CL145)</f>
        <v/>
      </c>
      <c r="CY145" s="140" t="str">
        <f aca="false">IF($CP145&gt;$CO$8,"",VLOOKUP($CP145,$CR$9:$CX$508,7,FALSE()))</f>
        <v/>
      </c>
      <c r="CZ145" s="141" t="str">
        <f aca="false">IF($CP145&gt;$CO$8,"",VLOOKUP($CP145,$CR$9:$CX$508,2,FALSE()))</f>
        <v/>
      </c>
      <c r="DA145" s="141" t="str">
        <f aca="false">IF($CP145&gt;$CO$8,"",VLOOKUP($CP145,$CR$9:$CX$508,3,FALSE()))</f>
        <v/>
      </c>
      <c r="DB145" s="141" t="str">
        <f aca="false">IF($CP145&gt;$CO$8,"",VLOOKUP($CP145,$CR$9:$CX$508,4,FALSE()))</f>
        <v/>
      </c>
      <c r="DC145" s="141" t="str">
        <f aca="false">IF($CP145&gt;$CO$8,"",VLOOKUP($CP145,$CR$9:$CX$508,5,FALSE()))</f>
        <v/>
      </c>
      <c r="DD145" s="142" t="str">
        <f aca="false">IF($CP145&gt;$CO$8,"",VLOOKUP($CP145,$CR$9:$CX$508,6,FALSE()))</f>
        <v/>
      </c>
      <c r="DE145" s="70"/>
    </row>
    <row r="146" customFormat="false" ht="15.75" hidden="false" customHeight="false" outlineLevel="0" collapsed="false">
      <c r="A146" s="8"/>
      <c r="B146" s="146"/>
      <c r="C146" s="147"/>
      <c r="D146" s="148"/>
      <c r="E146" s="164"/>
      <c r="F146" s="150"/>
      <c r="G146" s="115"/>
      <c r="H146" s="115"/>
      <c r="I146" s="115"/>
      <c r="J146" s="165"/>
      <c r="K146" s="154"/>
      <c r="L146" s="154"/>
      <c r="M146" s="118"/>
      <c r="N146" s="154"/>
      <c r="O146" s="153"/>
      <c r="P146" s="154"/>
      <c r="Q146" s="154"/>
      <c r="R146" s="154"/>
      <c r="S146" s="115"/>
      <c r="T146" s="154"/>
      <c r="U146" s="153"/>
      <c r="V146" s="154"/>
      <c r="W146" s="123"/>
      <c r="X146" s="124" t="str">
        <f aca="false">IF(ISBLANK($C146),"",IF($E146=Constants!$B$2,TRUE(),IF($E146=Constants!$B$3,FALSE(),TRUE())))</f>
        <v/>
      </c>
      <c r="Y146" s="124" t="str">
        <f aca="false">IF(ISBLANK($C146),"",IF($F146=Constants!$B$2,TRUE(),IF($F146=Constants!$B$3,FALSE(),TRUE())))</f>
        <v/>
      </c>
      <c r="Z146" s="125" t="str">
        <f aca="false">IF(ISBLANK($C146),"",IF(ISNUMBER($G146),IF($G146&gt;=0,$G146,""),""))</f>
        <v/>
      </c>
      <c r="AA146" s="125" t="str">
        <f aca="false">IF(ISBLANK($C146),"",IF(ISNUMBER($H146),IF($H146&gt;=0,$H146,""),""))</f>
        <v/>
      </c>
      <c r="AB146" s="125" t="str">
        <f aca="false">IF(ISBLANK($C146),"",IF(ISNUMBER($I146),IF($I146&gt;=0,$I146,""),""))</f>
        <v/>
      </c>
      <c r="AC146" s="124" t="str">
        <f aca="false">IF(ISBLANK($C146),"",IF($J146=Constants!$B$2,TRUE(),IF($J146=Constants!$B$3,FALSE(),TRUE())))</f>
        <v/>
      </c>
      <c r="AD146" s="124" t="str">
        <f aca="false">IF(ISBLANK($C146),"",IF($K146=Constants!$B$2,TRUE(),IF($K146=Constants!$B$3,FALSE(),TRUE())))</f>
        <v/>
      </c>
      <c r="AE146" s="124" t="str">
        <f aca="false">IF(ISBLANK($C146),"",IF($L146=Constants!$B$2,TRUE(),IF($L146=Constants!$B$3,FALSE(),TRUE())))</f>
        <v/>
      </c>
      <c r="AF146" s="126" t="str">
        <f aca="false">IF(ISBLANK($C146),"",IF(ISNUMBER($M146),IF($M146&gt;=0,$M146,""),""))</f>
        <v/>
      </c>
      <c r="AG146" s="124" t="str">
        <f aca="false">IF(ISBLANK($C146),"",IF(ISBLANK($N146),0,IF(ISNUMBER($N146),IF(AND($N146&gt;=0,$N146&lt;=Constants!$B$17,$N146=INT($N146)),$N146,""),"")))</f>
        <v/>
      </c>
      <c r="AH146" s="125" t="str">
        <f aca="false">IF(ISBLANK($C146),"",IF(ISBLANK($O146),0,IF(ISNUMBER($O146),IF($O146&gt;=0,$O146,""),"")))</f>
        <v/>
      </c>
      <c r="AI146" s="124" t="str">
        <f aca="false">IF(ISBLANK($C146),"",IF($P146=Constants!$B$2,TRUE(),IF($P146=Constants!$B$3,FALSE(),TRUE())))</f>
        <v/>
      </c>
      <c r="AJ146" s="124" t="str">
        <f aca="false">IF(ISBLANK($C146),"",IF($Q146=Constants!$B$2,TRUE(),IF($Q146=Constants!$B$3,FALSE(),TRUE())))</f>
        <v/>
      </c>
      <c r="AK146" s="124" t="str">
        <f aca="false">IF(ISBLANK($C146),"",IF($R146=Constants!$B$2,TRUE(),IF($R146=Constants!$B$3,FALSE(),TRUE())))</f>
        <v/>
      </c>
      <c r="AL146" s="126" t="str">
        <f aca="false">IF(ISBLANK($C146),"",IF(ISNUMBER($S146),IF($S146&gt;=0,$S146,""),""))</f>
        <v/>
      </c>
      <c r="AM146" s="124" t="str">
        <f aca="false">IF(ISBLANK($C146),"",IF(ISBLANK($T146),0,IF(ISNUMBER($T146),IF(AND($T146&gt;=0,$T146&lt;=Constants!$B$17,$T146=INT($T146)),$T146,""),"")))</f>
        <v/>
      </c>
      <c r="AN146" s="125" t="str">
        <f aca="false">IF(ISBLANK($C146),"",IF(ISBLANK($U146),0,IF(ISNUMBER($U146),IF($U146&gt;=0,$U146,""),"")))</f>
        <v/>
      </c>
      <c r="AO146" s="124" t="str">
        <f aca="false">IF(ISBLANK($C146),"",IF($V146=Constants!$B$2,TRUE(),IF($V146=Constants!$B$3,FALSE(),FALSE())))</f>
        <v/>
      </c>
      <c r="AP146" s="124"/>
      <c r="AQ146" s="123" t="str">
        <f aca="false">IF(ISBLANK($C146),"",AND($Y146,OR($AS146,$BC146),OR($Z146="",$AA146="",$AB146="")))</f>
        <v/>
      </c>
      <c r="AR146" s="123" t="str">
        <f aca="false">IF(ISBLANK($C146),"",IF(OR(NOT($Y146),NOT(OR($AS146,$BC146))),"",IF(ISBLANK($D$7),$AR$5,IF($AP$9="",$AR$6,""))))</f>
        <v/>
      </c>
      <c r="AS146" s="123" t="str">
        <f aca="false">IF(ISBLANK($C146),"",COUNTA($J146:$O146)&gt;0)</f>
        <v/>
      </c>
      <c r="AT146" s="123" t="str">
        <f aca="false">IF(ISBLANK($C146),"",AND($AS146,OR(AND($AF146="",OR($AE146,NOT(ISBLANK($M146)))),$AG146="",$AH146="")))</f>
        <v/>
      </c>
      <c r="AU146" s="125" t="str">
        <f aca="false">IF($BL146&lt;&gt;Constants!$B$4,"",IF(NOT($AS146),"",ROUND((Constants!$B$12-$AB146)+(Constants!$B$13-$Z146)+(Constants!$B$14-$AA146),1)))</f>
        <v/>
      </c>
      <c r="AV146" s="127" t="str">
        <f aca="false">IF($BL146&lt;&gt;Constants!$B$4,"",IF(NOT($AS146),"",IF(NOT($AE146),0,Constants!$B$15*(INT(ROUND(MIN($AF146,$AP$9),6))-INT(ROUND(MAX(0,MIN($AF146,2*$AP$9)-$AP$9),6))))))</f>
        <v/>
      </c>
      <c r="AW146" s="127" t="str">
        <f aca="false">IF($BL146&lt;&gt;Constants!$B$4,"",IF(NOT($AS146),"",Constants!$B$16*$AG146))</f>
        <v/>
      </c>
      <c r="AX146" s="127" t="str">
        <f aca="false">IF($BL146&lt;&gt;Constants!$B$4,"",IF(NOT($AS146),"",Constants!$B$18*INT(ROUND($AH146,6))))</f>
        <v/>
      </c>
      <c r="AY146" s="123" t="str">
        <f aca="false">IF($BL146&lt;&gt;Constants!$B$4,"",IF(NOT($AS146),"",IF(NOT($X146),Constants!$B$11,IF(OR(NOT($AC146),NOT($AD146),ROUND($AB146,1)&gt;Constants!$B$12,ROUND($Z146,1)&gt;Constants!$B$13,ROUND($AA146,1)&gt;Constants!$B$14),Constants!$B$10,Constants!$B$9))))</f>
        <v/>
      </c>
      <c r="AZ146" s="128" t="str">
        <f aca="false">IF($BL146&lt;&gt;Constants!$B$4,"",IF(NOT($AS146),"",ROUND($AU146+$AV146+$AW146+$AX146,1)))</f>
        <v/>
      </c>
      <c r="BA146" s="129" t="str">
        <f aca="false">IF($BL146&lt;&gt;Constants!$B$4,"",IF(NOT($AS146),"",IF(ISNUMBER($AF146),$AF146,0)))</f>
        <v/>
      </c>
      <c r="BB146" s="124" t="str">
        <f aca="false">IF($BL146&lt;&gt;Constants!$B$4,"",IF(NOT($BC146),"&lt;-",IF(NOT($AS146),"-&gt;",IF(OR($BI146&lt;$AY146,AND($BI146=$AY146,OR($BJ146&gt;$AZ146,AND($BJ146=$AZ146,OR($BH146&gt;$AX146,AND($BH146=$AX146,OR($BE146&gt;$AU146,AND($BE146=$AU146,OR($BF146&gt;$AV146,AND($BF146=$AV146,$BK146&gt;$BA146)))))))))),"-&gt;","&lt;-"))))</f>
        <v/>
      </c>
      <c r="BC146" s="123" t="str">
        <f aca="false">IF(ISBLANK($C146),"",COUNTA($P146:$U146)&gt;0)</f>
        <v/>
      </c>
      <c r="BD146" s="123" t="str">
        <f aca="false">IF(ISBLANK($C146),"",AND($BC146,OR(AND($AL146="",OR($AK146,NOT(ISBLANK($S146)))),$AM146="",$AN146="")))</f>
        <v/>
      </c>
      <c r="BE146" s="125" t="str">
        <f aca="false">IF($BL146&lt;&gt;Constants!$B$4,"",IF(NOT($BC146),"",ROUND((Constants!$B$12-$AB146)+(Constants!$B$13-$Z146)+(Constants!$B$14-$AA146),1)))</f>
        <v/>
      </c>
      <c r="BF146" s="127" t="str">
        <f aca="false">IF($BL146&lt;&gt;Constants!$B$4,"",IF(NOT($BC146),"",IF(NOT($AK146),0,Constants!$B$15*(INT(ROUND(MIN($AL146,$AP$9),6))-INT(ROUND(MAX(0,MIN($AL146,2*$AP$9)-$AP$9),6))))))</f>
        <v/>
      </c>
      <c r="BG146" s="127" t="str">
        <f aca="false">IF($BL146&lt;&gt;Constants!$B$4,"",IF(NOT($BC146),"",Constants!$B$16*$AM146))</f>
        <v/>
      </c>
      <c r="BH146" s="127" t="str">
        <f aca="false">IF($BL146&lt;&gt;Constants!$B$4,"",IF(NOT($BC146),"",Constants!$B$18*INT(ROUND($AN146,6))))</f>
        <v/>
      </c>
      <c r="BI146" s="123" t="str">
        <f aca="false">IF($BL146&lt;&gt;Constants!$B$4,"",IF(NOT($BC146),"",IF(NOT($X146),Constants!$B$11,IF(OR(NOT($AI146),NOT($AJ146),ROUND($AB146,1)&gt;Constants!$B$12,ROUND($Z146,1)&gt;Constants!$B$13,ROUND($AA146,1)&gt;Constants!$B$14),Constants!$B$10,Constants!$B$9))))</f>
        <v/>
      </c>
      <c r="BJ146" s="128" t="str">
        <f aca="false">IF($BL146&lt;&gt;Constants!$B$4,"",IF(NOT($BC146),"",ROUND($BE146+$BF146+$BG146+$BH146,1)))</f>
        <v/>
      </c>
      <c r="BK146" s="129" t="str">
        <f aca="false">IF($BL146&lt;&gt;Constants!$B$4,"",IF(NOT($BC146),"",IF(ISNUMBER($AL146),$AL146,0)))</f>
        <v/>
      </c>
      <c r="BL146" s="124" t="str">
        <f aca="false">IF(ISBLANK($C146),"",IF($AO146,Constants!$B$7,IF(COUNTA($E146:$V146)=0,Constants!$B$6,IF(NOT($Y146),Constants!$B$5,IF(NOT(OR($AS146,$BC146)),Constants!$B$5,IF(OR($AT146,$BD146,$AQ146,$AR146&lt;&gt;""),Constants!$B$8,Constants!$B$4))))))</f>
        <v/>
      </c>
      <c r="BM146" s="124" t="str">
        <f aca="false">IF(ISBLANK($C146),"",IF($BL146&lt;&gt;Constants!$B$4,$BL146,IF($BB146="-&gt;",$BI146,$AY146)))</f>
        <v/>
      </c>
      <c r="BN146" s="127" t="str">
        <f aca="false">IF($BL146&lt;&gt;Constants!$B$4,"",IF($BB146="-&gt;",$BJ146,$AZ146))</f>
        <v/>
      </c>
      <c r="BO146" s="127" t="str">
        <f aca="false">IF(ISBLANK($C146),"",IF($BL146&lt;&gt;Constants!$B$4,$BL146,$BN146))</f>
        <v/>
      </c>
      <c r="BP146" s="124" t="str">
        <f aca="false">IF(ISBLANK($C146),"",IF($BL146&lt;&gt;Constants!$B$4,$BL146,RANK($BO146,$BO$9:$BO$508,0)))</f>
        <v/>
      </c>
      <c r="BQ146" s="124" t="str">
        <f aca="false">IF(ISBLANK($C146),"",IF($BL146&lt;&gt;Constants!$B$4,$BL146,COUNTIFS($BM$9:$BM$508,"&lt;"&amp;$BM146)+COUNTIFS($BM$9:$BM$508,$BM146,$BP$9:$BP$508,"&lt;"&amp;$BP146)+1))</f>
        <v/>
      </c>
      <c r="BR146" s="127" t="str">
        <f aca="false">IF($BL146&lt;&gt;Constants!$B$4,"",IF($BB146="-&gt;",$BH146,$AX146))</f>
        <v/>
      </c>
      <c r="BS146" s="124" t="str">
        <f aca="false">IF(ISBLANK($C146),"",IF($BL146&lt;&gt;Constants!$B$4,$BL146,IF(ISNUMBER($BR146),RANK($BR146,$BR$9:$BR$508,0),COUNT($BR$9:$BR$508)+1)))</f>
        <v/>
      </c>
      <c r="BT146" s="127" t="str">
        <f aca="false">IF($BL146&lt;&gt;Constants!$B$4,"",IF($BB146="-&gt;",$BE146,$AU146))</f>
        <v/>
      </c>
      <c r="BU146" s="124" t="str">
        <f aca="false">IF(ISBLANK($C146),"",IF($BL146&lt;&gt;Constants!$B$4,$BL146,IF(ISNUMBER($BT146),RANK($BT146,$BT$9:$BT$508,0),COUNT($BT$9:$BT$508)+1)))</f>
        <v/>
      </c>
      <c r="BV146" s="127" t="str">
        <f aca="false">IF($BL146&lt;&gt;Constants!$B$4,"",IF($BB146="-&gt;",$BF146,$AV146))</f>
        <v/>
      </c>
      <c r="BW146" s="124" t="str">
        <f aca="false">IF(ISBLANK($C146),"",IF($BL146&lt;&gt;Constants!$B$4,$BL146,IF(ISNUMBER($BV146),RANK($BV146,$BV$9:$BV$508,0),COUNT($BV$9:$BV$508)+1)))</f>
        <v/>
      </c>
      <c r="BX146" s="127" t="str">
        <f aca="false">IF($BL146&lt;&gt;Constants!$B$4,"",IF($BB146="-&gt;",$BK146,$BA146))</f>
        <v/>
      </c>
      <c r="BY146" s="124" t="str">
        <f aca="false">IF(ISBLANK($C146),"",IF($BL146&lt;&gt;Constants!$B$4,$BL146,IF(ISNUMBER($BX146),RANK($BX146,$BX$9:$BX$508,0),COUNT($BX$9:$BX$508)+1)))</f>
        <v/>
      </c>
      <c r="BZ146" s="124" t="str">
        <f aca="false">IF(ISBLANK($C146),"",IF($BL146&lt;&gt;Constants!$B$4,$BL146,COUNTIFS($BM$9:$BM$508,"&lt;"&amp;$BM146)+COUNTIFS($BM$9:$BM$508,$BM146,$BP$9:$BP$508,"&lt;"&amp;$BP146)+COUNTIFS($BM$9:$BM$508,$BM146,$BP$9:$BP$508,$BP146,$BS$9:$BS$508,"&lt;"&amp;$BS146)+COUNTIFS($BM$9:$BM$508,$BM146,$BP$9:$BP$508,$BP146,$BS$9:$BS$508,$BS146,$BU$9:$BU$508,"&lt;"&amp;$BU146)+COUNTIFS($BM$9:$BM$508,$BM146,$BP$9:$BP$508,$BP146,$BS$9:$BS$508,$BS146,$BU$9:$BU$508,$BU146,$BW$9:$BW$508,"&lt;"&amp;$BW146)+COUNTIFS($BM$9:$BM$508,$BM146,$BP$9:$BP$508,$BP146,$BS$9:$BS$508,$BS146,$BU$9:$BU$508,$BU146,$BW$9:$BW$508,$BW146,$BY$9:$BY$508,"&lt;"&amp;$BY146)+1))</f>
        <v/>
      </c>
      <c r="CA146" s="124" t="str">
        <f aca="false">IF(ISBLANK($C146),"",IF($BL146&lt;&gt;Constants!$B$4,$BL146,$BQ146-$BZ146))</f>
        <v/>
      </c>
      <c r="CB146" s="130"/>
      <c r="CC146" s="131" t="str">
        <f aca="false">IF(ISBLANK($C146),"",IF($BL146=Constants!$B$8,$AR146,""))</f>
        <v/>
      </c>
      <c r="CD146" s="131" t="str">
        <f aca="false">IF(ISBLANK($C146),"",IF($BL146&lt;&gt;Constants!$B$4,"",IF($BB146="-&gt;",2,1)))</f>
        <v/>
      </c>
      <c r="CE146" s="132" t="str">
        <f aca="false">IF(ISBLANK($C146),"",IF($BL146&lt;&gt;Constants!$B$4,"",IF($BB146="-&gt;",$BE146,$AU146)))</f>
        <v/>
      </c>
      <c r="CF146" s="132" t="str">
        <f aca="false">IF(ISBLANK($C146),"",IF($BL146&lt;&gt;Constants!$B$4,"",IF($BB146="-&gt;",$BF146,$AV146)))</f>
        <v/>
      </c>
      <c r="CG146" s="132" t="str">
        <f aca="false">IF(ISBLANK($C146),"",IF($BL146&lt;&gt;Constants!$B$4,"",IF($BB146="-&gt;",$BG146,$AW146)))</f>
        <v/>
      </c>
      <c r="CH146" s="132" t="str">
        <f aca="false">IF(ISBLANK($C146),"",IF($BL146&lt;&gt;Constants!$B$4,"",IF($BB146="-&gt;",$BH146,$AX146)))</f>
        <v/>
      </c>
      <c r="CI146" s="133" t="str">
        <f aca="false">IF(ISBLANK($C146),"",$BO146)</f>
        <v/>
      </c>
      <c r="CJ146" s="134" t="str">
        <f aca="false">IF(ISBLANK($C146),"",$BM146)</f>
        <v/>
      </c>
      <c r="CK146" s="135" t="str">
        <f aca="false">IF(ISBLANK($C146),"",$CA146)</f>
        <v/>
      </c>
      <c r="CL146" s="135" t="str">
        <f aca="false">IF(ISBLANK($C146),"",$BZ146)</f>
        <v/>
      </c>
      <c r="CM146" s="136" t="str">
        <f aca="false">IF(ISBLANK($C146),"",IF($CL146=Constants!$B$7,COUNTA($C$9:$C$508)+2,IF($CL146=Constants!$B$6,COUNTA($C$9:$C$508)+1,IF($CL146=Constants!$B$5,COUNTA($C$9:$C$508),$CL146))))</f>
        <v/>
      </c>
      <c r="CN146" s="8"/>
      <c r="CO146" s="137" t="n">
        <f aca="false">IF(OR(ISNUMBER($CL146),$CL146=Constants!$B$7,$CL146=Constants!$B$5,$CL146=Constants!$B$6),1,0)</f>
        <v>0</v>
      </c>
      <c r="CP146" s="137" t="n">
        <v>138</v>
      </c>
      <c r="CQ146" s="137" t="str">
        <f aca="false">IF(ISBLANK($C146),"",IF(ISNUMBER($CM146),$CM146+ROW($B146)/1000,""))</f>
        <v/>
      </c>
      <c r="CR146" s="137" t="str">
        <f aca="false">IF(ISNUMBER($CQ146),RANK($CQ146,$CQ$9:$CQ$508,1),"")</f>
        <v/>
      </c>
      <c r="CS146" s="137" t="str">
        <f aca="false">IF(ISBLANK($C146),"",$B146)</f>
        <v/>
      </c>
      <c r="CT146" s="137" t="str">
        <f aca="false">IF(ISBLANK($C146),"",$C146)</f>
        <v/>
      </c>
      <c r="CU146" s="137" t="str">
        <f aca="false">IF(ISBLANK($C146),"",$D146)</f>
        <v/>
      </c>
      <c r="CV146" s="138" t="str">
        <f aca="false">$CJ146</f>
        <v/>
      </c>
      <c r="CW146" s="139" t="str">
        <f aca="false">$CI146</f>
        <v/>
      </c>
      <c r="CX146" s="137" t="str">
        <f aca="false">IF(ISBLANK($C146),"",$CL146)</f>
        <v/>
      </c>
      <c r="CY146" s="140" t="str">
        <f aca="false">IF($CP146&gt;$CO$8,"",VLOOKUP($CP146,$CR$9:$CX$508,7,FALSE()))</f>
        <v/>
      </c>
      <c r="CZ146" s="141" t="str">
        <f aca="false">IF($CP146&gt;$CO$8,"",VLOOKUP($CP146,$CR$9:$CX$508,2,FALSE()))</f>
        <v/>
      </c>
      <c r="DA146" s="141" t="str">
        <f aca="false">IF($CP146&gt;$CO$8,"",VLOOKUP($CP146,$CR$9:$CX$508,3,FALSE()))</f>
        <v/>
      </c>
      <c r="DB146" s="141" t="str">
        <f aca="false">IF($CP146&gt;$CO$8,"",VLOOKUP($CP146,$CR$9:$CX$508,4,FALSE()))</f>
        <v/>
      </c>
      <c r="DC146" s="141" t="str">
        <f aca="false">IF($CP146&gt;$CO$8,"",VLOOKUP($CP146,$CR$9:$CX$508,5,FALSE()))</f>
        <v/>
      </c>
      <c r="DD146" s="142" t="str">
        <f aca="false">IF($CP146&gt;$CO$8,"",VLOOKUP($CP146,$CR$9:$CX$508,6,FALSE()))</f>
        <v/>
      </c>
      <c r="DE146" s="70"/>
    </row>
    <row r="147" customFormat="false" ht="15.75" hidden="false" customHeight="false" outlineLevel="0" collapsed="false">
      <c r="A147" s="8"/>
      <c r="B147" s="72"/>
      <c r="C147" s="73"/>
      <c r="D147" s="155"/>
      <c r="E147" s="162"/>
      <c r="F147" s="157"/>
      <c r="G147" s="77"/>
      <c r="H147" s="77"/>
      <c r="I147" s="77"/>
      <c r="J147" s="163"/>
      <c r="K147" s="161"/>
      <c r="L147" s="161"/>
      <c r="M147" s="80"/>
      <c r="N147" s="161"/>
      <c r="O147" s="160"/>
      <c r="P147" s="161"/>
      <c r="Q147" s="161"/>
      <c r="R147" s="161"/>
      <c r="S147" s="77"/>
      <c r="T147" s="161"/>
      <c r="U147" s="160"/>
      <c r="V147" s="161"/>
      <c r="W147" s="85"/>
      <c r="X147" s="86" t="str">
        <f aca="false">IF(ISBLANK($C147),"",IF($E147=Constants!$B$2,TRUE(),IF($E147=Constants!$B$3,FALSE(),TRUE())))</f>
        <v/>
      </c>
      <c r="Y147" s="86" t="str">
        <f aca="false">IF(ISBLANK($C147),"",IF($F147=Constants!$B$2,TRUE(),IF($F147=Constants!$B$3,FALSE(),TRUE())))</f>
        <v/>
      </c>
      <c r="Z147" s="87" t="str">
        <f aca="false">IF(ISBLANK($C147),"",IF(ISNUMBER($G147),IF($G147&gt;=0,$G147,""),""))</f>
        <v/>
      </c>
      <c r="AA147" s="87" t="str">
        <f aca="false">IF(ISBLANK($C147),"",IF(ISNUMBER($H147),IF($H147&gt;=0,$H147,""),""))</f>
        <v/>
      </c>
      <c r="AB147" s="87" t="str">
        <f aca="false">IF(ISBLANK($C147),"",IF(ISNUMBER($I147),IF($I147&gt;=0,$I147,""),""))</f>
        <v/>
      </c>
      <c r="AC147" s="86" t="str">
        <f aca="false">IF(ISBLANK($C147),"",IF($J147=Constants!$B$2,TRUE(),IF($J147=Constants!$B$3,FALSE(),TRUE())))</f>
        <v/>
      </c>
      <c r="AD147" s="86" t="str">
        <f aca="false">IF(ISBLANK($C147),"",IF($K147=Constants!$B$2,TRUE(),IF($K147=Constants!$B$3,FALSE(),TRUE())))</f>
        <v/>
      </c>
      <c r="AE147" s="86" t="str">
        <f aca="false">IF(ISBLANK($C147),"",IF($L147=Constants!$B$2,TRUE(),IF($L147=Constants!$B$3,FALSE(),TRUE())))</f>
        <v/>
      </c>
      <c r="AF147" s="88" t="str">
        <f aca="false">IF(ISBLANK($C147),"",IF(ISNUMBER($M147),IF($M147&gt;=0,$M147,""),""))</f>
        <v/>
      </c>
      <c r="AG147" s="86" t="str">
        <f aca="false">IF(ISBLANK($C147),"",IF(ISBLANK($N147),0,IF(ISNUMBER($N147),IF(AND($N147&gt;=0,$N147&lt;=Constants!$B$17,$N147=INT($N147)),$N147,""),"")))</f>
        <v/>
      </c>
      <c r="AH147" s="87" t="str">
        <f aca="false">IF(ISBLANK($C147),"",IF(ISBLANK($O147),0,IF(ISNUMBER($O147),IF($O147&gt;=0,$O147,""),"")))</f>
        <v/>
      </c>
      <c r="AI147" s="86" t="str">
        <f aca="false">IF(ISBLANK($C147),"",IF($P147=Constants!$B$2,TRUE(),IF($P147=Constants!$B$3,FALSE(),TRUE())))</f>
        <v/>
      </c>
      <c r="AJ147" s="86" t="str">
        <f aca="false">IF(ISBLANK($C147),"",IF($Q147=Constants!$B$2,TRUE(),IF($Q147=Constants!$B$3,FALSE(),TRUE())))</f>
        <v/>
      </c>
      <c r="AK147" s="86" t="str">
        <f aca="false">IF(ISBLANK($C147),"",IF($R147=Constants!$B$2,TRUE(),IF($R147=Constants!$B$3,FALSE(),TRUE())))</f>
        <v/>
      </c>
      <c r="AL147" s="88" t="str">
        <f aca="false">IF(ISBLANK($C147),"",IF(ISNUMBER($S147),IF($S147&gt;=0,$S147,""),""))</f>
        <v/>
      </c>
      <c r="AM147" s="86" t="str">
        <f aca="false">IF(ISBLANK($C147),"",IF(ISBLANK($T147),0,IF(ISNUMBER($T147),IF(AND($T147&gt;=0,$T147&lt;=Constants!$B$17,$T147=INT($T147)),$T147,""),"")))</f>
        <v/>
      </c>
      <c r="AN147" s="87" t="str">
        <f aca="false">IF(ISBLANK($C147),"",IF(ISBLANK($U147),0,IF(ISNUMBER($U147),IF($U147&gt;=0,$U147,""),"")))</f>
        <v/>
      </c>
      <c r="AO147" s="86" t="str">
        <f aca="false">IF(ISBLANK($C147),"",IF($V147=Constants!$B$2,TRUE(),IF($V147=Constants!$B$3,FALSE(),FALSE())))</f>
        <v/>
      </c>
      <c r="AP147" s="86"/>
      <c r="AQ147" s="85" t="str">
        <f aca="false">IF(ISBLANK($C147),"",AND($Y147,OR($AS147,$BC147),OR($Z147="",$AA147="",$AB147="")))</f>
        <v/>
      </c>
      <c r="AR147" s="85" t="str">
        <f aca="false">IF(ISBLANK($C147),"",IF(OR(NOT($Y147),NOT(OR($AS147,$BC147))),"",IF(ISBLANK($D$7),$AR$5,IF($AP$9="",$AR$6,""))))</f>
        <v/>
      </c>
      <c r="AS147" s="85" t="str">
        <f aca="false">IF(ISBLANK($C147),"",COUNTA($J147:$O147)&gt;0)</f>
        <v/>
      </c>
      <c r="AT147" s="85" t="str">
        <f aca="false">IF(ISBLANK($C147),"",AND($AS147,OR(AND($AF147="",OR($AE147,NOT(ISBLANK($M147)))),$AG147="",$AH147="")))</f>
        <v/>
      </c>
      <c r="AU147" s="87" t="str">
        <f aca="false">IF($BL147&lt;&gt;Constants!$B$4,"",IF(NOT($AS147),"",ROUND((Constants!$B$12-$AB147)+(Constants!$B$13-$Z147)+(Constants!$B$14-$AA147),1)))</f>
        <v/>
      </c>
      <c r="AV147" s="90" t="str">
        <f aca="false">IF($BL147&lt;&gt;Constants!$B$4,"",IF(NOT($AS147),"",IF(NOT($AE147),0,Constants!$B$15*(INT(ROUND(MIN($AF147,$AP$9),6))-INT(ROUND(MAX(0,MIN($AF147,2*$AP$9)-$AP$9),6))))))</f>
        <v/>
      </c>
      <c r="AW147" s="90" t="str">
        <f aca="false">IF($BL147&lt;&gt;Constants!$B$4,"",IF(NOT($AS147),"",Constants!$B$16*$AG147))</f>
        <v/>
      </c>
      <c r="AX147" s="90" t="str">
        <f aca="false">IF($BL147&lt;&gt;Constants!$B$4,"",IF(NOT($AS147),"",Constants!$B$18*INT(ROUND($AH147,6))))</f>
        <v/>
      </c>
      <c r="AY147" s="85" t="str">
        <f aca="false">IF($BL147&lt;&gt;Constants!$B$4,"",IF(NOT($AS147),"",IF(NOT($X147),Constants!$B$11,IF(OR(NOT($AC147),NOT($AD147),ROUND($AB147,1)&gt;Constants!$B$12,ROUND($Z147,1)&gt;Constants!$B$13,ROUND($AA147,1)&gt;Constants!$B$14),Constants!$B$10,Constants!$B$9))))</f>
        <v/>
      </c>
      <c r="AZ147" s="91" t="str">
        <f aca="false">IF($BL147&lt;&gt;Constants!$B$4,"",IF(NOT($AS147),"",ROUND($AU147+$AV147+$AW147+$AX147,1)))</f>
        <v/>
      </c>
      <c r="BA147" s="92" t="str">
        <f aca="false">IF($BL147&lt;&gt;Constants!$B$4,"",IF(NOT($AS147),"",IF(ISNUMBER($AF147),$AF147,0)))</f>
        <v/>
      </c>
      <c r="BB147" s="86" t="str">
        <f aca="false">IF($BL147&lt;&gt;Constants!$B$4,"",IF(NOT($BC147),"&lt;-",IF(NOT($AS147),"-&gt;",IF(OR($BI147&lt;$AY147,AND($BI147=$AY147,OR($BJ147&gt;$AZ147,AND($BJ147=$AZ147,OR($BH147&gt;$AX147,AND($BH147=$AX147,OR($BE147&gt;$AU147,AND($BE147=$AU147,OR($BF147&gt;$AV147,AND($BF147=$AV147,$BK147&gt;$BA147)))))))))),"-&gt;","&lt;-"))))</f>
        <v/>
      </c>
      <c r="BC147" s="85" t="str">
        <f aca="false">IF(ISBLANK($C147),"",COUNTA($P147:$U147)&gt;0)</f>
        <v/>
      </c>
      <c r="BD147" s="85" t="str">
        <f aca="false">IF(ISBLANK($C147),"",AND($BC147,OR(AND($AL147="",OR($AK147,NOT(ISBLANK($S147)))),$AM147="",$AN147="")))</f>
        <v/>
      </c>
      <c r="BE147" s="87" t="str">
        <f aca="false">IF($BL147&lt;&gt;Constants!$B$4,"",IF(NOT($BC147),"",ROUND((Constants!$B$12-$AB147)+(Constants!$B$13-$Z147)+(Constants!$B$14-$AA147),1)))</f>
        <v/>
      </c>
      <c r="BF147" s="90" t="str">
        <f aca="false">IF($BL147&lt;&gt;Constants!$B$4,"",IF(NOT($BC147),"",IF(NOT($AK147),0,Constants!$B$15*(INT(ROUND(MIN($AL147,$AP$9),6))-INT(ROUND(MAX(0,MIN($AL147,2*$AP$9)-$AP$9),6))))))</f>
        <v/>
      </c>
      <c r="BG147" s="90" t="str">
        <f aca="false">IF($BL147&lt;&gt;Constants!$B$4,"",IF(NOT($BC147),"",Constants!$B$16*$AM147))</f>
        <v/>
      </c>
      <c r="BH147" s="90" t="str">
        <f aca="false">IF($BL147&lt;&gt;Constants!$B$4,"",IF(NOT($BC147),"",Constants!$B$18*INT(ROUND($AN147,6))))</f>
        <v/>
      </c>
      <c r="BI147" s="85" t="str">
        <f aca="false">IF($BL147&lt;&gt;Constants!$B$4,"",IF(NOT($BC147),"",IF(NOT($X147),Constants!$B$11,IF(OR(NOT($AI147),NOT($AJ147),ROUND($AB147,1)&gt;Constants!$B$12,ROUND($Z147,1)&gt;Constants!$B$13,ROUND($AA147,1)&gt;Constants!$B$14),Constants!$B$10,Constants!$B$9))))</f>
        <v/>
      </c>
      <c r="BJ147" s="91" t="str">
        <f aca="false">IF($BL147&lt;&gt;Constants!$B$4,"",IF(NOT($BC147),"",ROUND($BE147+$BF147+$BG147+$BH147,1)))</f>
        <v/>
      </c>
      <c r="BK147" s="92" t="str">
        <f aca="false">IF($BL147&lt;&gt;Constants!$B$4,"",IF(NOT($BC147),"",IF(ISNUMBER($AL147),$AL147,0)))</f>
        <v/>
      </c>
      <c r="BL147" s="86" t="str">
        <f aca="false">IF(ISBLANK($C147),"",IF($AO147,Constants!$B$7,IF(COUNTA($E147:$V147)=0,Constants!$B$6,IF(NOT($Y147),Constants!$B$5,IF(NOT(OR($AS147,$BC147)),Constants!$B$5,IF(OR($AT147,$BD147,$AQ147,$AR147&lt;&gt;""),Constants!$B$8,Constants!$B$4))))))</f>
        <v/>
      </c>
      <c r="BM147" s="86" t="str">
        <f aca="false">IF(ISBLANK($C147),"",IF($BL147&lt;&gt;Constants!$B$4,$BL147,IF($BB147="-&gt;",$BI147,$AY147)))</f>
        <v/>
      </c>
      <c r="BN147" s="90" t="str">
        <f aca="false">IF($BL147&lt;&gt;Constants!$B$4,"",IF($BB147="-&gt;",$BJ147,$AZ147))</f>
        <v/>
      </c>
      <c r="BO147" s="90" t="str">
        <f aca="false">IF(ISBLANK($C147),"",IF($BL147&lt;&gt;Constants!$B$4,$BL147,$BN147))</f>
        <v/>
      </c>
      <c r="BP147" s="86" t="str">
        <f aca="false">IF(ISBLANK($C147),"",IF($BL147&lt;&gt;Constants!$B$4,$BL147,RANK($BO147,$BO$9:$BO$508,0)))</f>
        <v/>
      </c>
      <c r="BQ147" s="86" t="str">
        <f aca="false">IF(ISBLANK($C147),"",IF($BL147&lt;&gt;Constants!$B$4,$BL147,COUNTIFS($BM$9:$BM$508,"&lt;"&amp;$BM147)+COUNTIFS($BM$9:$BM$508,$BM147,$BP$9:$BP$508,"&lt;"&amp;$BP147)+1))</f>
        <v/>
      </c>
      <c r="BR147" s="90" t="str">
        <f aca="false">IF($BL147&lt;&gt;Constants!$B$4,"",IF($BB147="-&gt;",$BH147,$AX147))</f>
        <v/>
      </c>
      <c r="BS147" s="86" t="str">
        <f aca="false">IF(ISBLANK($C147),"",IF($BL147&lt;&gt;Constants!$B$4,$BL147,IF(ISNUMBER($BR147),RANK($BR147,$BR$9:$BR$508,0),COUNT($BR$9:$BR$508)+1)))</f>
        <v/>
      </c>
      <c r="BT147" s="90" t="str">
        <f aca="false">IF($BL147&lt;&gt;Constants!$B$4,"",IF($BB147="-&gt;",$BE147,$AU147))</f>
        <v/>
      </c>
      <c r="BU147" s="86" t="str">
        <f aca="false">IF(ISBLANK($C147),"",IF($BL147&lt;&gt;Constants!$B$4,$BL147,IF(ISNUMBER($BT147),RANK($BT147,$BT$9:$BT$508,0),COUNT($BT$9:$BT$508)+1)))</f>
        <v/>
      </c>
      <c r="BV147" s="90" t="str">
        <f aca="false">IF($BL147&lt;&gt;Constants!$B$4,"",IF($BB147="-&gt;",$BF147,$AV147))</f>
        <v/>
      </c>
      <c r="BW147" s="86" t="str">
        <f aca="false">IF(ISBLANK($C147),"",IF($BL147&lt;&gt;Constants!$B$4,$BL147,IF(ISNUMBER($BV147),RANK($BV147,$BV$9:$BV$508,0),COUNT($BV$9:$BV$508)+1)))</f>
        <v/>
      </c>
      <c r="BX147" s="90" t="str">
        <f aca="false">IF($BL147&lt;&gt;Constants!$B$4,"",IF($BB147="-&gt;",$BK147,$BA147))</f>
        <v/>
      </c>
      <c r="BY147" s="86" t="str">
        <f aca="false">IF(ISBLANK($C147),"",IF($BL147&lt;&gt;Constants!$B$4,$BL147,IF(ISNUMBER($BX147),RANK($BX147,$BX$9:$BX$508,0),COUNT($BX$9:$BX$508)+1)))</f>
        <v/>
      </c>
      <c r="BZ147" s="86" t="str">
        <f aca="false">IF(ISBLANK($C147),"",IF($BL147&lt;&gt;Constants!$B$4,$BL147,COUNTIFS($BM$9:$BM$508,"&lt;"&amp;$BM147)+COUNTIFS($BM$9:$BM$508,$BM147,$BP$9:$BP$508,"&lt;"&amp;$BP147)+COUNTIFS($BM$9:$BM$508,$BM147,$BP$9:$BP$508,$BP147,$BS$9:$BS$508,"&lt;"&amp;$BS147)+COUNTIFS($BM$9:$BM$508,$BM147,$BP$9:$BP$508,$BP147,$BS$9:$BS$508,$BS147,$BU$9:$BU$508,"&lt;"&amp;$BU147)+COUNTIFS($BM$9:$BM$508,$BM147,$BP$9:$BP$508,$BP147,$BS$9:$BS$508,$BS147,$BU$9:$BU$508,$BU147,$BW$9:$BW$508,"&lt;"&amp;$BW147)+COUNTIFS($BM$9:$BM$508,$BM147,$BP$9:$BP$508,$BP147,$BS$9:$BS$508,$BS147,$BU$9:$BU$508,$BU147,$BW$9:$BW$508,$BW147,$BY$9:$BY$508,"&lt;"&amp;$BY147)+1))</f>
        <v/>
      </c>
      <c r="CA147" s="86" t="str">
        <f aca="false">IF(ISBLANK($C147),"",IF($BL147&lt;&gt;Constants!$B$4,$BL147,$BQ147-$BZ147))</f>
        <v/>
      </c>
      <c r="CB147" s="93"/>
      <c r="CC147" s="94" t="str">
        <f aca="false">IF(ISBLANK($C147),"",IF($BL147=Constants!$B$8,$AR147,""))</f>
        <v/>
      </c>
      <c r="CD147" s="94" t="str">
        <f aca="false">IF(ISBLANK($C147),"",IF($BL147&lt;&gt;Constants!$B$4,"",IF($BB147="-&gt;",2,1)))</f>
        <v/>
      </c>
      <c r="CE147" s="95" t="str">
        <f aca="false">IF(ISBLANK($C147),"",IF($BL147&lt;&gt;Constants!$B$4,"",IF($BB147="-&gt;",$BE147,$AU147)))</f>
        <v/>
      </c>
      <c r="CF147" s="95" t="str">
        <f aca="false">IF(ISBLANK($C147),"",IF($BL147&lt;&gt;Constants!$B$4,"",IF($BB147="-&gt;",$BF147,$AV147)))</f>
        <v/>
      </c>
      <c r="CG147" s="95" t="str">
        <f aca="false">IF(ISBLANK($C147),"",IF($BL147&lt;&gt;Constants!$B$4,"",IF($BB147="-&gt;",$BG147,$AW147)))</f>
        <v/>
      </c>
      <c r="CH147" s="95" t="str">
        <f aca="false">IF(ISBLANK($C147),"",IF($BL147&lt;&gt;Constants!$B$4,"",IF($BB147="-&gt;",$BH147,$AX147)))</f>
        <v/>
      </c>
      <c r="CI147" s="96" t="str">
        <f aca="false">IF(ISBLANK($C147),"",$BO147)</f>
        <v/>
      </c>
      <c r="CJ147" s="97" t="str">
        <f aca="false">IF(ISBLANK($C147),"",$BM147)</f>
        <v/>
      </c>
      <c r="CK147" s="98" t="str">
        <f aca="false">IF(ISBLANK($C147),"",$CA147)</f>
        <v/>
      </c>
      <c r="CL147" s="98" t="str">
        <f aca="false">IF(ISBLANK($C147),"",$BZ147)</f>
        <v/>
      </c>
      <c r="CM147" s="99" t="str">
        <f aca="false">IF(ISBLANK($C147),"",IF($CL147=Constants!$B$7,COUNTA($C$9:$C$508)+2,IF($CL147=Constants!$B$6,COUNTA($C$9:$C$508)+1,IF($CL147=Constants!$B$5,COUNTA($C$9:$C$508),$CL147))))</f>
        <v/>
      </c>
      <c r="CN147" s="8"/>
      <c r="CO147" s="100" t="n">
        <f aca="false">IF(OR(ISNUMBER($CL147),$CL147=Constants!$B$7,$CL147=Constants!$B$5,$CL147=Constants!$B$6),1,0)</f>
        <v>0</v>
      </c>
      <c r="CP147" s="100" t="n">
        <v>139</v>
      </c>
      <c r="CQ147" s="100" t="str">
        <f aca="false">IF(ISBLANK($C147),"",IF(ISNUMBER($CM147),$CM147+ROW($B147)/1000,""))</f>
        <v/>
      </c>
      <c r="CR147" s="100" t="str">
        <f aca="false">IF(ISNUMBER($CQ147),RANK($CQ147,$CQ$9:$CQ$508,1),"")</f>
        <v/>
      </c>
      <c r="CS147" s="100" t="str">
        <f aca="false">IF(ISBLANK($C147),"",$B147)</f>
        <v/>
      </c>
      <c r="CT147" s="100" t="str">
        <f aca="false">IF(ISBLANK($C147),"",$C147)</f>
        <v/>
      </c>
      <c r="CU147" s="100" t="str">
        <f aca="false">IF(ISBLANK($C147),"",$D147)</f>
        <v/>
      </c>
      <c r="CV147" s="101" t="str">
        <f aca="false">$CJ147</f>
        <v/>
      </c>
      <c r="CW147" s="102" t="str">
        <f aca="false">$CI147</f>
        <v/>
      </c>
      <c r="CX147" s="100" t="str">
        <f aca="false">IF(ISBLANK($C147),"",$CL147)</f>
        <v/>
      </c>
      <c r="CY147" s="103" t="str">
        <f aca="false">IF($CP147&gt;$CO$8,"",VLOOKUP($CP147,$CR$9:$CX$508,7,FALSE()))</f>
        <v/>
      </c>
      <c r="CZ147" s="104" t="str">
        <f aca="false">IF($CP147&gt;$CO$8,"",VLOOKUP($CP147,$CR$9:$CX$508,2,FALSE()))</f>
        <v/>
      </c>
      <c r="DA147" s="104" t="str">
        <f aca="false">IF($CP147&gt;$CO$8,"",VLOOKUP($CP147,$CR$9:$CX$508,3,FALSE()))</f>
        <v/>
      </c>
      <c r="DB147" s="104" t="str">
        <f aca="false">IF($CP147&gt;$CO$8,"",VLOOKUP($CP147,$CR$9:$CX$508,4,FALSE()))</f>
        <v/>
      </c>
      <c r="DC147" s="104" t="str">
        <f aca="false">IF($CP147&gt;$CO$8,"",VLOOKUP($CP147,$CR$9:$CX$508,5,FALSE()))</f>
        <v/>
      </c>
      <c r="DD147" s="105" t="str">
        <f aca="false">IF($CP147&gt;$CO$8,"",VLOOKUP($CP147,$CR$9:$CX$508,6,FALSE()))</f>
        <v/>
      </c>
      <c r="DE147" s="70"/>
    </row>
    <row r="148" customFormat="false" ht="15.75" hidden="false" customHeight="false" outlineLevel="0" collapsed="false">
      <c r="A148" s="8"/>
      <c r="B148" s="72"/>
      <c r="C148" s="73"/>
      <c r="D148" s="155"/>
      <c r="E148" s="162"/>
      <c r="F148" s="157"/>
      <c r="G148" s="77"/>
      <c r="H148" s="77"/>
      <c r="I148" s="77"/>
      <c r="J148" s="163"/>
      <c r="K148" s="161"/>
      <c r="L148" s="161"/>
      <c r="M148" s="80"/>
      <c r="N148" s="161"/>
      <c r="O148" s="160"/>
      <c r="P148" s="161"/>
      <c r="Q148" s="161"/>
      <c r="R148" s="161"/>
      <c r="S148" s="77"/>
      <c r="T148" s="161"/>
      <c r="U148" s="160"/>
      <c r="V148" s="161"/>
      <c r="W148" s="85"/>
      <c r="X148" s="86" t="str">
        <f aca="false">IF(ISBLANK($C148),"",IF($E148=Constants!$B$2,TRUE(),IF($E148=Constants!$B$3,FALSE(),TRUE())))</f>
        <v/>
      </c>
      <c r="Y148" s="86" t="str">
        <f aca="false">IF(ISBLANK($C148),"",IF($F148=Constants!$B$2,TRUE(),IF($F148=Constants!$B$3,FALSE(),TRUE())))</f>
        <v/>
      </c>
      <c r="Z148" s="87" t="str">
        <f aca="false">IF(ISBLANK($C148),"",IF(ISNUMBER($G148),IF($G148&gt;=0,$G148,""),""))</f>
        <v/>
      </c>
      <c r="AA148" s="87" t="str">
        <f aca="false">IF(ISBLANK($C148),"",IF(ISNUMBER($H148),IF($H148&gt;=0,$H148,""),""))</f>
        <v/>
      </c>
      <c r="AB148" s="87" t="str">
        <f aca="false">IF(ISBLANK($C148),"",IF(ISNUMBER($I148),IF($I148&gt;=0,$I148,""),""))</f>
        <v/>
      </c>
      <c r="AC148" s="86" t="str">
        <f aca="false">IF(ISBLANK($C148),"",IF($J148=Constants!$B$2,TRUE(),IF($J148=Constants!$B$3,FALSE(),TRUE())))</f>
        <v/>
      </c>
      <c r="AD148" s="86" t="str">
        <f aca="false">IF(ISBLANK($C148),"",IF($K148=Constants!$B$2,TRUE(),IF($K148=Constants!$B$3,FALSE(),TRUE())))</f>
        <v/>
      </c>
      <c r="AE148" s="86" t="str">
        <f aca="false">IF(ISBLANK($C148),"",IF($L148=Constants!$B$2,TRUE(),IF($L148=Constants!$B$3,FALSE(),TRUE())))</f>
        <v/>
      </c>
      <c r="AF148" s="88" t="str">
        <f aca="false">IF(ISBLANK($C148),"",IF(ISNUMBER($M148),IF($M148&gt;=0,$M148,""),""))</f>
        <v/>
      </c>
      <c r="AG148" s="86" t="str">
        <f aca="false">IF(ISBLANK($C148),"",IF(ISBLANK($N148),0,IF(ISNUMBER($N148),IF(AND($N148&gt;=0,$N148&lt;=Constants!$B$17,$N148=INT($N148)),$N148,""),"")))</f>
        <v/>
      </c>
      <c r="AH148" s="87" t="str">
        <f aca="false">IF(ISBLANK($C148),"",IF(ISBLANK($O148),0,IF(ISNUMBER($O148),IF($O148&gt;=0,$O148,""),"")))</f>
        <v/>
      </c>
      <c r="AI148" s="86" t="str">
        <f aca="false">IF(ISBLANK($C148),"",IF($P148=Constants!$B$2,TRUE(),IF($P148=Constants!$B$3,FALSE(),TRUE())))</f>
        <v/>
      </c>
      <c r="AJ148" s="86" t="str">
        <f aca="false">IF(ISBLANK($C148),"",IF($Q148=Constants!$B$2,TRUE(),IF($Q148=Constants!$B$3,FALSE(),TRUE())))</f>
        <v/>
      </c>
      <c r="AK148" s="86" t="str">
        <f aca="false">IF(ISBLANK($C148),"",IF($R148=Constants!$B$2,TRUE(),IF($R148=Constants!$B$3,FALSE(),TRUE())))</f>
        <v/>
      </c>
      <c r="AL148" s="88" t="str">
        <f aca="false">IF(ISBLANK($C148),"",IF(ISNUMBER($S148),IF($S148&gt;=0,$S148,""),""))</f>
        <v/>
      </c>
      <c r="AM148" s="86" t="str">
        <f aca="false">IF(ISBLANK($C148),"",IF(ISBLANK($T148),0,IF(ISNUMBER($T148),IF(AND($T148&gt;=0,$T148&lt;=Constants!$B$17,$T148=INT($T148)),$T148,""),"")))</f>
        <v/>
      </c>
      <c r="AN148" s="87" t="str">
        <f aca="false">IF(ISBLANK($C148),"",IF(ISBLANK($U148),0,IF(ISNUMBER($U148),IF($U148&gt;=0,$U148,""),"")))</f>
        <v/>
      </c>
      <c r="AO148" s="86" t="str">
        <f aca="false">IF(ISBLANK($C148),"",IF($V148=Constants!$B$2,TRUE(),IF($V148=Constants!$B$3,FALSE(),FALSE())))</f>
        <v/>
      </c>
      <c r="AP148" s="86"/>
      <c r="AQ148" s="85" t="str">
        <f aca="false">IF(ISBLANK($C148),"",AND($Y148,OR($AS148,$BC148),OR($Z148="",$AA148="",$AB148="")))</f>
        <v/>
      </c>
      <c r="AR148" s="85" t="str">
        <f aca="false">IF(ISBLANK($C148),"",IF(OR(NOT($Y148),NOT(OR($AS148,$BC148))),"",IF(ISBLANK($D$7),$AR$5,IF($AP$9="",$AR$6,""))))</f>
        <v/>
      </c>
      <c r="AS148" s="85" t="str">
        <f aca="false">IF(ISBLANK($C148),"",COUNTA($J148:$O148)&gt;0)</f>
        <v/>
      </c>
      <c r="AT148" s="85" t="str">
        <f aca="false">IF(ISBLANK($C148),"",AND($AS148,OR(AND($AF148="",OR($AE148,NOT(ISBLANK($M148)))),$AG148="",$AH148="")))</f>
        <v/>
      </c>
      <c r="AU148" s="87" t="str">
        <f aca="false">IF($BL148&lt;&gt;Constants!$B$4,"",IF(NOT($AS148),"",ROUND((Constants!$B$12-$AB148)+(Constants!$B$13-$Z148)+(Constants!$B$14-$AA148),1)))</f>
        <v/>
      </c>
      <c r="AV148" s="90" t="str">
        <f aca="false">IF($BL148&lt;&gt;Constants!$B$4,"",IF(NOT($AS148),"",IF(NOT($AE148),0,Constants!$B$15*(INT(ROUND(MIN($AF148,$AP$9),6))-INT(ROUND(MAX(0,MIN($AF148,2*$AP$9)-$AP$9),6))))))</f>
        <v/>
      </c>
      <c r="AW148" s="90" t="str">
        <f aca="false">IF($BL148&lt;&gt;Constants!$B$4,"",IF(NOT($AS148),"",Constants!$B$16*$AG148))</f>
        <v/>
      </c>
      <c r="AX148" s="90" t="str">
        <f aca="false">IF($BL148&lt;&gt;Constants!$B$4,"",IF(NOT($AS148),"",Constants!$B$18*INT(ROUND($AH148,6))))</f>
        <v/>
      </c>
      <c r="AY148" s="85" t="str">
        <f aca="false">IF($BL148&lt;&gt;Constants!$B$4,"",IF(NOT($AS148),"",IF(NOT($X148),Constants!$B$11,IF(OR(NOT($AC148),NOT($AD148),ROUND($AB148,1)&gt;Constants!$B$12,ROUND($Z148,1)&gt;Constants!$B$13,ROUND($AA148,1)&gt;Constants!$B$14),Constants!$B$10,Constants!$B$9))))</f>
        <v/>
      </c>
      <c r="AZ148" s="91" t="str">
        <f aca="false">IF($BL148&lt;&gt;Constants!$B$4,"",IF(NOT($AS148),"",ROUND($AU148+$AV148+$AW148+$AX148,1)))</f>
        <v/>
      </c>
      <c r="BA148" s="92" t="str">
        <f aca="false">IF($BL148&lt;&gt;Constants!$B$4,"",IF(NOT($AS148),"",IF(ISNUMBER($AF148),$AF148,0)))</f>
        <v/>
      </c>
      <c r="BB148" s="86" t="str">
        <f aca="false">IF($BL148&lt;&gt;Constants!$B$4,"",IF(NOT($BC148),"&lt;-",IF(NOT($AS148),"-&gt;",IF(OR($BI148&lt;$AY148,AND($BI148=$AY148,OR($BJ148&gt;$AZ148,AND($BJ148=$AZ148,OR($BH148&gt;$AX148,AND($BH148=$AX148,OR($BE148&gt;$AU148,AND($BE148=$AU148,OR($BF148&gt;$AV148,AND($BF148=$AV148,$BK148&gt;$BA148)))))))))),"-&gt;","&lt;-"))))</f>
        <v/>
      </c>
      <c r="BC148" s="85" t="str">
        <f aca="false">IF(ISBLANK($C148),"",COUNTA($P148:$U148)&gt;0)</f>
        <v/>
      </c>
      <c r="BD148" s="85" t="str">
        <f aca="false">IF(ISBLANK($C148),"",AND($BC148,OR(AND($AL148="",OR($AK148,NOT(ISBLANK($S148)))),$AM148="",$AN148="")))</f>
        <v/>
      </c>
      <c r="BE148" s="87" t="str">
        <f aca="false">IF($BL148&lt;&gt;Constants!$B$4,"",IF(NOT($BC148),"",ROUND((Constants!$B$12-$AB148)+(Constants!$B$13-$Z148)+(Constants!$B$14-$AA148),1)))</f>
        <v/>
      </c>
      <c r="BF148" s="90" t="str">
        <f aca="false">IF($BL148&lt;&gt;Constants!$B$4,"",IF(NOT($BC148),"",IF(NOT($AK148),0,Constants!$B$15*(INT(ROUND(MIN($AL148,$AP$9),6))-INT(ROUND(MAX(0,MIN($AL148,2*$AP$9)-$AP$9),6))))))</f>
        <v/>
      </c>
      <c r="BG148" s="90" t="str">
        <f aca="false">IF($BL148&lt;&gt;Constants!$B$4,"",IF(NOT($BC148),"",Constants!$B$16*$AM148))</f>
        <v/>
      </c>
      <c r="BH148" s="90" t="str">
        <f aca="false">IF($BL148&lt;&gt;Constants!$B$4,"",IF(NOT($BC148),"",Constants!$B$18*INT(ROUND($AN148,6))))</f>
        <v/>
      </c>
      <c r="BI148" s="85" t="str">
        <f aca="false">IF($BL148&lt;&gt;Constants!$B$4,"",IF(NOT($BC148),"",IF(NOT($X148),Constants!$B$11,IF(OR(NOT($AI148),NOT($AJ148),ROUND($AB148,1)&gt;Constants!$B$12,ROUND($Z148,1)&gt;Constants!$B$13,ROUND($AA148,1)&gt;Constants!$B$14),Constants!$B$10,Constants!$B$9))))</f>
        <v/>
      </c>
      <c r="BJ148" s="91" t="str">
        <f aca="false">IF($BL148&lt;&gt;Constants!$B$4,"",IF(NOT($BC148),"",ROUND($BE148+$BF148+$BG148+$BH148,1)))</f>
        <v/>
      </c>
      <c r="BK148" s="92" t="str">
        <f aca="false">IF($BL148&lt;&gt;Constants!$B$4,"",IF(NOT($BC148),"",IF(ISNUMBER($AL148),$AL148,0)))</f>
        <v/>
      </c>
      <c r="BL148" s="86" t="str">
        <f aca="false">IF(ISBLANK($C148),"",IF($AO148,Constants!$B$7,IF(COUNTA($E148:$V148)=0,Constants!$B$6,IF(NOT($Y148),Constants!$B$5,IF(NOT(OR($AS148,$BC148)),Constants!$B$5,IF(OR($AT148,$BD148,$AQ148,$AR148&lt;&gt;""),Constants!$B$8,Constants!$B$4))))))</f>
        <v/>
      </c>
      <c r="BM148" s="86" t="str">
        <f aca="false">IF(ISBLANK($C148),"",IF($BL148&lt;&gt;Constants!$B$4,$BL148,IF($BB148="-&gt;",$BI148,$AY148)))</f>
        <v/>
      </c>
      <c r="BN148" s="90" t="str">
        <f aca="false">IF($BL148&lt;&gt;Constants!$B$4,"",IF($BB148="-&gt;",$BJ148,$AZ148))</f>
        <v/>
      </c>
      <c r="BO148" s="90" t="str">
        <f aca="false">IF(ISBLANK($C148),"",IF($BL148&lt;&gt;Constants!$B$4,$BL148,$BN148))</f>
        <v/>
      </c>
      <c r="BP148" s="86" t="str">
        <f aca="false">IF(ISBLANK($C148),"",IF($BL148&lt;&gt;Constants!$B$4,$BL148,RANK($BO148,$BO$9:$BO$508,0)))</f>
        <v/>
      </c>
      <c r="BQ148" s="86" t="str">
        <f aca="false">IF(ISBLANK($C148),"",IF($BL148&lt;&gt;Constants!$B$4,$BL148,COUNTIFS($BM$9:$BM$508,"&lt;"&amp;$BM148)+COUNTIFS($BM$9:$BM$508,$BM148,$BP$9:$BP$508,"&lt;"&amp;$BP148)+1))</f>
        <v/>
      </c>
      <c r="BR148" s="90" t="str">
        <f aca="false">IF($BL148&lt;&gt;Constants!$B$4,"",IF($BB148="-&gt;",$BH148,$AX148))</f>
        <v/>
      </c>
      <c r="BS148" s="86" t="str">
        <f aca="false">IF(ISBLANK($C148),"",IF($BL148&lt;&gt;Constants!$B$4,$BL148,IF(ISNUMBER($BR148),RANK($BR148,$BR$9:$BR$508,0),COUNT($BR$9:$BR$508)+1)))</f>
        <v/>
      </c>
      <c r="BT148" s="90" t="str">
        <f aca="false">IF($BL148&lt;&gt;Constants!$B$4,"",IF($BB148="-&gt;",$BE148,$AU148))</f>
        <v/>
      </c>
      <c r="BU148" s="86" t="str">
        <f aca="false">IF(ISBLANK($C148),"",IF($BL148&lt;&gt;Constants!$B$4,$BL148,IF(ISNUMBER($BT148),RANK($BT148,$BT$9:$BT$508,0),COUNT($BT$9:$BT$508)+1)))</f>
        <v/>
      </c>
      <c r="BV148" s="90" t="str">
        <f aca="false">IF($BL148&lt;&gt;Constants!$B$4,"",IF($BB148="-&gt;",$BF148,$AV148))</f>
        <v/>
      </c>
      <c r="BW148" s="86" t="str">
        <f aca="false">IF(ISBLANK($C148),"",IF($BL148&lt;&gt;Constants!$B$4,$BL148,IF(ISNUMBER($BV148),RANK($BV148,$BV$9:$BV$508,0),COUNT($BV$9:$BV$508)+1)))</f>
        <v/>
      </c>
      <c r="BX148" s="90" t="str">
        <f aca="false">IF($BL148&lt;&gt;Constants!$B$4,"",IF($BB148="-&gt;",$BK148,$BA148))</f>
        <v/>
      </c>
      <c r="BY148" s="86" t="str">
        <f aca="false">IF(ISBLANK($C148),"",IF($BL148&lt;&gt;Constants!$B$4,$BL148,IF(ISNUMBER($BX148),RANK($BX148,$BX$9:$BX$508,0),COUNT($BX$9:$BX$508)+1)))</f>
        <v/>
      </c>
      <c r="BZ148" s="86" t="str">
        <f aca="false">IF(ISBLANK($C148),"",IF($BL148&lt;&gt;Constants!$B$4,$BL148,COUNTIFS($BM$9:$BM$508,"&lt;"&amp;$BM148)+COUNTIFS($BM$9:$BM$508,$BM148,$BP$9:$BP$508,"&lt;"&amp;$BP148)+COUNTIFS($BM$9:$BM$508,$BM148,$BP$9:$BP$508,$BP148,$BS$9:$BS$508,"&lt;"&amp;$BS148)+COUNTIFS($BM$9:$BM$508,$BM148,$BP$9:$BP$508,$BP148,$BS$9:$BS$508,$BS148,$BU$9:$BU$508,"&lt;"&amp;$BU148)+COUNTIFS($BM$9:$BM$508,$BM148,$BP$9:$BP$508,$BP148,$BS$9:$BS$508,$BS148,$BU$9:$BU$508,$BU148,$BW$9:$BW$508,"&lt;"&amp;$BW148)+COUNTIFS($BM$9:$BM$508,$BM148,$BP$9:$BP$508,$BP148,$BS$9:$BS$508,$BS148,$BU$9:$BU$508,$BU148,$BW$9:$BW$508,$BW148,$BY$9:$BY$508,"&lt;"&amp;$BY148)+1))</f>
        <v/>
      </c>
      <c r="CA148" s="86" t="str">
        <f aca="false">IF(ISBLANK($C148),"",IF($BL148&lt;&gt;Constants!$B$4,$BL148,$BQ148-$BZ148))</f>
        <v/>
      </c>
      <c r="CB148" s="93"/>
      <c r="CC148" s="94" t="str">
        <f aca="false">IF(ISBLANK($C148),"",IF($BL148=Constants!$B$8,$AR148,""))</f>
        <v/>
      </c>
      <c r="CD148" s="94" t="str">
        <f aca="false">IF(ISBLANK($C148),"",IF($BL148&lt;&gt;Constants!$B$4,"",IF($BB148="-&gt;",2,1)))</f>
        <v/>
      </c>
      <c r="CE148" s="95" t="str">
        <f aca="false">IF(ISBLANK($C148),"",IF($BL148&lt;&gt;Constants!$B$4,"",IF($BB148="-&gt;",$BE148,$AU148)))</f>
        <v/>
      </c>
      <c r="CF148" s="95" t="str">
        <f aca="false">IF(ISBLANK($C148),"",IF($BL148&lt;&gt;Constants!$B$4,"",IF($BB148="-&gt;",$BF148,$AV148)))</f>
        <v/>
      </c>
      <c r="CG148" s="95" t="str">
        <f aca="false">IF(ISBLANK($C148),"",IF($BL148&lt;&gt;Constants!$B$4,"",IF($BB148="-&gt;",$BG148,$AW148)))</f>
        <v/>
      </c>
      <c r="CH148" s="95" t="str">
        <f aca="false">IF(ISBLANK($C148),"",IF($BL148&lt;&gt;Constants!$B$4,"",IF($BB148="-&gt;",$BH148,$AX148)))</f>
        <v/>
      </c>
      <c r="CI148" s="96" t="str">
        <f aca="false">IF(ISBLANK($C148),"",$BO148)</f>
        <v/>
      </c>
      <c r="CJ148" s="97" t="str">
        <f aca="false">IF(ISBLANK($C148),"",$BM148)</f>
        <v/>
      </c>
      <c r="CK148" s="98" t="str">
        <f aca="false">IF(ISBLANK($C148),"",$CA148)</f>
        <v/>
      </c>
      <c r="CL148" s="98" t="str">
        <f aca="false">IF(ISBLANK($C148),"",$BZ148)</f>
        <v/>
      </c>
      <c r="CM148" s="99" t="str">
        <f aca="false">IF(ISBLANK($C148),"",IF($CL148=Constants!$B$7,COUNTA($C$9:$C$508)+2,IF($CL148=Constants!$B$6,COUNTA($C$9:$C$508)+1,IF($CL148=Constants!$B$5,COUNTA($C$9:$C$508),$CL148))))</f>
        <v/>
      </c>
      <c r="CN148" s="8"/>
      <c r="CO148" s="100" t="n">
        <f aca="false">IF(OR(ISNUMBER($CL148),$CL148=Constants!$B$7,$CL148=Constants!$B$5,$CL148=Constants!$B$6),1,0)</f>
        <v>0</v>
      </c>
      <c r="CP148" s="100" t="n">
        <v>140</v>
      </c>
      <c r="CQ148" s="100" t="str">
        <f aca="false">IF(ISBLANK($C148),"",IF(ISNUMBER($CM148),$CM148+ROW($B148)/1000,""))</f>
        <v/>
      </c>
      <c r="CR148" s="100" t="str">
        <f aca="false">IF(ISNUMBER($CQ148),RANK($CQ148,$CQ$9:$CQ$508,1),"")</f>
        <v/>
      </c>
      <c r="CS148" s="100" t="str">
        <f aca="false">IF(ISBLANK($C148),"",$B148)</f>
        <v/>
      </c>
      <c r="CT148" s="100" t="str">
        <f aca="false">IF(ISBLANK($C148),"",$C148)</f>
        <v/>
      </c>
      <c r="CU148" s="100" t="str">
        <f aca="false">IF(ISBLANK($C148),"",$D148)</f>
        <v/>
      </c>
      <c r="CV148" s="101" t="str">
        <f aca="false">$CJ148</f>
        <v/>
      </c>
      <c r="CW148" s="102" t="str">
        <f aca="false">$CI148</f>
        <v/>
      </c>
      <c r="CX148" s="100" t="str">
        <f aca="false">IF(ISBLANK($C148),"",$CL148)</f>
        <v/>
      </c>
      <c r="CY148" s="103" t="str">
        <f aca="false">IF($CP148&gt;$CO$8,"",VLOOKUP($CP148,$CR$9:$CX$508,7,FALSE()))</f>
        <v/>
      </c>
      <c r="CZ148" s="104" t="str">
        <f aca="false">IF($CP148&gt;$CO$8,"",VLOOKUP($CP148,$CR$9:$CX$508,2,FALSE()))</f>
        <v/>
      </c>
      <c r="DA148" s="104" t="str">
        <f aca="false">IF($CP148&gt;$CO$8,"",VLOOKUP($CP148,$CR$9:$CX$508,3,FALSE()))</f>
        <v/>
      </c>
      <c r="DB148" s="104" t="str">
        <f aca="false">IF($CP148&gt;$CO$8,"",VLOOKUP($CP148,$CR$9:$CX$508,4,FALSE()))</f>
        <v/>
      </c>
      <c r="DC148" s="104" t="str">
        <f aca="false">IF($CP148&gt;$CO$8,"",VLOOKUP($CP148,$CR$9:$CX$508,5,FALSE()))</f>
        <v/>
      </c>
      <c r="DD148" s="105" t="str">
        <f aca="false">IF($CP148&gt;$CO$8,"",VLOOKUP($CP148,$CR$9:$CX$508,6,FALSE()))</f>
        <v/>
      </c>
      <c r="DE148" s="70"/>
    </row>
    <row r="149" customFormat="false" ht="15.75" hidden="false" customHeight="false" outlineLevel="0" collapsed="false">
      <c r="A149" s="8"/>
      <c r="B149" s="72"/>
      <c r="C149" s="73"/>
      <c r="D149" s="155"/>
      <c r="E149" s="162"/>
      <c r="F149" s="157"/>
      <c r="G149" s="77"/>
      <c r="H149" s="77"/>
      <c r="I149" s="77"/>
      <c r="J149" s="163"/>
      <c r="K149" s="161"/>
      <c r="L149" s="161"/>
      <c r="M149" s="80"/>
      <c r="N149" s="161"/>
      <c r="O149" s="160"/>
      <c r="P149" s="161"/>
      <c r="Q149" s="161"/>
      <c r="R149" s="161"/>
      <c r="S149" s="77"/>
      <c r="T149" s="161"/>
      <c r="U149" s="160"/>
      <c r="V149" s="161"/>
      <c r="W149" s="85"/>
      <c r="X149" s="86" t="str">
        <f aca="false">IF(ISBLANK($C149),"",IF($E149=Constants!$B$2,TRUE(),IF($E149=Constants!$B$3,FALSE(),TRUE())))</f>
        <v/>
      </c>
      <c r="Y149" s="86" t="str">
        <f aca="false">IF(ISBLANK($C149),"",IF($F149=Constants!$B$2,TRUE(),IF($F149=Constants!$B$3,FALSE(),TRUE())))</f>
        <v/>
      </c>
      <c r="Z149" s="87" t="str">
        <f aca="false">IF(ISBLANK($C149),"",IF(ISNUMBER($G149),IF($G149&gt;=0,$G149,""),""))</f>
        <v/>
      </c>
      <c r="AA149" s="87" t="str">
        <f aca="false">IF(ISBLANK($C149),"",IF(ISNUMBER($H149),IF($H149&gt;=0,$H149,""),""))</f>
        <v/>
      </c>
      <c r="AB149" s="87" t="str">
        <f aca="false">IF(ISBLANK($C149),"",IF(ISNUMBER($I149),IF($I149&gt;=0,$I149,""),""))</f>
        <v/>
      </c>
      <c r="AC149" s="86" t="str">
        <f aca="false">IF(ISBLANK($C149),"",IF($J149=Constants!$B$2,TRUE(),IF($J149=Constants!$B$3,FALSE(),TRUE())))</f>
        <v/>
      </c>
      <c r="AD149" s="86" t="str">
        <f aca="false">IF(ISBLANK($C149),"",IF($K149=Constants!$B$2,TRUE(),IF($K149=Constants!$B$3,FALSE(),TRUE())))</f>
        <v/>
      </c>
      <c r="AE149" s="86" t="str">
        <f aca="false">IF(ISBLANK($C149),"",IF($L149=Constants!$B$2,TRUE(),IF($L149=Constants!$B$3,FALSE(),TRUE())))</f>
        <v/>
      </c>
      <c r="AF149" s="88" t="str">
        <f aca="false">IF(ISBLANK($C149),"",IF(ISNUMBER($M149),IF($M149&gt;=0,$M149,""),""))</f>
        <v/>
      </c>
      <c r="AG149" s="86" t="str">
        <f aca="false">IF(ISBLANK($C149),"",IF(ISBLANK($N149),0,IF(ISNUMBER($N149),IF(AND($N149&gt;=0,$N149&lt;=Constants!$B$17,$N149=INT($N149)),$N149,""),"")))</f>
        <v/>
      </c>
      <c r="AH149" s="87" t="str">
        <f aca="false">IF(ISBLANK($C149),"",IF(ISBLANK($O149),0,IF(ISNUMBER($O149),IF($O149&gt;=0,$O149,""),"")))</f>
        <v/>
      </c>
      <c r="AI149" s="86" t="str">
        <f aca="false">IF(ISBLANK($C149),"",IF($P149=Constants!$B$2,TRUE(),IF($P149=Constants!$B$3,FALSE(),TRUE())))</f>
        <v/>
      </c>
      <c r="AJ149" s="86" t="str">
        <f aca="false">IF(ISBLANK($C149),"",IF($Q149=Constants!$B$2,TRUE(),IF($Q149=Constants!$B$3,FALSE(),TRUE())))</f>
        <v/>
      </c>
      <c r="AK149" s="86" t="str">
        <f aca="false">IF(ISBLANK($C149),"",IF($R149=Constants!$B$2,TRUE(),IF($R149=Constants!$B$3,FALSE(),TRUE())))</f>
        <v/>
      </c>
      <c r="AL149" s="88" t="str">
        <f aca="false">IF(ISBLANK($C149),"",IF(ISNUMBER($S149),IF($S149&gt;=0,$S149,""),""))</f>
        <v/>
      </c>
      <c r="AM149" s="86" t="str">
        <f aca="false">IF(ISBLANK($C149),"",IF(ISBLANK($T149),0,IF(ISNUMBER($T149),IF(AND($T149&gt;=0,$T149&lt;=Constants!$B$17,$T149=INT($T149)),$T149,""),"")))</f>
        <v/>
      </c>
      <c r="AN149" s="87" t="str">
        <f aca="false">IF(ISBLANK($C149),"",IF(ISBLANK($U149),0,IF(ISNUMBER($U149),IF($U149&gt;=0,$U149,""),"")))</f>
        <v/>
      </c>
      <c r="AO149" s="86" t="str">
        <f aca="false">IF(ISBLANK($C149),"",IF($V149=Constants!$B$2,TRUE(),IF($V149=Constants!$B$3,FALSE(),FALSE())))</f>
        <v/>
      </c>
      <c r="AP149" s="86"/>
      <c r="AQ149" s="85" t="str">
        <f aca="false">IF(ISBLANK($C149),"",AND($Y149,OR($AS149,$BC149),OR($Z149="",$AA149="",$AB149="")))</f>
        <v/>
      </c>
      <c r="AR149" s="85" t="str">
        <f aca="false">IF(ISBLANK($C149),"",IF(OR(NOT($Y149),NOT(OR($AS149,$BC149))),"",IF(ISBLANK($D$7),$AR$5,IF($AP$9="",$AR$6,""))))</f>
        <v/>
      </c>
      <c r="AS149" s="85" t="str">
        <f aca="false">IF(ISBLANK($C149),"",COUNTA($J149:$O149)&gt;0)</f>
        <v/>
      </c>
      <c r="AT149" s="85" t="str">
        <f aca="false">IF(ISBLANK($C149),"",AND($AS149,OR(AND($AF149="",OR($AE149,NOT(ISBLANK($M149)))),$AG149="",$AH149="")))</f>
        <v/>
      </c>
      <c r="AU149" s="87" t="str">
        <f aca="false">IF($BL149&lt;&gt;Constants!$B$4,"",IF(NOT($AS149),"",ROUND((Constants!$B$12-$AB149)+(Constants!$B$13-$Z149)+(Constants!$B$14-$AA149),1)))</f>
        <v/>
      </c>
      <c r="AV149" s="90" t="str">
        <f aca="false">IF($BL149&lt;&gt;Constants!$B$4,"",IF(NOT($AS149),"",IF(NOT($AE149),0,Constants!$B$15*(INT(ROUND(MIN($AF149,$AP$9),6))-INT(ROUND(MAX(0,MIN($AF149,2*$AP$9)-$AP$9),6))))))</f>
        <v/>
      </c>
      <c r="AW149" s="90" t="str">
        <f aca="false">IF($BL149&lt;&gt;Constants!$B$4,"",IF(NOT($AS149),"",Constants!$B$16*$AG149))</f>
        <v/>
      </c>
      <c r="AX149" s="90" t="str">
        <f aca="false">IF($BL149&lt;&gt;Constants!$B$4,"",IF(NOT($AS149),"",Constants!$B$18*INT(ROUND($AH149,6))))</f>
        <v/>
      </c>
      <c r="AY149" s="85" t="str">
        <f aca="false">IF($BL149&lt;&gt;Constants!$B$4,"",IF(NOT($AS149),"",IF(NOT($X149),Constants!$B$11,IF(OR(NOT($AC149),NOT($AD149),ROUND($AB149,1)&gt;Constants!$B$12,ROUND($Z149,1)&gt;Constants!$B$13,ROUND($AA149,1)&gt;Constants!$B$14),Constants!$B$10,Constants!$B$9))))</f>
        <v/>
      </c>
      <c r="AZ149" s="91" t="str">
        <f aca="false">IF($BL149&lt;&gt;Constants!$B$4,"",IF(NOT($AS149),"",ROUND($AU149+$AV149+$AW149+$AX149,1)))</f>
        <v/>
      </c>
      <c r="BA149" s="92" t="str">
        <f aca="false">IF($BL149&lt;&gt;Constants!$B$4,"",IF(NOT($AS149),"",IF(ISNUMBER($AF149),$AF149,0)))</f>
        <v/>
      </c>
      <c r="BB149" s="86" t="str">
        <f aca="false">IF($BL149&lt;&gt;Constants!$B$4,"",IF(NOT($BC149),"&lt;-",IF(NOT($AS149),"-&gt;",IF(OR($BI149&lt;$AY149,AND($BI149=$AY149,OR($BJ149&gt;$AZ149,AND($BJ149=$AZ149,OR($BH149&gt;$AX149,AND($BH149=$AX149,OR($BE149&gt;$AU149,AND($BE149=$AU149,OR($BF149&gt;$AV149,AND($BF149=$AV149,$BK149&gt;$BA149)))))))))),"-&gt;","&lt;-"))))</f>
        <v/>
      </c>
      <c r="BC149" s="85" t="str">
        <f aca="false">IF(ISBLANK($C149),"",COUNTA($P149:$U149)&gt;0)</f>
        <v/>
      </c>
      <c r="BD149" s="85" t="str">
        <f aca="false">IF(ISBLANK($C149),"",AND($BC149,OR(AND($AL149="",OR($AK149,NOT(ISBLANK($S149)))),$AM149="",$AN149="")))</f>
        <v/>
      </c>
      <c r="BE149" s="87" t="str">
        <f aca="false">IF($BL149&lt;&gt;Constants!$B$4,"",IF(NOT($BC149),"",ROUND((Constants!$B$12-$AB149)+(Constants!$B$13-$Z149)+(Constants!$B$14-$AA149),1)))</f>
        <v/>
      </c>
      <c r="BF149" s="90" t="str">
        <f aca="false">IF($BL149&lt;&gt;Constants!$B$4,"",IF(NOT($BC149),"",IF(NOT($AK149),0,Constants!$B$15*(INT(ROUND(MIN($AL149,$AP$9),6))-INT(ROUND(MAX(0,MIN($AL149,2*$AP$9)-$AP$9),6))))))</f>
        <v/>
      </c>
      <c r="BG149" s="90" t="str">
        <f aca="false">IF($BL149&lt;&gt;Constants!$B$4,"",IF(NOT($BC149),"",Constants!$B$16*$AM149))</f>
        <v/>
      </c>
      <c r="BH149" s="90" t="str">
        <f aca="false">IF($BL149&lt;&gt;Constants!$B$4,"",IF(NOT($BC149),"",Constants!$B$18*INT(ROUND($AN149,6))))</f>
        <v/>
      </c>
      <c r="BI149" s="85" t="str">
        <f aca="false">IF($BL149&lt;&gt;Constants!$B$4,"",IF(NOT($BC149),"",IF(NOT($X149),Constants!$B$11,IF(OR(NOT($AI149),NOT($AJ149),ROUND($AB149,1)&gt;Constants!$B$12,ROUND($Z149,1)&gt;Constants!$B$13,ROUND($AA149,1)&gt;Constants!$B$14),Constants!$B$10,Constants!$B$9))))</f>
        <v/>
      </c>
      <c r="BJ149" s="91" t="str">
        <f aca="false">IF($BL149&lt;&gt;Constants!$B$4,"",IF(NOT($BC149),"",ROUND($BE149+$BF149+$BG149+$BH149,1)))</f>
        <v/>
      </c>
      <c r="BK149" s="92" t="str">
        <f aca="false">IF($BL149&lt;&gt;Constants!$B$4,"",IF(NOT($BC149),"",IF(ISNUMBER($AL149),$AL149,0)))</f>
        <v/>
      </c>
      <c r="BL149" s="86" t="str">
        <f aca="false">IF(ISBLANK($C149),"",IF($AO149,Constants!$B$7,IF(COUNTA($E149:$V149)=0,Constants!$B$6,IF(NOT($Y149),Constants!$B$5,IF(NOT(OR($AS149,$BC149)),Constants!$B$5,IF(OR($AT149,$BD149,$AQ149,$AR149&lt;&gt;""),Constants!$B$8,Constants!$B$4))))))</f>
        <v/>
      </c>
      <c r="BM149" s="86" t="str">
        <f aca="false">IF(ISBLANK($C149),"",IF($BL149&lt;&gt;Constants!$B$4,$BL149,IF($BB149="-&gt;",$BI149,$AY149)))</f>
        <v/>
      </c>
      <c r="BN149" s="90" t="str">
        <f aca="false">IF($BL149&lt;&gt;Constants!$B$4,"",IF($BB149="-&gt;",$BJ149,$AZ149))</f>
        <v/>
      </c>
      <c r="BO149" s="90" t="str">
        <f aca="false">IF(ISBLANK($C149),"",IF($BL149&lt;&gt;Constants!$B$4,$BL149,$BN149))</f>
        <v/>
      </c>
      <c r="BP149" s="86" t="str">
        <f aca="false">IF(ISBLANK($C149),"",IF($BL149&lt;&gt;Constants!$B$4,$BL149,RANK($BO149,$BO$9:$BO$508,0)))</f>
        <v/>
      </c>
      <c r="BQ149" s="86" t="str">
        <f aca="false">IF(ISBLANK($C149),"",IF($BL149&lt;&gt;Constants!$B$4,$BL149,COUNTIFS($BM$9:$BM$508,"&lt;"&amp;$BM149)+COUNTIFS($BM$9:$BM$508,$BM149,$BP$9:$BP$508,"&lt;"&amp;$BP149)+1))</f>
        <v/>
      </c>
      <c r="BR149" s="90" t="str">
        <f aca="false">IF($BL149&lt;&gt;Constants!$B$4,"",IF($BB149="-&gt;",$BH149,$AX149))</f>
        <v/>
      </c>
      <c r="BS149" s="86" t="str">
        <f aca="false">IF(ISBLANK($C149),"",IF($BL149&lt;&gt;Constants!$B$4,$BL149,IF(ISNUMBER($BR149),RANK($BR149,$BR$9:$BR$508,0),COUNT($BR$9:$BR$508)+1)))</f>
        <v/>
      </c>
      <c r="BT149" s="90" t="str">
        <f aca="false">IF($BL149&lt;&gt;Constants!$B$4,"",IF($BB149="-&gt;",$BE149,$AU149))</f>
        <v/>
      </c>
      <c r="BU149" s="86" t="str">
        <f aca="false">IF(ISBLANK($C149),"",IF($BL149&lt;&gt;Constants!$B$4,$BL149,IF(ISNUMBER($BT149),RANK($BT149,$BT$9:$BT$508,0),COUNT($BT$9:$BT$508)+1)))</f>
        <v/>
      </c>
      <c r="BV149" s="90" t="str">
        <f aca="false">IF($BL149&lt;&gt;Constants!$B$4,"",IF($BB149="-&gt;",$BF149,$AV149))</f>
        <v/>
      </c>
      <c r="BW149" s="86" t="str">
        <f aca="false">IF(ISBLANK($C149),"",IF($BL149&lt;&gt;Constants!$B$4,$BL149,IF(ISNUMBER($BV149),RANK($BV149,$BV$9:$BV$508,0),COUNT($BV$9:$BV$508)+1)))</f>
        <v/>
      </c>
      <c r="BX149" s="90" t="str">
        <f aca="false">IF($BL149&lt;&gt;Constants!$B$4,"",IF($BB149="-&gt;",$BK149,$BA149))</f>
        <v/>
      </c>
      <c r="BY149" s="86" t="str">
        <f aca="false">IF(ISBLANK($C149),"",IF($BL149&lt;&gt;Constants!$B$4,$BL149,IF(ISNUMBER($BX149),RANK($BX149,$BX$9:$BX$508,0),COUNT($BX$9:$BX$508)+1)))</f>
        <v/>
      </c>
      <c r="BZ149" s="86" t="str">
        <f aca="false">IF(ISBLANK($C149),"",IF($BL149&lt;&gt;Constants!$B$4,$BL149,COUNTIFS($BM$9:$BM$508,"&lt;"&amp;$BM149)+COUNTIFS($BM$9:$BM$508,$BM149,$BP$9:$BP$508,"&lt;"&amp;$BP149)+COUNTIFS($BM$9:$BM$508,$BM149,$BP$9:$BP$508,$BP149,$BS$9:$BS$508,"&lt;"&amp;$BS149)+COUNTIFS($BM$9:$BM$508,$BM149,$BP$9:$BP$508,$BP149,$BS$9:$BS$508,$BS149,$BU$9:$BU$508,"&lt;"&amp;$BU149)+COUNTIFS($BM$9:$BM$508,$BM149,$BP$9:$BP$508,$BP149,$BS$9:$BS$508,$BS149,$BU$9:$BU$508,$BU149,$BW$9:$BW$508,"&lt;"&amp;$BW149)+COUNTIFS($BM$9:$BM$508,$BM149,$BP$9:$BP$508,$BP149,$BS$9:$BS$508,$BS149,$BU$9:$BU$508,$BU149,$BW$9:$BW$508,$BW149,$BY$9:$BY$508,"&lt;"&amp;$BY149)+1))</f>
        <v/>
      </c>
      <c r="CA149" s="86" t="str">
        <f aca="false">IF(ISBLANK($C149),"",IF($BL149&lt;&gt;Constants!$B$4,$BL149,$BQ149-$BZ149))</f>
        <v/>
      </c>
      <c r="CB149" s="93"/>
      <c r="CC149" s="94" t="str">
        <f aca="false">IF(ISBLANK($C149),"",IF($BL149=Constants!$B$8,$AR149,""))</f>
        <v/>
      </c>
      <c r="CD149" s="94" t="str">
        <f aca="false">IF(ISBLANK($C149),"",IF($BL149&lt;&gt;Constants!$B$4,"",IF($BB149="-&gt;",2,1)))</f>
        <v/>
      </c>
      <c r="CE149" s="95" t="str">
        <f aca="false">IF(ISBLANK($C149),"",IF($BL149&lt;&gt;Constants!$B$4,"",IF($BB149="-&gt;",$BE149,$AU149)))</f>
        <v/>
      </c>
      <c r="CF149" s="95" t="str">
        <f aca="false">IF(ISBLANK($C149),"",IF($BL149&lt;&gt;Constants!$B$4,"",IF($BB149="-&gt;",$BF149,$AV149)))</f>
        <v/>
      </c>
      <c r="CG149" s="95" t="str">
        <f aca="false">IF(ISBLANK($C149),"",IF($BL149&lt;&gt;Constants!$B$4,"",IF($BB149="-&gt;",$BG149,$AW149)))</f>
        <v/>
      </c>
      <c r="CH149" s="95" t="str">
        <f aca="false">IF(ISBLANK($C149),"",IF($BL149&lt;&gt;Constants!$B$4,"",IF($BB149="-&gt;",$BH149,$AX149)))</f>
        <v/>
      </c>
      <c r="CI149" s="96" t="str">
        <f aca="false">IF(ISBLANK($C149),"",$BO149)</f>
        <v/>
      </c>
      <c r="CJ149" s="97" t="str">
        <f aca="false">IF(ISBLANK($C149),"",$BM149)</f>
        <v/>
      </c>
      <c r="CK149" s="98" t="str">
        <f aca="false">IF(ISBLANK($C149),"",$CA149)</f>
        <v/>
      </c>
      <c r="CL149" s="98" t="str">
        <f aca="false">IF(ISBLANK($C149),"",$BZ149)</f>
        <v/>
      </c>
      <c r="CM149" s="99" t="str">
        <f aca="false">IF(ISBLANK($C149),"",IF($CL149=Constants!$B$7,COUNTA($C$9:$C$508)+2,IF($CL149=Constants!$B$6,COUNTA($C$9:$C$508)+1,IF($CL149=Constants!$B$5,COUNTA($C$9:$C$508),$CL149))))</f>
        <v/>
      </c>
      <c r="CN149" s="8"/>
      <c r="CO149" s="100" t="n">
        <f aca="false">IF(OR(ISNUMBER($CL149),$CL149=Constants!$B$7,$CL149=Constants!$B$5,$CL149=Constants!$B$6),1,0)</f>
        <v>0</v>
      </c>
      <c r="CP149" s="100" t="n">
        <v>141</v>
      </c>
      <c r="CQ149" s="100" t="str">
        <f aca="false">IF(ISBLANK($C149),"",IF(ISNUMBER($CM149),$CM149+ROW($B149)/1000,""))</f>
        <v/>
      </c>
      <c r="CR149" s="100" t="str">
        <f aca="false">IF(ISNUMBER($CQ149),RANK($CQ149,$CQ$9:$CQ$508,1),"")</f>
        <v/>
      </c>
      <c r="CS149" s="100" t="str">
        <f aca="false">IF(ISBLANK($C149),"",$B149)</f>
        <v/>
      </c>
      <c r="CT149" s="100" t="str">
        <f aca="false">IF(ISBLANK($C149),"",$C149)</f>
        <v/>
      </c>
      <c r="CU149" s="100" t="str">
        <f aca="false">IF(ISBLANK($C149),"",$D149)</f>
        <v/>
      </c>
      <c r="CV149" s="101" t="str">
        <f aca="false">$CJ149</f>
        <v/>
      </c>
      <c r="CW149" s="102" t="str">
        <f aca="false">$CI149</f>
        <v/>
      </c>
      <c r="CX149" s="100" t="str">
        <f aca="false">IF(ISBLANK($C149),"",$CL149)</f>
        <v/>
      </c>
      <c r="CY149" s="103" t="str">
        <f aca="false">IF($CP149&gt;$CO$8,"",VLOOKUP($CP149,$CR$9:$CX$508,7,FALSE()))</f>
        <v/>
      </c>
      <c r="CZ149" s="104" t="str">
        <f aca="false">IF($CP149&gt;$CO$8,"",VLOOKUP($CP149,$CR$9:$CX$508,2,FALSE()))</f>
        <v/>
      </c>
      <c r="DA149" s="104" t="str">
        <f aca="false">IF($CP149&gt;$CO$8,"",VLOOKUP($CP149,$CR$9:$CX$508,3,FALSE()))</f>
        <v/>
      </c>
      <c r="DB149" s="104" t="str">
        <f aca="false">IF($CP149&gt;$CO$8,"",VLOOKUP($CP149,$CR$9:$CX$508,4,FALSE()))</f>
        <v/>
      </c>
      <c r="DC149" s="104" t="str">
        <f aca="false">IF($CP149&gt;$CO$8,"",VLOOKUP($CP149,$CR$9:$CX$508,5,FALSE()))</f>
        <v/>
      </c>
      <c r="DD149" s="105" t="str">
        <f aca="false">IF($CP149&gt;$CO$8,"",VLOOKUP($CP149,$CR$9:$CX$508,6,FALSE()))</f>
        <v/>
      </c>
      <c r="DE149" s="70"/>
    </row>
    <row r="150" customFormat="false" ht="15.75" hidden="false" customHeight="false" outlineLevel="0" collapsed="false">
      <c r="A150" s="8"/>
      <c r="B150" s="146"/>
      <c r="C150" s="147"/>
      <c r="D150" s="148"/>
      <c r="E150" s="164"/>
      <c r="F150" s="150"/>
      <c r="G150" s="115"/>
      <c r="H150" s="115"/>
      <c r="I150" s="115"/>
      <c r="J150" s="165"/>
      <c r="K150" s="154"/>
      <c r="L150" s="154"/>
      <c r="M150" s="118"/>
      <c r="N150" s="154"/>
      <c r="O150" s="153"/>
      <c r="P150" s="154"/>
      <c r="Q150" s="154"/>
      <c r="R150" s="154"/>
      <c r="S150" s="115"/>
      <c r="T150" s="154"/>
      <c r="U150" s="153"/>
      <c r="V150" s="154"/>
      <c r="W150" s="123"/>
      <c r="X150" s="124" t="str">
        <f aca="false">IF(ISBLANK($C150),"",IF($E150=Constants!$B$2,TRUE(),IF($E150=Constants!$B$3,FALSE(),TRUE())))</f>
        <v/>
      </c>
      <c r="Y150" s="124" t="str">
        <f aca="false">IF(ISBLANK($C150),"",IF($F150=Constants!$B$2,TRUE(),IF($F150=Constants!$B$3,FALSE(),TRUE())))</f>
        <v/>
      </c>
      <c r="Z150" s="125" t="str">
        <f aca="false">IF(ISBLANK($C150),"",IF(ISNUMBER($G150),IF($G150&gt;=0,$G150,""),""))</f>
        <v/>
      </c>
      <c r="AA150" s="125" t="str">
        <f aca="false">IF(ISBLANK($C150),"",IF(ISNUMBER($H150),IF($H150&gt;=0,$H150,""),""))</f>
        <v/>
      </c>
      <c r="AB150" s="125" t="str">
        <f aca="false">IF(ISBLANK($C150),"",IF(ISNUMBER($I150),IF($I150&gt;=0,$I150,""),""))</f>
        <v/>
      </c>
      <c r="AC150" s="124" t="str">
        <f aca="false">IF(ISBLANK($C150),"",IF($J150=Constants!$B$2,TRUE(),IF($J150=Constants!$B$3,FALSE(),TRUE())))</f>
        <v/>
      </c>
      <c r="AD150" s="124" t="str">
        <f aca="false">IF(ISBLANK($C150),"",IF($K150=Constants!$B$2,TRUE(),IF($K150=Constants!$B$3,FALSE(),TRUE())))</f>
        <v/>
      </c>
      <c r="AE150" s="124" t="str">
        <f aca="false">IF(ISBLANK($C150),"",IF($L150=Constants!$B$2,TRUE(),IF($L150=Constants!$B$3,FALSE(),TRUE())))</f>
        <v/>
      </c>
      <c r="AF150" s="126" t="str">
        <f aca="false">IF(ISBLANK($C150),"",IF(ISNUMBER($M150),IF($M150&gt;=0,$M150,""),""))</f>
        <v/>
      </c>
      <c r="AG150" s="124" t="str">
        <f aca="false">IF(ISBLANK($C150),"",IF(ISBLANK($N150),0,IF(ISNUMBER($N150),IF(AND($N150&gt;=0,$N150&lt;=Constants!$B$17,$N150=INT($N150)),$N150,""),"")))</f>
        <v/>
      </c>
      <c r="AH150" s="125" t="str">
        <f aca="false">IF(ISBLANK($C150),"",IF(ISBLANK($O150),0,IF(ISNUMBER($O150),IF($O150&gt;=0,$O150,""),"")))</f>
        <v/>
      </c>
      <c r="AI150" s="124" t="str">
        <f aca="false">IF(ISBLANK($C150),"",IF($P150=Constants!$B$2,TRUE(),IF($P150=Constants!$B$3,FALSE(),TRUE())))</f>
        <v/>
      </c>
      <c r="AJ150" s="124" t="str">
        <f aca="false">IF(ISBLANK($C150),"",IF($Q150=Constants!$B$2,TRUE(),IF($Q150=Constants!$B$3,FALSE(),TRUE())))</f>
        <v/>
      </c>
      <c r="AK150" s="124" t="str">
        <f aca="false">IF(ISBLANK($C150),"",IF($R150=Constants!$B$2,TRUE(),IF($R150=Constants!$B$3,FALSE(),TRUE())))</f>
        <v/>
      </c>
      <c r="AL150" s="126" t="str">
        <f aca="false">IF(ISBLANK($C150),"",IF(ISNUMBER($S150),IF($S150&gt;=0,$S150,""),""))</f>
        <v/>
      </c>
      <c r="AM150" s="124" t="str">
        <f aca="false">IF(ISBLANK($C150),"",IF(ISBLANK($T150),0,IF(ISNUMBER($T150),IF(AND($T150&gt;=0,$T150&lt;=Constants!$B$17,$T150=INT($T150)),$T150,""),"")))</f>
        <v/>
      </c>
      <c r="AN150" s="125" t="str">
        <f aca="false">IF(ISBLANK($C150),"",IF(ISBLANK($U150),0,IF(ISNUMBER($U150),IF($U150&gt;=0,$U150,""),"")))</f>
        <v/>
      </c>
      <c r="AO150" s="124" t="str">
        <f aca="false">IF(ISBLANK($C150),"",IF($V150=Constants!$B$2,TRUE(),IF($V150=Constants!$B$3,FALSE(),FALSE())))</f>
        <v/>
      </c>
      <c r="AP150" s="124"/>
      <c r="AQ150" s="123" t="str">
        <f aca="false">IF(ISBLANK($C150),"",AND($Y150,OR($AS150,$BC150),OR($Z150="",$AA150="",$AB150="")))</f>
        <v/>
      </c>
      <c r="AR150" s="123" t="str">
        <f aca="false">IF(ISBLANK($C150),"",IF(OR(NOT($Y150),NOT(OR($AS150,$BC150))),"",IF(ISBLANK($D$7),$AR$5,IF($AP$9="",$AR$6,""))))</f>
        <v/>
      </c>
      <c r="AS150" s="123" t="str">
        <f aca="false">IF(ISBLANK($C150),"",COUNTA($J150:$O150)&gt;0)</f>
        <v/>
      </c>
      <c r="AT150" s="123" t="str">
        <f aca="false">IF(ISBLANK($C150),"",AND($AS150,OR(AND($AF150="",OR($AE150,NOT(ISBLANK($M150)))),$AG150="",$AH150="")))</f>
        <v/>
      </c>
      <c r="AU150" s="125" t="str">
        <f aca="false">IF($BL150&lt;&gt;Constants!$B$4,"",IF(NOT($AS150),"",ROUND((Constants!$B$12-$AB150)+(Constants!$B$13-$Z150)+(Constants!$B$14-$AA150),1)))</f>
        <v/>
      </c>
      <c r="AV150" s="127" t="str">
        <f aca="false">IF($BL150&lt;&gt;Constants!$B$4,"",IF(NOT($AS150),"",IF(NOT($AE150),0,Constants!$B$15*(INT(ROUND(MIN($AF150,$AP$9),6))-INT(ROUND(MAX(0,MIN($AF150,2*$AP$9)-$AP$9),6))))))</f>
        <v/>
      </c>
      <c r="AW150" s="127" t="str">
        <f aca="false">IF($BL150&lt;&gt;Constants!$B$4,"",IF(NOT($AS150),"",Constants!$B$16*$AG150))</f>
        <v/>
      </c>
      <c r="AX150" s="127" t="str">
        <f aca="false">IF($BL150&lt;&gt;Constants!$B$4,"",IF(NOT($AS150),"",Constants!$B$18*INT(ROUND($AH150,6))))</f>
        <v/>
      </c>
      <c r="AY150" s="123" t="str">
        <f aca="false">IF($BL150&lt;&gt;Constants!$B$4,"",IF(NOT($AS150),"",IF(NOT($X150),Constants!$B$11,IF(OR(NOT($AC150),NOT($AD150),ROUND($AB150,1)&gt;Constants!$B$12,ROUND($Z150,1)&gt;Constants!$B$13,ROUND($AA150,1)&gt;Constants!$B$14),Constants!$B$10,Constants!$B$9))))</f>
        <v/>
      </c>
      <c r="AZ150" s="128" t="str">
        <f aca="false">IF($BL150&lt;&gt;Constants!$B$4,"",IF(NOT($AS150),"",ROUND($AU150+$AV150+$AW150+$AX150,1)))</f>
        <v/>
      </c>
      <c r="BA150" s="129" t="str">
        <f aca="false">IF($BL150&lt;&gt;Constants!$B$4,"",IF(NOT($AS150),"",IF(ISNUMBER($AF150),$AF150,0)))</f>
        <v/>
      </c>
      <c r="BB150" s="124" t="str">
        <f aca="false">IF($BL150&lt;&gt;Constants!$B$4,"",IF(NOT($BC150),"&lt;-",IF(NOT($AS150),"-&gt;",IF(OR($BI150&lt;$AY150,AND($BI150=$AY150,OR($BJ150&gt;$AZ150,AND($BJ150=$AZ150,OR($BH150&gt;$AX150,AND($BH150=$AX150,OR($BE150&gt;$AU150,AND($BE150=$AU150,OR($BF150&gt;$AV150,AND($BF150=$AV150,$BK150&gt;$BA150)))))))))),"-&gt;","&lt;-"))))</f>
        <v/>
      </c>
      <c r="BC150" s="123" t="str">
        <f aca="false">IF(ISBLANK($C150),"",COUNTA($P150:$U150)&gt;0)</f>
        <v/>
      </c>
      <c r="BD150" s="123" t="str">
        <f aca="false">IF(ISBLANK($C150),"",AND($BC150,OR(AND($AL150="",OR($AK150,NOT(ISBLANK($S150)))),$AM150="",$AN150="")))</f>
        <v/>
      </c>
      <c r="BE150" s="125" t="str">
        <f aca="false">IF($BL150&lt;&gt;Constants!$B$4,"",IF(NOT($BC150),"",ROUND((Constants!$B$12-$AB150)+(Constants!$B$13-$Z150)+(Constants!$B$14-$AA150),1)))</f>
        <v/>
      </c>
      <c r="BF150" s="127" t="str">
        <f aca="false">IF($BL150&lt;&gt;Constants!$B$4,"",IF(NOT($BC150),"",IF(NOT($AK150),0,Constants!$B$15*(INT(ROUND(MIN($AL150,$AP$9),6))-INT(ROUND(MAX(0,MIN($AL150,2*$AP$9)-$AP$9),6))))))</f>
        <v/>
      </c>
      <c r="BG150" s="127" t="str">
        <f aca="false">IF($BL150&lt;&gt;Constants!$B$4,"",IF(NOT($BC150),"",Constants!$B$16*$AM150))</f>
        <v/>
      </c>
      <c r="BH150" s="127" t="str">
        <f aca="false">IF($BL150&lt;&gt;Constants!$B$4,"",IF(NOT($BC150),"",Constants!$B$18*INT(ROUND($AN150,6))))</f>
        <v/>
      </c>
      <c r="BI150" s="123" t="str">
        <f aca="false">IF($BL150&lt;&gt;Constants!$B$4,"",IF(NOT($BC150),"",IF(NOT($X150),Constants!$B$11,IF(OR(NOT($AI150),NOT($AJ150),ROUND($AB150,1)&gt;Constants!$B$12,ROUND($Z150,1)&gt;Constants!$B$13,ROUND($AA150,1)&gt;Constants!$B$14),Constants!$B$10,Constants!$B$9))))</f>
        <v/>
      </c>
      <c r="BJ150" s="128" t="str">
        <f aca="false">IF($BL150&lt;&gt;Constants!$B$4,"",IF(NOT($BC150),"",ROUND($BE150+$BF150+$BG150+$BH150,1)))</f>
        <v/>
      </c>
      <c r="BK150" s="129" t="str">
        <f aca="false">IF($BL150&lt;&gt;Constants!$B$4,"",IF(NOT($BC150),"",IF(ISNUMBER($AL150),$AL150,0)))</f>
        <v/>
      </c>
      <c r="BL150" s="124" t="str">
        <f aca="false">IF(ISBLANK($C150),"",IF($AO150,Constants!$B$7,IF(COUNTA($E150:$V150)=0,Constants!$B$6,IF(NOT($Y150),Constants!$B$5,IF(NOT(OR($AS150,$BC150)),Constants!$B$5,IF(OR($AT150,$BD150,$AQ150,$AR150&lt;&gt;""),Constants!$B$8,Constants!$B$4))))))</f>
        <v/>
      </c>
      <c r="BM150" s="124" t="str">
        <f aca="false">IF(ISBLANK($C150),"",IF($BL150&lt;&gt;Constants!$B$4,$BL150,IF($BB150="-&gt;",$BI150,$AY150)))</f>
        <v/>
      </c>
      <c r="BN150" s="127" t="str">
        <f aca="false">IF($BL150&lt;&gt;Constants!$B$4,"",IF($BB150="-&gt;",$BJ150,$AZ150))</f>
        <v/>
      </c>
      <c r="BO150" s="127" t="str">
        <f aca="false">IF(ISBLANK($C150),"",IF($BL150&lt;&gt;Constants!$B$4,$BL150,$BN150))</f>
        <v/>
      </c>
      <c r="BP150" s="124" t="str">
        <f aca="false">IF(ISBLANK($C150),"",IF($BL150&lt;&gt;Constants!$B$4,$BL150,RANK($BO150,$BO$9:$BO$508,0)))</f>
        <v/>
      </c>
      <c r="BQ150" s="124" t="str">
        <f aca="false">IF(ISBLANK($C150),"",IF($BL150&lt;&gt;Constants!$B$4,$BL150,COUNTIFS($BM$9:$BM$508,"&lt;"&amp;$BM150)+COUNTIFS($BM$9:$BM$508,$BM150,$BP$9:$BP$508,"&lt;"&amp;$BP150)+1))</f>
        <v/>
      </c>
      <c r="BR150" s="127" t="str">
        <f aca="false">IF($BL150&lt;&gt;Constants!$B$4,"",IF($BB150="-&gt;",$BH150,$AX150))</f>
        <v/>
      </c>
      <c r="BS150" s="124" t="str">
        <f aca="false">IF(ISBLANK($C150),"",IF($BL150&lt;&gt;Constants!$B$4,$BL150,IF(ISNUMBER($BR150),RANK($BR150,$BR$9:$BR$508,0),COUNT($BR$9:$BR$508)+1)))</f>
        <v/>
      </c>
      <c r="BT150" s="127" t="str">
        <f aca="false">IF($BL150&lt;&gt;Constants!$B$4,"",IF($BB150="-&gt;",$BE150,$AU150))</f>
        <v/>
      </c>
      <c r="BU150" s="124" t="str">
        <f aca="false">IF(ISBLANK($C150),"",IF($BL150&lt;&gt;Constants!$B$4,$BL150,IF(ISNUMBER($BT150),RANK($BT150,$BT$9:$BT$508,0),COUNT($BT$9:$BT$508)+1)))</f>
        <v/>
      </c>
      <c r="BV150" s="127" t="str">
        <f aca="false">IF($BL150&lt;&gt;Constants!$B$4,"",IF($BB150="-&gt;",$BF150,$AV150))</f>
        <v/>
      </c>
      <c r="BW150" s="124" t="str">
        <f aca="false">IF(ISBLANK($C150),"",IF($BL150&lt;&gt;Constants!$B$4,$BL150,IF(ISNUMBER($BV150),RANK($BV150,$BV$9:$BV$508,0),COUNT($BV$9:$BV$508)+1)))</f>
        <v/>
      </c>
      <c r="BX150" s="127" t="str">
        <f aca="false">IF($BL150&lt;&gt;Constants!$B$4,"",IF($BB150="-&gt;",$BK150,$BA150))</f>
        <v/>
      </c>
      <c r="BY150" s="124" t="str">
        <f aca="false">IF(ISBLANK($C150),"",IF($BL150&lt;&gt;Constants!$B$4,$BL150,IF(ISNUMBER($BX150),RANK($BX150,$BX$9:$BX$508,0),COUNT($BX$9:$BX$508)+1)))</f>
        <v/>
      </c>
      <c r="BZ150" s="124" t="str">
        <f aca="false">IF(ISBLANK($C150),"",IF($BL150&lt;&gt;Constants!$B$4,$BL150,COUNTIFS($BM$9:$BM$508,"&lt;"&amp;$BM150)+COUNTIFS($BM$9:$BM$508,$BM150,$BP$9:$BP$508,"&lt;"&amp;$BP150)+COUNTIFS($BM$9:$BM$508,$BM150,$BP$9:$BP$508,$BP150,$BS$9:$BS$508,"&lt;"&amp;$BS150)+COUNTIFS($BM$9:$BM$508,$BM150,$BP$9:$BP$508,$BP150,$BS$9:$BS$508,$BS150,$BU$9:$BU$508,"&lt;"&amp;$BU150)+COUNTIFS($BM$9:$BM$508,$BM150,$BP$9:$BP$508,$BP150,$BS$9:$BS$508,$BS150,$BU$9:$BU$508,$BU150,$BW$9:$BW$508,"&lt;"&amp;$BW150)+COUNTIFS($BM$9:$BM$508,$BM150,$BP$9:$BP$508,$BP150,$BS$9:$BS$508,$BS150,$BU$9:$BU$508,$BU150,$BW$9:$BW$508,$BW150,$BY$9:$BY$508,"&lt;"&amp;$BY150)+1))</f>
        <v/>
      </c>
      <c r="CA150" s="124" t="str">
        <f aca="false">IF(ISBLANK($C150),"",IF($BL150&lt;&gt;Constants!$B$4,$BL150,$BQ150-$BZ150))</f>
        <v/>
      </c>
      <c r="CB150" s="130"/>
      <c r="CC150" s="131" t="str">
        <f aca="false">IF(ISBLANK($C150),"",IF($BL150=Constants!$B$8,$AR150,""))</f>
        <v/>
      </c>
      <c r="CD150" s="131" t="str">
        <f aca="false">IF(ISBLANK($C150),"",IF($BL150&lt;&gt;Constants!$B$4,"",IF($BB150="-&gt;",2,1)))</f>
        <v/>
      </c>
      <c r="CE150" s="132" t="str">
        <f aca="false">IF(ISBLANK($C150),"",IF($BL150&lt;&gt;Constants!$B$4,"",IF($BB150="-&gt;",$BE150,$AU150)))</f>
        <v/>
      </c>
      <c r="CF150" s="132" t="str">
        <f aca="false">IF(ISBLANK($C150),"",IF($BL150&lt;&gt;Constants!$B$4,"",IF($BB150="-&gt;",$BF150,$AV150)))</f>
        <v/>
      </c>
      <c r="CG150" s="132" t="str">
        <f aca="false">IF(ISBLANK($C150),"",IF($BL150&lt;&gt;Constants!$B$4,"",IF($BB150="-&gt;",$BG150,$AW150)))</f>
        <v/>
      </c>
      <c r="CH150" s="132" t="str">
        <f aca="false">IF(ISBLANK($C150),"",IF($BL150&lt;&gt;Constants!$B$4,"",IF($BB150="-&gt;",$BH150,$AX150)))</f>
        <v/>
      </c>
      <c r="CI150" s="133" t="str">
        <f aca="false">IF(ISBLANK($C150),"",$BO150)</f>
        <v/>
      </c>
      <c r="CJ150" s="134" t="str">
        <f aca="false">IF(ISBLANK($C150),"",$BM150)</f>
        <v/>
      </c>
      <c r="CK150" s="135" t="str">
        <f aca="false">IF(ISBLANK($C150),"",$CA150)</f>
        <v/>
      </c>
      <c r="CL150" s="135" t="str">
        <f aca="false">IF(ISBLANK($C150),"",$BZ150)</f>
        <v/>
      </c>
      <c r="CM150" s="136" t="str">
        <f aca="false">IF(ISBLANK($C150),"",IF($CL150=Constants!$B$7,COUNTA($C$9:$C$508)+2,IF($CL150=Constants!$B$6,COUNTA($C$9:$C$508)+1,IF($CL150=Constants!$B$5,COUNTA($C$9:$C$508),$CL150))))</f>
        <v/>
      </c>
      <c r="CN150" s="8"/>
      <c r="CO150" s="137" t="n">
        <f aca="false">IF(OR(ISNUMBER($CL150),$CL150=Constants!$B$7,$CL150=Constants!$B$5,$CL150=Constants!$B$6),1,0)</f>
        <v>0</v>
      </c>
      <c r="CP150" s="137" t="n">
        <v>142</v>
      </c>
      <c r="CQ150" s="137" t="str">
        <f aca="false">IF(ISBLANK($C150),"",IF(ISNUMBER($CM150),$CM150+ROW($B150)/1000,""))</f>
        <v/>
      </c>
      <c r="CR150" s="137" t="str">
        <f aca="false">IF(ISNUMBER($CQ150),RANK($CQ150,$CQ$9:$CQ$508,1),"")</f>
        <v/>
      </c>
      <c r="CS150" s="137" t="str">
        <f aca="false">IF(ISBLANK($C150),"",$B150)</f>
        <v/>
      </c>
      <c r="CT150" s="137" t="str">
        <f aca="false">IF(ISBLANK($C150),"",$C150)</f>
        <v/>
      </c>
      <c r="CU150" s="137" t="str">
        <f aca="false">IF(ISBLANK($C150),"",$D150)</f>
        <v/>
      </c>
      <c r="CV150" s="138" t="str">
        <f aca="false">$CJ150</f>
        <v/>
      </c>
      <c r="CW150" s="139" t="str">
        <f aca="false">$CI150</f>
        <v/>
      </c>
      <c r="CX150" s="137" t="str">
        <f aca="false">IF(ISBLANK($C150),"",$CL150)</f>
        <v/>
      </c>
      <c r="CY150" s="140" t="str">
        <f aca="false">IF($CP150&gt;$CO$8,"",VLOOKUP($CP150,$CR$9:$CX$508,7,FALSE()))</f>
        <v/>
      </c>
      <c r="CZ150" s="141" t="str">
        <f aca="false">IF($CP150&gt;$CO$8,"",VLOOKUP($CP150,$CR$9:$CX$508,2,FALSE()))</f>
        <v/>
      </c>
      <c r="DA150" s="141" t="str">
        <f aca="false">IF($CP150&gt;$CO$8,"",VLOOKUP($CP150,$CR$9:$CX$508,3,FALSE()))</f>
        <v/>
      </c>
      <c r="DB150" s="141" t="str">
        <f aca="false">IF($CP150&gt;$CO$8,"",VLOOKUP($CP150,$CR$9:$CX$508,4,FALSE()))</f>
        <v/>
      </c>
      <c r="DC150" s="141" t="str">
        <f aca="false">IF($CP150&gt;$CO$8,"",VLOOKUP($CP150,$CR$9:$CX$508,5,FALSE()))</f>
        <v/>
      </c>
      <c r="DD150" s="142" t="str">
        <f aca="false">IF($CP150&gt;$CO$8,"",VLOOKUP($CP150,$CR$9:$CX$508,6,FALSE()))</f>
        <v/>
      </c>
      <c r="DE150" s="70"/>
    </row>
    <row r="151" customFormat="false" ht="15.75" hidden="false" customHeight="false" outlineLevel="0" collapsed="false">
      <c r="A151" s="8"/>
      <c r="B151" s="146"/>
      <c r="C151" s="147"/>
      <c r="D151" s="148"/>
      <c r="E151" s="164"/>
      <c r="F151" s="150"/>
      <c r="G151" s="115"/>
      <c r="H151" s="115"/>
      <c r="I151" s="115"/>
      <c r="J151" s="165"/>
      <c r="K151" s="154"/>
      <c r="L151" s="154"/>
      <c r="M151" s="118"/>
      <c r="N151" s="154"/>
      <c r="O151" s="153"/>
      <c r="P151" s="154"/>
      <c r="Q151" s="154"/>
      <c r="R151" s="154"/>
      <c r="S151" s="115"/>
      <c r="T151" s="154"/>
      <c r="U151" s="153"/>
      <c r="V151" s="154"/>
      <c r="W151" s="123"/>
      <c r="X151" s="124" t="str">
        <f aca="false">IF(ISBLANK($C151),"",IF($E151=Constants!$B$2,TRUE(),IF($E151=Constants!$B$3,FALSE(),TRUE())))</f>
        <v/>
      </c>
      <c r="Y151" s="124" t="str">
        <f aca="false">IF(ISBLANK($C151),"",IF($F151=Constants!$B$2,TRUE(),IF($F151=Constants!$B$3,FALSE(),TRUE())))</f>
        <v/>
      </c>
      <c r="Z151" s="125" t="str">
        <f aca="false">IF(ISBLANK($C151),"",IF(ISNUMBER($G151),IF($G151&gt;=0,$G151,""),""))</f>
        <v/>
      </c>
      <c r="AA151" s="125" t="str">
        <f aca="false">IF(ISBLANK($C151),"",IF(ISNUMBER($H151),IF($H151&gt;=0,$H151,""),""))</f>
        <v/>
      </c>
      <c r="AB151" s="125" t="str">
        <f aca="false">IF(ISBLANK($C151),"",IF(ISNUMBER($I151),IF($I151&gt;=0,$I151,""),""))</f>
        <v/>
      </c>
      <c r="AC151" s="124" t="str">
        <f aca="false">IF(ISBLANK($C151),"",IF($J151=Constants!$B$2,TRUE(),IF($J151=Constants!$B$3,FALSE(),TRUE())))</f>
        <v/>
      </c>
      <c r="AD151" s="124" t="str">
        <f aca="false">IF(ISBLANK($C151),"",IF($K151=Constants!$B$2,TRUE(),IF($K151=Constants!$B$3,FALSE(),TRUE())))</f>
        <v/>
      </c>
      <c r="AE151" s="124" t="str">
        <f aca="false">IF(ISBLANK($C151),"",IF($L151=Constants!$B$2,TRUE(),IF($L151=Constants!$B$3,FALSE(),TRUE())))</f>
        <v/>
      </c>
      <c r="AF151" s="126" t="str">
        <f aca="false">IF(ISBLANK($C151),"",IF(ISNUMBER($M151),IF($M151&gt;=0,$M151,""),""))</f>
        <v/>
      </c>
      <c r="AG151" s="124" t="str">
        <f aca="false">IF(ISBLANK($C151),"",IF(ISBLANK($N151),0,IF(ISNUMBER($N151),IF(AND($N151&gt;=0,$N151&lt;=Constants!$B$17,$N151=INT($N151)),$N151,""),"")))</f>
        <v/>
      </c>
      <c r="AH151" s="125" t="str">
        <f aca="false">IF(ISBLANK($C151),"",IF(ISBLANK($O151),0,IF(ISNUMBER($O151),IF($O151&gt;=0,$O151,""),"")))</f>
        <v/>
      </c>
      <c r="AI151" s="124" t="str">
        <f aca="false">IF(ISBLANK($C151),"",IF($P151=Constants!$B$2,TRUE(),IF($P151=Constants!$B$3,FALSE(),TRUE())))</f>
        <v/>
      </c>
      <c r="AJ151" s="124" t="str">
        <f aca="false">IF(ISBLANK($C151),"",IF($Q151=Constants!$B$2,TRUE(),IF($Q151=Constants!$B$3,FALSE(),TRUE())))</f>
        <v/>
      </c>
      <c r="AK151" s="124" t="str">
        <f aca="false">IF(ISBLANK($C151),"",IF($R151=Constants!$B$2,TRUE(),IF($R151=Constants!$B$3,FALSE(),TRUE())))</f>
        <v/>
      </c>
      <c r="AL151" s="126" t="str">
        <f aca="false">IF(ISBLANK($C151),"",IF(ISNUMBER($S151),IF($S151&gt;=0,$S151,""),""))</f>
        <v/>
      </c>
      <c r="AM151" s="124" t="str">
        <f aca="false">IF(ISBLANK($C151),"",IF(ISBLANK($T151),0,IF(ISNUMBER($T151),IF(AND($T151&gt;=0,$T151&lt;=Constants!$B$17,$T151=INT($T151)),$T151,""),"")))</f>
        <v/>
      </c>
      <c r="AN151" s="125" t="str">
        <f aca="false">IF(ISBLANK($C151),"",IF(ISBLANK($U151),0,IF(ISNUMBER($U151),IF($U151&gt;=0,$U151,""),"")))</f>
        <v/>
      </c>
      <c r="AO151" s="124" t="str">
        <f aca="false">IF(ISBLANK($C151),"",IF($V151=Constants!$B$2,TRUE(),IF($V151=Constants!$B$3,FALSE(),FALSE())))</f>
        <v/>
      </c>
      <c r="AP151" s="124"/>
      <c r="AQ151" s="123" t="str">
        <f aca="false">IF(ISBLANK($C151),"",AND($Y151,OR($AS151,$BC151),OR($Z151="",$AA151="",$AB151="")))</f>
        <v/>
      </c>
      <c r="AR151" s="123" t="str">
        <f aca="false">IF(ISBLANK($C151),"",IF(OR(NOT($Y151),NOT(OR($AS151,$BC151))),"",IF(ISBLANK($D$7),$AR$5,IF($AP$9="",$AR$6,""))))</f>
        <v/>
      </c>
      <c r="AS151" s="123" t="str">
        <f aca="false">IF(ISBLANK($C151),"",COUNTA($J151:$O151)&gt;0)</f>
        <v/>
      </c>
      <c r="AT151" s="123" t="str">
        <f aca="false">IF(ISBLANK($C151),"",AND($AS151,OR(AND($AF151="",OR($AE151,NOT(ISBLANK($M151)))),$AG151="",$AH151="")))</f>
        <v/>
      </c>
      <c r="AU151" s="125" t="str">
        <f aca="false">IF($BL151&lt;&gt;Constants!$B$4,"",IF(NOT($AS151),"",ROUND((Constants!$B$12-$AB151)+(Constants!$B$13-$Z151)+(Constants!$B$14-$AA151),1)))</f>
        <v/>
      </c>
      <c r="AV151" s="127" t="str">
        <f aca="false">IF($BL151&lt;&gt;Constants!$B$4,"",IF(NOT($AS151),"",IF(NOT($AE151),0,Constants!$B$15*(INT(ROUND(MIN($AF151,$AP$9),6))-INT(ROUND(MAX(0,MIN($AF151,2*$AP$9)-$AP$9),6))))))</f>
        <v/>
      </c>
      <c r="AW151" s="127" t="str">
        <f aca="false">IF($BL151&lt;&gt;Constants!$B$4,"",IF(NOT($AS151),"",Constants!$B$16*$AG151))</f>
        <v/>
      </c>
      <c r="AX151" s="127" t="str">
        <f aca="false">IF($BL151&lt;&gt;Constants!$B$4,"",IF(NOT($AS151),"",Constants!$B$18*INT(ROUND($AH151,6))))</f>
        <v/>
      </c>
      <c r="AY151" s="123" t="str">
        <f aca="false">IF($BL151&lt;&gt;Constants!$B$4,"",IF(NOT($AS151),"",IF(NOT($X151),Constants!$B$11,IF(OR(NOT($AC151),NOT($AD151),ROUND($AB151,1)&gt;Constants!$B$12,ROUND($Z151,1)&gt;Constants!$B$13,ROUND($AA151,1)&gt;Constants!$B$14),Constants!$B$10,Constants!$B$9))))</f>
        <v/>
      </c>
      <c r="AZ151" s="128" t="str">
        <f aca="false">IF($BL151&lt;&gt;Constants!$B$4,"",IF(NOT($AS151),"",ROUND($AU151+$AV151+$AW151+$AX151,1)))</f>
        <v/>
      </c>
      <c r="BA151" s="129" t="str">
        <f aca="false">IF($BL151&lt;&gt;Constants!$B$4,"",IF(NOT($AS151),"",IF(ISNUMBER($AF151),$AF151,0)))</f>
        <v/>
      </c>
      <c r="BB151" s="124" t="str">
        <f aca="false">IF($BL151&lt;&gt;Constants!$B$4,"",IF(NOT($BC151),"&lt;-",IF(NOT($AS151),"-&gt;",IF(OR($BI151&lt;$AY151,AND($BI151=$AY151,OR($BJ151&gt;$AZ151,AND($BJ151=$AZ151,OR($BH151&gt;$AX151,AND($BH151=$AX151,OR($BE151&gt;$AU151,AND($BE151=$AU151,OR($BF151&gt;$AV151,AND($BF151=$AV151,$BK151&gt;$BA151)))))))))),"-&gt;","&lt;-"))))</f>
        <v/>
      </c>
      <c r="BC151" s="123" t="str">
        <f aca="false">IF(ISBLANK($C151),"",COUNTA($P151:$U151)&gt;0)</f>
        <v/>
      </c>
      <c r="BD151" s="123" t="str">
        <f aca="false">IF(ISBLANK($C151),"",AND($BC151,OR(AND($AL151="",OR($AK151,NOT(ISBLANK($S151)))),$AM151="",$AN151="")))</f>
        <v/>
      </c>
      <c r="BE151" s="125" t="str">
        <f aca="false">IF($BL151&lt;&gt;Constants!$B$4,"",IF(NOT($BC151),"",ROUND((Constants!$B$12-$AB151)+(Constants!$B$13-$Z151)+(Constants!$B$14-$AA151),1)))</f>
        <v/>
      </c>
      <c r="BF151" s="127" t="str">
        <f aca="false">IF($BL151&lt;&gt;Constants!$B$4,"",IF(NOT($BC151),"",IF(NOT($AK151),0,Constants!$B$15*(INT(ROUND(MIN($AL151,$AP$9),6))-INT(ROUND(MAX(0,MIN($AL151,2*$AP$9)-$AP$9),6))))))</f>
        <v/>
      </c>
      <c r="BG151" s="127" t="str">
        <f aca="false">IF($BL151&lt;&gt;Constants!$B$4,"",IF(NOT($BC151),"",Constants!$B$16*$AM151))</f>
        <v/>
      </c>
      <c r="BH151" s="127" t="str">
        <f aca="false">IF($BL151&lt;&gt;Constants!$B$4,"",IF(NOT($BC151),"",Constants!$B$18*INT(ROUND($AN151,6))))</f>
        <v/>
      </c>
      <c r="BI151" s="123" t="str">
        <f aca="false">IF($BL151&lt;&gt;Constants!$B$4,"",IF(NOT($BC151),"",IF(NOT($X151),Constants!$B$11,IF(OR(NOT($AI151),NOT($AJ151),ROUND($AB151,1)&gt;Constants!$B$12,ROUND($Z151,1)&gt;Constants!$B$13,ROUND($AA151,1)&gt;Constants!$B$14),Constants!$B$10,Constants!$B$9))))</f>
        <v/>
      </c>
      <c r="BJ151" s="128" t="str">
        <f aca="false">IF($BL151&lt;&gt;Constants!$B$4,"",IF(NOT($BC151),"",ROUND($BE151+$BF151+$BG151+$BH151,1)))</f>
        <v/>
      </c>
      <c r="BK151" s="129" t="str">
        <f aca="false">IF($BL151&lt;&gt;Constants!$B$4,"",IF(NOT($BC151),"",IF(ISNUMBER($AL151),$AL151,0)))</f>
        <v/>
      </c>
      <c r="BL151" s="124" t="str">
        <f aca="false">IF(ISBLANK($C151),"",IF($AO151,Constants!$B$7,IF(COUNTA($E151:$V151)=0,Constants!$B$6,IF(NOT($Y151),Constants!$B$5,IF(NOT(OR($AS151,$BC151)),Constants!$B$5,IF(OR($AT151,$BD151,$AQ151,$AR151&lt;&gt;""),Constants!$B$8,Constants!$B$4))))))</f>
        <v/>
      </c>
      <c r="BM151" s="124" t="str">
        <f aca="false">IF(ISBLANK($C151),"",IF($BL151&lt;&gt;Constants!$B$4,$BL151,IF($BB151="-&gt;",$BI151,$AY151)))</f>
        <v/>
      </c>
      <c r="BN151" s="127" t="str">
        <f aca="false">IF($BL151&lt;&gt;Constants!$B$4,"",IF($BB151="-&gt;",$BJ151,$AZ151))</f>
        <v/>
      </c>
      <c r="BO151" s="127" t="str">
        <f aca="false">IF(ISBLANK($C151),"",IF($BL151&lt;&gt;Constants!$B$4,$BL151,$BN151))</f>
        <v/>
      </c>
      <c r="BP151" s="124" t="str">
        <f aca="false">IF(ISBLANK($C151),"",IF($BL151&lt;&gt;Constants!$B$4,$BL151,RANK($BO151,$BO$9:$BO$508,0)))</f>
        <v/>
      </c>
      <c r="BQ151" s="124" t="str">
        <f aca="false">IF(ISBLANK($C151),"",IF($BL151&lt;&gt;Constants!$B$4,$BL151,COUNTIFS($BM$9:$BM$508,"&lt;"&amp;$BM151)+COUNTIFS($BM$9:$BM$508,$BM151,$BP$9:$BP$508,"&lt;"&amp;$BP151)+1))</f>
        <v/>
      </c>
      <c r="BR151" s="127" t="str">
        <f aca="false">IF($BL151&lt;&gt;Constants!$B$4,"",IF($BB151="-&gt;",$BH151,$AX151))</f>
        <v/>
      </c>
      <c r="BS151" s="124" t="str">
        <f aca="false">IF(ISBLANK($C151),"",IF($BL151&lt;&gt;Constants!$B$4,$BL151,IF(ISNUMBER($BR151),RANK($BR151,$BR$9:$BR$508,0),COUNT($BR$9:$BR$508)+1)))</f>
        <v/>
      </c>
      <c r="BT151" s="127" t="str">
        <f aca="false">IF($BL151&lt;&gt;Constants!$B$4,"",IF($BB151="-&gt;",$BE151,$AU151))</f>
        <v/>
      </c>
      <c r="BU151" s="124" t="str">
        <f aca="false">IF(ISBLANK($C151),"",IF($BL151&lt;&gt;Constants!$B$4,$BL151,IF(ISNUMBER($BT151),RANK($BT151,$BT$9:$BT$508,0),COUNT($BT$9:$BT$508)+1)))</f>
        <v/>
      </c>
      <c r="BV151" s="127" t="str">
        <f aca="false">IF($BL151&lt;&gt;Constants!$B$4,"",IF($BB151="-&gt;",$BF151,$AV151))</f>
        <v/>
      </c>
      <c r="BW151" s="124" t="str">
        <f aca="false">IF(ISBLANK($C151),"",IF($BL151&lt;&gt;Constants!$B$4,$BL151,IF(ISNUMBER($BV151),RANK($BV151,$BV$9:$BV$508,0),COUNT($BV$9:$BV$508)+1)))</f>
        <v/>
      </c>
      <c r="BX151" s="127" t="str">
        <f aca="false">IF($BL151&lt;&gt;Constants!$B$4,"",IF($BB151="-&gt;",$BK151,$BA151))</f>
        <v/>
      </c>
      <c r="BY151" s="124" t="str">
        <f aca="false">IF(ISBLANK($C151),"",IF($BL151&lt;&gt;Constants!$B$4,$BL151,IF(ISNUMBER($BX151),RANK($BX151,$BX$9:$BX$508,0),COUNT($BX$9:$BX$508)+1)))</f>
        <v/>
      </c>
      <c r="BZ151" s="124" t="str">
        <f aca="false">IF(ISBLANK($C151),"",IF($BL151&lt;&gt;Constants!$B$4,$BL151,COUNTIFS($BM$9:$BM$508,"&lt;"&amp;$BM151)+COUNTIFS($BM$9:$BM$508,$BM151,$BP$9:$BP$508,"&lt;"&amp;$BP151)+COUNTIFS($BM$9:$BM$508,$BM151,$BP$9:$BP$508,$BP151,$BS$9:$BS$508,"&lt;"&amp;$BS151)+COUNTIFS($BM$9:$BM$508,$BM151,$BP$9:$BP$508,$BP151,$BS$9:$BS$508,$BS151,$BU$9:$BU$508,"&lt;"&amp;$BU151)+COUNTIFS($BM$9:$BM$508,$BM151,$BP$9:$BP$508,$BP151,$BS$9:$BS$508,$BS151,$BU$9:$BU$508,$BU151,$BW$9:$BW$508,"&lt;"&amp;$BW151)+COUNTIFS($BM$9:$BM$508,$BM151,$BP$9:$BP$508,$BP151,$BS$9:$BS$508,$BS151,$BU$9:$BU$508,$BU151,$BW$9:$BW$508,$BW151,$BY$9:$BY$508,"&lt;"&amp;$BY151)+1))</f>
        <v/>
      </c>
      <c r="CA151" s="124" t="str">
        <f aca="false">IF(ISBLANK($C151),"",IF($BL151&lt;&gt;Constants!$B$4,$BL151,$BQ151-$BZ151))</f>
        <v/>
      </c>
      <c r="CB151" s="130"/>
      <c r="CC151" s="131" t="str">
        <f aca="false">IF(ISBLANK($C151),"",IF($BL151=Constants!$B$8,$AR151,""))</f>
        <v/>
      </c>
      <c r="CD151" s="131" t="str">
        <f aca="false">IF(ISBLANK($C151),"",IF($BL151&lt;&gt;Constants!$B$4,"",IF($BB151="-&gt;",2,1)))</f>
        <v/>
      </c>
      <c r="CE151" s="132" t="str">
        <f aca="false">IF(ISBLANK($C151),"",IF($BL151&lt;&gt;Constants!$B$4,"",IF($BB151="-&gt;",$BE151,$AU151)))</f>
        <v/>
      </c>
      <c r="CF151" s="132" t="str">
        <f aca="false">IF(ISBLANK($C151),"",IF($BL151&lt;&gt;Constants!$B$4,"",IF($BB151="-&gt;",$BF151,$AV151)))</f>
        <v/>
      </c>
      <c r="CG151" s="132" t="str">
        <f aca="false">IF(ISBLANK($C151),"",IF($BL151&lt;&gt;Constants!$B$4,"",IF($BB151="-&gt;",$BG151,$AW151)))</f>
        <v/>
      </c>
      <c r="CH151" s="132" t="str">
        <f aca="false">IF(ISBLANK($C151),"",IF($BL151&lt;&gt;Constants!$B$4,"",IF($BB151="-&gt;",$BH151,$AX151)))</f>
        <v/>
      </c>
      <c r="CI151" s="133" t="str">
        <f aca="false">IF(ISBLANK($C151),"",$BO151)</f>
        <v/>
      </c>
      <c r="CJ151" s="134" t="str">
        <f aca="false">IF(ISBLANK($C151),"",$BM151)</f>
        <v/>
      </c>
      <c r="CK151" s="135" t="str">
        <f aca="false">IF(ISBLANK($C151),"",$CA151)</f>
        <v/>
      </c>
      <c r="CL151" s="135" t="str">
        <f aca="false">IF(ISBLANK($C151),"",$BZ151)</f>
        <v/>
      </c>
      <c r="CM151" s="136" t="str">
        <f aca="false">IF(ISBLANK($C151),"",IF($CL151=Constants!$B$7,COUNTA($C$9:$C$508)+2,IF($CL151=Constants!$B$6,COUNTA($C$9:$C$508)+1,IF($CL151=Constants!$B$5,COUNTA($C$9:$C$508),$CL151))))</f>
        <v/>
      </c>
      <c r="CN151" s="8"/>
      <c r="CO151" s="137" t="n">
        <f aca="false">IF(OR(ISNUMBER($CL151),$CL151=Constants!$B$7,$CL151=Constants!$B$5,$CL151=Constants!$B$6),1,0)</f>
        <v>0</v>
      </c>
      <c r="CP151" s="137" t="n">
        <v>143</v>
      </c>
      <c r="CQ151" s="137" t="str">
        <f aca="false">IF(ISBLANK($C151),"",IF(ISNUMBER($CM151),$CM151+ROW($B151)/1000,""))</f>
        <v/>
      </c>
      <c r="CR151" s="137" t="str">
        <f aca="false">IF(ISNUMBER($CQ151),RANK($CQ151,$CQ$9:$CQ$508,1),"")</f>
        <v/>
      </c>
      <c r="CS151" s="137" t="str">
        <f aca="false">IF(ISBLANK($C151),"",$B151)</f>
        <v/>
      </c>
      <c r="CT151" s="137" t="str">
        <f aca="false">IF(ISBLANK($C151),"",$C151)</f>
        <v/>
      </c>
      <c r="CU151" s="137" t="str">
        <f aca="false">IF(ISBLANK($C151),"",$D151)</f>
        <v/>
      </c>
      <c r="CV151" s="138" t="str">
        <f aca="false">$CJ151</f>
        <v/>
      </c>
      <c r="CW151" s="139" t="str">
        <f aca="false">$CI151</f>
        <v/>
      </c>
      <c r="CX151" s="137" t="str">
        <f aca="false">IF(ISBLANK($C151),"",$CL151)</f>
        <v/>
      </c>
      <c r="CY151" s="140" t="str">
        <f aca="false">IF($CP151&gt;$CO$8,"",VLOOKUP($CP151,$CR$9:$CX$508,7,FALSE()))</f>
        <v/>
      </c>
      <c r="CZ151" s="141" t="str">
        <f aca="false">IF($CP151&gt;$CO$8,"",VLOOKUP($CP151,$CR$9:$CX$508,2,FALSE()))</f>
        <v/>
      </c>
      <c r="DA151" s="141" t="str">
        <f aca="false">IF($CP151&gt;$CO$8,"",VLOOKUP($CP151,$CR$9:$CX$508,3,FALSE()))</f>
        <v/>
      </c>
      <c r="DB151" s="141" t="str">
        <f aca="false">IF($CP151&gt;$CO$8,"",VLOOKUP($CP151,$CR$9:$CX$508,4,FALSE()))</f>
        <v/>
      </c>
      <c r="DC151" s="141" t="str">
        <f aca="false">IF($CP151&gt;$CO$8,"",VLOOKUP($CP151,$CR$9:$CX$508,5,FALSE()))</f>
        <v/>
      </c>
      <c r="DD151" s="142" t="str">
        <f aca="false">IF($CP151&gt;$CO$8,"",VLOOKUP($CP151,$CR$9:$CX$508,6,FALSE()))</f>
        <v/>
      </c>
      <c r="DE151" s="70"/>
    </row>
    <row r="152" customFormat="false" ht="15.75" hidden="false" customHeight="false" outlineLevel="0" collapsed="false">
      <c r="A152" s="8"/>
      <c r="B152" s="146"/>
      <c r="C152" s="147"/>
      <c r="D152" s="148"/>
      <c r="E152" s="164"/>
      <c r="F152" s="150"/>
      <c r="G152" s="115"/>
      <c r="H152" s="115"/>
      <c r="I152" s="115"/>
      <c r="J152" s="165"/>
      <c r="K152" s="154"/>
      <c r="L152" s="154"/>
      <c r="M152" s="118"/>
      <c r="N152" s="154"/>
      <c r="O152" s="153"/>
      <c r="P152" s="154"/>
      <c r="Q152" s="154"/>
      <c r="R152" s="154"/>
      <c r="S152" s="115"/>
      <c r="T152" s="154"/>
      <c r="U152" s="153"/>
      <c r="V152" s="154"/>
      <c r="W152" s="123"/>
      <c r="X152" s="124" t="str">
        <f aca="false">IF(ISBLANK($C152),"",IF($E152=Constants!$B$2,TRUE(),IF($E152=Constants!$B$3,FALSE(),TRUE())))</f>
        <v/>
      </c>
      <c r="Y152" s="124" t="str">
        <f aca="false">IF(ISBLANK($C152),"",IF($F152=Constants!$B$2,TRUE(),IF($F152=Constants!$B$3,FALSE(),TRUE())))</f>
        <v/>
      </c>
      <c r="Z152" s="125" t="str">
        <f aca="false">IF(ISBLANK($C152),"",IF(ISNUMBER($G152),IF($G152&gt;=0,$G152,""),""))</f>
        <v/>
      </c>
      <c r="AA152" s="125" t="str">
        <f aca="false">IF(ISBLANK($C152),"",IF(ISNUMBER($H152),IF($H152&gt;=0,$H152,""),""))</f>
        <v/>
      </c>
      <c r="AB152" s="125" t="str">
        <f aca="false">IF(ISBLANK($C152),"",IF(ISNUMBER($I152),IF($I152&gt;=0,$I152,""),""))</f>
        <v/>
      </c>
      <c r="AC152" s="124" t="str">
        <f aca="false">IF(ISBLANK($C152),"",IF($J152=Constants!$B$2,TRUE(),IF($J152=Constants!$B$3,FALSE(),TRUE())))</f>
        <v/>
      </c>
      <c r="AD152" s="124" t="str">
        <f aca="false">IF(ISBLANK($C152),"",IF($K152=Constants!$B$2,TRUE(),IF($K152=Constants!$B$3,FALSE(),TRUE())))</f>
        <v/>
      </c>
      <c r="AE152" s="124" t="str">
        <f aca="false">IF(ISBLANK($C152),"",IF($L152=Constants!$B$2,TRUE(),IF($L152=Constants!$B$3,FALSE(),TRUE())))</f>
        <v/>
      </c>
      <c r="AF152" s="126" t="str">
        <f aca="false">IF(ISBLANK($C152),"",IF(ISNUMBER($M152),IF($M152&gt;=0,$M152,""),""))</f>
        <v/>
      </c>
      <c r="AG152" s="124" t="str">
        <f aca="false">IF(ISBLANK($C152),"",IF(ISBLANK($N152),0,IF(ISNUMBER($N152),IF(AND($N152&gt;=0,$N152&lt;=Constants!$B$17,$N152=INT($N152)),$N152,""),"")))</f>
        <v/>
      </c>
      <c r="AH152" s="125" t="str">
        <f aca="false">IF(ISBLANK($C152),"",IF(ISBLANK($O152),0,IF(ISNUMBER($O152),IF($O152&gt;=0,$O152,""),"")))</f>
        <v/>
      </c>
      <c r="AI152" s="124" t="str">
        <f aca="false">IF(ISBLANK($C152),"",IF($P152=Constants!$B$2,TRUE(),IF($P152=Constants!$B$3,FALSE(),TRUE())))</f>
        <v/>
      </c>
      <c r="AJ152" s="124" t="str">
        <f aca="false">IF(ISBLANK($C152),"",IF($Q152=Constants!$B$2,TRUE(),IF($Q152=Constants!$B$3,FALSE(),TRUE())))</f>
        <v/>
      </c>
      <c r="AK152" s="124" t="str">
        <f aca="false">IF(ISBLANK($C152),"",IF($R152=Constants!$B$2,TRUE(),IF($R152=Constants!$B$3,FALSE(),TRUE())))</f>
        <v/>
      </c>
      <c r="AL152" s="126" t="str">
        <f aca="false">IF(ISBLANK($C152),"",IF(ISNUMBER($S152),IF($S152&gt;=0,$S152,""),""))</f>
        <v/>
      </c>
      <c r="AM152" s="124" t="str">
        <f aca="false">IF(ISBLANK($C152),"",IF(ISBLANK($T152),0,IF(ISNUMBER($T152),IF(AND($T152&gt;=0,$T152&lt;=Constants!$B$17,$T152=INT($T152)),$T152,""),"")))</f>
        <v/>
      </c>
      <c r="AN152" s="125" t="str">
        <f aca="false">IF(ISBLANK($C152),"",IF(ISBLANK($U152),0,IF(ISNUMBER($U152),IF($U152&gt;=0,$U152,""),"")))</f>
        <v/>
      </c>
      <c r="AO152" s="124" t="str">
        <f aca="false">IF(ISBLANK($C152),"",IF($V152=Constants!$B$2,TRUE(),IF($V152=Constants!$B$3,FALSE(),FALSE())))</f>
        <v/>
      </c>
      <c r="AP152" s="124"/>
      <c r="AQ152" s="123" t="str">
        <f aca="false">IF(ISBLANK($C152),"",AND($Y152,OR($AS152,$BC152),OR($Z152="",$AA152="",$AB152="")))</f>
        <v/>
      </c>
      <c r="AR152" s="123" t="str">
        <f aca="false">IF(ISBLANK($C152),"",IF(OR(NOT($Y152),NOT(OR($AS152,$BC152))),"",IF(ISBLANK($D$7),$AR$5,IF($AP$9="",$AR$6,""))))</f>
        <v/>
      </c>
      <c r="AS152" s="123" t="str">
        <f aca="false">IF(ISBLANK($C152),"",COUNTA($J152:$O152)&gt;0)</f>
        <v/>
      </c>
      <c r="AT152" s="123" t="str">
        <f aca="false">IF(ISBLANK($C152),"",AND($AS152,OR(AND($AF152="",OR($AE152,NOT(ISBLANK($M152)))),$AG152="",$AH152="")))</f>
        <v/>
      </c>
      <c r="AU152" s="125" t="str">
        <f aca="false">IF($BL152&lt;&gt;Constants!$B$4,"",IF(NOT($AS152),"",ROUND((Constants!$B$12-$AB152)+(Constants!$B$13-$Z152)+(Constants!$B$14-$AA152),1)))</f>
        <v/>
      </c>
      <c r="AV152" s="127" t="str">
        <f aca="false">IF($BL152&lt;&gt;Constants!$B$4,"",IF(NOT($AS152),"",IF(NOT($AE152),0,Constants!$B$15*(INT(ROUND(MIN($AF152,$AP$9),6))-INT(ROUND(MAX(0,MIN($AF152,2*$AP$9)-$AP$9),6))))))</f>
        <v/>
      </c>
      <c r="AW152" s="127" t="str">
        <f aca="false">IF($BL152&lt;&gt;Constants!$B$4,"",IF(NOT($AS152),"",Constants!$B$16*$AG152))</f>
        <v/>
      </c>
      <c r="AX152" s="127" t="str">
        <f aca="false">IF($BL152&lt;&gt;Constants!$B$4,"",IF(NOT($AS152),"",Constants!$B$18*INT(ROUND($AH152,6))))</f>
        <v/>
      </c>
      <c r="AY152" s="123" t="str">
        <f aca="false">IF($BL152&lt;&gt;Constants!$B$4,"",IF(NOT($AS152),"",IF(NOT($X152),Constants!$B$11,IF(OR(NOT($AC152),NOT($AD152),ROUND($AB152,1)&gt;Constants!$B$12,ROUND($Z152,1)&gt;Constants!$B$13,ROUND($AA152,1)&gt;Constants!$B$14),Constants!$B$10,Constants!$B$9))))</f>
        <v/>
      </c>
      <c r="AZ152" s="128" t="str">
        <f aca="false">IF($BL152&lt;&gt;Constants!$B$4,"",IF(NOT($AS152),"",ROUND($AU152+$AV152+$AW152+$AX152,1)))</f>
        <v/>
      </c>
      <c r="BA152" s="129" t="str">
        <f aca="false">IF($BL152&lt;&gt;Constants!$B$4,"",IF(NOT($AS152),"",IF(ISNUMBER($AF152),$AF152,0)))</f>
        <v/>
      </c>
      <c r="BB152" s="124" t="str">
        <f aca="false">IF($BL152&lt;&gt;Constants!$B$4,"",IF(NOT($BC152),"&lt;-",IF(NOT($AS152),"-&gt;",IF(OR($BI152&lt;$AY152,AND($BI152=$AY152,OR($BJ152&gt;$AZ152,AND($BJ152=$AZ152,OR($BH152&gt;$AX152,AND($BH152=$AX152,OR($BE152&gt;$AU152,AND($BE152=$AU152,OR($BF152&gt;$AV152,AND($BF152=$AV152,$BK152&gt;$BA152)))))))))),"-&gt;","&lt;-"))))</f>
        <v/>
      </c>
      <c r="BC152" s="123" t="str">
        <f aca="false">IF(ISBLANK($C152),"",COUNTA($P152:$U152)&gt;0)</f>
        <v/>
      </c>
      <c r="BD152" s="123" t="str">
        <f aca="false">IF(ISBLANK($C152),"",AND($BC152,OR(AND($AL152="",OR($AK152,NOT(ISBLANK($S152)))),$AM152="",$AN152="")))</f>
        <v/>
      </c>
      <c r="BE152" s="125" t="str">
        <f aca="false">IF($BL152&lt;&gt;Constants!$B$4,"",IF(NOT($BC152),"",ROUND((Constants!$B$12-$AB152)+(Constants!$B$13-$Z152)+(Constants!$B$14-$AA152),1)))</f>
        <v/>
      </c>
      <c r="BF152" s="127" t="str">
        <f aca="false">IF($BL152&lt;&gt;Constants!$B$4,"",IF(NOT($BC152),"",IF(NOT($AK152),0,Constants!$B$15*(INT(ROUND(MIN($AL152,$AP$9),6))-INT(ROUND(MAX(0,MIN($AL152,2*$AP$9)-$AP$9),6))))))</f>
        <v/>
      </c>
      <c r="BG152" s="127" t="str">
        <f aca="false">IF($BL152&lt;&gt;Constants!$B$4,"",IF(NOT($BC152),"",Constants!$B$16*$AM152))</f>
        <v/>
      </c>
      <c r="BH152" s="127" t="str">
        <f aca="false">IF($BL152&lt;&gt;Constants!$B$4,"",IF(NOT($BC152),"",Constants!$B$18*INT(ROUND($AN152,6))))</f>
        <v/>
      </c>
      <c r="BI152" s="123" t="str">
        <f aca="false">IF($BL152&lt;&gt;Constants!$B$4,"",IF(NOT($BC152),"",IF(NOT($X152),Constants!$B$11,IF(OR(NOT($AI152),NOT($AJ152),ROUND($AB152,1)&gt;Constants!$B$12,ROUND($Z152,1)&gt;Constants!$B$13,ROUND($AA152,1)&gt;Constants!$B$14),Constants!$B$10,Constants!$B$9))))</f>
        <v/>
      </c>
      <c r="BJ152" s="128" t="str">
        <f aca="false">IF($BL152&lt;&gt;Constants!$B$4,"",IF(NOT($BC152),"",ROUND($BE152+$BF152+$BG152+$BH152,1)))</f>
        <v/>
      </c>
      <c r="BK152" s="129" t="str">
        <f aca="false">IF($BL152&lt;&gt;Constants!$B$4,"",IF(NOT($BC152),"",IF(ISNUMBER($AL152),$AL152,0)))</f>
        <v/>
      </c>
      <c r="BL152" s="124" t="str">
        <f aca="false">IF(ISBLANK($C152),"",IF($AO152,Constants!$B$7,IF(COUNTA($E152:$V152)=0,Constants!$B$6,IF(NOT($Y152),Constants!$B$5,IF(NOT(OR($AS152,$BC152)),Constants!$B$5,IF(OR($AT152,$BD152,$AQ152,$AR152&lt;&gt;""),Constants!$B$8,Constants!$B$4))))))</f>
        <v/>
      </c>
      <c r="BM152" s="124" t="str">
        <f aca="false">IF(ISBLANK($C152),"",IF($BL152&lt;&gt;Constants!$B$4,$BL152,IF($BB152="-&gt;",$BI152,$AY152)))</f>
        <v/>
      </c>
      <c r="BN152" s="127" t="str">
        <f aca="false">IF($BL152&lt;&gt;Constants!$B$4,"",IF($BB152="-&gt;",$BJ152,$AZ152))</f>
        <v/>
      </c>
      <c r="BO152" s="127" t="str">
        <f aca="false">IF(ISBLANK($C152),"",IF($BL152&lt;&gt;Constants!$B$4,$BL152,$BN152))</f>
        <v/>
      </c>
      <c r="BP152" s="124" t="str">
        <f aca="false">IF(ISBLANK($C152),"",IF($BL152&lt;&gt;Constants!$B$4,$BL152,RANK($BO152,$BO$9:$BO$508,0)))</f>
        <v/>
      </c>
      <c r="BQ152" s="124" t="str">
        <f aca="false">IF(ISBLANK($C152),"",IF($BL152&lt;&gt;Constants!$B$4,$BL152,COUNTIFS($BM$9:$BM$508,"&lt;"&amp;$BM152)+COUNTIFS($BM$9:$BM$508,$BM152,$BP$9:$BP$508,"&lt;"&amp;$BP152)+1))</f>
        <v/>
      </c>
      <c r="BR152" s="127" t="str">
        <f aca="false">IF($BL152&lt;&gt;Constants!$B$4,"",IF($BB152="-&gt;",$BH152,$AX152))</f>
        <v/>
      </c>
      <c r="BS152" s="124" t="str">
        <f aca="false">IF(ISBLANK($C152),"",IF($BL152&lt;&gt;Constants!$B$4,$BL152,IF(ISNUMBER($BR152),RANK($BR152,$BR$9:$BR$508,0),COUNT($BR$9:$BR$508)+1)))</f>
        <v/>
      </c>
      <c r="BT152" s="127" t="str">
        <f aca="false">IF($BL152&lt;&gt;Constants!$B$4,"",IF($BB152="-&gt;",$BE152,$AU152))</f>
        <v/>
      </c>
      <c r="BU152" s="124" t="str">
        <f aca="false">IF(ISBLANK($C152),"",IF($BL152&lt;&gt;Constants!$B$4,$BL152,IF(ISNUMBER($BT152),RANK($BT152,$BT$9:$BT$508,0),COUNT($BT$9:$BT$508)+1)))</f>
        <v/>
      </c>
      <c r="BV152" s="127" t="str">
        <f aca="false">IF($BL152&lt;&gt;Constants!$B$4,"",IF($BB152="-&gt;",$BF152,$AV152))</f>
        <v/>
      </c>
      <c r="BW152" s="124" t="str">
        <f aca="false">IF(ISBLANK($C152),"",IF($BL152&lt;&gt;Constants!$B$4,$BL152,IF(ISNUMBER($BV152),RANK($BV152,$BV$9:$BV$508,0),COUNT($BV$9:$BV$508)+1)))</f>
        <v/>
      </c>
      <c r="BX152" s="127" t="str">
        <f aca="false">IF($BL152&lt;&gt;Constants!$B$4,"",IF($BB152="-&gt;",$BK152,$BA152))</f>
        <v/>
      </c>
      <c r="BY152" s="124" t="str">
        <f aca="false">IF(ISBLANK($C152),"",IF($BL152&lt;&gt;Constants!$B$4,$BL152,IF(ISNUMBER($BX152),RANK($BX152,$BX$9:$BX$508,0),COUNT($BX$9:$BX$508)+1)))</f>
        <v/>
      </c>
      <c r="BZ152" s="124" t="str">
        <f aca="false">IF(ISBLANK($C152),"",IF($BL152&lt;&gt;Constants!$B$4,$BL152,COUNTIFS($BM$9:$BM$508,"&lt;"&amp;$BM152)+COUNTIFS($BM$9:$BM$508,$BM152,$BP$9:$BP$508,"&lt;"&amp;$BP152)+COUNTIFS($BM$9:$BM$508,$BM152,$BP$9:$BP$508,$BP152,$BS$9:$BS$508,"&lt;"&amp;$BS152)+COUNTIFS($BM$9:$BM$508,$BM152,$BP$9:$BP$508,$BP152,$BS$9:$BS$508,$BS152,$BU$9:$BU$508,"&lt;"&amp;$BU152)+COUNTIFS($BM$9:$BM$508,$BM152,$BP$9:$BP$508,$BP152,$BS$9:$BS$508,$BS152,$BU$9:$BU$508,$BU152,$BW$9:$BW$508,"&lt;"&amp;$BW152)+COUNTIFS($BM$9:$BM$508,$BM152,$BP$9:$BP$508,$BP152,$BS$9:$BS$508,$BS152,$BU$9:$BU$508,$BU152,$BW$9:$BW$508,$BW152,$BY$9:$BY$508,"&lt;"&amp;$BY152)+1))</f>
        <v/>
      </c>
      <c r="CA152" s="124" t="str">
        <f aca="false">IF(ISBLANK($C152),"",IF($BL152&lt;&gt;Constants!$B$4,$BL152,$BQ152-$BZ152))</f>
        <v/>
      </c>
      <c r="CB152" s="130"/>
      <c r="CC152" s="131" t="str">
        <f aca="false">IF(ISBLANK($C152),"",IF($BL152=Constants!$B$8,$AR152,""))</f>
        <v/>
      </c>
      <c r="CD152" s="131" t="str">
        <f aca="false">IF(ISBLANK($C152),"",IF($BL152&lt;&gt;Constants!$B$4,"",IF($BB152="-&gt;",2,1)))</f>
        <v/>
      </c>
      <c r="CE152" s="132" t="str">
        <f aca="false">IF(ISBLANK($C152),"",IF($BL152&lt;&gt;Constants!$B$4,"",IF($BB152="-&gt;",$BE152,$AU152)))</f>
        <v/>
      </c>
      <c r="CF152" s="132" t="str">
        <f aca="false">IF(ISBLANK($C152),"",IF($BL152&lt;&gt;Constants!$B$4,"",IF($BB152="-&gt;",$BF152,$AV152)))</f>
        <v/>
      </c>
      <c r="CG152" s="132" t="str">
        <f aca="false">IF(ISBLANK($C152),"",IF($BL152&lt;&gt;Constants!$B$4,"",IF($BB152="-&gt;",$BG152,$AW152)))</f>
        <v/>
      </c>
      <c r="CH152" s="132" t="str">
        <f aca="false">IF(ISBLANK($C152),"",IF($BL152&lt;&gt;Constants!$B$4,"",IF($BB152="-&gt;",$BH152,$AX152)))</f>
        <v/>
      </c>
      <c r="CI152" s="133" t="str">
        <f aca="false">IF(ISBLANK($C152),"",$BO152)</f>
        <v/>
      </c>
      <c r="CJ152" s="134" t="str">
        <f aca="false">IF(ISBLANK($C152),"",$BM152)</f>
        <v/>
      </c>
      <c r="CK152" s="135" t="str">
        <f aca="false">IF(ISBLANK($C152),"",$CA152)</f>
        <v/>
      </c>
      <c r="CL152" s="135" t="str">
        <f aca="false">IF(ISBLANK($C152),"",$BZ152)</f>
        <v/>
      </c>
      <c r="CM152" s="136" t="str">
        <f aca="false">IF(ISBLANK($C152),"",IF($CL152=Constants!$B$7,COUNTA($C$9:$C$508)+2,IF($CL152=Constants!$B$6,COUNTA($C$9:$C$508)+1,IF($CL152=Constants!$B$5,COUNTA($C$9:$C$508),$CL152))))</f>
        <v/>
      </c>
      <c r="CN152" s="8"/>
      <c r="CO152" s="137" t="n">
        <f aca="false">IF(OR(ISNUMBER($CL152),$CL152=Constants!$B$7,$CL152=Constants!$B$5,$CL152=Constants!$B$6),1,0)</f>
        <v>0</v>
      </c>
      <c r="CP152" s="137" t="n">
        <v>144</v>
      </c>
      <c r="CQ152" s="137" t="str">
        <f aca="false">IF(ISBLANK($C152),"",IF(ISNUMBER($CM152),$CM152+ROW($B152)/1000,""))</f>
        <v/>
      </c>
      <c r="CR152" s="137" t="str">
        <f aca="false">IF(ISNUMBER($CQ152),RANK($CQ152,$CQ$9:$CQ$508,1),"")</f>
        <v/>
      </c>
      <c r="CS152" s="137" t="str">
        <f aca="false">IF(ISBLANK($C152),"",$B152)</f>
        <v/>
      </c>
      <c r="CT152" s="137" t="str">
        <f aca="false">IF(ISBLANK($C152),"",$C152)</f>
        <v/>
      </c>
      <c r="CU152" s="137" t="str">
        <f aca="false">IF(ISBLANK($C152),"",$D152)</f>
        <v/>
      </c>
      <c r="CV152" s="138" t="str">
        <f aca="false">$CJ152</f>
        <v/>
      </c>
      <c r="CW152" s="139" t="str">
        <f aca="false">$CI152</f>
        <v/>
      </c>
      <c r="CX152" s="137" t="str">
        <f aca="false">IF(ISBLANK($C152),"",$CL152)</f>
        <v/>
      </c>
      <c r="CY152" s="140" t="str">
        <f aca="false">IF($CP152&gt;$CO$8,"",VLOOKUP($CP152,$CR$9:$CX$508,7,FALSE()))</f>
        <v/>
      </c>
      <c r="CZ152" s="141" t="str">
        <f aca="false">IF($CP152&gt;$CO$8,"",VLOOKUP($CP152,$CR$9:$CX$508,2,FALSE()))</f>
        <v/>
      </c>
      <c r="DA152" s="141" t="str">
        <f aca="false">IF($CP152&gt;$CO$8,"",VLOOKUP($CP152,$CR$9:$CX$508,3,FALSE()))</f>
        <v/>
      </c>
      <c r="DB152" s="141" t="str">
        <f aca="false">IF($CP152&gt;$CO$8,"",VLOOKUP($CP152,$CR$9:$CX$508,4,FALSE()))</f>
        <v/>
      </c>
      <c r="DC152" s="141" t="str">
        <f aca="false">IF($CP152&gt;$CO$8,"",VLOOKUP($CP152,$CR$9:$CX$508,5,FALSE()))</f>
        <v/>
      </c>
      <c r="DD152" s="142" t="str">
        <f aca="false">IF($CP152&gt;$CO$8,"",VLOOKUP($CP152,$CR$9:$CX$508,6,FALSE()))</f>
        <v/>
      </c>
      <c r="DE152" s="70"/>
    </row>
    <row r="153" customFormat="false" ht="15.75" hidden="false" customHeight="false" outlineLevel="0" collapsed="false">
      <c r="A153" s="8"/>
      <c r="B153" s="72"/>
      <c r="C153" s="73"/>
      <c r="D153" s="155"/>
      <c r="E153" s="162"/>
      <c r="F153" s="157"/>
      <c r="G153" s="77"/>
      <c r="H153" s="77"/>
      <c r="I153" s="77"/>
      <c r="J153" s="163"/>
      <c r="K153" s="161"/>
      <c r="L153" s="161"/>
      <c r="M153" s="80"/>
      <c r="N153" s="161"/>
      <c r="O153" s="160"/>
      <c r="P153" s="161"/>
      <c r="Q153" s="161"/>
      <c r="R153" s="161"/>
      <c r="S153" s="77"/>
      <c r="T153" s="161"/>
      <c r="U153" s="160"/>
      <c r="V153" s="161"/>
      <c r="W153" s="85"/>
      <c r="X153" s="86" t="str">
        <f aca="false">IF(ISBLANK($C153),"",IF($E153=Constants!$B$2,TRUE(),IF($E153=Constants!$B$3,FALSE(),TRUE())))</f>
        <v/>
      </c>
      <c r="Y153" s="86" t="str">
        <f aca="false">IF(ISBLANK($C153),"",IF($F153=Constants!$B$2,TRUE(),IF($F153=Constants!$B$3,FALSE(),TRUE())))</f>
        <v/>
      </c>
      <c r="Z153" s="87" t="str">
        <f aca="false">IF(ISBLANK($C153),"",IF(ISNUMBER($G153),IF($G153&gt;=0,$G153,""),""))</f>
        <v/>
      </c>
      <c r="AA153" s="87" t="str">
        <f aca="false">IF(ISBLANK($C153),"",IF(ISNUMBER($H153),IF($H153&gt;=0,$H153,""),""))</f>
        <v/>
      </c>
      <c r="AB153" s="87" t="str">
        <f aca="false">IF(ISBLANK($C153),"",IF(ISNUMBER($I153),IF($I153&gt;=0,$I153,""),""))</f>
        <v/>
      </c>
      <c r="AC153" s="86" t="str">
        <f aca="false">IF(ISBLANK($C153),"",IF($J153=Constants!$B$2,TRUE(),IF($J153=Constants!$B$3,FALSE(),TRUE())))</f>
        <v/>
      </c>
      <c r="AD153" s="86" t="str">
        <f aca="false">IF(ISBLANK($C153),"",IF($K153=Constants!$B$2,TRUE(),IF($K153=Constants!$B$3,FALSE(),TRUE())))</f>
        <v/>
      </c>
      <c r="AE153" s="86" t="str">
        <f aca="false">IF(ISBLANK($C153),"",IF($L153=Constants!$B$2,TRUE(),IF($L153=Constants!$B$3,FALSE(),TRUE())))</f>
        <v/>
      </c>
      <c r="AF153" s="88" t="str">
        <f aca="false">IF(ISBLANK($C153),"",IF(ISNUMBER($M153),IF($M153&gt;=0,$M153,""),""))</f>
        <v/>
      </c>
      <c r="AG153" s="86" t="str">
        <f aca="false">IF(ISBLANK($C153),"",IF(ISBLANK($N153),0,IF(ISNUMBER($N153),IF(AND($N153&gt;=0,$N153&lt;=Constants!$B$17,$N153=INT($N153)),$N153,""),"")))</f>
        <v/>
      </c>
      <c r="AH153" s="87" t="str">
        <f aca="false">IF(ISBLANK($C153),"",IF(ISBLANK($O153),0,IF(ISNUMBER($O153),IF($O153&gt;=0,$O153,""),"")))</f>
        <v/>
      </c>
      <c r="AI153" s="86" t="str">
        <f aca="false">IF(ISBLANK($C153),"",IF($P153=Constants!$B$2,TRUE(),IF($P153=Constants!$B$3,FALSE(),TRUE())))</f>
        <v/>
      </c>
      <c r="AJ153" s="86" t="str">
        <f aca="false">IF(ISBLANK($C153),"",IF($Q153=Constants!$B$2,TRUE(),IF($Q153=Constants!$B$3,FALSE(),TRUE())))</f>
        <v/>
      </c>
      <c r="AK153" s="86" t="str">
        <f aca="false">IF(ISBLANK($C153),"",IF($R153=Constants!$B$2,TRUE(),IF($R153=Constants!$B$3,FALSE(),TRUE())))</f>
        <v/>
      </c>
      <c r="AL153" s="88" t="str">
        <f aca="false">IF(ISBLANK($C153),"",IF(ISNUMBER($S153),IF($S153&gt;=0,$S153,""),""))</f>
        <v/>
      </c>
      <c r="AM153" s="86" t="str">
        <f aca="false">IF(ISBLANK($C153),"",IF(ISBLANK($T153),0,IF(ISNUMBER($T153),IF(AND($T153&gt;=0,$T153&lt;=Constants!$B$17,$T153=INT($T153)),$T153,""),"")))</f>
        <v/>
      </c>
      <c r="AN153" s="87" t="str">
        <f aca="false">IF(ISBLANK($C153),"",IF(ISBLANK($U153),0,IF(ISNUMBER($U153),IF($U153&gt;=0,$U153,""),"")))</f>
        <v/>
      </c>
      <c r="AO153" s="86" t="str">
        <f aca="false">IF(ISBLANK($C153),"",IF($V153=Constants!$B$2,TRUE(),IF($V153=Constants!$B$3,FALSE(),FALSE())))</f>
        <v/>
      </c>
      <c r="AP153" s="86"/>
      <c r="AQ153" s="85" t="str">
        <f aca="false">IF(ISBLANK($C153),"",AND($Y153,OR($AS153,$BC153),OR($Z153="",$AA153="",$AB153="")))</f>
        <v/>
      </c>
      <c r="AR153" s="85" t="str">
        <f aca="false">IF(ISBLANK($C153),"",IF(OR(NOT($Y153),NOT(OR($AS153,$BC153))),"",IF(ISBLANK($D$7),$AR$5,IF($AP$9="",$AR$6,""))))</f>
        <v/>
      </c>
      <c r="AS153" s="85" t="str">
        <f aca="false">IF(ISBLANK($C153),"",COUNTA($J153:$O153)&gt;0)</f>
        <v/>
      </c>
      <c r="AT153" s="85" t="str">
        <f aca="false">IF(ISBLANK($C153),"",AND($AS153,OR(AND($AF153="",OR($AE153,NOT(ISBLANK($M153)))),$AG153="",$AH153="")))</f>
        <v/>
      </c>
      <c r="AU153" s="87" t="str">
        <f aca="false">IF($BL153&lt;&gt;Constants!$B$4,"",IF(NOT($AS153),"",ROUND((Constants!$B$12-$AB153)+(Constants!$B$13-$Z153)+(Constants!$B$14-$AA153),1)))</f>
        <v/>
      </c>
      <c r="AV153" s="90" t="str">
        <f aca="false">IF($BL153&lt;&gt;Constants!$B$4,"",IF(NOT($AS153),"",IF(NOT($AE153),0,Constants!$B$15*(INT(ROUND(MIN($AF153,$AP$9),6))-INT(ROUND(MAX(0,MIN($AF153,2*$AP$9)-$AP$9),6))))))</f>
        <v/>
      </c>
      <c r="AW153" s="90" t="str">
        <f aca="false">IF($BL153&lt;&gt;Constants!$B$4,"",IF(NOT($AS153),"",Constants!$B$16*$AG153))</f>
        <v/>
      </c>
      <c r="AX153" s="90" t="str">
        <f aca="false">IF($BL153&lt;&gt;Constants!$B$4,"",IF(NOT($AS153),"",Constants!$B$18*INT(ROUND($AH153,6))))</f>
        <v/>
      </c>
      <c r="AY153" s="85" t="str">
        <f aca="false">IF($BL153&lt;&gt;Constants!$B$4,"",IF(NOT($AS153),"",IF(NOT($X153),Constants!$B$11,IF(OR(NOT($AC153),NOT($AD153),ROUND($AB153,1)&gt;Constants!$B$12,ROUND($Z153,1)&gt;Constants!$B$13,ROUND($AA153,1)&gt;Constants!$B$14),Constants!$B$10,Constants!$B$9))))</f>
        <v/>
      </c>
      <c r="AZ153" s="91" t="str">
        <f aca="false">IF($BL153&lt;&gt;Constants!$B$4,"",IF(NOT($AS153),"",ROUND($AU153+$AV153+$AW153+$AX153,1)))</f>
        <v/>
      </c>
      <c r="BA153" s="92" t="str">
        <f aca="false">IF($BL153&lt;&gt;Constants!$B$4,"",IF(NOT($AS153),"",IF(ISNUMBER($AF153),$AF153,0)))</f>
        <v/>
      </c>
      <c r="BB153" s="86" t="str">
        <f aca="false">IF($BL153&lt;&gt;Constants!$B$4,"",IF(NOT($BC153),"&lt;-",IF(NOT($AS153),"-&gt;",IF(OR($BI153&lt;$AY153,AND($BI153=$AY153,OR($BJ153&gt;$AZ153,AND($BJ153=$AZ153,OR($BH153&gt;$AX153,AND($BH153=$AX153,OR($BE153&gt;$AU153,AND($BE153=$AU153,OR($BF153&gt;$AV153,AND($BF153=$AV153,$BK153&gt;$BA153)))))))))),"-&gt;","&lt;-"))))</f>
        <v/>
      </c>
      <c r="BC153" s="85" t="str">
        <f aca="false">IF(ISBLANK($C153),"",COUNTA($P153:$U153)&gt;0)</f>
        <v/>
      </c>
      <c r="BD153" s="85" t="str">
        <f aca="false">IF(ISBLANK($C153),"",AND($BC153,OR(AND($AL153="",OR($AK153,NOT(ISBLANK($S153)))),$AM153="",$AN153="")))</f>
        <v/>
      </c>
      <c r="BE153" s="87" t="str">
        <f aca="false">IF($BL153&lt;&gt;Constants!$B$4,"",IF(NOT($BC153),"",ROUND((Constants!$B$12-$AB153)+(Constants!$B$13-$Z153)+(Constants!$B$14-$AA153),1)))</f>
        <v/>
      </c>
      <c r="BF153" s="90" t="str">
        <f aca="false">IF($BL153&lt;&gt;Constants!$B$4,"",IF(NOT($BC153),"",IF(NOT($AK153),0,Constants!$B$15*(INT(ROUND(MIN($AL153,$AP$9),6))-INT(ROUND(MAX(0,MIN($AL153,2*$AP$9)-$AP$9),6))))))</f>
        <v/>
      </c>
      <c r="BG153" s="90" t="str">
        <f aca="false">IF($BL153&lt;&gt;Constants!$B$4,"",IF(NOT($BC153),"",Constants!$B$16*$AM153))</f>
        <v/>
      </c>
      <c r="BH153" s="90" t="str">
        <f aca="false">IF($BL153&lt;&gt;Constants!$B$4,"",IF(NOT($BC153),"",Constants!$B$18*INT(ROUND($AN153,6))))</f>
        <v/>
      </c>
      <c r="BI153" s="85" t="str">
        <f aca="false">IF($BL153&lt;&gt;Constants!$B$4,"",IF(NOT($BC153),"",IF(NOT($X153),Constants!$B$11,IF(OR(NOT($AI153),NOT($AJ153),ROUND($AB153,1)&gt;Constants!$B$12,ROUND($Z153,1)&gt;Constants!$B$13,ROUND($AA153,1)&gt;Constants!$B$14),Constants!$B$10,Constants!$B$9))))</f>
        <v/>
      </c>
      <c r="BJ153" s="91" t="str">
        <f aca="false">IF($BL153&lt;&gt;Constants!$B$4,"",IF(NOT($BC153),"",ROUND($BE153+$BF153+$BG153+$BH153,1)))</f>
        <v/>
      </c>
      <c r="BK153" s="92" t="str">
        <f aca="false">IF($BL153&lt;&gt;Constants!$B$4,"",IF(NOT($BC153),"",IF(ISNUMBER($AL153),$AL153,0)))</f>
        <v/>
      </c>
      <c r="BL153" s="86" t="str">
        <f aca="false">IF(ISBLANK($C153),"",IF($AO153,Constants!$B$7,IF(COUNTA($E153:$V153)=0,Constants!$B$6,IF(NOT($Y153),Constants!$B$5,IF(NOT(OR($AS153,$BC153)),Constants!$B$5,IF(OR($AT153,$BD153,$AQ153,$AR153&lt;&gt;""),Constants!$B$8,Constants!$B$4))))))</f>
        <v/>
      </c>
      <c r="BM153" s="86" t="str">
        <f aca="false">IF(ISBLANK($C153),"",IF($BL153&lt;&gt;Constants!$B$4,$BL153,IF($BB153="-&gt;",$BI153,$AY153)))</f>
        <v/>
      </c>
      <c r="BN153" s="90" t="str">
        <f aca="false">IF($BL153&lt;&gt;Constants!$B$4,"",IF($BB153="-&gt;",$BJ153,$AZ153))</f>
        <v/>
      </c>
      <c r="BO153" s="90" t="str">
        <f aca="false">IF(ISBLANK($C153),"",IF($BL153&lt;&gt;Constants!$B$4,$BL153,$BN153))</f>
        <v/>
      </c>
      <c r="BP153" s="86" t="str">
        <f aca="false">IF(ISBLANK($C153),"",IF($BL153&lt;&gt;Constants!$B$4,$BL153,RANK($BO153,$BO$9:$BO$508,0)))</f>
        <v/>
      </c>
      <c r="BQ153" s="86" t="str">
        <f aca="false">IF(ISBLANK($C153),"",IF($BL153&lt;&gt;Constants!$B$4,$BL153,COUNTIFS($BM$9:$BM$508,"&lt;"&amp;$BM153)+COUNTIFS($BM$9:$BM$508,$BM153,$BP$9:$BP$508,"&lt;"&amp;$BP153)+1))</f>
        <v/>
      </c>
      <c r="BR153" s="90" t="str">
        <f aca="false">IF($BL153&lt;&gt;Constants!$B$4,"",IF($BB153="-&gt;",$BH153,$AX153))</f>
        <v/>
      </c>
      <c r="BS153" s="86" t="str">
        <f aca="false">IF(ISBLANK($C153),"",IF($BL153&lt;&gt;Constants!$B$4,$BL153,IF(ISNUMBER($BR153),RANK($BR153,$BR$9:$BR$508,0),COUNT($BR$9:$BR$508)+1)))</f>
        <v/>
      </c>
      <c r="BT153" s="90" t="str">
        <f aca="false">IF($BL153&lt;&gt;Constants!$B$4,"",IF($BB153="-&gt;",$BE153,$AU153))</f>
        <v/>
      </c>
      <c r="BU153" s="86" t="str">
        <f aca="false">IF(ISBLANK($C153),"",IF($BL153&lt;&gt;Constants!$B$4,$BL153,IF(ISNUMBER($BT153),RANK($BT153,$BT$9:$BT$508,0),COUNT($BT$9:$BT$508)+1)))</f>
        <v/>
      </c>
      <c r="BV153" s="90" t="str">
        <f aca="false">IF($BL153&lt;&gt;Constants!$B$4,"",IF($BB153="-&gt;",$BF153,$AV153))</f>
        <v/>
      </c>
      <c r="BW153" s="86" t="str">
        <f aca="false">IF(ISBLANK($C153),"",IF($BL153&lt;&gt;Constants!$B$4,$BL153,IF(ISNUMBER($BV153),RANK($BV153,$BV$9:$BV$508,0),COUNT($BV$9:$BV$508)+1)))</f>
        <v/>
      </c>
      <c r="BX153" s="90" t="str">
        <f aca="false">IF($BL153&lt;&gt;Constants!$B$4,"",IF($BB153="-&gt;",$BK153,$BA153))</f>
        <v/>
      </c>
      <c r="BY153" s="86" t="str">
        <f aca="false">IF(ISBLANK($C153),"",IF($BL153&lt;&gt;Constants!$B$4,$BL153,IF(ISNUMBER($BX153),RANK($BX153,$BX$9:$BX$508,0),COUNT($BX$9:$BX$508)+1)))</f>
        <v/>
      </c>
      <c r="BZ153" s="86" t="str">
        <f aca="false">IF(ISBLANK($C153),"",IF($BL153&lt;&gt;Constants!$B$4,$BL153,COUNTIFS($BM$9:$BM$508,"&lt;"&amp;$BM153)+COUNTIFS($BM$9:$BM$508,$BM153,$BP$9:$BP$508,"&lt;"&amp;$BP153)+COUNTIFS($BM$9:$BM$508,$BM153,$BP$9:$BP$508,$BP153,$BS$9:$BS$508,"&lt;"&amp;$BS153)+COUNTIFS($BM$9:$BM$508,$BM153,$BP$9:$BP$508,$BP153,$BS$9:$BS$508,$BS153,$BU$9:$BU$508,"&lt;"&amp;$BU153)+COUNTIFS($BM$9:$BM$508,$BM153,$BP$9:$BP$508,$BP153,$BS$9:$BS$508,$BS153,$BU$9:$BU$508,$BU153,$BW$9:$BW$508,"&lt;"&amp;$BW153)+COUNTIFS($BM$9:$BM$508,$BM153,$BP$9:$BP$508,$BP153,$BS$9:$BS$508,$BS153,$BU$9:$BU$508,$BU153,$BW$9:$BW$508,$BW153,$BY$9:$BY$508,"&lt;"&amp;$BY153)+1))</f>
        <v/>
      </c>
      <c r="CA153" s="86" t="str">
        <f aca="false">IF(ISBLANK($C153),"",IF($BL153&lt;&gt;Constants!$B$4,$BL153,$BQ153-$BZ153))</f>
        <v/>
      </c>
      <c r="CB153" s="93"/>
      <c r="CC153" s="94" t="str">
        <f aca="false">IF(ISBLANK($C153),"",IF($BL153=Constants!$B$8,$AR153,""))</f>
        <v/>
      </c>
      <c r="CD153" s="94" t="str">
        <f aca="false">IF(ISBLANK($C153),"",IF($BL153&lt;&gt;Constants!$B$4,"",IF($BB153="-&gt;",2,1)))</f>
        <v/>
      </c>
      <c r="CE153" s="95" t="str">
        <f aca="false">IF(ISBLANK($C153),"",IF($BL153&lt;&gt;Constants!$B$4,"",IF($BB153="-&gt;",$BE153,$AU153)))</f>
        <v/>
      </c>
      <c r="CF153" s="95" t="str">
        <f aca="false">IF(ISBLANK($C153),"",IF($BL153&lt;&gt;Constants!$B$4,"",IF($BB153="-&gt;",$BF153,$AV153)))</f>
        <v/>
      </c>
      <c r="CG153" s="95" t="str">
        <f aca="false">IF(ISBLANK($C153),"",IF($BL153&lt;&gt;Constants!$B$4,"",IF($BB153="-&gt;",$BG153,$AW153)))</f>
        <v/>
      </c>
      <c r="CH153" s="95" t="str">
        <f aca="false">IF(ISBLANK($C153),"",IF($BL153&lt;&gt;Constants!$B$4,"",IF($BB153="-&gt;",$BH153,$AX153)))</f>
        <v/>
      </c>
      <c r="CI153" s="96" t="str">
        <f aca="false">IF(ISBLANK($C153),"",$BO153)</f>
        <v/>
      </c>
      <c r="CJ153" s="97" t="str">
        <f aca="false">IF(ISBLANK($C153),"",$BM153)</f>
        <v/>
      </c>
      <c r="CK153" s="98" t="str">
        <f aca="false">IF(ISBLANK($C153),"",$CA153)</f>
        <v/>
      </c>
      <c r="CL153" s="98" t="str">
        <f aca="false">IF(ISBLANK($C153),"",$BZ153)</f>
        <v/>
      </c>
      <c r="CM153" s="99" t="str">
        <f aca="false">IF(ISBLANK($C153),"",IF($CL153=Constants!$B$7,COUNTA($C$9:$C$508)+2,IF($CL153=Constants!$B$6,COUNTA($C$9:$C$508)+1,IF($CL153=Constants!$B$5,COUNTA($C$9:$C$508),$CL153))))</f>
        <v/>
      </c>
      <c r="CN153" s="8"/>
      <c r="CO153" s="100" t="n">
        <f aca="false">IF(OR(ISNUMBER($CL153),$CL153=Constants!$B$7,$CL153=Constants!$B$5,$CL153=Constants!$B$6),1,0)</f>
        <v>0</v>
      </c>
      <c r="CP153" s="100" t="n">
        <v>145</v>
      </c>
      <c r="CQ153" s="100" t="str">
        <f aca="false">IF(ISBLANK($C153),"",IF(ISNUMBER($CM153),$CM153+ROW($B153)/1000,""))</f>
        <v/>
      </c>
      <c r="CR153" s="100" t="str">
        <f aca="false">IF(ISNUMBER($CQ153),RANK($CQ153,$CQ$9:$CQ$508,1),"")</f>
        <v/>
      </c>
      <c r="CS153" s="100" t="str">
        <f aca="false">IF(ISBLANK($C153),"",$B153)</f>
        <v/>
      </c>
      <c r="CT153" s="100" t="str">
        <f aca="false">IF(ISBLANK($C153),"",$C153)</f>
        <v/>
      </c>
      <c r="CU153" s="100" t="str">
        <f aca="false">IF(ISBLANK($C153),"",$D153)</f>
        <v/>
      </c>
      <c r="CV153" s="101" t="str">
        <f aca="false">$CJ153</f>
        <v/>
      </c>
      <c r="CW153" s="102" t="str">
        <f aca="false">$CI153</f>
        <v/>
      </c>
      <c r="CX153" s="100" t="str">
        <f aca="false">IF(ISBLANK($C153),"",$CL153)</f>
        <v/>
      </c>
      <c r="CY153" s="103" t="str">
        <f aca="false">IF($CP153&gt;$CO$8,"",VLOOKUP($CP153,$CR$9:$CX$508,7,FALSE()))</f>
        <v/>
      </c>
      <c r="CZ153" s="104" t="str">
        <f aca="false">IF($CP153&gt;$CO$8,"",VLOOKUP($CP153,$CR$9:$CX$508,2,FALSE()))</f>
        <v/>
      </c>
      <c r="DA153" s="104" t="str">
        <f aca="false">IF($CP153&gt;$CO$8,"",VLOOKUP($CP153,$CR$9:$CX$508,3,FALSE()))</f>
        <v/>
      </c>
      <c r="DB153" s="104" t="str">
        <f aca="false">IF($CP153&gt;$CO$8,"",VLOOKUP($CP153,$CR$9:$CX$508,4,FALSE()))</f>
        <v/>
      </c>
      <c r="DC153" s="104" t="str">
        <f aca="false">IF($CP153&gt;$CO$8,"",VLOOKUP($CP153,$CR$9:$CX$508,5,FALSE()))</f>
        <v/>
      </c>
      <c r="DD153" s="105" t="str">
        <f aca="false">IF($CP153&gt;$CO$8,"",VLOOKUP($CP153,$CR$9:$CX$508,6,FALSE()))</f>
        <v/>
      </c>
      <c r="DE153" s="70"/>
    </row>
    <row r="154" customFormat="false" ht="15.75" hidden="false" customHeight="false" outlineLevel="0" collapsed="false">
      <c r="A154" s="8"/>
      <c r="B154" s="72"/>
      <c r="C154" s="73"/>
      <c r="D154" s="155"/>
      <c r="E154" s="162"/>
      <c r="F154" s="157"/>
      <c r="G154" s="77"/>
      <c r="H154" s="77"/>
      <c r="I154" s="77"/>
      <c r="J154" s="163"/>
      <c r="K154" s="161"/>
      <c r="L154" s="161"/>
      <c r="M154" s="80"/>
      <c r="N154" s="161"/>
      <c r="O154" s="160"/>
      <c r="P154" s="161"/>
      <c r="Q154" s="161"/>
      <c r="R154" s="161"/>
      <c r="S154" s="77"/>
      <c r="T154" s="161"/>
      <c r="U154" s="160"/>
      <c r="V154" s="161"/>
      <c r="W154" s="85"/>
      <c r="X154" s="86" t="str">
        <f aca="false">IF(ISBLANK($C154),"",IF($E154=Constants!$B$2,TRUE(),IF($E154=Constants!$B$3,FALSE(),TRUE())))</f>
        <v/>
      </c>
      <c r="Y154" s="86" t="str">
        <f aca="false">IF(ISBLANK($C154),"",IF($F154=Constants!$B$2,TRUE(),IF($F154=Constants!$B$3,FALSE(),TRUE())))</f>
        <v/>
      </c>
      <c r="Z154" s="87" t="str">
        <f aca="false">IF(ISBLANK($C154),"",IF(ISNUMBER($G154),IF($G154&gt;=0,$G154,""),""))</f>
        <v/>
      </c>
      <c r="AA154" s="87" t="str">
        <f aca="false">IF(ISBLANK($C154),"",IF(ISNUMBER($H154),IF($H154&gt;=0,$H154,""),""))</f>
        <v/>
      </c>
      <c r="AB154" s="87" t="str">
        <f aca="false">IF(ISBLANK($C154),"",IF(ISNUMBER($I154),IF($I154&gt;=0,$I154,""),""))</f>
        <v/>
      </c>
      <c r="AC154" s="86" t="str">
        <f aca="false">IF(ISBLANK($C154),"",IF($J154=Constants!$B$2,TRUE(),IF($J154=Constants!$B$3,FALSE(),TRUE())))</f>
        <v/>
      </c>
      <c r="AD154" s="86" t="str">
        <f aca="false">IF(ISBLANK($C154),"",IF($K154=Constants!$B$2,TRUE(),IF($K154=Constants!$B$3,FALSE(),TRUE())))</f>
        <v/>
      </c>
      <c r="AE154" s="86" t="str">
        <f aca="false">IF(ISBLANK($C154),"",IF($L154=Constants!$B$2,TRUE(),IF($L154=Constants!$B$3,FALSE(),TRUE())))</f>
        <v/>
      </c>
      <c r="AF154" s="88" t="str">
        <f aca="false">IF(ISBLANK($C154),"",IF(ISNUMBER($M154),IF($M154&gt;=0,$M154,""),""))</f>
        <v/>
      </c>
      <c r="AG154" s="86" t="str">
        <f aca="false">IF(ISBLANK($C154),"",IF(ISBLANK($N154),0,IF(ISNUMBER($N154),IF(AND($N154&gt;=0,$N154&lt;=Constants!$B$17,$N154=INT($N154)),$N154,""),"")))</f>
        <v/>
      </c>
      <c r="AH154" s="87" t="str">
        <f aca="false">IF(ISBLANK($C154),"",IF(ISBLANK($O154),0,IF(ISNUMBER($O154),IF($O154&gt;=0,$O154,""),"")))</f>
        <v/>
      </c>
      <c r="AI154" s="86" t="str">
        <f aca="false">IF(ISBLANK($C154),"",IF($P154=Constants!$B$2,TRUE(),IF($P154=Constants!$B$3,FALSE(),TRUE())))</f>
        <v/>
      </c>
      <c r="AJ154" s="86" t="str">
        <f aca="false">IF(ISBLANK($C154),"",IF($Q154=Constants!$B$2,TRUE(),IF($Q154=Constants!$B$3,FALSE(),TRUE())))</f>
        <v/>
      </c>
      <c r="AK154" s="86" t="str">
        <f aca="false">IF(ISBLANK($C154),"",IF($R154=Constants!$B$2,TRUE(),IF($R154=Constants!$B$3,FALSE(),TRUE())))</f>
        <v/>
      </c>
      <c r="AL154" s="88" t="str">
        <f aca="false">IF(ISBLANK($C154),"",IF(ISNUMBER($S154),IF($S154&gt;=0,$S154,""),""))</f>
        <v/>
      </c>
      <c r="AM154" s="86" t="str">
        <f aca="false">IF(ISBLANK($C154),"",IF(ISBLANK($T154),0,IF(ISNUMBER($T154),IF(AND($T154&gt;=0,$T154&lt;=Constants!$B$17,$T154=INT($T154)),$T154,""),"")))</f>
        <v/>
      </c>
      <c r="AN154" s="87" t="str">
        <f aca="false">IF(ISBLANK($C154),"",IF(ISBLANK($U154),0,IF(ISNUMBER($U154),IF($U154&gt;=0,$U154,""),"")))</f>
        <v/>
      </c>
      <c r="AO154" s="86" t="str">
        <f aca="false">IF(ISBLANK($C154),"",IF($V154=Constants!$B$2,TRUE(),IF($V154=Constants!$B$3,FALSE(),FALSE())))</f>
        <v/>
      </c>
      <c r="AP154" s="86"/>
      <c r="AQ154" s="85" t="str">
        <f aca="false">IF(ISBLANK($C154),"",AND($Y154,OR($AS154,$BC154),OR($Z154="",$AA154="",$AB154="")))</f>
        <v/>
      </c>
      <c r="AR154" s="85" t="str">
        <f aca="false">IF(ISBLANK($C154),"",IF(OR(NOT($Y154),NOT(OR($AS154,$BC154))),"",IF(ISBLANK($D$7),$AR$5,IF($AP$9="",$AR$6,""))))</f>
        <v/>
      </c>
      <c r="AS154" s="85" t="str">
        <f aca="false">IF(ISBLANK($C154),"",COUNTA($J154:$O154)&gt;0)</f>
        <v/>
      </c>
      <c r="AT154" s="85" t="str">
        <f aca="false">IF(ISBLANK($C154),"",AND($AS154,OR(AND($AF154="",OR($AE154,NOT(ISBLANK($M154)))),$AG154="",$AH154="")))</f>
        <v/>
      </c>
      <c r="AU154" s="87" t="str">
        <f aca="false">IF($BL154&lt;&gt;Constants!$B$4,"",IF(NOT($AS154),"",ROUND((Constants!$B$12-$AB154)+(Constants!$B$13-$Z154)+(Constants!$B$14-$AA154),1)))</f>
        <v/>
      </c>
      <c r="AV154" s="90" t="str">
        <f aca="false">IF($BL154&lt;&gt;Constants!$B$4,"",IF(NOT($AS154),"",IF(NOT($AE154),0,Constants!$B$15*(INT(ROUND(MIN($AF154,$AP$9),6))-INT(ROUND(MAX(0,MIN($AF154,2*$AP$9)-$AP$9),6))))))</f>
        <v/>
      </c>
      <c r="AW154" s="90" t="str">
        <f aca="false">IF($BL154&lt;&gt;Constants!$B$4,"",IF(NOT($AS154),"",Constants!$B$16*$AG154))</f>
        <v/>
      </c>
      <c r="AX154" s="90" t="str">
        <f aca="false">IF($BL154&lt;&gt;Constants!$B$4,"",IF(NOT($AS154),"",Constants!$B$18*INT(ROUND($AH154,6))))</f>
        <v/>
      </c>
      <c r="AY154" s="85" t="str">
        <f aca="false">IF($BL154&lt;&gt;Constants!$B$4,"",IF(NOT($AS154),"",IF(NOT($X154),Constants!$B$11,IF(OR(NOT($AC154),NOT($AD154),ROUND($AB154,1)&gt;Constants!$B$12,ROUND($Z154,1)&gt;Constants!$B$13,ROUND($AA154,1)&gt;Constants!$B$14),Constants!$B$10,Constants!$B$9))))</f>
        <v/>
      </c>
      <c r="AZ154" s="91" t="str">
        <f aca="false">IF($BL154&lt;&gt;Constants!$B$4,"",IF(NOT($AS154),"",ROUND($AU154+$AV154+$AW154+$AX154,1)))</f>
        <v/>
      </c>
      <c r="BA154" s="92" t="str">
        <f aca="false">IF($BL154&lt;&gt;Constants!$B$4,"",IF(NOT($AS154),"",IF(ISNUMBER($AF154),$AF154,0)))</f>
        <v/>
      </c>
      <c r="BB154" s="86" t="str">
        <f aca="false">IF($BL154&lt;&gt;Constants!$B$4,"",IF(NOT($BC154),"&lt;-",IF(NOT($AS154),"-&gt;",IF(OR($BI154&lt;$AY154,AND($BI154=$AY154,OR($BJ154&gt;$AZ154,AND($BJ154=$AZ154,OR($BH154&gt;$AX154,AND($BH154=$AX154,OR($BE154&gt;$AU154,AND($BE154=$AU154,OR($BF154&gt;$AV154,AND($BF154=$AV154,$BK154&gt;$BA154)))))))))),"-&gt;","&lt;-"))))</f>
        <v/>
      </c>
      <c r="BC154" s="85" t="str">
        <f aca="false">IF(ISBLANK($C154),"",COUNTA($P154:$U154)&gt;0)</f>
        <v/>
      </c>
      <c r="BD154" s="85" t="str">
        <f aca="false">IF(ISBLANK($C154),"",AND($BC154,OR(AND($AL154="",OR($AK154,NOT(ISBLANK($S154)))),$AM154="",$AN154="")))</f>
        <v/>
      </c>
      <c r="BE154" s="87" t="str">
        <f aca="false">IF($BL154&lt;&gt;Constants!$B$4,"",IF(NOT($BC154),"",ROUND((Constants!$B$12-$AB154)+(Constants!$B$13-$Z154)+(Constants!$B$14-$AA154),1)))</f>
        <v/>
      </c>
      <c r="BF154" s="90" t="str">
        <f aca="false">IF($BL154&lt;&gt;Constants!$B$4,"",IF(NOT($BC154),"",IF(NOT($AK154),0,Constants!$B$15*(INT(ROUND(MIN($AL154,$AP$9),6))-INT(ROUND(MAX(0,MIN($AL154,2*$AP$9)-$AP$9),6))))))</f>
        <v/>
      </c>
      <c r="BG154" s="90" t="str">
        <f aca="false">IF($BL154&lt;&gt;Constants!$B$4,"",IF(NOT($BC154),"",Constants!$B$16*$AM154))</f>
        <v/>
      </c>
      <c r="BH154" s="90" t="str">
        <f aca="false">IF($BL154&lt;&gt;Constants!$B$4,"",IF(NOT($BC154),"",Constants!$B$18*INT(ROUND($AN154,6))))</f>
        <v/>
      </c>
      <c r="BI154" s="85" t="str">
        <f aca="false">IF($BL154&lt;&gt;Constants!$B$4,"",IF(NOT($BC154),"",IF(NOT($X154),Constants!$B$11,IF(OR(NOT($AI154),NOT($AJ154),ROUND($AB154,1)&gt;Constants!$B$12,ROUND($Z154,1)&gt;Constants!$B$13,ROUND($AA154,1)&gt;Constants!$B$14),Constants!$B$10,Constants!$B$9))))</f>
        <v/>
      </c>
      <c r="BJ154" s="91" t="str">
        <f aca="false">IF($BL154&lt;&gt;Constants!$B$4,"",IF(NOT($BC154),"",ROUND($BE154+$BF154+$BG154+$BH154,1)))</f>
        <v/>
      </c>
      <c r="BK154" s="92" t="str">
        <f aca="false">IF($BL154&lt;&gt;Constants!$B$4,"",IF(NOT($BC154),"",IF(ISNUMBER($AL154),$AL154,0)))</f>
        <v/>
      </c>
      <c r="BL154" s="86" t="str">
        <f aca="false">IF(ISBLANK($C154),"",IF($AO154,Constants!$B$7,IF(COUNTA($E154:$V154)=0,Constants!$B$6,IF(NOT($Y154),Constants!$B$5,IF(NOT(OR($AS154,$BC154)),Constants!$B$5,IF(OR($AT154,$BD154,$AQ154,$AR154&lt;&gt;""),Constants!$B$8,Constants!$B$4))))))</f>
        <v/>
      </c>
      <c r="BM154" s="86" t="str">
        <f aca="false">IF(ISBLANK($C154),"",IF($BL154&lt;&gt;Constants!$B$4,$BL154,IF($BB154="-&gt;",$BI154,$AY154)))</f>
        <v/>
      </c>
      <c r="BN154" s="90" t="str">
        <f aca="false">IF($BL154&lt;&gt;Constants!$B$4,"",IF($BB154="-&gt;",$BJ154,$AZ154))</f>
        <v/>
      </c>
      <c r="BO154" s="90" t="str">
        <f aca="false">IF(ISBLANK($C154),"",IF($BL154&lt;&gt;Constants!$B$4,$BL154,$BN154))</f>
        <v/>
      </c>
      <c r="BP154" s="86" t="str">
        <f aca="false">IF(ISBLANK($C154),"",IF($BL154&lt;&gt;Constants!$B$4,$BL154,RANK($BO154,$BO$9:$BO$508,0)))</f>
        <v/>
      </c>
      <c r="BQ154" s="86" t="str">
        <f aca="false">IF(ISBLANK($C154),"",IF($BL154&lt;&gt;Constants!$B$4,$BL154,COUNTIFS($BM$9:$BM$508,"&lt;"&amp;$BM154)+COUNTIFS($BM$9:$BM$508,$BM154,$BP$9:$BP$508,"&lt;"&amp;$BP154)+1))</f>
        <v/>
      </c>
      <c r="BR154" s="90" t="str">
        <f aca="false">IF($BL154&lt;&gt;Constants!$B$4,"",IF($BB154="-&gt;",$BH154,$AX154))</f>
        <v/>
      </c>
      <c r="BS154" s="86" t="str">
        <f aca="false">IF(ISBLANK($C154),"",IF($BL154&lt;&gt;Constants!$B$4,$BL154,IF(ISNUMBER($BR154),RANK($BR154,$BR$9:$BR$508,0),COUNT($BR$9:$BR$508)+1)))</f>
        <v/>
      </c>
      <c r="BT154" s="90" t="str">
        <f aca="false">IF($BL154&lt;&gt;Constants!$B$4,"",IF($BB154="-&gt;",$BE154,$AU154))</f>
        <v/>
      </c>
      <c r="BU154" s="86" t="str">
        <f aca="false">IF(ISBLANK($C154),"",IF($BL154&lt;&gt;Constants!$B$4,$BL154,IF(ISNUMBER($BT154),RANK($BT154,$BT$9:$BT$508,0),COUNT($BT$9:$BT$508)+1)))</f>
        <v/>
      </c>
      <c r="BV154" s="90" t="str">
        <f aca="false">IF($BL154&lt;&gt;Constants!$B$4,"",IF($BB154="-&gt;",$BF154,$AV154))</f>
        <v/>
      </c>
      <c r="BW154" s="86" t="str">
        <f aca="false">IF(ISBLANK($C154),"",IF($BL154&lt;&gt;Constants!$B$4,$BL154,IF(ISNUMBER($BV154),RANK($BV154,$BV$9:$BV$508,0),COUNT($BV$9:$BV$508)+1)))</f>
        <v/>
      </c>
      <c r="BX154" s="90" t="str">
        <f aca="false">IF($BL154&lt;&gt;Constants!$B$4,"",IF($BB154="-&gt;",$BK154,$BA154))</f>
        <v/>
      </c>
      <c r="BY154" s="86" t="str">
        <f aca="false">IF(ISBLANK($C154),"",IF($BL154&lt;&gt;Constants!$B$4,$BL154,IF(ISNUMBER($BX154),RANK($BX154,$BX$9:$BX$508,0),COUNT($BX$9:$BX$508)+1)))</f>
        <v/>
      </c>
      <c r="BZ154" s="86" t="str">
        <f aca="false">IF(ISBLANK($C154),"",IF($BL154&lt;&gt;Constants!$B$4,$BL154,COUNTIFS($BM$9:$BM$508,"&lt;"&amp;$BM154)+COUNTIFS($BM$9:$BM$508,$BM154,$BP$9:$BP$508,"&lt;"&amp;$BP154)+COUNTIFS($BM$9:$BM$508,$BM154,$BP$9:$BP$508,$BP154,$BS$9:$BS$508,"&lt;"&amp;$BS154)+COUNTIFS($BM$9:$BM$508,$BM154,$BP$9:$BP$508,$BP154,$BS$9:$BS$508,$BS154,$BU$9:$BU$508,"&lt;"&amp;$BU154)+COUNTIFS($BM$9:$BM$508,$BM154,$BP$9:$BP$508,$BP154,$BS$9:$BS$508,$BS154,$BU$9:$BU$508,$BU154,$BW$9:$BW$508,"&lt;"&amp;$BW154)+COUNTIFS($BM$9:$BM$508,$BM154,$BP$9:$BP$508,$BP154,$BS$9:$BS$508,$BS154,$BU$9:$BU$508,$BU154,$BW$9:$BW$508,$BW154,$BY$9:$BY$508,"&lt;"&amp;$BY154)+1))</f>
        <v/>
      </c>
      <c r="CA154" s="86" t="str">
        <f aca="false">IF(ISBLANK($C154),"",IF($BL154&lt;&gt;Constants!$B$4,$BL154,$BQ154-$BZ154))</f>
        <v/>
      </c>
      <c r="CB154" s="93"/>
      <c r="CC154" s="94" t="str">
        <f aca="false">IF(ISBLANK($C154),"",IF($BL154=Constants!$B$8,$AR154,""))</f>
        <v/>
      </c>
      <c r="CD154" s="94" t="str">
        <f aca="false">IF(ISBLANK($C154),"",IF($BL154&lt;&gt;Constants!$B$4,"",IF($BB154="-&gt;",2,1)))</f>
        <v/>
      </c>
      <c r="CE154" s="95" t="str">
        <f aca="false">IF(ISBLANK($C154),"",IF($BL154&lt;&gt;Constants!$B$4,"",IF($BB154="-&gt;",$BE154,$AU154)))</f>
        <v/>
      </c>
      <c r="CF154" s="95" t="str">
        <f aca="false">IF(ISBLANK($C154),"",IF($BL154&lt;&gt;Constants!$B$4,"",IF($BB154="-&gt;",$BF154,$AV154)))</f>
        <v/>
      </c>
      <c r="CG154" s="95" t="str">
        <f aca="false">IF(ISBLANK($C154),"",IF($BL154&lt;&gt;Constants!$B$4,"",IF($BB154="-&gt;",$BG154,$AW154)))</f>
        <v/>
      </c>
      <c r="CH154" s="95" t="str">
        <f aca="false">IF(ISBLANK($C154),"",IF($BL154&lt;&gt;Constants!$B$4,"",IF($BB154="-&gt;",$BH154,$AX154)))</f>
        <v/>
      </c>
      <c r="CI154" s="96" t="str">
        <f aca="false">IF(ISBLANK($C154),"",$BO154)</f>
        <v/>
      </c>
      <c r="CJ154" s="97" t="str">
        <f aca="false">IF(ISBLANK($C154),"",$BM154)</f>
        <v/>
      </c>
      <c r="CK154" s="98" t="str">
        <f aca="false">IF(ISBLANK($C154),"",$CA154)</f>
        <v/>
      </c>
      <c r="CL154" s="98" t="str">
        <f aca="false">IF(ISBLANK($C154),"",$BZ154)</f>
        <v/>
      </c>
      <c r="CM154" s="99" t="str">
        <f aca="false">IF(ISBLANK($C154),"",IF($CL154=Constants!$B$7,COUNTA($C$9:$C$508)+2,IF($CL154=Constants!$B$6,COUNTA($C$9:$C$508)+1,IF($CL154=Constants!$B$5,COUNTA($C$9:$C$508),$CL154))))</f>
        <v/>
      </c>
      <c r="CN154" s="8"/>
      <c r="CO154" s="100" t="n">
        <f aca="false">IF(OR(ISNUMBER($CL154),$CL154=Constants!$B$7,$CL154=Constants!$B$5,$CL154=Constants!$B$6),1,0)</f>
        <v>0</v>
      </c>
      <c r="CP154" s="100" t="n">
        <v>146</v>
      </c>
      <c r="CQ154" s="100" t="str">
        <f aca="false">IF(ISBLANK($C154),"",IF(ISNUMBER($CM154),$CM154+ROW($B154)/1000,""))</f>
        <v/>
      </c>
      <c r="CR154" s="100" t="str">
        <f aca="false">IF(ISNUMBER($CQ154),RANK($CQ154,$CQ$9:$CQ$508,1),"")</f>
        <v/>
      </c>
      <c r="CS154" s="100" t="str">
        <f aca="false">IF(ISBLANK($C154),"",$B154)</f>
        <v/>
      </c>
      <c r="CT154" s="100" t="str">
        <f aca="false">IF(ISBLANK($C154),"",$C154)</f>
        <v/>
      </c>
      <c r="CU154" s="100" t="str">
        <f aca="false">IF(ISBLANK($C154),"",$D154)</f>
        <v/>
      </c>
      <c r="CV154" s="101" t="str">
        <f aca="false">$CJ154</f>
        <v/>
      </c>
      <c r="CW154" s="102" t="str">
        <f aca="false">$CI154</f>
        <v/>
      </c>
      <c r="CX154" s="100" t="str">
        <f aca="false">IF(ISBLANK($C154),"",$CL154)</f>
        <v/>
      </c>
      <c r="CY154" s="103" t="str">
        <f aca="false">IF($CP154&gt;$CO$8,"",VLOOKUP($CP154,$CR$9:$CX$508,7,FALSE()))</f>
        <v/>
      </c>
      <c r="CZ154" s="104" t="str">
        <f aca="false">IF($CP154&gt;$CO$8,"",VLOOKUP($CP154,$CR$9:$CX$508,2,FALSE()))</f>
        <v/>
      </c>
      <c r="DA154" s="104" t="str">
        <f aca="false">IF($CP154&gt;$CO$8,"",VLOOKUP($CP154,$CR$9:$CX$508,3,FALSE()))</f>
        <v/>
      </c>
      <c r="DB154" s="104" t="str">
        <f aca="false">IF($CP154&gt;$CO$8,"",VLOOKUP($CP154,$CR$9:$CX$508,4,FALSE()))</f>
        <v/>
      </c>
      <c r="DC154" s="104" t="str">
        <f aca="false">IF($CP154&gt;$CO$8,"",VLOOKUP($CP154,$CR$9:$CX$508,5,FALSE()))</f>
        <v/>
      </c>
      <c r="DD154" s="105" t="str">
        <f aca="false">IF($CP154&gt;$CO$8,"",VLOOKUP($CP154,$CR$9:$CX$508,6,FALSE()))</f>
        <v/>
      </c>
      <c r="DE154" s="70"/>
    </row>
    <row r="155" customFormat="false" ht="15.75" hidden="false" customHeight="false" outlineLevel="0" collapsed="false">
      <c r="A155" s="8"/>
      <c r="B155" s="72"/>
      <c r="C155" s="73"/>
      <c r="D155" s="155"/>
      <c r="E155" s="162"/>
      <c r="F155" s="157"/>
      <c r="G155" s="77"/>
      <c r="H155" s="77"/>
      <c r="I155" s="77"/>
      <c r="J155" s="163"/>
      <c r="K155" s="161"/>
      <c r="L155" s="161"/>
      <c r="M155" s="80"/>
      <c r="N155" s="161"/>
      <c r="O155" s="160"/>
      <c r="P155" s="161"/>
      <c r="Q155" s="161"/>
      <c r="R155" s="161"/>
      <c r="S155" s="77"/>
      <c r="T155" s="161"/>
      <c r="U155" s="160"/>
      <c r="V155" s="161"/>
      <c r="W155" s="85"/>
      <c r="X155" s="86" t="str">
        <f aca="false">IF(ISBLANK($C155),"",IF($E155=Constants!$B$2,TRUE(),IF($E155=Constants!$B$3,FALSE(),TRUE())))</f>
        <v/>
      </c>
      <c r="Y155" s="86" t="str">
        <f aca="false">IF(ISBLANK($C155),"",IF($F155=Constants!$B$2,TRUE(),IF($F155=Constants!$B$3,FALSE(),TRUE())))</f>
        <v/>
      </c>
      <c r="Z155" s="87" t="str">
        <f aca="false">IF(ISBLANK($C155),"",IF(ISNUMBER($G155),IF($G155&gt;=0,$G155,""),""))</f>
        <v/>
      </c>
      <c r="AA155" s="87" t="str">
        <f aca="false">IF(ISBLANK($C155),"",IF(ISNUMBER($H155),IF($H155&gt;=0,$H155,""),""))</f>
        <v/>
      </c>
      <c r="AB155" s="87" t="str">
        <f aca="false">IF(ISBLANK($C155),"",IF(ISNUMBER($I155),IF($I155&gt;=0,$I155,""),""))</f>
        <v/>
      </c>
      <c r="AC155" s="86" t="str">
        <f aca="false">IF(ISBLANK($C155),"",IF($J155=Constants!$B$2,TRUE(),IF($J155=Constants!$B$3,FALSE(),TRUE())))</f>
        <v/>
      </c>
      <c r="AD155" s="86" t="str">
        <f aca="false">IF(ISBLANK($C155),"",IF($K155=Constants!$B$2,TRUE(),IF($K155=Constants!$B$3,FALSE(),TRUE())))</f>
        <v/>
      </c>
      <c r="AE155" s="86" t="str">
        <f aca="false">IF(ISBLANK($C155),"",IF($L155=Constants!$B$2,TRUE(),IF($L155=Constants!$B$3,FALSE(),TRUE())))</f>
        <v/>
      </c>
      <c r="AF155" s="88" t="str">
        <f aca="false">IF(ISBLANK($C155),"",IF(ISNUMBER($M155),IF($M155&gt;=0,$M155,""),""))</f>
        <v/>
      </c>
      <c r="AG155" s="86" t="str">
        <f aca="false">IF(ISBLANK($C155),"",IF(ISBLANK($N155),0,IF(ISNUMBER($N155),IF(AND($N155&gt;=0,$N155&lt;=Constants!$B$17,$N155=INT($N155)),$N155,""),"")))</f>
        <v/>
      </c>
      <c r="AH155" s="87" t="str">
        <f aca="false">IF(ISBLANK($C155),"",IF(ISBLANK($O155),0,IF(ISNUMBER($O155),IF($O155&gt;=0,$O155,""),"")))</f>
        <v/>
      </c>
      <c r="AI155" s="86" t="str">
        <f aca="false">IF(ISBLANK($C155),"",IF($P155=Constants!$B$2,TRUE(),IF($P155=Constants!$B$3,FALSE(),TRUE())))</f>
        <v/>
      </c>
      <c r="AJ155" s="86" t="str">
        <f aca="false">IF(ISBLANK($C155),"",IF($Q155=Constants!$B$2,TRUE(),IF($Q155=Constants!$B$3,FALSE(),TRUE())))</f>
        <v/>
      </c>
      <c r="AK155" s="86" t="str">
        <f aca="false">IF(ISBLANK($C155),"",IF($R155=Constants!$B$2,TRUE(),IF($R155=Constants!$B$3,FALSE(),TRUE())))</f>
        <v/>
      </c>
      <c r="AL155" s="88" t="str">
        <f aca="false">IF(ISBLANK($C155),"",IF(ISNUMBER($S155),IF($S155&gt;=0,$S155,""),""))</f>
        <v/>
      </c>
      <c r="AM155" s="86" t="str">
        <f aca="false">IF(ISBLANK($C155),"",IF(ISBLANK($T155),0,IF(ISNUMBER($T155),IF(AND($T155&gt;=0,$T155&lt;=Constants!$B$17,$T155=INT($T155)),$T155,""),"")))</f>
        <v/>
      </c>
      <c r="AN155" s="87" t="str">
        <f aca="false">IF(ISBLANK($C155),"",IF(ISBLANK($U155),0,IF(ISNUMBER($U155),IF($U155&gt;=0,$U155,""),"")))</f>
        <v/>
      </c>
      <c r="AO155" s="86" t="str">
        <f aca="false">IF(ISBLANK($C155),"",IF($V155=Constants!$B$2,TRUE(),IF($V155=Constants!$B$3,FALSE(),FALSE())))</f>
        <v/>
      </c>
      <c r="AP155" s="86"/>
      <c r="AQ155" s="85" t="str">
        <f aca="false">IF(ISBLANK($C155),"",AND($Y155,OR($AS155,$BC155),OR($Z155="",$AA155="",$AB155="")))</f>
        <v/>
      </c>
      <c r="AR155" s="85" t="str">
        <f aca="false">IF(ISBLANK($C155),"",IF(OR(NOT($Y155),NOT(OR($AS155,$BC155))),"",IF(ISBLANK($D$7),$AR$5,IF($AP$9="",$AR$6,""))))</f>
        <v/>
      </c>
      <c r="AS155" s="85" t="str">
        <f aca="false">IF(ISBLANK($C155),"",COUNTA($J155:$O155)&gt;0)</f>
        <v/>
      </c>
      <c r="AT155" s="85" t="str">
        <f aca="false">IF(ISBLANK($C155),"",AND($AS155,OR(AND($AF155="",OR($AE155,NOT(ISBLANK($M155)))),$AG155="",$AH155="")))</f>
        <v/>
      </c>
      <c r="AU155" s="87" t="str">
        <f aca="false">IF($BL155&lt;&gt;Constants!$B$4,"",IF(NOT($AS155),"",ROUND((Constants!$B$12-$AB155)+(Constants!$B$13-$Z155)+(Constants!$B$14-$AA155),1)))</f>
        <v/>
      </c>
      <c r="AV155" s="90" t="str">
        <f aca="false">IF($BL155&lt;&gt;Constants!$B$4,"",IF(NOT($AS155),"",IF(NOT($AE155),0,Constants!$B$15*(INT(ROUND(MIN($AF155,$AP$9),6))-INT(ROUND(MAX(0,MIN($AF155,2*$AP$9)-$AP$9),6))))))</f>
        <v/>
      </c>
      <c r="AW155" s="90" t="str">
        <f aca="false">IF($BL155&lt;&gt;Constants!$B$4,"",IF(NOT($AS155),"",Constants!$B$16*$AG155))</f>
        <v/>
      </c>
      <c r="AX155" s="90" t="str">
        <f aca="false">IF($BL155&lt;&gt;Constants!$B$4,"",IF(NOT($AS155),"",Constants!$B$18*INT(ROUND($AH155,6))))</f>
        <v/>
      </c>
      <c r="AY155" s="85" t="str">
        <f aca="false">IF($BL155&lt;&gt;Constants!$B$4,"",IF(NOT($AS155),"",IF(NOT($X155),Constants!$B$11,IF(OR(NOT($AC155),NOT($AD155),ROUND($AB155,1)&gt;Constants!$B$12,ROUND($Z155,1)&gt;Constants!$B$13,ROUND($AA155,1)&gt;Constants!$B$14),Constants!$B$10,Constants!$B$9))))</f>
        <v/>
      </c>
      <c r="AZ155" s="91" t="str">
        <f aca="false">IF($BL155&lt;&gt;Constants!$B$4,"",IF(NOT($AS155),"",ROUND($AU155+$AV155+$AW155+$AX155,1)))</f>
        <v/>
      </c>
      <c r="BA155" s="92" t="str">
        <f aca="false">IF($BL155&lt;&gt;Constants!$B$4,"",IF(NOT($AS155),"",IF(ISNUMBER($AF155),$AF155,0)))</f>
        <v/>
      </c>
      <c r="BB155" s="86" t="str">
        <f aca="false">IF($BL155&lt;&gt;Constants!$B$4,"",IF(NOT($BC155),"&lt;-",IF(NOT($AS155),"-&gt;",IF(OR($BI155&lt;$AY155,AND($BI155=$AY155,OR($BJ155&gt;$AZ155,AND($BJ155=$AZ155,OR($BH155&gt;$AX155,AND($BH155=$AX155,OR($BE155&gt;$AU155,AND($BE155=$AU155,OR($BF155&gt;$AV155,AND($BF155=$AV155,$BK155&gt;$BA155)))))))))),"-&gt;","&lt;-"))))</f>
        <v/>
      </c>
      <c r="BC155" s="85" t="str">
        <f aca="false">IF(ISBLANK($C155),"",COUNTA($P155:$U155)&gt;0)</f>
        <v/>
      </c>
      <c r="BD155" s="85" t="str">
        <f aca="false">IF(ISBLANK($C155),"",AND($BC155,OR(AND($AL155="",OR($AK155,NOT(ISBLANK($S155)))),$AM155="",$AN155="")))</f>
        <v/>
      </c>
      <c r="BE155" s="87" t="str">
        <f aca="false">IF($BL155&lt;&gt;Constants!$B$4,"",IF(NOT($BC155),"",ROUND((Constants!$B$12-$AB155)+(Constants!$B$13-$Z155)+(Constants!$B$14-$AA155),1)))</f>
        <v/>
      </c>
      <c r="BF155" s="90" t="str">
        <f aca="false">IF($BL155&lt;&gt;Constants!$B$4,"",IF(NOT($BC155),"",IF(NOT($AK155),0,Constants!$B$15*(INT(ROUND(MIN($AL155,$AP$9),6))-INT(ROUND(MAX(0,MIN($AL155,2*$AP$9)-$AP$9),6))))))</f>
        <v/>
      </c>
      <c r="BG155" s="90" t="str">
        <f aca="false">IF($BL155&lt;&gt;Constants!$B$4,"",IF(NOT($BC155),"",Constants!$B$16*$AM155))</f>
        <v/>
      </c>
      <c r="BH155" s="90" t="str">
        <f aca="false">IF($BL155&lt;&gt;Constants!$B$4,"",IF(NOT($BC155),"",Constants!$B$18*INT(ROUND($AN155,6))))</f>
        <v/>
      </c>
      <c r="BI155" s="85" t="str">
        <f aca="false">IF($BL155&lt;&gt;Constants!$B$4,"",IF(NOT($BC155),"",IF(NOT($X155),Constants!$B$11,IF(OR(NOT($AI155),NOT($AJ155),ROUND($AB155,1)&gt;Constants!$B$12,ROUND($Z155,1)&gt;Constants!$B$13,ROUND($AA155,1)&gt;Constants!$B$14),Constants!$B$10,Constants!$B$9))))</f>
        <v/>
      </c>
      <c r="BJ155" s="91" t="str">
        <f aca="false">IF($BL155&lt;&gt;Constants!$B$4,"",IF(NOT($BC155),"",ROUND($BE155+$BF155+$BG155+$BH155,1)))</f>
        <v/>
      </c>
      <c r="BK155" s="92" t="str">
        <f aca="false">IF($BL155&lt;&gt;Constants!$B$4,"",IF(NOT($BC155),"",IF(ISNUMBER($AL155),$AL155,0)))</f>
        <v/>
      </c>
      <c r="BL155" s="86" t="str">
        <f aca="false">IF(ISBLANK($C155),"",IF($AO155,Constants!$B$7,IF(COUNTA($E155:$V155)=0,Constants!$B$6,IF(NOT($Y155),Constants!$B$5,IF(NOT(OR($AS155,$BC155)),Constants!$B$5,IF(OR($AT155,$BD155,$AQ155,$AR155&lt;&gt;""),Constants!$B$8,Constants!$B$4))))))</f>
        <v/>
      </c>
      <c r="BM155" s="86" t="str">
        <f aca="false">IF(ISBLANK($C155),"",IF($BL155&lt;&gt;Constants!$B$4,$BL155,IF($BB155="-&gt;",$BI155,$AY155)))</f>
        <v/>
      </c>
      <c r="BN155" s="90" t="str">
        <f aca="false">IF($BL155&lt;&gt;Constants!$B$4,"",IF($BB155="-&gt;",$BJ155,$AZ155))</f>
        <v/>
      </c>
      <c r="BO155" s="90" t="str">
        <f aca="false">IF(ISBLANK($C155),"",IF($BL155&lt;&gt;Constants!$B$4,$BL155,$BN155))</f>
        <v/>
      </c>
      <c r="BP155" s="86" t="str">
        <f aca="false">IF(ISBLANK($C155),"",IF($BL155&lt;&gt;Constants!$B$4,$BL155,RANK($BO155,$BO$9:$BO$508,0)))</f>
        <v/>
      </c>
      <c r="BQ155" s="86" t="str">
        <f aca="false">IF(ISBLANK($C155),"",IF($BL155&lt;&gt;Constants!$B$4,$BL155,COUNTIFS($BM$9:$BM$508,"&lt;"&amp;$BM155)+COUNTIFS($BM$9:$BM$508,$BM155,$BP$9:$BP$508,"&lt;"&amp;$BP155)+1))</f>
        <v/>
      </c>
      <c r="BR155" s="90" t="str">
        <f aca="false">IF($BL155&lt;&gt;Constants!$B$4,"",IF($BB155="-&gt;",$BH155,$AX155))</f>
        <v/>
      </c>
      <c r="BS155" s="86" t="str">
        <f aca="false">IF(ISBLANK($C155),"",IF($BL155&lt;&gt;Constants!$B$4,$BL155,IF(ISNUMBER($BR155),RANK($BR155,$BR$9:$BR$508,0),COUNT($BR$9:$BR$508)+1)))</f>
        <v/>
      </c>
      <c r="BT155" s="90" t="str">
        <f aca="false">IF($BL155&lt;&gt;Constants!$B$4,"",IF($BB155="-&gt;",$BE155,$AU155))</f>
        <v/>
      </c>
      <c r="BU155" s="86" t="str">
        <f aca="false">IF(ISBLANK($C155),"",IF($BL155&lt;&gt;Constants!$B$4,$BL155,IF(ISNUMBER($BT155),RANK($BT155,$BT$9:$BT$508,0),COUNT($BT$9:$BT$508)+1)))</f>
        <v/>
      </c>
      <c r="BV155" s="90" t="str">
        <f aca="false">IF($BL155&lt;&gt;Constants!$B$4,"",IF($BB155="-&gt;",$BF155,$AV155))</f>
        <v/>
      </c>
      <c r="BW155" s="86" t="str">
        <f aca="false">IF(ISBLANK($C155),"",IF($BL155&lt;&gt;Constants!$B$4,$BL155,IF(ISNUMBER($BV155),RANK($BV155,$BV$9:$BV$508,0),COUNT($BV$9:$BV$508)+1)))</f>
        <v/>
      </c>
      <c r="BX155" s="90" t="str">
        <f aca="false">IF($BL155&lt;&gt;Constants!$B$4,"",IF($BB155="-&gt;",$BK155,$BA155))</f>
        <v/>
      </c>
      <c r="BY155" s="86" t="str">
        <f aca="false">IF(ISBLANK($C155),"",IF($BL155&lt;&gt;Constants!$B$4,$BL155,IF(ISNUMBER($BX155),RANK($BX155,$BX$9:$BX$508,0),COUNT($BX$9:$BX$508)+1)))</f>
        <v/>
      </c>
      <c r="BZ155" s="86" t="str">
        <f aca="false">IF(ISBLANK($C155),"",IF($BL155&lt;&gt;Constants!$B$4,$BL155,COUNTIFS($BM$9:$BM$508,"&lt;"&amp;$BM155)+COUNTIFS($BM$9:$BM$508,$BM155,$BP$9:$BP$508,"&lt;"&amp;$BP155)+COUNTIFS($BM$9:$BM$508,$BM155,$BP$9:$BP$508,$BP155,$BS$9:$BS$508,"&lt;"&amp;$BS155)+COUNTIFS($BM$9:$BM$508,$BM155,$BP$9:$BP$508,$BP155,$BS$9:$BS$508,$BS155,$BU$9:$BU$508,"&lt;"&amp;$BU155)+COUNTIFS($BM$9:$BM$508,$BM155,$BP$9:$BP$508,$BP155,$BS$9:$BS$508,$BS155,$BU$9:$BU$508,$BU155,$BW$9:$BW$508,"&lt;"&amp;$BW155)+COUNTIFS($BM$9:$BM$508,$BM155,$BP$9:$BP$508,$BP155,$BS$9:$BS$508,$BS155,$BU$9:$BU$508,$BU155,$BW$9:$BW$508,$BW155,$BY$9:$BY$508,"&lt;"&amp;$BY155)+1))</f>
        <v/>
      </c>
      <c r="CA155" s="86" t="str">
        <f aca="false">IF(ISBLANK($C155),"",IF($BL155&lt;&gt;Constants!$B$4,$BL155,$BQ155-$BZ155))</f>
        <v/>
      </c>
      <c r="CB155" s="93"/>
      <c r="CC155" s="94" t="str">
        <f aca="false">IF(ISBLANK($C155),"",IF($BL155=Constants!$B$8,$AR155,""))</f>
        <v/>
      </c>
      <c r="CD155" s="94" t="str">
        <f aca="false">IF(ISBLANK($C155),"",IF($BL155&lt;&gt;Constants!$B$4,"",IF($BB155="-&gt;",2,1)))</f>
        <v/>
      </c>
      <c r="CE155" s="95" t="str">
        <f aca="false">IF(ISBLANK($C155),"",IF($BL155&lt;&gt;Constants!$B$4,"",IF($BB155="-&gt;",$BE155,$AU155)))</f>
        <v/>
      </c>
      <c r="CF155" s="95" t="str">
        <f aca="false">IF(ISBLANK($C155),"",IF($BL155&lt;&gt;Constants!$B$4,"",IF($BB155="-&gt;",$BF155,$AV155)))</f>
        <v/>
      </c>
      <c r="CG155" s="95" t="str">
        <f aca="false">IF(ISBLANK($C155),"",IF($BL155&lt;&gt;Constants!$B$4,"",IF($BB155="-&gt;",$BG155,$AW155)))</f>
        <v/>
      </c>
      <c r="CH155" s="95" t="str">
        <f aca="false">IF(ISBLANK($C155),"",IF($BL155&lt;&gt;Constants!$B$4,"",IF($BB155="-&gt;",$BH155,$AX155)))</f>
        <v/>
      </c>
      <c r="CI155" s="96" t="str">
        <f aca="false">IF(ISBLANK($C155),"",$BO155)</f>
        <v/>
      </c>
      <c r="CJ155" s="97" t="str">
        <f aca="false">IF(ISBLANK($C155),"",$BM155)</f>
        <v/>
      </c>
      <c r="CK155" s="98" t="str">
        <f aca="false">IF(ISBLANK($C155),"",$CA155)</f>
        <v/>
      </c>
      <c r="CL155" s="98" t="str">
        <f aca="false">IF(ISBLANK($C155),"",$BZ155)</f>
        <v/>
      </c>
      <c r="CM155" s="99" t="str">
        <f aca="false">IF(ISBLANK($C155),"",IF($CL155=Constants!$B$7,COUNTA($C$9:$C$508)+2,IF($CL155=Constants!$B$6,COUNTA($C$9:$C$508)+1,IF($CL155=Constants!$B$5,COUNTA($C$9:$C$508),$CL155))))</f>
        <v/>
      </c>
      <c r="CN155" s="8"/>
      <c r="CO155" s="100" t="n">
        <f aca="false">IF(OR(ISNUMBER($CL155),$CL155=Constants!$B$7,$CL155=Constants!$B$5,$CL155=Constants!$B$6),1,0)</f>
        <v>0</v>
      </c>
      <c r="CP155" s="100" t="n">
        <v>147</v>
      </c>
      <c r="CQ155" s="100" t="str">
        <f aca="false">IF(ISBLANK($C155),"",IF(ISNUMBER($CM155),$CM155+ROW($B155)/1000,""))</f>
        <v/>
      </c>
      <c r="CR155" s="100" t="str">
        <f aca="false">IF(ISNUMBER($CQ155),RANK($CQ155,$CQ$9:$CQ$508,1),"")</f>
        <v/>
      </c>
      <c r="CS155" s="100" t="str">
        <f aca="false">IF(ISBLANK($C155),"",$B155)</f>
        <v/>
      </c>
      <c r="CT155" s="100" t="str">
        <f aca="false">IF(ISBLANK($C155),"",$C155)</f>
        <v/>
      </c>
      <c r="CU155" s="100" t="str">
        <f aca="false">IF(ISBLANK($C155),"",$D155)</f>
        <v/>
      </c>
      <c r="CV155" s="101" t="str">
        <f aca="false">$CJ155</f>
        <v/>
      </c>
      <c r="CW155" s="102" t="str">
        <f aca="false">$CI155</f>
        <v/>
      </c>
      <c r="CX155" s="100" t="str">
        <f aca="false">IF(ISBLANK($C155),"",$CL155)</f>
        <v/>
      </c>
      <c r="CY155" s="103" t="str">
        <f aca="false">IF($CP155&gt;$CO$8,"",VLOOKUP($CP155,$CR$9:$CX$508,7,FALSE()))</f>
        <v/>
      </c>
      <c r="CZ155" s="104" t="str">
        <f aca="false">IF($CP155&gt;$CO$8,"",VLOOKUP($CP155,$CR$9:$CX$508,2,FALSE()))</f>
        <v/>
      </c>
      <c r="DA155" s="104" t="str">
        <f aca="false">IF($CP155&gt;$CO$8,"",VLOOKUP($CP155,$CR$9:$CX$508,3,FALSE()))</f>
        <v/>
      </c>
      <c r="DB155" s="104" t="str">
        <f aca="false">IF($CP155&gt;$CO$8,"",VLOOKUP($CP155,$CR$9:$CX$508,4,FALSE()))</f>
        <v/>
      </c>
      <c r="DC155" s="104" t="str">
        <f aca="false">IF($CP155&gt;$CO$8,"",VLOOKUP($CP155,$CR$9:$CX$508,5,FALSE()))</f>
        <v/>
      </c>
      <c r="DD155" s="105" t="str">
        <f aca="false">IF($CP155&gt;$CO$8,"",VLOOKUP($CP155,$CR$9:$CX$508,6,FALSE()))</f>
        <v/>
      </c>
      <c r="DE155" s="70"/>
    </row>
    <row r="156" customFormat="false" ht="15.75" hidden="false" customHeight="false" outlineLevel="0" collapsed="false">
      <c r="A156" s="8"/>
      <c r="B156" s="146"/>
      <c r="C156" s="147"/>
      <c r="D156" s="148"/>
      <c r="E156" s="164"/>
      <c r="F156" s="150"/>
      <c r="G156" s="115"/>
      <c r="H156" s="115"/>
      <c r="I156" s="115"/>
      <c r="J156" s="165"/>
      <c r="K156" s="154"/>
      <c r="L156" s="154"/>
      <c r="M156" s="118"/>
      <c r="N156" s="154"/>
      <c r="O156" s="153"/>
      <c r="P156" s="154"/>
      <c r="Q156" s="154"/>
      <c r="R156" s="154"/>
      <c r="S156" s="115"/>
      <c r="T156" s="154"/>
      <c r="U156" s="153"/>
      <c r="V156" s="154"/>
      <c r="W156" s="123"/>
      <c r="X156" s="124" t="str">
        <f aca="false">IF(ISBLANK($C156),"",IF($E156=Constants!$B$2,TRUE(),IF($E156=Constants!$B$3,FALSE(),TRUE())))</f>
        <v/>
      </c>
      <c r="Y156" s="124" t="str">
        <f aca="false">IF(ISBLANK($C156),"",IF($F156=Constants!$B$2,TRUE(),IF($F156=Constants!$B$3,FALSE(),TRUE())))</f>
        <v/>
      </c>
      <c r="Z156" s="125" t="str">
        <f aca="false">IF(ISBLANK($C156),"",IF(ISNUMBER($G156),IF($G156&gt;=0,$G156,""),""))</f>
        <v/>
      </c>
      <c r="AA156" s="125" t="str">
        <f aca="false">IF(ISBLANK($C156),"",IF(ISNUMBER($H156),IF($H156&gt;=0,$H156,""),""))</f>
        <v/>
      </c>
      <c r="AB156" s="125" t="str">
        <f aca="false">IF(ISBLANK($C156),"",IF(ISNUMBER($I156),IF($I156&gt;=0,$I156,""),""))</f>
        <v/>
      </c>
      <c r="AC156" s="124" t="str">
        <f aca="false">IF(ISBLANK($C156),"",IF($J156=Constants!$B$2,TRUE(),IF($J156=Constants!$B$3,FALSE(),TRUE())))</f>
        <v/>
      </c>
      <c r="AD156" s="124" t="str">
        <f aca="false">IF(ISBLANK($C156),"",IF($K156=Constants!$B$2,TRUE(),IF($K156=Constants!$B$3,FALSE(),TRUE())))</f>
        <v/>
      </c>
      <c r="AE156" s="124" t="str">
        <f aca="false">IF(ISBLANK($C156),"",IF($L156=Constants!$B$2,TRUE(),IF($L156=Constants!$B$3,FALSE(),TRUE())))</f>
        <v/>
      </c>
      <c r="AF156" s="126" t="str">
        <f aca="false">IF(ISBLANK($C156),"",IF(ISNUMBER($M156),IF($M156&gt;=0,$M156,""),""))</f>
        <v/>
      </c>
      <c r="AG156" s="124" t="str">
        <f aca="false">IF(ISBLANK($C156),"",IF(ISBLANK($N156),0,IF(ISNUMBER($N156),IF(AND($N156&gt;=0,$N156&lt;=Constants!$B$17,$N156=INT($N156)),$N156,""),"")))</f>
        <v/>
      </c>
      <c r="AH156" s="125" t="str">
        <f aca="false">IF(ISBLANK($C156),"",IF(ISBLANK($O156),0,IF(ISNUMBER($O156),IF($O156&gt;=0,$O156,""),"")))</f>
        <v/>
      </c>
      <c r="AI156" s="124" t="str">
        <f aca="false">IF(ISBLANK($C156),"",IF($P156=Constants!$B$2,TRUE(),IF($P156=Constants!$B$3,FALSE(),TRUE())))</f>
        <v/>
      </c>
      <c r="AJ156" s="124" t="str">
        <f aca="false">IF(ISBLANK($C156),"",IF($Q156=Constants!$B$2,TRUE(),IF($Q156=Constants!$B$3,FALSE(),TRUE())))</f>
        <v/>
      </c>
      <c r="AK156" s="124" t="str">
        <f aca="false">IF(ISBLANK($C156),"",IF($R156=Constants!$B$2,TRUE(),IF($R156=Constants!$B$3,FALSE(),TRUE())))</f>
        <v/>
      </c>
      <c r="AL156" s="126" t="str">
        <f aca="false">IF(ISBLANK($C156),"",IF(ISNUMBER($S156),IF($S156&gt;=0,$S156,""),""))</f>
        <v/>
      </c>
      <c r="AM156" s="124" t="str">
        <f aca="false">IF(ISBLANK($C156),"",IF(ISBLANK($T156),0,IF(ISNUMBER($T156),IF(AND($T156&gt;=0,$T156&lt;=Constants!$B$17,$T156=INT($T156)),$T156,""),"")))</f>
        <v/>
      </c>
      <c r="AN156" s="125" t="str">
        <f aca="false">IF(ISBLANK($C156),"",IF(ISBLANK($U156),0,IF(ISNUMBER($U156),IF($U156&gt;=0,$U156,""),"")))</f>
        <v/>
      </c>
      <c r="AO156" s="124" t="str">
        <f aca="false">IF(ISBLANK($C156),"",IF($V156=Constants!$B$2,TRUE(),IF($V156=Constants!$B$3,FALSE(),FALSE())))</f>
        <v/>
      </c>
      <c r="AP156" s="124"/>
      <c r="AQ156" s="123" t="str">
        <f aca="false">IF(ISBLANK($C156),"",AND($Y156,OR($AS156,$BC156),OR($Z156="",$AA156="",$AB156="")))</f>
        <v/>
      </c>
      <c r="AR156" s="123" t="str">
        <f aca="false">IF(ISBLANK($C156),"",IF(OR(NOT($Y156),NOT(OR($AS156,$BC156))),"",IF(ISBLANK($D$7),$AR$5,IF($AP$9="",$AR$6,""))))</f>
        <v/>
      </c>
      <c r="AS156" s="123" t="str">
        <f aca="false">IF(ISBLANK($C156),"",COUNTA($J156:$O156)&gt;0)</f>
        <v/>
      </c>
      <c r="AT156" s="123" t="str">
        <f aca="false">IF(ISBLANK($C156),"",AND($AS156,OR(AND($AF156="",OR($AE156,NOT(ISBLANK($M156)))),$AG156="",$AH156="")))</f>
        <v/>
      </c>
      <c r="AU156" s="125" t="str">
        <f aca="false">IF($BL156&lt;&gt;Constants!$B$4,"",IF(NOT($AS156),"",ROUND((Constants!$B$12-$AB156)+(Constants!$B$13-$Z156)+(Constants!$B$14-$AA156),1)))</f>
        <v/>
      </c>
      <c r="AV156" s="127" t="str">
        <f aca="false">IF($BL156&lt;&gt;Constants!$B$4,"",IF(NOT($AS156),"",IF(NOT($AE156),0,Constants!$B$15*(INT(ROUND(MIN($AF156,$AP$9),6))-INT(ROUND(MAX(0,MIN($AF156,2*$AP$9)-$AP$9),6))))))</f>
        <v/>
      </c>
      <c r="AW156" s="127" t="str">
        <f aca="false">IF($BL156&lt;&gt;Constants!$B$4,"",IF(NOT($AS156),"",Constants!$B$16*$AG156))</f>
        <v/>
      </c>
      <c r="AX156" s="127" t="str">
        <f aca="false">IF($BL156&lt;&gt;Constants!$B$4,"",IF(NOT($AS156),"",Constants!$B$18*INT(ROUND($AH156,6))))</f>
        <v/>
      </c>
      <c r="AY156" s="123" t="str">
        <f aca="false">IF($BL156&lt;&gt;Constants!$B$4,"",IF(NOT($AS156),"",IF(NOT($X156),Constants!$B$11,IF(OR(NOT($AC156),NOT($AD156),ROUND($AB156,1)&gt;Constants!$B$12,ROUND($Z156,1)&gt;Constants!$B$13,ROUND($AA156,1)&gt;Constants!$B$14),Constants!$B$10,Constants!$B$9))))</f>
        <v/>
      </c>
      <c r="AZ156" s="128" t="str">
        <f aca="false">IF($BL156&lt;&gt;Constants!$B$4,"",IF(NOT($AS156),"",ROUND($AU156+$AV156+$AW156+$AX156,1)))</f>
        <v/>
      </c>
      <c r="BA156" s="129" t="str">
        <f aca="false">IF($BL156&lt;&gt;Constants!$B$4,"",IF(NOT($AS156),"",IF(ISNUMBER($AF156),$AF156,0)))</f>
        <v/>
      </c>
      <c r="BB156" s="124" t="str">
        <f aca="false">IF($BL156&lt;&gt;Constants!$B$4,"",IF(NOT($BC156),"&lt;-",IF(NOT($AS156),"-&gt;",IF(OR($BI156&lt;$AY156,AND($BI156=$AY156,OR($BJ156&gt;$AZ156,AND($BJ156=$AZ156,OR($BH156&gt;$AX156,AND($BH156=$AX156,OR($BE156&gt;$AU156,AND($BE156=$AU156,OR($BF156&gt;$AV156,AND($BF156=$AV156,$BK156&gt;$BA156)))))))))),"-&gt;","&lt;-"))))</f>
        <v/>
      </c>
      <c r="BC156" s="123" t="str">
        <f aca="false">IF(ISBLANK($C156),"",COUNTA($P156:$U156)&gt;0)</f>
        <v/>
      </c>
      <c r="BD156" s="123" t="str">
        <f aca="false">IF(ISBLANK($C156),"",AND($BC156,OR(AND($AL156="",OR($AK156,NOT(ISBLANK($S156)))),$AM156="",$AN156="")))</f>
        <v/>
      </c>
      <c r="BE156" s="125" t="str">
        <f aca="false">IF($BL156&lt;&gt;Constants!$B$4,"",IF(NOT($BC156),"",ROUND((Constants!$B$12-$AB156)+(Constants!$B$13-$Z156)+(Constants!$B$14-$AA156),1)))</f>
        <v/>
      </c>
      <c r="BF156" s="127" t="str">
        <f aca="false">IF($BL156&lt;&gt;Constants!$B$4,"",IF(NOT($BC156),"",IF(NOT($AK156),0,Constants!$B$15*(INT(ROUND(MIN($AL156,$AP$9),6))-INT(ROUND(MAX(0,MIN($AL156,2*$AP$9)-$AP$9),6))))))</f>
        <v/>
      </c>
      <c r="BG156" s="127" t="str">
        <f aca="false">IF($BL156&lt;&gt;Constants!$B$4,"",IF(NOT($BC156),"",Constants!$B$16*$AM156))</f>
        <v/>
      </c>
      <c r="BH156" s="127" t="str">
        <f aca="false">IF($BL156&lt;&gt;Constants!$B$4,"",IF(NOT($BC156),"",Constants!$B$18*INT(ROUND($AN156,6))))</f>
        <v/>
      </c>
      <c r="BI156" s="123" t="str">
        <f aca="false">IF($BL156&lt;&gt;Constants!$B$4,"",IF(NOT($BC156),"",IF(NOT($X156),Constants!$B$11,IF(OR(NOT($AI156),NOT($AJ156),ROUND($AB156,1)&gt;Constants!$B$12,ROUND($Z156,1)&gt;Constants!$B$13,ROUND($AA156,1)&gt;Constants!$B$14),Constants!$B$10,Constants!$B$9))))</f>
        <v/>
      </c>
      <c r="BJ156" s="128" t="str">
        <f aca="false">IF($BL156&lt;&gt;Constants!$B$4,"",IF(NOT($BC156),"",ROUND($BE156+$BF156+$BG156+$BH156,1)))</f>
        <v/>
      </c>
      <c r="BK156" s="129" t="str">
        <f aca="false">IF($BL156&lt;&gt;Constants!$B$4,"",IF(NOT($BC156),"",IF(ISNUMBER($AL156),$AL156,0)))</f>
        <v/>
      </c>
      <c r="BL156" s="124" t="str">
        <f aca="false">IF(ISBLANK($C156),"",IF($AO156,Constants!$B$7,IF(COUNTA($E156:$V156)=0,Constants!$B$6,IF(NOT($Y156),Constants!$B$5,IF(NOT(OR($AS156,$BC156)),Constants!$B$5,IF(OR($AT156,$BD156,$AQ156,$AR156&lt;&gt;""),Constants!$B$8,Constants!$B$4))))))</f>
        <v/>
      </c>
      <c r="BM156" s="124" t="str">
        <f aca="false">IF(ISBLANK($C156),"",IF($BL156&lt;&gt;Constants!$B$4,$BL156,IF($BB156="-&gt;",$BI156,$AY156)))</f>
        <v/>
      </c>
      <c r="BN156" s="127" t="str">
        <f aca="false">IF($BL156&lt;&gt;Constants!$B$4,"",IF($BB156="-&gt;",$BJ156,$AZ156))</f>
        <v/>
      </c>
      <c r="BO156" s="127" t="str">
        <f aca="false">IF(ISBLANK($C156),"",IF($BL156&lt;&gt;Constants!$B$4,$BL156,$BN156))</f>
        <v/>
      </c>
      <c r="BP156" s="124" t="str">
        <f aca="false">IF(ISBLANK($C156),"",IF($BL156&lt;&gt;Constants!$B$4,$BL156,RANK($BO156,$BO$9:$BO$508,0)))</f>
        <v/>
      </c>
      <c r="BQ156" s="124" t="str">
        <f aca="false">IF(ISBLANK($C156),"",IF($BL156&lt;&gt;Constants!$B$4,$BL156,COUNTIFS($BM$9:$BM$508,"&lt;"&amp;$BM156)+COUNTIFS($BM$9:$BM$508,$BM156,$BP$9:$BP$508,"&lt;"&amp;$BP156)+1))</f>
        <v/>
      </c>
      <c r="BR156" s="127" t="str">
        <f aca="false">IF($BL156&lt;&gt;Constants!$B$4,"",IF($BB156="-&gt;",$BH156,$AX156))</f>
        <v/>
      </c>
      <c r="BS156" s="124" t="str">
        <f aca="false">IF(ISBLANK($C156),"",IF($BL156&lt;&gt;Constants!$B$4,$BL156,IF(ISNUMBER($BR156),RANK($BR156,$BR$9:$BR$508,0),COUNT($BR$9:$BR$508)+1)))</f>
        <v/>
      </c>
      <c r="BT156" s="127" t="str">
        <f aca="false">IF($BL156&lt;&gt;Constants!$B$4,"",IF($BB156="-&gt;",$BE156,$AU156))</f>
        <v/>
      </c>
      <c r="BU156" s="124" t="str">
        <f aca="false">IF(ISBLANK($C156),"",IF($BL156&lt;&gt;Constants!$B$4,$BL156,IF(ISNUMBER($BT156),RANK($BT156,$BT$9:$BT$508,0),COUNT($BT$9:$BT$508)+1)))</f>
        <v/>
      </c>
      <c r="BV156" s="127" t="str">
        <f aca="false">IF($BL156&lt;&gt;Constants!$B$4,"",IF($BB156="-&gt;",$BF156,$AV156))</f>
        <v/>
      </c>
      <c r="BW156" s="124" t="str">
        <f aca="false">IF(ISBLANK($C156),"",IF($BL156&lt;&gt;Constants!$B$4,$BL156,IF(ISNUMBER($BV156),RANK($BV156,$BV$9:$BV$508,0),COUNT($BV$9:$BV$508)+1)))</f>
        <v/>
      </c>
      <c r="BX156" s="127" t="str">
        <f aca="false">IF($BL156&lt;&gt;Constants!$B$4,"",IF($BB156="-&gt;",$BK156,$BA156))</f>
        <v/>
      </c>
      <c r="BY156" s="124" t="str">
        <f aca="false">IF(ISBLANK($C156),"",IF($BL156&lt;&gt;Constants!$B$4,$BL156,IF(ISNUMBER($BX156),RANK($BX156,$BX$9:$BX$508,0),COUNT($BX$9:$BX$508)+1)))</f>
        <v/>
      </c>
      <c r="BZ156" s="124" t="str">
        <f aca="false">IF(ISBLANK($C156),"",IF($BL156&lt;&gt;Constants!$B$4,$BL156,COUNTIFS($BM$9:$BM$508,"&lt;"&amp;$BM156)+COUNTIFS($BM$9:$BM$508,$BM156,$BP$9:$BP$508,"&lt;"&amp;$BP156)+COUNTIFS($BM$9:$BM$508,$BM156,$BP$9:$BP$508,$BP156,$BS$9:$BS$508,"&lt;"&amp;$BS156)+COUNTIFS($BM$9:$BM$508,$BM156,$BP$9:$BP$508,$BP156,$BS$9:$BS$508,$BS156,$BU$9:$BU$508,"&lt;"&amp;$BU156)+COUNTIFS($BM$9:$BM$508,$BM156,$BP$9:$BP$508,$BP156,$BS$9:$BS$508,$BS156,$BU$9:$BU$508,$BU156,$BW$9:$BW$508,"&lt;"&amp;$BW156)+COUNTIFS($BM$9:$BM$508,$BM156,$BP$9:$BP$508,$BP156,$BS$9:$BS$508,$BS156,$BU$9:$BU$508,$BU156,$BW$9:$BW$508,$BW156,$BY$9:$BY$508,"&lt;"&amp;$BY156)+1))</f>
        <v/>
      </c>
      <c r="CA156" s="124" t="str">
        <f aca="false">IF(ISBLANK($C156),"",IF($BL156&lt;&gt;Constants!$B$4,$BL156,$BQ156-$BZ156))</f>
        <v/>
      </c>
      <c r="CB156" s="130"/>
      <c r="CC156" s="131" t="str">
        <f aca="false">IF(ISBLANK($C156),"",IF($BL156=Constants!$B$8,$AR156,""))</f>
        <v/>
      </c>
      <c r="CD156" s="131" t="str">
        <f aca="false">IF(ISBLANK($C156),"",IF($BL156&lt;&gt;Constants!$B$4,"",IF($BB156="-&gt;",2,1)))</f>
        <v/>
      </c>
      <c r="CE156" s="132" t="str">
        <f aca="false">IF(ISBLANK($C156),"",IF($BL156&lt;&gt;Constants!$B$4,"",IF($BB156="-&gt;",$BE156,$AU156)))</f>
        <v/>
      </c>
      <c r="CF156" s="132" t="str">
        <f aca="false">IF(ISBLANK($C156),"",IF($BL156&lt;&gt;Constants!$B$4,"",IF($BB156="-&gt;",$BF156,$AV156)))</f>
        <v/>
      </c>
      <c r="CG156" s="132" t="str">
        <f aca="false">IF(ISBLANK($C156),"",IF($BL156&lt;&gt;Constants!$B$4,"",IF($BB156="-&gt;",$BG156,$AW156)))</f>
        <v/>
      </c>
      <c r="CH156" s="132" t="str">
        <f aca="false">IF(ISBLANK($C156),"",IF($BL156&lt;&gt;Constants!$B$4,"",IF($BB156="-&gt;",$BH156,$AX156)))</f>
        <v/>
      </c>
      <c r="CI156" s="133" t="str">
        <f aca="false">IF(ISBLANK($C156),"",$BO156)</f>
        <v/>
      </c>
      <c r="CJ156" s="134" t="str">
        <f aca="false">IF(ISBLANK($C156),"",$BM156)</f>
        <v/>
      </c>
      <c r="CK156" s="135" t="str">
        <f aca="false">IF(ISBLANK($C156),"",$CA156)</f>
        <v/>
      </c>
      <c r="CL156" s="135" t="str">
        <f aca="false">IF(ISBLANK($C156),"",$BZ156)</f>
        <v/>
      </c>
      <c r="CM156" s="136" t="str">
        <f aca="false">IF(ISBLANK($C156),"",IF($CL156=Constants!$B$7,COUNTA($C$9:$C$508)+2,IF($CL156=Constants!$B$6,COUNTA($C$9:$C$508)+1,IF($CL156=Constants!$B$5,COUNTA($C$9:$C$508),$CL156))))</f>
        <v/>
      </c>
      <c r="CN156" s="8"/>
      <c r="CO156" s="137" t="n">
        <f aca="false">IF(OR(ISNUMBER($CL156),$CL156=Constants!$B$7,$CL156=Constants!$B$5,$CL156=Constants!$B$6),1,0)</f>
        <v>0</v>
      </c>
      <c r="CP156" s="137" t="n">
        <v>148</v>
      </c>
      <c r="CQ156" s="137" t="str">
        <f aca="false">IF(ISBLANK($C156),"",IF(ISNUMBER($CM156),$CM156+ROW($B156)/1000,""))</f>
        <v/>
      </c>
      <c r="CR156" s="137" t="str">
        <f aca="false">IF(ISNUMBER($CQ156),RANK($CQ156,$CQ$9:$CQ$508,1),"")</f>
        <v/>
      </c>
      <c r="CS156" s="137" t="str">
        <f aca="false">IF(ISBLANK($C156),"",$B156)</f>
        <v/>
      </c>
      <c r="CT156" s="137" t="str">
        <f aca="false">IF(ISBLANK($C156),"",$C156)</f>
        <v/>
      </c>
      <c r="CU156" s="137" t="str">
        <f aca="false">IF(ISBLANK($C156),"",$D156)</f>
        <v/>
      </c>
      <c r="CV156" s="138" t="str">
        <f aca="false">$CJ156</f>
        <v/>
      </c>
      <c r="CW156" s="139" t="str">
        <f aca="false">$CI156</f>
        <v/>
      </c>
      <c r="CX156" s="137" t="str">
        <f aca="false">IF(ISBLANK($C156),"",$CL156)</f>
        <v/>
      </c>
      <c r="CY156" s="140" t="str">
        <f aca="false">IF($CP156&gt;$CO$8,"",VLOOKUP($CP156,$CR$9:$CX$508,7,FALSE()))</f>
        <v/>
      </c>
      <c r="CZ156" s="141" t="str">
        <f aca="false">IF($CP156&gt;$CO$8,"",VLOOKUP($CP156,$CR$9:$CX$508,2,FALSE()))</f>
        <v/>
      </c>
      <c r="DA156" s="141" t="str">
        <f aca="false">IF($CP156&gt;$CO$8,"",VLOOKUP($CP156,$CR$9:$CX$508,3,FALSE()))</f>
        <v/>
      </c>
      <c r="DB156" s="141" t="str">
        <f aca="false">IF($CP156&gt;$CO$8,"",VLOOKUP($CP156,$CR$9:$CX$508,4,FALSE()))</f>
        <v/>
      </c>
      <c r="DC156" s="141" t="str">
        <f aca="false">IF($CP156&gt;$CO$8,"",VLOOKUP($CP156,$CR$9:$CX$508,5,FALSE()))</f>
        <v/>
      </c>
      <c r="DD156" s="142" t="str">
        <f aca="false">IF($CP156&gt;$CO$8,"",VLOOKUP($CP156,$CR$9:$CX$508,6,FALSE()))</f>
        <v/>
      </c>
      <c r="DE156" s="70"/>
    </row>
    <row r="157" customFormat="false" ht="15.75" hidden="false" customHeight="false" outlineLevel="0" collapsed="false">
      <c r="A157" s="8"/>
      <c r="B157" s="146"/>
      <c r="C157" s="147"/>
      <c r="D157" s="148"/>
      <c r="E157" s="164"/>
      <c r="F157" s="150"/>
      <c r="G157" s="115"/>
      <c r="H157" s="115"/>
      <c r="I157" s="115"/>
      <c r="J157" s="165"/>
      <c r="K157" s="154"/>
      <c r="L157" s="154"/>
      <c r="M157" s="118"/>
      <c r="N157" s="154"/>
      <c r="O157" s="153"/>
      <c r="P157" s="154"/>
      <c r="Q157" s="154"/>
      <c r="R157" s="154"/>
      <c r="S157" s="115"/>
      <c r="T157" s="154"/>
      <c r="U157" s="153"/>
      <c r="V157" s="154"/>
      <c r="W157" s="123"/>
      <c r="X157" s="124" t="str">
        <f aca="false">IF(ISBLANK($C157),"",IF($E157=Constants!$B$2,TRUE(),IF($E157=Constants!$B$3,FALSE(),TRUE())))</f>
        <v/>
      </c>
      <c r="Y157" s="124" t="str">
        <f aca="false">IF(ISBLANK($C157),"",IF($F157=Constants!$B$2,TRUE(),IF($F157=Constants!$B$3,FALSE(),TRUE())))</f>
        <v/>
      </c>
      <c r="Z157" s="125" t="str">
        <f aca="false">IF(ISBLANK($C157),"",IF(ISNUMBER($G157),IF($G157&gt;=0,$G157,""),""))</f>
        <v/>
      </c>
      <c r="AA157" s="125" t="str">
        <f aca="false">IF(ISBLANK($C157),"",IF(ISNUMBER($H157),IF($H157&gt;=0,$H157,""),""))</f>
        <v/>
      </c>
      <c r="AB157" s="125" t="str">
        <f aca="false">IF(ISBLANK($C157),"",IF(ISNUMBER($I157),IF($I157&gt;=0,$I157,""),""))</f>
        <v/>
      </c>
      <c r="AC157" s="124" t="str">
        <f aca="false">IF(ISBLANK($C157),"",IF($J157=Constants!$B$2,TRUE(),IF($J157=Constants!$B$3,FALSE(),TRUE())))</f>
        <v/>
      </c>
      <c r="AD157" s="124" t="str">
        <f aca="false">IF(ISBLANK($C157),"",IF($K157=Constants!$B$2,TRUE(),IF($K157=Constants!$B$3,FALSE(),TRUE())))</f>
        <v/>
      </c>
      <c r="AE157" s="124" t="str">
        <f aca="false">IF(ISBLANK($C157),"",IF($L157=Constants!$B$2,TRUE(),IF($L157=Constants!$B$3,FALSE(),TRUE())))</f>
        <v/>
      </c>
      <c r="AF157" s="126" t="str">
        <f aca="false">IF(ISBLANK($C157),"",IF(ISNUMBER($M157),IF($M157&gt;=0,$M157,""),""))</f>
        <v/>
      </c>
      <c r="AG157" s="124" t="str">
        <f aca="false">IF(ISBLANK($C157),"",IF(ISBLANK($N157),0,IF(ISNUMBER($N157),IF(AND($N157&gt;=0,$N157&lt;=Constants!$B$17,$N157=INT($N157)),$N157,""),"")))</f>
        <v/>
      </c>
      <c r="AH157" s="125" t="str">
        <f aca="false">IF(ISBLANK($C157),"",IF(ISBLANK($O157),0,IF(ISNUMBER($O157),IF($O157&gt;=0,$O157,""),"")))</f>
        <v/>
      </c>
      <c r="AI157" s="124" t="str">
        <f aca="false">IF(ISBLANK($C157),"",IF($P157=Constants!$B$2,TRUE(),IF($P157=Constants!$B$3,FALSE(),TRUE())))</f>
        <v/>
      </c>
      <c r="AJ157" s="124" t="str">
        <f aca="false">IF(ISBLANK($C157),"",IF($Q157=Constants!$B$2,TRUE(),IF($Q157=Constants!$B$3,FALSE(),TRUE())))</f>
        <v/>
      </c>
      <c r="AK157" s="124" t="str">
        <f aca="false">IF(ISBLANK($C157),"",IF($R157=Constants!$B$2,TRUE(),IF($R157=Constants!$B$3,FALSE(),TRUE())))</f>
        <v/>
      </c>
      <c r="AL157" s="126" t="str">
        <f aca="false">IF(ISBLANK($C157),"",IF(ISNUMBER($S157),IF($S157&gt;=0,$S157,""),""))</f>
        <v/>
      </c>
      <c r="AM157" s="124" t="str">
        <f aca="false">IF(ISBLANK($C157),"",IF(ISBLANK($T157),0,IF(ISNUMBER($T157),IF(AND($T157&gt;=0,$T157&lt;=Constants!$B$17,$T157=INT($T157)),$T157,""),"")))</f>
        <v/>
      </c>
      <c r="AN157" s="125" t="str">
        <f aca="false">IF(ISBLANK($C157),"",IF(ISBLANK($U157),0,IF(ISNUMBER($U157),IF($U157&gt;=0,$U157,""),"")))</f>
        <v/>
      </c>
      <c r="AO157" s="124" t="str">
        <f aca="false">IF(ISBLANK($C157),"",IF($V157=Constants!$B$2,TRUE(),IF($V157=Constants!$B$3,FALSE(),FALSE())))</f>
        <v/>
      </c>
      <c r="AP157" s="124"/>
      <c r="AQ157" s="123" t="str">
        <f aca="false">IF(ISBLANK($C157),"",AND($Y157,OR($AS157,$BC157),OR($Z157="",$AA157="",$AB157="")))</f>
        <v/>
      </c>
      <c r="AR157" s="123" t="str">
        <f aca="false">IF(ISBLANK($C157),"",IF(OR(NOT($Y157),NOT(OR($AS157,$BC157))),"",IF(ISBLANK($D$7),$AR$5,IF($AP$9="",$AR$6,""))))</f>
        <v/>
      </c>
      <c r="AS157" s="123" t="str">
        <f aca="false">IF(ISBLANK($C157),"",COUNTA($J157:$O157)&gt;0)</f>
        <v/>
      </c>
      <c r="AT157" s="123" t="str">
        <f aca="false">IF(ISBLANK($C157),"",AND($AS157,OR(AND($AF157="",OR($AE157,NOT(ISBLANK($M157)))),$AG157="",$AH157="")))</f>
        <v/>
      </c>
      <c r="AU157" s="125" t="str">
        <f aca="false">IF($BL157&lt;&gt;Constants!$B$4,"",IF(NOT($AS157),"",ROUND((Constants!$B$12-$AB157)+(Constants!$B$13-$Z157)+(Constants!$B$14-$AA157),1)))</f>
        <v/>
      </c>
      <c r="AV157" s="127" t="str">
        <f aca="false">IF($BL157&lt;&gt;Constants!$B$4,"",IF(NOT($AS157),"",IF(NOT($AE157),0,Constants!$B$15*(INT(ROUND(MIN($AF157,$AP$9),6))-INT(ROUND(MAX(0,MIN($AF157,2*$AP$9)-$AP$9),6))))))</f>
        <v/>
      </c>
      <c r="AW157" s="127" t="str">
        <f aca="false">IF($BL157&lt;&gt;Constants!$B$4,"",IF(NOT($AS157),"",Constants!$B$16*$AG157))</f>
        <v/>
      </c>
      <c r="AX157" s="127" t="str">
        <f aca="false">IF($BL157&lt;&gt;Constants!$B$4,"",IF(NOT($AS157),"",Constants!$B$18*INT(ROUND($AH157,6))))</f>
        <v/>
      </c>
      <c r="AY157" s="123" t="str">
        <f aca="false">IF($BL157&lt;&gt;Constants!$B$4,"",IF(NOT($AS157),"",IF(NOT($X157),Constants!$B$11,IF(OR(NOT($AC157),NOT($AD157),ROUND($AB157,1)&gt;Constants!$B$12,ROUND($Z157,1)&gt;Constants!$B$13,ROUND($AA157,1)&gt;Constants!$B$14),Constants!$B$10,Constants!$B$9))))</f>
        <v/>
      </c>
      <c r="AZ157" s="128" t="str">
        <f aca="false">IF($BL157&lt;&gt;Constants!$B$4,"",IF(NOT($AS157),"",ROUND($AU157+$AV157+$AW157+$AX157,1)))</f>
        <v/>
      </c>
      <c r="BA157" s="129" t="str">
        <f aca="false">IF($BL157&lt;&gt;Constants!$B$4,"",IF(NOT($AS157),"",IF(ISNUMBER($AF157),$AF157,0)))</f>
        <v/>
      </c>
      <c r="BB157" s="124" t="str">
        <f aca="false">IF($BL157&lt;&gt;Constants!$B$4,"",IF(NOT($BC157),"&lt;-",IF(NOT($AS157),"-&gt;",IF(OR($BI157&lt;$AY157,AND($BI157=$AY157,OR($BJ157&gt;$AZ157,AND($BJ157=$AZ157,OR($BH157&gt;$AX157,AND($BH157=$AX157,OR($BE157&gt;$AU157,AND($BE157=$AU157,OR($BF157&gt;$AV157,AND($BF157=$AV157,$BK157&gt;$BA157)))))))))),"-&gt;","&lt;-"))))</f>
        <v/>
      </c>
      <c r="BC157" s="123" t="str">
        <f aca="false">IF(ISBLANK($C157),"",COUNTA($P157:$U157)&gt;0)</f>
        <v/>
      </c>
      <c r="BD157" s="123" t="str">
        <f aca="false">IF(ISBLANK($C157),"",AND($BC157,OR(AND($AL157="",OR($AK157,NOT(ISBLANK($S157)))),$AM157="",$AN157="")))</f>
        <v/>
      </c>
      <c r="BE157" s="125" t="str">
        <f aca="false">IF($BL157&lt;&gt;Constants!$B$4,"",IF(NOT($BC157),"",ROUND((Constants!$B$12-$AB157)+(Constants!$B$13-$Z157)+(Constants!$B$14-$AA157),1)))</f>
        <v/>
      </c>
      <c r="BF157" s="127" t="str">
        <f aca="false">IF($BL157&lt;&gt;Constants!$B$4,"",IF(NOT($BC157),"",IF(NOT($AK157),0,Constants!$B$15*(INT(ROUND(MIN($AL157,$AP$9),6))-INT(ROUND(MAX(0,MIN($AL157,2*$AP$9)-$AP$9),6))))))</f>
        <v/>
      </c>
      <c r="BG157" s="127" t="str">
        <f aca="false">IF($BL157&lt;&gt;Constants!$B$4,"",IF(NOT($BC157),"",Constants!$B$16*$AM157))</f>
        <v/>
      </c>
      <c r="BH157" s="127" t="str">
        <f aca="false">IF($BL157&lt;&gt;Constants!$B$4,"",IF(NOT($BC157),"",Constants!$B$18*INT(ROUND($AN157,6))))</f>
        <v/>
      </c>
      <c r="BI157" s="123" t="str">
        <f aca="false">IF($BL157&lt;&gt;Constants!$B$4,"",IF(NOT($BC157),"",IF(NOT($X157),Constants!$B$11,IF(OR(NOT($AI157),NOT($AJ157),ROUND($AB157,1)&gt;Constants!$B$12,ROUND($Z157,1)&gt;Constants!$B$13,ROUND($AA157,1)&gt;Constants!$B$14),Constants!$B$10,Constants!$B$9))))</f>
        <v/>
      </c>
      <c r="BJ157" s="128" t="str">
        <f aca="false">IF($BL157&lt;&gt;Constants!$B$4,"",IF(NOT($BC157),"",ROUND($BE157+$BF157+$BG157+$BH157,1)))</f>
        <v/>
      </c>
      <c r="BK157" s="129" t="str">
        <f aca="false">IF($BL157&lt;&gt;Constants!$B$4,"",IF(NOT($BC157),"",IF(ISNUMBER($AL157),$AL157,0)))</f>
        <v/>
      </c>
      <c r="BL157" s="124" t="str">
        <f aca="false">IF(ISBLANK($C157),"",IF($AO157,Constants!$B$7,IF(COUNTA($E157:$V157)=0,Constants!$B$6,IF(NOT($Y157),Constants!$B$5,IF(NOT(OR($AS157,$BC157)),Constants!$B$5,IF(OR($AT157,$BD157,$AQ157,$AR157&lt;&gt;""),Constants!$B$8,Constants!$B$4))))))</f>
        <v/>
      </c>
      <c r="BM157" s="124" t="str">
        <f aca="false">IF(ISBLANK($C157),"",IF($BL157&lt;&gt;Constants!$B$4,$BL157,IF($BB157="-&gt;",$BI157,$AY157)))</f>
        <v/>
      </c>
      <c r="BN157" s="127" t="str">
        <f aca="false">IF($BL157&lt;&gt;Constants!$B$4,"",IF($BB157="-&gt;",$BJ157,$AZ157))</f>
        <v/>
      </c>
      <c r="BO157" s="127" t="str">
        <f aca="false">IF(ISBLANK($C157),"",IF($BL157&lt;&gt;Constants!$B$4,$BL157,$BN157))</f>
        <v/>
      </c>
      <c r="BP157" s="124" t="str">
        <f aca="false">IF(ISBLANK($C157),"",IF($BL157&lt;&gt;Constants!$B$4,$BL157,RANK($BO157,$BO$9:$BO$508,0)))</f>
        <v/>
      </c>
      <c r="BQ157" s="124" t="str">
        <f aca="false">IF(ISBLANK($C157),"",IF($BL157&lt;&gt;Constants!$B$4,$BL157,COUNTIFS($BM$9:$BM$508,"&lt;"&amp;$BM157)+COUNTIFS($BM$9:$BM$508,$BM157,$BP$9:$BP$508,"&lt;"&amp;$BP157)+1))</f>
        <v/>
      </c>
      <c r="BR157" s="127" t="str">
        <f aca="false">IF($BL157&lt;&gt;Constants!$B$4,"",IF($BB157="-&gt;",$BH157,$AX157))</f>
        <v/>
      </c>
      <c r="BS157" s="124" t="str">
        <f aca="false">IF(ISBLANK($C157),"",IF($BL157&lt;&gt;Constants!$B$4,$BL157,IF(ISNUMBER($BR157),RANK($BR157,$BR$9:$BR$508,0),COUNT($BR$9:$BR$508)+1)))</f>
        <v/>
      </c>
      <c r="BT157" s="127" t="str">
        <f aca="false">IF($BL157&lt;&gt;Constants!$B$4,"",IF($BB157="-&gt;",$BE157,$AU157))</f>
        <v/>
      </c>
      <c r="BU157" s="124" t="str">
        <f aca="false">IF(ISBLANK($C157),"",IF($BL157&lt;&gt;Constants!$B$4,$BL157,IF(ISNUMBER($BT157),RANK($BT157,$BT$9:$BT$508,0),COUNT($BT$9:$BT$508)+1)))</f>
        <v/>
      </c>
      <c r="BV157" s="127" t="str">
        <f aca="false">IF($BL157&lt;&gt;Constants!$B$4,"",IF($BB157="-&gt;",$BF157,$AV157))</f>
        <v/>
      </c>
      <c r="BW157" s="124" t="str">
        <f aca="false">IF(ISBLANK($C157),"",IF($BL157&lt;&gt;Constants!$B$4,$BL157,IF(ISNUMBER($BV157),RANK($BV157,$BV$9:$BV$508,0),COUNT($BV$9:$BV$508)+1)))</f>
        <v/>
      </c>
      <c r="BX157" s="127" t="str">
        <f aca="false">IF($BL157&lt;&gt;Constants!$B$4,"",IF($BB157="-&gt;",$BK157,$BA157))</f>
        <v/>
      </c>
      <c r="BY157" s="124" t="str">
        <f aca="false">IF(ISBLANK($C157),"",IF($BL157&lt;&gt;Constants!$B$4,$BL157,IF(ISNUMBER($BX157),RANK($BX157,$BX$9:$BX$508,0),COUNT($BX$9:$BX$508)+1)))</f>
        <v/>
      </c>
      <c r="BZ157" s="124" t="str">
        <f aca="false">IF(ISBLANK($C157),"",IF($BL157&lt;&gt;Constants!$B$4,$BL157,COUNTIFS($BM$9:$BM$508,"&lt;"&amp;$BM157)+COUNTIFS($BM$9:$BM$508,$BM157,$BP$9:$BP$508,"&lt;"&amp;$BP157)+COUNTIFS($BM$9:$BM$508,$BM157,$BP$9:$BP$508,$BP157,$BS$9:$BS$508,"&lt;"&amp;$BS157)+COUNTIFS($BM$9:$BM$508,$BM157,$BP$9:$BP$508,$BP157,$BS$9:$BS$508,$BS157,$BU$9:$BU$508,"&lt;"&amp;$BU157)+COUNTIFS($BM$9:$BM$508,$BM157,$BP$9:$BP$508,$BP157,$BS$9:$BS$508,$BS157,$BU$9:$BU$508,$BU157,$BW$9:$BW$508,"&lt;"&amp;$BW157)+COUNTIFS($BM$9:$BM$508,$BM157,$BP$9:$BP$508,$BP157,$BS$9:$BS$508,$BS157,$BU$9:$BU$508,$BU157,$BW$9:$BW$508,$BW157,$BY$9:$BY$508,"&lt;"&amp;$BY157)+1))</f>
        <v/>
      </c>
      <c r="CA157" s="124" t="str">
        <f aca="false">IF(ISBLANK($C157),"",IF($BL157&lt;&gt;Constants!$B$4,$BL157,$BQ157-$BZ157))</f>
        <v/>
      </c>
      <c r="CB157" s="130"/>
      <c r="CC157" s="131" t="str">
        <f aca="false">IF(ISBLANK($C157),"",IF($BL157=Constants!$B$8,$AR157,""))</f>
        <v/>
      </c>
      <c r="CD157" s="131" t="str">
        <f aca="false">IF(ISBLANK($C157),"",IF($BL157&lt;&gt;Constants!$B$4,"",IF($BB157="-&gt;",2,1)))</f>
        <v/>
      </c>
      <c r="CE157" s="132" t="str">
        <f aca="false">IF(ISBLANK($C157),"",IF($BL157&lt;&gt;Constants!$B$4,"",IF($BB157="-&gt;",$BE157,$AU157)))</f>
        <v/>
      </c>
      <c r="CF157" s="132" t="str">
        <f aca="false">IF(ISBLANK($C157),"",IF($BL157&lt;&gt;Constants!$B$4,"",IF($BB157="-&gt;",$BF157,$AV157)))</f>
        <v/>
      </c>
      <c r="CG157" s="132" t="str">
        <f aca="false">IF(ISBLANK($C157),"",IF($BL157&lt;&gt;Constants!$B$4,"",IF($BB157="-&gt;",$BG157,$AW157)))</f>
        <v/>
      </c>
      <c r="CH157" s="132" t="str">
        <f aca="false">IF(ISBLANK($C157),"",IF($BL157&lt;&gt;Constants!$B$4,"",IF($BB157="-&gt;",$BH157,$AX157)))</f>
        <v/>
      </c>
      <c r="CI157" s="133" t="str">
        <f aca="false">IF(ISBLANK($C157),"",$BO157)</f>
        <v/>
      </c>
      <c r="CJ157" s="134" t="str">
        <f aca="false">IF(ISBLANK($C157),"",$BM157)</f>
        <v/>
      </c>
      <c r="CK157" s="135" t="str">
        <f aca="false">IF(ISBLANK($C157),"",$CA157)</f>
        <v/>
      </c>
      <c r="CL157" s="135" t="str">
        <f aca="false">IF(ISBLANK($C157),"",$BZ157)</f>
        <v/>
      </c>
      <c r="CM157" s="136" t="str">
        <f aca="false">IF(ISBLANK($C157),"",IF($CL157=Constants!$B$7,COUNTA($C$9:$C$508)+2,IF($CL157=Constants!$B$6,COUNTA($C$9:$C$508)+1,IF($CL157=Constants!$B$5,COUNTA($C$9:$C$508),$CL157))))</f>
        <v/>
      </c>
      <c r="CN157" s="8"/>
      <c r="CO157" s="137" t="n">
        <f aca="false">IF(OR(ISNUMBER($CL157),$CL157=Constants!$B$7,$CL157=Constants!$B$5,$CL157=Constants!$B$6),1,0)</f>
        <v>0</v>
      </c>
      <c r="CP157" s="137" t="n">
        <v>149</v>
      </c>
      <c r="CQ157" s="137" t="str">
        <f aca="false">IF(ISBLANK($C157),"",IF(ISNUMBER($CM157),$CM157+ROW($B157)/1000,""))</f>
        <v/>
      </c>
      <c r="CR157" s="137" t="str">
        <f aca="false">IF(ISNUMBER($CQ157),RANK($CQ157,$CQ$9:$CQ$508,1),"")</f>
        <v/>
      </c>
      <c r="CS157" s="137" t="str">
        <f aca="false">IF(ISBLANK($C157),"",$B157)</f>
        <v/>
      </c>
      <c r="CT157" s="137" t="str">
        <f aca="false">IF(ISBLANK($C157),"",$C157)</f>
        <v/>
      </c>
      <c r="CU157" s="137" t="str">
        <f aca="false">IF(ISBLANK($C157),"",$D157)</f>
        <v/>
      </c>
      <c r="CV157" s="138" t="str">
        <f aca="false">$CJ157</f>
        <v/>
      </c>
      <c r="CW157" s="139" t="str">
        <f aca="false">$CI157</f>
        <v/>
      </c>
      <c r="CX157" s="137" t="str">
        <f aca="false">IF(ISBLANK($C157),"",$CL157)</f>
        <v/>
      </c>
      <c r="CY157" s="140" t="str">
        <f aca="false">IF($CP157&gt;$CO$8,"",VLOOKUP($CP157,$CR$9:$CX$508,7,FALSE()))</f>
        <v/>
      </c>
      <c r="CZ157" s="141" t="str">
        <f aca="false">IF($CP157&gt;$CO$8,"",VLOOKUP($CP157,$CR$9:$CX$508,2,FALSE()))</f>
        <v/>
      </c>
      <c r="DA157" s="141" t="str">
        <f aca="false">IF($CP157&gt;$CO$8,"",VLOOKUP($CP157,$CR$9:$CX$508,3,FALSE()))</f>
        <v/>
      </c>
      <c r="DB157" s="141" t="str">
        <f aca="false">IF($CP157&gt;$CO$8,"",VLOOKUP($CP157,$CR$9:$CX$508,4,FALSE()))</f>
        <v/>
      </c>
      <c r="DC157" s="141" t="str">
        <f aca="false">IF($CP157&gt;$CO$8,"",VLOOKUP($CP157,$CR$9:$CX$508,5,FALSE()))</f>
        <v/>
      </c>
      <c r="DD157" s="142" t="str">
        <f aca="false">IF($CP157&gt;$CO$8,"",VLOOKUP($CP157,$CR$9:$CX$508,6,FALSE()))</f>
        <v/>
      </c>
      <c r="DE157" s="70"/>
    </row>
    <row r="158" customFormat="false" ht="15.75" hidden="false" customHeight="false" outlineLevel="0" collapsed="false">
      <c r="A158" s="8"/>
      <c r="B158" s="146"/>
      <c r="C158" s="147"/>
      <c r="D158" s="148"/>
      <c r="E158" s="164"/>
      <c r="F158" s="150"/>
      <c r="G158" s="115"/>
      <c r="H158" s="115"/>
      <c r="I158" s="115"/>
      <c r="J158" s="165"/>
      <c r="K158" s="154"/>
      <c r="L158" s="154"/>
      <c r="M158" s="118"/>
      <c r="N158" s="154"/>
      <c r="O158" s="153"/>
      <c r="P158" s="154"/>
      <c r="Q158" s="154"/>
      <c r="R158" s="154"/>
      <c r="S158" s="115"/>
      <c r="T158" s="154"/>
      <c r="U158" s="153"/>
      <c r="V158" s="154"/>
      <c r="W158" s="123"/>
      <c r="X158" s="124" t="str">
        <f aca="false">IF(ISBLANK($C158),"",IF($E158=Constants!$B$2,TRUE(),IF($E158=Constants!$B$3,FALSE(),TRUE())))</f>
        <v/>
      </c>
      <c r="Y158" s="124" t="str">
        <f aca="false">IF(ISBLANK($C158),"",IF($F158=Constants!$B$2,TRUE(),IF($F158=Constants!$B$3,FALSE(),TRUE())))</f>
        <v/>
      </c>
      <c r="Z158" s="125" t="str">
        <f aca="false">IF(ISBLANK($C158),"",IF(ISNUMBER($G158),IF($G158&gt;=0,$G158,""),""))</f>
        <v/>
      </c>
      <c r="AA158" s="125" t="str">
        <f aca="false">IF(ISBLANK($C158),"",IF(ISNUMBER($H158),IF($H158&gt;=0,$H158,""),""))</f>
        <v/>
      </c>
      <c r="AB158" s="125" t="str">
        <f aca="false">IF(ISBLANK($C158),"",IF(ISNUMBER($I158),IF($I158&gt;=0,$I158,""),""))</f>
        <v/>
      </c>
      <c r="AC158" s="124" t="str">
        <f aca="false">IF(ISBLANK($C158),"",IF($J158=Constants!$B$2,TRUE(),IF($J158=Constants!$B$3,FALSE(),TRUE())))</f>
        <v/>
      </c>
      <c r="AD158" s="124" t="str">
        <f aca="false">IF(ISBLANK($C158),"",IF($K158=Constants!$B$2,TRUE(),IF($K158=Constants!$B$3,FALSE(),TRUE())))</f>
        <v/>
      </c>
      <c r="AE158" s="124" t="str">
        <f aca="false">IF(ISBLANK($C158),"",IF($L158=Constants!$B$2,TRUE(),IF($L158=Constants!$B$3,FALSE(),TRUE())))</f>
        <v/>
      </c>
      <c r="AF158" s="126" t="str">
        <f aca="false">IF(ISBLANK($C158),"",IF(ISNUMBER($M158),IF($M158&gt;=0,$M158,""),""))</f>
        <v/>
      </c>
      <c r="AG158" s="124" t="str">
        <f aca="false">IF(ISBLANK($C158),"",IF(ISBLANK($N158),0,IF(ISNUMBER($N158),IF(AND($N158&gt;=0,$N158&lt;=Constants!$B$17,$N158=INT($N158)),$N158,""),"")))</f>
        <v/>
      </c>
      <c r="AH158" s="125" t="str">
        <f aca="false">IF(ISBLANK($C158),"",IF(ISBLANK($O158),0,IF(ISNUMBER($O158),IF($O158&gt;=0,$O158,""),"")))</f>
        <v/>
      </c>
      <c r="AI158" s="124" t="str">
        <f aca="false">IF(ISBLANK($C158),"",IF($P158=Constants!$B$2,TRUE(),IF($P158=Constants!$B$3,FALSE(),TRUE())))</f>
        <v/>
      </c>
      <c r="AJ158" s="124" t="str">
        <f aca="false">IF(ISBLANK($C158),"",IF($Q158=Constants!$B$2,TRUE(),IF($Q158=Constants!$B$3,FALSE(),TRUE())))</f>
        <v/>
      </c>
      <c r="AK158" s="124" t="str">
        <f aca="false">IF(ISBLANK($C158),"",IF($R158=Constants!$B$2,TRUE(),IF($R158=Constants!$B$3,FALSE(),TRUE())))</f>
        <v/>
      </c>
      <c r="AL158" s="126" t="str">
        <f aca="false">IF(ISBLANK($C158),"",IF(ISNUMBER($S158),IF($S158&gt;=0,$S158,""),""))</f>
        <v/>
      </c>
      <c r="AM158" s="124" t="str">
        <f aca="false">IF(ISBLANK($C158),"",IF(ISBLANK($T158),0,IF(ISNUMBER($T158),IF(AND($T158&gt;=0,$T158&lt;=Constants!$B$17,$T158=INT($T158)),$T158,""),"")))</f>
        <v/>
      </c>
      <c r="AN158" s="125" t="str">
        <f aca="false">IF(ISBLANK($C158),"",IF(ISBLANK($U158),0,IF(ISNUMBER($U158),IF($U158&gt;=0,$U158,""),"")))</f>
        <v/>
      </c>
      <c r="AO158" s="124" t="str">
        <f aca="false">IF(ISBLANK($C158),"",IF($V158=Constants!$B$2,TRUE(),IF($V158=Constants!$B$3,FALSE(),FALSE())))</f>
        <v/>
      </c>
      <c r="AP158" s="124"/>
      <c r="AQ158" s="123" t="str">
        <f aca="false">IF(ISBLANK($C158),"",AND($Y158,OR($AS158,$BC158),OR($Z158="",$AA158="",$AB158="")))</f>
        <v/>
      </c>
      <c r="AR158" s="123" t="str">
        <f aca="false">IF(ISBLANK($C158),"",IF(OR(NOT($Y158),NOT(OR($AS158,$BC158))),"",IF(ISBLANK($D$7),$AR$5,IF($AP$9="",$AR$6,""))))</f>
        <v/>
      </c>
      <c r="AS158" s="123" t="str">
        <f aca="false">IF(ISBLANK($C158),"",COUNTA($J158:$O158)&gt;0)</f>
        <v/>
      </c>
      <c r="AT158" s="123" t="str">
        <f aca="false">IF(ISBLANK($C158),"",AND($AS158,OR(AND($AF158="",OR($AE158,NOT(ISBLANK($M158)))),$AG158="",$AH158="")))</f>
        <v/>
      </c>
      <c r="AU158" s="125" t="str">
        <f aca="false">IF($BL158&lt;&gt;Constants!$B$4,"",IF(NOT($AS158),"",ROUND((Constants!$B$12-$AB158)+(Constants!$B$13-$Z158)+(Constants!$B$14-$AA158),1)))</f>
        <v/>
      </c>
      <c r="AV158" s="127" t="str">
        <f aca="false">IF($BL158&lt;&gt;Constants!$B$4,"",IF(NOT($AS158),"",IF(NOT($AE158),0,Constants!$B$15*(INT(ROUND(MIN($AF158,$AP$9),6))-INT(ROUND(MAX(0,MIN($AF158,2*$AP$9)-$AP$9),6))))))</f>
        <v/>
      </c>
      <c r="AW158" s="127" t="str">
        <f aca="false">IF($BL158&lt;&gt;Constants!$B$4,"",IF(NOT($AS158),"",Constants!$B$16*$AG158))</f>
        <v/>
      </c>
      <c r="AX158" s="127" t="str">
        <f aca="false">IF($BL158&lt;&gt;Constants!$B$4,"",IF(NOT($AS158),"",Constants!$B$18*INT(ROUND($AH158,6))))</f>
        <v/>
      </c>
      <c r="AY158" s="123" t="str">
        <f aca="false">IF($BL158&lt;&gt;Constants!$B$4,"",IF(NOT($AS158),"",IF(NOT($X158),Constants!$B$11,IF(OR(NOT($AC158),NOT($AD158),ROUND($AB158,1)&gt;Constants!$B$12,ROUND($Z158,1)&gt;Constants!$B$13,ROUND($AA158,1)&gt;Constants!$B$14),Constants!$B$10,Constants!$B$9))))</f>
        <v/>
      </c>
      <c r="AZ158" s="128" t="str">
        <f aca="false">IF($BL158&lt;&gt;Constants!$B$4,"",IF(NOT($AS158),"",ROUND($AU158+$AV158+$AW158+$AX158,1)))</f>
        <v/>
      </c>
      <c r="BA158" s="129" t="str">
        <f aca="false">IF($BL158&lt;&gt;Constants!$B$4,"",IF(NOT($AS158),"",IF(ISNUMBER($AF158),$AF158,0)))</f>
        <v/>
      </c>
      <c r="BB158" s="124" t="str">
        <f aca="false">IF($BL158&lt;&gt;Constants!$B$4,"",IF(NOT($BC158),"&lt;-",IF(NOT($AS158),"-&gt;",IF(OR($BI158&lt;$AY158,AND($BI158=$AY158,OR($BJ158&gt;$AZ158,AND($BJ158=$AZ158,OR($BH158&gt;$AX158,AND($BH158=$AX158,OR($BE158&gt;$AU158,AND($BE158=$AU158,OR($BF158&gt;$AV158,AND($BF158=$AV158,$BK158&gt;$BA158)))))))))),"-&gt;","&lt;-"))))</f>
        <v/>
      </c>
      <c r="BC158" s="123" t="str">
        <f aca="false">IF(ISBLANK($C158),"",COUNTA($P158:$U158)&gt;0)</f>
        <v/>
      </c>
      <c r="BD158" s="123" t="str">
        <f aca="false">IF(ISBLANK($C158),"",AND($BC158,OR(AND($AL158="",OR($AK158,NOT(ISBLANK($S158)))),$AM158="",$AN158="")))</f>
        <v/>
      </c>
      <c r="BE158" s="125" t="str">
        <f aca="false">IF($BL158&lt;&gt;Constants!$B$4,"",IF(NOT($BC158),"",ROUND((Constants!$B$12-$AB158)+(Constants!$B$13-$Z158)+(Constants!$B$14-$AA158),1)))</f>
        <v/>
      </c>
      <c r="BF158" s="127" t="str">
        <f aca="false">IF($BL158&lt;&gt;Constants!$B$4,"",IF(NOT($BC158),"",IF(NOT($AK158),0,Constants!$B$15*(INT(ROUND(MIN($AL158,$AP$9),6))-INT(ROUND(MAX(0,MIN($AL158,2*$AP$9)-$AP$9),6))))))</f>
        <v/>
      </c>
      <c r="BG158" s="127" t="str">
        <f aca="false">IF($BL158&lt;&gt;Constants!$B$4,"",IF(NOT($BC158),"",Constants!$B$16*$AM158))</f>
        <v/>
      </c>
      <c r="BH158" s="127" t="str">
        <f aca="false">IF($BL158&lt;&gt;Constants!$B$4,"",IF(NOT($BC158),"",Constants!$B$18*INT(ROUND($AN158,6))))</f>
        <v/>
      </c>
      <c r="BI158" s="123" t="str">
        <f aca="false">IF($BL158&lt;&gt;Constants!$B$4,"",IF(NOT($BC158),"",IF(NOT($X158),Constants!$B$11,IF(OR(NOT($AI158),NOT($AJ158),ROUND($AB158,1)&gt;Constants!$B$12,ROUND($Z158,1)&gt;Constants!$B$13,ROUND($AA158,1)&gt;Constants!$B$14),Constants!$B$10,Constants!$B$9))))</f>
        <v/>
      </c>
      <c r="BJ158" s="128" t="str">
        <f aca="false">IF($BL158&lt;&gt;Constants!$B$4,"",IF(NOT($BC158),"",ROUND($BE158+$BF158+$BG158+$BH158,1)))</f>
        <v/>
      </c>
      <c r="BK158" s="129" t="str">
        <f aca="false">IF($BL158&lt;&gt;Constants!$B$4,"",IF(NOT($BC158),"",IF(ISNUMBER($AL158),$AL158,0)))</f>
        <v/>
      </c>
      <c r="BL158" s="124" t="str">
        <f aca="false">IF(ISBLANK($C158),"",IF($AO158,Constants!$B$7,IF(COUNTA($E158:$V158)=0,Constants!$B$6,IF(NOT($Y158),Constants!$B$5,IF(NOT(OR($AS158,$BC158)),Constants!$B$5,IF(OR($AT158,$BD158,$AQ158,$AR158&lt;&gt;""),Constants!$B$8,Constants!$B$4))))))</f>
        <v/>
      </c>
      <c r="BM158" s="124" t="str">
        <f aca="false">IF(ISBLANK($C158),"",IF($BL158&lt;&gt;Constants!$B$4,$BL158,IF($BB158="-&gt;",$BI158,$AY158)))</f>
        <v/>
      </c>
      <c r="BN158" s="127" t="str">
        <f aca="false">IF($BL158&lt;&gt;Constants!$B$4,"",IF($BB158="-&gt;",$BJ158,$AZ158))</f>
        <v/>
      </c>
      <c r="BO158" s="127" t="str">
        <f aca="false">IF(ISBLANK($C158),"",IF($BL158&lt;&gt;Constants!$B$4,$BL158,$BN158))</f>
        <v/>
      </c>
      <c r="BP158" s="124" t="str">
        <f aca="false">IF(ISBLANK($C158),"",IF($BL158&lt;&gt;Constants!$B$4,$BL158,RANK($BO158,$BO$9:$BO$508,0)))</f>
        <v/>
      </c>
      <c r="BQ158" s="124" t="str">
        <f aca="false">IF(ISBLANK($C158),"",IF($BL158&lt;&gt;Constants!$B$4,$BL158,COUNTIFS($BM$9:$BM$508,"&lt;"&amp;$BM158)+COUNTIFS($BM$9:$BM$508,$BM158,$BP$9:$BP$508,"&lt;"&amp;$BP158)+1))</f>
        <v/>
      </c>
      <c r="BR158" s="127" t="str">
        <f aca="false">IF($BL158&lt;&gt;Constants!$B$4,"",IF($BB158="-&gt;",$BH158,$AX158))</f>
        <v/>
      </c>
      <c r="BS158" s="124" t="str">
        <f aca="false">IF(ISBLANK($C158),"",IF($BL158&lt;&gt;Constants!$B$4,$BL158,IF(ISNUMBER($BR158),RANK($BR158,$BR$9:$BR$508,0),COUNT($BR$9:$BR$508)+1)))</f>
        <v/>
      </c>
      <c r="BT158" s="127" t="str">
        <f aca="false">IF($BL158&lt;&gt;Constants!$B$4,"",IF($BB158="-&gt;",$BE158,$AU158))</f>
        <v/>
      </c>
      <c r="BU158" s="124" t="str">
        <f aca="false">IF(ISBLANK($C158),"",IF($BL158&lt;&gt;Constants!$B$4,$BL158,IF(ISNUMBER($BT158),RANK($BT158,$BT$9:$BT$508,0),COUNT($BT$9:$BT$508)+1)))</f>
        <v/>
      </c>
      <c r="BV158" s="127" t="str">
        <f aca="false">IF($BL158&lt;&gt;Constants!$B$4,"",IF($BB158="-&gt;",$BF158,$AV158))</f>
        <v/>
      </c>
      <c r="BW158" s="124" t="str">
        <f aca="false">IF(ISBLANK($C158),"",IF($BL158&lt;&gt;Constants!$B$4,$BL158,IF(ISNUMBER($BV158),RANK($BV158,$BV$9:$BV$508,0),COUNT($BV$9:$BV$508)+1)))</f>
        <v/>
      </c>
      <c r="BX158" s="127" t="str">
        <f aca="false">IF($BL158&lt;&gt;Constants!$B$4,"",IF($BB158="-&gt;",$BK158,$BA158))</f>
        <v/>
      </c>
      <c r="BY158" s="124" t="str">
        <f aca="false">IF(ISBLANK($C158),"",IF($BL158&lt;&gt;Constants!$B$4,$BL158,IF(ISNUMBER($BX158),RANK($BX158,$BX$9:$BX$508,0),COUNT($BX$9:$BX$508)+1)))</f>
        <v/>
      </c>
      <c r="BZ158" s="124" t="str">
        <f aca="false">IF(ISBLANK($C158),"",IF($BL158&lt;&gt;Constants!$B$4,$BL158,COUNTIFS($BM$9:$BM$508,"&lt;"&amp;$BM158)+COUNTIFS($BM$9:$BM$508,$BM158,$BP$9:$BP$508,"&lt;"&amp;$BP158)+COUNTIFS($BM$9:$BM$508,$BM158,$BP$9:$BP$508,$BP158,$BS$9:$BS$508,"&lt;"&amp;$BS158)+COUNTIFS($BM$9:$BM$508,$BM158,$BP$9:$BP$508,$BP158,$BS$9:$BS$508,$BS158,$BU$9:$BU$508,"&lt;"&amp;$BU158)+COUNTIFS($BM$9:$BM$508,$BM158,$BP$9:$BP$508,$BP158,$BS$9:$BS$508,$BS158,$BU$9:$BU$508,$BU158,$BW$9:$BW$508,"&lt;"&amp;$BW158)+COUNTIFS($BM$9:$BM$508,$BM158,$BP$9:$BP$508,$BP158,$BS$9:$BS$508,$BS158,$BU$9:$BU$508,$BU158,$BW$9:$BW$508,$BW158,$BY$9:$BY$508,"&lt;"&amp;$BY158)+1))</f>
        <v/>
      </c>
      <c r="CA158" s="124" t="str">
        <f aca="false">IF(ISBLANK($C158),"",IF($BL158&lt;&gt;Constants!$B$4,$BL158,$BQ158-$BZ158))</f>
        <v/>
      </c>
      <c r="CB158" s="130"/>
      <c r="CC158" s="131" t="str">
        <f aca="false">IF(ISBLANK($C158),"",IF($BL158=Constants!$B$8,$AR158,""))</f>
        <v/>
      </c>
      <c r="CD158" s="131" t="str">
        <f aca="false">IF(ISBLANK($C158),"",IF($BL158&lt;&gt;Constants!$B$4,"",IF($BB158="-&gt;",2,1)))</f>
        <v/>
      </c>
      <c r="CE158" s="132" t="str">
        <f aca="false">IF(ISBLANK($C158),"",IF($BL158&lt;&gt;Constants!$B$4,"",IF($BB158="-&gt;",$BE158,$AU158)))</f>
        <v/>
      </c>
      <c r="CF158" s="132" t="str">
        <f aca="false">IF(ISBLANK($C158),"",IF($BL158&lt;&gt;Constants!$B$4,"",IF($BB158="-&gt;",$BF158,$AV158)))</f>
        <v/>
      </c>
      <c r="CG158" s="132" t="str">
        <f aca="false">IF(ISBLANK($C158),"",IF($BL158&lt;&gt;Constants!$B$4,"",IF($BB158="-&gt;",$BG158,$AW158)))</f>
        <v/>
      </c>
      <c r="CH158" s="132" t="str">
        <f aca="false">IF(ISBLANK($C158),"",IF($BL158&lt;&gt;Constants!$B$4,"",IF($BB158="-&gt;",$BH158,$AX158)))</f>
        <v/>
      </c>
      <c r="CI158" s="133" t="str">
        <f aca="false">IF(ISBLANK($C158),"",$BO158)</f>
        <v/>
      </c>
      <c r="CJ158" s="134" t="str">
        <f aca="false">IF(ISBLANK($C158),"",$BM158)</f>
        <v/>
      </c>
      <c r="CK158" s="135" t="str">
        <f aca="false">IF(ISBLANK($C158),"",$CA158)</f>
        <v/>
      </c>
      <c r="CL158" s="135" t="str">
        <f aca="false">IF(ISBLANK($C158),"",$BZ158)</f>
        <v/>
      </c>
      <c r="CM158" s="136" t="str">
        <f aca="false">IF(ISBLANK($C158),"",IF($CL158=Constants!$B$7,COUNTA($C$9:$C$508)+2,IF($CL158=Constants!$B$6,COUNTA($C$9:$C$508)+1,IF($CL158=Constants!$B$5,COUNTA($C$9:$C$508),$CL158))))</f>
        <v/>
      </c>
      <c r="CN158" s="8"/>
      <c r="CO158" s="137" t="n">
        <f aca="false">IF(OR(ISNUMBER($CL158),$CL158=Constants!$B$7,$CL158=Constants!$B$5,$CL158=Constants!$B$6),1,0)</f>
        <v>0</v>
      </c>
      <c r="CP158" s="137" t="n">
        <v>150</v>
      </c>
      <c r="CQ158" s="137" t="str">
        <f aca="false">IF(ISBLANK($C158),"",IF(ISNUMBER($CM158),$CM158+ROW($B158)/1000,""))</f>
        <v/>
      </c>
      <c r="CR158" s="137" t="str">
        <f aca="false">IF(ISNUMBER($CQ158),RANK($CQ158,$CQ$9:$CQ$508,1),"")</f>
        <v/>
      </c>
      <c r="CS158" s="137" t="str">
        <f aca="false">IF(ISBLANK($C158),"",$B158)</f>
        <v/>
      </c>
      <c r="CT158" s="137" t="str">
        <f aca="false">IF(ISBLANK($C158),"",$C158)</f>
        <v/>
      </c>
      <c r="CU158" s="137" t="str">
        <f aca="false">IF(ISBLANK($C158),"",$D158)</f>
        <v/>
      </c>
      <c r="CV158" s="138" t="str">
        <f aca="false">$CJ158</f>
        <v/>
      </c>
      <c r="CW158" s="139" t="str">
        <f aca="false">$CI158</f>
        <v/>
      </c>
      <c r="CX158" s="137" t="str">
        <f aca="false">IF(ISBLANK($C158),"",$CL158)</f>
        <v/>
      </c>
      <c r="CY158" s="140" t="str">
        <f aca="false">IF($CP158&gt;$CO$8,"",VLOOKUP($CP158,$CR$9:$CX$508,7,FALSE()))</f>
        <v/>
      </c>
      <c r="CZ158" s="141" t="str">
        <f aca="false">IF($CP158&gt;$CO$8,"",VLOOKUP($CP158,$CR$9:$CX$508,2,FALSE()))</f>
        <v/>
      </c>
      <c r="DA158" s="141" t="str">
        <f aca="false">IF($CP158&gt;$CO$8,"",VLOOKUP($CP158,$CR$9:$CX$508,3,FALSE()))</f>
        <v/>
      </c>
      <c r="DB158" s="141" t="str">
        <f aca="false">IF($CP158&gt;$CO$8,"",VLOOKUP($CP158,$CR$9:$CX$508,4,FALSE()))</f>
        <v/>
      </c>
      <c r="DC158" s="141" t="str">
        <f aca="false">IF($CP158&gt;$CO$8,"",VLOOKUP($CP158,$CR$9:$CX$508,5,FALSE()))</f>
        <v/>
      </c>
      <c r="DD158" s="142" t="str">
        <f aca="false">IF($CP158&gt;$CO$8,"",VLOOKUP($CP158,$CR$9:$CX$508,6,FALSE()))</f>
        <v/>
      </c>
      <c r="DE158" s="70"/>
    </row>
    <row r="159" customFormat="false" ht="15.75" hidden="false" customHeight="false" outlineLevel="0" collapsed="false">
      <c r="A159" s="8"/>
      <c r="B159" s="72"/>
      <c r="C159" s="73"/>
      <c r="D159" s="155"/>
      <c r="E159" s="162"/>
      <c r="F159" s="157"/>
      <c r="G159" s="77"/>
      <c r="H159" s="77"/>
      <c r="I159" s="77"/>
      <c r="J159" s="163"/>
      <c r="K159" s="161"/>
      <c r="L159" s="161"/>
      <c r="M159" s="80"/>
      <c r="N159" s="161"/>
      <c r="O159" s="160"/>
      <c r="P159" s="161"/>
      <c r="Q159" s="161"/>
      <c r="R159" s="161"/>
      <c r="S159" s="77"/>
      <c r="T159" s="161"/>
      <c r="U159" s="160"/>
      <c r="V159" s="161"/>
      <c r="W159" s="85"/>
      <c r="X159" s="86" t="str">
        <f aca="false">IF(ISBLANK($C159),"",IF($E159=Constants!$B$2,TRUE(),IF($E159=Constants!$B$3,FALSE(),TRUE())))</f>
        <v/>
      </c>
      <c r="Y159" s="86" t="str">
        <f aca="false">IF(ISBLANK($C159),"",IF($F159=Constants!$B$2,TRUE(),IF($F159=Constants!$B$3,FALSE(),TRUE())))</f>
        <v/>
      </c>
      <c r="Z159" s="87" t="str">
        <f aca="false">IF(ISBLANK($C159),"",IF(ISNUMBER($G159),IF($G159&gt;=0,$G159,""),""))</f>
        <v/>
      </c>
      <c r="AA159" s="87" t="str">
        <f aca="false">IF(ISBLANK($C159),"",IF(ISNUMBER($H159),IF($H159&gt;=0,$H159,""),""))</f>
        <v/>
      </c>
      <c r="AB159" s="87" t="str">
        <f aca="false">IF(ISBLANK($C159),"",IF(ISNUMBER($I159),IF($I159&gt;=0,$I159,""),""))</f>
        <v/>
      </c>
      <c r="AC159" s="86" t="str">
        <f aca="false">IF(ISBLANK($C159),"",IF($J159=Constants!$B$2,TRUE(),IF($J159=Constants!$B$3,FALSE(),TRUE())))</f>
        <v/>
      </c>
      <c r="AD159" s="86" t="str">
        <f aca="false">IF(ISBLANK($C159),"",IF($K159=Constants!$B$2,TRUE(),IF($K159=Constants!$B$3,FALSE(),TRUE())))</f>
        <v/>
      </c>
      <c r="AE159" s="86" t="str">
        <f aca="false">IF(ISBLANK($C159),"",IF($L159=Constants!$B$2,TRUE(),IF($L159=Constants!$B$3,FALSE(),TRUE())))</f>
        <v/>
      </c>
      <c r="AF159" s="88" t="str">
        <f aca="false">IF(ISBLANK($C159),"",IF(ISNUMBER($M159),IF($M159&gt;=0,$M159,""),""))</f>
        <v/>
      </c>
      <c r="AG159" s="86" t="str">
        <f aca="false">IF(ISBLANK($C159),"",IF(ISBLANK($N159),0,IF(ISNUMBER($N159),IF(AND($N159&gt;=0,$N159&lt;=Constants!$B$17,$N159=INT($N159)),$N159,""),"")))</f>
        <v/>
      </c>
      <c r="AH159" s="87" t="str">
        <f aca="false">IF(ISBLANK($C159),"",IF(ISBLANK($O159),0,IF(ISNUMBER($O159),IF($O159&gt;=0,$O159,""),"")))</f>
        <v/>
      </c>
      <c r="AI159" s="86" t="str">
        <f aca="false">IF(ISBLANK($C159),"",IF($P159=Constants!$B$2,TRUE(),IF($P159=Constants!$B$3,FALSE(),TRUE())))</f>
        <v/>
      </c>
      <c r="AJ159" s="86" t="str">
        <f aca="false">IF(ISBLANK($C159),"",IF($Q159=Constants!$B$2,TRUE(),IF($Q159=Constants!$B$3,FALSE(),TRUE())))</f>
        <v/>
      </c>
      <c r="AK159" s="86" t="str">
        <f aca="false">IF(ISBLANK($C159),"",IF($R159=Constants!$B$2,TRUE(),IF($R159=Constants!$B$3,FALSE(),TRUE())))</f>
        <v/>
      </c>
      <c r="AL159" s="88" t="str">
        <f aca="false">IF(ISBLANK($C159),"",IF(ISNUMBER($S159),IF($S159&gt;=0,$S159,""),""))</f>
        <v/>
      </c>
      <c r="AM159" s="86" t="str">
        <f aca="false">IF(ISBLANK($C159),"",IF(ISBLANK($T159),0,IF(ISNUMBER($T159),IF(AND($T159&gt;=0,$T159&lt;=Constants!$B$17,$T159=INT($T159)),$T159,""),"")))</f>
        <v/>
      </c>
      <c r="AN159" s="87" t="str">
        <f aca="false">IF(ISBLANK($C159),"",IF(ISBLANK($U159),0,IF(ISNUMBER($U159),IF($U159&gt;=0,$U159,""),"")))</f>
        <v/>
      </c>
      <c r="AO159" s="86" t="str">
        <f aca="false">IF(ISBLANK($C159),"",IF($V159=Constants!$B$2,TRUE(),IF($V159=Constants!$B$3,FALSE(),FALSE())))</f>
        <v/>
      </c>
      <c r="AP159" s="86"/>
      <c r="AQ159" s="85" t="str">
        <f aca="false">IF(ISBLANK($C159),"",AND($Y159,OR($AS159,$BC159),OR($Z159="",$AA159="",$AB159="")))</f>
        <v/>
      </c>
      <c r="AR159" s="85" t="str">
        <f aca="false">IF(ISBLANK($C159),"",IF(OR(NOT($Y159),NOT(OR($AS159,$BC159))),"",IF(ISBLANK($D$7),$AR$5,IF($AP$9="",$AR$6,""))))</f>
        <v/>
      </c>
      <c r="AS159" s="85" t="str">
        <f aca="false">IF(ISBLANK($C159),"",COUNTA($J159:$O159)&gt;0)</f>
        <v/>
      </c>
      <c r="AT159" s="85" t="str">
        <f aca="false">IF(ISBLANK($C159),"",AND($AS159,OR(AND($AF159="",OR($AE159,NOT(ISBLANK($M159)))),$AG159="",$AH159="")))</f>
        <v/>
      </c>
      <c r="AU159" s="87" t="str">
        <f aca="false">IF($BL159&lt;&gt;Constants!$B$4,"",IF(NOT($AS159),"",ROUND((Constants!$B$12-$AB159)+(Constants!$B$13-$Z159)+(Constants!$B$14-$AA159),1)))</f>
        <v/>
      </c>
      <c r="AV159" s="90" t="str">
        <f aca="false">IF($BL159&lt;&gt;Constants!$B$4,"",IF(NOT($AS159),"",IF(NOT($AE159),0,Constants!$B$15*(INT(ROUND(MIN($AF159,$AP$9),6))-INT(ROUND(MAX(0,MIN($AF159,2*$AP$9)-$AP$9),6))))))</f>
        <v/>
      </c>
      <c r="AW159" s="90" t="str">
        <f aca="false">IF($BL159&lt;&gt;Constants!$B$4,"",IF(NOT($AS159),"",Constants!$B$16*$AG159))</f>
        <v/>
      </c>
      <c r="AX159" s="90" t="str">
        <f aca="false">IF($BL159&lt;&gt;Constants!$B$4,"",IF(NOT($AS159),"",Constants!$B$18*INT(ROUND($AH159,6))))</f>
        <v/>
      </c>
      <c r="AY159" s="85" t="str">
        <f aca="false">IF($BL159&lt;&gt;Constants!$B$4,"",IF(NOT($AS159),"",IF(NOT($X159),Constants!$B$11,IF(OR(NOT($AC159),NOT($AD159),ROUND($AB159,1)&gt;Constants!$B$12,ROUND($Z159,1)&gt;Constants!$B$13,ROUND($AA159,1)&gt;Constants!$B$14),Constants!$B$10,Constants!$B$9))))</f>
        <v/>
      </c>
      <c r="AZ159" s="91" t="str">
        <f aca="false">IF($BL159&lt;&gt;Constants!$B$4,"",IF(NOT($AS159),"",ROUND($AU159+$AV159+$AW159+$AX159,1)))</f>
        <v/>
      </c>
      <c r="BA159" s="92" t="str">
        <f aca="false">IF($BL159&lt;&gt;Constants!$B$4,"",IF(NOT($AS159),"",IF(ISNUMBER($AF159),$AF159,0)))</f>
        <v/>
      </c>
      <c r="BB159" s="86" t="str">
        <f aca="false">IF($BL159&lt;&gt;Constants!$B$4,"",IF(NOT($BC159),"&lt;-",IF(NOT($AS159),"-&gt;",IF(OR($BI159&lt;$AY159,AND($BI159=$AY159,OR($BJ159&gt;$AZ159,AND($BJ159=$AZ159,OR($BH159&gt;$AX159,AND($BH159=$AX159,OR($BE159&gt;$AU159,AND($BE159=$AU159,OR($BF159&gt;$AV159,AND($BF159=$AV159,$BK159&gt;$BA159)))))))))),"-&gt;","&lt;-"))))</f>
        <v/>
      </c>
      <c r="BC159" s="85" t="str">
        <f aca="false">IF(ISBLANK($C159),"",COUNTA($P159:$U159)&gt;0)</f>
        <v/>
      </c>
      <c r="BD159" s="85" t="str">
        <f aca="false">IF(ISBLANK($C159),"",AND($BC159,OR(AND($AL159="",OR($AK159,NOT(ISBLANK($S159)))),$AM159="",$AN159="")))</f>
        <v/>
      </c>
      <c r="BE159" s="87" t="str">
        <f aca="false">IF($BL159&lt;&gt;Constants!$B$4,"",IF(NOT($BC159),"",ROUND((Constants!$B$12-$AB159)+(Constants!$B$13-$Z159)+(Constants!$B$14-$AA159),1)))</f>
        <v/>
      </c>
      <c r="BF159" s="90" t="str">
        <f aca="false">IF($BL159&lt;&gt;Constants!$B$4,"",IF(NOT($BC159),"",IF(NOT($AK159),0,Constants!$B$15*(INT(ROUND(MIN($AL159,$AP$9),6))-INT(ROUND(MAX(0,MIN($AL159,2*$AP$9)-$AP$9),6))))))</f>
        <v/>
      </c>
      <c r="BG159" s="90" t="str">
        <f aca="false">IF($BL159&lt;&gt;Constants!$B$4,"",IF(NOT($BC159),"",Constants!$B$16*$AM159))</f>
        <v/>
      </c>
      <c r="BH159" s="90" t="str">
        <f aca="false">IF($BL159&lt;&gt;Constants!$B$4,"",IF(NOT($BC159),"",Constants!$B$18*INT(ROUND($AN159,6))))</f>
        <v/>
      </c>
      <c r="BI159" s="85" t="str">
        <f aca="false">IF($BL159&lt;&gt;Constants!$B$4,"",IF(NOT($BC159),"",IF(NOT($X159),Constants!$B$11,IF(OR(NOT($AI159),NOT($AJ159),ROUND($AB159,1)&gt;Constants!$B$12,ROUND($Z159,1)&gt;Constants!$B$13,ROUND($AA159,1)&gt;Constants!$B$14),Constants!$B$10,Constants!$B$9))))</f>
        <v/>
      </c>
      <c r="BJ159" s="91" t="str">
        <f aca="false">IF($BL159&lt;&gt;Constants!$B$4,"",IF(NOT($BC159),"",ROUND($BE159+$BF159+$BG159+$BH159,1)))</f>
        <v/>
      </c>
      <c r="BK159" s="92" t="str">
        <f aca="false">IF($BL159&lt;&gt;Constants!$B$4,"",IF(NOT($BC159),"",IF(ISNUMBER($AL159),$AL159,0)))</f>
        <v/>
      </c>
      <c r="BL159" s="86" t="str">
        <f aca="false">IF(ISBLANK($C159),"",IF($AO159,Constants!$B$7,IF(COUNTA($E159:$V159)=0,Constants!$B$6,IF(NOT($Y159),Constants!$B$5,IF(NOT(OR($AS159,$BC159)),Constants!$B$5,IF(OR($AT159,$BD159,$AQ159,$AR159&lt;&gt;""),Constants!$B$8,Constants!$B$4))))))</f>
        <v/>
      </c>
      <c r="BM159" s="86" t="str">
        <f aca="false">IF(ISBLANK($C159),"",IF($BL159&lt;&gt;Constants!$B$4,$BL159,IF($BB159="-&gt;",$BI159,$AY159)))</f>
        <v/>
      </c>
      <c r="BN159" s="90" t="str">
        <f aca="false">IF($BL159&lt;&gt;Constants!$B$4,"",IF($BB159="-&gt;",$BJ159,$AZ159))</f>
        <v/>
      </c>
      <c r="BO159" s="90" t="str">
        <f aca="false">IF(ISBLANK($C159),"",IF($BL159&lt;&gt;Constants!$B$4,$BL159,$BN159))</f>
        <v/>
      </c>
      <c r="BP159" s="86" t="str">
        <f aca="false">IF(ISBLANK($C159),"",IF($BL159&lt;&gt;Constants!$B$4,$BL159,RANK($BO159,$BO$9:$BO$508,0)))</f>
        <v/>
      </c>
      <c r="BQ159" s="86" t="str">
        <f aca="false">IF(ISBLANK($C159),"",IF($BL159&lt;&gt;Constants!$B$4,$BL159,COUNTIFS($BM$9:$BM$508,"&lt;"&amp;$BM159)+COUNTIFS($BM$9:$BM$508,$BM159,$BP$9:$BP$508,"&lt;"&amp;$BP159)+1))</f>
        <v/>
      </c>
      <c r="BR159" s="90" t="str">
        <f aca="false">IF($BL159&lt;&gt;Constants!$B$4,"",IF($BB159="-&gt;",$BH159,$AX159))</f>
        <v/>
      </c>
      <c r="BS159" s="86" t="str">
        <f aca="false">IF(ISBLANK($C159),"",IF($BL159&lt;&gt;Constants!$B$4,$BL159,IF(ISNUMBER($BR159),RANK($BR159,$BR$9:$BR$508,0),COUNT($BR$9:$BR$508)+1)))</f>
        <v/>
      </c>
      <c r="BT159" s="90" t="str">
        <f aca="false">IF($BL159&lt;&gt;Constants!$B$4,"",IF($BB159="-&gt;",$BE159,$AU159))</f>
        <v/>
      </c>
      <c r="BU159" s="86" t="str">
        <f aca="false">IF(ISBLANK($C159),"",IF($BL159&lt;&gt;Constants!$B$4,$BL159,IF(ISNUMBER($BT159),RANK($BT159,$BT$9:$BT$508,0),COUNT($BT$9:$BT$508)+1)))</f>
        <v/>
      </c>
      <c r="BV159" s="90" t="str">
        <f aca="false">IF($BL159&lt;&gt;Constants!$B$4,"",IF($BB159="-&gt;",$BF159,$AV159))</f>
        <v/>
      </c>
      <c r="BW159" s="86" t="str">
        <f aca="false">IF(ISBLANK($C159),"",IF($BL159&lt;&gt;Constants!$B$4,$BL159,IF(ISNUMBER($BV159),RANK($BV159,$BV$9:$BV$508,0),COUNT($BV$9:$BV$508)+1)))</f>
        <v/>
      </c>
      <c r="BX159" s="90" t="str">
        <f aca="false">IF($BL159&lt;&gt;Constants!$B$4,"",IF($BB159="-&gt;",$BK159,$BA159))</f>
        <v/>
      </c>
      <c r="BY159" s="86" t="str">
        <f aca="false">IF(ISBLANK($C159),"",IF($BL159&lt;&gt;Constants!$B$4,$BL159,IF(ISNUMBER($BX159),RANK($BX159,$BX$9:$BX$508,0),COUNT($BX$9:$BX$508)+1)))</f>
        <v/>
      </c>
      <c r="BZ159" s="86" t="str">
        <f aca="false">IF(ISBLANK($C159),"",IF($BL159&lt;&gt;Constants!$B$4,$BL159,COUNTIFS($BM$9:$BM$508,"&lt;"&amp;$BM159)+COUNTIFS($BM$9:$BM$508,$BM159,$BP$9:$BP$508,"&lt;"&amp;$BP159)+COUNTIFS($BM$9:$BM$508,$BM159,$BP$9:$BP$508,$BP159,$BS$9:$BS$508,"&lt;"&amp;$BS159)+COUNTIFS($BM$9:$BM$508,$BM159,$BP$9:$BP$508,$BP159,$BS$9:$BS$508,$BS159,$BU$9:$BU$508,"&lt;"&amp;$BU159)+COUNTIFS($BM$9:$BM$508,$BM159,$BP$9:$BP$508,$BP159,$BS$9:$BS$508,$BS159,$BU$9:$BU$508,$BU159,$BW$9:$BW$508,"&lt;"&amp;$BW159)+COUNTIFS($BM$9:$BM$508,$BM159,$BP$9:$BP$508,$BP159,$BS$9:$BS$508,$BS159,$BU$9:$BU$508,$BU159,$BW$9:$BW$508,$BW159,$BY$9:$BY$508,"&lt;"&amp;$BY159)+1))</f>
        <v/>
      </c>
      <c r="CA159" s="86" t="str">
        <f aca="false">IF(ISBLANK($C159),"",IF($BL159&lt;&gt;Constants!$B$4,$BL159,$BQ159-$BZ159))</f>
        <v/>
      </c>
      <c r="CB159" s="93"/>
      <c r="CC159" s="94" t="str">
        <f aca="false">IF(ISBLANK($C159),"",IF($BL159=Constants!$B$8,$AR159,""))</f>
        <v/>
      </c>
      <c r="CD159" s="94" t="str">
        <f aca="false">IF(ISBLANK($C159),"",IF($BL159&lt;&gt;Constants!$B$4,"",IF($BB159="-&gt;",2,1)))</f>
        <v/>
      </c>
      <c r="CE159" s="95" t="str">
        <f aca="false">IF(ISBLANK($C159),"",IF($BL159&lt;&gt;Constants!$B$4,"",IF($BB159="-&gt;",$BE159,$AU159)))</f>
        <v/>
      </c>
      <c r="CF159" s="95" t="str">
        <f aca="false">IF(ISBLANK($C159),"",IF($BL159&lt;&gt;Constants!$B$4,"",IF($BB159="-&gt;",$BF159,$AV159)))</f>
        <v/>
      </c>
      <c r="CG159" s="95" t="str">
        <f aca="false">IF(ISBLANK($C159),"",IF($BL159&lt;&gt;Constants!$B$4,"",IF($BB159="-&gt;",$BG159,$AW159)))</f>
        <v/>
      </c>
      <c r="CH159" s="95" t="str">
        <f aca="false">IF(ISBLANK($C159),"",IF($BL159&lt;&gt;Constants!$B$4,"",IF($BB159="-&gt;",$BH159,$AX159)))</f>
        <v/>
      </c>
      <c r="CI159" s="96" t="str">
        <f aca="false">IF(ISBLANK($C159),"",$BO159)</f>
        <v/>
      </c>
      <c r="CJ159" s="97" t="str">
        <f aca="false">IF(ISBLANK($C159),"",$BM159)</f>
        <v/>
      </c>
      <c r="CK159" s="98" t="str">
        <f aca="false">IF(ISBLANK($C159),"",$CA159)</f>
        <v/>
      </c>
      <c r="CL159" s="98" t="str">
        <f aca="false">IF(ISBLANK($C159),"",$BZ159)</f>
        <v/>
      </c>
      <c r="CM159" s="99" t="str">
        <f aca="false">IF(ISBLANK($C159),"",IF($CL159=Constants!$B$7,COUNTA($C$9:$C$508)+2,IF($CL159=Constants!$B$6,COUNTA($C$9:$C$508)+1,IF($CL159=Constants!$B$5,COUNTA($C$9:$C$508),$CL159))))</f>
        <v/>
      </c>
      <c r="CN159" s="8"/>
      <c r="CO159" s="100" t="n">
        <f aca="false">IF(OR(ISNUMBER($CL159),$CL159=Constants!$B$7,$CL159=Constants!$B$5,$CL159=Constants!$B$6),1,0)</f>
        <v>0</v>
      </c>
      <c r="CP159" s="100" t="n">
        <v>151</v>
      </c>
      <c r="CQ159" s="100" t="str">
        <f aca="false">IF(ISBLANK($C159),"",IF(ISNUMBER($CM159),$CM159+ROW($B159)/1000,""))</f>
        <v/>
      </c>
      <c r="CR159" s="100" t="str">
        <f aca="false">IF(ISNUMBER($CQ159),RANK($CQ159,$CQ$9:$CQ$508,1),"")</f>
        <v/>
      </c>
      <c r="CS159" s="100" t="str">
        <f aca="false">IF(ISBLANK($C159),"",$B159)</f>
        <v/>
      </c>
      <c r="CT159" s="100" t="str">
        <f aca="false">IF(ISBLANK($C159),"",$C159)</f>
        <v/>
      </c>
      <c r="CU159" s="100" t="str">
        <f aca="false">IF(ISBLANK($C159),"",$D159)</f>
        <v/>
      </c>
      <c r="CV159" s="101" t="str">
        <f aca="false">$CJ159</f>
        <v/>
      </c>
      <c r="CW159" s="102" t="str">
        <f aca="false">$CI159</f>
        <v/>
      </c>
      <c r="CX159" s="100" t="str">
        <f aca="false">IF(ISBLANK($C159),"",$CL159)</f>
        <v/>
      </c>
      <c r="CY159" s="103" t="str">
        <f aca="false">IF($CP159&gt;$CO$8,"",VLOOKUP($CP159,$CR$9:$CX$508,7,FALSE()))</f>
        <v/>
      </c>
      <c r="CZ159" s="104" t="str">
        <f aca="false">IF($CP159&gt;$CO$8,"",VLOOKUP($CP159,$CR$9:$CX$508,2,FALSE()))</f>
        <v/>
      </c>
      <c r="DA159" s="104" t="str">
        <f aca="false">IF($CP159&gt;$CO$8,"",VLOOKUP($CP159,$CR$9:$CX$508,3,FALSE()))</f>
        <v/>
      </c>
      <c r="DB159" s="104" t="str">
        <f aca="false">IF($CP159&gt;$CO$8,"",VLOOKUP($CP159,$CR$9:$CX$508,4,FALSE()))</f>
        <v/>
      </c>
      <c r="DC159" s="104" t="str">
        <f aca="false">IF($CP159&gt;$CO$8,"",VLOOKUP($CP159,$CR$9:$CX$508,5,FALSE()))</f>
        <v/>
      </c>
      <c r="DD159" s="105" t="str">
        <f aca="false">IF($CP159&gt;$CO$8,"",VLOOKUP($CP159,$CR$9:$CX$508,6,FALSE()))</f>
        <v/>
      </c>
      <c r="DE159" s="70"/>
    </row>
    <row r="160" customFormat="false" ht="15.75" hidden="false" customHeight="false" outlineLevel="0" collapsed="false">
      <c r="A160" s="8"/>
      <c r="B160" s="72"/>
      <c r="C160" s="73"/>
      <c r="D160" s="155"/>
      <c r="E160" s="162"/>
      <c r="F160" s="157"/>
      <c r="G160" s="77"/>
      <c r="H160" s="77"/>
      <c r="I160" s="77"/>
      <c r="J160" s="163"/>
      <c r="K160" s="161"/>
      <c r="L160" s="161"/>
      <c r="M160" s="80"/>
      <c r="N160" s="161"/>
      <c r="O160" s="160"/>
      <c r="P160" s="161"/>
      <c r="Q160" s="161"/>
      <c r="R160" s="161"/>
      <c r="S160" s="77"/>
      <c r="T160" s="161"/>
      <c r="U160" s="160"/>
      <c r="V160" s="161"/>
      <c r="W160" s="85"/>
      <c r="X160" s="86" t="str">
        <f aca="false">IF(ISBLANK($C160),"",IF($E160=Constants!$B$2,TRUE(),IF($E160=Constants!$B$3,FALSE(),TRUE())))</f>
        <v/>
      </c>
      <c r="Y160" s="86" t="str">
        <f aca="false">IF(ISBLANK($C160),"",IF($F160=Constants!$B$2,TRUE(),IF($F160=Constants!$B$3,FALSE(),TRUE())))</f>
        <v/>
      </c>
      <c r="Z160" s="87" t="str">
        <f aca="false">IF(ISBLANK($C160),"",IF(ISNUMBER($G160),IF($G160&gt;=0,$G160,""),""))</f>
        <v/>
      </c>
      <c r="AA160" s="87" t="str">
        <f aca="false">IF(ISBLANK($C160),"",IF(ISNUMBER($H160),IF($H160&gt;=0,$H160,""),""))</f>
        <v/>
      </c>
      <c r="AB160" s="87" t="str">
        <f aca="false">IF(ISBLANK($C160),"",IF(ISNUMBER($I160),IF($I160&gt;=0,$I160,""),""))</f>
        <v/>
      </c>
      <c r="AC160" s="86" t="str">
        <f aca="false">IF(ISBLANK($C160),"",IF($J160=Constants!$B$2,TRUE(),IF($J160=Constants!$B$3,FALSE(),TRUE())))</f>
        <v/>
      </c>
      <c r="AD160" s="86" t="str">
        <f aca="false">IF(ISBLANK($C160),"",IF($K160=Constants!$B$2,TRUE(),IF($K160=Constants!$B$3,FALSE(),TRUE())))</f>
        <v/>
      </c>
      <c r="AE160" s="86" t="str">
        <f aca="false">IF(ISBLANK($C160),"",IF($L160=Constants!$B$2,TRUE(),IF($L160=Constants!$B$3,FALSE(),TRUE())))</f>
        <v/>
      </c>
      <c r="AF160" s="88" t="str">
        <f aca="false">IF(ISBLANK($C160),"",IF(ISNUMBER($M160),IF($M160&gt;=0,$M160,""),""))</f>
        <v/>
      </c>
      <c r="AG160" s="86" t="str">
        <f aca="false">IF(ISBLANK($C160),"",IF(ISBLANK($N160),0,IF(ISNUMBER($N160),IF(AND($N160&gt;=0,$N160&lt;=Constants!$B$17,$N160=INT($N160)),$N160,""),"")))</f>
        <v/>
      </c>
      <c r="AH160" s="87" t="str">
        <f aca="false">IF(ISBLANK($C160),"",IF(ISBLANK($O160),0,IF(ISNUMBER($O160),IF($O160&gt;=0,$O160,""),"")))</f>
        <v/>
      </c>
      <c r="AI160" s="86" t="str">
        <f aca="false">IF(ISBLANK($C160),"",IF($P160=Constants!$B$2,TRUE(),IF($P160=Constants!$B$3,FALSE(),TRUE())))</f>
        <v/>
      </c>
      <c r="AJ160" s="86" t="str">
        <f aca="false">IF(ISBLANK($C160),"",IF($Q160=Constants!$B$2,TRUE(),IF($Q160=Constants!$B$3,FALSE(),TRUE())))</f>
        <v/>
      </c>
      <c r="AK160" s="86" t="str">
        <f aca="false">IF(ISBLANK($C160),"",IF($R160=Constants!$B$2,TRUE(),IF($R160=Constants!$B$3,FALSE(),TRUE())))</f>
        <v/>
      </c>
      <c r="AL160" s="88" t="str">
        <f aca="false">IF(ISBLANK($C160),"",IF(ISNUMBER($S160),IF($S160&gt;=0,$S160,""),""))</f>
        <v/>
      </c>
      <c r="AM160" s="86" t="str">
        <f aca="false">IF(ISBLANK($C160),"",IF(ISBLANK($T160),0,IF(ISNUMBER($T160),IF(AND($T160&gt;=0,$T160&lt;=Constants!$B$17,$T160=INT($T160)),$T160,""),"")))</f>
        <v/>
      </c>
      <c r="AN160" s="87" t="str">
        <f aca="false">IF(ISBLANK($C160),"",IF(ISBLANK($U160),0,IF(ISNUMBER($U160),IF($U160&gt;=0,$U160,""),"")))</f>
        <v/>
      </c>
      <c r="AO160" s="86" t="str">
        <f aca="false">IF(ISBLANK($C160),"",IF($V160=Constants!$B$2,TRUE(),IF($V160=Constants!$B$3,FALSE(),FALSE())))</f>
        <v/>
      </c>
      <c r="AP160" s="86"/>
      <c r="AQ160" s="85" t="str">
        <f aca="false">IF(ISBLANK($C160),"",AND($Y160,OR($AS160,$BC160),OR($Z160="",$AA160="",$AB160="")))</f>
        <v/>
      </c>
      <c r="AR160" s="85" t="str">
        <f aca="false">IF(ISBLANK($C160),"",IF(OR(NOT($Y160),NOT(OR($AS160,$BC160))),"",IF(ISBLANK($D$7),$AR$5,IF($AP$9="",$AR$6,""))))</f>
        <v/>
      </c>
      <c r="AS160" s="85" t="str">
        <f aca="false">IF(ISBLANK($C160),"",COUNTA($J160:$O160)&gt;0)</f>
        <v/>
      </c>
      <c r="AT160" s="85" t="str">
        <f aca="false">IF(ISBLANK($C160),"",AND($AS160,OR(AND($AF160="",OR($AE160,NOT(ISBLANK($M160)))),$AG160="",$AH160="")))</f>
        <v/>
      </c>
      <c r="AU160" s="87" t="str">
        <f aca="false">IF($BL160&lt;&gt;Constants!$B$4,"",IF(NOT($AS160),"",ROUND((Constants!$B$12-$AB160)+(Constants!$B$13-$Z160)+(Constants!$B$14-$AA160),1)))</f>
        <v/>
      </c>
      <c r="AV160" s="90" t="str">
        <f aca="false">IF($BL160&lt;&gt;Constants!$B$4,"",IF(NOT($AS160),"",IF(NOT($AE160),0,Constants!$B$15*(INT(ROUND(MIN($AF160,$AP$9),6))-INT(ROUND(MAX(0,MIN($AF160,2*$AP$9)-$AP$9),6))))))</f>
        <v/>
      </c>
      <c r="AW160" s="90" t="str">
        <f aca="false">IF($BL160&lt;&gt;Constants!$B$4,"",IF(NOT($AS160),"",Constants!$B$16*$AG160))</f>
        <v/>
      </c>
      <c r="AX160" s="90" t="str">
        <f aca="false">IF($BL160&lt;&gt;Constants!$B$4,"",IF(NOT($AS160),"",Constants!$B$18*INT(ROUND($AH160,6))))</f>
        <v/>
      </c>
      <c r="AY160" s="85" t="str">
        <f aca="false">IF($BL160&lt;&gt;Constants!$B$4,"",IF(NOT($AS160),"",IF(NOT($X160),Constants!$B$11,IF(OR(NOT($AC160),NOT($AD160),ROUND($AB160,1)&gt;Constants!$B$12,ROUND($Z160,1)&gt;Constants!$B$13,ROUND($AA160,1)&gt;Constants!$B$14),Constants!$B$10,Constants!$B$9))))</f>
        <v/>
      </c>
      <c r="AZ160" s="91" t="str">
        <f aca="false">IF($BL160&lt;&gt;Constants!$B$4,"",IF(NOT($AS160),"",ROUND($AU160+$AV160+$AW160+$AX160,1)))</f>
        <v/>
      </c>
      <c r="BA160" s="92" t="str">
        <f aca="false">IF($BL160&lt;&gt;Constants!$B$4,"",IF(NOT($AS160),"",IF(ISNUMBER($AF160),$AF160,0)))</f>
        <v/>
      </c>
      <c r="BB160" s="86" t="str">
        <f aca="false">IF($BL160&lt;&gt;Constants!$B$4,"",IF(NOT($BC160),"&lt;-",IF(NOT($AS160),"-&gt;",IF(OR($BI160&lt;$AY160,AND($BI160=$AY160,OR($BJ160&gt;$AZ160,AND($BJ160=$AZ160,OR($BH160&gt;$AX160,AND($BH160=$AX160,OR($BE160&gt;$AU160,AND($BE160=$AU160,OR($BF160&gt;$AV160,AND($BF160=$AV160,$BK160&gt;$BA160)))))))))),"-&gt;","&lt;-"))))</f>
        <v/>
      </c>
      <c r="BC160" s="85" t="str">
        <f aca="false">IF(ISBLANK($C160),"",COUNTA($P160:$U160)&gt;0)</f>
        <v/>
      </c>
      <c r="BD160" s="85" t="str">
        <f aca="false">IF(ISBLANK($C160),"",AND($BC160,OR(AND($AL160="",OR($AK160,NOT(ISBLANK($S160)))),$AM160="",$AN160="")))</f>
        <v/>
      </c>
      <c r="BE160" s="87" t="str">
        <f aca="false">IF($BL160&lt;&gt;Constants!$B$4,"",IF(NOT($BC160),"",ROUND((Constants!$B$12-$AB160)+(Constants!$B$13-$Z160)+(Constants!$B$14-$AA160),1)))</f>
        <v/>
      </c>
      <c r="BF160" s="90" t="str">
        <f aca="false">IF($BL160&lt;&gt;Constants!$B$4,"",IF(NOT($BC160),"",IF(NOT($AK160),0,Constants!$B$15*(INT(ROUND(MIN($AL160,$AP$9),6))-INT(ROUND(MAX(0,MIN($AL160,2*$AP$9)-$AP$9),6))))))</f>
        <v/>
      </c>
      <c r="BG160" s="90" t="str">
        <f aca="false">IF($BL160&lt;&gt;Constants!$B$4,"",IF(NOT($BC160),"",Constants!$B$16*$AM160))</f>
        <v/>
      </c>
      <c r="BH160" s="90" t="str">
        <f aca="false">IF($BL160&lt;&gt;Constants!$B$4,"",IF(NOT($BC160),"",Constants!$B$18*INT(ROUND($AN160,6))))</f>
        <v/>
      </c>
      <c r="BI160" s="85" t="str">
        <f aca="false">IF($BL160&lt;&gt;Constants!$B$4,"",IF(NOT($BC160),"",IF(NOT($X160),Constants!$B$11,IF(OR(NOT($AI160),NOT($AJ160),ROUND($AB160,1)&gt;Constants!$B$12,ROUND($Z160,1)&gt;Constants!$B$13,ROUND($AA160,1)&gt;Constants!$B$14),Constants!$B$10,Constants!$B$9))))</f>
        <v/>
      </c>
      <c r="BJ160" s="91" t="str">
        <f aca="false">IF($BL160&lt;&gt;Constants!$B$4,"",IF(NOT($BC160),"",ROUND($BE160+$BF160+$BG160+$BH160,1)))</f>
        <v/>
      </c>
      <c r="BK160" s="92" t="str">
        <f aca="false">IF($BL160&lt;&gt;Constants!$B$4,"",IF(NOT($BC160),"",IF(ISNUMBER($AL160),$AL160,0)))</f>
        <v/>
      </c>
      <c r="BL160" s="86" t="str">
        <f aca="false">IF(ISBLANK($C160),"",IF($AO160,Constants!$B$7,IF(COUNTA($E160:$V160)=0,Constants!$B$6,IF(NOT($Y160),Constants!$B$5,IF(NOT(OR($AS160,$BC160)),Constants!$B$5,IF(OR($AT160,$BD160,$AQ160,$AR160&lt;&gt;""),Constants!$B$8,Constants!$B$4))))))</f>
        <v/>
      </c>
      <c r="BM160" s="86" t="str">
        <f aca="false">IF(ISBLANK($C160),"",IF($BL160&lt;&gt;Constants!$B$4,$BL160,IF($BB160="-&gt;",$BI160,$AY160)))</f>
        <v/>
      </c>
      <c r="BN160" s="90" t="str">
        <f aca="false">IF($BL160&lt;&gt;Constants!$B$4,"",IF($BB160="-&gt;",$BJ160,$AZ160))</f>
        <v/>
      </c>
      <c r="BO160" s="90" t="str">
        <f aca="false">IF(ISBLANK($C160),"",IF($BL160&lt;&gt;Constants!$B$4,$BL160,$BN160))</f>
        <v/>
      </c>
      <c r="BP160" s="86" t="str">
        <f aca="false">IF(ISBLANK($C160),"",IF($BL160&lt;&gt;Constants!$B$4,$BL160,RANK($BO160,$BO$9:$BO$508,0)))</f>
        <v/>
      </c>
      <c r="BQ160" s="86" t="str">
        <f aca="false">IF(ISBLANK($C160),"",IF($BL160&lt;&gt;Constants!$B$4,$BL160,COUNTIFS($BM$9:$BM$508,"&lt;"&amp;$BM160)+COUNTIFS($BM$9:$BM$508,$BM160,$BP$9:$BP$508,"&lt;"&amp;$BP160)+1))</f>
        <v/>
      </c>
      <c r="BR160" s="90" t="str">
        <f aca="false">IF($BL160&lt;&gt;Constants!$B$4,"",IF($BB160="-&gt;",$BH160,$AX160))</f>
        <v/>
      </c>
      <c r="BS160" s="86" t="str">
        <f aca="false">IF(ISBLANK($C160),"",IF($BL160&lt;&gt;Constants!$B$4,$BL160,IF(ISNUMBER($BR160),RANK($BR160,$BR$9:$BR$508,0),COUNT($BR$9:$BR$508)+1)))</f>
        <v/>
      </c>
      <c r="BT160" s="90" t="str">
        <f aca="false">IF($BL160&lt;&gt;Constants!$B$4,"",IF($BB160="-&gt;",$BE160,$AU160))</f>
        <v/>
      </c>
      <c r="BU160" s="86" t="str">
        <f aca="false">IF(ISBLANK($C160),"",IF($BL160&lt;&gt;Constants!$B$4,$BL160,IF(ISNUMBER($BT160),RANK($BT160,$BT$9:$BT$508,0),COUNT($BT$9:$BT$508)+1)))</f>
        <v/>
      </c>
      <c r="BV160" s="90" t="str">
        <f aca="false">IF($BL160&lt;&gt;Constants!$B$4,"",IF($BB160="-&gt;",$BF160,$AV160))</f>
        <v/>
      </c>
      <c r="BW160" s="86" t="str">
        <f aca="false">IF(ISBLANK($C160),"",IF($BL160&lt;&gt;Constants!$B$4,$BL160,IF(ISNUMBER($BV160),RANK($BV160,$BV$9:$BV$508,0),COUNT($BV$9:$BV$508)+1)))</f>
        <v/>
      </c>
      <c r="BX160" s="90" t="str">
        <f aca="false">IF($BL160&lt;&gt;Constants!$B$4,"",IF($BB160="-&gt;",$BK160,$BA160))</f>
        <v/>
      </c>
      <c r="BY160" s="86" t="str">
        <f aca="false">IF(ISBLANK($C160),"",IF($BL160&lt;&gt;Constants!$B$4,$BL160,IF(ISNUMBER($BX160),RANK($BX160,$BX$9:$BX$508,0),COUNT($BX$9:$BX$508)+1)))</f>
        <v/>
      </c>
      <c r="BZ160" s="86" t="str">
        <f aca="false">IF(ISBLANK($C160),"",IF($BL160&lt;&gt;Constants!$B$4,$BL160,COUNTIFS($BM$9:$BM$508,"&lt;"&amp;$BM160)+COUNTIFS($BM$9:$BM$508,$BM160,$BP$9:$BP$508,"&lt;"&amp;$BP160)+COUNTIFS($BM$9:$BM$508,$BM160,$BP$9:$BP$508,$BP160,$BS$9:$BS$508,"&lt;"&amp;$BS160)+COUNTIFS($BM$9:$BM$508,$BM160,$BP$9:$BP$508,$BP160,$BS$9:$BS$508,$BS160,$BU$9:$BU$508,"&lt;"&amp;$BU160)+COUNTIFS($BM$9:$BM$508,$BM160,$BP$9:$BP$508,$BP160,$BS$9:$BS$508,$BS160,$BU$9:$BU$508,$BU160,$BW$9:$BW$508,"&lt;"&amp;$BW160)+COUNTIFS($BM$9:$BM$508,$BM160,$BP$9:$BP$508,$BP160,$BS$9:$BS$508,$BS160,$BU$9:$BU$508,$BU160,$BW$9:$BW$508,$BW160,$BY$9:$BY$508,"&lt;"&amp;$BY160)+1))</f>
        <v/>
      </c>
      <c r="CA160" s="86" t="str">
        <f aca="false">IF(ISBLANK($C160),"",IF($BL160&lt;&gt;Constants!$B$4,$BL160,$BQ160-$BZ160))</f>
        <v/>
      </c>
      <c r="CB160" s="93"/>
      <c r="CC160" s="94" t="str">
        <f aca="false">IF(ISBLANK($C160),"",IF($BL160=Constants!$B$8,$AR160,""))</f>
        <v/>
      </c>
      <c r="CD160" s="94" t="str">
        <f aca="false">IF(ISBLANK($C160),"",IF($BL160&lt;&gt;Constants!$B$4,"",IF($BB160="-&gt;",2,1)))</f>
        <v/>
      </c>
      <c r="CE160" s="95" t="str">
        <f aca="false">IF(ISBLANK($C160),"",IF($BL160&lt;&gt;Constants!$B$4,"",IF($BB160="-&gt;",$BE160,$AU160)))</f>
        <v/>
      </c>
      <c r="CF160" s="95" t="str">
        <f aca="false">IF(ISBLANK($C160),"",IF($BL160&lt;&gt;Constants!$B$4,"",IF($BB160="-&gt;",$BF160,$AV160)))</f>
        <v/>
      </c>
      <c r="CG160" s="95" t="str">
        <f aca="false">IF(ISBLANK($C160),"",IF($BL160&lt;&gt;Constants!$B$4,"",IF($BB160="-&gt;",$BG160,$AW160)))</f>
        <v/>
      </c>
      <c r="CH160" s="95" t="str">
        <f aca="false">IF(ISBLANK($C160),"",IF($BL160&lt;&gt;Constants!$B$4,"",IF($BB160="-&gt;",$BH160,$AX160)))</f>
        <v/>
      </c>
      <c r="CI160" s="96" t="str">
        <f aca="false">IF(ISBLANK($C160),"",$BO160)</f>
        <v/>
      </c>
      <c r="CJ160" s="97" t="str">
        <f aca="false">IF(ISBLANK($C160),"",$BM160)</f>
        <v/>
      </c>
      <c r="CK160" s="98" t="str">
        <f aca="false">IF(ISBLANK($C160),"",$CA160)</f>
        <v/>
      </c>
      <c r="CL160" s="98" t="str">
        <f aca="false">IF(ISBLANK($C160),"",$BZ160)</f>
        <v/>
      </c>
      <c r="CM160" s="99" t="str">
        <f aca="false">IF(ISBLANK($C160),"",IF($CL160=Constants!$B$7,COUNTA($C$9:$C$508)+2,IF($CL160=Constants!$B$6,COUNTA($C$9:$C$508)+1,IF($CL160=Constants!$B$5,COUNTA($C$9:$C$508),$CL160))))</f>
        <v/>
      </c>
      <c r="CN160" s="8"/>
      <c r="CO160" s="100" t="n">
        <f aca="false">IF(OR(ISNUMBER($CL160),$CL160=Constants!$B$7,$CL160=Constants!$B$5,$CL160=Constants!$B$6),1,0)</f>
        <v>0</v>
      </c>
      <c r="CP160" s="100" t="n">
        <v>152</v>
      </c>
      <c r="CQ160" s="100" t="str">
        <f aca="false">IF(ISBLANK($C160),"",IF(ISNUMBER($CM160),$CM160+ROW($B160)/1000,""))</f>
        <v/>
      </c>
      <c r="CR160" s="100" t="str">
        <f aca="false">IF(ISNUMBER($CQ160),RANK($CQ160,$CQ$9:$CQ$508,1),"")</f>
        <v/>
      </c>
      <c r="CS160" s="100" t="str">
        <f aca="false">IF(ISBLANK($C160),"",$B160)</f>
        <v/>
      </c>
      <c r="CT160" s="100" t="str">
        <f aca="false">IF(ISBLANK($C160),"",$C160)</f>
        <v/>
      </c>
      <c r="CU160" s="100" t="str">
        <f aca="false">IF(ISBLANK($C160),"",$D160)</f>
        <v/>
      </c>
      <c r="CV160" s="101" t="str">
        <f aca="false">$CJ160</f>
        <v/>
      </c>
      <c r="CW160" s="102" t="str">
        <f aca="false">$CI160</f>
        <v/>
      </c>
      <c r="CX160" s="100" t="str">
        <f aca="false">IF(ISBLANK($C160),"",$CL160)</f>
        <v/>
      </c>
      <c r="CY160" s="103" t="str">
        <f aca="false">IF($CP160&gt;$CO$8,"",VLOOKUP($CP160,$CR$9:$CX$508,7,FALSE()))</f>
        <v/>
      </c>
      <c r="CZ160" s="104" t="str">
        <f aca="false">IF($CP160&gt;$CO$8,"",VLOOKUP($CP160,$CR$9:$CX$508,2,FALSE()))</f>
        <v/>
      </c>
      <c r="DA160" s="104" t="str">
        <f aca="false">IF($CP160&gt;$CO$8,"",VLOOKUP($CP160,$CR$9:$CX$508,3,FALSE()))</f>
        <v/>
      </c>
      <c r="DB160" s="104" t="str">
        <f aca="false">IF($CP160&gt;$CO$8,"",VLOOKUP($CP160,$CR$9:$CX$508,4,FALSE()))</f>
        <v/>
      </c>
      <c r="DC160" s="104" t="str">
        <f aca="false">IF($CP160&gt;$CO$8,"",VLOOKUP($CP160,$CR$9:$CX$508,5,FALSE()))</f>
        <v/>
      </c>
      <c r="DD160" s="105" t="str">
        <f aca="false">IF($CP160&gt;$CO$8,"",VLOOKUP($CP160,$CR$9:$CX$508,6,FALSE()))</f>
        <v/>
      </c>
      <c r="DE160" s="70"/>
    </row>
    <row r="161" customFormat="false" ht="15.75" hidden="false" customHeight="false" outlineLevel="0" collapsed="false">
      <c r="A161" s="8"/>
      <c r="B161" s="72"/>
      <c r="C161" s="73"/>
      <c r="D161" s="155"/>
      <c r="E161" s="162"/>
      <c r="F161" s="157"/>
      <c r="G161" s="77"/>
      <c r="H161" s="77"/>
      <c r="I161" s="77"/>
      <c r="J161" s="163"/>
      <c r="K161" s="161"/>
      <c r="L161" s="161"/>
      <c r="M161" s="80"/>
      <c r="N161" s="161"/>
      <c r="O161" s="160"/>
      <c r="P161" s="161"/>
      <c r="Q161" s="161"/>
      <c r="R161" s="161"/>
      <c r="S161" s="77"/>
      <c r="T161" s="161"/>
      <c r="U161" s="160"/>
      <c r="V161" s="161"/>
      <c r="W161" s="85"/>
      <c r="X161" s="86" t="str">
        <f aca="false">IF(ISBLANK($C161),"",IF($E161=Constants!$B$2,TRUE(),IF($E161=Constants!$B$3,FALSE(),TRUE())))</f>
        <v/>
      </c>
      <c r="Y161" s="86" t="str">
        <f aca="false">IF(ISBLANK($C161),"",IF($F161=Constants!$B$2,TRUE(),IF($F161=Constants!$B$3,FALSE(),TRUE())))</f>
        <v/>
      </c>
      <c r="Z161" s="87" t="str">
        <f aca="false">IF(ISBLANK($C161),"",IF(ISNUMBER($G161),IF($G161&gt;=0,$G161,""),""))</f>
        <v/>
      </c>
      <c r="AA161" s="87" t="str">
        <f aca="false">IF(ISBLANK($C161),"",IF(ISNUMBER($H161),IF($H161&gt;=0,$H161,""),""))</f>
        <v/>
      </c>
      <c r="AB161" s="87" t="str">
        <f aca="false">IF(ISBLANK($C161),"",IF(ISNUMBER($I161),IF($I161&gt;=0,$I161,""),""))</f>
        <v/>
      </c>
      <c r="AC161" s="86" t="str">
        <f aca="false">IF(ISBLANK($C161),"",IF($J161=Constants!$B$2,TRUE(),IF($J161=Constants!$B$3,FALSE(),TRUE())))</f>
        <v/>
      </c>
      <c r="AD161" s="86" t="str">
        <f aca="false">IF(ISBLANK($C161),"",IF($K161=Constants!$B$2,TRUE(),IF($K161=Constants!$B$3,FALSE(),TRUE())))</f>
        <v/>
      </c>
      <c r="AE161" s="86" t="str">
        <f aca="false">IF(ISBLANK($C161),"",IF($L161=Constants!$B$2,TRUE(),IF($L161=Constants!$B$3,FALSE(),TRUE())))</f>
        <v/>
      </c>
      <c r="AF161" s="88" t="str">
        <f aca="false">IF(ISBLANK($C161),"",IF(ISNUMBER($M161),IF($M161&gt;=0,$M161,""),""))</f>
        <v/>
      </c>
      <c r="AG161" s="86" t="str">
        <f aca="false">IF(ISBLANK($C161),"",IF(ISBLANK($N161),0,IF(ISNUMBER($N161),IF(AND($N161&gt;=0,$N161&lt;=Constants!$B$17,$N161=INT($N161)),$N161,""),"")))</f>
        <v/>
      </c>
      <c r="AH161" s="87" t="str">
        <f aca="false">IF(ISBLANK($C161),"",IF(ISBLANK($O161),0,IF(ISNUMBER($O161),IF($O161&gt;=0,$O161,""),"")))</f>
        <v/>
      </c>
      <c r="AI161" s="86" t="str">
        <f aca="false">IF(ISBLANK($C161),"",IF($P161=Constants!$B$2,TRUE(),IF($P161=Constants!$B$3,FALSE(),TRUE())))</f>
        <v/>
      </c>
      <c r="AJ161" s="86" t="str">
        <f aca="false">IF(ISBLANK($C161),"",IF($Q161=Constants!$B$2,TRUE(),IF($Q161=Constants!$B$3,FALSE(),TRUE())))</f>
        <v/>
      </c>
      <c r="AK161" s="86" t="str">
        <f aca="false">IF(ISBLANK($C161),"",IF($R161=Constants!$B$2,TRUE(),IF($R161=Constants!$B$3,FALSE(),TRUE())))</f>
        <v/>
      </c>
      <c r="AL161" s="88" t="str">
        <f aca="false">IF(ISBLANK($C161),"",IF(ISNUMBER($S161),IF($S161&gt;=0,$S161,""),""))</f>
        <v/>
      </c>
      <c r="AM161" s="86" t="str">
        <f aca="false">IF(ISBLANK($C161),"",IF(ISBLANK($T161),0,IF(ISNUMBER($T161),IF(AND($T161&gt;=0,$T161&lt;=Constants!$B$17,$T161=INT($T161)),$T161,""),"")))</f>
        <v/>
      </c>
      <c r="AN161" s="87" t="str">
        <f aca="false">IF(ISBLANK($C161),"",IF(ISBLANK($U161),0,IF(ISNUMBER($U161),IF($U161&gt;=0,$U161,""),"")))</f>
        <v/>
      </c>
      <c r="AO161" s="86" t="str">
        <f aca="false">IF(ISBLANK($C161),"",IF($V161=Constants!$B$2,TRUE(),IF($V161=Constants!$B$3,FALSE(),FALSE())))</f>
        <v/>
      </c>
      <c r="AP161" s="86"/>
      <c r="AQ161" s="85" t="str">
        <f aca="false">IF(ISBLANK($C161),"",AND($Y161,OR($AS161,$BC161),OR($Z161="",$AA161="",$AB161="")))</f>
        <v/>
      </c>
      <c r="AR161" s="85" t="str">
        <f aca="false">IF(ISBLANK($C161),"",IF(OR(NOT($Y161),NOT(OR($AS161,$BC161))),"",IF(ISBLANK($D$7),$AR$5,IF($AP$9="",$AR$6,""))))</f>
        <v/>
      </c>
      <c r="AS161" s="85" t="str">
        <f aca="false">IF(ISBLANK($C161),"",COUNTA($J161:$O161)&gt;0)</f>
        <v/>
      </c>
      <c r="AT161" s="85" t="str">
        <f aca="false">IF(ISBLANK($C161),"",AND($AS161,OR(AND($AF161="",OR($AE161,NOT(ISBLANK($M161)))),$AG161="",$AH161="")))</f>
        <v/>
      </c>
      <c r="AU161" s="87" t="str">
        <f aca="false">IF($BL161&lt;&gt;Constants!$B$4,"",IF(NOT($AS161),"",ROUND((Constants!$B$12-$AB161)+(Constants!$B$13-$Z161)+(Constants!$B$14-$AA161),1)))</f>
        <v/>
      </c>
      <c r="AV161" s="90" t="str">
        <f aca="false">IF($BL161&lt;&gt;Constants!$B$4,"",IF(NOT($AS161),"",IF(NOT($AE161),0,Constants!$B$15*(INT(ROUND(MIN($AF161,$AP$9),6))-INT(ROUND(MAX(0,MIN($AF161,2*$AP$9)-$AP$9),6))))))</f>
        <v/>
      </c>
      <c r="AW161" s="90" t="str">
        <f aca="false">IF($BL161&lt;&gt;Constants!$B$4,"",IF(NOT($AS161),"",Constants!$B$16*$AG161))</f>
        <v/>
      </c>
      <c r="AX161" s="90" t="str">
        <f aca="false">IF($BL161&lt;&gt;Constants!$B$4,"",IF(NOT($AS161),"",Constants!$B$18*INT(ROUND($AH161,6))))</f>
        <v/>
      </c>
      <c r="AY161" s="85" t="str">
        <f aca="false">IF($BL161&lt;&gt;Constants!$B$4,"",IF(NOT($AS161),"",IF(NOT($X161),Constants!$B$11,IF(OR(NOT($AC161),NOT($AD161),ROUND($AB161,1)&gt;Constants!$B$12,ROUND($Z161,1)&gt;Constants!$B$13,ROUND($AA161,1)&gt;Constants!$B$14),Constants!$B$10,Constants!$B$9))))</f>
        <v/>
      </c>
      <c r="AZ161" s="91" t="str">
        <f aca="false">IF($BL161&lt;&gt;Constants!$B$4,"",IF(NOT($AS161),"",ROUND($AU161+$AV161+$AW161+$AX161,1)))</f>
        <v/>
      </c>
      <c r="BA161" s="92" t="str">
        <f aca="false">IF($BL161&lt;&gt;Constants!$B$4,"",IF(NOT($AS161),"",IF(ISNUMBER($AF161),$AF161,0)))</f>
        <v/>
      </c>
      <c r="BB161" s="86" t="str">
        <f aca="false">IF($BL161&lt;&gt;Constants!$B$4,"",IF(NOT($BC161),"&lt;-",IF(NOT($AS161),"-&gt;",IF(OR($BI161&lt;$AY161,AND($BI161=$AY161,OR($BJ161&gt;$AZ161,AND($BJ161=$AZ161,OR($BH161&gt;$AX161,AND($BH161=$AX161,OR($BE161&gt;$AU161,AND($BE161=$AU161,OR($BF161&gt;$AV161,AND($BF161=$AV161,$BK161&gt;$BA161)))))))))),"-&gt;","&lt;-"))))</f>
        <v/>
      </c>
      <c r="BC161" s="85" t="str">
        <f aca="false">IF(ISBLANK($C161),"",COUNTA($P161:$U161)&gt;0)</f>
        <v/>
      </c>
      <c r="BD161" s="85" t="str">
        <f aca="false">IF(ISBLANK($C161),"",AND($BC161,OR(AND($AL161="",OR($AK161,NOT(ISBLANK($S161)))),$AM161="",$AN161="")))</f>
        <v/>
      </c>
      <c r="BE161" s="87" t="str">
        <f aca="false">IF($BL161&lt;&gt;Constants!$B$4,"",IF(NOT($BC161),"",ROUND((Constants!$B$12-$AB161)+(Constants!$B$13-$Z161)+(Constants!$B$14-$AA161),1)))</f>
        <v/>
      </c>
      <c r="BF161" s="90" t="str">
        <f aca="false">IF($BL161&lt;&gt;Constants!$B$4,"",IF(NOT($BC161),"",IF(NOT($AK161),0,Constants!$B$15*(INT(ROUND(MIN($AL161,$AP$9),6))-INT(ROUND(MAX(0,MIN($AL161,2*$AP$9)-$AP$9),6))))))</f>
        <v/>
      </c>
      <c r="BG161" s="90" t="str">
        <f aca="false">IF($BL161&lt;&gt;Constants!$B$4,"",IF(NOT($BC161),"",Constants!$B$16*$AM161))</f>
        <v/>
      </c>
      <c r="BH161" s="90" t="str">
        <f aca="false">IF($BL161&lt;&gt;Constants!$B$4,"",IF(NOT($BC161),"",Constants!$B$18*INT(ROUND($AN161,6))))</f>
        <v/>
      </c>
      <c r="BI161" s="85" t="str">
        <f aca="false">IF($BL161&lt;&gt;Constants!$B$4,"",IF(NOT($BC161),"",IF(NOT($X161),Constants!$B$11,IF(OR(NOT($AI161),NOT($AJ161),ROUND($AB161,1)&gt;Constants!$B$12,ROUND($Z161,1)&gt;Constants!$B$13,ROUND($AA161,1)&gt;Constants!$B$14),Constants!$B$10,Constants!$B$9))))</f>
        <v/>
      </c>
      <c r="BJ161" s="91" t="str">
        <f aca="false">IF($BL161&lt;&gt;Constants!$B$4,"",IF(NOT($BC161),"",ROUND($BE161+$BF161+$BG161+$BH161,1)))</f>
        <v/>
      </c>
      <c r="BK161" s="92" t="str">
        <f aca="false">IF($BL161&lt;&gt;Constants!$B$4,"",IF(NOT($BC161),"",IF(ISNUMBER($AL161),$AL161,0)))</f>
        <v/>
      </c>
      <c r="BL161" s="86" t="str">
        <f aca="false">IF(ISBLANK($C161),"",IF($AO161,Constants!$B$7,IF(COUNTA($E161:$V161)=0,Constants!$B$6,IF(NOT($Y161),Constants!$B$5,IF(NOT(OR($AS161,$BC161)),Constants!$B$5,IF(OR($AT161,$BD161,$AQ161,$AR161&lt;&gt;""),Constants!$B$8,Constants!$B$4))))))</f>
        <v/>
      </c>
      <c r="BM161" s="86" t="str">
        <f aca="false">IF(ISBLANK($C161),"",IF($BL161&lt;&gt;Constants!$B$4,$BL161,IF($BB161="-&gt;",$BI161,$AY161)))</f>
        <v/>
      </c>
      <c r="BN161" s="90" t="str">
        <f aca="false">IF($BL161&lt;&gt;Constants!$B$4,"",IF($BB161="-&gt;",$BJ161,$AZ161))</f>
        <v/>
      </c>
      <c r="BO161" s="90" t="str">
        <f aca="false">IF(ISBLANK($C161),"",IF($BL161&lt;&gt;Constants!$B$4,$BL161,$BN161))</f>
        <v/>
      </c>
      <c r="BP161" s="86" t="str">
        <f aca="false">IF(ISBLANK($C161),"",IF($BL161&lt;&gt;Constants!$B$4,$BL161,RANK($BO161,$BO$9:$BO$508,0)))</f>
        <v/>
      </c>
      <c r="BQ161" s="86" t="str">
        <f aca="false">IF(ISBLANK($C161),"",IF($BL161&lt;&gt;Constants!$B$4,$BL161,COUNTIFS($BM$9:$BM$508,"&lt;"&amp;$BM161)+COUNTIFS($BM$9:$BM$508,$BM161,$BP$9:$BP$508,"&lt;"&amp;$BP161)+1))</f>
        <v/>
      </c>
      <c r="BR161" s="90" t="str">
        <f aca="false">IF($BL161&lt;&gt;Constants!$B$4,"",IF($BB161="-&gt;",$BH161,$AX161))</f>
        <v/>
      </c>
      <c r="BS161" s="86" t="str">
        <f aca="false">IF(ISBLANK($C161),"",IF($BL161&lt;&gt;Constants!$B$4,$BL161,IF(ISNUMBER($BR161),RANK($BR161,$BR$9:$BR$508,0),COUNT($BR$9:$BR$508)+1)))</f>
        <v/>
      </c>
      <c r="BT161" s="90" t="str">
        <f aca="false">IF($BL161&lt;&gt;Constants!$B$4,"",IF($BB161="-&gt;",$BE161,$AU161))</f>
        <v/>
      </c>
      <c r="BU161" s="86" t="str">
        <f aca="false">IF(ISBLANK($C161),"",IF($BL161&lt;&gt;Constants!$B$4,$BL161,IF(ISNUMBER($BT161),RANK($BT161,$BT$9:$BT$508,0),COUNT($BT$9:$BT$508)+1)))</f>
        <v/>
      </c>
      <c r="BV161" s="90" t="str">
        <f aca="false">IF($BL161&lt;&gt;Constants!$B$4,"",IF($BB161="-&gt;",$BF161,$AV161))</f>
        <v/>
      </c>
      <c r="BW161" s="86" t="str">
        <f aca="false">IF(ISBLANK($C161),"",IF($BL161&lt;&gt;Constants!$B$4,$BL161,IF(ISNUMBER($BV161),RANK($BV161,$BV$9:$BV$508,0),COUNT($BV$9:$BV$508)+1)))</f>
        <v/>
      </c>
      <c r="BX161" s="90" t="str">
        <f aca="false">IF($BL161&lt;&gt;Constants!$B$4,"",IF($BB161="-&gt;",$BK161,$BA161))</f>
        <v/>
      </c>
      <c r="BY161" s="86" t="str">
        <f aca="false">IF(ISBLANK($C161),"",IF($BL161&lt;&gt;Constants!$B$4,$BL161,IF(ISNUMBER($BX161),RANK($BX161,$BX$9:$BX$508,0),COUNT($BX$9:$BX$508)+1)))</f>
        <v/>
      </c>
      <c r="BZ161" s="86" t="str">
        <f aca="false">IF(ISBLANK($C161),"",IF($BL161&lt;&gt;Constants!$B$4,$BL161,COUNTIFS($BM$9:$BM$508,"&lt;"&amp;$BM161)+COUNTIFS($BM$9:$BM$508,$BM161,$BP$9:$BP$508,"&lt;"&amp;$BP161)+COUNTIFS($BM$9:$BM$508,$BM161,$BP$9:$BP$508,$BP161,$BS$9:$BS$508,"&lt;"&amp;$BS161)+COUNTIFS($BM$9:$BM$508,$BM161,$BP$9:$BP$508,$BP161,$BS$9:$BS$508,$BS161,$BU$9:$BU$508,"&lt;"&amp;$BU161)+COUNTIFS($BM$9:$BM$508,$BM161,$BP$9:$BP$508,$BP161,$BS$9:$BS$508,$BS161,$BU$9:$BU$508,$BU161,$BW$9:$BW$508,"&lt;"&amp;$BW161)+COUNTIFS($BM$9:$BM$508,$BM161,$BP$9:$BP$508,$BP161,$BS$9:$BS$508,$BS161,$BU$9:$BU$508,$BU161,$BW$9:$BW$508,$BW161,$BY$9:$BY$508,"&lt;"&amp;$BY161)+1))</f>
        <v/>
      </c>
      <c r="CA161" s="86" t="str">
        <f aca="false">IF(ISBLANK($C161),"",IF($BL161&lt;&gt;Constants!$B$4,$BL161,$BQ161-$BZ161))</f>
        <v/>
      </c>
      <c r="CB161" s="93"/>
      <c r="CC161" s="94" t="str">
        <f aca="false">IF(ISBLANK($C161),"",IF($BL161=Constants!$B$8,$AR161,""))</f>
        <v/>
      </c>
      <c r="CD161" s="94" t="str">
        <f aca="false">IF(ISBLANK($C161),"",IF($BL161&lt;&gt;Constants!$B$4,"",IF($BB161="-&gt;",2,1)))</f>
        <v/>
      </c>
      <c r="CE161" s="95" t="str">
        <f aca="false">IF(ISBLANK($C161),"",IF($BL161&lt;&gt;Constants!$B$4,"",IF($BB161="-&gt;",$BE161,$AU161)))</f>
        <v/>
      </c>
      <c r="CF161" s="95" t="str">
        <f aca="false">IF(ISBLANK($C161),"",IF($BL161&lt;&gt;Constants!$B$4,"",IF($BB161="-&gt;",$BF161,$AV161)))</f>
        <v/>
      </c>
      <c r="CG161" s="95" t="str">
        <f aca="false">IF(ISBLANK($C161),"",IF($BL161&lt;&gt;Constants!$B$4,"",IF($BB161="-&gt;",$BG161,$AW161)))</f>
        <v/>
      </c>
      <c r="CH161" s="95" t="str">
        <f aca="false">IF(ISBLANK($C161),"",IF($BL161&lt;&gt;Constants!$B$4,"",IF($BB161="-&gt;",$BH161,$AX161)))</f>
        <v/>
      </c>
      <c r="CI161" s="96" t="str">
        <f aca="false">IF(ISBLANK($C161),"",$BO161)</f>
        <v/>
      </c>
      <c r="CJ161" s="97" t="str">
        <f aca="false">IF(ISBLANK($C161),"",$BM161)</f>
        <v/>
      </c>
      <c r="CK161" s="98" t="str">
        <f aca="false">IF(ISBLANK($C161),"",$CA161)</f>
        <v/>
      </c>
      <c r="CL161" s="98" t="str">
        <f aca="false">IF(ISBLANK($C161),"",$BZ161)</f>
        <v/>
      </c>
      <c r="CM161" s="99" t="str">
        <f aca="false">IF(ISBLANK($C161),"",IF($CL161=Constants!$B$7,COUNTA($C$9:$C$508)+2,IF($CL161=Constants!$B$6,COUNTA($C$9:$C$508)+1,IF($CL161=Constants!$B$5,COUNTA($C$9:$C$508),$CL161))))</f>
        <v/>
      </c>
      <c r="CN161" s="8"/>
      <c r="CO161" s="100" t="n">
        <f aca="false">IF(OR(ISNUMBER($CL161),$CL161=Constants!$B$7,$CL161=Constants!$B$5,$CL161=Constants!$B$6),1,0)</f>
        <v>0</v>
      </c>
      <c r="CP161" s="100" t="n">
        <v>153</v>
      </c>
      <c r="CQ161" s="100" t="str">
        <f aca="false">IF(ISBLANK($C161),"",IF(ISNUMBER($CM161),$CM161+ROW($B161)/1000,""))</f>
        <v/>
      </c>
      <c r="CR161" s="100" t="str">
        <f aca="false">IF(ISNUMBER($CQ161),RANK($CQ161,$CQ$9:$CQ$508,1),"")</f>
        <v/>
      </c>
      <c r="CS161" s="100" t="str">
        <f aca="false">IF(ISBLANK($C161),"",$B161)</f>
        <v/>
      </c>
      <c r="CT161" s="100" t="str">
        <f aca="false">IF(ISBLANK($C161),"",$C161)</f>
        <v/>
      </c>
      <c r="CU161" s="100" t="str">
        <f aca="false">IF(ISBLANK($C161),"",$D161)</f>
        <v/>
      </c>
      <c r="CV161" s="101" t="str">
        <f aca="false">$CJ161</f>
        <v/>
      </c>
      <c r="CW161" s="102" t="str">
        <f aca="false">$CI161</f>
        <v/>
      </c>
      <c r="CX161" s="100" t="str">
        <f aca="false">IF(ISBLANK($C161),"",$CL161)</f>
        <v/>
      </c>
      <c r="CY161" s="103" t="str">
        <f aca="false">IF($CP161&gt;$CO$8,"",VLOOKUP($CP161,$CR$9:$CX$508,7,FALSE()))</f>
        <v/>
      </c>
      <c r="CZ161" s="104" t="str">
        <f aca="false">IF($CP161&gt;$CO$8,"",VLOOKUP($CP161,$CR$9:$CX$508,2,FALSE()))</f>
        <v/>
      </c>
      <c r="DA161" s="104" t="str">
        <f aca="false">IF($CP161&gt;$CO$8,"",VLOOKUP($CP161,$CR$9:$CX$508,3,FALSE()))</f>
        <v/>
      </c>
      <c r="DB161" s="104" t="str">
        <f aca="false">IF($CP161&gt;$CO$8,"",VLOOKUP($CP161,$CR$9:$CX$508,4,FALSE()))</f>
        <v/>
      </c>
      <c r="DC161" s="104" t="str">
        <f aca="false">IF($CP161&gt;$CO$8,"",VLOOKUP($CP161,$CR$9:$CX$508,5,FALSE()))</f>
        <v/>
      </c>
      <c r="DD161" s="105" t="str">
        <f aca="false">IF($CP161&gt;$CO$8,"",VLOOKUP($CP161,$CR$9:$CX$508,6,FALSE()))</f>
        <v/>
      </c>
      <c r="DE161" s="70"/>
    </row>
    <row r="162" customFormat="false" ht="15.75" hidden="false" customHeight="false" outlineLevel="0" collapsed="false">
      <c r="A162" s="8"/>
      <c r="B162" s="146"/>
      <c r="C162" s="147"/>
      <c r="D162" s="148"/>
      <c r="E162" s="164"/>
      <c r="F162" s="150"/>
      <c r="G162" s="115"/>
      <c r="H162" s="115"/>
      <c r="I162" s="115"/>
      <c r="J162" s="165"/>
      <c r="K162" s="154"/>
      <c r="L162" s="154"/>
      <c r="M162" s="118"/>
      <c r="N162" s="154"/>
      <c r="O162" s="153"/>
      <c r="P162" s="154"/>
      <c r="Q162" s="154"/>
      <c r="R162" s="154"/>
      <c r="S162" s="115"/>
      <c r="T162" s="154"/>
      <c r="U162" s="153"/>
      <c r="V162" s="154"/>
      <c r="W162" s="123"/>
      <c r="X162" s="124" t="str">
        <f aca="false">IF(ISBLANK($C162),"",IF($E162=Constants!$B$2,TRUE(),IF($E162=Constants!$B$3,FALSE(),TRUE())))</f>
        <v/>
      </c>
      <c r="Y162" s="124" t="str">
        <f aca="false">IF(ISBLANK($C162),"",IF($F162=Constants!$B$2,TRUE(),IF($F162=Constants!$B$3,FALSE(),TRUE())))</f>
        <v/>
      </c>
      <c r="Z162" s="125" t="str">
        <f aca="false">IF(ISBLANK($C162),"",IF(ISNUMBER($G162),IF($G162&gt;=0,$G162,""),""))</f>
        <v/>
      </c>
      <c r="AA162" s="125" t="str">
        <f aca="false">IF(ISBLANK($C162),"",IF(ISNUMBER($H162),IF($H162&gt;=0,$H162,""),""))</f>
        <v/>
      </c>
      <c r="AB162" s="125" t="str">
        <f aca="false">IF(ISBLANK($C162),"",IF(ISNUMBER($I162),IF($I162&gt;=0,$I162,""),""))</f>
        <v/>
      </c>
      <c r="AC162" s="124" t="str">
        <f aca="false">IF(ISBLANK($C162),"",IF($J162=Constants!$B$2,TRUE(),IF($J162=Constants!$B$3,FALSE(),TRUE())))</f>
        <v/>
      </c>
      <c r="AD162" s="124" t="str">
        <f aca="false">IF(ISBLANK($C162),"",IF($K162=Constants!$B$2,TRUE(),IF($K162=Constants!$B$3,FALSE(),TRUE())))</f>
        <v/>
      </c>
      <c r="AE162" s="124" t="str">
        <f aca="false">IF(ISBLANK($C162),"",IF($L162=Constants!$B$2,TRUE(),IF($L162=Constants!$B$3,FALSE(),TRUE())))</f>
        <v/>
      </c>
      <c r="AF162" s="126" t="str">
        <f aca="false">IF(ISBLANK($C162),"",IF(ISNUMBER($M162),IF($M162&gt;=0,$M162,""),""))</f>
        <v/>
      </c>
      <c r="AG162" s="124" t="str">
        <f aca="false">IF(ISBLANK($C162),"",IF(ISBLANK($N162),0,IF(ISNUMBER($N162),IF(AND($N162&gt;=0,$N162&lt;=Constants!$B$17,$N162=INT($N162)),$N162,""),"")))</f>
        <v/>
      </c>
      <c r="AH162" s="125" t="str">
        <f aca="false">IF(ISBLANK($C162),"",IF(ISBLANK($O162),0,IF(ISNUMBER($O162),IF($O162&gt;=0,$O162,""),"")))</f>
        <v/>
      </c>
      <c r="AI162" s="124" t="str">
        <f aca="false">IF(ISBLANK($C162),"",IF($P162=Constants!$B$2,TRUE(),IF($P162=Constants!$B$3,FALSE(),TRUE())))</f>
        <v/>
      </c>
      <c r="AJ162" s="124" t="str">
        <f aca="false">IF(ISBLANK($C162),"",IF($Q162=Constants!$B$2,TRUE(),IF($Q162=Constants!$B$3,FALSE(),TRUE())))</f>
        <v/>
      </c>
      <c r="AK162" s="124" t="str">
        <f aca="false">IF(ISBLANK($C162),"",IF($R162=Constants!$B$2,TRUE(),IF($R162=Constants!$B$3,FALSE(),TRUE())))</f>
        <v/>
      </c>
      <c r="AL162" s="126" t="str">
        <f aca="false">IF(ISBLANK($C162),"",IF(ISNUMBER($S162),IF($S162&gt;=0,$S162,""),""))</f>
        <v/>
      </c>
      <c r="AM162" s="124" t="str">
        <f aca="false">IF(ISBLANK($C162),"",IF(ISBLANK($T162),0,IF(ISNUMBER($T162),IF(AND($T162&gt;=0,$T162&lt;=Constants!$B$17,$T162=INT($T162)),$T162,""),"")))</f>
        <v/>
      </c>
      <c r="AN162" s="125" t="str">
        <f aca="false">IF(ISBLANK($C162),"",IF(ISBLANK($U162),0,IF(ISNUMBER($U162),IF($U162&gt;=0,$U162,""),"")))</f>
        <v/>
      </c>
      <c r="AO162" s="124" t="str">
        <f aca="false">IF(ISBLANK($C162),"",IF($V162=Constants!$B$2,TRUE(),IF($V162=Constants!$B$3,FALSE(),FALSE())))</f>
        <v/>
      </c>
      <c r="AP162" s="124"/>
      <c r="AQ162" s="123" t="str">
        <f aca="false">IF(ISBLANK($C162),"",AND($Y162,OR($AS162,$BC162),OR($Z162="",$AA162="",$AB162="")))</f>
        <v/>
      </c>
      <c r="AR162" s="123" t="str">
        <f aca="false">IF(ISBLANK($C162),"",IF(OR(NOT($Y162),NOT(OR($AS162,$BC162))),"",IF(ISBLANK($D$7),$AR$5,IF($AP$9="",$AR$6,""))))</f>
        <v/>
      </c>
      <c r="AS162" s="123" t="str">
        <f aca="false">IF(ISBLANK($C162),"",COUNTA($J162:$O162)&gt;0)</f>
        <v/>
      </c>
      <c r="AT162" s="123" t="str">
        <f aca="false">IF(ISBLANK($C162),"",AND($AS162,OR(AND($AF162="",OR($AE162,NOT(ISBLANK($M162)))),$AG162="",$AH162="")))</f>
        <v/>
      </c>
      <c r="AU162" s="125" t="str">
        <f aca="false">IF($BL162&lt;&gt;Constants!$B$4,"",IF(NOT($AS162),"",ROUND((Constants!$B$12-$AB162)+(Constants!$B$13-$Z162)+(Constants!$B$14-$AA162),1)))</f>
        <v/>
      </c>
      <c r="AV162" s="127" t="str">
        <f aca="false">IF($BL162&lt;&gt;Constants!$B$4,"",IF(NOT($AS162),"",IF(NOT($AE162),0,Constants!$B$15*(INT(ROUND(MIN($AF162,$AP$9),6))-INT(ROUND(MAX(0,MIN($AF162,2*$AP$9)-$AP$9),6))))))</f>
        <v/>
      </c>
      <c r="AW162" s="127" t="str">
        <f aca="false">IF($BL162&lt;&gt;Constants!$B$4,"",IF(NOT($AS162),"",Constants!$B$16*$AG162))</f>
        <v/>
      </c>
      <c r="AX162" s="127" t="str">
        <f aca="false">IF($BL162&lt;&gt;Constants!$B$4,"",IF(NOT($AS162),"",Constants!$B$18*INT(ROUND($AH162,6))))</f>
        <v/>
      </c>
      <c r="AY162" s="123" t="str">
        <f aca="false">IF($BL162&lt;&gt;Constants!$B$4,"",IF(NOT($AS162),"",IF(NOT($X162),Constants!$B$11,IF(OR(NOT($AC162),NOT($AD162),ROUND($AB162,1)&gt;Constants!$B$12,ROUND($Z162,1)&gt;Constants!$B$13,ROUND($AA162,1)&gt;Constants!$B$14),Constants!$B$10,Constants!$B$9))))</f>
        <v/>
      </c>
      <c r="AZ162" s="128" t="str">
        <f aca="false">IF($BL162&lt;&gt;Constants!$B$4,"",IF(NOT($AS162),"",ROUND($AU162+$AV162+$AW162+$AX162,1)))</f>
        <v/>
      </c>
      <c r="BA162" s="129" t="str">
        <f aca="false">IF($BL162&lt;&gt;Constants!$B$4,"",IF(NOT($AS162),"",IF(ISNUMBER($AF162),$AF162,0)))</f>
        <v/>
      </c>
      <c r="BB162" s="124" t="str">
        <f aca="false">IF($BL162&lt;&gt;Constants!$B$4,"",IF(NOT($BC162),"&lt;-",IF(NOT($AS162),"-&gt;",IF(OR($BI162&lt;$AY162,AND($BI162=$AY162,OR($BJ162&gt;$AZ162,AND($BJ162=$AZ162,OR($BH162&gt;$AX162,AND($BH162=$AX162,OR($BE162&gt;$AU162,AND($BE162=$AU162,OR($BF162&gt;$AV162,AND($BF162=$AV162,$BK162&gt;$BA162)))))))))),"-&gt;","&lt;-"))))</f>
        <v/>
      </c>
      <c r="BC162" s="123" t="str">
        <f aca="false">IF(ISBLANK($C162),"",COUNTA($P162:$U162)&gt;0)</f>
        <v/>
      </c>
      <c r="BD162" s="123" t="str">
        <f aca="false">IF(ISBLANK($C162),"",AND($BC162,OR(AND($AL162="",OR($AK162,NOT(ISBLANK($S162)))),$AM162="",$AN162="")))</f>
        <v/>
      </c>
      <c r="BE162" s="125" t="str">
        <f aca="false">IF($BL162&lt;&gt;Constants!$B$4,"",IF(NOT($BC162),"",ROUND((Constants!$B$12-$AB162)+(Constants!$B$13-$Z162)+(Constants!$B$14-$AA162),1)))</f>
        <v/>
      </c>
      <c r="BF162" s="127" t="str">
        <f aca="false">IF($BL162&lt;&gt;Constants!$B$4,"",IF(NOT($BC162),"",IF(NOT($AK162),0,Constants!$B$15*(INT(ROUND(MIN($AL162,$AP$9),6))-INT(ROUND(MAX(0,MIN($AL162,2*$AP$9)-$AP$9),6))))))</f>
        <v/>
      </c>
      <c r="BG162" s="127" t="str">
        <f aca="false">IF($BL162&lt;&gt;Constants!$B$4,"",IF(NOT($BC162),"",Constants!$B$16*$AM162))</f>
        <v/>
      </c>
      <c r="BH162" s="127" t="str">
        <f aca="false">IF($BL162&lt;&gt;Constants!$B$4,"",IF(NOT($BC162),"",Constants!$B$18*INT(ROUND($AN162,6))))</f>
        <v/>
      </c>
      <c r="BI162" s="123" t="str">
        <f aca="false">IF($BL162&lt;&gt;Constants!$B$4,"",IF(NOT($BC162),"",IF(NOT($X162),Constants!$B$11,IF(OR(NOT($AI162),NOT($AJ162),ROUND($AB162,1)&gt;Constants!$B$12,ROUND($Z162,1)&gt;Constants!$B$13,ROUND($AA162,1)&gt;Constants!$B$14),Constants!$B$10,Constants!$B$9))))</f>
        <v/>
      </c>
      <c r="BJ162" s="128" t="str">
        <f aca="false">IF($BL162&lt;&gt;Constants!$B$4,"",IF(NOT($BC162),"",ROUND($BE162+$BF162+$BG162+$BH162,1)))</f>
        <v/>
      </c>
      <c r="BK162" s="129" t="str">
        <f aca="false">IF($BL162&lt;&gt;Constants!$B$4,"",IF(NOT($BC162),"",IF(ISNUMBER($AL162),$AL162,0)))</f>
        <v/>
      </c>
      <c r="BL162" s="124" t="str">
        <f aca="false">IF(ISBLANK($C162),"",IF($AO162,Constants!$B$7,IF(COUNTA($E162:$V162)=0,Constants!$B$6,IF(NOT($Y162),Constants!$B$5,IF(NOT(OR($AS162,$BC162)),Constants!$B$5,IF(OR($AT162,$BD162,$AQ162,$AR162&lt;&gt;""),Constants!$B$8,Constants!$B$4))))))</f>
        <v/>
      </c>
      <c r="BM162" s="124" t="str">
        <f aca="false">IF(ISBLANK($C162),"",IF($BL162&lt;&gt;Constants!$B$4,$BL162,IF($BB162="-&gt;",$BI162,$AY162)))</f>
        <v/>
      </c>
      <c r="BN162" s="127" t="str">
        <f aca="false">IF($BL162&lt;&gt;Constants!$B$4,"",IF($BB162="-&gt;",$BJ162,$AZ162))</f>
        <v/>
      </c>
      <c r="BO162" s="127" t="str">
        <f aca="false">IF(ISBLANK($C162),"",IF($BL162&lt;&gt;Constants!$B$4,$BL162,$BN162))</f>
        <v/>
      </c>
      <c r="BP162" s="124" t="str">
        <f aca="false">IF(ISBLANK($C162),"",IF($BL162&lt;&gt;Constants!$B$4,$BL162,RANK($BO162,$BO$9:$BO$508,0)))</f>
        <v/>
      </c>
      <c r="BQ162" s="124" t="str">
        <f aca="false">IF(ISBLANK($C162),"",IF($BL162&lt;&gt;Constants!$B$4,$BL162,COUNTIFS($BM$9:$BM$508,"&lt;"&amp;$BM162)+COUNTIFS($BM$9:$BM$508,$BM162,$BP$9:$BP$508,"&lt;"&amp;$BP162)+1))</f>
        <v/>
      </c>
      <c r="BR162" s="127" t="str">
        <f aca="false">IF($BL162&lt;&gt;Constants!$B$4,"",IF($BB162="-&gt;",$BH162,$AX162))</f>
        <v/>
      </c>
      <c r="BS162" s="124" t="str">
        <f aca="false">IF(ISBLANK($C162),"",IF($BL162&lt;&gt;Constants!$B$4,$BL162,IF(ISNUMBER($BR162),RANK($BR162,$BR$9:$BR$508,0),COUNT($BR$9:$BR$508)+1)))</f>
        <v/>
      </c>
      <c r="BT162" s="127" t="str">
        <f aca="false">IF($BL162&lt;&gt;Constants!$B$4,"",IF($BB162="-&gt;",$BE162,$AU162))</f>
        <v/>
      </c>
      <c r="BU162" s="124" t="str">
        <f aca="false">IF(ISBLANK($C162),"",IF($BL162&lt;&gt;Constants!$B$4,$BL162,IF(ISNUMBER($BT162),RANK($BT162,$BT$9:$BT$508,0),COUNT($BT$9:$BT$508)+1)))</f>
        <v/>
      </c>
      <c r="BV162" s="127" t="str">
        <f aca="false">IF($BL162&lt;&gt;Constants!$B$4,"",IF($BB162="-&gt;",$BF162,$AV162))</f>
        <v/>
      </c>
      <c r="BW162" s="124" t="str">
        <f aca="false">IF(ISBLANK($C162),"",IF($BL162&lt;&gt;Constants!$B$4,$BL162,IF(ISNUMBER($BV162),RANK($BV162,$BV$9:$BV$508,0),COUNT($BV$9:$BV$508)+1)))</f>
        <v/>
      </c>
      <c r="BX162" s="127" t="str">
        <f aca="false">IF($BL162&lt;&gt;Constants!$B$4,"",IF($BB162="-&gt;",$BK162,$BA162))</f>
        <v/>
      </c>
      <c r="BY162" s="124" t="str">
        <f aca="false">IF(ISBLANK($C162),"",IF($BL162&lt;&gt;Constants!$B$4,$BL162,IF(ISNUMBER($BX162),RANK($BX162,$BX$9:$BX$508,0),COUNT($BX$9:$BX$508)+1)))</f>
        <v/>
      </c>
      <c r="BZ162" s="124" t="str">
        <f aca="false">IF(ISBLANK($C162),"",IF($BL162&lt;&gt;Constants!$B$4,$BL162,COUNTIFS($BM$9:$BM$508,"&lt;"&amp;$BM162)+COUNTIFS($BM$9:$BM$508,$BM162,$BP$9:$BP$508,"&lt;"&amp;$BP162)+COUNTIFS($BM$9:$BM$508,$BM162,$BP$9:$BP$508,$BP162,$BS$9:$BS$508,"&lt;"&amp;$BS162)+COUNTIFS($BM$9:$BM$508,$BM162,$BP$9:$BP$508,$BP162,$BS$9:$BS$508,$BS162,$BU$9:$BU$508,"&lt;"&amp;$BU162)+COUNTIFS($BM$9:$BM$508,$BM162,$BP$9:$BP$508,$BP162,$BS$9:$BS$508,$BS162,$BU$9:$BU$508,$BU162,$BW$9:$BW$508,"&lt;"&amp;$BW162)+COUNTIFS($BM$9:$BM$508,$BM162,$BP$9:$BP$508,$BP162,$BS$9:$BS$508,$BS162,$BU$9:$BU$508,$BU162,$BW$9:$BW$508,$BW162,$BY$9:$BY$508,"&lt;"&amp;$BY162)+1))</f>
        <v/>
      </c>
      <c r="CA162" s="124" t="str">
        <f aca="false">IF(ISBLANK($C162),"",IF($BL162&lt;&gt;Constants!$B$4,$BL162,$BQ162-$BZ162))</f>
        <v/>
      </c>
      <c r="CB162" s="130"/>
      <c r="CC162" s="131" t="str">
        <f aca="false">IF(ISBLANK($C162),"",IF($BL162=Constants!$B$8,$AR162,""))</f>
        <v/>
      </c>
      <c r="CD162" s="131" t="str">
        <f aca="false">IF(ISBLANK($C162),"",IF($BL162&lt;&gt;Constants!$B$4,"",IF($BB162="-&gt;",2,1)))</f>
        <v/>
      </c>
      <c r="CE162" s="132" t="str">
        <f aca="false">IF(ISBLANK($C162),"",IF($BL162&lt;&gt;Constants!$B$4,"",IF($BB162="-&gt;",$BE162,$AU162)))</f>
        <v/>
      </c>
      <c r="CF162" s="132" t="str">
        <f aca="false">IF(ISBLANK($C162),"",IF($BL162&lt;&gt;Constants!$B$4,"",IF($BB162="-&gt;",$BF162,$AV162)))</f>
        <v/>
      </c>
      <c r="CG162" s="132" t="str">
        <f aca="false">IF(ISBLANK($C162),"",IF($BL162&lt;&gt;Constants!$B$4,"",IF($BB162="-&gt;",$BG162,$AW162)))</f>
        <v/>
      </c>
      <c r="CH162" s="132" t="str">
        <f aca="false">IF(ISBLANK($C162),"",IF($BL162&lt;&gt;Constants!$B$4,"",IF($BB162="-&gt;",$BH162,$AX162)))</f>
        <v/>
      </c>
      <c r="CI162" s="133" t="str">
        <f aca="false">IF(ISBLANK($C162),"",$BO162)</f>
        <v/>
      </c>
      <c r="CJ162" s="134" t="str">
        <f aca="false">IF(ISBLANK($C162),"",$BM162)</f>
        <v/>
      </c>
      <c r="CK162" s="135" t="str">
        <f aca="false">IF(ISBLANK($C162),"",$CA162)</f>
        <v/>
      </c>
      <c r="CL162" s="135" t="str">
        <f aca="false">IF(ISBLANK($C162),"",$BZ162)</f>
        <v/>
      </c>
      <c r="CM162" s="136" t="str">
        <f aca="false">IF(ISBLANK($C162),"",IF($CL162=Constants!$B$7,COUNTA($C$9:$C$508)+2,IF($CL162=Constants!$B$6,COUNTA($C$9:$C$508)+1,IF($CL162=Constants!$B$5,COUNTA($C$9:$C$508),$CL162))))</f>
        <v/>
      </c>
      <c r="CN162" s="8"/>
      <c r="CO162" s="137" t="n">
        <f aca="false">IF(OR(ISNUMBER($CL162),$CL162=Constants!$B$7,$CL162=Constants!$B$5,$CL162=Constants!$B$6),1,0)</f>
        <v>0</v>
      </c>
      <c r="CP162" s="137" t="n">
        <v>154</v>
      </c>
      <c r="CQ162" s="137" t="str">
        <f aca="false">IF(ISBLANK($C162),"",IF(ISNUMBER($CM162),$CM162+ROW($B162)/1000,""))</f>
        <v/>
      </c>
      <c r="CR162" s="137" t="str">
        <f aca="false">IF(ISNUMBER($CQ162),RANK($CQ162,$CQ$9:$CQ$508,1),"")</f>
        <v/>
      </c>
      <c r="CS162" s="137" t="str">
        <f aca="false">IF(ISBLANK($C162),"",$B162)</f>
        <v/>
      </c>
      <c r="CT162" s="137" t="str">
        <f aca="false">IF(ISBLANK($C162),"",$C162)</f>
        <v/>
      </c>
      <c r="CU162" s="137" t="str">
        <f aca="false">IF(ISBLANK($C162),"",$D162)</f>
        <v/>
      </c>
      <c r="CV162" s="138" t="str">
        <f aca="false">$CJ162</f>
        <v/>
      </c>
      <c r="CW162" s="139" t="str">
        <f aca="false">$CI162</f>
        <v/>
      </c>
      <c r="CX162" s="137" t="str">
        <f aca="false">IF(ISBLANK($C162),"",$CL162)</f>
        <v/>
      </c>
      <c r="CY162" s="140" t="str">
        <f aca="false">IF($CP162&gt;$CO$8,"",VLOOKUP($CP162,$CR$9:$CX$508,7,FALSE()))</f>
        <v/>
      </c>
      <c r="CZ162" s="141" t="str">
        <f aca="false">IF($CP162&gt;$CO$8,"",VLOOKUP($CP162,$CR$9:$CX$508,2,FALSE()))</f>
        <v/>
      </c>
      <c r="DA162" s="141" t="str">
        <f aca="false">IF($CP162&gt;$CO$8,"",VLOOKUP($CP162,$CR$9:$CX$508,3,FALSE()))</f>
        <v/>
      </c>
      <c r="DB162" s="141" t="str">
        <f aca="false">IF($CP162&gt;$CO$8,"",VLOOKUP($CP162,$CR$9:$CX$508,4,FALSE()))</f>
        <v/>
      </c>
      <c r="DC162" s="141" t="str">
        <f aca="false">IF($CP162&gt;$CO$8,"",VLOOKUP($CP162,$CR$9:$CX$508,5,FALSE()))</f>
        <v/>
      </c>
      <c r="DD162" s="142" t="str">
        <f aca="false">IF($CP162&gt;$CO$8,"",VLOOKUP($CP162,$CR$9:$CX$508,6,FALSE()))</f>
        <v/>
      </c>
      <c r="DE162" s="70"/>
    </row>
    <row r="163" customFormat="false" ht="15.75" hidden="false" customHeight="false" outlineLevel="0" collapsed="false">
      <c r="A163" s="8"/>
      <c r="B163" s="146"/>
      <c r="C163" s="147"/>
      <c r="D163" s="148"/>
      <c r="E163" s="164"/>
      <c r="F163" s="150"/>
      <c r="G163" s="115"/>
      <c r="H163" s="115"/>
      <c r="I163" s="115"/>
      <c r="J163" s="165"/>
      <c r="K163" s="154"/>
      <c r="L163" s="154"/>
      <c r="M163" s="118"/>
      <c r="N163" s="154"/>
      <c r="O163" s="153"/>
      <c r="P163" s="154"/>
      <c r="Q163" s="154"/>
      <c r="R163" s="154"/>
      <c r="S163" s="115"/>
      <c r="T163" s="154"/>
      <c r="U163" s="153"/>
      <c r="V163" s="154"/>
      <c r="W163" s="123"/>
      <c r="X163" s="124" t="str">
        <f aca="false">IF(ISBLANK($C163),"",IF($E163=Constants!$B$2,TRUE(),IF($E163=Constants!$B$3,FALSE(),TRUE())))</f>
        <v/>
      </c>
      <c r="Y163" s="124" t="str">
        <f aca="false">IF(ISBLANK($C163),"",IF($F163=Constants!$B$2,TRUE(),IF($F163=Constants!$B$3,FALSE(),TRUE())))</f>
        <v/>
      </c>
      <c r="Z163" s="125" t="str">
        <f aca="false">IF(ISBLANK($C163),"",IF(ISNUMBER($G163),IF($G163&gt;=0,$G163,""),""))</f>
        <v/>
      </c>
      <c r="AA163" s="125" t="str">
        <f aca="false">IF(ISBLANK($C163),"",IF(ISNUMBER($H163),IF($H163&gt;=0,$H163,""),""))</f>
        <v/>
      </c>
      <c r="AB163" s="125" t="str">
        <f aca="false">IF(ISBLANK($C163),"",IF(ISNUMBER($I163),IF($I163&gt;=0,$I163,""),""))</f>
        <v/>
      </c>
      <c r="AC163" s="124" t="str">
        <f aca="false">IF(ISBLANK($C163),"",IF($J163=Constants!$B$2,TRUE(),IF($J163=Constants!$B$3,FALSE(),TRUE())))</f>
        <v/>
      </c>
      <c r="AD163" s="124" t="str">
        <f aca="false">IF(ISBLANK($C163),"",IF($K163=Constants!$B$2,TRUE(),IF($K163=Constants!$B$3,FALSE(),TRUE())))</f>
        <v/>
      </c>
      <c r="AE163" s="124" t="str">
        <f aca="false">IF(ISBLANK($C163),"",IF($L163=Constants!$B$2,TRUE(),IF($L163=Constants!$B$3,FALSE(),TRUE())))</f>
        <v/>
      </c>
      <c r="AF163" s="126" t="str">
        <f aca="false">IF(ISBLANK($C163),"",IF(ISNUMBER($M163),IF($M163&gt;=0,$M163,""),""))</f>
        <v/>
      </c>
      <c r="AG163" s="124" t="str">
        <f aca="false">IF(ISBLANK($C163),"",IF(ISBLANK($N163),0,IF(ISNUMBER($N163),IF(AND($N163&gt;=0,$N163&lt;=Constants!$B$17,$N163=INT($N163)),$N163,""),"")))</f>
        <v/>
      </c>
      <c r="AH163" s="125" t="str">
        <f aca="false">IF(ISBLANK($C163),"",IF(ISBLANK($O163),0,IF(ISNUMBER($O163),IF($O163&gt;=0,$O163,""),"")))</f>
        <v/>
      </c>
      <c r="AI163" s="124" t="str">
        <f aca="false">IF(ISBLANK($C163),"",IF($P163=Constants!$B$2,TRUE(),IF($P163=Constants!$B$3,FALSE(),TRUE())))</f>
        <v/>
      </c>
      <c r="AJ163" s="124" t="str">
        <f aca="false">IF(ISBLANK($C163),"",IF($Q163=Constants!$B$2,TRUE(),IF($Q163=Constants!$B$3,FALSE(),TRUE())))</f>
        <v/>
      </c>
      <c r="AK163" s="124" t="str">
        <f aca="false">IF(ISBLANK($C163),"",IF($R163=Constants!$B$2,TRUE(),IF($R163=Constants!$B$3,FALSE(),TRUE())))</f>
        <v/>
      </c>
      <c r="AL163" s="126" t="str">
        <f aca="false">IF(ISBLANK($C163),"",IF(ISNUMBER($S163),IF($S163&gt;=0,$S163,""),""))</f>
        <v/>
      </c>
      <c r="AM163" s="124" t="str">
        <f aca="false">IF(ISBLANK($C163),"",IF(ISBLANK($T163),0,IF(ISNUMBER($T163),IF(AND($T163&gt;=0,$T163&lt;=Constants!$B$17,$T163=INT($T163)),$T163,""),"")))</f>
        <v/>
      </c>
      <c r="AN163" s="125" t="str">
        <f aca="false">IF(ISBLANK($C163),"",IF(ISBLANK($U163),0,IF(ISNUMBER($U163),IF($U163&gt;=0,$U163,""),"")))</f>
        <v/>
      </c>
      <c r="AO163" s="124" t="str">
        <f aca="false">IF(ISBLANK($C163),"",IF($V163=Constants!$B$2,TRUE(),IF($V163=Constants!$B$3,FALSE(),FALSE())))</f>
        <v/>
      </c>
      <c r="AP163" s="124"/>
      <c r="AQ163" s="123" t="str">
        <f aca="false">IF(ISBLANK($C163),"",AND($Y163,OR($AS163,$BC163),OR($Z163="",$AA163="",$AB163="")))</f>
        <v/>
      </c>
      <c r="AR163" s="123" t="str">
        <f aca="false">IF(ISBLANK($C163),"",IF(OR(NOT($Y163),NOT(OR($AS163,$BC163))),"",IF(ISBLANK($D$7),$AR$5,IF($AP$9="",$AR$6,""))))</f>
        <v/>
      </c>
      <c r="AS163" s="123" t="str">
        <f aca="false">IF(ISBLANK($C163),"",COUNTA($J163:$O163)&gt;0)</f>
        <v/>
      </c>
      <c r="AT163" s="123" t="str">
        <f aca="false">IF(ISBLANK($C163),"",AND($AS163,OR(AND($AF163="",OR($AE163,NOT(ISBLANK($M163)))),$AG163="",$AH163="")))</f>
        <v/>
      </c>
      <c r="AU163" s="125" t="str">
        <f aca="false">IF($BL163&lt;&gt;Constants!$B$4,"",IF(NOT($AS163),"",ROUND((Constants!$B$12-$AB163)+(Constants!$B$13-$Z163)+(Constants!$B$14-$AA163),1)))</f>
        <v/>
      </c>
      <c r="AV163" s="127" t="str">
        <f aca="false">IF($BL163&lt;&gt;Constants!$B$4,"",IF(NOT($AS163),"",IF(NOT($AE163),0,Constants!$B$15*(INT(ROUND(MIN($AF163,$AP$9),6))-INT(ROUND(MAX(0,MIN($AF163,2*$AP$9)-$AP$9),6))))))</f>
        <v/>
      </c>
      <c r="AW163" s="127" t="str">
        <f aca="false">IF($BL163&lt;&gt;Constants!$B$4,"",IF(NOT($AS163),"",Constants!$B$16*$AG163))</f>
        <v/>
      </c>
      <c r="AX163" s="127" t="str">
        <f aca="false">IF($BL163&lt;&gt;Constants!$B$4,"",IF(NOT($AS163),"",Constants!$B$18*INT(ROUND($AH163,6))))</f>
        <v/>
      </c>
      <c r="AY163" s="123" t="str">
        <f aca="false">IF($BL163&lt;&gt;Constants!$B$4,"",IF(NOT($AS163),"",IF(NOT($X163),Constants!$B$11,IF(OR(NOT($AC163),NOT($AD163),ROUND($AB163,1)&gt;Constants!$B$12,ROUND($Z163,1)&gt;Constants!$B$13,ROUND($AA163,1)&gt;Constants!$B$14),Constants!$B$10,Constants!$B$9))))</f>
        <v/>
      </c>
      <c r="AZ163" s="128" t="str">
        <f aca="false">IF($BL163&lt;&gt;Constants!$B$4,"",IF(NOT($AS163),"",ROUND($AU163+$AV163+$AW163+$AX163,1)))</f>
        <v/>
      </c>
      <c r="BA163" s="129" t="str">
        <f aca="false">IF($BL163&lt;&gt;Constants!$B$4,"",IF(NOT($AS163),"",IF(ISNUMBER($AF163),$AF163,0)))</f>
        <v/>
      </c>
      <c r="BB163" s="124" t="str">
        <f aca="false">IF($BL163&lt;&gt;Constants!$B$4,"",IF(NOT($BC163),"&lt;-",IF(NOT($AS163),"-&gt;",IF(OR($BI163&lt;$AY163,AND($BI163=$AY163,OR($BJ163&gt;$AZ163,AND($BJ163=$AZ163,OR($BH163&gt;$AX163,AND($BH163=$AX163,OR($BE163&gt;$AU163,AND($BE163=$AU163,OR($BF163&gt;$AV163,AND($BF163=$AV163,$BK163&gt;$BA163)))))))))),"-&gt;","&lt;-"))))</f>
        <v/>
      </c>
      <c r="BC163" s="123" t="str">
        <f aca="false">IF(ISBLANK($C163),"",COUNTA($P163:$U163)&gt;0)</f>
        <v/>
      </c>
      <c r="BD163" s="123" t="str">
        <f aca="false">IF(ISBLANK($C163),"",AND($BC163,OR(AND($AL163="",OR($AK163,NOT(ISBLANK($S163)))),$AM163="",$AN163="")))</f>
        <v/>
      </c>
      <c r="BE163" s="125" t="str">
        <f aca="false">IF($BL163&lt;&gt;Constants!$B$4,"",IF(NOT($BC163),"",ROUND((Constants!$B$12-$AB163)+(Constants!$B$13-$Z163)+(Constants!$B$14-$AA163),1)))</f>
        <v/>
      </c>
      <c r="BF163" s="127" t="str">
        <f aca="false">IF($BL163&lt;&gt;Constants!$B$4,"",IF(NOT($BC163),"",IF(NOT($AK163),0,Constants!$B$15*(INT(ROUND(MIN($AL163,$AP$9),6))-INT(ROUND(MAX(0,MIN($AL163,2*$AP$9)-$AP$9),6))))))</f>
        <v/>
      </c>
      <c r="BG163" s="127" t="str">
        <f aca="false">IF($BL163&lt;&gt;Constants!$B$4,"",IF(NOT($BC163),"",Constants!$B$16*$AM163))</f>
        <v/>
      </c>
      <c r="BH163" s="127" t="str">
        <f aca="false">IF($BL163&lt;&gt;Constants!$B$4,"",IF(NOT($BC163),"",Constants!$B$18*INT(ROUND($AN163,6))))</f>
        <v/>
      </c>
      <c r="BI163" s="123" t="str">
        <f aca="false">IF($BL163&lt;&gt;Constants!$B$4,"",IF(NOT($BC163),"",IF(NOT($X163),Constants!$B$11,IF(OR(NOT($AI163),NOT($AJ163),ROUND($AB163,1)&gt;Constants!$B$12,ROUND($Z163,1)&gt;Constants!$B$13,ROUND($AA163,1)&gt;Constants!$B$14),Constants!$B$10,Constants!$B$9))))</f>
        <v/>
      </c>
      <c r="BJ163" s="128" t="str">
        <f aca="false">IF($BL163&lt;&gt;Constants!$B$4,"",IF(NOT($BC163),"",ROUND($BE163+$BF163+$BG163+$BH163,1)))</f>
        <v/>
      </c>
      <c r="BK163" s="129" t="str">
        <f aca="false">IF($BL163&lt;&gt;Constants!$B$4,"",IF(NOT($BC163),"",IF(ISNUMBER($AL163),$AL163,0)))</f>
        <v/>
      </c>
      <c r="BL163" s="124" t="str">
        <f aca="false">IF(ISBLANK($C163),"",IF($AO163,Constants!$B$7,IF(COUNTA($E163:$V163)=0,Constants!$B$6,IF(NOT($Y163),Constants!$B$5,IF(NOT(OR($AS163,$BC163)),Constants!$B$5,IF(OR($AT163,$BD163,$AQ163,$AR163&lt;&gt;""),Constants!$B$8,Constants!$B$4))))))</f>
        <v/>
      </c>
      <c r="BM163" s="124" t="str">
        <f aca="false">IF(ISBLANK($C163),"",IF($BL163&lt;&gt;Constants!$B$4,$BL163,IF($BB163="-&gt;",$BI163,$AY163)))</f>
        <v/>
      </c>
      <c r="BN163" s="127" t="str">
        <f aca="false">IF($BL163&lt;&gt;Constants!$B$4,"",IF($BB163="-&gt;",$BJ163,$AZ163))</f>
        <v/>
      </c>
      <c r="BO163" s="127" t="str">
        <f aca="false">IF(ISBLANK($C163),"",IF($BL163&lt;&gt;Constants!$B$4,$BL163,$BN163))</f>
        <v/>
      </c>
      <c r="BP163" s="124" t="str">
        <f aca="false">IF(ISBLANK($C163),"",IF($BL163&lt;&gt;Constants!$B$4,$BL163,RANK($BO163,$BO$9:$BO$508,0)))</f>
        <v/>
      </c>
      <c r="BQ163" s="124" t="str">
        <f aca="false">IF(ISBLANK($C163),"",IF($BL163&lt;&gt;Constants!$B$4,$BL163,COUNTIFS($BM$9:$BM$508,"&lt;"&amp;$BM163)+COUNTIFS($BM$9:$BM$508,$BM163,$BP$9:$BP$508,"&lt;"&amp;$BP163)+1))</f>
        <v/>
      </c>
      <c r="BR163" s="127" t="str">
        <f aca="false">IF($BL163&lt;&gt;Constants!$B$4,"",IF($BB163="-&gt;",$BH163,$AX163))</f>
        <v/>
      </c>
      <c r="BS163" s="124" t="str">
        <f aca="false">IF(ISBLANK($C163),"",IF($BL163&lt;&gt;Constants!$B$4,$BL163,IF(ISNUMBER($BR163),RANK($BR163,$BR$9:$BR$508,0),COUNT($BR$9:$BR$508)+1)))</f>
        <v/>
      </c>
      <c r="BT163" s="127" t="str">
        <f aca="false">IF($BL163&lt;&gt;Constants!$B$4,"",IF($BB163="-&gt;",$BE163,$AU163))</f>
        <v/>
      </c>
      <c r="BU163" s="124" t="str">
        <f aca="false">IF(ISBLANK($C163),"",IF($BL163&lt;&gt;Constants!$B$4,$BL163,IF(ISNUMBER($BT163),RANK($BT163,$BT$9:$BT$508,0),COUNT($BT$9:$BT$508)+1)))</f>
        <v/>
      </c>
      <c r="BV163" s="127" t="str">
        <f aca="false">IF($BL163&lt;&gt;Constants!$B$4,"",IF($BB163="-&gt;",$BF163,$AV163))</f>
        <v/>
      </c>
      <c r="BW163" s="124" t="str">
        <f aca="false">IF(ISBLANK($C163),"",IF($BL163&lt;&gt;Constants!$B$4,$BL163,IF(ISNUMBER($BV163),RANK($BV163,$BV$9:$BV$508,0),COUNT($BV$9:$BV$508)+1)))</f>
        <v/>
      </c>
      <c r="BX163" s="127" t="str">
        <f aca="false">IF($BL163&lt;&gt;Constants!$B$4,"",IF($BB163="-&gt;",$BK163,$BA163))</f>
        <v/>
      </c>
      <c r="BY163" s="124" t="str">
        <f aca="false">IF(ISBLANK($C163),"",IF($BL163&lt;&gt;Constants!$B$4,$BL163,IF(ISNUMBER($BX163),RANK($BX163,$BX$9:$BX$508,0),COUNT($BX$9:$BX$508)+1)))</f>
        <v/>
      </c>
      <c r="BZ163" s="124" t="str">
        <f aca="false">IF(ISBLANK($C163),"",IF($BL163&lt;&gt;Constants!$B$4,$BL163,COUNTIFS($BM$9:$BM$508,"&lt;"&amp;$BM163)+COUNTIFS($BM$9:$BM$508,$BM163,$BP$9:$BP$508,"&lt;"&amp;$BP163)+COUNTIFS($BM$9:$BM$508,$BM163,$BP$9:$BP$508,$BP163,$BS$9:$BS$508,"&lt;"&amp;$BS163)+COUNTIFS($BM$9:$BM$508,$BM163,$BP$9:$BP$508,$BP163,$BS$9:$BS$508,$BS163,$BU$9:$BU$508,"&lt;"&amp;$BU163)+COUNTIFS($BM$9:$BM$508,$BM163,$BP$9:$BP$508,$BP163,$BS$9:$BS$508,$BS163,$BU$9:$BU$508,$BU163,$BW$9:$BW$508,"&lt;"&amp;$BW163)+COUNTIFS($BM$9:$BM$508,$BM163,$BP$9:$BP$508,$BP163,$BS$9:$BS$508,$BS163,$BU$9:$BU$508,$BU163,$BW$9:$BW$508,$BW163,$BY$9:$BY$508,"&lt;"&amp;$BY163)+1))</f>
        <v/>
      </c>
      <c r="CA163" s="124" t="str">
        <f aca="false">IF(ISBLANK($C163),"",IF($BL163&lt;&gt;Constants!$B$4,$BL163,$BQ163-$BZ163))</f>
        <v/>
      </c>
      <c r="CB163" s="130"/>
      <c r="CC163" s="131" t="str">
        <f aca="false">IF(ISBLANK($C163),"",IF($BL163=Constants!$B$8,$AR163,""))</f>
        <v/>
      </c>
      <c r="CD163" s="131" t="str">
        <f aca="false">IF(ISBLANK($C163),"",IF($BL163&lt;&gt;Constants!$B$4,"",IF($BB163="-&gt;",2,1)))</f>
        <v/>
      </c>
      <c r="CE163" s="132" t="str">
        <f aca="false">IF(ISBLANK($C163),"",IF($BL163&lt;&gt;Constants!$B$4,"",IF($BB163="-&gt;",$BE163,$AU163)))</f>
        <v/>
      </c>
      <c r="CF163" s="132" t="str">
        <f aca="false">IF(ISBLANK($C163),"",IF($BL163&lt;&gt;Constants!$B$4,"",IF($BB163="-&gt;",$BF163,$AV163)))</f>
        <v/>
      </c>
      <c r="CG163" s="132" t="str">
        <f aca="false">IF(ISBLANK($C163),"",IF($BL163&lt;&gt;Constants!$B$4,"",IF($BB163="-&gt;",$BG163,$AW163)))</f>
        <v/>
      </c>
      <c r="CH163" s="132" t="str">
        <f aca="false">IF(ISBLANK($C163),"",IF($BL163&lt;&gt;Constants!$B$4,"",IF($BB163="-&gt;",$BH163,$AX163)))</f>
        <v/>
      </c>
      <c r="CI163" s="133" t="str">
        <f aca="false">IF(ISBLANK($C163),"",$BO163)</f>
        <v/>
      </c>
      <c r="CJ163" s="134" t="str">
        <f aca="false">IF(ISBLANK($C163),"",$BM163)</f>
        <v/>
      </c>
      <c r="CK163" s="135" t="str">
        <f aca="false">IF(ISBLANK($C163),"",$CA163)</f>
        <v/>
      </c>
      <c r="CL163" s="135" t="str">
        <f aca="false">IF(ISBLANK($C163),"",$BZ163)</f>
        <v/>
      </c>
      <c r="CM163" s="136" t="str">
        <f aca="false">IF(ISBLANK($C163),"",IF($CL163=Constants!$B$7,COUNTA($C$9:$C$508)+2,IF($CL163=Constants!$B$6,COUNTA($C$9:$C$508)+1,IF($CL163=Constants!$B$5,COUNTA($C$9:$C$508),$CL163))))</f>
        <v/>
      </c>
      <c r="CN163" s="8"/>
      <c r="CO163" s="137" t="n">
        <f aca="false">IF(OR(ISNUMBER($CL163),$CL163=Constants!$B$7,$CL163=Constants!$B$5,$CL163=Constants!$B$6),1,0)</f>
        <v>0</v>
      </c>
      <c r="CP163" s="137" t="n">
        <v>155</v>
      </c>
      <c r="CQ163" s="137" t="str">
        <f aca="false">IF(ISBLANK($C163),"",IF(ISNUMBER($CM163),$CM163+ROW($B163)/1000,""))</f>
        <v/>
      </c>
      <c r="CR163" s="137" t="str">
        <f aca="false">IF(ISNUMBER($CQ163),RANK($CQ163,$CQ$9:$CQ$508,1),"")</f>
        <v/>
      </c>
      <c r="CS163" s="137" t="str">
        <f aca="false">IF(ISBLANK($C163),"",$B163)</f>
        <v/>
      </c>
      <c r="CT163" s="137" t="str">
        <f aca="false">IF(ISBLANK($C163),"",$C163)</f>
        <v/>
      </c>
      <c r="CU163" s="137" t="str">
        <f aca="false">IF(ISBLANK($C163),"",$D163)</f>
        <v/>
      </c>
      <c r="CV163" s="138" t="str">
        <f aca="false">$CJ163</f>
        <v/>
      </c>
      <c r="CW163" s="139" t="str">
        <f aca="false">$CI163</f>
        <v/>
      </c>
      <c r="CX163" s="137" t="str">
        <f aca="false">IF(ISBLANK($C163),"",$CL163)</f>
        <v/>
      </c>
      <c r="CY163" s="140" t="str">
        <f aca="false">IF($CP163&gt;$CO$8,"",VLOOKUP($CP163,$CR$9:$CX$508,7,FALSE()))</f>
        <v/>
      </c>
      <c r="CZ163" s="141" t="str">
        <f aca="false">IF($CP163&gt;$CO$8,"",VLOOKUP($CP163,$CR$9:$CX$508,2,FALSE()))</f>
        <v/>
      </c>
      <c r="DA163" s="141" t="str">
        <f aca="false">IF($CP163&gt;$CO$8,"",VLOOKUP($CP163,$CR$9:$CX$508,3,FALSE()))</f>
        <v/>
      </c>
      <c r="DB163" s="141" t="str">
        <f aca="false">IF($CP163&gt;$CO$8,"",VLOOKUP($CP163,$CR$9:$CX$508,4,FALSE()))</f>
        <v/>
      </c>
      <c r="DC163" s="141" t="str">
        <f aca="false">IF($CP163&gt;$CO$8,"",VLOOKUP($CP163,$CR$9:$CX$508,5,FALSE()))</f>
        <v/>
      </c>
      <c r="DD163" s="142" t="str">
        <f aca="false">IF($CP163&gt;$CO$8,"",VLOOKUP($CP163,$CR$9:$CX$508,6,FALSE()))</f>
        <v/>
      </c>
      <c r="DE163" s="70"/>
    </row>
    <row r="164" customFormat="false" ht="15.75" hidden="false" customHeight="false" outlineLevel="0" collapsed="false">
      <c r="A164" s="8"/>
      <c r="B164" s="146"/>
      <c r="C164" s="147"/>
      <c r="D164" s="148"/>
      <c r="E164" s="164"/>
      <c r="F164" s="150"/>
      <c r="G164" s="115"/>
      <c r="H164" s="115"/>
      <c r="I164" s="115"/>
      <c r="J164" s="165"/>
      <c r="K164" s="154"/>
      <c r="L164" s="154"/>
      <c r="M164" s="118"/>
      <c r="N164" s="154"/>
      <c r="O164" s="153"/>
      <c r="P164" s="154"/>
      <c r="Q164" s="154"/>
      <c r="R164" s="154"/>
      <c r="S164" s="115"/>
      <c r="T164" s="154"/>
      <c r="U164" s="153"/>
      <c r="V164" s="154"/>
      <c r="W164" s="123"/>
      <c r="X164" s="124" t="str">
        <f aca="false">IF(ISBLANK($C164),"",IF($E164=Constants!$B$2,TRUE(),IF($E164=Constants!$B$3,FALSE(),TRUE())))</f>
        <v/>
      </c>
      <c r="Y164" s="124" t="str">
        <f aca="false">IF(ISBLANK($C164),"",IF($F164=Constants!$B$2,TRUE(),IF($F164=Constants!$B$3,FALSE(),TRUE())))</f>
        <v/>
      </c>
      <c r="Z164" s="125" t="str">
        <f aca="false">IF(ISBLANK($C164),"",IF(ISNUMBER($G164),IF($G164&gt;=0,$G164,""),""))</f>
        <v/>
      </c>
      <c r="AA164" s="125" t="str">
        <f aca="false">IF(ISBLANK($C164),"",IF(ISNUMBER($H164),IF($H164&gt;=0,$H164,""),""))</f>
        <v/>
      </c>
      <c r="AB164" s="125" t="str">
        <f aca="false">IF(ISBLANK($C164),"",IF(ISNUMBER($I164),IF($I164&gt;=0,$I164,""),""))</f>
        <v/>
      </c>
      <c r="AC164" s="124" t="str">
        <f aca="false">IF(ISBLANK($C164),"",IF($J164=Constants!$B$2,TRUE(),IF($J164=Constants!$B$3,FALSE(),TRUE())))</f>
        <v/>
      </c>
      <c r="AD164" s="124" t="str">
        <f aca="false">IF(ISBLANK($C164),"",IF($K164=Constants!$B$2,TRUE(),IF($K164=Constants!$B$3,FALSE(),TRUE())))</f>
        <v/>
      </c>
      <c r="AE164" s="124" t="str">
        <f aca="false">IF(ISBLANK($C164),"",IF($L164=Constants!$B$2,TRUE(),IF($L164=Constants!$B$3,FALSE(),TRUE())))</f>
        <v/>
      </c>
      <c r="AF164" s="126" t="str">
        <f aca="false">IF(ISBLANK($C164),"",IF(ISNUMBER($M164),IF($M164&gt;=0,$M164,""),""))</f>
        <v/>
      </c>
      <c r="AG164" s="124" t="str">
        <f aca="false">IF(ISBLANK($C164),"",IF(ISBLANK($N164),0,IF(ISNUMBER($N164),IF(AND($N164&gt;=0,$N164&lt;=Constants!$B$17,$N164=INT($N164)),$N164,""),"")))</f>
        <v/>
      </c>
      <c r="AH164" s="125" t="str">
        <f aca="false">IF(ISBLANK($C164),"",IF(ISBLANK($O164),0,IF(ISNUMBER($O164),IF($O164&gt;=0,$O164,""),"")))</f>
        <v/>
      </c>
      <c r="AI164" s="124" t="str">
        <f aca="false">IF(ISBLANK($C164),"",IF($P164=Constants!$B$2,TRUE(),IF($P164=Constants!$B$3,FALSE(),TRUE())))</f>
        <v/>
      </c>
      <c r="AJ164" s="124" t="str">
        <f aca="false">IF(ISBLANK($C164),"",IF($Q164=Constants!$B$2,TRUE(),IF($Q164=Constants!$B$3,FALSE(),TRUE())))</f>
        <v/>
      </c>
      <c r="AK164" s="124" t="str">
        <f aca="false">IF(ISBLANK($C164),"",IF($R164=Constants!$B$2,TRUE(),IF($R164=Constants!$B$3,FALSE(),TRUE())))</f>
        <v/>
      </c>
      <c r="AL164" s="126" t="str">
        <f aca="false">IF(ISBLANK($C164),"",IF(ISNUMBER($S164),IF($S164&gt;=0,$S164,""),""))</f>
        <v/>
      </c>
      <c r="AM164" s="124" t="str">
        <f aca="false">IF(ISBLANK($C164),"",IF(ISBLANK($T164),0,IF(ISNUMBER($T164),IF(AND($T164&gt;=0,$T164&lt;=Constants!$B$17,$T164=INT($T164)),$T164,""),"")))</f>
        <v/>
      </c>
      <c r="AN164" s="125" t="str">
        <f aca="false">IF(ISBLANK($C164),"",IF(ISBLANK($U164),0,IF(ISNUMBER($U164),IF($U164&gt;=0,$U164,""),"")))</f>
        <v/>
      </c>
      <c r="AO164" s="124" t="str">
        <f aca="false">IF(ISBLANK($C164),"",IF($V164=Constants!$B$2,TRUE(),IF($V164=Constants!$B$3,FALSE(),FALSE())))</f>
        <v/>
      </c>
      <c r="AP164" s="124"/>
      <c r="AQ164" s="123" t="str">
        <f aca="false">IF(ISBLANK($C164),"",AND($Y164,OR($AS164,$BC164),OR($Z164="",$AA164="",$AB164="")))</f>
        <v/>
      </c>
      <c r="AR164" s="123" t="str">
        <f aca="false">IF(ISBLANK($C164),"",IF(OR(NOT($Y164),NOT(OR($AS164,$BC164))),"",IF(ISBLANK($D$7),$AR$5,IF($AP$9="",$AR$6,""))))</f>
        <v/>
      </c>
      <c r="AS164" s="123" t="str">
        <f aca="false">IF(ISBLANK($C164),"",COUNTA($J164:$O164)&gt;0)</f>
        <v/>
      </c>
      <c r="AT164" s="123" t="str">
        <f aca="false">IF(ISBLANK($C164),"",AND($AS164,OR(AND($AF164="",OR($AE164,NOT(ISBLANK($M164)))),$AG164="",$AH164="")))</f>
        <v/>
      </c>
      <c r="AU164" s="125" t="str">
        <f aca="false">IF($BL164&lt;&gt;Constants!$B$4,"",IF(NOT($AS164),"",ROUND((Constants!$B$12-$AB164)+(Constants!$B$13-$Z164)+(Constants!$B$14-$AA164),1)))</f>
        <v/>
      </c>
      <c r="AV164" s="127" t="str">
        <f aca="false">IF($BL164&lt;&gt;Constants!$B$4,"",IF(NOT($AS164),"",IF(NOT($AE164),0,Constants!$B$15*(INT(ROUND(MIN($AF164,$AP$9),6))-INT(ROUND(MAX(0,MIN($AF164,2*$AP$9)-$AP$9),6))))))</f>
        <v/>
      </c>
      <c r="AW164" s="127" t="str">
        <f aca="false">IF($BL164&lt;&gt;Constants!$B$4,"",IF(NOT($AS164),"",Constants!$B$16*$AG164))</f>
        <v/>
      </c>
      <c r="AX164" s="127" t="str">
        <f aca="false">IF($BL164&lt;&gt;Constants!$B$4,"",IF(NOT($AS164),"",Constants!$B$18*INT(ROUND($AH164,6))))</f>
        <v/>
      </c>
      <c r="AY164" s="123" t="str">
        <f aca="false">IF($BL164&lt;&gt;Constants!$B$4,"",IF(NOT($AS164),"",IF(NOT($X164),Constants!$B$11,IF(OR(NOT($AC164),NOT($AD164),ROUND($AB164,1)&gt;Constants!$B$12,ROUND($Z164,1)&gt;Constants!$B$13,ROUND($AA164,1)&gt;Constants!$B$14),Constants!$B$10,Constants!$B$9))))</f>
        <v/>
      </c>
      <c r="AZ164" s="128" t="str">
        <f aca="false">IF($BL164&lt;&gt;Constants!$B$4,"",IF(NOT($AS164),"",ROUND($AU164+$AV164+$AW164+$AX164,1)))</f>
        <v/>
      </c>
      <c r="BA164" s="129" t="str">
        <f aca="false">IF($BL164&lt;&gt;Constants!$B$4,"",IF(NOT($AS164),"",IF(ISNUMBER($AF164),$AF164,0)))</f>
        <v/>
      </c>
      <c r="BB164" s="124" t="str">
        <f aca="false">IF($BL164&lt;&gt;Constants!$B$4,"",IF(NOT($BC164),"&lt;-",IF(NOT($AS164),"-&gt;",IF(OR($BI164&lt;$AY164,AND($BI164=$AY164,OR($BJ164&gt;$AZ164,AND($BJ164=$AZ164,OR($BH164&gt;$AX164,AND($BH164=$AX164,OR($BE164&gt;$AU164,AND($BE164=$AU164,OR($BF164&gt;$AV164,AND($BF164=$AV164,$BK164&gt;$BA164)))))))))),"-&gt;","&lt;-"))))</f>
        <v/>
      </c>
      <c r="BC164" s="123" t="str">
        <f aca="false">IF(ISBLANK($C164),"",COUNTA($P164:$U164)&gt;0)</f>
        <v/>
      </c>
      <c r="BD164" s="123" t="str">
        <f aca="false">IF(ISBLANK($C164),"",AND($BC164,OR(AND($AL164="",OR($AK164,NOT(ISBLANK($S164)))),$AM164="",$AN164="")))</f>
        <v/>
      </c>
      <c r="BE164" s="125" t="str">
        <f aca="false">IF($BL164&lt;&gt;Constants!$B$4,"",IF(NOT($BC164),"",ROUND((Constants!$B$12-$AB164)+(Constants!$B$13-$Z164)+(Constants!$B$14-$AA164),1)))</f>
        <v/>
      </c>
      <c r="BF164" s="127" t="str">
        <f aca="false">IF($BL164&lt;&gt;Constants!$B$4,"",IF(NOT($BC164),"",IF(NOT($AK164),0,Constants!$B$15*(INT(ROUND(MIN($AL164,$AP$9),6))-INT(ROUND(MAX(0,MIN($AL164,2*$AP$9)-$AP$9),6))))))</f>
        <v/>
      </c>
      <c r="BG164" s="127" t="str">
        <f aca="false">IF($BL164&lt;&gt;Constants!$B$4,"",IF(NOT($BC164),"",Constants!$B$16*$AM164))</f>
        <v/>
      </c>
      <c r="BH164" s="127" t="str">
        <f aca="false">IF($BL164&lt;&gt;Constants!$B$4,"",IF(NOT($BC164),"",Constants!$B$18*INT(ROUND($AN164,6))))</f>
        <v/>
      </c>
      <c r="BI164" s="123" t="str">
        <f aca="false">IF($BL164&lt;&gt;Constants!$B$4,"",IF(NOT($BC164),"",IF(NOT($X164),Constants!$B$11,IF(OR(NOT($AI164),NOT($AJ164),ROUND($AB164,1)&gt;Constants!$B$12,ROUND($Z164,1)&gt;Constants!$B$13,ROUND($AA164,1)&gt;Constants!$B$14),Constants!$B$10,Constants!$B$9))))</f>
        <v/>
      </c>
      <c r="BJ164" s="128" t="str">
        <f aca="false">IF($BL164&lt;&gt;Constants!$B$4,"",IF(NOT($BC164),"",ROUND($BE164+$BF164+$BG164+$BH164,1)))</f>
        <v/>
      </c>
      <c r="BK164" s="129" t="str">
        <f aca="false">IF($BL164&lt;&gt;Constants!$B$4,"",IF(NOT($BC164),"",IF(ISNUMBER($AL164),$AL164,0)))</f>
        <v/>
      </c>
      <c r="BL164" s="124" t="str">
        <f aca="false">IF(ISBLANK($C164),"",IF($AO164,Constants!$B$7,IF(COUNTA($E164:$V164)=0,Constants!$B$6,IF(NOT($Y164),Constants!$B$5,IF(NOT(OR($AS164,$BC164)),Constants!$B$5,IF(OR($AT164,$BD164,$AQ164,$AR164&lt;&gt;""),Constants!$B$8,Constants!$B$4))))))</f>
        <v/>
      </c>
      <c r="BM164" s="124" t="str">
        <f aca="false">IF(ISBLANK($C164),"",IF($BL164&lt;&gt;Constants!$B$4,$BL164,IF($BB164="-&gt;",$BI164,$AY164)))</f>
        <v/>
      </c>
      <c r="BN164" s="127" t="str">
        <f aca="false">IF($BL164&lt;&gt;Constants!$B$4,"",IF($BB164="-&gt;",$BJ164,$AZ164))</f>
        <v/>
      </c>
      <c r="BO164" s="127" t="str">
        <f aca="false">IF(ISBLANK($C164),"",IF($BL164&lt;&gt;Constants!$B$4,$BL164,$BN164))</f>
        <v/>
      </c>
      <c r="BP164" s="124" t="str">
        <f aca="false">IF(ISBLANK($C164),"",IF($BL164&lt;&gt;Constants!$B$4,$BL164,RANK($BO164,$BO$9:$BO$508,0)))</f>
        <v/>
      </c>
      <c r="BQ164" s="124" t="str">
        <f aca="false">IF(ISBLANK($C164),"",IF($BL164&lt;&gt;Constants!$B$4,$BL164,COUNTIFS($BM$9:$BM$508,"&lt;"&amp;$BM164)+COUNTIFS($BM$9:$BM$508,$BM164,$BP$9:$BP$508,"&lt;"&amp;$BP164)+1))</f>
        <v/>
      </c>
      <c r="BR164" s="127" t="str">
        <f aca="false">IF($BL164&lt;&gt;Constants!$B$4,"",IF($BB164="-&gt;",$BH164,$AX164))</f>
        <v/>
      </c>
      <c r="BS164" s="124" t="str">
        <f aca="false">IF(ISBLANK($C164),"",IF($BL164&lt;&gt;Constants!$B$4,$BL164,IF(ISNUMBER($BR164),RANK($BR164,$BR$9:$BR$508,0),COUNT($BR$9:$BR$508)+1)))</f>
        <v/>
      </c>
      <c r="BT164" s="127" t="str">
        <f aca="false">IF($BL164&lt;&gt;Constants!$B$4,"",IF($BB164="-&gt;",$BE164,$AU164))</f>
        <v/>
      </c>
      <c r="BU164" s="124" t="str">
        <f aca="false">IF(ISBLANK($C164),"",IF($BL164&lt;&gt;Constants!$B$4,$BL164,IF(ISNUMBER($BT164),RANK($BT164,$BT$9:$BT$508,0),COUNT($BT$9:$BT$508)+1)))</f>
        <v/>
      </c>
      <c r="BV164" s="127" t="str">
        <f aca="false">IF($BL164&lt;&gt;Constants!$B$4,"",IF($BB164="-&gt;",$BF164,$AV164))</f>
        <v/>
      </c>
      <c r="BW164" s="124" t="str">
        <f aca="false">IF(ISBLANK($C164),"",IF($BL164&lt;&gt;Constants!$B$4,$BL164,IF(ISNUMBER($BV164),RANK($BV164,$BV$9:$BV$508,0),COUNT($BV$9:$BV$508)+1)))</f>
        <v/>
      </c>
      <c r="BX164" s="127" t="str">
        <f aca="false">IF($BL164&lt;&gt;Constants!$B$4,"",IF($BB164="-&gt;",$BK164,$BA164))</f>
        <v/>
      </c>
      <c r="BY164" s="124" t="str">
        <f aca="false">IF(ISBLANK($C164),"",IF($BL164&lt;&gt;Constants!$B$4,$BL164,IF(ISNUMBER($BX164),RANK($BX164,$BX$9:$BX$508,0),COUNT($BX$9:$BX$508)+1)))</f>
        <v/>
      </c>
      <c r="BZ164" s="124" t="str">
        <f aca="false">IF(ISBLANK($C164),"",IF($BL164&lt;&gt;Constants!$B$4,$BL164,COUNTIFS($BM$9:$BM$508,"&lt;"&amp;$BM164)+COUNTIFS($BM$9:$BM$508,$BM164,$BP$9:$BP$508,"&lt;"&amp;$BP164)+COUNTIFS($BM$9:$BM$508,$BM164,$BP$9:$BP$508,$BP164,$BS$9:$BS$508,"&lt;"&amp;$BS164)+COUNTIFS($BM$9:$BM$508,$BM164,$BP$9:$BP$508,$BP164,$BS$9:$BS$508,$BS164,$BU$9:$BU$508,"&lt;"&amp;$BU164)+COUNTIFS($BM$9:$BM$508,$BM164,$BP$9:$BP$508,$BP164,$BS$9:$BS$508,$BS164,$BU$9:$BU$508,$BU164,$BW$9:$BW$508,"&lt;"&amp;$BW164)+COUNTIFS($BM$9:$BM$508,$BM164,$BP$9:$BP$508,$BP164,$BS$9:$BS$508,$BS164,$BU$9:$BU$508,$BU164,$BW$9:$BW$508,$BW164,$BY$9:$BY$508,"&lt;"&amp;$BY164)+1))</f>
        <v/>
      </c>
      <c r="CA164" s="124" t="str">
        <f aca="false">IF(ISBLANK($C164),"",IF($BL164&lt;&gt;Constants!$B$4,$BL164,$BQ164-$BZ164))</f>
        <v/>
      </c>
      <c r="CB164" s="130"/>
      <c r="CC164" s="131" t="str">
        <f aca="false">IF(ISBLANK($C164),"",IF($BL164=Constants!$B$8,$AR164,""))</f>
        <v/>
      </c>
      <c r="CD164" s="131" t="str">
        <f aca="false">IF(ISBLANK($C164),"",IF($BL164&lt;&gt;Constants!$B$4,"",IF($BB164="-&gt;",2,1)))</f>
        <v/>
      </c>
      <c r="CE164" s="132" t="str">
        <f aca="false">IF(ISBLANK($C164),"",IF($BL164&lt;&gt;Constants!$B$4,"",IF($BB164="-&gt;",$BE164,$AU164)))</f>
        <v/>
      </c>
      <c r="CF164" s="132" t="str">
        <f aca="false">IF(ISBLANK($C164),"",IF($BL164&lt;&gt;Constants!$B$4,"",IF($BB164="-&gt;",$BF164,$AV164)))</f>
        <v/>
      </c>
      <c r="CG164" s="132" t="str">
        <f aca="false">IF(ISBLANK($C164),"",IF($BL164&lt;&gt;Constants!$B$4,"",IF($BB164="-&gt;",$BG164,$AW164)))</f>
        <v/>
      </c>
      <c r="CH164" s="132" t="str">
        <f aca="false">IF(ISBLANK($C164),"",IF($BL164&lt;&gt;Constants!$B$4,"",IF($BB164="-&gt;",$BH164,$AX164)))</f>
        <v/>
      </c>
      <c r="CI164" s="133" t="str">
        <f aca="false">IF(ISBLANK($C164),"",$BO164)</f>
        <v/>
      </c>
      <c r="CJ164" s="134" t="str">
        <f aca="false">IF(ISBLANK($C164),"",$BM164)</f>
        <v/>
      </c>
      <c r="CK164" s="135" t="str">
        <f aca="false">IF(ISBLANK($C164),"",$CA164)</f>
        <v/>
      </c>
      <c r="CL164" s="135" t="str">
        <f aca="false">IF(ISBLANK($C164),"",$BZ164)</f>
        <v/>
      </c>
      <c r="CM164" s="136" t="str">
        <f aca="false">IF(ISBLANK($C164),"",IF($CL164=Constants!$B$7,COUNTA($C$9:$C$508)+2,IF($CL164=Constants!$B$6,COUNTA($C$9:$C$508)+1,IF($CL164=Constants!$B$5,COUNTA($C$9:$C$508),$CL164))))</f>
        <v/>
      </c>
      <c r="CN164" s="8"/>
      <c r="CO164" s="137" t="n">
        <f aca="false">IF(OR(ISNUMBER($CL164),$CL164=Constants!$B$7,$CL164=Constants!$B$5,$CL164=Constants!$B$6),1,0)</f>
        <v>0</v>
      </c>
      <c r="CP164" s="137" t="n">
        <v>156</v>
      </c>
      <c r="CQ164" s="137" t="str">
        <f aca="false">IF(ISBLANK($C164),"",IF(ISNUMBER($CM164),$CM164+ROW($B164)/1000,""))</f>
        <v/>
      </c>
      <c r="CR164" s="137" t="str">
        <f aca="false">IF(ISNUMBER($CQ164),RANK($CQ164,$CQ$9:$CQ$508,1),"")</f>
        <v/>
      </c>
      <c r="CS164" s="137" t="str">
        <f aca="false">IF(ISBLANK($C164),"",$B164)</f>
        <v/>
      </c>
      <c r="CT164" s="137" t="str">
        <f aca="false">IF(ISBLANK($C164),"",$C164)</f>
        <v/>
      </c>
      <c r="CU164" s="137" t="str">
        <f aca="false">IF(ISBLANK($C164),"",$D164)</f>
        <v/>
      </c>
      <c r="CV164" s="138" t="str">
        <f aca="false">$CJ164</f>
        <v/>
      </c>
      <c r="CW164" s="139" t="str">
        <f aca="false">$CI164</f>
        <v/>
      </c>
      <c r="CX164" s="137" t="str">
        <f aca="false">IF(ISBLANK($C164),"",$CL164)</f>
        <v/>
      </c>
      <c r="CY164" s="140" t="str">
        <f aca="false">IF($CP164&gt;$CO$8,"",VLOOKUP($CP164,$CR$9:$CX$508,7,FALSE()))</f>
        <v/>
      </c>
      <c r="CZ164" s="141" t="str">
        <f aca="false">IF($CP164&gt;$CO$8,"",VLOOKUP($CP164,$CR$9:$CX$508,2,FALSE()))</f>
        <v/>
      </c>
      <c r="DA164" s="141" t="str">
        <f aca="false">IF($CP164&gt;$CO$8,"",VLOOKUP($CP164,$CR$9:$CX$508,3,FALSE()))</f>
        <v/>
      </c>
      <c r="DB164" s="141" t="str">
        <f aca="false">IF($CP164&gt;$CO$8,"",VLOOKUP($CP164,$CR$9:$CX$508,4,FALSE()))</f>
        <v/>
      </c>
      <c r="DC164" s="141" t="str">
        <f aca="false">IF($CP164&gt;$CO$8,"",VLOOKUP($CP164,$CR$9:$CX$508,5,FALSE()))</f>
        <v/>
      </c>
      <c r="DD164" s="142" t="str">
        <f aca="false">IF($CP164&gt;$CO$8,"",VLOOKUP($CP164,$CR$9:$CX$508,6,FALSE()))</f>
        <v/>
      </c>
      <c r="DE164" s="70"/>
    </row>
    <row r="165" customFormat="false" ht="15.75" hidden="false" customHeight="false" outlineLevel="0" collapsed="false">
      <c r="A165" s="8"/>
      <c r="B165" s="72"/>
      <c r="C165" s="73"/>
      <c r="D165" s="155"/>
      <c r="E165" s="162"/>
      <c r="F165" s="157"/>
      <c r="G165" s="77"/>
      <c r="H165" s="77"/>
      <c r="I165" s="77"/>
      <c r="J165" s="163"/>
      <c r="K165" s="161"/>
      <c r="L165" s="161"/>
      <c r="M165" s="80"/>
      <c r="N165" s="161"/>
      <c r="O165" s="160"/>
      <c r="P165" s="161"/>
      <c r="Q165" s="161"/>
      <c r="R165" s="161"/>
      <c r="S165" s="77"/>
      <c r="T165" s="161"/>
      <c r="U165" s="160"/>
      <c r="V165" s="161"/>
      <c r="W165" s="85"/>
      <c r="X165" s="86" t="str">
        <f aca="false">IF(ISBLANK($C165),"",IF($E165=Constants!$B$2,TRUE(),IF($E165=Constants!$B$3,FALSE(),TRUE())))</f>
        <v/>
      </c>
      <c r="Y165" s="86" t="str">
        <f aca="false">IF(ISBLANK($C165),"",IF($F165=Constants!$B$2,TRUE(),IF($F165=Constants!$B$3,FALSE(),TRUE())))</f>
        <v/>
      </c>
      <c r="Z165" s="87" t="str">
        <f aca="false">IF(ISBLANK($C165),"",IF(ISNUMBER($G165),IF($G165&gt;=0,$G165,""),""))</f>
        <v/>
      </c>
      <c r="AA165" s="87" t="str">
        <f aca="false">IF(ISBLANK($C165),"",IF(ISNUMBER($H165),IF($H165&gt;=0,$H165,""),""))</f>
        <v/>
      </c>
      <c r="AB165" s="87" t="str">
        <f aca="false">IF(ISBLANK($C165),"",IF(ISNUMBER($I165),IF($I165&gt;=0,$I165,""),""))</f>
        <v/>
      </c>
      <c r="AC165" s="86" t="str">
        <f aca="false">IF(ISBLANK($C165),"",IF($J165=Constants!$B$2,TRUE(),IF($J165=Constants!$B$3,FALSE(),TRUE())))</f>
        <v/>
      </c>
      <c r="AD165" s="86" t="str">
        <f aca="false">IF(ISBLANK($C165),"",IF($K165=Constants!$B$2,TRUE(),IF($K165=Constants!$B$3,FALSE(),TRUE())))</f>
        <v/>
      </c>
      <c r="AE165" s="86" t="str">
        <f aca="false">IF(ISBLANK($C165),"",IF($L165=Constants!$B$2,TRUE(),IF($L165=Constants!$B$3,FALSE(),TRUE())))</f>
        <v/>
      </c>
      <c r="AF165" s="88" t="str">
        <f aca="false">IF(ISBLANK($C165),"",IF(ISNUMBER($M165),IF($M165&gt;=0,$M165,""),""))</f>
        <v/>
      </c>
      <c r="AG165" s="86" t="str">
        <f aca="false">IF(ISBLANK($C165),"",IF(ISBLANK($N165),0,IF(ISNUMBER($N165),IF(AND($N165&gt;=0,$N165&lt;=Constants!$B$17,$N165=INT($N165)),$N165,""),"")))</f>
        <v/>
      </c>
      <c r="AH165" s="87" t="str">
        <f aca="false">IF(ISBLANK($C165),"",IF(ISBLANK($O165),0,IF(ISNUMBER($O165),IF($O165&gt;=0,$O165,""),"")))</f>
        <v/>
      </c>
      <c r="AI165" s="86" t="str">
        <f aca="false">IF(ISBLANK($C165),"",IF($P165=Constants!$B$2,TRUE(),IF($P165=Constants!$B$3,FALSE(),TRUE())))</f>
        <v/>
      </c>
      <c r="AJ165" s="86" t="str">
        <f aca="false">IF(ISBLANK($C165),"",IF($Q165=Constants!$B$2,TRUE(),IF($Q165=Constants!$B$3,FALSE(),TRUE())))</f>
        <v/>
      </c>
      <c r="AK165" s="86" t="str">
        <f aca="false">IF(ISBLANK($C165),"",IF($R165=Constants!$B$2,TRUE(),IF($R165=Constants!$B$3,FALSE(),TRUE())))</f>
        <v/>
      </c>
      <c r="AL165" s="88" t="str">
        <f aca="false">IF(ISBLANK($C165),"",IF(ISNUMBER($S165),IF($S165&gt;=0,$S165,""),""))</f>
        <v/>
      </c>
      <c r="AM165" s="86" t="str">
        <f aca="false">IF(ISBLANK($C165),"",IF(ISBLANK($T165),0,IF(ISNUMBER($T165),IF(AND($T165&gt;=0,$T165&lt;=Constants!$B$17,$T165=INT($T165)),$T165,""),"")))</f>
        <v/>
      </c>
      <c r="AN165" s="87" t="str">
        <f aca="false">IF(ISBLANK($C165),"",IF(ISBLANK($U165),0,IF(ISNUMBER($U165),IF($U165&gt;=0,$U165,""),"")))</f>
        <v/>
      </c>
      <c r="AO165" s="86" t="str">
        <f aca="false">IF(ISBLANK($C165),"",IF($V165=Constants!$B$2,TRUE(),IF($V165=Constants!$B$3,FALSE(),FALSE())))</f>
        <v/>
      </c>
      <c r="AP165" s="86"/>
      <c r="AQ165" s="85" t="str">
        <f aca="false">IF(ISBLANK($C165),"",AND($Y165,OR($AS165,$BC165),OR($Z165="",$AA165="",$AB165="")))</f>
        <v/>
      </c>
      <c r="AR165" s="85" t="str">
        <f aca="false">IF(ISBLANK($C165),"",IF(OR(NOT($Y165),NOT(OR($AS165,$BC165))),"",IF(ISBLANK($D$7),$AR$5,IF($AP$9="",$AR$6,""))))</f>
        <v/>
      </c>
      <c r="AS165" s="85" t="str">
        <f aca="false">IF(ISBLANK($C165),"",COUNTA($J165:$O165)&gt;0)</f>
        <v/>
      </c>
      <c r="AT165" s="85" t="str">
        <f aca="false">IF(ISBLANK($C165),"",AND($AS165,OR(AND($AF165="",OR($AE165,NOT(ISBLANK($M165)))),$AG165="",$AH165="")))</f>
        <v/>
      </c>
      <c r="AU165" s="87" t="str">
        <f aca="false">IF($BL165&lt;&gt;Constants!$B$4,"",IF(NOT($AS165),"",ROUND((Constants!$B$12-$AB165)+(Constants!$B$13-$Z165)+(Constants!$B$14-$AA165),1)))</f>
        <v/>
      </c>
      <c r="AV165" s="90" t="str">
        <f aca="false">IF($BL165&lt;&gt;Constants!$B$4,"",IF(NOT($AS165),"",IF(NOT($AE165),0,Constants!$B$15*(INT(ROUND(MIN($AF165,$AP$9),6))-INT(ROUND(MAX(0,MIN($AF165,2*$AP$9)-$AP$9),6))))))</f>
        <v/>
      </c>
      <c r="AW165" s="90" t="str">
        <f aca="false">IF($BL165&lt;&gt;Constants!$B$4,"",IF(NOT($AS165),"",Constants!$B$16*$AG165))</f>
        <v/>
      </c>
      <c r="AX165" s="90" t="str">
        <f aca="false">IF($BL165&lt;&gt;Constants!$B$4,"",IF(NOT($AS165),"",Constants!$B$18*INT(ROUND($AH165,6))))</f>
        <v/>
      </c>
      <c r="AY165" s="85" t="str">
        <f aca="false">IF($BL165&lt;&gt;Constants!$B$4,"",IF(NOT($AS165),"",IF(NOT($X165),Constants!$B$11,IF(OR(NOT($AC165),NOT($AD165),ROUND($AB165,1)&gt;Constants!$B$12,ROUND($Z165,1)&gt;Constants!$B$13,ROUND($AA165,1)&gt;Constants!$B$14),Constants!$B$10,Constants!$B$9))))</f>
        <v/>
      </c>
      <c r="AZ165" s="91" t="str">
        <f aca="false">IF($BL165&lt;&gt;Constants!$B$4,"",IF(NOT($AS165),"",ROUND($AU165+$AV165+$AW165+$AX165,1)))</f>
        <v/>
      </c>
      <c r="BA165" s="92" t="str">
        <f aca="false">IF($BL165&lt;&gt;Constants!$B$4,"",IF(NOT($AS165),"",IF(ISNUMBER($AF165),$AF165,0)))</f>
        <v/>
      </c>
      <c r="BB165" s="86" t="str">
        <f aca="false">IF($BL165&lt;&gt;Constants!$B$4,"",IF(NOT($BC165),"&lt;-",IF(NOT($AS165),"-&gt;",IF(OR($BI165&lt;$AY165,AND($BI165=$AY165,OR($BJ165&gt;$AZ165,AND($BJ165=$AZ165,OR($BH165&gt;$AX165,AND($BH165=$AX165,OR($BE165&gt;$AU165,AND($BE165=$AU165,OR($BF165&gt;$AV165,AND($BF165=$AV165,$BK165&gt;$BA165)))))))))),"-&gt;","&lt;-"))))</f>
        <v/>
      </c>
      <c r="BC165" s="85" t="str">
        <f aca="false">IF(ISBLANK($C165),"",COUNTA($P165:$U165)&gt;0)</f>
        <v/>
      </c>
      <c r="BD165" s="85" t="str">
        <f aca="false">IF(ISBLANK($C165),"",AND($BC165,OR(AND($AL165="",OR($AK165,NOT(ISBLANK($S165)))),$AM165="",$AN165="")))</f>
        <v/>
      </c>
      <c r="BE165" s="87" t="str">
        <f aca="false">IF($BL165&lt;&gt;Constants!$B$4,"",IF(NOT($BC165),"",ROUND((Constants!$B$12-$AB165)+(Constants!$B$13-$Z165)+(Constants!$B$14-$AA165),1)))</f>
        <v/>
      </c>
      <c r="BF165" s="90" t="str">
        <f aca="false">IF($BL165&lt;&gt;Constants!$B$4,"",IF(NOT($BC165),"",IF(NOT($AK165),0,Constants!$B$15*(INT(ROUND(MIN($AL165,$AP$9),6))-INT(ROUND(MAX(0,MIN($AL165,2*$AP$9)-$AP$9),6))))))</f>
        <v/>
      </c>
      <c r="BG165" s="90" t="str">
        <f aca="false">IF($BL165&lt;&gt;Constants!$B$4,"",IF(NOT($BC165),"",Constants!$B$16*$AM165))</f>
        <v/>
      </c>
      <c r="BH165" s="90" t="str">
        <f aca="false">IF($BL165&lt;&gt;Constants!$B$4,"",IF(NOT($BC165),"",Constants!$B$18*INT(ROUND($AN165,6))))</f>
        <v/>
      </c>
      <c r="BI165" s="85" t="str">
        <f aca="false">IF($BL165&lt;&gt;Constants!$B$4,"",IF(NOT($BC165),"",IF(NOT($X165),Constants!$B$11,IF(OR(NOT($AI165),NOT($AJ165),ROUND($AB165,1)&gt;Constants!$B$12,ROUND($Z165,1)&gt;Constants!$B$13,ROUND($AA165,1)&gt;Constants!$B$14),Constants!$B$10,Constants!$B$9))))</f>
        <v/>
      </c>
      <c r="BJ165" s="91" t="str">
        <f aca="false">IF($BL165&lt;&gt;Constants!$B$4,"",IF(NOT($BC165),"",ROUND($BE165+$BF165+$BG165+$BH165,1)))</f>
        <v/>
      </c>
      <c r="BK165" s="92" t="str">
        <f aca="false">IF($BL165&lt;&gt;Constants!$B$4,"",IF(NOT($BC165),"",IF(ISNUMBER($AL165),$AL165,0)))</f>
        <v/>
      </c>
      <c r="BL165" s="86" t="str">
        <f aca="false">IF(ISBLANK($C165),"",IF($AO165,Constants!$B$7,IF(COUNTA($E165:$V165)=0,Constants!$B$6,IF(NOT($Y165),Constants!$B$5,IF(NOT(OR($AS165,$BC165)),Constants!$B$5,IF(OR($AT165,$BD165,$AQ165,$AR165&lt;&gt;""),Constants!$B$8,Constants!$B$4))))))</f>
        <v/>
      </c>
      <c r="BM165" s="86" t="str">
        <f aca="false">IF(ISBLANK($C165),"",IF($BL165&lt;&gt;Constants!$B$4,$BL165,IF($BB165="-&gt;",$BI165,$AY165)))</f>
        <v/>
      </c>
      <c r="BN165" s="90" t="str">
        <f aca="false">IF($BL165&lt;&gt;Constants!$B$4,"",IF($BB165="-&gt;",$BJ165,$AZ165))</f>
        <v/>
      </c>
      <c r="BO165" s="90" t="str">
        <f aca="false">IF(ISBLANK($C165),"",IF($BL165&lt;&gt;Constants!$B$4,$BL165,$BN165))</f>
        <v/>
      </c>
      <c r="BP165" s="86" t="str">
        <f aca="false">IF(ISBLANK($C165),"",IF($BL165&lt;&gt;Constants!$B$4,$BL165,RANK($BO165,$BO$9:$BO$508,0)))</f>
        <v/>
      </c>
      <c r="BQ165" s="86" t="str">
        <f aca="false">IF(ISBLANK($C165),"",IF($BL165&lt;&gt;Constants!$B$4,$BL165,COUNTIFS($BM$9:$BM$508,"&lt;"&amp;$BM165)+COUNTIFS($BM$9:$BM$508,$BM165,$BP$9:$BP$508,"&lt;"&amp;$BP165)+1))</f>
        <v/>
      </c>
      <c r="BR165" s="90" t="str">
        <f aca="false">IF($BL165&lt;&gt;Constants!$B$4,"",IF($BB165="-&gt;",$BH165,$AX165))</f>
        <v/>
      </c>
      <c r="BS165" s="86" t="str">
        <f aca="false">IF(ISBLANK($C165),"",IF($BL165&lt;&gt;Constants!$B$4,$BL165,IF(ISNUMBER($BR165),RANK($BR165,$BR$9:$BR$508,0),COUNT($BR$9:$BR$508)+1)))</f>
        <v/>
      </c>
      <c r="BT165" s="90" t="str">
        <f aca="false">IF($BL165&lt;&gt;Constants!$B$4,"",IF($BB165="-&gt;",$BE165,$AU165))</f>
        <v/>
      </c>
      <c r="BU165" s="86" t="str">
        <f aca="false">IF(ISBLANK($C165),"",IF($BL165&lt;&gt;Constants!$B$4,$BL165,IF(ISNUMBER($BT165),RANK($BT165,$BT$9:$BT$508,0),COUNT($BT$9:$BT$508)+1)))</f>
        <v/>
      </c>
      <c r="BV165" s="90" t="str">
        <f aca="false">IF($BL165&lt;&gt;Constants!$B$4,"",IF($BB165="-&gt;",$BF165,$AV165))</f>
        <v/>
      </c>
      <c r="BW165" s="86" t="str">
        <f aca="false">IF(ISBLANK($C165),"",IF($BL165&lt;&gt;Constants!$B$4,$BL165,IF(ISNUMBER($BV165),RANK($BV165,$BV$9:$BV$508,0),COUNT($BV$9:$BV$508)+1)))</f>
        <v/>
      </c>
      <c r="BX165" s="90" t="str">
        <f aca="false">IF($BL165&lt;&gt;Constants!$B$4,"",IF($BB165="-&gt;",$BK165,$BA165))</f>
        <v/>
      </c>
      <c r="BY165" s="86" t="str">
        <f aca="false">IF(ISBLANK($C165),"",IF($BL165&lt;&gt;Constants!$B$4,$BL165,IF(ISNUMBER($BX165),RANK($BX165,$BX$9:$BX$508,0),COUNT($BX$9:$BX$508)+1)))</f>
        <v/>
      </c>
      <c r="BZ165" s="86" t="str">
        <f aca="false">IF(ISBLANK($C165),"",IF($BL165&lt;&gt;Constants!$B$4,$BL165,COUNTIFS($BM$9:$BM$508,"&lt;"&amp;$BM165)+COUNTIFS($BM$9:$BM$508,$BM165,$BP$9:$BP$508,"&lt;"&amp;$BP165)+COUNTIFS($BM$9:$BM$508,$BM165,$BP$9:$BP$508,$BP165,$BS$9:$BS$508,"&lt;"&amp;$BS165)+COUNTIFS($BM$9:$BM$508,$BM165,$BP$9:$BP$508,$BP165,$BS$9:$BS$508,$BS165,$BU$9:$BU$508,"&lt;"&amp;$BU165)+COUNTIFS($BM$9:$BM$508,$BM165,$BP$9:$BP$508,$BP165,$BS$9:$BS$508,$BS165,$BU$9:$BU$508,$BU165,$BW$9:$BW$508,"&lt;"&amp;$BW165)+COUNTIFS($BM$9:$BM$508,$BM165,$BP$9:$BP$508,$BP165,$BS$9:$BS$508,$BS165,$BU$9:$BU$508,$BU165,$BW$9:$BW$508,$BW165,$BY$9:$BY$508,"&lt;"&amp;$BY165)+1))</f>
        <v/>
      </c>
      <c r="CA165" s="86" t="str">
        <f aca="false">IF(ISBLANK($C165),"",IF($BL165&lt;&gt;Constants!$B$4,$BL165,$BQ165-$BZ165))</f>
        <v/>
      </c>
      <c r="CB165" s="93"/>
      <c r="CC165" s="94" t="str">
        <f aca="false">IF(ISBLANK($C165),"",IF($BL165=Constants!$B$8,$AR165,""))</f>
        <v/>
      </c>
      <c r="CD165" s="94" t="str">
        <f aca="false">IF(ISBLANK($C165),"",IF($BL165&lt;&gt;Constants!$B$4,"",IF($BB165="-&gt;",2,1)))</f>
        <v/>
      </c>
      <c r="CE165" s="95" t="str">
        <f aca="false">IF(ISBLANK($C165),"",IF($BL165&lt;&gt;Constants!$B$4,"",IF($BB165="-&gt;",$BE165,$AU165)))</f>
        <v/>
      </c>
      <c r="CF165" s="95" t="str">
        <f aca="false">IF(ISBLANK($C165),"",IF($BL165&lt;&gt;Constants!$B$4,"",IF($BB165="-&gt;",$BF165,$AV165)))</f>
        <v/>
      </c>
      <c r="CG165" s="95" t="str">
        <f aca="false">IF(ISBLANK($C165),"",IF($BL165&lt;&gt;Constants!$B$4,"",IF($BB165="-&gt;",$BG165,$AW165)))</f>
        <v/>
      </c>
      <c r="CH165" s="95" t="str">
        <f aca="false">IF(ISBLANK($C165),"",IF($BL165&lt;&gt;Constants!$B$4,"",IF($BB165="-&gt;",$BH165,$AX165)))</f>
        <v/>
      </c>
      <c r="CI165" s="96" t="str">
        <f aca="false">IF(ISBLANK($C165),"",$BO165)</f>
        <v/>
      </c>
      <c r="CJ165" s="97" t="str">
        <f aca="false">IF(ISBLANK($C165),"",$BM165)</f>
        <v/>
      </c>
      <c r="CK165" s="98" t="str">
        <f aca="false">IF(ISBLANK($C165),"",$CA165)</f>
        <v/>
      </c>
      <c r="CL165" s="98" t="str">
        <f aca="false">IF(ISBLANK($C165),"",$BZ165)</f>
        <v/>
      </c>
      <c r="CM165" s="99" t="str">
        <f aca="false">IF(ISBLANK($C165),"",IF($CL165=Constants!$B$7,COUNTA($C$9:$C$508)+2,IF($CL165=Constants!$B$6,COUNTA($C$9:$C$508)+1,IF($CL165=Constants!$B$5,COUNTA($C$9:$C$508),$CL165))))</f>
        <v/>
      </c>
      <c r="CN165" s="8"/>
      <c r="CO165" s="100" t="n">
        <f aca="false">IF(OR(ISNUMBER($CL165),$CL165=Constants!$B$7,$CL165=Constants!$B$5,$CL165=Constants!$B$6),1,0)</f>
        <v>0</v>
      </c>
      <c r="CP165" s="100" t="n">
        <v>157</v>
      </c>
      <c r="CQ165" s="100" t="str">
        <f aca="false">IF(ISBLANK($C165),"",IF(ISNUMBER($CM165),$CM165+ROW($B165)/1000,""))</f>
        <v/>
      </c>
      <c r="CR165" s="100" t="str">
        <f aca="false">IF(ISNUMBER($CQ165),RANK($CQ165,$CQ$9:$CQ$508,1),"")</f>
        <v/>
      </c>
      <c r="CS165" s="100" t="str">
        <f aca="false">IF(ISBLANK($C165),"",$B165)</f>
        <v/>
      </c>
      <c r="CT165" s="100" t="str">
        <f aca="false">IF(ISBLANK($C165),"",$C165)</f>
        <v/>
      </c>
      <c r="CU165" s="100" t="str">
        <f aca="false">IF(ISBLANK($C165),"",$D165)</f>
        <v/>
      </c>
      <c r="CV165" s="101" t="str">
        <f aca="false">$CJ165</f>
        <v/>
      </c>
      <c r="CW165" s="102" t="str">
        <f aca="false">$CI165</f>
        <v/>
      </c>
      <c r="CX165" s="100" t="str">
        <f aca="false">IF(ISBLANK($C165),"",$CL165)</f>
        <v/>
      </c>
      <c r="CY165" s="103" t="str">
        <f aca="false">IF($CP165&gt;$CO$8,"",VLOOKUP($CP165,$CR$9:$CX$508,7,FALSE()))</f>
        <v/>
      </c>
      <c r="CZ165" s="104" t="str">
        <f aca="false">IF($CP165&gt;$CO$8,"",VLOOKUP($CP165,$CR$9:$CX$508,2,FALSE()))</f>
        <v/>
      </c>
      <c r="DA165" s="104" t="str">
        <f aca="false">IF($CP165&gt;$CO$8,"",VLOOKUP($CP165,$CR$9:$CX$508,3,FALSE()))</f>
        <v/>
      </c>
      <c r="DB165" s="104" t="str">
        <f aca="false">IF($CP165&gt;$CO$8,"",VLOOKUP($CP165,$CR$9:$CX$508,4,FALSE()))</f>
        <v/>
      </c>
      <c r="DC165" s="104" t="str">
        <f aca="false">IF($CP165&gt;$CO$8,"",VLOOKUP($CP165,$CR$9:$CX$508,5,FALSE()))</f>
        <v/>
      </c>
      <c r="DD165" s="105" t="str">
        <f aca="false">IF($CP165&gt;$CO$8,"",VLOOKUP($CP165,$CR$9:$CX$508,6,FALSE()))</f>
        <v/>
      </c>
      <c r="DE165" s="70"/>
    </row>
    <row r="166" customFormat="false" ht="15.75" hidden="false" customHeight="false" outlineLevel="0" collapsed="false">
      <c r="A166" s="8"/>
      <c r="B166" s="72"/>
      <c r="C166" s="73"/>
      <c r="D166" s="155"/>
      <c r="E166" s="162"/>
      <c r="F166" s="157"/>
      <c r="G166" s="77"/>
      <c r="H166" s="77"/>
      <c r="I166" s="77"/>
      <c r="J166" s="163"/>
      <c r="K166" s="161"/>
      <c r="L166" s="161"/>
      <c r="M166" s="80"/>
      <c r="N166" s="161"/>
      <c r="O166" s="160"/>
      <c r="P166" s="161"/>
      <c r="Q166" s="161"/>
      <c r="R166" s="161"/>
      <c r="S166" s="77"/>
      <c r="T166" s="161"/>
      <c r="U166" s="160"/>
      <c r="V166" s="161"/>
      <c r="W166" s="85"/>
      <c r="X166" s="86" t="str">
        <f aca="false">IF(ISBLANK($C166),"",IF($E166=Constants!$B$2,TRUE(),IF($E166=Constants!$B$3,FALSE(),TRUE())))</f>
        <v/>
      </c>
      <c r="Y166" s="86" t="str">
        <f aca="false">IF(ISBLANK($C166),"",IF($F166=Constants!$B$2,TRUE(),IF($F166=Constants!$B$3,FALSE(),TRUE())))</f>
        <v/>
      </c>
      <c r="Z166" s="87" t="str">
        <f aca="false">IF(ISBLANK($C166),"",IF(ISNUMBER($G166),IF($G166&gt;=0,$G166,""),""))</f>
        <v/>
      </c>
      <c r="AA166" s="87" t="str">
        <f aca="false">IF(ISBLANK($C166),"",IF(ISNUMBER($H166),IF($H166&gt;=0,$H166,""),""))</f>
        <v/>
      </c>
      <c r="AB166" s="87" t="str">
        <f aca="false">IF(ISBLANK($C166),"",IF(ISNUMBER($I166),IF($I166&gt;=0,$I166,""),""))</f>
        <v/>
      </c>
      <c r="AC166" s="86" t="str">
        <f aca="false">IF(ISBLANK($C166),"",IF($J166=Constants!$B$2,TRUE(),IF($J166=Constants!$B$3,FALSE(),TRUE())))</f>
        <v/>
      </c>
      <c r="AD166" s="86" t="str">
        <f aca="false">IF(ISBLANK($C166),"",IF($K166=Constants!$B$2,TRUE(),IF($K166=Constants!$B$3,FALSE(),TRUE())))</f>
        <v/>
      </c>
      <c r="AE166" s="86" t="str">
        <f aca="false">IF(ISBLANK($C166),"",IF($L166=Constants!$B$2,TRUE(),IF($L166=Constants!$B$3,FALSE(),TRUE())))</f>
        <v/>
      </c>
      <c r="AF166" s="88" t="str">
        <f aca="false">IF(ISBLANK($C166),"",IF(ISNUMBER($M166),IF($M166&gt;=0,$M166,""),""))</f>
        <v/>
      </c>
      <c r="AG166" s="86" t="str">
        <f aca="false">IF(ISBLANK($C166),"",IF(ISBLANK($N166),0,IF(ISNUMBER($N166),IF(AND($N166&gt;=0,$N166&lt;=Constants!$B$17,$N166=INT($N166)),$N166,""),"")))</f>
        <v/>
      </c>
      <c r="AH166" s="87" t="str">
        <f aca="false">IF(ISBLANK($C166),"",IF(ISBLANK($O166),0,IF(ISNUMBER($O166),IF($O166&gt;=0,$O166,""),"")))</f>
        <v/>
      </c>
      <c r="AI166" s="86" t="str">
        <f aca="false">IF(ISBLANK($C166),"",IF($P166=Constants!$B$2,TRUE(),IF($P166=Constants!$B$3,FALSE(),TRUE())))</f>
        <v/>
      </c>
      <c r="AJ166" s="86" t="str">
        <f aca="false">IF(ISBLANK($C166),"",IF($Q166=Constants!$B$2,TRUE(),IF($Q166=Constants!$B$3,FALSE(),TRUE())))</f>
        <v/>
      </c>
      <c r="AK166" s="86" t="str">
        <f aca="false">IF(ISBLANK($C166),"",IF($R166=Constants!$B$2,TRUE(),IF($R166=Constants!$B$3,FALSE(),TRUE())))</f>
        <v/>
      </c>
      <c r="AL166" s="88" t="str">
        <f aca="false">IF(ISBLANK($C166),"",IF(ISNUMBER($S166),IF($S166&gt;=0,$S166,""),""))</f>
        <v/>
      </c>
      <c r="AM166" s="86" t="str">
        <f aca="false">IF(ISBLANK($C166),"",IF(ISBLANK($T166),0,IF(ISNUMBER($T166),IF(AND($T166&gt;=0,$T166&lt;=Constants!$B$17,$T166=INT($T166)),$T166,""),"")))</f>
        <v/>
      </c>
      <c r="AN166" s="87" t="str">
        <f aca="false">IF(ISBLANK($C166),"",IF(ISBLANK($U166),0,IF(ISNUMBER($U166),IF($U166&gt;=0,$U166,""),"")))</f>
        <v/>
      </c>
      <c r="AO166" s="86" t="str">
        <f aca="false">IF(ISBLANK($C166),"",IF($V166=Constants!$B$2,TRUE(),IF($V166=Constants!$B$3,FALSE(),FALSE())))</f>
        <v/>
      </c>
      <c r="AP166" s="86"/>
      <c r="AQ166" s="85" t="str">
        <f aca="false">IF(ISBLANK($C166),"",AND($Y166,OR($AS166,$BC166),OR($Z166="",$AA166="",$AB166="")))</f>
        <v/>
      </c>
      <c r="AR166" s="85" t="str">
        <f aca="false">IF(ISBLANK($C166),"",IF(OR(NOT($Y166),NOT(OR($AS166,$BC166))),"",IF(ISBLANK($D$7),$AR$5,IF($AP$9="",$AR$6,""))))</f>
        <v/>
      </c>
      <c r="AS166" s="85" t="str">
        <f aca="false">IF(ISBLANK($C166),"",COUNTA($J166:$O166)&gt;0)</f>
        <v/>
      </c>
      <c r="AT166" s="85" t="str">
        <f aca="false">IF(ISBLANK($C166),"",AND($AS166,OR(AND($AF166="",OR($AE166,NOT(ISBLANK($M166)))),$AG166="",$AH166="")))</f>
        <v/>
      </c>
      <c r="AU166" s="87" t="str">
        <f aca="false">IF($BL166&lt;&gt;Constants!$B$4,"",IF(NOT($AS166),"",ROUND((Constants!$B$12-$AB166)+(Constants!$B$13-$Z166)+(Constants!$B$14-$AA166),1)))</f>
        <v/>
      </c>
      <c r="AV166" s="90" t="str">
        <f aca="false">IF($BL166&lt;&gt;Constants!$B$4,"",IF(NOT($AS166),"",IF(NOT($AE166),0,Constants!$B$15*(INT(ROUND(MIN($AF166,$AP$9),6))-INT(ROUND(MAX(0,MIN($AF166,2*$AP$9)-$AP$9),6))))))</f>
        <v/>
      </c>
      <c r="AW166" s="90" t="str">
        <f aca="false">IF($BL166&lt;&gt;Constants!$B$4,"",IF(NOT($AS166),"",Constants!$B$16*$AG166))</f>
        <v/>
      </c>
      <c r="AX166" s="90" t="str">
        <f aca="false">IF($BL166&lt;&gt;Constants!$B$4,"",IF(NOT($AS166),"",Constants!$B$18*INT(ROUND($AH166,6))))</f>
        <v/>
      </c>
      <c r="AY166" s="85" t="str">
        <f aca="false">IF($BL166&lt;&gt;Constants!$B$4,"",IF(NOT($AS166),"",IF(NOT($X166),Constants!$B$11,IF(OR(NOT($AC166),NOT($AD166),ROUND($AB166,1)&gt;Constants!$B$12,ROUND($Z166,1)&gt;Constants!$B$13,ROUND($AA166,1)&gt;Constants!$B$14),Constants!$B$10,Constants!$B$9))))</f>
        <v/>
      </c>
      <c r="AZ166" s="91" t="str">
        <f aca="false">IF($BL166&lt;&gt;Constants!$B$4,"",IF(NOT($AS166),"",ROUND($AU166+$AV166+$AW166+$AX166,1)))</f>
        <v/>
      </c>
      <c r="BA166" s="92" t="str">
        <f aca="false">IF($BL166&lt;&gt;Constants!$B$4,"",IF(NOT($AS166),"",IF(ISNUMBER($AF166),$AF166,0)))</f>
        <v/>
      </c>
      <c r="BB166" s="86" t="str">
        <f aca="false">IF($BL166&lt;&gt;Constants!$B$4,"",IF(NOT($BC166),"&lt;-",IF(NOT($AS166),"-&gt;",IF(OR($BI166&lt;$AY166,AND($BI166=$AY166,OR($BJ166&gt;$AZ166,AND($BJ166=$AZ166,OR($BH166&gt;$AX166,AND($BH166=$AX166,OR($BE166&gt;$AU166,AND($BE166=$AU166,OR($BF166&gt;$AV166,AND($BF166=$AV166,$BK166&gt;$BA166)))))))))),"-&gt;","&lt;-"))))</f>
        <v/>
      </c>
      <c r="BC166" s="85" t="str">
        <f aca="false">IF(ISBLANK($C166),"",COUNTA($P166:$U166)&gt;0)</f>
        <v/>
      </c>
      <c r="BD166" s="85" t="str">
        <f aca="false">IF(ISBLANK($C166),"",AND($BC166,OR(AND($AL166="",OR($AK166,NOT(ISBLANK($S166)))),$AM166="",$AN166="")))</f>
        <v/>
      </c>
      <c r="BE166" s="87" t="str">
        <f aca="false">IF($BL166&lt;&gt;Constants!$B$4,"",IF(NOT($BC166),"",ROUND((Constants!$B$12-$AB166)+(Constants!$B$13-$Z166)+(Constants!$B$14-$AA166),1)))</f>
        <v/>
      </c>
      <c r="BF166" s="90" t="str">
        <f aca="false">IF($BL166&lt;&gt;Constants!$B$4,"",IF(NOT($BC166),"",IF(NOT($AK166),0,Constants!$B$15*(INT(ROUND(MIN($AL166,$AP$9),6))-INT(ROUND(MAX(0,MIN($AL166,2*$AP$9)-$AP$9),6))))))</f>
        <v/>
      </c>
      <c r="BG166" s="90" t="str">
        <f aca="false">IF($BL166&lt;&gt;Constants!$B$4,"",IF(NOT($BC166),"",Constants!$B$16*$AM166))</f>
        <v/>
      </c>
      <c r="BH166" s="90" t="str">
        <f aca="false">IF($BL166&lt;&gt;Constants!$B$4,"",IF(NOT($BC166),"",Constants!$B$18*INT(ROUND($AN166,6))))</f>
        <v/>
      </c>
      <c r="BI166" s="85" t="str">
        <f aca="false">IF($BL166&lt;&gt;Constants!$B$4,"",IF(NOT($BC166),"",IF(NOT($X166),Constants!$B$11,IF(OR(NOT($AI166),NOT($AJ166),ROUND($AB166,1)&gt;Constants!$B$12,ROUND($Z166,1)&gt;Constants!$B$13,ROUND($AA166,1)&gt;Constants!$B$14),Constants!$B$10,Constants!$B$9))))</f>
        <v/>
      </c>
      <c r="BJ166" s="91" t="str">
        <f aca="false">IF($BL166&lt;&gt;Constants!$B$4,"",IF(NOT($BC166),"",ROUND($BE166+$BF166+$BG166+$BH166,1)))</f>
        <v/>
      </c>
      <c r="BK166" s="92" t="str">
        <f aca="false">IF($BL166&lt;&gt;Constants!$B$4,"",IF(NOT($BC166),"",IF(ISNUMBER($AL166),$AL166,0)))</f>
        <v/>
      </c>
      <c r="BL166" s="86" t="str">
        <f aca="false">IF(ISBLANK($C166),"",IF($AO166,Constants!$B$7,IF(COUNTA($E166:$V166)=0,Constants!$B$6,IF(NOT($Y166),Constants!$B$5,IF(NOT(OR($AS166,$BC166)),Constants!$B$5,IF(OR($AT166,$BD166,$AQ166,$AR166&lt;&gt;""),Constants!$B$8,Constants!$B$4))))))</f>
        <v/>
      </c>
      <c r="BM166" s="86" t="str">
        <f aca="false">IF(ISBLANK($C166),"",IF($BL166&lt;&gt;Constants!$B$4,$BL166,IF($BB166="-&gt;",$BI166,$AY166)))</f>
        <v/>
      </c>
      <c r="BN166" s="90" t="str">
        <f aca="false">IF($BL166&lt;&gt;Constants!$B$4,"",IF($BB166="-&gt;",$BJ166,$AZ166))</f>
        <v/>
      </c>
      <c r="BO166" s="90" t="str">
        <f aca="false">IF(ISBLANK($C166),"",IF($BL166&lt;&gt;Constants!$B$4,$BL166,$BN166))</f>
        <v/>
      </c>
      <c r="BP166" s="86" t="str">
        <f aca="false">IF(ISBLANK($C166),"",IF($BL166&lt;&gt;Constants!$B$4,$BL166,RANK($BO166,$BO$9:$BO$508,0)))</f>
        <v/>
      </c>
      <c r="BQ166" s="86" t="str">
        <f aca="false">IF(ISBLANK($C166),"",IF($BL166&lt;&gt;Constants!$B$4,$BL166,COUNTIFS($BM$9:$BM$508,"&lt;"&amp;$BM166)+COUNTIFS($BM$9:$BM$508,$BM166,$BP$9:$BP$508,"&lt;"&amp;$BP166)+1))</f>
        <v/>
      </c>
      <c r="BR166" s="90" t="str">
        <f aca="false">IF($BL166&lt;&gt;Constants!$B$4,"",IF($BB166="-&gt;",$BH166,$AX166))</f>
        <v/>
      </c>
      <c r="BS166" s="86" t="str">
        <f aca="false">IF(ISBLANK($C166),"",IF($BL166&lt;&gt;Constants!$B$4,$BL166,IF(ISNUMBER($BR166),RANK($BR166,$BR$9:$BR$508,0),COUNT($BR$9:$BR$508)+1)))</f>
        <v/>
      </c>
      <c r="BT166" s="90" t="str">
        <f aca="false">IF($BL166&lt;&gt;Constants!$B$4,"",IF($BB166="-&gt;",$BE166,$AU166))</f>
        <v/>
      </c>
      <c r="BU166" s="86" t="str">
        <f aca="false">IF(ISBLANK($C166),"",IF($BL166&lt;&gt;Constants!$B$4,$BL166,IF(ISNUMBER($BT166),RANK($BT166,$BT$9:$BT$508,0),COUNT($BT$9:$BT$508)+1)))</f>
        <v/>
      </c>
      <c r="BV166" s="90" t="str">
        <f aca="false">IF($BL166&lt;&gt;Constants!$B$4,"",IF($BB166="-&gt;",$BF166,$AV166))</f>
        <v/>
      </c>
      <c r="BW166" s="86" t="str">
        <f aca="false">IF(ISBLANK($C166),"",IF($BL166&lt;&gt;Constants!$B$4,$BL166,IF(ISNUMBER($BV166),RANK($BV166,$BV$9:$BV$508,0),COUNT($BV$9:$BV$508)+1)))</f>
        <v/>
      </c>
      <c r="BX166" s="90" t="str">
        <f aca="false">IF($BL166&lt;&gt;Constants!$B$4,"",IF($BB166="-&gt;",$BK166,$BA166))</f>
        <v/>
      </c>
      <c r="BY166" s="86" t="str">
        <f aca="false">IF(ISBLANK($C166),"",IF($BL166&lt;&gt;Constants!$B$4,$BL166,IF(ISNUMBER($BX166),RANK($BX166,$BX$9:$BX$508,0),COUNT($BX$9:$BX$508)+1)))</f>
        <v/>
      </c>
      <c r="BZ166" s="86" t="str">
        <f aca="false">IF(ISBLANK($C166),"",IF($BL166&lt;&gt;Constants!$B$4,$BL166,COUNTIFS($BM$9:$BM$508,"&lt;"&amp;$BM166)+COUNTIFS($BM$9:$BM$508,$BM166,$BP$9:$BP$508,"&lt;"&amp;$BP166)+COUNTIFS($BM$9:$BM$508,$BM166,$BP$9:$BP$508,$BP166,$BS$9:$BS$508,"&lt;"&amp;$BS166)+COUNTIFS($BM$9:$BM$508,$BM166,$BP$9:$BP$508,$BP166,$BS$9:$BS$508,$BS166,$BU$9:$BU$508,"&lt;"&amp;$BU166)+COUNTIFS($BM$9:$BM$508,$BM166,$BP$9:$BP$508,$BP166,$BS$9:$BS$508,$BS166,$BU$9:$BU$508,$BU166,$BW$9:$BW$508,"&lt;"&amp;$BW166)+COUNTIFS($BM$9:$BM$508,$BM166,$BP$9:$BP$508,$BP166,$BS$9:$BS$508,$BS166,$BU$9:$BU$508,$BU166,$BW$9:$BW$508,$BW166,$BY$9:$BY$508,"&lt;"&amp;$BY166)+1))</f>
        <v/>
      </c>
      <c r="CA166" s="86" t="str">
        <f aca="false">IF(ISBLANK($C166),"",IF($BL166&lt;&gt;Constants!$B$4,$BL166,$BQ166-$BZ166))</f>
        <v/>
      </c>
      <c r="CB166" s="93"/>
      <c r="CC166" s="94" t="str">
        <f aca="false">IF(ISBLANK($C166),"",IF($BL166=Constants!$B$8,$AR166,""))</f>
        <v/>
      </c>
      <c r="CD166" s="94" t="str">
        <f aca="false">IF(ISBLANK($C166),"",IF($BL166&lt;&gt;Constants!$B$4,"",IF($BB166="-&gt;",2,1)))</f>
        <v/>
      </c>
      <c r="CE166" s="95" t="str">
        <f aca="false">IF(ISBLANK($C166),"",IF($BL166&lt;&gt;Constants!$B$4,"",IF($BB166="-&gt;",$BE166,$AU166)))</f>
        <v/>
      </c>
      <c r="CF166" s="95" t="str">
        <f aca="false">IF(ISBLANK($C166),"",IF($BL166&lt;&gt;Constants!$B$4,"",IF($BB166="-&gt;",$BF166,$AV166)))</f>
        <v/>
      </c>
      <c r="CG166" s="95" t="str">
        <f aca="false">IF(ISBLANK($C166),"",IF($BL166&lt;&gt;Constants!$B$4,"",IF($BB166="-&gt;",$BG166,$AW166)))</f>
        <v/>
      </c>
      <c r="CH166" s="95" t="str">
        <f aca="false">IF(ISBLANK($C166),"",IF($BL166&lt;&gt;Constants!$B$4,"",IF($BB166="-&gt;",$BH166,$AX166)))</f>
        <v/>
      </c>
      <c r="CI166" s="96" t="str">
        <f aca="false">IF(ISBLANK($C166),"",$BO166)</f>
        <v/>
      </c>
      <c r="CJ166" s="97" t="str">
        <f aca="false">IF(ISBLANK($C166),"",$BM166)</f>
        <v/>
      </c>
      <c r="CK166" s="98" t="str">
        <f aca="false">IF(ISBLANK($C166),"",$CA166)</f>
        <v/>
      </c>
      <c r="CL166" s="98" t="str">
        <f aca="false">IF(ISBLANK($C166),"",$BZ166)</f>
        <v/>
      </c>
      <c r="CM166" s="99" t="str">
        <f aca="false">IF(ISBLANK($C166),"",IF($CL166=Constants!$B$7,COUNTA($C$9:$C$508)+2,IF($CL166=Constants!$B$6,COUNTA($C$9:$C$508)+1,IF($CL166=Constants!$B$5,COUNTA($C$9:$C$508),$CL166))))</f>
        <v/>
      </c>
      <c r="CN166" s="8"/>
      <c r="CO166" s="100" t="n">
        <f aca="false">IF(OR(ISNUMBER($CL166),$CL166=Constants!$B$7,$CL166=Constants!$B$5,$CL166=Constants!$B$6),1,0)</f>
        <v>0</v>
      </c>
      <c r="CP166" s="100" t="n">
        <v>158</v>
      </c>
      <c r="CQ166" s="100" t="str">
        <f aca="false">IF(ISBLANK($C166),"",IF(ISNUMBER($CM166),$CM166+ROW($B166)/1000,""))</f>
        <v/>
      </c>
      <c r="CR166" s="100" t="str">
        <f aca="false">IF(ISNUMBER($CQ166),RANK($CQ166,$CQ$9:$CQ$508,1),"")</f>
        <v/>
      </c>
      <c r="CS166" s="100" t="str">
        <f aca="false">IF(ISBLANK($C166),"",$B166)</f>
        <v/>
      </c>
      <c r="CT166" s="100" t="str">
        <f aca="false">IF(ISBLANK($C166),"",$C166)</f>
        <v/>
      </c>
      <c r="CU166" s="100" t="str">
        <f aca="false">IF(ISBLANK($C166),"",$D166)</f>
        <v/>
      </c>
      <c r="CV166" s="101" t="str">
        <f aca="false">$CJ166</f>
        <v/>
      </c>
      <c r="CW166" s="102" t="str">
        <f aca="false">$CI166</f>
        <v/>
      </c>
      <c r="CX166" s="100" t="str">
        <f aca="false">IF(ISBLANK($C166),"",$CL166)</f>
        <v/>
      </c>
      <c r="CY166" s="103" t="str">
        <f aca="false">IF($CP166&gt;$CO$8,"",VLOOKUP($CP166,$CR$9:$CX$508,7,FALSE()))</f>
        <v/>
      </c>
      <c r="CZ166" s="104" t="str">
        <f aca="false">IF($CP166&gt;$CO$8,"",VLOOKUP($CP166,$CR$9:$CX$508,2,FALSE()))</f>
        <v/>
      </c>
      <c r="DA166" s="104" t="str">
        <f aca="false">IF($CP166&gt;$CO$8,"",VLOOKUP($CP166,$CR$9:$CX$508,3,FALSE()))</f>
        <v/>
      </c>
      <c r="DB166" s="104" t="str">
        <f aca="false">IF($CP166&gt;$CO$8,"",VLOOKUP($CP166,$CR$9:$CX$508,4,FALSE()))</f>
        <v/>
      </c>
      <c r="DC166" s="104" t="str">
        <f aca="false">IF($CP166&gt;$CO$8,"",VLOOKUP($CP166,$CR$9:$CX$508,5,FALSE()))</f>
        <v/>
      </c>
      <c r="DD166" s="105" t="str">
        <f aca="false">IF($CP166&gt;$CO$8,"",VLOOKUP($CP166,$CR$9:$CX$508,6,FALSE()))</f>
        <v/>
      </c>
      <c r="DE166" s="70"/>
    </row>
    <row r="167" customFormat="false" ht="15.75" hidden="false" customHeight="false" outlineLevel="0" collapsed="false">
      <c r="A167" s="8"/>
      <c r="B167" s="72"/>
      <c r="C167" s="73"/>
      <c r="D167" s="155"/>
      <c r="E167" s="162"/>
      <c r="F167" s="157"/>
      <c r="G167" s="77"/>
      <c r="H167" s="77"/>
      <c r="I167" s="77"/>
      <c r="J167" s="163"/>
      <c r="K167" s="161"/>
      <c r="L167" s="161"/>
      <c r="M167" s="80"/>
      <c r="N167" s="161"/>
      <c r="O167" s="160"/>
      <c r="P167" s="161"/>
      <c r="Q167" s="161"/>
      <c r="R167" s="161"/>
      <c r="S167" s="77"/>
      <c r="T167" s="161"/>
      <c r="U167" s="160"/>
      <c r="V167" s="161"/>
      <c r="W167" s="85"/>
      <c r="X167" s="86" t="str">
        <f aca="false">IF(ISBLANK($C167),"",IF($E167=Constants!$B$2,TRUE(),IF($E167=Constants!$B$3,FALSE(),TRUE())))</f>
        <v/>
      </c>
      <c r="Y167" s="86" t="str">
        <f aca="false">IF(ISBLANK($C167),"",IF($F167=Constants!$B$2,TRUE(),IF($F167=Constants!$B$3,FALSE(),TRUE())))</f>
        <v/>
      </c>
      <c r="Z167" s="87" t="str">
        <f aca="false">IF(ISBLANK($C167),"",IF(ISNUMBER($G167),IF($G167&gt;=0,$G167,""),""))</f>
        <v/>
      </c>
      <c r="AA167" s="87" t="str">
        <f aca="false">IF(ISBLANK($C167),"",IF(ISNUMBER($H167),IF($H167&gt;=0,$H167,""),""))</f>
        <v/>
      </c>
      <c r="AB167" s="87" t="str">
        <f aca="false">IF(ISBLANK($C167),"",IF(ISNUMBER($I167),IF($I167&gt;=0,$I167,""),""))</f>
        <v/>
      </c>
      <c r="AC167" s="86" t="str">
        <f aca="false">IF(ISBLANK($C167),"",IF($J167=Constants!$B$2,TRUE(),IF($J167=Constants!$B$3,FALSE(),TRUE())))</f>
        <v/>
      </c>
      <c r="AD167" s="86" t="str">
        <f aca="false">IF(ISBLANK($C167),"",IF($K167=Constants!$B$2,TRUE(),IF($K167=Constants!$B$3,FALSE(),TRUE())))</f>
        <v/>
      </c>
      <c r="AE167" s="86" t="str">
        <f aca="false">IF(ISBLANK($C167),"",IF($L167=Constants!$B$2,TRUE(),IF($L167=Constants!$B$3,FALSE(),TRUE())))</f>
        <v/>
      </c>
      <c r="AF167" s="88" t="str">
        <f aca="false">IF(ISBLANK($C167),"",IF(ISNUMBER($M167),IF($M167&gt;=0,$M167,""),""))</f>
        <v/>
      </c>
      <c r="AG167" s="86" t="str">
        <f aca="false">IF(ISBLANK($C167),"",IF(ISBLANK($N167),0,IF(ISNUMBER($N167),IF(AND($N167&gt;=0,$N167&lt;=Constants!$B$17,$N167=INT($N167)),$N167,""),"")))</f>
        <v/>
      </c>
      <c r="AH167" s="87" t="str">
        <f aca="false">IF(ISBLANK($C167),"",IF(ISBLANK($O167),0,IF(ISNUMBER($O167),IF($O167&gt;=0,$O167,""),"")))</f>
        <v/>
      </c>
      <c r="AI167" s="86" t="str">
        <f aca="false">IF(ISBLANK($C167),"",IF($P167=Constants!$B$2,TRUE(),IF($P167=Constants!$B$3,FALSE(),TRUE())))</f>
        <v/>
      </c>
      <c r="AJ167" s="86" t="str">
        <f aca="false">IF(ISBLANK($C167),"",IF($Q167=Constants!$B$2,TRUE(),IF($Q167=Constants!$B$3,FALSE(),TRUE())))</f>
        <v/>
      </c>
      <c r="AK167" s="86" t="str">
        <f aca="false">IF(ISBLANK($C167),"",IF($R167=Constants!$B$2,TRUE(),IF($R167=Constants!$B$3,FALSE(),TRUE())))</f>
        <v/>
      </c>
      <c r="AL167" s="88" t="str">
        <f aca="false">IF(ISBLANK($C167),"",IF(ISNUMBER($S167),IF($S167&gt;=0,$S167,""),""))</f>
        <v/>
      </c>
      <c r="AM167" s="86" t="str">
        <f aca="false">IF(ISBLANK($C167),"",IF(ISBLANK($T167),0,IF(ISNUMBER($T167),IF(AND($T167&gt;=0,$T167&lt;=Constants!$B$17,$T167=INT($T167)),$T167,""),"")))</f>
        <v/>
      </c>
      <c r="AN167" s="87" t="str">
        <f aca="false">IF(ISBLANK($C167),"",IF(ISBLANK($U167),0,IF(ISNUMBER($U167),IF($U167&gt;=0,$U167,""),"")))</f>
        <v/>
      </c>
      <c r="AO167" s="86" t="str">
        <f aca="false">IF(ISBLANK($C167),"",IF($V167=Constants!$B$2,TRUE(),IF($V167=Constants!$B$3,FALSE(),FALSE())))</f>
        <v/>
      </c>
      <c r="AP167" s="86"/>
      <c r="AQ167" s="85" t="str">
        <f aca="false">IF(ISBLANK($C167),"",AND($Y167,OR($AS167,$BC167),OR($Z167="",$AA167="",$AB167="")))</f>
        <v/>
      </c>
      <c r="AR167" s="85" t="str">
        <f aca="false">IF(ISBLANK($C167),"",IF(OR(NOT($Y167),NOT(OR($AS167,$BC167))),"",IF(ISBLANK($D$7),$AR$5,IF($AP$9="",$AR$6,""))))</f>
        <v/>
      </c>
      <c r="AS167" s="85" t="str">
        <f aca="false">IF(ISBLANK($C167),"",COUNTA($J167:$O167)&gt;0)</f>
        <v/>
      </c>
      <c r="AT167" s="85" t="str">
        <f aca="false">IF(ISBLANK($C167),"",AND($AS167,OR(AND($AF167="",OR($AE167,NOT(ISBLANK($M167)))),$AG167="",$AH167="")))</f>
        <v/>
      </c>
      <c r="AU167" s="87" t="str">
        <f aca="false">IF($BL167&lt;&gt;Constants!$B$4,"",IF(NOT($AS167),"",ROUND((Constants!$B$12-$AB167)+(Constants!$B$13-$Z167)+(Constants!$B$14-$AA167),1)))</f>
        <v/>
      </c>
      <c r="AV167" s="90" t="str">
        <f aca="false">IF($BL167&lt;&gt;Constants!$B$4,"",IF(NOT($AS167),"",IF(NOT($AE167),0,Constants!$B$15*(INT(ROUND(MIN($AF167,$AP$9),6))-INT(ROUND(MAX(0,MIN($AF167,2*$AP$9)-$AP$9),6))))))</f>
        <v/>
      </c>
      <c r="AW167" s="90" t="str">
        <f aca="false">IF($BL167&lt;&gt;Constants!$B$4,"",IF(NOT($AS167),"",Constants!$B$16*$AG167))</f>
        <v/>
      </c>
      <c r="AX167" s="90" t="str">
        <f aca="false">IF($BL167&lt;&gt;Constants!$B$4,"",IF(NOT($AS167),"",Constants!$B$18*INT(ROUND($AH167,6))))</f>
        <v/>
      </c>
      <c r="AY167" s="85" t="str">
        <f aca="false">IF($BL167&lt;&gt;Constants!$B$4,"",IF(NOT($AS167),"",IF(NOT($X167),Constants!$B$11,IF(OR(NOT($AC167),NOT($AD167),ROUND($AB167,1)&gt;Constants!$B$12,ROUND($Z167,1)&gt;Constants!$B$13,ROUND($AA167,1)&gt;Constants!$B$14),Constants!$B$10,Constants!$B$9))))</f>
        <v/>
      </c>
      <c r="AZ167" s="91" t="str">
        <f aca="false">IF($BL167&lt;&gt;Constants!$B$4,"",IF(NOT($AS167),"",ROUND($AU167+$AV167+$AW167+$AX167,1)))</f>
        <v/>
      </c>
      <c r="BA167" s="92" t="str">
        <f aca="false">IF($BL167&lt;&gt;Constants!$B$4,"",IF(NOT($AS167),"",IF(ISNUMBER($AF167),$AF167,0)))</f>
        <v/>
      </c>
      <c r="BB167" s="86" t="str">
        <f aca="false">IF($BL167&lt;&gt;Constants!$B$4,"",IF(NOT($BC167),"&lt;-",IF(NOT($AS167),"-&gt;",IF(OR($BI167&lt;$AY167,AND($BI167=$AY167,OR($BJ167&gt;$AZ167,AND($BJ167=$AZ167,OR($BH167&gt;$AX167,AND($BH167=$AX167,OR($BE167&gt;$AU167,AND($BE167=$AU167,OR($BF167&gt;$AV167,AND($BF167=$AV167,$BK167&gt;$BA167)))))))))),"-&gt;","&lt;-"))))</f>
        <v/>
      </c>
      <c r="BC167" s="85" t="str">
        <f aca="false">IF(ISBLANK($C167),"",COUNTA($P167:$U167)&gt;0)</f>
        <v/>
      </c>
      <c r="BD167" s="85" t="str">
        <f aca="false">IF(ISBLANK($C167),"",AND($BC167,OR(AND($AL167="",OR($AK167,NOT(ISBLANK($S167)))),$AM167="",$AN167="")))</f>
        <v/>
      </c>
      <c r="BE167" s="87" t="str">
        <f aca="false">IF($BL167&lt;&gt;Constants!$B$4,"",IF(NOT($BC167),"",ROUND((Constants!$B$12-$AB167)+(Constants!$B$13-$Z167)+(Constants!$B$14-$AA167),1)))</f>
        <v/>
      </c>
      <c r="BF167" s="90" t="str">
        <f aca="false">IF($BL167&lt;&gt;Constants!$B$4,"",IF(NOT($BC167),"",IF(NOT($AK167),0,Constants!$B$15*(INT(ROUND(MIN($AL167,$AP$9),6))-INT(ROUND(MAX(0,MIN($AL167,2*$AP$9)-$AP$9),6))))))</f>
        <v/>
      </c>
      <c r="BG167" s="90" t="str">
        <f aca="false">IF($BL167&lt;&gt;Constants!$B$4,"",IF(NOT($BC167),"",Constants!$B$16*$AM167))</f>
        <v/>
      </c>
      <c r="BH167" s="90" t="str">
        <f aca="false">IF($BL167&lt;&gt;Constants!$B$4,"",IF(NOT($BC167),"",Constants!$B$18*INT(ROUND($AN167,6))))</f>
        <v/>
      </c>
      <c r="BI167" s="85" t="str">
        <f aca="false">IF($BL167&lt;&gt;Constants!$B$4,"",IF(NOT($BC167),"",IF(NOT($X167),Constants!$B$11,IF(OR(NOT($AI167),NOT($AJ167),ROUND($AB167,1)&gt;Constants!$B$12,ROUND($Z167,1)&gt;Constants!$B$13,ROUND($AA167,1)&gt;Constants!$B$14),Constants!$B$10,Constants!$B$9))))</f>
        <v/>
      </c>
      <c r="BJ167" s="91" t="str">
        <f aca="false">IF($BL167&lt;&gt;Constants!$B$4,"",IF(NOT($BC167),"",ROUND($BE167+$BF167+$BG167+$BH167,1)))</f>
        <v/>
      </c>
      <c r="BK167" s="92" t="str">
        <f aca="false">IF($BL167&lt;&gt;Constants!$B$4,"",IF(NOT($BC167),"",IF(ISNUMBER($AL167),$AL167,0)))</f>
        <v/>
      </c>
      <c r="BL167" s="86" t="str">
        <f aca="false">IF(ISBLANK($C167),"",IF($AO167,Constants!$B$7,IF(COUNTA($E167:$V167)=0,Constants!$B$6,IF(NOT($Y167),Constants!$B$5,IF(NOT(OR($AS167,$BC167)),Constants!$B$5,IF(OR($AT167,$BD167,$AQ167,$AR167&lt;&gt;""),Constants!$B$8,Constants!$B$4))))))</f>
        <v/>
      </c>
      <c r="BM167" s="86" t="str">
        <f aca="false">IF(ISBLANK($C167),"",IF($BL167&lt;&gt;Constants!$B$4,$BL167,IF($BB167="-&gt;",$BI167,$AY167)))</f>
        <v/>
      </c>
      <c r="BN167" s="90" t="str">
        <f aca="false">IF($BL167&lt;&gt;Constants!$B$4,"",IF($BB167="-&gt;",$BJ167,$AZ167))</f>
        <v/>
      </c>
      <c r="BO167" s="90" t="str">
        <f aca="false">IF(ISBLANK($C167),"",IF($BL167&lt;&gt;Constants!$B$4,$BL167,$BN167))</f>
        <v/>
      </c>
      <c r="BP167" s="86" t="str">
        <f aca="false">IF(ISBLANK($C167),"",IF($BL167&lt;&gt;Constants!$B$4,$BL167,RANK($BO167,$BO$9:$BO$508,0)))</f>
        <v/>
      </c>
      <c r="BQ167" s="86" t="str">
        <f aca="false">IF(ISBLANK($C167),"",IF($BL167&lt;&gt;Constants!$B$4,$BL167,COUNTIFS($BM$9:$BM$508,"&lt;"&amp;$BM167)+COUNTIFS($BM$9:$BM$508,$BM167,$BP$9:$BP$508,"&lt;"&amp;$BP167)+1))</f>
        <v/>
      </c>
      <c r="BR167" s="90" t="str">
        <f aca="false">IF($BL167&lt;&gt;Constants!$B$4,"",IF($BB167="-&gt;",$BH167,$AX167))</f>
        <v/>
      </c>
      <c r="BS167" s="86" t="str">
        <f aca="false">IF(ISBLANK($C167),"",IF($BL167&lt;&gt;Constants!$B$4,$BL167,IF(ISNUMBER($BR167),RANK($BR167,$BR$9:$BR$508,0),COUNT($BR$9:$BR$508)+1)))</f>
        <v/>
      </c>
      <c r="BT167" s="90" t="str">
        <f aca="false">IF($BL167&lt;&gt;Constants!$B$4,"",IF($BB167="-&gt;",$BE167,$AU167))</f>
        <v/>
      </c>
      <c r="BU167" s="86" t="str">
        <f aca="false">IF(ISBLANK($C167),"",IF($BL167&lt;&gt;Constants!$B$4,$BL167,IF(ISNUMBER($BT167),RANK($BT167,$BT$9:$BT$508,0),COUNT($BT$9:$BT$508)+1)))</f>
        <v/>
      </c>
      <c r="BV167" s="90" t="str">
        <f aca="false">IF($BL167&lt;&gt;Constants!$B$4,"",IF($BB167="-&gt;",$BF167,$AV167))</f>
        <v/>
      </c>
      <c r="BW167" s="86" t="str">
        <f aca="false">IF(ISBLANK($C167),"",IF($BL167&lt;&gt;Constants!$B$4,$BL167,IF(ISNUMBER($BV167),RANK($BV167,$BV$9:$BV$508,0),COUNT($BV$9:$BV$508)+1)))</f>
        <v/>
      </c>
      <c r="BX167" s="90" t="str">
        <f aca="false">IF($BL167&lt;&gt;Constants!$B$4,"",IF($BB167="-&gt;",$BK167,$BA167))</f>
        <v/>
      </c>
      <c r="BY167" s="86" t="str">
        <f aca="false">IF(ISBLANK($C167),"",IF($BL167&lt;&gt;Constants!$B$4,$BL167,IF(ISNUMBER($BX167),RANK($BX167,$BX$9:$BX$508,0),COUNT($BX$9:$BX$508)+1)))</f>
        <v/>
      </c>
      <c r="BZ167" s="86" t="str">
        <f aca="false">IF(ISBLANK($C167),"",IF($BL167&lt;&gt;Constants!$B$4,$BL167,COUNTIFS($BM$9:$BM$508,"&lt;"&amp;$BM167)+COUNTIFS($BM$9:$BM$508,$BM167,$BP$9:$BP$508,"&lt;"&amp;$BP167)+COUNTIFS($BM$9:$BM$508,$BM167,$BP$9:$BP$508,$BP167,$BS$9:$BS$508,"&lt;"&amp;$BS167)+COUNTIFS($BM$9:$BM$508,$BM167,$BP$9:$BP$508,$BP167,$BS$9:$BS$508,$BS167,$BU$9:$BU$508,"&lt;"&amp;$BU167)+COUNTIFS($BM$9:$BM$508,$BM167,$BP$9:$BP$508,$BP167,$BS$9:$BS$508,$BS167,$BU$9:$BU$508,$BU167,$BW$9:$BW$508,"&lt;"&amp;$BW167)+COUNTIFS($BM$9:$BM$508,$BM167,$BP$9:$BP$508,$BP167,$BS$9:$BS$508,$BS167,$BU$9:$BU$508,$BU167,$BW$9:$BW$508,$BW167,$BY$9:$BY$508,"&lt;"&amp;$BY167)+1))</f>
        <v/>
      </c>
      <c r="CA167" s="86" t="str">
        <f aca="false">IF(ISBLANK($C167),"",IF($BL167&lt;&gt;Constants!$B$4,$BL167,$BQ167-$BZ167))</f>
        <v/>
      </c>
      <c r="CB167" s="93"/>
      <c r="CC167" s="94" t="str">
        <f aca="false">IF(ISBLANK($C167),"",IF($BL167=Constants!$B$8,$AR167,""))</f>
        <v/>
      </c>
      <c r="CD167" s="94" t="str">
        <f aca="false">IF(ISBLANK($C167),"",IF($BL167&lt;&gt;Constants!$B$4,"",IF($BB167="-&gt;",2,1)))</f>
        <v/>
      </c>
      <c r="CE167" s="95" t="str">
        <f aca="false">IF(ISBLANK($C167),"",IF($BL167&lt;&gt;Constants!$B$4,"",IF($BB167="-&gt;",$BE167,$AU167)))</f>
        <v/>
      </c>
      <c r="CF167" s="95" t="str">
        <f aca="false">IF(ISBLANK($C167),"",IF($BL167&lt;&gt;Constants!$B$4,"",IF($BB167="-&gt;",$BF167,$AV167)))</f>
        <v/>
      </c>
      <c r="CG167" s="95" t="str">
        <f aca="false">IF(ISBLANK($C167),"",IF($BL167&lt;&gt;Constants!$B$4,"",IF($BB167="-&gt;",$BG167,$AW167)))</f>
        <v/>
      </c>
      <c r="CH167" s="95" t="str">
        <f aca="false">IF(ISBLANK($C167),"",IF($BL167&lt;&gt;Constants!$B$4,"",IF($BB167="-&gt;",$BH167,$AX167)))</f>
        <v/>
      </c>
      <c r="CI167" s="96" t="str">
        <f aca="false">IF(ISBLANK($C167),"",$BO167)</f>
        <v/>
      </c>
      <c r="CJ167" s="97" t="str">
        <f aca="false">IF(ISBLANK($C167),"",$BM167)</f>
        <v/>
      </c>
      <c r="CK167" s="98" t="str">
        <f aca="false">IF(ISBLANK($C167),"",$CA167)</f>
        <v/>
      </c>
      <c r="CL167" s="98" t="str">
        <f aca="false">IF(ISBLANK($C167),"",$BZ167)</f>
        <v/>
      </c>
      <c r="CM167" s="99" t="str">
        <f aca="false">IF(ISBLANK($C167),"",IF($CL167=Constants!$B$7,COUNTA($C$9:$C$508)+2,IF($CL167=Constants!$B$6,COUNTA($C$9:$C$508)+1,IF($CL167=Constants!$B$5,COUNTA($C$9:$C$508),$CL167))))</f>
        <v/>
      </c>
      <c r="CN167" s="8"/>
      <c r="CO167" s="100" t="n">
        <f aca="false">IF(OR(ISNUMBER($CL167),$CL167=Constants!$B$7,$CL167=Constants!$B$5,$CL167=Constants!$B$6),1,0)</f>
        <v>0</v>
      </c>
      <c r="CP167" s="100" t="n">
        <v>159</v>
      </c>
      <c r="CQ167" s="100" t="str">
        <f aca="false">IF(ISBLANK($C167),"",IF(ISNUMBER($CM167),$CM167+ROW($B167)/1000,""))</f>
        <v/>
      </c>
      <c r="CR167" s="100" t="str">
        <f aca="false">IF(ISNUMBER($CQ167),RANK($CQ167,$CQ$9:$CQ$508,1),"")</f>
        <v/>
      </c>
      <c r="CS167" s="100" t="str">
        <f aca="false">IF(ISBLANK($C167),"",$B167)</f>
        <v/>
      </c>
      <c r="CT167" s="100" t="str">
        <f aca="false">IF(ISBLANK($C167),"",$C167)</f>
        <v/>
      </c>
      <c r="CU167" s="100" t="str">
        <f aca="false">IF(ISBLANK($C167),"",$D167)</f>
        <v/>
      </c>
      <c r="CV167" s="101" t="str">
        <f aca="false">$CJ167</f>
        <v/>
      </c>
      <c r="CW167" s="102" t="str">
        <f aca="false">$CI167</f>
        <v/>
      </c>
      <c r="CX167" s="100" t="str">
        <f aca="false">IF(ISBLANK($C167),"",$CL167)</f>
        <v/>
      </c>
      <c r="CY167" s="103" t="str">
        <f aca="false">IF($CP167&gt;$CO$8,"",VLOOKUP($CP167,$CR$9:$CX$508,7,FALSE()))</f>
        <v/>
      </c>
      <c r="CZ167" s="104" t="str">
        <f aca="false">IF($CP167&gt;$CO$8,"",VLOOKUP($CP167,$CR$9:$CX$508,2,FALSE()))</f>
        <v/>
      </c>
      <c r="DA167" s="104" t="str">
        <f aca="false">IF($CP167&gt;$CO$8,"",VLOOKUP($CP167,$CR$9:$CX$508,3,FALSE()))</f>
        <v/>
      </c>
      <c r="DB167" s="104" t="str">
        <f aca="false">IF($CP167&gt;$CO$8,"",VLOOKUP($CP167,$CR$9:$CX$508,4,FALSE()))</f>
        <v/>
      </c>
      <c r="DC167" s="104" t="str">
        <f aca="false">IF($CP167&gt;$CO$8,"",VLOOKUP($CP167,$CR$9:$CX$508,5,FALSE()))</f>
        <v/>
      </c>
      <c r="DD167" s="105" t="str">
        <f aca="false">IF($CP167&gt;$CO$8,"",VLOOKUP($CP167,$CR$9:$CX$508,6,FALSE()))</f>
        <v/>
      </c>
      <c r="DE167" s="70"/>
    </row>
    <row r="168" customFormat="false" ht="15.75" hidden="false" customHeight="false" outlineLevel="0" collapsed="false">
      <c r="A168" s="8"/>
      <c r="B168" s="146"/>
      <c r="C168" s="147"/>
      <c r="D168" s="148"/>
      <c r="E168" s="164"/>
      <c r="F168" s="150"/>
      <c r="G168" s="115"/>
      <c r="H168" s="115"/>
      <c r="I168" s="115"/>
      <c r="J168" s="165"/>
      <c r="K168" s="154"/>
      <c r="L168" s="154"/>
      <c r="M168" s="118"/>
      <c r="N168" s="154"/>
      <c r="O168" s="153"/>
      <c r="P168" s="154"/>
      <c r="Q168" s="154"/>
      <c r="R168" s="154"/>
      <c r="S168" s="115"/>
      <c r="T168" s="154"/>
      <c r="U168" s="153"/>
      <c r="V168" s="154"/>
      <c r="W168" s="123"/>
      <c r="X168" s="124" t="str">
        <f aca="false">IF(ISBLANK($C168),"",IF($E168=Constants!$B$2,TRUE(),IF($E168=Constants!$B$3,FALSE(),TRUE())))</f>
        <v/>
      </c>
      <c r="Y168" s="124" t="str">
        <f aca="false">IF(ISBLANK($C168),"",IF($F168=Constants!$B$2,TRUE(),IF($F168=Constants!$B$3,FALSE(),TRUE())))</f>
        <v/>
      </c>
      <c r="Z168" s="125" t="str">
        <f aca="false">IF(ISBLANK($C168),"",IF(ISNUMBER($G168),IF($G168&gt;=0,$G168,""),""))</f>
        <v/>
      </c>
      <c r="AA168" s="125" t="str">
        <f aca="false">IF(ISBLANK($C168),"",IF(ISNUMBER($H168),IF($H168&gt;=0,$H168,""),""))</f>
        <v/>
      </c>
      <c r="AB168" s="125" t="str">
        <f aca="false">IF(ISBLANK($C168),"",IF(ISNUMBER($I168),IF($I168&gt;=0,$I168,""),""))</f>
        <v/>
      </c>
      <c r="AC168" s="124" t="str">
        <f aca="false">IF(ISBLANK($C168),"",IF($J168=Constants!$B$2,TRUE(),IF($J168=Constants!$B$3,FALSE(),TRUE())))</f>
        <v/>
      </c>
      <c r="AD168" s="124" t="str">
        <f aca="false">IF(ISBLANK($C168),"",IF($K168=Constants!$B$2,TRUE(),IF($K168=Constants!$B$3,FALSE(),TRUE())))</f>
        <v/>
      </c>
      <c r="AE168" s="124" t="str">
        <f aca="false">IF(ISBLANK($C168),"",IF($L168=Constants!$B$2,TRUE(),IF($L168=Constants!$B$3,FALSE(),TRUE())))</f>
        <v/>
      </c>
      <c r="AF168" s="126" t="str">
        <f aca="false">IF(ISBLANK($C168),"",IF(ISNUMBER($M168),IF($M168&gt;=0,$M168,""),""))</f>
        <v/>
      </c>
      <c r="AG168" s="124" t="str">
        <f aca="false">IF(ISBLANK($C168),"",IF(ISBLANK($N168),0,IF(ISNUMBER($N168),IF(AND($N168&gt;=0,$N168&lt;=Constants!$B$17,$N168=INT($N168)),$N168,""),"")))</f>
        <v/>
      </c>
      <c r="AH168" s="125" t="str">
        <f aca="false">IF(ISBLANK($C168),"",IF(ISBLANK($O168),0,IF(ISNUMBER($O168),IF($O168&gt;=0,$O168,""),"")))</f>
        <v/>
      </c>
      <c r="AI168" s="124" t="str">
        <f aca="false">IF(ISBLANK($C168),"",IF($P168=Constants!$B$2,TRUE(),IF($P168=Constants!$B$3,FALSE(),TRUE())))</f>
        <v/>
      </c>
      <c r="AJ168" s="124" t="str">
        <f aca="false">IF(ISBLANK($C168),"",IF($Q168=Constants!$B$2,TRUE(),IF($Q168=Constants!$B$3,FALSE(),TRUE())))</f>
        <v/>
      </c>
      <c r="AK168" s="124" t="str">
        <f aca="false">IF(ISBLANK($C168),"",IF($R168=Constants!$B$2,TRUE(),IF($R168=Constants!$B$3,FALSE(),TRUE())))</f>
        <v/>
      </c>
      <c r="AL168" s="126" t="str">
        <f aca="false">IF(ISBLANK($C168),"",IF(ISNUMBER($S168),IF($S168&gt;=0,$S168,""),""))</f>
        <v/>
      </c>
      <c r="AM168" s="124" t="str">
        <f aca="false">IF(ISBLANK($C168),"",IF(ISBLANK($T168),0,IF(ISNUMBER($T168),IF(AND($T168&gt;=0,$T168&lt;=Constants!$B$17,$T168=INT($T168)),$T168,""),"")))</f>
        <v/>
      </c>
      <c r="AN168" s="125" t="str">
        <f aca="false">IF(ISBLANK($C168),"",IF(ISBLANK($U168),0,IF(ISNUMBER($U168),IF($U168&gt;=0,$U168,""),"")))</f>
        <v/>
      </c>
      <c r="AO168" s="124" t="str">
        <f aca="false">IF(ISBLANK($C168),"",IF($V168=Constants!$B$2,TRUE(),IF($V168=Constants!$B$3,FALSE(),FALSE())))</f>
        <v/>
      </c>
      <c r="AP168" s="124"/>
      <c r="AQ168" s="123" t="str">
        <f aca="false">IF(ISBLANK($C168),"",AND($Y168,OR($AS168,$BC168),OR($Z168="",$AA168="",$AB168="")))</f>
        <v/>
      </c>
      <c r="AR168" s="123" t="str">
        <f aca="false">IF(ISBLANK($C168),"",IF(OR(NOT($Y168),NOT(OR($AS168,$BC168))),"",IF(ISBLANK($D$7),$AR$5,IF($AP$9="",$AR$6,""))))</f>
        <v/>
      </c>
      <c r="AS168" s="123" t="str">
        <f aca="false">IF(ISBLANK($C168),"",COUNTA($J168:$O168)&gt;0)</f>
        <v/>
      </c>
      <c r="AT168" s="123" t="str">
        <f aca="false">IF(ISBLANK($C168),"",AND($AS168,OR(AND($AF168="",OR($AE168,NOT(ISBLANK($M168)))),$AG168="",$AH168="")))</f>
        <v/>
      </c>
      <c r="AU168" s="125" t="str">
        <f aca="false">IF($BL168&lt;&gt;Constants!$B$4,"",IF(NOT($AS168),"",ROUND((Constants!$B$12-$AB168)+(Constants!$B$13-$Z168)+(Constants!$B$14-$AA168),1)))</f>
        <v/>
      </c>
      <c r="AV168" s="127" t="str">
        <f aca="false">IF($BL168&lt;&gt;Constants!$B$4,"",IF(NOT($AS168),"",IF(NOT($AE168),0,Constants!$B$15*(INT(ROUND(MIN($AF168,$AP$9),6))-INT(ROUND(MAX(0,MIN($AF168,2*$AP$9)-$AP$9),6))))))</f>
        <v/>
      </c>
      <c r="AW168" s="127" t="str">
        <f aca="false">IF($BL168&lt;&gt;Constants!$B$4,"",IF(NOT($AS168),"",Constants!$B$16*$AG168))</f>
        <v/>
      </c>
      <c r="AX168" s="127" t="str">
        <f aca="false">IF($BL168&lt;&gt;Constants!$B$4,"",IF(NOT($AS168),"",Constants!$B$18*INT(ROUND($AH168,6))))</f>
        <v/>
      </c>
      <c r="AY168" s="123" t="str">
        <f aca="false">IF($BL168&lt;&gt;Constants!$B$4,"",IF(NOT($AS168),"",IF(NOT($X168),Constants!$B$11,IF(OR(NOT($AC168),NOT($AD168),ROUND($AB168,1)&gt;Constants!$B$12,ROUND($Z168,1)&gt;Constants!$B$13,ROUND($AA168,1)&gt;Constants!$B$14),Constants!$B$10,Constants!$B$9))))</f>
        <v/>
      </c>
      <c r="AZ168" s="128" t="str">
        <f aca="false">IF($BL168&lt;&gt;Constants!$B$4,"",IF(NOT($AS168),"",ROUND($AU168+$AV168+$AW168+$AX168,1)))</f>
        <v/>
      </c>
      <c r="BA168" s="129" t="str">
        <f aca="false">IF($BL168&lt;&gt;Constants!$B$4,"",IF(NOT($AS168),"",IF(ISNUMBER($AF168),$AF168,0)))</f>
        <v/>
      </c>
      <c r="BB168" s="124" t="str">
        <f aca="false">IF($BL168&lt;&gt;Constants!$B$4,"",IF(NOT($BC168),"&lt;-",IF(NOT($AS168),"-&gt;",IF(OR($BI168&lt;$AY168,AND($BI168=$AY168,OR($BJ168&gt;$AZ168,AND($BJ168=$AZ168,OR($BH168&gt;$AX168,AND($BH168=$AX168,OR($BE168&gt;$AU168,AND($BE168=$AU168,OR($BF168&gt;$AV168,AND($BF168=$AV168,$BK168&gt;$BA168)))))))))),"-&gt;","&lt;-"))))</f>
        <v/>
      </c>
      <c r="BC168" s="123" t="str">
        <f aca="false">IF(ISBLANK($C168),"",COUNTA($P168:$U168)&gt;0)</f>
        <v/>
      </c>
      <c r="BD168" s="123" t="str">
        <f aca="false">IF(ISBLANK($C168),"",AND($BC168,OR(AND($AL168="",OR($AK168,NOT(ISBLANK($S168)))),$AM168="",$AN168="")))</f>
        <v/>
      </c>
      <c r="BE168" s="125" t="str">
        <f aca="false">IF($BL168&lt;&gt;Constants!$B$4,"",IF(NOT($BC168),"",ROUND((Constants!$B$12-$AB168)+(Constants!$B$13-$Z168)+(Constants!$B$14-$AA168),1)))</f>
        <v/>
      </c>
      <c r="BF168" s="127" t="str">
        <f aca="false">IF($BL168&lt;&gt;Constants!$B$4,"",IF(NOT($BC168),"",IF(NOT($AK168),0,Constants!$B$15*(INT(ROUND(MIN($AL168,$AP$9),6))-INT(ROUND(MAX(0,MIN($AL168,2*$AP$9)-$AP$9),6))))))</f>
        <v/>
      </c>
      <c r="BG168" s="127" t="str">
        <f aca="false">IF($BL168&lt;&gt;Constants!$B$4,"",IF(NOT($BC168),"",Constants!$B$16*$AM168))</f>
        <v/>
      </c>
      <c r="BH168" s="127" t="str">
        <f aca="false">IF($BL168&lt;&gt;Constants!$B$4,"",IF(NOT($BC168),"",Constants!$B$18*INT(ROUND($AN168,6))))</f>
        <v/>
      </c>
      <c r="BI168" s="123" t="str">
        <f aca="false">IF($BL168&lt;&gt;Constants!$B$4,"",IF(NOT($BC168),"",IF(NOT($X168),Constants!$B$11,IF(OR(NOT($AI168),NOT($AJ168),ROUND($AB168,1)&gt;Constants!$B$12,ROUND($Z168,1)&gt;Constants!$B$13,ROUND($AA168,1)&gt;Constants!$B$14),Constants!$B$10,Constants!$B$9))))</f>
        <v/>
      </c>
      <c r="BJ168" s="128" t="str">
        <f aca="false">IF($BL168&lt;&gt;Constants!$B$4,"",IF(NOT($BC168),"",ROUND($BE168+$BF168+$BG168+$BH168,1)))</f>
        <v/>
      </c>
      <c r="BK168" s="129" t="str">
        <f aca="false">IF($BL168&lt;&gt;Constants!$B$4,"",IF(NOT($BC168),"",IF(ISNUMBER($AL168),$AL168,0)))</f>
        <v/>
      </c>
      <c r="BL168" s="124" t="str">
        <f aca="false">IF(ISBLANK($C168),"",IF($AO168,Constants!$B$7,IF(COUNTA($E168:$V168)=0,Constants!$B$6,IF(NOT($Y168),Constants!$B$5,IF(NOT(OR($AS168,$BC168)),Constants!$B$5,IF(OR($AT168,$BD168,$AQ168,$AR168&lt;&gt;""),Constants!$B$8,Constants!$B$4))))))</f>
        <v/>
      </c>
      <c r="BM168" s="124" t="str">
        <f aca="false">IF(ISBLANK($C168),"",IF($BL168&lt;&gt;Constants!$B$4,$BL168,IF($BB168="-&gt;",$BI168,$AY168)))</f>
        <v/>
      </c>
      <c r="BN168" s="127" t="str">
        <f aca="false">IF($BL168&lt;&gt;Constants!$B$4,"",IF($BB168="-&gt;",$BJ168,$AZ168))</f>
        <v/>
      </c>
      <c r="BO168" s="127" t="str">
        <f aca="false">IF(ISBLANK($C168),"",IF($BL168&lt;&gt;Constants!$B$4,$BL168,$BN168))</f>
        <v/>
      </c>
      <c r="BP168" s="124" t="str">
        <f aca="false">IF(ISBLANK($C168),"",IF($BL168&lt;&gt;Constants!$B$4,$BL168,RANK($BO168,$BO$9:$BO$508,0)))</f>
        <v/>
      </c>
      <c r="BQ168" s="124" t="str">
        <f aca="false">IF(ISBLANK($C168),"",IF($BL168&lt;&gt;Constants!$B$4,$BL168,COUNTIFS($BM$9:$BM$508,"&lt;"&amp;$BM168)+COUNTIFS($BM$9:$BM$508,$BM168,$BP$9:$BP$508,"&lt;"&amp;$BP168)+1))</f>
        <v/>
      </c>
      <c r="BR168" s="127" t="str">
        <f aca="false">IF($BL168&lt;&gt;Constants!$B$4,"",IF($BB168="-&gt;",$BH168,$AX168))</f>
        <v/>
      </c>
      <c r="BS168" s="124" t="str">
        <f aca="false">IF(ISBLANK($C168),"",IF($BL168&lt;&gt;Constants!$B$4,$BL168,IF(ISNUMBER($BR168),RANK($BR168,$BR$9:$BR$508,0),COUNT($BR$9:$BR$508)+1)))</f>
        <v/>
      </c>
      <c r="BT168" s="127" t="str">
        <f aca="false">IF($BL168&lt;&gt;Constants!$B$4,"",IF($BB168="-&gt;",$BE168,$AU168))</f>
        <v/>
      </c>
      <c r="BU168" s="124" t="str">
        <f aca="false">IF(ISBLANK($C168),"",IF($BL168&lt;&gt;Constants!$B$4,$BL168,IF(ISNUMBER($BT168),RANK($BT168,$BT$9:$BT$508,0),COUNT($BT$9:$BT$508)+1)))</f>
        <v/>
      </c>
      <c r="BV168" s="127" t="str">
        <f aca="false">IF($BL168&lt;&gt;Constants!$B$4,"",IF($BB168="-&gt;",$BF168,$AV168))</f>
        <v/>
      </c>
      <c r="BW168" s="124" t="str">
        <f aca="false">IF(ISBLANK($C168),"",IF($BL168&lt;&gt;Constants!$B$4,$BL168,IF(ISNUMBER($BV168),RANK($BV168,$BV$9:$BV$508,0),COUNT($BV$9:$BV$508)+1)))</f>
        <v/>
      </c>
      <c r="BX168" s="127" t="str">
        <f aca="false">IF($BL168&lt;&gt;Constants!$B$4,"",IF($BB168="-&gt;",$BK168,$BA168))</f>
        <v/>
      </c>
      <c r="BY168" s="124" t="str">
        <f aca="false">IF(ISBLANK($C168),"",IF($BL168&lt;&gt;Constants!$B$4,$BL168,IF(ISNUMBER($BX168),RANK($BX168,$BX$9:$BX$508,0),COUNT($BX$9:$BX$508)+1)))</f>
        <v/>
      </c>
      <c r="BZ168" s="124" t="str">
        <f aca="false">IF(ISBLANK($C168),"",IF($BL168&lt;&gt;Constants!$B$4,$BL168,COUNTIFS($BM$9:$BM$508,"&lt;"&amp;$BM168)+COUNTIFS($BM$9:$BM$508,$BM168,$BP$9:$BP$508,"&lt;"&amp;$BP168)+COUNTIFS($BM$9:$BM$508,$BM168,$BP$9:$BP$508,$BP168,$BS$9:$BS$508,"&lt;"&amp;$BS168)+COUNTIFS($BM$9:$BM$508,$BM168,$BP$9:$BP$508,$BP168,$BS$9:$BS$508,$BS168,$BU$9:$BU$508,"&lt;"&amp;$BU168)+COUNTIFS($BM$9:$BM$508,$BM168,$BP$9:$BP$508,$BP168,$BS$9:$BS$508,$BS168,$BU$9:$BU$508,$BU168,$BW$9:$BW$508,"&lt;"&amp;$BW168)+COUNTIFS($BM$9:$BM$508,$BM168,$BP$9:$BP$508,$BP168,$BS$9:$BS$508,$BS168,$BU$9:$BU$508,$BU168,$BW$9:$BW$508,$BW168,$BY$9:$BY$508,"&lt;"&amp;$BY168)+1))</f>
        <v/>
      </c>
      <c r="CA168" s="124" t="str">
        <f aca="false">IF(ISBLANK($C168),"",IF($BL168&lt;&gt;Constants!$B$4,$BL168,$BQ168-$BZ168))</f>
        <v/>
      </c>
      <c r="CB168" s="130"/>
      <c r="CC168" s="131" t="str">
        <f aca="false">IF(ISBLANK($C168),"",IF($BL168=Constants!$B$8,$AR168,""))</f>
        <v/>
      </c>
      <c r="CD168" s="131" t="str">
        <f aca="false">IF(ISBLANK($C168),"",IF($BL168&lt;&gt;Constants!$B$4,"",IF($BB168="-&gt;",2,1)))</f>
        <v/>
      </c>
      <c r="CE168" s="132" t="str">
        <f aca="false">IF(ISBLANK($C168),"",IF($BL168&lt;&gt;Constants!$B$4,"",IF($BB168="-&gt;",$BE168,$AU168)))</f>
        <v/>
      </c>
      <c r="CF168" s="132" t="str">
        <f aca="false">IF(ISBLANK($C168),"",IF($BL168&lt;&gt;Constants!$B$4,"",IF($BB168="-&gt;",$BF168,$AV168)))</f>
        <v/>
      </c>
      <c r="CG168" s="132" t="str">
        <f aca="false">IF(ISBLANK($C168),"",IF($BL168&lt;&gt;Constants!$B$4,"",IF($BB168="-&gt;",$BG168,$AW168)))</f>
        <v/>
      </c>
      <c r="CH168" s="132" t="str">
        <f aca="false">IF(ISBLANK($C168),"",IF($BL168&lt;&gt;Constants!$B$4,"",IF($BB168="-&gt;",$BH168,$AX168)))</f>
        <v/>
      </c>
      <c r="CI168" s="133" t="str">
        <f aca="false">IF(ISBLANK($C168),"",$BO168)</f>
        <v/>
      </c>
      <c r="CJ168" s="134" t="str">
        <f aca="false">IF(ISBLANK($C168),"",$BM168)</f>
        <v/>
      </c>
      <c r="CK168" s="135" t="str">
        <f aca="false">IF(ISBLANK($C168),"",$CA168)</f>
        <v/>
      </c>
      <c r="CL168" s="135" t="str">
        <f aca="false">IF(ISBLANK($C168),"",$BZ168)</f>
        <v/>
      </c>
      <c r="CM168" s="136" t="str">
        <f aca="false">IF(ISBLANK($C168),"",IF($CL168=Constants!$B$7,COUNTA($C$9:$C$508)+2,IF($CL168=Constants!$B$6,COUNTA($C$9:$C$508)+1,IF($CL168=Constants!$B$5,COUNTA($C$9:$C$508),$CL168))))</f>
        <v/>
      </c>
      <c r="CN168" s="8"/>
      <c r="CO168" s="137" t="n">
        <f aca="false">IF(OR(ISNUMBER($CL168),$CL168=Constants!$B$7,$CL168=Constants!$B$5,$CL168=Constants!$B$6),1,0)</f>
        <v>0</v>
      </c>
      <c r="CP168" s="137" t="n">
        <v>160</v>
      </c>
      <c r="CQ168" s="137" t="str">
        <f aca="false">IF(ISBLANK($C168),"",IF(ISNUMBER($CM168),$CM168+ROW($B168)/1000,""))</f>
        <v/>
      </c>
      <c r="CR168" s="137" t="str">
        <f aca="false">IF(ISNUMBER($CQ168),RANK($CQ168,$CQ$9:$CQ$508,1),"")</f>
        <v/>
      </c>
      <c r="CS168" s="137" t="str">
        <f aca="false">IF(ISBLANK($C168),"",$B168)</f>
        <v/>
      </c>
      <c r="CT168" s="137" t="str">
        <f aca="false">IF(ISBLANK($C168),"",$C168)</f>
        <v/>
      </c>
      <c r="CU168" s="137" t="str">
        <f aca="false">IF(ISBLANK($C168),"",$D168)</f>
        <v/>
      </c>
      <c r="CV168" s="138" t="str">
        <f aca="false">$CJ168</f>
        <v/>
      </c>
      <c r="CW168" s="139" t="str">
        <f aca="false">$CI168</f>
        <v/>
      </c>
      <c r="CX168" s="137" t="str">
        <f aca="false">IF(ISBLANK($C168),"",$CL168)</f>
        <v/>
      </c>
      <c r="CY168" s="140" t="str">
        <f aca="false">IF($CP168&gt;$CO$8,"",VLOOKUP($CP168,$CR$9:$CX$508,7,FALSE()))</f>
        <v/>
      </c>
      <c r="CZ168" s="141" t="str">
        <f aca="false">IF($CP168&gt;$CO$8,"",VLOOKUP($CP168,$CR$9:$CX$508,2,FALSE()))</f>
        <v/>
      </c>
      <c r="DA168" s="141" t="str">
        <f aca="false">IF($CP168&gt;$CO$8,"",VLOOKUP($CP168,$CR$9:$CX$508,3,FALSE()))</f>
        <v/>
      </c>
      <c r="DB168" s="141" t="str">
        <f aca="false">IF($CP168&gt;$CO$8,"",VLOOKUP($CP168,$CR$9:$CX$508,4,FALSE()))</f>
        <v/>
      </c>
      <c r="DC168" s="141" t="str">
        <f aca="false">IF($CP168&gt;$CO$8,"",VLOOKUP($CP168,$CR$9:$CX$508,5,FALSE()))</f>
        <v/>
      </c>
      <c r="DD168" s="142" t="str">
        <f aca="false">IF($CP168&gt;$CO$8,"",VLOOKUP($CP168,$CR$9:$CX$508,6,FALSE()))</f>
        <v/>
      </c>
      <c r="DE168" s="70"/>
    </row>
    <row r="169" customFormat="false" ht="15.75" hidden="false" customHeight="false" outlineLevel="0" collapsed="false">
      <c r="A169" s="8"/>
      <c r="B169" s="146"/>
      <c r="C169" s="147"/>
      <c r="D169" s="148"/>
      <c r="E169" s="164"/>
      <c r="F169" s="150"/>
      <c r="G169" s="115"/>
      <c r="H169" s="115"/>
      <c r="I169" s="115"/>
      <c r="J169" s="165"/>
      <c r="K169" s="154"/>
      <c r="L169" s="154"/>
      <c r="M169" s="118"/>
      <c r="N169" s="154"/>
      <c r="O169" s="153"/>
      <c r="P169" s="154"/>
      <c r="Q169" s="154"/>
      <c r="R169" s="154"/>
      <c r="S169" s="115"/>
      <c r="T169" s="154"/>
      <c r="U169" s="153"/>
      <c r="V169" s="154"/>
      <c r="W169" s="123"/>
      <c r="X169" s="124" t="str">
        <f aca="false">IF(ISBLANK($C169),"",IF($E169=Constants!$B$2,TRUE(),IF($E169=Constants!$B$3,FALSE(),TRUE())))</f>
        <v/>
      </c>
      <c r="Y169" s="124" t="str">
        <f aca="false">IF(ISBLANK($C169),"",IF($F169=Constants!$B$2,TRUE(),IF($F169=Constants!$B$3,FALSE(),TRUE())))</f>
        <v/>
      </c>
      <c r="Z169" s="125" t="str">
        <f aca="false">IF(ISBLANK($C169),"",IF(ISNUMBER($G169),IF($G169&gt;=0,$G169,""),""))</f>
        <v/>
      </c>
      <c r="AA169" s="125" t="str">
        <f aca="false">IF(ISBLANK($C169),"",IF(ISNUMBER($H169),IF($H169&gt;=0,$H169,""),""))</f>
        <v/>
      </c>
      <c r="AB169" s="125" t="str">
        <f aca="false">IF(ISBLANK($C169),"",IF(ISNUMBER($I169),IF($I169&gt;=0,$I169,""),""))</f>
        <v/>
      </c>
      <c r="AC169" s="124" t="str">
        <f aca="false">IF(ISBLANK($C169),"",IF($J169=Constants!$B$2,TRUE(),IF($J169=Constants!$B$3,FALSE(),TRUE())))</f>
        <v/>
      </c>
      <c r="AD169" s="124" t="str">
        <f aca="false">IF(ISBLANK($C169),"",IF($K169=Constants!$B$2,TRUE(),IF($K169=Constants!$B$3,FALSE(),TRUE())))</f>
        <v/>
      </c>
      <c r="AE169" s="124" t="str">
        <f aca="false">IF(ISBLANK($C169),"",IF($L169=Constants!$B$2,TRUE(),IF($L169=Constants!$B$3,FALSE(),TRUE())))</f>
        <v/>
      </c>
      <c r="AF169" s="126" t="str">
        <f aca="false">IF(ISBLANK($C169),"",IF(ISNUMBER($M169),IF($M169&gt;=0,$M169,""),""))</f>
        <v/>
      </c>
      <c r="AG169" s="124" t="str">
        <f aca="false">IF(ISBLANK($C169),"",IF(ISBLANK($N169),0,IF(ISNUMBER($N169),IF(AND($N169&gt;=0,$N169&lt;=Constants!$B$17,$N169=INT($N169)),$N169,""),"")))</f>
        <v/>
      </c>
      <c r="AH169" s="125" t="str">
        <f aca="false">IF(ISBLANK($C169),"",IF(ISBLANK($O169),0,IF(ISNUMBER($O169),IF($O169&gt;=0,$O169,""),"")))</f>
        <v/>
      </c>
      <c r="AI169" s="124" t="str">
        <f aca="false">IF(ISBLANK($C169),"",IF($P169=Constants!$B$2,TRUE(),IF($P169=Constants!$B$3,FALSE(),TRUE())))</f>
        <v/>
      </c>
      <c r="AJ169" s="124" t="str">
        <f aca="false">IF(ISBLANK($C169),"",IF($Q169=Constants!$B$2,TRUE(),IF($Q169=Constants!$B$3,FALSE(),TRUE())))</f>
        <v/>
      </c>
      <c r="AK169" s="124" t="str">
        <f aca="false">IF(ISBLANK($C169),"",IF($R169=Constants!$B$2,TRUE(),IF($R169=Constants!$B$3,FALSE(),TRUE())))</f>
        <v/>
      </c>
      <c r="AL169" s="126" t="str">
        <f aca="false">IF(ISBLANK($C169),"",IF(ISNUMBER($S169),IF($S169&gt;=0,$S169,""),""))</f>
        <v/>
      </c>
      <c r="AM169" s="124" t="str">
        <f aca="false">IF(ISBLANK($C169),"",IF(ISBLANK($T169),0,IF(ISNUMBER($T169),IF(AND($T169&gt;=0,$T169&lt;=Constants!$B$17,$T169=INT($T169)),$T169,""),"")))</f>
        <v/>
      </c>
      <c r="AN169" s="125" t="str">
        <f aca="false">IF(ISBLANK($C169),"",IF(ISBLANK($U169),0,IF(ISNUMBER($U169),IF($U169&gt;=0,$U169,""),"")))</f>
        <v/>
      </c>
      <c r="AO169" s="124" t="str">
        <f aca="false">IF(ISBLANK($C169),"",IF($V169=Constants!$B$2,TRUE(),IF($V169=Constants!$B$3,FALSE(),FALSE())))</f>
        <v/>
      </c>
      <c r="AP169" s="124"/>
      <c r="AQ169" s="123" t="str">
        <f aca="false">IF(ISBLANK($C169),"",AND($Y169,OR($AS169,$BC169),OR($Z169="",$AA169="",$AB169="")))</f>
        <v/>
      </c>
      <c r="AR169" s="123" t="str">
        <f aca="false">IF(ISBLANK($C169),"",IF(OR(NOT($Y169),NOT(OR($AS169,$BC169))),"",IF(ISBLANK($D$7),$AR$5,IF($AP$9="",$AR$6,""))))</f>
        <v/>
      </c>
      <c r="AS169" s="123" t="str">
        <f aca="false">IF(ISBLANK($C169),"",COUNTA($J169:$O169)&gt;0)</f>
        <v/>
      </c>
      <c r="AT169" s="123" t="str">
        <f aca="false">IF(ISBLANK($C169),"",AND($AS169,OR(AND($AF169="",OR($AE169,NOT(ISBLANK($M169)))),$AG169="",$AH169="")))</f>
        <v/>
      </c>
      <c r="AU169" s="125" t="str">
        <f aca="false">IF($BL169&lt;&gt;Constants!$B$4,"",IF(NOT($AS169),"",ROUND((Constants!$B$12-$AB169)+(Constants!$B$13-$Z169)+(Constants!$B$14-$AA169),1)))</f>
        <v/>
      </c>
      <c r="AV169" s="127" t="str">
        <f aca="false">IF($BL169&lt;&gt;Constants!$B$4,"",IF(NOT($AS169),"",IF(NOT($AE169),0,Constants!$B$15*(INT(ROUND(MIN($AF169,$AP$9),6))-INT(ROUND(MAX(0,MIN($AF169,2*$AP$9)-$AP$9),6))))))</f>
        <v/>
      </c>
      <c r="AW169" s="127" t="str">
        <f aca="false">IF($BL169&lt;&gt;Constants!$B$4,"",IF(NOT($AS169),"",Constants!$B$16*$AG169))</f>
        <v/>
      </c>
      <c r="AX169" s="127" t="str">
        <f aca="false">IF($BL169&lt;&gt;Constants!$B$4,"",IF(NOT($AS169),"",Constants!$B$18*INT(ROUND($AH169,6))))</f>
        <v/>
      </c>
      <c r="AY169" s="123" t="str">
        <f aca="false">IF($BL169&lt;&gt;Constants!$B$4,"",IF(NOT($AS169),"",IF(NOT($X169),Constants!$B$11,IF(OR(NOT($AC169),NOT($AD169),ROUND($AB169,1)&gt;Constants!$B$12,ROUND($Z169,1)&gt;Constants!$B$13,ROUND($AA169,1)&gt;Constants!$B$14),Constants!$B$10,Constants!$B$9))))</f>
        <v/>
      </c>
      <c r="AZ169" s="128" t="str">
        <f aca="false">IF($BL169&lt;&gt;Constants!$B$4,"",IF(NOT($AS169),"",ROUND($AU169+$AV169+$AW169+$AX169,1)))</f>
        <v/>
      </c>
      <c r="BA169" s="129" t="str">
        <f aca="false">IF($BL169&lt;&gt;Constants!$B$4,"",IF(NOT($AS169),"",IF(ISNUMBER($AF169),$AF169,0)))</f>
        <v/>
      </c>
      <c r="BB169" s="124" t="str">
        <f aca="false">IF($BL169&lt;&gt;Constants!$B$4,"",IF(NOT($BC169),"&lt;-",IF(NOT($AS169),"-&gt;",IF(OR($BI169&lt;$AY169,AND($BI169=$AY169,OR($BJ169&gt;$AZ169,AND($BJ169=$AZ169,OR($BH169&gt;$AX169,AND($BH169=$AX169,OR($BE169&gt;$AU169,AND($BE169=$AU169,OR($BF169&gt;$AV169,AND($BF169=$AV169,$BK169&gt;$BA169)))))))))),"-&gt;","&lt;-"))))</f>
        <v/>
      </c>
      <c r="BC169" s="123" t="str">
        <f aca="false">IF(ISBLANK($C169),"",COUNTA($P169:$U169)&gt;0)</f>
        <v/>
      </c>
      <c r="BD169" s="123" t="str">
        <f aca="false">IF(ISBLANK($C169),"",AND($BC169,OR(AND($AL169="",OR($AK169,NOT(ISBLANK($S169)))),$AM169="",$AN169="")))</f>
        <v/>
      </c>
      <c r="BE169" s="125" t="str">
        <f aca="false">IF($BL169&lt;&gt;Constants!$B$4,"",IF(NOT($BC169),"",ROUND((Constants!$B$12-$AB169)+(Constants!$B$13-$Z169)+(Constants!$B$14-$AA169),1)))</f>
        <v/>
      </c>
      <c r="BF169" s="127" t="str">
        <f aca="false">IF($BL169&lt;&gt;Constants!$B$4,"",IF(NOT($BC169),"",IF(NOT($AK169),0,Constants!$B$15*(INT(ROUND(MIN($AL169,$AP$9),6))-INT(ROUND(MAX(0,MIN($AL169,2*$AP$9)-$AP$9),6))))))</f>
        <v/>
      </c>
      <c r="BG169" s="127" t="str">
        <f aca="false">IF($BL169&lt;&gt;Constants!$B$4,"",IF(NOT($BC169),"",Constants!$B$16*$AM169))</f>
        <v/>
      </c>
      <c r="BH169" s="127" t="str">
        <f aca="false">IF($BL169&lt;&gt;Constants!$B$4,"",IF(NOT($BC169),"",Constants!$B$18*INT(ROUND($AN169,6))))</f>
        <v/>
      </c>
      <c r="BI169" s="123" t="str">
        <f aca="false">IF($BL169&lt;&gt;Constants!$B$4,"",IF(NOT($BC169),"",IF(NOT($X169),Constants!$B$11,IF(OR(NOT($AI169),NOT($AJ169),ROUND($AB169,1)&gt;Constants!$B$12,ROUND($Z169,1)&gt;Constants!$B$13,ROUND($AA169,1)&gt;Constants!$B$14),Constants!$B$10,Constants!$B$9))))</f>
        <v/>
      </c>
      <c r="BJ169" s="128" t="str">
        <f aca="false">IF($BL169&lt;&gt;Constants!$B$4,"",IF(NOT($BC169),"",ROUND($BE169+$BF169+$BG169+$BH169,1)))</f>
        <v/>
      </c>
      <c r="BK169" s="129" t="str">
        <f aca="false">IF($BL169&lt;&gt;Constants!$B$4,"",IF(NOT($BC169),"",IF(ISNUMBER($AL169),$AL169,0)))</f>
        <v/>
      </c>
      <c r="BL169" s="124" t="str">
        <f aca="false">IF(ISBLANK($C169),"",IF($AO169,Constants!$B$7,IF(COUNTA($E169:$V169)=0,Constants!$B$6,IF(NOT($Y169),Constants!$B$5,IF(NOT(OR($AS169,$BC169)),Constants!$B$5,IF(OR($AT169,$BD169,$AQ169,$AR169&lt;&gt;""),Constants!$B$8,Constants!$B$4))))))</f>
        <v/>
      </c>
      <c r="BM169" s="124" t="str">
        <f aca="false">IF(ISBLANK($C169),"",IF($BL169&lt;&gt;Constants!$B$4,$BL169,IF($BB169="-&gt;",$BI169,$AY169)))</f>
        <v/>
      </c>
      <c r="BN169" s="127" t="str">
        <f aca="false">IF($BL169&lt;&gt;Constants!$B$4,"",IF($BB169="-&gt;",$BJ169,$AZ169))</f>
        <v/>
      </c>
      <c r="BO169" s="127" t="str">
        <f aca="false">IF(ISBLANK($C169),"",IF($BL169&lt;&gt;Constants!$B$4,$BL169,$BN169))</f>
        <v/>
      </c>
      <c r="BP169" s="124" t="str">
        <f aca="false">IF(ISBLANK($C169),"",IF($BL169&lt;&gt;Constants!$B$4,$BL169,RANK($BO169,$BO$9:$BO$508,0)))</f>
        <v/>
      </c>
      <c r="BQ169" s="124" t="str">
        <f aca="false">IF(ISBLANK($C169),"",IF($BL169&lt;&gt;Constants!$B$4,$BL169,COUNTIFS($BM$9:$BM$508,"&lt;"&amp;$BM169)+COUNTIFS($BM$9:$BM$508,$BM169,$BP$9:$BP$508,"&lt;"&amp;$BP169)+1))</f>
        <v/>
      </c>
      <c r="BR169" s="127" t="str">
        <f aca="false">IF($BL169&lt;&gt;Constants!$B$4,"",IF($BB169="-&gt;",$BH169,$AX169))</f>
        <v/>
      </c>
      <c r="BS169" s="124" t="str">
        <f aca="false">IF(ISBLANK($C169),"",IF($BL169&lt;&gt;Constants!$B$4,$BL169,IF(ISNUMBER($BR169),RANK($BR169,$BR$9:$BR$508,0),COUNT($BR$9:$BR$508)+1)))</f>
        <v/>
      </c>
      <c r="BT169" s="127" t="str">
        <f aca="false">IF($BL169&lt;&gt;Constants!$B$4,"",IF($BB169="-&gt;",$BE169,$AU169))</f>
        <v/>
      </c>
      <c r="BU169" s="124" t="str">
        <f aca="false">IF(ISBLANK($C169),"",IF($BL169&lt;&gt;Constants!$B$4,$BL169,IF(ISNUMBER($BT169),RANK($BT169,$BT$9:$BT$508,0),COUNT($BT$9:$BT$508)+1)))</f>
        <v/>
      </c>
      <c r="BV169" s="127" t="str">
        <f aca="false">IF($BL169&lt;&gt;Constants!$B$4,"",IF($BB169="-&gt;",$BF169,$AV169))</f>
        <v/>
      </c>
      <c r="BW169" s="124" t="str">
        <f aca="false">IF(ISBLANK($C169),"",IF($BL169&lt;&gt;Constants!$B$4,$BL169,IF(ISNUMBER($BV169),RANK($BV169,$BV$9:$BV$508,0),COUNT($BV$9:$BV$508)+1)))</f>
        <v/>
      </c>
      <c r="BX169" s="127" t="str">
        <f aca="false">IF($BL169&lt;&gt;Constants!$B$4,"",IF($BB169="-&gt;",$BK169,$BA169))</f>
        <v/>
      </c>
      <c r="BY169" s="124" t="str">
        <f aca="false">IF(ISBLANK($C169),"",IF($BL169&lt;&gt;Constants!$B$4,$BL169,IF(ISNUMBER($BX169),RANK($BX169,$BX$9:$BX$508,0),COUNT($BX$9:$BX$508)+1)))</f>
        <v/>
      </c>
      <c r="BZ169" s="124" t="str">
        <f aca="false">IF(ISBLANK($C169),"",IF($BL169&lt;&gt;Constants!$B$4,$BL169,COUNTIFS($BM$9:$BM$508,"&lt;"&amp;$BM169)+COUNTIFS($BM$9:$BM$508,$BM169,$BP$9:$BP$508,"&lt;"&amp;$BP169)+COUNTIFS($BM$9:$BM$508,$BM169,$BP$9:$BP$508,$BP169,$BS$9:$BS$508,"&lt;"&amp;$BS169)+COUNTIFS($BM$9:$BM$508,$BM169,$BP$9:$BP$508,$BP169,$BS$9:$BS$508,$BS169,$BU$9:$BU$508,"&lt;"&amp;$BU169)+COUNTIFS($BM$9:$BM$508,$BM169,$BP$9:$BP$508,$BP169,$BS$9:$BS$508,$BS169,$BU$9:$BU$508,$BU169,$BW$9:$BW$508,"&lt;"&amp;$BW169)+COUNTIFS($BM$9:$BM$508,$BM169,$BP$9:$BP$508,$BP169,$BS$9:$BS$508,$BS169,$BU$9:$BU$508,$BU169,$BW$9:$BW$508,$BW169,$BY$9:$BY$508,"&lt;"&amp;$BY169)+1))</f>
        <v/>
      </c>
      <c r="CA169" s="124" t="str">
        <f aca="false">IF(ISBLANK($C169),"",IF($BL169&lt;&gt;Constants!$B$4,$BL169,$BQ169-$BZ169))</f>
        <v/>
      </c>
      <c r="CB169" s="130"/>
      <c r="CC169" s="131" t="str">
        <f aca="false">IF(ISBLANK($C169),"",IF($BL169=Constants!$B$8,$AR169,""))</f>
        <v/>
      </c>
      <c r="CD169" s="131" t="str">
        <f aca="false">IF(ISBLANK($C169),"",IF($BL169&lt;&gt;Constants!$B$4,"",IF($BB169="-&gt;",2,1)))</f>
        <v/>
      </c>
      <c r="CE169" s="132" t="str">
        <f aca="false">IF(ISBLANK($C169),"",IF($BL169&lt;&gt;Constants!$B$4,"",IF($BB169="-&gt;",$BE169,$AU169)))</f>
        <v/>
      </c>
      <c r="CF169" s="132" t="str">
        <f aca="false">IF(ISBLANK($C169),"",IF($BL169&lt;&gt;Constants!$B$4,"",IF($BB169="-&gt;",$BF169,$AV169)))</f>
        <v/>
      </c>
      <c r="CG169" s="132" t="str">
        <f aca="false">IF(ISBLANK($C169),"",IF($BL169&lt;&gt;Constants!$B$4,"",IF($BB169="-&gt;",$BG169,$AW169)))</f>
        <v/>
      </c>
      <c r="CH169" s="132" t="str">
        <f aca="false">IF(ISBLANK($C169),"",IF($BL169&lt;&gt;Constants!$B$4,"",IF($BB169="-&gt;",$BH169,$AX169)))</f>
        <v/>
      </c>
      <c r="CI169" s="133" t="str">
        <f aca="false">IF(ISBLANK($C169),"",$BO169)</f>
        <v/>
      </c>
      <c r="CJ169" s="134" t="str">
        <f aca="false">IF(ISBLANK($C169),"",$BM169)</f>
        <v/>
      </c>
      <c r="CK169" s="135" t="str">
        <f aca="false">IF(ISBLANK($C169),"",$CA169)</f>
        <v/>
      </c>
      <c r="CL169" s="135" t="str">
        <f aca="false">IF(ISBLANK($C169),"",$BZ169)</f>
        <v/>
      </c>
      <c r="CM169" s="136" t="str">
        <f aca="false">IF(ISBLANK($C169),"",IF($CL169=Constants!$B$7,COUNTA($C$9:$C$508)+2,IF($CL169=Constants!$B$6,COUNTA($C$9:$C$508)+1,IF($CL169=Constants!$B$5,COUNTA($C$9:$C$508),$CL169))))</f>
        <v/>
      </c>
      <c r="CN169" s="8"/>
      <c r="CO169" s="137" t="n">
        <f aca="false">IF(OR(ISNUMBER($CL169),$CL169=Constants!$B$7,$CL169=Constants!$B$5,$CL169=Constants!$B$6),1,0)</f>
        <v>0</v>
      </c>
      <c r="CP169" s="137" t="n">
        <v>161</v>
      </c>
      <c r="CQ169" s="137" t="str">
        <f aca="false">IF(ISBLANK($C169),"",IF(ISNUMBER($CM169),$CM169+ROW($B169)/1000,""))</f>
        <v/>
      </c>
      <c r="CR169" s="137" t="str">
        <f aca="false">IF(ISNUMBER($CQ169),RANK($CQ169,$CQ$9:$CQ$508,1),"")</f>
        <v/>
      </c>
      <c r="CS169" s="137" t="str">
        <f aca="false">IF(ISBLANK($C169),"",$B169)</f>
        <v/>
      </c>
      <c r="CT169" s="137" t="str">
        <f aca="false">IF(ISBLANK($C169),"",$C169)</f>
        <v/>
      </c>
      <c r="CU169" s="137" t="str">
        <f aca="false">IF(ISBLANK($C169),"",$D169)</f>
        <v/>
      </c>
      <c r="CV169" s="138" t="str">
        <f aca="false">$CJ169</f>
        <v/>
      </c>
      <c r="CW169" s="139" t="str">
        <f aca="false">$CI169</f>
        <v/>
      </c>
      <c r="CX169" s="137" t="str">
        <f aca="false">IF(ISBLANK($C169),"",$CL169)</f>
        <v/>
      </c>
      <c r="CY169" s="140" t="str">
        <f aca="false">IF($CP169&gt;$CO$8,"",VLOOKUP($CP169,$CR$9:$CX$508,7,FALSE()))</f>
        <v/>
      </c>
      <c r="CZ169" s="141" t="str">
        <f aca="false">IF($CP169&gt;$CO$8,"",VLOOKUP($CP169,$CR$9:$CX$508,2,FALSE()))</f>
        <v/>
      </c>
      <c r="DA169" s="141" t="str">
        <f aca="false">IF($CP169&gt;$CO$8,"",VLOOKUP($CP169,$CR$9:$CX$508,3,FALSE()))</f>
        <v/>
      </c>
      <c r="DB169" s="141" t="str">
        <f aca="false">IF($CP169&gt;$CO$8,"",VLOOKUP($CP169,$CR$9:$CX$508,4,FALSE()))</f>
        <v/>
      </c>
      <c r="DC169" s="141" t="str">
        <f aca="false">IF($CP169&gt;$CO$8,"",VLOOKUP($CP169,$CR$9:$CX$508,5,FALSE()))</f>
        <v/>
      </c>
      <c r="DD169" s="142" t="str">
        <f aca="false">IF($CP169&gt;$CO$8,"",VLOOKUP($CP169,$CR$9:$CX$508,6,FALSE()))</f>
        <v/>
      </c>
      <c r="DE169" s="70"/>
    </row>
    <row r="170" customFormat="false" ht="15.75" hidden="false" customHeight="false" outlineLevel="0" collapsed="false">
      <c r="A170" s="8"/>
      <c r="B170" s="146"/>
      <c r="C170" s="147"/>
      <c r="D170" s="148"/>
      <c r="E170" s="164"/>
      <c r="F170" s="150"/>
      <c r="G170" s="115"/>
      <c r="H170" s="115"/>
      <c r="I170" s="115"/>
      <c r="J170" s="165"/>
      <c r="K170" s="154"/>
      <c r="L170" s="154"/>
      <c r="M170" s="118"/>
      <c r="N170" s="154"/>
      <c r="O170" s="153"/>
      <c r="P170" s="154"/>
      <c r="Q170" s="154"/>
      <c r="R170" s="154"/>
      <c r="S170" s="115"/>
      <c r="T170" s="154"/>
      <c r="U170" s="153"/>
      <c r="V170" s="154"/>
      <c r="W170" s="123"/>
      <c r="X170" s="124" t="str">
        <f aca="false">IF(ISBLANK($C170),"",IF($E170=Constants!$B$2,TRUE(),IF($E170=Constants!$B$3,FALSE(),TRUE())))</f>
        <v/>
      </c>
      <c r="Y170" s="124" t="str">
        <f aca="false">IF(ISBLANK($C170),"",IF($F170=Constants!$B$2,TRUE(),IF($F170=Constants!$B$3,FALSE(),TRUE())))</f>
        <v/>
      </c>
      <c r="Z170" s="125" t="str">
        <f aca="false">IF(ISBLANK($C170),"",IF(ISNUMBER($G170),IF($G170&gt;=0,$G170,""),""))</f>
        <v/>
      </c>
      <c r="AA170" s="125" t="str">
        <f aca="false">IF(ISBLANK($C170),"",IF(ISNUMBER($H170),IF($H170&gt;=0,$H170,""),""))</f>
        <v/>
      </c>
      <c r="AB170" s="125" t="str">
        <f aca="false">IF(ISBLANK($C170),"",IF(ISNUMBER($I170),IF($I170&gt;=0,$I170,""),""))</f>
        <v/>
      </c>
      <c r="AC170" s="124" t="str">
        <f aca="false">IF(ISBLANK($C170),"",IF($J170=Constants!$B$2,TRUE(),IF($J170=Constants!$B$3,FALSE(),TRUE())))</f>
        <v/>
      </c>
      <c r="AD170" s="124" t="str">
        <f aca="false">IF(ISBLANK($C170),"",IF($K170=Constants!$B$2,TRUE(),IF($K170=Constants!$B$3,FALSE(),TRUE())))</f>
        <v/>
      </c>
      <c r="AE170" s="124" t="str">
        <f aca="false">IF(ISBLANK($C170),"",IF($L170=Constants!$B$2,TRUE(),IF($L170=Constants!$B$3,FALSE(),TRUE())))</f>
        <v/>
      </c>
      <c r="AF170" s="126" t="str">
        <f aca="false">IF(ISBLANK($C170),"",IF(ISNUMBER($M170),IF($M170&gt;=0,$M170,""),""))</f>
        <v/>
      </c>
      <c r="AG170" s="124" t="str">
        <f aca="false">IF(ISBLANK($C170),"",IF(ISBLANK($N170),0,IF(ISNUMBER($N170),IF(AND($N170&gt;=0,$N170&lt;=Constants!$B$17,$N170=INT($N170)),$N170,""),"")))</f>
        <v/>
      </c>
      <c r="AH170" s="125" t="str">
        <f aca="false">IF(ISBLANK($C170),"",IF(ISBLANK($O170),0,IF(ISNUMBER($O170),IF($O170&gt;=0,$O170,""),"")))</f>
        <v/>
      </c>
      <c r="AI170" s="124" t="str">
        <f aca="false">IF(ISBLANK($C170),"",IF($P170=Constants!$B$2,TRUE(),IF($P170=Constants!$B$3,FALSE(),TRUE())))</f>
        <v/>
      </c>
      <c r="AJ170" s="124" t="str">
        <f aca="false">IF(ISBLANK($C170),"",IF($Q170=Constants!$B$2,TRUE(),IF($Q170=Constants!$B$3,FALSE(),TRUE())))</f>
        <v/>
      </c>
      <c r="AK170" s="124" t="str">
        <f aca="false">IF(ISBLANK($C170),"",IF($R170=Constants!$B$2,TRUE(),IF($R170=Constants!$B$3,FALSE(),TRUE())))</f>
        <v/>
      </c>
      <c r="AL170" s="126" t="str">
        <f aca="false">IF(ISBLANK($C170),"",IF(ISNUMBER($S170),IF($S170&gt;=0,$S170,""),""))</f>
        <v/>
      </c>
      <c r="AM170" s="124" t="str">
        <f aca="false">IF(ISBLANK($C170),"",IF(ISBLANK($T170),0,IF(ISNUMBER($T170),IF(AND($T170&gt;=0,$T170&lt;=Constants!$B$17,$T170=INT($T170)),$T170,""),"")))</f>
        <v/>
      </c>
      <c r="AN170" s="125" t="str">
        <f aca="false">IF(ISBLANK($C170),"",IF(ISBLANK($U170),0,IF(ISNUMBER($U170),IF($U170&gt;=0,$U170,""),"")))</f>
        <v/>
      </c>
      <c r="AO170" s="124" t="str">
        <f aca="false">IF(ISBLANK($C170),"",IF($V170=Constants!$B$2,TRUE(),IF($V170=Constants!$B$3,FALSE(),FALSE())))</f>
        <v/>
      </c>
      <c r="AP170" s="124"/>
      <c r="AQ170" s="123" t="str">
        <f aca="false">IF(ISBLANK($C170),"",AND($Y170,OR($AS170,$BC170),OR($Z170="",$AA170="",$AB170="")))</f>
        <v/>
      </c>
      <c r="AR170" s="123" t="str">
        <f aca="false">IF(ISBLANK($C170),"",IF(OR(NOT($Y170),NOT(OR($AS170,$BC170))),"",IF(ISBLANK($D$7),$AR$5,IF($AP$9="",$AR$6,""))))</f>
        <v/>
      </c>
      <c r="AS170" s="123" t="str">
        <f aca="false">IF(ISBLANK($C170),"",COUNTA($J170:$O170)&gt;0)</f>
        <v/>
      </c>
      <c r="AT170" s="123" t="str">
        <f aca="false">IF(ISBLANK($C170),"",AND($AS170,OR(AND($AF170="",OR($AE170,NOT(ISBLANK($M170)))),$AG170="",$AH170="")))</f>
        <v/>
      </c>
      <c r="AU170" s="125" t="str">
        <f aca="false">IF($BL170&lt;&gt;Constants!$B$4,"",IF(NOT($AS170),"",ROUND((Constants!$B$12-$AB170)+(Constants!$B$13-$Z170)+(Constants!$B$14-$AA170),1)))</f>
        <v/>
      </c>
      <c r="AV170" s="127" t="str">
        <f aca="false">IF($BL170&lt;&gt;Constants!$B$4,"",IF(NOT($AS170),"",IF(NOT($AE170),0,Constants!$B$15*(INT(ROUND(MIN($AF170,$AP$9),6))-INT(ROUND(MAX(0,MIN($AF170,2*$AP$9)-$AP$9),6))))))</f>
        <v/>
      </c>
      <c r="AW170" s="127" t="str">
        <f aca="false">IF($BL170&lt;&gt;Constants!$B$4,"",IF(NOT($AS170),"",Constants!$B$16*$AG170))</f>
        <v/>
      </c>
      <c r="AX170" s="127" t="str">
        <f aca="false">IF($BL170&lt;&gt;Constants!$B$4,"",IF(NOT($AS170),"",Constants!$B$18*INT(ROUND($AH170,6))))</f>
        <v/>
      </c>
      <c r="AY170" s="123" t="str">
        <f aca="false">IF($BL170&lt;&gt;Constants!$B$4,"",IF(NOT($AS170),"",IF(NOT($X170),Constants!$B$11,IF(OR(NOT($AC170),NOT($AD170),ROUND($AB170,1)&gt;Constants!$B$12,ROUND($Z170,1)&gt;Constants!$B$13,ROUND($AA170,1)&gt;Constants!$B$14),Constants!$B$10,Constants!$B$9))))</f>
        <v/>
      </c>
      <c r="AZ170" s="128" t="str">
        <f aca="false">IF($BL170&lt;&gt;Constants!$B$4,"",IF(NOT($AS170),"",ROUND($AU170+$AV170+$AW170+$AX170,1)))</f>
        <v/>
      </c>
      <c r="BA170" s="129" t="str">
        <f aca="false">IF($BL170&lt;&gt;Constants!$B$4,"",IF(NOT($AS170),"",IF(ISNUMBER($AF170),$AF170,0)))</f>
        <v/>
      </c>
      <c r="BB170" s="124" t="str">
        <f aca="false">IF($BL170&lt;&gt;Constants!$B$4,"",IF(NOT($BC170),"&lt;-",IF(NOT($AS170),"-&gt;",IF(OR($BI170&lt;$AY170,AND($BI170=$AY170,OR($BJ170&gt;$AZ170,AND($BJ170=$AZ170,OR($BH170&gt;$AX170,AND($BH170=$AX170,OR($BE170&gt;$AU170,AND($BE170=$AU170,OR($BF170&gt;$AV170,AND($BF170=$AV170,$BK170&gt;$BA170)))))))))),"-&gt;","&lt;-"))))</f>
        <v/>
      </c>
      <c r="BC170" s="123" t="str">
        <f aca="false">IF(ISBLANK($C170),"",COUNTA($P170:$U170)&gt;0)</f>
        <v/>
      </c>
      <c r="BD170" s="123" t="str">
        <f aca="false">IF(ISBLANK($C170),"",AND($BC170,OR(AND($AL170="",OR($AK170,NOT(ISBLANK($S170)))),$AM170="",$AN170="")))</f>
        <v/>
      </c>
      <c r="BE170" s="125" t="str">
        <f aca="false">IF($BL170&lt;&gt;Constants!$B$4,"",IF(NOT($BC170),"",ROUND((Constants!$B$12-$AB170)+(Constants!$B$13-$Z170)+(Constants!$B$14-$AA170),1)))</f>
        <v/>
      </c>
      <c r="BF170" s="127" t="str">
        <f aca="false">IF($BL170&lt;&gt;Constants!$B$4,"",IF(NOT($BC170),"",IF(NOT($AK170),0,Constants!$B$15*(INT(ROUND(MIN($AL170,$AP$9),6))-INT(ROUND(MAX(0,MIN($AL170,2*$AP$9)-$AP$9),6))))))</f>
        <v/>
      </c>
      <c r="BG170" s="127" t="str">
        <f aca="false">IF($BL170&lt;&gt;Constants!$B$4,"",IF(NOT($BC170),"",Constants!$B$16*$AM170))</f>
        <v/>
      </c>
      <c r="BH170" s="127" t="str">
        <f aca="false">IF($BL170&lt;&gt;Constants!$B$4,"",IF(NOT($BC170),"",Constants!$B$18*INT(ROUND($AN170,6))))</f>
        <v/>
      </c>
      <c r="BI170" s="123" t="str">
        <f aca="false">IF($BL170&lt;&gt;Constants!$B$4,"",IF(NOT($BC170),"",IF(NOT($X170),Constants!$B$11,IF(OR(NOT($AI170),NOT($AJ170),ROUND($AB170,1)&gt;Constants!$B$12,ROUND($Z170,1)&gt;Constants!$B$13,ROUND($AA170,1)&gt;Constants!$B$14),Constants!$B$10,Constants!$B$9))))</f>
        <v/>
      </c>
      <c r="BJ170" s="128" t="str">
        <f aca="false">IF($BL170&lt;&gt;Constants!$B$4,"",IF(NOT($BC170),"",ROUND($BE170+$BF170+$BG170+$BH170,1)))</f>
        <v/>
      </c>
      <c r="BK170" s="129" t="str">
        <f aca="false">IF($BL170&lt;&gt;Constants!$B$4,"",IF(NOT($BC170),"",IF(ISNUMBER($AL170),$AL170,0)))</f>
        <v/>
      </c>
      <c r="BL170" s="124" t="str">
        <f aca="false">IF(ISBLANK($C170),"",IF($AO170,Constants!$B$7,IF(COUNTA($E170:$V170)=0,Constants!$B$6,IF(NOT($Y170),Constants!$B$5,IF(NOT(OR($AS170,$BC170)),Constants!$B$5,IF(OR($AT170,$BD170,$AQ170,$AR170&lt;&gt;""),Constants!$B$8,Constants!$B$4))))))</f>
        <v/>
      </c>
      <c r="BM170" s="124" t="str">
        <f aca="false">IF(ISBLANK($C170),"",IF($BL170&lt;&gt;Constants!$B$4,$BL170,IF($BB170="-&gt;",$BI170,$AY170)))</f>
        <v/>
      </c>
      <c r="BN170" s="127" t="str">
        <f aca="false">IF($BL170&lt;&gt;Constants!$B$4,"",IF($BB170="-&gt;",$BJ170,$AZ170))</f>
        <v/>
      </c>
      <c r="BO170" s="127" t="str">
        <f aca="false">IF(ISBLANK($C170),"",IF($BL170&lt;&gt;Constants!$B$4,$BL170,$BN170))</f>
        <v/>
      </c>
      <c r="BP170" s="124" t="str">
        <f aca="false">IF(ISBLANK($C170),"",IF($BL170&lt;&gt;Constants!$B$4,$BL170,RANK($BO170,$BO$9:$BO$508,0)))</f>
        <v/>
      </c>
      <c r="BQ170" s="124" t="str">
        <f aca="false">IF(ISBLANK($C170),"",IF($BL170&lt;&gt;Constants!$B$4,$BL170,COUNTIFS($BM$9:$BM$508,"&lt;"&amp;$BM170)+COUNTIFS($BM$9:$BM$508,$BM170,$BP$9:$BP$508,"&lt;"&amp;$BP170)+1))</f>
        <v/>
      </c>
      <c r="BR170" s="127" t="str">
        <f aca="false">IF($BL170&lt;&gt;Constants!$B$4,"",IF($BB170="-&gt;",$BH170,$AX170))</f>
        <v/>
      </c>
      <c r="BS170" s="124" t="str">
        <f aca="false">IF(ISBLANK($C170),"",IF($BL170&lt;&gt;Constants!$B$4,$BL170,IF(ISNUMBER($BR170),RANK($BR170,$BR$9:$BR$508,0),COUNT($BR$9:$BR$508)+1)))</f>
        <v/>
      </c>
      <c r="BT170" s="127" t="str">
        <f aca="false">IF($BL170&lt;&gt;Constants!$B$4,"",IF($BB170="-&gt;",$BE170,$AU170))</f>
        <v/>
      </c>
      <c r="BU170" s="124" t="str">
        <f aca="false">IF(ISBLANK($C170),"",IF($BL170&lt;&gt;Constants!$B$4,$BL170,IF(ISNUMBER($BT170),RANK($BT170,$BT$9:$BT$508,0),COUNT($BT$9:$BT$508)+1)))</f>
        <v/>
      </c>
      <c r="BV170" s="127" t="str">
        <f aca="false">IF($BL170&lt;&gt;Constants!$B$4,"",IF($BB170="-&gt;",$BF170,$AV170))</f>
        <v/>
      </c>
      <c r="BW170" s="124" t="str">
        <f aca="false">IF(ISBLANK($C170),"",IF($BL170&lt;&gt;Constants!$B$4,$BL170,IF(ISNUMBER($BV170),RANK($BV170,$BV$9:$BV$508,0),COUNT($BV$9:$BV$508)+1)))</f>
        <v/>
      </c>
      <c r="BX170" s="127" t="str">
        <f aca="false">IF($BL170&lt;&gt;Constants!$B$4,"",IF($BB170="-&gt;",$BK170,$BA170))</f>
        <v/>
      </c>
      <c r="BY170" s="124" t="str">
        <f aca="false">IF(ISBLANK($C170),"",IF($BL170&lt;&gt;Constants!$B$4,$BL170,IF(ISNUMBER($BX170),RANK($BX170,$BX$9:$BX$508,0),COUNT($BX$9:$BX$508)+1)))</f>
        <v/>
      </c>
      <c r="BZ170" s="124" t="str">
        <f aca="false">IF(ISBLANK($C170),"",IF($BL170&lt;&gt;Constants!$B$4,$BL170,COUNTIFS($BM$9:$BM$508,"&lt;"&amp;$BM170)+COUNTIFS($BM$9:$BM$508,$BM170,$BP$9:$BP$508,"&lt;"&amp;$BP170)+COUNTIFS($BM$9:$BM$508,$BM170,$BP$9:$BP$508,$BP170,$BS$9:$BS$508,"&lt;"&amp;$BS170)+COUNTIFS($BM$9:$BM$508,$BM170,$BP$9:$BP$508,$BP170,$BS$9:$BS$508,$BS170,$BU$9:$BU$508,"&lt;"&amp;$BU170)+COUNTIFS($BM$9:$BM$508,$BM170,$BP$9:$BP$508,$BP170,$BS$9:$BS$508,$BS170,$BU$9:$BU$508,$BU170,$BW$9:$BW$508,"&lt;"&amp;$BW170)+COUNTIFS($BM$9:$BM$508,$BM170,$BP$9:$BP$508,$BP170,$BS$9:$BS$508,$BS170,$BU$9:$BU$508,$BU170,$BW$9:$BW$508,$BW170,$BY$9:$BY$508,"&lt;"&amp;$BY170)+1))</f>
        <v/>
      </c>
      <c r="CA170" s="124" t="str">
        <f aca="false">IF(ISBLANK($C170),"",IF($BL170&lt;&gt;Constants!$B$4,$BL170,$BQ170-$BZ170))</f>
        <v/>
      </c>
      <c r="CB170" s="130"/>
      <c r="CC170" s="131" t="str">
        <f aca="false">IF(ISBLANK($C170),"",IF($BL170=Constants!$B$8,$AR170,""))</f>
        <v/>
      </c>
      <c r="CD170" s="131" t="str">
        <f aca="false">IF(ISBLANK($C170),"",IF($BL170&lt;&gt;Constants!$B$4,"",IF($BB170="-&gt;",2,1)))</f>
        <v/>
      </c>
      <c r="CE170" s="132" t="str">
        <f aca="false">IF(ISBLANK($C170),"",IF($BL170&lt;&gt;Constants!$B$4,"",IF($BB170="-&gt;",$BE170,$AU170)))</f>
        <v/>
      </c>
      <c r="CF170" s="132" t="str">
        <f aca="false">IF(ISBLANK($C170),"",IF($BL170&lt;&gt;Constants!$B$4,"",IF($BB170="-&gt;",$BF170,$AV170)))</f>
        <v/>
      </c>
      <c r="CG170" s="132" t="str">
        <f aca="false">IF(ISBLANK($C170),"",IF($BL170&lt;&gt;Constants!$B$4,"",IF($BB170="-&gt;",$BG170,$AW170)))</f>
        <v/>
      </c>
      <c r="CH170" s="132" t="str">
        <f aca="false">IF(ISBLANK($C170),"",IF($BL170&lt;&gt;Constants!$B$4,"",IF($BB170="-&gt;",$BH170,$AX170)))</f>
        <v/>
      </c>
      <c r="CI170" s="133" t="str">
        <f aca="false">IF(ISBLANK($C170),"",$BO170)</f>
        <v/>
      </c>
      <c r="CJ170" s="134" t="str">
        <f aca="false">IF(ISBLANK($C170),"",$BM170)</f>
        <v/>
      </c>
      <c r="CK170" s="135" t="str">
        <f aca="false">IF(ISBLANK($C170),"",$CA170)</f>
        <v/>
      </c>
      <c r="CL170" s="135" t="str">
        <f aca="false">IF(ISBLANK($C170),"",$BZ170)</f>
        <v/>
      </c>
      <c r="CM170" s="136" t="str">
        <f aca="false">IF(ISBLANK($C170),"",IF($CL170=Constants!$B$7,COUNTA($C$9:$C$508)+2,IF($CL170=Constants!$B$6,COUNTA($C$9:$C$508)+1,IF($CL170=Constants!$B$5,COUNTA($C$9:$C$508),$CL170))))</f>
        <v/>
      </c>
      <c r="CN170" s="8"/>
      <c r="CO170" s="137" t="n">
        <f aca="false">IF(OR(ISNUMBER($CL170),$CL170=Constants!$B$7,$CL170=Constants!$B$5,$CL170=Constants!$B$6),1,0)</f>
        <v>0</v>
      </c>
      <c r="CP170" s="137" t="n">
        <v>162</v>
      </c>
      <c r="CQ170" s="137" t="str">
        <f aca="false">IF(ISBLANK($C170),"",IF(ISNUMBER($CM170),$CM170+ROW($B170)/1000,""))</f>
        <v/>
      </c>
      <c r="CR170" s="137" t="str">
        <f aca="false">IF(ISNUMBER($CQ170),RANK($CQ170,$CQ$9:$CQ$508,1),"")</f>
        <v/>
      </c>
      <c r="CS170" s="137" t="str">
        <f aca="false">IF(ISBLANK($C170),"",$B170)</f>
        <v/>
      </c>
      <c r="CT170" s="137" t="str">
        <f aca="false">IF(ISBLANK($C170),"",$C170)</f>
        <v/>
      </c>
      <c r="CU170" s="137" t="str">
        <f aca="false">IF(ISBLANK($C170),"",$D170)</f>
        <v/>
      </c>
      <c r="CV170" s="138" t="str">
        <f aca="false">$CJ170</f>
        <v/>
      </c>
      <c r="CW170" s="139" t="str">
        <f aca="false">$CI170</f>
        <v/>
      </c>
      <c r="CX170" s="137" t="str">
        <f aca="false">IF(ISBLANK($C170),"",$CL170)</f>
        <v/>
      </c>
      <c r="CY170" s="140" t="str">
        <f aca="false">IF($CP170&gt;$CO$8,"",VLOOKUP($CP170,$CR$9:$CX$508,7,FALSE()))</f>
        <v/>
      </c>
      <c r="CZ170" s="141" t="str">
        <f aca="false">IF($CP170&gt;$CO$8,"",VLOOKUP($CP170,$CR$9:$CX$508,2,FALSE()))</f>
        <v/>
      </c>
      <c r="DA170" s="141" t="str">
        <f aca="false">IF($CP170&gt;$CO$8,"",VLOOKUP($CP170,$CR$9:$CX$508,3,FALSE()))</f>
        <v/>
      </c>
      <c r="DB170" s="141" t="str">
        <f aca="false">IF($CP170&gt;$CO$8,"",VLOOKUP($CP170,$CR$9:$CX$508,4,FALSE()))</f>
        <v/>
      </c>
      <c r="DC170" s="141" t="str">
        <f aca="false">IF($CP170&gt;$CO$8,"",VLOOKUP($CP170,$CR$9:$CX$508,5,FALSE()))</f>
        <v/>
      </c>
      <c r="DD170" s="142" t="str">
        <f aca="false">IF($CP170&gt;$CO$8,"",VLOOKUP($CP170,$CR$9:$CX$508,6,FALSE()))</f>
        <v/>
      </c>
      <c r="DE170" s="70"/>
    </row>
    <row r="171" customFormat="false" ht="15.75" hidden="false" customHeight="false" outlineLevel="0" collapsed="false">
      <c r="A171" s="8"/>
      <c r="B171" s="72"/>
      <c r="C171" s="73"/>
      <c r="D171" s="155"/>
      <c r="E171" s="162"/>
      <c r="F171" s="157"/>
      <c r="G171" s="77"/>
      <c r="H171" s="77"/>
      <c r="I171" s="77"/>
      <c r="J171" s="163"/>
      <c r="K171" s="161"/>
      <c r="L171" s="161"/>
      <c r="M171" s="80"/>
      <c r="N171" s="161"/>
      <c r="O171" s="160"/>
      <c r="P171" s="161"/>
      <c r="Q171" s="161"/>
      <c r="R171" s="161"/>
      <c r="S171" s="77"/>
      <c r="T171" s="161"/>
      <c r="U171" s="160"/>
      <c r="V171" s="161"/>
      <c r="W171" s="85"/>
      <c r="X171" s="86" t="str">
        <f aca="false">IF(ISBLANK($C171),"",IF($E171=Constants!$B$2,TRUE(),IF($E171=Constants!$B$3,FALSE(),TRUE())))</f>
        <v/>
      </c>
      <c r="Y171" s="86" t="str">
        <f aca="false">IF(ISBLANK($C171),"",IF($F171=Constants!$B$2,TRUE(),IF($F171=Constants!$B$3,FALSE(),TRUE())))</f>
        <v/>
      </c>
      <c r="Z171" s="87" t="str">
        <f aca="false">IF(ISBLANK($C171),"",IF(ISNUMBER($G171),IF($G171&gt;=0,$G171,""),""))</f>
        <v/>
      </c>
      <c r="AA171" s="87" t="str">
        <f aca="false">IF(ISBLANK($C171),"",IF(ISNUMBER($H171),IF($H171&gt;=0,$H171,""),""))</f>
        <v/>
      </c>
      <c r="AB171" s="87" t="str">
        <f aca="false">IF(ISBLANK($C171),"",IF(ISNUMBER($I171),IF($I171&gt;=0,$I171,""),""))</f>
        <v/>
      </c>
      <c r="AC171" s="86" t="str">
        <f aca="false">IF(ISBLANK($C171),"",IF($J171=Constants!$B$2,TRUE(),IF($J171=Constants!$B$3,FALSE(),TRUE())))</f>
        <v/>
      </c>
      <c r="AD171" s="86" t="str">
        <f aca="false">IF(ISBLANK($C171),"",IF($K171=Constants!$B$2,TRUE(),IF($K171=Constants!$B$3,FALSE(),TRUE())))</f>
        <v/>
      </c>
      <c r="AE171" s="86" t="str">
        <f aca="false">IF(ISBLANK($C171),"",IF($L171=Constants!$B$2,TRUE(),IF($L171=Constants!$B$3,FALSE(),TRUE())))</f>
        <v/>
      </c>
      <c r="AF171" s="88" t="str">
        <f aca="false">IF(ISBLANK($C171),"",IF(ISNUMBER($M171),IF($M171&gt;=0,$M171,""),""))</f>
        <v/>
      </c>
      <c r="AG171" s="86" t="str">
        <f aca="false">IF(ISBLANK($C171),"",IF(ISBLANK($N171),0,IF(ISNUMBER($N171),IF(AND($N171&gt;=0,$N171&lt;=Constants!$B$17,$N171=INT($N171)),$N171,""),"")))</f>
        <v/>
      </c>
      <c r="AH171" s="87" t="str">
        <f aca="false">IF(ISBLANK($C171),"",IF(ISBLANK($O171),0,IF(ISNUMBER($O171),IF($O171&gt;=0,$O171,""),"")))</f>
        <v/>
      </c>
      <c r="AI171" s="86" t="str">
        <f aca="false">IF(ISBLANK($C171),"",IF($P171=Constants!$B$2,TRUE(),IF($P171=Constants!$B$3,FALSE(),TRUE())))</f>
        <v/>
      </c>
      <c r="AJ171" s="86" t="str">
        <f aca="false">IF(ISBLANK($C171),"",IF($Q171=Constants!$B$2,TRUE(),IF($Q171=Constants!$B$3,FALSE(),TRUE())))</f>
        <v/>
      </c>
      <c r="AK171" s="86" t="str">
        <f aca="false">IF(ISBLANK($C171),"",IF($R171=Constants!$B$2,TRUE(),IF($R171=Constants!$B$3,FALSE(),TRUE())))</f>
        <v/>
      </c>
      <c r="AL171" s="88" t="str">
        <f aca="false">IF(ISBLANK($C171),"",IF(ISNUMBER($S171),IF($S171&gt;=0,$S171,""),""))</f>
        <v/>
      </c>
      <c r="AM171" s="86" t="str">
        <f aca="false">IF(ISBLANK($C171),"",IF(ISBLANK($T171),0,IF(ISNUMBER($T171),IF(AND($T171&gt;=0,$T171&lt;=Constants!$B$17,$T171=INT($T171)),$T171,""),"")))</f>
        <v/>
      </c>
      <c r="AN171" s="87" t="str">
        <f aca="false">IF(ISBLANK($C171),"",IF(ISBLANK($U171),0,IF(ISNUMBER($U171),IF($U171&gt;=0,$U171,""),"")))</f>
        <v/>
      </c>
      <c r="AO171" s="86" t="str">
        <f aca="false">IF(ISBLANK($C171),"",IF($V171=Constants!$B$2,TRUE(),IF($V171=Constants!$B$3,FALSE(),FALSE())))</f>
        <v/>
      </c>
      <c r="AP171" s="86"/>
      <c r="AQ171" s="85" t="str">
        <f aca="false">IF(ISBLANK($C171),"",AND($Y171,OR($AS171,$BC171),OR($Z171="",$AA171="",$AB171="")))</f>
        <v/>
      </c>
      <c r="AR171" s="85" t="str">
        <f aca="false">IF(ISBLANK($C171),"",IF(OR(NOT($Y171),NOT(OR($AS171,$BC171))),"",IF(ISBLANK($D$7),$AR$5,IF($AP$9="",$AR$6,""))))</f>
        <v/>
      </c>
      <c r="AS171" s="85" t="str">
        <f aca="false">IF(ISBLANK($C171),"",COUNTA($J171:$O171)&gt;0)</f>
        <v/>
      </c>
      <c r="AT171" s="85" t="str">
        <f aca="false">IF(ISBLANK($C171),"",AND($AS171,OR(AND($AF171="",OR($AE171,NOT(ISBLANK($M171)))),$AG171="",$AH171="")))</f>
        <v/>
      </c>
      <c r="AU171" s="87" t="str">
        <f aca="false">IF($BL171&lt;&gt;Constants!$B$4,"",IF(NOT($AS171),"",ROUND((Constants!$B$12-$AB171)+(Constants!$B$13-$Z171)+(Constants!$B$14-$AA171),1)))</f>
        <v/>
      </c>
      <c r="AV171" s="90" t="str">
        <f aca="false">IF($BL171&lt;&gt;Constants!$B$4,"",IF(NOT($AS171),"",IF(NOT($AE171),0,Constants!$B$15*(INT(ROUND(MIN($AF171,$AP$9),6))-INT(ROUND(MAX(0,MIN($AF171,2*$AP$9)-$AP$9),6))))))</f>
        <v/>
      </c>
      <c r="AW171" s="90" t="str">
        <f aca="false">IF($BL171&lt;&gt;Constants!$B$4,"",IF(NOT($AS171),"",Constants!$B$16*$AG171))</f>
        <v/>
      </c>
      <c r="AX171" s="90" t="str">
        <f aca="false">IF($BL171&lt;&gt;Constants!$B$4,"",IF(NOT($AS171),"",Constants!$B$18*INT(ROUND($AH171,6))))</f>
        <v/>
      </c>
      <c r="AY171" s="85" t="str">
        <f aca="false">IF($BL171&lt;&gt;Constants!$B$4,"",IF(NOT($AS171),"",IF(NOT($X171),Constants!$B$11,IF(OR(NOT($AC171),NOT($AD171),ROUND($AB171,1)&gt;Constants!$B$12,ROUND($Z171,1)&gt;Constants!$B$13,ROUND($AA171,1)&gt;Constants!$B$14),Constants!$B$10,Constants!$B$9))))</f>
        <v/>
      </c>
      <c r="AZ171" s="91" t="str">
        <f aca="false">IF($BL171&lt;&gt;Constants!$B$4,"",IF(NOT($AS171),"",ROUND($AU171+$AV171+$AW171+$AX171,1)))</f>
        <v/>
      </c>
      <c r="BA171" s="92" t="str">
        <f aca="false">IF($BL171&lt;&gt;Constants!$B$4,"",IF(NOT($AS171),"",IF(ISNUMBER($AF171),$AF171,0)))</f>
        <v/>
      </c>
      <c r="BB171" s="86" t="str">
        <f aca="false">IF($BL171&lt;&gt;Constants!$B$4,"",IF(NOT($BC171),"&lt;-",IF(NOT($AS171),"-&gt;",IF(OR($BI171&lt;$AY171,AND($BI171=$AY171,OR($BJ171&gt;$AZ171,AND($BJ171=$AZ171,OR($BH171&gt;$AX171,AND($BH171=$AX171,OR($BE171&gt;$AU171,AND($BE171=$AU171,OR($BF171&gt;$AV171,AND($BF171=$AV171,$BK171&gt;$BA171)))))))))),"-&gt;","&lt;-"))))</f>
        <v/>
      </c>
      <c r="BC171" s="85" t="str">
        <f aca="false">IF(ISBLANK($C171),"",COUNTA($P171:$U171)&gt;0)</f>
        <v/>
      </c>
      <c r="BD171" s="85" t="str">
        <f aca="false">IF(ISBLANK($C171),"",AND($BC171,OR(AND($AL171="",OR($AK171,NOT(ISBLANK($S171)))),$AM171="",$AN171="")))</f>
        <v/>
      </c>
      <c r="BE171" s="87" t="str">
        <f aca="false">IF($BL171&lt;&gt;Constants!$B$4,"",IF(NOT($BC171),"",ROUND((Constants!$B$12-$AB171)+(Constants!$B$13-$Z171)+(Constants!$B$14-$AA171),1)))</f>
        <v/>
      </c>
      <c r="BF171" s="90" t="str">
        <f aca="false">IF($BL171&lt;&gt;Constants!$B$4,"",IF(NOT($BC171),"",IF(NOT($AK171),0,Constants!$B$15*(INT(ROUND(MIN($AL171,$AP$9),6))-INT(ROUND(MAX(0,MIN($AL171,2*$AP$9)-$AP$9),6))))))</f>
        <v/>
      </c>
      <c r="BG171" s="90" t="str">
        <f aca="false">IF($BL171&lt;&gt;Constants!$B$4,"",IF(NOT($BC171),"",Constants!$B$16*$AM171))</f>
        <v/>
      </c>
      <c r="BH171" s="90" t="str">
        <f aca="false">IF($BL171&lt;&gt;Constants!$B$4,"",IF(NOT($BC171),"",Constants!$B$18*INT(ROUND($AN171,6))))</f>
        <v/>
      </c>
      <c r="BI171" s="85" t="str">
        <f aca="false">IF($BL171&lt;&gt;Constants!$B$4,"",IF(NOT($BC171),"",IF(NOT($X171),Constants!$B$11,IF(OR(NOT($AI171),NOT($AJ171),ROUND($AB171,1)&gt;Constants!$B$12,ROUND($Z171,1)&gt;Constants!$B$13,ROUND($AA171,1)&gt;Constants!$B$14),Constants!$B$10,Constants!$B$9))))</f>
        <v/>
      </c>
      <c r="BJ171" s="91" t="str">
        <f aca="false">IF($BL171&lt;&gt;Constants!$B$4,"",IF(NOT($BC171),"",ROUND($BE171+$BF171+$BG171+$BH171,1)))</f>
        <v/>
      </c>
      <c r="BK171" s="92" t="str">
        <f aca="false">IF($BL171&lt;&gt;Constants!$B$4,"",IF(NOT($BC171),"",IF(ISNUMBER($AL171),$AL171,0)))</f>
        <v/>
      </c>
      <c r="BL171" s="86" t="str">
        <f aca="false">IF(ISBLANK($C171),"",IF($AO171,Constants!$B$7,IF(COUNTA($E171:$V171)=0,Constants!$B$6,IF(NOT($Y171),Constants!$B$5,IF(NOT(OR($AS171,$BC171)),Constants!$B$5,IF(OR($AT171,$BD171,$AQ171,$AR171&lt;&gt;""),Constants!$B$8,Constants!$B$4))))))</f>
        <v/>
      </c>
      <c r="BM171" s="86" t="str">
        <f aca="false">IF(ISBLANK($C171),"",IF($BL171&lt;&gt;Constants!$B$4,$BL171,IF($BB171="-&gt;",$BI171,$AY171)))</f>
        <v/>
      </c>
      <c r="BN171" s="90" t="str">
        <f aca="false">IF($BL171&lt;&gt;Constants!$B$4,"",IF($BB171="-&gt;",$BJ171,$AZ171))</f>
        <v/>
      </c>
      <c r="BO171" s="90" t="str">
        <f aca="false">IF(ISBLANK($C171),"",IF($BL171&lt;&gt;Constants!$B$4,$BL171,$BN171))</f>
        <v/>
      </c>
      <c r="BP171" s="86" t="str">
        <f aca="false">IF(ISBLANK($C171),"",IF($BL171&lt;&gt;Constants!$B$4,$BL171,RANK($BO171,$BO$9:$BO$508,0)))</f>
        <v/>
      </c>
      <c r="BQ171" s="86" t="str">
        <f aca="false">IF(ISBLANK($C171),"",IF($BL171&lt;&gt;Constants!$B$4,$BL171,COUNTIFS($BM$9:$BM$508,"&lt;"&amp;$BM171)+COUNTIFS($BM$9:$BM$508,$BM171,$BP$9:$BP$508,"&lt;"&amp;$BP171)+1))</f>
        <v/>
      </c>
      <c r="BR171" s="90" t="str">
        <f aca="false">IF($BL171&lt;&gt;Constants!$B$4,"",IF($BB171="-&gt;",$BH171,$AX171))</f>
        <v/>
      </c>
      <c r="BS171" s="86" t="str">
        <f aca="false">IF(ISBLANK($C171),"",IF($BL171&lt;&gt;Constants!$B$4,$BL171,IF(ISNUMBER($BR171),RANK($BR171,$BR$9:$BR$508,0),COUNT($BR$9:$BR$508)+1)))</f>
        <v/>
      </c>
      <c r="BT171" s="90" t="str">
        <f aca="false">IF($BL171&lt;&gt;Constants!$B$4,"",IF($BB171="-&gt;",$BE171,$AU171))</f>
        <v/>
      </c>
      <c r="BU171" s="86" t="str">
        <f aca="false">IF(ISBLANK($C171),"",IF($BL171&lt;&gt;Constants!$B$4,$BL171,IF(ISNUMBER($BT171),RANK($BT171,$BT$9:$BT$508,0),COUNT($BT$9:$BT$508)+1)))</f>
        <v/>
      </c>
      <c r="BV171" s="90" t="str">
        <f aca="false">IF($BL171&lt;&gt;Constants!$B$4,"",IF($BB171="-&gt;",$BF171,$AV171))</f>
        <v/>
      </c>
      <c r="BW171" s="86" t="str">
        <f aca="false">IF(ISBLANK($C171),"",IF($BL171&lt;&gt;Constants!$B$4,$BL171,IF(ISNUMBER($BV171),RANK($BV171,$BV$9:$BV$508,0),COUNT($BV$9:$BV$508)+1)))</f>
        <v/>
      </c>
      <c r="BX171" s="90" t="str">
        <f aca="false">IF($BL171&lt;&gt;Constants!$B$4,"",IF($BB171="-&gt;",$BK171,$BA171))</f>
        <v/>
      </c>
      <c r="BY171" s="86" t="str">
        <f aca="false">IF(ISBLANK($C171),"",IF($BL171&lt;&gt;Constants!$B$4,$BL171,IF(ISNUMBER($BX171),RANK($BX171,$BX$9:$BX$508,0),COUNT($BX$9:$BX$508)+1)))</f>
        <v/>
      </c>
      <c r="BZ171" s="86" t="str">
        <f aca="false">IF(ISBLANK($C171),"",IF($BL171&lt;&gt;Constants!$B$4,$BL171,COUNTIFS($BM$9:$BM$508,"&lt;"&amp;$BM171)+COUNTIFS($BM$9:$BM$508,$BM171,$BP$9:$BP$508,"&lt;"&amp;$BP171)+COUNTIFS($BM$9:$BM$508,$BM171,$BP$9:$BP$508,$BP171,$BS$9:$BS$508,"&lt;"&amp;$BS171)+COUNTIFS($BM$9:$BM$508,$BM171,$BP$9:$BP$508,$BP171,$BS$9:$BS$508,$BS171,$BU$9:$BU$508,"&lt;"&amp;$BU171)+COUNTIFS($BM$9:$BM$508,$BM171,$BP$9:$BP$508,$BP171,$BS$9:$BS$508,$BS171,$BU$9:$BU$508,$BU171,$BW$9:$BW$508,"&lt;"&amp;$BW171)+COUNTIFS($BM$9:$BM$508,$BM171,$BP$9:$BP$508,$BP171,$BS$9:$BS$508,$BS171,$BU$9:$BU$508,$BU171,$BW$9:$BW$508,$BW171,$BY$9:$BY$508,"&lt;"&amp;$BY171)+1))</f>
        <v/>
      </c>
      <c r="CA171" s="86" t="str">
        <f aca="false">IF(ISBLANK($C171),"",IF($BL171&lt;&gt;Constants!$B$4,$BL171,$BQ171-$BZ171))</f>
        <v/>
      </c>
      <c r="CB171" s="93"/>
      <c r="CC171" s="94" t="str">
        <f aca="false">IF(ISBLANK($C171),"",IF($BL171=Constants!$B$8,$AR171,""))</f>
        <v/>
      </c>
      <c r="CD171" s="94" t="str">
        <f aca="false">IF(ISBLANK($C171),"",IF($BL171&lt;&gt;Constants!$B$4,"",IF($BB171="-&gt;",2,1)))</f>
        <v/>
      </c>
      <c r="CE171" s="95" t="str">
        <f aca="false">IF(ISBLANK($C171),"",IF($BL171&lt;&gt;Constants!$B$4,"",IF($BB171="-&gt;",$BE171,$AU171)))</f>
        <v/>
      </c>
      <c r="CF171" s="95" t="str">
        <f aca="false">IF(ISBLANK($C171),"",IF($BL171&lt;&gt;Constants!$B$4,"",IF($BB171="-&gt;",$BF171,$AV171)))</f>
        <v/>
      </c>
      <c r="CG171" s="95" t="str">
        <f aca="false">IF(ISBLANK($C171),"",IF($BL171&lt;&gt;Constants!$B$4,"",IF($BB171="-&gt;",$BG171,$AW171)))</f>
        <v/>
      </c>
      <c r="CH171" s="95" t="str">
        <f aca="false">IF(ISBLANK($C171),"",IF($BL171&lt;&gt;Constants!$B$4,"",IF($BB171="-&gt;",$BH171,$AX171)))</f>
        <v/>
      </c>
      <c r="CI171" s="96" t="str">
        <f aca="false">IF(ISBLANK($C171),"",$BO171)</f>
        <v/>
      </c>
      <c r="CJ171" s="97" t="str">
        <f aca="false">IF(ISBLANK($C171),"",$BM171)</f>
        <v/>
      </c>
      <c r="CK171" s="98" t="str">
        <f aca="false">IF(ISBLANK($C171),"",$CA171)</f>
        <v/>
      </c>
      <c r="CL171" s="98" t="str">
        <f aca="false">IF(ISBLANK($C171),"",$BZ171)</f>
        <v/>
      </c>
      <c r="CM171" s="99" t="str">
        <f aca="false">IF(ISBLANK($C171),"",IF($CL171=Constants!$B$7,COUNTA($C$9:$C$508)+2,IF($CL171=Constants!$B$6,COUNTA($C$9:$C$508)+1,IF($CL171=Constants!$B$5,COUNTA($C$9:$C$508),$CL171))))</f>
        <v/>
      </c>
      <c r="CN171" s="8"/>
      <c r="CO171" s="100" t="n">
        <f aca="false">IF(OR(ISNUMBER($CL171),$CL171=Constants!$B$7,$CL171=Constants!$B$5,$CL171=Constants!$B$6),1,0)</f>
        <v>0</v>
      </c>
      <c r="CP171" s="100" t="n">
        <v>163</v>
      </c>
      <c r="CQ171" s="100" t="str">
        <f aca="false">IF(ISBLANK($C171),"",IF(ISNUMBER($CM171),$CM171+ROW($B171)/1000,""))</f>
        <v/>
      </c>
      <c r="CR171" s="100" t="str">
        <f aca="false">IF(ISNUMBER($CQ171),RANK($CQ171,$CQ$9:$CQ$508,1),"")</f>
        <v/>
      </c>
      <c r="CS171" s="100" t="str">
        <f aca="false">IF(ISBLANK($C171),"",$B171)</f>
        <v/>
      </c>
      <c r="CT171" s="100" t="str">
        <f aca="false">IF(ISBLANK($C171),"",$C171)</f>
        <v/>
      </c>
      <c r="CU171" s="100" t="str">
        <f aca="false">IF(ISBLANK($C171),"",$D171)</f>
        <v/>
      </c>
      <c r="CV171" s="101" t="str">
        <f aca="false">$CJ171</f>
        <v/>
      </c>
      <c r="CW171" s="102" t="str">
        <f aca="false">$CI171</f>
        <v/>
      </c>
      <c r="CX171" s="100" t="str">
        <f aca="false">IF(ISBLANK($C171),"",$CL171)</f>
        <v/>
      </c>
      <c r="CY171" s="103" t="str">
        <f aca="false">IF($CP171&gt;$CO$8,"",VLOOKUP($CP171,$CR$9:$CX$508,7,FALSE()))</f>
        <v/>
      </c>
      <c r="CZ171" s="104" t="str">
        <f aca="false">IF($CP171&gt;$CO$8,"",VLOOKUP($CP171,$CR$9:$CX$508,2,FALSE()))</f>
        <v/>
      </c>
      <c r="DA171" s="104" t="str">
        <f aca="false">IF($CP171&gt;$CO$8,"",VLOOKUP($CP171,$CR$9:$CX$508,3,FALSE()))</f>
        <v/>
      </c>
      <c r="DB171" s="104" t="str">
        <f aca="false">IF($CP171&gt;$CO$8,"",VLOOKUP($CP171,$CR$9:$CX$508,4,FALSE()))</f>
        <v/>
      </c>
      <c r="DC171" s="104" t="str">
        <f aca="false">IF($CP171&gt;$CO$8,"",VLOOKUP($CP171,$CR$9:$CX$508,5,FALSE()))</f>
        <v/>
      </c>
      <c r="DD171" s="105" t="str">
        <f aca="false">IF($CP171&gt;$CO$8,"",VLOOKUP($CP171,$CR$9:$CX$508,6,FALSE()))</f>
        <v/>
      </c>
      <c r="DE171" s="70"/>
    </row>
    <row r="172" customFormat="false" ht="15.75" hidden="false" customHeight="false" outlineLevel="0" collapsed="false">
      <c r="A172" s="8"/>
      <c r="B172" s="72"/>
      <c r="C172" s="73"/>
      <c r="D172" s="155"/>
      <c r="E172" s="162"/>
      <c r="F172" s="157"/>
      <c r="G172" s="77"/>
      <c r="H172" s="77"/>
      <c r="I172" s="77"/>
      <c r="J172" s="163"/>
      <c r="K172" s="161"/>
      <c r="L172" s="161"/>
      <c r="M172" s="80"/>
      <c r="N172" s="161"/>
      <c r="O172" s="160"/>
      <c r="P172" s="161"/>
      <c r="Q172" s="161"/>
      <c r="R172" s="161"/>
      <c r="S172" s="77"/>
      <c r="T172" s="161"/>
      <c r="U172" s="160"/>
      <c r="V172" s="161"/>
      <c r="W172" s="85"/>
      <c r="X172" s="86" t="str">
        <f aca="false">IF(ISBLANK($C172),"",IF($E172=Constants!$B$2,TRUE(),IF($E172=Constants!$B$3,FALSE(),TRUE())))</f>
        <v/>
      </c>
      <c r="Y172" s="86" t="str">
        <f aca="false">IF(ISBLANK($C172),"",IF($F172=Constants!$B$2,TRUE(),IF($F172=Constants!$B$3,FALSE(),TRUE())))</f>
        <v/>
      </c>
      <c r="Z172" s="87" t="str">
        <f aca="false">IF(ISBLANK($C172),"",IF(ISNUMBER($G172),IF($G172&gt;=0,$G172,""),""))</f>
        <v/>
      </c>
      <c r="AA172" s="87" t="str">
        <f aca="false">IF(ISBLANK($C172),"",IF(ISNUMBER($H172),IF($H172&gt;=0,$H172,""),""))</f>
        <v/>
      </c>
      <c r="AB172" s="87" t="str">
        <f aca="false">IF(ISBLANK($C172),"",IF(ISNUMBER($I172),IF($I172&gt;=0,$I172,""),""))</f>
        <v/>
      </c>
      <c r="AC172" s="86" t="str">
        <f aca="false">IF(ISBLANK($C172),"",IF($J172=Constants!$B$2,TRUE(),IF($J172=Constants!$B$3,FALSE(),TRUE())))</f>
        <v/>
      </c>
      <c r="AD172" s="86" t="str">
        <f aca="false">IF(ISBLANK($C172),"",IF($K172=Constants!$B$2,TRUE(),IF($K172=Constants!$B$3,FALSE(),TRUE())))</f>
        <v/>
      </c>
      <c r="AE172" s="86" t="str">
        <f aca="false">IF(ISBLANK($C172),"",IF($L172=Constants!$B$2,TRUE(),IF($L172=Constants!$B$3,FALSE(),TRUE())))</f>
        <v/>
      </c>
      <c r="AF172" s="88" t="str">
        <f aca="false">IF(ISBLANK($C172),"",IF(ISNUMBER($M172),IF($M172&gt;=0,$M172,""),""))</f>
        <v/>
      </c>
      <c r="AG172" s="86" t="str">
        <f aca="false">IF(ISBLANK($C172),"",IF(ISBLANK($N172),0,IF(ISNUMBER($N172),IF(AND($N172&gt;=0,$N172&lt;=Constants!$B$17,$N172=INT($N172)),$N172,""),"")))</f>
        <v/>
      </c>
      <c r="AH172" s="87" t="str">
        <f aca="false">IF(ISBLANK($C172),"",IF(ISBLANK($O172),0,IF(ISNUMBER($O172),IF($O172&gt;=0,$O172,""),"")))</f>
        <v/>
      </c>
      <c r="AI172" s="86" t="str">
        <f aca="false">IF(ISBLANK($C172),"",IF($P172=Constants!$B$2,TRUE(),IF($P172=Constants!$B$3,FALSE(),TRUE())))</f>
        <v/>
      </c>
      <c r="AJ172" s="86" t="str">
        <f aca="false">IF(ISBLANK($C172),"",IF($Q172=Constants!$B$2,TRUE(),IF($Q172=Constants!$B$3,FALSE(),TRUE())))</f>
        <v/>
      </c>
      <c r="AK172" s="86" t="str">
        <f aca="false">IF(ISBLANK($C172),"",IF($R172=Constants!$B$2,TRUE(),IF($R172=Constants!$B$3,FALSE(),TRUE())))</f>
        <v/>
      </c>
      <c r="AL172" s="88" t="str">
        <f aca="false">IF(ISBLANK($C172),"",IF(ISNUMBER($S172),IF($S172&gt;=0,$S172,""),""))</f>
        <v/>
      </c>
      <c r="AM172" s="86" t="str">
        <f aca="false">IF(ISBLANK($C172),"",IF(ISBLANK($T172),0,IF(ISNUMBER($T172),IF(AND($T172&gt;=0,$T172&lt;=Constants!$B$17,$T172=INT($T172)),$T172,""),"")))</f>
        <v/>
      </c>
      <c r="AN172" s="87" t="str">
        <f aca="false">IF(ISBLANK($C172),"",IF(ISBLANK($U172),0,IF(ISNUMBER($U172),IF($U172&gt;=0,$U172,""),"")))</f>
        <v/>
      </c>
      <c r="AO172" s="86" t="str">
        <f aca="false">IF(ISBLANK($C172),"",IF($V172=Constants!$B$2,TRUE(),IF($V172=Constants!$B$3,FALSE(),FALSE())))</f>
        <v/>
      </c>
      <c r="AP172" s="86"/>
      <c r="AQ172" s="85" t="str">
        <f aca="false">IF(ISBLANK($C172),"",AND($Y172,OR($AS172,$BC172),OR($Z172="",$AA172="",$AB172="")))</f>
        <v/>
      </c>
      <c r="AR172" s="85" t="str">
        <f aca="false">IF(ISBLANK($C172),"",IF(OR(NOT($Y172),NOT(OR($AS172,$BC172))),"",IF(ISBLANK($D$7),$AR$5,IF($AP$9="",$AR$6,""))))</f>
        <v/>
      </c>
      <c r="AS172" s="85" t="str">
        <f aca="false">IF(ISBLANK($C172),"",COUNTA($J172:$O172)&gt;0)</f>
        <v/>
      </c>
      <c r="AT172" s="85" t="str">
        <f aca="false">IF(ISBLANK($C172),"",AND($AS172,OR(AND($AF172="",OR($AE172,NOT(ISBLANK($M172)))),$AG172="",$AH172="")))</f>
        <v/>
      </c>
      <c r="AU172" s="87" t="str">
        <f aca="false">IF($BL172&lt;&gt;Constants!$B$4,"",IF(NOT($AS172),"",ROUND((Constants!$B$12-$AB172)+(Constants!$B$13-$Z172)+(Constants!$B$14-$AA172),1)))</f>
        <v/>
      </c>
      <c r="AV172" s="90" t="str">
        <f aca="false">IF($BL172&lt;&gt;Constants!$B$4,"",IF(NOT($AS172),"",IF(NOT($AE172),0,Constants!$B$15*(INT(ROUND(MIN($AF172,$AP$9),6))-INT(ROUND(MAX(0,MIN($AF172,2*$AP$9)-$AP$9),6))))))</f>
        <v/>
      </c>
      <c r="AW172" s="90" t="str">
        <f aca="false">IF($BL172&lt;&gt;Constants!$B$4,"",IF(NOT($AS172),"",Constants!$B$16*$AG172))</f>
        <v/>
      </c>
      <c r="AX172" s="90" t="str">
        <f aca="false">IF($BL172&lt;&gt;Constants!$B$4,"",IF(NOT($AS172),"",Constants!$B$18*INT(ROUND($AH172,6))))</f>
        <v/>
      </c>
      <c r="AY172" s="85" t="str">
        <f aca="false">IF($BL172&lt;&gt;Constants!$B$4,"",IF(NOT($AS172),"",IF(NOT($X172),Constants!$B$11,IF(OR(NOT($AC172),NOT($AD172),ROUND($AB172,1)&gt;Constants!$B$12,ROUND($Z172,1)&gt;Constants!$B$13,ROUND($AA172,1)&gt;Constants!$B$14),Constants!$B$10,Constants!$B$9))))</f>
        <v/>
      </c>
      <c r="AZ172" s="91" t="str">
        <f aca="false">IF($BL172&lt;&gt;Constants!$B$4,"",IF(NOT($AS172),"",ROUND($AU172+$AV172+$AW172+$AX172,1)))</f>
        <v/>
      </c>
      <c r="BA172" s="92" t="str">
        <f aca="false">IF($BL172&lt;&gt;Constants!$B$4,"",IF(NOT($AS172),"",IF(ISNUMBER($AF172),$AF172,0)))</f>
        <v/>
      </c>
      <c r="BB172" s="86" t="str">
        <f aca="false">IF($BL172&lt;&gt;Constants!$B$4,"",IF(NOT($BC172),"&lt;-",IF(NOT($AS172),"-&gt;",IF(OR($BI172&lt;$AY172,AND($BI172=$AY172,OR($BJ172&gt;$AZ172,AND($BJ172=$AZ172,OR($BH172&gt;$AX172,AND($BH172=$AX172,OR($BE172&gt;$AU172,AND($BE172=$AU172,OR($BF172&gt;$AV172,AND($BF172=$AV172,$BK172&gt;$BA172)))))))))),"-&gt;","&lt;-"))))</f>
        <v/>
      </c>
      <c r="BC172" s="85" t="str">
        <f aca="false">IF(ISBLANK($C172),"",COUNTA($P172:$U172)&gt;0)</f>
        <v/>
      </c>
      <c r="BD172" s="85" t="str">
        <f aca="false">IF(ISBLANK($C172),"",AND($BC172,OR(AND($AL172="",OR($AK172,NOT(ISBLANK($S172)))),$AM172="",$AN172="")))</f>
        <v/>
      </c>
      <c r="BE172" s="87" t="str">
        <f aca="false">IF($BL172&lt;&gt;Constants!$B$4,"",IF(NOT($BC172),"",ROUND((Constants!$B$12-$AB172)+(Constants!$B$13-$Z172)+(Constants!$B$14-$AA172),1)))</f>
        <v/>
      </c>
      <c r="BF172" s="90" t="str">
        <f aca="false">IF($BL172&lt;&gt;Constants!$B$4,"",IF(NOT($BC172),"",IF(NOT($AK172),0,Constants!$B$15*(INT(ROUND(MIN($AL172,$AP$9),6))-INT(ROUND(MAX(0,MIN($AL172,2*$AP$9)-$AP$9),6))))))</f>
        <v/>
      </c>
      <c r="BG172" s="90" t="str">
        <f aca="false">IF($BL172&lt;&gt;Constants!$B$4,"",IF(NOT($BC172),"",Constants!$B$16*$AM172))</f>
        <v/>
      </c>
      <c r="BH172" s="90" t="str">
        <f aca="false">IF($BL172&lt;&gt;Constants!$B$4,"",IF(NOT($BC172),"",Constants!$B$18*INT(ROUND($AN172,6))))</f>
        <v/>
      </c>
      <c r="BI172" s="85" t="str">
        <f aca="false">IF($BL172&lt;&gt;Constants!$B$4,"",IF(NOT($BC172),"",IF(NOT($X172),Constants!$B$11,IF(OR(NOT($AI172),NOT($AJ172),ROUND($AB172,1)&gt;Constants!$B$12,ROUND($Z172,1)&gt;Constants!$B$13,ROUND($AA172,1)&gt;Constants!$B$14),Constants!$B$10,Constants!$B$9))))</f>
        <v/>
      </c>
      <c r="BJ172" s="91" t="str">
        <f aca="false">IF($BL172&lt;&gt;Constants!$B$4,"",IF(NOT($BC172),"",ROUND($BE172+$BF172+$BG172+$BH172,1)))</f>
        <v/>
      </c>
      <c r="BK172" s="92" t="str">
        <f aca="false">IF($BL172&lt;&gt;Constants!$B$4,"",IF(NOT($BC172),"",IF(ISNUMBER($AL172),$AL172,0)))</f>
        <v/>
      </c>
      <c r="BL172" s="86" t="str">
        <f aca="false">IF(ISBLANK($C172),"",IF($AO172,Constants!$B$7,IF(COUNTA($E172:$V172)=0,Constants!$B$6,IF(NOT($Y172),Constants!$B$5,IF(NOT(OR($AS172,$BC172)),Constants!$B$5,IF(OR($AT172,$BD172,$AQ172,$AR172&lt;&gt;""),Constants!$B$8,Constants!$B$4))))))</f>
        <v/>
      </c>
      <c r="BM172" s="86" t="str">
        <f aca="false">IF(ISBLANK($C172),"",IF($BL172&lt;&gt;Constants!$B$4,$BL172,IF($BB172="-&gt;",$BI172,$AY172)))</f>
        <v/>
      </c>
      <c r="BN172" s="90" t="str">
        <f aca="false">IF($BL172&lt;&gt;Constants!$B$4,"",IF($BB172="-&gt;",$BJ172,$AZ172))</f>
        <v/>
      </c>
      <c r="BO172" s="90" t="str">
        <f aca="false">IF(ISBLANK($C172),"",IF($BL172&lt;&gt;Constants!$B$4,$BL172,$BN172))</f>
        <v/>
      </c>
      <c r="BP172" s="86" t="str">
        <f aca="false">IF(ISBLANK($C172),"",IF($BL172&lt;&gt;Constants!$B$4,$BL172,RANK($BO172,$BO$9:$BO$508,0)))</f>
        <v/>
      </c>
      <c r="BQ172" s="86" t="str">
        <f aca="false">IF(ISBLANK($C172),"",IF($BL172&lt;&gt;Constants!$B$4,$BL172,COUNTIFS($BM$9:$BM$508,"&lt;"&amp;$BM172)+COUNTIFS($BM$9:$BM$508,$BM172,$BP$9:$BP$508,"&lt;"&amp;$BP172)+1))</f>
        <v/>
      </c>
      <c r="BR172" s="90" t="str">
        <f aca="false">IF($BL172&lt;&gt;Constants!$B$4,"",IF($BB172="-&gt;",$BH172,$AX172))</f>
        <v/>
      </c>
      <c r="BS172" s="86" t="str">
        <f aca="false">IF(ISBLANK($C172),"",IF($BL172&lt;&gt;Constants!$B$4,$BL172,IF(ISNUMBER($BR172),RANK($BR172,$BR$9:$BR$508,0),COUNT($BR$9:$BR$508)+1)))</f>
        <v/>
      </c>
      <c r="BT172" s="90" t="str">
        <f aca="false">IF($BL172&lt;&gt;Constants!$B$4,"",IF($BB172="-&gt;",$BE172,$AU172))</f>
        <v/>
      </c>
      <c r="BU172" s="86" t="str">
        <f aca="false">IF(ISBLANK($C172),"",IF($BL172&lt;&gt;Constants!$B$4,$BL172,IF(ISNUMBER($BT172),RANK($BT172,$BT$9:$BT$508,0),COUNT($BT$9:$BT$508)+1)))</f>
        <v/>
      </c>
      <c r="BV172" s="90" t="str">
        <f aca="false">IF($BL172&lt;&gt;Constants!$B$4,"",IF($BB172="-&gt;",$BF172,$AV172))</f>
        <v/>
      </c>
      <c r="BW172" s="86" t="str">
        <f aca="false">IF(ISBLANK($C172),"",IF($BL172&lt;&gt;Constants!$B$4,$BL172,IF(ISNUMBER($BV172),RANK($BV172,$BV$9:$BV$508,0),COUNT($BV$9:$BV$508)+1)))</f>
        <v/>
      </c>
      <c r="BX172" s="90" t="str">
        <f aca="false">IF($BL172&lt;&gt;Constants!$B$4,"",IF($BB172="-&gt;",$BK172,$BA172))</f>
        <v/>
      </c>
      <c r="BY172" s="86" t="str">
        <f aca="false">IF(ISBLANK($C172),"",IF($BL172&lt;&gt;Constants!$B$4,$BL172,IF(ISNUMBER($BX172),RANK($BX172,$BX$9:$BX$508,0),COUNT($BX$9:$BX$508)+1)))</f>
        <v/>
      </c>
      <c r="BZ172" s="86" t="str">
        <f aca="false">IF(ISBLANK($C172),"",IF($BL172&lt;&gt;Constants!$B$4,$BL172,COUNTIFS($BM$9:$BM$508,"&lt;"&amp;$BM172)+COUNTIFS($BM$9:$BM$508,$BM172,$BP$9:$BP$508,"&lt;"&amp;$BP172)+COUNTIFS($BM$9:$BM$508,$BM172,$BP$9:$BP$508,$BP172,$BS$9:$BS$508,"&lt;"&amp;$BS172)+COUNTIFS($BM$9:$BM$508,$BM172,$BP$9:$BP$508,$BP172,$BS$9:$BS$508,$BS172,$BU$9:$BU$508,"&lt;"&amp;$BU172)+COUNTIFS($BM$9:$BM$508,$BM172,$BP$9:$BP$508,$BP172,$BS$9:$BS$508,$BS172,$BU$9:$BU$508,$BU172,$BW$9:$BW$508,"&lt;"&amp;$BW172)+COUNTIFS($BM$9:$BM$508,$BM172,$BP$9:$BP$508,$BP172,$BS$9:$BS$508,$BS172,$BU$9:$BU$508,$BU172,$BW$9:$BW$508,$BW172,$BY$9:$BY$508,"&lt;"&amp;$BY172)+1))</f>
        <v/>
      </c>
      <c r="CA172" s="86" t="str">
        <f aca="false">IF(ISBLANK($C172),"",IF($BL172&lt;&gt;Constants!$B$4,$BL172,$BQ172-$BZ172))</f>
        <v/>
      </c>
      <c r="CB172" s="93"/>
      <c r="CC172" s="94" t="str">
        <f aca="false">IF(ISBLANK($C172),"",IF($BL172=Constants!$B$8,$AR172,""))</f>
        <v/>
      </c>
      <c r="CD172" s="94" t="str">
        <f aca="false">IF(ISBLANK($C172),"",IF($BL172&lt;&gt;Constants!$B$4,"",IF($BB172="-&gt;",2,1)))</f>
        <v/>
      </c>
      <c r="CE172" s="95" t="str">
        <f aca="false">IF(ISBLANK($C172),"",IF($BL172&lt;&gt;Constants!$B$4,"",IF($BB172="-&gt;",$BE172,$AU172)))</f>
        <v/>
      </c>
      <c r="CF172" s="95" t="str">
        <f aca="false">IF(ISBLANK($C172),"",IF($BL172&lt;&gt;Constants!$B$4,"",IF($BB172="-&gt;",$BF172,$AV172)))</f>
        <v/>
      </c>
      <c r="CG172" s="95" t="str">
        <f aca="false">IF(ISBLANK($C172),"",IF($BL172&lt;&gt;Constants!$B$4,"",IF($BB172="-&gt;",$BG172,$AW172)))</f>
        <v/>
      </c>
      <c r="CH172" s="95" t="str">
        <f aca="false">IF(ISBLANK($C172),"",IF($BL172&lt;&gt;Constants!$B$4,"",IF($BB172="-&gt;",$BH172,$AX172)))</f>
        <v/>
      </c>
      <c r="CI172" s="96" t="str">
        <f aca="false">IF(ISBLANK($C172),"",$BO172)</f>
        <v/>
      </c>
      <c r="CJ172" s="97" t="str">
        <f aca="false">IF(ISBLANK($C172),"",$BM172)</f>
        <v/>
      </c>
      <c r="CK172" s="98" t="str">
        <f aca="false">IF(ISBLANK($C172),"",$CA172)</f>
        <v/>
      </c>
      <c r="CL172" s="98" t="str">
        <f aca="false">IF(ISBLANK($C172),"",$BZ172)</f>
        <v/>
      </c>
      <c r="CM172" s="99" t="str">
        <f aca="false">IF(ISBLANK($C172),"",IF($CL172=Constants!$B$7,COUNTA($C$9:$C$508)+2,IF($CL172=Constants!$B$6,COUNTA($C$9:$C$508)+1,IF($CL172=Constants!$B$5,COUNTA($C$9:$C$508),$CL172))))</f>
        <v/>
      </c>
      <c r="CN172" s="8"/>
      <c r="CO172" s="100" t="n">
        <f aca="false">IF(OR(ISNUMBER($CL172),$CL172=Constants!$B$7,$CL172=Constants!$B$5,$CL172=Constants!$B$6),1,0)</f>
        <v>0</v>
      </c>
      <c r="CP172" s="100" t="n">
        <v>164</v>
      </c>
      <c r="CQ172" s="100" t="str">
        <f aca="false">IF(ISBLANK($C172),"",IF(ISNUMBER($CM172),$CM172+ROW($B172)/1000,""))</f>
        <v/>
      </c>
      <c r="CR172" s="100" t="str">
        <f aca="false">IF(ISNUMBER($CQ172),RANK($CQ172,$CQ$9:$CQ$508,1),"")</f>
        <v/>
      </c>
      <c r="CS172" s="100" t="str">
        <f aca="false">IF(ISBLANK($C172),"",$B172)</f>
        <v/>
      </c>
      <c r="CT172" s="100" t="str">
        <f aca="false">IF(ISBLANK($C172),"",$C172)</f>
        <v/>
      </c>
      <c r="CU172" s="100" t="str">
        <f aca="false">IF(ISBLANK($C172),"",$D172)</f>
        <v/>
      </c>
      <c r="CV172" s="101" t="str">
        <f aca="false">$CJ172</f>
        <v/>
      </c>
      <c r="CW172" s="102" t="str">
        <f aca="false">$CI172</f>
        <v/>
      </c>
      <c r="CX172" s="100" t="str">
        <f aca="false">IF(ISBLANK($C172),"",$CL172)</f>
        <v/>
      </c>
      <c r="CY172" s="103" t="str">
        <f aca="false">IF($CP172&gt;$CO$8,"",VLOOKUP($CP172,$CR$9:$CX$508,7,FALSE()))</f>
        <v/>
      </c>
      <c r="CZ172" s="104" t="str">
        <f aca="false">IF($CP172&gt;$CO$8,"",VLOOKUP($CP172,$CR$9:$CX$508,2,FALSE()))</f>
        <v/>
      </c>
      <c r="DA172" s="104" t="str">
        <f aca="false">IF($CP172&gt;$CO$8,"",VLOOKUP($CP172,$CR$9:$CX$508,3,FALSE()))</f>
        <v/>
      </c>
      <c r="DB172" s="104" t="str">
        <f aca="false">IF($CP172&gt;$CO$8,"",VLOOKUP($CP172,$CR$9:$CX$508,4,FALSE()))</f>
        <v/>
      </c>
      <c r="DC172" s="104" t="str">
        <f aca="false">IF($CP172&gt;$CO$8,"",VLOOKUP($CP172,$CR$9:$CX$508,5,FALSE()))</f>
        <v/>
      </c>
      <c r="DD172" s="105" t="str">
        <f aca="false">IF($CP172&gt;$CO$8,"",VLOOKUP($CP172,$CR$9:$CX$508,6,FALSE()))</f>
        <v/>
      </c>
      <c r="DE172" s="70"/>
    </row>
    <row r="173" customFormat="false" ht="15.75" hidden="false" customHeight="false" outlineLevel="0" collapsed="false">
      <c r="A173" s="8"/>
      <c r="B173" s="72"/>
      <c r="C173" s="73"/>
      <c r="D173" s="155"/>
      <c r="E173" s="162"/>
      <c r="F173" s="157"/>
      <c r="G173" s="77"/>
      <c r="H173" s="77"/>
      <c r="I173" s="77"/>
      <c r="J173" s="163"/>
      <c r="K173" s="161"/>
      <c r="L173" s="161"/>
      <c r="M173" s="80"/>
      <c r="N173" s="161"/>
      <c r="O173" s="160"/>
      <c r="P173" s="161"/>
      <c r="Q173" s="161"/>
      <c r="R173" s="161"/>
      <c r="S173" s="77"/>
      <c r="T173" s="161"/>
      <c r="U173" s="160"/>
      <c r="V173" s="161"/>
      <c r="W173" s="85"/>
      <c r="X173" s="86" t="str">
        <f aca="false">IF(ISBLANK($C173),"",IF($E173=Constants!$B$2,TRUE(),IF($E173=Constants!$B$3,FALSE(),TRUE())))</f>
        <v/>
      </c>
      <c r="Y173" s="86" t="str">
        <f aca="false">IF(ISBLANK($C173),"",IF($F173=Constants!$B$2,TRUE(),IF($F173=Constants!$B$3,FALSE(),TRUE())))</f>
        <v/>
      </c>
      <c r="Z173" s="87" t="str">
        <f aca="false">IF(ISBLANK($C173),"",IF(ISNUMBER($G173),IF($G173&gt;=0,$G173,""),""))</f>
        <v/>
      </c>
      <c r="AA173" s="87" t="str">
        <f aca="false">IF(ISBLANK($C173),"",IF(ISNUMBER($H173),IF($H173&gt;=0,$H173,""),""))</f>
        <v/>
      </c>
      <c r="AB173" s="87" t="str">
        <f aca="false">IF(ISBLANK($C173),"",IF(ISNUMBER($I173),IF($I173&gt;=0,$I173,""),""))</f>
        <v/>
      </c>
      <c r="AC173" s="86" t="str">
        <f aca="false">IF(ISBLANK($C173),"",IF($J173=Constants!$B$2,TRUE(),IF($J173=Constants!$B$3,FALSE(),TRUE())))</f>
        <v/>
      </c>
      <c r="AD173" s="86" t="str">
        <f aca="false">IF(ISBLANK($C173),"",IF($K173=Constants!$B$2,TRUE(),IF($K173=Constants!$B$3,FALSE(),TRUE())))</f>
        <v/>
      </c>
      <c r="AE173" s="86" t="str">
        <f aca="false">IF(ISBLANK($C173),"",IF($L173=Constants!$B$2,TRUE(),IF($L173=Constants!$B$3,FALSE(),TRUE())))</f>
        <v/>
      </c>
      <c r="AF173" s="88" t="str">
        <f aca="false">IF(ISBLANK($C173),"",IF(ISNUMBER($M173),IF($M173&gt;=0,$M173,""),""))</f>
        <v/>
      </c>
      <c r="AG173" s="86" t="str">
        <f aca="false">IF(ISBLANK($C173),"",IF(ISBLANK($N173),0,IF(ISNUMBER($N173),IF(AND($N173&gt;=0,$N173&lt;=Constants!$B$17,$N173=INT($N173)),$N173,""),"")))</f>
        <v/>
      </c>
      <c r="AH173" s="87" t="str">
        <f aca="false">IF(ISBLANK($C173),"",IF(ISBLANK($O173),0,IF(ISNUMBER($O173),IF($O173&gt;=0,$O173,""),"")))</f>
        <v/>
      </c>
      <c r="AI173" s="86" t="str">
        <f aca="false">IF(ISBLANK($C173),"",IF($P173=Constants!$B$2,TRUE(),IF($P173=Constants!$B$3,FALSE(),TRUE())))</f>
        <v/>
      </c>
      <c r="AJ173" s="86" t="str">
        <f aca="false">IF(ISBLANK($C173),"",IF($Q173=Constants!$B$2,TRUE(),IF($Q173=Constants!$B$3,FALSE(),TRUE())))</f>
        <v/>
      </c>
      <c r="AK173" s="86" t="str">
        <f aca="false">IF(ISBLANK($C173),"",IF($R173=Constants!$B$2,TRUE(),IF($R173=Constants!$B$3,FALSE(),TRUE())))</f>
        <v/>
      </c>
      <c r="AL173" s="88" t="str">
        <f aca="false">IF(ISBLANK($C173),"",IF(ISNUMBER($S173),IF($S173&gt;=0,$S173,""),""))</f>
        <v/>
      </c>
      <c r="AM173" s="86" t="str">
        <f aca="false">IF(ISBLANK($C173),"",IF(ISBLANK($T173),0,IF(ISNUMBER($T173),IF(AND($T173&gt;=0,$T173&lt;=Constants!$B$17,$T173=INT($T173)),$T173,""),"")))</f>
        <v/>
      </c>
      <c r="AN173" s="87" t="str">
        <f aca="false">IF(ISBLANK($C173),"",IF(ISBLANK($U173),0,IF(ISNUMBER($U173),IF($U173&gt;=0,$U173,""),"")))</f>
        <v/>
      </c>
      <c r="AO173" s="86" t="str">
        <f aca="false">IF(ISBLANK($C173),"",IF($V173=Constants!$B$2,TRUE(),IF($V173=Constants!$B$3,FALSE(),FALSE())))</f>
        <v/>
      </c>
      <c r="AP173" s="86"/>
      <c r="AQ173" s="85" t="str">
        <f aca="false">IF(ISBLANK($C173),"",AND($Y173,OR($AS173,$BC173),OR($Z173="",$AA173="",$AB173="")))</f>
        <v/>
      </c>
      <c r="AR173" s="85" t="str">
        <f aca="false">IF(ISBLANK($C173),"",IF(OR(NOT($Y173),NOT(OR($AS173,$BC173))),"",IF(ISBLANK($D$7),$AR$5,IF($AP$9="",$AR$6,""))))</f>
        <v/>
      </c>
      <c r="AS173" s="85" t="str">
        <f aca="false">IF(ISBLANK($C173),"",COUNTA($J173:$O173)&gt;0)</f>
        <v/>
      </c>
      <c r="AT173" s="85" t="str">
        <f aca="false">IF(ISBLANK($C173),"",AND($AS173,OR(AND($AF173="",OR($AE173,NOT(ISBLANK($M173)))),$AG173="",$AH173="")))</f>
        <v/>
      </c>
      <c r="AU173" s="87" t="str">
        <f aca="false">IF($BL173&lt;&gt;Constants!$B$4,"",IF(NOT($AS173),"",ROUND((Constants!$B$12-$AB173)+(Constants!$B$13-$Z173)+(Constants!$B$14-$AA173),1)))</f>
        <v/>
      </c>
      <c r="AV173" s="90" t="str">
        <f aca="false">IF($BL173&lt;&gt;Constants!$B$4,"",IF(NOT($AS173),"",IF(NOT($AE173),0,Constants!$B$15*(INT(ROUND(MIN($AF173,$AP$9),6))-INT(ROUND(MAX(0,MIN($AF173,2*$AP$9)-$AP$9),6))))))</f>
        <v/>
      </c>
      <c r="AW173" s="90" t="str">
        <f aca="false">IF($BL173&lt;&gt;Constants!$B$4,"",IF(NOT($AS173),"",Constants!$B$16*$AG173))</f>
        <v/>
      </c>
      <c r="AX173" s="90" t="str">
        <f aca="false">IF($BL173&lt;&gt;Constants!$B$4,"",IF(NOT($AS173),"",Constants!$B$18*INT(ROUND($AH173,6))))</f>
        <v/>
      </c>
      <c r="AY173" s="85" t="str">
        <f aca="false">IF($BL173&lt;&gt;Constants!$B$4,"",IF(NOT($AS173),"",IF(NOT($X173),Constants!$B$11,IF(OR(NOT($AC173),NOT($AD173),ROUND($AB173,1)&gt;Constants!$B$12,ROUND($Z173,1)&gt;Constants!$B$13,ROUND($AA173,1)&gt;Constants!$B$14),Constants!$B$10,Constants!$B$9))))</f>
        <v/>
      </c>
      <c r="AZ173" s="91" t="str">
        <f aca="false">IF($BL173&lt;&gt;Constants!$B$4,"",IF(NOT($AS173),"",ROUND($AU173+$AV173+$AW173+$AX173,1)))</f>
        <v/>
      </c>
      <c r="BA173" s="92" t="str">
        <f aca="false">IF($BL173&lt;&gt;Constants!$B$4,"",IF(NOT($AS173),"",IF(ISNUMBER($AF173),$AF173,0)))</f>
        <v/>
      </c>
      <c r="BB173" s="86" t="str">
        <f aca="false">IF($BL173&lt;&gt;Constants!$B$4,"",IF(NOT($BC173),"&lt;-",IF(NOT($AS173),"-&gt;",IF(OR($BI173&lt;$AY173,AND($BI173=$AY173,OR($BJ173&gt;$AZ173,AND($BJ173=$AZ173,OR($BH173&gt;$AX173,AND($BH173=$AX173,OR($BE173&gt;$AU173,AND($BE173=$AU173,OR($BF173&gt;$AV173,AND($BF173=$AV173,$BK173&gt;$BA173)))))))))),"-&gt;","&lt;-"))))</f>
        <v/>
      </c>
      <c r="BC173" s="85" t="str">
        <f aca="false">IF(ISBLANK($C173),"",COUNTA($P173:$U173)&gt;0)</f>
        <v/>
      </c>
      <c r="BD173" s="85" t="str">
        <f aca="false">IF(ISBLANK($C173),"",AND($BC173,OR(AND($AL173="",OR($AK173,NOT(ISBLANK($S173)))),$AM173="",$AN173="")))</f>
        <v/>
      </c>
      <c r="BE173" s="87" t="str">
        <f aca="false">IF($BL173&lt;&gt;Constants!$B$4,"",IF(NOT($BC173),"",ROUND((Constants!$B$12-$AB173)+(Constants!$B$13-$Z173)+(Constants!$B$14-$AA173),1)))</f>
        <v/>
      </c>
      <c r="BF173" s="90" t="str">
        <f aca="false">IF($BL173&lt;&gt;Constants!$B$4,"",IF(NOT($BC173),"",IF(NOT($AK173),0,Constants!$B$15*(INT(ROUND(MIN($AL173,$AP$9),6))-INT(ROUND(MAX(0,MIN($AL173,2*$AP$9)-$AP$9),6))))))</f>
        <v/>
      </c>
      <c r="BG173" s="90" t="str">
        <f aca="false">IF($BL173&lt;&gt;Constants!$B$4,"",IF(NOT($BC173),"",Constants!$B$16*$AM173))</f>
        <v/>
      </c>
      <c r="BH173" s="90" t="str">
        <f aca="false">IF($BL173&lt;&gt;Constants!$B$4,"",IF(NOT($BC173),"",Constants!$B$18*INT(ROUND($AN173,6))))</f>
        <v/>
      </c>
      <c r="BI173" s="85" t="str">
        <f aca="false">IF($BL173&lt;&gt;Constants!$B$4,"",IF(NOT($BC173),"",IF(NOT($X173),Constants!$B$11,IF(OR(NOT($AI173),NOT($AJ173),ROUND($AB173,1)&gt;Constants!$B$12,ROUND($Z173,1)&gt;Constants!$B$13,ROUND($AA173,1)&gt;Constants!$B$14),Constants!$B$10,Constants!$B$9))))</f>
        <v/>
      </c>
      <c r="BJ173" s="91" t="str">
        <f aca="false">IF($BL173&lt;&gt;Constants!$B$4,"",IF(NOT($BC173),"",ROUND($BE173+$BF173+$BG173+$BH173,1)))</f>
        <v/>
      </c>
      <c r="BK173" s="92" t="str">
        <f aca="false">IF($BL173&lt;&gt;Constants!$B$4,"",IF(NOT($BC173),"",IF(ISNUMBER($AL173),$AL173,0)))</f>
        <v/>
      </c>
      <c r="BL173" s="86" t="str">
        <f aca="false">IF(ISBLANK($C173),"",IF($AO173,Constants!$B$7,IF(COUNTA($E173:$V173)=0,Constants!$B$6,IF(NOT($Y173),Constants!$B$5,IF(NOT(OR($AS173,$BC173)),Constants!$B$5,IF(OR($AT173,$BD173,$AQ173,$AR173&lt;&gt;""),Constants!$B$8,Constants!$B$4))))))</f>
        <v/>
      </c>
      <c r="BM173" s="86" t="str">
        <f aca="false">IF(ISBLANK($C173),"",IF($BL173&lt;&gt;Constants!$B$4,$BL173,IF($BB173="-&gt;",$BI173,$AY173)))</f>
        <v/>
      </c>
      <c r="BN173" s="90" t="str">
        <f aca="false">IF($BL173&lt;&gt;Constants!$B$4,"",IF($BB173="-&gt;",$BJ173,$AZ173))</f>
        <v/>
      </c>
      <c r="BO173" s="90" t="str">
        <f aca="false">IF(ISBLANK($C173),"",IF($BL173&lt;&gt;Constants!$B$4,$BL173,$BN173))</f>
        <v/>
      </c>
      <c r="BP173" s="86" t="str">
        <f aca="false">IF(ISBLANK($C173),"",IF($BL173&lt;&gt;Constants!$B$4,$BL173,RANK($BO173,$BO$9:$BO$508,0)))</f>
        <v/>
      </c>
      <c r="BQ173" s="86" t="str">
        <f aca="false">IF(ISBLANK($C173),"",IF($BL173&lt;&gt;Constants!$B$4,$BL173,COUNTIFS($BM$9:$BM$508,"&lt;"&amp;$BM173)+COUNTIFS($BM$9:$BM$508,$BM173,$BP$9:$BP$508,"&lt;"&amp;$BP173)+1))</f>
        <v/>
      </c>
      <c r="BR173" s="90" t="str">
        <f aca="false">IF($BL173&lt;&gt;Constants!$B$4,"",IF($BB173="-&gt;",$BH173,$AX173))</f>
        <v/>
      </c>
      <c r="BS173" s="86" t="str">
        <f aca="false">IF(ISBLANK($C173),"",IF($BL173&lt;&gt;Constants!$B$4,$BL173,IF(ISNUMBER($BR173),RANK($BR173,$BR$9:$BR$508,0),COUNT($BR$9:$BR$508)+1)))</f>
        <v/>
      </c>
      <c r="BT173" s="90" t="str">
        <f aca="false">IF($BL173&lt;&gt;Constants!$B$4,"",IF($BB173="-&gt;",$BE173,$AU173))</f>
        <v/>
      </c>
      <c r="BU173" s="86" t="str">
        <f aca="false">IF(ISBLANK($C173),"",IF($BL173&lt;&gt;Constants!$B$4,$BL173,IF(ISNUMBER($BT173),RANK($BT173,$BT$9:$BT$508,0),COUNT($BT$9:$BT$508)+1)))</f>
        <v/>
      </c>
      <c r="BV173" s="90" t="str">
        <f aca="false">IF($BL173&lt;&gt;Constants!$B$4,"",IF($BB173="-&gt;",$BF173,$AV173))</f>
        <v/>
      </c>
      <c r="BW173" s="86" t="str">
        <f aca="false">IF(ISBLANK($C173),"",IF($BL173&lt;&gt;Constants!$B$4,$BL173,IF(ISNUMBER($BV173),RANK($BV173,$BV$9:$BV$508,0),COUNT($BV$9:$BV$508)+1)))</f>
        <v/>
      </c>
      <c r="BX173" s="90" t="str">
        <f aca="false">IF($BL173&lt;&gt;Constants!$B$4,"",IF($BB173="-&gt;",$BK173,$BA173))</f>
        <v/>
      </c>
      <c r="BY173" s="86" t="str">
        <f aca="false">IF(ISBLANK($C173),"",IF($BL173&lt;&gt;Constants!$B$4,$BL173,IF(ISNUMBER($BX173),RANK($BX173,$BX$9:$BX$508,0),COUNT($BX$9:$BX$508)+1)))</f>
        <v/>
      </c>
      <c r="BZ173" s="86" t="str">
        <f aca="false">IF(ISBLANK($C173),"",IF($BL173&lt;&gt;Constants!$B$4,$BL173,COUNTIFS($BM$9:$BM$508,"&lt;"&amp;$BM173)+COUNTIFS($BM$9:$BM$508,$BM173,$BP$9:$BP$508,"&lt;"&amp;$BP173)+COUNTIFS($BM$9:$BM$508,$BM173,$BP$9:$BP$508,$BP173,$BS$9:$BS$508,"&lt;"&amp;$BS173)+COUNTIFS($BM$9:$BM$508,$BM173,$BP$9:$BP$508,$BP173,$BS$9:$BS$508,$BS173,$BU$9:$BU$508,"&lt;"&amp;$BU173)+COUNTIFS($BM$9:$BM$508,$BM173,$BP$9:$BP$508,$BP173,$BS$9:$BS$508,$BS173,$BU$9:$BU$508,$BU173,$BW$9:$BW$508,"&lt;"&amp;$BW173)+COUNTIFS($BM$9:$BM$508,$BM173,$BP$9:$BP$508,$BP173,$BS$9:$BS$508,$BS173,$BU$9:$BU$508,$BU173,$BW$9:$BW$508,$BW173,$BY$9:$BY$508,"&lt;"&amp;$BY173)+1))</f>
        <v/>
      </c>
      <c r="CA173" s="86" t="str">
        <f aca="false">IF(ISBLANK($C173),"",IF($BL173&lt;&gt;Constants!$B$4,$BL173,$BQ173-$BZ173))</f>
        <v/>
      </c>
      <c r="CB173" s="93"/>
      <c r="CC173" s="94" t="str">
        <f aca="false">IF(ISBLANK($C173),"",IF($BL173=Constants!$B$8,$AR173,""))</f>
        <v/>
      </c>
      <c r="CD173" s="94" t="str">
        <f aca="false">IF(ISBLANK($C173),"",IF($BL173&lt;&gt;Constants!$B$4,"",IF($BB173="-&gt;",2,1)))</f>
        <v/>
      </c>
      <c r="CE173" s="95" t="str">
        <f aca="false">IF(ISBLANK($C173),"",IF($BL173&lt;&gt;Constants!$B$4,"",IF($BB173="-&gt;",$BE173,$AU173)))</f>
        <v/>
      </c>
      <c r="CF173" s="95" t="str">
        <f aca="false">IF(ISBLANK($C173),"",IF($BL173&lt;&gt;Constants!$B$4,"",IF($BB173="-&gt;",$BF173,$AV173)))</f>
        <v/>
      </c>
      <c r="CG173" s="95" t="str">
        <f aca="false">IF(ISBLANK($C173),"",IF($BL173&lt;&gt;Constants!$B$4,"",IF($BB173="-&gt;",$BG173,$AW173)))</f>
        <v/>
      </c>
      <c r="CH173" s="95" t="str">
        <f aca="false">IF(ISBLANK($C173),"",IF($BL173&lt;&gt;Constants!$B$4,"",IF($BB173="-&gt;",$BH173,$AX173)))</f>
        <v/>
      </c>
      <c r="CI173" s="96" t="str">
        <f aca="false">IF(ISBLANK($C173),"",$BO173)</f>
        <v/>
      </c>
      <c r="CJ173" s="97" t="str">
        <f aca="false">IF(ISBLANK($C173),"",$BM173)</f>
        <v/>
      </c>
      <c r="CK173" s="98" t="str">
        <f aca="false">IF(ISBLANK($C173),"",$CA173)</f>
        <v/>
      </c>
      <c r="CL173" s="98" t="str">
        <f aca="false">IF(ISBLANK($C173),"",$BZ173)</f>
        <v/>
      </c>
      <c r="CM173" s="99" t="str">
        <f aca="false">IF(ISBLANK($C173),"",IF($CL173=Constants!$B$7,COUNTA($C$9:$C$508)+2,IF($CL173=Constants!$B$6,COUNTA($C$9:$C$508)+1,IF($CL173=Constants!$B$5,COUNTA($C$9:$C$508),$CL173))))</f>
        <v/>
      </c>
      <c r="CN173" s="8"/>
      <c r="CO173" s="100" t="n">
        <f aca="false">IF(OR(ISNUMBER($CL173),$CL173=Constants!$B$7,$CL173=Constants!$B$5,$CL173=Constants!$B$6),1,0)</f>
        <v>0</v>
      </c>
      <c r="CP173" s="100" t="n">
        <v>165</v>
      </c>
      <c r="CQ173" s="100" t="str">
        <f aca="false">IF(ISBLANK($C173),"",IF(ISNUMBER($CM173),$CM173+ROW($B173)/1000,""))</f>
        <v/>
      </c>
      <c r="CR173" s="100" t="str">
        <f aca="false">IF(ISNUMBER($CQ173),RANK($CQ173,$CQ$9:$CQ$508,1),"")</f>
        <v/>
      </c>
      <c r="CS173" s="100" t="str">
        <f aca="false">IF(ISBLANK($C173),"",$B173)</f>
        <v/>
      </c>
      <c r="CT173" s="100" t="str">
        <f aca="false">IF(ISBLANK($C173),"",$C173)</f>
        <v/>
      </c>
      <c r="CU173" s="100" t="str">
        <f aca="false">IF(ISBLANK($C173),"",$D173)</f>
        <v/>
      </c>
      <c r="CV173" s="101" t="str">
        <f aca="false">$CJ173</f>
        <v/>
      </c>
      <c r="CW173" s="102" t="str">
        <f aca="false">$CI173</f>
        <v/>
      </c>
      <c r="CX173" s="100" t="str">
        <f aca="false">IF(ISBLANK($C173),"",$CL173)</f>
        <v/>
      </c>
      <c r="CY173" s="103" t="str">
        <f aca="false">IF($CP173&gt;$CO$8,"",VLOOKUP($CP173,$CR$9:$CX$508,7,FALSE()))</f>
        <v/>
      </c>
      <c r="CZ173" s="104" t="str">
        <f aca="false">IF($CP173&gt;$CO$8,"",VLOOKUP($CP173,$CR$9:$CX$508,2,FALSE()))</f>
        <v/>
      </c>
      <c r="DA173" s="104" t="str">
        <f aca="false">IF($CP173&gt;$CO$8,"",VLOOKUP($CP173,$CR$9:$CX$508,3,FALSE()))</f>
        <v/>
      </c>
      <c r="DB173" s="104" t="str">
        <f aca="false">IF($CP173&gt;$CO$8,"",VLOOKUP($CP173,$CR$9:$CX$508,4,FALSE()))</f>
        <v/>
      </c>
      <c r="DC173" s="104" t="str">
        <f aca="false">IF($CP173&gt;$CO$8,"",VLOOKUP($CP173,$CR$9:$CX$508,5,FALSE()))</f>
        <v/>
      </c>
      <c r="DD173" s="105" t="str">
        <f aca="false">IF($CP173&gt;$CO$8,"",VLOOKUP($CP173,$CR$9:$CX$508,6,FALSE()))</f>
        <v/>
      </c>
      <c r="DE173" s="70"/>
    </row>
    <row r="174" customFormat="false" ht="15.75" hidden="false" customHeight="false" outlineLevel="0" collapsed="false">
      <c r="A174" s="8"/>
      <c r="B174" s="146"/>
      <c r="C174" s="147"/>
      <c r="D174" s="148"/>
      <c r="E174" s="164"/>
      <c r="F174" s="150"/>
      <c r="G174" s="115"/>
      <c r="H174" s="115"/>
      <c r="I174" s="115"/>
      <c r="J174" s="165"/>
      <c r="K174" s="154"/>
      <c r="L174" s="154"/>
      <c r="M174" s="118"/>
      <c r="N174" s="154"/>
      <c r="O174" s="153"/>
      <c r="P174" s="154"/>
      <c r="Q174" s="154"/>
      <c r="R174" s="154"/>
      <c r="S174" s="115"/>
      <c r="T174" s="154"/>
      <c r="U174" s="153"/>
      <c r="V174" s="154"/>
      <c r="W174" s="123"/>
      <c r="X174" s="124" t="str">
        <f aca="false">IF(ISBLANK($C174),"",IF($E174=Constants!$B$2,TRUE(),IF($E174=Constants!$B$3,FALSE(),TRUE())))</f>
        <v/>
      </c>
      <c r="Y174" s="124" t="str">
        <f aca="false">IF(ISBLANK($C174),"",IF($F174=Constants!$B$2,TRUE(),IF($F174=Constants!$B$3,FALSE(),TRUE())))</f>
        <v/>
      </c>
      <c r="Z174" s="125" t="str">
        <f aca="false">IF(ISBLANK($C174),"",IF(ISNUMBER($G174),IF($G174&gt;=0,$G174,""),""))</f>
        <v/>
      </c>
      <c r="AA174" s="125" t="str">
        <f aca="false">IF(ISBLANK($C174),"",IF(ISNUMBER($H174),IF($H174&gt;=0,$H174,""),""))</f>
        <v/>
      </c>
      <c r="AB174" s="125" t="str">
        <f aca="false">IF(ISBLANK($C174),"",IF(ISNUMBER($I174),IF($I174&gt;=0,$I174,""),""))</f>
        <v/>
      </c>
      <c r="AC174" s="124" t="str">
        <f aca="false">IF(ISBLANK($C174),"",IF($J174=Constants!$B$2,TRUE(),IF($J174=Constants!$B$3,FALSE(),TRUE())))</f>
        <v/>
      </c>
      <c r="AD174" s="124" t="str">
        <f aca="false">IF(ISBLANK($C174),"",IF($K174=Constants!$B$2,TRUE(),IF($K174=Constants!$B$3,FALSE(),TRUE())))</f>
        <v/>
      </c>
      <c r="AE174" s="124" t="str">
        <f aca="false">IF(ISBLANK($C174),"",IF($L174=Constants!$B$2,TRUE(),IF($L174=Constants!$B$3,FALSE(),TRUE())))</f>
        <v/>
      </c>
      <c r="AF174" s="126" t="str">
        <f aca="false">IF(ISBLANK($C174),"",IF(ISNUMBER($M174),IF($M174&gt;=0,$M174,""),""))</f>
        <v/>
      </c>
      <c r="AG174" s="124" t="str">
        <f aca="false">IF(ISBLANK($C174),"",IF(ISBLANK($N174),0,IF(ISNUMBER($N174),IF(AND($N174&gt;=0,$N174&lt;=Constants!$B$17,$N174=INT($N174)),$N174,""),"")))</f>
        <v/>
      </c>
      <c r="AH174" s="125" t="str">
        <f aca="false">IF(ISBLANK($C174),"",IF(ISBLANK($O174),0,IF(ISNUMBER($O174),IF($O174&gt;=0,$O174,""),"")))</f>
        <v/>
      </c>
      <c r="AI174" s="124" t="str">
        <f aca="false">IF(ISBLANK($C174),"",IF($P174=Constants!$B$2,TRUE(),IF($P174=Constants!$B$3,FALSE(),TRUE())))</f>
        <v/>
      </c>
      <c r="AJ174" s="124" t="str">
        <f aca="false">IF(ISBLANK($C174),"",IF($Q174=Constants!$B$2,TRUE(),IF($Q174=Constants!$B$3,FALSE(),TRUE())))</f>
        <v/>
      </c>
      <c r="AK174" s="124" t="str">
        <f aca="false">IF(ISBLANK($C174),"",IF($R174=Constants!$B$2,TRUE(),IF($R174=Constants!$B$3,FALSE(),TRUE())))</f>
        <v/>
      </c>
      <c r="AL174" s="126" t="str">
        <f aca="false">IF(ISBLANK($C174),"",IF(ISNUMBER($S174),IF($S174&gt;=0,$S174,""),""))</f>
        <v/>
      </c>
      <c r="AM174" s="124" t="str">
        <f aca="false">IF(ISBLANK($C174),"",IF(ISBLANK($T174),0,IF(ISNUMBER($T174),IF(AND($T174&gt;=0,$T174&lt;=Constants!$B$17,$T174=INT($T174)),$T174,""),"")))</f>
        <v/>
      </c>
      <c r="AN174" s="125" t="str">
        <f aca="false">IF(ISBLANK($C174),"",IF(ISBLANK($U174),0,IF(ISNUMBER($U174),IF($U174&gt;=0,$U174,""),"")))</f>
        <v/>
      </c>
      <c r="AO174" s="124" t="str">
        <f aca="false">IF(ISBLANK($C174),"",IF($V174=Constants!$B$2,TRUE(),IF($V174=Constants!$B$3,FALSE(),FALSE())))</f>
        <v/>
      </c>
      <c r="AP174" s="124"/>
      <c r="AQ174" s="123" t="str">
        <f aca="false">IF(ISBLANK($C174),"",AND($Y174,OR($AS174,$BC174),OR($Z174="",$AA174="",$AB174="")))</f>
        <v/>
      </c>
      <c r="AR174" s="123" t="str">
        <f aca="false">IF(ISBLANK($C174),"",IF(OR(NOT($Y174),NOT(OR($AS174,$BC174))),"",IF(ISBLANK($D$7),$AR$5,IF($AP$9="",$AR$6,""))))</f>
        <v/>
      </c>
      <c r="AS174" s="123" t="str">
        <f aca="false">IF(ISBLANK($C174),"",COUNTA($J174:$O174)&gt;0)</f>
        <v/>
      </c>
      <c r="AT174" s="123" t="str">
        <f aca="false">IF(ISBLANK($C174),"",AND($AS174,OR(AND($AF174="",OR($AE174,NOT(ISBLANK($M174)))),$AG174="",$AH174="")))</f>
        <v/>
      </c>
      <c r="AU174" s="125" t="str">
        <f aca="false">IF($BL174&lt;&gt;Constants!$B$4,"",IF(NOT($AS174),"",ROUND((Constants!$B$12-$AB174)+(Constants!$B$13-$Z174)+(Constants!$B$14-$AA174),1)))</f>
        <v/>
      </c>
      <c r="AV174" s="127" t="str">
        <f aca="false">IF($BL174&lt;&gt;Constants!$B$4,"",IF(NOT($AS174),"",IF(NOT($AE174),0,Constants!$B$15*(INT(ROUND(MIN($AF174,$AP$9),6))-INT(ROUND(MAX(0,MIN($AF174,2*$AP$9)-$AP$9),6))))))</f>
        <v/>
      </c>
      <c r="AW174" s="127" t="str">
        <f aca="false">IF($BL174&lt;&gt;Constants!$B$4,"",IF(NOT($AS174),"",Constants!$B$16*$AG174))</f>
        <v/>
      </c>
      <c r="AX174" s="127" t="str">
        <f aca="false">IF($BL174&lt;&gt;Constants!$B$4,"",IF(NOT($AS174),"",Constants!$B$18*INT(ROUND($AH174,6))))</f>
        <v/>
      </c>
      <c r="AY174" s="123" t="str">
        <f aca="false">IF($BL174&lt;&gt;Constants!$B$4,"",IF(NOT($AS174),"",IF(NOT($X174),Constants!$B$11,IF(OR(NOT($AC174),NOT($AD174),ROUND($AB174,1)&gt;Constants!$B$12,ROUND($Z174,1)&gt;Constants!$B$13,ROUND($AA174,1)&gt;Constants!$B$14),Constants!$B$10,Constants!$B$9))))</f>
        <v/>
      </c>
      <c r="AZ174" s="128" t="str">
        <f aca="false">IF($BL174&lt;&gt;Constants!$B$4,"",IF(NOT($AS174),"",ROUND($AU174+$AV174+$AW174+$AX174,1)))</f>
        <v/>
      </c>
      <c r="BA174" s="129" t="str">
        <f aca="false">IF($BL174&lt;&gt;Constants!$B$4,"",IF(NOT($AS174),"",IF(ISNUMBER($AF174),$AF174,0)))</f>
        <v/>
      </c>
      <c r="BB174" s="124" t="str">
        <f aca="false">IF($BL174&lt;&gt;Constants!$B$4,"",IF(NOT($BC174),"&lt;-",IF(NOT($AS174),"-&gt;",IF(OR($BI174&lt;$AY174,AND($BI174=$AY174,OR($BJ174&gt;$AZ174,AND($BJ174=$AZ174,OR($BH174&gt;$AX174,AND($BH174=$AX174,OR($BE174&gt;$AU174,AND($BE174=$AU174,OR($BF174&gt;$AV174,AND($BF174=$AV174,$BK174&gt;$BA174)))))))))),"-&gt;","&lt;-"))))</f>
        <v/>
      </c>
      <c r="BC174" s="123" t="str">
        <f aca="false">IF(ISBLANK($C174),"",COUNTA($P174:$U174)&gt;0)</f>
        <v/>
      </c>
      <c r="BD174" s="123" t="str">
        <f aca="false">IF(ISBLANK($C174),"",AND($BC174,OR(AND($AL174="",OR($AK174,NOT(ISBLANK($S174)))),$AM174="",$AN174="")))</f>
        <v/>
      </c>
      <c r="BE174" s="125" t="str">
        <f aca="false">IF($BL174&lt;&gt;Constants!$B$4,"",IF(NOT($BC174),"",ROUND((Constants!$B$12-$AB174)+(Constants!$B$13-$Z174)+(Constants!$B$14-$AA174),1)))</f>
        <v/>
      </c>
      <c r="BF174" s="127" t="str">
        <f aca="false">IF($BL174&lt;&gt;Constants!$B$4,"",IF(NOT($BC174),"",IF(NOT($AK174),0,Constants!$B$15*(INT(ROUND(MIN($AL174,$AP$9),6))-INT(ROUND(MAX(0,MIN($AL174,2*$AP$9)-$AP$9),6))))))</f>
        <v/>
      </c>
      <c r="BG174" s="127" t="str">
        <f aca="false">IF($BL174&lt;&gt;Constants!$B$4,"",IF(NOT($BC174),"",Constants!$B$16*$AM174))</f>
        <v/>
      </c>
      <c r="BH174" s="127" t="str">
        <f aca="false">IF($BL174&lt;&gt;Constants!$B$4,"",IF(NOT($BC174),"",Constants!$B$18*INT(ROUND($AN174,6))))</f>
        <v/>
      </c>
      <c r="BI174" s="123" t="str">
        <f aca="false">IF($BL174&lt;&gt;Constants!$B$4,"",IF(NOT($BC174),"",IF(NOT($X174),Constants!$B$11,IF(OR(NOT($AI174),NOT($AJ174),ROUND($AB174,1)&gt;Constants!$B$12,ROUND($Z174,1)&gt;Constants!$B$13,ROUND($AA174,1)&gt;Constants!$B$14),Constants!$B$10,Constants!$B$9))))</f>
        <v/>
      </c>
      <c r="BJ174" s="128" t="str">
        <f aca="false">IF($BL174&lt;&gt;Constants!$B$4,"",IF(NOT($BC174),"",ROUND($BE174+$BF174+$BG174+$BH174,1)))</f>
        <v/>
      </c>
      <c r="BK174" s="129" t="str">
        <f aca="false">IF($BL174&lt;&gt;Constants!$B$4,"",IF(NOT($BC174),"",IF(ISNUMBER($AL174),$AL174,0)))</f>
        <v/>
      </c>
      <c r="BL174" s="124" t="str">
        <f aca="false">IF(ISBLANK($C174),"",IF($AO174,Constants!$B$7,IF(COUNTA($E174:$V174)=0,Constants!$B$6,IF(NOT($Y174),Constants!$B$5,IF(NOT(OR($AS174,$BC174)),Constants!$B$5,IF(OR($AT174,$BD174,$AQ174,$AR174&lt;&gt;""),Constants!$B$8,Constants!$B$4))))))</f>
        <v/>
      </c>
      <c r="BM174" s="124" t="str">
        <f aca="false">IF(ISBLANK($C174),"",IF($BL174&lt;&gt;Constants!$B$4,$BL174,IF($BB174="-&gt;",$BI174,$AY174)))</f>
        <v/>
      </c>
      <c r="BN174" s="127" t="str">
        <f aca="false">IF($BL174&lt;&gt;Constants!$B$4,"",IF($BB174="-&gt;",$BJ174,$AZ174))</f>
        <v/>
      </c>
      <c r="BO174" s="127" t="str">
        <f aca="false">IF(ISBLANK($C174),"",IF($BL174&lt;&gt;Constants!$B$4,$BL174,$BN174))</f>
        <v/>
      </c>
      <c r="BP174" s="124" t="str">
        <f aca="false">IF(ISBLANK($C174),"",IF($BL174&lt;&gt;Constants!$B$4,$BL174,RANK($BO174,$BO$9:$BO$508,0)))</f>
        <v/>
      </c>
      <c r="BQ174" s="124" t="str">
        <f aca="false">IF(ISBLANK($C174),"",IF($BL174&lt;&gt;Constants!$B$4,$BL174,COUNTIFS($BM$9:$BM$508,"&lt;"&amp;$BM174)+COUNTIFS($BM$9:$BM$508,$BM174,$BP$9:$BP$508,"&lt;"&amp;$BP174)+1))</f>
        <v/>
      </c>
      <c r="BR174" s="127" t="str">
        <f aca="false">IF($BL174&lt;&gt;Constants!$B$4,"",IF($BB174="-&gt;",$BH174,$AX174))</f>
        <v/>
      </c>
      <c r="BS174" s="124" t="str">
        <f aca="false">IF(ISBLANK($C174),"",IF($BL174&lt;&gt;Constants!$B$4,$BL174,IF(ISNUMBER($BR174),RANK($BR174,$BR$9:$BR$508,0),COUNT($BR$9:$BR$508)+1)))</f>
        <v/>
      </c>
      <c r="BT174" s="127" t="str">
        <f aca="false">IF($BL174&lt;&gt;Constants!$B$4,"",IF($BB174="-&gt;",$BE174,$AU174))</f>
        <v/>
      </c>
      <c r="BU174" s="124" t="str">
        <f aca="false">IF(ISBLANK($C174),"",IF($BL174&lt;&gt;Constants!$B$4,$BL174,IF(ISNUMBER($BT174),RANK($BT174,$BT$9:$BT$508,0),COUNT($BT$9:$BT$508)+1)))</f>
        <v/>
      </c>
      <c r="BV174" s="127" t="str">
        <f aca="false">IF($BL174&lt;&gt;Constants!$B$4,"",IF($BB174="-&gt;",$BF174,$AV174))</f>
        <v/>
      </c>
      <c r="BW174" s="124" t="str">
        <f aca="false">IF(ISBLANK($C174),"",IF($BL174&lt;&gt;Constants!$B$4,$BL174,IF(ISNUMBER($BV174),RANK($BV174,$BV$9:$BV$508,0),COUNT($BV$9:$BV$508)+1)))</f>
        <v/>
      </c>
      <c r="BX174" s="127" t="str">
        <f aca="false">IF($BL174&lt;&gt;Constants!$B$4,"",IF($BB174="-&gt;",$BK174,$BA174))</f>
        <v/>
      </c>
      <c r="BY174" s="124" t="str">
        <f aca="false">IF(ISBLANK($C174),"",IF($BL174&lt;&gt;Constants!$B$4,$BL174,IF(ISNUMBER($BX174),RANK($BX174,$BX$9:$BX$508,0),COUNT($BX$9:$BX$508)+1)))</f>
        <v/>
      </c>
      <c r="BZ174" s="124" t="str">
        <f aca="false">IF(ISBLANK($C174),"",IF($BL174&lt;&gt;Constants!$B$4,$BL174,COUNTIFS($BM$9:$BM$508,"&lt;"&amp;$BM174)+COUNTIFS($BM$9:$BM$508,$BM174,$BP$9:$BP$508,"&lt;"&amp;$BP174)+COUNTIFS($BM$9:$BM$508,$BM174,$BP$9:$BP$508,$BP174,$BS$9:$BS$508,"&lt;"&amp;$BS174)+COUNTIFS($BM$9:$BM$508,$BM174,$BP$9:$BP$508,$BP174,$BS$9:$BS$508,$BS174,$BU$9:$BU$508,"&lt;"&amp;$BU174)+COUNTIFS($BM$9:$BM$508,$BM174,$BP$9:$BP$508,$BP174,$BS$9:$BS$508,$BS174,$BU$9:$BU$508,$BU174,$BW$9:$BW$508,"&lt;"&amp;$BW174)+COUNTIFS($BM$9:$BM$508,$BM174,$BP$9:$BP$508,$BP174,$BS$9:$BS$508,$BS174,$BU$9:$BU$508,$BU174,$BW$9:$BW$508,$BW174,$BY$9:$BY$508,"&lt;"&amp;$BY174)+1))</f>
        <v/>
      </c>
      <c r="CA174" s="124" t="str">
        <f aca="false">IF(ISBLANK($C174),"",IF($BL174&lt;&gt;Constants!$B$4,$BL174,$BQ174-$BZ174))</f>
        <v/>
      </c>
      <c r="CB174" s="130"/>
      <c r="CC174" s="131" t="str">
        <f aca="false">IF(ISBLANK($C174),"",IF($BL174=Constants!$B$8,$AR174,""))</f>
        <v/>
      </c>
      <c r="CD174" s="131" t="str">
        <f aca="false">IF(ISBLANK($C174),"",IF($BL174&lt;&gt;Constants!$B$4,"",IF($BB174="-&gt;",2,1)))</f>
        <v/>
      </c>
      <c r="CE174" s="132" t="str">
        <f aca="false">IF(ISBLANK($C174),"",IF($BL174&lt;&gt;Constants!$B$4,"",IF($BB174="-&gt;",$BE174,$AU174)))</f>
        <v/>
      </c>
      <c r="CF174" s="132" t="str">
        <f aca="false">IF(ISBLANK($C174),"",IF($BL174&lt;&gt;Constants!$B$4,"",IF($BB174="-&gt;",$BF174,$AV174)))</f>
        <v/>
      </c>
      <c r="CG174" s="132" t="str">
        <f aca="false">IF(ISBLANK($C174),"",IF($BL174&lt;&gt;Constants!$B$4,"",IF($BB174="-&gt;",$BG174,$AW174)))</f>
        <v/>
      </c>
      <c r="CH174" s="132" t="str">
        <f aca="false">IF(ISBLANK($C174),"",IF($BL174&lt;&gt;Constants!$B$4,"",IF($BB174="-&gt;",$BH174,$AX174)))</f>
        <v/>
      </c>
      <c r="CI174" s="133" t="str">
        <f aca="false">IF(ISBLANK($C174),"",$BO174)</f>
        <v/>
      </c>
      <c r="CJ174" s="134" t="str">
        <f aca="false">IF(ISBLANK($C174),"",$BM174)</f>
        <v/>
      </c>
      <c r="CK174" s="135" t="str">
        <f aca="false">IF(ISBLANK($C174),"",$CA174)</f>
        <v/>
      </c>
      <c r="CL174" s="135" t="str">
        <f aca="false">IF(ISBLANK($C174),"",$BZ174)</f>
        <v/>
      </c>
      <c r="CM174" s="136" t="str">
        <f aca="false">IF(ISBLANK($C174),"",IF($CL174=Constants!$B$7,COUNTA($C$9:$C$508)+2,IF($CL174=Constants!$B$6,COUNTA($C$9:$C$508)+1,IF($CL174=Constants!$B$5,COUNTA($C$9:$C$508),$CL174))))</f>
        <v/>
      </c>
      <c r="CN174" s="8"/>
      <c r="CO174" s="137" t="n">
        <f aca="false">IF(OR(ISNUMBER($CL174),$CL174=Constants!$B$7,$CL174=Constants!$B$5,$CL174=Constants!$B$6),1,0)</f>
        <v>0</v>
      </c>
      <c r="CP174" s="137" t="n">
        <v>166</v>
      </c>
      <c r="CQ174" s="137" t="str">
        <f aca="false">IF(ISBLANK($C174),"",IF(ISNUMBER($CM174),$CM174+ROW($B174)/1000,""))</f>
        <v/>
      </c>
      <c r="CR174" s="137" t="str">
        <f aca="false">IF(ISNUMBER($CQ174),RANK($CQ174,$CQ$9:$CQ$508,1),"")</f>
        <v/>
      </c>
      <c r="CS174" s="137" t="str">
        <f aca="false">IF(ISBLANK($C174),"",$B174)</f>
        <v/>
      </c>
      <c r="CT174" s="137" t="str">
        <f aca="false">IF(ISBLANK($C174),"",$C174)</f>
        <v/>
      </c>
      <c r="CU174" s="137" t="str">
        <f aca="false">IF(ISBLANK($C174),"",$D174)</f>
        <v/>
      </c>
      <c r="CV174" s="138" t="str">
        <f aca="false">$CJ174</f>
        <v/>
      </c>
      <c r="CW174" s="139" t="str">
        <f aca="false">$CI174</f>
        <v/>
      </c>
      <c r="CX174" s="137" t="str">
        <f aca="false">IF(ISBLANK($C174),"",$CL174)</f>
        <v/>
      </c>
      <c r="CY174" s="140" t="str">
        <f aca="false">IF($CP174&gt;$CO$8,"",VLOOKUP($CP174,$CR$9:$CX$508,7,FALSE()))</f>
        <v/>
      </c>
      <c r="CZ174" s="141" t="str">
        <f aca="false">IF($CP174&gt;$CO$8,"",VLOOKUP($CP174,$CR$9:$CX$508,2,FALSE()))</f>
        <v/>
      </c>
      <c r="DA174" s="141" t="str">
        <f aca="false">IF($CP174&gt;$CO$8,"",VLOOKUP($CP174,$CR$9:$CX$508,3,FALSE()))</f>
        <v/>
      </c>
      <c r="DB174" s="141" t="str">
        <f aca="false">IF($CP174&gt;$CO$8,"",VLOOKUP($CP174,$CR$9:$CX$508,4,FALSE()))</f>
        <v/>
      </c>
      <c r="DC174" s="141" t="str">
        <f aca="false">IF($CP174&gt;$CO$8,"",VLOOKUP($CP174,$CR$9:$CX$508,5,FALSE()))</f>
        <v/>
      </c>
      <c r="DD174" s="142" t="str">
        <f aca="false">IF($CP174&gt;$CO$8,"",VLOOKUP($CP174,$CR$9:$CX$508,6,FALSE()))</f>
        <v/>
      </c>
      <c r="DE174" s="70"/>
    </row>
    <row r="175" customFormat="false" ht="15.75" hidden="false" customHeight="false" outlineLevel="0" collapsed="false">
      <c r="A175" s="8"/>
      <c r="B175" s="146"/>
      <c r="C175" s="147"/>
      <c r="D175" s="148"/>
      <c r="E175" s="164"/>
      <c r="F175" s="150"/>
      <c r="G175" s="115"/>
      <c r="H175" s="115"/>
      <c r="I175" s="115"/>
      <c r="J175" s="165"/>
      <c r="K175" s="154"/>
      <c r="L175" s="154"/>
      <c r="M175" s="118"/>
      <c r="N175" s="154"/>
      <c r="O175" s="153"/>
      <c r="P175" s="154"/>
      <c r="Q175" s="154"/>
      <c r="R175" s="154"/>
      <c r="S175" s="115"/>
      <c r="T175" s="154"/>
      <c r="U175" s="153"/>
      <c r="V175" s="154"/>
      <c r="W175" s="123"/>
      <c r="X175" s="124" t="str">
        <f aca="false">IF(ISBLANK($C175),"",IF($E175=Constants!$B$2,TRUE(),IF($E175=Constants!$B$3,FALSE(),TRUE())))</f>
        <v/>
      </c>
      <c r="Y175" s="124" t="str">
        <f aca="false">IF(ISBLANK($C175),"",IF($F175=Constants!$B$2,TRUE(),IF($F175=Constants!$B$3,FALSE(),TRUE())))</f>
        <v/>
      </c>
      <c r="Z175" s="125" t="str">
        <f aca="false">IF(ISBLANK($C175),"",IF(ISNUMBER($G175),IF($G175&gt;=0,$G175,""),""))</f>
        <v/>
      </c>
      <c r="AA175" s="125" t="str">
        <f aca="false">IF(ISBLANK($C175),"",IF(ISNUMBER($H175),IF($H175&gt;=0,$H175,""),""))</f>
        <v/>
      </c>
      <c r="AB175" s="125" t="str">
        <f aca="false">IF(ISBLANK($C175),"",IF(ISNUMBER($I175),IF($I175&gt;=0,$I175,""),""))</f>
        <v/>
      </c>
      <c r="AC175" s="124" t="str">
        <f aca="false">IF(ISBLANK($C175),"",IF($J175=Constants!$B$2,TRUE(),IF($J175=Constants!$B$3,FALSE(),TRUE())))</f>
        <v/>
      </c>
      <c r="AD175" s="124" t="str">
        <f aca="false">IF(ISBLANK($C175),"",IF($K175=Constants!$B$2,TRUE(),IF($K175=Constants!$B$3,FALSE(),TRUE())))</f>
        <v/>
      </c>
      <c r="AE175" s="124" t="str">
        <f aca="false">IF(ISBLANK($C175),"",IF($L175=Constants!$B$2,TRUE(),IF($L175=Constants!$B$3,FALSE(),TRUE())))</f>
        <v/>
      </c>
      <c r="AF175" s="126" t="str">
        <f aca="false">IF(ISBLANK($C175),"",IF(ISNUMBER($M175),IF($M175&gt;=0,$M175,""),""))</f>
        <v/>
      </c>
      <c r="AG175" s="124" t="str">
        <f aca="false">IF(ISBLANK($C175),"",IF(ISBLANK($N175),0,IF(ISNUMBER($N175),IF(AND($N175&gt;=0,$N175&lt;=Constants!$B$17,$N175=INT($N175)),$N175,""),"")))</f>
        <v/>
      </c>
      <c r="AH175" s="125" t="str">
        <f aca="false">IF(ISBLANK($C175),"",IF(ISBLANK($O175),0,IF(ISNUMBER($O175),IF($O175&gt;=0,$O175,""),"")))</f>
        <v/>
      </c>
      <c r="AI175" s="124" t="str">
        <f aca="false">IF(ISBLANK($C175),"",IF($P175=Constants!$B$2,TRUE(),IF($P175=Constants!$B$3,FALSE(),TRUE())))</f>
        <v/>
      </c>
      <c r="AJ175" s="124" t="str">
        <f aca="false">IF(ISBLANK($C175),"",IF($Q175=Constants!$B$2,TRUE(),IF($Q175=Constants!$B$3,FALSE(),TRUE())))</f>
        <v/>
      </c>
      <c r="AK175" s="124" t="str">
        <f aca="false">IF(ISBLANK($C175),"",IF($R175=Constants!$B$2,TRUE(),IF($R175=Constants!$B$3,FALSE(),TRUE())))</f>
        <v/>
      </c>
      <c r="AL175" s="126" t="str">
        <f aca="false">IF(ISBLANK($C175),"",IF(ISNUMBER($S175),IF($S175&gt;=0,$S175,""),""))</f>
        <v/>
      </c>
      <c r="AM175" s="124" t="str">
        <f aca="false">IF(ISBLANK($C175),"",IF(ISBLANK($T175),0,IF(ISNUMBER($T175),IF(AND($T175&gt;=0,$T175&lt;=Constants!$B$17,$T175=INT($T175)),$T175,""),"")))</f>
        <v/>
      </c>
      <c r="AN175" s="125" t="str">
        <f aca="false">IF(ISBLANK($C175),"",IF(ISBLANK($U175),0,IF(ISNUMBER($U175),IF($U175&gt;=0,$U175,""),"")))</f>
        <v/>
      </c>
      <c r="AO175" s="124" t="str">
        <f aca="false">IF(ISBLANK($C175),"",IF($V175=Constants!$B$2,TRUE(),IF($V175=Constants!$B$3,FALSE(),FALSE())))</f>
        <v/>
      </c>
      <c r="AP175" s="124"/>
      <c r="AQ175" s="123" t="str">
        <f aca="false">IF(ISBLANK($C175),"",AND($Y175,OR($AS175,$BC175),OR($Z175="",$AA175="",$AB175="")))</f>
        <v/>
      </c>
      <c r="AR175" s="123" t="str">
        <f aca="false">IF(ISBLANK($C175),"",IF(OR(NOT($Y175),NOT(OR($AS175,$BC175))),"",IF(ISBLANK($D$7),$AR$5,IF($AP$9="",$AR$6,""))))</f>
        <v/>
      </c>
      <c r="AS175" s="123" t="str">
        <f aca="false">IF(ISBLANK($C175),"",COUNTA($J175:$O175)&gt;0)</f>
        <v/>
      </c>
      <c r="AT175" s="123" t="str">
        <f aca="false">IF(ISBLANK($C175),"",AND($AS175,OR(AND($AF175="",OR($AE175,NOT(ISBLANK($M175)))),$AG175="",$AH175="")))</f>
        <v/>
      </c>
      <c r="AU175" s="125" t="str">
        <f aca="false">IF($BL175&lt;&gt;Constants!$B$4,"",IF(NOT($AS175),"",ROUND((Constants!$B$12-$AB175)+(Constants!$B$13-$Z175)+(Constants!$B$14-$AA175),1)))</f>
        <v/>
      </c>
      <c r="AV175" s="127" t="str">
        <f aca="false">IF($BL175&lt;&gt;Constants!$B$4,"",IF(NOT($AS175),"",IF(NOT($AE175),0,Constants!$B$15*(INT(ROUND(MIN($AF175,$AP$9),6))-INT(ROUND(MAX(0,MIN($AF175,2*$AP$9)-$AP$9),6))))))</f>
        <v/>
      </c>
      <c r="AW175" s="127" t="str">
        <f aca="false">IF($BL175&lt;&gt;Constants!$B$4,"",IF(NOT($AS175),"",Constants!$B$16*$AG175))</f>
        <v/>
      </c>
      <c r="AX175" s="127" t="str">
        <f aca="false">IF($BL175&lt;&gt;Constants!$B$4,"",IF(NOT($AS175),"",Constants!$B$18*INT(ROUND($AH175,6))))</f>
        <v/>
      </c>
      <c r="AY175" s="123" t="str">
        <f aca="false">IF($BL175&lt;&gt;Constants!$B$4,"",IF(NOT($AS175),"",IF(NOT($X175),Constants!$B$11,IF(OR(NOT($AC175),NOT($AD175),ROUND($AB175,1)&gt;Constants!$B$12,ROUND($Z175,1)&gt;Constants!$B$13,ROUND($AA175,1)&gt;Constants!$B$14),Constants!$B$10,Constants!$B$9))))</f>
        <v/>
      </c>
      <c r="AZ175" s="128" t="str">
        <f aca="false">IF($BL175&lt;&gt;Constants!$B$4,"",IF(NOT($AS175),"",ROUND($AU175+$AV175+$AW175+$AX175,1)))</f>
        <v/>
      </c>
      <c r="BA175" s="129" t="str">
        <f aca="false">IF($BL175&lt;&gt;Constants!$B$4,"",IF(NOT($AS175),"",IF(ISNUMBER($AF175),$AF175,0)))</f>
        <v/>
      </c>
      <c r="BB175" s="124" t="str">
        <f aca="false">IF($BL175&lt;&gt;Constants!$B$4,"",IF(NOT($BC175),"&lt;-",IF(NOT($AS175),"-&gt;",IF(OR($BI175&lt;$AY175,AND($BI175=$AY175,OR($BJ175&gt;$AZ175,AND($BJ175=$AZ175,OR($BH175&gt;$AX175,AND($BH175=$AX175,OR($BE175&gt;$AU175,AND($BE175=$AU175,OR($BF175&gt;$AV175,AND($BF175=$AV175,$BK175&gt;$BA175)))))))))),"-&gt;","&lt;-"))))</f>
        <v/>
      </c>
      <c r="BC175" s="123" t="str">
        <f aca="false">IF(ISBLANK($C175),"",COUNTA($P175:$U175)&gt;0)</f>
        <v/>
      </c>
      <c r="BD175" s="123" t="str">
        <f aca="false">IF(ISBLANK($C175),"",AND($BC175,OR(AND($AL175="",OR($AK175,NOT(ISBLANK($S175)))),$AM175="",$AN175="")))</f>
        <v/>
      </c>
      <c r="BE175" s="125" t="str">
        <f aca="false">IF($BL175&lt;&gt;Constants!$B$4,"",IF(NOT($BC175),"",ROUND((Constants!$B$12-$AB175)+(Constants!$B$13-$Z175)+(Constants!$B$14-$AA175),1)))</f>
        <v/>
      </c>
      <c r="BF175" s="127" t="str">
        <f aca="false">IF($BL175&lt;&gt;Constants!$B$4,"",IF(NOT($BC175),"",IF(NOT($AK175),0,Constants!$B$15*(INT(ROUND(MIN($AL175,$AP$9),6))-INT(ROUND(MAX(0,MIN($AL175,2*$AP$9)-$AP$9),6))))))</f>
        <v/>
      </c>
      <c r="BG175" s="127" t="str">
        <f aca="false">IF($BL175&lt;&gt;Constants!$B$4,"",IF(NOT($BC175),"",Constants!$B$16*$AM175))</f>
        <v/>
      </c>
      <c r="BH175" s="127" t="str">
        <f aca="false">IF($BL175&lt;&gt;Constants!$B$4,"",IF(NOT($BC175),"",Constants!$B$18*INT(ROUND($AN175,6))))</f>
        <v/>
      </c>
      <c r="BI175" s="123" t="str">
        <f aca="false">IF($BL175&lt;&gt;Constants!$B$4,"",IF(NOT($BC175),"",IF(NOT($X175),Constants!$B$11,IF(OR(NOT($AI175),NOT($AJ175),ROUND($AB175,1)&gt;Constants!$B$12,ROUND($Z175,1)&gt;Constants!$B$13,ROUND($AA175,1)&gt;Constants!$B$14),Constants!$B$10,Constants!$B$9))))</f>
        <v/>
      </c>
      <c r="BJ175" s="128" t="str">
        <f aca="false">IF($BL175&lt;&gt;Constants!$B$4,"",IF(NOT($BC175),"",ROUND($BE175+$BF175+$BG175+$BH175,1)))</f>
        <v/>
      </c>
      <c r="BK175" s="129" t="str">
        <f aca="false">IF($BL175&lt;&gt;Constants!$B$4,"",IF(NOT($BC175),"",IF(ISNUMBER($AL175),$AL175,0)))</f>
        <v/>
      </c>
      <c r="BL175" s="124" t="str">
        <f aca="false">IF(ISBLANK($C175),"",IF($AO175,Constants!$B$7,IF(COUNTA($E175:$V175)=0,Constants!$B$6,IF(NOT($Y175),Constants!$B$5,IF(NOT(OR($AS175,$BC175)),Constants!$B$5,IF(OR($AT175,$BD175,$AQ175,$AR175&lt;&gt;""),Constants!$B$8,Constants!$B$4))))))</f>
        <v/>
      </c>
      <c r="BM175" s="124" t="str">
        <f aca="false">IF(ISBLANK($C175),"",IF($BL175&lt;&gt;Constants!$B$4,$BL175,IF($BB175="-&gt;",$BI175,$AY175)))</f>
        <v/>
      </c>
      <c r="BN175" s="127" t="str">
        <f aca="false">IF($BL175&lt;&gt;Constants!$B$4,"",IF($BB175="-&gt;",$BJ175,$AZ175))</f>
        <v/>
      </c>
      <c r="BO175" s="127" t="str">
        <f aca="false">IF(ISBLANK($C175),"",IF($BL175&lt;&gt;Constants!$B$4,$BL175,$BN175))</f>
        <v/>
      </c>
      <c r="BP175" s="124" t="str">
        <f aca="false">IF(ISBLANK($C175),"",IF($BL175&lt;&gt;Constants!$B$4,$BL175,RANK($BO175,$BO$9:$BO$508,0)))</f>
        <v/>
      </c>
      <c r="BQ175" s="124" t="str">
        <f aca="false">IF(ISBLANK($C175),"",IF($BL175&lt;&gt;Constants!$B$4,$BL175,COUNTIFS($BM$9:$BM$508,"&lt;"&amp;$BM175)+COUNTIFS($BM$9:$BM$508,$BM175,$BP$9:$BP$508,"&lt;"&amp;$BP175)+1))</f>
        <v/>
      </c>
      <c r="BR175" s="127" t="str">
        <f aca="false">IF($BL175&lt;&gt;Constants!$B$4,"",IF($BB175="-&gt;",$BH175,$AX175))</f>
        <v/>
      </c>
      <c r="BS175" s="124" t="str">
        <f aca="false">IF(ISBLANK($C175),"",IF($BL175&lt;&gt;Constants!$B$4,$BL175,IF(ISNUMBER($BR175),RANK($BR175,$BR$9:$BR$508,0),COUNT($BR$9:$BR$508)+1)))</f>
        <v/>
      </c>
      <c r="BT175" s="127" t="str">
        <f aca="false">IF($BL175&lt;&gt;Constants!$B$4,"",IF($BB175="-&gt;",$BE175,$AU175))</f>
        <v/>
      </c>
      <c r="BU175" s="124" t="str">
        <f aca="false">IF(ISBLANK($C175),"",IF($BL175&lt;&gt;Constants!$B$4,$BL175,IF(ISNUMBER($BT175),RANK($BT175,$BT$9:$BT$508,0),COUNT($BT$9:$BT$508)+1)))</f>
        <v/>
      </c>
      <c r="BV175" s="127" t="str">
        <f aca="false">IF($BL175&lt;&gt;Constants!$B$4,"",IF($BB175="-&gt;",$BF175,$AV175))</f>
        <v/>
      </c>
      <c r="BW175" s="124" t="str">
        <f aca="false">IF(ISBLANK($C175),"",IF($BL175&lt;&gt;Constants!$B$4,$BL175,IF(ISNUMBER($BV175),RANK($BV175,$BV$9:$BV$508,0),COUNT($BV$9:$BV$508)+1)))</f>
        <v/>
      </c>
      <c r="BX175" s="127" t="str">
        <f aca="false">IF($BL175&lt;&gt;Constants!$B$4,"",IF($BB175="-&gt;",$BK175,$BA175))</f>
        <v/>
      </c>
      <c r="BY175" s="124" t="str">
        <f aca="false">IF(ISBLANK($C175),"",IF($BL175&lt;&gt;Constants!$B$4,$BL175,IF(ISNUMBER($BX175),RANK($BX175,$BX$9:$BX$508,0),COUNT($BX$9:$BX$508)+1)))</f>
        <v/>
      </c>
      <c r="BZ175" s="124" t="str">
        <f aca="false">IF(ISBLANK($C175),"",IF($BL175&lt;&gt;Constants!$B$4,$BL175,COUNTIFS($BM$9:$BM$508,"&lt;"&amp;$BM175)+COUNTIFS($BM$9:$BM$508,$BM175,$BP$9:$BP$508,"&lt;"&amp;$BP175)+COUNTIFS($BM$9:$BM$508,$BM175,$BP$9:$BP$508,$BP175,$BS$9:$BS$508,"&lt;"&amp;$BS175)+COUNTIFS($BM$9:$BM$508,$BM175,$BP$9:$BP$508,$BP175,$BS$9:$BS$508,$BS175,$BU$9:$BU$508,"&lt;"&amp;$BU175)+COUNTIFS($BM$9:$BM$508,$BM175,$BP$9:$BP$508,$BP175,$BS$9:$BS$508,$BS175,$BU$9:$BU$508,$BU175,$BW$9:$BW$508,"&lt;"&amp;$BW175)+COUNTIFS($BM$9:$BM$508,$BM175,$BP$9:$BP$508,$BP175,$BS$9:$BS$508,$BS175,$BU$9:$BU$508,$BU175,$BW$9:$BW$508,$BW175,$BY$9:$BY$508,"&lt;"&amp;$BY175)+1))</f>
        <v/>
      </c>
      <c r="CA175" s="124" t="str">
        <f aca="false">IF(ISBLANK($C175),"",IF($BL175&lt;&gt;Constants!$B$4,$BL175,$BQ175-$BZ175))</f>
        <v/>
      </c>
      <c r="CB175" s="130"/>
      <c r="CC175" s="131" t="str">
        <f aca="false">IF(ISBLANK($C175),"",IF($BL175=Constants!$B$8,$AR175,""))</f>
        <v/>
      </c>
      <c r="CD175" s="131" t="str">
        <f aca="false">IF(ISBLANK($C175),"",IF($BL175&lt;&gt;Constants!$B$4,"",IF($BB175="-&gt;",2,1)))</f>
        <v/>
      </c>
      <c r="CE175" s="132" t="str">
        <f aca="false">IF(ISBLANK($C175),"",IF($BL175&lt;&gt;Constants!$B$4,"",IF($BB175="-&gt;",$BE175,$AU175)))</f>
        <v/>
      </c>
      <c r="CF175" s="132" t="str">
        <f aca="false">IF(ISBLANK($C175),"",IF($BL175&lt;&gt;Constants!$B$4,"",IF($BB175="-&gt;",$BF175,$AV175)))</f>
        <v/>
      </c>
      <c r="CG175" s="132" t="str">
        <f aca="false">IF(ISBLANK($C175),"",IF($BL175&lt;&gt;Constants!$B$4,"",IF($BB175="-&gt;",$BG175,$AW175)))</f>
        <v/>
      </c>
      <c r="CH175" s="132" t="str">
        <f aca="false">IF(ISBLANK($C175),"",IF($BL175&lt;&gt;Constants!$B$4,"",IF($BB175="-&gt;",$BH175,$AX175)))</f>
        <v/>
      </c>
      <c r="CI175" s="133" t="str">
        <f aca="false">IF(ISBLANK($C175),"",$BO175)</f>
        <v/>
      </c>
      <c r="CJ175" s="134" t="str">
        <f aca="false">IF(ISBLANK($C175),"",$BM175)</f>
        <v/>
      </c>
      <c r="CK175" s="135" t="str">
        <f aca="false">IF(ISBLANK($C175),"",$CA175)</f>
        <v/>
      </c>
      <c r="CL175" s="135" t="str">
        <f aca="false">IF(ISBLANK($C175),"",$BZ175)</f>
        <v/>
      </c>
      <c r="CM175" s="136" t="str">
        <f aca="false">IF(ISBLANK($C175),"",IF($CL175=Constants!$B$7,COUNTA($C$9:$C$508)+2,IF($CL175=Constants!$B$6,COUNTA($C$9:$C$508)+1,IF($CL175=Constants!$B$5,COUNTA($C$9:$C$508),$CL175))))</f>
        <v/>
      </c>
      <c r="CN175" s="8"/>
      <c r="CO175" s="137" t="n">
        <f aca="false">IF(OR(ISNUMBER($CL175),$CL175=Constants!$B$7,$CL175=Constants!$B$5,$CL175=Constants!$B$6),1,0)</f>
        <v>0</v>
      </c>
      <c r="CP175" s="137" t="n">
        <v>167</v>
      </c>
      <c r="CQ175" s="137" t="str">
        <f aca="false">IF(ISBLANK($C175),"",IF(ISNUMBER($CM175),$CM175+ROW($B175)/1000,""))</f>
        <v/>
      </c>
      <c r="CR175" s="137" t="str">
        <f aca="false">IF(ISNUMBER($CQ175),RANK($CQ175,$CQ$9:$CQ$508,1),"")</f>
        <v/>
      </c>
      <c r="CS175" s="137" t="str">
        <f aca="false">IF(ISBLANK($C175),"",$B175)</f>
        <v/>
      </c>
      <c r="CT175" s="137" t="str">
        <f aca="false">IF(ISBLANK($C175),"",$C175)</f>
        <v/>
      </c>
      <c r="CU175" s="137" t="str">
        <f aca="false">IF(ISBLANK($C175),"",$D175)</f>
        <v/>
      </c>
      <c r="CV175" s="138" t="str">
        <f aca="false">$CJ175</f>
        <v/>
      </c>
      <c r="CW175" s="139" t="str">
        <f aca="false">$CI175</f>
        <v/>
      </c>
      <c r="CX175" s="137" t="str">
        <f aca="false">IF(ISBLANK($C175),"",$CL175)</f>
        <v/>
      </c>
      <c r="CY175" s="140" t="str">
        <f aca="false">IF($CP175&gt;$CO$8,"",VLOOKUP($CP175,$CR$9:$CX$508,7,FALSE()))</f>
        <v/>
      </c>
      <c r="CZ175" s="141" t="str">
        <f aca="false">IF($CP175&gt;$CO$8,"",VLOOKUP($CP175,$CR$9:$CX$508,2,FALSE()))</f>
        <v/>
      </c>
      <c r="DA175" s="141" t="str">
        <f aca="false">IF($CP175&gt;$CO$8,"",VLOOKUP($CP175,$CR$9:$CX$508,3,FALSE()))</f>
        <v/>
      </c>
      <c r="DB175" s="141" t="str">
        <f aca="false">IF($CP175&gt;$CO$8,"",VLOOKUP($CP175,$CR$9:$CX$508,4,FALSE()))</f>
        <v/>
      </c>
      <c r="DC175" s="141" t="str">
        <f aca="false">IF($CP175&gt;$CO$8,"",VLOOKUP($CP175,$CR$9:$CX$508,5,FALSE()))</f>
        <v/>
      </c>
      <c r="DD175" s="142" t="str">
        <f aca="false">IF($CP175&gt;$CO$8,"",VLOOKUP($CP175,$CR$9:$CX$508,6,FALSE()))</f>
        <v/>
      </c>
      <c r="DE175" s="70"/>
    </row>
    <row r="176" customFormat="false" ht="15.75" hidden="false" customHeight="false" outlineLevel="0" collapsed="false">
      <c r="A176" s="8"/>
      <c r="B176" s="146"/>
      <c r="C176" s="147"/>
      <c r="D176" s="148"/>
      <c r="E176" s="164"/>
      <c r="F176" s="150"/>
      <c r="G176" s="115"/>
      <c r="H176" s="115"/>
      <c r="I176" s="115"/>
      <c r="J176" s="165"/>
      <c r="K176" s="154"/>
      <c r="L176" s="154"/>
      <c r="M176" s="118"/>
      <c r="N176" s="154"/>
      <c r="O176" s="153"/>
      <c r="P176" s="154"/>
      <c r="Q176" s="154"/>
      <c r="R176" s="154"/>
      <c r="S176" s="115"/>
      <c r="T176" s="154"/>
      <c r="U176" s="153"/>
      <c r="V176" s="154"/>
      <c r="W176" s="123"/>
      <c r="X176" s="124" t="str">
        <f aca="false">IF(ISBLANK($C176),"",IF($E176=Constants!$B$2,TRUE(),IF($E176=Constants!$B$3,FALSE(),TRUE())))</f>
        <v/>
      </c>
      <c r="Y176" s="124" t="str">
        <f aca="false">IF(ISBLANK($C176),"",IF($F176=Constants!$B$2,TRUE(),IF($F176=Constants!$B$3,FALSE(),TRUE())))</f>
        <v/>
      </c>
      <c r="Z176" s="125" t="str">
        <f aca="false">IF(ISBLANK($C176),"",IF(ISNUMBER($G176),IF($G176&gt;=0,$G176,""),""))</f>
        <v/>
      </c>
      <c r="AA176" s="125" t="str">
        <f aca="false">IF(ISBLANK($C176),"",IF(ISNUMBER($H176),IF($H176&gt;=0,$H176,""),""))</f>
        <v/>
      </c>
      <c r="AB176" s="125" t="str">
        <f aca="false">IF(ISBLANK($C176),"",IF(ISNUMBER($I176),IF($I176&gt;=0,$I176,""),""))</f>
        <v/>
      </c>
      <c r="AC176" s="124" t="str">
        <f aca="false">IF(ISBLANK($C176),"",IF($J176=Constants!$B$2,TRUE(),IF($J176=Constants!$B$3,FALSE(),TRUE())))</f>
        <v/>
      </c>
      <c r="AD176" s="124" t="str">
        <f aca="false">IF(ISBLANK($C176),"",IF($K176=Constants!$B$2,TRUE(),IF($K176=Constants!$B$3,FALSE(),TRUE())))</f>
        <v/>
      </c>
      <c r="AE176" s="124" t="str">
        <f aca="false">IF(ISBLANK($C176),"",IF($L176=Constants!$B$2,TRUE(),IF($L176=Constants!$B$3,FALSE(),TRUE())))</f>
        <v/>
      </c>
      <c r="AF176" s="126" t="str">
        <f aca="false">IF(ISBLANK($C176),"",IF(ISNUMBER($M176),IF($M176&gt;=0,$M176,""),""))</f>
        <v/>
      </c>
      <c r="AG176" s="124" t="str">
        <f aca="false">IF(ISBLANK($C176),"",IF(ISBLANK($N176),0,IF(ISNUMBER($N176),IF(AND($N176&gt;=0,$N176&lt;=Constants!$B$17,$N176=INT($N176)),$N176,""),"")))</f>
        <v/>
      </c>
      <c r="AH176" s="125" t="str">
        <f aca="false">IF(ISBLANK($C176),"",IF(ISBLANK($O176),0,IF(ISNUMBER($O176),IF($O176&gt;=0,$O176,""),"")))</f>
        <v/>
      </c>
      <c r="AI176" s="124" t="str">
        <f aca="false">IF(ISBLANK($C176),"",IF($P176=Constants!$B$2,TRUE(),IF($P176=Constants!$B$3,FALSE(),TRUE())))</f>
        <v/>
      </c>
      <c r="AJ176" s="124" t="str">
        <f aca="false">IF(ISBLANK($C176),"",IF($Q176=Constants!$B$2,TRUE(),IF($Q176=Constants!$B$3,FALSE(),TRUE())))</f>
        <v/>
      </c>
      <c r="AK176" s="124" t="str">
        <f aca="false">IF(ISBLANK($C176),"",IF($R176=Constants!$B$2,TRUE(),IF($R176=Constants!$B$3,FALSE(),TRUE())))</f>
        <v/>
      </c>
      <c r="AL176" s="126" t="str">
        <f aca="false">IF(ISBLANK($C176),"",IF(ISNUMBER($S176),IF($S176&gt;=0,$S176,""),""))</f>
        <v/>
      </c>
      <c r="AM176" s="124" t="str">
        <f aca="false">IF(ISBLANK($C176),"",IF(ISBLANK($T176),0,IF(ISNUMBER($T176),IF(AND($T176&gt;=0,$T176&lt;=Constants!$B$17,$T176=INT($T176)),$T176,""),"")))</f>
        <v/>
      </c>
      <c r="AN176" s="125" t="str">
        <f aca="false">IF(ISBLANK($C176),"",IF(ISBLANK($U176),0,IF(ISNUMBER($U176),IF($U176&gt;=0,$U176,""),"")))</f>
        <v/>
      </c>
      <c r="AO176" s="124" t="str">
        <f aca="false">IF(ISBLANK($C176),"",IF($V176=Constants!$B$2,TRUE(),IF($V176=Constants!$B$3,FALSE(),FALSE())))</f>
        <v/>
      </c>
      <c r="AP176" s="124"/>
      <c r="AQ176" s="123" t="str">
        <f aca="false">IF(ISBLANK($C176),"",AND($Y176,OR($AS176,$BC176),OR($Z176="",$AA176="",$AB176="")))</f>
        <v/>
      </c>
      <c r="AR176" s="123" t="str">
        <f aca="false">IF(ISBLANK($C176),"",IF(OR(NOT($Y176),NOT(OR($AS176,$BC176))),"",IF(ISBLANK($D$7),$AR$5,IF($AP$9="",$AR$6,""))))</f>
        <v/>
      </c>
      <c r="AS176" s="123" t="str">
        <f aca="false">IF(ISBLANK($C176),"",COUNTA($J176:$O176)&gt;0)</f>
        <v/>
      </c>
      <c r="AT176" s="123" t="str">
        <f aca="false">IF(ISBLANK($C176),"",AND($AS176,OR(AND($AF176="",OR($AE176,NOT(ISBLANK($M176)))),$AG176="",$AH176="")))</f>
        <v/>
      </c>
      <c r="AU176" s="125" t="str">
        <f aca="false">IF($BL176&lt;&gt;Constants!$B$4,"",IF(NOT($AS176),"",ROUND((Constants!$B$12-$AB176)+(Constants!$B$13-$Z176)+(Constants!$B$14-$AA176),1)))</f>
        <v/>
      </c>
      <c r="AV176" s="127" t="str">
        <f aca="false">IF($BL176&lt;&gt;Constants!$B$4,"",IF(NOT($AS176),"",IF(NOT($AE176),0,Constants!$B$15*(INT(ROUND(MIN($AF176,$AP$9),6))-INT(ROUND(MAX(0,MIN($AF176,2*$AP$9)-$AP$9),6))))))</f>
        <v/>
      </c>
      <c r="AW176" s="127" t="str">
        <f aca="false">IF($BL176&lt;&gt;Constants!$B$4,"",IF(NOT($AS176),"",Constants!$B$16*$AG176))</f>
        <v/>
      </c>
      <c r="AX176" s="127" t="str">
        <f aca="false">IF($BL176&lt;&gt;Constants!$B$4,"",IF(NOT($AS176),"",Constants!$B$18*INT(ROUND($AH176,6))))</f>
        <v/>
      </c>
      <c r="AY176" s="123" t="str">
        <f aca="false">IF($BL176&lt;&gt;Constants!$B$4,"",IF(NOT($AS176),"",IF(NOT($X176),Constants!$B$11,IF(OR(NOT($AC176),NOT($AD176),ROUND($AB176,1)&gt;Constants!$B$12,ROUND($Z176,1)&gt;Constants!$B$13,ROUND($AA176,1)&gt;Constants!$B$14),Constants!$B$10,Constants!$B$9))))</f>
        <v/>
      </c>
      <c r="AZ176" s="128" t="str">
        <f aca="false">IF($BL176&lt;&gt;Constants!$B$4,"",IF(NOT($AS176),"",ROUND($AU176+$AV176+$AW176+$AX176,1)))</f>
        <v/>
      </c>
      <c r="BA176" s="129" t="str">
        <f aca="false">IF($BL176&lt;&gt;Constants!$B$4,"",IF(NOT($AS176),"",IF(ISNUMBER($AF176),$AF176,0)))</f>
        <v/>
      </c>
      <c r="BB176" s="124" t="str">
        <f aca="false">IF($BL176&lt;&gt;Constants!$B$4,"",IF(NOT($BC176),"&lt;-",IF(NOT($AS176),"-&gt;",IF(OR($BI176&lt;$AY176,AND($BI176=$AY176,OR($BJ176&gt;$AZ176,AND($BJ176=$AZ176,OR($BH176&gt;$AX176,AND($BH176=$AX176,OR($BE176&gt;$AU176,AND($BE176=$AU176,OR($BF176&gt;$AV176,AND($BF176=$AV176,$BK176&gt;$BA176)))))))))),"-&gt;","&lt;-"))))</f>
        <v/>
      </c>
      <c r="BC176" s="123" t="str">
        <f aca="false">IF(ISBLANK($C176),"",COUNTA($P176:$U176)&gt;0)</f>
        <v/>
      </c>
      <c r="BD176" s="123" t="str">
        <f aca="false">IF(ISBLANK($C176),"",AND($BC176,OR(AND($AL176="",OR($AK176,NOT(ISBLANK($S176)))),$AM176="",$AN176="")))</f>
        <v/>
      </c>
      <c r="BE176" s="125" t="str">
        <f aca="false">IF($BL176&lt;&gt;Constants!$B$4,"",IF(NOT($BC176),"",ROUND((Constants!$B$12-$AB176)+(Constants!$B$13-$Z176)+(Constants!$B$14-$AA176),1)))</f>
        <v/>
      </c>
      <c r="BF176" s="127" t="str">
        <f aca="false">IF($BL176&lt;&gt;Constants!$B$4,"",IF(NOT($BC176),"",IF(NOT($AK176),0,Constants!$B$15*(INT(ROUND(MIN($AL176,$AP$9),6))-INT(ROUND(MAX(0,MIN($AL176,2*$AP$9)-$AP$9),6))))))</f>
        <v/>
      </c>
      <c r="BG176" s="127" t="str">
        <f aca="false">IF($BL176&lt;&gt;Constants!$B$4,"",IF(NOT($BC176),"",Constants!$B$16*$AM176))</f>
        <v/>
      </c>
      <c r="BH176" s="127" t="str">
        <f aca="false">IF($BL176&lt;&gt;Constants!$B$4,"",IF(NOT($BC176),"",Constants!$B$18*INT(ROUND($AN176,6))))</f>
        <v/>
      </c>
      <c r="BI176" s="123" t="str">
        <f aca="false">IF($BL176&lt;&gt;Constants!$B$4,"",IF(NOT($BC176),"",IF(NOT($X176),Constants!$B$11,IF(OR(NOT($AI176),NOT($AJ176),ROUND($AB176,1)&gt;Constants!$B$12,ROUND($Z176,1)&gt;Constants!$B$13,ROUND($AA176,1)&gt;Constants!$B$14),Constants!$B$10,Constants!$B$9))))</f>
        <v/>
      </c>
      <c r="BJ176" s="128" t="str">
        <f aca="false">IF($BL176&lt;&gt;Constants!$B$4,"",IF(NOT($BC176),"",ROUND($BE176+$BF176+$BG176+$BH176,1)))</f>
        <v/>
      </c>
      <c r="BK176" s="129" t="str">
        <f aca="false">IF($BL176&lt;&gt;Constants!$B$4,"",IF(NOT($BC176),"",IF(ISNUMBER($AL176),$AL176,0)))</f>
        <v/>
      </c>
      <c r="BL176" s="124" t="str">
        <f aca="false">IF(ISBLANK($C176),"",IF($AO176,Constants!$B$7,IF(COUNTA($E176:$V176)=0,Constants!$B$6,IF(NOT($Y176),Constants!$B$5,IF(NOT(OR($AS176,$BC176)),Constants!$B$5,IF(OR($AT176,$BD176,$AQ176,$AR176&lt;&gt;""),Constants!$B$8,Constants!$B$4))))))</f>
        <v/>
      </c>
      <c r="BM176" s="124" t="str">
        <f aca="false">IF(ISBLANK($C176),"",IF($BL176&lt;&gt;Constants!$B$4,$BL176,IF($BB176="-&gt;",$BI176,$AY176)))</f>
        <v/>
      </c>
      <c r="BN176" s="127" t="str">
        <f aca="false">IF($BL176&lt;&gt;Constants!$B$4,"",IF($BB176="-&gt;",$BJ176,$AZ176))</f>
        <v/>
      </c>
      <c r="BO176" s="127" t="str">
        <f aca="false">IF(ISBLANK($C176),"",IF($BL176&lt;&gt;Constants!$B$4,$BL176,$BN176))</f>
        <v/>
      </c>
      <c r="BP176" s="124" t="str">
        <f aca="false">IF(ISBLANK($C176),"",IF($BL176&lt;&gt;Constants!$B$4,$BL176,RANK($BO176,$BO$9:$BO$508,0)))</f>
        <v/>
      </c>
      <c r="BQ176" s="124" t="str">
        <f aca="false">IF(ISBLANK($C176),"",IF($BL176&lt;&gt;Constants!$B$4,$BL176,COUNTIFS($BM$9:$BM$508,"&lt;"&amp;$BM176)+COUNTIFS($BM$9:$BM$508,$BM176,$BP$9:$BP$508,"&lt;"&amp;$BP176)+1))</f>
        <v/>
      </c>
      <c r="BR176" s="127" t="str">
        <f aca="false">IF($BL176&lt;&gt;Constants!$B$4,"",IF($BB176="-&gt;",$BH176,$AX176))</f>
        <v/>
      </c>
      <c r="BS176" s="124" t="str">
        <f aca="false">IF(ISBLANK($C176),"",IF($BL176&lt;&gt;Constants!$B$4,$BL176,IF(ISNUMBER($BR176),RANK($BR176,$BR$9:$BR$508,0),COUNT($BR$9:$BR$508)+1)))</f>
        <v/>
      </c>
      <c r="BT176" s="127" t="str">
        <f aca="false">IF($BL176&lt;&gt;Constants!$B$4,"",IF($BB176="-&gt;",$BE176,$AU176))</f>
        <v/>
      </c>
      <c r="BU176" s="124" t="str">
        <f aca="false">IF(ISBLANK($C176),"",IF($BL176&lt;&gt;Constants!$B$4,$BL176,IF(ISNUMBER($BT176),RANK($BT176,$BT$9:$BT$508,0),COUNT($BT$9:$BT$508)+1)))</f>
        <v/>
      </c>
      <c r="BV176" s="127" t="str">
        <f aca="false">IF($BL176&lt;&gt;Constants!$B$4,"",IF($BB176="-&gt;",$BF176,$AV176))</f>
        <v/>
      </c>
      <c r="BW176" s="124" t="str">
        <f aca="false">IF(ISBLANK($C176),"",IF($BL176&lt;&gt;Constants!$B$4,$BL176,IF(ISNUMBER($BV176),RANK($BV176,$BV$9:$BV$508,0),COUNT($BV$9:$BV$508)+1)))</f>
        <v/>
      </c>
      <c r="BX176" s="127" t="str">
        <f aca="false">IF($BL176&lt;&gt;Constants!$B$4,"",IF($BB176="-&gt;",$BK176,$BA176))</f>
        <v/>
      </c>
      <c r="BY176" s="124" t="str">
        <f aca="false">IF(ISBLANK($C176),"",IF($BL176&lt;&gt;Constants!$B$4,$BL176,IF(ISNUMBER($BX176),RANK($BX176,$BX$9:$BX$508,0),COUNT($BX$9:$BX$508)+1)))</f>
        <v/>
      </c>
      <c r="BZ176" s="124" t="str">
        <f aca="false">IF(ISBLANK($C176),"",IF($BL176&lt;&gt;Constants!$B$4,$BL176,COUNTIFS($BM$9:$BM$508,"&lt;"&amp;$BM176)+COUNTIFS($BM$9:$BM$508,$BM176,$BP$9:$BP$508,"&lt;"&amp;$BP176)+COUNTIFS($BM$9:$BM$508,$BM176,$BP$9:$BP$508,$BP176,$BS$9:$BS$508,"&lt;"&amp;$BS176)+COUNTIFS($BM$9:$BM$508,$BM176,$BP$9:$BP$508,$BP176,$BS$9:$BS$508,$BS176,$BU$9:$BU$508,"&lt;"&amp;$BU176)+COUNTIFS($BM$9:$BM$508,$BM176,$BP$9:$BP$508,$BP176,$BS$9:$BS$508,$BS176,$BU$9:$BU$508,$BU176,$BW$9:$BW$508,"&lt;"&amp;$BW176)+COUNTIFS($BM$9:$BM$508,$BM176,$BP$9:$BP$508,$BP176,$BS$9:$BS$508,$BS176,$BU$9:$BU$508,$BU176,$BW$9:$BW$508,$BW176,$BY$9:$BY$508,"&lt;"&amp;$BY176)+1))</f>
        <v/>
      </c>
      <c r="CA176" s="124" t="str">
        <f aca="false">IF(ISBLANK($C176),"",IF($BL176&lt;&gt;Constants!$B$4,$BL176,$BQ176-$BZ176))</f>
        <v/>
      </c>
      <c r="CB176" s="130"/>
      <c r="CC176" s="131" t="str">
        <f aca="false">IF(ISBLANK($C176),"",IF($BL176=Constants!$B$8,$AR176,""))</f>
        <v/>
      </c>
      <c r="CD176" s="131" t="str">
        <f aca="false">IF(ISBLANK($C176),"",IF($BL176&lt;&gt;Constants!$B$4,"",IF($BB176="-&gt;",2,1)))</f>
        <v/>
      </c>
      <c r="CE176" s="132" t="str">
        <f aca="false">IF(ISBLANK($C176),"",IF($BL176&lt;&gt;Constants!$B$4,"",IF($BB176="-&gt;",$BE176,$AU176)))</f>
        <v/>
      </c>
      <c r="CF176" s="132" t="str">
        <f aca="false">IF(ISBLANK($C176),"",IF($BL176&lt;&gt;Constants!$B$4,"",IF($BB176="-&gt;",$BF176,$AV176)))</f>
        <v/>
      </c>
      <c r="CG176" s="132" t="str">
        <f aca="false">IF(ISBLANK($C176),"",IF($BL176&lt;&gt;Constants!$B$4,"",IF($BB176="-&gt;",$BG176,$AW176)))</f>
        <v/>
      </c>
      <c r="CH176" s="132" t="str">
        <f aca="false">IF(ISBLANK($C176),"",IF($BL176&lt;&gt;Constants!$B$4,"",IF($BB176="-&gt;",$BH176,$AX176)))</f>
        <v/>
      </c>
      <c r="CI176" s="133" t="str">
        <f aca="false">IF(ISBLANK($C176),"",$BO176)</f>
        <v/>
      </c>
      <c r="CJ176" s="134" t="str">
        <f aca="false">IF(ISBLANK($C176),"",$BM176)</f>
        <v/>
      </c>
      <c r="CK176" s="135" t="str">
        <f aca="false">IF(ISBLANK($C176),"",$CA176)</f>
        <v/>
      </c>
      <c r="CL176" s="135" t="str">
        <f aca="false">IF(ISBLANK($C176),"",$BZ176)</f>
        <v/>
      </c>
      <c r="CM176" s="136" t="str">
        <f aca="false">IF(ISBLANK($C176),"",IF($CL176=Constants!$B$7,COUNTA($C$9:$C$508)+2,IF($CL176=Constants!$B$6,COUNTA($C$9:$C$508)+1,IF($CL176=Constants!$B$5,COUNTA($C$9:$C$508),$CL176))))</f>
        <v/>
      </c>
      <c r="CN176" s="8"/>
      <c r="CO176" s="137" t="n">
        <f aca="false">IF(OR(ISNUMBER($CL176),$CL176=Constants!$B$7,$CL176=Constants!$B$5,$CL176=Constants!$B$6),1,0)</f>
        <v>0</v>
      </c>
      <c r="CP176" s="137" t="n">
        <v>168</v>
      </c>
      <c r="CQ176" s="137" t="str">
        <f aca="false">IF(ISBLANK($C176),"",IF(ISNUMBER($CM176),$CM176+ROW($B176)/1000,""))</f>
        <v/>
      </c>
      <c r="CR176" s="137" t="str">
        <f aca="false">IF(ISNUMBER($CQ176),RANK($CQ176,$CQ$9:$CQ$508,1),"")</f>
        <v/>
      </c>
      <c r="CS176" s="137" t="str">
        <f aca="false">IF(ISBLANK($C176),"",$B176)</f>
        <v/>
      </c>
      <c r="CT176" s="137" t="str">
        <f aca="false">IF(ISBLANK($C176),"",$C176)</f>
        <v/>
      </c>
      <c r="CU176" s="137" t="str">
        <f aca="false">IF(ISBLANK($C176),"",$D176)</f>
        <v/>
      </c>
      <c r="CV176" s="138" t="str">
        <f aca="false">$CJ176</f>
        <v/>
      </c>
      <c r="CW176" s="139" t="str">
        <f aca="false">$CI176</f>
        <v/>
      </c>
      <c r="CX176" s="137" t="str">
        <f aca="false">IF(ISBLANK($C176),"",$CL176)</f>
        <v/>
      </c>
      <c r="CY176" s="140" t="str">
        <f aca="false">IF($CP176&gt;$CO$8,"",VLOOKUP($CP176,$CR$9:$CX$508,7,FALSE()))</f>
        <v/>
      </c>
      <c r="CZ176" s="141" t="str">
        <f aca="false">IF($CP176&gt;$CO$8,"",VLOOKUP($CP176,$CR$9:$CX$508,2,FALSE()))</f>
        <v/>
      </c>
      <c r="DA176" s="141" t="str">
        <f aca="false">IF($CP176&gt;$CO$8,"",VLOOKUP($CP176,$CR$9:$CX$508,3,FALSE()))</f>
        <v/>
      </c>
      <c r="DB176" s="141" t="str">
        <f aca="false">IF($CP176&gt;$CO$8,"",VLOOKUP($CP176,$CR$9:$CX$508,4,FALSE()))</f>
        <v/>
      </c>
      <c r="DC176" s="141" t="str">
        <f aca="false">IF($CP176&gt;$CO$8,"",VLOOKUP($CP176,$CR$9:$CX$508,5,FALSE()))</f>
        <v/>
      </c>
      <c r="DD176" s="142" t="str">
        <f aca="false">IF($CP176&gt;$CO$8,"",VLOOKUP($CP176,$CR$9:$CX$508,6,FALSE()))</f>
        <v/>
      </c>
      <c r="DE176" s="70"/>
    </row>
    <row r="177" customFormat="false" ht="15.75" hidden="false" customHeight="false" outlineLevel="0" collapsed="false">
      <c r="A177" s="8"/>
      <c r="B177" s="72"/>
      <c r="C177" s="73"/>
      <c r="D177" s="155"/>
      <c r="E177" s="162"/>
      <c r="F177" s="157"/>
      <c r="G177" s="77"/>
      <c r="H177" s="77"/>
      <c r="I177" s="77"/>
      <c r="J177" s="163"/>
      <c r="K177" s="161"/>
      <c r="L177" s="161"/>
      <c r="M177" s="80"/>
      <c r="N177" s="161"/>
      <c r="O177" s="160"/>
      <c r="P177" s="161"/>
      <c r="Q177" s="161"/>
      <c r="R177" s="161"/>
      <c r="S177" s="77"/>
      <c r="T177" s="161"/>
      <c r="U177" s="160"/>
      <c r="V177" s="161"/>
      <c r="W177" s="85"/>
      <c r="X177" s="86" t="str">
        <f aca="false">IF(ISBLANK($C177),"",IF($E177=Constants!$B$2,TRUE(),IF($E177=Constants!$B$3,FALSE(),TRUE())))</f>
        <v/>
      </c>
      <c r="Y177" s="86" t="str">
        <f aca="false">IF(ISBLANK($C177),"",IF($F177=Constants!$B$2,TRUE(),IF($F177=Constants!$B$3,FALSE(),TRUE())))</f>
        <v/>
      </c>
      <c r="Z177" s="87" t="str">
        <f aca="false">IF(ISBLANK($C177),"",IF(ISNUMBER($G177),IF($G177&gt;=0,$G177,""),""))</f>
        <v/>
      </c>
      <c r="AA177" s="87" t="str">
        <f aca="false">IF(ISBLANK($C177),"",IF(ISNUMBER($H177),IF($H177&gt;=0,$H177,""),""))</f>
        <v/>
      </c>
      <c r="AB177" s="87" t="str">
        <f aca="false">IF(ISBLANK($C177),"",IF(ISNUMBER($I177),IF($I177&gt;=0,$I177,""),""))</f>
        <v/>
      </c>
      <c r="AC177" s="86" t="str">
        <f aca="false">IF(ISBLANK($C177),"",IF($J177=Constants!$B$2,TRUE(),IF($J177=Constants!$B$3,FALSE(),TRUE())))</f>
        <v/>
      </c>
      <c r="AD177" s="86" t="str">
        <f aca="false">IF(ISBLANK($C177),"",IF($K177=Constants!$B$2,TRUE(),IF($K177=Constants!$B$3,FALSE(),TRUE())))</f>
        <v/>
      </c>
      <c r="AE177" s="86" t="str">
        <f aca="false">IF(ISBLANK($C177),"",IF($L177=Constants!$B$2,TRUE(),IF($L177=Constants!$B$3,FALSE(),TRUE())))</f>
        <v/>
      </c>
      <c r="AF177" s="88" t="str">
        <f aca="false">IF(ISBLANK($C177),"",IF(ISNUMBER($M177),IF($M177&gt;=0,$M177,""),""))</f>
        <v/>
      </c>
      <c r="AG177" s="86" t="str">
        <f aca="false">IF(ISBLANK($C177),"",IF(ISBLANK($N177),0,IF(ISNUMBER($N177),IF(AND($N177&gt;=0,$N177&lt;=Constants!$B$17,$N177=INT($N177)),$N177,""),"")))</f>
        <v/>
      </c>
      <c r="AH177" s="87" t="str">
        <f aca="false">IF(ISBLANK($C177),"",IF(ISBLANK($O177),0,IF(ISNUMBER($O177),IF($O177&gt;=0,$O177,""),"")))</f>
        <v/>
      </c>
      <c r="AI177" s="86" t="str">
        <f aca="false">IF(ISBLANK($C177),"",IF($P177=Constants!$B$2,TRUE(),IF($P177=Constants!$B$3,FALSE(),TRUE())))</f>
        <v/>
      </c>
      <c r="AJ177" s="86" t="str">
        <f aca="false">IF(ISBLANK($C177),"",IF($Q177=Constants!$B$2,TRUE(),IF($Q177=Constants!$B$3,FALSE(),TRUE())))</f>
        <v/>
      </c>
      <c r="AK177" s="86" t="str">
        <f aca="false">IF(ISBLANK($C177),"",IF($R177=Constants!$B$2,TRUE(),IF($R177=Constants!$B$3,FALSE(),TRUE())))</f>
        <v/>
      </c>
      <c r="AL177" s="88" t="str">
        <f aca="false">IF(ISBLANK($C177),"",IF(ISNUMBER($S177),IF($S177&gt;=0,$S177,""),""))</f>
        <v/>
      </c>
      <c r="AM177" s="86" t="str">
        <f aca="false">IF(ISBLANK($C177),"",IF(ISBLANK($T177),0,IF(ISNUMBER($T177),IF(AND($T177&gt;=0,$T177&lt;=Constants!$B$17,$T177=INT($T177)),$T177,""),"")))</f>
        <v/>
      </c>
      <c r="AN177" s="87" t="str">
        <f aca="false">IF(ISBLANK($C177),"",IF(ISBLANK($U177),0,IF(ISNUMBER($U177),IF($U177&gt;=0,$U177,""),"")))</f>
        <v/>
      </c>
      <c r="AO177" s="86" t="str">
        <f aca="false">IF(ISBLANK($C177),"",IF($V177=Constants!$B$2,TRUE(),IF($V177=Constants!$B$3,FALSE(),FALSE())))</f>
        <v/>
      </c>
      <c r="AP177" s="86"/>
      <c r="AQ177" s="85" t="str">
        <f aca="false">IF(ISBLANK($C177),"",AND($Y177,OR($AS177,$BC177),OR($Z177="",$AA177="",$AB177="")))</f>
        <v/>
      </c>
      <c r="AR177" s="85" t="str">
        <f aca="false">IF(ISBLANK($C177),"",IF(OR(NOT($Y177),NOT(OR($AS177,$BC177))),"",IF(ISBLANK($D$7),$AR$5,IF($AP$9="",$AR$6,""))))</f>
        <v/>
      </c>
      <c r="AS177" s="85" t="str">
        <f aca="false">IF(ISBLANK($C177),"",COUNTA($J177:$O177)&gt;0)</f>
        <v/>
      </c>
      <c r="AT177" s="85" t="str">
        <f aca="false">IF(ISBLANK($C177),"",AND($AS177,OR(AND($AF177="",OR($AE177,NOT(ISBLANK($M177)))),$AG177="",$AH177="")))</f>
        <v/>
      </c>
      <c r="AU177" s="87" t="str">
        <f aca="false">IF($BL177&lt;&gt;Constants!$B$4,"",IF(NOT($AS177),"",ROUND((Constants!$B$12-$AB177)+(Constants!$B$13-$Z177)+(Constants!$B$14-$AA177),1)))</f>
        <v/>
      </c>
      <c r="AV177" s="90" t="str">
        <f aca="false">IF($BL177&lt;&gt;Constants!$B$4,"",IF(NOT($AS177),"",IF(NOT($AE177),0,Constants!$B$15*(INT(ROUND(MIN($AF177,$AP$9),6))-INT(ROUND(MAX(0,MIN($AF177,2*$AP$9)-$AP$9),6))))))</f>
        <v/>
      </c>
      <c r="AW177" s="90" t="str">
        <f aca="false">IF($BL177&lt;&gt;Constants!$B$4,"",IF(NOT($AS177),"",Constants!$B$16*$AG177))</f>
        <v/>
      </c>
      <c r="AX177" s="90" t="str">
        <f aca="false">IF($BL177&lt;&gt;Constants!$B$4,"",IF(NOT($AS177),"",Constants!$B$18*INT(ROUND($AH177,6))))</f>
        <v/>
      </c>
      <c r="AY177" s="85" t="str">
        <f aca="false">IF($BL177&lt;&gt;Constants!$B$4,"",IF(NOT($AS177),"",IF(NOT($X177),Constants!$B$11,IF(OR(NOT($AC177),NOT($AD177),ROUND($AB177,1)&gt;Constants!$B$12,ROUND($Z177,1)&gt;Constants!$B$13,ROUND($AA177,1)&gt;Constants!$B$14),Constants!$B$10,Constants!$B$9))))</f>
        <v/>
      </c>
      <c r="AZ177" s="91" t="str">
        <f aca="false">IF($BL177&lt;&gt;Constants!$B$4,"",IF(NOT($AS177),"",ROUND($AU177+$AV177+$AW177+$AX177,1)))</f>
        <v/>
      </c>
      <c r="BA177" s="92" t="str">
        <f aca="false">IF($BL177&lt;&gt;Constants!$B$4,"",IF(NOT($AS177),"",IF(ISNUMBER($AF177),$AF177,0)))</f>
        <v/>
      </c>
      <c r="BB177" s="86" t="str">
        <f aca="false">IF($BL177&lt;&gt;Constants!$B$4,"",IF(NOT($BC177),"&lt;-",IF(NOT($AS177),"-&gt;",IF(OR($BI177&lt;$AY177,AND($BI177=$AY177,OR($BJ177&gt;$AZ177,AND($BJ177=$AZ177,OR($BH177&gt;$AX177,AND($BH177=$AX177,OR($BE177&gt;$AU177,AND($BE177=$AU177,OR($BF177&gt;$AV177,AND($BF177=$AV177,$BK177&gt;$BA177)))))))))),"-&gt;","&lt;-"))))</f>
        <v/>
      </c>
      <c r="BC177" s="85" t="str">
        <f aca="false">IF(ISBLANK($C177),"",COUNTA($P177:$U177)&gt;0)</f>
        <v/>
      </c>
      <c r="BD177" s="85" t="str">
        <f aca="false">IF(ISBLANK($C177),"",AND($BC177,OR(AND($AL177="",OR($AK177,NOT(ISBLANK($S177)))),$AM177="",$AN177="")))</f>
        <v/>
      </c>
      <c r="BE177" s="87" t="str">
        <f aca="false">IF($BL177&lt;&gt;Constants!$B$4,"",IF(NOT($BC177),"",ROUND((Constants!$B$12-$AB177)+(Constants!$B$13-$Z177)+(Constants!$B$14-$AA177),1)))</f>
        <v/>
      </c>
      <c r="BF177" s="90" t="str">
        <f aca="false">IF($BL177&lt;&gt;Constants!$B$4,"",IF(NOT($BC177),"",IF(NOT($AK177),0,Constants!$B$15*(INT(ROUND(MIN($AL177,$AP$9),6))-INT(ROUND(MAX(0,MIN($AL177,2*$AP$9)-$AP$9),6))))))</f>
        <v/>
      </c>
      <c r="BG177" s="90" t="str">
        <f aca="false">IF($BL177&lt;&gt;Constants!$B$4,"",IF(NOT($BC177),"",Constants!$B$16*$AM177))</f>
        <v/>
      </c>
      <c r="BH177" s="90" t="str">
        <f aca="false">IF($BL177&lt;&gt;Constants!$B$4,"",IF(NOT($BC177),"",Constants!$B$18*INT(ROUND($AN177,6))))</f>
        <v/>
      </c>
      <c r="BI177" s="85" t="str">
        <f aca="false">IF($BL177&lt;&gt;Constants!$B$4,"",IF(NOT($BC177),"",IF(NOT($X177),Constants!$B$11,IF(OR(NOT($AI177),NOT($AJ177),ROUND($AB177,1)&gt;Constants!$B$12,ROUND($Z177,1)&gt;Constants!$B$13,ROUND($AA177,1)&gt;Constants!$B$14),Constants!$B$10,Constants!$B$9))))</f>
        <v/>
      </c>
      <c r="BJ177" s="91" t="str">
        <f aca="false">IF($BL177&lt;&gt;Constants!$B$4,"",IF(NOT($BC177),"",ROUND($BE177+$BF177+$BG177+$BH177,1)))</f>
        <v/>
      </c>
      <c r="BK177" s="92" t="str">
        <f aca="false">IF($BL177&lt;&gt;Constants!$B$4,"",IF(NOT($BC177),"",IF(ISNUMBER($AL177),$AL177,0)))</f>
        <v/>
      </c>
      <c r="BL177" s="86" t="str">
        <f aca="false">IF(ISBLANK($C177),"",IF($AO177,Constants!$B$7,IF(COUNTA($E177:$V177)=0,Constants!$B$6,IF(NOT($Y177),Constants!$B$5,IF(NOT(OR($AS177,$BC177)),Constants!$B$5,IF(OR($AT177,$BD177,$AQ177,$AR177&lt;&gt;""),Constants!$B$8,Constants!$B$4))))))</f>
        <v/>
      </c>
      <c r="BM177" s="86" t="str">
        <f aca="false">IF(ISBLANK($C177),"",IF($BL177&lt;&gt;Constants!$B$4,$BL177,IF($BB177="-&gt;",$BI177,$AY177)))</f>
        <v/>
      </c>
      <c r="BN177" s="90" t="str">
        <f aca="false">IF($BL177&lt;&gt;Constants!$B$4,"",IF($BB177="-&gt;",$BJ177,$AZ177))</f>
        <v/>
      </c>
      <c r="BO177" s="90" t="str">
        <f aca="false">IF(ISBLANK($C177),"",IF($BL177&lt;&gt;Constants!$B$4,$BL177,$BN177))</f>
        <v/>
      </c>
      <c r="BP177" s="86" t="str">
        <f aca="false">IF(ISBLANK($C177),"",IF($BL177&lt;&gt;Constants!$B$4,$BL177,RANK($BO177,$BO$9:$BO$508,0)))</f>
        <v/>
      </c>
      <c r="BQ177" s="86" t="str">
        <f aca="false">IF(ISBLANK($C177),"",IF($BL177&lt;&gt;Constants!$B$4,$BL177,COUNTIFS($BM$9:$BM$508,"&lt;"&amp;$BM177)+COUNTIFS($BM$9:$BM$508,$BM177,$BP$9:$BP$508,"&lt;"&amp;$BP177)+1))</f>
        <v/>
      </c>
      <c r="BR177" s="90" t="str">
        <f aca="false">IF($BL177&lt;&gt;Constants!$B$4,"",IF($BB177="-&gt;",$BH177,$AX177))</f>
        <v/>
      </c>
      <c r="BS177" s="86" t="str">
        <f aca="false">IF(ISBLANK($C177),"",IF($BL177&lt;&gt;Constants!$B$4,$BL177,IF(ISNUMBER($BR177),RANK($BR177,$BR$9:$BR$508,0),COUNT($BR$9:$BR$508)+1)))</f>
        <v/>
      </c>
      <c r="BT177" s="90" t="str">
        <f aca="false">IF($BL177&lt;&gt;Constants!$B$4,"",IF($BB177="-&gt;",$BE177,$AU177))</f>
        <v/>
      </c>
      <c r="BU177" s="86" t="str">
        <f aca="false">IF(ISBLANK($C177),"",IF($BL177&lt;&gt;Constants!$B$4,$BL177,IF(ISNUMBER($BT177),RANK($BT177,$BT$9:$BT$508,0),COUNT($BT$9:$BT$508)+1)))</f>
        <v/>
      </c>
      <c r="BV177" s="90" t="str">
        <f aca="false">IF($BL177&lt;&gt;Constants!$B$4,"",IF($BB177="-&gt;",$BF177,$AV177))</f>
        <v/>
      </c>
      <c r="BW177" s="86" t="str">
        <f aca="false">IF(ISBLANK($C177),"",IF($BL177&lt;&gt;Constants!$B$4,$BL177,IF(ISNUMBER($BV177),RANK($BV177,$BV$9:$BV$508,0),COUNT($BV$9:$BV$508)+1)))</f>
        <v/>
      </c>
      <c r="BX177" s="90" t="str">
        <f aca="false">IF($BL177&lt;&gt;Constants!$B$4,"",IF($BB177="-&gt;",$BK177,$BA177))</f>
        <v/>
      </c>
      <c r="BY177" s="86" t="str">
        <f aca="false">IF(ISBLANK($C177),"",IF($BL177&lt;&gt;Constants!$B$4,$BL177,IF(ISNUMBER($BX177),RANK($BX177,$BX$9:$BX$508,0),COUNT($BX$9:$BX$508)+1)))</f>
        <v/>
      </c>
      <c r="BZ177" s="86" t="str">
        <f aca="false">IF(ISBLANK($C177),"",IF($BL177&lt;&gt;Constants!$B$4,$BL177,COUNTIFS($BM$9:$BM$508,"&lt;"&amp;$BM177)+COUNTIFS($BM$9:$BM$508,$BM177,$BP$9:$BP$508,"&lt;"&amp;$BP177)+COUNTIFS($BM$9:$BM$508,$BM177,$BP$9:$BP$508,$BP177,$BS$9:$BS$508,"&lt;"&amp;$BS177)+COUNTIFS($BM$9:$BM$508,$BM177,$BP$9:$BP$508,$BP177,$BS$9:$BS$508,$BS177,$BU$9:$BU$508,"&lt;"&amp;$BU177)+COUNTIFS($BM$9:$BM$508,$BM177,$BP$9:$BP$508,$BP177,$BS$9:$BS$508,$BS177,$BU$9:$BU$508,$BU177,$BW$9:$BW$508,"&lt;"&amp;$BW177)+COUNTIFS($BM$9:$BM$508,$BM177,$BP$9:$BP$508,$BP177,$BS$9:$BS$508,$BS177,$BU$9:$BU$508,$BU177,$BW$9:$BW$508,$BW177,$BY$9:$BY$508,"&lt;"&amp;$BY177)+1))</f>
        <v/>
      </c>
      <c r="CA177" s="86" t="str">
        <f aca="false">IF(ISBLANK($C177),"",IF($BL177&lt;&gt;Constants!$B$4,$BL177,$BQ177-$BZ177))</f>
        <v/>
      </c>
      <c r="CB177" s="93"/>
      <c r="CC177" s="94" t="str">
        <f aca="false">IF(ISBLANK($C177),"",IF($BL177=Constants!$B$8,$AR177,""))</f>
        <v/>
      </c>
      <c r="CD177" s="94" t="str">
        <f aca="false">IF(ISBLANK($C177),"",IF($BL177&lt;&gt;Constants!$B$4,"",IF($BB177="-&gt;",2,1)))</f>
        <v/>
      </c>
      <c r="CE177" s="95" t="str">
        <f aca="false">IF(ISBLANK($C177),"",IF($BL177&lt;&gt;Constants!$B$4,"",IF($BB177="-&gt;",$BE177,$AU177)))</f>
        <v/>
      </c>
      <c r="CF177" s="95" t="str">
        <f aca="false">IF(ISBLANK($C177),"",IF($BL177&lt;&gt;Constants!$B$4,"",IF($BB177="-&gt;",$BF177,$AV177)))</f>
        <v/>
      </c>
      <c r="CG177" s="95" t="str">
        <f aca="false">IF(ISBLANK($C177),"",IF($BL177&lt;&gt;Constants!$B$4,"",IF($BB177="-&gt;",$BG177,$AW177)))</f>
        <v/>
      </c>
      <c r="CH177" s="95" t="str">
        <f aca="false">IF(ISBLANK($C177),"",IF($BL177&lt;&gt;Constants!$B$4,"",IF($BB177="-&gt;",$BH177,$AX177)))</f>
        <v/>
      </c>
      <c r="CI177" s="96" t="str">
        <f aca="false">IF(ISBLANK($C177),"",$BO177)</f>
        <v/>
      </c>
      <c r="CJ177" s="97" t="str">
        <f aca="false">IF(ISBLANK($C177),"",$BM177)</f>
        <v/>
      </c>
      <c r="CK177" s="98" t="str">
        <f aca="false">IF(ISBLANK($C177),"",$CA177)</f>
        <v/>
      </c>
      <c r="CL177" s="98" t="str">
        <f aca="false">IF(ISBLANK($C177),"",$BZ177)</f>
        <v/>
      </c>
      <c r="CM177" s="99" t="str">
        <f aca="false">IF(ISBLANK($C177),"",IF($CL177=Constants!$B$7,COUNTA($C$9:$C$508)+2,IF($CL177=Constants!$B$6,COUNTA($C$9:$C$508)+1,IF($CL177=Constants!$B$5,COUNTA($C$9:$C$508),$CL177))))</f>
        <v/>
      </c>
      <c r="CN177" s="8"/>
      <c r="CO177" s="100" t="n">
        <f aca="false">IF(OR(ISNUMBER($CL177),$CL177=Constants!$B$7,$CL177=Constants!$B$5,$CL177=Constants!$B$6),1,0)</f>
        <v>0</v>
      </c>
      <c r="CP177" s="100" t="n">
        <v>169</v>
      </c>
      <c r="CQ177" s="100" t="str">
        <f aca="false">IF(ISBLANK($C177),"",IF(ISNUMBER($CM177),$CM177+ROW($B177)/1000,""))</f>
        <v/>
      </c>
      <c r="CR177" s="100" t="str">
        <f aca="false">IF(ISNUMBER($CQ177),RANK($CQ177,$CQ$9:$CQ$508,1),"")</f>
        <v/>
      </c>
      <c r="CS177" s="100" t="str">
        <f aca="false">IF(ISBLANK($C177),"",$B177)</f>
        <v/>
      </c>
      <c r="CT177" s="100" t="str">
        <f aca="false">IF(ISBLANK($C177),"",$C177)</f>
        <v/>
      </c>
      <c r="CU177" s="100" t="str">
        <f aca="false">IF(ISBLANK($C177),"",$D177)</f>
        <v/>
      </c>
      <c r="CV177" s="101" t="str">
        <f aca="false">$CJ177</f>
        <v/>
      </c>
      <c r="CW177" s="102" t="str">
        <f aca="false">$CI177</f>
        <v/>
      </c>
      <c r="CX177" s="100" t="str">
        <f aca="false">IF(ISBLANK($C177),"",$CL177)</f>
        <v/>
      </c>
      <c r="CY177" s="103" t="str">
        <f aca="false">IF($CP177&gt;$CO$8,"",VLOOKUP($CP177,$CR$9:$CX$508,7,FALSE()))</f>
        <v/>
      </c>
      <c r="CZ177" s="104" t="str">
        <f aca="false">IF($CP177&gt;$CO$8,"",VLOOKUP($CP177,$CR$9:$CX$508,2,FALSE()))</f>
        <v/>
      </c>
      <c r="DA177" s="104" t="str">
        <f aca="false">IF($CP177&gt;$CO$8,"",VLOOKUP($CP177,$CR$9:$CX$508,3,FALSE()))</f>
        <v/>
      </c>
      <c r="DB177" s="104" t="str">
        <f aca="false">IF($CP177&gt;$CO$8,"",VLOOKUP($CP177,$CR$9:$CX$508,4,FALSE()))</f>
        <v/>
      </c>
      <c r="DC177" s="104" t="str">
        <f aca="false">IF($CP177&gt;$CO$8,"",VLOOKUP($CP177,$CR$9:$CX$508,5,FALSE()))</f>
        <v/>
      </c>
      <c r="DD177" s="105" t="str">
        <f aca="false">IF($CP177&gt;$CO$8,"",VLOOKUP($CP177,$CR$9:$CX$508,6,FALSE()))</f>
        <v/>
      </c>
      <c r="DE177" s="70"/>
    </row>
    <row r="178" customFormat="false" ht="15.75" hidden="false" customHeight="false" outlineLevel="0" collapsed="false">
      <c r="A178" s="8"/>
      <c r="B178" s="72"/>
      <c r="C178" s="73"/>
      <c r="D178" s="155"/>
      <c r="E178" s="162"/>
      <c r="F178" s="157"/>
      <c r="G178" s="77"/>
      <c r="H178" s="77"/>
      <c r="I178" s="77"/>
      <c r="J178" s="163"/>
      <c r="K178" s="161"/>
      <c r="L178" s="161"/>
      <c r="M178" s="80"/>
      <c r="N178" s="161"/>
      <c r="O178" s="160"/>
      <c r="P178" s="161"/>
      <c r="Q178" s="161"/>
      <c r="R178" s="161"/>
      <c r="S178" s="77"/>
      <c r="T178" s="161"/>
      <c r="U178" s="160"/>
      <c r="V178" s="161"/>
      <c r="W178" s="85"/>
      <c r="X178" s="86" t="str">
        <f aca="false">IF(ISBLANK($C178),"",IF($E178=Constants!$B$2,TRUE(),IF($E178=Constants!$B$3,FALSE(),TRUE())))</f>
        <v/>
      </c>
      <c r="Y178" s="86" t="str">
        <f aca="false">IF(ISBLANK($C178),"",IF($F178=Constants!$B$2,TRUE(),IF($F178=Constants!$B$3,FALSE(),TRUE())))</f>
        <v/>
      </c>
      <c r="Z178" s="87" t="str">
        <f aca="false">IF(ISBLANK($C178),"",IF(ISNUMBER($G178),IF($G178&gt;=0,$G178,""),""))</f>
        <v/>
      </c>
      <c r="AA178" s="87" t="str">
        <f aca="false">IF(ISBLANK($C178),"",IF(ISNUMBER($H178),IF($H178&gt;=0,$H178,""),""))</f>
        <v/>
      </c>
      <c r="AB178" s="87" t="str">
        <f aca="false">IF(ISBLANK($C178),"",IF(ISNUMBER($I178),IF($I178&gt;=0,$I178,""),""))</f>
        <v/>
      </c>
      <c r="AC178" s="86" t="str">
        <f aca="false">IF(ISBLANK($C178),"",IF($J178=Constants!$B$2,TRUE(),IF($J178=Constants!$B$3,FALSE(),TRUE())))</f>
        <v/>
      </c>
      <c r="AD178" s="86" t="str">
        <f aca="false">IF(ISBLANK($C178),"",IF($K178=Constants!$B$2,TRUE(),IF($K178=Constants!$B$3,FALSE(),TRUE())))</f>
        <v/>
      </c>
      <c r="AE178" s="86" t="str">
        <f aca="false">IF(ISBLANK($C178),"",IF($L178=Constants!$B$2,TRUE(),IF($L178=Constants!$B$3,FALSE(),TRUE())))</f>
        <v/>
      </c>
      <c r="AF178" s="88" t="str">
        <f aca="false">IF(ISBLANK($C178),"",IF(ISNUMBER($M178),IF($M178&gt;=0,$M178,""),""))</f>
        <v/>
      </c>
      <c r="AG178" s="86" t="str">
        <f aca="false">IF(ISBLANK($C178),"",IF(ISBLANK($N178),0,IF(ISNUMBER($N178),IF(AND($N178&gt;=0,$N178&lt;=Constants!$B$17,$N178=INT($N178)),$N178,""),"")))</f>
        <v/>
      </c>
      <c r="AH178" s="87" t="str">
        <f aca="false">IF(ISBLANK($C178),"",IF(ISBLANK($O178),0,IF(ISNUMBER($O178),IF($O178&gt;=0,$O178,""),"")))</f>
        <v/>
      </c>
      <c r="AI178" s="86" t="str">
        <f aca="false">IF(ISBLANK($C178),"",IF($P178=Constants!$B$2,TRUE(),IF($P178=Constants!$B$3,FALSE(),TRUE())))</f>
        <v/>
      </c>
      <c r="AJ178" s="86" t="str">
        <f aca="false">IF(ISBLANK($C178),"",IF($Q178=Constants!$B$2,TRUE(),IF($Q178=Constants!$B$3,FALSE(),TRUE())))</f>
        <v/>
      </c>
      <c r="AK178" s="86" t="str">
        <f aca="false">IF(ISBLANK($C178),"",IF($R178=Constants!$B$2,TRUE(),IF($R178=Constants!$B$3,FALSE(),TRUE())))</f>
        <v/>
      </c>
      <c r="AL178" s="88" t="str">
        <f aca="false">IF(ISBLANK($C178),"",IF(ISNUMBER($S178),IF($S178&gt;=0,$S178,""),""))</f>
        <v/>
      </c>
      <c r="AM178" s="86" t="str">
        <f aca="false">IF(ISBLANK($C178),"",IF(ISBLANK($T178),0,IF(ISNUMBER($T178),IF(AND($T178&gt;=0,$T178&lt;=Constants!$B$17,$T178=INT($T178)),$T178,""),"")))</f>
        <v/>
      </c>
      <c r="AN178" s="87" t="str">
        <f aca="false">IF(ISBLANK($C178),"",IF(ISBLANK($U178),0,IF(ISNUMBER($U178),IF($U178&gt;=0,$U178,""),"")))</f>
        <v/>
      </c>
      <c r="AO178" s="86" t="str">
        <f aca="false">IF(ISBLANK($C178),"",IF($V178=Constants!$B$2,TRUE(),IF($V178=Constants!$B$3,FALSE(),FALSE())))</f>
        <v/>
      </c>
      <c r="AP178" s="86"/>
      <c r="AQ178" s="85" t="str">
        <f aca="false">IF(ISBLANK($C178),"",AND($Y178,OR($AS178,$BC178),OR($Z178="",$AA178="",$AB178="")))</f>
        <v/>
      </c>
      <c r="AR178" s="85" t="str">
        <f aca="false">IF(ISBLANK($C178),"",IF(OR(NOT($Y178),NOT(OR($AS178,$BC178))),"",IF(ISBLANK($D$7),$AR$5,IF($AP$9="",$AR$6,""))))</f>
        <v/>
      </c>
      <c r="AS178" s="85" t="str">
        <f aca="false">IF(ISBLANK($C178),"",COUNTA($J178:$O178)&gt;0)</f>
        <v/>
      </c>
      <c r="AT178" s="85" t="str">
        <f aca="false">IF(ISBLANK($C178),"",AND($AS178,OR(AND($AF178="",OR($AE178,NOT(ISBLANK($M178)))),$AG178="",$AH178="")))</f>
        <v/>
      </c>
      <c r="AU178" s="87" t="str">
        <f aca="false">IF($BL178&lt;&gt;Constants!$B$4,"",IF(NOT($AS178),"",ROUND((Constants!$B$12-$AB178)+(Constants!$B$13-$Z178)+(Constants!$B$14-$AA178),1)))</f>
        <v/>
      </c>
      <c r="AV178" s="90" t="str">
        <f aca="false">IF($BL178&lt;&gt;Constants!$B$4,"",IF(NOT($AS178),"",IF(NOT($AE178),0,Constants!$B$15*(INT(ROUND(MIN($AF178,$AP$9),6))-INT(ROUND(MAX(0,MIN($AF178,2*$AP$9)-$AP$9),6))))))</f>
        <v/>
      </c>
      <c r="AW178" s="90" t="str">
        <f aca="false">IF($BL178&lt;&gt;Constants!$B$4,"",IF(NOT($AS178),"",Constants!$B$16*$AG178))</f>
        <v/>
      </c>
      <c r="AX178" s="90" t="str">
        <f aca="false">IF($BL178&lt;&gt;Constants!$B$4,"",IF(NOT($AS178),"",Constants!$B$18*INT(ROUND($AH178,6))))</f>
        <v/>
      </c>
      <c r="AY178" s="85" t="str">
        <f aca="false">IF($BL178&lt;&gt;Constants!$B$4,"",IF(NOT($AS178),"",IF(NOT($X178),Constants!$B$11,IF(OR(NOT($AC178),NOT($AD178),ROUND($AB178,1)&gt;Constants!$B$12,ROUND($Z178,1)&gt;Constants!$B$13,ROUND($AA178,1)&gt;Constants!$B$14),Constants!$B$10,Constants!$B$9))))</f>
        <v/>
      </c>
      <c r="AZ178" s="91" t="str">
        <f aca="false">IF($BL178&lt;&gt;Constants!$B$4,"",IF(NOT($AS178),"",ROUND($AU178+$AV178+$AW178+$AX178,1)))</f>
        <v/>
      </c>
      <c r="BA178" s="92" t="str">
        <f aca="false">IF($BL178&lt;&gt;Constants!$B$4,"",IF(NOT($AS178),"",IF(ISNUMBER($AF178),$AF178,0)))</f>
        <v/>
      </c>
      <c r="BB178" s="86" t="str">
        <f aca="false">IF($BL178&lt;&gt;Constants!$B$4,"",IF(NOT($BC178),"&lt;-",IF(NOT($AS178),"-&gt;",IF(OR($BI178&lt;$AY178,AND($BI178=$AY178,OR($BJ178&gt;$AZ178,AND($BJ178=$AZ178,OR($BH178&gt;$AX178,AND($BH178=$AX178,OR($BE178&gt;$AU178,AND($BE178=$AU178,OR($BF178&gt;$AV178,AND($BF178=$AV178,$BK178&gt;$BA178)))))))))),"-&gt;","&lt;-"))))</f>
        <v/>
      </c>
      <c r="BC178" s="85" t="str">
        <f aca="false">IF(ISBLANK($C178),"",COUNTA($P178:$U178)&gt;0)</f>
        <v/>
      </c>
      <c r="BD178" s="85" t="str">
        <f aca="false">IF(ISBLANK($C178),"",AND($BC178,OR(AND($AL178="",OR($AK178,NOT(ISBLANK($S178)))),$AM178="",$AN178="")))</f>
        <v/>
      </c>
      <c r="BE178" s="87" t="str">
        <f aca="false">IF($BL178&lt;&gt;Constants!$B$4,"",IF(NOT($BC178),"",ROUND((Constants!$B$12-$AB178)+(Constants!$B$13-$Z178)+(Constants!$B$14-$AA178),1)))</f>
        <v/>
      </c>
      <c r="BF178" s="90" t="str">
        <f aca="false">IF($BL178&lt;&gt;Constants!$B$4,"",IF(NOT($BC178),"",IF(NOT($AK178),0,Constants!$B$15*(INT(ROUND(MIN($AL178,$AP$9),6))-INT(ROUND(MAX(0,MIN($AL178,2*$AP$9)-$AP$9),6))))))</f>
        <v/>
      </c>
      <c r="BG178" s="90" t="str">
        <f aca="false">IF($BL178&lt;&gt;Constants!$B$4,"",IF(NOT($BC178),"",Constants!$B$16*$AM178))</f>
        <v/>
      </c>
      <c r="BH178" s="90" t="str">
        <f aca="false">IF($BL178&lt;&gt;Constants!$B$4,"",IF(NOT($BC178),"",Constants!$B$18*INT(ROUND($AN178,6))))</f>
        <v/>
      </c>
      <c r="BI178" s="85" t="str">
        <f aca="false">IF($BL178&lt;&gt;Constants!$B$4,"",IF(NOT($BC178),"",IF(NOT($X178),Constants!$B$11,IF(OR(NOT($AI178),NOT($AJ178),ROUND($AB178,1)&gt;Constants!$B$12,ROUND($Z178,1)&gt;Constants!$B$13,ROUND($AA178,1)&gt;Constants!$B$14),Constants!$B$10,Constants!$B$9))))</f>
        <v/>
      </c>
      <c r="BJ178" s="91" t="str">
        <f aca="false">IF($BL178&lt;&gt;Constants!$B$4,"",IF(NOT($BC178),"",ROUND($BE178+$BF178+$BG178+$BH178,1)))</f>
        <v/>
      </c>
      <c r="BK178" s="92" t="str">
        <f aca="false">IF($BL178&lt;&gt;Constants!$B$4,"",IF(NOT($BC178),"",IF(ISNUMBER($AL178),$AL178,0)))</f>
        <v/>
      </c>
      <c r="BL178" s="86" t="str">
        <f aca="false">IF(ISBLANK($C178),"",IF($AO178,Constants!$B$7,IF(COUNTA($E178:$V178)=0,Constants!$B$6,IF(NOT($Y178),Constants!$B$5,IF(NOT(OR($AS178,$BC178)),Constants!$B$5,IF(OR($AT178,$BD178,$AQ178,$AR178&lt;&gt;""),Constants!$B$8,Constants!$B$4))))))</f>
        <v/>
      </c>
      <c r="BM178" s="86" t="str">
        <f aca="false">IF(ISBLANK($C178),"",IF($BL178&lt;&gt;Constants!$B$4,$BL178,IF($BB178="-&gt;",$BI178,$AY178)))</f>
        <v/>
      </c>
      <c r="BN178" s="90" t="str">
        <f aca="false">IF($BL178&lt;&gt;Constants!$B$4,"",IF($BB178="-&gt;",$BJ178,$AZ178))</f>
        <v/>
      </c>
      <c r="BO178" s="90" t="str">
        <f aca="false">IF(ISBLANK($C178),"",IF($BL178&lt;&gt;Constants!$B$4,$BL178,$BN178))</f>
        <v/>
      </c>
      <c r="BP178" s="86" t="str">
        <f aca="false">IF(ISBLANK($C178),"",IF($BL178&lt;&gt;Constants!$B$4,$BL178,RANK($BO178,$BO$9:$BO$508,0)))</f>
        <v/>
      </c>
      <c r="BQ178" s="86" t="str">
        <f aca="false">IF(ISBLANK($C178),"",IF($BL178&lt;&gt;Constants!$B$4,$BL178,COUNTIFS($BM$9:$BM$508,"&lt;"&amp;$BM178)+COUNTIFS($BM$9:$BM$508,$BM178,$BP$9:$BP$508,"&lt;"&amp;$BP178)+1))</f>
        <v/>
      </c>
      <c r="BR178" s="90" t="str">
        <f aca="false">IF($BL178&lt;&gt;Constants!$B$4,"",IF($BB178="-&gt;",$BH178,$AX178))</f>
        <v/>
      </c>
      <c r="BS178" s="86" t="str">
        <f aca="false">IF(ISBLANK($C178),"",IF($BL178&lt;&gt;Constants!$B$4,$BL178,IF(ISNUMBER($BR178),RANK($BR178,$BR$9:$BR$508,0),COUNT($BR$9:$BR$508)+1)))</f>
        <v/>
      </c>
      <c r="BT178" s="90" t="str">
        <f aca="false">IF($BL178&lt;&gt;Constants!$B$4,"",IF($BB178="-&gt;",$BE178,$AU178))</f>
        <v/>
      </c>
      <c r="BU178" s="86" t="str">
        <f aca="false">IF(ISBLANK($C178),"",IF($BL178&lt;&gt;Constants!$B$4,$BL178,IF(ISNUMBER($BT178),RANK($BT178,$BT$9:$BT$508,0),COUNT($BT$9:$BT$508)+1)))</f>
        <v/>
      </c>
      <c r="BV178" s="90" t="str">
        <f aca="false">IF($BL178&lt;&gt;Constants!$B$4,"",IF($BB178="-&gt;",$BF178,$AV178))</f>
        <v/>
      </c>
      <c r="BW178" s="86" t="str">
        <f aca="false">IF(ISBLANK($C178),"",IF($BL178&lt;&gt;Constants!$B$4,$BL178,IF(ISNUMBER($BV178),RANK($BV178,$BV$9:$BV$508,0),COUNT($BV$9:$BV$508)+1)))</f>
        <v/>
      </c>
      <c r="BX178" s="90" t="str">
        <f aca="false">IF($BL178&lt;&gt;Constants!$B$4,"",IF($BB178="-&gt;",$BK178,$BA178))</f>
        <v/>
      </c>
      <c r="BY178" s="86" t="str">
        <f aca="false">IF(ISBLANK($C178),"",IF($BL178&lt;&gt;Constants!$B$4,$BL178,IF(ISNUMBER($BX178),RANK($BX178,$BX$9:$BX$508,0),COUNT($BX$9:$BX$508)+1)))</f>
        <v/>
      </c>
      <c r="BZ178" s="86" t="str">
        <f aca="false">IF(ISBLANK($C178),"",IF($BL178&lt;&gt;Constants!$B$4,$BL178,COUNTIFS($BM$9:$BM$508,"&lt;"&amp;$BM178)+COUNTIFS($BM$9:$BM$508,$BM178,$BP$9:$BP$508,"&lt;"&amp;$BP178)+COUNTIFS($BM$9:$BM$508,$BM178,$BP$9:$BP$508,$BP178,$BS$9:$BS$508,"&lt;"&amp;$BS178)+COUNTIFS($BM$9:$BM$508,$BM178,$BP$9:$BP$508,$BP178,$BS$9:$BS$508,$BS178,$BU$9:$BU$508,"&lt;"&amp;$BU178)+COUNTIFS($BM$9:$BM$508,$BM178,$BP$9:$BP$508,$BP178,$BS$9:$BS$508,$BS178,$BU$9:$BU$508,$BU178,$BW$9:$BW$508,"&lt;"&amp;$BW178)+COUNTIFS($BM$9:$BM$508,$BM178,$BP$9:$BP$508,$BP178,$BS$9:$BS$508,$BS178,$BU$9:$BU$508,$BU178,$BW$9:$BW$508,$BW178,$BY$9:$BY$508,"&lt;"&amp;$BY178)+1))</f>
        <v/>
      </c>
      <c r="CA178" s="86" t="str">
        <f aca="false">IF(ISBLANK($C178),"",IF($BL178&lt;&gt;Constants!$B$4,$BL178,$BQ178-$BZ178))</f>
        <v/>
      </c>
      <c r="CB178" s="93"/>
      <c r="CC178" s="94" t="str">
        <f aca="false">IF(ISBLANK($C178),"",IF($BL178=Constants!$B$8,$AR178,""))</f>
        <v/>
      </c>
      <c r="CD178" s="94" t="str">
        <f aca="false">IF(ISBLANK($C178),"",IF($BL178&lt;&gt;Constants!$B$4,"",IF($BB178="-&gt;",2,1)))</f>
        <v/>
      </c>
      <c r="CE178" s="95" t="str">
        <f aca="false">IF(ISBLANK($C178),"",IF($BL178&lt;&gt;Constants!$B$4,"",IF($BB178="-&gt;",$BE178,$AU178)))</f>
        <v/>
      </c>
      <c r="CF178" s="95" t="str">
        <f aca="false">IF(ISBLANK($C178),"",IF($BL178&lt;&gt;Constants!$B$4,"",IF($BB178="-&gt;",$BF178,$AV178)))</f>
        <v/>
      </c>
      <c r="CG178" s="95" t="str">
        <f aca="false">IF(ISBLANK($C178),"",IF($BL178&lt;&gt;Constants!$B$4,"",IF($BB178="-&gt;",$BG178,$AW178)))</f>
        <v/>
      </c>
      <c r="CH178" s="95" t="str">
        <f aca="false">IF(ISBLANK($C178),"",IF($BL178&lt;&gt;Constants!$B$4,"",IF($BB178="-&gt;",$BH178,$AX178)))</f>
        <v/>
      </c>
      <c r="CI178" s="96" t="str">
        <f aca="false">IF(ISBLANK($C178),"",$BO178)</f>
        <v/>
      </c>
      <c r="CJ178" s="97" t="str">
        <f aca="false">IF(ISBLANK($C178),"",$BM178)</f>
        <v/>
      </c>
      <c r="CK178" s="98" t="str">
        <f aca="false">IF(ISBLANK($C178),"",$CA178)</f>
        <v/>
      </c>
      <c r="CL178" s="98" t="str">
        <f aca="false">IF(ISBLANK($C178),"",$BZ178)</f>
        <v/>
      </c>
      <c r="CM178" s="99" t="str">
        <f aca="false">IF(ISBLANK($C178),"",IF($CL178=Constants!$B$7,COUNTA($C$9:$C$508)+2,IF($CL178=Constants!$B$6,COUNTA($C$9:$C$508)+1,IF($CL178=Constants!$B$5,COUNTA($C$9:$C$508),$CL178))))</f>
        <v/>
      </c>
      <c r="CN178" s="8"/>
      <c r="CO178" s="100" t="n">
        <f aca="false">IF(OR(ISNUMBER($CL178),$CL178=Constants!$B$7,$CL178=Constants!$B$5,$CL178=Constants!$B$6),1,0)</f>
        <v>0</v>
      </c>
      <c r="CP178" s="100" t="n">
        <v>170</v>
      </c>
      <c r="CQ178" s="100" t="str">
        <f aca="false">IF(ISBLANK($C178),"",IF(ISNUMBER($CM178),$CM178+ROW($B178)/1000,""))</f>
        <v/>
      </c>
      <c r="CR178" s="100" t="str">
        <f aca="false">IF(ISNUMBER($CQ178),RANK($CQ178,$CQ$9:$CQ$508,1),"")</f>
        <v/>
      </c>
      <c r="CS178" s="100" t="str">
        <f aca="false">IF(ISBLANK($C178),"",$B178)</f>
        <v/>
      </c>
      <c r="CT178" s="100" t="str">
        <f aca="false">IF(ISBLANK($C178),"",$C178)</f>
        <v/>
      </c>
      <c r="CU178" s="100" t="str">
        <f aca="false">IF(ISBLANK($C178),"",$D178)</f>
        <v/>
      </c>
      <c r="CV178" s="101" t="str">
        <f aca="false">$CJ178</f>
        <v/>
      </c>
      <c r="CW178" s="102" t="str">
        <f aca="false">$CI178</f>
        <v/>
      </c>
      <c r="CX178" s="100" t="str">
        <f aca="false">IF(ISBLANK($C178),"",$CL178)</f>
        <v/>
      </c>
      <c r="CY178" s="103" t="str">
        <f aca="false">IF($CP178&gt;$CO$8,"",VLOOKUP($CP178,$CR$9:$CX$508,7,FALSE()))</f>
        <v/>
      </c>
      <c r="CZ178" s="104" t="str">
        <f aca="false">IF($CP178&gt;$CO$8,"",VLOOKUP($CP178,$CR$9:$CX$508,2,FALSE()))</f>
        <v/>
      </c>
      <c r="DA178" s="104" t="str">
        <f aca="false">IF($CP178&gt;$CO$8,"",VLOOKUP($CP178,$CR$9:$CX$508,3,FALSE()))</f>
        <v/>
      </c>
      <c r="DB178" s="104" t="str">
        <f aca="false">IF($CP178&gt;$CO$8,"",VLOOKUP($CP178,$CR$9:$CX$508,4,FALSE()))</f>
        <v/>
      </c>
      <c r="DC178" s="104" t="str">
        <f aca="false">IF($CP178&gt;$CO$8,"",VLOOKUP($CP178,$CR$9:$CX$508,5,FALSE()))</f>
        <v/>
      </c>
      <c r="DD178" s="105" t="str">
        <f aca="false">IF($CP178&gt;$CO$8,"",VLOOKUP($CP178,$CR$9:$CX$508,6,FALSE()))</f>
        <v/>
      </c>
      <c r="DE178" s="70"/>
    </row>
    <row r="179" customFormat="false" ht="15.75" hidden="false" customHeight="false" outlineLevel="0" collapsed="false">
      <c r="A179" s="8"/>
      <c r="B179" s="72"/>
      <c r="C179" s="73"/>
      <c r="D179" s="155"/>
      <c r="E179" s="162"/>
      <c r="F179" s="157"/>
      <c r="G179" s="77"/>
      <c r="H179" s="77"/>
      <c r="I179" s="77"/>
      <c r="J179" s="163"/>
      <c r="K179" s="161"/>
      <c r="L179" s="161"/>
      <c r="M179" s="80"/>
      <c r="N179" s="161"/>
      <c r="O179" s="160"/>
      <c r="P179" s="161"/>
      <c r="Q179" s="161"/>
      <c r="R179" s="161"/>
      <c r="S179" s="77"/>
      <c r="T179" s="161"/>
      <c r="U179" s="160"/>
      <c r="V179" s="161"/>
      <c r="W179" s="85"/>
      <c r="X179" s="86" t="str">
        <f aca="false">IF(ISBLANK($C179),"",IF($E179=Constants!$B$2,TRUE(),IF($E179=Constants!$B$3,FALSE(),TRUE())))</f>
        <v/>
      </c>
      <c r="Y179" s="86" t="str">
        <f aca="false">IF(ISBLANK($C179),"",IF($F179=Constants!$B$2,TRUE(),IF($F179=Constants!$B$3,FALSE(),TRUE())))</f>
        <v/>
      </c>
      <c r="Z179" s="87" t="str">
        <f aca="false">IF(ISBLANK($C179),"",IF(ISNUMBER($G179),IF($G179&gt;=0,$G179,""),""))</f>
        <v/>
      </c>
      <c r="AA179" s="87" t="str">
        <f aca="false">IF(ISBLANK($C179),"",IF(ISNUMBER($H179),IF($H179&gt;=0,$H179,""),""))</f>
        <v/>
      </c>
      <c r="AB179" s="87" t="str">
        <f aca="false">IF(ISBLANK($C179),"",IF(ISNUMBER($I179),IF($I179&gt;=0,$I179,""),""))</f>
        <v/>
      </c>
      <c r="AC179" s="86" t="str">
        <f aca="false">IF(ISBLANK($C179),"",IF($J179=Constants!$B$2,TRUE(),IF($J179=Constants!$B$3,FALSE(),TRUE())))</f>
        <v/>
      </c>
      <c r="AD179" s="86" t="str">
        <f aca="false">IF(ISBLANK($C179),"",IF($K179=Constants!$B$2,TRUE(),IF($K179=Constants!$B$3,FALSE(),TRUE())))</f>
        <v/>
      </c>
      <c r="AE179" s="86" t="str">
        <f aca="false">IF(ISBLANK($C179),"",IF($L179=Constants!$B$2,TRUE(),IF($L179=Constants!$B$3,FALSE(),TRUE())))</f>
        <v/>
      </c>
      <c r="AF179" s="88" t="str">
        <f aca="false">IF(ISBLANK($C179),"",IF(ISNUMBER($M179),IF($M179&gt;=0,$M179,""),""))</f>
        <v/>
      </c>
      <c r="AG179" s="86" t="str">
        <f aca="false">IF(ISBLANK($C179),"",IF(ISBLANK($N179),0,IF(ISNUMBER($N179),IF(AND($N179&gt;=0,$N179&lt;=Constants!$B$17,$N179=INT($N179)),$N179,""),"")))</f>
        <v/>
      </c>
      <c r="AH179" s="87" t="str">
        <f aca="false">IF(ISBLANK($C179),"",IF(ISBLANK($O179),0,IF(ISNUMBER($O179),IF($O179&gt;=0,$O179,""),"")))</f>
        <v/>
      </c>
      <c r="AI179" s="86" t="str">
        <f aca="false">IF(ISBLANK($C179),"",IF($P179=Constants!$B$2,TRUE(),IF($P179=Constants!$B$3,FALSE(),TRUE())))</f>
        <v/>
      </c>
      <c r="AJ179" s="86" t="str">
        <f aca="false">IF(ISBLANK($C179),"",IF($Q179=Constants!$B$2,TRUE(),IF($Q179=Constants!$B$3,FALSE(),TRUE())))</f>
        <v/>
      </c>
      <c r="AK179" s="86" t="str">
        <f aca="false">IF(ISBLANK($C179),"",IF($R179=Constants!$B$2,TRUE(),IF($R179=Constants!$B$3,FALSE(),TRUE())))</f>
        <v/>
      </c>
      <c r="AL179" s="88" t="str">
        <f aca="false">IF(ISBLANK($C179),"",IF(ISNUMBER($S179),IF($S179&gt;=0,$S179,""),""))</f>
        <v/>
      </c>
      <c r="AM179" s="86" t="str">
        <f aca="false">IF(ISBLANK($C179),"",IF(ISBLANK($T179),0,IF(ISNUMBER($T179),IF(AND($T179&gt;=0,$T179&lt;=Constants!$B$17,$T179=INT($T179)),$T179,""),"")))</f>
        <v/>
      </c>
      <c r="AN179" s="87" t="str">
        <f aca="false">IF(ISBLANK($C179),"",IF(ISBLANK($U179),0,IF(ISNUMBER($U179),IF($U179&gt;=0,$U179,""),"")))</f>
        <v/>
      </c>
      <c r="AO179" s="86" t="str">
        <f aca="false">IF(ISBLANK($C179),"",IF($V179=Constants!$B$2,TRUE(),IF($V179=Constants!$B$3,FALSE(),FALSE())))</f>
        <v/>
      </c>
      <c r="AP179" s="86"/>
      <c r="AQ179" s="85" t="str">
        <f aca="false">IF(ISBLANK($C179),"",AND($Y179,OR($AS179,$BC179),OR($Z179="",$AA179="",$AB179="")))</f>
        <v/>
      </c>
      <c r="AR179" s="85" t="str">
        <f aca="false">IF(ISBLANK($C179),"",IF(OR(NOT($Y179),NOT(OR($AS179,$BC179))),"",IF(ISBLANK($D$7),$AR$5,IF($AP$9="",$AR$6,""))))</f>
        <v/>
      </c>
      <c r="AS179" s="85" t="str">
        <f aca="false">IF(ISBLANK($C179),"",COUNTA($J179:$O179)&gt;0)</f>
        <v/>
      </c>
      <c r="AT179" s="85" t="str">
        <f aca="false">IF(ISBLANK($C179),"",AND($AS179,OR(AND($AF179="",OR($AE179,NOT(ISBLANK($M179)))),$AG179="",$AH179="")))</f>
        <v/>
      </c>
      <c r="AU179" s="87" t="str">
        <f aca="false">IF($BL179&lt;&gt;Constants!$B$4,"",IF(NOT($AS179),"",ROUND((Constants!$B$12-$AB179)+(Constants!$B$13-$Z179)+(Constants!$B$14-$AA179),1)))</f>
        <v/>
      </c>
      <c r="AV179" s="90" t="str">
        <f aca="false">IF($BL179&lt;&gt;Constants!$B$4,"",IF(NOT($AS179),"",IF(NOT($AE179),0,Constants!$B$15*(INT(ROUND(MIN($AF179,$AP$9),6))-INT(ROUND(MAX(0,MIN($AF179,2*$AP$9)-$AP$9),6))))))</f>
        <v/>
      </c>
      <c r="AW179" s="90" t="str">
        <f aca="false">IF($BL179&lt;&gt;Constants!$B$4,"",IF(NOT($AS179),"",Constants!$B$16*$AG179))</f>
        <v/>
      </c>
      <c r="AX179" s="90" t="str">
        <f aca="false">IF($BL179&lt;&gt;Constants!$B$4,"",IF(NOT($AS179),"",Constants!$B$18*INT(ROUND($AH179,6))))</f>
        <v/>
      </c>
      <c r="AY179" s="85" t="str">
        <f aca="false">IF($BL179&lt;&gt;Constants!$B$4,"",IF(NOT($AS179),"",IF(NOT($X179),Constants!$B$11,IF(OR(NOT($AC179),NOT($AD179),ROUND($AB179,1)&gt;Constants!$B$12,ROUND($Z179,1)&gt;Constants!$B$13,ROUND($AA179,1)&gt;Constants!$B$14),Constants!$B$10,Constants!$B$9))))</f>
        <v/>
      </c>
      <c r="AZ179" s="91" t="str">
        <f aca="false">IF($BL179&lt;&gt;Constants!$B$4,"",IF(NOT($AS179),"",ROUND($AU179+$AV179+$AW179+$AX179,1)))</f>
        <v/>
      </c>
      <c r="BA179" s="92" t="str">
        <f aca="false">IF($BL179&lt;&gt;Constants!$B$4,"",IF(NOT($AS179),"",IF(ISNUMBER($AF179),$AF179,0)))</f>
        <v/>
      </c>
      <c r="BB179" s="86" t="str">
        <f aca="false">IF($BL179&lt;&gt;Constants!$B$4,"",IF(NOT($BC179),"&lt;-",IF(NOT($AS179),"-&gt;",IF(OR($BI179&lt;$AY179,AND($BI179=$AY179,OR($BJ179&gt;$AZ179,AND($BJ179=$AZ179,OR($BH179&gt;$AX179,AND($BH179=$AX179,OR($BE179&gt;$AU179,AND($BE179=$AU179,OR($BF179&gt;$AV179,AND($BF179=$AV179,$BK179&gt;$BA179)))))))))),"-&gt;","&lt;-"))))</f>
        <v/>
      </c>
      <c r="BC179" s="85" t="str">
        <f aca="false">IF(ISBLANK($C179),"",COUNTA($P179:$U179)&gt;0)</f>
        <v/>
      </c>
      <c r="BD179" s="85" t="str">
        <f aca="false">IF(ISBLANK($C179),"",AND($BC179,OR(AND($AL179="",OR($AK179,NOT(ISBLANK($S179)))),$AM179="",$AN179="")))</f>
        <v/>
      </c>
      <c r="BE179" s="87" t="str">
        <f aca="false">IF($BL179&lt;&gt;Constants!$B$4,"",IF(NOT($BC179),"",ROUND((Constants!$B$12-$AB179)+(Constants!$B$13-$Z179)+(Constants!$B$14-$AA179),1)))</f>
        <v/>
      </c>
      <c r="BF179" s="90" t="str">
        <f aca="false">IF($BL179&lt;&gt;Constants!$B$4,"",IF(NOT($BC179),"",IF(NOT($AK179),0,Constants!$B$15*(INT(ROUND(MIN($AL179,$AP$9),6))-INT(ROUND(MAX(0,MIN($AL179,2*$AP$9)-$AP$9),6))))))</f>
        <v/>
      </c>
      <c r="BG179" s="90" t="str">
        <f aca="false">IF($BL179&lt;&gt;Constants!$B$4,"",IF(NOT($BC179),"",Constants!$B$16*$AM179))</f>
        <v/>
      </c>
      <c r="BH179" s="90" t="str">
        <f aca="false">IF($BL179&lt;&gt;Constants!$B$4,"",IF(NOT($BC179),"",Constants!$B$18*INT(ROUND($AN179,6))))</f>
        <v/>
      </c>
      <c r="BI179" s="85" t="str">
        <f aca="false">IF($BL179&lt;&gt;Constants!$B$4,"",IF(NOT($BC179),"",IF(NOT($X179),Constants!$B$11,IF(OR(NOT($AI179),NOT($AJ179),ROUND($AB179,1)&gt;Constants!$B$12,ROUND($Z179,1)&gt;Constants!$B$13,ROUND($AA179,1)&gt;Constants!$B$14),Constants!$B$10,Constants!$B$9))))</f>
        <v/>
      </c>
      <c r="BJ179" s="91" t="str">
        <f aca="false">IF($BL179&lt;&gt;Constants!$B$4,"",IF(NOT($BC179),"",ROUND($BE179+$BF179+$BG179+$BH179,1)))</f>
        <v/>
      </c>
      <c r="BK179" s="92" t="str">
        <f aca="false">IF($BL179&lt;&gt;Constants!$B$4,"",IF(NOT($BC179),"",IF(ISNUMBER($AL179),$AL179,0)))</f>
        <v/>
      </c>
      <c r="BL179" s="86" t="str">
        <f aca="false">IF(ISBLANK($C179),"",IF($AO179,Constants!$B$7,IF(COUNTA($E179:$V179)=0,Constants!$B$6,IF(NOT($Y179),Constants!$B$5,IF(NOT(OR($AS179,$BC179)),Constants!$B$5,IF(OR($AT179,$BD179,$AQ179,$AR179&lt;&gt;""),Constants!$B$8,Constants!$B$4))))))</f>
        <v/>
      </c>
      <c r="BM179" s="86" t="str">
        <f aca="false">IF(ISBLANK($C179),"",IF($BL179&lt;&gt;Constants!$B$4,$BL179,IF($BB179="-&gt;",$BI179,$AY179)))</f>
        <v/>
      </c>
      <c r="BN179" s="90" t="str">
        <f aca="false">IF($BL179&lt;&gt;Constants!$B$4,"",IF($BB179="-&gt;",$BJ179,$AZ179))</f>
        <v/>
      </c>
      <c r="BO179" s="90" t="str">
        <f aca="false">IF(ISBLANK($C179),"",IF($BL179&lt;&gt;Constants!$B$4,$BL179,$BN179))</f>
        <v/>
      </c>
      <c r="BP179" s="86" t="str">
        <f aca="false">IF(ISBLANK($C179),"",IF($BL179&lt;&gt;Constants!$B$4,$BL179,RANK($BO179,$BO$9:$BO$508,0)))</f>
        <v/>
      </c>
      <c r="BQ179" s="86" t="str">
        <f aca="false">IF(ISBLANK($C179),"",IF($BL179&lt;&gt;Constants!$B$4,$BL179,COUNTIFS($BM$9:$BM$508,"&lt;"&amp;$BM179)+COUNTIFS($BM$9:$BM$508,$BM179,$BP$9:$BP$508,"&lt;"&amp;$BP179)+1))</f>
        <v/>
      </c>
      <c r="BR179" s="90" t="str">
        <f aca="false">IF($BL179&lt;&gt;Constants!$B$4,"",IF($BB179="-&gt;",$BH179,$AX179))</f>
        <v/>
      </c>
      <c r="BS179" s="86" t="str">
        <f aca="false">IF(ISBLANK($C179),"",IF($BL179&lt;&gt;Constants!$B$4,$BL179,IF(ISNUMBER($BR179),RANK($BR179,$BR$9:$BR$508,0),COUNT($BR$9:$BR$508)+1)))</f>
        <v/>
      </c>
      <c r="BT179" s="90" t="str">
        <f aca="false">IF($BL179&lt;&gt;Constants!$B$4,"",IF($BB179="-&gt;",$BE179,$AU179))</f>
        <v/>
      </c>
      <c r="BU179" s="86" t="str">
        <f aca="false">IF(ISBLANK($C179),"",IF($BL179&lt;&gt;Constants!$B$4,$BL179,IF(ISNUMBER($BT179),RANK($BT179,$BT$9:$BT$508,0),COUNT($BT$9:$BT$508)+1)))</f>
        <v/>
      </c>
      <c r="BV179" s="90" t="str">
        <f aca="false">IF($BL179&lt;&gt;Constants!$B$4,"",IF($BB179="-&gt;",$BF179,$AV179))</f>
        <v/>
      </c>
      <c r="BW179" s="86" t="str">
        <f aca="false">IF(ISBLANK($C179),"",IF($BL179&lt;&gt;Constants!$B$4,$BL179,IF(ISNUMBER($BV179),RANK($BV179,$BV$9:$BV$508,0),COUNT($BV$9:$BV$508)+1)))</f>
        <v/>
      </c>
      <c r="BX179" s="90" t="str">
        <f aca="false">IF($BL179&lt;&gt;Constants!$B$4,"",IF($BB179="-&gt;",$BK179,$BA179))</f>
        <v/>
      </c>
      <c r="BY179" s="86" t="str">
        <f aca="false">IF(ISBLANK($C179),"",IF($BL179&lt;&gt;Constants!$B$4,$BL179,IF(ISNUMBER($BX179),RANK($BX179,$BX$9:$BX$508,0),COUNT($BX$9:$BX$508)+1)))</f>
        <v/>
      </c>
      <c r="BZ179" s="86" t="str">
        <f aca="false">IF(ISBLANK($C179),"",IF($BL179&lt;&gt;Constants!$B$4,$BL179,COUNTIFS($BM$9:$BM$508,"&lt;"&amp;$BM179)+COUNTIFS($BM$9:$BM$508,$BM179,$BP$9:$BP$508,"&lt;"&amp;$BP179)+COUNTIFS($BM$9:$BM$508,$BM179,$BP$9:$BP$508,$BP179,$BS$9:$BS$508,"&lt;"&amp;$BS179)+COUNTIFS($BM$9:$BM$508,$BM179,$BP$9:$BP$508,$BP179,$BS$9:$BS$508,$BS179,$BU$9:$BU$508,"&lt;"&amp;$BU179)+COUNTIFS($BM$9:$BM$508,$BM179,$BP$9:$BP$508,$BP179,$BS$9:$BS$508,$BS179,$BU$9:$BU$508,$BU179,$BW$9:$BW$508,"&lt;"&amp;$BW179)+COUNTIFS($BM$9:$BM$508,$BM179,$BP$9:$BP$508,$BP179,$BS$9:$BS$508,$BS179,$BU$9:$BU$508,$BU179,$BW$9:$BW$508,$BW179,$BY$9:$BY$508,"&lt;"&amp;$BY179)+1))</f>
        <v/>
      </c>
      <c r="CA179" s="86" t="str">
        <f aca="false">IF(ISBLANK($C179),"",IF($BL179&lt;&gt;Constants!$B$4,$BL179,$BQ179-$BZ179))</f>
        <v/>
      </c>
      <c r="CB179" s="93"/>
      <c r="CC179" s="94" t="str">
        <f aca="false">IF(ISBLANK($C179),"",IF($BL179=Constants!$B$8,$AR179,""))</f>
        <v/>
      </c>
      <c r="CD179" s="94" t="str">
        <f aca="false">IF(ISBLANK($C179),"",IF($BL179&lt;&gt;Constants!$B$4,"",IF($BB179="-&gt;",2,1)))</f>
        <v/>
      </c>
      <c r="CE179" s="95" t="str">
        <f aca="false">IF(ISBLANK($C179),"",IF($BL179&lt;&gt;Constants!$B$4,"",IF($BB179="-&gt;",$BE179,$AU179)))</f>
        <v/>
      </c>
      <c r="CF179" s="95" t="str">
        <f aca="false">IF(ISBLANK($C179),"",IF($BL179&lt;&gt;Constants!$B$4,"",IF($BB179="-&gt;",$BF179,$AV179)))</f>
        <v/>
      </c>
      <c r="CG179" s="95" t="str">
        <f aca="false">IF(ISBLANK($C179),"",IF($BL179&lt;&gt;Constants!$B$4,"",IF($BB179="-&gt;",$BG179,$AW179)))</f>
        <v/>
      </c>
      <c r="CH179" s="95" t="str">
        <f aca="false">IF(ISBLANK($C179),"",IF($BL179&lt;&gt;Constants!$B$4,"",IF($BB179="-&gt;",$BH179,$AX179)))</f>
        <v/>
      </c>
      <c r="CI179" s="96" t="str">
        <f aca="false">IF(ISBLANK($C179),"",$BO179)</f>
        <v/>
      </c>
      <c r="CJ179" s="97" t="str">
        <f aca="false">IF(ISBLANK($C179),"",$BM179)</f>
        <v/>
      </c>
      <c r="CK179" s="98" t="str">
        <f aca="false">IF(ISBLANK($C179),"",$CA179)</f>
        <v/>
      </c>
      <c r="CL179" s="98" t="str">
        <f aca="false">IF(ISBLANK($C179),"",$BZ179)</f>
        <v/>
      </c>
      <c r="CM179" s="99" t="str">
        <f aca="false">IF(ISBLANK($C179),"",IF($CL179=Constants!$B$7,COUNTA($C$9:$C$508)+2,IF($CL179=Constants!$B$6,COUNTA($C$9:$C$508)+1,IF($CL179=Constants!$B$5,COUNTA($C$9:$C$508),$CL179))))</f>
        <v/>
      </c>
      <c r="CN179" s="8"/>
      <c r="CO179" s="100" t="n">
        <f aca="false">IF(OR(ISNUMBER($CL179),$CL179=Constants!$B$7,$CL179=Constants!$B$5,$CL179=Constants!$B$6),1,0)</f>
        <v>0</v>
      </c>
      <c r="CP179" s="100" t="n">
        <v>171</v>
      </c>
      <c r="CQ179" s="100" t="str">
        <f aca="false">IF(ISBLANK($C179),"",IF(ISNUMBER($CM179),$CM179+ROW($B179)/1000,""))</f>
        <v/>
      </c>
      <c r="CR179" s="100" t="str">
        <f aca="false">IF(ISNUMBER($CQ179),RANK($CQ179,$CQ$9:$CQ$508,1),"")</f>
        <v/>
      </c>
      <c r="CS179" s="100" t="str">
        <f aca="false">IF(ISBLANK($C179),"",$B179)</f>
        <v/>
      </c>
      <c r="CT179" s="100" t="str">
        <f aca="false">IF(ISBLANK($C179),"",$C179)</f>
        <v/>
      </c>
      <c r="CU179" s="100" t="str">
        <f aca="false">IF(ISBLANK($C179),"",$D179)</f>
        <v/>
      </c>
      <c r="CV179" s="101" t="str">
        <f aca="false">$CJ179</f>
        <v/>
      </c>
      <c r="CW179" s="102" t="str">
        <f aca="false">$CI179</f>
        <v/>
      </c>
      <c r="CX179" s="100" t="str">
        <f aca="false">IF(ISBLANK($C179),"",$CL179)</f>
        <v/>
      </c>
      <c r="CY179" s="103" t="str">
        <f aca="false">IF($CP179&gt;$CO$8,"",VLOOKUP($CP179,$CR$9:$CX$508,7,FALSE()))</f>
        <v/>
      </c>
      <c r="CZ179" s="104" t="str">
        <f aca="false">IF($CP179&gt;$CO$8,"",VLOOKUP($CP179,$CR$9:$CX$508,2,FALSE()))</f>
        <v/>
      </c>
      <c r="DA179" s="104" t="str">
        <f aca="false">IF($CP179&gt;$CO$8,"",VLOOKUP($CP179,$CR$9:$CX$508,3,FALSE()))</f>
        <v/>
      </c>
      <c r="DB179" s="104" t="str">
        <f aca="false">IF($CP179&gt;$CO$8,"",VLOOKUP($CP179,$CR$9:$CX$508,4,FALSE()))</f>
        <v/>
      </c>
      <c r="DC179" s="104" t="str">
        <f aca="false">IF($CP179&gt;$CO$8,"",VLOOKUP($CP179,$CR$9:$CX$508,5,FALSE()))</f>
        <v/>
      </c>
      <c r="DD179" s="105" t="str">
        <f aca="false">IF($CP179&gt;$CO$8,"",VLOOKUP($CP179,$CR$9:$CX$508,6,FALSE()))</f>
        <v/>
      </c>
      <c r="DE179" s="70"/>
    </row>
    <row r="180" customFormat="false" ht="15.75" hidden="false" customHeight="false" outlineLevel="0" collapsed="false">
      <c r="A180" s="8"/>
      <c r="B180" s="146"/>
      <c r="C180" s="147"/>
      <c r="D180" s="148"/>
      <c r="E180" s="164"/>
      <c r="F180" s="150"/>
      <c r="G180" s="115"/>
      <c r="H180" s="115"/>
      <c r="I180" s="115"/>
      <c r="J180" s="165"/>
      <c r="K180" s="154"/>
      <c r="L180" s="154"/>
      <c r="M180" s="118"/>
      <c r="N180" s="154"/>
      <c r="O180" s="153"/>
      <c r="P180" s="154"/>
      <c r="Q180" s="154"/>
      <c r="R180" s="154"/>
      <c r="S180" s="115"/>
      <c r="T180" s="154"/>
      <c r="U180" s="153"/>
      <c r="V180" s="154"/>
      <c r="W180" s="123"/>
      <c r="X180" s="124" t="str">
        <f aca="false">IF(ISBLANK($C180),"",IF($E180=Constants!$B$2,TRUE(),IF($E180=Constants!$B$3,FALSE(),TRUE())))</f>
        <v/>
      </c>
      <c r="Y180" s="124" t="str">
        <f aca="false">IF(ISBLANK($C180),"",IF($F180=Constants!$B$2,TRUE(),IF($F180=Constants!$B$3,FALSE(),TRUE())))</f>
        <v/>
      </c>
      <c r="Z180" s="125" t="str">
        <f aca="false">IF(ISBLANK($C180),"",IF(ISNUMBER($G180),IF($G180&gt;=0,$G180,""),""))</f>
        <v/>
      </c>
      <c r="AA180" s="125" t="str">
        <f aca="false">IF(ISBLANK($C180),"",IF(ISNUMBER($H180),IF($H180&gt;=0,$H180,""),""))</f>
        <v/>
      </c>
      <c r="AB180" s="125" t="str">
        <f aca="false">IF(ISBLANK($C180),"",IF(ISNUMBER($I180),IF($I180&gt;=0,$I180,""),""))</f>
        <v/>
      </c>
      <c r="AC180" s="124" t="str">
        <f aca="false">IF(ISBLANK($C180),"",IF($J180=Constants!$B$2,TRUE(),IF($J180=Constants!$B$3,FALSE(),TRUE())))</f>
        <v/>
      </c>
      <c r="AD180" s="124" t="str">
        <f aca="false">IF(ISBLANK($C180),"",IF($K180=Constants!$B$2,TRUE(),IF($K180=Constants!$B$3,FALSE(),TRUE())))</f>
        <v/>
      </c>
      <c r="AE180" s="124" t="str">
        <f aca="false">IF(ISBLANK($C180),"",IF($L180=Constants!$B$2,TRUE(),IF($L180=Constants!$B$3,FALSE(),TRUE())))</f>
        <v/>
      </c>
      <c r="AF180" s="126" t="str">
        <f aca="false">IF(ISBLANK($C180),"",IF(ISNUMBER($M180),IF($M180&gt;=0,$M180,""),""))</f>
        <v/>
      </c>
      <c r="AG180" s="124" t="str">
        <f aca="false">IF(ISBLANK($C180),"",IF(ISBLANK($N180),0,IF(ISNUMBER($N180),IF(AND($N180&gt;=0,$N180&lt;=Constants!$B$17,$N180=INT($N180)),$N180,""),"")))</f>
        <v/>
      </c>
      <c r="AH180" s="125" t="str">
        <f aca="false">IF(ISBLANK($C180),"",IF(ISBLANK($O180),0,IF(ISNUMBER($O180),IF($O180&gt;=0,$O180,""),"")))</f>
        <v/>
      </c>
      <c r="AI180" s="124" t="str">
        <f aca="false">IF(ISBLANK($C180),"",IF($P180=Constants!$B$2,TRUE(),IF($P180=Constants!$B$3,FALSE(),TRUE())))</f>
        <v/>
      </c>
      <c r="AJ180" s="124" t="str">
        <f aca="false">IF(ISBLANK($C180),"",IF($Q180=Constants!$B$2,TRUE(),IF($Q180=Constants!$B$3,FALSE(),TRUE())))</f>
        <v/>
      </c>
      <c r="AK180" s="124" t="str">
        <f aca="false">IF(ISBLANK($C180),"",IF($R180=Constants!$B$2,TRUE(),IF($R180=Constants!$B$3,FALSE(),TRUE())))</f>
        <v/>
      </c>
      <c r="AL180" s="126" t="str">
        <f aca="false">IF(ISBLANK($C180),"",IF(ISNUMBER($S180),IF($S180&gt;=0,$S180,""),""))</f>
        <v/>
      </c>
      <c r="AM180" s="124" t="str">
        <f aca="false">IF(ISBLANK($C180),"",IF(ISBLANK($T180),0,IF(ISNUMBER($T180),IF(AND($T180&gt;=0,$T180&lt;=Constants!$B$17,$T180=INT($T180)),$T180,""),"")))</f>
        <v/>
      </c>
      <c r="AN180" s="125" t="str">
        <f aca="false">IF(ISBLANK($C180),"",IF(ISBLANK($U180),0,IF(ISNUMBER($U180),IF($U180&gt;=0,$U180,""),"")))</f>
        <v/>
      </c>
      <c r="AO180" s="124" t="str">
        <f aca="false">IF(ISBLANK($C180),"",IF($V180=Constants!$B$2,TRUE(),IF($V180=Constants!$B$3,FALSE(),FALSE())))</f>
        <v/>
      </c>
      <c r="AP180" s="124"/>
      <c r="AQ180" s="123" t="str">
        <f aca="false">IF(ISBLANK($C180),"",AND($Y180,OR($AS180,$BC180),OR($Z180="",$AA180="",$AB180="")))</f>
        <v/>
      </c>
      <c r="AR180" s="123" t="str">
        <f aca="false">IF(ISBLANK($C180),"",IF(OR(NOT($Y180),NOT(OR($AS180,$BC180))),"",IF(ISBLANK($D$7),$AR$5,IF($AP$9="",$AR$6,""))))</f>
        <v/>
      </c>
      <c r="AS180" s="123" t="str">
        <f aca="false">IF(ISBLANK($C180),"",COUNTA($J180:$O180)&gt;0)</f>
        <v/>
      </c>
      <c r="AT180" s="123" t="str">
        <f aca="false">IF(ISBLANK($C180),"",AND($AS180,OR(AND($AF180="",OR($AE180,NOT(ISBLANK($M180)))),$AG180="",$AH180="")))</f>
        <v/>
      </c>
      <c r="AU180" s="125" t="str">
        <f aca="false">IF($BL180&lt;&gt;Constants!$B$4,"",IF(NOT($AS180),"",ROUND((Constants!$B$12-$AB180)+(Constants!$B$13-$Z180)+(Constants!$B$14-$AA180),1)))</f>
        <v/>
      </c>
      <c r="AV180" s="127" t="str">
        <f aca="false">IF($BL180&lt;&gt;Constants!$B$4,"",IF(NOT($AS180),"",IF(NOT($AE180),0,Constants!$B$15*(INT(ROUND(MIN($AF180,$AP$9),6))-INT(ROUND(MAX(0,MIN($AF180,2*$AP$9)-$AP$9),6))))))</f>
        <v/>
      </c>
      <c r="AW180" s="127" t="str">
        <f aca="false">IF($BL180&lt;&gt;Constants!$B$4,"",IF(NOT($AS180),"",Constants!$B$16*$AG180))</f>
        <v/>
      </c>
      <c r="AX180" s="127" t="str">
        <f aca="false">IF($BL180&lt;&gt;Constants!$B$4,"",IF(NOT($AS180),"",Constants!$B$18*INT(ROUND($AH180,6))))</f>
        <v/>
      </c>
      <c r="AY180" s="123" t="str">
        <f aca="false">IF($BL180&lt;&gt;Constants!$B$4,"",IF(NOT($AS180),"",IF(NOT($X180),Constants!$B$11,IF(OR(NOT($AC180),NOT($AD180),ROUND($AB180,1)&gt;Constants!$B$12,ROUND($Z180,1)&gt;Constants!$B$13,ROUND($AA180,1)&gt;Constants!$B$14),Constants!$B$10,Constants!$B$9))))</f>
        <v/>
      </c>
      <c r="AZ180" s="128" t="str">
        <f aca="false">IF($BL180&lt;&gt;Constants!$B$4,"",IF(NOT($AS180),"",ROUND($AU180+$AV180+$AW180+$AX180,1)))</f>
        <v/>
      </c>
      <c r="BA180" s="129" t="str">
        <f aca="false">IF($BL180&lt;&gt;Constants!$B$4,"",IF(NOT($AS180),"",IF(ISNUMBER($AF180),$AF180,0)))</f>
        <v/>
      </c>
      <c r="BB180" s="124" t="str">
        <f aca="false">IF($BL180&lt;&gt;Constants!$B$4,"",IF(NOT($BC180),"&lt;-",IF(NOT($AS180),"-&gt;",IF(OR($BI180&lt;$AY180,AND($BI180=$AY180,OR($BJ180&gt;$AZ180,AND($BJ180=$AZ180,OR($BH180&gt;$AX180,AND($BH180=$AX180,OR($BE180&gt;$AU180,AND($BE180=$AU180,OR($BF180&gt;$AV180,AND($BF180=$AV180,$BK180&gt;$BA180)))))))))),"-&gt;","&lt;-"))))</f>
        <v/>
      </c>
      <c r="BC180" s="123" t="str">
        <f aca="false">IF(ISBLANK($C180),"",COUNTA($P180:$U180)&gt;0)</f>
        <v/>
      </c>
      <c r="BD180" s="123" t="str">
        <f aca="false">IF(ISBLANK($C180),"",AND($BC180,OR(AND($AL180="",OR($AK180,NOT(ISBLANK($S180)))),$AM180="",$AN180="")))</f>
        <v/>
      </c>
      <c r="BE180" s="125" t="str">
        <f aca="false">IF($BL180&lt;&gt;Constants!$B$4,"",IF(NOT($BC180),"",ROUND((Constants!$B$12-$AB180)+(Constants!$B$13-$Z180)+(Constants!$B$14-$AA180),1)))</f>
        <v/>
      </c>
      <c r="BF180" s="127" t="str">
        <f aca="false">IF($BL180&lt;&gt;Constants!$B$4,"",IF(NOT($BC180),"",IF(NOT($AK180),0,Constants!$B$15*(INT(ROUND(MIN($AL180,$AP$9),6))-INT(ROUND(MAX(0,MIN($AL180,2*$AP$9)-$AP$9),6))))))</f>
        <v/>
      </c>
      <c r="BG180" s="127" t="str">
        <f aca="false">IF($BL180&lt;&gt;Constants!$B$4,"",IF(NOT($BC180),"",Constants!$B$16*$AM180))</f>
        <v/>
      </c>
      <c r="BH180" s="127" t="str">
        <f aca="false">IF($BL180&lt;&gt;Constants!$B$4,"",IF(NOT($BC180),"",Constants!$B$18*INT(ROUND($AN180,6))))</f>
        <v/>
      </c>
      <c r="BI180" s="123" t="str">
        <f aca="false">IF($BL180&lt;&gt;Constants!$B$4,"",IF(NOT($BC180),"",IF(NOT($X180),Constants!$B$11,IF(OR(NOT($AI180),NOT($AJ180),ROUND($AB180,1)&gt;Constants!$B$12,ROUND($Z180,1)&gt;Constants!$B$13,ROUND($AA180,1)&gt;Constants!$B$14),Constants!$B$10,Constants!$B$9))))</f>
        <v/>
      </c>
      <c r="BJ180" s="128" t="str">
        <f aca="false">IF($BL180&lt;&gt;Constants!$B$4,"",IF(NOT($BC180),"",ROUND($BE180+$BF180+$BG180+$BH180,1)))</f>
        <v/>
      </c>
      <c r="BK180" s="129" t="str">
        <f aca="false">IF($BL180&lt;&gt;Constants!$B$4,"",IF(NOT($BC180),"",IF(ISNUMBER($AL180),$AL180,0)))</f>
        <v/>
      </c>
      <c r="BL180" s="124" t="str">
        <f aca="false">IF(ISBLANK($C180),"",IF($AO180,Constants!$B$7,IF(COUNTA($E180:$V180)=0,Constants!$B$6,IF(NOT($Y180),Constants!$B$5,IF(NOT(OR($AS180,$BC180)),Constants!$B$5,IF(OR($AT180,$BD180,$AQ180,$AR180&lt;&gt;""),Constants!$B$8,Constants!$B$4))))))</f>
        <v/>
      </c>
      <c r="BM180" s="124" t="str">
        <f aca="false">IF(ISBLANK($C180),"",IF($BL180&lt;&gt;Constants!$B$4,$BL180,IF($BB180="-&gt;",$BI180,$AY180)))</f>
        <v/>
      </c>
      <c r="BN180" s="127" t="str">
        <f aca="false">IF($BL180&lt;&gt;Constants!$B$4,"",IF($BB180="-&gt;",$BJ180,$AZ180))</f>
        <v/>
      </c>
      <c r="BO180" s="127" t="str">
        <f aca="false">IF(ISBLANK($C180),"",IF($BL180&lt;&gt;Constants!$B$4,$BL180,$BN180))</f>
        <v/>
      </c>
      <c r="BP180" s="124" t="str">
        <f aca="false">IF(ISBLANK($C180),"",IF($BL180&lt;&gt;Constants!$B$4,$BL180,RANK($BO180,$BO$9:$BO$508,0)))</f>
        <v/>
      </c>
      <c r="BQ180" s="124" t="str">
        <f aca="false">IF(ISBLANK($C180),"",IF($BL180&lt;&gt;Constants!$B$4,$BL180,COUNTIFS($BM$9:$BM$508,"&lt;"&amp;$BM180)+COUNTIFS($BM$9:$BM$508,$BM180,$BP$9:$BP$508,"&lt;"&amp;$BP180)+1))</f>
        <v/>
      </c>
      <c r="BR180" s="127" t="str">
        <f aca="false">IF($BL180&lt;&gt;Constants!$B$4,"",IF($BB180="-&gt;",$BH180,$AX180))</f>
        <v/>
      </c>
      <c r="BS180" s="124" t="str">
        <f aca="false">IF(ISBLANK($C180),"",IF($BL180&lt;&gt;Constants!$B$4,$BL180,IF(ISNUMBER($BR180),RANK($BR180,$BR$9:$BR$508,0),COUNT($BR$9:$BR$508)+1)))</f>
        <v/>
      </c>
      <c r="BT180" s="127" t="str">
        <f aca="false">IF($BL180&lt;&gt;Constants!$B$4,"",IF($BB180="-&gt;",$BE180,$AU180))</f>
        <v/>
      </c>
      <c r="BU180" s="124" t="str">
        <f aca="false">IF(ISBLANK($C180),"",IF($BL180&lt;&gt;Constants!$B$4,$BL180,IF(ISNUMBER($BT180),RANK($BT180,$BT$9:$BT$508,0),COUNT($BT$9:$BT$508)+1)))</f>
        <v/>
      </c>
      <c r="BV180" s="127" t="str">
        <f aca="false">IF($BL180&lt;&gt;Constants!$B$4,"",IF($BB180="-&gt;",$BF180,$AV180))</f>
        <v/>
      </c>
      <c r="BW180" s="124" t="str">
        <f aca="false">IF(ISBLANK($C180),"",IF($BL180&lt;&gt;Constants!$B$4,$BL180,IF(ISNUMBER($BV180),RANK($BV180,$BV$9:$BV$508,0),COUNT($BV$9:$BV$508)+1)))</f>
        <v/>
      </c>
      <c r="BX180" s="127" t="str">
        <f aca="false">IF($BL180&lt;&gt;Constants!$B$4,"",IF($BB180="-&gt;",$BK180,$BA180))</f>
        <v/>
      </c>
      <c r="BY180" s="124" t="str">
        <f aca="false">IF(ISBLANK($C180),"",IF($BL180&lt;&gt;Constants!$B$4,$BL180,IF(ISNUMBER($BX180),RANK($BX180,$BX$9:$BX$508,0),COUNT($BX$9:$BX$508)+1)))</f>
        <v/>
      </c>
      <c r="BZ180" s="124" t="str">
        <f aca="false">IF(ISBLANK($C180),"",IF($BL180&lt;&gt;Constants!$B$4,$BL180,COUNTIFS($BM$9:$BM$508,"&lt;"&amp;$BM180)+COUNTIFS($BM$9:$BM$508,$BM180,$BP$9:$BP$508,"&lt;"&amp;$BP180)+COUNTIFS($BM$9:$BM$508,$BM180,$BP$9:$BP$508,$BP180,$BS$9:$BS$508,"&lt;"&amp;$BS180)+COUNTIFS($BM$9:$BM$508,$BM180,$BP$9:$BP$508,$BP180,$BS$9:$BS$508,$BS180,$BU$9:$BU$508,"&lt;"&amp;$BU180)+COUNTIFS($BM$9:$BM$508,$BM180,$BP$9:$BP$508,$BP180,$BS$9:$BS$508,$BS180,$BU$9:$BU$508,$BU180,$BW$9:$BW$508,"&lt;"&amp;$BW180)+COUNTIFS($BM$9:$BM$508,$BM180,$BP$9:$BP$508,$BP180,$BS$9:$BS$508,$BS180,$BU$9:$BU$508,$BU180,$BW$9:$BW$508,$BW180,$BY$9:$BY$508,"&lt;"&amp;$BY180)+1))</f>
        <v/>
      </c>
      <c r="CA180" s="124" t="str">
        <f aca="false">IF(ISBLANK($C180),"",IF($BL180&lt;&gt;Constants!$B$4,$BL180,$BQ180-$BZ180))</f>
        <v/>
      </c>
      <c r="CB180" s="130"/>
      <c r="CC180" s="131" t="str">
        <f aca="false">IF(ISBLANK($C180),"",IF($BL180=Constants!$B$8,$AR180,""))</f>
        <v/>
      </c>
      <c r="CD180" s="131" t="str">
        <f aca="false">IF(ISBLANK($C180),"",IF($BL180&lt;&gt;Constants!$B$4,"",IF($BB180="-&gt;",2,1)))</f>
        <v/>
      </c>
      <c r="CE180" s="132" t="str">
        <f aca="false">IF(ISBLANK($C180),"",IF($BL180&lt;&gt;Constants!$B$4,"",IF($BB180="-&gt;",$BE180,$AU180)))</f>
        <v/>
      </c>
      <c r="CF180" s="132" t="str">
        <f aca="false">IF(ISBLANK($C180),"",IF($BL180&lt;&gt;Constants!$B$4,"",IF($BB180="-&gt;",$BF180,$AV180)))</f>
        <v/>
      </c>
      <c r="CG180" s="132" t="str">
        <f aca="false">IF(ISBLANK($C180),"",IF($BL180&lt;&gt;Constants!$B$4,"",IF($BB180="-&gt;",$BG180,$AW180)))</f>
        <v/>
      </c>
      <c r="CH180" s="132" t="str">
        <f aca="false">IF(ISBLANK($C180),"",IF($BL180&lt;&gt;Constants!$B$4,"",IF($BB180="-&gt;",$BH180,$AX180)))</f>
        <v/>
      </c>
      <c r="CI180" s="133" t="str">
        <f aca="false">IF(ISBLANK($C180),"",$BO180)</f>
        <v/>
      </c>
      <c r="CJ180" s="134" t="str">
        <f aca="false">IF(ISBLANK($C180),"",$BM180)</f>
        <v/>
      </c>
      <c r="CK180" s="135" t="str">
        <f aca="false">IF(ISBLANK($C180),"",$CA180)</f>
        <v/>
      </c>
      <c r="CL180" s="135" t="str">
        <f aca="false">IF(ISBLANK($C180),"",$BZ180)</f>
        <v/>
      </c>
      <c r="CM180" s="136" t="str">
        <f aca="false">IF(ISBLANK($C180),"",IF($CL180=Constants!$B$7,COUNTA($C$9:$C$508)+2,IF($CL180=Constants!$B$6,COUNTA($C$9:$C$508)+1,IF($CL180=Constants!$B$5,COUNTA($C$9:$C$508),$CL180))))</f>
        <v/>
      </c>
      <c r="CN180" s="8"/>
      <c r="CO180" s="137" t="n">
        <f aca="false">IF(OR(ISNUMBER($CL180),$CL180=Constants!$B$7,$CL180=Constants!$B$5,$CL180=Constants!$B$6),1,0)</f>
        <v>0</v>
      </c>
      <c r="CP180" s="137" t="n">
        <v>172</v>
      </c>
      <c r="CQ180" s="137" t="str">
        <f aca="false">IF(ISBLANK($C180),"",IF(ISNUMBER($CM180),$CM180+ROW($B180)/1000,""))</f>
        <v/>
      </c>
      <c r="CR180" s="137" t="str">
        <f aca="false">IF(ISNUMBER($CQ180),RANK($CQ180,$CQ$9:$CQ$508,1),"")</f>
        <v/>
      </c>
      <c r="CS180" s="137" t="str">
        <f aca="false">IF(ISBLANK($C180),"",$B180)</f>
        <v/>
      </c>
      <c r="CT180" s="137" t="str">
        <f aca="false">IF(ISBLANK($C180),"",$C180)</f>
        <v/>
      </c>
      <c r="CU180" s="137" t="str">
        <f aca="false">IF(ISBLANK($C180),"",$D180)</f>
        <v/>
      </c>
      <c r="CV180" s="138" t="str">
        <f aca="false">$CJ180</f>
        <v/>
      </c>
      <c r="CW180" s="139" t="str">
        <f aca="false">$CI180</f>
        <v/>
      </c>
      <c r="CX180" s="137" t="str">
        <f aca="false">IF(ISBLANK($C180),"",$CL180)</f>
        <v/>
      </c>
      <c r="CY180" s="140" t="str">
        <f aca="false">IF($CP180&gt;$CO$8,"",VLOOKUP($CP180,$CR$9:$CX$508,7,FALSE()))</f>
        <v/>
      </c>
      <c r="CZ180" s="141" t="str">
        <f aca="false">IF($CP180&gt;$CO$8,"",VLOOKUP($CP180,$CR$9:$CX$508,2,FALSE()))</f>
        <v/>
      </c>
      <c r="DA180" s="141" t="str">
        <f aca="false">IF($CP180&gt;$CO$8,"",VLOOKUP($CP180,$CR$9:$CX$508,3,FALSE()))</f>
        <v/>
      </c>
      <c r="DB180" s="141" t="str">
        <f aca="false">IF($CP180&gt;$CO$8,"",VLOOKUP($CP180,$CR$9:$CX$508,4,FALSE()))</f>
        <v/>
      </c>
      <c r="DC180" s="141" t="str">
        <f aca="false">IF($CP180&gt;$CO$8,"",VLOOKUP($CP180,$CR$9:$CX$508,5,FALSE()))</f>
        <v/>
      </c>
      <c r="DD180" s="142" t="str">
        <f aca="false">IF($CP180&gt;$CO$8,"",VLOOKUP($CP180,$CR$9:$CX$508,6,FALSE()))</f>
        <v/>
      </c>
      <c r="DE180" s="70"/>
    </row>
    <row r="181" customFormat="false" ht="15.75" hidden="false" customHeight="false" outlineLevel="0" collapsed="false">
      <c r="A181" s="8"/>
      <c r="B181" s="146"/>
      <c r="C181" s="147"/>
      <c r="D181" s="148"/>
      <c r="E181" s="164"/>
      <c r="F181" s="150"/>
      <c r="G181" s="115"/>
      <c r="H181" s="115"/>
      <c r="I181" s="115"/>
      <c r="J181" s="165"/>
      <c r="K181" s="154"/>
      <c r="L181" s="154"/>
      <c r="M181" s="118"/>
      <c r="N181" s="154"/>
      <c r="O181" s="153"/>
      <c r="P181" s="154"/>
      <c r="Q181" s="154"/>
      <c r="R181" s="154"/>
      <c r="S181" s="115"/>
      <c r="T181" s="154"/>
      <c r="U181" s="153"/>
      <c r="V181" s="154"/>
      <c r="W181" s="123"/>
      <c r="X181" s="124" t="str">
        <f aca="false">IF(ISBLANK($C181),"",IF($E181=Constants!$B$2,TRUE(),IF($E181=Constants!$B$3,FALSE(),TRUE())))</f>
        <v/>
      </c>
      <c r="Y181" s="124" t="str">
        <f aca="false">IF(ISBLANK($C181),"",IF($F181=Constants!$B$2,TRUE(),IF($F181=Constants!$B$3,FALSE(),TRUE())))</f>
        <v/>
      </c>
      <c r="Z181" s="125" t="str">
        <f aca="false">IF(ISBLANK($C181),"",IF(ISNUMBER($G181),IF($G181&gt;=0,$G181,""),""))</f>
        <v/>
      </c>
      <c r="AA181" s="125" t="str">
        <f aca="false">IF(ISBLANK($C181),"",IF(ISNUMBER($H181),IF($H181&gt;=0,$H181,""),""))</f>
        <v/>
      </c>
      <c r="AB181" s="125" t="str">
        <f aca="false">IF(ISBLANK($C181),"",IF(ISNUMBER($I181),IF($I181&gt;=0,$I181,""),""))</f>
        <v/>
      </c>
      <c r="AC181" s="124" t="str">
        <f aca="false">IF(ISBLANK($C181),"",IF($J181=Constants!$B$2,TRUE(),IF($J181=Constants!$B$3,FALSE(),TRUE())))</f>
        <v/>
      </c>
      <c r="AD181" s="124" t="str">
        <f aca="false">IF(ISBLANK($C181),"",IF($K181=Constants!$B$2,TRUE(),IF($K181=Constants!$B$3,FALSE(),TRUE())))</f>
        <v/>
      </c>
      <c r="AE181" s="124" t="str">
        <f aca="false">IF(ISBLANK($C181),"",IF($L181=Constants!$B$2,TRUE(),IF($L181=Constants!$B$3,FALSE(),TRUE())))</f>
        <v/>
      </c>
      <c r="AF181" s="126" t="str">
        <f aca="false">IF(ISBLANK($C181),"",IF(ISNUMBER($M181),IF($M181&gt;=0,$M181,""),""))</f>
        <v/>
      </c>
      <c r="AG181" s="124" t="str">
        <f aca="false">IF(ISBLANK($C181),"",IF(ISBLANK($N181),0,IF(ISNUMBER($N181),IF(AND($N181&gt;=0,$N181&lt;=Constants!$B$17,$N181=INT($N181)),$N181,""),"")))</f>
        <v/>
      </c>
      <c r="AH181" s="125" t="str">
        <f aca="false">IF(ISBLANK($C181),"",IF(ISBLANK($O181),0,IF(ISNUMBER($O181),IF($O181&gt;=0,$O181,""),"")))</f>
        <v/>
      </c>
      <c r="AI181" s="124" t="str">
        <f aca="false">IF(ISBLANK($C181),"",IF($P181=Constants!$B$2,TRUE(),IF($P181=Constants!$B$3,FALSE(),TRUE())))</f>
        <v/>
      </c>
      <c r="AJ181" s="124" t="str">
        <f aca="false">IF(ISBLANK($C181),"",IF($Q181=Constants!$B$2,TRUE(),IF($Q181=Constants!$B$3,FALSE(),TRUE())))</f>
        <v/>
      </c>
      <c r="AK181" s="124" t="str">
        <f aca="false">IF(ISBLANK($C181),"",IF($R181=Constants!$B$2,TRUE(),IF($R181=Constants!$B$3,FALSE(),TRUE())))</f>
        <v/>
      </c>
      <c r="AL181" s="126" t="str">
        <f aca="false">IF(ISBLANK($C181),"",IF(ISNUMBER($S181),IF($S181&gt;=0,$S181,""),""))</f>
        <v/>
      </c>
      <c r="AM181" s="124" t="str">
        <f aca="false">IF(ISBLANK($C181),"",IF(ISBLANK($T181),0,IF(ISNUMBER($T181),IF(AND($T181&gt;=0,$T181&lt;=Constants!$B$17,$T181=INT($T181)),$T181,""),"")))</f>
        <v/>
      </c>
      <c r="AN181" s="125" t="str">
        <f aca="false">IF(ISBLANK($C181),"",IF(ISBLANK($U181),0,IF(ISNUMBER($U181),IF($U181&gt;=0,$U181,""),"")))</f>
        <v/>
      </c>
      <c r="AO181" s="124" t="str">
        <f aca="false">IF(ISBLANK($C181),"",IF($V181=Constants!$B$2,TRUE(),IF($V181=Constants!$B$3,FALSE(),FALSE())))</f>
        <v/>
      </c>
      <c r="AP181" s="124"/>
      <c r="AQ181" s="123" t="str">
        <f aca="false">IF(ISBLANK($C181),"",AND($Y181,OR($AS181,$BC181),OR($Z181="",$AA181="",$AB181="")))</f>
        <v/>
      </c>
      <c r="AR181" s="123" t="str">
        <f aca="false">IF(ISBLANK($C181),"",IF(OR(NOT($Y181),NOT(OR($AS181,$BC181))),"",IF(ISBLANK($D$7),$AR$5,IF($AP$9="",$AR$6,""))))</f>
        <v/>
      </c>
      <c r="AS181" s="123" t="str">
        <f aca="false">IF(ISBLANK($C181),"",COUNTA($J181:$O181)&gt;0)</f>
        <v/>
      </c>
      <c r="AT181" s="123" t="str">
        <f aca="false">IF(ISBLANK($C181),"",AND($AS181,OR(AND($AF181="",OR($AE181,NOT(ISBLANK($M181)))),$AG181="",$AH181="")))</f>
        <v/>
      </c>
      <c r="AU181" s="125" t="str">
        <f aca="false">IF($BL181&lt;&gt;Constants!$B$4,"",IF(NOT($AS181),"",ROUND((Constants!$B$12-$AB181)+(Constants!$B$13-$Z181)+(Constants!$B$14-$AA181),1)))</f>
        <v/>
      </c>
      <c r="AV181" s="127" t="str">
        <f aca="false">IF($BL181&lt;&gt;Constants!$B$4,"",IF(NOT($AS181),"",IF(NOT($AE181),0,Constants!$B$15*(INT(ROUND(MIN($AF181,$AP$9),6))-INT(ROUND(MAX(0,MIN($AF181,2*$AP$9)-$AP$9),6))))))</f>
        <v/>
      </c>
      <c r="AW181" s="127" t="str">
        <f aca="false">IF($BL181&lt;&gt;Constants!$B$4,"",IF(NOT($AS181),"",Constants!$B$16*$AG181))</f>
        <v/>
      </c>
      <c r="AX181" s="127" t="str">
        <f aca="false">IF($BL181&lt;&gt;Constants!$B$4,"",IF(NOT($AS181),"",Constants!$B$18*INT(ROUND($AH181,6))))</f>
        <v/>
      </c>
      <c r="AY181" s="123" t="str">
        <f aca="false">IF($BL181&lt;&gt;Constants!$B$4,"",IF(NOT($AS181),"",IF(NOT($X181),Constants!$B$11,IF(OR(NOT($AC181),NOT($AD181),ROUND($AB181,1)&gt;Constants!$B$12,ROUND($Z181,1)&gt;Constants!$B$13,ROUND($AA181,1)&gt;Constants!$B$14),Constants!$B$10,Constants!$B$9))))</f>
        <v/>
      </c>
      <c r="AZ181" s="128" t="str">
        <f aca="false">IF($BL181&lt;&gt;Constants!$B$4,"",IF(NOT($AS181),"",ROUND($AU181+$AV181+$AW181+$AX181,1)))</f>
        <v/>
      </c>
      <c r="BA181" s="129" t="str">
        <f aca="false">IF($BL181&lt;&gt;Constants!$B$4,"",IF(NOT($AS181),"",IF(ISNUMBER($AF181),$AF181,0)))</f>
        <v/>
      </c>
      <c r="BB181" s="124" t="str">
        <f aca="false">IF($BL181&lt;&gt;Constants!$B$4,"",IF(NOT($BC181),"&lt;-",IF(NOT($AS181),"-&gt;",IF(OR($BI181&lt;$AY181,AND($BI181=$AY181,OR($BJ181&gt;$AZ181,AND($BJ181=$AZ181,OR($BH181&gt;$AX181,AND($BH181=$AX181,OR($BE181&gt;$AU181,AND($BE181=$AU181,OR($BF181&gt;$AV181,AND($BF181=$AV181,$BK181&gt;$BA181)))))))))),"-&gt;","&lt;-"))))</f>
        <v/>
      </c>
      <c r="BC181" s="123" t="str">
        <f aca="false">IF(ISBLANK($C181),"",COUNTA($P181:$U181)&gt;0)</f>
        <v/>
      </c>
      <c r="BD181" s="123" t="str">
        <f aca="false">IF(ISBLANK($C181),"",AND($BC181,OR(AND($AL181="",OR($AK181,NOT(ISBLANK($S181)))),$AM181="",$AN181="")))</f>
        <v/>
      </c>
      <c r="BE181" s="125" t="str">
        <f aca="false">IF($BL181&lt;&gt;Constants!$B$4,"",IF(NOT($BC181),"",ROUND((Constants!$B$12-$AB181)+(Constants!$B$13-$Z181)+(Constants!$B$14-$AA181),1)))</f>
        <v/>
      </c>
      <c r="BF181" s="127" t="str">
        <f aca="false">IF($BL181&lt;&gt;Constants!$B$4,"",IF(NOT($BC181),"",IF(NOT($AK181),0,Constants!$B$15*(INT(ROUND(MIN($AL181,$AP$9),6))-INT(ROUND(MAX(0,MIN($AL181,2*$AP$9)-$AP$9),6))))))</f>
        <v/>
      </c>
      <c r="BG181" s="127" t="str">
        <f aca="false">IF($BL181&lt;&gt;Constants!$B$4,"",IF(NOT($BC181),"",Constants!$B$16*$AM181))</f>
        <v/>
      </c>
      <c r="BH181" s="127" t="str">
        <f aca="false">IF($BL181&lt;&gt;Constants!$B$4,"",IF(NOT($BC181),"",Constants!$B$18*INT(ROUND($AN181,6))))</f>
        <v/>
      </c>
      <c r="BI181" s="123" t="str">
        <f aca="false">IF($BL181&lt;&gt;Constants!$B$4,"",IF(NOT($BC181),"",IF(NOT($X181),Constants!$B$11,IF(OR(NOT($AI181),NOT($AJ181),ROUND($AB181,1)&gt;Constants!$B$12,ROUND($Z181,1)&gt;Constants!$B$13,ROUND($AA181,1)&gt;Constants!$B$14),Constants!$B$10,Constants!$B$9))))</f>
        <v/>
      </c>
      <c r="BJ181" s="128" t="str">
        <f aca="false">IF($BL181&lt;&gt;Constants!$B$4,"",IF(NOT($BC181),"",ROUND($BE181+$BF181+$BG181+$BH181,1)))</f>
        <v/>
      </c>
      <c r="BK181" s="129" t="str">
        <f aca="false">IF($BL181&lt;&gt;Constants!$B$4,"",IF(NOT($BC181),"",IF(ISNUMBER($AL181),$AL181,0)))</f>
        <v/>
      </c>
      <c r="BL181" s="124" t="str">
        <f aca="false">IF(ISBLANK($C181),"",IF($AO181,Constants!$B$7,IF(COUNTA($E181:$V181)=0,Constants!$B$6,IF(NOT($Y181),Constants!$B$5,IF(NOT(OR($AS181,$BC181)),Constants!$B$5,IF(OR($AT181,$BD181,$AQ181,$AR181&lt;&gt;""),Constants!$B$8,Constants!$B$4))))))</f>
        <v/>
      </c>
      <c r="BM181" s="124" t="str">
        <f aca="false">IF(ISBLANK($C181),"",IF($BL181&lt;&gt;Constants!$B$4,$BL181,IF($BB181="-&gt;",$BI181,$AY181)))</f>
        <v/>
      </c>
      <c r="BN181" s="127" t="str">
        <f aca="false">IF($BL181&lt;&gt;Constants!$B$4,"",IF($BB181="-&gt;",$BJ181,$AZ181))</f>
        <v/>
      </c>
      <c r="BO181" s="127" t="str">
        <f aca="false">IF(ISBLANK($C181),"",IF($BL181&lt;&gt;Constants!$B$4,$BL181,$BN181))</f>
        <v/>
      </c>
      <c r="BP181" s="124" t="str">
        <f aca="false">IF(ISBLANK($C181),"",IF($BL181&lt;&gt;Constants!$B$4,$BL181,RANK($BO181,$BO$9:$BO$508,0)))</f>
        <v/>
      </c>
      <c r="BQ181" s="124" t="str">
        <f aca="false">IF(ISBLANK($C181),"",IF($BL181&lt;&gt;Constants!$B$4,$BL181,COUNTIFS($BM$9:$BM$508,"&lt;"&amp;$BM181)+COUNTIFS($BM$9:$BM$508,$BM181,$BP$9:$BP$508,"&lt;"&amp;$BP181)+1))</f>
        <v/>
      </c>
      <c r="BR181" s="127" t="str">
        <f aca="false">IF($BL181&lt;&gt;Constants!$B$4,"",IF($BB181="-&gt;",$BH181,$AX181))</f>
        <v/>
      </c>
      <c r="BS181" s="124" t="str">
        <f aca="false">IF(ISBLANK($C181),"",IF($BL181&lt;&gt;Constants!$B$4,$BL181,IF(ISNUMBER($BR181),RANK($BR181,$BR$9:$BR$508,0),COUNT($BR$9:$BR$508)+1)))</f>
        <v/>
      </c>
      <c r="BT181" s="127" t="str">
        <f aca="false">IF($BL181&lt;&gt;Constants!$B$4,"",IF($BB181="-&gt;",$BE181,$AU181))</f>
        <v/>
      </c>
      <c r="BU181" s="124" t="str">
        <f aca="false">IF(ISBLANK($C181),"",IF($BL181&lt;&gt;Constants!$B$4,$BL181,IF(ISNUMBER($BT181),RANK($BT181,$BT$9:$BT$508,0),COUNT($BT$9:$BT$508)+1)))</f>
        <v/>
      </c>
      <c r="BV181" s="127" t="str">
        <f aca="false">IF($BL181&lt;&gt;Constants!$B$4,"",IF($BB181="-&gt;",$BF181,$AV181))</f>
        <v/>
      </c>
      <c r="BW181" s="124" t="str">
        <f aca="false">IF(ISBLANK($C181),"",IF($BL181&lt;&gt;Constants!$B$4,$BL181,IF(ISNUMBER($BV181),RANK($BV181,$BV$9:$BV$508,0),COUNT($BV$9:$BV$508)+1)))</f>
        <v/>
      </c>
      <c r="BX181" s="127" t="str">
        <f aca="false">IF($BL181&lt;&gt;Constants!$B$4,"",IF($BB181="-&gt;",$BK181,$BA181))</f>
        <v/>
      </c>
      <c r="BY181" s="124" t="str">
        <f aca="false">IF(ISBLANK($C181),"",IF($BL181&lt;&gt;Constants!$B$4,$BL181,IF(ISNUMBER($BX181),RANK($BX181,$BX$9:$BX$508,0),COUNT($BX$9:$BX$508)+1)))</f>
        <v/>
      </c>
      <c r="BZ181" s="124" t="str">
        <f aca="false">IF(ISBLANK($C181),"",IF($BL181&lt;&gt;Constants!$B$4,$BL181,COUNTIFS($BM$9:$BM$508,"&lt;"&amp;$BM181)+COUNTIFS($BM$9:$BM$508,$BM181,$BP$9:$BP$508,"&lt;"&amp;$BP181)+COUNTIFS($BM$9:$BM$508,$BM181,$BP$9:$BP$508,$BP181,$BS$9:$BS$508,"&lt;"&amp;$BS181)+COUNTIFS($BM$9:$BM$508,$BM181,$BP$9:$BP$508,$BP181,$BS$9:$BS$508,$BS181,$BU$9:$BU$508,"&lt;"&amp;$BU181)+COUNTIFS($BM$9:$BM$508,$BM181,$BP$9:$BP$508,$BP181,$BS$9:$BS$508,$BS181,$BU$9:$BU$508,$BU181,$BW$9:$BW$508,"&lt;"&amp;$BW181)+COUNTIFS($BM$9:$BM$508,$BM181,$BP$9:$BP$508,$BP181,$BS$9:$BS$508,$BS181,$BU$9:$BU$508,$BU181,$BW$9:$BW$508,$BW181,$BY$9:$BY$508,"&lt;"&amp;$BY181)+1))</f>
        <v/>
      </c>
      <c r="CA181" s="124" t="str">
        <f aca="false">IF(ISBLANK($C181),"",IF($BL181&lt;&gt;Constants!$B$4,$BL181,$BQ181-$BZ181))</f>
        <v/>
      </c>
      <c r="CB181" s="130"/>
      <c r="CC181" s="131" t="str">
        <f aca="false">IF(ISBLANK($C181),"",IF($BL181=Constants!$B$8,$AR181,""))</f>
        <v/>
      </c>
      <c r="CD181" s="131" t="str">
        <f aca="false">IF(ISBLANK($C181),"",IF($BL181&lt;&gt;Constants!$B$4,"",IF($BB181="-&gt;",2,1)))</f>
        <v/>
      </c>
      <c r="CE181" s="132" t="str">
        <f aca="false">IF(ISBLANK($C181),"",IF($BL181&lt;&gt;Constants!$B$4,"",IF($BB181="-&gt;",$BE181,$AU181)))</f>
        <v/>
      </c>
      <c r="CF181" s="132" t="str">
        <f aca="false">IF(ISBLANK($C181),"",IF($BL181&lt;&gt;Constants!$B$4,"",IF($BB181="-&gt;",$BF181,$AV181)))</f>
        <v/>
      </c>
      <c r="CG181" s="132" t="str">
        <f aca="false">IF(ISBLANK($C181),"",IF($BL181&lt;&gt;Constants!$B$4,"",IF($BB181="-&gt;",$BG181,$AW181)))</f>
        <v/>
      </c>
      <c r="CH181" s="132" t="str">
        <f aca="false">IF(ISBLANK($C181),"",IF($BL181&lt;&gt;Constants!$B$4,"",IF($BB181="-&gt;",$BH181,$AX181)))</f>
        <v/>
      </c>
      <c r="CI181" s="133" t="str">
        <f aca="false">IF(ISBLANK($C181),"",$BO181)</f>
        <v/>
      </c>
      <c r="CJ181" s="134" t="str">
        <f aca="false">IF(ISBLANK($C181),"",$BM181)</f>
        <v/>
      </c>
      <c r="CK181" s="135" t="str">
        <f aca="false">IF(ISBLANK($C181),"",$CA181)</f>
        <v/>
      </c>
      <c r="CL181" s="135" t="str">
        <f aca="false">IF(ISBLANK($C181),"",$BZ181)</f>
        <v/>
      </c>
      <c r="CM181" s="136" t="str">
        <f aca="false">IF(ISBLANK($C181),"",IF($CL181=Constants!$B$7,COUNTA($C$9:$C$508)+2,IF($CL181=Constants!$B$6,COUNTA($C$9:$C$508)+1,IF($CL181=Constants!$B$5,COUNTA($C$9:$C$508),$CL181))))</f>
        <v/>
      </c>
      <c r="CN181" s="8"/>
      <c r="CO181" s="137" t="n">
        <f aca="false">IF(OR(ISNUMBER($CL181),$CL181=Constants!$B$7,$CL181=Constants!$B$5,$CL181=Constants!$B$6),1,0)</f>
        <v>0</v>
      </c>
      <c r="CP181" s="137" t="n">
        <v>173</v>
      </c>
      <c r="CQ181" s="137" t="str">
        <f aca="false">IF(ISBLANK($C181),"",IF(ISNUMBER($CM181),$CM181+ROW($B181)/1000,""))</f>
        <v/>
      </c>
      <c r="CR181" s="137" t="str">
        <f aca="false">IF(ISNUMBER($CQ181),RANK($CQ181,$CQ$9:$CQ$508,1),"")</f>
        <v/>
      </c>
      <c r="CS181" s="137" t="str">
        <f aca="false">IF(ISBLANK($C181),"",$B181)</f>
        <v/>
      </c>
      <c r="CT181" s="137" t="str">
        <f aca="false">IF(ISBLANK($C181),"",$C181)</f>
        <v/>
      </c>
      <c r="CU181" s="137" t="str">
        <f aca="false">IF(ISBLANK($C181),"",$D181)</f>
        <v/>
      </c>
      <c r="CV181" s="138" t="str">
        <f aca="false">$CJ181</f>
        <v/>
      </c>
      <c r="CW181" s="139" t="str">
        <f aca="false">$CI181</f>
        <v/>
      </c>
      <c r="CX181" s="137" t="str">
        <f aca="false">IF(ISBLANK($C181),"",$CL181)</f>
        <v/>
      </c>
      <c r="CY181" s="140" t="str">
        <f aca="false">IF($CP181&gt;$CO$8,"",VLOOKUP($CP181,$CR$9:$CX$508,7,FALSE()))</f>
        <v/>
      </c>
      <c r="CZ181" s="141" t="str">
        <f aca="false">IF($CP181&gt;$CO$8,"",VLOOKUP($CP181,$CR$9:$CX$508,2,FALSE()))</f>
        <v/>
      </c>
      <c r="DA181" s="141" t="str">
        <f aca="false">IF($CP181&gt;$CO$8,"",VLOOKUP($CP181,$CR$9:$CX$508,3,FALSE()))</f>
        <v/>
      </c>
      <c r="DB181" s="141" t="str">
        <f aca="false">IF($CP181&gt;$CO$8,"",VLOOKUP($CP181,$CR$9:$CX$508,4,FALSE()))</f>
        <v/>
      </c>
      <c r="DC181" s="141" t="str">
        <f aca="false">IF($CP181&gt;$CO$8,"",VLOOKUP($CP181,$CR$9:$CX$508,5,FALSE()))</f>
        <v/>
      </c>
      <c r="DD181" s="142" t="str">
        <f aca="false">IF($CP181&gt;$CO$8,"",VLOOKUP($CP181,$CR$9:$CX$508,6,FALSE()))</f>
        <v/>
      </c>
      <c r="DE181" s="70"/>
    </row>
    <row r="182" customFormat="false" ht="15.75" hidden="false" customHeight="false" outlineLevel="0" collapsed="false">
      <c r="A182" s="8"/>
      <c r="B182" s="146"/>
      <c r="C182" s="147"/>
      <c r="D182" s="148"/>
      <c r="E182" s="164"/>
      <c r="F182" s="150"/>
      <c r="G182" s="115"/>
      <c r="H182" s="115"/>
      <c r="I182" s="115"/>
      <c r="J182" s="165"/>
      <c r="K182" s="154"/>
      <c r="L182" s="154"/>
      <c r="M182" s="118"/>
      <c r="N182" s="154"/>
      <c r="O182" s="153"/>
      <c r="P182" s="154"/>
      <c r="Q182" s="154"/>
      <c r="R182" s="154"/>
      <c r="S182" s="115"/>
      <c r="T182" s="154"/>
      <c r="U182" s="153"/>
      <c r="V182" s="154"/>
      <c r="W182" s="123"/>
      <c r="X182" s="124" t="str">
        <f aca="false">IF(ISBLANK($C182),"",IF($E182=Constants!$B$2,TRUE(),IF($E182=Constants!$B$3,FALSE(),TRUE())))</f>
        <v/>
      </c>
      <c r="Y182" s="124" t="str">
        <f aca="false">IF(ISBLANK($C182),"",IF($F182=Constants!$B$2,TRUE(),IF($F182=Constants!$B$3,FALSE(),TRUE())))</f>
        <v/>
      </c>
      <c r="Z182" s="125" t="str">
        <f aca="false">IF(ISBLANK($C182),"",IF(ISNUMBER($G182),IF($G182&gt;=0,$G182,""),""))</f>
        <v/>
      </c>
      <c r="AA182" s="125" t="str">
        <f aca="false">IF(ISBLANK($C182),"",IF(ISNUMBER($H182),IF($H182&gt;=0,$H182,""),""))</f>
        <v/>
      </c>
      <c r="AB182" s="125" t="str">
        <f aca="false">IF(ISBLANK($C182),"",IF(ISNUMBER($I182),IF($I182&gt;=0,$I182,""),""))</f>
        <v/>
      </c>
      <c r="AC182" s="124" t="str">
        <f aca="false">IF(ISBLANK($C182),"",IF($J182=Constants!$B$2,TRUE(),IF($J182=Constants!$B$3,FALSE(),TRUE())))</f>
        <v/>
      </c>
      <c r="AD182" s="124" t="str">
        <f aca="false">IF(ISBLANK($C182),"",IF($K182=Constants!$B$2,TRUE(),IF($K182=Constants!$B$3,FALSE(),TRUE())))</f>
        <v/>
      </c>
      <c r="AE182" s="124" t="str">
        <f aca="false">IF(ISBLANK($C182),"",IF($L182=Constants!$B$2,TRUE(),IF($L182=Constants!$B$3,FALSE(),TRUE())))</f>
        <v/>
      </c>
      <c r="AF182" s="126" t="str">
        <f aca="false">IF(ISBLANK($C182),"",IF(ISNUMBER($M182),IF($M182&gt;=0,$M182,""),""))</f>
        <v/>
      </c>
      <c r="AG182" s="124" t="str">
        <f aca="false">IF(ISBLANK($C182),"",IF(ISBLANK($N182),0,IF(ISNUMBER($N182),IF(AND($N182&gt;=0,$N182&lt;=Constants!$B$17,$N182=INT($N182)),$N182,""),"")))</f>
        <v/>
      </c>
      <c r="AH182" s="125" t="str">
        <f aca="false">IF(ISBLANK($C182),"",IF(ISBLANK($O182),0,IF(ISNUMBER($O182),IF($O182&gt;=0,$O182,""),"")))</f>
        <v/>
      </c>
      <c r="AI182" s="124" t="str">
        <f aca="false">IF(ISBLANK($C182),"",IF($P182=Constants!$B$2,TRUE(),IF($P182=Constants!$B$3,FALSE(),TRUE())))</f>
        <v/>
      </c>
      <c r="AJ182" s="124" t="str">
        <f aca="false">IF(ISBLANK($C182),"",IF($Q182=Constants!$B$2,TRUE(),IF($Q182=Constants!$B$3,FALSE(),TRUE())))</f>
        <v/>
      </c>
      <c r="AK182" s="124" t="str">
        <f aca="false">IF(ISBLANK($C182),"",IF($R182=Constants!$B$2,TRUE(),IF($R182=Constants!$B$3,FALSE(),TRUE())))</f>
        <v/>
      </c>
      <c r="AL182" s="126" t="str">
        <f aca="false">IF(ISBLANK($C182),"",IF(ISNUMBER($S182),IF($S182&gt;=0,$S182,""),""))</f>
        <v/>
      </c>
      <c r="AM182" s="124" t="str">
        <f aca="false">IF(ISBLANK($C182),"",IF(ISBLANK($T182),0,IF(ISNUMBER($T182),IF(AND($T182&gt;=0,$T182&lt;=Constants!$B$17,$T182=INT($T182)),$T182,""),"")))</f>
        <v/>
      </c>
      <c r="AN182" s="125" t="str">
        <f aca="false">IF(ISBLANK($C182),"",IF(ISBLANK($U182),0,IF(ISNUMBER($U182),IF($U182&gt;=0,$U182,""),"")))</f>
        <v/>
      </c>
      <c r="AO182" s="124" t="str">
        <f aca="false">IF(ISBLANK($C182),"",IF($V182=Constants!$B$2,TRUE(),IF($V182=Constants!$B$3,FALSE(),FALSE())))</f>
        <v/>
      </c>
      <c r="AP182" s="124"/>
      <c r="AQ182" s="123" t="str">
        <f aca="false">IF(ISBLANK($C182),"",AND($Y182,OR($AS182,$BC182),OR($Z182="",$AA182="",$AB182="")))</f>
        <v/>
      </c>
      <c r="AR182" s="123" t="str">
        <f aca="false">IF(ISBLANK($C182),"",IF(OR(NOT($Y182),NOT(OR($AS182,$BC182))),"",IF(ISBLANK($D$7),$AR$5,IF($AP$9="",$AR$6,""))))</f>
        <v/>
      </c>
      <c r="AS182" s="123" t="str">
        <f aca="false">IF(ISBLANK($C182),"",COUNTA($J182:$O182)&gt;0)</f>
        <v/>
      </c>
      <c r="AT182" s="123" t="str">
        <f aca="false">IF(ISBLANK($C182),"",AND($AS182,OR(AND($AF182="",OR($AE182,NOT(ISBLANK($M182)))),$AG182="",$AH182="")))</f>
        <v/>
      </c>
      <c r="AU182" s="125" t="str">
        <f aca="false">IF($BL182&lt;&gt;Constants!$B$4,"",IF(NOT($AS182),"",ROUND((Constants!$B$12-$AB182)+(Constants!$B$13-$Z182)+(Constants!$B$14-$AA182),1)))</f>
        <v/>
      </c>
      <c r="AV182" s="127" t="str">
        <f aca="false">IF($BL182&lt;&gt;Constants!$B$4,"",IF(NOT($AS182),"",IF(NOT($AE182),0,Constants!$B$15*(INT(ROUND(MIN($AF182,$AP$9),6))-INT(ROUND(MAX(0,MIN($AF182,2*$AP$9)-$AP$9),6))))))</f>
        <v/>
      </c>
      <c r="AW182" s="127" t="str">
        <f aca="false">IF($BL182&lt;&gt;Constants!$B$4,"",IF(NOT($AS182),"",Constants!$B$16*$AG182))</f>
        <v/>
      </c>
      <c r="AX182" s="127" t="str">
        <f aca="false">IF($BL182&lt;&gt;Constants!$B$4,"",IF(NOT($AS182),"",Constants!$B$18*INT(ROUND($AH182,6))))</f>
        <v/>
      </c>
      <c r="AY182" s="123" t="str">
        <f aca="false">IF($BL182&lt;&gt;Constants!$B$4,"",IF(NOT($AS182),"",IF(NOT($X182),Constants!$B$11,IF(OR(NOT($AC182),NOT($AD182),ROUND($AB182,1)&gt;Constants!$B$12,ROUND($Z182,1)&gt;Constants!$B$13,ROUND($AA182,1)&gt;Constants!$B$14),Constants!$B$10,Constants!$B$9))))</f>
        <v/>
      </c>
      <c r="AZ182" s="128" t="str">
        <f aca="false">IF($BL182&lt;&gt;Constants!$B$4,"",IF(NOT($AS182),"",ROUND($AU182+$AV182+$AW182+$AX182,1)))</f>
        <v/>
      </c>
      <c r="BA182" s="129" t="str">
        <f aca="false">IF($BL182&lt;&gt;Constants!$B$4,"",IF(NOT($AS182),"",IF(ISNUMBER($AF182),$AF182,0)))</f>
        <v/>
      </c>
      <c r="BB182" s="124" t="str">
        <f aca="false">IF($BL182&lt;&gt;Constants!$B$4,"",IF(NOT($BC182),"&lt;-",IF(NOT($AS182),"-&gt;",IF(OR($BI182&lt;$AY182,AND($BI182=$AY182,OR($BJ182&gt;$AZ182,AND($BJ182=$AZ182,OR($BH182&gt;$AX182,AND($BH182=$AX182,OR($BE182&gt;$AU182,AND($BE182=$AU182,OR($BF182&gt;$AV182,AND($BF182=$AV182,$BK182&gt;$BA182)))))))))),"-&gt;","&lt;-"))))</f>
        <v/>
      </c>
      <c r="BC182" s="123" t="str">
        <f aca="false">IF(ISBLANK($C182),"",COUNTA($P182:$U182)&gt;0)</f>
        <v/>
      </c>
      <c r="BD182" s="123" t="str">
        <f aca="false">IF(ISBLANK($C182),"",AND($BC182,OR(AND($AL182="",OR($AK182,NOT(ISBLANK($S182)))),$AM182="",$AN182="")))</f>
        <v/>
      </c>
      <c r="BE182" s="125" t="str">
        <f aca="false">IF($BL182&lt;&gt;Constants!$B$4,"",IF(NOT($BC182),"",ROUND((Constants!$B$12-$AB182)+(Constants!$B$13-$Z182)+(Constants!$B$14-$AA182),1)))</f>
        <v/>
      </c>
      <c r="BF182" s="127" t="str">
        <f aca="false">IF($BL182&lt;&gt;Constants!$B$4,"",IF(NOT($BC182),"",IF(NOT($AK182),0,Constants!$B$15*(INT(ROUND(MIN($AL182,$AP$9),6))-INT(ROUND(MAX(0,MIN($AL182,2*$AP$9)-$AP$9),6))))))</f>
        <v/>
      </c>
      <c r="BG182" s="127" t="str">
        <f aca="false">IF($BL182&lt;&gt;Constants!$B$4,"",IF(NOT($BC182),"",Constants!$B$16*$AM182))</f>
        <v/>
      </c>
      <c r="BH182" s="127" t="str">
        <f aca="false">IF($BL182&lt;&gt;Constants!$B$4,"",IF(NOT($BC182),"",Constants!$B$18*INT(ROUND($AN182,6))))</f>
        <v/>
      </c>
      <c r="BI182" s="123" t="str">
        <f aca="false">IF($BL182&lt;&gt;Constants!$B$4,"",IF(NOT($BC182),"",IF(NOT($X182),Constants!$B$11,IF(OR(NOT($AI182),NOT($AJ182),ROUND($AB182,1)&gt;Constants!$B$12,ROUND($Z182,1)&gt;Constants!$B$13,ROUND($AA182,1)&gt;Constants!$B$14),Constants!$B$10,Constants!$B$9))))</f>
        <v/>
      </c>
      <c r="BJ182" s="128" t="str">
        <f aca="false">IF($BL182&lt;&gt;Constants!$B$4,"",IF(NOT($BC182),"",ROUND($BE182+$BF182+$BG182+$BH182,1)))</f>
        <v/>
      </c>
      <c r="BK182" s="129" t="str">
        <f aca="false">IF($BL182&lt;&gt;Constants!$B$4,"",IF(NOT($BC182),"",IF(ISNUMBER($AL182),$AL182,0)))</f>
        <v/>
      </c>
      <c r="BL182" s="124" t="str">
        <f aca="false">IF(ISBLANK($C182),"",IF($AO182,Constants!$B$7,IF(COUNTA($E182:$V182)=0,Constants!$B$6,IF(NOT($Y182),Constants!$B$5,IF(NOT(OR($AS182,$BC182)),Constants!$B$5,IF(OR($AT182,$BD182,$AQ182,$AR182&lt;&gt;""),Constants!$B$8,Constants!$B$4))))))</f>
        <v/>
      </c>
      <c r="BM182" s="124" t="str">
        <f aca="false">IF(ISBLANK($C182),"",IF($BL182&lt;&gt;Constants!$B$4,$BL182,IF($BB182="-&gt;",$BI182,$AY182)))</f>
        <v/>
      </c>
      <c r="BN182" s="127" t="str">
        <f aca="false">IF($BL182&lt;&gt;Constants!$B$4,"",IF($BB182="-&gt;",$BJ182,$AZ182))</f>
        <v/>
      </c>
      <c r="BO182" s="127" t="str">
        <f aca="false">IF(ISBLANK($C182),"",IF($BL182&lt;&gt;Constants!$B$4,$BL182,$BN182))</f>
        <v/>
      </c>
      <c r="BP182" s="124" t="str">
        <f aca="false">IF(ISBLANK($C182),"",IF($BL182&lt;&gt;Constants!$B$4,$BL182,RANK($BO182,$BO$9:$BO$508,0)))</f>
        <v/>
      </c>
      <c r="BQ182" s="124" t="str">
        <f aca="false">IF(ISBLANK($C182),"",IF($BL182&lt;&gt;Constants!$B$4,$BL182,COUNTIFS($BM$9:$BM$508,"&lt;"&amp;$BM182)+COUNTIFS($BM$9:$BM$508,$BM182,$BP$9:$BP$508,"&lt;"&amp;$BP182)+1))</f>
        <v/>
      </c>
      <c r="BR182" s="127" t="str">
        <f aca="false">IF($BL182&lt;&gt;Constants!$B$4,"",IF($BB182="-&gt;",$BH182,$AX182))</f>
        <v/>
      </c>
      <c r="BS182" s="124" t="str">
        <f aca="false">IF(ISBLANK($C182),"",IF($BL182&lt;&gt;Constants!$B$4,$BL182,IF(ISNUMBER($BR182),RANK($BR182,$BR$9:$BR$508,0),COUNT($BR$9:$BR$508)+1)))</f>
        <v/>
      </c>
      <c r="BT182" s="127" t="str">
        <f aca="false">IF($BL182&lt;&gt;Constants!$B$4,"",IF($BB182="-&gt;",$BE182,$AU182))</f>
        <v/>
      </c>
      <c r="BU182" s="124" t="str">
        <f aca="false">IF(ISBLANK($C182),"",IF($BL182&lt;&gt;Constants!$B$4,$BL182,IF(ISNUMBER($BT182),RANK($BT182,$BT$9:$BT$508,0),COUNT($BT$9:$BT$508)+1)))</f>
        <v/>
      </c>
      <c r="BV182" s="127" t="str">
        <f aca="false">IF($BL182&lt;&gt;Constants!$B$4,"",IF($BB182="-&gt;",$BF182,$AV182))</f>
        <v/>
      </c>
      <c r="BW182" s="124" t="str">
        <f aca="false">IF(ISBLANK($C182),"",IF($BL182&lt;&gt;Constants!$B$4,$BL182,IF(ISNUMBER($BV182),RANK($BV182,$BV$9:$BV$508,0),COUNT($BV$9:$BV$508)+1)))</f>
        <v/>
      </c>
      <c r="BX182" s="127" t="str">
        <f aca="false">IF($BL182&lt;&gt;Constants!$B$4,"",IF($BB182="-&gt;",$BK182,$BA182))</f>
        <v/>
      </c>
      <c r="BY182" s="124" t="str">
        <f aca="false">IF(ISBLANK($C182),"",IF($BL182&lt;&gt;Constants!$B$4,$BL182,IF(ISNUMBER($BX182),RANK($BX182,$BX$9:$BX$508,0),COUNT($BX$9:$BX$508)+1)))</f>
        <v/>
      </c>
      <c r="BZ182" s="124" t="str">
        <f aca="false">IF(ISBLANK($C182),"",IF($BL182&lt;&gt;Constants!$B$4,$BL182,COUNTIFS($BM$9:$BM$508,"&lt;"&amp;$BM182)+COUNTIFS($BM$9:$BM$508,$BM182,$BP$9:$BP$508,"&lt;"&amp;$BP182)+COUNTIFS($BM$9:$BM$508,$BM182,$BP$9:$BP$508,$BP182,$BS$9:$BS$508,"&lt;"&amp;$BS182)+COUNTIFS($BM$9:$BM$508,$BM182,$BP$9:$BP$508,$BP182,$BS$9:$BS$508,$BS182,$BU$9:$BU$508,"&lt;"&amp;$BU182)+COUNTIFS($BM$9:$BM$508,$BM182,$BP$9:$BP$508,$BP182,$BS$9:$BS$508,$BS182,$BU$9:$BU$508,$BU182,$BW$9:$BW$508,"&lt;"&amp;$BW182)+COUNTIFS($BM$9:$BM$508,$BM182,$BP$9:$BP$508,$BP182,$BS$9:$BS$508,$BS182,$BU$9:$BU$508,$BU182,$BW$9:$BW$508,$BW182,$BY$9:$BY$508,"&lt;"&amp;$BY182)+1))</f>
        <v/>
      </c>
      <c r="CA182" s="124" t="str">
        <f aca="false">IF(ISBLANK($C182),"",IF($BL182&lt;&gt;Constants!$B$4,$BL182,$BQ182-$BZ182))</f>
        <v/>
      </c>
      <c r="CB182" s="130"/>
      <c r="CC182" s="131" t="str">
        <f aca="false">IF(ISBLANK($C182),"",IF($BL182=Constants!$B$8,$AR182,""))</f>
        <v/>
      </c>
      <c r="CD182" s="131" t="str">
        <f aca="false">IF(ISBLANK($C182),"",IF($BL182&lt;&gt;Constants!$B$4,"",IF($BB182="-&gt;",2,1)))</f>
        <v/>
      </c>
      <c r="CE182" s="132" t="str">
        <f aca="false">IF(ISBLANK($C182),"",IF($BL182&lt;&gt;Constants!$B$4,"",IF($BB182="-&gt;",$BE182,$AU182)))</f>
        <v/>
      </c>
      <c r="CF182" s="132" t="str">
        <f aca="false">IF(ISBLANK($C182),"",IF($BL182&lt;&gt;Constants!$B$4,"",IF($BB182="-&gt;",$BF182,$AV182)))</f>
        <v/>
      </c>
      <c r="CG182" s="132" t="str">
        <f aca="false">IF(ISBLANK($C182),"",IF($BL182&lt;&gt;Constants!$B$4,"",IF($BB182="-&gt;",$BG182,$AW182)))</f>
        <v/>
      </c>
      <c r="CH182" s="132" t="str">
        <f aca="false">IF(ISBLANK($C182),"",IF($BL182&lt;&gt;Constants!$B$4,"",IF($BB182="-&gt;",$BH182,$AX182)))</f>
        <v/>
      </c>
      <c r="CI182" s="133" t="str">
        <f aca="false">IF(ISBLANK($C182),"",$BO182)</f>
        <v/>
      </c>
      <c r="CJ182" s="134" t="str">
        <f aca="false">IF(ISBLANK($C182),"",$BM182)</f>
        <v/>
      </c>
      <c r="CK182" s="135" t="str">
        <f aca="false">IF(ISBLANK($C182),"",$CA182)</f>
        <v/>
      </c>
      <c r="CL182" s="135" t="str">
        <f aca="false">IF(ISBLANK($C182),"",$BZ182)</f>
        <v/>
      </c>
      <c r="CM182" s="136" t="str">
        <f aca="false">IF(ISBLANK($C182),"",IF($CL182=Constants!$B$7,COUNTA($C$9:$C$508)+2,IF($CL182=Constants!$B$6,COUNTA($C$9:$C$508)+1,IF($CL182=Constants!$B$5,COUNTA($C$9:$C$508),$CL182))))</f>
        <v/>
      </c>
      <c r="CN182" s="8"/>
      <c r="CO182" s="137" t="n">
        <f aca="false">IF(OR(ISNUMBER($CL182),$CL182=Constants!$B$7,$CL182=Constants!$B$5,$CL182=Constants!$B$6),1,0)</f>
        <v>0</v>
      </c>
      <c r="CP182" s="137" t="n">
        <v>174</v>
      </c>
      <c r="CQ182" s="137" t="str">
        <f aca="false">IF(ISBLANK($C182),"",IF(ISNUMBER($CM182),$CM182+ROW($B182)/1000,""))</f>
        <v/>
      </c>
      <c r="CR182" s="137" t="str">
        <f aca="false">IF(ISNUMBER($CQ182),RANK($CQ182,$CQ$9:$CQ$508,1),"")</f>
        <v/>
      </c>
      <c r="CS182" s="137" t="str">
        <f aca="false">IF(ISBLANK($C182),"",$B182)</f>
        <v/>
      </c>
      <c r="CT182" s="137" t="str">
        <f aca="false">IF(ISBLANK($C182),"",$C182)</f>
        <v/>
      </c>
      <c r="CU182" s="137" t="str">
        <f aca="false">IF(ISBLANK($C182),"",$D182)</f>
        <v/>
      </c>
      <c r="CV182" s="138" t="str">
        <f aca="false">$CJ182</f>
        <v/>
      </c>
      <c r="CW182" s="139" t="str">
        <f aca="false">$CI182</f>
        <v/>
      </c>
      <c r="CX182" s="137" t="str">
        <f aca="false">IF(ISBLANK($C182),"",$CL182)</f>
        <v/>
      </c>
      <c r="CY182" s="140" t="str">
        <f aca="false">IF($CP182&gt;$CO$8,"",VLOOKUP($CP182,$CR$9:$CX$508,7,FALSE()))</f>
        <v/>
      </c>
      <c r="CZ182" s="141" t="str">
        <f aca="false">IF($CP182&gt;$CO$8,"",VLOOKUP($CP182,$CR$9:$CX$508,2,FALSE()))</f>
        <v/>
      </c>
      <c r="DA182" s="141" t="str">
        <f aca="false">IF($CP182&gt;$CO$8,"",VLOOKUP($CP182,$CR$9:$CX$508,3,FALSE()))</f>
        <v/>
      </c>
      <c r="DB182" s="141" t="str">
        <f aca="false">IF($CP182&gt;$CO$8,"",VLOOKUP($CP182,$CR$9:$CX$508,4,FALSE()))</f>
        <v/>
      </c>
      <c r="DC182" s="141" t="str">
        <f aca="false">IF($CP182&gt;$CO$8,"",VLOOKUP($CP182,$CR$9:$CX$508,5,FALSE()))</f>
        <v/>
      </c>
      <c r="DD182" s="142" t="str">
        <f aca="false">IF($CP182&gt;$CO$8,"",VLOOKUP($CP182,$CR$9:$CX$508,6,FALSE()))</f>
        <v/>
      </c>
      <c r="DE182" s="70"/>
    </row>
    <row r="183" customFormat="false" ht="15.75" hidden="false" customHeight="false" outlineLevel="0" collapsed="false">
      <c r="A183" s="8"/>
      <c r="B183" s="72"/>
      <c r="C183" s="73"/>
      <c r="D183" s="155"/>
      <c r="E183" s="162"/>
      <c r="F183" s="157"/>
      <c r="G183" s="77"/>
      <c r="H183" s="77"/>
      <c r="I183" s="77"/>
      <c r="J183" s="163"/>
      <c r="K183" s="161"/>
      <c r="L183" s="161"/>
      <c r="M183" s="80"/>
      <c r="N183" s="161"/>
      <c r="O183" s="160"/>
      <c r="P183" s="161"/>
      <c r="Q183" s="161"/>
      <c r="R183" s="161"/>
      <c r="S183" s="77"/>
      <c r="T183" s="161"/>
      <c r="U183" s="160"/>
      <c r="V183" s="161"/>
      <c r="W183" s="85"/>
      <c r="X183" s="86" t="str">
        <f aca="false">IF(ISBLANK($C183),"",IF($E183=Constants!$B$2,TRUE(),IF($E183=Constants!$B$3,FALSE(),TRUE())))</f>
        <v/>
      </c>
      <c r="Y183" s="86" t="str">
        <f aca="false">IF(ISBLANK($C183),"",IF($F183=Constants!$B$2,TRUE(),IF($F183=Constants!$B$3,FALSE(),TRUE())))</f>
        <v/>
      </c>
      <c r="Z183" s="87" t="str">
        <f aca="false">IF(ISBLANK($C183),"",IF(ISNUMBER($G183),IF($G183&gt;=0,$G183,""),""))</f>
        <v/>
      </c>
      <c r="AA183" s="87" t="str">
        <f aca="false">IF(ISBLANK($C183),"",IF(ISNUMBER($H183),IF($H183&gt;=0,$H183,""),""))</f>
        <v/>
      </c>
      <c r="AB183" s="87" t="str">
        <f aca="false">IF(ISBLANK($C183),"",IF(ISNUMBER($I183),IF($I183&gt;=0,$I183,""),""))</f>
        <v/>
      </c>
      <c r="AC183" s="86" t="str">
        <f aca="false">IF(ISBLANK($C183),"",IF($J183=Constants!$B$2,TRUE(),IF($J183=Constants!$B$3,FALSE(),TRUE())))</f>
        <v/>
      </c>
      <c r="AD183" s="86" t="str">
        <f aca="false">IF(ISBLANK($C183),"",IF($K183=Constants!$B$2,TRUE(),IF($K183=Constants!$B$3,FALSE(),TRUE())))</f>
        <v/>
      </c>
      <c r="AE183" s="86" t="str">
        <f aca="false">IF(ISBLANK($C183),"",IF($L183=Constants!$B$2,TRUE(),IF($L183=Constants!$B$3,FALSE(),TRUE())))</f>
        <v/>
      </c>
      <c r="AF183" s="88" t="str">
        <f aca="false">IF(ISBLANK($C183),"",IF(ISNUMBER($M183),IF($M183&gt;=0,$M183,""),""))</f>
        <v/>
      </c>
      <c r="AG183" s="86" t="str">
        <f aca="false">IF(ISBLANK($C183),"",IF(ISBLANK($N183),0,IF(ISNUMBER($N183),IF(AND($N183&gt;=0,$N183&lt;=Constants!$B$17,$N183=INT($N183)),$N183,""),"")))</f>
        <v/>
      </c>
      <c r="AH183" s="87" t="str">
        <f aca="false">IF(ISBLANK($C183),"",IF(ISBLANK($O183),0,IF(ISNUMBER($O183),IF($O183&gt;=0,$O183,""),"")))</f>
        <v/>
      </c>
      <c r="AI183" s="86" t="str">
        <f aca="false">IF(ISBLANK($C183),"",IF($P183=Constants!$B$2,TRUE(),IF($P183=Constants!$B$3,FALSE(),TRUE())))</f>
        <v/>
      </c>
      <c r="AJ183" s="86" t="str">
        <f aca="false">IF(ISBLANK($C183),"",IF($Q183=Constants!$B$2,TRUE(),IF($Q183=Constants!$B$3,FALSE(),TRUE())))</f>
        <v/>
      </c>
      <c r="AK183" s="86" t="str">
        <f aca="false">IF(ISBLANK($C183),"",IF($R183=Constants!$B$2,TRUE(),IF($R183=Constants!$B$3,FALSE(),TRUE())))</f>
        <v/>
      </c>
      <c r="AL183" s="88" t="str">
        <f aca="false">IF(ISBLANK($C183),"",IF(ISNUMBER($S183),IF($S183&gt;=0,$S183,""),""))</f>
        <v/>
      </c>
      <c r="AM183" s="86" t="str">
        <f aca="false">IF(ISBLANK($C183),"",IF(ISBLANK($T183),0,IF(ISNUMBER($T183),IF(AND($T183&gt;=0,$T183&lt;=Constants!$B$17,$T183=INT($T183)),$T183,""),"")))</f>
        <v/>
      </c>
      <c r="AN183" s="87" t="str">
        <f aca="false">IF(ISBLANK($C183),"",IF(ISBLANK($U183),0,IF(ISNUMBER($U183),IF($U183&gt;=0,$U183,""),"")))</f>
        <v/>
      </c>
      <c r="AO183" s="86" t="str">
        <f aca="false">IF(ISBLANK($C183),"",IF($V183=Constants!$B$2,TRUE(),IF($V183=Constants!$B$3,FALSE(),FALSE())))</f>
        <v/>
      </c>
      <c r="AP183" s="86"/>
      <c r="AQ183" s="85" t="str">
        <f aca="false">IF(ISBLANK($C183),"",AND($Y183,OR($AS183,$BC183),OR($Z183="",$AA183="",$AB183="")))</f>
        <v/>
      </c>
      <c r="AR183" s="85" t="str">
        <f aca="false">IF(ISBLANK($C183),"",IF(OR(NOT($Y183),NOT(OR($AS183,$BC183))),"",IF(ISBLANK($D$7),$AR$5,IF($AP$9="",$AR$6,""))))</f>
        <v/>
      </c>
      <c r="AS183" s="85" t="str">
        <f aca="false">IF(ISBLANK($C183),"",COUNTA($J183:$O183)&gt;0)</f>
        <v/>
      </c>
      <c r="AT183" s="85" t="str">
        <f aca="false">IF(ISBLANK($C183),"",AND($AS183,OR(AND($AF183="",OR($AE183,NOT(ISBLANK($M183)))),$AG183="",$AH183="")))</f>
        <v/>
      </c>
      <c r="AU183" s="87" t="str">
        <f aca="false">IF($BL183&lt;&gt;Constants!$B$4,"",IF(NOT($AS183),"",ROUND((Constants!$B$12-$AB183)+(Constants!$B$13-$Z183)+(Constants!$B$14-$AA183),1)))</f>
        <v/>
      </c>
      <c r="AV183" s="90" t="str">
        <f aca="false">IF($BL183&lt;&gt;Constants!$B$4,"",IF(NOT($AS183),"",IF(NOT($AE183),0,Constants!$B$15*(INT(ROUND(MIN($AF183,$AP$9),6))-INT(ROUND(MAX(0,MIN($AF183,2*$AP$9)-$AP$9),6))))))</f>
        <v/>
      </c>
      <c r="AW183" s="90" t="str">
        <f aca="false">IF($BL183&lt;&gt;Constants!$B$4,"",IF(NOT($AS183),"",Constants!$B$16*$AG183))</f>
        <v/>
      </c>
      <c r="AX183" s="90" t="str">
        <f aca="false">IF($BL183&lt;&gt;Constants!$B$4,"",IF(NOT($AS183),"",Constants!$B$18*INT(ROUND($AH183,6))))</f>
        <v/>
      </c>
      <c r="AY183" s="85" t="str">
        <f aca="false">IF($BL183&lt;&gt;Constants!$B$4,"",IF(NOT($AS183),"",IF(NOT($X183),Constants!$B$11,IF(OR(NOT($AC183),NOT($AD183),ROUND($AB183,1)&gt;Constants!$B$12,ROUND($Z183,1)&gt;Constants!$B$13,ROUND($AA183,1)&gt;Constants!$B$14),Constants!$B$10,Constants!$B$9))))</f>
        <v/>
      </c>
      <c r="AZ183" s="91" t="str">
        <f aca="false">IF($BL183&lt;&gt;Constants!$B$4,"",IF(NOT($AS183),"",ROUND($AU183+$AV183+$AW183+$AX183,1)))</f>
        <v/>
      </c>
      <c r="BA183" s="92" t="str">
        <f aca="false">IF($BL183&lt;&gt;Constants!$B$4,"",IF(NOT($AS183),"",IF(ISNUMBER($AF183),$AF183,0)))</f>
        <v/>
      </c>
      <c r="BB183" s="86" t="str">
        <f aca="false">IF($BL183&lt;&gt;Constants!$B$4,"",IF(NOT($BC183),"&lt;-",IF(NOT($AS183),"-&gt;",IF(OR($BI183&lt;$AY183,AND($BI183=$AY183,OR($BJ183&gt;$AZ183,AND($BJ183=$AZ183,OR($BH183&gt;$AX183,AND($BH183=$AX183,OR($BE183&gt;$AU183,AND($BE183=$AU183,OR($BF183&gt;$AV183,AND($BF183=$AV183,$BK183&gt;$BA183)))))))))),"-&gt;","&lt;-"))))</f>
        <v/>
      </c>
      <c r="BC183" s="85" t="str">
        <f aca="false">IF(ISBLANK($C183),"",COUNTA($P183:$U183)&gt;0)</f>
        <v/>
      </c>
      <c r="BD183" s="85" t="str">
        <f aca="false">IF(ISBLANK($C183),"",AND($BC183,OR(AND($AL183="",OR($AK183,NOT(ISBLANK($S183)))),$AM183="",$AN183="")))</f>
        <v/>
      </c>
      <c r="BE183" s="87" t="str">
        <f aca="false">IF($BL183&lt;&gt;Constants!$B$4,"",IF(NOT($BC183),"",ROUND((Constants!$B$12-$AB183)+(Constants!$B$13-$Z183)+(Constants!$B$14-$AA183),1)))</f>
        <v/>
      </c>
      <c r="BF183" s="90" t="str">
        <f aca="false">IF($BL183&lt;&gt;Constants!$B$4,"",IF(NOT($BC183),"",IF(NOT($AK183),0,Constants!$B$15*(INT(ROUND(MIN($AL183,$AP$9),6))-INT(ROUND(MAX(0,MIN($AL183,2*$AP$9)-$AP$9),6))))))</f>
        <v/>
      </c>
      <c r="BG183" s="90" t="str">
        <f aca="false">IF($BL183&lt;&gt;Constants!$B$4,"",IF(NOT($BC183),"",Constants!$B$16*$AM183))</f>
        <v/>
      </c>
      <c r="BH183" s="90" t="str">
        <f aca="false">IF($BL183&lt;&gt;Constants!$B$4,"",IF(NOT($BC183),"",Constants!$B$18*INT(ROUND($AN183,6))))</f>
        <v/>
      </c>
      <c r="BI183" s="85" t="str">
        <f aca="false">IF($BL183&lt;&gt;Constants!$B$4,"",IF(NOT($BC183),"",IF(NOT($X183),Constants!$B$11,IF(OR(NOT($AI183),NOT($AJ183),ROUND($AB183,1)&gt;Constants!$B$12,ROUND($Z183,1)&gt;Constants!$B$13,ROUND($AA183,1)&gt;Constants!$B$14),Constants!$B$10,Constants!$B$9))))</f>
        <v/>
      </c>
      <c r="BJ183" s="91" t="str">
        <f aca="false">IF($BL183&lt;&gt;Constants!$B$4,"",IF(NOT($BC183),"",ROUND($BE183+$BF183+$BG183+$BH183,1)))</f>
        <v/>
      </c>
      <c r="BK183" s="92" t="str">
        <f aca="false">IF($BL183&lt;&gt;Constants!$B$4,"",IF(NOT($BC183),"",IF(ISNUMBER($AL183),$AL183,0)))</f>
        <v/>
      </c>
      <c r="BL183" s="86" t="str">
        <f aca="false">IF(ISBLANK($C183),"",IF($AO183,Constants!$B$7,IF(COUNTA($E183:$V183)=0,Constants!$B$6,IF(NOT($Y183),Constants!$B$5,IF(NOT(OR($AS183,$BC183)),Constants!$B$5,IF(OR($AT183,$BD183,$AQ183,$AR183&lt;&gt;""),Constants!$B$8,Constants!$B$4))))))</f>
        <v/>
      </c>
      <c r="BM183" s="86" t="str">
        <f aca="false">IF(ISBLANK($C183),"",IF($BL183&lt;&gt;Constants!$B$4,$BL183,IF($BB183="-&gt;",$BI183,$AY183)))</f>
        <v/>
      </c>
      <c r="BN183" s="90" t="str">
        <f aca="false">IF($BL183&lt;&gt;Constants!$B$4,"",IF($BB183="-&gt;",$BJ183,$AZ183))</f>
        <v/>
      </c>
      <c r="BO183" s="90" t="str">
        <f aca="false">IF(ISBLANK($C183),"",IF($BL183&lt;&gt;Constants!$B$4,$BL183,$BN183))</f>
        <v/>
      </c>
      <c r="BP183" s="86" t="str">
        <f aca="false">IF(ISBLANK($C183),"",IF($BL183&lt;&gt;Constants!$B$4,$BL183,RANK($BO183,$BO$9:$BO$508,0)))</f>
        <v/>
      </c>
      <c r="BQ183" s="86" t="str">
        <f aca="false">IF(ISBLANK($C183),"",IF($BL183&lt;&gt;Constants!$B$4,$BL183,COUNTIFS($BM$9:$BM$508,"&lt;"&amp;$BM183)+COUNTIFS($BM$9:$BM$508,$BM183,$BP$9:$BP$508,"&lt;"&amp;$BP183)+1))</f>
        <v/>
      </c>
      <c r="BR183" s="90" t="str">
        <f aca="false">IF($BL183&lt;&gt;Constants!$B$4,"",IF($BB183="-&gt;",$BH183,$AX183))</f>
        <v/>
      </c>
      <c r="BS183" s="86" t="str">
        <f aca="false">IF(ISBLANK($C183),"",IF($BL183&lt;&gt;Constants!$B$4,$BL183,IF(ISNUMBER($BR183),RANK($BR183,$BR$9:$BR$508,0),COUNT($BR$9:$BR$508)+1)))</f>
        <v/>
      </c>
      <c r="BT183" s="90" t="str">
        <f aca="false">IF($BL183&lt;&gt;Constants!$B$4,"",IF($BB183="-&gt;",$BE183,$AU183))</f>
        <v/>
      </c>
      <c r="BU183" s="86" t="str">
        <f aca="false">IF(ISBLANK($C183),"",IF($BL183&lt;&gt;Constants!$B$4,$BL183,IF(ISNUMBER($BT183),RANK($BT183,$BT$9:$BT$508,0),COUNT($BT$9:$BT$508)+1)))</f>
        <v/>
      </c>
      <c r="BV183" s="90" t="str">
        <f aca="false">IF($BL183&lt;&gt;Constants!$B$4,"",IF($BB183="-&gt;",$BF183,$AV183))</f>
        <v/>
      </c>
      <c r="BW183" s="86" t="str">
        <f aca="false">IF(ISBLANK($C183),"",IF($BL183&lt;&gt;Constants!$B$4,$BL183,IF(ISNUMBER($BV183),RANK($BV183,$BV$9:$BV$508,0),COUNT($BV$9:$BV$508)+1)))</f>
        <v/>
      </c>
      <c r="BX183" s="90" t="str">
        <f aca="false">IF($BL183&lt;&gt;Constants!$B$4,"",IF($BB183="-&gt;",$BK183,$BA183))</f>
        <v/>
      </c>
      <c r="BY183" s="86" t="str">
        <f aca="false">IF(ISBLANK($C183),"",IF($BL183&lt;&gt;Constants!$B$4,$BL183,IF(ISNUMBER($BX183),RANK($BX183,$BX$9:$BX$508,0),COUNT($BX$9:$BX$508)+1)))</f>
        <v/>
      </c>
      <c r="BZ183" s="86" t="str">
        <f aca="false">IF(ISBLANK($C183),"",IF($BL183&lt;&gt;Constants!$B$4,$BL183,COUNTIFS($BM$9:$BM$508,"&lt;"&amp;$BM183)+COUNTIFS($BM$9:$BM$508,$BM183,$BP$9:$BP$508,"&lt;"&amp;$BP183)+COUNTIFS($BM$9:$BM$508,$BM183,$BP$9:$BP$508,$BP183,$BS$9:$BS$508,"&lt;"&amp;$BS183)+COUNTIFS($BM$9:$BM$508,$BM183,$BP$9:$BP$508,$BP183,$BS$9:$BS$508,$BS183,$BU$9:$BU$508,"&lt;"&amp;$BU183)+COUNTIFS($BM$9:$BM$508,$BM183,$BP$9:$BP$508,$BP183,$BS$9:$BS$508,$BS183,$BU$9:$BU$508,$BU183,$BW$9:$BW$508,"&lt;"&amp;$BW183)+COUNTIFS($BM$9:$BM$508,$BM183,$BP$9:$BP$508,$BP183,$BS$9:$BS$508,$BS183,$BU$9:$BU$508,$BU183,$BW$9:$BW$508,$BW183,$BY$9:$BY$508,"&lt;"&amp;$BY183)+1))</f>
        <v/>
      </c>
      <c r="CA183" s="86" t="str">
        <f aca="false">IF(ISBLANK($C183),"",IF($BL183&lt;&gt;Constants!$B$4,$BL183,$BQ183-$BZ183))</f>
        <v/>
      </c>
      <c r="CB183" s="93"/>
      <c r="CC183" s="94" t="str">
        <f aca="false">IF(ISBLANK($C183),"",IF($BL183=Constants!$B$8,$AR183,""))</f>
        <v/>
      </c>
      <c r="CD183" s="94" t="str">
        <f aca="false">IF(ISBLANK($C183),"",IF($BL183&lt;&gt;Constants!$B$4,"",IF($BB183="-&gt;",2,1)))</f>
        <v/>
      </c>
      <c r="CE183" s="95" t="str">
        <f aca="false">IF(ISBLANK($C183),"",IF($BL183&lt;&gt;Constants!$B$4,"",IF($BB183="-&gt;",$BE183,$AU183)))</f>
        <v/>
      </c>
      <c r="CF183" s="95" t="str">
        <f aca="false">IF(ISBLANK($C183),"",IF($BL183&lt;&gt;Constants!$B$4,"",IF($BB183="-&gt;",$BF183,$AV183)))</f>
        <v/>
      </c>
      <c r="CG183" s="95" t="str">
        <f aca="false">IF(ISBLANK($C183),"",IF($BL183&lt;&gt;Constants!$B$4,"",IF($BB183="-&gt;",$BG183,$AW183)))</f>
        <v/>
      </c>
      <c r="CH183" s="95" t="str">
        <f aca="false">IF(ISBLANK($C183),"",IF($BL183&lt;&gt;Constants!$B$4,"",IF($BB183="-&gt;",$BH183,$AX183)))</f>
        <v/>
      </c>
      <c r="CI183" s="96" t="str">
        <f aca="false">IF(ISBLANK($C183),"",$BO183)</f>
        <v/>
      </c>
      <c r="CJ183" s="97" t="str">
        <f aca="false">IF(ISBLANK($C183),"",$BM183)</f>
        <v/>
      </c>
      <c r="CK183" s="98" t="str">
        <f aca="false">IF(ISBLANK($C183),"",$CA183)</f>
        <v/>
      </c>
      <c r="CL183" s="98" t="str">
        <f aca="false">IF(ISBLANK($C183),"",$BZ183)</f>
        <v/>
      </c>
      <c r="CM183" s="99" t="str">
        <f aca="false">IF(ISBLANK($C183),"",IF($CL183=Constants!$B$7,COUNTA($C$9:$C$508)+2,IF($CL183=Constants!$B$6,COUNTA($C$9:$C$508)+1,IF($CL183=Constants!$B$5,COUNTA($C$9:$C$508),$CL183))))</f>
        <v/>
      </c>
      <c r="CN183" s="8"/>
      <c r="CO183" s="100" t="n">
        <f aca="false">IF(OR(ISNUMBER($CL183),$CL183=Constants!$B$7,$CL183=Constants!$B$5,$CL183=Constants!$B$6),1,0)</f>
        <v>0</v>
      </c>
      <c r="CP183" s="100" t="n">
        <v>175</v>
      </c>
      <c r="CQ183" s="100" t="str">
        <f aca="false">IF(ISBLANK($C183),"",IF(ISNUMBER($CM183),$CM183+ROW($B183)/1000,""))</f>
        <v/>
      </c>
      <c r="CR183" s="100" t="str">
        <f aca="false">IF(ISNUMBER($CQ183),RANK($CQ183,$CQ$9:$CQ$508,1),"")</f>
        <v/>
      </c>
      <c r="CS183" s="100" t="str">
        <f aca="false">IF(ISBLANK($C183),"",$B183)</f>
        <v/>
      </c>
      <c r="CT183" s="100" t="str">
        <f aca="false">IF(ISBLANK($C183),"",$C183)</f>
        <v/>
      </c>
      <c r="CU183" s="100" t="str">
        <f aca="false">IF(ISBLANK($C183),"",$D183)</f>
        <v/>
      </c>
      <c r="CV183" s="101" t="str">
        <f aca="false">$CJ183</f>
        <v/>
      </c>
      <c r="CW183" s="102" t="str">
        <f aca="false">$CI183</f>
        <v/>
      </c>
      <c r="CX183" s="100" t="str">
        <f aca="false">IF(ISBLANK($C183),"",$CL183)</f>
        <v/>
      </c>
      <c r="CY183" s="103" t="str">
        <f aca="false">IF($CP183&gt;$CO$8,"",VLOOKUP($CP183,$CR$9:$CX$508,7,FALSE()))</f>
        <v/>
      </c>
      <c r="CZ183" s="104" t="str">
        <f aca="false">IF($CP183&gt;$CO$8,"",VLOOKUP($CP183,$CR$9:$CX$508,2,FALSE()))</f>
        <v/>
      </c>
      <c r="DA183" s="104" t="str">
        <f aca="false">IF($CP183&gt;$CO$8,"",VLOOKUP($CP183,$CR$9:$CX$508,3,FALSE()))</f>
        <v/>
      </c>
      <c r="DB183" s="104" t="str">
        <f aca="false">IF($CP183&gt;$CO$8,"",VLOOKUP($CP183,$CR$9:$CX$508,4,FALSE()))</f>
        <v/>
      </c>
      <c r="DC183" s="104" t="str">
        <f aca="false">IF($CP183&gt;$CO$8,"",VLOOKUP($CP183,$CR$9:$CX$508,5,FALSE()))</f>
        <v/>
      </c>
      <c r="DD183" s="105" t="str">
        <f aca="false">IF($CP183&gt;$CO$8,"",VLOOKUP($CP183,$CR$9:$CX$508,6,FALSE()))</f>
        <v/>
      </c>
      <c r="DE183" s="70"/>
    </row>
    <row r="184" customFormat="false" ht="15.75" hidden="false" customHeight="false" outlineLevel="0" collapsed="false">
      <c r="A184" s="8"/>
      <c r="B184" s="72"/>
      <c r="C184" s="73"/>
      <c r="D184" s="155"/>
      <c r="E184" s="162"/>
      <c r="F184" s="157"/>
      <c r="G184" s="77"/>
      <c r="H184" s="77"/>
      <c r="I184" s="77"/>
      <c r="J184" s="163"/>
      <c r="K184" s="161"/>
      <c r="L184" s="161"/>
      <c r="M184" s="80"/>
      <c r="N184" s="161"/>
      <c r="O184" s="160"/>
      <c r="P184" s="161"/>
      <c r="Q184" s="161"/>
      <c r="R184" s="161"/>
      <c r="S184" s="77"/>
      <c r="T184" s="161"/>
      <c r="U184" s="160"/>
      <c r="V184" s="161"/>
      <c r="W184" s="85"/>
      <c r="X184" s="86" t="str">
        <f aca="false">IF(ISBLANK($C184),"",IF($E184=Constants!$B$2,TRUE(),IF($E184=Constants!$B$3,FALSE(),TRUE())))</f>
        <v/>
      </c>
      <c r="Y184" s="86" t="str">
        <f aca="false">IF(ISBLANK($C184),"",IF($F184=Constants!$B$2,TRUE(),IF($F184=Constants!$B$3,FALSE(),TRUE())))</f>
        <v/>
      </c>
      <c r="Z184" s="87" t="str">
        <f aca="false">IF(ISBLANK($C184),"",IF(ISNUMBER($G184),IF($G184&gt;=0,$G184,""),""))</f>
        <v/>
      </c>
      <c r="AA184" s="87" t="str">
        <f aca="false">IF(ISBLANK($C184),"",IF(ISNUMBER($H184),IF($H184&gt;=0,$H184,""),""))</f>
        <v/>
      </c>
      <c r="AB184" s="87" t="str">
        <f aca="false">IF(ISBLANK($C184),"",IF(ISNUMBER($I184),IF($I184&gt;=0,$I184,""),""))</f>
        <v/>
      </c>
      <c r="AC184" s="86" t="str">
        <f aca="false">IF(ISBLANK($C184),"",IF($J184=Constants!$B$2,TRUE(),IF($J184=Constants!$B$3,FALSE(),TRUE())))</f>
        <v/>
      </c>
      <c r="AD184" s="86" t="str">
        <f aca="false">IF(ISBLANK($C184),"",IF($K184=Constants!$B$2,TRUE(),IF($K184=Constants!$B$3,FALSE(),TRUE())))</f>
        <v/>
      </c>
      <c r="AE184" s="86" t="str">
        <f aca="false">IF(ISBLANK($C184),"",IF($L184=Constants!$B$2,TRUE(),IF($L184=Constants!$B$3,FALSE(),TRUE())))</f>
        <v/>
      </c>
      <c r="AF184" s="88" t="str">
        <f aca="false">IF(ISBLANK($C184),"",IF(ISNUMBER($M184),IF($M184&gt;=0,$M184,""),""))</f>
        <v/>
      </c>
      <c r="AG184" s="86" t="str">
        <f aca="false">IF(ISBLANK($C184),"",IF(ISBLANK($N184),0,IF(ISNUMBER($N184),IF(AND($N184&gt;=0,$N184&lt;=Constants!$B$17,$N184=INT($N184)),$N184,""),"")))</f>
        <v/>
      </c>
      <c r="AH184" s="87" t="str">
        <f aca="false">IF(ISBLANK($C184),"",IF(ISBLANK($O184),0,IF(ISNUMBER($O184),IF($O184&gt;=0,$O184,""),"")))</f>
        <v/>
      </c>
      <c r="AI184" s="86" t="str">
        <f aca="false">IF(ISBLANK($C184),"",IF($P184=Constants!$B$2,TRUE(),IF($P184=Constants!$B$3,FALSE(),TRUE())))</f>
        <v/>
      </c>
      <c r="AJ184" s="86" t="str">
        <f aca="false">IF(ISBLANK($C184),"",IF($Q184=Constants!$B$2,TRUE(),IF($Q184=Constants!$B$3,FALSE(),TRUE())))</f>
        <v/>
      </c>
      <c r="AK184" s="86" t="str">
        <f aca="false">IF(ISBLANK($C184),"",IF($R184=Constants!$B$2,TRUE(),IF($R184=Constants!$B$3,FALSE(),TRUE())))</f>
        <v/>
      </c>
      <c r="AL184" s="88" t="str">
        <f aca="false">IF(ISBLANK($C184),"",IF(ISNUMBER($S184),IF($S184&gt;=0,$S184,""),""))</f>
        <v/>
      </c>
      <c r="AM184" s="86" t="str">
        <f aca="false">IF(ISBLANK($C184),"",IF(ISBLANK($T184),0,IF(ISNUMBER($T184),IF(AND($T184&gt;=0,$T184&lt;=Constants!$B$17,$T184=INT($T184)),$T184,""),"")))</f>
        <v/>
      </c>
      <c r="AN184" s="87" t="str">
        <f aca="false">IF(ISBLANK($C184),"",IF(ISBLANK($U184),0,IF(ISNUMBER($U184),IF($U184&gt;=0,$U184,""),"")))</f>
        <v/>
      </c>
      <c r="AO184" s="86" t="str">
        <f aca="false">IF(ISBLANK($C184),"",IF($V184=Constants!$B$2,TRUE(),IF($V184=Constants!$B$3,FALSE(),FALSE())))</f>
        <v/>
      </c>
      <c r="AP184" s="86"/>
      <c r="AQ184" s="85" t="str">
        <f aca="false">IF(ISBLANK($C184),"",AND($Y184,OR($AS184,$BC184),OR($Z184="",$AA184="",$AB184="")))</f>
        <v/>
      </c>
      <c r="AR184" s="85" t="str">
        <f aca="false">IF(ISBLANK($C184),"",IF(OR(NOT($Y184),NOT(OR($AS184,$BC184))),"",IF(ISBLANK($D$7),$AR$5,IF($AP$9="",$AR$6,""))))</f>
        <v/>
      </c>
      <c r="AS184" s="85" t="str">
        <f aca="false">IF(ISBLANK($C184),"",COUNTA($J184:$O184)&gt;0)</f>
        <v/>
      </c>
      <c r="AT184" s="85" t="str">
        <f aca="false">IF(ISBLANK($C184),"",AND($AS184,OR(AND($AF184="",OR($AE184,NOT(ISBLANK($M184)))),$AG184="",$AH184="")))</f>
        <v/>
      </c>
      <c r="AU184" s="87" t="str">
        <f aca="false">IF($BL184&lt;&gt;Constants!$B$4,"",IF(NOT($AS184),"",ROUND((Constants!$B$12-$AB184)+(Constants!$B$13-$Z184)+(Constants!$B$14-$AA184),1)))</f>
        <v/>
      </c>
      <c r="AV184" s="90" t="str">
        <f aca="false">IF($BL184&lt;&gt;Constants!$B$4,"",IF(NOT($AS184),"",IF(NOT($AE184),0,Constants!$B$15*(INT(ROUND(MIN($AF184,$AP$9),6))-INT(ROUND(MAX(0,MIN($AF184,2*$AP$9)-$AP$9),6))))))</f>
        <v/>
      </c>
      <c r="AW184" s="90" t="str">
        <f aca="false">IF($BL184&lt;&gt;Constants!$B$4,"",IF(NOT($AS184),"",Constants!$B$16*$AG184))</f>
        <v/>
      </c>
      <c r="AX184" s="90" t="str">
        <f aca="false">IF($BL184&lt;&gt;Constants!$B$4,"",IF(NOT($AS184),"",Constants!$B$18*INT(ROUND($AH184,6))))</f>
        <v/>
      </c>
      <c r="AY184" s="85" t="str">
        <f aca="false">IF($BL184&lt;&gt;Constants!$B$4,"",IF(NOT($AS184),"",IF(NOT($X184),Constants!$B$11,IF(OR(NOT($AC184),NOT($AD184),ROUND($AB184,1)&gt;Constants!$B$12,ROUND($Z184,1)&gt;Constants!$B$13,ROUND($AA184,1)&gt;Constants!$B$14),Constants!$B$10,Constants!$B$9))))</f>
        <v/>
      </c>
      <c r="AZ184" s="91" t="str">
        <f aca="false">IF($BL184&lt;&gt;Constants!$B$4,"",IF(NOT($AS184),"",ROUND($AU184+$AV184+$AW184+$AX184,1)))</f>
        <v/>
      </c>
      <c r="BA184" s="92" t="str">
        <f aca="false">IF($BL184&lt;&gt;Constants!$B$4,"",IF(NOT($AS184),"",IF(ISNUMBER($AF184),$AF184,0)))</f>
        <v/>
      </c>
      <c r="BB184" s="86" t="str">
        <f aca="false">IF($BL184&lt;&gt;Constants!$B$4,"",IF(NOT($BC184),"&lt;-",IF(NOT($AS184),"-&gt;",IF(OR($BI184&lt;$AY184,AND($BI184=$AY184,OR($BJ184&gt;$AZ184,AND($BJ184=$AZ184,OR($BH184&gt;$AX184,AND($BH184=$AX184,OR($BE184&gt;$AU184,AND($BE184=$AU184,OR($BF184&gt;$AV184,AND($BF184=$AV184,$BK184&gt;$BA184)))))))))),"-&gt;","&lt;-"))))</f>
        <v/>
      </c>
      <c r="BC184" s="85" t="str">
        <f aca="false">IF(ISBLANK($C184),"",COUNTA($P184:$U184)&gt;0)</f>
        <v/>
      </c>
      <c r="BD184" s="85" t="str">
        <f aca="false">IF(ISBLANK($C184),"",AND($BC184,OR(AND($AL184="",OR($AK184,NOT(ISBLANK($S184)))),$AM184="",$AN184="")))</f>
        <v/>
      </c>
      <c r="BE184" s="87" t="str">
        <f aca="false">IF($BL184&lt;&gt;Constants!$B$4,"",IF(NOT($BC184),"",ROUND((Constants!$B$12-$AB184)+(Constants!$B$13-$Z184)+(Constants!$B$14-$AA184),1)))</f>
        <v/>
      </c>
      <c r="BF184" s="90" t="str">
        <f aca="false">IF($BL184&lt;&gt;Constants!$B$4,"",IF(NOT($BC184),"",IF(NOT($AK184),0,Constants!$B$15*(INT(ROUND(MIN($AL184,$AP$9),6))-INT(ROUND(MAX(0,MIN($AL184,2*$AP$9)-$AP$9),6))))))</f>
        <v/>
      </c>
      <c r="BG184" s="90" t="str">
        <f aca="false">IF($BL184&lt;&gt;Constants!$B$4,"",IF(NOT($BC184),"",Constants!$B$16*$AM184))</f>
        <v/>
      </c>
      <c r="BH184" s="90" t="str">
        <f aca="false">IF($BL184&lt;&gt;Constants!$B$4,"",IF(NOT($BC184),"",Constants!$B$18*INT(ROUND($AN184,6))))</f>
        <v/>
      </c>
      <c r="BI184" s="85" t="str">
        <f aca="false">IF($BL184&lt;&gt;Constants!$B$4,"",IF(NOT($BC184),"",IF(NOT($X184),Constants!$B$11,IF(OR(NOT($AI184),NOT($AJ184),ROUND($AB184,1)&gt;Constants!$B$12,ROUND($Z184,1)&gt;Constants!$B$13,ROUND($AA184,1)&gt;Constants!$B$14),Constants!$B$10,Constants!$B$9))))</f>
        <v/>
      </c>
      <c r="BJ184" s="91" t="str">
        <f aca="false">IF($BL184&lt;&gt;Constants!$B$4,"",IF(NOT($BC184),"",ROUND($BE184+$BF184+$BG184+$BH184,1)))</f>
        <v/>
      </c>
      <c r="BK184" s="92" t="str">
        <f aca="false">IF($BL184&lt;&gt;Constants!$B$4,"",IF(NOT($BC184),"",IF(ISNUMBER($AL184),$AL184,0)))</f>
        <v/>
      </c>
      <c r="BL184" s="86" t="str">
        <f aca="false">IF(ISBLANK($C184),"",IF($AO184,Constants!$B$7,IF(COUNTA($E184:$V184)=0,Constants!$B$6,IF(NOT($Y184),Constants!$B$5,IF(NOT(OR($AS184,$BC184)),Constants!$B$5,IF(OR($AT184,$BD184,$AQ184,$AR184&lt;&gt;""),Constants!$B$8,Constants!$B$4))))))</f>
        <v/>
      </c>
      <c r="BM184" s="86" t="str">
        <f aca="false">IF(ISBLANK($C184),"",IF($BL184&lt;&gt;Constants!$B$4,$BL184,IF($BB184="-&gt;",$BI184,$AY184)))</f>
        <v/>
      </c>
      <c r="BN184" s="90" t="str">
        <f aca="false">IF($BL184&lt;&gt;Constants!$B$4,"",IF($BB184="-&gt;",$BJ184,$AZ184))</f>
        <v/>
      </c>
      <c r="BO184" s="90" t="str">
        <f aca="false">IF(ISBLANK($C184),"",IF($BL184&lt;&gt;Constants!$B$4,$BL184,$BN184))</f>
        <v/>
      </c>
      <c r="BP184" s="86" t="str">
        <f aca="false">IF(ISBLANK($C184),"",IF($BL184&lt;&gt;Constants!$B$4,$BL184,RANK($BO184,$BO$9:$BO$508,0)))</f>
        <v/>
      </c>
      <c r="BQ184" s="86" t="str">
        <f aca="false">IF(ISBLANK($C184),"",IF($BL184&lt;&gt;Constants!$B$4,$BL184,COUNTIFS($BM$9:$BM$508,"&lt;"&amp;$BM184)+COUNTIFS($BM$9:$BM$508,$BM184,$BP$9:$BP$508,"&lt;"&amp;$BP184)+1))</f>
        <v/>
      </c>
      <c r="BR184" s="90" t="str">
        <f aca="false">IF($BL184&lt;&gt;Constants!$B$4,"",IF($BB184="-&gt;",$BH184,$AX184))</f>
        <v/>
      </c>
      <c r="BS184" s="86" t="str">
        <f aca="false">IF(ISBLANK($C184),"",IF($BL184&lt;&gt;Constants!$B$4,$BL184,IF(ISNUMBER($BR184),RANK($BR184,$BR$9:$BR$508,0),COUNT($BR$9:$BR$508)+1)))</f>
        <v/>
      </c>
      <c r="BT184" s="90" t="str">
        <f aca="false">IF($BL184&lt;&gt;Constants!$B$4,"",IF($BB184="-&gt;",$BE184,$AU184))</f>
        <v/>
      </c>
      <c r="BU184" s="86" t="str">
        <f aca="false">IF(ISBLANK($C184),"",IF($BL184&lt;&gt;Constants!$B$4,$BL184,IF(ISNUMBER($BT184),RANK($BT184,$BT$9:$BT$508,0),COUNT($BT$9:$BT$508)+1)))</f>
        <v/>
      </c>
      <c r="BV184" s="90" t="str">
        <f aca="false">IF($BL184&lt;&gt;Constants!$B$4,"",IF($BB184="-&gt;",$BF184,$AV184))</f>
        <v/>
      </c>
      <c r="BW184" s="86" t="str">
        <f aca="false">IF(ISBLANK($C184),"",IF($BL184&lt;&gt;Constants!$B$4,$BL184,IF(ISNUMBER($BV184),RANK($BV184,$BV$9:$BV$508,0),COUNT($BV$9:$BV$508)+1)))</f>
        <v/>
      </c>
      <c r="BX184" s="90" t="str">
        <f aca="false">IF($BL184&lt;&gt;Constants!$B$4,"",IF($BB184="-&gt;",$BK184,$BA184))</f>
        <v/>
      </c>
      <c r="BY184" s="86" t="str">
        <f aca="false">IF(ISBLANK($C184),"",IF($BL184&lt;&gt;Constants!$B$4,$BL184,IF(ISNUMBER($BX184),RANK($BX184,$BX$9:$BX$508,0),COUNT($BX$9:$BX$508)+1)))</f>
        <v/>
      </c>
      <c r="BZ184" s="86" t="str">
        <f aca="false">IF(ISBLANK($C184),"",IF($BL184&lt;&gt;Constants!$B$4,$BL184,COUNTIFS($BM$9:$BM$508,"&lt;"&amp;$BM184)+COUNTIFS($BM$9:$BM$508,$BM184,$BP$9:$BP$508,"&lt;"&amp;$BP184)+COUNTIFS($BM$9:$BM$508,$BM184,$BP$9:$BP$508,$BP184,$BS$9:$BS$508,"&lt;"&amp;$BS184)+COUNTIFS($BM$9:$BM$508,$BM184,$BP$9:$BP$508,$BP184,$BS$9:$BS$508,$BS184,$BU$9:$BU$508,"&lt;"&amp;$BU184)+COUNTIFS($BM$9:$BM$508,$BM184,$BP$9:$BP$508,$BP184,$BS$9:$BS$508,$BS184,$BU$9:$BU$508,$BU184,$BW$9:$BW$508,"&lt;"&amp;$BW184)+COUNTIFS($BM$9:$BM$508,$BM184,$BP$9:$BP$508,$BP184,$BS$9:$BS$508,$BS184,$BU$9:$BU$508,$BU184,$BW$9:$BW$508,$BW184,$BY$9:$BY$508,"&lt;"&amp;$BY184)+1))</f>
        <v/>
      </c>
      <c r="CA184" s="86" t="str">
        <f aca="false">IF(ISBLANK($C184),"",IF($BL184&lt;&gt;Constants!$B$4,$BL184,$BQ184-$BZ184))</f>
        <v/>
      </c>
      <c r="CB184" s="93"/>
      <c r="CC184" s="94" t="str">
        <f aca="false">IF(ISBLANK($C184),"",IF($BL184=Constants!$B$8,$AR184,""))</f>
        <v/>
      </c>
      <c r="CD184" s="94" t="str">
        <f aca="false">IF(ISBLANK($C184),"",IF($BL184&lt;&gt;Constants!$B$4,"",IF($BB184="-&gt;",2,1)))</f>
        <v/>
      </c>
      <c r="CE184" s="95" t="str">
        <f aca="false">IF(ISBLANK($C184),"",IF($BL184&lt;&gt;Constants!$B$4,"",IF($BB184="-&gt;",$BE184,$AU184)))</f>
        <v/>
      </c>
      <c r="CF184" s="95" t="str">
        <f aca="false">IF(ISBLANK($C184),"",IF($BL184&lt;&gt;Constants!$B$4,"",IF($BB184="-&gt;",$BF184,$AV184)))</f>
        <v/>
      </c>
      <c r="CG184" s="95" t="str">
        <f aca="false">IF(ISBLANK($C184),"",IF($BL184&lt;&gt;Constants!$B$4,"",IF($BB184="-&gt;",$BG184,$AW184)))</f>
        <v/>
      </c>
      <c r="CH184" s="95" t="str">
        <f aca="false">IF(ISBLANK($C184),"",IF($BL184&lt;&gt;Constants!$B$4,"",IF($BB184="-&gt;",$BH184,$AX184)))</f>
        <v/>
      </c>
      <c r="CI184" s="96" t="str">
        <f aca="false">IF(ISBLANK($C184),"",$BO184)</f>
        <v/>
      </c>
      <c r="CJ184" s="97" t="str">
        <f aca="false">IF(ISBLANK($C184),"",$BM184)</f>
        <v/>
      </c>
      <c r="CK184" s="98" t="str">
        <f aca="false">IF(ISBLANK($C184),"",$CA184)</f>
        <v/>
      </c>
      <c r="CL184" s="98" t="str">
        <f aca="false">IF(ISBLANK($C184),"",$BZ184)</f>
        <v/>
      </c>
      <c r="CM184" s="99" t="str">
        <f aca="false">IF(ISBLANK($C184),"",IF($CL184=Constants!$B$7,COUNTA($C$9:$C$508)+2,IF($CL184=Constants!$B$6,COUNTA($C$9:$C$508)+1,IF($CL184=Constants!$B$5,COUNTA($C$9:$C$508),$CL184))))</f>
        <v/>
      </c>
      <c r="CN184" s="8"/>
      <c r="CO184" s="100" t="n">
        <f aca="false">IF(OR(ISNUMBER($CL184),$CL184=Constants!$B$7,$CL184=Constants!$B$5,$CL184=Constants!$B$6),1,0)</f>
        <v>0</v>
      </c>
      <c r="CP184" s="100" t="n">
        <v>176</v>
      </c>
      <c r="CQ184" s="100" t="str">
        <f aca="false">IF(ISBLANK($C184),"",IF(ISNUMBER($CM184),$CM184+ROW($B184)/1000,""))</f>
        <v/>
      </c>
      <c r="CR184" s="100" t="str">
        <f aca="false">IF(ISNUMBER($CQ184),RANK($CQ184,$CQ$9:$CQ$508,1),"")</f>
        <v/>
      </c>
      <c r="CS184" s="100" t="str">
        <f aca="false">IF(ISBLANK($C184),"",$B184)</f>
        <v/>
      </c>
      <c r="CT184" s="100" t="str">
        <f aca="false">IF(ISBLANK($C184),"",$C184)</f>
        <v/>
      </c>
      <c r="CU184" s="100" t="str">
        <f aca="false">IF(ISBLANK($C184),"",$D184)</f>
        <v/>
      </c>
      <c r="CV184" s="101" t="str">
        <f aca="false">$CJ184</f>
        <v/>
      </c>
      <c r="CW184" s="102" t="str">
        <f aca="false">$CI184</f>
        <v/>
      </c>
      <c r="CX184" s="100" t="str">
        <f aca="false">IF(ISBLANK($C184),"",$CL184)</f>
        <v/>
      </c>
      <c r="CY184" s="103" t="str">
        <f aca="false">IF($CP184&gt;$CO$8,"",VLOOKUP($CP184,$CR$9:$CX$508,7,FALSE()))</f>
        <v/>
      </c>
      <c r="CZ184" s="104" t="str">
        <f aca="false">IF($CP184&gt;$CO$8,"",VLOOKUP($CP184,$CR$9:$CX$508,2,FALSE()))</f>
        <v/>
      </c>
      <c r="DA184" s="104" t="str">
        <f aca="false">IF($CP184&gt;$CO$8,"",VLOOKUP($CP184,$CR$9:$CX$508,3,FALSE()))</f>
        <v/>
      </c>
      <c r="DB184" s="104" t="str">
        <f aca="false">IF($CP184&gt;$CO$8,"",VLOOKUP($CP184,$CR$9:$CX$508,4,FALSE()))</f>
        <v/>
      </c>
      <c r="DC184" s="104" t="str">
        <f aca="false">IF($CP184&gt;$CO$8,"",VLOOKUP($CP184,$CR$9:$CX$508,5,FALSE()))</f>
        <v/>
      </c>
      <c r="DD184" s="105" t="str">
        <f aca="false">IF($CP184&gt;$CO$8,"",VLOOKUP($CP184,$CR$9:$CX$508,6,FALSE()))</f>
        <v/>
      </c>
      <c r="DE184" s="70"/>
    </row>
    <row r="185" customFormat="false" ht="15.75" hidden="false" customHeight="false" outlineLevel="0" collapsed="false">
      <c r="A185" s="8"/>
      <c r="B185" s="72"/>
      <c r="C185" s="73"/>
      <c r="D185" s="155"/>
      <c r="E185" s="162"/>
      <c r="F185" s="157"/>
      <c r="G185" s="77"/>
      <c r="H185" s="77"/>
      <c r="I185" s="77"/>
      <c r="J185" s="163"/>
      <c r="K185" s="161"/>
      <c r="L185" s="161"/>
      <c r="M185" s="80"/>
      <c r="N185" s="161"/>
      <c r="O185" s="160"/>
      <c r="P185" s="161"/>
      <c r="Q185" s="161"/>
      <c r="R185" s="161"/>
      <c r="S185" s="77"/>
      <c r="T185" s="161"/>
      <c r="U185" s="160"/>
      <c r="V185" s="161"/>
      <c r="W185" s="85"/>
      <c r="X185" s="86" t="str">
        <f aca="false">IF(ISBLANK($C185),"",IF($E185=Constants!$B$2,TRUE(),IF($E185=Constants!$B$3,FALSE(),TRUE())))</f>
        <v/>
      </c>
      <c r="Y185" s="86" t="str">
        <f aca="false">IF(ISBLANK($C185),"",IF($F185=Constants!$B$2,TRUE(),IF($F185=Constants!$B$3,FALSE(),TRUE())))</f>
        <v/>
      </c>
      <c r="Z185" s="87" t="str">
        <f aca="false">IF(ISBLANK($C185),"",IF(ISNUMBER($G185),IF($G185&gt;=0,$G185,""),""))</f>
        <v/>
      </c>
      <c r="AA185" s="87" t="str">
        <f aca="false">IF(ISBLANK($C185),"",IF(ISNUMBER($H185),IF($H185&gt;=0,$H185,""),""))</f>
        <v/>
      </c>
      <c r="AB185" s="87" t="str">
        <f aca="false">IF(ISBLANK($C185),"",IF(ISNUMBER($I185),IF($I185&gt;=0,$I185,""),""))</f>
        <v/>
      </c>
      <c r="AC185" s="86" t="str">
        <f aca="false">IF(ISBLANK($C185),"",IF($J185=Constants!$B$2,TRUE(),IF($J185=Constants!$B$3,FALSE(),TRUE())))</f>
        <v/>
      </c>
      <c r="AD185" s="86" t="str">
        <f aca="false">IF(ISBLANK($C185),"",IF($K185=Constants!$B$2,TRUE(),IF($K185=Constants!$B$3,FALSE(),TRUE())))</f>
        <v/>
      </c>
      <c r="AE185" s="86" t="str">
        <f aca="false">IF(ISBLANK($C185),"",IF($L185=Constants!$B$2,TRUE(),IF($L185=Constants!$B$3,FALSE(),TRUE())))</f>
        <v/>
      </c>
      <c r="AF185" s="88" t="str">
        <f aca="false">IF(ISBLANK($C185),"",IF(ISNUMBER($M185),IF($M185&gt;=0,$M185,""),""))</f>
        <v/>
      </c>
      <c r="AG185" s="86" t="str">
        <f aca="false">IF(ISBLANK($C185),"",IF(ISBLANK($N185),0,IF(ISNUMBER($N185),IF(AND($N185&gt;=0,$N185&lt;=Constants!$B$17,$N185=INT($N185)),$N185,""),"")))</f>
        <v/>
      </c>
      <c r="AH185" s="87" t="str">
        <f aca="false">IF(ISBLANK($C185),"",IF(ISBLANK($O185),0,IF(ISNUMBER($O185),IF($O185&gt;=0,$O185,""),"")))</f>
        <v/>
      </c>
      <c r="AI185" s="86" t="str">
        <f aca="false">IF(ISBLANK($C185),"",IF($P185=Constants!$B$2,TRUE(),IF($P185=Constants!$B$3,FALSE(),TRUE())))</f>
        <v/>
      </c>
      <c r="AJ185" s="86" t="str">
        <f aca="false">IF(ISBLANK($C185),"",IF($Q185=Constants!$B$2,TRUE(),IF($Q185=Constants!$B$3,FALSE(),TRUE())))</f>
        <v/>
      </c>
      <c r="AK185" s="86" t="str">
        <f aca="false">IF(ISBLANK($C185),"",IF($R185=Constants!$B$2,TRUE(),IF($R185=Constants!$B$3,FALSE(),TRUE())))</f>
        <v/>
      </c>
      <c r="AL185" s="88" t="str">
        <f aca="false">IF(ISBLANK($C185),"",IF(ISNUMBER($S185),IF($S185&gt;=0,$S185,""),""))</f>
        <v/>
      </c>
      <c r="AM185" s="86" t="str">
        <f aca="false">IF(ISBLANK($C185),"",IF(ISBLANK($T185),0,IF(ISNUMBER($T185),IF(AND($T185&gt;=0,$T185&lt;=Constants!$B$17,$T185=INT($T185)),$T185,""),"")))</f>
        <v/>
      </c>
      <c r="AN185" s="87" t="str">
        <f aca="false">IF(ISBLANK($C185),"",IF(ISBLANK($U185),0,IF(ISNUMBER($U185),IF($U185&gt;=0,$U185,""),"")))</f>
        <v/>
      </c>
      <c r="AO185" s="86" t="str">
        <f aca="false">IF(ISBLANK($C185),"",IF($V185=Constants!$B$2,TRUE(),IF($V185=Constants!$B$3,FALSE(),FALSE())))</f>
        <v/>
      </c>
      <c r="AP185" s="86"/>
      <c r="AQ185" s="85" t="str">
        <f aca="false">IF(ISBLANK($C185),"",AND($Y185,OR($AS185,$BC185),OR($Z185="",$AA185="",$AB185="")))</f>
        <v/>
      </c>
      <c r="AR185" s="85" t="str">
        <f aca="false">IF(ISBLANK($C185),"",IF(OR(NOT($Y185),NOT(OR($AS185,$BC185))),"",IF(ISBLANK($D$7),$AR$5,IF($AP$9="",$AR$6,""))))</f>
        <v/>
      </c>
      <c r="AS185" s="85" t="str">
        <f aca="false">IF(ISBLANK($C185),"",COUNTA($J185:$O185)&gt;0)</f>
        <v/>
      </c>
      <c r="AT185" s="85" t="str">
        <f aca="false">IF(ISBLANK($C185),"",AND($AS185,OR(AND($AF185="",OR($AE185,NOT(ISBLANK($M185)))),$AG185="",$AH185="")))</f>
        <v/>
      </c>
      <c r="AU185" s="87" t="str">
        <f aca="false">IF($BL185&lt;&gt;Constants!$B$4,"",IF(NOT($AS185),"",ROUND((Constants!$B$12-$AB185)+(Constants!$B$13-$Z185)+(Constants!$B$14-$AA185),1)))</f>
        <v/>
      </c>
      <c r="AV185" s="90" t="str">
        <f aca="false">IF($BL185&lt;&gt;Constants!$B$4,"",IF(NOT($AS185),"",IF(NOT($AE185),0,Constants!$B$15*(INT(ROUND(MIN($AF185,$AP$9),6))-INT(ROUND(MAX(0,MIN($AF185,2*$AP$9)-$AP$9),6))))))</f>
        <v/>
      </c>
      <c r="AW185" s="90" t="str">
        <f aca="false">IF($BL185&lt;&gt;Constants!$B$4,"",IF(NOT($AS185),"",Constants!$B$16*$AG185))</f>
        <v/>
      </c>
      <c r="AX185" s="90" t="str">
        <f aca="false">IF($BL185&lt;&gt;Constants!$B$4,"",IF(NOT($AS185),"",Constants!$B$18*INT(ROUND($AH185,6))))</f>
        <v/>
      </c>
      <c r="AY185" s="85" t="str">
        <f aca="false">IF($BL185&lt;&gt;Constants!$B$4,"",IF(NOT($AS185),"",IF(NOT($X185),Constants!$B$11,IF(OR(NOT($AC185),NOT($AD185),ROUND($AB185,1)&gt;Constants!$B$12,ROUND($Z185,1)&gt;Constants!$B$13,ROUND($AA185,1)&gt;Constants!$B$14),Constants!$B$10,Constants!$B$9))))</f>
        <v/>
      </c>
      <c r="AZ185" s="91" t="str">
        <f aca="false">IF($BL185&lt;&gt;Constants!$B$4,"",IF(NOT($AS185),"",ROUND($AU185+$AV185+$AW185+$AX185,1)))</f>
        <v/>
      </c>
      <c r="BA185" s="92" t="str">
        <f aca="false">IF($BL185&lt;&gt;Constants!$B$4,"",IF(NOT($AS185),"",IF(ISNUMBER($AF185),$AF185,0)))</f>
        <v/>
      </c>
      <c r="BB185" s="86" t="str">
        <f aca="false">IF($BL185&lt;&gt;Constants!$B$4,"",IF(NOT($BC185),"&lt;-",IF(NOT($AS185),"-&gt;",IF(OR($BI185&lt;$AY185,AND($BI185=$AY185,OR($BJ185&gt;$AZ185,AND($BJ185=$AZ185,OR($BH185&gt;$AX185,AND($BH185=$AX185,OR($BE185&gt;$AU185,AND($BE185=$AU185,OR($BF185&gt;$AV185,AND($BF185=$AV185,$BK185&gt;$BA185)))))))))),"-&gt;","&lt;-"))))</f>
        <v/>
      </c>
      <c r="BC185" s="85" t="str">
        <f aca="false">IF(ISBLANK($C185),"",COUNTA($P185:$U185)&gt;0)</f>
        <v/>
      </c>
      <c r="BD185" s="85" t="str">
        <f aca="false">IF(ISBLANK($C185),"",AND($BC185,OR(AND($AL185="",OR($AK185,NOT(ISBLANK($S185)))),$AM185="",$AN185="")))</f>
        <v/>
      </c>
      <c r="BE185" s="87" t="str">
        <f aca="false">IF($BL185&lt;&gt;Constants!$B$4,"",IF(NOT($BC185),"",ROUND((Constants!$B$12-$AB185)+(Constants!$B$13-$Z185)+(Constants!$B$14-$AA185),1)))</f>
        <v/>
      </c>
      <c r="BF185" s="90" t="str">
        <f aca="false">IF($BL185&lt;&gt;Constants!$B$4,"",IF(NOT($BC185),"",IF(NOT($AK185),0,Constants!$B$15*(INT(ROUND(MIN($AL185,$AP$9),6))-INT(ROUND(MAX(0,MIN($AL185,2*$AP$9)-$AP$9),6))))))</f>
        <v/>
      </c>
      <c r="BG185" s="90" t="str">
        <f aca="false">IF($BL185&lt;&gt;Constants!$B$4,"",IF(NOT($BC185),"",Constants!$B$16*$AM185))</f>
        <v/>
      </c>
      <c r="BH185" s="90" t="str">
        <f aca="false">IF($BL185&lt;&gt;Constants!$B$4,"",IF(NOT($BC185),"",Constants!$B$18*INT(ROUND($AN185,6))))</f>
        <v/>
      </c>
      <c r="BI185" s="85" t="str">
        <f aca="false">IF($BL185&lt;&gt;Constants!$B$4,"",IF(NOT($BC185),"",IF(NOT($X185),Constants!$B$11,IF(OR(NOT($AI185),NOT($AJ185),ROUND($AB185,1)&gt;Constants!$B$12,ROUND($Z185,1)&gt;Constants!$B$13,ROUND($AA185,1)&gt;Constants!$B$14),Constants!$B$10,Constants!$B$9))))</f>
        <v/>
      </c>
      <c r="BJ185" s="91" t="str">
        <f aca="false">IF($BL185&lt;&gt;Constants!$B$4,"",IF(NOT($BC185),"",ROUND($BE185+$BF185+$BG185+$BH185,1)))</f>
        <v/>
      </c>
      <c r="BK185" s="92" t="str">
        <f aca="false">IF($BL185&lt;&gt;Constants!$B$4,"",IF(NOT($BC185),"",IF(ISNUMBER($AL185),$AL185,0)))</f>
        <v/>
      </c>
      <c r="BL185" s="86" t="str">
        <f aca="false">IF(ISBLANK($C185),"",IF($AO185,Constants!$B$7,IF(COUNTA($E185:$V185)=0,Constants!$B$6,IF(NOT($Y185),Constants!$B$5,IF(NOT(OR($AS185,$BC185)),Constants!$B$5,IF(OR($AT185,$BD185,$AQ185,$AR185&lt;&gt;""),Constants!$B$8,Constants!$B$4))))))</f>
        <v/>
      </c>
      <c r="BM185" s="86" t="str">
        <f aca="false">IF(ISBLANK($C185),"",IF($BL185&lt;&gt;Constants!$B$4,$BL185,IF($BB185="-&gt;",$BI185,$AY185)))</f>
        <v/>
      </c>
      <c r="BN185" s="90" t="str">
        <f aca="false">IF($BL185&lt;&gt;Constants!$B$4,"",IF($BB185="-&gt;",$BJ185,$AZ185))</f>
        <v/>
      </c>
      <c r="BO185" s="90" t="str">
        <f aca="false">IF(ISBLANK($C185),"",IF($BL185&lt;&gt;Constants!$B$4,$BL185,$BN185))</f>
        <v/>
      </c>
      <c r="BP185" s="86" t="str">
        <f aca="false">IF(ISBLANK($C185),"",IF($BL185&lt;&gt;Constants!$B$4,$BL185,RANK($BO185,$BO$9:$BO$508,0)))</f>
        <v/>
      </c>
      <c r="BQ185" s="86" t="str">
        <f aca="false">IF(ISBLANK($C185),"",IF($BL185&lt;&gt;Constants!$B$4,$BL185,COUNTIFS($BM$9:$BM$508,"&lt;"&amp;$BM185)+COUNTIFS($BM$9:$BM$508,$BM185,$BP$9:$BP$508,"&lt;"&amp;$BP185)+1))</f>
        <v/>
      </c>
      <c r="BR185" s="90" t="str">
        <f aca="false">IF($BL185&lt;&gt;Constants!$B$4,"",IF($BB185="-&gt;",$BH185,$AX185))</f>
        <v/>
      </c>
      <c r="BS185" s="86" t="str">
        <f aca="false">IF(ISBLANK($C185),"",IF($BL185&lt;&gt;Constants!$B$4,$BL185,IF(ISNUMBER($BR185),RANK($BR185,$BR$9:$BR$508,0),COUNT($BR$9:$BR$508)+1)))</f>
        <v/>
      </c>
      <c r="BT185" s="90" t="str">
        <f aca="false">IF($BL185&lt;&gt;Constants!$B$4,"",IF($BB185="-&gt;",$BE185,$AU185))</f>
        <v/>
      </c>
      <c r="BU185" s="86" t="str">
        <f aca="false">IF(ISBLANK($C185),"",IF($BL185&lt;&gt;Constants!$B$4,$BL185,IF(ISNUMBER($BT185),RANK($BT185,$BT$9:$BT$508,0),COUNT($BT$9:$BT$508)+1)))</f>
        <v/>
      </c>
      <c r="BV185" s="90" t="str">
        <f aca="false">IF($BL185&lt;&gt;Constants!$B$4,"",IF($BB185="-&gt;",$BF185,$AV185))</f>
        <v/>
      </c>
      <c r="BW185" s="86" t="str">
        <f aca="false">IF(ISBLANK($C185),"",IF($BL185&lt;&gt;Constants!$B$4,$BL185,IF(ISNUMBER($BV185),RANK($BV185,$BV$9:$BV$508,0),COUNT($BV$9:$BV$508)+1)))</f>
        <v/>
      </c>
      <c r="BX185" s="90" t="str">
        <f aca="false">IF($BL185&lt;&gt;Constants!$B$4,"",IF($BB185="-&gt;",$BK185,$BA185))</f>
        <v/>
      </c>
      <c r="BY185" s="86" t="str">
        <f aca="false">IF(ISBLANK($C185),"",IF($BL185&lt;&gt;Constants!$B$4,$BL185,IF(ISNUMBER($BX185),RANK($BX185,$BX$9:$BX$508,0),COUNT($BX$9:$BX$508)+1)))</f>
        <v/>
      </c>
      <c r="BZ185" s="86" t="str">
        <f aca="false">IF(ISBLANK($C185),"",IF($BL185&lt;&gt;Constants!$B$4,$BL185,COUNTIFS($BM$9:$BM$508,"&lt;"&amp;$BM185)+COUNTIFS($BM$9:$BM$508,$BM185,$BP$9:$BP$508,"&lt;"&amp;$BP185)+COUNTIFS($BM$9:$BM$508,$BM185,$BP$9:$BP$508,$BP185,$BS$9:$BS$508,"&lt;"&amp;$BS185)+COUNTIFS($BM$9:$BM$508,$BM185,$BP$9:$BP$508,$BP185,$BS$9:$BS$508,$BS185,$BU$9:$BU$508,"&lt;"&amp;$BU185)+COUNTIFS($BM$9:$BM$508,$BM185,$BP$9:$BP$508,$BP185,$BS$9:$BS$508,$BS185,$BU$9:$BU$508,$BU185,$BW$9:$BW$508,"&lt;"&amp;$BW185)+COUNTIFS($BM$9:$BM$508,$BM185,$BP$9:$BP$508,$BP185,$BS$9:$BS$508,$BS185,$BU$9:$BU$508,$BU185,$BW$9:$BW$508,$BW185,$BY$9:$BY$508,"&lt;"&amp;$BY185)+1))</f>
        <v/>
      </c>
      <c r="CA185" s="86" t="str">
        <f aca="false">IF(ISBLANK($C185),"",IF($BL185&lt;&gt;Constants!$B$4,$BL185,$BQ185-$BZ185))</f>
        <v/>
      </c>
      <c r="CB185" s="93"/>
      <c r="CC185" s="94" t="str">
        <f aca="false">IF(ISBLANK($C185),"",IF($BL185=Constants!$B$8,$AR185,""))</f>
        <v/>
      </c>
      <c r="CD185" s="94" t="str">
        <f aca="false">IF(ISBLANK($C185),"",IF($BL185&lt;&gt;Constants!$B$4,"",IF($BB185="-&gt;",2,1)))</f>
        <v/>
      </c>
      <c r="CE185" s="95" t="str">
        <f aca="false">IF(ISBLANK($C185),"",IF($BL185&lt;&gt;Constants!$B$4,"",IF($BB185="-&gt;",$BE185,$AU185)))</f>
        <v/>
      </c>
      <c r="CF185" s="95" t="str">
        <f aca="false">IF(ISBLANK($C185),"",IF($BL185&lt;&gt;Constants!$B$4,"",IF($BB185="-&gt;",$BF185,$AV185)))</f>
        <v/>
      </c>
      <c r="CG185" s="95" t="str">
        <f aca="false">IF(ISBLANK($C185),"",IF($BL185&lt;&gt;Constants!$B$4,"",IF($BB185="-&gt;",$BG185,$AW185)))</f>
        <v/>
      </c>
      <c r="CH185" s="95" t="str">
        <f aca="false">IF(ISBLANK($C185),"",IF($BL185&lt;&gt;Constants!$B$4,"",IF($BB185="-&gt;",$BH185,$AX185)))</f>
        <v/>
      </c>
      <c r="CI185" s="96" t="str">
        <f aca="false">IF(ISBLANK($C185),"",$BO185)</f>
        <v/>
      </c>
      <c r="CJ185" s="97" t="str">
        <f aca="false">IF(ISBLANK($C185),"",$BM185)</f>
        <v/>
      </c>
      <c r="CK185" s="98" t="str">
        <f aca="false">IF(ISBLANK($C185),"",$CA185)</f>
        <v/>
      </c>
      <c r="CL185" s="98" t="str">
        <f aca="false">IF(ISBLANK($C185),"",$BZ185)</f>
        <v/>
      </c>
      <c r="CM185" s="99" t="str">
        <f aca="false">IF(ISBLANK($C185),"",IF($CL185=Constants!$B$7,COUNTA($C$9:$C$508)+2,IF($CL185=Constants!$B$6,COUNTA($C$9:$C$508)+1,IF($CL185=Constants!$B$5,COUNTA($C$9:$C$508),$CL185))))</f>
        <v/>
      </c>
      <c r="CN185" s="8"/>
      <c r="CO185" s="100" t="n">
        <f aca="false">IF(OR(ISNUMBER($CL185),$CL185=Constants!$B$7,$CL185=Constants!$B$5,$CL185=Constants!$B$6),1,0)</f>
        <v>0</v>
      </c>
      <c r="CP185" s="100" t="n">
        <v>177</v>
      </c>
      <c r="CQ185" s="100" t="str">
        <f aca="false">IF(ISBLANK($C185),"",IF(ISNUMBER($CM185),$CM185+ROW($B185)/1000,""))</f>
        <v/>
      </c>
      <c r="CR185" s="100" t="str">
        <f aca="false">IF(ISNUMBER($CQ185),RANK($CQ185,$CQ$9:$CQ$508,1),"")</f>
        <v/>
      </c>
      <c r="CS185" s="100" t="str">
        <f aca="false">IF(ISBLANK($C185),"",$B185)</f>
        <v/>
      </c>
      <c r="CT185" s="100" t="str">
        <f aca="false">IF(ISBLANK($C185),"",$C185)</f>
        <v/>
      </c>
      <c r="CU185" s="100" t="str">
        <f aca="false">IF(ISBLANK($C185),"",$D185)</f>
        <v/>
      </c>
      <c r="CV185" s="101" t="str">
        <f aca="false">$CJ185</f>
        <v/>
      </c>
      <c r="CW185" s="102" t="str">
        <f aca="false">$CI185</f>
        <v/>
      </c>
      <c r="CX185" s="100" t="str">
        <f aca="false">IF(ISBLANK($C185),"",$CL185)</f>
        <v/>
      </c>
      <c r="CY185" s="103" t="str">
        <f aca="false">IF($CP185&gt;$CO$8,"",VLOOKUP($CP185,$CR$9:$CX$508,7,FALSE()))</f>
        <v/>
      </c>
      <c r="CZ185" s="104" t="str">
        <f aca="false">IF($CP185&gt;$CO$8,"",VLOOKUP($CP185,$CR$9:$CX$508,2,FALSE()))</f>
        <v/>
      </c>
      <c r="DA185" s="104" t="str">
        <f aca="false">IF($CP185&gt;$CO$8,"",VLOOKUP($CP185,$CR$9:$CX$508,3,FALSE()))</f>
        <v/>
      </c>
      <c r="DB185" s="104" t="str">
        <f aca="false">IF($CP185&gt;$CO$8,"",VLOOKUP($CP185,$CR$9:$CX$508,4,FALSE()))</f>
        <v/>
      </c>
      <c r="DC185" s="104" t="str">
        <f aca="false">IF($CP185&gt;$CO$8,"",VLOOKUP($CP185,$CR$9:$CX$508,5,FALSE()))</f>
        <v/>
      </c>
      <c r="DD185" s="105" t="str">
        <f aca="false">IF($CP185&gt;$CO$8,"",VLOOKUP($CP185,$CR$9:$CX$508,6,FALSE()))</f>
        <v/>
      </c>
      <c r="DE185" s="70"/>
    </row>
    <row r="186" customFormat="false" ht="15.75" hidden="false" customHeight="false" outlineLevel="0" collapsed="false">
      <c r="A186" s="8"/>
      <c r="B186" s="146"/>
      <c r="C186" s="147"/>
      <c r="D186" s="148"/>
      <c r="E186" s="164"/>
      <c r="F186" s="150"/>
      <c r="G186" s="115"/>
      <c r="H186" s="115"/>
      <c r="I186" s="115"/>
      <c r="J186" s="165"/>
      <c r="K186" s="154"/>
      <c r="L186" s="154"/>
      <c r="M186" s="118"/>
      <c r="N186" s="154"/>
      <c r="O186" s="153"/>
      <c r="P186" s="154"/>
      <c r="Q186" s="154"/>
      <c r="R186" s="154"/>
      <c r="S186" s="115"/>
      <c r="T186" s="154"/>
      <c r="U186" s="153"/>
      <c r="V186" s="154"/>
      <c r="W186" s="123"/>
      <c r="X186" s="124" t="str">
        <f aca="false">IF(ISBLANK($C186),"",IF($E186=Constants!$B$2,TRUE(),IF($E186=Constants!$B$3,FALSE(),TRUE())))</f>
        <v/>
      </c>
      <c r="Y186" s="124" t="str">
        <f aca="false">IF(ISBLANK($C186),"",IF($F186=Constants!$B$2,TRUE(),IF($F186=Constants!$B$3,FALSE(),TRUE())))</f>
        <v/>
      </c>
      <c r="Z186" s="125" t="str">
        <f aca="false">IF(ISBLANK($C186),"",IF(ISNUMBER($G186),IF($G186&gt;=0,$G186,""),""))</f>
        <v/>
      </c>
      <c r="AA186" s="125" t="str">
        <f aca="false">IF(ISBLANK($C186),"",IF(ISNUMBER($H186),IF($H186&gt;=0,$H186,""),""))</f>
        <v/>
      </c>
      <c r="AB186" s="125" t="str">
        <f aca="false">IF(ISBLANK($C186),"",IF(ISNUMBER($I186),IF($I186&gt;=0,$I186,""),""))</f>
        <v/>
      </c>
      <c r="AC186" s="124" t="str">
        <f aca="false">IF(ISBLANK($C186),"",IF($J186=Constants!$B$2,TRUE(),IF($J186=Constants!$B$3,FALSE(),TRUE())))</f>
        <v/>
      </c>
      <c r="AD186" s="124" t="str">
        <f aca="false">IF(ISBLANK($C186),"",IF($K186=Constants!$B$2,TRUE(),IF($K186=Constants!$B$3,FALSE(),TRUE())))</f>
        <v/>
      </c>
      <c r="AE186" s="124" t="str">
        <f aca="false">IF(ISBLANK($C186),"",IF($L186=Constants!$B$2,TRUE(),IF($L186=Constants!$B$3,FALSE(),TRUE())))</f>
        <v/>
      </c>
      <c r="AF186" s="126" t="str">
        <f aca="false">IF(ISBLANK($C186),"",IF(ISNUMBER($M186),IF($M186&gt;=0,$M186,""),""))</f>
        <v/>
      </c>
      <c r="AG186" s="124" t="str">
        <f aca="false">IF(ISBLANK($C186),"",IF(ISBLANK($N186),0,IF(ISNUMBER($N186),IF(AND($N186&gt;=0,$N186&lt;=Constants!$B$17,$N186=INT($N186)),$N186,""),"")))</f>
        <v/>
      </c>
      <c r="AH186" s="125" t="str">
        <f aca="false">IF(ISBLANK($C186),"",IF(ISBLANK($O186),0,IF(ISNUMBER($O186),IF($O186&gt;=0,$O186,""),"")))</f>
        <v/>
      </c>
      <c r="AI186" s="124" t="str">
        <f aca="false">IF(ISBLANK($C186),"",IF($P186=Constants!$B$2,TRUE(),IF($P186=Constants!$B$3,FALSE(),TRUE())))</f>
        <v/>
      </c>
      <c r="AJ186" s="124" t="str">
        <f aca="false">IF(ISBLANK($C186),"",IF($Q186=Constants!$B$2,TRUE(),IF($Q186=Constants!$B$3,FALSE(),TRUE())))</f>
        <v/>
      </c>
      <c r="AK186" s="124" t="str">
        <f aca="false">IF(ISBLANK($C186),"",IF($R186=Constants!$B$2,TRUE(),IF($R186=Constants!$B$3,FALSE(),TRUE())))</f>
        <v/>
      </c>
      <c r="AL186" s="126" t="str">
        <f aca="false">IF(ISBLANK($C186),"",IF(ISNUMBER($S186),IF($S186&gt;=0,$S186,""),""))</f>
        <v/>
      </c>
      <c r="AM186" s="124" t="str">
        <f aca="false">IF(ISBLANK($C186),"",IF(ISBLANK($T186),0,IF(ISNUMBER($T186),IF(AND($T186&gt;=0,$T186&lt;=Constants!$B$17,$T186=INT($T186)),$T186,""),"")))</f>
        <v/>
      </c>
      <c r="AN186" s="125" t="str">
        <f aca="false">IF(ISBLANK($C186),"",IF(ISBLANK($U186),0,IF(ISNUMBER($U186),IF($U186&gt;=0,$U186,""),"")))</f>
        <v/>
      </c>
      <c r="AO186" s="124" t="str">
        <f aca="false">IF(ISBLANK($C186),"",IF($V186=Constants!$B$2,TRUE(),IF($V186=Constants!$B$3,FALSE(),FALSE())))</f>
        <v/>
      </c>
      <c r="AP186" s="124"/>
      <c r="AQ186" s="123" t="str">
        <f aca="false">IF(ISBLANK($C186),"",AND($Y186,OR($AS186,$BC186),OR($Z186="",$AA186="",$AB186="")))</f>
        <v/>
      </c>
      <c r="AR186" s="123" t="str">
        <f aca="false">IF(ISBLANK($C186),"",IF(OR(NOT($Y186),NOT(OR($AS186,$BC186))),"",IF(ISBLANK($D$7),$AR$5,IF($AP$9="",$AR$6,""))))</f>
        <v/>
      </c>
      <c r="AS186" s="123" t="str">
        <f aca="false">IF(ISBLANK($C186),"",COUNTA($J186:$O186)&gt;0)</f>
        <v/>
      </c>
      <c r="AT186" s="123" t="str">
        <f aca="false">IF(ISBLANK($C186),"",AND($AS186,OR(AND($AF186="",OR($AE186,NOT(ISBLANK($M186)))),$AG186="",$AH186="")))</f>
        <v/>
      </c>
      <c r="AU186" s="125" t="str">
        <f aca="false">IF($BL186&lt;&gt;Constants!$B$4,"",IF(NOT($AS186),"",ROUND((Constants!$B$12-$AB186)+(Constants!$B$13-$Z186)+(Constants!$B$14-$AA186),1)))</f>
        <v/>
      </c>
      <c r="AV186" s="127" t="str">
        <f aca="false">IF($BL186&lt;&gt;Constants!$B$4,"",IF(NOT($AS186),"",IF(NOT($AE186),0,Constants!$B$15*(INT(ROUND(MIN($AF186,$AP$9),6))-INT(ROUND(MAX(0,MIN($AF186,2*$AP$9)-$AP$9),6))))))</f>
        <v/>
      </c>
      <c r="AW186" s="127" t="str">
        <f aca="false">IF($BL186&lt;&gt;Constants!$B$4,"",IF(NOT($AS186),"",Constants!$B$16*$AG186))</f>
        <v/>
      </c>
      <c r="AX186" s="127" t="str">
        <f aca="false">IF($BL186&lt;&gt;Constants!$B$4,"",IF(NOT($AS186),"",Constants!$B$18*INT(ROUND($AH186,6))))</f>
        <v/>
      </c>
      <c r="AY186" s="123" t="str">
        <f aca="false">IF($BL186&lt;&gt;Constants!$B$4,"",IF(NOT($AS186),"",IF(NOT($X186),Constants!$B$11,IF(OR(NOT($AC186),NOT($AD186),ROUND($AB186,1)&gt;Constants!$B$12,ROUND($Z186,1)&gt;Constants!$B$13,ROUND($AA186,1)&gt;Constants!$B$14),Constants!$B$10,Constants!$B$9))))</f>
        <v/>
      </c>
      <c r="AZ186" s="128" t="str">
        <f aca="false">IF($BL186&lt;&gt;Constants!$B$4,"",IF(NOT($AS186),"",ROUND($AU186+$AV186+$AW186+$AX186,1)))</f>
        <v/>
      </c>
      <c r="BA186" s="129" t="str">
        <f aca="false">IF($BL186&lt;&gt;Constants!$B$4,"",IF(NOT($AS186),"",IF(ISNUMBER($AF186),$AF186,0)))</f>
        <v/>
      </c>
      <c r="BB186" s="124" t="str">
        <f aca="false">IF($BL186&lt;&gt;Constants!$B$4,"",IF(NOT($BC186),"&lt;-",IF(NOT($AS186),"-&gt;",IF(OR($BI186&lt;$AY186,AND($BI186=$AY186,OR($BJ186&gt;$AZ186,AND($BJ186=$AZ186,OR($BH186&gt;$AX186,AND($BH186=$AX186,OR($BE186&gt;$AU186,AND($BE186=$AU186,OR($BF186&gt;$AV186,AND($BF186=$AV186,$BK186&gt;$BA186)))))))))),"-&gt;","&lt;-"))))</f>
        <v/>
      </c>
      <c r="BC186" s="123" t="str">
        <f aca="false">IF(ISBLANK($C186),"",COUNTA($P186:$U186)&gt;0)</f>
        <v/>
      </c>
      <c r="BD186" s="123" t="str">
        <f aca="false">IF(ISBLANK($C186),"",AND($BC186,OR(AND($AL186="",OR($AK186,NOT(ISBLANK($S186)))),$AM186="",$AN186="")))</f>
        <v/>
      </c>
      <c r="BE186" s="125" t="str">
        <f aca="false">IF($BL186&lt;&gt;Constants!$B$4,"",IF(NOT($BC186),"",ROUND((Constants!$B$12-$AB186)+(Constants!$B$13-$Z186)+(Constants!$B$14-$AA186),1)))</f>
        <v/>
      </c>
      <c r="BF186" s="127" t="str">
        <f aca="false">IF($BL186&lt;&gt;Constants!$B$4,"",IF(NOT($BC186),"",IF(NOT($AK186),0,Constants!$B$15*(INT(ROUND(MIN($AL186,$AP$9),6))-INT(ROUND(MAX(0,MIN($AL186,2*$AP$9)-$AP$9),6))))))</f>
        <v/>
      </c>
      <c r="BG186" s="127" t="str">
        <f aca="false">IF($BL186&lt;&gt;Constants!$B$4,"",IF(NOT($BC186),"",Constants!$B$16*$AM186))</f>
        <v/>
      </c>
      <c r="BH186" s="127" t="str">
        <f aca="false">IF($BL186&lt;&gt;Constants!$B$4,"",IF(NOT($BC186),"",Constants!$B$18*INT(ROUND($AN186,6))))</f>
        <v/>
      </c>
      <c r="BI186" s="123" t="str">
        <f aca="false">IF($BL186&lt;&gt;Constants!$B$4,"",IF(NOT($BC186),"",IF(NOT($X186),Constants!$B$11,IF(OR(NOT($AI186),NOT($AJ186),ROUND($AB186,1)&gt;Constants!$B$12,ROUND($Z186,1)&gt;Constants!$B$13,ROUND($AA186,1)&gt;Constants!$B$14),Constants!$B$10,Constants!$B$9))))</f>
        <v/>
      </c>
      <c r="BJ186" s="128" t="str">
        <f aca="false">IF($BL186&lt;&gt;Constants!$B$4,"",IF(NOT($BC186),"",ROUND($BE186+$BF186+$BG186+$BH186,1)))</f>
        <v/>
      </c>
      <c r="BK186" s="129" t="str">
        <f aca="false">IF($BL186&lt;&gt;Constants!$B$4,"",IF(NOT($BC186),"",IF(ISNUMBER($AL186),$AL186,0)))</f>
        <v/>
      </c>
      <c r="BL186" s="124" t="str">
        <f aca="false">IF(ISBLANK($C186),"",IF($AO186,Constants!$B$7,IF(COUNTA($E186:$V186)=0,Constants!$B$6,IF(NOT($Y186),Constants!$B$5,IF(NOT(OR($AS186,$BC186)),Constants!$B$5,IF(OR($AT186,$BD186,$AQ186,$AR186&lt;&gt;""),Constants!$B$8,Constants!$B$4))))))</f>
        <v/>
      </c>
      <c r="BM186" s="124" t="str">
        <f aca="false">IF(ISBLANK($C186),"",IF($BL186&lt;&gt;Constants!$B$4,$BL186,IF($BB186="-&gt;",$BI186,$AY186)))</f>
        <v/>
      </c>
      <c r="BN186" s="127" t="str">
        <f aca="false">IF($BL186&lt;&gt;Constants!$B$4,"",IF($BB186="-&gt;",$BJ186,$AZ186))</f>
        <v/>
      </c>
      <c r="BO186" s="127" t="str">
        <f aca="false">IF(ISBLANK($C186),"",IF($BL186&lt;&gt;Constants!$B$4,$BL186,$BN186))</f>
        <v/>
      </c>
      <c r="BP186" s="124" t="str">
        <f aca="false">IF(ISBLANK($C186),"",IF($BL186&lt;&gt;Constants!$B$4,$BL186,RANK($BO186,$BO$9:$BO$508,0)))</f>
        <v/>
      </c>
      <c r="BQ186" s="124" t="str">
        <f aca="false">IF(ISBLANK($C186),"",IF($BL186&lt;&gt;Constants!$B$4,$BL186,COUNTIFS($BM$9:$BM$508,"&lt;"&amp;$BM186)+COUNTIFS($BM$9:$BM$508,$BM186,$BP$9:$BP$508,"&lt;"&amp;$BP186)+1))</f>
        <v/>
      </c>
      <c r="BR186" s="127" t="str">
        <f aca="false">IF($BL186&lt;&gt;Constants!$B$4,"",IF($BB186="-&gt;",$BH186,$AX186))</f>
        <v/>
      </c>
      <c r="BS186" s="124" t="str">
        <f aca="false">IF(ISBLANK($C186),"",IF($BL186&lt;&gt;Constants!$B$4,$BL186,IF(ISNUMBER($BR186),RANK($BR186,$BR$9:$BR$508,0),COUNT($BR$9:$BR$508)+1)))</f>
        <v/>
      </c>
      <c r="BT186" s="127" t="str">
        <f aca="false">IF($BL186&lt;&gt;Constants!$B$4,"",IF($BB186="-&gt;",$BE186,$AU186))</f>
        <v/>
      </c>
      <c r="BU186" s="124" t="str">
        <f aca="false">IF(ISBLANK($C186),"",IF($BL186&lt;&gt;Constants!$B$4,$BL186,IF(ISNUMBER($BT186),RANK($BT186,$BT$9:$BT$508,0),COUNT($BT$9:$BT$508)+1)))</f>
        <v/>
      </c>
      <c r="BV186" s="127" t="str">
        <f aca="false">IF($BL186&lt;&gt;Constants!$B$4,"",IF($BB186="-&gt;",$BF186,$AV186))</f>
        <v/>
      </c>
      <c r="BW186" s="124" t="str">
        <f aca="false">IF(ISBLANK($C186),"",IF($BL186&lt;&gt;Constants!$B$4,$BL186,IF(ISNUMBER($BV186),RANK($BV186,$BV$9:$BV$508,0),COUNT($BV$9:$BV$508)+1)))</f>
        <v/>
      </c>
      <c r="BX186" s="127" t="str">
        <f aca="false">IF($BL186&lt;&gt;Constants!$B$4,"",IF($BB186="-&gt;",$BK186,$BA186))</f>
        <v/>
      </c>
      <c r="BY186" s="124" t="str">
        <f aca="false">IF(ISBLANK($C186),"",IF($BL186&lt;&gt;Constants!$B$4,$BL186,IF(ISNUMBER($BX186),RANK($BX186,$BX$9:$BX$508,0),COUNT($BX$9:$BX$508)+1)))</f>
        <v/>
      </c>
      <c r="BZ186" s="124" t="str">
        <f aca="false">IF(ISBLANK($C186),"",IF($BL186&lt;&gt;Constants!$B$4,$BL186,COUNTIFS($BM$9:$BM$508,"&lt;"&amp;$BM186)+COUNTIFS($BM$9:$BM$508,$BM186,$BP$9:$BP$508,"&lt;"&amp;$BP186)+COUNTIFS($BM$9:$BM$508,$BM186,$BP$9:$BP$508,$BP186,$BS$9:$BS$508,"&lt;"&amp;$BS186)+COUNTIFS($BM$9:$BM$508,$BM186,$BP$9:$BP$508,$BP186,$BS$9:$BS$508,$BS186,$BU$9:$BU$508,"&lt;"&amp;$BU186)+COUNTIFS($BM$9:$BM$508,$BM186,$BP$9:$BP$508,$BP186,$BS$9:$BS$508,$BS186,$BU$9:$BU$508,$BU186,$BW$9:$BW$508,"&lt;"&amp;$BW186)+COUNTIFS($BM$9:$BM$508,$BM186,$BP$9:$BP$508,$BP186,$BS$9:$BS$508,$BS186,$BU$9:$BU$508,$BU186,$BW$9:$BW$508,$BW186,$BY$9:$BY$508,"&lt;"&amp;$BY186)+1))</f>
        <v/>
      </c>
      <c r="CA186" s="124" t="str">
        <f aca="false">IF(ISBLANK($C186),"",IF($BL186&lt;&gt;Constants!$B$4,$BL186,$BQ186-$BZ186))</f>
        <v/>
      </c>
      <c r="CB186" s="130"/>
      <c r="CC186" s="131" t="str">
        <f aca="false">IF(ISBLANK($C186),"",IF($BL186=Constants!$B$8,$AR186,""))</f>
        <v/>
      </c>
      <c r="CD186" s="131" t="str">
        <f aca="false">IF(ISBLANK($C186),"",IF($BL186&lt;&gt;Constants!$B$4,"",IF($BB186="-&gt;",2,1)))</f>
        <v/>
      </c>
      <c r="CE186" s="132" t="str">
        <f aca="false">IF(ISBLANK($C186),"",IF($BL186&lt;&gt;Constants!$B$4,"",IF($BB186="-&gt;",$BE186,$AU186)))</f>
        <v/>
      </c>
      <c r="CF186" s="132" t="str">
        <f aca="false">IF(ISBLANK($C186),"",IF($BL186&lt;&gt;Constants!$B$4,"",IF($BB186="-&gt;",$BF186,$AV186)))</f>
        <v/>
      </c>
      <c r="CG186" s="132" t="str">
        <f aca="false">IF(ISBLANK($C186),"",IF($BL186&lt;&gt;Constants!$B$4,"",IF($BB186="-&gt;",$BG186,$AW186)))</f>
        <v/>
      </c>
      <c r="CH186" s="132" t="str">
        <f aca="false">IF(ISBLANK($C186),"",IF($BL186&lt;&gt;Constants!$B$4,"",IF($BB186="-&gt;",$BH186,$AX186)))</f>
        <v/>
      </c>
      <c r="CI186" s="133" t="str">
        <f aca="false">IF(ISBLANK($C186),"",$BO186)</f>
        <v/>
      </c>
      <c r="CJ186" s="134" t="str">
        <f aca="false">IF(ISBLANK($C186),"",$BM186)</f>
        <v/>
      </c>
      <c r="CK186" s="135" t="str">
        <f aca="false">IF(ISBLANK($C186),"",$CA186)</f>
        <v/>
      </c>
      <c r="CL186" s="135" t="str">
        <f aca="false">IF(ISBLANK($C186),"",$BZ186)</f>
        <v/>
      </c>
      <c r="CM186" s="136" t="str">
        <f aca="false">IF(ISBLANK($C186),"",IF($CL186=Constants!$B$7,COUNTA($C$9:$C$508)+2,IF($CL186=Constants!$B$6,COUNTA($C$9:$C$508)+1,IF($CL186=Constants!$B$5,COUNTA($C$9:$C$508),$CL186))))</f>
        <v/>
      </c>
      <c r="CN186" s="8"/>
      <c r="CO186" s="137" t="n">
        <f aca="false">IF(OR(ISNUMBER($CL186),$CL186=Constants!$B$7,$CL186=Constants!$B$5,$CL186=Constants!$B$6),1,0)</f>
        <v>0</v>
      </c>
      <c r="CP186" s="137" t="n">
        <v>178</v>
      </c>
      <c r="CQ186" s="137" t="str">
        <f aca="false">IF(ISBLANK($C186),"",IF(ISNUMBER($CM186),$CM186+ROW($B186)/1000,""))</f>
        <v/>
      </c>
      <c r="CR186" s="137" t="str">
        <f aca="false">IF(ISNUMBER($CQ186),RANK($CQ186,$CQ$9:$CQ$508,1),"")</f>
        <v/>
      </c>
      <c r="CS186" s="137" t="str">
        <f aca="false">IF(ISBLANK($C186),"",$B186)</f>
        <v/>
      </c>
      <c r="CT186" s="137" t="str">
        <f aca="false">IF(ISBLANK($C186),"",$C186)</f>
        <v/>
      </c>
      <c r="CU186" s="137" t="str">
        <f aca="false">IF(ISBLANK($C186),"",$D186)</f>
        <v/>
      </c>
      <c r="CV186" s="138" t="str">
        <f aca="false">$CJ186</f>
        <v/>
      </c>
      <c r="CW186" s="139" t="str">
        <f aca="false">$CI186</f>
        <v/>
      </c>
      <c r="CX186" s="137" t="str">
        <f aca="false">IF(ISBLANK($C186),"",$CL186)</f>
        <v/>
      </c>
      <c r="CY186" s="140" t="str">
        <f aca="false">IF($CP186&gt;$CO$8,"",VLOOKUP($CP186,$CR$9:$CX$508,7,FALSE()))</f>
        <v/>
      </c>
      <c r="CZ186" s="141" t="str">
        <f aca="false">IF($CP186&gt;$CO$8,"",VLOOKUP($CP186,$CR$9:$CX$508,2,FALSE()))</f>
        <v/>
      </c>
      <c r="DA186" s="141" t="str">
        <f aca="false">IF($CP186&gt;$CO$8,"",VLOOKUP($CP186,$CR$9:$CX$508,3,FALSE()))</f>
        <v/>
      </c>
      <c r="DB186" s="141" t="str">
        <f aca="false">IF($CP186&gt;$CO$8,"",VLOOKUP($CP186,$CR$9:$CX$508,4,FALSE()))</f>
        <v/>
      </c>
      <c r="DC186" s="141" t="str">
        <f aca="false">IF($CP186&gt;$CO$8,"",VLOOKUP($CP186,$CR$9:$CX$508,5,FALSE()))</f>
        <v/>
      </c>
      <c r="DD186" s="142" t="str">
        <f aca="false">IF($CP186&gt;$CO$8,"",VLOOKUP($CP186,$CR$9:$CX$508,6,FALSE()))</f>
        <v/>
      </c>
      <c r="DE186" s="70"/>
    </row>
    <row r="187" customFormat="false" ht="15.75" hidden="false" customHeight="false" outlineLevel="0" collapsed="false">
      <c r="A187" s="8"/>
      <c r="B187" s="146"/>
      <c r="C187" s="147"/>
      <c r="D187" s="148"/>
      <c r="E187" s="164"/>
      <c r="F187" s="150"/>
      <c r="G187" s="115"/>
      <c r="H187" s="115"/>
      <c r="I187" s="115"/>
      <c r="J187" s="165"/>
      <c r="K187" s="154"/>
      <c r="L187" s="154"/>
      <c r="M187" s="118"/>
      <c r="N187" s="154"/>
      <c r="O187" s="153"/>
      <c r="P187" s="154"/>
      <c r="Q187" s="154"/>
      <c r="R187" s="154"/>
      <c r="S187" s="115"/>
      <c r="T187" s="154"/>
      <c r="U187" s="153"/>
      <c r="V187" s="154"/>
      <c r="W187" s="123"/>
      <c r="X187" s="124" t="str">
        <f aca="false">IF(ISBLANK($C187),"",IF($E187=Constants!$B$2,TRUE(),IF($E187=Constants!$B$3,FALSE(),TRUE())))</f>
        <v/>
      </c>
      <c r="Y187" s="124" t="str">
        <f aca="false">IF(ISBLANK($C187),"",IF($F187=Constants!$B$2,TRUE(),IF($F187=Constants!$B$3,FALSE(),TRUE())))</f>
        <v/>
      </c>
      <c r="Z187" s="125" t="str">
        <f aca="false">IF(ISBLANK($C187),"",IF(ISNUMBER($G187),IF($G187&gt;=0,$G187,""),""))</f>
        <v/>
      </c>
      <c r="AA187" s="125" t="str">
        <f aca="false">IF(ISBLANK($C187),"",IF(ISNUMBER($H187),IF($H187&gt;=0,$H187,""),""))</f>
        <v/>
      </c>
      <c r="AB187" s="125" t="str">
        <f aca="false">IF(ISBLANK($C187),"",IF(ISNUMBER($I187),IF($I187&gt;=0,$I187,""),""))</f>
        <v/>
      </c>
      <c r="AC187" s="124" t="str">
        <f aca="false">IF(ISBLANK($C187),"",IF($J187=Constants!$B$2,TRUE(),IF($J187=Constants!$B$3,FALSE(),TRUE())))</f>
        <v/>
      </c>
      <c r="AD187" s="124" t="str">
        <f aca="false">IF(ISBLANK($C187),"",IF($K187=Constants!$B$2,TRUE(),IF($K187=Constants!$B$3,FALSE(),TRUE())))</f>
        <v/>
      </c>
      <c r="AE187" s="124" t="str">
        <f aca="false">IF(ISBLANK($C187),"",IF($L187=Constants!$B$2,TRUE(),IF($L187=Constants!$B$3,FALSE(),TRUE())))</f>
        <v/>
      </c>
      <c r="AF187" s="126" t="str">
        <f aca="false">IF(ISBLANK($C187),"",IF(ISNUMBER($M187),IF($M187&gt;=0,$M187,""),""))</f>
        <v/>
      </c>
      <c r="AG187" s="124" t="str">
        <f aca="false">IF(ISBLANK($C187),"",IF(ISBLANK($N187),0,IF(ISNUMBER($N187),IF(AND($N187&gt;=0,$N187&lt;=Constants!$B$17,$N187=INT($N187)),$N187,""),"")))</f>
        <v/>
      </c>
      <c r="AH187" s="125" t="str">
        <f aca="false">IF(ISBLANK($C187),"",IF(ISBLANK($O187),0,IF(ISNUMBER($O187),IF($O187&gt;=0,$O187,""),"")))</f>
        <v/>
      </c>
      <c r="AI187" s="124" t="str">
        <f aca="false">IF(ISBLANK($C187),"",IF($P187=Constants!$B$2,TRUE(),IF($P187=Constants!$B$3,FALSE(),TRUE())))</f>
        <v/>
      </c>
      <c r="AJ187" s="124" t="str">
        <f aca="false">IF(ISBLANK($C187),"",IF($Q187=Constants!$B$2,TRUE(),IF($Q187=Constants!$B$3,FALSE(),TRUE())))</f>
        <v/>
      </c>
      <c r="AK187" s="124" t="str">
        <f aca="false">IF(ISBLANK($C187),"",IF($R187=Constants!$B$2,TRUE(),IF($R187=Constants!$B$3,FALSE(),TRUE())))</f>
        <v/>
      </c>
      <c r="AL187" s="126" t="str">
        <f aca="false">IF(ISBLANK($C187),"",IF(ISNUMBER($S187),IF($S187&gt;=0,$S187,""),""))</f>
        <v/>
      </c>
      <c r="AM187" s="124" t="str">
        <f aca="false">IF(ISBLANK($C187),"",IF(ISBLANK($T187),0,IF(ISNUMBER($T187),IF(AND($T187&gt;=0,$T187&lt;=Constants!$B$17,$T187=INT($T187)),$T187,""),"")))</f>
        <v/>
      </c>
      <c r="AN187" s="125" t="str">
        <f aca="false">IF(ISBLANK($C187),"",IF(ISBLANK($U187),0,IF(ISNUMBER($U187),IF($U187&gt;=0,$U187,""),"")))</f>
        <v/>
      </c>
      <c r="AO187" s="124" t="str">
        <f aca="false">IF(ISBLANK($C187),"",IF($V187=Constants!$B$2,TRUE(),IF($V187=Constants!$B$3,FALSE(),FALSE())))</f>
        <v/>
      </c>
      <c r="AP187" s="124"/>
      <c r="AQ187" s="123" t="str">
        <f aca="false">IF(ISBLANK($C187),"",AND($Y187,OR($AS187,$BC187),OR($Z187="",$AA187="",$AB187="")))</f>
        <v/>
      </c>
      <c r="AR187" s="123" t="str">
        <f aca="false">IF(ISBLANK($C187),"",IF(OR(NOT($Y187),NOT(OR($AS187,$BC187))),"",IF(ISBLANK($D$7),$AR$5,IF($AP$9="",$AR$6,""))))</f>
        <v/>
      </c>
      <c r="AS187" s="123" t="str">
        <f aca="false">IF(ISBLANK($C187),"",COUNTA($J187:$O187)&gt;0)</f>
        <v/>
      </c>
      <c r="AT187" s="123" t="str">
        <f aca="false">IF(ISBLANK($C187),"",AND($AS187,OR(AND($AF187="",OR($AE187,NOT(ISBLANK($M187)))),$AG187="",$AH187="")))</f>
        <v/>
      </c>
      <c r="AU187" s="125" t="str">
        <f aca="false">IF($BL187&lt;&gt;Constants!$B$4,"",IF(NOT($AS187),"",ROUND((Constants!$B$12-$AB187)+(Constants!$B$13-$Z187)+(Constants!$B$14-$AA187),1)))</f>
        <v/>
      </c>
      <c r="AV187" s="127" t="str">
        <f aca="false">IF($BL187&lt;&gt;Constants!$B$4,"",IF(NOT($AS187),"",IF(NOT($AE187),0,Constants!$B$15*(INT(ROUND(MIN($AF187,$AP$9),6))-INT(ROUND(MAX(0,MIN($AF187,2*$AP$9)-$AP$9),6))))))</f>
        <v/>
      </c>
      <c r="AW187" s="127" t="str">
        <f aca="false">IF($BL187&lt;&gt;Constants!$B$4,"",IF(NOT($AS187),"",Constants!$B$16*$AG187))</f>
        <v/>
      </c>
      <c r="AX187" s="127" t="str">
        <f aca="false">IF($BL187&lt;&gt;Constants!$B$4,"",IF(NOT($AS187),"",Constants!$B$18*INT(ROUND($AH187,6))))</f>
        <v/>
      </c>
      <c r="AY187" s="123" t="str">
        <f aca="false">IF($BL187&lt;&gt;Constants!$B$4,"",IF(NOT($AS187),"",IF(NOT($X187),Constants!$B$11,IF(OR(NOT($AC187),NOT($AD187),ROUND($AB187,1)&gt;Constants!$B$12,ROUND($Z187,1)&gt;Constants!$B$13,ROUND($AA187,1)&gt;Constants!$B$14),Constants!$B$10,Constants!$B$9))))</f>
        <v/>
      </c>
      <c r="AZ187" s="128" t="str">
        <f aca="false">IF($BL187&lt;&gt;Constants!$B$4,"",IF(NOT($AS187),"",ROUND($AU187+$AV187+$AW187+$AX187,1)))</f>
        <v/>
      </c>
      <c r="BA187" s="129" t="str">
        <f aca="false">IF($BL187&lt;&gt;Constants!$B$4,"",IF(NOT($AS187),"",IF(ISNUMBER($AF187),$AF187,0)))</f>
        <v/>
      </c>
      <c r="BB187" s="124" t="str">
        <f aca="false">IF($BL187&lt;&gt;Constants!$B$4,"",IF(NOT($BC187),"&lt;-",IF(NOT($AS187),"-&gt;",IF(OR($BI187&lt;$AY187,AND($BI187=$AY187,OR($BJ187&gt;$AZ187,AND($BJ187=$AZ187,OR($BH187&gt;$AX187,AND($BH187=$AX187,OR($BE187&gt;$AU187,AND($BE187=$AU187,OR($BF187&gt;$AV187,AND($BF187=$AV187,$BK187&gt;$BA187)))))))))),"-&gt;","&lt;-"))))</f>
        <v/>
      </c>
      <c r="BC187" s="123" t="str">
        <f aca="false">IF(ISBLANK($C187),"",COUNTA($P187:$U187)&gt;0)</f>
        <v/>
      </c>
      <c r="BD187" s="123" t="str">
        <f aca="false">IF(ISBLANK($C187),"",AND($BC187,OR(AND($AL187="",OR($AK187,NOT(ISBLANK($S187)))),$AM187="",$AN187="")))</f>
        <v/>
      </c>
      <c r="BE187" s="125" t="str">
        <f aca="false">IF($BL187&lt;&gt;Constants!$B$4,"",IF(NOT($BC187),"",ROUND((Constants!$B$12-$AB187)+(Constants!$B$13-$Z187)+(Constants!$B$14-$AA187),1)))</f>
        <v/>
      </c>
      <c r="BF187" s="127" t="str">
        <f aca="false">IF($BL187&lt;&gt;Constants!$B$4,"",IF(NOT($BC187),"",IF(NOT($AK187),0,Constants!$B$15*(INT(ROUND(MIN($AL187,$AP$9),6))-INT(ROUND(MAX(0,MIN($AL187,2*$AP$9)-$AP$9),6))))))</f>
        <v/>
      </c>
      <c r="BG187" s="127" t="str">
        <f aca="false">IF($BL187&lt;&gt;Constants!$B$4,"",IF(NOT($BC187),"",Constants!$B$16*$AM187))</f>
        <v/>
      </c>
      <c r="BH187" s="127" t="str">
        <f aca="false">IF($BL187&lt;&gt;Constants!$B$4,"",IF(NOT($BC187),"",Constants!$B$18*INT(ROUND($AN187,6))))</f>
        <v/>
      </c>
      <c r="BI187" s="123" t="str">
        <f aca="false">IF($BL187&lt;&gt;Constants!$B$4,"",IF(NOT($BC187),"",IF(NOT($X187),Constants!$B$11,IF(OR(NOT($AI187),NOT($AJ187),ROUND($AB187,1)&gt;Constants!$B$12,ROUND($Z187,1)&gt;Constants!$B$13,ROUND($AA187,1)&gt;Constants!$B$14),Constants!$B$10,Constants!$B$9))))</f>
        <v/>
      </c>
      <c r="BJ187" s="128" t="str">
        <f aca="false">IF($BL187&lt;&gt;Constants!$B$4,"",IF(NOT($BC187),"",ROUND($BE187+$BF187+$BG187+$BH187,1)))</f>
        <v/>
      </c>
      <c r="BK187" s="129" t="str">
        <f aca="false">IF($BL187&lt;&gt;Constants!$B$4,"",IF(NOT($BC187),"",IF(ISNUMBER($AL187),$AL187,0)))</f>
        <v/>
      </c>
      <c r="BL187" s="124" t="str">
        <f aca="false">IF(ISBLANK($C187),"",IF($AO187,Constants!$B$7,IF(COUNTA($E187:$V187)=0,Constants!$B$6,IF(NOT($Y187),Constants!$B$5,IF(NOT(OR($AS187,$BC187)),Constants!$B$5,IF(OR($AT187,$BD187,$AQ187,$AR187&lt;&gt;""),Constants!$B$8,Constants!$B$4))))))</f>
        <v/>
      </c>
      <c r="BM187" s="124" t="str">
        <f aca="false">IF(ISBLANK($C187),"",IF($BL187&lt;&gt;Constants!$B$4,$BL187,IF($BB187="-&gt;",$BI187,$AY187)))</f>
        <v/>
      </c>
      <c r="BN187" s="127" t="str">
        <f aca="false">IF($BL187&lt;&gt;Constants!$B$4,"",IF($BB187="-&gt;",$BJ187,$AZ187))</f>
        <v/>
      </c>
      <c r="BO187" s="127" t="str">
        <f aca="false">IF(ISBLANK($C187),"",IF($BL187&lt;&gt;Constants!$B$4,$BL187,$BN187))</f>
        <v/>
      </c>
      <c r="BP187" s="124" t="str">
        <f aca="false">IF(ISBLANK($C187),"",IF($BL187&lt;&gt;Constants!$B$4,$BL187,RANK($BO187,$BO$9:$BO$508,0)))</f>
        <v/>
      </c>
      <c r="BQ187" s="124" t="str">
        <f aca="false">IF(ISBLANK($C187),"",IF($BL187&lt;&gt;Constants!$B$4,$BL187,COUNTIFS($BM$9:$BM$508,"&lt;"&amp;$BM187)+COUNTIFS($BM$9:$BM$508,$BM187,$BP$9:$BP$508,"&lt;"&amp;$BP187)+1))</f>
        <v/>
      </c>
      <c r="BR187" s="127" t="str">
        <f aca="false">IF($BL187&lt;&gt;Constants!$B$4,"",IF($BB187="-&gt;",$BH187,$AX187))</f>
        <v/>
      </c>
      <c r="BS187" s="124" t="str">
        <f aca="false">IF(ISBLANK($C187),"",IF($BL187&lt;&gt;Constants!$B$4,$BL187,IF(ISNUMBER($BR187),RANK($BR187,$BR$9:$BR$508,0),COUNT($BR$9:$BR$508)+1)))</f>
        <v/>
      </c>
      <c r="BT187" s="127" t="str">
        <f aca="false">IF($BL187&lt;&gt;Constants!$B$4,"",IF($BB187="-&gt;",$BE187,$AU187))</f>
        <v/>
      </c>
      <c r="BU187" s="124" t="str">
        <f aca="false">IF(ISBLANK($C187),"",IF($BL187&lt;&gt;Constants!$B$4,$BL187,IF(ISNUMBER($BT187),RANK($BT187,$BT$9:$BT$508,0),COUNT($BT$9:$BT$508)+1)))</f>
        <v/>
      </c>
      <c r="BV187" s="127" t="str">
        <f aca="false">IF($BL187&lt;&gt;Constants!$B$4,"",IF($BB187="-&gt;",$BF187,$AV187))</f>
        <v/>
      </c>
      <c r="BW187" s="124" t="str">
        <f aca="false">IF(ISBLANK($C187),"",IF($BL187&lt;&gt;Constants!$B$4,$BL187,IF(ISNUMBER($BV187),RANK($BV187,$BV$9:$BV$508,0),COUNT($BV$9:$BV$508)+1)))</f>
        <v/>
      </c>
      <c r="BX187" s="127" t="str">
        <f aca="false">IF($BL187&lt;&gt;Constants!$B$4,"",IF($BB187="-&gt;",$BK187,$BA187))</f>
        <v/>
      </c>
      <c r="BY187" s="124" t="str">
        <f aca="false">IF(ISBLANK($C187),"",IF($BL187&lt;&gt;Constants!$B$4,$BL187,IF(ISNUMBER($BX187),RANK($BX187,$BX$9:$BX$508,0),COUNT($BX$9:$BX$508)+1)))</f>
        <v/>
      </c>
      <c r="BZ187" s="124" t="str">
        <f aca="false">IF(ISBLANK($C187),"",IF($BL187&lt;&gt;Constants!$B$4,$BL187,COUNTIFS($BM$9:$BM$508,"&lt;"&amp;$BM187)+COUNTIFS($BM$9:$BM$508,$BM187,$BP$9:$BP$508,"&lt;"&amp;$BP187)+COUNTIFS($BM$9:$BM$508,$BM187,$BP$9:$BP$508,$BP187,$BS$9:$BS$508,"&lt;"&amp;$BS187)+COUNTIFS($BM$9:$BM$508,$BM187,$BP$9:$BP$508,$BP187,$BS$9:$BS$508,$BS187,$BU$9:$BU$508,"&lt;"&amp;$BU187)+COUNTIFS($BM$9:$BM$508,$BM187,$BP$9:$BP$508,$BP187,$BS$9:$BS$508,$BS187,$BU$9:$BU$508,$BU187,$BW$9:$BW$508,"&lt;"&amp;$BW187)+COUNTIFS($BM$9:$BM$508,$BM187,$BP$9:$BP$508,$BP187,$BS$9:$BS$508,$BS187,$BU$9:$BU$508,$BU187,$BW$9:$BW$508,$BW187,$BY$9:$BY$508,"&lt;"&amp;$BY187)+1))</f>
        <v/>
      </c>
      <c r="CA187" s="124" t="str">
        <f aca="false">IF(ISBLANK($C187),"",IF($BL187&lt;&gt;Constants!$B$4,$BL187,$BQ187-$BZ187))</f>
        <v/>
      </c>
      <c r="CB187" s="130"/>
      <c r="CC187" s="131" t="str">
        <f aca="false">IF(ISBLANK($C187),"",IF($BL187=Constants!$B$8,$AR187,""))</f>
        <v/>
      </c>
      <c r="CD187" s="131" t="str">
        <f aca="false">IF(ISBLANK($C187),"",IF($BL187&lt;&gt;Constants!$B$4,"",IF($BB187="-&gt;",2,1)))</f>
        <v/>
      </c>
      <c r="CE187" s="132" t="str">
        <f aca="false">IF(ISBLANK($C187),"",IF($BL187&lt;&gt;Constants!$B$4,"",IF($BB187="-&gt;",$BE187,$AU187)))</f>
        <v/>
      </c>
      <c r="CF187" s="132" t="str">
        <f aca="false">IF(ISBLANK($C187),"",IF($BL187&lt;&gt;Constants!$B$4,"",IF($BB187="-&gt;",$BF187,$AV187)))</f>
        <v/>
      </c>
      <c r="CG187" s="132" t="str">
        <f aca="false">IF(ISBLANK($C187),"",IF($BL187&lt;&gt;Constants!$B$4,"",IF($BB187="-&gt;",$BG187,$AW187)))</f>
        <v/>
      </c>
      <c r="CH187" s="132" t="str">
        <f aca="false">IF(ISBLANK($C187),"",IF($BL187&lt;&gt;Constants!$B$4,"",IF($BB187="-&gt;",$BH187,$AX187)))</f>
        <v/>
      </c>
      <c r="CI187" s="133" t="str">
        <f aca="false">IF(ISBLANK($C187),"",$BO187)</f>
        <v/>
      </c>
      <c r="CJ187" s="134" t="str">
        <f aca="false">IF(ISBLANK($C187),"",$BM187)</f>
        <v/>
      </c>
      <c r="CK187" s="135" t="str">
        <f aca="false">IF(ISBLANK($C187),"",$CA187)</f>
        <v/>
      </c>
      <c r="CL187" s="135" t="str">
        <f aca="false">IF(ISBLANK($C187),"",$BZ187)</f>
        <v/>
      </c>
      <c r="CM187" s="136" t="str">
        <f aca="false">IF(ISBLANK($C187),"",IF($CL187=Constants!$B$7,COUNTA($C$9:$C$508)+2,IF($CL187=Constants!$B$6,COUNTA($C$9:$C$508)+1,IF($CL187=Constants!$B$5,COUNTA($C$9:$C$508),$CL187))))</f>
        <v/>
      </c>
      <c r="CN187" s="8"/>
      <c r="CO187" s="137" t="n">
        <f aca="false">IF(OR(ISNUMBER($CL187),$CL187=Constants!$B$7,$CL187=Constants!$B$5,$CL187=Constants!$B$6),1,0)</f>
        <v>0</v>
      </c>
      <c r="CP187" s="137" t="n">
        <v>179</v>
      </c>
      <c r="CQ187" s="137" t="str">
        <f aca="false">IF(ISBLANK($C187),"",IF(ISNUMBER($CM187),$CM187+ROW($B187)/1000,""))</f>
        <v/>
      </c>
      <c r="CR187" s="137" t="str">
        <f aca="false">IF(ISNUMBER($CQ187),RANK($CQ187,$CQ$9:$CQ$508,1),"")</f>
        <v/>
      </c>
      <c r="CS187" s="137" t="str">
        <f aca="false">IF(ISBLANK($C187),"",$B187)</f>
        <v/>
      </c>
      <c r="CT187" s="137" t="str">
        <f aca="false">IF(ISBLANK($C187),"",$C187)</f>
        <v/>
      </c>
      <c r="CU187" s="137" t="str">
        <f aca="false">IF(ISBLANK($C187),"",$D187)</f>
        <v/>
      </c>
      <c r="CV187" s="138" t="str">
        <f aca="false">$CJ187</f>
        <v/>
      </c>
      <c r="CW187" s="139" t="str">
        <f aca="false">$CI187</f>
        <v/>
      </c>
      <c r="CX187" s="137" t="str">
        <f aca="false">IF(ISBLANK($C187),"",$CL187)</f>
        <v/>
      </c>
      <c r="CY187" s="140" t="str">
        <f aca="false">IF($CP187&gt;$CO$8,"",VLOOKUP($CP187,$CR$9:$CX$508,7,FALSE()))</f>
        <v/>
      </c>
      <c r="CZ187" s="141" t="str">
        <f aca="false">IF($CP187&gt;$CO$8,"",VLOOKUP($CP187,$CR$9:$CX$508,2,FALSE()))</f>
        <v/>
      </c>
      <c r="DA187" s="141" t="str">
        <f aca="false">IF($CP187&gt;$CO$8,"",VLOOKUP($CP187,$CR$9:$CX$508,3,FALSE()))</f>
        <v/>
      </c>
      <c r="DB187" s="141" t="str">
        <f aca="false">IF($CP187&gt;$CO$8,"",VLOOKUP($CP187,$CR$9:$CX$508,4,FALSE()))</f>
        <v/>
      </c>
      <c r="DC187" s="141" t="str">
        <f aca="false">IF($CP187&gt;$CO$8,"",VLOOKUP($CP187,$CR$9:$CX$508,5,FALSE()))</f>
        <v/>
      </c>
      <c r="DD187" s="142" t="str">
        <f aca="false">IF($CP187&gt;$CO$8,"",VLOOKUP($CP187,$CR$9:$CX$508,6,FALSE()))</f>
        <v/>
      </c>
      <c r="DE187" s="70"/>
    </row>
    <row r="188" customFormat="false" ht="15.75" hidden="false" customHeight="false" outlineLevel="0" collapsed="false">
      <c r="A188" s="8"/>
      <c r="B188" s="146"/>
      <c r="C188" s="147"/>
      <c r="D188" s="148"/>
      <c r="E188" s="164"/>
      <c r="F188" s="150"/>
      <c r="G188" s="115"/>
      <c r="H188" s="115"/>
      <c r="I188" s="115"/>
      <c r="J188" s="165"/>
      <c r="K188" s="154"/>
      <c r="L188" s="154"/>
      <c r="M188" s="118"/>
      <c r="N188" s="154"/>
      <c r="O188" s="153"/>
      <c r="P188" s="154"/>
      <c r="Q188" s="154"/>
      <c r="R188" s="154"/>
      <c r="S188" s="115"/>
      <c r="T188" s="154"/>
      <c r="U188" s="153"/>
      <c r="V188" s="154"/>
      <c r="W188" s="123"/>
      <c r="X188" s="124" t="str">
        <f aca="false">IF(ISBLANK($C188),"",IF($E188=Constants!$B$2,TRUE(),IF($E188=Constants!$B$3,FALSE(),TRUE())))</f>
        <v/>
      </c>
      <c r="Y188" s="124" t="str">
        <f aca="false">IF(ISBLANK($C188),"",IF($F188=Constants!$B$2,TRUE(),IF($F188=Constants!$B$3,FALSE(),TRUE())))</f>
        <v/>
      </c>
      <c r="Z188" s="125" t="str">
        <f aca="false">IF(ISBLANK($C188),"",IF(ISNUMBER($G188),IF($G188&gt;=0,$G188,""),""))</f>
        <v/>
      </c>
      <c r="AA188" s="125" t="str">
        <f aca="false">IF(ISBLANK($C188),"",IF(ISNUMBER($H188),IF($H188&gt;=0,$H188,""),""))</f>
        <v/>
      </c>
      <c r="AB188" s="125" t="str">
        <f aca="false">IF(ISBLANK($C188),"",IF(ISNUMBER($I188),IF($I188&gt;=0,$I188,""),""))</f>
        <v/>
      </c>
      <c r="AC188" s="124" t="str">
        <f aca="false">IF(ISBLANK($C188),"",IF($J188=Constants!$B$2,TRUE(),IF($J188=Constants!$B$3,FALSE(),TRUE())))</f>
        <v/>
      </c>
      <c r="AD188" s="124" t="str">
        <f aca="false">IF(ISBLANK($C188),"",IF($K188=Constants!$B$2,TRUE(),IF($K188=Constants!$B$3,FALSE(),TRUE())))</f>
        <v/>
      </c>
      <c r="AE188" s="124" t="str">
        <f aca="false">IF(ISBLANK($C188),"",IF($L188=Constants!$B$2,TRUE(),IF($L188=Constants!$B$3,FALSE(),TRUE())))</f>
        <v/>
      </c>
      <c r="AF188" s="126" t="str">
        <f aca="false">IF(ISBLANK($C188),"",IF(ISNUMBER($M188),IF($M188&gt;=0,$M188,""),""))</f>
        <v/>
      </c>
      <c r="AG188" s="124" t="str">
        <f aca="false">IF(ISBLANK($C188),"",IF(ISBLANK($N188),0,IF(ISNUMBER($N188),IF(AND($N188&gt;=0,$N188&lt;=Constants!$B$17,$N188=INT($N188)),$N188,""),"")))</f>
        <v/>
      </c>
      <c r="AH188" s="125" t="str">
        <f aca="false">IF(ISBLANK($C188),"",IF(ISBLANK($O188),0,IF(ISNUMBER($O188),IF($O188&gt;=0,$O188,""),"")))</f>
        <v/>
      </c>
      <c r="AI188" s="124" t="str">
        <f aca="false">IF(ISBLANK($C188),"",IF($P188=Constants!$B$2,TRUE(),IF($P188=Constants!$B$3,FALSE(),TRUE())))</f>
        <v/>
      </c>
      <c r="AJ188" s="124" t="str">
        <f aca="false">IF(ISBLANK($C188),"",IF($Q188=Constants!$B$2,TRUE(),IF($Q188=Constants!$B$3,FALSE(),TRUE())))</f>
        <v/>
      </c>
      <c r="AK188" s="124" t="str">
        <f aca="false">IF(ISBLANK($C188),"",IF($R188=Constants!$B$2,TRUE(),IF($R188=Constants!$B$3,FALSE(),TRUE())))</f>
        <v/>
      </c>
      <c r="AL188" s="126" t="str">
        <f aca="false">IF(ISBLANK($C188),"",IF(ISNUMBER($S188),IF($S188&gt;=0,$S188,""),""))</f>
        <v/>
      </c>
      <c r="AM188" s="124" t="str">
        <f aca="false">IF(ISBLANK($C188),"",IF(ISBLANK($T188),0,IF(ISNUMBER($T188),IF(AND($T188&gt;=0,$T188&lt;=Constants!$B$17,$T188=INT($T188)),$T188,""),"")))</f>
        <v/>
      </c>
      <c r="AN188" s="125" t="str">
        <f aca="false">IF(ISBLANK($C188),"",IF(ISBLANK($U188),0,IF(ISNUMBER($U188),IF($U188&gt;=0,$U188,""),"")))</f>
        <v/>
      </c>
      <c r="AO188" s="124" t="str">
        <f aca="false">IF(ISBLANK($C188),"",IF($V188=Constants!$B$2,TRUE(),IF($V188=Constants!$B$3,FALSE(),FALSE())))</f>
        <v/>
      </c>
      <c r="AP188" s="124"/>
      <c r="AQ188" s="123" t="str">
        <f aca="false">IF(ISBLANK($C188),"",AND($Y188,OR($AS188,$BC188),OR($Z188="",$AA188="",$AB188="")))</f>
        <v/>
      </c>
      <c r="AR188" s="123" t="str">
        <f aca="false">IF(ISBLANK($C188),"",IF(OR(NOT($Y188),NOT(OR($AS188,$BC188))),"",IF(ISBLANK($D$7),$AR$5,IF($AP$9="",$AR$6,""))))</f>
        <v/>
      </c>
      <c r="AS188" s="123" t="str">
        <f aca="false">IF(ISBLANK($C188),"",COUNTA($J188:$O188)&gt;0)</f>
        <v/>
      </c>
      <c r="AT188" s="123" t="str">
        <f aca="false">IF(ISBLANK($C188),"",AND($AS188,OR(AND($AF188="",OR($AE188,NOT(ISBLANK($M188)))),$AG188="",$AH188="")))</f>
        <v/>
      </c>
      <c r="AU188" s="125" t="str">
        <f aca="false">IF($BL188&lt;&gt;Constants!$B$4,"",IF(NOT($AS188),"",ROUND((Constants!$B$12-$AB188)+(Constants!$B$13-$Z188)+(Constants!$B$14-$AA188),1)))</f>
        <v/>
      </c>
      <c r="AV188" s="127" t="str">
        <f aca="false">IF($BL188&lt;&gt;Constants!$B$4,"",IF(NOT($AS188),"",IF(NOT($AE188),0,Constants!$B$15*(INT(ROUND(MIN($AF188,$AP$9),6))-INT(ROUND(MAX(0,MIN($AF188,2*$AP$9)-$AP$9),6))))))</f>
        <v/>
      </c>
      <c r="AW188" s="127" t="str">
        <f aca="false">IF($BL188&lt;&gt;Constants!$B$4,"",IF(NOT($AS188),"",Constants!$B$16*$AG188))</f>
        <v/>
      </c>
      <c r="AX188" s="127" t="str">
        <f aca="false">IF($BL188&lt;&gt;Constants!$B$4,"",IF(NOT($AS188),"",Constants!$B$18*INT(ROUND($AH188,6))))</f>
        <v/>
      </c>
      <c r="AY188" s="123" t="str">
        <f aca="false">IF($BL188&lt;&gt;Constants!$B$4,"",IF(NOT($AS188),"",IF(NOT($X188),Constants!$B$11,IF(OR(NOT($AC188),NOT($AD188),ROUND($AB188,1)&gt;Constants!$B$12,ROUND($Z188,1)&gt;Constants!$B$13,ROUND($AA188,1)&gt;Constants!$B$14),Constants!$B$10,Constants!$B$9))))</f>
        <v/>
      </c>
      <c r="AZ188" s="128" t="str">
        <f aca="false">IF($BL188&lt;&gt;Constants!$B$4,"",IF(NOT($AS188),"",ROUND($AU188+$AV188+$AW188+$AX188,1)))</f>
        <v/>
      </c>
      <c r="BA188" s="129" t="str">
        <f aca="false">IF($BL188&lt;&gt;Constants!$B$4,"",IF(NOT($AS188),"",IF(ISNUMBER($AF188),$AF188,0)))</f>
        <v/>
      </c>
      <c r="BB188" s="124" t="str">
        <f aca="false">IF($BL188&lt;&gt;Constants!$B$4,"",IF(NOT($BC188),"&lt;-",IF(NOT($AS188),"-&gt;",IF(OR($BI188&lt;$AY188,AND($BI188=$AY188,OR($BJ188&gt;$AZ188,AND($BJ188=$AZ188,OR($BH188&gt;$AX188,AND($BH188=$AX188,OR($BE188&gt;$AU188,AND($BE188=$AU188,OR($BF188&gt;$AV188,AND($BF188=$AV188,$BK188&gt;$BA188)))))))))),"-&gt;","&lt;-"))))</f>
        <v/>
      </c>
      <c r="BC188" s="123" t="str">
        <f aca="false">IF(ISBLANK($C188),"",COUNTA($P188:$U188)&gt;0)</f>
        <v/>
      </c>
      <c r="BD188" s="123" t="str">
        <f aca="false">IF(ISBLANK($C188),"",AND($BC188,OR(AND($AL188="",OR($AK188,NOT(ISBLANK($S188)))),$AM188="",$AN188="")))</f>
        <v/>
      </c>
      <c r="BE188" s="125" t="str">
        <f aca="false">IF($BL188&lt;&gt;Constants!$B$4,"",IF(NOT($BC188),"",ROUND((Constants!$B$12-$AB188)+(Constants!$B$13-$Z188)+(Constants!$B$14-$AA188),1)))</f>
        <v/>
      </c>
      <c r="BF188" s="127" t="str">
        <f aca="false">IF($BL188&lt;&gt;Constants!$B$4,"",IF(NOT($BC188),"",IF(NOT($AK188),0,Constants!$B$15*(INT(ROUND(MIN($AL188,$AP$9),6))-INT(ROUND(MAX(0,MIN($AL188,2*$AP$9)-$AP$9),6))))))</f>
        <v/>
      </c>
      <c r="BG188" s="127" t="str">
        <f aca="false">IF($BL188&lt;&gt;Constants!$B$4,"",IF(NOT($BC188),"",Constants!$B$16*$AM188))</f>
        <v/>
      </c>
      <c r="BH188" s="127" t="str">
        <f aca="false">IF($BL188&lt;&gt;Constants!$B$4,"",IF(NOT($BC188),"",Constants!$B$18*INT(ROUND($AN188,6))))</f>
        <v/>
      </c>
      <c r="BI188" s="123" t="str">
        <f aca="false">IF($BL188&lt;&gt;Constants!$B$4,"",IF(NOT($BC188),"",IF(NOT($X188),Constants!$B$11,IF(OR(NOT($AI188),NOT($AJ188),ROUND($AB188,1)&gt;Constants!$B$12,ROUND($Z188,1)&gt;Constants!$B$13,ROUND($AA188,1)&gt;Constants!$B$14),Constants!$B$10,Constants!$B$9))))</f>
        <v/>
      </c>
      <c r="BJ188" s="128" t="str">
        <f aca="false">IF($BL188&lt;&gt;Constants!$B$4,"",IF(NOT($BC188),"",ROUND($BE188+$BF188+$BG188+$BH188,1)))</f>
        <v/>
      </c>
      <c r="BK188" s="129" t="str">
        <f aca="false">IF($BL188&lt;&gt;Constants!$B$4,"",IF(NOT($BC188),"",IF(ISNUMBER($AL188),$AL188,0)))</f>
        <v/>
      </c>
      <c r="BL188" s="124" t="str">
        <f aca="false">IF(ISBLANK($C188),"",IF($AO188,Constants!$B$7,IF(COUNTA($E188:$V188)=0,Constants!$B$6,IF(NOT($Y188),Constants!$B$5,IF(NOT(OR($AS188,$BC188)),Constants!$B$5,IF(OR($AT188,$BD188,$AQ188,$AR188&lt;&gt;""),Constants!$B$8,Constants!$B$4))))))</f>
        <v/>
      </c>
      <c r="BM188" s="124" t="str">
        <f aca="false">IF(ISBLANK($C188),"",IF($BL188&lt;&gt;Constants!$B$4,$BL188,IF($BB188="-&gt;",$BI188,$AY188)))</f>
        <v/>
      </c>
      <c r="BN188" s="127" t="str">
        <f aca="false">IF($BL188&lt;&gt;Constants!$B$4,"",IF($BB188="-&gt;",$BJ188,$AZ188))</f>
        <v/>
      </c>
      <c r="BO188" s="127" t="str">
        <f aca="false">IF(ISBLANK($C188),"",IF($BL188&lt;&gt;Constants!$B$4,$BL188,$BN188))</f>
        <v/>
      </c>
      <c r="BP188" s="124" t="str">
        <f aca="false">IF(ISBLANK($C188),"",IF($BL188&lt;&gt;Constants!$B$4,$BL188,RANK($BO188,$BO$9:$BO$508,0)))</f>
        <v/>
      </c>
      <c r="BQ188" s="124" t="str">
        <f aca="false">IF(ISBLANK($C188),"",IF($BL188&lt;&gt;Constants!$B$4,$BL188,COUNTIFS($BM$9:$BM$508,"&lt;"&amp;$BM188)+COUNTIFS($BM$9:$BM$508,$BM188,$BP$9:$BP$508,"&lt;"&amp;$BP188)+1))</f>
        <v/>
      </c>
      <c r="BR188" s="127" t="str">
        <f aca="false">IF($BL188&lt;&gt;Constants!$B$4,"",IF($BB188="-&gt;",$BH188,$AX188))</f>
        <v/>
      </c>
      <c r="BS188" s="124" t="str">
        <f aca="false">IF(ISBLANK($C188),"",IF($BL188&lt;&gt;Constants!$B$4,$BL188,IF(ISNUMBER($BR188),RANK($BR188,$BR$9:$BR$508,0),COUNT($BR$9:$BR$508)+1)))</f>
        <v/>
      </c>
      <c r="BT188" s="127" t="str">
        <f aca="false">IF($BL188&lt;&gt;Constants!$B$4,"",IF($BB188="-&gt;",$BE188,$AU188))</f>
        <v/>
      </c>
      <c r="BU188" s="124" t="str">
        <f aca="false">IF(ISBLANK($C188),"",IF($BL188&lt;&gt;Constants!$B$4,$BL188,IF(ISNUMBER($BT188),RANK($BT188,$BT$9:$BT$508,0),COUNT($BT$9:$BT$508)+1)))</f>
        <v/>
      </c>
      <c r="BV188" s="127" t="str">
        <f aca="false">IF($BL188&lt;&gt;Constants!$B$4,"",IF($BB188="-&gt;",$BF188,$AV188))</f>
        <v/>
      </c>
      <c r="BW188" s="124" t="str">
        <f aca="false">IF(ISBLANK($C188),"",IF($BL188&lt;&gt;Constants!$B$4,$BL188,IF(ISNUMBER($BV188),RANK($BV188,$BV$9:$BV$508,0),COUNT($BV$9:$BV$508)+1)))</f>
        <v/>
      </c>
      <c r="BX188" s="127" t="str">
        <f aca="false">IF($BL188&lt;&gt;Constants!$B$4,"",IF($BB188="-&gt;",$BK188,$BA188))</f>
        <v/>
      </c>
      <c r="BY188" s="124" t="str">
        <f aca="false">IF(ISBLANK($C188),"",IF($BL188&lt;&gt;Constants!$B$4,$BL188,IF(ISNUMBER($BX188),RANK($BX188,$BX$9:$BX$508,0),COUNT($BX$9:$BX$508)+1)))</f>
        <v/>
      </c>
      <c r="BZ188" s="124" t="str">
        <f aca="false">IF(ISBLANK($C188),"",IF($BL188&lt;&gt;Constants!$B$4,$BL188,COUNTIFS($BM$9:$BM$508,"&lt;"&amp;$BM188)+COUNTIFS($BM$9:$BM$508,$BM188,$BP$9:$BP$508,"&lt;"&amp;$BP188)+COUNTIFS($BM$9:$BM$508,$BM188,$BP$9:$BP$508,$BP188,$BS$9:$BS$508,"&lt;"&amp;$BS188)+COUNTIFS($BM$9:$BM$508,$BM188,$BP$9:$BP$508,$BP188,$BS$9:$BS$508,$BS188,$BU$9:$BU$508,"&lt;"&amp;$BU188)+COUNTIFS($BM$9:$BM$508,$BM188,$BP$9:$BP$508,$BP188,$BS$9:$BS$508,$BS188,$BU$9:$BU$508,$BU188,$BW$9:$BW$508,"&lt;"&amp;$BW188)+COUNTIFS($BM$9:$BM$508,$BM188,$BP$9:$BP$508,$BP188,$BS$9:$BS$508,$BS188,$BU$9:$BU$508,$BU188,$BW$9:$BW$508,$BW188,$BY$9:$BY$508,"&lt;"&amp;$BY188)+1))</f>
        <v/>
      </c>
      <c r="CA188" s="124" t="str">
        <f aca="false">IF(ISBLANK($C188),"",IF($BL188&lt;&gt;Constants!$B$4,$BL188,$BQ188-$BZ188))</f>
        <v/>
      </c>
      <c r="CB188" s="130"/>
      <c r="CC188" s="131" t="str">
        <f aca="false">IF(ISBLANK($C188),"",IF($BL188=Constants!$B$8,$AR188,""))</f>
        <v/>
      </c>
      <c r="CD188" s="131" t="str">
        <f aca="false">IF(ISBLANK($C188),"",IF($BL188&lt;&gt;Constants!$B$4,"",IF($BB188="-&gt;",2,1)))</f>
        <v/>
      </c>
      <c r="CE188" s="132" t="str">
        <f aca="false">IF(ISBLANK($C188),"",IF($BL188&lt;&gt;Constants!$B$4,"",IF($BB188="-&gt;",$BE188,$AU188)))</f>
        <v/>
      </c>
      <c r="CF188" s="132" t="str">
        <f aca="false">IF(ISBLANK($C188),"",IF($BL188&lt;&gt;Constants!$B$4,"",IF($BB188="-&gt;",$BF188,$AV188)))</f>
        <v/>
      </c>
      <c r="CG188" s="132" t="str">
        <f aca="false">IF(ISBLANK($C188),"",IF($BL188&lt;&gt;Constants!$B$4,"",IF($BB188="-&gt;",$BG188,$AW188)))</f>
        <v/>
      </c>
      <c r="CH188" s="132" t="str">
        <f aca="false">IF(ISBLANK($C188),"",IF($BL188&lt;&gt;Constants!$B$4,"",IF($BB188="-&gt;",$BH188,$AX188)))</f>
        <v/>
      </c>
      <c r="CI188" s="133" t="str">
        <f aca="false">IF(ISBLANK($C188),"",$BO188)</f>
        <v/>
      </c>
      <c r="CJ188" s="134" t="str">
        <f aca="false">IF(ISBLANK($C188),"",$BM188)</f>
        <v/>
      </c>
      <c r="CK188" s="135" t="str">
        <f aca="false">IF(ISBLANK($C188),"",$CA188)</f>
        <v/>
      </c>
      <c r="CL188" s="135" t="str">
        <f aca="false">IF(ISBLANK($C188),"",$BZ188)</f>
        <v/>
      </c>
      <c r="CM188" s="136" t="str">
        <f aca="false">IF(ISBLANK($C188),"",IF($CL188=Constants!$B$7,COUNTA($C$9:$C$508)+2,IF($CL188=Constants!$B$6,COUNTA($C$9:$C$508)+1,IF($CL188=Constants!$B$5,COUNTA($C$9:$C$508),$CL188))))</f>
        <v/>
      </c>
      <c r="CN188" s="8"/>
      <c r="CO188" s="137" t="n">
        <f aca="false">IF(OR(ISNUMBER($CL188),$CL188=Constants!$B$7,$CL188=Constants!$B$5,$CL188=Constants!$B$6),1,0)</f>
        <v>0</v>
      </c>
      <c r="CP188" s="137" t="n">
        <v>180</v>
      </c>
      <c r="CQ188" s="137" t="str">
        <f aca="false">IF(ISBLANK($C188),"",IF(ISNUMBER($CM188),$CM188+ROW($B188)/1000,""))</f>
        <v/>
      </c>
      <c r="CR188" s="137" t="str">
        <f aca="false">IF(ISNUMBER($CQ188),RANK($CQ188,$CQ$9:$CQ$508,1),"")</f>
        <v/>
      </c>
      <c r="CS188" s="137" t="str">
        <f aca="false">IF(ISBLANK($C188),"",$B188)</f>
        <v/>
      </c>
      <c r="CT188" s="137" t="str">
        <f aca="false">IF(ISBLANK($C188),"",$C188)</f>
        <v/>
      </c>
      <c r="CU188" s="137" t="str">
        <f aca="false">IF(ISBLANK($C188),"",$D188)</f>
        <v/>
      </c>
      <c r="CV188" s="138" t="str">
        <f aca="false">$CJ188</f>
        <v/>
      </c>
      <c r="CW188" s="139" t="str">
        <f aca="false">$CI188</f>
        <v/>
      </c>
      <c r="CX188" s="137" t="str">
        <f aca="false">IF(ISBLANK($C188),"",$CL188)</f>
        <v/>
      </c>
      <c r="CY188" s="140" t="str">
        <f aca="false">IF($CP188&gt;$CO$8,"",VLOOKUP($CP188,$CR$9:$CX$508,7,FALSE()))</f>
        <v/>
      </c>
      <c r="CZ188" s="141" t="str">
        <f aca="false">IF($CP188&gt;$CO$8,"",VLOOKUP($CP188,$CR$9:$CX$508,2,FALSE()))</f>
        <v/>
      </c>
      <c r="DA188" s="141" t="str">
        <f aca="false">IF($CP188&gt;$CO$8,"",VLOOKUP($CP188,$CR$9:$CX$508,3,FALSE()))</f>
        <v/>
      </c>
      <c r="DB188" s="141" t="str">
        <f aca="false">IF($CP188&gt;$CO$8,"",VLOOKUP($CP188,$CR$9:$CX$508,4,FALSE()))</f>
        <v/>
      </c>
      <c r="DC188" s="141" t="str">
        <f aca="false">IF($CP188&gt;$CO$8,"",VLOOKUP($CP188,$CR$9:$CX$508,5,FALSE()))</f>
        <v/>
      </c>
      <c r="DD188" s="142" t="str">
        <f aca="false">IF($CP188&gt;$CO$8,"",VLOOKUP($CP188,$CR$9:$CX$508,6,FALSE()))</f>
        <v/>
      </c>
      <c r="DE188" s="70"/>
    </row>
    <row r="189" customFormat="false" ht="15.75" hidden="false" customHeight="false" outlineLevel="0" collapsed="false">
      <c r="A189" s="8"/>
      <c r="B189" s="72"/>
      <c r="C189" s="73"/>
      <c r="D189" s="155"/>
      <c r="E189" s="162"/>
      <c r="F189" s="157"/>
      <c r="G189" s="77"/>
      <c r="H189" s="77"/>
      <c r="I189" s="77"/>
      <c r="J189" s="163"/>
      <c r="K189" s="161"/>
      <c r="L189" s="161"/>
      <c r="M189" s="80"/>
      <c r="N189" s="161"/>
      <c r="O189" s="160"/>
      <c r="P189" s="161"/>
      <c r="Q189" s="161"/>
      <c r="R189" s="161"/>
      <c r="S189" s="77"/>
      <c r="T189" s="161"/>
      <c r="U189" s="160"/>
      <c r="V189" s="161"/>
      <c r="W189" s="85"/>
      <c r="X189" s="86" t="str">
        <f aca="false">IF(ISBLANK($C189),"",IF($E189=Constants!$B$2,TRUE(),IF($E189=Constants!$B$3,FALSE(),TRUE())))</f>
        <v/>
      </c>
      <c r="Y189" s="86" t="str">
        <f aca="false">IF(ISBLANK($C189),"",IF($F189=Constants!$B$2,TRUE(),IF($F189=Constants!$B$3,FALSE(),TRUE())))</f>
        <v/>
      </c>
      <c r="Z189" s="87" t="str">
        <f aca="false">IF(ISBLANK($C189),"",IF(ISNUMBER($G189),IF($G189&gt;=0,$G189,""),""))</f>
        <v/>
      </c>
      <c r="AA189" s="87" t="str">
        <f aca="false">IF(ISBLANK($C189),"",IF(ISNUMBER($H189),IF($H189&gt;=0,$H189,""),""))</f>
        <v/>
      </c>
      <c r="AB189" s="87" t="str">
        <f aca="false">IF(ISBLANK($C189),"",IF(ISNUMBER($I189),IF($I189&gt;=0,$I189,""),""))</f>
        <v/>
      </c>
      <c r="AC189" s="86" t="str">
        <f aca="false">IF(ISBLANK($C189),"",IF($J189=Constants!$B$2,TRUE(),IF($J189=Constants!$B$3,FALSE(),TRUE())))</f>
        <v/>
      </c>
      <c r="AD189" s="86" t="str">
        <f aca="false">IF(ISBLANK($C189),"",IF($K189=Constants!$B$2,TRUE(),IF($K189=Constants!$B$3,FALSE(),TRUE())))</f>
        <v/>
      </c>
      <c r="AE189" s="86" t="str">
        <f aca="false">IF(ISBLANK($C189),"",IF($L189=Constants!$B$2,TRUE(),IF($L189=Constants!$B$3,FALSE(),TRUE())))</f>
        <v/>
      </c>
      <c r="AF189" s="88" t="str">
        <f aca="false">IF(ISBLANK($C189),"",IF(ISNUMBER($M189),IF($M189&gt;=0,$M189,""),""))</f>
        <v/>
      </c>
      <c r="AG189" s="86" t="str">
        <f aca="false">IF(ISBLANK($C189),"",IF(ISBLANK($N189),0,IF(ISNUMBER($N189),IF(AND($N189&gt;=0,$N189&lt;=Constants!$B$17,$N189=INT($N189)),$N189,""),"")))</f>
        <v/>
      </c>
      <c r="AH189" s="87" t="str">
        <f aca="false">IF(ISBLANK($C189),"",IF(ISBLANK($O189),0,IF(ISNUMBER($O189),IF($O189&gt;=0,$O189,""),"")))</f>
        <v/>
      </c>
      <c r="AI189" s="86" t="str">
        <f aca="false">IF(ISBLANK($C189),"",IF($P189=Constants!$B$2,TRUE(),IF($P189=Constants!$B$3,FALSE(),TRUE())))</f>
        <v/>
      </c>
      <c r="AJ189" s="86" t="str">
        <f aca="false">IF(ISBLANK($C189),"",IF($Q189=Constants!$B$2,TRUE(),IF($Q189=Constants!$B$3,FALSE(),TRUE())))</f>
        <v/>
      </c>
      <c r="AK189" s="86" t="str">
        <f aca="false">IF(ISBLANK($C189),"",IF($R189=Constants!$B$2,TRUE(),IF($R189=Constants!$B$3,FALSE(),TRUE())))</f>
        <v/>
      </c>
      <c r="AL189" s="88" t="str">
        <f aca="false">IF(ISBLANK($C189),"",IF(ISNUMBER($S189),IF($S189&gt;=0,$S189,""),""))</f>
        <v/>
      </c>
      <c r="AM189" s="86" t="str">
        <f aca="false">IF(ISBLANK($C189),"",IF(ISBLANK($T189),0,IF(ISNUMBER($T189),IF(AND($T189&gt;=0,$T189&lt;=Constants!$B$17,$T189=INT($T189)),$T189,""),"")))</f>
        <v/>
      </c>
      <c r="AN189" s="87" t="str">
        <f aca="false">IF(ISBLANK($C189),"",IF(ISBLANK($U189),0,IF(ISNUMBER($U189),IF($U189&gt;=0,$U189,""),"")))</f>
        <v/>
      </c>
      <c r="AO189" s="86" t="str">
        <f aca="false">IF(ISBLANK($C189),"",IF($V189=Constants!$B$2,TRUE(),IF($V189=Constants!$B$3,FALSE(),FALSE())))</f>
        <v/>
      </c>
      <c r="AP189" s="86"/>
      <c r="AQ189" s="85" t="str">
        <f aca="false">IF(ISBLANK($C189),"",AND($Y189,OR($AS189,$BC189),OR($Z189="",$AA189="",$AB189="")))</f>
        <v/>
      </c>
      <c r="AR189" s="85" t="str">
        <f aca="false">IF(ISBLANK($C189),"",IF(OR(NOT($Y189),NOT(OR($AS189,$BC189))),"",IF(ISBLANK($D$7),$AR$5,IF($AP$9="",$AR$6,""))))</f>
        <v/>
      </c>
      <c r="AS189" s="85" t="str">
        <f aca="false">IF(ISBLANK($C189),"",COUNTA($J189:$O189)&gt;0)</f>
        <v/>
      </c>
      <c r="AT189" s="85" t="str">
        <f aca="false">IF(ISBLANK($C189),"",AND($AS189,OR(AND($AF189="",OR($AE189,NOT(ISBLANK($M189)))),$AG189="",$AH189="")))</f>
        <v/>
      </c>
      <c r="AU189" s="87" t="str">
        <f aca="false">IF($BL189&lt;&gt;Constants!$B$4,"",IF(NOT($AS189),"",ROUND((Constants!$B$12-$AB189)+(Constants!$B$13-$Z189)+(Constants!$B$14-$AA189),1)))</f>
        <v/>
      </c>
      <c r="AV189" s="90" t="str">
        <f aca="false">IF($BL189&lt;&gt;Constants!$B$4,"",IF(NOT($AS189),"",IF(NOT($AE189),0,Constants!$B$15*(INT(ROUND(MIN($AF189,$AP$9),6))-INT(ROUND(MAX(0,MIN($AF189,2*$AP$9)-$AP$9),6))))))</f>
        <v/>
      </c>
      <c r="AW189" s="90" t="str">
        <f aca="false">IF($BL189&lt;&gt;Constants!$B$4,"",IF(NOT($AS189),"",Constants!$B$16*$AG189))</f>
        <v/>
      </c>
      <c r="AX189" s="90" t="str">
        <f aca="false">IF($BL189&lt;&gt;Constants!$B$4,"",IF(NOT($AS189),"",Constants!$B$18*INT(ROUND($AH189,6))))</f>
        <v/>
      </c>
      <c r="AY189" s="85" t="str">
        <f aca="false">IF($BL189&lt;&gt;Constants!$B$4,"",IF(NOT($AS189),"",IF(NOT($X189),Constants!$B$11,IF(OR(NOT($AC189),NOT($AD189),ROUND($AB189,1)&gt;Constants!$B$12,ROUND($Z189,1)&gt;Constants!$B$13,ROUND($AA189,1)&gt;Constants!$B$14),Constants!$B$10,Constants!$B$9))))</f>
        <v/>
      </c>
      <c r="AZ189" s="91" t="str">
        <f aca="false">IF($BL189&lt;&gt;Constants!$B$4,"",IF(NOT($AS189),"",ROUND($AU189+$AV189+$AW189+$AX189,1)))</f>
        <v/>
      </c>
      <c r="BA189" s="92" t="str">
        <f aca="false">IF($BL189&lt;&gt;Constants!$B$4,"",IF(NOT($AS189),"",IF(ISNUMBER($AF189),$AF189,0)))</f>
        <v/>
      </c>
      <c r="BB189" s="86" t="str">
        <f aca="false">IF($BL189&lt;&gt;Constants!$B$4,"",IF(NOT($BC189),"&lt;-",IF(NOT($AS189),"-&gt;",IF(OR($BI189&lt;$AY189,AND($BI189=$AY189,OR($BJ189&gt;$AZ189,AND($BJ189=$AZ189,OR($BH189&gt;$AX189,AND($BH189=$AX189,OR($BE189&gt;$AU189,AND($BE189=$AU189,OR($BF189&gt;$AV189,AND($BF189=$AV189,$BK189&gt;$BA189)))))))))),"-&gt;","&lt;-"))))</f>
        <v/>
      </c>
      <c r="BC189" s="85" t="str">
        <f aca="false">IF(ISBLANK($C189),"",COUNTA($P189:$U189)&gt;0)</f>
        <v/>
      </c>
      <c r="BD189" s="85" t="str">
        <f aca="false">IF(ISBLANK($C189),"",AND($BC189,OR(AND($AL189="",OR($AK189,NOT(ISBLANK($S189)))),$AM189="",$AN189="")))</f>
        <v/>
      </c>
      <c r="BE189" s="87" t="str">
        <f aca="false">IF($BL189&lt;&gt;Constants!$B$4,"",IF(NOT($BC189),"",ROUND((Constants!$B$12-$AB189)+(Constants!$B$13-$Z189)+(Constants!$B$14-$AA189),1)))</f>
        <v/>
      </c>
      <c r="BF189" s="90" t="str">
        <f aca="false">IF($BL189&lt;&gt;Constants!$B$4,"",IF(NOT($BC189),"",IF(NOT($AK189),0,Constants!$B$15*(INT(ROUND(MIN($AL189,$AP$9),6))-INT(ROUND(MAX(0,MIN($AL189,2*$AP$9)-$AP$9),6))))))</f>
        <v/>
      </c>
      <c r="BG189" s="90" t="str">
        <f aca="false">IF($BL189&lt;&gt;Constants!$B$4,"",IF(NOT($BC189),"",Constants!$B$16*$AM189))</f>
        <v/>
      </c>
      <c r="BH189" s="90" t="str">
        <f aca="false">IF($BL189&lt;&gt;Constants!$B$4,"",IF(NOT($BC189),"",Constants!$B$18*INT(ROUND($AN189,6))))</f>
        <v/>
      </c>
      <c r="BI189" s="85" t="str">
        <f aca="false">IF($BL189&lt;&gt;Constants!$B$4,"",IF(NOT($BC189),"",IF(NOT($X189),Constants!$B$11,IF(OR(NOT($AI189),NOT($AJ189),ROUND($AB189,1)&gt;Constants!$B$12,ROUND($Z189,1)&gt;Constants!$B$13,ROUND($AA189,1)&gt;Constants!$B$14),Constants!$B$10,Constants!$B$9))))</f>
        <v/>
      </c>
      <c r="BJ189" s="91" t="str">
        <f aca="false">IF($BL189&lt;&gt;Constants!$B$4,"",IF(NOT($BC189),"",ROUND($BE189+$BF189+$BG189+$BH189,1)))</f>
        <v/>
      </c>
      <c r="BK189" s="92" t="str">
        <f aca="false">IF($BL189&lt;&gt;Constants!$B$4,"",IF(NOT($BC189),"",IF(ISNUMBER($AL189),$AL189,0)))</f>
        <v/>
      </c>
      <c r="BL189" s="86" t="str">
        <f aca="false">IF(ISBLANK($C189),"",IF($AO189,Constants!$B$7,IF(COUNTA($E189:$V189)=0,Constants!$B$6,IF(NOT($Y189),Constants!$B$5,IF(NOT(OR($AS189,$BC189)),Constants!$B$5,IF(OR($AT189,$BD189,$AQ189,$AR189&lt;&gt;""),Constants!$B$8,Constants!$B$4))))))</f>
        <v/>
      </c>
      <c r="BM189" s="86" t="str">
        <f aca="false">IF(ISBLANK($C189),"",IF($BL189&lt;&gt;Constants!$B$4,$BL189,IF($BB189="-&gt;",$BI189,$AY189)))</f>
        <v/>
      </c>
      <c r="BN189" s="90" t="str">
        <f aca="false">IF($BL189&lt;&gt;Constants!$B$4,"",IF($BB189="-&gt;",$BJ189,$AZ189))</f>
        <v/>
      </c>
      <c r="BO189" s="90" t="str">
        <f aca="false">IF(ISBLANK($C189),"",IF($BL189&lt;&gt;Constants!$B$4,$BL189,$BN189))</f>
        <v/>
      </c>
      <c r="BP189" s="86" t="str">
        <f aca="false">IF(ISBLANK($C189),"",IF($BL189&lt;&gt;Constants!$B$4,$BL189,RANK($BO189,$BO$9:$BO$508,0)))</f>
        <v/>
      </c>
      <c r="BQ189" s="86" t="str">
        <f aca="false">IF(ISBLANK($C189),"",IF($BL189&lt;&gt;Constants!$B$4,$BL189,COUNTIFS($BM$9:$BM$508,"&lt;"&amp;$BM189)+COUNTIFS($BM$9:$BM$508,$BM189,$BP$9:$BP$508,"&lt;"&amp;$BP189)+1))</f>
        <v/>
      </c>
      <c r="BR189" s="90" t="str">
        <f aca="false">IF($BL189&lt;&gt;Constants!$B$4,"",IF($BB189="-&gt;",$BH189,$AX189))</f>
        <v/>
      </c>
      <c r="BS189" s="86" t="str">
        <f aca="false">IF(ISBLANK($C189),"",IF($BL189&lt;&gt;Constants!$B$4,$BL189,IF(ISNUMBER($BR189),RANK($BR189,$BR$9:$BR$508,0),COUNT($BR$9:$BR$508)+1)))</f>
        <v/>
      </c>
      <c r="BT189" s="90" t="str">
        <f aca="false">IF($BL189&lt;&gt;Constants!$B$4,"",IF($BB189="-&gt;",$BE189,$AU189))</f>
        <v/>
      </c>
      <c r="BU189" s="86" t="str">
        <f aca="false">IF(ISBLANK($C189),"",IF($BL189&lt;&gt;Constants!$B$4,$BL189,IF(ISNUMBER($BT189),RANK($BT189,$BT$9:$BT$508,0),COUNT($BT$9:$BT$508)+1)))</f>
        <v/>
      </c>
      <c r="BV189" s="90" t="str">
        <f aca="false">IF($BL189&lt;&gt;Constants!$B$4,"",IF($BB189="-&gt;",$BF189,$AV189))</f>
        <v/>
      </c>
      <c r="BW189" s="86" t="str">
        <f aca="false">IF(ISBLANK($C189),"",IF($BL189&lt;&gt;Constants!$B$4,$BL189,IF(ISNUMBER($BV189),RANK($BV189,$BV$9:$BV$508,0),COUNT($BV$9:$BV$508)+1)))</f>
        <v/>
      </c>
      <c r="BX189" s="90" t="str">
        <f aca="false">IF($BL189&lt;&gt;Constants!$B$4,"",IF($BB189="-&gt;",$BK189,$BA189))</f>
        <v/>
      </c>
      <c r="BY189" s="86" t="str">
        <f aca="false">IF(ISBLANK($C189),"",IF($BL189&lt;&gt;Constants!$B$4,$BL189,IF(ISNUMBER($BX189),RANK($BX189,$BX$9:$BX$508,0),COUNT($BX$9:$BX$508)+1)))</f>
        <v/>
      </c>
      <c r="BZ189" s="86" t="str">
        <f aca="false">IF(ISBLANK($C189),"",IF($BL189&lt;&gt;Constants!$B$4,$BL189,COUNTIFS($BM$9:$BM$508,"&lt;"&amp;$BM189)+COUNTIFS($BM$9:$BM$508,$BM189,$BP$9:$BP$508,"&lt;"&amp;$BP189)+COUNTIFS($BM$9:$BM$508,$BM189,$BP$9:$BP$508,$BP189,$BS$9:$BS$508,"&lt;"&amp;$BS189)+COUNTIFS($BM$9:$BM$508,$BM189,$BP$9:$BP$508,$BP189,$BS$9:$BS$508,$BS189,$BU$9:$BU$508,"&lt;"&amp;$BU189)+COUNTIFS($BM$9:$BM$508,$BM189,$BP$9:$BP$508,$BP189,$BS$9:$BS$508,$BS189,$BU$9:$BU$508,$BU189,$BW$9:$BW$508,"&lt;"&amp;$BW189)+COUNTIFS($BM$9:$BM$508,$BM189,$BP$9:$BP$508,$BP189,$BS$9:$BS$508,$BS189,$BU$9:$BU$508,$BU189,$BW$9:$BW$508,$BW189,$BY$9:$BY$508,"&lt;"&amp;$BY189)+1))</f>
        <v/>
      </c>
      <c r="CA189" s="86" t="str">
        <f aca="false">IF(ISBLANK($C189),"",IF($BL189&lt;&gt;Constants!$B$4,$BL189,$BQ189-$BZ189))</f>
        <v/>
      </c>
      <c r="CB189" s="93"/>
      <c r="CC189" s="94" t="str">
        <f aca="false">IF(ISBLANK($C189),"",IF($BL189=Constants!$B$8,$AR189,""))</f>
        <v/>
      </c>
      <c r="CD189" s="94" t="str">
        <f aca="false">IF(ISBLANK($C189),"",IF($BL189&lt;&gt;Constants!$B$4,"",IF($BB189="-&gt;",2,1)))</f>
        <v/>
      </c>
      <c r="CE189" s="95" t="str">
        <f aca="false">IF(ISBLANK($C189),"",IF($BL189&lt;&gt;Constants!$B$4,"",IF($BB189="-&gt;",$BE189,$AU189)))</f>
        <v/>
      </c>
      <c r="CF189" s="95" t="str">
        <f aca="false">IF(ISBLANK($C189),"",IF($BL189&lt;&gt;Constants!$B$4,"",IF($BB189="-&gt;",$BF189,$AV189)))</f>
        <v/>
      </c>
      <c r="CG189" s="95" t="str">
        <f aca="false">IF(ISBLANK($C189),"",IF($BL189&lt;&gt;Constants!$B$4,"",IF($BB189="-&gt;",$BG189,$AW189)))</f>
        <v/>
      </c>
      <c r="CH189" s="95" t="str">
        <f aca="false">IF(ISBLANK($C189),"",IF($BL189&lt;&gt;Constants!$B$4,"",IF($BB189="-&gt;",$BH189,$AX189)))</f>
        <v/>
      </c>
      <c r="CI189" s="96" t="str">
        <f aca="false">IF(ISBLANK($C189),"",$BO189)</f>
        <v/>
      </c>
      <c r="CJ189" s="97" t="str">
        <f aca="false">IF(ISBLANK($C189),"",$BM189)</f>
        <v/>
      </c>
      <c r="CK189" s="98" t="str">
        <f aca="false">IF(ISBLANK($C189),"",$CA189)</f>
        <v/>
      </c>
      <c r="CL189" s="98" t="str">
        <f aca="false">IF(ISBLANK($C189),"",$BZ189)</f>
        <v/>
      </c>
      <c r="CM189" s="99" t="str">
        <f aca="false">IF(ISBLANK($C189),"",IF($CL189=Constants!$B$7,COUNTA($C$9:$C$508)+2,IF($CL189=Constants!$B$6,COUNTA($C$9:$C$508)+1,IF($CL189=Constants!$B$5,COUNTA($C$9:$C$508),$CL189))))</f>
        <v/>
      </c>
      <c r="CN189" s="8"/>
      <c r="CO189" s="100" t="n">
        <f aca="false">IF(OR(ISNUMBER($CL189),$CL189=Constants!$B$7,$CL189=Constants!$B$5,$CL189=Constants!$B$6),1,0)</f>
        <v>0</v>
      </c>
      <c r="CP189" s="100" t="n">
        <v>181</v>
      </c>
      <c r="CQ189" s="100" t="str">
        <f aca="false">IF(ISBLANK($C189),"",IF(ISNUMBER($CM189),$CM189+ROW($B189)/1000,""))</f>
        <v/>
      </c>
      <c r="CR189" s="100" t="str">
        <f aca="false">IF(ISNUMBER($CQ189),RANK($CQ189,$CQ$9:$CQ$508,1),"")</f>
        <v/>
      </c>
      <c r="CS189" s="100" t="str">
        <f aca="false">IF(ISBLANK($C189),"",$B189)</f>
        <v/>
      </c>
      <c r="CT189" s="100" t="str">
        <f aca="false">IF(ISBLANK($C189),"",$C189)</f>
        <v/>
      </c>
      <c r="CU189" s="100" t="str">
        <f aca="false">IF(ISBLANK($C189),"",$D189)</f>
        <v/>
      </c>
      <c r="CV189" s="101" t="str">
        <f aca="false">$CJ189</f>
        <v/>
      </c>
      <c r="CW189" s="102" t="str">
        <f aca="false">$CI189</f>
        <v/>
      </c>
      <c r="CX189" s="100" t="str">
        <f aca="false">IF(ISBLANK($C189),"",$CL189)</f>
        <v/>
      </c>
      <c r="CY189" s="103" t="str">
        <f aca="false">IF($CP189&gt;$CO$8,"",VLOOKUP($CP189,$CR$9:$CX$508,7,FALSE()))</f>
        <v/>
      </c>
      <c r="CZ189" s="104" t="str">
        <f aca="false">IF($CP189&gt;$CO$8,"",VLOOKUP($CP189,$CR$9:$CX$508,2,FALSE()))</f>
        <v/>
      </c>
      <c r="DA189" s="104" t="str">
        <f aca="false">IF($CP189&gt;$CO$8,"",VLOOKUP($CP189,$CR$9:$CX$508,3,FALSE()))</f>
        <v/>
      </c>
      <c r="DB189" s="104" t="str">
        <f aca="false">IF($CP189&gt;$CO$8,"",VLOOKUP($CP189,$CR$9:$CX$508,4,FALSE()))</f>
        <v/>
      </c>
      <c r="DC189" s="104" t="str">
        <f aca="false">IF($CP189&gt;$CO$8,"",VLOOKUP($CP189,$CR$9:$CX$508,5,FALSE()))</f>
        <v/>
      </c>
      <c r="DD189" s="105" t="str">
        <f aca="false">IF($CP189&gt;$CO$8,"",VLOOKUP($CP189,$CR$9:$CX$508,6,FALSE()))</f>
        <v/>
      </c>
      <c r="DE189" s="70"/>
    </row>
    <row r="190" customFormat="false" ht="15.75" hidden="false" customHeight="false" outlineLevel="0" collapsed="false">
      <c r="A190" s="8"/>
      <c r="B190" s="72"/>
      <c r="C190" s="73"/>
      <c r="D190" s="155"/>
      <c r="E190" s="162"/>
      <c r="F190" s="157"/>
      <c r="G190" s="77"/>
      <c r="H190" s="77"/>
      <c r="I190" s="77"/>
      <c r="J190" s="163"/>
      <c r="K190" s="161"/>
      <c r="L190" s="161"/>
      <c r="M190" s="80"/>
      <c r="N190" s="161"/>
      <c r="O190" s="160"/>
      <c r="P190" s="161"/>
      <c r="Q190" s="161"/>
      <c r="R190" s="161"/>
      <c r="S190" s="77"/>
      <c r="T190" s="161"/>
      <c r="U190" s="160"/>
      <c r="V190" s="161"/>
      <c r="W190" s="85"/>
      <c r="X190" s="86" t="str">
        <f aca="false">IF(ISBLANK($C190),"",IF($E190=Constants!$B$2,TRUE(),IF($E190=Constants!$B$3,FALSE(),TRUE())))</f>
        <v/>
      </c>
      <c r="Y190" s="86" t="str">
        <f aca="false">IF(ISBLANK($C190),"",IF($F190=Constants!$B$2,TRUE(),IF($F190=Constants!$B$3,FALSE(),TRUE())))</f>
        <v/>
      </c>
      <c r="Z190" s="87" t="str">
        <f aca="false">IF(ISBLANK($C190),"",IF(ISNUMBER($G190),IF($G190&gt;=0,$G190,""),""))</f>
        <v/>
      </c>
      <c r="AA190" s="87" t="str">
        <f aca="false">IF(ISBLANK($C190),"",IF(ISNUMBER($H190),IF($H190&gt;=0,$H190,""),""))</f>
        <v/>
      </c>
      <c r="AB190" s="87" t="str">
        <f aca="false">IF(ISBLANK($C190),"",IF(ISNUMBER($I190),IF($I190&gt;=0,$I190,""),""))</f>
        <v/>
      </c>
      <c r="AC190" s="86" t="str">
        <f aca="false">IF(ISBLANK($C190),"",IF($J190=Constants!$B$2,TRUE(),IF($J190=Constants!$B$3,FALSE(),TRUE())))</f>
        <v/>
      </c>
      <c r="AD190" s="86" t="str">
        <f aca="false">IF(ISBLANK($C190),"",IF($K190=Constants!$B$2,TRUE(),IF($K190=Constants!$B$3,FALSE(),TRUE())))</f>
        <v/>
      </c>
      <c r="AE190" s="86" t="str">
        <f aca="false">IF(ISBLANK($C190),"",IF($L190=Constants!$B$2,TRUE(),IF($L190=Constants!$B$3,FALSE(),TRUE())))</f>
        <v/>
      </c>
      <c r="AF190" s="88" t="str">
        <f aca="false">IF(ISBLANK($C190),"",IF(ISNUMBER($M190),IF($M190&gt;=0,$M190,""),""))</f>
        <v/>
      </c>
      <c r="AG190" s="86" t="str">
        <f aca="false">IF(ISBLANK($C190),"",IF(ISBLANK($N190),0,IF(ISNUMBER($N190),IF(AND($N190&gt;=0,$N190&lt;=Constants!$B$17,$N190=INT($N190)),$N190,""),"")))</f>
        <v/>
      </c>
      <c r="AH190" s="87" t="str">
        <f aca="false">IF(ISBLANK($C190),"",IF(ISBLANK($O190),0,IF(ISNUMBER($O190),IF($O190&gt;=0,$O190,""),"")))</f>
        <v/>
      </c>
      <c r="AI190" s="86" t="str">
        <f aca="false">IF(ISBLANK($C190),"",IF($P190=Constants!$B$2,TRUE(),IF($P190=Constants!$B$3,FALSE(),TRUE())))</f>
        <v/>
      </c>
      <c r="AJ190" s="86" t="str">
        <f aca="false">IF(ISBLANK($C190),"",IF($Q190=Constants!$B$2,TRUE(),IF($Q190=Constants!$B$3,FALSE(),TRUE())))</f>
        <v/>
      </c>
      <c r="AK190" s="86" t="str">
        <f aca="false">IF(ISBLANK($C190),"",IF($R190=Constants!$B$2,TRUE(),IF($R190=Constants!$B$3,FALSE(),TRUE())))</f>
        <v/>
      </c>
      <c r="AL190" s="88" t="str">
        <f aca="false">IF(ISBLANK($C190),"",IF(ISNUMBER($S190),IF($S190&gt;=0,$S190,""),""))</f>
        <v/>
      </c>
      <c r="AM190" s="86" t="str">
        <f aca="false">IF(ISBLANK($C190),"",IF(ISBLANK($T190),0,IF(ISNUMBER($T190),IF(AND($T190&gt;=0,$T190&lt;=Constants!$B$17,$T190=INT($T190)),$T190,""),"")))</f>
        <v/>
      </c>
      <c r="AN190" s="87" t="str">
        <f aca="false">IF(ISBLANK($C190),"",IF(ISBLANK($U190),0,IF(ISNUMBER($U190),IF($U190&gt;=0,$U190,""),"")))</f>
        <v/>
      </c>
      <c r="AO190" s="86" t="str">
        <f aca="false">IF(ISBLANK($C190),"",IF($V190=Constants!$B$2,TRUE(),IF($V190=Constants!$B$3,FALSE(),FALSE())))</f>
        <v/>
      </c>
      <c r="AP190" s="86"/>
      <c r="AQ190" s="85" t="str">
        <f aca="false">IF(ISBLANK($C190),"",AND($Y190,OR($AS190,$BC190),OR($Z190="",$AA190="",$AB190="")))</f>
        <v/>
      </c>
      <c r="AR190" s="85" t="str">
        <f aca="false">IF(ISBLANK($C190),"",IF(OR(NOT($Y190),NOT(OR($AS190,$BC190))),"",IF(ISBLANK($D$7),$AR$5,IF($AP$9="",$AR$6,""))))</f>
        <v/>
      </c>
      <c r="AS190" s="85" t="str">
        <f aca="false">IF(ISBLANK($C190),"",COUNTA($J190:$O190)&gt;0)</f>
        <v/>
      </c>
      <c r="AT190" s="85" t="str">
        <f aca="false">IF(ISBLANK($C190),"",AND($AS190,OR(AND($AF190="",OR($AE190,NOT(ISBLANK($M190)))),$AG190="",$AH190="")))</f>
        <v/>
      </c>
      <c r="AU190" s="87" t="str">
        <f aca="false">IF($BL190&lt;&gt;Constants!$B$4,"",IF(NOT($AS190),"",ROUND((Constants!$B$12-$AB190)+(Constants!$B$13-$Z190)+(Constants!$B$14-$AA190),1)))</f>
        <v/>
      </c>
      <c r="AV190" s="90" t="str">
        <f aca="false">IF($BL190&lt;&gt;Constants!$B$4,"",IF(NOT($AS190),"",IF(NOT($AE190),0,Constants!$B$15*(INT(ROUND(MIN($AF190,$AP$9),6))-INT(ROUND(MAX(0,MIN($AF190,2*$AP$9)-$AP$9),6))))))</f>
        <v/>
      </c>
      <c r="AW190" s="90" t="str">
        <f aca="false">IF($BL190&lt;&gt;Constants!$B$4,"",IF(NOT($AS190),"",Constants!$B$16*$AG190))</f>
        <v/>
      </c>
      <c r="AX190" s="90" t="str">
        <f aca="false">IF($BL190&lt;&gt;Constants!$B$4,"",IF(NOT($AS190),"",Constants!$B$18*INT(ROUND($AH190,6))))</f>
        <v/>
      </c>
      <c r="AY190" s="85" t="str">
        <f aca="false">IF($BL190&lt;&gt;Constants!$B$4,"",IF(NOT($AS190),"",IF(NOT($X190),Constants!$B$11,IF(OR(NOT($AC190),NOT($AD190),ROUND($AB190,1)&gt;Constants!$B$12,ROUND($Z190,1)&gt;Constants!$B$13,ROUND($AA190,1)&gt;Constants!$B$14),Constants!$B$10,Constants!$B$9))))</f>
        <v/>
      </c>
      <c r="AZ190" s="91" t="str">
        <f aca="false">IF($BL190&lt;&gt;Constants!$B$4,"",IF(NOT($AS190),"",ROUND($AU190+$AV190+$AW190+$AX190,1)))</f>
        <v/>
      </c>
      <c r="BA190" s="92" t="str">
        <f aca="false">IF($BL190&lt;&gt;Constants!$B$4,"",IF(NOT($AS190),"",IF(ISNUMBER($AF190),$AF190,0)))</f>
        <v/>
      </c>
      <c r="BB190" s="86" t="str">
        <f aca="false">IF($BL190&lt;&gt;Constants!$B$4,"",IF(NOT($BC190),"&lt;-",IF(NOT($AS190),"-&gt;",IF(OR($BI190&lt;$AY190,AND($BI190=$AY190,OR($BJ190&gt;$AZ190,AND($BJ190=$AZ190,OR($BH190&gt;$AX190,AND($BH190=$AX190,OR($BE190&gt;$AU190,AND($BE190=$AU190,OR($BF190&gt;$AV190,AND($BF190=$AV190,$BK190&gt;$BA190)))))))))),"-&gt;","&lt;-"))))</f>
        <v/>
      </c>
      <c r="BC190" s="85" t="str">
        <f aca="false">IF(ISBLANK($C190),"",COUNTA($P190:$U190)&gt;0)</f>
        <v/>
      </c>
      <c r="BD190" s="85" t="str">
        <f aca="false">IF(ISBLANK($C190),"",AND($BC190,OR(AND($AL190="",OR($AK190,NOT(ISBLANK($S190)))),$AM190="",$AN190="")))</f>
        <v/>
      </c>
      <c r="BE190" s="87" t="str">
        <f aca="false">IF($BL190&lt;&gt;Constants!$B$4,"",IF(NOT($BC190),"",ROUND((Constants!$B$12-$AB190)+(Constants!$B$13-$Z190)+(Constants!$B$14-$AA190),1)))</f>
        <v/>
      </c>
      <c r="BF190" s="90" t="str">
        <f aca="false">IF($BL190&lt;&gt;Constants!$B$4,"",IF(NOT($BC190),"",IF(NOT($AK190),0,Constants!$B$15*(INT(ROUND(MIN($AL190,$AP$9),6))-INT(ROUND(MAX(0,MIN($AL190,2*$AP$9)-$AP$9),6))))))</f>
        <v/>
      </c>
      <c r="BG190" s="90" t="str">
        <f aca="false">IF($BL190&lt;&gt;Constants!$B$4,"",IF(NOT($BC190),"",Constants!$B$16*$AM190))</f>
        <v/>
      </c>
      <c r="BH190" s="90" t="str">
        <f aca="false">IF($BL190&lt;&gt;Constants!$B$4,"",IF(NOT($BC190),"",Constants!$B$18*INT(ROUND($AN190,6))))</f>
        <v/>
      </c>
      <c r="BI190" s="85" t="str">
        <f aca="false">IF($BL190&lt;&gt;Constants!$B$4,"",IF(NOT($BC190),"",IF(NOT($X190),Constants!$B$11,IF(OR(NOT($AI190),NOT($AJ190),ROUND($AB190,1)&gt;Constants!$B$12,ROUND($Z190,1)&gt;Constants!$B$13,ROUND($AA190,1)&gt;Constants!$B$14),Constants!$B$10,Constants!$B$9))))</f>
        <v/>
      </c>
      <c r="BJ190" s="91" t="str">
        <f aca="false">IF($BL190&lt;&gt;Constants!$B$4,"",IF(NOT($BC190),"",ROUND($BE190+$BF190+$BG190+$BH190,1)))</f>
        <v/>
      </c>
      <c r="BK190" s="92" t="str">
        <f aca="false">IF($BL190&lt;&gt;Constants!$B$4,"",IF(NOT($BC190),"",IF(ISNUMBER($AL190),$AL190,0)))</f>
        <v/>
      </c>
      <c r="BL190" s="86" t="str">
        <f aca="false">IF(ISBLANK($C190),"",IF($AO190,Constants!$B$7,IF(COUNTA($E190:$V190)=0,Constants!$B$6,IF(NOT($Y190),Constants!$B$5,IF(NOT(OR($AS190,$BC190)),Constants!$B$5,IF(OR($AT190,$BD190,$AQ190,$AR190&lt;&gt;""),Constants!$B$8,Constants!$B$4))))))</f>
        <v/>
      </c>
      <c r="BM190" s="86" t="str">
        <f aca="false">IF(ISBLANK($C190),"",IF($BL190&lt;&gt;Constants!$B$4,$BL190,IF($BB190="-&gt;",$BI190,$AY190)))</f>
        <v/>
      </c>
      <c r="BN190" s="90" t="str">
        <f aca="false">IF($BL190&lt;&gt;Constants!$B$4,"",IF($BB190="-&gt;",$BJ190,$AZ190))</f>
        <v/>
      </c>
      <c r="BO190" s="90" t="str">
        <f aca="false">IF(ISBLANK($C190),"",IF($BL190&lt;&gt;Constants!$B$4,$BL190,$BN190))</f>
        <v/>
      </c>
      <c r="BP190" s="86" t="str">
        <f aca="false">IF(ISBLANK($C190),"",IF($BL190&lt;&gt;Constants!$B$4,$BL190,RANK($BO190,$BO$9:$BO$508,0)))</f>
        <v/>
      </c>
      <c r="BQ190" s="86" t="str">
        <f aca="false">IF(ISBLANK($C190),"",IF($BL190&lt;&gt;Constants!$B$4,$BL190,COUNTIFS($BM$9:$BM$508,"&lt;"&amp;$BM190)+COUNTIFS($BM$9:$BM$508,$BM190,$BP$9:$BP$508,"&lt;"&amp;$BP190)+1))</f>
        <v/>
      </c>
      <c r="BR190" s="90" t="str">
        <f aca="false">IF($BL190&lt;&gt;Constants!$B$4,"",IF($BB190="-&gt;",$BH190,$AX190))</f>
        <v/>
      </c>
      <c r="BS190" s="86" t="str">
        <f aca="false">IF(ISBLANK($C190),"",IF($BL190&lt;&gt;Constants!$B$4,$BL190,IF(ISNUMBER($BR190),RANK($BR190,$BR$9:$BR$508,0),COUNT($BR$9:$BR$508)+1)))</f>
        <v/>
      </c>
      <c r="BT190" s="90" t="str">
        <f aca="false">IF($BL190&lt;&gt;Constants!$B$4,"",IF($BB190="-&gt;",$BE190,$AU190))</f>
        <v/>
      </c>
      <c r="BU190" s="86" t="str">
        <f aca="false">IF(ISBLANK($C190),"",IF($BL190&lt;&gt;Constants!$B$4,$BL190,IF(ISNUMBER($BT190),RANK($BT190,$BT$9:$BT$508,0),COUNT($BT$9:$BT$508)+1)))</f>
        <v/>
      </c>
      <c r="BV190" s="90" t="str">
        <f aca="false">IF($BL190&lt;&gt;Constants!$B$4,"",IF($BB190="-&gt;",$BF190,$AV190))</f>
        <v/>
      </c>
      <c r="BW190" s="86" t="str">
        <f aca="false">IF(ISBLANK($C190),"",IF($BL190&lt;&gt;Constants!$B$4,$BL190,IF(ISNUMBER($BV190),RANK($BV190,$BV$9:$BV$508,0),COUNT($BV$9:$BV$508)+1)))</f>
        <v/>
      </c>
      <c r="BX190" s="90" t="str">
        <f aca="false">IF($BL190&lt;&gt;Constants!$B$4,"",IF($BB190="-&gt;",$BK190,$BA190))</f>
        <v/>
      </c>
      <c r="BY190" s="86" t="str">
        <f aca="false">IF(ISBLANK($C190),"",IF($BL190&lt;&gt;Constants!$B$4,$BL190,IF(ISNUMBER($BX190),RANK($BX190,$BX$9:$BX$508,0),COUNT($BX$9:$BX$508)+1)))</f>
        <v/>
      </c>
      <c r="BZ190" s="86" t="str">
        <f aca="false">IF(ISBLANK($C190),"",IF($BL190&lt;&gt;Constants!$B$4,$BL190,COUNTIFS($BM$9:$BM$508,"&lt;"&amp;$BM190)+COUNTIFS($BM$9:$BM$508,$BM190,$BP$9:$BP$508,"&lt;"&amp;$BP190)+COUNTIFS($BM$9:$BM$508,$BM190,$BP$9:$BP$508,$BP190,$BS$9:$BS$508,"&lt;"&amp;$BS190)+COUNTIFS($BM$9:$BM$508,$BM190,$BP$9:$BP$508,$BP190,$BS$9:$BS$508,$BS190,$BU$9:$BU$508,"&lt;"&amp;$BU190)+COUNTIFS($BM$9:$BM$508,$BM190,$BP$9:$BP$508,$BP190,$BS$9:$BS$508,$BS190,$BU$9:$BU$508,$BU190,$BW$9:$BW$508,"&lt;"&amp;$BW190)+COUNTIFS($BM$9:$BM$508,$BM190,$BP$9:$BP$508,$BP190,$BS$9:$BS$508,$BS190,$BU$9:$BU$508,$BU190,$BW$9:$BW$508,$BW190,$BY$9:$BY$508,"&lt;"&amp;$BY190)+1))</f>
        <v/>
      </c>
      <c r="CA190" s="86" t="str">
        <f aca="false">IF(ISBLANK($C190),"",IF($BL190&lt;&gt;Constants!$B$4,$BL190,$BQ190-$BZ190))</f>
        <v/>
      </c>
      <c r="CB190" s="93"/>
      <c r="CC190" s="94" t="str">
        <f aca="false">IF(ISBLANK($C190),"",IF($BL190=Constants!$B$8,$AR190,""))</f>
        <v/>
      </c>
      <c r="CD190" s="94" t="str">
        <f aca="false">IF(ISBLANK($C190),"",IF($BL190&lt;&gt;Constants!$B$4,"",IF($BB190="-&gt;",2,1)))</f>
        <v/>
      </c>
      <c r="CE190" s="95" t="str">
        <f aca="false">IF(ISBLANK($C190),"",IF($BL190&lt;&gt;Constants!$B$4,"",IF($BB190="-&gt;",$BE190,$AU190)))</f>
        <v/>
      </c>
      <c r="CF190" s="95" t="str">
        <f aca="false">IF(ISBLANK($C190),"",IF($BL190&lt;&gt;Constants!$B$4,"",IF($BB190="-&gt;",$BF190,$AV190)))</f>
        <v/>
      </c>
      <c r="CG190" s="95" t="str">
        <f aca="false">IF(ISBLANK($C190),"",IF($BL190&lt;&gt;Constants!$B$4,"",IF($BB190="-&gt;",$BG190,$AW190)))</f>
        <v/>
      </c>
      <c r="CH190" s="95" t="str">
        <f aca="false">IF(ISBLANK($C190),"",IF($BL190&lt;&gt;Constants!$B$4,"",IF($BB190="-&gt;",$BH190,$AX190)))</f>
        <v/>
      </c>
      <c r="CI190" s="96" t="str">
        <f aca="false">IF(ISBLANK($C190),"",$BO190)</f>
        <v/>
      </c>
      <c r="CJ190" s="97" t="str">
        <f aca="false">IF(ISBLANK($C190),"",$BM190)</f>
        <v/>
      </c>
      <c r="CK190" s="98" t="str">
        <f aca="false">IF(ISBLANK($C190),"",$CA190)</f>
        <v/>
      </c>
      <c r="CL190" s="98" t="str">
        <f aca="false">IF(ISBLANK($C190),"",$BZ190)</f>
        <v/>
      </c>
      <c r="CM190" s="99" t="str">
        <f aca="false">IF(ISBLANK($C190),"",IF($CL190=Constants!$B$7,COUNTA($C$9:$C$508)+2,IF($CL190=Constants!$B$6,COUNTA($C$9:$C$508)+1,IF($CL190=Constants!$B$5,COUNTA($C$9:$C$508),$CL190))))</f>
        <v/>
      </c>
      <c r="CN190" s="8"/>
      <c r="CO190" s="100" t="n">
        <f aca="false">IF(OR(ISNUMBER($CL190),$CL190=Constants!$B$7,$CL190=Constants!$B$5,$CL190=Constants!$B$6),1,0)</f>
        <v>0</v>
      </c>
      <c r="CP190" s="100" t="n">
        <v>182</v>
      </c>
      <c r="CQ190" s="100" t="str">
        <f aca="false">IF(ISBLANK($C190),"",IF(ISNUMBER($CM190),$CM190+ROW($B190)/1000,""))</f>
        <v/>
      </c>
      <c r="CR190" s="100" t="str">
        <f aca="false">IF(ISNUMBER($CQ190),RANK($CQ190,$CQ$9:$CQ$508,1),"")</f>
        <v/>
      </c>
      <c r="CS190" s="100" t="str">
        <f aca="false">IF(ISBLANK($C190),"",$B190)</f>
        <v/>
      </c>
      <c r="CT190" s="100" t="str">
        <f aca="false">IF(ISBLANK($C190),"",$C190)</f>
        <v/>
      </c>
      <c r="CU190" s="100" t="str">
        <f aca="false">IF(ISBLANK($C190),"",$D190)</f>
        <v/>
      </c>
      <c r="CV190" s="101" t="str">
        <f aca="false">$CJ190</f>
        <v/>
      </c>
      <c r="CW190" s="102" t="str">
        <f aca="false">$CI190</f>
        <v/>
      </c>
      <c r="CX190" s="100" t="str">
        <f aca="false">IF(ISBLANK($C190),"",$CL190)</f>
        <v/>
      </c>
      <c r="CY190" s="103" t="str">
        <f aca="false">IF($CP190&gt;$CO$8,"",VLOOKUP($CP190,$CR$9:$CX$508,7,FALSE()))</f>
        <v/>
      </c>
      <c r="CZ190" s="104" t="str">
        <f aca="false">IF($CP190&gt;$CO$8,"",VLOOKUP($CP190,$CR$9:$CX$508,2,FALSE()))</f>
        <v/>
      </c>
      <c r="DA190" s="104" t="str">
        <f aca="false">IF($CP190&gt;$CO$8,"",VLOOKUP($CP190,$CR$9:$CX$508,3,FALSE()))</f>
        <v/>
      </c>
      <c r="DB190" s="104" t="str">
        <f aca="false">IF($CP190&gt;$CO$8,"",VLOOKUP($CP190,$CR$9:$CX$508,4,FALSE()))</f>
        <v/>
      </c>
      <c r="DC190" s="104" t="str">
        <f aca="false">IF($CP190&gt;$CO$8,"",VLOOKUP($CP190,$CR$9:$CX$508,5,FALSE()))</f>
        <v/>
      </c>
      <c r="DD190" s="105" t="str">
        <f aca="false">IF($CP190&gt;$CO$8,"",VLOOKUP($CP190,$CR$9:$CX$508,6,FALSE()))</f>
        <v/>
      </c>
      <c r="DE190" s="70"/>
    </row>
    <row r="191" customFormat="false" ht="15.75" hidden="false" customHeight="false" outlineLevel="0" collapsed="false">
      <c r="A191" s="8"/>
      <c r="B191" s="72"/>
      <c r="C191" s="73"/>
      <c r="D191" s="155"/>
      <c r="E191" s="162"/>
      <c r="F191" s="157"/>
      <c r="G191" s="77"/>
      <c r="H191" s="77"/>
      <c r="I191" s="77"/>
      <c r="J191" s="163"/>
      <c r="K191" s="161"/>
      <c r="L191" s="161"/>
      <c r="M191" s="80"/>
      <c r="N191" s="161"/>
      <c r="O191" s="160"/>
      <c r="P191" s="161"/>
      <c r="Q191" s="161"/>
      <c r="R191" s="161"/>
      <c r="S191" s="77"/>
      <c r="T191" s="161"/>
      <c r="U191" s="160"/>
      <c r="V191" s="161"/>
      <c r="W191" s="85"/>
      <c r="X191" s="86" t="str">
        <f aca="false">IF(ISBLANK($C191),"",IF($E191=Constants!$B$2,TRUE(),IF($E191=Constants!$B$3,FALSE(),TRUE())))</f>
        <v/>
      </c>
      <c r="Y191" s="86" t="str">
        <f aca="false">IF(ISBLANK($C191),"",IF($F191=Constants!$B$2,TRUE(),IF($F191=Constants!$B$3,FALSE(),TRUE())))</f>
        <v/>
      </c>
      <c r="Z191" s="87" t="str">
        <f aca="false">IF(ISBLANK($C191),"",IF(ISNUMBER($G191),IF($G191&gt;=0,$G191,""),""))</f>
        <v/>
      </c>
      <c r="AA191" s="87" t="str">
        <f aca="false">IF(ISBLANK($C191),"",IF(ISNUMBER($H191),IF($H191&gt;=0,$H191,""),""))</f>
        <v/>
      </c>
      <c r="AB191" s="87" t="str">
        <f aca="false">IF(ISBLANK($C191),"",IF(ISNUMBER($I191),IF($I191&gt;=0,$I191,""),""))</f>
        <v/>
      </c>
      <c r="AC191" s="86" t="str">
        <f aca="false">IF(ISBLANK($C191),"",IF($J191=Constants!$B$2,TRUE(),IF($J191=Constants!$B$3,FALSE(),TRUE())))</f>
        <v/>
      </c>
      <c r="AD191" s="86" t="str">
        <f aca="false">IF(ISBLANK($C191),"",IF($K191=Constants!$B$2,TRUE(),IF($K191=Constants!$B$3,FALSE(),TRUE())))</f>
        <v/>
      </c>
      <c r="AE191" s="86" t="str">
        <f aca="false">IF(ISBLANK($C191),"",IF($L191=Constants!$B$2,TRUE(),IF($L191=Constants!$B$3,FALSE(),TRUE())))</f>
        <v/>
      </c>
      <c r="AF191" s="88" t="str">
        <f aca="false">IF(ISBLANK($C191),"",IF(ISNUMBER($M191),IF($M191&gt;=0,$M191,""),""))</f>
        <v/>
      </c>
      <c r="AG191" s="86" t="str">
        <f aca="false">IF(ISBLANK($C191),"",IF(ISBLANK($N191),0,IF(ISNUMBER($N191),IF(AND($N191&gt;=0,$N191&lt;=Constants!$B$17,$N191=INT($N191)),$N191,""),"")))</f>
        <v/>
      </c>
      <c r="AH191" s="87" t="str">
        <f aca="false">IF(ISBLANK($C191),"",IF(ISBLANK($O191),0,IF(ISNUMBER($O191),IF($O191&gt;=0,$O191,""),"")))</f>
        <v/>
      </c>
      <c r="AI191" s="86" t="str">
        <f aca="false">IF(ISBLANK($C191),"",IF($P191=Constants!$B$2,TRUE(),IF($P191=Constants!$B$3,FALSE(),TRUE())))</f>
        <v/>
      </c>
      <c r="AJ191" s="86" t="str">
        <f aca="false">IF(ISBLANK($C191),"",IF($Q191=Constants!$B$2,TRUE(),IF($Q191=Constants!$B$3,FALSE(),TRUE())))</f>
        <v/>
      </c>
      <c r="AK191" s="86" t="str">
        <f aca="false">IF(ISBLANK($C191),"",IF($R191=Constants!$B$2,TRUE(),IF($R191=Constants!$B$3,FALSE(),TRUE())))</f>
        <v/>
      </c>
      <c r="AL191" s="88" t="str">
        <f aca="false">IF(ISBLANK($C191),"",IF(ISNUMBER($S191),IF($S191&gt;=0,$S191,""),""))</f>
        <v/>
      </c>
      <c r="AM191" s="86" t="str">
        <f aca="false">IF(ISBLANK($C191),"",IF(ISBLANK($T191),0,IF(ISNUMBER($T191),IF(AND($T191&gt;=0,$T191&lt;=Constants!$B$17,$T191=INT($T191)),$T191,""),"")))</f>
        <v/>
      </c>
      <c r="AN191" s="87" t="str">
        <f aca="false">IF(ISBLANK($C191),"",IF(ISBLANK($U191),0,IF(ISNUMBER($U191),IF($U191&gt;=0,$U191,""),"")))</f>
        <v/>
      </c>
      <c r="AO191" s="86" t="str">
        <f aca="false">IF(ISBLANK($C191),"",IF($V191=Constants!$B$2,TRUE(),IF($V191=Constants!$B$3,FALSE(),FALSE())))</f>
        <v/>
      </c>
      <c r="AP191" s="86"/>
      <c r="AQ191" s="85" t="str">
        <f aca="false">IF(ISBLANK($C191),"",AND($Y191,OR($AS191,$BC191),OR($Z191="",$AA191="",$AB191="")))</f>
        <v/>
      </c>
      <c r="AR191" s="85" t="str">
        <f aca="false">IF(ISBLANK($C191),"",IF(OR(NOT($Y191),NOT(OR($AS191,$BC191))),"",IF(ISBLANK($D$7),$AR$5,IF($AP$9="",$AR$6,""))))</f>
        <v/>
      </c>
      <c r="AS191" s="85" t="str">
        <f aca="false">IF(ISBLANK($C191),"",COUNTA($J191:$O191)&gt;0)</f>
        <v/>
      </c>
      <c r="AT191" s="85" t="str">
        <f aca="false">IF(ISBLANK($C191),"",AND($AS191,OR(AND($AF191="",OR($AE191,NOT(ISBLANK($M191)))),$AG191="",$AH191="")))</f>
        <v/>
      </c>
      <c r="AU191" s="87" t="str">
        <f aca="false">IF($BL191&lt;&gt;Constants!$B$4,"",IF(NOT($AS191),"",ROUND((Constants!$B$12-$AB191)+(Constants!$B$13-$Z191)+(Constants!$B$14-$AA191),1)))</f>
        <v/>
      </c>
      <c r="AV191" s="90" t="str">
        <f aca="false">IF($BL191&lt;&gt;Constants!$B$4,"",IF(NOT($AS191),"",IF(NOT($AE191),0,Constants!$B$15*(INT(ROUND(MIN($AF191,$AP$9),6))-INT(ROUND(MAX(0,MIN($AF191,2*$AP$9)-$AP$9),6))))))</f>
        <v/>
      </c>
      <c r="AW191" s="90" t="str">
        <f aca="false">IF($BL191&lt;&gt;Constants!$B$4,"",IF(NOT($AS191),"",Constants!$B$16*$AG191))</f>
        <v/>
      </c>
      <c r="AX191" s="90" t="str">
        <f aca="false">IF($BL191&lt;&gt;Constants!$B$4,"",IF(NOT($AS191),"",Constants!$B$18*INT(ROUND($AH191,6))))</f>
        <v/>
      </c>
      <c r="AY191" s="85" t="str">
        <f aca="false">IF($BL191&lt;&gt;Constants!$B$4,"",IF(NOT($AS191),"",IF(NOT($X191),Constants!$B$11,IF(OR(NOT($AC191),NOT($AD191),ROUND($AB191,1)&gt;Constants!$B$12,ROUND($Z191,1)&gt;Constants!$B$13,ROUND($AA191,1)&gt;Constants!$B$14),Constants!$B$10,Constants!$B$9))))</f>
        <v/>
      </c>
      <c r="AZ191" s="91" t="str">
        <f aca="false">IF($BL191&lt;&gt;Constants!$B$4,"",IF(NOT($AS191),"",ROUND($AU191+$AV191+$AW191+$AX191,1)))</f>
        <v/>
      </c>
      <c r="BA191" s="92" t="str">
        <f aca="false">IF($BL191&lt;&gt;Constants!$B$4,"",IF(NOT($AS191),"",IF(ISNUMBER($AF191),$AF191,0)))</f>
        <v/>
      </c>
      <c r="BB191" s="86" t="str">
        <f aca="false">IF($BL191&lt;&gt;Constants!$B$4,"",IF(NOT($BC191),"&lt;-",IF(NOT($AS191),"-&gt;",IF(OR($BI191&lt;$AY191,AND($BI191=$AY191,OR($BJ191&gt;$AZ191,AND($BJ191=$AZ191,OR($BH191&gt;$AX191,AND($BH191=$AX191,OR($BE191&gt;$AU191,AND($BE191=$AU191,OR($BF191&gt;$AV191,AND($BF191=$AV191,$BK191&gt;$BA191)))))))))),"-&gt;","&lt;-"))))</f>
        <v/>
      </c>
      <c r="BC191" s="85" t="str">
        <f aca="false">IF(ISBLANK($C191),"",COUNTA($P191:$U191)&gt;0)</f>
        <v/>
      </c>
      <c r="BD191" s="85" t="str">
        <f aca="false">IF(ISBLANK($C191),"",AND($BC191,OR(AND($AL191="",OR($AK191,NOT(ISBLANK($S191)))),$AM191="",$AN191="")))</f>
        <v/>
      </c>
      <c r="BE191" s="87" t="str">
        <f aca="false">IF($BL191&lt;&gt;Constants!$B$4,"",IF(NOT($BC191),"",ROUND((Constants!$B$12-$AB191)+(Constants!$B$13-$Z191)+(Constants!$B$14-$AA191),1)))</f>
        <v/>
      </c>
      <c r="BF191" s="90" t="str">
        <f aca="false">IF($BL191&lt;&gt;Constants!$B$4,"",IF(NOT($BC191),"",IF(NOT($AK191),0,Constants!$B$15*(INT(ROUND(MIN($AL191,$AP$9),6))-INT(ROUND(MAX(0,MIN($AL191,2*$AP$9)-$AP$9),6))))))</f>
        <v/>
      </c>
      <c r="BG191" s="90" t="str">
        <f aca="false">IF($BL191&lt;&gt;Constants!$B$4,"",IF(NOT($BC191),"",Constants!$B$16*$AM191))</f>
        <v/>
      </c>
      <c r="BH191" s="90" t="str">
        <f aca="false">IF($BL191&lt;&gt;Constants!$B$4,"",IF(NOT($BC191),"",Constants!$B$18*INT(ROUND($AN191,6))))</f>
        <v/>
      </c>
      <c r="BI191" s="85" t="str">
        <f aca="false">IF($BL191&lt;&gt;Constants!$B$4,"",IF(NOT($BC191),"",IF(NOT($X191),Constants!$B$11,IF(OR(NOT($AI191),NOT($AJ191),ROUND($AB191,1)&gt;Constants!$B$12,ROUND($Z191,1)&gt;Constants!$B$13,ROUND($AA191,1)&gt;Constants!$B$14),Constants!$B$10,Constants!$B$9))))</f>
        <v/>
      </c>
      <c r="BJ191" s="91" t="str">
        <f aca="false">IF($BL191&lt;&gt;Constants!$B$4,"",IF(NOT($BC191),"",ROUND($BE191+$BF191+$BG191+$BH191,1)))</f>
        <v/>
      </c>
      <c r="BK191" s="92" t="str">
        <f aca="false">IF($BL191&lt;&gt;Constants!$B$4,"",IF(NOT($BC191),"",IF(ISNUMBER($AL191),$AL191,0)))</f>
        <v/>
      </c>
      <c r="BL191" s="86" t="str">
        <f aca="false">IF(ISBLANK($C191),"",IF($AO191,Constants!$B$7,IF(COUNTA($E191:$V191)=0,Constants!$B$6,IF(NOT($Y191),Constants!$B$5,IF(NOT(OR($AS191,$BC191)),Constants!$B$5,IF(OR($AT191,$BD191,$AQ191,$AR191&lt;&gt;""),Constants!$B$8,Constants!$B$4))))))</f>
        <v/>
      </c>
      <c r="BM191" s="86" t="str">
        <f aca="false">IF(ISBLANK($C191),"",IF($BL191&lt;&gt;Constants!$B$4,$BL191,IF($BB191="-&gt;",$BI191,$AY191)))</f>
        <v/>
      </c>
      <c r="BN191" s="90" t="str">
        <f aca="false">IF($BL191&lt;&gt;Constants!$B$4,"",IF($BB191="-&gt;",$BJ191,$AZ191))</f>
        <v/>
      </c>
      <c r="BO191" s="90" t="str">
        <f aca="false">IF(ISBLANK($C191),"",IF($BL191&lt;&gt;Constants!$B$4,$BL191,$BN191))</f>
        <v/>
      </c>
      <c r="BP191" s="86" t="str">
        <f aca="false">IF(ISBLANK($C191),"",IF($BL191&lt;&gt;Constants!$B$4,$BL191,RANK($BO191,$BO$9:$BO$508,0)))</f>
        <v/>
      </c>
      <c r="BQ191" s="86" t="str">
        <f aca="false">IF(ISBLANK($C191),"",IF($BL191&lt;&gt;Constants!$B$4,$BL191,COUNTIFS($BM$9:$BM$508,"&lt;"&amp;$BM191)+COUNTIFS($BM$9:$BM$508,$BM191,$BP$9:$BP$508,"&lt;"&amp;$BP191)+1))</f>
        <v/>
      </c>
      <c r="BR191" s="90" t="str">
        <f aca="false">IF($BL191&lt;&gt;Constants!$B$4,"",IF($BB191="-&gt;",$BH191,$AX191))</f>
        <v/>
      </c>
      <c r="BS191" s="86" t="str">
        <f aca="false">IF(ISBLANK($C191),"",IF($BL191&lt;&gt;Constants!$B$4,$BL191,IF(ISNUMBER($BR191),RANK($BR191,$BR$9:$BR$508,0),COUNT($BR$9:$BR$508)+1)))</f>
        <v/>
      </c>
      <c r="BT191" s="90" t="str">
        <f aca="false">IF($BL191&lt;&gt;Constants!$B$4,"",IF($BB191="-&gt;",$BE191,$AU191))</f>
        <v/>
      </c>
      <c r="BU191" s="86" t="str">
        <f aca="false">IF(ISBLANK($C191),"",IF($BL191&lt;&gt;Constants!$B$4,$BL191,IF(ISNUMBER($BT191),RANK($BT191,$BT$9:$BT$508,0),COUNT($BT$9:$BT$508)+1)))</f>
        <v/>
      </c>
      <c r="BV191" s="90" t="str">
        <f aca="false">IF($BL191&lt;&gt;Constants!$B$4,"",IF($BB191="-&gt;",$BF191,$AV191))</f>
        <v/>
      </c>
      <c r="BW191" s="86" t="str">
        <f aca="false">IF(ISBLANK($C191),"",IF($BL191&lt;&gt;Constants!$B$4,$BL191,IF(ISNUMBER($BV191),RANK($BV191,$BV$9:$BV$508,0),COUNT($BV$9:$BV$508)+1)))</f>
        <v/>
      </c>
      <c r="BX191" s="90" t="str">
        <f aca="false">IF($BL191&lt;&gt;Constants!$B$4,"",IF($BB191="-&gt;",$BK191,$BA191))</f>
        <v/>
      </c>
      <c r="BY191" s="86" t="str">
        <f aca="false">IF(ISBLANK($C191),"",IF($BL191&lt;&gt;Constants!$B$4,$BL191,IF(ISNUMBER($BX191),RANK($BX191,$BX$9:$BX$508,0),COUNT($BX$9:$BX$508)+1)))</f>
        <v/>
      </c>
      <c r="BZ191" s="86" t="str">
        <f aca="false">IF(ISBLANK($C191),"",IF($BL191&lt;&gt;Constants!$B$4,$BL191,COUNTIFS($BM$9:$BM$508,"&lt;"&amp;$BM191)+COUNTIFS($BM$9:$BM$508,$BM191,$BP$9:$BP$508,"&lt;"&amp;$BP191)+COUNTIFS($BM$9:$BM$508,$BM191,$BP$9:$BP$508,$BP191,$BS$9:$BS$508,"&lt;"&amp;$BS191)+COUNTIFS($BM$9:$BM$508,$BM191,$BP$9:$BP$508,$BP191,$BS$9:$BS$508,$BS191,$BU$9:$BU$508,"&lt;"&amp;$BU191)+COUNTIFS($BM$9:$BM$508,$BM191,$BP$9:$BP$508,$BP191,$BS$9:$BS$508,$BS191,$BU$9:$BU$508,$BU191,$BW$9:$BW$508,"&lt;"&amp;$BW191)+COUNTIFS($BM$9:$BM$508,$BM191,$BP$9:$BP$508,$BP191,$BS$9:$BS$508,$BS191,$BU$9:$BU$508,$BU191,$BW$9:$BW$508,$BW191,$BY$9:$BY$508,"&lt;"&amp;$BY191)+1))</f>
        <v/>
      </c>
      <c r="CA191" s="86" t="str">
        <f aca="false">IF(ISBLANK($C191),"",IF($BL191&lt;&gt;Constants!$B$4,$BL191,$BQ191-$BZ191))</f>
        <v/>
      </c>
      <c r="CB191" s="93"/>
      <c r="CC191" s="94" t="str">
        <f aca="false">IF(ISBLANK($C191),"",IF($BL191=Constants!$B$8,$AR191,""))</f>
        <v/>
      </c>
      <c r="CD191" s="94" t="str">
        <f aca="false">IF(ISBLANK($C191),"",IF($BL191&lt;&gt;Constants!$B$4,"",IF($BB191="-&gt;",2,1)))</f>
        <v/>
      </c>
      <c r="CE191" s="95" t="str">
        <f aca="false">IF(ISBLANK($C191),"",IF($BL191&lt;&gt;Constants!$B$4,"",IF($BB191="-&gt;",$BE191,$AU191)))</f>
        <v/>
      </c>
      <c r="CF191" s="95" t="str">
        <f aca="false">IF(ISBLANK($C191),"",IF($BL191&lt;&gt;Constants!$B$4,"",IF($BB191="-&gt;",$BF191,$AV191)))</f>
        <v/>
      </c>
      <c r="CG191" s="95" t="str">
        <f aca="false">IF(ISBLANK($C191),"",IF($BL191&lt;&gt;Constants!$B$4,"",IF($BB191="-&gt;",$BG191,$AW191)))</f>
        <v/>
      </c>
      <c r="CH191" s="95" t="str">
        <f aca="false">IF(ISBLANK($C191),"",IF($BL191&lt;&gt;Constants!$B$4,"",IF($BB191="-&gt;",$BH191,$AX191)))</f>
        <v/>
      </c>
      <c r="CI191" s="96" t="str">
        <f aca="false">IF(ISBLANK($C191),"",$BO191)</f>
        <v/>
      </c>
      <c r="CJ191" s="97" t="str">
        <f aca="false">IF(ISBLANK($C191),"",$BM191)</f>
        <v/>
      </c>
      <c r="CK191" s="98" t="str">
        <f aca="false">IF(ISBLANK($C191),"",$CA191)</f>
        <v/>
      </c>
      <c r="CL191" s="98" t="str">
        <f aca="false">IF(ISBLANK($C191),"",$BZ191)</f>
        <v/>
      </c>
      <c r="CM191" s="99" t="str">
        <f aca="false">IF(ISBLANK($C191),"",IF($CL191=Constants!$B$7,COUNTA($C$9:$C$508)+2,IF($CL191=Constants!$B$6,COUNTA($C$9:$C$508)+1,IF($CL191=Constants!$B$5,COUNTA($C$9:$C$508),$CL191))))</f>
        <v/>
      </c>
      <c r="CN191" s="8"/>
      <c r="CO191" s="100" t="n">
        <f aca="false">IF(OR(ISNUMBER($CL191),$CL191=Constants!$B$7,$CL191=Constants!$B$5,$CL191=Constants!$B$6),1,0)</f>
        <v>0</v>
      </c>
      <c r="CP191" s="100" t="n">
        <v>183</v>
      </c>
      <c r="CQ191" s="100" t="str">
        <f aca="false">IF(ISBLANK($C191),"",IF(ISNUMBER($CM191),$CM191+ROW($B191)/1000,""))</f>
        <v/>
      </c>
      <c r="CR191" s="100" t="str">
        <f aca="false">IF(ISNUMBER($CQ191),RANK($CQ191,$CQ$9:$CQ$508,1),"")</f>
        <v/>
      </c>
      <c r="CS191" s="100" t="str">
        <f aca="false">IF(ISBLANK($C191),"",$B191)</f>
        <v/>
      </c>
      <c r="CT191" s="100" t="str">
        <f aca="false">IF(ISBLANK($C191),"",$C191)</f>
        <v/>
      </c>
      <c r="CU191" s="100" t="str">
        <f aca="false">IF(ISBLANK($C191),"",$D191)</f>
        <v/>
      </c>
      <c r="CV191" s="101" t="str">
        <f aca="false">$CJ191</f>
        <v/>
      </c>
      <c r="CW191" s="102" t="str">
        <f aca="false">$CI191</f>
        <v/>
      </c>
      <c r="CX191" s="100" t="str">
        <f aca="false">IF(ISBLANK($C191),"",$CL191)</f>
        <v/>
      </c>
      <c r="CY191" s="103" t="str">
        <f aca="false">IF($CP191&gt;$CO$8,"",VLOOKUP($CP191,$CR$9:$CX$508,7,FALSE()))</f>
        <v/>
      </c>
      <c r="CZ191" s="104" t="str">
        <f aca="false">IF($CP191&gt;$CO$8,"",VLOOKUP($CP191,$CR$9:$CX$508,2,FALSE()))</f>
        <v/>
      </c>
      <c r="DA191" s="104" t="str">
        <f aca="false">IF($CP191&gt;$CO$8,"",VLOOKUP($CP191,$CR$9:$CX$508,3,FALSE()))</f>
        <v/>
      </c>
      <c r="DB191" s="104" t="str">
        <f aca="false">IF($CP191&gt;$CO$8,"",VLOOKUP($CP191,$CR$9:$CX$508,4,FALSE()))</f>
        <v/>
      </c>
      <c r="DC191" s="104" t="str">
        <f aca="false">IF($CP191&gt;$CO$8,"",VLOOKUP($CP191,$CR$9:$CX$508,5,FALSE()))</f>
        <v/>
      </c>
      <c r="DD191" s="105" t="str">
        <f aca="false">IF($CP191&gt;$CO$8,"",VLOOKUP($CP191,$CR$9:$CX$508,6,FALSE()))</f>
        <v/>
      </c>
      <c r="DE191" s="70"/>
    </row>
    <row r="192" customFormat="false" ht="15.75" hidden="false" customHeight="false" outlineLevel="0" collapsed="false">
      <c r="A192" s="8"/>
      <c r="B192" s="146"/>
      <c r="C192" s="147"/>
      <c r="D192" s="148"/>
      <c r="E192" s="164"/>
      <c r="F192" s="150"/>
      <c r="G192" s="115"/>
      <c r="H192" s="115"/>
      <c r="I192" s="115"/>
      <c r="J192" s="165"/>
      <c r="K192" s="154"/>
      <c r="L192" s="154"/>
      <c r="M192" s="118"/>
      <c r="N192" s="154"/>
      <c r="O192" s="153"/>
      <c r="P192" s="154"/>
      <c r="Q192" s="154"/>
      <c r="R192" s="154"/>
      <c r="S192" s="115"/>
      <c r="T192" s="154"/>
      <c r="U192" s="153"/>
      <c r="V192" s="154"/>
      <c r="W192" s="123"/>
      <c r="X192" s="124" t="str">
        <f aca="false">IF(ISBLANK($C192),"",IF($E192=Constants!$B$2,TRUE(),IF($E192=Constants!$B$3,FALSE(),TRUE())))</f>
        <v/>
      </c>
      <c r="Y192" s="124" t="str">
        <f aca="false">IF(ISBLANK($C192),"",IF($F192=Constants!$B$2,TRUE(),IF($F192=Constants!$B$3,FALSE(),TRUE())))</f>
        <v/>
      </c>
      <c r="Z192" s="125" t="str">
        <f aca="false">IF(ISBLANK($C192),"",IF(ISNUMBER($G192),IF($G192&gt;=0,$G192,""),""))</f>
        <v/>
      </c>
      <c r="AA192" s="125" t="str">
        <f aca="false">IF(ISBLANK($C192),"",IF(ISNUMBER($H192),IF($H192&gt;=0,$H192,""),""))</f>
        <v/>
      </c>
      <c r="AB192" s="125" t="str">
        <f aca="false">IF(ISBLANK($C192),"",IF(ISNUMBER($I192),IF($I192&gt;=0,$I192,""),""))</f>
        <v/>
      </c>
      <c r="AC192" s="124" t="str">
        <f aca="false">IF(ISBLANK($C192),"",IF($J192=Constants!$B$2,TRUE(),IF($J192=Constants!$B$3,FALSE(),TRUE())))</f>
        <v/>
      </c>
      <c r="AD192" s="124" t="str">
        <f aca="false">IF(ISBLANK($C192),"",IF($K192=Constants!$B$2,TRUE(),IF($K192=Constants!$B$3,FALSE(),TRUE())))</f>
        <v/>
      </c>
      <c r="AE192" s="124" t="str">
        <f aca="false">IF(ISBLANK($C192),"",IF($L192=Constants!$B$2,TRUE(),IF($L192=Constants!$B$3,FALSE(),TRUE())))</f>
        <v/>
      </c>
      <c r="AF192" s="126" t="str">
        <f aca="false">IF(ISBLANK($C192),"",IF(ISNUMBER($M192),IF($M192&gt;=0,$M192,""),""))</f>
        <v/>
      </c>
      <c r="AG192" s="124" t="str">
        <f aca="false">IF(ISBLANK($C192),"",IF(ISBLANK($N192),0,IF(ISNUMBER($N192),IF(AND($N192&gt;=0,$N192&lt;=Constants!$B$17,$N192=INT($N192)),$N192,""),"")))</f>
        <v/>
      </c>
      <c r="AH192" s="125" t="str">
        <f aca="false">IF(ISBLANK($C192),"",IF(ISBLANK($O192),0,IF(ISNUMBER($O192),IF($O192&gt;=0,$O192,""),"")))</f>
        <v/>
      </c>
      <c r="AI192" s="124" t="str">
        <f aca="false">IF(ISBLANK($C192),"",IF($P192=Constants!$B$2,TRUE(),IF($P192=Constants!$B$3,FALSE(),TRUE())))</f>
        <v/>
      </c>
      <c r="AJ192" s="124" t="str">
        <f aca="false">IF(ISBLANK($C192),"",IF($Q192=Constants!$B$2,TRUE(),IF($Q192=Constants!$B$3,FALSE(),TRUE())))</f>
        <v/>
      </c>
      <c r="AK192" s="124" t="str">
        <f aca="false">IF(ISBLANK($C192),"",IF($R192=Constants!$B$2,TRUE(),IF($R192=Constants!$B$3,FALSE(),TRUE())))</f>
        <v/>
      </c>
      <c r="AL192" s="126" t="str">
        <f aca="false">IF(ISBLANK($C192),"",IF(ISNUMBER($S192),IF($S192&gt;=0,$S192,""),""))</f>
        <v/>
      </c>
      <c r="AM192" s="124" t="str">
        <f aca="false">IF(ISBLANK($C192),"",IF(ISBLANK($T192),0,IF(ISNUMBER($T192),IF(AND($T192&gt;=0,$T192&lt;=Constants!$B$17,$T192=INT($T192)),$T192,""),"")))</f>
        <v/>
      </c>
      <c r="AN192" s="125" t="str">
        <f aca="false">IF(ISBLANK($C192),"",IF(ISBLANK($U192),0,IF(ISNUMBER($U192),IF($U192&gt;=0,$U192,""),"")))</f>
        <v/>
      </c>
      <c r="AO192" s="124" t="str">
        <f aca="false">IF(ISBLANK($C192),"",IF($V192=Constants!$B$2,TRUE(),IF($V192=Constants!$B$3,FALSE(),FALSE())))</f>
        <v/>
      </c>
      <c r="AP192" s="124"/>
      <c r="AQ192" s="123" t="str">
        <f aca="false">IF(ISBLANK($C192),"",AND($Y192,OR($AS192,$BC192),OR($Z192="",$AA192="",$AB192="")))</f>
        <v/>
      </c>
      <c r="AR192" s="123" t="str">
        <f aca="false">IF(ISBLANK($C192),"",IF(OR(NOT($Y192),NOT(OR($AS192,$BC192))),"",IF(ISBLANK($D$7),$AR$5,IF($AP$9="",$AR$6,""))))</f>
        <v/>
      </c>
      <c r="AS192" s="123" t="str">
        <f aca="false">IF(ISBLANK($C192),"",COUNTA($J192:$O192)&gt;0)</f>
        <v/>
      </c>
      <c r="AT192" s="123" t="str">
        <f aca="false">IF(ISBLANK($C192),"",AND($AS192,OR(AND($AF192="",OR($AE192,NOT(ISBLANK($M192)))),$AG192="",$AH192="")))</f>
        <v/>
      </c>
      <c r="AU192" s="125" t="str">
        <f aca="false">IF($BL192&lt;&gt;Constants!$B$4,"",IF(NOT($AS192),"",ROUND((Constants!$B$12-$AB192)+(Constants!$B$13-$Z192)+(Constants!$B$14-$AA192),1)))</f>
        <v/>
      </c>
      <c r="AV192" s="127" t="str">
        <f aca="false">IF($BL192&lt;&gt;Constants!$B$4,"",IF(NOT($AS192),"",IF(NOT($AE192),0,Constants!$B$15*(INT(ROUND(MIN($AF192,$AP$9),6))-INT(ROUND(MAX(0,MIN($AF192,2*$AP$9)-$AP$9),6))))))</f>
        <v/>
      </c>
      <c r="AW192" s="127" t="str">
        <f aca="false">IF($BL192&lt;&gt;Constants!$B$4,"",IF(NOT($AS192),"",Constants!$B$16*$AG192))</f>
        <v/>
      </c>
      <c r="AX192" s="127" t="str">
        <f aca="false">IF($BL192&lt;&gt;Constants!$B$4,"",IF(NOT($AS192),"",Constants!$B$18*INT(ROUND($AH192,6))))</f>
        <v/>
      </c>
      <c r="AY192" s="123" t="str">
        <f aca="false">IF($BL192&lt;&gt;Constants!$B$4,"",IF(NOT($AS192),"",IF(NOT($X192),Constants!$B$11,IF(OR(NOT($AC192),NOT($AD192),ROUND($AB192,1)&gt;Constants!$B$12,ROUND($Z192,1)&gt;Constants!$B$13,ROUND($AA192,1)&gt;Constants!$B$14),Constants!$B$10,Constants!$B$9))))</f>
        <v/>
      </c>
      <c r="AZ192" s="128" t="str">
        <f aca="false">IF($BL192&lt;&gt;Constants!$B$4,"",IF(NOT($AS192),"",ROUND($AU192+$AV192+$AW192+$AX192,1)))</f>
        <v/>
      </c>
      <c r="BA192" s="129" t="str">
        <f aca="false">IF($BL192&lt;&gt;Constants!$B$4,"",IF(NOT($AS192),"",IF(ISNUMBER($AF192),$AF192,0)))</f>
        <v/>
      </c>
      <c r="BB192" s="124" t="str">
        <f aca="false">IF($BL192&lt;&gt;Constants!$B$4,"",IF(NOT($BC192),"&lt;-",IF(NOT($AS192),"-&gt;",IF(OR($BI192&lt;$AY192,AND($BI192=$AY192,OR($BJ192&gt;$AZ192,AND($BJ192=$AZ192,OR($BH192&gt;$AX192,AND($BH192=$AX192,OR($BE192&gt;$AU192,AND($BE192=$AU192,OR($BF192&gt;$AV192,AND($BF192=$AV192,$BK192&gt;$BA192)))))))))),"-&gt;","&lt;-"))))</f>
        <v/>
      </c>
      <c r="BC192" s="123" t="str">
        <f aca="false">IF(ISBLANK($C192),"",COUNTA($P192:$U192)&gt;0)</f>
        <v/>
      </c>
      <c r="BD192" s="123" t="str">
        <f aca="false">IF(ISBLANK($C192),"",AND($BC192,OR(AND($AL192="",OR($AK192,NOT(ISBLANK($S192)))),$AM192="",$AN192="")))</f>
        <v/>
      </c>
      <c r="BE192" s="125" t="str">
        <f aca="false">IF($BL192&lt;&gt;Constants!$B$4,"",IF(NOT($BC192),"",ROUND((Constants!$B$12-$AB192)+(Constants!$B$13-$Z192)+(Constants!$B$14-$AA192),1)))</f>
        <v/>
      </c>
      <c r="BF192" s="127" t="str">
        <f aca="false">IF($BL192&lt;&gt;Constants!$B$4,"",IF(NOT($BC192),"",IF(NOT($AK192),0,Constants!$B$15*(INT(ROUND(MIN($AL192,$AP$9),6))-INT(ROUND(MAX(0,MIN($AL192,2*$AP$9)-$AP$9),6))))))</f>
        <v/>
      </c>
      <c r="BG192" s="127" t="str">
        <f aca="false">IF($BL192&lt;&gt;Constants!$B$4,"",IF(NOT($BC192),"",Constants!$B$16*$AM192))</f>
        <v/>
      </c>
      <c r="BH192" s="127" t="str">
        <f aca="false">IF($BL192&lt;&gt;Constants!$B$4,"",IF(NOT($BC192),"",Constants!$B$18*INT(ROUND($AN192,6))))</f>
        <v/>
      </c>
      <c r="BI192" s="123" t="str">
        <f aca="false">IF($BL192&lt;&gt;Constants!$B$4,"",IF(NOT($BC192),"",IF(NOT($X192),Constants!$B$11,IF(OR(NOT($AI192),NOT($AJ192),ROUND($AB192,1)&gt;Constants!$B$12,ROUND($Z192,1)&gt;Constants!$B$13,ROUND($AA192,1)&gt;Constants!$B$14),Constants!$B$10,Constants!$B$9))))</f>
        <v/>
      </c>
      <c r="BJ192" s="128" t="str">
        <f aca="false">IF($BL192&lt;&gt;Constants!$B$4,"",IF(NOT($BC192),"",ROUND($BE192+$BF192+$BG192+$BH192,1)))</f>
        <v/>
      </c>
      <c r="BK192" s="129" t="str">
        <f aca="false">IF($BL192&lt;&gt;Constants!$B$4,"",IF(NOT($BC192),"",IF(ISNUMBER($AL192),$AL192,0)))</f>
        <v/>
      </c>
      <c r="BL192" s="124" t="str">
        <f aca="false">IF(ISBLANK($C192),"",IF($AO192,Constants!$B$7,IF(COUNTA($E192:$V192)=0,Constants!$B$6,IF(NOT($Y192),Constants!$B$5,IF(NOT(OR($AS192,$BC192)),Constants!$B$5,IF(OR($AT192,$BD192,$AQ192,$AR192&lt;&gt;""),Constants!$B$8,Constants!$B$4))))))</f>
        <v/>
      </c>
      <c r="BM192" s="124" t="str">
        <f aca="false">IF(ISBLANK($C192),"",IF($BL192&lt;&gt;Constants!$B$4,$BL192,IF($BB192="-&gt;",$BI192,$AY192)))</f>
        <v/>
      </c>
      <c r="BN192" s="127" t="str">
        <f aca="false">IF($BL192&lt;&gt;Constants!$B$4,"",IF($BB192="-&gt;",$BJ192,$AZ192))</f>
        <v/>
      </c>
      <c r="BO192" s="127" t="str">
        <f aca="false">IF(ISBLANK($C192),"",IF($BL192&lt;&gt;Constants!$B$4,$BL192,$BN192))</f>
        <v/>
      </c>
      <c r="BP192" s="124" t="str">
        <f aca="false">IF(ISBLANK($C192),"",IF($BL192&lt;&gt;Constants!$B$4,$BL192,RANK($BO192,$BO$9:$BO$508,0)))</f>
        <v/>
      </c>
      <c r="BQ192" s="124" t="str">
        <f aca="false">IF(ISBLANK($C192),"",IF($BL192&lt;&gt;Constants!$B$4,$BL192,COUNTIFS($BM$9:$BM$508,"&lt;"&amp;$BM192)+COUNTIFS($BM$9:$BM$508,$BM192,$BP$9:$BP$508,"&lt;"&amp;$BP192)+1))</f>
        <v/>
      </c>
      <c r="BR192" s="127" t="str">
        <f aca="false">IF($BL192&lt;&gt;Constants!$B$4,"",IF($BB192="-&gt;",$BH192,$AX192))</f>
        <v/>
      </c>
      <c r="BS192" s="124" t="str">
        <f aca="false">IF(ISBLANK($C192),"",IF($BL192&lt;&gt;Constants!$B$4,$BL192,IF(ISNUMBER($BR192),RANK($BR192,$BR$9:$BR$508,0),COUNT($BR$9:$BR$508)+1)))</f>
        <v/>
      </c>
      <c r="BT192" s="127" t="str">
        <f aca="false">IF($BL192&lt;&gt;Constants!$B$4,"",IF($BB192="-&gt;",$BE192,$AU192))</f>
        <v/>
      </c>
      <c r="BU192" s="124" t="str">
        <f aca="false">IF(ISBLANK($C192),"",IF($BL192&lt;&gt;Constants!$B$4,$BL192,IF(ISNUMBER($BT192),RANK($BT192,$BT$9:$BT$508,0),COUNT($BT$9:$BT$508)+1)))</f>
        <v/>
      </c>
      <c r="BV192" s="127" t="str">
        <f aca="false">IF($BL192&lt;&gt;Constants!$B$4,"",IF($BB192="-&gt;",$BF192,$AV192))</f>
        <v/>
      </c>
      <c r="BW192" s="124" t="str">
        <f aca="false">IF(ISBLANK($C192),"",IF($BL192&lt;&gt;Constants!$B$4,$BL192,IF(ISNUMBER($BV192),RANK($BV192,$BV$9:$BV$508,0),COUNT($BV$9:$BV$508)+1)))</f>
        <v/>
      </c>
      <c r="BX192" s="127" t="str">
        <f aca="false">IF($BL192&lt;&gt;Constants!$B$4,"",IF($BB192="-&gt;",$BK192,$BA192))</f>
        <v/>
      </c>
      <c r="BY192" s="124" t="str">
        <f aca="false">IF(ISBLANK($C192),"",IF($BL192&lt;&gt;Constants!$B$4,$BL192,IF(ISNUMBER($BX192),RANK($BX192,$BX$9:$BX$508,0),COUNT($BX$9:$BX$508)+1)))</f>
        <v/>
      </c>
      <c r="BZ192" s="124" t="str">
        <f aca="false">IF(ISBLANK($C192),"",IF($BL192&lt;&gt;Constants!$B$4,$BL192,COUNTIFS($BM$9:$BM$508,"&lt;"&amp;$BM192)+COUNTIFS($BM$9:$BM$508,$BM192,$BP$9:$BP$508,"&lt;"&amp;$BP192)+COUNTIFS($BM$9:$BM$508,$BM192,$BP$9:$BP$508,$BP192,$BS$9:$BS$508,"&lt;"&amp;$BS192)+COUNTIFS($BM$9:$BM$508,$BM192,$BP$9:$BP$508,$BP192,$BS$9:$BS$508,$BS192,$BU$9:$BU$508,"&lt;"&amp;$BU192)+COUNTIFS($BM$9:$BM$508,$BM192,$BP$9:$BP$508,$BP192,$BS$9:$BS$508,$BS192,$BU$9:$BU$508,$BU192,$BW$9:$BW$508,"&lt;"&amp;$BW192)+COUNTIFS($BM$9:$BM$508,$BM192,$BP$9:$BP$508,$BP192,$BS$9:$BS$508,$BS192,$BU$9:$BU$508,$BU192,$BW$9:$BW$508,$BW192,$BY$9:$BY$508,"&lt;"&amp;$BY192)+1))</f>
        <v/>
      </c>
      <c r="CA192" s="124" t="str">
        <f aca="false">IF(ISBLANK($C192),"",IF($BL192&lt;&gt;Constants!$B$4,$BL192,$BQ192-$BZ192))</f>
        <v/>
      </c>
      <c r="CB192" s="130"/>
      <c r="CC192" s="131" t="str">
        <f aca="false">IF(ISBLANK($C192),"",IF($BL192=Constants!$B$8,$AR192,""))</f>
        <v/>
      </c>
      <c r="CD192" s="131" t="str">
        <f aca="false">IF(ISBLANK($C192),"",IF($BL192&lt;&gt;Constants!$B$4,"",IF($BB192="-&gt;",2,1)))</f>
        <v/>
      </c>
      <c r="CE192" s="132" t="str">
        <f aca="false">IF(ISBLANK($C192),"",IF($BL192&lt;&gt;Constants!$B$4,"",IF($BB192="-&gt;",$BE192,$AU192)))</f>
        <v/>
      </c>
      <c r="CF192" s="132" t="str">
        <f aca="false">IF(ISBLANK($C192),"",IF($BL192&lt;&gt;Constants!$B$4,"",IF($BB192="-&gt;",$BF192,$AV192)))</f>
        <v/>
      </c>
      <c r="CG192" s="132" t="str">
        <f aca="false">IF(ISBLANK($C192),"",IF($BL192&lt;&gt;Constants!$B$4,"",IF($BB192="-&gt;",$BG192,$AW192)))</f>
        <v/>
      </c>
      <c r="CH192" s="132" t="str">
        <f aca="false">IF(ISBLANK($C192),"",IF($BL192&lt;&gt;Constants!$B$4,"",IF($BB192="-&gt;",$BH192,$AX192)))</f>
        <v/>
      </c>
      <c r="CI192" s="133" t="str">
        <f aca="false">IF(ISBLANK($C192),"",$BO192)</f>
        <v/>
      </c>
      <c r="CJ192" s="134" t="str">
        <f aca="false">IF(ISBLANK($C192),"",$BM192)</f>
        <v/>
      </c>
      <c r="CK192" s="135" t="str">
        <f aca="false">IF(ISBLANK($C192),"",$CA192)</f>
        <v/>
      </c>
      <c r="CL192" s="135" t="str">
        <f aca="false">IF(ISBLANK($C192),"",$BZ192)</f>
        <v/>
      </c>
      <c r="CM192" s="136" t="str">
        <f aca="false">IF(ISBLANK($C192),"",IF($CL192=Constants!$B$7,COUNTA($C$9:$C$508)+2,IF($CL192=Constants!$B$6,COUNTA($C$9:$C$508)+1,IF($CL192=Constants!$B$5,COUNTA($C$9:$C$508),$CL192))))</f>
        <v/>
      </c>
      <c r="CN192" s="8"/>
      <c r="CO192" s="137" t="n">
        <f aca="false">IF(OR(ISNUMBER($CL192),$CL192=Constants!$B$7,$CL192=Constants!$B$5,$CL192=Constants!$B$6),1,0)</f>
        <v>0</v>
      </c>
      <c r="CP192" s="137" t="n">
        <v>184</v>
      </c>
      <c r="CQ192" s="137" t="str">
        <f aca="false">IF(ISBLANK($C192),"",IF(ISNUMBER($CM192),$CM192+ROW($B192)/1000,""))</f>
        <v/>
      </c>
      <c r="CR192" s="137" t="str">
        <f aca="false">IF(ISNUMBER($CQ192),RANK($CQ192,$CQ$9:$CQ$508,1),"")</f>
        <v/>
      </c>
      <c r="CS192" s="137" t="str">
        <f aca="false">IF(ISBLANK($C192),"",$B192)</f>
        <v/>
      </c>
      <c r="CT192" s="137" t="str">
        <f aca="false">IF(ISBLANK($C192),"",$C192)</f>
        <v/>
      </c>
      <c r="CU192" s="137" t="str">
        <f aca="false">IF(ISBLANK($C192),"",$D192)</f>
        <v/>
      </c>
      <c r="CV192" s="138" t="str">
        <f aca="false">$CJ192</f>
        <v/>
      </c>
      <c r="CW192" s="139" t="str">
        <f aca="false">$CI192</f>
        <v/>
      </c>
      <c r="CX192" s="137" t="str">
        <f aca="false">IF(ISBLANK($C192),"",$CL192)</f>
        <v/>
      </c>
      <c r="CY192" s="140" t="str">
        <f aca="false">IF($CP192&gt;$CO$8,"",VLOOKUP($CP192,$CR$9:$CX$508,7,FALSE()))</f>
        <v/>
      </c>
      <c r="CZ192" s="141" t="str">
        <f aca="false">IF($CP192&gt;$CO$8,"",VLOOKUP($CP192,$CR$9:$CX$508,2,FALSE()))</f>
        <v/>
      </c>
      <c r="DA192" s="141" t="str">
        <f aca="false">IF($CP192&gt;$CO$8,"",VLOOKUP($CP192,$CR$9:$CX$508,3,FALSE()))</f>
        <v/>
      </c>
      <c r="DB192" s="141" t="str">
        <f aca="false">IF($CP192&gt;$CO$8,"",VLOOKUP($CP192,$CR$9:$CX$508,4,FALSE()))</f>
        <v/>
      </c>
      <c r="DC192" s="141" t="str">
        <f aca="false">IF($CP192&gt;$CO$8,"",VLOOKUP($CP192,$CR$9:$CX$508,5,FALSE()))</f>
        <v/>
      </c>
      <c r="DD192" s="142" t="str">
        <f aca="false">IF($CP192&gt;$CO$8,"",VLOOKUP($CP192,$CR$9:$CX$508,6,FALSE()))</f>
        <v/>
      </c>
      <c r="DE192" s="70"/>
    </row>
    <row r="193" customFormat="false" ht="15.75" hidden="false" customHeight="false" outlineLevel="0" collapsed="false">
      <c r="A193" s="8"/>
      <c r="B193" s="146"/>
      <c r="C193" s="147"/>
      <c r="D193" s="148"/>
      <c r="E193" s="164"/>
      <c r="F193" s="150"/>
      <c r="G193" s="115"/>
      <c r="H193" s="115"/>
      <c r="I193" s="115"/>
      <c r="J193" s="165"/>
      <c r="K193" s="154"/>
      <c r="L193" s="154"/>
      <c r="M193" s="118"/>
      <c r="N193" s="154"/>
      <c r="O193" s="153"/>
      <c r="P193" s="154"/>
      <c r="Q193" s="154"/>
      <c r="R193" s="154"/>
      <c r="S193" s="115"/>
      <c r="T193" s="154"/>
      <c r="U193" s="153"/>
      <c r="V193" s="154"/>
      <c r="W193" s="123"/>
      <c r="X193" s="124" t="str">
        <f aca="false">IF(ISBLANK($C193),"",IF($E193=Constants!$B$2,TRUE(),IF($E193=Constants!$B$3,FALSE(),TRUE())))</f>
        <v/>
      </c>
      <c r="Y193" s="124" t="str">
        <f aca="false">IF(ISBLANK($C193),"",IF($F193=Constants!$B$2,TRUE(),IF($F193=Constants!$B$3,FALSE(),TRUE())))</f>
        <v/>
      </c>
      <c r="Z193" s="125" t="str">
        <f aca="false">IF(ISBLANK($C193),"",IF(ISNUMBER($G193),IF($G193&gt;=0,$G193,""),""))</f>
        <v/>
      </c>
      <c r="AA193" s="125" t="str">
        <f aca="false">IF(ISBLANK($C193),"",IF(ISNUMBER($H193),IF($H193&gt;=0,$H193,""),""))</f>
        <v/>
      </c>
      <c r="AB193" s="125" t="str">
        <f aca="false">IF(ISBLANK($C193),"",IF(ISNUMBER($I193),IF($I193&gt;=0,$I193,""),""))</f>
        <v/>
      </c>
      <c r="AC193" s="124" t="str">
        <f aca="false">IF(ISBLANK($C193),"",IF($J193=Constants!$B$2,TRUE(),IF($J193=Constants!$B$3,FALSE(),TRUE())))</f>
        <v/>
      </c>
      <c r="AD193" s="124" t="str">
        <f aca="false">IF(ISBLANK($C193),"",IF($K193=Constants!$B$2,TRUE(),IF($K193=Constants!$B$3,FALSE(),TRUE())))</f>
        <v/>
      </c>
      <c r="AE193" s="124" t="str">
        <f aca="false">IF(ISBLANK($C193),"",IF($L193=Constants!$B$2,TRUE(),IF($L193=Constants!$B$3,FALSE(),TRUE())))</f>
        <v/>
      </c>
      <c r="AF193" s="126" t="str">
        <f aca="false">IF(ISBLANK($C193),"",IF(ISNUMBER($M193),IF($M193&gt;=0,$M193,""),""))</f>
        <v/>
      </c>
      <c r="AG193" s="124" t="str">
        <f aca="false">IF(ISBLANK($C193),"",IF(ISBLANK($N193),0,IF(ISNUMBER($N193),IF(AND($N193&gt;=0,$N193&lt;=Constants!$B$17,$N193=INT($N193)),$N193,""),"")))</f>
        <v/>
      </c>
      <c r="AH193" s="125" t="str">
        <f aca="false">IF(ISBLANK($C193),"",IF(ISBLANK($O193),0,IF(ISNUMBER($O193),IF($O193&gt;=0,$O193,""),"")))</f>
        <v/>
      </c>
      <c r="AI193" s="124" t="str">
        <f aca="false">IF(ISBLANK($C193),"",IF($P193=Constants!$B$2,TRUE(),IF($P193=Constants!$B$3,FALSE(),TRUE())))</f>
        <v/>
      </c>
      <c r="AJ193" s="124" t="str">
        <f aca="false">IF(ISBLANK($C193),"",IF($Q193=Constants!$B$2,TRUE(),IF($Q193=Constants!$B$3,FALSE(),TRUE())))</f>
        <v/>
      </c>
      <c r="AK193" s="124" t="str">
        <f aca="false">IF(ISBLANK($C193),"",IF($R193=Constants!$B$2,TRUE(),IF($R193=Constants!$B$3,FALSE(),TRUE())))</f>
        <v/>
      </c>
      <c r="AL193" s="126" t="str">
        <f aca="false">IF(ISBLANK($C193),"",IF(ISNUMBER($S193),IF($S193&gt;=0,$S193,""),""))</f>
        <v/>
      </c>
      <c r="AM193" s="124" t="str">
        <f aca="false">IF(ISBLANK($C193),"",IF(ISBLANK($T193),0,IF(ISNUMBER($T193),IF(AND($T193&gt;=0,$T193&lt;=Constants!$B$17,$T193=INT($T193)),$T193,""),"")))</f>
        <v/>
      </c>
      <c r="AN193" s="125" t="str">
        <f aca="false">IF(ISBLANK($C193),"",IF(ISBLANK($U193),0,IF(ISNUMBER($U193),IF($U193&gt;=0,$U193,""),"")))</f>
        <v/>
      </c>
      <c r="AO193" s="124" t="str">
        <f aca="false">IF(ISBLANK($C193),"",IF($V193=Constants!$B$2,TRUE(),IF($V193=Constants!$B$3,FALSE(),FALSE())))</f>
        <v/>
      </c>
      <c r="AP193" s="124"/>
      <c r="AQ193" s="123" t="str">
        <f aca="false">IF(ISBLANK($C193),"",AND($Y193,OR($AS193,$BC193),OR($Z193="",$AA193="",$AB193="")))</f>
        <v/>
      </c>
      <c r="AR193" s="123" t="str">
        <f aca="false">IF(ISBLANK($C193),"",IF(OR(NOT($Y193),NOT(OR($AS193,$BC193))),"",IF(ISBLANK($D$7),$AR$5,IF($AP$9="",$AR$6,""))))</f>
        <v/>
      </c>
      <c r="AS193" s="123" t="str">
        <f aca="false">IF(ISBLANK($C193),"",COUNTA($J193:$O193)&gt;0)</f>
        <v/>
      </c>
      <c r="AT193" s="123" t="str">
        <f aca="false">IF(ISBLANK($C193),"",AND($AS193,OR(AND($AF193="",OR($AE193,NOT(ISBLANK($M193)))),$AG193="",$AH193="")))</f>
        <v/>
      </c>
      <c r="AU193" s="125" t="str">
        <f aca="false">IF($BL193&lt;&gt;Constants!$B$4,"",IF(NOT($AS193),"",ROUND((Constants!$B$12-$AB193)+(Constants!$B$13-$Z193)+(Constants!$B$14-$AA193),1)))</f>
        <v/>
      </c>
      <c r="AV193" s="127" t="str">
        <f aca="false">IF($BL193&lt;&gt;Constants!$B$4,"",IF(NOT($AS193),"",IF(NOT($AE193),0,Constants!$B$15*(INT(ROUND(MIN($AF193,$AP$9),6))-INT(ROUND(MAX(0,MIN($AF193,2*$AP$9)-$AP$9),6))))))</f>
        <v/>
      </c>
      <c r="AW193" s="127" t="str">
        <f aca="false">IF($BL193&lt;&gt;Constants!$B$4,"",IF(NOT($AS193),"",Constants!$B$16*$AG193))</f>
        <v/>
      </c>
      <c r="AX193" s="127" t="str">
        <f aca="false">IF($BL193&lt;&gt;Constants!$B$4,"",IF(NOT($AS193),"",Constants!$B$18*INT(ROUND($AH193,6))))</f>
        <v/>
      </c>
      <c r="AY193" s="123" t="str">
        <f aca="false">IF($BL193&lt;&gt;Constants!$B$4,"",IF(NOT($AS193),"",IF(NOT($X193),Constants!$B$11,IF(OR(NOT($AC193),NOT($AD193),ROUND($AB193,1)&gt;Constants!$B$12,ROUND($Z193,1)&gt;Constants!$B$13,ROUND($AA193,1)&gt;Constants!$B$14),Constants!$B$10,Constants!$B$9))))</f>
        <v/>
      </c>
      <c r="AZ193" s="128" t="str">
        <f aca="false">IF($BL193&lt;&gt;Constants!$B$4,"",IF(NOT($AS193),"",ROUND($AU193+$AV193+$AW193+$AX193,1)))</f>
        <v/>
      </c>
      <c r="BA193" s="129" t="str">
        <f aca="false">IF($BL193&lt;&gt;Constants!$B$4,"",IF(NOT($AS193),"",IF(ISNUMBER($AF193),$AF193,0)))</f>
        <v/>
      </c>
      <c r="BB193" s="124" t="str">
        <f aca="false">IF($BL193&lt;&gt;Constants!$B$4,"",IF(NOT($BC193),"&lt;-",IF(NOT($AS193),"-&gt;",IF(OR($BI193&lt;$AY193,AND($BI193=$AY193,OR($BJ193&gt;$AZ193,AND($BJ193=$AZ193,OR($BH193&gt;$AX193,AND($BH193=$AX193,OR($BE193&gt;$AU193,AND($BE193=$AU193,OR($BF193&gt;$AV193,AND($BF193=$AV193,$BK193&gt;$BA193)))))))))),"-&gt;","&lt;-"))))</f>
        <v/>
      </c>
      <c r="BC193" s="123" t="str">
        <f aca="false">IF(ISBLANK($C193),"",COUNTA($P193:$U193)&gt;0)</f>
        <v/>
      </c>
      <c r="BD193" s="123" t="str">
        <f aca="false">IF(ISBLANK($C193),"",AND($BC193,OR(AND($AL193="",OR($AK193,NOT(ISBLANK($S193)))),$AM193="",$AN193="")))</f>
        <v/>
      </c>
      <c r="BE193" s="125" t="str">
        <f aca="false">IF($BL193&lt;&gt;Constants!$B$4,"",IF(NOT($BC193),"",ROUND((Constants!$B$12-$AB193)+(Constants!$B$13-$Z193)+(Constants!$B$14-$AA193),1)))</f>
        <v/>
      </c>
      <c r="BF193" s="127" t="str">
        <f aca="false">IF($BL193&lt;&gt;Constants!$B$4,"",IF(NOT($BC193),"",IF(NOT($AK193),0,Constants!$B$15*(INT(ROUND(MIN($AL193,$AP$9),6))-INT(ROUND(MAX(0,MIN($AL193,2*$AP$9)-$AP$9),6))))))</f>
        <v/>
      </c>
      <c r="BG193" s="127" t="str">
        <f aca="false">IF($BL193&lt;&gt;Constants!$B$4,"",IF(NOT($BC193),"",Constants!$B$16*$AM193))</f>
        <v/>
      </c>
      <c r="BH193" s="127" t="str">
        <f aca="false">IF($BL193&lt;&gt;Constants!$B$4,"",IF(NOT($BC193),"",Constants!$B$18*INT(ROUND($AN193,6))))</f>
        <v/>
      </c>
      <c r="BI193" s="123" t="str">
        <f aca="false">IF($BL193&lt;&gt;Constants!$B$4,"",IF(NOT($BC193),"",IF(NOT($X193),Constants!$B$11,IF(OR(NOT($AI193),NOT($AJ193),ROUND($AB193,1)&gt;Constants!$B$12,ROUND($Z193,1)&gt;Constants!$B$13,ROUND($AA193,1)&gt;Constants!$B$14),Constants!$B$10,Constants!$B$9))))</f>
        <v/>
      </c>
      <c r="BJ193" s="128" t="str">
        <f aca="false">IF($BL193&lt;&gt;Constants!$B$4,"",IF(NOT($BC193),"",ROUND($BE193+$BF193+$BG193+$BH193,1)))</f>
        <v/>
      </c>
      <c r="BK193" s="129" t="str">
        <f aca="false">IF($BL193&lt;&gt;Constants!$B$4,"",IF(NOT($BC193),"",IF(ISNUMBER($AL193),$AL193,0)))</f>
        <v/>
      </c>
      <c r="BL193" s="124" t="str">
        <f aca="false">IF(ISBLANK($C193),"",IF($AO193,Constants!$B$7,IF(COUNTA($E193:$V193)=0,Constants!$B$6,IF(NOT($Y193),Constants!$B$5,IF(NOT(OR($AS193,$BC193)),Constants!$B$5,IF(OR($AT193,$BD193,$AQ193,$AR193&lt;&gt;""),Constants!$B$8,Constants!$B$4))))))</f>
        <v/>
      </c>
      <c r="BM193" s="124" t="str">
        <f aca="false">IF(ISBLANK($C193),"",IF($BL193&lt;&gt;Constants!$B$4,$BL193,IF($BB193="-&gt;",$BI193,$AY193)))</f>
        <v/>
      </c>
      <c r="BN193" s="127" t="str">
        <f aca="false">IF($BL193&lt;&gt;Constants!$B$4,"",IF($BB193="-&gt;",$BJ193,$AZ193))</f>
        <v/>
      </c>
      <c r="BO193" s="127" t="str">
        <f aca="false">IF(ISBLANK($C193),"",IF($BL193&lt;&gt;Constants!$B$4,$BL193,$BN193))</f>
        <v/>
      </c>
      <c r="BP193" s="124" t="str">
        <f aca="false">IF(ISBLANK($C193),"",IF($BL193&lt;&gt;Constants!$B$4,$BL193,RANK($BO193,$BO$9:$BO$508,0)))</f>
        <v/>
      </c>
      <c r="BQ193" s="124" t="str">
        <f aca="false">IF(ISBLANK($C193),"",IF($BL193&lt;&gt;Constants!$B$4,$BL193,COUNTIFS($BM$9:$BM$508,"&lt;"&amp;$BM193)+COUNTIFS($BM$9:$BM$508,$BM193,$BP$9:$BP$508,"&lt;"&amp;$BP193)+1))</f>
        <v/>
      </c>
      <c r="BR193" s="127" t="str">
        <f aca="false">IF($BL193&lt;&gt;Constants!$B$4,"",IF($BB193="-&gt;",$BH193,$AX193))</f>
        <v/>
      </c>
      <c r="BS193" s="124" t="str">
        <f aca="false">IF(ISBLANK($C193),"",IF($BL193&lt;&gt;Constants!$B$4,$BL193,IF(ISNUMBER($BR193),RANK($BR193,$BR$9:$BR$508,0),COUNT($BR$9:$BR$508)+1)))</f>
        <v/>
      </c>
      <c r="BT193" s="127" t="str">
        <f aca="false">IF($BL193&lt;&gt;Constants!$B$4,"",IF($BB193="-&gt;",$BE193,$AU193))</f>
        <v/>
      </c>
      <c r="BU193" s="124" t="str">
        <f aca="false">IF(ISBLANK($C193),"",IF($BL193&lt;&gt;Constants!$B$4,$BL193,IF(ISNUMBER($BT193),RANK($BT193,$BT$9:$BT$508,0),COUNT($BT$9:$BT$508)+1)))</f>
        <v/>
      </c>
      <c r="BV193" s="127" t="str">
        <f aca="false">IF($BL193&lt;&gt;Constants!$B$4,"",IF($BB193="-&gt;",$BF193,$AV193))</f>
        <v/>
      </c>
      <c r="BW193" s="124" t="str">
        <f aca="false">IF(ISBLANK($C193),"",IF($BL193&lt;&gt;Constants!$B$4,$BL193,IF(ISNUMBER($BV193),RANK($BV193,$BV$9:$BV$508,0),COUNT($BV$9:$BV$508)+1)))</f>
        <v/>
      </c>
      <c r="BX193" s="127" t="str">
        <f aca="false">IF($BL193&lt;&gt;Constants!$B$4,"",IF($BB193="-&gt;",$BK193,$BA193))</f>
        <v/>
      </c>
      <c r="BY193" s="124" t="str">
        <f aca="false">IF(ISBLANK($C193),"",IF($BL193&lt;&gt;Constants!$B$4,$BL193,IF(ISNUMBER($BX193),RANK($BX193,$BX$9:$BX$508,0),COUNT($BX$9:$BX$508)+1)))</f>
        <v/>
      </c>
      <c r="BZ193" s="124" t="str">
        <f aca="false">IF(ISBLANK($C193),"",IF($BL193&lt;&gt;Constants!$B$4,$BL193,COUNTIFS($BM$9:$BM$508,"&lt;"&amp;$BM193)+COUNTIFS($BM$9:$BM$508,$BM193,$BP$9:$BP$508,"&lt;"&amp;$BP193)+COUNTIFS($BM$9:$BM$508,$BM193,$BP$9:$BP$508,$BP193,$BS$9:$BS$508,"&lt;"&amp;$BS193)+COUNTIFS($BM$9:$BM$508,$BM193,$BP$9:$BP$508,$BP193,$BS$9:$BS$508,$BS193,$BU$9:$BU$508,"&lt;"&amp;$BU193)+COUNTIFS($BM$9:$BM$508,$BM193,$BP$9:$BP$508,$BP193,$BS$9:$BS$508,$BS193,$BU$9:$BU$508,$BU193,$BW$9:$BW$508,"&lt;"&amp;$BW193)+COUNTIFS($BM$9:$BM$508,$BM193,$BP$9:$BP$508,$BP193,$BS$9:$BS$508,$BS193,$BU$9:$BU$508,$BU193,$BW$9:$BW$508,$BW193,$BY$9:$BY$508,"&lt;"&amp;$BY193)+1))</f>
        <v/>
      </c>
      <c r="CA193" s="124" t="str">
        <f aca="false">IF(ISBLANK($C193),"",IF($BL193&lt;&gt;Constants!$B$4,$BL193,$BQ193-$BZ193))</f>
        <v/>
      </c>
      <c r="CB193" s="130"/>
      <c r="CC193" s="131" t="str">
        <f aca="false">IF(ISBLANK($C193),"",IF($BL193=Constants!$B$8,$AR193,""))</f>
        <v/>
      </c>
      <c r="CD193" s="131" t="str">
        <f aca="false">IF(ISBLANK($C193),"",IF($BL193&lt;&gt;Constants!$B$4,"",IF($BB193="-&gt;",2,1)))</f>
        <v/>
      </c>
      <c r="CE193" s="132" t="str">
        <f aca="false">IF(ISBLANK($C193),"",IF($BL193&lt;&gt;Constants!$B$4,"",IF($BB193="-&gt;",$BE193,$AU193)))</f>
        <v/>
      </c>
      <c r="CF193" s="132" t="str">
        <f aca="false">IF(ISBLANK($C193),"",IF($BL193&lt;&gt;Constants!$B$4,"",IF($BB193="-&gt;",$BF193,$AV193)))</f>
        <v/>
      </c>
      <c r="CG193" s="132" t="str">
        <f aca="false">IF(ISBLANK($C193),"",IF($BL193&lt;&gt;Constants!$B$4,"",IF($BB193="-&gt;",$BG193,$AW193)))</f>
        <v/>
      </c>
      <c r="CH193" s="132" t="str">
        <f aca="false">IF(ISBLANK($C193),"",IF($BL193&lt;&gt;Constants!$B$4,"",IF($BB193="-&gt;",$BH193,$AX193)))</f>
        <v/>
      </c>
      <c r="CI193" s="133" t="str">
        <f aca="false">IF(ISBLANK($C193),"",$BO193)</f>
        <v/>
      </c>
      <c r="CJ193" s="134" t="str">
        <f aca="false">IF(ISBLANK($C193),"",$BM193)</f>
        <v/>
      </c>
      <c r="CK193" s="135" t="str">
        <f aca="false">IF(ISBLANK($C193),"",$CA193)</f>
        <v/>
      </c>
      <c r="CL193" s="135" t="str">
        <f aca="false">IF(ISBLANK($C193),"",$BZ193)</f>
        <v/>
      </c>
      <c r="CM193" s="136" t="str">
        <f aca="false">IF(ISBLANK($C193),"",IF($CL193=Constants!$B$7,COUNTA($C$9:$C$508)+2,IF($CL193=Constants!$B$6,COUNTA($C$9:$C$508)+1,IF($CL193=Constants!$B$5,COUNTA($C$9:$C$508),$CL193))))</f>
        <v/>
      </c>
      <c r="CN193" s="8"/>
      <c r="CO193" s="137" t="n">
        <f aca="false">IF(OR(ISNUMBER($CL193),$CL193=Constants!$B$7,$CL193=Constants!$B$5,$CL193=Constants!$B$6),1,0)</f>
        <v>0</v>
      </c>
      <c r="CP193" s="137" t="n">
        <v>185</v>
      </c>
      <c r="CQ193" s="137" t="str">
        <f aca="false">IF(ISBLANK($C193),"",IF(ISNUMBER($CM193),$CM193+ROW($B193)/1000,""))</f>
        <v/>
      </c>
      <c r="CR193" s="137" t="str">
        <f aca="false">IF(ISNUMBER($CQ193),RANK($CQ193,$CQ$9:$CQ$508,1),"")</f>
        <v/>
      </c>
      <c r="CS193" s="137" t="str">
        <f aca="false">IF(ISBLANK($C193),"",$B193)</f>
        <v/>
      </c>
      <c r="CT193" s="137" t="str">
        <f aca="false">IF(ISBLANK($C193),"",$C193)</f>
        <v/>
      </c>
      <c r="CU193" s="137" t="str">
        <f aca="false">IF(ISBLANK($C193),"",$D193)</f>
        <v/>
      </c>
      <c r="CV193" s="138" t="str">
        <f aca="false">$CJ193</f>
        <v/>
      </c>
      <c r="CW193" s="139" t="str">
        <f aca="false">$CI193</f>
        <v/>
      </c>
      <c r="CX193" s="137" t="str">
        <f aca="false">IF(ISBLANK($C193),"",$CL193)</f>
        <v/>
      </c>
      <c r="CY193" s="140" t="str">
        <f aca="false">IF($CP193&gt;$CO$8,"",VLOOKUP($CP193,$CR$9:$CX$508,7,FALSE()))</f>
        <v/>
      </c>
      <c r="CZ193" s="141" t="str">
        <f aca="false">IF($CP193&gt;$CO$8,"",VLOOKUP($CP193,$CR$9:$CX$508,2,FALSE()))</f>
        <v/>
      </c>
      <c r="DA193" s="141" t="str">
        <f aca="false">IF($CP193&gt;$CO$8,"",VLOOKUP($CP193,$CR$9:$CX$508,3,FALSE()))</f>
        <v/>
      </c>
      <c r="DB193" s="141" t="str">
        <f aca="false">IF($CP193&gt;$CO$8,"",VLOOKUP($CP193,$CR$9:$CX$508,4,FALSE()))</f>
        <v/>
      </c>
      <c r="DC193" s="141" t="str">
        <f aca="false">IF($CP193&gt;$CO$8,"",VLOOKUP($CP193,$CR$9:$CX$508,5,FALSE()))</f>
        <v/>
      </c>
      <c r="DD193" s="142" t="str">
        <f aca="false">IF($CP193&gt;$CO$8,"",VLOOKUP($CP193,$CR$9:$CX$508,6,FALSE()))</f>
        <v/>
      </c>
      <c r="DE193" s="70"/>
    </row>
    <row r="194" customFormat="false" ht="15.75" hidden="false" customHeight="false" outlineLevel="0" collapsed="false">
      <c r="A194" s="8"/>
      <c r="B194" s="146"/>
      <c r="C194" s="147"/>
      <c r="D194" s="148"/>
      <c r="E194" s="164"/>
      <c r="F194" s="150"/>
      <c r="G194" s="115"/>
      <c r="H194" s="115"/>
      <c r="I194" s="115"/>
      <c r="J194" s="165"/>
      <c r="K194" s="154"/>
      <c r="L194" s="154"/>
      <c r="M194" s="118"/>
      <c r="N194" s="154"/>
      <c r="O194" s="153"/>
      <c r="P194" s="154"/>
      <c r="Q194" s="154"/>
      <c r="R194" s="154"/>
      <c r="S194" s="115"/>
      <c r="T194" s="154"/>
      <c r="U194" s="153"/>
      <c r="V194" s="154"/>
      <c r="W194" s="123"/>
      <c r="X194" s="124" t="str">
        <f aca="false">IF(ISBLANK($C194),"",IF($E194=Constants!$B$2,TRUE(),IF($E194=Constants!$B$3,FALSE(),TRUE())))</f>
        <v/>
      </c>
      <c r="Y194" s="124" t="str">
        <f aca="false">IF(ISBLANK($C194),"",IF($F194=Constants!$B$2,TRUE(),IF($F194=Constants!$B$3,FALSE(),TRUE())))</f>
        <v/>
      </c>
      <c r="Z194" s="125" t="str">
        <f aca="false">IF(ISBLANK($C194),"",IF(ISNUMBER($G194),IF($G194&gt;=0,$G194,""),""))</f>
        <v/>
      </c>
      <c r="AA194" s="125" t="str">
        <f aca="false">IF(ISBLANK($C194),"",IF(ISNUMBER($H194),IF($H194&gt;=0,$H194,""),""))</f>
        <v/>
      </c>
      <c r="AB194" s="125" t="str">
        <f aca="false">IF(ISBLANK($C194),"",IF(ISNUMBER($I194),IF($I194&gt;=0,$I194,""),""))</f>
        <v/>
      </c>
      <c r="AC194" s="124" t="str">
        <f aca="false">IF(ISBLANK($C194),"",IF($J194=Constants!$B$2,TRUE(),IF($J194=Constants!$B$3,FALSE(),TRUE())))</f>
        <v/>
      </c>
      <c r="AD194" s="124" t="str">
        <f aca="false">IF(ISBLANK($C194),"",IF($K194=Constants!$B$2,TRUE(),IF($K194=Constants!$B$3,FALSE(),TRUE())))</f>
        <v/>
      </c>
      <c r="AE194" s="124" t="str">
        <f aca="false">IF(ISBLANK($C194),"",IF($L194=Constants!$B$2,TRUE(),IF($L194=Constants!$B$3,FALSE(),TRUE())))</f>
        <v/>
      </c>
      <c r="AF194" s="126" t="str">
        <f aca="false">IF(ISBLANK($C194),"",IF(ISNUMBER($M194),IF($M194&gt;=0,$M194,""),""))</f>
        <v/>
      </c>
      <c r="AG194" s="124" t="str">
        <f aca="false">IF(ISBLANK($C194),"",IF(ISBLANK($N194),0,IF(ISNUMBER($N194),IF(AND($N194&gt;=0,$N194&lt;=Constants!$B$17,$N194=INT($N194)),$N194,""),"")))</f>
        <v/>
      </c>
      <c r="AH194" s="125" t="str">
        <f aca="false">IF(ISBLANK($C194),"",IF(ISBLANK($O194),0,IF(ISNUMBER($O194),IF($O194&gt;=0,$O194,""),"")))</f>
        <v/>
      </c>
      <c r="AI194" s="124" t="str">
        <f aca="false">IF(ISBLANK($C194),"",IF($P194=Constants!$B$2,TRUE(),IF($P194=Constants!$B$3,FALSE(),TRUE())))</f>
        <v/>
      </c>
      <c r="AJ194" s="124" t="str">
        <f aca="false">IF(ISBLANK($C194),"",IF($Q194=Constants!$B$2,TRUE(),IF($Q194=Constants!$B$3,FALSE(),TRUE())))</f>
        <v/>
      </c>
      <c r="AK194" s="124" t="str">
        <f aca="false">IF(ISBLANK($C194),"",IF($R194=Constants!$B$2,TRUE(),IF($R194=Constants!$B$3,FALSE(),TRUE())))</f>
        <v/>
      </c>
      <c r="AL194" s="126" t="str">
        <f aca="false">IF(ISBLANK($C194),"",IF(ISNUMBER($S194),IF($S194&gt;=0,$S194,""),""))</f>
        <v/>
      </c>
      <c r="AM194" s="124" t="str">
        <f aca="false">IF(ISBLANK($C194),"",IF(ISBLANK($T194),0,IF(ISNUMBER($T194),IF(AND($T194&gt;=0,$T194&lt;=Constants!$B$17,$T194=INT($T194)),$T194,""),"")))</f>
        <v/>
      </c>
      <c r="AN194" s="125" t="str">
        <f aca="false">IF(ISBLANK($C194),"",IF(ISBLANK($U194),0,IF(ISNUMBER($U194),IF($U194&gt;=0,$U194,""),"")))</f>
        <v/>
      </c>
      <c r="AO194" s="124" t="str">
        <f aca="false">IF(ISBLANK($C194),"",IF($V194=Constants!$B$2,TRUE(),IF($V194=Constants!$B$3,FALSE(),FALSE())))</f>
        <v/>
      </c>
      <c r="AP194" s="124"/>
      <c r="AQ194" s="123" t="str">
        <f aca="false">IF(ISBLANK($C194),"",AND($Y194,OR($AS194,$BC194),OR($Z194="",$AA194="",$AB194="")))</f>
        <v/>
      </c>
      <c r="AR194" s="123" t="str">
        <f aca="false">IF(ISBLANK($C194),"",IF(OR(NOT($Y194),NOT(OR($AS194,$BC194))),"",IF(ISBLANK($D$7),$AR$5,IF($AP$9="",$AR$6,""))))</f>
        <v/>
      </c>
      <c r="AS194" s="123" t="str">
        <f aca="false">IF(ISBLANK($C194),"",COUNTA($J194:$O194)&gt;0)</f>
        <v/>
      </c>
      <c r="AT194" s="123" t="str">
        <f aca="false">IF(ISBLANK($C194),"",AND($AS194,OR(AND($AF194="",OR($AE194,NOT(ISBLANK($M194)))),$AG194="",$AH194="")))</f>
        <v/>
      </c>
      <c r="AU194" s="125" t="str">
        <f aca="false">IF($BL194&lt;&gt;Constants!$B$4,"",IF(NOT($AS194),"",ROUND((Constants!$B$12-$AB194)+(Constants!$B$13-$Z194)+(Constants!$B$14-$AA194),1)))</f>
        <v/>
      </c>
      <c r="AV194" s="127" t="str">
        <f aca="false">IF($BL194&lt;&gt;Constants!$B$4,"",IF(NOT($AS194),"",IF(NOT($AE194),0,Constants!$B$15*(INT(ROUND(MIN($AF194,$AP$9),6))-INT(ROUND(MAX(0,MIN($AF194,2*$AP$9)-$AP$9),6))))))</f>
        <v/>
      </c>
      <c r="AW194" s="127" t="str">
        <f aca="false">IF($BL194&lt;&gt;Constants!$B$4,"",IF(NOT($AS194),"",Constants!$B$16*$AG194))</f>
        <v/>
      </c>
      <c r="AX194" s="127" t="str">
        <f aca="false">IF($BL194&lt;&gt;Constants!$B$4,"",IF(NOT($AS194),"",Constants!$B$18*INT(ROUND($AH194,6))))</f>
        <v/>
      </c>
      <c r="AY194" s="123" t="str">
        <f aca="false">IF($BL194&lt;&gt;Constants!$B$4,"",IF(NOT($AS194),"",IF(NOT($X194),Constants!$B$11,IF(OR(NOT($AC194),NOT($AD194),ROUND($AB194,1)&gt;Constants!$B$12,ROUND($Z194,1)&gt;Constants!$B$13,ROUND($AA194,1)&gt;Constants!$B$14),Constants!$B$10,Constants!$B$9))))</f>
        <v/>
      </c>
      <c r="AZ194" s="128" t="str">
        <f aca="false">IF($BL194&lt;&gt;Constants!$B$4,"",IF(NOT($AS194),"",ROUND($AU194+$AV194+$AW194+$AX194,1)))</f>
        <v/>
      </c>
      <c r="BA194" s="129" t="str">
        <f aca="false">IF($BL194&lt;&gt;Constants!$B$4,"",IF(NOT($AS194),"",IF(ISNUMBER($AF194),$AF194,0)))</f>
        <v/>
      </c>
      <c r="BB194" s="124" t="str">
        <f aca="false">IF($BL194&lt;&gt;Constants!$B$4,"",IF(NOT($BC194),"&lt;-",IF(NOT($AS194),"-&gt;",IF(OR($BI194&lt;$AY194,AND($BI194=$AY194,OR($BJ194&gt;$AZ194,AND($BJ194=$AZ194,OR($BH194&gt;$AX194,AND($BH194=$AX194,OR($BE194&gt;$AU194,AND($BE194=$AU194,OR($BF194&gt;$AV194,AND($BF194=$AV194,$BK194&gt;$BA194)))))))))),"-&gt;","&lt;-"))))</f>
        <v/>
      </c>
      <c r="BC194" s="123" t="str">
        <f aca="false">IF(ISBLANK($C194),"",COUNTA($P194:$U194)&gt;0)</f>
        <v/>
      </c>
      <c r="BD194" s="123" t="str">
        <f aca="false">IF(ISBLANK($C194),"",AND($BC194,OR(AND($AL194="",OR($AK194,NOT(ISBLANK($S194)))),$AM194="",$AN194="")))</f>
        <v/>
      </c>
      <c r="BE194" s="125" t="str">
        <f aca="false">IF($BL194&lt;&gt;Constants!$B$4,"",IF(NOT($BC194),"",ROUND((Constants!$B$12-$AB194)+(Constants!$B$13-$Z194)+(Constants!$B$14-$AA194),1)))</f>
        <v/>
      </c>
      <c r="BF194" s="127" t="str">
        <f aca="false">IF($BL194&lt;&gt;Constants!$B$4,"",IF(NOT($BC194),"",IF(NOT($AK194),0,Constants!$B$15*(INT(ROUND(MIN($AL194,$AP$9),6))-INT(ROUND(MAX(0,MIN($AL194,2*$AP$9)-$AP$9),6))))))</f>
        <v/>
      </c>
      <c r="BG194" s="127" t="str">
        <f aca="false">IF($BL194&lt;&gt;Constants!$B$4,"",IF(NOT($BC194),"",Constants!$B$16*$AM194))</f>
        <v/>
      </c>
      <c r="BH194" s="127" t="str">
        <f aca="false">IF($BL194&lt;&gt;Constants!$B$4,"",IF(NOT($BC194),"",Constants!$B$18*INT(ROUND($AN194,6))))</f>
        <v/>
      </c>
      <c r="BI194" s="123" t="str">
        <f aca="false">IF($BL194&lt;&gt;Constants!$B$4,"",IF(NOT($BC194),"",IF(NOT($X194),Constants!$B$11,IF(OR(NOT($AI194),NOT($AJ194),ROUND($AB194,1)&gt;Constants!$B$12,ROUND($Z194,1)&gt;Constants!$B$13,ROUND($AA194,1)&gt;Constants!$B$14),Constants!$B$10,Constants!$B$9))))</f>
        <v/>
      </c>
      <c r="BJ194" s="128" t="str">
        <f aca="false">IF($BL194&lt;&gt;Constants!$B$4,"",IF(NOT($BC194),"",ROUND($BE194+$BF194+$BG194+$BH194,1)))</f>
        <v/>
      </c>
      <c r="BK194" s="129" t="str">
        <f aca="false">IF($BL194&lt;&gt;Constants!$B$4,"",IF(NOT($BC194),"",IF(ISNUMBER($AL194),$AL194,0)))</f>
        <v/>
      </c>
      <c r="BL194" s="124" t="str">
        <f aca="false">IF(ISBLANK($C194),"",IF($AO194,Constants!$B$7,IF(COUNTA($E194:$V194)=0,Constants!$B$6,IF(NOT($Y194),Constants!$B$5,IF(NOT(OR($AS194,$BC194)),Constants!$B$5,IF(OR($AT194,$BD194,$AQ194,$AR194&lt;&gt;""),Constants!$B$8,Constants!$B$4))))))</f>
        <v/>
      </c>
      <c r="BM194" s="124" t="str">
        <f aca="false">IF(ISBLANK($C194),"",IF($BL194&lt;&gt;Constants!$B$4,$BL194,IF($BB194="-&gt;",$BI194,$AY194)))</f>
        <v/>
      </c>
      <c r="BN194" s="127" t="str">
        <f aca="false">IF($BL194&lt;&gt;Constants!$B$4,"",IF($BB194="-&gt;",$BJ194,$AZ194))</f>
        <v/>
      </c>
      <c r="BO194" s="127" t="str">
        <f aca="false">IF(ISBLANK($C194),"",IF($BL194&lt;&gt;Constants!$B$4,$BL194,$BN194))</f>
        <v/>
      </c>
      <c r="BP194" s="124" t="str">
        <f aca="false">IF(ISBLANK($C194),"",IF($BL194&lt;&gt;Constants!$B$4,$BL194,RANK($BO194,$BO$9:$BO$508,0)))</f>
        <v/>
      </c>
      <c r="BQ194" s="124" t="str">
        <f aca="false">IF(ISBLANK($C194),"",IF($BL194&lt;&gt;Constants!$B$4,$BL194,COUNTIFS($BM$9:$BM$508,"&lt;"&amp;$BM194)+COUNTIFS($BM$9:$BM$508,$BM194,$BP$9:$BP$508,"&lt;"&amp;$BP194)+1))</f>
        <v/>
      </c>
      <c r="BR194" s="127" t="str">
        <f aca="false">IF($BL194&lt;&gt;Constants!$B$4,"",IF($BB194="-&gt;",$BH194,$AX194))</f>
        <v/>
      </c>
      <c r="BS194" s="124" t="str">
        <f aca="false">IF(ISBLANK($C194),"",IF($BL194&lt;&gt;Constants!$B$4,$BL194,IF(ISNUMBER($BR194),RANK($BR194,$BR$9:$BR$508,0),COUNT($BR$9:$BR$508)+1)))</f>
        <v/>
      </c>
      <c r="BT194" s="127" t="str">
        <f aca="false">IF($BL194&lt;&gt;Constants!$B$4,"",IF($BB194="-&gt;",$BE194,$AU194))</f>
        <v/>
      </c>
      <c r="BU194" s="124" t="str">
        <f aca="false">IF(ISBLANK($C194),"",IF($BL194&lt;&gt;Constants!$B$4,$BL194,IF(ISNUMBER($BT194),RANK($BT194,$BT$9:$BT$508,0),COUNT($BT$9:$BT$508)+1)))</f>
        <v/>
      </c>
      <c r="BV194" s="127" t="str">
        <f aca="false">IF($BL194&lt;&gt;Constants!$B$4,"",IF($BB194="-&gt;",$BF194,$AV194))</f>
        <v/>
      </c>
      <c r="BW194" s="124" t="str">
        <f aca="false">IF(ISBLANK($C194),"",IF($BL194&lt;&gt;Constants!$B$4,$BL194,IF(ISNUMBER($BV194),RANK($BV194,$BV$9:$BV$508,0),COUNT($BV$9:$BV$508)+1)))</f>
        <v/>
      </c>
      <c r="BX194" s="127" t="str">
        <f aca="false">IF($BL194&lt;&gt;Constants!$B$4,"",IF($BB194="-&gt;",$BK194,$BA194))</f>
        <v/>
      </c>
      <c r="BY194" s="124" t="str">
        <f aca="false">IF(ISBLANK($C194),"",IF($BL194&lt;&gt;Constants!$B$4,$BL194,IF(ISNUMBER($BX194),RANK($BX194,$BX$9:$BX$508,0),COUNT($BX$9:$BX$508)+1)))</f>
        <v/>
      </c>
      <c r="BZ194" s="124" t="str">
        <f aca="false">IF(ISBLANK($C194),"",IF($BL194&lt;&gt;Constants!$B$4,$BL194,COUNTIFS($BM$9:$BM$508,"&lt;"&amp;$BM194)+COUNTIFS($BM$9:$BM$508,$BM194,$BP$9:$BP$508,"&lt;"&amp;$BP194)+COUNTIFS($BM$9:$BM$508,$BM194,$BP$9:$BP$508,$BP194,$BS$9:$BS$508,"&lt;"&amp;$BS194)+COUNTIFS($BM$9:$BM$508,$BM194,$BP$9:$BP$508,$BP194,$BS$9:$BS$508,$BS194,$BU$9:$BU$508,"&lt;"&amp;$BU194)+COUNTIFS($BM$9:$BM$508,$BM194,$BP$9:$BP$508,$BP194,$BS$9:$BS$508,$BS194,$BU$9:$BU$508,$BU194,$BW$9:$BW$508,"&lt;"&amp;$BW194)+COUNTIFS($BM$9:$BM$508,$BM194,$BP$9:$BP$508,$BP194,$BS$9:$BS$508,$BS194,$BU$9:$BU$508,$BU194,$BW$9:$BW$508,$BW194,$BY$9:$BY$508,"&lt;"&amp;$BY194)+1))</f>
        <v/>
      </c>
      <c r="CA194" s="124" t="str">
        <f aca="false">IF(ISBLANK($C194),"",IF($BL194&lt;&gt;Constants!$B$4,$BL194,$BQ194-$BZ194))</f>
        <v/>
      </c>
      <c r="CB194" s="130"/>
      <c r="CC194" s="131" t="str">
        <f aca="false">IF(ISBLANK($C194),"",IF($BL194=Constants!$B$8,$AR194,""))</f>
        <v/>
      </c>
      <c r="CD194" s="131" t="str">
        <f aca="false">IF(ISBLANK($C194),"",IF($BL194&lt;&gt;Constants!$B$4,"",IF($BB194="-&gt;",2,1)))</f>
        <v/>
      </c>
      <c r="CE194" s="132" t="str">
        <f aca="false">IF(ISBLANK($C194),"",IF($BL194&lt;&gt;Constants!$B$4,"",IF($BB194="-&gt;",$BE194,$AU194)))</f>
        <v/>
      </c>
      <c r="CF194" s="132" t="str">
        <f aca="false">IF(ISBLANK($C194),"",IF($BL194&lt;&gt;Constants!$B$4,"",IF($BB194="-&gt;",$BF194,$AV194)))</f>
        <v/>
      </c>
      <c r="CG194" s="132" t="str">
        <f aca="false">IF(ISBLANK($C194),"",IF($BL194&lt;&gt;Constants!$B$4,"",IF($BB194="-&gt;",$BG194,$AW194)))</f>
        <v/>
      </c>
      <c r="CH194" s="132" t="str">
        <f aca="false">IF(ISBLANK($C194),"",IF($BL194&lt;&gt;Constants!$B$4,"",IF($BB194="-&gt;",$BH194,$AX194)))</f>
        <v/>
      </c>
      <c r="CI194" s="133" t="str">
        <f aca="false">IF(ISBLANK($C194),"",$BO194)</f>
        <v/>
      </c>
      <c r="CJ194" s="134" t="str">
        <f aca="false">IF(ISBLANK($C194),"",$BM194)</f>
        <v/>
      </c>
      <c r="CK194" s="135" t="str">
        <f aca="false">IF(ISBLANK($C194),"",$CA194)</f>
        <v/>
      </c>
      <c r="CL194" s="135" t="str">
        <f aca="false">IF(ISBLANK($C194),"",$BZ194)</f>
        <v/>
      </c>
      <c r="CM194" s="136" t="str">
        <f aca="false">IF(ISBLANK($C194),"",IF($CL194=Constants!$B$7,COUNTA($C$9:$C$508)+2,IF($CL194=Constants!$B$6,COUNTA($C$9:$C$508)+1,IF($CL194=Constants!$B$5,COUNTA($C$9:$C$508),$CL194))))</f>
        <v/>
      </c>
      <c r="CN194" s="8"/>
      <c r="CO194" s="137" t="n">
        <f aca="false">IF(OR(ISNUMBER($CL194),$CL194=Constants!$B$7,$CL194=Constants!$B$5,$CL194=Constants!$B$6),1,0)</f>
        <v>0</v>
      </c>
      <c r="CP194" s="137" t="n">
        <v>186</v>
      </c>
      <c r="CQ194" s="137" t="str">
        <f aca="false">IF(ISBLANK($C194),"",IF(ISNUMBER($CM194),$CM194+ROW($B194)/1000,""))</f>
        <v/>
      </c>
      <c r="CR194" s="137" t="str">
        <f aca="false">IF(ISNUMBER($CQ194),RANK($CQ194,$CQ$9:$CQ$508,1),"")</f>
        <v/>
      </c>
      <c r="CS194" s="137" t="str">
        <f aca="false">IF(ISBLANK($C194),"",$B194)</f>
        <v/>
      </c>
      <c r="CT194" s="137" t="str">
        <f aca="false">IF(ISBLANK($C194),"",$C194)</f>
        <v/>
      </c>
      <c r="CU194" s="137" t="str">
        <f aca="false">IF(ISBLANK($C194),"",$D194)</f>
        <v/>
      </c>
      <c r="CV194" s="138" t="str">
        <f aca="false">$CJ194</f>
        <v/>
      </c>
      <c r="CW194" s="139" t="str">
        <f aca="false">$CI194</f>
        <v/>
      </c>
      <c r="CX194" s="137" t="str">
        <f aca="false">IF(ISBLANK($C194),"",$CL194)</f>
        <v/>
      </c>
      <c r="CY194" s="140" t="str">
        <f aca="false">IF($CP194&gt;$CO$8,"",VLOOKUP($CP194,$CR$9:$CX$508,7,FALSE()))</f>
        <v/>
      </c>
      <c r="CZ194" s="141" t="str">
        <f aca="false">IF($CP194&gt;$CO$8,"",VLOOKUP($CP194,$CR$9:$CX$508,2,FALSE()))</f>
        <v/>
      </c>
      <c r="DA194" s="141" t="str">
        <f aca="false">IF($CP194&gt;$CO$8,"",VLOOKUP($CP194,$CR$9:$CX$508,3,FALSE()))</f>
        <v/>
      </c>
      <c r="DB194" s="141" t="str">
        <f aca="false">IF($CP194&gt;$CO$8,"",VLOOKUP($CP194,$CR$9:$CX$508,4,FALSE()))</f>
        <v/>
      </c>
      <c r="DC194" s="141" t="str">
        <f aca="false">IF($CP194&gt;$CO$8,"",VLOOKUP($CP194,$CR$9:$CX$508,5,FALSE()))</f>
        <v/>
      </c>
      <c r="DD194" s="142" t="str">
        <f aca="false">IF($CP194&gt;$CO$8,"",VLOOKUP($CP194,$CR$9:$CX$508,6,FALSE()))</f>
        <v/>
      </c>
      <c r="DE194" s="70"/>
    </row>
    <row r="195" customFormat="false" ht="15.75" hidden="false" customHeight="false" outlineLevel="0" collapsed="false">
      <c r="A195" s="8"/>
      <c r="B195" s="72"/>
      <c r="C195" s="73"/>
      <c r="D195" s="155"/>
      <c r="E195" s="162"/>
      <c r="F195" s="157"/>
      <c r="G195" s="77"/>
      <c r="H195" s="77"/>
      <c r="I195" s="77"/>
      <c r="J195" s="163"/>
      <c r="K195" s="161"/>
      <c r="L195" s="161"/>
      <c r="M195" s="80"/>
      <c r="N195" s="161"/>
      <c r="O195" s="160"/>
      <c r="P195" s="161"/>
      <c r="Q195" s="161"/>
      <c r="R195" s="161"/>
      <c r="S195" s="77"/>
      <c r="T195" s="161"/>
      <c r="U195" s="160"/>
      <c r="V195" s="161"/>
      <c r="W195" s="85"/>
      <c r="X195" s="86" t="str">
        <f aca="false">IF(ISBLANK($C195),"",IF($E195=Constants!$B$2,TRUE(),IF($E195=Constants!$B$3,FALSE(),TRUE())))</f>
        <v/>
      </c>
      <c r="Y195" s="86" t="str">
        <f aca="false">IF(ISBLANK($C195),"",IF($F195=Constants!$B$2,TRUE(),IF($F195=Constants!$B$3,FALSE(),TRUE())))</f>
        <v/>
      </c>
      <c r="Z195" s="87" t="str">
        <f aca="false">IF(ISBLANK($C195),"",IF(ISNUMBER($G195),IF($G195&gt;=0,$G195,""),""))</f>
        <v/>
      </c>
      <c r="AA195" s="87" t="str">
        <f aca="false">IF(ISBLANK($C195),"",IF(ISNUMBER($H195),IF($H195&gt;=0,$H195,""),""))</f>
        <v/>
      </c>
      <c r="AB195" s="87" t="str">
        <f aca="false">IF(ISBLANK($C195),"",IF(ISNUMBER($I195),IF($I195&gt;=0,$I195,""),""))</f>
        <v/>
      </c>
      <c r="AC195" s="86" t="str">
        <f aca="false">IF(ISBLANK($C195),"",IF($J195=Constants!$B$2,TRUE(),IF($J195=Constants!$B$3,FALSE(),TRUE())))</f>
        <v/>
      </c>
      <c r="AD195" s="86" t="str">
        <f aca="false">IF(ISBLANK($C195),"",IF($K195=Constants!$B$2,TRUE(),IF($K195=Constants!$B$3,FALSE(),TRUE())))</f>
        <v/>
      </c>
      <c r="AE195" s="86" t="str">
        <f aca="false">IF(ISBLANK($C195),"",IF($L195=Constants!$B$2,TRUE(),IF($L195=Constants!$B$3,FALSE(),TRUE())))</f>
        <v/>
      </c>
      <c r="AF195" s="88" t="str">
        <f aca="false">IF(ISBLANK($C195),"",IF(ISNUMBER($M195),IF($M195&gt;=0,$M195,""),""))</f>
        <v/>
      </c>
      <c r="AG195" s="86" t="str">
        <f aca="false">IF(ISBLANK($C195),"",IF(ISBLANK($N195),0,IF(ISNUMBER($N195),IF(AND($N195&gt;=0,$N195&lt;=Constants!$B$17,$N195=INT($N195)),$N195,""),"")))</f>
        <v/>
      </c>
      <c r="AH195" s="87" t="str">
        <f aca="false">IF(ISBLANK($C195),"",IF(ISBLANK($O195),0,IF(ISNUMBER($O195),IF($O195&gt;=0,$O195,""),"")))</f>
        <v/>
      </c>
      <c r="AI195" s="86" t="str">
        <f aca="false">IF(ISBLANK($C195),"",IF($P195=Constants!$B$2,TRUE(),IF($P195=Constants!$B$3,FALSE(),TRUE())))</f>
        <v/>
      </c>
      <c r="AJ195" s="86" t="str">
        <f aca="false">IF(ISBLANK($C195),"",IF($Q195=Constants!$B$2,TRUE(),IF($Q195=Constants!$B$3,FALSE(),TRUE())))</f>
        <v/>
      </c>
      <c r="AK195" s="86" t="str">
        <f aca="false">IF(ISBLANK($C195),"",IF($R195=Constants!$B$2,TRUE(),IF($R195=Constants!$B$3,FALSE(),TRUE())))</f>
        <v/>
      </c>
      <c r="AL195" s="88" t="str">
        <f aca="false">IF(ISBLANK($C195),"",IF(ISNUMBER($S195),IF($S195&gt;=0,$S195,""),""))</f>
        <v/>
      </c>
      <c r="AM195" s="86" t="str">
        <f aca="false">IF(ISBLANK($C195),"",IF(ISBLANK($T195),0,IF(ISNUMBER($T195),IF(AND($T195&gt;=0,$T195&lt;=Constants!$B$17,$T195=INT($T195)),$T195,""),"")))</f>
        <v/>
      </c>
      <c r="AN195" s="87" t="str">
        <f aca="false">IF(ISBLANK($C195),"",IF(ISBLANK($U195),0,IF(ISNUMBER($U195),IF($U195&gt;=0,$U195,""),"")))</f>
        <v/>
      </c>
      <c r="AO195" s="86" t="str">
        <f aca="false">IF(ISBLANK($C195),"",IF($V195=Constants!$B$2,TRUE(),IF($V195=Constants!$B$3,FALSE(),FALSE())))</f>
        <v/>
      </c>
      <c r="AP195" s="86"/>
      <c r="AQ195" s="85" t="str">
        <f aca="false">IF(ISBLANK($C195),"",AND($Y195,OR($AS195,$BC195),OR($Z195="",$AA195="",$AB195="")))</f>
        <v/>
      </c>
      <c r="AR195" s="85" t="str">
        <f aca="false">IF(ISBLANK($C195),"",IF(OR(NOT($Y195),NOT(OR($AS195,$BC195))),"",IF(ISBLANK($D$7),$AR$5,IF($AP$9="",$AR$6,""))))</f>
        <v/>
      </c>
      <c r="AS195" s="85" t="str">
        <f aca="false">IF(ISBLANK($C195),"",COUNTA($J195:$O195)&gt;0)</f>
        <v/>
      </c>
      <c r="AT195" s="85" t="str">
        <f aca="false">IF(ISBLANK($C195),"",AND($AS195,OR(AND($AF195="",OR($AE195,NOT(ISBLANK($M195)))),$AG195="",$AH195="")))</f>
        <v/>
      </c>
      <c r="AU195" s="87" t="str">
        <f aca="false">IF($BL195&lt;&gt;Constants!$B$4,"",IF(NOT($AS195),"",ROUND((Constants!$B$12-$AB195)+(Constants!$B$13-$Z195)+(Constants!$B$14-$AA195),1)))</f>
        <v/>
      </c>
      <c r="AV195" s="90" t="str">
        <f aca="false">IF($BL195&lt;&gt;Constants!$B$4,"",IF(NOT($AS195),"",IF(NOT($AE195),0,Constants!$B$15*(INT(ROUND(MIN($AF195,$AP$9),6))-INT(ROUND(MAX(0,MIN($AF195,2*$AP$9)-$AP$9),6))))))</f>
        <v/>
      </c>
      <c r="AW195" s="90" t="str">
        <f aca="false">IF($BL195&lt;&gt;Constants!$B$4,"",IF(NOT($AS195),"",Constants!$B$16*$AG195))</f>
        <v/>
      </c>
      <c r="AX195" s="90" t="str">
        <f aca="false">IF($BL195&lt;&gt;Constants!$B$4,"",IF(NOT($AS195),"",Constants!$B$18*INT(ROUND($AH195,6))))</f>
        <v/>
      </c>
      <c r="AY195" s="85" t="str">
        <f aca="false">IF($BL195&lt;&gt;Constants!$B$4,"",IF(NOT($AS195),"",IF(NOT($X195),Constants!$B$11,IF(OR(NOT($AC195),NOT($AD195),ROUND($AB195,1)&gt;Constants!$B$12,ROUND($Z195,1)&gt;Constants!$B$13,ROUND($AA195,1)&gt;Constants!$B$14),Constants!$B$10,Constants!$B$9))))</f>
        <v/>
      </c>
      <c r="AZ195" s="91" t="str">
        <f aca="false">IF($BL195&lt;&gt;Constants!$B$4,"",IF(NOT($AS195),"",ROUND($AU195+$AV195+$AW195+$AX195,1)))</f>
        <v/>
      </c>
      <c r="BA195" s="92" t="str">
        <f aca="false">IF($BL195&lt;&gt;Constants!$B$4,"",IF(NOT($AS195),"",IF(ISNUMBER($AF195),$AF195,0)))</f>
        <v/>
      </c>
      <c r="BB195" s="86" t="str">
        <f aca="false">IF($BL195&lt;&gt;Constants!$B$4,"",IF(NOT($BC195),"&lt;-",IF(NOT($AS195),"-&gt;",IF(OR($BI195&lt;$AY195,AND($BI195=$AY195,OR($BJ195&gt;$AZ195,AND($BJ195=$AZ195,OR($BH195&gt;$AX195,AND($BH195=$AX195,OR($BE195&gt;$AU195,AND($BE195=$AU195,OR($BF195&gt;$AV195,AND($BF195=$AV195,$BK195&gt;$BA195)))))))))),"-&gt;","&lt;-"))))</f>
        <v/>
      </c>
      <c r="BC195" s="85" t="str">
        <f aca="false">IF(ISBLANK($C195),"",COUNTA($P195:$U195)&gt;0)</f>
        <v/>
      </c>
      <c r="BD195" s="85" t="str">
        <f aca="false">IF(ISBLANK($C195),"",AND($BC195,OR(AND($AL195="",OR($AK195,NOT(ISBLANK($S195)))),$AM195="",$AN195="")))</f>
        <v/>
      </c>
      <c r="BE195" s="87" t="str">
        <f aca="false">IF($BL195&lt;&gt;Constants!$B$4,"",IF(NOT($BC195),"",ROUND((Constants!$B$12-$AB195)+(Constants!$B$13-$Z195)+(Constants!$B$14-$AA195),1)))</f>
        <v/>
      </c>
      <c r="BF195" s="90" t="str">
        <f aca="false">IF($BL195&lt;&gt;Constants!$B$4,"",IF(NOT($BC195),"",IF(NOT($AK195),0,Constants!$B$15*(INT(ROUND(MIN($AL195,$AP$9),6))-INT(ROUND(MAX(0,MIN($AL195,2*$AP$9)-$AP$9),6))))))</f>
        <v/>
      </c>
      <c r="BG195" s="90" t="str">
        <f aca="false">IF($BL195&lt;&gt;Constants!$B$4,"",IF(NOT($BC195),"",Constants!$B$16*$AM195))</f>
        <v/>
      </c>
      <c r="BH195" s="90" t="str">
        <f aca="false">IF($BL195&lt;&gt;Constants!$B$4,"",IF(NOT($BC195),"",Constants!$B$18*INT(ROUND($AN195,6))))</f>
        <v/>
      </c>
      <c r="BI195" s="85" t="str">
        <f aca="false">IF($BL195&lt;&gt;Constants!$B$4,"",IF(NOT($BC195),"",IF(NOT($X195),Constants!$B$11,IF(OR(NOT($AI195),NOT($AJ195),ROUND($AB195,1)&gt;Constants!$B$12,ROUND($Z195,1)&gt;Constants!$B$13,ROUND($AA195,1)&gt;Constants!$B$14),Constants!$B$10,Constants!$B$9))))</f>
        <v/>
      </c>
      <c r="BJ195" s="91" t="str">
        <f aca="false">IF($BL195&lt;&gt;Constants!$B$4,"",IF(NOT($BC195),"",ROUND($BE195+$BF195+$BG195+$BH195,1)))</f>
        <v/>
      </c>
      <c r="BK195" s="92" t="str">
        <f aca="false">IF($BL195&lt;&gt;Constants!$B$4,"",IF(NOT($BC195),"",IF(ISNUMBER($AL195),$AL195,0)))</f>
        <v/>
      </c>
      <c r="BL195" s="86" t="str">
        <f aca="false">IF(ISBLANK($C195),"",IF($AO195,Constants!$B$7,IF(COUNTA($E195:$V195)=0,Constants!$B$6,IF(NOT($Y195),Constants!$B$5,IF(NOT(OR($AS195,$BC195)),Constants!$B$5,IF(OR($AT195,$BD195,$AQ195,$AR195&lt;&gt;""),Constants!$B$8,Constants!$B$4))))))</f>
        <v/>
      </c>
      <c r="BM195" s="86" t="str">
        <f aca="false">IF(ISBLANK($C195),"",IF($BL195&lt;&gt;Constants!$B$4,$BL195,IF($BB195="-&gt;",$BI195,$AY195)))</f>
        <v/>
      </c>
      <c r="BN195" s="90" t="str">
        <f aca="false">IF($BL195&lt;&gt;Constants!$B$4,"",IF($BB195="-&gt;",$BJ195,$AZ195))</f>
        <v/>
      </c>
      <c r="BO195" s="90" t="str">
        <f aca="false">IF(ISBLANK($C195),"",IF($BL195&lt;&gt;Constants!$B$4,$BL195,$BN195))</f>
        <v/>
      </c>
      <c r="BP195" s="86" t="str">
        <f aca="false">IF(ISBLANK($C195),"",IF($BL195&lt;&gt;Constants!$B$4,$BL195,RANK($BO195,$BO$9:$BO$508,0)))</f>
        <v/>
      </c>
      <c r="BQ195" s="86" t="str">
        <f aca="false">IF(ISBLANK($C195),"",IF($BL195&lt;&gt;Constants!$B$4,$BL195,COUNTIFS($BM$9:$BM$508,"&lt;"&amp;$BM195)+COUNTIFS($BM$9:$BM$508,$BM195,$BP$9:$BP$508,"&lt;"&amp;$BP195)+1))</f>
        <v/>
      </c>
      <c r="BR195" s="90" t="str">
        <f aca="false">IF($BL195&lt;&gt;Constants!$B$4,"",IF($BB195="-&gt;",$BH195,$AX195))</f>
        <v/>
      </c>
      <c r="BS195" s="86" t="str">
        <f aca="false">IF(ISBLANK($C195),"",IF($BL195&lt;&gt;Constants!$B$4,$BL195,IF(ISNUMBER($BR195),RANK($BR195,$BR$9:$BR$508,0),COUNT($BR$9:$BR$508)+1)))</f>
        <v/>
      </c>
      <c r="BT195" s="90" t="str">
        <f aca="false">IF($BL195&lt;&gt;Constants!$B$4,"",IF($BB195="-&gt;",$BE195,$AU195))</f>
        <v/>
      </c>
      <c r="BU195" s="86" t="str">
        <f aca="false">IF(ISBLANK($C195),"",IF($BL195&lt;&gt;Constants!$B$4,$BL195,IF(ISNUMBER($BT195),RANK($BT195,$BT$9:$BT$508,0),COUNT($BT$9:$BT$508)+1)))</f>
        <v/>
      </c>
      <c r="BV195" s="90" t="str">
        <f aca="false">IF($BL195&lt;&gt;Constants!$B$4,"",IF($BB195="-&gt;",$BF195,$AV195))</f>
        <v/>
      </c>
      <c r="BW195" s="86" t="str">
        <f aca="false">IF(ISBLANK($C195),"",IF($BL195&lt;&gt;Constants!$B$4,$BL195,IF(ISNUMBER($BV195),RANK($BV195,$BV$9:$BV$508,0),COUNT($BV$9:$BV$508)+1)))</f>
        <v/>
      </c>
      <c r="BX195" s="90" t="str">
        <f aca="false">IF($BL195&lt;&gt;Constants!$B$4,"",IF($BB195="-&gt;",$BK195,$BA195))</f>
        <v/>
      </c>
      <c r="BY195" s="86" t="str">
        <f aca="false">IF(ISBLANK($C195),"",IF($BL195&lt;&gt;Constants!$B$4,$BL195,IF(ISNUMBER($BX195),RANK($BX195,$BX$9:$BX$508,0),COUNT($BX$9:$BX$508)+1)))</f>
        <v/>
      </c>
      <c r="BZ195" s="86" t="str">
        <f aca="false">IF(ISBLANK($C195),"",IF($BL195&lt;&gt;Constants!$B$4,$BL195,COUNTIFS($BM$9:$BM$508,"&lt;"&amp;$BM195)+COUNTIFS($BM$9:$BM$508,$BM195,$BP$9:$BP$508,"&lt;"&amp;$BP195)+COUNTIFS($BM$9:$BM$508,$BM195,$BP$9:$BP$508,$BP195,$BS$9:$BS$508,"&lt;"&amp;$BS195)+COUNTIFS($BM$9:$BM$508,$BM195,$BP$9:$BP$508,$BP195,$BS$9:$BS$508,$BS195,$BU$9:$BU$508,"&lt;"&amp;$BU195)+COUNTIFS($BM$9:$BM$508,$BM195,$BP$9:$BP$508,$BP195,$BS$9:$BS$508,$BS195,$BU$9:$BU$508,$BU195,$BW$9:$BW$508,"&lt;"&amp;$BW195)+COUNTIFS($BM$9:$BM$508,$BM195,$BP$9:$BP$508,$BP195,$BS$9:$BS$508,$BS195,$BU$9:$BU$508,$BU195,$BW$9:$BW$508,$BW195,$BY$9:$BY$508,"&lt;"&amp;$BY195)+1))</f>
        <v/>
      </c>
      <c r="CA195" s="86" t="str">
        <f aca="false">IF(ISBLANK($C195),"",IF($BL195&lt;&gt;Constants!$B$4,$BL195,$BQ195-$BZ195))</f>
        <v/>
      </c>
      <c r="CB195" s="93"/>
      <c r="CC195" s="94" t="str">
        <f aca="false">IF(ISBLANK($C195),"",IF($BL195=Constants!$B$8,$AR195,""))</f>
        <v/>
      </c>
      <c r="CD195" s="94" t="str">
        <f aca="false">IF(ISBLANK($C195),"",IF($BL195&lt;&gt;Constants!$B$4,"",IF($BB195="-&gt;",2,1)))</f>
        <v/>
      </c>
      <c r="CE195" s="95" t="str">
        <f aca="false">IF(ISBLANK($C195),"",IF($BL195&lt;&gt;Constants!$B$4,"",IF($BB195="-&gt;",$BE195,$AU195)))</f>
        <v/>
      </c>
      <c r="CF195" s="95" t="str">
        <f aca="false">IF(ISBLANK($C195),"",IF($BL195&lt;&gt;Constants!$B$4,"",IF($BB195="-&gt;",$BF195,$AV195)))</f>
        <v/>
      </c>
      <c r="CG195" s="95" t="str">
        <f aca="false">IF(ISBLANK($C195),"",IF($BL195&lt;&gt;Constants!$B$4,"",IF($BB195="-&gt;",$BG195,$AW195)))</f>
        <v/>
      </c>
      <c r="CH195" s="95" t="str">
        <f aca="false">IF(ISBLANK($C195),"",IF($BL195&lt;&gt;Constants!$B$4,"",IF($BB195="-&gt;",$BH195,$AX195)))</f>
        <v/>
      </c>
      <c r="CI195" s="96" t="str">
        <f aca="false">IF(ISBLANK($C195),"",$BO195)</f>
        <v/>
      </c>
      <c r="CJ195" s="97" t="str">
        <f aca="false">IF(ISBLANK($C195),"",$BM195)</f>
        <v/>
      </c>
      <c r="CK195" s="98" t="str">
        <f aca="false">IF(ISBLANK($C195),"",$CA195)</f>
        <v/>
      </c>
      <c r="CL195" s="98" t="str">
        <f aca="false">IF(ISBLANK($C195),"",$BZ195)</f>
        <v/>
      </c>
      <c r="CM195" s="99" t="str">
        <f aca="false">IF(ISBLANK($C195),"",IF($CL195=Constants!$B$7,COUNTA($C$9:$C$508)+2,IF($CL195=Constants!$B$6,COUNTA($C$9:$C$508)+1,IF($CL195=Constants!$B$5,COUNTA($C$9:$C$508),$CL195))))</f>
        <v/>
      </c>
      <c r="CN195" s="8"/>
      <c r="CO195" s="100" t="n">
        <f aca="false">IF(OR(ISNUMBER($CL195),$CL195=Constants!$B$7,$CL195=Constants!$B$5,$CL195=Constants!$B$6),1,0)</f>
        <v>0</v>
      </c>
      <c r="CP195" s="100" t="n">
        <v>187</v>
      </c>
      <c r="CQ195" s="100" t="str">
        <f aca="false">IF(ISBLANK($C195),"",IF(ISNUMBER($CM195),$CM195+ROW($B195)/1000,""))</f>
        <v/>
      </c>
      <c r="CR195" s="100" t="str">
        <f aca="false">IF(ISNUMBER($CQ195),RANK($CQ195,$CQ$9:$CQ$508,1),"")</f>
        <v/>
      </c>
      <c r="CS195" s="100" t="str">
        <f aca="false">IF(ISBLANK($C195),"",$B195)</f>
        <v/>
      </c>
      <c r="CT195" s="100" t="str">
        <f aca="false">IF(ISBLANK($C195),"",$C195)</f>
        <v/>
      </c>
      <c r="CU195" s="100" t="str">
        <f aca="false">IF(ISBLANK($C195),"",$D195)</f>
        <v/>
      </c>
      <c r="CV195" s="101" t="str">
        <f aca="false">$CJ195</f>
        <v/>
      </c>
      <c r="CW195" s="102" t="str">
        <f aca="false">$CI195</f>
        <v/>
      </c>
      <c r="CX195" s="100" t="str">
        <f aca="false">IF(ISBLANK($C195),"",$CL195)</f>
        <v/>
      </c>
      <c r="CY195" s="103" t="str">
        <f aca="false">IF($CP195&gt;$CO$8,"",VLOOKUP($CP195,$CR$9:$CX$508,7,FALSE()))</f>
        <v/>
      </c>
      <c r="CZ195" s="104" t="str">
        <f aca="false">IF($CP195&gt;$CO$8,"",VLOOKUP($CP195,$CR$9:$CX$508,2,FALSE()))</f>
        <v/>
      </c>
      <c r="DA195" s="104" t="str">
        <f aca="false">IF($CP195&gt;$CO$8,"",VLOOKUP($CP195,$CR$9:$CX$508,3,FALSE()))</f>
        <v/>
      </c>
      <c r="DB195" s="104" t="str">
        <f aca="false">IF($CP195&gt;$CO$8,"",VLOOKUP($CP195,$CR$9:$CX$508,4,FALSE()))</f>
        <v/>
      </c>
      <c r="DC195" s="104" t="str">
        <f aca="false">IF($CP195&gt;$CO$8,"",VLOOKUP($CP195,$CR$9:$CX$508,5,FALSE()))</f>
        <v/>
      </c>
      <c r="DD195" s="105" t="str">
        <f aca="false">IF($CP195&gt;$CO$8,"",VLOOKUP($CP195,$CR$9:$CX$508,6,FALSE()))</f>
        <v/>
      </c>
      <c r="DE195" s="70"/>
    </row>
    <row r="196" customFormat="false" ht="15.75" hidden="false" customHeight="false" outlineLevel="0" collapsed="false">
      <c r="A196" s="8"/>
      <c r="B196" s="72"/>
      <c r="C196" s="73"/>
      <c r="D196" s="155"/>
      <c r="E196" s="162"/>
      <c r="F196" s="157"/>
      <c r="G196" s="77"/>
      <c r="H196" s="77"/>
      <c r="I196" s="77"/>
      <c r="J196" s="163"/>
      <c r="K196" s="161"/>
      <c r="L196" s="161"/>
      <c r="M196" s="80"/>
      <c r="N196" s="161"/>
      <c r="O196" s="160"/>
      <c r="P196" s="161"/>
      <c r="Q196" s="161"/>
      <c r="R196" s="161"/>
      <c r="S196" s="77"/>
      <c r="T196" s="161"/>
      <c r="U196" s="160"/>
      <c r="V196" s="161"/>
      <c r="W196" s="85"/>
      <c r="X196" s="86" t="str">
        <f aca="false">IF(ISBLANK($C196),"",IF($E196=Constants!$B$2,TRUE(),IF($E196=Constants!$B$3,FALSE(),TRUE())))</f>
        <v/>
      </c>
      <c r="Y196" s="86" t="str">
        <f aca="false">IF(ISBLANK($C196),"",IF($F196=Constants!$B$2,TRUE(),IF($F196=Constants!$B$3,FALSE(),TRUE())))</f>
        <v/>
      </c>
      <c r="Z196" s="87" t="str">
        <f aca="false">IF(ISBLANK($C196),"",IF(ISNUMBER($G196),IF($G196&gt;=0,$G196,""),""))</f>
        <v/>
      </c>
      <c r="AA196" s="87" t="str">
        <f aca="false">IF(ISBLANK($C196),"",IF(ISNUMBER($H196),IF($H196&gt;=0,$H196,""),""))</f>
        <v/>
      </c>
      <c r="AB196" s="87" t="str">
        <f aca="false">IF(ISBLANK($C196),"",IF(ISNUMBER($I196),IF($I196&gt;=0,$I196,""),""))</f>
        <v/>
      </c>
      <c r="AC196" s="86" t="str">
        <f aca="false">IF(ISBLANK($C196),"",IF($J196=Constants!$B$2,TRUE(),IF($J196=Constants!$B$3,FALSE(),TRUE())))</f>
        <v/>
      </c>
      <c r="AD196" s="86" t="str">
        <f aca="false">IF(ISBLANK($C196),"",IF($K196=Constants!$B$2,TRUE(),IF($K196=Constants!$B$3,FALSE(),TRUE())))</f>
        <v/>
      </c>
      <c r="AE196" s="86" t="str">
        <f aca="false">IF(ISBLANK($C196),"",IF($L196=Constants!$B$2,TRUE(),IF($L196=Constants!$B$3,FALSE(),TRUE())))</f>
        <v/>
      </c>
      <c r="AF196" s="88" t="str">
        <f aca="false">IF(ISBLANK($C196),"",IF(ISNUMBER($M196),IF($M196&gt;=0,$M196,""),""))</f>
        <v/>
      </c>
      <c r="AG196" s="86" t="str">
        <f aca="false">IF(ISBLANK($C196),"",IF(ISBLANK($N196),0,IF(ISNUMBER($N196),IF(AND($N196&gt;=0,$N196&lt;=Constants!$B$17,$N196=INT($N196)),$N196,""),"")))</f>
        <v/>
      </c>
      <c r="AH196" s="87" t="str">
        <f aca="false">IF(ISBLANK($C196),"",IF(ISBLANK($O196),0,IF(ISNUMBER($O196),IF($O196&gt;=0,$O196,""),"")))</f>
        <v/>
      </c>
      <c r="AI196" s="86" t="str">
        <f aca="false">IF(ISBLANK($C196),"",IF($P196=Constants!$B$2,TRUE(),IF($P196=Constants!$B$3,FALSE(),TRUE())))</f>
        <v/>
      </c>
      <c r="AJ196" s="86" t="str">
        <f aca="false">IF(ISBLANK($C196),"",IF($Q196=Constants!$B$2,TRUE(),IF($Q196=Constants!$B$3,FALSE(),TRUE())))</f>
        <v/>
      </c>
      <c r="AK196" s="86" t="str">
        <f aca="false">IF(ISBLANK($C196),"",IF($R196=Constants!$B$2,TRUE(),IF($R196=Constants!$B$3,FALSE(),TRUE())))</f>
        <v/>
      </c>
      <c r="AL196" s="88" t="str">
        <f aca="false">IF(ISBLANK($C196),"",IF(ISNUMBER($S196),IF($S196&gt;=0,$S196,""),""))</f>
        <v/>
      </c>
      <c r="AM196" s="86" t="str">
        <f aca="false">IF(ISBLANK($C196),"",IF(ISBLANK($T196),0,IF(ISNUMBER($T196),IF(AND($T196&gt;=0,$T196&lt;=Constants!$B$17,$T196=INT($T196)),$T196,""),"")))</f>
        <v/>
      </c>
      <c r="AN196" s="87" t="str">
        <f aca="false">IF(ISBLANK($C196),"",IF(ISBLANK($U196),0,IF(ISNUMBER($U196),IF($U196&gt;=0,$U196,""),"")))</f>
        <v/>
      </c>
      <c r="AO196" s="86" t="str">
        <f aca="false">IF(ISBLANK($C196),"",IF($V196=Constants!$B$2,TRUE(),IF($V196=Constants!$B$3,FALSE(),FALSE())))</f>
        <v/>
      </c>
      <c r="AP196" s="86"/>
      <c r="AQ196" s="85" t="str">
        <f aca="false">IF(ISBLANK($C196),"",AND($Y196,OR($AS196,$BC196),OR($Z196="",$AA196="",$AB196="")))</f>
        <v/>
      </c>
      <c r="AR196" s="85" t="str">
        <f aca="false">IF(ISBLANK($C196),"",IF(OR(NOT($Y196),NOT(OR($AS196,$BC196))),"",IF(ISBLANK($D$7),$AR$5,IF($AP$9="",$AR$6,""))))</f>
        <v/>
      </c>
      <c r="AS196" s="85" t="str">
        <f aca="false">IF(ISBLANK($C196),"",COUNTA($J196:$O196)&gt;0)</f>
        <v/>
      </c>
      <c r="AT196" s="85" t="str">
        <f aca="false">IF(ISBLANK($C196),"",AND($AS196,OR(AND($AF196="",OR($AE196,NOT(ISBLANK($M196)))),$AG196="",$AH196="")))</f>
        <v/>
      </c>
      <c r="AU196" s="87" t="str">
        <f aca="false">IF($BL196&lt;&gt;Constants!$B$4,"",IF(NOT($AS196),"",ROUND((Constants!$B$12-$AB196)+(Constants!$B$13-$Z196)+(Constants!$B$14-$AA196),1)))</f>
        <v/>
      </c>
      <c r="AV196" s="90" t="str">
        <f aca="false">IF($BL196&lt;&gt;Constants!$B$4,"",IF(NOT($AS196),"",IF(NOT($AE196),0,Constants!$B$15*(INT(ROUND(MIN($AF196,$AP$9),6))-INT(ROUND(MAX(0,MIN($AF196,2*$AP$9)-$AP$9),6))))))</f>
        <v/>
      </c>
      <c r="AW196" s="90" t="str">
        <f aca="false">IF($BL196&lt;&gt;Constants!$B$4,"",IF(NOT($AS196),"",Constants!$B$16*$AG196))</f>
        <v/>
      </c>
      <c r="AX196" s="90" t="str">
        <f aca="false">IF($BL196&lt;&gt;Constants!$B$4,"",IF(NOT($AS196),"",Constants!$B$18*INT(ROUND($AH196,6))))</f>
        <v/>
      </c>
      <c r="AY196" s="85" t="str">
        <f aca="false">IF($BL196&lt;&gt;Constants!$B$4,"",IF(NOT($AS196),"",IF(NOT($X196),Constants!$B$11,IF(OR(NOT($AC196),NOT($AD196),ROUND($AB196,1)&gt;Constants!$B$12,ROUND($Z196,1)&gt;Constants!$B$13,ROUND($AA196,1)&gt;Constants!$B$14),Constants!$B$10,Constants!$B$9))))</f>
        <v/>
      </c>
      <c r="AZ196" s="91" t="str">
        <f aca="false">IF($BL196&lt;&gt;Constants!$B$4,"",IF(NOT($AS196),"",ROUND($AU196+$AV196+$AW196+$AX196,1)))</f>
        <v/>
      </c>
      <c r="BA196" s="92" t="str">
        <f aca="false">IF($BL196&lt;&gt;Constants!$B$4,"",IF(NOT($AS196),"",IF(ISNUMBER($AF196),$AF196,0)))</f>
        <v/>
      </c>
      <c r="BB196" s="86" t="str">
        <f aca="false">IF($BL196&lt;&gt;Constants!$B$4,"",IF(NOT($BC196),"&lt;-",IF(NOT($AS196),"-&gt;",IF(OR($BI196&lt;$AY196,AND($BI196=$AY196,OR($BJ196&gt;$AZ196,AND($BJ196=$AZ196,OR($BH196&gt;$AX196,AND($BH196=$AX196,OR($BE196&gt;$AU196,AND($BE196=$AU196,OR($BF196&gt;$AV196,AND($BF196=$AV196,$BK196&gt;$BA196)))))))))),"-&gt;","&lt;-"))))</f>
        <v/>
      </c>
      <c r="BC196" s="85" t="str">
        <f aca="false">IF(ISBLANK($C196),"",COUNTA($P196:$U196)&gt;0)</f>
        <v/>
      </c>
      <c r="BD196" s="85" t="str">
        <f aca="false">IF(ISBLANK($C196),"",AND($BC196,OR(AND($AL196="",OR($AK196,NOT(ISBLANK($S196)))),$AM196="",$AN196="")))</f>
        <v/>
      </c>
      <c r="BE196" s="87" t="str">
        <f aca="false">IF($BL196&lt;&gt;Constants!$B$4,"",IF(NOT($BC196),"",ROUND((Constants!$B$12-$AB196)+(Constants!$B$13-$Z196)+(Constants!$B$14-$AA196),1)))</f>
        <v/>
      </c>
      <c r="BF196" s="90" t="str">
        <f aca="false">IF($BL196&lt;&gt;Constants!$B$4,"",IF(NOT($BC196),"",IF(NOT($AK196),0,Constants!$B$15*(INT(ROUND(MIN($AL196,$AP$9),6))-INT(ROUND(MAX(0,MIN($AL196,2*$AP$9)-$AP$9),6))))))</f>
        <v/>
      </c>
      <c r="BG196" s="90" t="str">
        <f aca="false">IF($BL196&lt;&gt;Constants!$B$4,"",IF(NOT($BC196),"",Constants!$B$16*$AM196))</f>
        <v/>
      </c>
      <c r="BH196" s="90" t="str">
        <f aca="false">IF($BL196&lt;&gt;Constants!$B$4,"",IF(NOT($BC196),"",Constants!$B$18*INT(ROUND($AN196,6))))</f>
        <v/>
      </c>
      <c r="BI196" s="85" t="str">
        <f aca="false">IF($BL196&lt;&gt;Constants!$B$4,"",IF(NOT($BC196),"",IF(NOT($X196),Constants!$B$11,IF(OR(NOT($AI196),NOT($AJ196),ROUND($AB196,1)&gt;Constants!$B$12,ROUND($Z196,1)&gt;Constants!$B$13,ROUND($AA196,1)&gt;Constants!$B$14),Constants!$B$10,Constants!$B$9))))</f>
        <v/>
      </c>
      <c r="BJ196" s="91" t="str">
        <f aca="false">IF($BL196&lt;&gt;Constants!$B$4,"",IF(NOT($BC196),"",ROUND($BE196+$BF196+$BG196+$BH196,1)))</f>
        <v/>
      </c>
      <c r="BK196" s="92" t="str">
        <f aca="false">IF($BL196&lt;&gt;Constants!$B$4,"",IF(NOT($BC196),"",IF(ISNUMBER($AL196),$AL196,0)))</f>
        <v/>
      </c>
      <c r="BL196" s="86" t="str">
        <f aca="false">IF(ISBLANK($C196),"",IF($AO196,Constants!$B$7,IF(COUNTA($E196:$V196)=0,Constants!$B$6,IF(NOT($Y196),Constants!$B$5,IF(NOT(OR($AS196,$BC196)),Constants!$B$5,IF(OR($AT196,$BD196,$AQ196,$AR196&lt;&gt;""),Constants!$B$8,Constants!$B$4))))))</f>
        <v/>
      </c>
      <c r="BM196" s="86" t="str">
        <f aca="false">IF(ISBLANK($C196),"",IF($BL196&lt;&gt;Constants!$B$4,$BL196,IF($BB196="-&gt;",$BI196,$AY196)))</f>
        <v/>
      </c>
      <c r="BN196" s="90" t="str">
        <f aca="false">IF($BL196&lt;&gt;Constants!$B$4,"",IF($BB196="-&gt;",$BJ196,$AZ196))</f>
        <v/>
      </c>
      <c r="BO196" s="90" t="str">
        <f aca="false">IF(ISBLANK($C196),"",IF($BL196&lt;&gt;Constants!$B$4,$BL196,$BN196))</f>
        <v/>
      </c>
      <c r="BP196" s="86" t="str">
        <f aca="false">IF(ISBLANK($C196),"",IF($BL196&lt;&gt;Constants!$B$4,$BL196,RANK($BO196,$BO$9:$BO$508,0)))</f>
        <v/>
      </c>
      <c r="BQ196" s="86" t="str">
        <f aca="false">IF(ISBLANK($C196),"",IF($BL196&lt;&gt;Constants!$B$4,$BL196,COUNTIFS($BM$9:$BM$508,"&lt;"&amp;$BM196)+COUNTIFS($BM$9:$BM$508,$BM196,$BP$9:$BP$508,"&lt;"&amp;$BP196)+1))</f>
        <v/>
      </c>
      <c r="BR196" s="90" t="str">
        <f aca="false">IF($BL196&lt;&gt;Constants!$B$4,"",IF($BB196="-&gt;",$BH196,$AX196))</f>
        <v/>
      </c>
      <c r="BS196" s="86" t="str">
        <f aca="false">IF(ISBLANK($C196),"",IF($BL196&lt;&gt;Constants!$B$4,$BL196,IF(ISNUMBER($BR196),RANK($BR196,$BR$9:$BR$508,0),COUNT($BR$9:$BR$508)+1)))</f>
        <v/>
      </c>
      <c r="BT196" s="90" t="str">
        <f aca="false">IF($BL196&lt;&gt;Constants!$B$4,"",IF($BB196="-&gt;",$BE196,$AU196))</f>
        <v/>
      </c>
      <c r="BU196" s="86" t="str">
        <f aca="false">IF(ISBLANK($C196),"",IF($BL196&lt;&gt;Constants!$B$4,$BL196,IF(ISNUMBER($BT196),RANK($BT196,$BT$9:$BT$508,0),COUNT($BT$9:$BT$508)+1)))</f>
        <v/>
      </c>
      <c r="BV196" s="90" t="str">
        <f aca="false">IF($BL196&lt;&gt;Constants!$B$4,"",IF($BB196="-&gt;",$BF196,$AV196))</f>
        <v/>
      </c>
      <c r="BW196" s="86" t="str">
        <f aca="false">IF(ISBLANK($C196),"",IF($BL196&lt;&gt;Constants!$B$4,$BL196,IF(ISNUMBER($BV196),RANK($BV196,$BV$9:$BV$508,0),COUNT($BV$9:$BV$508)+1)))</f>
        <v/>
      </c>
      <c r="BX196" s="90" t="str">
        <f aca="false">IF($BL196&lt;&gt;Constants!$B$4,"",IF($BB196="-&gt;",$BK196,$BA196))</f>
        <v/>
      </c>
      <c r="BY196" s="86" t="str">
        <f aca="false">IF(ISBLANK($C196),"",IF($BL196&lt;&gt;Constants!$B$4,$BL196,IF(ISNUMBER($BX196),RANK($BX196,$BX$9:$BX$508,0),COUNT($BX$9:$BX$508)+1)))</f>
        <v/>
      </c>
      <c r="BZ196" s="86" t="str">
        <f aca="false">IF(ISBLANK($C196),"",IF($BL196&lt;&gt;Constants!$B$4,$BL196,COUNTIFS($BM$9:$BM$508,"&lt;"&amp;$BM196)+COUNTIFS($BM$9:$BM$508,$BM196,$BP$9:$BP$508,"&lt;"&amp;$BP196)+COUNTIFS($BM$9:$BM$508,$BM196,$BP$9:$BP$508,$BP196,$BS$9:$BS$508,"&lt;"&amp;$BS196)+COUNTIFS($BM$9:$BM$508,$BM196,$BP$9:$BP$508,$BP196,$BS$9:$BS$508,$BS196,$BU$9:$BU$508,"&lt;"&amp;$BU196)+COUNTIFS($BM$9:$BM$508,$BM196,$BP$9:$BP$508,$BP196,$BS$9:$BS$508,$BS196,$BU$9:$BU$508,$BU196,$BW$9:$BW$508,"&lt;"&amp;$BW196)+COUNTIFS($BM$9:$BM$508,$BM196,$BP$9:$BP$508,$BP196,$BS$9:$BS$508,$BS196,$BU$9:$BU$508,$BU196,$BW$9:$BW$508,$BW196,$BY$9:$BY$508,"&lt;"&amp;$BY196)+1))</f>
        <v/>
      </c>
      <c r="CA196" s="86" t="str">
        <f aca="false">IF(ISBLANK($C196),"",IF($BL196&lt;&gt;Constants!$B$4,$BL196,$BQ196-$BZ196))</f>
        <v/>
      </c>
      <c r="CB196" s="93"/>
      <c r="CC196" s="94" t="str">
        <f aca="false">IF(ISBLANK($C196),"",IF($BL196=Constants!$B$8,$AR196,""))</f>
        <v/>
      </c>
      <c r="CD196" s="94" t="str">
        <f aca="false">IF(ISBLANK($C196),"",IF($BL196&lt;&gt;Constants!$B$4,"",IF($BB196="-&gt;",2,1)))</f>
        <v/>
      </c>
      <c r="CE196" s="95" t="str">
        <f aca="false">IF(ISBLANK($C196),"",IF($BL196&lt;&gt;Constants!$B$4,"",IF($BB196="-&gt;",$BE196,$AU196)))</f>
        <v/>
      </c>
      <c r="CF196" s="95" t="str">
        <f aca="false">IF(ISBLANK($C196),"",IF($BL196&lt;&gt;Constants!$B$4,"",IF($BB196="-&gt;",$BF196,$AV196)))</f>
        <v/>
      </c>
      <c r="CG196" s="95" t="str">
        <f aca="false">IF(ISBLANK($C196),"",IF($BL196&lt;&gt;Constants!$B$4,"",IF($BB196="-&gt;",$BG196,$AW196)))</f>
        <v/>
      </c>
      <c r="CH196" s="95" t="str">
        <f aca="false">IF(ISBLANK($C196),"",IF($BL196&lt;&gt;Constants!$B$4,"",IF($BB196="-&gt;",$BH196,$AX196)))</f>
        <v/>
      </c>
      <c r="CI196" s="96" t="str">
        <f aca="false">IF(ISBLANK($C196),"",$BO196)</f>
        <v/>
      </c>
      <c r="CJ196" s="97" t="str">
        <f aca="false">IF(ISBLANK($C196),"",$BM196)</f>
        <v/>
      </c>
      <c r="CK196" s="98" t="str">
        <f aca="false">IF(ISBLANK($C196),"",$CA196)</f>
        <v/>
      </c>
      <c r="CL196" s="98" t="str">
        <f aca="false">IF(ISBLANK($C196),"",$BZ196)</f>
        <v/>
      </c>
      <c r="CM196" s="99" t="str">
        <f aca="false">IF(ISBLANK($C196),"",IF($CL196=Constants!$B$7,COUNTA($C$9:$C$508)+2,IF($CL196=Constants!$B$6,COUNTA($C$9:$C$508)+1,IF($CL196=Constants!$B$5,COUNTA($C$9:$C$508),$CL196))))</f>
        <v/>
      </c>
      <c r="CN196" s="8"/>
      <c r="CO196" s="100" t="n">
        <f aca="false">IF(OR(ISNUMBER($CL196),$CL196=Constants!$B$7,$CL196=Constants!$B$5,$CL196=Constants!$B$6),1,0)</f>
        <v>0</v>
      </c>
      <c r="CP196" s="100" t="n">
        <v>188</v>
      </c>
      <c r="CQ196" s="100" t="str">
        <f aca="false">IF(ISBLANK($C196),"",IF(ISNUMBER($CM196),$CM196+ROW($B196)/1000,""))</f>
        <v/>
      </c>
      <c r="CR196" s="100" t="str">
        <f aca="false">IF(ISNUMBER($CQ196),RANK($CQ196,$CQ$9:$CQ$508,1),"")</f>
        <v/>
      </c>
      <c r="CS196" s="100" t="str">
        <f aca="false">IF(ISBLANK($C196),"",$B196)</f>
        <v/>
      </c>
      <c r="CT196" s="100" t="str">
        <f aca="false">IF(ISBLANK($C196),"",$C196)</f>
        <v/>
      </c>
      <c r="CU196" s="100" t="str">
        <f aca="false">IF(ISBLANK($C196),"",$D196)</f>
        <v/>
      </c>
      <c r="CV196" s="101" t="str">
        <f aca="false">$CJ196</f>
        <v/>
      </c>
      <c r="CW196" s="102" t="str">
        <f aca="false">$CI196</f>
        <v/>
      </c>
      <c r="CX196" s="100" t="str">
        <f aca="false">IF(ISBLANK($C196),"",$CL196)</f>
        <v/>
      </c>
      <c r="CY196" s="103" t="str">
        <f aca="false">IF($CP196&gt;$CO$8,"",VLOOKUP($CP196,$CR$9:$CX$508,7,FALSE()))</f>
        <v/>
      </c>
      <c r="CZ196" s="104" t="str">
        <f aca="false">IF($CP196&gt;$CO$8,"",VLOOKUP($CP196,$CR$9:$CX$508,2,FALSE()))</f>
        <v/>
      </c>
      <c r="DA196" s="104" t="str">
        <f aca="false">IF($CP196&gt;$CO$8,"",VLOOKUP($CP196,$CR$9:$CX$508,3,FALSE()))</f>
        <v/>
      </c>
      <c r="DB196" s="104" t="str">
        <f aca="false">IF($CP196&gt;$CO$8,"",VLOOKUP($CP196,$CR$9:$CX$508,4,FALSE()))</f>
        <v/>
      </c>
      <c r="DC196" s="104" t="str">
        <f aca="false">IF($CP196&gt;$CO$8,"",VLOOKUP($CP196,$CR$9:$CX$508,5,FALSE()))</f>
        <v/>
      </c>
      <c r="DD196" s="105" t="str">
        <f aca="false">IF($CP196&gt;$CO$8,"",VLOOKUP($CP196,$CR$9:$CX$508,6,FALSE()))</f>
        <v/>
      </c>
      <c r="DE196" s="70"/>
    </row>
    <row r="197" customFormat="false" ht="15.75" hidden="false" customHeight="false" outlineLevel="0" collapsed="false">
      <c r="A197" s="8"/>
      <c r="B197" s="72"/>
      <c r="C197" s="73"/>
      <c r="D197" s="155"/>
      <c r="E197" s="162"/>
      <c r="F197" s="157"/>
      <c r="G197" s="77"/>
      <c r="H197" s="77"/>
      <c r="I197" s="77"/>
      <c r="J197" s="163"/>
      <c r="K197" s="161"/>
      <c r="L197" s="161"/>
      <c r="M197" s="80"/>
      <c r="N197" s="161"/>
      <c r="O197" s="160"/>
      <c r="P197" s="161"/>
      <c r="Q197" s="161"/>
      <c r="R197" s="161"/>
      <c r="S197" s="77"/>
      <c r="T197" s="161"/>
      <c r="U197" s="160"/>
      <c r="V197" s="161"/>
      <c r="W197" s="85"/>
      <c r="X197" s="86" t="str">
        <f aca="false">IF(ISBLANK($C197),"",IF($E197=Constants!$B$2,TRUE(),IF($E197=Constants!$B$3,FALSE(),TRUE())))</f>
        <v/>
      </c>
      <c r="Y197" s="86" t="str">
        <f aca="false">IF(ISBLANK($C197),"",IF($F197=Constants!$B$2,TRUE(),IF($F197=Constants!$B$3,FALSE(),TRUE())))</f>
        <v/>
      </c>
      <c r="Z197" s="87" t="str">
        <f aca="false">IF(ISBLANK($C197),"",IF(ISNUMBER($G197),IF($G197&gt;=0,$G197,""),""))</f>
        <v/>
      </c>
      <c r="AA197" s="87" t="str">
        <f aca="false">IF(ISBLANK($C197),"",IF(ISNUMBER($H197),IF($H197&gt;=0,$H197,""),""))</f>
        <v/>
      </c>
      <c r="AB197" s="87" t="str">
        <f aca="false">IF(ISBLANK($C197),"",IF(ISNUMBER($I197),IF($I197&gt;=0,$I197,""),""))</f>
        <v/>
      </c>
      <c r="AC197" s="86" t="str">
        <f aca="false">IF(ISBLANK($C197),"",IF($J197=Constants!$B$2,TRUE(),IF($J197=Constants!$B$3,FALSE(),TRUE())))</f>
        <v/>
      </c>
      <c r="AD197" s="86" t="str">
        <f aca="false">IF(ISBLANK($C197),"",IF($K197=Constants!$B$2,TRUE(),IF($K197=Constants!$B$3,FALSE(),TRUE())))</f>
        <v/>
      </c>
      <c r="AE197" s="86" t="str">
        <f aca="false">IF(ISBLANK($C197),"",IF($L197=Constants!$B$2,TRUE(),IF($L197=Constants!$B$3,FALSE(),TRUE())))</f>
        <v/>
      </c>
      <c r="AF197" s="88" t="str">
        <f aca="false">IF(ISBLANK($C197),"",IF(ISNUMBER($M197),IF($M197&gt;=0,$M197,""),""))</f>
        <v/>
      </c>
      <c r="AG197" s="86" t="str">
        <f aca="false">IF(ISBLANK($C197),"",IF(ISBLANK($N197),0,IF(ISNUMBER($N197),IF(AND($N197&gt;=0,$N197&lt;=Constants!$B$17,$N197=INT($N197)),$N197,""),"")))</f>
        <v/>
      </c>
      <c r="AH197" s="87" t="str">
        <f aca="false">IF(ISBLANK($C197),"",IF(ISBLANK($O197),0,IF(ISNUMBER($O197),IF($O197&gt;=0,$O197,""),"")))</f>
        <v/>
      </c>
      <c r="AI197" s="86" t="str">
        <f aca="false">IF(ISBLANK($C197),"",IF($P197=Constants!$B$2,TRUE(),IF($P197=Constants!$B$3,FALSE(),TRUE())))</f>
        <v/>
      </c>
      <c r="AJ197" s="86" t="str">
        <f aca="false">IF(ISBLANK($C197),"",IF($Q197=Constants!$B$2,TRUE(),IF($Q197=Constants!$B$3,FALSE(),TRUE())))</f>
        <v/>
      </c>
      <c r="AK197" s="86" t="str">
        <f aca="false">IF(ISBLANK($C197),"",IF($R197=Constants!$B$2,TRUE(),IF($R197=Constants!$B$3,FALSE(),TRUE())))</f>
        <v/>
      </c>
      <c r="AL197" s="88" t="str">
        <f aca="false">IF(ISBLANK($C197),"",IF(ISNUMBER($S197),IF($S197&gt;=0,$S197,""),""))</f>
        <v/>
      </c>
      <c r="AM197" s="86" t="str">
        <f aca="false">IF(ISBLANK($C197),"",IF(ISBLANK($T197),0,IF(ISNUMBER($T197),IF(AND($T197&gt;=0,$T197&lt;=Constants!$B$17,$T197=INT($T197)),$T197,""),"")))</f>
        <v/>
      </c>
      <c r="AN197" s="87" t="str">
        <f aca="false">IF(ISBLANK($C197),"",IF(ISBLANK($U197),0,IF(ISNUMBER($U197),IF($U197&gt;=0,$U197,""),"")))</f>
        <v/>
      </c>
      <c r="AO197" s="86" t="str">
        <f aca="false">IF(ISBLANK($C197),"",IF($V197=Constants!$B$2,TRUE(),IF($V197=Constants!$B$3,FALSE(),FALSE())))</f>
        <v/>
      </c>
      <c r="AP197" s="86"/>
      <c r="AQ197" s="85" t="str">
        <f aca="false">IF(ISBLANK($C197),"",AND($Y197,OR($AS197,$BC197),OR($Z197="",$AA197="",$AB197="")))</f>
        <v/>
      </c>
      <c r="AR197" s="85" t="str">
        <f aca="false">IF(ISBLANK($C197),"",IF(OR(NOT($Y197),NOT(OR($AS197,$BC197))),"",IF(ISBLANK($D$7),$AR$5,IF($AP$9="",$AR$6,""))))</f>
        <v/>
      </c>
      <c r="AS197" s="85" t="str">
        <f aca="false">IF(ISBLANK($C197),"",COUNTA($J197:$O197)&gt;0)</f>
        <v/>
      </c>
      <c r="AT197" s="85" t="str">
        <f aca="false">IF(ISBLANK($C197),"",AND($AS197,OR(AND($AF197="",OR($AE197,NOT(ISBLANK($M197)))),$AG197="",$AH197="")))</f>
        <v/>
      </c>
      <c r="AU197" s="87" t="str">
        <f aca="false">IF($BL197&lt;&gt;Constants!$B$4,"",IF(NOT($AS197),"",ROUND((Constants!$B$12-$AB197)+(Constants!$B$13-$Z197)+(Constants!$B$14-$AA197),1)))</f>
        <v/>
      </c>
      <c r="AV197" s="90" t="str">
        <f aca="false">IF($BL197&lt;&gt;Constants!$B$4,"",IF(NOT($AS197),"",IF(NOT($AE197),0,Constants!$B$15*(INT(ROUND(MIN($AF197,$AP$9),6))-INT(ROUND(MAX(0,MIN($AF197,2*$AP$9)-$AP$9),6))))))</f>
        <v/>
      </c>
      <c r="AW197" s="90" t="str">
        <f aca="false">IF($BL197&lt;&gt;Constants!$B$4,"",IF(NOT($AS197),"",Constants!$B$16*$AG197))</f>
        <v/>
      </c>
      <c r="AX197" s="90" t="str">
        <f aca="false">IF($BL197&lt;&gt;Constants!$B$4,"",IF(NOT($AS197),"",Constants!$B$18*INT(ROUND($AH197,6))))</f>
        <v/>
      </c>
      <c r="AY197" s="85" t="str">
        <f aca="false">IF($BL197&lt;&gt;Constants!$B$4,"",IF(NOT($AS197),"",IF(NOT($X197),Constants!$B$11,IF(OR(NOT($AC197),NOT($AD197),ROUND($AB197,1)&gt;Constants!$B$12,ROUND($Z197,1)&gt;Constants!$B$13,ROUND($AA197,1)&gt;Constants!$B$14),Constants!$B$10,Constants!$B$9))))</f>
        <v/>
      </c>
      <c r="AZ197" s="91" t="str">
        <f aca="false">IF($BL197&lt;&gt;Constants!$B$4,"",IF(NOT($AS197),"",ROUND($AU197+$AV197+$AW197+$AX197,1)))</f>
        <v/>
      </c>
      <c r="BA197" s="92" t="str">
        <f aca="false">IF($BL197&lt;&gt;Constants!$B$4,"",IF(NOT($AS197),"",IF(ISNUMBER($AF197),$AF197,0)))</f>
        <v/>
      </c>
      <c r="BB197" s="86" t="str">
        <f aca="false">IF($BL197&lt;&gt;Constants!$B$4,"",IF(NOT($BC197),"&lt;-",IF(NOT($AS197),"-&gt;",IF(OR($BI197&lt;$AY197,AND($BI197=$AY197,OR($BJ197&gt;$AZ197,AND($BJ197=$AZ197,OR($BH197&gt;$AX197,AND($BH197=$AX197,OR($BE197&gt;$AU197,AND($BE197=$AU197,OR($BF197&gt;$AV197,AND($BF197=$AV197,$BK197&gt;$BA197)))))))))),"-&gt;","&lt;-"))))</f>
        <v/>
      </c>
      <c r="BC197" s="85" t="str">
        <f aca="false">IF(ISBLANK($C197),"",COUNTA($P197:$U197)&gt;0)</f>
        <v/>
      </c>
      <c r="BD197" s="85" t="str">
        <f aca="false">IF(ISBLANK($C197),"",AND($BC197,OR(AND($AL197="",OR($AK197,NOT(ISBLANK($S197)))),$AM197="",$AN197="")))</f>
        <v/>
      </c>
      <c r="BE197" s="87" t="str">
        <f aca="false">IF($BL197&lt;&gt;Constants!$B$4,"",IF(NOT($BC197),"",ROUND((Constants!$B$12-$AB197)+(Constants!$B$13-$Z197)+(Constants!$B$14-$AA197),1)))</f>
        <v/>
      </c>
      <c r="BF197" s="90" t="str">
        <f aca="false">IF($BL197&lt;&gt;Constants!$B$4,"",IF(NOT($BC197),"",IF(NOT($AK197),0,Constants!$B$15*(INT(ROUND(MIN($AL197,$AP$9),6))-INT(ROUND(MAX(0,MIN($AL197,2*$AP$9)-$AP$9),6))))))</f>
        <v/>
      </c>
      <c r="BG197" s="90" t="str">
        <f aca="false">IF($BL197&lt;&gt;Constants!$B$4,"",IF(NOT($BC197),"",Constants!$B$16*$AM197))</f>
        <v/>
      </c>
      <c r="BH197" s="90" t="str">
        <f aca="false">IF($BL197&lt;&gt;Constants!$B$4,"",IF(NOT($BC197),"",Constants!$B$18*INT(ROUND($AN197,6))))</f>
        <v/>
      </c>
      <c r="BI197" s="85" t="str">
        <f aca="false">IF($BL197&lt;&gt;Constants!$B$4,"",IF(NOT($BC197),"",IF(NOT($X197),Constants!$B$11,IF(OR(NOT($AI197),NOT($AJ197),ROUND($AB197,1)&gt;Constants!$B$12,ROUND($Z197,1)&gt;Constants!$B$13,ROUND($AA197,1)&gt;Constants!$B$14),Constants!$B$10,Constants!$B$9))))</f>
        <v/>
      </c>
      <c r="BJ197" s="91" t="str">
        <f aca="false">IF($BL197&lt;&gt;Constants!$B$4,"",IF(NOT($BC197),"",ROUND($BE197+$BF197+$BG197+$BH197,1)))</f>
        <v/>
      </c>
      <c r="BK197" s="92" t="str">
        <f aca="false">IF($BL197&lt;&gt;Constants!$B$4,"",IF(NOT($BC197),"",IF(ISNUMBER($AL197),$AL197,0)))</f>
        <v/>
      </c>
      <c r="BL197" s="86" t="str">
        <f aca="false">IF(ISBLANK($C197),"",IF($AO197,Constants!$B$7,IF(COUNTA($E197:$V197)=0,Constants!$B$6,IF(NOT($Y197),Constants!$B$5,IF(NOT(OR($AS197,$BC197)),Constants!$B$5,IF(OR($AT197,$BD197,$AQ197,$AR197&lt;&gt;""),Constants!$B$8,Constants!$B$4))))))</f>
        <v/>
      </c>
      <c r="BM197" s="86" t="str">
        <f aca="false">IF(ISBLANK($C197),"",IF($BL197&lt;&gt;Constants!$B$4,$BL197,IF($BB197="-&gt;",$BI197,$AY197)))</f>
        <v/>
      </c>
      <c r="BN197" s="90" t="str">
        <f aca="false">IF($BL197&lt;&gt;Constants!$B$4,"",IF($BB197="-&gt;",$BJ197,$AZ197))</f>
        <v/>
      </c>
      <c r="BO197" s="90" t="str">
        <f aca="false">IF(ISBLANK($C197),"",IF($BL197&lt;&gt;Constants!$B$4,$BL197,$BN197))</f>
        <v/>
      </c>
      <c r="BP197" s="86" t="str">
        <f aca="false">IF(ISBLANK($C197),"",IF($BL197&lt;&gt;Constants!$B$4,$BL197,RANK($BO197,$BO$9:$BO$508,0)))</f>
        <v/>
      </c>
      <c r="BQ197" s="86" t="str">
        <f aca="false">IF(ISBLANK($C197),"",IF($BL197&lt;&gt;Constants!$B$4,$BL197,COUNTIFS($BM$9:$BM$508,"&lt;"&amp;$BM197)+COUNTIFS($BM$9:$BM$508,$BM197,$BP$9:$BP$508,"&lt;"&amp;$BP197)+1))</f>
        <v/>
      </c>
      <c r="BR197" s="90" t="str">
        <f aca="false">IF($BL197&lt;&gt;Constants!$B$4,"",IF($BB197="-&gt;",$BH197,$AX197))</f>
        <v/>
      </c>
      <c r="BS197" s="86" t="str">
        <f aca="false">IF(ISBLANK($C197),"",IF($BL197&lt;&gt;Constants!$B$4,$BL197,IF(ISNUMBER($BR197),RANK($BR197,$BR$9:$BR$508,0),COUNT($BR$9:$BR$508)+1)))</f>
        <v/>
      </c>
      <c r="BT197" s="90" t="str">
        <f aca="false">IF($BL197&lt;&gt;Constants!$B$4,"",IF($BB197="-&gt;",$BE197,$AU197))</f>
        <v/>
      </c>
      <c r="BU197" s="86" t="str">
        <f aca="false">IF(ISBLANK($C197),"",IF($BL197&lt;&gt;Constants!$B$4,$BL197,IF(ISNUMBER($BT197),RANK($BT197,$BT$9:$BT$508,0),COUNT($BT$9:$BT$508)+1)))</f>
        <v/>
      </c>
      <c r="BV197" s="90" t="str">
        <f aca="false">IF($BL197&lt;&gt;Constants!$B$4,"",IF($BB197="-&gt;",$BF197,$AV197))</f>
        <v/>
      </c>
      <c r="BW197" s="86" t="str">
        <f aca="false">IF(ISBLANK($C197),"",IF($BL197&lt;&gt;Constants!$B$4,$BL197,IF(ISNUMBER($BV197),RANK($BV197,$BV$9:$BV$508,0),COUNT($BV$9:$BV$508)+1)))</f>
        <v/>
      </c>
      <c r="BX197" s="90" t="str">
        <f aca="false">IF($BL197&lt;&gt;Constants!$B$4,"",IF($BB197="-&gt;",$BK197,$BA197))</f>
        <v/>
      </c>
      <c r="BY197" s="86" t="str">
        <f aca="false">IF(ISBLANK($C197),"",IF($BL197&lt;&gt;Constants!$B$4,$BL197,IF(ISNUMBER($BX197),RANK($BX197,$BX$9:$BX$508,0),COUNT($BX$9:$BX$508)+1)))</f>
        <v/>
      </c>
      <c r="BZ197" s="86" t="str">
        <f aca="false">IF(ISBLANK($C197),"",IF($BL197&lt;&gt;Constants!$B$4,$BL197,COUNTIFS($BM$9:$BM$508,"&lt;"&amp;$BM197)+COUNTIFS($BM$9:$BM$508,$BM197,$BP$9:$BP$508,"&lt;"&amp;$BP197)+COUNTIFS($BM$9:$BM$508,$BM197,$BP$9:$BP$508,$BP197,$BS$9:$BS$508,"&lt;"&amp;$BS197)+COUNTIFS($BM$9:$BM$508,$BM197,$BP$9:$BP$508,$BP197,$BS$9:$BS$508,$BS197,$BU$9:$BU$508,"&lt;"&amp;$BU197)+COUNTIFS($BM$9:$BM$508,$BM197,$BP$9:$BP$508,$BP197,$BS$9:$BS$508,$BS197,$BU$9:$BU$508,$BU197,$BW$9:$BW$508,"&lt;"&amp;$BW197)+COUNTIFS($BM$9:$BM$508,$BM197,$BP$9:$BP$508,$BP197,$BS$9:$BS$508,$BS197,$BU$9:$BU$508,$BU197,$BW$9:$BW$508,$BW197,$BY$9:$BY$508,"&lt;"&amp;$BY197)+1))</f>
        <v/>
      </c>
      <c r="CA197" s="86" t="str">
        <f aca="false">IF(ISBLANK($C197),"",IF($BL197&lt;&gt;Constants!$B$4,$BL197,$BQ197-$BZ197))</f>
        <v/>
      </c>
      <c r="CB197" s="93"/>
      <c r="CC197" s="94" t="str">
        <f aca="false">IF(ISBLANK($C197),"",IF($BL197=Constants!$B$8,$AR197,""))</f>
        <v/>
      </c>
      <c r="CD197" s="94" t="str">
        <f aca="false">IF(ISBLANK($C197),"",IF($BL197&lt;&gt;Constants!$B$4,"",IF($BB197="-&gt;",2,1)))</f>
        <v/>
      </c>
      <c r="CE197" s="95" t="str">
        <f aca="false">IF(ISBLANK($C197),"",IF($BL197&lt;&gt;Constants!$B$4,"",IF($BB197="-&gt;",$BE197,$AU197)))</f>
        <v/>
      </c>
      <c r="CF197" s="95" t="str">
        <f aca="false">IF(ISBLANK($C197),"",IF($BL197&lt;&gt;Constants!$B$4,"",IF($BB197="-&gt;",$BF197,$AV197)))</f>
        <v/>
      </c>
      <c r="CG197" s="95" t="str">
        <f aca="false">IF(ISBLANK($C197),"",IF($BL197&lt;&gt;Constants!$B$4,"",IF($BB197="-&gt;",$BG197,$AW197)))</f>
        <v/>
      </c>
      <c r="CH197" s="95" t="str">
        <f aca="false">IF(ISBLANK($C197),"",IF($BL197&lt;&gt;Constants!$B$4,"",IF($BB197="-&gt;",$BH197,$AX197)))</f>
        <v/>
      </c>
      <c r="CI197" s="96" t="str">
        <f aca="false">IF(ISBLANK($C197),"",$BO197)</f>
        <v/>
      </c>
      <c r="CJ197" s="97" t="str">
        <f aca="false">IF(ISBLANK($C197),"",$BM197)</f>
        <v/>
      </c>
      <c r="CK197" s="98" t="str">
        <f aca="false">IF(ISBLANK($C197),"",$CA197)</f>
        <v/>
      </c>
      <c r="CL197" s="98" t="str">
        <f aca="false">IF(ISBLANK($C197),"",$BZ197)</f>
        <v/>
      </c>
      <c r="CM197" s="99" t="str">
        <f aca="false">IF(ISBLANK($C197),"",IF($CL197=Constants!$B$7,COUNTA($C$9:$C$508)+2,IF($CL197=Constants!$B$6,COUNTA($C$9:$C$508)+1,IF($CL197=Constants!$B$5,COUNTA($C$9:$C$508),$CL197))))</f>
        <v/>
      </c>
      <c r="CN197" s="8"/>
      <c r="CO197" s="100" t="n">
        <f aca="false">IF(OR(ISNUMBER($CL197),$CL197=Constants!$B$7,$CL197=Constants!$B$5,$CL197=Constants!$B$6),1,0)</f>
        <v>0</v>
      </c>
      <c r="CP197" s="100" t="n">
        <v>189</v>
      </c>
      <c r="CQ197" s="100" t="str">
        <f aca="false">IF(ISBLANK($C197),"",IF(ISNUMBER($CM197),$CM197+ROW($B197)/1000,""))</f>
        <v/>
      </c>
      <c r="CR197" s="100" t="str">
        <f aca="false">IF(ISNUMBER($CQ197),RANK($CQ197,$CQ$9:$CQ$508,1),"")</f>
        <v/>
      </c>
      <c r="CS197" s="100" t="str">
        <f aca="false">IF(ISBLANK($C197),"",$B197)</f>
        <v/>
      </c>
      <c r="CT197" s="100" t="str">
        <f aca="false">IF(ISBLANK($C197),"",$C197)</f>
        <v/>
      </c>
      <c r="CU197" s="100" t="str">
        <f aca="false">IF(ISBLANK($C197),"",$D197)</f>
        <v/>
      </c>
      <c r="CV197" s="101" t="str">
        <f aca="false">$CJ197</f>
        <v/>
      </c>
      <c r="CW197" s="102" t="str">
        <f aca="false">$CI197</f>
        <v/>
      </c>
      <c r="CX197" s="100" t="str">
        <f aca="false">IF(ISBLANK($C197),"",$CL197)</f>
        <v/>
      </c>
      <c r="CY197" s="103" t="str">
        <f aca="false">IF($CP197&gt;$CO$8,"",VLOOKUP($CP197,$CR$9:$CX$508,7,FALSE()))</f>
        <v/>
      </c>
      <c r="CZ197" s="104" t="str">
        <f aca="false">IF($CP197&gt;$CO$8,"",VLOOKUP($CP197,$CR$9:$CX$508,2,FALSE()))</f>
        <v/>
      </c>
      <c r="DA197" s="104" t="str">
        <f aca="false">IF($CP197&gt;$CO$8,"",VLOOKUP($CP197,$CR$9:$CX$508,3,FALSE()))</f>
        <v/>
      </c>
      <c r="DB197" s="104" t="str">
        <f aca="false">IF($CP197&gt;$CO$8,"",VLOOKUP($CP197,$CR$9:$CX$508,4,FALSE()))</f>
        <v/>
      </c>
      <c r="DC197" s="104" t="str">
        <f aca="false">IF($CP197&gt;$CO$8,"",VLOOKUP($CP197,$CR$9:$CX$508,5,FALSE()))</f>
        <v/>
      </c>
      <c r="DD197" s="105" t="str">
        <f aca="false">IF($CP197&gt;$CO$8,"",VLOOKUP($CP197,$CR$9:$CX$508,6,FALSE()))</f>
        <v/>
      </c>
      <c r="DE197" s="70"/>
    </row>
    <row r="198" customFormat="false" ht="15.75" hidden="false" customHeight="false" outlineLevel="0" collapsed="false">
      <c r="A198" s="8"/>
      <c r="B198" s="146"/>
      <c r="C198" s="147"/>
      <c r="D198" s="148"/>
      <c r="E198" s="164"/>
      <c r="F198" s="150"/>
      <c r="G198" s="115"/>
      <c r="H198" s="115"/>
      <c r="I198" s="115"/>
      <c r="J198" s="165"/>
      <c r="K198" s="154"/>
      <c r="L198" s="154"/>
      <c r="M198" s="118"/>
      <c r="N198" s="154"/>
      <c r="O198" s="153"/>
      <c r="P198" s="154"/>
      <c r="Q198" s="154"/>
      <c r="R198" s="154"/>
      <c r="S198" s="115"/>
      <c r="T198" s="154"/>
      <c r="U198" s="153"/>
      <c r="V198" s="154"/>
      <c r="W198" s="123"/>
      <c r="X198" s="124" t="str">
        <f aca="false">IF(ISBLANK($C198),"",IF($E198=Constants!$B$2,TRUE(),IF($E198=Constants!$B$3,FALSE(),TRUE())))</f>
        <v/>
      </c>
      <c r="Y198" s="124" t="str">
        <f aca="false">IF(ISBLANK($C198),"",IF($F198=Constants!$B$2,TRUE(),IF($F198=Constants!$B$3,FALSE(),TRUE())))</f>
        <v/>
      </c>
      <c r="Z198" s="125" t="str">
        <f aca="false">IF(ISBLANK($C198),"",IF(ISNUMBER($G198),IF($G198&gt;=0,$G198,""),""))</f>
        <v/>
      </c>
      <c r="AA198" s="125" t="str">
        <f aca="false">IF(ISBLANK($C198),"",IF(ISNUMBER($H198),IF($H198&gt;=0,$H198,""),""))</f>
        <v/>
      </c>
      <c r="AB198" s="125" t="str">
        <f aca="false">IF(ISBLANK($C198),"",IF(ISNUMBER($I198),IF($I198&gt;=0,$I198,""),""))</f>
        <v/>
      </c>
      <c r="AC198" s="124" t="str">
        <f aca="false">IF(ISBLANK($C198),"",IF($J198=Constants!$B$2,TRUE(),IF($J198=Constants!$B$3,FALSE(),TRUE())))</f>
        <v/>
      </c>
      <c r="AD198" s="124" t="str">
        <f aca="false">IF(ISBLANK($C198),"",IF($K198=Constants!$B$2,TRUE(),IF($K198=Constants!$B$3,FALSE(),TRUE())))</f>
        <v/>
      </c>
      <c r="AE198" s="124" t="str">
        <f aca="false">IF(ISBLANK($C198),"",IF($L198=Constants!$B$2,TRUE(),IF($L198=Constants!$B$3,FALSE(),TRUE())))</f>
        <v/>
      </c>
      <c r="AF198" s="126" t="str">
        <f aca="false">IF(ISBLANK($C198),"",IF(ISNUMBER($M198),IF($M198&gt;=0,$M198,""),""))</f>
        <v/>
      </c>
      <c r="AG198" s="124" t="str">
        <f aca="false">IF(ISBLANK($C198),"",IF(ISBLANK($N198),0,IF(ISNUMBER($N198),IF(AND($N198&gt;=0,$N198&lt;=Constants!$B$17,$N198=INT($N198)),$N198,""),"")))</f>
        <v/>
      </c>
      <c r="AH198" s="125" t="str">
        <f aca="false">IF(ISBLANK($C198),"",IF(ISBLANK($O198),0,IF(ISNUMBER($O198),IF($O198&gt;=0,$O198,""),"")))</f>
        <v/>
      </c>
      <c r="AI198" s="124" t="str">
        <f aca="false">IF(ISBLANK($C198),"",IF($P198=Constants!$B$2,TRUE(),IF($P198=Constants!$B$3,FALSE(),TRUE())))</f>
        <v/>
      </c>
      <c r="AJ198" s="124" t="str">
        <f aca="false">IF(ISBLANK($C198),"",IF($Q198=Constants!$B$2,TRUE(),IF($Q198=Constants!$B$3,FALSE(),TRUE())))</f>
        <v/>
      </c>
      <c r="AK198" s="124" t="str">
        <f aca="false">IF(ISBLANK($C198),"",IF($R198=Constants!$B$2,TRUE(),IF($R198=Constants!$B$3,FALSE(),TRUE())))</f>
        <v/>
      </c>
      <c r="AL198" s="126" t="str">
        <f aca="false">IF(ISBLANK($C198),"",IF(ISNUMBER($S198),IF($S198&gt;=0,$S198,""),""))</f>
        <v/>
      </c>
      <c r="AM198" s="124" t="str">
        <f aca="false">IF(ISBLANK($C198),"",IF(ISBLANK($T198),0,IF(ISNUMBER($T198),IF(AND($T198&gt;=0,$T198&lt;=Constants!$B$17,$T198=INT($T198)),$T198,""),"")))</f>
        <v/>
      </c>
      <c r="AN198" s="125" t="str">
        <f aca="false">IF(ISBLANK($C198),"",IF(ISBLANK($U198),0,IF(ISNUMBER($U198),IF($U198&gt;=0,$U198,""),"")))</f>
        <v/>
      </c>
      <c r="AO198" s="124" t="str">
        <f aca="false">IF(ISBLANK($C198),"",IF($V198=Constants!$B$2,TRUE(),IF($V198=Constants!$B$3,FALSE(),FALSE())))</f>
        <v/>
      </c>
      <c r="AP198" s="124"/>
      <c r="AQ198" s="123" t="str">
        <f aca="false">IF(ISBLANK($C198),"",AND($Y198,OR($AS198,$BC198),OR($Z198="",$AA198="",$AB198="")))</f>
        <v/>
      </c>
      <c r="AR198" s="123" t="str">
        <f aca="false">IF(ISBLANK($C198),"",IF(OR(NOT($Y198),NOT(OR($AS198,$BC198))),"",IF(ISBLANK($D$7),$AR$5,IF($AP$9="",$AR$6,""))))</f>
        <v/>
      </c>
      <c r="AS198" s="123" t="str">
        <f aca="false">IF(ISBLANK($C198),"",COUNTA($J198:$O198)&gt;0)</f>
        <v/>
      </c>
      <c r="AT198" s="123" t="str">
        <f aca="false">IF(ISBLANK($C198),"",AND($AS198,OR(AND($AF198="",OR($AE198,NOT(ISBLANK($M198)))),$AG198="",$AH198="")))</f>
        <v/>
      </c>
      <c r="AU198" s="125" t="str">
        <f aca="false">IF($BL198&lt;&gt;Constants!$B$4,"",IF(NOT($AS198),"",ROUND((Constants!$B$12-$AB198)+(Constants!$B$13-$Z198)+(Constants!$B$14-$AA198),1)))</f>
        <v/>
      </c>
      <c r="AV198" s="127" t="str">
        <f aca="false">IF($BL198&lt;&gt;Constants!$B$4,"",IF(NOT($AS198),"",IF(NOT($AE198),0,Constants!$B$15*(INT(ROUND(MIN($AF198,$AP$9),6))-INT(ROUND(MAX(0,MIN($AF198,2*$AP$9)-$AP$9),6))))))</f>
        <v/>
      </c>
      <c r="AW198" s="127" t="str">
        <f aca="false">IF($BL198&lt;&gt;Constants!$B$4,"",IF(NOT($AS198),"",Constants!$B$16*$AG198))</f>
        <v/>
      </c>
      <c r="AX198" s="127" t="str">
        <f aca="false">IF($BL198&lt;&gt;Constants!$B$4,"",IF(NOT($AS198),"",Constants!$B$18*INT(ROUND($AH198,6))))</f>
        <v/>
      </c>
      <c r="AY198" s="123" t="str">
        <f aca="false">IF($BL198&lt;&gt;Constants!$B$4,"",IF(NOT($AS198),"",IF(NOT($X198),Constants!$B$11,IF(OR(NOT($AC198),NOT($AD198),ROUND($AB198,1)&gt;Constants!$B$12,ROUND($Z198,1)&gt;Constants!$B$13,ROUND($AA198,1)&gt;Constants!$B$14),Constants!$B$10,Constants!$B$9))))</f>
        <v/>
      </c>
      <c r="AZ198" s="128" t="str">
        <f aca="false">IF($BL198&lt;&gt;Constants!$B$4,"",IF(NOT($AS198),"",ROUND($AU198+$AV198+$AW198+$AX198,1)))</f>
        <v/>
      </c>
      <c r="BA198" s="129" t="str">
        <f aca="false">IF($BL198&lt;&gt;Constants!$B$4,"",IF(NOT($AS198),"",IF(ISNUMBER($AF198),$AF198,0)))</f>
        <v/>
      </c>
      <c r="BB198" s="124" t="str">
        <f aca="false">IF($BL198&lt;&gt;Constants!$B$4,"",IF(NOT($BC198),"&lt;-",IF(NOT($AS198),"-&gt;",IF(OR($BI198&lt;$AY198,AND($BI198=$AY198,OR($BJ198&gt;$AZ198,AND($BJ198=$AZ198,OR($BH198&gt;$AX198,AND($BH198=$AX198,OR($BE198&gt;$AU198,AND($BE198=$AU198,OR($BF198&gt;$AV198,AND($BF198=$AV198,$BK198&gt;$BA198)))))))))),"-&gt;","&lt;-"))))</f>
        <v/>
      </c>
      <c r="BC198" s="123" t="str">
        <f aca="false">IF(ISBLANK($C198),"",COUNTA($P198:$U198)&gt;0)</f>
        <v/>
      </c>
      <c r="BD198" s="123" t="str">
        <f aca="false">IF(ISBLANK($C198),"",AND($BC198,OR(AND($AL198="",OR($AK198,NOT(ISBLANK($S198)))),$AM198="",$AN198="")))</f>
        <v/>
      </c>
      <c r="BE198" s="125" t="str">
        <f aca="false">IF($BL198&lt;&gt;Constants!$B$4,"",IF(NOT($BC198),"",ROUND((Constants!$B$12-$AB198)+(Constants!$B$13-$Z198)+(Constants!$B$14-$AA198),1)))</f>
        <v/>
      </c>
      <c r="BF198" s="127" t="str">
        <f aca="false">IF($BL198&lt;&gt;Constants!$B$4,"",IF(NOT($BC198),"",IF(NOT($AK198),0,Constants!$B$15*(INT(ROUND(MIN($AL198,$AP$9),6))-INT(ROUND(MAX(0,MIN($AL198,2*$AP$9)-$AP$9),6))))))</f>
        <v/>
      </c>
      <c r="BG198" s="127" t="str">
        <f aca="false">IF($BL198&lt;&gt;Constants!$B$4,"",IF(NOT($BC198),"",Constants!$B$16*$AM198))</f>
        <v/>
      </c>
      <c r="BH198" s="127" t="str">
        <f aca="false">IF($BL198&lt;&gt;Constants!$B$4,"",IF(NOT($BC198),"",Constants!$B$18*INT(ROUND($AN198,6))))</f>
        <v/>
      </c>
      <c r="BI198" s="123" t="str">
        <f aca="false">IF($BL198&lt;&gt;Constants!$B$4,"",IF(NOT($BC198),"",IF(NOT($X198),Constants!$B$11,IF(OR(NOT($AI198),NOT($AJ198),ROUND($AB198,1)&gt;Constants!$B$12,ROUND($Z198,1)&gt;Constants!$B$13,ROUND($AA198,1)&gt;Constants!$B$14),Constants!$B$10,Constants!$B$9))))</f>
        <v/>
      </c>
      <c r="BJ198" s="128" t="str">
        <f aca="false">IF($BL198&lt;&gt;Constants!$B$4,"",IF(NOT($BC198),"",ROUND($BE198+$BF198+$BG198+$BH198,1)))</f>
        <v/>
      </c>
      <c r="BK198" s="129" t="str">
        <f aca="false">IF($BL198&lt;&gt;Constants!$B$4,"",IF(NOT($BC198),"",IF(ISNUMBER($AL198),$AL198,0)))</f>
        <v/>
      </c>
      <c r="BL198" s="124" t="str">
        <f aca="false">IF(ISBLANK($C198),"",IF($AO198,Constants!$B$7,IF(COUNTA($E198:$V198)=0,Constants!$B$6,IF(NOT($Y198),Constants!$B$5,IF(NOT(OR($AS198,$BC198)),Constants!$B$5,IF(OR($AT198,$BD198,$AQ198,$AR198&lt;&gt;""),Constants!$B$8,Constants!$B$4))))))</f>
        <v/>
      </c>
      <c r="BM198" s="124" t="str">
        <f aca="false">IF(ISBLANK($C198),"",IF($BL198&lt;&gt;Constants!$B$4,$BL198,IF($BB198="-&gt;",$BI198,$AY198)))</f>
        <v/>
      </c>
      <c r="BN198" s="127" t="str">
        <f aca="false">IF($BL198&lt;&gt;Constants!$B$4,"",IF($BB198="-&gt;",$BJ198,$AZ198))</f>
        <v/>
      </c>
      <c r="BO198" s="127" t="str">
        <f aca="false">IF(ISBLANK($C198),"",IF($BL198&lt;&gt;Constants!$B$4,$BL198,$BN198))</f>
        <v/>
      </c>
      <c r="BP198" s="124" t="str">
        <f aca="false">IF(ISBLANK($C198),"",IF($BL198&lt;&gt;Constants!$B$4,$BL198,RANK($BO198,$BO$9:$BO$508,0)))</f>
        <v/>
      </c>
      <c r="BQ198" s="124" t="str">
        <f aca="false">IF(ISBLANK($C198),"",IF($BL198&lt;&gt;Constants!$B$4,$BL198,COUNTIFS($BM$9:$BM$508,"&lt;"&amp;$BM198)+COUNTIFS($BM$9:$BM$508,$BM198,$BP$9:$BP$508,"&lt;"&amp;$BP198)+1))</f>
        <v/>
      </c>
      <c r="BR198" s="127" t="str">
        <f aca="false">IF($BL198&lt;&gt;Constants!$B$4,"",IF($BB198="-&gt;",$BH198,$AX198))</f>
        <v/>
      </c>
      <c r="BS198" s="124" t="str">
        <f aca="false">IF(ISBLANK($C198),"",IF($BL198&lt;&gt;Constants!$B$4,$BL198,IF(ISNUMBER($BR198),RANK($BR198,$BR$9:$BR$508,0),COUNT($BR$9:$BR$508)+1)))</f>
        <v/>
      </c>
      <c r="BT198" s="127" t="str">
        <f aca="false">IF($BL198&lt;&gt;Constants!$B$4,"",IF($BB198="-&gt;",$BE198,$AU198))</f>
        <v/>
      </c>
      <c r="BU198" s="124" t="str">
        <f aca="false">IF(ISBLANK($C198),"",IF($BL198&lt;&gt;Constants!$B$4,$BL198,IF(ISNUMBER($BT198),RANK($BT198,$BT$9:$BT$508,0),COUNT($BT$9:$BT$508)+1)))</f>
        <v/>
      </c>
      <c r="BV198" s="127" t="str">
        <f aca="false">IF($BL198&lt;&gt;Constants!$B$4,"",IF($BB198="-&gt;",$BF198,$AV198))</f>
        <v/>
      </c>
      <c r="BW198" s="124" t="str">
        <f aca="false">IF(ISBLANK($C198),"",IF($BL198&lt;&gt;Constants!$B$4,$BL198,IF(ISNUMBER($BV198),RANK($BV198,$BV$9:$BV$508,0),COUNT($BV$9:$BV$508)+1)))</f>
        <v/>
      </c>
      <c r="BX198" s="127" t="str">
        <f aca="false">IF($BL198&lt;&gt;Constants!$B$4,"",IF($BB198="-&gt;",$BK198,$BA198))</f>
        <v/>
      </c>
      <c r="BY198" s="124" t="str">
        <f aca="false">IF(ISBLANK($C198),"",IF($BL198&lt;&gt;Constants!$B$4,$BL198,IF(ISNUMBER($BX198),RANK($BX198,$BX$9:$BX$508,0),COUNT($BX$9:$BX$508)+1)))</f>
        <v/>
      </c>
      <c r="BZ198" s="124" t="str">
        <f aca="false">IF(ISBLANK($C198),"",IF($BL198&lt;&gt;Constants!$B$4,$BL198,COUNTIFS($BM$9:$BM$508,"&lt;"&amp;$BM198)+COUNTIFS($BM$9:$BM$508,$BM198,$BP$9:$BP$508,"&lt;"&amp;$BP198)+COUNTIFS($BM$9:$BM$508,$BM198,$BP$9:$BP$508,$BP198,$BS$9:$BS$508,"&lt;"&amp;$BS198)+COUNTIFS($BM$9:$BM$508,$BM198,$BP$9:$BP$508,$BP198,$BS$9:$BS$508,$BS198,$BU$9:$BU$508,"&lt;"&amp;$BU198)+COUNTIFS($BM$9:$BM$508,$BM198,$BP$9:$BP$508,$BP198,$BS$9:$BS$508,$BS198,$BU$9:$BU$508,$BU198,$BW$9:$BW$508,"&lt;"&amp;$BW198)+COUNTIFS($BM$9:$BM$508,$BM198,$BP$9:$BP$508,$BP198,$BS$9:$BS$508,$BS198,$BU$9:$BU$508,$BU198,$BW$9:$BW$508,$BW198,$BY$9:$BY$508,"&lt;"&amp;$BY198)+1))</f>
        <v/>
      </c>
      <c r="CA198" s="124" t="str">
        <f aca="false">IF(ISBLANK($C198),"",IF($BL198&lt;&gt;Constants!$B$4,$BL198,$BQ198-$BZ198))</f>
        <v/>
      </c>
      <c r="CB198" s="130"/>
      <c r="CC198" s="131" t="str">
        <f aca="false">IF(ISBLANK($C198),"",IF($BL198=Constants!$B$8,$AR198,""))</f>
        <v/>
      </c>
      <c r="CD198" s="131" t="str">
        <f aca="false">IF(ISBLANK($C198),"",IF($BL198&lt;&gt;Constants!$B$4,"",IF($BB198="-&gt;",2,1)))</f>
        <v/>
      </c>
      <c r="CE198" s="132" t="str">
        <f aca="false">IF(ISBLANK($C198),"",IF($BL198&lt;&gt;Constants!$B$4,"",IF($BB198="-&gt;",$BE198,$AU198)))</f>
        <v/>
      </c>
      <c r="CF198" s="132" t="str">
        <f aca="false">IF(ISBLANK($C198),"",IF($BL198&lt;&gt;Constants!$B$4,"",IF($BB198="-&gt;",$BF198,$AV198)))</f>
        <v/>
      </c>
      <c r="CG198" s="132" t="str">
        <f aca="false">IF(ISBLANK($C198),"",IF($BL198&lt;&gt;Constants!$B$4,"",IF($BB198="-&gt;",$BG198,$AW198)))</f>
        <v/>
      </c>
      <c r="CH198" s="132" t="str">
        <f aca="false">IF(ISBLANK($C198),"",IF($BL198&lt;&gt;Constants!$B$4,"",IF($BB198="-&gt;",$BH198,$AX198)))</f>
        <v/>
      </c>
      <c r="CI198" s="133" t="str">
        <f aca="false">IF(ISBLANK($C198),"",$BO198)</f>
        <v/>
      </c>
      <c r="CJ198" s="134" t="str">
        <f aca="false">IF(ISBLANK($C198),"",$BM198)</f>
        <v/>
      </c>
      <c r="CK198" s="135" t="str">
        <f aca="false">IF(ISBLANK($C198),"",$CA198)</f>
        <v/>
      </c>
      <c r="CL198" s="135" t="str">
        <f aca="false">IF(ISBLANK($C198),"",$BZ198)</f>
        <v/>
      </c>
      <c r="CM198" s="136" t="str">
        <f aca="false">IF(ISBLANK($C198),"",IF($CL198=Constants!$B$7,COUNTA($C$9:$C$508)+2,IF($CL198=Constants!$B$6,COUNTA($C$9:$C$508)+1,IF($CL198=Constants!$B$5,COUNTA($C$9:$C$508),$CL198))))</f>
        <v/>
      </c>
      <c r="CN198" s="8"/>
      <c r="CO198" s="137" t="n">
        <f aca="false">IF(OR(ISNUMBER($CL198),$CL198=Constants!$B$7,$CL198=Constants!$B$5,$CL198=Constants!$B$6),1,0)</f>
        <v>0</v>
      </c>
      <c r="CP198" s="137" t="n">
        <v>190</v>
      </c>
      <c r="CQ198" s="137" t="str">
        <f aca="false">IF(ISBLANK($C198),"",IF(ISNUMBER($CM198),$CM198+ROW($B198)/1000,""))</f>
        <v/>
      </c>
      <c r="CR198" s="137" t="str">
        <f aca="false">IF(ISNUMBER($CQ198),RANK($CQ198,$CQ$9:$CQ$508,1),"")</f>
        <v/>
      </c>
      <c r="CS198" s="137" t="str">
        <f aca="false">IF(ISBLANK($C198),"",$B198)</f>
        <v/>
      </c>
      <c r="CT198" s="137" t="str">
        <f aca="false">IF(ISBLANK($C198),"",$C198)</f>
        <v/>
      </c>
      <c r="CU198" s="137" t="str">
        <f aca="false">IF(ISBLANK($C198),"",$D198)</f>
        <v/>
      </c>
      <c r="CV198" s="138" t="str">
        <f aca="false">$CJ198</f>
        <v/>
      </c>
      <c r="CW198" s="139" t="str">
        <f aca="false">$CI198</f>
        <v/>
      </c>
      <c r="CX198" s="137" t="str">
        <f aca="false">IF(ISBLANK($C198),"",$CL198)</f>
        <v/>
      </c>
      <c r="CY198" s="140" t="str">
        <f aca="false">IF($CP198&gt;$CO$8,"",VLOOKUP($CP198,$CR$9:$CX$508,7,FALSE()))</f>
        <v/>
      </c>
      <c r="CZ198" s="141" t="str">
        <f aca="false">IF($CP198&gt;$CO$8,"",VLOOKUP($CP198,$CR$9:$CX$508,2,FALSE()))</f>
        <v/>
      </c>
      <c r="DA198" s="141" t="str">
        <f aca="false">IF($CP198&gt;$CO$8,"",VLOOKUP($CP198,$CR$9:$CX$508,3,FALSE()))</f>
        <v/>
      </c>
      <c r="DB198" s="141" t="str">
        <f aca="false">IF($CP198&gt;$CO$8,"",VLOOKUP($CP198,$CR$9:$CX$508,4,FALSE()))</f>
        <v/>
      </c>
      <c r="DC198" s="141" t="str">
        <f aca="false">IF($CP198&gt;$CO$8,"",VLOOKUP($CP198,$CR$9:$CX$508,5,FALSE()))</f>
        <v/>
      </c>
      <c r="DD198" s="142" t="str">
        <f aca="false">IF($CP198&gt;$CO$8,"",VLOOKUP($CP198,$CR$9:$CX$508,6,FALSE()))</f>
        <v/>
      </c>
      <c r="DE198" s="70"/>
    </row>
    <row r="199" customFormat="false" ht="15.75" hidden="false" customHeight="false" outlineLevel="0" collapsed="false">
      <c r="A199" s="8"/>
      <c r="B199" s="146"/>
      <c r="C199" s="147"/>
      <c r="D199" s="148"/>
      <c r="E199" s="164"/>
      <c r="F199" s="150"/>
      <c r="G199" s="115"/>
      <c r="H199" s="115"/>
      <c r="I199" s="115"/>
      <c r="J199" s="165"/>
      <c r="K199" s="154"/>
      <c r="L199" s="154"/>
      <c r="M199" s="118"/>
      <c r="N199" s="154"/>
      <c r="O199" s="153"/>
      <c r="P199" s="154"/>
      <c r="Q199" s="154"/>
      <c r="R199" s="154"/>
      <c r="S199" s="115"/>
      <c r="T199" s="154"/>
      <c r="U199" s="153"/>
      <c r="V199" s="154"/>
      <c r="W199" s="123"/>
      <c r="X199" s="124" t="str">
        <f aca="false">IF(ISBLANK($C199),"",IF($E199=Constants!$B$2,TRUE(),IF($E199=Constants!$B$3,FALSE(),TRUE())))</f>
        <v/>
      </c>
      <c r="Y199" s="124" t="str">
        <f aca="false">IF(ISBLANK($C199),"",IF($F199=Constants!$B$2,TRUE(),IF($F199=Constants!$B$3,FALSE(),TRUE())))</f>
        <v/>
      </c>
      <c r="Z199" s="125" t="str">
        <f aca="false">IF(ISBLANK($C199),"",IF(ISNUMBER($G199),IF($G199&gt;=0,$G199,""),""))</f>
        <v/>
      </c>
      <c r="AA199" s="125" t="str">
        <f aca="false">IF(ISBLANK($C199),"",IF(ISNUMBER($H199),IF($H199&gt;=0,$H199,""),""))</f>
        <v/>
      </c>
      <c r="AB199" s="125" t="str">
        <f aca="false">IF(ISBLANK($C199),"",IF(ISNUMBER($I199),IF($I199&gt;=0,$I199,""),""))</f>
        <v/>
      </c>
      <c r="AC199" s="124" t="str">
        <f aca="false">IF(ISBLANK($C199),"",IF($J199=Constants!$B$2,TRUE(),IF($J199=Constants!$B$3,FALSE(),TRUE())))</f>
        <v/>
      </c>
      <c r="AD199" s="124" t="str">
        <f aca="false">IF(ISBLANK($C199),"",IF($K199=Constants!$B$2,TRUE(),IF($K199=Constants!$B$3,FALSE(),TRUE())))</f>
        <v/>
      </c>
      <c r="AE199" s="124" t="str">
        <f aca="false">IF(ISBLANK($C199),"",IF($L199=Constants!$B$2,TRUE(),IF($L199=Constants!$B$3,FALSE(),TRUE())))</f>
        <v/>
      </c>
      <c r="AF199" s="126" t="str">
        <f aca="false">IF(ISBLANK($C199),"",IF(ISNUMBER($M199),IF($M199&gt;=0,$M199,""),""))</f>
        <v/>
      </c>
      <c r="AG199" s="124" t="str">
        <f aca="false">IF(ISBLANK($C199),"",IF(ISBLANK($N199),0,IF(ISNUMBER($N199),IF(AND($N199&gt;=0,$N199&lt;=Constants!$B$17,$N199=INT($N199)),$N199,""),"")))</f>
        <v/>
      </c>
      <c r="AH199" s="125" t="str">
        <f aca="false">IF(ISBLANK($C199),"",IF(ISBLANK($O199),0,IF(ISNUMBER($O199),IF($O199&gt;=0,$O199,""),"")))</f>
        <v/>
      </c>
      <c r="AI199" s="124" t="str">
        <f aca="false">IF(ISBLANK($C199),"",IF($P199=Constants!$B$2,TRUE(),IF($P199=Constants!$B$3,FALSE(),TRUE())))</f>
        <v/>
      </c>
      <c r="AJ199" s="124" t="str">
        <f aca="false">IF(ISBLANK($C199),"",IF($Q199=Constants!$B$2,TRUE(),IF($Q199=Constants!$B$3,FALSE(),TRUE())))</f>
        <v/>
      </c>
      <c r="AK199" s="124" t="str">
        <f aca="false">IF(ISBLANK($C199),"",IF($R199=Constants!$B$2,TRUE(),IF($R199=Constants!$B$3,FALSE(),TRUE())))</f>
        <v/>
      </c>
      <c r="AL199" s="126" t="str">
        <f aca="false">IF(ISBLANK($C199),"",IF(ISNUMBER($S199),IF($S199&gt;=0,$S199,""),""))</f>
        <v/>
      </c>
      <c r="AM199" s="124" t="str">
        <f aca="false">IF(ISBLANK($C199),"",IF(ISBLANK($T199),0,IF(ISNUMBER($T199),IF(AND($T199&gt;=0,$T199&lt;=Constants!$B$17,$T199=INT($T199)),$T199,""),"")))</f>
        <v/>
      </c>
      <c r="AN199" s="125" t="str">
        <f aca="false">IF(ISBLANK($C199),"",IF(ISBLANK($U199),0,IF(ISNUMBER($U199),IF($U199&gt;=0,$U199,""),"")))</f>
        <v/>
      </c>
      <c r="AO199" s="124" t="str">
        <f aca="false">IF(ISBLANK($C199),"",IF($V199=Constants!$B$2,TRUE(),IF($V199=Constants!$B$3,FALSE(),FALSE())))</f>
        <v/>
      </c>
      <c r="AP199" s="124"/>
      <c r="AQ199" s="123" t="str">
        <f aca="false">IF(ISBLANK($C199),"",AND($Y199,OR($AS199,$BC199),OR($Z199="",$AA199="",$AB199="")))</f>
        <v/>
      </c>
      <c r="AR199" s="123" t="str">
        <f aca="false">IF(ISBLANK($C199),"",IF(OR(NOT($Y199),NOT(OR($AS199,$BC199))),"",IF(ISBLANK($D$7),$AR$5,IF($AP$9="",$AR$6,""))))</f>
        <v/>
      </c>
      <c r="AS199" s="123" t="str">
        <f aca="false">IF(ISBLANK($C199),"",COUNTA($J199:$O199)&gt;0)</f>
        <v/>
      </c>
      <c r="AT199" s="123" t="str">
        <f aca="false">IF(ISBLANK($C199),"",AND($AS199,OR(AND($AF199="",OR($AE199,NOT(ISBLANK($M199)))),$AG199="",$AH199="")))</f>
        <v/>
      </c>
      <c r="AU199" s="125" t="str">
        <f aca="false">IF($BL199&lt;&gt;Constants!$B$4,"",IF(NOT($AS199),"",ROUND((Constants!$B$12-$AB199)+(Constants!$B$13-$Z199)+(Constants!$B$14-$AA199),1)))</f>
        <v/>
      </c>
      <c r="AV199" s="127" t="str">
        <f aca="false">IF($BL199&lt;&gt;Constants!$B$4,"",IF(NOT($AS199),"",IF(NOT($AE199),0,Constants!$B$15*(INT(ROUND(MIN($AF199,$AP$9),6))-INT(ROUND(MAX(0,MIN($AF199,2*$AP$9)-$AP$9),6))))))</f>
        <v/>
      </c>
      <c r="AW199" s="127" t="str">
        <f aca="false">IF($BL199&lt;&gt;Constants!$B$4,"",IF(NOT($AS199),"",Constants!$B$16*$AG199))</f>
        <v/>
      </c>
      <c r="AX199" s="127" t="str">
        <f aca="false">IF($BL199&lt;&gt;Constants!$B$4,"",IF(NOT($AS199),"",Constants!$B$18*INT(ROUND($AH199,6))))</f>
        <v/>
      </c>
      <c r="AY199" s="123" t="str">
        <f aca="false">IF($BL199&lt;&gt;Constants!$B$4,"",IF(NOT($AS199),"",IF(NOT($X199),Constants!$B$11,IF(OR(NOT($AC199),NOT($AD199),ROUND($AB199,1)&gt;Constants!$B$12,ROUND($Z199,1)&gt;Constants!$B$13,ROUND($AA199,1)&gt;Constants!$B$14),Constants!$B$10,Constants!$B$9))))</f>
        <v/>
      </c>
      <c r="AZ199" s="128" t="str">
        <f aca="false">IF($BL199&lt;&gt;Constants!$B$4,"",IF(NOT($AS199),"",ROUND($AU199+$AV199+$AW199+$AX199,1)))</f>
        <v/>
      </c>
      <c r="BA199" s="129" t="str">
        <f aca="false">IF($BL199&lt;&gt;Constants!$B$4,"",IF(NOT($AS199),"",IF(ISNUMBER($AF199),$AF199,0)))</f>
        <v/>
      </c>
      <c r="BB199" s="124" t="str">
        <f aca="false">IF($BL199&lt;&gt;Constants!$B$4,"",IF(NOT($BC199),"&lt;-",IF(NOT($AS199),"-&gt;",IF(OR($BI199&lt;$AY199,AND($BI199=$AY199,OR($BJ199&gt;$AZ199,AND($BJ199=$AZ199,OR($BH199&gt;$AX199,AND($BH199=$AX199,OR($BE199&gt;$AU199,AND($BE199=$AU199,OR($BF199&gt;$AV199,AND($BF199=$AV199,$BK199&gt;$BA199)))))))))),"-&gt;","&lt;-"))))</f>
        <v/>
      </c>
      <c r="BC199" s="123" t="str">
        <f aca="false">IF(ISBLANK($C199),"",COUNTA($P199:$U199)&gt;0)</f>
        <v/>
      </c>
      <c r="BD199" s="123" t="str">
        <f aca="false">IF(ISBLANK($C199),"",AND($BC199,OR(AND($AL199="",OR($AK199,NOT(ISBLANK($S199)))),$AM199="",$AN199="")))</f>
        <v/>
      </c>
      <c r="BE199" s="125" t="str">
        <f aca="false">IF($BL199&lt;&gt;Constants!$B$4,"",IF(NOT($BC199),"",ROUND((Constants!$B$12-$AB199)+(Constants!$B$13-$Z199)+(Constants!$B$14-$AA199),1)))</f>
        <v/>
      </c>
      <c r="BF199" s="127" t="str">
        <f aca="false">IF($BL199&lt;&gt;Constants!$B$4,"",IF(NOT($BC199),"",IF(NOT($AK199),0,Constants!$B$15*(INT(ROUND(MIN($AL199,$AP$9),6))-INT(ROUND(MAX(0,MIN($AL199,2*$AP$9)-$AP$9),6))))))</f>
        <v/>
      </c>
      <c r="BG199" s="127" t="str">
        <f aca="false">IF($BL199&lt;&gt;Constants!$B$4,"",IF(NOT($BC199),"",Constants!$B$16*$AM199))</f>
        <v/>
      </c>
      <c r="BH199" s="127" t="str">
        <f aca="false">IF($BL199&lt;&gt;Constants!$B$4,"",IF(NOT($BC199),"",Constants!$B$18*INT(ROUND($AN199,6))))</f>
        <v/>
      </c>
      <c r="BI199" s="123" t="str">
        <f aca="false">IF($BL199&lt;&gt;Constants!$B$4,"",IF(NOT($BC199),"",IF(NOT($X199),Constants!$B$11,IF(OR(NOT($AI199),NOT($AJ199),ROUND($AB199,1)&gt;Constants!$B$12,ROUND($Z199,1)&gt;Constants!$B$13,ROUND($AA199,1)&gt;Constants!$B$14),Constants!$B$10,Constants!$B$9))))</f>
        <v/>
      </c>
      <c r="BJ199" s="128" t="str">
        <f aca="false">IF($BL199&lt;&gt;Constants!$B$4,"",IF(NOT($BC199),"",ROUND($BE199+$BF199+$BG199+$BH199,1)))</f>
        <v/>
      </c>
      <c r="BK199" s="129" t="str">
        <f aca="false">IF($BL199&lt;&gt;Constants!$B$4,"",IF(NOT($BC199),"",IF(ISNUMBER($AL199),$AL199,0)))</f>
        <v/>
      </c>
      <c r="BL199" s="124" t="str">
        <f aca="false">IF(ISBLANK($C199),"",IF($AO199,Constants!$B$7,IF(COUNTA($E199:$V199)=0,Constants!$B$6,IF(NOT($Y199),Constants!$B$5,IF(NOT(OR($AS199,$BC199)),Constants!$B$5,IF(OR($AT199,$BD199,$AQ199,$AR199&lt;&gt;""),Constants!$B$8,Constants!$B$4))))))</f>
        <v/>
      </c>
      <c r="BM199" s="124" t="str">
        <f aca="false">IF(ISBLANK($C199),"",IF($BL199&lt;&gt;Constants!$B$4,$BL199,IF($BB199="-&gt;",$BI199,$AY199)))</f>
        <v/>
      </c>
      <c r="BN199" s="127" t="str">
        <f aca="false">IF($BL199&lt;&gt;Constants!$B$4,"",IF($BB199="-&gt;",$BJ199,$AZ199))</f>
        <v/>
      </c>
      <c r="BO199" s="127" t="str">
        <f aca="false">IF(ISBLANK($C199),"",IF($BL199&lt;&gt;Constants!$B$4,$BL199,$BN199))</f>
        <v/>
      </c>
      <c r="BP199" s="124" t="str">
        <f aca="false">IF(ISBLANK($C199),"",IF($BL199&lt;&gt;Constants!$B$4,$BL199,RANK($BO199,$BO$9:$BO$508,0)))</f>
        <v/>
      </c>
      <c r="BQ199" s="124" t="str">
        <f aca="false">IF(ISBLANK($C199),"",IF($BL199&lt;&gt;Constants!$B$4,$BL199,COUNTIFS($BM$9:$BM$508,"&lt;"&amp;$BM199)+COUNTIFS($BM$9:$BM$508,$BM199,$BP$9:$BP$508,"&lt;"&amp;$BP199)+1))</f>
        <v/>
      </c>
      <c r="BR199" s="127" t="str">
        <f aca="false">IF($BL199&lt;&gt;Constants!$B$4,"",IF($BB199="-&gt;",$BH199,$AX199))</f>
        <v/>
      </c>
      <c r="BS199" s="124" t="str">
        <f aca="false">IF(ISBLANK($C199),"",IF($BL199&lt;&gt;Constants!$B$4,$BL199,IF(ISNUMBER($BR199),RANK($BR199,$BR$9:$BR$508,0),COUNT($BR$9:$BR$508)+1)))</f>
        <v/>
      </c>
      <c r="BT199" s="127" t="str">
        <f aca="false">IF($BL199&lt;&gt;Constants!$B$4,"",IF($BB199="-&gt;",$BE199,$AU199))</f>
        <v/>
      </c>
      <c r="BU199" s="124" t="str">
        <f aca="false">IF(ISBLANK($C199),"",IF($BL199&lt;&gt;Constants!$B$4,$BL199,IF(ISNUMBER($BT199),RANK($BT199,$BT$9:$BT$508,0),COUNT($BT$9:$BT$508)+1)))</f>
        <v/>
      </c>
      <c r="BV199" s="127" t="str">
        <f aca="false">IF($BL199&lt;&gt;Constants!$B$4,"",IF($BB199="-&gt;",$BF199,$AV199))</f>
        <v/>
      </c>
      <c r="BW199" s="124" t="str">
        <f aca="false">IF(ISBLANK($C199),"",IF($BL199&lt;&gt;Constants!$B$4,$BL199,IF(ISNUMBER($BV199),RANK($BV199,$BV$9:$BV$508,0),COUNT($BV$9:$BV$508)+1)))</f>
        <v/>
      </c>
      <c r="BX199" s="127" t="str">
        <f aca="false">IF($BL199&lt;&gt;Constants!$B$4,"",IF($BB199="-&gt;",$BK199,$BA199))</f>
        <v/>
      </c>
      <c r="BY199" s="124" t="str">
        <f aca="false">IF(ISBLANK($C199),"",IF($BL199&lt;&gt;Constants!$B$4,$BL199,IF(ISNUMBER($BX199),RANK($BX199,$BX$9:$BX$508,0),COUNT($BX$9:$BX$508)+1)))</f>
        <v/>
      </c>
      <c r="BZ199" s="124" t="str">
        <f aca="false">IF(ISBLANK($C199),"",IF($BL199&lt;&gt;Constants!$B$4,$BL199,COUNTIFS($BM$9:$BM$508,"&lt;"&amp;$BM199)+COUNTIFS($BM$9:$BM$508,$BM199,$BP$9:$BP$508,"&lt;"&amp;$BP199)+COUNTIFS($BM$9:$BM$508,$BM199,$BP$9:$BP$508,$BP199,$BS$9:$BS$508,"&lt;"&amp;$BS199)+COUNTIFS($BM$9:$BM$508,$BM199,$BP$9:$BP$508,$BP199,$BS$9:$BS$508,$BS199,$BU$9:$BU$508,"&lt;"&amp;$BU199)+COUNTIFS($BM$9:$BM$508,$BM199,$BP$9:$BP$508,$BP199,$BS$9:$BS$508,$BS199,$BU$9:$BU$508,$BU199,$BW$9:$BW$508,"&lt;"&amp;$BW199)+COUNTIFS($BM$9:$BM$508,$BM199,$BP$9:$BP$508,$BP199,$BS$9:$BS$508,$BS199,$BU$9:$BU$508,$BU199,$BW$9:$BW$508,$BW199,$BY$9:$BY$508,"&lt;"&amp;$BY199)+1))</f>
        <v/>
      </c>
      <c r="CA199" s="124" t="str">
        <f aca="false">IF(ISBLANK($C199),"",IF($BL199&lt;&gt;Constants!$B$4,$BL199,$BQ199-$BZ199))</f>
        <v/>
      </c>
      <c r="CB199" s="130"/>
      <c r="CC199" s="131" t="str">
        <f aca="false">IF(ISBLANK($C199),"",IF($BL199=Constants!$B$8,$AR199,""))</f>
        <v/>
      </c>
      <c r="CD199" s="131" t="str">
        <f aca="false">IF(ISBLANK($C199),"",IF($BL199&lt;&gt;Constants!$B$4,"",IF($BB199="-&gt;",2,1)))</f>
        <v/>
      </c>
      <c r="CE199" s="132" t="str">
        <f aca="false">IF(ISBLANK($C199),"",IF($BL199&lt;&gt;Constants!$B$4,"",IF($BB199="-&gt;",$BE199,$AU199)))</f>
        <v/>
      </c>
      <c r="CF199" s="132" t="str">
        <f aca="false">IF(ISBLANK($C199),"",IF($BL199&lt;&gt;Constants!$B$4,"",IF($BB199="-&gt;",$BF199,$AV199)))</f>
        <v/>
      </c>
      <c r="CG199" s="132" t="str">
        <f aca="false">IF(ISBLANK($C199),"",IF($BL199&lt;&gt;Constants!$B$4,"",IF($BB199="-&gt;",$BG199,$AW199)))</f>
        <v/>
      </c>
      <c r="CH199" s="132" t="str">
        <f aca="false">IF(ISBLANK($C199),"",IF($BL199&lt;&gt;Constants!$B$4,"",IF($BB199="-&gt;",$BH199,$AX199)))</f>
        <v/>
      </c>
      <c r="CI199" s="133" t="str">
        <f aca="false">IF(ISBLANK($C199),"",$BO199)</f>
        <v/>
      </c>
      <c r="CJ199" s="134" t="str">
        <f aca="false">IF(ISBLANK($C199),"",$BM199)</f>
        <v/>
      </c>
      <c r="CK199" s="135" t="str">
        <f aca="false">IF(ISBLANK($C199),"",$CA199)</f>
        <v/>
      </c>
      <c r="CL199" s="135" t="str">
        <f aca="false">IF(ISBLANK($C199),"",$BZ199)</f>
        <v/>
      </c>
      <c r="CM199" s="136" t="str">
        <f aca="false">IF(ISBLANK($C199),"",IF($CL199=Constants!$B$7,COUNTA($C$9:$C$508)+2,IF($CL199=Constants!$B$6,COUNTA($C$9:$C$508)+1,IF($CL199=Constants!$B$5,COUNTA($C$9:$C$508),$CL199))))</f>
        <v/>
      </c>
      <c r="CN199" s="8"/>
      <c r="CO199" s="137" t="n">
        <f aca="false">IF(OR(ISNUMBER($CL199),$CL199=Constants!$B$7,$CL199=Constants!$B$5,$CL199=Constants!$B$6),1,0)</f>
        <v>0</v>
      </c>
      <c r="CP199" s="137" t="n">
        <v>191</v>
      </c>
      <c r="CQ199" s="137" t="str">
        <f aca="false">IF(ISBLANK($C199),"",IF(ISNUMBER($CM199),$CM199+ROW($B199)/1000,""))</f>
        <v/>
      </c>
      <c r="CR199" s="137" t="str">
        <f aca="false">IF(ISNUMBER($CQ199),RANK($CQ199,$CQ$9:$CQ$508,1),"")</f>
        <v/>
      </c>
      <c r="CS199" s="137" t="str">
        <f aca="false">IF(ISBLANK($C199),"",$B199)</f>
        <v/>
      </c>
      <c r="CT199" s="137" t="str">
        <f aca="false">IF(ISBLANK($C199),"",$C199)</f>
        <v/>
      </c>
      <c r="CU199" s="137" t="str">
        <f aca="false">IF(ISBLANK($C199),"",$D199)</f>
        <v/>
      </c>
      <c r="CV199" s="138" t="str">
        <f aca="false">$CJ199</f>
        <v/>
      </c>
      <c r="CW199" s="139" t="str">
        <f aca="false">$CI199</f>
        <v/>
      </c>
      <c r="CX199" s="137" t="str">
        <f aca="false">IF(ISBLANK($C199),"",$CL199)</f>
        <v/>
      </c>
      <c r="CY199" s="140" t="str">
        <f aca="false">IF($CP199&gt;$CO$8,"",VLOOKUP($CP199,$CR$9:$CX$508,7,FALSE()))</f>
        <v/>
      </c>
      <c r="CZ199" s="141" t="str">
        <f aca="false">IF($CP199&gt;$CO$8,"",VLOOKUP($CP199,$CR$9:$CX$508,2,FALSE()))</f>
        <v/>
      </c>
      <c r="DA199" s="141" t="str">
        <f aca="false">IF($CP199&gt;$CO$8,"",VLOOKUP($CP199,$CR$9:$CX$508,3,FALSE()))</f>
        <v/>
      </c>
      <c r="DB199" s="141" t="str">
        <f aca="false">IF($CP199&gt;$CO$8,"",VLOOKUP($CP199,$CR$9:$CX$508,4,FALSE()))</f>
        <v/>
      </c>
      <c r="DC199" s="141" t="str">
        <f aca="false">IF($CP199&gt;$CO$8,"",VLOOKUP($CP199,$CR$9:$CX$508,5,FALSE()))</f>
        <v/>
      </c>
      <c r="DD199" s="142" t="str">
        <f aca="false">IF($CP199&gt;$CO$8,"",VLOOKUP($CP199,$CR$9:$CX$508,6,FALSE()))</f>
        <v/>
      </c>
      <c r="DE199" s="70"/>
    </row>
    <row r="200" customFormat="false" ht="15.75" hidden="false" customHeight="false" outlineLevel="0" collapsed="false">
      <c r="A200" s="8"/>
      <c r="B200" s="146"/>
      <c r="C200" s="147"/>
      <c r="D200" s="148"/>
      <c r="E200" s="164"/>
      <c r="F200" s="150"/>
      <c r="G200" s="115"/>
      <c r="H200" s="115"/>
      <c r="I200" s="115"/>
      <c r="J200" s="165"/>
      <c r="K200" s="154"/>
      <c r="L200" s="154"/>
      <c r="M200" s="118"/>
      <c r="N200" s="154"/>
      <c r="O200" s="153"/>
      <c r="P200" s="154"/>
      <c r="Q200" s="154"/>
      <c r="R200" s="154"/>
      <c r="S200" s="115"/>
      <c r="T200" s="154"/>
      <c r="U200" s="153"/>
      <c r="V200" s="154"/>
      <c r="W200" s="123"/>
      <c r="X200" s="124" t="str">
        <f aca="false">IF(ISBLANK($C200),"",IF($E200=Constants!$B$2,TRUE(),IF($E200=Constants!$B$3,FALSE(),TRUE())))</f>
        <v/>
      </c>
      <c r="Y200" s="124" t="str">
        <f aca="false">IF(ISBLANK($C200),"",IF($F200=Constants!$B$2,TRUE(),IF($F200=Constants!$B$3,FALSE(),TRUE())))</f>
        <v/>
      </c>
      <c r="Z200" s="125" t="str">
        <f aca="false">IF(ISBLANK($C200),"",IF(ISNUMBER($G200),IF($G200&gt;=0,$G200,""),""))</f>
        <v/>
      </c>
      <c r="AA200" s="125" t="str">
        <f aca="false">IF(ISBLANK($C200),"",IF(ISNUMBER($H200),IF($H200&gt;=0,$H200,""),""))</f>
        <v/>
      </c>
      <c r="AB200" s="125" t="str">
        <f aca="false">IF(ISBLANK($C200),"",IF(ISNUMBER($I200),IF($I200&gt;=0,$I200,""),""))</f>
        <v/>
      </c>
      <c r="AC200" s="124" t="str">
        <f aca="false">IF(ISBLANK($C200),"",IF($J200=Constants!$B$2,TRUE(),IF($J200=Constants!$B$3,FALSE(),TRUE())))</f>
        <v/>
      </c>
      <c r="AD200" s="124" t="str">
        <f aca="false">IF(ISBLANK($C200),"",IF($K200=Constants!$B$2,TRUE(),IF($K200=Constants!$B$3,FALSE(),TRUE())))</f>
        <v/>
      </c>
      <c r="AE200" s="124" t="str">
        <f aca="false">IF(ISBLANK($C200),"",IF($L200=Constants!$B$2,TRUE(),IF($L200=Constants!$B$3,FALSE(),TRUE())))</f>
        <v/>
      </c>
      <c r="AF200" s="126" t="str">
        <f aca="false">IF(ISBLANK($C200),"",IF(ISNUMBER($M200),IF($M200&gt;=0,$M200,""),""))</f>
        <v/>
      </c>
      <c r="AG200" s="124" t="str">
        <f aca="false">IF(ISBLANK($C200),"",IF(ISBLANK($N200),0,IF(ISNUMBER($N200),IF(AND($N200&gt;=0,$N200&lt;=Constants!$B$17,$N200=INT($N200)),$N200,""),"")))</f>
        <v/>
      </c>
      <c r="AH200" s="125" t="str">
        <f aca="false">IF(ISBLANK($C200),"",IF(ISBLANK($O200),0,IF(ISNUMBER($O200),IF($O200&gt;=0,$O200,""),"")))</f>
        <v/>
      </c>
      <c r="AI200" s="124" t="str">
        <f aca="false">IF(ISBLANK($C200),"",IF($P200=Constants!$B$2,TRUE(),IF($P200=Constants!$B$3,FALSE(),TRUE())))</f>
        <v/>
      </c>
      <c r="AJ200" s="124" t="str">
        <f aca="false">IF(ISBLANK($C200),"",IF($Q200=Constants!$B$2,TRUE(),IF($Q200=Constants!$B$3,FALSE(),TRUE())))</f>
        <v/>
      </c>
      <c r="AK200" s="124" t="str">
        <f aca="false">IF(ISBLANK($C200),"",IF($R200=Constants!$B$2,TRUE(),IF($R200=Constants!$B$3,FALSE(),TRUE())))</f>
        <v/>
      </c>
      <c r="AL200" s="126" t="str">
        <f aca="false">IF(ISBLANK($C200),"",IF(ISNUMBER($S200),IF($S200&gt;=0,$S200,""),""))</f>
        <v/>
      </c>
      <c r="AM200" s="124" t="str">
        <f aca="false">IF(ISBLANK($C200),"",IF(ISBLANK($T200),0,IF(ISNUMBER($T200),IF(AND($T200&gt;=0,$T200&lt;=Constants!$B$17,$T200=INT($T200)),$T200,""),"")))</f>
        <v/>
      </c>
      <c r="AN200" s="125" t="str">
        <f aca="false">IF(ISBLANK($C200),"",IF(ISBLANK($U200),0,IF(ISNUMBER($U200),IF($U200&gt;=0,$U200,""),"")))</f>
        <v/>
      </c>
      <c r="AO200" s="124" t="str">
        <f aca="false">IF(ISBLANK($C200),"",IF($V200=Constants!$B$2,TRUE(),IF($V200=Constants!$B$3,FALSE(),FALSE())))</f>
        <v/>
      </c>
      <c r="AP200" s="124"/>
      <c r="AQ200" s="123" t="str">
        <f aca="false">IF(ISBLANK($C200),"",AND($Y200,OR($AS200,$BC200),OR($Z200="",$AA200="",$AB200="")))</f>
        <v/>
      </c>
      <c r="AR200" s="123" t="str">
        <f aca="false">IF(ISBLANK($C200),"",IF(OR(NOT($Y200),NOT(OR($AS200,$BC200))),"",IF(ISBLANK($D$7),$AR$5,IF($AP$9="",$AR$6,""))))</f>
        <v/>
      </c>
      <c r="AS200" s="123" t="str">
        <f aca="false">IF(ISBLANK($C200),"",COUNTA($J200:$O200)&gt;0)</f>
        <v/>
      </c>
      <c r="AT200" s="123" t="str">
        <f aca="false">IF(ISBLANK($C200),"",AND($AS200,OR(AND($AF200="",OR($AE200,NOT(ISBLANK($M200)))),$AG200="",$AH200="")))</f>
        <v/>
      </c>
      <c r="AU200" s="125" t="str">
        <f aca="false">IF($BL200&lt;&gt;Constants!$B$4,"",IF(NOT($AS200),"",ROUND((Constants!$B$12-$AB200)+(Constants!$B$13-$Z200)+(Constants!$B$14-$AA200),1)))</f>
        <v/>
      </c>
      <c r="AV200" s="127" t="str">
        <f aca="false">IF($BL200&lt;&gt;Constants!$B$4,"",IF(NOT($AS200),"",IF(NOT($AE200),0,Constants!$B$15*(INT(ROUND(MIN($AF200,$AP$9),6))-INT(ROUND(MAX(0,MIN($AF200,2*$AP$9)-$AP$9),6))))))</f>
        <v/>
      </c>
      <c r="AW200" s="127" t="str">
        <f aca="false">IF($BL200&lt;&gt;Constants!$B$4,"",IF(NOT($AS200),"",Constants!$B$16*$AG200))</f>
        <v/>
      </c>
      <c r="AX200" s="127" t="str">
        <f aca="false">IF($BL200&lt;&gt;Constants!$B$4,"",IF(NOT($AS200),"",Constants!$B$18*INT(ROUND($AH200,6))))</f>
        <v/>
      </c>
      <c r="AY200" s="123" t="str">
        <f aca="false">IF($BL200&lt;&gt;Constants!$B$4,"",IF(NOT($AS200),"",IF(NOT($X200),Constants!$B$11,IF(OR(NOT($AC200),NOT($AD200),ROUND($AB200,1)&gt;Constants!$B$12,ROUND($Z200,1)&gt;Constants!$B$13,ROUND($AA200,1)&gt;Constants!$B$14),Constants!$B$10,Constants!$B$9))))</f>
        <v/>
      </c>
      <c r="AZ200" s="128" t="str">
        <f aca="false">IF($BL200&lt;&gt;Constants!$B$4,"",IF(NOT($AS200),"",ROUND($AU200+$AV200+$AW200+$AX200,1)))</f>
        <v/>
      </c>
      <c r="BA200" s="129" t="str">
        <f aca="false">IF($BL200&lt;&gt;Constants!$B$4,"",IF(NOT($AS200),"",IF(ISNUMBER($AF200),$AF200,0)))</f>
        <v/>
      </c>
      <c r="BB200" s="124" t="str">
        <f aca="false">IF($BL200&lt;&gt;Constants!$B$4,"",IF(NOT($BC200),"&lt;-",IF(NOT($AS200),"-&gt;",IF(OR($BI200&lt;$AY200,AND($BI200=$AY200,OR($BJ200&gt;$AZ200,AND($BJ200=$AZ200,OR($BH200&gt;$AX200,AND($BH200=$AX200,OR($BE200&gt;$AU200,AND($BE200=$AU200,OR($BF200&gt;$AV200,AND($BF200=$AV200,$BK200&gt;$BA200)))))))))),"-&gt;","&lt;-"))))</f>
        <v/>
      </c>
      <c r="BC200" s="123" t="str">
        <f aca="false">IF(ISBLANK($C200),"",COUNTA($P200:$U200)&gt;0)</f>
        <v/>
      </c>
      <c r="BD200" s="123" t="str">
        <f aca="false">IF(ISBLANK($C200),"",AND($BC200,OR(AND($AL200="",OR($AK200,NOT(ISBLANK($S200)))),$AM200="",$AN200="")))</f>
        <v/>
      </c>
      <c r="BE200" s="125" t="str">
        <f aca="false">IF($BL200&lt;&gt;Constants!$B$4,"",IF(NOT($BC200),"",ROUND((Constants!$B$12-$AB200)+(Constants!$B$13-$Z200)+(Constants!$B$14-$AA200),1)))</f>
        <v/>
      </c>
      <c r="BF200" s="127" t="str">
        <f aca="false">IF($BL200&lt;&gt;Constants!$B$4,"",IF(NOT($BC200),"",IF(NOT($AK200),0,Constants!$B$15*(INT(ROUND(MIN($AL200,$AP$9),6))-INT(ROUND(MAX(0,MIN($AL200,2*$AP$9)-$AP$9),6))))))</f>
        <v/>
      </c>
      <c r="BG200" s="127" t="str">
        <f aca="false">IF($BL200&lt;&gt;Constants!$B$4,"",IF(NOT($BC200),"",Constants!$B$16*$AM200))</f>
        <v/>
      </c>
      <c r="BH200" s="127" t="str">
        <f aca="false">IF($BL200&lt;&gt;Constants!$B$4,"",IF(NOT($BC200),"",Constants!$B$18*INT(ROUND($AN200,6))))</f>
        <v/>
      </c>
      <c r="BI200" s="123" t="str">
        <f aca="false">IF($BL200&lt;&gt;Constants!$B$4,"",IF(NOT($BC200),"",IF(NOT($X200),Constants!$B$11,IF(OR(NOT($AI200),NOT($AJ200),ROUND($AB200,1)&gt;Constants!$B$12,ROUND($Z200,1)&gt;Constants!$B$13,ROUND($AA200,1)&gt;Constants!$B$14),Constants!$B$10,Constants!$B$9))))</f>
        <v/>
      </c>
      <c r="BJ200" s="128" t="str">
        <f aca="false">IF($BL200&lt;&gt;Constants!$B$4,"",IF(NOT($BC200),"",ROUND($BE200+$BF200+$BG200+$BH200,1)))</f>
        <v/>
      </c>
      <c r="BK200" s="129" t="str">
        <f aca="false">IF($BL200&lt;&gt;Constants!$B$4,"",IF(NOT($BC200),"",IF(ISNUMBER($AL200),$AL200,0)))</f>
        <v/>
      </c>
      <c r="BL200" s="124" t="str">
        <f aca="false">IF(ISBLANK($C200),"",IF($AO200,Constants!$B$7,IF(COUNTA($E200:$V200)=0,Constants!$B$6,IF(NOT($Y200),Constants!$B$5,IF(NOT(OR($AS200,$BC200)),Constants!$B$5,IF(OR($AT200,$BD200,$AQ200,$AR200&lt;&gt;""),Constants!$B$8,Constants!$B$4))))))</f>
        <v/>
      </c>
      <c r="BM200" s="124" t="str">
        <f aca="false">IF(ISBLANK($C200),"",IF($BL200&lt;&gt;Constants!$B$4,$BL200,IF($BB200="-&gt;",$BI200,$AY200)))</f>
        <v/>
      </c>
      <c r="BN200" s="127" t="str">
        <f aca="false">IF($BL200&lt;&gt;Constants!$B$4,"",IF($BB200="-&gt;",$BJ200,$AZ200))</f>
        <v/>
      </c>
      <c r="BO200" s="127" t="str">
        <f aca="false">IF(ISBLANK($C200),"",IF($BL200&lt;&gt;Constants!$B$4,$BL200,$BN200))</f>
        <v/>
      </c>
      <c r="BP200" s="124" t="str">
        <f aca="false">IF(ISBLANK($C200),"",IF($BL200&lt;&gt;Constants!$B$4,$BL200,RANK($BO200,$BO$9:$BO$508,0)))</f>
        <v/>
      </c>
      <c r="BQ200" s="124" t="str">
        <f aca="false">IF(ISBLANK($C200),"",IF($BL200&lt;&gt;Constants!$B$4,$BL200,COUNTIFS($BM$9:$BM$508,"&lt;"&amp;$BM200)+COUNTIFS($BM$9:$BM$508,$BM200,$BP$9:$BP$508,"&lt;"&amp;$BP200)+1))</f>
        <v/>
      </c>
      <c r="BR200" s="127" t="str">
        <f aca="false">IF($BL200&lt;&gt;Constants!$B$4,"",IF($BB200="-&gt;",$BH200,$AX200))</f>
        <v/>
      </c>
      <c r="BS200" s="124" t="str">
        <f aca="false">IF(ISBLANK($C200),"",IF($BL200&lt;&gt;Constants!$B$4,$BL200,IF(ISNUMBER($BR200),RANK($BR200,$BR$9:$BR$508,0),COUNT($BR$9:$BR$508)+1)))</f>
        <v/>
      </c>
      <c r="BT200" s="127" t="str">
        <f aca="false">IF($BL200&lt;&gt;Constants!$B$4,"",IF($BB200="-&gt;",$BE200,$AU200))</f>
        <v/>
      </c>
      <c r="BU200" s="124" t="str">
        <f aca="false">IF(ISBLANK($C200),"",IF($BL200&lt;&gt;Constants!$B$4,$BL200,IF(ISNUMBER($BT200),RANK($BT200,$BT$9:$BT$508,0),COUNT($BT$9:$BT$508)+1)))</f>
        <v/>
      </c>
      <c r="BV200" s="127" t="str">
        <f aca="false">IF($BL200&lt;&gt;Constants!$B$4,"",IF($BB200="-&gt;",$BF200,$AV200))</f>
        <v/>
      </c>
      <c r="BW200" s="124" t="str">
        <f aca="false">IF(ISBLANK($C200),"",IF($BL200&lt;&gt;Constants!$B$4,$BL200,IF(ISNUMBER($BV200),RANK($BV200,$BV$9:$BV$508,0),COUNT($BV$9:$BV$508)+1)))</f>
        <v/>
      </c>
      <c r="BX200" s="127" t="str">
        <f aca="false">IF($BL200&lt;&gt;Constants!$B$4,"",IF($BB200="-&gt;",$BK200,$BA200))</f>
        <v/>
      </c>
      <c r="BY200" s="124" t="str">
        <f aca="false">IF(ISBLANK($C200),"",IF($BL200&lt;&gt;Constants!$B$4,$BL200,IF(ISNUMBER($BX200),RANK($BX200,$BX$9:$BX$508,0),COUNT($BX$9:$BX$508)+1)))</f>
        <v/>
      </c>
      <c r="BZ200" s="124" t="str">
        <f aca="false">IF(ISBLANK($C200),"",IF($BL200&lt;&gt;Constants!$B$4,$BL200,COUNTIFS($BM$9:$BM$508,"&lt;"&amp;$BM200)+COUNTIFS($BM$9:$BM$508,$BM200,$BP$9:$BP$508,"&lt;"&amp;$BP200)+COUNTIFS($BM$9:$BM$508,$BM200,$BP$9:$BP$508,$BP200,$BS$9:$BS$508,"&lt;"&amp;$BS200)+COUNTIFS($BM$9:$BM$508,$BM200,$BP$9:$BP$508,$BP200,$BS$9:$BS$508,$BS200,$BU$9:$BU$508,"&lt;"&amp;$BU200)+COUNTIFS($BM$9:$BM$508,$BM200,$BP$9:$BP$508,$BP200,$BS$9:$BS$508,$BS200,$BU$9:$BU$508,$BU200,$BW$9:$BW$508,"&lt;"&amp;$BW200)+COUNTIFS($BM$9:$BM$508,$BM200,$BP$9:$BP$508,$BP200,$BS$9:$BS$508,$BS200,$BU$9:$BU$508,$BU200,$BW$9:$BW$508,$BW200,$BY$9:$BY$508,"&lt;"&amp;$BY200)+1))</f>
        <v/>
      </c>
      <c r="CA200" s="124" t="str">
        <f aca="false">IF(ISBLANK($C200),"",IF($BL200&lt;&gt;Constants!$B$4,$BL200,$BQ200-$BZ200))</f>
        <v/>
      </c>
      <c r="CB200" s="130"/>
      <c r="CC200" s="131" t="str">
        <f aca="false">IF(ISBLANK($C200),"",IF($BL200=Constants!$B$8,$AR200,""))</f>
        <v/>
      </c>
      <c r="CD200" s="131" t="str">
        <f aca="false">IF(ISBLANK($C200),"",IF($BL200&lt;&gt;Constants!$B$4,"",IF($BB200="-&gt;",2,1)))</f>
        <v/>
      </c>
      <c r="CE200" s="132" t="str">
        <f aca="false">IF(ISBLANK($C200),"",IF($BL200&lt;&gt;Constants!$B$4,"",IF($BB200="-&gt;",$BE200,$AU200)))</f>
        <v/>
      </c>
      <c r="CF200" s="132" t="str">
        <f aca="false">IF(ISBLANK($C200),"",IF($BL200&lt;&gt;Constants!$B$4,"",IF($BB200="-&gt;",$BF200,$AV200)))</f>
        <v/>
      </c>
      <c r="CG200" s="132" t="str">
        <f aca="false">IF(ISBLANK($C200),"",IF($BL200&lt;&gt;Constants!$B$4,"",IF($BB200="-&gt;",$BG200,$AW200)))</f>
        <v/>
      </c>
      <c r="CH200" s="132" t="str">
        <f aca="false">IF(ISBLANK($C200),"",IF($BL200&lt;&gt;Constants!$B$4,"",IF($BB200="-&gt;",$BH200,$AX200)))</f>
        <v/>
      </c>
      <c r="CI200" s="133" t="str">
        <f aca="false">IF(ISBLANK($C200),"",$BO200)</f>
        <v/>
      </c>
      <c r="CJ200" s="134" t="str">
        <f aca="false">IF(ISBLANK($C200),"",$BM200)</f>
        <v/>
      </c>
      <c r="CK200" s="135" t="str">
        <f aca="false">IF(ISBLANK($C200),"",$CA200)</f>
        <v/>
      </c>
      <c r="CL200" s="135" t="str">
        <f aca="false">IF(ISBLANK($C200),"",$BZ200)</f>
        <v/>
      </c>
      <c r="CM200" s="136" t="str">
        <f aca="false">IF(ISBLANK($C200),"",IF($CL200=Constants!$B$7,COUNTA($C$9:$C$508)+2,IF($CL200=Constants!$B$6,COUNTA($C$9:$C$508)+1,IF($CL200=Constants!$B$5,COUNTA($C$9:$C$508),$CL200))))</f>
        <v/>
      </c>
      <c r="CN200" s="8"/>
      <c r="CO200" s="137" t="n">
        <f aca="false">IF(OR(ISNUMBER($CL200),$CL200=Constants!$B$7,$CL200=Constants!$B$5,$CL200=Constants!$B$6),1,0)</f>
        <v>0</v>
      </c>
      <c r="CP200" s="137" t="n">
        <v>192</v>
      </c>
      <c r="CQ200" s="137" t="str">
        <f aca="false">IF(ISBLANK($C200),"",IF(ISNUMBER($CM200),$CM200+ROW($B200)/1000,""))</f>
        <v/>
      </c>
      <c r="CR200" s="137" t="str">
        <f aca="false">IF(ISNUMBER($CQ200),RANK($CQ200,$CQ$9:$CQ$508,1),"")</f>
        <v/>
      </c>
      <c r="CS200" s="137" t="str">
        <f aca="false">IF(ISBLANK($C200),"",$B200)</f>
        <v/>
      </c>
      <c r="CT200" s="137" t="str">
        <f aca="false">IF(ISBLANK($C200),"",$C200)</f>
        <v/>
      </c>
      <c r="CU200" s="137" t="str">
        <f aca="false">IF(ISBLANK($C200),"",$D200)</f>
        <v/>
      </c>
      <c r="CV200" s="138" t="str">
        <f aca="false">$CJ200</f>
        <v/>
      </c>
      <c r="CW200" s="139" t="str">
        <f aca="false">$CI200</f>
        <v/>
      </c>
      <c r="CX200" s="137" t="str">
        <f aca="false">IF(ISBLANK($C200),"",$CL200)</f>
        <v/>
      </c>
      <c r="CY200" s="140" t="str">
        <f aca="false">IF($CP200&gt;$CO$8,"",VLOOKUP($CP200,$CR$9:$CX$508,7,FALSE()))</f>
        <v/>
      </c>
      <c r="CZ200" s="141" t="str">
        <f aca="false">IF($CP200&gt;$CO$8,"",VLOOKUP($CP200,$CR$9:$CX$508,2,FALSE()))</f>
        <v/>
      </c>
      <c r="DA200" s="141" t="str">
        <f aca="false">IF($CP200&gt;$CO$8,"",VLOOKUP($CP200,$CR$9:$CX$508,3,FALSE()))</f>
        <v/>
      </c>
      <c r="DB200" s="141" t="str">
        <f aca="false">IF($CP200&gt;$CO$8,"",VLOOKUP($CP200,$CR$9:$CX$508,4,FALSE()))</f>
        <v/>
      </c>
      <c r="DC200" s="141" t="str">
        <f aca="false">IF($CP200&gt;$CO$8,"",VLOOKUP($CP200,$CR$9:$CX$508,5,FALSE()))</f>
        <v/>
      </c>
      <c r="DD200" s="142" t="str">
        <f aca="false">IF($CP200&gt;$CO$8,"",VLOOKUP($CP200,$CR$9:$CX$508,6,FALSE()))</f>
        <v/>
      </c>
      <c r="DE200" s="70"/>
    </row>
    <row r="201" customFormat="false" ht="15.75" hidden="false" customHeight="false" outlineLevel="0" collapsed="false">
      <c r="A201" s="8"/>
      <c r="B201" s="72"/>
      <c r="C201" s="73"/>
      <c r="D201" s="155"/>
      <c r="E201" s="162"/>
      <c r="F201" s="157"/>
      <c r="G201" s="77"/>
      <c r="H201" s="77"/>
      <c r="I201" s="77"/>
      <c r="J201" s="163"/>
      <c r="K201" s="161"/>
      <c r="L201" s="161"/>
      <c r="M201" s="80"/>
      <c r="N201" s="161"/>
      <c r="O201" s="160"/>
      <c r="P201" s="161"/>
      <c r="Q201" s="161"/>
      <c r="R201" s="161"/>
      <c r="S201" s="77"/>
      <c r="T201" s="161"/>
      <c r="U201" s="160"/>
      <c r="V201" s="161"/>
      <c r="W201" s="85"/>
      <c r="X201" s="86" t="str">
        <f aca="false">IF(ISBLANK($C201),"",IF($E201=Constants!$B$2,TRUE(),IF($E201=Constants!$B$3,FALSE(),TRUE())))</f>
        <v/>
      </c>
      <c r="Y201" s="86" t="str">
        <f aca="false">IF(ISBLANK($C201),"",IF($F201=Constants!$B$2,TRUE(),IF($F201=Constants!$B$3,FALSE(),TRUE())))</f>
        <v/>
      </c>
      <c r="Z201" s="87" t="str">
        <f aca="false">IF(ISBLANK($C201),"",IF(ISNUMBER($G201),IF($G201&gt;=0,$G201,""),""))</f>
        <v/>
      </c>
      <c r="AA201" s="87" t="str">
        <f aca="false">IF(ISBLANK($C201),"",IF(ISNUMBER($H201),IF($H201&gt;=0,$H201,""),""))</f>
        <v/>
      </c>
      <c r="AB201" s="87" t="str">
        <f aca="false">IF(ISBLANK($C201),"",IF(ISNUMBER($I201),IF($I201&gt;=0,$I201,""),""))</f>
        <v/>
      </c>
      <c r="AC201" s="86" t="str">
        <f aca="false">IF(ISBLANK($C201),"",IF($J201=Constants!$B$2,TRUE(),IF($J201=Constants!$B$3,FALSE(),TRUE())))</f>
        <v/>
      </c>
      <c r="AD201" s="86" t="str">
        <f aca="false">IF(ISBLANK($C201),"",IF($K201=Constants!$B$2,TRUE(),IF($K201=Constants!$B$3,FALSE(),TRUE())))</f>
        <v/>
      </c>
      <c r="AE201" s="86" t="str">
        <f aca="false">IF(ISBLANK($C201),"",IF($L201=Constants!$B$2,TRUE(),IF($L201=Constants!$B$3,FALSE(),TRUE())))</f>
        <v/>
      </c>
      <c r="AF201" s="88" t="str">
        <f aca="false">IF(ISBLANK($C201),"",IF(ISNUMBER($M201),IF($M201&gt;=0,$M201,""),""))</f>
        <v/>
      </c>
      <c r="AG201" s="86" t="str">
        <f aca="false">IF(ISBLANK($C201),"",IF(ISBLANK($N201),0,IF(ISNUMBER($N201),IF(AND($N201&gt;=0,$N201&lt;=Constants!$B$17,$N201=INT($N201)),$N201,""),"")))</f>
        <v/>
      </c>
      <c r="AH201" s="87" t="str">
        <f aca="false">IF(ISBLANK($C201),"",IF(ISBLANK($O201),0,IF(ISNUMBER($O201),IF($O201&gt;=0,$O201,""),"")))</f>
        <v/>
      </c>
      <c r="AI201" s="86" t="str">
        <f aca="false">IF(ISBLANK($C201),"",IF($P201=Constants!$B$2,TRUE(),IF($P201=Constants!$B$3,FALSE(),TRUE())))</f>
        <v/>
      </c>
      <c r="AJ201" s="86" t="str">
        <f aca="false">IF(ISBLANK($C201),"",IF($Q201=Constants!$B$2,TRUE(),IF($Q201=Constants!$B$3,FALSE(),TRUE())))</f>
        <v/>
      </c>
      <c r="AK201" s="86" t="str">
        <f aca="false">IF(ISBLANK($C201),"",IF($R201=Constants!$B$2,TRUE(),IF($R201=Constants!$B$3,FALSE(),TRUE())))</f>
        <v/>
      </c>
      <c r="AL201" s="88" t="str">
        <f aca="false">IF(ISBLANK($C201),"",IF(ISNUMBER($S201),IF($S201&gt;=0,$S201,""),""))</f>
        <v/>
      </c>
      <c r="AM201" s="86" t="str">
        <f aca="false">IF(ISBLANK($C201),"",IF(ISBLANK($T201),0,IF(ISNUMBER($T201),IF(AND($T201&gt;=0,$T201&lt;=Constants!$B$17,$T201=INT($T201)),$T201,""),"")))</f>
        <v/>
      </c>
      <c r="AN201" s="87" t="str">
        <f aca="false">IF(ISBLANK($C201),"",IF(ISBLANK($U201),0,IF(ISNUMBER($U201),IF($U201&gt;=0,$U201,""),"")))</f>
        <v/>
      </c>
      <c r="AO201" s="86" t="str">
        <f aca="false">IF(ISBLANK($C201),"",IF($V201=Constants!$B$2,TRUE(),IF($V201=Constants!$B$3,FALSE(),FALSE())))</f>
        <v/>
      </c>
      <c r="AP201" s="86"/>
      <c r="AQ201" s="85" t="str">
        <f aca="false">IF(ISBLANK($C201),"",AND($Y201,OR($AS201,$BC201),OR($Z201="",$AA201="",$AB201="")))</f>
        <v/>
      </c>
      <c r="AR201" s="85" t="str">
        <f aca="false">IF(ISBLANK($C201),"",IF(OR(NOT($Y201),NOT(OR($AS201,$BC201))),"",IF(ISBLANK($D$7),$AR$5,IF($AP$9="",$AR$6,""))))</f>
        <v/>
      </c>
      <c r="AS201" s="85" t="str">
        <f aca="false">IF(ISBLANK($C201),"",COUNTA($J201:$O201)&gt;0)</f>
        <v/>
      </c>
      <c r="AT201" s="85" t="str">
        <f aca="false">IF(ISBLANK($C201),"",AND($AS201,OR(AND($AF201="",OR($AE201,NOT(ISBLANK($M201)))),$AG201="",$AH201="")))</f>
        <v/>
      </c>
      <c r="AU201" s="87" t="str">
        <f aca="false">IF($BL201&lt;&gt;Constants!$B$4,"",IF(NOT($AS201),"",ROUND((Constants!$B$12-$AB201)+(Constants!$B$13-$Z201)+(Constants!$B$14-$AA201),1)))</f>
        <v/>
      </c>
      <c r="AV201" s="90" t="str">
        <f aca="false">IF($BL201&lt;&gt;Constants!$B$4,"",IF(NOT($AS201),"",IF(NOT($AE201),0,Constants!$B$15*(INT(ROUND(MIN($AF201,$AP$9),6))-INT(ROUND(MAX(0,MIN($AF201,2*$AP$9)-$AP$9),6))))))</f>
        <v/>
      </c>
      <c r="AW201" s="90" t="str">
        <f aca="false">IF($BL201&lt;&gt;Constants!$B$4,"",IF(NOT($AS201),"",Constants!$B$16*$AG201))</f>
        <v/>
      </c>
      <c r="AX201" s="90" t="str">
        <f aca="false">IF($BL201&lt;&gt;Constants!$B$4,"",IF(NOT($AS201),"",Constants!$B$18*INT(ROUND($AH201,6))))</f>
        <v/>
      </c>
      <c r="AY201" s="85" t="str">
        <f aca="false">IF($BL201&lt;&gt;Constants!$B$4,"",IF(NOT($AS201),"",IF(NOT($X201),Constants!$B$11,IF(OR(NOT($AC201),NOT($AD201),ROUND($AB201,1)&gt;Constants!$B$12,ROUND($Z201,1)&gt;Constants!$B$13,ROUND($AA201,1)&gt;Constants!$B$14),Constants!$B$10,Constants!$B$9))))</f>
        <v/>
      </c>
      <c r="AZ201" s="91" t="str">
        <f aca="false">IF($BL201&lt;&gt;Constants!$B$4,"",IF(NOT($AS201),"",ROUND($AU201+$AV201+$AW201+$AX201,1)))</f>
        <v/>
      </c>
      <c r="BA201" s="92" t="str">
        <f aca="false">IF($BL201&lt;&gt;Constants!$B$4,"",IF(NOT($AS201),"",IF(ISNUMBER($AF201),$AF201,0)))</f>
        <v/>
      </c>
      <c r="BB201" s="86" t="str">
        <f aca="false">IF($BL201&lt;&gt;Constants!$B$4,"",IF(NOT($BC201),"&lt;-",IF(NOT($AS201),"-&gt;",IF(OR($BI201&lt;$AY201,AND($BI201=$AY201,OR($BJ201&gt;$AZ201,AND($BJ201=$AZ201,OR($BH201&gt;$AX201,AND($BH201=$AX201,OR($BE201&gt;$AU201,AND($BE201=$AU201,OR($BF201&gt;$AV201,AND($BF201=$AV201,$BK201&gt;$BA201)))))))))),"-&gt;","&lt;-"))))</f>
        <v/>
      </c>
      <c r="BC201" s="85" t="str">
        <f aca="false">IF(ISBLANK($C201),"",COUNTA($P201:$U201)&gt;0)</f>
        <v/>
      </c>
      <c r="BD201" s="85" t="str">
        <f aca="false">IF(ISBLANK($C201),"",AND($BC201,OR(AND($AL201="",OR($AK201,NOT(ISBLANK($S201)))),$AM201="",$AN201="")))</f>
        <v/>
      </c>
      <c r="BE201" s="87" t="str">
        <f aca="false">IF($BL201&lt;&gt;Constants!$B$4,"",IF(NOT($BC201),"",ROUND((Constants!$B$12-$AB201)+(Constants!$B$13-$Z201)+(Constants!$B$14-$AA201),1)))</f>
        <v/>
      </c>
      <c r="BF201" s="90" t="str">
        <f aca="false">IF($BL201&lt;&gt;Constants!$B$4,"",IF(NOT($BC201),"",IF(NOT($AK201),0,Constants!$B$15*(INT(ROUND(MIN($AL201,$AP$9),6))-INT(ROUND(MAX(0,MIN($AL201,2*$AP$9)-$AP$9),6))))))</f>
        <v/>
      </c>
      <c r="BG201" s="90" t="str">
        <f aca="false">IF($BL201&lt;&gt;Constants!$B$4,"",IF(NOT($BC201),"",Constants!$B$16*$AM201))</f>
        <v/>
      </c>
      <c r="BH201" s="90" t="str">
        <f aca="false">IF($BL201&lt;&gt;Constants!$B$4,"",IF(NOT($BC201),"",Constants!$B$18*INT(ROUND($AN201,6))))</f>
        <v/>
      </c>
      <c r="BI201" s="85" t="str">
        <f aca="false">IF($BL201&lt;&gt;Constants!$B$4,"",IF(NOT($BC201),"",IF(NOT($X201),Constants!$B$11,IF(OR(NOT($AI201),NOT($AJ201),ROUND($AB201,1)&gt;Constants!$B$12,ROUND($Z201,1)&gt;Constants!$B$13,ROUND($AA201,1)&gt;Constants!$B$14),Constants!$B$10,Constants!$B$9))))</f>
        <v/>
      </c>
      <c r="BJ201" s="91" t="str">
        <f aca="false">IF($BL201&lt;&gt;Constants!$B$4,"",IF(NOT($BC201),"",ROUND($BE201+$BF201+$BG201+$BH201,1)))</f>
        <v/>
      </c>
      <c r="BK201" s="92" t="str">
        <f aca="false">IF($BL201&lt;&gt;Constants!$B$4,"",IF(NOT($BC201),"",IF(ISNUMBER($AL201),$AL201,0)))</f>
        <v/>
      </c>
      <c r="BL201" s="86" t="str">
        <f aca="false">IF(ISBLANK($C201),"",IF($AO201,Constants!$B$7,IF(COUNTA($E201:$V201)=0,Constants!$B$6,IF(NOT($Y201),Constants!$B$5,IF(NOT(OR($AS201,$BC201)),Constants!$B$5,IF(OR($AT201,$BD201,$AQ201,$AR201&lt;&gt;""),Constants!$B$8,Constants!$B$4))))))</f>
        <v/>
      </c>
      <c r="BM201" s="86" t="str">
        <f aca="false">IF(ISBLANK($C201),"",IF($BL201&lt;&gt;Constants!$B$4,$BL201,IF($BB201="-&gt;",$BI201,$AY201)))</f>
        <v/>
      </c>
      <c r="BN201" s="90" t="str">
        <f aca="false">IF($BL201&lt;&gt;Constants!$B$4,"",IF($BB201="-&gt;",$BJ201,$AZ201))</f>
        <v/>
      </c>
      <c r="BO201" s="90" t="str">
        <f aca="false">IF(ISBLANK($C201),"",IF($BL201&lt;&gt;Constants!$B$4,$BL201,$BN201))</f>
        <v/>
      </c>
      <c r="BP201" s="86" t="str">
        <f aca="false">IF(ISBLANK($C201),"",IF($BL201&lt;&gt;Constants!$B$4,$BL201,RANK($BO201,$BO$9:$BO$508,0)))</f>
        <v/>
      </c>
      <c r="BQ201" s="86" t="str">
        <f aca="false">IF(ISBLANK($C201),"",IF($BL201&lt;&gt;Constants!$B$4,$BL201,COUNTIFS($BM$9:$BM$508,"&lt;"&amp;$BM201)+COUNTIFS($BM$9:$BM$508,$BM201,$BP$9:$BP$508,"&lt;"&amp;$BP201)+1))</f>
        <v/>
      </c>
      <c r="BR201" s="90" t="str">
        <f aca="false">IF($BL201&lt;&gt;Constants!$B$4,"",IF($BB201="-&gt;",$BH201,$AX201))</f>
        <v/>
      </c>
      <c r="BS201" s="86" t="str">
        <f aca="false">IF(ISBLANK($C201),"",IF($BL201&lt;&gt;Constants!$B$4,$BL201,IF(ISNUMBER($BR201),RANK($BR201,$BR$9:$BR$508,0),COUNT($BR$9:$BR$508)+1)))</f>
        <v/>
      </c>
      <c r="BT201" s="90" t="str">
        <f aca="false">IF($BL201&lt;&gt;Constants!$B$4,"",IF($BB201="-&gt;",$BE201,$AU201))</f>
        <v/>
      </c>
      <c r="BU201" s="86" t="str">
        <f aca="false">IF(ISBLANK($C201),"",IF($BL201&lt;&gt;Constants!$B$4,$BL201,IF(ISNUMBER($BT201),RANK($BT201,$BT$9:$BT$508,0),COUNT($BT$9:$BT$508)+1)))</f>
        <v/>
      </c>
      <c r="BV201" s="90" t="str">
        <f aca="false">IF($BL201&lt;&gt;Constants!$B$4,"",IF($BB201="-&gt;",$BF201,$AV201))</f>
        <v/>
      </c>
      <c r="BW201" s="86" t="str">
        <f aca="false">IF(ISBLANK($C201),"",IF($BL201&lt;&gt;Constants!$B$4,$BL201,IF(ISNUMBER($BV201),RANK($BV201,$BV$9:$BV$508,0),COUNT($BV$9:$BV$508)+1)))</f>
        <v/>
      </c>
      <c r="BX201" s="90" t="str">
        <f aca="false">IF($BL201&lt;&gt;Constants!$B$4,"",IF($BB201="-&gt;",$BK201,$BA201))</f>
        <v/>
      </c>
      <c r="BY201" s="86" t="str">
        <f aca="false">IF(ISBLANK($C201),"",IF($BL201&lt;&gt;Constants!$B$4,$BL201,IF(ISNUMBER($BX201),RANK($BX201,$BX$9:$BX$508,0),COUNT($BX$9:$BX$508)+1)))</f>
        <v/>
      </c>
      <c r="BZ201" s="86" t="str">
        <f aca="false">IF(ISBLANK($C201),"",IF($BL201&lt;&gt;Constants!$B$4,$BL201,COUNTIFS($BM$9:$BM$508,"&lt;"&amp;$BM201)+COUNTIFS($BM$9:$BM$508,$BM201,$BP$9:$BP$508,"&lt;"&amp;$BP201)+COUNTIFS($BM$9:$BM$508,$BM201,$BP$9:$BP$508,$BP201,$BS$9:$BS$508,"&lt;"&amp;$BS201)+COUNTIFS($BM$9:$BM$508,$BM201,$BP$9:$BP$508,$BP201,$BS$9:$BS$508,$BS201,$BU$9:$BU$508,"&lt;"&amp;$BU201)+COUNTIFS($BM$9:$BM$508,$BM201,$BP$9:$BP$508,$BP201,$BS$9:$BS$508,$BS201,$BU$9:$BU$508,$BU201,$BW$9:$BW$508,"&lt;"&amp;$BW201)+COUNTIFS($BM$9:$BM$508,$BM201,$BP$9:$BP$508,$BP201,$BS$9:$BS$508,$BS201,$BU$9:$BU$508,$BU201,$BW$9:$BW$508,$BW201,$BY$9:$BY$508,"&lt;"&amp;$BY201)+1))</f>
        <v/>
      </c>
      <c r="CA201" s="86" t="str">
        <f aca="false">IF(ISBLANK($C201),"",IF($BL201&lt;&gt;Constants!$B$4,$BL201,$BQ201-$BZ201))</f>
        <v/>
      </c>
      <c r="CB201" s="93"/>
      <c r="CC201" s="94" t="str">
        <f aca="false">IF(ISBLANK($C201),"",IF($BL201=Constants!$B$8,$AR201,""))</f>
        <v/>
      </c>
      <c r="CD201" s="94" t="str">
        <f aca="false">IF(ISBLANK($C201),"",IF($BL201&lt;&gt;Constants!$B$4,"",IF($BB201="-&gt;",2,1)))</f>
        <v/>
      </c>
      <c r="CE201" s="95" t="str">
        <f aca="false">IF(ISBLANK($C201),"",IF($BL201&lt;&gt;Constants!$B$4,"",IF($BB201="-&gt;",$BE201,$AU201)))</f>
        <v/>
      </c>
      <c r="CF201" s="95" t="str">
        <f aca="false">IF(ISBLANK($C201),"",IF($BL201&lt;&gt;Constants!$B$4,"",IF($BB201="-&gt;",$BF201,$AV201)))</f>
        <v/>
      </c>
      <c r="CG201" s="95" t="str">
        <f aca="false">IF(ISBLANK($C201),"",IF($BL201&lt;&gt;Constants!$B$4,"",IF($BB201="-&gt;",$BG201,$AW201)))</f>
        <v/>
      </c>
      <c r="CH201" s="95" t="str">
        <f aca="false">IF(ISBLANK($C201),"",IF($BL201&lt;&gt;Constants!$B$4,"",IF($BB201="-&gt;",$BH201,$AX201)))</f>
        <v/>
      </c>
      <c r="CI201" s="96" t="str">
        <f aca="false">IF(ISBLANK($C201),"",$BO201)</f>
        <v/>
      </c>
      <c r="CJ201" s="97" t="str">
        <f aca="false">IF(ISBLANK($C201),"",$BM201)</f>
        <v/>
      </c>
      <c r="CK201" s="98" t="str">
        <f aca="false">IF(ISBLANK($C201),"",$CA201)</f>
        <v/>
      </c>
      <c r="CL201" s="98" t="str">
        <f aca="false">IF(ISBLANK($C201),"",$BZ201)</f>
        <v/>
      </c>
      <c r="CM201" s="99" t="str">
        <f aca="false">IF(ISBLANK($C201),"",IF($CL201=Constants!$B$7,COUNTA($C$9:$C$508)+2,IF($CL201=Constants!$B$6,COUNTA($C$9:$C$508)+1,IF($CL201=Constants!$B$5,COUNTA($C$9:$C$508),$CL201))))</f>
        <v/>
      </c>
      <c r="CN201" s="8"/>
      <c r="CO201" s="100" t="n">
        <f aca="false">IF(OR(ISNUMBER($CL201),$CL201=Constants!$B$7,$CL201=Constants!$B$5,$CL201=Constants!$B$6),1,0)</f>
        <v>0</v>
      </c>
      <c r="CP201" s="100" t="n">
        <v>193</v>
      </c>
      <c r="CQ201" s="100" t="str">
        <f aca="false">IF(ISBLANK($C201),"",IF(ISNUMBER($CM201),$CM201+ROW($B201)/1000,""))</f>
        <v/>
      </c>
      <c r="CR201" s="100" t="str">
        <f aca="false">IF(ISNUMBER($CQ201),RANK($CQ201,$CQ$9:$CQ$508,1),"")</f>
        <v/>
      </c>
      <c r="CS201" s="100" t="str">
        <f aca="false">IF(ISBLANK($C201),"",$B201)</f>
        <v/>
      </c>
      <c r="CT201" s="100" t="str">
        <f aca="false">IF(ISBLANK($C201),"",$C201)</f>
        <v/>
      </c>
      <c r="CU201" s="100" t="str">
        <f aca="false">IF(ISBLANK($C201),"",$D201)</f>
        <v/>
      </c>
      <c r="CV201" s="101" t="str">
        <f aca="false">$CJ201</f>
        <v/>
      </c>
      <c r="CW201" s="102" t="str">
        <f aca="false">$CI201</f>
        <v/>
      </c>
      <c r="CX201" s="100" t="str">
        <f aca="false">IF(ISBLANK($C201),"",$CL201)</f>
        <v/>
      </c>
      <c r="CY201" s="103" t="str">
        <f aca="false">IF($CP201&gt;$CO$8,"",VLOOKUP($CP201,$CR$9:$CX$508,7,FALSE()))</f>
        <v/>
      </c>
      <c r="CZ201" s="104" t="str">
        <f aca="false">IF($CP201&gt;$CO$8,"",VLOOKUP($CP201,$CR$9:$CX$508,2,FALSE()))</f>
        <v/>
      </c>
      <c r="DA201" s="104" t="str">
        <f aca="false">IF($CP201&gt;$CO$8,"",VLOOKUP($CP201,$CR$9:$CX$508,3,FALSE()))</f>
        <v/>
      </c>
      <c r="DB201" s="104" t="str">
        <f aca="false">IF($CP201&gt;$CO$8,"",VLOOKUP($CP201,$CR$9:$CX$508,4,FALSE()))</f>
        <v/>
      </c>
      <c r="DC201" s="104" t="str">
        <f aca="false">IF($CP201&gt;$CO$8,"",VLOOKUP($CP201,$CR$9:$CX$508,5,FALSE()))</f>
        <v/>
      </c>
      <c r="DD201" s="105" t="str">
        <f aca="false">IF($CP201&gt;$CO$8,"",VLOOKUP($CP201,$CR$9:$CX$508,6,FALSE()))</f>
        <v/>
      </c>
      <c r="DE201" s="70"/>
    </row>
    <row r="202" customFormat="false" ht="15.75" hidden="false" customHeight="false" outlineLevel="0" collapsed="false">
      <c r="A202" s="8"/>
      <c r="B202" s="72"/>
      <c r="C202" s="73"/>
      <c r="D202" s="155"/>
      <c r="E202" s="162"/>
      <c r="F202" s="157"/>
      <c r="G202" s="77"/>
      <c r="H202" s="77"/>
      <c r="I202" s="77"/>
      <c r="J202" s="163"/>
      <c r="K202" s="161"/>
      <c r="L202" s="161"/>
      <c r="M202" s="80"/>
      <c r="N202" s="161"/>
      <c r="O202" s="160"/>
      <c r="P202" s="161"/>
      <c r="Q202" s="161"/>
      <c r="R202" s="161"/>
      <c r="S202" s="77"/>
      <c r="T202" s="161"/>
      <c r="U202" s="160"/>
      <c r="V202" s="161"/>
      <c r="W202" s="85"/>
      <c r="X202" s="86" t="str">
        <f aca="false">IF(ISBLANK($C202),"",IF($E202=Constants!$B$2,TRUE(),IF($E202=Constants!$B$3,FALSE(),TRUE())))</f>
        <v/>
      </c>
      <c r="Y202" s="86" t="str">
        <f aca="false">IF(ISBLANK($C202),"",IF($F202=Constants!$B$2,TRUE(),IF($F202=Constants!$B$3,FALSE(),TRUE())))</f>
        <v/>
      </c>
      <c r="Z202" s="87" t="str">
        <f aca="false">IF(ISBLANK($C202),"",IF(ISNUMBER($G202),IF($G202&gt;=0,$G202,""),""))</f>
        <v/>
      </c>
      <c r="AA202" s="87" t="str">
        <f aca="false">IF(ISBLANK($C202),"",IF(ISNUMBER($H202),IF($H202&gt;=0,$H202,""),""))</f>
        <v/>
      </c>
      <c r="AB202" s="87" t="str">
        <f aca="false">IF(ISBLANK($C202),"",IF(ISNUMBER($I202),IF($I202&gt;=0,$I202,""),""))</f>
        <v/>
      </c>
      <c r="AC202" s="86" t="str">
        <f aca="false">IF(ISBLANK($C202),"",IF($J202=Constants!$B$2,TRUE(),IF($J202=Constants!$B$3,FALSE(),TRUE())))</f>
        <v/>
      </c>
      <c r="AD202" s="86" t="str">
        <f aca="false">IF(ISBLANK($C202),"",IF($K202=Constants!$B$2,TRUE(),IF($K202=Constants!$B$3,FALSE(),TRUE())))</f>
        <v/>
      </c>
      <c r="AE202" s="86" t="str">
        <f aca="false">IF(ISBLANK($C202),"",IF($L202=Constants!$B$2,TRUE(),IF($L202=Constants!$B$3,FALSE(),TRUE())))</f>
        <v/>
      </c>
      <c r="AF202" s="88" t="str">
        <f aca="false">IF(ISBLANK($C202),"",IF(ISNUMBER($M202),IF($M202&gt;=0,$M202,""),""))</f>
        <v/>
      </c>
      <c r="AG202" s="86" t="str">
        <f aca="false">IF(ISBLANK($C202),"",IF(ISBLANK($N202),0,IF(ISNUMBER($N202),IF(AND($N202&gt;=0,$N202&lt;=Constants!$B$17,$N202=INT($N202)),$N202,""),"")))</f>
        <v/>
      </c>
      <c r="AH202" s="87" t="str">
        <f aca="false">IF(ISBLANK($C202),"",IF(ISBLANK($O202),0,IF(ISNUMBER($O202),IF($O202&gt;=0,$O202,""),"")))</f>
        <v/>
      </c>
      <c r="AI202" s="86" t="str">
        <f aca="false">IF(ISBLANK($C202),"",IF($P202=Constants!$B$2,TRUE(),IF($P202=Constants!$B$3,FALSE(),TRUE())))</f>
        <v/>
      </c>
      <c r="AJ202" s="86" t="str">
        <f aca="false">IF(ISBLANK($C202),"",IF($Q202=Constants!$B$2,TRUE(),IF($Q202=Constants!$B$3,FALSE(),TRUE())))</f>
        <v/>
      </c>
      <c r="AK202" s="86" t="str">
        <f aca="false">IF(ISBLANK($C202),"",IF($R202=Constants!$B$2,TRUE(),IF($R202=Constants!$B$3,FALSE(),TRUE())))</f>
        <v/>
      </c>
      <c r="AL202" s="88" t="str">
        <f aca="false">IF(ISBLANK($C202),"",IF(ISNUMBER($S202),IF($S202&gt;=0,$S202,""),""))</f>
        <v/>
      </c>
      <c r="AM202" s="86" t="str">
        <f aca="false">IF(ISBLANK($C202),"",IF(ISBLANK($T202),0,IF(ISNUMBER($T202),IF(AND($T202&gt;=0,$T202&lt;=Constants!$B$17,$T202=INT($T202)),$T202,""),"")))</f>
        <v/>
      </c>
      <c r="AN202" s="87" t="str">
        <f aca="false">IF(ISBLANK($C202),"",IF(ISBLANK($U202),0,IF(ISNUMBER($U202),IF($U202&gt;=0,$U202,""),"")))</f>
        <v/>
      </c>
      <c r="AO202" s="86" t="str">
        <f aca="false">IF(ISBLANK($C202),"",IF($V202=Constants!$B$2,TRUE(),IF($V202=Constants!$B$3,FALSE(),FALSE())))</f>
        <v/>
      </c>
      <c r="AP202" s="86"/>
      <c r="AQ202" s="85" t="str">
        <f aca="false">IF(ISBLANK($C202),"",AND($Y202,OR($AS202,$BC202),OR($Z202="",$AA202="",$AB202="")))</f>
        <v/>
      </c>
      <c r="AR202" s="85" t="str">
        <f aca="false">IF(ISBLANK($C202),"",IF(OR(NOT($Y202),NOT(OR($AS202,$BC202))),"",IF(ISBLANK($D$7),$AR$5,IF($AP$9="",$AR$6,""))))</f>
        <v/>
      </c>
      <c r="AS202" s="85" t="str">
        <f aca="false">IF(ISBLANK($C202),"",COUNTA($J202:$O202)&gt;0)</f>
        <v/>
      </c>
      <c r="AT202" s="85" t="str">
        <f aca="false">IF(ISBLANK($C202),"",AND($AS202,OR(AND($AF202="",OR($AE202,NOT(ISBLANK($M202)))),$AG202="",$AH202="")))</f>
        <v/>
      </c>
      <c r="AU202" s="87" t="str">
        <f aca="false">IF($BL202&lt;&gt;Constants!$B$4,"",IF(NOT($AS202),"",ROUND((Constants!$B$12-$AB202)+(Constants!$B$13-$Z202)+(Constants!$B$14-$AA202),1)))</f>
        <v/>
      </c>
      <c r="AV202" s="90" t="str">
        <f aca="false">IF($BL202&lt;&gt;Constants!$B$4,"",IF(NOT($AS202),"",IF(NOT($AE202),0,Constants!$B$15*(INT(ROUND(MIN($AF202,$AP$9),6))-INT(ROUND(MAX(0,MIN($AF202,2*$AP$9)-$AP$9),6))))))</f>
        <v/>
      </c>
      <c r="AW202" s="90" t="str">
        <f aca="false">IF($BL202&lt;&gt;Constants!$B$4,"",IF(NOT($AS202),"",Constants!$B$16*$AG202))</f>
        <v/>
      </c>
      <c r="AX202" s="90" t="str">
        <f aca="false">IF($BL202&lt;&gt;Constants!$B$4,"",IF(NOT($AS202),"",Constants!$B$18*INT(ROUND($AH202,6))))</f>
        <v/>
      </c>
      <c r="AY202" s="85" t="str">
        <f aca="false">IF($BL202&lt;&gt;Constants!$B$4,"",IF(NOT($AS202),"",IF(NOT($X202),Constants!$B$11,IF(OR(NOT($AC202),NOT($AD202),ROUND($AB202,1)&gt;Constants!$B$12,ROUND($Z202,1)&gt;Constants!$B$13,ROUND($AA202,1)&gt;Constants!$B$14),Constants!$B$10,Constants!$B$9))))</f>
        <v/>
      </c>
      <c r="AZ202" s="91" t="str">
        <f aca="false">IF($BL202&lt;&gt;Constants!$B$4,"",IF(NOT($AS202),"",ROUND($AU202+$AV202+$AW202+$AX202,1)))</f>
        <v/>
      </c>
      <c r="BA202" s="92" t="str">
        <f aca="false">IF($BL202&lt;&gt;Constants!$B$4,"",IF(NOT($AS202),"",IF(ISNUMBER($AF202),$AF202,0)))</f>
        <v/>
      </c>
      <c r="BB202" s="86" t="str">
        <f aca="false">IF($BL202&lt;&gt;Constants!$B$4,"",IF(NOT($BC202),"&lt;-",IF(NOT($AS202),"-&gt;",IF(OR($BI202&lt;$AY202,AND($BI202=$AY202,OR($BJ202&gt;$AZ202,AND($BJ202=$AZ202,OR($BH202&gt;$AX202,AND($BH202=$AX202,OR($BE202&gt;$AU202,AND($BE202=$AU202,OR($BF202&gt;$AV202,AND($BF202=$AV202,$BK202&gt;$BA202)))))))))),"-&gt;","&lt;-"))))</f>
        <v/>
      </c>
      <c r="BC202" s="85" t="str">
        <f aca="false">IF(ISBLANK($C202),"",COUNTA($P202:$U202)&gt;0)</f>
        <v/>
      </c>
      <c r="BD202" s="85" t="str">
        <f aca="false">IF(ISBLANK($C202),"",AND($BC202,OR(AND($AL202="",OR($AK202,NOT(ISBLANK($S202)))),$AM202="",$AN202="")))</f>
        <v/>
      </c>
      <c r="BE202" s="87" t="str">
        <f aca="false">IF($BL202&lt;&gt;Constants!$B$4,"",IF(NOT($BC202),"",ROUND((Constants!$B$12-$AB202)+(Constants!$B$13-$Z202)+(Constants!$B$14-$AA202),1)))</f>
        <v/>
      </c>
      <c r="BF202" s="90" t="str">
        <f aca="false">IF($BL202&lt;&gt;Constants!$B$4,"",IF(NOT($BC202),"",IF(NOT($AK202),0,Constants!$B$15*(INT(ROUND(MIN($AL202,$AP$9),6))-INT(ROUND(MAX(0,MIN($AL202,2*$AP$9)-$AP$9),6))))))</f>
        <v/>
      </c>
      <c r="BG202" s="90" t="str">
        <f aca="false">IF($BL202&lt;&gt;Constants!$B$4,"",IF(NOT($BC202),"",Constants!$B$16*$AM202))</f>
        <v/>
      </c>
      <c r="BH202" s="90" t="str">
        <f aca="false">IF($BL202&lt;&gt;Constants!$B$4,"",IF(NOT($BC202),"",Constants!$B$18*INT(ROUND($AN202,6))))</f>
        <v/>
      </c>
      <c r="BI202" s="85" t="str">
        <f aca="false">IF($BL202&lt;&gt;Constants!$B$4,"",IF(NOT($BC202),"",IF(NOT($X202),Constants!$B$11,IF(OR(NOT($AI202),NOT($AJ202),ROUND($AB202,1)&gt;Constants!$B$12,ROUND($Z202,1)&gt;Constants!$B$13,ROUND($AA202,1)&gt;Constants!$B$14),Constants!$B$10,Constants!$B$9))))</f>
        <v/>
      </c>
      <c r="BJ202" s="91" t="str">
        <f aca="false">IF($BL202&lt;&gt;Constants!$B$4,"",IF(NOT($BC202),"",ROUND($BE202+$BF202+$BG202+$BH202,1)))</f>
        <v/>
      </c>
      <c r="BK202" s="92" t="str">
        <f aca="false">IF($BL202&lt;&gt;Constants!$B$4,"",IF(NOT($BC202),"",IF(ISNUMBER($AL202),$AL202,0)))</f>
        <v/>
      </c>
      <c r="BL202" s="86" t="str">
        <f aca="false">IF(ISBLANK($C202),"",IF($AO202,Constants!$B$7,IF(COUNTA($E202:$V202)=0,Constants!$B$6,IF(NOT($Y202),Constants!$B$5,IF(NOT(OR($AS202,$BC202)),Constants!$B$5,IF(OR($AT202,$BD202,$AQ202,$AR202&lt;&gt;""),Constants!$B$8,Constants!$B$4))))))</f>
        <v/>
      </c>
      <c r="BM202" s="86" t="str">
        <f aca="false">IF(ISBLANK($C202),"",IF($BL202&lt;&gt;Constants!$B$4,$BL202,IF($BB202="-&gt;",$BI202,$AY202)))</f>
        <v/>
      </c>
      <c r="BN202" s="90" t="str">
        <f aca="false">IF($BL202&lt;&gt;Constants!$B$4,"",IF($BB202="-&gt;",$BJ202,$AZ202))</f>
        <v/>
      </c>
      <c r="BO202" s="90" t="str">
        <f aca="false">IF(ISBLANK($C202),"",IF($BL202&lt;&gt;Constants!$B$4,$BL202,$BN202))</f>
        <v/>
      </c>
      <c r="BP202" s="86" t="str">
        <f aca="false">IF(ISBLANK($C202),"",IF($BL202&lt;&gt;Constants!$B$4,$BL202,RANK($BO202,$BO$9:$BO$508,0)))</f>
        <v/>
      </c>
      <c r="BQ202" s="86" t="str">
        <f aca="false">IF(ISBLANK($C202),"",IF($BL202&lt;&gt;Constants!$B$4,$BL202,COUNTIFS($BM$9:$BM$508,"&lt;"&amp;$BM202)+COUNTIFS($BM$9:$BM$508,$BM202,$BP$9:$BP$508,"&lt;"&amp;$BP202)+1))</f>
        <v/>
      </c>
      <c r="BR202" s="90" t="str">
        <f aca="false">IF($BL202&lt;&gt;Constants!$B$4,"",IF($BB202="-&gt;",$BH202,$AX202))</f>
        <v/>
      </c>
      <c r="BS202" s="86" t="str">
        <f aca="false">IF(ISBLANK($C202),"",IF($BL202&lt;&gt;Constants!$B$4,$BL202,IF(ISNUMBER($BR202),RANK($BR202,$BR$9:$BR$508,0),COUNT($BR$9:$BR$508)+1)))</f>
        <v/>
      </c>
      <c r="BT202" s="90" t="str">
        <f aca="false">IF($BL202&lt;&gt;Constants!$B$4,"",IF($BB202="-&gt;",$BE202,$AU202))</f>
        <v/>
      </c>
      <c r="BU202" s="86" t="str">
        <f aca="false">IF(ISBLANK($C202),"",IF($BL202&lt;&gt;Constants!$B$4,$BL202,IF(ISNUMBER($BT202),RANK($BT202,$BT$9:$BT$508,0),COUNT($BT$9:$BT$508)+1)))</f>
        <v/>
      </c>
      <c r="BV202" s="90" t="str">
        <f aca="false">IF($BL202&lt;&gt;Constants!$B$4,"",IF($BB202="-&gt;",$BF202,$AV202))</f>
        <v/>
      </c>
      <c r="BW202" s="86" t="str">
        <f aca="false">IF(ISBLANK($C202),"",IF($BL202&lt;&gt;Constants!$B$4,$BL202,IF(ISNUMBER($BV202),RANK($BV202,$BV$9:$BV$508,0),COUNT($BV$9:$BV$508)+1)))</f>
        <v/>
      </c>
      <c r="BX202" s="90" t="str">
        <f aca="false">IF($BL202&lt;&gt;Constants!$B$4,"",IF($BB202="-&gt;",$BK202,$BA202))</f>
        <v/>
      </c>
      <c r="BY202" s="86" t="str">
        <f aca="false">IF(ISBLANK($C202),"",IF($BL202&lt;&gt;Constants!$B$4,$BL202,IF(ISNUMBER($BX202),RANK($BX202,$BX$9:$BX$508,0),COUNT($BX$9:$BX$508)+1)))</f>
        <v/>
      </c>
      <c r="BZ202" s="86" t="str">
        <f aca="false">IF(ISBLANK($C202),"",IF($BL202&lt;&gt;Constants!$B$4,$BL202,COUNTIFS($BM$9:$BM$508,"&lt;"&amp;$BM202)+COUNTIFS($BM$9:$BM$508,$BM202,$BP$9:$BP$508,"&lt;"&amp;$BP202)+COUNTIFS($BM$9:$BM$508,$BM202,$BP$9:$BP$508,$BP202,$BS$9:$BS$508,"&lt;"&amp;$BS202)+COUNTIFS($BM$9:$BM$508,$BM202,$BP$9:$BP$508,$BP202,$BS$9:$BS$508,$BS202,$BU$9:$BU$508,"&lt;"&amp;$BU202)+COUNTIFS($BM$9:$BM$508,$BM202,$BP$9:$BP$508,$BP202,$BS$9:$BS$508,$BS202,$BU$9:$BU$508,$BU202,$BW$9:$BW$508,"&lt;"&amp;$BW202)+COUNTIFS($BM$9:$BM$508,$BM202,$BP$9:$BP$508,$BP202,$BS$9:$BS$508,$BS202,$BU$9:$BU$508,$BU202,$BW$9:$BW$508,$BW202,$BY$9:$BY$508,"&lt;"&amp;$BY202)+1))</f>
        <v/>
      </c>
      <c r="CA202" s="86" t="str">
        <f aca="false">IF(ISBLANK($C202),"",IF($BL202&lt;&gt;Constants!$B$4,$BL202,$BQ202-$BZ202))</f>
        <v/>
      </c>
      <c r="CB202" s="93"/>
      <c r="CC202" s="94" t="str">
        <f aca="false">IF(ISBLANK($C202),"",IF($BL202=Constants!$B$8,$AR202,""))</f>
        <v/>
      </c>
      <c r="CD202" s="94" t="str">
        <f aca="false">IF(ISBLANK($C202),"",IF($BL202&lt;&gt;Constants!$B$4,"",IF($BB202="-&gt;",2,1)))</f>
        <v/>
      </c>
      <c r="CE202" s="95" t="str">
        <f aca="false">IF(ISBLANK($C202),"",IF($BL202&lt;&gt;Constants!$B$4,"",IF($BB202="-&gt;",$BE202,$AU202)))</f>
        <v/>
      </c>
      <c r="CF202" s="95" t="str">
        <f aca="false">IF(ISBLANK($C202),"",IF($BL202&lt;&gt;Constants!$B$4,"",IF($BB202="-&gt;",$BF202,$AV202)))</f>
        <v/>
      </c>
      <c r="CG202" s="95" t="str">
        <f aca="false">IF(ISBLANK($C202),"",IF($BL202&lt;&gt;Constants!$B$4,"",IF($BB202="-&gt;",$BG202,$AW202)))</f>
        <v/>
      </c>
      <c r="CH202" s="95" t="str">
        <f aca="false">IF(ISBLANK($C202),"",IF($BL202&lt;&gt;Constants!$B$4,"",IF($BB202="-&gt;",$BH202,$AX202)))</f>
        <v/>
      </c>
      <c r="CI202" s="96" t="str">
        <f aca="false">IF(ISBLANK($C202),"",$BO202)</f>
        <v/>
      </c>
      <c r="CJ202" s="97" t="str">
        <f aca="false">IF(ISBLANK($C202),"",$BM202)</f>
        <v/>
      </c>
      <c r="CK202" s="98" t="str">
        <f aca="false">IF(ISBLANK($C202),"",$CA202)</f>
        <v/>
      </c>
      <c r="CL202" s="98" t="str">
        <f aca="false">IF(ISBLANK($C202),"",$BZ202)</f>
        <v/>
      </c>
      <c r="CM202" s="99" t="str">
        <f aca="false">IF(ISBLANK($C202),"",IF($CL202=Constants!$B$7,COUNTA($C$9:$C$508)+2,IF($CL202=Constants!$B$6,COUNTA($C$9:$C$508)+1,IF($CL202=Constants!$B$5,COUNTA($C$9:$C$508),$CL202))))</f>
        <v/>
      </c>
      <c r="CN202" s="8"/>
      <c r="CO202" s="100" t="n">
        <f aca="false">IF(OR(ISNUMBER($CL202),$CL202=Constants!$B$7,$CL202=Constants!$B$5,$CL202=Constants!$B$6),1,0)</f>
        <v>0</v>
      </c>
      <c r="CP202" s="100" t="n">
        <v>194</v>
      </c>
      <c r="CQ202" s="100" t="str">
        <f aca="false">IF(ISBLANK($C202),"",IF(ISNUMBER($CM202),$CM202+ROW($B202)/1000,""))</f>
        <v/>
      </c>
      <c r="CR202" s="100" t="str">
        <f aca="false">IF(ISNUMBER($CQ202),RANK($CQ202,$CQ$9:$CQ$508,1),"")</f>
        <v/>
      </c>
      <c r="CS202" s="100" t="str">
        <f aca="false">IF(ISBLANK($C202),"",$B202)</f>
        <v/>
      </c>
      <c r="CT202" s="100" t="str">
        <f aca="false">IF(ISBLANK($C202),"",$C202)</f>
        <v/>
      </c>
      <c r="CU202" s="100" t="str">
        <f aca="false">IF(ISBLANK($C202),"",$D202)</f>
        <v/>
      </c>
      <c r="CV202" s="101" t="str">
        <f aca="false">$CJ202</f>
        <v/>
      </c>
      <c r="CW202" s="102" t="str">
        <f aca="false">$CI202</f>
        <v/>
      </c>
      <c r="CX202" s="100" t="str">
        <f aca="false">IF(ISBLANK($C202),"",$CL202)</f>
        <v/>
      </c>
      <c r="CY202" s="103" t="str">
        <f aca="false">IF($CP202&gt;$CO$8,"",VLOOKUP($CP202,$CR$9:$CX$508,7,FALSE()))</f>
        <v/>
      </c>
      <c r="CZ202" s="104" t="str">
        <f aca="false">IF($CP202&gt;$CO$8,"",VLOOKUP($CP202,$CR$9:$CX$508,2,FALSE()))</f>
        <v/>
      </c>
      <c r="DA202" s="104" t="str">
        <f aca="false">IF($CP202&gt;$CO$8,"",VLOOKUP($CP202,$CR$9:$CX$508,3,FALSE()))</f>
        <v/>
      </c>
      <c r="DB202" s="104" t="str">
        <f aca="false">IF($CP202&gt;$CO$8,"",VLOOKUP($CP202,$CR$9:$CX$508,4,FALSE()))</f>
        <v/>
      </c>
      <c r="DC202" s="104" t="str">
        <f aca="false">IF($CP202&gt;$CO$8,"",VLOOKUP($CP202,$CR$9:$CX$508,5,FALSE()))</f>
        <v/>
      </c>
      <c r="DD202" s="105" t="str">
        <f aca="false">IF($CP202&gt;$CO$8,"",VLOOKUP($CP202,$CR$9:$CX$508,6,FALSE()))</f>
        <v/>
      </c>
      <c r="DE202" s="70"/>
    </row>
    <row r="203" customFormat="false" ht="15.75" hidden="false" customHeight="false" outlineLevel="0" collapsed="false">
      <c r="A203" s="8"/>
      <c r="B203" s="72"/>
      <c r="C203" s="73"/>
      <c r="D203" s="155"/>
      <c r="E203" s="162"/>
      <c r="F203" s="157"/>
      <c r="G203" s="77"/>
      <c r="H203" s="77"/>
      <c r="I203" s="77"/>
      <c r="J203" s="163"/>
      <c r="K203" s="161"/>
      <c r="L203" s="161"/>
      <c r="M203" s="80"/>
      <c r="N203" s="161"/>
      <c r="O203" s="160"/>
      <c r="P203" s="161"/>
      <c r="Q203" s="161"/>
      <c r="R203" s="161"/>
      <c r="S203" s="77"/>
      <c r="T203" s="161"/>
      <c r="U203" s="160"/>
      <c r="V203" s="161"/>
      <c r="W203" s="85"/>
      <c r="X203" s="86" t="str">
        <f aca="false">IF(ISBLANK($C203),"",IF($E203=Constants!$B$2,TRUE(),IF($E203=Constants!$B$3,FALSE(),TRUE())))</f>
        <v/>
      </c>
      <c r="Y203" s="86" t="str">
        <f aca="false">IF(ISBLANK($C203),"",IF($F203=Constants!$B$2,TRUE(),IF($F203=Constants!$B$3,FALSE(),TRUE())))</f>
        <v/>
      </c>
      <c r="Z203" s="87" t="str">
        <f aca="false">IF(ISBLANK($C203),"",IF(ISNUMBER($G203),IF($G203&gt;=0,$G203,""),""))</f>
        <v/>
      </c>
      <c r="AA203" s="87" t="str">
        <f aca="false">IF(ISBLANK($C203),"",IF(ISNUMBER($H203),IF($H203&gt;=0,$H203,""),""))</f>
        <v/>
      </c>
      <c r="AB203" s="87" t="str">
        <f aca="false">IF(ISBLANK($C203),"",IF(ISNUMBER($I203),IF($I203&gt;=0,$I203,""),""))</f>
        <v/>
      </c>
      <c r="AC203" s="86" t="str">
        <f aca="false">IF(ISBLANK($C203),"",IF($J203=Constants!$B$2,TRUE(),IF($J203=Constants!$B$3,FALSE(),TRUE())))</f>
        <v/>
      </c>
      <c r="AD203" s="86" t="str">
        <f aca="false">IF(ISBLANK($C203),"",IF($K203=Constants!$B$2,TRUE(),IF($K203=Constants!$B$3,FALSE(),TRUE())))</f>
        <v/>
      </c>
      <c r="AE203" s="86" t="str">
        <f aca="false">IF(ISBLANK($C203),"",IF($L203=Constants!$B$2,TRUE(),IF($L203=Constants!$B$3,FALSE(),TRUE())))</f>
        <v/>
      </c>
      <c r="AF203" s="88" t="str">
        <f aca="false">IF(ISBLANK($C203),"",IF(ISNUMBER($M203),IF($M203&gt;=0,$M203,""),""))</f>
        <v/>
      </c>
      <c r="AG203" s="86" t="str">
        <f aca="false">IF(ISBLANK($C203),"",IF(ISBLANK($N203),0,IF(ISNUMBER($N203),IF(AND($N203&gt;=0,$N203&lt;=Constants!$B$17,$N203=INT($N203)),$N203,""),"")))</f>
        <v/>
      </c>
      <c r="AH203" s="87" t="str">
        <f aca="false">IF(ISBLANK($C203),"",IF(ISBLANK($O203),0,IF(ISNUMBER($O203),IF($O203&gt;=0,$O203,""),"")))</f>
        <v/>
      </c>
      <c r="AI203" s="86" t="str">
        <f aca="false">IF(ISBLANK($C203),"",IF($P203=Constants!$B$2,TRUE(),IF($P203=Constants!$B$3,FALSE(),TRUE())))</f>
        <v/>
      </c>
      <c r="AJ203" s="86" t="str">
        <f aca="false">IF(ISBLANK($C203),"",IF($Q203=Constants!$B$2,TRUE(),IF($Q203=Constants!$B$3,FALSE(),TRUE())))</f>
        <v/>
      </c>
      <c r="AK203" s="86" t="str">
        <f aca="false">IF(ISBLANK($C203),"",IF($R203=Constants!$B$2,TRUE(),IF($R203=Constants!$B$3,FALSE(),TRUE())))</f>
        <v/>
      </c>
      <c r="AL203" s="88" t="str">
        <f aca="false">IF(ISBLANK($C203),"",IF(ISNUMBER($S203),IF($S203&gt;=0,$S203,""),""))</f>
        <v/>
      </c>
      <c r="AM203" s="86" t="str">
        <f aca="false">IF(ISBLANK($C203),"",IF(ISBLANK($T203),0,IF(ISNUMBER($T203),IF(AND($T203&gt;=0,$T203&lt;=Constants!$B$17,$T203=INT($T203)),$T203,""),"")))</f>
        <v/>
      </c>
      <c r="AN203" s="87" t="str">
        <f aca="false">IF(ISBLANK($C203),"",IF(ISBLANK($U203),0,IF(ISNUMBER($U203),IF($U203&gt;=0,$U203,""),"")))</f>
        <v/>
      </c>
      <c r="AO203" s="86" t="str">
        <f aca="false">IF(ISBLANK($C203),"",IF($V203=Constants!$B$2,TRUE(),IF($V203=Constants!$B$3,FALSE(),FALSE())))</f>
        <v/>
      </c>
      <c r="AP203" s="86"/>
      <c r="AQ203" s="85" t="str">
        <f aca="false">IF(ISBLANK($C203),"",AND($Y203,OR($AS203,$BC203),OR($Z203="",$AA203="",$AB203="")))</f>
        <v/>
      </c>
      <c r="AR203" s="85" t="str">
        <f aca="false">IF(ISBLANK($C203),"",IF(OR(NOT($Y203),NOT(OR($AS203,$BC203))),"",IF(ISBLANK($D$7),$AR$5,IF($AP$9="",$AR$6,""))))</f>
        <v/>
      </c>
      <c r="AS203" s="85" t="str">
        <f aca="false">IF(ISBLANK($C203),"",COUNTA($J203:$O203)&gt;0)</f>
        <v/>
      </c>
      <c r="AT203" s="85" t="str">
        <f aca="false">IF(ISBLANK($C203),"",AND($AS203,OR(AND($AF203="",OR($AE203,NOT(ISBLANK($M203)))),$AG203="",$AH203="")))</f>
        <v/>
      </c>
      <c r="AU203" s="87" t="str">
        <f aca="false">IF($BL203&lt;&gt;Constants!$B$4,"",IF(NOT($AS203),"",ROUND((Constants!$B$12-$AB203)+(Constants!$B$13-$Z203)+(Constants!$B$14-$AA203),1)))</f>
        <v/>
      </c>
      <c r="AV203" s="90" t="str">
        <f aca="false">IF($BL203&lt;&gt;Constants!$B$4,"",IF(NOT($AS203),"",IF(NOT($AE203),0,Constants!$B$15*(INT(ROUND(MIN($AF203,$AP$9),6))-INT(ROUND(MAX(0,MIN($AF203,2*$AP$9)-$AP$9),6))))))</f>
        <v/>
      </c>
      <c r="AW203" s="90" t="str">
        <f aca="false">IF($BL203&lt;&gt;Constants!$B$4,"",IF(NOT($AS203),"",Constants!$B$16*$AG203))</f>
        <v/>
      </c>
      <c r="AX203" s="90" t="str">
        <f aca="false">IF($BL203&lt;&gt;Constants!$B$4,"",IF(NOT($AS203),"",Constants!$B$18*INT(ROUND($AH203,6))))</f>
        <v/>
      </c>
      <c r="AY203" s="85" t="str">
        <f aca="false">IF($BL203&lt;&gt;Constants!$B$4,"",IF(NOT($AS203),"",IF(NOT($X203),Constants!$B$11,IF(OR(NOT($AC203),NOT($AD203),ROUND($AB203,1)&gt;Constants!$B$12,ROUND($Z203,1)&gt;Constants!$B$13,ROUND($AA203,1)&gt;Constants!$B$14),Constants!$B$10,Constants!$B$9))))</f>
        <v/>
      </c>
      <c r="AZ203" s="91" t="str">
        <f aca="false">IF($BL203&lt;&gt;Constants!$B$4,"",IF(NOT($AS203),"",ROUND($AU203+$AV203+$AW203+$AX203,1)))</f>
        <v/>
      </c>
      <c r="BA203" s="92" t="str">
        <f aca="false">IF($BL203&lt;&gt;Constants!$B$4,"",IF(NOT($AS203),"",IF(ISNUMBER($AF203),$AF203,0)))</f>
        <v/>
      </c>
      <c r="BB203" s="86" t="str">
        <f aca="false">IF($BL203&lt;&gt;Constants!$B$4,"",IF(NOT($BC203),"&lt;-",IF(NOT($AS203),"-&gt;",IF(OR($BI203&lt;$AY203,AND($BI203=$AY203,OR($BJ203&gt;$AZ203,AND($BJ203=$AZ203,OR($BH203&gt;$AX203,AND($BH203=$AX203,OR($BE203&gt;$AU203,AND($BE203=$AU203,OR($BF203&gt;$AV203,AND($BF203=$AV203,$BK203&gt;$BA203)))))))))),"-&gt;","&lt;-"))))</f>
        <v/>
      </c>
      <c r="BC203" s="85" t="str">
        <f aca="false">IF(ISBLANK($C203),"",COUNTA($P203:$U203)&gt;0)</f>
        <v/>
      </c>
      <c r="BD203" s="85" t="str">
        <f aca="false">IF(ISBLANK($C203),"",AND($BC203,OR(AND($AL203="",OR($AK203,NOT(ISBLANK($S203)))),$AM203="",$AN203="")))</f>
        <v/>
      </c>
      <c r="BE203" s="87" t="str">
        <f aca="false">IF($BL203&lt;&gt;Constants!$B$4,"",IF(NOT($BC203),"",ROUND((Constants!$B$12-$AB203)+(Constants!$B$13-$Z203)+(Constants!$B$14-$AA203),1)))</f>
        <v/>
      </c>
      <c r="BF203" s="90" t="str">
        <f aca="false">IF($BL203&lt;&gt;Constants!$B$4,"",IF(NOT($BC203),"",IF(NOT($AK203),0,Constants!$B$15*(INT(ROUND(MIN($AL203,$AP$9),6))-INT(ROUND(MAX(0,MIN($AL203,2*$AP$9)-$AP$9),6))))))</f>
        <v/>
      </c>
      <c r="BG203" s="90" t="str">
        <f aca="false">IF($BL203&lt;&gt;Constants!$B$4,"",IF(NOT($BC203),"",Constants!$B$16*$AM203))</f>
        <v/>
      </c>
      <c r="BH203" s="90" t="str">
        <f aca="false">IF($BL203&lt;&gt;Constants!$B$4,"",IF(NOT($BC203),"",Constants!$B$18*INT(ROUND($AN203,6))))</f>
        <v/>
      </c>
      <c r="BI203" s="85" t="str">
        <f aca="false">IF($BL203&lt;&gt;Constants!$B$4,"",IF(NOT($BC203),"",IF(NOT($X203),Constants!$B$11,IF(OR(NOT($AI203),NOT($AJ203),ROUND($AB203,1)&gt;Constants!$B$12,ROUND($Z203,1)&gt;Constants!$B$13,ROUND($AA203,1)&gt;Constants!$B$14),Constants!$B$10,Constants!$B$9))))</f>
        <v/>
      </c>
      <c r="BJ203" s="91" t="str">
        <f aca="false">IF($BL203&lt;&gt;Constants!$B$4,"",IF(NOT($BC203),"",ROUND($BE203+$BF203+$BG203+$BH203,1)))</f>
        <v/>
      </c>
      <c r="BK203" s="92" t="str">
        <f aca="false">IF($BL203&lt;&gt;Constants!$B$4,"",IF(NOT($BC203),"",IF(ISNUMBER($AL203),$AL203,0)))</f>
        <v/>
      </c>
      <c r="BL203" s="86" t="str">
        <f aca="false">IF(ISBLANK($C203),"",IF($AO203,Constants!$B$7,IF(COUNTA($E203:$V203)=0,Constants!$B$6,IF(NOT($Y203),Constants!$B$5,IF(NOT(OR($AS203,$BC203)),Constants!$B$5,IF(OR($AT203,$BD203,$AQ203,$AR203&lt;&gt;""),Constants!$B$8,Constants!$B$4))))))</f>
        <v/>
      </c>
      <c r="BM203" s="86" t="str">
        <f aca="false">IF(ISBLANK($C203),"",IF($BL203&lt;&gt;Constants!$B$4,$BL203,IF($BB203="-&gt;",$BI203,$AY203)))</f>
        <v/>
      </c>
      <c r="BN203" s="90" t="str">
        <f aca="false">IF($BL203&lt;&gt;Constants!$B$4,"",IF($BB203="-&gt;",$BJ203,$AZ203))</f>
        <v/>
      </c>
      <c r="BO203" s="90" t="str">
        <f aca="false">IF(ISBLANK($C203),"",IF($BL203&lt;&gt;Constants!$B$4,$BL203,$BN203))</f>
        <v/>
      </c>
      <c r="BP203" s="86" t="str">
        <f aca="false">IF(ISBLANK($C203),"",IF($BL203&lt;&gt;Constants!$B$4,$BL203,RANK($BO203,$BO$9:$BO$508,0)))</f>
        <v/>
      </c>
      <c r="BQ203" s="86" t="str">
        <f aca="false">IF(ISBLANK($C203),"",IF($BL203&lt;&gt;Constants!$B$4,$BL203,COUNTIFS($BM$9:$BM$508,"&lt;"&amp;$BM203)+COUNTIFS($BM$9:$BM$508,$BM203,$BP$9:$BP$508,"&lt;"&amp;$BP203)+1))</f>
        <v/>
      </c>
      <c r="BR203" s="90" t="str">
        <f aca="false">IF($BL203&lt;&gt;Constants!$B$4,"",IF($BB203="-&gt;",$BH203,$AX203))</f>
        <v/>
      </c>
      <c r="BS203" s="86" t="str">
        <f aca="false">IF(ISBLANK($C203),"",IF($BL203&lt;&gt;Constants!$B$4,$BL203,IF(ISNUMBER($BR203),RANK($BR203,$BR$9:$BR$508,0),COUNT($BR$9:$BR$508)+1)))</f>
        <v/>
      </c>
      <c r="BT203" s="90" t="str">
        <f aca="false">IF($BL203&lt;&gt;Constants!$B$4,"",IF($BB203="-&gt;",$BE203,$AU203))</f>
        <v/>
      </c>
      <c r="BU203" s="86" t="str">
        <f aca="false">IF(ISBLANK($C203),"",IF($BL203&lt;&gt;Constants!$B$4,$BL203,IF(ISNUMBER($BT203),RANK($BT203,$BT$9:$BT$508,0),COUNT($BT$9:$BT$508)+1)))</f>
        <v/>
      </c>
      <c r="BV203" s="90" t="str">
        <f aca="false">IF($BL203&lt;&gt;Constants!$B$4,"",IF($BB203="-&gt;",$BF203,$AV203))</f>
        <v/>
      </c>
      <c r="BW203" s="86" t="str">
        <f aca="false">IF(ISBLANK($C203),"",IF($BL203&lt;&gt;Constants!$B$4,$BL203,IF(ISNUMBER($BV203),RANK($BV203,$BV$9:$BV$508,0),COUNT($BV$9:$BV$508)+1)))</f>
        <v/>
      </c>
      <c r="BX203" s="90" t="str">
        <f aca="false">IF($BL203&lt;&gt;Constants!$B$4,"",IF($BB203="-&gt;",$BK203,$BA203))</f>
        <v/>
      </c>
      <c r="BY203" s="86" t="str">
        <f aca="false">IF(ISBLANK($C203),"",IF($BL203&lt;&gt;Constants!$B$4,$BL203,IF(ISNUMBER($BX203),RANK($BX203,$BX$9:$BX$508,0),COUNT($BX$9:$BX$508)+1)))</f>
        <v/>
      </c>
      <c r="BZ203" s="86" t="str">
        <f aca="false">IF(ISBLANK($C203),"",IF($BL203&lt;&gt;Constants!$B$4,$BL203,COUNTIFS($BM$9:$BM$508,"&lt;"&amp;$BM203)+COUNTIFS($BM$9:$BM$508,$BM203,$BP$9:$BP$508,"&lt;"&amp;$BP203)+COUNTIFS($BM$9:$BM$508,$BM203,$BP$9:$BP$508,$BP203,$BS$9:$BS$508,"&lt;"&amp;$BS203)+COUNTIFS($BM$9:$BM$508,$BM203,$BP$9:$BP$508,$BP203,$BS$9:$BS$508,$BS203,$BU$9:$BU$508,"&lt;"&amp;$BU203)+COUNTIFS($BM$9:$BM$508,$BM203,$BP$9:$BP$508,$BP203,$BS$9:$BS$508,$BS203,$BU$9:$BU$508,$BU203,$BW$9:$BW$508,"&lt;"&amp;$BW203)+COUNTIFS($BM$9:$BM$508,$BM203,$BP$9:$BP$508,$BP203,$BS$9:$BS$508,$BS203,$BU$9:$BU$508,$BU203,$BW$9:$BW$508,$BW203,$BY$9:$BY$508,"&lt;"&amp;$BY203)+1))</f>
        <v/>
      </c>
      <c r="CA203" s="86" t="str">
        <f aca="false">IF(ISBLANK($C203),"",IF($BL203&lt;&gt;Constants!$B$4,$BL203,$BQ203-$BZ203))</f>
        <v/>
      </c>
      <c r="CB203" s="93"/>
      <c r="CC203" s="94" t="str">
        <f aca="false">IF(ISBLANK($C203),"",IF($BL203=Constants!$B$8,$AR203,""))</f>
        <v/>
      </c>
      <c r="CD203" s="94" t="str">
        <f aca="false">IF(ISBLANK($C203),"",IF($BL203&lt;&gt;Constants!$B$4,"",IF($BB203="-&gt;",2,1)))</f>
        <v/>
      </c>
      <c r="CE203" s="95" t="str">
        <f aca="false">IF(ISBLANK($C203),"",IF($BL203&lt;&gt;Constants!$B$4,"",IF($BB203="-&gt;",$BE203,$AU203)))</f>
        <v/>
      </c>
      <c r="CF203" s="95" t="str">
        <f aca="false">IF(ISBLANK($C203),"",IF($BL203&lt;&gt;Constants!$B$4,"",IF($BB203="-&gt;",$BF203,$AV203)))</f>
        <v/>
      </c>
      <c r="CG203" s="95" t="str">
        <f aca="false">IF(ISBLANK($C203),"",IF($BL203&lt;&gt;Constants!$B$4,"",IF($BB203="-&gt;",$BG203,$AW203)))</f>
        <v/>
      </c>
      <c r="CH203" s="95" t="str">
        <f aca="false">IF(ISBLANK($C203),"",IF($BL203&lt;&gt;Constants!$B$4,"",IF($BB203="-&gt;",$BH203,$AX203)))</f>
        <v/>
      </c>
      <c r="CI203" s="96" t="str">
        <f aca="false">IF(ISBLANK($C203),"",$BO203)</f>
        <v/>
      </c>
      <c r="CJ203" s="97" t="str">
        <f aca="false">IF(ISBLANK($C203),"",$BM203)</f>
        <v/>
      </c>
      <c r="CK203" s="98" t="str">
        <f aca="false">IF(ISBLANK($C203),"",$CA203)</f>
        <v/>
      </c>
      <c r="CL203" s="98" t="str">
        <f aca="false">IF(ISBLANK($C203),"",$BZ203)</f>
        <v/>
      </c>
      <c r="CM203" s="99" t="str">
        <f aca="false">IF(ISBLANK($C203),"",IF($CL203=Constants!$B$7,COUNTA($C$9:$C$508)+2,IF($CL203=Constants!$B$6,COUNTA($C$9:$C$508)+1,IF($CL203=Constants!$B$5,COUNTA($C$9:$C$508),$CL203))))</f>
        <v/>
      </c>
      <c r="CN203" s="8"/>
      <c r="CO203" s="100" t="n">
        <f aca="false">IF(OR(ISNUMBER($CL203),$CL203=Constants!$B$7,$CL203=Constants!$B$5,$CL203=Constants!$B$6),1,0)</f>
        <v>0</v>
      </c>
      <c r="CP203" s="100" t="n">
        <v>195</v>
      </c>
      <c r="CQ203" s="100" t="str">
        <f aca="false">IF(ISBLANK($C203),"",IF(ISNUMBER($CM203),$CM203+ROW($B203)/1000,""))</f>
        <v/>
      </c>
      <c r="CR203" s="100" t="str">
        <f aca="false">IF(ISNUMBER($CQ203),RANK($CQ203,$CQ$9:$CQ$508,1),"")</f>
        <v/>
      </c>
      <c r="CS203" s="100" t="str">
        <f aca="false">IF(ISBLANK($C203),"",$B203)</f>
        <v/>
      </c>
      <c r="CT203" s="100" t="str">
        <f aca="false">IF(ISBLANK($C203),"",$C203)</f>
        <v/>
      </c>
      <c r="CU203" s="100" t="str">
        <f aca="false">IF(ISBLANK($C203),"",$D203)</f>
        <v/>
      </c>
      <c r="CV203" s="101" t="str">
        <f aca="false">$CJ203</f>
        <v/>
      </c>
      <c r="CW203" s="102" t="str">
        <f aca="false">$CI203</f>
        <v/>
      </c>
      <c r="CX203" s="100" t="str">
        <f aca="false">IF(ISBLANK($C203),"",$CL203)</f>
        <v/>
      </c>
      <c r="CY203" s="103" t="str">
        <f aca="false">IF($CP203&gt;$CO$8,"",VLOOKUP($CP203,$CR$9:$CX$508,7,FALSE()))</f>
        <v/>
      </c>
      <c r="CZ203" s="104" t="str">
        <f aca="false">IF($CP203&gt;$CO$8,"",VLOOKUP($CP203,$CR$9:$CX$508,2,FALSE()))</f>
        <v/>
      </c>
      <c r="DA203" s="104" t="str">
        <f aca="false">IF($CP203&gt;$CO$8,"",VLOOKUP($CP203,$CR$9:$CX$508,3,FALSE()))</f>
        <v/>
      </c>
      <c r="DB203" s="104" t="str">
        <f aca="false">IF($CP203&gt;$CO$8,"",VLOOKUP($CP203,$CR$9:$CX$508,4,FALSE()))</f>
        <v/>
      </c>
      <c r="DC203" s="104" t="str">
        <f aca="false">IF($CP203&gt;$CO$8,"",VLOOKUP($CP203,$CR$9:$CX$508,5,FALSE()))</f>
        <v/>
      </c>
      <c r="DD203" s="105" t="str">
        <f aca="false">IF($CP203&gt;$CO$8,"",VLOOKUP($CP203,$CR$9:$CX$508,6,FALSE()))</f>
        <v/>
      </c>
      <c r="DE203" s="70"/>
    </row>
    <row r="204" customFormat="false" ht="15.75" hidden="false" customHeight="false" outlineLevel="0" collapsed="false">
      <c r="A204" s="8"/>
      <c r="B204" s="146"/>
      <c r="C204" s="147"/>
      <c r="D204" s="148"/>
      <c r="E204" s="164"/>
      <c r="F204" s="150"/>
      <c r="G204" s="115"/>
      <c r="H204" s="115"/>
      <c r="I204" s="115"/>
      <c r="J204" s="165"/>
      <c r="K204" s="154"/>
      <c r="L204" s="154"/>
      <c r="M204" s="118"/>
      <c r="N204" s="154"/>
      <c r="O204" s="153"/>
      <c r="P204" s="154"/>
      <c r="Q204" s="154"/>
      <c r="R204" s="154"/>
      <c r="S204" s="115"/>
      <c r="T204" s="154"/>
      <c r="U204" s="153"/>
      <c r="V204" s="154"/>
      <c r="W204" s="123"/>
      <c r="X204" s="124" t="str">
        <f aca="false">IF(ISBLANK($C204),"",IF($E204=Constants!$B$2,TRUE(),IF($E204=Constants!$B$3,FALSE(),TRUE())))</f>
        <v/>
      </c>
      <c r="Y204" s="124" t="str">
        <f aca="false">IF(ISBLANK($C204),"",IF($F204=Constants!$B$2,TRUE(),IF($F204=Constants!$B$3,FALSE(),TRUE())))</f>
        <v/>
      </c>
      <c r="Z204" s="125" t="str">
        <f aca="false">IF(ISBLANK($C204),"",IF(ISNUMBER($G204),IF($G204&gt;=0,$G204,""),""))</f>
        <v/>
      </c>
      <c r="AA204" s="125" t="str">
        <f aca="false">IF(ISBLANK($C204),"",IF(ISNUMBER($H204),IF($H204&gt;=0,$H204,""),""))</f>
        <v/>
      </c>
      <c r="AB204" s="125" t="str">
        <f aca="false">IF(ISBLANK($C204),"",IF(ISNUMBER($I204),IF($I204&gt;=0,$I204,""),""))</f>
        <v/>
      </c>
      <c r="AC204" s="124" t="str">
        <f aca="false">IF(ISBLANK($C204),"",IF($J204=Constants!$B$2,TRUE(),IF($J204=Constants!$B$3,FALSE(),TRUE())))</f>
        <v/>
      </c>
      <c r="AD204" s="124" t="str">
        <f aca="false">IF(ISBLANK($C204),"",IF($K204=Constants!$B$2,TRUE(),IF($K204=Constants!$B$3,FALSE(),TRUE())))</f>
        <v/>
      </c>
      <c r="AE204" s="124" t="str">
        <f aca="false">IF(ISBLANK($C204),"",IF($L204=Constants!$B$2,TRUE(),IF($L204=Constants!$B$3,FALSE(),TRUE())))</f>
        <v/>
      </c>
      <c r="AF204" s="126" t="str">
        <f aca="false">IF(ISBLANK($C204),"",IF(ISNUMBER($M204),IF($M204&gt;=0,$M204,""),""))</f>
        <v/>
      </c>
      <c r="AG204" s="124" t="str">
        <f aca="false">IF(ISBLANK($C204),"",IF(ISBLANK($N204),0,IF(ISNUMBER($N204),IF(AND($N204&gt;=0,$N204&lt;=Constants!$B$17,$N204=INT($N204)),$N204,""),"")))</f>
        <v/>
      </c>
      <c r="AH204" s="125" t="str">
        <f aca="false">IF(ISBLANK($C204),"",IF(ISBLANK($O204),0,IF(ISNUMBER($O204),IF($O204&gt;=0,$O204,""),"")))</f>
        <v/>
      </c>
      <c r="AI204" s="124" t="str">
        <f aca="false">IF(ISBLANK($C204),"",IF($P204=Constants!$B$2,TRUE(),IF($P204=Constants!$B$3,FALSE(),TRUE())))</f>
        <v/>
      </c>
      <c r="AJ204" s="124" t="str">
        <f aca="false">IF(ISBLANK($C204),"",IF($Q204=Constants!$B$2,TRUE(),IF($Q204=Constants!$B$3,FALSE(),TRUE())))</f>
        <v/>
      </c>
      <c r="AK204" s="124" t="str">
        <f aca="false">IF(ISBLANK($C204),"",IF($R204=Constants!$B$2,TRUE(),IF($R204=Constants!$B$3,FALSE(),TRUE())))</f>
        <v/>
      </c>
      <c r="AL204" s="126" t="str">
        <f aca="false">IF(ISBLANK($C204),"",IF(ISNUMBER($S204),IF($S204&gt;=0,$S204,""),""))</f>
        <v/>
      </c>
      <c r="AM204" s="124" t="str">
        <f aca="false">IF(ISBLANK($C204),"",IF(ISBLANK($T204),0,IF(ISNUMBER($T204),IF(AND($T204&gt;=0,$T204&lt;=Constants!$B$17,$T204=INT($T204)),$T204,""),"")))</f>
        <v/>
      </c>
      <c r="AN204" s="125" t="str">
        <f aca="false">IF(ISBLANK($C204),"",IF(ISBLANK($U204),0,IF(ISNUMBER($U204),IF($U204&gt;=0,$U204,""),"")))</f>
        <v/>
      </c>
      <c r="AO204" s="124" t="str">
        <f aca="false">IF(ISBLANK($C204),"",IF($V204=Constants!$B$2,TRUE(),IF($V204=Constants!$B$3,FALSE(),FALSE())))</f>
        <v/>
      </c>
      <c r="AP204" s="124"/>
      <c r="AQ204" s="123" t="str">
        <f aca="false">IF(ISBLANK($C204),"",AND($Y204,OR($AS204,$BC204),OR($Z204="",$AA204="",$AB204="")))</f>
        <v/>
      </c>
      <c r="AR204" s="123" t="str">
        <f aca="false">IF(ISBLANK($C204),"",IF(OR(NOT($Y204),NOT(OR($AS204,$BC204))),"",IF(ISBLANK($D$7),$AR$5,IF($AP$9="",$AR$6,""))))</f>
        <v/>
      </c>
      <c r="AS204" s="123" t="str">
        <f aca="false">IF(ISBLANK($C204),"",COUNTA($J204:$O204)&gt;0)</f>
        <v/>
      </c>
      <c r="AT204" s="123" t="str">
        <f aca="false">IF(ISBLANK($C204),"",AND($AS204,OR(AND($AF204="",OR($AE204,NOT(ISBLANK($M204)))),$AG204="",$AH204="")))</f>
        <v/>
      </c>
      <c r="AU204" s="125" t="str">
        <f aca="false">IF($BL204&lt;&gt;Constants!$B$4,"",IF(NOT($AS204),"",ROUND((Constants!$B$12-$AB204)+(Constants!$B$13-$Z204)+(Constants!$B$14-$AA204),1)))</f>
        <v/>
      </c>
      <c r="AV204" s="127" t="str">
        <f aca="false">IF($BL204&lt;&gt;Constants!$B$4,"",IF(NOT($AS204),"",IF(NOT($AE204),0,Constants!$B$15*(INT(ROUND(MIN($AF204,$AP$9),6))-INT(ROUND(MAX(0,MIN($AF204,2*$AP$9)-$AP$9),6))))))</f>
        <v/>
      </c>
      <c r="AW204" s="127" t="str">
        <f aca="false">IF($BL204&lt;&gt;Constants!$B$4,"",IF(NOT($AS204),"",Constants!$B$16*$AG204))</f>
        <v/>
      </c>
      <c r="AX204" s="127" t="str">
        <f aca="false">IF($BL204&lt;&gt;Constants!$B$4,"",IF(NOT($AS204),"",Constants!$B$18*INT(ROUND($AH204,6))))</f>
        <v/>
      </c>
      <c r="AY204" s="123" t="str">
        <f aca="false">IF($BL204&lt;&gt;Constants!$B$4,"",IF(NOT($AS204),"",IF(NOT($X204),Constants!$B$11,IF(OR(NOT($AC204),NOT($AD204),ROUND($AB204,1)&gt;Constants!$B$12,ROUND($Z204,1)&gt;Constants!$B$13,ROUND($AA204,1)&gt;Constants!$B$14),Constants!$B$10,Constants!$B$9))))</f>
        <v/>
      </c>
      <c r="AZ204" s="128" t="str">
        <f aca="false">IF($BL204&lt;&gt;Constants!$B$4,"",IF(NOT($AS204),"",ROUND($AU204+$AV204+$AW204+$AX204,1)))</f>
        <v/>
      </c>
      <c r="BA204" s="129" t="str">
        <f aca="false">IF($BL204&lt;&gt;Constants!$B$4,"",IF(NOT($AS204),"",IF(ISNUMBER($AF204),$AF204,0)))</f>
        <v/>
      </c>
      <c r="BB204" s="124" t="str">
        <f aca="false">IF($BL204&lt;&gt;Constants!$B$4,"",IF(NOT($BC204),"&lt;-",IF(NOT($AS204),"-&gt;",IF(OR($BI204&lt;$AY204,AND($BI204=$AY204,OR($BJ204&gt;$AZ204,AND($BJ204=$AZ204,OR($BH204&gt;$AX204,AND($BH204=$AX204,OR($BE204&gt;$AU204,AND($BE204=$AU204,OR($BF204&gt;$AV204,AND($BF204=$AV204,$BK204&gt;$BA204)))))))))),"-&gt;","&lt;-"))))</f>
        <v/>
      </c>
      <c r="BC204" s="123" t="str">
        <f aca="false">IF(ISBLANK($C204),"",COUNTA($P204:$U204)&gt;0)</f>
        <v/>
      </c>
      <c r="BD204" s="123" t="str">
        <f aca="false">IF(ISBLANK($C204),"",AND($BC204,OR(AND($AL204="",OR($AK204,NOT(ISBLANK($S204)))),$AM204="",$AN204="")))</f>
        <v/>
      </c>
      <c r="BE204" s="125" t="str">
        <f aca="false">IF($BL204&lt;&gt;Constants!$B$4,"",IF(NOT($BC204),"",ROUND((Constants!$B$12-$AB204)+(Constants!$B$13-$Z204)+(Constants!$B$14-$AA204),1)))</f>
        <v/>
      </c>
      <c r="BF204" s="127" t="str">
        <f aca="false">IF($BL204&lt;&gt;Constants!$B$4,"",IF(NOT($BC204),"",IF(NOT($AK204),0,Constants!$B$15*(INT(ROUND(MIN($AL204,$AP$9),6))-INT(ROUND(MAX(0,MIN($AL204,2*$AP$9)-$AP$9),6))))))</f>
        <v/>
      </c>
      <c r="BG204" s="127" t="str">
        <f aca="false">IF($BL204&lt;&gt;Constants!$B$4,"",IF(NOT($BC204),"",Constants!$B$16*$AM204))</f>
        <v/>
      </c>
      <c r="BH204" s="127" t="str">
        <f aca="false">IF($BL204&lt;&gt;Constants!$B$4,"",IF(NOT($BC204),"",Constants!$B$18*INT(ROUND($AN204,6))))</f>
        <v/>
      </c>
      <c r="BI204" s="123" t="str">
        <f aca="false">IF($BL204&lt;&gt;Constants!$B$4,"",IF(NOT($BC204),"",IF(NOT($X204),Constants!$B$11,IF(OR(NOT($AI204),NOT($AJ204),ROUND($AB204,1)&gt;Constants!$B$12,ROUND($Z204,1)&gt;Constants!$B$13,ROUND($AA204,1)&gt;Constants!$B$14),Constants!$B$10,Constants!$B$9))))</f>
        <v/>
      </c>
      <c r="BJ204" s="128" t="str">
        <f aca="false">IF($BL204&lt;&gt;Constants!$B$4,"",IF(NOT($BC204),"",ROUND($BE204+$BF204+$BG204+$BH204,1)))</f>
        <v/>
      </c>
      <c r="BK204" s="129" t="str">
        <f aca="false">IF($BL204&lt;&gt;Constants!$B$4,"",IF(NOT($BC204),"",IF(ISNUMBER($AL204),$AL204,0)))</f>
        <v/>
      </c>
      <c r="BL204" s="124" t="str">
        <f aca="false">IF(ISBLANK($C204),"",IF($AO204,Constants!$B$7,IF(COUNTA($E204:$V204)=0,Constants!$B$6,IF(NOT($Y204),Constants!$B$5,IF(NOT(OR($AS204,$BC204)),Constants!$B$5,IF(OR($AT204,$BD204,$AQ204,$AR204&lt;&gt;""),Constants!$B$8,Constants!$B$4))))))</f>
        <v/>
      </c>
      <c r="BM204" s="124" t="str">
        <f aca="false">IF(ISBLANK($C204),"",IF($BL204&lt;&gt;Constants!$B$4,$BL204,IF($BB204="-&gt;",$BI204,$AY204)))</f>
        <v/>
      </c>
      <c r="BN204" s="127" t="str">
        <f aca="false">IF($BL204&lt;&gt;Constants!$B$4,"",IF($BB204="-&gt;",$BJ204,$AZ204))</f>
        <v/>
      </c>
      <c r="BO204" s="127" t="str">
        <f aca="false">IF(ISBLANK($C204),"",IF($BL204&lt;&gt;Constants!$B$4,$BL204,$BN204))</f>
        <v/>
      </c>
      <c r="BP204" s="124" t="str">
        <f aca="false">IF(ISBLANK($C204),"",IF($BL204&lt;&gt;Constants!$B$4,$BL204,RANK($BO204,$BO$9:$BO$508,0)))</f>
        <v/>
      </c>
      <c r="BQ204" s="124" t="str">
        <f aca="false">IF(ISBLANK($C204),"",IF($BL204&lt;&gt;Constants!$B$4,$BL204,COUNTIFS($BM$9:$BM$508,"&lt;"&amp;$BM204)+COUNTIFS($BM$9:$BM$508,$BM204,$BP$9:$BP$508,"&lt;"&amp;$BP204)+1))</f>
        <v/>
      </c>
      <c r="BR204" s="127" t="str">
        <f aca="false">IF($BL204&lt;&gt;Constants!$B$4,"",IF($BB204="-&gt;",$BH204,$AX204))</f>
        <v/>
      </c>
      <c r="BS204" s="124" t="str">
        <f aca="false">IF(ISBLANK($C204),"",IF($BL204&lt;&gt;Constants!$B$4,$BL204,IF(ISNUMBER($BR204),RANK($BR204,$BR$9:$BR$508,0),COUNT($BR$9:$BR$508)+1)))</f>
        <v/>
      </c>
      <c r="BT204" s="127" t="str">
        <f aca="false">IF($BL204&lt;&gt;Constants!$B$4,"",IF($BB204="-&gt;",$BE204,$AU204))</f>
        <v/>
      </c>
      <c r="BU204" s="124" t="str">
        <f aca="false">IF(ISBLANK($C204),"",IF($BL204&lt;&gt;Constants!$B$4,$BL204,IF(ISNUMBER($BT204),RANK($BT204,$BT$9:$BT$508,0),COUNT($BT$9:$BT$508)+1)))</f>
        <v/>
      </c>
      <c r="BV204" s="127" t="str">
        <f aca="false">IF($BL204&lt;&gt;Constants!$B$4,"",IF($BB204="-&gt;",$BF204,$AV204))</f>
        <v/>
      </c>
      <c r="BW204" s="124" t="str">
        <f aca="false">IF(ISBLANK($C204),"",IF($BL204&lt;&gt;Constants!$B$4,$BL204,IF(ISNUMBER($BV204),RANK($BV204,$BV$9:$BV$508,0),COUNT($BV$9:$BV$508)+1)))</f>
        <v/>
      </c>
      <c r="BX204" s="127" t="str">
        <f aca="false">IF($BL204&lt;&gt;Constants!$B$4,"",IF($BB204="-&gt;",$BK204,$BA204))</f>
        <v/>
      </c>
      <c r="BY204" s="124" t="str">
        <f aca="false">IF(ISBLANK($C204),"",IF($BL204&lt;&gt;Constants!$B$4,$BL204,IF(ISNUMBER($BX204),RANK($BX204,$BX$9:$BX$508,0),COUNT($BX$9:$BX$508)+1)))</f>
        <v/>
      </c>
      <c r="BZ204" s="124" t="str">
        <f aca="false">IF(ISBLANK($C204),"",IF($BL204&lt;&gt;Constants!$B$4,$BL204,COUNTIFS($BM$9:$BM$508,"&lt;"&amp;$BM204)+COUNTIFS($BM$9:$BM$508,$BM204,$BP$9:$BP$508,"&lt;"&amp;$BP204)+COUNTIFS($BM$9:$BM$508,$BM204,$BP$9:$BP$508,$BP204,$BS$9:$BS$508,"&lt;"&amp;$BS204)+COUNTIFS($BM$9:$BM$508,$BM204,$BP$9:$BP$508,$BP204,$BS$9:$BS$508,$BS204,$BU$9:$BU$508,"&lt;"&amp;$BU204)+COUNTIFS($BM$9:$BM$508,$BM204,$BP$9:$BP$508,$BP204,$BS$9:$BS$508,$BS204,$BU$9:$BU$508,$BU204,$BW$9:$BW$508,"&lt;"&amp;$BW204)+COUNTIFS($BM$9:$BM$508,$BM204,$BP$9:$BP$508,$BP204,$BS$9:$BS$508,$BS204,$BU$9:$BU$508,$BU204,$BW$9:$BW$508,$BW204,$BY$9:$BY$508,"&lt;"&amp;$BY204)+1))</f>
        <v/>
      </c>
      <c r="CA204" s="124" t="str">
        <f aca="false">IF(ISBLANK($C204),"",IF($BL204&lt;&gt;Constants!$B$4,$BL204,$BQ204-$BZ204))</f>
        <v/>
      </c>
      <c r="CB204" s="130"/>
      <c r="CC204" s="131" t="str">
        <f aca="false">IF(ISBLANK($C204),"",IF($BL204=Constants!$B$8,$AR204,""))</f>
        <v/>
      </c>
      <c r="CD204" s="131" t="str">
        <f aca="false">IF(ISBLANK($C204),"",IF($BL204&lt;&gt;Constants!$B$4,"",IF($BB204="-&gt;",2,1)))</f>
        <v/>
      </c>
      <c r="CE204" s="132" t="str">
        <f aca="false">IF(ISBLANK($C204),"",IF($BL204&lt;&gt;Constants!$B$4,"",IF($BB204="-&gt;",$BE204,$AU204)))</f>
        <v/>
      </c>
      <c r="CF204" s="132" t="str">
        <f aca="false">IF(ISBLANK($C204),"",IF($BL204&lt;&gt;Constants!$B$4,"",IF($BB204="-&gt;",$BF204,$AV204)))</f>
        <v/>
      </c>
      <c r="CG204" s="132" t="str">
        <f aca="false">IF(ISBLANK($C204),"",IF($BL204&lt;&gt;Constants!$B$4,"",IF($BB204="-&gt;",$BG204,$AW204)))</f>
        <v/>
      </c>
      <c r="CH204" s="132" t="str">
        <f aca="false">IF(ISBLANK($C204),"",IF($BL204&lt;&gt;Constants!$B$4,"",IF($BB204="-&gt;",$BH204,$AX204)))</f>
        <v/>
      </c>
      <c r="CI204" s="133" t="str">
        <f aca="false">IF(ISBLANK($C204),"",$BO204)</f>
        <v/>
      </c>
      <c r="CJ204" s="134" t="str">
        <f aca="false">IF(ISBLANK($C204),"",$BM204)</f>
        <v/>
      </c>
      <c r="CK204" s="135" t="str">
        <f aca="false">IF(ISBLANK($C204),"",$CA204)</f>
        <v/>
      </c>
      <c r="CL204" s="135" t="str">
        <f aca="false">IF(ISBLANK($C204),"",$BZ204)</f>
        <v/>
      </c>
      <c r="CM204" s="136" t="str">
        <f aca="false">IF(ISBLANK($C204),"",IF($CL204=Constants!$B$7,COUNTA($C$9:$C$508)+2,IF($CL204=Constants!$B$6,COUNTA($C$9:$C$508)+1,IF($CL204=Constants!$B$5,COUNTA($C$9:$C$508),$CL204))))</f>
        <v/>
      </c>
      <c r="CN204" s="8"/>
      <c r="CO204" s="137" t="n">
        <f aca="false">IF(OR(ISNUMBER($CL204),$CL204=Constants!$B$7,$CL204=Constants!$B$5,$CL204=Constants!$B$6),1,0)</f>
        <v>0</v>
      </c>
      <c r="CP204" s="137" t="n">
        <v>196</v>
      </c>
      <c r="CQ204" s="137" t="str">
        <f aca="false">IF(ISBLANK($C204),"",IF(ISNUMBER($CM204),$CM204+ROW($B204)/1000,""))</f>
        <v/>
      </c>
      <c r="CR204" s="137" t="str">
        <f aca="false">IF(ISNUMBER($CQ204),RANK($CQ204,$CQ$9:$CQ$508,1),"")</f>
        <v/>
      </c>
      <c r="CS204" s="137" t="str">
        <f aca="false">IF(ISBLANK($C204),"",$B204)</f>
        <v/>
      </c>
      <c r="CT204" s="137" t="str">
        <f aca="false">IF(ISBLANK($C204),"",$C204)</f>
        <v/>
      </c>
      <c r="CU204" s="137" t="str">
        <f aca="false">IF(ISBLANK($C204),"",$D204)</f>
        <v/>
      </c>
      <c r="CV204" s="138" t="str">
        <f aca="false">$CJ204</f>
        <v/>
      </c>
      <c r="CW204" s="139" t="str">
        <f aca="false">$CI204</f>
        <v/>
      </c>
      <c r="CX204" s="137" t="str">
        <f aca="false">IF(ISBLANK($C204),"",$CL204)</f>
        <v/>
      </c>
      <c r="CY204" s="140" t="str">
        <f aca="false">IF($CP204&gt;$CO$8,"",VLOOKUP($CP204,$CR$9:$CX$508,7,FALSE()))</f>
        <v/>
      </c>
      <c r="CZ204" s="141" t="str">
        <f aca="false">IF($CP204&gt;$CO$8,"",VLOOKUP($CP204,$CR$9:$CX$508,2,FALSE()))</f>
        <v/>
      </c>
      <c r="DA204" s="141" t="str">
        <f aca="false">IF($CP204&gt;$CO$8,"",VLOOKUP($CP204,$CR$9:$CX$508,3,FALSE()))</f>
        <v/>
      </c>
      <c r="DB204" s="141" t="str">
        <f aca="false">IF($CP204&gt;$CO$8,"",VLOOKUP($CP204,$CR$9:$CX$508,4,FALSE()))</f>
        <v/>
      </c>
      <c r="DC204" s="141" t="str">
        <f aca="false">IF($CP204&gt;$CO$8,"",VLOOKUP($CP204,$CR$9:$CX$508,5,FALSE()))</f>
        <v/>
      </c>
      <c r="DD204" s="142" t="str">
        <f aca="false">IF($CP204&gt;$CO$8,"",VLOOKUP($CP204,$CR$9:$CX$508,6,FALSE()))</f>
        <v/>
      </c>
      <c r="DE204" s="70"/>
    </row>
    <row r="205" customFormat="false" ht="15.75" hidden="false" customHeight="false" outlineLevel="0" collapsed="false">
      <c r="A205" s="8"/>
      <c r="B205" s="146"/>
      <c r="C205" s="147"/>
      <c r="D205" s="148"/>
      <c r="E205" s="164"/>
      <c r="F205" s="150"/>
      <c r="G205" s="115"/>
      <c r="H205" s="115"/>
      <c r="I205" s="115"/>
      <c r="J205" s="165"/>
      <c r="K205" s="154"/>
      <c r="L205" s="154"/>
      <c r="M205" s="118"/>
      <c r="N205" s="154"/>
      <c r="O205" s="153"/>
      <c r="P205" s="154"/>
      <c r="Q205" s="154"/>
      <c r="R205" s="154"/>
      <c r="S205" s="115"/>
      <c r="T205" s="154"/>
      <c r="U205" s="153"/>
      <c r="V205" s="154"/>
      <c r="W205" s="123"/>
      <c r="X205" s="124" t="str">
        <f aca="false">IF(ISBLANK($C205),"",IF($E205=Constants!$B$2,TRUE(),IF($E205=Constants!$B$3,FALSE(),TRUE())))</f>
        <v/>
      </c>
      <c r="Y205" s="124" t="str">
        <f aca="false">IF(ISBLANK($C205),"",IF($F205=Constants!$B$2,TRUE(),IF($F205=Constants!$B$3,FALSE(),TRUE())))</f>
        <v/>
      </c>
      <c r="Z205" s="125" t="str">
        <f aca="false">IF(ISBLANK($C205),"",IF(ISNUMBER($G205),IF($G205&gt;=0,$G205,""),""))</f>
        <v/>
      </c>
      <c r="AA205" s="125" t="str">
        <f aca="false">IF(ISBLANK($C205),"",IF(ISNUMBER($H205),IF($H205&gt;=0,$H205,""),""))</f>
        <v/>
      </c>
      <c r="AB205" s="125" t="str">
        <f aca="false">IF(ISBLANK($C205),"",IF(ISNUMBER($I205),IF($I205&gt;=0,$I205,""),""))</f>
        <v/>
      </c>
      <c r="AC205" s="124" t="str">
        <f aca="false">IF(ISBLANK($C205),"",IF($J205=Constants!$B$2,TRUE(),IF($J205=Constants!$B$3,FALSE(),TRUE())))</f>
        <v/>
      </c>
      <c r="AD205" s="124" t="str">
        <f aca="false">IF(ISBLANK($C205),"",IF($K205=Constants!$B$2,TRUE(),IF($K205=Constants!$B$3,FALSE(),TRUE())))</f>
        <v/>
      </c>
      <c r="AE205" s="124" t="str">
        <f aca="false">IF(ISBLANK($C205),"",IF($L205=Constants!$B$2,TRUE(),IF($L205=Constants!$B$3,FALSE(),TRUE())))</f>
        <v/>
      </c>
      <c r="AF205" s="126" t="str">
        <f aca="false">IF(ISBLANK($C205),"",IF(ISNUMBER($M205),IF($M205&gt;=0,$M205,""),""))</f>
        <v/>
      </c>
      <c r="AG205" s="124" t="str">
        <f aca="false">IF(ISBLANK($C205),"",IF(ISBLANK($N205),0,IF(ISNUMBER($N205),IF(AND($N205&gt;=0,$N205&lt;=Constants!$B$17,$N205=INT($N205)),$N205,""),"")))</f>
        <v/>
      </c>
      <c r="AH205" s="125" t="str">
        <f aca="false">IF(ISBLANK($C205),"",IF(ISBLANK($O205),0,IF(ISNUMBER($O205),IF($O205&gt;=0,$O205,""),"")))</f>
        <v/>
      </c>
      <c r="AI205" s="124" t="str">
        <f aca="false">IF(ISBLANK($C205),"",IF($P205=Constants!$B$2,TRUE(),IF($P205=Constants!$B$3,FALSE(),TRUE())))</f>
        <v/>
      </c>
      <c r="AJ205" s="124" t="str">
        <f aca="false">IF(ISBLANK($C205),"",IF($Q205=Constants!$B$2,TRUE(),IF($Q205=Constants!$B$3,FALSE(),TRUE())))</f>
        <v/>
      </c>
      <c r="AK205" s="124" t="str">
        <f aca="false">IF(ISBLANK($C205),"",IF($R205=Constants!$B$2,TRUE(),IF($R205=Constants!$B$3,FALSE(),TRUE())))</f>
        <v/>
      </c>
      <c r="AL205" s="126" t="str">
        <f aca="false">IF(ISBLANK($C205),"",IF(ISNUMBER($S205),IF($S205&gt;=0,$S205,""),""))</f>
        <v/>
      </c>
      <c r="AM205" s="124" t="str">
        <f aca="false">IF(ISBLANK($C205),"",IF(ISBLANK($T205),0,IF(ISNUMBER($T205),IF(AND($T205&gt;=0,$T205&lt;=Constants!$B$17,$T205=INT($T205)),$T205,""),"")))</f>
        <v/>
      </c>
      <c r="AN205" s="125" t="str">
        <f aca="false">IF(ISBLANK($C205),"",IF(ISBLANK($U205),0,IF(ISNUMBER($U205),IF($U205&gt;=0,$U205,""),"")))</f>
        <v/>
      </c>
      <c r="AO205" s="124" t="str">
        <f aca="false">IF(ISBLANK($C205),"",IF($V205=Constants!$B$2,TRUE(),IF($V205=Constants!$B$3,FALSE(),FALSE())))</f>
        <v/>
      </c>
      <c r="AP205" s="124"/>
      <c r="AQ205" s="123" t="str">
        <f aca="false">IF(ISBLANK($C205),"",AND($Y205,OR($AS205,$BC205),OR($Z205="",$AA205="",$AB205="")))</f>
        <v/>
      </c>
      <c r="AR205" s="123" t="str">
        <f aca="false">IF(ISBLANK($C205),"",IF(OR(NOT($Y205),NOT(OR($AS205,$BC205))),"",IF(ISBLANK($D$7),$AR$5,IF($AP$9="",$AR$6,""))))</f>
        <v/>
      </c>
      <c r="AS205" s="123" t="str">
        <f aca="false">IF(ISBLANK($C205),"",COUNTA($J205:$O205)&gt;0)</f>
        <v/>
      </c>
      <c r="AT205" s="123" t="str">
        <f aca="false">IF(ISBLANK($C205),"",AND($AS205,OR(AND($AF205="",OR($AE205,NOT(ISBLANK($M205)))),$AG205="",$AH205="")))</f>
        <v/>
      </c>
      <c r="AU205" s="125" t="str">
        <f aca="false">IF($BL205&lt;&gt;Constants!$B$4,"",IF(NOT($AS205),"",ROUND((Constants!$B$12-$AB205)+(Constants!$B$13-$Z205)+(Constants!$B$14-$AA205),1)))</f>
        <v/>
      </c>
      <c r="AV205" s="127" t="str">
        <f aca="false">IF($BL205&lt;&gt;Constants!$B$4,"",IF(NOT($AS205),"",IF(NOT($AE205),0,Constants!$B$15*(INT(ROUND(MIN($AF205,$AP$9),6))-INT(ROUND(MAX(0,MIN($AF205,2*$AP$9)-$AP$9),6))))))</f>
        <v/>
      </c>
      <c r="AW205" s="127" t="str">
        <f aca="false">IF($BL205&lt;&gt;Constants!$B$4,"",IF(NOT($AS205),"",Constants!$B$16*$AG205))</f>
        <v/>
      </c>
      <c r="AX205" s="127" t="str">
        <f aca="false">IF($BL205&lt;&gt;Constants!$B$4,"",IF(NOT($AS205),"",Constants!$B$18*INT(ROUND($AH205,6))))</f>
        <v/>
      </c>
      <c r="AY205" s="123" t="str">
        <f aca="false">IF($BL205&lt;&gt;Constants!$B$4,"",IF(NOT($AS205),"",IF(NOT($X205),Constants!$B$11,IF(OR(NOT($AC205),NOT($AD205),ROUND($AB205,1)&gt;Constants!$B$12,ROUND($Z205,1)&gt;Constants!$B$13,ROUND($AA205,1)&gt;Constants!$B$14),Constants!$B$10,Constants!$B$9))))</f>
        <v/>
      </c>
      <c r="AZ205" s="128" t="str">
        <f aca="false">IF($BL205&lt;&gt;Constants!$B$4,"",IF(NOT($AS205),"",ROUND($AU205+$AV205+$AW205+$AX205,1)))</f>
        <v/>
      </c>
      <c r="BA205" s="129" t="str">
        <f aca="false">IF($BL205&lt;&gt;Constants!$B$4,"",IF(NOT($AS205),"",IF(ISNUMBER($AF205),$AF205,0)))</f>
        <v/>
      </c>
      <c r="BB205" s="124" t="str">
        <f aca="false">IF($BL205&lt;&gt;Constants!$B$4,"",IF(NOT($BC205),"&lt;-",IF(NOT($AS205),"-&gt;",IF(OR($BI205&lt;$AY205,AND($BI205=$AY205,OR($BJ205&gt;$AZ205,AND($BJ205=$AZ205,OR($BH205&gt;$AX205,AND($BH205=$AX205,OR($BE205&gt;$AU205,AND($BE205=$AU205,OR($BF205&gt;$AV205,AND($BF205=$AV205,$BK205&gt;$BA205)))))))))),"-&gt;","&lt;-"))))</f>
        <v/>
      </c>
      <c r="BC205" s="123" t="str">
        <f aca="false">IF(ISBLANK($C205),"",COUNTA($P205:$U205)&gt;0)</f>
        <v/>
      </c>
      <c r="BD205" s="123" t="str">
        <f aca="false">IF(ISBLANK($C205),"",AND($BC205,OR(AND($AL205="",OR($AK205,NOT(ISBLANK($S205)))),$AM205="",$AN205="")))</f>
        <v/>
      </c>
      <c r="BE205" s="125" t="str">
        <f aca="false">IF($BL205&lt;&gt;Constants!$B$4,"",IF(NOT($BC205),"",ROUND((Constants!$B$12-$AB205)+(Constants!$B$13-$Z205)+(Constants!$B$14-$AA205),1)))</f>
        <v/>
      </c>
      <c r="BF205" s="127" t="str">
        <f aca="false">IF($BL205&lt;&gt;Constants!$B$4,"",IF(NOT($BC205),"",IF(NOT($AK205),0,Constants!$B$15*(INT(ROUND(MIN($AL205,$AP$9),6))-INT(ROUND(MAX(0,MIN($AL205,2*$AP$9)-$AP$9),6))))))</f>
        <v/>
      </c>
      <c r="BG205" s="127" t="str">
        <f aca="false">IF($BL205&lt;&gt;Constants!$B$4,"",IF(NOT($BC205),"",Constants!$B$16*$AM205))</f>
        <v/>
      </c>
      <c r="BH205" s="127" t="str">
        <f aca="false">IF($BL205&lt;&gt;Constants!$B$4,"",IF(NOT($BC205),"",Constants!$B$18*INT(ROUND($AN205,6))))</f>
        <v/>
      </c>
      <c r="BI205" s="123" t="str">
        <f aca="false">IF($BL205&lt;&gt;Constants!$B$4,"",IF(NOT($BC205),"",IF(NOT($X205),Constants!$B$11,IF(OR(NOT($AI205),NOT($AJ205),ROUND($AB205,1)&gt;Constants!$B$12,ROUND($Z205,1)&gt;Constants!$B$13,ROUND($AA205,1)&gt;Constants!$B$14),Constants!$B$10,Constants!$B$9))))</f>
        <v/>
      </c>
      <c r="BJ205" s="128" t="str">
        <f aca="false">IF($BL205&lt;&gt;Constants!$B$4,"",IF(NOT($BC205),"",ROUND($BE205+$BF205+$BG205+$BH205,1)))</f>
        <v/>
      </c>
      <c r="BK205" s="129" t="str">
        <f aca="false">IF($BL205&lt;&gt;Constants!$B$4,"",IF(NOT($BC205),"",IF(ISNUMBER($AL205),$AL205,0)))</f>
        <v/>
      </c>
      <c r="BL205" s="124" t="str">
        <f aca="false">IF(ISBLANK($C205),"",IF($AO205,Constants!$B$7,IF(COUNTA($E205:$V205)=0,Constants!$B$6,IF(NOT($Y205),Constants!$B$5,IF(NOT(OR($AS205,$BC205)),Constants!$B$5,IF(OR($AT205,$BD205,$AQ205,$AR205&lt;&gt;""),Constants!$B$8,Constants!$B$4))))))</f>
        <v/>
      </c>
      <c r="BM205" s="124" t="str">
        <f aca="false">IF(ISBLANK($C205),"",IF($BL205&lt;&gt;Constants!$B$4,$BL205,IF($BB205="-&gt;",$BI205,$AY205)))</f>
        <v/>
      </c>
      <c r="BN205" s="127" t="str">
        <f aca="false">IF($BL205&lt;&gt;Constants!$B$4,"",IF($BB205="-&gt;",$BJ205,$AZ205))</f>
        <v/>
      </c>
      <c r="BO205" s="127" t="str">
        <f aca="false">IF(ISBLANK($C205),"",IF($BL205&lt;&gt;Constants!$B$4,$BL205,$BN205))</f>
        <v/>
      </c>
      <c r="BP205" s="124" t="str">
        <f aca="false">IF(ISBLANK($C205),"",IF($BL205&lt;&gt;Constants!$B$4,$BL205,RANK($BO205,$BO$9:$BO$508,0)))</f>
        <v/>
      </c>
      <c r="BQ205" s="124" t="str">
        <f aca="false">IF(ISBLANK($C205),"",IF($BL205&lt;&gt;Constants!$B$4,$BL205,COUNTIFS($BM$9:$BM$508,"&lt;"&amp;$BM205)+COUNTIFS($BM$9:$BM$508,$BM205,$BP$9:$BP$508,"&lt;"&amp;$BP205)+1))</f>
        <v/>
      </c>
      <c r="BR205" s="127" t="str">
        <f aca="false">IF($BL205&lt;&gt;Constants!$B$4,"",IF($BB205="-&gt;",$BH205,$AX205))</f>
        <v/>
      </c>
      <c r="BS205" s="124" t="str">
        <f aca="false">IF(ISBLANK($C205),"",IF($BL205&lt;&gt;Constants!$B$4,$BL205,IF(ISNUMBER($BR205),RANK($BR205,$BR$9:$BR$508,0),COUNT($BR$9:$BR$508)+1)))</f>
        <v/>
      </c>
      <c r="BT205" s="127" t="str">
        <f aca="false">IF($BL205&lt;&gt;Constants!$B$4,"",IF($BB205="-&gt;",$BE205,$AU205))</f>
        <v/>
      </c>
      <c r="BU205" s="124" t="str">
        <f aca="false">IF(ISBLANK($C205),"",IF($BL205&lt;&gt;Constants!$B$4,$BL205,IF(ISNUMBER($BT205),RANK($BT205,$BT$9:$BT$508,0),COUNT($BT$9:$BT$508)+1)))</f>
        <v/>
      </c>
      <c r="BV205" s="127" t="str">
        <f aca="false">IF($BL205&lt;&gt;Constants!$B$4,"",IF($BB205="-&gt;",$BF205,$AV205))</f>
        <v/>
      </c>
      <c r="BW205" s="124" t="str">
        <f aca="false">IF(ISBLANK($C205),"",IF($BL205&lt;&gt;Constants!$B$4,$BL205,IF(ISNUMBER($BV205),RANK($BV205,$BV$9:$BV$508,0),COUNT($BV$9:$BV$508)+1)))</f>
        <v/>
      </c>
      <c r="BX205" s="127" t="str">
        <f aca="false">IF($BL205&lt;&gt;Constants!$B$4,"",IF($BB205="-&gt;",$BK205,$BA205))</f>
        <v/>
      </c>
      <c r="BY205" s="124" t="str">
        <f aca="false">IF(ISBLANK($C205),"",IF($BL205&lt;&gt;Constants!$B$4,$BL205,IF(ISNUMBER($BX205),RANK($BX205,$BX$9:$BX$508,0),COUNT($BX$9:$BX$508)+1)))</f>
        <v/>
      </c>
      <c r="BZ205" s="124" t="str">
        <f aca="false">IF(ISBLANK($C205),"",IF($BL205&lt;&gt;Constants!$B$4,$BL205,COUNTIFS($BM$9:$BM$508,"&lt;"&amp;$BM205)+COUNTIFS($BM$9:$BM$508,$BM205,$BP$9:$BP$508,"&lt;"&amp;$BP205)+COUNTIFS($BM$9:$BM$508,$BM205,$BP$9:$BP$508,$BP205,$BS$9:$BS$508,"&lt;"&amp;$BS205)+COUNTIFS($BM$9:$BM$508,$BM205,$BP$9:$BP$508,$BP205,$BS$9:$BS$508,$BS205,$BU$9:$BU$508,"&lt;"&amp;$BU205)+COUNTIFS($BM$9:$BM$508,$BM205,$BP$9:$BP$508,$BP205,$BS$9:$BS$508,$BS205,$BU$9:$BU$508,$BU205,$BW$9:$BW$508,"&lt;"&amp;$BW205)+COUNTIFS($BM$9:$BM$508,$BM205,$BP$9:$BP$508,$BP205,$BS$9:$BS$508,$BS205,$BU$9:$BU$508,$BU205,$BW$9:$BW$508,$BW205,$BY$9:$BY$508,"&lt;"&amp;$BY205)+1))</f>
        <v/>
      </c>
      <c r="CA205" s="124" t="str">
        <f aca="false">IF(ISBLANK($C205),"",IF($BL205&lt;&gt;Constants!$B$4,$BL205,$BQ205-$BZ205))</f>
        <v/>
      </c>
      <c r="CB205" s="130"/>
      <c r="CC205" s="131" t="str">
        <f aca="false">IF(ISBLANK($C205),"",IF($BL205=Constants!$B$8,$AR205,""))</f>
        <v/>
      </c>
      <c r="CD205" s="131" t="str">
        <f aca="false">IF(ISBLANK($C205),"",IF($BL205&lt;&gt;Constants!$B$4,"",IF($BB205="-&gt;",2,1)))</f>
        <v/>
      </c>
      <c r="CE205" s="132" t="str">
        <f aca="false">IF(ISBLANK($C205),"",IF($BL205&lt;&gt;Constants!$B$4,"",IF($BB205="-&gt;",$BE205,$AU205)))</f>
        <v/>
      </c>
      <c r="CF205" s="132" t="str">
        <f aca="false">IF(ISBLANK($C205),"",IF($BL205&lt;&gt;Constants!$B$4,"",IF($BB205="-&gt;",$BF205,$AV205)))</f>
        <v/>
      </c>
      <c r="CG205" s="132" t="str">
        <f aca="false">IF(ISBLANK($C205),"",IF($BL205&lt;&gt;Constants!$B$4,"",IF($BB205="-&gt;",$BG205,$AW205)))</f>
        <v/>
      </c>
      <c r="CH205" s="132" t="str">
        <f aca="false">IF(ISBLANK($C205),"",IF($BL205&lt;&gt;Constants!$B$4,"",IF($BB205="-&gt;",$BH205,$AX205)))</f>
        <v/>
      </c>
      <c r="CI205" s="133" t="str">
        <f aca="false">IF(ISBLANK($C205),"",$BO205)</f>
        <v/>
      </c>
      <c r="CJ205" s="134" t="str">
        <f aca="false">IF(ISBLANK($C205),"",$BM205)</f>
        <v/>
      </c>
      <c r="CK205" s="135" t="str">
        <f aca="false">IF(ISBLANK($C205),"",$CA205)</f>
        <v/>
      </c>
      <c r="CL205" s="135" t="str">
        <f aca="false">IF(ISBLANK($C205),"",$BZ205)</f>
        <v/>
      </c>
      <c r="CM205" s="136" t="str">
        <f aca="false">IF(ISBLANK($C205),"",IF($CL205=Constants!$B$7,COUNTA($C$9:$C$508)+2,IF($CL205=Constants!$B$6,COUNTA($C$9:$C$508)+1,IF($CL205=Constants!$B$5,COUNTA($C$9:$C$508),$CL205))))</f>
        <v/>
      </c>
      <c r="CN205" s="8"/>
      <c r="CO205" s="137" t="n">
        <f aca="false">IF(OR(ISNUMBER($CL205),$CL205=Constants!$B$7,$CL205=Constants!$B$5,$CL205=Constants!$B$6),1,0)</f>
        <v>0</v>
      </c>
      <c r="CP205" s="137" t="n">
        <v>197</v>
      </c>
      <c r="CQ205" s="137" t="str">
        <f aca="false">IF(ISBLANK($C205),"",IF(ISNUMBER($CM205),$CM205+ROW($B205)/1000,""))</f>
        <v/>
      </c>
      <c r="CR205" s="137" t="str">
        <f aca="false">IF(ISNUMBER($CQ205),RANK($CQ205,$CQ$9:$CQ$508,1),"")</f>
        <v/>
      </c>
      <c r="CS205" s="137" t="str">
        <f aca="false">IF(ISBLANK($C205),"",$B205)</f>
        <v/>
      </c>
      <c r="CT205" s="137" t="str">
        <f aca="false">IF(ISBLANK($C205),"",$C205)</f>
        <v/>
      </c>
      <c r="CU205" s="137" t="str">
        <f aca="false">IF(ISBLANK($C205),"",$D205)</f>
        <v/>
      </c>
      <c r="CV205" s="138" t="str">
        <f aca="false">$CJ205</f>
        <v/>
      </c>
      <c r="CW205" s="139" t="str">
        <f aca="false">$CI205</f>
        <v/>
      </c>
      <c r="CX205" s="137" t="str">
        <f aca="false">IF(ISBLANK($C205),"",$CL205)</f>
        <v/>
      </c>
      <c r="CY205" s="140" t="str">
        <f aca="false">IF($CP205&gt;$CO$8,"",VLOOKUP($CP205,$CR$9:$CX$508,7,FALSE()))</f>
        <v/>
      </c>
      <c r="CZ205" s="141" t="str">
        <f aca="false">IF($CP205&gt;$CO$8,"",VLOOKUP($CP205,$CR$9:$CX$508,2,FALSE()))</f>
        <v/>
      </c>
      <c r="DA205" s="141" t="str">
        <f aca="false">IF($CP205&gt;$CO$8,"",VLOOKUP($CP205,$CR$9:$CX$508,3,FALSE()))</f>
        <v/>
      </c>
      <c r="DB205" s="141" t="str">
        <f aca="false">IF($CP205&gt;$CO$8,"",VLOOKUP($CP205,$CR$9:$CX$508,4,FALSE()))</f>
        <v/>
      </c>
      <c r="DC205" s="141" t="str">
        <f aca="false">IF($CP205&gt;$CO$8,"",VLOOKUP($CP205,$CR$9:$CX$508,5,FALSE()))</f>
        <v/>
      </c>
      <c r="DD205" s="142" t="str">
        <f aca="false">IF($CP205&gt;$CO$8,"",VLOOKUP($CP205,$CR$9:$CX$508,6,FALSE()))</f>
        <v/>
      </c>
      <c r="DE205" s="70"/>
    </row>
    <row r="206" customFormat="false" ht="15.75" hidden="false" customHeight="false" outlineLevel="0" collapsed="false">
      <c r="A206" s="8"/>
      <c r="B206" s="146"/>
      <c r="C206" s="147"/>
      <c r="D206" s="148"/>
      <c r="E206" s="164"/>
      <c r="F206" s="150"/>
      <c r="G206" s="115"/>
      <c r="H206" s="115"/>
      <c r="I206" s="115"/>
      <c r="J206" s="165"/>
      <c r="K206" s="154"/>
      <c r="L206" s="154"/>
      <c r="M206" s="118"/>
      <c r="N206" s="154"/>
      <c r="O206" s="153"/>
      <c r="P206" s="154"/>
      <c r="Q206" s="154"/>
      <c r="R206" s="154"/>
      <c r="S206" s="115"/>
      <c r="T206" s="154"/>
      <c r="U206" s="153"/>
      <c r="V206" s="154"/>
      <c r="W206" s="123"/>
      <c r="X206" s="124" t="str">
        <f aca="false">IF(ISBLANK($C206),"",IF($E206=Constants!$B$2,TRUE(),IF($E206=Constants!$B$3,FALSE(),TRUE())))</f>
        <v/>
      </c>
      <c r="Y206" s="124" t="str">
        <f aca="false">IF(ISBLANK($C206),"",IF($F206=Constants!$B$2,TRUE(),IF($F206=Constants!$B$3,FALSE(),TRUE())))</f>
        <v/>
      </c>
      <c r="Z206" s="125" t="str">
        <f aca="false">IF(ISBLANK($C206),"",IF(ISNUMBER($G206),IF($G206&gt;=0,$G206,""),""))</f>
        <v/>
      </c>
      <c r="AA206" s="125" t="str">
        <f aca="false">IF(ISBLANK($C206),"",IF(ISNUMBER($H206),IF($H206&gt;=0,$H206,""),""))</f>
        <v/>
      </c>
      <c r="AB206" s="125" t="str">
        <f aca="false">IF(ISBLANK($C206),"",IF(ISNUMBER($I206),IF($I206&gt;=0,$I206,""),""))</f>
        <v/>
      </c>
      <c r="AC206" s="124" t="str">
        <f aca="false">IF(ISBLANK($C206),"",IF($J206=Constants!$B$2,TRUE(),IF($J206=Constants!$B$3,FALSE(),TRUE())))</f>
        <v/>
      </c>
      <c r="AD206" s="124" t="str">
        <f aca="false">IF(ISBLANK($C206),"",IF($K206=Constants!$B$2,TRUE(),IF($K206=Constants!$B$3,FALSE(),TRUE())))</f>
        <v/>
      </c>
      <c r="AE206" s="124" t="str">
        <f aca="false">IF(ISBLANK($C206),"",IF($L206=Constants!$B$2,TRUE(),IF($L206=Constants!$B$3,FALSE(),TRUE())))</f>
        <v/>
      </c>
      <c r="AF206" s="126" t="str">
        <f aca="false">IF(ISBLANK($C206),"",IF(ISNUMBER($M206),IF($M206&gt;=0,$M206,""),""))</f>
        <v/>
      </c>
      <c r="AG206" s="124" t="str">
        <f aca="false">IF(ISBLANK($C206),"",IF(ISBLANK($N206),0,IF(ISNUMBER($N206),IF(AND($N206&gt;=0,$N206&lt;=Constants!$B$17,$N206=INT($N206)),$N206,""),"")))</f>
        <v/>
      </c>
      <c r="AH206" s="125" t="str">
        <f aca="false">IF(ISBLANK($C206),"",IF(ISBLANK($O206),0,IF(ISNUMBER($O206),IF($O206&gt;=0,$O206,""),"")))</f>
        <v/>
      </c>
      <c r="AI206" s="124" t="str">
        <f aca="false">IF(ISBLANK($C206),"",IF($P206=Constants!$B$2,TRUE(),IF($P206=Constants!$B$3,FALSE(),TRUE())))</f>
        <v/>
      </c>
      <c r="AJ206" s="124" t="str">
        <f aca="false">IF(ISBLANK($C206),"",IF($Q206=Constants!$B$2,TRUE(),IF($Q206=Constants!$B$3,FALSE(),TRUE())))</f>
        <v/>
      </c>
      <c r="AK206" s="124" t="str">
        <f aca="false">IF(ISBLANK($C206),"",IF($R206=Constants!$B$2,TRUE(),IF($R206=Constants!$B$3,FALSE(),TRUE())))</f>
        <v/>
      </c>
      <c r="AL206" s="126" t="str">
        <f aca="false">IF(ISBLANK($C206),"",IF(ISNUMBER($S206),IF($S206&gt;=0,$S206,""),""))</f>
        <v/>
      </c>
      <c r="AM206" s="124" t="str">
        <f aca="false">IF(ISBLANK($C206),"",IF(ISBLANK($T206),0,IF(ISNUMBER($T206),IF(AND($T206&gt;=0,$T206&lt;=Constants!$B$17,$T206=INT($T206)),$T206,""),"")))</f>
        <v/>
      </c>
      <c r="AN206" s="125" t="str">
        <f aca="false">IF(ISBLANK($C206),"",IF(ISBLANK($U206),0,IF(ISNUMBER($U206),IF($U206&gt;=0,$U206,""),"")))</f>
        <v/>
      </c>
      <c r="AO206" s="124" t="str">
        <f aca="false">IF(ISBLANK($C206),"",IF($V206=Constants!$B$2,TRUE(),IF($V206=Constants!$B$3,FALSE(),FALSE())))</f>
        <v/>
      </c>
      <c r="AP206" s="124"/>
      <c r="AQ206" s="123" t="str">
        <f aca="false">IF(ISBLANK($C206),"",AND($Y206,OR($AS206,$BC206),OR($Z206="",$AA206="",$AB206="")))</f>
        <v/>
      </c>
      <c r="AR206" s="123" t="str">
        <f aca="false">IF(ISBLANK($C206),"",IF(OR(NOT($Y206),NOT(OR($AS206,$BC206))),"",IF(ISBLANK($D$7),$AR$5,IF($AP$9="",$AR$6,""))))</f>
        <v/>
      </c>
      <c r="AS206" s="123" t="str">
        <f aca="false">IF(ISBLANK($C206),"",COUNTA($J206:$O206)&gt;0)</f>
        <v/>
      </c>
      <c r="AT206" s="123" t="str">
        <f aca="false">IF(ISBLANK($C206),"",AND($AS206,OR(AND($AF206="",OR($AE206,NOT(ISBLANK($M206)))),$AG206="",$AH206="")))</f>
        <v/>
      </c>
      <c r="AU206" s="125" t="str">
        <f aca="false">IF($BL206&lt;&gt;Constants!$B$4,"",IF(NOT($AS206),"",ROUND((Constants!$B$12-$AB206)+(Constants!$B$13-$Z206)+(Constants!$B$14-$AA206),1)))</f>
        <v/>
      </c>
      <c r="AV206" s="127" t="str">
        <f aca="false">IF($BL206&lt;&gt;Constants!$B$4,"",IF(NOT($AS206),"",IF(NOT($AE206),0,Constants!$B$15*(INT(ROUND(MIN($AF206,$AP$9),6))-INT(ROUND(MAX(0,MIN($AF206,2*$AP$9)-$AP$9),6))))))</f>
        <v/>
      </c>
      <c r="AW206" s="127" t="str">
        <f aca="false">IF($BL206&lt;&gt;Constants!$B$4,"",IF(NOT($AS206),"",Constants!$B$16*$AG206))</f>
        <v/>
      </c>
      <c r="AX206" s="127" t="str">
        <f aca="false">IF($BL206&lt;&gt;Constants!$B$4,"",IF(NOT($AS206),"",Constants!$B$18*INT(ROUND($AH206,6))))</f>
        <v/>
      </c>
      <c r="AY206" s="123" t="str">
        <f aca="false">IF($BL206&lt;&gt;Constants!$B$4,"",IF(NOT($AS206),"",IF(NOT($X206),Constants!$B$11,IF(OR(NOT($AC206),NOT($AD206),ROUND($AB206,1)&gt;Constants!$B$12,ROUND($Z206,1)&gt;Constants!$B$13,ROUND($AA206,1)&gt;Constants!$B$14),Constants!$B$10,Constants!$B$9))))</f>
        <v/>
      </c>
      <c r="AZ206" s="128" t="str">
        <f aca="false">IF($BL206&lt;&gt;Constants!$B$4,"",IF(NOT($AS206),"",ROUND($AU206+$AV206+$AW206+$AX206,1)))</f>
        <v/>
      </c>
      <c r="BA206" s="129" t="str">
        <f aca="false">IF($BL206&lt;&gt;Constants!$B$4,"",IF(NOT($AS206),"",IF(ISNUMBER($AF206),$AF206,0)))</f>
        <v/>
      </c>
      <c r="BB206" s="124" t="str">
        <f aca="false">IF($BL206&lt;&gt;Constants!$B$4,"",IF(NOT($BC206),"&lt;-",IF(NOT($AS206),"-&gt;",IF(OR($BI206&lt;$AY206,AND($BI206=$AY206,OR($BJ206&gt;$AZ206,AND($BJ206=$AZ206,OR($BH206&gt;$AX206,AND($BH206=$AX206,OR($BE206&gt;$AU206,AND($BE206=$AU206,OR($BF206&gt;$AV206,AND($BF206=$AV206,$BK206&gt;$BA206)))))))))),"-&gt;","&lt;-"))))</f>
        <v/>
      </c>
      <c r="BC206" s="123" t="str">
        <f aca="false">IF(ISBLANK($C206),"",COUNTA($P206:$U206)&gt;0)</f>
        <v/>
      </c>
      <c r="BD206" s="123" t="str">
        <f aca="false">IF(ISBLANK($C206),"",AND($BC206,OR(AND($AL206="",OR($AK206,NOT(ISBLANK($S206)))),$AM206="",$AN206="")))</f>
        <v/>
      </c>
      <c r="BE206" s="125" t="str">
        <f aca="false">IF($BL206&lt;&gt;Constants!$B$4,"",IF(NOT($BC206),"",ROUND((Constants!$B$12-$AB206)+(Constants!$B$13-$Z206)+(Constants!$B$14-$AA206),1)))</f>
        <v/>
      </c>
      <c r="BF206" s="127" t="str">
        <f aca="false">IF($BL206&lt;&gt;Constants!$B$4,"",IF(NOT($BC206),"",IF(NOT($AK206),0,Constants!$B$15*(INT(ROUND(MIN($AL206,$AP$9),6))-INT(ROUND(MAX(0,MIN($AL206,2*$AP$9)-$AP$9),6))))))</f>
        <v/>
      </c>
      <c r="BG206" s="127" t="str">
        <f aca="false">IF($BL206&lt;&gt;Constants!$B$4,"",IF(NOT($BC206),"",Constants!$B$16*$AM206))</f>
        <v/>
      </c>
      <c r="BH206" s="127" t="str">
        <f aca="false">IF($BL206&lt;&gt;Constants!$B$4,"",IF(NOT($BC206),"",Constants!$B$18*INT(ROUND($AN206,6))))</f>
        <v/>
      </c>
      <c r="BI206" s="123" t="str">
        <f aca="false">IF($BL206&lt;&gt;Constants!$B$4,"",IF(NOT($BC206),"",IF(NOT($X206),Constants!$B$11,IF(OR(NOT($AI206),NOT($AJ206),ROUND($AB206,1)&gt;Constants!$B$12,ROUND($Z206,1)&gt;Constants!$B$13,ROUND($AA206,1)&gt;Constants!$B$14),Constants!$B$10,Constants!$B$9))))</f>
        <v/>
      </c>
      <c r="BJ206" s="128" t="str">
        <f aca="false">IF($BL206&lt;&gt;Constants!$B$4,"",IF(NOT($BC206),"",ROUND($BE206+$BF206+$BG206+$BH206,1)))</f>
        <v/>
      </c>
      <c r="BK206" s="129" t="str">
        <f aca="false">IF($BL206&lt;&gt;Constants!$B$4,"",IF(NOT($BC206),"",IF(ISNUMBER($AL206),$AL206,0)))</f>
        <v/>
      </c>
      <c r="BL206" s="124" t="str">
        <f aca="false">IF(ISBLANK($C206),"",IF($AO206,Constants!$B$7,IF(COUNTA($E206:$V206)=0,Constants!$B$6,IF(NOT($Y206),Constants!$B$5,IF(NOT(OR($AS206,$BC206)),Constants!$B$5,IF(OR($AT206,$BD206,$AQ206,$AR206&lt;&gt;""),Constants!$B$8,Constants!$B$4))))))</f>
        <v/>
      </c>
      <c r="BM206" s="124" t="str">
        <f aca="false">IF(ISBLANK($C206),"",IF($BL206&lt;&gt;Constants!$B$4,$BL206,IF($BB206="-&gt;",$BI206,$AY206)))</f>
        <v/>
      </c>
      <c r="BN206" s="127" t="str">
        <f aca="false">IF($BL206&lt;&gt;Constants!$B$4,"",IF($BB206="-&gt;",$BJ206,$AZ206))</f>
        <v/>
      </c>
      <c r="BO206" s="127" t="str">
        <f aca="false">IF(ISBLANK($C206),"",IF($BL206&lt;&gt;Constants!$B$4,$BL206,$BN206))</f>
        <v/>
      </c>
      <c r="BP206" s="124" t="str">
        <f aca="false">IF(ISBLANK($C206),"",IF($BL206&lt;&gt;Constants!$B$4,$BL206,RANK($BO206,$BO$9:$BO$508,0)))</f>
        <v/>
      </c>
      <c r="BQ206" s="124" t="str">
        <f aca="false">IF(ISBLANK($C206),"",IF($BL206&lt;&gt;Constants!$B$4,$BL206,COUNTIFS($BM$9:$BM$508,"&lt;"&amp;$BM206)+COUNTIFS($BM$9:$BM$508,$BM206,$BP$9:$BP$508,"&lt;"&amp;$BP206)+1))</f>
        <v/>
      </c>
      <c r="BR206" s="127" t="str">
        <f aca="false">IF($BL206&lt;&gt;Constants!$B$4,"",IF($BB206="-&gt;",$BH206,$AX206))</f>
        <v/>
      </c>
      <c r="BS206" s="124" t="str">
        <f aca="false">IF(ISBLANK($C206),"",IF($BL206&lt;&gt;Constants!$B$4,$BL206,IF(ISNUMBER($BR206),RANK($BR206,$BR$9:$BR$508,0),COUNT($BR$9:$BR$508)+1)))</f>
        <v/>
      </c>
      <c r="BT206" s="127" t="str">
        <f aca="false">IF($BL206&lt;&gt;Constants!$B$4,"",IF($BB206="-&gt;",$BE206,$AU206))</f>
        <v/>
      </c>
      <c r="BU206" s="124" t="str">
        <f aca="false">IF(ISBLANK($C206),"",IF($BL206&lt;&gt;Constants!$B$4,$BL206,IF(ISNUMBER($BT206),RANK($BT206,$BT$9:$BT$508,0),COUNT($BT$9:$BT$508)+1)))</f>
        <v/>
      </c>
      <c r="BV206" s="127" t="str">
        <f aca="false">IF($BL206&lt;&gt;Constants!$B$4,"",IF($BB206="-&gt;",$BF206,$AV206))</f>
        <v/>
      </c>
      <c r="BW206" s="124" t="str">
        <f aca="false">IF(ISBLANK($C206),"",IF($BL206&lt;&gt;Constants!$B$4,$BL206,IF(ISNUMBER($BV206),RANK($BV206,$BV$9:$BV$508,0),COUNT($BV$9:$BV$508)+1)))</f>
        <v/>
      </c>
      <c r="BX206" s="127" t="str">
        <f aca="false">IF($BL206&lt;&gt;Constants!$B$4,"",IF($BB206="-&gt;",$BK206,$BA206))</f>
        <v/>
      </c>
      <c r="BY206" s="124" t="str">
        <f aca="false">IF(ISBLANK($C206),"",IF($BL206&lt;&gt;Constants!$B$4,$BL206,IF(ISNUMBER($BX206),RANK($BX206,$BX$9:$BX$508,0),COUNT($BX$9:$BX$508)+1)))</f>
        <v/>
      </c>
      <c r="BZ206" s="124" t="str">
        <f aca="false">IF(ISBLANK($C206),"",IF($BL206&lt;&gt;Constants!$B$4,$BL206,COUNTIFS($BM$9:$BM$508,"&lt;"&amp;$BM206)+COUNTIFS($BM$9:$BM$508,$BM206,$BP$9:$BP$508,"&lt;"&amp;$BP206)+COUNTIFS($BM$9:$BM$508,$BM206,$BP$9:$BP$508,$BP206,$BS$9:$BS$508,"&lt;"&amp;$BS206)+COUNTIFS($BM$9:$BM$508,$BM206,$BP$9:$BP$508,$BP206,$BS$9:$BS$508,$BS206,$BU$9:$BU$508,"&lt;"&amp;$BU206)+COUNTIFS($BM$9:$BM$508,$BM206,$BP$9:$BP$508,$BP206,$BS$9:$BS$508,$BS206,$BU$9:$BU$508,$BU206,$BW$9:$BW$508,"&lt;"&amp;$BW206)+COUNTIFS($BM$9:$BM$508,$BM206,$BP$9:$BP$508,$BP206,$BS$9:$BS$508,$BS206,$BU$9:$BU$508,$BU206,$BW$9:$BW$508,$BW206,$BY$9:$BY$508,"&lt;"&amp;$BY206)+1))</f>
        <v/>
      </c>
      <c r="CA206" s="124" t="str">
        <f aca="false">IF(ISBLANK($C206),"",IF($BL206&lt;&gt;Constants!$B$4,$BL206,$BQ206-$BZ206))</f>
        <v/>
      </c>
      <c r="CB206" s="130"/>
      <c r="CC206" s="131" t="str">
        <f aca="false">IF(ISBLANK($C206),"",IF($BL206=Constants!$B$8,$AR206,""))</f>
        <v/>
      </c>
      <c r="CD206" s="131" t="str">
        <f aca="false">IF(ISBLANK($C206),"",IF($BL206&lt;&gt;Constants!$B$4,"",IF($BB206="-&gt;",2,1)))</f>
        <v/>
      </c>
      <c r="CE206" s="132" t="str">
        <f aca="false">IF(ISBLANK($C206),"",IF($BL206&lt;&gt;Constants!$B$4,"",IF($BB206="-&gt;",$BE206,$AU206)))</f>
        <v/>
      </c>
      <c r="CF206" s="132" t="str">
        <f aca="false">IF(ISBLANK($C206),"",IF($BL206&lt;&gt;Constants!$B$4,"",IF($BB206="-&gt;",$BF206,$AV206)))</f>
        <v/>
      </c>
      <c r="CG206" s="132" t="str">
        <f aca="false">IF(ISBLANK($C206),"",IF($BL206&lt;&gt;Constants!$B$4,"",IF($BB206="-&gt;",$BG206,$AW206)))</f>
        <v/>
      </c>
      <c r="CH206" s="132" t="str">
        <f aca="false">IF(ISBLANK($C206),"",IF($BL206&lt;&gt;Constants!$B$4,"",IF($BB206="-&gt;",$BH206,$AX206)))</f>
        <v/>
      </c>
      <c r="CI206" s="133" t="str">
        <f aca="false">IF(ISBLANK($C206),"",$BO206)</f>
        <v/>
      </c>
      <c r="CJ206" s="134" t="str">
        <f aca="false">IF(ISBLANK($C206),"",$BM206)</f>
        <v/>
      </c>
      <c r="CK206" s="135" t="str">
        <f aca="false">IF(ISBLANK($C206),"",$CA206)</f>
        <v/>
      </c>
      <c r="CL206" s="135" t="str">
        <f aca="false">IF(ISBLANK($C206),"",$BZ206)</f>
        <v/>
      </c>
      <c r="CM206" s="136" t="str">
        <f aca="false">IF(ISBLANK($C206),"",IF($CL206=Constants!$B$7,COUNTA($C$9:$C$508)+2,IF($CL206=Constants!$B$6,COUNTA($C$9:$C$508)+1,IF($CL206=Constants!$B$5,COUNTA($C$9:$C$508),$CL206))))</f>
        <v/>
      </c>
      <c r="CN206" s="8"/>
      <c r="CO206" s="137" t="n">
        <f aca="false">IF(OR(ISNUMBER($CL206),$CL206=Constants!$B$7,$CL206=Constants!$B$5,$CL206=Constants!$B$6),1,0)</f>
        <v>0</v>
      </c>
      <c r="CP206" s="137" t="n">
        <v>198</v>
      </c>
      <c r="CQ206" s="137" t="str">
        <f aca="false">IF(ISBLANK($C206),"",IF(ISNUMBER($CM206),$CM206+ROW($B206)/1000,""))</f>
        <v/>
      </c>
      <c r="CR206" s="137" t="str">
        <f aca="false">IF(ISNUMBER($CQ206),RANK($CQ206,$CQ$9:$CQ$508,1),"")</f>
        <v/>
      </c>
      <c r="CS206" s="137" t="str">
        <f aca="false">IF(ISBLANK($C206),"",$B206)</f>
        <v/>
      </c>
      <c r="CT206" s="137" t="str">
        <f aca="false">IF(ISBLANK($C206),"",$C206)</f>
        <v/>
      </c>
      <c r="CU206" s="137" t="str">
        <f aca="false">IF(ISBLANK($C206),"",$D206)</f>
        <v/>
      </c>
      <c r="CV206" s="138" t="str">
        <f aca="false">$CJ206</f>
        <v/>
      </c>
      <c r="CW206" s="139" t="str">
        <f aca="false">$CI206</f>
        <v/>
      </c>
      <c r="CX206" s="137" t="str">
        <f aca="false">IF(ISBLANK($C206),"",$CL206)</f>
        <v/>
      </c>
      <c r="CY206" s="140" t="str">
        <f aca="false">IF($CP206&gt;$CO$8,"",VLOOKUP($CP206,$CR$9:$CX$508,7,FALSE()))</f>
        <v/>
      </c>
      <c r="CZ206" s="141" t="str">
        <f aca="false">IF($CP206&gt;$CO$8,"",VLOOKUP($CP206,$CR$9:$CX$508,2,FALSE()))</f>
        <v/>
      </c>
      <c r="DA206" s="141" t="str">
        <f aca="false">IF($CP206&gt;$CO$8,"",VLOOKUP($CP206,$CR$9:$CX$508,3,FALSE()))</f>
        <v/>
      </c>
      <c r="DB206" s="141" t="str">
        <f aca="false">IF($CP206&gt;$CO$8,"",VLOOKUP($CP206,$CR$9:$CX$508,4,FALSE()))</f>
        <v/>
      </c>
      <c r="DC206" s="141" t="str">
        <f aca="false">IF($CP206&gt;$CO$8,"",VLOOKUP($CP206,$CR$9:$CX$508,5,FALSE()))</f>
        <v/>
      </c>
      <c r="DD206" s="142" t="str">
        <f aca="false">IF($CP206&gt;$CO$8,"",VLOOKUP($CP206,$CR$9:$CX$508,6,FALSE()))</f>
        <v/>
      </c>
      <c r="DE206" s="70"/>
    </row>
    <row r="207" customFormat="false" ht="15.75" hidden="false" customHeight="false" outlineLevel="0" collapsed="false">
      <c r="A207" s="8"/>
      <c r="B207" s="72"/>
      <c r="C207" s="73"/>
      <c r="D207" s="155"/>
      <c r="E207" s="162"/>
      <c r="F207" s="157"/>
      <c r="G207" s="77"/>
      <c r="H207" s="77"/>
      <c r="I207" s="77"/>
      <c r="J207" s="163"/>
      <c r="K207" s="161"/>
      <c r="L207" s="161"/>
      <c r="M207" s="80"/>
      <c r="N207" s="161"/>
      <c r="O207" s="160"/>
      <c r="P207" s="161"/>
      <c r="Q207" s="161"/>
      <c r="R207" s="161"/>
      <c r="S207" s="77"/>
      <c r="T207" s="161"/>
      <c r="U207" s="160"/>
      <c r="V207" s="161"/>
      <c r="W207" s="85"/>
      <c r="X207" s="86" t="str">
        <f aca="false">IF(ISBLANK($C207),"",IF($E207=Constants!$B$2,TRUE(),IF($E207=Constants!$B$3,FALSE(),TRUE())))</f>
        <v/>
      </c>
      <c r="Y207" s="86" t="str">
        <f aca="false">IF(ISBLANK($C207),"",IF($F207=Constants!$B$2,TRUE(),IF($F207=Constants!$B$3,FALSE(),TRUE())))</f>
        <v/>
      </c>
      <c r="Z207" s="87" t="str">
        <f aca="false">IF(ISBLANK($C207),"",IF(ISNUMBER($G207),IF($G207&gt;=0,$G207,""),""))</f>
        <v/>
      </c>
      <c r="AA207" s="87" t="str">
        <f aca="false">IF(ISBLANK($C207),"",IF(ISNUMBER($H207),IF($H207&gt;=0,$H207,""),""))</f>
        <v/>
      </c>
      <c r="AB207" s="87" t="str">
        <f aca="false">IF(ISBLANK($C207),"",IF(ISNUMBER($I207),IF($I207&gt;=0,$I207,""),""))</f>
        <v/>
      </c>
      <c r="AC207" s="86" t="str">
        <f aca="false">IF(ISBLANK($C207),"",IF($J207=Constants!$B$2,TRUE(),IF($J207=Constants!$B$3,FALSE(),TRUE())))</f>
        <v/>
      </c>
      <c r="AD207" s="86" t="str">
        <f aca="false">IF(ISBLANK($C207),"",IF($K207=Constants!$B$2,TRUE(),IF($K207=Constants!$B$3,FALSE(),TRUE())))</f>
        <v/>
      </c>
      <c r="AE207" s="86" t="str">
        <f aca="false">IF(ISBLANK($C207),"",IF($L207=Constants!$B$2,TRUE(),IF($L207=Constants!$B$3,FALSE(),TRUE())))</f>
        <v/>
      </c>
      <c r="AF207" s="88" t="str">
        <f aca="false">IF(ISBLANK($C207),"",IF(ISNUMBER($M207),IF($M207&gt;=0,$M207,""),""))</f>
        <v/>
      </c>
      <c r="AG207" s="86" t="str">
        <f aca="false">IF(ISBLANK($C207),"",IF(ISBLANK($N207),0,IF(ISNUMBER($N207),IF(AND($N207&gt;=0,$N207&lt;=Constants!$B$17,$N207=INT($N207)),$N207,""),"")))</f>
        <v/>
      </c>
      <c r="AH207" s="87" t="str">
        <f aca="false">IF(ISBLANK($C207),"",IF(ISBLANK($O207),0,IF(ISNUMBER($O207),IF($O207&gt;=0,$O207,""),"")))</f>
        <v/>
      </c>
      <c r="AI207" s="86" t="str">
        <f aca="false">IF(ISBLANK($C207),"",IF($P207=Constants!$B$2,TRUE(),IF($P207=Constants!$B$3,FALSE(),TRUE())))</f>
        <v/>
      </c>
      <c r="AJ207" s="86" t="str">
        <f aca="false">IF(ISBLANK($C207),"",IF($Q207=Constants!$B$2,TRUE(),IF($Q207=Constants!$B$3,FALSE(),TRUE())))</f>
        <v/>
      </c>
      <c r="AK207" s="86" t="str">
        <f aca="false">IF(ISBLANK($C207),"",IF($R207=Constants!$B$2,TRUE(),IF($R207=Constants!$B$3,FALSE(),TRUE())))</f>
        <v/>
      </c>
      <c r="AL207" s="88" t="str">
        <f aca="false">IF(ISBLANK($C207),"",IF(ISNUMBER($S207),IF($S207&gt;=0,$S207,""),""))</f>
        <v/>
      </c>
      <c r="AM207" s="86" t="str">
        <f aca="false">IF(ISBLANK($C207),"",IF(ISBLANK($T207),0,IF(ISNUMBER($T207),IF(AND($T207&gt;=0,$T207&lt;=Constants!$B$17,$T207=INT($T207)),$T207,""),"")))</f>
        <v/>
      </c>
      <c r="AN207" s="87" t="str">
        <f aca="false">IF(ISBLANK($C207),"",IF(ISBLANK($U207),0,IF(ISNUMBER($U207),IF($U207&gt;=0,$U207,""),"")))</f>
        <v/>
      </c>
      <c r="AO207" s="86" t="str">
        <f aca="false">IF(ISBLANK($C207),"",IF($V207=Constants!$B$2,TRUE(),IF($V207=Constants!$B$3,FALSE(),FALSE())))</f>
        <v/>
      </c>
      <c r="AP207" s="86"/>
      <c r="AQ207" s="85" t="str">
        <f aca="false">IF(ISBLANK($C207),"",AND($Y207,OR($AS207,$BC207),OR($Z207="",$AA207="",$AB207="")))</f>
        <v/>
      </c>
      <c r="AR207" s="85" t="str">
        <f aca="false">IF(ISBLANK($C207),"",IF(OR(NOT($Y207),NOT(OR($AS207,$BC207))),"",IF(ISBLANK($D$7),$AR$5,IF($AP$9="",$AR$6,""))))</f>
        <v/>
      </c>
      <c r="AS207" s="85" t="str">
        <f aca="false">IF(ISBLANK($C207),"",COUNTA($J207:$O207)&gt;0)</f>
        <v/>
      </c>
      <c r="AT207" s="85" t="str">
        <f aca="false">IF(ISBLANK($C207),"",AND($AS207,OR(AND($AF207="",OR($AE207,NOT(ISBLANK($M207)))),$AG207="",$AH207="")))</f>
        <v/>
      </c>
      <c r="AU207" s="87" t="str">
        <f aca="false">IF($BL207&lt;&gt;Constants!$B$4,"",IF(NOT($AS207),"",ROUND((Constants!$B$12-$AB207)+(Constants!$B$13-$Z207)+(Constants!$B$14-$AA207),1)))</f>
        <v/>
      </c>
      <c r="AV207" s="90" t="str">
        <f aca="false">IF($BL207&lt;&gt;Constants!$B$4,"",IF(NOT($AS207),"",IF(NOT($AE207),0,Constants!$B$15*(INT(ROUND(MIN($AF207,$AP$9),6))-INT(ROUND(MAX(0,MIN($AF207,2*$AP$9)-$AP$9),6))))))</f>
        <v/>
      </c>
      <c r="AW207" s="90" t="str">
        <f aca="false">IF($BL207&lt;&gt;Constants!$B$4,"",IF(NOT($AS207),"",Constants!$B$16*$AG207))</f>
        <v/>
      </c>
      <c r="AX207" s="90" t="str">
        <f aca="false">IF($BL207&lt;&gt;Constants!$B$4,"",IF(NOT($AS207),"",Constants!$B$18*INT(ROUND($AH207,6))))</f>
        <v/>
      </c>
      <c r="AY207" s="85" t="str">
        <f aca="false">IF($BL207&lt;&gt;Constants!$B$4,"",IF(NOT($AS207),"",IF(NOT($X207),Constants!$B$11,IF(OR(NOT($AC207),NOT($AD207),ROUND($AB207,1)&gt;Constants!$B$12,ROUND($Z207,1)&gt;Constants!$B$13,ROUND($AA207,1)&gt;Constants!$B$14),Constants!$B$10,Constants!$B$9))))</f>
        <v/>
      </c>
      <c r="AZ207" s="91" t="str">
        <f aca="false">IF($BL207&lt;&gt;Constants!$B$4,"",IF(NOT($AS207),"",ROUND($AU207+$AV207+$AW207+$AX207,1)))</f>
        <v/>
      </c>
      <c r="BA207" s="92" t="str">
        <f aca="false">IF($BL207&lt;&gt;Constants!$B$4,"",IF(NOT($AS207),"",IF(ISNUMBER($AF207),$AF207,0)))</f>
        <v/>
      </c>
      <c r="BB207" s="86" t="str">
        <f aca="false">IF($BL207&lt;&gt;Constants!$B$4,"",IF(NOT($BC207),"&lt;-",IF(NOT($AS207),"-&gt;",IF(OR($BI207&lt;$AY207,AND($BI207=$AY207,OR($BJ207&gt;$AZ207,AND($BJ207=$AZ207,OR($BH207&gt;$AX207,AND($BH207=$AX207,OR($BE207&gt;$AU207,AND($BE207=$AU207,OR($BF207&gt;$AV207,AND($BF207=$AV207,$BK207&gt;$BA207)))))))))),"-&gt;","&lt;-"))))</f>
        <v/>
      </c>
      <c r="BC207" s="85" t="str">
        <f aca="false">IF(ISBLANK($C207),"",COUNTA($P207:$U207)&gt;0)</f>
        <v/>
      </c>
      <c r="BD207" s="85" t="str">
        <f aca="false">IF(ISBLANK($C207),"",AND($BC207,OR(AND($AL207="",OR($AK207,NOT(ISBLANK($S207)))),$AM207="",$AN207="")))</f>
        <v/>
      </c>
      <c r="BE207" s="87" t="str">
        <f aca="false">IF($BL207&lt;&gt;Constants!$B$4,"",IF(NOT($BC207),"",ROUND((Constants!$B$12-$AB207)+(Constants!$B$13-$Z207)+(Constants!$B$14-$AA207),1)))</f>
        <v/>
      </c>
      <c r="BF207" s="90" t="str">
        <f aca="false">IF($BL207&lt;&gt;Constants!$B$4,"",IF(NOT($BC207),"",IF(NOT($AK207),0,Constants!$B$15*(INT(ROUND(MIN($AL207,$AP$9),6))-INT(ROUND(MAX(0,MIN($AL207,2*$AP$9)-$AP$9),6))))))</f>
        <v/>
      </c>
      <c r="BG207" s="90" t="str">
        <f aca="false">IF($BL207&lt;&gt;Constants!$B$4,"",IF(NOT($BC207),"",Constants!$B$16*$AM207))</f>
        <v/>
      </c>
      <c r="BH207" s="90" t="str">
        <f aca="false">IF($BL207&lt;&gt;Constants!$B$4,"",IF(NOT($BC207),"",Constants!$B$18*INT(ROUND($AN207,6))))</f>
        <v/>
      </c>
      <c r="BI207" s="85" t="str">
        <f aca="false">IF($BL207&lt;&gt;Constants!$B$4,"",IF(NOT($BC207),"",IF(NOT($X207),Constants!$B$11,IF(OR(NOT($AI207),NOT($AJ207),ROUND($AB207,1)&gt;Constants!$B$12,ROUND($Z207,1)&gt;Constants!$B$13,ROUND($AA207,1)&gt;Constants!$B$14),Constants!$B$10,Constants!$B$9))))</f>
        <v/>
      </c>
      <c r="BJ207" s="91" t="str">
        <f aca="false">IF($BL207&lt;&gt;Constants!$B$4,"",IF(NOT($BC207),"",ROUND($BE207+$BF207+$BG207+$BH207,1)))</f>
        <v/>
      </c>
      <c r="BK207" s="92" t="str">
        <f aca="false">IF($BL207&lt;&gt;Constants!$B$4,"",IF(NOT($BC207),"",IF(ISNUMBER($AL207),$AL207,0)))</f>
        <v/>
      </c>
      <c r="BL207" s="86" t="str">
        <f aca="false">IF(ISBLANK($C207),"",IF($AO207,Constants!$B$7,IF(COUNTA($E207:$V207)=0,Constants!$B$6,IF(NOT($Y207),Constants!$B$5,IF(NOT(OR($AS207,$BC207)),Constants!$B$5,IF(OR($AT207,$BD207,$AQ207,$AR207&lt;&gt;""),Constants!$B$8,Constants!$B$4))))))</f>
        <v/>
      </c>
      <c r="BM207" s="86" t="str">
        <f aca="false">IF(ISBLANK($C207),"",IF($BL207&lt;&gt;Constants!$B$4,$BL207,IF($BB207="-&gt;",$BI207,$AY207)))</f>
        <v/>
      </c>
      <c r="BN207" s="90" t="str">
        <f aca="false">IF($BL207&lt;&gt;Constants!$B$4,"",IF($BB207="-&gt;",$BJ207,$AZ207))</f>
        <v/>
      </c>
      <c r="BO207" s="90" t="str">
        <f aca="false">IF(ISBLANK($C207),"",IF($BL207&lt;&gt;Constants!$B$4,$BL207,$BN207))</f>
        <v/>
      </c>
      <c r="BP207" s="86" t="str">
        <f aca="false">IF(ISBLANK($C207),"",IF($BL207&lt;&gt;Constants!$B$4,$BL207,RANK($BO207,$BO$9:$BO$508,0)))</f>
        <v/>
      </c>
      <c r="BQ207" s="86" t="str">
        <f aca="false">IF(ISBLANK($C207),"",IF($BL207&lt;&gt;Constants!$B$4,$BL207,COUNTIFS($BM$9:$BM$508,"&lt;"&amp;$BM207)+COUNTIFS($BM$9:$BM$508,$BM207,$BP$9:$BP$508,"&lt;"&amp;$BP207)+1))</f>
        <v/>
      </c>
      <c r="BR207" s="90" t="str">
        <f aca="false">IF($BL207&lt;&gt;Constants!$B$4,"",IF($BB207="-&gt;",$BH207,$AX207))</f>
        <v/>
      </c>
      <c r="BS207" s="86" t="str">
        <f aca="false">IF(ISBLANK($C207),"",IF($BL207&lt;&gt;Constants!$B$4,$BL207,IF(ISNUMBER($BR207),RANK($BR207,$BR$9:$BR$508,0),COUNT($BR$9:$BR$508)+1)))</f>
        <v/>
      </c>
      <c r="BT207" s="90" t="str">
        <f aca="false">IF($BL207&lt;&gt;Constants!$B$4,"",IF($BB207="-&gt;",$BE207,$AU207))</f>
        <v/>
      </c>
      <c r="BU207" s="86" t="str">
        <f aca="false">IF(ISBLANK($C207),"",IF($BL207&lt;&gt;Constants!$B$4,$BL207,IF(ISNUMBER($BT207),RANK($BT207,$BT$9:$BT$508,0),COUNT($BT$9:$BT$508)+1)))</f>
        <v/>
      </c>
      <c r="BV207" s="90" t="str">
        <f aca="false">IF($BL207&lt;&gt;Constants!$B$4,"",IF($BB207="-&gt;",$BF207,$AV207))</f>
        <v/>
      </c>
      <c r="BW207" s="86" t="str">
        <f aca="false">IF(ISBLANK($C207),"",IF($BL207&lt;&gt;Constants!$B$4,$BL207,IF(ISNUMBER($BV207),RANK($BV207,$BV$9:$BV$508,0),COUNT($BV$9:$BV$508)+1)))</f>
        <v/>
      </c>
      <c r="BX207" s="90" t="str">
        <f aca="false">IF($BL207&lt;&gt;Constants!$B$4,"",IF($BB207="-&gt;",$BK207,$BA207))</f>
        <v/>
      </c>
      <c r="BY207" s="86" t="str">
        <f aca="false">IF(ISBLANK($C207),"",IF($BL207&lt;&gt;Constants!$B$4,$BL207,IF(ISNUMBER($BX207),RANK($BX207,$BX$9:$BX$508,0),COUNT($BX$9:$BX$508)+1)))</f>
        <v/>
      </c>
      <c r="BZ207" s="86" t="str">
        <f aca="false">IF(ISBLANK($C207),"",IF($BL207&lt;&gt;Constants!$B$4,$BL207,COUNTIFS($BM$9:$BM$508,"&lt;"&amp;$BM207)+COUNTIFS($BM$9:$BM$508,$BM207,$BP$9:$BP$508,"&lt;"&amp;$BP207)+COUNTIFS($BM$9:$BM$508,$BM207,$BP$9:$BP$508,$BP207,$BS$9:$BS$508,"&lt;"&amp;$BS207)+COUNTIFS($BM$9:$BM$508,$BM207,$BP$9:$BP$508,$BP207,$BS$9:$BS$508,$BS207,$BU$9:$BU$508,"&lt;"&amp;$BU207)+COUNTIFS($BM$9:$BM$508,$BM207,$BP$9:$BP$508,$BP207,$BS$9:$BS$508,$BS207,$BU$9:$BU$508,$BU207,$BW$9:$BW$508,"&lt;"&amp;$BW207)+COUNTIFS($BM$9:$BM$508,$BM207,$BP$9:$BP$508,$BP207,$BS$9:$BS$508,$BS207,$BU$9:$BU$508,$BU207,$BW$9:$BW$508,$BW207,$BY$9:$BY$508,"&lt;"&amp;$BY207)+1))</f>
        <v/>
      </c>
      <c r="CA207" s="86" t="str">
        <f aca="false">IF(ISBLANK($C207),"",IF($BL207&lt;&gt;Constants!$B$4,$BL207,$BQ207-$BZ207))</f>
        <v/>
      </c>
      <c r="CB207" s="93"/>
      <c r="CC207" s="94" t="str">
        <f aca="false">IF(ISBLANK($C207),"",IF($BL207=Constants!$B$8,$AR207,""))</f>
        <v/>
      </c>
      <c r="CD207" s="94" t="str">
        <f aca="false">IF(ISBLANK($C207),"",IF($BL207&lt;&gt;Constants!$B$4,"",IF($BB207="-&gt;",2,1)))</f>
        <v/>
      </c>
      <c r="CE207" s="95" t="str">
        <f aca="false">IF(ISBLANK($C207),"",IF($BL207&lt;&gt;Constants!$B$4,"",IF($BB207="-&gt;",$BE207,$AU207)))</f>
        <v/>
      </c>
      <c r="CF207" s="95" t="str">
        <f aca="false">IF(ISBLANK($C207),"",IF($BL207&lt;&gt;Constants!$B$4,"",IF($BB207="-&gt;",$BF207,$AV207)))</f>
        <v/>
      </c>
      <c r="CG207" s="95" t="str">
        <f aca="false">IF(ISBLANK($C207),"",IF($BL207&lt;&gt;Constants!$B$4,"",IF($BB207="-&gt;",$BG207,$AW207)))</f>
        <v/>
      </c>
      <c r="CH207" s="95" t="str">
        <f aca="false">IF(ISBLANK($C207),"",IF($BL207&lt;&gt;Constants!$B$4,"",IF($BB207="-&gt;",$BH207,$AX207)))</f>
        <v/>
      </c>
      <c r="CI207" s="96" t="str">
        <f aca="false">IF(ISBLANK($C207),"",$BO207)</f>
        <v/>
      </c>
      <c r="CJ207" s="97" t="str">
        <f aca="false">IF(ISBLANK($C207),"",$BM207)</f>
        <v/>
      </c>
      <c r="CK207" s="98" t="str">
        <f aca="false">IF(ISBLANK($C207),"",$CA207)</f>
        <v/>
      </c>
      <c r="CL207" s="98" t="str">
        <f aca="false">IF(ISBLANK($C207),"",$BZ207)</f>
        <v/>
      </c>
      <c r="CM207" s="99" t="str">
        <f aca="false">IF(ISBLANK($C207),"",IF($CL207=Constants!$B$7,COUNTA($C$9:$C$508)+2,IF($CL207=Constants!$B$6,COUNTA($C$9:$C$508)+1,IF($CL207=Constants!$B$5,COUNTA($C$9:$C$508),$CL207))))</f>
        <v/>
      </c>
      <c r="CN207" s="8"/>
      <c r="CO207" s="100" t="n">
        <f aca="false">IF(OR(ISNUMBER($CL207),$CL207=Constants!$B$7,$CL207=Constants!$B$5,$CL207=Constants!$B$6),1,0)</f>
        <v>0</v>
      </c>
      <c r="CP207" s="100" t="n">
        <v>199</v>
      </c>
      <c r="CQ207" s="100" t="str">
        <f aca="false">IF(ISBLANK($C207),"",IF(ISNUMBER($CM207),$CM207+ROW($B207)/1000,""))</f>
        <v/>
      </c>
      <c r="CR207" s="100" t="str">
        <f aca="false">IF(ISNUMBER($CQ207),RANK($CQ207,$CQ$9:$CQ$508,1),"")</f>
        <v/>
      </c>
      <c r="CS207" s="100" t="str">
        <f aca="false">IF(ISBLANK($C207),"",$B207)</f>
        <v/>
      </c>
      <c r="CT207" s="100" t="str">
        <f aca="false">IF(ISBLANK($C207),"",$C207)</f>
        <v/>
      </c>
      <c r="CU207" s="100" t="str">
        <f aca="false">IF(ISBLANK($C207),"",$D207)</f>
        <v/>
      </c>
      <c r="CV207" s="101" t="str">
        <f aca="false">$CJ207</f>
        <v/>
      </c>
      <c r="CW207" s="102" t="str">
        <f aca="false">$CI207</f>
        <v/>
      </c>
      <c r="CX207" s="100" t="str">
        <f aca="false">IF(ISBLANK($C207),"",$CL207)</f>
        <v/>
      </c>
      <c r="CY207" s="103" t="str">
        <f aca="false">IF($CP207&gt;$CO$8,"",VLOOKUP($CP207,$CR$9:$CX$508,7,FALSE()))</f>
        <v/>
      </c>
      <c r="CZ207" s="104" t="str">
        <f aca="false">IF($CP207&gt;$CO$8,"",VLOOKUP($CP207,$CR$9:$CX$508,2,FALSE()))</f>
        <v/>
      </c>
      <c r="DA207" s="104" t="str">
        <f aca="false">IF($CP207&gt;$CO$8,"",VLOOKUP($CP207,$CR$9:$CX$508,3,FALSE()))</f>
        <v/>
      </c>
      <c r="DB207" s="104" t="str">
        <f aca="false">IF($CP207&gt;$CO$8,"",VLOOKUP($CP207,$CR$9:$CX$508,4,FALSE()))</f>
        <v/>
      </c>
      <c r="DC207" s="104" t="str">
        <f aca="false">IF($CP207&gt;$CO$8,"",VLOOKUP($CP207,$CR$9:$CX$508,5,FALSE()))</f>
        <v/>
      </c>
      <c r="DD207" s="105" t="str">
        <f aca="false">IF($CP207&gt;$CO$8,"",VLOOKUP($CP207,$CR$9:$CX$508,6,FALSE()))</f>
        <v/>
      </c>
      <c r="DE207" s="70"/>
    </row>
    <row r="208" customFormat="false" ht="15.75" hidden="false" customHeight="false" outlineLevel="0" collapsed="false">
      <c r="A208" s="8"/>
      <c r="B208" s="72"/>
      <c r="C208" s="73"/>
      <c r="D208" s="155"/>
      <c r="E208" s="162"/>
      <c r="F208" s="157"/>
      <c r="G208" s="77"/>
      <c r="H208" s="77"/>
      <c r="I208" s="77"/>
      <c r="J208" s="163"/>
      <c r="K208" s="161"/>
      <c r="L208" s="161"/>
      <c r="M208" s="80"/>
      <c r="N208" s="161"/>
      <c r="O208" s="160"/>
      <c r="P208" s="161"/>
      <c r="Q208" s="161"/>
      <c r="R208" s="161"/>
      <c r="S208" s="77"/>
      <c r="T208" s="161"/>
      <c r="U208" s="160"/>
      <c r="V208" s="161"/>
      <c r="W208" s="85"/>
      <c r="X208" s="86" t="str">
        <f aca="false">IF(ISBLANK($C208),"",IF($E208=Constants!$B$2,TRUE(),IF($E208=Constants!$B$3,FALSE(),TRUE())))</f>
        <v/>
      </c>
      <c r="Y208" s="86" t="str">
        <f aca="false">IF(ISBLANK($C208),"",IF($F208=Constants!$B$2,TRUE(),IF($F208=Constants!$B$3,FALSE(),TRUE())))</f>
        <v/>
      </c>
      <c r="Z208" s="87" t="str">
        <f aca="false">IF(ISBLANK($C208),"",IF(ISNUMBER($G208),IF($G208&gt;=0,$G208,""),""))</f>
        <v/>
      </c>
      <c r="AA208" s="87" t="str">
        <f aca="false">IF(ISBLANK($C208),"",IF(ISNUMBER($H208),IF($H208&gt;=0,$H208,""),""))</f>
        <v/>
      </c>
      <c r="AB208" s="87" t="str">
        <f aca="false">IF(ISBLANK($C208),"",IF(ISNUMBER($I208),IF($I208&gt;=0,$I208,""),""))</f>
        <v/>
      </c>
      <c r="AC208" s="86" t="str">
        <f aca="false">IF(ISBLANK($C208),"",IF($J208=Constants!$B$2,TRUE(),IF($J208=Constants!$B$3,FALSE(),TRUE())))</f>
        <v/>
      </c>
      <c r="AD208" s="86" t="str">
        <f aca="false">IF(ISBLANK($C208),"",IF($K208=Constants!$B$2,TRUE(),IF($K208=Constants!$B$3,FALSE(),TRUE())))</f>
        <v/>
      </c>
      <c r="AE208" s="86" t="str">
        <f aca="false">IF(ISBLANK($C208),"",IF($L208=Constants!$B$2,TRUE(),IF($L208=Constants!$B$3,FALSE(),TRUE())))</f>
        <v/>
      </c>
      <c r="AF208" s="88" t="str">
        <f aca="false">IF(ISBLANK($C208),"",IF(ISNUMBER($M208),IF($M208&gt;=0,$M208,""),""))</f>
        <v/>
      </c>
      <c r="AG208" s="86" t="str">
        <f aca="false">IF(ISBLANK($C208),"",IF(ISBLANK($N208),0,IF(ISNUMBER($N208),IF(AND($N208&gt;=0,$N208&lt;=Constants!$B$17,$N208=INT($N208)),$N208,""),"")))</f>
        <v/>
      </c>
      <c r="AH208" s="87" t="str">
        <f aca="false">IF(ISBLANK($C208),"",IF(ISBLANK($O208),0,IF(ISNUMBER($O208),IF($O208&gt;=0,$O208,""),"")))</f>
        <v/>
      </c>
      <c r="AI208" s="86" t="str">
        <f aca="false">IF(ISBLANK($C208),"",IF($P208=Constants!$B$2,TRUE(),IF($P208=Constants!$B$3,FALSE(),TRUE())))</f>
        <v/>
      </c>
      <c r="AJ208" s="86" t="str">
        <f aca="false">IF(ISBLANK($C208),"",IF($Q208=Constants!$B$2,TRUE(),IF($Q208=Constants!$B$3,FALSE(),TRUE())))</f>
        <v/>
      </c>
      <c r="AK208" s="86" t="str">
        <f aca="false">IF(ISBLANK($C208),"",IF($R208=Constants!$B$2,TRUE(),IF($R208=Constants!$B$3,FALSE(),TRUE())))</f>
        <v/>
      </c>
      <c r="AL208" s="88" t="str">
        <f aca="false">IF(ISBLANK($C208),"",IF(ISNUMBER($S208),IF($S208&gt;=0,$S208,""),""))</f>
        <v/>
      </c>
      <c r="AM208" s="86" t="str">
        <f aca="false">IF(ISBLANK($C208),"",IF(ISBLANK($T208),0,IF(ISNUMBER($T208),IF(AND($T208&gt;=0,$T208&lt;=Constants!$B$17,$T208=INT($T208)),$T208,""),"")))</f>
        <v/>
      </c>
      <c r="AN208" s="87" t="str">
        <f aca="false">IF(ISBLANK($C208),"",IF(ISBLANK($U208),0,IF(ISNUMBER($U208),IF($U208&gt;=0,$U208,""),"")))</f>
        <v/>
      </c>
      <c r="AO208" s="86" t="str">
        <f aca="false">IF(ISBLANK($C208),"",IF($V208=Constants!$B$2,TRUE(),IF($V208=Constants!$B$3,FALSE(),FALSE())))</f>
        <v/>
      </c>
      <c r="AP208" s="86"/>
      <c r="AQ208" s="85" t="str">
        <f aca="false">IF(ISBLANK($C208),"",AND($Y208,OR($AS208,$BC208),OR($Z208="",$AA208="",$AB208="")))</f>
        <v/>
      </c>
      <c r="AR208" s="85" t="str">
        <f aca="false">IF(ISBLANK($C208),"",IF(OR(NOT($Y208),NOT(OR($AS208,$BC208))),"",IF(ISBLANK($D$7),$AR$5,IF($AP$9="",$AR$6,""))))</f>
        <v/>
      </c>
      <c r="AS208" s="85" t="str">
        <f aca="false">IF(ISBLANK($C208),"",COUNTA($J208:$O208)&gt;0)</f>
        <v/>
      </c>
      <c r="AT208" s="85" t="str">
        <f aca="false">IF(ISBLANK($C208),"",AND($AS208,OR(AND($AF208="",OR($AE208,NOT(ISBLANK($M208)))),$AG208="",$AH208="")))</f>
        <v/>
      </c>
      <c r="AU208" s="87" t="str">
        <f aca="false">IF($BL208&lt;&gt;Constants!$B$4,"",IF(NOT($AS208),"",ROUND((Constants!$B$12-$AB208)+(Constants!$B$13-$Z208)+(Constants!$B$14-$AA208),1)))</f>
        <v/>
      </c>
      <c r="AV208" s="90" t="str">
        <f aca="false">IF($BL208&lt;&gt;Constants!$B$4,"",IF(NOT($AS208),"",IF(NOT($AE208),0,Constants!$B$15*(INT(ROUND(MIN($AF208,$AP$9),6))-INT(ROUND(MAX(0,MIN($AF208,2*$AP$9)-$AP$9),6))))))</f>
        <v/>
      </c>
      <c r="AW208" s="90" t="str">
        <f aca="false">IF($BL208&lt;&gt;Constants!$B$4,"",IF(NOT($AS208),"",Constants!$B$16*$AG208))</f>
        <v/>
      </c>
      <c r="AX208" s="90" t="str">
        <f aca="false">IF($BL208&lt;&gt;Constants!$B$4,"",IF(NOT($AS208),"",Constants!$B$18*INT(ROUND($AH208,6))))</f>
        <v/>
      </c>
      <c r="AY208" s="85" t="str">
        <f aca="false">IF($BL208&lt;&gt;Constants!$B$4,"",IF(NOT($AS208),"",IF(NOT($X208),Constants!$B$11,IF(OR(NOT($AC208),NOT($AD208),ROUND($AB208,1)&gt;Constants!$B$12,ROUND($Z208,1)&gt;Constants!$B$13,ROUND($AA208,1)&gt;Constants!$B$14),Constants!$B$10,Constants!$B$9))))</f>
        <v/>
      </c>
      <c r="AZ208" s="91" t="str">
        <f aca="false">IF($BL208&lt;&gt;Constants!$B$4,"",IF(NOT($AS208),"",ROUND($AU208+$AV208+$AW208+$AX208,1)))</f>
        <v/>
      </c>
      <c r="BA208" s="92" t="str">
        <f aca="false">IF($BL208&lt;&gt;Constants!$B$4,"",IF(NOT($AS208),"",IF(ISNUMBER($AF208),$AF208,0)))</f>
        <v/>
      </c>
      <c r="BB208" s="86" t="str">
        <f aca="false">IF($BL208&lt;&gt;Constants!$B$4,"",IF(NOT($BC208),"&lt;-",IF(NOT($AS208),"-&gt;",IF(OR($BI208&lt;$AY208,AND($BI208=$AY208,OR($BJ208&gt;$AZ208,AND($BJ208=$AZ208,OR($BH208&gt;$AX208,AND($BH208=$AX208,OR($BE208&gt;$AU208,AND($BE208=$AU208,OR($BF208&gt;$AV208,AND($BF208=$AV208,$BK208&gt;$BA208)))))))))),"-&gt;","&lt;-"))))</f>
        <v/>
      </c>
      <c r="BC208" s="85" t="str">
        <f aca="false">IF(ISBLANK($C208),"",COUNTA($P208:$U208)&gt;0)</f>
        <v/>
      </c>
      <c r="BD208" s="85" t="str">
        <f aca="false">IF(ISBLANK($C208),"",AND($BC208,OR(AND($AL208="",OR($AK208,NOT(ISBLANK($S208)))),$AM208="",$AN208="")))</f>
        <v/>
      </c>
      <c r="BE208" s="87" t="str">
        <f aca="false">IF($BL208&lt;&gt;Constants!$B$4,"",IF(NOT($BC208),"",ROUND((Constants!$B$12-$AB208)+(Constants!$B$13-$Z208)+(Constants!$B$14-$AA208),1)))</f>
        <v/>
      </c>
      <c r="BF208" s="90" t="str">
        <f aca="false">IF($BL208&lt;&gt;Constants!$B$4,"",IF(NOT($BC208),"",IF(NOT($AK208),0,Constants!$B$15*(INT(ROUND(MIN($AL208,$AP$9),6))-INT(ROUND(MAX(0,MIN($AL208,2*$AP$9)-$AP$9),6))))))</f>
        <v/>
      </c>
      <c r="BG208" s="90" t="str">
        <f aca="false">IF($BL208&lt;&gt;Constants!$B$4,"",IF(NOT($BC208),"",Constants!$B$16*$AM208))</f>
        <v/>
      </c>
      <c r="BH208" s="90" t="str">
        <f aca="false">IF($BL208&lt;&gt;Constants!$B$4,"",IF(NOT($BC208),"",Constants!$B$18*INT(ROUND($AN208,6))))</f>
        <v/>
      </c>
      <c r="BI208" s="85" t="str">
        <f aca="false">IF($BL208&lt;&gt;Constants!$B$4,"",IF(NOT($BC208),"",IF(NOT($X208),Constants!$B$11,IF(OR(NOT($AI208),NOT($AJ208),ROUND($AB208,1)&gt;Constants!$B$12,ROUND($Z208,1)&gt;Constants!$B$13,ROUND($AA208,1)&gt;Constants!$B$14),Constants!$B$10,Constants!$B$9))))</f>
        <v/>
      </c>
      <c r="BJ208" s="91" t="str">
        <f aca="false">IF($BL208&lt;&gt;Constants!$B$4,"",IF(NOT($BC208),"",ROUND($BE208+$BF208+$BG208+$BH208,1)))</f>
        <v/>
      </c>
      <c r="BK208" s="92" t="str">
        <f aca="false">IF($BL208&lt;&gt;Constants!$B$4,"",IF(NOT($BC208),"",IF(ISNUMBER($AL208),$AL208,0)))</f>
        <v/>
      </c>
      <c r="BL208" s="86" t="str">
        <f aca="false">IF(ISBLANK($C208),"",IF($AO208,Constants!$B$7,IF(COUNTA($E208:$V208)=0,Constants!$B$6,IF(NOT($Y208),Constants!$B$5,IF(NOT(OR($AS208,$BC208)),Constants!$B$5,IF(OR($AT208,$BD208,$AQ208,$AR208&lt;&gt;""),Constants!$B$8,Constants!$B$4))))))</f>
        <v/>
      </c>
      <c r="BM208" s="86" t="str">
        <f aca="false">IF(ISBLANK($C208),"",IF($BL208&lt;&gt;Constants!$B$4,$BL208,IF($BB208="-&gt;",$BI208,$AY208)))</f>
        <v/>
      </c>
      <c r="BN208" s="90" t="str">
        <f aca="false">IF($BL208&lt;&gt;Constants!$B$4,"",IF($BB208="-&gt;",$BJ208,$AZ208))</f>
        <v/>
      </c>
      <c r="BO208" s="90" t="str">
        <f aca="false">IF(ISBLANK($C208),"",IF($BL208&lt;&gt;Constants!$B$4,$BL208,$BN208))</f>
        <v/>
      </c>
      <c r="BP208" s="86" t="str">
        <f aca="false">IF(ISBLANK($C208),"",IF($BL208&lt;&gt;Constants!$B$4,$BL208,RANK($BO208,$BO$9:$BO$508,0)))</f>
        <v/>
      </c>
      <c r="BQ208" s="86" t="str">
        <f aca="false">IF(ISBLANK($C208),"",IF($BL208&lt;&gt;Constants!$B$4,$BL208,COUNTIFS($BM$9:$BM$508,"&lt;"&amp;$BM208)+COUNTIFS($BM$9:$BM$508,$BM208,$BP$9:$BP$508,"&lt;"&amp;$BP208)+1))</f>
        <v/>
      </c>
      <c r="BR208" s="90" t="str">
        <f aca="false">IF($BL208&lt;&gt;Constants!$B$4,"",IF($BB208="-&gt;",$BH208,$AX208))</f>
        <v/>
      </c>
      <c r="BS208" s="86" t="str">
        <f aca="false">IF(ISBLANK($C208),"",IF($BL208&lt;&gt;Constants!$B$4,$BL208,IF(ISNUMBER($BR208),RANK($BR208,$BR$9:$BR$508,0),COUNT($BR$9:$BR$508)+1)))</f>
        <v/>
      </c>
      <c r="BT208" s="90" t="str">
        <f aca="false">IF($BL208&lt;&gt;Constants!$B$4,"",IF($BB208="-&gt;",$BE208,$AU208))</f>
        <v/>
      </c>
      <c r="BU208" s="86" t="str">
        <f aca="false">IF(ISBLANK($C208),"",IF($BL208&lt;&gt;Constants!$B$4,$BL208,IF(ISNUMBER($BT208),RANK($BT208,$BT$9:$BT$508,0),COUNT($BT$9:$BT$508)+1)))</f>
        <v/>
      </c>
      <c r="BV208" s="90" t="str">
        <f aca="false">IF($BL208&lt;&gt;Constants!$B$4,"",IF($BB208="-&gt;",$BF208,$AV208))</f>
        <v/>
      </c>
      <c r="BW208" s="86" t="str">
        <f aca="false">IF(ISBLANK($C208),"",IF($BL208&lt;&gt;Constants!$B$4,$BL208,IF(ISNUMBER($BV208),RANK($BV208,$BV$9:$BV$508,0),COUNT($BV$9:$BV$508)+1)))</f>
        <v/>
      </c>
      <c r="BX208" s="90" t="str">
        <f aca="false">IF($BL208&lt;&gt;Constants!$B$4,"",IF($BB208="-&gt;",$BK208,$BA208))</f>
        <v/>
      </c>
      <c r="BY208" s="86" t="str">
        <f aca="false">IF(ISBLANK($C208),"",IF($BL208&lt;&gt;Constants!$B$4,$BL208,IF(ISNUMBER($BX208),RANK($BX208,$BX$9:$BX$508,0),COUNT($BX$9:$BX$508)+1)))</f>
        <v/>
      </c>
      <c r="BZ208" s="86" t="str">
        <f aca="false">IF(ISBLANK($C208),"",IF($BL208&lt;&gt;Constants!$B$4,$BL208,COUNTIFS($BM$9:$BM$508,"&lt;"&amp;$BM208)+COUNTIFS($BM$9:$BM$508,$BM208,$BP$9:$BP$508,"&lt;"&amp;$BP208)+COUNTIFS($BM$9:$BM$508,$BM208,$BP$9:$BP$508,$BP208,$BS$9:$BS$508,"&lt;"&amp;$BS208)+COUNTIFS($BM$9:$BM$508,$BM208,$BP$9:$BP$508,$BP208,$BS$9:$BS$508,$BS208,$BU$9:$BU$508,"&lt;"&amp;$BU208)+COUNTIFS($BM$9:$BM$508,$BM208,$BP$9:$BP$508,$BP208,$BS$9:$BS$508,$BS208,$BU$9:$BU$508,$BU208,$BW$9:$BW$508,"&lt;"&amp;$BW208)+COUNTIFS($BM$9:$BM$508,$BM208,$BP$9:$BP$508,$BP208,$BS$9:$BS$508,$BS208,$BU$9:$BU$508,$BU208,$BW$9:$BW$508,$BW208,$BY$9:$BY$508,"&lt;"&amp;$BY208)+1))</f>
        <v/>
      </c>
      <c r="CA208" s="86" t="str">
        <f aca="false">IF(ISBLANK($C208),"",IF($BL208&lt;&gt;Constants!$B$4,$BL208,$BQ208-$BZ208))</f>
        <v/>
      </c>
      <c r="CB208" s="93"/>
      <c r="CC208" s="94" t="str">
        <f aca="false">IF(ISBLANK($C208),"",IF($BL208=Constants!$B$8,$AR208,""))</f>
        <v/>
      </c>
      <c r="CD208" s="94" t="str">
        <f aca="false">IF(ISBLANK($C208),"",IF($BL208&lt;&gt;Constants!$B$4,"",IF($BB208="-&gt;",2,1)))</f>
        <v/>
      </c>
      <c r="CE208" s="95" t="str">
        <f aca="false">IF(ISBLANK($C208),"",IF($BL208&lt;&gt;Constants!$B$4,"",IF($BB208="-&gt;",$BE208,$AU208)))</f>
        <v/>
      </c>
      <c r="CF208" s="95" t="str">
        <f aca="false">IF(ISBLANK($C208),"",IF($BL208&lt;&gt;Constants!$B$4,"",IF($BB208="-&gt;",$BF208,$AV208)))</f>
        <v/>
      </c>
      <c r="CG208" s="95" t="str">
        <f aca="false">IF(ISBLANK($C208),"",IF($BL208&lt;&gt;Constants!$B$4,"",IF($BB208="-&gt;",$BG208,$AW208)))</f>
        <v/>
      </c>
      <c r="CH208" s="95" t="str">
        <f aca="false">IF(ISBLANK($C208),"",IF($BL208&lt;&gt;Constants!$B$4,"",IF($BB208="-&gt;",$BH208,$AX208)))</f>
        <v/>
      </c>
      <c r="CI208" s="96" t="str">
        <f aca="false">IF(ISBLANK($C208),"",$BO208)</f>
        <v/>
      </c>
      <c r="CJ208" s="97" t="str">
        <f aca="false">IF(ISBLANK($C208),"",$BM208)</f>
        <v/>
      </c>
      <c r="CK208" s="98" t="str">
        <f aca="false">IF(ISBLANK($C208),"",$CA208)</f>
        <v/>
      </c>
      <c r="CL208" s="98" t="str">
        <f aca="false">IF(ISBLANK($C208),"",$BZ208)</f>
        <v/>
      </c>
      <c r="CM208" s="99" t="str">
        <f aca="false">IF(ISBLANK($C208),"",IF($CL208=Constants!$B$7,COUNTA($C$9:$C$508)+2,IF($CL208=Constants!$B$6,COUNTA($C$9:$C$508)+1,IF($CL208=Constants!$B$5,COUNTA($C$9:$C$508),$CL208))))</f>
        <v/>
      </c>
      <c r="CN208" s="8"/>
      <c r="CO208" s="100" t="n">
        <f aca="false">IF(OR(ISNUMBER($CL208),$CL208=Constants!$B$7,$CL208=Constants!$B$5,$CL208=Constants!$B$6),1,0)</f>
        <v>0</v>
      </c>
      <c r="CP208" s="100" t="n">
        <v>200</v>
      </c>
      <c r="CQ208" s="100" t="str">
        <f aca="false">IF(ISBLANK($C208),"",IF(ISNUMBER($CM208),$CM208+ROW($B208)/1000,""))</f>
        <v/>
      </c>
      <c r="CR208" s="100" t="str">
        <f aca="false">IF(ISNUMBER($CQ208),RANK($CQ208,$CQ$9:$CQ$508,1),"")</f>
        <v/>
      </c>
      <c r="CS208" s="100" t="str">
        <f aca="false">IF(ISBLANK($C208),"",$B208)</f>
        <v/>
      </c>
      <c r="CT208" s="100" t="str">
        <f aca="false">IF(ISBLANK($C208),"",$C208)</f>
        <v/>
      </c>
      <c r="CU208" s="100" t="str">
        <f aca="false">IF(ISBLANK($C208),"",$D208)</f>
        <v/>
      </c>
      <c r="CV208" s="101" t="str">
        <f aca="false">$CJ208</f>
        <v/>
      </c>
      <c r="CW208" s="102" t="str">
        <f aca="false">$CI208</f>
        <v/>
      </c>
      <c r="CX208" s="100" t="str">
        <f aca="false">IF(ISBLANK($C208),"",$CL208)</f>
        <v/>
      </c>
      <c r="CY208" s="103" t="str">
        <f aca="false">IF($CP208&gt;$CO$8,"",VLOOKUP($CP208,$CR$9:$CX$508,7,FALSE()))</f>
        <v/>
      </c>
      <c r="CZ208" s="104" t="str">
        <f aca="false">IF($CP208&gt;$CO$8,"",VLOOKUP($CP208,$CR$9:$CX$508,2,FALSE()))</f>
        <v/>
      </c>
      <c r="DA208" s="104" t="str">
        <f aca="false">IF($CP208&gt;$CO$8,"",VLOOKUP($CP208,$CR$9:$CX$508,3,FALSE()))</f>
        <v/>
      </c>
      <c r="DB208" s="104" t="str">
        <f aca="false">IF($CP208&gt;$CO$8,"",VLOOKUP($CP208,$CR$9:$CX$508,4,FALSE()))</f>
        <v/>
      </c>
      <c r="DC208" s="104" t="str">
        <f aca="false">IF($CP208&gt;$CO$8,"",VLOOKUP($CP208,$CR$9:$CX$508,5,FALSE()))</f>
        <v/>
      </c>
      <c r="DD208" s="105" t="str">
        <f aca="false">IF($CP208&gt;$CO$8,"",VLOOKUP($CP208,$CR$9:$CX$508,6,FALSE()))</f>
        <v/>
      </c>
      <c r="DE208" s="70"/>
    </row>
    <row r="209" customFormat="false" ht="15.75" hidden="false" customHeight="false" outlineLevel="0" collapsed="false">
      <c r="A209" s="8"/>
      <c r="B209" s="72"/>
      <c r="C209" s="73"/>
      <c r="D209" s="155"/>
      <c r="E209" s="162"/>
      <c r="F209" s="157"/>
      <c r="G209" s="77"/>
      <c r="H209" s="77"/>
      <c r="I209" s="77"/>
      <c r="J209" s="163"/>
      <c r="K209" s="161"/>
      <c r="L209" s="161"/>
      <c r="M209" s="80"/>
      <c r="N209" s="161"/>
      <c r="O209" s="160"/>
      <c r="P209" s="161"/>
      <c r="Q209" s="161"/>
      <c r="R209" s="161"/>
      <c r="S209" s="77"/>
      <c r="T209" s="161"/>
      <c r="U209" s="160"/>
      <c r="V209" s="161"/>
      <c r="W209" s="85"/>
      <c r="X209" s="86" t="str">
        <f aca="false">IF(ISBLANK($C209),"",IF($E209=Constants!$B$2,TRUE(),IF($E209=Constants!$B$3,FALSE(),TRUE())))</f>
        <v/>
      </c>
      <c r="Y209" s="86" t="str">
        <f aca="false">IF(ISBLANK($C209),"",IF($F209=Constants!$B$2,TRUE(),IF($F209=Constants!$B$3,FALSE(),TRUE())))</f>
        <v/>
      </c>
      <c r="Z209" s="87" t="str">
        <f aca="false">IF(ISBLANK($C209),"",IF(ISNUMBER($G209),IF($G209&gt;=0,$G209,""),""))</f>
        <v/>
      </c>
      <c r="AA209" s="87" t="str">
        <f aca="false">IF(ISBLANK($C209),"",IF(ISNUMBER($H209),IF($H209&gt;=0,$H209,""),""))</f>
        <v/>
      </c>
      <c r="AB209" s="87" t="str">
        <f aca="false">IF(ISBLANK($C209),"",IF(ISNUMBER($I209),IF($I209&gt;=0,$I209,""),""))</f>
        <v/>
      </c>
      <c r="AC209" s="86" t="str">
        <f aca="false">IF(ISBLANK($C209),"",IF($J209=Constants!$B$2,TRUE(),IF($J209=Constants!$B$3,FALSE(),TRUE())))</f>
        <v/>
      </c>
      <c r="AD209" s="86" t="str">
        <f aca="false">IF(ISBLANK($C209),"",IF($K209=Constants!$B$2,TRUE(),IF($K209=Constants!$B$3,FALSE(),TRUE())))</f>
        <v/>
      </c>
      <c r="AE209" s="86" t="str">
        <f aca="false">IF(ISBLANK($C209),"",IF($L209=Constants!$B$2,TRUE(),IF($L209=Constants!$B$3,FALSE(),TRUE())))</f>
        <v/>
      </c>
      <c r="AF209" s="88" t="str">
        <f aca="false">IF(ISBLANK($C209),"",IF(ISNUMBER($M209),IF($M209&gt;=0,$M209,""),""))</f>
        <v/>
      </c>
      <c r="AG209" s="86" t="str">
        <f aca="false">IF(ISBLANK($C209),"",IF(ISBLANK($N209),0,IF(ISNUMBER($N209),IF(AND($N209&gt;=0,$N209&lt;=Constants!$B$17,$N209=INT($N209)),$N209,""),"")))</f>
        <v/>
      </c>
      <c r="AH209" s="87" t="str">
        <f aca="false">IF(ISBLANK($C209),"",IF(ISBLANK($O209),0,IF(ISNUMBER($O209),IF($O209&gt;=0,$O209,""),"")))</f>
        <v/>
      </c>
      <c r="AI209" s="86" t="str">
        <f aca="false">IF(ISBLANK($C209),"",IF($P209=Constants!$B$2,TRUE(),IF($P209=Constants!$B$3,FALSE(),TRUE())))</f>
        <v/>
      </c>
      <c r="AJ209" s="86" t="str">
        <f aca="false">IF(ISBLANK($C209),"",IF($Q209=Constants!$B$2,TRUE(),IF($Q209=Constants!$B$3,FALSE(),TRUE())))</f>
        <v/>
      </c>
      <c r="AK209" s="86" t="str">
        <f aca="false">IF(ISBLANK($C209),"",IF($R209=Constants!$B$2,TRUE(),IF($R209=Constants!$B$3,FALSE(),TRUE())))</f>
        <v/>
      </c>
      <c r="AL209" s="88" t="str">
        <f aca="false">IF(ISBLANK($C209),"",IF(ISNUMBER($S209),IF($S209&gt;=0,$S209,""),""))</f>
        <v/>
      </c>
      <c r="AM209" s="86" t="str">
        <f aca="false">IF(ISBLANK($C209),"",IF(ISBLANK($T209),0,IF(ISNUMBER($T209),IF(AND($T209&gt;=0,$T209&lt;=Constants!$B$17,$T209=INT($T209)),$T209,""),"")))</f>
        <v/>
      </c>
      <c r="AN209" s="87" t="str">
        <f aca="false">IF(ISBLANK($C209),"",IF(ISBLANK($U209),0,IF(ISNUMBER($U209),IF($U209&gt;=0,$U209,""),"")))</f>
        <v/>
      </c>
      <c r="AO209" s="86" t="str">
        <f aca="false">IF(ISBLANK($C209),"",IF($V209=Constants!$B$2,TRUE(),IF($V209=Constants!$B$3,FALSE(),FALSE())))</f>
        <v/>
      </c>
      <c r="AP209" s="86"/>
      <c r="AQ209" s="85" t="str">
        <f aca="false">IF(ISBLANK($C209),"",AND($Y209,OR($AS209,$BC209),OR($Z209="",$AA209="",$AB209="")))</f>
        <v/>
      </c>
      <c r="AR209" s="85" t="str">
        <f aca="false">IF(ISBLANK($C209),"",IF(OR(NOT($Y209),NOT(OR($AS209,$BC209))),"",IF(ISBLANK($D$7),$AR$5,IF($AP$9="",$AR$6,""))))</f>
        <v/>
      </c>
      <c r="AS209" s="85" t="str">
        <f aca="false">IF(ISBLANK($C209),"",COUNTA($J209:$O209)&gt;0)</f>
        <v/>
      </c>
      <c r="AT209" s="85" t="str">
        <f aca="false">IF(ISBLANK($C209),"",AND($AS209,OR(AND($AF209="",OR($AE209,NOT(ISBLANK($M209)))),$AG209="",$AH209="")))</f>
        <v/>
      </c>
      <c r="AU209" s="87" t="str">
        <f aca="false">IF($BL209&lt;&gt;Constants!$B$4,"",IF(NOT($AS209),"",ROUND((Constants!$B$12-$AB209)+(Constants!$B$13-$Z209)+(Constants!$B$14-$AA209),1)))</f>
        <v/>
      </c>
      <c r="AV209" s="90" t="str">
        <f aca="false">IF($BL209&lt;&gt;Constants!$B$4,"",IF(NOT($AS209),"",IF(NOT($AE209),0,Constants!$B$15*(INT(ROUND(MIN($AF209,$AP$9),6))-INT(ROUND(MAX(0,MIN($AF209,2*$AP$9)-$AP$9),6))))))</f>
        <v/>
      </c>
      <c r="AW209" s="90" t="str">
        <f aca="false">IF($BL209&lt;&gt;Constants!$B$4,"",IF(NOT($AS209),"",Constants!$B$16*$AG209))</f>
        <v/>
      </c>
      <c r="AX209" s="90" t="str">
        <f aca="false">IF($BL209&lt;&gt;Constants!$B$4,"",IF(NOT($AS209),"",Constants!$B$18*INT(ROUND($AH209,6))))</f>
        <v/>
      </c>
      <c r="AY209" s="85" t="str">
        <f aca="false">IF($BL209&lt;&gt;Constants!$B$4,"",IF(NOT($AS209),"",IF(NOT($X209),Constants!$B$11,IF(OR(NOT($AC209),NOT($AD209),ROUND($AB209,1)&gt;Constants!$B$12,ROUND($Z209,1)&gt;Constants!$B$13,ROUND($AA209,1)&gt;Constants!$B$14),Constants!$B$10,Constants!$B$9))))</f>
        <v/>
      </c>
      <c r="AZ209" s="91" t="str">
        <f aca="false">IF($BL209&lt;&gt;Constants!$B$4,"",IF(NOT($AS209),"",ROUND($AU209+$AV209+$AW209+$AX209,1)))</f>
        <v/>
      </c>
      <c r="BA209" s="92" t="str">
        <f aca="false">IF($BL209&lt;&gt;Constants!$B$4,"",IF(NOT($AS209),"",IF(ISNUMBER($AF209),$AF209,0)))</f>
        <v/>
      </c>
      <c r="BB209" s="86" t="str">
        <f aca="false">IF($BL209&lt;&gt;Constants!$B$4,"",IF(NOT($BC209),"&lt;-",IF(NOT($AS209),"-&gt;",IF(OR($BI209&lt;$AY209,AND($BI209=$AY209,OR($BJ209&gt;$AZ209,AND($BJ209=$AZ209,OR($BH209&gt;$AX209,AND($BH209=$AX209,OR($BE209&gt;$AU209,AND($BE209=$AU209,OR($BF209&gt;$AV209,AND($BF209=$AV209,$BK209&gt;$BA209)))))))))),"-&gt;","&lt;-"))))</f>
        <v/>
      </c>
      <c r="BC209" s="85" t="str">
        <f aca="false">IF(ISBLANK($C209),"",COUNTA($P209:$U209)&gt;0)</f>
        <v/>
      </c>
      <c r="BD209" s="85" t="str">
        <f aca="false">IF(ISBLANK($C209),"",AND($BC209,OR(AND($AL209="",OR($AK209,NOT(ISBLANK($S209)))),$AM209="",$AN209="")))</f>
        <v/>
      </c>
      <c r="BE209" s="87" t="str">
        <f aca="false">IF($BL209&lt;&gt;Constants!$B$4,"",IF(NOT($BC209),"",ROUND((Constants!$B$12-$AB209)+(Constants!$B$13-$Z209)+(Constants!$B$14-$AA209),1)))</f>
        <v/>
      </c>
      <c r="BF209" s="90" t="str">
        <f aca="false">IF($BL209&lt;&gt;Constants!$B$4,"",IF(NOT($BC209),"",IF(NOT($AK209),0,Constants!$B$15*(INT(ROUND(MIN($AL209,$AP$9),6))-INT(ROUND(MAX(0,MIN($AL209,2*$AP$9)-$AP$9),6))))))</f>
        <v/>
      </c>
      <c r="BG209" s="90" t="str">
        <f aca="false">IF($BL209&lt;&gt;Constants!$B$4,"",IF(NOT($BC209),"",Constants!$B$16*$AM209))</f>
        <v/>
      </c>
      <c r="BH209" s="90" t="str">
        <f aca="false">IF($BL209&lt;&gt;Constants!$B$4,"",IF(NOT($BC209),"",Constants!$B$18*INT(ROUND($AN209,6))))</f>
        <v/>
      </c>
      <c r="BI209" s="85" t="str">
        <f aca="false">IF($BL209&lt;&gt;Constants!$B$4,"",IF(NOT($BC209),"",IF(NOT($X209),Constants!$B$11,IF(OR(NOT($AI209),NOT($AJ209),ROUND($AB209,1)&gt;Constants!$B$12,ROUND($Z209,1)&gt;Constants!$B$13,ROUND($AA209,1)&gt;Constants!$B$14),Constants!$B$10,Constants!$B$9))))</f>
        <v/>
      </c>
      <c r="BJ209" s="91" t="str">
        <f aca="false">IF($BL209&lt;&gt;Constants!$B$4,"",IF(NOT($BC209),"",ROUND($BE209+$BF209+$BG209+$BH209,1)))</f>
        <v/>
      </c>
      <c r="BK209" s="92" t="str">
        <f aca="false">IF($BL209&lt;&gt;Constants!$B$4,"",IF(NOT($BC209),"",IF(ISNUMBER($AL209),$AL209,0)))</f>
        <v/>
      </c>
      <c r="BL209" s="86" t="str">
        <f aca="false">IF(ISBLANK($C209),"",IF($AO209,Constants!$B$7,IF(COUNTA($E209:$V209)=0,Constants!$B$6,IF(NOT($Y209),Constants!$B$5,IF(NOT(OR($AS209,$BC209)),Constants!$B$5,IF(OR($AT209,$BD209,$AQ209,$AR209&lt;&gt;""),Constants!$B$8,Constants!$B$4))))))</f>
        <v/>
      </c>
      <c r="BM209" s="86" t="str">
        <f aca="false">IF(ISBLANK($C209),"",IF($BL209&lt;&gt;Constants!$B$4,$BL209,IF($BB209="-&gt;",$BI209,$AY209)))</f>
        <v/>
      </c>
      <c r="BN209" s="90" t="str">
        <f aca="false">IF($BL209&lt;&gt;Constants!$B$4,"",IF($BB209="-&gt;",$BJ209,$AZ209))</f>
        <v/>
      </c>
      <c r="BO209" s="90" t="str">
        <f aca="false">IF(ISBLANK($C209),"",IF($BL209&lt;&gt;Constants!$B$4,$BL209,$BN209))</f>
        <v/>
      </c>
      <c r="BP209" s="86" t="str">
        <f aca="false">IF(ISBLANK($C209),"",IF($BL209&lt;&gt;Constants!$B$4,$BL209,RANK($BO209,$BO$9:$BO$508,0)))</f>
        <v/>
      </c>
      <c r="BQ209" s="86" t="str">
        <f aca="false">IF(ISBLANK($C209),"",IF($BL209&lt;&gt;Constants!$B$4,$BL209,COUNTIFS($BM$9:$BM$508,"&lt;"&amp;$BM209)+COUNTIFS($BM$9:$BM$508,$BM209,$BP$9:$BP$508,"&lt;"&amp;$BP209)+1))</f>
        <v/>
      </c>
      <c r="BR209" s="90" t="str">
        <f aca="false">IF($BL209&lt;&gt;Constants!$B$4,"",IF($BB209="-&gt;",$BH209,$AX209))</f>
        <v/>
      </c>
      <c r="BS209" s="86" t="str">
        <f aca="false">IF(ISBLANK($C209),"",IF($BL209&lt;&gt;Constants!$B$4,$BL209,IF(ISNUMBER($BR209),RANK($BR209,$BR$9:$BR$508,0),COUNT($BR$9:$BR$508)+1)))</f>
        <v/>
      </c>
      <c r="BT209" s="90" t="str">
        <f aca="false">IF($BL209&lt;&gt;Constants!$B$4,"",IF($BB209="-&gt;",$BE209,$AU209))</f>
        <v/>
      </c>
      <c r="BU209" s="86" t="str">
        <f aca="false">IF(ISBLANK($C209),"",IF($BL209&lt;&gt;Constants!$B$4,$BL209,IF(ISNUMBER($BT209),RANK($BT209,$BT$9:$BT$508,0),COUNT($BT$9:$BT$508)+1)))</f>
        <v/>
      </c>
      <c r="BV209" s="90" t="str">
        <f aca="false">IF($BL209&lt;&gt;Constants!$B$4,"",IF($BB209="-&gt;",$BF209,$AV209))</f>
        <v/>
      </c>
      <c r="BW209" s="86" t="str">
        <f aca="false">IF(ISBLANK($C209),"",IF($BL209&lt;&gt;Constants!$B$4,$BL209,IF(ISNUMBER($BV209),RANK($BV209,$BV$9:$BV$508,0),COUNT($BV$9:$BV$508)+1)))</f>
        <v/>
      </c>
      <c r="BX209" s="90" t="str">
        <f aca="false">IF($BL209&lt;&gt;Constants!$B$4,"",IF($BB209="-&gt;",$BK209,$BA209))</f>
        <v/>
      </c>
      <c r="BY209" s="86" t="str">
        <f aca="false">IF(ISBLANK($C209),"",IF($BL209&lt;&gt;Constants!$B$4,$BL209,IF(ISNUMBER($BX209),RANK($BX209,$BX$9:$BX$508,0),COUNT($BX$9:$BX$508)+1)))</f>
        <v/>
      </c>
      <c r="BZ209" s="86" t="str">
        <f aca="false">IF(ISBLANK($C209),"",IF($BL209&lt;&gt;Constants!$B$4,$BL209,COUNTIFS($BM$9:$BM$508,"&lt;"&amp;$BM209)+COUNTIFS($BM$9:$BM$508,$BM209,$BP$9:$BP$508,"&lt;"&amp;$BP209)+COUNTIFS($BM$9:$BM$508,$BM209,$BP$9:$BP$508,$BP209,$BS$9:$BS$508,"&lt;"&amp;$BS209)+COUNTIFS($BM$9:$BM$508,$BM209,$BP$9:$BP$508,$BP209,$BS$9:$BS$508,$BS209,$BU$9:$BU$508,"&lt;"&amp;$BU209)+COUNTIFS($BM$9:$BM$508,$BM209,$BP$9:$BP$508,$BP209,$BS$9:$BS$508,$BS209,$BU$9:$BU$508,$BU209,$BW$9:$BW$508,"&lt;"&amp;$BW209)+COUNTIFS($BM$9:$BM$508,$BM209,$BP$9:$BP$508,$BP209,$BS$9:$BS$508,$BS209,$BU$9:$BU$508,$BU209,$BW$9:$BW$508,$BW209,$BY$9:$BY$508,"&lt;"&amp;$BY209)+1))</f>
        <v/>
      </c>
      <c r="CA209" s="86" t="str">
        <f aca="false">IF(ISBLANK($C209),"",IF($BL209&lt;&gt;Constants!$B$4,$BL209,$BQ209-$BZ209))</f>
        <v/>
      </c>
      <c r="CB209" s="93"/>
      <c r="CC209" s="94" t="str">
        <f aca="false">IF(ISBLANK($C209),"",IF($BL209=Constants!$B$8,$AR209,""))</f>
        <v/>
      </c>
      <c r="CD209" s="94" t="str">
        <f aca="false">IF(ISBLANK($C209),"",IF($BL209&lt;&gt;Constants!$B$4,"",IF($BB209="-&gt;",2,1)))</f>
        <v/>
      </c>
      <c r="CE209" s="95" t="str">
        <f aca="false">IF(ISBLANK($C209),"",IF($BL209&lt;&gt;Constants!$B$4,"",IF($BB209="-&gt;",$BE209,$AU209)))</f>
        <v/>
      </c>
      <c r="CF209" s="95" t="str">
        <f aca="false">IF(ISBLANK($C209),"",IF($BL209&lt;&gt;Constants!$B$4,"",IF($BB209="-&gt;",$BF209,$AV209)))</f>
        <v/>
      </c>
      <c r="CG209" s="95" t="str">
        <f aca="false">IF(ISBLANK($C209),"",IF($BL209&lt;&gt;Constants!$B$4,"",IF($BB209="-&gt;",$BG209,$AW209)))</f>
        <v/>
      </c>
      <c r="CH209" s="95" t="str">
        <f aca="false">IF(ISBLANK($C209),"",IF($BL209&lt;&gt;Constants!$B$4,"",IF($BB209="-&gt;",$BH209,$AX209)))</f>
        <v/>
      </c>
      <c r="CI209" s="96" t="str">
        <f aca="false">IF(ISBLANK($C209),"",$BO209)</f>
        <v/>
      </c>
      <c r="CJ209" s="97" t="str">
        <f aca="false">IF(ISBLANK($C209),"",$BM209)</f>
        <v/>
      </c>
      <c r="CK209" s="98" t="str">
        <f aca="false">IF(ISBLANK($C209),"",$CA209)</f>
        <v/>
      </c>
      <c r="CL209" s="98" t="str">
        <f aca="false">IF(ISBLANK($C209),"",$BZ209)</f>
        <v/>
      </c>
      <c r="CM209" s="99" t="str">
        <f aca="false">IF(ISBLANK($C209),"",IF($CL209=Constants!$B$7,COUNTA($C$9:$C$508)+2,IF($CL209=Constants!$B$6,COUNTA($C$9:$C$508)+1,IF($CL209=Constants!$B$5,COUNTA($C$9:$C$508),$CL209))))</f>
        <v/>
      </c>
      <c r="CN209" s="8"/>
      <c r="CO209" s="100" t="n">
        <f aca="false">IF(OR(ISNUMBER($CL209),$CL209=Constants!$B$7,$CL209=Constants!$B$5,$CL209=Constants!$B$6),1,0)</f>
        <v>0</v>
      </c>
      <c r="CP209" s="100" t="n">
        <v>201</v>
      </c>
      <c r="CQ209" s="100" t="str">
        <f aca="false">IF(ISBLANK($C209),"",IF(ISNUMBER($CM209),$CM209+ROW($B209)/1000,""))</f>
        <v/>
      </c>
      <c r="CR209" s="100" t="str">
        <f aca="false">IF(ISNUMBER($CQ209),RANK($CQ209,$CQ$9:$CQ$508,1),"")</f>
        <v/>
      </c>
      <c r="CS209" s="100" t="str">
        <f aca="false">IF(ISBLANK($C209),"",$B209)</f>
        <v/>
      </c>
      <c r="CT209" s="100" t="str">
        <f aca="false">IF(ISBLANK($C209),"",$C209)</f>
        <v/>
      </c>
      <c r="CU209" s="100" t="str">
        <f aca="false">IF(ISBLANK($C209),"",$D209)</f>
        <v/>
      </c>
      <c r="CV209" s="101" t="str">
        <f aca="false">$CJ209</f>
        <v/>
      </c>
      <c r="CW209" s="102" t="str">
        <f aca="false">$CI209</f>
        <v/>
      </c>
      <c r="CX209" s="100" t="str">
        <f aca="false">IF(ISBLANK($C209),"",$CL209)</f>
        <v/>
      </c>
      <c r="CY209" s="103" t="str">
        <f aca="false">IF($CP209&gt;$CO$8,"",VLOOKUP($CP209,$CR$9:$CX$508,7,FALSE()))</f>
        <v/>
      </c>
      <c r="CZ209" s="104" t="str">
        <f aca="false">IF($CP209&gt;$CO$8,"",VLOOKUP($CP209,$CR$9:$CX$508,2,FALSE()))</f>
        <v/>
      </c>
      <c r="DA209" s="104" t="str">
        <f aca="false">IF($CP209&gt;$CO$8,"",VLOOKUP($CP209,$CR$9:$CX$508,3,FALSE()))</f>
        <v/>
      </c>
      <c r="DB209" s="104" t="str">
        <f aca="false">IF($CP209&gt;$CO$8,"",VLOOKUP($CP209,$CR$9:$CX$508,4,FALSE()))</f>
        <v/>
      </c>
      <c r="DC209" s="104" t="str">
        <f aca="false">IF($CP209&gt;$CO$8,"",VLOOKUP($CP209,$CR$9:$CX$508,5,FALSE()))</f>
        <v/>
      </c>
      <c r="DD209" s="105" t="str">
        <f aca="false">IF($CP209&gt;$CO$8,"",VLOOKUP($CP209,$CR$9:$CX$508,6,FALSE()))</f>
        <v/>
      </c>
      <c r="DE209" s="70"/>
    </row>
    <row r="210" customFormat="false" ht="15.75" hidden="false" customHeight="false" outlineLevel="0" collapsed="false">
      <c r="A210" s="8"/>
      <c r="B210" s="146"/>
      <c r="C210" s="147"/>
      <c r="D210" s="148"/>
      <c r="E210" s="164"/>
      <c r="F210" s="150"/>
      <c r="G210" s="115"/>
      <c r="H210" s="115"/>
      <c r="I210" s="115"/>
      <c r="J210" s="165"/>
      <c r="K210" s="154"/>
      <c r="L210" s="154"/>
      <c r="M210" s="118"/>
      <c r="N210" s="154"/>
      <c r="O210" s="153"/>
      <c r="P210" s="154"/>
      <c r="Q210" s="154"/>
      <c r="R210" s="154"/>
      <c r="S210" s="115"/>
      <c r="T210" s="154"/>
      <c r="U210" s="153"/>
      <c r="V210" s="154"/>
      <c r="W210" s="123"/>
      <c r="X210" s="124" t="str">
        <f aca="false">IF(ISBLANK($C210),"",IF($E210=Constants!$B$2,TRUE(),IF($E210=Constants!$B$3,FALSE(),TRUE())))</f>
        <v/>
      </c>
      <c r="Y210" s="124" t="str">
        <f aca="false">IF(ISBLANK($C210),"",IF($F210=Constants!$B$2,TRUE(),IF($F210=Constants!$B$3,FALSE(),TRUE())))</f>
        <v/>
      </c>
      <c r="Z210" s="125" t="str">
        <f aca="false">IF(ISBLANK($C210),"",IF(ISNUMBER($G210),IF($G210&gt;=0,$G210,""),""))</f>
        <v/>
      </c>
      <c r="AA210" s="125" t="str">
        <f aca="false">IF(ISBLANK($C210),"",IF(ISNUMBER($H210),IF($H210&gt;=0,$H210,""),""))</f>
        <v/>
      </c>
      <c r="AB210" s="125" t="str">
        <f aca="false">IF(ISBLANK($C210),"",IF(ISNUMBER($I210),IF($I210&gt;=0,$I210,""),""))</f>
        <v/>
      </c>
      <c r="AC210" s="124" t="str">
        <f aca="false">IF(ISBLANK($C210),"",IF($J210=Constants!$B$2,TRUE(),IF($J210=Constants!$B$3,FALSE(),TRUE())))</f>
        <v/>
      </c>
      <c r="AD210" s="124" t="str">
        <f aca="false">IF(ISBLANK($C210),"",IF($K210=Constants!$B$2,TRUE(),IF($K210=Constants!$B$3,FALSE(),TRUE())))</f>
        <v/>
      </c>
      <c r="AE210" s="124" t="str">
        <f aca="false">IF(ISBLANK($C210),"",IF($L210=Constants!$B$2,TRUE(),IF($L210=Constants!$B$3,FALSE(),TRUE())))</f>
        <v/>
      </c>
      <c r="AF210" s="126" t="str">
        <f aca="false">IF(ISBLANK($C210),"",IF(ISNUMBER($M210),IF($M210&gt;=0,$M210,""),""))</f>
        <v/>
      </c>
      <c r="AG210" s="124" t="str">
        <f aca="false">IF(ISBLANK($C210),"",IF(ISBLANK($N210),0,IF(ISNUMBER($N210),IF(AND($N210&gt;=0,$N210&lt;=Constants!$B$17,$N210=INT($N210)),$N210,""),"")))</f>
        <v/>
      </c>
      <c r="AH210" s="125" t="str">
        <f aca="false">IF(ISBLANK($C210),"",IF(ISBLANK($O210),0,IF(ISNUMBER($O210),IF($O210&gt;=0,$O210,""),"")))</f>
        <v/>
      </c>
      <c r="AI210" s="124" t="str">
        <f aca="false">IF(ISBLANK($C210),"",IF($P210=Constants!$B$2,TRUE(),IF($P210=Constants!$B$3,FALSE(),TRUE())))</f>
        <v/>
      </c>
      <c r="AJ210" s="124" t="str">
        <f aca="false">IF(ISBLANK($C210),"",IF($Q210=Constants!$B$2,TRUE(),IF($Q210=Constants!$B$3,FALSE(),TRUE())))</f>
        <v/>
      </c>
      <c r="AK210" s="124" t="str">
        <f aca="false">IF(ISBLANK($C210),"",IF($R210=Constants!$B$2,TRUE(),IF($R210=Constants!$B$3,FALSE(),TRUE())))</f>
        <v/>
      </c>
      <c r="AL210" s="126" t="str">
        <f aca="false">IF(ISBLANK($C210),"",IF(ISNUMBER($S210),IF($S210&gt;=0,$S210,""),""))</f>
        <v/>
      </c>
      <c r="AM210" s="124" t="str">
        <f aca="false">IF(ISBLANK($C210),"",IF(ISBLANK($T210),0,IF(ISNUMBER($T210),IF(AND($T210&gt;=0,$T210&lt;=Constants!$B$17,$T210=INT($T210)),$T210,""),"")))</f>
        <v/>
      </c>
      <c r="AN210" s="125" t="str">
        <f aca="false">IF(ISBLANK($C210),"",IF(ISBLANK($U210),0,IF(ISNUMBER($U210),IF($U210&gt;=0,$U210,""),"")))</f>
        <v/>
      </c>
      <c r="AO210" s="124" t="str">
        <f aca="false">IF(ISBLANK($C210),"",IF($V210=Constants!$B$2,TRUE(),IF($V210=Constants!$B$3,FALSE(),FALSE())))</f>
        <v/>
      </c>
      <c r="AP210" s="124"/>
      <c r="AQ210" s="123" t="str">
        <f aca="false">IF(ISBLANK($C210),"",AND($Y210,OR($AS210,$BC210),OR($Z210="",$AA210="",$AB210="")))</f>
        <v/>
      </c>
      <c r="AR210" s="123" t="str">
        <f aca="false">IF(ISBLANK($C210),"",IF(OR(NOT($Y210),NOT(OR($AS210,$BC210))),"",IF(ISBLANK($D$7),$AR$5,IF($AP$9="",$AR$6,""))))</f>
        <v/>
      </c>
      <c r="AS210" s="123" t="str">
        <f aca="false">IF(ISBLANK($C210),"",COUNTA($J210:$O210)&gt;0)</f>
        <v/>
      </c>
      <c r="AT210" s="123" t="str">
        <f aca="false">IF(ISBLANK($C210),"",AND($AS210,OR(AND($AF210="",OR($AE210,NOT(ISBLANK($M210)))),$AG210="",$AH210="")))</f>
        <v/>
      </c>
      <c r="AU210" s="125" t="str">
        <f aca="false">IF($BL210&lt;&gt;Constants!$B$4,"",IF(NOT($AS210),"",ROUND((Constants!$B$12-$AB210)+(Constants!$B$13-$Z210)+(Constants!$B$14-$AA210),1)))</f>
        <v/>
      </c>
      <c r="AV210" s="127" t="str">
        <f aca="false">IF($BL210&lt;&gt;Constants!$B$4,"",IF(NOT($AS210),"",IF(NOT($AE210),0,Constants!$B$15*(INT(ROUND(MIN($AF210,$AP$9),6))-INT(ROUND(MAX(0,MIN($AF210,2*$AP$9)-$AP$9),6))))))</f>
        <v/>
      </c>
      <c r="AW210" s="127" t="str">
        <f aca="false">IF($BL210&lt;&gt;Constants!$B$4,"",IF(NOT($AS210),"",Constants!$B$16*$AG210))</f>
        <v/>
      </c>
      <c r="AX210" s="127" t="str">
        <f aca="false">IF($BL210&lt;&gt;Constants!$B$4,"",IF(NOT($AS210),"",Constants!$B$18*INT(ROUND($AH210,6))))</f>
        <v/>
      </c>
      <c r="AY210" s="123" t="str">
        <f aca="false">IF($BL210&lt;&gt;Constants!$B$4,"",IF(NOT($AS210),"",IF(NOT($X210),Constants!$B$11,IF(OR(NOT($AC210),NOT($AD210),ROUND($AB210,1)&gt;Constants!$B$12,ROUND($Z210,1)&gt;Constants!$B$13,ROUND($AA210,1)&gt;Constants!$B$14),Constants!$B$10,Constants!$B$9))))</f>
        <v/>
      </c>
      <c r="AZ210" s="128" t="str">
        <f aca="false">IF($BL210&lt;&gt;Constants!$B$4,"",IF(NOT($AS210),"",ROUND($AU210+$AV210+$AW210+$AX210,1)))</f>
        <v/>
      </c>
      <c r="BA210" s="129" t="str">
        <f aca="false">IF($BL210&lt;&gt;Constants!$B$4,"",IF(NOT($AS210),"",IF(ISNUMBER($AF210),$AF210,0)))</f>
        <v/>
      </c>
      <c r="BB210" s="124" t="str">
        <f aca="false">IF($BL210&lt;&gt;Constants!$B$4,"",IF(NOT($BC210),"&lt;-",IF(NOT($AS210),"-&gt;",IF(OR($BI210&lt;$AY210,AND($BI210=$AY210,OR($BJ210&gt;$AZ210,AND($BJ210=$AZ210,OR($BH210&gt;$AX210,AND($BH210=$AX210,OR($BE210&gt;$AU210,AND($BE210=$AU210,OR($BF210&gt;$AV210,AND($BF210=$AV210,$BK210&gt;$BA210)))))))))),"-&gt;","&lt;-"))))</f>
        <v/>
      </c>
      <c r="BC210" s="123" t="str">
        <f aca="false">IF(ISBLANK($C210),"",COUNTA($P210:$U210)&gt;0)</f>
        <v/>
      </c>
      <c r="BD210" s="123" t="str">
        <f aca="false">IF(ISBLANK($C210),"",AND($BC210,OR(AND($AL210="",OR($AK210,NOT(ISBLANK($S210)))),$AM210="",$AN210="")))</f>
        <v/>
      </c>
      <c r="BE210" s="125" t="str">
        <f aca="false">IF($BL210&lt;&gt;Constants!$B$4,"",IF(NOT($BC210),"",ROUND((Constants!$B$12-$AB210)+(Constants!$B$13-$Z210)+(Constants!$B$14-$AA210),1)))</f>
        <v/>
      </c>
      <c r="BF210" s="127" t="str">
        <f aca="false">IF($BL210&lt;&gt;Constants!$B$4,"",IF(NOT($BC210),"",IF(NOT($AK210),0,Constants!$B$15*(INT(ROUND(MIN($AL210,$AP$9),6))-INT(ROUND(MAX(0,MIN($AL210,2*$AP$9)-$AP$9),6))))))</f>
        <v/>
      </c>
      <c r="BG210" s="127" t="str">
        <f aca="false">IF($BL210&lt;&gt;Constants!$B$4,"",IF(NOT($BC210),"",Constants!$B$16*$AM210))</f>
        <v/>
      </c>
      <c r="BH210" s="127" t="str">
        <f aca="false">IF($BL210&lt;&gt;Constants!$B$4,"",IF(NOT($BC210),"",Constants!$B$18*INT(ROUND($AN210,6))))</f>
        <v/>
      </c>
      <c r="BI210" s="123" t="str">
        <f aca="false">IF($BL210&lt;&gt;Constants!$B$4,"",IF(NOT($BC210),"",IF(NOT($X210),Constants!$B$11,IF(OR(NOT($AI210),NOT($AJ210),ROUND($AB210,1)&gt;Constants!$B$12,ROUND($Z210,1)&gt;Constants!$B$13,ROUND($AA210,1)&gt;Constants!$B$14),Constants!$B$10,Constants!$B$9))))</f>
        <v/>
      </c>
      <c r="BJ210" s="128" t="str">
        <f aca="false">IF($BL210&lt;&gt;Constants!$B$4,"",IF(NOT($BC210),"",ROUND($BE210+$BF210+$BG210+$BH210,1)))</f>
        <v/>
      </c>
      <c r="BK210" s="129" t="str">
        <f aca="false">IF($BL210&lt;&gt;Constants!$B$4,"",IF(NOT($BC210),"",IF(ISNUMBER($AL210),$AL210,0)))</f>
        <v/>
      </c>
      <c r="BL210" s="124" t="str">
        <f aca="false">IF(ISBLANK($C210),"",IF($AO210,Constants!$B$7,IF(COUNTA($E210:$V210)=0,Constants!$B$6,IF(NOT($Y210),Constants!$B$5,IF(NOT(OR($AS210,$BC210)),Constants!$B$5,IF(OR($AT210,$BD210,$AQ210,$AR210&lt;&gt;""),Constants!$B$8,Constants!$B$4))))))</f>
        <v/>
      </c>
      <c r="BM210" s="124" t="str">
        <f aca="false">IF(ISBLANK($C210),"",IF($BL210&lt;&gt;Constants!$B$4,$BL210,IF($BB210="-&gt;",$BI210,$AY210)))</f>
        <v/>
      </c>
      <c r="BN210" s="127" t="str">
        <f aca="false">IF($BL210&lt;&gt;Constants!$B$4,"",IF($BB210="-&gt;",$BJ210,$AZ210))</f>
        <v/>
      </c>
      <c r="BO210" s="127" t="str">
        <f aca="false">IF(ISBLANK($C210),"",IF($BL210&lt;&gt;Constants!$B$4,$BL210,$BN210))</f>
        <v/>
      </c>
      <c r="BP210" s="124" t="str">
        <f aca="false">IF(ISBLANK($C210),"",IF($BL210&lt;&gt;Constants!$B$4,$BL210,RANK($BO210,$BO$9:$BO$508,0)))</f>
        <v/>
      </c>
      <c r="BQ210" s="124" t="str">
        <f aca="false">IF(ISBLANK($C210),"",IF($BL210&lt;&gt;Constants!$B$4,$BL210,COUNTIFS($BM$9:$BM$508,"&lt;"&amp;$BM210)+COUNTIFS($BM$9:$BM$508,$BM210,$BP$9:$BP$508,"&lt;"&amp;$BP210)+1))</f>
        <v/>
      </c>
      <c r="BR210" s="127" t="str">
        <f aca="false">IF($BL210&lt;&gt;Constants!$B$4,"",IF($BB210="-&gt;",$BH210,$AX210))</f>
        <v/>
      </c>
      <c r="BS210" s="124" t="str">
        <f aca="false">IF(ISBLANK($C210),"",IF($BL210&lt;&gt;Constants!$B$4,$BL210,IF(ISNUMBER($BR210),RANK($BR210,$BR$9:$BR$508,0),COUNT($BR$9:$BR$508)+1)))</f>
        <v/>
      </c>
      <c r="BT210" s="127" t="str">
        <f aca="false">IF($BL210&lt;&gt;Constants!$B$4,"",IF($BB210="-&gt;",$BE210,$AU210))</f>
        <v/>
      </c>
      <c r="BU210" s="124" t="str">
        <f aca="false">IF(ISBLANK($C210),"",IF($BL210&lt;&gt;Constants!$B$4,$BL210,IF(ISNUMBER($BT210),RANK($BT210,$BT$9:$BT$508,0),COUNT($BT$9:$BT$508)+1)))</f>
        <v/>
      </c>
      <c r="BV210" s="127" t="str">
        <f aca="false">IF($BL210&lt;&gt;Constants!$B$4,"",IF($BB210="-&gt;",$BF210,$AV210))</f>
        <v/>
      </c>
      <c r="BW210" s="124" t="str">
        <f aca="false">IF(ISBLANK($C210),"",IF($BL210&lt;&gt;Constants!$B$4,$BL210,IF(ISNUMBER($BV210),RANK($BV210,$BV$9:$BV$508,0),COUNT($BV$9:$BV$508)+1)))</f>
        <v/>
      </c>
      <c r="BX210" s="127" t="str">
        <f aca="false">IF($BL210&lt;&gt;Constants!$B$4,"",IF($BB210="-&gt;",$BK210,$BA210))</f>
        <v/>
      </c>
      <c r="BY210" s="124" t="str">
        <f aca="false">IF(ISBLANK($C210),"",IF($BL210&lt;&gt;Constants!$B$4,$BL210,IF(ISNUMBER($BX210),RANK($BX210,$BX$9:$BX$508,0),COUNT($BX$9:$BX$508)+1)))</f>
        <v/>
      </c>
      <c r="BZ210" s="124" t="str">
        <f aca="false">IF(ISBLANK($C210),"",IF($BL210&lt;&gt;Constants!$B$4,$BL210,COUNTIFS($BM$9:$BM$508,"&lt;"&amp;$BM210)+COUNTIFS($BM$9:$BM$508,$BM210,$BP$9:$BP$508,"&lt;"&amp;$BP210)+COUNTIFS($BM$9:$BM$508,$BM210,$BP$9:$BP$508,$BP210,$BS$9:$BS$508,"&lt;"&amp;$BS210)+COUNTIFS($BM$9:$BM$508,$BM210,$BP$9:$BP$508,$BP210,$BS$9:$BS$508,$BS210,$BU$9:$BU$508,"&lt;"&amp;$BU210)+COUNTIFS($BM$9:$BM$508,$BM210,$BP$9:$BP$508,$BP210,$BS$9:$BS$508,$BS210,$BU$9:$BU$508,$BU210,$BW$9:$BW$508,"&lt;"&amp;$BW210)+COUNTIFS($BM$9:$BM$508,$BM210,$BP$9:$BP$508,$BP210,$BS$9:$BS$508,$BS210,$BU$9:$BU$508,$BU210,$BW$9:$BW$508,$BW210,$BY$9:$BY$508,"&lt;"&amp;$BY210)+1))</f>
        <v/>
      </c>
      <c r="CA210" s="124" t="str">
        <f aca="false">IF(ISBLANK($C210),"",IF($BL210&lt;&gt;Constants!$B$4,$BL210,$BQ210-$BZ210))</f>
        <v/>
      </c>
      <c r="CB210" s="130"/>
      <c r="CC210" s="131" t="str">
        <f aca="false">IF(ISBLANK($C210),"",IF($BL210=Constants!$B$8,$AR210,""))</f>
        <v/>
      </c>
      <c r="CD210" s="131" t="str">
        <f aca="false">IF(ISBLANK($C210),"",IF($BL210&lt;&gt;Constants!$B$4,"",IF($BB210="-&gt;",2,1)))</f>
        <v/>
      </c>
      <c r="CE210" s="132" t="str">
        <f aca="false">IF(ISBLANK($C210),"",IF($BL210&lt;&gt;Constants!$B$4,"",IF($BB210="-&gt;",$BE210,$AU210)))</f>
        <v/>
      </c>
      <c r="CF210" s="132" t="str">
        <f aca="false">IF(ISBLANK($C210),"",IF($BL210&lt;&gt;Constants!$B$4,"",IF($BB210="-&gt;",$BF210,$AV210)))</f>
        <v/>
      </c>
      <c r="CG210" s="132" t="str">
        <f aca="false">IF(ISBLANK($C210),"",IF($BL210&lt;&gt;Constants!$B$4,"",IF($BB210="-&gt;",$BG210,$AW210)))</f>
        <v/>
      </c>
      <c r="CH210" s="132" t="str">
        <f aca="false">IF(ISBLANK($C210),"",IF($BL210&lt;&gt;Constants!$B$4,"",IF($BB210="-&gt;",$BH210,$AX210)))</f>
        <v/>
      </c>
      <c r="CI210" s="133" t="str">
        <f aca="false">IF(ISBLANK($C210),"",$BO210)</f>
        <v/>
      </c>
      <c r="CJ210" s="134" t="str">
        <f aca="false">IF(ISBLANK($C210),"",$BM210)</f>
        <v/>
      </c>
      <c r="CK210" s="135" t="str">
        <f aca="false">IF(ISBLANK($C210),"",$CA210)</f>
        <v/>
      </c>
      <c r="CL210" s="135" t="str">
        <f aca="false">IF(ISBLANK($C210),"",$BZ210)</f>
        <v/>
      </c>
      <c r="CM210" s="136" t="str">
        <f aca="false">IF(ISBLANK($C210),"",IF($CL210=Constants!$B$7,COUNTA($C$9:$C$508)+2,IF($CL210=Constants!$B$6,COUNTA($C$9:$C$508)+1,IF($CL210=Constants!$B$5,COUNTA($C$9:$C$508),$CL210))))</f>
        <v/>
      </c>
      <c r="CN210" s="8"/>
      <c r="CO210" s="137" t="n">
        <f aca="false">IF(OR(ISNUMBER($CL210),$CL210=Constants!$B$7,$CL210=Constants!$B$5,$CL210=Constants!$B$6),1,0)</f>
        <v>0</v>
      </c>
      <c r="CP210" s="137" t="n">
        <v>202</v>
      </c>
      <c r="CQ210" s="137" t="str">
        <f aca="false">IF(ISBLANK($C210),"",IF(ISNUMBER($CM210),$CM210+ROW($B210)/1000,""))</f>
        <v/>
      </c>
      <c r="CR210" s="137" t="str">
        <f aca="false">IF(ISNUMBER($CQ210),RANK($CQ210,$CQ$9:$CQ$508,1),"")</f>
        <v/>
      </c>
      <c r="CS210" s="137" t="str">
        <f aca="false">IF(ISBLANK($C210),"",$B210)</f>
        <v/>
      </c>
      <c r="CT210" s="137" t="str">
        <f aca="false">IF(ISBLANK($C210),"",$C210)</f>
        <v/>
      </c>
      <c r="CU210" s="137" t="str">
        <f aca="false">IF(ISBLANK($C210),"",$D210)</f>
        <v/>
      </c>
      <c r="CV210" s="138" t="str">
        <f aca="false">$CJ210</f>
        <v/>
      </c>
      <c r="CW210" s="139" t="str">
        <f aca="false">$CI210</f>
        <v/>
      </c>
      <c r="CX210" s="137" t="str">
        <f aca="false">IF(ISBLANK($C210),"",$CL210)</f>
        <v/>
      </c>
      <c r="CY210" s="140" t="str">
        <f aca="false">IF($CP210&gt;$CO$8,"",VLOOKUP($CP210,$CR$9:$CX$508,7,FALSE()))</f>
        <v/>
      </c>
      <c r="CZ210" s="141" t="str">
        <f aca="false">IF($CP210&gt;$CO$8,"",VLOOKUP($CP210,$CR$9:$CX$508,2,FALSE()))</f>
        <v/>
      </c>
      <c r="DA210" s="141" t="str">
        <f aca="false">IF($CP210&gt;$CO$8,"",VLOOKUP($CP210,$CR$9:$CX$508,3,FALSE()))</f>
        <v/>
      </c>
      <c r="DB210" s="141" t="str">
        <f aca="false">IF($CP210&gt;$CO$8,"",VLOOKUP($CP210,$CR$9:$CX$508,4,FALSE()))</f>
        <v/>
      </c>
      <c r="DC210" s="141" t="str">
        <f aca="false">IF($CP210&gt;$CO$8,"",VLOOKUP($CP210,$CR$9:$CX$508,5,FALSE()))</f>
        <v/>
      </c>
      <c r="DD210" s="142" t="str">
        <f aca="false">IF($CP210&gt;$CO$8,"",VLOOKUP($CP210,$CR$9:$CX$508,6,FALSE()))</f>
        <v/>
      </c>
      <c r="DE210" s="70"/>
    </row>
    <row r="211" customFormat="false" ht="15.75" hidden="false" customHeight="false" outlineLevel="0" collapsed="false">
      <c r="A211" s="8"/>
      <c r="B211" s="146"/>
      <c r="C211" s="147"/>
      <c r="D211" s="148"/>
      <c r="E211" s="164"/>
      <c r="F211" s="150"/>
      <c r="G211" s="115"/>
      <c r="H211" s="115"/>
      <c r="I211" s="115"/>
      <c r="J211" s="165"/>
      <c r="K211" s="154"/>
      <c r="L211" s="154"/>
      <c r="M211" s="118"/>
      <c r="N211" s="154"/>
      <c r="O211" s="153"/>
      <c r="P211" s="154"/>
      <c r="Q211" s="154"/>
      <c r="R211" s="154"/>
      <c r="S211" s="115"/>
      <c r="T211" s="154"/>
      <c r="U211" s="153"/>
      <c r="V211" s="154"/>
      <c r="W211" s="123"/>
      <c r="X211" s="124" t="str">
        <f aca="false">IF(ISBLANK($C211),"",IF($E211=Constants!$B$2,TRUE(),IF($E211=Constants!$B$3,FALSE(),TRUE())))</f>
        <v/>
      </c>
      <c r="Y211" s="124" t="str">
        <f aca="false">IF(ISBLANK($C211),"",IF($F211=Constants!$B$2,TRUE(),IF($F211=Constants!$B$3,FALSE(),TRUE())))</f>
        <v/>
      </c>
      <c r="Z211" s="125" t="str">
        <f aca="false">IF(ISBLANK($C211),"",IF(ISNUMBER($G211),IF($G211&gt;=0,$G211,""),""))</f>
        <v/>
      </c>
      <c r="AA211" s="125" t="str">
        <f aca="false">IF(ISBLANK($C211),"",IF(ISNUMBER($H211),IF($H211&gt;=0,$H211,""),""))</f>
        <v/>
      </c>
      <c r="AB211" s="125" t="str">
        <f aca="false">IF(ISBLANK($C211),"",IF(ISNUMBER($I211),IF($I211&gt;=0,$I211,""),""))</f>
        <v/>
      </c>
      <c r="AC211" s="124" t="str">
        <f aca="false">IF(ISBLANK($C211),"",IF($J211=Constants!$B$2,TRUE(),IF($J211=Constants!$B$3,FALSE(),TRUE())))</f>
        <v/>
      </c>
      <c r="AD211" s="124" t="str">
        <f aca="false">IF(ISBLANK($C211),"",IF($K211=Constants!$B$2,TRUE(),IF($K211=Constants!$B$3,FALSE(),TRUE())))</f>
        <v/>
      </c>
      <c r="AE211" s="124" t="str">
        <f aca="false">IF(ISBLANK($C211),"",IF($L211=Constants!$B$2,TRUE(),IF($L211=Constants!$B$3,FALSE(),TRUE())))</f>
        <v/>
      </c>
      <c r="AF211" s="126" t="str">
        <f aca="false">IF(ISBLANK($C211),"",IF(ISNUMBER($M211),IF($M211&gt;=0,$M211,""),""))</f>
        <v/>
      </c>
      <c r="AG211" s="124" t="str">
        <f aca="false">IF(ISBLANK($C211),"",IF(ISBLANK($N211),0,IF(ISNUMBER($N211),IF(AND($N211&gt;=0,$N211&lt;=Constants!$B$17,$N211=INT($N211)),$N211,""),"")))</f>
        <v/>
      </c>
      <c r="AH211" s="125" t="str">
        <f aca="false">IF(ISBLANK($C211),"",IF(ISBLANK($O211),0,IF(ISNUMBER($O211),IF($O211&gt;=0,$O211,""),"")))</f>
        <v/>
      </c>
      <c r="AI211" s="124" t="str">
        <f aca="false">IF(ISBLANK($C211),"",IF($P211=Constants!$B$2,TRUE(),IF($P211=Constants!$B$3,FALSE(),TRUE())))</f>
        <v/>
      </c>
      <c r="AJ211" s="124" t="str">
        <f aca="false">IF(ISBLANK($C211),"",IF($Q211=Constants!$B$2,TRUE(),IF($Q211=Constants!$B$3,FALSE(),TRUE())))</f>
        <v/>
      </c>
      <c r="AK211" s="124" t="str">
        <f aca="false">IF(ISBLANK($C211),"",IF($R211=Constants!$B$2,TRUE(),IF($R211=Constants!$B$3,FALSE(),TRUE())))</f>
        <v/>
      </c>
      <c r="AL211" s="126" t="str">
        <f aca="false">IF(ISBLANK($C211),"",IF(ISNUMBER($S211),IF($S211&gt;=0,$S211,""),""))</f>
        <v/>
      </c>
      <c r="AM211" s="124" t="str">
        <f aca="false">IF(ISBLANK($C211),"",IF(ISBLANK($T211),0,IF(ISNUMBER($T211),IF(AND($T211&gt;=0,$T211&lt;=Constants!$B$17,$T211=INT($T211)),$T211,""),"")))</f>
        <v/>
      </c>
      <c r="AN211" s="125" t="str">
        <f aca="false">IF(ISBLANK($C211),"",IF(ISBLANK($U211),0,IF(ISNUMBER($U211),IF($U211&gt;=0,$U211,""),"")))</f>
        <v/>
      </c>
      <c r="AO211" s="124" t="str">
        <f aca="false">IF(ISBLANK($C211),"",IF($V211=Constants!$B$2,TRUE(),IF($V211=Constants!$B$3,FALSE(),FALSE())))</f>
        <v/>
      </c>
      <c r="AP211" s="124"/>
      <c r="AQ211" s="123" t="str">
        <f aca="false">IF(ISBLANK($C211),"",AND($Y211,OR($AS211,$BC211),OR($Z211="",$AA211="",$AB211="")))</f>
        <v/>
      </c>
      <c r="AR211" s="123" t="str">
        <f aca="false">IF(ISBLANK($C211),"",IF(OR(NOT($Y211),NOT(OR($AS211,$BC211))),"",IF(ISBLANK($D$7),$AR$5,IF($AP$9="",$AR$6,""))))</f>
        <v/>
      </c>
      <c r="AS211" s="123" t="str">
        <f aca="false">IF(ISBLANK($C211),"",COUNTA($J211:$O211)&gt;0)</f>
        <v/>
      </c>
      <c r="AT211" s="123" t="str">
        <f aca="false">IF(ISBLANK($C211),"",AND($AS211,OR(AND($AF211="",OR($AE211,NOT(ISBLANK($M211)))),$AG211="",$AH211="")))</f>
        <v/>
      </c>
      <c r="AU211" s="125" t="str">
        <f aca="false">IF($BL211&lt;&gt;Constants!$B$4,"",IF(NOT($AS211),"",ROUND((Constants!$B$12-$AB211)+(Constants!$B$13-$Z211)+(Constants!$B$14-$AA211),1)))</f>
        <v/>
      </c>
      <c r="AV211" s="127" t="str">
        <f aca="false">IF($BL211&lt;&gt;Constants!$B$4,"",IF(NOT($AS211),"",IF(NOT($AE211),0,Constants!$B$15*(INT(ROUND(MIN($AF211,$AP$9),6))-INT(ROUND(MAX(0,MIN($AF211,2*$AP$9)-$AP$9),6))))))</f>
        <v/>
      </c>
      <c r="AW211" s="127" t="str">
        <f aca="false">IF($BL211&lt;&gt;Constants!$B$4,"",IF(NOT($AS211),"",Constants!$B$16*$AG211))</f>
        <v/>
      </c>
      <c r="AX211" s="127" t="str">
        <f aca="false">IF($BL211&lt;&gt;Constants!$B$4,"",IF(NOT($AS211),"",Constants!$B$18*INT(ROUND($AH211,6))))</f>
        <v/>
      </c>
      <c r="AY211" s="123" t="str">
        <f aca="false">IF($BL211&lt;&gt;Constants!$B$4,"",IF(NOT($AS211),"",IF(NOT($X211),Constants!$B$11,IF(OR(NOT($AC211),NOT($AD211),ROUND($AB211,1)&gt;Constants!$B$12,ROUND($Z211,1)&gt;Constants!$B$13,ROUND($AA211,1)&gt;Constants!$B$14),Constants!$B$10,Constants!$B$9))))</f>
        <v/>
      </c>
      <c r="AZ211" s="128" t="str">
        <f aca="false">IF($BL211&lt;&gt;Constants!$B$4,"",IF(NOT($AS211),"",ROUND($AU211+$AV211+$AW211+$AX211,1)))</f>
        <v/>
      </c>
      <c r="BA211" s="129" t="str">
        <f aca="false">IF($BL211&lt;&gt;Constants!$B$4,"",IF(NOT($AS211),"",IF(ISNUMBER($AF211),$AF211,0)))</f>
        <v/>
      </c>
      <c r="BB211" s="124" t="str">
        <f aca="false">IF($BL211&lt;&gt;Constants!$B$4,"",IF(NOT($BC211),"&lt;-",IF(NOT($AS211),"-&gt;",IF(OR($BI211&lt;$AY211,AND($BI211=$AY211,OR($BJ211&gt;$AZ211,AND($BJ211=$AZ211,OR($BH211&gt;$AX211,AND($BH211=$AX211,OR($BE211&gt;$AU211,AND($BE211=$AU211,OR($BF211&gt;$AV211,AND($BF211=$AV211,$BK211&gt;$BA211)))))))))),"-&gt;","&lt;-"))))</f>
        <v/>
      </c>
      <c r="BC211" s="123" t="str">
        <f aca="false">IF(ISBLANK($C211),"",COUNTA($P211:$U211)&gt;0)</f>
        <v/>
      </c>
      <c r="BD211" s="123" t="str">
        <f aca="false">IF(ISBLANK($C211),"",AND($BC211,OR(AND($AL211="",OR($AK211,NOT(ISBLANK($S211)))),$AM211="",$AN211="")))</f>
        <v/>
      </c>
      <c r="BE211" s="125" t="str">
        <f aca="false">IF($BL211&lt;&gt;Constants!$B$4,"",IF(NOT($BC211),"",ROUND((Constants!$B$12-$AB211)+(Constants!$B$13-$Z211)+(Constants!$B$14-$AA211),1)))</f>
        <v/>
      </c>
      <c r="BF211" s="127" t="str">
        <f aca="false">IF($BL211&lt;&gt;Constants!$B$4,"",IF(NOT($BC211),"",IF(NOT($AK211),0,Constants!$B$15*(INT(ROUND(MIN($AL211,$AP$9),6))-INT(ROUND(MAX(0,MIN($AL211,2*$AP$9)-$AP$9),6))))))</f>
        <v/>
      </c>
      <c r="BG211" s="127" t="str">
        <f aca="false">IF($BL211&lt;&gt;Constants!$B$4,"",IF(NOT($BC211),"",Constants!$B$16*$AM211))</f>
        <v/>
      </c>
      <c r="BH211" s="127" t="str">
        <f aca="false">IF($BL211&lt;&gt;Constants!$B$4,"",IF(NOT($BC211),"",Constants!$B$18*INT(ROUND($AN211,6))))</f>
        <v/>
      </c>
      <c r="BI211" s="123" t="str">
        <f aca="false">IF($BL211&lt;&gt;Constants!$B$4,"",IF(NOT($BC211),"",IF(NOT($X211),Constants!$B$11,IF(OR(NOT($AI211),NOT($AJ211),ROUND($AB211,1)&gt;Constants!$B$12,ROUND($Z211,1)&gt;Constants!$B$13,ROUND($AA211,1)&gt;Constants!$B$14),Constants!$B$10,Constants!$B$9))))</f>
        <v/>
      </c>
      <c r="BJ211" s="128" t="str">
        <f aca="false">IF($BL211&lt;&gt;Constants!$B$4,"",IF(NOT($BC211),"",ROUND($BE211+$BF211+$BG211+$BH211,1)))</f>
        <v/>
      </c>
      <c r="BK211" s="129" t="str">
        <f aca="false">IF($BL211&lt;&gt;Constants!$B$4,"",IF(NOT($BC211),"",IF(ISNUMBER($AL211),$AL211,0)))</f>
        <v/>
      </c>
      <c r="BL211" s="124" t="str">
        <f aca="false">IF(ISBLANK($C211),"",IF($AO211,Constants!$B$7,IF(COUNTA($E211:$V211)=0,Constants!$B$6,IF(NOT($Y211),Constants!$B$5,IF(NOT(OR($AS211,$BC211)),Constants!$B$5,IF(OR($AT211,$BD211,$AQ211,$AR211&lt;&gt;""),Constants!$B$8,Constants!$B$4))))))</f>
        <v/>
      </c>
      <c r="BM211" s="124" t="str">
        <f aca="false">IF(ISBLANK($C211),"",IF($BL211&lt;&gt;Constants!$B$4,$BL211,IF($BB211="-&gt;",$BI211,$AY211)))</f>
        <v/>
      </c>
      <c r="BN211" s="127" t="str">
        <f aca="false">IF($BL211&lt;&gt;Constants!$B$4,"",IF($BB211="-&gt;",$BJ211,$AZ211))</f>
        <v/>
      </c>
      <c r="BO211" s="127" t="str">
        <f aca="false">IF(ISBLANK($C211),"",IF($BL211&lt;&gt;Constants!$B$4,$BL211,$BN211))</f>
        <v/>
      </c>
      <c r="BP211" s="124" t="str">
        <f aca="false">IF(ISBLANK($C211),"",IF($BL211&lt;&gt;Constants!$B$4,$BL211,RANK($BO211,$BO$9:$BO$508,0)))</f>
        <v/>
      </c>
      <c r="BQ211" s="124" t="str">
        <f aca="false">IF(ISBLANK($C211),"",IF($BL211&lt;&gt;Constants!$B$4,$BL211,COUNTIFS($BM$9:$BM$508,"&lt;"&amp;$BM211)+COUNTIFS($BM$9:$BM$508,$BM211,$BP$9:$BP$508,"&lt;"&amp;$BP211)+1))</f>
        <v/>
      </c>
      <c r="BR211" s="127" t="str">
        <f aca="false">IF($BL211&lt;&gt;Constants!$B$4,"",IF($BB211="-&gt;",$BH211,$AX211))</f>
        <v/>
      </c>
      <c r="BS211" s="124" t="str">
        <f aca="false">IF(ISBLANK($C211),"",IF($BL211&lt;&gt;Constants!$B$4,$BL211,IF(ISNUMBER($BR211),RANK($BR211,$BR$9:$BR$508,0),COUNT($BR$9:$BR$508)+1)))</f>
        <v/>
      </c>
      <c r="BT211" s="127" t="str">
        <f aca="false">IF($BL211&lt;&gt;Constants!$B$4,"",IF($BB211="-&gt;",$BE211,$AU211))</f>
        <v/>
      </c>
      <c r="BU211" s="124" t="str">
        <f aca="false">IF(ISBLANK($C211),"",IF($BL211&lt;&gt;Constants!$B$4,$BL211,IF(ISNUMBER($BT211),RANK($BT211,$BT$9:$BT$508,0),COUNT($BT$9:$BT$508)+1)))</f>
        <v/>
      </c>
      <c r="BV211" s="127" t="str">
        <f aca="false">IF($BL211&lt;&gt;Constants!$B$4,"",IF($BB211="-&gt;",$BF211,$AV211))</f>
        <v/>
      </c>
      <c r="BW211" s="124" t="str">
        <f aca="false">IF(ISBLANK($C211),"",IF($BL211&lt;&gt;Constants!$B$4,$BL211,IF(ISNUMBER($BV211),RANK($BV211,$BV$9:$BV$508,0),COUNT($BV$9:$BV$508)+1)))</f>
        <v/>
      </c>
      <c r="BX211" s="127" t="str">
        <f aca="false">IF($BL211&lt;&gt;Constants!$B$4,"",IF($BB211="-&gt;",$BK211,$BA211))</f>
        <v/>
      </c>
      <c r="BY211" s="124" t="str">
        <f aca="false">IF(ISBLANK($C211),"",IF($BL211&lt;&gt;Constants!$B$4,$BL211,IF(ISNUMBER($BX211),RANK($BX211,$BX$9:$BX$508,0),COUNT($BX$9:$BX$508)+1)))</f>
        <v/>
      </c>
      <c r="BZ211" s="124" t="str">
        <f aca="false">IF(ISBLANK($C211),"",IF($BL211&lt;&gt;Constants!$B$4,$BL211,COUNTIFS($BM$9:$BM$508,"&lt;"&amp;$BM211)+COUNTIFS($BM$9:$BM$508,$BM211,$BP$9:$BP$508,"&lt;"&amp;$BP211)+COUNTIFS($BM$9:$BM$508,$BM211,$BP$9:$BP$508,$BP211,$BS$9:$BS$508,"&lt;"&amp;$BS211)+COUNTIFS($BM$9:$BM$508,$BM211,$BP$9:$BP$508,$BP211,$BS$9:$BS$508,$BS211,$BU$9:$BU$508,"&lt;"&amp;$BU211)+COUNTIFS($BM$9:$BM$508,$BM211,$BP$9:$BP$508,$BP211,$BS$9:$BS$508,$BS211,$BU$9:$BU$508,$BU211,$BW$9:$BW$508,"&lt;"&amp;$BW211)+COUNTIFS($BM$9:$BM$508,$BM211,$BP$9:$BP$508,$BP211,$BS$9:$BS$508,$BS211,$BU$9:$BU$508,$BU211,$BW$9:$BW$508,$BW211,$BY$9:$BY$508,"&lt;"&amp;$BY211)+1))</f>
        <v/>
      </c>
      <c r="CA211" s="124" t="str">
        <f aca="false">IF(ISBLANK($C211),"",IF($BL211&lt;&gt;Constants!$B$4,$BL211,$BQ211-$BZ211))</f>
        <v/>
      </c>
      <c r="CB211" s="130"/>
      <c r="CC211" s="131" t="str">
        <f aca="false">IF(ISBLANK($C211),"",IF($BL211=Constants!$B$8,$AR211,""))</f>
        <v/>
      </c>
      <c r="CD211" s="131" t="str">
        <f aca="false">IF(ISBLANK($C211),"",IF($BL211&lt;&gt;Constants!$B$4,"",IF($BB211="-&gt;",2,1)))</f>
        <v/>
      </c>
      <c r="CE211" s="132" t="str">
        <f aca="false">IF(ISBLANK($C211),"",IF($BL211&lt;&gt;Constants!$B$4,"",IF($BB211="-&gt;",$BE211,$AU211)))</f>
        <v/>
      </c>
      <c r="CF211" s="132" t="str">
        <f aca="false">IF(ISBLANK($C211),"",IF($BL211&lt;&gt;Constants!$B$4,"",IF($BB211="-&gt;",$BF211,$AV211)))</f>
        <v/>
      </c>
      <c r="CG211" s="132" t="str">
        <f aca="false">IF(ISBLANK($C211),"",IF($BL211&lt;&gt;Constants!$B$4,"",IF($BB211="-&gt;",$BG211,$AW211)))</f>
        <v/>
      </c>
      <c r="CH211" s="132" t="str">
        <f aca="false">IF(ISBLANK($C211),"",IF($BL211&lt;&gt;Constants!$B$4,"",IF($BB211="-&gt;",$BH211,$AX211)))</f>
        <v/>
      </c>
      <c r="CI211" s="133" t="str">
        <f aca="false">IF(ISBLANK($C211),"",$BO211)</f>
        <v/>
      </c>
      <c r="CJ211" s="134" t="str">
        <f aca="false">IF(ISBLANK($C211),"",$BM211)</f>
        <v/>
      </c>
      <c r="CK211" s="135" t="str">
        <f aca="false">IF(ISBLANK($C211),"",$CA211)</f>
        <v/>
      </c>
      <c r="CL211" s="135" t="str">
        <f aca="false">IF(ISBLANK($C211),"",$BZ211)</f>
        <v/>
      </c>
      <c r="CM211" s="136" t="str">
        <f aca="false">IF(ISBLANK($C211),"",IF($CL211=Constants!$B$7,COUNTA($C$9:$C$508)+2,IF($CL211=Constants!$B$6,COUNTA($C$9:$C$508)+1,IF($CL211=Constants!$B$5,COUNTA($C$9:$C$508),$CL211))))</f>
        <v/>
      </c>
      <c r="CN211" s="8"/>
      <c r="CO211" s="137" t="n">
        <f aca="false">IF(OR(ISNUMBER($CL211),$CL211=Constants!$B$7,$CL211=Constants!$B$5,$CL211=Constants!$B$6),1,0)</f>
        <v>0</v>
      </c>
      <c r="CP211" s="137" t="n">
        <v>203</v>
      </c>
      <c r="CQ211" s="137" t="str">
        <f aca="false">IF(ISBLANK($C211),"",IF(ISNUMBER($CM211),$CM211+ROW($B211)/1000,""))</f>
        <v/>
      </c>
      <c r="CR211" s="137" t="str">
        <f aca="false">IF(ISNUMBER($CQ211),RANK($CQ211,$CQ$9:$CQ$508,1),"")</f>
        <v/>
      </c>
      <c r="CS211" s="137" t="str">
        <f aca="false">IF(ISBLANK($C211),"",$B211)</f>
        <v/>
      </c>
      <c r="CT211" s="137" t="str">
        <f aca="false">IF(ISBLANK($C211),"",$C211)</f>
        <v/>
      </c>
      <c r="CU211" s="137" t="str">
        <f aca="false">IF(ISBLANK($C211),"",$D211)</f>
        <v/>
      </c>
      <c r="CV211" s="138" t="str">
        <f aca="false">$CJ211</f>
        <v/>
      </c>
      <c r="CW211" s="139" t="str">
        <f aca="false">$CI211</f>
        <v/>
      </c>
      <c r="CX211" s="137" t="str">
        <f aca="false">IF(ISBLANK($C211),"",$CL211)</f>
        <v/>
      </c>
      <c r="CY211" s="140" t="str">
        <f aca="false">IF($CP211&gt;$CO$8,"",VLOOKUP($CP211,$CR$9:$CX$508,7,FALSE()))</f>
        <v/>
      </c>
      <c r="CZ211" s="141" t="str">
        <f aca="false">IF($CP211&gt;$CO$8,"",VLOOKUP($CP211,$CR$9:$CX$508,2,FALSE()))</f>
        <v/>
      </c>
      <c r="DA211" s="141" t="str">
        <f aca="false">IF($CP211&gt;$CO$8,"",VLOOKUP($CP211,$CR$9:$CX$508,3,FALSE()))</f>
        <v/>
      </c>
      <c r="DB211" s="141" t="str">
        <f aca="false">IF($CP211&gt;$CO$8,"",VLOOKUP($CP211,$CR$9:$CX$508,4,FALSE()))</f>
        <v/>
      </c>
      <c r="DC211" s="141" t="str">
        <f aca="false">IF($CP211&gt;$CO$8,"",VLOOKUP($CP211,$CR$9:$CX$508,5,FALSE()))</f>
        <v/>
      </c>
      <c r="DD211" s="142" t="str">
        <f aca="false">IF($CP211&gt;$CO$8,"",VLOOKUP($CP211,$CR$9:$CX$508,6,FALSE()))</f>
        <v/>
      </c>
      <c r="DE211" s="70"/>
    </row>
    <row r="212" customFormat="false" ht="15.75" hidden="false" customHeight="false" outlineLevel="0" collapsed="false">
      <c r="A212" s="8"/>
      <c r="B212" s="146"/>
      <c r="C212" s="147"/>
      <c r="D212" s="148"/>
      <c r="E212" s="164"/>
      <c r="F212" s="150"/>
      <c r="G212" s="115"/>
      <c r="H212" s="115"/>
      <c r="I212" s="115"/>
      <c r="J212" s="165"/>
      <c r="K212" s="154"/>
      <c r="L212" s="154"/>
      <c r="M212" s="118"/>
      <c r="N212" s="154"/>
      <c r="O212" s="153"/>
      <c r="P212" s="154"/>
      <c r="Q212" s="154"/>
      <c r="R212" s="154"/>
      <c r="S212" s="115"/>
      <c r="T212" s="154"/>
      <c r="U212" s="153"/>
      <c r="V212" s="154"/>
      <c r="W212" s="123"/>
      <c r="X212" s="124" t="str">
        <f aca="false">IF(ISBLANK($C212),"",IF($E212=Constants!$B$2,TRUE(),IF($E212=Constants!$B$3,FALSE(),TRUE())))</f>
        <v/>
      </c>
      <c r="Y212" s="124" t="str">
        <f aca="false">IF(ISBLANK($C212),"",IF($F212=Constants!$B$2,TRUE(),IF($F212=Constants!$B$3,FALSE(),TRUE())))</f>
        <v/>
      </c>
      <c r="Z212" s="125" t="str">
        <f aca="false">IF(ISBLANK($C212),"",IF(ISNUMBER($G212),IF($G212&gt;=0,$G212,""),""))</f>
        <v/>
      </c>
      <c r="AA212" s="125" t="str">
        <f aca="false">IF(ISBLANK($C212),"",IF(ISNUMBER($H212),IF($H212&gt;=0,$H212,""),""))</f>
        <v/>
      </c>
      <c r="AB212" s="125" t="str">
        <f aca="false">IF(ISBLANK($C212),"",IF(ISNUMBER($I212),IF($I212&gt;=0,$I212,""),""))</f>
        <v/>
      </c>
      <c r="AC212" s="124" t="str">
        <f aca="false">IF(ISBLANK($C212),"",IF($J212=Constants!$B$2,TRUE(),IF($J212=Constants!$B$3,FALSE(),TRUE())))</f>
        <v/>
      </c>
      <c r="AD212" s="124" t="str">
        <f aca="false">IF(ISBLANK($C212),"",IF($K212=Constants!$B$2,TRUE(),IF($K212=Constants!$B$3,FALSE(),TRUE())))</f>
        <v/>
      </c>
      <c r="AE212" s="124" t="str">
        <f aca="false">IF(ISBLANK($C212),"",IF($L212=Constants!$B$2,TRUE(),IF($L212=Constants!$B$3,FALSE(),TRUE())))</f>
        <v/>
      </c>
      <c r="AF212" s="126" t="str">
        <f aca="false">IF(ISBLANK($C212),"",IF(ISNUMBER($M212),IF($M212&gt;=0,$M212,""),""))</f>
        <v/>
      </c>
      <c r="AG212" s="124" t="str">
        <f aca="false">IF(ISBLANK($C212),"",IF(ISBLANK($N212),0,IF(ISNUMBER($N212),IF(AND($N212&gt;=0,$N212&lt;=Constants!$B$17,$N212=INT($N212)),$N212,""),"")))</f>
        <v/>
      </c>
      <c r="AH212" s="125" t="str">
        <f aca="false">IF(ISBLANK($C212),"",IF(ISBLANK($O212),0,IF(ISNUMBER($O212),IF($O212&gt;=0,$O212,""),"")))</f>
        <v/>
      </c>
      <c r="AI212" s="124" t="str">
        <f aca="false">IF(ISBLANK($C212),"",IF($P212=Constants!$B$2,TRUE(),IF($P212=Constants!$B$3,FALSE(),TRUE())))</f>
        <v/>
      </c>
      <c r="AJ212" s="124" t="str">
        <f aca="false">IF(ISBLANK($C212),"",IF($Q212=Constants!$B$2,TRUE(),IF($Q212=Constants!$B$3,FALSE(),TRUE())))</f>
        <v/>
      </c>
      <c r="AK212" s="124" t="str">
        <f aca="false">IF(ISBLANK($C212),"",IF($R212=Constants!$B$2,TRUE(),IF($R212=Constants!$B$3,FALSE(),TRUE())))</f>
        <v/>
      </c>
      <c r="AL212" s="126" t="str">
        <f aca="false">IF(ISBLANK($C212),"",IF(ISNUMBER($S212),IF($S212&gt;=0,$S212,""),""))</f>
        <v/>
      </c>
      <c r="AM212" s="124" t="str">
        <f aca="false">IF(ISBLANK($C212),"",IF(ISBLANK($T212),0,IF(ISNUMBER($T212),IF(AND($T212&gt;=0,$T212&lt;=Constants!$B$17,$T212=INT($T212)),$T212,""),"")))</f>
        <v/>
      </c>
      <c r="AN212" s="125" t="str">
        <f aca="false">IF(ISBLANK($C212),"",IF(ISBLANK($U212),0,IF(ISNUMBER($U212),IF($U212&gt;=0,$U212,""),"")))</f>
        <v/>
      </c>
      <c r="AO212" s="124" t="str">
        <f aca="false">IF(ISBLANK($C212),"",IF($V212=Constants!$B$2,TRUE(),IF($V212=Constants!$B$3,FALSE(),FALSE())))</f>
        <v/>
      </c>
      <c r="AP212" s="124"/>
      <c r="AQ212" s="123" t="str">
        <f aca="false">IF(ISBLANK($C212),"",AND($Y212,OR($AS212,$BC212),OR($Z212="",$AA212="",$AB212="")))</f>
        <v/>
      </c>
      <c r="AR212" s="123" t="str">
        <f aca="false">IF(ISBLANK($C212),"",IF(OR(NOT($Y212),NOT(OR($AS212,$BC212))),"",IF(ISBLANK($D$7),$AR$5,IF($AP$9="",$AR$6,""))))</f>
        <v/>
      </c>
      <c r="AS212" s="123" t="str">
        <f aca="false">IF(ISBLANK($C212),"",COUNTA($J212:$O212)&gt;0)</f>
        <v/>
      </c>
      <c r="AT212" s="123" t="str">
        <f aca="false">IF(ISBLANK($C212),"",AND($AS212,OR(AND($AF212="",OR($AE212,NOT(ISBLANK($M212)))),$AG212="",$AH212="")))</f>
        <v/>
      </c>
      <c r="AU212" s="125" t="str">
        <f aca="false">IF($BL212&lt;&gt;Constants!$B$4,"",IF(NOT($AS212),"",ROUND((Constants!$B$12-$AB212)+(Constants!$B$13-$Z212)+(Constants!$B$14-$AA212),1)))</f>
        <v/>
      </c>
      <c r="AV212" s="127" t="str">
        <f aca="false">IF($BL212&lt;&gt;Constants!$B$4,"",IF(NOT($AS212),"",IF(NOT($AE212),0,Constants!$B$15*(INT(ROUND(MIN($AF212,$AP$9),6))-INT(ROUND(MAX(0,MIN($AF212,2*$AP$9)-$AP$9),6))))))</f>
        <v/>
      </c>
      <c r="AW212" s="127" t="str">
        <f aca="false">IF($BL212&lt;&gt;Constants!$B$4,"",IF(NOT($AS212),"",Constants!$B$16*$AG212))</f>
        <v/>
      </c>
      <c r="AX212" s="127" t="str">
        <f aca="false">IF($BL212&lt;&gt;Constants!$B$4,"",IF(NOT($AS212),"",Constants!$B$18*INT(ROUND($AH212,6))))</f>
        <v/>
      </c>
      <c r="AY212" s="123" t="str">
        <f aca="false">IF($BL212&lt;&gt;Constants!$B$4,"",IF(NOT($AS212),"",IF(NOT($X212),Constants!$B$11,IF(OR(NOT($AC212),NOT($AD212),ROUND($AB212,1)&gt;Constants!$B$12,ROUND($Z212,1)&gt;Constants!$B$13,ROUND($AA212,1)&gt;Constants!$B$14),Constants!$B$10,Constants!$B$9))))</f>
        <v/>
      </c>
      <c r="AZ212" s="128" t="str">
        <f aca="false">IF($BL212&lt;&gt;Constants!$B$4,"",IF(NOT($AS212),"",ROUND($AU212+$AV212+$AW212+$AX212,1)))</f>
        <v/>
      </c>
      <c r="BA212" s="129" t="str">
        <f aca="false">IF($BL212&lt;&gt;Constants!$B$4,"",IF(NOT($AS212),"",IF(ISNUMBER($AF212),$AF212,0)))</f>
        <v/>
      </c>
      <c r="BB212" s="124" t="str">
        <f aca="false">IF($BL212&lt;&gt;Constants!$B$4,"",IF(NOT($BC212),"&lt;-",IF(NOT($AS212),"-&gt;",IF(OR($BI212&lt;$AY212,AND($BI212=$AY212,OR($BJ212&gt;$AZ212,AND($BJ212=$AZ212,OR($BH212&gt;$AX212,AND($BH212=$AX212,OR($BE212&gt;$AU212,AND($BE212=$AU212,OR($BF212&gt;$AV212,AND($BF212=$AV212,$BK212&gt;$BA212)))))))))),"-&gt;","&lt;-"))))</f>
        <v/>
      </c>
      <c r="BC212" s="123" t="str">
        <f aca="false">IF(ISBLANK($C212),"",COUNTA($P212:$U212)&gt;0)</f>
        <v/>
      </c>
      <c r="BD212" s="123" t="str">
        <f aca="false">IF(ISBLANK($C212),"",AND($BC212,OR(AND($AL212="",OR($AK212,NOT(ISBLANK($S212)))),$AM212="",$AN212="")))</f>
        <v/>
      </c>
      <c r="BE212" s="125" t="str">
        <f aca="false">IF($BL212&lt;&gt;Constants!$B$4,"",IF(NOT($BC212),"",ROUND((Constants!$B$12-$AB212)+(Constants!$B$13-$Z212)+(Constants!$B$14-$AA212),1)))</f>
        <v/>
      </c>
      <c r="BF212" s="127" t="str">
        <f aca="false">IF($BL212&lt;&gt;Constants!$B$4,"",IF(NOT($BC212),"",IF(NOT($AK212),0,Constants!$B$15*(INT(ROUND(MIN($AL212,$AP$9),6))-INT(ROUND(MAX(0,MIN($AL212,2*$AP$9)-$AP$9),6))))))</f>
        <v/>
      </c>
      <c r="BG212" s="127" t="str">
        <f aca="false">IF($BL212&lt;&gt;Constants!$B$4,"",IF(NOT($BC212),"",Constants!$B$16*$AM212))</f>
        <v/>
      </c>
      <c r="BH212" s="127" t="str">
        <f aca="false">IF($BL212&lt;&gt;Constants!$B$4,"",IF(NOT($BC212),"",Constants!$B$18*INT(ROUND($AN212,6))))</f>
        <v/>
      </c>
      <c r="BI212" s="123" t="str">
        <f aca="false">IF($BL212&lt;&gt;Constants!$B$4,"",IF(NOT($BC212),"",IF(NOT($X212),Constants!$B$11,IF(OR(NOT($AI212),NOT($AJ212),ROUND($AB212,1)&gt;Constants!$B$12,ROUND($Z212,1)&gt;Constants!$B$13,ROUND($AA212,1)&gt;Constants!$B$14),Constants!$B$10,Constants!$B$9))))</f>
        <v/>
      </c>
      <c r="BJ212" s="128" t="str">
        <f aca="false">IF($BL212&lt;&gt;Constants!$B$4,"",IF(NOT($BC212),"",ROUND($BE212+$BF212+$BG212+$BH212,1)))</f>
        <v/>
      </c>
      <c r="BK212" s="129" t="str">
        <f aca="false">IF($BL212&lt;&gt;Constants!$B$4,"",IF(NOT($BC212),"",IF(ISNUMBER($AL212),$AL212,0)))</f>
        <v/>
      </c>
      <c r="BL212" s="124" t="str">
        <f aca="false">IF(ISBLANK($C212),"",IF($AO212,Constants!$B$7,IF(COUNTA($E212:$V212)=0,Constants!$B$6,IF(NOT($Y212),Constants!$B$5,IF(NOT(OR($AS212,$BC212)),Constants!$B$5,IF(OR($AT212,$BD212,$AQ212,$AR212&lt;&gt;""),Constants!$B$8,Constants!$B$4))))))</f>
        <v/>
      </c>
      <c r="BM212" s="124" t="str">
        <f aca="false">IF(ISBLANK($C212),"",IF($BL212&lt;&gt;Constants!$B$4,$BL212,IF($BB212="-&gt;",$BI212,$AY212)))</f>
        <v/>
      </c>
      <c r="BN212" s="127" t="str">
        <f aca="false">IF($BL212&lt;&gt;Constants!$B$4,"",IF($BB212="-&gt;",$BJ212,$AZ212))</f>
        <v/>
      </c>
      <c r="BO212" s="127" t="str">
        <f aca="false">IF(ISBLANK($C212),"",IF($BL212&lt;&gt;Constants!$B$4,$BL212,$BN212))</f>
        <v/>
      </c>
      <c r="BP212" s="124" t="str">
        <f aca="false">IF(ISBLANK($C212),"",IF($BL212&lt;&gt;Constants!$B$4,$BL212,RANK($BO212,$BO$9:$BO$508,0)))</f>
        <v/>
      </c>
      <c r="BQ212" s="124" t="str">
        <f aca="false">IF(ISBLANK($C212),"",IF($BL212&lt;&gt;Constants!$B$4,$BL212,COUNTIFS($BM$9:$BM$508,"&lt;"&amp;$BM212)+COUNTIFS($BM$9:$BM$508,$BM212,$BP$9:$BP$508,"&lt;"&amp;$BP212)+1))</f>
        <v/>
      </c>
      <c r="BR212" s="127" t="str">
        <f aca="false">IF($BL212&lt;&gt;Constants!$B$4,"",IF($BB212="-&gt;",$BH212,$AX212))</f>
        <v/>
      </c>
      <c r="BS212" s="124" t="str">
        <f aca="false">IF(ISBLANK($C212),"",IF($BL212&lt;&gt;Constants!$B$4,$BL212,IF(ISNUMBER($BR212),RANK($BR212,$BR$9:$BR$508,0),COUNT($BR$9:$BR$508)+1)))</f>
        <v/>
      </c>
      <c r="BT212" s="127" t="str">
        <f aca="false">IF($BL212&lt;&gt;Constants!$B$4,"",IF($BB212="-&gt;",$BE212,$AU212))</f>
        <v/>
      </c>
      <c r="BU212" s="124" t="str">
        <f aca="false">IF(ISBLANK($C212),"",IF($BL212&lt;&gt;Constants!$B$4,$BL212,IF(ISNUMBER($BT212),RANK($BT212,$BT$9:$BT$508,0),COUNT($BT$9:$BT$508)+1)))</f>
        <v/>
      </c>
      <c r="BV212" s="127" t="str">
        <f aca="false">IF($BL212&lt;&gt;Constants!$B$4,"",IF($BB212="-&gt;",$BF212,$AV212))</f>
        <v/>
      </c>
      <c r="BW212" s="124" t="str">
        <f aca="false">IF(ISBLANK($C212),"",IF($BL212&lt;&gt;Constants!$B$4,$BL212,IF(ISNUMBER($BV212),RANK($BV212,$BV$9:$BV$508,0),COUNT($BV$9:$BV$508)+1)))</f>
        <v/>
      </c>
      <c r="BX212" s="127" t="str">
        <f aca="false">IF($BL212&lt;&gt;Constants!$B$4,"",IF($BB212="-&gt;",$BK212,$BA212))</f>
        <v/>
      </c>
      <c r="BY212" s="124" t="str">
        <f aca="false">IF(ISBLANK($C212),"",IF($BL212&lt;&gt;Constants!$B$4,$BL212,IF(ISNUMBER($BX212),RANK($BX212,$BX$9:$BX$508,0),COUNT($BX$9:$BX$508)+1)))</f>
        <v/>
      </c>
      <c r="BZ212" s="124" t="str">
        <f aca="false">IF(ISBLANK($C212),"",IF($BL212&lt;&gt;Constants!$B$4,$BL212,COUNTIFS($BM$9:$BM$508,"&lt;"&amp;$BM212)+COUNTIFS($BM$9:$BM$508,$BM212,$BP$9:$BP$508,"&lt;"&amp;$BP212)+COUNTIFS($BM$9:$BM$508,$BM212,$BP$9:$BP$508,$BP212,$BS$9:$BS$508,"&lt;"&amp;$BS212)+COUNTIFS($BM$9:$BM$508,$BM212,$BP$9:$BP$508,$BP212,$BS$9:$BS$508,$BS212,$BU$9:$BU$508,"&lt;"&amp;$BU212)+COUNTIFS($BM$9:$BM$508,$BM212,$BP$9:$BP$508,$BP212,$BS$9:$BS$508,$BS212,$BU$9:$BU$508,$BU212,$BW$9:$BW$508,"&lt;"&amp;$BW212)+COUNTIFS($BM$9:$BM$508,$BM212,$BP$9:$BP$508,$BP212,$BS$9:$BS$508,$BS212,$BU$9:$BU$508,$BU212,$BW$9:$BW$508,$BW212,$BY$9:$BY$508,"&lt;"&amp;$BY212)+1))</f>
        <v/>
      </c>
      <c r="CA212" s="124" t="str">
        <f aca="false">IF(ISBLANK($C212),"",IF($BL212&lt;&gt;Constants!$B$4,$BL212,$BQ212-$BZ212))</f>
        <v/>
      </c>
      <c r="CB212" s="130"/>
      <c r="CC212" s="131" t="str">
        <f aca="false">IF(ISBLANK($C212),"",IF($BL212=Constants!$B$8,$AR212,""))</f>
        <v/>
      </c>
      <c r="CD212" s="131" t="str">
        <f aca="false">IF(ISBLANK($C212),"",IF($BL212&lt;&gt;Constants!$B$4,"",IF($BB212="-&gt;",2,1)))</f>
        <v/>
      </c>
      <c r="CE212" s="132" t="str">
        <f aca="false">IF(ISBLANK($C212),"",IF($BL212&lt;&gt;Constants!$B$4,"",IF($BB212="-&gt;",$BE212,$AU212)))</f>
        <v/>
      </c>
      <c r="CF212" s="132" t="str">
        <f aca="false">IF(ISBLANK($C212),"",IF($BL212&lt;&gt;Constants!$B$4,"",IF($BB212="-&gt;",$BF212,$AV212)))</f>
        <v/>
      </c>
      <c r="CG212" s="132" t="str">
        <f aca="false">IF(ISBLANK($C212),"",IF($BL212&lt;&gt;Constants!$B$4,"",IF($BB212="-&gt;",$BG212,$AW212)))</f>
        <v/>
      </c>
      <c r="CH212" s="132" t="str">
        <f aca="false">IF(ISBLANK($C212),"",IF($BL212&lt;&gt;Constants!$B$4,"",IF($BB212="-&gt;",$BH212,$AX212)))</f>
        <v/>
      </c>
      <c r="CI212" s="133" t="str">
        <f aca="false">IF(ISBLANK($C212),"",$BO212)</f>
        <v/>
      </c>
      <c r="CJ212" s="134" t="str">
        <f aca="false">IF(ISBLANK($C212),"",$BM212)</f>
        <v/>
      </c>
      <c r="CK212" s="135" t="str">
        <f aca="false">IF(ISBLANK($C212),"",$CA212)</f>
        <v/>
      </c>
      <c r="CL212" s="135" t="str">
        <f aca="false">IF(ISBLANK($C212),"",$BZ212)</f>
        <v/>
      </c>
      <c r="CM212" s="136" t="str">
        <f aca="false">IF(ISBLANK($C212),"",IF($CL212=Constants!$B$7,COUNTA($C$9:$C$508)+2,IF($CL212=Constants!$B$6,COUNTA($C$9:$C$508)+1,IF($CL212=Constants!$B$5,COUNTA($C$9:$C$508),$CL212))))</f>
        <v/>
      </c>
      <c r="CN212" s="8"/>
      <c r="CO212" s="137" t="n">
        <f aca="false">IF(OR(ISNUMBER($CL212),$CL212=Constants!$B$7,$CL212=Constants!$B$5,$CL212=Constants!$B$6),1,0)</f>
        <v>0</v>
      </c>
      <c r="CP212" s="137" t="n">
        <v>204</v>
      </c>
      <c r="CQ212" s="137" t="str">
        <f aca="false">IF(ISBLANK($C212),"",IF(ISNUMBER($CM212),$CM212+ROW($B212)/1000,""))</f>
        <v/>
      </c>
      <c r="CR212" s="137" t="str">
        <f aca="false">IF(ISNUMBER($CQ212),RANK($CQ212,$CQ$9:$CQ$508,1),"")</f>
        <v/>
      </c>
      <c r="CS212" s="137" t="str">
        <f aca="false">IF(ISBLANK($C212),"",$B212)</f>
        <v/>
      </c>
      <c r="CT212" s="137" t="str">
        <f aca="false">IF(ISBLANK($C212),"",$C212)</f>
        <v/>
      </c>
      <c r="CU212" s="137" t="str">
        <f aca="false">IF(ISBLANK($C212),"",$D212)</f>
        <v/>
      </c>
      <c r="CV212" s="138" t="str">
        <f aca="false">$CJ212</f>
        <v/>
      </c>
      <c r="CW212" s="139" t="str">
        <f aca="false">$CI212</f>
        <v/>
      </c>
      <c r="CX212" s="137" t="str">
        <f aca="false">IF(ISBLANK($C212),"",$CL212)</f>
        <v/>
      </c>
      <c r="CY212" s="140" t="str">
        <f aca="false">IF($CP212&gt;$CO$8,"",VLOOKUP($CP212,$CR$9:$CX$508,7,FALSE()))</f>
        <v/>
      </c>
      <c r="CZ212" s="141" t="str">
        <f aca="false">IF($CP212&gt;$CO$8,"",VLOOKUP($CP212,$CR$9:$CX$508,2,FALSE()))</f>
        <v/>
      </c>
      <c r="DA212" s="141" t="str">
        <f aca="false">IF($CP212&gt;$CO$8,"",VLOOKUP($CP212,$CR$9:$CX$508,3,FALSE()))</f>
        <v/>
      </c>
      <c r="DB212" s="141" t="str">
        <f aca="false">IF($CP212&gt;$CO$8,"",VLOOKUP($CP212,$CR$9:$CX$508,4,FALSE()))</f>
        <v/>
      </c>
      <c r="DC212" s="141" t="str">
        <f aca="false">IF($CP212&gt;$CO$8,"",VLOOKUP($CP212,$CR$9:$CX$508,5,FALSE()))</f>
        <v/>
      </c>
      <c r="DD212" s="142" t="str">
        <f aca="false">IF($CP212&gt;$CO$8,"",VLOOKUP($CP212,$CR$9:$CX$508,6,FALSE()))</f>
        <v/>
      </c>
      <c r="DE212" s="70"/>
    </row>
    <row r="213" customFormat="false" ht="15.75" hidden="false" customHeight="false" outlineLevel="0" collapsed="false">
      <c r="A213" s="8"/>
      <c r="B213" s="72"/>
      <c r="C213" s="73"/>
      <c r="D213" s="155"/>
      <c r="E213" s="162"/>
      <c r="F213" s="157"/>
      <c r="G213" s="77"/>
      <c r="H213" s="77"/>
      <c r="I213" s="77"/>
      <c r="J213" s="163"/>
      <c r="K213" s="161"/>
      <c r="L213" s="161"/>
      <c r="M213" s="80"/>
      <c r="N213" s="161"/>
      <c r="O213" s="160"/>
      <c r="P213" s="161"/>
      <c r="Q213" s="161"/>
      <c r="R213" s="161"/>
      <c r="S213" s="77"/>
      <c r="T213" s="161"/>
      <c r="U213" s="160"/>
      <c r="V213" s="161"/>
      <c r="W213" s="85"/>
      <c r="X213" s="86" t="str">
        <f aca="false">IF(ISBLANK($C213),"",IF($E213=Constants!$B$2,TRUE(),IF($E213=Constants!$B$3,FALSE(),TRUE())))</f>
        <v/>
      </c>
      <c r="Y213" s="86" t="str">
        <f aca="false">IF(ISBLANK($C213),"",IF($F213=Constants!$B$2,TRUE(),IF($F213=Constants!$B$3,FALSE(),TRUE())))</f>
        <v/>
      </c>
      <c r="Z213" s="87" t="str">
        <f aca="false">IF(ISBLANK($C213),"",IF(ISNUMBER($G213),IF($G213&gt;=0,$G213,""),""))</f>
        <v/>
      </c>
      <c r="AA213" s="87" t="str">
        <f aca="false">IF(ISBLANK($C213),"",IF(ISNUMBER($H213),IF($H213&gt;=0,$H213,""),""))</f>
        <v/>
      </c>
      <c r="AB213" s="87" t="str">
        <f aca="false">IF(ISBLANK($C213),"",IF(ISNUMBER($I213),IF($I213&gt;=0,$I213,""),""))</f>
        <v/>
      </c>
      <c r="AC213" s="86" t="str">
        <f aca="false">IF(ISBLANK($C213),"",IF($J213=Constants!$B$2,TRUE(),IF($J213=Constants!$B$3,FALSE(),TRUE())))</f>
        <v/>
      </c>
      <c r="AD213" s="86" t="str">
        <f aca="false">IF(ISBLANK($C213),"",IF($K213=Constants!$B$2,TRUE(),IF($K213=Constants!$B$3,FALSE(),TRUE())))</f>
        <v/>
      </c>
      <c r="AE213" s="86" t="str">
        <f aca="false">IF(ISBLANK($C213),"",IF($L213=Constants!$B$2,TRUE(),IF($L213=Constants!$B$3,FALSE(),TRUE())))</f>
        <v/>
      </c>
      <c r="AF213" s="88" t="str">
        <f aca="false">IF(ISBLANK($C213),"",IF(ISNUMBER($M213),IF($M213&gt;=0,$M213,""),""))</f>
        <v/>
      </c>
      <c r="AG213" s="86" t="str">
        <f aca="false">IF(ISBLANK($C213),"",IF(ISBLANK($N213),0,IF(ISNUMBER($N213),IF(AND($N213&gt;=0,$N213&lt;=Constants!$B$17,$N213=INT($N213)),$N213,""),"")))</f>
        <v/>
      </c>
      <c r="AH213" s="87" t="str">
        <f aca="false">IF(ISBLANK($C213),"",IF(ISBLANK($O213),0,IF(ISNUMBER($O213),IF($O213&gt;=0,$O213,""),"")))</f>
        <v/>
      </c>
      <c r="AI213" s="86" t="str">
        <f aca="false">IF(ISBLANK($C213),"",IF($P213=Constants!$B$2,TRUE(),IF($P213=Constants!$B$3,FALSE(),TRUE())))</f>
        <v/>
      </c>
      <c r="AJ213" s="86" t="str">
        <f aca="false">IF(ISBLANK($C213),"",IF($Q213=Constants!$B$2,TRUE(),IF($Q213=Constants!$B$3,FALSE(),TRUE())))</f>
        <v/>
      </c>
      <c r="AK213" s="86" t="str">
        <f aca="false">IF(ISBLANK($C213),"",IF($R213=Constants!$B$2,TRUE(),IF($R213=Constants!$B$3,FALSE(),TRUE())))</f>
        <v/>
      </c>
      <c r="AL213" s="88" t="str">
        <f aca="false">IF(ISBLANK($C213),"",IF(ISNUMBER($S213),IF($S213&gt;=0,$S213,""),""))</f>
        <v/>
      </c>
      <c r="AM213" s="86" t="str">
        <f aca="false">IF(ISBLANK($C213),"",IF(ISBLANK($T213),0,IF(ISNUMBER($T213),IF(AND($T213&gt;=0,$T213&lt;=Constants!$B$17,$T213=INT($T213)),$T213,""),"")))</f>
        <v/>
      </c>
      <c r="AN213" s="87" t="str">
        <f aca="false">IF(ISBLANK($C213),"",IF(ISBLANK($U213),0,IF(ISNUMBER($U213),IF($U213&gt;=0,$U213,""),"")))</f>
        <v/>
      </c>
      <c r="AO213" s="86" t="str">
        <f aca="false">IF(ISBLANK($C213),"",IF($V213=Constants!$B$2,TRUE(),IF($V213=Constants!$B$3,FALSE(),FALSE())))</f>
        <v/>
      </c>
      <c r="AP213" s="86"/>
      <c r="AQ213" s="85" t="str">
        <f aca="false">IF(ISBLANK($C213),"",AND($Y213,OR($AS213,$BC213),OR($Z213="",$AA213="",$AB213="")))</f>
        <v/>
      </c>
      <c r="AR213" s="85" t="str">
        <f aca="false">IF(ISBLANK($C213),"",IF(OR(NOT($Y213),NOT(OR($AS213,$BC213))),"",IF(ISBLANK($D$7),$AR$5,IF($AP$9="",$AR$6,""))))</f>
        <v/>
      </c>
      <c r="AS213" s="85" t="str">
        <f aca="false">IF(ISBLANK($C213),"",COUNTA($J213:$O213)&gt;0)</f>
        <v/>
      </c>
      <c r="AT213" s="85" t="str">
        <f aca="false">IF(ISBLANK($C213),"",AND($AS213,OR(AND($AF213="",OR($AE213,NOT(ISBLANK($M213)))),$AG213="",$AH213="")))</f>
        <v/>
      </c>
      <c r="AU213" s="87" t="str">
        <f aca="false">IF($BL213&lt;&gt;Constants!$B$4,"",IF(NOT($AS213),"",ROUND((Constants!$B$12-$AB213)+(Constants!$B$13-$Z213)+(Constants!$B$14-$AA213),1)))</f>
        <v/>
      </c>
      <c r="AV213" s="90" t="str">
        <f aca="false">IF($BL213&lt;&gt;Constants!$B$4,"",IF(NOT($AS213),"",IF(NOT($AE213),0,Constants!$B$15*(INT(ROUND(MIN($AF213,$AP$9),6))-INT(ROUND(MAX(0,MIN($AF213,2*$AP$9)-$AP$9),6))))))</f>
        <v/>
      </c>
      <c r="AW213" s="90" t="str">
        <f aca="false">IF($BL213&lt;&gt;Constants!$B$4,"",IF(NOT($AS213),"",Constants!$B$16*$AG213))</f>
        <v/>
      </c>
      <c r="AX213" s="90" t="str">
        <f aca="false">IF($BL213&lt;&gt;Constants!$B$4,"",IF(NOT($AS213),"",Constants!$B$18*INT(ROUND($AH213,6))))</f>
        <v/>
      </c>
      <c r="AY213" s="85" t="str">
        <f aca="false">IF($BL213&lt;&gt;Constants!$B$4,"",IF(NOT($AS213),"",IF(NOT($X213),Constants!$B$11,IF(OR(NOT($AC213),NOT($AD213),ROUND($AB213,1)&gt;Constants!$B$12,ROUND($Z213,1)&gt;Constants!$B$13,ROUND($AA213,1)&gt;Constants!$B$14),Constants!$B$10,Constants!$B$9))))</f>
        <v/>
      </c>
      <c r="AZ213" s="91" t="str">
        <f aca="false">IF($BL213&lt;&gt;Constants!$B$4,"",IF(NOT($AS213),"",ROUND($AU213+$AV213+$AW213+$AX213,1)))</f>
        <v/>
      </c>
      <c r="BA213" s="92" t="str">
        <f aca="false">IF($BL213&lt;&gt;Constants!$B$4,"",IF(NOT($AS213),"",IF(ISNUMBER($AF213),$AF213,0)))</f>
        <v/>
      </c>
      <c r="BB213" s="86" t="str">
        <f aca="false">IF($BL213&lt;&gt;Constants!$B$4,"",IF(NOT($BC213),"&lt;-",IF(NOT($AS213),"-&gt;",IF(OR($BI213&lt;$AY213,AND($BI213=$AY213,OR($BJ213&gt;$AZ213,AND($BJ213=$AZ213,OR($BH213&gt;$AX213,AND($BH213=$AX213,OR($BE213&gt;$AU213,AND($BE213=$AU213,OR($BF213&gt;$AV213,AND($BF213=$AV213,$BK213&gt;$BA213)))))))))),"-&gt;","&lt;-"))))</f>
        <v/>
      </c>
      <c r="BC213" s="85" t="str">
        <f aca="false">IF(ISBLANK($C213),"",COUNTA($P213:$U213)&gt;0)</f>
        <v/>
      </c>
      <c r="BD213" s="85" t="str">
        <f aca="false">IF(ISBLANK($C213),"",AND($BC213,OR(AND($AL213="",OR($AK213,NOT(ISBLANK($S213)))),$AM213="",$AN213="")))</f>
        <v/>
      </c>
      <c r="BE213" s="87" t="str">
        <f aca="false">IF($BL213&lt;&gt;Constants!$B$4,"",IF(NOT($BC213),"",ROUND((Constants!$B$12-$AB213)+(Constants!$B$13-$Z213)+(Constants!$B$14-$AA213),1)))</f>
        <v/>
      </c>
      <c r="BF213" s="90" t="str">
        <f aca="false">IF($BL213&lt;&gt;Constants!$B$4,"",IF(NOT($BC213),"",IF(NOT($AK213),0,Constants!$B$15*(INT(ROUND(MIN($AL213,$AP$9),6))-INT(ROUND(MAX(0,MIN($AL213,2*$AP$9)-$AP$9),6))))))</f>
        <v/>
      </c>
      <c r="BG213" s="90" t="str">
        <f aca="false">IF($BL213&lt;&gt;Constants!$B$4,"",IF(NOT($BC213),"",Constants!$B$16*$AM213))</f>
        <v/>
      </c>
      <c r="BH213" s="90" t="str">
        <f aca="false">IF($BL213&lt;&gt;Constants!$B$4,"",IF(NOT($BC213),"",Constants!$B$18*INT(ROUND($AN213,6))))</f>
        <v/>
      </c>
      <c r="BI213" s="85" t="str">
        <f aca="false">IF($BL213&lt;&gt;Constants!$B$4,"",IF(NOT($BC213),"",IF(NOT($X213),Constants!$B$11,IF(OR(NOT($AI213),NOT($AJ213),ROUND($AB213,1)&gt;Constants!$B$12,ROUND($Z213,1)&gt;Constants!$B$13,ROUND($AA213,1)&gt;Constants!$B$14),Constants!$B$10,Constants!$B$9))))</f>
        <v/>
      </c>
      <c r="BJ213" s="91" t="str">
        <f aca="false">IF($BL213&lt;&gt;Constants!$B$4,"",IF(NOT($BC213),"",ROUND($BE213+$BF213+$BG213+$BH213,1)))</f>
        <v/>
      </c>
      <c r="BK213" s="92" t="str">
        <f aca="false">IF($BL213&lt;&gt;Constants!$B$4,"",IF(NOT($BC213),"",IF(ISNUMBER($AL213),$AL213,0)))</f>
        <v/>
      </c>
      <c r="BL213" s="86" t="str">
        <f aca="false">IF(ISBLANK($C213),"",IF($AO213,Constants!$B$7,IF(COUNTA($E213:$V213)=0,Constants!$B$6,IF(NOT($Y213),Constants!$B$5,IF(NOT(OR($AS213,$BC213)),Constants!$B$5,IF(OR($AT213,$BD213,$AQ213,$AR213&lt;&gt;""),Constants!$B$8,Constants!$B$4))))))</f>
        <v/>
      </c>
      <c r="BM213" s="86" t="str">
        <f aca="false">IF(ISBLANK($C213),"",IF($BL213&lt;&gt;Constants!$B$4,$BL213,IF($BB213="-&gt;",$BI213,$AY213)))</f>
        <v/>
      </c>
      <c r="BN213" s="90" t="str">
        <f aca="false">IF($BL213&lt;&gt;Constants!$B$4,"",IF($BB213="-&gt;",$BJ213,$AZ213))</f>
        <v/>
      </c>
      <c r="BO213" s="90" t="str">
        <f aca="false">IF(ISBLANK($C213),"",IF($BL213&lt;&gt;Constants!$B$4,$BL213,$BN213))</f>
        <v/>
      </c>
      <c r="BP213" s="86" t="str">
        <f aca="false">IF(ISBLANK($C213),"",IF($BL213&lt;&gt;Constants!$B$4,$BL213,RANK($BO213,$BO$9:$BO$508,0)))</f>
        <v/>
      </c>
      <c r="BQ213" s="86" t="str">
        <f aca="false">IF(ISBLANK($C213),"",IF($BL213&lt;&gt;Constants!$B$4,$BL213,COUNTIFS($BM$9:$BM$508,"&lt;"&amp;$BM213)+COUNTIFS($BM$9:$BM$508,$BM213,$BP$9:$BP$508,"&lt;"&amp;$BP213)+1))</f>
        <v/>
      </c>
      <c r="BR213" s="90" t="str">
        <f aca="false">IF($BL213&lt;&gt;Constants!$B$4,"",IF($BB213="-&gt;",$BH213,$AX213))</f>
        <v/>
      </c>
      <c r="BS213" s="86" t="str">
        <f aca="false">IF(ISBLANK($C213),"",IF($BL213&lt;&gt;Constants!$B$4,$BL213,IF(ISNUMBER($BR213),RANK($BR213,$BR$9:$BR$508,0),COUNT($BR$9:$BR$508)+1)))</f>
        <v/>
      </c>
      <c r="BT213" s="90" t="str">
        <f aca="false">IF($BL213&lt;&gt;Constants!$B$4,"",IF($BB213="-&gt;",$BE213,$AU213))</f>
        <v/>
      </c>
      <c r="BU213" s="86" t="str">
        <f aca="false">IF(ISBLANK($C213),"",IF($BL213&lt;&gt;Constants!$B$4,$BL213,IF(ISNUMBER($BT213),RANK($BT213,$BT$9:$BT$508,0),COUNT($BT$9:$BT$508)+1)))</f>
        <v/>
      </c>
      <c r="BV213" s="90" t="str">
        <f aca="false">IF($BL213&lt;&gt;Constants!$B$4,"",IF($BB213="-&gt;",$BF213,$AV213))</f>
        <v/>
      </c>
      <c r="BW213" s="86" t="str">
        <f aca="false">IF(ISBLANK($C213),"",IF($BL213&lt;&gt;Constants!$B$4,$BL213,IF(ISNUMBER($BV213),RANK($BV213,$BV$9:$BV$508,0),COUNT($BV$9:$BV$508)+1)))</f>
        <v/>
      </c>
      <c r="BX213" s="90" t="str">
        <f aca="false">IF($BL213&lt;&gt;Constants!$B$4,"",IF($BB213="-&gt;",$BK213,$BA213))</f>
        <v/>
      </c>
      <c r="BY213" s="86" t="str">
        <f aca="false">IF(ISBLANK($C213),"",IF($BL213&lt;&gt;Constants!$B$4,$BL213,IF(ISNUMBER($BX213),RANK($BX213,$BX$9:$BX$508,0),COUNT($BX$9:$BX$508)+1)))</f>
        <v/>
      </c>
      <c r="BZ213" s="86" t="str">
        <f aca="false">IF(ISBLANK($C213),"",IF($BL213&lt;&gt;Constants!$B$4,$BL213,COUNTIFS($BM$9:$BM$508,"&lt;"&amp;$BM213)+COUNTIFS($BM$9:$BM$508,$BM213,$BP$9:$BP$508,"&lt;"&amp;$BP213)+COUNTIFS($BM$9:$BM$508,$BM213,$BP$9:$BP$508,$BP213,$BS$9:$BS$508,"&lt;"&amp;$BS213)+COUNTIFS($BM$9:$BM$508,$BM213,$BP$9:$BP$508,$BP213,$BS$9:$BS$508,$BS213,$BU$9:$BU$508,"&lt;"&amp;$BU213)+COUNTIFS($BM$9:$BM$508,$BM213,$BP$9:$BP$508,$BP213,$BS$9:$BS$508,$BS213,$BU$9:$BU$508,$BU213,$BW$9:$BW$508,"&lt;"&amp;$BW213)+COUNTIFS($BM$9:$BM$508,$BM213,$BP$9:$BP$508,$BP213,$BS$9:$BS$508,$BS213,$BU$9:$BU$508,$BU213,$BW$9:$BW$508,$BW213,$BY$9:$BY$508,"&lt;"&amp;$BY213)+1))</f>
        <v/>
      </c>
      <c r="CA213" s="86" t="str">
        <f aca="false">IF(ISBLANK($C213),"",IF($BL213&lt;&gt;Constants!$B$4,$BL213,$BQ213-$BZ213))</f>
        <v/>
      </c>
      <c r="CB213" s="93"/>
      <c r="CC213" s="94" t="str">
        <f aca="false">IF(ISBLANK($C213),"",IF($BL213=Constants!$B$8,$AR213,""))</f>
        <v/>
      </c>
      <c r="CD213" s="94" t="str">
        <f aca="false">IF(ISBLANK($C213),"",IF($BL213&lt;&gt;Constants!$B$4,"",IF($BB213="-&gt;",2,1)))</f>
        <v/>
      </c>
      <c r="CE213" s="95" t="str">
        <f aca="false">IF(ISBLANK($C213),"",IF($BL213&lt;&gt;Constants!$B$4,"",IF($BB213="-&gt;",$BE213,$AU213)))</f>
        <v/>
      </c>
      <c r="CF213" s="95" t="str">
        <f aca="false">IF(ISBLANK($C213),"",IF($BL213&lt;&gt;Constants!$B$4,"",IF($BB213="-&gt;",$BF213,$AV213)))</f>
        <v/>
      </c>
      <c r="CG213" s="95" t="str">
        <f aca="false">IF(ISBLANK($C213),"",IF($BL213&lt;&gt;Constants!$B$4,"",IF($BB213="-&gt;",$BG213,$AW213)))</f>
        <v/>
      </c>
      <c r="CH213" s="95" t="str">
        <f aca="false">IF(ISBLANK($C213),"",IF($BL213&lt;&gt;Constants!$B$4,"",IF($BB213="-&gt;",$BH213,$AX213)))</f>
        <v/>
      </c>
      <c r="CI213" s="96" t="str">
        <f aca="false">IF(ISBLANK($C213),"",$BO213)</f>
        <v/>
      </c>
      <c r="CJ213" s="97" t="str">
        <f aca="false">IF(ISBLANK($C213),"",$BM213)</f>
        <v/>
      </c>
      <c r="CK213" s="98" t="str">
        <f aca="false">IF(ISBLANK($C213),"",$CA213)</f>
        <v/>
      </c>
      <c r="CL213" s="98" t="str">
        <f aca="false">IF(ISBLANK($C213),"",$BZ213)</f>
        <v/>
      </c>
      <c r="CM213" s="99" t="str">
        <f aca="false">IF(ISBLANK($C213),"",IF($CL213=Constants!$B$7,COUNTA($C$9:$C$508)+2,IF($CL213=Constants!$B$6,COUNTA($C$9:$C$508)+1,IF($CL213=Constants!$B$5,COUNTA($C$9:$C$508),$CL213))))</f>
        <v/>
      </c>
      <c r="CN213" s="8"/>
      <c r="CO213" s="100" t="n">
        <f aca="false">IF(OR(ISNUMBER($CL213),$CL213=Constants!$B$7,$CL213=Constants!$B$5,$CL213=Constants!$B$6),1,0)</f>
        <v>0</v>
      </c>
      <c r="CP213" s="100" t="n">
        <v>205</v>
      </c>
      <c r="CQ213" s="100" t="str">
        <f aca="false">IF(ISBLANK($C213),"",IF(ISNUMBER($CM213),$CM213+ROW($B213)/1000,""))</f>
        <v/>
      </c>
      <c r="CR213" s="100" t="str">
        <f aca="false">IF(ISNUMBER($CQ213),RANK($CQ213,$CQ$9:$CQ$508,1),"")</f>
        <v/>
      </c>
      <c r="CS213" s="100" t="str">
        <f aca="false">IF(ISBLANK($C213),"",$B213)</f>
        <v/>
      </c>
      <c r="CT213" s="100" t="str">
        <f aca="false">IF(ISBLANK($C213),"",$C213)</f>
        <v/>
      </c>
      <c r="CU213" s="100" t="str">
        <f aca="false">IF(ISBLANK($C213),"",$D213)</f>
        <v/>
      </c>
      <c r="CV213" s="101" t="str">
        <f aca="false">$CJ213</f>
        <v/>
      </c>
      <c r="CW213" s="102" t="str">
        <f aca="false">$CI213</f>
        <v/>
      </c>
      <c r="CX213" s="100" t="str">
        <f aca="false">IF(ISBLANK($C213),"",$CL213)</f>
        <v/>
      </c>
      <c r="CY213" s="103" t="str">
        <f aca="false">IF($CP213&gt;$CO$8,"",VLOOKUP($CP213,$CR$9:$CX$508,7,FALSE()))</f>
        <v/>
      </c>
      <c r="CZ213" s="104" t="str">
        <f aca="false">IF($CP213&gt;$CO$8,"",VLOOKUP($CP213,$CR$9:$CX$508,2,FALSE()))</f>
        <v/>
      </c>
      <c r="DA213" s="104" t="str">
        <f aca="false">IF($CP213&gt;$CO$8,"",VLOOKUP($CP213,$CR$9:$CX$508,3,FALSE()))</f>
        <v/>
      </c>
      <c r="DB213" s="104" t="str">
        <f aca="false">IF($CP213&gt;$CO$8,"",VLOOKUP($CP213,$CR$9:$CX$508,4,FALSE()))</f>
        <v/>
      </c>
      <c r="DC213" s="104" t="str">
        <f aca="false">IF($CP213&gt;$CO$8,"",VLOOKUP($CP213,$CR$9:$CX$508,5,FALSE()))</f>
        <v/>
      </c>
      <c r="DD213" s="105" t="str">
        <f aca="false">IF($CP213&gt;$CO$8,"",VLOOKUP($CP213,$CR$9:$CX$508,6,FALSE()))</f>
        <v/>
      </c>
      <c r="DE213" s="70"/>
    </row>
    <row r="214" customFormat="false" ht="15.75" hidden="false" customHeight="false" outlineLevel="0" collapsed="false">
      <c r="A214" s="8"/>
      <c r="B214" s="72"/>
      <c r="C214" s="73"/>
      <c r="D214" s="155"/>
      <c r="E214" s="162"/>
      <c r="F214" s="157"/>
      <c r="G214" s="77"/>
      <c r="H214" s="77"/>
      <c r="I214" s="77"/>
      <c r="J214" s="163"/>
      <c r="K214" s="161"/>
      <c r="L214" s="161"/>
      <c r="M214" s="80"/>
      <c r="N214" s="161"/>
      <c r="O214" s="160"/>
      <c r="P214" s="161"/>
      <c r="Q214" s="161"/>
      <c r="R214" s="161"/>
      <c r="S214" s="77"/>
      <c r="T214" s="161"/>
      <c r="U214" s="160"/>
      <c r="V214" s="161"/>
      <c r="W214" s="85"/>
      <c r="X214" s="86" t="str">
        <f aca="false">IF(ISBLANK($C214),"",IF($E214=Constants!$B$2,TRUE(),IF($E214=Constants!$B$3,FALSE(),TRUE())))</f>
        <v/>
      </c>
      <c r="Y214" s="86" t="str">
        <f aca="false">IF(ISBLANK($C214),"",IF($F214=Constants!$B$2,TRUE(),IF($F214=Constants!$B$3,FALSE(),TRUE())))</f>
        <v/>
      </c>
      <c r="Z214" s="87" t="str">
        <f aca="false">IF(ISBLANK($C214),"",IF(ISNUMBER($G214),IF($G214&gt;=0,$G214,""),""))</f>
        <v/>
      </c>
      <c r="AA214" s="87" t="str">
        <f aca="false">IF(ISBLANK($C214),"",IF(ISNUMBER($H214),IF($H214&gt;=0,$H214,""),""))</f>
        <v/>
      </c>
      <c r="AB214" s="87" t="str">
        <f aca="false">IF(ISBLANK($C214),"",IF(ISNUMBER($I214),IF($I214&gt;=0,$I214,""),""))</f>
        <v/>
      </c>
      <c r="AC214" s="86" t="str">
        <f aca="false">IF(ISBLANK($C214),"",IF($J214=Constants!$B$2,TRUE(),IF($J214=Constants!$B$3,FALSE(),TRUE())))</f>
        <v/>
      </c>
      <c r="AD214" s="86" t="str">
        <f aca="false">IF(ISBLANK($C214),"",IF($K214=Constants!$B$2,TRUE(),IF($K214=Constants!$B$3,FALSE(),TRUE())))</f>
        <v/>
      </c>
      <c r="AE214" s="86" t="str">
        <f aca="false">IF(ISBLANK($C214),"",IF($L214=Constants!$B$2,TRUE(),IF($L214=Constants!$B$3,FALSE(),TRUE())))</f>
        <v/>
      </c>
      <c r="AF214" s="88" t="str">
        <f aca="false">IF(ISBLANK($C214),"",IF(ISNUMBER($M214),IF($M214&gt;=0,$M214,""),""))</f>
        <v/>
      </c>
      <c r="AG214" s="86" t="str">
        <f aca="false">IF(ISBLANK($C214),"",IF(ISBLANK($N214),0,IF(ISNUMBER($N214),IF(AND($N214&gt;=0,$N214&lt;=Constants!$B$17,$N214=INT($N214)),$N214,""),"")))</f>
        <v/>
      </c>
      <c r="AH214" s="87" t="str">
        <f aca="false">IF(ISBLANK($C214),"",IF(ISBLANK($O214),0,IF(ISNUMBER($O214),IF($O214&gt;=0,$O214,""),"")))</f>
        <v/>
      </c>
      <c r="AI214" s="86" t="str">
        <f aca="false">IF(ISBLANK($C214),"",IF($P214=Constants!$B$2,TRUE(),IF($P214=Constants!$B$3,FALSE(),TRUE())))</f>
        <v/>
      </c>
      <c r="AJ214" s="86" t="str">
        <f aca="false">IF(ISBLANK($C214),"",IF($Q214=Constants!$B$2,TRUE(),IF($Q214=Constants!$B$3,FALSE(),TRUE())))</f>
        <v/>
      </c>
      <c r="AK214" s="86" t="str">
        <f aca="false">IF(ISBLANK($C214),"",IF($R214=Constants!$B$2,TRUE(),IF($R214=Constants!$B$3,FALSE(),TRUE())))</f>
        <v/>
      </c>
      <c r="AL214" s="88" t="str">
        <f aca="false">IF(ISBLANK($C214),"",IF(ISNUMBER($S214),IF($S214&gt;=0,$S214,""),""))</f>
        <v/>
      </c>
      <c r="AM214" s="86" t="str">
        <f aca="false">IF(ISBLANK($C214),"",IF(ISBLANK($T214),0,IF(ISNUMBER($T214),IF(AND($T214&gt;=0,$T214&lt;=Constants!$B$17,$T214=INT($T214)),$T214,""),"")))</f>
        <v/>
      </c>
      <c r="AN214" s="87" t="str">
        <f aca="false">IF(ISBLANK($C214),"",IF(ISBLANK($U214),0,IF(ISNUMBER($U214),IF($U214&gt;=0,$U214,""),"")))</f>
        <v/>
      </c>
      <c r="AO214" s="86" t="str">
        <f aca="false">IF(ISBLANK($C214),"",IF($V214=Constants!$B$2,TRUE(),IF($V214=Constants!$B$3,FALSE(),FALSE())))</f>
        <v/>
      </c>
      <c r="AP214" s="86"/>
      <c r="AQ214" s="85" t="str">
        <f aca="false">IF(ISBLANK($C214),"",AND($Y214,OR($AS214,$BC214),OR($Z214="",$AA214="",$AB214="")))</f>
        <v/>
      </c>
      <c r="AR214" s="85" t="str">
        <f aca="false">IF(ISBLANK($C214),"",IF(OR(NOT($Y214),NOT(OR($AS214,$BC214))),"",IF(ISBLANK($D$7),$AR$5,IF($AP$9="",$AR$6,""))))</f>
        <v/>
      </c>
      <c r="AS214" s="85" t="str">
        <f aca="false">IF(ISBLANK($C214),"",COUNTA($J214:$O214)&gt;0)</f>
        <v/>
      </c>
      <c r="AT214" s="85" t="str">
        <f aca="false">IF(ISBLANK($C214),"",AND($AS214,OR(AND($AF214="",OR($AE214,NOT(ISBLANK($M214)))),$AG214="",$AH214="")))</f>
        <v/>
      </c>
      <c r="AU214" s="87" t="str">
        <f aca="false">IF($BL214&lt;&gt;Constants!$B$4,"",IF(NOT($AS214),"",ROUND((Constants!$B$12-$AB214)+(Constants!$B$13-$Z214)+(Constants!$B$14-$AA214),1)))</f>
        <v/>
      </c>
      <c r="AV214" s="90" t="str">
        <f aca="false">IF($BL214&lt;&gt;Constants!$B$4,"",IF(NOT($AS214),"",IF(NOT($AE214),0,Constants!$B$15*(INT(ROUND(MIN($AF214,$AP$9),6))-INT(ROUND(MAX(0,MIN($AF214,2*$AP$9)-$AP$9),6))))))</f>
        <v/>
      </c>
      <c r="AW214" s="90" t="str">
        <f aca="false">IF($BL214&lt;&gt;Constants!$B$4,"",IF(NOT($AS214),"",Constants!$B$16*$AG214))</f>
        <v/>
      </c>
      <c r="AX214" s="90" t="str">
        <f aca="false">IF($BL214&lt;&gt;Constants!$B$4,"",IF(NOT($AS214),"",Constants!$B$18*INT(ROUND($AH214,6))))</f>
        <v/>
      </c>
      <c r="AY214" s="85" t="str">
        <f aca="false">IF($BL214&lt;&gt;Constants!$B$4,"",IF(NOT($AS214),"",IF(NOT($X214),Constants!$B$11,IF(OR(NOT($AC214),NOT($AD214),ROUND($AB214,1)&gt;Constants!$B$12,ROUND($Z214,1)&gt;Constants!$B$13,ROUND($AA214,1)&gt;Constants!$B$14),Constants!$B$10,Constants!$B$9))))</f>
        <v/>
      </c>
      <c r="AZ214" s="91" t="str">
        <f aca="false">IF($BL214&lt;&gt;Constants!$B$4,"",IF(NOT($AS214),"",ROUND($AU214+$AV214+$AW214+$AX214,1)))</f>
        <v/>
      </c>
      <c r="BA214" s="92" t="str">
        <f aca="false">IF($BL214&lt;&gt;Constants!$B$4,"",IF(NOT($AS214),"",IF(ISNUMBER($AF214),$AF214,0)))</f>
        <v/>
      </c>
      <c r="BB214" s="86" t="str">
        <f aca="false">IF($BL214&lt;&gt;Constants!$B$4,"",IF(NOT($BC214),"&lt;-",IF(NOT($AS214),"-&gt;",IF(OR($BI214&lt;$AY214,AND($BI214=$AY214,OR($BJ214&gt;$AZ214,AND($BJ214=$AZ214,OR($BH214&gt;$AX214,AND($BH214=$AX214,OR($BE214&gt;$AU214,AND($BE214=$AU214,OR($BF214&gt;$AV214,AND($BF214=$AV214,$BK214&gt;$BA214)))))))))),"-&gt;","&lt;-"))))</f>
        <v/>
      </c>
      <c r="BC214" s="85" t="str">
        <f aca="false">IF(ISBLANK($C214),"",COUNTA($P214:$U214)&gt;0)</f>
        <v/>
      </c>
      <c r="BD214" s="85" t="str">
        <f aca="false">IF(ISBLANK($C214),"",AND($BC214,OR(AND($AL214="",OR($AK214,NOT(ISBLANK($S214)))),$AM214="",$AN214="")))</f>
        <v/>
      </c>
      <c r="BE214" s="87" t="str">
        <f aca="false">IF($BL214&lt;&gt;Constants!$B$4,"",IF(NOT($BC214),"",ROUND((Constants!$B$12-$AB214)+(Constants!$B$13-$Z214)+(Constants!$B$14-$AA214),1)))</f>
        <v/>
      </c>
      <c r="BF214" s="90" t="str">
        <f aca="false">IF($BL214&lt;&gt;Constants!$B$4,"",IF(NOT($BC214),"",IF(NOT($AK214),0,Constants!$B$15*(INT(ROUND(MIN($AL214,$AP$9),6))-INT(ROUND(MAX(0,MIN($AL214,2*$AP$9)-$AP$9),6))))))</f>
        <v/>
      </c>
      <c r="BG214" s="90" t="str">
        <f aca="false">IF($BL214&lt;&gt;Constants!$B$4,"",IF(NOT($BC214),"",Constants!$B$16*$AM214))</f>
        <v/>
      </c>
      <c r="BH214" s="90" t="str">
        <f aca="false">IF($BL214&lt;&gt;Constants!$B$4,"",IF(NOT($BC214),"",Constants!$B$18*INT(ROUND($AN214,6))))</f>
        <v/>
      </c>
      <c r="BI214" s="85" t="str">
        <f aca="false">IF($BL214&lt;&gt;Constants!$B$4,"",IF(NOT($BC214),"",IF(NOT($X214),Constants!$B$11,IF(OR(NOT($AI214),NOT($AJ214),ROUND($AB214,1)&gt;Constants!$B$12,ROUND($Z214,1)&gt;Constants!$B$13,ROUND($AA214,1)&gt;Constants!$B$14),Constants!$B$10,Constants!$B$9))))</f>
        <v/>
      </c>
      <c r="BJ214" s="91" t="str">
        <f aca="false">IF($BL214&lt;&gt;Constants!$B$4,"",IF(NOT($BC214),"",ROUND($BE214+$BF214+$BG214+$BH214,1)))</f>
        <v/>
      </c>
      <c r="BK214" s="92" t="str">
        <f aca="false">IF($BL214&lt;&gt;Constants!$B$4,"",IF(NOT($BC214),"",IF(ISNUMBER($AL214),$AL214,0)))</f>
        <v/>
      </c>
      <c r="BL214" s="86" t="str">
        <f aca="false">IF(ISBLANK($C214),"",IF($AO214,Constants!$B$7,IF(COUNTA($E214:$V214)=0,Constants!$B$6,IF(NOT($Y214),Constants!$B$5,IF(NOT(OR($AS214,$BC214)),Constants!$B$5,IF(OR($AT214,$BD214,$AQ214,$AR214&lt;&gt;""),Constants!$B$8,Constants!$B$4))))))</f>
        <v/>
      </c>
      <c r="BM214" s="86" t="str">
        <f aca="false">IF(ISBLANK($C214),"",IF($BL214&lt;&gt;Constants!$B$4,$BL214,IF($BB214="-&gt;",$BI214,$AY214)))</f>
        <v/>
      </c>
      <c r="BN214" s="90" t="str">
        <f aca="false">IF($BL214&lt;&gt;Constants!$B$4,"",IF($BB214="-&gt;",$BJ214,$AZ214))</f>
        <v/>
      </c>
      <c r="BO214" s="90" t="str">
        <f aca="false">IF(ISBLANK($C214),"",IF($BL214&lt;&gt;Constants!$B$4,$BL214,$BN214))</f>
        <v/>
      </c>
      <c r="BP214" s="86" t="str">
        <f aca="false">IF(ISBLANK($C214),"",IF($BL214&lt;&gt;Constants!$B$4,$BL214,RANK($BO214,$BO$9:$BO$508,0)))</f>
        <v/>
      </c>
      <c r="BQ214" s="86" t="str">
        <f aca="false">IF(ISBLANK($C214),"",IF($BL214&lt;&gt;Constants!$B$4,$BL214,COUNTIFS($BM$9:$BM$508,"&lt;"&amp;$BM214)+COUNTIFS($BM$9:$BM$508,$BM214,$BP$9:$BP$508,"&lt;"&amp;$BP214)+1))</f>
        <v/>
      </c>
      <c r="BR214" s="90" t="str">
        <f aca="false">IF($BL214&lt;&gt;Constants!$B$4,"",IF($BB214="-&gt;",$BH214,$AX214))</f>
        <v/>
      </c>
      <c r="BS214" s="86" t="str">
        <f aca="false">IF(ISBLANK($C214),"",IF($BL214&lt;&gt;Constants!$B$4,$BL214,IF(ISNUMBER($BR214),RANK($BR214,$BR$9:$BR$508,0),COUNT($BR$9:$BR$508)+1)))</f>
        <v/>
      </c>
      <c r="BT214" s="90" t="str">
        <f aca="false">IF($BL214&lt;&gt;Constants!$B$4,"",IF($BB214="-&gt;",$BE214,$AU214))</f>
        <v/>
      </c>
      <c r="BU214" s="86" t="str">
        <f aca="false">IF(ISBLANK($C214),"",IF($BL214&lt;&gt;Constants!$B$4,$BL214,IF(ISNUMBER($BT214),RANK($BT214,$BT$9:$BT$508,0),COUNT($BT$9:$BT$508)+1)))</f>
        <v/>
      </c>
      <c r="BV214" s="90" t="str">
        <f aca="false">IF($BL214&lt;&gt;Constants!$B$4,"",IF($BB214="-&gt;",$BF214,$AV214))</f>
        <v/>
      </c>
      <c r="BW214" s="86" t="str">
        <f aca="false">IF(ISBLANK($C214),"",IF($BL214&lt;&gt;Constants!$B$4,$BL214,IF(ISNUMBER($BV214),RANK($BV214,$BV$9:$BV$508,0),COUNT($BV$9:$BV$508)+1)))</f>
        <v/>
      </c>
      <c r="BX214" s="90" t="str">
        <f aca="false">IF($BL214&lt;&gt;Constants!$B$4,"",IF($BB214="-&gt;",$BK214,$BA214))</f>
        <v/>
      </c>
      <c r="BY214" s="86" t="str">
        <f aca="false">IF(ISBLANK($C214),"",IF($BL214&lt;&gt;Constants!$B$4,$BL214,IF(ISNUMBER($BX214),RANK($BX214,$BX$9:$BX$508,0),COUNT($BX$9:$BX$508)+1)))</f>
        <v/>
      </c>
      <c r="BZ214" s="86" t="str">
        <f aca="false">IF(ISBLANK($C214),"",IF($BL214&lt;&gt;Constants!$B$4,$BL214,COUNTIFS($BM$9:$BM$508,"&lt;"&amp;$BM214)+COUNTIFS($BM$9:$BM$508,$BM214,$BP$9:$BP$508,"&lt;"&amp;$BP214)+COUNTIFS($BM$9:$BM$508,$BM214,$BP$9:$BP$508,$BP214,$BS$9:$BS$508,"&lt;"&amp;$BS214)+COUNTIFS($BM$9:$BM$508,$BM214,$BP$9:$BP$508,$BP214,$BS$9:$BS$508,$BS214,$BU$9:$BU$508,"&lt;"&amp;$BU214)+COUNTIFS($BM$9:$BM$508,$BM214,$BP$9:$BP$508,$BP214,$BS$9:$BS$508,$BS214,$BU$9:$BU$508,$BU214,$BW$9:$BW$508,"&lt;"&amp;$BW214)+COUNTIFS($BM$9:$BM$508,$BM214,$BP$9:$BP$508,$BP214,$BS$9:$BS$508,$BS214,$BU$9:$BU$508,$BU214,$BW$9:$BW$508,$BW214,$BY$9:$BY$508,"&lt;"&amp;$BY214)+1))</f>
        <v/>
      </c>
      <c r="CA214" s="86" t="str">
        <f aca="false">IF(ISBLANK($C214),"",IF($BL214&lt;&gt;Constants!$B$4,$BL214,$BQ214-$BZ214))</f>
        <v/>
      </c>
      <c r="CB214" s="93"/>
      <c r="CC214" s="94" t="str">
        <f aca="false">IF(ISBLANK($C214),"",IF($BL214=Constants!$B$8,$AR214,""))</f>
        <v/>
      </c>
      <c r="CD214" s="94" t="str">
        <f aca="false">IF(ISBLANK($C214),"",IF($BL214&lt;&gt;Constants!$B$4,"",IF($BB214="-&gt;",2,1)))</f>
        <v/>
      </c>
      <c r="CE214" s="95" t="str">
        <f aca="false">IF(ISBLANK($C214),"",IF($BL214&lt;&gt;Constants!$B$4,"",IF($BB214="-&gt;",$BE214,$AU214)))</f>
        <v/>
      </c>
      <c r="CF214" s="95" t="str">
        <f aca="false">IF(ISBLANK($C214),"",IF($BL214&lt;&gt;Constants!$B$4,"",IF($BB214="-&gt;",$BF214,$AV214)))</f>
        <v/>
      </c>
      <c r="CG214" s="95" t="str">
        <f aca="false">IF(ISBLANK($C214),"",IF($BL214&lt;&gt;Constants!$B$4,"",IF($BB214="-&gt;",$BG214,$AW214)))</f>
        <v/>
      </c>
      <c r="CH214" s="95" t="str">
        <f aca="false">IF(ISBLANK($C214),"",IF($BL214&lt;&gt;Constants!$B$4,"",IF($BB214="-&gt;",$BH214,$AX214)))</f>
        <v/>
      </c>
      <c r="CI214" s="96" t="str">
        <f aca="false">IF(ISBLANK($C214),"",$BO214)</f>
        <v/>
      </c>
      <c r="CJ214" s="97" t="str">
        <f aca="false">IF(ISBLANK($C214),"",$BM214)</f>
        <v/>
      </c>
      <c r="CK214" s="98" t="str">
        <f aca="false">IF(ISBLANK($C214),"",$CA214)</f>
        <v/>
      </c>
      <c r="CL214" s="98" t="str">
        <f aca="false">IF(ISBLANK($C214),"",$BZ214)</f>
        <v/>
      </c>
      <c r="CM214" s="99" t="str">
        <f aca="false">IF(ISBLANK($C214),"",IF($CL214=Constants!$B$7,COUNTA($C$9:$C$508)+2,IF($CL214=Constants!$B$6,COUNTA($C$9:$C$508)+1,IF($CL214=Constants!$B$5,COUNTA($C$9:$C$508),$CL214))))</f>
        <v/>
      </c>
      <c r="CN214" s="8"/>
      <c r="CO214" s="100" t="n">
        <f aca="false">IF(OR(ISNUMBER($CL214),$CL214=Constants!$B$7,$CL214=Constants!$B$5,$CL214=Constants!$B$6),1,0)</f>
        <v>0</v>
      </c>
      <c r="CP214" s="100" t="n">
        <v>206</v>
      </c>
      <c r="CQ214" s="100" t="str">
        <f aca="false">IF(ISBLANK($C214),"",IF(ISNUMBER($CM214),$CM214+ROW($B214)/1000,""))</f>
        <v/>
      </c>
      <c r="CR214" s="100" t="str">
        <f aca="false">IF(ISNUMBER($CQ214),RANK($CQ214,$CQ$9:$CQ$508,1),"")</f>
        <v/>
      </c>
      <c r="CS214" s="100" t="str">
        <f aca="false">IF(ISBLANK($C214),"",$B214)</f>
        <v/>
      </c>
      <c r="CT214" s="100" t="str">
        <f aca="false">IF(ISBLANK($C214),"",$C214)</f>
        <v/>
      </c>
      <c r="CU214" s="100" t="str">
        <f aca="false">IF(ISBLANK($C214),"",$D214)</f>
        <v/>
      </c>
      <c r="CV214" s="101" t="str">
        <f aca="false">$CJ214</f>
        <v/>
      </c>
      <c r="CW214" s="102" t="str">
        <f aca="false">$CI214</f>
        <v/>
      </c>
      <c r="CX214" s="100" t="str">
        <f aca="false">IF(ISBLANK($C214),"",$CL214)</f>
        <v/>
      </c>
      <c r="CY214" s="103" t="str">
        <f aca="false">IF($CP214&gt;$CO$8,"",VLOOKUP($CP214,$CR$9:$CX$508,7,FALSE()))</f>
        <v/>
      </c>
      <c r="CZ214" s="104" t="str">
        <f aca="false">IF($CP214&gt;$CO$8,"",VLOOKUP($CP214,$CR$9:$CX$508,2,FALSE()))</f>
        <v/>
      </c>
      <c r="DA214" s="104" t="str">
        <f aca="false">IF($CP214&gt;$CO$8,"",VLOOKUP($CP214,$CR$9:$CX$508,3,FALSE()))</f>
        <v/>
      </c>
      <c r="DB214" s="104" t="str">
        <f aca="false">IF($CP214&gt;$CO$8,"",VLOOKUP($CP214,$CR$9:$CX$508,4,FALSE()))</f>
        <v/>
      </c>
      <c r="DC214" s="104" t="str">
        <f aca="false">IF($CP214&gt;$CO$8,"",VLOOKUP($CP214,$CR$9:$CX$508,5,FALSE()))</f>
        <v/>
      </c>
      <c r="DD214" s="105" t="str">
        <f aca="false">IF($CP214&gt;$CO$8,"",VLOOKUP($CP214,$CR$9:$CX$508,6,FALSE()))</f>
        <v/>
      </c>
      <c r="DE214" s="70"/>
    </row>
    <row r="215" customFormat="false" ht="15.75" hidden="false" customHeight="false" outlineLevel="0" collapsed="false">
      <c r="A215" s="8"/>
      <c r="B215" s="72"/>
      <c r="C215" s="73"/>
      <c r="D215" s="155"/>
      <c r="E215" s="162"/>
      <c r="F215" s="157"/>
      <c r="G215" s="77"/>
      <c r="H215" s="77"/>
      <c r="I215" s="77"/>
      <c r="J215" s="163"/>
      <c r="K215" s="161"/>
      <c r="L215" s="161"/>
      <c r="M215" s="80"/>
      <c r="N215" s="161"/>
      <c r="O215" s="160"/>
      <c r="P215" s="161"/>
      <c r="Q215" s="161"/>
      <c r="R215" s="161"/>
      <c r="S215" s="77"/>
      <c r="T215" s="161"/>
      <c r="U215" s="160"/>
      <c r="V215" s="161"/>
      <c r="W215" s="85"/>
      <c r="X215" s="86" t="str">
        <f aca="false">IF(ISBLANK($C215),"",IF($E215=Constants!$B$2,TRUE(),IF($E215=Constants!$B$3,FALSE(),TRUE())))</f>
        <v/>
      </c>
      <c r="Y215" s="86" t="str">
        <f aca="false">IF(ISBLANK($C215),"",IF($F215=Constants!$B$2,TRUE(),IF($F215=Constants!$B$3,FALSE(),TRUE())))</f>
        <v/>
      </c>
      <c r="Z215" s="87" t="str">
        <f aca="false">IF(ISBLANK($C215),"",IF(ISNUMBER($G215),IF($G215&gt;=0,$G215,""),""))</f>
        <v/>
      </c>
      <c r="AA215" s="87" t="str">
        <f aca="false">IF(ISBLANK($C215),"",IF(ISNUMBER($H215),IF($H215&gt;=0,$H215,""),""))</f>
        <v/>
      </c>
      <c r="AB215" s="87" t="str">
        <f aca="false">IF(ISBLANK($C215),"",IF(ISNUMBER($I215),IF($I215&gt;=0,$I215,""),""))</f>
        <v/>
      </c>
      <c r="AC215" s="86" t="str">
        <f aca="false">IF(ISBLANK($C215),"",IF($J215=Constants!$B$2,TRUE(),IF($J215=Constants!$B$3,FALSE(),TRUE())))</f>
        <v/>
      </c>
      <c r="AD215" s="86" t="str">
        <f aca="false">IF(ISBLANK($C215),"",IF($K215=Constants!$B$2,TRUE(),IF($K215=Constants!$B$3,FALSE(),TRUE())))</f>
        <v/>
      </c>
      <c r="AE215" s="86" t="str">
        <f aca="false">IF(ISBLANK($C215),"",IF($L215=Constants!$B$2,TRUE(),IF($L215=Constants!$B$3,FALSE(),TRUE())))</f>
        <v/>
      </c>
      <c r="AF215" s="88" t="str">
        <f aca="false">IF(ISBLANK($C215),"",IF(ISNUMBER($M215),IF($M215&gt;=0,$M215,""),""))</f>
        <v/>
      </c>
      <c r="AG215" s="86" t="str">
        <f aca="false">IF(ISBLANK($C215),"",IF(ISBLANK($N215),0,IF(ISNUMBER($N215),IF(AND($N215&gt;=0,$N215&lt;=Constants!$B$17,$N215=INT($N215)),$N215,""),"")))</f>
        <v/>
      </c>
      <c r="AH215" s="87" t="str">
        <f aca="false">IF(ISBLANK($C215),"",IF(ISBLANK($O215),0,IF(ISNUMBER($O215),IF($O215&gt;=0,$O215,""),"")))</f>
        <v/>
      </c>
      <c r="AI215" s="86" t="str">
        <f aca="false">IF(ISBLANK($C215),"",IF($P215=Constants!$B$2,TRUE(),IF($P215=Constants!$B$3,FALSE(),TRUE())))</f>
        <v/>
      </c>
      <c r="AJ215" s="86" t="str">
        <f aca="false">IF(ISBLANK($C215),"",IF($Q215=Constants!$B$2,TRUE(),IF($Q215=Constants!$B$3,FALSE(),TRUE())))</f>
        <v/>
      </c>
      <c r="AK215" s="86" t="str">
        <f aca="false">IF(ISBLANK($C215),"",IF($R215=Constants!$B$2,TRUE(),IF($R215=Constants!$B$3,FALSE(),TRUE())))</f>
        <v/>
      </c>
      <c r="AL215" s="88" t="str">
        <f aca="false">IF(ISBLANK($C215),"",IF(ISNUMBER($S215),IF($S215&gt;=0,$S215,""),""))</f>
        <v/>
      </c>
      <c r="AM215" s="86" t="str">
        <f aca="false">IF(ISBLANK($C215),"",IF(ISBLANK($T215),0,IF(ISNUMBER($T215),IF(AND($T215&gt;=0,$T215&lt;=Constants!$B$17,$T215=INT($T215)),$T215,""),"")))</f>
        <v/>
      </c>
      <c r="AN215" s="87" t="str">
        <f aca="false">IF(ISBLANK($C215),"",IF(ISBLANK($U215),0,IF(ISNUMBER($U215),IF($U215&gt;=0,$U215,""),"")))</f>
        <v/>
      </c>
      <c r="AO215" s="86" t="str">
        <f aca="false">IF(ISBLANK($C215),"",IF($V215=Constants!$B$2,TRUE(),IF($V215=Constants!$B$3,FALSE(),FALSE())))</f>
        <v/>
      </c>
      <c r="AP215" s="86"/>
      <c r="AQ215" s="85" t="str">
        <f aca="false">IF(ISBLANK($C215),"",AND($Y215,OR($AS215,$BC215),OR($Z215="",$AA215="",$AB215="")))</f>
        <v/>
      </c>
      <c r="AR215" s="85" t="str">
        <f aca="false">IF(ISBLANK($C215),"",IF(OR(NOT($Y215),NOT(OR($AS215,$BC215))),"",IF(ISBLANK($D$7),$AR$5,IF($AP$9="",$AR$6,""))))</f>
        <v/>
      </c>
      <c r="AS215" s="85" t="str">
        <f aca="false">IF(ISBLANK($C215),"",COUNTA($J215:$O215)&gt;0)</f>
        <v/>
      </c>
      <c r="AT215" s="85" t="str">
        <f aca="false">IF(ISBLANK($C215),"",AND($AS215,OR(AND($AF215="",OR($AE215,NOT(ISBLANK($M215)))),$AG215="",$AH215="")))</f>
        <v/>
      </c>
      <c r="AU215" s="87" t="str">
        <f aca="false">IF($BL215&lt;&gt;Constants!$B$4,"",IF(NOT($AS215),"",ROUND((Constants!$B$12-$AB215)+(Constants!$B$13-$Z215)+(Constants!$B$14-$AA215),1)))</f>
        <v/>
      </c>
      <c r="AV215" s="90" t="str">
        <f aca="false">IF($BL215&lt;&gt;Constants!$B$4,"",IF(NOT($AS215),"",IF(NOT($AE215),0,Constants!$B$15*(INT(ROUND(MIN($AF215,$AP$9),6))-INT(ROUND(MAX(0,MIN($AF215,2*$AP$9)-$AP$9),6))))))</f>
        <v/>
      </c>
      <c r="AW215" s="90" t="str">
        <f aca="false">IF($BL215&lt;&gt;Constants!$B$4,"",IF(NOT($AS215),"",Constants!$B$16*$AG215))</f>
        <v/>
      </c>
      <c r="AX215" s="90" t="str">
        <f aca="false">IF($BL215&lt;&gt;Constants!$B$4,"",IF(NOT($AS215),"",Constants!$B$18*INT(ROUND($AH215,6))))</f>
        <v/>
      </c>
      <c r="AY215" s="85" t="str">
        <f aca="false">IF($BL215&lt;&gt;Constants!$B$4,"",IF(NOT($AS215),"",IF(NOT($X215),Constants!$B$11,IF(OR(NOT($AC215),NOT($AD215),ROUND($AB215,1)&gt;Constants!$B$12,ROUND($Z215,1)&gt;Constants!$B$13,ROUND($AA215,1)&gt;Constants!$B$14),Constants!$B$10,Constants!$B$9))))</f>
        <v/>
      </c>
      <c r="AZ215" s="91" t="str">
        <f aca="false">IF($BL215&lt;&gt;Constants!$B$4,"",IF(NOT($AS215),"",ROUND($AU215+$AV215+$AW215+$AX215,1)))</f>
        <v/>
      </c>
      <c r="BA215" s="92" t="str">
        <f aca="false">IF($BL215&lt;&gt;Constants!$B$4,"",IF(NOT($AS215),"",IF(ISNUMBER($AF215),$AF215,0)))</f>
        <v/>
      </c>
      <c r="BB215" s="86" t="str">
        <f aca="false">IF($BL215&lt;&gt;Constants!$B$4,"",IF(NOT($BC215),"&lt;-",IF(NOT($AS215),"-&gt;",IF(OR($BI215&lt;$AY215,AND($BI215=$AY215,OR($BJ215&gt;$AZ215,AND($BJ215=$AZ215,OR($BH215&gt;$AX215,AND($BH215=$AX215,OR($BE215&gt;$AU215,AND($BE215=$AU215,OR($BF215&gt;$AV215,AND($BF215=$AV215,$BK215&gt;$BA215)))))))))),"-&gt;","&lt;-"))))</f>
        <v/>
      </c>
      <c r="BC215" s="85" t="str">
        <f aca="false">IF(ISBLANK($C215),"",COUNTA($P215:$U215)&gt;0)</f>
        <v/>
      </c>
      <c r="BD215" s="85" t="str">
        <f aca="false">IF(ISBLANK($C215),"",AND($BC215,OR(AND($AL215="",OR($AK215,NOT(ISBLANK($S215)))),$AM215="",$AN215="")))</f>
        <v/>
      </c>
      <c r="BE215" s="87" t="str">
        <f aca="false">IF($BL215&lt;&gt;Constants!$B$4,"",IF(NOT($BC215),"",ROUND((Constants!$B$12-$AB215)+(Constants!$B$13-$Z215)+(Constants!$B$14-$AA215),1)))</f>
        <v/>
      </c>
      <c r="BF215" s="90" t="str">
        <f aca="false">IF($BL215&lt;&gt;Constants!$B$4,"",IF(NOT($BC215),"",IF(NOT($AK215),0,Constants!$B$15*(INT(ROUND(MIN($AL215,$AP$9),6))-INT(ROUND(MAX(0,MIN($AL215,2*$AP$9)-$AP$9),6))))))</f>
        <v/>
      </c>
      <c r="BG215" s="90" t="str">
        <f aca="false">IF($BL215&lt;&gt;Constants!$B$4,"",IF(NOT($BC215),"",Constants!$B$16*$AM215))</f>
        <v/>
      </c>
      <c r="BH215" s="90" t="str">
        <f aca="false">IF($BL215&lt;&gt;Constants!$B$4,"",IF(NOT($BC215),"",Constants!$B$18*INT(ROUND($AN215,6))))</f>
        <v/>
      </c>
      <c r="BI215" s="85" t="str">
        <f aca="false">IF($BL215&lt;&gt;Constants!$B$4,"",IF(NOT($BC215),"",IF(NOT($X215),Constants!$B$11,IF(OR(NOT($AI215),NOT($AJ215),ROUND($AB215,1)&gt;Constants!$B$12,ROUND($Z215,1)&gt;Constants!$B$13,ROUND($AA215,1)&gt;Constants!$B$14),Constants!$B$10,Constants!$B$9))))</f>
        <v/>
      </c>
      <c r="BJ215" s="91" t="str">
        <f aca="false">IF($BL215&lt;&gt;Constants!$B$4,"",IF(NOT($BC215),"",ROUND($BE215+$BF215+$BG215+$BH215,1)))</f>
        <v/>
      </c>
      <c r="BK215" s="92" t="str">
        <f aca="false">IF($BL215&lt;&gt;Constants!$B$4,"",IF(NOT($BC215),"",IF(ISNUMBER($AL215),$AL215,0)))</f>
        <v/>
      </c>
      <c r="BL215" s="86" t="str">
        <f aca="false">IF(ISBLANK($C215),"",IF($AO215,Constants!$B$7,IF(COUNTA($E215:$V215)=0,Constants!$B$6,IF(NOT($Y215),Constants!$B$5,IF(NOT(OR($AS215,$BC215)),Constants!$B$5,IF(OR($AT215,$BD215,$AQ215,$AR215&lt;&gt;""),Constants!$B$8,Constants!$B$4))))))</f>
        <v/>
      </c>
      <c r="BM215" s="86" t="str">
        <f aca="false">IF(ISBLANK($C215),"",IF($BL215&lt;&gt;Constants!$B$4,$BL215,IF($BB215="-&gt;",$BI215,$AY215)))</f>
        <v/>
      </c>
      <c r="BN215" s="90" t="str">
        <f aca="false">IF($BL215&lt;&gt;Constants!$B$4,"",IF($BB215="-&gt;",$BJ215,$AZ215))</f>
        <v/>
      </c>
      <c r="BO215" s="90" t="str">
        <f aca="false">IF(ISBLANK($C215),"",IF($BL215&lt;&gt;Constants!$B$4,$BL215,$BN215))</f>
        <v/>
      </c>
      <c r="BP215" s="86" t="str">
        <f aca="false">IF(ISBLANK($C215),"",IF($BL215&lt;&gt;Constants!$B$4,$BL215,RANK($BO215,$BO$9:$BO$508,0)))</f>
        <v/>
      </c>
      <c r="BQ215" s="86" t="str">
        <f aca="false">IF(ISBLANK($C215),"",IF($BL215&lt;&gt;Constants!$B$4,$BL215,COUNTIFS($BM$9:$BM$508,"&lt;"&amp;$BM215)+COUNTIFS($BM$9:$BM$508,$BM215,$BP$9:$BP$508,"&lt;"&amp;$BP215)+1))</f>
        <v/>
      </c>
      <c r="BR215" s="90" t="str">
        <f aca="false">IF($BL215&lt;&gt;Constants!$B$4,"",IF($BB215="-&gt;",$BH215,$AX215))</f>
        <v/>
      </c>
      <c r="BS215" s="86" t="str">
        <f aca="false">IF(ISBLANK($C215),"",IF($BL215&lt;&gt;Constants!$B$4,$BL215,IF(ISNUMBER($BR215),RANK($BR215,$BR$9:$BR$508,0),COUNT($BR$9:$BR$508)+1)))</f>
        <v/>
      </c>
      <c r="BT215" s="90" t="str">
        <f aca="false">IF($BL215&lt;&gt;Constants!$B$4,"",IF($BB215="-&gt;",$BE215,$AU215))</f>
        <v/>
      </c>
      <c r="BU215" s="86" t="str">
        <f aca="false">IF(ISBLANK($C215),"",IF($BL215&lt;&gt;Constants!$B$4,$BL215,IF(ISNUMBER($BT215),RANK($BT215,$BT$9:$BT$508,0),COUNT($BT$9:$BT$508)+1)))</f>
        <v/>
      </c>
      <c r="BV215" s="90" t="str">
        <f aca="false">IF($BL215&lt;&gt;Constants!$B$4,"",IF($BB215="-&gt;",$BF215,$AV215))</f>
        <v/>
      </c>
      <c r="BW215" s="86" t="str">
        <f aca="false">IF(ISBLANK($C215),"",IF($BL215&lt;&gt;Constants!$B$4,$BL215,IF(ISNUMBER($BV215),RANK($BV215,$BV$9:$BV$508,0),COUNT($BV$9:$BV$508)+1)))</f>
        <v/>
      </c>
      <c r="BX215" s="90" t="str">
        <f aca="false">IF($BL215&lt;&gt;Constants!$B$4,"",IF($BB215="-&gt;",$BK215,$BA215))</f>
        <v/>
      </c>
      <c r="BY215" s="86" t="str">
        <f aca="false">IF(ISBLANK($C215),"",IF($BL215&lt;&gt;Constants!$B$4,$BL215,IF(ISNUMBER($BX215),RANK($BX215,$BX$9:$BX$508,0),COUNT($BX$9:$BX$508)+1)))</f>
        <v/>
      </c>
      <c r="BZ215" s="86" t="str">
        <f aca="false">IF(ISBLANK($C215),"",IF($BL215&lt;&gt;Constants!$B$4,$BL215,COUNTIFS($BM$9:$BM$508,"&lt;"&amp;$BM215)+COUNTIFS($BM$9:$BM$508,$BM215,$BP$9:$BP$508,"&lt;"&amp;$BP215)+COUNTIFS($BM$9:$BM$508,$BM215,$BP$9:$BP$508,$BP215,$BS$9:$BS$508,"&lt;"&amp;$BS215)+COUNTIFS($BM$9:$BM$508,$BM215,$BP$9:$BP$508,$BP215,$BS$9:$BS$508,$BS215,$BU$9:$BU$508,"&lt;"&amp;$BU215)+COUNTIFS($BM$9:$BM$508,$BM215,$BP$9:$BP$508,$BP215,$BS$9:$BS$508,$BS215,$BU$9:$BU$508,$BU215,$BW$9:$BW$508,"&lt;"&amp;$BW215)+COUNTIFS($BM$9:$BM$508,$BM215,$BP$9:$BP$508,$BP215,$BS$9:$BS$508,$BS215,$BU$9:$BU$508,$BU215,$BW$9:$BW$508,$BW215,$BY$9:$BY$508,"&lt;"&amp;$BY215)+1))</f>
        <v/>
      </c>
      <c r="CA215" s="86" t="str">
        <f aca="false">IF(ISBLANK($C215),"",IF($BL215&lt;&gt;Constants!$B$4,$BL215,$BQ215-$BZ215))</f>
        <v/>
      </c>
      <c r="CB215" s="93"/>
      <c r="CC215" s="94" t="str">
        <f aca="false">IF(ISBLANK($C215),"",IF($BL215=Constants!$B$8,$AR215,""))</f>
        <v/>
      </c>
      <c r="CD215" s="94" t="str">
        <f aca="false">IF(ISBLANK($C215),"",IF($BL215&lt;&gt;Constants!$B$4,"",IF($BB215="-&gt;",2,1)))</f>
        <v/>
      </c>
      <c r="CE215" s="95" t="str">
        <f aca="false">IF(ISBLANK($C215),"",IF($BL215&lt;&gt;Constants!$B$4,"",IF($BB215="-&gt;",$BE215,$AU215)))</f>
        <v/>
      </c>
      <c r="CF215" s="95" t="str">
        <f aca="false">IF(ISBLANK($C215),"",IF($BL215&lt;&gt;Constants!$B$4,"",IF($BB215="-&gt;",$BF215,$AV215)))</f>
        <v/>
      </c>
      <c r="CG215" s="95" t="str">
        <f aca="false">IF(ISBLANK($C215),"",IF($BL215&lt;&gt;Constants!$B$4,"",IF($BB215="-&gt;",$BG215,$AW215)))</f>
        <v/>
      </c>
      <c r="CH215" s="95" t="str">
        <f aca="false">IF(ISBLANK($C215),"",IF($BL215&lt;&gt;Constants!$B$4,"",IF($BB215="-&gt;",$BH215,$AX215)))</f>
        <v/>
      </c>
      <c r="CI215" s="96" t="str">
        <f aca="false">IF(ISBLANK($C215),"",$BO215)</f>
        <v/>
      </c>
      <c r="CJ215" s="97" t="str">
        <f aca="false">IF(ISBLANK($C215),"",$BM215)</f>
        <v/>
      </c>
      <c r="CK215" s="98" t="str">
        <f aca="false">IF(ISBLANK($C215),"",$CA215)</f>
        <v/>
      </c>
      <c r="CL215" s="98" t="str">
        <f aca="false">IF(ISBLANK($C215),"",$BZ215)</f>
        <v/>
      </c>
      <c r="CM215" s="99" t="str">
        <f aca="false">IF(ISBLANK($C215),"",IF($CL215=Constants!$B$7,COUNTA($C$9:$C$508)+2,IF($CL215=Constants!$B$6,COUNTA($C$9:$C$508)+1,IF($CL215=Constants!$B$5,COUNTA($C$9:$C$508),$CL215))))</f>
        <v/>
      </c>
      <c r="CN215" s="8"/>
      <c r="CO215" s="100" t="n">
        <f aca="false">IF(OR(ISNUMBER($CL215),$CL215=Constants!$B$7,$CL215=Constants!$B$5,$CL215=Constants!$B$6),1,0)</f>
        <v>0</v>
      </c>
      <c r="CP215" s="100" t="n">
        <v>207</v>
      </c>
      <c r="CQ215" s="100" t="str">
        <f aca="false">IF(ISBLANK($C215),"",IF(ISNUMBER($CM215),$CM215+ROW($B215)/1000,""))</f>
        <v/>
      </c>
      <c r="CR215" s="100" t="str">
        <f aca="false">IF(ISNUMBER($CQ215),RANK($CQ215,$CQ$9:$CQ$508,1),"")</f>
        <v/>
      </c>
      <c r="CS215" s="100" t="str">
        <f aca="false">IF(ISBLANK($C215),"",$B215)</f>
        <v/>
      </c>
      <c r="CT215" s="100" t="str">
        <f aca="false">IF(ISBLANK($C215),"",$C215)</f>
        <v/>
      </c>
      <c r="CU215" s="100" t="str">
        <f aca="false">IF(ISBLANK($C215),"",$D215)</f>
        <v/>
      </c>
      <c r="CV215" s="101" t="str">
        <f aca="false">$CJ215</f>
        <v/>
      </c>
      <c r="CW215" s="102" t="str">
        <f aca="false">$CI215</f>
        <v/>
      </c>
      <c r="CX215" s="100" t="str">
        <f aca="false">IF(ISBLANK($C215),"",$CL215)</f>
        <v/>
      </c>
      <c r="CY215" s="103" t="str">
        <f aca="false">IF($CP215&gt;$CO$8,"",VLOOKUP($CP215,$CR$9:$CX$508,7,FALSE()))</f>
        <v/>
      </c>
      <c r="CZ215" s="104" t="str">
        <f aca="false">IF($CP215&gt;$CO$8,"",VLOOKUP($CP215,$CR$9:$CX$508,2,FALSE()))</f>
        <v/>
      </c>
      <c r="DA215" s="104" t="str">
        <f aca="false">IF($CP215&gt;$CO$8,"",VLOOKUP($CP215,$CR$9:$CX$508,3,FALSE()))</f>
        <v/>
      </c>
      <c r="DB215" s="104" t="str">
        <f aca="false">IF($CP215&gt;$CO$8,"",VLOOKUP($CP215,$CR$9:$CX$508,4,FALSE()))</f>
        <v/>
      </c>
      <c r="DC215" s="104" t="str">
        <f aca="false">IF($CP215&gt;$CO$8,"",VLOOKUP($CP215,$CR$9:$CX$508,5,FALSE()))</f>
        <v/>
      </c>
      <c r="DD215" s="105" t="str">
        <f aca="false">IF($CP215&gt;$CO$8,"",VLOOKUP($CP215,$CR$9:$CX$508,6,FALSE()))</f>
        <v/>
      </c>
      <c r="DE215" s="70"/>
    </row>
    <row r="216" customFormat="false" ht="15.75" hidden="false" customHeight="false" outlineLevel="0" collapsed="false">
      <c r="A216" s="8"/>
      <c r="B216" s="146"/>
      <c r="C216" s="147"/>
      <c r="D216" s="148"/>
      <c r="E216" s="164"/>
      <c r="F216" s="150"/>
      <c r="G216" s="115"/>
      <c r="H216" s="115"/>
      <c r="I216" s="115"/>
      <c r="J216" s="165"/>
      <c r="K216" s="154"/>
      <c r="L216" s="154"/>
      <c r="M216" s="118"/>
      <c r="N216" s="154"/>
      <c r="O216" s="153"/>
      <c r="P216" s="154"/>
      <c r="Q216" s="154"/>
      <c r="R216" s="154"/>
      <c r="S216" s="115"/>
      <c r="T216" s="154"/>
      <c r="U216" s="153"/>
      <c r="V216" s="154"/>
      <c r="W216" s="123"/>
      <c r="X216" s="124" t="str">
        <f aca="false">IF(ISBLANK($C216),"",IF($E216=Constants!$B$2,TRUE(),IF($E216=Constants!$B$3,FALSE(),TRUE())))</f>
        <v/>
      </c>
      <c r="Y216" s="124" t="str">
        <f aca="false">IF(ISBLANK($C216),"",IF($F216=Constants!$B$2,TRUE(),IF($F216=Constants!$B$3,FALSE(),TRUE())))</f>
        <v/>
      </c>
      <c r="Z216" s="125" t="str">
        <f aca="false">IF(ISBLANK($C216),"",IF(ISNUMBER($G216),IF($G216&gt;=0,$G216,""),""))</f>
        <v/>
      </c>
      <c r="AA216" s="125" t="str">
        <f aca="false">IF(ISBLANK($C216),"",IF(ISNUMBER($H216),IF($H216&gt;=0,$H216,""),""))</f>
        <v/>
      </c>
      <c r="AB216" s="125" t="str">
        <f aca="false">IF(ISBLANK($C216),"",IF(ISNUMBER($I216),IF($I216&gt;=0,$I216,""),""))</f>
        <v/>
      </c>
      <c r="AC216" s="124" t="str">
        <f aca="false">IF(ISBLANK($C216),"",IF($J216=Constants!$B$2,TRUE(),IF($J216=Constants!$B$3,FALSE(),TRUE())))</f>
        <v/>
      </c>
      <c r="AD216" s="124" t="str">
        <f aca="false">IF(ISBLANK($C216),"",IF($K216=Constants!$B$2,TRUE(),IF($K216=Constants!$B$3,FALSE(),TRUE())))</f>
        <v/>
      </c>
      <c r="AE216" s="124" t="str">
        <f aca="false">IF(ISBLANK($C216),"",IF($L216=Constants!$B$2,TRUE(),IF($L216=Constants!$B$3,FALSE(),TRUE())))</f>
        <v/>
      </c>
      <c r="AF216" s="126" t="str">
        <f aca="false">IF(ISBLANK($C216),"",IF(ISNUMBER($M216),IF($M216&gt;=0,$M216,""),""))</f>
        <v/>
      </c>
      <c r="AG216" s="124" t="str">
        <f aca="false">IF(ISBLANK($C216),"",IF(ISBLANK($N216),0,IF(ISNUMBER($N216),IF(AND($N216&gt;=0,$N216&lt;=Constants!$B$17,$N216=INT($N216)),$N216,""),"")))</f>
        <v/>
      </c>
      <c r="AH216" s="125" t="str">
        <f aca="false">IF(ISBLANK($C216),"",IF(ISBLANK($O216),0,IF(ISNUMBER($O216),IF($O216&gt;=0,$O216,""),"")))</f>
        <v/>
      </c>
      <c r="AI216" s="124" t="str">
        <f aca="false">IF(ISBLANK($C216),"",IF($P216=Constants!$B$2,TRUE(),IF($P216=Constants!$B$3,FALSE(),TRUE())))</f>
        <v/>
      </c>
      <c r="AJ216" s="124" t="str">
        <f aca="false">IF(ISBLANK($C216),"",IF($Q216=Constants!$B$2,TRUE(),IF($Q216=Constants!$B$3,FALSE(),TRUE())))</f>
        <v/>
      </c>
      <c r="AK216" s="124" t="str">
        <f aca="false">IF(ISBLANK($C216),"",IF($R216=Constants!$B$2,TRUE(),IF($R216=Constants!$B$3,FALSE(),TRUE())))</f>
        <v/>
      </c>
      <c r="AL216" s="126" t="str">
        <f aca="false">IF(ISBLANK($C216),"",IF(ISNUMBER($S216),IF($S216&gt;=0,$S216,""),""))</f>
        <v/>
      </c>
      <c r="AM216" s="124" t="str">
        <f aca="false">IF(ISBLANK($C216),"",IF(ISBLANK($T216),0,IF(ISNUMBER($T216),IF(AND($T216&gt;=0,$T216&lt;=Constants!$B$17,$T216=INT($T216)),$T216,""),"")))</f>
        <v/>
      </c>
      <c r="AN216" s="125" t="str">
        <f aca="false">IF(ISBLANK($C216),"",IF(ISBLANK($U216),0,IF(ISNUMBER($U216),IF($U216&gt;=0,$U216,""),"")))</f>
        <v/>
      </c>
      <c r="AO216" s="124" t="str">
        <f aca="false">IF(ISBLANK($C216),"",IF($V216=Constants!$B$2,TRUE(),IF($V216=Constants!$B$3,FALSE(),FALSE())))</f>
        <v/>
      </c>
      <c r="AP216" s="124"/>
      <c r="AQ216" s="123" t="str">
        <f aca="false">IF(ISBLANK($C216),"",AND($Y216,OR($AS216,$BC216),OR($Z216="",$AA216="",$AB216="")))</f>
        <v/>
      </c>
      <c r="AR216" s="123" t="str">
        <f aca="false">IF(ISBLANK($C216),"",IF(OR(NOT($Y216),NOT(OR($AS216,$BC216))),"",IF(ISBLANK($D$7),$AR$5,IF($AP$9="",$AR$6,""))))</f>
        <v/>
      </c>
      <c r="AS216" s="123" t="str">
        <f aca="false">IF(ISBLANK($C216),"",COUNTA($J216:$O216)&gt;0)</f>
        <v/>
      </c>
      <c r="AT216" s="123" t="str">
        <f aca="false">IF(ISBLANK($C216),"",AND($AS216,OR(AND($AF216="",OR($AE216,NOT(ISBLANK($M216)))),$AG216="",$AH216="")))</f>
        <v/>
      </c>
      <c r="AU216" s="125" t="str">
        <f aca="false">IF($BL216&lt;&gt;Constants!$B$4,"",IF(NOT($AS216),"",ROUND((Constants!$B$12-$AB216)+(Constants!$B$13-$Z216)+(Constants!$B$14-$AA216),1)))</f>
        <v/>
      </c>
      <c r="AV216" s="127" t="str">
        <f aca="false">IF($BL216&lt;&gt;Constants!$B$4,"",IF(NOT($AS216),"",IF(NOT($AE216),0,Constants!$B$15*(INT(ROUND(MIN($AF216,$AP$9),6))-INT(ROUND(MAX(0,MIN($AF216,2*$AP$9)-$AP$9),6))))))</f>
        <v/>
      </c>
      <c r="AW216" s="127" t="str">
        <f aca="false">IF($BL216&lt;&gt;Constants!$B$4,"",IF(NOT($AS216),"",Constants!$B$16*$AG216))</f>
        <v/>
      </c>
      <c r="AX216" s="127" t="str">
        <f aca="false">IF($BL216&lt;&gt;Constants!$B$4,"",IF(NOT($AS216),"",Constants!$B$18*INT(ROUND($AH216,6))))</f>
        <v/>
      </c>
      <c r="AY216" s="123" t="str">
        <f aca="false">IF($BL216&lt;&gt;Constants!$B$4,"",IF(NOT($AS216),"",IF(NOT($X216),Constants!$B$11,IF(OR(NOT($AC216),NOT($AD216),ROUND($AB216,1)&gt;Constants!$B$12,ROUND($Z216,1)&gt;Constants!$B$13,ROUND($AA216,1)&gt;Constants!$B$14),Constants!$B$10,Constants!$B$9))))</f>
        <v/>
      </c>
      <c r="AZ216" s="128" t="str">
        <f aca="false">IF($BL216&lt;&gt;Constants!$B$4,"",IF(NOT($AS216),"",ROUND($AU216+$AV216+$AW216+$AX216,1)))</f>
        <v/>
      </c>
      <c r="BA216" s="129" t="str">
        <f aca="false">IF($BL216&lt;&gt;Constants!$B$4,"",IF(NOT($AS216),"",IF(ISNUMBER($AF216),$AF216,0)))</f>
        <v/>
      </c>
      <c r="BB216" s="124" t="str">
        <f aca="false">IF($BL216&lt;&gt;Constants!$B$4,"",IF(NOT($BC216),"&lt;-",IF(NOT($AS216),"-&gt;",IF(OR($BI216&lt;$AY216,AND($BI216=$AY216,OR($BJ216&gt;$AZ216,AND($BJ216=$AZ216,OR($BH216&gt;$AX216,AND($BH216=$AX216,OR($BE216&gt;$AU216,AND($BE216=$AU216,OR($BF216&gt;$AV216,AND($BF216=$AV216,$BK216&gt;$BA216)))))))))),"-&gt;","&lt;-"))))</f>
        <v/>
      </c>
      <c r="BC216" s="123" t="str">
        <f aca="false">IF(ISBLANK($C216),"",COUNTA($P216:$U216)&gt;0)</f>
        <v/>
      </c>
      <c r="BD216" s="123" t="str">
        <f aca="false">IF(ISBLANK($C216),"",AND($BC216,OR(AND($AL216="",OR($AK216,NOT(ISBLANK($S216)))),$AM216="",$AN216="")))</f>
        <v/>
      </c>
      <c r="BE216" s="125" t="str">
        <f aca="false">IF($BL216&lt;&gt;Constants!$B$4,"",IF(NOT($BC216),"",ROUND((Constants!$B$12-$AB216)+(Constants!$B$13-$Z216)+(Constants!$B$14-$AA216),1)))</f>
        <v/>
      </c>
      <c r="BF216" s="127" t="str">
        <f aca="false">IF($BL216&lt;&gt;Constants!$B$4,"",IF(NOT($BC216),"",IF(NOT($AK216),0,Constants!$B$15*(INT(ROUND(MIN($AL216,$AP$9),6))-INT(ROUND(MAX(0,MIN($AL216,2*$AP$9)-$AP$9),6))))))</f>
        <v/>
      </c>
      <c r="BG216" s="127" t="str">
        <f aca="false">IF($BL216&lt;&gt;Constants!$B$4,"",IF(NOT($BC216),"",Constants!$B$16*$AM216))</f>
        <v/>
      </c>
      <c r="BH216" s="127" t="str">
        <f aca="false">IF($BL216&lt;&gt;Constants!$B$4,"",IF(NOT($BC216),"",Constants!$B$18*INT(ROUND($AN216,6))))</f>
        <v/>
      </c>
      <c r="BI216" s="123" t="str">
        <f aca="false">IF($BL216&lt;&gt;Constants!$B$4,"",IF(NOT($BC216),"",IF(NOT($X216),Constants!$B$11,IF(OR(NOT($AI216),NOT($AJ216),ROUND($AB216,1)&gt;Constants!$B$12,ROUND($Z216,1)&gt;Constants!$B$13,ROUND($AA216,1)&gt;Constants!$B$14),Constants!$B$10,Constants!$B$9))))</f>
        <v/>
      </c>
      <c r="BJ216" s="128" t="str">
        <f aca="false">IF($BL216&lt;&gt;Constants!$B$4,"",IF(NOT($BC216),"",ROUND($BE216+$BF216+$BG216+$BH216,1)))</f>
        <v/>
      </c>
      <c r="BK216" s="129" t="str">
        <f aca="false">IF($BL216&lt;&gt;Constants!$B$4,"",IF(NOT($BC216),"",IF(ISNUMBER($AL216),$AL216,0)))</f>
        <v/>
      </c>
      <c r="BL216" s="124" t="str">
        <f aca="false">IF(ISBLANK($C216),"",IF($AO216,Constants!$B$7,IF(COUNTA($E216:$V216)=0,Constants!$B$6,IF(NOT($Y216),Constants!$B$5,IF(NOT(OR($AS216,$BC216)),Constants!$B$5,IF(OR($AT216,$BD216,$AQ216,$AR216&lt;&gt;""),Constants!$B$8,Constants!$B$4))))))</f>
        <v/>
      </c>
      <c r="BM216" s="124" t="str">
        <f aca="false">IF(ISBLANK($C216),"",IF($BL216&lt;&gt;Constants!$B$4,$BL216,IF($BB216="-&gt;",$BI216,$AY216)))</f>
        <v/>
      </c>
      <c r="BN216" s="127" t="str">
        <f aca="false">IF($BL216&lt;&gt;Constants!$B$4,"",IF($BB216="-&gt;",$BJ216,$AZ216))</f>
        <v/>
      </c>
      <c r="BO216" s="127" t="str">
        <f aca="false">IF(ISBLANK($C216),"",IF($BL216&lt;&gt;Constants!$B$4,$BL216,$BN216))</f>
        <v/>
      </c>
      <c r="BP216" s="124" t="str">
        <f aca="false">IF(ISBLANK($C216),"",IF($BL216&lt;&gt;Constants!$B$4,$BL216,RANK($BO216,$BO$9:$BO$508,0)))</f>
        <v/>
      </c>
      <c r="BQ216" s="124" t="str">
        <f aca="false">IF(ISBLANK($C216),"",IF($BL216&lt;&gt;Constants!$B$4,$BL216,COUNTIFS($BM$9:$BM$508,"&lt;"&amp;$BM216)+COUNTIFS($BM$9:$BM$508,$BM216,$BP$9:$BP$508,"&lt;"&amp;$BP216)+1))</f>
        <v/>
      </c>
      <c r="BR216" s="127" t="str">
        <f aca="false">IF($BL216&lt;&gt;Constants!$B$4,"",IF($BB216="-&gt;",$BH216,$AX216))</f>
        <v/>
      </c>
      <c r="BS216" s="124" t="str">
        <f aca="false">IF(ISBLANK($C216),"",IF($BL216&lt;&gt;Constants!$B$4,$BL216,IF(ISNUMBER($BR216),RANK($BR216,$BR$9:$BR$508,0),COUNT($BR$9:$BR$508)+1)))</f>
        <v/>
      </c>
      <c r="BT216" s="127" t="str">
        <f aca="false">IF($BL216&lt;&gt;Constants!$B$4,"",IF($BB216="-&gt;",$BE216,$AU216))</f>
        <v/>
      </c>
      <c r="BU216" s="124" t="str">
        <f aca="false">IF(ISBLANK($C216),"",IF($BL216&lt;&gt;Constants!$B$4,$BL216,IF(ISNUMBER($BT216),RANK($BT216,$BT$9:$BT$508,0),COUNT($BT$9:$BT$508)+1)))</f>
        <v/>
      </c>
      <c r="BV216" s="127" t="str">
        <f aca="false">IF($BL216&lt;&gt;Constants!$B$4,"",IF($BB216="-&gt;",$BF216,$AV216))</f>
        <v/>
      </c>
      <c r="BW216" s="124" t="str">
        <f aca="false">IF(ISBLANK($C216),"",IF($BL216&lt;&gt;Constants!$B$4,$BL216,IF(ISNUMBER($BV216),RANK($BV216,$BV$9:$BV$508,0),COUNT($BV$9:$BV$508)+1)))</f>
        <v/>
      </c>
      <c r="BX216" s="127" t="str">
        <f aca="false">IF($BL216&lt;&gt;Constants!$B$4,"",IF($BB216="-&gt;",$BK216,$BA216))</f>
        <v/>
      </c>
      <c r="BY216" s="124" t="str">
        <f aca="false">IF(ISBLANK($C216),"",IF($BL216&lt;&gt;Constants!$B$4,$BL216,IF(ISNUMBER($BX216),RANK($BX216,$BX$9:$BX$508,0),COUNT($BX$9:$BX$508)+1)))</f>
        <v/>
      </c>
      <c r="BZ216" s="124" t="str">
        <f aca="false">IF(ISBLANK($C216),"",IF($BL216&lt;&gt;Constants!$B$4,$BL216,COUNTIFS($BM$9:$BM$508,"&lt;"&amp;$BM216)+COUNTIFS($BM$9:$BM$508,$BM216,$BP$9:$BP$508,"&lt;"&amp;$BP216)+COUNTIFS($BM$9:$BM$508,$BM216,$BP$9:$BP$508,$BP216,$BS$9:$BS$508,"&lt;"&amp;$BS216)+COUNTIFS($BM$9:$BM$508,$BM216,$BP$9:$BP$508,$BP216,$BS$9:$BS$508,$BS216,$BU$9:$BU$508,"&lt;"&amp;$BU216)+COUNTIFS($BM$9:$BM$508,$BM216,$BP$9:$BP$508,$BP216,$BS$9:$BS$508,$BS216,$BU$9:$BU$508,$BU216,$BW$9:$BW$508,"&lt;"&amp;$BW216)+COUNTIFS($BM$9:$BM$508,$BM216,$BP$9:$BP$508,$BP216,$BS$9:$BS$508,$BS216,$BU$9:$BU$508,$BU216,$BW$9:$BW$508,$BW216,$BY$9:$BY$508,"&lt;"&amp;$BY216)+1))</f>
        <v/>
      </c>
      <c r="CA216" s="124" t="str">
        <f aca="false">IF(ISBLANK($C216),"",IF($BL216&lt;&gt;Constants!$B$4,$BL216,$BQ216-$BZ216))</f>
        <v/>
      </c>
      <c r="CB216" s="130"/>
      <c r="CC216" s="131" t="str">
        <f aca="false">IF(ISBLANK($C216),"",IF($BL216=Constants!$B$8,$AR216,""))</f>
        <v/>
      </c>
      <c r="CD216" s="131" t="str">
        <f aca="false">IF(ISBLANK($C216),"",IF($BL216&lt;&gt;Constants!$B$4,"",IF($BB216="-&gt;",2,1)))</f>
        <v/>
      </c>
      <c r="CE216" s="132" t="str">
        <f aca="false">IF(ISBLANK($C216),"",IF($BL216&lt;&gt;Constants!$B$4,"",IF($BB216="-&gt;",$BE216,$AU216)))</f>
        <v/>
      </c>
      <c r="CF216" s="132" t="str">
        <f aca="false">IF(ISBLANK($C216),"",IF($BL216&lt;&gt;Constants!$B$4,"",IF($BB216="-&gt;",$BF216,$AV216)))</f>
        <v/>
      </c>
      <c r="CG216" s="132" t="str">
        <f aca="false">IF(ISBLANK($C216),"",IF($BL216&lt;&gt;Constants!$B$4,"",IF($BB216="-&gt;",$BG216,$AW216)))</f>
        <v/>
      </c>
      <c r="CH216" s="132" t="str">
        <f aca="false">IF(ISBLANK($C216),"",IF($BL216&lt;&gt;Constants!$B$4,"",IF($BB216="-&gt;",$BH216,$AX216)))</f>
        <v/>
      </c>
      <c r="CI216" s="133" t="str">
        <f aca="false">IF(ISBLANK($C216),"",$BO216)</f>
        <v/>
      </c>
      <c r="CJ216" s="134" t="str">
        <f aca="false">IF(ISBLANK($C216),"",$BM216)</f>
        <v/>
      </c>
      <c r="CK216" s="135" t="str">
        <f aca="false">IF(ISBLANK($C216),"",$CA216)</f>
        <v/>
      </c>
      <c r="CL216" s="135" t="str">
        <f aca="false">IF(ISBLANK($C216),"",$BZ216)</f>
        <v/>
      </c>
      <c r="CM216" s="136" t="str">
        <f aca="false">IF(ISBLANK($C216),"",IF($CL216=Constants!$B$7,COUNTA($C$9:$C$508)+2,IF($CL216=Constants!$B$6,COUNTA($C$9:$C$508)+1,IF($CL216=Constants!$B$5,COUNTA($C$9:$C$508),$CL216))))</f>
        <v/>
      </c>
      <c r="CN216" s="8"/>
      <c r="CO216" s="137" t="n">
        <f aca="false">IF(OR(ISNUMBER($CL216),$CL216=Constants!$B$7,$CL216=Constants!$B$5,$CL216=Constants!$B$6),1,0)</f>
        <v>0</v>
      </c>
      <c r="CP216" s="137" t="n">
        <v>208</v>
      </c>
      <c r="CQ216" s="137" t="str">
        <f aca="false">IF(ISBLANK($C216),"",IF(ISNUMBER($CM216),$CM216+ROW($B216)/1000,""))</f>
        <v/>
      </c>
      <c r="CR216" s="137" t="str">
        <f aca="false">IF(ISNUMBER($CQ216),RANK($CQ216,$CQ$9:$CQ$508,1),"")</f>
        <v/>
      </c>
      <c r="CS216" s="137" t="str">
        <f aca="false">IF(ISBLANK($C216),"",$B216)</f>
        <v/>
      </c>
      <c r="CT216" s="137" t="str">
        <f aca="false">IF(ISBLANK($C216),"",$C216)</f>
        <v/>
      </c>
      <c r="CU216" s="137" t="str">
        <f aca="false">IF(ISBLANK($C216),"",$D216)</f>
        <v/>
      </c>
      <c r="CV216" s="138" t="str">
        <f aca="false">$CJ216</f>
        <v/>
      </c>
      <c r="CW216" s="139" t="str">
        <f aca="false">$CI216</f>
        <v/>
      </c>
      <c r="CX216" s="137" t="str">
        <f aca="false">IF(ISBLANK($C216),"",$CL216)</f>
        <v/>
      </c>
      <c r="CY216" s="140" t="str">
        <f aca="false">IF($CP216&gt;$CO$8,"",VLOOKUP($CP216,$CR$9:$CX$508,7,FALSE()))</f>
        <v/>
      </c>
      <c r="CZ216" s="141" t="str">
        <f aca="false">IF($CP216&gt;$CO$8,"",VLOOKUP($CP216,$CR$9:$CX$508,2,FALSE()))</f>
        <v/>
      </c>
      <c r="DA216" s="141" t="str">
        <f aca="false">IF($CP216&gt;$CO$8,"",VLOOKUP($CP216,$CR$9:$CX$508,3,FALSE()))</f>
        <v/>
      </c>
      <c r="DB216" s="141" t="str">
        <f aca="false">IF($CP216&gt;$CO$8,"",VLOOKUP($CP216,$CR$9:$CX$508,4,FALSE()))</f>
        <v/>
      </c>
      <c r="DC216" s="141" t="str">
        <f aca="false">IF($CP216&gt;$CO$8,"",VLOOKUP($CP216,$CR$9:$CX$508,5,FALSE()))</f>
        <v/>
      </c>
      <c r="DD216" s="142" t="str">
        <f aca="false">IF($CP216&gt;$CO$8,"",VLOOKUP($CP216,$CR$9:$CX$508,6,FALSE()))</f>
        <v/>
      </c>
      <c r="DE216" s="70"/>
    </row>
    <row r="217" customFormat="false" ht="15.75" hidden="false" customHeight="false" outlineLevel="0" collapsed="false">
      <c r="A217" s="8"/>
      <c r="B217" s="146"/>
      <c r="C217" s="147"/>
      <c r="D217" s="148"/>
      <c r="E217" s="164"/>
      <c r="F217" s="150"/>
      <c r="G217" s="115"/>
      <c r="H217" s="115"/>
      <c r="I217" s="115"/>
      <c r="J217" s="165"/>
      <c r="K217" s="154"/>
      <c r="L217" s="154"/>
      <c r="M217" s="118"/>
      <c r="N217" s="154"/>
      <c r="O217" s="153"/>
      <c r="P217" s="154"/>
      <c r="Q217" s="154"/>
      <c r="R217" s="154"/>
      <c r="S217" s="115"/>
      <c r="T217" s="154"/>
      <c r="U217" s="153"/>
      <c r="V217" s="154"/>
      <c r="W217" s="123"/>
      <c r="X217" s="124" t="str">
        <f aca="false">IF(ISBLANK($C217),"",IF($E217=Constants!$B$2,TRUE(),IF($E217=Constants!$B$3,FALSE(),TRUE())))</f>
        <v/>
      </c>
      <c r="Y217" s="124" t="str">
        <f aca="false">IF(ISBLANK($C217),"",IF($F217=Constants!$B$2,TRUE(),IF($F217=Constants!$B$3,FALSE(),TRUE())))</f>
        <v/>
      </c>
      <c r="Z217" s="125" t="str">
        <f aca="false">IF(ISBLANK($C217),"",IF(ISNUMBER($G217),IF($G217&gt;=0,$G217,""),""))</f>
        <v/>
      </c>
      <c r="AA217" s="125" t="str">
        <f aca="false">IF(ISBLANK($C217),"",IF(ISNUMBER($H217),IF($H217&gt;=0,$H217,""),""))</f>
        <v/>
      </c>
      <c r="AB217" s="125" t="str">
        <f aca="false">IF(ISBLANK($C217),"",IF(ISNUMBER($I217),IF($I217&gt;=0,$I217,""),""))</f>
        <v/>
      </c>
      <c r="AC217" s="124" t="str">
        <f aca="false">IF(ISBLANK($C217),"",IF($J217=Constants!$B$2,TRUE(),IF($J217=Constants!$B$3,FALSE(),TRUE())))</f>
        <v/>
      </c>
      <c r="AD217" s="124" t="str">
        <f aca="false">IF(ISBLANK($C217),"",IF($K217=Constants!$B$2,TRUE(),IF($K217=Constants!$B$3,FALSE(),TRUE())))</f>
        <v/>
      </c>
      <c r="AE217" s="124" t="str">
        <f aca="false">IF(ISBLANK($C217),"",IF($L217=Constants!$B$2,TRUE(),IF($L217=Constants!$B$3,FALSE(),TRUE())))</f>
        <v/>
      </c>
      <c r="AF217" s="126" t="str">
        <f aca="false">IF(ISBLANK($C217),"",IF(ISNUMBER($M217),IF($M217&gt;=0,$M217,""),""))</f>
        <v/>
      </c>
      <c r="AG217" s="124" t="str">
        <f aca="false">IF(ISBLANK($C217),"",IF(ISBLANK($N217),0,IF(ISNUMBER($N217),IF(AND($N217&gt;=0,$N217&lt;=Constants!$B$17,$N217=INT($N217)),$N217,""),"")))</f>
        <v/>
      </c>
      <c r="AH217" s="125" t="str">
        <f aca="false">IF(ISBLANK($C217),"",IF(ISBLANK($O217),0,IF(ISNUMBER($O217),IF($O217&gt;=0,$O217,""),"")))</f>
        <v/>
      </c>
      <c r="AI217" s="124" t="str">
        <f aca="false">IF(ISBLANK($C217),"",IF($P217=Constants!$B$2,TRUE(),IF($P217=Constants!$B$3,FALSE(),TRUE())))</f>
        <v/>
      </c>
      <c r="AJ217" s="124" t="str">
        <f aca="false">IF(ISBLANK($C217),"",IF($Q217=Constants!$B$2,TRUE(),IF($Q217=Constants!$B$3,FALSE(),TRUE())))</f>
        <v/>
      </c>
      <c r="AK217" s="124" t="str">
        <f aca="false">IF(ISBLANK($C217),"",IF($R217=Constants!$B$2,TRUE(),IF($R217=Constants!$B$3,FALSE(),TRUE())))</f>
        <v/>
      </c>
      <c r="AL217" s="126" t="str">
        <f aca="false">IF(ISBLANK($C217),"",IF(ISNUMBER($S217),IF($S217&gt;=0,$S217,""),""))</f>
        <v/>
      </c>
      <c r="AM217" s="124" t="str">
        <f aca="false">IF(ISBLANK($C217),"",IF(ISBLANK($T217),0,IF(ISNUMBER($T217),IF(AND($T217&gt;=0,$T217&lt;=Constants!$B$17,$T217=INT($T217)),$T217,""),"")))</f>
        <v/>
      </c>
      <c r="AN217" s="125" t="str">
        <f aca="false">IF(ISBLANK($C217),"",IF(ISBLANK($U217),0,IF(ISNUMBER($U217),IF($U217&gt;=0,$U217,""),"")))</f>
        <v/>
      </c>
      <c r="AO217" s="124" t="str">
        <f aca="false">IF(ISBLANK($C217),"",IF($V217=Constants!$B$2,TRUE(),IF($V217=Constants!$B$3,FALSE(),FALSE())))</f>
        <v/>
      </c>
      <c r="AP217" s="124"/>
      <c r="AQ217" s="123" t="str">
        <f aca="false">IF(ISBLANK($C217),"",AND($Y217,OR($AS217,$BC217),OR($Z217="",$AA217="",$AB217="")))</f>
        <v/>
      </c>
      <c r="AR217" s="123" t="str">
        <f aca="false">IF(ISBLANK($C217),"",IF(OR(NOT($Y217),NOT(OR($AS217,$BC217))),"",IF(ISBLANK($D$7),$AR$5,IF($AP$9="",$AR$6,""))))</f>
        <v/>
      </c>
      <c r="AS217" s="123" t="str">
        <f aca="false">IF(ISBLANK($C217),"",COUNTA($J217:$O217)&gt;0)</f>
        <v/>
      </c>
      <c r="AT217" s="123" t="str">
        <f aca="false">IF(ISBLANK($C217),"",AND($AS217,OR(AND($AF217="",OR($AE217,NOT(ISBLANK($M217)))),$AG217="",$AH217="")))</f>
        <v/>
      </c>
      <c r="AU217" s="125" t="str">
        <f aca="false">IF($BL217&lt;&gt;Constants!$B$4,"",IF(NOT($AS217),"",ROUND((Constants!$B$12-$AB217)+(Constants!$B$13-$Z217)+(Constants!$B$14-$AA217),1)))</f>
        <v/>
      </c>
      <c r="AV217" s="127" t="str">
        <f aca="false">IF($BL217&lt;&gt;Constants!$B$4,"",IF(NOT($AS217),"",IF(NOT($AE217),0,Constants!$B$15*(INT(ROUND(MIN($AF217,$AP$9),6))-INT(ROUND(MAX(0,MIN($AF217,2*$AP$9)-$AP$9),6))))))</f>
        <v/>
      </c>
      <c r="AW217" s="127" t="str">
        <f aca="false">IF($BL217&lt;&gt;Constants!$B$4,"",IF(NOT($AS217),"",Constants!$B$16*$AG217))</f>
        <v/>
      </c>
      <c r="AX217" s="127" t="str">
        <f aca="false">IF($BL217&lt;&gt;Constants!$B$4,"",IF(NOT($AS217),"",Constants!$B$18*INT(ROUND($AH217,6))))</f>
        <v/>
      </c>
      <c r="AY217" s="123" t="str">
        <f aca="false">IF($BL217&lt;&gt;Constants!$B$4,"",IF(NOT($AS217),"",IF(NOT($X217),Constants!$B$11,IF(OR(NOT($AC217),NOT($AD217),ROUND($AB217,1)&gt;Constants!$B$12,ROUND($Z217,1)&gt;Constants!$B$13,ROUND($AA217,1)&gt;Constants!$B$14),Constants!$B$10,Constants!$B$9))))</f>
        <v/>
      </c>
      <c r="AZ217" s="128" t="str">
        <f aca="false">IF($BL217&lt;&gt;Constants!$B$4,"",IF(NOT($AS217),"",ROUND($AU217+$AV217+$AW217+$AX217,1)))</f>
        <v/>
      </c>
      <c r="BA217" s="129" t="str">
        <f aca="false">IF($BL217&lt;&gt;Constants!$B$4,"",IF(NOT($AS217),"",IF(ISNUMBER($AF217),$AF217,0)))</f>
        <v/>
      </c>
      <c r="BB217" s="124" t="str">
        <f aca="false">IF($BL217&lt;&gt;Constants!$B$4,"",IF(NOT($BC217),"&lt;-",IF(NOT($AS217),"-&gt;",IF(OR($BI217&lt;$AY217,AND($BI217=$AY217,OR($BJ217&gt;$AZ217,AND($BJ217=$AZ217,OR($BH217&gt;$AX217,AND($BH217=$AX217,OR($BE217&gt;$AU217,AND($BE217=$AU217,OR($BF217&gt;$AV217,AND($BF217=$AV217,$BK217&gt;$BA217)))))))))),"-&gt;","&lt;-"))))</f>
        <v/>
      </c>
      <c r="BC217" s="123" t="str">
        <f aca="false">IF(ISBLANK($C217),"",COUNTA($P217:$U217)&gt;0)</f>
        <v/>
      </c>
      <c r="BD217" s="123" t="str">
        <f aca="false">IF(ISBLANK($C217),"",AND($BC217,OR(AND($AL217="",OR($AK217,NOT(ISBLANK($S217)))),$AM217="",$AN217="")))</f>
        <v/>
      </c>
      <c r="BE217" s="125" t="str">
        <f aca="false">IF($BL217&lt;&gt;Constants!$B$4,"",IF(NOT($BC217),"",ROUND((Constants!$B$12-$AB217)+(Constants!$B$13-$Z217)+(Constants!$B$14-$AA217),1)))</f>
        <v/>
      </c>
      <c r="BF217" s="127" t="str">
        <f aca="false">IF($BL217&lt;&gt;Constants!$B$4,"",IF(NOT($BC217),"",IF(NOT($AK217),0,Constants!$B$15*(INT(ROUND(MIN($AL217,$AP$9),6))-INT(ROUND(MAX(0,MIN($AL217,2*$AP$9)-$AP$9),6))))))</f>
        <v/>
      </c>
      <c r="BG217" s="127" t="str">
        <f aca="false">IF($BL217&lt;&gt;Constants!$B$4,"",IF(NOT($BC217),"",Constants!$B$16*$AM217))</f>
        <v/>
      </c>
      <c r="BH217" s="127" t="str">
        <f aca="false">IF($BL217&lt;&gt;Constants!$B$4,"",IF(NOT($BC217),"",Constants!$B$18*INT(ROUND($AN217,6))))</f>
        <v/>
      </c>
      <c r="BI217" s="123" t="str">
        <f aca="false">IF($BL217&lt;&gt;Constants!$B$4,"",IF(NOT($BC217),"",IF(NOT($X217),Constants!$B$11,IF(OR(NOT($AI217),NOT($AJ217),ROUND($AB217,1)&gt;Constants!$B$12,ROUND($Z217,1)&gt;Constants!$B$13,ROUND($AA217,1)&gt;Constants!$B$14),Constants!$B$10,Constants!$B$9))))</f>
        <v/>
      </c>
      <c r="BJ217" s="128" t="str">
        <f aca="false">IF($BL217&lt;&gt;Constants!$B$4,"",IF(NOT($BC217),"",ROUND($BE217+$BF217+$BG217+$BH217,1)))</f>
        <v/>
      </c>
      <c r="BK217" s="129" t="str">
        <f aca="false">IF($BL217&lt;&gt;Constants!$B$4,"",IF(NOT($BC217),"",IF(ISNUMBER($AL217),$AL217,0)))</f>
        <v/>
      </c>
      <c r="BL217" s="124" t="str">
        <f aca="false">IF(ISBLANK($C217),"",IF($AO217,Constants!$B$7,IF(COUNTA($E217:$V217)=0,Constants!$B$6,IF(NOT($Y217),Constants!$B$5,IF(NOT(OR($AS217,$BC217)),Constants!$B$5,IF(OR($AT217,$BD217,$AQ217,$AR217&lt;&gt;""),Constants!$B$8,Constants!$B$4))))))</f>
        <v/>
      </c>
      <c r="BM217" s="124" t="str">
        <f aca="false">IF(ISBLANK($C217),"",IF($BL217&lt;&gt;Constants!$B$4,$BL217,IF($BB217="-&gt;",$BI217,$AY217)))</f>
        <v/>
      </c>
      <c r="BN217" s="127" t="str">
        <f aca="false">IF($BL217&lt;&gt;Constants!$B$4,"",IF($BB217="-&gt;",$BJ217,$AZ217))</f>
        <v/>
      </c>
      <c r="BO217" s="127" t="str">
        <f aca="false">IF(ISBLANK($C217),"",IF($BL217&lt;&gt;Constants!$B$4,$BL217,$BN217))</f>
        <v/>
      </c>
      <c r="BP217" s="124" t="str">
        <f aca="false">IF(ISBLANK($C217),"",IF($BL217&lt;&gt;Constants!$B$4,$BL217,RANK($BO217,$BO$9:$BO$508,0)))</f>
        <v/>
      </c>
      <c r="BQ217" s="124" t="str">
        <f aca="false">IF(ISBLANK($C217),"",IF($BL217&lt;&gt;Constants!$B$4,$BL217,COUNTIFS($BM$9:$BM$508,"&lt;"&amp;$BM217)+COUNTIFS($BM$9:$BM$508,$BM217,$BP$9:$BP$508,"&lt;"&amp;$BP217)+1))</f>
        <v/>
      </c>
      <c r="BR217" s="127" t="str">
        <f aca="false">IF($BL217&lt;&gt;Constants!$B$4,"",IF($BB217="-&gt;",$BH217,$AX217))</f>
        <v/>
      </c>
      <c r="BS217" s="124" t="str">
        <f aca="false">IF(ISBLANK($C217),"",IF($BL217&lt;&gt;Constants!$B$4,$BL217,IF(ISNUMBER($BR217),RANK($BR217,$BR$9:$BR$508,0),COUNT($BR$9:$BR$508)+1)))</f>
        <v/>
      </c>
      <c r="BT217" s="127" t="str">
        <f aca="false">IF($BL217&lt;&gt;Constants!$B$4,"",IF($BB217="-&gt;",$BE217,$AU217))</f>
        <v/>
      </c>
      <c r="BU217" s="124" t="str">
        <f aca="false">IF(ISBLANK($C217),"",IF($BL217&lt;&gt;Constants!$B$4,$BL217,IF(ISNUMBER($BT217),RANK($BT217,$BT$9:$BT$508,0),COUNT($BT$9:$BT$508)+1)))</f>
        <v/>
      </c>
      <c r="BV217" s="127" t="str">
        <f aca="false">IF($BL217&lt;&gt;Constants!$B$4,"",IF($BB217="-&gt;",$BF217,$AV217))</f>
        <v/>
      </c>
      <c r="BW217" s="124" t="str">
        <f aca="false">IF(ISBLANK($C217),"",IF($BL217&lt;&gt;Constants!$B$4,$BL217,IF(ISNUMBER($BV217),RANK($BV217,$BV$9:$BV$508,0),COUNT($BV$9:$BV$508)+1)))</f>
        <v/>
      </c>
      <c r="BX217" s="127" t="str">
        <f aca="false">IF($BL217&lt;&gt;Constants!$B$4,"",IF($BB217="-&gt;",$BK217,$BA217))</f>
        <v/>
      </c>
      <c r="BY217" s="124" t="str">
        <f aca="false">IF(ISBLANK($C217),"",IF($BL217&lt;&gt;Constants!$B$4,$BL217,IF(ISNUMBER($BX217),RANK($BX217,$BX$9:$BX$508,0),COUNT($BX$9:$BX$508)+1)))</f>
        <v/>
      </c>
      <c r="BZ217" s="124" t="str">
        <f aca="false">IF(ISBLANK($C217),"",IF($BL217&lt;&gt;Constants!$B$4,$BL217,COUNTIFS($BM$9:$BM$508,"&lt;"&amp;$BM217)+COUNTIFS($BM$9:$BM$508,$BM217,$BP$9:$BP$508,"&lt;"&amp;$BP217)+COUNTIFS($BM$9:$BM$508,$BM217,$BP$9:$BP$508,$BP217,$BS$9:$BS$508,"&lt;"&amp;$BS217)+COUNTIFS($BM$9:$BM$508,$BM217,$BP$9:$BP$508,$BP217,$BS$9:$BS$508,$BS217,$BU$9:$BU$508,"&lt;"&amp;$BU217)+COUNTIFS($BM$9:$BM$508,$BM217,$BP$9:$BP$508,$BP217,$BS$9:$BS$508,$BS217,$BU$9:$BU$508,$BU217,$BW$9:$BW$508,"&lt;"&amp;$BW217)+COUNTIFS($BM$9:$BM$508,$BM217,$BP$9:$BP$508,$BP217,$BS$9:$BS$508,$BS217,$BU$9:$BU$508,$BU217,$BW$9:$BW$508,$BW217,$BY$9:$BY$508,"&lt;"&amp;$BY217)+1))</f>
        <v/>
      </c>
      <c r="CA217" s="124" t="str">
        <f aca="false">IF(ISBLANK($C217),"",IF($BL217&lt;&gt;Constants!$B$4,$BL217,$BQ217-$BZ217))</f>
        <v/>
      </c>
      <c r="CB217" s="130"/>
      <c r="CC217" s="131" t="str">
        <f aca="false">IF(ISBLANK($C217),"",IF($BL217=Constants!$B$8,$AR217,""))</f>
        <v/>
      </c>
      <c r="CD217" s="131" t="str">
        <f aca="false">IF(ISBLANK($C217),"",IF($BL217&lt;&gt;Constants!$B$4,"",IF($BB217="-&gt;",2,1)))</f>
        <v/>
      </c>
      <c r="CE217" s="132" t="str">
        <f aca="false">IF(ISBLANK($C217),"",IF($BL217&lt;&gt;Constants!$B$4,"",IF($BB217="-&gt;",$BE217,$AU217)))</f>
        <v/>
      </c>
      <c r="CF217" s="132" t="str">
        <f aca="false">IF(ISBLANK($C217),"",IF($BL217&lt;&gt;Constants!$B$4,"",IF($BB217="-&gt;",$BF217,$AV217)))</f>
        <v/>
      </c>
      <c r="CG217" s="132" t="str">
        <f aca="false">IF(ISBLANK($C217),"",IF($BL217&lt;&gt;Constants!$B$4,"",IF($BB217="-&gt;",$BG217,$AW217)))</f>
        <v/>
      </c>
      <c r="CH217" s="132" t="str">
        <f aca="false">IF(ISBLANK($C217),"",IF($BL217&lt;&gt;Constants!$B$4,"",IF($BB217="-&gt;",$BH217,$AX217)))</f>
        <v/>
      </c>
      <c r="CI217" s="133" t="str">
        <f aca="false">IF(ISBLANK($C217),"",$BO217)</f>
        <v/>
      </c>
      <c r="CJ217" s="134" t="str">
        <f aca="false">IF(ISBLANK($C217),"",$BM217)</f>
        <v/>
      </c>
      <c r="CK217" s="135" t="str">
        <f aca="false">IF(ISBLANK($C217),"",$CA217)</f>
        <v/>
      </c>
      <c r="CL217" s="135" t="str">
        <f aca="false">IF(ISBLANK($C217),"",$BZ217)</f>
        <v/>
      </c>
      <c r="CM217" s="136" t="str">
        <f aca="false">IF(ISBLANK($C217),"",IF($CL217=Constants!$B$7,COUNTA($C$9:$C$508)+2,IF($CL217=Constants!$B$6,COUNTA($C$9:$C$508)+1,IF($CL217=Constants!$B$5,COUNTA($C$9:$C$508),$CL217))))</f>
        <v/>
      </c>
      <c r="CN217" s="8"/>
      <c r="CO217" s="137" t="n">
        <f aca="false">IF(OR(ISNUMBER($CL217),$CL217=Constants!$B$7,$CL217=Constants!$B$5,$CL217=Constants!$B$6),1,0)</f>
        <v>0</v>
      </c>
      <c r="CP217" s="137" t="n">
        <v>209</v>
      </c>
      <c r="CQ217" s="137" t="str">
        <f aca="false">IF(ISBLANK($C217),"",IF(ISNUMBER($CM217),$CM217+ROW($B217)/1000,""))</f>
        <v/>
      </c>
      <c r="CR217" s="137" t="str">
        <f aca="false">IF(ISNUMBER($CQ217),RANK($CQ217,$CQ$9:$CQ$508,1),"")</f>
        <v/>
      </c>
      <c r="CS217" s="137" t="str">
        <f aca="false">IF(ISBLANK($C217),"",$B217)</f>
        <v/>
      </c>
      <c r="CT217" s="137" t="str">
        <f aca="false">IF(ISBLANK($C217),"",$C217)</f>
        <v/>
      </c>
      <c r="CU217" s="137" t="str">
        <f aca="false">IF(ISBLANK($C217),"",$D217)</f>
        <v/>
      </c>
      <c r="CV217" s="138" t="str">
        <f aca="false">$CJ217</f>
        <v/>
      </c>
      <c r="CW217" s="139" t="str">
        <f aca="false">$CI217</f>
        <v/>
      </c>
      <c r="CX217" s="137" t="str">
        <f aca="false">IF(ISBLANK($C217),"",$CL217)</f>
        <v/>
      </c>
      <c r="CY217" s="140" t="str">
        <f aca="false">IF($CP217&gt;$CO$8,"",VLOOKUP($CP217,$CR$9:$CX$508,7,FALSE()))</f>
        <v/>
      </c>
      <c r="CZ217" s="141" t="str">
        <f aca="false">IF($CP217&gt;$CO$8,"",VLOOKUP($CP217,$CR$9:$CX$508,2,FALSE()))</f>
        <v/>
      </c>
      <c r="DA217" s="141" t="str">
        <f aca="false">IF($CP217&gt;$CO$8,"",VLOOKUP($CP217,$CR$9:$CX$508,3,FALSE()))</f>
        <v/>
      </c>
      <c r="DB217" s="141" t="str">
        <f aca="false">IF($CP217&gt;$CO$8,"",VLOOKUP($CP217,$CR$9:$CX$508,4,FALSE()))</f>
        <v/>
      </c>
      <c r="DC217" s="141" t="str">
        <f aca="false">IF($CP217&gt;$CO$8,"",VLOOKUP($CP217,$CR$9:$CX$508,5,FALSE()))</f>
        <v/>
      </c>
      <c r="DD217" s="142" t="str">
        <f aca="false">IF($CP217&gt;$CO$8,"",VLOOKUP($CP217,$CR$9:$CX$508,6,FALSE()))</f>
        <v/>
      </c>
      <c r="DE217" s="70"/>
    </row>
    <row r="218" customFormat="false" ht="15.75" hidden="false" customHeight="false" outlineLevel="0" collapsed="false">
      <c r="A218" s="8"/>
      <c r="B218" s="146"/>
      <c r="C218" s="147"/>
      <c r="D218" s="148"/>
      <c r="E218" s="164"/>
      <c r="F218" s="150"/>
      <c r="G218" s="115"/>
      <c r="H218" s="115"/>
      <c r="I218" s="115"/>
      <c r="J218" s="165"/>
      <c r="K218" s="154"/>
      <c r="L218" s="154"/>
      <c r="M218" s="118"/>
      <c r="N218" s="154"/>
      <c r="O218" s="153"/>
      <c r="P218" s="154"/>
      <c r="Q218" s="154"/>
      <c r="R218" s="154"/>
      <c r="S218" s="115"/>
      <c r="T218" s="154"/>
      <c r="U218" s="153"/>
      <c r="V218" s="154"/>
      <c r="W218" s="123"/>
      <c r="X218" s="124" t="str">
        <f aca="false">IF(ISBLANK($C218),"",IF($E218=Constants!$B$2,TRUE(),IF($E218=Constants!$B$3,FALSE(),TRUE())))</f>
        <v/>
      </c>
      <c r="Y218" s="124" t="str">
        <f aca="false">IF(ISBLANK($C218),"",IF($F218=Constants!$B$2,TRUE(),IF($F218=Constants!$B$3,FALSE(),TRUE())))</f>
        <v/>
      </c>
      <c r="Z218" s="125" t="str">
        <f aca="false">IF(ISBLANK($C218),"",IF(ISNUMBER($G218),IF($G218&gt;=0,$G218,""),""))</f>
        <v/>
      </c>
      <c r="AA218" s="125" t="str">
        <f aca="false">IF(ISBLANK($C218),"",IF(ISNUMBER($H218),IF($H218&gt;=0,$H218,""),""))</f>
        <v/>
      </c>
      <c r="AB218" s="125" t="str">
        <f aca="false">IF(ISBLANK($C218),"",IF(ISNUMBER($I218),IF($I218&gt;=0,$I218,""),""))</f>
        <v/>
      </c>
      <c r="AC218" s="124" t="str">
        <f aca="false">IF(ISBLANK($C218),"",IF($J218=Constants!$B$2,TRUE(),IF($J218=Constants!$B$3,FALSE(),TRUE())))</f>
        <v/>
      </c>
      <c r="AD218" s="124" t="str">
        <f aca="false">IF(ISBLANK($C218),"",IF($K218=Constants!$B$2,TRUE(),IF($K218=Constants!$B$3,FALSE(),TRUE())))</f>
        <v/>
      </c>
      <c r="AE218" s="124" t="str">
        <f aca="false">IF(ISBLANK($C218),"",IF($L218=Constants!$B$2,TRUE(),IF($L218=Constants!$B$3,FALSE(),TRUE())))</f>
        <v/>
      </c>
      <c r="AF218" s="126" t="str">
        <f aca="false">IF(ISBLANK($C218),"",IF(ISNUMBER($M218),IF($M218&gt;=0,$M218,""),""))</f>
        <v/>
      </c>
      <c r="AG218" s="124" t="str">
        <f aca="false">IF(ISBLANK($C218),"",IF(ISBLANK($N218),0,IF(ISNUMBER($N218),IF(AND($N218&gt;=0,$N218&lt;=Constants!$B$17,$N218=INT($N218)),$N218,""),"")))</f>
        <v/>
      </c>
      <c r="AH218" s="125" t="str">
        <f aca="false">IF(ISBLANK($C218),"",IF(ISBLANK($O218),0,IF(ISNUMBER($O218),IF($O218&gt;=0,$O218,""),"")))</f>
        <v/>
      </c>
      <c r="AI218" s="124" t="str">
        <f aca="false">IF(ISBLANK($C218),"",IF($P218=Constants!$B$2,TRUE(),IF($P218=Constants!$B$3,FALSE(),TRUE())))</f>
        <v/>
      </c>
      <c r="AJ218" s="124" t="str">
        <f aca="false">IF(ISBLANK($C218),"",IF($Q218=Constants!$B$2,TRUE(),IF($Q218=Constants!$B$3,FALSE(),TRUE())))</f>
        <v/>
      </c>
      <c r="AK218" s="124" t="str">
        <f aca="false">IF(ISBLANK($C218),"",IF($R218=Constants!$B$2,TRUE(),IF($R218=Constants!$B$3,FALSE(),TRUE())))</f>
        <v/>
      </c>
      <c r="AL218" s="126" t="str">
        <f aca="false">IF(ISBLANK($C218),"",IF(ISNUMBER($S218),IF($S218&gt;=0,$S218,""),""))</f>
        <v/>
      </c>
      <c r="AM218" s="124" t="str">
        <f aca="false">IF(ISBLANK($C218),"",IF(ISBLANK($T218),0,IF(ISNUMBER($T218),IF(AND($T218&gt;=0,$T218&lt;=Constants!$B$17,$T218=INT($T218)),$T218,""),"")))</f>
        <v/>
      </c>
      <c r="AN218" s="125" t="str">
        <f aca="false">IF(ISBLANK($C218),"",IF(ISBLANK($U218),0,IF(ISNUMBER($U218),IF($U218&gt;=0,$U218,""),"")))</f>
        <v/>
      </c>
      <c r="AO218" s="124" t="str">
        <f aca="false">IF(ISBLANK($C218),"",IF($V218=Constants!$B$2,TRUE(),IF($V218=Constants!$B$3,FALSE(),FALSE())))</f>
        <v/>
      </c>
      <c r="AP218" s="124"/>
      <c r="AQ218" s="123" t="str">
        <f aca="false">IF(ISBLANK($C218),"",AND($Y218,OR($AS218,$BC218),OR($Z218="",$AA218="",$AB218="")))</f>
        <v/>
      </c>
      <c r="AR218" s="123" t="str">
        <f aca="false">IF(ISBLANK($C218),"",IF(OR(NOT($Y218),NOT(OR($AS218,$BC218))),"",IF(ISBLANK($D$7),$AR$5,IF($AP$9="",$AR$6,""))))</f>
        <v/>
      </c>
      <c r="AS218" s="123" t="str">
        <f aca="false">IF(ISBLANK($C218),"",COUNTA($J218:$O218)&gt;0)</f>
        <v/>
      </c>
      <c r="AT218" s="123" t="str">
        <f aca="false">IF(ISBLANK($C218),"",AND($AS218,OR(AND($AF218="",OR($AE218,NOT(ISBLANK($M218)))),$AG218="",$AH218="")))</f>
        <v/>
      </c>
      <c r="AU218" s="125" t="str">
        <f aca="false">IF($BL218&lt;&gt;Constants!$B$4,"",IF(NOT($AS218),"",ROUND((Constants!$B$12-$AB218)+(Constants!$B$13-$Z218)+(Constants!$B$14-$AA218),1)))</f>
        <v/>
      </c>
      <c r="AV218" s="127" t="str">
        <f aca="false">IF($BL218&lt;&gt;Constants!$B$4,"",IF(NOT($AS218),"",IF(NOT($AE218),0,Constants!$B$15*(INT(ROUND(MIN($AF218,$AP$9),6))-INT(ROUND(MAX(0,MIN($AF218,2*$AP$9)-$AP$9),6))))))</f>
        <v/>
      </c>
      <c r="AW218" s="127" t="str">
        <f aca="false">IF($BL218&lt;&gt;Constants!$B$4,"",IF(NOT($AS218),"",Constants!$B$16*$AG218))</f>
        <v/>
      </c>
      <c r="AX218" s="127" t="str">
        <f aca="false">IF($BL218&lt;&gt;Constants!$B$4,"",IF(NOT($AS218),"",Constants!$B$18*INT(ROUND($AH218,6))))</f>
        <v/>
      </c>
      <c r="AY218" s="123" t="str">
        <f aca="false">IF($BL218&lt;&gt;Constants!$B$4,"",IF(NOT($AS218),"",IF(NOT($X218),Constants!$B$11,IF(OR(NOT($AC218),NOT($AD218),ROUND($AB218,1)&gt;Constants!$B$12,ROUND($Z218,1)&gt;Constants!$B$13,ROUND($AA218,1)&gt;Constants!$B$14),Constants!$B$10,Constants!$B$9))))</f>
        <v/>
      </c>
      <c r="AZ218" s="128" t="str">
        <f aca="false">IF($BL218&lt;&gt;Constants!$B$4,"",IF(NOT($AS218),"",ROUND($AU218+$AV218+$AW218+$AX218,1)))</f>
        <v/>
      </c>
      <c r="BA218" s="129" t="str">
        <f aca="false">IF($BL218&lt;&gt;Constants!$B$4,"",IF(NOT($AS218),"",IF(ISNUMBER($AF218),$AF218,0)))</f>
        <v/>
      </c>
      <c r="BB218" s="124" t="str">
        <f aca="false">IF($BL218&lt;&gt;Constants!$B$4,"",IF(NOT($BC218),"&lt;-",IF(NOT($AS218),"-&gt;",IF(OR($BI218&lt;$AY218,AND($BI218=$AY218,OR($BJ218&gt;$AZ218,AND($BJ218=$AZ218,OR($BH218&gt;$AX218,AND($BH218=$AX218,OR($BE218&gt;$AU218,AND($BE218=$AU218,OR($BF218&gt;$AV218,AND($BF218=$AV218,$BK218&gt;$BA218)))))))))),"-&gt;","&lt;-"))))</f>
        <v/>
      </c>
      <c r="BC218" s="123" t="str">
        <f aca="false">IF(ISBLANK($C218),"",COUNTA($P218:$U218)&gt;0)</f>
        <v/>
      </c>
      <c r="BD218" s="123" t="str">
        <f aca="false">IF(ISBLANK($C218),"",AND($BC218,OR(AND($AL218="",OR($AK218,NOT(ISBLANK($S218)))),$AM218="",$AN218="")))</f>
        <v/>
      </c>
      <c r="BE218" s="125" t="str">
        <f aca="false">IF($BL218&lt;&gt;Constants!$B$4,"",IF(NOT($BC218),"",ROUND((Constants!$B$12-$AB218)+(Constants!$B$13-$Z218)+(Constants!$B$14-$AA218),1)))</f>
        <v/>
      </c>
      <c r="BF218" s="127" t="str">
        <f aca="false">IF($BL218&lt;&gt;Constants!$B$4,"",IF(NOT($BC218),"",IF(NOT($AK218),0,Constants!$B$15*(INT(ROUND(MIN($AL218,$AP$9),6))-INT(ROUND(MAX(0,MIN($AL218,2*$AP$9)-$AP$9),6))))))</f>
        <v/>
      </c>
      <c r="BG218" s="127" t="str">
        <f aca="false">IF($BL218&lt;&gt;Constants!$B$4,"",IF(NOT($BC218),"",Constants!$B$16*$AM218))</f>
        <v/>
      </c>
      <c r="BH218" s="127" t="str">
        <f aca="false">IF($BL218&lt;&gt;Constants!$B$4,"",IF(NOT($BC218),"",Constants!$B$18*INT(ROUND($AN218,6))))</f>
        <v/>
      </c>
      <c r="BI218" s="123" t="str">
        <f aca="false">IF($BL218&lt;&gt;Constants!$B$4,"",IF(NOT($BC218),"",IF(NOT($X218),Constants!$B$11,IF(OR(NOT($AI218),NOT($AJ218),ROUND($AB218,1)&gt;Constants!$B$12,ROUND($Z218,1)&gt;Constants!$B$13,ROUND($AA218,1)&gt;Constants!$B$14),Constants!$B$10,Constants!$B$9))))</f>
        <v/>
      </c>
      <c r="BJ218" s="128" t="str">
        <f aca="false">IF($BL218&lt;&gt;Constants!$B$4,"",IF(NOT($BC218),"",ROUND($BE218+$BF218+$BG218+$BH218,1)))</f>
        <v/>
      </c>
      <c r="BK218" s="129" t="str">
        <f aca="false">IF($BL218&lt;&gt;Constants!$B$4,"",IF(NOT($BC218),"",IF(ISNUMBER($AL218),$AL218,0)))</f>
        <v/>
      </c>
      <c r="BL218" s="124" t="str">
        <f aca="false">IF(ISBLANK($C218),"",IF($AO218,Constants!$B$7,IF(COUNTA($E218:$V218)=0,Constants!$B$6,IF(NOT($Y218),Constants!$B$5,IF(NOT(OR($AS218,$BC218)),Constants!$B$5,IF(OR($AT218,$BD218,$AQ218,$AR218&lt;&gt;""),Constants!$B$8,Constants!$B$4))))))</f>
        <v/>
      </c>
      <c r="BM218" s="124" t="str">
        <f aca="false">IF(ISBLANK($C218),"",IF($BL218&lt;&gt;Constants!$B$4,$BL218,IF($BB218="-&gt;",$BI218,$AY218)))</f>
        <v/>
      </c>
      <c r="BN218" s="127" t="str">
        <f aca="false">IF($BL218&lt;&gt;Constants!$B$4,"",IF($BB218="-&gt;",$BJ218,$AZ218))</f>
        <v/>
      </c>
      <c r="BO218" s="127" t="str">
        <f aca="false">IF(ISBLANK($C218),"",IF($BL218&lt;&gt;Constants!$B$4,$BL218,$BN218))</f>
        <v/>
      </c>
      <c r="BP218" s="124" t="str">
        <f aca="false">IF(ISBLANK($C218),"",IF($BL218&lt;&gt;Constants!$B$4,$BL218,RANK($BO218,$BO$9:$BO$508,0)))</f>
        <v/>
      </c>
      <c r="BQ218" s="124" t="str">
        <f aca="false">IF(ISBLANK($C218),"",IF($BL218&lt;&gt;Constants!$B$4,$BL218,COUNTIFS($BM$9:$BM$508,"&lt;"&amp;$BM218)+COUNTIFS($BM$9:$BM$508,$BM218,$BP$9:$BP$508,"&lt;"&amp;$BP218)+1))</f>
        <v/>
      </c>
      <c r="BR218" s="127" t="str">
        <f aca="false">IF($BL218&lt;&gt;Constants!$B$4,"",IF($BB218="-&gt;",$BH218,$AX218))</f>
        <v/>
      </c>
      <c r="BS218" s="124" t="str">
        <f aca="false">IF(ISBLANK($C218),"",IF($BL218&lt;&gt;Constants!$B$4,$BL218,IF(ISNUMBER($BR218),RANK($BR218,$BR$9:$BR$508,0),COUNT($BR$9:$BR$508)+1)))</f>
        <v/>
      </c>
      <c r="BT218" s="127" t="str">
        <f aca="false">IF($BL218&lt;&gt;Constants!$B$4,"",IF($BB218="-&gt;",$BE218,$AU218))</f>
        <v/>
      </c>
      <c r="BU218" s="124" t="str">
        <f aca="false">IF(ISBLANK($C218),"",IF($BL218&lt;&gt;Constants!$B$4,$BL218,IF(ISNUMBER($BT218),RANK($BT218,$BT$9:$BT$508,0),COUNT($BT$9:$BT$508)+1)))</f>
        <v/>
      </c>
      <c r="BV218" s="127" t="str">
        <f aca="false">IF($BL218&lt;&gt;Constants!$B$4,"",IF($BB218="-&gt;",$BF218,$AV218))</f>
        <v/>
      </c>
      <c r="BW218" s="124" t="str">
        <f aca="false">IF(ISBLANK($C218),"",IF($BL218&lt;&gt;Constants!$B$4,$BL218,IF(ISNUMBER($BV218),RANK($BV218,$BV$9:$BV$508,0),COUNT($BV$9:$BV$508)+1)))</f>
        <v/>
      </c>
      <c r="BX218" s="127" t="str">
        <f aca="false">IF($BL218&lt;&gt;Constants!$B$4,"",IF($BB218="-&gt;",$BK218,$BA218))</f>
        <v/>
      </c>
      <c r="BY218" s="124" t="str">
        <f aca="false">IF(ISBLANK($C218),"",IF($BL218&lt;&gt;Constants!$B$4,$BL218,IF(ISNUMBER($BX218),RANK($BX218,$BX$9:$BX$508,0),COUNT($BX$9:$BX$508)+1)))</f>
        <v/>
      </c>
      <c r="BZ218" s="124" t="str">
        <f aca="false">IF(ISBLANK($C218),"",IF($BL218&lt;&gt;Constants!$B$4,$BL218,COUNTIFS($BM$9:$BM$508,"&lt;"&amp;$BM218)+COUNTIFS($BM$9:$BM$508,$BM218,$BP$9:$BP$508,"&lt;"&amp;$BP218)+COUNTIFS($BM$9:$BM$508,$BM218,$BP$9:$BP$508,$BP218,$BS$9:$BS$508,"&lt;"&amp;$BS218)+COUNTIFS($BM$9:$BM$508,$BM218,$BP$9:$BP$508,$BP218,$BS$9:$BS$508,$BS218,$BU$9:$BU$508,"&lt;"&amp;$BU218)+COUNTIFS($BM$9:$BM$508,$BM218,$BP$9:$BP$508,$BP218,$BS$9:$BS$508,$BS218,$BU$9:$BU$508,$BU218,$BW$9:$BW$508,"&lt;"&amp;$BW218)+COUNTIFS($BM$9:$BM$508,$BM218,$BP$9:$BP$508,$BP218,$BS$9:$BS$508,$BS218,$BU$9:$BU$508,$BU218,$BW$9:$BW$508,$BW218,$BY$9:$BY$508,"&lt;"&amp;$BY218)+1))</f>
        <v/>
      </c>
      <c r="CA218" s="124" t="str">
        <f aca="false">IF(ISBLANK($C218),"",IF($BL218&lt;&gt;Constants!$B$4,$BL218,$BQ218-$BZ218))</f>
        <v/>
      </c>
      <c r="CB218" s="130"/>
      <c r="CC218" s="131" t="str">
        <f aca="false">IF(ISBLANK($C218),"",IF($BL218=Constants!$B$8,$AR218,""))</f>
        <v/>
      </c>
      <c r="CD218" s="131" t="str">
        <f aca="false">IF(ISBLANK($C218),"",IF($BL218&lt;&gt;Constants!$B$4,"",IF($BB218="-&gt;",2,1)))</f>
        <v/>
      </c>
      <c r="CE218" s="132" t="str">
        <f aca="false">IF(ISBLANK($C218),"",IF($BL218&lt;&gt;Constants!$B$4,"",IF($BB218="-&gt;",$BE218,$AU218)))</f>
        <v/>
      </c>
      <c r="CF218" s="132" t="str">
        <f aca="false">IF(ISBLANK($C218),"",IF($BL218&lt;&gt;Constants!$B$4,"",IF($BB218="-&gt;",$BF218,$AV218)))</f>
        <v/>
      </c>
      <c r="CG218" s="132" t="str">
        <f aca="false">IF(ISBLANK($C218),"",IF($BL218&lt;&gt;Constants!$B$4,"",IF($BB218="-&gt;",$BG218,$AW218)))</f>
        <v/>
      </c>
      <c r="CH218" s="132" t="str">
        <f aca="false">IF(ISBLANK($C218),"",IF($BL218&lt;&gt;Constants!$B$4,"",IF($BB218="-&gt;",$BH218,$AX218)))</f>
        <v/>
      </c>
      <c r="CI218" s="133" t="str">
        <f aca="false">IF(ISBLANK($C218),"",$BO218)</f>
        <v/>
      </c>
      <c r="CJ218" s="134" t="str">
        <f aca="false">IF(ISBLANK($C218),"",$BM218)</f>
        <v/>
      </c>
      <c r="CK218" s="135" t="str">
        <f aca="false">IF(ISBLANK($C218),"",$CA218)</f>
        <v/>
      </c>
      <c r="CL218" s="135" t="str">
        <f aca="false">IF(ISBLANK($C218),"",$BZ218)</f>
        <v/>
      </c>
      <c r="CM218" s="136" t="str">
        <f aca="false">IF(ISBLANK($C218),"",IF($CL218=Constants!$B$7,COUNTA($C$9:$C$508)+2,IF($CL218=Constants!$B$6,COUNTA($C$9:$C$508)+1,IF($CL218=Constants!$B$5,COUNTA($C$9:$C$508),$CL218))))</f>
        <v/>
      </c>
      <c r="CN218" s="8"/>
      <c r="CO218" s="137" t="n">
        <f aca="false">IF(OR(ISNUMBER($CL218),$CL218=Constants!$B$7,$CL218=Constants!$B$5,$CL218=Constants!$B$6),1,0)</f>
        <v>0</v>
      </c>
      <c r="CP218" s="137" t="n">
        <v>210</v>
      </c>
      <c r="CQ218" s="137" t="str">
        <f aca="false">IF(ISBLANK($C218),"",IF(ISNUMBER($CM218),$CM218+ROW($B218)/1000,""))</f>
        <v/>
      </c>
      <c r="CR218" s="137" t="str">
        <f aca="false">IF(ISNUMBER($CQ218),RANK($CQ218,$CQ$9:$CQ$508,1),"")</f>
        <v/>
      </c>
      <c r="CS218" s="137" t="str">
        <f aca="false">IF(ISBLANK($C218),"",$B218)</f>
        <v/>
      </c>
      <c r="CT218" s="137" t="str">
        <f aca="false">IF(ISBLANK($C218),"",$C218)</f>
        <v/>
      </c>
      <c r="CU218" s="137" t="str">
        <f aca="false">IF(ISBLANK($C218),"",$D218)</f>
        <v/>
      </c>
      <c r="CV218" s="138" t="str">
        <f aca="false">$CJ218</f>
        <v/>
      </c>
      <c r="CW218" s="139" t="str">
        <f aca="false">$CI218</f>
        <v/>
      </c>
      <c r="CX218" s="137" t="str">
        <f aca="false">IF(ISBLANK($C218),"",$CL218)</f>
        <v/>
      </c>
      <c r="CY218" s="140" t="str">
        <f aca="false">IF($CP218&gt;$CO$8,"",VLOOKUP($CP218,$CR$9:$CX$508,7,FALSE()))</f>
        <v/>
      </c>
      <c r="CZ218" s="141" t="str">
        <f aca="false">IF($CP218&gt;$CO$8,"",VLOOKUP($CP218,$CR$9:$CX$508,2,FALSE()))</f>
        <v/>
      </c>
      <c r="DA218" s="141" t="str">
        <f aca="false">IF($CP218&gt;$CO$8,"",VLOOKUP($CP218,$CR$9:$CX$508,3,FALSE()))</f>
        <v/>
      </c>
      <c r="DB218" s="141" t="str">
        <f aca="false">IF($CP218&gt;$CO$8,"",VLOOKUP($CP218,$CR$9:$CX$508,4,FALSE()))</f>
        <v/>
      </c>
      <c r="DC218" s="141" t="str">
        <f aca="false">IF($CP218&gt;$CO$8,"",VLOOKUP($CP218,$CR$9:$CX$508,5,FALSE()))</f>
        <v/>
      </c>
      <c r="DD218" s="142" t="str">
        <f aca="false">IF($CP218&gt;$CO$8,"",VLOOKUP($CP218,$CR$9:$CX$508,6,FALSE()))</f>
        <v/>
      </c>
      <c r="DE218" s="70"/>
    </row>
    <row r="219" customFormat="false" ht="15.75" hidden="false" customHeight="false" outlineLevel="0" collapsed="false">
      <c r="A219" s="8"/>
      <c r="B219" s="72"/>
      <c r="C219" s="73"/>
      <c r="D219" s="155"/>
      <c r="E219" s="162"/>
      <c r="F219" s="157"/>
      <c r="G219" s="77"/>
      <c r="H219" s="77"/>
      <c r="I219" s="77"/>
      <c r="J219" s="163"/>
      <c r="K219" s="161"/>
      <c r="L219" s="161"/>
      <c r="M219" s="80"/>
      <c r="N219" s="161"/>
      <c r="O219" s="160"/>
      <c r="P219" s="161"/>
      <c r="Q219" s="161"/>
      <c r="R219" s="161"/>
      <c r="S219" s="77"/>
      <c r="T219" s="161"/>
      <c r="U219" s="160"/>
      <c r="V219" s="161"/>
      <c r="W219" s="85"/>
      <c r="X219" s="86" t="str">
        <f aca="false">IF(ISBLANK($C219),"",IF($E219=Constants!$B$2,TRUE(),IF($E219=Constants!$B$3,FALSE(),TRUE())))</f>
        <v/>
      </c>
      <c r="Y219" s="86" t="str">
        <f aca="false">IF(ISBLANK($C219),"",IF($F219=Constants!$B$2,TRUE(),IF($F219=Constants!$B$3,FALSE(),TRUE())))</f>
        <v/>
      </c>
      <c r="Z219" s="87" t="str">
        <f aca="false">IF(ISBLANK($C219),"",IF(ISNUMBER($G219),IF($G219&gt;=0,$G219,""),""))</f>
        <v/>
      </c>
      <c r="AA219" s="87" t="str">
        <f aca="false">IF(ISBLANK($C219),"",IF(ISNUMBER($H219),IF($H219&gt;=0,$H219,""),""))</f>
        <v/>
      </c>
      <c r="AB219" s="87" t="str">
        <f aca="false">IF(ISBLANK($C219),"",IF(ISNUMBER($I219),IF($I219&gt;=0,$I219,""),""))</f>
        <v/>
      </c>
      <c r="AC219" s="86" t="str">
        <f aca="false">IF(ISBLANK($C219),"",IF($J219=Constants!$B$2,TRUE(),IF($J219=Constants!$B$3,FALSE(),TRUE())))</f>
        <v/>
      </c>
      <c r="AD219" s="86" t="str">
        <f aca="false">IF(ISBLANK($C219),"",IF($K219=Constants!$B$2,TRUE(),IF($K219=Constants!$B$3,FALSE(),TRUE())))</f>
        <v/>
      </c>
      <c r="AE219" s="86" t="str">
        <f aca="false">IF(ISBLANK($C219),"",IF($L219=Constants!$B$2,TRUE(),IF($L219=Constants!$B$3,FALSE(),TRUE())))</f>
        <v/>
      </c>
      <c r="AF219" s="88" t="str">
        <f aca="false">IF(ISBLANK($C219),"",IF(ISNUMBER($M219),IF($M219&gt;=0,$M219,""),""))</f>
        <v/>
      </c>
      <c r="AG219" s="86" t="str">
        <f aca="false">IF(ISBLANK($C219),"",IF(ISBLANK($N219),0,IF(ISNUMBER($N219),IF(AND($N219&gt;=0,$N219&lt;=Constants!$B$17,$N219=INT($N219)),$N219,""),"")))</f>
        <v/>
      </c>
      <c r="AH219" s="87" t="str">
        <f aca="false">IF(ISBLANK($C219),"",IF(ISBLANK($O219),0,IF(ISNUMBER($O219),IF($O219&gt;=0,$O219,""),"")))</f>
        <v/>
      </c>
      <c r="AI219" s="86" t="str">
        <f aca="false">IF(ISBLANK($C219),"",IF($P219=Constants!$B$2,TRUE(),IF($P219=Constants!$B$3,FALSE(),TRUE())))</f>
        <v/>
      </c>
      <c r="AJ219" s="86" t="str">
        <f aca="false">IF(ISBLANK($C219),"",IF($Q219=Constants!$B$2,TRUE(),IF($Q219=Constants!$B$3,FALSE(),TRUE())))</f>
        <v/>
      </c>
      <c r="AK219" s="86" t="str">
        <f aca="false">IF(ISBLANK($C219),"",IF($R219=Constants!$B$2,TRUE(),IF($R219=Constants!$B$3,FALSE(),TRUE())))</f>
        <v/>
      </c>
      <c r="AL219" s="88" t="str">
        <f aca="false">IF(ISBLANK($C219),"",IF(ISNUMBER($S219),IF($S219&gt;=0,$S219,""),""))</f>
        <v/>
      </c>
      <c r="AM219" s="86" t="str">
        <f aca="false">IF(ISBLANK($C219),"",IF(ISBLANK($T219),0,IF(ISNUMBER($T219),IF(AND($T219&gt;=0,$T219&lt;=Constants!$B$17,$T219=INT($T219)),$T219,""),"")))</f>
        <v/>
      </c>
      <c r="AN219" s="87" t="str">
        <f aca="false">IF(ISBLANK($C219),"",IF(ISBLANK($U219),0,IF(ISNUMBER($U219),IF($U219&gt;=0,$U219,""),"")))</f>
        <v/>
      </c>
      <c r="AO219" s="86" t="str">
        <f aca="false">IF(ISBLANK($C219),"",IF($V219=Constants!$B$2,TRUE(),IF($V219=Constants!$B$3,FALSE(),FALSE())))</f>
        <v/>
      </c>
      <c r="AP219" s="86"/>
      <c r="AQ219" s="85" t="str">
        <f aca="false">IF(ISBLANK($C219),"",AND($Y219,OR($AS219,$BC219),OR($Z219="",$AA219="",$AB219="")))</f>
        <v/>
      </c>
      <c r="AR219" s="85" t="str">
        <f aca="false">IF(ISBLANK($C219),"",IF(OR(NOT($Y219),NOT(OR($AS219,$BC219))),"",IF(ISBLANK($D$7),$AR$5,IF($AP$9="",$AR$6,""))))</f>
        <v/>
      </c>
      <c r="AS219" s="85" t="str">
        <f aca="false">IF(ISBLANK($C219),"",COUNTA($J219:$O219)&gt;0)</f>
        <v/>
      </c>
      <c r="AT219" s="85" t="str">
        <f aca="false">IF(ISBLANK($C219),"",AND($AS219,OR(AND($AF219="",OR($AE219,NOT(ISBLANK($M219)))),$AG219="",$AH219="")))</f>
        <v/>
      </c>
      <c r="AU219" s="87" t="str">
        <f aca="false">IF($BL219&lt;&gt;Constants!$B$4,"",IF(NOT($AS219),"",ROUND((Constants!$B$12-$AB219)+(Constants!$B$13-$Z219)+(Constants!$B$14-$AA219),1)))</f>
        <v/>
      </c>
      <c r="AV219" s="90" t="str">
        <f aca="false">IF($BL219&lt;&gt;Constants!$B$4,"",IF(NOT($AS219),"",IF(NOT($AE219),0,Constants!$B$15*(INT(ROUND(MIN($AF219,$AP$9),6))-INT(ROUND(MAX(0,MIN($AF219,2*$AP$9)-$AP$9),6))))))</f>
        <v/>
      </c>
      <c r="AW219" s="90" t="str">
        <f aca="false">IF($BL219&lt;&gt;Constants!$B$4,"",IF(NOT($AS219),"",Constants!$B$16*$AG219))</f>
        <v/>
      </c>
      <c r="AX219" s="90" t="str">
        <f aca="false">IF($BL219&lt;&gt;Constants!$B$4,"",IF(NOT($AS219),"",Constants!$B$18*INT(ROUND($AH219,6))))</f>
        <v/>
      </c>
      <c r="AY219" s="85" t="str">
        <f aca="false">IF($BL219&lt;&gt;Constants!$B$4,"",IF(NOT($AS219),"",IF(NOT($X219),Constants!$B$11,IF(OR(NOT($AC219),NOT($AD219),ROUND($AB219,1)&gt;Constants!$B$12,ROUND($Z219,1)&gt;Constants!$B$13,ROUND($AA219,1)&gt;Constants!$B$14),Constants!$B$10,Constants!$B$9))))</f>
        <v/>
      </c>
      <c r="AZ219" s="91" t="str">
        <f aca="false">IF($BL219&lt;&gt;Constants!$B$4,"",IF(NOT($AS219),"",ROUND($AU219+$AV219+$AW219+$AX219,1)))</f>
        <v/>
      </c>
      <c r="BA219" s="92" t="str">
        <f aca="false">IF($BL219&lt;&gt;Constants!$B$4,"",IF(NOT($AS219),"",IF(ISNUMBER($AF219),$AF219,0)))</f>
        <v/>
      </c>
      <c r="BB219" s="86" t="str">
        <f aca="false">IF($BL219&lt;&gt;Constants!$B$4,"",IF(NOT($BC219),"&lt;-",IF(NOT($AS219),"-&gt;",IF(OR($BI219&lt;$AY219,AND($BI219=$AY219,OR($BJ219&gt;$AZ219,AND($BJ219=$AZ219,OR($BH219&gt;$AX219,AND($BH219=$AX219,OR($BE219&gt;$AU219,AND($BE219=$AU219,OR($BF219&gt;$AV219,AND($BF219=$AV219,$BK219&gt;$BA219)))))))))),"-&gt;","&lt;-"))))</f>
        <v/>
      </c>
      <c r="BC219" s="85" t="str">
        <f aca="false">IF(ISBLANK($C219),"",COUNTA($P219:$U219)&gt;0)</f>
        <v/>
      </c>
      <c r="BD219" s="85" t="str">
        <f aca="false">IF(ISBLANK($C219),"",AND($BC219,OR(AND($AL219="",OR($AK219,NOT(ISBLANK($S219)))),$AM219="",$AN219="")))</f>
        <v/>
      </c>
      <c r="BE219" s="87" t="str">
        <f aca="false">IF($BL219&lt;&gt;Constants!$B$4,"",IF(NOT($BC219),"",ROUND((Constants!$B$12-$AB219)+(Constants!$B$13-$Z219)+(Constants!$B$14-$AA219),1)))</f>
        <v/>
      </c>
      <c r="BF219" s="90" t="str">
        <f aca="false">IF($BL219&lt;&gt;Constants!$B$4,"",IF(NOT($BC219),"",IF(NOT($AK219),0,Constants!$B$15*(INT(ROUND(MIN($AL219,$AP$9),6))-INT(ROUND(MAX(0,MIN($AL219,2*$AP$9)-$AP$9),6))))))</f>
        <v/>
      </c>
      <c r="BG219" s="90" t="str">
        <f aca="false">IF($BL219&lt;&gt;Constants!$B$4,"",IF(NOT($BC219),"",Constants!$B$16*$AM219))</f>
        <v/>
      </c>
      <c r="BH219" s="90" t="str">
        <f aca="false">IF($BL219&lt;&gt;Constants!$B$4,"",IF(NOT($BC219),"",Constants!$B$18*INT(ROUND($AN219,6))))</f>
        <v/>
      </c>
      <c r="BI219" s="85" t="str">
        <f aca="false">IF($BL219&lt;&gt;Constants!$B$4,"",IF(NOT($BC219),"",IF(NOT($X219),Constants!$B$11,IF(OR(NOT($AI219),NOT($AJ219),ROUND($AB219,1)&gt;Constants!$B$12,ROUND($Z219,1)&gt;Constants!$B$13,ROUND($AA219,1)&gt;Constants!$B$14),Constants!$B$10,Constants!$B$9))))</f>
        <v/>
      </c>
      <c r="BJ219" s="91" t="str">
        <f aca="false">IF($BL219&lt;&gt;Constants!$B$4,"",IF(NOT($BC219),"",ROUND($BE219+$BF219+$BG219+$BH219,1)))</f>
        <v/>
      </c>
      <c r="BK219" s="92" t="str">
        <f aca="false">IF($BL219&lt;&gt;Constants!$B$4,"",IF(NOT($BC219),"",IF(ISNUMBER($AL219),$AL219,0)))</f>
        <v/>
      </c>
      <c r="BL219" s="86" t="str">
        <f aca="false">IF(ISBLANK($C219),"",IF($AO219,Constants!$B$7,IF(COUNTA($E219:$V219)=0,Constants!$B$6,IF(NOT($Y219),Constants!$B$5,IF(NOT(OR($AS219,$BC219)),Constants!$B$5,IF(OR($AT219,$BD219,$AQ219,$AR219&lt;&gt;""),Constants!$B$8,Constants!$B$4))))))</f>
        <v/>
      </c>
      <c r="BM219" s="86" t="str">
        <f aca="false">IF(ISBLANK($C219),"",IF($BL219&lt;&gt;Constants!$B$4,$BL219,IF($BB219="-&gt;",$BI219,$AY219)))</f>
        <v/>
      </c>
      <c r="BN219" s="90" t="str">
        <f aca="false">IF($BL219&lt;&gt;Constants!$B$4,"",IF($BB219="-&gt;",$BJ219,$AZ219))</f>
        <v/>
      </c>
      <c r="BO219" s="90" t="str">
        <f aca="false">IF(ISBLANK($C219),"",IF($BL219&lt;&gt;Constants!$B$4,$BL219,$BN219))</f>
        <v/>
      </c>
      <c r="BP219" s="86" t="str">
        <f aca="false">IF(ISBLANK($C219),"",IF($BL219&lt;&gt;Constants!$B$4,$BL219,RANK($BO219,$BO$9:$BO$508,0)))</f>
        <v/>
      </c>
      <c r="BQ219" s="86" t="str">
        <f aca="false">IF(ISBLANK($C219),"",IF($BL219&lt;&gt;Constants!$B$4,$BL219,COUNTIFS($BM$9:$BM$508,"&lt;"&amp;$BM219)+COUNTIFS($BM$9:$BM$508,$BM219,$BP$9:$BP$508,"&lt;"&amp;$BP219)+1))</f>
        <v/>
      </c>
      <c r="BR219" s="90" t="str">
        <f aca="false">IF($BL219&lt;&gt;Constants!$B$4,"",IF($BB219="-&gt;",$BH219,$AX219))</f>
        <v/>
      </c>
      <c r="BS219" s="86" t="str">
        <f aca="false">IF(ISBLANK($C219),"",IF($BL219&lt;&gt;Constants!$B$4,$BL219,IF(ISNUMBER($BR219),RANK($BR219,$BR$9:$BR$508,0),COUNT($BR$9:$BR$508)+1)))</f>
        <v/>
      </c>
      <c r="BT219" s="90" t="str">
        <f aca="false">IF($BL219&lt;&gt;Constants!$B$4,"",IF($BB219="-&gt;",$BE219,$AU219))</f>
        <v/>
      </c>
      <c r="BU219" s="86" t="str">
        <f aca="false">IF(ISBLANK($C219),"",IF($BL219&lt;&gt;Constants!$B$4,$BL219,IF(ISNUMBER($BT219),RANK($BT219,$BT$9:$BT$508,0),COUNT($BT$9:$BT$508)+1)))</f>
        <v/>
      </c>
      <c r="BV219" s="90" t="str">
        <f aca="false">IF($BL219&lt;&gt;Constants!$B$4,"",IF($BB219="-&gt;",$BF219,$AV219))</f>
        <v/>
      </c>
      <c r="BW219" s="86" t="str">
        <f aca="false">IF(ISBLANK($C219),"",IF($BL219&lt;&gt;Constants!$B$4,$BL219,IF(ISNUMBER($BV219),RANK($BV219,$BV$9:$BV$508,0),COUNT($BV$9:$BV$508)+1)))</f>
        <v/>
      </c>
      <c r="BX219" s="90" t="str">
        <f aca="false">IF($BL219&lt;&gt;Constants!$B$4,"",IF($BB219="-&gt;",$BK219,$BA219))</f>
        <v/>
      </c>
      <c r="BY219" s="86" t="str">
        <f aca="false">IF(ISBLANK($C219),"",IF($BL219&lt;&gt;Constants!$B$4,$BL219,IF(ISNUMBER($BX219),RANK($BX219,$BX$9:$BX$508,0),COUNT($BX$9:$BX$508)+1)))</f>
        <v/>
      </c>
      <c r="BZ219" s="86" t="str">
        <f aca="false">IF(ISBLANK($C219),"",IF($BL219&lt;&gt;Constants!$B$4,$BL219,COUNTIFS($BM$9:$BM$508,"&lt;"&amp;$BM219)+COUNTIFS($BM$9:$BM$508,$BM219,$BP$9:$BP$508,"&lt;"&amp;$BP219)+COUNTIFS($BM$9:$BM$508,$BM219,$BP$9:$BP$508,$BP219,$BS$9:$BS$508,"&lt;"&amp;$BS219)+COUNTIFS($BM$9:$BM$508,$BM219,$BP$9:$BP$508,$BP219,$BS$9:$BS$508,$BS219,$BU$9:$BU$508,"&lt;"&amp;$BU219)+COUNTIFS($BM$9:$BM$508,$BM219,$BP$9:$BP$508,$BP219,$BS$9:$BS$508,$BS219,$BU$9:$BU$508,$BU219,$BW$9:$BW$508,"&lt;"&amp;$BW219)+COUNTIFS($BM$9:$BM$508,$BM219,$BP$9:$BP$508,$BP219,$BS$9:$BS$508,$BS219,$BU$9:$BU$508,$BU219,$BW$9:$BW$508,$BW219,$BY$9:$BY$508,"&lt;"&amp;$BY219)+1))</f>
        <v/>
      </c>
      <c r="CA219" s="86" t="str">
        <f aca="false">IF(ISBLANK($C219),"",IF($BL219&lt;&gt;Constants!$B$4,$BL219,$BQ219-$BZ219))</f>
        <v/>
      </c>
      <c r="CB219" s="93"/>
      <c r="CC219" s="94" t="str">
        <f aca="false">IF(ISBLANK($C219),"",IF($BL219=Constants!$B$8,$AR219,""))</f>
        <v/>
      </c>
      <c r="CD219" s="94" t="str">
        <f aca="false">IF(ISBLANK($C219),"",IF($BL219&lt;&gt;Constants!$B$4,"",IF($BB219="-&gt;",2,1)))</f>
        <v/>
      </c>
      <c r="CE219" s="95" t="str">
        <f aca="false">IF(ISBLANK($C219),"",IF($BL219&lt;&gt;Constants!$B$4,"",IF($BB219="-&gt;",$BE219,$AU219)))</f>
        <v/>
      </c>
      <c r="CF219" s="95" t="str">
        <f aca="false">IF(ISBLANK($C219),"",IF($BL219&lt;&gt;Constants!$B$4,"",IF($BB219="-&gt;",$BF219,$AV219)))</f>
        <v/>
      </c>
      <c r="CG219" s="95" t="str">
        <f aca="false">IF(ISBLANK($C219),"",IF($BL219&lt;&gt;Constants!$B$4,"",IF($BB219="-&gt;",$BG219,$AW219)))</f>
        <v/>
      </c>
      <c r="CH219" s="95" t="str">
        <f aca="false">IF(ISBLANK($C219),"",IF($BL219&lt;&gt;Constants!$B$4,"",IF($BB219="-&gt;",$BH219,$AX219)))</f>
        <v/>
      </c>
      <c r="CI219" s="96" t="str">
        <f aca="false">IF(ISBLANK($C219),"",$BO219)</f>
        <v/>
      </c>
      <c r="CJ219" s="97" t="str">
        <f aca="false">IF(ISBLANK($C219),"",$BM219)</f>
        <v/>
      </c>
      <c r="CK219" s="98" t="str">
        <f aca="false">IF(ISBLANK($C219),"",$CA219)</f>
        <v/>
      </c>
      <c r="CL219" s="98" t="str">
        <f aca="false">IF(ISBLANK($C219),"",$BZ219)</f>
        <v/>
      </c>
      <c r="CM219" s="99" t="str">
        <f aca="false">IF(ISBLANK($C219),"",IF($CL219=Constants!$B$7,COUNTA($C$9:$C$508)+2,IF($CL219=Constants!$B$6,COUNTA($C$9:$C$508)+1,IF($CL219=Constants!$B$5,COUNTA($C$9:$C$508),$CL219))))</f>
        <v/>
      </c>
      <c r="CN219" s="8"/>
      <c r="CO219" s="100" t="n">
        <f aca="false">IF(OR(ISNUMBER($CL219),$CL219=Constants!$B$7,$CL219=Constants!$B$5,$CL219=Constants!$B$6),1,0)</f>
        <v>0</v>
      </c>
      <c r="CP219" s="100" t="n">
        <v>211</v>
      </c>
      <c r="CQ219" s="100" t="str">
        <f aca="false">IF(ISBLANK($C219),"",IF(ISNUMBER($CM219),$CM219+ROW($B219)/1000,""))</f>
        <v/>
      </c>
      <c r="CR219" s="100" t="str">
        <f aca="false">IF(ISNUMBER($CQ219),RANK($CQ219,$CQ$9:$CQ$508,1),"")</f>
        <v/>
      </c>
      <c r="CS219" s="100" t="str">
        <f aca="false">IF(ISBLANK($C219),"",$B219)</f>
        <v/>
      </c>
      <c r="CT219" s="100" t="str">
        <f aca="false">IF(ISBLANK($C219),"",$C219)</f>
        <v/>
      </c>
      <c r="CU219" s="100" t="str">
        <f aca="false">IF(ISBLANK($C219),"",$D219)</f>
        <v/>
      </c>
      <c r="CV219" s="101" t="str">
        <f aca="false">$CJ219</f>
        <v/>
      </c>
      <c r="CW219" s="102" t="str">
        <f aca="false">$CI219</f>
        <v/>
      </c>
      <c r="CX219" s="100" t="str">
        <f aca="false">IF(ISBLANK($C219),"",$CL219)</f>
        <v/>
      </c>
      <c r="CY219" s="103" t="str">
        <f aca="false">IF($CP219&gt;$CO$8,"",VLOOKUP($CP219,$CR$9:$CX$508,7,FALSE()))</f>
        <v/>
      </c>
      <c r="CZ219" s="104" t="str">
        <f aca="false">IF($CP219&gt;$CO$8,"",VLOOKUP($CP219,$CR$9:$CX$508,2,FALSE()))</f>
        <v/>
      </c>
      <c r="DA219" s="104" t="str">
        <f aca="false">IF($CP219&gt;$CO$8,"",VLOOKUP($CP219,$CR$9:$CX$508,3,FALSE()))</f>
        <v/>
      </c>
      <c r="DB219" s="104" t="str">
        <f aca="false">IF($CP219&gt;$CO$8,"",VLOOKUP($CP219,$CR$9:$CX$508,4,FALSE()))</f>
        <v/>
      </c>
      <c r="DC219" s="104" t="str">
        <f aca="false">IF($CP219&gt;$CO$8,"",VLOOKUP($CP219,$CR$9:$CX$508,5,FALSE()))</f>
        <v/>
      </c>
      <c r="DD219" s="105" t="str">
        <f aca="false">IF($CP219&gt;$CO$8,"",VLOOKUP($CP219,$CR$9:$CX$508,6,FALSE()))</f>
        <v/>
      </c>
      <c r="DE219" s="70"/>
    </row>
    <row r="220" customFormat="false" ht="15.75" hidden="false" customHeight="false" outlineLevel="0" collapsed="false">
      <c r="A220" s="8"/>
      <c r="B220" s="72"/>
      <c r="C220" s="73"/>
      <c r="D220" s="155"/>
      <c r="E220" s="162"/>
      <c r="F220" s="157"/>
      <c r="G220" s="77"/>
      <c r="H220" s="77"/>
      <c r="I220" s="77"/>
      <c r="J220" s="163"/>
      <c r="K220" s="161"/>
      <c r="L220" s="161"/>
      <c r="M220" s="80"/>
      <c r="N220" s="161"/>
      <c r="O220" s="160"/>
      <c r="P220" s="161"/>
      <c r="Q220" s="161"/>
      <c r="R220" s="161"/>
      <c r="S220" s="77"/>
      <c r="T220" s="161"/>
      <c r="U220" s="160"/>
      <c r="V220" s="161"/>
      <c r="W220" s="85"/>
      <c r="X220" s="86" t="str">
        <f aca="false">IF(ISBLANK($C220),"",IF($E220=Constants!$B$2,TRUE(),IF($E220=Constants!$B$3,FALSE(),TRUE())))</f>
        <v/>
      </c>
      <c r="Y220" s="86" t="str">
        <f aca="false">IF(ISBLANK($C220),"",IF($F220=Constants!$B$2,TRUE(),IF($F220=Constants!$B$3,FALSE(),TRUE())))</f>
        <v/>
      </c>
      <c r="Z220" s="87" t="str">
        <f aca="false">IF(ISBLANK($C220),"",IF(ISNUMBER($G220),IF($G220&gt;=0,$G220,""),""))</f>
        <v/>
      </c>
      <c r="AA220" s="87" t="str">
        <f aca="false">IF(ISBLANK($C220),"",IF(ISNUMBER($H220),IF($H220&gt;=0,$H220,""),""))</f>
        <v/>
      </c>
      <c r="AB220" s="87" t="str">
        <f aca="false">IF(ISBLANK($C220),"",IF(ISNUMBER($I220),IF($I220&gt;=0,$I220,""),""))</f>
        <v/>
      </c>
      <c r="AC220" s="86" t="str">
        <f aca="false">IF(ISBLANK($C220),"",IF($J220=Constants!$B$2,TRUE(),IF($J220=Constants!$B$3,FALSE(),TRUE())))</f>
        <v/>
      </c>
      <c r="AD220" s="86" t="str">
        <f aca="false">IF(ISBLANK($C220),"",IF($K220=Constants!$B$2,TRUE(),IF($K220=Constants!$B$3,FALSE(),TRUE())))</f>
        <v/>
      </c>
      <c r="AE220" s="86" t="str">
        <f aca="false">IF(ISBLANK($C220),"",IF($L220=Constants!$B$2,TRUE(),IF($L220=Constants!$B$3,FALSE(),TRUE())))</f>
        <v/>
      </c>
      <c r="AF220" s="88" t="str">
        <f aca="false">IF(ISBLANK($C220),"",IF(ISNUMBER($M220),IF($M220&gt;=0,$M220,""),""))</f>
        <v/>
      </c>
      <c r="AG220" s="86" t="str">
        <f aca="false">IF(ISBLANK($C220),"",IF(ISBLANK($N220),0,IF(ISNUMBER($N220),IF(AND($N220&gt;=0,$N220&lt;=Constants!$B$17,$N220=INT($N220)),$N220,""),"")))</f>
        <v/>
      </c>
      <c r="AH220" s="87" t="str">
        <f aca="false">IF(ISBLANK($C220),"",IF(ISBLANK($O220),0,IF(ISNUMBER($O220),IF($O220&gt;=0,$O220,""),"")))</f>
        <v/>
      </c>
      <c r="AI220" s="86" t="str">
        <f aca="false">IF(ISBLANK($C220),"",IF($P220=Constants!$B$2,TRUE(),IF($P220=Constants!$B$3,FALSE(),TRUE())))</f>
        <v/>
      </c>
      <c r="AJ220" s="86" t="str">
        <f aca="false">IF(ISBLANK($C220),"",IF($Q220=Constants!$B$2,TRUE(),IF($Q220=Constants!$B$3,FALSE(),TRUE())))</f>
        <v/>
      </c>
      <c r="AK220" s="86" t="str">
        <f aca="false">IF(ISBLANK($C220),"",IF($R220=Constants!$B$2,TRUE(),IF($R220=Constants!$B$3,FALSE(),TRUE())))</f>
        <v/>
      </c>
      <c r="AL220" s="88" t="str">
        <f aca="false">IF(ISBLANK($C220),"",IF(ISNUMBER($S220),IF($S220&gt;=0,$S220,""),""))</f>
        <v/>
      </c>
      <c r="AM220" s="86" t="str">
        <f aca="false">IF(ISBLANK($C220),"",IF(ISBLANK($T220),0,IF(ISNUMBER($T220),IF(AND($T220&gt;=0,$T220&lt;=Constants!$B$17,$T220=INT($T220)),$T220,""),"")))</f>
        <v/>
      </c>
      <c r="AN220" s="87" t="str">
        <f aca="false">IF(ISBLANK($C220),"",IF(ISBLANK($U220),0,IF(ISNUMBER($U220),IF($U220&gt;=0,$U220,""),"")))</f>
        <v/>
      </c>
      <c r="AO220" s="86" t="str">
        <f aca="false">IF(ISBLANK($C220),"",IF($V220=Constants!$B$2,TRUE(),IF($V220=Constants!$B$3,FALSE(),FALSE())))</f>
        <v/>
      </c>
      <c r="AP220" s="86"/>
      <c r="AQ220" s="85" t="str">
        <f aca="false">IF(ISBLANK($C220),"",AND($Y220,OR($AS220,$BC220),OR($Z220="",$AA220="",$AB220="")))</f>
        <v/>
      </c>
      <c r="AR220" s="85" t="str">
        <f aca="false">IF(ISBLANK($C220),"",IF(OR(NOT($Y220),NOT(OR($AS220,$BC220))),"",IF(ISBLANK($D$7),$AR$5,IF($AP$9="",$AR$6,""))))</f>
        <v/>
      </c>
      <c r="AS220" s="85" t="str">
        <f aca="false">IF(ISBLANK($C220),"",COUNTA($J220:$O220)&gt;0)</f>
        <v/>
      </c>
      <c r="AT220" s="85" t="str">
        <f aca="false">IF(ISBLANK($C220),"",AND($AS220,OR(AND($AF220="",OR($AE220,NOT(ISBLANK($M220)))),$AG220="",$AH220="")))</f>
        <v/>
      </c>
      <c r="AU220" s="87" t="str">
        <f aca="false">IF($BL220&lt;&gt;Constants!$B$4,"",IF(NOT($AS220),"",ROUND((Constants!$B$12-$AB220)+(Constants!$B$13-$Z220)+(Constants!$B$14-$AA220),1)))</f>
        <v/>
      </c>
      <c r="AV220" s="90" t="str">
        <f aca="false">IF($BL220&lt;&gt;Constants!$B$4,"",IF(NOT($AS220),"",IF(NOT($AE220),0,Constants!$B$15*(INT(ROUND(MIN($AF220,$AP$9),6))-INT(ROUND(MAX(0,MIN($AF220,2*$AP$9)-$AP$9),6))))))</f>
        <v/>
      </c>
      <c r="AW220" s="90" t="str">
        <f aca="false">IF($BL220&lt;&gt;Constants!$B$4,"",IF(NOT($AS220),"",Constants!$B$16*$AG220))</f>
        <v/>
      </c>
      <c r="AX220" s="90" t="str">
        <f aca="false">IF($BL220&lt;&gt;Constants!$B$4,"",IF(NOT($AS220),"",Constants!$B$18*INT(ROUND($AH220,6))))</f>
        <v/>
      </c>
      <c r="AY220" s="85" t="str">
        <f aca="false">IF($BL220&lt;&gt;Constants!$B$4,"",IF(NOT($AS220),"",IF(NOT($X220),Constants!$B$11,IF(OR(NOT($AC220),NOT($AD220),ROUND($AB220,1)&gt;Constants!$B$12,ROUND($Z220,1)&gt;Constants!$B$13,ROUND($AA220,1)&gt;Constants!$B$14),Constants!$B$10,Constants!$B$9))))</f>
        <v/>
      </c>
      <c r="AZ220" s="91" t="str">
        <f aca="false">IF($BL220&lt;&gt;Constants!$B$4,"",IF(NOT($AS220),"",ROUND($AU220+$AV220+$AW220+$AX220,1)))</f>
        <v/>
      </c>
      <c r="BA220" s="92" t="str">
        <f aca="false">IF($BL220&lt;&gt;Constants!$B$4,"",IF(NOT($AS220),"",IF(ISNUMBER($AF220),$AF220,0)))</f>
        <v/>
      </c>
      <c r="BB220" s="86" t="str">
        <f aca="false">IF($BL220&lt;&gt;Constants!$B$4,"",IF(NOT($BC220),"&lt;-",IF(NOT($AS220),"-&gt;",IF(OR($BI220&lt;$AY220,AND($BI220=$AY220,OR($BJ220&gt;$AZ220,AND($BJ220=$AZ220,OR($BH220&gt;$AX220,AND($BH220=$AX220,OR($BE220&gt;$AU220,AND($BE220=$AU220,OR($BF220&gt;$AV220,AND($BF220=$AV220,$BK220&gt;$BA220)))))))))),"-&gt;","&lt;-"))))</f>
        <v/>
      </c>
      <c r="BC220" s="85" t="str">
        <f aca="false">IF(ISBLANK($C220),"",COUNTA($P220:$U220)&gt;0)</f>
        <v/>
      </c>
      <c r="BD220" s="85" t="str">
        <f aca="false">IF(ISBLANK($C220),"",AND($BC220,OR(AND($AL220="",OR($AK220,NOT(ISBLANK($S220)))),$AM220="",$AN220="")))</f>
        <v/>
      </c>
      <c r="BE220" s="87" t="str">
        <f aca="false">IF($BL220&lt;&gt;Constants!$B$4,"",IF(NOT($BC220),"",ROUND((Constants!$B$12-$AB220)+(Constants!$B$13-$Z220)+(Constants!$B$14-$AA220),1)))</f>
        <v/>
      </c>
      <c r="BF220" s="90" t="str">
        <f aca="false">IF($BL220&lt;&gt;Constants!$B$4,"",IF(NOT($BC220),"",IF(NOT($AK220),0,Constants!$B$15*(INT(ROUND(MIN($AL220,$AP$9),6))-INT(ROUND(MAX(0,MIN($AL220,2*$AP$9)-$AP$9),6))))))</f>
        <v/>
      </c>
      <c r="BG220" s="90" t="str">
        <f aca="false">IF($BL220&lt;&gt;Constants!$B$4,"",IF(NOT($BC220),"",Constants!$B$16*$AM220))</f>
        <v/>
      </c>
      <c r="BH220" s="90" t="str">
        <f aca="false">IF($BL220&lt;&gt;Constants!$B$4,"",IF(NOT($BC220),"",Constants!$B$18*INT(ROUND($AN220,6))))</f>
        <v/>
      </c>
      <c r="BI220" s="85" t="str">
        <f aca="false">IF($BL220&lt;&gt;Constants!$B$4,"",IF(NOT($BC220),"",IF(NOT($X220),Constants!$B$11,IF(OR(NOT($AI220),NOT($AJ220),ROUND($AB220,1)&gt;Constants!$B$12,ROUND($Z220,1)&gt;Constants!$B$13,ROUND($AA220,1)&gt;Constants!$B$14),Constants!$B$10,Constants!$B$9))))</f>
        <v/>
      </c>
      <c r="BJ220" s="91" t="str">
        <f aca="false">IF($BL220&lt;&gt;Constants!$B$4,"",IF(NOT($BC220),"",ROUND($BE220+$BF220+$BG220+$BH220,1)))</f>
        <v/>
      </c>
      <c r="BK220" s="92" t="str">
        <f aca="false">IF($BL220&lt;&gt;Constants!$B$4,"",IF(NOT($BC220),"",IF(ISNUMBER($AL220),$AL220,0)))</f>
        <v/>
      </c>
      <c r="BL220" s="86" t="str">
        <f aca="false">IF(ISBLANK($C220),"",IF($AO220,Constants!$B$7,IF(COUNTA($E220:$V220)=0,Constants!$B$6,IF(NOT($Y220),Constants!$B$5,IF(NOT(OR($AS220,$BC220)),Constants!$B$5,IF(OR($AT220,$BD220,$AQ220,$AR220&lt;&gt;""),Constants!$B$8,Constants!$B$4))))))</f>
        <v/>
      </c>
      <c r="BM220" s="86" t="str">
        <f aca="false">IF(ISBLANK($C220),"",IF($BL220&lt;&gt;Constants!$B$4,$BL220,IF($BB220="-&gt;",$BI220,$AY220)))</f>
        <v/>
      </c>
      <c r="BN220" s="90" t="str">
        <f aca="false">IF($BL220&lt;&gt;Constants!$B$4,"",IF($BB220="-&gt;",$BJ220,$AZ220))</f>
        <v/>
      </c>
      <c r="BO220" s="90" t="str">
        <f aca="false">IF(ISBLANK($C220),"",IF($BL220&lt;&gt;Constants!$B$4,$BL220,$BN220))</f>
        <v/>
      </c>
      <c r="BP220" s="86" t="str">
        <f aca="false">IF(ISBLANK($C220),"",IF($BL220&lt;&gt;Constants!$B$4,$BL220,RANK($BO220,$BO$9:$BO$508,0)))</f>
        <v/>
      </c>
      <c r="BQ220" s="86" t="str">
        <f aca="false">IF(ISBLANK($C220),"",IF($BL220&lt;&gt;Constants!$B$4,$BL220,COUNTIFS($BM$9:$BM$508,"&lt;"&amp;$BM220)+COUNTIFS($BM$9:$BM$508,$BM220,$BP$9:$BP$508,"&lt;"&amp;$BP220)+1))</f>
        <v/>
      </c>
      <c r="BR220" s="90" t="str">
        <f aca="false">IF($BL220&lt;&gt;Constants!$B$4,"",IF($BB220="-&gt;",$BH220,$AX220))</f>
        <v/>
      </c>
      <c r="BS220" s="86" t="str">
        <f aca="false">IF(ISBLANK($C220),"",IF($BL220&lt;&gt;Constants!$B$4,$BL220,IF(ISNUMBER($BR220),RANK($BR220,$BR$9:$BR$508,0),COUNT($BR$9:$BR$508)+1)))</f>
        <v/>
      </c>
      <c r="BT220" s="90" t="str">
        <f aca="false">IF($BL220&lt;&gt;Constants!$B$4,"",IF($BB220="-&gt;",$BE220,$AU220))</f>
        <v/>
      </c>
      <c r="BU220" s="86" t="str">
        <f aca="false">IF(ISBLANK($C220),"",IF($BL220&lt;&gt;Constants!$B$4,$BL220,IF(ISNUMBER($BT220),RANK($BT220,$BT$9:$BT$508,0),COUNT($BT$9:$BT$508)+1)))</f>
        <v/>
      </c>
      <c r="BV220" s="90" t="str">
        <f aca="false">IF($BL220&lt;&gt;Constants!$B$4,"",IF($BB220="-&gt;",$BF220,$AV220))</f>
        <v/>
      </c>
      <c r="BW220" s="86" t="str">
        <f aca="false">IF(ISBLANK($C220),"",IF($BL220&lt;&gt;Constants!$B$4,$BL220,IF(ISNUMBER($BV220),RANK($BV220,$BV$9:$BV$508,0),COUNT($BV$9:$BV$508)+1)))</f>
        <v/>
      </c>
      <c r="BX220" s="90" t="str">
        <f aca="false">IF($BL220&lt;&gt;Constants!$B$4,"",IF($BB220="-&gt;",$BK220,$BA220))</f>
        <v/>
      </c>
      <c r="BY220" s="86" t="str">
        <f aca="false">IF(ISBLANK($C220),"",IF($BL220&lt;&gt;Constants!$B$4,$BL220,IF(ISNUMBER($BX220),RANK($BX220,$BX$9:$BX$508,0),COUNT($BX$9:$BX$508)+1)))</f>
        <v/>
      </c>
      <c r="BZ220" s="86" t="str">
        <f aca="false">IF(ISBLANK($C220),"",IF($BL220&lt;&gt;Constants!$B$4,$BL220,COUNTIFS($BM$9:$BM$508,"&lt;"&amp;$BM220)+COUNTIFS($BM$9:$BM$508,$BM220,$BP$9:$BP$508,"&lt;"&amp;$BP220)+COUNTIFS($BM$9:$BM$508,$BM220,$BP$9:$BP$508,$BP220,$BS$9:$BS$508,"&lt;"&amp;$BS220)+COUNTIFS($BM$9:$BM$508,$BM220,$BP$9:$BP$508,$BP220,$BS$9:$BS$508,$BS220,$BU$9:$BU$508,"&lt;"&amp;$BU220)+COUNTIFS($BM$9:$BM$508,$BM220,$BP$9:$BP$508,$BP220,$BS$9:$BS$508,$BS220,$BU$9:$BU$508,$BU220,$BW$9:$BW$508,"&lt;"&amp;$BW220)+COUNTIFS($BM$9:$BM$508,$BM220,$BP$9:$BP$508,$BP220,$BS$9:$BS$508,$BS220,$BU$9:$BU$508,$BU220,$BW$9:$BW$508,$BW220,$BY$9:$BY$508,"&lt;"&amp;$BY220)+1))</f>
        <v/>
      </c>
      <c r="CA220" s="86" t="str">
        <f aca="false">IF(ISBLANK($C220),"",IF($BL220&lt;&gt;Constants!$B$4,$BL220,$BQ220-$BZ220))</f>
        <v/>
      </c>
      <c r="CB220" s="93"/>
      <c r="CC220" s="94" t="str">
        <f aca="false">IF(ISBLANK($C220),"",IF($BL220=Constants!$B$8,$AR220,""))</f>
        <v/>
      </c>
      <c r="CD220" s="94" t="str">
        <f aca="false">IF(ISBLANK($C220),"",IF($BL220&lt;&gt;Constants!$B$4,"",IF($BB220="-&gt;",2,1)))</f>
        <v/>
      </c>
      <c r="CE220" s="95" t="str">
        <f aca="false">IF(ISBLANK($C220),"",IF($BL220&lt;&gt;Constants!$B$4,"",IF($BB220="-&gt;",$BE220,$AU220)))</f>
        <v/>
      </c>
      <c r="CF220" s="95" t="str">
        <f aca="false">IF(ISBLANK($C220),"",IF($BL220&lt;&gt;Constants!$B$4,"",IF($BB220="-&gt;",$BF220,$AV220)))</f>
        <v/>
      </c>
      <c r="CG220" s="95" t="str">
        <f aca="false">IF(ISBLANK($C220),"",IF($BL220&lt;&gt;Constants!$B$4,"",IF($BB220="-&gt;",$BG220,$AW220)))</f>
        <v/>
      </c>
      <c r="CH220" s="95" t="str">
        <f aca="false">IF(ISBLANK($C220),"",IF($BL220&lt;&gt;Constants!$B$4,"",IF($BB220="-&gt;",$BH220,$AX220)))</f>
        <v/>
      </c>
      <c r="CI220" s="96" t="str">
        <f aca="false">IF(ISBLANK($C220),"",$BO220)</f>
        <v/>
      </c>
      <c r="CJ220" s="97" t="str">
        <f aca="false">IF(ISBLANK($C220),"",$BM220)</f>
        <v/>
      </c>
      <c r="CK220" s="98" t="str">
        <f aca="false">IF(ISBLANK($C220),"",$CA220)</f>
        <v/>
      </c>
      <c r="CL220" s="98" t="str">
        <f aca="false">IF(ISBLANK($C220),"",$BZ220)</f>
        <v/>
      </c>
      <c r="CM220" s="99" t="str">
        <f aca="false">IF(ISBLANK($C220),"",IF($CL220=Constants!$B$7,COUNTA($C$9:$C$508)+2,IF($CL220=Constants!$B$6,COUNTA($C$9:$C$508)+1,IF($CL220=Constants!$B$5,COUNTA($C$9:$C$508),$CL220))))</f>
        <v/>
      </c>
      <c r="CN220" s="8"/>
      <c r="CO220" s="100" t="n">
        <f aca="false">IF(OR(ISNUMBER($CL220),$CL220=Constants!$B$7,$CL220=Constants!$B$5,$CL220=Constants!$B$6),1,0)</f>
        <v>0</v>
      </c>
      <c r="CP220" s="100" t="n">
        <v>212</v>
      </c>
      <c r="CQ220" s="100" t="str">
        <f aca="false">IF(ISBLANK($C220),"",IF(ISNUMBER($CM220),$CM220+ROW($B220)/1000,""))</f>
        <v/>
      </c>
      <c r="CR220" s="100" t="str">
        <f aca="false">IF(ISNUMBER($CQ220),RANK($CQ220,$CQ$9:$CQ$508,1),"")</f>
        <v/>
      </c>
      <c r="CS220" s="100" t="str">
        <f aca="false">IF(ISBLANK($C220),"",$B220)</f>
        <v/>
      </c>
      <c r="CT220" s="100" t="str">
        <f aca="false">IF(ISBLANK($C220),"",$C220)</f>
        <v/>
      </c>
      <c r="CU220" s="100" t="str">
        <f aca="false">IF(ISBLANK($C220),"",$D220)</f>
        <v/>
      </c>
      <c r="CV220" s="101" t="str">
        <f aca="false">$CJ220</f>
        <v/>
      </c>
      <c r="CW220" s="102" t="str">
        <f aca="false">$CI220</f>
        <v/>
      </c>
      <c r="CX220" s="100" t="str">
        <f aca="false">IF(ISBLANK($C220),"",$CL220)</f>
        <v/>
      </c>
      <c r="CY220" s="103" t="str">
        <f aca="false">IF($CP220&gt;$CO$8,"",VLOOKUP($CP220,$CR$9:$CX$508,7,FALSE()))</f>
        <v/>
      </c>
      <c r="CZ220" s="104" t="str">
        <f aca="false">IF($CP220&gt;$CO$8,"",VLOOKUP($CP220,$CR$9:$CX$508,2,FALSE()))</f>
        <v/>
      </c>
      <c r="DA220" s="104" t="str">
        <f aca="false">IF($CP220&gt;$CO$8,"",VLOOKUP($CP220,$CR$9:$CX$508,3,FALSE()))</f>
        <v/>
      </c>
      <c r="DB220" s="104" t="str">
        <f aca="false">IF($CP220&gt;$CO$8,"",VLOOKUP($CP220,$CR$9:$CX$508,4,FALSE()))</f>
        <v/>
      </c>
      <c r="DC220" s="104" t="str">
        <f aca="false">IF($CP220&gt;$CO$8,"",VLOOKUP($CP220,$CR$9:$CX$508,5,FALSE()))</f>
        <v/>
      </c>
      <c r="DD220" s="105" t="str">
        <f aca="false">IF($CP220&gt;$CO$8,"",VLOOKUP($CP220,$CR$9:$CX$508,6,FALSE()))</f>
        <v/>
      </c>
      <c r="DE220" s="70"/>
    </row>
    <row r="221" customFormat="false" ht="15.75" hidden="false" customHeight="false" outlineLevel="0" collapsed="false">
      <c r="A221" s="8"/>
      <c r="B221" s="72"/>
      <c r="C221" s="73"/>
      <c r="D221" s="155"/>
      <c r="E221" s="162"/>
      <c r="F221" s="157"/>
      <c r="G221" s="77"/>
      <c r="H221" s="77"/>
      <c r="I221" s="77"/>
      <c r="J221" s="163"/>
      <c r="K221" s="161"/>
      <c r="L221" s="161"/>
      <c r="M221" s="80"/>
      <c r="N221" s="161"/>
      <c r="O221" s="160"/>
      <c r="P221" s="161"/>
      <c r="Q221" s="161"/>
      <c r="R221" s="161"/>
      <c r="S221" s="77"/>
      <c r="T221" s="161"/>
      <c r="U221" s="160"/>
      <c r="V221" s="161"/>
      <c r="W221" s="85"/>
      <c r="X221" s="86" t="str">
        <f aca="false">IF(ISBLANK($C221),"",IF($E221=Constants!$B$2,TRUE(),IF($E221=Constants!$B$3,FALSE(),TRUE())))</f>
        <v/>
      </c>
      <c r="Y221" s="86" t="str">
        <f aca="false">IF(ISBLANK($C221),"",IF($F221=Constants!$B$2,TRUE(),IF($F221=Constants!$B$3,FALSE(),TRUE())))</f>
        <v/>
      </c>
      <c r="Z221" s="87" t="str">
        <f aca="false">IF(ISBLANK($C221),"",IF(ISNUMBER($G221),IF($G221&gt;=0,$G221,""),""))</f>
        <v/>
      </c>
      <c r="AA221" s="87" t="str">
        <f aca="false">IF(ISBLANK($C221),"",IF(ISNUMBER($H221),IF($H221&gt;=0,$H221,""),""))</f>
        <v/>
      </c>
      <c r="AB221" s="87" t="str">
        <f aca="false">IF(ISBLANK($C221),"",IF(ISNUMBER($I221),IF($I221&gt;=0,$I221,""),""))</f>
        <v/>
      </c>
      <c r="AC221" s="86" t="str">
        <f aca="false">IF(ISBLANK($C221),"",IF($J221=Constants!$B$2,TRUE(),IF($J221=Constants!$B$3,FALSE(),TRUE())))</f>
        <v/>
      </c>
      <c r="AD221" s="86" t="str">
        <f aca="false">IF(ISBLANK($C221),"",IF($K221=Constants!$B$2,TRUE(),IF($K221=Constants!$B$3,FALSE(),TRUE())))</f>
        <v/>
      </c>
      <c r="AE221" s="86" t="str">
        <f aca="false">IF(ISBLANK($C221),"",IF($L221=Constants!$B$2,TRUE(),IF($L221=Constants!$B$3,FALSE(),TRUE())))</f>
        <v/>
      </c>
      <c r="AF221" s="88" t="str">
        <f aca="false">IF(ISBLANK($C221),"",IF(ISNUMBER($M221),IF($M221&gt;=0,$M221,""),""))</f>
        <v/>
      </c>
      <c r="AG221" s="86" t="str">
        <f aca="false">IF(ISBLANK($C221),"",IF(ISBLANK($N221),0,IF(ISNUMBER($N221),IF(AND($N221&gt;=0,$N221&lt;=Constants!$B$17,$N221=INT($N221)),$N221,""),"")))</f>
        <v/>
      </c>
      <c r="AH221" s="87" t="str">
        <f aca="false">IF(ISBLANK($C221),"",IF(ISBLANK($O221),0,IF(ISNUMBER($O221),IF($O221&gt;=0,$O221,""),"")))</f>
        <v/>
      </c>
      <c r="AI221" s="86" t="str">
        <f aca="false">IF(ISBLANK($C221),"",IF($P221=Constants!$B$2,TRUE(),IF($P221=Constants!$B$3,FALSE(),TRUE())))</f>
        <v/>
      </c>
      <c r="AJ221" s="86" t="str">
        <f aca="false">IF(ISBLANK($C221),"",IF($Q221=Constants!$B$2,TRUE(),IF($Q221=Constants!$B$3,FALSE(),TRUE())))</f>
        <v/>
      </c>
      <c r="AK221" s="86" t="str">
        <f aca="false">IF(ISBLANK($C221),"",IF($R221=Constants!$B$2,TRUE(),IF($R221=Constants!$B$3,FALSE(),TRUE())))</f>
        <v/>
      </c>
      <c r="AL221" s="88" t="str">
        <f aca="false">IF(ISBLANK($C221),"",IF(ISNUMBER($S221),IF($S221&gt;=0,$S221,""),""))</f>
        <v/>
      </c>
      <c r="AM221" s="86" t="str">
        <f aca="false">IF(ISBLANK($C221),"",IF(ISBLANK($T221),0,IF(ISNUMBER($T221),IF(AND($T221&gt;=0,$T221&lt;=Constants!$B$17,$T221=INT($T221)),$T221,""),"")))</f>
        <v/>
      </c>
      <c r="AN221" s="87" t="str">
        <f aca="false">IF(ISBLANK($C221),"",IF(ISBLANK($U221),0,IF(ISNUMBER($U221),IF($U221&gt;=0,$U221,""),"")))</f>
        <v/>
      </c>
      <c r="AO221" s="86" t="str">
        <f aca="false">IF(ISBLANK($C221),"",IF($V221=Constants!$B$2,TRUE(),IF($V221=Constants!$B$3,FALSE(),FALSE())))</f>
        <v/>
      </c>
      <c r="AP221" s="86"/>
      <c r="AQ221" s="85" t="str">
        <f aca="false">IF(ISBLANK($C221),"",AND($Y221,OR($AS221,$BC221),OR($Z221="",$AA221="",$AB221="")))</f>
        <v/>
      </c>
      <c r="AR221" s="85" t="str">
        <f aca="false">IF(ISBLANK($C221),"",IF(OR(NOT($Y221),NOT(OR($AS221,$BC221))),"",IF(ISBLANK($D$7),$AR$5,IF($AP$9="",$AR$6,""))))</f>
        <v/>
      </c>
      <c r="AS221" s="85" t="str">
        <f aca="false">IF(ISBLANK($C221),"",COUNTA($J221:$O221)&gt;0)</f>
        <v/>
      </c>
      <c r="AT221" s="85" t="str">
        <f aca="false">IF(ISBLANK($C221),"",AND($AS221,OR(AND($AF221="",OR($AE221,NOT(ISBLANK($M221)))),$AG221="",$AH221="")))</f>
        <v/>
      </c>
      <c r="AU221" s="87" t="str">
        <f aca="false">IF($BL221&lt;&gt;Constants!$B$4,"",IF(NOT($AS221),"",ROUND((Constants!$B$12-$AB221)+(Constants!$B$13-$Z221)+(Constants!$B$14-$AA221),1)))</f>
        <v/>
      </c>
      <c r="AV221" s="90" t="str">
        <f aca="false">IF($BL221&lt;&gt;Constants!$B$4,"",IF(NOT($AS221),"",IF(NOT($AE221),0,Constants!$B$15*(INT(ROUND(MIN($AF221,$AP$9),6))-INT(ROUND(MAX(0,MIN($AF221,2*$AP$9)-$AP$9),6))))))</f>
        <v/>
      </c>
      <c r="AW221" s="90" t="str">
        <f aca="false">IF($BL221&lt;&gt;Constants!$B$4,"",IF(NOT($AS221),"",Constants!$B$16*$AG221))</f>
        <v/>
      </c>
      <c r="AX221" s="90" t="str">
        <f aca="false">IF($BL221&lt;&gt;Constants!$B$4,"",IF(NOT($AS221),"",Constants!$B$18*INT(ROUND($AH221,6))))</f>
        <v/>
      </c>
      <c r="AY221" s="85" t="str">
        <f aca="false">IF($BL221&lt;&gt;Constants!$B$4,"",IF(NOT($AS221),"",IF(NOT($X221),Constants!$B$11,IF(OR(NOT($AC221),NOT($AD221),ROUND($AB221,1)&gt;Constants!$B$12,ROUND($Z221,1)&gt;Constants!$B$13,ROUND($AA221,1)&gt;Constants!$B$14),Constants!$B$10,Constants!$B$9))))</f>
        <v/>
      </c>
      <c r="AZ221" s="91" t="str">
        <f aca="false">IF($BL221&lt;&gt;Constants!$B$4,"",IF(NOT($AS221),"",ROUND($AU221+$AV221+$AW221+$AX221,1)))</f>
        <v/>
      </c>
      <c r="BA221" s="92" t="str">
        <f aca="false">IF($BL221&lt;&gt;Constants!$B$4,"",IF(NOT($AS221),"",IF(ISNUMBER($AF221),$AF221,0)))</f>
        <v/>
      </c>
      <c r="BB221" s="86" t="str">
        <f aca="false">IF($BL221&lt;&gt;Constants!$B$4,"",IF(NOT($BC221),"&lt;-",IF(NOT($AS221),"-&gt;",IF(OR($BI221&lt;$AY221,AND($BI221=$AY221,OR($BJ221&gt;$AZ221,AND($BJ221=$AZ221,OR($BH221&gt;$AX221,AND($BH221=$AX221,OR($BE221&gt;$AU221,AND($BE221=$AU221,OR($BF221&gt;$AV221,AND($BF221=$AV221,$BK221&gt;$BA221)))))))))),"-&gt;","&lt;-"))))</f>
        <v/>
      </c>
      <c r="BC221" s="85" t="str">
        <f aca="false">IF(ISBLANK($C221),"",COUNTA($P221:$U221)&gt;0)</f>
        <v/>
      </c>
      <c r="BD221" s="85" t="str">
        <f aca="false">IF(ISBLANK($C221),"",AND($BC221,OR(AND($AL221="",OR($AK221,NOT(ISBLANK($S221)))),$AM221="",$AN221="")))</f>
        <v/>
      </c>
      <c r="BE221" s="87" t="str">
        <f aca="false">IF($BL221&lt;&gt;Constants!$B$4,"",IF(NOT($BC221),"",ROUND((Constants!$B$12-$AB221)+(Constants!$B$13-$Z221)+(Constants!$B$14-$AA221),1)))</f>
        <v/>
      </c>
      <c r="BF221" s="90" t="str">
        <f aca="false">IF($BL221&lt;&gt;Constants!$B$4,"",IF(NOT($BC221),"",IF(NOT($AK221),0,Constants!$B$15*(INT(ROUND(MIN($AL221,$AP$9),6))-INT(ROUND(MAX(0,MIN($AL221,2*$AP$9)-$AP$9),6))))))</f>
        <v/>
      </c>
      <c r="BG221" s="90" t="str">
        <f aca="false">IF($BL221&lt;&gt;Constants!$B$4,"",IF(NOT($BC221),"",Constants!$B$16*$AM221))</f>
        <v/>
      </c>
      <c r="BH221" s="90" t="str">
        <f aca="false">IF($BL221&lt;&gt;Constants!$B$4,"",IF(NOT($BC221),"",Constants!$B$18*INT(ROUND($AN221,6))))</f>
        <v/>
      </c>
      <c r="BI221" s="85" t="str">
        <f aca="false">IF($BL221&lt;&gt;Constants!$B$4,"",IF(NOT($BC221),"",IF(NOT($X221),Constants!$B$11,IF(OR(NOT($AI221),NOT($AJ221),ROUND($AB221,1)&gt;Constants!$B$12,ROUND($Z221,1)&gt;Constants!$B$13,ROUND($AA221,1)&gt;Constants!$B$14),Constants!$B$10,Constants!$B$9))))</f>
        <v/>
      </c>
      <c r="BJ221" s="91" t="str">
        <f aca="false">IF($BL221&lt;&gt;Constants!$B$4,"",IF(NOT($BC221),"",ROUND($BE221+$BF221+$BG221+$BH221,1)))</f>
        <v/>
      </c>
      <c r="BK221" s="92" t="str">
        <f aca="false">IF($BL221&lt;&gt;Constants!$B$4,"",IF(NOT($BC221),"",IF(ISNUMBER($AL221),$AL221,0)))</f>
        <v/>
      </c>
      <c r="BL221" s="86" t="str">
        <f aca="false">IF(ISBLANK($C221),"",IF($AO221,Constants!$B$7,IF(COUNTA($E221:$V221)=0,Constants!$B$6,IF(NOT($Y221),Constants!$B$5,IF(NOT(OR($AS221,$BC221)),Constants!$B$5,IF(OR($AT221,$BD221,$AQ221,$AR221&lt;&gt;""),Constants!$B$8,Constants!$B$4))))))</f>
        <v/>
      </c>
      <c r="BM221" s="86" t="str">
        <f aca="false">IF(ISBLANK($C221),"",IF($BL221&lt;&gt;Constants!$B$4,$BL221,IF($BB221="-&gt;",$BI221,$AY221)))</f>
        <v/>
      </c>
      <c r="BN221" s="90" t="str">
        <f aca="false">IF($BL221&lt;&gt;Constants!$B$4,"",IF($BB221="-&gt;",$BJ221,$AZ221))</f>
        <v/>
      </c>
      <c r="BO221" s="90" t="str">
        <f aca="false">IF(ISBLANK($C221),"",IF($BL221&lt;&gt;Constants!$B$4,$BL221,$BN221))</f>
        <v/>
      </c>
      <c r="BP221" s="86" t="str">
        <f aca="false">IF(ISBLANK($C221),"",IF($BL221&lt;&gt;Constants!$B$4,$BL221,RANK($BO221,$BO$9:$BO$508,0)))</f>
        <v/>
      </c>
      <c r="BQ221" s="86" t="str">
        <f aca="false">IF(ISBLANK($C221),"",IF($BL221&lt;&gt;Constants!$B$4,$BL221,COUNTIFS($BM$9:$BM$508,"&lt;"&amp;$BM221)+COUNTIFS($BM$9:$BM$508,$BM221,$BP$9:$BP$508,"&lt;"&amp;$BP221)+1))</f>
        <v/>
      </c>
      <c r="BR221" s="90" t="str">
        <f aca="false">IF($BL221&lt;&gt;Constants!$B$4,"",IF($BB221="-&gt;",$BH221,$AX221))</f>
        <v/>
      </c>
      <c r="BS221" s="86" t="str">
        <f aca="false">IF(ISBLANK($C221),"",IF($BL221&lt;&gt;Constants!$B$4,$BL221,IF(ISNUMBER($BR221),RANK($BR221,$BR$9:$BR$508,0),COUNT($BR$9:$BR$508)+1)))</f>
        <v/>
      </c>
      <c r="BT221" s="90" t="str">
        <f aca="false">IF($BL221&lt;&gt;Constants!$B$4,"",IF($BB221="-&gt;",$BE221,$AU221))</f>
        <v/>
      </c>
      <c r="BU221" s="86" t="str">
        <f aca="false">IF(ISBLANK($C221),"",IF($BL221&lt;&gt;Constants!$B$4,$BL221,IF(ISNUMBER($BT221),RANK($BT221,$BT$9:$BT$508,0),COUNT($BT$9:$BT$508)+1)))</f>
        <v/>
      </c>
      <c r="BV221" s="90" t="str">
        <f aca="false">IF($BL221&lt;&gt;Constants!$B$4,"",IF($BB221="-&gt;",$BF221,$AV221))</f>
        <v/>
      </c>
      <c r="BW221" s="86" t="str">
        <f aca="false">IF(ISBLANK($C221),"",IF($BL221&lt;&gt;Constants!$B$4,$BL221,IF(ISNUMBER($BV221),RANK($BV221,$BV$9:$BV$508,0),COUNT($BV$9:$BV$508)+1)))</f>
        <v/>
      </c>
      <c r="BX221" s="90" t="str">
        <f aca="false">IF($BL221&lt;&gt;Constants!$B$4,"",IF($BB221="-&gt;",$BK221,$BA221))</f>
        <v/>
      </c>
      <c r="BY221" s="86" t="str">
        <f aca="false">IF(ISBLANK($C221),"",IF($BL221&lt;&gt;Constants!$B$4,$BL221,IF(ISNUMBER($BX221),RANK($BX221,$BX$9:$BX$508,0),COUNT($BX$9:$BX$508)+1)))</f>
        <v/>
      </c>
      <c r="BZ221" s="86" t="str">
        <f aca="false">IF(ISBLANK($C221),"",IF($BL221&lt;&gt;Constants!$B$4,$BL221,COUNTIFS($BM$9:$BM$508,"&lt;"&amp;$BM221)+COUNTIFS($BM$9:$BM$508,$BM221,$BP$9:$BP$508,"&lt;"&amp;$BP221)+COUNTIFS($BM$9:$BM$508,$BM221,$BP$9:$BP$508,$BP221,$BS$9:$BS$508,"&lt;"&amp;$BS221)+COUNTIFS($BM$9:$BM$508,$BM221,$BP$9:$BP$508,$BP221,$BS$9:$BS$508,$BS221,$BU$9:$BU$508,"&lt;"&amp;$BU221)+COUNTIFS($BM$9:$BM$508,$BM221,$BP$9:$BP$508,$BP221,$BS$9:$BS$508,$BS221,$BU$9:$BU$508,$BU221,$BW$9:$BW$508,"&lt;"&amp;$BW221)+COUNTIFS($BM$9:$BM$508,$BM221,$BP$9:$BP$508,$BP221,$BS$9:$BS$508,$BS221,$BU$9:$BU$508,$BU221,$BW$9:$BW$508,$BW221,$BY$9:$BY$508,"&lt;"&amp;$BY221)+1))</f>
        <v/>
      </c>
      <c r="CA221" s="86" t="str">
        <f aca="false">IF(ISBLANK($C221),"",IF($BL221&lt;&gt;Constants!$B$4,$BL221,$BQ221-$BZ221))</f>
        <v/>
      </c>
      <c r="CB221" s="93"/>
      <c r="CC221" s="94" t="str">
        <f aca="false">IF(ISBLANK($C221),"",IF($BL221=Constants!$B$8,$AR221,""))</f>
        <v/>
      </c>
      <c r="CD221" s="94" t="str">
        <f aca="false">IF(ISBLANK($C221),"",IF($BL221&lt;&gt;Constants!$B$4,"",IF($BB221="-&gt;",2,1)))</f>
        <v/>
      </c>
      <c r="CE221" s="95" t="str">
        <f aca="false">IF(ISBLANK($C221),"",IF($BL221&lt;&gt;Constants!$B$4,"",IF($BB221="-&gt;",$BE221,$AU221)))</f>
        <v/>
      </c>
      <c r="CF221" s="95" t="str">
        <f aca="false">IF(ISBLANK($C221),"",IF($BL221&lt;&gt;Constants!$B$4,"",IF($BB221="-&gt;",$BF221,$AV221)))</f>
        <v/>
      </c>
      <c r="CG221" s="95" t="str">
        <f aca="false">IF(ISBLANK($C221),"",IF($BL221&lt;&gt;Constants!$B$4,"",IF($BB221="-&gt;",$BG221,$AW221)))</f>
        <v/>
      </c>
      <c r="CH221" s="95" t="str">
        <f aca="false">IF(ISBLANK($C221),"",IF($BL221&lt;&gt;Constants!$B$4,"",IF($BB221="-&gt;",$BH221,$AX221)))</f>
        <v/>
      </c>
      <c r="CI221" s="96" t="str">
        <f aca="false">IF(ISBLANK($C221),"",$BO221)</f>
        <v/>
      </c>
      <c r="CJ221" s="97" t="str">
        <f aca="false">IF(ISBLANK($C221),"",$BM221)</f>
        <v/>
      </c>
      <c r="CK221" s="98" t="str">
        <f aca="false">IF(ISBLANK($C221),"",$CA221)</f>
        <v/>
      </c>
      <c r="CL221" s="98" t="str">
        <f aca="false">IF(ISBLANK($C221),"",$BZ221)</f>
        <v/>
      </c>
      <c r="CM221" s="99" t="str">
        <f aca="false">IF(ISBLANK($C221),"",IF($CL221=Constants!$B$7,COUNTA($C$9:$C$508)+2,IF($CL221=Constants!$B$6,COUNTA($C$9:$C$508)+1,IF($CL221=Constants!$B$5,COUNTA($C$9:$C$508),$CL221))))</f>
        <v/>
      </c>
      <c r="CN221" s="8"/>
      <c r="CO221" s="100" t="n">
        <f aca="false">IF(OR(ISNUMBER($CL221),$CL221=Constants!$B$7,$CL221=Constants!$B$5,$CL221=Constants!$B$6),1,0)</f>
        <v>0</v>
      </c>
      <c r="CP221" s="100" t="n">
        <v>213</v>
      </c>
      <c r="CQ221" s="100" t="str">
        <f aca="false">IF(ISBLANK($C221),"",IF(ISNUMBER($CM221),$CM221+ROW($B221)/1000,""))</f>
        <v/>
      </c>
      <c r="CR221" s="100" t="str">
        <f aca="false">IF(ISNUMBER($CQ221),RANK($CQ221,$CQ$9:$CQ$508,1),"")</f>
        <v/>
      </c>
      <c r="CS221" s="100" t="str">
        <f aca="false">IF(ISBLANK($C221),"",$B221)</f>
        <v/>
      </c>
      <c r="CT221" s="100" t="str">
        <f aca="false">IF(ISBLANK($C221),"",$C221)</f>
        <v/>
      </c>
      <c r="CU221" s="100" t="str">
        <f aca="false">IF(ISBLANK($C221),"",$D221)</f>
        <v/>
      </c>
      <c r="CV221" s="101" t="str">
        <f aca="false">$CJ221</f>
        <v/>
      </c>
      <c r="CW221" s="102" t="str">
        <f aca="false">$CI221</f>
        <v/>
      </c>
      <c r="CX221" s="100" t="str">
        <f aca="false">IF(ISBLANK($C221),"",$CL221)</f>
        <v/>
      </c>
      <c r="CY221" s="103" t="str">
        <f aca="false">IF($CP221&gt;$CO$8,"",VLOOKUP($CP221,$CR$9:$CX$508,7,FALSE()))</f>
        <v/>
      </c>
      <c r="CZ221" s="104" t="str">
        <f aca="false">IF($CP221&gt;$CO$8,"",VLOOKUP($CP221,$CR$9:$CX$508,2,FALSE()))</f>
        <v/>
      </c>
      <c r="DA221" s="104" t="str">
        <f aca="false">IF($CP221&gt;$CO$8,"",VLOOKUP($CP221,$CR$9:$CX$508,3,FALSE()))</f>
        <v/>
      </c>
      <c r="DB221" s="104" t="str">
        <f aca="false">IF($CP221&gt;$CO$8,"",VLOOKUP($CP221,$CR$9:$CX$508,4,FALSE()))</f>
        <v/>
      </c>
      <c r="DC221" s="104" t="str">
        <f aca="false">IF($CP221&gt;$CO$8,"",VLOOKUP($CP221,$CR$9:$CX$508,5,FALSE()))</f>
        <v/>
      </c>
      <c r="DD221" s="105" t="str">
        <f aca="false">IF($CP221&gt;$CO$8,"",VLOOKUP($CP221,$CR$9:$CX$508,6,FALSE()))</f>
        <v/>
      </c>
      <c r="DE221" s="70"/>
    </row>
    <row r="222" customFormat="false" ht="15.75" hidden="false" customHeight="false" outlineLevel="0" collapsed="false">
      <c r="A222" s="8"/>
      <c r="B222" s="146"/>
      <c r="C222" s="147"/>
      <c r="D222" s="148"/>
      <c r="E222" s="164"/>
      <c r="F222" s="150"/>
      <c r="G222" s="115"/>
      <c r="H222" s="115"/>
      <c r="I222" s="115"/>
      <c r="J222" s="165"/>
      <c r="K222" s="154"/>
      <c r="L222" s="154"/>
      <c r="M222" s="118"/>
      <c r="N222" s="154"/>
      <c r="O222" s="153"/>
      <c r="P222" s="154"/>
      <c r="Q222" s="154"/>
      <c r="R222" s="154"/>
      <c r="S222" s="115"/>
      <c r="T222" s="154"/>
      <c r="U222" s="153"/>
      <c r="V222" s="154"/>
      <c r="W222" s="123"/>
      <c r="X222" s="124" t="str">
        <f aca="false">IF(ISBLANK($C222),"",IF($E222=Constants!$B$2,TRUE(),IF($E222=Constants!$B$3,FALSE(),TRUE())))</f>
        <v/>
      </c>
      <c r="Y222" s="124" t="str">
        <f aca="false">IF(ISBLANK($C222),"",IF($F222=Constants!$B$2,TRUE(),IF($F222=Constants!$B$3,FALSE(),TRUE())))</f>
        <v/>
      </c>
      <c r="Z222" s="125" t="str">
        <f aca="false">IF(ISBLANK($C222),"",IF(ISNUMBER($G222),IF($G222&gt;=0,$G222,""),""))</f>
        <v/>
      </c>
      <c r="AA222" s="125" t="str">
        <f aca="false">IF(ISBLANK($C222),"",IF(ISNUMBER($H222),IF($H222&gt;=0,$H222,""),""))</f>
        <v/>
      </c>
      <c r="AB222" s="125" t="str">
        <f aca="false">IF(ISBLANK($C222),"",IF(ISNUMBER($I222),IF($I222&gt;=0,$I222,""),""))</f>
        <v/>
      </c>
      <c r="AC222" s="124" t="str">
        <f aca="false">IF(ISBLANK($C222),"",IF($J222=Constants!$B$2,TRUE(),IF($J222=Constants!$B$3,FALSE(),TRUE())))</f>
        <v/>
      </c>
      <c r="AD222" s="124" t="str">
        <f aca="false">IF(ISBLANK($C222),"",IF($K222=Constants!$B$2,TRUE(),IF($K222=Constants!$B$3,FALSE(),TRUE())))</f>
        <v/>
      </c>
      <c r="AE222" s="124" t="str">
        <f aca="false">IF(ISBLANK($C222),"",IF($L222=Constants!$B$2,TRUE(),IF($L222=Constants!$B$3,FALSE(),TRUE())))</f>
        <v/>
      </c>
      <c r="AF222" s="126" t="str">
        <f aca="false">IF(ISBLANK($C222),"",IF(ISNUMBER($M222),IF($M222&gt;=0,$M222,""),""))</f>
        <v/>
      </c>
      <c r="AG222" s="124" t="str">
        <f aca="false">IF(ISBLANK($C222),"",IF(ISBLANK($N222),0,IF(ISNUMBER($N222),IF(AND($N222&gt;=0,$N222&lt;=Constants!$B$17,$N222=INT($N222)),$N222,""),"")))</f>
        <v/>
      </c>
      <c r="AH222" s="125" t="str">
        <f aca="false">IF(ISBLANK($C222),"",IF(ISBLANK($O222),0,IF(ISNUMBER($O222),IF($O222&gt;=0,$O222,""),"")))</f>
        <v/>
      </c>
      <c r="AI222" s="124" t="str">
        <f aca="false">IF(ISBLANK($C222),"",IF($P222=Constants!$B$2,TRUE(),IF($P222=Constants!$B$3,FALSE(),TRUE())))</f>
        <v/>
      </c>
      <c r="AJ222" s="124" t="str">
        <f aca="false">IF(ISBLANK($C222),"",IF($Q222=Constants!$B$2,TRUE(),IF($Q222=Constants!$B$3,FALSE(),TRUE())))</f>
        <v/>
      </c>
      <c r="AK222" s="124" t="str">
        <f aca="false">IF(ISBLANK($C222),"",IF($R222=Constants!$B$2,TRUE(),IF($R222=Constants!$B$3,FALSE(),TRUE())))</f>
        <v/>
      </c>
      <c r="AL222" s="126" t="str">
        <f aca="false">IF(ISBLANK($C222),"",IF(ISNUMBER($S222),IF($S222&gt;=0,$S222,""),""))</f>
        <v/>
      </c>
      <c r="AM222" s="124" t="str">
        <f aca="false">IF(ISBLANK($C222),"",IF(ISBLANK($T222),0,IF(ISNUMBER($T222),IF(AND($T222&gt;=0,$T222&lt;=Constants!$B$17,$T222=INT($T222)),$T222,""),"")))</f>
        <v/>
      </c>
      <c r="AN222" s="125" t="str">
        <f aca="false">IF(ISBLANK($C222),"",IF(ISBLANK($U222),0,IF(ISNUMBER($U222),IF($U222&gt;=0,$U222,""),"")))</f>
        <v/>
      </c>
      <c r="AO222" s="124" t="str">
        <f aca="false">IF(ISBLANK($C222),"",IF($V222=Constants!$B$2,TRUE(),IF($V222=Constants!$B$3,FALSE(),FALSE())))</f>
        <v/>
      </c>
      <c r="AP222" s="124"/>
      <c r="AQ222" s="123" t="str">
        <f aca="false">IF(ISBLANK($C222),"",AND($Y222,OR($AS222,$BC222),OR($Z222="",$AA222="",$AB222="")))</f>
        <v/>
      </c>
      <c r="AR222" s="123" t="str">
        <f aca="false">IF(ISBLANK($C222),"",IF(OR(NOT($Y222),NOT(OR($AS222,$BC222))),"",IF(ISBLANK($D$7),$AR$5,IF($AP$9="",$AR$6,""))))</f>
        <v/>
      </c>
      <c r="AS222" s="123" t="str">
        <f aca="false">IF(ISBLANK($C222),"",COUNTA($J222:$O222)&gt;0)</f>
        <v/>
      </c>
      <c r="AT222" s="123" t="str">
        <f aca="false">IF(ISBLANK($C222),"",AND($AS222,OR(AND($AF222="",OR($AE222,NOT(ISBLANK($M222)))),$AG222="",$AH222="")))</f>
        <v/>
      </c>
      <c r="AU222" s="125" t="str">
        <f aca="false">IF($BL222&lt;&gt;Constants!$B$4,"",IF(NOT($AS222),"",ROUND((Constants!$B$12-$AB222)+(Constants!$B$13-$Z222)+(Constants!$B$14-$AA222),1)))</f>
        <v/>
      </c>
      <c r="AV222" s="127" t="str">
        <f aca="false">IF($BL222&lt;&gt;Constants!$B$4,"",IF(NOT($AS222),"",IF(NOT($AE222),0,Constants!$B$15*(INT(ROUND(MIN($AF222,$AP$9),6))-INT(ROUND(MAX(0,MIN($AF222,2*$AP$9)-$AP$9),6))))))</f>
        <v/>
      </c>
      <c r="AW222" s="127" t="str">
        <f aca="false">IF($BL222&lt;&gt;Constants!$B$4,"",IF(NOT($AS222),"",Constants!$B$16*$AG222))</f>
        <v/>
      </c>
      <c r="AX222" s="127" t="str">
        <f aca="false">IF($BL222&lt;&gt;Constants!$B$4,"",IF(NOT($AS222),"",Constants!$B$18*INT(ROUND($AH222,6))))</f>
        <v/>
      </c>
      <c r="AY222" s="123" t="str">
        <f aca="false">IF($BL222&lt;&gt;Constants!$B$4,"",IF(NOT($AS222),"",IF(NOT($X222),Constants!$B$11,IF(OR(NOT($AC222),NOT($AD222),ROUND($AB222,1)&gt;Constants!$B$12,ROUND($Z222,1)&gt;Constants!$B$13,ROUND($AA222,1)&gt;Constants!$B$14),Constants!$B$10,Constants!$B$9))))</f>
        <v/>
      </c>
      <c r="AZ222" s="128" t="str">
        <f aca="false">IF($BL222&lt;&gt;Constants!$B$4,"",IF(NOT($AS222),"",ROUND($AU222+$AV222+$AW222+$AX222,1)))</f>
        <v/>
      </c>
      <c r="BA222" s="129" t="str">
        <f aca="false">IF($BL222&lt;&gt;Constants!$B$4,"",IF(NOT($AS222),"",IF(ISNUMBER($AF222),$AF222,0)))</f>
        <v/>
      </c>
      <c r="BB222" s="124" t="str">
        <f aca="false">IF($BL222&lt;&gt;Constants!$B$4,"",IF(NOT($BC222),"&lt;-",IF(NOT($AS222),"-&gt;",IF(OR($BI222&lt;$AY222,AND($BI222=$AY222,OR($BJ222&gt;$AZ222,AND($BJ222=$AZ222,OR($BH222&gt;$AX222,AND($BH222=$AX222,OR($BE222&gt;$AU222,AND($BE222=$AU222,OR($BF222&gt;$AV222,AND($BF222=$AV222,$BK222&gt;$BA222)))))))))),"-&gt;","&lt;-"))))</f>
        <v/>
      </c>
      <c r="BC222" s="123" t="str">
        <f aca="false">IF(ISBLANK($C222),"",COUNTA($P222:$U222)&gt;0)</f>
        <v/>
      </c>
      <c r="BD222" s="123" t="str">
        <f aca="false">IF(ISBLANK($C222),"",AND($BC222,OR(AND($AL222="",OR($AK222,NOT(ISBLANK($S222)))),$AM222="",$AN222="")))</f>
        <v/>
      </c>
      <c r="BE222" s="125" t="str">
        <f aca="false">IF($BL222&lt;&gt;Constants!$B$4,"",IF(NOT($BC222),"",ROUND((Constants!$B$12-$AB222)+(Constants!$B$13-$Z222)+(Constants!$B$14-$AA222),1)))</f>
        <v/>
      </c>
      <c r="BF222" s="127" t="str">
        <f aca="false">IF($BL222&lt;&gt;Constants!$B$4,"",IF(NOT($BC222),"",IF(NOT($AK222),0,Constants!$B$15*(INT(ROUND(MIN($AL222,$AP$9),6))-INT(ROUND(MAX(0,MIN($AL222,2*$AP$9)-$AP$9),6))))))</f>
        <v/>
      </c>
      <c r="BG222" s="127" t="str">
        <f aca="false">IF($BL222&lt;&gt;Constants!$B$4,"",IF(NOT($BC222),"",Constants!$B$16*$AM222))</f>
        <v/>
      </c>
      <c r="BH222" s="127" t="str">
        <f aca="false">IF($BL222&lt;&gt;Constants!$B$4,"",IF(NOT($BC222),"",Constants!$B$18*INT(ROUND($AN222,6))))</f>
        <v/>
      </c>
      <c r="BI222" s="123" t="str">
        <f aca="false">IF($BL222&lt;&gt;Constants!$B$4,"",IF(NOT($BC222),"",IF(NOT($X222),Constants!$B$11,IF(OR(NOT($AI222),NOT($AJ222),ROUND($AB222,1)&gt;Constants!$B$12,ROUND($Z222,1)&gt;Constants!$B$13,ROUND($AA222,1)&gt;Constants!$B$14),Constants!$B$10,Constants!$B$9))))</f>
        <v/>
      </c>
      <c r="BJ222" s="128" t="str">
        <f aca="false">IF($BL222&lt;&gt;Constants!$B$4,"",IF(NOT($BC222),"",ROUND($BE222+$BF222+$BG222+$BH222,1)))</f>
        <v/>
      </c>
      <c r="BK222" s="129" t="str">
        <f aca="false">IF($BL222&lt;&gt;Constants!$B$4,"",IF(NOT($BC222),"",IF(ISNUMBER($AL222),$AL222,0)))</f>
        <v/>
      </c>
      <c r="BL222" s="124" t="str">
        <f aca="false">IF(ISBLANK($C222),"",IF($AO222,Constants!$B$7,IF(COUNTA($E222:$V222)=0,Constants!$B$6,IF(NOT($Y222),Constants!$B$5,IF(NOT(OR($AS222,$BC222)),Constants!$B$5,IF(OR($AT222,$BD222,$AQ222,$AR222&lt;&gt;""),Constants!$B$8,Constants!$B$4))))))</f>
        <v/>
      </c>
      <c r="BM222" s="124" t="str">
        <f aca="false">IF(ISBLANK($C222),"",IF($BL222&lt;&gt;Constants!$B$4,$BL222,IF($BB222="-&gt;",$BI222,$AY222)))</f>
        <v/>
      </c>
      <c r="BN222" s="127" t="str">
        <f aca="false">IF($BL222&lt;&gt;Constants!$B$4,"",IF($BB222="-&gt;",$BJ222,$AZ222))</f>
        <v/>
      </c>
      <c r="BO222" s="127" t="str">
        <f aca="false">IF(ISBLANK($C222),"",IF($BL222&lt;&gt;Constants!$B$4,$BL222,$BN222))</f>
        <v/>
      </c>
      <c r="BP222" s="124" t="str">
        <f aca="false">IF(ISBLANK($C222),"",IF($BL222&lt;&gt;Constants!$B$4,$BL222,RANK($BO222,$BO$9:$BO$508,0)))</f>
        <v/>
      </c>
      <c r="BQ222" s="124" t="str">
        <f aca="false">IF(ISBLANK($C222),"",IF($BL222&lt;&gt;Constants!$B$4,$BL222,COUNTIFS($BM$9:$BM$508,"&lt;"&amp;$BM222)+COUNTIFS($BM$9:$BM$508,$BM222,$BP$9:$BP$508,"&lt;"&amp;$BP222)+1))</f>
        <v/>
      </c>
      <c r="BR222" s="127" t="str">
        <f aca="false">IF($BL222&lt;&gt;Constants!$B$4,"",IF($BB222="-&gt;",$BH222,$AX222))</f>
        <v/>
      </c>
      <c r="BS222" s="124" t="str">
        <f aca="false">IF(ISBLANK($C222),"",IF($BL222&lt;&gt;Constants!$B$4,$BL222,IF(ISNUMBER($BR222),RANK($BR222,$BR$9:$BR$508,0),COUNT($BR$9:$BR$508)+1)))</f>
        <v/>
      </c>
      <c r="BT222" s="127" t="str">
        <f aca="false">IF($BL222&lt;&gt;Constants!$B$4,"",IF($BB222="-&gt;",$BE222,$AU222))</f>
        <v/>
      </c>
      <c r="BU222" s="124" t="str">
        <f aca="false">IF(ISBLANK($C222),"",IF($BL222&lt;&gt;Constants!$B$4,$BL222,IF(ISNUMBER($BT222),RANK($BT222,$BT$9:$BT$508,0),COUNT($BT$9:$BT$508)+1)))</f>
        <v/>
      </c>
      <c r="BV222" s="127" t="str">
        <f aca="false">IF($BL222&lt;&gt;Constants!$B$4,"",IF($BB222="-&gt;",$BF222,$AV222))</f>
        <v/>
      </c>
      <c r="BW222" s="124" t="str">
        <f aca="false">IF(ISBLANK($C222),"",IF($BL222&lt;&gt;Constants!$B$4,$BL222,IF(ISNUMBER($BV222),RANK($BV222,$BV$9:$BV$508,0),COUNT($BV$9:$BV$508)+1)))</f>
        <v/>
      </c>
      <c r="BX222" s="127" t="str">
        <f aca="false">IF($BL222&lt;&gt;Constants!$B$4,"",IF($BB222="-&gt;",$BK222,$BA222))</f>
        <v/>
      </c>
      <c r="BY222" s="124" t="str">
        <f aca="false">IF(ISBLANK($C222),"",IF($BL222&lt;&gt;Constants!$B$4,$BL222,IF(ISNUMBER($BX222),RANK($BX222,$BX$9:$BX$508,0),COUNT($BX$9:$BX$508)+1)))</f>
        <v/>
      </c>
      <c r="BZ222" s="124" t="str">
        <f aca="false">IF(ISBLANK($C222),"",IF($BL222&lt;&gt;Constants!$B$4,$BL222,COUNTIFS($BM$9:$BM$508,"&lt;"&amp;$BM222)+COUNTIFS($BM$9:$BM$508,$BM222,$BP$9:$BP$508,"&lt;"&amp;$BP222)+COUNTIFS($BM$9:$BM$508,$BM222,$BP$9:$BP$508,$BP222,$BS$9:$BS$508,"&lt;"&amp;$BS222)+COUNTIFS($BM$9:$BM$508,$BM222,$BP$9:$BP$508,$BP222,$BS$9:$BS$508,$BS222,$BU$9:$BU$508,"&lt;"&amp;$BU222)+COUNTIFS($BM$9:$BM$508,$BM222,$BP$9:$BP$508,$BP222,$BS$9:$BS$508,$BS222,$BU$9:$BU$508,$BU222,$BW$9:$BW$508,"&lt;"&amp;$BW222)+COUNTIFS($BM$9:$BM$508,$BM222,$BP$9:$BP$508,$BP222,$BS$9:$BS$508,$BS222,$BU$9:$BU$508,$BU222,$BW$9:$BW$508,$BW222,$BY$9:$BY$508,"&lt;"&amp;$BY222)+1))</f>
        <v/>
      </c>
      <c r="CA222" s="124" t="str">
        <f aca="false">IF(ISBLANK($C222),"",IF($BL222&lt;&gt;Constants!$B$4,$BL222,$BQ222-$BZ222))</f>
        <v/>
      </c>
      <c r="CB222" s="130"/>
      <c r="CC222" s="131" t="str">
        <f aca="false">IF(ISBLANK($C222),"",IF($BL222=Constants!$B$8,$AR222,""))</f>
        <v/>
      </c>
      <c r="CD222" s="131" t="str">
        <f aca="false">IF(ISBLANK($C222),"",IF($BL222&lt;&gt;Constants!$B$4,"",IF($BB222="-&gt;",2,1)))</f>
        <v/>
      </c>
      <c r="CE222" s="132" t="str">
        <f aca="false">IF(ISBLANK($C222),"",IF($BL222&lt;&gt;Constants!$B$4,"",IF($BB222="-&gt;",$BE222,$AU222)))</f>
        <v/>
      </c>
      <c r="CF222" s="132" t="str">
        <f aca="false">IF(ISBLANK($C222),"",IF($BL222&lt;&gt;Constants!$B$4,"",IF($BB222="-&gt;",$BF222,$AV222)))</f>
        <v/>
      </c>
      <c r="CG222" s="132" t="str">
        <f aca="false">IF(ISBLANK($C222),"",IF($BL222&lt;&gt;Constants!$B$4,"",IF($BB222="-&gt;",$BG222,$AW222)))</f>
        <v/>
      </c>
      <c r="CH222" s="132" t="str">
        <f aca="false">IF(ISBLANK($C222),"",IF($BL222&lt;&gt;Constants!$B$4,"",IF($BB222="-&gt;",$BH222,$AX222)))</f>
        <v/>
      </c>
      <c r="CI222" s="133" t="str">
        <f aca="false">IF(ISBLANK($C222),"",$BO222)</f>
        <v/>
      </c>
      <c r="CJ222" s="134" t="str">
        <f aca="false">IF(ISBLANK($C222),"",$BM222)</f>
        <v/>
      </c>
      <c r="CK222" s="135" t="str">
        <f aca="false">IF(ISBLANK($C222),"",$CA222)</f>
        <v/>
      </c>
      <c r="CL222" s="135" t="str">
        <f aca="false">IF(ISBLANK($C222),"",$BZ222)</f>
        <v/>
      </c>
      <c r="CM222" s="136" t="str">
        <f aca="false">IF(ISBLANK($C222),"",IF($CL222=Constants!$B$7,COUNTA($C$9:$C$508)+2,IF($CL222=Constants!$B$6,COUNTA($C$9:$C$508)+1,IF($CL222=Constants!$B$5,COUNTA($C$9:$C$508),$CL222))))</f>
        <v/>
      </c>
      <c r="CN222" s="8"/>
      <c r="CO222" s="137" t="n">
        <f aca="false">IF(OR(ISNUMBER($CL222),$CL222=Constants!$B$7,$CL222=Constants!$B$5,$CL222=Constants!$B$6),1,0)</f>
        <v>0</v>
      </c>
      <c r="CP222" s="137" t="n">
        <v>214</v>
      </c>
      <c r="CQ222" s="137" t="str">
        <f aca="false">IF(ISBLANK($C222),"",IF(ISNUMBER($CM222),$CM222+ROW($B222)/1000,""))</f>
        <v/>
      </c>
      <c r="CR222" s="137" t="str">
        <f aca="false">IF(ISNUMBER($CQ222),RANK($CQ222,$CQ$9:$CQ$508,1),"")</f>
        <v/>
      </c>
      <c r="CS222" s="137" t="str">
        <f aca="false">IF(ISBLANK($C222),"",$B222)</f>
        <v/>
      </c>
      <c r="CT222" s="137" t="str">
        <f aca="false">IF(ISBLANK($C222),"",$C222)</f>
        <v/>
      </c>
      <c r="CU222" s="137" t="str">
        <f aca="false">IF(ISBLANK($C222),"",$D222)</f>
        <v/>
      </c>
      <c r="CV222" s="138" t="str">
        <f aca="false">$CJ222</f>
        <v/>
      </c>
      <c r="CW222" s="139" t="str">
        <f aca="false">$CI222</f>
        <v/>
      </c>
      <c r="CX222" s="137" t="str">
        <f aca="false">IF(ISBLANK($C222),"",$CL222)</f>
        <v/>
      </c>
      <c r="CY222" s="140" t="str">
        <f aca="false">IF($CP222&gt;$CO$8,"",VLOOKUP($CP222,$CR$9:$CX$508,7,FALSE()))</f>
        <v/>
      </c>
      <c r="CZ222" s="141" t="str">
        <f aca="false">IF($CP222&gt;$CO$8,"",VLOOKUP($CP222,$CR$9:$CX$508,2,FALSE()))</f>
        <v/>
      </c>
      <c r="DA222" s="141" t="str">
        <f aca="false">IF($CP222&gt;$CO$8,"",VLOOKUP($CP222,$CR$9:$CX$508,3,FALSE()))</f>
        <v/>
      </c>
      <c r="DB222" s="141" t="str">
        <f aca="false">IF($CP222&gt;$CO$8,"",VLOOKUP($CP222,$CR$9:$CX$508,4,FALSE()))</f>
        <v/>
      </c>
      <c r="DC222" s="141" t="str">
        <f aca="false">IF($CP222&gt;$CO$8,"",VLOOKUP($CP222,$CR$9:$CX$508,5,FALSE()))</f>
        <v/>
      </c>
      <c r="DD222" s="142" t="str">
        <f aca="false">IF($CP222&gt;$CO$8,"",VLOOKUP($CP222,$CR$9:$CX$508,6,FALSE()))</f>
        <v/>
      </c>
      <c r="DE222" s="70"/>
    </row>
    <row r="223" customFormat="false" ht="15.75" hidden="false" customHeight="false" outlineLevel="0" collapsed="false">
      <c r="A223" s="8"/>
      <c r="B223" s="146"/>
      <c r="C223" s="147"/>
      <c r="D223" s="148"/>
      <c r="E223" s="164"/>
      <c r="F223" s="150"/>
      <c r="G223" s="115"/>
      <c r="H223" s="115"/>
      <c r="I223" s="115"/>
      <c r="J223" s="165"/>
      <c r="K223" s="154"/>
      <c r="L223" s="154"/>
      <c r="M223" s="118"/>
      <c r="N223" s="154"/>
      <c r="O223" s="153"/>
      <c r="P223" s="154"/>
      <c r="Q223" s="154"/>
      <c r="R223" s="154"/>
      <c r="S223" s="115"/>
      <c r="T223" s="154"/>
      <c r="U223" s="153"/>
      <c r="V223" s="154"/>
      <c r="W223" s="123"/>
      <c r="X223" s="124" t="str">
        <f aca="false">IF(ISBLANK($C223),"",IF($E223=Constants!$B$2,TRUE(),IF($E223=Constants!$B$3,FALSE(),TRUE())))</f>
        <v/>
      </c>
      <c r="Y223" s="124" t="str">
        <f aca="false">IF(ISBLANK($C223),"",IF($F223=Constants!$B$2,TRUE(),IF($F223=Constants!$B$3,FALSE(),TRUE())))</f>
        <v/>
      </c>
      <c r="Z223" s="125" t="str">
        <f aca="false">IF(ISBLANK($C223),"",IF(ISNUMBER($G223),IF($G223&gt;=0,$G223,""),""))</f>
        <v/>
      </c>
      <c r="AA223" s="125" t="str">
        <f aca="false">IF(ISBLANK($C223),"",IF(ISNUMBER($H223),IF($H223&gt;=0,$H223,""),""))</f>
        <v/>
      </c>
      <c r="AB223" s="125" t="str">
        <f aca="false">IF(ISBLANK($C223),"",IF(ISNUMBER($I223),IF($I223&gt;=0,$I223,""),""))</f>
        <v/>
      </c>
      <c r="AC223" s="124" t="str">
        <f aca="false">IF(ISBLANK($C223),"",IF($J223=Constants!$B$2,TRUE(),IF($J223=Constants!$B$3,FALSE(),TRUE())))</f>
        <v/>
      </c>
      <c r="AD223" s="124" t="str">
        <f aca="false">IF(ISBLANK($C223),"",IF($K223=Constants!$B$2,TRUE(),IF($K223=Constants!$B$3,FALSE(),TRUE())))</f>
        <v/>
      </c>
      <c r="AE223" s="124" t="str">
        <f aca="false">IF(ISBLANK($C223),"",IF($L223=Constants!$B$2,TRUE(),IF($L223=Constants!$B$3,FALSE(),TRUE())))</f>
        <v/>
      </c>
      <c r="AF223" s="126" t="str">
        <f aca="false">IF(ISBLANK($C223),"",IF(ISNUMBER($M223),IF($M223&gt;=0,$M223,""),""))</f>
        <v/>
      </c>
      <c r="AG223" s="124" t="str">
        <f aca="false">IF(ISBLANK($C223),"",IF(ISBLANK($N223),0,IF(ISNUMBER($N223),IF(AND($N223&gt;=0,$N223&lt;=Constants!$B$17,$N223=INT($N223)),$N223,""),"")))</f>
        <v/>
      </c>
      <c r="AH223" s="125" t="str">
        <f aca="false">IF(ISBLANK($C223),"",IF(ISBLANK($O223),0,IF(ISNUMBER($O223),IF($O223&gt;=0,$O223,""),"")))</f>
        <v/>
      </c>
      <c r="AI223" s="124" t="str">
        <f aca="false">IF(ISBLANK($C223),"",IF($P223=Constants!$B$2,TRUE(),IF($P223=Constants!$B$3,FALSE(),TRUE())))</f>
        <v/>
      </c>
      <c r="AJ223" s="124" t="str">
        <f aca="false">IF(ISBLANK($C223),"",IF($Q223=Constants!$B$2,TRUE(),IF($Q223=Constants!$B$3,FALSE(),TRUE())))</f>
        <v/>
      </c>
      <c r="AK223" s="124" t="str">
        <f aca="false">IF(ISBLANK($C223),"",IF($R223=Constants!$B$2,TRUE(),IF($R223=Constants!$B$3,FALSE(),TRUE())))</f>
        <v/>
      </c>
      <c r="AL223" s="126" t="str">
        <f aca="false">IF(ISBLANK($C223),"",IF(ISNUMBER($S223),IF($S223&gt;=0,$S223,""),""))</f>
        <v/>
      </c>
      <c r="AM223" s="124" t="str">
        <f aca="false">IF(ISBLANK($C223),"",IF(ISBLANK($T223),0,IF(ISNUMBER($T223),IF(AND($T223&gt;=0,$T223&lt;=Constants!$B$17,$T223=INT($T223)),$T223,""),"")))</f>
        <v/>
      </c>
      <c r="AN223" s="125" t="str">
        <f aca="false">IF(ISBLANK($C223),"",IF(ISBLANK($U223),0,IF(ISNUMBER($U223),IF($U223&gt;=0,$U223,""),"")))</f>
        <v/>
      </c>
      <c r="AO223" s="124" t="str">
        <f aca="false">IF(ISBLANK($C223),"",IF($V223=Constants!$B$2,TRUE(),IF($V223=Constants!$B$3,FALSE(),FALSE())))</f>
        <v/>
      </c>
      <c r="AP223" s="124"/>
      <c r="AQ223" s="123" t="str">
        <f aca="false">IF(ISBLANK($C223),"",AND($Y223,OR($AS223,$BC223),OR($Z223="",$AA223="",$AB223="")))</f>
        <v/>
      </c>
      <c r="AR223" s="123" t="str">
        <f aca="false">IF(ISBLANK($C223),"",IF(OR(NOT($Y223),NOT(OR($AS223,$BC223))),"",IF(ISBLANK($D$7),$AR$5,IF($AP$9="",$AR$6,""))))</f>
        <v/>
      </c>
      <c r="AS223" s="123" t="str">
        <f aca="false">IF(ISBLANK($C223),"",COUNTA($J223:$O223)&gt;0)</f>
        <v/>
      </c>
      <c r="AT223" s="123" t="str">
        <f aca="false">IF(ISBLANK($C223),"",AND($AS223,OR(AND($AF223="",OR($AE223,NOT(ISBLANK($M223)))),$AG223="",$AH223="")))</f>
        <v/>
      </c>
      <c r="AU223" s="125" t="str">
        <f aca="false">IF($BL223&lt;&gt;Constants!$B$4,"",IF(NOT($AS223),"",ROUND((Constants!$B$12-$AB223)+(Constants!$B$13-$Z223)+(Constants!$B$14-$AA223),1)))</f>
        <v/>
      </c>
      <c r="AV223" s="127" t="str">
        <f aca="false">IF($BL223&lt;&gt;Constants!$B$4,"",IF(NOT($AS223),"",IF(NOT($AE223),0,Constants!$B$15*(INT(ROUND(MIN($AF223,$AP$9),6))-INT(ROUND(MAX(0,MIN($AF223,2*$AP$9)-$AP$9),6))))))</f>
        <v/>
      </c>
      <c r="AW223" s="127" t="str">
        <f aca="false">IF($BL223&lt;&gt;Constants!$B$4,"",IF(NOT($AS223),"",Constants!$B$16*$AG223))</f>
        <v/>
      </c>
      <c r="AX223" s="127" t="str">
        <f aca="false">IF($BL223&lt;&gt;Constants!$B$4,"",IF(NOT($AS223),"",Constants!$B$18*INT(ROUND($AH223,6))))</f>
        <v/>
      </c>
      <c r="AY223" s="123" t="str">
        <f aca="false">IF($BL223&lt;&gt;Constants!$B$4,"",IF(NOT($AS223),"",IF(NOT($X223),Constants!$B$11,IF(OR(NOT($AC223),NOT($AD223),ROUND($AB223,1)&gt;Constants!$B$12,ROUND($Z223,1)&gt;Constants!$B$13,ROUND($AA223,1)&gt;Constants!$B$14),Constants!$B$10,Constants!$B$9))))</f>
        <v/>
      </c>
      <c r="AZ223" s="128" t="str">
        <f aca="false">IF($BL223&lt;&gt;Constants!$B$4,"",IF(NOT($AS223),"",ROUND($AU223+$AV223+$AW223+$AX223,1)))</f>
        <v/>
      </c>
      <c r="BA223" s="129" t="str">
        <f aca="false">IF($BL223&lt;&gt;Constants!$B$4,"",IF(NOT($AS223),"",IF(ISNUMBER($AF223),$AF223,0)))</f>
        <v/>
      </c>
      <c r="BB223" s="124" t="str">
        <f aca="false">IF($BL223&lt;&gt;Constants!$B$4,"",IF(NOT($BC223),"&lt;-",IF(NOT($AS223),"-&gt;",IF(OR($BI223&lt;$AY223,AND($BI223=$AY223,OR($BJ223&gt;$AZ223,AND($BJ223=$AZ223,OR($BH223&gt;$AX223,AND($BH223=$AX223,OR($BE223&gt;$AU223,AND($BE223=$AU223,OR($BF223&gt;$AV223,AND($BF223=$AV223,$BK223&gt;$BA223)))))))))),"-&gt;","&lt;-"))))</f>
        <v/>
      </c>
      <c r="BC223" s="123" t="str">
        <f aca="false">IF(ISBLANK($C223),"",COUNTA($P223:$U223)&gt;0)</f>
        <v/>
      </c>
      <c r="BD223" s="123" t="str">
        <f aca="false">IF(ISBLANK($C223),"",AND($BC223,OR(AND($AL223="",OR($AK223,NOT(ISBLANK($S223)))),$AM223="",$AN223="")))</f>
        <v/>
      </c>
      <c r="BE223" s="125" t="str">
        <f aca="false">IF($BL223&lt;&gt;Constants!$B$4,"",IF(NOT($BC223),"",ROUND((Constants!$B$12-$AB223)+(Constants!$B$13-$Z223)+(Constants!$B$14-$AA223),1)))</f>
        <v/>
      </c>
      <c r="BF223" s="127" t="str">
        <f aca="false">IF($BL223&lt;&gt;Constants!$B$4,"",IF(NOT($BC223),"",IF(NOT($AK223),0,Constants!$B$15*(INT(ROUND(MIN($AL223,$AP$9),6))-INT(ROUND(MAX(0,MIN($AL223,2*$AP$9)-$AP$9),6))))))</f>
        <v/>
      </c>
      <c r="BG223" s="127" t="str">
        <f aca="false">IF($BL223&lt;&gt;Constants!$B$4,"",IF(NOT($BC223),"",Constants!$B$16*$AM223))</f>
        <v/>
      </c>
      <c r="BH223" s="127" t="str">
        <f aca="false">IF($BL223&lt;&gt;Constants!$B$4,"",IF(NOT($BC223),"",Constants!$B$18*INT(ROUND($AN223,6))))</f>
        <v/>
      </c>
      <c r="BI223" s="123" t="str">
        <f aca="false">IF($BL223&lt;&gt;Constants!$B$4,"",IF(NOT($BC223),"",IF(NOT($X223),Constants!$B$11,IF(OR(NOT($AI223),NOT($AJ223),ROUND($AB223,1)&gt;Constants!$B$12,ROUND($Z223,1)&gt;Constants!$B$13,ROUND($AA223,1)&gt;Constants!$B$14),Constants!$B$10,Constants!$B$9))))</f>
        <v/>
      </c>
      <c r="BJ223" s="128" t="str">
        <f aca="false">IF($BL223&lt;&gt;Constants!$B$4,"",IF(NOT($BC223),"",ROUND($BE223+$BF223+$BG223+$BH223,1)))</f>
        <v/>
      </c>
      <c r="BK223" s="129" t="str">
        <f aca="false">IF($BL223&lt;&gt;Constants!$B$4,"",IF(NOT($BC223),"",IF(ISNUMBER($AL223),$AL223,0)))</f>
        <v/>
      </c>
      <c r="BL223" s="124" t="str">
        <f aca="false">IF(ISBLANK($C223),"",IF($AO223,Constants!$B$7,IF(COUNTA($E223:$V223)=0,Constants!$B$6,IF(NOT($Y223),Constants!$B$5,IF(NOT(OR($AS223,$BC223)),Constants!$B$5,IF(OR($AT223,$BD223,$AQ223,$AR223&lt;&gt;""),Constants!$B$8,Constants!$B$4))))))</f>
        <v/>
      </c>
      <c r="BM223" s="124" t="str">
        <f aca="false">IF(ISBLANK($C223),"",IF($BL223&lt;&gt;Constants!$B$4,$BL223,IF($BB223="-&gt;",$BI223,$AY223)))</f>
        <v/>
      </c>
      <c r="BN223" s="127" t="str">
        <f aca="false">IF($BL223&lt;&gt;Constants!$B$4,"",IF($BB223="-&gt;",$BJ223,$AZ223))</f>
        <v/>
      </c>
      <c r="BO223" s="127" t="str">
        <f aca="false">IF(ISBLANK($C223),"",IF($BL223&lt;&gt;Constants!$B$4,$BL223,$BN223))</f>
        <v/>
      </c>
      <c r="BP223" s="124" t="str">
        <f aca="false">IF(ISBLANK($C223),"",IF($BL223&lt;&gt;Constants!$B$4,$BL223,RANK($BO223,$BO$9:$BO$508,0)))</f>
        <v/>
      </c>
      <c r="BQ223" s="124" t="str">
        <f aca="false">IF(ISBLANK($C223),"",IF($BL223&lt;&gt;Constants!$B$4,$BL223,COUNTIFS($BM$9:$BM$508,"&lt;"&amp;$BM223)+COUNTIFS($BM$9:$BM$508,$BM223,$BP$9:$BP$508,"&lt;"&amp;$BP223)+1))</f>
        <v/>
      </c>
      <c r="BR223" s="127" t="str">
        <f aca="false">IF($BL223&lt;&gt;Constants!$B$4,"",IF($BB223="-&gt;",$BH223,$AX223))</f>
        <v/>
      </c>
      <c r="BS223" s="124" t="str">
        <f aca="false">IF(ISBLANK($C223),"",IF($BL223&lt;&gt;Constants!$B$4,$BL223,IF(ISNUMBER($BR223),RANK($BR223,$BR$9:$BR$508,0),COUNT($BR$9:$BR$508)+1)))</f>
        <v/>
      </c>
      <c r="BT223" s="127" t="str">
        <f aca="false">IF($BL223&lt;&gt;Constants!$B$4,"",IF($BB223="-&gt;",$BE223,$AU223))</f>
        <v/>
      </c>
      <c r="BU223" s="124" t="str">
        <f aca="false">IF(ISBLANK($C223),"",IF($BL223&lt;&gt;Constants!$B$4,$BL223,IF(ISNUMBER($BT223),RANK($BT223,$BT$9:$BT$508,0),COUNT($BT$9:$BT$508)+1)))</f>
        <v/>
      </c>
      <c r="BV223" s="127" t="str">
        <f aca="false">IF($BL223&lt;&gt;Constants!$B$4,"",IF($BB223="-&gt;",$BF223,$AV223))</f>
        <v/>
      </c>
      <c r="BW223" s="124" t="str">
        <f aca="false">IF(ISBLANK($C223),"",IF($BL223&lt;&gt;Constants!$B$4,$BL223,IF(ISNUMBER($BV223),RANK($BV223,$BV$9:$BV$508,0),COUNT($BV$9:$BV$508)+1)))</f>
        <v/>
      </c>
      <c r="BX223" s="127" t="str">
        <f aca="false">IF($BL223&lt;&gt;Constants!$B$4,"",IF($BB223="-&gt;",$BK223,$BA223))</f>
        <v/>
      </c>
      <c r="BY223" s="124" t="str">
        <f aca="false">IF(ISBLANK($C223),"",IF($BL223&lt;&gt;Constants!$B$4,$BL223,IF(ISNUMBER($BX223),RANK($BX223,$BX$9:$BX$508,0),COUNT($BX$9:$BX$508)+1)))</f>
        <v/>
      </c>
      <c r="BZ223" s="124" t="str">
        <f aca="false">IF(ISBLANK($C223),"",IF($BL223&lt;&gt;Constants!$B$4,$BL223,COUNTIFS($BM$9:$BM$508,"&lt;"&amp;$BM223)+COUNTIFS($BM$9:$BM$508,$BM223,$BP$9:$BP$508,"&lt;"&amp;$BP223)+COUNTIFS($BM$9:$BM$508,$BM223,$BP$9:$BP$508,$BP223,$BS$9:$BS$508,"&lt;"&amp;$BS223)+COUNTIFS($BM$9:$BM$508,$BM223,$BP$9:$BP$508,$BP223,$BS$9:$BS$508,$BS223,$BU$9:$BU$508,"&lt;"&amp;$BU223)+COUNTIFS($BM$9:$BM$508,$BM223,$BP$9:$BP$508,$BP223,$BS$9:$BS$508,$BS223,$BU$9:$BU$508,$BU223,$BW$9:$BW$508,"&lt;"&amp;$BW223)+COUNTIFS($BM$9:$BM$508,$BM223,$BP$9:$BP$508,$BP223,$BS$9:$BS$508,$BS223,$BU$9:$BU$508,$BU223,$BW$9:$BW$508,$BW223,$BY$9:$BY$508,"&lt;"&amp;$BY223)+1))</f>
        <v/>
      </c>
      <c r="CA223" s="124" t="str">
        <f aca="false">IF(ISBLANK($C223),"",IF($BL223&lt;&gt;Constants!$B$4,$BL223,$BQ223-$BZ223))</f>
        <v/>
      </c>
      <c r="CB223" s="130"/>
      <c r="CC223" s="131" t="str">
        <f aca="false">IF(ISBLANK($C223),"",IF($BL223=Constants!$B$8,$AR223,""))</f>
        <v/>
      </c>
      <c r="CD223" s="131" t="str">
        <f aca="false">IF(ISBLANK($C223),"",IF($BL223&lt;&gt;Constants!$B$4,"",IF($BB223="-&gt;",2,1)))</f>
        <v/>
      </c>
      <c r="CE223" s="132" t="str">
        <f aca="false">IF(ISBLANK($C223),"",IF($BL223&lt;&gt;Constants!$B$4,"",IF($BB223="-&gt;",$BE223,$AU223)))</f>
        <v/>
      </c>
      <c r="CF223" s="132" t="str">
        <f aca="false">IF(ISBLANK($C223),"",IF($BL223&lt;&gt;Constants!$B$4,"",IF($BB223="-&gt;",$BF223,$AV223)))</f>
        <v/>
      </c>
      <c r="CG223" s="132" t="str">
        <f aca="false">IF(ISBLANK($C223),"",IF($BL223&lt;&gt;Constants!$B$4,"",IF($BB223="-&gt;",$BG223,$AW223)))</f>
        <v/>
      </c>
      <c r="CH223" s="132" t="str">
        <f aca="false">IF(ISBLANK($C223),"",IF($BL223&lt;&gt;Constants!$B$4,"",IF($BB223="-&gt;",$BH223,$AX223)))</f>
        <v/>
      </c>
      <c r="CI223" s="133" t="str">
        <f aca="false">IF(ISBLANK($C223),"",$BO223)</f>
        <v/>
      </c>
      <c r="CJ223" s="134" t="str">
        <f aca="false">IF(ISBLANK($C223),"",$BM223)</f>
        <v/>
      </c>
      <c r="CK223" s="135" t="str">
        <f aca="false">IF(ISBLANK($C223),"",$CA223)</f>
        <v/>
      </c>
      <c r="CL223" s="135" t="str">
        <f aca="false">IF(ISBLANK($C223),"",$BZ223)</f>
        <v/>
      </c>
      <c r="CM223" s="136" t="str">
        <f aca="false">IF(ISBLANK($C223),"",IF($CL223=Constants!$B$7,COUNTA($C$9:$C$508)+2,IF($CL223=Constants!$B$6,COUNTA($C$9:$C$508)+1,IF($CL223=Constants!$B$5,COUNTA($C$9:$C$508),$CL223))))</f>
        <v/>
      </c>
      <c r="CN223" s="8"/>
      <c r="CO223" s="137" t="n">
        <f aca="false">IF(OR(ISNUMBER($CL223),$CL223=Constants!$B$7,$CL223=Constants!$B$5,$CL223=Constants!$B$6),1,0)</f>
        <v>0</v>
      </c>
      <c r="CP223" s="137" t="n">
        <v>215</v>
      </c>
      <c r="CQ223" s="137" t="str">
        <f aca="false">IF(ISBLANK($C223),"",IF(ISNUMBER($CM223),$CM223+ROW($B223)/1000,""))</f>
        <v/>
      </c>
      <c r="CR223" s="137" t="str">
        <f aca="false">IF(ISNUMBER($CQ223),RANK($CQ223,$CQ$9:$CQ$508,1),"")</f>
        <v/>
      </c>
      <c r="CS223" s="137" t="str">
        <f aca="false">IF(ISBLANK($C223),"",$B223)</f>
        <v/>
      </c>
      <c r="CT223" s="137" t="str">
        <f aca="false">IF(ISBLANK($C223),"",$C223)</f>
        <v/>
      </c>
      <c r="CU223" s="137" t="str">
        <f aca="false">IF(ISBLANK($C223),"",$D223)</f>
        <v/>
      </c>
      <c r="CV223" s="138" t="str">
        <f aca="false">$CJ223</f>
        <v/>
      </c>
      <c r="CW223" s="139" t="str">
        <f aca="false">$CI223</f>
        <v/>
      </c>
      <c r="CX223" s="137" t="str">
        <f aca="false">IF(ISBLANK($C223),"",$CL223)</f>
        <v/>
      </c>
      <c r="CY223" s="140" t="str">
        <f aca="false">IF($CP223&gt;$CO$8,"",VLOOKUP($CP223,$CR$9:$CX$508,7,FALSE()))</f>
        <v/>
      </c>
      <c r="CZ223" s="141" t="str">
        <f aca="false">IF($CP223&gt;$CO$8,"",VLOOKUP($CP223,$CR$9:$CX$508,2,FALSE()))</f>
        <v/>
      </c>
      <c r="DA223" s="141" t="str">
        <f aca="false">IF($CP223&gt;$CO$8,"",VLOOKUP($CP223,$CR$9:$CX$508,3,FALSE()))</f>
        <v/>
      </c>
      <c r="DB223" s="141" t="str">
        <f aca="false">IF($CP223&gt;$CO$8,"",VLOOKUP($CP223,$CR$9:$CX$508,4,FALSE()))</f>
        <v/>
      </c>
      <c r="DC223" s="141" t="str">
        <f aca="false">IF($CP223&gt;$CO$8,"",VLOOKUP($CP223,$CR$9:$CX$508,5,FALSE()))</f>
        <v/>
      </c>
      <c r="DD223" s="142" t="str">
        <f aca="false">IF($CP223&gt;$CO$8,"",VLOOKUP($CP223,$CR$9:$CX$508,6,FALSE()))</f>
        <v/>
      </c>
      <c r="DE223" s="70"/>
    </row>
    <row r="224" customFormat="false" ht="15.75" hidden="false" customHeight="false" outlineLevel="0" collapsed="false">
      <c r="A224" s="8"/>
      <c r="B224" s="146"/>
      <c r="C224" s="147"/>
      <c r="D224" s="148"/>
      <c r="E224" s="164"/>
      <c r="F224" s="150"/>
      <c r="G224" s="115"/>
      <c r="H224" s="115"/>
      <c r="I224" s="115"/>
      <c r="J224" s="165"/>
      <c r="K224" s="154"/>
      <c r="L224" s="154"/>
      <c r="M224" s="118"/>
      <c r="N224" s="154"/>
      <c r="O224" s="153"/>
      <c r="P224" s="154"/>
      <c r="Q224" s="154"/>
      <c r="R224" s="154"/>
      <c r="S224" s="115"/>
      <c r="T224" s="154"/>
      <c r="U224" s="153"/>
      <c r="V224" s="154"/>
      <c r="W224" s="123"/>
      <c r="X224" s="124" t="str">
        <f aca="false">IF(ISBLANK($C224),"",IF($E224=Constants!$B$2,TRUE(),IF($E224=Constants!$B$3,FALSE(),TRUE())))</f>
        <v/>
      </c>
      <c r="Y224" s="124" t="str">
        <f aca="false">IF(ISBLANK($C224),"",IF($F224=Constants!$B$2,TRUE(),IF($F224=Constants!$B$3,FALSE(),TRUE())))</f>
        <v/>
      </c>
      <c r="Z224" s="125" t="str">
        <f aca="false">IF(ISBLANK($C224),"",IF(ISNUMBER($G224),IF($G224&gt;=0,$G224,""),""))</f>
        <v/>
      </c>
      <c r="AA224" s="125" t="str">
        <f aca="false">IF(ISBLANK($C224),"",IF(ISNUMBER($H224),IF($H224&gt;=0,$H224,""),""))</f>
        <v/>
      </c>
      <c r="AB224" s="125" t="str">
        <f aca="false">IF(ISBLANK($C224),"",IF(ISNUMBER($I224),IF($I224&gt;=0,$I224,""),""))</f>
        <v/>
      </c>
      <c r="AC224" s="124" t="str">
        <f aca="false">IF(ISBLANK($C224),"",IF($J224=Constants!$B$2,TRUE(),IF($J224=Constants!$B$3,FALSE(),TRUE())))</f>
        <v/>
      </c>
      <c r="AD224" s="124" t="str">
        <f aca="false">IF(ISBLANK($C224),"",IF($K224=Constants!$B$2,TRUE(),IF($K224=Constants!$B$3,FALSE(),TRUE())))</f>
        <v/>
      </c>
      <c r="AE224" s="124" t="str">
        <f aca="false">IF(ISBLANK($C224),"",IF($L224=Constants!$B$2,TRUE(),IF($L224=Constants!$B$3,FALSE(),TRUE())))</f>
        <v/>
      </c>
      <c r="AF224" s="126" t="str">
        <f aca="false">IF(ISBLANK($C224),"",IF(ISNUMBER($M224),IF($M224&gt;=0,$M224,""),""))</f>
        <v/>
      </c>
      <c r="AG224" s="124" t="str">
        <f aca="false">IF(ISBLANK($C224),"",IF(ISBLANK($N224),0,IF(ISNUMBER($N224),IF(AND($N224&gt;=0,$N224&lt;=Constants!$B$17,$N224=INT($N224)),$N224,""),"")))</f>
        <v/>
      </c>
      <c r="AH224" s="125" t="str">
        <f aca="false">IF(ISBLANK($C224),"",IF(ISBLANK($O224),0,IF(ISNUMBER($O224),IF($O224&gt;=0,$O224,""),"")))</f>
        <v/>
      </c>
      <c r="AI224" s="124" t="str">
        <f aca="false">IF(ISBLANK($C224),"",IF($P224=Constants!$B$2,TRUE(),IF($P224=Constants!$B$3,FALSE(),TRUE())))</f>
        <v/>
      </c>
      <c r="AJ224" s="124" t="str">
        <f aca="false">IF(ISBLANK($C224),"",IF($Q224=Constants!$B$2,TRUE(),IF($Q224=Constants!$B$3,FALSE(),TRUE())))</f>
        <v/>
      </c>
      <c r="AK224" s="124" t="str">
        <f aca="false">IF(ISBLANK($C224),"",IF($R224=Constants!$B$2,TRUE(),IF($R224=Constants!$B$3,FALSE(),TRUE())))</f>
        <v/>
      </c>
      <c r="AL224" s="126" t="str">
        <f aca="false">IF(ISBLANK($C224),"",IF(ISNUMBER($S224),IF($S224&gt;=0,$S224,""),""))</f>
        <v/>
      </c>
      <c r="AM224" s="124" t="str">
        <f aca="false">IF(ISBLANK($C224),"",IF(ISBLANK($T224),0,IF(ISNUMBER($T224),IF(AND($T224&gt;=0,$T224&lt;=Constants!$B$17,$T224=INT($T224)),$T224,""),"")))</f>
        <v/>
      </c>
      <c r="AN224" s="125" t="str">
        <f aca="false">IF(ISBLANK($C224),"",IF(ISBLANK($U224),0,IF(ISNUMBER($U224),IF($U224&gt;=0,$U224,""),"")))</f>
        <v/>
      </c>
      <c r="AO224" s="124" t="str">
        <f aca="false">IF(ISBLANK($C224),"",IF($V224=Constants!$B$2,TRUE(),IF($V224=Constants!$B$3,FALSE(),FALSE())))</f>
        <v/>
      </c>
      <c r="AP224" s="124"/>
      <c r="AQ224" s="123" t="str">
        <f aca="false">IF(ISBLANK($C224),"",AND($Y224,OR($AS224,$BC224),OR($Z224="",$AA224="",$AB224="")))</f>
        <v/>
      </c>
      <c r="AR224" s="123" t="str">
        <f aca="false">IF(ISBLANK($C224),"",IF(OR(NOT($Y224),NOT(OR($AS224,$BC224))),"",IF(ISBLANK($D$7),$AR$5,IF($AP$9="",$AR$6,""))))</f>
        <v/>
      </c>
      <c r="AS224" s="123" t="str">
        <f aca="false">IF(ISBLANK($C224),"",COUNTA($J224:$O224)&gt;0)</f>
        <v/>
      </c>
      <c r="AT224" s="123" t="str">
        <f aca="false">IF(ISBLANK($C224),"",AND($AS224,OR(AND($AF224="",OR($AE224,NOT(ISBLANK($M224)))),$AG224="",$AH224="")))</f>
        <v/>
      </c>
      <c r="AU224" s="125" t="str">
        <f aca="false">IF($BL224&lt;&gt;Constants!$B$4,"",IF(NOT($AS224),"",ROUND((Constants!$B$12-$AB224)+(Constants!$B$13-$Z224)+(Constants!$B$14-$AA224),1)))</f>
        <v/>
      </c>
      <c r="AV224" s="127" t="str">
        <f aca="false">IF($BL224&lt;&gt;Constants!$B$4,"",IF(NOT($AS224),"",IF(NOT($AE224),0,Constants!$B$15*(INT(ROUND(MIN($AF224,$AP$9),6))-INT(ROUND(MAX(0,MIN($AF224,2*$AP$9)-$AP$9),6))))))</f>
        <v/>
      </c>
      <c r="AW224" s="127" t="str">
        <f aca="false">IF($BL224&lt;&gt;Constants!$B$4,"",IF(NOT($AS224),"",Constants!$B$16*$AG224))</f>
        <v/>
      </c>
      <c r="AX224" s="127" t="str">
        <f aca="false">IF($BL224&lt;&gt;Constants!$B$4,"",IF(NOT($AS224),"",Constants!$B$18*INT(ROUND($AH224,6))))</f>
        <v/>
      </c>
      <c r="AY224" s="123" t="str">
        <f aca="false">IF($BL224&lt;&gt;Constants!$B$4,"",IF(NOT($AS224),"",IF(NOT($X224),Constants!$B$11,IF(OR(NOT($AC224),NOT($AD224),ROUND($AB224,1)&gt;Constants!$B$12,ROUND($Z224,1)&gt;Constants!$B$13,ROUND($AA224,1)&gt;Constants!$B$14),Constants!$B$10,Constants!$B$9))))</f>
        <v/>
      </c>
      <c r="AZ224" s="128" t="str">
        <f aca="false">IF($BL224&lt;&gt;Constants!$B$4,"",IF(NOT($AS224),"",ROUND($AU224+$AV224+$AW224+$AX224,1)))</f>
        <v/>
      </c>
      <c r="BA224" s="129" t="str">
        <f aca="false">IF($BL224&lt;&gt;Constants!$B$4,"",IF(NOT($AS224),"",IF(ISNUMBER($AF224),$AF224,0)))</f>
        <v/>
      </c>
      <c r="BB224" s="124" t="str">
        <f aca="false">IF($BL224&lt;&gt;Constants!$B$4,"",IF(NOT($BC224),"&lt;-",IF(NOT($AS224),"-&gt;",IF(OR($BI224&lt;$AY224,AND($BI224=$AY224,OR($BJ224&gt;$AZ224,AND($BJ224=$AZ224,OR($BH224&gt;$AX224,AND($BH224=$AX224,OR($BE224&gt;$AU224,AND($BE224=$AU224,OR($BF224&gt;$AV224,AND($BF224=$AV224,$BK224&gt;$BA224)))))))))),"-&gt;","&lt;-"))))</f>
        <v/>
      </c>
      <c r="BC224" s="123" t="str">
        <f aca="false">IF(ISBLANK($C224),"",COUNTA($P224:$U224)&gt;0)</f>
        <v/>
      </c>
      <c r="BD224" s="123" t="str">
        <f aca="false">IF(ISBLANK($C224),"",AND($BC224,OR(AND($AL224="",OR($AK224,NOT(ISBLANK($S224)))),$AM224="",$AN224="")))</f>
        <v/>
      </c>
      <c r="BE224" s="125" t="str">
        <f aca="false">IF($BL224&lt;&gt;Constants!$B$4,"",IF(NOT($BC224),"",ROUND((Constants!$B$12-$AB224)+(Constants!$B$13-$Z224)+(Constants!$B$14-$AA224),1)))</f>
        <v/>
      </c>
      <c r="BF224" s="127" t="str">
        <f aca="false">IF($BL224&lt;&gt;Constants!$B$4,"",IF(NOT($BC224),"",IF(NOT($AK224),0,Constants!$B$15*(INT(ROUND(MIN($AL224,$AP$9),6))-INT(ROUND(MAX(0,MIN($AL224,2*$AP$9)-$AP$9),6))))))</f>
        <v/>
      </c>
      <c r="BG224" s="127" t="str">
        <f aca="false">IF($BL224&lt;&gt;Constants!$B$4,"",IF(NOT($BC224),"",Constants!$B$16*$AM224))</f>
        <v/>
      </c>
      <c r="BH224" s="127" t="str">
        <f aca="false">IF($BL224&lt;&gt;Constants!$B$4,"",IF(NOT($BC224),"",Constants!$B$18*INT(ROUND($AN224,6))))</f>
        <v/>
      </c>
      <c r="BI224" s="123" t="str">
        <f aca="false">IF($BL224&lt;&gt;Constants!$B$4,"",IF(NOT($BC224),"",IF(NOT($X224),Constants!$B$11,IF(OR(NOT($AI224),NOT($AJ224),ROUND($AB224,1)&gt;Constants!$B$12,ROUND($Z224,1)&gt;Constants!$B$13,ROUND($AA224,1)&gt;Constants!$B$14),Constants!$B$10,Constants!$B$9))))</f>
        <v/>
      </c>
      <c r="BJ224" s="128" t="str">
        <f aca="false">IF($BL224&lt;&gt;Constants!$B$4,"",IF(NOT($BC224),"",ROUND($BE224+$BF224+$BG224+$BH224,1)))</f>
        <v/>
      </c>
      <c r="BK224" s="129" t="str">
        <f aca="false">IF($BL224&lt;&gt;Constants!$B$4,"",IF(NOT($BC224),"",IF(ISNUMBER($AL224),$AL224,0)))</f>
        <v/>
      </c>
      <c r="BL224" s="124" t="str">
        <f aca="false">IF(ISBLANK($C224),"",IF($AO224,Constants!$B$7,IF(COUNTA($E224:$V224)=0,Constants!$B$6,IF(NOT($Y224),Constants!$B$5,IF(NOT(OR($AS224,$BC224)),Constants!$B$5,IF(OR($AT224,$BD224,$AQ224,$AR224&lt;&gt;""),Constants!$B$8,Constants!$B$4))))))</f>
        <v/>
      </c>
      <c r="BM224" s="124" t="str">
        <f aca="false">IF(ISBLANK($C224),"",IF($BL224&lt;&gt;Constants!$B$4,$BL224,IF($BB224="-&gt;",$BI224,$AY224)))</f>
        <v/>
      </c>
      <c r="BN224" s="127" t="str">
        <f aca="false">IF($BL224&lt;&gt;Constants!$B$4,"",IF($BB224="-&gt;",$BJ224,$AZ224))</f>
        <v/>
      </c>
      <c r="BO224" s="127" t="str">
        <f aca="false">IF(ISBLANK($C224),"",IF($BL224&lt;&gt;Constants!$B$4,$BL224,$BN224))</f>
        <v/>
      </c>
      <c r="BP224" s="124" t="str">
        <f aca="false">IF(ISBLANK($C224),"",IF($BL224&lt;&gt;Constants!$B$4,$BL224,RANK($BO224,$BO$9:$BO$508,0)))</f>
        <v/>
      </c>
      <c r="BQ224" s="124" t="str">
        <f aca="false">IF(ISBLANK($C224),"",IF($BL224&lt;&gt;Constants!$B$4,$BL224,COUNTIFS($BM$9:$BM$508,"&lt;"&amp;$BM224)+COUNTIFS($BM$9:$BM$508,$BM224,$BP$9:$BP$508,"&lt;"&amp;$BP224)+1))</f>
        <v/>
      </c>
      <c r="BR224" s="127" t="str">
        <f aca="false">IF($BL224&lt;&gt;Constants!$B$4,"",IF($BB224="-&gt;",$BH224,$AX224))</f>
        <v/>
      </c>
      <c r="BS224" s="124" t="str">
        <f aca="false">IF(ISBLANK($C224),"",IF($BL224&lt;&gt;Constants!$B$4,$BL224,IF(ISNUMBER($BR224),RANK($BR224,$BR$9:$BR$508,0),COUNT($BR$9:$BR$508)+1)))</f>
        <v/>
      </c>
      <c r="BT224" s="127" t="str">
        <f aca="false">IF($BL224&lt;&gt;Constants!$B$4,"",IF($BB224="-&gt;",$BE224,$AU224))</f>
        <v/>
      </c>
      <c r="BU224" s="124" t="str">
        <f aca="false">IF(ISBLANK($C224),"",IF($BL224&lt;&gt;Constants!$B$4,$BL224,IF(ISNUMBER($BT224),RANK($BT224,$BT$9:$BT$508,0),COUNT($BT$9:$BT$508)+1)))</f>
        <v/>
      </c>
      <c r="BV224" s="127" t="str">
        <f aca="false">IF($BL224&lt;&gt;Constants!$B$4,"",IF($BB224="-&gt;",$BF224,$AV224))</f>
        <v/>
      </c>
      <c r="BW224" s="124" t="str">
        <f aca="false">IF(ISBLANK($C224),"",IF($BL224&lt;&gt;Constants!$B$4,$BL224,IF(ISNUMBER($BV224),RANK($BV224,$BV$9:$BV$508,0),COUNT($BV$9:$BV$508)+1)))</f>
        <v/>
      </c>
      <c r="BX224" s="127" t="str">
        <f aca="false">IF($BL224&lt;&gt;Constants!$B$4,"",IF($BB224="-&gt;",$BK224,$BA224))</f>
        <v/>
      </c>
      <c r="BY224" s="124" t="str">
        <f aca="false">IF(ISBLANK($C224),"",IF($BL224&lt;&gt;Constants!$B$4,$BL224,IF(ISNUMBER($BX224),RANK($BX224,$BX$9:$BX$508,0),COUNT($BX$9:$BX$508)+1)))</f>
        <v/>
      </c>
      <c r="BZ224" s="124" t="str">
        <f aca="false">IF(ISBLANK($C224),"",IF($BL224&lt;&gt;Constants!$B$4,$BL224,COUNTIFS($BM$9:$BM$508,"&lt;"&amp;$BM224)+COUNTIFS($BM$9:$BM$508,$BM224,$BP$9:$BP$508,"&lt;"&amp;$BP224)+COUNTIFS($BM$9:$BM$508,$BM224,$BP$9:$BP$508,$BP224,$BS$9:$BS$508,"&lt;"&amp;$BS224)+COUNTIFS($BM$9:$BM$508,$BM224,$BP$9:$BP$508,$BP224,$BS$9:$BS$508,$BS224,$BU$9:$BU$508,"&lt;"&amp;$BU224)+COUNTIFS($BM$9:$BM$508,$BM224,$BP$9:$BP$508,$BP224,$BS$9:$BS$508,$BS224,$BU$9:$BU$508,$BU224,$BW$9:$BW$508,"&lt;"&amp;$BW224)+COUNTIFS($BM$9:$BM$508,$BM224,$BP$9:$BP$508,$BP224,$BS$9:$BS$508,$BS224,$BU$9:$BU$508,$BU224,$BW$9:$BW$508,$BW224,$BY$9:$BY$508,"&lt;"&amp;$BY224)+1))</f>
        <v/>
      </c>
      <c r="CA224" s="124" t="str">
        <f aca="false">IF(ISBLANK($C224),"",IF($BL224&lt;&gt;Constants!$B$4,$BL224,$BQ224-$BZ224))</f>
        <v/>
      </c>
      <c r="CB224" s="130"/>
      <c r="CC224" s="131" t="str">
        <f aca="false">IF(ISBLANK($C224),"",IF($BL224=Constants!$B$8,$AR224,""))</f>
        <v/>
      </c>
      <c r="CD224" s="131" t="str">
        <f aca="false">IF(ISBLANK($C224),"",IF($BL224&lt;&gt;Constants!$B$4,"",IF($BB224="-&gt;",2,1)))</f>
        <v/>
      </c>
      <c r="CE224" s="132" t="str">
        <f aca="false">IF(ISBLANK($C224),"",IF($BL224&lt;&gt;Constants!$B$4,"",IF($BB224="-&gt;",$BE224,$AU224)))</f>
        <v/>
      </c>
      <c r="CF224" s="132" t="str">
        <f aca="false">IF(ISBLANK($C224),"",IF($BL224&lt;&gt;Constants!$B$4,"",IF($BB224="-&gt;",$BF224,$AV224)))</f>
        <v/>
      </c>
      <c r="CG224" s="132" t="str">
        <f aca="false">IF(ISBLANK($C224),"",IF($BL224&lt;&gt;Constants!$B$4,"",IF($BB224="-&gt;",$BG224,$AW224)))</f>
        <v/>
      </c>
      <c r="CH224" s="132" t="str">
        <f aca="false">IF(ISBLANK($C224),"",IF($BL224&lt;&gt;Constants!$B$4,"",IF($BB224="-&gt;",$BH224,$AX224)))</f>
        <v/>
      </c>
      <c r="CI224" s="133" t="str">
        <f aca="false">IF(ISBLANK($C224),"",$BO224)</f>
        <v/>
      </c>
      <c r="CJ224" s="134" t="str">
        <f aca="false">IF(ISBLANK($C224),"",$BM224)</f>
        <v/>
      </c>
      <c r="CK224" s="135" t="str">
        <f aca="false">IF(ISBLANK($C224),"",$CA224)</f>
        <v/>
      </c>
      <c r="CL224" s="135" t="str">
        <f aca="false">IF(ISBLANK($C224),"",$BZ224)</f>
        <v/>
      </c>
      <c r="CM224" s="136" t="str">
        <f aca="false">IF(ISBLANK($C224),"",IF($CL224=Constants!$B$7,COUNTA($C$9:$C$508)+2,IF($CL224=Constants!$B$6,COUNTA($C$9:$C$508)+1,IF($CL224=Constants!$B$5,COUNTA($C$9:$C$508),$CL224))))</f>
        <v/>
      </c>
      <c r="CN224" s="8"/>
      <c r="CO224" s="137" t="n">
        <f aca="false">IF(OR(ISNUMBER($CL224),$CL224=Constants!$B$7,$CL224=Constants!$B$5,$CL224=Constants!$B$6),1,0)</f>
        <v>0</v>
      </c>
      <c r="CP224" s="137" t="n">
        <v>216</v>
      </c>
      <c r="CQ224" s="137" t="str">
        <f aca="false">IF(ISBLANK($C224),"",IF(ISNUMBER($CM224),$CM224+ROW($B224)/1000,""))</f>
        <v/>
      </c>
      <c r="CR224" s="137" t="str">
        <f aca="false">IF(ISNUMBER($CQ224),RANK($CQ224,$CQ$9:$CQ$508,1),"")</f>
        <v/>
      </c>
      <c r="CS224" s="137" t="str">
        <f aca="false">IF(ISBLANK($C224),"",$B224)</f>
        <v/>
      </c>
      <c r="CT224" s="137" t="str">
        <f aca="false">IF(ISBLANK($C224),"",$C224)</f>
        <v/>
      </c>
      <c r="CU224" s="137" t="str">
        <f aca="false">IF(ISBLANK($C224),"",$D224)</f>
        <v/>
      </c>
      <c r="CV224" s="138" t="str">
        <f aca="false">$CJ224</f>
        <v/>
      </c>
      <c r="CW224" s="139" t="str">
        <f aca="false">$CI224</f>
        <v/>
      </c>
      <c r="CX224" s="137" t="str">
        <f aca="false">IF(ISBLANK($C224),"",$CL224)</f>
        <v/>
      </c>
      <c r="CY224" s="140" t="str">
        <f aca="false">IF($CP224&gt;$CO$8,"",VLOOKUP($CP224,$CR$9:$CX$508,7,FALSE()))</f>
        <v/>
      </c>
      <c r="CZ224" s="141" t="str">
        <f aca="false">IF($CP224&gt;$CO$8,"",VLOOKUP($CP224,$CR$9:$CX$508,2,FALSE()))</f>
        <v/>
      </c>
      <c r="DA224" s="141" t="str">
        <f aca="false">IF($CP224&gt;$CO$8,"",VLOOKUP($CP224,$CR$9:$CX$508,3,FALSE()))</f>
        <v/>
      </c>
      <c r="DB224" s="141" t="str">
        <f aca="false">IF($CP224&gt;$CO$8,"",VLOOKUP($CP224,$CR$9:$CX$508,4,FALSE()))</f>
        <v/>
      </c>
      <c r="DC224" s="141" t="str">
        <f aca="false">IF($CP224&gt;$CO$8,"",VLOOKUP($CP224,$CR$9:$CX$508,5,FALSE()))</f>
        <v/>
      </c>
      <c r="DD224" s="142" t="str">
        <f aca="false">IF($CP224&gt;$CO$8,"",VLOOKUP($CP224,$CR$9:$CX$508,6,FALSE()))</f>
        <v/>
      </c>
      <c r="DE224" s="70"/>
    </row>
    <row r="225" customFormat="false" ht="15.75" hidden="false" customHeight="false" outlineLevel="0" collapsed="false">
      <c r="A225" s="8"/>
      <c r="B225" s="72"/>
      <c r="C225" s="73"/>
      <c r="D225" s="155"/>
      <c r="E225" s="162"/>
      <c r="F225" s="157"/>
      <c r="G225" s="77"/>
      <c r="H225" s="77"/>
      <c r="I225" s="77"/>
      <c r="J225" s="163"/>
      <c r="K225" s="161"/>
      <c r="L225" s="161"/>
      <c r="M225" s="80"/>
      <c r="N225" s="161"/>
      <c r="O225" s="160"/>
      <c r="P225" s="161"/>
      <c r="Q225" s="161"/>
      <c r="R225" s="161"/>
      <c r="S225" s="77"/>
      <c r="T225" s="161"/>
      <c r="U225" s="160"/>
      <c r="V225" s="161"/>
      <c r="W225" s="85"/>
      <c r="X225" s="86" t="str">
        <f aca="false">IF(ISBLANK($C225),"",IF($E225=Constants!$B$2,TRUE(),IF($E225=Constants!$B$3,FALSE(),TRUE())))</f>
        <v/>
      </c>
      <c r="Y225" s="86" t="str">
        <f aca="false">IF(ISBLANK($C225),"",IF($F225=Constants!$B$2,TRUE(),IF($F225=Constants!$B$3,FALSE(),TRUE())))</f>
        <v/>
      </c>
      <c r="Z225" s="87" t="str">
        <f aca="false">IF(ISBLANK($C225),"",IF(ISNUMBER($G225),IF($G225&gt;=0,$G225,""),""))</f>
        <v/>
      </c>
      <c r="AA225" s="87" t="str">
        <f aca="false">IF(ISBLANK($C225),"",IF(ISNUMBER($H225),IF($H225&gt;=0,$H225,""),""))</f>
        <v/>
      </c>
      <c r="AB225" s="87" t="str">
        <f aca="false">IF(ISBLANK($C225),"",IF(ISNUMBER($I225),IF($I225&gt;=0,$I225,""),""))</f>
        <v/>
      </c>
      <c r="AC225" s="86" t="str">
        <f aca="false">IF(ISBLANK($C225),"",IF($J225=Constants!$B$2,TRUE(),IF($J225=Constants!$B$3,FALSE(),TRUE())))</f>
        <v/>
      </c>
      <c r="AD225" s="86" t="str">
        <f aca="false">IF(ISBLANK($C225),"",IF($K225=Constants!$B$2,TRUE(),IF($K225=Constants!$B$3,FALSE(),TRUE())))</f>
        <v/>
      </c>
      <c r="AE225" s="86" t="str">
        <f aca="false">IF(ISBLANK($C225),"",IF($L225=Constants!$B$2,TRUE(),IF($L225=Constants!$B$3,FALSE(),TRUE())))</f>
        <v/>
      </c>
      <c r="AF225" s="88" t="str">
        <f aca="false">IF(ISBLANK($C225),"",IF(ISNUMBER($M225),IF($M225&gt;=0,$M225,""),""))</f>
        <v/>
      </c>
      <c r="AG225" s="86" t="str">
        <f aca="false">IF(ISBLANK($C225),"",IF(ISBLANK($N225),0,IF(ISNUMBER($N225),IF(AND($N225&gt;=0,$N225&lt;=Constants!$B$17,$N225=INT($N225)),$N225,""),"")))</f>
        <v/>
      </c>
      <c r="AH225" s="87" t="str">
        <f aca="false">IF(ISBLANK($C225),"",IF(ISBLANK($O225),0,IF(ISNUMBER($O225),IF($O225&gt;=0,$O225,""),"")))</f>
        <v/>
      </c>
      <c r="AI225" s="86" t="str">
        <f aca="false">IF(ISBLANK($C225),"",IF($P225=Constants!$B$2,TRUE(),IF($P225=Constants!$B$3,FALSE(),TRUE())))</f>
        <v/>
      </c>
      <c r="AJ225" s="86" t="str">
        <f aca="false">IF(ISBLANK($C225),"",IF($Q225=Constants!$B$2,TRUE(),IF($Q225=Constants!$B$3,FALSE(),TRUE())))</f>
        <v/>
      </c>
      <c r="AK225" s="86" t="str">
        <f aca="false">IF(ISBLANK($C225),"",IF($R225=Constants!$B$2,TRUE(),IF($R225=Constants!$B$3,FALSE(),TRUE())))</f>
        <v/>
      </c>
      <c r="AL225" s="88" t="str">
        <f aca="false">IF(ISBLANK($C225),"",IF(ISNUMBER($S225),IF($S225&gt;=0,$S225,""),""))</f>
        <v/>
      </c>
      <c r="AM225" s="86" t="str">
        <f aca="false">IF(ISBLANK($C225),"",IF(ISBLANK($T225),0,IF(ISNUMBER($T225),IF(AND($T225&gt;=0,$T225&lt;=Constants!$B$17,$T225=INT($T225)),$T225,""),"")))</f>
        <v/>
      </c>
      <c r="AN225" s="87" t="str">
        <f aca="false">IF(ISBLANK($C225),"",IF(ISBLANK($U225),0,IF(ISNUMBER($U225),IF($U225&gt;=0,$U225,""),"")))</f>
        <v/>
      </c>
      <c r="AO225" s="86" t="str">
        <f aca="false">IF(ISBLANK($C225),"",IF($V225=Constants!$B$2,TRUE(),IF($V225=Constants!$B$3,FALSE(),FALSE())))</f>
        <v/>
      </c>
      <c r="AP225" s="86"/>
      <c r="AQ225" s="85" t="str">
        <f aca="false">IF(ISBLANK($C225),"",AND($Y225,OR($AS225,$BC225),OR($Z225="",$AA225="",$AB225="")))</f>
        <v/>
      </c>
      <c r="AR225" s="85" t="str">
        <f aca="false">IF(ISBLANK($C225),"",IF(OR(NOT($Y225),NOT(OR($AS225,$BC225))),"",IF(ISBLANK($D$7),$AR$5,IF($AP$9="",$AR$6,""))))</f>
        <v/>
      </c>
      <c r="AS225" s="85" t="str">
        <f aca="false">IF(ISBLANK($C225),"",COUNTA($J225:$O225)&gt;0)</f>
        <v/>
      </c>
      <c r="AT225" s="85" t="str">
        <f aca="false">IF(ISBLANK($C225),"",AND($AS225,OR(AND($AF225="",OR($AE225,NOT(ISBLANK($M225)))),$AG225="",$AH225="")))</f>
        <v/>
      </c>
      <c r="AU225" s="87" t="str">
        <f aca="false">IF($BL225&lt;&gt;Constants!$B$4,"",IF(NOT($AS225),"",ROUND((Constants!$B$12-$AB225)+(Constants!$B$13-$Z225)+(Constants!$B$14-$AA225),1)))</f>
        <v/>
      </c>
      <c r="AV225" s="90" t="str">
        <f aca="false">IF($BL225&lt;&gt;Constants!$B$4,"",IF(NOT($AS225),"",IF(NOT($AE225),0,Constants!$B$15*(INT(ROUND(MIN($AF225,$AP$9),6))-INT(ROUND(MAX(0,MIN($AF225,2*$AP$9)-$AP$9),6))))))</f>
        <v/>
      </c>
      <c r="AW225" s="90" t="str">
        <f aca="false">IF($BL225&lt;&gt;Constants!$B$4,"",IF(NOT($AS225),"",Constants!$B$16*$AG225))</f>
        <v/>
      </c>
      <c r="AX225" s="90" t="str">
        <f aca="false">IF($BL225&lt;&gt;Constants!$B$4,"",IF(NOT($AS225),"",Constants!$B$18*INT(ROUND($AH225,6))))</f>
        <v/>
      </c>
      <c r="AY225" s="85" t="str">
        <f aca="false">IF($BL225&lt;&gt;Constants!$B$4,"",IF(NOT($AS225),"",IF(NOT($X225),Constants!$B$11,IF(OR(NOT($AC225),NOT($AD225),ROUND($AB225,1)&gt;Constants!$B$12,ROUND($Z225,1)&gt;Constants!$B$13,ROUND($AA225,1)&gt;Constants!$B$14),Constants!$B$10,Constants!$B$9))))</f>
        <v/>
      </c>
      <c r="AZ225" s="91" t="str">
        <f aca="false">IF($BL225&lt;&gt;Constants!$B$4,"",IF(NOT($AS225),"",ROUND($AU225+$AV225+$AW225+$AX225,1)))</f>
        <v/>
      </c>
      <c r="BA225" s="92" t="str">
        <f aca="false">IF($BL225&lt;&gt;Constants!$B$4,"",IF(NOT($AS225),"",IF(ISNUMBER($AF225),$AF225,0)))</f>
        <v/>
      </c>
      <c r="BB225" s="86" t="str">
        <f aca="false">IF($BL225&lt;&gt;Constants!$B$4,"",IF(NOT($BC225),"&lt;-",IF(NOT($AS225),"-&gt;",IF(OR($BI225&lt;$AY225,AND($BI225=$AY225,OR($BJ225&gt;$AZ225,AND($BJ225=$AZ225,OR($BH225&gt;$AX225,AND($BH225=$AX225,OR($BE225&gt;$AU225,AND($BE225=$AU225,OR($BF225&gt;$AV225,AND($BF225=$AV225,$BK225&gt;$BA225)))))))))),"-&gt;","&lt;-"))))</f>
        <v/>
      </c>
      <c r="BC225" s="85" t="str">
        <f aca="false">IF(ISBLANK($C225),"",COUNTA($P225:$U225)&gt;0)</f>
        <v/>
      </c>
      <c r="BD225" s="85" t="str">
        <f aca="false">IF(ISBLANK($C225),"",AND($BC225,OR(AND($AL225="",OR($AK225,NOT(ISBLANK($S225)))),$AM225="",$AN225="")))</f>
        <v/>
      </c>
      <c r="BE225" s="87" t="str">
        <f aca="false">IF($BL225&lt;&gt;Constants!$B$4,"",IF(NOT($BC225),"",ROUND((Constants!$B$12-$AB225)+(Constants!$B$13-$Z225)+(Constants!$B$14-$AA225),1)))</f>
        <v/>
      </c>
      <c r="BF225" s="90" t="str">
        <f aca="false">IF($BL225&lt;&gt;Constants!$B$4,"",IF(NOT($BC225),"",IF(NOT($AK225),0,Constants!$B$15*(INT(ROUND(MIN($AL225,$AP$9),6))-INT(ROUND(MAX(0,MIN($AL225,2*$AP$9)-$AP$9),6))))))</f>
        <v/>
      </c>
      <c r="BG225" s="90" t="str">
        <f aca="false">IF($BL225&lt;&gt;Constants!$B$4,"",IF(NOT($BC225),"",Constants!$B$16*$AM225))</f>
        <v/>
      </c>
      <c r="BH225" s="90" t="str">
        <f aca="false">IF($BL225&lt;&gt;Constants!$B$4,"",IF(NOT($BC225),"",Constants!$B$18*INT(ROUND($AN225,6))))</f>
        <v/>
      </c>
      <c r="BI225" s="85" t="str">
        <f aca="false">IF($BL225&lt;&gt;Constants!$B$4,"",IF(NOT($BC225),"",IF(NOT($X225),Constants!$B$11,IF(OR(NOT($AI225),NOT($AJ225),ROUND($AB225,1)&gt;Constants!$B$12,ROUND($Z225,1)&gt;Constants!$B$13,ROUND($AA225,1)&gt;Constants!$B$14),Constants!$B$10,Constants!$B$9))))</f>
        <v/>
      </c>
      <c r="BJ225" s="91" t="str">
        <f aca="false">IF($BL225&lt;&gt;Constants!$B$4,"",IF(NOT($BC225),"",ROUND($BE225+$BF225+$BG225+$BH225,1)))</f>
        <v/>
      </c>
      <c r="BK225" s="92" t="str">
        <f aca="false">IF($BL225&lt;&gt;Constants!$B$4,"",IF(NOT($BC225),"",IF(ISNUMBER($AL225),$AL225,0)))</f>
        <v/>
      </c>
      <c r="BL225" s="86" t="str">
        <f aca="false">IF(ISBLANK($C225),"",IF($AO225,Constants!$B$7,IF(COUNTA($E225:$V225)=0,Constants!$B$6,IF(NOT($Y225),Constants!$B$5,IF(NOT(OR($AS225,$BC225)),Constants!$B$5,IF(OR($AT225,$BD225,$AQ225,$AR225&lt;&gt;""),Constants!$B$8,Constants!$B$4))))))</f>
        <v/>
      </c>
      <c r="BM225" s="86" t="str">
        <f aca="false">IF(ISBLANK($C225),"",IF($BL225&lt;&gt;Constants!$B$4,$BL225,IF($BB225="-&gt;",$BI225,$AY225)))</f>
        <v/>
      </c>
      <c r="BN225" s="90" t="str">
        <f aca="false">IF($BL225&lt;&gt;Constants!$B$4,"",IF($BB225="-&gt;",$BJ225,$AZ225))</f>
        <v/>
      </c>
      <c r="BO225" s="90" t="str">
        <f aca="false">IF(ISBLANK($C225),"",IF($BL225&lt;&gt;Constants!$B$4,$BL225,$BN225))</f>
        <v/>
      </c>
      <c r="BP225" s="86" t="str">
        <f aca="false">IF(ISBLANK($C225),"",IF($BL225&lt;&gt;Constants!$B$4,$BL225,RANK($BO225,$BO$9:$BO$508,0)))</f>
        <v/>
      </c>
      <c r="BQ225" s="86" t="str">
        <f aca="false">IF(ISBLANK($C225),"",IF($BL225&lt;&gt;Constants!$B$4,$BL225,COUNTIFS($BM$9:$BM$508,"&lt;"&amp;$BM225)+COUNTIFS($BM$9:$BM$508,$BM225,$BP$9:$BP$508,"&lt;"&amp;$BP225)+1))</f>
        <v/>
      </c>
      <c r="BR225" s="90" t="str">
        <f aca="false">IF($BL225&lt;&gt;Constants!$B$4,"",IF($BB225="-&gt;",$BH225,$AX225))</f>
        <v/>
      </c>
      <c r="BS225" s="86" t="str">
        <f aca="false">IF(ISBLANK($C225),"",IF($BL225&lt;&gt;Constants!$B$4,$BL225,IF(ISNUMBER($BR225),RANK($BR225,$BR$9:$BR$508,0),COUNT($BR$9:$BR$508)+1)))</f>
        <v/>
      </c>
      <c r="BT225" s="90" t="str">
        <f aca="false">IF($BL225&lt;&gt;Constants!$B$4,"",IF($BB225="-&gt;",$BE225,$AU225))</f>
        <v/>
      </c>
      <c r="BU225" s="86" t="str">
        <f aca="false">IF(ISBLANK($C225),"",IF($BL225&lt;&gt;Constants!$B$4,$BL225,IF(ISNUMBER($BT225),RANK($BT225,$BT$9:$BT$508,0),COUNT($BT$9:$BT$508)+1)))</f>
        <v/>
      </c>
      <c r="BV225" s="90" t="str">
        <f aca="false">IF($BL225&lt;&gt;Constants!$B$4,"",IF($BB225="-&gt;",$BF225,$AV225))</f>
        <v/>
      </c>
      <c r="BW225" s="86" t="str">
        <f aca="false">IF(ISBLANK($C225),"",IF($BL225&lt;&gt;Constants!$B$4,$BL225,IF(ISNUMBER($BV225),RANK($BV225,$BV$9:$BV$508,0),COUNT($BV$9:$BV$508)+1)))</f>
        <v/>
      </c>
      <c r="BX225" s="90" t="str">
        <f aca="false">IF($BL225&lt;&gt;Constants!$B$4,"",IF($BB225="-&gt;",$BK225,$BA225))</f>
        <v/>
      </c>
      <c r="BY225" s="86" t="str">
        <f aca="false">IF(ISBLANK($C225),"",IF($BL225&lt;&gt;Constants!$B$4,$BL225,IF(ISNUMBER($BX225),RANK($BX225,$BX$9:$BX$508,0),COUNT($BX$9:$BX$508)+1)))</f>
        <v/>
      </c>
      <c r="BZ225" s="86" t="str">
        <f aca="false">IF(ISBLANK($C225),"",IF($BL225&lt;&gt;Constants!$B$4,$BL225,COUNTIFS($BM$9:$BM$508,"&lt;"&amp;$BM225)+COUNTIFS($BM$9:$BM$508,$BM225,$BP$9:$BP$508,"&lt;"&amp;$BP225)+COUNTIFS($BM$9:$BM$508,$BM225,$BP$9:$BP$508,$BP225,$BS$9:$BS$508,"&lt;"&amp;$BS225)+COUNTIFS($BM$9:$BM$508,$BM225,$BP$9:$BP$508,$BP225,$BS$9:$BS$508,$BS225,$BU$9:$BU$508,"&lt;"&amp;$BU225)+COUNTIFS($BM$9:$BM$508,$BM225,$BP$9:$BP$508,$BP225,$BS$9:$BS$508,$BS225,$BU$9:$BU$508,$BU225,$BW$9:$BW$508,"&lt;"&amp;$BW225)+COUNTIFS($BM$9:$BM$508,$BM225,$BP$9:$BP$508,$BP225,$BS$9:$BS$508,$BS225,$BU$9:$BU$508,$BU225,$BW$9:$BW$508,$BW225,$BY$9:$BY$508,"&lt;"&amp;$BY225)+1))</f>
        <v/>
      </c>
      <c r="CA225" s="86" t="str">
        <f aca="false">IF(ISBLANK($C225),"",IF($BL225&lt;&gt;Constants!$B$4,$BL225,$BQ225-$BZ225))</f>
        <v/>
      </c>
      <c r="CB225" s="93"/>
      <c r="CC225" s="94" t="str">
        <f aca="false">IF(ISBLANK($C225),"",IF($BL225=Constants!$B$8,$AR225,""))</f>
        <v/>
      </c>
      <c r="CD225" s="94" t="str">
        <f aca="false">IF(ISBLANK($C225),"",IF($BL225&lt;&gt;Constants!$B$4,"",IF($BB225="-&gt;",2,1)))</f>
        <v/>
      </c>
      <c r="CE225" s="95" t="str">
        <f aca="false">IF(ISBLANK($C225),"",IF($BL225&lt;&gt;Constants!$B$4,"",IF($BB225="-&gt;",$BE225,$AU225)))</f>
        <v/>
      </c>
      <c r="CF225" s="95" t="str">
        <f aca="false">IF(ISBLANK($C225),"",IF($BL225&lt;&gt;Constants!$B$4,"",IF($BB225="-&gt;",$BF225,$AV225)))</f>
        <v/>
      </c>
      <c r="CG225" s="95" t="str">
        <f aca="false">IF(ISBLANK($C225),"",IF($BL225&lt;&gt;Constants!$B$4,"",IF($BB225="-&gt;",$BG225,$AW225)))</f>
        <v/>
      </c>
      <c r="CH225" s="95" t="str">
        <f aca="false">IF(ISBLANK($C225),"",IF($BL225&lt;&gt;Constants!$B$4,"",IF($BB225="-&gt;",$BH225,$AX225)))</f>
        <v/>
      </c>
      <c r="CI225" s="96" t="str">
        <f aca="false">IF(ISBLANK($C225),"",$BO225)</f>
        <v/>
      </c>
      <c r="CJ225" s="97" t="str">
        <f aca="false">IF(ISBLANK($C225),"",$BM225)</f>
        <v/>
      </c>
      <c r="CK225" s="98" t="str">
        <f aca="false">IF(ISBLANK($C225),"",$CA225)</f>
        <v/>
      </c>
      <c r="CL225" s="98" t="str">
        <f aca="false">IF(ISBLANK($C225),"",$BZ225)</f>
        <v/>
      </c>
      <c r="CM225" s="99" t="str">
        <f aca="false">IF(ISBLANK($C225),"",IF($CL225=Constants!$B$7,COUNTA($C$9:$C$508)+2,IF($CL225=Constants!$B$6,COUNTA($C$9:$C$508)+1,IF($CL225=Constants!$B$5,COUNTA($C$9:$C$508),$CL225))))</f>
        <v/>
      </c>
      <c r="CN225" s="8"/>
      <c r="CO225" s="100" t="n">
        <f aca="false">IF(OR(ISNUMBER($CL225),$CL225=Constants!$B$7,$CL225=Constants!$B$5,$CL225=Constants!$B$6),1,0)</f>
        <v>0</v>
      </c>
      <c r="CP225" s="100" t="n">
        <v>217</v>
      </c>
      <c r="CQ225" s="100" t="str">
        <f aca="false">IF(ISBLANK($C225),"",IF(ISNUMBER($CM225),$CM225+ROW($B225)/1000,""))</f>
        <v/>
      </c>
      <c r="CR225" s="100" t="str">
        <f aca="false">IF(ISNUMBER($CQ225),RANK($CQ225,$CQ$9:$CQ$508,1),"")</f>
        <v/>
      </c>
      <c r="CS225" s="100" t="str">
        <f aca="false">IF(ISBLANK($C225),"",$B225)</f>
        <v/>
      </c>
      <c r="CT225" s="100" t="str">
        <f aca="false">IF(ISBLANK($C225),"",$C225)</f>
        <v/>
      </c>
      <c r="CU225" s="100" t="str">
        <f aca="false">IF(ISBLANK($C225),"",$D225)</f>
        <v/>
      </c>
      <c r="CV225" s="101" t="str">
        <f aca="false">$CJ225</f>
        <v/>
      </c>
      <c r="CW225" s="102" t="str">
        <f aca="false">$CI225</f>
        <v/>
      </c>
      <c r="CX225" s="100" t="str">
        <f aca="false">IF(ISBLANK($C225),"",$CL225)</f>
        <v/>
      </c>
      <c r="CY225" s="103" t="str">
        <f aca="false">IF($CP225&gt;$CO$8,"",VLOOKUP($CP225,$CR$9:$CX$508,7,FALSE()))</f>
        <v/>
      </c>
      <c r="CZ225" s="104" t="str">
        <f aca="false">IF($CP225&gt;$CO$8,"",VLOOKUP($CP225,$CR$9:$CX$508,2,FALSE()))</f>
        <v/>
      </c>
      <c r="DA225" s="104" t="str">
        <f aca="false">IF($CP225&gt;$CO$8,"",VLOOKUP($CP225,$CR$9:$CX$508,3,FALSE()))</f>
        <v/>
      </c>
      <c r="DB225" s="104" t="str">
        <f aca="false">IF($CP225&gt;$CO$8,"",VLOOKUP($CP225,$CR$9:$CX$508,4,FALSE()))</f>
        <v/>
      </c>
      <c r="DC225" s="104" t="str">
        <f aca="false">IF($CP225&gt;$CO$8,"",VLOOKUP($CP225,$CR$9:$CX$508,5,FALSE()))</f>
        <v/>
      </c>
      <c r="DD225" s="105" t="str">
        <f aca="false">IF($CP225&gt;$CO$8,"",VLOOKUP($CP225,$CR$9:$CX$508,6,FALSE()))</f>
        <v/>
      </c>
      <c r="DE225" s="70"/>
    </row>
    <row r="226" customFormat="false" ht="15.75" hidden="false" customHeight="false" outlineLevel="0" collapsed="false">
      <c r="A226" s="8"/>
      <c r="B226" s="72"/>
      <c r="C226" s="73"/>
      <c r="D226" s="155"/>
      <c r="E226" s="162"/>
      <c r="F226" s="157"/>
      <c r="G226" s="77"/>
      <c r="H226" s="77"/>
      <c r="I226" s="77"/>
      <c r="J226" s="163"/>
      <c r="K226" s="161"/>
      <c r="L226" s="161"/>
      <c r="M226" s="80"/>
      <c r="N226" s="161"/>
      <c r="O226" s="160"/>
      <c r="P226" s="161"/>
      <c r="Q226" s="161"/>
      <c r="R226" s="161"/>
      <c r="S226" s="77"/>
      <c r="T226" s="161"/>
      <c r="U226" s="160"/>
      <c r="V226" s="161"/>
      <c r="W226" s="85"/>
      <c r="X226" s="86" t="str">
        <f aca="false">IF(ISBLANK($C226),"",IF($E226=Constants!$B$2,TRUE(),IF($E226=Constants!$B$3,FALSE(),TRUE())))</f>
        <v/>
      </c>
      <c r="Y226" s="86" t="str">
        <f aca="false">IF(ISBLANK($C226),"",IF($F226=Constants!$B$2,TRUE(),IF($F226=Constants!$B$3,FALSE(),TRUE())))</f>
        <v/>
      </c>
      <c r="Z226" s="87" t="str">
        <f aca="false">IF(ISBLANK($C226),"",IF(ISNUMBER($G226),IF($G226&gt;=0,$G226,""),""))</f>
        <v/>
      </c>
      <c r="AA226" s="87" t="str">
        <f aca="false">IF(ISBLANK($C226),"",IF(ISNUMBER($H226),IF($H226&gt;=0,$H226,""),""))</f>
        <v/>
      </c>
      <c r="AB226" s="87" t="str">
        <f aca="false">IF(ISBLANK($C226),"",IF(ISNUMBER($I226),IF($I226&gt;=0,$I226,""),""))</f>
        <v/>
      </c>
      <c r="AC226" s="86" t="str">
        <f aca="false">IF(ISBLANK($C226),"",IF($J226=Constants!$B$2,TRUE(),IF($J226=Constants!$B$3,FALSE(),TRUE())))</f>
        <v/>
      </c>
      <c r="AD226" s="86" t="str">
        <f aca="false">IF(ISBLANK($C226),"",IF($K226=Constants!$B$2,TRUE(),IF($K226=Constants!$B$3,FALSE(),TRUE())))</f>
        <v/>
      </c>
      <c r="AE226" s="86" t="str">
        <f aca="false">IF(ISBLANK($C226),"",IF($L226=Constants!$B$2,TRUE(),IF($L226=Constants!$B$3,FALSE(),TRUE())))</f>
        <v/>
      </c>
      <c r="AF226" s="88" t="str">
        <f aca="false">IF(ISBLANK($C226),"",IF(ISNUMBER($M226),IF($M226&gt;=0,$M226,""),""))</f>
        <v/>
      </c>
      <c r="AG226" s="86" t="str">
        <f aca="false">IF(ISBLANK($C226),"",IF(ISBLANK($N226),0,IF(ISNUMBER($N226),IF(AND($N226&gt;=0,$N226&lt;=Constants!$B$17,$N226=INT($N226)),$N226,""),"")))</f>
        <v/>
      </c>
      <c r="AH226" s="87" t="str">
        <f aca="false">IF(ISBLANK($C226),"",IF(ISBLANK($O226),0,IF(ISNUMBER($O226),IF($O226&gt;=0,$O226,""),"")))</f>
        <v/>
      </c>
      <c r="AI226" s="86" t="str">
        <f aca="false">IF(ISBLANK($C226),"",IF($P226=Constants!$B$2,TRUE(),IF($P226=Constants!$B$3,FALSE(),TRUE())))</f>
        <v/>
      </c>
      <c r="AJ226" s="86" t="str">
        <f aca="false">IF(ISBLANK($C226),"",IF($Q226=Constants!$B$2,TRUE(),IF($Q226=Constants!$B$3,FALSE(),TRUE())))</f>
        <v/>
      </c>
      <c r="AK226" s="86" t="str">
        <f aca="false">IF(ISBLANK($C226),"",IF($R226=Constants!$B$2,TRUE(),IF($R226=Constants!$B$3,FALSE(),TRUE())))</f>
        <v/>
      </c>
      <c r="AL226" s="88" t="str">
        <f aca="false">IF(ISBLANK($C226),"",IF(ISNUMBER($S226),IF($S226&gt;=0,$S226,""),""))</f>
        <v/>
      </c>
      <c r="AM226" s="86" t="str">
        <f aca="false">IF(ISBLANK($C226),"",IF(ISBLANK($T226),0,IF(ISNUMBER($T226),IF(AND($T226&gt;=0,$T226&lt;=Constants!$B$17,$T226=INT($T226)),$T226,""),"")))</f>
        <v/>
      </c>
      <c r="AN226" s="87" t="str">
        <f aca="false">IF(ISBLANK($C226),"",IF(ISBLANK($U226),0,IF(ISNUMBER($U226),IF($U226&gt;=0,$U226,""),"")))</f>
        <v/>
      </c>
      <c r="AO226" s="86" t="str">
        <f aca="false">IF(ISBLANK($C226),"",IF($V226=Constants!$B$2,TRUE(),IF($V226=Constants!$B$3,FALSE(),FALSE())))</f>
        <v/>
      </c>
      <c r="AP226" s="86"/>
      <c r="AQ226" s="85" t="str">
        <f aca="false">IF(ISBLANK($C226),"",AND($Y226,OR($AS226,$BC226),OR($Z226="",$AA226="",$AB226="")))</f>
        <v/>
      </c>
      <c r="AR226" s="85" t="str">
        <f aca="false">IF(ISBLANK($C226),"",IF(OR(NOT($Y226),NOT(OR($AS226,$BC226))),"",IF(ISBLANK($D$7),$AR$5,IF($AP$9="",$AR$6,""))))</f>
        <v/>
      </c>
      <c r="AS226" s="85" t="str">
        <f aca="false">IF(ISBLANK($C226),"",COUNTA($J226:$O226)&gt;0)</f>
        <v/>
      </c>
      <c r="AT226" s="85" t="str">
        <f aca="false">IF(ISBLANK($C226),"",AND($AS226,OR(AND($AF226="",OR($AE226,NOT(ISBLANK($M226)))),$AG226="",$AH226="")))</f>
        <v/>
      </c>
      <c r="AU226" s="87" t="str">
        <f aca="false">IF($BL226&lt;&gt;Constants!$B$4,"",IF(NOT($AS226),"",ROUND((Constants!$B$12-$AB226)+(Constants!$B$13-$Z226)+(Constants!$B$14-$AA226),1)))</f>
        <v/>
      </c>
      <c r="AV226" s="90" t="str">
        <f aca="false">IF($BL226&lt;&gt;Constants!$B$4,"",IF(NOT($AS226),"",IF(NOT($AE226),0,Constants!$B$15*(INT(ROUND(MIN($AF226,$AP$9),6))-INT(ROUND(MAX(0,MIN($AF226,2*$AP$9)-$AP$9),6))))))</f>
        <v/>
      </c>
      <c r="AW226" s="90" t="str">
        <f aca="false">IF($BL226&lt;&gt;Constants!$B$4,"",IF(NOT($AS226),"",Constants!$B$16*$AG226))</f>
        <v/>
      </c>
      <c r="AX226" s="90" t="str">
        <f aca="false">IF($BL226&lt;&gt;Constants!$B$4,"",IF(NOT($AS226),"",Constants!$B$18*INT(ROUND($AH226,6))))</f>
        <v/>
      </c>
      <c r="AY226" s="85" t="str">
        <f aca="false">IF($BL226&lt;&gt;Constants!$B$4,"",IF(NOT($AS226),"",IF(NOT($X226),Constants!$B$11,IF(OR(NOT($AC226),NOT($AD226),ROUND($AB226,1)&gt;Constants!$B$12,ROUND($Z226,1)&gt;Constants!$B$13,ROUND($AA226,1)&gt;Constants!$B$14),Constants!$B$10,Constants!$B$9))))</f>
        <v/>
      </c>
      <c r="AZ226" s="91" t="str">
        <f aca="false">IF($BL226&lt;&gt;Constants!$B$4,"",IF(NOT($AS226),"",ROUND($AU226+$AV226+$AW226+$AX226,1)))</f>
        <v/>
      </c>
      <c r="BA226" s="92" t="str">
        <f aca="false">IF($BL226&lt;&gt;Constants!$B$4,"",IF(NOT($AS226),"",IF(ISNUMBER($AF226),$AF226,0)))</f>
        <v/>
      </c>
      <c r="BB226" s="86" t="str">
        <f aca="false">IF($BL226&lt;&gt;Constants!$B$4,"",IF(NOT($BC226),"&lt;-",IF(NOT($AS226),"-&gt;",IF(OR($BI226&lt;$AY226,AND($BI226=$AY226,OR($BJ226&gt;$AZ226,AND($BJ226=$AZ226,OR($BH226&gt;$AX226,AND($BH226=$AX226,OR($BE226&gt;$AU226,AND($BE226=$AU226,OR($BF226&gt;$AV226,AND($BF226=$AV226,$BK226&gt;$BA226)))))))))),"-&gt;","&lt;-"))))</f>
        <v/>
      </c>
      <c r="BC226" s="85" t="str">
        <f aca="false">IF(ISBLANK($C226),"",COUNTA($P226:$U226)&gt;0)</f>
        <v/>
      </c>
      <c r="BD226" s="85" t="str">
        <f aca="false">IF(ISBLANK($C226),"",AND($BC226,OR(AND($AL226="",OR($AK226,NOT(ISBLANK($S226)))),$AM226="",$AN226="")))</f>
        <v/>
      </c>
      <c r="BE226" s="87" t="str">
        <f aca="false">IF($BL226&lt;&gt;Constants!$B$4,"",IF(NOT($BC226),"",ROUND((Constants!$B$12-$AB226)+(Constants!$B$13-$Z226)+(Constants!$B$14-$AA226),1)))</f>
        <v/>
      </c>
      <c r="BF226" s="90" t="str">
        <f aca="false">IF($BL226&lt;&gt;Constants!$B$4,"",IF(NOT($BC226),"",IF(NOT($AK226),0,Constants!$B$15*(INT(ROUND(MIN($AL226,$AP$9),6))-INT(ROUND(MAX(0,MIN($AL226,2*$AP$9)-$AP$9),6))))))</f>
        <v/>
      </c>
      <c r="BG226" s="90" t="str">
        <f aca="false">IF($BL226&lt;&gt;Constants!$B$4,"",IF(NOT($BC226),"",Constants!$B$16*$AM226))</f>
        <v/>
      </c>
      <c r="BH226" s="90" t="str">
        <f aca="false">IF($BL226&lt;&gt;Constants!$B$4,"",IF(NOT($BC226),"",Constants!$B$18*INT(ROUND($AN226,6))))</f>
        <v/>
      </c>
      <c r="BI226" s="85" t="str">
        <f aca="false">IF($BL226&lt;&gt;Constants!$B$4,"",IF(NOT($BC226),"",IF(NOT($X226),Constants!$B$11,IF(OR(NOT($AI226),NOT($AJ226),ROUND($AB226,1)&gt;Constants!$B$12,ROUND($Z226,1)&gt;Constants!$B$13,ROUND($AA226,1)&gt;Constants!$B$14),Constants!$B$10,Constants!$B$9))))</f>
        <v/>
      </c>
      <c r="BJ226" s="91" t="str">
        <f aca="false">IF($BL226&lt;&gt;Constants!$B$4,"",IF(NOT($BC226),"",ROUND($BE226+$BF226+$BG226+$BH226,1)))</f>
        <v/>
      </c>
      <c r="BK226" s="92" t="str">
        <f aca="false">IF($BL226&lt;&gt;Constants!$B$4,"",IF(NOT($BC226),"",IF(ISNUMBER($AL226),$AL226,0)))</f>
        <v/>
      </c>
      <c r="BL226" s="86" t="str">
        <f aca="false">IF(ISBLANK($C226),"",IF($AO226,Constants!$B$7,IF(COUNTA($E226:$V226)=0,Constants!$B$6,IF(NOT($Y226),Constants!$B$5,IF(NOT(OR($AS226,$BC226)),Constants!$B$5,IF(OR($AT226,$BD226,$AQ226,$AR226&lt;&gt;""),Constants!$B$8,Constants!$B$4))))))</f>
        <v/>
      </c>
      <c r="BM226" s="86" t="str">
        <f aca="false">IF(ISBLANK($C226),"",IF($BL226&lt;&gt;Constants!$B$4,$BL226,IF($BB226="-&gt;",$BI226,$AY226)))</f>
        <v/>
      </c>
      <c r="BN226" s="90" t="str">
        <f aca="false">IF($BL226&lt;&gt;Constants!$B$4,"",IF($BB226="-&gt;",$BJ226,$AZ226))</f>
        <v/>
      </c>
      <c r="BO226" s="90" t="str">
        <f aca="false">IF(ISBLANK($C226),"",IF($BL226&lt;&gt;Constants!$B$4,$BL226,$BN226))</f>
        <v/>
      </c>
      <c r="BP226" s="86" t="str">
        <f aca="false">IF(ISBLANK($C226),"",IF($BL226&lt;&gt;Constants!$B$4,$BL226,RANK($BO226,$BO$9:$BO$508,0)))</f>
        <v/>
      </c>
      <c r="BQ226" s="86" t="str">
        <f aca="false">IF(ISBLANK($C226),"",IF($BL226&lt;&gt;Constants!$B$4,$BL226,COUNTIFS($BM$9:$BM$508,"&lt;"&amp;$BM226)+COUNTIFS($BM$9:$BM$508,$BM226,$BP$9:$BP$508,"&lt;"&amp;$BP226)+1))</f>
        <v/>
      </c>
      <c r="BR226" s="90" t="str">
        <f aca="false">IF($BL226&lt;&gt;Constants!$B$4,"",IF($BB226="-&gt;",$BH226,$AX226))</f>
        <v/>
      </c>
      <c r="BS226" s="86" t="str">
        <f aca="false">IF(ISBLANK($C226),"",IF($BL226&lt;&gt;Constants!$B$4,$BL226,IF(ISNUMBER($BR226),RANK($BR226,$BR$9:$BR$508,0),COUNT($BR$9:$BR$508)+1)))</f>
        <v/>
      </c>
      <c r="BT226" s="90" t="str">
        <f aca="false">IF($BL226&lt;&gt;Constants!$B$4,"",IF($BB226="-&gt;",$BE226,$AU226))</f>
        <v/>
      </c>
      <c r="BU226" s="86" t="str">
        <f aca="false">IF(ISBLANK($C226),"",IF($BL226&lt;&gt;Constants!$B$4,$BL226,IF(ISNUMBER($BT226),RANK($BT226,$BT$9:$BT$508,0),COUNT($BT$9:$BT$508)+1)))</f>
        <v/>
      </c>
      <c r="BV226" s="90" t="str">
        <f aca="false">IF($BL226&lt;&gt;Constants!$B$4,"",IF($BB226="-&gt;",$BF226,$AV226))</f>
        <v/>
      </c>
      <c r="BW226" s="86" t="str">
        <f aca="false">IF(ISBLANK($C226),"",IF($BL226&lt;&gt;Constants!$B$4,$BL226,IF(ISNUMBER($BV226),RANK($BV226,$BV$9:$BV$508,0),COUNT($BV$9:$BV$508)+1)))</f>
        <v/>
      </c>
      <c r="BX226" s="90" t="str">
        <f aca="false">IF($BL226&lt;&gt;Constants!$B$4,"",IF($BB226="-&gt;",$BK226,$BA226))</f>
        <v/>
      </c>
      <c r="BY226" s="86" t="str">
        <f aca="false">IF(ISBLANK($C226),"",IF($BL226&lt;&gt;Constants!$B$4,$BL226,IF(ISNUMBER($BX226),RANK($BX226,$BX$9:$BX$508,0),COUNT($BX$9:$BX$508)+1)))</f>
        <v/>
      </c>
      <c r="BZ226" s="86" t="str">
        <f aca="false">IF(ISBLANK($C226),"",IF($BL226&lt;&gt;Constants!$B$4,$BL226,COUNTIFS($BM$9:$BM$508,"&lt;"&amp;$BM226)+COUNTIFS($BM$9:$BM$508,$BM226,$BP$9:$BP$508,"&lt;"&amp;$BP226)+COUNTIFS($BM$9:$BM$508,$BM226,$BP$9:$BP$508,$BP226,$BS$9:$BS$508,"&lt;"&amp;$BS226)+COUNTIFS($BM$9:$BM$508,$BM226,$BP$9:$BP$508,$BP226,$BS$9:$BS$508,$BS226,$BU$9:$BU$508,"&lt;"&amp;$BU226)+COUNTIFS($BM$9:$BM$508,$BM226,$BP$9:$BP$508,$BP226,$BS$9:$BS$508,$BS226,$BU$9:$BU$508,$BU226,$BW$9:$BW$508,"&lt;"&amp;$BW226)+COUNTIFS($BM$9:$BM$508,$BM226,$BP$9:$BP$508,$BP226,$BS$9:$BS$508,$BS226,$BU$9:$BU$508,$BU226,$BW$9:$BW$508,$BW226,$BY$9:$BY$508,"&lt;"&amp;$BY226)+1))</f>
        <v/>
      </c>
      <c r="CA226" s="86" t="str">
        <f aca="false">IF(ISBLANK($C226),"",IF($BL226&lt;&gt;Constants!$B$4,$BL226,$BQ226-$BZ226))</f>
        <v/>
      </c>
      <c r="CB226" s="93"/>
      <c r="CC226" s="94" t="str">
        <f aca="false">IF(ISBLANK($C226),"",IF($BL226=Constants!$B$8,$AR226,""))</f>
        <v/>
      </c>
      <c r="CD226" s="94" t="str">
        <f aca="false">IF(ISBLANK($C226),"",IF($BL226&lt;&gt;Constants!$B$4,"",IF($BB226="-&gt;",2,1)))</f>
        <v/>
      </c>
      <c r="CE226" s="95" t="str">
        <f aca="false">IF(ISBLANK($C226),"",IF($BL226&lt;&gt;Constants!$B$4,"",IF($BB226="-&gt;",$BE226,$AU226)))</f>
        <v/>
      </c>
      <c r="CF226" s="95" t="str">
        <f aca="false">IF(ISBLANK($C226),"",IF($BL226&lt;&gt;Constants!$B$4,"",IF($BB226="-&gt;",$BF226,$AV226)))</f>
        <v/>
      </c>
      <c r="CG226" s="95" t="str">
        <f aca="false">IF(ISBLANK($C226),"",IF($BL226&lt;&gt;Constants!$B$4,"",IF($BB226="-&gt;",$BG226,$AW226)))</f>
        <v/>
      </c>
      <c r="CH226" s="95" t="str">
        <f aca="false">IF(ISBLANK($C226),"",IF($BL226&lt;&gt;Constants!$B$4,"",IF($BB226="-&gt;",$BH226,$AX226)))</f>
        <v/>
      </c>
      <c r="CI226" s="96" t="str">
        <f aca="false">IF(ISBLANK($C226),"",$BO226)</f>
        <v/>
      </c>
      <c r="CJ226" s="97" t="str">
        <f aca="false">IF(ISBLANK($C226),"",$BM226)</f>
        <v/>
      </c>
      <c r="CK226" s="98" t="str">
        <f aca="false">IF(ISBLANK($C226),"",$CA226)</f>
        <v/>
      </c>
      <c r="CL226" s="98" t="str">
        <f aca="false">IF(ISBLANK($C226),"",$BZ226)</f>
        <v/>
      </c>
      <c r="CM226" s="99" t="str">
        <f aca="false">IF(ISBLANK($C226),"",IF($CL226=Constants!$B$7,COUNTA($C$9:$C$508)+2,IF($CL226=Constants!$B$6,COUNTA($C$9:$C$508)+1,IF($CL226=Constants!$B$5,COUNTA($C$9:$C$508),$CL226))))</f>
        <v/>
      </c>
      <c r="CN226" s="8"/>
      <c r="CO226" s="100" t="n">
        <f aca="false">IF(OR(ISNUMBER($CL226),$CL226=Constants!$B$7,$CL226=Constants!$B$5,$CL226=Constants!$B$6),1,0)</f>
        <v>0</v>
      </c>
      <c r="CP226" s="100" t="n">
        <v>218</v>
      </c>
      <c r="CQ226" s="100" t="str">
        <f aca="false">IF(ISBLANK($C226),"",IF(ISNUMBER($CM226),$CM226+ROW($B226)/1000,""))</f>
        <v/>
      </c>
      <c r="CR226" s="100" t="str">
        <f aca="false">IF(ISNUMBER($CQ226),RANK($CQ226,$CQ$9:$CQ$508,1),"")</f>
        <v/>
      </c>
      <c r="CS226" s="100" t="str">
        <f aca="false">IF(ISBLANK($C226),"",$B226)</f>
        <v/>
      </c>
      <c r="CT226" s="100" t="str">
        <f aca="false">IF(ISBLANK($C226),"",$C226)</f>
        <v/>
      </c>
      <c r="CU226" s="100" t="str">
        <f aca="false">IF(ISBLANK($C226),"",$D226)</f>
        <v/>
      </c>
      <c r="CV226" s="101" t="str">
        <f aca="false">$CJ226</f>
        <v/>
      </c>
      <c r="CW226" s="102" t="str">
        <f aca="false">$CI226</f>
        <v/>
      </c>
      <c r="CX226" s="100" t="str">
        <f aca="false">IF(ISBLANK($C226),"",$CL226)</f>
        <v/>
      </c>
      <c r="CY226" s="103" t="str">
        <f aca="false">IF($CP226&gt;$CO$8,"",VLOOKUP($CP226,$CR$9:$CX$508,7,FALSE()))</f>
        <v/>
      </c>
      <c r="CZ226" s="104" t="str">
        <f aca="false">IF($CP226&gt;$CO$8,"",VLOOKUP($CP226,$CR$9:$CX$508,2,FALSE()))</f>
        <v/>
      </c>
      <c r="DA226" s="104" t="str">
        <f aca="false">IF($CP226&gt;$CO$8,"",VLOOKUP($CP226,$CR$9:$CX$508,3,FALSE()))</f>
        <v/>
      </c>
      <c r="DB226" s="104" t="str">
        <f aca="false">IF($CP226&gt;$CO$8,"",VLOOKUP($CP226,$CR$9:$CX$508,4,FALSE()))</f>
        <v/>
      </c>
      <c r="DC226" s="104" t="str">
        <f aca="false">IF($CP226&gt;$CO$8,"",VLOOKUP($CP226,$CR$9:$CX$508,5,FALSE()))</f>
        <v/>
      </c>
      <c r="DD226" s="105" t="str">
        <f aca="false">IF($CP226&gt;$CO$8,"",VLOOKUP($CP226,$CR$9:$CX$508,6,FALSE()))</f>
        <v/>
      </c>
      <c r="DE226" s="70"/>
    </row>
    <row r="227" customFormat="false" ht="15.75" hidden="false" customHeight="false" outlineLevel="0" collapsed="false">
      <c r="A227" s="8"/>
      <c r="B227" s="72"/>
      <c r="C227" s="73"/>
      <c r="D227" s="155"/>
      <c r="E227" s="162"/>
      <c r="F227" s="157"/>
      <c r="G227" s="77"/>
      <c r="H227" s="77"/>
      <c r="I227" s="77"/>
      <c r="J227" s="163"/>
      <c r="K227" s="161"/>
      <c r="L227" s="161"/>
      <c r="M227" s="80"/>
      <c r="N227" s="161"/>
      <c r="O227" s="160"/>
      <c r="P227" s="161"/>
      <c r="Q227" s="161"/>
      <c r="R227" s="161"/>
      <c r="S227" s="77"/>
      <c r="T227" s="161"/>
      <c r="U227" s="160"/>
      <c r="V227" s="161"/>
      <c r="W227" s="85"/>
      <c r="X227" s="86" t="str">
        <f aca="false">IF(ISBLANK($C227),"",IF($E227=Constants!$B$2,TRUE(),IF($E227=Constants!$B$3,FALSE(),TRUE())))</f>
        <v/>
      </c>
      <c r="Y227" s="86" t="str">
        <f aca="false">IF(ISBLANK($C227),"",IF($F227=Constants!$B$2,TRUE(),IF($F227=Constants!$B$3,FALSE(),TRUE())))</f>
        <v/>
      </c>
      <c r="Z227" s="87" t="str">
        <f aca="false">IF(ISBLANK($C227),"",IF(ISNUMBER($G227),IF($G227&gt;=0,$G227,""),""))</f>
        <v/>
      </c>
      <c r="AA227" s="87" t="str">
        <f aca="false">IF(ISBLANK($C227),"",IF(ISNUMBER($H227),IF($H227&gt;=0,$H227,""),""))</f>
        <v/>
      </c>
      <c r="AB227" s="87" t="str">
        <f aca="false">IF(ISBLANK($C227),"",IF(ISNUMBER($I227),IF($I227&gt;=0,$I227,""),""))</f>
        <v/>
      </c>
      <c r="AC227" s="86" t="str">
        <f aca="false">IF(ISBLANK($C227),"",IF($J227=Constants!$B$2,TRUE(),IF($J227=Constants!$B$3,FALSE(),TRUE())))</f>
        <v/>
      </c>
      <c r="AD227" s="86" t="str">
        <f aca="false">IF(ISBLANK($C227),"",IF($K227=Constants!$B$2,TRUE(),IF($K227=Constants!$B$3,FALSE(),TRUE())))</f>
        <v/>
      </c>
      <c r="AE227" s="86" t="str">
        <f aca="false">IF(ISBLANK($C227),"",IF($L227=Constants!$B$2,TRUE(),IF($L227=Constants!$B$3,FALSE(),TRUE())))</f>
        <v/>
      </c>
      <c r="AF227" s="88" t="str">
        <f aca="false">IF(ISBLANK($C227),"",IF(ISNUMBER($M227),IF($M227&gt;=0,$M227,""),""))</f>
        <v/>
      </c>
      <c r="AG227" s="86" t="str">
        <f aca="false">IF(ISBLANK($C227),"",IF(ISBLANK($N227),0,IF(ISNUMBER($N227),IF(AND($N227&gt;=0,$N227&lt;=Constants!$B$17,$N227=INT($N227)),$N227,""),"")))</f>
        <v/>
      </c>
      <c r="AH227" s="87" t="str">
        <f aca="false">IF(ISBLANK($C227),"",IF(ISBLANK($O227),0,IF(ISNUMBER($O227),IF($O227&gt;=0,$O227,""),"")))</f>
        <v/>
      </c>
      <c r="AI227" s="86" t="str">
        <f aca="false">IF(ISBLANK($C227),"",IF($P227=Constants!$B$2,TRUE(),IF($P227=Constants!$B$3,FALSE(),TRUE())))</f>
        <v/>
      </c>
      <c r="AJ227" s="86" t="str">
        <f aca="false">IF(ISBLANK($C227),"",IF($Q227=Constants!$B$2,TRUE(),IF($Q227=Constants!$B$3,FALSE(),TRUE())))</f>
        <v/>
      </c>
      <c r="AK227" s="86" t="str">
        <f aca="false">IF(ISBLANK($C227),"",IF($R227=Constants!$B$2,TRUE(),IF($R227=Constants!$B$3,FALSE(),TRUE())))</f>
        <v/>
      </c>
      <c r="AL227" s="88" t="str">
        <f aca="false">IF(ISBLANK($C227),"",IF(ISNUMBER($S227),IF($S227&gt;=0,$S227,""),""))</f>
        <v/>
      </c>
      <c r="AM227" s="86" t="str">
        <f aca="false">IF(ISBLANK($C227),"",IF(ISBLANK($T227),0,IF(ISNUMBER($T227),IF(AND($T227&gt;=0,$T227&lt;=Constants!$B$17,$T227=INT($T227)),$T227,""),"")))</f>
        <v/>
      </c>
      <c r="AN227" s="87" t="str">
        <f aca="false">IF(ISBLANK($C227),"",IF(ISBLANK($U227),0,IF(ISNUMBER($U227),IF($U227&gt;=0,$U227,""),"")))</f>
        <v/>
      </c>
      <c r="AO227" s="86" t="str">
        <f aca="false">IF(ISBLANK($C227),"",IF($V227=Constants!$B$2,TRUE(),IF($V227=Constants!$B$3,FALSE(),FALSE())))</f>
        <v/>
      </c>
      <c r="AP227" s="86"/>
      <c r="AQ227" s="85" t="str">
        <f aca="false">IF(ISBLANK($C227),"",AND($Y227,OR($AS227,$BC227),OR($Z227="",$AA227="",$AB227="")))</f>
        <v/>
      </c>
      <c r="AR227" s="85" t="str">
        <f aca="false">IF(ISBLANK($C227),"",IF(OR(NOT($Y227),NOT(OR($AS227,$BC227))),"",IF(ISBLANK($D$7),$AR$5,IF($AP$9="",$AR$6,""))))</f>
        <v/>
      </c>
      <c r="AS227" s="85" t="str">
        <f aca="false">IF(ISBLANK($C227),"",COUNTA($J227:$O227)&gt;0)</f>
        <v/>
      </c>
      <c r="AT227" s="85" t="str">
        <f aca="false">IF(ISBLANK($C227),"",AND($AS227,OR(AND($AF227="",OR($AE227,NOT(ISBLANK($M227)))),$AG227="",$AH227="")))</f>
        <v/>
      </c>
      <c r="AU227" s="87" t="str">
        <f aca="false">IF($BL227&lt;&gt;Constants!$B$4,"",IF(NOT($AS227),"",ROUND((Constants!$B$12-$AB227)+(Constants!$B$13-$Z227)+(Constants!$B$14-$AA227),1)))</f>
        <v/>
      </c>
      <c r="AV227" s="90" t="str">
        <f aca="false">IF($BL227&lt;&gt;Constants!$B$4,"",IF(NOT($AS227),"",IF(NOT($AE227),0,Constants!$B$15*(INT(ROUND(MIN($AF227,$AP$9),6))-INT(ROUND(MAX(0,MIN($AF227,2*$AP$9)-$AP$9),6))))))</f>
        <v/>
      </c>
      <c r="AW227" s="90" t="str">
        <f aca="false">IF($BL227&lt;&gt;Constants!$B$4,"",IF(NOT($AS227),"",Constants!$B$16*$AG227))</f>
        <v/>
      </c>
      <c r="AX227" s="90" t="str">
        <f aca="false">IF($BL227&lt;&gt;Constants!$B$4,"",IF(NOT($AS227),"",Constants!$B$18*INT(ROUND($AH227,6))))</f>
        <v/>
      </c>
      <c r="AY227" s="85" t="str">
        <f aca="false">IF($BL227&lt;&gt;Constants!$B$4,"",IF(NOT($AS227),"",IF(NOT($X227),Constants!$B$11,IF(OR(NOT($AC227),NOT($AD227),ROUND($AB227,1)&gt;Constants!$B$12,ROUND($Z227,1)&gt;Constants!$B$13,ROUND($AA227,1)&gt;Constants!$B$14),Constants!$B$10,Constants!$B$9))))</f>
        <v/>
      </c>
      <c r="AZ227" s="91" t="str">
        <f aca="false">IF($BL227&lt;&gt;Constants!$B$4,"",IF(NOT($AS227),"",ROUND($AU227+$AV227+$AW227+$AX227,1)))</f>
        <v/>
      </c>
      <c r="BA227" s="92" t="str">
        <f aca="false">IF($BL227&lt;&gt;Constants!$B$4,"",IF(NOT($AS227),"",IF(ISNUMBER($AF227),$AF227,0)))</f>
        <v/>
      </c>
      <c r="BB227" s="86" t="str">
        <f aca="false">IF($BL227&lt;&gt;Constants!$B$4,"",IF(NOT($BC227),"&lt;-",IF(NOT($AS227),"-&gt;",IF(OR($BI227&lt;$AY227,AND($BI227=$AY227,OR($BJ227&gt;$AZ227,AND($BJ227=$AZ227,OR($BH227&gt;$AX227,AND($BH227=$AX227,OR($BE227&gt;$AU227,AND($BE227=$AU227,OR($BF227&gt;$AV227,AND($BF227=$AV227,$BK227&gt;$BA227)))))))))),"-&gt;","&lt;-"))))</f>
        <v/>
      </c>
      <c r="BC227" s="85" t="str">
        <f aca="false">IF(ISBLANK($C227),"",COUNTA($P227:$U227)&gt;0)</f>
        <v/>
      </c>
      <c r="BD227" s="85" t="str">
        <f aca="false">IF(ISBLANK($C227),"",AND($BC227,OR(AND($AL227="",OR($AK227,NOT(ISBLANK($S227)))),$AM227="",$AN227="")))</f>
        <v/>
      </c>
      <c r="BE227" s="87" t="str">
        <f aca="false">IF($BL227&lt;&gt;Constants!$B$4,"",IF(NOT($BC227),"",ROUND((Constants!$B$12-$AB227)+(Constants!$B$13-$Z227)+(Constants!$B$14-$AA227),1)))</f>
        <v/>
      </c>
      <c r="BF227" s="90" t="str">
        <f aca="false">IF($BL227&lt;&gt;Constants!$B$4,"",IF(NOT($BC227),"",IF(NOT($AK227),0,Constants!$B$15*(INT(ROUND(MIN($AL227,$AP$9),6))-INT(ROUND(MAX(0,MIN($AL227,2*$AP$9)-$AP$9),6))))))</f>
        <v/>
      </c>
      <c r="BG227" s="90" t="str">
        <f aca="false">IF($BL227&lt;&gt;Constants!$B$4,"",IF(NOT($BC227),"",Constants!$B$16*$AM227))</f>
        <v/>
      </c>
      <c r="BH227" s="90" t="str">
        <f aca="false">IF($BL227&lt;&gt;Constants!$B$4,"",IF(NOT($BC227),"",Constants!$B$18*INT(ROUND($AN227,6))))</f>
        <v/>
      </c>
      <c r="BI227" s="85" t="str">
        <f aca="false">IF($BL227&lt;&gt;Constants!$B$4,"",IF(NOT($BC227),"",IF(NOT($X227),Constants!$B$11,IF(OR(NOT($AI227),NOT($AJ227),ROUND($AB227,1)&gt;Constants!$B$12,ROUND($Z227,1)&gt;Constants!$B$13,ROUND($AA227,1)&gt;Constants!$B$14),Constants!$B$10,Constants!$B$9))))</f>
        <v/>
      </c>
      <c r="BJ227" s="91" t="str">
        <f aca="false">IF($BL227&lt;&gt;Constants!$B$4,"",IF(NOT($BC227),"",ROUND($BE227+$BF227+$BG227+$BH227,1)))</f>
        <v/>
      </c>
      <c r="BK227" s="92" t="str">
        <f aca="false">IF($BL227&lt;&gt;Constants!$B$4,"",IF(NOT($BC227),"",IF(ISNUMBER($AL227),$AL227,0)))</f>
        <v/>
      </c>
      <c r="BL227" s="86" t="str">
        <f aca="false">IF(ISBLANK($C227),"",IF($AO227,Constants!$B$7,IF(COUNTA($E227:$V227)=0,Constants!$B$6,IF(NOT($Y227),Constants!$B$5,IF(NOT(OR($AS227,$BC227)),Constants!$B$5,IF(OR($AT227,$BD227,$AQ227,$AR227&lt;&gt;""),Constants!$B$8,Constants!$B$4))))))</f>
        <v/>
      </c>
      <c r="BM227" s="86" t="str">
        <f aca="false">IF(ISBLANK($C227),"",IF($BL227&lt;&gt;Constants!$B$4,$BL227,IF($BB227="-&gt;",$BI227,$AY227)))</f>
        <v/>
      </c>
      <c r="BN227" s="90" t="str">
        <f aca="false">IF($BL227&lt;&gt;Constants!$B$4,"",IF($BB227="-&gt;",$BJ227,$AZ227))</f>
        <v/>
      </c>
      <c r="BO227" s="90" t="str">
        <f aca="false">IF(ISBLANK($C227),"",IF($BL227&lt;&gt;Constants!$B$4,$BL227,$BN227))</f>
        <v/>
      </c>
      <c r="BP227" s="86" t="str">
        <f aca="false">IF(ISBLANK($C227),"",IF($BL227&lt;&gt;Constants!$B$4,$BL227,RANK($BO227,$BO$9:$BO$508,0)))</f>
        <v/>
      </c>
      <c r="BQ227" s="86" t="str">
        <f aca="false">IF(ISBLANK($C227),"",IF($BL227&lt;&gt;Constants!$B$4,$BL227,COUNTIFS($BM$9:$BM$508,"&lt;"&amp;$BM227)+COUNTIFS($BM$9:$BM$508,$BM227,$BP$9:$BP$508,"&lt;"&amp;$BP227)+1))</f>
        <v/>
      </c>
      <c r="BR227" s="90" t="str">
        <f aca="false">IF($BL227&lt;&gt;Constants!$B$4,"",IF($BB227="-&gt;",$BH227,$AX227))</f>
        <v/>
      </c>
      <c r="BS227" s="86" t="str">
        <f aca="false">IF(ISBLANK($C227),"",IF($BL227&lt;&gt;Constants!$B$4,$BL227,IF(ISNUMBER($BR227),RANK($BR227,$BR$9:$BR$508,0),COUNT($BR$9:$BR$508)+1)))</f>
        <v/>
      </c>
      <c r="BT227" s="90" t="str">
        <f aca="false">IF($BL227&lt;&gt;Constants!$B$4,"",IF($BB227="-&gt;",$BE227,$AU227))</f>
        <v/>
      </c>
      <c r="BU227" s="86" t="str">
        <f aca="false">IF(ISBLANK($C227),"",IF($BL227&lt;&gt;Constants!$B$4,$BL227,IF(ISNUMBER($BT227),RANK($BT227,$BT$9:$BT$508,0),COUNT($BT$9:$BT$508)+1)))</f>
        <v/>
      </c>
      <c r="BV227" s="90" t="str">
        <f aca="false">IF($BL227&lt;&gt;Constants!$B$4,"",IF($BB227="-&gt;",$BF227,$AV227))</f>
        <v/>
      </c>
      <c r="BW227" s="86" t="str">
        <f aca="false">IF(ISBLANK($C227),"",IF($BL227&lt;&gt;Constants!$B$4,$BL227,IF(ISNUMBER($BV227),RANK($BV227,$BV$9:$BV$508,0),COUNT($BV$9:$BV$508)+1)))</f>
        <v/>
      </c>
      <c r="BX227" s="90" t="str">
        <f aca="false">IF($BL227&lt;&gt;Constants!$B$4,"",IF($BB227="-&gt;",$BK227,$BA227))</f>
        <v/>
      </c>
      <c r="BY227" s="86" t="str">
        <f aca="false">IF(ISBLANK($C227),"",IF($BL227&lt;&gt;Constants!$B$4,$BL227,IF(ISNUMBER($BX227),RANK($BX227,$BX$9:$BX$508,0),COUNT($BX$9:$BX$508)+1)))</f>
        <v/>
      </c>
      <c r="BZ227" s="86" t="str">
        <f aca="false">IF(ISBLANK($C227),"",IF($BL227&lt;&gt;Constants!$B$4,$BL227,COUNTIFS($BM$9:$BM$508,"&lt;"&amp;$BM227)+COUNTIFS($BM$9:$BM$508,$BM227,$BP$9:$BP$508,"&lt;"&amp;$BP227)+COUNTIFS($BM$9:$BM$508,$BM227,$BP$9:$BP$508,$BP227,$BS$9:$BS$508,"&lt;"&amp;$BS227)+COUNTIFS($BM$9:$BM$508,$BM227,$BP$9:$BP$508,$BP227,$BS$9:$BS$508,$BS227,$BU$9:$BU$508,"&lt;"&amp;$BU227)+COUNTIFS($BM$9:$BM$508,$BM227,$BP$9:$BP$508,$BP227,$BS$9:$BS$508,$BS227,$BU$9:$BU$508,$BU227,$BW$9:$BW$508,"&lt;"&amp;$BW227)+COUNTIFS($BM$9:$BM$508,$BM227,$BP$9:$BP$508,$BP227,$BS$9:$BS$508,$BS227,$BU$9:$BU$508,$BU227,$BW$9:$BW$508,$BW227,$BY$9:$BY$508,"&lt;"&amp;$BY227)+1))</f>
        <v/>
      </c>
      <c r="CA227" s="86" t="str">
        <f aca="false">IF(ISBLANK($C227),"",IF($BL227&lt;&gt;Constants!$B$4,$BL227,$BQ227-$BZ227))</f>
        <v/>
      </c>
      <c r="CB227" s="93"/>
      <c r="CC227" s="94" t="str">
        <f aca="false">IF(ISBLANK($C227),"",IF($BL227=Constants!$B$8,$AR227,""))</f>
        <v/>
      </c>
      <c r="CD227" s="94" t="str">
        <f aca="false">IF(ISBLANK($C227),"",IF($BL227&lt;&gt;Constants!$B$4,"",IF($BB227="-&gt;",2,1)))</f>
        <v/>
      </c>
      <c r="CE227" s="95" t="str">
        <f aca="false">IF(ISBLANK($C227),"",IF($BL227&lt;&gt;Constants!$B$4,"",IF($BB227="-&gt;",$BE227,$AU227)))</f>
        <v/>
      </c>
      <c r="CF227" s="95" t="str">
        <f aca="false">IF(ISBLANK($C227),"",IF($BL227&lt;&gt;Constants!$B$4,"",IF($BB227="-&gt;",$BF227,$AV227)))</f>
        <v/>
      </c>
      <c r="CG227" s="95" t="str">
        <f aca="false">IF(ISBLANK($C227),"",IF($BL227&lt;&gt;Constants!$B$4,"",IF($BB227="-&gt;",$BG227,$AW227)))</f>
        <v/>
      </c>
      <c r="CH227" s="95" t="str">
        <f aca="false">IF(ISBLANK($C227),"",IF($BL227&lt;&gt;Constants!$B$4,"",IF($BB227="-&gt;",$BH227,$AX227)))</f>
        <v/>
      </c>
      <c r="CI227" s="96" t="str">
        <f aca="false">IF(ISBLANK($C227),"",$BO227)</f>
        <v/>
      </c>
      <c r="CJ227" s="97" t="str">
        <f aca="false">IF(ISBLANK($C227),"",$BM227)</f>
        <v/>
      </c>
      <c r="CK227" s="98" t="str">
        <f aca="false">IF(ISBLANK($C227),"",$CA227)</f>
        <v/>
      </c>
      <c r="CL227" s="98" t="str">
        <f aca="false">IF(ISBLANK($C227),"",$BZ227)</f>
        <v/>
      </c>
      <c r="CM227" s="99" t="str">
        <f aca="false">IF(ISBLANK($C227),"",IF($CL227=Constants!$B$7,COUNTA($C$9:$C$508)+2,IF($CL227=Constants!$B$6,COUNTA($C$9:$C$508)+1,IF($CL227=Constants!$B$5,COUNTA($C$9:$C$508),$CL227))))</f>
        <v/>
      </c>
      <c r="CN227" s="8"/>
      <c r="CO227" s="100" t="n">
        <f aca="false">IF(OR(ISNUMBER($CL227),$CL227=Constants!$B$7,$CL227=Constants!$B$5,$CL227=Constants!$B$6),1,0)</f>
        <v>0</v>
      </c>
      <c r="CP227" s="100" t="n">
        <v>219</v>
      </c>
      <c r="CQ227" s="100" t="str">
        <f aca="false">IF(ISBLANK($C227),"",IF(ISNUMBER($CM227),$CM227+ROW($B227)/1000,""))</f>
        <v/>
      </c>
      <c r="CR227" s="100" t="str">
        <f aca="false">IF(ISNUMBER($CQ227),RANK($CQ227,$CQ$9:$CQ$508,1),"")</f>
        <v/>
      </c>
      <c r="CS227" s="100" t="str">
        <f aca="false">IF(ISBLANK($C227),"",$B227)</f>
        <v/>
      </c>
      <c r="CT227" s="100" t="str">
        <f aca="false">IF(ISBLANK($C227),"",$C227)</f>
        <v/>
      </c>
      <c r="CU227" s="100" t="str">
        <f aca="false">IF(ISBLANK($C227),"",$D227)</f>
        <v/>
      </c>
      <c r="CV227" s="101" t="str">
        <f aca="false">$CJ227</f>
        <v/>
      </c>
      <c r="CW227" s="102" t="str">
        <f aca="false">$CI227</f>
        <v/>
      </c>
      <c r="CX227" s="100" t="str">
        <f aca="false">IF(ISBLANK($C227),"",$CL227)</f>
        <v/>
      </c>
      <c r="CY227" s="103" t="str">
        <f aca="false">IF($CP227&gt;$CO$8,"",VLOOKUP($CP227,$CR$9:$CX$508,7,FALSE()))</f>
        <v/>
      </c>
      <c r="CZ227" s="104" t="str">
        <f aca="false">IF($CP227&gt;$CO$8,"",VLOOKUP($CP227,$CR$9:$CX$508,2,FALSE()))</f>
        <v/>
      </c>
      <c r="DA227" s="104" t="str">
        <f aca="false">IF($CP227&gt;$CO$8,"",VLOOKUP($CP227,$CR$9:$CX$508,3,FALSE()))</f>
        <v/>
      </c>
      <c r="DB227" s="104" t="str">
        <f aca="false">IF($CP227&gt;$CO$8,"",VLOOKUP($CP227,$CR$9:$CX$508,4,FALSE()))</f>
        <v/>
      </c>
      <c r="DC227" s="104" t="str">
        <f aca="false">IF($CP227&gt;$CO$8,"",VLOOKUP($CP227,$CR$9:$CX$508,5,FALSE()))</f>
        <v/>
      </c>
      <c r="DD227" s="105" t="str">
        <f aca="false">IF($CP227&gt;$CO$8,"",VLOOKUP($CP227,$CR$9:$CX$508,6,FALSE()))</f>
        <v/>
      </c>
      <c r="DE227" s="70"/>
    </row>
    <row r="228" customFormat="false" ht="15.75" hidden="false" customHeight="false" outlineLevel="0" collapsed="false">
      <c r="A228" s="8"/>
      <c r="B228" s="146"/>
      <c r="C228" s="147"/>
      <c r="D228" s="148"/>
      <c r="E228" s="164"/>
      <c r="F228" s="150"/>
      <c r="G228" s="115"/>
      <c r="H228" s="115"/>
      <c r="I228" s="115"/>
      <c r="J228" s="165"/>
      <c r="K228" s="154"/>
      <c r="L228" s="154"/>
      <c r="M228" s="118"/>
      <c r="N228" s="154"/>
      <c r="O228" s="153"/>
      <c r="P228" s="154"/>
      <c r="Q228" s="154"/>
      <c r="R228" s="154"/>
      <c r="S228" s="115"/>
      <c r="T228" s="154"/>
      <c r="U228" s="153"/>
      <c r="V228" s="154"/>
      <c r="W228" s="123"/>
      <c r="X228" s="124" t="str">
        <f aca="false">IF(ISBLANK($C228),"",IF($E228=Constants!$B$2,TRUE(),IF($E228=Constants!$B$3,FALSE(),TRUE())))</f>
        <v/>
      </c>
      <c r="Y228" s="124" t="str">
        <f aca="false">IF(ISBLANK($C228),"",IF($F228=Constants!$B$2,TRUE(),IF($F228=Constants!$B$3,FALSE(),TRUE())))</f>
        <v/>
      </c>
      <c r="Z228" s="125" t="str">
        <f aca="false">IF(ISBLANK($C228),"",IF(ISNUMBER($G228),IF($G228&gt;=0,$G228,""),""))</f>
        <v/>
      </c>
      <c r="AA228" s="125" t="str">
        <f aca="false">IF(ISBLANK($C228),"",IF(ISNUMBER($H228),IF($H228&gt;=0,$H228,""),""))</f>
        <v/>
      </c>
      <c r="AB228" s="125" t="str">
        <f aca="false">IF(ISBLANK($C228),"",IF(ISNUMBER($I228),IF($I228&gt;=0,$I228,""),""))</f>
        <v/>
      </c>
      <c r="AC228" s="124" t="str">
        <f aca="false">IF(ISBLANK($C228),"",IF($J228=Constants!$B$2,TRUE(),IF($J228=Constants!$B$3,FALSE(),TRUE())))</f>
        <v/>
      </c>
      <c r="AD228" s="124" t="str">
        <f aca="false">IF(ISBLANK($C228),"",IF($K228=Constants!$B$2,TRUE(),IF($K228=Constants!$B$3,FALSE(),TRUE())))</f>
        <v/>
      </c>
      <c r="AE228" s="124" t="str">
        <f aca="false">IF(ISBLANK($C228),"",IF($L228=Constants!$B$2,TRUE(),IF($L228=Constants!$B$3,FALSE(),TRUE())))</f>
        <v/>
      </c>
      <c r="AF228" s="126" t="str">
        <f aca="false">IF(ISBLANK($C228),"",IF(ISNUMBER($M228),IF($M228&gt;=0,$M228,""),""))</f>
        <v/>
      </c>
      <c r="AG228" s="124" t="str">
        <f aca="false">IF(ISBLANK($C228),"",IF(ISBLANK($N228),0,IF(ISNUMBER($N228),IF(AND($N228&gt;=0,$N228&lt;=Constants!$B$17,$N228=INT($N228)),$N228,""),"")))</f>
        <v/>
      </c>
      <c r="AH228" s="125" t="str">
        <f aca="false">IF(ISBLANK($C228),"",IF(ISBLANK($O228),0,IF(ISNUMBER($O228),IF($O228&gt;=0,$O228,""),"")))</f>
        <v/>
      </c>
      <c r="AI228" s="124" t="str">
        <f aca="false">IF(ISBLANK($C228),"",IF($P228=Constants!$B$2,TRUE(),IF($P228=Constants!$B$3,FALSE(),TRUE())))</f>
        <v/>
      </c>
      <c r="AJ228" s="124" t="str">
        <f aca="false">IF(ISBLANK($C228),"",IF($Q228=Constants!$B$2,TRUE(),IF($Q228=Constants!$B$3,FALSE(),TRUE())))</f>
        <v/>
      </c>
      <c r="AK228" s="124" t="str">
        <f aca="false">IF(ISBLANK($C228),"",IF($R228=Constants!$B$2,TRUE(),IF($R228=Constants!$B$3,FALSE(),TRUE())))</f>
        <v/>
      </c>
      <c r="AL228" s="126" t="str">
        <f aca="false">IF(ISBLANK($C228),"",IF(ISNUMBER($S228),IF($S228&gt;=0,$S228,""),""))</f>
        <v/>
      </c>
      <c r="AM228" s="124" t="str">
        <f aca="false">IF(ISBLANK($C228),"",IF(ISBLANK($T228),0,IF(ISNUMBER($T228),IF(AND($T228&gt;=0,$T228&lt;=Constants!$B$17,$T228=INT($T228)),$T228,""),"")))</f>
        <v/>
      </c>
      <c r="AN228" s="125" t="str">
        <f aca="false">IF(ISBLANK($C228),"",IF(ISBLANK($U228),0,IF(ISNUMBER($U228),IF($U228&gt;=0,$U228,""),"")))</f>
        <v/>
      </c>
      <c r="AO228" s="124" t="str">
        <f aca="false">IF(ISBLANK($C228),"",IF($V228=Constants!$B$2,TRUE(),IF($V228=Constants!$B$3,FALSE(),FALSE())))</f>
        <v/>
      </c>
      <c r="AP228" s="124"/>
      <c r="AQ228" s="123" t="str">
        <f aca="false">IF(ISBLANK($C228),"",AND($Y228,OR($AS228,$BC228),OR($Z228="",$AA228="",$AB228="")))</f>
        <v/>
      </c>
      <c r="AR228" s="123" t="str">
        <f aca="false">IF(ISBLANK($C228),"",IF(OR(NOT($Y228),NOT(OR($AS228,$BC228))),"",IF(ISBLANK($D$7),$AR$5,IF($AP$9="",$AR$6,""))))</f>
        <v/>
      </c>
      <c r="AS228" s="123" t="str">
        <f aca="false">IF(ISBLANK($C228),"",COUNTA($J228:$O228)&gt;0)</f>
        <v/>
      </c>
      <c r="AT228" s="123" t="str">
        <f aca="false">IF(ISBLANK($C228),"",AND($AS228,OR(AND($AF228="",OR($AE228,NOT(ISBLANK($M228)))),$AG228="",$AH228="")))</f>
        <v/>
      </c>
      <c r="AU228" s="125" t="str">
        <f aca="false">IF($BL228&lt;&gt;Constants!$B$4,"",IF(NOT($AS228),"",ROUND((Constants!$B$12-$AB228)+(Constants!$B$13-$Z228)+(Constants!$B$14-$AA228),1)))</f>
        <v/>
      </c>
      <c r="AV228" s="127" t="str">
        <f aca="false">IF($BL228&lt;&gt;Constants!$B$4,"",IF(NOT($AS228),"",IF(NOT($AE228),0,Constants!$B$15*(INT(ROUND(MIN($AF228,$AP$9),6))-INT(ROUND(MAX(0,MIN($AF228,2*$AP$9)-$AP$9),6))))))</f>
        <v/>
      </c>
      <c r="AW228" s="127" t="str">
        <f aca="false">IF($BL228&lt;&gt;Constants!$B$4,"",IF(NOT($AS228),"",Constants!$B$16*$AG228))</f>
        <v/>
      </c>
      <c r="AX228" s="127" t="str">
        <f aca="false">IF($BL228&lt;&gt;Constants!$B$4,"",IF(NOT($AS228),"",Constants!$B$18*INT(ROUND($AH228,6))))</f>
        <v/>
      </c>
      <c r="AY228" s="123" t="str">
        <f aca="false">IF($BL228&lt;&gt;Constants!$B$4,"",IF(NOT($AS228),"",IF(NOT($X228),Constants!$B$11,IF(OR(NOT($AC228),NOT($AD228),ROUND($AB228,1)&gt;Constants!$B$12,ROUND($Z228,1)&gt;Constants!$B$13,ROUND($AA228,1)&gt;Constants!$B$14),Constants!$B$10,Constants!$B$9))))</f>
        <v/>
      </c>
      <c r="AZ228" s="128" t="str">
        <f aca="false">IF($BL228&lt;&gt;Constants!$B$4,"",IF(NOT($AS228),"",ROUND($AU228+$AV228+$AW228+$AX228,1)))</f>
        <v/>
      </c>
      <c r="BA228" s="129" t="str">
        <f aca="false">IF($BL228&lt;&gt;Constants!$B$4,"",IF(NOT($AS228),"",IF(ISNUMBER($AF228),$AF228,0)))</f>
        <v/>
      </c>
      <c r="BB228" s="124" t="str">
        <f aca="false">IF($BL228&lt;&gt;Constants!$B$4,"",IF(NOT($BC228),"&lt;-",IF(NOT($AS228),"-&gt;",IF(OR($BI228&lt;$AY228,AND($BI228=$AY228,OR($BJ228&gt;$AZ228,AND($BJ228=$AZ228,OR($BH228&gt;$AX228,AND($BH228=$AX228,OR($BE228&gt;$AU228,AND($BE228=$AU228,OR($BF228&gt;$AV228,AND($BF228=$AV228,$BK228&gt;$BA228)))))))))),"-&gt;","&lt;-"))))</f>
        <v/>
      </c>
      <c r="BC228" s="123" t="str">
        <f aca="false">IF(ISBLANK($C228),"",COUNTA($P228:$U228)&gt;0)</f>
        <v/>
      </c>
      <c r="BD228" s="123" t="str">
        <f aca="false">IF(ISBLANK($C228),"",AND($BC228,OR(AND($AL228="",OR($AK228,NOT(ISBLANK($S228)))),$AM228="",$AN228="")))</f>
        <v/>
      </c>
      <c r="BE228" s="125" t="str">
        <f aca="false">IF($BL228&lt;&gt;Constants!$B$4,"",IF(NOT($BC228),"",ROUND((Constants!$B$12-$AB228)+(Constants!$B$13-$Z228)+(Constants!$B$14-$AA228),1)))</f>
        <v/>
      </c>
      <c r="BF228" s="127" t="str">
        <f aca="false">IF($BL228&lt;&gt;Constants!$B$4,"",IF(NOT($BC228),"",IF(NOT($AK228),0,Constants!$B$15*(INT(ROUND(MIN($AL228,$AP$9),6))-INT(ROUND(MAX(0,MIN($AL228,2*$AP$9)-$AP$9),6))))))</f>
        <v/>
      </c>
      <c r="BG228" s="127" t="str">
        <f aca="false">IF($BL228&lt;&gt;Constants!$B$4,"",IF(NOT($BC228),"",Constants!$B$16*$AM228))</f>
        <v/>
      </c>
      <c r="BH228" s="127" t="str">
        <f aca="false">IF($BL228&lt;&gt;Constants!$B$4,"",IF(NOT($BC228),"",Constants!$B$18*INT(ROUND($AN228,6))))</f>
        <v/>
      </c>
      <c r="BI228" s="123" t="str">
        <f aca="false">IF($BL228&lt;&gt;Constants!$B$4,"",IF(NOT($BC228),"",IF(NOT($X228),Constants!$B$11,IF(OR(NOT($AI228),NOT($AJ228),ROUND($AB228,1)&gt;Constants!$B$12,ROUND($Z228,1)&gt;Constants!$B$13,ROUND($AA228,1)&gt;Constants!$B$14),Constants!$B$10,Constants!$B$9))))</f>
        <v/>
      </c>
      <c r="BJ228" s="128" t="str">
        <f aca="false">IF($BL228&lt;&gt;Constants!$B$4,"",IF(NOT($BC228),"",ROUND($BE228+$BF228+$BG228+$BH228,1)))</f>
        <v/>
      </c>
      <c r="BK228" s="129" t="str">
        <f aca="false">IF($BL228&lt;&gt;Constants!$B$4,"",IF(NOT($BC228),"",IF(ISNUMBER($AL228),$AL228,0)))</f>
        <v/>
      </c>
      <c r="BL228" s="124" t="str">
        <f aca="false">IF(ISBLANK($C228),"",IF($AO228,Constants!$B$7,IF(COUNTA($E228:$V228)=0,Constants!$B$6,IF(NOT($Y228),Constants!$B$5,IF(NOT(OR($AS228,$BC228)),Constants!$B$5,IF(OR($AT228,$BD228,$AQ228,$AR228&lt;&gt;""),Constants!$B$8,Constants!$B$4))))))</f>
        <v/>
      </c>
      <c r="BM228" s="124" t="str">
        <f aca="false">IF(ISBLANK($C228),"",IF($BL228&lt;&gt;Constants!$B$4,$BL228,IF($BB228="-&gt;",$BI228,$AY228)))</f>
        <v/>
      </c>
      <c r="BN228" s="127" t="str">
        <f aca="false">IF($BL228&lt;&gt;Constants!$B$4,"",IF($BB228="-&gt;",$BJ228,$AZ228))</f>
        <v/>
      </c>
      <c r="BO228" s="127" t="str">
        <f aca="false">IF(ISBLANK($C228),"",IF($BL228&lt;&gt;Constants!$B$4,$BL228,$BN228))</f>
        <v/>
      </c>
      <c r="BP228" s="124" t="str">
        <f aca="false">IF(ISBLANK($C228),"",IF($BL228&lt;&gt;Constants!$B$4,$BL228,RANK($BO228,$BO$9:$BO$508,0)))</f>
        <v/>
      </c>
      <c r="BQ228" s="124" t="str">
        <f aca="false">IF(ISBLANK($C228),"",IF($BL228&lt;&gt;Constants!$B$4,$BL228,COUNTIFS($BM$9:$BM$508,"&lt;"&amp;$BM228)+COUNTIFS($BM$9:$BM$508,$BM228,$BP$9:$BP$508,"&lt;"&amp;$BP228)+1))</f>
        <v/>
      </c>
      <c r="BR228" s="127" t="str">
        <f aca="false">IF($BL228&lt;&gt;Constants!$B$4,"",IF($BB228="-&gt;",$BH228,$AX228))</f>
        <v/>
      </c>
      <c r="BS228" s="124" t="str">
        <f aca="false">IF(ISBLANK($C228),"",IF($BL228&lt;&gt;Constants!$B$4,$BL228,IF(ISNUMBER($BR228),RANK($BR228,$BR$9:$BR$508,0),COUNT($BR$9:$BR$508)+1)))</f>
        <v/>
      </c>
      <c r="BT228" s="127" t="str">
        <f aca="false">IF($BL228&lt;&gt;Constants!$B$4,"",IF($BB228="-&gt;",$BE228,$AU228))</f>
        <v/>
      </c>
      <c r="BU228" s="124" t="str">
        <f aca="false">IF(ISBLANK($C228),"",IF($BL228&lt;&gt;Constants!$B$4,$BL228,IF(ISNUMBER($BT228),RANK($BT228,$BT$9:$BT$508,0),COUNT($BT$9:$BT$508)+1)))</f>
        <v/>
      </c>
      <c r="BV228" s="127" t="str">
        <f aca="false">IF($BL228&lt;&gt;Constants!$B$4,"",IF($BB228="-&gt;",$BF228,$AV228))</f>
        <v/>
      </c>
      <c r="BW228" s="124" t="str">
        <f aca="false">IF(ISBLANK($C228),"",IF($BL228&lt;&gt;Constants!$B$4,$BL228,IF(ISNUMBER($BV228),RANK($BV228,$BV$9:$BV$508,0),COUNT($BV$9:$BV$508)+1)))</f>
        <v/>
      </c>
      <c r="BX228" s="127" t="str">
        <f aca="false">IF($BL228&lt;&gt;Constants!$B$4,"",IF($BB228="-&gt;",$BK228,$BA228))</f>
        <v/>
      </c>
      <c r="BY228" s="124" t="str">
        <f aca="false">IF(ISBLANK($C228),"",IF($BL228&lt;&gt;Constants!$B$4,$BL228,IF(ISNUMBER($BX228),RANK($BX228,$BX$9:$BX$508,0),COUNT($BX$9:$BX$508)+1)))</f>
        <v/>
      </c>
      <c r="BZ228" s="124" t="str">
        <f aca="false">IF(ISBLANK($C228),"",IF($BL228&lt;&gt;Constants!$B$4,$BL228,COUNTIFS($BM$9:$BM$508,"&lt;"&amp;$BM228)+COUNTIFS($BM$9:$BM$508,$BM228,$BP$9:$BP$508,"&lt;"&amp;$BP228)+COUNTIFS($BM$9:$BM$508,$BM228,$BP$9:$BP$508,$BP228,$BS$9:$BS$508,"&lt;"&amp;$BS228)+COUNTIFS($BM$9:$BM$508,$BM228,$BP$9:$BP$508,$BP228,$BS$9:$BS$508,$BS228,$BU$9:$BU$508,"&lt;"&amp;$BU228)+COUNTIFS($BM$9:$BM$508,$BM228,$BP$9:$BP$508,$BP228,$BS$9:$BS$508,$BS228,$BU$9:$BU$508,$BU228,$BW$9:$BW$508,"&lt;"&amp;$BW228)+COUNTIFS($BM$9:$BM$508,$BM228,$BP$9:$BP$508,$BP228,$BS$9:$BS$508,$BS228,$BU$9:$BU$508,$BU228,$BW$9:$BW$508,$BW228,$BY$9:$BY$508,"&lt;"&amp;$BY228)+1))</f>
        <v/>
      </c>
      <c r="CA228" s="124" t="str">
        <f aca="false">IF(ISBLANK($C228),"",IF($BL228&lt;&gt;Constants!$B$4,$BL228,$BQ228-$BZ228))</f>
        <v/>
      </c>
      <c r="CB228" s="130"/>
      <c r="CC228" s="131" t="str">
        <f aca="false">IF(ISBLANK($C228),"",IF($BL228=Constants!$B$8,$AR228,""))</f>
        <v/>
      </c>
      <c r="CD228" s="131" t="str">
        <f aca="false">IF(ISBLANK($C228),"",IF($BL228&lt;&gt;Constants!$B$4,"",IF($BB228="-&gt;",2,1)))</f>
        <v/>
      </c>
      <c r="CE228" s="132" t="str">
        <f aca="false">IF(ISBLANK($C228),"",IF($BL228&lt;&gt;Constants!$B$4,"",IF($BB228="-&gt;",$BE228,$AU228)))</f>
        <v/>
      </c>
      <c r="CF228" s="132" t="str">
        <f aca="false">IF(ISBLANK($C228),"",IF($BL228&lt;&gt;Constants!$B$4,"",IF($BB228="-&gt;",$BF228,$AV228)))</f>
        <v/>
      </c>
      <c r="CG228" s="132" t="str">
        <f aca="false">IF(ISBLANK($C228),"",IF($BL228&lt;&gt;Constants!$B$4,"",IF($BB228="-&gt;",$BG228,$AW228)))</f>
        <v/>
      </c>
      <c r="CH228" s="132" t="str">
        <f aca="false">IF(ISBLANK($C228),"",IF($BL228&lt;&gt;Constants!$B$4,"",IF($BB228="-&gt;",$BH228,$AX228)))</f>
        <v/>
      </c>
      <c r="CI228" s="133" t="str">
        <f aca="false">IF(ISBLANK($C228),"",$BO228)</f>
        <v/>
      </c>
      <c r="CJ228" s="134" t="str">
        <f aca="false">IF(ISBLANK($C228),"",$BM228)</f>
        <v/>
      </c>
      <c r="CK228" s="135" t="str">
        <f aca="false">IF(ISBLANK($C228),"",$CA228)</f>
        <v/>
      </c>
      <c r="CL228" s="135" t="str">
        <f aca="false">IF(ISBLANK($C228),"",$BZ228)</f>
        <v/>
      </c>
      <c r="CM228" s="136" t="str">
        <f aca="false">IF(ISBLANK($C228),"",IF($CL228=Constants!$B$7,COUNTA($C$9:$C$508)+2,IF($CL228=Constants!$B$6,COUNTA($C$9:$C$508)+1,IF($CL228=Constants!$B$5,COUNTA($C$9:$C$508),$CL228))))</f>
        <v/>
      </c>
      <c r="CN228" s="8"/>
      <c r="CO228" s="137" t="n">
        <f aca="false">IF(OR(ISNUMBER($CL228),$CL228=Constants!$B$7,$CL228=Constants!$B$5,$CL228=Constants!$B$6),1,0)</f>
        <v>0</v>
      </c>
      <c r="CP228" s="137" t="n">
        <v>220</v>
      </c>
      <c r="CQ228" s="137" t="str">
        <f aca="false">IF(ISBLANK($C228),"",IF(ISNUMBER($CM228),$CM228+ROW($B228)/1000,""))</f>
        <v/>
      </c>
      <c r="CR228" s="137" t="str">
        <f aca="false">IF(ISNUMBER($CQ228),RANK($CQ228,$CQ$9:$CQ$508,1),"")</f>
        <v/>
      </c>
      <c r="CS228" s="137" t="str">
        <f aca="false">IF(ISBLANK($C228),"",$B228)</f>
        <v/>
      </c>
      <c r="CT228" s="137" t="str">
        <f aca="false">IF(ISBLANK($C228),"",$C228)</f>
        <v/>
      </c>
      <c r="CU228" s="137" t="str">
        <f aca="false">IF(ISBLANK($C228),"",$D228)</f>
        <v/>
      </c>
      <c r="CV228" s="138" t="str">
        <f aca="false">$CJ228</f>
        <v/>
      </c>
      <c r="CW228" s="139" t="str">
        <f aca="false">$CI228</f>
        <v/>
      </c>
      <c r="CX228" s="137" t="str">
        <f aca="false">IF(ISBLANK($C228),"",$CL228)</f>
        <v/>
      </c>
      <c r="CY228" s="140" t="str">
        <f aca="false">IF($CP228&gt;$CO$8,"",VLOOKUP($CP228,$CR$9:$CX$508,7,FALSE()))</f>
        <v/>
      </c>
      <c r="CZ228" s="141" t="str">
        <f aca="false">IF($CP228&gt;$CO$8,"",VLOOKUP($CP228,$CR$9:$CX$508,2,FALSE()))</f>
        <v/>
      </c>
      <c r="DA228" s="141" t="str">
        <f aca="false">IF($CP228&gt;$CO$8,"",VLOOKUP($CP228,$CR$9:$CX$508,3,FALSE()))</f>
        <v/>
      </c>
      <c r="DB228" s="141" t="str">
        <f aca="false">IF($CP228&gt;$CO$8,"",VLOOKUP($CP228,$CR$9:$CX$508,4,FALSE()))</f>
        <v/>
      </c>
      <c r="DC228" s="141" t="str">
        <f aca="false">IF($CP228&gt;$CO$8,"",VLOOKUP($CP228,$CR$9:$CX$508,5,FALSE()))</f>
        <v/>
      </c>
      <c r="DD228" s="142" t="str">
        <f aca="false">IF($CP228&gt;$CO$8,"",VLOOKUP($CP228,$CR$9:$CX$508,6,FALSE()))</f>
        <v/>
      </c>
      <c r="DE228" s="70"/>
    </row>
    <row r="229" customFormat="false" ht="15.75" hidden="false" customHeight="false" outlineLevel="0" collapsed="false">
      <c r="A229" s="8"/>
      <c r="B229" s="146"/>
      <c r="C229" s="147"/>
      <c r="D229" s="148"/>
      <c r="E229" s="164"/>
      <c r="F229" s="150"/>
      <c r="G229" s="115"/>
      <c r="H229" s="115"/>
      <c r="I229" s="115"/>
      <c r="J229" s="165"/>
      <c r="K229" s="154"/>
      <c r="L229" s="154"/>
      <c r="M229" s="118"/>
      <c r="N229" s="154"/>
      <c r="O229" s="153"/>
      <c r="P229" s="154"/>
      <c r="Q229" s="154"/>
      <c r="R229" s="154"/>
      <c r="S229" s="115"/>
      <c r="T229" s="154"/>
      <c r="U229" s="153"/>
      <c r="V229" s="154"/>
      <c r="W229" s="123"/>
      <c r="X229" s="124" t="str">
        <f aca="false">IF(ISBLANK($C229),"",IF($E229=Constants!$B$2,TRUE(),IF($E229=Constants!$B$3,FALSE(),TRUE())))</f>
        <v/>
      </c>
      <c r="Y229" s="124" t="str">
        <f aca="false">IF(ISBLANK($C229),"",IF($F229=Constants!$B$2,TRUE(),IF($F229=Constants!$B$3,FALSE(),TRUE())))</f>
        <v/>
      </c>
      <c r="Z229" s="125" t="str">
        <f aca="false">IF(ISBLANK($C229),"",IF(ISNUMBER($G229),IF($G229&gt;=0,$G229,""),""))</f>
        <v/>
      </c>
      <c r="AA229" s="125" t="str">
        <f aca="false">IF(ISBLANK($C229),"",IF(ISNUMBER($H229),IF($H229&gt;=0,$H229,""),""))</f>
        <v/>
      </c>
      <c r="AB229" s="125" t="str">
        <f aca="false">IF(ISBLANK($C229),"",IF(ISNUMBER($I229),IF($I229&gt;=0,$I229,""),""))</f>
        <v/>
      </c>
      <c r="AC229" s="124" t="str">
        <f aca="false">IF(ISBLANK($C229),"",IF($J229=Constants!$B$2,TRUE(),IF($J229=Constants!$B$3,FALSE(),TRUE())))</f>
        <v/>
      </c>
      <c r="AD229" s="124" t="str">
        <f aca="false">IF(ISBLANK($C229),"",IF($K229=Constants!$B$2,TRUE(),IF($K229=Constants!$B$3,FALSE(),TRUE())))</f>
        <v/>
      </c>
      <c r="AE229" s="124" t="str">
        <f aca="false">IF(ISBLANK($C229),"",IF($L229=Constants!$B$2,TRUE(),IF($L229=Constants!$B$3,FALSE(),TRUE())))</f>
        <v/>
      </c>
      <c r="AF229" s="126" t="str">
        <f aca="false">IF(ISBLANK($C229),"",IF(ISNUMBER($M229),IF($M229&gt;=0,$M229,""),""))</f>
        <v/>
      </c>
      <c r="AG229" s="124" t="str">
        <f aca="false">IF(ISBLANK($C229),"",IF(ISBLANK($N229),0,IF(ISNUMBER($N229),IF(AND($N229&gt;=0,$N229&lt;=Constants!$B$17,$N229=INT($N229)),$N229,""),"")))</f>
        <v/>
      </c>
      <c r="AH229" s="125" t="str">
        <f aca="false">IF(ISBLANK($C229),"",IF(ISBLANK($O229),0,IF(ISNUMBER($O229),IF($O229&gt;=0,$O229,""),"")))</f>
        <v/>
      </c>
      <c r="AI229" s="124" t="str">
        <f aca="false">IF(ISBLANK($C229),"",IF($P229=Constants!$B$2,TRUE(),IF($P229=Constants!$B$3,FALSE(),TRUE())))</f>
        <v/>
      </c>
      <c r="AJ229" s="124" t="str">
        <f aca="false">IF(ISBLANK($C229),"",IF($Q229=Constants!$B$2,TRUE(),IF($Q229=Constants!$B$3,FALSE(),TRUE())))</f>
        <v/>
      </c>
      <c r="AK229" s="124" t="str">
        <f aca="false">IF(ISBLANK($C229),"",IF($R229=Constants!$B$2,TRUE(),IF($R229=Constants!$B$3,FALSE(),TRUE())))</f>
        <v/>
      </c>
      <c r="AL229" s="126" t="str">
        <f aca="false">IF(ISBLANK($C229),"",IF(ISNUMBER($S229),IF($S229&gt;=0,$S229,""),""))</f>
        <v/>
      </c>
      <c r="AM229" s="124" t="str">
        <f aca="false">IF(ISBLANK($C229),"",IF(ISBLANK($T229),0,IF(ISNUMBER($T229),IF(AND($T229&gt;=0,$T229&lt;=Constants!$B$17,$T229=INT($T229)),$T229,""),"")))</f>
        <v/>
      </c>
      <c r="AN229" s="125" t="str">
        <f aca="false">IF(ISBLANK($C229),"",IF(ISBLANK($U229),0,IF(ISNUMBER($U229),IF($U229&gt;=0,$U229,""),"")))</f>
        <v/>
      </c>
      <c r="AO229" s="124" t="str">
        <f aca="false">IF(ISBLANK($C229),"",IF($V229=Constants!$B$2,TRUE(),IF($V229=Constants!$B$3,FALSE(),FALSE())))</f>
        <v/>
      </c>
      <c r="AP229" s="124"/>
      <c r="AQ229" s="123" t="str">
        <f aca="false">IF(ISBLANK($C229),"",AND($Y229,OR($AS229,$BC229),OR($Z229="",$AA229="",$AB229="")))</f>
        <v/>
      </c>
      <c r="AR229" s="123" t="str">
        <f aca="false">IF(ISBLANK($C229),"",IF(OR(NOT($Y229),NOT(OR($AS229,$BC229))),"",IF(ISBLANK($D$7),$AR$5,IF($AP$9="",$AR$6,""))))</f>
        <v/>
      </c>
      <c r="AS229" s="123" t="str">
        <f aca="false">IF(ISBLANK($C229),"",COUNTA($J229:$O229)&gt;0)</f>
        <v/>
      </c>
      <c r="AT229" s="123" t="str">
        <f aca="false">IF(ISBLANK($C229),"",AND($AS229,OR(AND($AF229="",OR($AE229,NOT(ISBLANK($M229)))),$AG229="",$AH229="")))</f>
        <v/>
      </c>
      <c r="AU229" s="125" t="str">
        <f aca="false">IF($BL229&lt;&gt;Constants!$B$4,"",IF(NOT($AS229),"",ROUND((Constants!$B$12-$AB229)+(Constants!$B$13-$Z229)+(Constants!$B$14-$AA229),1)))</f>
        <v/>
      </c>
      <c r="AV229" s="127" t="str">
        <f aca="false">IF($BL229&lt;&gt;Constants!$B$4,"",IF(NOT($AS229),"",IF(NOT($AE229),0,Constants!$B$15*(INT(ROUND(MIN($AF229,$AP$9),6))-INT(ROUND(MAX(0,MIN($AF229,2*$AP$9)-$AP$9),6))))))</f>
        <v/>
      </c>
      <c r="AW229" s="127" t="str">
        <f aca="false">IF($BL229&lt;&gt;Constants!$B$4,"",IF(NOT($AS229),"",Constants!$B$16*$AG229))</f>
        <v/>
      </c>
      <c r="AX229" s="127" t="str">
        <f aca="false">IF($BL229&lt;&gt;Constants!$B$4,"",IF(NOT($AS229),"",Constants!$B$18*INT(ROUND($AH229,6))))</f>
        <v/>
      </c>
      <c r="AY229" s="123" t="str">
        <f aca="false">IF($BL229&lt;&gt;Constants!$B$4,"",IF(NOT($AS229),"",IF(NOT($X229),Constants!$B$11,IF(OR(NOT($AC229),NOT($AD229),ROUND($AB229,1)&gt;Constants!$B$12,ROUND($Z229,1)&gt;Constants!$B$13,ROUND($AA229,1)&gt;Constants!$B$14),Constants!$B$10,Constants!$B$9))))</f>
        <v/>
      </c>
      <c r="AZ229" s="128" t="str">
        <f aca="false">IF($BL229&lt;&gt;Constants!$B$4,"",IF(NOT($AS229),"",ROUND($AU229+$AV229+$AW229+$AX229,1)))</f>
        <v/>
      </c>
      <c r="BA229" s="129" t="str">
        <f aca="false">IF($BL229&lt;&gt;Constants!$B$4,"",IF(NOT($AS229),"",IF(ISNUMBER($AF229),$AF229,0)))</f>
        <v/>
      </c>
      <c r="BB229" s="124" t="str">
        <f aca="false">IF($BL229&lt;&gt;Constants!$B$4,"",IF(NOT($BC229),"&lt;-",IF(NOT($AS229),"-&gt;",IF(OR($BI229&lt;$AY229,AND($BI229=$AY229,OR($BJ229&gt;$AZ229,AND($BJ229=$AZ229,OR($BH229&gt;$AX229,AND($BH229=$AX229,OR($BE229&gt;$AU229,AND($BE229=$AU229,OR($BF229&gt;$AV229,AND($BF229=$AV229,$BK229&gt;$BA229)))))))))),"-&gt;","&lt;-"))))</f>
        <v/>
      </c>
      <c r="BC229" s="123" t="str">
        <f aca="false">IF(ISBLANK($C229),"",COUNTA($P229:$U229)&gt;0)</f>
        <v/>
      </c>
      <c r="BD229" s="123" t="str">
        <f aca="false">IF(ISBLANK($C229),"",AND($BC229,OR(AND($AL229="",OR($AK229,NOT(ISBLANK($S229)))),$AM229="",$AN229="")))</f>
        <v/>
      </c>
      <c r="BE229" s="125" t="str">
        <f aca="false">IF($BL229&lt;&gt;Constants!$B$4,"",IF(NOT($BC229),"",ROUND((Constants!$B$12-$AB229)+(Constants!$B$13-$Z229)+(Constants!$B$14-$AA229),1)))</f>
        <v/>
      </c>
      <c r="BF229" s="127" t="str">
        <f aca="false">IF($BL229&lt;&gt;Constants!$B$4,"",IF(NOT($BC229),"",IF(NOT($AK229),0,Constants!$B$15*(INT(ROUND(MIN($AL229,$AP$9),6))-INT(ROUND(MAX(0,MIN($AL229,2*$AP$9)-$AP$9),6))))))</f>
        <v/>
      </c>
      <c r="BG229" s="127" t="str">
        <f aca="false">IF($BL229&lt;&gt;Constants!$B$4,"",IF(NOT($BC229),"",Constants!$B$16*$AM229))</f>
        <v/>
      </c>
      <c r="BH229" s="127" t="str">
        <f aca="false">IF($BL229&lt;&gt;Constants!$B$4,"",IF(NOT($BC229),"",Constants!$B$18*INT(ROUND($AN229,6))))</f>
        <v/>
      </c>
      <c r="BI229" s="123" t="str">
        <f aca="false">IF($BL229&lt;&gt;Constants!$B$4,"",IF(NOT($BC229),"",IF(NOT($X229),Constants!$B$11,IF(OR(NOT($AI229),NOT($AJ229),ROUND($AB229,1)&gt;Constants!$B$12,ROUND($Z229,1)&gt;Constants!$B$13,ROUND($AA229,1)&gt;Constants!$B$14),Constants!$B$10,Constants!$B$9))))</f>
        <v/>
      </c>
      <c r="BJ229" s="128" t="str">
        <f aca="false">IF($BL229&lt;&gt;Constants!$B$4,"",IF(NOT($BC229),"",ROUND($BE229+$BF229+$BG229+$BH229,1)))</f>
        <v/>
      </c>
      <c r="BK229" s="129" t="str">
        <f aca="false">IF($BL229&lt;&gt;Constants!$B$4,"",IF(NOT($BC229),"",IF(ISNUMBER($AL229),$AL229,0)))</f>
        <v/>
      </c>
      <c r="BL229" s="124" t="str">
        <f aca="false">IF(ISBLANK($C229),"",IF($AO229,Constants!$B$7,IF(COUNTA($E229:$V229)=0,Constants!$B$6,IF(NOT($Y229),Constants!$B$5,IF(NOT(OR($AS229,$BC229)),Constants!$B$5,IF(OR($AT229,$BD229,$AQ229,$AR229&lt;&gt;""),Constants!$B$8,Constants!$B$4))))))</f>
        <v/>
      </c>
      <c r="BM229" s="124" t="str">
        <f aca="false">IF(ISBLANK($C229),"",IF($BL229&lt;&gt;Constants!$B$4,$BL229,IF($BB229="-&gt;",$BI229,$AY229)))</f>
        <v/>
      </c>
      <c r="BN229" s="127" t="str">
        <f aca="false">IF($BL229&lt;&gt;Constants!$B$4,"",IF($BB229="-&gt;",$BJ229,$AZ229))</f>
        <v/>
      </c>
      <c r="BO229" s="127" t="str">
        <f aca="false">IF(ISBLANK($C229),"",IF($BL229&lt;&gt;Constants!$B$4,$BL229,$BN229))</f>
        <v/>
      </c>
      <c r="BP229" s="124" t="str">
        <f aca="false">IF(ISBLANK($C229),"",IF($BL229&lt;&gt;Constants!$B$4,$BL229,RANK($BO229,$BO$9:$BO$508,0)))</f>
        <v/>
      </c>
      <c r="BQ229" s="124" t="str">
        <f aca="false">IF(ISBLANK($C229),"",IF($BL229&lt;&gt;Constants!$B$4,$BL229,COUNTIFS($BM$9:$BM$508,"&lt;"&amp;$BM229)+COUNTIFS($BM$9:$BM$508,$BM229,$BP$9:$BP$508,"&lt;"&amp;$BP229)+1))</f>
        <v/>
      </c>
      <c r="BR229" s="127" t="str">
        <f aca="false">IF($BL229&lt;&gt;Constants!$B$4,"",IF($BB229="-&gt;",$BH229,$AX229))</f>
        <v/>
      </c>
      <c r="BS229" s="124" t="str">
        <f aca="false">IF(ISBLANK($C229),"",IF($BL229&lt;&gt;Constants!$B$4,$BL229,IF(ISNUMBER($BR229),RANK($BR229,$BR$9:$BR$508,0),COUNT($BR$9:$BR$508)+1)))</f>
        <v/>
      </c>
      <c r="BT229" s="127" t="str">
        <f aca="false">IF($BL229&lt;&gt;Constants!$B$4,"",IF($BB229="-&gt;",$BE229,$AU229))</f>
        <v/>
      </c>
      <c r="BU229" s="124" t="str">
        <f aca="false">IF(ISBLANK($C229),"",IF($BL229&lt;&gt;Constants!$B$4,$BL229,IF(ISNUMBER($BT229),RANK($BT229,$BT$9:$BT$508,0),COUNT($BT$9:$BT$508)+1)))</f>
        <v/>
      </c>
      <c r="BV229" s="127" t="str">
        <f aca="false">IF($BL229&lt;&gt;Constants!$B$4,"",IF($BB229="-&gt;",$BF229,$AV229))</f>
        <v/>
      </c>
      <c r="BW229" s="124" t="str">
        <f aca="false">IF(ISBLANK($C229),"",IF($BL229&lt;&gt;Constants!$B$4,$BL229,IF(ISNUMBER($BV229),RANK($BV229,$BV$9:$BV$508,0),COUNT($BV$9:$BV$508)+1)))</f>
        <v/>
      </c>
      <c r="BX229" s="127" t="str">
        <f aca="false">IF($BL229&lt;&gt;Constants!$B$4,"",IF($BB229="-&gt;",$BK229,$BA229))</f>
        <v/>
      </c>
      <c r="BY229" s="124" t="str">
        <f aca="false">IF(ISBLANK($C229),"",IF($BL229&lt;&gt;Constants!$B$4,$BL229,IF(ISNUMBER($BX229),RANK($BX229,$BX$9:$BX$508,0),COUNT($BX$9:$BX$508)+1)))</f>
        <v/>
      </c>
      <c r="BZ229" s="124" t="str">
        <f aca="false">IF(ISBLANK($C229),"",IF($BL229&lt;&gt;Constants!$B$4,$BL229,COUNTIFS($BM$9:$BM$508,"&lt;"&amp;$BM229)+COUNTIFS($BM$9:$BM$508,$BM229,$BP$9:$BP$508,"&lt;"&amp;$BP229)+COUNTIFS($BM$9:$BM$508,$BM229,$BP$9:$BP$508,$BP229,$BS$9:$BS$508,"&lt;"&amp;$BS229)+COUNTIFS($BM$9:$BM$508,$BM229,$BP$9:$BP$508,$BP229,$BS$9:$BS$508,$BS229,$BU$9:$BU$508,"&lt;"&amp;$BU229)+COUNTIFS($BM$9:$BM$508,$BM229,$BP$9:$BP$508,$BP229,$BS$9:$BS$508,$BS229,$BU$9:$BU$508,$BU229,$BW$9:$BW$508,"&lt;"&amp;$BW229)+COUNTIFS($BM$9:$BM$508,$BM229,$BP$9:$BP$508,$BP229,$BS$9:$BS$508,$BS229,$BU$9:$BU$508,$BU229,$BW$9:$BW$508,$BW229,$BY$9:$BY$508,"&lt;"&amp;$BY229)+1))</f>
        <v/>
      </c>
      <c r="CA229" s="124" t="str">
        <f aca="false">IF(ISBLANK($C229),"",IF($BL229&lt;&gt;Constants!$B$4,$BL229,$BQ229-$BZ229))</f>
        <v/>
      </c>
      <c r="CB229" s="130"/>
      <c r="CC229" s="131" t="str">
        <f aca="false">IF(ISBLANK($C229),"",IF($BL229=Constants!$B$8,$AR229,""))</f>
        <v/>
      </c>
      <c r="CD229" s="131" t="str">
        <f aca="false">IF(ISBLANK($C229),"",IF($BL229&lt;&gt;Constants!$B$4,"",IF($BB229="-&gt;",2,1)))</f>
        <v/>
      </c>
      <c r="CE229" s="132" t="str">
        <f aca="false">IF(ISBLANK($C229),"",IF($BL229&lt;&gt;Constants!$B$4,"",IF($BB229="-&gt;",$BE229,$AU229)))</f>
        <v/>
      </c>
      <c r="CF229" s="132" t="str">
        <f aca="false">IF(ISBLANK($C229),"",IF($BL229&lt;&gt;Constants!$B$4,"",IF($BB229="-&gt;",$BF229,$AV229)))</f>
        <v/>
      </c>
      <c r="CG229" s="132" t="str">
        <f aca="false">IF(ISBLANK($C229),"",IF($BL229&lt;&gt;Constants!$B$4,"",IF($BB229="-&gt;",$BG229,$AW229)))</f>
        <v/>
      </c>
      <c r="CH229" s="132" t="str">
        <f aca="false">IF(ISBLANK($C229),"",IF($BL229&lt;&gt;Constants!$B$4,"",IF($BB229="-&gt;",$BH229,$AX229)))</f>
        <v/>
      </c>
      <c r="CI229" s="133" t="str">
        <f aca="false">IF(ISBLANK($C229),"",$BO229)</f>
        <v/>
      </c>
      <c r="CJ229" s="134" t="str">
        <f aca="false">IF(ISBLANK($C229),"",$BM229)</f>
        <v/>
      </c>
      <c r="CK229" s="135" t="str">
        <f aca="false">IF(ISBLANK($C229),"",$CA229)</f>
        <v/>
      </c>
      <c r="CL229" s="135" t="str">
        <f aca="false">IF(ISBLANK($C229),"",$BZ229)</f>
        <v/>
      </c>
      <c r="CM229" s="136" t="str">
        <f aca="false">IF(ISBLANK($C229),"",IF($CL229=Constants!$B$7,COUNTA($C$9:$C$508)+2,IF($CL229=Constants!$B$6,COUNTA($C$9:$C$508)+1,IF($CL229=Constants!$B$5,COUNTA($C$9:$C$508),$CL229))))</f>
        <v/>
      </c>
      <c r="CN229" s="8"/>
      <c r="CO229" s="137" t="n">
        <f aca="false">IF(OR(ISNUMBER($CL229),$CL229=Constants!$B$7,$CL229=Constants!$B$5,$CL229=Constants!$B$6),1,0)</f>
        <v>0</v>
      </c>
      <c r="CP229" s="137" t="n">
        <v>221</v>
      </c>
      <c r="CQ229" s="137" t="str">
        <f aca="false">IF(ISBLANK($C229),"",IF(ISNUMBER($CM229),$CM229+ROW($B229)/1000,""))</f>
        <v/>
      </c>
      <c r="CR229" s="137" t="str">
        <f aca="false">IF(ISNUMBER($CQ229),RANK($CQ229,$CQ$9:$CQ$508,1),"")</f>
        <v/>
      </c>
      <c r="CS229" s="137" t="str">
        <f aca="false">IF(ISBLANK($C229),"",$B229)</f>
        <v/>
      </c>
      <c r="CT229" s="137" t="str">
        <f aca="false">IF(ISBLANK($C229),"",$C229)</f>
        <v/>
      </c>
      <c r="CU229" s="137" t="str">
        <f aca="false">IF(ISBLANK($C229),"",$D229)</f>
        <v/>
      </c>
      <c r="CV229" s="138" t="str">
        <f aca="false">$CJ229</f>
        <v/>
      </c>
      <c r="CW229" s="139" t="str">
        <f aca="false">$CI229</f>
        <v/>
      </c>
      <c r="CX229" s="137" t="str">
        <f aca="false">IF(ISBLANK($C229),"",$CL229)</f>
        <v/>
      </c>
      <c r="CY229" s="140" t="str">
        <f aca="false">IF($CP229&gt;$CO$8,"",VLOOKUP($CP229,$CR$9:$CX$508,7,FALSE()))</f>
        <v/>
      </c>
      <c r="CZ229" s="141" t="str">
        <f aca="false">IF($CP229&gt;$CO$8,"",VLOOKUP($CP229,$CR$9:$CX$508,2,FALSE()))</f>
        <v/>
      </c>
      <c r="DA229" s="141" t="str">
        <f aca="false">IF($CP229&gt;$CO$8,"",VLOOKUP($CP229,$CR$9:$CX$508,3,FALSE()))</f>
        <v/>
      </c>
      <c r="DB229" s="141" t="str">
        <f aca="false">IF($CP229&gt;$CO$8,"",VLOOKUP($CP229,$CR$9:$CX$508,4,FALSE()))</f>
        <v/>
      </c>
      <c r="DC229" s="141" t="str">
        <f aca="false">IF($CP229&gt;$CO$8,"",VLOOKUP($CP229,$CR$9:$CX$508,5,FALSE()))</f>
        <v/>
      </c>
      <c r="DD229" s="142" t="str">
        <f aca="false">IF($CP229&gt;$CO$8,"",VLOOKUP($CP229,$CR$9:$CX$508,6,FALSE()))</f>
        <v/>
      </c>
      <c r="DE229" s="70"/>
    </row>
    <row r="230" customFormat="false" ht="15.75" hidden="false" customHeight="false" outlineLevel="0" collapsed="false">
      <c r="A230" s="8"/>
      <c r="B230" s="146"/>
      <c r="C230" s="147"/>
      <c r="D230" s="148"/>
      <c r="E230" s="164"/>
      <c r="F230" s="150"/>
      <c r="G230" s="115"/>
      <c r="H230" s="115"/>
      <c r="I230" s="115"/>
      <c r="J230" s="165"/>
      <c r="K230" s="154"/>
      <c r="L230" s="154"/>
      <c r="M230" s="118"/>
      <c r="N230" s="154"/>
      <c r="O230" s="153"/>
      <c r="P230" s="154"/>
      <c r="Q230" s="154"/>
      <c r="R230" s="154"/>
      <c r="S230" s="115"/>
      <c r="T230" s="154"/>
      <c r="U230" s="153"/>
      <c r="V230" s="154"/>
      <c r="W230" s="123"/>
      <c r="X230" s="124" t="str">
        <f aca="false">IF(ISBLANK($C230),"",IF($E230=Constants!$B$2,TRUE(),IF($E230=Constants!$B$3,FALSE(),TRUE())))</f>
        <v/>
      </c>
      <c r="Y230" s="124" t="str">
        <f aca="false">IF(ISBLANK($C230),"",IF($F230=Constants!$B$2,TRUE(),IF($F230=Constants!$B$3,FALSE(),TRUE())))</f>
        <v/>
      </c>
      <c r="Z230" s="125" t="str">
        <f aca="false">IF(ISBLANK($C230),"",IF(ISNUMBER($G230),IF($G230&gt;=0,$G230,""),""))</f>
        <v/>
      </c>
      <c r="AA230" s="125" t="str">
        <f aca="false">IF(ISBLANK($C230),"",IF(ISNUMBER($H230),IF($H230&gt;=0,$H230,""),""))</f>
        <v/>
      </c>
      <c r="AB230" s="125" t="str">
        <f aca="false">IF(ISBLANK($C230),"",IF(ISNUMBER($I230),IF($I230&gt;=0,$I230,""),""))</f>
        <v/>
      </c>
      <c r="AC230" s="124" t="str">
        <f aca="false">IF(ISBLANK($C230),"",IF($J230=Constants!$B$2,TRUE(),IF($J230=Constants!$B$3,FALSE(),TRUE())))</f>
        <v/>
      </c>
      <c r="AD230" s="124" t="str">
        <f aca="false">IF(ISBLANK($C230),"",IF($K230=Constants!$B$2,TRUE(),IF($K230=Constants!$B$3,FALSE(),TRUE())))</f>
        <v/>
      </c>
      <c r="AE230" s="124" t="str">
        <f aca="false">IF(ISBLANK($C230),"",IF($L230=Constants!$B$2,TRUE(),IF($L230=Constants!$B$3,FALSE(),TRUE())))</f>
        <v/>
      </c>
      <c r="AF230" s="126" t="str">
        <f aca="false">IF(ISBLANK($C230),"",IF(ISNUMBER($M230),IF($M230&gt;=0,$M230,""),""))</f>
        <v/>
      </c>
      <c r="AG230" s="124" t="str">
        <f aca="false">IF(ISBLANK($C230),"",IF(ISBLANK($N230),0,IF(ISNUMBER($N230),IF(AND($N230&gt;=0,$N230&lt;=Constants!$B$17,$N230=INT($N230)),$N230,""),"")))</f>
        <v/>
      </c>
      <c r="AH230" s="125" t="str">
        <f aca="false">IF(ISBLANK($C230),"",IF(ISBLANK($O230),0,IF(ISNUMBER($O230),IF($O230&gt;=0,$O230,""),"")))</f>
        <v/>
      </c>
      <c r="AI230" s="124" t="str">
        <f aca="false">IF(ISBLANK($C230),"",IF($P230=Constants!$B$2,TRUE(),IF($P230=Constants!$B$3,FALSE(),TRUE())))</f>
        <v/>
      </c>
      <c r="AJ230" s="124" t="str">
        <f aca="false">IF(ISBLANK($C230),"",IF($Q230=Constants!$B$2,TRUE(),IF($Q230=Constants!$B$3,FALSE(),TRUE())))</f>
        <v/>
      </c>
      <c r="AK230" s="124" t="str">
        <f aca="false">IF(ISBLANK($C230),"",IF($R230=Constants!$B$2,TRUE(),IF($R230=Constants!$B$3,FALSE(),TRUE())))</f>
        <v/>
      </c>
      <c r="AL230" s="126" t="str">
        <f aca="false">IF(ISBLANK($C230),"",IF(ISNUMBER($S230),IF($S230&gt;=0,$S230,""),""))</f>
        <v/>
      </c>
      <c r="AM230" s="124" t="str">
        <f aca="false">IF(ISBLANK($C230),"",IF(ISBLANK($T230),0,IF(ISNUMBER($T230),IF(AND($T230&gt;=0,$T230&lt;=Constants!$B$17,$T230=INT($T230)),$T230,""),"")))</f>
        <v/>
      </c>
      <c r="AN230" s="125" t="str">
        <f aca="false">IF(ISBLANK($C230),"",IF(ISBLANK($U230),0,IF(ISNUMBER($U230),IF($U230&gt;=0,$U230,""),"")))</f>
        <v/>
      </c>
      <c r="AO230" s="124" t="str">
        <f aca="false">IF(ISBLANK($C230),"",IF($V230=Constants!$B$2,TRUE(),IF($V230=Constants!$B$3,FALSE(),FALSE())))</f>
        <v/>
      </c>
      <c r="AP230" s="124"/>
      <c r="AQ230" s="123" t="str">
        <f aca="false">IF(ISBLANK($C230),"",AND($Y230,OR($AS230,$BC230),OR($Z230="",$AA230="",$AB230="")))</f>
        <v/>
      </c>
      <c r="AR230" s="123" t="str">
        <f aca="false">IF(ISBLANK($C230),"",IF(OR(NOT($Y230),NOT(OR($AS230,$BC230))),"",IF(ISBLANK($D$7),$AR$5,IF($AP$9="",$AR$6,""))))</f>
        <v/>
      </c>
      <c r="AS230" s="123" t="str">
        <f aca="false">IF(ISBLANK($C230),"",COUNTA($J230:$O230)&gt;0)</f>
        <v/>
      </c>
      <c r="AT230" s="123" t="str">
        <f aca="false">IF(ISBLANK($C230),"",AND($AS230,OR(AND($AF230="",OR($AE230,NOT(ISBLANK($M230)))),$AG230="",$AH230="")))</f>
        <v/>
      </c>
      <c r="AU230" s="125" t="str">
        <f aca="false">IF($BL230&lt;&gt;Constants!$B$4,"",IF(NOT($AS230),"",ROUND((Constants!$B$12-$AB230)+(Constants!$B$13-$Z230)+(Constants!$B$14-$AA230),1)))</f>
        <v/>
      </c>
      <c r="AV230" s="127" t="str">
        <f aca="false">IF($BL230&lt;&gt;Constants!$B$4,"",IF(NOT($AS230),"",IF(NOT($AE230),0,Constants!$B$15*(INT(ROUND(MIN($AF230,$AP$9),6))-INT(ROUND(MAX(0,MIN($AF230,2*$AP$9)-$AP$9),6))))))</f>
        <v/>
      </c>
      <c r="AW230" s="127" t="str">
        <f aca="false">IF($BL230&lt;&gt;Constants!$B$4,"",IF(NOT($AS230),"",Constants!$B$16*$AG230))</f>
        <v/>
      </c>
      <c r="AX230" s="127" t="str">
        <f aca="false">IF($BL230&lt;&gt;Constants!$B$4,"",IF(NOT($AS230),"",Constants!$B$18*INT(ROUND($AH230,6))))</f>
        <v/>
      </c>
      <c r="AY230" s="123" t="str">
        <f aca="false">IF($BL230&lt;&gt;Constants!$B$4,"",IF(NOT($AS230),"",IF(NOT($X230),Constants!$B$11,IF(OR(NOT($AC230),NOT($AD230),ROUND($AB230,1)&gt;Constants!$B$12,ROUND($Z230,1)&gt;Constants!$B$13,ROUND($AA230,1)&gt;Constants!$B$14),Constants!$B$10,Constants!$B$9))))</f>
        <v/>
      </c>
      <c r="AZ230" s="128" t="str">
        <f aca="false">IF($BL230&lt;&gt;Constants!$B$4,"",IF(NOT($AS230),"",ROUND($AU230+$AV230+$AW230+$AX230,1)))</f>
        <v/>
      </c>
      <c r="BA230" s="129" t="str">
        <f aca="false">IF($BL230&lt;&gt;Constants!$B$4,"",IF(NOT($AS230),"",IF(ISNUMBER($AF230),$AF230,0)))</f>
        <v/>
      </c>
      <c r="BB230" s="124" t="str">
        <f aca="false">IF($BL230&lt;&gt;Constants!$B$4,"",IF(NOT($BC230),"&lt;-",IF(NOT($AS230),"-&gt;",IF(OR($BI230&lt;$AY230,AND($BI230=$AY230,OR($BJ230&gt;$AZ230,AND($BJ230=$AZ230,OR($BH230&gt;$AX230,AND($BH230=$AX230,OR($BE230&gt;$AU230,AND($BE230=$AU230,OR($BF230&gt;$AV230,AND($BF230=$AV230,$BK230&gt;$BA230)))))))))),"-&gt;","&lt;-"))))</f>
        <v/>
      </c>
      <c r="BC230" s="123" t="str">
        <f aca="false">IF(ISBLANK($C230),"",COUNTA($P230:$U230)&gt;0)</f>
        <v/>
      </c>
      <c r="BD230" s="123" t="str">
        <f aca="false">IF(ISBLANK($C230),"",AND($BC230,OR(AND($AL230="",OR($AK230,NOT(ISBLANK($S230)))),$AM230="",$AN230="")))</f>
        <v/>
      </c>
      <c r="BE230" s="125" t="str">
        <f aca="false">IF($BL230&lt;&gt;Constants!$B$4,"",IF(NOT($BC230),"",ROUND((Constants!$B$12-$AB230)+(Constants!$B$13-$Z230)+(Constants!$B$14-$AA230),1)))</f>
        <v/>
      </c>
      <c r="BF230" s="127" t="str">
        <f aca="false">IF($BL230&lt;&gt;Constants!$B$4,"",IF(NOT($BC230),"",IF(NOT($AK230),0,Constants!$B$15*(INT(ROUND(MIN($AL230,$AP$9),6))-INT(ROUND(MAX(0,MIN($AL230,2*$AP$9)-$AP$9),6))))))</f>
        <v/>
      </c>
      <c r="BG230" s="127" t="str">
        <f aca="false">IF($BL230&lt;&gt;Constants!$B$4,"",IF(NOT($BC230),"",Constants!$B$16*$AM230))</f>
        <v/>
      </c>
      <c r="BH230" s="127" t="str">
        <f aca="false">IF($BL230&lt;&gt;Constants!$B$4,"",IF(NOT($BC230),"",Constants!$B$18*INT(ROUND($AN230,6))))</f>
        <v/>
      </c>
      <c r="BI230" s="123" t="str">
        <f aca="false">IF($BL230&lt;&gt;Constants!$B$4,"",IF(NOT($BC230),"",IF(NOT($X230),Constants!$B$11,IF(OR(NOT($AI230),NOT($AJ230),ROUND($AB230,1)&gt;Constants!$B$12,ROUND($Z230,1)&gt;Constants!$B$13,ROUND($AA230,1)&gt;Constants!$B$14),Constants!$B$10,Constants!$B$9))))</f>
        <v/>
      </c>
      <c r="BJ230" s="128" t="str">
        <f aca="false">IF($BL230&lt;&gt;Constants!$B$4,"",IF(NOT($BC230),"",ROUND($BE230+$BF230+$BG230+$BH230,1)))</f>
        <v/>
      </c>
      <c r="BK230" s="129" t="str">
        <f aca="false">IF($BL230&lt;&gt;Constants!$B$4,"",IF(NOT($BC230),"",IF(ISNUMBER($AL230),$AL230,0)))</f>
        <v/>
      </c>
      <c r="BL230" s="124" t="str">
        <f aca="false">IF(ISBLANK($C230),"",IF($AO230,Constants!$B$7,IF(COUNTA($E230:$V230)=0,Constants!$B$6,IF(NOT($Y230),Constants!$B$5,IF(NOT(OR($AS230,$BC230)),Constants!$B$5,IF(OR($AT230,$BD230,$AQ230,$AR230&lt;&gt;""),Constants!$B$8,Constants!$B$4))))))</f>
        <v/>
      </c>
      <c r="BM230" s="124" t="str">
        <f aca="false">IF(ISBLANK($C230),"",IF($BL230&lt;&gt;Constants!$B$4,$BL230,IF($BB230="-&gt;",$BI230,$AY230)))</f>
        <v/>
      </c>
      <c r="BN230" s="127" t="str">
        <f aca="false">IF($BL230&lt;&gt;Constants!$B$4,"",IF($BB230="-&gt;",$BJ230,$AZ230))</f>
        <v/>
      </c>
      <c r="BO230" s="127" t="str">
        <f aca="false">IF(ISBLANK($C230),"",IF($BL230&lt;&gt;Constants!$B$4,$BL230,$BN230))</f>
        <v/>
      </c>
      <c r="BP230" s="124" t="str">
        <f aca="false">IF(ISBLANK($C230),"",IF($BL230&lt;&gt;Constants!$B$4,$BL230,RANK($BO230,$BO$9:$BO$508,0)))</f>
        <v/>
      </c>
      <c r="BQ230" s="124" t="str">
        <f aca="false">IF(ISBLANK($C230),"",IF($BL230&lt;&gt;Constants!$B$4,$BL230,COUNTIFS($BM$9:$BM$508,"&lt;"&amp;$BM230)+COUNTIFS($BM$9:$BM$508,$BM230,$BP$9:$BP$508,"&lt;"&amp;$BP230)+1))</f>
        <v/>
      </c>
      <c r="BR230" s="127" t="str">
        <f aca="false">IF($BL230&lt;&gt;Constants!$B$4,"",IF($BB230="-&gt;",$BH230,$AX230))</f>
        <v/>
      </c>
      <c r="BS230" s="124" t="str">
        <f aca="false">IF(ISBLANK($C230),"",IF($BL230&lt;&gt;Constants!$B$4,$BL230,IF(ISNUMBER($BR230),RANK($BR230,$BR$9:$BR$508,0),COUNT($BR$9:$BR$508)+1)))</f>
        <v/>
      </c>
      <c r="BT230" s="127" t="str">
        <f aca="false">IF($BL230&lt;&gt;Constants!$B$4,"",IF($BB230="-&gt;",$BE230,$AU230))</f>
        <v/>
      </c>
      <c r="BU230" s="124" t="str">
        <f aca="false">IF(ISBLANK($C230),"",IF($BL230&lt;&gt;Constants!$B$4,$BL230,IF(ISNUMBER($BT230),RANK($BT230,$BT$9:$BT$508,0),COUNT($BT$9:$BT$508)+1)))</f>
        <v/>
      </c>
      <c r="BV230" s="127" t="str">
        <f aca="false">IF($BL230&lt;&gt;Constants!$B$4,"",IF($BB230="-&gt;",$BF230,$AV230))</f>
        <v/>
      </c>
      <c r="BW230" s="124" t="str">
        <f aca="false">IF(ISBLANK($C230),"",IF($BL230&lt;&gt;Constants!$B$4,$BL230,IF(ISNUMBER($BV230),RANK($BV230,$BV$9:$BV$508,0),COUNT($BV$9:$BV$508)+1)))</f>
        <v/>
      </c>
      <c r="BX230" s="127" t="str">
        <f aca="false">IF($BL230&lt;&gt;Constants!$B$4,"",IF($BB230="-&gt;",$BK230,$BA230))</f>
        <v/>
      </c>
      <c r="BY230" s="124" t="str">
        <f aca="false">IF(ISBLANK($C230),"",IF($BL230&lt;&gt;Constants!$B$4,$BL230,IF(ISNUMBER($BX230),RANK($BX230,$BX$9:$BX$508,0),COUNT($BX$9:$BX$508)+1)))</f>
        <v/>
      </c>
      <c r="BZ230" s="124" t="str">
        <f aca="false">IF(ISBLANK($C230),"",IF($BL230&lt;&gt;Constants!$B$4,$BL230,COUNTIFS($BM$9:$BM$508,"&lt;"&amp;$BM230)+COUNTIFS($BM$9:$BM$508,$BM230,$BP$9:$BP$508,"&lt;"&amp;$BP230)+COUNTIFS($BM$9:$BM$508,$BM230,$BP$9:$BP$508,$BP230,$BS$9:$BS$508,"&lt;"&amp;$BS230)+COUNTIFS($BM$9:$BM$508,$BM230,$BP$9:$BP$508,$BP230,$BS$9:$BS$508,$BS230,$BU$9:$BU$508,"&lt;"&amp;$BU230)+COUNTIFS($BM$9:$BM$508,$BM230,$BP$9:$BP$508,$BP230,$BS$9:$BS$508,$BS230,$BU$9:$BU$508,$BU230,$BW$9:$BW$508,"&lt;"&amp;$BW230)+COUNTIFS($BM$9:$BM$508,$BM230,$BP$9:$BP$508,$BP230,$BS$9:$BS$508,$BS230,$BU$9:$BU$508,$BU230,$BW$9:$BW$508,$BW230,$BY$9:$BY$508,"&lt;"&amp;$BY230)+1))</f>
        <v/>
      </c>
      <c r="CA230" s="124" t="str">
        <f aca="false">IF(ISBLANK($C230),"",IF($BL230&lt;&gt;Constants!$B$4,$BL230,$BQ230-$BZ230))</f>
        <v/>
      </c>
      <c r="CB230" s="130"/>
      <c r="CC230" s="131" t="str">
        <f aca="false">IF(ISBLANK($C230),"",IF($BL230=Constants!$B$8,$AR230,""))</f>
        <v/>
      </c>
      <c r="CD230" s="131" t="str">
        <f aca="false">IF(ISBLANK($C230),"",IF($BL230&lt;&gt;Constants!$B$4,"",IF($BB230="-&gt;",2,1)))</f>
        <v/>
      </c>
      <c r="CE230" s="132" t="str">
        <f aca="false">IF(ISBLANK($C230),"",IF($BL230&lt;&gt;Constants!$B$4,"",IF($BB230="-&gt;",$BE230,$AU230)))</f>
        <v/>
      </c>
      <c r="CF230" s="132" t="str">
        <f aca="false">IF(ISBLANK($C230),"",IF($BL230&lt;&gt;Constants!$B$4,"",IF($BB230="-&gt;",$BF230,$AV230)))</f>
        <v/>
      </c>
      <c r="CG230" s="132" t="str">
        <f aca="false">IF(ISBLANK($C230),"",IF($BL230&lt;&gt;Constants!$B$4,"",IF($BB230="-&gt;",$BG230,$AW230)))</f>
        <v/>
      </c>
      <c r="CH230" s="132" t="str">
        <f aca="false">IF(ISBLANK($C230),"",IF($BL230&lt;&gt;Constants!$B$4,"",IF($BB230="-&gt;",$BH230,$AX230)))</f>
        <v/>
      </c>
      <c r="CI230" s="133" t="str">
        <f aca="false">IF(ISBLANK($C230),"",$BO230)</f>
        <v/>
      </c>
      <c r="CJ230" s="134" t="str">
        <f aca="false">IF(ISBLANK($C230),"",$BM230)</f>
        <v/>
      </c>
      <c r="CK230" s="135" t="str">
        <f aca="false">IF(ISBLANK($C230),"",$CA230)</f>
        <v/>
      </c>
      <c r="CL230" s="135" t="str">
        <f aca="false">IF(ISBLANK($C230),"",$BZ230)</f>
        <v/>
      </c>
      <c r="CM230" s="136" t="str">
        <f aca="false">IF(ISBLANK($C230),"",IF($CL230=Constants!$B$7,COUNTA($C$9:$C$508)+2,IF($CL230=Constants!$B$6,COUNTA($C$9:$C$508)+1,IF($CL230=Constants!$B$5,COUNTA($C$9:$C$508),$CL230))))</f>
        <v/>
      </c>
      <c r="CN230" s="8"/>
      <c r="CO230" s="137" t="n">
        <f aca="false">IF(OR(ISNUMBER($CL230),$CL230=Constants!$B$7,$CL230=Constants!$B$5,$CL230=Constants!$B$6),1,0)</f>
        <v>0</v>
      </c>
      <c r="CP230" s="137" t="n">
        <v>222</v>
      </c>
      <c r="CQ230" s="137" t="str">
        <f aca="false">IF(ISBLANK($C230),"",IF(ISNUMBER($CM230),$CM230+ROW($B230)/1000,""))</f>
        <v/>
      </c>
      <c r="CR230" s="137" t="str">
        <f aca="false">IF(ISNUMBER($CQ230),RANK($CQ230,$CQ$9:$CQ$508,1),"")</f>
        <v/>
      </c>
      <c r="CS230" s="137" t="str">
        <f aca="false">IF(ISBLANK($C230),"",$B230)</f>
        <v/>
      </c>
      <c r="CT230" s="137" t="str">
        <f aca="false">IF(ISBLANK($C230),"",$C230)</f>
        <v/>
      </c>
      <c r="CU230" s="137" t="str">
        <f aca="false">IF(ISBLANK($C230),"",$D230)</f>
        <v/>
      </c>
      <c r="CV230" s="138" t="str">
        <f aca="false">$CJ230</f>
        <v/>
      </c>
      <c r="CW230" s="139" t="str">
        <f aca="false">$CI230</f>
        <v/>
      </c>
      <c r="CX230" s="137" t="str">
        <f aca="false">IF(ISBLANK($C230),"",$CL230)</f>
        <v/>
      </c>
      <c r="CY230" s="140" t="str">
        <f aca="false">IF($CP230&gt;$CO$8,"",VLOOKUP($CP230,$CR$9:$CX$508,7,FALSE()))</f>
        <v/>
      </c>
      <c r="CZ230" s="141" t="str">
        <f aca="false">IF($CP230&gt;$CO$8,"",VLOOKUP($CP230,$CR$9:$CX$508,2,FALSE()))</f>
        <v/>
      </c>
      <c r="DA230" s="141" t="str">
        <f aca="false">IF($CP230&gt;$CO$8,"",VLOOKUP($CP230,$CR$9:$CX$508,3,FALSE()))</f>
        <v/>
      </c>
      <c r="DB230" s="141" t="str">
        <f aca="false">IF($CP230&gt;$CO$8,"",VLOOKUP($CP230,$CR$9:$CX$508,4,FALSE()))</f>
        <v/>
      </c>
      <c r="DC230" s="141" t="str">
        <f aca="false">IF($CP230&gt;$CO$8,"",VLOOKUP($CP230,$CR$9:$CX$508,5,FALSE()))</f>
        <v/>
      </c>
      <c r="DD230" s="142" t="str">
        <f aca="false">IF($CP230&gt;$CO$8,"",VLOOKUP($CP230,$CR$9:$CX$508,6,FALSE()))</f>
        <v/>
      </c>
      <c r="DE230" s="70"/>
    </row>
    <row r="231" customFormat="false" ht="15.75" hidden="false" customHeight="false" outlineLevel="0" collapsed="false">
      <c r="A231" s="8"/>
      <c r="B231" s="72"/>
      <c r="C231" s="73"/>
      <c r="D231" s="155"/>
      <c r="E231" s="162"/>
      <c r="F231" s="157"/>
      <c r="G231" s="77"/>
      <c r="H231" s="77"/>
      <c r="I231" s="77"/>
      <c r="J231" s="163"/>
      <c r="K231" s="161"/>
      <c r="L231" s="161"/>
      <c r="M231" s="80"/>
      <c r="N231" s="161"/>
      <c r="O231" s="160"/>
      <c r="P231" s="161"/>
      <c r="Q231" s="161"/>
      <c r="R231" s="161"/>
      <c r="S231" s="77"/>
      <c r="T231" s="161"/>
      <c r="U231" s="160"/>
      <c r="V231" s="161"/>
      <c r="W231" s="85"/>
      <c r="X231" s="86" t="str">
        <f aca="false">IF(ISBLANK($C231),"",IF($E231=Constants!$B$2,TRUE(),IF($E231=Constants!$B$3,FALSE(),TRUE())))</f>
        <v/>
      </c>
      <c r="Y231" s="86" t="str">
        <f aca="false">IF(ISBLANK($C231),"",IF($F231=Constants!$B$2,TRUE(),IF($F231=Constants!$B$3,FALSE(),TRUE())))</f>
        <v/>
      </c>
      <c r="Z231" s="87" t="str">
        <f aca="false">IF(ISBLANK($C231),"",IF(ISNUMBER($G231),IF($G231&gt;=0,$G231,""),""))</f>
        <v/>
      </c>
      <c r="AA231" s="87" t="str">
        <f aca="false">IF(ISBLANK($C231),"",IF(ISNUMBER($H231),IF($H231&gt;=0,$H231,""),""))</f>
        <v/>
      </c>
      <c r="AB231" s="87" t="str">
        <f aca="false">IF(ISBLANK($C231),"",IF(ISNUMBER($I231),IF($I231&gt;=0,$I231,""),""))</f>
        <v/>
      </c>
      <c r="AC231" s="86" t="str">
        <f aca="false">IF(ISBLANK($C231),"",IF($J231=Constants!$B$2,TRUE(),IF($J231=Constants!$B$3,FALSE(),TRUE())))</f>
        <v/>
      </c>
      <c r="AD231" s="86" t="str">
        <f aca="false">IF(ISBLANK($C231),"",IF($K231=Constants!$B$2,TRUE(),IF($K231=Constants!$B$3,FALSE(),TRUE())))</f>
        <v/>
      </c>
      <c r="AE231" s="86" t="str">
        <f aca="false">IF(ISBLANK($C231),"",IF($L231=Constants!$B$2,TRUE(),IF($L231=Constants!$B$3,FALSE(),TRUE())))</f>
        <v/>
      </c>
      <c r="AF231" s="88" t="str">
        <f aca="false">IF(ISBLANK($C231),"",IF(ISNUMBER($M231),IF($M231&gt;=0,$M231,""),""))</f>
        <v/>
      </c>
      <c r="AG231" s="86" t="str">
        <f aca="false">IF(ISBLANK($C231),"",IF(ISBLANK($N231),0,IF(ISNUMBER($N231),IF(AND($N231&gt;=0,$N231&lt;=Constants!$B$17,$N231=INT($N231)),$N231,""),"")))</f>
        <v/>
      </c>
      <c r="AH231" s="87" t="str">
        <f aca="false">IF(ISBLANK($C231),"",IF(ISBLANK($O231),0,IF(ISNUMBER($O231),IF($O231&gt;=0,$O231,""),"")))</f>
        <v/>
      </c>
      <c r="AI231" s="86" t="str">
        <f aca="false">IF(ISBLANK($C231),"",IF($P231=Constants!$B$2,TRUE(),IF($P231=Constants!$B$3,FALSE(),TRUE())))</f>
        <v/>
      </c>
      <c r="AJ231" s="86" t="str">
        <f aca="false">IF(ISBLANK($C231),"",IF($Q231=Constants!$B$2,TRUE(),IF($Q231=Constants!$B$3,FALSE(),TRUE())))</f>
        <v/>
      </c>
      <c r="AK231" s="86" t="str">
        <f aca="false">IF(ISBLANK($C231),"",IF($R231=Constants!$B$2,TRUE(),IF($R231=Constants!$B$3,FALSE(),TRUE())))</f>
        <v/>
      </c>
      <c r="AL231" s="88" t="str">
        <f aca="false">IF(ISBLANK($C231),"",IF(ISNUMBER($S231),IF($S231&gt;=0,$S231,""),""))</f>
        <v/>
      </c>
      <c r="AM231" s="86" t="str">
        <f aca="false">IF(ISBLANK($C231),"",IF(ISBLANK($T231),0,IF(ISNUMBER($T231),IF(AND($T231&gt;=0,$T231&lt;=Constants!$B$17,$T231=INT($T231)),$T231,""),"")))</f>
        <v/>
      </c>
      <c r="AN231" s="87" t="str">
        <f aca="false">IF(ISBLANK($C231),"",IF(ISBLANK($U231),0,IF(ISNUMBER($U231),IF($U231&gt;=0,$U231,""),"")))</f>
        <v/>
      </c>
      <c r="AO231" s="86" t="str">
        <f aca="false">IF(ISBLANK($C231),"",IF($V231=Constants!$B$2,TRUE(),IF($V231=Constants!$B$3,FALSE(),FALSE())))</f>
        <v/>
      </c>
      <c r="AP231" s="86"/>
      <c r="AQ231" s="85" t="str">
        <f aca="false">IF(ISBLANK($C231),"",AND($Y231,OR($AS231,$BC231),OR($Z231="",$AA231="",$AB231="")))</f>
        <v/>
      </c>
      <c r="AR231" s="85" t="str">
        <f aca="false">IF(ISBLANK($C231),"",IF(OR(NOT($Y231),NOT(OR($AS231,$BC231))),"",IF(ISBLANK($D$7),$AR$5,IF($AP$9="",$AR$6,""))))</f>
        <v/>
      </c>
      <c r="AS231" s="85" t="str">
        <f aca="false">IF(ISBLANK($C231),"",COUNTA($J231:$O231)&gt;0)</f>
        <v/>
      </c>
      <c r="AT231" s="85" t="str">
        <f aca="false">IF(ISBLANK($C231),"",AND($AS231,OR(AND($AF231="",OR($AE231,NOT(ISBLANK($M231)))),$AG231="",$AH231="")))</f>
        <v/>
      </c>
      <c r="AU231" s="87" t="str">
        <f aca="false">IF($BL231&lt;&gt;Constants!$B$4,"",IF(NOT($AS231),"",ROUND((Constants!$B$12-$AB231)+(Constants!$B$13-$Z231)+(Constants!$B$14-$AA231),1)))</f>
        <v/>
      </c>
      <c r="AV231" s="90" t="str">
        <f aca="false">IF($BL231&lt;&gt;Constants!$B$4,"",IF(NOT($AS231),"",IF(NOT($AE231),0,Constants!$B$15*(INT(ROUND(MIN($AF231,$AP$9),6))-INT(ROUND(MAX(0,MIN($AF231,2*$AP$9)-$AP$9),6))))))</f>
        <v/>
      </c>
      <c r="AW231" s="90" t="str">
        <f aca="false">IF($BL231&lt;&gt;Constants!$B$4,"",IF(NOT($AS231),"",Constants!$B$16*$AG231))</f>
        <v/>
      </c>
      <c r="AX231" s="90" t="str">
        <f aca="false">IF($BL231&lt;&gt;Constants!$B$4,"",IF(NOT($AS231),"",Constants!$B$18*INT(ROUND($AH231,6))))</f>
        <v/>
      </c>
      <c r="AY231" s="85" t="str">
        <f aca="false">IF($BL231&lt;&gt;Constants!$B$4,"",IF(NOT($AS231),"",IF(NOT($X231),Constants!$B$11,IF(OR(NOT($AC231),NOT($AD231),ROUND($AB231,1)&gt;Constants!$B$12,ROUND($Z231,1)&gt;Constants!$B$13,ROUND($AA231,1)&gt;Constants!$B$14),Constants!$B$10,Constants!$B$9))))</f>
        <v/>
      </c>
      <c r="AZ231" s="91" t="str">
        <f aca="false">IF($BL231&lt;&gt;Constants!$B$4,"",IF(NOT($AS231),"",ROUND($AU231+$AV231+$AW231+$AX231,1)))</f>
        <v/>
      </c>
      <c r="BA231" s="92" t="str">
        <f aca="false">IF($BL231&lt;&gt;Constants!$B$4,"",IF(NOT($AS231),"",IF(ISNUMBER($AF231),$AF231,0)))</f>
        <v/>
      </c>
      <c r="BB231" s="86" t="str">
        <f aca="false">IF($BL231&lt;&gt;Constants!$B$4,"",IF(NOT($BC231),"&lt;-",IF(NOT($AS231),"-&gt;",IF(OR($BI231&lt;$AY231,AND($BI231=$AY231,OR($BJ231&gt;$AZ231,AND($BJ231=$AZ231,OR($BH231&gt;$AX231,AND($BH231=$AX231,OR($BE231&gt;$AU231,AND($BE231=$AU231,OR($BF231&gt;$AV231,AND($BF231=$AV231,$BK231&gt;$BA231)))))))))),"-&gt;","&lt;-"))))</f>
        <v/>
      </c>
      <c r="BC231" s="85" t="str">
        <f aca="false">IF(ISBLANK($C231),"",COUNTA($P231:$U231)&gt;0)</f>
        <v/>
      </c>
      <c r="BD231" s="85" t="str">
        <f aca="false">IF(ISBLANK($C231),"",AND($BC231,OR(AND($AL231="",OR($AK231,NOT(ISBLANK($S231)))),$AM231="",$AN231="")))</f>
        <v/>
      </c>
      <c r="BE231" s="87" t="str">
        <f aca="false">IF($BL231&lt;&gt;Constants!$B$4,"",IF(NOT($BC231),"",ROUND((Constants!$B$12-$AB231)+(Constants!$B$13-$Z231)+(Constants!$B$14-$AA231),1)))</f>
        <v/>
      </c>
      <c r="BF231" s="90" t="str">
        <f aca="false">IF($BL231&lt;&gt;Constants!$B$4,"",IF(NOT($BC231),"",IF(NOT($AK231),0,Constants!$B$15*(INT(ROUND(MIN($AL231,$AP$9),6))-INT(ROUND(MAX(0,MIN($AL231,2*$AP$9)-$AP$9),6))))))</f>
        <v/>
      </c>
      <c r="BG231" s="90" t="str">
        <f aca="false">IF($BL231&lt;&gt;Constants!$B$4,"",IF(NOT($BC231),"",Constants!$B$16*$AM231))</f>
        <v/>
      </c>
      <c r="BH231" s="90" t="str">
        <f aca="false">IF($BL231&lt;&gt;Constants!$B$4,"",IF(NOT($BC231),"",Constants!$B$18*INT(ROUND($AN231,6))))</f>
        <v/>
      </c>
      <c r="BI231" s="85" t="str">
        <f aca="false">IF($BL231&lt;&gt;Constants!$B$4,"",IF(NOT($BC231),"",IF(NOT($X231),Constants!$B$11,IF(OR(NOT($AI231),NOT($AJ231),ROUND($AB231,1)&gt;Constants!$B$12,ROUND($Z231,1)&gt;Constants!$B$13,ROUND($AA231,1)&gt;Constants!$B$14),Constants!$B$10,Constants!$B$9))))</f>
        <v/>
      </c>
      <c r="BJ231" s="91" t="str">
        <f aca="false">IF($BL231&lt;&gt;Constants!$B$4,"",IF(NOT($BC231),"",ROUND($BE231+$BF231+$BG231+$BH231,1)))</f>
        <v/>
      </c>
      <c r="BK231" s="92" t="str">
        <f aca="false">IF($BL231&lt;&gt;Constants!$B$4,"",IF(NOT($BC231),"",IF(ISNUMBER($AL231),$AL231,0)))</f>
        <v/>
      </c>
      <c r="BL231" s="86" t="str">
        <f aca="false">IF(ISBLANK($C231),"",IF($AO231,Constants!$B$7,IF(COUNTA($E231:$V231)=0,Constants!$B$6,IF(NOT($Y231),Constants!$B$5,IF(NOT(OR($AS231,$BC231)),Constants!$B$5,IF(OR($AT231,$BD231,$AQ231,$AR231&lt;&gt;""),Constants!$B$8,Constants!$B$4))))))</f>
        <v/>
      </c>
      <c r="BM231" s="86" t="str">
        <f aca="false">IF(ISBLANK($C231),"",IF($BL231&lt;&gt;Constants!$B$4,$BL231,IF($BB231="-&gt;",$BI231,$AY231)))</f>
        <v/>
      </c>
      <c r="BN231" s="90" t="str">
        <f aca="false">IF($BL231&lt;&gt;Constants!$B$4,"",IF($BB231="-&gt;",$BJ231,$AZ231))</f>
        <v/>
      </c>
      <c r="BO231" s="90" t="str">
        <f aca="false">IF(ISBLANK($C231),"",IF($BL231&lt;&gt;Constants!$B$4,$BL231,$BN231))</f>
        <v/>
      </c>
      <c r="BP231" s="86" t="str">
        <f aca="false">IF(ISBLANK($C231),"",IF($BL231&lt;&gt;Constants!$B$4,$BL231,RANK($BO231,$BO$9:$BO$508,0)))</f>
        <v/>
      </c>
      <c r="BQ231" s="86" t="str">
        <f aca="false">IF(ISBLANK($C231),"",IF($BL231&lt;&gt;Constants!$B$4,$BL231,COUNTIFS($BM$9:$BM$508,"&lt;"&amp;$BM231)+COUNTIFS($BM$9:$BM$508,$BM231,$BP$9:$BP$508,"&lt;"&amp;$BP231)+1))</f>
        <v/>
      </c>
      <c r="BR231" s="90" t="str">
        <f aca="false">IF($BL231&lt;&gt;Constants!$B$4,"",IF($BB231="-&gt;",$BH231,$AX231))</f>
        <v/>
      </c>
      <c r="BS231" s="86" t="str">
        <f aca="false">IF(ISBLANK($C231),"",IF($BL231&lt;&gt;Constants!$B$4,$BL231,IF(ISNUMBER($BR231),RANK($BR231,$BR$9:$BR$508,0),COUNT($BR$9:$BR$508)+1)))</f>
        <v/>
      </c>
      <c r="BT231" s="90" t="str">
        <f aca="false">IF($BL231&lt;&gt;Constants!$B$4,"",IF($BB231="-&gt;",$BE231,$AU231))</f>
        <v/>
      </c>
      <c r="BU231" s="86" t="str">
        <f aca="false">IF(ISBLANK($C231),"",IF($BL231&lt;&gt;Constants!$B$4,$BL231,IF(ISNUMBER($BT231),RANK($BT231,$BT$9:$BT$508,0),COUNT($BT$9:$BT$508)+1)))</f>
        <v/>
      </c>
      <c r="BV231" s="90" t="str">
        <f aca="false">IF($BL231&lt;&gt;Constants!$B$4,"",IF($BB231="-&gt;",$BF231,$AV231))</f>
        <v/>
      </c>
      <c r="BW231" s="86" t="str">
        <f aca="false">IF(ISBLANK($C231),"",IF($BL231&lt;&gt;Constants!$B$4,$BL231,IF(ISNUMBER($BV231),RANK($BV231,$BV$9:$BV$508,0),COUNT($BV$9:$BV$508)+1)))</f>
        <v/>
      </c>
      <c r="BX231" s="90" t="str">
        <f aca="false">IF($BL231&lt;&gt;Constants!$B$4,"",IF($BB231="-&gt;",$BK231,$BA231))</f>
        <v/>
      </c>
      <c r="BY231" s="86" t="str">
        <f aca="false">IF(ISBLANK($C231),"",IF($BL231&lt;&gt;Constants!$B$4,$BL231,IF(ISNUMBER($BX231),RANK($BX231,$BX$9:$BX$508,0),COUNT($BX$9:$BX$508)+1)))</f>
        <v/>
      </c>
      <c r="BZ231" s="86" t="str">
        <f aca="false">IF(ISBLANK($C231),"",IF($BL231&lt;&gt;Constants!$B$4,$BL231,COUNTIFS($BM$9:$BM$508,"&lt;"&amp;$BM231)+COUNTIFS($BM$9:$BM$508,$BM231,$BP$9:$BP$508,"&lt;"&amp;$BP231)+COUNTIFS($BM$9:$BM$508,$BM231,$BP$9:$BP$508,$BP231,$BS$9:$BS$508,"&lt;"&amp;$BS231)+COUNTIFS($BM$9:$BM$508,$BM231,$BP$9:$BP$508,$BP231,$BS$9:$BS$508,$BS231,$BU$9:$BU$508,"&lt;"&amp;$BU231)+COUNTIFS($BM$9:$BM$508,$BM231,$BP$9:$BP$508,$BP231,$BS$9:$BS$508,$BS231,$BU$9:$BU$508,$BU231,$BW$9:$BW$508,"&lt;"&amp;$BW231)+COUNTIFS($BM$9:$BM$508,$BM231,$BP$9:$BP$508,$BP231,$BS$9:$BS$508,$BS231,$BU$9:$BU$508,$BU231,$BW$9:$BW$508,$BW231,$BY$9:$BY$508,"&lt;"&amp;$BY231)+1))</f>
        <v/>
      </c>
      <c r="CA231" s="86" t="str">
        <f aca="false">IF(ISBLANK($C231),"",IF($BL231&lt;&gt;Constants!$B$4,$BL231,$BQ231-$BZ231))</f>
        <v/>
      </c>
      <c r="CB231" s="93"/>
      <c r="CC231" s="94" t="str">
        <f aca="false">IF(ISBLANK($C231),"",IF($BL231=Constants!$B$8,$AR231,""))</f>
        <v/>
      </c>
      <c r="CD231" s="94" t="str">
        <f aca="false">IF(ISBLANK($C231),"",IF($BL231&lt;&gt;Constants!$B$4,"",IF($BB231="-&gt;",2,1)))</f>
        <v/>
      </c>
      <c r="CE231" s="95" t="str">
        <f aca="false">IF(ISBLANK($C231),"",IF($BL231&lt;&gt;Constants!$B$4,"",IF($BB231="-&gt;",$BE231,$AU231)))</f>
        <v/>
      </c>
      <c r="CF231" s="95" t="str">
        <f aca="false">IF(ISBLANK($C231),"",IF($BL231&lt;&gt;Constants!$B$4,"",IF($BB231="-&gt;",$BF231,$AV231)))</f>
        <v/>
      </c>
      <c r="CG231" s="95" t="str">
        <f aca="false">IF(ISBLANK($C231),"",IF($BL231&lt;&gt;Constants!$B$4,"",IF($BB231="-&gt;",$BG231,$AW231)))</f>
        <v/>
      </c>
      <c r="CH231" s="95" t="str">
        <f aca="false">IF(ISBLANK($C231),"",IF($BL231&lt;&gt;Constants!$B$4,"",IF($BB231="-&gt;",$BH231,$AX231)))</f>
        <v/>
      </c>
      <c r="CI231" s="96" t="str">
        <f aca="false">IF(ISBLANK($C231),"",$BO231)</f>
        <v/>
      </c>
      <c r="CJ231" s="97" t="str">
        <f aca="false">IF(ISBLANK($C231),"",$BM231)</f>
        <v/>
      </c>
      <c r="CK231" s="98" t="str">
        <f aca="false">IF(ISBLANK($C231),"",$CA231)</f>
        <v/>
      </c>
      <c r="CL231" s="98" t="str">
        <f aca="false">IF(ISBLANK($C231),"",$BZ231)</f>
        <v/>
      </c>
      <c r="CM231" s="99" t="str">
        <f aca="false">IF(ISBLANK($C231),"",IF($CL231=Constants!$B$7,COUNTA($C$9:$C$508)+2,IF($CL231=Constants!$B$6,COUNTA($C$9:$C$508)+1,IF($CL231=Constants!$B$5,COUNTA($C$9:$C$508),$CL231))))</f>
        <v/>
      </c>
      <c r="CN231" s="8"/>
      <c r="CO231" s="100" t="n">
        <f aca="false">IF(OR(ISNUMBER($CL231),$CL231=Constants!$B$7,$CL231=Constants!$B$5,$CL231=Constants!$B$6),1,0)</f>
        <v>0</v>
      </c>
      <c r="CP231" s="100" t="n">
        <v>223</v>
      </c>
      <c r="CQ231" s="100" t="str">
        <f aca="false">IF(ISBLANK($C231),"",IF(ISNUMBER($CM231),$CM231+ROW($B231)/1000,""))</f>
        <v/>
      </c>
      <c r="CR231" s="100" t="str">
        <f aca="false">IF(ISNUMBER($CQ231),RANK($CQ231,$CQ$9:$CQ$508,1),"")</f>
        <v/>
      </c>
      <c r="CS231" s="100" t="str">
        <f aca="false">IF(ISBLANK($C231),"",$B231)</f>
        <v/>
      </c>
      <c r="CT231" s="100" t="str">
        <f aca="false">IF(ISBLANK($C231),"",$C231)</f>
        <v/>
      </c>
      <c r="CU231" s="100" t="str">
        <f aca="false">IF(ISBLANK($C231),"",$D231)</f>
        <v/>
      </c>
      <c r="CV231" s="101" t="str">
        <f aca="false">$CJ231</f>
        <v/>
      </c>
      <c r="CW231" s="102" t="str">
        <f aca="false">$CI231</f>
        <v/>
      </c>
      <c r="CX231" s="100" t="str">
        <f aca="false">IF(ISBLANK($C231),"",$CL231)</f>
        <v/>
      </c>
      <c r="CY231" s="103" t="str">
        <f aca="false">IF($CP231&gt;$CO$8,"",VLOOKUP($CP231,$CR$9:$CX$508,7,FALSE()))</f>
        <v/>
      </c>
      <c r="CZ231" s="104" t="str">
        <f aca="false">IF($CP231&gt;$CO$8,"",VLOOKUP($CP231,$CR$9:$CX$508,2,FALSE()))</f>
        <v/>
      </c>
      <c r="DA231" s="104" t="str">
        <f aca="false">IF($CP231&gt;$CO$8,"",VLOOKUP($CP231,$CR$9:$CX$508,3,FALSE()))</f>
        <v/>
      </c>
      <c r="DB231" s="104" t="str">
        <f aca="false">IF($CP231&gt;$CO$8,"",VLOOKUP($CP231,$CR$9:$CX$508,4,FALSE()))</f>
        <v/>
      </c>
      <c r="DC231" s="104" t="str">
        <f aca="false">IF($CP231&gt;$CO$8,"",VLOOKUP($CP231,$CR$9:$CX$508,5,FALSE()))</f>
        <v/>
      </c>
      <c r="DD231" s="105" t="str">
        <f aca="false">IF($CP231&gt;$CO$8,"",VLOOKUP($CP231,$CR$9:$CX$508,6,FALSE()))</f>
        <v/>
      </c>
      <c r="DE231" s="70"/>
    </row>
    <row r="232" customFormat="false" ht="15.75" hidden="false" customHeight="false" outlineLevel="0" collapsed="false">
      <c r="A232" s="8"/>
      <c r="B232" s="72"/>
      <c r="C232" s="73"/>
      <c r="D232" s="155"/>
      <c r="E232" s="162"/>
      <c r="F232" s="157"/>
      <c r="G232" s="77"/>
      <c r="H232" s="77"/>
      <c r="I232" s="77"/>
      <c r="J232" s="163"/>
      <c r="K232" s="161"/>
      <c r="L232" s="161"/>
      <c r="M232" s="80"/>
      <c r="N232" s="161"/>
      <c r="O232" s="160"/>
      <c r="P232" s="161"/>
      <c r="Q232" s="161"/>
      <c r="R232" s="161"/>
      <c r="S232" s="77"/>
      <c r="T232" s="161"/>
      <c r="U232" s="160"/>
      <c r="V232" s="161"/>
      <c r="W232" s="85"/>
      <c r="X232" s="86" t="str">
        <f aca="false">IF(ISBLANK($C232),"",IF($E232=Constants!$B$2,TRUE(),IF($E232=Constants!$B$3,FALSE(),TRUE())))</f>
        <v/>
      </c>
      <c r="Y232" s="86" t="str">
        <f aca="false">IF(ISBLANK($C232),"",IF($F232=Constants!$B$2,TRUE(),IF($F232=Constants!$B$3,FALSE(),TRUE())))</f>
        <v/>
      </c>
      <c r="Z232" s="87" t="str">
        <f aca="false">IF(ISBLANK($C232),"",IF(ISNUMBER($G232),IF($G232&gt;=0,$G232,""),""))</f>
        <v/>
      </c>
      <c r="AA232" s="87" t="str">
        <f aca="false">IF(ISBLANK($C232),"",IF(ISNUMBER($H232),IF($H232&gt;=0,$H232,""),""))</f>
        <v/>
      </c>
      <c r="AB232" s="87" t="str">
        <f aca="false">IF(ISBLANK($C232),"",IF(ISNUMBER($I232),IF($I232&gt;=0,$I232,""),""))</f>
        <v/>
      </c>
      <c r="AC232" s="86" t="str">
        <f aca="false">IF(ISBLANK($C232),"",IF($J232=Constants!$B$2,TRUE(),IF($J232=Constants!$B$3,FALSE(),TRUE())))</f>
        <v/>
      </c>
      <c r="AD232" s="86" t="str">
        <f aca="false">IF(ISBLANK($C232),"",IF($K232=Constants!$B$2,TRUE(),IF($K232=Constants!$B$3,FALSE(),TRUE())))</f>
        <v/>
      </c>
      <c r="AE232" s="86" t="str">
        <f aca="false">IF(ISBLANK($C232),"",IF($L232=Constants!$B$2,TRUE(),IF($L232=Constants!$B$3,FALSE(),TRUE())))</f>
        <v/>
      </c>
      <c r="AF232" s="88" t="str">
        <f aca="false">IF(ISBLANK($C232),"",IF(ISNUMBER($M232),IF($M232&gt;=0,$M232,""),""))</f>
        <v/>
      </c>
      <c r="AG232" s="86" t="str">
        <f aca="false">IF(ISBLANK($C232),"",IF(ISBLANK($N232),0,IF(ISNUMBER($N232),IF(AND($N232&gt;=0,$N232&lt;=Constants!$B$17,$N232=INT($N232)),$N232,""),"")))</f>
        <v/>
      </c>
      <c r="AH232" s="87" t="str">
        <f aca="false">IF(ISBLANK($C232),"",IF(ISBLANK($O232),0,IF(ISNUMBER($O232),IF($O232&gt;=0,$O232,""),"")))</f>
        <v/>
      </c>
      <c r="AI232" s="86" t="str">
        <f aca="false">IF(ISBLANK($C232),"",IF($P232=Constants!$B$2,TRUE(),IF($P232=Constants!$B$3,FALSE(),TRUE())))</f>
        <v/>
      </c>
      <c r="AJ232" s="86" t="str">
        <f aca="false">IF(ISBLANK($C232),"",IF($Q232=Constants!$B$2,TRUE(),IF($Q232=Constants!$B$3,FALSE(),TRUE())))</f>
        <v/>
      </c>
      <c r="AK232" s="86" t="str">
        <f aca="false">IF(ISBLANK($C232),"",IF($R232=Constants!$B$2,TRUE(),IF($R232=Constants!$B$3,FALSE(),TRUE())))</f>
        <v/>
      </c>
      <c r="AL232" s="88" t="str">
        <f aca="false">IF(ISBLANK($C232),"",IF(ISNUMBER($S232),IF($S232&gt;=0,$S232,""),""))</f>
        <v/>
      </c>
      <c r="AM232" s="86" t="str">
        <f aca="false">IF(ISBLANK($C232),"",IF(ISBLANK($T232),0,IF(ISNUMBER($T232),IF(AND($T232&gt;=0,$T232&lt;=Constants!$B$17,$T232=INT($T232)),$T232,""),"")))</f>
        <v/>
      </c>
      <c r="AN232" s="87" t="str">
        <f aca="false">IF(ISBLANK($C232),"",IF(ISBLANK($U232),0,IF(ISNUMBER($U232),IF($U232&gt;=0,$U232,""),"")))</f>
        <v/>
      </c>
      <c r="AO232" s="86" t="str">
        <f aca="false">IF(ISBLANK($C232),"",IF($V232=Constants!$B$2,TRUE(),IF($V232=Constants!$B$3,FALSE(),FALSE())))</f>
        <v/>
      </c>
      <c r="AP232" s="86"/>
      <c r="AQ232" s="85" t="str">
        <f aca="false">IF(ISBLANK($C232),"",AND($Y232,OR($AS232,$BC232),OR($Z232="",$AA232="",$AB232="")))</f>
        <v/>
      </c>
      <c r="AR232" s="85" t="str">
        <f aca="false">IF(ISBLANK($C232),"",IF(OR(NOT($Y232),NOT(OR($AS232,$BC232))),"",IF(ISBLANK($D$7),$AR$5,IF($AP$9="",$AR$6,""))))</f>
        <v/>
      </c>
      <c r="AS232" s="85" t="str">
        <f aca="false">IF(ISBLANK($C232),"",COUNTA($J232:$O232)&gt;0)</f>
        <v/>
      </c>
      <c r="AT232" s="85" t="str">
        <f aca="false">IF(ISBLANK($C232),"",AND($AS232,OR(AND($AF232="",OR($AE232,NOT(ISBLANK($M232)))),$AG232="",$AH232="")))</f>
        <v/>
      </c>
      <c r="AU232" s="87" t="str">
        <f aca="false">IF($BL232&lt;&gt;Constants!$B$4,"",IF(NOT($AS232),"",ROUND((Constants!$B$12-$AB232)+(Constants!$B$13-$Z232)+(Constants!$B$14-$AA232),1)))</f>
        <v/>
      </c>
      <c r="AV232" s="90" t="str">
        <f aca="false">IF($BL232&lt;&gt;Constants!$B$4,"",IF(NOT($AS232),"",IF(NOT($AE232),0,Constants!$B$15*(INT(ROUND(MIN($AF232,$AP$9),6))-INT(ROUND(MAX(0,MIN($AF232,2*$AP$9)-$AP$9),6))))))</f>
        <v/>
      </c>
      <c r="AW232" s="90" t="str">
        <f aca="false">IF($BL232&lt;&gt;Constants!$B$4,"",IF(NOT($AS232),"",Constants!$B$16*$AG232))</f>
        <v/>
      </c>
      <c r="AX232" s="90" t="str">
        <f aca="false">IF($BL232&lt;&gt;Constants!$B$4,"",IF(NOT($AS232),"",Constants!$B$18*INT(ROUND($AH232,6))))</f>
        <v/>
      </c>
      <c r="AY232" s="85" t="str">
        <f aca="false">IF($BL232&lt;&gt;Constants!$B$4,"",IF(NOT($AS232),"",IF(NOT($X232),Constants!$B$11,IF(OR(NOT($AC232),NOT($AD232),ROUND($AB232,1)&gt;Constants!$B$12,ROUND($Z232,1)&gt;Constants!$B$13,ROUND($AA232,1)&gt;Constants!$B$14),Constants!$B$10,Constants!$B$9))))</f>
        <v/>
      </c>
      <c r="AZ232" s="91" t="str">
        <f aca="false">IF($BL232&lt;&gt;Constants!$B$4,"",IF(NOT($AS232),"",ROUND($AU232+$AV232+$AW232+$AX232,1)))</f>
        <v/>
      </c>
      <c r="BA232" s="92" t="str">
        <f aca="false">IF($BL232&lt;&gt;Constants!$B$4,"",IF(NOT($AS232),"",IF(ISNUMBER($AF232),$AF232,0)))</f>
        <v/>
      </c>
      <c r="BB232" s="86" t="str">
        <f aca="false">IF($BL232&lt;&gt;Constants!$B$4,"",IF(NOT($BC232),"&lt;-",IF(NOT($AS232),"-&gt;",IF(OR($BI232&lt;$AY232,AND($BI232=$AY232,OR($BJ232&gt;$AZ232,AND($BJ232=$AZ232,OR($BH232&gt;$AX232,AND($BH232=$AX232,OR($BE232&gt;$AU232,AND($BE232=$AU232,OR($BF232&gt;$AV232,AND($BF232=$AV232,$BK232&gt;$BA232)))))))))),"-&gt;","&lt;-"))))</f>
        <v/>
      </c>
      <c r="BC232" s="85" t="str">
        <f aca="false">IF(ISBLANK($C232),"",COUNTA($P232:$U232)&gt;0)</f>
        <v/>
      </c>
      <c r="BD232" s="85" t="str">
        <f aca="false">IF(ISBLANK($C232),"",AND($BC232,OR(AND($AL232="",OR($AK232,NOT(ISBLANK($S232)))),$AM232="",$AN232="")))</f>
        <v/>
      </c>
      <c r="BE232" s="87" t="str">
        <f aca="false">IF($BL232&lt;&gt;Constants!$B$4,"",IF(NOT($BC232),"",ROUND((Constants!$B$12-$AB232)+(Constants!$B$13-$Z232)+(Constants!$B$14-$AA232),1)))</f>
        <v/>
      </c>
      <c r="BF232" s="90" t="str">
        <f aca="false">IF($BL232&lt;&gt;Constants!$B$4,"",IF(NOT($BC232),"",IF(NOT($AK232),0,Constants!$B$15*(INT(ROUND(MIN($AL232,$AP$9),6))-INT(ROUND(MAX(0,MIN($AL232,2*$AP$9)-$AP$9),6))))))</f>
        <v/>
      </c>
      <c r="BG232" s="90" t="str">
        <f aca="false">IF($BL232&lt;&gt;Constants!$B$4,"",IF(NOT($BC232),"",Constants!$B$16*$AM232))</f>
        <v/>
      </c>
      <c r="BH232" s="90" t="str">
        <f aca="false">IF($BL232&lt;&gt;Constants!$B$4,"",IF(NOT($BC232),"",Constants!$B$18*INT(ROUND($AN232,6))))</f>
        <v/>
      </c>
      <c r="BI232" s="85" t="str">
        <f aca="false">IF($BL232&lt;&gt;Constants!$B$4,"",IF(NOT($BC232),"",IF(NOT($X232),Constants!$B$11,IF(OR(NOT($AI232),NOT($AJ232),ROUND($AB232,1)&gt;Constants!$B$12,ROUND($Z232,1)&gt;Constants!$B$13,ROUND($AA232,1)&gt;Constants!$B$14),Constants!$B$10,Constants!$B$9))))</f>
        <v/>
      </c>
      <c r="BJ232" s="91" t="str">
        <f aca="false">IF($BL232&lt;&gt;Constants!$B$4,"",IF(NOT($BC232),"",ROUND($BE232+$BF232+$BG232+$BH232,1)))</f>
        <v/>
      </c>
      <c r="BK232" s="92" t="str">
        <f aca="false">IF($BL232&lt;&gt;Constants!$B$4,"",IF(NOT($BC232),"",IF(ISNUMBER($AL232),$AL232,0)))</f>
        <v/>
      </c>
      <c r="BL232" s="86" t="str">
        <f aca="false">IF(ISBLANK($C232),"",IF($AO232,Constants!$B$7,IF(COUNTA($E232:$V232)=0,Constants!$B$6,IF(NOT($Y232),Constants!$B$5,IF(NOT(OR($AS232,$BC232)),Constants!$B$5,IF(OR($AT232,$BD232,$AQ232,$AR232&lt;&gt;""),Constants!$B$8,Constants!$B$4))))))</f>
        <v/>
      </c>
      <c r="BM232" s="86" t="str">
        <f aca="false">IF(ISBLANK($C232),"",IF($BL232&lt;&gt;Constants!$B$4,$BL232,IF($BB232="-&gt;",$BI232,$AY232)))</f>
        <v/>
      </c>
      <c r="BN232" s="90" t="str">
        <f aca="false">IF($BL232&lt;&gt;Constants!$B$4,"",IF($BB232="-&gt;",$BJ232,$AZ232))</f>
        <v/>
      </c>
      <c r="BO232" s="90" t="str">
        <f aca="false">IF(ISBLANK($C232),"",IF($BL232&lt;&gt;Constants!$B$4,$BL232,$BN232))</f>
        <v/>
      </c>
      <c r="BP232" s="86" t="str">
        <f aca="false">IF(ISBLANK($C232),"",IF($BL232&lt;&gt;Constants!$B$4,$BL232,RANK($BO232,$BO$9:$BO$508,0)))</f>
        <v/>
      </c>
      <c r="BQ232" s="86" t="str">
        <f aca="false">IF(ISBLANK($C232),"",IF($BL232&lt;&gt;Constants!$B$4,$BL232,COUNTIFS($BM$9:$BM$508,"&lt;"&amp;$BM232)+COUNTIFS($BM$9:$BM$508,$BM232,$BP$9:$BP$508,"&lt;"&amp;$BP232)+1))</f>
        <v/>
      </c>
      <c r="BR232" s="90" t="str">
        <f aca="false">IF($BL232&lt;&gt;Constants!$B$4,"",IF($BB232="-&gt;",$BH232,$AX232))</f>
        <v/>
      </c>
      <c r="BS232" s="86" t="str">
        <f aca="false">IF(ISBLANK($C232),"",IF($BL232&lt;&gt;Constants!$B$4,$BL232,IF(ISNUMBER($BR232),RANK($BR232,$BR$9:$BR$508,0),COUNT($BR$9:$BR$508)+1)))</f>
        <v/>
      </c>
      <c r="BT232" s="90" t="str">
        <f aca="false">IF($BL232&lt;&gt;Constants!$B$4,"",IF($BB232="-&gt;",$BE232,$AU232))</f>
        <v/>
      </c>
      <c r="BU232" s="86" t="str">
        <f aca="false">IF(ISBLANK($C232),"",IF($BL232&lt;&gt;Constants!$B$4,$BL232,IF(ISNUMBER($BT232),RANK($BT232,$BT$9:$BT$508,0),COUNT($BT$9:$BT$508)+1)))</f>
        <v/>
      </c>
      <c r="BV232" s="90" t="str">
        <f aca="false">IF($BL232&lt;&gt;Constants!$B$4,"",IF($BB232="-&gt;",$BF232,$AV232))</f>
        <v/>
      </c>
      <c r="BW232" s="86" t="str">
        <f aca="false">IF(ISBLANK($C232),"",IF($BL232&lt;&gt;Constants!$B$4,$BL232,IF(ISNUMBER($BV232),RANK($BV232,$BV$9:$BV$508,0),COUNT($BV$9:$BV$508)+1)))</f>
        <v/>
      </c>
      <c r="BX232" s="90" t="str">
        <f aca="false">IF($BL232&lt;&gt;Constants!$B$4,"",IF($BB232="-&gt;",$BK232,$BA232))</f>
        <v/>
      </c>
      <c r="BY232" s="86" t="str">
        <f aca="false">IF(ISBLANK($C232),"",IF($BL232&lt;&gt;Constants!$B$4,$BL232,IF(ISNUMBER($BX232),RANK($BX232,$BX$9:$BX$508,0),COUNT($BX$9:$BX$508)+1)))</f>
        <v/>
      </c>
      <c r="BZ232" s="86" t="str">
        <f aca="false">IF(ISBLANK($C232),"",IF($BL232&lt;&gt;Constants!$B$4,$BL232,COUNTIFS($BM$9:$BM$508,"&lt;"&amp;$BM232)+COUNTIFS($BM$9:$BM$508,$BM232,$BP$9:$BP$508,"&lt;"&amp;$BP232)+COUNTIFS($BM$9:$BM$508,$BM232,$BP$9:$BP$508,$BP232,$BS$9:$BS$508,"&lt;"&amp;$BS232)+COUNTIFS($BM$9:$BM$508,$BM232,$BP$9:$BP$508,$BP232,$BS$9:$BS$508,$BS232,$BU$9:$BU$508,"&lt;"&amp;$BU232)+COUNTIFS($BM$9:$BM$508,$BM232,$BP$9:$BP$508,$BP232,$BS$9:$BS$508,$BS232,$BU$9:$BU$508,$BU232,$BW$9:$BW$508,"&lt;"&amp;$BW232)+COUNTIFS($BM$9:$BM$508,$BM232,$BP$9:$BP$508,$BP232,$BS$9:$BS$508,$BS232,$BU$9:$BU$508,$BU232,$BW$9:$BW$508,$BW232,$BY$9:$BY$508,"&lt;"&amp;$BY232)+1))</f>
        <v/>
      </c>
      <c r="CA232" s="86" t="str">
        <f aca="false">IF(ISBLANK($C232),"",IF($BL232&lt;&gt;Constants!$B$4,$BL232,$BQ232-$BZ232))</f>
        <v/>
      </c>
      <c r="CB232" s="93"/>
      <c r="CC232" s="94" t="str">
        <f aca="false">IF(ISBLANK($C232),"",IF($BL232=Constants!$B$8,$AR232,""))</f>
        <v/>
      </c>
      <c r="CD232" s="94" t="str">
        <f aca="false">IF(ISBLANK($C232),"",IF($BL232&lt;&gt;Constants!$B$4,"",IF($BB232="-&gt;",2,1)))</f>
        <v/>
      </c>
      <c r="CE232" s="95" t="str">
        <f aca="false">IF(ISBLANK($C232),"",IF($BL232&lt;&gt;Constants!$B$4,"",IF($BB232="-&gt;",$BE232,$AU232)))</f>
        <v/>
      </c>
      <c r="CF232" s="95" t="str">
        <f aca="false">IF(ISBLANK($C232),"",IF($BL232&lt;&gt;Constants!$B$4,"",IF($BB232="-&gt;",$BF232,$AV232)))</f>
        <v/>
      </c>
      <c r="CG232" s="95" t="str">
        <f aca="false">IF(ISBLANK($C232),"",IF($BL232&lt;&gt;Constants!$B$4,"",IF($BB232="-&gt;",$BG232,$AW232)))</f>
        <v/>
      </c>
      <c r="CH232" s="95" t="str">
        <f aca="false">IF(ISBLANK($C232),"",IF($BL232&lt;&gt;Constants!$B$4,"",IF($BB232="-&gt;",$BH232,$AX232)))</f>
        <v/>
      </c>
      <c r="CI232" s="96" t="str">
        <f aca="false">IF(ISBLANK($C232),"",$BO232)</f>
        <v/>
      </c>
      <c r="CJ232" s="97" t="str">
        <f aca="false">IF(ISBLANK($C232),"",$BM232)</f>
        <v/>
      </c>
      <c r="CK232" s="98" t="str">
        <f aca="false">IF(ISBLANK($C232),"",$CA232)</f>
        <v/>
      </c>
      <c r="CL232" s="98" t="str">
        <f aca="false">IF(ISBLANK($C232),"",$BZ232)</f>
        <v/>
      </c>
      <c r="CM232" s="99" t="str">
        <f aca="false">IF(ISBLANK($C232),"",IF($CL232=Constants!$B$7,COUNTA($C$9:$C$508)+2,IF($CL232=Constants!$B$6,COUNTA($C$9:$C$508)+1,IF($CL232=Constants!$B$5,COUNTA($C$9:$C$508),$CL232))))</f>
        <v/>
      </c>
      <c r="CN232" s="8"/>
      <c r="CO232" s="100" t="n">
        <f aca="false">IF(OR(ISNUMBER($CL232),$CL232=Constants!$B$7,$CL232=Constants!$B$5,$CL232=Constants!$B$6),1,0)</f>
        <v>0</v>
      </c>
      <c r="CP232" s="100" t="n">
        <v>224</v>
      </c>
      <c r="CQ232" s="100" t="str">
        <f aca="false">IF(ISBLANK($C232),"",IF(ISNUMBER($CM232),$CM232+ROW($B232)/1000,""))</f>
        <v/>
      </c>
      <c r="CR232" s="100" t="str">
        <f aca="false">IF(ISNUMBER($CQ232),RANK($CQ232,$CQ$9:$CQ$508,1),"")</f>
        <v/>
      </c>
      <c r="CS232" s="100" t="str">
        <f aca="false">IF(ISBLANK($C232),"",$B232)</f>
        <v/>
      </c>
      <c r="CT232" s="100" t="str">
        <f aca="false">IF(ISBLANK($C232),"",$C232)</f>
        <v/>
      </c>
      <c r="CU232" s="100" t="str">
        <f aca="false">IF(ISBLANK($C232),"",$D232)</f>
        <v/>
      </c>
      <c r="CV232" s="101" t="str">
        <f aca="false">$CJ232</f>
        <v/>
      </c>
      <c r="CW232" s="102" t="str">
        <f aca="false">$CI232</f>
        <v/>
      </c>
      <c r="CX232" s="100" t="str">
        <f aca="false">IF(ISBLANK($C232),"",$CL232)</f>
        <v/>
      </c>
      <c r="CY232" s="103" t="str">
        <f aca="false">IF($CP232&gt;$CO$8,"",VLOOKUP($CP232,$CR$9:$CX$508,7,FALSE()))</f>
        <v/>
      </c>
      <c r="CZ232" s="104" t="str">
        <f aca="false">IF($CP232&gt;$CO$8,"",VLOOKUP($CP232,$CR$9:$CX$508,2,FALSE()))</f>
        <v/>
      </c>
      <c r="DA232" s="104" t="str">
        <f aca="false">IF($CP232&gt;$CO$8,"",VLOOKUP($CP232,$CR$9:$CX$508,3,FALSE()))</f>
        <v/>
      </c>
      <c r="DB232" s="104" t="str">
        <f aca="false">IF($CP232&gt;$CO$8,"",VLOOKUP($CP232,$CR$9:$CX$508,4,FALSE()))</f>
        <v/>
      </c>
      <c r="DC232" s="104" t="str">
        <f aca="false">IF($CP232&gt;$CO$8,"",VLOOKUP($CP232,$CR$9:$CX$508,5,FALSE()))</f>
        <v/>
      </c>
      <c r="DD232" s="105" t="str">
        <f aca="false">IF($CP232&gt;$CO$8,"",VLOOKUP($CP232,$CR$9:$CX$508,6,FALSE()))</f>
        <v/>
      </c>
      <c r="DE232" s="70"/>
    </row>
    <row r="233" customFormat="false" ht="15.75" hidden="false" customHeight="false" outlineLevel="0" collapsed="false">
      <c r="A233" s="8"/>
      <c r="B233" s="72"/>
      <c r="C233" s="73"/>
      <c r="D233" s="155"/>
      <c r="E233" s="162"/>
      <c r="F233" s="157"/>
      <c r="G233" s="77"/>
      <c r="H233" s="77"/>
      <c r="I233" s="77"/>
      <c r="J233" s="163"/>
      <c r="K233" s="161"/>
      <c r="L233" s="161"/>
      <c r="M233" s="80"/>
      <c r="N233" s="161"/>
      <c r="O233" s="160"/>
      <c r="P233" s="161"/>
      <c r="Q233" s="161"/>
      <c r="R233" s="161"/>
      <c r="S233" s="77"/>
      <c r="T233" s="161"/>
      <c r="U233" s="160"/>
      <c r="V233" s="161"/>
      <c r="W233" s="85"/>
      <c r="X233" s="86" t="str">
        <f aca="false">IF(ISBLANK($C233),"",IF($E233=Constants!$B$2,TRUE(),IF($E233=Constants!$B$3,FALSE(),TRUE())))</f>
        <v/>
      </c>
      <c r="Y233" s="86" t="str">
        <f aca="false">IF(ISBLANK($C233),"",IF($F233=Constants!$B$2,TRUE(),IF($F233=Constants!$B$3,FALSE(),TRUE())))</f>
        <v/>
      </c>
      <c r="Z233" s="87" t="str">
        <f aca="false">IF(ISBLANK($C233),"",IF(ISNUMBER($G233),IF($G233&gt;=0,$G233,""),""))</f>
        <v/>
      </c>
      <c r="AA233" s="87" t="str">
        <f aca="false">IF(ISBLANK($C233),"",IF(ISNUMBER($H233),IF($H233&gt;=0,$H233,""),""))</f>
        <v/>
      </c>
      <c r="AB233" s="87" t="str">
        <f aca="false">IF(ISBLANK($C233),"",IF(ISNUMBER($I233),IF($I233&gt;=0,$I233,""),""))</f>
        <v/>
      </c>
      <c r="AC233" s="86" t="str">
        <f aca="false">IF(ISBLANK($C233),"",IF($J233=Constants!$B$2,TRUE(),IF($J233=Constants!$B$3,FALSE(),TRUE())))</f>
        <v/>
      </c>
      <c r="AD233" s="86" t="str">
        <f aca="false">IF(ISBLANK($C233),"",IF($K233=Constants!$B$2,TRUE(),IF($K233=Constants!$B$3,FALSE(),TRUE())))</f>
        <v/>
      </c>
      <c r="AE233" s="86" t="str">
        <f aca="false">IF(ISBLANK($C233),"",IF($L233=Constants!$B$2,TRUE(),IF($L233=Constants!$B$3,FALSE(),TRUE())))</f>
        <v/>
      </c>
      <c r="AF233" s="88" t="str">
        <f aca="false">IF(ISBLANK($C233),"",IF(ISNUMBER($M233),IF($M233&gt;=0,$M233,""),""))</f>
        <v/>
      </c>
      <c r="AG233" s="86" t="str">
        <f aca="false">IF(ISBLANK($C233),"",IF(ISBLANK($N233),0,IF(ISNUMBER($N233),IF(AND($N233&gt;=0,$N233&lt;=Constants!$B$17,$N233=INT($N233)),$N233,""),"")))</f>
        <v/>
      </c>
      <c r="AH233" s="87" t="str">
        <f aca="false">IF(ISBLANK($C233),"",IF(ISBLANK($O233),0,IF(ISNUMBER($O233),IF($O233&gt;=0,$O233,""),"")))</f>
        <v/>
      </c>
      <c r="AI233" s="86" t="str">
        <f aca="false">IF(ISBLANK($C233),"",IF($P233=Constants!$B$2,TRUE(),IF($P233=Constants!$B$3,FALSE(),TRUE())))</f>
        <v/>
      </c>
      <c r="AJ233" s="86" t="str">
        <f aca="false">IF(ISBLANK($C233),"",IF($Q233=Constants!$B$2,TRUE(),IF($Q233=Constants!$B$3,FALSE(),TRUE())))</f>
        <v/>
      </c>
      <c r="AK233" s="86" t="str">
        <f aca="false">IF(ISBLANK($C233),"",IF($R233=Constants!$B$2,TRUE(),IF($R233=Constants!$B$3,FALSE(),TRUE())))</f>
        <v/>
      </c>
      <c r="AL233" s="88" t="str">
        <f aca="false">IF(ISBLANK($C233),"",IF(ISNUMBER($S233),IF($S233&gt;=0,$S233,""),""))</f>
        <v/>
      </c>
      <c r="AM233" s="86" t="str">
        <f aca="false">IF(ISBLANK($C233),"",IF(ISBLANK($T233),0,IF(ISNUMBER($T233),IF(AND($T233&gt;=0,$T233&lt;=Constants!$B$17,$T233=INT($T233)),$T233,""),"")))</f>
        <v/>
      </c>
      <c r="AN233" s="87" t="str">
        <f aca="false">IF(ISBLANK($C233),"",IF(ISBLANK($U233),0,IF(ISNUMBER($U233),IF($U233&gt;=0,$U233,""),"")))</f>
        <v/>
      </c>
      <c r="AO233" s="86" t="str">
        <f aca="false">IF(ISBLANK($C233),"",IF($V233=Constants!$B$2,TRUE(),IF($V233=Constants!$B$3,FALSE(),FALSE())))</f>
        <v/>
      </c>
      <c r="AP233" s="86"/>
      <c r="AQ233" s="85" t="str">
        <f aca="false">IF(ISBLANK($C233),"",AND($Y233,OR($AS233,$BC233),OR($Z233="",$AA233="",$AB233="")))</f>
        <v/>
      </c>
      <c r="AR233" s="85" t="str">
        <f aca="false">IF(ISBLANK($C233),"",IF(OR(NOT($Y233),NOT(OR($AS233,$BC233))),"",IF(ISBLANK($D$7),$AR$5,IF($AP$9="",$AR$6,""))))</f>
        <v/>
      </c>
      <c r="AS233" s="85" t="str">
        <f aca="false">IF(ISBLANK($C233),"",COUNTA($J233:$O233)&gt;0)</f>
        <v/>
      </c>
      <c r="AT233" s="85" t="str">
        <f aca="false">IF(ISBLANK($C233),"",AND($AS233,OR(AND($AF233="",OR($AE233,NOT(ISBLANK($M233)))),$AG233="",$AH233="")))</f>
        <v/>
      </c>
      <c r="AU233" s="87" t="str">
        <f aca="false">IF($BL233&lt;&gt;Constants!$B$4,"",IF(NOT($AS233),"",ROUND((Constants!$B$12-$AB233)+(Constants!$B$13-$Z233)+(Constants!$B$14-$AA233),1)))</f>
        <v/>
      </c>
      <c r="AV233" s="90" t="str">
        <f aca="false">IF($BL233&lt;&gt;Constants!$B$4,"",IF(NOT($AS233),"",IF(NOT($AE233),0,Constants!$B$15*(INT(ROUND(MIN($AF233,$AP$9),6))-INT(ROUND(MAX(0,MIN($AF233,2*$AP$9)-$AP$9),6))))))</f>
        <v/>
      </c>
      <c r="AW233" s="90" t="str">
        <f aca="false">IF($BL233&lt;&gt;Constants!$B$4,"",IF(NOT($AS233),"",Constants!$B$16*$AG233))</f>
        <v/>
      </c>
      <c r="AX233" s="90" t="str">
        <f aca="false">IF($BL233&lt;&gt;Constants!$B$4,"",IF(NOT($AS233),"",Constants!$B$18*INT(ROUND($AH233,6))))</f>
        <v/>
      </c>
      <c r="AY233" s="85" t="str">
        <f aca="false">IF($BL233&lt;&gt;Constants!$B$4,"",IF(NOT($AS233),"",IF(NOT($X233),Constants!$B$11,IF(OR(NOT($AC233),NOT($AD233),ROUND($AB233,1)&gt;Constants!$B$12,ROUND($Z233,1)&gt;Constants!$B$13,ROUND($AA233,1)&gt;Constants!$B$14),Constants!$B$10,Constants!$B$9))))</f>
        <v/>
      </c>
      <c r="AZ233" s="91" t="str">
        <f aca="false">IF($BL233&lt;&gt;Constants!$B$4,"",IF(NOT($AS233),"",ROUND($AU233+$AV233+$AW233+$AX233,1)))</f>
        <v/>
      </c>
      <c r="BA233" s="92" t="str">
        <f aca="false">IF($BL233&lt;&gt;Constants!$B$4,"",IF(NOT($AS233),"",IF(ISNUMBER($AF233),$AF233,0)))</f>
        <v/>
      </c>
      <c r="BB233" s="86" t="str">
        <f aca="false">IF($BL233&lt;&gt;Constants!$B$4,"",IF(NOT($BC233),"&lt;-",IF(NOT($AS233),"-&gt;",IF(OR($BI233&lt;$AY233,AND($BI233=$AY233,OR($BJ233&gt;$AZ233,AND($BJ233=$AZ233,OR($BH233&gt;$AX233,AND($BH233=$AX233,OR($BE233&gt;$AU233,AND($BE233=$AU233,OR($BF233&gt;$AV233,AND($BF233=$AV233,$BK233&gt;$BA233)))))))))),"-&gt;","&lt;-"))))</f>
        <v/>
      </c>
      <c r="BC233" s="85" t="str">
        <f aca="false">IF(ISBLANK($C233),"",COUNTA($P233:$U233)&gt;0)</f>
        <v/>
      </c>
      <c r="BD233" s="85" t="str">
        <f aca="false">IF(ISBLANK($C233),"",AND($BC233,OR(AND($AL233="",OR($AK233,NOT(ISBLANK($S233)))),$AM233="",$AN233="")))</f>
        <v/>
      </c>
      <c r="BE233" s="87" t="str">
        <f aca="false">IF($BL233&lt;&gt;Constants!$B$4,"",IF(NOT($BC233),"",ROUND((Constants!$B$12-$AB233)+(Constants!$B$13-$Z233)+(Constants!$B$14-$AA233),1)))</f>
        <v/>
      </c>
      <c r="BF233" s="90" t="str">
        <f aca="false">IF($BL233&lt;&gt;Constants!$B$4,"",IF(NOT($BC233),"",IF(NOT($AK233),0,Constants!$B$15*(INT(ROUND(MIN($AL233,$AP$9),6))-INT(ROUND(MAX(0,MIN($AL233,2*$AP$9)-$AP$9),6))))))</f>
        <v/>
      </c>
      <c r="BG233" s="90" t="str">
        <f aca="false">IF($BL233&lt;&gt;Constants!$B$4,"",IF(NOT($BC233),"",Constants!$B$16*$AM233))</f>
        <v/>
      </c>
      <c r="BH233" s="90" t="str">
        <f aca="false">IF($BL233&lt;&gt;Constants!$B$4,"",IF(NOT($BC233),"",Constants!$B$18*INT(ROUND($AN233,6))))</f>
        <v/>
      </c>
      <c r="BI233" s="85" t="str">
        <f aca="false">IF($BL233&lt;&gt;Constants!$B$4,"",IF(NOT($BC233),"",IF(NOT($X233),Constants!$B$11,IF(OR(NOT($AI233),NOT($AJ233),ROUND($AB233,1)&gt;Constants!$B$12,ROUND($Z233,1)&gt;Constants!$B$13,ROUND($AA233,1)&gt;Constants!$B$14),Constants!$B$10,Constants!$B$9))))</f>
        <v/>
      </c>
      <c r="BJ233" s="91" t="str">
        <f aca="false">IF($BL233&lt;&gt;Constants!$B$4,"",IF(NOT($BC233),"",ROUND($BE233+$BF233+$BG233+$BH233,1)))</f>
        <v/>
      </c>
      <c r="BK233" s="92" t="str">
        <f aca="false">IF($BL233&lt;&gt;Constants!$B$4,"",IF(NOT($BC233),"",IF(ISNUMBER($AL233),$AL233,0)))</f>
        <v/>
      </c>
      <c r="BL233" s="86" t="str">
        <f aca="false">IF(ISBLANK($C233),"",IF($AO233,Constants!$B$7,IF(COUNTA($E233:$V233)=0,Constants!$B$6,IF(NOT($Y233),Constants!$B$5,IF(NOT(OR($AS233,$BC233)),Constants!$B$5,IF(OR($AT233,$BD233,$AQ233,$AR233&lt;&gt;""),Constants!$B$8,Constants!$B$4))))))</f>
        <v/>
      </c>
      <c r="BM233" s="86" t="str">
        <f aca="false">IF(ISBLANK($C233),"",IF($BL233&lt;&gt;Constants!$B$4,$BL233,IF($BB233="-&gt;",$BI233,$AY233)))</f>
        <v/>
      </c>
      <c r="BN233" s="90" t="str">
        <f aca="false">IF($BL233&lt;&gt;Constants!$B$4,"",IF($BB233="-&gt;",$BJ233,$AZ233))</f>
        <v/>
      </c>
      <c r="BO233" s="90" t="str">
        <f aca="false">IF(ISBLANK($C233),"",IF($BL233&lt;&gt;Constants!$B$4,$BL233,$BN233))</f>
        <v/>
      </c>
      <c r="BP233" s="86" t="str">
        <f aca="false">IF(ISBLANK($C233),"",IF($BL233&lt;&gt;Constants!$B$4,$BL233,RANK($BO233,$BO$9:$BO$508,0)))</f>
        <v/>
      </c>
      <c r="BQ233" s="86" t="str">
        <f aca="false">IF(ISBLANK($C233),"",IF($BL233&lt;&gt;Constants!$B$4,$BL233,COUNTIFS($BM$9:$BM$508,"&lt;"&amp;$BM233)+COUNTIFS($BM$9:$BM$508,$BM233,$BP$9:$BP$508,"&lt;"&amp;$BP233)+1))</f>
        <v/>
      </c>
      <c r="BR233" s="90" t="str">
        <f aca="false">IF($BL233&lt;&gt;Constants!$B$4,"",IF($BB233="-&gt;",$BH233,$AX233))</f>
        <v/>
      </c>
      <c r="BS233" s="86" t="str">
        <f aca="false">IF(ISBLANK($C233),"",IF($BL233&lt;&gt;Constants!$B$4,$BL233,IF(ISNUMBER($BR233),RANK($BR233,$BR$9:$BR$508,0),COUNT($BR$9:$BR$508)+1)))</f>
        <v/>
      </c>
      <c r="BT233" s="90" t="str">
        <f aca="false">IF($BL233&lt;&gt;Constants!$B$4,"",IF($BB233="-&gt;",$BE233,$AU233))</f>
        <v/>
      </c>
      <c r="BU233" s="86" t="str">
        <f aca="false">IF(ISBLANK($C233),"",IF($BL233&lt;&gt;Constants!$B$4,$BL233,IF(ISNUMBER($BT233),RANK($BT233,$BT$9:$BT$508,0),COUNT($BT$9:$BT$508)+1)))</f>
        <v/>
      </c>
      <c r="BV233" s="90" t="str">
        <f aca="false">IF($BL233&lt;&gt;Constants!$B$4,"",IF($BB233="-&gt;",$BF233,$AV233))</f>
        <v/>
      </c>
      <c r="BW233" s="86" t="str">
        <f aca="false">IF(ISBLANK($C233),"",IF($BL233&lt;&gt;Constants!$B$4,$BL233,IF(ISNUMBER($BV233),RANK($BV233,$BV$9:$BV$508,0),COUNT($BV$9:$BV$508)+1)))</f>
        <v/>
      </c>
      <c r="BX233" s="90" t="str">
        <f aca="false">IF($BL233&lt;&gt;Constants!$B$4,"",IF($BB233="-&gt;",$BK233,$BA233))</f>
        <v/>
      </c>
      <c r="BY233" s="86" t="str">
        <f aca="false">IF(ISBLANK($C233),"",IF($BL233&lt;&gt;Constants!$B$4,$BL233,IF(ISNUMBER($BX233),RANK($BX233,$BX$9:$BX$508,0),COUNT($BX$9:$BX$508)+1)))</f>
        <v/>
      </c>
      <c r="BZ233" s="86" t="str">
        <f aca="false">IF(ISBLANK($C233),"",IF($BL233&lt;&gt;Constants!$B$4,$BL233,COUNTIFS($BM$9:$BM$508,"&lt;"&amp;$BM233)+COUNTIFS($BM$9:$BM$508,$BM233,$BP$9:$BP$508,"&lt;"&amp;$BP233)+COUNTIFS($BM$9:$BM$508,$BM233,$BP$9:$BP$508,$BP233,$BS$9:$BS$508,"&lt;"&amp;$BS233)+COUNTIFS($BM$9:$BM$508,$BM233,$BP$9:$BP$508,$BP233,$BS$9:$BS$508,$BS233,$BU$9:$BU$508,"&lt;"&amp;$BU233)+COUNTIFS($BM$9:$BM$508,$BM233,$BP$9:$BP$508,$BP233,$BS$9:$BS$508,$BS233,$BU$9:$BU$508,$BU233,$BW$9:$BW$508,"&lt;"&amp;$BW233)+COUNTIFS($BM$9:$BM$508,$BM233,$BP$9:$BP$508,$BP233,$BS$9:$BS$508,$BS233,$BU$9:$BU$508,$BU233,$BW$9:$BW$508,$BW233,$BY$9:$BY$508,"&lt;"&amp;$BY233)+1))</f>
        <v/>
      </c>
      <c r="CA233" s="86" t="str">
        <f aca="false">IF(ISBLANK($C233),"",IF($BL233&lt;&gt;Constants!$B$4,$BL233,$BQ233-$BZ233))</f>
        <v/>
      </c>
      <c r="CB233" s="93"/>
      <c r="CC233" s="94" t="str">
        <f aca="false">IF(ISBLANK($C233),"",IF($BL233=Constants!$B$8,$AR233,""))</f>
        <v/>
      </c>
      <c r="CD233" s="94" t="str">
        <f aca="false">IF(ISBLANK($C233),"",IF($BL233&lt;&gt;Constants!$B$4,"",IF($BB233="-&gt;",2,1)))</f>
        <v/>
      </c>
      <c r="CE233" s="95" t="str">
        <f aca="false">IF(ISBLANK($C233),"",IF($BL233&lt;&gt;Constants!$B$4,"",IF($BB233="-&gt;",$BE233,$AU233)))</f>
        <v/>
      </c>
      <c r="CF233" s="95" t="str">
        <f aca="false">IF(ISBLANK($C233),"",IF($BL233&lt;&gt;Constants!$B$4,"",IF($BB233="-&gt;",$BF233,$AV233)))</f>
        <v/>
      </c>
      <c r="CG233" s="95" t="str">
        <f aca="false">IF(ISBLANK($C233),"",IF($BL233&lt;&gt;Constants!$B$4,"",IF($BB233="-&gt;",$BG233,$AW233)))</f>
        <v/>
      </c>
      <c r="CH233" s="95" t="str">
        <f aca="false">IF(ISBLANK($C233),"",IF($BL233&lt;&gt;Constants!$B$4,"",IF($BB233="-&gt;",$BH233,$AX233)))</f>
        <v/>
      </c>
      <c r="CI233" s="96" t="str">
        <f aca="false">IF(ISBLANK($C233),"",$BO233)</f>
        <v/>
      </c>
      <c r="CJ233" s="97" t="str">
        <f aca="false">IF(ISBLANK($C233),"",$BM233)</f>
        <v/>
      </c>
      <c r="CK233" s="98" t="str">
        <f aca="false">IF(ISBLANK($C233),"",$CA233)</f>
        <v/>
      </c>
      <c r="CL233" s="98" t="str">
        <f aca="false">IF(ISBLANK($C233),"",$BZ233)</f>
        <v/>
      </c>
      <c r="CM233" s="99" t="str">
        <f aca="false">IF(ISBLANK($C233),"",IF($CL233=Constants!$B$7,COUNTA($C$9:$C$508)+2,IF($CL233=Constants!$B$6,COUNTA($C$9:$C$508)+1,IF($CL233=Constants!$B$5,COUNTA($C$9:$C$508),$CL233))))</f>
        <v/>
      </c>
      <c r="CN233" s="8"/>
      <c r="CO233" s="100" t="n">
        <f aca="false">IF(OR(ISNUMBER($CL233),$CL233=Constants!$B$7,$CL233=Constants!$B$5,$CL233=Constants!$B$6),1,0)</f>
        <v>0</v>
      </c>
      <c r="CP233" s="100" t="n">
        <v>225</v>
      </c>
      <c r="CQ233" s="100" t="str">
        <f aca="false">IF(ISBLANK($C233),"",IF(ISNUMBER($CM233),$CM233+ROW($B233)/1000,""))</f>
        <v/>
      </c>
      <c r="CR233" s="100" t="str">
        <f aca="false">IF(ISNUMBER($CQ233),RANK($CQ233,$CQ$9:$CQ$508,1),"")</f>
        <v/>
      </c>
      <c r="CS233" s="100" t="str">
        <f aca="false">IF(ISBLANK($C233),"",$B233)</f>
        <v/>
      </c>
      <c r="CT233" s="100" t="str">
        <f aca="false">IF(ISBLANK($C233),"",$C233)</f>
        <v/>
      </c>
      <c r="CU233" s="100" t="str">
        <f aca="false">IF(ISBLANK($C233),"",$D233)</f>
        <v/>
      </c>
      <c r="CV233" s="101" t="str">
        <f aca="false">$CJ233</f>
        <v/>
      </c>
      <c r="CW233" s="102" t="str">
        <f aca="false">$CI233</f>
        <v/>
      </c>
      <c r="CX233" s="100" t="str">
        <f aca="false">IF(ISBLANK($C233),"",$CL233)</f>
        <v/>
      </c>
      <c r="CY233" s="103" t="str">
        <f aca="false">IF($CP233&gt;$CO$8,"",VLOOKUP($CP233,$CR$9:$CX$508,7,FALSE()))</f>
        <v/>
      </c>
      <c r="CZ233" s="104" t="str">
        <f aca="false">IF($CP233&gt;$CO$8,"",VLOOKUP($CP233,$CR$9:$CX$508,2,FALSE()))</f>
        <v/>
      </c>
      <c r="DA233" s="104" t="str">
        <f aca="false">IF($CP233&gt;$CO$8,"",VLOOKUP($CP233,$CR$9:$CX$508,3,FALSE()))</f>
        <v/>
      </c>
      <c r="DB233" s="104" t="str">
        <f aca="false">IF($CP233&gt;$CO$8,"",VLOOKUP($CP233,$CR$9:$CX$508,4,FALSE()))</f>
        <v/>
      </c>
      <c r="DC233" s="104" t="str">
        <f aca="false">IF($CP233&gt;$CO$8,"",VLOOKUP($CP233,$CR$9:$CX$508,5,FALSE()))</f>
        <v/>
      </c>
      <c r="DD233" s="105" t="str">
        <f aca="false">IF($CP233&gt;$CO$8,"",VLOOKUP($CP233,$CR$9:$CX$508,6,FALSE()))</f>
        <v/>
      </c>
      <c r="DE233" s="70"/>
    </row>
    <row r="234" customFormat="false" ht="15.75" hidden="false" customHeight="false" outlineLevel="0" collapsed="false">
      <c r="A234" s="8"/>
      <c r="B234" s="146"/>
      <c r="C234" s="147"/>
      <c r="D234" s="148"/>
      <c r="E234" s="164"/>
      <c r="F234" s="150"/>
      <c r="G234" s="115"/>
      <c r="H234" s="115"/>
      <c r="I234" s="115"/>
      <c r="J234" s="165"/>
      <c r="K234" s="154"/>
      <c r="L234" s="154"/>
      <c r="M234" s="118"/>
      <c r="N234" s="154"/>
      <c r="O234" s="153"/>
      <c r="P234" s="154"/>
      <c r="Q234" s="154"/>
      <c r="R234" s="154"/>
      <c r="S234" s="115"/>
      <c r="T234" s="154"/>
      <c r="U234" s="153"/>
      <c r="V234" s="154"/>
      <c r="W234" s="123"/>
      <c r="X234" s="124" t="str">
        <f aca="false">IF(ISBLANK($C234),"",IF($E234=Constants!$B$2,TRUE(),IF($E234=Constants!$B$3,FALSE(),TRUE())))</f>
        <v/>
      </c>
      <c r="Y234" s="124" t="str">
        <f aca="false">IF(ISBLANK($C234),"",IF($F234=Constants!$B$2,TRUE(),IF($F234=Constants!$B$3,FALSE(),TRUE())))</f>
        <v/>
      </c>
      <c r="Z234" s="125" t="str">
        <f aca="false">IF(ISBLANK($C234),"",IF(ISNUMBER($G234),IF($G234&gt;=0,$G234,""),""))</f>
        <v/>
      </c>
      <c r="AA234" s="125" t="str">
        <f aca="false">IF(ISBLANK($C234),"",IF(ISNUMBER($H234),IF($H234&gt;=0,$H234,""),""))</f>
        <v/>
      </c>
      <c r="AB234" s="125" t="str">
        <f aca="false">IF(ISBLANK($C234),"",IF(ISNUMBER($I234),IF($I234&gt;=0,$I234,""),""))</f>
        <v/>
      </c>
      <c r="AC234" s="124" t="str">
        <f aca="false">IF(ISBLANK($C234),"",IF($J234=Constants!$B$2,TRUE(),IF($J234=Constants!$B$3,FALSE(),TRUE())))</f>
        <v/>
      </c>
      <c r="AD234" s="124" t="str">
        <f aca="false">IF(ISBLANK($C234),"",IF($K234=Constants!$B$2,TRUE(),IF($K234=Constants!$B$3,FALSE(),TRUE())))</f>
        <v/>
      </c>
      <c r="AE234" s="124" t="str">
        <f aca="false">IF(ISBLANK($C234),"",IF($L234=Constants!$B$2,TRUE(),IF($L234=Constants!$B$3,FALSE(),TRUE())))</f>
        <v/>
      </c>
      <c r="AF234" s="126" t="str">
        <f aca="false">IF(ISBLANK($C234),"",IF(ISNUMBER($M234),IF($M234&gt;=0,$M234,""),""))</f>
        <v/>
      </c>
      <c r="AG234" s="124" t="str">
        <f aca="false">IF(ISBLANK($C234),"",IF(ISBLANK($N234),0,IF(ISNUMBER($N234),IF(AND($N234&gt;=0,$N234&lt;=Constants!$B$17,$N234=INT($N234)),$N234,""),"")))</f>
        <v/>
      </c>
      <c r="AH234" s="125" t="str">
        <f aca="false">IF(ISBLANK($C234),"",IF(ISBLANK($O234),0,IF(ISNUMBER($O234),IF($O234&gt;=0,$O234,""),"")))</f>
        <v/>
      </c>
      <c r="AI234" s="124" t="str">
        <f aca="false">IF(ISBLANK($C234),"",IF($P234=Constants!$B$2,TRUE(),IF($P234=Constants!$B$3,FALSE(),TRUE())))</f>
        <v/>
      </c>
      <c r="AJ234" s="124" t="str">
        <f aca="false">IF(ISBLANK($C234),"",IF($Q234=Constants!$B$2,TRUE(),IF($Q234=Constants!$B$3,FALSE(),TRUE())))</f>
        <v/>
      </c>
      <c r="AK234" s="124" t="str">
        <f aca="false">IF(ISBLANK($C234),"",IF($R234=Constants!$B$2,TRUE(),IF($R234=Constants!$B$3,FALSE(),TRUE())))</f>
        <v/>
      </c>
      <c r="AL234" s="126" t="str">
        <f aca="false">IF(ISBLANK($C234),"",IF(ISNUMBER($S234),IF($S234&gt;=0,$S234,""),""))</f>
        <v/>
      </c>
      <c r="AM234" s="124" t="str">
        <f aca="false">IF(ISBLANK($C234),"",IF(ISBLANK($T234),0,IF(ISNUMBER($T234),IF(AND($T234&gt;=0,$T234&lt;=Constants!$B$17,$T234=INT($T234)),$T234,""),"")))</f>
        <v/>
      </c>
      <c r="AN234" s="125" t="str">
        <f aca="false">IF(ISBLANK($C234),"",IF(ISBLANK($U234),0,IF(ISNUMBER($U234),IF($U234&gt;=0,$U234,""),"")))</f>
        <v/>
      </c>
      <c r="AO234" s="124" t="str">
        <f aca="false">IF(ISBLANK($C234),"",IF($V234=Constants!$B$2,TRUE(),IF($V234=Constants!$B$3,FALSE(),FALSE())))</f>
        <v/>
      </c>
      <c r="AP234" s="124"/>
      <c r="AQ234" s="123" t="str">
        <f aca="false">IF(ISBLANK($C234),"",AND($Y234,OR($AS234,$BC234),OR($Z234="",$AA234="",$AB234="")))</f>
        <v/>
      </c>
      <c r="AR234" s="123" t="str">
        <f aca="false">IF(ISBLANK($C234),"",IF(OR(NOT($Y234),NOT(OR($AS234,$BC234))),"",IF(ISBLANK($D$7),$AR$5,IF($AP$9="",$AR$6,""))))</f>
        <v/>
      </c>
      <c r="AS234" s="123" t="str">
        <f aca="false">IF(ISBLANK($C234),"",COUNTA($J234:$O234)&gt;0)</f>
        <v/>
      </c>
      <c r="AT234" s="123" t="str">
        <f aca="false">IF(ISBLANK($C234),"",AND($AS234,OR(AND($AF234="",OR($AE234,NOT(ISBLANK($M234)))),$AG234="",$AH234="")))</f>
        <v/>
      </c>
      <c r="AU234" s="125" t="str">
        <f aca="false">IF($BL234&lt;&gt;Constants!$B$4,"",IF(NOT($AS234),"",ROUND((Constants!$B$12-$AB234)+(Constants!$B$13-$Z234)+(Constants!$B$14-$AA234),1)))</f>
        <v/>
      </c>
      <c r="AV234" s="127" t="str">
        <f aca="false">IF($BL234&lt;&gt;Constants!$B$4,"",IF(NOT($AS234),"",IF(NOT($AE234),0,Constants!$B$15*(INT(ROUND(MIN($AF234,$AP$9),6))-INT(ROUND(MAX(0,MIN($AF234,2*$AP$9)-$AP$9),6))))))</f>
        <v/>
      </c>
      <c r="AW234" s="127" t="str">
        <f aca="false">IF($BL234&lt;&gt;Constants!$B$4,"",IF(NOT($AS234),"",Constants!$B$16*$AG234))</f>
        <v/>
      </c>
      <c r="AX234" s="127" t="str">
        <f aca="false">IF($BL234&lt;&gt;Constants!$B$4,"",IF(NOT($AS234),"",Constants!$B$18*INT(ROUND($AH234,6))))</f>
        <v/>
      </c>
      <c r="AY234" s="123" t="str">
        <f aca="false">IF($BL234&lt;&gt;Constants!$B$4,"",IF(NOT($AS234),"",IF(NOT($X234),Constants!$B$11,IF(OR(NOT($AC234),NOT($AD234),ROUND($AB234,1)&gt;Constants!$B$12,ROUND($Z234,1)&gt;Constants!$B$13,ROUND($AA234,1)&gt;Constants!$B$14),Constants!$B$10,Constants!$B$9))))</f>
        <v/>
      </c>
      <c r="AZ234" s="128" t="str">
        <f aca="false">IF($BL234&lt;&gt;Constants!$B$4,"",IF(NOT($AS234),"",ROUND($AU234+$AV234+$AW234+$AX234,1)))</f>
        <v/>
      </c>
      <c r="BA234" s="129" t="str">
        <f aca="false">IF($BL234&lt;&gt;Constants!$B$4,"",IF(NOT($AS234),"",IF(ISNUMBER($AF234),$AF234,0)))</f>
        <v/>
      </c>
      <c r="BB234" s="124" t="str">
        <f aca="false">IF($BL234&lt;&gt;Constants!$B$4,"",IF(NOT($BC234),"&lt;-",IF(NOT($AS234),"-&gt;",IF(OR($BI234&lt;$AY234,AND($BI234=$AY234,OR($BJ234&gt;$AZ234,AND($BJ234=$AZ234,OR($BH234&gt;$AX234,AND($BH234=$AX234,OR($BE234&gt;$AU234,AND($BE234=$AU234,OR($BF234&gt;$AV234,AND($BF234=$AV234,$BK234&gt;$BA234)))))))))),"-&gt;","&lt;-"))))</f>
        <v/>
      </c>
      <c r="BC234" s="123" t="str">
        <f aca="false">IF(ISBLANK($C234),"",COUNTA($P234:$U234)&gt;0)</f>
        <v/>
      </c>
      <c r="BD234" s="123" t="str">
        <f aca="false">IF(ISBLANK($C234),"",AND($BC234,OR(AND($AL234="",OR($AK234,NOT(ISBLANK($S234)))),$AM234="",$AN234="")))</f>
        <v/>
      </c>
      <c r="BE234" s="125" t="str">
        <f aca="false">IF($BL234&lt;&gt;Constants!$B$4,"",IF(NOT($BC234),"",ROUND((Constants!$B$12-$AB234)+(Constants!$B$13-$Z234)+(Constants!$B$14-$AA234),1)))</f>
        <v/>
      </c>
      <c r="BF234" s="127" t="str">
        <f aca="false">IF($BL234&lt;&gt;Constants!$B$4,"",IF(NOT($BC234),"",IF(NOT($AK234),0,Constants!$B$15*(INT(ROUND(MIN($AL234,$AP$9),6))-INT(ROUND(MAX(0,MIN($AL234,2*$AP$9)-$AP$9),6))))))</f>
        <v/>
      </c>
      <c r="BG234" s="127" t="str">
        <f aca="false">IF($BL234&lt;&gt;Constants!$B$4,"",IF(NOT($BC234),"",Constants!$B$16*$AM234))</f>
        <v/>
      </c>
      <c r="BH234" s="127" t="str">
        <f aca="false">IF($BL234&lt;&gt;Constants!$B$4,"",IF(NOT($BC234),"",Constants!$B$18*INT(ROUND($AN234,6))))</f>
        <v/>
      </c>
      <c r="BI234" s="123" t="str">
        <f aca="false">IF($BL234&lt;&gt;Constants!$B$4,"",IF(NOT($BC234),"",IF(NOT($X234),Constants!$B$11,IF(OR(NOT($AI234),NOT($AJ234),ROUND($AB234,1)&gt;Constants!$B$12,ROUND($Z234,1)&gt;Constants!$B$13,ROUND($AA234,1)&gt;Constants!$B$14),Constants!$B$10,Constants!$B$9))))</f>
        <v/>
      </c>
      <c r="BJ234" s="128" t="str">
        <f aca="false">IF($BL234&lt;&gt;Constants!$B$4,"",IF(NOT($BC234),"",ROUND($BE234+$BF234+$BG234+$BH234,1)))</f>
        <v/>
      </c>
      <c r="BK234" s="129" t="str">
        <f aca="false">IF($BL234&lt;&gt;Constants!$B$4,"",IF(NOT($BC234),"",IF(ISNUMBER($AL234),$AL234,0)))</f>
        <v/>
      </c>
      <c r="BL234" s="124" t="str">
        <f aca="false">IF(ISBLANK($C234),"",IF($AO234,Constants!$B$7,IF(COUNTA($E234:$V234)=0,Constants!$B$6,IF(NOT($Y234),Constants!$B$5,IF(NOT(OR($AS234,$BC234)),Constants!$B$5,IF(OR($AT234,$BD234,$AQ234,$AR234&lt;&gt;""),Constants!$B$8,Constants!$B$4))))))</f>
        <v/>
      </c>
      <c r="BM234" s="124" t="str">
        <f aca="false">IF(ISBLANK($C234),"",IF($BL234&lt;&gt;Constants!$B$4,$BL234,IF($BB234="-&gt;",$BI234,$AY234)))</f>
        <v/>
      </c>
      <c r="BN234" s="127" t="str">
        <f aca="false">IF($BL234&lt;&gt;Constants!$B$4,"",IF($BB234="-&gt;",$BJ234,$AZ234))</f>
        <v/>
      </c>
      <c r="BO234" s="127" t="str">
        <f aca="false">IF(ISBLANK($C234),"",IF($BL234&lt;&gt;Constants!$B$4,$BL234,$BN234))</f>
        <v/>
      </c>
      <c r="BP234" s="124" t="str">
        <f aca="false">IF(ISBLANK($C234),"",IF($BL234&lt;&gt;Constants!$B$4,$BL234,RANK($BO234,$BO$9:$BO$508,0)))</f>
        <v/>
      </c>
      <c r="BQ234" s="124" t="str">
        <f aca="false">IF(ISBLANK($C234),"",IF($BL234&lt;&gt;Constants!$B$4,$BL234,COUNTIFS($BM$9:$BM$508,"&lt;"&amp;$BM234)+COUNTIFS($BM$9:$BM$508,$BM234,$BP$9:$BP$508,"&lt;"&amp;$BP234)+1))</f>
        <v/>
      </c>
      <c r="BR234" s="127" t="str">
        <f aca="false">IF($BL234&lt;&gt;Constants!$B$4,"",IF($BB234="-&gt;",$BH234,$AX234))</f>
        <v/>
      </c>
      <c r="BS234" s="124" t="str">
        <f aca="false">IF(ISBLANK($C234),"",IF($BL234&lt;&gt;Constants!$B$4,$BL234,IF(ISNUMBER($BR234),RANK($BR234,$BR$9:$BR$508,0),COUNT($BR$9:$BR$508)+1)))</f>
        <v/>
      </c>
      <c r="BT234" s="127" t="str">
        <f aca="false">IF($BL234&lt;&gt;Constants!$B$4,"",IF($BB234="-&gt;",$BE234,$AU234))</f>
        <v/>
      </c>
      <c r="BU234" s="124" t="str">
        <f aca="false">IF(ISBLANK($C234),"",IF($BL234&lt;&gt;Constants!$B$4,$BL234,IF(ISNUMBER($BT234),RANK($BT234,$BT$9:$BT$508,0),COUNT($BT$9:$BT$508)+1)))</f>
        <v/>
      </c>
      <c r="BV234" s="127" t="str">
        <f aca="false">IF($BL234&lt;&gt;Constants!$B$4,"",IF($BB234="-&gt;",$BF234,$AV234))</f>
        <v/>
      </c>
      <c r="BW234" s="124" t="str">
        <f aca="false">IF(ISBLANK($C234),"",IF($BL234&lt;&gt;Constants!$B$4,$BL234,IF(ISNUMBER($BV234),RANK($BV234,$BV$9:$BV$508,0),COUNT($BV$9:$BV$508)+1)))</f>
        <v/>
      </c>
      <c r="BX234" s="127" t="str">
        <f aca="false">IF($BL234&lt;&gt;Constants!$B$4,"",IF($BB234="-&gt;",$BK234,$BA234))</f>
        <v/>
      </c>
      <c r="BY234" s="124" t="str">
        <f aca="false">IF(ISBLANK($C234),"",IF($BL234&lt;&gt;Constants!$B$4,$BL234,IF(ISNUMBER($BX234),RANK($BX234,$BX$9:$BX$508,0),COUNT($BX$9:$BX$508)+1)))</f>
        <v/>
      </c>
      <c r="BZ234" s="124" t="str">
        <f aca="false">IF(ISBLANK($C234),"",IF($BL234&lt;&gt;Constants!$B$4,$BL234,COUNTIFS($BM$9:$BM$508,"&lt;"&amp;$BM234)+COUNTIFS($BM$9:$BM$508,$BM234,$BP$9:$BP$508,"&lt;"&amp;$BP234)+COUNTIFS($BM$9:$BM$508,$BM234,$BP$9:$BP$508,$BP234,$BS$9:$BS$508,"&lt;"&amp;$BS234)+COUNTIFS($BM$9:$BM$508,$BM234,$BP$9:$BP$508,$BP234,$BS$9:$BS$508,$BS234,$BU$9:$BU$508,"&lt;"&amp;$BU234)+COUNTIFS($BM$9:$BM$508,$BM234,$BP$9:$BP$508,$BP234,$BS$9:$BS$508,$BS234,$BU$9:$BU$508,$BU234,$BW$9:$BW$508,"&lt;"&amp;$BW234)+COUNTIFS($BM$9:$BM$508,$BM234,$BP$9:$BP$508,$BP234,$BS$9:$BS$508,$BS234,$BU$9:$BU$508,$BU234,$BW$9:$BW$508,$BW234,$BY$9:$BY$508,"&lt;"&amp;$BY234)+1))</f>
        <v/>
      </c>
      <c r="CA234" s="124" t="str">
        <f aca="false">IF(ISBLANK($C234),"",IF($BL234&lt;&gt;Constants!$B$4,$BL234,$BQ234-$BZ234))</f>
        <v/>
      </c>
      <c r="CB234" s="130"/>
      <c r="CC234" s="131" t="str">
        <f aca="false">IF(ISBLANK($C234),"",IF($BL234=Constants!$B$8,$AR234,""))</f>
        <v/>
      </c>
      <c r="CD234" s="131" t="str">
        <f aca="false">IF(ISBLANK($C234),"",IF($BL234&lt;&gt;Constants!$B$4,"",IF($BB234="-&gt;",2,1)))</f>
        <v/>
      </c>
      <c r="CE234" s="132" t="str">
        <f aca="false">IF(ISBLANK($C234),"",IF($BL234&lt;&gt;Constants!$B$4,"",IF($BB234="-&gt;",$BE234,$AU234)))</f>
        <v/>
      </c>
      <c r="CF234" s="132" t="str">
        <f aca="false">IF(ISBLANK($C234),"",IF($BL234&lt;&gt;Constants!$B$4,"",IF($BB234="-&gt;",$BF234,$AV234)))</f>
        <v/>
      </c>
      <c r="CG234" s="132" t="str">
        <f aca="false">IF(ISBLANK($C234),"",IF($BL234&lt;&gt;Constants!$B$4,"",IF($BB234="-&gt;",$BG234,$AW234)))</f>
        <v/>
      </c>
      <c r="CH234" s="132" t="str">
        <f aca="false">IF(ISBLANK($C234),"",IF($BL234&lt;&gt;Constants!$B$4,"",IF($BB234="-&gt;",$BH234,$AX234)))</f>
        <v/>
      </c>
      <c r="CI234" s="133" t="str">
        <f aca="false">IF(ISBLANK($C234),"",$BO234)</f>
        <v/>
      </c>
      <c r="CJ234" s="134" t="str">
        <f aca="false">IF(ISBLANK($C234),"",$BM234)</f>
        <v/>
      </c>
      <c r="CK234" s="135" t="str">
        <f aca="false">IF(ISBLANK($C234),"",$CA234)</f>
        <v/>
      </c>
      <c r="CL234" s="135" t="str">
        <f aca="false">IF(ISBLANK($C234),"",$BZ234)</f>
        <v/>
      </c>
      <c r="CM234" s="136" t="str">
        <f aca="false">IF(ISBLANK($C234),"",IF($CL234=Constants!$B$7,COUNTA($C$9:$C$508)+2,IF($CL234=Constants!$B$6,COUNTA($C$9:$C$508)+1,IF($CL234=Constants!$B$5,COUNTA($C$9:$C$508),$CL234))))</f>
        <v/>
      </c>
      <c r="CN234" s="8"/>
      <c r="CO234" s="137" t="n">
        <f aca="false">IF(OR(ISNUMBER($CL234),$CL234=Constants!$B$7,$CL234=Constants!$B$5,$CL234=Constants!$B$6),1,0)</f>
        <v>0</v>
      </c>
      <c r="CP234" s="137" t="n">
        <v>226</v>
      </c>
      <c r="CQ234" s="137" t="str">
        <f aca="false">IF(ISBLANK($C234),"",IF(ISNUMBER($CM234),$CM234+ROW($B234)/1000,""))</f>
        <v/>
      </c>
      <c r="CR234" s="137" t="str">
        <f aca="false">IF(ISNUMBER($CQ234),RANK($CQ234,$CQ$9:$CQ$508,1),"")</f>
        <v/>
      </c>
      <c r="CS234" s="137" t="str">
        <f aca="false">IF(ISBLANK($C234),"",$B234)</f>
        <v/>
      </c>
      <c r="CT234" s="137" t="str">
        <f aca="false">IF(ISBLANK($C234),"",$C234)</f>
        <v/>
      </c>
      <c r="CU234" s="137" t="str">
        <f aca="false">IF(ISBLANK($C234),"",$D234)</f>
        <v/>
      </c>
      <c r="CV234" s="138" t="str">
        <f aca="false">$CJ234</f>
        <v/>
      </c>
      <c r="CW234" s="139" t="str">
        <f aca="false">$CI234</f>
        <v/>
      </c>
      <c r="CX234" s="137" t="str">
        <f aca="false">IF(ISBLANK($C234),"",$CL234)</f>
        <v/>
      </c>
      <c r="CY234" s="140" t="str">
        <f aca="false">IF($CP234&gt;$CO$8,"",VLOOKUP($CP234,$CR$9:$CX$508,7,FALSE()))</f>
        <v/>
      </c>
      <c r="CZ234" s="141" t="str">
        <f aca="false">IF($CP234&gt;$CO$8,"",VLOOKUP($CP234,$CR$9:$CX$508,2,FALSE()))</f>
        <v/>
      </c>
      <c r="DA234" s="141" t="str">
        <f aca="false">IF($CP234&gt;$CO$8,"",VLOOKUP($CP234,$CR$9:$CX$508,3,FALSE()))</f>
        <v/>
      </c>
      <c r="DB234" s="141" t="str">
        <f aca="false">IF($CP234&gt;$CO$8,"",VLOOKUP($CP234,$CR$9:$CX$508,4,FALSE()))</f>
        <v/>
      </c>
      <c r="DC234" s="141" t="str">
        <f aca="false">IF($CP234&gt;$CO$8,"",VLOOKUP($CP234,$CR$9:$CX$508,5,FALSE()))</f>
        <v/>
      </c>
      <c r="DD234" s="142" t="str">
        <f aca="false">IF($CP234&gt;$CO$8,"",VLOOKUP($CP234,$CR$9:$CX$508,6,FALSE()))</f>
        <v/>
      </c>
      <c r="DE234" s="70"/>
    </row>
    <row r="235" customFormat="false" ht="15.75" hidden="false" customHeight="false" outlineLevel="0" collapsed="false">
      <c r="A235" s="8"/>
      <c r="B235" s="146"/>
      <c r="C235" s="147"/>
      <c r="D235" s="148"/>
      <c r="E235" s="164"/>
      <c r="F235" s="150"/>
      <c r="G235" s="115"/>
      <c r="H235" s="115"/>
      <c r="I235" s="115"/>
      <c r="J235" s="165"/>
      <c r="K235" s="154"/>
      <c r="L235" s="154"/>
      <c r="M235" s="118"/>
      <c r="N235" s="154"/>
      <c r="O235" s="153"/>
      <c r="P235" s="154"/>
      <c r="Q235" s="154"/>
      <c r="R235" s="154"/>
      <c r="S235" s="115"/>
      <c r="T235" s="154"/>
      <c r="U235" s="153"/>
      <c r="V235" s="154"/>
      <c r="W235" s="123"/>
      <c r="X235" s="124" t="str">
        <f aca="false">IF(ISBLANK($C235),"",IF($E235=Constants!$B$2,TRUE(),IF($E235=Constants!$B$3,FALSE(),TRUE())))</f>
        <v/>
      </c>
      <c r="Y235" s="124" t="str">
        <f aca="false">IF(ISBLANK($C235),"",IF($F235=Constants!$B$2,TRUE(),IF($F235=Constants!$B$3,FALSE(),TRUE())))</f>
        <v/>
      </c>
      <c r="Z235" s="125" t="str">
        <f aca="false">IF(ISBLANK($C235),"",IF(ISNUMBER($G235),IF($G235&gt;=0,$G235,""),""))</f>
        <v/>
      </c>
      <c r="AA235" s="125" t="str">
        <f aca="false">IF(ISBLANK($C235),"",IF(ISNUMBER($H235),IF($H235&gt;=0,$H235,""),""))</f>
        <v/>
      </c>
      <c r="AB235" s="125" t="str">
        <f aca="false">IF(ISBLANK($C235),"",IF(ISNUMBER($I235),IF($I235&gt;=0,$I235,""),""))</f>
        <v/>
      </c>
      <c r="AC235" s="124" t="str">
        <f aca="false">IF(ISBLANK($C235),"",IF($J235=Constants!$B$2,TRUE(),IF($J235=Constants!$B$3,FALSE(),TRUE())))</f>
        <v/>
      </c>
      <c r="AD235" s="124" t="str">
        <f aca="false">IF(ISBLANK($C235),"",IF($K235=Constants!$B$2,TRUE(),IF($K235=Constants!$B$3,FALSE(),TRUE())))</f>
        <v/>
      </c>
      <c r="AE235" s="124" t="str">
        <f aca="false">IF(ISBLANK($C235),"",IF($L235=Constants!$B$2,TRUE(),IF($L235=Constants!$B$3,FALSE(),TRUE())))</f>
        <v/>
      </c>
      <c r="AF235" s="126" t="str">
        <f aca="false">IF(ISBLANK($C235),"",IF(ISNUMBER($M235),IF($M235&gt;=0,$M235,""),""))</f>
        <v/>
      </c>
      <c r="AG235" s="124" t="str">
        <f aca="false">IF(ISBLANK($C235),"",IF(ISBLANK($N235),0,IF(ISNUMBER($N235),IF(AND($N235&gt;=0,$N235&lt;=Constants!$B$17,$N235=INT($N235)),$N235,""),"")))</f>
        <v/>
      </c>
      <c r="AH235" s="125" t="str">
        <f aca="false">IF(ISBLANK($C235),"",IF(ISBLANK($O235),0,IF(ISNUMBER($O235),IF($O235&gt;=0,$O235,""),"")))</f>
        <v/>
      </c>
      <c r="AI235" s="124" t="str">
        <f aca="false">IF(ISBLANK($C235),"",IF($P235=Constants!$B$2,TRUE(),IF($P235=Constants!$B$3,FALSE(),TRUE())))</f>
        <v/>
      </c>
      <c r="AJ235" s="124" t="str">
        <f aca="false">IF(ISBLANK($C235),"",IF($Q235=Constants!$B$2,TRUE(),IF($Q235=Constants!$B$3,FALSE(),TRUE())))</f>
        <v/>
      </c>
      <c r="AK235" s="124" t="str">
        <f aca="false">IF(ISBLANK($C235),"",IF($R235=Constants!$B$2,TRUE(),IF($R235=Constants!$B$3,FALSE(),TRUE())))</f>
        <v/>
      </c>
      <c r="AL235" s="126" t="str">
        <f aca="false">IF(ISBLANK($C235),"",IF(ISNUMBER($S235),IF($S235&gt;=0,$S235,""),""))</f>
        <v/>
      </c>
      <c r="AM235" s="124" t="str">
        <f aca="false">IF(ISBLANK($C235),"",IF(ISBLANK($T235),0,IF(ISNUMBER($T235),IF(AND($T235&gt;=0,$T235&lt;=Constants!$B$17,$T235=INT($T235)),$T235,""),"")))</f>
        <v/>
      </c>
      <c r="AN235" s="125" t="str">
        <f aca="false">IF(ISBLANK($C235),"",IF(ISBLANK($U235),0,IF(ISNUMBER($U235),IF($U235&gt;=0,$U235,""),"")))</f>
        <v/>
      </c>
      <c r="AO235" s="124" t="str">
        <f aca="false">IF(ISBLANK($C235),"",IF($V235=Constants!$B$2,TRUE(),IF($V235=Constants!$B$3,FALSE(),FALSE())))</f>
        <v/>
      </c>
      <c r="AP235" s="124"/>
      <c r="AQ235" s="123" t="str">
        <f aca="false">IF(ISBLANK($C235),"",AND($Y235,OR($AS235,$BC235),OR($Z235="",$AA235="",$AB235="")))</f>
        <v/>
      </c>
      <c r="AR235" s="123" t="str">
        <f aca="false">IF(ISBLANK($C235),"",IF(OR(NOT($Y235),NOT(OR($AS235,$BC235))),"",IF(ISBLANK($D$7),$AR$5,IF($AP$9="",$AR$6,""))))</f>
        <v/>
      </c>
      <c r="AS235" s="123" t="str">
        <f aca="false">IF(ISBLANK($C235),"",COUNTA($J235:$O235)&gt;0)</f>
        <v/>
      </c>
      <c r="AT235" s="123" t="str">
        <f aca="false">IF(ISBLANK($C235),"",AND($AS235,OR(AND($AF235="",OR($AE235,NOT(ISBLANK($M235)))),$AG235="",$AH235="")))</f>
        <v/>
      </c>
      <c r="AU235" s="125" t="str">
        <f aca="false">IF($BL235&lt;&gt;Constants!$B$4,"",IF(NOT($AS235),"",ROUND((Constants!$B$12-$AB235)+(Constants!$B$13-$Z235)+(Constants!$B$14-$AA235),1)))</f>
        <v/>
      </c>
      <c r="AV235" s="127" t="str">
        <f aca="false">IF($BL235&lt;&gt;Constants!$B$4,"",IF(NOT($AS235),"",IF(NOT($AE235),0,Constants!$B$15*(INT(ROUND(MIN($AF235,$AP$9),6))-INT(ROUND(MAX(0,MIN($AF235,2*$AP$9)-$AP$9),6))))))</f>
        <v/>
      </c>
      <c r="AW235" s="127" t="str">
        <f aca="false">IF($BL235&lt;&gt;Constants!$B$4,"",IF(NOT($AS235),"",Constants!$B$16*$AG235))</f>
        <v/>
      </c>
      <c r="AX235" s="127" t="str">
        <f aca="false">IF($BL235&lt;&gt;Constants!$B$4,"",IF(NOT($AS235),"",Constants!$B$18*INT(ROUND($AH235,6))))</f>
        <v/>
      </c>
      <c r="AY235" s="123" t="str">
        <f aca="false">IF($BL235&lt;&gt;Constants!$B$4,"",IF(NOT($AS235),"",IF(NOT($X235),Constants!$B$11,IF(OR(NOT($AC235),NOT($AD235),ROUND($AB235,1)&gt;Constants!$B$12,ROUND($Z235,1)&gt;Constants!$B$13,ROUND($AA235,1)&gt;Constants!$B$14),Constants!$B$10,Constants!$B$9))))</f>
        <v/>
      </c>
      <c r="AZ235" s="128" t="str">
        <f aca="false">IF($BL235&lt;&gt;Constants!$B$4,"",IF(NOT($AS235),"",ROUND($AU235+$AV235+$AW235+$AX235,1)))</f>
        <v/>
      </c>
      <c r="BA235" s="129" t="str">
        <f aca="false">IF($BL235&lt;&gt;Constants!$B$4,"",IF(NOT($AS235),"",IF(ISNUMBER($AF235),$AF235,0)))</f>
        <v/>
      </c>
      <c r="BB235" s="124" t="str">
        <f aca="false">IF($BL235&lt;&gt;Constants!$B$4,"",IF(NOT($BC235),"&lt;-",IF(NOT($AS235),"-&gt;",IF(OR($BI235&lt;$AY235,AND($BI235=$AY235,OR($BJ235&gt;$AZ235,AND($BJ235=$AZ235,OR($BH235&gt;$AX235,AND($BH235=$AX235,OR($BE235&gt;$AU235,AND($BE235=$AU235,OR($BF235&gt;$AV235,AND($BF235=$AV235,$BK235&gt;$BA235)))))))))),"-&gt;","&lt;-"))))</f>
        <v/>
      </c>
      <c r="BC235" s="123" t="str">
        <f aca="false">IF(ISBLANK($C235),"",COUNTA($P235:$U235)&gt;0)</f>
        <v/>
      </c>
      <c r="BD235" s="123" t="str">
        <f aca="false">IF(ISBLANK($C235),"",AND($BC235,OR(AND($AL235="",OR($AK235,NOT(ISBLANK($S235)))),$AM235="",$AN235="")))</f>
        <v/>
      </c>
      <c r="BE235" s="125" t="str">
        <f aca="false">IF($BL235&lt;&gt;Constants!$B$4,"",IF(NOT($BC235),"",ROUND((Constants!$B$12-$AB235)+(Constants!$B$13-$Z235)+(Constants!$B$14-$AA235),1)))</f>
        <v/>
      </c>
      <c r="BF235" s="127" t="str">
        <f aca="false">IF($BL235&lt;&gt;Constants!$B$4,"",IF(NOT($BC235),"",IF(NOT($AK235),0,Constants!$B$15*(INT(ROUND(MIN($AL235,$AP$9),6))-INT(ROUND(MAX(0,MIN($AL235,2*$AP$9)-$AP$9),6))))))</f>
        <v/>
      </c>
      <c r="BG235" s="127" t="str">
        <f aca="false">IF($BL235&lt;&gt;Constants!$B$4,"",IF(NOT($BC235),"",Constants!$B$16*$AM235))</f>
        <v/>
      </c>
      <c r="BH235" s="127" t="str">
        <f aca="false">IF($BL235&lt;&gt;Constants!$B$4,"",IF(NOT($BC235),"",Constants!$B$18*INT(ROUND($AN235,6))))</f>
        <v/>
      </c>
      <c r="BI235" s="123" t="str">
        <f aca="false">IF($BL235&lt;&gt;Constants!$B$4,"",IF(NOT($BC235),"",IF(NOT($X235),Constants!$B$11,IF(OR(NOT($AI235),NOT($AJ235),ROUND($AB235,1)&gt;Constants!$B$12,ROUND($Z235,1)&gt;Constants!$B$13,ROUND($AA235,1)&gt;Constants!$B$14),Constants!$B$10,Constants!$B$9))))</f>
        <v/>
      </c>
      <c r="BJ235" s="128" t="str">
        <f aca="false">IF($BL235&lt;&gt;Constants!$B$4,"",IF(NOT($BC235),"",ROUND($BE235+$BF235+$BG235+$BH235,1)))</f>
        <v/>
      </c>
      <c r="BK235" s="129" t="str">
        <f aca="false">IF($BL235&lt;&gt;Constants!$B$4,"",IF(NOT($BC235),"",IF(ISNUMBER($AL235),$AL235,0)))</f>
        <v/>
      </c>
      <c r="BL235" s="124" t="str">
        <f aca="false">IF(ISBLANK($C235),"",IF($AO235,Constants!$B$7,IF(COUNTA($E235:$V235)=0,Constants!$B$6,IF(NOT($Y235),Constants!$B$5,IF(NOT(OR($AS235,$BC235)),Constants!$B$5,IF(OR($AT235,$BD235,$AQ235,$AR235&lt;&gt;""),Constants!$B$8,Constants!$B$4))))))</f>
        <v/>
      </c>
      <c r="BM235" s="124" t="str">
        <f aca="false">IF(ISBLANK($C235),"",IF($BL235&lt;&gt;Constants!$B$4,$BL235,IF($BB235="-&gt;",$BI235,$AY235)))</f>
        <v/>
      </c>
      <c r="BN235" s="127" t="str">
        <f aca="false">IF($BL235&lt;&gt;Constants!$B$4,"",IF($BB235="-&gt;",$BJ235,$AZ235))</f>
        <v/>
      </c>
      <c r="BO235" s="127" t="str">
        <f aca="false">IF(ISBLANK($C235),"",IF($BL235&lt;&gt;Constants!$B$4,$BL235,$BN235))</f>
        <v/>
      </c>
      <c r="BP235" s="124" t="str">
        <f aca="false">IF(ISBLANK($C235),"",IF($BL235&lt;&gt;Constants!$B$4,$BL235,RANK($BO235,$BO$9:$BO$508,0)))</f>
        <v/>
      </c>
      <c r="BQ235" s="124" t="str">
        <f aca="false">IF(ISBLANK($C235),"",IF($BL235&lt;&gt;Constants!$B$4,$BL235,COUNTIFS($BM$9:$BM$508,"&lt;"&amp;$BM235)+COUNTIFS($BM$9:$BM$508,$BM235,$BP$9:$BP$508,"&lt;"&amp;$BP235)+1))</f>
        <v/>
      </c>
      <c r="BR235" s="127" t="str">
        <f aca="false">IF($BL235&lt;&gt;Constants!$B$4,"",IF($BB235="-&gt;",$BH235,$AX235))</f>
        <v/>
      </c>
      <c r="BS235" s="124" t="str">
        <f aca="false">IF(ISBLANK($C235),"",IF($BL235&lt;&gt;Constants!$B$4,$BL235,IF(ISNUMBER($BR235),RANK($BR235,$BR$9:$BR$508,0),COUNT($BR$9:$BR$508)+1)))</f>
        <v/>
      </c>
      <c r="BT235" s="127" t="str">
        <f aca="false">IF($BL235&lt;&gt;Constants!$B$4,"",IF($BB235="-&gt;",$BE235,$AU235))</f>
        <v/>
      </c>
      <c r="BU235" s="124" t="str">
        <f aca="false">IF(ISBLANK($C235),"",IF($BL235&lt;&gt;Constants!$B$4,$BL235,IF(ISNUMBER($BT235),RANK($BT235,$BT$9:$BT$508,0),COUNT($BT$9:$BT$508)+1)))</f>
        <v/>
      </c>
      <c r="BV235" s="127" t="str">
        <f aca="false">IF($BL235&lt;&gt;Constants!$B$4,"",IF($BB235="-&gt;",$BF235,$AV235))</f>
        <v/>
      </c>
      <c r="BW235" s="124" t="str">
        <f aca="false">IF(ISBLANK($C235),"",IF($BL235&lt;&gt;Constants!$B$4,$BL235,IF(ISNUMBER($BV235),RANK($BV235,$BV$9:$BV$508,0),COUNT($BV$9:$BV$508)+1)))</f>
        <v/>
      </c>
      <c r="BX235" s="127" t="str">
        <f aca="false">IF($BL235&lt;&gt;Constants!$B$4,"",IF($BB235="-&gt;",$BK235,$BA235))</f>
        <v/>
      </c>
      <c r="BY235" s="124" t="str">
        <f aca="false">IF(ISBLANK($C235),"",IF($BL235&lt;&gt;Constants!$B$4,$BL235,IF(ISNUMBER($BX235),RANK($BX235,$BX$9:$BX$508,0),COUNT($BX$9:$BX$508)+1)))</f>
        <v/>
      </c>
      <c r="BZ235" s="124" t="str">
        <f aca="false">IF(ISBLANK($C235),"",IF($BL235&lt;&gt;Constants!$B$4,$BL235,COUNTIFS($BM$9:$BM$508,"&lt;"&amp;$BM235)+COUNTIFS($BM$9:$BM$508,$BM235,$BP$9:$BP$508,"&lt;"&amp;$BP235)+COUNTIFS($BM$9:$BM$508,$BM235,$BP$9:$BP$508,$BP235,$BS$9:$BS$508,"&lt;"&amp;$BS235)+COUNTIFS($BM$9:$BM$508,$BM235,$BP$9:$BP$508,$BP235,$BS$9:$BS$508,$BS235,$BU$9:$BU$508,"&lt;"&amp;$BU235)+COUNTIFS($BM$9:$BM$508,$BM235,$BP$9:$BP$508,$BP235,$BS$9:$BS$508,$BS235,$BU$9:$BU$508,$BU235,$BW$9:$BW$508,"&lt;"&amp;$BW235)+COUNTIFS($BM$9:$BM$508,$BM235,$BP$9:$BP$508,$BP235,$BS$9:$BS$508,$BS235,$BU$9:$BU$508,$BU235,$BW$9:$BW$508,$BW235,$BY$9:$BY$508,"&lt;"&amp;$BY235)+1))</f>
        <v/>
      </c>
      <c r="CA235" s="124" t="str">
        <f aca="false">IF(ISBLANK($C235),"",IF($BL235&lt;&gt;Constants!$B$4,$BL235,$BQ235-$BZ235))</f>
        <v/>
      </c>
      <c r="CB235" s="130"/>
      <c r="CC235" s="131" t="str">
        <f aca="false">IF(ISBLANK($C235),"",IF($BL235=Constants!$B$8,$AR235,""))</f>
        <v/>
      </c>
      <c r="CD235" s="131" t="str">
        <f aca="false">IF(ISBLANK($C235),"",IF($BL235&lt;&gt;Constants!$B$4,"",IF($BB235="-&gt;",2,1)))</f>
        <v/>
      </c>
      <c r="CE235" s="132" t="str">
        <f aca="false">IF(ISBLANK($C235),"",IF($BL235&lt;&gt;Constants!$B$4,"",IF($BB235="-&gt;",$BE235,$AU235)))</f>
        <v/>
      </c>
      <c r="CF235" s="132" t="str">
        <f aca="false">IF(ISBLANK($C235),"",IF($BL235&lt;&gt;Constants!$B$4,"",IF($BB235="-&gt;",$BF235,$AV235)))</f>
        <v/>
      </c>
      <c r="CG235" s="132" t="str">
        <f aca="false">IF(ISBLANK($C235),"",IF($BL235&lt;&gt;Constants!$B$4,"",IF($BB235="-&gt;",$BG235,$AW235)))</f>
        <v/>
      </c>
      <c r="CH235" s="132" t="str">
        <f aca="false">IF(ISBLANK($C235),"",IF($BL235&lt;&gt;Constants!$B$4,"",IF($BB235="-&gt;",$BH235,$AX235)))</f>
        <v/>
      </c>
      <c r="CI235" s="133" t="str">
        <f aca="false">IF(ISBLANK($C235),"",$BO235)</f>
        <v/>
      </c>
      <c r="CJ235" s="134" t="str">
        <f aca="false">IF(ISBLANK($C235),"",$BM235)</f>
        <v/>
      </c>
      <c r="CK235" s="135" t="str">
        <f aca="false">IF(ISBLANK($C235),"",$CA235)</f>
        <v/>
      </c>
      <c r="CL235" s="135" t="str">
        <f aca="false">IF(ISBLANK($C235),"",$BZ235)</f>
        <v/>
      </c>
      <c r="CM235" s="136" t="str">
        <f aca="false">IF(ISBLANK($C235),"",IF($CL235=Constants!$B$7,COUNTA($C$9:$C$508)+2,IF($CL235=Constants!$B$6,COUNTA($C$9:$C$508)+1,IF($CL235=Constants!$B$5,COUNTA($C$9:$C$508),$CL235))))</f>
        <v/>
      </c>
      <c r="CN235" s="8"/>
      <c r="CO235" s="137" t="n">
        <f aca="false">IF(OR(ISNUMBER($CL235),$CL235=Constants!$B$7,$CL235=Constants!$B$5,$CL235=Constants!$B$6),1,0)</f>
        <v>0</v>
      </c>
      <c r="CP235" s="137" t="n">
        <v>227</v>
      </c>
      <c r="CQ235" s="137" t="str">
        <f aca="false">IF(ISBLANK($C235),"",IF(ISNUMBER($CM235),$CM235+ROW($B235)/1000,""))</f>
        <v/>
      </c>
      <c r="CR235" s="137" t="str">
        <f aca="false">IF(ISNUMBER($CQ235),RANK($CQ235,$CQ$9:$CQ$508,1),"")</f>
        <v/>
      </c>
      <c r="CS235" s="137" t="str">
        <f aca="false">IF(ISBLANK($C235),"",$B235)</f>
        <v/>
      </c>
      <c r="CT235" s="137" t="str">
        <f aca="false">IF(ISBLANK($C235),"",$C235)</f>
        <v/>
      </c>
      <c r="CU235" s="137" t="str">
        <f aca="false">IF(ISBLANK($C235),"",$D235)</f>
        <v/>
      </c>
      <c r="CV235" s="138" t="str">
        <f aca="false">$CJ235</f>
        <v/>
      </c>
      <c r="CW235" s="139" t="str">
        <f aca="false">$CI235</f>
        <v/>
      </c>
      <c r="CX235" s="137" t="str">
        <f aca="false">IF(ISBLANK($C235),"",$CL235)</f>
        <v/>
      </c>
      <c r="CY235" s="140" t="str">
        <f aca="false">IF($CP235&gt;$CO$8,"",VLOOKUP($CP235,$CR$9:$CX$508,7,FALSE()))</f>
        <v/>
      </c>
      <c r="CZ235" s="141" t="str">
        <f aca="false">IF($CP235&gt;$CO$8,"",VLOOKUP($CP235,$CR$9:$CX$508,2,FALSE()))</f>
        <v/>
      </c>
      <c r="DA235" s="141" t="str">
        <f aca="false">IF($CP235&gt;$CO$8,"",VLOOKUP($CP235,$CR$9:$CX$508,3,FALSE()))</f>
        <v/>
      </c>
      <c r="DB235" s="141" t="str">
        <f aca="false">IF($CP235&gt;$CO$8,"",VLOOKUP($CP235,$CR$9:$CX$508,4,FALSE()))</f>
        <v/>
      </c>
      <c r="DC235" s="141" t="str">
        <f aca="false">IF($CP235&gt;$CO$8,"",VLOOKUP($CP235,$CR$9:$CX$508,5,FALSE()))</f>
        <v/>
      </c>
      <c r="DD235" s="142" t="str">
        <f aca="false">IF($CP235&gt;$CO$8,"",VLOOKUP($CP235,$CR$9:$CX$508,6,FALSE()))</f>
        <v/>
      </c>
      <c r="DE235" s="70"/>
    </row>
    <row r="236" customFormat="false" ht="15.75" hidden="false" customHeight="false" outlineLevel="0" collapsed="false">
      <c r="A236" s="8"/>
      <c r="B236" s="146"/>
      <c r="C236" s="147"/>
      <c r="D236" s="148"/>
      <c r="E236" s="164"/>
      <c r="F236" s="150"/>
      <c r="G236" s="115"/>
      <c r="H236" s="115"/>
      <c r="I236" s="115"/>
      <c r="J236" s="165"/>
      <c r="K236" s="154"/>
      <c r="L236" s="154"/>
      <c r="M236" s="118"/>
      <c r="N236" s="154"/>
      <c r="O236" s="153"/>
      <c r="P236" s="154"/>
      <c r="Q236" s="154"/>
      <c r="R236" s="154"/>
      <c r="S236" s="115"/>
      <c r="T236" s="154"/>
      <c r="U236" s="153"/>
      <c r="V236" s="154"/>
      <c r="W236" s="123"/>
      <c r="X236" s="124" t="str">
        <f aca="false">IF(ISBLANK($C236),"",IF($E236=Constants!$B$2,TRUE(),IF($E236=Constants!$B$3,FALSE(),TRUE())))</f>
        <v/>
      </c>
      <c r="Y236" s="124" t="str">
        <f aca="false">IF(ISBLANK($C236),"",IF($F236=Constants!$B$2,TRUE(),IF($F236=Constants!$B$3,FALSE(),TRUE())))</f>
        <v/>
      </c>
      <c r="Z236" s="125" t="str">
        <f aca="false">IF(ISBLANK($C236),"",IF(ISNUMBER($G236),IF($G236&gt;=0,$G236,""),""))</f>
        <v/>
      </c>
      <c r="AA236" s="125" t="str">
        <f aca="false">IF(ISBLANK($C236),"",IF(ISNUMBER($H236),IF($H236&gt;=0,$H236,""),""))</f>
        <v/>
      </c>
      <c r="AB236" s="125" t="str">
        <f aca="false">IF(ISBLANK($C236),"",IF(ISNUMBER($I236),IF($I236&gt;=0,$I236,""),""))</f>
        <v/>
      </c>
      <c r="AC236" s="124" t="str">
        <f aca="false">IF(ISBLANK($C236),"",IF($J236=Constants!$B$2,TRUE(),IF($J236=Constants!$B$3,FALSE(),TRUE())))</f>
        <v/>
      </c>
      <c r="AD236" s="124" t="str">
        <f aca="false">IF(ISBLANK($C236),"",IF($K236=Constants!$B$2,TRUE(),IF($K236=Constants!$B$3,FALSE(),TRUE())))</f>
        <v/>
      </c>
      <c r="AE236" s="124" t="str">
        <f aca="false">IF(ISBLANK($C236),"",IF($L236=Constants!$B$2,TRUE(),IF($L236=Constants!$B$3,FALSE(),TRUE())))</f>
        <v/>
      </c>
      <c r="AF236" s="126" t="str">
        <f aca="false">IF(ISBLANK($C236),"",IF(ISNUMBER($M236),IF($M236&gt;=0,$M236,""),""))</f>
        <v/>
      </c>
      <c r="AG236" s="124" t="str">
        <f aca="false">IF(ISBLANK($C236),"",IF(ISBLANK($N236),0,IF(ISNUMBER($N236),IF(AND($N236&gt;=0,$N236&lt;=Constants!$B$17,$N236=INT($N236)),$N236,""),"")))</f>
        <v/>
      </c>
      <c r="AH236" s="125" t="str">
        <f aca="false">IF(ISBLANK($C236),"",IF(ISBLANK($O236),0,IF(ISNUMBER($O236),IF($O236&gt;=0,$O236,""),"")))</f>
        <v/>
      </c>
      <c r="AI236" s="124" t="str">
        <f aca="false">IF(ISBLANK($C236),"",IF($P236=Constants!$B$2,TRUE(),IF($P236=Constants!$B$3,FALSE(),TRUE())))</f>
        <v/>
      </c>
      <c r="AJ236" s="124" t="str">
        <f aca="false">IF(ISBLANK($C236),"",IF($Q236=Constants!$B$2,TRUE(),IF($Q236=Constants!$B$3,FALSE(),TRUE())))</f>
        <v/>
      </c>
      <c r="AK236" s="124" t="str">
        <f aca="false">IF(ISBLANK($C236),"",IF($R236=Constants!$B$2,TRUE(),IF($R236=Constants!$B$3,FALSE(),TRUE())))</f>
        <v/>
      </c>
      <c r="AL236" s="126" t="str">
        <f aca="false">IF(ISBLANK($C236),"",IF(ISNUMBER($S236),IF($S236&gt;=0,$S236,""),""))</f>
        <v/>
      </c>
      <c r="AM236" s="124" t="str">
        <f aca="false">IF(ISBLANK($C236),"",IF(ISBLANK($T236),0,IF(ISNUMBER($T236),IF(AND($T236&gt;=0,$T236&lt;=Constants!$B$17,$T236=INT($T236)),$T236,""),"")))</f>
        <v/>
      </c>
      <c r="AN236" s="125" t="str">
        <f aca="false">IF(ISBLANK($C236),"",IF(ISBLANK($U236),0,IF(ISNUMBER($U236),IF($U236&gt;=0,$U236,""),"")))</f>
        <v/>
      </c>
      <c r="AO236" s="124" t="str">
        <f aca="false">IF(ISBLANK($C236),"",IF($V236=Constants!$B$2,TRUE(),IF($V236=Constants!$B$3,FALSE(),FALSE())))</f>
        <v/>
      </c>
      <c r="AP236" s="124"/>
      <c r="AQ236" s="123" t="str">
        <f aca="false">IF(ISBLANK($C236),"",AND($Y236,OR($AS236,$BC236),OR($Z236="",$AA236="",$AB236="")))</f>
        <v/>
      </c>
      <c r="AR236" s="123" t="str">
        <f aca="false">IF(ISBLANK($C236),"",IF(OR(NOT($Y236),NOT(OR($AS236,$BC236))),"",IF(ISBLANK($D$7),$AR$5,IF($AP$9="",$AR$6,""))))</f>
        <v/>
      </c>
      <c r="AS236" s="123" t="str">
        <f aca="false">IF(ISBLANK($C236),"",COUNTA($J236:$O236)&gt;0)</f>
        <v/>
      </c>
      <c r="AT236" s="123" t="str">
        <f aca="false">IF(ISBLANK($C236),"",AND($AS236,OR(AND($AF236="",OR($AE236,NOT(ISBLANK($M236)))),$AG236="",$AH236="")))</f>
        <v/>
      </c>
      <c r="AU236" s="125" t="str">
        <f aca="false">IF($BL236&lt;&gt;Constants!$B$4,"",IF(NOT($AS236),"",ROUND((Constants!$B$12-$AB236)+(Constants!$B$13-$Z236)+(Constants!$B$14-$AA236),1)))</f>
        <v/>
      </c>
      <c r="AV236" s="127" t="str">
        <f aca="false">IF($BL236&lt;&gt;Constants!$B$4,"",IF(NOT($AS236),"",IF(NOT($AE236),0,Constants!$B$15*(INT(ROUND(MIN($AF236,$AP$9),6))-INT(ROUND(MAX(0,MIN($AF236,2*$AP$9)-$AP$9),6))))))</f>
        <v/>
      </c>
      <c r="AW236" s="127" t="str">
        <f aca="false">IF($BL236&lt;&gt;Constants!$B$4,"",IF(NOT($AS236),"",Constants!$B$16*$AG236))</f>
        <v/>
      </c>
      <c r="AX236" s="127" t="str">
        <f aca="false">IF($BL236&lt;&gt;Constants!$B$4,"",IF(NOT($AS236),"",Constants!$B$18*INT(ROUND($AH236,6))))</f>
        <v/>
      </c>
      <c r="AY236" s="123" t="str">
        <f aca="false">IF($BL236&lt;&gt;Constants!$B$4,"",IF(NOT($AS236),"",IF(NOT($X236),Constants!$B$11,IF(OR(NOT($AC236),NOT($AD236),ROUND($AB236,1)&gt;Constants!$B$12,ROUND($Z236,1)&gt;Constants!$B$13,ROUND($AA236,1)&gt;Constants!$B$14),Constants!$B$10,Constants!$B$9))))</f>
        <v/>
      </c>
      <c r="AZ236" s="128" t="str">
        <f aca="false">IF($BL236&lt;&gt;Constants!$B$4,"",IF(NOT($AS236),"",ROUND($AU236+$AV236+$AW236+$AX236,1)))</f>
        <v/>
      </c>
      <c r="BA236" s="129" t="str">
        <f aca="false">IF($BL236&lt;&gt;Constants!$B$4,"",IF(NOT($AS236),"",IF(ISNUMBER($AF236),$AF236,0)))</f>
        <v/>
      </c>
      <c r="BB236" s="124" t="str">
        <f aca="false">IF($BL236&lt;&gt;Constants!$B$4,"",IF(NOT($BC236),"&lt;-",IF(NOT($AS236),"-&gt;",IF(OR($BI236&lt;$AY236,AND($BI236=$AY236,OR($BJ236&gt;$AZ236,AND($BJ236=$AZ236,OR($BH236&gt;$AX236,AND($BH236=$AX236,OR($BE236&gt;$AU236,AND($BE236=$AU236,OR($BF236&gt;$AV236,AND($BF236=$AV236,$BK236&gt;$BA236)))))))))),"-&gt;","&lt;-"))))</f>
        <v/>
      </c>
      <c r="BC236" s="123" t="str">
        <f aca="false">IF(ISBLANK($C236),"",COUNTA($P236:$U236)&gt;0)</f>
        <v/>
      </c>
      <c r="BD236" s="123" t="str">
        <f aca="false">IF(ISBLANK($C236),"",AND($BC236,OR(AND($AL236="",OR($AK236,NOT(ISBLANK($S236)))),$AM236="",$AN236="")))</f>
        <v/>
      </c>
      <c r="BE236" s="125" t="str">
        <f aca="false">IF($BL236&lt;&gt;Constants!$B$4,"",IF(NOT($BC236),"",ROUND((Constants!$B$12-$AB236)+(Constants!$B$13-$Z236)+(Constants!$B$14-$AA236),1)))</f>
        <v/>
      </c>
      <c r="BF236" s="127" t="str">
        <f aca="false">IF($BL236&lt;&gt;Constants!$B$4,"",IF(NOT($BC236),"",IF(NOT($AK236),0,Constants!$B$15*(INT(ROUND(MIN($AL236,$AP$9),6))-INT(ROUND(MAX(0,MIN($AL236,2*$AP$9)-$AP$9),6))))))</f>
        <v/>
      </c>
      <c r="BG236" s="127" t="str">
        <f aca="false">IF($BL236&lt;&gt;Constants!$B$4,"",IF(NOT($BC236),"",Constants!$B$16*$AM236))</f>
        <v/>
      </c>
      <c r="BH236" s="127" t="str">
        <f aca="false">IF($BL236&lt;&gt;Constants!$B$4,"",IF(NOT($BC236),"",Constants!$B$18*INT(ROUND($AN236,6))))</f>
        <v/>
      </c>
      <c r="BI236" s="123" t="str">
        <f aca="false">IF($BL236&lt;&gt;Constants!$B$4,"",IF(NOT($BC236),"",IF(NOT($X236),Constants!$B$11,IF(OR(NOT($AI236),NOT($AJ236),ROUND($AB236,1)&gt;Constants!$B$12,ROUND($Z236,1)&gt;Constants!$B$13,ROUND($AA236,1)&gt;Constants!$B$14),Constants!$B$10,Constants!$B$9))))</f>
        <v/>
      </c>
      <c r="BJ236" s="128" t="str">
        <f aca="false">IF($BL236&lt;&gt;Constants!$B$4,"",IF(NOT($BC236),"",ROUND($BE236+$BF236+$BG236+$BH236,1)))</f>
        <v/>
      </c>
      <c r="BK236" s="129" t="str">
        <f aca="false">IF($BL236&lt;&gt;Constants!$B$4,"",IF(NOT($BC236),"",IF(ISNUMBER($AL236),$AL236,0)))</f>
        <v/>
      </c>
      <c r="BL236" s="124" t="str">
        <f aca="false">IF(ISBLANK($C236),"",IF($AO236,Constants!$B$7,IF(COUNTA($E236:$V236)=0,Constants!$B$6,IF(NOT($Y236),Constants!$B$5,IF(NOT(OR($AS236,$BC236)),Constants!$B$5,IF(OR($AT236,$BD236,$AQ236,$AR236&lt;&gt;""),Constants!$B$8,Constants!$B$4))))))</f>
        <v/>
      </c>
      <c r="BM236" s="124" t="str">
        <f aca="false">IF(ISBLANK($C236),"",IF($BL236&lt;&gt;Constants!$B$4,$BL236,IF($BB236="-&gt;",$BI236,$AY236)))</f>
        <v/>
      </c>
      <c r="BN236" s="127" t="str">
        <f aca="false">IF($BL236&lt;&gt;Constants!$B$4,"",IF($BB236="-&gt;",$BJ236,$AZ236))</f>
        <v/>
      </c>
      <c r="BO236" s="127" t="str">
        <f aca="false">IF(ISBLANK($C236),"",IF($BL236&lt;&gt;Constants!$B$4,$BL236,$BN236))</f>
        <v/>
      </c>
      <c r="BP236" s="124" t="str">
        <f aca="false">IF(ISBLANK($C236),"",IF($BL236&lt;&gt;Constants!$B$4,$BL236,RANK($BO236,$BO$9:$BO$508,0)))</f>
        <v/>
      </c>
      <c r="BQ236" s="124" t="str">
        <f aca="false">IF(ISBLANK($C236),"",IF($BL236&lt;&gt;Constants!$B$4,$BL236,COUNTIFS($BM$9:$BM$508,"&lt;"&amp;$BM236)+COUNTIFS($BM$9:$BM$508,$BM236,$BP$9:$BP$508,"&lt;"&amp;$BP236)+1))</f>
        <v/>
      </c>
      <c r="BR236" s="127" t="str">
        <f aca="false">IF($BL236&lt;&gt;Constants!$B$4,"",IF($BB236="-&gt;",$BH236,$AX236))</f>
        <v/>
      </c>
      <c r="BS236" s="124" t="str">
        <f aca="false">IF(ISBLANK($C236),"",IF($BL236&lt;&gt;Constants!$B$4,$BL236,IF(ISNUMBER($BR236),RANK($BR236,$BR$9:$BR$508,0),COUNT($BR$9:$BR$508)+1)))</f>
        <v/>
      </c>
      <c r="BT236" s="127" t="str">
        <f aca="false">IF($BL236&lt;&gt;Constants!$B$4,"",IF($BB236="-&gt;",$BE236,$AU236))</f>
        <v/>
      </c>
      <c r="BU236" s="124" t="str">
        <f aca="false">IF(ISBLANK($C236),"",IF($BL236&lt;&gt;Constants!$B$4,$BL236,IF(ISNUMBER($BT236),RANK($BT236,$BT$9:$BT$508,0),COUNT($BT$9:$BT$508)+1)))</f>
        <v/>
      </c>
      <c r="BV236" s="127" t="str">
        <f aca="false">IF($BL236&lt;&gt;Constants!$B$4,"",IF($BB236="-&gt;",$BF236,$AV236))</f>
        <v/>
      </c>
      <c r="BW236" s="124" t="str">
        <f aca="false">IF(ISBLANK($C236),"",IF($BL236&lt;&gt;Constants!$B$4,$BL236,IF(ISNUMBER($BV236),RANK($BV236,$BV$9:$BV$508,0),COUNT($BV$9:$BV$508)+1)))</f>
        <v/>
      </c>
      <c r="BX236" s="127" t="str">
        <f aca="false">IF($BL236&lt;&gt;Constants!$B$4,"",IF($BB236="-&gt;",$BK236,$BA236))</f>
        <v/>
      </c>
      <c r="BY236" s="124" t="str">
        <f aca="false">IF(ISBLANK($C236),"",IF($BL236&lt;&gt;Constants!$B$4,$BL236,IF(ISNUMBER($BX236),RANK($BX236,$BX$9:$BX$508,0),COUNT($BX$9:$BX$508)+1)))</f>
        <v/>
      </c>
      <c r="BZ236" s="124" t="str">
        <f aca="false">IF(ISBLANK($C236),"",IF($BL236&lt;&gt;Constants!$B$4,$BL236,COUNTIFS($BM$9:$BM$508,"&lt;"&amp;$BM236)+COUNTIFS($BM$9:$BM$508,$BM236,$BP$9:$BP$508,"&lt;"&amp;$BP236)+COUNTIFS($BM$9:$BM$508,$BM236,$BP$9:$BP$508,$BP236,$BS$9:$BS$508,"&lt;"&amp;$BS236)+COUNTIFS($BM$9:$BM$508,$BM236,$BP$9:$BP$508,$BP236,$BS$9:$BS$508,$BS236,$BU$9:$BU$508,"&lt;"&amp;$BU236)+COUNTIFS($BM$9:$BM$508,$BM236,$BP$9:$BP$508,$BP236,$BS$9:$BS$508,$BS236,$BU$9:$BU$508,$BU236,$BW$9:$BW$508,"&lt;"&amp;$BW236)+COUNTIFS($BM$9:$BM$508,$BM236,$BP$9:$BP$508,$BP236,$BS$9:$BS$508,$BS236,$BU$9:$BU$508,$BU236,$BW$9:$BW$508,$BW236,$BY$9:$BY$508,"&lt;"&amp;$BY236)+1))</f>
        <v/>
      </c>
      <c r="CA236" s="124" t="str">
        <f aca="false">IF(ISBLANK($C236),"",IF($BL236&lt;&gt;Constants!$B$4,$BL236,$BQ236-$BZ236))</f>
        <v/>
      </c>
      <c r="CB236" s="130"/>
      <c r="CC236" s="131" t="str">
        <f aca="false">IF(ISBLANK($C236),"",IF($BL236=Constants!$B$8,$AR236,""))</f>
        <v/>
      </c>
      <c r="CD236" s="131" t="str">
        <f aca="false">IF(ISBLANK($C236),"",IF($BL236&lt;&gt;Constants!$B$4,"",IF($BB236="-&gt;",2,1)))</f>
        <v/>
      </c>
      <c r="CE236" s="132" t="str">
        <f aca="false">IF(ISBLANK($C236),"",IF($BL236&lt;&gt;Constants!$B$4,"",IF($BB236="-&gt;",$BE236,$AU236)))</f>
        <v/>
      </c>
      <c r="CF236" s="132" t="str">
        <f aca="false">IF(ISBLANK($C236),"",IF($BL236&lt;&gt;Constants!$B$4,"",IF($BB236="-&gt;",$BF236,$AV236)))</f>
        <v/>
      </c>
      <c r="CG236" s="132" t="str">
        <f aca="false">IF(ISBLANK($C236),"",IF($BL236&lt;&gt;Constants!$B$4,"",IF($BB236="-&gt;",$BG236,$AW236)))</f>
        <v/>
      </c>
      <c r="CH236" s="132" t="str">
        <f aca="false">IF(ISBLANK($C236),"",IF($BL236&lt;&gt;Constants!$B$4,"",IF($BB236="-&gt;",$BH236,$AX236)))</f>
        <v/>
      </c>
      <c r="CI236" s="133" t="str">
        <f aca="false">IF(ISBLANK($C236),"",$BO236)</f>
        <v/>
      </c>
      <c r="CJ236" s="134" t="str">
        <f aca="false">IF(ISBLANK($C236),"",$BM236)</f>
        <v/>
      </c>
      <c r="CK236" s="135" t="str">
        <f aca="false">IF(ISBLANK($C236),"",$CA236)</f>
        <v/>
      </c>
      <c r="CL236" s="135" t="str">
        <f aca="false">IF(ISBLANK($C236),"",$BZ236)</f>
        <v/>
      </c>
      <c r="CM236" s="136" t="str">
        <f aca="false">IF(ISBLANK($C236),"",IF($CL236=Constants!$B$7,COUNTA($C$9:$C$508)+2,IF($CL236=Constants!$B$6,COUNTA($C$9:$C$508)+1,IF($CL236=Constants!$B$5,COUNTA($C$9:$C$508),$CL236))))</f>
        <v/>
      </c>
      <c r="CN236" s="8"/>
      <c r="CO236" s="137" t="n">
        <f aca="false">IF(OR(ISNUMBER($CL236),$CL236=Constants!$B$7,$CL236=Constants!$B$5,$CL236=Constants!$B$6),1,0)</f>
        <v>0</v>
      </c>
      <c r="CP236" s="137" t="n">
        <v>228</v>
      </c>
      <c r="CQ236" s="137" t="str">
        <f aca="false">IF(ISBLANK($C236),"",IF(ISNUMBER($CM236),$CM236+ROW($B236)/1000,""))</f>
        <v/>
      </c>
      <c r="CR236" s="137" t="str">
        <f aca="false">IF(ISNUMBER($CQ236),RANK($CQ236,$CQ$9:$CQ$508,1),"")</f>
        <v/>
      </c>
      <c r="CS236" s="137" t="str">
        <f aca="false">IF(ISBLANK($C236),"",$B236)</f>
        <v/>
      </c>
      <c r="CT236" s="137" t="str">
        <f aca="false">IF(ISBLANK($C236),"",$C236)</f>
        <v/>
      </c>
      <c r="CU236" s="137" t="str">
        <f aca="false">IF(ISBLANK($C236),"",$D236)</f>
        <v/>
      </c>
      <c r="CV236" s="138" t="str">
        <f aca="false">$CJ236</f>
        <v/>
      </c>
      <c r="CW236" s="139" t="str">
        <f aca="false">$CI236</f>
        <v/>
      </c>
      <c r="CX236" s="137" t="str">
        <f aca="false">IF(ISBLANK($C236),"",$CL236)</f>
        <v/>
      </c>
      <c r="CY236" s="140" t="str">
        <f aca="false">IF($CP236&gt;$CO$8,"",VLOOKUP($CP236,$CR$9:$CX$508,7,FALSE()))</f>
        <v/>
      </c>
      <c r="CZ236" s="141" t="str">
        <f aca="false">IF($CP236&gt;$CO$8,"",VLOOKUP($CP236,$CR$9:$CX$508,2,FALSE()))</f>
        <v/>
      </c>
      <c r="DA236" s="141" t="str">
        <f aca="false">IF($CP236&gt;$CO$8,"",VLOOKUP($CP236,$CR$9:$CX$508,3,FALSE()))</f>
        <v/>
      </c>
      <c r="DB236" s="141" t="str">
        <f aca="false">IF($CP236&gt;$CO$8,"",VLOOKUP($CP236,$CR$9:$CX$508,4,FALSE()))</f>
        <v/>
      </c>
      <c r="DC236" s="141" t="str">
        <f aca="false">IF($CP236&gt;$CO$8,"",VLOOKUP($CP236,$CR$9:$CX$508,5,FALSE()))</f>
        <v/>
      </c>
      <c r="DD236" s="142" t="str">
        <f aca="false">IF($CP236&gt;$CO$8,"",VLOOKUP($CP236,$CR$9:$CX$508,6,FALSE()))</f>
        <v/>
      </c>
      <c r="DE236" s="70"/>
    </row>
    <row r="237" customFormat="false" ht="15.75" hidden="false" customHeight="false" outlineLevel="0" collapsed="false">
      <c r="A237" s="8"/>
      <c r="B237" s="72"/>
      <c r="C237" s="73"/>
      <c r="D237" s="155"/>
      <c r="E237" s="162"/>
      <c r="F237" s="157"/>
      <c r="G237" s="77"/>
      <c r="H237" s="77"/>
      <c r="I237" s="77"/>
      <c r="J237" s="163"/>
      <c r="K237" s="161"/>
      <c r="L237" s="161"/>
      <c r="M237" s="80"/>
      <c r="N237" s="161"/>
      <c r="O237" s="160"/>
      <c r="P237" s="161"/>
      <c r="Q237" s="161"/>
      <c r="R237" s="161"/>
      <c r="S237" s="77"/>
      <c r="T237" s="161"/>
      <c r="U237" s="160"/>
      <c r="V237" s="161"/>
      <c r="W237" s="85"/>
      <c r="X237" s="86" t="str">
        <f aca="false">IF(ISBLANK($C237),"",IF($E237=Constants!$B$2,TRUE(),IF($E237=Constants!$B$3,FALSE(),TRUE())))</f>
        <v/>
      </c>
      <c r="Y237" s="86" t="str">
        <f aca="false">IF(ISBLANK($C237),"",IF($F237=Constants!$B$2,TRUE(),IF($F237=Constants!$B$3,FALSE(),TRUE())))</f>
        <v/>
      </c>
      <c r="Z237" s="87" t="str">
        <f aca="false">IF(ISBLANK($C237),"",IF(ISNUMBER($G237),IF($G237&gt;=0,$G237,""),""))</f>
        <v/>
      </c>
      <c r="AA237" s="87" t="str">
        <f aca="false">IF(ISBLANK($C237),"",IF(ISNUMBER($H237),IF($H237&gt;=0,$H237,""),""))</f>
        <v/>
      </c>
      <c r="AB237" s="87" t="str">
        <f aca="false">IF(ISBLANK($C237),"",IF(ISNUMBER($I237),IF($I237&gt;=0,$I237,""),""))</f>
        <v/>
      </c>
      <c r="AC237" s="86" t="str">
        <f aca="false">IF(ISBLANK($C237),"",IF($J237=Constants!$B$2,TRUE(),IF($J237=Constants!$B$3,FALSE(),TRUE())))</f>
        <v/>
      </c>
      <c r="AD237" s="86" t="str">
        <f aca="false">IF(ISBLANK($C237),"",IF($K237=Constants!$B$2,TRUE(),IF($K237=Constants!$B$3,FALSE(),TRUE())))</f>
        <v/>
      </c>
      <c r="AE237" s="86" t="str">
        <f aca="false">IF(ISBLANK($C237),"",IF($L237=Constants!$B$2,TRUE(),IF($L237=Constants!$B$3,FALSE(),TRUE())))</f>
        <v/>
      </c>
      <c r="AF237" s="88" t="str">
        <f aca="false">IF(ISBLANK($C237),"",IF(ISNUMBER($M237),IF($M237&gt;=0,$M237,""),""))</f>
        <v/>
      </c>
      <c r="AG237" s="86" t="str">
        <f aca="false">IF(ISBLANK($C237),"",IF(ISBLANK($N237),0,IF(ISNUMBER($N237),IF(AND($N237&gt;=0,$N237&lt;=Constants!$B$17,$N237=INT($N237)),$N237,""),"")))</f>
        <v/>
      </c>
      <c r="AH237" s="87" t="str">
        <f aca="false">IF(ISBLANK($C237),"",IF(ISBLANK($O237),0,IF(ISNUMBER($O237),IF($O237&gt;=0,$O237,""),"")))</f>
        <v/>
      </c>
      <c r="AI237" s="86" t="str">
        <f aca="false">IF(ISBLANK($C237),"",IF($P237=Constants!$B$2,TRUE(),IF($P237=Constants!$B$3,FALSE(),TRUE())))</f>
        <v/>
      </c>
      <c r="AJ237" s="86" t="str">
        <f aca="false">IF(ISBLANK($C237),"",IF($Q237=Constants!$B$2,TRUE(),IF($Q237=Constants!$B$3,FALSE(),TRUE())))</f>
        <v/>
      </c>
      <c r="AK237" s="86" t="str">
        <f aca="false">IF(ISBLANK($C237),"",IF($R237=Constants!$B$2,TRUE(),IF($R237=Constants!$B$3,FALSE(),TRUE())))</f>
        <v/>
      </c>
      <c r="AL237" s="88" t="str">
        <f aca="false">IF(ISBLANK($C237),"",IF(ISNUMBER($S237),IF($S237&gt;=0,$S237,""),""))</f>
        <v/>
      </c>
      <c r="AM237" s="86" t="str">
        <f aca="false">IF(ISBLANK($C237),"",IF(ISBLANK($T237),0,IF(ISNUMBER($T237),IF(AND($T237&gt;=0,$T237&lt;=Constants!$B$17,$T237=INT($T237)),$T237,""),"")))</f>
        <v/>
      </c>
      <c r="AN237" s="87" t="str">
        <f aca="false">IF(ISBLANK($C237),"",IF(ISBLANK($U237),0,IF(ISNUMBER($U237),IF($U237&gt;=0,$U237,""),"")))</f>
        <v/>
      </c>
      <c r="AO237" s="86" t="str">
        <f aca="false">IF(ISBLANK($C237),"",IF($V237=Constants!$B$2,TRUE(),IF($V237=Constants!$B$3,FALSE(),FALSE())))</f>
        <v/>
      </c>
      <c r="AP237" s="86"/>
      <c r="AQ237" s="85" t="str">
        <f aca="false">IF(ISBLANK($C237),"",AND($Y237,OR($AS237,$BC237),OR($Z237="",$AA237="",$AB237="")))</f>
        <v/>
      </c>
      <c r="AR237" s="85" t="str">
        <f aca="false">IF(ISBLANK($C237),"",IF(OR(NOT($Y237),NOT(OR($AS237,$BC237))),"",IF(ISBLANK($D$7),$AR$5,IF($AP$9="",$AR$6,""))))</f>
        <v/>
      </c>
      <c r="AS237" s="85" t="str">
        <f aca="false">IF(ISBLANK($C237),"",COUNTA($J237:$O237)&gt;0)</f>
        <v/>
      </c>
      <c r="AT237" s="85" t="str">
        <f aca="false">IF(ISBLANK($C237),"",AND($AS237,OR(AND($AF237="",OR($AE237,NOT(ISBLANK($M237)))),$AG237="",$AH237="")))</f>
        <v/>
      </c>
      <c r="AU237" s="87" t="str">
        <f aca="false">IF($BL237&lt;&gt;Constants!$B$4,"",IF(NOT($AS237),"",ROUND((Constants!$B$12-$AB237)+(Constants!$B$13-$Z237)+(Constants!$B$14-$AA237),1)))</f>
        <v/>
      </c>
      <c r="AV237" s="90" t="str">
        <f aca="false">IF($BL237&lt;&gt;Constants!$B$4,"",IF(NOT($AS237),"",IF(NOT($AE237),0,Constants!$B$15*(INT(ROUND(MIN($AF237,$AP$9),6))-INT(ROUND(MAX(0,MIN($AF237,2*$AP$9)-$AP$9),6))))))</f>
        <v/>
      </c>
      <c r="AW237" s="90" t="str">
        <f aca="false">IF($BL237&lt;&gt;Constants!$B$4,"",IF(NOT($AS237),"",Constants!$B$16*$AG237))</f>
        <v/>
      </c>
      <c r="AX237" s="90" t="str">
        <f aca="false">IF($BL237&lt;&gt;Constants!$B$4,"",IF(NOT($AS237),"",Constants!$B$18*INT(ROUND($AH237,6))))</f>
        <v/>
      </c>
      <c r="AY237" s="85" t="str">
        <f aca="false">IF($BL237&lt;&gt;Constants!$B$4,"",IF(NOT($AS237),"",IF(NOT($X237),Constants!$B$11,IF(OR(NOT($AC237),NOT($AD237),ROUND($AB237,1)&gt;Constants!$B$12,ROUND($Z237,1)&gt;Constants!$B$13,ROUND($AA237,1)&gt;Constants!$B$14),Constants!$B$10,Constants!$B$9))))</f>
        <v/>
      </c>
      <c r="AZ237" s="91" t="str">
        <f aca="false">IF($BL237&lt;&gt;Constants!$B$4,"",IF(NOT($AS237),"",ROUND($AU237+$AV237+$AW237+$AX237,1)))</f>
        <v/>
      </c>
      <c r="BA237" s="92" t="str">
        <f aca="false">IF($BL237&lt;&gt;Constants!$B$4,"",IF(NOT($AS237),"",IF(ISNUMBER($AF237),$AF237,0)))</f>
        <v/>
      </c>
      <c r="BB237" s="86" t="str">
        <f aca="false">IF($BL237&lt;&gt;Constants!$B$4,"",IF(NOT($BC237),"&lt;-",IF(NOT($AS237),"-&gt;",IF(OR($BI237&lt;$AY237,AND($BI237=$AY237,OR($BJ237&gt;$AZ237,AND($BJ237=$AZ237,OR($BH237&gt;$AX237,AND($BH237=$AX237,OR($BE237&gt;$AU237,AND($BE237=$AU237,OR($BF237&gt;$AV237,AND($BF237=$AV237,$BK237&gt;$BA237)))))))))),"-&gt;","&lt;-"))))</f>
        <v/>
      </c>
      <c r="BC237" s="85" t="str">
        <f aca="false">IF(ISBLANK($C237),"",COUNTA($P237:$U237)&gt;0)</f>
        <v/>
      </c>
      <c r="BD237" s="85" t="str">
        <f aca="false">IF(ISBLANK($C237),"",AND($BC237,OR(AND($AL237="",OR($AK237,NOT(ISBLANK($S237)))),$AM237="",$AN237="")))</f>
        <v/>
      </c>
      <c r="BE237" s="87" t="str">
        <f aca="false">IF($BL237&lt;&gt;Constants!$B$4,"",IF(NOT($BC237),"",ROUND((Constants!$B$12-$AB237)+(Constants!$B$13-$Z237)+(Constants!$B$14-$AA237),1)))</f>
        <v/>
      </c>
      <c r="BF237" s="90" t="str">
        <f aca="false">IF($BL237&lt;&gt;Constants!$B$4,"",IF(NOT($BC237),"",IF(NOT($AK237),0,Constants!$B$15*(INT(ROUND(MIN($AL237,$AP$9),6))-INT(ROUND(MAX(0,MIN($AL237,2*$AP$9)-$AP$9),6))))))</f>
        <v/>
      </c>
      <c r="BG237" s="90" t="str">
        <f aca="false">IF($BL237&lt;&gt;Constants!$B$4,"",IF(NOT($BC237),"",Constants!$B$16*$AM237))</f>
        <v/>
      </c>
      <c r="BH237" s="90" t="str">
        <f aca="false">IF($BL237&lt;&gt;Constants!$B$4,"",IF(NOT($BC237),"",Constants!$B$18*INT(ROUND($AN237,6))))</f>
        <v/>
      </c>
      <c r="BI237" s="85" t="str">
        <f aca="false">IF($BL237&lt;&gt;Constants!$B$4,"",IF(NOT($BC237),"",IF(NOT($X237),Constants!$B$11,IF(OR(NOT($AI237),NOT($AJ237),ROUND($AB237,1)&gt;Constants!$B$12,ROUND($Z237,1)&gt;Constants!$B$13,ROUND($AA237,1)&gt;Constants!$B$14),Constants!$B$10,Constants!$B$9))))</f>
        <v/>
      </c>
      <c r="BJ237" s="91" t="str">
        <f aca="false">IF($BL237&lt;&gt;Constants!$B$4,"",IF(NOT($BC237),"",ROUND($BE237+$BF237+$BG237+$BH237,1)))</f>
        <v/>
      </c>
      <c r="BK237" s="92" t="str">
        <f aca="false">IF($BL237&lt;&gt;Constants!$B$4,"",IF(NOT($BC237),"",IF(ISNUMBER($AL237),$AL237,0)))</f>
        <v/>
      </c>
      <c r="BL237" s="86" t="str">
        <f aca="false">IF(ISBLANK($C237),"",IF($AO237,Constants!$B$7,IF(COUNTA($E237:$V237)=0,Constants!$B$6,IF(NOT($Y237),Constants!$B$5,IF(NOT(OR($AS237,$BC237)),Constants!$B$5,IF(OR($AT237,$BD237,$AQ237,$AR237&lt;&gt;""),Constants!$B$8,Constants!$B$4))))))</f>
        <v/>
      </c>
      <c r="BM237" s="86" t="str">
        <f aca="false">IF(ISBLANK($C237),"",IF($BL237&lt;&gt;Constants!$B$4,$BL237,IF($BB237="-&gt;",$BI237,$AY237)))</f>
        <v/>
      </c>
      <c r="BN237" s="90" t="str">
        <f aca="false">IF($BL237&lt;&gt;Constants!$B$4,"",IF($BB237="-&gt;",$BJ237,$AZ237))</f>
        <v/>
      </c>
      <c r="BO237" s="90" t="str">
        <f aca="false">IF(ISBLANK($C237),"",IF($BL237&lt;&gt;Constants!$B$4,$BL237,$BN237))</f>
        <v/>
      </c>
      <c r="BP237" s="86" t="str">
        <f aca="false">IF(ISBLANK($C237),"",IF($BL237&lt;&gt;Constants!$B$4,$BL237,RANK($BO237,$BO$9:$BO$508,0)))</f>
        <v/>
      </c>
      <c r="BQ237" s="86" t="str">
        <f aca="false">IF(ISBLANK($C237),"",IF($BL237&lt;&gt;Constants!$B$4,$BL237,COUNTIFS($BM$9:$BM$508,"&lt;"&amp;$BM237)+COUNTIFS($BM$9:$BM$508,$BM237,$BP$9:$BP$508,"&lt;"&amp;$BP237)+1))</f>
        <v/>
      </c>
      <c r="BR237" s="90" t="str">
        <f aca="false">IF($BL237&lt;&gt;Constants!$B$4,"",IF($BB237="-&gt;",$BH237,$AX237))</f>
        <v/>
      </c>
      <c r="BS237" s="86" t="str">
        <f aca="false">IF(ISBLANK($C237),"",IF($BL237&lt;&gt;Constants!$B$4,$BL237,IF(ISNUMBER($BR237),RANK($BR237,$BR$9:$BR$508,0),COUNT($BR$9:$BR$508)+1)))</f>
        <v/>
      </c>
      <c r="BT237" s="90" t="str">
        <f aca="false">IF($BL237&lt;&gt;Constants!$B$4,"",IF($BB237="-&gt;",$BE237,$AU237))</f>
        <v/>
      </c>
      <c r="BU237" s="86" t="str">
        <f aca="false">IF(ISBLANK($C237),"",IF($BL237&lt;&gt;Constants!$B$4,$BL237,IF(ISNUMBER($BT237),RANK($BT237,$BT$9:$BT$508,0),COUNT($BT$9:$BT$508)+1)))</f>
        <v/>
      </c>
      <c r="BV237" s="90" t="str">
        <f aca="false">IF($BL237&lt;&gt;Constants!$B$4,"",IF($BB237="-&gt;",$BF237,$AV237))</f>
        <v/>
      </c>
      <c r="BW237" s="86" t="str">
        <f aca="false">IF(ISBLANK($C237),"",IF($BL237&lt;&gt;Constants!$B$4,$BL237,IF(ISNUMBER($BV237),RANK($BV237,$BV$9:$BV$508,0),COUNT($BV$9:$BV$508)+1)))</f>
        <v/>
      </c>
      <c r="BX237" s="90" t="str">
        <f aca="false">IF($BL237&lt;&gt;Constants!$B$4,"",IF($BB237="-&gt;",$BK237,$BA237))</f>
        <v/>
      </c>
      <c r="BY237" s="86" t="str">
        <f aca="false">IF(ISBLANK($C237),"",IF($BL237&lt;&gt;Constants!$B$4,$BL237,IF(ISNUMBER($BX237),RANK($BX237,$BX$9:$BX$508,0),COUNT($BX$9:$BX$508)+1)))</f>
        <v/>
      </c>
      <c r="BZ237" s="86" t="str">
        <f aca="false">IF(ISBLANK($C237),"",IF($BL237&lt;&gt;Constants!$B$4,$BL237,COUNTIFS($BM$9:$BM$508,"&lt;"&amp;$BM237)+COUNTIFS($BM$9:$BM$508,$BM237,$BP$9:$BP$508,"&lt;"&amp;$BP237)+COUNTIFS($BM$9:$BM$508,$BM237,$BP$9:$BP$508,$BP237,$BS$9:$BS$508,"&lt;"&amp;$BS237)+COUNTIFS($BM$9:$BM$508,$BM237,$BP$9:$BP$508,$BP237,$BS$9:$BS$508,$BS237,$BU$9:$BU$508,"&lt;"&amp;$BU237)+COUNTIFS($BM$9:$BM$508,$BM237,$BP$9:$BP$508,$BP237,$BS$9:$BS$508,$BS237,$BU$9:$BU$508,$BU237,$BW$9:$BW$508,"&lt;"&amp;$BW237)+COUNTIFS($BM$9:$BM$508,$BM237,$BP$9:$BP$508,$BP237,$BS$9:$BS$508,$BS237,$BU$9:$BU$508,$BU237,$BW$9:$BW$508,$BW237,$BY$9:$BY$508,"&lt;"&amp;$BY237)+1))</f>
        <v/>
      </c>
      <c r="CA237" s="86" t="str">
        <f aca="false">IF(ISBLANK($C237),"",IF($BL237&lt;&gt;Constants!$B$4,$BL237,$BQ237-$BZ237))</f>
        <v/>
      </c>
      <c r="CB237" s="93"/>
      <c r="CC237" s="94" t="str">
        <f aca="false">IF(ISBLANK($C237),"",IF($BL237=Constants!$B$8,$AR237,""))</f>
        <v/>
      </c>
      <c r="CD237" s="94" t="str">
        <f aca="false">IF(ISBLANK($C237),"",IF($BL237&lt;&gt;Constants!$B$4,"",IF($BB237="-&gt;",2,1)))</f>
        <v/>
      </c>
      <c r="CE237" s="95" t="str">
        <f aca="false">IF(ISBLANK($C237),"",IF($BL237&lt;&gt;Constants!$B$4,"",IF($BB237="-&gt;",$BE237,$AU237)))</f>
        <v/>
      </c>
      <c r="CF237" s="95" t="str">
        <f aca="false">IF(ISBLANK($C237),"",IF($BL237&lt;&gt;Constants!$B$4,"",IF($BB237="-&gt;",$BF237,$AV237)))</f>
        <v/>
      </c>
      <c r="CG237" s="95" t="str">
        <f aca="false">IF(ISBLANK($C237),"",IF($BL237&lt;&gt;Constants!$B$4,"",IF($BB237="-&gt;",$BG237,$AW237)))</f>
        <v/>
      </c>
      <c r="CH237" s="95" t="str">
        <f aca="false">IF(ISBLANK($C237),"",IF($BL237&lt;&gt;Constants!$B$4,"",IF($BB237="-&gt;",$BH237,$AX237)))</f>
        <v/>
      </c>
      <c r="CI237" s="96" t="str">
        <f aca="false">IF(ISBLANK($C237),"",$BO237)</f>
        <v/>
      </c>
      <c r="CJ237" s="97" t="str">
        <f aca="false">IF(ISBLANK($C237),"",$BM237)</f>
        <v/>
      </c>
      <c r="CK237" s="98" t="str">
        <f aca="false">IF(ISBLANK($C237),"",$CA237)</f>
        <v/>
      </c>
      <c r="CL237" s="98" t="str">
        <f aca="false">IF(ISBLANK($C237),"",$BZ237)</f>
        <v/>
      </c>
      <c r="CM237" s="99" t="str">
        <f aca="false">IF(ISBLANK($C237),"",IF($CL237=Constants!$B$7,COUNTA($C$9:$C$508)+2,IF($CL237=Constants!$B$6,COUNTA($C$9:$C$508)+1,IF($CL237=Constants!$B$5,COUNTA($C$9:$C$508),$CL237))))</f>
        <v/>
      </c>
      <c r="CN237" s="8"/>
      <c r="CO237" s="100" t="n">
        <f aca="false">IF(OR(ISNUMBER($CL237),$CL237=Constants!$B$7,$CL237=Constants!$B$5,$CL237=Constants!$B$6),1,0)</f>
        <v>0</v>
      </c>
      <c r="CP237" s="100" t="n">
        <v>229</v>
      </c>
      <c r="CQ237" s="100" t="str">
        <f aca="false">IF(ISBLANK($C237),"",IF(ISNUMBER($CM237),$CM237+ROW($B237)/1000,""))</f>
        <v/>
      </c>
      <c r="CR237" s="100" t="str">
        <f aca="false">IF(ISNUMBER($CQ237),RANK($CQ237,$CQ$9:$CQ$508,1),"")</f>
        <v/>
      </c>
      <c r="CS237" s="100" t="str">
        <f aca="false">IF(ISBLANK($C237),"",$B237)</f>
        <v/>
      </c>
      <c r="CT237" s="100" t="str">
        <f aca="false">IF(ISBLANK($C237),"",$C237)</f>
        <v/>
      </c>
      <c r="CU237" s="100" t="str">
        <f aca="false">IF(ISBLANK($C237),"",$D237)</f>
        <v/>
      </c>
      <c r="CV237" s="101" t="str">
        <f aca="false">$CJ237</f>
        <v/>
      </c>
      <c r="CW237" s="102" t="str">
        <f aca="false">$CI237</f>
        <v/>
      </c>
      <c r="CX237" s="100" t="str">
        <f aca="false">IF(ISBLANK($C237),"",$CL237)</f>
        <v/>
      </c>
      <c r="CY237" s="103" t="str">
        <f aca="false">IF($CP237&gt;$CO$8,"",VLOOKUP($CP237,$CR$9:$CX$508,7,FALSE()))</f>
        <v/>
      </c>
      <c r="CZ237" s="104" t="str">
        <f aca="false">IF($CP237&gt;$CO$8,"",VLOOKUP($CP237,$CR$9:$CX$508,2,FALSE()))</f>
        <v/>
      </c>
      <c r="DA237" s="104" t="str">
        <f aca="false">IF($CP237&gt;$CO$8,"",VLOOKUP($CP237,$CR$9:$CX$508,3,FALSE()))</f>
        <v/>
      </c>
      <c r="DB237" s="104" t="str">
        <f aca="false">IF($CP237&gt;$CO$8,"",VLOOKUP($CP237,$CR$9:$CX$508,4,FALSE()))</f>
        <v/>
      </c>
      <c r="DC237" s="104" t="str">
        <f aca="false">IF($CP237&gt;$CO$8,"",VLOOKUP($CP237,$CR$9:$CX$508,5,FALSE()))</f>
        <v/>
      </c>
      <c r="DD237" s="105" t="str">
        <f aca="false">IF($CP237&gt;$CO$8,"",VLOOKUP($CP237,$CR$9:$CX$508,6,FALSE()))</f>
        <v/>
      </c>
      <c r="DE237" s="70"/>
    </row>
    <row r="238" customFormat="false" ht="15.75" hidden="false" customHeight="false" outlineLevel="0" collapsed="false">
      <c r="A238" s="8"/>
      <c r="B238" s="72"/>
      <c r="C238" s="73"/>
      <c r="D238" s="155"/>
      <c r="E238" s="162"/>
      <c r="F238" s="157"/>
      <c r="G238" s="77"/>
      <c r="H238" s="77"/>
      <c r="I238" s="77"/>
      <c r="J238" s="163"/>
      <c r="K238" s="161"/>
      <c r="L238" s="161"/>
      <c r="M238" s="80"/>
      <c r="N238" s="161"/>
      <c r="O238" s="160"/>
      <c r="P238" s="161"/>
      <c r="Q238" s="161"/>
      <c r="R238" s="161"/>
      <c r="S238" s="77"/>
      <c r="T238" s="161"/>
      <c r="U238" s="160"/>
      <c r="V238" s="161"/>
      <c r="W238" s="85"/>
      <c r="X238" s="86" t="str">
        <f aca="false">IF(ISBLANK($C238),"",IF($E238=Constants!$B$2,TRUE(),IF($E238=Constants!$B$3,FALSE(),TRUE())))</f>
        <v/>
      </c>
      <c r="Y238" s="86" t="str">
        <f aca="false">IF(ISBLANK($C238),"",IF($F238=Constants!$B$2,TRUE(),IF($F238=Constants!$B$3,FALSE(),TRUE())))</f>
        <v/>
      </c>
      <c r="Z238" s="87" t="str">
        <f aca="false">IF(ISBLANK($C238),"",IF(ISNUMBER($G238),IF($G238&gt;=0,$G238,""),""))</f>
        <v/>
      </c>
      <c r="AA238" s="87" t="str">
        <f aca="false">IF(ISBLANK($C238),"",IF(ISNUMBER($H238),IF($H238&gt;=0,$H238,""),""))</f>
        <v/>
      </c>
      <c r="AB238" s="87" t="str">
        <f aca="false">IF(ISBLANK($C238),"",IF(ISNUMBER($I238),IF($I238&gt;=0,$I238,""),""))</f>
        <v/>
      </c>
      <c r="AC238" s="86" t="str">
        <f aca="false">IF(ISBLANK($C238),"",IF($J238=Constants!$B$2,TRUE(),IF($J238=Constants!$B$3,FALSE(),TRUE())))</f>
        <v/>
      </c>
      <c r="AD238" s="86" t="str">
        <f aca="false">IF(ISBLANK($C238),"",IF($K238=Constants!$B$2,TRUE(),IF($K238=Constants!$B$3,FALSE(),TRUE())))</f>
        <v/>
      </c>
      <c r="AE238" s="86" t="str">
        <f aca="false">IF(ISBLANK($C238),"",IF($L238=Constants!$B$2,TRUE(),IF($L238=Constants!$B$3,FALSE(),TRUE())))</f>
        <v/>
      </c>
      <c r="AF238" s="88" t="str">
        <f aca="false">IF(ISBLANK($C238),"",IF(ISNUMBER($M238),IF($M238&gt;=0,$M238,""),""))</f>
        <v/>
      </c>
      <c r="AG238" s="86" t="str">
        <f aca="false">IF(ISBLANK($C238),"",IF(ISBLANK($N238),0,IF(ISNUMBER($N238),IF(AND($N238&gt;=0,$N238&lt;=Constants!$B$17,$N238=INT($N238)),$N238,""),"")))</f>
        <v/>
      </c>
      <c r="AH238" s="87" t="str">
        <f aca="false">IF(ISBLANK($C238),"",IF(ISBLANK($O238),0,IF(ISNUMBER($O238),IF($O238&gt;=0,$O238,""),"")))</f>
        <v/>
      </c>
      <c r="AI238" s="86" t="str">
        <f aca="false">IF(ISBLANK($C238),"",IF($P238=Constants!$B$2,TRUE(),IF($P238=Constants!$B$3,FALSE(),TRUE())))</f>
        <v/>
      </c>
      <c r="AJ238" s="86" t="str">
        <f aca="false">IF(ISBLANK($C238),"",IF($Q238=Constants!$B$2,TRUE(),IF($Q238=Constants!$B$3,FALSE(),TRUE())))</f>
        <v/>
      </c>
      <c r="AK238" s="86" t="str">
        <f aca="false">IF(ISBLANK($C238),"",IF($R238=Constants!$B$2,TRUE(),IF($R238=Constants!$B$3,FALSE(),TRUE())))</f>
        <v/>
      </c>
      <c r="AL238" s="88" t="str">
        <f aca="false">IF(ISBLANK($C238),"",IF(ISNUMBER($S238),IF($S238&gt;=0,$S238,""),""))</f>
        <v/>
      </c>
      <c r="AM238" s="86" t="str">
        <f aca="false">IF(ISBLANK($C238),"",IF(ISBLANK($T238),0,IF(ISNUMBER($T238),IF(AND($T238&gt;=0,$T238&lt;=Constants!$B$17,$T238=INT($T238)),$T238,""),"")))</f>
        <v/>
      </c>
      <c r="AN238" s="87" t="str">
        <f aca="false">IF(ISBLANK($C238),"",IF(ISBLANK($U238),0,IF(ISNUMBER($U238),IF($U238&gt;=0,$U238,""),"")))</f>
        <v/>
      </c>
      <c r="AO238" s="86" t="str">
        <f aca="false">IF(ISBLANK($C238),"",IF($V238=Constants!$B$2,TRUE(),IF($V238=Constants!$B$3,FALSE(),FALSE())))</f>
        <v/>
      </c>
      <c r="AP238" s="86"/>
      <c r="AQ238" s="85" t="str">
        <f aca="false">IF(ISBLANK($C238),"",AND($Y238,OR($AS238,$BC238),OR($Z238="",$AA238="",$AB238="")))</f>
        <v/>
      </c>
      <c r="AR238" s="85" t="str">
        <f aca="false">IF(ISBLANK($C238),"",IF(OR(NOT($Y238),NOT(OR($AS238,$BC238))),"",IF(ISBLANK($D$7),$AR$5,IF($AP$9="",$AR$6,""))))</f>
        <v/>
      </c>
      <c r="AS238" s="85" t="str">
        <f aca="false">IF(ISBLANK($C238),"",COUNTA($J238:$O238)&gt;0)</f>
        <v/>
      </c>
      <c r="AT238" s="85" t="str">
        <f aca="false">IF(ISBLANK($C238),"",AND($AS238,OR(AND($AF238="",OR($AE238,NOT(ISBLANK($M238)))),$AG238="",$AH238="")))</f>
        <v/>
      </c>
      <c r="AU238" s="87" t="str">
        <f aca="false">IF($BL238&lt;&gt;Constants!$B$4,"",IF(NOT($AS238),"",ROUND((Constants!$B$12-$AB238)+(Constants!$B$13-$Z238)+(Constants!$B$14-$AA238),1)))</f>
        <v/>
      </c>
      <c r="AV238" s="90" t="str">
        <f aca="false">IF($BL238&lt;&gt;Constants!$B$4,"",IF(NOT($AS238),"",IF(NOT($AE238),0,Constants!$B$15*(INT(ROUND(MIN($AF238,$AP$9),6))-INT(ROUND(MAX(0,MIN($AF238,2*$AP$9)-$AP$9),6))))))</f>
        <v/>
      </c>
      <c r="AW238" s="90" t="str">
        <f aca="false">IF($BL238&lt;&gt;Constants!$B$4,"",IF(NOT($AS238),"",Constants!$B$16*$AG238))</f>
        <v/>
      </c>
      <c r="AX238" s="90" t="str">
        <f aca="false">IF($BL238&lt;&gt;Constants!$B$4,"",IF(NOT($AS238),"",Constants!$B$18*INT(ROUND($AH238,6))))</f>
        <v/>
      </c>
      <c r="AY238" s="85" t="str">
        <f aca="false">IF($BL238&lt;&gt;Constants!$B$4,"",IF(NOT($AS238),"",IF(NOT($X238),Constants!$B$11,IF(OR(NOT($AC238),NOT($AD238),ROUND($AB238,1)&gt;Constants!$B$12,ROUND($Z238,1)&gt;Constants!$B$13,ROUND($AA238,1)&gt;Constants!$B$14),Constants!$B$10,Constants!$B$9))))</f>
        <v/>
      </c>
      <c r="AZ238" s="91" t="str">
        <f aca="false">IF($BL238&lt;&gt;Constants!$B$4,"",IF(NOT($AS238),"",ROUND($AU238+$AV238+$AW238+$AX238,1)))</f>
        <v/>
      </c>
      <c r="BA238" s="92" t="str">
        <f aca="false">IF($BL238&lt;&gt;Constants!$B$4,"",IF(NOT($AS238),"",IF(ISNUMBER($AF238),$AF238,0)))</f>
        <v/>
      </c>
      <c r="BB238" s="86" t="str">
        <f aca="false">IF($BL238&lt;&gt;Constants!$B$4,"",IF(NOT($BC238),"&lt;-",IF(NOT($AS238),"-&gt;",IF(OR($BI238&lt;$AY238,AND($BI238=$AY238,OR($BJ238&gt;$AZ238,AND($BJ238=$AZ238,OR($BH238&gt;$AX238,AND($BH238=$AX238,OR($BE238&gt;$AU238,AND($BE238=$AU238,OR($BF238&gt;$AV238,AND($BF238=$AV238,$BK238&gt;$BA238)))))))))),"-&gt;","&lt;-"))))</f>
        <v/>
      </c>
      <c r="BC238" s="85" t="str">
        <f aca="false">IF(ISBLANK($C238),"",COUNTA($P238:$U238)&gt;0)</f>
        <v/>
      </c>
      <c r="BD238" s="85" t="str">
        <f aca="false">IF(ISBLANK($C238),"",AND($BC238,OR(AND($AL238="",OR($AK238,NOT(ISBLANK($S238)))),$AM238="",$AN238="")))</f>
        <v/>
      </c>
      <c r="BE238" s="87" t="str">
        <f aca="false">IF($BL238&lt;&gt;Constants!$B$4,"",IF(NOT($BC238),"",ROUND((Constants!$B$12-$AB238)+(Constants!$B$13-$Z238)+(Constants!$B$14-$AA238),1)))</f>
        <v/>
      </c>
      <c r="BF238" s="90" t="str">
        <f aca="false">IF($BL238&lt;&gt;Constants!$B$4,"",IF(NOT($BC238),"",IF(NOT($AK238),0,Constants!$B$15*(INT(ROUND(MIN($AL238,$AP$9),6))-INT(ROUND(MAX(0,MIN($AL238,2*$AP$9)-$AP$9),6))))))</f>
        <v/>
      </c>
      <c r="BG238" s="90" t="str">
        <f aca="false">IF($BL238&lt;&gt;Constants!$B$4,"",IF(NOT($BC238),"",Constants!$B$16*$AM238))</f>
        <v/>
      </c>
      <c r="BH238" s="90" t="str">
        <f aca="false">IF($BL238&lt;&gt;Constants!$B$4,"",IF(NOT($BC238),"",Constants!$B$18*INT(ROUND($AN238,6))))</f>
        <v/>
      </c>
      <c r="BI238" s="85" t="str">
        <f aca="false">IF($BL238&lt;&gt;Constants!$B$4,"",IF(NOT($BC238),"",IF(NOT($X238),Constants!$B$11,IF(OR(NOT($AI238),NOT($AJ238),ROUND($AB238,1)&gt;Constants!$B$12,ROUND($Z238,1)&gt;Constants!$B$13,ROUND($AA238,1)&gt;Constants!$B$14),Constants!$B$10,Constants!$B$9))))</f>
        <v/>
      </c>
      <c r="BJ238" s="91" t="str">
        <f aca="false">IF($BL238&lt;&gt;Constants!$B$4,"",IF(NOT($BC238),"",ROUND($BE238+$BF238+$BG238+$BH238,1)))</f>
        <v/>
      </c>
      <c r="BK238" s="92" t="str">
        <f aca="false">IF($BL238&lt;&gt;Constants!$B$4,"",IF(NOT($BC238),"",IF(ISNUMBER($AL238),$AL238,0)))</f>
        <v/>
      </c>
      <c r="BL238" s="86" t="str">
        <f aca="false">IF(ISBLANK($C238),"",IF($AO238,Constants!$B$7,IF(COUNTA($E238:$V238)=0,Constants!$B$6,IF(NOT($Y238),Constants!$B$5,IF(NOT(OR($AS238,$BC238)),Constants!$B$5,IF(OR($AT238,$BD238,$AQ238,$AR238&lt;&gt;""),Constants!$B$8,Constants!$B$4))))))</f>
        <v/>
      </c>
      <c r="BM238" s="86" t="str">
        <f aca="false">IF(ISBLANK($C238),"",IF($BL238&lt;&gt;Constants!$B$4,$BL238,IF($BB238="-&gt;",$BI238,$AY238)))</f>
        <v/>
      </c>
      <c r="BN238" s="90" t="str">
        <f aca="false">IF($BL238&lt;&gt;Constants!$B$4,"",IF($BB238="-&gt;",$BJ238,$AZ238))</f>
        <v/>
      </c>
      <c r="BO238" s="90" t="str">
        <f aca="false">IF(ISBLANK($C238),"",IF($BL238&lt;&gt;Constants!$B$4,$BL238,$BN238))</f>
        <v/>
      </c>
      <c r="BP238" s="86" t="str">
        <f aca="false">IF(ISBLANK($C238),"",IF($BL238&lt;&gt;Constants!$B$4,$BL238,RANK($BO238,$BO$9:$BO$508,0)))</f>
        <v/>
      </c>
      <c r="BQ238" s="86" t="str">
        <f aca="false">IF(ISBLANK($C238),"",IF($BL238&lt;&gt;Constants!$B$4,$BL238,COUNTIFS($BM$9:$BM$508,"&lt;"&amp;$BM238)+COUNTIFS($BM$9:$BM$508,$BM238,$BP$9:$BP$508,"&lt;"&amp;$BP238)+1))</f>
        <v/>
      </c>
      <c r="BR238" s="90" t="str">
        <f aca="false">IF($BL238&lt;&gt;Constants!$B$4,"",IF($BB238="-&gt;",$BH238,$AX238))</f>
        <v/>
      </c>
      <c r="BS238" s="86" t="str">
        <f aca="false">IF(ISBLANK($C238),"",IF($BL238&lt;&gt;Constants!$B$4,$BL238,IF(ISNUMBER($BR238),RANK($BR238,$BR$9:$BR$508,0),COUNT($BR$9:$BR$508)+1)))</f>
        <v/>
      </c>
      <c r="BT238" s="90" t="str">
        <f aca="false">IF($BL238&lt;&gt;Constants!$B$4,"",IF($BB238="-&gt;",$BE238,$AU238))</f>
        <v/>
      </c>
      <c r="BU238" s="86" t="str">
        <f aca="false">IF(ISBLANK($C238),"",IF($BL238&lt;&gt;Constants!$B$4,$BL238,IF(ISNUMBER($BT238),RANK($BT238,$BT$9:$BT$508,0),COUNT($BT$9:$BT$508)+1)))</f>
        <v/>
      </c>
      <c r="BV238" s="90" t="str">
        <f aca="false">IF($BL238&lt;&gt;Constants!$B$4,"",IF($BB238="-&gt;",$BF238,$AV238))</f>
        <v/>
      </c>
      <c r="BW238" s="86" t="str">
        <f aca="false">IF(ISBLANK($C238),"",IF($BL238&lt;&gt;Constants!$B$4,$BL238,IF(ISNUMBER($BV238),RANK($BV238,$BV$9:$BV$508,0),COUNT($BV$9:$BV$508)+1)))</f>
        <v/>
      </c>
      <c r="BX238" s="90" t="str">
        <f aca="false">IF($BL238&lt;&gt;Constants!$B$4,"",IF($BB238="-&gt;",$BK238,$BA238))</f>
        <v/>
      </c>
      <c r="BY238" s="86" t="str">
        <f aca="false">IF(ISBLANK($C238),"",IF($BL238&lt;&gt;Constants!$B$4,$BL238,IF(ISNUMBER($BX238),RANK($BX238,$BX$9:$BX$508,0),COUNT($BX$9:$BX$508)+1)))</f>
        <v/>
      </c>
      <c r="BZ238" s="86" t="str">
        <f aca="false">IF(ISBLANK($C238),"",IF($BL238&lt;&gt;Constants!$B$4,$BL238,COUNTIFS($BM$9:$BM$508,"&lt;"&amp;$BM238)+COUNTIFS($BM$9:$BM$508,$BM238,$BP$9:$BP$508,"&lt;"&amp;$BP238)+COUNTIFS($BM$9:$BM$508,$BM238,$BP$9:$BP$508,$BP238,$BS$9:$BS$508,"&lt;"&amp;$BS238)+COUNTIFS($BM$9:$BM$508,$BM238,$BP$9:$BP$508,$BP238,$BS$9:$BS$508,$BS238,$BU$9:$BU$508,"&lt;"&amp;$BU238)+COUNTIFS($BM$9:$BM$508,$BM238,$BP$9:$BP$508,$BP238,$BS$9:$BS$508,$BS238,$BU$9:$BU$508,$BU238,$BW$9:$BW$508,"&lt;"&amp;$BW238)+COUNTIFS($BM$9:$BM$508,$BM238,$BP$9:$BP$508,$BP238,$BS$9:$BS$508,$BS238,$BU$9:$BU$508,$BU238,$BW$9:$BW$508,$BW238,$BY$9:$BY$508,"&lt;"&amp;$BY238)+1))</f>
        <v/>
      </c>
      <c r="CA238" s="86" t="str">
        <f aca="false">IF(ISBLANK($C238),"",IF($BL238&lt;&gt;Constants!$B$4,$BL238,$BQ238-$BZ238))</f>
        <v/>
      </c>
      <c r="CB238" s="93"/>
      <c r="CC238" s="94" t="str">
        <f aca="false">IF(ISBLANK($C238),"",IF($BL238=Constants!$B$8,$AR238,""))</f>
        <v/>
      </c>
      <c r="CD238" s="94" t="str">
        <f aca="false">IF(ISBLANK($C238),"",IF($BL238&lt;&gt;Constants!$B$4,"",IF($BB238="-&gt;",2,1)))</f>
        <v/>
      </c>
      <c r="CE238" s="95" t="str">
        <f aca="false">IF(ISBLANK($C238),"",IF($BL238&lt;&gt;Constants!$B$4,"",IF($BB238="-&gt;",$BE238,$AU238)))</f>
        <v/>
      </c>
      <c r="CF238" s="95" t="str">
        <f aca="false">IF(ISBLANK($C238),"",IF($BL238&lt;&gt;Constants!$B$4,"",IF($BB238="-&gt;",$BF238,$AV238)))</f>
        <v/>
      </c>
      <c r="CG238" s="95" t="str">
        <f aca="false">IF(ISBLANK($C238),"",IF($BL238&lt;&gt;Constants!$B$4,"",IF($BB238="-&gt;",$BG238,$AW238)))</f>
        <v/>
      </c>
      <c r="CH238" s="95" t="str">
        <f aca="false">IF(ISBLANK($C238),"",IF($BL238&lt;&gt;Constants!$B$4,"",IF($BB238="-&gt;",$BH238,$AX238)))</f>
        <v/>
      </c>
      <c r="CI238" s="96" t="str">
        <f aca="false">IF(ISBLANK($C238),"",$BO238)</f>
        <v/>
      </c>
      <c r="CJ238" s="97" t="str">
        <f aca="false">IF(ISBLANK($C238),"",$BM238)</f>
        <v/>
      </c>
      <c r="CK238" s="98" t="str">
        <f aca="false">IF(ISBLANK($C238),"",$CA238)</f>
        <v/>
      </c>
      <c r="CL238" s="98" t="str">
        <f aca="false">IF(ISBLANK($C238),"",$BZ238)</f>
        <v/>
      </c>
      <c r="CM238" s="99" t="str">
        <f aca="false">IF(ISBLANK($C238),"",IF($CL238=Constants!$B$7,COUNTA($C$9:$C$508)+2,IF($CL238=Constants!$B$6,COUNTA($C$9:$C$508)+1,IF($CL238=Constants!$B$5,COUNTA($C$9:$C$508),$CL238))))</f>
        <v/>
      </c>
      <c r="CN238" s="8"/>
      <c r="CO238" s="100" t="n">
        <f aca="false">IF(OR(ISNUMBER($CL238),$CL238=Constants!$B$7,$CL238=Constants!$B$5,$CL238=Constants!$B$6),1,0)</f>
        <v>0</v>
      </c>
      <c r="CP238" s="100" t="n">
        <v>230</v>
      </c>
      <c r="CQ238" s="100" t="str">
        <f aca="false">IF(ISBLANK($C238),"",IF(ISNUMBER($CM238),$CM238+ROW($B238)/1000,""))</f>
        <v/>
      </c>
      <c r="CR238" s="100" t="str">
        <f aca="false">IF(ISNUMBER($CQ238),RANK($CQ238,$CQ$9:$CQ$508,1),"")</f>
        <v/>
      </c>
      <c r="CS238" s="100" t="str">
        <f aca="false">IF(ISBLANK($C238),"",$B238)</f>
        <v/>
      </c>
      <c r="CT238" s="100" t="str">
        <f aca="false">IF(ISBLANK($C238),"",$C238)</f>
        <v/>
      </c>
      <c r="CU238" s="100" t="str">
        <f aca="false">IF(ISBLANK($C238),"",$D238)</f>
        <v/>
      </c>
      <c r="CV238" s="101" t="str">
        <f aca="false">$CJ238</f>
        <v/>
      </c>
      <c r="CW238" s="102" t="str">
        <f aca="false">$CI238</f>
        <v/>
      </c>
      <c r="CX238" s="100" t="str">
        <f aca="false">IF(ISBLANK($C238),"",$CL238)</f>
        <v/>
      </c>
      <c r="CY238" s="103" t="str">
        <f aca="false">IF($CP238&gt;$CO$8,"",VLOOKUP($CP238,$CR$9:$CX$508,7,FALSE()))</f>
        <v/>
      </c>
      <c r="CZ238" s="104" t="str">
        <f aca="false">IF($CP238&gt;$CO$8,"",VLOOKUP($CP238,$CR$9:$CX$508,2,FALSE()))</f>
        <v/>
      </c>
      <c r="DA238" s="104" t="str">
        <f aca="false">IF($CP238&gt;$CO$8,"",VLOOKUP($CP238,$CR$9:$CX$508,3,FALSE()))</f>
        <v/>
      </c>
      <c r="DB238" s="104" t="str">
        <f aca="false">IF($CP238&gt;$CO$8,"",VLOOKUP($CP238,$CR$9:$CX$508,4,FALSE()))</f>
        <v/>
      </c>
      <c r="DC238" s="104" t="str">
        <f aca="false">IF($CP238&gt;$CO$8,"",VLOOKUP($CP238,$CR$9:$CX$508,5,FALSE()))</f>
        <v/>
      </c>
      <c r="DD238" s="105" t="str">
        <f aca="false">IF($CP238&gt;$CO$8,"",VLOOKUP($CP238,$CR$9:$CX$508,6,FALSE()))</f>
        <v/>
      </c>
      <c r="DE238" s="70"/>
    </row>
    <row r="239" customFormat="false" ht="15.75" hidden="false" customHeight="false" outlineLevel="0" collapsed="false">
      <c r="A239" s="8"/>
      <c r="B239" s="72"/>
      <c r="C239" s="73"/>
      <c r="D239" s="155"/>
      <c r="E239" s="162"/>
      <c r="F239" s="157"/>
      <c r="G239" s="77"/>
      <c r="H239" s="77"/>
      <c r="I239" s="77"/>
      <c r="J239" s="163"/>
      <c r="K239" s="161"/>
      <c r="L239" s="161"/>
      <c r="M239" s="80"/>
      <c r="N239" s="161"/>
      <c r="O239" s="160"/>
      <c r="P239" s="161"/>
      <c r="Q239" s="161"/>
      <c r="R239" s="161"/>
      <c r="S239" s="77"/>
      <c r="T239" s="161"/>
      <c r="U239" s="160"/>
      <c r="V239" s="161"/>
      <c r="W239" s="85"/>
      <c r="X239" s="86" t="str">
        <f aca="false">IF(ISBLANK($C239),"",IF($E239=Constants!$B$2,TRUE(),IF($E239=Constants!$B$3,FALSE(),TRUE())))</f>
        <v/>
      </c>
      <c r="Y239" s="86" t="str">
        <f aca="false">IF(ISBLANK($C239),"",IF($F239=Constants!$B$2,TRUE(),IF($F239=Constants!$B$3,FALSE(),TRUE())))</f>
        <v/>
      </c>
      <c r="Z239" s="87" t="str">
        <f aca="false">IF(ISBLANK($C239),"",IF(ISNUMBER($G239),IF($G239&gt;=0,$G239,""),""))</f>
        <v/>
      </c>
      <c r="AA239" s="87" t="str">
        <f aca="false">IF(ISBLANK($C239),"",IF(ISNUMBER($H239),IF($H239&gt;=0,$H239,""),""))</f>
        <v/>
      </c>
      <c r="AB239" s="87" t="str">
        <f aca="false">IF(ISBLANK($C239),"",IF(ISNUMBER($I239),IF($I239&gt;=0,$I239,""),""))</f>
        <v/>
      </c>
      <c r="AC239" s="86" t="str">
        <f aca="false">IF(ISBLANK($C239),"",IF($J239=Constants!$B$2,TRUE(),IF($J239=Constants!$B$3,FALSE(),TRUE())))</f>
        <v/>
      </c>
      <c r="AD239" s="86" t="str">
        <f aca="false">IF(ISBLANK($C239),"",IF($K239=Constants!$B$2,TRUE(),IF($K239=Constants!$B$3,FALSE(),TRUE())))</f>
        <v/>
      </c>
      <c r="AE239" s="86" t="str">
        <f aca="false">IF(ISBLANK($C239),"",IF($L239=Constants!$B$2,TRUE(),IF($L239=Constants!$B$3,FALSE(),TRUE())))</f>
        <v/>
      </c>
      <c r="AF239" s="88" t="str">
        <f aca="false">IF(ISBLANK($C239),"",IF(ISNUMBER($M239),IF($M239&gt;=0,$M239,""),""))</f>
        <v/>
      </c>
      <c r="AG239" s="86" t="str">
        <f aca="false">IF(ISBLANK($C239),"",IF(ISBLANK($N239),0,IF(ISNUMBER($N239),IF(AND($N239&gt;=0,$N239&lt;=Constants!$B$17,$N239=INT($N239)),$N239,""),"")))</f>
        <v/>
      </c>
      <c r="AH239" s="87" t="str">
        <f aca="false">IF(ISBLANK($C239),"",IF(ISBLANK($O239),0,IF(ISNUMBER($O239),IF($O239&gt;=0,$O239,""),"")))</f>
        <v/>
      </c>
      <c r="AI239" s="86" t="str">
        <f aca="false">IF(ISBLANK($C239),"",IF($P239=Constants!$B$2,TRUE(),IF($P239=Constants!$B$3,FALSE(),TRUE())))</f>
        <v/>
      </c>
      <c r="AJ239" s="86" t="str">
        <f aca="false">IF(ISBLANK($C239),"",IF($Q239=Constants!$B$2,TRUE(),IF($Q239=Constants!$B$3,FALSE(),TRUE())))</f>
        <v/>
      </c>
      <c r="AK239" s="86" t="str">
        <f aca="false">IF(ISBLANK($C239),"",IF($R239=Constants!$B$2,TRUE(),IF($R239=Constants!$B$3,FALSE(),TRUE())))</f>
        <v/>
      </c>
      <c r="AL239" s="88" t="str">
        <f aca="false">IF(ISBLANK($C239),"",IF(ISNUMBER($S239),IF($S239&gt;=0,$S239,""),""))</f>
        <v/>
      </c>
      <c r="AM239" s="86" t="str">
        <f aca="false">IF(ISBLANK($C239),"",IF(ISBLANK($T239),0,IF(ISNUMBER($T239),IF(AND($T239&gt;=0,$T239&lt;=Constants!$B$17,$T239=INT($T239)),$T239,""),"")))</f>
        <v/>
      </c>
      <c r="AN239" s="87" t="str">
        <f aca="false">IF(ISBLANK($C239),"",IF(ISBLANK($U239),0,IF(ISNUMBER($U239),IF($U239&gt;=0,$U239,""),"")))</f>
        <v/>
      </c>
      <c r="AO239" s="86" t="str">
        <f aca="false">IF(ISBLANK($C239),"",IF($V239=Constants!$B$2,TRUE(),IF($V239=Constants!$B$3,FALSE(),FALSE())))</f>
        <v/>
      </c>
      <c r="AP239" s="86"/>
      <c r="AQ239" s="85" t="str">
        <f aca="false">IF(ISBLANK($C239),"",AND($Y239,OR($AS239,$BC239),OR($Z239="",$AA239="",$AB239="")))</f>
        <v/>
      </c>
      <c r="AR239" s="85" t="str">
        <f aca="false">IF(ISBLANK($C239),"",IF(OR(NOT($Y239),NOT(OR($AS239,$BC239))),"",IF(ISBLANK($D$7),$AR$5,IF($AP$9="",$AR$6,""))))</f>
        <v/>
      </c>
      <c r="AS239" s="85" t="str">
        <f aca="false">IF(ISBLANK($C239),"",COUNTA($J239:$O239)&gt;0)</f>
        <v/>
      </c>
      <c r="AT239" s="85" t="str">
        <f aca="false">IF(ISBLANK($C239),"",AND($AS239,OR(AND($AF239="",OR($AE239,NOT(ISBLANK($M239)))),$AG239="",$AH239="")))</f>
        <v/>
      </c>
      <c r="AU239" s="87" t="str">
        <f aca="false">IF($BL239&lt;&gt;Constants!$B$4,"",IF(NOT($AS239),"",ROUND((Constants!$B$12-$AB239)+(Constants!$B$13-$Z239)+(Constants!$B$14-$AA239),1)))</f>
        <v/>
      </c>
      <c r="AV239" s="90" t="str">
        <f aca="false">IF($BL239&lt;&gt;Constants!$B$4,"",IF(NOT($AS239),"",IF(NOT($AE239),0,Constants!$B$15*(INT(ROUND(MIN($AF239,$AP$9),6))-INT(ROUND(MAX(0,MIN($AF239,2*$AP$9)-$AP$9),6))))))</f>
        <v/>
      </c>
      <c r="AW239" s="90" t="str">
        <f aca="false">IF($BL239&lt;&gt;Constants!$B$4,"",IF(NOT($AS239),"",Constants!$B$16*$AG239))</f>
        <v/>
      </c>
      <c r="AX239" s="90" t="str">
        <f aca="false">IF($BL239&lt;&gt;Constants!$B$4,"",IF(NOT($AS239),"",Constants!$B$18*INT(ROUND($AH239,6))))</f>
        <v/>
      </c>
      <c r="AY239" s="85" t="str">
        <f aca="false">IF($BL239&lt;&gt;Constants!$B$4,"",IF(NOT($AS239),"",IF(NOT($X239),Constants!$B$11,IF(OR(NOT($AC239),NOT($AD239),ROUND($AB239,1)&gt;Constants!$B$12,ROUND($Z239,1)&gt;Constants!$B$13,ROUND($AA239,1)&gt;Constants!$B$14),Constants!$B$10,Constants!$B$9))))</f>
        <v/>
      </c>
      <c r="AZ239" s="91" t="str">
        <f aca="false">IF($BL239&lt;&gt;Constants!$B$4,"",IF(NOT($AS239),"",ROUND($AU239+$AV239+$AW239+$AX239,1)))</f>
        <v/>
      </c>
      <c r="BA239" s="92" t="str">
        <f aca="false">IF($BL239&lt;&gt;Constants!$B$4,"",IF(NOT($AS239),"",IF(ISNUMBER($AF239),$AF239,0)))</f>
        <v/>
      </c>
      <c r="BB239" s="86" t="str">
        <f aca="false">IF($BL239&lt;&gt;Constants!$B$4,"",IF(NOT($BC239),"&lt;-",IF(NOT($AS239),"-&gt;",IF(OR($BI239&lt;$AY239,AND($BI239=$AY239,OR($BJ239&gt;$AZ239,AND($BJ239=$AZ239,OR($BH239&gt;$AX239,AND($BH239=$AX239,OR($BE239&gt;$AU239,AND($BE239=$AU239,OR($BF239&gt;$AV239,AND($BF239=$AV239,$BK239&gt;$BA239)))))))))),"-&gt;","&lt;-"))))</f>
        <v/>
      </c>
      <c r="BC239" s="85" t="str">
        <f aca="false">IF(ISBLANK($C239),"",COUNTA($P239:$U239)&gt;0)</f>
        <v/>
      </c>
      <c r="BD239" s="85" t="str">
        <f aca="false">IF(ISBLANK($C239),"",AND($BC239,OR(AND($AL239="",OR($AK239,NOT(ISBLANK($S239)))),$AM239="",$AN239="")))</f>
        <v/>
      </c>
      <c r="BE239" s="87" t="str">
        <f aca="false">IF($BL239&lt;&gt;Constants!$B$4,"",IF(NOT($BC239),"",ROUND((Constants!$B$12-$AB239)+(Constants!$B$13-$Z239)+(Constants!$B$14-$AA239),1)))</f>
        <v/>
      </c>
      <c r="BF239" s="90" t="str">
        <f aca="false">IF($BL239&lt;&gt;Constants!$B$4,"",IF(NOT($BC239),"",IF(NOT($AK239),0,Constants!$B$15*(INT(ROUND(MIN($AL239,$AP$9),6))-INT(ROUND(MAX(0,MIN($AL239,2*$AP$9)-$AP$9),6))))))</f>
        <v/>
      </c>
      <c r="BG239" s="90" t="str">
        <f aca="false">IF($BL239&lt;&gt;Constants!$B$4,"",IF(NOT($BC239),"",Constants!$B$16*$AM239))</f>
        <v/>
      </c>
      <c r="BH239" s="90" t="str">
        <f aca="false">IF($BL239&lt;&gt;Constants!$B$4,"",IF(NOT($BC239),"",Constants!$B$18*INT(ROUND($AN239,6))))</f>
        <v/>
      </c>
      <c r="BI239" s="85" t="str">
        <f aca="false">IF($BL239&lt;&gt;Constants!$B$4,"",IF(NOT($BC239),"",IF(NOT($X239),Constants!$B$11,IF(OR(NOT($AI239),NOT($AJ239),ROUND($AB239,1)&gt;Constants!$B$12,ROUND($Z239,1)&gt;Constants!$B$13,ROUND($AA239,1)&gt;Constants!$B$14),Constants!$B$10,Constants!$B$9))))</f>
        <v/>
      </c>
      <c r="BJ239" s="91" t="str">
        <f aca="false">IF($BL239&lt;&gt;Constants!$B$4,"",IF(NOT($BC239),"",ROUND($BE239+$BF239+$BG239+$BH239,1)))</f>
        <v/>
      </c>
      <c r="BK239" s="92" t="str">
        <f aca="false">IF($BL239&lt;&gt;Constants!$B$4,"",IF(NOT($BC239),"",IF(ISNUMBER($AL239),$AL239,0)))</f>
        <v/>
      </c>
      <c r="BL239" s="86" t="str">
        <f aca="false">IF(ISBLANK($C239),"",IF($AO239,Constants!$B$7,IF(COUNTA($E239:$V239)=0,Constants!$B$6,IF(NOT($Y239),Constants!$B$5,IF(NOT(OR($AS239,$BC239)),Constants!$B$5,IF(OR($AT239,$BD239,$AQ239,$AR239&lt;&gt;""),Constants!$B$8,Constants!$B$4))))))</f>
        <v/>
      </c>
      <c r="BM239" s="86" t="str">
        <f aca="false">IF(ISBLANK($C239),"",IF($BL239&lt;&gt;Constants!$B$4,$BL239,IF($BB239="-&gt;",$BI239,$AY239)))</f>
        <v/>
      </c>
      <c r="BN239" s="90" t="str">
        <f aca="false">IF($BL239&lt;&gt;Constants!$B$4,"",IF($BB239="-&gt;",$BJ239,$AZ239))</f>
        <v/>
      </c>
      <c r="BO239" s="90" t="str">
        <f aca="false">IF(ISBLANK($C239),"",IF($BL239&lt;&gt;Constants!$B$4,$BL239,$BN239))</f>
        <v/>
      </c>
      <c r="BP239" s="86" t="str">
        <f aca="false">IF(ISBLANK($C239),"",IF($BL239&lt;&gt;Constants!$B$4,$BL239,RANK($BO239,$BO$9:$BO$508,0)))</f>
        <v/>
      </c>
      <c r="BQ239" s="86" t="str">
        <f aca="false">IF(ISBLANK($C239),"",IF($BL239&lt;&gt;Constants!$B$4,$BL239,COUNTIFS($BM$9:$BM$508,"&lt;"&amp;$BM239)+COUNTIFS($BM$9:$BM$508,$BM239,$BP$9:$BP$508,"&lt;"&amp;$BP239)+1))</f>
        <v/>
      </c>
      <c r="BR239" s="90" t="str">
        <f aca="false">IF($BL239&lt;&gt;Constants!$B$4,"",IF($BB239="-&gt;",$BH239,$AX239))</f>
        <v/>
      </c>
      <c r="BS239" s="86" t="str">
        <f aca="false">IF(ISBLANK($C239),"",IF($BL239&lt;&gt;Constants!$B$4,$BL239,IF(ISNUMBER($BR239),RANK($BR239,$BR$9:$BR$508,0),COUNT($BR$9:$BR$508)+1)))</f>
        <v/>
      </c>
      <c r="BT239" s="90" t="str">
        <f aca="false">IF($BL239&lt;&gt;Constants!$B$4,"",IF($BB239="-&gt;",$BE239,$AU239))</f>
        <v/>
      </c>
      <c r="BU239" s="86" t="str">
        <f aca="false">IF(ISBLANK($C239),"",IF($BL239&lt;&gt;Constants!$B$4,$BL239,IF(ISNUMBER($BT239),RANK($BT239,$BT$9:$BT$508,0),COUNT($BT$9:$BT$508)+1)))</f>
        <v/>
      </c>
      <c r="BV239" s="90" t="str">
        <f aca="false">IF($BL239&lt;&gt;Constants!$B$4,"",IF($BB239="-&gt;",$BF239,$AV239))</f>
        <v/>
      </c>
      <c r="BW239" s="86" t="str">
        <f aca="false">IF(ISBLANK($C239),"",IF($BL239&lt;&gt;Constants!$B$4,$BL239,IF(ISNUMBER($BV239),RANK($BV239,$BV$9:$BV$508,0),COUNT($BV$9:$BV$508)+1)))</f>
        <v/>
      </c>
      <c r="BX239" s="90" t="str">
        <f aca="false">IF($BL239&lt;&gt;Constants!$B$4,"",IF($BB239="-&gt;",$BK239,$BA239))</f>
        <v/>
      </c>
      <c r="BY239" s="86" t="str">
        <f aca="false">IF(ISBLANK($C239),"",IF($BL239&lt;&gt;Constants!$B$4,$BL239,IF(ISNUMBER($BX239),RANK($BX239,$BX$9:$BX$508,0),COUNT($BX$9:$BX$508)+1)))</f>
        <v/>
      </c>
      <c r="BZ239" s="86" t="str">
        <f aca="false">IF(ISBLANK($C239),"",IF($BL239&lt;&gt;Constants!$B$4,$BL239,COUNTIFS($BM$9:$BM$508,"&lt;"&amp;$BM239)+COUNTIFS($BM$9:$BM$508,$BM239,$BP$9:$BP$508,"&lt;"&amp;$BP239)+COUNTIFS($BM$9:$BM$508,$BM239,$BP$9:$BP$508,$BP239,$BS$9:$BS$508,"&lt;"&amp;$BS239)+COUNTIFS($BM$9:$BM$508,$BM239,$BP$9:$BP$508,$BP239,$BS$9:$BS$508,$BS239,$BU$9:$BU$508,"&lt;"&amp;$BU239)+COUNTIFS($BM$9:$BM$508,$BM239,$BP$9:$BP$508,$BP239,$BS$9:$BS$508,$BS239,$BU$9:$BU$508,$BU239,$BW$9:$BW$508,"&lt;"&amp;$BW239)+COUNTIFS($BM$9:$BM$508,$BM239,$BP$9:$BP$508,$BP239,$BS$9:$BS$508,$BS239,$BU$9:$BU$508,$BU239,$BW$9:$BW$508,$BW239,$BY$9:$BY$508,"&lt;"&amp;$BY239)+1))</f>
        <v/>
      </c>
      <c r="CA239" s="86" t="str">
        <f aca="false">IF(ISBLANK($C239),"",IF($BL239&lt;&gt;Constants!$B$4,$BL239,$BQ239-$BZ239))</f>
        <v/>
      </c>
      <c r="CB239" s="93"/>
      <c r="CC239" s="94" t="str">
        <f aca="false">IF(ISBLANK($C239),"",IF($BL239=Constants!$B$8,$AR239,""))</f>
        <v/>
      </c>
      <c r="CD239" s="94" t="str">
        <f aca="false">IF(ISBLANK($C239),"",IF($BL239&lt;&gt;Constants!$B$4,"",IF($BB239="-&gt;",2,1)))</f>
        <v/>
      </c>
      <c r="CE239" s="95" t="str">
        <f aca="false">IF(ISBLANK($C239),"",IF($BL239&lt;&gt;Constants!$B$4,"",IF($BB239="-&gt;",$BE239,$AU239)))</f>
        <v/>
      </c>
      <c r="CF239" s="95" t="str">
        <f aca="false">IF(ISBLANK($C239),"",IF($BL239&lt;&gt;Constants!$B$4,"",IF($BB239="-&gt;",$BF239,$AV239)))</f>
        <v/>
      </c>
      <c r="CG239" s="95" t="str">
        <f aca="false">IF(ISBLANK($C239),"",IF($BL239&lt;&gt;Constants!$B$4,"",IF($BB239="-&gt;",$BG239,$AW239)))</f>
        <v/>
      </c>
      <c r="CH239" s="95" t="str">
        <f aca="false">IF(ISBLANK($C239),"",IF($BL239&lt;&gt;Constants!$B$4,"",IF($BB239="-&gt;",$BH239,$AX239)))</f>
        <v/>
      </c>
      <c r="CI239" s="96" t="str">
        <f aca="false">IF(ISBLANK($C239),"",$BO239)</f>
        <v/>
      </c>
      <c r="CJ239" s="97" t="str">
        <f aca="false">IF(ISBLANK($C239),"",$BM239)</f>
        <v/>
      </c>
      <c r="CK239" s="98" t="str">
        <f aca="false">IF(ISBLANK($C239),"",$CA239)</f>
        <v/>
      </c>
      <c r="CL239" s="98" t="str">
        <f aca="false">IF(ISBLANK($C239),"",$BZ239)</f>
        <v/>
      </c>
      <c r="CM239" s="99" t="str">
        <f aca="false">IF(ISBLANK($C239),"",IF($CL239=Constants!$B$7,COUNTA($C$9:$C$508)+2,IF($CL239=Constants!$B$6,COUNTA($C$9:$C$508)+1,IF($CL239=Constants!$B$5,COUNTA($C$9:$C$508),$CL239))))</f>
        <v/>
      </c>
      <c r="CN239" s="8"/>
      <c r="CO239" s="100" t="n">
        <f aca="false">IF(OR(ISNUMBER($CL239),$CL239=Constants!$B$7,$CL239=Constants!$B$5,$CL239=Constants!$B$6),1,0)</f>
        <v>0</v>
      </c>
      <c r="CP239" s="100" t="n">
        <v>231</v>
      </c>
      <c r="CQ239" s="100" t="str">
        <f aca="false">IF(ISBLANK($C239),"",IF(ISNUMBER($CM239),$CM239+ROW($B239)/1000,""))</f>
        <v/>
      </c>
      <c r="CR239" s="100" t="str">
        <f aca="false">IF(ISNUMBER($CQ239),RANK($CQ239,$CQ$9:$CQ$508,1),"")</f>
        <v/>
      </c>
      <c r="CS239" s="100" t="str">
        <f aca="false">IF(ISBLANK($C239),"",$B239)</f>
        <v/>
      </c>
      <c r="CT239" s="100" t="str">
        <f aca="false">IF(ISBLANK($C239),"",$C239)</f>
        <v/>
      </c>
      <c r="CU239" s="100" t="str">
        <f aca="false">IF(ISBLANK($C239),"",$D239)</f>
        <v/>
      </c>
      <c r="CV239" s="101" t="str">
        <f aca="false">$CJ239</f>
        <v/>
      </c>
      <c r="CW239" s="102" t="str">
        <f aca="false">$CI239</f>
        <v/>
      </c>
      <c r="CX239" s="100" t="str">
        <f aca="false">IF(ISBLANK($C239),"",$CL239)</f>
        <v/>
      </c>
      <c r="CY239" s="103" t="str">
        <f aca="false">IF($CP239&gt;$CO$8,"",VLOOKUP($CP239,$CR$9:$CX$508,7,FALSE()))</f>
        <v/>
      </c>
      <c r="CZ239" s="104" t="str">
        <f aca="false">IF($CP239&gt;$CO$8,"",VLOOKUP($CP239,$CR$9:$CX$508,2,FALSE()))</f>
        <v/>
      </c>
      <c r="DA239" s="104" t="str">
        <f aca="false">IF($CP239&gt;$CO$8,"",VLOOKUP($CP239,$CR$9:$CX$508,3,FALSE()))</f>
        <v/>
      </c>
      <c r="DB239" s="104" t="str">
        <f aca="false">IF($CP239&gt;$CO$8,"",VLOOKUP($CP239,$CR$9:$CX$508,4,FALSE()))</f>
        <v/>
      </c>
      <c r="DC239" s="104" t="str">
        <f aca="false">IF($CP239&gt;$CO$8,"",VLOOKUP($CP239,$CR$9:$CX$508,5,FALSE()))</f>
        <v/>
      </c>
      <c r="DD239" s="105" t="str">
        <f aca="false">IF($CP239&gt;$CO$8,"",VLOOKUP($CP239,$CR$9:$CX$508,6,FALSE()))</f>
        <v/>
      </c>
      <c r="DE239" s="70"/>
    </row>
    <row r="240" customFormat="false" ht="15.75" hidden="false" customHeight="false" outlineLevel="0" collapsed="false">
      <c r="A240" s="8"/>
      <c r="B240" s="146"/>
      <c r="C240" s="147"/>
      <c r="D240" s="148"/>
      <c r="E240" s="164"/>
      <c r="F240" s="150"/>
      <c r="G240" s="115"/>
      <c r="H240" s="115"/>
      <c r="I240" s="115"/>
      <c r="J240" s="165"/>
      <c r="K240" s="154"/>
      <c r="L240" s="154"/>
      <c r="M240" s="118"/>
      <c r="N240" s="154"/>
      <c r="O240" s="153"/>
      <c r="P240" s="154"/>
      <c r="Q240" s="154"/>
      <c r="R240" s="154"/>
      <c r="S240" s="115"/>
      <c r="T240" s="154"/>
      <c r="U240" s="153"/>
      <c r="V240" s="154"/>
      <c r="W240" s="123"/>
      <c r="X240" s="124" t="str">
        <f aca="false">IF(ISBLANK($C240),"",IF($E240=Constants!$B$2,TRUE(),IF($E240=Constants!$B$3,FALSE(),TRUE())))</f>
        <v/>
      </c>
      <c r="Y240" s="124" t="str">
        <f aca="false">IF(ISBLANK($C240),"",IF($F240=Constants!$B$2,TRUE(),IF($F240=Constants!$B$3,FALSE(),TRUE())))</f>
        <v/>
      </c>
      <c r="Z240" s="125" t="str">
        <f aca="false">IF(ISBLANK($C240),"",IF(ISNUMBER($G240),IF($G240&gt;=0,$G240,""),""))</f>
        <v/>
      </c>
      <c r="AA240" s="125" t="str">
        <f aca="false">IF(ISBLANK($C240),"",IF(ISNUMBER($H240),IF($H240&gt;=0,$H240,""),""))</f>
        <v/>
      </c>
      <c r="AB240" s="125" t="str">
        <f aca="false">IF(ISBLANK($C240),"",IF(ISNUMBER($I240),IF($I240&gt;=0,$I240,""),""))</f>
        <v/>
      </c>
      <c r="AC240" s="124" t="str">
        <f aca="false">IF(ISBLANK($C240),"",IF($J240=Constants!$B$2,TRUE(),IF($J240=Constants!$B$3,FALSE(),TRUE())))</f>
        <v/>
      </c>
      <c r="AD240" s="124" t="str">
        <f aca="false">IF(ISBLANK($C240),"",IF($K240=Constants!$B$2,TRUE(),IF($K240=Constants!$B$3,FALSE(),TRUE())))</f>
        <v/>
      </c>
      <c r="AE240" s="124" t="str">
        <f aca="false">IF(ISBLANK($C240),"",IF($L240=Constants!$B$2,TRUE(),IF($L240=Constants!$B$3,FALSE(),TRUE())))</f>
        <v/>
      </c>
      <c r="AF240" s="126" t="str">
        <f aca="false">IF(ISBLANK($C240),"",IF(ISNUMBER($M240),IF($M240&gt;=0,$M240,""),""))</f>
        <v/>
      </c>
      <c r="AG240" s="124" t="str">
        <f aca="false">IF(ISBLANK($C240),"",IF(ISBLANK($N240),0,IF(ISNUMBER($N240),IF(AND($N240&gt;=0,$N240&lt;=Constants!$B$17,$N240=INT($N240)),$N240,""),"")))</f>
        <v/>
      </c>
      <c r="AH240" s="125" t="str">
        <f aca="false">IF(ISBLANK($C240),"",IF(ISBLANK($O240),0,IF(ISNUMBER($O240),IF($O240&gt;=0,$O240,""),"")))</f>
        <v/>
      </c>
      <c r="AI240" s="124" t="str">
        <f aca="false">IF(ISBLANK($C240),"",IF($P240=Constants!$B$2,TRUE(),IF($P240=Constants!$B$3,FALSE(),TRUE())))</f>
        <v/>
      </c>
      <c r="AJ240" s="124" t="str">
        <f aca="false">IF(ISBLANK($C240),"",IF($Q240=Constants!$B$2,TRUE(),IF($Q240=Constants!$B$3,FALSE(),TRUE())))</f>
        <v/>
      </c>
      <c r="AK240" s="124" t="str">
        <f aca="false">IF(ISBLANK($C240),"",IF($R240=Constants!$B$2,TRUE(),IF($R240=Constants!$B$3,FALSE(),TRUE())))</f>
        <v/>
      </c>
      <c r="AL240" s="126" t="str">
        <f aca="false">IF(ISBLANK($C240),"",IF(ISNUMBER($S240),IF($S240&gt;=0,$S240,""),""))</f>
        <v/>
      </c>
      <c r="AM240" s="124" t="str">
        <f aca="false">IF(ISBLANK($C240),"",IF(ISBLANK($T240),0,IF(ISNUMBER($T240),IF(AND($T240&gt;=0,$T240&lt;=Constants!$B$17,$T240=INT($T240)),$T240,""),"")))</f>
        <v/>
      </c>
      <c r="AN240" s="125" t="str">
        <f aca="false">IF(ISBLANK($C240),"",IF(ISBLANK($U240),0,IF(ISNUMBER($U240),IF($U240&gt;=0,$U240,""),"")))</f>
        <v/>
      </c>
      <c r="AO240" s="124" t="str">
        <f aca="false">IF(ISBLANK($C240),"",IF($V240=Constants!$B$2,TRUE(),IF($V240=Constants!$B$3,FALSE(),FALSE())))</f>
        <v/>
      </c>
      <c r="AP240" s="124"/>
      <c r="AQ240" s="123" t="str">
        <f aca="false">IF(ISBLANK($C240),"",AND($Y240,OR($AS240,$BC240),OR($Z240="",$AA240="",$AB240="")))</f>
        <v/>
      </c>
      <c r="AR240" s="123" t="str">
        <f aca="false">IF(ISBLANK($C240),"",IF(OR(NOT($Y240),NOT(OR($AS240,$BC240))),"",IF(ISBLANK($D$7),$AR$5,IF($AP$9="",$AR$6,""))))</f>
        <v/>
      </c>
      <c r="AS240" s="123" t="str">
        <f aca="false">IF(ISBLANK($C240),"",COUNTA($J240:$O240)&gt;0)</f>
        <v/>
      </c>
      <c r="AT240" s="123" t="str">
        <f aca="false">IF(ISBLANK($C240),"",AND($AS240,OR(AND($AF240="",OR($AE240,NOT(ISBLANK($M240)))),$AG240="",$AH240="")))</f>
        <v/>
      </c>
      <c r="AU240" s="125" t="str">
        <f aca="false">IF($BL240&lt;&gt;Constants!$B$4,"",IF(NOT($AS240),"",ROUND((Constants!$B$12-$AB240)+(Constants!$B$13-$Z240)+(Constants!$B$14-$AA240),1)))</f>
        <v/>
      </c>
      <c r="AV240" s="127" t="str">
        <f aca="false">IF($BL240&lt;&gt;Constants!$B$4,"",IF(NOT($AS240),"",IF(NOT($AE240),0,Constants!$B$15*(INT(ROUND(MIN($AF240,$AP$9),6))-INT(ROUND(MAX(0,MIN($AF240,2*$AP$9)-$AP$9),6))))))</f>
        <v/>
      </c>
      <c r="AW240" s="127" t="str">
        <f aca="false">IF($BL240&lt;&gt;Constants!$B$4,"",IF(NOT($AS240),"",Constants!$B$16*$AG240))</f>
        <v/>
      </c>
      <c r="AX240" s="127" t="str">
        <f aca="false">IF($BL240&lt;&gt;Constants!$B$4,"",IF(NOT($AS240),"",Constants!$B$18*INT(ROUND($AH240,6))))</f>
        <v/>
      </c>
      <c r="AY240" s="123" t="str">
        <f aca="false">IF($BL240&lt;&gt;Constants!$B$4,"",IF(NOT($AS240),"",IF(NOT($X240),Constants!$B$11,IF(OR(NOT($AC240),NOT($AD240),ROUND($AB240,1)&gt;Constants!$B$12,ROUND($Z240,1)&gt;Constants!$B$13,ROUND($AA240,1)&gt;Constants!$B$14),Constants!$B$10,Constants!$B$9))))</f>
        <v/>
      </c>
      <c r="AZ240" s="128" t="str">
        <f aca="false">IF($BL240&lt;&gt;Constants!$B$4,"",IF(NOT($AS240),"",ROUND($AU240+$AV240+$AW240+$AX240,1)))</f>
        <v/>
      </c>
      <c r="BA240" s="129" t="str">
        <f aca="false">IF($BL240&lt;&gt;Constants!$B$4,"",IF(NOT($AS240),"",IF(ISNUMBER($AF240),$AF240,0)))</f>
        <v/>
      </c>
      <c r="BB240" s="124" t="str">
        <f aca="false">IF($BL240&lt;&gt;Constants!$B$4,"",IF(NOT($BC240),"&lt;-",IF(NOT($AS240),"-&gt;",IF(OR($BI240&lt;$AY240,AND($BI240=$AY240,OR($BJ240&gt;$AZ240,AND($BJ240=$AZ240,OR($BH240&gt;$AX240,AND($BH240=$AX240,OR($BE240&gt;$AU240,AND($BE240=$AU240,OR($BF240&gt;$AV240,AND($BF240=$AV240,$BK240&gt;$BA240)))))))))),"-&gt;","&lt;-"))))</f>
        <v/>
      </c>
      <c r="BC240" s="123" t="str">
        <f aca="false">IF(ISBLANK($C240),"",COUNTA($P240:$U240)&gt;0)</f>
        <v/>
      </c>
      <c r="BD240" s="123" t="str">
        <f aca="false">IF(ISBLANK($C240),"",AND($BC240,OR(AND($AL240="",OR($AK240,NOT(ISBLANK($S240)))),$AM240="",$AN240="")))</f>
        <v/>
      </c>
      <c r="BE240" s="125" t="str">
        <f aca="false">IF($BL240&lt;&gt;Constants!$B$4,"",IF(NOT($BC240),"",ROUND((Constants!$B$12-$AB240)+(Constants!$B$13-$Z240)+(Constants!$B$14-$AA240),1)))</f>
        <v/>
      </c>
      <c r="BF240" s="127" t="str">
        <f aca="false">IF($BL240&lt;&gt;Constants!$B$4,"",IF(NOT($BC240),"",IF(NOT($AK240),0,Constants!$B$15*(INT(ROUND(MIN($AL240,$AP$9),6))-INT(ROUND(MAX(0,MIN($AL240,2*$AP$9)-$AP$9),6))))))</f>
        <v/>
      </c>
      <c r="BG240" s="127" t="str">
        <f aca="false">IF($BL240&lt;&gt;Constants!$B$4,"",IF(NOT($BC240),"",Constants!$B$16*$AM240))</f>
        <v/>
      </c>
      <c r="BH240" s="127" t="str">
        <f aca="false">IF($BL240&lt;&gt;Constants!$B$4,"",IF(NOT($BC240),"",Constants!$B$18*INT(ROUND($AN240,6))))</f>
        <v/>
      </c>
      <c r="BI240" s="123" t="str">
        <f aca="false">IF($BL240&lt;&gt;Constants!$B$4,"",IF(NOT($BC240),"",IF(NOT($X240),Constants!$B$11,IF(OR(NOT($AI240),NOT($AJ240),ROUND($AB240,1)&gt;Constants!$B$12,ROUND($Z240,1)&gt;Constants!$B$13,ROUND($AA240,1)&gt;Constants!$B$14),Constants!$B$10,Constants!$B$9))))</f>
        <v/>
      </c>
      <c r="BJ240" s="128" t="str">
        <f aca="false">IF($BL240&lt;&gt;Constants!$B$4,"",IF(NOT($BC240),"",ROUND($BE240+$BF240+$BG240+$BH240,1)))</f>
        <v/>
      </c>
      <c r="BK240" s="129" t="str">
        <f aca="false">IF($BL240&lt;&gt;Constants!$B$4,"",IF(NOT($BC240),"",IF(ISNUMBER($AL240),$AL240,0)))</f>
        <v/>
      </c>
      <c r="BL240" s="124" t="str">
        <f aca="false">IF(ISBLANK($C240),"",IF($AO240,Constants!$B$7,IF(COUNTA($E240:$V240)=0,Constants!$B$6,IF(NOT($Y240),Constants!$B$5,IF(NOT(OR($AS240,$BC240)),Constants!$B$5,IF(OR($AT240,$BD240,$AQ240,$AR240&lt;&gt;""),Constants!$B$8,Constants!$B$4))))))</f>
        <v/>
      </c>
      <c r="BM240" s="124" t="str">
        <f aca="false">IF(ISBLANK($C240),"",IF($BL240&lt;&gt;Constants!$B$4,$BL240,IF($BB240="-&gt;",$BI240,$AY240)))</f>
        <v/>
      </c>
      <c r="BN240" s="127" t="str">
        <f aca="false">IF($BL240&lt;&gt;Constants!$B$4,"",IF($BB240="-&gt;",$BJ240,$AZ240))</f>
        <v/>
      </c>
      <c r="BO240" s="127" t="str">
        <f aca="false">IF(ISBLANK($C240),"",IF($BL240&lt;&gt;Constants!$B$4,$BL240,$BN240))</f>
        <v/>
      </c>
      <c r="BP240" s="124" t="str">
        <f aca="false">IF(ISBLANK($C240),"",IF($BL240&lt;&gt;Constants!$B$4,$BL240,RANK($BO240,$BO$9:$BO$508,0)))</f>
        <v/>
      </c>
      <c r="BQ240" s="124" t="str">
        <f aca="false">IF(ISBLANK($C240),"",IF($BL240&lt;&gt;Constants!$B$4,$BL240,COUNTIFS($BM$9:$BM$508,"&lt;"&amp;$BM240)+COUNTIFS($BM$9:$BM$508,$BM240,$BP$9:$BP$508,"&lt;"&amp;$BP240)+1))</f>
        <v/>
      </c>
      <c r="BR240" s="127" t="str">
        <f aca="false">IF($BL240&lt;&gt;Constants!$B$4,"",IF($BB240="-&gt;",$BH240,$AX240))</f>
        <v/>
      </c>
      <c r="BS240" s="124" t="str">
        <f aca="false">IF(ISBLANK($C240),"",IF($BL240&lt;&gt;Constants!$B$4,$BL240,IF(ISNUMBER($BR240),RANK($BR240,$BR$9:$BR$508,0),COUNT($BR$9:$BR$508)+1)))</f>
        <v/>
      </c>
      <c r="BT240" s="127" t="str">
        <f aca="false">IF($BL240&lt;&gt;Constants!$B$4,"",IF($BB240="-&gt;",$BE240,$AU240))</f>
        <v/>
      </c>
      <c r="BU240" s="124" t="str">
        <f aca="false">IF(ISBLANK($C240),"",IF($BL240&lt;&gt;Constants!$B$4,$BL240,IF(ISNUMBER($BT240),RANK($BT240,$BT$9:$BT$508,0),COUNT($BT$9:$BT$508)+1)))</f>
        <v/>
      </c>
      <c r="BV240" s="127" t="str">
        <f aca="false">IF($BL240&lt;&gt;Constants!$B$4,"",IF($BB240="-&gt;",$BF240,$AV240))</f>
        <v/>
      </c>
      <c r="BW240" s="124" t="str">
        <f aca="false">IF(ISBLANK($C240),"",IF($BL240&lt;&gt;Constants!$B$4,$BL240,IF(ISNUMBER($BV240),RANK($BV240,$BV$9:$BV$508,0),COUNT($BV$9:$BV$508)+1)))</f>
        <v/>
      </c>
      <c r="BX240" s="127" t="str">
        <f aca="false">IF($BL240&lt;&gt;Constants!$B$4,"",IF($BB240="-&gt;",$BK240,$BA240))</f>
        <v/>
      </c>
      <c r="BY240" s="124" t="str">
        <f aca="false">IF(ISBLANK($C240),"",IF($BL240&lt;&gt;Constants!$B$4,$BL240,IF(ISNUMBER($BX240),RANK($BX240,$BX$9:$BX$508,0),COUNT($BX$9:$BX$508)+1)))</f>
        <v/>
      </c>
      <c r="BZ240" s="124" t="str">
        <f aca="false">IF(ISBLANK($C240),"",IF($BL240&lt;&gt;Constants!$B$4,$BL240,COUNTIFS($BM$9:$BM$508,"&lt;"&amp;$BM240)+COUNTIFS($BM$9:$BM$508,$BM240,$BP$9:$BP$508,"&lt;"&amp;$BP240)+COUNTIFS($BM$9:$BM$508,$BM240,$BP$9:$BP$508,$BP240,$BS$9:$BS$508,"&lt;"&amp;$BS240)+COUNTIFS($BM$9:$BM$508,$BM240,$BP$9:$BP$508,$BP240,$BS$9:$BS$508,$BS240,$BU$9:$BU$508,"&lt;"&amp;$BU240)+COUNTIFS($BM$9:$BM$508,$BM240,$BP$9:$BP$508,$BP240,$BS$9:$BS$508,$BS240,$BU$9:$BU$508,$BU240,$BW$9:$BW$508,"&lt;"&amp;$BW240)+COUNTIFS($BM$9:$BM$508,$BM240,$BP$9:$BP$508,$BP240,$BS$9:$BS$508,$BS240,$BU$9:$BU$508,$BU240,$BW$9:$BW$508,$BW240,$BY$9:$BY$508,"&lt;"&amp;$BY240)+1))</f>
        <v/>
      </c>
      <c r="CA240" s="124" t="str">
        <f aca="false">IF(ISBLANK($C240),"",IF($BL240&lt;&gt;Constants!$B$4,$BL240,$BQ240-$BZ240))</f>
        <v/>
      </c>
      <c r="CB240" s="130"/>
      <c r="CC240" s="131" t="str">
        <f aca="false">IF(ISBLANK($C240),"",IF($BL240=Constants!$B$8,$AR240,""))</f>
        <v/>
      </c>
      <c r="CD240" s="131" t="str">
        <f aca="false">IF(ISBLANK($C240),"",IF($BL240&lt;&gt;Constants!$B$4,"",IF($BB240="-&gt;",2,1)))</f>
        <v/>
      </c>
      <c r="CE240" s="132" t="str">
        <f aca="false">IF(ISBLANK($C240),"",IF($BL240&lt;&gt;Constants!$B$4,"",IF($BB240="-&gt;",$BE240,$AU240)))</f>
        <v/>
      </c>
      <c r="CF240" s="132" t="str">
        <f aca="false">IF(ISBLANK($C240),"",IF($BL240&lt;&gt;Constants!$B$4,"",IF($BB240="-&gt;",$BF240,$AV240)))</f>
        <v/>
      </c>
      <c r="CG240" s="132" t="str">
        <f aca="false">IF(ISBLANK($C240),"",IF($BL240&lt;&gt;Constants!$B$4,"",IF($BB240="-&gt;",$BG240,$AW240)))</f>
        <v/>
      </c>
      <c r="CH240" s="132" t="str">
        <f aca="false">IF(ISBLANK($C240),"",IF($BL240&lt;&gt;Constants!$B$4,"",IF($BB240="-&gt;",$BH240,$AX240)))</f>
        <v/>
      </c>
      <c r="CI240" s="133" t="str">
        <f aca="false">IF(ISBLANK($C240),"",$BO240)</f>
        <v/>
      </c>
      <c r="CJ240" s="134" t="str">
        <f aca="false">IF(ISBLANK($C240),"",$BM240)</f>
        <v/>
      </c>
      <c r="CK240" s="135" t="str">
        <f aca="false">IF(ISBLANK($C240),"",$CA240)</f>
        <v/>
      </c>
      <c r="CL240" s="135" t="str">
        <f aca="false">IF(ISBLANK($C240),"",$BZ240)</f>
        <v/>
      </c>
      <c r="CM240" s="136" t="str">
        <f aca="false">IF(ISBLANK($C240),"",IF($CL240=Constants!$B$7,COUNTA($C$9:$C$508)+2,IF($CL240=Constants!$B$6,COUNTA($C$9:$C$508)+1,IF($CL240=Constants!$B$5,COUNTA($C$9:$C$508),$CL240))))</f>
        <v/>
      </c>
      <c r="CN240" s="8"/>
      <c r="CO240" s="137" t="n">
        <f aca="false">IF(OR(ISNUMBER($CL240),$CL240=Constants!$B$7,$CL240=Constants!$B$5,$CL240=Constants!$B$6),1,0)</f>
        <v>0</v>
      </c>
      <c r="CP240" s="137" t="n">
        <v>232</v>
      </c>
      <c r="CQ240" s="137" t="str">
        <f aca="false">IF(ISBLANK($C240),"",IF(ISNUMBER($CM240),$CM240+ROW($B240)/1000,""))</f>
        <v/>
      </c>
      <c r="CR240" s="137" t="str">
        <f aca="false">IF(ISNUMBER($CQ240),RANK($CQ240,$CQ$9:$CQ$508,1),"")</f>
        <v/>
      </c>
      <c r="CS240" s="137" t="str">
        <f aca="false">IF(ISBLANK($C240),"",$B240)</f>
        <v/>
      </c>
      <c r="CT240" s="137" t="str">
        <f aca="false">IF(ISBLANK($C240),"",$C240)</f>
        <v/>
      </c>
      <c r="CU240" s="137" t="str">
        <f aca="false">IF(ISBLANK($C240),"",$D240)</f>
        <v/>
      </c>
      <c r="CV240" s="138" t="str">
        <f aca="false">$CJ240</f>
        <v/>
      </c>
      <c r="CW240" s="139" t="str">
        <f aca="false">$CI240</f>
        <v/>
      </c>
      <c r="CX240" s="137" t="str">
        <f aca="false">IF(ISBLANK($C240),"",$CL240)</f>
        <v/>
      </c>
      <c r="CY240" s="140" t="str">
        <f aca="false">IF($CP240&gt;$CO$8,"",VLOOKUP($CP240,$CR$9:$CX$508,7,FALSE()))</f>
        <v/>
      </c>
      <c r="CZ240" s="141" t="str">
        <f aca="false">IF($CP240&gt;$CO$8,"",VLOOKUP($CP240,$CR$9:$CX$508,2,FALSE()))</f>
        <v/>
      </c>
      <c r="DA240" s="141" t="str">
        <f aca="false">IF($CP240&gt;$CO$8,"",VLOOKUP($CP240,$CR$9:$CX$508,3,FALSE()))</f>
        <v/>
      </c>
      <c r="DB240" s="141" t="str">
        <f aca="false">IF($CP240&gt;$CO$8,"",VLOOKUP($CP240,$CR$9:$CX$508,4,FALSE()))</f>
        <v/>
      </c>
      <c r="DC240" s="141" t="str">
        <f aca="false">IF($CP240&gt;$CO$8,"",VLOOKUP($CP240,$CR$9:$CX$508,5,FALSE()))</f>
        <v/>
      </c>
      <c r="DD240" s="142" t="str">
        <f aca="false">IF($CP240&gt;$CO$8,"",VLOOKUP($CP240,$CR$9:$CX$508,6,FALSE()))</f>
        <v/>
      </c>
      <c r="DE240" s="70"/>
    </row>
    <row r="241" customFormat="false" ht="15.75" hidden="false" customHeight="false" outlineLevel="0" collapsed="false">
      <c r="A241" s="8"/>
      <c r="B241" s="146"/>
      <c r="C241" s="147"/>
      <c r="D241" s="148"/>
      <c r="E241" s="164"/>
      <c r="F241" s="150"/>
      <c r="G241" s="115"/>
      <c r="H241" s="115"/>
      <c r="I241" s="115"/>
      <c r="J241" s="165"/>
      <c r="K241" s="154"/>
      <c r="L241" s="154"/>
      <c r="M241" s="118"/>
      <c r="N241" s="154"/>
      <c r="O241" s="153"/>
      <c r="P241" s="154"/>
      <c r="Q241" s="154"/>
      <c r="R241" s="154"/>
      <c r="S241" s="115"/>
      <c r="T241" s="154"/>
      <c r="U241" s="153"/>
      <c r="V241" s="154"/>
      <c r="W241" s="123"/>
      <c r="X241" s="124" t="str">
        <f aca="false">IF(ISBLANK($C241),"",IF($E241=Constants!$B$2,TRUE(),IF($E241=Constants!$B$3,FALSE(),TRUE())))</f>
        <v/>
      </c>
      <c r="Y241" s="124" t="str">
        <f aca="false">IF(ISBLANK($C241),"",IF($F241=Constants!$B$2,TRUE(),IF($F241=Constants!$B$3,FALSE(),TRUE())))</f>
        <v/>
      </c>
      <c r="Z241" s="125" t="str">
        <f aca="false">IF(ISBLANK($C241),"",IF(ISNUMBER($G241),IF($G241&gt;=0,$G241,""),""))</f>
        <v/>
      </c>
      <c r="AA241" s="125" t="str">
        <f aca="false">IF(ISBLANK($C241),"",IF(ISNUMBER($H241),IF($H241&gt;=0,$H241,""),""))</f>
        <v/>
      </c>
      <c r="AB241" s="125" t="str">
        <f aca="false">IF(ISBLANK($C241),"",IF(ISNUMBER($I241),IF($I241&gt;=0,$I241,""),""))</f>
        <v/>
      </c>
      <c r="AC241" s="124" t="str">
        <f aca="false">IF(ISBLANK($C241),"",IF($J241=Constants!$B$2,TRUE(),IF($J241=Constants!$B$3,FALSE(),TRUE())))</f>
        <v/>
      </c>
      <c r="AD241" s="124" t="str">
        <f aca="false">IF(ISBLANK($C241),"",IF($K241=Constants!$B$2,TRUE(),IF($K241=Constants!$B$3,FALSE(),TRUE())))</f>
        <v/>
      </c>
      <c r="AE241" s="124" t="str">
        <f aca="false">IF(ISBLANK($C241),"",IF($L241=Constants!$B$2,TRUE(),IF($L241=Constants!$B$3,FALSE(),TRUE())))</f>
        <v/>
      </c>
      <c r="AF241" s="126" t="str">
        <f aca="false">IF(ISBLANK($C241),"",IF(ISNUMBER($M241),IF($M241&gt;=0,$M241,""),""))</f>
        <v/>
      </c>
      <c r="AG241" s="124" t="str">
        <f aca="false">IF(ISBLANK($C241),"",IF(ISBLANK($N241),0,IF(ISNUMBER($N241),IF(AND($N241&gt;=0,$N241&lt;=Constants!$B$17,$N241=INT($N241)),$N241,""),"")))</f>
        <v/>
      </c>
      <c r="AH241" s="125" t="str">
        <f aca="false">IF(ISBLANK($C241),"",IF(ISBLANK($O241),0,IF(ISNUMBER($O241),IF($O241&gt;=0,$O241,""),"")))</f>
        <v/>
      </c>
      <c r="AI241" s="124" t="str">
        <f aca="false">IF(ISBLANK($C241),"",IF($P241=Constants!$B$2,TRUE(),IF($P241=Constants!$B$3,FALSE(),TRUE())))</f>
        <v/>
      </c>
      <c r="AJ241" s="124" t="str">
        <f aca="false">IF(ISBLANK($C241),"",IF($Q241=Constants!$B$2,TRUE(),IF($Q241=Constants!$B$3,FALSE(),TRUE())))</f>
        <v/>
      </c>
      <c r="AK241" s="124" t="str">
        <f aca="false">IF(ISBLANK($C241),"",IF($R241=Constants!$B$2,TRUE(),IF($R241=Constants!$B$3,FALSE(),TRUE())))</f>
        <v/>
      </c>
      <c r="AL241" s="126" t="str">
        <f aca="false">IF(ISBLANK($C241),"",IF(ISNUMBER($S241),IF($S241&gt;=0,$S241,""),""))</f>
        <v/>
      </c>
      <c r="AM241" s="124" t="str">
        <f aca="false">IF(ISBLANK($C241),"",IF(ISBLANK($T241),0,IF(ISNUMBER($T241),IF(AND($T241&gt;=0,$T241&lt;=Constants!$B$17,$T241=INT($T241)),$T241,""),"")))</f>
        <v/>
      </c>
      <c r="AN241" s="125" t="str">
        <f aca="false">IF(ISBLANK($C241),"",IF(ISBLANK($U241),0,IF(ISNUMBER($U241),IF($U241&gt;=0,$U241,""),"")))</f>
        <v/>
      </c>
      <c r="AO241" s="124" t="str">
        <f aca="false">IF(ISBLANK($C241),"",IF($V241=Constants!$B$2,TRUE(),IF($V241=Constants!$B$3,FALSE(),FALSE())))</f>
        <v/>
      </c>
      <c r="AP241" s="124"/>
      <c r="AQ241" s="123" t="str">
        <f aca="false">IF(ISBLANK($C241),"",AND($Y241,OR($AS241,$BC241),OR($Z241="",$AA241="",$AB241="")))</f>
        <v/>
      </c>
      <c r="AR241" s="123" t="str">
        <f aca="false">IF(ISBLANK($C241),"",IF(OR(NOT($Y241),NOT(OR($AS241,$BC241))),"",IF(ISBLANK($D$7),$AR$5,IF($AP$9="",$AR$6,""))))</f>
        <v/>
      </c>
      <c r="AS241" s="123" t="str">
        <f aca="false">IF(ISBLANK($C241),"",COUNTA($J241:$O241)&gt;0)</f>
        <v/>
      </c>
      <c r="AT241" s="123" t="str">
        <f aca="false">IF(ISBLANK($C241),"",AND($AS241,OR(AND($AF241="",OR($AE241,NOT(ISBLANK($M241)))),$AG241="",$AH241="")))</f>
        <v/>
      </c>
      <c r="AU241" s="125" t="str">
        <f aca="false">IF($BL241&lt;&gt;Constants!$B$4,"",IF(NOT($AS241),"",ROUND((Constants!$B$12-$AB241)+(Constants!$B$13-$Z241)+(Constants!$B$14-$AA241),1)))</f>
        <v/>
      </c>
      <c r="AV241" s="127" t="str">
        <f aca="false">IF($BL241&lt;&gt;Constants!$B$4,"",IF(NOT($AS241),"",IF(NOT($AE241),0,Constants!$B$15*(INT(ROUND(MIN($AF241,$AP$9),6))-INT(ROUND(MAX(0,MIN($AF241,2*$AP$9)-$AP$9),6))))))</f>
        <v/>
      </c>
      <c r="AW241" s="127" t="str">
        <f aca="false">IF($BL241&lt;&gt;Constants!$B$4,"",IF(NOT($AS241),"",Constants!$B$16*$AG241))</f>
        <v/>
      </c>
      <c r="AX241" s="127" t="str">
        <f aca="false">IF($BL241&lt;&gt;Constants!$B$4,"",IF(NOT($AS241),"",Constants!$B$18*INT(ROUND($AH241,6))))</f>
        <v/>
      </c>
      <c r="AY241" s="123" t="str">
        <f aca="false">IF($BL241&lt;&gt;Constants!$B$4,"",IF(NOT($AS241),"",IF(NOT($X241),Constants!$B$11,IF(OR(NOT($AC241),NOT($AD241),ROUND($AB241,1)&gt;Constants!$B$12,ROUND($Z241,1)&gt;Constants!$B$13,ROUND($AA241,1)&gt;Constants!$B$14),Constants!$B$10,Constants!$B$9))))</f>
        <v/>
      </c>
      <c r="AZ241" s="128" t="str">
        <f aca="false">IF($BL241&lt;&gt;Constants!$B$4,"",IF(NOT($AS241),"",ROUND($AU241+$AV241+$AW241+$AX241,1)))</f>
        <v/>
      </c>
      <c r="BA241" s="129" t="str">
        <f aca="false">IF($BL241&lt;&gt;Constants!$B$4,"",IF(NOT($AS241),"",IF(ISNUMBER($AF241),$AF241,0)))</f>
        <v/>
      </c>
      <c r="BB241" s="124" t="str">
        <f aca="false">IF($BL241&lt;&gt;Constants!$B$4,"",IF(NOT($BC241),"&lt;-",IF(NOT($AS241),"-&gt;",IF(OR($BI241&lt;$AY241,AND($BI241=$AY241,OR($BJ241&gt;$AZ241,AND($BJ241=$AZ241,OR($BH241&gt;$AX241,AND($BH241=$AX241,OR($BE241&gt;$AU241,AND($BE241=$AU241,OR($BF241&gt;$AV241,AND($BF241=$AV241,$BK241&gt;$BA241)))))))))),"-&gt;","&lt;-"))))</f>
        <v/>
      </c>
      <c r="BC241" s="123" t="str">
        <f aca="false">IF(ISBLANK($C241),"",COUNTA($P241:$U241)&gt;0)</f>
        <v/>
      </c>
      <c r="BD241" s="123" t="str">
        <f aca="false">IF(ISBLANK($C241),"",AND($BC241,OR(AND($AL241="",OR($AK241,NOT(ISBLANK($S241)))),$AM241="",$AN241="")))</f>
        <v/>
      </c>
      <c r="BE241" s="125" t="str">
        <f aca="false">IF($BL241&lt;&gt;Constants!$B$4,"",IF(NOT($BC241),"",ROUND((Constants!$B$12-$AB241)+(Constants!$B$13-$Z241)+(Constants!$B$14-$AA241),1)))</f>
        <v/>
      </c>
      <c r="BF241" s="127" t="str">
        <f aca="false">IF($BL241&lt;&gt;Constants!$B$4,"",IF(NOT($BC241),"",IF(NOT($AK241),0,Constants!$B$15*(INT(ROUND(MIN($AL241,$AP$9),6))-INT(ROUND(MAX(0,MIN($AL241,2*$AP$9)-$AP$9),6))))))</f>
        <v/>
      </c>
      <c r="BG241" s="127" t="str">
        <f aca="false">IF($BL241&lt;&gt;Constants!$B$4,"",IF(NOT($BC241),"",Constants!$B$16*$AM241))</f>
        <v/>
      </c>
      <c r="BH241" s="127" t="str">
        <f aca="false">IF($BL241&lt;&gt;Constants!$B$4,"",IF(NOT($BC241),"",Constants!$B$18*INT(ROUND($AN241,6))))</f>
        <v/>
      </c>
      <c r="BI241" s="123" t="str">
        <f aca="false">IF($BL241&lt;&gt;Constants!$B$4,"",IF(NOT($BC241),"",IF(NOT($X241),Constants!$B$11,IF(OR(NOT($AI241),NOT($AJ241),ROUND($AB241,1)&gt;Constants!$B$12,ROUND($Z241,1)&gt;Constants!$B$13,ROUND($AA241,1)&gt;Constants!$B$14),Constants!$B$10,Constants!$B$9))))</f>
        <v/>
      </c>
      <c r="BJ241" s="128" t="str">
        <f aca="false">IF($BL241&lt;&gt;Constants!$B$4,"",IF(NOT($BC241),"",ROUND($BE241+$BF241+$BG241+$BH241,1)))</f>
        <v/>
      </c>
      <c r="BK241" s="129" t="str">
        <f aca="false">IF($BL241&lt;&gt;Constants!$B$4,"",IF(NOT($BC241),"",IF(ISNUMBER($AL241),$AL241,0)))</f>
        <v/>
      </c>
      <c r="BL241" s="124" t="str">
        <f aca="false">IF(ISBLANK($C241),"",IF($AO241,Constants!$B$7,IF(COUNTA($E241:$V241)=0,Constants!$B$6,IF(NOT($Y241),Constants!$B$5,IF(NOT(OR($AS241,$BC241)),Constants!$B$5,IF(OR($AT241,$BD241,$AQ241,$AR241&lt;&gt;""),Constants!$B$8,Constants!$B$4))))))</f>
        <v/>
      </c>
      <c r="BM241" s="124" t="str">
        <f aca="false">IF(ISBLANK($C241),"",IF($BL241&lt;&gt;Constants!$B$4,$BL241,IF($BB241="-&gt;",$BI241,$AY241)))</f>
        <v/>
      </c>
      <c r="BN241" s="127" t="str">
        <f aca="false">IF($BL241&lt;&gt;Constants!$B$4,"",IF($BB241="-&gt;",$BJ241,$AZ241))</f>
        <v/>
      </c>
      <c r="BO241" s="127" t="str">
        <f aca="false">IF(ISBLANK($C241),"",IF($BL241&lt;&gt;Constants!$B$4,$BL241,$BN241))</f>
        <v/>
      </c>
      <c r="BP241" s="124" t="str">
        <f aca="false">IF(ISBLANK($C241),"",IF($BL241&lt;&gt;Constants!$B$4,$BL241,RANK($BO241,$BO$9:$BO$508,0)))</f>
        <v/>
      </c>
      <c r="BQ241" s="124" t="str">
        <f aca="false">IF(ISBLANK($C241),"",IF($BL241&lt;&gt;Constants!$B$4,$BL241,COUNTIFS($BM$9:$BM$508,"&lt;"&amp;$BM241)+COUNTIFS($BM$9:$BM$508,$BM241,$BP$9:$BP$508,"&lt;"&amp;$BP241)+1))</f>
        <v/>
      </c>
      <c r="BR241" s="127" t="str">
        <f aca="false">IF($BL241&lt;&gt;Constants!$B$4,"",IF($BB241="-&gt;",$BH241,$AX241))</f>
        <v/>
      </c>
      <c r="BS241" s="124" t="str">
        <f aca="false">IF(ISBLANK($C241),"",IF($BL241&lt;&gt;Constants!$B$4,$BL241,IF(ISNUMBER($BR241),RANK($BR241,$BR$9:$BR$508,0),COUNT($BR$9:$BR$508)+1)))</f>
        <v/>
      </c>
      <c r="BT241" s="127" t="str">
        <f aca="false">IF($BL241&lt;&gt;Constants!$B$4,"",IF($BB241="-&gt;",$BE241,$AU241))</f>
        <v/>
      </c>
      <c r="BU241" s="124" t="str">
        <f aca="false">IF(ISBLANK($C241),"",IF($BL241&lt;&gt;Constants!$B$4,$BL241,IF(ISNUMBER($BT241),RANK($BT241,$BT$9:$BT$508,0),COUNT($BT$9:$BT$508)+1)))</f>
        <v/>
      </c>
      <c r="BV241" s="127" t="str">
        <f aca="false">IF($BL241&lt;&gt;Constants!$B$4,"",IF($BB241="-&gt;",$BF241,$AV241))</f>
        <v/>
      </c>
      <c r="BW241" s="124" t="str">
        <f aca="false">IF(ISBLANK($C241),"",IF($BL241&lt;&gt;Constants!$B$4,$BL241,IF(ISNUMBER($BV241),RANK($BV241,$BV$9:$BV$508,0),COUNT($BV$9:$BV$508)+1)))</f>
        <v/>
      </c>
      <c r="BX241" s="127" t="str">
        <f aca="false">IF($BL241&lt;&gt;Constants!$B$4,"",IF($BB241="-&gt;",$BK241,$BA241))</f>
        <v/>
      </c>
      <c r="BY241" s="124" t="str">
        <f aca="false">IF(ISBLANK($C241),"",IF($BL241&lt;&gt;Constants!$B$4,$BL241,IF(ISNUMBER($BX241),RANK($BX241,$BX$9:$BX$508,0),COUNT($BX$9:$BX$508)+1)))</f>
        <v/>
      </c>
      <c r="BZ241" s="124" t="str">
        <f aca="false">IF(ISBLANK($C241),"",IF($BL241&lt;&gt;Constants!$B$4,$BL241,COUNTIFS($BM$9:$BM$508,"&lt;"&amp;$BM241)+COUNTIFS($BM$9:$BM$508,$BM241,$BP$9:$BP$508,"&lt;"&amp;$BP241)+COUNTIFS($BM$9:$BM$508,$BM241,$BP$9:$BP$508,$BP241,$BS$9:$BS$508,"&lt;"&amp;$BS241)+COUNTIFS($BM$9:$BM$508,$BM241,$BP$9:$BP$508,$BP241,$BS$9:$BS$508,$BS241,$BU$9:$BU$508,"&lt;"&amp;$BU241)+COUNTIFS($BM$9:$BM$508,$BM241,$BP$9:$BP$508,$BP241,$BS$9:$BS$508,$BS241,$BU$9:$BU$508,$BU241,$BW$9:$BW$508,"&lt;"&amp;$BW241)+COUNTIFS($BM$9:$BM$508,$BM241,$BP$9:$BP$508,$BP241,$BS$9:$BS$508,$BS241,$BU$9:$BU$508,$BU241,$BW$9:$BW$508,$BW241,$BY$9:$BY$508,"&lt;"&amp;$BY241)+1))</f>
        <v/>
      </c>
      <c r="CA241" s="124" t="str">
        <f aca="false">IF(ISBLANK($C241),"",IF($BL241&lt;&gt;Constants!$B$4,$BL241,$BQ241-$BZ241))</f>
        <v/>
      </c>
      <c r="CB241" s="130"/>
      <c r="CC241" s="131" t="str">
        <f aca="false">IF(ISBLANK($C241),"",IF($BL241=Constants!$B$8,$AR241,""))</f>
        <v/>
      </c>
      <c r="CD241" s="131" t="str">
        <f aca="false">IF(ISBLANK($C241),"",IF($BL241&lt;&gt;Constants!$B$4,"",IF($BB241="-&gt;",2,1)))</f>
        <v/>
      </c>
      <c r="CE241" s="132" t="str">
        <f aca="false">IF(ISBLANK($C241),"",IF($BL241&lt;&gt;Constants!$B$4,"",IF($BB241="-&gt;",$BE241,$AU241)))</f>
        <v/>
      </c>
      <c r="CF241" s="132" t="str">
        <f aca="false">IF(ISBLANK($C241),"",IF($BL241&lt;&gt;Constants!$B$4,"",IF($BB241="-&gt;",$BF241,$AV241)))</f>
        <v/>
      </c>
      <c r="CG241" s="132" t="str">
        <f aca="false">IF(ISBLANK($C241),"",IF($BL241&lt;&gt;Constants!$B$4,"",IF($BB241="-&gt;",$BG241,$AW241)))</f>
        <v/>
      </c>
      <c r="CH241" s="132" t="str">
        <f aca="false">IF(ISBLANK($C241),"",IF($BL241&lt;&gt;Constants!$B$4,"",IF($BB241="-&gt;",$BH241,$AX241)))</f>
        <v/>
      </c>
      <c r="CI241" s="133" t="str">
        <f aca="false">IF(ISBLANK($C241),"",$BO241)</f>
        <v/>
      </c>
      <c r="CJ241" s="134" t="str">
        <f aca="false">IF(ISBLANK($C241),"",$BM241)</f>
        <v/>
      </c>
      <c r="CK241" s="135" t="str">
        <f aca="false">IF(ISBLANK($C241),"",$CA241)</f>
        <v/>
      </c>
      <c r="CL241" s="135" t="str">
        <f aca="false">IF(ISBLANK($C241),"",$BZ241)</f>
        <v/>
      </c>
      <c r="CM241" s="136" t="str">
        <f aca="false">IF(ISBLANK($C241),"",IF($CL241=Constants!$B$7,COUNTA($C$9:$C$508)+2,IF($CL241=Constants!$B$6,COUNTA($C$9:$C$508)+1,IF($CL241=Constants!$B$5,COUNTA($C$9:$C$508),$CL241))))</f>
        <v/>
      </c>
      <c r="CN241" s="8"/>
      <c r="CO241" s="137" t="n">
        <f aca="false">IF(OR(ISNUMBER($CL241),$CL241=Constants!$B$7,$CL241=Constants!$B$5,$CL241=Constants!$B$6),1,0)</f>
        <v>0</v>
      </c>
      <c r="CP241" s="137" t="n">
        <v>233</v>
      </c>
      <c r="CQ241" s="137" t="str">
        <f aca="false">IF(ISBLANK($C241),"",IF(ISNUMBER($CM241),$CM241+ROW($B241)/1000,""))</f>
        <v/>
      </c>
      <c r="CR241" s="137" t="str">
        <f aca="false">IF(ISNUMBER($CQ241),RANK($CQ241,$CQ$9:$CQ$508,1),"")</f>
        <v/>
      </c>
      <c r="CS241" s="137" t="str">
        <f aca="false">IF(ISBLANK($C241),"",$B241)</f>
        <v/>
      </c>
      <c r="CT241" s="137" t="str">
        <f aca="false">IF(ISBLANK($C241),"",$C241)</f>
        <v/>
      </c>
      <c r="CU241" s="137" t="str">
        <f aca="false">IF(ISBLANK($C241),"",$D241)</f>
        <v/>
      </c>
      <c r="CV241" s="138" t="str">
        <f aca="false">$CJ241</f>
        <v/>
      </c>
      <c r="CW241" s="139" t="str">
        <f aca="false">$CI241</f>
        <v/>
      </c>
      <c r="CX241" s="137" t="str">
        <f aca="false">IF(ISBLANK($C241),"",$CL241)</f>
        <v/>
      </c>
      <c r="CY241" s="140" t="str">
        <f aca="false">IF($CP241&gt;$CO$8,"",VLOOKUP($CP241,$CR$9:$CX$508,7,FALSE()))</f>
        <v/>
      </c>
      <c r="CZ241" s="141" t="str">
        <f aca="false">IF($CP241&gt;$CO$8,"",VLOOKUP($CP241,$CR$9:$CX$508,2,FALSE()))</f>
        <v/>
      </c>
      <c r="DA241" s="141" t="str">
        <f aca="false">IF($CP241&gt;$CO$8,"",VLOOKUP($CP241,$CR$9:$CX$508,3,FALSE()))</f>
        <v/>
      </c>
      <c r="DB241" s="141" t="str">
        <f aca="false">IF($CP241&gt;$CO$8,"",VLOOKUP($CP241,$CR$9:$CX$508,4,FALSE()))</f>
        <v/>
      </c>
      <c r="DC241" s="141" t="str">
        <f aca="false">IF($CP241&gt;$CO$8,"",VLOOKUP($CP241,$CR$9:$CX$508,5,FALSE()))</f>
        <v/>
      </c>
      <c r="DD241" s="142" t="str">
        <f aca="false">IF($CP241&gt;$CO$8,"",VLOOKUP($CP241,$CR$9:$CX$508,6,FALSE()))</f>
        <v/>
      </c>
      <c r="DE241" s="70"/>
    </row>
    <row r="242" customFormat="false" ht="15.75" hidden="false" customHeight="false" outlineLevel="0" collapsed="false">
      <c r="A242" s="8"/>
      <c r="B242" s="146"/>
      <c r="C242" s="147"/>
      <c r="D242" s="148"/>
      <c r="E242" s="164"/>
      <c r="F242" s="150"/>
      <c r="G242" s="115"/>
      <c r="H242" s="115"/>
      <c r="I242" s="115"/>
      <c r="J242" s="165"/>
      <c r="K242" s="154"/>
      <c r="L242" s="154"/>
      <c r="M242" s="118"/>
      <c r="N242" s="154"/>
      <c r="O242" s="153"/>
      <c r="P242" s="154"/>
      <c r="Q242" s="154"/>
      <c r="R242" s="154"/>
      <c r="S242" s="115"/>
      <c r="T242" s="154"/>
      <c r="U242" s="153"/>
      <c r="V242" s="154"/>
      <c r="W242" s="123"/>
      <c r="X242" s="124" t="str">
        <f aca="false">IF(ISBLANK($C242),"",IF($E242=Constants!$B$2,TRUE(),IF($E242=Constants!$B$3,FALSE(),TRUE())))</f>
        <v/>
      </c>
      <c r="Y242" s="124" t="str">
        <f aca="false">IF(ISBLANK($C242),"",IF($F242=Constants!$B$2,TRUE(),IF($F242=Constants!$B$3,FALSE(),TRUE())))</f>
        <v/>
      </c>
      <c r="Z242" s="125" t="str">
        <f aca="false">IF(ISBLANK($C242),"",IF(ISNUMBER($G242),IF($G242&gt;=0,$G242,""),""))</f>
        <v/>
      </c>
      <c r="AA242" s="125" t="str">
        <f aca="false">IF(ISBLANK($C242),"",IF(ISNUMBER($H242),IF($H242&gt;=0,$H242,""),""))</f>
        <v/>
      </c>
      <c r="AB242" s="125" t="str">
        <f aca="false">IF(ISBLANK($C242),"",IF(ISNUMBER($I242),IF($I242&gt;=0,$I242,""),""))</f>
        <v/>
      </c>
      <c r="AC242" s="124" t="str">
        <f aca="false">IF(ISBLANK($C242),"",IF($J242=Constants!$B$2,TRUE(),IF($J242=Constants!$B$3,FALSE(),TRUE())))</f>
        <v/>
      </c>
      <c r="AD242" s="124" t="str">
        <f aca="false">IF(ISBLANK($C242),"",IF($K242=Constants!$B$2,TRUE(),IF($K242=Constants!$B$3,FALSE(),TRUE())))</f>
        <v/>
      </c>
      <c r="AE242" s="124" t="str">
        <f aca="false">IF(ISBLANK($C242),"",IF($L242=Constants!$B$2,TRUE(),IF($L242=Constants!$B$3,FALSE(),TRUE())))</f>
        <v/>
      </c>
      <c r="AF242" s="126" t="str">
        <f aca="false">IF(ISBLANK($C242),"",IF(ISNUMBER($M242),IF($M242&gt;=0,$M242,""),""))</f>
        <v/>
      </c>
      <c r="AG242" s="124" t="str">
        <f aca="false">IF(ISBLANK($C242),"",IF(ISBLANK($N242),0,IF(ISNUMBER($N242),IF(AND($N242&gt;=0,$N242&lt;=Constants!$B$17,$N242=INT($N242)),$N242,""),"")))</f>
        <v/>
      </c>
      <c r="AH242" s="125" t="str">
        <f aca="false">IF(ISBLANK($C242),"",IF(ISBLANK($O242),0,IF(ISNUMBER($O242),IF($O242&gt;=0,$O242,""),"")))</f>
        <v/>
      </c>
      <c r="AI242" s="124" t="str">
        <f aca="false">IF(ISBLANK($C242),"",IF($P242=Constants!$B$2,TRUE(),IF($P242=Constants!$B$3,FALSE(),TRUE())))</f>
        <v/>
      </c>
      <c r="AJ242" s="124" t="str">
        <f aca="false">IF(ISBLANK($C242),"",IF($Q242=Constants!$B$2,TRUE(),IF($Q242=Constants!$B$3,FALSE(),TRUE())))</f>
        <v/>
      </c>
      <c r="AK242" s="124" t="str">
        <f aca="false">IF(ISBLANK($C242),"",IF($R242=Constants!$B$2,TRUE(),IF($R242=Constants!$B$3,FALSE(),TRUE())))</f>
        <v/>
      </c>
      <c r="AL242" s="126" t="str">
        <f aca="false">IF(ISBLANK($C242),"",IF(ISNUMBER($S242),IF($S242&gt;=0,$S242,""),""))</f>
        <v/>
      </c>
      <c r="AM242" s="124" t="str">
        <f aca="false">IF(ISBLANK($C242),"",IF(ISBLANK($T242),0,IF(ISNUMBER($T242),IF(AND($T242&gt;=0,$T242&lt;=Constants!$B$17,$T242=INT($T242)),$T242,""),"")))</f>
        <v/>
      </c>
      <c r="AN242" s="125" t="str">
        <f aca="false">IF(ISBLANK($C242),"",IF(ISBLANK($U242),0,IF(ISNUMBER($U242),IF($U242&gt;=0,$U242,""),"")))</f>
        <v/>
      </c>
      <c r="AO242" s="124" t="str">
        <f aca="false">IF(ISBLANK($C242),"",IF($V242=Constants!$B$2,TRUE(),IF($V242=Constants!$B$3,FALSE(),FALSE())))</f>
        <v/>
      </c>
      <c r="AP242" s="124"/>
      <c r="AQ242" s="123" t="str">
        <f aca="false">IF(ISBLANK($C242),"",AND($Y242,OR($AS242,$BC242),OR($Z242="",$AA242="",$AB242="")))</f>
        <v/>
      </c>
      <c r="AR242" s="123" t="str">
        <f aca="false">IF(ISBLANK($C242),"",IF(OR(NOT($Y242),NOT(OR($AS242,$BC242))),"",IF(ISBLANK($D$7),$AR$5,IF($AP$9="",$AR$6,""))))</f>
        <v/>
      </c>
      <c r="AS242" s="123" t="str">
        <f aca="false">IF(ISBLANK($C242),"",COUNTA($J242:$O242)&gt;0)</f>
        <v/>
      </c>
      <c r="AT242" s="123" t="str">
        <f aca="false">IF(ISBLANK($C242),"",AND($AS242,OR(AND($AF242="",OR($AE242,NOT(ISBLANK($M242)))),$AG242="",$AH242="")))</f>
        <v/>
      </c>
      <c r="AU242" s="125" t="str">
        <f aca="false">IF($BL242&lt;&gt;Constants!$B$4,"",IF(NOT($AS242),"",ROUND((Constants!$B$12-$AB242)+(Constants!$B$13-$Z242)+(Constants!$B$14-$AA242),1)))</f>
        <v/>
      </c>
      <c r="AV242" s="127" t="str">
        <f aca="false">IF($BL242&lt;&gt;Constants!$B$4,"",IF(NOT($AS242),"",IF(NOT($AE242),0,Constants!$B$15*(INT(ROUND(MIN($AF242,$AP$9),6))-INT(ROUND(MAX(0,MIN($AF242,2*$AP$9)-$AP$9),6))))))</f>
        <v/>
      </c>
      <c r="AW242" s="127" t="str">
        <f aca="false">IF($BL242&lt;&gt;Constants!$B$4,"",IF(NOT($AS242),"",Constants!$B$16*$AG242))</f>
        <v/>
      </c>
      <c r="AX242" s="127" t="str">
        <f aca="false">IF($BL242&lt;&gt;Constants!$B$4,"",IF(NOT($AS242),"",Constants!$B$18*INT(ROUND($AH242,6))))</f>
        <v/>
      </c>
      <c r="AY242" s="123" t="str">
        <f aca="false">IF($BL242&lt;&gt;Constants!$B$4,"",IF(NOT($AS242),"",IF(NOT($X242),Constants!$B$11,IF(OR(NOT($AC242),NOT($AD242),ROUND($AB242,1)&gt;Constants!$B$12,ROUND($Z242,1)&gt;Constants!$B$13,ROUND($AA242,1)&gt;Constants!$B$14),Constants!$B$10,Constants!$B$9))))</f>
        <v/>
      </c>
      <c r="AZ242" s="128" t="str">
        <f aca="false">IF($BL242&lt;&gt;Constants!$B$4,"",IF(NOT($AS242),"",ROUND($AU242+$AV242+$AW242+$AX242,1)))</f>
        <v/>
      </c>
      <c r="BA242" s="129" t="str">
        <f aca="false">IF($BL242&lt;&gt;Constants!$B$4,"",IF(NOT($AS242),"",IF(ISNUMBER($AF242),$AF242,0)))</f>
        <v/>
      </c>
      <c r="BB242" s="124" t="str">
        <f aca="false">IF($BL242&lt;&gt;Constants!$B$4,"",IF(NOT($BC242),"&lt;-",IF(NOT($AS242),"-&gt;",IF(OR($BI242&lt;$AY242,AND($BI242=$AY242,OR($BJ242&gt;$AZ242,AND($BJ242=$AZ242,OR($BH242&gt;$AX242,AND($BH242=$AX242,OR($BE242&gt;$AU242,AND($BE242=$AU242,OR($BF242&gt;$AV242,AND($BF242=$AV242,$BK242&gt;$BA242)))))))))),"-&gt;","&lt;-"))))</f>
        <v/>
      </c>
      <c r="BC242" s="123" t="str">
        <f aca="false">IF(ISBLANK($C242),"",COUNTA($P242:$U242)&gt;0)</f>
        <v/>
      </c>
      <c r="BD242" s="123" t="str">
        <f aca="false">IF(ISBLANK($C242),"",AND($BC242,OR(AND($AL242="",OR($AK242,NOT(ISBLANK($S242)))),$AM242="",$AN242="")))</f>
        <v/>
      </c>
      <c r="BE242" s="125" t="str">
        <f aca="false">IF($BL242&lt;&gt;Constants!$B$4,"",IF(NOT($BC242),"",ROUND((Constants!$B$12-$AB242)+(Constants!$B$13-$Z242)+(Constants!$B$14-$AA242),1)))</f>
        <v/>
      </c>
      <c r="BF242" s="127" t="str">
        <f aca="false">IF($BL242&lt;&gt;Constants!$B$4,"",IF(NOT($BC242),"",IF(NOT($AK242),0,Constants!$B$15*(INT(ROUND(MIN($AL242,$AP$9),6))-INT(ROUND(MAX(0,MIN($AL242,2*$AP$9)-$AP$9),6))))))</f>
        <v/>
      </c>
      <c r="BG242" s="127" t="str">
        <f aca="false">IF($BL242&lt;&gt;Constants!$B$4,"",IF(NOT($BC242),"",Constants!$B$16*$AM242))</f>
        <v/>
      </c>
      <c r="BH242" s="127" t="str">
        <f aca="false">IF($BL242&lt;&gt;Constants!$B$4,"",IF(NOT($BC242),"",Constants!$B$18*INT(ROUND($AN242,6))))</f>
        <v/>
      </c>
      <c r="BI242" s="123" t="str">
        <f aca="false">IF($BL242&lt;&gt;Constants!$B$4,"",IF(NOT($BC242),"",IF(NOT($X242),Constants!$B$11,IF(OR(NOT($AI242),NOT($AJ242),ROUND($AB242,1)&gt;Constants!$B$12,ROUND($Z242,1)&gt;Constants!$B$13,ROUND($AA242,1)&gt;Constants!$B$14),Constants!$B$10,Constants!$B$9))))</f>
        <v/>
      </c>
      <c r="BJ242" s="128" t="str">
        <f aca="false">IF($BL242&lt;&gt;Constants!$B$4,"",IF(NOT($BC242),"",ROUND($BE242+$BF242+$BG242+$BH242,1)))</f>
        <v/>
      </c>
      <c r="BK242" s="129" t="str">
        <f aca="false">IF($BL242&lt;&gt;Constants!$B$4,"",IF(NOT($BC242),"",IF(ISNUMBER($AL242),$AL242,0)))</f>
        <v/>
      </c>
      <c r="BL242" s="124" t="str">
        <f aca="false">IF(ISBLANK($C242),"",IF($AO242,Constants!$B$7,IF(COUNTA($E242:$V242)=0,Constants!$B$6,IF(NOT($Y242),Constants!$B$5,IF(NOT(OR($AS242,$BC242)),Constants!$B$5,IF(OR($AT242,$BD242,$AQ242,$AR242&lt;&gt;""),Constants!$B$8,Constants!$B$4))))))</f>
        <v/>
      </c>
      <c r="BM242" s="124" t="str">
        <f aca="false">IF(ISBLANK($C242),"",IF($BL242&lt;&gt;Constants!$B$4,$BL242,IF($BB242="-&gt;",$BI242,$AY242)))</f>
        <v/>
      </c>
      <c r="BN242" s="127" t="str">
        <f aca="false">IF($BL242&lt;&gt;Constants!$B$4,"",IF($BB242="-&gt;",$BJ242,$AZ242))</f>
        <v/>
      </c>
      <c r="BO242" s="127" t="str">
        <f aca="false">IF(ISBLANK($C242),"",IF($BL242&lt;&gt;Constants!$B$4,$BL242,$BN242))</f>
        <v/>
      </c>
      <c r="BP242" s="124" t="str">
        <f aca="false">IF(ISBLANK($C242),"",IF($BL242&lt;&gt;Constants!$B$4,$BL242,RANK($BO242,$BO$9:$BO$508,0)))</f>
        <v/>
      </c>
      <c r="BQ242" s="124" t="str">
        <f aca="false">IF(ISBLANK($C242),"",IF($BL242&lt;&gt;Constants!$B$4,$BL242,COUNTIFS($BM$9:$BM$508,"&lt;"&amp;$BM242)+COUNTIFS($BM$9:$BM$508,$BM242,$BP$9:$BP$508,"&lt;"&amp;$BP242)+1))</f>
        <v/>
      </c>
      <c r="BR242" s="127" t="str">
        <f aca="false">IF($BL242&lt;&gt;Constants!$B$4,"",IF($BB242="-&gt;",$BH242,$AX242))</f>
        <v/>
      </c>
      <c r="BS242" s="124" t="str">
        <f aca="false">IF(ISBLANK($C242),"",IF($BL242&lt;&gt;Constants!$B$4,$BL242,IF(ISNUMBER($BR242),RANK($BR242,$BR$9:$BR$508,0),COUNT($BR$9:$BR$508)+1)))</f>
        <v/>
      </c>
      <c r="BT242" s="127" t="str">
        <f aca="false">IF($BL242&lt;&gt;Constants!$B$4,"",IF($BB242="-&gt;",$BE242,$AU242))</f>
        <v/>
      </c>
      <c r="BU242" s="124" t="str">
        <f aca="false">IF(ISBLANK($C242),"",IF($BL242&lt;&gt;Constants!$B$4,$BL242,IF(ISNUMBER($BT242),RANK($BT242,$BT$9:$BT$508,0),COUNT($BT$9:$BT$508)+1)))</f>
        <v/>
      </c>
      <c r="BV242" s="127" t="str">
        <f aca="false">IF($BL242&lt;&gt;Constants!$B$4,"",IF($BB242="-&gt;",$BF242,$AV242))</f>
        <v/>
      </c>
      <c r="BW242" s="124" t="str">
        <f aca="false">IF(ISBLANK($C242),"",IF($BL242&lt;&gt;Constants!$B$4,$BL242,IF(ISNUMBER($BV242),RANK($BV242,$BV$9:$BV$508,0),COUNT($BV$9:$BV$508)+1)))</f>
        <v/>
      </c>
      <c r="BX242" s="127" t="str">
        <f aca="false">IF($BL242&lt;&gt;Constants!$B$4,"",IF($BB242="-&gt;",$BK242,$BA242))</f>
        <v/>
      </c>
      <c r="BY242" s="124" t="str">
        <f aca="false">IF(ISBLANK($C242),"",IF($BL242&lt;&gt;Constants!$B$4,$BL242,IF(ISNUMBER($BX242),RANK($BX242,$BX$9:$BX$508,0),COUNT($BX$9:$BX$508)+1)))</f>
        <v/>
      </c>
      <c r="BZ242" s="124" t="str">
        <f aca="false">IF(ISBLANK($C242),"",IF($BL242&lt;&gt;Constants!$B$4,$BL242,COUNTIFS($BM$9:$BM$508,"&lt;"&amp;$BM242)+COUNTIFS($BM$9:$BM$508,$BM242,$BP$9:$BP$508,"&lt;"&amp;$BP242)+COUNTIFS($BM$9:$BM$508,$BM242,$BP$9:$BP$508,$BP242,$BS$9:$BS$508,"&lt;"&amp;$BS242)+COUNTIFS($BM$9:$BM$508,$BM242,$BP$9:$BP$508,$BP242,$BS$9:$BS$508,$BS242,$BU$9:$BU$508,"&lt;"&amp;$BU242)+COUNTIFS($BM$9:$BM$508,$BM242,$BP$9:$BP$508,$BP242,$BS$9:$BS$508,$BS242,$BU$9:$BU$508,$BU242,$BW$9:$BW$508,"&lt;"&amp;$BW242)+COUNTIFS($BM$9:$BM$508,$BM242,$BP$9:$BP$508,$BP242,$BS$9:$BS$508,$BS242,$BU$9:$BU$508,$BU242,$BW$9:$BW$508,$BW242,$BY$9:$BY$508,"&lt;"&amp;$BY242)+1))</f>
        <v/>
      </c>
      <c r="CA242" s="124" t="str">
        <f aca="false">IF(ISBLANK($C242),"",IF($BL242&lt;&gt;Constants!$B$4,$BL242,$BQ242-$BZ242))</f>
        <v/>
      </c>
      <c r="CB242" s="130"/>
      <c r="CC242" s="131" t="str">
        <f aca="false">IF(ISBLANK($C242),"",IF($BL242=Constants!$B$8,$AR242,""))</f>
        <v/>
      </c>
      <c r="CD242" s="131" t="str">
        <f aca="false">IF(ISBLANK($C242),"",IF($BL242&lt;&gt;Constants!$B$4,"",IF($BB242="-&gt;",2,1)))</f>
        <v/>
      </c>
      <c r="CE242" s="132" t="str">
        <f aca="false">IF(ISBLANK($C242),"",IF($BL242&lt;&gt;Constants!$B$4,"",IF($BB242="-&gt;",$BE242,$AU242)))</f>
        <v/>
      </c>
      <c r="CF242" s="132" t="str">
        <f aca="false">IF(ISBLANK($C242),"",IF($BL242&lt;&gt;Constants!$B$4,"",IF($BB242="-&gt;",$BF242,$AV242)))</f>
        <v/>
      </c>
      <c r="CG242" s="132" t="str">
        <f aca="false">IF(ISBLANK($C242),"",IF($BL242&lt;&gt;Constants!$B$4,"",IF($BB242="-&gt;",$BG242,$AW242)))</f>
        <v/>
      </c>
      <c r="CH242" s="132" t="str">
        <f aca="false">IF(ISBLANK($C242),"",IF($BL242&lt;&gt;Constants!$B$4,"",IF($BB242="-&gt;",$BH242,$AX242)))</f>
        <v/>
      </c>
      <c r="CI242" s="133" t="str">
        <f aca="false">IF(ISBLANK($C242),"",$BO242)</f>
        <v/>
      </c>
      <c r="CJ242" s="134" t="str">
        <f aca="false">IF(ISBLANK($C242),"",$BM242)</f>
        <v/>
      </c>
      <c r="CK242" s="135" t="str">
        <f aca="false">IF(ISBLANK($C242),"",$CA242)</f>
        <v/>
      </c>
      <c r="CL242" s="135" t="str">
        <f aca="false">IF(ISBLANK($C242),"",$BZ242)</f>
        <v/>
      </c>
      <c r="CM242" s="136" t="str">
        <f aca="false">IF(ISBLANK($C242),"",IF($CL242=Constants!$B$7,COUNTA($C$9:$C$508)+2,IF($CL242=Constants!$B$6,COUNTA($C$9:$C$508)+1,IF($CL242=Constants!$B$5,COUNTA($C$9:$C$508),$CL242))))</f>
        <v/>
      </c>
      <c r="CN242" s="8"/>
      <c r="CO242" s="137" t="n">
        <f aca="false">IF(OR(ISNUMBER($CL242),$CL242=Constants!$B$7,$CL242=Constants!$B$5,$CL242=Constants!$B$6),1,0)</f>
        <v>0</v>
      </c>
      <c r="CP242" s="137" t="n">
        <v>234</v>
      </c>
      <c r="CQ242" s="137" t="str">
        <f aca="false">IF(ISBLANK($C242),"",IF(ISNUMBER($CM242),$CM242+ROW($B242)/1000,""))</f>
        <v/>
      </c>
      <c r="CR242" s="137" t="str">
        <f aca="false">IF(ISNUMBER($CQ242),RANK($CQ242,$CQ$9:$CQ$508,1),"")</f>
        <v/>
      </c>
      <c r="CS242" s="137" t="str">
        <f aca="false">IF(ISBLANK($C242),"",$B242)</f>
        <v/>
      </c>
      <c r="CT242" s="137" t="str">
        <f aca="false">IF(ISBLANK($C242),"",$C242)</f>
        <v/>
      </c>
      <c r="CU242" s="137" t="str">
        <f aca="false">IF(ISBLANK($C242),"",$D242)</f>
        <v/>
      </c>
      <c r="CV242" s="138" t="str">
        <f aca="false">$CJ242</f>
        <v/>
      </c>
      <c r="CW242" s="139" t="str">
        <f aca="false">$CI242</f>
        <v/>
      </c>
      <c r="CX242" s="137" t="str">
        <f aca="false">IF(ISBLANK($C242),"",$CL242)</f>
        <v/>
      </c>
      <c r="CY242" s="140" t="str">
        <f aca="false">IF($CP242&gt;$CO$8,"",VLOOKUP($CP242,$CR$9:$CX$508,7,FALSE()))</f>
        <v/>
      </c>
      <c r="CZ242" s="141" t="str">
        <f aca="false">IF($CP242&gt;$CO$8,"",VLOOKUP($CP242,$CR$9:$CX$508,2,FALSE()))</f>
        <v/>
      </c>
      <c r="DA242" s="141" t="str">
        <f aca="false">IF($CP242&gt;$CO$8,"",VLOOKUP($CP242,$CR$9:$CX$508,3,FALSE()))</f>
        <v/>
      </c>
      <c r="DB242" s="141" t="str">
        <f aca="false">IF($CP242&gt;$CO$8,"",VLOOKUP($CP242,$CR$9:$CX$508,4,FALSE()))</f>
        <v/>
      </c>
      <c r="DC242" s="141" t="str">
        <f aca="false">IF($CP242&gt;$CO$8,"",VLOOKUP($CP242,$CR$9:$CX$508,5,FALSE()))</f>
        <v/>
      </c>
      <c r="DD242" s="142" t="str">
        <f aca="false">IF($CP242&gt;$CO$8,"",VLOOKUP($CP242,$CR$9:$CX$508,6,FALSE()))</f>
        <v/>
      </c>
      <c r="DE242" s="70"/>
    </row>
    <row r="243" customFormat="false" ht="15.75" hidden="false" customHeight="false" outlineLevel="0" collapsed="false">
      <c r="A243" s="8"/>
      <c r="B243" s="72"/>
      <c r="C243" s="73"/>
      <c r="D243" s="155"/>
      <c r="E243" s="162"/>
      <c r="F243" s="157"/>
      <c r="G243" s="77"/>
      <c r="H243" s="77"/>
      <c r="I243" s="77"/>
      <c r="J243" s="163"/>
      <c r="K243" s="161"/>
      <c r="L243" s="161"/>
      <c r="M243" s="80"/>
      <c r="N243" s="161"/>
      <c r="O243" s="160"/>
      <c r="P243" s="161"/>
      <c r="Q243" s="161"/>
      <c r="R243" s="161"/>
      <c r="S243" s="77"/>
      <c r="T243" s="161"/>
      <c r="U243" s="160"/>
      <c r="V243" s="161"/>
      <c r="W243" s="85"/>
      <c r="X243" s="86" t="str">
        <f aca="false">IF(ISBLANK($C243),"",IF($E243=Constants!$B$2,TRUE(),IF($E243=Constants!$B$3,FALSE(),TRUE())))</f>
        <v/>
      </c>
      <c r="Y243" s="86" t="str">
        <f aca="false">IF(ISBLANK($C243),"",IF($F243=Constants!$B$2,TRUE(),IF($F243=Constants!$B$3,FALSE(),TRUE())))</f>
        <v/>
      </c>
      <c r="Z243" s="87" t="str">
        <f aca="false">IF(ISBLANK($C243),"",IF(ISNUMBER($G243),IF($G243&gt;=0,$G243,""),""))</f>
        <v/>
      </c>
      <c r="AA243" s="87" t="str">
        <f aca="false">IF(ISBLANK($C243),"",IF(ISNUMBER($H243),IF($H243&gt;=0,$H243,""),""))</f>
        <v/>
      </c>
      <c r="AB243" s="87" t="str">
        <f aca="false">IF(ISBLANK($C243),"",IF(ISNUMBER($I243),IF($I243&gt;=0,$I243,""),""))</f>
        <v/>
      </c>
      <c r="AC243" s="86" t="str">
        <f aca="false">IF(ISBLANK($C243),"",IF($J243=Constants!$B$2,TRUE(),IF($J243=Constants!$B$3,FALSE(),TRUE())))</f>
        <v/>
      </c>
      <c r="AD243" s="86" t="str">
        <f aca="false">IF(ISBLANK($C243),"",IF($K243=Constants!$B$2,TRUE(),IF($K243=Constants!$B$3,FALSE(),TRUE())))</f>
        <v/>
      </c>
      <c r="AE243" s="86" t="str">
        <f aca="false">IF(ISBLANK($C243),"",IF($L243=Constants!$B$2,TRUE(),IF($L243=Constants!$B$3,FALSE(),TRUE())))</f>
        <v/>
      </c>
      <c r="AF243" s="88" t="str">
        <f aca="false">IF(ISBLANK($C243),"",IF(ISNUMBER($M243),IF($M243&gt;=0,$M243,""),""))</f>
        <v/>
      </c>
      <c r="AG243" s="86" t="str">
        <f aca="false">IF(ISBLANK($C243),"",IF(ISBLANK($N243),0,IF(ISNUMBER($N243),IF(AND($N243&gt;=0,$N243&lt;=Constants!$B$17,$N243=INT($N243)),$N243,""),"")))</f>
        <v/>
      </c>
      <c r="AH243" s="87" t="str">
        <f aca="false">IF(ISBLANK($C243),"",IF(ISBLANK($O243),0,IF(ISNUMBER($O243),IF($O243&gt;=0,$O243,""),"")))</f>
        <v/>
      </c>
      <c r="AI243" s="86" t="str">
        <f aca="false">IF(ISBLANK($C243),"",IF($P243=Constants!$B$2,TRUE(),IF($P243=Constants!$B$3,FALSE(),TRUE())))</f>
        <v/>
      </c>
      <c r="AJ243" s="86" t="str">
        <f aca="false">IF(ISBLANK($C243),"",IF($Q243=Constants!$B$2,TRUE(),IF($Q243=Constants!$B$3,FALSE(),TRUE())))</f>
        <v/>
      </c>
      <c r="AK243" s="86" t="str">
        <f aca="false">IF(ISBLANK($C243),"",IF($R243=Constants!$B$2,TRUE(),IF($R243=Constants!$B$3,FALSE(),TRUE())))</f>
        <v/>
      </c>
      <c r="AL243" s="88" t="str">
        <f aca="false">IF(ISBLANK($C243),"",IF(ISNUMBER($S243),IF($S243&gt;=0,$S243,""),""))</f>
        <v/>
      </c>
      <c r="AM243" s="86" t="str">
        <f aca="false">IF(ISBLANK($C243),"",IF(ISBLANK($T243),0,IF(ISNUMBER($T243),IF(AND($T243&gt;=0,$T243&lt;=Constants!$B$17,$T243=INT($T243)),$T243,""),"")))</f>
        <v/>
      </c>
      <c r="AN243" s="87" t="str">
        <f aca="false">IF(ISBLANK($C243),"",IF(ISBLANK($U243),0,IF(ISNUMBER($U243),IF($U243&gt;=0,$U243,""),"")))</f>
        <v/>
      </c>
      <c r="AO243" s="86" t="str">
        <f aca="false">IF(ISBLANK($C243),"",IF($V243=Constants!$B$2,TRUE(),IF($V243=Constants!$B$3,FALSE(),FALSE())))</f>
        <v/>
      </c>
      <c r="AP243" s="86"/>
      <c r="AQ243" s="85" t="str">
        <f aca="false">IF(ISBLANK($C243),"",AND($Y243,OR($AS243,$BC243),OR($Z243="",$AA243="",$AB243="")))</f>
        <v/>
      </c>
      <c r="AR243" s="85" t="str">
        <f aca="false">IF(ISBLANK($C243),"",IF(OR(NOT($Y243),NOT(OR($AS243,$BC243))),"",IF(ISBLANK($D$7),$AR$5,IF($AP$9="",$AR$6,""))))</f>
        <v/>
      </c>
      <c r="AS243" s="85" t="str">
        <f aca="false">IF(ISBLANK($C243),"",COUNTA($J243:$O243)&gt;0)</f>
        <v/>
      </c>
      <c r="AT243" s="85" t="str">
        <f aca="false">IF(ISBLANK($C243),"",AND($AS243,OR(AND($AF243="",OR($AE243,NOT(ISBLANK($M243)))),$AG243="",$AH243="")))</f>
        <v/>
      </c>
      <c r="AU243" s="87" t="str">
        <f aca="false">IF($BL243&lt;&gt;Constants!$B$4,"",IF(NOT($AS243),"",ROUND((Constants!$B$12-$AB243)+(Constants!$B$13-$Z243)+(Constants!$B$14-$AA243),1)))</f>
        <v/>
      </c>
      <c r="AV243" s="90" t="str">
        <f aca="false">IF($BL243&lt;&gt;Constants!$B$4,"",IF(NOT($AS243),"",IF(NOT($AE243),0,Constants!$B$15*(INT(ROUND(MIN($AF243,$AP$9),6))-INT(ROUND(MAX(0,MIN($AF243,2*$AP$9)-$AP$9),6))))))</f>
        <v/>
      </c>
      <c r="AW243" s="90" t="str">
        <f aca="false">IF($BL243&lt;&gt;Constants!$B$4,"",IF(NOT($AS243),"",Constants!$B$16*$AG243))</f>
        <v/>
      </c>
      <c r="AX243" s="90" t="str">
        <f aca="false">IF($BL243&lt;&gt;Constants!$B$4,"",IF(NOT($AS243),"",Constants!$B$18*INT(ROUND($AH243,6))))</f>
        <v/>
      </c>
      <c r="AY243" s="85" t="str">
        <f aca="false">IF($BL243&lt;&gt;Constants!$B$4,"",IF(NOT($AS243),"",IF(NOT($X243),Constants!$B$11,IF(OR(NOT($AC243),NOT($AD243),ROUND($AB243,1)&gt;Constants!$B$12,ROUND($Z243,1)&gt;Constants!$B$13,ROUND($AA243,1)&gt;Constants!$B$14),Constants!$B$10,Constants!$B$9))))</f>
        <v/>
      </c>
      <c r="AZ243" s="91" t="str">
        <f aca="false">IF($BL243&lt;&gt;Constants!$B$4,"",IF(NOT($AS243),"",ROUND($AU243+$AV243+$AW243+$AX243,1)))</f>
        <v/>
      </c>
      <c r="BA243" s="92" t="str">
        <f aca="false">IF($BL243&lt;&gt;Constants!$B$4,"",IF(NOT($AS243),"",IF(ISNUMBER($AF243),$AF243,0)))</f>
        <v/>
      </c>
      <c r="BB243" s="86" t="str">
        <f aca="false">IF($BL243&lt;&gt;Constants!$B$4,"",IF(NOT($BC243),"&lt;-",IF(NOT($AS243),"-&gt;",IF(OR($BI243&lt;$AY243,AND($BI243=$AY243,OR($BJ243&gt;$AZ243,AND($BJ243=$AZ243,OR($BH243&gt;$AX243,AND($BH243=$AX243,OR($BE243&gt;$AU243,AND($BE243=$AU243,OR($BF243&gt;$AV243,AND($BF243=$AV243,$BK243&gt;$BA243)))))))))),"-&gt;","&lt;-"))))</f>
        <v/>
      </c>
      <c r="BC243" s="85" t="str">
        <f aca="false">IF(ISBLANK($C243),"",COUNTA($P243:$U243)&gt;0)</f>
        <v/>
      </c>
      <c r="BD243" s="85" t="str">
        <f aca="false">IF(ISBLANK($C243),"",AND($BC243,OR(AND($AL243="",OR($AK243,NOT(ISBLANK($S243)))),$AM243="",$AN243="")))</f>
        <v/>
      </c>
      <c r="BE243" s="87" t="str">
        <f aca="false">IF($BL243&lt;&gt;Constants!$B$4,"",IF(NOT($BC243),"",ROUND((Constants!$B$12-$AB243)+(Constants!$B$13-$Z243)+(Constants!$B$14-$AA243),1)))</f>
        <v/>
      </c>
      <c r="BF243" s="90" t="str">
        <f aca="false">IF($BL243&lt;&gt;Constants!$B$4,"",IF(NOT($BC243),"",IF(NOT($AK243),0,Constants!$B$15*(INT(ROUND(MIN($AL243,$AP$9),6))-INT(ROUND(MAX(0,MIN($AL243,2*$AP$9)-$AP$9),6))))))</f>
        <v/>
      </c>
      <c r="BG243" s="90" t="str">
        <f aca="false">IF($BL243&lt;&gt;Constants!$B$4,"",IF(NOT($BC243),"",Constants!$B$16*$AM243))</f>
        <v/>
      </c>
      <c r="BH243" s="90" t="str">
        <f aca="false">IF($BL243&lt;&gt;Constants!$B$4,"",IF(NOT($BC243),"",Constants!$B$18*INT(ROUND($AN243,6))))</f>
        <v/>
      </c>
      <c r="BI243" s="85" t="str">
        <f aca="false">IF($BL243&lt;&gt;Constants!$B$4,"",IF(NOT($BC243),"",IF(NOT($X243),Constants!$B$11,IF(OR(NOT($AI243),NOT($AJ243),ROUND($AB243,1)&gt;Constants!$B$12,ROUND($Z243,1)&gt;Constants!$B$13,ROUND($AA243,1)&gt;Constants!$B$14),Constants!$B$10,Constants!$B$9))))</f>
        <v/>
      </c>
      <c r="BJ243" s="91" t="str">
        <f aca="false">IF($BL243&lt;&gt;Constants!$B$4,"",IF(NOT($BC243),"",ROUND($BE243+$BF243+$BG243+$BH243,1)))</f>
        <v/>
      </c>
      <c r="BK243" s="92" t="str">
        <f aca="false">IF($BL243&lt;&gt;Constants!$B$4,"",IF(NOT($BC243),"",IF(ISNUMBER($AL243),$AL243,0)))</f>
        <v/>
      </c>
      <c r="BL243" s="86" t="str">
        <f aca="false">IF(ISBLANK($C243),"",IF($AO243,Constants!$B$7,IF(COUNTA($E243:$V243)=0,Constants!$B$6,IF(NOT($Y243),Constants!$B$5,IF(NOT(OR($AS243,$BC243)),Constants!$B$5,IF(OR($AT243,$BD243,$AQ243,$AR243&lt;&gt;""),Constants!$B$8,Constants!$B$4))))))</f>
        <v/>
      </c>
      <c r="BM243" s="86" t="str">
        <f aca="false">IF(ISBLANK($C243),"",IF($BL243&lt;&gt;Constants!$B$4,$BL243,IF($BB243="-&gt;",$BI243,$AY243)))</f>
        <v/>
      </c>
      <c r="BN243" s="90" t="str">
        <f aca="false">IF($BL243&lt;&gt;Constants!$B$4,"",IF($BB243="-&gt;",$BJ243,$AZ243))</f>
        <v/>
      </c>
      <c r="BO243" s="90" t="str">
        <f aca="false">IF(ISBLANK($C243),"",IF($BL243&lt;&gt;Constants!$B$4,$BL243,$BN243))</f>
        <v/>
      </c>
      <c r="BP243" s="86" t="str">
        <f aca="false">IF(ISBLANK($C243),"",IF($BL243&lt;&gt;Constants!$B$4,$BL243,RANK($BO243,$BO$9:$BO$508,0)))</f>
        <v/>
      </c>
      <c r="BQ243" s="86" t="str">
        <f aca="false">IF(ISBLANK($C243),"",IF($BL243&lt;&gt;Constants!$B$4,$BL243,COUNTIFS($BM$9:$BM$508,"&lt;"&amp;$BM243)+COUNTIFS($BM$9:$BM$508,$BM243,$BP$9:$BP$508,"&lt;"&amp;$BP243)+1))</f>
        <v/>
      </c>
      <c r="BR243" s="90" t="str">
        <f aca="false">IF($BL243&lt;&gt;Constants!$B$4,"",IF($BB243="-&gt;",$BH243,$AX243))</f>
        <v/>
      </c>
      <c r="BS243" s="86" t="str">
        <f aca="false">IF(ISBLANK($C243),"",IF($BL243&lt;&gt;Constants!$B$4,$BL243,IF(ISNUMBER($BR243),RANK($BR243,$BR$9:$BR$508,0),COUNT($BR$9:$BR$508)+1)))</f>
        <v/>
      </c>
      <c r="BT243" s="90" t="str">
        <f aca="false">IF($BL243&lt;&gt;Constants!$B$4,"",IF($BB243="-&gt;",$BE243,$AU243))</f>
        <v/>
      </c>
      <c r="BU243" s="86" t="str">
        <f aca="false">IF(ISBLANK($C243),"",IF($BL243&lt;&gt;Constants!$B$4,$BL243,IF(ISNUMBER($BT243),RANK($BT243,$BT$9:$BT$508,0),COUNT($BT$9:$BT$508)+1)))</f>
        <v/>
      </c>
      <c r="BV243" s="90" t="str">
        <f aca="false">IF($BL243&lt;&gt;Constants!$B$4,"",IF($BB243="-&gt;",$BF243,$AV243))</f>
        <v/>
      </c>
      <c r="BW243" s="86" t="str">
        <f aca="false">IF(ISBLANK($C243),"",IF($BL243&lt;&gt;Constants!$B$4,$BL243,IF(ISNUMBER($BV243),RANK($BV243,$BV$9:$BV$508,0),COUNT($BV$9:$BV$508)+1)))</f>
        <v/>
      </c>
      <c r="BX243" s="90" t="str">
        <f aca="false">IF($BL243&lt;&gt;Constants!$B$4,"",IF($BB243="-&gt;",$BK243,$BA243))</f>
        <v/>
      </c>
      <c r="BY243" s="86" t="str">
        <f aca="false">IF(ISBLANK($C243),"",IF($BL243&lt;&gt;Constants!$B$4,$BL243,IF(ISNUMBER($BX243),RANK($BX243,$BX$9:$BX$508,0),COUNT($BX$9:$BX$508)+1)))</f>
        <v/>
      </c>
      <c r="BZ243" s="86" t="str">
        <f aca="false">IF(ISBLANK($C243),"",IF($BL243&lt;&gt;Constants!$B$4,$BL243,COUNTIFS($BM$9:$BM$508,"&lt;"&amp;$BM243)+COUNTIFS($BM$9:$BM$508,$BM243,$BP$9:$BP$508,"&lt;"&amp;$BP243)+COUNTIFS($BM$9:$BM$508,$BM243,$BP$9:$BP$508,$BP243,$BS$9:$BS$508,"&lt;"&amp;$BS243)+COUNTIFS($BM$9:$BM$508,$BM243,$BP$9:$BP$508,$BP243,$BS$9:$BS$508,$BS243,$BU$9:$BU$508,"&lt;"&amp;$BU243)+COUNTIFS($BM$9:$BM$508,$BM243,$BP$9:$BP$508,$BP243,$BS$9:$BS$508,$BS243,$BU$9:$BU$508,$BU243,$BW$9:$BW$508,"&lt;"&amp;$BW243)+COUNTIFS($BM$9:$BM$508,$BM243,$BP$9:$BP$508,$BP243,$BS$9:$BS$508,$BS243,$BU$9:$BU$508,$BU243,$BW$9:$BW$508,$BW243,$BY$9:$BY$508,"&lt;"&amp;$BY243)+1))</f>
        <v/>
      </c>
      <c r="CA243" s="86" t="str">
        <f aca="false">IF(ISBLANK($C243),"",IF($BL243&lt;&gt;Constants!$B$4,$BL243,$BQ243-$BZ243))</f>
        <v/>
      </c>
      <c r="CB243" s="93"/>
      <c r="CC243" s="94" t="str">
        <f aca="false">IF(ISBLANK($C243),"",IF($BL243=Constants!$B$8,$AR243,""))</f>
        <v/>
      </c>
      <c r="CD243" s="94" t="str">
        <f aca="false">IF(ISBLANK($C243),"",IF($BL243&lt;&gt;Constants!$B$4,"",IF($BB243="-&gt;",2,1)))</f>
        <v/>
      </c>
      <c r="CE243" s="95" t="str">
        <f aca="false">IF(ISBLANK($C243),"",IF($BL243&lt;&gt;Constants!$B$4,"",IF($BB243="-&gt;",$BE243,$AU243)))</f>
        <v/>
      </c>
      <c r="CF243" s="95" t="str">
        <f aca="false">IF(ISBLANK($C243),"",IF($BL243&lt;&gt;Constants!$B$4,"",IF($BB243="-&gt;",$BF243,$AV243)))</f>
        <v/>
      </c>
      <c r="CG243" s="95" t="str">
        <f aca="false">IF(ISBLANK($C243),"",IF($BL243&lt;&gt;Constants!$B$4,"",IF($BB243="-&gt;",$BG243,$AW243)))</f>
        <v/>
      </c>
      <c r="CH243" s="95" t="str">
        <f aca="false">IF(ISBLANK($C243),"",IF($BL243&lt;&gt;Constants!$B$4,"",IF($BB243="-&gt;",$BH243,$AX243)))</f>
        <v/>
      </c>
      <c r="CI243" s="96" t="str">
        <f aca="false">IF(ISBLANK($C243),"",$BO243)</f>
        <v/>
      </c>
      <c r="CJ243" s="97" t="str">
        <f aca="false">IF(ISBLANK($C243),"",$BM243)</f>
        <v/>
      </c>
      <c r="CK243" s="98" t="str">
        <f aca="false">IF(ISBLANK($C243),"",$CA243)</f>
        <v/>
      </c>
      <c r="CL243" s="98" t="str">
        <f aca="false">IF(ISBLANK($C243),"",$BZ243)</f>
        <v/>
      </c>
      <c r="CM243" s="99" t="str">
        <f aca="false">IF(ISBLANK($C243),"",IF($CL243=Constants!$B$7,COUNTA($C$9:$C$508)+2,IF($CL243=Constants!$B$6,COUNTA($C$9:$C$508)+1,IF($CL243=Constants!$B$5,COUNTA($C$9:$C$508),$CL243))))</f>
        <v/>
      </c>
      <c r="CN243" s="8"/>
      <c r="CO243" s="100" t="n">
        <f aca="false">IF(OR(ISNUMBER($CL243),$CL243=Constants!$B$7,$CL243=Constants!$B$5,$CL243=Constants!$B$6),1,0)</f>
        <v>0</v>
      </c>
      <c r="CP243" s="100" t="n">
        <v>235</v>
      </c>
      <c r="CQ243" s="100" t="str">
        <f aca="false">IF(ISBLANK($C243),"",IF(ISNUMBER($CM243),$CM243+ROW($B243)/1000,""))</f>
        <v/>
      </c>
      <c r="CR243" s="100" t="str">
        <f aca="false">IF(ISNUMBER($CQ243),RANK($CQ243,$CQ$9:$CQ$508,1),"")</f>
        <v/>
      </c>
      <c r="CS243" s="100" t="str">
        <f aca="false">IF(ISBLANK($C243),"",$B243)</f>
        <v/>
      </c>
      <c r="CT243" s="100" t="str">
        <f aca="false">IF(ISBLANK($C243),"",$C243)</f>
        <v/>
      </c>
      <c r="CU243" s="100" t="str">
        <f aca="false">IF(ISBLANK($C243),"",$D243)</f>
        <v/>
      </c>
      <c r="CV243" s="101" t="str">
        <f aca="false">$CJ243</f>
        <v/>
      </c>
      <c r="CW243" s="102" t="str">
        <f aca="false">$CI243</f>
        <v/>
      </c>
      <c r="CX243" s="100" t="str">
        <f aca="false">IF(ISBLANK($C243),"",$CL243)</f>
        <v/>
      </c>
      <c r="CY243" s="103" t="str">
        <f aca="false">IF($CP243&gt;$CO$8,"",VLOOKUP($CP243,$CR$9:$CX$508,7,FALSE()))</f>
        <v/>
      </c>
      <c r="CZ243" s="104" t="str">
        <f aca="false">IF($CP243&gt;$CO$8,"",VLOOKUP($CP243,$CR$9:$CX$508,2,FALSE()))</f>
        <v/>
      </c>
      <c r="DA243" s="104" t="str">
        <f aca="false">IF($CP243&gt;$CO$8,"",VLOOKUP($CP243,$CR$9:$CX$508,3,FALSE()))</f>
        <v/>
      </c>
      <c r="DB243" s="104" t="str">
        <f aca="false">IF($CP243&gt;$CO$8,"",VLOOKUP($CP243,$CR$9:$CX$508,4,FALSE()))</f>
        <v/>
      </c>
      <c r="DC243" s="104" t="str">
        <f aca="false">IF($CP243&gt;$CO$8,"",VLOOKUP($CP243,$CR$9:$CX$508,5,FALSE()))</f>
        <v/>
      </c>
      <c r="DD243" s="105" t="str">
        <f aca="false">IF($CP243&gt;$CO$8,"",VLOOKUP($CP243,$CR$9:$CX$508,6,FALSE()))</f>
        <v/>
      </c>
      <c r="DE243" s="70"/>
    </row>
    <row r="244" customFormat="false" ht="15.75" hidden="false" customHeight="false" outlineLevel="0" collapsed="false">
      <c r="A244" s="8"/>
      <c r="B244" s="72"/>
      <c r="C244" s="73"/>
      <c r="D244" s="155"/>
      <c r="E244" s="162"/>
      <c r="F244" s="157"/>
      <c r="G244" s="77"/>
      <c r="H244" s="77"/>
      <c r="I244" s="77"/>
      <c r="J244" s="163"/>
      <c r="K244" s="161"/>
      <c r="L244" s="161"/>
      <c r="M244" s="80"/>
      <c r="N244" s="161"/>
      <c r="O244" s="160"/>
      <c r="P244" s="161"/>
      <c r="Q244" s="161"/>
      <c r="R244" s="161"/>
      <c r="S244" s="77"/>
      <c r="T244" s="161"/>
      <c r="U244" s="160"/>
      <c r="V244" s="161"/>
      <c r="W244" s="85"/>
      <c r="X244" s="86" t="str">
        <f aca="false">IF(ISBLANK($C244),"",IF($E244=Constants!$B$2,TRUE(),IF($E244=Constants!$B$3,FALSE(),TRUE())))</f>
        <v/>
      </c>
      <c r="Y244" s="86" t="str">
        <f aca="false">IF(ISBLANK($C244),"",IF($F244=Constants!$B$2,TRUE(),IF($F244=Constants!$B$3,FALSE(),TRUE())))</f>
        <v/>
      </c>
      <c r="Z244" s="87" t="str">
        <f aca="false">IF(ISBLANK($C244),"",IF(ISNUMBER($G244),IF($G244&gt;=0,$G244,""),""))</f>
        <v/>
      </c>
      <c r="AA244" s="87" t="str">
        <f aca="false">IF(ISBLANK($C244),"",IF(ISNUMBER($H244),IF($H244&gt;=0,$H244,""),""))</f>
        <v/>
      </c>
      <c r="AB244" s="87" t="str">
        <f aca="false">IF(ISBLANK($C244),"",IF(ISNUMBER($I244),IF($I244&gt;=0,$I244,""),""))</f>
        <v/>
      </c>
      <c r="AC244" s="86" t="str">
        <f aca="false">IF(ISBLANK($C244),"",IF($J244=Constants!$B$2,TRUE(),IF($J244=Constants!$B$3,FALSE(),TRUE())))</f>
        <v/>
      </c>
      <c r="AD244" s="86" t="str">
        <f aca="false">IF(ISBLANK($C244),"",IF($K244=Constants!$B$2,TRUE(),IF($K244=Constants!$B$3,FALSE(),TRUE())))</f>
        <v/>
      </c>
      <c r="AE244" s="86" t="str">
        <f aca="false">IF(ISBLANK($C244),"",IF($L244=Constants!$B$2,TRUE(),IF($L244=Constants!$B$3,FALSE(),TRUE())))</f>
        <v/>
      </c>
      <c r="AF244" s="88" t="str">
        <f aca="false">IF(ISBLANK($C244),"",IF(ISNUMBER($M244),IF($M244&gt;=0,$M244,""),""))</f>
        <v/>
      </c>
      <c r="AG244" s="86" t="str">
        <f aca="false">IF(ISBLANK($C244),"",IF(ISBLANK($N244),0,IF(ISNUMBER($N244),IF(AND($N244&gt;=0,$N244&lt;=Constants!$B$17,$N244=INT($N244)),$N244,""),"")))</f>
        <v/>
      </c>
      <c r="AH244" s="87" t="str">
        <f aca="false">IF(ISBLANK($C244),"",IF(ISBLANK($O244),0,IF(ISNUMBER($O244),IF($O244&gt;=0,$O244,""),"")))</f>
        <v/>
      </c>
      <c r="AI244" s="86" t="str">
        <f aca="false">IF(ISBLANK($C244),"",IF($P244=Constants!$B$2,TRUE(),IF($P244=Constants!$B$3,FALSE(),TRUE())))</f>
        <v/>
      </c>
      <c r="AJ244" s="86" t="str">
        <f aca="false">IF(ISBLANK($C244),"",IF($Q244=Constants!$B$2,TRUE(),IF($Q244=Constants!$B$3,FALSE(),TRUE())))</f>
        <v/>
      </c>
      <c r="AK244" s="86" t="str">
        <f aca="false">IF(ISBLANK($C244),"",IF($R244=Constants!$B$2,TRUE(),IF($R244=Constants!$B$3,FALSE(),TRUE())))</f>
        <v/>
      </c>
      <c r="AL244" s="88" t="str">
        <f aca="false">IF(ISBLANK($C244),"",IF(ISNUMBER($S244),IF($S244&gt;=0,$S244,""),""))</f>
        <v/>
      </c>
      <c r="AM244" s="86" t="str">
        <f aca="false">IF(ISBLANK($C244),"",IF(ISBLANK($T244),0,IF(ISNUMBER($T244),IF(AND($T244&gt;=0,$T244&lt;=Constants!$B$17,$T244=INT($T244)),$T244,""),"")))</f>
        <v/>
      </c>
      <c r="AN244" s="87" t="str">
        <f aca="false">IF(ISBLANK($C244),"",IF(ISBLANK($U244),0,IF(ISNUMBER($U244),IF($U244&gt;=0,$U244,""),"")))</f>
        <v/>
      </c>
      <c r="AO244" s="86" t="str">
        <f aca="false">IF(ISBLANK($C244),"",IF($V244=Constants!$B$2,TRUE(),IF($V244=Constants!$B$3,FALSE(),FALSE())))</f>
        <v/>
      </c>
      <c r="AP244" s="86"/>
      <c r="AQ244" s="85" t="str">
        <f aca="false">IF(ISBLANK($C244),"",AND($Y244,OR($AS244,$BC244),OR($Z244="",$AA244="",$AB244="")))</f>
        <v/>
      </c>
      <c r="AR244" s="85" t="str">
        <f aca="false">IF(ISBLANK($C244),"",IF(OR(NOT($Y244),NOT(OR($AS244,$BC244))),"",IF(ISBLANK($D$7),$AR$5,IF($AP$9="",$AR$6,""))))</f>
        <v/>
      </c>
      <c r="AS244" s="85" t="str">
        <f aca="false">IF(ISBLANK($C244),"",COUNTA($J244:$O244)&gt;0)</f>
        <v/>
      </c>
      <c r="AT244" s="85" t="str">
        <f aca="false">IF(ISBLANK($C244),"",AND($AS244,OR(AND($AF244="",OR($AE244,NOT(ISBLANK($M244)))),$AG244="",$AH244="")))</f>
        <v/>
      </c>
      <c r="AU244" s="87" t="str">
        <f aca="false">IF($BL244&lt;&gt;Constants!$B$4,"",IF(NOT($AS244),"",ROUND((Constants!$B$12-$AB244)+(Constants!$B$13-$Z244)+(Constants!$B$14-$AA244),1)))</f>
        <v/>
      </c>
      <c r="AV244" s="90" t="str">
        <f aca="false">IF($BL244&lt;&gt;Constants!$B$4,"",IF(NOT($AS244),"",IF(NOT($AE244),0,Constants!$B$15*(INT(ROUND(MIN($AF244,$AP$9),6))-INT(ROUND(MAX(0,MIN($AF244,2*$AP$9)-$AP$9),6))))))</f>
        <v/>
      </c>
      <c r="AW244" s="90" t="str">
        <f aca="false">IF($BL244&lt;&gt;Constants!$B$4,"",IF(NOT($AS244),"",Constants!$B$16*$AG244))</f>
        <v/>
      </c>
      <c r="AX244" s="90" t="str">
        <f aca="false">IF($BL244&lt;&gt;Constants!$B$4,"",IF(NOT($AS244),"",Constants!$B$18*INT(ROUND($AH244,6))))</f>
        <v/>
      </c>
      <c r="AY244" s="85" t="str">
        <f aca="false">IF($BL244&lt;&gt;Constants!$B$4,"",IF(NOT($AS244),"",IF(NOT($X244),Constants!$B$11,IF(OR(NOT($AC244),NOT($AD244),ROUND($AB244,1)&gt;Constants!$B$12,ROUND($Z244,1)&gt;Constants!$B$13,ROUND($AA244,1)&gt;Constants!$B$14),Constants!$B$10,Constants!$B$9))))</f>
        <v/>
      </c>
      <c r="AZ244" s="91" t="str">
        <f aca="false">IF($BL244&lt;&gt;Constants!$B$4,"",IF(NOT($AS244),"",ROUND($AU244+$AV244+$AW244+$AX244,1)))</f>
        <v/>
      </c>
      <c r="BA244" s="92" t="str">
        <f aca="false">IF($BL244&lt;&gt;Constants!$B$4,"",IF(NOT($AS244),"",IF(ISNUMBER($AF244),$AF244,0)))</f>
        <v/>
      </c>
      <c r="BB244" s="86" t="str">
        <f aca="false">IF($BL244&lt;&gt;Constants!$B$4,"",IF(NOT($BC244),"&lt;-",IF(NOT($AS244),"-&gt;",IF(OR($BI244&lt;$AY244,AND($BI244=$AY244,OR($BJ244&gt;$AZ244,AND($BJ244=$AZ244,OR($BH244&gt;$AX244,AND($BH244=$AX244,OR($BE244&gt;$AU244,AND($BE244=$AU244,OR($BF244&gt;$AV244,AND($BF244=$AV244,$BK244&gt;$BA244)))))))))),"-&gt;","&lt;-"))))</f>
        <v/>
      </c>
      <c r="BC244" s="85" t="str">
        <f aca="false">IF(ISBLANK($C244),"",COUNTA($P244:$U244)&gt;0)</f>
        <v/>
      </c>
      <c r="BD244" s="85" t="str">
        <f aca="false">IF(ISBLANK($C244),"",AND($BC244,OR(AND($AL244="",OR($AK244,NOT(ISBLANK($S244)))),$AM244="",$AN244="")))</f>
        <v/>
      </c>
      <c r="BE244" s="87" t="str">
        <f aca="false">IF($BL244&lt;&gt;Constants!$B$4,"",IF(NOT($BC244),"",ROUND((Constants!$B$12-$AB244)+(Constants!$B$13-$Z244)+(Constants!$B$14-$AA244),1)))</f>
        <v/>
      </c>
      <c r="BF244" s="90" t="str">
        <f aca="false">IF($BL244&lt;&gt;Constants!$B$4,"",IF(NOT($BC244),"",IF(NOT($AK244),0,Constants!$B$15*(INT(ROUND(MIN($AL244,$AP$9),6))-INT(ROUND(MAX(0,MIN($AL244,2*$AP$9)-$AP$9),6))))))</f>
        <v/>
      </c>
      <c r="BG244" s="90" t="str">
        <f aca="false">IF($BL244&lt;&gt;Constants!$B$4,"",IF(NOT($BC244),"",Constants!$B$16*$AM244))</f>
        <v/>
      </c>
      <c r="BH244" s="90" t="str">
        <f aca="false">IF($BL244&lt;&gt;Constants!$B$4,"",IF(NOT($BC244),"",Constants!$B$18*INT(ROUND($AN244,6))))</f>
        <v/>
      </c>
      <c r="BI244" s="85" t="str">
        <f aca="false">IF($BL244&lt;&gt;Constants!$B$4,"",IF(NOT($BC244),"",IF(NOT($X244),Constants!$B$11,IF(OR(NOT($AI244),NOT($AJ244),ROUND($AB244,1)&gt;Constants!$B$12,ROUND($Z244,1)&gt;Constants!$B$13,ROUND($AA244,1)&gt;Constants!$B$14),Constants!$B$10,Constants!$B$9))))</f>
        <v/>
      </c>
      <c r="BJ244" s="91" t="str">
        <f aca="false">IF($BL244&lt;&gt;Constants!$B$4,"",IF(NOT($BC244),"",ROUND($BE244+$BF244+$BG244+$BH244,1)))</f>
        <v/>
      </c>
      <c r="BK244" s="92" t="str">
        <f aca="false">IF($BL244&lt;&gt;Constants!$B$4,"",IF(NOT($BC244),"",IF(ISNUMBER($AL244),$AL244,0)))</f>
        <v/>
      </c>
      <c r="BL244" s="86" t="str">
        <f aca="false">IF(ISBLANK($C244),"",IF($AO244,Constants!$B$7,IF(COUNTA($E244:$V244)=0,Constants!$B$6,IF(NOT($Y244),Constants!$B$5,IF(NOT(OR($AS244,$BC244)),Constants!$B$5,IF(OR($AT244,$BD244,$AQ244,$AR244&lt;&gt;""),Constants!$B$8,Constants!$B$4))))))</f>
        <v/>
      </c>
      <c r="BM244" s="86" t="str">
        <f aca="false">IF(ISBLANK($C244),"",IF($BL244&lt;&gt;Constants!$B$4,$BL244,IF($BB244="-&gt;",$BI244,$AY244)))</f>
        <v/>
      </c>
      <c r="BN244" s="90" t="str">
        <f aca="false">IF($BL244&lt;&gt;Constants!$B$4,"",IF($BB244="-&gt;",$BJ244,$AZ244))</f>
        <v/>
      </c>
      <c r="BO244" s="90" t="str">
        <f aca="false">IF(ISBLANK($C244),"",IF($BL244&lt;&gt;Constants!$B$4,$BL244,$BN244))</f>
        <v/>
      </c>
      <c r="BP244" s="86" t="str">
        <f aca="false">IF(ISBLANK($C244),"",IF($BL244&lt;&gt;Constants!$B$4,$BL244,RANK($BO244,$BO$9:$BO$508,0)))</f>
        <v/>
      </c>
      <c r="BQ244" s="86" t="str">
        <f aca="false">IF(ISBLANK($C244),"",IF($BL244&lt;&gt;Constants!$B$4,$BL244,COUNTIFS($BM$9:$BM$508,"&lt;"&amp;$BM244)+COUNTIFS($BM$9:$BM$508,$BM244,$BP$9:$BP$508,"&lt;"&amp;$BP244)+1))</f>
        <v/>
      </c>
      <c r="BR244" s="90" t="str">
        <f aca="false">IF($BL244&lt;&gt;Constants!$B$4,"",IF($BB244="-&gt;",$BH244,$AX244))</f>
        <v/>
      </c>
      <c r="BS244" s="86" t="str">
        <f aca="false">IF(ISBLANK($C244),"",IF($BL244&lt;&gt;Constants!$B$4,$BL244,IF(ISNUMBER($BR244),RANK($BR244,$BR$9:$BR$508,0),COUNT($BR$9:$BR$508)+1)))</f>
        <v/>
      </c>
      <c r="BT244" s="90" t="str">
        <f aca="false">IF($BL244&lt;&gt;Constants!$B$4,"",IF($BB244="-&gt;",$BE244,$AU244))</f>
        <v/>
      </c>
      <c r="BU244" s="86" t="str">
        <f aca="false">IF(ISBLANK($C244),"",IF($BL244&lt;&gt;Constants!$B$4,$BL244,IF(ISNUMBER($BT244),RANK($BT244,$BT$9:$BT$508,0),COUNT($BT$9:$BT$508)+1)))</f>
        <v/>
      </c>
      <c r="BV244" s="90" t="str">
        <f aca="false">IF($BL244&lt;&gt;Constants!$B$4,"",IF($BB244="-&gt;",$BF244,$AV244))</f>
        <v/>
      </c>
      <c r="BW244" s="86" t="str">
        <f aca="false">IF(ISBLANK($C244),"",IF($BL244&lt;&gt;Constants!$B$4,$BL244,IF(ISNUMBER($BV244),RANK($BV244,$BV$9:$BV$508,0),COUNT($BV$9:$BV$508)+1)))</f>
        <v/>
      </c>
      <c r="BX244" s="90" t="str">
        <f aca="false">IF($BL244&lt;&gt;Constants!$B$4,"",IF($BB244="-&gt;",$BK244,$BA244))</f>
        <v/>
      </c>
      <c r="BY244" s="86" t="str">
        <f aca="false">IF(ISBLANK($C244),"",IF($BL244&lt;&gt;Constants!$B$4,$BL244,IF(ISNUMBER($BX244),RANK($BX244,$BX$9:$BX$508,0),COUNT($BX$9:$BX$508)+1)))</f>
        <v/>
      </c>
      <c r="BZ244" s="86" t="str">
        <f aca="false">IF(ISBLANK($C244),"",IF($BL244&lt;&gt;Constants!$B$4,$BL244,COUNTIFS($BM$9:$BM$508,"&lt;"&amp;$BM244)+COUNTIFS($BM$9:$BM$508,$BM244,$BP$9:$BP$508,"&lt;"&amp;$BP244)+COUNTIFS($BM$9:$BM$508,$BM244,$BP$9:$BP$508,$BP244,$BS$9:$BS$508,"&lt;"&amp;$BS244)+COUNTIFS($BM$9:$BM$508,$BM244,$BP$9:$BP$508,$BP244,$BS$9:$BS$508,$BS244,$BU$9:$BU$508,"&lt;"&amp;$BU244)+COUNTIFS($BM$9:$BM$508,$BM244,$BP$9:$BP$508,$BP244,$BS$9:$BS$508,$BS244,$BU$9:$BU$508,$BU244,$BW$9:$BW$508,"&lt;"&amp;$BW244)+COUNTIFS($BM$9:$BM$508,$BM244,$BP$9:$BP$508,$BP244,$BS$9:$BS$508,$BS244,$BU$9:$BU$508,$BU244,$BW$9:$BW$508,$BW244,$BY$9:$BY$508,"&lt;"&amp;$BY244)+1))</f>
        <v/>
      </c>
      <c r="CA244" s="86" t="str">
        <f aca="false">IF(ISBLANK($C244),"",IF($BL244&lt;&gt;Constants!$B$4,$BL244,$BQ244-$BZ244))</f>
        <v/>
      </c>
      <c r="CB244" s="93"/>
      <c r="CC244" s="94" t="str">
        <f aca="false">IF(ISBLANK($C244),"",IF($BL244=Constants!$B$8,$AR244,""))</f>
        <v/>
      </c>
      <c r="CD244" s="94" t="str">
        <f aca="false">IF(ISBLANK($C244),"",IF($BL244&lt;&gt;Constants!$B$4,"",IF($BB244="-&gt;",2,1)))</f>
        <v/>
      </c>
      <c r="CE244" s="95" t="str">
        <f aca="false">IF(ISBLANK($C244),"",IF($BL244&lt;&gt;Constants!$B$4,"",IF($BB244="-&gt;",$BE244,$AU244)))</f>
        <v/>
      </c>
      <c r="CF244" s="95" t="str">
        <f aca="false">IF(ISBLANK($C244),"",IF($BL244&lt;&gt;Constants!$B$4,"",IF($BB244="-&gt;",$BF244,$AV244)))</f>
        <v/>
      </c>
      <c r="CG244" s="95" t="str">
        <f aca="false">IF(ISBLANK($C244),"",IF($BL244&lt;&gt;Constants!$B$4,"",IF($BB244="-&gt;",$BG244,$AW244)))</f>
        <v/>
      </c>
      <c r="CH244" s="95" t="str">
        <f aca="false">IF(ISBLANK($C244),"",IF($BL244&lt;&gt;Constants!$B$4,"",IF($BB244="-&gt;",$BH244,$AX244)))</f>
        <v/>
      </c>
      <c r="CI244" s="96" t="str">
        <f aca="false">IF(ISBLANK($C244),"",$BO244)</f>
        <v/>
      </c>
      <c r="CJ244" s="97" t="str">
        <f aca="false">IF(ISBLANK($C244),"",$BM244)</f>
        <v/>
      </c>
      <c r="CK244" s="98" t="str">
        <f aca="false">IF(ISBLANK($C244),"",$CA244)</f>
        <v/>
      </c>
      <c r="CL244" s="98" t="str">
        <f aca="false">IF(ISBLANK($C244),"",$BZ244)</f>
        <v/>
      </c>
      <c r="CM244" s="99" t="str">
        <f aca="false">IF(ISBLANK($C244),"",IF($CL244=Constants!$B$7,COUNTA($C$9:$C$508)+2,IF($CL244=Constants!$B$6,COUNTA($C$9:$C$508)+1,IF($CL244=Constants!$B$5,COUNTA($C$9:$C$508),$CL244))))</f>
        <v/>
      </c>
      <c r="CN244" s="8"/>
      <c r="CO244" s="100" t="n">
        <f aca="false">IF(OR(ISNUMBER($CL244),$CL244=Constants!$B$7,$CL244=Constants!$B$5,$CL244=Constants!$B$6),1,0)</f>
        <v>0</v>
      </c>
      <c r="CP244" s="100" t="n">
        <v>236</v>
      </c>
      <c r="CQ244" s="100" t="str">
        <f aca="false">IF(ISBLANK($C244),"",IF(ISNUMBER($CM244),$CM244+ROW($B244)/1000,""))</f>
        <v/>
      </c>
      <c r="CR244" s="100" t="str">
        <f aca="false">IF(ISNUMBER($CQ244),RANK($CQ244,$CQ$9:$CQ$508,1),"")</f>
        <v/>
      </c>
      <c r="CS244" s="100" t="str">
        <f aca="false">IF(ISBLANK($C244),"",$B244)</f>
        <v/>
      </c>
      <c r="CT244" s="100" t="str">
        <f aca="false">IF(ISBLANK($C244),"",$C244)</f>
        <v/>
      </c>
      <c r="CU244" s="100" t="str">
        <f aca="false">IF(ISBLANK($C244),"",$D244)</f>
        <v/>
      </c>
      <c r="CV244" s="101" t="str">
        <f aca="false">$CJ244</f>
        <v/>
      </c>
      <c r="CW244" s="102" t="str">
        <f aca="false">$CI244</f>
        <v/>
      </c>
      <c r="CX244" s="100" t="str">
        <f aca="false">IF(ISBLANK($C244),"",$CL244)</f>
        <v/>
      </c>
      <c r="CY244" s="103" t="str">
        <f aca="false">IF($CP244&gt;$CO$8,"",VLOOKUP($CP244,$CR$9:$CX$508,7,FALSE()))</f>
        <v/>
      </c>
      <c r="CZ244" s="104" t="str">
        <f aca="false">IF($CP244&gt;$CO$8,"",VLOOKUP($CP244,$CR$9:$CX$508,2,FALSE()))</f>
        <v/>
      </c>
      <c r="DA244" s="104" t="str">
        <f aca="false">IF($CP244&gt;$CO$8,"",VLOOKUP($CP244,$CR$9:$CX$508,3,FALSE()))</f>
        <v/>
      </c>
      <c r="DB244" s="104" t="str">
        <f aca="false">IF($CP244&gt;$CO$8,"",VLOOKUP($CP244,$CR$9:$CX$508,4,FALSE()))</f>
        <v/>
      </c>
      <c r="DC244" s="104" t="str">
        <f aca="false">IF($CP244&gt;$CO$8,"",VLOOKUP($CP244,$CR$9:$CX$508,5,FALSE()))</f>
        <v/>
      </c>
      <c r="DD244" s="105" t="str">
        <f aca="false">IF($CP244&gt;$CO$8,"",VLOOKUP($CP244,$CR$9:$CX$508,6,FALSE()))</f>
        <v/>
      </c>
      <c r="DE244" s="70"/>
    </row>
    <row r="245" customFormat="false" ht="15.75" hidden="false" customHeight="false" outlineLevel="0" collapsed="false">
      <c r="A245" s="8"/>
      <c r="B245" s="72"/>
      <c r="C245" s="73"/>
      <c r="D245" s="155"/>
      <c r="E245" s="162"/>
      <c r="F245" s="157"/>
      <c r="G245" s="77"/>
      <c r="H245" s="77"/>
      <c r="I245" s="77"/>
      <c r="J245" s="163"/>
      <c r="K245" s="161"/>
      <c r="L245" s="161"/>
      <c r="M245" s="80"/>
      <c r="N245" s="161"/>
      <c r="O245" s="160"/>
      <c r="P245" s="161"/>
      <c r="Q245" s="161"/>
      <c r="R245" s="161"/>
      <c r="S245" s="77"/>
      <c r="T245" s="161"/>
      <c r="U245" s="160"/>
      <c r="V245" s="161"/>
      <c r="W245" s="85"/>
      <c r="X245" s="86" t="str">
        <f aca="false">IF(ISBLANK($C245),"",IF($E245=Constants!$B$2,TRUE(),IF($E245=Constants!$B$3,FALSE(),TRUE())))</f>
        <v/>
      </c>
      <c r="Y245" s="86" t="str">
        <f aca="false">IF(ISBLANK($C245),"",IF($F245=Constants!$B$2,TRUE(),IF($F245=Constants!$B$3,FALSE(),TRUE())))</f>
        <v/>
      </c>
      <c r="Z245" s="87" t="str">
        <f aca="false">IF(ISBLANK($C245),"",IF(ISNUMBER($G245),IF($G245&gt;=0,$G245,""),""))</f>
        <v/>
      </c>
      <c r="AA245" s="87" t="str">
        <f aca="false">IF(ISBLANK($C245),"",IF(ISNUMBER($H245),IF($H245&gt;=0,$H245,""),""))</f>
        <v/>
      </c>
      <c r="AB245" s="87" t="str">
        <f aca="false">IF(ISBLANK($C245),"",IF(ISNUMBER($I245),IF($I245&gt;=0,$I245,""),""))</f>
        <v/>
      </c>
      <c r="AC245" s="86" t="str">
        <f aca="false">IF(ISBLANK($C245),"",IF($J245=Constants!$B$2,TRUE(),IF($J245=Constants!$B$3,FALSE(),TRUE())))</f>
        <v/>
      </c>
      <c r="AD245" s="86" t="str">
        <f aca="false">IF(ISBLANK($C245),"",IF($K245=Constants!$B$2,TRUE(),IF($K245=Constants!$B$3,FALSE(),TRUE())))</f>
        <v/>
      </c>
      <c r="AE245" s="86" t="str">
        <f aca="false">IF(ISBLANK($C245),"",IF($L245=Constants!$B$2,TRUE(),IF($L245=Constants!$B$3,FALSE(),TRUE())))</f>
        <v/>
      </c>
      <c r="AF245" s="88" t="str">
        <f aca="false">IF(ISBLANK($C245),"",IF(ISNUMBER($M245),IF($M245&gt;=0,$M245,""),""))</f>
        <v/>
      </c>
      <c r="AG245" s="86" t="str">
        <f aca="false">IF(ISBLANK($C245),"",IF(ISBLANK($N245),0,IF(ISNUMBER($N245),IF(AND($N245&gt;=0,$N245&lt;=Constants!$B$17,$N245=INT($N245)),$N245,""),"")))</f>
        <v/>
      </c>
      <c r="AH245" s="87" t="str">
        <f aca="false">IF(ISBLANK($C245),"",IF(ISBLANK($O245),0,IF(ISNUMBER($O245),IF($O245&gt;=0,$O245,""),"")))</f>
        <v/>
      </c>
      <c r="AI245" s="86" t="str">
        <f aca="false">IF(ISBLANK($C245),"",IF($P245=Constants!$B$2,TRUE(),IF($P245=Constants!$B$3,FALSE(),TRUE())))</f>
        <v/>
      </c>
      <c r="AJ245" s="86" t="str">
        <f aca="false">IF(ISBLANK($C245),"",IF($Q245=Constants!$B$2,TRUE(),IF($Q245=Constants!$B$3,FALSE(),TRUE())))</f>
        <v/>
      </c>
      <c r="AK245" s="86" t="str">
        <f aca="false">IF(ISBLANK($C245),"",IF($R245=Constants!$B$2,TRUE(),IF($R245=Constants!$B$3,FALSE(),TRUE())))</f>
        <v/>
      </c>
      <c r="AL245" s="88" t="str">
        <f aca="false">IF(ISBLANK($C245),"",IF(ISNUMBER($S245),IF($S245&gt;=0,$S245,""),""))</f>
        <v/>
      </c>
      <c r="AM245" s="86" t="str">
        <f aca="false">IF(ISBLANK($C245),"",IF(ISBLANK($T245),0,IF(ISNUMBER($T245),IF(AND($T245&gt;=0,$T245&lt;=Constants!$B$17,$T245=INT($T245)),$T245,""),"")))</f>
        <v/>
      </c>
      <c r="AN245" s="87" t="str">
        <f aca="false">IF(ISBLANK($C245),"",IF(ISBLANK($U245),0,IF(ISNUMBER($U245),IF($U245&gt;=0,$U245,""),"")))</f>
        <v/>
      </c>
      <c r="AO245" s="86" t="str">
        <f aca="false">IF(ISBLANK($C245),"",IF($V245=Constants!$B$2,TRUE(),IF($V245=Constants!$B$3,FALSE(),FALSE())))</f>
        <v/>
      </c>
      <c r="AP245" s="86"/>
      <c r="AQ245" s="85" t="str">
        <f aca="false">IF(ISBLANK($C245),"",AND($Y245,OR($AS245,$BC245),OR($Z245="",$AA245="",$AB245="")))</f>
        <v/>
      </c>
      <c r="AR245" s="85" t="str">
        <f aca="false">IF(ISBLANK($C245),"",IF(OR(NOT($Y245),NOT(OR($AS245,$BC245))),"",IF(ISBLANK($D$7),$AR$5,IF($AP$9="",$AR$6,""))))</f>
        <v/>
      </c>
      <c r="AS245" s="85" t="str">
        <f aca="false">IF(ISBLANK($C245),"",COUNTA($J245:$O245)&gt;0)</f>
        <v/>
      </c>
      <c r="AT245" s="85" t="str">
        <f aca="false">IF(ISBLANK($C245),"",AND($AS245,OR(AND($AF245="",OR($AE245,NOT(ISBLANK($M245)))),$AG245="",$AH245="")))</f>
        <v/>
      </c>
      <c r="AU245" s="87" t="str">
        <f aca="false">IF($BL245&lt;&gt;Constants!$B$4,"",IF(NOT($AS245),"",ROUND((Constants!$B$12-$AB245)+(Constants!$B$13-$Z245)+(Constants!$B$14-$AA245),1)))</f>
        <v/>
      </c>
      <c r="AV245" s="90" t="str">
        <f aca="false">IF($BL245&lt;&gt;Constants!$B$4,"",IF(NOT($AS245),"",IF(NOT($AE245),0,Constants!$B$15*(INT(ROUND(MIN($AF245,$AP$9),6))-INT(ROUND(MAX(0,MIN($AF245,2*$AP$9)-$AP$9),6))))))</f>
        <v/>
      </c>
      <c r="AW245" s="90" t="str">
        <f aca="false">IF($BL245&lt;&gt;Constants!$B$4,"",IF(NOT($AS245),"",Constants!$B$16*$AG245))</f>
        <v/>
      </c>
      <c r="AX245" s="90" t="str">
        <f aca="false">IF($BL245&lt;&gt;Constants!$B$4,"",IF(NOT($AS245),"",Constants!$B$18*INT(ROUND($AH245,6))))</f>
        <v/>
      </c>
      <c r="AY245" s="85" t="str">
        <f aca="false">IF($BL245&lt;&gt;Constants!$B$4,"",IF(NOT($AS245),"",IF(NOT($X245),Constants!$B$11,IF(OR(NOT($AC245),NOT($AD245),ROUND($AB245,1)&gt;Constants!$B$12,ROUND($Z245,1)&gt;Constants!$B$13,ROUND($AA245,1)&gt;Constants!$B$14),Constants!$B$10,Constants!$B$9))))</f>
        <v/>
      </c>
      <c r="AZ245" s="91" t="str">
        <f aca="false">IF($BL245&lt;&gt;Constants!$B$4,"",IF(NOT($AS245),"",ROUND($AU245+$AV245+$AW245+$AX245,1)))</f>
        <v/>
      </c>
      <c r="BA245" s="92" t="str">
        <f aca="false">IF($BL245&lt;&gt;Constants!$B$4,"",IF(NOT($AS245),"",IF(ISNUMBER($AF245),$AF245,0)))</f>
        <v/>
      </c>
      <c r="BB245" s="86" t="str">
        <f aca="false">IF($BL245&lt;&gt;Constants!$B$4,"",IF(NOT($BC245),"&lt;-",IF(NOT($AS245),"-&gt;",IF(OR($BI245&lt;$AY245,AND($BI245=$AY245,OR($BJ245&gt;$AZ245,AND($BJ245=$AZ245,OR($BH245&gt;$AX245,AND($BH245=$AX245,OR($BE245&gt;$AU245,AND($BE245=$AU245,OR($BF245&gt;$AV245,AND($BF245=$AV245,$BK245&gt;$BA245)))))))))),"-&gt;","&lt;-"))))</f>
        <v/>
      </c>
      <c r="BC245" s="85" t="str">
        <f aca="false">IF(ISBLANK($C245),"",COUNTA($P245:$U245)&gt;0)</f>
        <v/>
      </c>
      <c r="BD245" s="85" t="str">
        <f aca="false">IF(ISBLANK($C245),"",AND($BC245,OR(AND($AL245="",OR($AK245,NOT(ISBLANK($S245)))),$AM245="",$AN245="")))</f>
        <v/>
      </c>
      <c r="BE245" s="87" t="str">
        <f aca="false">IF($BL245&lt;&gt;Constants!$B$4,"",IF(NOT($BC245),"",ROUND((Constants!$B$12-$AB245)+(Constants!$B$13-$Z245)+(Constants!$B$14-$AA245),1)))</f>
        <v/>
      </c>
      <c r="BF245" s="90" t="str">
        <f aca="false">IF($BL245&lt;&gt;Constants!$B$4,"",IF(NOT($BC245),"",IF(NOT($AK245),0,Constants!$B$15*(INT(ROUND(MIN($AL245,$AP$9),6))-INT(ROUND(MAX(0,MIN($AL245,2*$AP$9)-$AP$9),6))))))</f>
        <v/>
      </c>
      <c r="BG245" s="90" t="str">
        <f aca="false">IF($BL245&lt;&gt;Constants!$B$4,"",IF(NOT($BC245),"",Constants!$B$16*$AM245))</f>
        <v/>
      </c>
      <c r="BH245" s="90" t="str">
        <f aca="false">IF($BL245&lt;&gt;Constants!$B$4,"",IF(NOT($BC245),"",Constants!$B$18*INT(ROUND($AN245,6))))</f>
        <v/>
      </c>
      <c r="BI245" s="85" t="str">
        <f aca="false">IF($BL245&lt;&gt;Constants!$B$4,"",IF(NOT($BC245),"",IF(NOT($X245),Constants!$B$11,IF(OR(NOT($AI245),NOT($AJ245),ROUND($AB245,1)&gt;Constants!$B$12,ROUND($Z245,1)&gt;Constants!$B$13,ROUND($AA245,1)&gt;Constants!$B$14),Constants!$B$10,Constants!$B$9))))</f>
        <v/>
      </c>
      <c r="BJ245" s="91" t="str">
        <f aca="false">IF($BL245&lt;&gt;Constants!$B$4,"",IF(NOT($BC245),"",ROUND($BE245+$BF245+$BG245+$BH245,1)))</f>
        <v/>
      </c>
      <c r="BK245" s="92" t="str">
        <f aca="false">IF($BL245&lt;&gt;Constants!$B$4,"",IF(NOT($BC245),"",IF(ISNUMBER($AL245),$AL245,0)))</f>
        <v/>
      </c>
      <c r="BL245" s="86" t="str">
        <f aca="false">IF(ISBLANK($C245),"",IF($AO245,Constants!$B$7,IF(COUNTA($E245:$V245)=0,Constants!$B$6,IF(NOT($Y245),Constants!$B$5,IF(NOT(OR($AS245,$BC245)),Constants!$B$5,IF(OR($AT245,$BD245,$AQ245,$AR245&lt;&gt;""),Constants!$B$8,Constants!$B$4))))))</f>
        <v/>
      </c>
      <c r="BM245" s="86" t="str">
        <f aca="false">IF(ISBLANK($C245),"",IF($BL245&lt;&gt;Constants!$B$4,$BL245,IF($BB245="-&gt;",$BI245,$AY245)))</f>
        <v/>
      </c>
      <c r="BN245" s="90" t="str">
        <f aca="false">IF($BL245&lt;&gt;Constants!$B$4,"",IF($BB245="-&gt;",$BJ245,$AZ245))</f>
        <v/>
      </c>
      <c r="BO245" s="90" t="str">
        <f aca="false">IF(ISBLANK($C245),"",IF($BL245&lt;&gt;Constants!$B$4,$BL245,$BN245))</f>
        <v/>
      </c>
      <c r="BP245" s="86" t="str">
        <f aca="false">IF(ISBLANK($C245),"",IF($BL245&lt;&gt;Constants!$B$4,$BL245,RANK($BO245,$BO$9:$BO$508,0)))</f>
        <v/>
      </c>
      <c r="BQ245" s="86" t="str">
        <f aca="false">IF(ISBLANK($C245),"",IF($BL245&lt;&gt;Constants!$B$4,$BL245,COUNTIFS($BM$9:$BM$508,"&lt;"&amp;$BM245)+COUNTIFS($BM$9:$BM$508,$BM245,$BP$9:$BP$508,"&lt;"&amp;$BP245)+1))</f>
        <v/>
      </c>
      <c r="BR245" s="90" t="str">
        <f aca="false">IF($BL245&lt;&gt;Constants!$B$4,"",IF($BB245="-&gt;",$BH245,$AX245))</f>
        <v/>
      </c>
      <c r="BS245" s="86" t="str">
        <f aca="false">IF(ISBLANK($C245),"",IF($BL245&lt;&gt;Constants!$B$4,$BL245,IF(ISNUMBER($BR245),RANK($BR245,$BR$9:$BR$508,0),COUNT($BR$9:$BR$508)+1)))</f>
        <v/>
      </c>
      <c r="BT245" s="90" t="str">
        <f aca="false">IF($BL245&lt;&gt;Constants!$B$4,"",IF($BB245="-&gt;",$BE245,$AU245))</f>
        <v/>
      </c>
      <c r="BU245" s="86" t="str">
        <f aca="false">IF(ISBLANK($C245),"",IF($BL245&lt;&gt;Constants!$B$4,$BL245,IF(ISNUMBER($BT245),RANK($BT245,$BT$9:$BT$508,0),COUNT($BT$9:$BT$508)+1)))</f>
        <v/>
      </c>
      <c r="BV245" s="90" t="str">
        <f aca="false">IF($BL245&lt;&gt;Constants!$B$4,"",IF($BB245="-&gt;",$BF245,$AV245))</f>
        <v/>
      </c>
      <c r="BW245" s="86" t="str">
        <f aca="false">IF(ISBLANK($C245),"",IF($BL245&lt;&gt;Constants!$B$4,$BL245,IF(ISNUMBER($BV245),RANK($BV245,$BV$9:$BV$508,0),COUNT($BV$9:$BV$508)+1)))</f>
        <v/>
      </c>
      <c r="BX245" s="90" t="str">
        <f aca="false">IF($BL245&lt;&gt;Constants!$B$4,"",IF($BB245="-&gt;",$BK245,$BA245))</f>
        <v/>
      </c>
      <c r="BY245" s="86" t="str">
        <f aca="false">IF(ISBLANK($C245),"",IF($BL245&lt;&gt;Constants!$B$4,$BL245,IF(ISNUMBER($BX245),RANK($BX245,$BX$9:$BX$508,0),COUNT($BX$9:$BX$508)+1)))</f>
        <v/>
      </c>
      <c r="BZ245" s="86" t="str">
        <f aca="false">IF(ISBLANK($C245),"",IF($BL245&lt;&gt;Constants!$B$4,$BL245,COUNTIFS($BM$9:$BM$508,"&lt;"&amp;$BM245)+COUNTIFS($BM$9:$BM$508,$BM245,$BP$9:$BP$508,"&lt;"&amp;$BP245)+COUNTIFS($BM$9:$BM$508,$BM245,$BP$9:$BP$508,$BP245,$BS$9:$BS$508,"&lt;"&amp;$BS245)+COUNTIFS($BM$9:$BM$508,$BM245,$BP$9:$BP$508,$BP245,$BS$9:$BS$508,$BS245,$BU$9:$BU$508,"&lt;"&amp;$BU245)+COUNTIFS($BM$9:$BM$508,$BM245,$BP$9:$BP$508,$BP245,$BS$9:$BS$508,$BS245,$BU$9:$BU$508,$BU245,$BW$9:$BW$508,"&lt;"&amp;$BW245)+COUNTIFS($BM$9:$BM$508,$BM245,$BP$9:$BP$508,$BP245,$BS$9:$BS$508,$BS245,$BU$9:$BU$508,$BU245,$BW$9:$BW$508,$BW245,$BY$9:$BY$508,"&lt;"&amp;$BY245)+1))</f>
        <v/>
      </c>
      <c r="CA245" s="86" t="str">
        <f aca="false">IF(ISBLANK($C245),"",IF($BL245&lt;&gt;Constants!$B$4,$BL245,$BQ245-$BZ245))</f>
        <v/>
      </c>
      <c r="CB245" s="93"/>
      <c r="CC245" s="94" t="str">
        <f aca="false">IF(ISBLANK($C245),"",IF($BL245=Constants!$B$8,$AR245,""))</f>
        <v/>
      </c>
      <c r="CD245" s="94" t="str">
        <f aca="false">IF(ISBLANK($C245),"",IF($BL245&lt;&gt;Constants!$B$4,"",IF($BB245="-&gt;",2,1)))</f>
        <v/>
      </c>
      <c r="CE245" s="95" t="str">
        <f aca="false">IF(ISBLANK($C245),"",IF($BL245&lt;&gt;Constants!$B$4,"",IF($BB245="-&gt;",$BE245,$AU245)))</f>
        <v/>
      </c>
      <c r="CF245" s="95" t="str">
        <f aca="false">IF(ISBLANK($C245),"",IF($BL245&lt;&gt;Constants!$B$4,"",IF($BB245="-&gt;",$BF245,$AV245)))</f>
        <v/>
      </c>
      <c r="CG245" s="95" t="str">
        <f aca="false">IF(ISBLANK($C245),"",IF($BL245&lt;&gt;Constants!$B$4,"",IF($BB245="-&gt;",$BG245,$AW245)))</f>
        <v/>
      </c>
      <c r="CH245" s="95" t="str">
        <f aca="false">IF(ISBLANK($C245),"",IF($BL245&lt;&gt;Constants!$B$4,"",IF($BB245="-&gt;",$BH245,$AX245)))</f>
        <v/>
      </c>
      <c r="CI245" s="96" t="str">
        <f aca="false">IF(ISBLANK($C245),"",$BO245)</f>
        <v/>
      </c>
      <c r="CJ245" s="97" t="str">
        <f aca="false">IF(ISBLANK($C245),"",$BM245)</f>
        <v/>
      </c>
      <c r="CK245" s="98" t="str">
        <f aca="false">IF(ISBLANK($C245),"",$CA245)</f>
        <v/>
      </c>
      <c r="CL245" s="98" t="str">
        <f aca="false">IF(ISBLANK($C245),"",$BZ245)</f>
        <v/>
      </c>
      <c r="CM245" s="99" t="str">
        <f aca="false">IF(ISBLANK($C245),"",IF($CL245=Constants!$B$7,COUNTA($C$9:$C$508)+2,IF($CL245=Constants!$B$6,COUNTA($C$9:$C$508)+1,IF($CL245=Constants!$B$5,COUNTA($C$9:$C$508),$CL245))))</f>
        <v/>
      </c>
      <c r="CN245" s="8"/>
      <c r="CO245" s="100" t="n">
        <f aca="false">IF(OR(ISNUMBER($CL245),$CL245=Constants!$B$7,$CL245=Constants!$B$5,$CL245=Constants!$B$6),1,0)</f>
        <v>0</v>
      </c>
      <c r="CP245" s="100" t="n">
        <v>237</v>
      </c>
      <c r="CQ245" s="100" t="str">
        <f aca="false">IF(ISBLANK($C245),"",IF(ISNUMBER($CM245),$CM245+ROW($B245)/1000,""))</f>
        <v/>
      </c>
      <c r="CR245" s="100" t="str">
        <f aca="false">IF(ISNUMBER($CQ245),RANK($CQ245,$CQ$9:$CQ$508,1),"")</f>
        <v/>
      </c>
      <c r="CS245" s="100" t="str">
        <f aca="false">IF(ISBLANK($C245),"",$B245)</f>
        <v/>
      </c>
      <c r="CT245" s="100" t="str">
        <f aca="false">IF(ISBLANK($C245),"",$C245)</f>
        <v/>
      </c>
      <c r="CU245" s="100" t="str">
        <f aca="false">IF(ISBLANK($C245),"",$D245)</f>
        <v/>
      </c>
      <c r="CV245" s="101" t="str">
        <f aca="false">$CJ245</f>
        <v/>
      </c>
      <c r="CW245" s="102" t="str">
        <f aca="false">$CI245</f>
        <v/>
      </c>
      <c r="CX245" s="100" t="str">
        <f aca="false">IF(ISBLANK($C245),"",$CL245)</f>
        <v/>
      </c>
      <c r="CY245" s="103" t="str">
        <f aca="false">IF($CP245&gt;$CO$8,"",VLOOKUP($CP245,$CR$9:$CX$508,7,FALSE()))</f>
        <v/>
      </c>
      <c r="CZ245" s="104" t="str">
        <f aca="false">IF($CP245&gt;$CO$8,"",VLOOKUP($CP245,$CR$9:$CX$508,2,FALSE()))</f>
        <v/>
      </c>
      <c r="DA245" s="104" t="str">
        <f aca="false">IF($CP245&gt;$CO$8,"",VLOOKUP($CP245,$CR$9:$CX$508,3,FALSE()))</f>
        <v/>
      </c>
      <c r="DB245" s="104" t="str">
        <f aca="false">IF($CP245&gt;$CO$8,"",VLOOKUP($CP245,$CR$9:$CX$508,4,FALSE()))</f>
        <v/>
      </c>
      <c r="DC245" s="104" t="str">
        <f aca="false">IF($CP245&gt;$CO$8,"",VLOOKUP($CP245,$CR$9:$CX$508,5,FALSE()))</f>
        <v/>
      </c>
      <c r="DD245" s="105" t="str">
        <f aca="false">IF($CP245&gt;$CO$8,"",VLOOKUP($CP245,$CR$9:$CX$508,6,FALSE()))</f>
        <v/>
      </c>
      <c r="DE245" s="70"/>
    </row>
    <row r="246" customFormat="false" ht="15.75" hidden="false" customHeight="false" outlineLevel="0" collapsed="false">
      <c r="A246" s="8"/>
      <c r="B246" s="146"/>
      <c r="C246" s="147"/>
      <c r="D246" s="148"/>
      <c r="E246" s="164"/>
      <c r="F246" s="150"/>
      <c r="G246" s="115"/>
      <c r="H246" s="115"/>
      <c r="I246" s="115"/>
      <c r="J246" s="165"/>
      <c r="K246" s="154"/>
      <c r="L246" s="154"/>
      <c r="M246" s="118"/>
      <c r="N246" s="154"/>
      <c r="O246" s="153"/>
      <c r="P246" s="154"/>
      <c r="Q246" s="154"/>
      <c r="R246" s="154"/>
      <c r="S246" s="115"/>
      <c r="T246" s="154"/>
      <c r="U246" s="153"/>
      <c r="V246" s="154"/>
      <c r="W246" s="123"/>
      <c r="X246" s="124" t="str">
        <f aca="false">IF(ISBLANK($C246),"",IF($E246=Constants!$B$2,TRUE(),IF($E246=Constants!$B$3,FALSE(),TRUE())))</f>
        <v/>
      </c>
      <c r="Y246" s="124" t="str">
        <f aca="false">IF(ISBLANK($C246),"",IF($F246=Constants!$B$2,TRUE(),IF($F246=Constants!$B$3,FALSE(),TRUE())))</f>
        <v/>
      </c>
      <c r="Z246" s="125" t="str">
        <f aca="false">IF(ISBLANK($C246),"",IF(ISNUMBER($G246),IF($G246&gt;=0,$G246,""),""))</f>
        <v/>
      </c>
      <c r="AA246" s="125" t="str">
        <f aca="false">IF(ISBLANK($C246),"",IF(ISNUMBER($H246),IF($H246&gt;=0,$H246,""),""))</f>
        <v/>
      </c>
      <c r="AB246" s="125" t="str">
        <f aca="false">IF(ISBLANK($C246),"",IF(ISNUMBER($I246),IF($I246&gt;=0,$I246,""),""))</f>
        <v/>
      </c>
      <c r="AC246" s="124" t="str">
        <f aca="false">IF(ISBLANK($C246),"",IF($J246=Constants!$B$2,TRUE(),IF($J246=Constants!$B$3,FALSE(),TRUE())))</f>
        <v/>
      </c>
      <c r="AD246" s="124" t="str">
        <f aca="false">IF(ISBLANK($C246),"",IF($K246=Constants!$B$2,TRUE(),IF($K246=Constants!$B$3,FALSE(),TRUE())))</f>
        <v/>
      </c>
      <c r="AE246" s="124" t="str">
        <f aca="false">IF(ISBLANK($C246),"",IF($L246=Constants!$B$2,TRUE(),IF($L246=Constants!$B$3,FALSE(),TRUE())))</f>
        <v/>
      </c>
      <c r="AF246" s="126" t="str">
        <f aca="false">IF(ISBLANK($C246),"",IF(ISNUMBER($M246),IF($M246&gt;=0,$M246,""),""))</f>
        <v/>
      </c>
      <c r="AG246" s="124" t="str">
        <f aca="false">IF(ISBLANK($C246),"",IF(ISBLANK($N246),0,IF(ISNUMBER($N246),IF(AND($N246&gt;=0,$N246&lt;=Constants!$B$17,$N246=INT($N246)),$N246,""),"")))</f>
        <v/>
      </c>
      <c r="AH246" s="125" t="str">
        <f aca="false">IF(ISBLANK($C246),"",IF(ISBLANK($O246),0,IF(ISNUMBER($O246),IF($O246&gt;=0,$O246,""),"")))</f>
        <v/>
      </c>
      <c r="AI246" s="124" t="str">
        <f aca="false">IF(ISBLANK($C246),"",IF($P246=Constants!$B$2,TRUE(),IF($P246=Constants!$B$3,FALSE(),TRUE())))</f>
        <v/>
      </c>
      <c r="AJ246" s="124" t="str">
        <f aca="false">IF(ISBLANK($C246),"",IF($Q246=Constants!$B$2,TRUE(),IF($Q246=Constants!$B$3,FALSE(),TRUE())))</f>
        <v/>
      </c>
      <c r="AK246" s="124" t="str">
        <f aca="false">IF(ISBLANK($C246),"",IF($R246=Constants!$B$2,TRUE(),IF($R246=Constants!$B$3,FALSE(),TRUE())))</f>
        <v/>
      </c>
      <c r="AL246" s="126" t="str">
        <f aca="false">IF(ISBLANK($C246),"",IF(ISNUMBER($S246),IF($S246&gt;=0,$S246,""),""))</f>
        <v/>
      </c>
      <c r="AM246" s="124" t="str">
        <f aca="false">IF(ISBLANK($C246),"",IF(ISBLANK($T246),0,IF(ISNUMBER($T246),IF(AND($T246&gt;=0,$T246&lt;=Constants!$B$17,$T246=INT($T246)),$T246,""),"")))</f>
        <v/>
      </c>
      <c r="AN246" s="125" t="str">
        <f aca="false">IF(ISBLANK($C246),"",IF(ISBLANK($U246),0,IF(ISNUMBER($U246),IF($U246&gt;=0,$U246,""),"")))</f>
        <v/>
      </c>
      <c r="AO246" s="124" t="str">
        <f aca="false">IF(ISBLANK($C246),"",IF($V246=Constants!$B$2,TRUE(),IF($V246=Constants!$B$3,FALSE(),FALSE())))</f>
        <v/>
      </c>
      <c r="AP246" s="124"/>
      <c r="AQ246" s="123" t="str">
        <f aca="false">IF(ISBLANK($C246),"",AND($Y246,OR($AS246,$BC246),OR($Z246="",$AA246="",$AB246="")))</f>
        <v/>
      </c>
      <c r="AR246" s="123" t="str">
        <f aca="false">IF(ISBLANK($C246),"",IF(OR(NOT($Y246),NOT(OR($AS246,$BC246))),"",IF(ISBLANK($D$7),$AR$5,IF($AP$9="",$AR$6,""))))</f>
        <v/>
      </c>
      <c r="AS246" s="123" t="str">
        <f aca="false">IF(ISBLANK($C246),"",COUNTA($J246:$O246)&gt;0)</f>
        <v/>
      </c>
      <c r="AT246" s="123" t="str">
        <f aca="false">IF(ISBLANK($C246),"",AND($AS246,OR(AND($AF246="",OR($AE246,NOT(ISBLANK($M246)))),$AG246="",$AH246="")))</f>
        <v/>
      </c>
      <c r="AU246" s="125" t="str">
        <f aca="false">IF($BL246&lt;&gt;Constants!$B$4,"",IF(NOT($AS246),"",ROUND((Constants!$B$12-$AB246)+(Constants!$B$13-$Z246)+(Constants!$B$14-$AA246),1)))</f>
        <v/>
      </c>
      <c r="AV246" s="127" t="str">
        <f aca="false">IF($BL246&lt;&gt;Constants!$B$4,"",IF(NOT($AS246),"",IF(NOT($AE246),0,Constants!$B$15*(INT(ROUND(MIN($AF246,$AP$9),6))-INT(ROUND(MAX(0,MIN($AF246,2*$AP$9)-$AP$9),6))))))</f>
        <v/>
      </c>
      <c r="AW246" s="127" t="str">
        <f aca="false">IF($BL246&lt;&gt;Constants!$B$4,"",IF(NOT($AS246),"",Constants!$B$16*$AG246))</f>
        <v/>
      </c>
      <c r="AX246" s="127" t="str">
        <f aca="false">IF($BL246&lt;&gt;Constants!$B$4,"",IF(NOT($AS246),"",Constants!$B$18*INT(ROUND($AH246,6))))</f>
        <v/>
      </c>
      <c r="AY246" s="123" t="str">
        <f aca="false">IF($BL246&lt;&gt;Constants!$B$4,"",IF(NOT($AS246),"",IF(NOT($X246),Constants!$B$11,IF(OR(NOT($AC246),NOT($AD246),ROUND($AB246,1)&gt;Constants!$B$12,ROUND($Z246,1)&gt;Constants!$B$13,ROUND($AA246,1)&gt;Constants!$B$14),Constants!$B$10,Constants!$B$9))))</f>
        <v/>
      </c>
      <c r="AZ246" s="128" t="str">
        <f aca="false">IF($BL246&lt;&gt;Constants!$B$4,"",IF(NOT($AS246),"",ROUND($AU246+$AV246+$AW246+$AX246,1)))</f>
        <v/>
      </c>
      <c r="BA246" s="129" t="str">
        <f aca="false">IF($BL246&lt;&gt;Constants!$B$4,"",IF(NOT($AS246),"",IF(ISNUMBER($AF246),$AF246,0)))</f>
        <v/>
      </c>
      <c r="BB246" s="124" t="str">
        <f aca="false">IF($BL246&lt;&gt;Constants!$B$4,"",IF(NOT($BC246),"&lt;-",IF(NOT($AS246),"-&gt;",IF(OR($BI246&lt;$AY246,AND($BI246=$AY246,OR($BJ246&gt;$AZ246,AND($BJ246=$AZ246,OR($BH246&gt;$AX246,AND($BH246=$AX246,OR($BE246&gt;$AU246,AND($BE246=$AU246,OR($BF246&gt;$AV246,AND($BF246=$AV246,$BK246&gt;$BA246)))))))))),"-&gt;","&lt;-"))))</f>
        <v/>
      </c>
      <c r="BC246" s="123" t="str">
        <f aca="false">IF(ISBLANK($C246),"",COUNTA($P246:$U246)&gt;0)</f>
        <v/>
      </c>
      <c r="BD246" s="123" t="str">
        <f aca="false">IF(ISBLANK($C246),"",AND($BC246,OR(AND($AL246="",OR($AK246,NOT(ISBLANK($S246)))),$AM246="",$AN246="")))</f>
        <v/>
      </c>
      <c r="BE246" s="125" t="str">
        <f aca="false">IF($BL246&lt;&gt;Constants!$B$4,"",IF(NOT($BC246),"",ROUND((Constants!$B$12-$AB246)+(Constants!$B$13-$Z246)+(Constants!$B$14-$AA246),1)))</f>
        <v/>
      </c>
      <c r="BF246" s="127" t="str">
        <f aca="false">IF($BL246&lt;&gt;Constants!$B$4,"",IF(NOT($BC246),"",IF(NOT($AK246),0,Constants!$B$15*(INT(ROUND(MIN($AL246,$AP$9),6))-INT(ROUND(MAX(0,MIN($AL246,2*$AP$9)-$AP$9),6))))))</f>
        <v/>
      </c>
      <c r="BG246" s="127" t="str">
        <f aca="false">IF($BL246&lt;&gt;Constants!$B$4,"",IF(NOT($BC246),"",Constants!$B$16*$AM246))</f>
        <v/>
      </c>
      <c r="BH246" s="127" t="str">
        <f aca="false">IF($BL246&lt;&gt;Constants!$B$4,"",IF(NOT($BC246),"",Constants!$B$18*INT(ROUND($AN246,6))))</f>
        <v/>
      </c>
      <c r="BI246" s="123" t="str">
        <f aca="false">IF($BL246&lt;&gt;Constants!$B$4,"",IF(NOT($BC246),"",IF(NOT($X246),Constants!$B$11,IF(OR(NOT($AI246),NOT($AJ246),ROUND($AB246,1)&gt;Constants!$B$12,ROUND($Z246,1)&gt;Constants!$B$13,ROUND($AA246,1)&gt;Constants!$B$14),Constants!$B$10,Constants!$B$9))))</f>
        <v/>
      </c>
      <c r="BJ246" s="128" t="str">
        <f aca="false">IF($BL246&lt;&gt;Constants!$B$4,"",IF(NOT($BC246),"",ROUND($BE246+$BF246+$BG246+$BH246,1)))</f>
        <v/>
      </c>
      <c r="BK246" s="129" t="str">
        <f aca="false">IF($BL246&lt;&gt;Constants!$B$4,"",IF(NOT($BC246),"",IF(ISNUMBER($AL246),$AL246,0)))</f>
        <v/>
      </c>
      <c r="BL246" s="124" t="str">
        <f aca="false">IF(ISBLANK($C246),"",IF($AO246,Constants!$B$7,IF(COUNTA($E246:$V246)=0,Constants!$B$6,IF(NOT($Y246),Constants!$B$5,IF(NOT(OR($AS246,$BC246)),Constants!$B$5,IF(OR($AT246,$BD246,$AQ246,$AR246&lt;&gt;""),Constants!$B$8,Constants!$B$4))))))</f>
        <v/>
      </c>
      <c r="BM246" s="124" t="str">
        <f aca="false">IF(ISBLANK($C246),"",IF($BL246&lt;&gt;Constants!$B$4,$BL246,IF($BB246="-&gt;",$BI246,$AY246)))</f>
        <v/>
      </c>
      <c r="BN246" s="127" t="str">
        <f aca="false">IF($BL246&lt;&gt;Constants!$B$4,"",IF($BB246="-&gt;",$BJ246,$AZ246))</f>
        <v/>
      </c>
      <c r="BO246" s="127" t="str">
        <f aca="false">IF(ISBLANK($C246),"",IF($BL246&lt;&gt;Constants!$B$4,$BL246,$BN246))</f>
        <v/>
      </c>
      <c r="BP246" s="124" t="str">
        <f aca="false">IF(ISBLANK($C246),"",IF($BL246&lt;&gt;Constants!$B$4,$BL246,RANK($BO246,$BO$9:$BO$508,0)))</f>
        <v/>
      </c>
      <c r="BQ246" s="124" t="str">
        <f aca="false">IF(ISBLANK($C246),"",IF($BL246&lt;&gt;Constants!$B$4,$BL246,COUNTIFS($BM$9:$BM$508,"&lt;"&amp;$BM246)+COUNTIFS($BM$9:$BM$508,$BM246,$BP$9:$BP$508,"&lt;"&amp;$BP246)+1))</f>
        <v/>
      </c>
      <c r="BR246" s="127" t="str">
        <f aca="false">IF($BL246&lt;&gt;Constants!$B$4,"",IF($BB246="-&gt;",$BH246,$AX246))</f>
        <v/>
      </c>
      <c r="BS246" s="124" t="str">
        <f aca="false">IF(ISBLANK($C246),"",IF($BL246&lt;&gt;Constants!$B$4,$BL246,IF(ISNUMBER($BR246),RANK($BR246,$BR$9:$BR$508,0),COUNT($BR$9:$BR$508)+1)))</f>
        <v/>
      </c>
      <c r="BT246" s="127" t="str">
        <f aca="false">IF($BL246&lt;&gt;Constants!$B$4,"",IF($BB246="-&gt;",$BE246,$AU246))</f>
        <v/>
      </c>
      <c r="BU246" s="124" t="str">
        <f aca="false">IF(ISBLANK($C246),"",IF($BL246&lt;&gt;Constants!$B$4,$BL246,IF(ISNUMBER($BT246),RANK($BT246,$BT$9:$BT$508,0),COUNT($BT$9:$BT$508)+1)))</f>
        <v/>
      </c>
      <c r="BV246" s="127" t="str">
        <f aca="false">IF($BL246&lt;&gt;Constants!$B$4,"",IF($BB246="-&gt;",$BF246,$AV246))</f>
        <v/>
      </c>
      <c r="BW246" s="124" t="str">
        <f aca="false">IF(ISBLANK($C246),"",IF($BL246&lt;&gt;Constants!$B$4,$BL246,IF(ISNUMBER($BV246),RANK($BV246,$BV$9:$BV$508,0),COUNT($BV$9:$BV$508)+1)))</f>
        <v/>
      </c>
      <c r="BX246" s="127" t="str">
        <f aca="false">IF($BL246&lt;&gt;Constants!$B$4,"",IF($BB246="-&gt;",$BK246,$BA246))</f>
        <v/>
      </c>
      <c r="BY246" s="124" t="str">
        <f aca="false">IF(ISBLANK($C246),"",IF($BL246&lt;&gt;Constants!$B$4,$BL246,IF(ISNUMBER($BX246),RANK($BX246,$BX$9:$BX$508,0),COUNT($BX$9:$BX$508)+1)))</f>
        <v/>
      </c>
      <c r="BZ246" s="124" t="str">
        <f aca="false">IF(ISBLANK($C246),"",IF($BL246&lt;&gt;Constants!$B$4,$BL246,COUNTIFS($BM$9:$BM$508,"&lt;"&amp;$BM246)+COUNTIFS($BM$9:$BM$508,$BM246,$BP$9:$BP$508,"&lt;"&amp;$BP246)+COUNTIFS($BM$9:$BM$508,$BM246,$BP$9:$BP$508,$BP246,$BS$9:$BS$508,"&lt;"&amp;$BS246)+COUNTIFS($BM$9:$BM$508,$BM246,$BP$9:$BP$508,$BP246,$BS$9:$BS$508,$BS246,$BU$9:$BU$508,"&lt;"&amp;$BU246)+COUNTIFS($BM$9:$BM$508,$BM246,$BP$9:$BP$508,$BP246,$BS$9:$BS$508,$BS246,$BU$9:$BU$508,$BU246,$BW$9:$BW$508,"&lt;"&amp;$BW246)+COUNTIFS($BM$9:$BM$508,$BM246,$BP$9:$BP$508,$BP246,$BS$9:$BS$508,$BS246,$BU$9:$BU$508,$BU246,$BW$9:$BW$508,$BW246,$BY$9:$BY$508,"&lt;"&amp;$BY246)+1))</f>
        <v/>
      </c>
      <c r="CA246" s="124" t="str">
        <f aca="false">IF(ISBLANK($C246),"",IF($BL246&lt;&gt;Constants!$B$4,$BL246,$BQ246-$BZ246))</f>
        <v/>
      </c>
      <c r="CB246" s="130"/>
      <c r="CC246" s="131" t="str">
        <f aca="false">IF(ISBLANK($C246),"",IF($BL246=Constants!$B$8,$AR246,""))</f>
        <v/>
      </c>
      <c r="CD246" s="131" t="str">
        <f aca="false">IF(ISBLANK($C246),"",IF($BL246&lt;&gt;Constants!$B$4,"",IF($BB246="-&gt;",2,1)))</f>
        <v/>
      </c>
      <c r="CE246" s="132" t="str">
        <f aca="false">IF(ISBLANK($C246),"",IF($BL246&lt;&gt;Constants!$B$4,"",IF($BB246="-&gt;",$BE246,$AU246)))</f>
        <v/>
      </c>
      <c r="CF246" s="132" t="str">
        <f aca="false">IF(ISBLANK($C246),"",IF($BL246&lt;&gt;Constants!$B$4,"",IF($BB246="-&gt;",$BF246,$AV246)))</f>
        <v/>
      </c>
      <c r="CG246" s="132" t="str">
        <f aca="false">IF(ISBLANK($C246),"",IF($BL246&lt;&gt;Constants!$B$4,"",IF($BB246="-&gt;",$BG246,$AW246)))</f>
        <v/>
      </c>
      <c r="CH246" s="132" t="str">
        <f aca="false">IF(ISBLANK($C246),"",IF($BL246&lt;&gt;Constants!$B$4,"",IF($BB246="-&gt;",$BH246,$AX246)))</f>
        <v/>
      </c>
      <c r="CI246" s="133" t="str">
        <f aca="false">IF(ISBLANK($C246),"",$BO246)</f>
        <v/>
      </c>
      <c r="CJ246" s="134" t="str">
        <f aca="false">IF(ISBLANK($C246),"",$BM246)</f>
        <v/>
      </c>
      <c r="CK246" s="135" t="str">
        <f aca="false">IF(ISBLANK($C246),"",$CA246)</f>
        <v/>
      </c>
      <c r="CL246" s="135" t="str">
        <f aca="false">IF(ISBLANK($C246),"",$BZ246)</f>
        <v/>
      </c>
      <c r="CM246" s="136" t="str">
        <f aca="false">IF(ISBLANK($C246),"",IF($CL246=Constants!$B$7,COUNTA($C$9:$C$508)+2,IF($CL246=Constants!$B$6,COUNTA($C$9:$C$508)+1,IF($CL246=Constants!$B$5,COUNTA($C$9:$C$508),$CL246))))</f>
        <v/>
      </c>
      <c r="CN246" s="8"/>
      <c r="CO246" s="137" t="n">
        <f aca="false">IF(OR(ISNUMBER($CL246),$CL246=Constants!$B$7,$CL246=Constants!$B$5,$CL246=Constants!$B$6),1,0)</f>
        <v>0</v>
      </c>
      <c r="CP246" s="137" t="n">
        <v>238</v>
      </c>
      <c r="CQ246" s="137" t="str">
        <f aca="false">IF(ISBLANK($C246),"",IF(ISNUMBER($CM246),$CM246+ROW($B246)/1000,""))</f>
        <v/>
      </c>
      <c r="CR246" s="137" t="str">
        <f aca="false">IF(ISNUMBER($CQ246),RANK($CQ246,$CQ$9:$CQ$508,1),"")</f>
        <v/>
      </c>
      <c r="CS246" s="137" t="str">
        <f aca="false">IF(ISBLANK($C246),"",$B246)</f>
        <v/>
      </c>
      <c r="CT246" s="137" t="str">
        <f aca="false">IF(ISBLANK($C246),"",$C246)</f>
        <v/>
      </c>
      <c r="CU246" s="137" t="str">
        <f aca="false">IF(ISBLANK($C246),"",$D246)</f>
        <v/>
      </c>
      <c r="CV246" s="138" t="str">
        <f aca="false">$CJ246</f>
        <v/>
      </c>
      <c r="CW246" s="139" t="str">
        <f aca="false">$CI246</f>
        <v/>
      </c>
      <c r="CX246" s="137" t="str">
        <f aca="false">IF(ISBLANK($C246),"",$CL246)</f>
        <v/>
      </c>
      <c r="CY246" s="140" t="str">
        <f aca="false">IF($CP246&gt;$CO$8,"",VLOOKUP($CP246,$CR$9:$CX$508,7,FALSE()))</f>
        <v/>
      </c>
      <c r="CZ246" s="141" t="str">
        <f aca="false">IF($CP246&gt;$CO$8,"",VLOOKUP($CP246,$CR$9:$CX$508,2,FALSE()))</f>
        <v/>
      </c>
      <c r="DA246" s="141" t="str">
        <f aca="false">IF($CP246&gt;$CO$8,"",VLOOKUP($CP246,$CR$9:$CX$508,3,FALSE()))</f>
        <v/>
      </c>
      <c r="DB246" s="141" t="str">
        <f aca="false">IF($CP246&gt;$CO$8,"",VLOOKUP($CP246,$CR$9:$CX$508,4,FALSE()))</f>
        <v/>
      </c>
      <c r="DC246" s="141" t="str">
        <f aca="false">IF($CP246&gt;$CO$8,"",VLOOKUP($CP246,$CR$9:$CX$508,5,FALSE()))</f>
        <v/>
      </c>
      <c r="DD246" s="142" t="str">
        <f aca="false">IF($CP246&gt;$CO$8,"",VLOOKUP($CP246,$CR$9:$CX$508,6,FALSE()))</f>
        <v/>
      </c>
      <c r="DE246" s="70"/>
    </row>
    <row r="247" customFormat="false" ht="15.75" hidden="false" customHeight="false" outlineLevel="0" collapsed="false">
      <c r="A247" s="8"/>
      <c r="B247" s="146"/>
      <c r="C247" s="147"/>
      <c r="D247" s="148"/>
      <c r="E247" s="164"/>
      <c r="F247" s="150"/>
      <c r="G247" s="115"/>
      <c r="H247" s="115"/>
      <c r="I247" s="115"/>
      <c r="J247" s="165"/>
      <c r="K247" s="154"/>
      <c r="L247" s="154"/>
      <c r="M247" s="118"/>
      <c r="N247" s="154"/>
      <c r="O247" s="153"/>
      <c r="P247" s="154"/>
      <c r="Q247" s="154"/>
      <c r="R247" s="154"/>
      <c r="S247" s="115"/>
      <c r="T247" s="154"/>
      <c r="U247" s="153"/>
      <c r="V247" s="154"/>
      <c r="W247" s="123"/>
      <c r="X247" s="124" t="str">
        <f aca="false">IF(ISBLANK($C247),"",IF($E247=Constants!$B$2,TRUE(),IF($E247=Constants!$B$3,FALSE(),TRUE())))</f>
        <v/>
      </c>
      <c r="Y247" s="124" t="str">
        <f aca="false">IF(ISBLANK($C247),"",IF($F247=Constants!$B$2,TRUE(),IF($F247=Constants!$B$3,FALSE(),TRUE())))</f>
        <v/>
      </c>
      <c r="Z247" s="125" t="str">
        <f aca="false">IF(ISBLANK($C247),"",IF(ISNUMBER($G247),IF($G247&gt;=0,$G247,""),""))</f>
        <v/>
      </c>
      <c r="AA247" s="125" t="str">
        <f aca="false">IF(ISBLANK($C247),"",IF(ISNUMBER($H247),IF($H247&gt;=0,$H247,""),""))</f>
        <v/>
      </c>
      <c r="AB247" s="125" t="str">
        <f aca="false">IF(ISBLANK($C247),"",IF(ISNUMBER($I247),IF($I247&gt;=0,$I247,""),""))</f>
        <v/>
      </c>
      <c r="AC247" s="124" t="str">
        <f aca="false">IF(ISBLANK($C247),"",IF($J247=Constants!$B$2,TRUE(),IF($J247=Constants!$B$3,FALSE(),TRUE())))</f>
        <v/>
      </c>
      <c r="AD247" s="124" t="str">
        <f aca="false">IF(ISBLANK($C247),"",IF($K247=Constants!$B$2,TRUE(),IF($K247=Constants!$B$3,FALSE(),TRUE())))</f>
        <v/>
      </c>
      <c r="AE247" s="124" t="str">
        <f aca="false">IF(ISBLANK($C247),"",IF($L247=Constants!$B$2,TRUE(),IF($L247=Constants!$B$3,FALSE(),TRUE())))</f>
        <v/>
      </c>
      <c r="AF247" s="126" t="str">
        <f aca="false">IF(ISBLANK($C247),"",IF(ISNUMBER($M247),IF($M247&gt;=0,$M247,""),""))</f>
        <v/>
      </c>
      <c r="AG247" s="124" t="str">
        <f aca="false">IF(ISBLANK($C247),"",IF(ISBLANK($N247),0,IF(ISNUMBER($N247),IF(AND($N247&gt;=0,$N247&lt;=Constants!$B$17,$N247=INT($N247)),$N247,""),"")))</f>
        <v/>
      </c>
      <c r="AH247" s="125" t="str">
        <f aca="false">IF(ISBLANK($C247),"",IF(ISBLANK($O247),0,IF(ISNUMBER($O247),IF($O247&gt;=0,$O247,""),"")))</f>
        <v/>
      </c>
      <c r="AI247" s="124" t="str">
        <f aca="false">IF(ISBLANK($C247),"",IF($P247=Constants!$B$2,TRUE(),IF($P247=Constants!$B$3,FALSE(),TRUE())))</f>
        <v/>
      </c>
      <c r="AJ247" s="124" t="str">
        <f aca="false">IF(ISBLANK($C247),"",IF($Q247=Constants!$B$2,TRUE(),IF($Q247=Constants!$B$3,FALSE(),TRUE())))</f>
        <v/>
      </c>
      <c r="AK247" s="124" t="str">
        <f aca="false">IF(ISBLANK($C247),"",IF($R247=Constants!$B$2,TRUE(),IF($R247=Constants!$B$3,FALSE(),TRUE())))</f>
        <v/>
      </c>
      <c r="AL247" s="126" t="str">
        <f aca="false">IF(ISBLANK($C247),"",IF(ISNUMBER($S247),IF($S247&gt;=0,$S247,""),""))</f>
        <v/>
      </c>
      <c r="AM247" s="124" t="str">
        <f aca="false">IF(ISBLANK($C247),"",IF(ISBLANK($T247),0,IF(ISNUMBER($T247),IF(AND($T247&gt;=0,$T247&lt;=Constants!$B$17,$T247=INT($T247)),$T247,""),"")))</f>
        <v/>
      </c>
      <c r="AN247" s="125" t="str">
        <f aca="false">IF(ISBLANK($C247),"",IF(ISBLANK($U247),0,IF(ISNUMBER($U247),IF($U247&gt;=0,$U247,""),"")))</f>
        <v/>
      </c>
      <c r="AO247" s="124" t="str">
        <f aca="false">IF(ISBLANK($C247),"",IF($V247=Constants!$B$2,TRUE(),IF($V247=Constants!$B$3,FALSE(),FALSE())))</f>
        <v/>
      </c>
      <c r="AP247" s="124"/>
      <c r="AQ247" s="123" t="str">
        <f aca="false">IF(ISBLANK($C247),"",AND($Y247,OR($AS247,$BC247),OR($Z247="",$AA247="",$AB247="")))</f>
        <v/>
      </c>
      <c r="AR247" s="123" t="str">
        <f aca="false">IF(ISBLANK($C247),"",IF(OR(NOT($Y247),NOT(OR($AS247,$BC247))),"",IF(ISBLANK($D$7),$AR$5,IF($AP$9="",$AR$6,""))))</f>
        <v/>
      </c>
      <c r="AS247" s="123" t="str">
        <f aca="false">IF(ISBLANK($C247),"",COUNTA($J247:$O247)&gt;0)</f>
        <v/>
      </c>
      <c r="AT247" s="123" t="str">
        <f aca="false">IF(ISBLANK($C247),"",AND($AS247,OR(AND($AF247="",OR($AE247,NOT(ISBLANK($M247)))),$AG247="",$AH247="")))</f>
        <v/>
      </c>
      <c r="AU247" s="125" t="str">
        <f aca="false">IF($BL247&lt;&gt;Constants!$B$4,"",IF(NOT($AS247),"",ROUND((Constants!$B$12-$AB247)+(Constants!$B$13-$Z247)+(Constants!$B$14-$AA247),1)))</f>
        <v/>
      </c>
      <c r="AV247" s="127" t="str">
        <f aca="false">IF($BL247&lt;&gt;Constants!$B$4,"",IF(NOT($AS247),"",IF(NOT($AE247),0,Constants!$B$15*(INT(ROUND(MIN($AF247,$AP$9),6))-INT(ROUND(MAX(0,MIN($AF247,2*$AP$9)-$AP$9),6))))))</f>
        <v/>
      </c>
      <c r="AW247" s="127" t="str">
        <f aca="false">IF($BL247&lt;&gt;Constants!$B$4,"",IF(NOT($AS247),"",Constants!$B$16*$AG247))</f>
        <v/>
      </c>
      <c r="AX247" s="127" t="str">
        <f aca="false">IF($BL247&lt;&gt;Constants!$B$4,"",IF(NOT($AS247),"",Constants!$B$18*INT(ROUND($AH247,6))))</f>
        <v/>
      </c>
      <c r="AY247" s="123" t="str">
        <f aca="false">IF($BL247&lt;&gt;Constants!$B$4,"",IF(NOT($AS247),"",IF(NOT($X247),Constants!$B$11,IF(OR(NOT($AC247),NOT($AD247),ROUND($AB247,1)&gt;Constants!$B$12,ROUND($Z247,1)&gt;Constants!$B$13,ROUND($AA247,1)&gt;Constants!$B$14),Constants!$B$10,Constants!$B$9))))</f>
        <v/>
      </c>
      <c r="AZ247" s="128" t="str">
        <f aca="false">IF($BL247&lt;&gt;Constants!$B$4,"",IF(NOT($AS247),"",ROUND($AU247+$AV247+$AW247+$AX247,1)))</f>
        <v/>
      </c>
      <c r="BA247" s="129" t="str">
        <f aca="false">IF($BL247&lt;&gt;Constants!$B$4,"",IF(NOT($AS247),"",IF(ISNUMBER($AF247),$AF247,0)))</f>
        <v/>
      </c>
      <c r="BB247" s="124" t="str">
        <f aca="false">IF($BL247&lt;&gt;Constants!$B$4,"",IF(NOT($BC247),"&lt;-",IF(NOT($AS247),"-&gt;",IF(OR($BI247&lt;$AY247,AND($BI247=$AY247,OR($BJ247&gt;$AZ247,AND($BJ247=$AZ247,OR($BH247&gt;$AX247,AND($BH247=$AX247,OR($BE247&gt;$AU247,AND($BE247=$AU247,OR($BF247&gt;$AV247,AND($BF247=$AV247,$BK247&gt;$BA247)))))))))),"-&gt;","&lt;-"))))</f>
        <v/>
      </c>
      <c r="BC247" s="123" t="str">
        <f aca="false">IF(ISBLANK($C247),"",COUNTA($P247:$U247)&gt;0)</f>
        <v/>
      </c>
      <c r="BD247" s="123" t="str">
        <f aca="false">IF(ISBLANK($C247),"",AND($BC247,OR(AND($AL247="",OR($AK247,NOT(ISBLANK($S247)))),$AM247="",$AN247="")))</f>
        <v/>
      </c>
      <c r="BE247" s="125" t="str">
        <f aca="false">IF($BL247&lt;&gt;Constants!$B$4,"",IF(NOT($BC247),"",ROUND((Constants!$B$12-$AB247)+(Constants!$B$13-$Z247)+(Constants!$B$14-$AA247),1)))</f>
        <v/>
      </c>
      <c r="BF247" s="127" t="str">
        <f aca="false">IF($BL247&lt;&gt;Constants!$B$4,"",IF(NOT($BC247),"",IF(NOT($AK247),0,Constants!$B$15*(INT(ROUND(MIN($AL247,$AP$9),6))-INT(ROUND(MAX(0,MIN($AL247,2*$AP$9)-$AP$9),6))))))</f>
        <v/>
      </c>
      <c r="BG247" s="127" t="str">
        <f aca="false">IF($BL247&lt;&gt;Constants!$B$4,"",IF(NOT($BC247),"",Constants!$B$16*$AM247))</f>
        <v/>
      </c>
      <c r="BH247" s="127" t="str">
        <f aca="false">IF($BL247&lt;&gt;Constants!$B$4,"",IF(NOT($BC247),"",Constants!$B$18*INT(ROUND($AN247,6))))</f>
        <v/>
      </c>
      <c r="BI247" s="123" t="str">
        <f aca="false">IF($BL247&lt;&gt;Constants!$B$4,"",IF(NOT($BC247),"",IF(NOT($X247),Constants!$B$11,IF(OR(NOT($AI247),NOT($AJ247),ROUND($AB247,1)&gt;Constants!$B$12,ROUND($Z247,1)&gt;Constants!$B$13,ROUND($AA247,1)&gt;Constants!$B$14),Constants!$B$10,Constants!$B$9))))</f>
        <v/>
      </c>
      <c r="BJ247" s="128" t="str">
        <f aca="false">IF($BL247&lt;&gt;Constants!$B$4,"",IF(NOT($BC247),"",ROUND($BE247+$BF247+$BG247+$BH247,1)))</f>
        <v/>
      </c>
      <c r="BK247" s="129" t="str">
        <f aca="false">IF($BL247&lt;&gt;Constants!$B$4,"",IF(NOT($BC247),"",IF(ISNUMBER($AL247),$AL247,0)))</f>
        <v/>
      </c>
      <c r="BL247" s="124" t="str">
        <f aca="false">IF(ISBLANK($C247),"",IF($AO247,Constants!$B$7,IF(COUNTA($E247:$V247)=0,Constants!$B$6,IF(NOT($Y247),Constants!$B$5,IF(NOT(OR($AS247,$BC247)),Constants!$B$5,IF(OR($AT247,$BD247,$AQ247,$AR247&lt;&gt;""),Constants!$B$8,Constants!$B$4))))))</f>
        <v/>
      </c>
      <c r="BM247" s="124" t="str">
        <f aca="false">IF(ISBLANK($C247),"",IF($BL247&lt;&gt;Constants!$B$4,$BL247,IF($BB247="-&gt;",$BI247,$AY247)))</f>
        <v/>
      </c>
      <c r="BN247" s="127" t="str">
        <f aca="false">IF($BL247&lt;&gt;Constants!$B$4,"",IF($BB247="-&gt;",$BJ247,$AZ247))</f>
        <v/>
      </c>
      <c r="BO247" s="127" t="str">
        <f aca="false">IF(ISBLANK($C247),"",IF($BL247&lt;&gt;Constants!$B$4,$BL247,$BN247))</f>
        <v/>
      </c>
      <c r="BP247" s="124" t="str">
        <f aca="false">IF(ISBLANK($C247),"",IF($BL247&lt;&gt;Constants!$B$4,$BL247,RANK($BO247,$BO$9:$BO$508,0)))</f>
        <v/>
      </c>
      <c r="BQ247" s="124" t="str">
        <f aca="false">IF(ISBLANK($C247),"",IF($BL247&lt;&gt;Constants!$B$4,$BL247,COUNTIFS($BM$9:$BM$508,"&lt;"&amp;$BM247)+COUNTIFS($BM$9:$BM$508,$BM247,$BP$9:$BP$508,"&lt;"&amp;$BP247)+1))</f>
        <v/>
      </c>
      <c r="BR247" s="127" t="str">
        <f aca="false">IF($BL247&lt;&gt;Constants!$B$4,"",IF($BB247="-&gt;",$BH247,$AX247))</f>
        <v/>
      </c>
      <c r="BS247" s="124" t="str">
        <f aca="false">IF(ISBLANK($C247),"",IF($BL247&lt;&gt;Constants!$B$4,$BL247,IF(ISNUMBER($BR247),RANK($BR247,$BR$9:$BR$508,0),COUNT($BR$9:$BR$508)+1)))</f>
        <v/>
      </c>
      <c r="BT247" s="127" t="str">
        <f aca="false">IF($BL247&lt;&gt;Constants!$B$4,"",IF($BB247="-&gt;",$BE247,$AU247))</f>
        <v/>
      </c>
      <c r="BU247" s="124" t="str">
        <f aca="false">IF(ISBLANK($C247),"",IF($BL247&lt;&gt;Constants!$B$4,$BL247,IF(ISNUMBER($BT247),RANK($BT247,$BT$9:$BT$508,0),COUNT($BT$9:$BT$508)+1)))</f>
        <v/>
      </c>
      <c r="BV247" s="127" t="str">
        <f aca="false">IF($BL247&lt;&gt;Constants!$B$4,"",IF($BB247="-&gt;",$BF247,$AV247))</f>
        <v/>
      </c>
      <c r="BW247" s="124" t="str">
        <f aca="false">IF(ISBLANK($C247),"",IF($BL247&lt;&gt;Constants!$B$4,$BL247,IF(ISNUMBER($BV247),RANK($BV247,$BV$9:$BV$508,0),COUNT($BV$9:$BV$508)+1)))</f>
        <v/>
      </c>
      <c r="BX247" s="127" t="str">
        <f aca="false">IF($BL247&lt;&gt;Constants!$B$4,"",IF($BB247="-&gt;",$BK247,$BA247))</f>
        <v/>
      </c>
      <c r="BY247" s="124" t="str">
        <f aca="false">IF(ISBLANK($C247),"",IF($BL247&lt;&gt;Constants!$B$4,$BL247,IF(ISNUMBER($BX247),RANK($BX247,$BX$9:$BX$508,0),COUNT($BX$9:$BX$508)+1)))</f>
        <v/>
      </c>
      <c r="BZ247" s="124" t="str">
        <f aca="false">IF(ISBLANK($C247),"",IF($BL247&lt;&gt;Constants!$B$4,$BL247,COUNTIFS($BM$9:$BM$508,"&lt;"&amp;$BM247)+COUNTIFS($BM$9:$BM$508,$BM247,$BP$9:$BP$508,"&lt;"&amp;$BP247)+COUNTIFS($BM$9:$BM$508,$BM247,$BP$9:$BP$508,$BP247,$BS$9:$BS$508,"&lt;"&amp;$BS247)+COUNTIFS($BM$9:$BM$508,$BM247,$BP$9:$BP$508,$BP247,$BS$9:$BS$508,$BS247,$BU$9:$BU$508,"&lt;"&amp;$BU247)+COUNTIFS($BM$9:$BM$508,$BM247,$BP$9:$BP$508,$BP247,$BS$9:$BS$508,$BS247,$BU$9:$BU$508,$BU247,$BW$9:$BW$508,"&lt;"&amp;$BW247)+COUNTIFS($BM$9:$BM$508,$BM247,$BP$9:$BP$508,$BP247,$BS$9:$BS$508,$BS247,$BU$9:$BU$508,$BU247,$BW$9:$BW$508,$BW247,$BY$9:$BY$508,"&lt;"&amp;$BY247)+1))</f>
        <v/>
      </c>
      <c r="CA247" s="124" t="str">
        <f aca="false">IF(ISBLANK($C247),"",IF($BL247&lt;&gt;Constants!$B$4,$BL247,$BQ247-$BZ247))</f>
        <v/>
      </c>
      <c r="CB247" s="130"/>
      <c r="CC247" s="131" t="str">
        <f aca="false">IF(ISBLANK($C247),"",IF($BL247=Constants!$B$8,$AR247,""))</f>
        <v/>
      </c>
      <c r="CD247" s="131" t="str">
        <f aca="false">IF(ISBLANK($C247),"",IF($BL247&lt;&gt;Constants!$B$4,"",IF($BB247="-&gt;",2,1)))</f>
        <v/>
      </c>
      <c r="CE247" s="132" t="str">
        <f aca="false">IF(ISBLANK($C247),"",IF($BL247&lt;&gt;Constants!$B$4,"",IF($BB247="-&gt;",$BE247,$AU247)))</f>
        <v/>
      </c>
      <c r="CF247" s="132" t="str">
        <f aca="false">IF(ISBLANK($C247),"",IF($BL247&lt;&gt;Constants!$B$4,"",IF($BB247="-&gt;",$BF247,$AV247)))</f>
        <v/>
      </c>
      <c r="CG247" s="132" t="str">
        <f aca="false">IF(ISBLANK($C247),"",IF($BL247&lt;&gt;Constants!$B$4,"",IF($BB247="-&gt;",$BG247,$AW247)))</f>
        <v/>
      </c>
      <c r="CH247" s="132" t="str">
        <f aca="false">IF(ISBLANK($C247),"",IF($BL247&lt;&gt;Constants!$B$4,"",IF($BB247="-&gt;",$BH247,$AX247)))</f>
        <v/>
      </c>
      <c r="CI247" s="133" t="str">
        <f aca="false">IF(ISBLANK($C247),"",$BO247)</f>
        <v/>
      </c>
      <c r="CJ247" s="134" t="str">
        <f aca="false">IF(ISBLANK($C247),"",$BM247)</f>
        <v/>
      </c>
      <c r="CK247" s="135" t="str">
        <f aca="false">IF(ISBLANK($C247),"",$CA247)</f>
        <v/>
      </c>
      <c r="CL247" s="135" t="str">
        <f aca="false">IF(ISBLANK($C247),"",$BZ247)</f>
        <v/>
      </c>
      <c r="CM247" s="136" t="str">
        <f aca="false">IF(ISBLANK($C247),"",IF($CL247=Constants!$B$7,COUNTA($C$9:$C$508)+2,IF($CL247=Constants!$B$6,COUNTA($C$9:$C$508)+1,IF($CL247=Constants!$B$5,COUNTA($C$9:$C$508),$CL247))))</f>
        <v/>
      </c>
      <c r="CN247" s="8"/>
      <c r="CO247" s="137" t="n">
        <f aca="false">IF(OR(ISNUMBER($CL247),$CL247=Constants!$B$7,$CL247=Constants!$B$5,$CL247=Constants!$B$6),1,0)</f>
        <v>0</v>
      </c>
      <c r="CP247" s="137" t="n">
        <v>239</v>
      </c>
      <c r="CQ247" s="137" t="str">
        <f aca="false">IF(ISBLANK($C247),"",IF(ISNUMBER($CM247),$CM247+ROW($B247)/1000,""))</f>
        <v/>
      </c>
      <c r="CR247" s="137" t="str">
        <f aca="false">IF(ISNUMBER($CQ247),RANK($CQ247,$CQ$9:$CQ$508,1),"")</f>
        <v/>
      </c>
      <c r="CS247" s="137" t="str">
        <f aca="false">IF(ISBLANK($C247),"",$B247)</f>
        <v/>
      </c>
      <c r="CT247" s="137" t="str">
        <f aca="false">IF(ISBLANK($C247),"",$C247)</f>
        <v/>
      </c>
      <c r="CU247" s="137" t="str">
        <f aca="false">IF(ISBLANK($C247),"",$D247)</f>
        <v/>
      </c>
      <c r="CV247" s="138" t="str">
        <f aca="false">$CJ247</f>
        <v/>
      </c>
      <c r="CW247" s="139" t="str">
        <f aca="false">$CI247</f>
        <v/>
      </c>
      <c r="CX247" s="137" t="str">
        <f aca="false">IF(ISBLANK($C247),"",$CL247)</f>
        <v/>
      </c>
      <c r="CY247" s="140" t="str">
        <f aca="false">IF($CP247&gt;$CO$8,"",VLOOKUP($CP247,$CR$9:$CX$508,7,FALSE()))</f>
        <v/>
      </c>
      <c r="CZ247" s="141" t="str">
        <f aca="false">IF($CP247&gt;$CO$8,"",VLOOKUP($CP247,$CR$9:$CX$508,2,FALSE()))</f>
        <v/>
      </c>
      <c r="DA247" s="141" t="str">
        <f aca="false">IF($CP247&gt;$CO$8,"",VLOOKUP($CP247,$CR$9:$CX$508,3,FALSE()))</f>
        <v/>
      </c>
      <c r="DB247" s="141" t="str">
        <f aca="false">IF($CP247&gt;$CO$8,"",VLOOKUP($CP247,$CR$9:$CX$508,4,FALSE()))</f>
        <v/>
      </c>
      <c r="DC247" s="141" t="str">
        <f aca="false">IF($CP247&gt;$CO$8,"",VLOOKUP($CP247,$CR$9:$CX$508,5,FALSE()))</f>
        <v/>
      </c>
      <c r="DD247" s="142" t="str">
        <f aca="false">IF($CP247&gt;$CO$8,"",VLOOKUP($CP247,$CR$9:$CX$508,6,FALSE()))</f>
        <v/>
      </c>
      <c r="DE247" s="70"/>
    </row>
    <row r="248" customFormat="false" ht="15.75" hidden="false" customHeight="false" outlineLevel="0" collapsed="false">
      <c r="A248" s="8"/>
      <c r="B248" s="146"/>
      <c r="C248" s="147"/>
      <c r="D248" s="148"/>
      <c r="E248" s="164"/>
      <c r="F248" s="150"/>
      <c r="G248" s="115"/>
      <c r="H248" s="115"/>
      <c r="I248" s="115"/>
      <c r="J248" s="165"/>
      <c r="K248" s="154"/>
      <c r="L248" s="154"/>
      <c r="M248" s="118"/>
      <c r="N248" s="154"/>
      <c r="O248" s="153"/>
      <c r="P248" s="154"/>
      <c r="Q248" s="154"/>
      <c r="R248" s="154"/>
      <c r="S248" s="115"/>
      <c r="T248" s="154"/>
      <c r="U248" s="153"/>
      <c r="V248" s="154"/>
      <c r="W248" s="123"/>
      <c r="X248" s="124" t="str">
        <f aca="false">IF(ISBLANK($C248),"",IF($E248=Constants!$B$2,TRUE(),IF($E248=Constants!$B$3,FALSE(),TRUE())))</f>
        <v/>
      </c>
      <c r="Y248" s="124" t="str">
        <f aca="false">IF(ISBLANK($C248),"",IF($F248=Constants!$B$2,TRUE(),IF($F248=Constants!$B$3,FALSE(),TRUE())))</f>
        <v/>
      </c>
      <c r="Z248" s="125" t="str">
        <f aca="false">IF(ISBLANK($C248),"",IF(ISNUMBER($G248),IF($G248&gt;=0,$G248,""),""))</f>
        <v/>
      </c>
      <c r="AA248" s="125" t="str">
        <f aca="false">IF(ISBLANK($C248),"",IF(ISNUMBER($H248),IF($H248&gt;=0,$H248,""),""))</f>
        <v/>
      </c>
      <c r="AB248" s="125" t="str">
        <f aca="false">IF(ISBLANK($C248),"",IF(ISNUMBER($I248),IF($I248&gt;=0,$I248,""),""))</f>
        <v/>
      </c>
      <c r="AC248" s="124" t="str">
        <f aca="false">IF(ISBLANK($C248),"",IF($J248=Constants!$B$2,TRUE(),IF($J248=Constants!$B$3,FALSE(),TRUE())))</f>
        <v/>
      </c>
      <c r="AD248" s="124" t="str">
        <f aca="false">IF(ISBLANK($C248),"",IF($K248=Constants!$B$2,TRUE(),IF($K248=Constants!$B$3,FALSE(),TRUE())))</f>
        <v/>
      </c>
      <c r="AE248" s="124" t="str">
        <f aca="false">IF(ISBLANK($C248),"",IF($L248=Constants!$B$2,TRUE(),IF($L248=Constants!$B$3,FALSE(),TRUE())))</f>
        <v/>
      </c>
      <c r="AF248" s="126" t="str">
        <f aca="false">IF(ISBLANK($C248),"",IF(ISNUMBER($M248),IF($M248&gt;=0,$M248,""),""))</f>
        <v/>
      </c>
      <c r="AG248" s="124" t="str">
        <f aca="false">IF(ISBLANK($C248),"",IF(ISBLANK($N248),0,IF(ISNUMBER($N248),IF(AND($N248&gt;=0,$N248&lt;=Constants!$B$17,$N248=INT($N248)),$N248,""),"")))</f>
        <v/>
      </c>
      <c r="AH248" s="125" t="str">
        <f aca="false">IF(ISBLANK($C248),"",IF(ISBLANK($O248),0,IF(ISNUMBER($O248),IF($O248&gt;=0,$O248,""),"")))</f>
        <v/>
      </c>
      <c r="AI248" s="124" t="str">
        <f aca="false">IF(ISBLANK($C248),"",IF($P248=Constants!$B$2,TRUE(),IF($P248=Constants!$B$3,FALSE(),TRUE())))</f>
        <v/>
      </c>
      <c r="AJ248" s="124" t="str">
        <f aca="false">IF(ISBLANK($C248),"",IF($Q248=Constants!$B$2,TRUE(),IF($Q248=Constants!$B$3,FALSE(),TRUE())))</f>
        <v/>
      </c>
      <c r="AK248" s="124" t="str">
        <f aca="false">IF(ISBLANK($C248),"",IF($R248=Constants!$B$2,TRUE(),IF($R248=Constants!$B$3,FALSE(),TRUE())))</f>
        <v/>
      </c>
      <c r="AL248" s="126" t="str">
        <f aca="false">IF(ISBLANK($C248),"",IF(ISNUMBER($S248),IF($S248&gt;=0,$S248,""),""))</f>
        <v/>
      </c>
      <c r="AM248" s="124" t="str">
        <f aca="false">IF(ISBLANK($C248),"",IF(ISBLANK($T248),0,IF(ISNUMBER($T248),IF(AND($T248&gt;=0,$T248&lt;=Constants!$B$17,$T248=INT($T248)),$T248,""),"")))</f>
        <v/>
      </c>
      <c r="AN248" s="125" t="str">
        <f aca="false">IF(ISBLANK($C248),"",IF(ISBLANK($U248),0,IF(ISNUMBER($U248),IF($U248&gt;=0,$U248,""),"")))</f>
        <v/>
      </c>
      <c r="AO248" s="124" t="str">
        <f aca="false">IF(ISBLANK($C248),"",IF($V248=Constants!$B$2,TRUE(),IF($V248=Constants!$B$3,FALSE(),FALSE())))</f>
        <v/>
      </c>
      <c r="AP248" s="124"/>
      <c r="AQ248" s="123" t="str">
        <f aca="false">IF(ISBLANK($C248),"",AND($Y248,OR($AS248,$BC248),OR($Z248="",$AA248="",$AB248="")))</f>
        <v/>
      </c>
      <c r="AR248" s="123" t="str">
        <f aca="false">IF(ISBLANK($C248),"",IF(OR(NOT($Y248),NOT(OR($AS248,$BC248))),"",IF(ISBLANK($D$7),$AR$5,IF($AP$9="",$AR$6,""))))</f>
        <v/>
      </c>
      <c r="AS248" s="123" t="str">
        <f aca="false">IF(ISBLANK($C248),"",COUNTA($J248:$O248)&gt;0)</f>
        <v/>
      </c>
      <c r="AT248" s="123" t="str">
        <f aca="false">IF(ISBLANK($C248),"",AND($AS248,OR(AND($AF248="",OR($AE248,NOT(ISBLANK($M248)))),$AG248="",$AH248="")))</f>
        <v/>
      </c>
      <c r="AU248" s="125" t="str">
        <f aca="false">IF($BL248&lt;&gt;Constants!$B$4,"",IF(NOT($AS248),"",ROUND((Constants!$B$12-$AB248)+(Constants!$B$13-$Z248)+(Constants!$B$14-$AA248),1)))</f>
        <v/>
      </c>
      <c r="AV248" s="127" t="str">
        <f aca="false">IF($BL248&lt;&gt;Constants!$B$4,"",IF(NOT($AS248),"",IF(NOT($AE248),0,Constants!$B$15*(INT(ROUND(MIN($AF248,$AP$9),6))-INT(ROUND(MAX(0,MIN($AF248,2*$AP$9)-$AP$9),6))))))</f>
        <v/>
      </c>
      <c r="AW248" s="127" t="str">
        <f aca="false">IF($BL248&lt;&gt;Constants!$B$4,"",IF(NOT($AS248),"",Constants!$B$16*$AG248))</f>
        <v/>
      </c>
      <c r="AX248" s="127" t="str">
        <f aca="false">IF($BL248&lt;&gt;Constants!$B$4,"",IF(NOT($AS248),"",Constants!$B$18*INT(ROUND($AH248,6))))</f>
        <v/>
      </c>
      <c r="AY248" s="123" t="str">
        <f aca="false">IF($BL248&lt;&gt;Constants!$B$4,"",IF(NOT($AS248),"",IF(NOT($X248),Constants!$B$11,IF(OR(NOT($AC248),NOT($AD248),ROUND($AB248,1)&gt;Constants!$B$12,ROUND($Z248,1)&gt;Constants!$B$13,ROUND($AA248,1)&gt;Constants!$B$14),Constants!$B$10,Constants!$B$9))))</f>
        <v/>
      </c>
      <c r="AZ248" s="128" t="str">
        <f aca="false">IF($BL248&lt;&gt;Constants!$B$4,"",IF(NOT($AS248),"",ROUND($AU248+$AV248+$AW248+$AX248,1)))</f>
        <v/>
      </c>
      <c r="BA248" s="129" t="str">
        <f aca="false">IF($BL248&lt;&gt;Constants!$B$4,"",IF(NOT($AS248),"",IF(ISNUMBER($AF248),$AF248,0)))</f>
        <v/>
      </c>
      <c r="BB248" s="124" t="str">
        <f aca="false">IF($BL248&lt;&gt;Constants!$B$4,"",IF(NOT($BC248),"&lt;-",IF(NOT($AS248),"-&gt;",IF(OR($BI248&lt;$AY248,AND($BI248=$AY248,OR($BJ248&gt;$AZ248,AND($BJ248=$AZ248,OR($BH248&gt;$AX248,AND($BH248=$AX248,OR($BE248&gt;$AU248,AND($BE248=$AU248,OR($BF248&gt;$AV248,AND($BF248=$AV248,$BK248&gt;$BA248)))))))))),"-&gt;","&lt;-"))))</f>
        <v/>
      </c>
      <c r="BC248" s="123" t="str">
        <f aca="false">IF(ISBLANK($C248),"",COUNTA($P248:$U248)&gt;0)</f>
        <v/>
      </c>
      <c r="BD248" s="123" t="str">
        <f aca="false">IF(ISBLANK($C248),"",AND($BC248,OR(AND($AL248="",OR($AK248,NOT(ISBLANK($S248)))),$AM248="",$AN248="")))</f>
        <v/>
      </c>
      <c r="BE248" s="125" t="str">
        <f aca="false">IF($BL248&lt;&gt;Constants!$B$4,"",IF(NOT($BC248),"",ROUND((Constants!$B$12-$AB248)+(Constants!$B$13-$Z248)+(Constants!$B$14-$AA248),1)))</f>
        <v/>
      </c>
      <c r="BF248" s="127" t="str">
        <f aca="false">IF($BL248&lt;&gt;Constants!$B$4,"",IF(NOT($BC248),"",IF(NOT($AK248),0,Constants!$B$15*(INT(ROUND(MIN($AL248,$AP$9),6))-INT(ROUND(MAX(0,MIN($AL248,2*$AP$9)-$AP$9),6))))))</f>
        <v/>
      </c>
      <c r="BG248" s="127" t="str">
        <f aca="false">IF($BL248&lt;&gt;Constants!$B$4,"",IF(NOT($BC248),"",Constants!$B$16*$AM248))</f>
        <v/>
      </c>
      <c r="BH248" s="127" t="str">
        <f aca="false">IF($BL248&lt;&gt;Constants!$B$4,"",IF(NOT($BC248),"",Constants!$B$18*INT(ROUND($AN248,6))))</f>
        <v/>
      </c>
      <c r="BI248" s="123" t="str">
        <f aca="false">IF($BL248&lt;&gt;Constants!$B$4,"",IF(NOT($BC248),"",IF(NOT($X248),Constants!$B$11,IF(OR(NOT($AI248),NOT($AJ248),ROUND($AB248,1)&gt;Constants!$B$12,ROUND($Z248,1)&gt;Constants!$B$13,ROUND($AA248,1)&gt;Constants!$B$14),Constants!$B$10,Constants!$B$9))))</f>
        <v/>
      </c>
      <c r="BJ248" s="128" t="str">
        <f aca="false">IF($BL248&lt;&gt;Constants!$B$4,"",IF(NOT($BC248),"",ROUND($BE248+$BF248+$BG248+$BH248,1)))</f>
        <v/>
      </c>
      <c r="BK248" s="129" t="str">
        <f aca="false">IF($BL248&lt;&gt;Constants!$B$4,"",IF(NOT($BC248),"",IF(ISNUMBER($AL248),$AL248,0)))</f>
        <v/>
      </c>
      <c r="BL248" s="124" t="str">
        <f aca="false">IF(ISBLANK($C248),"",IF($AO248,Constants!$B$7,IF(COUNTA($E248:$V248)=0,Constants!$B$6,IF(NOT($Y248),Constants!$B$5,IF(NOT(OR($AS248,$BC248)),Constants!$B$5,IF(OR($AT248,$BD248,$AQ248,$AR248&lt;&gt;""),Constants!$B$8,Constants!$B$4))))))</f>
        <v/>
      </c>
      <c r="BM248" s="124" t="str">
        <f aca="false">IF(ISBLANK($C248),"",IF($BL248&lt;&gt;Constants!$B$4,$BL248,IF($BB248="-&gt;",$BI248,$AY248)))</f>
        <v/>
      </c>
      <c r="BN248" s="127" t="str">
        <f aca="false">IF($BL248&lt;&gt;Constants!$B$4,"",IF($BB248="-&gt;",$BJ248,$AZ248))</f>
        <v/>
      </c>
      <c r="BO248" s="127" t="str">
        <f aca="false">IF(ISBLANK($C248),"",IF($BL248&lt;&gt;Constants!$B$4,$BL248,$BN248))</f>
        <v/>
      </c>
      <c r="BP248" s="124" t="str">
        <f aca="false">IF(ISBLANK($C248),"",IF($BL248&lt;&gt;Constants!$B$4,$BL248,RANK($BO248,$BO$9:$BO$508,0)))</f>
        <v/>
      </c>
      <c r="BQ248" s="124" t="str">
        <f aca="false">IF(ISBLANK($C248),"",IF($BL248&lt;&gt;Constants!$B$4,$BL248,COUNTIFS($BM$9:$BM$508,"&lt;"&amp;$BM248)+COUNTIFS($BM$9:$BM$508,$BM248,$BP$9:$BP$508,"&lt;"&amp;$BP248)+1))</f>
        <v/>
      </c>
      <c r="BR248" s="127" t="str">
        <f aca="false">IF($BL248&lt;&gt;Constants!$B$4,"",IF($BB248="-&gt;",$BH248,$AX248))</f>
        <v/>
      </c>
      <c r="BS248" s="124" t="str">
        <f aca="false">IF(ISBLANK($C248),"",IF($BL248&lt;&gt;Constants!$B$4,$BL248,IF(ISNUMBER($BR248),RANK($BR248,$BR$9:$BR$508,0),COUNT($BR$9:$BR$508)+1)))</f>
        <v/>
      </c>
      <c r="BT248" s="127" t="str">
        <f aca="false">IF($BL248&lt;&gt;Constants!$B$4,"",IF($BB248="-&gt;",$BE248,$AU248))</f>
        <v/>
      </c>
      <c r="BU248" s="124" t="str">
        <f aca="false">IF(ISBLANK($C248),"",IF($BL248&lt;&gt;Constants!$B$4,$BL248,IF(ISNUMBER($BT248),RANK($BT248,$BT$9:$BT$508,0),COUNT($BT$9:$BT$508)+1)))</f>
        <v/>
      </c>
      <c r="BV248" s="127" t="str">
        <f aca="false">IF($BL248&lt;&gt;Constants!$B$4,"",IF($BB248="-&gt;",$BF248,$AV248))</f>
        <v/>
      </c>
      <c r="BW248" s="124" t="str">
        <f aca="false">IF(ISBLANK($C248),"",IF($BL248&lt;&gt;Constants!$B$4,$BL248,IF(ISNUMBER($BV248),RANK($BV248,$BV$9:$BV$508,0),COUNT($BV$9:$BV$508)+1)))</f>
        <v/>
      </c>
      <c r="BX248" s="127" t="str">
        <f aca="false">IF($BL248&lt;&gt;Constants!$B$4,"",IF($BB248="-&gt;",$BK248,$BA248))</f>
        <v/>
      </c>
      <c r="BY248" s="124" t="str">
        <f aca="false">IF(ISBLANK($C248),"",IF($BL248&lt;&gt;Constants!$B$4,$BL248,IF(ISNUMBER($BX248),RANK($BX248,$BX$9:$BX$508,0),COUNT($BX$9:$BX$508)+1)))</f>
        <v/>
      </c>
      <c r="BZ248" s="124" t="str">
        <f aca="false">IF(ISBLANK($C248),"",IF($BL248&lt;&gt;Constants!$B$4,$BL248,COUNTIFS($BM$9:$BM$508,"&lt;"&amp;$BM248)+COUNTIFS($BM$9:$BM$508,$BM248,$BP$9:$BP$508,"&lt;"&amp;$BP248)+COUNTIFS($BM$9:$BM$508,$BM248,$BP$9:$BP$508,$BP248,$BS$9:$BS$508,"&lt;"&amp;$BS248)+COUNTIFS($BM$9:$BM$508,$BM248,$BP$9:$BP$508,$BP248,$BS$9:$BS$508,$BS248,$BU$9:$BU$508,"&lt;"&amp;$BU248)+COUNTIFS($BM$9:$BM$508,$BM248,$BP$9:$BP$508,$BP248,$BS$9:$BS$508,$BS248,$BU$9:$BU$508,$BU248,$BW$9:$BW$508,"&lt;"&amp;$BW248)+COUNTIFS($BM$9:$BM$508,$BM248,$BP$9:$BP$508,$BP248,$BS$9:$BS$508,$BS248,$BU$9:$BU$508,$BU248,$BW$9:$BW$508,$BW248,$BY$9:$BY$508,"&lt;"&amp;$BY248)+1))</f>
        <v/>
      </c>
      <c r="CA248" s="124" t="str">
        <f aca="false">IF(ISBLANK($C248),"",IF($BL248&lt;&gt;Constants!$B$4,$BL248,$BQ248-$BZ248))</f>
        <v/>
      </c>
      <c r="CB248" s="130"/>
      <c r="CC248" s="131" t="str">
        <f aca="false">IF(ISBLANK($C248),"",IF($BL248=Constants!$B$8,$AR248,""))</f>
        <v/>
      </c>
      <c r="CD248" s="131" t="str">
        <f aca="false">IF(ISBLANK($C248),"",IF($BL248&lt;&gt;Constants!$B$4,"",IF($BB248="-&gt;",2,1)))</f>
        <v/>
      </c>
      <c r="CE248" s="132" t="str">
        <f aca="false">IF(ISBLANK($C248),"",IF($BL248&lt;&gt;Constants!$B$4,"",IF($BB248="-&gt;",$BE248,$AU248)))</f>
        <v/>
      </c>
      <c r="CF248" s="132" t="str">
        <f aca="false">IF(ISBLANK($C248),"",IF($BL248&lt;&gt;Constants!$B$4,"",IF($BB248="-&gt;",$BF248,$AV248)))</f>
        <v/>
      </c>
      <c r="CG248" s="132" t="str">
        <f aca="false">IF(ISBLANK($C248),"",IF($BL248&lt;&gt;Constants!$B$4,"",IF($BB248="-&gt;",$BG248,$AW248)))</f>
        <v/>
      </c>
      <c r="CH248" s="132" t="str">
        <f aca="false">IF(ISBLANK($C248),"",IF($BL248&lt;&gt;Constants!$B$4,"",IF($BB248="-&gt;",$BH248,$AX248)))</f>
        <v/>
      </c>
      <c r="CI248" s="133" t="str">
        <f aca="false">IF(ISBLANK($C248),"",$BO248)</f>
        <v/>
      </c>
      <c r="CJ248" s="134" t="str">
        <f aca="false">IF(ISBLANK($C248),"",$BM248)</f>
        <v/>
      </c>
      <c r="CK248" s="135" t="str">
        <f aca="false">IF(ISBLANK($C248),"",$CA248)</f>
        <v/>
      </c>
      <c r="CL248" s="135" t="str">
        <f aca="false">IF(ISBLANK($C248),"",$BZ248)</f>
        <v/>
      </c>
      <c r="CM248" s="136" t="str">
        <f aca="false">IF(ISBLANK($C248),"",IF($CL248=Constants!$B$7,COUNTA($C$9:$C$508)+2,IF($CL248=Constants!$B$6,COUNTA($C$9:$C$508)+1,IF($CL248=Constants!$B$5,COUNTA($C$9:$C$508),$CL248))))</f>
        <v/>
      </c>
      <c r="CN248" s="8"/>
      <c r="CO248" s="137" t="n">
        <f aca="false">IF(OR(ISNUMBER($CL248),$CL248=Constants!$B$7,$CL248=Constants!$B$5,$CL248=Constants!$B$6),1,0)</f>
        <v>0</v>
      </c>
      <c r="CP248" s="137" t="n">
        <v>240</v>
      </c>
      <c r="CQ248" s="137" t="str">
        <f aca="false">IF(ISBLANK($C248),"",IF(ISNUMBER($CM248),$CM248+ROW($B248)/1000,""))</f>
        <v/>
      </c>
      <c r="CR248" s="137" t="str">
        <f aca="false">IF(ISNUMBER($CQ248),RANK($CQ248,$CQ$9:$CQ$508,1),"")</f>
        <v/>
      </c>
      <c r="CS248" s="137" t="str">
        <f aca="false">IF(ISBLANK($C248),"",$B248)</f>
        <v/>
      </c>
      <c r="CT248" s="137" t="str">
        <f aca="false">IF(ISBLANK($C248),"",$C248)</f>
        <v/>
      </c>
      <c r="CU248" s="137" t="str">
        <f aca="false">IF(ISBLANK($C248),"",$D248)</f>
        <v/>
      </c>
      <c r="CV248" s="138" t="str">
        <f aca="false">$CJ248</f>
        <v/>
      </c>
      <c r="CW248" s="139" t="str">
        <f aca="false">$CI248</f>
        <v/>
      </c>
      <c r="CX248" s="137" t="str">
        <f aca="false">IF(ISBLANK($C248),"",$CL248)</f>
        <v/>
      </c>
      <c r="CY248" s="140" t="str">
        <f aca="false">IF($CP248&gt;$CO$8,"",VLOOKUP($CP248,$CR$9:$CX$508,7,FALSE()))</f>
        <v/>
      </c>
      <c r="CZ248" s="141" t="str">
        <f aca="false">IF($CP248&gt;$CO$8,"",VLOOKUP($CP248,$CR$9:$CX$508,2,FALSE()))</f>
        <v/>
      </c>
      <c r="DA248" s="141" t="str">
        <f aca="false">IF($CP248&gt;$CO$8,"",VLOOKUP($CP248,$CR$9:$CX$508,3,FALSE()))</f>
        <v/>
      </c>
      <c r="DB248" s="141" t="str">
        <f aca="false">IF($CP248&gt;$CO$8,"",VLOOKUP($CP248,$CR$9:$CX$508,4,FALSE()))</f>
        <v/>
      </c>
      <c r="DC248" s="141" t="str">
        <f aca="false">IF($CP248&gt;$CO$8,"",VLOOKUP($CP248,$CR$9:$CX$508,5,FALSE()))</f>
        <v/>
      </c>
      <c r="DD248" s="142" t="str">
        <f aca="false">IF($CP248&gt;$CO$8,"",VLOOKUP($CP248,$CR$9:$CX$508,6,FALSE()))</f>
        <v/>
      </c>
      <c r="DE248" s="70"/>
    </row>
    <row r="249" customFormat="false" ht="15.75" hidden="false" customHeight="false" outlineLevel="0" collapsed="false">
      <c r="A249" s="8"/>
      <c r="B249" s="72"/>
      <c r="C249" s="73"/>
      <c r="D249" s="155"/>
      <c r="E249" s="162"/>
      <c r="F249" s="157"/>
      <c r="G249" s="77"/>
      <c r="H249" s="77"/>
      <c r="I249" s="77"/>
      <c r="J249" s="163"/>
      <c r="K249" s="161"/>
      <c r="L249" s="161"/>
      <c r="M249" s="80"/>
      <c r="N249" s="161"/>
      <c r="O249" s="160"/>
      <c r="P249" s="161"/>
      <c r="Q249" s="161"/>
      <c r="R249" s="161"/>
      <c r="S249" s="77"/>
      <c r="T249" s="161"/>
      <c r="U249" s="160"/>
      <c r="V249" s="161"/>
      <c r="W249" s="85"/>
      <c r="X249" s="86" t="str">
        <f aca="false">IF(ISBLANK($C249),"",IF($E249=Constants!$B$2,TRUE(),IF($E249=Constants!$B$3,FALSE(),TRUE())))</f>
        <v/>
      </c>
      <c r="Y249" s="86" t="str">
        <f aca="false">IF(ISBLANK($C249),"",IF($F249=Constants!$B$2,TRUE(),IF($F249=Constants!$B$3,FALSE(),TRUE())))</f>
        <v/>
      </c>
      <c r="Z249" s="87" t="str">
        <f aca="false">IF(ISBLANK($C249),"",IF(ISNUMBER($G249),IF($G249&gt;=0,$G249,""),""))</f>
        <v/>
      </c>
      <c r="AA249" s="87" t="str">
        <f aca="false">IF(ISBLANK($C249),"",IF(ISNUMBER($H249),IF($H249&gt;=0,$H249,""),""))</f>
        <v/>
      </c>
      <c r="AB249" s="87" t="str">
        <f aca="false">IF(ISBLANK($C249),"",IF(ISNUMBER($I249),IF($I249&gt;=0,$I249,""),""))</f>
        <v/>
      </c>
      <c r="AC249" s="86" t="str">
        <f aca="false">IF(ISBLANK($C249),"",IF($J249=Constants!$B$2,TRUE(),IF($J249=Constants!$B$3,FALSE(),TRUE())))</f>
        <v/>
      </c>
      <c r="AD249" s="86" t="str">
        <f aca="false">IF(ISBLANK($C249),"",IF($K249=Constants!$B$2,TRUE(),IF($K249=Constants!$B$3,FALSE(),TRUE())))</f>
        <v/>
      </c>
      <c r="AE249" s="86" t="str">
        <f aca="false">IF(ISBLANK($C249),"",IF($L249=Constants!$B$2,TRUE(),IF($L249=Constants!$B$3,FALSE(),TRUE())))</f>
        <v/>
      </c>
      <c r="AF249" s="88" t="str">
        <f aca="false">IF(ISBLANK($C249),"",IF(ISNUMBER($M249),IF($M249&gt;=0,$M249,""),""))</f>
        <v/>
      </c>
      <c r="AG249" s="86" t="str">
        <f aca="false">IF(ISBLANK($C249),"",IF(ISBLANK($N249),0,IF(ISNUMBER($N249),IF(AND($N249&gt;=0,$N249&lt;=Constants!$B$17,$N249=INT($N249)),$N249,""),"")))</f>
        <v/>
      </c>
      <c r="AH249" s="87" t="str">
        <f aca="false">IF(ISBLANK($C249),"",IF(ISBLANK($O249),0,IF(ISNUMBER($O249),IF($O249&gt;=0,$O249,""),"")))</f>
        <v/>
      </c>
      <c r="AI249" s="86" t="str">
        <f aca="false">IF(ISBLANK($C249),"",IF($P249=Constants!$B$2,TRUE(),IF($P249=Constants!$B$3,FALSE(),TRUE())))</f>
        <v/>
      </c>
      <c r="AJ249" s="86" t="str">
        <f aca="false">IF(ISBLANK($C249),"",IF($Q249=Constants!$B$2,TRUE(),IF($Q249=Constants!$B$3,FALSE(),TRUE())))</f>
        <v/>
      </c>
      <c r="AK249" s="86" t="str">
        <f aca="false">IF(ISBLANK($C249),"",IF($R249=Constants!$B$2,TRUE(),IF($R249=Constants!$B$3,FALSE(),TRUE())))</f>
        <v/>
      </c>
      <c r="AL249" s="88" t="str">
        <f aca="false">IF(ISBLANK($C249),"",IF(ISNUMBER($S249),IF($S249&gt;=0,$S249,""),""))</f>
        <v/>
      </c>
      <c r="AM249" s="86" t="str">
        <f aca="false">IF(ISBLANK($C249),"",IF(ISBLANK($T249),0,IF(ISNUMBER($T249),IF(AND($T249&gt;=0,$T249&lt;=Constants!$B$17,$T249=INT($T249)),$T249,""),"")))</f>
        <v/>
      </c>
      <c r="AN249" s="87" t="str">
        <f aca="false">IF(ISBLANK($C249),"",IF(ISBLANK($U249),0,IF(ISNUMBER($U249),IF($U249&gt;=0,$U249,""),"")))</f>
        <v/>
      </c>
      <c r="AO249" s="86" t="str">
        <f aca="false">IF(ISBLANK($C249),"",IF($V249=Constants!$B$2,TRUE(),IF($V249=Constants!$B$3,FALSE(),FALSE())))</f>
        <v/>
      </c>
      <c r="AP249" s="86"/>
      <c r="AQ249" s="85" t="str">
        <f aca="false">IF(ISBLANK($C249),"",AND($Y249,OR($AS249,$BC249),OR($Z249="",$AA249="",$AB249="")))</f>
        <v/>
      </c>
      <c r="AR249" s="85" t="str">
        <f aca="false">IF(ISBLANK($C249),"",IF(OR(NOT($Y249),NOT(OR($AS249,$BC249))),"",IF(ISBLANK($D$7),$AR$5,IF($AP$9="",$AR$6,""))))</f>
        <v/>
      </c>
      <c r="AS249" s="85" t="str">
        <f aca="false">IF(ISBLANK($C249),"",COUNTA($J249:$O249)&gt;0)</f>
        <v/>
      </c>
      <c r="AT249" s="85" t="str">
        <f aca="false">IF(ISBLANK($C249),"",AND($AS249,OR(AND($AF249="",OR($AE249,NOT(ISBLANK($M249)))),$AG249="",$AH249="")))</f>
        <v/>
      </c>
      <c r="AU249" s="87" t="str">
        <f aca="false">IF($BL249&lt;&gt;Constants!$B$4,"",IF(NOT($AS249),"",ROUND((Constants!$B$12-$AB249)+(Constants!$B$13-$Z249)+(Constants!$B$14-$AA249),1)))</f>
        <v/>
      </c>
      <c r="AV249" s="90" t="str">
        <f aca="false">IF($BL249&lt;&gt;Constants!$B$4,"",IF(NOT($AS249),"",IF(NOT($AE249),0,Constants!$B$15*(INT(ROUND(MIN($AF249,$AP$9),6))-INT(ROUND(MAX(0,MIN($AF249,2*$AP$9)-$AP$9),6))))))</f>
        <v/>
      </c>
      <c r="AW249" s="90" t="str">
        <f aca="false">IF($BL249&lt;&gt;Constants!$B$4,"",IF(NOT($AS249),"",Constants!$B$16*$AG249))</f>
        <v/>
      </c>
      <c r="AX249" s="90" t="str">
        <f aca="false">IF($BL249&lt;&gt;Constants!$B$4,"",IF(NOT($AS249),"",Constants!$B$18*INT(ROUND($AH249,6))))</f>
        <v/>
      </c>
      <c r="AY249" s="85" t="str">
        <f aca="false">IF($BL249&lt;&gt;Constants!$B$4,"",IF(NOT($AS249),"",IF(NOT($X249),Constants!$B$11,IF(OR(NOT($AC249),NOT($AD249),ROUND($AB249,1)&gt;Constants!$B$12,ROUND($Z249,1)&gt;Constants!$B$13,ROUND($AA249,1)&gt;Constants!$B$14),Constants!$B$10,Constants!$B$9))))</f>
        <v/>
      </c>
      <c r="AZ249" s="91" t="str">
        <f aca="false">IF($BL249&lt;&gt;Constants!$B$4,"",IF(NOT($AS249),"",ROUND($AU249+$AV249+$AW249+$AX249,1)))</f>
        <v/>
      </c>
      <c r="BA249" s="92" t="str">
        <f aca="false">IF($BL249&lt;&gt;Constants!$B$4,"",IF(NOT($AS249),"",IF(ISNUMBER($AF249),$AF249,0)))</f>
        <v/>
      </c>
      <c r="BB249" s="86" t="str">
        <f aca="false">IF($BL249&lt;&gt;Constants!$B$4,"",IF(NOT($BC249),"&lt;-",IF(NOT($AS249),"-&gt;",IF(OR($BI249&lt;$AY249,AND($BI249=$AY249,OR($BJ249&gt;$AZ249,AND($BJ249=$AZ249,OR($BH249&gt;$AX249,AND($BH249=$AX249,OR($BE249&gt;$AU249,AND($BE249=$AU249,OR($BF249&gt;$AV249,AND($BF249=$AV249,$BK249&gt;$BA249)))))))))),"-&gt;","&lt;-"))))</f>
        <v/>
      </c>
      <c r="BC249" s="85" t="str">
        <f aca="false">IF(ISBLANK($C249),"",COUNTA($P249:$U249)&gt;0)</f>
        <v/>
      </c>
      <c r="BD249" s="85" t="str">
        <f aca="false">IF(ISBLANK($C249),"",AND($BC249,OR(AND($AL249="",OR($AK249,NOT(ISBLANK($S249)))),$AM249="",$AN249="")))</f>
        <v/>
      </c>
      <c r="BE249" s="87" t="str">
        <f aca="false">IF($BL249&lt;&gt;Constants!$B$4,"",IF(NOT($BC249),"",ROUND((Constants!$B$12-$AB249)+(Constants!$B$13-$Z249)+(Constants!$B$14-$AA249),1)))</f>
        <v/>
      </c>
      <c r="BF249" s="90" t="str">
        <f aca="false">IF($BL249&lt;&gt;Constants!$B$4,"",IF(NOT($BC249),"",IF(NOT($AK249),0,Constants!$B$15*(INT(ROUND(MIN($AL249,$AP$9),6))-INT(ROUND(MAX(0,MIN($AL249,2*$AP$9)-$AP$9),6))))))</f>
        <v/>
      </c>
      <c r="BG249" s="90" t="str">
        <f aca="false">IF($BL249&lt;&gt;Constants!$B$4,"",IF(NOT($BC249),"",Constants!$B$16*$AM249))</f>
        <v/>
      </c>
      <c r="BH249" s="90" t="str">
        <f aca="false">IF($BL249&lt;&gt;Constants!$B$4,"",IF(NOT($BC249),"",Constants!$B$18*INT(ROUND($AN249,6))))</f>
        <v/>
      </c>
      <c r="BI249" s="85" t="str">
        <f aca="false">IF($BL249&lt;&gt;Constants!$B$4,"",IF(NOT($BC249),"",IF(NOT($X249),Constants!$B$11,IF(OR(NOT($AI249),NOT($AJ249),ROUND($AB249,1)&gt;Constants!$B$12,ROUND($Z249,1)&gt;Constants!$B$13,ROUND($AA249,1)&gt;Constants!$B$14),Constants!$B$10,Constants!$B$9))))</f>
        <v/>
      </c>
      <c r="BJ249" s="91" t="str">
        <f aca="false">IF($BL249&lt;&gt;Constants!$B$4,"",IF(NOT($BC249),"",ROUND($BE249+$BF249+$BG249+$BH249,1)))</f>
        <v/>
      </c>
      <c r="BK249" s="92" t="str">
        <f aca="false">IF($BL249&lt;&gt;Constants!$B$4,"",IF(NOT($BC249),"",IF(ISNUMBER($AL249),$AL249,0)))</f>
        <v/>
      </c>
      <c r="BL249" s="86" t="str">
        <f aca="false">IF(ISBLANK($C249),"",IF($AO249,Constants!$B$7,IF(COUNTA($E249:$V249)=0,Constants!$B$6,IF(NOT($Y249),Constants!$B$5,IF(NOT(OR($AS249,$BC249)),Constants!$B$5,IF(OR($AT249,$BD249,$AQ249,$AR249&lt;&gt;""),Constants!$B$8,Constants!$B$4))))))</f>
        <v/>
      </c>
      <c r="BM249" s="86" t="str">
        <f aca="false">IF(ISBLANK($C249),"",IF($BL249&lt;&gt;Constants!$B$4,$BL249,IF($BB249="-&gt;",$BI249,$AY249)))</f>
        <v/>
      </c>
      <c r="BN249" s="90" t="str">
        <f aca="false">IF($BL249&lt;&gt;Constants!$B$4,"",IF($BB249="-&gt;",$BJ249,$AZ249))</f>
        <v/>
      </c>
      <c r="BO249" s="90" t="str">
        <f aca="false">IF(ISBLANK($C249),"",IF($BL249&lt;&gt;Constants!$B$4,$BL249,$BN249))</f>
        <v/>
      </c>
      <c r="BP249" s="86" t="str">
        <f aca="false">IF(ISBLANK($C249),"",IF($BL249&lt;&gt;Constants!$B$4,$BL249,RANK($BO249,$BO$9:$BO$508,0)))</f>
        <v/>
      </c>
      <c r="BQ249" s="86" t="str">
        <f aca="false">IF(ISBLANK($C249),"",IF($BL249&lt;&gt;Constants!$B$4,$BL249,COUNTIFS($BM$9:$BM$508,"&lt;"&amp;$BM249)+COUNTIFS($BM$9:$BM$508,$BM249,$BP$9:$BP$508,"&lt;"&amp;$BP249)+1))</f>
        <v/>
      </c>
      <c r="BR249" s="90" t="str">
        <f aca="false">IF($BL249&lt;&gt;Constants!$B$4,"",IF($BB249="-&gt;",$BH249,$AX249))</f>
        <v/>
      </c>
      <c r="BS249" s="86" t="str">
        <f aca="false">IF(ISBLANK($C249),"",IF($BL249&lt;&gt;Constants!$B$4,$BL249,IF(ISNUMBER($BR249),RANK($BR249,$BR$9:$BR$508,0),COUNT($BR$9:$BR$508)+1)))</f>
        <v/>
      </c>
      <c r="BT249" s="90" t="str">
        <f aca="false">IF($BL249&lt;&gt;Constants!$B$4,"",IF($BB249="-&gt;",$BE249,$AU249))</f>
        <v/>
      </c>
      <c r="BU249" s="86" t="str">
        <f aca="false">IF(ISBLANK($C249),"",IF($BL249&lt;&gt;Constants!$B$4,$BL249,IF(ISNUMBER($BT249),RANK($BT249,$BT$9:$BT$508,0),COUNT($BT$9:$BT$508)+1)))</f>
        <v/>
      </c>
      <c r="BV249" s="90" t="str">
        <f aca="false">IF($BL249&lt;&gt;Constants!$B$4,"",IF($BB249="-&gt;",$BF249,$AV249))</f>
        <v/>
      </c>
      <c r="BW249" s="86" t="str">
        <f aca="false">IF(ISBLANK($C249),"",IF($BL249&lt;&gt;Constants!$B$4,$BL249,IF(ISNUMBER($BV249),RANK($BV249,$BV$9:$BV$508,0),COUNT($BV$9:$BV$508)+1)))</f>
        <v/>
      </c>
      <c r="BX249" s="90" t="str">
        <f aca="false">IF($BL249&lt;&gt;Constants!$B$4,"",IF($BB249="-&gt;",$BK249,$BA249))</f>
        <v/>
      </c>
      <c r="BY249" s="86" t="str">
        <f aca="false">IF(ISBLANK($C249),"",IF($BL249&lt;&gt;Constants!$B$4,$BL249,IF(ISNUMBER($BX249),RANK($BX249,$BX$9:$BX$508,0),COUNT($BX$9:$BX$508)+1)))</f>
        <v/>
      </c>
      <c r="BZ249" s="86" t="str">
        <f aca="false">IF(ISBLANK($C249),"",IF($BL249&lt;&gt;Constants!$B$4,$BL249,COUNTIFS($BM$9:$BM$508,"&lt;"&amp;$BM249)+COUNTIFS($BM$9:$BM$508,$BM249,$BP$9:$BP$508,"&lt;"&amp;$BP249)+COUNTIFS($BM$9:$BM$508,$BM249,$BP$9:$BP$508,$BP249,$BS$9:$BS$508,"&lt;"&amp;$BS249)+COUNTIFS($BM$9:$BM$508,$BM249,$BP$9:$BP$508,$BP249,$BS$9:$BS$508,$BS249,$BU$9:$BU$508,"&lt;"&amp;$BU249)+COUNTIFS($BM$9:$BM$508,$BM249,$BP$9:$BP$508,$BP249,$BS$9:$BS$508,$BS249,$BU$9:$BU$508,$BU249,$BW$9:$BW$508,"&lt;"&amp;$BW249)+COUNTIFS($BM$9:$BM$508,$BM249,$BP$9:$BP$508,$BP249,$BS$9:$BS$508,$BS249,$BU$9:$BU$508,$BU249,$BW$9:$BW$508,$BW249,$BY$9:$BY$508,"&lt;"&amp;$BY249)+1))</f>
        <v/>
      </c>
      <c r="CA249" s="86" t="str">
        <f aca="false">IF(ISBLANK($C249),"",IF($BL249&lt;&gt;Constants!$B$4,$BL249,$BQ249-$BZ249))</f>
        <v/>
      </c>
      <c r="CB249" s="93"/>
      <c r="CC249" s="94" t="str">
        <f aca="false">IF(ISBLANK($C249),"",IF($BL249=Constants!$B$8,$AR249,""))</f>
        <v/>
      </c>
      <c r="CD249" s="94" t="str">
        <f aca="false">IF(ISBLANK($C249),"",IF($BL249&lt;&gt;Constants!$B$4,"",IF($BB249="-&gt;",2,1)))</f>
        <v/>
      </c>
      <c r="CE249" s="95" t="str">
        <f aca="false">IF(ISBLANK($C249),"",IF($BL249&lt;&gt;Constants!$B$4,"",IF($BB249="-&gt;",$BE249,$AU249)))</f>
        <v/>
      </c>
      <c r="CF249" s="95" t="str">
        <f aca="false">IF(ISBLANK($C249),"",IF($BL249&lt;&gt;Constants!$B$4,"",IF($BB249="-&gt;",$BF249,$AV249)))</f>
        <v/>
      </c>
      <c r="CG249" s="95" t="str">
        <f aca="false">IF(ISBLANK($C249),"",IF($BL249&lt;&gt;Constants!$B$4,"",IF($BB249="-&gt;",$BG249,$AW249)))</f>
        <v/>
      </c>
      <c r="CH249" s="95" t="str">
        <f aca="false">IF(ISBLANK($C249),"",IF($BL249&lt;&gt;Constants!$B$4,"",IF($BB249="-&gt;",$BH249,$AX249)))</f>
        <v/>
      </c>
      <c r="CI249" s="96" t="str">
        <f aca="false">IF(ISBLANK($C249),"",$BO249)</f>
        <v/>
      </c>
      <c r="CJ249" s="97" t="str">
        <f aca="false">IF(ISBLANK($C249),"",$BM249)</f>
        <v/>
      </c>
      <c r="CK249" s="98" t="str">
        <f aca="false">IF(ISBLANK($C249),"",$CA249)</f>
        <v/>
      </c>
      <c r="CL249" s="98" t="str">
        <f aca="false">IF(ISBLANK($C249),"",$BZ249)</f>
        <v/>
      </c>
      <c r="CM249" s="99" t="str">
        <f aca="false">IF(ISBLANK($C249),"",IF($CL249=Constants!$B$7,COUNTA($C$9:$C$508)+2,IF($CL249=Constants!$B$6,COUNTA($C$9:$C$508)+1,IF($CL249=Constants!$B$5,COUNTA($C$9:$C$508),$CL249))))</f>
        <v/>
      </c>
      <c r="CN249" s="8"/>
      <c r="CO249" s="100" t="n">
        <f aca="false">IF(OR(ISNUMBER($CL249),$CL249=Constants!$B$7,$CL249=Constants!$B$5,$CL249=Constants!$B$6),1,0)</f>
        <v>0</v>
      </c>
      <c r="CP249" s="100" t="n">
        <v>241</v>
      </c>
      <c r="CQ249" s="100" t="str">
        <f aca="false">IF(ISBLANK($C249),"",IF(ISNUMBER($CM249),$CM249+ROW($B249)/1000,""))</f>
        <v/>
      </c>
      <c r="CR249" s="100" t="str">
        <f aca="false">IF(ISNUMBER($CQ249),RANK($CQ249,$CQ$9:$CQ$508,1),"")</f>
        <v/>
      </c>
      <c r="CS249" s="100" t="str">
        <f aca="false">IF(ISBLANK($C249),"",$B249)</f>
        <v/>
      </c>
      <c r="CT249" s="100" t="str">
        <f aca="false">IF(ISBLANK($C249),"",$C249)</f>
        <v/>
      </c>
      <c r="CU249" s="100" t="str">
        <f aca="false">IF(ISBLANK($C249),"",$D249)</f>
        <v/>
      </c>
      <c r="CV249" s="101" t="str">
        <f aca="false">$CJ249</f>
        <v/>
      </c>
      <c r="CW249" s="102" t="str">
        <f aca="false">$CI249</f>
        <v/>
      </c>
      <c r="CX249" s="100" t="str">
        <f aca="false">IF(ISBLANK($C249),"",$CL249)</f>
        <v/>
      </c>
      <c r="CY249" s="103" t="str">
        <f aca="false">IF($CP249&gt;$CO$8,"",VLOOKUP($CP249,$CR$9:$CX$508,7,FALSE()))</f>
        <v/>
      </c>
      <c r="CZ249" s="104" t="str">
        <f aca="false">IF($CP249&gt;$CO$8,"",VLOOKUP($CP249,$CR$9:$CX$508,2,FALSE()))</f>
        <v/>
      </c>
      <c r="DA249" s="104" t="str">
        <f aca="false">IF($CP249&gt;$CO$8,"",VLOOKUP($CP249,$CR$9:$CX$508,3,FALSE()))</f>
        <v/>
      </c>
      <c r="DB249" s="104" t="str">
        <f aca="false">IF($CP249&gt;$CO$8,"",VLOOKUP($CP249,$CR$9:$CX$508,4,FALSE()))</f>
        <v/>
      </c>
      <c r="DC249" s="104" t="str">
        <f aca="false">IF($CP249&gt;$CO$8,"",VLOOKUP($CP249,$CR$9:$CX$508,5,FALSE()))</f>
        <v/>
      </c>
      <c r="DD249" s="105" t="str">
        <f aca="false">IF($CP249&gt;$CO$8,"",VLOOKUP($CP249,$CR$9:$CX$508,6,FALSE()))</f>
        <v/>
      </c>
      <c r="DE249" s="70"/>
    </row>
    <row r="250" customFormat="false" ht="15.75" hidden="false" customHeight="false" outlineLevel="0" collapsed="false">
      <c r="A250" s="8"/>
      <c r="B250" s="72"/>
      <c r="C250" s="73"/>
      <c r="D250" s="155"/>
      <c r="E250" s="162"/>
      <c r="F250" s="157"/>
      <c r="G250" s="77"/>
      <c r="H250" s="77"/>
      <c r="I250" s="77"/>
      <c r="J250" s="163"/>
      <c r="K250" s="161"/>
      <c r="L250" s="161"/>
      <c r="M250" s="80"/>
      <c r="N250" s="161"/>
      <c r="O250" s="160"/>
      <c r="P250" s="161"/>
      <c r="Q250" s="161"/>
      <c r="R250" s="161"/>
      <c r="S250" s="77"/>
      <c r="T250" s="161"/>
      <c r="U250" s="160"/>
      <c r="V250" s="161"/>
      <c r="W250" s="85"/>
      <c r="X250" s="86" t="str">
        <f aca="false">IF(ISBLANK($C250),"",IF($E250=Constants!$B$2,TRUE(),IF($E250=Constants!$B$3,FALSE(),TRUE())))</f>
        <v/>
      </c>
      <c r="Y250" s="86" t="str">
        <f aca="false">IF(ISBLANK($C250),"",IF($F250=Constants!$B$2,TRUE(),IF($F250=Constants!$B$3,FALSE(),TRUE())))</f>
        <v/>
      </c>
      <c r="Z250" s="87" t="str">
        <f aca="false">IF(ISBLANK($C250),"",IF(ISNUMBER($G250),IF($G250&gt;=0,$G250,""),""))</f>
        <v/>
      </c>
      <c r="AA250" s="87" t="str">
        <f aca="false">IF(ISBLANK($C250),"",IF(ISNUMBER($H250),IF($H250&gt;=0,$H250,""),""))</f>
        <v/>
      </c>
      <c r="AB250" s="87" t="str">
        <f aca="false">IF(ISBLANK($C250),"",IF(ISNUMBER($I250),IF($I250&gt;=0,$I250,""),""))</f>
        <v/>
      </c>
      <c r="AC250" s="86" t="str">
        <f aca="false">IF(ISBLANK($C250),"",IF($J250=Constants!$B$2,TRUE(),IF($J250=Constants!$B$3,FALSE(),TRUE())))</f>
        <v/>
      </c>
      <c r="AD250" s="86" t="str">
        <f aca="false">IF(ISBLANK($C250),"",IF($K250=Constants!$B$2,TRUE(),IF($K250=Constants!$B$3,FALSE(),TRUE())))</f>
        <v/>
      </c>
      <c r="AE250" s="86" t="str">
        <f aca="false">IF(ISBLANK($C250),"",IF($L250=Constants!$B$2,TRUE(),IF($L250=Constants!$B$3,FALSE(),TRUE())))</f>
        <v/>
      </c>
      <c r="AF250" s="88" t="str">
        <f aca="false">IF(ISBLANK($C250),"",IF(ISNUMBER($M250),IF($M250&gt;=0,$M250,""),""))</f>
        <v/>
      </c>
      <c r="AG250" s="86" t="str">
        <f aca="false">IF(ISBLANK($C250),"",IF(ISBLANK($N250),0,IF(ISNUMBER($N250),IF(AND($N250&gt;=0,$N250&lt;=Constants!$B$17,$N250=INT($N250)),$N250,""),"")))</f>
        <v/>
      </c>
      <c r="AH250" s="87" t="str">
        <f aca="false">IF(ISBLANK($C250),"",IF(ISBLANK($O250),0,IF(ISNUMBER($O250),IF($O250&gt;=0,$O250,""),"")))</f>
        <v/>
      </c>
      <c r="AI250" s="86" t="str">
        <f aca="false">IF(ISBLANK($C250),"",IF($P250=Constants!$B$2,TRUE(),IF($P250=Constants!$B$3,FALSE(),TRUE())))</f>
        <v/>
      </c>
      <c r="AJ250" s="86" t="str">
        <f aca="false">IF(ISBLANK($C250),"",IF($Q250=Constants!$B$2,TRUE(),IF($Q250=Constants!$B$3,FALSE(),TRUE())))</f>
        <v/>
      </c>
      <c r="AK250" s="86" t="str">
        <f aca="false">IF(ISBLANK($C250),"",IF($R250=Constants!$B$2,TRUE(),IF($R250=Constants!$B$3,FALSE(),TRUE())))</f>
        <v/>
      </c>
      <c r="AL250" s="88" t="str">
        <f aca="false">IF(ISBLANK($C250),"",IF(ISNUMBER($S250),IF($S250&gt;=0,$S250,""),""))</f>
        <v/>
      </c>
      <c r="AM250" s="86" t="str">
        <f aca="false">IF(ISBLANK($C250),"",IF(ISBLANK($T250),0,IF(ISNUMBER($T250),IF(AND($T250&gt;=0,$T250&lt;=Constants!$B$17,$T250=INT($T250)),$T250,""),"")))</f>
        <v/>
      </c>
      <c r="AN250" s="87" t="str">
        <f aca="false">IF(ISBLANK($C250),"",IF(ISBLANK($U250),0,IF(ISNUMBER($U250),IF($U250&gt;=0,$U250,""),"")))</f>
        <v/>
      </c>
      <c r="AO250" s="86" t="str">
        <f aca="false">IF(ISBLANK($C250),"",IF($V250=Constants!$B$2,TRUE(),IF($V250=Constants!$B$3,FALSE(),FALSE())))</f>
        <v/>
      </c>
      <c r="AP250" s="86"/>
      <c r="AQ250" s="85" t="str">
        <f aca="false">IF(ISBLANK($C250),"",AND($Y250,OR($AS250,$BC250),OR($Z250="",$AA250="",$AB250="")))</f>
        <v/>
      </c>
      <c r="AR250" s="85" t="str">
        <f aca="false">IF(ISBLANK($C250),"",IF(OR(NOT($Y250),NOT(OR($AS250,$BC250))),"",IF(ISBLANK($D$7),$AR$5,IF($AP$9="",$AR$6,""))))</f>
        <v/>
      </c>
      <c r="AS250" s="85" t="str">
        <f aca="false">IF(ISBLANK($C250),"",COUNTA($J250:$O250)&gt;0)</f>
        <v/>
      </c>
      <c r="AT250" s="85" t="str">
        <f aca="false">IF(ISBLANK($C250),"",AND($AS250,OR(AND($AF250="",OR($AE250,NOT(ISBLANK($M250)))),$AG250="",$AH250="")))</f>
        <v/>
      </c>
      <c r="AU250" s="87" t="str">
        <f aca="false">IF($BL250&lt;&gt;Constants!$B$4,"",IF(NOT($AS250),"",ROUND((Constants!$B$12-$AB250)+(Constants!$B$13-$Z250)+(Constants!$B$14-$AA250),1)))</f>
        <v/>
      </c>
      <c r="AV250" s="90" t="str">
        <f aca="false">IF($BL250&lt;&gt;Constants!$B$4,"",IF(NOT($AS250),"",IF(NOT($AE250),0,Constants!$B$15*(INT(ROUND(MIN($AF250,$AP$9),6))-INT(ROUND(MAX(0,MIN($AF250,2*$AP$9)-$AP$9),6))))))</f>
        <v/>
      </c>
      <c r="AW250" s="90" t="str">
        <f aca="false">IF($BL250&lt;&gt;Constants!$B$4,"",IF(NOT($AS250),"",Constants!$B$16*$AG250))</f>
        <v/>
      </c>
      <c r="AX250" s="90" t="str">
        <f aca="false">IF($BL250&lt;&gt;Constants!$B$4,"",IF(NOT($AS250),"",Constants!$B$18*INT(ROUND($AH250,6))))</f>
        <v/>
      </c>
      <c r="AY250" s="85" t="str">
        <f aca="false">IF($BL250&lt;&gt;Constants!$B$4,"",IF(NOT($AS250),"",IF(NOT($X250),Constants!$B$11,IF(OR(NOT($AC250),NOT($AD250),ROUND($AB250,1)&gt;Constants!$B$12,ROUND($Z250,1)&gt;Constants!$B$13,ROUND($AA250,1)&gt;Constants!$B$14),Constants!$B$10,Constants!$B$9))))</f>
        <v/>
      </c>
      <c r="AZ250" s="91" t="str">
        <f aca="false">IF($BL250&lt;&gt;Constants!$B$4,"",IF(NOT($AS250),"",ROUND($AU250+$AV250+$AW250+$AX250,1)))</f>
        <v/>
      </c>
      <c r="BA250" s="92" t="str">
        <f aca="false">IF($BL250&lt;&gt;Constants!$B$4,"",IF(NOT($AS250),"",IF(ISNUMBER($AF250),$AF250,0)))</f>
        <v/>
      </c>
      <c r="BB250" s="86" t="str">
        <f aca="false">IF($BL250&lt;&gt;Constants!$B$4,"",IF(NOT($BC250),"&lt;-",IF(NOT($AS250),"-&gt;",IF(OR($BI250&lt;$AY250,AND($BI250=$AY250,OR($BJ250&gt;$AZ250,AND($BJ250=$AZ250,OR($BH250&gt;$AX250,AND($BH250=$AX250,OR($BE250&gt;$AU250,AND($BE250=$AU250,OR($BF250&gt;$AV250,AND($BF250=$AV250,$BK250&gt;$BA250)))))))))),"-&gt;","&lt;-"))))</f>
        <v/>
      </c>
      <c r="BC250" s="85" t="str">
        <f aca="false">IF(ISBLANK($C250),"",COUNTA($P250:$U250)&gt;0)</f>
        <v/>
      </c>
      <c r="BD250" s="85" t="str">
        <f aca="false">IF(ISBLANK($C250),"",AND($BC250,OR(AND($AL250="",OR($AK250,NOT(ISBLANK($S250)))),$AM250="",$AN250="")))</f>
        <v/>
      </c>
      <c r="BE250" s="87" t="str">
        <f aca="false">IF($BL250&lt;&gt;Constants!$B$4,"",IF(NOT($BC250),"",ROUND((Constants!$B$12-$AB250)+(Constants!$B$13-$Z250)+(Constants!$B$14-$AA250),1)))</f>
        <v/>
      </c>
      <c r="BF250" s="90" t="str">
        <f aca="false">IF($BL250&lt;&gt;Constants!$B$4,"",IF(NOT($BC250),"",IF(NOT($AK250),0,Constants!$B$15*(INT(ROUND(MIN($AL250,$AP$9),6))-INT(ROUND(MAX(0,MIN($AL250,2*$AP$9)-$AP$9),6))))))</f>
        <v/>
      </c>
      <c r="BG250" s="90" t="str">
        <f aca="false">IF($BL250&lt;&gt;Constants!$B$4,"",IF(NOT($BC250),"",Constants!$B$16*$AM250))</f>
        <v/>
      </c>
      <c r="BH250" s="90" t="str">
        <f aca="false">IF($BL250&lt;&gt;Constants!$B$4,"",IF(NOT($BC250),"",Constants!$B$18*INT(ROUND($AN250,6))))</f>
        <v/>
      </c>
      <c r="BI250" s="85" t="str">
        <f aca="false">IF($BL250&lt;&gt;Constants!$B$4,"",IF(NOT($BC250),"",IF(NOT($X250),Constants!$B$11,IF(OR(NOT($AI250),NOT($AJ250),ROUND($AB250,1)&gt;Constants!$B$12,ROUND($Z250,1)&gt;Constants!$B$13,ROUND($AA250,1)&gt;Constants!$B$14),Constants!$B$10,Constants!$B$9))))</f>
        <v/>
      </c>
      <c r="BJ250" s="91" t="str">
        <f aca="false">IF($BL250&lt;&gt;Constants!$B$4,"",IF(NOT($BC250),"",ROUND($BE250+$BF250+$BG250+$BH250,1)))</f>
        <v/>
      </c>
      <c r="BK250" s="92" t="str">
        <f aca="false">IF($BL250&lt;&gt;Constants!$B$4,"",IF(NOT($BC250),"",IF(ISNUMBER($AL250),$AL250,0)))</f>
        <v/>
      </c>
      <c r="BL250" s="86" t="str">
        <f aca="false">IF(ISBLANK($C250),"",IF($AO250,Constants!$B$7,IF(COUNTA($E250:$V250)=0,Constants!$B$6,IF(NOT($Y250),Constants!$B$5,IF(NOT(OR($AS250,$BC250)),Constants!$B$5,IF(OR($AT250,$BD250,$AQ250,$AR250&lt;&gt;""),Constants!$B$8,Constants!$B$4))))))</f>
        <v/>
      </c>
      <c r="BM250" s="86" t="str">
        <f aca="false">IF(ISBLANK($C250),"",IF($BL250&lt;&gt;Constants!$B$4,$BL250,IF($BB250="-&gt;",$BI250,$AY250)))</f>
        <v/>
      </c>
      <c r="BN250" s="90" t="str">
        <f aca="false">IF($BL250&lt;&gt;Constants!$B$4,"",IF($BB250="-&gt;",$BJ250,$AZ250))</f>
        <v/>
      </c>
      <c r="BO250" s="90" t="str">
        <f aca="false">IF(ISBLANK($C250),"",IF($BL250&lt;&gt;Constants!$B$4,$BL250,$BN250))</f>
        <v/>
      </c>
      <c r="BP250" s="86" t="str">
        <f aca="false">IF(ISBLANK($C250),"",IF($BL250&lt;&gt;Constants!$B$4,$BL250,RANK($BO250,$BO$9:$BO$508,0)))</f>
        <v/>
      </c>
      <c r="BQ250" s="86" t="str">
        <f aca="false">IF(ISBLANK($C250),"",IF($BL250&lt;&gt;Constants!$B$4,$BL250,COUNTIFS($BM$9:$BM$508,"&lt;"&amp;$BM250)+COUNTIFS($BM$9:$BM$508,$BM250,$BP$9:$BP$508,"&lt;"&amp;$BP250)+1))</f>
        <v/>
      </c>
      <c r="BR250" s="90" t="str">
        <f aca="false">IF($BL250&lt;&gt;Constants!$B$4,"",IF($BB250="-&gt;",$BH250,$AX250))</f>
        <v/>
      </c>
      <c r="BS250" s="86" t="str">
        <f aca="false">IF(ISBLANK($C250),"",IF($BL250&lt;&gt;Constants!$B$4,$BL250,IF(ISNUMBER($BR250),RANK($BR250,$BR$9:$BR$508,0),COUNT($BR$9:$BR$508)+1)))</f>
        <v/>
      </c>
      <c r="BT250" s="90" t="str">
        <f aca="false">IF($BL250&lt;&gt;Constants!$B$4,"",IF($BB250="-&gt;",$BE250,$AU250))</f>
        <v/>
      </c>
      <c r="BU250" s="86" t="str">
        <f aca="false">IF(ISBLANK($C250),"",IF($BL250&lt;&gt;Constants!$B$4,$BL250,IF(ISNUMBER($BT250),RANK($BT250,$BT$9:$BT$508,0),COUNT($BT$9:$BT$508)+1)))</f>
        <v/>
      </c>
      <c r="BV250" s="90" t="str">
        <f aca="false">IF($BL250&lt;&gt;Constants!$B$4,"",IF($BB250="-&gt;",$BF250,$AV250))</f>
        <v/>
      </c>
      <c r="BW250" s="86" t="str">
        <f aca="false">IF(ISBLANK($C250),"",IF($BL250&lt;&gt;Constants!$B$4,$BL250,IF(ISNUMBER($BV250),RANK($BV250,$BV$9:$BV$508,0),COUNT($BV$9:$BV$508)+1)))</f>
        <v/>
      </c>
      <c r="BX250" s="90" t="str">
        <f aca="false">IF($BL250&lt;&gt;Constants!$B$4,"",IF($BB250="-&gt;",$BK250,$BA250))</f>
        <v/>
      </c>
      <c r="BY250" s="86" t="str">
        <f aca="false">IF(ISBLANK($C250),"",IF($BL250&lt;&gt;Constants!$B$4,$BL250,IF(ISNUMBER($BX250),RANK($BX250,$BX$9:$BX$508,0),COUNT($BX$9:$BX$508)+1)))</f>
        <v/>
      </c>
      <c r="BZ250" s="86" t="str">
        <f aca="false">IF(ISBLANK($C250),"",IF($BL250&lt;&gt;Constants!$B$4,$BL250,COUNTIFS($BM$9:$BM$508,"&lt;"&amp;$BM250)+COUNTIFS($BM$9:$BM$508,$BM250,$BP$9:$BP$508,"&lt;"&amp;$BP250)+COUNTIFS($BM$9:$BM$508,$BM250,$BP$9:$BP$508,$BP250,$BS$9:$BS$508,"&lt;"&amp;$BS250)+COUNTIFS($BM$9:$BM$508,$BM250,$BP$9:$BP$508,$BP250,$BS$9:$BS$508,$BS250,$BU$9:$BU$508,"&lt;"&amp;$BU250)+COUNTIFS($BM$9:$BM$508,$BM250,$BP$9:$BP$508,$BP250,$BS$9:$BS$508,$BS250,$BU$9:$BU$508,$BU250,$BW$9:$BW$508,"&lt;"&amp;$BW250)+COUNTIFS($BM$9:$BM$508,$BM250,$BP$9:$BP$508,$BP250,$BS$9:$BS$508,$BS250,$BU$9:$BU$508,$BU250,$BW$9:$BW$508,$BW250,$BY$9:$BY$508,"&lt;"&amp;$BY250)+1))</f>
        <v/>
      </c>
      <c r="CA250" s="86" t="str">
        <f aca="false">IF(ISBLANK($C250),"",IF($BL250&lt;&gt;Constants!$B$4,$BL250,$BQ250-$BZ250))</f>
        <v/>
      </c>
      <c r="CB250" s="93"/>
      <c r="CC250" s="94" t="str">
        <f aca="false">IF(ISBLANK($C250),"",IF($BL250=Constants!$B$8,$AR250,""))</f>
        <v/>
      </c>
      <c r="CD250" s="94" t="str">
        <f aca="false">IF(ISBLANK($C250),"",IF($BL250&lt;&gt;Constants!$B$4,"",IF($BB250="-&gt;",2,1)))</f>
        <v/>
      </c>
      <c r="CE250" s="95" t="str">
        <f aca="false">IF(ISBLANK($C250),"",IF($BL250&lt;&gt;Constants!$B$4,"",IF($BB250="-&gt;",$BE250,$AU250)))</f>
        <v/>
      </c>
      <c r="CF250" s="95" t="str">
        <f aca="false">IF(ISBLANK($C250),"",IF($BL250&lt;&gt;Constants!$B$4,"",IF($BB250="-&gt;",$BF250,$AV250)))</f>
        <v/>
      </c>
      <c r="CG250" s="95" t="str">
        <f aca="false">IF(ISBLANK($C250),"",IF($BL250&lt;&gt;Constants!$B$4,"",IF($BB250="-&gt;",$BG250,$AW250)))</f>
        <v/>
      </c>
      <c r="CH250" s="95" t="str">
        <f aca="false">IF(ISBLANK($C250),"",IF($BL250&lt;&gt;Constants!$B$4,"",IF($BB250="-&gt;",$BH250,$AX250)))</f>
        <v/>
      </c>
      <c r="CI250" s="96" t="str">
        <f aca="false">IF(ISBLANK($C250),"",$BO250)</f>
        <v/>
      </c>
      <c r="CJ250" s="97" t="str">
        <f aca="false">IF(ISBLANK($C250),"",$BM250)</f>
        <v/>
      </c>
      <c r="CK250" s="98" t="str">
        <f aca="false">IF(ISBLANK($C250),"",$CA250)</f>
        <v/>
      </c>
      <c r="CL250" s="98" t="str">
        <f aca="false">IF(ISBLANK($C250),"",$BZ250)</f>
        <v/>
      </c>
      <c r="CM250" s="99" t="str">
        <f aca="false">IF(ISBLANK($C250),"",IF($CL250=Constants!$B$7,COUNTA($C$9:$C$508)+2,IF($CL250=Constants!$B$6,COUNTA($C$9:$C$508)+1,IF($CL250=Constants!$B$5,COUNTA($C$9:$C$508),$CL250))))</f>
        <v/>
      </c>
      <c r="CN250" s="8"/>
      <c r="CO250" s="100" t="n">
        <f aca="false">IF(OR(ISNUMBER($CL250),$CL250=Constants!$B$7,$CL250=Constants!$B$5,$CL250=Constants!$B$6),1,0)</f>
        <v>0</v>
      </c>
      <c r="CP250" s="100" t="n">
        <v>242</v>
      </c>
      <c r="CQ250" s="100" t="str">
        <f aca="false">IF(ISBLANK($C250),"",IF(ISNUMBER($CM250),$CM250+ROW($B250)/1000,""))</f>
        <v/>
      </c>
      <c r="CR250" s="100" t="str">
        <f aca="false">IF(ISNUMBER($CQ250),RANK($CQ250,$CQ$9:$CQ$508,1),"")</f>
        <v/>
      </c>
      <c r="CS250" s="100" t="str">
        <f aca="false">IF(ISBLANK($C250),"",$B250)</f>
        <v/>
      </c>
      <c r="CT250" s="100" t="str">
        <f aca="false">IF(ISBLANK($C250),"",$C250)</f>
        <v/>
      </c>
      <c r="CU250" s="100" t="str">
        <f aca="false">IF(ISBLANK($C250),"",$D250)</f>
        <v/>
      </c>
      <c r="CV250" s="101" t="str">
        <f aca="false">$CJ250</f>
        <v/>
      </c>
      <c r="CW250" s="102" t="str">
        <f aca="false">$CI250</f>
        <v/>
      </c>
      <c r="CX250" s="100" t="str">
        <f aca="false">IF(ISBLANK($C250),"",$CL250)</f>
        <v/>
      </c>
      <c r="CY250" s="103" t="str">
        <f aca="false">IF($CP250&gt;$CO$8,"",VLOOKUP($CP250,$CR$9:$CX$508,7,FALSE()))</f>
        <v/>
      </c>
      <c r="CZ250" s="104" t="str">
        <f aca="false">IF($CP250&gt;$CO$8,"",VLOOKUP($CP250,$CR$9:$CX$508,2,FALSE()))</f>
        <v/>
      </c>
      <c r="DA250" s="104" t="str">
        <f aca="false">IF($CP250&gt;$CO$8,"",VLOOKUP($CP250,$CR$9:$CX$508,3,FALSE()))</f>
        <v/>
      </c>
      <c r="DB250" s="104" t="str">
        <f aca="false">IF($CP250&gt;$CO$8,"",VLOOKUP($CP250,$CR$9:$CX$508,4,FALSE()))</f>
        <v/>
      </c>
      <c r="DC250" s="104" t="str">
        <f aca="false">IF($CP250&gt;$CO$8,"",VLOOKUP($CP250,$CR$9:$CX$508,5,FALSE()))</f>
        <v/>
      </c>
      <c r="DD250" s="105" t="str">
        <f aca="false">IF($CP250&gt;$CO$8,"",VLOOKUP($CP250,$CR$9:$CX$508,6,FALSE()))</f>
        <v/>
      </c>
      <c r="DE250" s="70"/>
    </row>
    <row r="251" customFormat="false" ht="15.75" hidden="false" customHeight="false" outlineLevel="0" collapsed="false">
      <c r="A251" s="8"/>
      <c r="B251" s="72"/>
      <c r="C251" s="73"/>
      <c r="D251" s="155"/>
      <c r="E251" s="162"/>
      <c r="F251" s="157"/>
      <c r="G251" s="77"/>
      <c r="H251" s="77"/>
      <c r="I251" s="77"/>
      <c r="J251" s="163"/>
      <c r="K251" s="161"/>
      <c r="L251" s="161"/>
      <c r="M251" s="80"/>
      <c r="N251" s="161"/>
      <c r="O251" s="160"/>
      <c r="P251" s="161"/>
      <c r="Q251" s="161"/>
      <c r="R251" s="161"/>
      <c r="S251" s="77"/>
      <c r="T251" s="161"/>
      <c r="U251" s="160"/>
      <c r="V251" s="161"/>
      <c r="W251" s="85"/>
      <c r="X251" s="86" t="str">
        <f aca="false">IF(ISBLANK($C251),"",IF($E251=Constants!$B$2,TRUE(),IF($E251=Constants!$B$3,FALSE(),TRUE())))</f>
        <v/>
      </c>
      <c r="Y251" s="86" t="str">
        <f aca="false">IF(ISBLANK($C251),"",IF($F251=Constants!$B$2,TRUE(),IF($F251=Constants!$B$3,FALSE(),TRUE())))</f>
        <v/>
      </c>
      <c r="Z251" s="87" t="str">
        <f aca="false">IF(ISBLANK($C251),"",IF(ISNUMBER($G251),IF($G251&gt;=0,$G251,""),""))</f>
        <v/>
      </c>
      <c r="AA251" s="87" t="str">
        <f aca="false">IF(ISBLANK($C251),"",IF(ISNUMBER($H251),IF($H251&gt;=0,$H251,""),""))</f>
        <v/>
      </c>
      <c r="AB251" s="87" t="str">
        <f aca="false">IF(ISBLANK($C251),"",IF(ISNUMBER($I251),IF($I251&gt;=0,$I251,""),""))</f>
        <v/>
      </c>
      <c r="AC251" s="86" t="str">
        <f aca="false">IF(ISBLANK($C251),"",IF($J251=Constants!$B$2,TRUE(),IF($J251=Constants!$B$3,FALSE(),TRUE())))</f>
        <v/>
      </c>
      <c r="AD251" s="86" t="str">
        <f aca="false">IF(ISBLANK($C251),"",IF($K251=Constants!$B$2,TRUE(),IF($K251=Constants!$B$3,FALSE(),TRUE())))</f>
        <v/>
      </c>
      <c r="AE251" s="86" t="str">
        <f aca="false">IF(ISBLANK($C251),"",IF($L251=Constants!$B$2,TRUE(),IF($L251=Constants!$B$3,FALSE(),TRUE())))</f>
        <v/>
      </c>
      <c r="AF251" s="88" t="str">
        <f aca="false">IF(ISBLANK($C251),"",IF(ISNUMBER($M251),IF($M251&gt;=0,$M251,""),""))</f>
        <v/>
      </c>
      <c r="AG251" s="86" t="str">
        <f aca="false">IF(ISBLANK($C251),"",IF(ISBLANK($N251),0,IF(ISNUMBER($N251),IF(AND($N251&gt;=0,$N251&lt;=Constants!$B$17,$N251=INT($N251)),$N251,""),"")))</f>
        <v/>
      </c>
      <c r="AH251" s="87" t="str">
        <f aca="false">IF(ISBLANK($C251),"",IF(ISBLANK($O251),0,IF(ISNUMBER($O251),IF($O251&gt;=0,$O251,""),"")))</f>
        <v/>
      </c>
      <c r="AI251" s="86" t="str">
        <f aca="false">IF(ISBLANK($C251),"",IF($P251=Constants!$B$2,TRUE(),IF($P251=Constants!$B$3,FALSE(),TRUE())))</f>
        <v/>
      </c>
      <c r="AJ251" s="86" t="str">
        <f aca="false">IF(ISBLANK($C251),"",IF($Q251=Constants!$B$2,TRUE(),IF($Q251=Constants!$B$3,FALSE(),TRUE())))</f>
        <v/>
      </c>
      <c r="AK251" s="86" t="str">
        <f aca="false">IF(ISBLANK($C251),"",IF($R251=Constants!$B$2,TRUE(),IF($R251=Constants!$B$3,FALSE(),TRUE())))</f>
        <v/>
      </c>
      <c r="AL251" s="88" t="str">
        <f aca="false">IF(ISBLANK($C251),"",IF(ISNUMBER($S251),IF($S251&gt;=0,$S251,""),""))</f>
        <v/>
      </c>
      <c r="AM251" s="86" t="str">
        <f aca="false">IF(ISBLANK($C251),"",IF(ISBLANK($T251),0,IF(ISNUMBER($T251),IF(AND($T251&gt;=0,$T251&lt;=Constants!$B$17,$T251=INT($T251)),$T251,""),"")))</f>
        <v/>
      </c>
      <c r="AN251" s="87" t="str">
        <f aca="false">IF(ISBLANK($C251),"",IF(ISBLANK($U251),0,IF(ISNUMBER($U251),IF($U251&gt;=0,$U251,""),"")))</f>
        <v/>
      </c>
      <c r="AO251" s="86" t="str">
        <f aca="false">IF(ISBLANK($C251),"",IF($V251=Constants!$B$2,TRUE(),IF($V251=Constants!$B$3,FALSE(),FALSE())))</f>
        <v/>
      </c>
      <c r="AP251" s="86"/>
      <c r="AQ251" s="85" t="str">
        <f aca="false">IF(ISBLANK($C251),"",AND($Y251,OR($AS251,$BC251),OR($Z251="",$AA251="",$AB251="")))</f>
        <v/>
      </c>
      <c r="AR251" s="85" t="str">
        <f aca="false">IF(ISBLANK($C251),"",IF(OR(NOT($Y251),NOT(OR($AS251,$BC251))),"",IF(ISBLANK($D$7),$AR$5,IF($AP$9="",$AR$6,""))))</f>
        <v/>
      </c>
      <c r="AS251" s="85" t="str">
        <f aca="false">IF(ISBLANK($C251),"",COUNTA($J251:$O251)&gt;0)</f>
        <v/>
      </c>
      <c r="AT251" s="85" t="str">
        <f aca="false">IF(ISBLANK($C251),"",AND($AS251,OR(AND($AF251="",OR($AE251,NOT(ISBLANK($M251)))),$AG251="",$AH251="")))</f>
        <v/>
      </c>
      <c r="AU251" s="87" t="str">
        <f aca="false">IF($BL251&lt;&gt;Constants!$B$4,"",IF(NOT($AS251),"",ROUND((Constants!$B$12-$AB251)+(Constants!$B$13-$Z251)+(Constants!$B$14-$AA251),1)))</f>
        <v/>
      </c>
      <c r="AV251" s="90" t="str">
        <f aca="false">IF($BL251&lt;&gt;Constants!$B$4,"",IF(NOT($AS251),"",IF(NOT($AE251),0,Constants!$B$15*(INT(ROUND(MIN($AF251,$AP$9),6))-INT(ROUND(MAX(0,MIN($AF251,2*$AP$9)-$AP$9),6))))))</f>
        <v/>
      </c>
      <c r="AW251" s="90" t="str">
        <f aca="false">IF($BL251&lt;&gt;Constants!$B$4,"",IF(NOT($AS251),"",Constants!$B$16*$AG251))</f>
        <v/>
      </c>
      <c r="AX251" s="90" t="str">
        <f aca="false">IF($BL251&lt;&gt;Constants!$B$4,"",IF(NOT($AS251),"",Constants!$B$18*INT(ROUND($AH251,6))))</f>
        <v/>
      </c>
      <c r="AY251" s="85" t="str">
        <f aca="false">IF($BL251&lt;&gt;Constants!$B$4,"",IF(NOT($AS251),"",IF(NOT($X251),Constants!$B$11,IF(OR(NOT($AC251),NOT($AD251),ROUND($AB251,1)&gt;Constants!$B$12,ROUND($Z251,1)&gt;Constants!$B$13,ROUND($AA251,1)&gt;Constants!$B$14),Constants!$B$10,Constants!$B$9))))</f>
        <v/>
      </c>
      <c r="AZ251" s="91" t="str">
        <f aca="false">IF($BL251&lt;&gt;Constants!$B$4,"",IF(NOT($AS251),"",ROUND($AU251+$AV251+$AW251+$AX251,1)))</f>
        <v/>
      </c>
      <c r="BA251" s="92" t="str">
        <f aca="false">IF($BL251&lt;&gt;Constants!$B$4,"",IF(NOT($AS251),"",IF(ISNUMBER($AF251),$AF251,0)))</f>
        <v/>
      </c>
      <c r="BB251" s="86" t="str">
        <f aca="false">IF($BL251&lt;&gt;Constants!$B$4,"",IF(NOT($BC251),"&lt;-",IF(NOT($AS251),"-&gt;",IF(OR($BI251&lt;$AY251,AND($BI251=$AY251,OR($BJ251&gt;$AZ251,AND($BJ251=$AZ251,OR($BH251&gt;$AX251,AND($BH251=$AX251,OR($BE251&gt;$AU251,AND($BE251=$AU251,OR($BF251&gt;$AV251,AND($BF251=$AV251,$BK251&gt;$BA251)))))))))),"-&gt;","&lt;-"))))</f>
        <v/>
      </c>
      <c r="BC251" s="85" t="str">
        <f aca="false">IF(ISBLANK($C251),"",COUNTA($P251:$U251)&gt;0)</f>
        <v/>
      </c>
      <c r="BD251" s="85" t="str">
        <f aca="false">IF(ISBLANK($C251),"",AND($BC251,OR(AND($AL251="",OR($AK251,NOT(ISBLANK($S251)))),$AM251="",$AN251="")))</f>
        <v/>
      </c>
      <c r="BE251" s="87" t="str">
        <f aca="false">IF($BL251&lt;&gt;Constants!$B$4,"",IF(NOT($BC251),"",ROUND((Constants!$B$12-$AB251)+(Constants!$B$13-$Z251)+(Constants!$B$14-$AA251),1)))</f>
        <v/>
      </c>
      <c r="BF251" s="90" t="str">
        <f aca="false">IF($BL251&lt;&gt;Constants!$B$4,"",IF(NOT($BC251),"",IF(NOT($AK251),0,Constants!$B$15*(INT(ROUND(MIN($AL251,$AP$9),6))-INT(ROUND(MAX(0,MIN($AL251,2*$AP$9)-$AP$9),6))))))</f>
        <v/>
      </c>
      <c r="BG251" s="90" t="str">
        <f aca="false">IF($BL251&lt;&gt;Constants!$B$4,"",IF(NOT($BC251),"",Constants!$B$16*$AM251))</f>
        <v/>
      </c>
      <c r="BH251" s="90" t="str">
        <f aca="false">IF($BL251&lt;&gt;Constants!$B$4,"",IF(NOT($BC251),"",Constants!$B$18*INT(ROUND($AN251,6))))</f>
        <v/>
      </c>
      <c r="BI251" s="85" t="str">
        <f aca="false">IF($BL251&lt;&gt;Constants!$B$4,"",IF(NOT($BC251),"",IF(NOT($X251),Constants!$B$11,IF(OR(NOT($AI251),NOT($AJ251),ROUND($AB251,1)&gt;Constants!$B$12,ROUND($Z251,1)&gt;Constants!$B$13,ROUND($AA251,1)&gt;Constants!$B$14),Constants!$B$10,Constants!$B$9))))</f>
        <v/>
      </c>
      <c r="BJ251" s="91" t="str">
        <f aca="false">IF($BL251&lt;&gt;Constants!$B$4,"",IF(NOT($BC251),"",ROUND($BE251+$BF251+$BG251+$BH251,1)))</f>
        <v/>
      </c>
      <c r="BK251" s="92" t="str">
        <f aca="false">IF($BL251&lt;&gt;Constants!$B$4,"",IF(NOT($BC251),"",IF(ISNUMBER($AL251),$AL251,0)))</f>
        <v/>
      </c>
      <c r="BL251" s="86" t="str">
        <f aca="false">IF(ISBLANK($C251),"",IF($AO251,Constants!$B$7,IF(COUNTA($E251:$V251)=0,Constants!$B$6,IF(NOT($Y251),Constants!$B$5,IF(NOT(OR($AS251,$BC251)),Constants!$B$5,IF(OR($AT251,$BD251,$AQ251,$AR251&lt;&gt;""),Constants!$B$8,Constants!$B$4))))))</f>
        <v/>
      </c>
      <c r="BM251" s="86" t="str">
        <f aca="false">IF(ISBLANK($C251),"",IF($BL251&lt;&gt;Constants!$B$4,$BL251,IF($BB251="-&gt;",$BI251,$AY251)))</f>
        <v/>
      </c>
      <c r="BN251" s="90" t="str">
        <f aca="false">IF($BL251&lt;&gt;Constants!$B$4,"",IF($BB251="-&gt;",$BJ251,$AZ251))</f>
        <v/>
      </c>
      <c r="BO251" s="90" t="str">
        <f aca="false">IF(ISBLANK($C251),"",IF($BL251&lt;&gt;Constants!$B$4,$BL251,$BN251))</f>
        <v/>
      </c>
      <c r="BP251" s="86" t="str">
        <f aca="false">IF(ISBLANK($C251),"",IF($BL251&lt;&gt;Constants!$B$4,$BL251,RANK($BO251,$BO$9:$BO$508,0)))</f>
        <v/>
      </c>
      <c r="BQ251" s="86" t="str">
        <f aca="false">IF(ISBLANK($C251),"",IF($BL251&lt;&gt;Constants!$B$4,$BL251,COUNTIFS($BM$9:$BM$508,"&lt;"&amp;$BM251)+COUNTIFS($BM$9:$BM$508,$BM251,$BP$9:$BP$508,"&lt;"&amp;$BP251)+1))</f>
        <v/>
      </c>
      <c r="BR251" s="90" t="str">
        <f aca="false">IF($BL251&lt;&gt;Constants!$B$4,"",IF($BB251="-&gt;",$BH251,$AX251))</f>
        <v/>
      </c>
      <c r="BS251" s="86" t="str">
        <f aca="false">IF(ISBLANK($C251),"",IF($BL251&lt;&gt;Constants!$B$4,$BL251,IF(ISNUMBER($BR251),RANK($BR251,$BR$9:$BR$508,0),COUNT($BR$9:$BR$508)+1)))</f>
        <v/>
      </c>
      <c r="BT251" s="90" t="str">
        <f aca="false">IF($BL251&lt;&gt;Constants!$B$4,"",IF($BB251="-&gt;",$BE251,$AU251))</f>
        <v/>
      </c>
      <c r="BU251" s="86" t="str">
        <f aca="false">IF(ISBLANK($C251),"",IF($BL251&lt;&gt;Constants!$B$4,$BL251,IF(ISNUMBER($BT251),RANK($BT251,$BT$9:$BT$508,0),COUNT($BT$9:$BT$508)+1)))</f>
        <v/>
      </c>
      <c r="BV251" s="90" t="str">
        <f aca="false">IF($BL251&lt;&gt;Constants!$B$4,"",IF($BB251="-&gt;",$BF251,$AV251))</f>
        <v/>
      </c>
      <c r="BW251" s="86" t="str">
        <f aca="false">IF(ISBLANK($C251),"",IF($BL251&lt;&gt;Constants!$B$4,$BL251,IF(ISNUMBER($BV251),RANK($BV251,$BV$9:$BV$508,0),COUNT($BV$9:$BV$508)+1)))</f>
        <v/>
      </c>
      <c r="BX251" s="90" t="str">
        <f aca="false">IF($BL251&lt;&gt;Constants!$B$4,"",IF($BB251="-&gt;",$BK251,$BA251))</f>
        <v/>
      </c>
      <c r="BY251" s="86" t="str">
        <f aca="false">IF(ISBLANK($C251),"",IF($BL251&lt;&gt;Constants!$B$4,$BL251,IF(ISNUMBER($BX251),RANK($BX251,$BX$9:$BX$508,0),COUNT($BX$9:$BX$508)+1)))</f>
        <v/>
      </c>
      <c r="BZ251" s="86" t="str">
        <f aca="false">IF(ISBLANK($C251),"",IF($BL251&lt;&gt;Constants!$B$4,$BL251,COUNTIFS($BM$9:$BM$508,"&lt;"&amp;$BM251)+COUNTIFS($BM$9:$BM$508,$BM251,$BP$9:$BP$508,"&lt;"&amp;$BP251)+COUNTIFS($BM$9:$BM$508,$BM251,$BP$9:$BP$508,$BP251,$BS$9:$BS$508,"&lt;"&amp;$BS251)+COUNTIFS($BM$9:$BM$508,$BM251,$BP$9:$BP$508,$BP251,$BS$9:$BS$508,$BS251,$BU$9:$BU$508,"&lt;"&amp;$BU251)+COUNTIFS($BM$9:$BM$508,$BM251,$BP$9:$BP$508,$BP251,$BS$9:$BS$508,$BS251,$BU$9:$BU$508,$BU251,$BW$9:$BW$508,"&lt;"&amp;$BW251)+COUNTIFS($BM$9:$BM$508,$BM251,$BP$9:$BP$508,$BP251,$BS$9:$BS$508,$BS251,$BU$9:$BU$508,$BU251,$BW$9:$BW$508,$BW251,$BY$9:$BY$508,"&lt;"&amp;$BY251)+1))</f>
        <v/>
      </c>
      <c r="CA251" s="86" t="str">
        <f aca="false">IF(ISBLANK($C251),"",IF($BL251&lt;&gt;Constants!$B$4,$BL251,$BQ251-$BZ251))</f>
        <v/>
      </c>
      <c r="CB251" s="93"/>
      <c r="CC251" s="94" t="str">
        <f aca="false">IF(ISBLANK($C251),"",IF($BL251=Constants!$B$8,$AR251,""))</f>
        <v/>
      </c>
      <c r="CD251" s="94" t="str">
        <f aca="false">IF(ISBLANK($C251),"",IF($BL251&lt;&gt;Constants!$B$4,"",IF($BB251="-&gt;",2,1)))</f>
        <v/>
      </c>
      <c r="CE251" s="95" t="str">
        <f aca="false">IF(ISBLANK($C251),"",IF($BL251&lt;&gt;Constants!$B$4,"",IF($BB251="-&gt;",$BE251,$AU251)))</f>
        <v/>
      </c>
      <c r="CF251" s="95" t="str">
        <f aca="false">IF(ISBLANK($C251),"",IF($BL251&lt;&gt;Constants!$B$4,"",IF($BB251="-&gt;",$BF251,$AV251)))</f>
        <v/>
      </c>
      <c r="CG251" s="95" t="str">
        <f aca="false">IF(ISBLANK($C251),"",IF($BL251&lt;&gt;Constants!$B$4,"",IF($BB251="-&gt;",$BG251,$AW251)))</f>
        <v/>
      </c>
      <c r="CH251" s="95" t="str">
        <f aca="false">IF(ISBLANK($C251),"",IF($BL251&lt;&gt;Constants!$B$4,"",IF($BB251="-&gt;",$BH251,$AX251)))</f>
        <v/>
      </c>
      <c r="CI251" s="96" t="str">
        <f aca="false">IF(ISBLANK($C251),"",$BO251)</f>
        <v/>
      </c>
      <c r="CJ251" s="97" t="str">
        <f aca="false">IF(ISBLANK($C251),"",$BM251)</f>
        <v/>
      </c>
      <c r="CK251" s="98" t="str">
        <f aca="false">IF(ISBLANK($C251),"",$CA251)</f>
        <v/>
      </c>
      <c r="CL251" s="98" t="str">
        <f aca="false">IF(ISBLANK($C251),"",$BZ251)</f>
        <v/>
      </c>
      <c r="CM251" s="99" t="str">
        <f aca="false">IF(ISBLANK($C251),"",IF($CL251=Constants!$B$7,COUNTA($C$9:$C$508)+2,IF($CL251=Constants!$B$6,COUNTA($C$9:$C$508)+1,IF($CL251=Constants!$B$5,COUNTA($C$9:$C$508),$CL251))))</f>
        <v/>
      </c>
      <c r="CN251" s="8"/>
      <c r="CO251" s="100" t="n">
        <f aca="false">IF(OR(ISNUMBER($CL251),$CL251=Constants!$B$7,$CL251=Constants!$B$5,$CL251=Constants!$B$6),1,0)</f>
        <v>0</v>
      </c>
      <c r="CP251" s="100" t="n">
        <v>243</v>
      </c>
      <c r="CQ251" s="100" t="str">
        <f aca="false">IF(ISBLANK($C251),"",IF(ISNUMBER($CM251),$CM251+ROW($B251)/1000,""))</f>
        <v/>
      </c>
      <c r="CR251" s="100" t="str">
        <f aca="false">IF(ISNUMBER($CQ251),RANK($CQ251,$CQ$9:$CQ$508,1),"")</f>
        <v/>
      </c>
      <c r="CS251" s="100" t="str">
        <f aca="false">IF(ISBLANK($C251),"",$B251)</f>
        <v/>
      </c>
      <c r="CT251" s="100" t="str">
        <f aca="false">IF(ISBLANK($C251),"",$C251)</f>
        <v/>
      </c>
      <c r="CU251" s="100" t="str">
        <f aca="false">IF(ISBLANK($C251),"",$D251)</f>
        <v/>
      </c>
      <c r="CV251" s="101" t="str">
        <f aca="false">$CJ251</f>
        <v/>
      </c>
      <c r="CW251" s="102" t="str">
        <f aca="false">$CI251</f>
        <v/>
      </c>
      <c r="CX251" s="100" t="str">
        <f aca="false">IF(ISBLANK($C251),"",$CL251)</f>
        <v/>
      </c>
      <c r="CY251" s="103" t="str">
        <f aca="false">IF($CP251&gt;$CO$8,"",VLOOKUP($CP251,$CR$9:$CX$508,7,FALSE()))</f>
        <v/>
      </c>
      <c r="CZ251" s="104" t="str">
        <f aca="false">IF($CP251&gt;$CO$8,"",VLOOKUP($CP251,$CR$9:$CX$508,2,FALSE()))</f>
        <v/>
      </c>
      <c r="DA251" s="104" t="str">
        <f aca="false">IF($CP251&gt;$CO$8,"",VLOOKUP($CP251,$CR$9:$CX$508,3,FALSE()))</f>
        <v/>
      </c>
      <c r="DB251" s="104" t="str">
        <f aca="false">IF($CP251&gt;$CO$8,"",VLOOKUP($CP251,$CR$9:$CX$508,4,FALSE()))</f>
        <v/>
      </c>
      <c r="DC251" s="104" t="str">
        <f aca="false">IF($CP251&gt;$CO$8,"",VLOOKUP($CP251,$CR$9:$CX$508,5,FALSE()))</f>
        <v/>
      </c>
      <c r="DD251" s="105" t="str">
        <f aca="false">IF($CP251&gt;$CO$8,"",VLOOKUP($CP251,$CR$9:$CX$508,6,FALSE()))</f>
        <v/>
      </c>
      <c r="DE251" s="70"/>
    </row>
    <row r="252" customFormat="false" ht="15.75" hidden="false" customHeight="false" outlineLevel="0" collapsed="false">
      <c r="A252" s="8"/>
      <c r="B252" s="146"/>
      <c r="C252" s="147"/>
      <c r="D252" s="148"/>
      <c r="E252" s="164"/>
      <c r="F252" s="150"/>
      <c r="G252" s="115"/>
      <c r="H252" s="115"/>
      <c r="I252" s="115"/>
      <c r="J252" s="165"/>
      <c r="K252" s="154"/>
      <c r="L252" s="154"/>
      <c r="M252" s="118"/>
      <c r="N252" s="154"/>
      <c r="O252" s="153"/>
      <c r="P252" s="154"/>
      <c r="Q252" s="154"/>
      <c r="R252" s="154"/>
      <c r="S252" s="115"/>
      <c r="T252" s="154"/>
      <c r="U252" s="153"/>
      <c r="V252" s="154"/>
      <c r="W252" s="123"/>
      <c r="X252" s="124" t="str">
        <f aca="false">IF(ISBLANK($C252),"",IF($E252=Constants!$B$2,TRUE(),IF($E252=Constants!$B$3,FALSE(),TRUE())))</f>
        <v/>
      </c>
      <c r="Y252" s="124" t="str">
        <f aca="false">IF(ISBLANK($C252),"",IF($F252=Constants!$B$2,TRUE(),IF($F252=Constants!$B$3,FALSE(),TRUE())))</f>
        <v/>
      </c>
      <c r="Z252" s="125" t="str">
        <f aca="false">IF(ISBLANK($C252),"",IF(ISNUMBER($G252),IF($G252&gt;=0,$G252,""),""))</f>
        <v/>
      </c>
      <c r="AA252" s="125" t="str">
        <f aca="false">IF(ISBLANK($C252),"",IF(ISNUMBER($H252),IF($H252&gt;=0,$H252,""),""))</f>
        <v/>
      </c>
      <c r="AB252" s="125" t="str">
        <f aca="false">IF(ISBLANK($C252),"",IF(ISNUMBER($I252),IF($I252&gt;=0,$I252,""),""))</f>
        <v/>
      </c>
      <c r="AC252" s="124" t="str">
        <f aca="false">IF(ISBLANK($C252),"",IF($J252=Constants!$B$2,TRUE(),IF($J252=Constants!$B$3,FALSE(),TRUE())))</f>
        <v/>
      </c>
      <c r="AD252" s="124" t="str">
        <f aca="false">IF(ISBLANK($C252),"",IF($K252=Constants!$B$2,TRUE(),IF($K252=Constants!$B$3,FALSE(),TRUE())))</f>
        <v/>
      </c>
      <c r="AE252" s="124" t="str">
        <f aca="false">IF(ISBLANK($C252),"",IF($L252=Constants!$B$2,TRUE(),IF($L252=Constants!$B$3,FALSE(),TRUE())))</f>
        <v/>
      </c>
      <c r="AF252" s="126" t="str">
        <f aca="false">IF(ISBLANK($C252),"",IF(ISNUMBER($M252),IF($M252&gt;=0,$M252,""),""))</f>
        <v/>
      </c>
      <c r="AG252" s="124" t="str">
        <f aca="false">IF(ISBLANK($C252),"",IF(ISBLANK($N252),0,IF(ISNUMBER($N252),IF(AND($N252&gt;=0,$N252&lt;=Constants!$B$17,$N252=INT($N252)),$N252,""),"")))</f>
        <v/>
      </c>
      <c r="AH252" s="125" t="str">
        <f aca="false">IF(ISBLANK($C252),"",IF(ISBLANK($O252),0,IF(ISNUMBER($O252),IF($O252&gt;=0,$O252,""),"")))</f>
        <v/>
      </c>
      <c r="AI252" s="124" t="str">
        <f aca="false">IF(ISBLANK($C252),"",IF($P252=Constants!$B$2,TRUE(),IF($P252=Constants!$B$3,FALSE(),TRUE())))</f>
        <v/>
      </c>
      <c r="AJ252" s="124" t="str">
        <f aca="false">IF(ISBLANK($C252),"",IF($Q252=Constants!$B$2,TRUE(),IF($Q252=Constants!$B$3,FALSE(),TRUE())))</f>
        <v/>
      </c>
      <c r="AK252" s="124" t="str">
        <f aca="false">IF(ISBLANK($C252),"",IF($R252=Constants!$B$2,TRUE(),IF($R252=Constants!$B$3,FALSE(),TRUE())))</f>
        <v/>
      </c>
      <c r="AL252" s="126" t="str">
        <f aca="false">IF(ISBLANK($C252),"",IF(ISNUMBER($S252),IF($S252&gt;=0,$S252,""),""))</f>
        <v/>
      </c>
      <c r="AM252" s="124" t="str">
        <f aca="false">IF(ISBLANK($C252),"",IF(ISBLANK($T252),0,IF(ISNUMBER($T252),IF(AND($T252&gt;=0,$T252&lt;=Constants!$B$17,$T252=INT($T252)),$T252,""),"")))</f>
        <v/>
      </c>
      <c r="AN252" s="125" t="str">
        <f aca="false">IF(ISBLANK($C252),"",IF(ISBLANK($U252),0,IF(ISNUMBER($U252),IF($U252&gt;=0,$U252,""),"")))</f>
        <v/>
      </c>
      <c r="AO252" s="124" t="str">
        <f aca="false">IF(ISBLANK($C252),"",IF($V252=Constants!$B$2,TRUE(),IF($V252=Constants!$B$3,FALSE(),FALSE())))</f>
        <v/>
      </c>
      <c r="AP252" s="124"/>
      <c r="AQ252" s="123" t="str">
        <f aca="false">IF(ISBLANK($C252),"",AND($Y252,OR($AS252,$BC252),OR($Z252="",$AA252="",$AB252="")))</f>
        <v/>
      </c>
      <c r="AR252" s="123" t="str">
        <f aca="false">IF(ISBLANK($C252),"",IF(OR(NOT($Y252),NOT(OR($AS252,$BC252))),"",IF(ISBLANK($D$7),$AR$5,IF($AP$9="",$AR$6,""))))</f>
        <v/>
      </c>
      <c r="AS252" s="123" t="str">
        <f aca="false">IF(ISBLANK($C252),"",COUNTA($J252:$O252)&gt;0)</f>
        <v/>
      </c>
      <c r="AT252" s="123" t="str">
        <f aca="false">IF(ISBLANK($C252),"",AND($AS252,OR(AND($AF252="",OR($AE252,NOT(ISBLANK($M252)))),$AG252="",$AH252="")))</f>
        <v/>
      </c>
      <c r="AU252" s="125" t="str">
        <f aca="false">IF($BL252&lt;&gt;Constants!$B$4,"",IF(NOT($AS252),"",ROUND((Constants!$B$12-$AB252)+(Constants!$B$13-$Z252)+(Constants!$B$14-$AA252),1)))</f>
        <v/>
      </c>
      <c r="AV252" s="127" t="str">
        <f aca="false">IF($BL252&lt;&gt;Constants!$B$4,"",IF(NOT($AS252),"",IF(NOT($AE252),0,Constants!$B$15*(INT(ROUND(MIN($AF252,$AP$9),6))-INT(ROUND(MAX(0,MIN($AF252,2*$AP$9)-$AP$9),6))))))</f>
        <v/>
      </c>
      <c r="AW252" s="127" t="str">
        <f aca="false">IF($BL252&lt;&gt;Constants!$B$4,"",IF(NOT($AS252),"",Constants!$B$16*$AG252))</f>
        <v/>
      </c>
      <c r="AX252" s="127" t="str">
        <f aca="false">IF($BL252&lt;&gt;Constants!$B$4,"",IF(NOT($AS252),"",Constants!$B$18*INT(ROUND($AH252,6))))</f>
        <v/>
      </c>
      <c r="AY252" s="123" t="str">
        <f aca="false">IF($BL252&lt;&gt;Constants!$B$4,"",IF(NOT($AS252),"",IF(NOT($X252),Constants!$B$11,IF(OR(NOT($AC252),NOT($AD252),ROUND($AB252,1)&gt;Constants!$B$12,ROUND($Z252,1)&gt;Constants!$B$13,ROUND($AA252,1)&gt;Constants!$B$14),Constants!$B$10,Constants!$B$9))))</f>
        <v/>
      </c>
      <c r="AZ252" s="128" t="str">
        <f aca="false">IF($BL252&lt;&gt;Constants!$B$4,"",IF(NOT($AS252),"",ROUND($AU252+$AV252+$AW252+$AX252,1)))</f>
        <v/>
      </c>
      <c r="BA252" s="129" t="str">
        <f aca="false">IF($BL252&lt;&gt;Constants!$B$4,"",IF(NOT($AS252),"",IF(ISNUMBER($AF252),$AF252,0)))</f>
        <v/>
      </c>
      <c r="BB252" s="124" t="str">
        <f aca="false">IF($BL252&lt;&gt;Constants!$B$4,"",IF(NOT($BC252),"&lt;-",IF(NOT($AS252),"-&gt;",IF(OR($BI252&lt;$AY252,AND($BI252=$AY252,OR($BJ252&gt;$AZ252,AND($BJ252=$AZ252,OR($BH252&gt;$AX252,AND($BH252=$AX252,OR($BE252&gt;$AU252,AND($BE252=$AU252,OR($BF252&gt;$AV252,AND($BF252=$AV252,$BK252&gt;$BA252)))))))))),"-&gt;","&lt;-"))))</f>
        <v/>
      </c>
      <c r="BC252" s="123" t="str">
        <f aca="false">IF(ISBLANK($C252),"",COUNTA($P252:$U252)&gt;0)</f>
        <v/>
      </c>
      <c r="BD252" s="123" t="str">
        <f aca="false">IF(ISBLANK($C252),"",AND($BC252,OR(AND($AL252="",OR($AK252,NOT(ISBLANK($S252)))),$AM252="",$AN252="")))</f>
        <v/>
      </c>
      <c r="BE252" s="125" t="str">
        <f aca="false">IF($BL252&lt;&gt;Constants!$B$4,"",IF(NOT($BC252),"",ROUND((Constants!$B$12-$AB252)+(Constants!$B$13-$Z252)+(Constants!$B$14-$AA252),1)))</f>
        <v/>
      </c>
      <c r="BF252" s="127" t="str">
        <f aca="false">IF($BL252&lt;&gt;Constants!$B$4,"",IF(NOT($BC252),"",IF(NOT($AK252),0,Constants!$B$15*(INT(ROUND(MIN($AL252,$AP$9),6))-INT(ROUND(MAX(0,MIN($AL252,2*$AP$9)-$AP$9),6))))))</f>
        <v/>
      </c>
      <c r="BG252" s="127" t="str">
        <f aca="false">IF($BL252&lt;&gt;Constants!$B$4,"",IF(NOT($BC252),"",Constants!$B$16*$AM252))</f>
        <v/>
      </c>
      <c r="BH252" s="127" t="str">
        <f aca="false">IF($BL252&lt;&gt;Constants!$B$4,"",IF(NOT($BC252),"",Constants!$B$18*INT(ROUND($AN252,6))))</f>
        <v/>
      </c>
      <c r="BI252" s="123" t="str">
        <f aca="false">IF($BL252&lt;&gt;Constants!$B$4,"",IF(NOT($BC252),"",IF(NOT($X252),Constants!$B$11,IF(OR(NOT($AI252),NOT($AJ252),ROUND($AB252,1)&gt;Constants!$B$12,ROUND($Z252,1)&gt;Constants!$B$13,ROUND($AA252,1)&gt;Constants!$B$14),Constants!$B$10,Constants!$B$9))))</f>
        <v/>
      </c>
      <c r="BJ252" s="128" t="str">
        <f aca="false">IF($BL252&lt;&gt;Constants!$B$4,"",IF(NOT($BC252),"",ROUND($BE252+$BF252+$BG252+$BH252,1)))</f>
        <v/>
      </c>
      <c r="BK252" s="129" t="str">
        <f aca="false">IF($BL252&lt;&gt;Constants!$B$4,"",IF(NOT($BC252),"",IF(ISNUMBER($AL252),$AL252,0)))</f>
        <v/>
      </c>
      <c r="BL252" s="124" t="str">
        <f aca="false">IF(ISBLANK($C252),"",IF($AO252,Constants!$B$7,IF(COUNTA($E252:$V252)=0,Constants!$B$6,IF(NOT($Y252),Constants!$B$5,IF(NOT(OR($AS252,$BC252)),Constants!$B$5,IF(OR($AT252,$BD252,$AQ252,$AR252&lt;&gt;""),Constants!$B$8,Constants!$B$4))))))</f>
        <v/>
      </c>
      <c r="BM252" s="124" t="str">
        <f aca="false">IF(ISBLANK($C252),"",IF($BL252&lt;&gt;Constants!$B$4,$BL252,IF($BB252="-&gt;",$BI252,$AY252)))</f>
        <v/>
      </c>
      <c r="BN252" s="127" t="str">
        <f aca="false">IF($BL252&lt;&gt;Constants!$B$4,"",IF($BB252="-&gt;",$BJ252,$AZ252))</f>
        <v/>
      </c>
      <c r="BO252" s="127" t="str">
        <f aca="false">IF(ISBLANK($C252),"",IF($BL252&lt;&gt;Constants!$B$4,$BL252,$BN252))</f>
        <v/>
      </c>
      <c r="BP252" s="124" t="str">
        <f aca="false">IF(ISBLANK($C252),"",IF($BL252&lt;&gt;Constants!$B$4,$BL252,RANK($BO252,$BO$9:$BO$508,0)))</f>
        <v/>
      </c>
      <c r="BQ252" s="124" t="str">
        <f aca="false">IF(ISBLANK($C252),"",IF($BL252&lt;&gt;Constants!$B$4,$BL252,COUNTIFS($BM$9:$BM$508,"&lt;"&amp;$BM252)+COUNTIFS($BM$9:$BM$508,$BM252,$BP$9:$BP$508,"&lt;"&amp;$BP252)+1))</f>
        <v/>
      </c>
      <c r="BR252" s="127" t="str">
        <f aca="false">IF($BL252&lt;&gt;Constants!$B$4,"",IF($BB252="-&gt;",$BH252,$AX252))</f>
        <v/>
      </c>
      <c r="BS252" s="124" t="str">
        <f aca="false">IF(ISBLANK($C252),"",IF($BL252&lt;&gt;Constants!$B$4,$BL252,IF(ISNUMBER($BR252),RANK($BR252,$BR$9:$BR$508,0),COUNT($BR$9:$BR$508)+1)))</f>
        <v/>
      </c>
      <c r="BT252" s="127" t="str">
        <f aca="false">IF($BL252&lt;&gt;Constants!$B$4,"",IF($BB252="-&gt;",$BE252,$AU252))</f>
        <v/>
      </c>
      <c r="BU252" s="124" t="str">
        <f aca="false">IF(ISBLANK($C252),"",IF($BL252&lt;&gt;Constants!$B$4,$BL252,IF(ISNUMBER($BT252),RANK($BT252,$BT$9:$BT$508,0),COUNT($BT$9:$BT$508)+1)))</f>
        <v/>
      </c>
      <c r="BV252" s="127" t="str">
        <f aca="false">IF($BL252&lt;&gt;Constants!$B$4,"",IF($BB252="-&gt;",$BF252,$AV252))</f>
        <v/>
      </c>
      <c r="BW252" s="124" t="str">
        <f aca="false">IF(ISBLANK($C252),"",IF($BL252&lt;&gt;Constants!$B$4,$BL252,IF(ISNUMBER($BV252),RANK($BV252,$BV$9:$BV$508,0),COUNT($BV$9:$BV$508)+1)))</f>
        <v/>
      </c>
      <c r="BX252" s="127" t="str">
        <f aca="false">IF($BL252&lt;&gt;Constants!$B$4,"",IF($BB252="-&gt;",$BK252,$BA252))</f>
        <v/>
      </c>
      <c r="BY252" s="124" t="str">
        <f aca="false">IF(ISBLANK($C252),"",IF($BL252&lt;&gt;Constants!$B$4,$BL252,IF(ISNUMBER($BX252),RANK($BX252,$BX$9:$BX$508,0),COUNT($BX$9:$BX$508)+1)))</f>
        <v/>
      </c>
      <c r="BZ252" s="124" t="str">
        <f aca="false">IF(ISBLANK($C252),"",IF($BL252&lt;&gt;Constants!$B$4,$BL252,COUNTIFS($BM$9:$BM$508,"&lt;"&amp;$BM252)+COUNTIFS($BM$9:$BM$508,$BM252,$BP$9:$BP$508,"&lt;"&amp;$BP252)+COUNTIFS($BM$9:$BM$508,$BM252,$BP$9:$BP$508,$BP252,$BS$9:$BS$508,"&lt;"&amp;$BS252)+COUNTIFS($BM$9:$BM$508,$BM252,$BP$9:$BP$508,$BP252,$BS$9:$BS$508,$BS252,$BU$9:$BU$508,"&lt;"&amp;$BU252)+COUNTIFS($BM$9:$BM$508,$BM252,$BP$9:$BP$508,$BP252,$BS$9:$BS$508,$BS252,$BU$9:$BU$508,$BU252,$BW$9:$BW$508,"&lt;"&amp;$BW252)+COUNTIFS($BM$9:$BM$508,$BM252,$BP$9:$BP$508,$BP252,$BS$9:$BS$508,$BS252,$BU$9:$BU$508,$BU252,$BW$9:$BW$508,$BW252,$BY$9:$BY$508,"&lt;"&amp;$BY252)+1))</f>
        <v/>
      </c>
      <c r="CA252" s="124" t="str">
        <f aca="false">IF(ISBLANK($C252),"",IF($BL252&lt;&gt;Constants!$B$4,$BL252,$BQ252-$BZ252))</f>
        <v/>
      </c>
      <c r="CB252" s="130"/>
      <c r="CC252" s="131" t="str">
        <f aca="false">IF(ISBLANK($C252),"",IF($BL252=Constants!$B$8,$AR252,""))</f>
        <v/>
      </c>
      <c r="CD252" s="131" t="str">
        <f aca="false">IF(ISBLANK($C252),"",IF($BL252&lt;&gt;Constants!$B$4,"",IF($BB252="-&gt;",2,1)))</f>
        <v/>
      </c>
      <c r="CE252" s="132" t="str">
        <f aca="false">IF(ISBLANK($C252),"",IF($BL252&lt;&gt;Constants!$B$4,"",IF($BB252="-&gt;",$BE252,$AU252)))</f>
        <v/>
      </c>
      <c r="CF252" s="132" t="str">
        <f aca="false">IF(ISBLANK($C252),"",IF($BL252&lt;&gt;Constants!$B$4,"",IF($BB252="-&gt;",$BF252,$AV252)))</f>
        <v/>
      </c>
      <c r="CG252" s="132" t="str">
        <f aca="false">IF(ISBLANK($C252),"",IF($BL252&lt;&gt;Constants!$B$4,"",IF($BB252="-&gt;",$BG252,$AW252)))</f>
        <v/>
      </c>
      <c r="CH252" s="132" t="str">
        <f aca="false">IF(ISBLANK($C252),"",IF($BL252&lt;&gt;Constants!$B$4,"",IF($BB252="-&gt;",$BH252,$AX252)))</f>
        <v/>
      </c>
      <c r="CI252" s="133" t="str">
        <f aca="false">IF(ISBLANK($C252),"",$BO252)</f>
        <v/>
      </c>
      <c r="CJ252" s="134" t="str">
        <f aca="false">IF(ISBLANK($C252),"",$BM252)</f>
        <v/>
      </c>
      <c r="CK252" s="135" t="str">
        <f aca="false">IF(ISBLANK($C252),"",$CA252)</f>
        <v/>
      </c>
      <c r="CL252" s="135" t="str">
        <f aca="false">IF(ISBLANK($C252),"",$BZ252)</f>
        <v/>
      </c>
      <c r="CM252" s="136" t="str">
        <f aca="false">IF(ISBLANK($C252),"",IF($CL252=Constants!$B$7,COUNTA($C$9:$C$508)+2,IF($CL252=Constants!$B$6,COUNTA($C$9:$C$508)+1,IF($CL252=Constants!$B$5,COUNTA($C$9:$C$508),$CL252))))</f>
        <v/>
      </c>
      <c r="CN252" s="8"/>
      <c r="CO252" s="137" t="n">
        <f aca="false">IF(OR(ISNUMBER($CL252),$CL252=Constants!$B$7,$CL252=Constants!$B$5,$CL252=Constants!$B$6),1,0)</f>
        <v>0</v>
      </c>
      <c r="CP252" s="137" t="n">
        <v>244</v>
      </c>
      <c r="CQ252" s="137" t="str">
        <f aca="false">IF(ISBLANK($C252),"",IF(ISNUMBER($CM252),$CM252+ROW($B252)/1000,""))</f>
        <v/>
      </c>
      <c r="CR252" s="137" t="str">
        <f aca="false">IF(ISNUMBER($CQ252),RANK($CQ252,$CQ$9:$CQ$508,1),"")</f>
        <v/>
      </c>
      <c r="CS252" s="137" t="str">
        <f aca="false">IF(ISBLANK($C252),"",$B252)</f>
        <v/>
      </c>
      <c r="CT252" s="137" t="str">
        <f aca="false">IF(ISBLANK($C252),"",$C252)</f>
        <v/>
      </c>
      <c r="CU252" s="137" t="str">
        <f aca="false">IF(ISBLANK($C252),"",$D252)</f>
        <v/>
      </c>
      <c r="CV252" s="138" t="str">
        <f aca="false">$CJ252</f>
        <v/>
      </c>
      <c r="CW252" s="139" t="str">
        <f aca="false">$CI252</f>
        <v/>
      </c>
      <c r="CX252" s="137" t="str">
        <f aca="false">IF(ISBLANK($C252),"",$CL252)</f>
        <v/>
      </c>
      <c r="CY252" s="140" t="str">
        <f aca="false">IF($CP252&gt;$CO$8,"",VLOOKUP($CP252,$CR$9:$CX$508,7,FALSE()))</f>
        <v/>
      </c>
      <c r="CZ252" s="141" t="str">
        <f aca="false">IF($CP252&gt;$CO$8,"",VLOOKUP($CP252,$CR$9:$CX$508,2,FALSE()))</f>
        <v/>
      </c>
      <c r="DA252" s="141" t="str">
        <f aca="false">IF($CP252&gt;$CO$8,"",VLOOKUP($CP252,$CR$9:$CX$508,3,FALSE()))</f>
        <v/>
      </c>
      <c r="DB252" s="141" t="str">
        <f aca="false">IF($CP252&gt;$CO$8,"",VLOOKUP($CP252,$CR$9:$CX$508,4,FALSE()))</f>
        <v/>
      </c>
      <c r="DC252" s="141" t="str">
        <f aca="false">IF($CP252&gt;$CO$8,"",VLOOKUP($CP252,$CR$9:$CX$508,5,FALSE()))</f>
        <v/>
      </c>
      <c r="DD252" s="142" t="str">
        <f aca="false">IF($CP252&gt;$CO$8,"",VLOOKUP($CP252,$CR$9:$CX$508,6,FALSE()))</f>
        <v/>
      </c>
      <c r="DE252" s="70"/>
    </row>
    <row r="253" customFormat="false" ht="15.75" hidden="false" customHeight="false" outlineLevel="0" collapsed="false">
      <c r="A253" s="8"/>
      <c r="B253" s="146"/>
      <c r="C253" s="147"/>
      <c r="D253" s="148"/>
      <c r="E253" s="164"/>
      <c r="F253" s="150"/>
      <c r="G253" s="115"/>
      <c r="H253" s="115"/>
      <c r="I253" s="115"/>
      <c r="J253" s="165"/>
      <c r="K253" s="154"/>
      <c r="L253" s="154"/>
      <c r="M253" s="118"/>
      <c r="N253" s="154"/>
      <c r="O253" s="153"/>
      <c r="P253" s="154"/>
      <c r="Q253" s="154"/>
      <c r="R253" s="154"/>
      <c r="S253" s="115"/>
      <c r="T253" s="154"/>
      <c r="U253" s="153"/>
      <c r="V253" s="154"/>
      <c r="W253" s="123"/>
      <c r="X253" s="124" t="str">
        <f aca="false">IF(ISBLANK($C253),"",IF($E253=Constants!$B$2,TRUE(),IF($E253=Constants!$B$3,FALSE(),TRUE())))</f>
        <v/>
      </c>
      <c r="Y253" s="124" t="str">
        <f aca="false">IF(ISBLANK($C253),"",IF($F253=Constants!$B$2,TRUE(),IF($F253=Constants!$B$3,FALSE(),TRUE())))</f>
        <v/>
      </c>
      <c r="Z253" s="125" t="str">
        <f aca="false">IF(ISBLANK($C253),"",IF(ISNUMBER($G253),IF($G253&gt;=0,$G253,""),""))</f>
        <v/>
      </c>
      <c r="AA253" s="125" t="str">
        <f aca="false">IF(ISBLANK($C253),"",IF(ISNUMBER($H253),IF($H253&gt;=0,$H253,""),""))</f>
        <v/>
      </c>
      <c r="AB253" s="125" t="str">
        <f aca="false">IF(ISBLANK($C253),"",IF(ISNUMBER($I253),IF($I253&gt;=0,$I253,""),""))</f>
        <v/>
      </c>
      <c r="AC253" s="124" t="str">
        <f aca="false">IF(ISBLANK($C253),"",IF($J253=Constants!$B$2,TRUE(),IF($J253=Constants!$B$3,FALSE(),TRUE())))</f>
        <v/>
      </c>
      <c r="AD253" s="124" t="str">
        <f aca="false">IF(ISBLANK($C253),"",IF($K253=Constants!$B$2,TRUE(),IF($K253=Constants!$B$3,FALSE(),TRUE())))</f>
        <v/>
      </c>
      <c r="AE253" s="124" t="str">
        <f aca="false">IF(ISBLANK($C253),"",IF($L253=Constants!$B$2,TRUE(),IF($L253=Constants!$B$3,FALSE(),TRUE())))</f>
        <v/>
      </c>
      <c r="AF253" s="126" t="str">
        <f aca="false">IF(ISBLANK($C253),"",IF(ISNUMBER($M253),IF($M253&gt;=0,$M253,""),""))</f>
        <v/>
      </c>
      <c r="AG253" s="124" t="str">
        <f aca="false">IF(ISBLANK($C253),"",IF(ISBLANK($N253),0,IF(ISNUMBER($N253),IF(AND($N253&gt;=0,$N253&lt;=Constants!$B$17,$N253=INT($N253)),$N253,""),"")))</f>
        <v/>
      </c>
      <c r="AH253" s="125" t="str">
        <f aca="false">IF(ISBLANK($C253),"",IF(ISBLANK($O253),0,IF(ISNUMBER($O253),IF($O253&gt;=0,$O253,""),"")))</f>
        <v/>
      </c>
      <c r="AI253" s="124" t="str">
        <f aca="false">IF(ISBLANK($C253),"",IF($P253=Constants!$B$2,TRUE(),IF($P253=Constants!$B$3,FALSE(),TRUE())))</f>
        <v/>
      </c>
      <c r="AJ253" s="124" t="str">
        <f aca="false">IF(ISBLANK($C253),"",IF($Q253=Constants!$B$2,TRUE(),IF($Q253=Constants!$B$3,FALSE(),TRUE())))</f>
        <v/>
      </c>
      <c r="AK253" s="124" t="str">
        <f aca="false">IF(ISBLANK($C253),"",IF($R253=Constants!$B$2,TRUE(),IF($R253=Constants!$B$3,FALSE(),TRUE())))</f>
        <v/>
      </c>
      <c r="AL253" s="126" t="str">
        <f aca="false">IF(ISBLANK($C253),"",IF(ISNUMBER($S253),IF($S253&gt;=0,$S253,""),""))</f>
        <v/>
      </c>
      <c r="AM253" s="124" t="str">
        <f aca="false">IF(ISBLANK($C253),"",IF(ISBLANK($T253),0,IF(ISNUMBER($T253),IF(AND($T253&gt;=0,$T253&lt;=Constants!$B$17,$T253=INT($T253)),$T253,""),"")))</f>
        <v/>
      </c>
      <c r="AN253" s="125" t="str">
        <f aca="false">IF(ISBLANK($C253),"",IF(ISBLANK($U253),0,IF(ISNUMBER($U253),IF($U253&gt;=0,$U253,""),"")))</f>
        <v/>
      </c>
      <c r="AO253" s="124" t="str">
        <f aca="false">IF(ISBLANK($C253),"",IF($V253=Constants!$B$2,TRUE(),IF($V253=Constants!$B$3,FALSE(),FALSE())))</f>
        <v/>
      </c>
      <c r="AP253" s="124"/>
      <c r="AQ253" s="123" t="str">
        <f aca="false">IF(ISBLANK($C253),"",AND($Y253,OR($AS253,$BC253),OR($Z253="",$AA253="",$AB253="")))</f>
        <v/>
      </c>
      <c r="AR253" s="123" t="str">
        <f aca="false">IF(ISBLANK($C253),"",IF(OR(NOT($Y253),NOT(OR($AS253,$BC253))),"",IF(ISBLANK($D$7),$AR$5,IF($AP$9="",$AR$6,""))))</f>
        <v/>
      </c>
      <c r="AS253" s="123" t="str">
        <f aca="false">IF(ISBLANK($C253),"",COUNTA($J253:$O253)&gt;0)</f>
        <v/>
      </c>
      <c r="AT253" s="123" t="str">
        <f aca="false">IF(ISBLANK($C253),"",AND($AS253,OR(AND($AF253="",OR($AE253,NOT(ISBLANK($M253)))),$AG253="",$AH253="")))</f>
        <v/>
      </c>
      <c r="AU253" s="125" t="str">
        <f aca="false">IF($BL253&lt;&gt;Constants!$B$4,"",IF(NOT($AS253),"",ROUND((Constants!$B$12-$AB253)+(Constants!$B$13-$Z253)+(Constants!$B$14-$AA253),1)))</f>
        <v/>
      </c>
      <c r="AV253" s="127" t="str">
        <f aca="false">IF($BL253&lt;&gt;Constants!$B$4,"",IF(NOT($AS253),"",IF(NOT($AE253),0,Constants!$B$15*(INT(ROUND(MIN($AF253,$AP$9),6))-INT(ROUND(MAX(0,MIN($AF253,2*$AP$9)-$AP$9),6))))))</f>
        <v/>
      </c>
      <c r="AW253" s="127" t="str">
        <f aca="false">IF($BL253&lt;&gt;Constants!$B$4,"",IF(NOT($AS253),"",Constants!$B$16*$AG253))</f>
        <v/>
      </c>
      <c r="AX253" s="127" t="str">
        <f aca="false">IF($BL253&lt;&gt;Constants!$B$4,"",IF(NOT($AS253),"",Constants!$B$18*INT(ROUND($AH253,6))))</f>
        <v/>
      </c>
      <c r="AY253" s="123" t="str">
        <f aca="false">IF($BL253&lt;&gt;Constants!$B$4,"",IF(NOT($AS253),"",IF(NOT($X253),Constants!$B$11,IF(OR(NOT($AC253),NOT($AD253),ROUND($AB253,1)&gt;Constants!$B$12,ROUND($Z253,1)&gt;Constants!$B$13,ROUND($AA253,1)&gt;Constants!$B$14),Constants!$B$10,Constants!$B$9))))</f>
        <v/>
      </c>
      <c r="AZ253" s="128" t="str">
        <f aca="false">IF($BL253&lt;&gt;Constants!$B$4,"",IF(NOT($AS253),"",ROUND($AU253+$AV253+$AW253+$AX253,1)))</f>
        <v/>
      </c>
      <c r="BA253" s="129" t="str">
        <f aca="false">IF($BL253&lt;&gt;Constants!$B$4,"",IF(NOT($AS253),"",IF(ISNUMBER($AF253),$AF253,0)))</f>
        <v/>
      </c>
      <c r="BB253" s="124" t="str">
        <f aca="false">IF($BL253&lt;&gt;Constants!$B$4,"",IF(NOT($BC253),"&lt;-",IF(NOT($AS253),"-&gt;",IF(OR($BI253&lt;$AY253,AND($BI253=$AY253,OR($BJ253&gt;$AZ253,AND($BJ253=$AZ253,OR($BH253&gt;$AX253,AND($BH253=$AX253,OR($BE253&gt;$AU253,AND($BE253=$AU253,OR($BF253&gt;$AV253,AND($BF253=$AV253,$BK253&gt;$BA253)))))))))),"-&gt;","&lt;-"))))</f>
        <v/>
      </c>
      <c r="BC253" s="123" t="str">
        <f aca="false">IF(ISBLANK($C253),"",COUNTA($P253:$U253)&gt;0)</f>
        <v/>
      </c>
      <c r="BD253" s="123" t="str">
        <f aca="false">IF(ISBLANK($C253),"",AND($BC253,OR(AND($AL253="",OR($AK253,NOT(ISBLANK($S253)))),$AM253="",$AN253="")))</f>
        <v/>
      </c>
      <c r="BE253" s="125" t="str">
        <f aca="false">IF($BL253&lt;&gt;Constants!$B$4,"",IF(NOT($BC253),"",ROUND((Constants!$B$12-$AB253)+(Constants!$B$13-$Z253)+(Constants!$B$14-$AA253),1)))</f>
        <v/>
      </c>
      <c r="BF253" s="127" t="str">
        <f aca="false">IF($BL253&lt;&gt;Constants!$B$4,"",IF(NOT($BC253),"",IF(NOT($AK253),0,Constants!$B$15*(INT(ROUND(MIN($AL253,$AP$9),6))-INT(ROUND(MAX(0,MIN($AL253,2*$AP$9)-$AP$9),6))))))</f>
        <v/>
      </c>
      <c r="BG253" s="127" t="str">
        <f aca="false">IF($BL253&lt;&gt;Constants!$B$4,"",IF(NOT($BC253),"",Constants!$B$16*$AM253))</f>
        <v/>
      </c>
      <c r="BH253" s="127" t="str">
        <f aca="false">IF($BL253&lt;&gt;Constants!$B$4,"",IF(NOT($BC253),"",Constants!$B$18*INT(ROUND($AN253,6))))</f>
        <v/>
      </c>
      <c r="BI253" s="123" t="str">
        <f aca="false">IF($BL253&lt;&gt;Constants!$B$4,"",IF(NOT($BC253),"",IF(NOT($X253),Constants!$B$11,IF(OR(NOT($AI253),NOT($AJ253),ROUND($AB253,1)&gt;Constants!$B$12,ROUND($Z253,1)&gt;Constants!$B$13,ROUND($AA253,1)&gt;Constants!$B$14),Constants!$B$10,Constants!$B$9))))</f>
        <v/>
      </c>
      <c r="BJ253" s="128" t="str">
        <f aca="false">IF($BL253&lt;&gt;Constants!$B$4,"",IF(NOT($BC253),"",ROUND($BE253+$BF253+$BG253+$BH253,1)))</f>
        <v/>
      </c>
      <c r="BK253" s="129" t="str">
        <f aca="false">IF($BL253&lt;&gt;Constants!$B$4,"",IF(NOT($BC253),"",IF(ISNUMBER($AL253),$AL253,0)))</f>
        <v/>
      </c>
      <c r="BL253" s="124" t="str">
        <f aca="false">IF(ISBLANK($C253),"",IF($AO253,Constants!$B$7,IF(COUNTA($E253:$V253)=0,Constants!$B$6,IF(NOT($Y253),Constants!$B$5,IF(NOT(OR($AS253,$BC253)),Constants!$B$5,IF(OR($AT253,$BD253,$AQ253,$AR253&lt;&gt;""),Constants!$B$8,Constants!$B$4))))))</f>
        <v/>
      </c>
      <c r="BM253" s="124" t="str">
        <f aca="false">IF(ISBLANK($C253),"",IF($BL253&lt;&gt;Constants!$B$4,$BL253,IF($BB253="-&gt;",$BI253,$AY253)))</f>
        <v/>
      </c>
      <c r="BN253" s="127" t="str">
        <f aca="false">IF($BL253&lt;&gt;Constants!$B$4,"",IF($BB253="-&gt;",$BJ253,$AZ253))</f>
        <v/>
      </c>
      <c r="BO253" s="127" t="str">
        <f aca="false">IF(ISBLANK($C253),"",IF($BL253&lt;&gt;Constants!$B$4,$BL253,$BN253))</f>
        <v/>
      </c>
      <c r="BP253" s="124" t="str">
        <f aca="false">IF(ISBLANK($C253),"",IF($BL253&lt;&gt;Constants!$B$4,$BL253,RANK($BO253,$BO$9:$BO$508,0)))</f>
        <v/>
      </c>
      <c r="BQ253" s="124" t="str">
        <f aca="false">IF(ISBLANK($C253),"",IF($BL253&lt;&gt;Constants!$B$4,$BL253,COUNTIFS($BM$9:$BM$508,"&lt;"&amp;$BM253)+COUNTIFS($BM$9:$BM$508,$BM253,$BP$9:$BP$508,"&lt;"&amp;$BP253)+1))</f>
        <v/>
      </c>
      <c r="BR253" s="127" t="str">
        <f aca="false">IF($BL253&lt;&gt;Constants!$B$4,"",IF($BB253="-&gt;",$BH253,$AX253))</f>
        <v/>
      </c>
      <c r="BS253" s="124" t="str">
        <f aca="false">IF(ISBLANK($C253),"",IF($BL253&lt;&gt;Constants!$B$4,$BL253,IF(ISNUMBER($BR253),RANK($BR253,$BR$9:$BR$508,0),COUNT($BR$9:$BR$508)+1)))</f>
        <v/>
      </c>
      <c r="BT253" s="127" t="str">
        <f aca="false">IF($BL253&lt;&gt;Constants!$B$4,"",IF($BB253="-&gt;",$BE253,$AU253))</f>
        <v/>
      </c>
      <c r="BU253" s="124" t="str">
        <f aca="false">IF(ISBLANK($C253),"",IF($BL253&lt;&gt;Constants!$B$4,$BL253,IF(ISNUMBER($BT253),RANK($BT253,$BT$9:$BT$508,0),COUNT($BT$9:$BT$508)+1)))</f>
        <v/>
      </c>
      <c r="BV253" s="127" t="str">
        <f aca="false">IF($BL253&lt;&gt;Constants!$B$4,"",IF($BB253="-&gt;",$BF253,$AV253))</f>
        <v/>
      </c>
      <c r="BW253" s="124" t="str">
        <f aca="false">IF(ISBLANK($C253),"",IF($BL253&lt;&gt;Constants!$B$4,$BL253,IF(ISNUMBER($BV253),RANK($BV253,$BV$9:$BV$508,0),COUNT($BV$9:$BV$508)+1)))</f>
        <v/>
      </c>
      <c r="BX253" s="127" t="str">
        <f aca="false">IF($BL253&lt;&gt;Constants!$B$4,"",IF($BB253="-&gt;",$BK253,$BA253))</f>
        <v/>
      </c>
      <c r="BY253" s="124" t="str">
        <f aca="false">IF(ISBLANK($C253),"",IF($BL253&lt;&gt;Constants!$B$4,$BL253,IF(ISNUMBER($BX253),RANK($BX253,$BX$9:$BX$508,0),COUNT($BX$9:$BX$508)+1)))</f>
        <v/>
      </c>
      <c r="BZ253" s="124" t="str">
        <f aca="false">IF(ISBLANK($C253),"",IF($BL253&lt;&gt;Constants!$B$4,$BL253,COUNTIFS($BM$9:$BM$508,"&lt;"&amp;$BM253)+COUNTIFS($BM$9:$BM$508,$BM253,$BP$9:$BP$508,"&lt;"&amp;$BP253)+COUNTIFS($BM$9:$BM$508,$BM253,$BP$9:$BP$508,$BP253,$BS$9:$BS$508,"&lt;"&amp;$BS253)+COUNTIFS($BM$9:$BM$508,$BM253,$BP$9:$BP$508,$BP253,$BS$9:$BS$508,$BS253,$BU$9:$BU$508,"&lt;"&amp;$BU253)+COUNTIFS($BM$9:$BM$508,$BM253,$BP$9:$BP$508,$BP253,$BS$9:$BS$508,$BS253,$BU$9:$BU$508,$BU253,$BW$9:$BW$508,"&lt;"&amp;$BW253)+COUNTIFS($BM$9:$BM$508,$BM253,$BP$9:$BP$508,$BP253,$BS$9:$BS$508,$BS253,$BU$9:$BU$508,$BU253,$BW$9:$BW$508,$BW253,$BY$9:$BY$508,"&lt;"&amp;$BY253)+1))</f>
        <v/>
      </c>
      <c r="CA253" s="124" t="str">
        <f aca="false">IF(ISBLANK($C253),"",IF($BL253&lt;&gt;Constants!$B$4,$BL253,$BQ253-$BZ253))</f>
        <v/>
      </c>
      <c r="CB253" s="130"/>
      <c r="CC253" s="131" t="str">
        <f aca="false">IF(ISBLANK($C253),"",IF($BL253=Constants!$B$8,$AR253,""))</f>
        <v/>
      </c>
      <c r="CD253" s="131" t="str">
        <f aca="false">IF(ISBLANK($C253),"",IF($BL253&lt;&gt;Constants!$B$4,"",IF($BB253="-&gt;",2,1)))</f>
        <v/>
      </c>
      <c r="CE253" s="132" t="str">
        <f aca="false">IF(ISBLANK($C253),"",IF($BL253&lt;&gt;Constants!$B$4,"",IF($BB253="-&gt;",$BE253,$AU253)))</f>
        <v/>
      </c>
      <c r="CF253" s="132" t="str">
        <f aca="false">IF(ISBLANK($C253),"",IF($BL253&lt;&gt;Constants!$B$4,"",IF($BB253="-&gt;",$BF253,$AV253)))</f>
        <v/>
      </c>
      <c r="CG253" s="132" t="str">
        <f aca="false">IF(ISBLANK($C253),"",IF($BL253&lt;&gt;Constants!$B$4,"",IF($BB253="-&gt;",$BG253,$AW253)))</f>
        <v/>
      </c>
      <c r="CH253" s="132" t="str">
        <f aca="false">IF(ISBLANK($C253),"",IF($BL253&lt;&gt;Constants!$B$4,"",IF($BB253="-&gt;",$BH253,$AX253)))</f>
        <v/>
      </c>
      <c r="CI253" s="133" t="str">
        <f aca="false">IF(ISBLANK($C253),"",$BO253)</f>
        <v/>
      </c>
      <c r="CJ253" s="134" t="str">
        <f aca="false">IF(ISBLANK($C253),"",$BM253)</f>
        <v/>
      </c>
      <c r="CK253" s="135" t="str">
        <f aca="false">IF(ISBLANK($C253),"",$CA253)</f>
        <v/>
      </c>
      <c r="CL253" s="135" t="str">
        <f aca="false">IF(ISBLANK($C253),"",$BZ253)</f>
        <v/>
      </c>
      <c r="CM253" s="136" t="str">
        <f aca="false">IF(ISBLANK($C253),"",IF($CL253=Constants!$B$7,COUNTA($C$9:$C$508)+2,IF($CL253=Constants!$B$6,COUNTA($C$9:$C$508)+1,IF($CL253=Constants!$B$5,COUNTA($C$9:$C$508),$CL253))))</f>
        <v/>
      </c>
      <c r="CN253" s="8"/>
      <c r="CO253" s="137" t="n">
        <f aca="false">IF(OR(ISNUMBER($CL253),$CL253=Constants!$B$7,$CL253=Constants!$B$5,$CL253=Constants!$B$6),1,0)</f>
        <v>0</v>
      </c>
      <c r="CP253" s="137" t="n">
        <v>245</v>
      </c>
      <c r="CQ253" s="137" t="str">
        <f aca="false">IF(ISBLANK($C253),"",IF(ISNUMBER($CM253),$CM253+ROW($B253)/1000,""))</f>
        <v/>
      </c>
      <c r="CR253" s="137" t="str">
        <f aca="false">IF(ISNUMBER($CQ253),RANK($CQ253,$CQ$9:$CQ$508,1),"")</f>
        <v/>
      </c>
      <c r="CS253" s="137" t="str">
        <f aca="false">IF(ISBLANK($C253),"",$B253)</f>
        <v/>
      </c>
      <c r="CT253" s="137" t="str">
        <f aca="false">IF(ISBLANK($C253),"",$C253)</f>
        <v/>
      </c>
      <c r="CU253" s="137" t="str">
        <f aca="false">IF(ISBLANK($C253),"",$D253)</f>
        <v/>
      </c>
      <c r="CV253" s="138" t="str">
        <f aca="false">$CJ253</f>
        <v/>
      </c>
      <c r="CW253" s="139" t="str">
        <f aca="false">$CI253</f>
        <v/>
      </c>
      <c r="CX253" s="137" t="str">
        <f aca="false">IF(ISBLANK($C253),"",$CL253)</f>
        <v/>
      </c>
      <c r="CY253" s="140" t="str">
        <f aca="false">IF($CP253&gt;$CO$8,"",VLOOKUP($CP253,$CR$9:$CX$508,7,FALSE()))</f>
        <v/>
      </c>
      <c r="CZ253" s="141" t="str">
        <f aca="false">IF($CP253&gt;$CO$8,"",VLOOKUP($CP253,$CR$9:$CX$508,2,FALSE()))</f>
        <v/>
      </c>
      <c r="DA253" s="141" t="str">
        <f aca="false">IF($CP253&gt;$CO$8,"",VLOOKUP($CP253,$CR$9:$CX$508,3,FALSE()))</f>
        <v/>
      </c>
      <c r="DB253" s="141" t="str">
        <f aca="false">IF($CP253&gt;$CO$8,"",VLOOKUP($CP253,$CR$9:$CX$508,4,FALSE()))</f>
        <v/>
      </c>
      <c r="DC253" s="141" t="str">
        <f aca="false">IF($CP253&gt;$CO$8,"",VLOOKUP($CP253,$CR$9:$CX$508,5,FALSE()))</f>
        <v/>
      </c>
      <c r="DD253" s="142" t="str">
        <f aca="false">IF($CP253&gt;$CO$8,"",VLOOKUP($CP253,$CR$9:$CX$508,6,FALSE()))</f>
        <v/>
      </c>
      <c r="DE253" s="70"/>
    </row>
    <row r="254" customFormat="false" ht="15.75" hidden="false" customHeight="false" outlineLevel="0" collapsed="false">
      <c r="A254" s="8"/>
      <c r="B254" s="146"/>
      <c r="C254" s="147"/>
      <c r="D254" s="148"/>
      <c r="E254" s="164"/>
      <c r="F254" s="150"/>
      <c r="G254" s="115"/>
      <c r="H254" s="115"/>
      <c r="I254" s="115"/>
      <c r="J254" s="165"/>
      <c r="K254" s="154"/>
      <c r="L254" s="154"/>
      <c r="M254" s="118"/>
      <c r="N254" s="154"/>
      <c r="O254" s="153"/>
      <c r="P254" s="154"/>
      <c r="Q254" s="154"/>
      <c r="R254" s="154"/>
      <c r="S254" s="115"/>
      <c r="T254" s="154"/>
      <c r="U254" s="153"/>
      <c r="V254" s="154"/>
      <c r="W254" s="123"/>
      <c r="X254" s="124" t="str">
        <f aca="false">IF(ISBLANK($C254),"",IF($E254=Constants!$B$2,TRUE(),IF($E254=Constants!$B$3,FALSE(),TRUE())))</f>
        <v/>
      </c>
      <c r="Y254" s="124" t="str">
        <f aca="false">IF(ISBLANK($C254),"",IF($F254=Constants!$B$2,TRUE(),IF($F254=Constants!$B$3,FALSE(),TRUE())))</f>
        <v/>
      </c>
      <c r="Z254" s="125" t="str">
        <f aca="false">IF(ISBLANK($C254),"",IF(ISNUMBER($G254),IF($G254&gt;=0,$G254,""),""))</f>
        <v/>
      </c>
      <c r="AA254" s="125" t="str">
        <f aca="false">IF(ISBLANK($C254),"",IF(ISNUMBER($H254),IF($H254&gt;=0,$H254,""),""))</f>
        <v/>
      </c>
      <c r="AB254" s="125" t="str">
        <f aca="false">IF(ISBLANK($C254),"",IF(ISNUMBER($I254),IF($I254&gt;=0,$I254,""),""))</f>
        <v/>
      </c>
      <c r="AC254" s="124" t="str">
        <f aca="false">IF(ISBLANK($C254),"",IF($J254=Constants!$B$2,TRUE(),IF($J254=Constants!$B$3,FALSE(),TRUE())))</f>
        <v/>
      </c>
      <c r="AD254" s="124" t="str">
        <f aca="false">IF(ISBLANK($C254),"",IF($K254=Constants!$B$2,TRUE(),IF($K254=Constants!$B$3,FALSE(),TRUE())))</f>
        <v/>
      </c>
      <c r="AE254" s="124" t="str">
        <f aca="false">IF(ISBLANK($C254),"",IF($L254=Constants!$B$2,TRUE(),IF($L254=Constants!$B$3,FALSE(),TRUE())))</f>
        <v/>
      </c>
      <c r="AF254" s="126" t="str">
        <f aca="false">IF(ISBLANK($C254),"",IF(ISNUMBER($M254),IF($M254&gt;=0,$M254,""),""))</f>
        <v/>
      </c>
      <c r="AG254" s="124" t="str">
        <f aca="false">IF(ISBLANK($C254),"",IF(ISBLANK($N254),0,IF(ISNUMBER($N254),IF(AND($N254&gt;=0,$N254&lt;=Constants!$B$17,$N254=INT($N254)),$N254,""),"")))</f>
        <v/>
      </c>
      <c r="AH254" s="125" t="str">
        <f aca="false">IF(ISBLANK($C254),"",IF(ISBLANK($O254),0,IF(ISNUMBER($O254),IF($O254&gt;=0,$O254,""),"")))</f>
        <v/>
      </c>
      <c r="AI254" s="124" t="str">
        <f aca="false">IF(ISBLANK($C254),"",IF($P254=Constants!$B$2,TRUE(),IF($P254=Constants!$B$3,FALSE(),TRUE())))</f>
        <v/>
      </c>
      <c r="AJ254" s="124" t="str">
        <f aca="false">IF(ISBLANK($C254),"",IF($Q254=Constants!$B$2,TRUE(),IF($Q254=Constants!$B$3,FALSE(),TRUE())))</f>
        <v/>
      </c>
      <c r="AK254" s="124" t="str">
        <f aca="false">IF(ISBLANK($C254),"",IF($R254=Constants!$B$2,TRUE(),IF($R254=Constants!$B$3,FALSE(),TRUE())))</f>
        <v/>
      </c>
      <c r="AL254" s="126" t="str">
        <f aca="false">IF(ISBLANK($C254),"",IF(ISNUMBER($S254),IF($S254&gt;=0,$S254,""),""))</f>
        <v/>
      </c>
      <c r="AM254" s="124" t="str">
        <f aca="false">IF(ISBLANK($C254),"",IF(ISBLANK($T254),0,IF(ISNUMBER($T254),IF(AND($T254&gt;=0,$T254&lt;=Constants!$B$17,$T254=INT($T254)),$T254,""),"")))</f>
        <v/>
      </c>
      <c r="AN254" s="125" t="str">
        <f aca="false">IF(ISBLANK($C254),"",IF(ISBLANK($U254),0,IF(ISNUMBER($U254),IF($U254&gt;=0,$U254,""),"")))</f>
        <v/>
      </c>
      <c r="AO254" s="124" t="str">
        <f aca="false">IF(ISBLANK($C254),"",IF($V254=Constants!$B$2,TRUE(),IF($V254=Constants!$B$3,FALSE(),FALSE())))</f>
        <v/>
      </c>
      <c r="AP254" s="124"/>
      <c r="AQ254" s="123" t="str">
        <f aca="false">IF(ISBLANK($C254),"",AND($Y254,OR($AS254,$BC254),OR($Z254="",$AA254="",$AB254="")))</f>
        <v/>
      </c>
      <c r="AR254" s="123" t="str">
        <f aca="false">IF(ISBLANK($C254),"",IF(OR(NOT($Y254),NOT(OR($AS254,$BC254))),"",IF(ISBLANK($D$7),$AR$5,IF($AP$9="",$AR$6,""))))</f>
        <v/>
      </c>
      <c r="AS254" s="123" t="str">
        <f aca="false">IF(ISBLANK($C254),"",COUNTA($J254:$O254)&gt;0)</f>
        <v/>
      </c>
      <c r="AT254" s="123" t="str">
        <f aca="false">IF(ISBLANK($C254),"",AND($AS254,OR(AND($AF254="",OR($AE254,NOT(ISBLANK($M254)))),$AG254="",$AH254="")))</f>
        <v/>
      </c>
      <c r="AU254" s="125" t="str">
        <f aca="false">IF($BL254&lt;&gt;Constants!$B$4,"",IF(NOT($AS254),"",ROUND((Constants!$B$12-$AB254)+(Constants!$B$13-$Z254)+(Constants!$B$14-$AA254),1)))</f>
        <v/>
      </c>
      <c r="AV254" s="127" t="str">
        <f aca="false">IF($BL254&lt;&gt;Constants!$B$4,"",IF(NOT($AS254),"",IF(NOT($AE254),0,Constants!$B$15*(INT(ROUND(MIN($AF254,$AP$9),6))-INT(ROUND(MAX(0,MIN($AF254,2*$AP$9)-$AP$9),6))))))</f>
        <v/>
      </c>
      <c r="AW254" s="127" t="str">
        <f aca="false">IF($BL254&lt;&gt;Constants!$B$4,"",IF(NOT($AS254),"",Constants!$B$16*$AG254))</f>
        <v/>
      </c>
      <c r="AX254" s="127" t="str">
        <f aca="false">IF($BL254&lt;&gt;Constants!$B$4,"",IF(NOT($AS254),"",Constants!$B$18*INT(ROUND($AH254,6))))</f>
        <v/>
      </c>
      <c r="AY254" s="123" t="str">
        <f aca="false">IF($BL254&lt;&gt;Constants!$B$4,"",IF(NOT($AS254),"",IF(NOT($X254),Constants!$B$11,IF(OR(NOT($AC254),NOT($AD254),ROUND($AB254,1)&gt;Constants!$B$12,ROUND($Z254,1)&gt;Constants!$B$13,ROUND($AA254,1)&gt;Constants!$B$14),Constants!$B$10,Constants!$B$9))))</f>
        <v/>
      </c>
      <c r="AZ254" s="128" t="str">
        <f aca="false">IF($BL254&lt;&gt;Constants!$B$4,"",IF(NOT($AS254),"",ROUND($AU254+$AV254+$AW254+$AX254,1)))</f>
        <v/>
      </c>
      <c r="BA254" s="129" t="str">
        <f aca="false">IF($BL254&lt;&gt;Constants!$B$4,"",IF(NOT($AS254),"",IF(ISNUMBER($AF254),$AF254,0)))</f>
        <v/>
      </c>
      <c r="BB254" s="124" t="str">
        <f aca="false">IF($BL254&lt;&gt;Constants!$B$4,"",IF(NOT($BC254),"&lt;-",IF(NOT($AS254),"-&gt;",IF(OR($BI254&lt;$AY254,AND($BI254=$AY254,OR($BJ254&gt;$AZ254,AND($BJ254=$AZ254,OR($BH254&gt;$AX254,AND($BH254=$AX254,OR($BE254&gt;$AU254,AND($BE254=$AU254,OR($BF254&gt;$AV254,AND($BF254=$AV254,$BK254&gt;$BA254)))))))))),"-&gt;","&lt;-"))))</f>
        <v/>
      </c>
      <c r="BC254" s="123" t="str">
        <f aca="false">IF(ISBLANK($C254),"",COUNTA($P254:$U254)&gt;0)</f>
        <v/>
      </c>
      <c r="BD254" s="123" t="str">
        <f aca="false">IF(ISBLANK($C254),"",AND($BC254,OR(AND($AL254="",OR($AK254,NOT(ISBLANK($S254)))),$AM254="",$AN254="")))</f>
        <v/>
      </c>
      <c r="BE254" s="125" t="str">
        <f aca="false">IF($BL254&lt;&gt;Constants!$B$4,"",IF(NOT($BC254),"",ROUND((Constants!$B$12-$AB254)+(Constants!$B$13-$Z254)+(Constants!$B$14-$AA254),1)))</f>
        <v/>
      </c>
      <c r="BF254" s="127" t="str">
        <f aca="false">IF($BL254&lt;&gt;Constants!$B$4,"",IF(NOT($BC254),"",IF(NOT($AK254),0,Constants!$B$15*(INT(ROUND(MIN($AL254,$AP$9),6))-INT(ROUND(MAX(0,MIN($AL254,2*$AP$9)-$AP$9),6))))))</f>
        <v/>
      </c>
      <c r="BG254" s="127" t="str">
        <f aca="false">IF($BL254&lt;&gt;Constants!$B$4,"",IF(NOT($BC254),"",Constants!$B$16*$AM254))</f>
        <v/>
      </c>
      <c r="BH254" s="127" t="str">
        <f aca="false">IF($BL254&lt;&gt;Constants!$B$4,"",IF(NOT($BC254),"",Constants!$B$18*INT(ROUND($AN254,6))))</f>
        <v/>
      </c>
      <c r="BI254" s="123" t="str">
        <f aca="false">IF($BL254&lt;&gt;Constants!$B$4,"",IF(NOT($BC254),"",IF(NOT($X254),Constants!$B$11,IF(OR(NOT($AI254),NOT($AJ254),ROUND($AB254,1)&gt;Constants!$B$12,ROUND($Z254,1)&gt;Constants!$B$13,ROUND($AA254,1)&gt;Constants!$B$14),Constants!$B$10,Constants!$B$9))))</f>
        <v/>
      </c>
      <c r="BJ254" s="128" t="str">
        <f aca="false">IF($BL254&lt;&gt;Constants!$B$4,"",IF(NOT($BC254),"",ROUND($BE254+$BF254+$BG254+$BH254,1)))</f>
        <v/>
      </c>
      <c r="BK254" s="129" t="str">
        <f aca="false">IF($BL254&lt;&gt;Constants!$B$4,"",IF(NOT($BC254),"",IF(ISNUMBER($AL254),$AL254,0)))</f>
        <v/>
      </c>
      <c r="BL254" s="124" t="str">
        <f aca="false">IF(ISBLANK($C254),"",IF($AO254,Constants!$B$7,IF(COUNTA($E254:$V254)=0,Constants!$B$6,IF(NOT($Y254),Constants!$B$5,IF(NOT(OR($AS254,$BC254)),Constants!$B$5,IF(OR($AT254,$BD254,$AQ254,$AR254&lt;&gt;""),Constants!$B$8,Constants!$B$4))))))</f>
        <v/>
      </c>
      <c r="BM254" s="124" t="str">
        <f aca="false">IF(ISBLANK($C254),"",IF($BL254&lt;&gt;Constants!$B$4,$BL254,IF($BB254="-&gt;",$BI254,$AY254)))</f>
        <v/>
      </c>
      <c r="BN254" s="127" t="str">
        <f aca="false">IF($BL254&lt;&gt;Constants!$B$4,"",IF($BB254="-&gt;",$BJ254,$AZ254))</f>
        <v/>
      </c>
      <c r="BO254" s="127" t="str">
        <f aca="false">IF(ISBLANK($C254),"",IF($BL254&lt;&gt;Constants!$B$4,$BL254,$BN254))</f>
        <v/>
      </c>
      <c r="BP254" s="124" t="str">
        <f aca="false">IF(ISBLANK($C254),"",IF($BL254&lt;&gt;Constants!$B$4,$BL254,RANK($BO254,$BO$9:$BO$508,0)))</f>
        <v/>
      </c>
      <c r="BQ254" s="124" t="str">
        <f aca="false">IF(ISBLANK($C254),"",IF($BL254&lt;&gt;Constants!$B$4,$BL254,COUNTIFS($BM$9:$BM$508,"&lt;"&amp;$BM254)+COUNTIFS($BM$9:$BM$508,$BM254,$BP$9:$BP$508,"&lt;"&amp;$BP254)+1))</f>
        <v/>
      </c>
      <c r="BR254" s="127" t="str">
        <f aca="false">IF($BL254&lt;&gt;Constants!$B$4,"",IF($BB254="-&gt;",$BH254,$AX254))</f>
        <v/>
      </c>
      <c r="BS254" s="124" t="str">
        <f aca="false">IF(ISBLANK($C254),"",IF($BL254&lt;&gt;Constants!$B$4,$BL254,IF(ISNUMBER($BR254),RANK($BR254,$BR$9:$BR$508,0),COUNT($BR$9:$BR$508)+1)))</f>
        <v/>
      </c>
      <c r="BT254" s="127" t="str">
        <f aca="false">IF($BL254&lt;&gt;Constants!$B$4,"",IF($BB254="-&gt;",$BE254,$AU254))</f>
        <v/>
      </c>
      <c r="BU254" s="124" t="str">
        <f aca="false">IF(ISBLANK($C254),"",IF($BL254&lt;&gt;Constants!$B$4,$BL254,IF(ISNUMBER($BT254),RANK($BT254,$BT$9:$BT$508,0),COUNT($BT$9:$BT$508)+1)))</f>
        <v/>
      </c>
      <c r="BV254" s="127" t="str">
        <f aca="false">IF($BL254&lt;&gt;Constants!$B$4,"",IF($BB254="-&gt;",$BF254,$AV254))</f>
        <v/>
      </c>
      <c r="BW254" s="124" t="str">
        <f aca="false">IF(ISBLANK($C254),"",IF($BL254&lt;&gt;Constants!$B$4,$BL254,IF(ISNUMBER($BV254),RANK($BV254,$BV$9:$BV$508,0),COUNT($BV$9:$BV$508)+1)))</f>
        <v/>
      </c>
      <c r="BX254" s="127" t="str">
        <f aca="false">IF($BL254&lt;&gt;Constants!$B$4,"",IF($BB254="-&gt;",$BK254,$BA254))</f>
        <v/>
      </c>
      <c r="BY254" s="124" t="str">
        <f aca="false">IF(ISBLANK($C254),"",IF($BL254&lt;&gt;Constants!$B$4,$BL254,IF(ISNUMBER($BX254),RANK($BX254,$BX$9:$BX$508,0),COUNT($BX$9:$BX$508)+1)))</f>
        <v/>
      </c>
      <c r="BZ254" s="124" t="str">
        <f aca="false">IF(ISBLANK($C254),"",IF($BL254&lt;&gt;Constants!$B$4,$BL254,COUNTIFS($BM$9:$BM$508,"&lt;"&amp;$BM254)+COUNTIFS($BM$9:$BM$508,$BM254,$BP$9:$BP$508,"&lt;"&amp;$BP254)+COUNTIFS($BM$9:$BM$508,$BM254,$BP$9:$BP$508,$BP254,$BS$9:$BS$508,"&lt;"&amp;$BS254)+COUNTIFS($BM$9:$BM$508,$BM254,$BP$9:$BP$508,$BP254,$BS$9:$BS$508,$BS254,$BU$9:$BU$508,"&lt;"&amp;$BU254)+COUNTIFS($BM$9:$BM$508,$BM254,$BP$9:$BP$508,$BP254,$BS$9:$BS$508,$BS254,$BU$9:$BU$508,$BU254,$BW$9:$BW$508,"&lt;"&amp;$BW254)+COUNTIFS($BM$9:$BM$508,$BM254,$BP$9:$BP$508,$BP254,$BS$9:$BS$508,$BS254,$BU$9:$BU$508,$BU254,$BW$9:$BW$508,$BW254,$BY$9:$BY$508,"&lt;"&amp;$BY254)+1))</f>
        <v/>
      </c>
      <c r="CA254" s="124" t="str">
        <f aca="false">IF(ISBLANK($C254),"",IF($BL254&lt;&gt;Constants!$B$4,$BL254,$BQ254-$BZ254))</f>
        <v/>
      </c>
      <c r="CB254" s="130"/>
      <c r="CC254" s="131" t="str">
        <f aca="false">IF(ISBLANK($C254),"",IF($BL254=Constants!$B$8,$AR254,""))</f>
        <v/>
      </c>
      <c r="CD254" s="131" t="str">
        <f aca="false">IF(ISBLANK($C254),"",IF($BL254&lt;&gt;Constants!$B$4,"",IF($BB254="-&gt;",2,1)))</f>
        <v/>
      </c>
      <c r="CE254" s="132" t="str">
        <f aca="false">IF(ISBLANK($C254),"",IF($BL254&lt;&gt;Constants!$B$4,"",IF($BB254="-&gt;",$BE254,$AU254)))</f>
        <v/>
      </c>
      <c r="CF254" s="132" t="str">
        <f aca="false">IF(ISBLANK($C254),"",IF($BL254&lt;&gt;Constants!$B$4,"",IF($BB254="-&gt;",$BF254,$AV254)))</f>
        <v/>
      </c>
      <c r="CG254" s="132" t="str">
        <f aca="false">IF(ISBLANK($C254),"",IF($BL254&lt;&gt;Constants!$B$4,"",IF($BB254="-&gt;",$BG254,$AW254)))</f>
        <v/>
      </c>
      <c r="CH254" s="132" t="str">
        <f aca="false">IF(ISBLANK($C254),"",IF($BL254&lt;&gt;Constants!$B$4,"",IF($BB254="-&gt;",$BH254,$AX254)))</f>
        <v/>
      </c>
      <c r="CI254" s="133" t="str">
        <f aca="false">IF(ISBLANK($C254),"",$BO254)</f>
        <v/>
      </c>
      <c r="CJ254" s="134" t="str">
        <f aca="false">IF(ISBLANK($C254),"",$BM254)</f>
        <v/>
      </c>
      <c r="CK254" s="135" t="str">
        <f aca="false">IF(ISBLANK($C254),"",$CA254)</f>
        <v/>
      </c>
      <c r="CL254" s="135" t="str">
        <f aca="false">IF(ISBLANK($C254),"",$BZ254)</f>
        <v/>
      </c>
      <c r="CM254" s="136" t="str">
        <f aca="false">IF(ISBLANK($C254),"",IF($CL254=Constants!$B$7,COUNTA($C$9:$C$508)+2,IF($CL254=Constants!$B$6,COUNTA($C$9:$C$508)+1,IF($CL254=Constants!$B$5,COUNTA($C$9:$C$508),$CL254))))</f>
        <v/>
      </c>
      <c r="CN254" s="8"/>
      <c r="CO254" s="137" t="n">
        <f aca="false">IF(OR(ISNUMBER($CL254),$CL254=Constants!$B$7,$CL254=Constants!$B$5,$CL254=Constants!$B$6),1,0)</f>
        <v>0</v>
      </c>
      <c r="CP254" s="137" t="n">
        <v>246</v>
      </c>
      <c r="CQ254" s="137" t="str">
        <f aca="false">IF(ISBLANK($C254),"",IF(ISNUMBER($CM254),$CM254+ROW($B254)/1000,""))</f>
        <v/>
      </c>
      <c r="CR254" s="137" t="str">
        <f aca="false">IF(ISNUMBER($CQ254),RANK($CQ254,$CQ$9:$CQ$508,1),"")</f>
        <v/>
      </c>
      <c r="CS254" s="137" t="str">
        <f aca="false">IF(ISBLANK($C254),"",$B254)</f>
        <v/>
      </c>
      <c r="CT254" s="137" t="str">
        <f aca="false">IF(ISBLANK($C254),"",$C254)</f>
        <v/>
      </c>
      <c r="CU254" s="137" t="str">
        <f aca="false">IF(ISBLANK($C254),"",$D254)</f>
        <v/>
      </c>
      <c r="CV254" s="138" t="str">
        <f aca="false">$CJ254</f>
        <v/>
      </c>
      <c r="CW254" s="139" t="str">
        <f aca="false">$CI254</f>
        <v/>
      </c>
      <c r="CX254" s="137" t="str">
        <f aca="false">IF(ISBLANK($C254),"",$CL254)</f>
        <v/>
      </c>
      <c r="CY254" s="140" t="str">
        <f aca="false">IF($CP254&gt;$CO$8,"",VLOOKUP($CP254,$CR$9:$CX$508,7,FALSE()))</f>
        <v/>
      </c>
      <c r="CZ254" s="141" t="str">
        <f aca="false">IF($CP254&gt;$CO$8,"",VLOOKUP($CP254,$CR$9:$CX$508,2,FALSE()))</f>
        <v/>
      </c>
      <c r="DA254" s="141" t="str">
        <f aca="false">IF($CP254&gt;$CO$8,"",VLOOKUP($CP254,$CR$9:$CX$508,3,FALSE()))</f>
        <v/>
      </c>
      <c r="DB254" s="141" t="str">
        <f aca="false">IF($CP254&gt;$CO$8,"",VLOOKUP($CP254,$CR$9:$CX$508,4,FALSE()))</f>
        <v/>
      </c>
      <c r="DC254" s="141" t="str">
        <f aca="false">IF($CP254&gt;$CO$8,"",VLOOKUP($CP254,$CR$9:$CX$508,5,FALSE()))</f>
        <v/>
      </c>
      <c r="DD254" s="142" t="str">
        <f aca="false">IF($CP254&gt;$CO$8,"",VLOOKUP($CP254,$CR$9:$CX$508,6,FALSE()))</f>
        <v/>
      </c>
      <c r="DE254" s="70"/>
    </row>
    <row r="255" customFormat="false" ht="15.75" hidden="false" customHeight="false" outlineLevel="0" collapsed="false">
      <c r="A255" s="8"/>
      <c r="B255" s="72"/>
      <c r="C255" s="73"/>
      <c r="D255" s="155"/>
      <c r="E255" s="162"/>
      <c r="F255" s="157"/>
      <c r="G255" s="77"/>
      <c r="H255" s="77"/>
      <c r="I255" s="77"/>
      <c r="J255" s="163"/>
      <c r="K255" s="161"/>
      <c r="L255" s="161"/>
      <c r="M255" s="80"/>
      <c r="N255" s="161"/>
      <c r="O255" s="160"/>
      <c r="P255" s="161"/>
      <c r="Q255" s="161"/>
      <c r="R255" s="161"/>
      <c r="S255" s="77"/>
      <c r="T255" s="161"/>
      <c r="U255" s="160"/>
      <c r="V255" s="161"/>
      <c r="W255" s="85"/>
      <c r="X255" s="86" t="str">
        <f aca="false">IF(ISBLANK($C255),"",IF($E255=Constants!$B$2,TRUE(),IF($E255=Constants!$B$3,FALSE(),TRUE())))</f>
        <v/>
      </c>
      <c r="Y255" s="86" t="str">
        <f aca="false">IF(ISBLANK($C255),"",IF($F255=Constants!$B$2,TRUE(),IF($F255=Constants!$B$3,FALSE(),TRUE())))</f>
        <v/>
      </c>
      <c r="Z255" s="87" t="str">
        <f aca="false">IF(ISBLANK($C255),"",IF(ISNUMBER($G255),IF($G255&gt;=0,$G255,""),""))</f>
        <v/>
      </c>
      <c r="AA255" s="87" t="str">
        <f aca="false">IF(ISBLANK($C255),"",IF(ISNUMBER($H255),IF($H255&gt;=0,$H255,""),""))</f>
        <v/>
      </c>
      <c r="AB255" s="87" t="str">
        <f aca="false">IF(ISBLANK($C255),"",IF(ISNUMBER($I255),IF($I255&gt;=0,$I255,""),""))</f>
        <v/>
      </c>
      <c r="AC255" s="86" t="str">
        <f aca="false">IF(ISBLANK($C255),"",IF($J255=Constants!$B$2,TRUE(),IF($J255=Constants!$B$3,FALSE(),TRUE())))</f>
        <v/>
      </c>
      <c r="AD255" s="86" t="str">
        <f aca="false">IF(ISBLANK($C255),"",IF($K255=Constants!$B$2,TRUE(),IF($K255=Constants!$B$3,FALSE(),TRUE())))</f>
        <v/>
      </c>
      <c r="AE255" s="86" t="str">
        <f aca="false">IF(ISBLANK($C255),"",IF($L255=Constants!$B$2,TRUE(),IF($L255=Constants!$B$3,FALSE(),TRUE())))</f>
        <v/>
      </c>
      <c r="AF255" s="88" t="str">
        <f aca="false">IF(ISBLANK($C255),"",IF(ISNUMBER($M255),IF($M255&gt;=0,$M255,""),""))</f>
        <v/>
      </c>
      <c r="AG255" s="86" t="str">
        <f aca="false">IF(ISBLANK($C255),"",IF(ISBLANK($N255),0,IF(ISNUMBER($N255),IF(AND($N255&gt;=0,$N255&lt;=Constants!$B$17,$N255=INT($N255)),$N255,""),"")))</f>
        <v/>
      </c>
      <c r="AH255" s="87" t="str">
        <f aca="false">IF(ISBLANK($C255),"",IF(ISBLANK($O255),0,IF(ISNUMBER($O255),IF($O255&gt;=0,$O255,""),"")))</f>
        <v/>
      </c>
      <c r="AI255" s="86" t="str">
        <f aca="false">IF(ISBLANK($C255),"",IF($P255=Constants!$B$2,TRUE(),IF($P255=Constants!$B$3,FALSE(),TRUE())))</f>
        <v/>
      </c>
      <c r="AJ255" s="86" t="str">
        <f aca="false">IF(ISBLANK($C255),"",IF($Q255=Constants!$B$2,TRUE(),IF($Q255=Constants!$B$3,FALSE(),TRUE())))</f>
        <v/>
      </c>
      <c r="AK255" s="86" t="str">
        <f aca="false">IF(ISBLANK($C255),"",IF($R255=Constants!$B$2,TRUE(),IF($R255=Constants!$B$3,FALSE(),TRUE())))</f>
        <v/>
      </c>
      <c r="AL255" s="88" t="str">
        <f aca="false">IF(ISBLANK($C255),"",IF(ISNUMBER($S255),IF($S255&gt;=0,$S255,""),""))</f>
        <v/>
      </c>
      <c r="AM255" s="86" t="str">
        <f aca="false">IF(ISBLANK($C255),"",IF(ISBLANK($T255),0,IF(ISNUMBER($T255),IF(AND($T255&gt;=0,$T255&lt;=Constants!$B$17,$T255=INT($T255)),$T255,""),"")))</f>
        <v/>
      </c>
      <c r="AN255" s="87" t="str">
        <f aca="false">IF(ISBLANK($C255),"",IF(ISBLANK($U255),0,IF(ISNUMBER($U255),IF($U255&gt;=0,$U255,""),"")))</f>
        <v/>
      </c>
      <c r="AO255" s="86" t="str">
        <f aca="false">IF(ISBLANK($C255),"",IF($V255=Constants!$B$2,TRUE(),IF($V255=Constants!$B$3,FALSE(),FALSE())))</f>
        <v/>
      </c>
      <c r="AP255" s="86"/>
      <c r="AQ255" s="85" t="str">
        <f aca="false">IF(ISBLANK($C255),"",AND($Y255,OR($AS255,$BC255),OR($Z255="",$AA255="",$AB255="")))</f>
        <v/>
      </c>
      <c r="AR255" s="85" t="str">
        <f aca="false">IF(ISBLANK($C255),"",IF(OR(NOT($Y255),NOT(OR($AS255,$BC255))),"",IF(ISBLANK($D$7),$AR$5,IF($AP$9="",$AR$6,""))))</f>
        <v/>
      </c>
      <c r="AS255" s="85" t="str">
        <f aca="false">IF(ISBLANK($C255),"",COUNTA($J255:$O255)&gt;0)</f>
        <v/>
      </c>
      <c r="AT255" s="85" t="str">
        <f aca="false">IF(ISBLANK($C255),"",AND($AS255,OR(AND($AF255="",OR($AE255,NOT(ISBLANK($M255)))),$AG255="",$AH255="")))</f>
        <v/>
      </c>
      <c r="AU255" s="87" t="str">
        <f aca="false">IF($BL255&lt;&gt;Constants!$B$4,"",IF(NOT($AS255),"",ROUND((Constants!$B$12-$AB255)+(Constants!$B$13-$Z255)+(Constants!$B$14-$AA255),1)))</f>
        <v/>
      </c>
      <c r="AV255" s="90" t="str">
        <f aca="false">IF($BL255&lt;&gt;Constants!$B$4,"",IF(NOT($AS255),"",IF(NOT($AE255),0,Constants!$B$15*(INT(ROUND(MIN($AF255,$AP$9),6))-INT(ROUND(MAX(0,MIN($AF255,2*$AP$9)-$AP$9),6))))))</f>
        <v/>
      </c>
      <c r="AW255" s="90" t="str">
        <f aca="false">IF($BL255&lt;&gt;Constants!$B$4,"",IF(NOT($AS255),"",Constants!$B$16*$AG255))</f>
        <v/>
      </c>
      <c r="AX255" s="90" t="str">
        <f aca="false">IF($BL255&lt;&gt;Constants!$B$4,"",IF(NOT($AS255),"",Constants!$B$18*INT(ROUND($AH255,6))))</f>
        <v/>
      </c>
      <c r="AY255" s="85" t="str">
        <f aca="false">IF($BL255&lt;&gt;Constants!$B$4,"",IF(NOT($AS255),"",IF(NOT($X255),Constants!$B$11,IF(OR(NOT($AC255),NOT($AD255),ROUND($AB255,1)&gt;Constants!$B$12,ROUND($Z255,1)&gt;Constants!$B$13,ROUND($AA255,1)&gt;Constants!$B$14),Constants!$B$10,Constants!$B$9))))</f>
        <v/>
      </c>
      <c r="AZ255" s="91" t="str">
        <f aca="false">IF($BL255&lt;&gt;Constants!$B$4,"",IF(NOT($AS255),"",ROUND($AU255+$AV255+$AW255+$AX255,1)))</f>
        <v/>
      </c>
      <c r="BA255" s="92" t="str">
        <f aca="false">IF($BL255&lt;&gt;Constants!$B$4,"",IF(NOT($AS255),"",IF(ISNUMBER($AF255),$AF255,0)))</f>
        <v/>
      </c>
      <c r="BB255" s="86" t="str">
        <f aca="false">IF($BL255&lt;&gt;Constants!$B$4,"",IF(NOT($BC255),"&lt;-",IF(NOT($AS255),"-&gt;",IF(OR($BI255&lt;$AY255,AND($BI255=$AY255,OR($BJ255&gt;$AZ255,AND($BJ255=$AZ255,OR($BH255&gt;$AX255,AND($BH255=$AX255,OR($BE255&gt;$AU255,AND($BE255=$AU255,OR($BF255&gt;$AV255,AND($BF255=$AV255,$BK255&gt;$BA255)))))))))),"-&gt;","&lt;-"))))</f>
        <v/>
      </c>
      <c r="BC255" s="85" t="str">
        <f aca="false">IF(ISBLANK($C255),"",COUNTA($P255:$U255)&gt;0)</f>
        <v/>
      </c>
      <c r="BD255" s="85" t="str">
        <f aca="false">IF(ISBLANK($C255),"",AND($BC255,OR(AND($AL255="",OR($AK255,NOT(ISBLANK($S255)))),$AM255="",$AN255="")))</f>
        <v/>
      </c>
      <c r="BE255" s="87" t="str">
        <f aca="false">IF($BL255&lt;&gt;Constants!$B$4,"",IF(NOT($BC255),"",ROUND((Constants!$B$12-$AB255)+(Constants!$B$13-$Z255)+(Constants!$B$14-$AA255),1)))</f>
        <v/>
      </c>
      <c r="BF255" s="90" t="str">
        <f aca="false">IF($BL255&lt;&gt;Constants!$B$4,"",IF(NOT($BC255),"",IF(NOT($AK255),0,Constants!$B$15*(INT(ROUND(MIN($AL255,$AP$9),6))-INT(ROUND(MAX(0,MIN($AL255,2*$AP$9)-$AP$9),6))))))</f>
        <v/>
      </c>
      <c r="BG255" s="90" t="str">
        <f aca="false">IF($BL255&lt;&gt;Constants!$B$4,"",IF(NOT($BC255),"",Constants!$B$16*$AM255))</f>
        <v/>
      </c>
      <c r="BH255" s="90" t="str">
        <f aca="false">IF($BL255&lt;&gt;Constants!$B$4,"",IF(NOT($BC255),"",Constants!$B$18*INT(ROUND($AN255,6))))</f>
        <v/>
      </c>
      <c r="BI255" s="85" t="str">
        <f aca="false">IF($BL255&lt;&gt;Constants!$B$4,"",IF(NOT($BC255),"",IF(NOT($X255),Constants!$B$11,IF(OR(NOT($AI255),NOT($AJ255),ROUND($AB255,1)&gt;Constants!$B$12,ROUND($Z255,1)&gt;Constants!$B$13,ROUND($AA255,1)&gt;Constants!$B$14),Constants!$B$10,Constants!$B$9))))</f>
        <v/>
      </c>
      <c r="BJ255" s="91" t="str">
        <f aca="false">IF($BL255&lt;&gt;Constants!$B$4,"",IF(NOT($BC255),"",ROUND($BE255+$BF255+$BG255+$BH255,1)))</f>
        <v/>
      </c>
      <c r="BK255" s="92" t="str">
        <f aca="false">IF($BL255&lt;&gt;Constants!$B$4,"",IF(NOT($BC255),"",IF(ISNUMBER($AL255),$AL255,0)))</f>
        <v/>
      </c>
      <c r="BL255" s="86" t="str">
        <f aca="false">IF(ISBLANK($C255),"",IF($AO255,Constants!$B$7,IF(COUNTA($E255:$V255)=0,Constants!$B$6,IF(NOT($Y255),Constants!$B$5,IF(NOT(OR($AS255,$BC255)),Constants!$B$5,IF(OR($AT255,$BD255,$AQ255,$AR255&lt;&gt;""),Constants!$B$8,Constants!$B$4))))))</f>
        <v/>
      </c>
      <c r="BM255" s="86" t="str">
        <f aca="false">IF(ISBLANK($C255),"",IF($BL255&lt;&gt;Constants!$B$4,$BL255,IF($BB255="-&gt;",$BI255,$AY255)))</f>
        <v/>
      </c>
      <c r="BN255" s="90" t="str">
        <f aca="false">IF($BL255&lt;&gt;Constants!$B$4,"",IF($BB255="-&gt;",$BJ255,$AZ255))</f>
        <v/>
      </c>
      <c r="BO255" s="90" t="str">
        <f aca="false">IF(ISBLANK($C255),"",IF($BL255&lt;&gt;Constants!$B$4,$BL255,$BN255))</f>
        <v/>
      </c>
      <c r="BP255" s="86" t="str">
        <f aca="false">IF(ISBLANK($C255),"",IF($BL255&lt;&gt;Constants!$B$4,$BL255,RANK($BO255,$BO$9:$BO$508,0)))</f>
        <v/>
      </c>
      <c r="BQ255" s="86" t="str">
        <f aca="false">IF(ISBLANK($C255),"",IF($BL255&lt;&gt;Constants!$B$4,$BL255,COUNTIFS($BM$9:$BM$508,"&lt;"&amp;$BM255)+COUNTIFS($BM$9:$BM$508,$BM255,$BP$9:$BP$508,"&lt;"&amp;$BP255)+1))</f>
        <v/>
      </c>
      <c r="BR255" s="90" t="str">
        <f aca="false">IF($BL255&lt;&gt;Constants!$B$4,"",IF($BB255="-&gt;",$BH255,$AX255))</f>
        <v/>
      </c>
      <c r="BS255" s="86" t="str">
        <f aca="false">IF(ISBLANK($C255),"",IF($BL255&lt;&gt;Constants!$B$4,$BL255,IF(ISNUMBER($BR255),RANK($BR255,$BR$9:$BR$508,0),COUNT($BR$9:$BR$508)+1)))</f>
        <v/>
      </c>
      <c r="BT255" s="90" t="str">
        <f aca="false">IF($BL255&lt;&gt;Constants!$B$4,"",IF($BB255="-&gt;",$BE255,$AU255))</f>
        <v/>
      </c>
      <c r="BU255" s="86" t="str">
        <f aca="false">IF(ISBLANK($C255),"",IF($BL255&lt;&gt;Constants!$B$4,$BL255,IF(ISNUMBER($BT255),RANK($BT255,$BT$9:$BT$508,0),COUNT($BT$9:$BT$508)+1)))</f>
        <v/>
      </c>
      <c r="BV255" s="90" t="str">
        <f aca="false">IF($BL255&lt;&gt;Constants!$B$4,"",IF($BB255="-&gt;",$BF255,$AV255))</f>
        <v/>
      </c>
      <c r="BW255" s="86" t="str">
        <f aca="false">IF(ISBLANK($C255),"",IF($BL255&lt;&gt;Constants!$B$4,$BL255,IF(ISNUMBER($BV255),RANK($BV255,$BV$9:$BV$508,0),COUNT($BV$9:$BV$508)+1)))</f>
        <v/>
      </c>
      <c r="BX255" s="90" t="str">
        <f aca="false">IF($BL255&lt;&gt;Constants!$B$4,"",IF($BB255="-&gt;",$BK255,$BA255))</f>
        <v/>
      </c>
      <c r="BY255" s="86" t="str">
        <f aca="false">IF(ISBLANK($C255),"",IF($BL255&lt;&gt;Constants!$B$4,$BL255,IF(ISNUMBER($BX255),RANK($BX255,$BX$9:$BX$508,0),COUNT($BX$9:$BX$508)+1)))</f>
        <v/>
      </c>
      <c r="BZ255" s="86" t="str">
        <f aca="false">IF(ISBLANK($C255),"",IF($BL255&lt;&gt;Constants!$B$4,$BL255,COUNTIFS($BM$9:$BM$508,"&lt;"&amp;$BM255)+COUNTIFS($BM$9:$BM$508,$BM255,$BP$9:$BP$508,"&lt;"&amp;$BP255)+COUNTIFS($BM$9:$BM$508,$BM255,$BP$9:$BP$508,$BP255,$BS$9:$BS$508,"&lt;"&amp;$BS255)+COUNTIFS($BM$9:$BM$508,$BM255,$BP$9:$BP$508,$BP255,$BS$9:$BS$508,$BS255,$BU$9:$BU$508,"&lt;"&amp;$BU255)+COUNTIFS($BM$9:$BM$508,$BM255,$BP$9:$BP$508,$BP255,$BS$9:$BS$508,$BS255,$BU$9:$BU$508,$BU255,$BW$9:$BW$508,"&lt;"&amp;$BW255)+COUNTIFS($BM$9:$BM$508,$BM255,$BP$9:$BP$508,$BP255,$BS$9:$BS$508,$BS255,$BU$9:$BU$508,$BU255,$BW$9:$BW$508,$BW255,$BY$9:$BY$508,"&lt;"&amp;$BY255)+1))</f>
        <v/>
      </c>
      <c r="CA255" s="86" t="str">
        <f aca="false">IF(ISBLANK($C255),"",IF($BL255&lt;&gt;Constants!$B$4,$BL255,$BQ255-$BZ255))</f>
        <v/>
      </c>
      <c r="CB255" s="93"/>
      <c r="CC255" s="94" t="str">
        <f aca="false">IF(ISBLANK($C255),"",IF($BL255=Constants!$B$8,$AR255,""))</f>
        <v/>
      </c>
      <c r="CD255" s="94" t="str">
        <f aca="false">IF(ISBLANK($C255),"",IF($BL255&lt;&gt;Constants!$B$4,"",IF($BB255="-&gt;",2,1)))</f>
        <v/>
      </c>
      <c r="CE255" s="95" t="str">
        <f aca="false">IF(ISBLANK($C255),"",IF($BL255&lt;&gt;Constants!$B$4,"",IF($BB255="-&gt;",$BE255,$AU255)))</f>
        <v/>
      </c>
      <c r="CF255" s="95" t="str">
        <f aca="false">IF(ISBLANK($C255),"",IF($BL255&lt;&gt;Constants!$B$4,"",IF($BB255="-&gt;",$BF255,$AV255)))</f>
        <v/>
      </c>
      <c r="CG255" s="95" t="str">
        <f aca="false">IF(ISBLANK($C255),"",IF($BL255&lt;&gt;Constants!$B$4,"",IF($BB255="-&gt;",$BG255,$AW255)))</f>
        <v/>
      </c>
      <c r="CH255" s="95" t="str">
        <f aca="false">IF(ISBLANK($C255),"",IF($BL255&lt;&gt;Constants!$B$4,"",IF($BB255="-&gt;",$BH255,$AX255)))</f>
        <v/>
      </c>
      <c r="CI255" s="96" t="str">
        <f aca="false">IF(ISBLANK($C255),"",$BO255)</f>
        <v/>
      </c>
      <c r="CJ255" s="97" t="str">
        <f aca="false">IF(ISBLANK($C255),"",$BM255)</f>
        <v/>
      </c>
      <c r="CK255" s="98" t="str">
        <f aca="false">IF(ISBLANK($C255),"",$CA255)</f>
        <v/>
      </c>
      <c r="CL255" s="98" t="str">
        <f aca="false">IF(ISBLANK($C255),"",$BZ255)</f>
        <v/>
      </c>
      <c r="CM255" s="99" t="str">
        <f aca="false">IF(ISBLANK($C255),"",IF($CL255=Constants!$B$7,COUNTA($C$9:$C$508)+2,IF($CL255=Constants!$B$6,COUNTA($C$9:$C$508)+1,IF($CL255=Constants!$B$5,COUNTA($C$9:$C$508),$CL255))))</f>
        <v/>
      </c>
      <c r="CN255" s="8"/>
      <c r="CO255" s="100" t="n">
        <f aca="false">IF(OR(ISNUMBER($CL255),$CL255=Constants!$B$7,$CL255=Constants!$B$5,$CL255=Constants!$B$6),1,0)</f>
        <v>0</v>
      </c>
      <c r="CP255" s="100" t="n">
        <v>247</v>
      </c>
      <c r="CQ255" s="100" t="str">
        <f aca="false">IF(ISBLANK($C255),"",IF(ISNUMBER($CM255),$CM255+ROW($B255)/1000,""))</f>
        <v/>
      </c>
      <c r="CR255" s="100" t="str">
        <f aca="false">IF(ISNUMBER($CQ255),RANK($CQ255,$CQ$9:$CQ$508,1),"")</f>
        <v/>
      </c>
      <c r="CS255" s="100" t="str">
        <f aca="false">IF(ISBLANK($C255),"",$B255)</f>
        <v/>
      </c>
      <c r="CT255" s="100" t="str">
        <f aca="false">IF(ISBLANK($C255),"",$C255)</f>
        <v/>
      </c>
      <c r="CU255" s="100" t="str">
        <f aca="false">IF(ISBLANK($C255),"",$D255)</f>
        <v/>
      </c>
      <c r="CV255" s="101" t="str">
        <f aca="false">$CJ255</f>
        <v/>
      </c>
      <c r="CW255" s="102" t="str">
        <f aca="false">$CI255</f>
        <v/>
      </c>
      <c r="CX255" s="100" t="str">
        <f aca="false">IF(ISBLANK($C255),"",$CL255)</f>
        <v/>
      </c>
      <c r="CY255" s="103" t="str">
        <f aca="false">IF($CP255&gt;$CO$8,"",VLOOKUP($CP255,$CR$9:$CX$508,7,FALSE()))</f>
        <v/>
      </c>
      <c r="CZ255" s="104" t="str">
        <f aca="false">IF($CP255&gt;$CO$8,"",VLOOKUP($CP255,$CR$9:$CX$508,2,FALSE()))</f>
        <v/>
      </c>
      <c r="DA255" s="104" t="str">
        <f aca="false">IF($CP255&gt;$CO$8,"",VLOOKUP($CP255,$CR$9:$CX$508,3,FALSE()))</f>
        <v/>
      </c>
      <c r="DB255" s="104" t="str">
        <f aca="false">IF($CP255&gt;$CO$8,"",VLOOKUP($CP255,$CR$9:$CX$508,4,FALSE()))</f>
        <v/>
      </c>
      <c r="DC255" s="104" t="str">
        <f aca="false">IF($CP255&gt;$CO$8,"",VLOOKUP($CP255,$CR$9:$CX$508,5,FALSE()))</f>
        <v/>
      </c>
      <c r="DD255" s="105" t="str">
        <f aca="false">IF($CP255&gt;$CO$8,"",VLOOKUP($CP255,$CR$9:$CX$508,6,FALSE()))</f>
        <v/>
      </c>
      <c r="DE255" s="70"/>
    </row>
    <row r="256" customFormat="false" ht="15.75" hidden="false" customHeight="false" outlineLevel="0" collapsed="false">
      <c r="A256" s="8"/>
      <c r="B256" s="72"/>
      <c r="C256" s="73"/>
      <c r="D256" s="155"/>
      <c r="E256" s="162"/>
      <c r="F256" s="157"/>
      <c r="G256" s="77"/>
      <c r="H256" s="77"/>
      <c r="I256" s="77"/>
      <c r="J256" s="163"/>
      <c r="K256" s="161"/>
      <c r="L256" s="161"/>
      <c r="M256" s="80"/>
      <c r="N256" s="161"/>
      <c r="O256" s="160"/>
      <c r="P256" s="161"/>
      <c r="Q256" s="161"/>
      <c r="R256" s="161"/>
      <c r="S256" s="77"/>
      <c r="T256" s="161"/>
      <c r="U256" s="160"/>
      <c r="V256" s="161"/>
      <c r="W256" s="85"/>
      <c r="X256" s="86" t="str">
        <f aca="false">IF(ISBLANK($C256),"",IF($E256=Constants!$B$2,TRUE(),IF($E256=Constants!$B$3,FALSE(),TRUE())))</f>
        <v/>
      </c>
      <c r="Y256" s="86" t="str">
        <f aca="false">IF(ISBLANK($C256),"",IF($F256=Constants!$B$2,TRUE(),IF($F256=Constants!$B$3,FALSE(),TRUE())))</f>
        <v/>
      </c>
      <c r="Z256" s="87" t="str">
        <f aca="false">IF(ISBLANK($C256),"",IF(ISNUMBER($G256),IF($G256&gt;=0,$G256,""),""))</f>
        <v/>
      </c>
      <c r="AA256" s="87" t="str">
        <f aca="false">IF(ISBLANK($C256),"",IF(ISNUMBER($H256),IF($H256&gt;=0,$H256,""),""))</f>
        <v/>
      </c>
      <c r="AB256" s="87" t="str">
        <f aca="false">IF(ISBLANK($C256),"",IF(ISNUMBER($I256),IF($I256&gt;=0,$I256,""),""))</f>
        <v/>
      </c>
      <c r="AC256" s="86" t="str">
        <f aca="false">IF(ISBLANK($C256),"",IF($J256=Constants!$B$2,TRUE(),IF($J256=Constants!$B$3,FALSE(),TRUE())))</f>
        <v/>
      </c>
      <c r="AD256" s="86" t="str">
        <f aca="false">IF(ISBLANK($C256),"",IF($K256=Constants!$B$2,TRUE(),IF($K256=Constants!$B$3,FALSE(),TRUE())))</f>
        <v/>
      </c>
      <c r="AE256" s="86" t="str">
        <f aca="false">IF(ISBLANK($C256),"",IF($L256=Constants!$B$2,TRUE(),IF($L256=Constants!$B$3,FALSE(),TRUE())))</f>
        <v/>
      </c>
      <c r="AF256" s="88" t="str">
        <f aca="false">IF(ISBLANK($C256),"",IF(ISNUMBER($M256),IF($M256&gt;=0,$M256,""),""))</f>
        <v/>
      </c>
      <c r="AG256" s="86" t="str">
        <f aca="false">IF(ISBLANK($C256),"",IF(ISBLANK($N256),0,IF(ISNUMBER($N256),IF(AND($N256&gt;=0,$N256&lt;=Constants!$B$17,$N256=INT($N256)),$N256,""),"")))</f>
        <v/>
      </c>
      <c r="AH256" s="87" t="str">
        <f aca="false">IF(ISBLANK($C256),"",IF(ISBLANK($O256),0,IF(ISNUMBER($O256),IF($O256&gt;=0,$O256,""),"")))</f>
        <v/>
      </c>
      <c r="AI256" s="86" t="str">
        <f aca="false">IF(ISBLANK($C256),"",IF($P256=Constants!$B$2,TRUE(),IF($P256=Constants!$B$3,FALSE(),TRUE())))</f>
        <v/>
      </c>
      <c r="AJ256" s="86" t="str">
        <f aca="false">IF(ISBLANK($C256),"",IF($Q256=Constants!$B$2,TRUE(),IF($Q256=Constants!$B$3,FALSE(),TRUE())))</f>
        <v/>
      </c>
      <c r="AK256" s="86" t="str">
        <f aca="false">IF(ISBLANK($C256),"",IF($R256=Constants!$B$2,TRUE(),IF($R256=Constants!$B$3,FALSE(),TRUE())))</f>
        <v/>
      </c>
      <c r="AL256" s="88" t="str">
        <f aca="false">IF(ISBLANK($C256),"",IF(ISNUMBER($S256),IF($S256&gt;=0,$S256,""),""))</f>
        <v/>
      </c>
      <c r="AM256" s="86" t="str">
        <f aca="false">IF(ISBLANK($C256),"",IF(ISBLANK($T256),0,IF(ISNUMBER($T256),IF(AND($T256&gt;=0,$T256&lt;=Constants!$B$17,$T256=INT($T256)),$T256,""),"")))</f>
        <v/>
      </c>
      <c r="AN256" s="87" t="str">
        <f aca="false">IF(ISBLANK($C256),"",IF(ISBLANK($U256),0,IF(ISNUMBER($U256),IF($U256&gt;=0,$U256,""),"")))</f>
        <v/>
      </c>
      <c r="AO256" s="86" t="str">
        <f aca="false">IF(ISBLANK($C256),"",IF($V256=Constants!$B$2,TRUE(),IF($V256=Constants!$B$3,FALSE(),FALSE())))</f>
        <v/>
      </c>
      <c r="AP256" s="86"/>
      <c r="AQ256" s="85" t="str">
        <f aca="false">IF(ISBLANK($C256),"",AND($Y256,OR($AS256,$BC256),OR($Z256="",$AA256="",$AB256="")))</f>
        <v/>
      </c>
      <c r="AR256" s="85" t="str">
        <f aca="false">IF(ISBLANK($C256),"",IF(OR(NOT($Y256),NOT(OR($AS256,$BC256))),"",IF(ISBLANK($D$7),$AR$5,IF($AP$9="",$AR$6,""))))</f>
        <v/>
      </c>
      <c r="AS256" s="85" t="str">
        <f aca="false">IF(ISBLANK($C256),"",COUNTA($J256:$O256)&gt;0)</f>
        <v/>
      </c>
      <c r="AT256" s="85" t="str">
        <f aca="false">IF(ISBLANK($C256),"",AND($AS256,OR(AND($AF256="",OR($AE256,NOT(ISBLANK($M256)))),$AG256="",$AH256="")))</f>
        <v/>
      </c>
      <c r="AU256" s="87" t="str">
        <f aca="false">IF($BL256&lt;&gt;Constants!$B$4,"",IF(NOT($AS256),"",ROUND((Constants!$B$12-$AB256)+(Constants!$B$13-$Z256)+(Constants!$B$14-$AA256),1)))</f>
        <v/>
      </c>
      <c r="AV256" s="90" t="str">
        <f aca="false">IF($BL256&lt;&gt;Constants!$B$4,"",IF(NOT($AS256),"",IF(NOT($AE256),0,Constants!$B$15*(INT(ROUND(MIN($AF256,$AP$9),6))-INT(ROUND(MAX(0,MIN($AF256,2*$AP$9)-$AP$9),6))))))</f>
        <v/>
      </c>
      <c r="AW256" s="90" t="str">
        <f aca="false">IF($BL256&lt;&gt;Constants!$B$4,"",IF(NOT($AS256),"",Constants!$B$16*$AG256))</f>
        <v/>
      </c>
      <c r="AX256" s="90" t="str">
        <f aca="false">IF($BL256&lt;&gt;Constants!$B$4,"",IF(NOT($AS256),"",Constants!$B$18*INT(ROUND($AH256,6))))</f>
        <v/>
      </c>
      <c r="AY256" s="85" t="str">
        <f aca="false">IF($BL256&lt;&gt;Constants!$B$4,"",IF(NOT($AS256),"",IF(NOT($X256),Constants!$B$11,IF(OR(NOT($AC256),NOT($AD256),ROUND($AB256,1)&gt;Constants!$B$12,ROUND($Z256,1)&gt;Constants!$B$13,ROUND($AA256,1)&gt;Constants!$B$14),Constants!$B$10,Constants!$B$9))))</f>
        <v/>
      </c>
      <c r="AZ256" s="91" t="str">
        <f aca="false">IF($BL256&lt;&gt;Constants!$B$4,"",IF(NOT($AS256),"",ROUND($AU256+$AV256+$AW256+$AX256,1)))</f>
        <v/>
      </c>
      <c r="BA256" s="92" t="str">
        <f aca="false">IF($BL256&lt;&gt;Constants!$B$4,"",IF(NOT($AS256),"",IF(ISNUMBER($AF256),$AF256,0)))</f>
        <v/>
      </c>
      <c r="BB256" s="86" t="str">
        <f aca="false">IF($BL256&lt;&gt;Constants!$B$4,"",IF(NOT($BC256),"&lt;-",IF(NOT($AS256),"-&gt;",IF(OR($BI256&lt;$AY256,AND($BI256=$AY256,OR($BJ256&gt;$AZ256,AND($BJ256=$AZ256,OR($BH256&gt;$AX256,AND($BH256=$AX256,OR($BE256&gt;$AU256,AND($BE256=$AU256,OR($BF256&gt;$AV256,AND($BF256=$AV256,$BK256&gt;$BA256)))))))))),"-&gt;","&lt;-"))))</f>
        <v/>
      </c>
      <c r="BC256" s="85" t="str">
        <f aca="false">IF(ISBLANK($C256),"",COUNTA($P256:$U256)&gt;0)</f>
        <v/>
      </c>
      <c r="BD256" s="85" t="str">
        <f aca="false">IF(ISBLANK($C256),"",AND($BC256,OR(AND($AL256="",OR($AK256,NOT(ISBLANK($S256)))),$AM256="",$AN256="")))</f>
        <v/>
      </c>
      <c r="BE256" s="87" t="str">
        <f aca="false">IF($BL256&lt;&gt;Constants!$B$4,"",IF(NOT($BC256),"",ROUND((Constants!$B$12-$AB256)+(Constants!$B$13-$Z256)+(Constants!$B$14-$AA256),1)))</f>
        <v/>
      </c>
      <c r="BF256" s="90" t="str">
        <f aca="false">IF($BL256&lt;&gt;Constants!$B$4,"",IF(NOT($BC256),"",IF(NOT($AK256),0,Constants!$B$15*(INT(ROUND(MIN($AL256,$AP$9),6))-INT(ROUND(MAX(0,MIN($AL256,2*$AP$9)-$AP$9),6))))))</f>
        <v/>
      </c>
      <c r="BG256" s="90" t="str">
        <f aca="false">IF($BL256&lt;&gt;Constants!$B$4,"",IF(NOT($BC256),"",Constants!$B$16*$AM256))</f>
        <v/>
      </c>
      <c r="BH256" s="90" t="str">
        <f aca="false">IF($BL256&lt;&gt;Constants!$B$4,"",IF(NOT($BC256),"",Constants!$B$18*INT(ROUND($AN256,6))))</f>
        <v/>
      </c>
      <c r="BI256" s="85" t="str">
        <f aca="false">IF($BL256&lt;&gt;Constants!$B$4,"",IF(NOT($BC256),"",IF(NOT($X256),Constants!$B$11,IF(OR(NOT($AI256),NOT($AJ256),ROUND($AB256,1)&gt;Constants!$B$12,ROUND($Z256,1)&gt;Constants!$B$13,ROUND($AA256,1)&gt;Constants!$B$14),Constants!$B$10,Constants!$B$9))))</f>
        <v/>
      </c>
      <c r="BJ256" s="91" t="str">
        <f aca="false">IF($BL256&lt;&gt;Constants!$B$4,"",IF(NOT($BC256),"",ROUND($BE256+$BF256+$BG256+$BH256,1)))</f>
        <v/>
      </c>
      <c r="BK256" s="92" t="str">
        <f aca="false">IF($BL256&lt;&gt;Constants!$B$4,"",IF(NOT($BC256),"",IF(ISNUMBER($AL256),$AL256,0)))</f>
        <v/>
      </c>
      <c r="BL256" s="86" t="str">
        <f aca="false">IF(ISBLANK($C256),"",IF($AO256,Constants!$B$7,IF(COUNTA($E256:$V256)=0,Constants!$B$6,IF(NOT($Y256),Constants!$B$5,IF(NOT(OR($AS256,$BC256)),Constants!$B$5,IF(OR($AT256,$BD256,$AQ256,$AR256&lt;&gt;""),Constants!$B$8,Constants!$B$4))))))</f>
        <v/>
      </c>
      <c r="BM256" s="86" t="str">
        <f aca="false">IF(ISBLANK($C256),"",IF($BL256&lt;&gt;Constants!$B$4,$BL256,IF($BB256="-&gt;",$BI256,$AY256)))</f>
        <v/>
      </c>
      <c r="BN256" s="90" t="str">
        <f aca="false">IF($BL256&lt;&gt;Constants!$B$4,"",IF($BB256="-&gt;",$BJ256,$AZ256))</f>
        <v/>
      </c>
      <c r="BO256" s="90" t="str">
        <f aca="false">IF(ISBLANK($C256),"",IF($BL256&lt;&gt;Constants!$B$4,$BL256,$BN256))</f>
        <v/>
      </c>
      <c r="BP256" s="86" t="str">
        <f aca="false">IF(ISBLANK($C256),"",IF($BL256&lt;&gt;Constants!$B$4,$BL256,RANK($BO256,$BO$9:$BO$508,0)))</f>
        <v/>
      </c>
      <c r="BQ256" s="86" t="str">
        <f aca="false">IF(ISBLANK($C256),"",IF($BL256&lt;&gt;Constants!$B$4,$BL256,COUNTIFS($BM$9:$BM$508,"&lt;"&amp;$BM256)+COUNTIFS($BM$9:$BM$508,$BM256,$BP$9:$BP$508,"&lt;"&amp;$BP256)+1))</f>
        <v/>
      </c>
      <c r="BR256" s="90" t="str">
        <f aca="false">IF($BL256&lt;&gt;Constants!$B$4,"",IF($BB256="-&gt;",$BH256,$AX256))</f>
        <v/>
      </c>
      <c r="BS256" s="86" t="str">
        <f aca="false">IF(ISBLANK($C256),"",IF($BL256&lt;&gt;Constants!$B$4,$BL256,IF(ISNUMBER($BR256),RANK($BR256,$BR$9:$BR$508,0),COUNT($BR$9:$BR$508)+1)))</f>
        <v/>
      </c>
      <c r="BT256" s="90" t="str">
        <f aca="false">IF($BL256&lt;&gt;Constants!$B$4,"",IF($BB256="-&gt;",$BE256,$AU256))</f>
        <v/>
      </c>
      <c r="BU256" s="86" t="str">
        <f aca="false">IF(ISBLANK($C256),"",IF($BL256&lt;&gt;Constants!$B$4,$BL256,IF(ISNUMBER($BT256),RANK($BT256,$BT$9:$BT$508,0),COUNT($BT$9:$BT$508)+1)))</f>
        <v/>
      </c>
      <c r="BV256" s="90" t="str">
        <f aca="false">IF($BL256&lt;&gt;Constants!$B$4,"",IF($BB256="-&gt;",$BF256,$AV256))</f>
        <v/>
      </c>
      <c r="BW256" s="86" t="str">
        <f aca="false">IF(ISBLANK($C256),"",IF($BL256&lt;&gt;Constants!$B$4,$BL256,IF(ISNUMBER($BV256),RANK($BV256,$BV$9:$BV$508,0),COUNT($BV$9:$BV$508)+1)))</f>
        <v/>
      </c>
      <c r="BX256" s="90" t="str">
        <f aca="false">IF($BL256&lt;&gt;Constants!$B$4,"",IF($BB256="-&gt;",$BK256,$BA256))</f>
        <v/>
      </c>
      <c r="BY256" s="86" t="str">
        <f aca="false">IF(ISBLANK($C256),"",IF($BL256&lt;&gt;Constants!$B$4,$BL256,IF(ISNUMBER($BX256),RANK($BX256,$BX$9:$BX$508,0),COUNT($BX$9:$BX$508)+1)))</f>
        <v/>
      </c>
      <c r="BZ256" s="86" t="str">
        <f aca="false">IF(ISBLANK($C256),"",IF($BL256&lt;&gt;Constants!$B$4,$BL256,COUNTIFS($BM$9:$BM$508,"&lt;"&amp;$BM256)+COUNTIFS($BM$9:$BM$508,$BM256,$BP$9:$BP$508,"&lt;"&amp;$BP256)+COUNTIFS($BM$9:$BM$508,$BM256,$BP$9:$BP$508,$BP256,$BS$9:$BS$508,"&lt;"&amp;$BS256)+COUNTIFS($BM$9:$BM$508,$BM256,$BP$9:$BP$508,$BP256,$BS$9:$BS$508,$BS256,$BU$9:$BU$508,"&lt;"&amp;$BU256)+COUNTIFS($BM$9:$BM$508,$BM256,$BP$9:$BP$508,$BP256,$BS$9:$BS$508,$BS256,$BU$9:$BU$508,$BU256,$BW$9:$BW$508,"&lt;"&amp;$BW256)+COUNTIFS($BM$9:$BM$508,$BM256,$BP$9:$BP$508,$BP256,$BS$9:$BS$508,$BS256,$BU$9:$BU$508,$BU256,$BW$9:$BW$508,$BW256,$BY$9:$BY$508,"&lt;"&amp;$BY256)+1))</f>
        <v/>
      </c>
      <c r="CA256" s="86" t="str">
        <f aca="false">IF(ISBLANK($C256),"",IF($BL256&lt;&gt;Constants!$B$4,$BL256,$BQ256-$BZ256))</f>
        <v/>
      </c>
      <c r="CB256" s="93"/>
      <c r="CC256" s="94" t="str">
        <f aca="false">IF(ISBLANK($C256),"",IF($BL256=Constants!$B$8,$AR256,""))</f>
        <v/>
      </c>
      <c r="CD256" s="94" t="str">
        <f aca="false">IF(ISBLANK($C256),"",IF($BL256&lt;&gt;Constants!$B$4,"",IF($BB256="-&gt;",2,1)))</f>
        <v/>
      </c>
      <c r="CE256" s="95" t="str">
        <f aca="false">IF(ISBLANK($C256),"",IF($BL256&lt;&gt;Constants!$B$4,"",IF($BB256="-&gt;",$BE256,$AU256)))</f>
        <v/>
      </c>
      <c r="CF256" s="95" t="str">
        <f aca="false">IF(ISBLANK($C256),"",IF($BL256&lt;&gt;Constants!$B$4,"",IF($BB256="-&gt;",$BF256,$AV256)))</f>
        <v/>
      </c>
      <c r="CG256" s="95" t="str">
        <f aca="false">IF(ISBLANK($C256),"",IF($BL256&lt;&gt;Constants!$B$4,"",IF($BB256="-&gt;",$BG256,$AW256)))</f>
        <v/>
      </c>
      <c r="CH256" s="95" t="str">
        <f aca="false">IF(ISBLANK($C256),"",IF($BL256&lt;&gt;Constants!$B$4,"",IF($BB256="-&gt;",$BH256,$AX256)))</f>
        <v/>
      </c>
      <c r="CI256" s="96" t="str">
        <f aca="false">IF(ISBLANK($C256),"",$BO256)</f>
        <v/>
      </c>
      <c r="CJ256" s="97" t="str">
        <f aca="false">IF(ISBLANK($C256),"",$BM256)</f>
        <v/>
      </c>
      <c r="CK256" s="98" t="str">
        <f aca="false">IF(ISBLANK($C256),"",$CA256)</f>
        <v/>
      </c>
      <c r="CL256" s="98" t="str">
        <f aca="false">IF(ISBLANK($C256),"",$BZ256)</f>
        <v/>
      </c>
      <c r="CM256" s="99" t="str">
        <f aca="false">IF(ISBLANK($C256),"",IF($CL256=Constants!$B$7,COUNTA($C$9:$C$508)+2,IF($CL256=Constants!$B$6,COUNTA($C$9:$C$508)+1,IF($CL256=Constants!$B$5,COUNTA($C$9:$C$508),$CL256))))</f>
        <v/>
      </c>
      <c r="CN256" s="8"/>
      <c r="CO256" s="100" t="n">
        <f aca="false">IF(OR(ISNUMBER($CL256),$CL256=Constants!$B$7,$CL256=Constants!$B$5,$CL256=Constants!$B$6),1,0)</f>
        <v>0</v>
      </c>
      <c r="CP256" s="100" t="n">
        <v>248</v>
      </c>
      <c r="CQ256" s="100" t="str">
        <f aca="false">IF(ISBLANK($C256),"",IF(ISNUMBER($CM256),$CM256+ROW($B256)/1000,""))</f>
        <v/>
      </c>
      <c r="CR256" s="100" t="str">
        <f aca="false">IF(ISNUMBER($CQ256),RANK($CQ256,$CQ$9:$CQ$508,1),"")</f>
        <v/>
      </c>
      <c r="CS256" s="100" t="str">
        <f aca="false">IF(ISBLANK($C256),"",$B256)</f>
        <v/>
      </c>
      <c r="CT256" s="100" t="str">
        <f aca="false">IF(ISBLANK($C256),"",$C256)</f>
        <v/>
      </c>
      <c r="CU256" s="100" t="str">
        <f aca="false">IF(ISBLANK($C256),"",$D256)</f>
        <v/>
      </c>
      <c r="CV256" s="101" t="str">
        <f aca="false">$CJ256</f>
        <v/>
      </c>
      <c r="CW256" s="102" t="str">
        <f aca="false">$CI256</f>
        <v/>
      </c>
      <c r="CX256" s="100" t="str">
        <f aca="false">IF(ISBLANK($C256),"",$CL256)</f>
        <v/>
      </c>
      <c r="CY256" s="103" t="str">
        <f aca="false">IF($CP256&gt;$CO$8,"",VLOOKUP($CP256,$CR$9:$CX$508,7,FALSE()))</f>
        <v/>
      </c>
      <c r="CZ256" s="104" t="str">
        <f aca="false">IF($CP256&gt;$CO$8,"",VLOOKUP($CP256,$CR$9:$CX$508,2,FALSE()))</f>
        <v/>
      </c>
      <c r="DA256" s="104" t="str">
        <f aca="false">IF($CP256&gt;$CO$8,"",VLOOKUP($CP256,$CR$9:$CX$508,3,FALSE()))</f>
        <v/>
      </c>
      <c r="DB256" s="104" t="str">
        <f aca="false">IF($CP256&gt;$CO$8,"",VLOOKUP($CP256,$CR$9:$CX$508,4,FALSE()))</f>
        <v/>
      </c>
      <c r="DC256" s="104" t="str">
        <f aca="false">IF($CP256&gt;$CO$8,"",VLOOKUP($CP256,$CR$9:$CX$508,5,FALSE()))</f>
        <v/>
      </c>
      <c r="DD256" s="105" t="str">
        <f aca="false">IF($CP256&gt;$CO$8,"",VLOOKUP($CP256,$CR$9:$CX$508,6,FALSE()))</f>
        <v/>
      </c>
      <c r="DE256" s="70"/>
    </row>
    <row r="257" customFormat="false" ht="15.75" hidden="false" customHeight="false" outlineLevel="0" collapsed="false">
      <c r="A257" s="8"/>
      <c r="B257" s="72"/>
      <c r="C257" s="73"/>
      <c r="D257" s="155"/>
      <c r="E257" s="162"/>
      <c r="F257" s="157"/>
      <c r="G257" s="77"/>
      <c r="H257" s="77"/>
      <c r="I257" s="77"/>
      <c r="J257" s="163"/>
      <c r="K257" s="161"/>
      <c r="L257" s="161"/>
      <c r="M257" s="80"/>
      <c r="N257" s="161"/>
      <c r="O257" s="160"/>
      <c r="P257" s="161"/>
      <c r="Q257" s="161"/>
      <c r="R257" s="161"/>
      <c r="S257" s="77"/>
      <c r="T257" s="161"/>
      <c r="U257" s="160"/>
      <c r="V257" s="161"/>
      <c r="W257" s="85"/>
      <c r="X257" s="86" t="str">
        <f aca="false">IF(ISBLANK($C257),"",IF($E257=Constants!$B$2,TRUE(),IF($E257=Constants!$B$3,FALSE(),TRUE())))</f>
        <v/>
      </c>
      <c r="Y257" s="86" t="str">
        <f aca="false">IF(ISBLANK($C257),"",IF($F257=Constants!$B$2,TRUE(),IF($F257=Constants!$B$3,FALSE(),TRUE())))</f>
        <v/>
      </c>
      <c r="Z257" s="87" t="str">
        <f aca="false">IF(ISBLANK($C257),"",IF(ISNUMBER($G257),IF($G257&gt;=0,$G257,""),""))</f>
        <v/>
      </c>
      <c r="AA257" s="87" t="str">
        <f aca="false">IF(ISBLANK($C257),"",IF(ISNUMBER($H257),IF($H257&gt;=0,$H257,""),""))</f>
        <v/>
      </c>
      <c r="AB257" s="87" t="str">
        <f aca="false">IF(ISBLANK($C257),"",IF(ISNUMBER($I257),IF($I257&gt;=0,$I257,""),""))</f>
        <v/>
      </c>
      <c r="AC257" s="86" t="str">
        <f aca="false">IF(ISBLANK($C257),"",IF($J257=Constants!$B$2,TRUE(),IF($J257=Constants!$B$3,FALSE(),TRUE())))</f>
        <v/>
      </c>
      <c r="AD257" s="86" t="str">
        <f aca="false">IF(ISBLANK($C257),"",IF($K257=Constants!$B$2,TRUE(),IF($K257=Constants!$B$3,FALSE(),TRUE())))</f>
        <v/>
      </c>
      <c r="AE257" s="86" t="str">
        <f aca="false">IF(ISBLANK($C257),"",IF($L257=Constants!$B$2,TRUE(),IF($L257=Constants!$B$3,FALSE(),TRUE())))</f>
        <v/>
      </c>
      <c r="AF257" s="88" t="str">
        <f aca="false">IF(ISBLANK($C257),"",IF(ISNUMBER($M257),IF($M257&gt;=0,$M257,""),""))</f>
        <v/>
      </c>
      <c r="AG257" s="86" t="str">
        <f aca="false">IF(ISBLANK($C257),"",IF(ISBLANK($N257),0,IF(ISNUMBER($N257),IF(AND($N257&gt;=0,$N257&lt;=Constants!$B$17,$N257=INT($N257)),$N257,""),"")))</f>
        <v/>
      </c>
      <c r="AH257" s="87" t="str">
        <f aca="false">IF(ISBLANK($C257),"",IF(ISBLANK($O257),0,IF(ISNUMBER($O257),IF($O257&gt;=0,$O257,""),"")))</f>
        <v/>
      </c>
      <c r="AI257" s="86" t="str">
        <f aca="false">IF(ISBLANK($C257),"",IF($P257=Constants!$B$2,TRUE(),IF($P257=Constants!$B$3,FALSE(),TRUE())))</f>
        <v/>
      </c>
      <c r="AJ257" s="86" t="str">
        <f aca="false">IF(ISBLANK($C257),"",IF($Q257=Constants!$B$2,TRUE(),IF($Q257=Constants!$B$3,FALSE(),TRUE())))</f>
        <v/>
      </c>
      <c r="AK257" s="86" t="str">
        <f aca="false">IF(ISBLANK($C257),"",IF($R257=Constants!$B$2,TRUE(),IF($R257=Constants!$B$3,FALSE(),TRUE())))</f>
        <v/>
      </c>
      <c r="AL257" s="88" t="str">
        <f aca="false">IF(ISBLANK($C257),"",IF(ISNUMBER($S257),IF($S257&gt;=0,$S257,""),""))</f>
        <v/>
      </c>
      <c r="AM257" s="86" t="str">
        <f aca="false">IF(ISBLANK($C257),"",IF(ISBLANK($T257),0,IF(ISNUMBER($T257),IF(AND($T257&gt;=0,$T257&lt;=Constants!$B$17,$T257=INT($T257)),$T257,""),"")))</f>
        <v/>
      </c>
      <c r="AN257" s="87" t="str">
        <f aca="false">IF(ISBLANK($C257),"",IF(ISBLANK($U257),0,IF(ISNUMBER($U257),IF($U257&gt;=0,$U257,""),"")))</f>
        <v/>
      </c>
      <c r="AO257" s="86" t="str">
        <f aca="false">IF(ISBLANK($C257),"",IF($V257=Constants!$B$2,TRUE(),IF($V257=Constants!$B$3,FALSE(),FALSE())))</f>
        <v/>
      </c>
      <c r="AP257" s="86"/>
      <c r="AQ257" s="85" t="str">
        <f aca="false">IF(ISBLANK($C257),"",AND($Y257,OR($AS257,$BC257),OR($Z257="",$AA257="",$AB257="")))</f>
        <v/>
      </c>
      <c r="AR257" s="85" t="str">
        <f aca="false">IF(ISBLANK($C257),"",IF(OR(NOT($Y257),NOT(OR($AS257,$BC257))),"",IF(ISBLANK($D$7),$AR$5,IF($AP$9="",$AR$6,""))))</f>
        <v/>
      </c>
      <c r="AS257" s="85" t="str">
        <f aca="false">IF(ISBLANK($C257),"",COUNTA($J257:$O257)&gt;0)</f>
        <v/>
      </c>
      <c r="AT257" s="85" t="str">
        <f aca="false">IF(ISBLANK($C257),"",AND($AS257,OR(AND($AF257="",OR($AE257,NOT(ISBLANK($M257)))),$AG257="",$AH257="")))</f>
        <v/>
      </c>
      <c r="AU257" s="87" t="str">
        <f aca="false">IF($BL257&lt;&gt;Constants!$B$4,"",IF(NOT($AS257),"",ROUND((Constants!$B$12-$AB257)+(Constants!$B$13-$Z257)+(Constants!$B$14-$AA257),1)))</f>
        <v/>
      </c>
      <c r="AV257" s="90" t="str">
        <f aca="false">IF($BL257&lt;&gt;Constants!$B$4,"",IF(NOT($AS257),"",IF(NOT($AE257),0,Constants!$B$15*(INT(ROUND(MIN($AF257,$AP$9),6))-INT(ROUND(MAX(0,MIN($AF257,2*$AP$9)-$AP$9),6))))))</f>
        <v/>
      </c>
      <c r="AW257" s="90" t="str">
        <f aca="false">IF($BL257&lt;&gt;Constants!$B$4,"",IF(NOT($AS257),"",Constants!$B$16*$AG257))</f>
        <v/>
      </c>
      <c r="AX257" s="90" t="str">
        <f aca="false">IF($BL257&lt;&gt;Constants!$B$4,"",IF(NOT($AS257),"",Constants!$B$18*INT(ROUND($AH257,6))))</f>
        <v/>
      </c>
      <c r="AY257" s="85" t="str">
        <f aca="false">IF($BL257&lt;&gt;Constants!$B$4,"",IF(NOT($AS257),"",IF(NOT($X257),Constants!$B$11,IF(OR(NOT($AC257),NOT($AD257),ROUND($AB257,1)&gt;Constants!$B$12,ROUND($Z257,1)&gt;Constants!$B$13,ROUND($AA257,1)&gt;Constants!$B$14),Constants!$B$10,Constants!$B$9))))</f>
        <v/>
      </c>
      <c r="AZ257" s="91" t="str">
        <f aca="false">IF($BL257&lt;&gt;Constants!$B$4,"",IF(NOT($AS257),"",ROUND($AU257+$AV257+$AW257+$AX257,1)))</f>
        <v/>
      </c>
      <c r="BA257" s="92" t="str">
        <f aca="false">IF($BL257&lt;&gt;Constants!$B$4,"",IF(NOT($AS257),"",IF(ISNUMBER($AF257),$AF257,0)))</f>
        <v/>
      </c>
      <c r="BB257" s="86" t="str">
        <f aca="false">IF($BL257&lt;&gt;Constants!$B$4,"",IF(NOT($BC257),"&lt;-",IF(NOT($AS257),"-&gt;",IF(OR($BI257&lt;$AY257,AND($BI257=$AY257,OR($BJ257&gt;$AZ257,AND($BJ257=$AZ257,OR($BH257&gt;$AX257,AND($BH257=$AX257,OR($BE257&gt;$AU257,AND($BE257=$AU257,OR($BF257&gt;$AV257,AND($BF257=$AV257,$BK257&gt;$BA257)))))))))),"-&gt;","&lt;-"))))</f>
        <v/>
      </c>
      <c r="BC257" s="85" t="str">
        <f aca="false">IF(ISBLANK($C257),"",COUNTA($P257:$U257)&gt;0)</f>
        <v/>
      </c>
      <c r="BD257" s="85" t="str">
        <f aca="false">IF(ISBLANK($C257),"",AND($BC257,OR(AND($AL257="",OR($AK257,NOT(ISBLANK($S257)))),$AM257="",$AN257="")))</f>
        <v/>
      </c>
      <c r="BE257" s="87" t="str">
        <f aca="false">IF($BL257&lt;&gt;Constants!$B$4,"",IF(NOT($BC257),"",ROUND((Constants!$B$12-$AB257)+(Constants!$B$13-$Z257)+(Constants!$B$14-$AA257),1)))</f>
        <v/>
      </c>
      <c r="BF257" s="90" t="str">
        <f aca="false">IF($BL257&lt;&gt;Constants!$B$4,"",IF(NOT($BC257),"",IF(NOT($AK257),0,Constants!$B$15*(INT(ROUND(MIN($AL257,$AP$9),6))-INT(ROUND(MAX(0,MIN($AL257,2*$AP$9)-$AP$9),6))))))</f>
        <v/>
      </c>
      <c r="BG257" s="90" t="str">
        <f aca="false">IF($BL257&lt;&gt;Constants!$B$4,"",IF(NOT($BC257),"",Constants!$B$16*$AM257))</f>
        <v/>
      </c>
      <c r="BH257" s="90" t="str">
        <f aca="false">IF($BL257&lt;&gt;Constants!$B$4,"",IF(NOT($BC257),"",Constants!$B$18*INT(ROUND($AN257,6))))</f>
        <v/>
      </c>
      <c r="BI257" s="85" t="str">
        <f aca="false">IF($BL257&lt;&gt;Constants!$B$4,"",IF(NOT($BC257),"",IF(NOT($X257),Constants!$B$11,IF(OR(NOT($AI257),NOT($AJ257),ROUND($AB257,1)&gt;Constants!$B$12,ROUND($Z257,1)&gt;Constants!$B$13,ROUND($AA257,1)&gt;Constants!$B$14),Constants!$B$10,Constants!$B$9))))</f>
        <v/>
      </c>
      <c r="BJ257" s="91" t="str">
        <f aca="false">IF($BL257&lt;&gt;Constants!$B$4,"",IF(NOT($BC257),"",ROUND($BE257+$BF257+$BG257+$BH257,1)))</f>
        <v/>
      </c>
      <c r="BK257" s="92" t="str">
        <f aca="false">IF($BL257&lt;&gt;Constants!$B$4,"",IF(NOT($BC257),"",IF(ISNUMBER($AL257),$AL257,0)))</f>
        <v/>
      </c>
      <c r="BL257" s="86" t="str">
        <f aca="false">IF(ISBLANK($C257),"",IF($AO257,Constants!$B$7,IF(COUNTA($E257:$V257)=0,Constants!$B$6,IF(NOT($Y257),Constants!$B$5,IF(NOT(OR($AS257,$BC257)),Constants!$B$5,IF(OR($AT257,$BD257,$AQ257,$AR257&lt;&gt;""),Constants!$B$8,Constants!$B$4))))))</f>
        <v/>
      </c>
      <c r="BM257" s="86" t="str">
        <f aca="false">IF(ISBLANK($C257),"",IF($BL257&lt;&gt;Constants!$B$4,$BL257,IF($BB257="-&gt;",$BI257,$AY257)))</f>
        <v/>
      </c>
      <c r="BN257" s="90" t="str">
        <f aca="false">IF($BL257&lt;&gt;Constants!$B$4,"",IF($BB257="-&gt;",$BJ257,$AZ257))</f>
        <v/>
      </c>
      <c r="BO257" s="90" t="str">
        <f aca="false">IF(ISBLANK($C257),"",IF($BL257&lt;&gt;Constants!$B$4,$BL257,$BN257))</f>
        <v/>
      </c>
      <c r="BP257" s="86" t="str">
        <f aca="false">IF(ISBLANK($C257),"",IF($BL257&lt;&gt;Constants!$B$4,$BL257,RANK($BO257,$BO$9:$BO$508,0)))</f>
        <v/>
      </c>
      <c r="BQ257" s="86" t="str">
        <f aca="false">IF(ISBLANK($C257),"",IF($BL257&lt;&gt;Constants!$B$4,$BL257,COUNTIFS($BM$9:$BM$508,"&lt;"&amp;$BM257)+COUNTIFS($BM$9:$BM$508,$BM257,$BP$9:$BP$508,"&lt;"&amp;$BP257)+1))</f>
        <v/>
      </c>
      <c r="BR257" s="90" t="str">
        <f aca="false">IF($BL257&lt;&gt;Constants!$B$4,"",IF($BB257="-&gt;",$BH257,$AX257))</f>
        <v/>
      </c>
      <c r="BS257" s="86" t="str">
        <f aca="false">IF(ISBLANK($C257),"",IF($BL257&lt;&gt;Constants!$B$4,$BL257,IF(ISNUMBER($BR257),RANK($BR257,$BR$9:$BR$508,0),COUNT($BR$9:$BR$508)+1)))</f>
        <v/>
      </c>
      <c r="BT257" s="90" t="str">
        <f aca="false">IF($BL257&lt;&gt;Constants!$B$4,"",IF($BB257="-&gt;",$BE257,$AU257))</f>
        <v/>
      </c>
      <c r="BU257" s="86" t="str">
        <f aca="false">IF(ISBLANK($C257),"",IF($BL257&lt;&gt;Constants!$B$4,$BL257,IF(ISNUMBER($BT257),RANK($BT257,$BT$9:$BT$508,0),COUNT($BT$9:$BT$508)+1)))</f>
        <v/>
      </c>
      <c r="BV257" s="90" t="str">
        <f aca="false">IF($BL257&lt;&gt;Constants!$B$4,"",IF($BB257="-&gt;",$BF257,$AV257))</f>
        <v/>
      </c>
      <c r="BW257" s="86" t="str">
        <f aca="false">IF(ISBLANK($C257),"",IF($BL257&lt;&gt;Constants!$B$4,$BL257,IF(ISNUMBER($BV257),RANK($BV257,$BV$9:$BV$508,0),COUNT($BV$9:$BV$508)+1)))</f>
        <v/>
      </c>
      <c r="BX257" s="90" t="str">
        <f aca="false">IF($BL257&lt;&gt;Constants!$B$4,"",IF($BB257="-&gt;",$BK257,$BA257))</f>
        <v/>
      </c>
      <c r="BY257" s="86" t="str">
        <f aca="false">IF(ISBLANK($C257),"",IF($BL257&lt;&gt;Constants!$B$4,$BL257,IF(ISNUMBER($BX257),RANK($BX257,$BX$9:$BX$508,0),COUNT($BX$9:$BX$508)+1)))</f>
        <v/>
      </c>
      <c r="BZ257" s="86" t="str">
        <f aca="false">IF(ISBLANK($C257),"",IF($BL257&lt;&gt;Constants!$B$4,$BL257,COUNTIFS($BM$9:$BM$508,"&lt;"&amp;$BM257)+COUNTIFS($BM$9:$BM$508,$BM257,$BP$9:$BP$508,"&lt;"&amp;$BP257)+COUNTIFS($BM$9:$BM$508,$BM257,$BP$9:$BP$508,$BP257,$BS$9:$BS$508,"&lt;"&amp;$BS257)+COUNTIFS($BM$9:$BM$508,$BM257,$BP$9:$BP$508,$BP257,$BS$9:$BS$508,$BS257,$BU$9:$BU$508,"&lt;"&amp;$BU257)+COUNTIFS($BM$9:$BM$508,$BM257,$BP$9:$BP$508,$BP257,$BS$9:$BS$508,$BS257,$BU$9:$BU$508,$BU257,$BW$9:$BW$508,"&lt;"&amp;$BW257)+COUNTIFS($BM$9:$BM$508,$BM257,$BP$9:$BP$508,$BP257,$BS$9:$BS$508,$BS257,$BU$9:$BU$508,$BU257,$BW$9:$BW$508,$BW257,$BY$9:$BY$508,"&lt;"&amp;$BY257)+1))</f>
        <v/>
      </c>
      <c r="CA257" s="86" t="str">
        <f aca="false">IF(ISBLANK($C257),"",IF($BL257&lt;&gt;Constants!$B$4,$BL257,$BQ257-$BZ257))</f>
        <v/>
      </c>
      <c r="CB257" s="93"/>
      <c r="CC257" s="94" t="str">
        <f aca="false">IF(ISBLANK($C257),"",IF($BL257=Constants!$B$8,$AR257,""))</f>
        <v/>
      </c>
      <c r="CD257" s="94" t="str">
        <f aca="false">IF(ISBLANK($C257),"",IF($BL257&lt;&gt;Constants!$B$4,"",IF($BB257="-&gt;",2,1)))</f>
        <v/>
      </c>
      <c r="CE257" s="95" t="str">
        <f aca="false">IF(ISBLANK($C257),"",IF($BL257&lt;&gt;Constants!$B$4,"",IF($BB257="-&gt;",$BE257,$AU257)))</f>
        <v/>
      </c>
      <c r="CF257" s="95" t="str">
        <f aca="false">IF(ISBLANK($C257),"",IF($BL257&lt;&gt;Constants!$B$4,"",IF($BB257="-&gt;",$BF257,$AV257)))</f>
        <v/>
      </c>
      <c r="CG257" s="95" t="str">
        <f aca="false">IF(ISBLANK($C257),"",IF($BL257&lt;&gt;Constants!$B$4,"",IF($BB257="-&gt;",$BG257,$AW257)))</f>
        <v/>
      </c>
      <c r="CH257" s="95" t="str">
        <f aca="false">IF(ISBLANK($C257),"",IF($BL257&lt;&gt;Constants!$B$4,"",IF($BB257="-&gt;",$BH257,$AX257)))</f>
        <v/>
      </c>
      <c r="CI257" s="96" t="str">
        <f aca="false">IF(ISBLANK($C257),"",$BO257)</f>
        <v/>
      </c>
      <c r="CJ257" s="97" t="str">
        <f aca="false">IF(ISBLANK($C257),"",$BM257)</f>
        <v/>
      </c>
      <c r="CK257" s="98" t="str">
        <f aca="false">IF(ISBLANK($C257),"",$CA257)</f>
        <v/>
      </c>
      <c r="CL257" s="98" t="str">
        <f aca="false">IF(ISBLANK($C257),"",$BZ257)</f>
        <v/>
      </c>
      <c r="CM257" s="99" t="str">
        <f aca="false">IF(ISBLANK($C257),"",IF($CL257=Constants!$B$7,COUNTA($C$9:$C$508)+2,IF($CL257=Constants!$B$6,COUNTA($C$9:$C$508)+1,IF($CL257=Constants!$B$5,COUNTA($C$9:$C$508),$CL257))))</f>
        <v/>
      </c>
      <c r="CN257" s="8"/>
      <c r="CO257" s="100" t="n">
        <f aca="false">IF(OR(ISNUMBER($CL257),$CL257=Constants!$B$7,$CL257=Constants!$B$5,$CL257=Constants!$B$6),1,0)</f>
        <v>0</v>
      </c>
      <c r="CP257" s="100" t="n">
        <v>249</v>
      </c>
      <c r="CQ257" s="100" t="str">
        <f aca="false">IF(ISBLANK($C257),"",IF(ISNUMBER($CM257),$CM257+ROW($B257)/1000,""))</f>
        <v/>
      </c>
      <c r="CR257" s="100" t="str">
        <f aca="false">IF(ISNUMBER($CQ257),RANK($CQ257,$CQ$9:$CQ$508,1),"")</f>
        <v/>
      </c>
      <c r="CS257" s="100" t="str">
        <f aca="false">IF(ISBLANK($C257),"",$B257)</f>
        <v/>
      </c>
      <c r="CT257" s="100" t="str">
        <f aca="false">IF(ISBLANK($C257),"",$C257)</f>
        <v/>
      </c>
      <c r="CU257" s="100" t="str">
        <f aca="false">IF(ISBLANK($C257),"",$D257)</f>
        <v/>
      </c>
      <c r="CV257" s="101" t="str">
        <f aca="false">$CJ257</f>
        <v/>
      </c>
      <c r="CW257" s="102" t="str">
        <f aca="false">$CI257</f>
        <v/>
      </c>
      <c r="CX257" s="100" t="str">
        <f aca="false">IF(ISBLANK($C257),"",$CL257)</f>
        <v/>
      </c>
      <c r="CY257" s="103" t="str">
        <f aca="false">IF($CP257&gt;$CO$8,"",VLOOKUP($CP257,$CR$9:$CX$508,7,FALSE()))</f>
        <v/>
      </c>
      <c r="CZ257" s="104" t="str">
        <f aca="false">IF($CP257&gt;$CO$8,"",VLOOKUP($CP257,$CR$9:$CX$508,2,FALSE()))</f>
        <v/>
      </c>
      <c r="DA257" s="104" t="str">
        <f aca="false">IF($CP257&gt;$CO$8,"",VLOOKUP($CP257,$CR$9:$CX$508,3,FALSE()))</f>
        <v/>
      </c>
      <c r="DB257" s="104" t="str">
        <f aca="false">IF($CP257&gt;$CO$8,"",VLOOKUP($CP257,$CR$9:$CX$508,4,FALSE()))</f>
        <v/>
      </c>
      <c r="DC257" s="104" t="str">
        <f aca="false">IF($CP257&gt;$CO$8,"",VLOOKUP($CP257,$CR$9:$CX$508,5,FALSE()))</f>
        <v/>
      </c>
      <c r="DD257" s="105" t="str">
        <f aca="false">IF($CP257&gt;$CO$8,"",VLOOKUP($CP257,$CR$9:$CX$508,6,FALSE()))</f>
        <v/>
      </c>
      <c r="DE257" s="70"/>
    </row>
    <row r="258" customFormat="false" ht="15.75" hidden="false" customHeight="false" outlineLevel="0" collapsed="false">
      <c r="A258" s="8"/>
      <c r="B258" s="146"/>
      <c r="C258" s="147"/>
      <c r="D258" s="148"/>
      <c r="E258" s="164"/>
      <c r="F258" s="150"/>
      <c r="G258" s="115"/>
      <c r="H258" s="115"/>
      <c r="I258" s="115"/>
      <c r="J258" s="165"/>
      <c r="K258" s="154"/>
      <c r="L258" s="154"/>
      <c r="M258" s="118"/>
      <c r="N258" s="154"/>
      <c r="O258" s="153"/>
      <c r="P258" s="154"/>
      <c r="Q258" s="154"/>
      <c r="R258" s="154"/>
      <c r="S258" s="115"/>
      <c r="T258" s="154"/>
      <c r="U258" s="153"/>
      <c r="V258" s="154"/>
      <c r="W258" s="123"/>
      <c r="X258" s="124" t="str">
        <f aca="false">IF(ISBLANK($C258),"",IF($E258=Constants!$B$2,TRUE(),IF($E258=Constants!$B$3,FALSE(),TRUE())))</f>
        <v/>
      </c>
      <c r="Y258" s="124" t="str">
        <f aca="false">IF(ISBLANK($C258),"",IF($F258=Constants!$B$2,TRUE(),IF($F258=Constants!$B$3,FALSE(),TRUE())))</f>
        <v/>
      </c>
      <c r="Z258" s="125" t="str">
        <f aca="false">IF(ISBLANK($C258),"",IF(ISNUMBER($G258),IF($G258&gt;=0,$G258,""),""))</f>
        <v/>
      </c>
      <c r="AA258" s="125" t="str">
        <f aca="false">IF(ISBLANK($C258),"",IF(ISNUMBER($H258),IF($H258&gt;=0,$H258,""),""))</f>
        <v/>
      </c>
      <c r="AB258" s="125" t="str">
        <f aca="false">IF(ISBLANK($C258),"",IF(ISNUMBER($I258),IF($I258&gt;=0,$I258,""),""))</f>
        <v/>
      </c>
      <c r="AC258" s="124" t="str">
        <f aca="false">IF(ISBLANK($C258),"",IF($J258=Constants!$B$2,TRUE(),IF($J258=Constants!$B$3,FALSE(),TRUE())))</f>
        <v/>
      </c>
      <c r="AD258" s="124" t="str">
        <f aca="false">IF(ISBLANK($C258),"",IF($K258=Constants!$B$2,TRUE(),IF($K258=Constants!$B$3,FALSE(),TRUE())))</f>
        <v/>
      </c>
      <c r="AE258" s="124" t="str">
        <f aca="false">IF(ISBLANK($C258),"",IF($L258=Constants!$B$2,TRUE(),IF($L258=Constants!$B$3,FALSE(),TRUE())))</f>
        <v/>
      </c>
      <c r="AF258" s="126" t="str">
        <f aca="false">IF(ISBLANK($C258),"",IF(ISNUMBER($M258),IF($M258&gt;=0,$M258,""),""))</f>
        <v/>
      </c>
      <c r="AG258" s="124" t="str">
        <f aca="false">IF(ISBLANK($C258),"",IF(ISBLANK($N258),0,IF(ISNUMBER($N258),IF(AND($N258&gt;=0,$N258&lt;=Constants!$B$17,$N258=INT($N258)),$N258,""),"")))</f>
        <v/>
      </c>
      <c r="AH258" s="125" t="str">
        <f aca="false">IF(ISBLANK($C258),"",IF(ISBLANK($O258),0,IF(ISNUMBER($O258),IF($O258&gt;=0,$O258,""),"")))</f>
        <v/>
      </c>
      <c r="AI258" s="124" t="str">
        <f aca="false">IF(ISBLANK($C258),"",IF($P258=Constants!$B$2,TRUE(),IF($P258=Constants!$B$3,FALSE(),TRUE())))</f>
        <v/>
      </c>
      <c r="AJ258" s="124" t="str">
        <f aca="false">IF(ISBLANK($C258),"",IF($Q258=Constants!$B$2,TRUE(),IF($Q258=Constants!$B$3,FALSE(),TRUE())))</f>
        <v/>
      </c>
      <c r="AK258" s="124" t="str">
        <f aca="false">IF(ISBLANK($C258),"",IF($R258=Constants!$B$2,TRUE(),IF($R258=Constants!$B$3,FALSE(),TRUE())))</f>
        <v/>
      </c>
      <c r="AL258" s="126" t="str">
        <f aca="false">IF(ISBLANK($C258),"",IF(ISNUMBER($S258),IF($S258&gt;=0,$S258,""),""))</f>
        <v/>
      </c>
      <c r="AM258" s="124" t="str">
        <f aca="false">IF(ISBLANK($C258),"",IF(ISBLANK($T258),0,IF(ISNUMBER($T258),IF(AND($T258&gt;=0,$T258&lt;=Constants!$B$17,$T258=INT($T258)),$T258,""),"")))</f>
        <v/>
      </c>
      <c r="AN258" s="125" t="str">
        <f aca="false">IF(ISBLANK($C258),"",IF(ISBLANK($U258),0,IF(ISNUMBER($U258),IF($U258&gt;=0,$U258,""),"")))</f>
        <v/>
      </c>
      <c r="AO258" s="124" t="str">
        <f aca="false">IF(ISBLANK($C258),"",IF($V258=Constants!$B$2,TRUE(),IF($V258=Constants!$B$3,FALSE(),FALSE())))</f>
        <v/>
      </c>
      <c r="AP258" s="124"/>
      <c r="AQ258" s="123" t="str">
        <f aca="false">IF(ISBLANK($C258),"",AND($Y258,OR($AS258,$BC258),OR($Z258="",$AA258="",$AB258="")))</f>
        <v/>
      </c>
      <c r="AR258" s="123" t="str">
        <f aca="false">IF(ISBLANK($C258),"",IF(OR(NOT($Y258),NOT(OR($AS258,$BC258))),"",IF(ISBLANK($D$7),$AR$5,IF($AP$9="",$AR$6,""))))</f>
        <v/>
      </c>
      <c r="AS258" s="123" t="str">
        <f aca="false">IF(ISBLANK($C258),"",COUNTA($J258:$O258)&gt;0)</f>
        <v/>
      </c>
      <c r="AT258" s="123" t="str">
        <f aca="false">IF(ISBLANK($C258),"",AND($AS258,OR(AND($AF258="",OR($AE258,NOT(ISBLANK($M258)))),$AG258="",$AH258="")))</f>
        <v/>
      </c>
      <c r="AU258" s="125" t="str">
        <f aca="false">IF($BL258&lt;&gt;Constants!$B$4,"",IF(NOT($AS258),"",ROUND((Constants!$B$12-$AB258)+(Constants!$B$13-$Z258)+(Constants!$B$14-$AA258),1)))</f>
        <v/>
      </c>
      <c r="AV258" s="127" t="str">
        <f aca="false">IF($BL258&lt;&gt;Constants!$B$4,"",IF(NOT($AS258),"",IF(NOT($AE258),0,Constants!$B$15*(INT(ROUND(MIN($AF258,$AP$9),6))-INT(ROUND(MAX(0,MIN($AF258,2*$AP$9)-$AP$9),6))))))</f>
        <v/>
      </c>
      <c r="AW258" s="127" t="str">
        <f aca="false">IF($BL258&lt;&gt;Constants!$B$4,"",IF(NOT($AS258),"",Constants!$B$16*$AG258))</f>
        <v/>
      </c>
      <c r="AX258" s="127" t="str">
        <f aca="false">IF($BL258&lt;&gt;Constants!$B$4,"",IF(NOT($AS258),"",Constants!$B$18*INT(ROUND($AH258,6))))</f>
        <v/>
      </c>
      <c r="AY258" s="123" t="str">
        <f aca="false">IF($BL258&lt;&gt;Constants!$B$4,"",IF(NOT($AS258),"",IF(NOT($X258),Constants!$B$11,IF(OR(NOT($AC258),NOT($AD258),ROUND($AB258,1)&gt;Constants!$B$12,ROUND($Z258,1)&gt;Constants!$B$13,ROUND($AA258,1)&gt;Constants!$B$14),Constants!$B$10,Constants!$B$9))))</f>
        <v/>
      </c>
      <c r="AZ258" s="128" t="str">
        <f aca="false">IF($BL258&lt;&gt;Constants!$B$4,"",IF(NOT($AS258),"",ROUND($AU258+$AV258+$AW258+$AX258,1)))</f>
        <v/>
      </c>
      <c r="BA258" s="129" t="str">
        <f aca="false">IF($BL258&lt;&gt;Constants!$B$4,"",IF(NOT($AS258),"",IF(ISNUMBER($AF258),$AF258,0)))</f>
        <v/>
      </c>
      <c r="BB258" s="124" t="str">
        <f aca="false">IF($BL258&lt;&gt;Constants!$B$4,"",IF(NOT($BC258),"&lt;-",IF(NOT($AS258),"-&gt;",IF(OR($BI258&lt;$AY258,AND($BI258=$AY258,OR($BJ258&gt;$AZ258,AND($BJ258=$AZ258,OR($BH258&gt;$AX258,AND($BH258=$AX258,OR($BE258&gt;$AU258,AND($BE258=$AU258,OR($BF258&gt;$AV258,AND($BF258=$AV258,$BK258&gt;$BA258)))))))))),"-&gt;","&lt;-"))))</f>
        <v/>
      </c>
      <c r="BC258" s="123" t="str">
        <f aca="false">IF(ISBLANK($C258),"",COUNTA($P258:$U258)&gt;0)</f>
        <v/>
      </c>
      <c r="BD258" s="123" t="str">
        <f aca="false">IF(ISBLANK($C258),"",AND($BC258,OR(AND($AL258="",OR($AK258,NOT(ISBLANK($S258)))),$AM258="",$AN258="")))</f>
        <v/>
      </c>
      <c r="BE258" s="125" t="str">
        <f aca="false">IF($BL258&lt;&gt;Constants!$B$4,"",IF(NOT($BC258),"",ROUND((Constants!$B$12-$AB258)+(Constants!$B$13-$Z258)+(Constants!$B$14-$AA258),1)))</f>
        <v/>
      </c>
      <c r="BF258" s="127" t="str">
        <f aca="false">IF($BL258&lt;&gt;Constants!$B$4,"",IF(NOT($BC258),"",IF(NOT($AK258),0,Constants!$B$15*(INT(ROUND(MIN($AL258,$AP$9),6))-INT(ROUND(MAX(0,MIN($AL258,2*$AP$9)-$AP$9),6))))))</f>
        <v/>
      </c>
      <c r="BG258" s="127" t="str">
        <f aca="false">IF($BL258&lt;&gt;Constants!$B$4,"",IF(NOT($BC258),"",Constants!$B$16*$AM258))</f>
        <v/>
      </c>
      <c r="BH258" s="127" t="str">
        <f aca="false">IF($BL258&lt;&gt;Constants!$B$4,"",IF(NOT($BC258),"",Constants!$B$18*INT(ROUND($AN258,6))))</f>
        <v/>
      </c>
      <c r="BI258" s="123" t="str">
        <f aca="false">IF($BL258&lt;&gt;Constants!$B$4,"",IF(NOT($BC258),"",IF(NOT($X258),Constants!$B$11,IF(OR(NOT($AI258),NOT($AJ258),ROUND($AB258,1)&gt;Constants!$B$12,ROUND($Z258,1)&gt;Constants!$B$13,ROUND($AA258,1)&gt;Constants!$B$14),Constants!$B$10,Constants!$B$9))))</f>
        <v/>
      </c>
      <c r="BJ258" s="128" t="str">
        <f aca="false">IF($BL258&lt;&gt;Constants!$B$4,"",IF(NOT($BC258),"",ROUND($BE258+$BF258+$BG258+$BH258,1)))</f>
        <v/>
      </c>
      <c r="BK258" s="129" t="str">
        <f aca="false">IF($BL258&lt;&gt;Constants!$B$4,"",IF(NOT($BC258),"",IF(ISNUMBER($AL258),$AL258,0)))</f>
        <v/>
      </c>
      <c r="BL258" s="124" t="str">
        <f aca="false">IF(ISBLANK($C258),"",IF($AO258,Constants!$B$7,IF(COUNTA($E258:$V258)=0,Constants!$B$6,IF(NOT($Y258),Constants!$B$5,IF(NOT(OR($AS258,$BC258)),Constants!$B$5,IF(OR($AT258,$BD258,$AQ258,$AR258&lt;&gt;""),Constants!$B$8,Constants!$B$4))))))</f>
        <v/>
      </c>
      <c r="BM258" s="124" t="str">
        <f aca="false">IF(ISBLANK($C258),"",IF($BL258&lt;&gt;Constants!$B$4,$BL258,IF($BB258="-&gt;",$BI258,$AY258)))</f>
        <v/>
      </c>
      <c r="BN258" s="127" t="str">
        <f aca="false">IF($BL258&lt;&gt;Constants!$B$4,"",IF($BB258="-&gt;",$BJ258,$AZ258))</f>
        <v/>
      </c>
      <c r="BO258" s="127" t="str">
        <f aca="false">IF(ISBLANK($C258),"",IF($BL258&lt;&gt;Constants!$B$4,$BL258,$BN258))</f>
        <v/>
      </c>
      <c r="BP258" s="124" t="str">
        <f aca="false">IF(ISBLANK($C258),"",IF($BL258&lt;&gt;Constants!$B$4,$BL258,RANK($BO258,$BO$9:$BO$508,0)))</f>
        <v/>
      </c>
      <c r="BQ258" s="124" t="str">
        <f aca="false">IF(ISBLANK($C258),"",IF($BL258&lt;&gt;Constants!$B$4,$BL258,COUNTIFS($BM$9:$BM$508,"&lt;"&amp;$BM258)+COUNTIFS($BM$9:$BM$508,$BM258,$BP$9:$BP$508,"&lt;"&amp;$BP258)+1))</f>
        <v/>
      </c>
      <c r="BR258" s="127" t="str">
        <f aca="false">IF($BL258&lt;&gt;Constants!$B$4,"",IF($BB258="-&gt;",$BH258,$AX258))</f>
        <v/>
      </c>
      <c r="BS258" s="124" t="str">
        <f aca="false">IF(ISBLANK($C258),"",IF($BL258&lt;&gt;Constants!$B$4,$BL258,IF(ISNUMBER($BR258),RANK($BR258,$BR$9:$BR$508,0),COUNT($BR$9:$BR$508)+1)))</f>
        <v/>
      </c>
      <c r="BT258" s="127" t="str">
        <f aca="false">IF($BL258&lt;&gt;Constants!$B$4,"",IF($BB258="-&gt;",$BE258,$AU258))</f>
        <v/>
      </c>
      <c r="BU258" s="124" t="str">
        <f aca="false">IF(ISBLANK($C258),"",IF($BL258&lt;&gt;Constants!$B$4,$BL258,IF(ISNUMBER($BT258),RANK($BT258,$BT$9:$BT$508,0),COUNT($BT$9:$BT$508)+1)))</f>
        <v/>
      </c>
      <c r="BV258" s="127" t="str">
        <f aca="false">IF($BL258&lt;&gt;Constants!$B$4,"",IF($BB258="-&gt;",$BF258,$AV258))</f>
        <v/>
      </c>
      <c r="BW258" s="124" t="str">
        <f aca="false">IF(ISBLANK($C258),"",IF($BL258&lt;&gt;Constants!$B$4,$BL258,IF(ISNUMBER($BV258),RANK($BV258,$BV$9:$BV$508,0),COUNT($BV$9:$BV$508)+1)))</f>
        <v/>
      </c>
      <c r="BX258" s="127" t="str">
        <f aca="false">IF($BL258&lt;&gt;Constants!$B$4,"",IF($BB258="-&gt;",$BK258,$BA258))</f>
        <v/>
      </c>
      <c r="BY258" s="124" t="str">
        <f aca="false">IF(ISBLANK($C258),"",IF($BL258&lt;&gt;Constants!$B$4,$BL258,IF(ISNUMBER($BX258),RANK($BX258,$BX$9:$BX$508,0),COUNT($BX$9:$BX$508)+1)))</f>
        <v/>
      </c>
      <c r="BZ258" s="124" t="str">
        <f aca="false">IF(ISBLANK($C258),"",IF($BL258&lt;&gt;Constants!$B$4,$BL258,COUNTIFS($BM$9:$BM$508,"&lt;"&amp;$BM258)+COUNTIFS($BM$9:$BM$508,$BM258,$BP$9:$BP$508,"&lt;"&amp;$BP258)+COUNTIFS($BM$9:$BM$508,$BM258,$BP$9:$BP$508,$BP258,$BS$9:$BS$508,"&lt;"&amp;$BS258)+COUNTIFS($BM$9:$BM$508,$BM258,$BP$9:$BP$508,$BP258,$BS$9:$BS$508,$BS258,$BU$9:$BU$508,"&lt;"&amp;$BU258)+COUNTIFS($BM$9:$BM$508,$BM258,$BP$9:$BP$508,$BP258,$BS$9:$BS$508,$BS258,$BU$9:$BU$508,$BU258,$BW$9:$BW$508,"&lt;"&amp;$BW258)+COUNTIFS($BM$9:$BM$508,$BM258,$BP$9:$BP$508,$BP258,$BS$9:$BS$508,$BS258,$BU$9:$BU$508,$BU258,$BW$9:$BW$508,$BW258,$BY$9:$BY$508,"&lt;"&amp;$BY258)+1))</f>
        <v/>
      </c>
      <c r="CA258" s="124" t="str">
        <f aca="false">IF(ISBLANK($C258),"",IF($BL258&lt;&gt;Constants!$B$4,$BL258,$BQ258-$BZ258))</f>
        <v/>
      </c>
      <c r="CB258" s="130"/>
      <c r="CC258" s="131" t="str">
        <f aca="false">IF(ISBLANK($C258),"",IF($BL258=Constants!$B$8,$AR258,""))</f>
        <v/>
      </c>
      <c r="CD258" s="131" t="str">
        <f aca="false">IF(ISBLANK($C258),"",IF($BL258&lt;&gt;Constants!$B$4,"",IF($BB258="-&gt;",2,1)))</f>
        <v/>
      </c>
      <c r="CE258" s="132" t="str">
        <f aca="false">IF(ISBLANK($C258),"",IF($BL258&lt;&gt;Constants!$B$4,"",IF($BB258="-&gt;",$BE258,$AU258)))</f>
        <v/>
      </c>
      <c r="CF258" s="132" t="str">
        <f aca="false">IF(ISBLANK($C258),"",IF($BL258&lt;&gt;Constants!$B$4,"",IF($BB258="-&gt;",$BF258,$AV258)))</f>
        <v/>
      </c>
      <c r="CG258" s="132" t="str">
        <f aca="false">IF(ISBLANK($C258),"",IF($BL258&lt;&gt;Constants!$B$4,"",IF($BB258="-&gt;",$BG258,$AW258)))</f>
        <v/>
      </c>
      <c r="CH258" s="132" t="str">
        <f aca="false">IF(ISBLANK($C258),"",IF($BL258&lt;&gt;Constants!$B$4,"",IF($BB258="-&gt;",$BH258,$AX258)))</f>
        <v/>
      </c>
      <c r="CI258" s="133" t="str">
        <f aca="false">IF(ISBLANK($C258),"",$BO258)</f>
        <v/>
      </c>
      <c r="CJ258" s="134" t="str">
        <f aca="false">IF(ISBLANK($C258),"",$BM258)</f>
        <v/>
      </c>
      <c r="CK258" s="135" t="str">
        <f aca="false">IF(ISBLANK($C258),"",$CA258)</f>
        <v/>
      </c>
      <c r="CL258" s="135" t="str">
        <f aca="false">IF(ISBLANK($C258),"",$BZ258)</f>
        <v/>
      </c>
      <c r="CM258" s="136" t="str">
        <f aca="false">IF(ISBLANK($C258),"",IF($CL258=Constants!$B$7,COUNTA($C$9:$C$508)+2,IF($CL258=Constants!$B$6,COUNTA($C$9:$C$508)+1,IF($CL258=Constants!$B$5,COUNTA($C$9:$C$508),$CL258))))</f>
        <v/>
      </c>
      <c r="CN258" s="8"/>
      <c r="CO258" s="137" t="n">
        <f aca="false">IF(OR(ISNUMBER($CL258),$CL258=Constants!$B$7,$CL258=Constants!$B$5,$CL258=Constants!$B$6),1,0)</f>
        <v>0</v>
      </c>
      <c r="CP258" s="137" t="n">
        <v>250</v>
      </c>
      <c r="CQ258" s="137" t="str">
        <f aca="false">IF(ISBLANK($C258),"",IF(ISNUMBER($CM258),$CM258+ROW($B258)/1000,""))</f>
        <v/>
      </c>
      <c r="CR258" s="137" t="str">
        <f aca="false">IF(ISNUMBER($CQ258),RANK($CQ258,$CQ$9:$CQ$508,1),"")</f>
        <v/>
      </c>
      <c r="CS258" s="137" t="str">
        <f aca="false">IF(ISBLANK($C258),"",$B258)</f>
        <v/>
      </c>
      <c r="CT258" s="137" t="str">
        <f aca="false">IF(ISBLANK($C258),"",$C258)</f>
        <v/>
      </c>
      <c r="CU258" s="137" t="str">
        <f aca="false">IF(ISBLANK($C258),"",$D258)</f>
        <v/>
      </c>
      <c r="CV258" s="138" t="str">
        <f aca="false">$CJ258</f>
        <v/>
      </c>
      <c r="CW258" s="139" t="str">
        <f aca="false">$CI258</f>
        <v/>
      </c>
      <c r="CX258" s="137" t="str">
        <f aca="false">IF(ISBLANK($C258),"",$CL258)</f>
        <v/>
      </c>
      <c r="CY258" s="140" t="str">
        <f aca="false">IF($CP258&gt;$CO$8,"",VLOOKUP($CP258,$CR$9:$CX$508,7,FALSE()))</f>
        <v/>
      </c>
      <c r="CZ258" s="141" t="str">
        <f aca="false">IF($CP258&gt;$CO$8,"",VLOOKUP($CP258,$CR$9:$CX$508,2,FALSE()))</f>
        <v/>
      </c>
      <c r="DA258" s="141" t="str">
        <f aca="false">IF($CP258&gt;$CO$8,"",VLOOKUP($CP258,$CR$9:$CX$508,3,FALSE()))</f>
        <v/>
      </c>
      <c r="DB258" s="141" t="str">
        <f aca="false">IF($CP258&gt;$CO$8,"",VLOOKUP($CP258,$CR$9:$CX$508,4,FALSE()))</f>
        <v/>
      </c>
      <c r="DC258" s="141" t="str">
        <f aca="false">IF($CP258&gt;$CO$8,"",VLOOKUP($CP258,$CR$9:$CX$508,5,FALSE()))</f>
        <v/>
      </c>
      <c r="DD258" s="142" t="str">
        <f aca="false">IF($CP258&gt;$CO$8,"",VLOOKUP($CP258,$CR$9:$CX$508,6,FALSE()))</f>
        <v/>
      </c>
      <c r="DE258" s="70"/>
    </row>
    <row r="259" customFormat="false" ht="15.75" hidden="false" customHeight="false" outlineLevel="0" collapsed="false">
      <c r="A259" s="8"/>
      <c r="B259" s="146"/>
      <c r="C259" s="147"/>
      <c r="D259" s="148"/>
      <c r="E259" s="164"/>
      <c r="F259" s="150"/>
      <c r="G259" s="115"/>
      <c r="H259" s="115"/>
      <c r="I259" s="115"/>
      <c r="J259" s="165"/>
      <c r="K259" s="154"/>
      <c r="L259" s="154"/>
      <c r="M259" s="118"/>
      <c r="N259" s="154"/>
      <c r="O259" s="153"/>
      <c r="P259" s="154"/>
      <c r="Q259" s="154"/>
      <c r="R259" s="154"/>
      <c r="S259" s="115"/>
      <c r="T259" s="154"/>
      <c r="U259" s="153"/>
      <c r="V259" s="154"/>
      <c r="W259" s="123"/>
      <c r="X259" s="124" t="str">
        <f aca="false">IF(ISBLANK($C259),"",IF($E259=Constants!$B$2,TRUE(),IF($E259=Constants!$B$3,FALSE(),TRUE())))</f>
        <v/>
      </c>
      <c r="Y259" s="124" t="str">
        <f aca="false">IF(ISBLANK($C259),"",IF($F259=Constants!$B$2,TRUE(),IF($F259=Constants!$B$3,FALSE(),TRUE())))</f>
        <v/>
      </c>
      <c r="Z259" s="125" t="str">
        <f aca="false">IF(ISBLANK($C259),"",IF(ISNUMBER($G259),IF($G259&gt;=0,$G259,""),""))</f>
        <v/>
      </c>
      <c r="AA259" s="125" t="str">
        <f aca="false">IF(ISBLANK($C259),"",IF(ISNUMBER($H259),IF($H259&gt;=0,$H259,""),""))</f>
        <v/>
      </c>
      <c r="AB259" s="125" t="str">
        <f aca="false">IF(ISBLANK($C259),"",IF(ISNUMBER($I259),IF($I259&gt;=0,$I259,""),""))</f>
        <v/>
      </c>
      <c r="AC259" s="124" t="str">
        <f aca="false">IF(ISBLANK($C259),"",IF($J259=Constants!$B$2,TRUE(),IF($J259=Constants!$B$3,FALSE(),TRUE())))</f>
        <v/>
      </c>
      <c r="AD259" s="124" t="str">
        <f aca="false">IF(ISBLANK($C259),"",IF($K259=Constants!$B$2,TRUE(),IF($K259=Constants!$B$3,FALSE(),TRUE())))</f>
        <v/>
      </c>
      <c r="AE259" s="124" t="str">
        <f aca="false">IF(ISBLANK($C259),"",IF($L259=Constants!$B$2,TRUE(),IF($L259=Constants!$B$3,FALSE(),TRUE())))</f>
        <v/>
      </c>
      <c r="AF259" s="126" t="str">
        <f aca="false">IF(ISBLANK($C259),"",IF(ISNUMBER($M259),IF($M259&gt;=0,$M259,""),""))</f>
        <v/>
      </c>
      <c r="AG259" s="124" t="str">
        <f aca="false">IF(ISBLANK($C259),"",IF(ISBLANK($N259),0,IF(ISNUMBER($N259),IF(AND($N259&gt;=0,$N259&lt;=Constants!$B$17,$N259=INT($N259)),$N259,""),"")))</f>
        <v/>
      </c>
      <c r="AH259" s="125" t="str">
        <f aca="false">IF(ISBLANK($C259),"",IF(ISBLANK($O259),0,IF(ISNUMBER($O259),IF($O259&gt;=0,$O259,""),"")))</f>
        <v/>
      </c>
      <c r="AI259" s="124" t="str">
        <f aca="false">IF(ISBLANK($C259),"",IF($P259=Constants!$B$2,TRUE(),IF($P259=Constants!$B$3,FALSE(),TRUE())))</f>
        <v/>
      </c>
      <c r="AJ259" s="124" t="str">
        <f aca="false">IF(ISBLANK($C259),"",IF($Q259=Constants!$B$2,TRUE(),IF($Q259=Constants!$B$3,FALSE(),TRUE())))</f>
        <v/>
      </c>
      <c r="AK259" s="124" t="str">
        <f aca="false">IF(ISBLANK($C259),"",IF($R259=Constants!$B$2,TRUE(),IF($R259=Constants!$B$3,FALSE(),TRUE())))</f>
        <v/>
      </c>
      <c r="AL259" s="126" t="str">
        <f aca="false">IF(ISBLANK($C259),"",IF(ISNUMBER($S259),IF($S259&gt;=0,$S259,""),""))</f>
        <v/>
      </c>
      <c r="AM259" s="124" t="str">
        <f aca="false">IF(ISBLANK($C259),"",IF(ISBLANK($T259),0,IF(ISNUMBER($T259),IF(AND($T259&gt;=0,$T259&lt;=Constants!$B$17,$T259=INT($T259)),$T259,""),"")))</f>
        <v/>
      </c>
      <c r="AN259" s="125" t="str">
        <f aca="false">IF(ISBLANK($C259),"",IF(ISBLANK($U259),0,IF(ISNUMBER($U259),IF($U259&gt;=0,$U259,""),"")))</f>
        <v/>
      </c>
      <c r="AO259" s="124" t="str">
        <f aca="false">IF(ISBLANK($C259),"",IF($V259=Constants!$B$2,TRUE(),IF($V259=Constants!$B$3,FALSE(),FALSE())))</f>
        <v/>
      </c>
      <c r="AP259" s="124"/>
      <c r="AQ259" s="123" t="str">
        <f aca="false">IF(ISBLANK($C259),"",AND($Y259,OR($AS259,$BC259),OR($Z259="",$AA259="",$AB259="")))</f>
        <v/>
      </c>
      <c r="AR259" s="123" t="str">
        <f aca="false">IF(ISBLANK($C259),"",IF(OR(NOT($Y259),NOT(OR($AS259,$BC259))),"",IF(ISBLANK($D$7),$AR$5,IF($AP$9="",$AR$6,""))))</f>
        <v/>
      </c>
      <c r="AS259" s="123" t="str">
        <f aca="false">IF(ISBLANK($C259),"",COUNTA($J259:$O259)&gt;0)</f>
        <v/>
      </c>
      <c r="AT259" s="123" t="str">
        <f aca="false">IF(ISBLANK($C259),"",AND($AS259,OR(AND($AF259="",OR($AE259,NOT(ISBLANK($M259)))),$AG259="",$AH259="")))</f>
        <v/>
      </c>
      <c r="AU259" s="125" t="str">
        <f aca="false">IF($BL259&lt;&gt;Constants!$B$4,"",IF(NOT($AS259),"",ROUND((Constants!$B$12-$AB259)+(Constants!$B$13-$Z259)+(Constants!$B$14-$AA259),1)))</f>
        <v/>
      </c>
      <c r="AV259" s="127" t="str">
        <f aca="false">IF($BL259&lt;&gt;Constants!$B$4,"",IF(NOT($AS259),"",IF(NOT($AE259),0,Constants!$B$15*(INT(ROUND(MIN($AF259,$AP$9),6))-INT(ROUND(MAX(0,MIN($AF259,2*$AP$9)-$AP$9),6))))))</f>
        <v/>
      </c>
      <c r="AW259" s="127" t="str">
        <f aca="false">IF($BL259&lt;&gt;Constants!$B$4,"",IF(NOT($AS259),"",Constants!$B$16*$AG259))</f>
        <v/>
      </c>
      <c r="AX259" s="127" t="str">
        <f aca="false">IF($BL259&lt;&gt;Constants!$B$4,"",IF(NOT($AS259),"",Constants!$B$18*INT(ROUND($AH259,6))))</f>
        <v/>
      </c>
      <c r="AY259" s="123" t="str">
        <f aca="false">IF($BL259&lt;&gt;Constants!$B$4,"",IF(NOT($AS259),"",IF(NOT($X259),Constants!$B$11,IF(OR(NOT($AC259),NOT($AD259),ROUND($AB259,1)&gt;Constants!$B$12,ROUND($Z259,1)&gt;Constants!$B$13,ROUND($AA259,1)&gt;Constants!$B$14),Constants!$B$10,Constants!$B$9))))</f>
        <v/>
      </c>
      <c r="AZ259" s="128" t="str">
        <f aca="false">IF($BL259&lt;&gt;Constants!$B$4,"",IF(NOT($AS259),"",ROUND($AU259+$AV259+$AW259+$AX259,1)))</f>
        <v/>
      </c>
      <c r="BA259" s="129" t="str">
        <f aca="false">IF($BL259&lt;&gt;Constants!$B$4,"",IF(NOT($AS259),"",IF(ISNUMBER($AF259),$AF259,0)))</f>
        <v/>
      </c>
      <c r="BB259" s="124" t="str">
        <f aca="false">IF($BL259&lt;&gt;Constants!$B$4,"",IF(NOT($BC259),"&lt;-",IF(NOT($AS259),"-&gt;",IF(OR($BI259&lt;$AY259,AND($BI259=$AY259,OR($BJ259&gt;$AZ259,AND($BJ259=$AZ259,OR($BH259&gt;$AX259,AND($BH259=$AX259,OR($BE259&gt;$AU259,AND($BE259=$AU259,OR($BF259&gt;$AV259,AND($BF259=$AV259,$BK259&gt;$BA259)))))))))),"-&gt;","&lt;-"))))</f>
        <v/>
      </c>
      <c r="BC259" s="123" t="str">
        <f aca="false">IF(ISBLANK($C259),"",COUNTA($P259:$U259)&gt;0)</f>
        <v/>
      </c>
      <c r="BD259" s="123" t="str">
        <f aca="false">IF(ISBLANK($C259),"",AND($BC259,OR(AND($AL259="",OR($AK259,NOT(ISBLANK($S259)))),$AM259="",$AN259="")))</f>
        <v/>
      </c>
      <c r="BE259" s="125" t="str">
        <f aca="false">IF($BL259&lt;&gt;Constants!$B$4,"",IF(NOT($BC259),"",ROUND((Constants!$B$12-$AB259)+(Constants!$B$13-$Z259)+(Constants!$B$14-$AA259),1)))</f>
        <v/>
      </c>
      <c r="BF259" s="127" t="str">
        <f aca="false">IF($BL259&lt;&gt;Constants!$B$4,"",IF(NOT($BC259),"",IF(NOT($AK259),0,Constants!$B$15*(INT(ROUND(MIN($AL259,$AP$9),6))-INT(ROUND(MAX(0,MIN($AL259,2*$AP$9)-$AP$9),6))))))</f>
        <v/>
      </c>
      <c r="BG259" s="127" t="str">
        <f aca="false">IF($BL259&lt;&gt;Constants!$B$4,"",IF(NOT($BC259),"",Constants!$B$16*$AM259))</f>
        <v/>
      </c>
      <c r="BH259" s="127" t="str">
        <f aca="false">IF($BL259&lt;&gt;Constants!$B$4,"",IF(NOT($BC259),"",Constants!$B$18*INT(ROUND($AN259,6))))</f>
        <v/>
      </c>
      <c r="BI259" s="123" t="str">
        <f aca="false">IF($BL259&lt;&gt;Constants!$B$4,"",IF(NOT($BC259),"",IF(NOT($X259),Constants!$B$11,IF(OR(NOT($AI259),NOT($AJ259),ROUND($AB259,1)&gt;Constants!$B$12,ROUND($Z259,1)&gt;Constants!$B$13,ROUND($AA259,1)&gt;Constants!$B$14),Constants!$B$10,Constants!$B$9))))</f>
        <v/>
      </c>
      <c r="BJ259" s="128" t="str">
        <f aca="false">IF($BL259&lt;&gt;Constants!$B$4,"",IF(NOT($BC259),"",ROUND($BE259+$BF259+$BG259+$BH259,1)))</f>
        <v/>
      </c>
      <c r="BK259" s="129" t="str">
        <f aca="false">IF($BL259&lt;&gt;Constants!$B$4,"",IF(NOT($BC259),"",IF(ISNUMBER($AL259),$AL259,0)))</f>
        <v/>
      </c>
      <c r="BL259" s="124" t="str">
        <f aca="false">IF(ISBLANK($C259),"",IF($AO259,Constants!$B$7,IF(COUNTA($E259:$V259)=0,Constants!$B$6,IF(NOT($Y259),Constants!$B$5,IF(NOT(OR($AS259,$BC259)),Constants!$B$5,IF(OR($AT259,$BD259,$AQ259,$AR259&lt;&gt;""),Constants!$B$8,Constants!$B$4))))))</f>
        <v/>
      </c>
      <c r="BM259" s="124" t="str">
        <f aca="false">IF(ISBLANK($C259),"",IF($BL259&lt;&gt;Constants!$B$4,$BL259,IF($BB259="-&gt;",$BI259,$AY259)))</f>
        <v/>
      </c>
      <c r="BN259" s="127" t="str">
        <f aca="false">IF($BL259&lt;&gt;Constants!$B$4,"",IF($BB259="-&gt;",$BJ259,$AZ259))</f>
        <v/>
      </c>
      <c r="BO259" s="127" t="str">
        <f aca="false">IF(ISBLANK($C259),"",IF($BL259&lt;&gt;Constants!$B$4,$BL259,$BN259))</f>
        <v/>
      </c>
      <c r="BP259" s="124" t="str">
        <f aca="false">IF(ISBLANK($C259),"",IF($BL259&lt;&gt;Constants!$B$4,$BL259,RANK($BO259,$BO$9:$BO$508,0)))</f>
        <v/>
      </c>
      <c r="BQ259" s="124" t="str">
        <f aca="false">IF(ISBLANK($C259),"",IF($BL259&lt;&gt;Constants!$B$4,$BL259,COUNTIFS($BM$9:$BM$508,"&lt;"&amp;$BM259)+COUNTIFS($BM$9:$BM$508,$BM259,$BP$9:$BP$508,"&lt;"&amp;$BP259)+1))</f>
        <v/>
      </c>
      <c r="BR259" s="127" t="str">
        <f aca="false">IF($BL259&lt;&gt;Constants!$B$4,"",IF($BB259="-&gt;",$BH259,$AX259))</f>
        <v/>
      </c>
      <c r="BS259" s="124" t="str">
        <f aca="false">IF(ISBLANK($C259),"",IF($BL259&lt;&gt;Constants!$B$4,$BL259,IF(ISNUMBER($BR259),RANK($BR259,$BR$9:$BR$508,0),COUNT($BR$9:$BR$508)+1)))</f>
        <v/>
      </c>
      <c r="BT259" s="127" t="str">
        <f aca="false">IF($BL259&lt;&gt;Constants!$B$4,"",IF($BB259="-&gt;",$BE259,$AU259))</f>
        <v/>
      </c>
      <c r="BU259" s="124" t="str">
        <f aca="false">IF(ISBLANK($C259),"",IF($BL259&lt;&gt;Constants!$B$4,$BL259,IF(ISNUMBER($BT259),RANK($BT259,$BT$9:$BT$508,0),COUNT($BT$9:$BT$508)+1)))</f>
        <v/>
      </c>
      <c r="BV259" s="127" t="str">
        <f aca="false">IF($BL259&lt;&gt;Constants!$B$4,"",IF($BB259="-&gt;",$BF259,$AV259))</f>
        <v/>
      </c>
      <c r="BW259" s="124" t="str">
        <f aca="false">IF(ISBLANK($C259),"",IF($BL259&lt;&gt;Constants!$B$4,$BL259,IF(ISNUMBER($BV259),RANK($BV259,$BV$9:$BV$508,0),COUNT($BV$9:$BV$508)+1)))</f>
        <v/>
      </c>
      <c r="BX259" s="127" t="str">
        <f aca="false">IF($BL259&lt;&gt;Constants!$B$4,"",IF($BB259="-&gt;",$BK259,$BA259))</f>
        <v/>
      </c>
      <c r="BY259" s="124" t="str">
        <f aca="false">IF(ISBLANK($C259),"",IF($BL259&lt;&gt;Constants!$B$4,$BL259,IF(ISNUMBER($BX259),RANK($BX259,$BX$9:$BX$508,0),COUNT($BX$9:$BX$508)+1)))</f>
        <v/>
      </c>
      <c r="BZ259" s="124" t="str">
        <f aca="false">IF(ISBLANK($C259),"",IF($BL259&lt;&gt;Constants!$B$4,$BL259,COUNTIFS($BM$9:$BM$508,"&lt;"&amp;$BM259)+COUNTIFS($BM$9:$BM$508,$BM259,$BP$9:$BP$508,"&lt;"&amp;$BP259)+COUNTIFS($BM$9:$BM$508,$BM259,$BP$9:$BP$508,$BP259,$BS$9:$BS$508,"&lt;"&amp;$BS259)+COUNTIFS($BM$9:$BM$508,$BM259,$BP$9:$BP$508,$BP259,$BS$9:$BS$508,$BS259,$BU$9:$BU$508,"&lt;"&amp;$BU259)+COUNTIFS($BM$9:$BM$508,$BM259,$BP$9:$BP$508,$BP259,$BS$9:$BS$508,$BS259,$BU$9:$BU$508,$BU259,$BW$9:$BW$508,"&lt;"&amp;$BW259)+COUNTIFS($BM$9:$BM$508,$BM259,$BP$9:$BP$508,$BP259,$BS$9:$BS$508,$BS259,$BU$9:$BU$508,$BU259,$BW$9:$BW$508,$BW259,$BY$9:$BY$508,"&lt;"&amp;$BY259)+1))</f>
        <v/>
      </c>
      <c r="CA259" s="124" t="str">
        <f aca="false">IF(ISBLANK($C259),"",IF($BL259&lt;&gt;Constants!$B$4,$BL259,$BQ259-$BZ259))</f>
        <v/>
      </c>
      <c r="CB259" s="130"/>
      <c r="CC259" s="131" t="str">
        <f aca="false">IF(ISBLANK($C259),"",IF($BL259=Constants!$B$8,$AR259,""))</f>
        <v/>
      </c>
      <c r="CD259" s="131" t="str">
        <f aca="false">IF(ISBLANK($C259),"",IF($BL259&lt;&gt;Constants!$B$4,"",IF($BB259="-&gt;",2,1)))</f>
        <v/>
      </c>
      <c r="CE259" s="132" t="str">
        <f aca="false">IF(ISBLANK($C259),"",IF($BL259&lt;&gt;Constants!$B$4,"",IF($BB259="-&gt;",$BE259,$AU259)))</f>
        <v/>
      </c>
      <c r="CF259" s="132" t="str">
        <f aca="false">IF(ISBLANK($C259),"",IF($BL259&lt;&gt;Constants!$B$4,"",IF($BB259="-&gt;",$BF259,$AV259)))</f>
        <v/>
      </c>
      <c r="CG259" s="132" t="str">
        <f aca="false">IF(ISBLANK($C259),"",IF($BL259&lt;&gt;Constants!$B$4,"",IF($BB259="-&gt;",$BG259,$AW259)))</f>
        <v/>
      </c>
      <c r="CH259" s="132" t="str">
        <f aca="false">IF(ISBLANK($C259),"",IF($BL259&lt;&gt;Constants!$B$4,"",IF($BB259="-&gt;",$BH259,$AX259)))</f>
        <v/>
      </c>
      <c r="CI259" s="133" t="str">
        <f aca="false">IF(ISBLANK($C259),"",$BO259)</f>
        <v/>
      </c>
      <c r="CJ259" s="134" t="str">
        <f aca="false">IF(ISBLANK($C259),"",$BM259)</f>
        <v/>
      </c>
      <c r="CK259" s="135" t="str">
        <f aca="false">IF(ISBLANK($C259),"",$CA259)</f>
        <v/>
      </c>
      <c r="CL259" s="135" t="str">
        <f aca="false">IF(ISBLANK($C259),"",$BZ259)</f>
        <v/>
      </c>
      <c r="CM259" s="136" t="str">
        <f aca="false">IF(ISBLANK($C259),"",IF($CL259=Constants!$B$7,COUNTA($C$9:$C$508)+2,IF($CL259=Constants!$B$6,COUNTA($C$9:$C$508)+1,IF($CL259=Constants!$B$5,COUNTA($C$9:$C$508),$CL259))))</f>
        <v/>
      </c>
      <c r="CN259" s="8"/>
      <c r="CO259" s="137" t="n">
        <f aca="false">IF(OR(ISNUMBER($CL259),$CL259=Constants!$B$7,$CL259=Constants!$B$5,$CL259=Constants!$B$6),1,0)</f>
        <v>0</v>
      </c>
      <c r="CP259" s="137" t="n">
        <v>251</v>
      </c>
      <c r="CQ259" s="137" t="str">
        <f aca="false">IF(ISBLANK($C259),"",IF(ISNUMBER($CM259),$CM259+ROW($B259)/1000,""))</f>
        <v/>
      </c>
      <c r="CR259" s="137" t="str">
        <f aca="false">IF(ISNUMBER($CQ259),RANK($CQ259,$CQ$9:$CQ$508,1),"")</f>
        <v/>
      </c>
      <c r="CS259" s="137" t="str">
        <f aca="false">IF(ISBLANK($C259),"",$B259)</f>
        <v/>
      </c>
      <c r="CT259" s="137" t="str">
        <f aca="false">IF(ISBLANK($C259),"",$C259)</f>
        <v/>
      </c>
      <c r="CU259" s="137" t="str">
        <f aca="false">IF(ISBLANK($C259),"",$D259)</f>
        <v/>
      </c>
      <c r="CV259" s="138" t="str">
        <f aca="false">$CJ259</f>
        <v/>
      </c>
      <c r="CW259" s="139" t="str">
        <f aca="false">$CI259</f>
        <v/>
      </c>
      <c r="CX259" s="137" t="str">
        <f aca="false">IF(ISBLANK($C259),"",$CL259)</f>
        <v/>
      </c>
      <c r="CY259" s="140" t="str">
        <f aca="false">IF($CP259&gt;$CO$8,"",VLOOKUP($CP259,$CR$9:$CX$508,7,FALSE()))</f>
        <v/>
      </c>
      <c r="CZ259" s="141" t="str">
        <f aca="false">IF($CP259&gt;$CO$8,"",VLOOKUP($CP259,$CR$9:$CX$508,2,FALSE()))</f>
        <v/>
      </c>
      <c r="DA259" s="141" t="str">
        <f aca="false">IF($CP259&gt;$CO$8,"",VLOOKUP($CP259,$CR$9:$CX$508,3,FALSE()))</f>
        <v/>
      </c>
      <c r="DB259" s="141" t="str">
        <f aca="false">IF($CP259&gt;$CO$8,"",VLOOKUP($CP259,$CR$9:$CX$508,4,FALSE()))</f>
        <v/>
      </c>
      <c r="DC259" s="141" t="str">
        <f aca="false">IF($CP259&gt;$CO$8,"",VLOOKUP($CP259,$CR$9:$CX$508,5,FALSE()))</f>
        <v/>
      </c>
      <c r="DD259" s="142" t="str">
        <f aca="false">IF($CP259&gt;$CO$8,"",VLOOKUP($CP259,$CR$9:$CX$508,6,FALSE()))</f>
        <v/>
      </c>
      <c r="DE259" s="70"/>
    </row>
    <row r="260" customFormat="false" ht="15.75" hidden="false" customHeight="false" outlineLevel="0" collapsed="false">
      <c r="A260" s="8"/>
      <c r="B260" s="146"/>
      <c r="C260" s="147"/>
      <c r="D260" s="148"/>
      <c r="E260" s="164"/>
      <c r="F260" s="150"/>
      <c r="G260" s="115"/>
      <c r="H260" s="115"/>
      <c r="I260" s="115"/>
      <c r="J260" s="165"/>
      <c r="K260" s="154"/>
      <c r="L260" s="154"/>
      <c r="M260" s="118"/>
      <c r="N260" s="154"/>
      <c r="O260" s="153"/>
      <c r="P260" s="154"/>
      <c r="Q260" s="154"/>
      <c r="R260" s="154"/>
      <c r="S260" s="115"/>
      <c r="T260" s="154"/>
      <c r="U260" s="153"/>
      <c r="V260" s="154"/>
      <c r="W260" s="123"/>
      <c r="X260" s="124" t="str">
        <f aca="false">IF(ISBLANK($C260),"",IF($E260=Constants!$B$2,TRUE(),IF($E260=Constants!$B$3,FALSE(),TRUE())))</f>
        <v/>
      </c>
      <c r="Y260" s="124" t="str">
        <f aca="false">IF(ISBLANK($C260),"",IF($F260=Constants!$B$2,TRUE(),IF($F260=Constants!$B$3,FALSE(),TRUE())))</f>
        <v/>
      </c>
      <c r="Z260" s="125" t="str">
        <f aca="false">IF(ISBLANK($C260),"",IF(ISNUMBER($G260),IF($G260&gt;=0,$G260,""),""))</f>
        <v/>
      </c>
      <c r="AA260" s="125" t="str">
        <f aca="false">IF(ISBLANK($C260),"",IF(ISNUMBER($H260),IF($H260&gt;=0,$H260,""),""))</f>
        <v/>
      </c>
      <c r="AB260" s="125" t="str">
        <f aca="false">IF(ISBLANK($C260),"",IF(ISNUMBER($I260),IF($I260&gt;=0,$I260,""),""))</f>
        <v/>
      </c>
      <c r="AC260" s="124" t="str">
        <f aca="false">IF(ISBLANK($C260),"",IF($J260=Constants!$B$2,TRUE(),IF($J260=Constants!$B$3,FALSE(),TRUE())))</f>
        <v/>
      </c>
      <c r="AD260" s="124" t="str">
        <f aca="false">IF(ISBLANK($C260),"",IF($K260=Constants!$B$2,TRUE(),IF($K260=Constants!$B$3,FALSE(),TRUE())))</f>
        <v/>
      </c>
      <c r="AE260" s="124" t="str">
        <f aca="false">IF(ISBLANK($C260),"",IF($L260=Constants!$B$2,TRUE(),IF($L260=Constants!$B$3,FALSE(),TRUE())))</f>
        <v/>
      </c>
      <c r="AF260" s="126" t="str">
        <f aca="false">IF(ISBLANK($C260),"",IF(ISNUMBER($M260),IF($M260&gt;=0,$M260,""),""))</f>
        <v/>
      </c>
      <c r="AG260" s="124" t="str">
        <f aca="false">IF(ISBLANK($C260),"",IF(ISBLANK($N260),0,IF(ISNUMBER($N260),IF(AND($N260&gt;=0,$N260&lt;=Constants!$B$17,$N260=INT($N260)),$N260,""),"")))</f>
        <v/>
      </c>
      <c r="AH260" s="125" t="str">
        <f aca="false">IF(ISBLANK($C260),"",IF(ISBLANK($O260),0,IF(ISNUMBER($O260),IF($O260&gt;=0,$O260,""),"")))</f>
        <v/>
      </c>
      <c r="AI260" s="124" t="str">
        <f aca="false">IF(ISBLANK($C260),"",IF($P260=Constants!$B$2,TRUE(),IF($P260=Constants!$B$3,FALSE(),TRUE())))</f>
        <v/>
      </c>
      <c r="AJ260" s="124" t="str">
        <f aca="false">IF(ISBLANK($C260),"",IF($Q260=Constants!$B$2,TRUE(),IF($Q260=Constants!$B$3,FALSE(),TRUE())))</f>
        <v/>
      </c>
      <c r="AK260" s="124" t="str">
        <f aca="false">IF(ISBLANK($C260),"",IF($R260=Constants!$B$2,TRUE(),IF($R260=Constants!$B$3,FALSE(),TRUE())))</f>
        <v/>
      </c>
      <c r="AL260" s="126" t="str">
        <f aca="false">IF(ISBLANK($C260),"",IF(ISNUMBER($S260),IF($S260&gt;=0,$S260,""),""))</f>
        <v/>
      </c>
      <c r="AM260" s="124" t="str">
        <f aca="false">IF(ISBLANK($C260),"",IF(ISBLANK($T260),0,IF(ISNUMBER($T260),IF(AND($T260&gt;=0,$T260&lt;=Constants!$B$17,$T260=INT($T260)),$T260,""),"")))</f>
        <v/>
      </c>
      <c r="AN260" s="125" t="str">
        <f aca="false">IF(ISBLANK($C260),"",IF(ISBLANK($U260),0,IF(ISNUMBER($U260),IF($U260&gt;=0,$U260,""),"")))</f>
        <v/>
      </c>
      <c r="AO260" s="124" t="str">
        <f aca="false">IF(ISBLANK($C260),"",IF($V260=Constants!$B$2,TRUE(),IF($V260=Constants!$B$3,FALSE(),FALSE())))</f>
        <v/>
      </c>
      <c r="AP260" s="124"/>
      <c r="AQ260" s="123" t="str">
        <f aca="false">IF(ISBLANK($C260),"",AND($Y260,OR($AS260,$BC260),OR($Z260="",$AA260="",$AB260="")))</f>
        <v/>
      </c>
      <c r="AR260" s="123" t="str">
        <f aca="false">IF(ISBLANK($C260),"",IF(OR(NOT($Y260),NOT(OR($AS260,$BC260))),"",IF(ISBLANK($D$7),$AR$5,IF($AP$9="",$AR$6,""))))</f>
        <v/>
      </c>
      <c r="AS260" s="123" t="str">
        <f aca="false">IF(ISBLANK($C260),"",COUNTA($J260:$O260)&gt;0)</f>
        <v/>
      </c>
      <c r="AT260" s="123" t="str">
        <f aca="false">IF(ISBLANK($C260),"",AND($AS260,OR(AND($AF260="",OR($AE260,NOT(ISBLANK($M260)))),$AG260="",$AH260="")))</f>
        <v/>
      </c>
      <c r="AU260" s="125" t="str">
        <f aca="false">IF($BL260&lt;&gt;Constants!$B$4,"",IF(NOT($AS260),"",ROUND((Constants!$B$12-$AB260)+(Constants!$B$13-$Z260)+(Constants!$B$14-$AA260),1)))</f>
        <v/>
      </c>
      <c r="AV260" s="127" t="str">
        <f aca="false">IF($BL260&lt;&gt;Constants!$B$4,"",IF(NOT($AS260),"",IF(NOT($AE260),0,Constants!$B$15*(INT(ROUND(MIN($AF260,$AP$9),6))-INT(ROUND(MAX(0,MIN($AF260,2*$AP$9)-$AP$9),6))))))</f>
        <v/>
      </c>
      <c r="AW260" s="127" t="str">
        <f aca="false">IF($BL260&lt;&gt;Constants!$B$4,"",IF(NOT($AS260),"",Constants!$B$16*$AG260))</f>
        <v/>
      </c>
      <c r="AX260" s="127" t="str">
        <f aca="false">IF($BL260&lt;&gt;Constants!$B$4,"",IF(NOT($AS260),"",Constants!$B$18*INT(ROUND($AH260,6))))</f>
        <v/>
      </c>
      <c r="AY260" s="123" t="str">
        <f aca="false">IF($BL260&lt;&gt;Constants!$B$4,"",IF(NOT($AS260),"",IF(NOT($X260),Constants!$B$11,IF(OR(NOT($AC260),NOT($AD260),ROUND($AB260,1)&gt;Constants!$B$12,ROUND($Z260,1)&gt;Constants!$B$13,ROUND($AA260,1)&gt;Constants!$B$14),Constants!$B$10,Constants!$B$9))))</f>
        <v/>
      </c>
      <c r="AZ260" s="128" t="str">
        <f aca="false">IF($BL260&lt;&gt;Constants!$B$4,"",IF(NOT($AS260),"",ROUND($AU260+$AV260+$AW260+$AX260,1)))</f>
        <v/>
      </c>
      <c r="BA260" s="129" t="str">
        <f aca="false">IF($BL260&lt;&gt;Constants!$B$4,"",IF(NOT($AS260),"",IF(ISNUMBER($AF260),$AF260,0)))</f>
        <v/>
      </c>
      <c r="BB260" s="124" t="str">
        <f aca="false">IF($BL260&lt;&gt;Constants!$B$4,"",IF(NOT($BC260),"&lt;-",IF(NOT($AS260),"-&gt;",IF(OR($BI260&lt;$AY260,AND($BI260=$AY260,OR($BJ260&gt;$AZ260,AND($BJ260=$AZ260,OR($BH260&gt;$AX260,AND($BH260=$AX260,OR($BE260&gt;$AU260,AND($BE260=$AU260,OR($BF260&gt;$AV260,AND($BF260=$AV260,$BK260&gt;$BA260)))))))))),"-&gt;","&lt;-"))))</f>
        <v/>
      </c>
      <c r="BC260" s="123" t="str">
        <f aca="false">IF(ISBLANK($C260),"",COUNTA($P260:$U260)&gt;0)</f>
        <v/>
      </c>
      <c r="BD260" s="123" t="str">
        <f aca="false">IF(ISBLANK($C260),"",AND($BC260,OR(AND($AL260="",OR($AK260,NOT(ISBLANK($S260)))),$AM260="",$AN260="")))</f>
        <v/>
      </c>
      <c r="BE260" s="125" t="str">
        <f aca="false">IF($BL260&lt;&gt;Constants!$B$4,"",IF(NOT($BC260),"",ROUND((Constants!$B$12-$AB260)+(Constants!$B$13-$Z260)+(Constants!$B$14-$AA260),1)))</f>
        <v/>
      </c>
      <c r="BF260" s="127" t="str">
        <f aca="false">IF($BL260&lt;&gt;Constants!$B$4,"",IF(NOT($BC260),"",IF(NOT($AK260),0,Constants!$B$15*(INT(ROUND(MIN($AL260,$AP$9),6))-INT(ROUND(MAX(0,MIN($AL260,2*$AP$9)-$AP$9),6))))))</f>
        <v/>
      </c>
      <c r="BG260" s="127" t="str">
        <f aca="false">IF($BL260&lt;&gt;Constants!$B$4,"",IF(NOT($BC260),"",Constants!$B$16*$AM260))</f>
        <v/>
      </c>
      <c r="BH260" s="127" t="str">
        <f aca="false">IF($BL260&lt;&gt;Constants!$B$4,"",IF(NOT($BC260),"",Constants!$B$18*INT(ROUND($AN260,6))))</f>
        <v/>
      </c>
      <c r="BI260" s="123" t="str">
        <f aca="false">IF($BL260&lt;&gt;Constants!$B$4,"",IF(NOT($BC260),"",IF(NOT($X260),Constants!$B$11,IF(OR(NOT($AI260),NOT($AJ260),ROUND($AB260,1)&gt;Constants!$B$12,ROUND($Z260,1)&gt;Constants!$B$13,ROUND($AA260,1)&gt;Constants!$B$14),Constants!$B$10,Constants!$B$9))))</f>
        <v/>
      </c>
      <c r="BJ260" s="128" t="str">
        <f aca="false">IF($BL260&lt;&gt;Constants!$B$4,"",IF(NOT($BC260),"",ROUND($BE260+$BF260+$BG260+$BH260,1)))</f>
        <v/>
      </c>
      <c r="BK260" s="129" t="str">
        <f aca="false">IF($BL260&lt;&gt;Constants!$B$4,"",IF(NOT($BC260),"",IF(ISNUMBER($AL260),$AL260,0)))</f>
        <v/>
      </c>
      <c r="BL260" s="124" t="str">
        <f aca="false">IF(ISBLANK($C260),"",IF($AO260,Constants!$B$7,IF(COUNTA($E260:$V260)=0,Constants!$B$6,IF(NOT($Y260),Constants!$B$5,IF(NOT(OR($AS260,$BC260)),Constants!$B$5,IF(OR($AT260,$BD260,$AQ260,$AR260&lt;&gt;""),Constants!$B$8,Constants!$B$4))))))</f>
        <v/>
      </c>
      <c r="BM260" s="124" t="str">
        <f aca="false">IF(ISBLANK($C260),"",IF($BL260&lt;&gt;Constants!$B$4,$BL260,IF($BB260="-&gt;",$BI260,$AY260)))</f>
        <v/>
      </c>
      <c r="BN260" s="127" t="str">
        <f aca="false">IF($BL260&lt;&gt;Constants!$B$4,"",IF($BB260="-&gt;",$BJ260,$AZ260))</f>
        <v/>
      </c>
      <c r="BO260" s="127" t="str">
        <f aca="false">IF(ISBLANK($C260),"",IF($BL260&lt;&gt;Constants!$B$4,$BL260,$BN260))</f>
        <v/>
      </c>
      <c r="BP260" s="124" t="str">
        <f aca="false">IF(ISBLANK($C260),"",IF($BL260&lt;&gt;Constants!$B$4,$BL260,RANK($BO260,$BO$9:$BO$508,0)))</f>
        <v/>
      </c>
      <c r="BQ260" s="124" t="str">
        <f aca="false">IF(ISBLANK($C260),"",IF($BL260&lt;&gt;Constants!$B$4,$BL260,COUNTIFS($BM$9:$BM$508,"&lt;"&amp;$BM260)+COUNTIFS($BM$9:$BM$508,$BM260,$BP$9:$BP$508,"&lt;"&amp;$BP260)+1))</f>
        <v/>
      </c>
      <c r="BR260" s="127" t="str">
        <f aca="false">IF($BL260&lt;&gt;Constants!$B$4,"",IF($BB260="-&gt;",$BH260,$AX260))</f>
        <v/>
      </c>
      <c r="BS260" s="124" t="str">
        <f aca="false">IF(ISBLANK($C260),"",IF($BL260&lt;&gt;Constants!$B$4,$BL260,IF(ISNUMBER($BR260),RANK($BR260,$BR$9:$BR$508,0),COUNT($BR$9:$BR$508)+1)))</f>
        <v/>
      </c>
      <c r="BT260" s="127" t="str">
        <f aca="false">IF($BL260&lt;&gt;Constants!$B$4,"",IF($BB260="-&gt;",$BE260,$AU260))</f>
        <v/>
      </c>
      <c r="BU260" s="124" t="str">
        <f aca="false">IF(ISBLANK($C260),"",IF($BL260&lt;&gt;Constants!$B$4,$BL260,IF(ISNUMBER($BT260),RANK($BT260,$BT$9:$BT$508,0),COUNT($BT$9:$BT$508)+1)))</f>
        <v/>
      </c>
      <c r="BV260" s="127" t="str">
        <f aca="false">IF($BL260&lt;&gt;Constants!$B$4,"",IF($BB260="-&gt;",$BF260,$AV260))</f>
        <v/>
      </c>
      <c r="BW260" s="124" t="str">
        <f aca="false">IF(ISBLANK($C260),"",IF($BL260&lt;&gt;Constants!$B$4,$BL260,IF(ISNUMBER($BV260),RANK($BV260,$BV$9:$BV$508,0),COUNT($BV$9:$BV$508)+1)))</f>
        <v/>
      </c>
      <c r="BX260" s="127" t="str">
        <f aca="false">IF($BL260&lt;&gt;Constants!$B$4,"",IF($BB260="-&gt;",$BK260,$BA260))</f>
        <v/>
      </c>
      <c r="BY260" s="124" t="str">
        <f aca="false">IF(ISBLANK($C260),"",IF($BL260&lt;&gt;Constants!$B$4,$BL260,IF(ISNUMBER($BX260),RANK($BX260,$BX$9:$BX$508,0),COUNT($BX$9:$BX$508)+1)))</f>
        <v/>
      </c>
      <c r="BZ260" s="124" t="str">
        <f aca="false">IF(ISBLANK($C260),"",IF($BL260&lt;&gt;Constants!$B$4,$BL260,COUNTIFS($BM$9:$BM$508,"&lt;"&amp;$BM260)+COUNTIFS($BM$9:$BM$508,$BM260,$BP$9:$BP$508,"&lt;"&amp;$BP260)+COUNTIFS($BM$9:$BM$508,$BM260,$BP$9:$BP$508,$BP260,$BS$9:$BS$508,"&lt;"&amp;$BS260)+COUNTIFS($BM$9:$BM$508,$BM260,$BP$9:$BP$508,$BP260,$BS$9:$BS$508,$BS260,$BU$9:$BU$508,"&lt;"&amp;$BU260)+COUNTIFS($BM$9:$BM$508,$BM260,$BP$9:$BP$508,$BP260,$BS$9:$BS$508,$BS260,$BU$9:$BU$508,$BU260,$BW$9:$BW$508,"&lt;"&amp;$BW260)+COUNTIFS($BM$9:$BM$508,$BM260,$BP$9:$BP$508,$BP260,$BS$9:$BS$508,$BS260,$BU$9:$BU$508,$BU260,$BW$9:$BW$508,$BW260,$BY$9:$BY$508,"&lt;"&amp;$BY260)+1))</f>
        <v/>
      </c>
      <c r="CA260" s="124" t="str">
        <f aca="false">IF(ISBLANK($C260),"",IF($BL260&lt;&gt;Constants!$B$4,$BL260,$BQ260-$BZ260))</f>
        <v/>
      </c>
      <c r="CB260" s="130"/>
      <c r="CC260" s="131" t="str">
        <f aca="false">IF(ISBLANK($C260),"",IF($BL260=Constants!$B$8,$AR260,""))</f>
        <v/>
      </c>
      <c r="CD260" s="131" t="str">
        <f aca="false">IF(ISBLANK($C260),"",IF($BL260&lt;&gt;Constants!$B$4,"",IF($BB260="-&gt;",2,1)))</f>
        <v/>
      </c>
      <c r="CE260" s="132" t="str">
        <f aca="false">IF(ISBLANK($C260),"",IF($BL260&lt;&gt;Constants!$B$4,"",IF($BB260="-&gt;",$BE260,$AU260)))</f>
        <v/>
      </c>
      <c r="CF260" s="132" t="str">
        <f aca="false">IF(ISBLANK($C260),"",IF($BL260&lt;&gt;Constants!$B$4,"",IF($BB260="-&gt;",$BF260,$AV260)))</f>
        <v/>
      </c>
      <c r="CG260" s="132" t="str">
        <f aca="false">IF(ISBLANK($C260),"",IF($BL260&lt;&gt;Constants!$B$4,"",IF($BB260="-&gt;",$BG260,$AW260)))</f>
        <v/>
      </c>
      <c r="CH260" s="132" t="str">
        <f aca="false">IF(ISBLANK($C260),"",IF($BL260&lt;&gt;Constants!$B$4,"",IF($BB260="-&gt;",$BH260,$AX260)))</f>
        <v/>
      </c>
      <c r="CI260" s="133" t="str">
        <f aca="false">IF(ISBLANK($C260),"",$BO260)</f>
        <v/>
      </c>
      <c r="CJ260" s="134" t="str">
        <f aca="false">IF(ISBLANK($C260),"",$BM260)</f>
        <v/>
      </c>
      <c r="CK260" s="135" t="str">
        <f aca="false">IF(ISBLANK($C260),"",$CA260)</f>
        <v/>
      </c>
      <c r="CL260" s="135" t="str">
        <f aca="false">IF(ISBLANK($C260),"",$BZ260)</f>
        <v/>
      </c>
      <c r="CM260" s="136" t="str">
        <f aca="false">IF(ISBLANK($C260),"",IF($CL260=Constants!$B$7,COUNTA($C$9:$C$508)+2,IF($CL260=Constants!$B$6,COUNTA($C$9:$C$508)+1,IF($CL260=Constants!$B$5,COUNTA($C$9:$C$508),$CL260))))</f>
        <v/>
      </c>
      <c r="CN260" s="8"/>
      <c r="CO260" s="137" t="n">
        <f aca="false">IF(OR(ISNUMBER($CL260),$CL260=Constants!$B$7,$CL260=Constants!$B$5,$CL260=Constants!$B$6),1,0)</f>
        <v>0</v>
      </c>
      <c r="CP260" s="137" t="n">
        <v>252</v>
      </c>
      <c r="CQ260" s="137" t="str">
        <f aca="false">IF(ISBLANK($C260),"",IF(ISNUMBER($CM260),$CM260+ROW($B260)/1000,""))</f>
        <v/>
      </c>
      <c r="CR260" s="137" t="str">
        <f aca="false">IF(ISNUMBER($CQ260),RANK($CQ260,$CQ$9:$CQ$508,1),"")</f>
        <v/>
      </c>
      <c r="CS260" s="137" t="str">
        <f aca="false">IF(ISBLANK($C260),"",$B260)</f>
        <v/>
      </c>
      <c r="CT260" s="137" t="str">
        <f aca="false">IF(ISBLANK($C260),"",$C260)</f>
        <v/>
      </c>
      <c r="CU260" s="137" t="str">
        <f aca="false">IF(ISBLANK($C260),"",$D260)</f>
        <v/>
      </c>
      <c r="CV260" s="138" t="str">
        <f aca="false">$CJ260</f>
        <v/>
      </c>
      <c r="CW260" s="139" t="str">
        <f aca="false">$CI260</f>
        <v/>
      </c>
      <c r="CX260" s="137" t="str">
        <f aca="false">IF(ISBLANK($C260),"",$CL260)</f>
        <v/>
      </c>
      <c r="CY260" s="140" t="str">
        <f aca="false">IF($CP260&gt;$CO$8,"",VLOOKUP($CP260,$CR$9:$CX$508,7,FALSE()))</f>
        <v/>
      </c>
      <c r="CZ260" s="141" t="str">
        <f aca="false">IF($CP260&gt;$CO$8,"",VLOOKUP($CP260,$CR$9:$CX$508,2,FALSE()))</f>
        <v/>
      </c>
      <c r="DA260" s="141" t="str">
        <f aca="false">IF($CP260&gt;$CO$8,"",VLOOKUP($CP260,$CR$9:$CX$508,3,FALSE()))</f>
        <v/>
      </c>
      <c r="DB260" s="141" t="str">
        <f aca="false">IF($CP260&gt;$CO$8,"",VLOOKUP($CP260,$CR$9:$CX$508,4,FALSE()))</f>
        <v/>
      </c>
      <c r="DC260" s="141" t="str">
        <f aca="false">IF($CP260&gt;$CO$8,"",VLOOKUP($CP260,$CR$9:$CX$508,5,FALSE()))</f>
        <v/>
      </c>
      <c r="DD260" s="142" t="str">
        <f aca="false">IF($CP260&gt;$CO$8,"",VLOOKUP($CP260,$CR$9:$CX$508,6,FALSE()))</f>
        <v/>
      </c>
      <c r="DE260" s="70"/>
    </row>
    <row r="261" customFormat="false" ht="15.75" hidden="false" customHeight="false" outlineLevel="0" collapsed="false">
      <c r="A261" s="8"/>
      <c r="B261" s="72"/>
      <c r="C261" s="73"/>
      <c r="D261" s="155"/>
      <c r="E261" s="162"/>
      <c r="F261" s="157"/>
      <c r="G261" s="77"/>
      <c r="H261" s="77"/>
      <c r="I261" s="77"/>
      <c r="J261" s="163"/>
      <c r="K261" s="161"/>
      <c r="L261" s="161"/>
      <c r="M261" s="80"/>
      <c r="N261" s="161"/>
      <c r="O261" s="160"/>
      <c r="P261" s="161"/>
      <c r="Q261" s="161"/>
      <c r="R261" s="161"/>
      <c r="S261" s="77"/>
      <c r="T261" s="161"/>
      <c r="U261" s="160"/>
      <c r="V261" s="161"/>
      <c r="W261" s="85"/>
      <c r="X261" s="86" t="str">
        <f aca="false">IF(ISBLANK($C261),"",IF($E261=Constants!$B$2,TRUE(),IF($E261=Constants!$B$3,FALSE(),TRUE())))</f>
        <v/>
      </c>
      <c r="Y261" s="86" t="str">
        <f aca="false">IF(ISBLANK($C261),"",IF($F261=Constants!$B$2,TRUE(),IF($F261=Constants!$B$3,FALSE(),TRUE())))</f>
        <v/>
      </c>
      <c r="Z261" s="87" t="str">
        <f aca="false">IF(ISBLANK($C261),"",IF(ISNUMBER($G261),IF($G261&gt;=0,$G261,""),""))</f>
        <v/>
      </c>
      <c r="AA261" s="87" t="str">
        <f aca="false">IF(ISBLANK($C261),"",IF(ISNUMBER($H261),IF($H261&gt;=0,$H261,""),""))</f>
        <v/>
      </c>
      <c r="AB261" s="87" t="str">
        <f aca="false">IF(ISBLANK($C261),"",IF(ISNUMBER($I261),IF($I261&gt;=0,$I261,""),""))</f>
        <v/>
      </c>
      <c r="AC261" s="86" t="str">
        <f aca="false">IF(ISBLANK($C261),"",IF($J261=Constants!$B$2,TRUE(),IF($J261=Constants!$B$3,FALSE(),TRUE())))</f>
        <v/>
      </c>
      <c r="AD261" s="86" t="str">
        <f aca="false">IF(ISBLANK($C261),"",IF($K261=Constants!$B$2,TRUE(),IF($K261=Constants!$B$3,FALSE(),TRUE())))</f>
        <v/>
      </c>
      <c r="AE261" s="86" t="str">
        <f aca="false">IF(ISBLANK($C261),"",IF($L261=Constants!$B$2,TRUE(),IF($L261=Constants!$B$3,FALSE(),TRUE())))</f>
        <v/>
      </c>
      <c r="AF261" s="88" t="str">
        <f aca="false">IF(ISBLANK($C261),"",IF(ISNUMBER($M261),IF($M261&gt;=0,$M261,""),""))</f>
        <v/>
      </c>
      <c r="AG261" s="86" t="str">
        <f aca="false">IF(ISBLANK($C261),"",IF(ISBLANK($N261),0,IF(ISNUMBER($N261),IF(AND($N261&gt;=0,$N261&lt;=Constants!$B$17,$N261=INT($N261)),$N261,""),"")))</f>
        <v/>
      </c>
      <c r="AH261" s="87" t="str">
        <f aca="false">IF(ISBLANK($C261),"",IF(ISBLANK($O261),0,IF(ISNUMBER($O261),IF($O261&gt;=0,$O261,""),"")))</f>
        <v/>
      </c>
      <c r="AI261" s="86" t="str">
        <f aca="false">IF(ISBLANK($C261),"",IF($P261=Constants!$B$2,TRUE(),IF($P261=Constants!$B$3,FALSE(),TRUE())))</f>
        <v/>
      </c>
      <c r="AJ261" s="86" t="str">
        <f aca="false">IF(ISBLANK($C261),"",IF($Q261=Constants!$B$2,TRUE(),IF($Q261=Constants!$B$3,FALSE(),TRUE())))</f>
        <v/>
      </c>
      <c r="AK261" s="86" t="str">
        <f aca="false">IF(ISBLANK($C261),"",IF($R261=Constants!$B$2,TRUE(),IF($R261=Constants!$B$3,FALSE(),TRUE())))</f>
        <v/>
      </c>
      <c r="AL261" s="88" t="str">
        <f aca="false">IF(ISBLANK($C261),"",IF(ISNUMBER($S261),IF($S261&gt;=0,$S261,""),""))</f>
        <v/>
      </c>
      <c r="AM261" s="86" t="str">
        <f aca="false">IF(ISBLANK($C261),"",IF(ISBLANK($T261),0,IF(ISNUMBER($T261),IF(AND($T261&gt;=0,$T261&lt;=Constants!$B$17,$T261=INT($T261)),$T261,""),"")))</f>
        <v/>
      </c>
      <c r="AN261" s="87" t="str">
        <f aca="false">IF(ISBLANK($C261),"",IF(ISBLANK($U261),0,IF(ISNUMBER($U261),IF($U261&gt;=0,$U261,""),"")))</f>
        <v/>
      </c>
      <c r="AO261" s="86" t="str">
        <f aca="false">IF(ISBLANK($C261),"",IF($V261=Constants!$B$2,TRUE(),IF($V261=Constants!$B$3,FALSE(),FALSE())))</f>
        <v/>
      </c>
      <c r="AP261" s="86"/>
      <c r="AQ261" s="85" t="str">
        <f aca="false">IF(ISBLANK($C261),"",AND($Y261,OR($AS261,$BC261),OR($Z261="",$AA261="",$AB261="")))</f>
        <v/>
      </c>
      <c r="AR261" s="85" t="str">
        <f aca="false">IF(ISBLANK($C261),"",IF(OR(NOT($Y261),NOT(OR($AS261,$BC261))),"",IF(ISBLANK($D$7),$AR$5,IF($AP$9="",$AR$6,""))))</f>
        <v/>
      </c>
      <c r="AS261" s="85" t="str">
        <f aca="false">IF(ISBLANK($C261),"",COUNTA($J261:$O261)&gt;0)</f>
        <v/>
      </c>
      <c r="AT261" s="85" t="str">
        <f aca="false">IF(ISBLANK($C261),"",AND($AS261,OR(AND($AF261="",OR($AE261,NOT(ISBLANK($M261)))),$AG261="",$AH261="")))</f>
        <v/>
      </c>
      <c r="AU261" s="87" t="str">
        <f aca="false">IF($BL261&lt;&gt;Constants!$B$4,"",IF(NOT($AS261),"",ROUND((Constants!$B$12-$AB261)+(Constants!$B$13-$Z261)+(Constants!$B$14-$AA261),1)))</f>
        <v/>
      </c>
      <c r="AV261" s="90" t="str">
        <f aca="false">IF($BL261&lt;&gt;Constants!$B$4,"",IF(NOT($AS261),"",IF(NOT($AE261),0,Constants!$B$15*(INT(ROUND(MIN($AF261,$AP$9),6))-INT(ROUND(MAX(0,MIN($AF261,2*$AP$9)-$AP$9),6))))))</f>
        <v/>
      </c>
      <c r="AW261" s="90" t="str">
        <f aca="false">IF($BL261&lt;&gt;Constants!$B$4,"",IF(NOT($AS261),"",Constants!$B$16*$AG261))</f>
        <v/>
      </c>
      <c r="AX261" s="90" t="str">
        <f aca="false">IF($BL261&lt;&gt;Constants!$B$4,"",IF(NOT($AS261),"",Constants!$B$18*INT(ROUND($AH261,6))))</f>
        <v/>
      </c>
      <c r="AY261" s="85" t="str">
        <f aca="false">IF($BL261&lt;&gt;Constants!$B$4,"",IF(NOT($AS261),"",IF(NOT($X261),Constants!$B$11,IF(OR(NOT($AC261),NOT($AD261),ROUND($AB261,1)&gt;Constants!$B$12,ROUND($Z261,1)&gt;Constants!$B$13,ROUND($AA261,1)&gt;Constants!$B$14),Constants!$B$10,Constants!$B$9))))</f>
        <v/>
      </c>
      <c r="AZ261" s="91" t="str">
        <f aca="false">IF($BL261&lt;&gt;Constants!$B$4,"",IF(NOT($AS261),"",ROUND($AU261+$AV261+$AW261+$AX261,1)))</f>
        <v/>
      </c>
      <c r="BA261" s="92" t="str">
        <f aca="false">IF($BL261&lt;&gt;Constants!$B$4,"",IF(NOT($AS261),"",IF(ISNUMBER($AF261),$AF261,0)))</f>
        <v/>
      </c>
      <c r="BB261" s="86" t="str">
        <f aca="false">IF($BL261&lt;&gt;Constants!$B$4,"",IF(NOT($BC261),"&lt;-",IF(NOT($AS261),"-&gt;",IF(OR($BI261&lt;$AY261,AND($BI261=$AY261,OR($BJ261&gt;$AZ261,AND($BJ261=$AZ261,OR($BH261&gt;$AX261,AND($BH261=$AX261,OR($BE261&gt;$AU261,AND($BE261=$AU261,OR($BF261&gt;$AV261,AND($BF261=$AV261,$BK261&gt;$BA261)))))))))),"-&gt;","&lt;-"))))</f>
        <v/>
      </c>
      <c r="BC261" s="85" t="str">
        <f aca="false">IF(ISBLANK($C261),"",COUNTA($P261:$U261)&gt;0)</f>
        <v/>
      </c>
      <c r="BD261" s="85" t="str">
        <f aca="false">IF(ISBLANK($C261),"",AND($BC261,OR(AND($AL261="",OR($AK261,NOT(ISBLANK($S261)))),$AM261="",$AN261="")))</f>
        <v/>
      </c>
      <c r="BE261" s="87" t="str">
        <f aca="false">IF($BL261&lt;&gt;Constants!$B$4,"",IF(NOT($BC261),"",ROUND((Constants!$B$12-$AB261)+(Constants!$B$13-$Z261)+(Constants!$B$14-$AA261),1)))</f>
        <v/>
      </c>
      <c r="BF261" s="90" t="str">
        <f aca="false">IF($BL261&lt;&gt;Constants!$B$4,"",IF(NOT($BC261),"",IF(NOT($AK261),0,Constants!$B$15*(INT(ROUND(MIN($AL261,$AP$9),6))-INT(ROUND(MAX(0,MIN($AL261,2*$AP$9)-$AP$9),6))))))</f>
        <v/>
      </c>
      <c r="BG261" s="90" t="str">
        <f aca="false">IF($BL261&lt;&gt;Constants!$B$4,"",IF(NOT($BC261),"",Constants!$B$16*$AM261))</f>
        <v/>
      </c>
      <c r="BH261" s="90" t="str">
        <f aca="false">IF($BL261&lt;&gt;Constants!$B$4,"",IF(NOT($BC261),"",Constants!$B$18*INT(ROUND($AN261,6))))</f>
        <v/>
      </c>
      <c r="BI261" s="85" t="str">
        <f aca="false">IF($BL261&lt;&gt;Constants!$B$4,"",IF(NOT($BC261),"",IF(NOT($X261),Constants!$B$11,IF(OR(NOT($AI261),NOT($AJ261),ROUND($AB261,1)&gt;Constants!$B$12,ROUND($Z261,1)&gt;Constants!$B$13,ROUND($AA261,1)&gt;Constants!$B$14),Constants!$B$10,Constants!$B$9))))</f>
        <v/>
      </c>
      <c r="BJ261" s="91" t="str">
        <f aca="false">IF($BL261&lt;&gt;Constants!$B$4,"",IF(NOT($BC261),"",ROUND($BE261+$BF261+$BG261+$BH261,1)))</f>
        <v/>
      </c>
      <c r="BK261" s="92" t="str">
        <f aca="false">IF($BL261&lt;&gt;Constants!$B$4,"",IF(NOT($BC261),"",IF(ISNUMBER($AL261),$AL261,0)))</f>
        <v/>
      </c>
      <c r="BL261" s="86" t="str">
        <f aca="false">IF(ISBLANK($C261),"",IF($AO261,Constants!$B$7,IF(COUNTA($E261:$V261)=0,Constants!$B$6,IF(NOT($Y261),Constants!$B$5,IF(NOT(OR($AS261,$BC261)),Constants!$B$5,IF(OR($AT261,$BD261,$AQ261,$AR261&lt;&gt;""),Constants!$B$8,Constants!$B$4))))))</f>
        <v/>
      </c>
      <c r="BM261" s="86" t="str">
        <f aca="false">IF(ISBLANK($C261),"",IF($BL261&lt;&gt;Constants!$B$4,$BL261,IF($BB261="-&gt;",$BI261,$AY261)))</f>
        <v/>
      </c>
      <c r="BN261" s="90" t="str">
        <f aca="false">IF($BL261&lt;&gt;Constants!$B$4,"",IF($BB261="-&gt;",$BJ261,$AZ261))</f>
        <v/>
      </c>
      <c r="BO261" s="90" t="str">
        <f aca="false">IF(ISBLANK($C261),"",IF($BL261&lt;&gt;Constants!$B$4,$BL261,$BN261))</f>
        <v/>
      </c>
      <c r="BP261" s="86" t="str">
        <f aca="false">IF(ISBLANK($C261),"",IF($BL261&lt;&gt;Constants!$B$4,$BL261,RANK($BO261,$BO$9:$BO$508,0)))</f>
        <v/>
      </c>
      <c r="BQ261" s="86" t="str">
        <f aca="false">IF(ISBLANK($C261),"",IF($BL261&lt;&gt;Constants!$B$4,$BL261,COUNTIFS($BM$9:$BM$508,"&lt;"&amp;$BM261)+COUNTIFS($BM$9:$BM$508,$BM261,$BP$9:$BP$508,"&lt;"&amp;$BP261)+1))</f>
        <v/>
      </c>
      <c r="BR261" s="90" t="str">
        <f aca="false">IF($BL261&lt;&gt;Constants!$B$4,"",IF($BB261="-&gt;",$BH261,$AX261))</f>
        <v/>
      </c>
      <c r="BS261" s="86" t="str">
        <f aca="false">IF(ISBLANK($C261),"",IF($BL261&lt;&gt;Constants!$B$4,$BL261,IF(ISNUMBER($BR261),RANK($BR261,$BR$9:$BR$508,0),COUNT($BR$9:$BR$508)+1)))</f>
        <v/>
      </c>
      <c r="BT261" s="90" t="str">
        <f aca="false">IF($BL261&lt;&gt;Constants!$B$4,"",IF($BB261="-&gt;",$BE261,$AU261))</f>
        <v/>
      </c>
      <c r="BU261" s="86" t="str">
        <f aca="false">IF(ISBLANK($C261),"",IF($BL261&lt;&gt;Constants!$B$4,$BL261,IF(ISNUMBER($BT261),RANK($BT261,$BT$9:$BT$508,0),COUNT($BT$9:$BT$508)+1)))</f>
        <v/>
      </c>
      <c r="BV261" s="90" t="str">
        <f aca="false">IF($BL261&lt;&gt;Constants!$B$4,"",IF($BB261="-&gt;",$BF261,$AV261))</f>
        <v/>
      </c>
      <c r="BW261" s="86" t="str">
        <f aca="false">IF(ISBLANK($C261),"",IF($BL261&lt;&gt;Constants!$B$4,$BL261,IF(ISNUMBER($BV261),RANK($BV261,$BV$9:$BV$508,0),COUNT($BV$9:$BV$508)+1)))</f>
        <v/>
      </c>
      <c r="BX261" s="90" t="str">
        <f aca="false">IF($BL261&lt;&gt;Constants!$B$4,"",IF($BB261="-&gt;",$BK261,$BA261))</f>
        <v/>
      </c>
      <c r="BY261" s="86" t="str">
        <f aca="false">IF(ISBLANK($C261),"",IF($BL261&lt;&gt;Constants!$B$4,$BL261,IF(ISNUMBER($BX261),RANK($BX261,$BX$9:$BX$508,0),COUNT($BX$9:$BX$508)+1)))</f>
        <v/>
      </c>
      <c r="BZ261" s="86" t="str">
        <f aca="false">IF(ISBLANK($C261),"",IF($BL261&lt;&gt;Constants!$B$4,$BL261,COUNTIFS($BM$9:$BM$508,"&lt;"&amp;$BM261)+COUNTIFS($BM$9:$BM$508,$BM261,$BP$9:$BP$508,"&lt;"&amp;$BP261)+COUNTIFS($BM$9:$BM$508,$BM261,$BP$9:$BP$508,$BP261,$BS$9:$BS$508,"&lt;"&amp;$BS261)+COUNTIFS($BM$9:$BM$508,$BM261,$BP$9:$BP$508,$BP261,$BS$9:$BS$508,$BS261,$BU$9:$BU$508,"&lt;"&amp;$BU261)+COUNTIFS($BM$9:$BM$508,$BM261,$BP$9:$BP$508,$BP261,$BS$9:$BS$508,$BS261,$BU$9:$BU$508,$BU261,$BW$9:$BW$508,"&lt;"&amp;$BW261)+COUNTIFS($BM$9:$BM$508,$BM261,$BP$9:$BP$508,$BP261,$BS$9:$BS$508,$BS261,$BU$9:$BU$508,$BU261,$BW$9:$BW$508,$BW261,$BY$9:$BY$508,"&lt;"&amp;$BY261)+1))</f>
        <v/>
      </c>
      <c r="CA261" s="86" t="str">
        <f aca="false">IF(ISBLANK($C261),"",IF($BL261&lt;&gt;Constants!$B$4,$BL261,$BQ261-$BZ261))</f>
        <v/>
      </c>
      <c r="CB261" s="93"/>
      <c r="CC261" s="94" t="str">
        <f aca="false">IF(ISBLANK($C261),"",IF($BL261=Constants!$B$8,$AR261,""))</f>
        <v/>
      </c>
      <c r="CD261" s="94" t="str">
        <f aca="false">IF(ISBLANK($C261),"",IF($BL261&lt;&gt;Constants!$B$4,"",IF($BB261="-&gt;",2,1)))</f>
        <v/>
      </c>
      <c r="CE261" s="95" t="str">
        <f aca="false">IF(ISBLANK($C261),"",IF($BL261&lt;&gt;Constants!$B$4,"",IF($BB261="-&gt;",$BE261,$AU261)))</f>
        <v/>
      </c>
      <c r="CF261" s="95" t="str">
        <f aca="false">IF(ISBLANK($C261),"",IF($BL261&lt;&gt;Constants!$B$4,"",IF($BB261="-&gt;",$BF261,$AV261)))</f>
        <v/>
      </c>
      <c r="CG261" s="95" t="str">
        <f aca="false">IF(ISBLANK($C261),"",IF($BL261&lt;&gt;Constants!$B$4,"",IF($BB261="-&gt;",$BG261,$AW261)))</f>
        <v/>
      </c>
      <c r="CH261" s="95" t="str">
        <f aca="false">IF(ISBLANK($C261),"",IF($BL261&lt;&gt;Constants!$B$4,"",IF($BB261="-&gt;",$BH261,$AX261)))</f>
        <v/>
      </c>
      <c r="CI261" s="96" t="str">
        <f aca="false">IF(ISBLANK($C261),"",$BO261)</f>
        <v/>
      </c>
      <c r="CJ261" s="97" t="str">
        <f aca="false">IF(ISBLANK($C261),"",$BM261)</f>
        <v/>
      </c>
      <c r="CK261" s="98" t="str">
        <f aca="false">IF(ISBLANK($C261),"",$CA261)</f>
        <v/>
      </c>
      <c r="CL261" s="98" t="str">
        <f aca="false">IF(ISBLANK($C261),"",$BZ261)</f>
        <v/>
      </c>
      <c r="CM261" s="99" t="str">
        <f aca="false">IF(ISBLANK($C261),"",IF($CL261=Constants!$B$7,COUNTA($C$9:$C$508)+2,IF($CL261=Constants!$B$6,COUNTA($C$9:$C$508)+1,IF($CL261=Constants!$B$5,COUNTA($C$9:$C$508),$CL261))))</f>
        <v/>
      </c>
      <c r="CN261" s="8"/>
      <c r="CO261" s="100" t="n">
        <f aca="false">IF(OR(ISNUMBER($CL261),$CL261=Constants!$B$7,$CL261=Constants!$B$5,$CL261=Constants!$B$6),1,0)</f>
        <v>0</v>
      </c>
      <c r="CP261" s="100" t="n">
        <v>253</v>
      </c>
      <c r="CQ261" s="100" t="str">
        <f aca="false">IF(ISBLANK($C261),"",IF(ISNUMBER($CM261),$CM261+ROW($B261)/1000,""))</f>
        <v/>
      </c>
      <c r="CR261" s="100" t="str">
        <f aca="false">IF(ISNUMBER($CQ261),RANK($CQ261,$CQ$9:$CQ$508,1),"")</f>
        <v/>
      </c>
      <c r="CS261" s="100" t="str">
        <f aca="false">IF(ISBLANK($C261),"",$B261)</f>
        <v/>
      </c>
      <c r="CT261" s="100" t="str">
        <f aca="false">IF(ISBLANK($C261),"",$C261)</f>
        <v/>
      </c>
      <c r="CU261" s="100" t="str">
        <f aca="false">IF(ISBLANK($C261),"",$D261)</f>
        <v/>
      </c>
      <c r="CV261" s="101" t="str">
        <f aca="false">$CJ261</f>
        <v/>
      </c>
      <c r="CW261" s="102" t="str">
        <f aca="false">$CI261</f>
        <v/>
      </c>
      <c r="CX261" s="100" t="str">
        <f aca="false">IF(ISBLANK($C261),"",$CL261)</f>
        <v/>
      </c>
      <c r="CY261" s="103" t="str">
        <f aca="false">IF($CP261&gt;$CO$8,"",VLOOKUP($CP261,$CR$9:$CX$508,7,FALSE()))</f>
        <v/>
      </c>
      <c r="CZ261" s="104" t="str">
        <f aca="false">IF($CP261&gt;$CO$8,"",VLOOKUP($CP261,$CR$9:$CX$508,2,FALSE()))</f>
        <v/>
      </c>
      <c r="DA261" s="104" t="str">
        <f aca="false">IF($CP261&gt;$CO$8,"",VLOOKUP($CP261,$CR$9:$CX$508,3,FALSE()))</f>
        <v/>
      </c>
      <c r="DB261" s="104" t="str">
        <f aca="false">IF($CP261&gt;$CO$8,"",VLOOKUP($CP261,$CR$9:$CX$508,4,FALSE()))</f>
        <v/>
      </c>
      <c r="DC261" s="104" t="str">
        <f aca="false">IF($CP261&gt;$CO$8,"",VLOOKUP($CP261,$CR$9:$CX$508,5,FALSE()))</f>
        <v/>
      </c>
      <c r="DD261" s="105" t="str">
        <f aca="false">IF($CP261&gt;$CO$8,"",VLOOKUP($CP261,$CR$9:$CX$508,6,FALSE()))</f>
        <v/>
      </c>
      <c r="DE261" s="70"/>
    </row>
    <row r="262" customFormat="false" ht="15.75" hidden="false" customHeight="false" outlineLevel="0" collapsed="false">
      <c r="A262" s="8"/>
      <c r="B262" s="72"/>
      <c r="C262" s="73"/>
      <c r="D262" s="155"/>
      <c r="E262" s="162"/>
      <c r="F262" s="157"/>
      <c r="G262" s="77"/>
      <c r="H262" s="77"/>
      <c r="I262" s="77"/>
      <c r="J262" s="163"/>
      <c r="K262" s="161"/>
      <c r="L262" s="161"/>
      <c r="M262" s="80"/>
      <c r="N262" s="161"/>
      <c r="O262" s="160"/>
      <c r="P262" s="161"/>
      <c r="Q262" s="161"/>
      <c r="R262" s="161"/>
      <c r="S262" s="77"/>
      <c r="T262" s="161"/>
      <c r="U262" s="160"/>
      <c r="V262" s="161"/>
      <c r="W262" s="85"/>
      <c r="X262" s="86" t="str">
        <f aca="false">IF(ISBLANK($C262),"",IF($E262=Constants!$B$2,TRUE(),IF($E262=Constants!$B$3,FALSE(),TRUE())))</f>
        <v/>
      </c>
      <c r="Y262" s="86" t="str">
        <f aca="false">IF(ISBLANK($C262),"",IF($F262=Constants!$B$2,TRUE(),IF($F262=Constants!$B$3,FALSE(),TRUE())))</f>
        <v/>
      </c>
      <c r="Z262" s="87" t="str">
        <f aca="false">IF(ISBLANK($C262),"",IF(ISNUMBER($G262),IF($G262&gt;=0,$G262,""),""))</f>
        <v/>
      </c>
      <c r="AA262" s="87" t="str">
        <f aca="false">IF(ISBLANK($C262),"",IF(ISNUMBER($H262),IF($H262&gt;=0,$H262,""),""))</f>
        <v/>
      </c>
      <c r="AB262" s="87" t="str">
        <f aca="false">IF(ISBLANK($C262),"",IF(ISNUMBER($I262),IF($I262&gt;=0,$I262,""),""))</f>
        <v/>
      </c>
      <c r="AC262" s="86" t="str">
        <f aca="false">IF(ISBLANK($C262),"",IF($J262=Constants!$B$2,TRUE(),IF($J262=Constants!$B$3,FALSE(),TRUE())))</f>
        <v/>
      </c>
      <c r="AD262" s="86" t="str">
        <f aca="false">IF(ISBLANK($C262),"",IF($K262=Constants!$B$2,TRUE(),IF($K262=Constants!$B$3,FALSE(),TRUE())))</f>
        <v/>
      </c>
      <c r="AE262" s="86" t="str">
        <f aca="false">IF(ISBLANK($C262),"",IF($L262=Constants!$B$2,TRUE(),IF($L262=Constants!$B$3,FALSE(),TRUE())))</f>
        <v/>
      </c>
      <c r="AF262" s="88" t="str">
        <f aca="false">IF(ISBLANK($C262),"",IF(ISNUMBER($M262),IF($M262&gt;=0,$M262,""),""))</f>
        <v/>
      </c>
      <c r="AG262" s="86" t="str">
        <f aca="false">IF(ISBLANK($C262),"",IF(ISBLANK($N262),0,IF(ISNUMBER($N262),IF(AND($N262&gt;=0,$N262&lt;=Constants!$B$17,$N262=INT($N262)),$N262,""),"")))</f>
        <v/>
      </c>
      <c r="AH262" s="87" t="str">
        <f aca="false">IF(ISBLANK($C262),"",IF(ISBLANK($O262),0,IF(ISNUMBER($O262),IF($O262&gt;=0,$O262,""),"")))</f>
        <v/>
      </c>
      <c r="AI262" s="86" t="str">
        <f aca="false">IF(ISBLANK($C262),"",IF($P262=Constants!$B$2,TRUE(),IF($P262=Constants!$B$3,FALSE(),TRUE())))</f>
        <v/>
      </c>
      <c r="AJ262" s="86" t="str">
        <f aca="false">IF(ISBLANK($C262),"",IF($Q262=Constants!$B$2,TRUE(),IF($Q262=Constants!$B$3,FALSE(),TRUE())))</f>
        <v/>
      </c>
      <c r="AK262" s="86" t="str">
        <f aca="false">IF(ISBLANK($C262),"",IF($R262=Constants!$B$2,TRUE(),IF($R262=Constants!$B$3,FALSE(),TRUE())))</f>
        <v/>
      </c>
      <c r="AL262" s="88" t="str">
        <f aca="false">IF(ISBLANK($C262),"",IF(ISNUMBER($S262),IF($S262&gt;=0,$S262,""),""))</f>
        <v/>
      </c>
      <c r="AM262" s="86" t="str">
        <f aca="false">IF(ISBLANK($C262),"",IF(ISBLANK($T262),0,IF(ISNUMBER($T262),IF(AND($T262&gt;=0,$T262&lt;=Constants!$B$17,$T262=INT($T262)),$T262,""),"")))</f>
        <v/>
      </c>
      <c r="AN262" s="87" t="str">
        <f aca="false">IF(ISBLANK($C262),"",IF(ISBLANK($U262),0,IF(ISNUMBER($U262),IF($U262&gt;=0,$U262,""),"")))</f>
        <v/>
      </c>
      <c r="AO262" s="86" t="str">
        <f aca="false">IF(ISBLANK($C262),"",IF($V262=Constants!$B$2,TRUE(),IF($V262=Constants!$B$3,FALSE(),FALSE())))</f>
        <v/>
      </c>
      <c r="AP262" s="86"/>
      <c r="AQ262" s="85" t="str">
        <f aca="false">IF(ISBLANK($C262),"",AND($Y262,OR($AS262,$BC262),OR($Z262="",$AA262="",$AB262="")))</f>
        <v/>
      </c>
      <c r="AR262" s="85" t="str">
        <f aca="false">IF(ISBLANK($C262),"",IF(OR(NOT($Y262),NOT(OR($AS262,$BC262))),"",IF(ISBLANK($D$7),$AR$5,IF($AP$9="",$AR$6,""))))</f>
        <v/>
      </c>
      <c r="AS262" s="85" t="str">
        <f aca="false">IF(ISBLANK($C262),"",COUNTA($J262:$O262)&gt;0)</f>
        <v/>
      </c>
      <c r="AT262" s="85" t="str">
        <f aca="false">IF(ISBLANK($C262),"",AND($AS262,OR(AND($AF262="",OR($AE262,NOT(ISBLANK($M262)))),$AG262="",$AH262="")))</f>
        <v/>
      </c>
      <c r="AU262" s="87" t="str">
        <f aca="false">IF($BL262&lt;&gt;Constants!$B$4,"",IF(NOT($AS262),"",ROUND((Constants!$B$12-$AB262)+(Constants!$B$13-$Z262)+(Constants!$B$14-$AA262),1)))</f>
        <v/>
      </c>
      <c r="AV262" s="90" t="str">
        <f aca="false">IF($BL262&lt;&gt;Constants!$B$4,"",IF(NOT($AS262),"",IF(NOT($AE262),0,Constants!$B$15*(INT(ROUND(MIN($AF262,$AP$9),6))-INT(ROUND(MAX(0,MIN($AF262,2*$AP$9)-$AP$9),6))))))</f>
        <v/>
      </c>
      <c r="AW262" s="90" t="str">
        <f aca="false">IF($BL262&lt;&gt;Constants!$B$4,"",IF(NOT($AS262),"",Constants!$B$16*$AG262))</f>
        <v/>
      </c>
      <c r="AX262" s="90" t="str">
        <f aca="false">IF($BL262&lt;&gt;Constants!$B$4,"",IF(NOT($AS262),"",Constants!$B$18*INT(ROUND($AH262,6))))</f>
        <v/>
      </c>
      <c r="AY262" s="85" t="str">
        <f aca="false">IF($BL262&lt;&gt;Constants!$B$4,"",IF(NOT($AS262),"",IF(NOT($X262),Constants!$B$11,IF(OR(NOT($AC262),NOT($AD262),ROUND($AB262,1)&gt;Constants!$B$12,ROUND($Z262,1)&gt;Constants!$B$13,ROUND($AA262,1)&gt;Constants!$B$14),Constants!$B$10,Constants!$B$9))))</f>
        <v/>
      </c>
      <c r="AZ262" s="91" t="str">
        <f aca="false">IF($BL262&lt;&gt;Constants!$B$4,"",IF(NOT($AS262),"",ROUND($AU262+$AV262+$AW262+$AX262,1)))</f>
        <v/>
      </c>
      <c r="BA262" s="92" t="str">
        <f aca="false">IF($BL262&lt;&gt;Constants!$B$4,"",IF(NOT($AS262),"",IF(ISNUMBER($AF262),$AF262,0)))</f>
        <v/>
      </c>
      <c r="BB262" s="86" t="str">
        <f aca="false">IF($BL262&lt;&gt;Constants!$B$4,"",IF(NOT($BC262),"&lt;-",IF(NOT($AS262),"-&gt;",IF(OR($BI262&lt;$AY262,AND($BI262=$AY262,OR($BJ262&gt;$AZ262,AND($BJ262=$AZ262,OR($BH262&gt;$AX262,AND($BH262=$AX262,OR($BE262&gt;$AU262,AND($BE262=$AU262,OR($BF262&gt;$AV262,AND($BF262=$AV262,$BK262&gt;$BA262)))))))))),"-&gt;","&lt;-"))))</f>
        <v/>
      </c>
      <c r="BC262" s="85" t="str">
        <f aca="false">IF(ISBLANK($C262),"",COUNTA($P262:$U262)&gt;0)</f>
        <v/>
      </c>
      <c r="BD262" s="85" t="str">
        <f aca="false">IF(ISBLANK($C262),"",AND($BC262,OR(AND($AL262="",OR($AK262,NOT(ISBLANK($S262)))),$AM262="",$AN262="")))</f>
        <v/>
      </c>
      <c r="BE262" s="87" t="str">
        <f aca="false">IF($BL262&lt;&gt;Constants!$B$4,"",IF(NOT($BC262),"",ROUND((Constants!$B$12-$AB262)+(Constants!$B$13-$Z262)+(Constants!$B$14-$AA262),1)))</f>
        <v/>
      </c>
      <c r="BF262" s="90" t="str">
        <f aca="false">IF($BL262&lt;&gt;Constants!$B$4,"",IF(NOT($BC262),"",IF(NOT($AK262),0,Constants!$B$15*(INT(ROUND(MIN($AL262,$AP$9),6))-INT(ROUND(MAX(0,MIN($AL262,2*$AP$9)-$AP$9),6))))))</f>
        <v/>
      </c>
      <c r="BG262" s="90" t="str">
        <f aca="false">IF($BL262&lt;&gt;Constants!$B$4,"",IF(NOT($BC262),"",Constants!$B$16*$AM262))</f>
        <v/>
      </c>
      <c r="BH262" s="90" t="str">
        <f aca="false">IF($BL262&lt;&gt;Constants!$B$4,"",IF(NOT($BC262),"",Constants!$B$18*INT(ROUND($AN262,6))))</f>
        <v/>
      </c>
      <c r="BI262" s="85" t="str">
        <f aca="false">IF($BL262&lt;&gt;Constants!$B$4,"",IF(NOT($BC262),"",IF(NOT($X262),Constants!$B$11,IF(OR(NOT($AI262),NOT($AJ262),ROUND($AB262,1)&gt;Constants!$B$12,ROUND($Z262,1)&gt;Constants!$B$13,ROUND($AA262,1)&gt;Constants!$B$14),Constants!$B$10,Constants!$B$9))))</f>
        <v/>
      </c>
      <c r="BJ262" s="91" t="str">
        <f aca="false">IF($BL262&lt;&gt;Constants!$B$4,"",IF(NOT($BC262),"",ROUND($BE262+$BF262+$BG262+$BH262,1)))</f>
        <v/>
      </c>
      <c r="BK262" s="92" t="str">
        <f aca="false">IF($BL262&lt;&gt;Constants!$B$4,"",IF(NOT($BC262),"",IF(ISNUMBER($AL262),$AL262,0)))</f>
        <v/>
      </c>
      <c r="BL262" s="86" t="str">
        <f aca="false">IF(ISBLANK($C262),"",IF($AO262,Constants!$B$7,IF(COUNTA($E262:$V262)=0,Constants!$B$6,IF(NOT($Y262),Constants!$B$5,IF(NOT(OR($AS262,$BC262)),Constants!$B$5,IF(OR($AT262,$BD262,$AQ262,$AR262&lt;&gt;""),Constants!$B$8,Constants!$B$4))))))</f>
        <v/>
      </c>
      <c r="BM262" s="86" t="str">
        <f aca="false">IF(ISBLANK($C262),"",IF($BL262&lt;&gt;Constants!$B$4,$BL262,IF($BB262="-&gt;",$BI262,$AY262)))</f>
        <v/>
      </c>
      <c r="BN262" s="90" t="str">
        <f aca="false">IF($BL262&lt;&gt;Constants!$B$4,"",IF($BB262="-&gt;",$BJ262,$AZ262))</f>
        <v/>
      </c>
      <c r="BO262" s="90" t="str">
        <f aca="false">IF(ISBLANK($C262),"",IF($BL262&lt;&gt;Constants!$B$4,$BL262,$BN262))</f>
        <v/>
      </c>
      <c r="BP262" s="86" t="str">
        <f aca="false">IF(ISBLANK($C262),"",IF($BL262&lt;&gt;Constants!$B$4,$BL262,RANK($BO262,$BO$9:$BO$508,0)))</f>
        <v/>
      </c>
      <c r="BQ262" s="86" t="str">
        <f aca="false">IF(ISBLANK($C262),"",IF($BL262&lt;&gt;Constants!$B$4,$BL262,COUNTIFS($BM$9:$BM$508,"&lt;"&amp;$BM262)+COUNTIFS($BM$9:$BM$508,$BM262,$BP$9:$BP$508,"&lt;"&amp;$BP262)+1))</f>
        <v/>
      </c>
      <c r="BR262" s="90" t="str">
        <f aca="false">IF($BL262&lt;&gt;Constants!$B$4,"",IF($BB262="-&gt;",$BH262,$AX262))</f>
        <v/>
      </c>
      <c r="BS262" s="86" t="str">
        <f aca="false">IF(ISBLANK($C262),"",IF($BL262&lt;&gt;Constants!$B$4,$BL262,IF(ISNUMBER($BR262),RANK($BR262,$BR$9:$BR$508,0),COUNT($BR$9:$BR$508)+1)))</f>
        <v/>
      </c>
      <c r="BT262" s="90" t="str">
        <f aca="false">IF($BL262&lt;&gt;Constants!$B$4,"",IF($BB262="-&gt;",$BE262,$AU262))</f>
        <v/>
      </c>
      <c r="BU262" s="86" t="str">
        <f aca="false">IF(ISBLANK($C262),"",IF($BL262&lt;&gt;Constants!$B$4,$BL262,IF(ISNUMBER($BT262),RANK($BT262,$BT$9:$BT$508,0),COUNT($BT$9:$BT$508)+1)))</f>
        <v/>
      </c>
      <c r="BV262" s="90" t="str">
        <f aca="false">IF($BL262&lt;&gt;Constants!$B$4,"",IF($BB262="-&gt;",$BF262,$AV262))</f>
        <v/>
      </c>
      <c r="BW262" s="86" t="str">
        <f aca="false">IF(ISBLANK($C262),"",IF($BL262&lt;&gt;Constants!$B$4,$BL262,IF(ISNUMBER($BV262),RANK($BV262,$BV$9:$BV$508,0),COUNT($BV$9:$BV$508)+1)))</f>
        <v/>
      </c>
      <c r="BX262" s="90" t="str">
        <f aca="false">IF($BL262&lt;&gt;Constants!$B$4,"",IF($BB262="-&gt;",$BK262,$BA262))</f>
        <v/>
      </c>
      <c r="BY262" s="86" t="str">
        <f aca="false">IF(ISBLANK($C262),"",IF($BL262&lt;&gt;Constants!$B$4,$BL262,IF(ISNUMBER($BX262),RANK($BX262,$BX$9:$BX$508,0),COUNT($BX$9:$BX$508)+1)))</f>
        <v/>
      </c>
      <c r="BZ262" s="86" t="str">
        <f aca="false">IF(ISBLANK($C262),"",IF($BL262&lt;&gt;Constants!$B$4,$BL262,COUNTIFS($BM$9:$BM$508,"&lt;"&amp;$BM262)+COUNTIFS($BM$9:$BM$508,$BM262,$BP$9:$BP$508,"&lt;"&amp;$BP262)+COUNTIFS($BM$9:$BM$508,$BM262,$BP$9:$BP$508,$BP262,$BS$9:$BS$508,"&lt;"&amp;$BS262)+COUNTIFS($BM$9:$BM$508,$BM262,$BP$9:$BP$508,$BP262,$BS$9:$BS$508,$BS262,$BU$9:$BU$508,"&lt;"&amp;$BU262)+COUNTIFS($BM$9:$BM$508,$BM262,$BP$9:$BP$508,$BP262,$BS$9:$BS$508,$BS262,$BU$9:$BU$508,$BU262,$BW$9:$BW$508,"&lt;"&amp;$BW262)+COUNTIFS($BM$9:$BM$508,$BM262,$BP$9:$BP$508,$BP262,$BS$9:$BS$508,$BS262,$BU$9:$BU$508,$BU262,$BW$9:$BW$508,$BW262,$BY$9:$BY$508,"&lt;"&amp;$BY262)+1))</f>
        <v/>
      </c>
      <c r="CA262" s="86" t="str">
        <f aca="false">IF(ISBLANK($C262),"",IF($BL262&lt;&gt;Constants!$B$4,$BL262,$BQ262-$BZ262))</f>
        <v/>
      </c>
      <c r="CB262" s="93"/>
      <c r="CC262" s="94" t="str">
        <f aca="false">IF(ISBLANK($C262),"",IF($BL262=Constants!$B$8,$AR262,""))</f>
        <v/>
      </c>
      <c r="CD262" s="94" t="str">
        <f aca="false">IF(ISBLANK($C262),"",IF($BL262&lt;&gt;Constants!$B$4,"",IF($BB262="-&gt;",2,1)))</f>
        <v/>
      </c>
      <c r="CE262" s="95" t="str">
        <f aca="false">IF(ISBLANK($C262),"",IF($BL262&lt;&gt;Constants!$B$4,"",IF($BB262="-&gt;",$BE262,$AU262)))</f>
        <v/>
      </c>
      <c r="CF262" s="95" t="str">
        <f aca="false">IF(ISBLANK($C262),"",IF($BL262&lt;&gt;Constants!$B$4,"",IF($BB262="-&gt;",$BF262,$AV262)))</f>
        <v/>
      </c>
      <c r="CG262" s="95" t="str">
        <f aca="false">IF(ISBLANK($C262),"",IF($BL262&lt;&gt;Constants!$B$4,"",IF($BB262="-&gt;",$BG262,$AW262)))</f>
        <v/>
      </c>
      <c r="CH262" s="95" t="str">
        <f aca="false">IF(ISBLANK($C262),"",IF($BL262&lt;&gt;Constants!$B$4,"",IF($BB262="-&gt;",$BH262,$AX262)))</f>
        <v/>
      </c>
      <c r="CI262" s="96" t="str">
        <f aca="false">IF(ISBLANK($C262),"",$BO262)</f>
        <v/>
      </c>
      <c r="CJ262" s="97" t="str">
        <f aca="false">IF(ISBLANK($C262),"",$BM262)</f>
        <v/>
      </c>
      <c r="CK262" s="98" t="str">
        <f aca="false">IF(ISBLANK($C262),"",$CA262)</f>
        <v/>
      </c>
      <c r="CL262" s="98" t="str">
        <f aca="false">IF(ISBLANK($C262),"",$BZ262)</f>
        <v/>
      </c>
      <c r="CM262" s="99" t="str">
        <f aca="false">IF(ISBLANK($C262),"",IF($CL262=Constants!$B$7,COUNTA($C$9:$C$508)+2,IF($CL262=Constants!$B$6,COUNTA($C$9:$C$508)+1,IF($CL262=Constants!$B$5,COUNTA($C$9:$C$508),$CL262))))</f>
        <v/>
      </c>
      <c r="CN262" s="8"/>
      <c r="CO262" s="100" t="n">
        <f aca="false">IF(OR(ISNUMBER($CL262),$CL262=Constants!$B$7,$CL262=Constants!$B$5,$CL262=Constants!$B$6),1,0)</f>
        <v>0</v>
      </c>
      <c r="CP262" s="100" t="n">
        <v>254</v>
      </c>
      <c r="CQ262" s="100" t="str">
        <f aca="false">IF(ISBLANK($C262),"",IF(ISNUMBER($CM262),$CM262+ROW($B262)/1000,""))</f>
        <v/>
      </c>
      <c r="CR262" s="100" t="str">
        <f aca="false">IF(ISNUMBER($CQ262),RANK($CQ262,$CQ$9:$CQ$508,1),"")</f>
        <v/>
      </c>
      <c r="CS262" s="100" t="str">
        <f aca="false">IF(ISBLANK($C262),"",$B262)</f>
        <v/>
      </c>
      <c r="CT262" s="100" t="str">
        <f aca="false">IF(ISBLANK($C262),"",$C262)</f>
        <v/>
      </c>
      <c r="CU262" s="100" t="str">
        <f aca="false">IF(ISBLANK($C262),"",$D262)</f>
        <v/>
      </c>
      <c r="CV262" s="101" t="str">
        <f aca="false">$CJ262</f>
        <v/>
      </c>
      <c r="CW262" s="102" t="str">
        <f aca="false">$CI262</f>
        <v/>
      </c>
      <c r="CX262" s="100" t="str">
        <f aca="false">IF(ISBLANK($C262),"",$CL262)</f>
        <v/>
      </c>
      <c r="CY262" s="103" t="str">
        <f aca="false">IF($CP262&gt;$CO$8,"",VLOOKUP($CP262,$CR$9:$CX$508,7,FALSE()))</f>
        <v/>
      </c>
      <c r="CZ262" s="104" t="str">
        <f aca="false">IF($CP262&gt;$CO$8,"",VLOOKUP($CP262,$CR$9:$CX$508,2,FALSE()))</f>
        <v/>
      </c>
      <c r="DA262" s="104" t="str">
        <f aca="false">IF($CP262&gt;$CO$8,"",VLOOKUP($CP262,$CR$9:$CX$508,3,FALSE()))</f>
        <v/>
      </c>
      <c r="DB262" s="104" t="str">
        <f aca="false">IF($CP262&gt;$CO$8,"",VLOOKUP($CP262,$CR$9:$CX$508,4,FALSE()))</f>
        <v/>
      </c>
      <c r="DC262" s="104" t="str">
        <f aca="false">IF($CP262&gt;$CO$8,"",VLOOKUP($CP262,$CR$9:$CX$508,5,FALSE()))</f>
        <v/>
      </c>
      <c r="DD262" s="105" t="str">
        <f aca="false">IF($CP262&gt;$CO$8,"",VLOOKUP($CP262,$CR$9:$CX$508,6,FALSE()))</f>
        <v/>
      </c>
      <c r="DE262" s="70"/>
    </row>
    <row r="263" customFormat="false" ht="15.75" hidden="false" customHeight="false" outlineLevel="0" collapsed="false">
      <c r="A263" s="8"/>
      <c r="B263" s="72"/>
      <c r="C263" s="73"/>
      <c r="D263" s="155"/>
      <c r="E263" s="162"/>
      <c r="F263" s="157"/>
      <c r="G263" s="77"/>
      <c r="H263" s="77"/>
      <c r="I263" s="77"/>
      <c r="J263" s="163"/>
      <c r="K263" s="161"/>
      <c r="L263" s="161"/>
      <c r="M263" s="80"/>
      <c r="N263" s="161"/>
      <c r="O263" s="160"/>
      <c r="P263" s="161"/>
      <c r="Q263" s="161"/>
      <c r="R263" s="161"/>
      <c r="S263" s="77"/>
      <c r="T263" s="161"/>
      <c r="U263" s="160"/>
      <c r="V263" s="161"/>
      <c r="W263" s="85"/>
      <c r="X263" s="86" t="str">
        <f aca="false">IF(ISBLANK($C263),"",IF($E263=Constants!$B$2,TRUE(),IF($E263=Constants!$B$3,FALSE(),TRUE())))</f>
        <v/>
      </c>
      <c r="Y263" s="86" t="str">
        <f aca="false">IF(ISBLANK($C263),"",IF($F263=Constants!$B$2,TRUE(),IF($F263=Constants!$B$3,FALSE(),TRUE())))</f>
        <v/>
      </c>
      <c r="Z263" s="87" t="str">
        <f aca="false">IF(ISBLANK($C263),"",IF(ISNUMBER($G263),IF($G263&gt;=0,$G263,""),""))</f>
        <v/>
      </c>
      <c r="AA263" s="87" t="str">
        <f aca="false">IF(ISBLANK($C263),"",IF(ISNUMBER($H263),IF($H263&gt;=0,$H263,""),""))</f>
        <v/>
      </c>
      <c r="AB263" s="87" t="str">
        <f aca="false">IF(ISBLANK($C263),"",IF(ISNUMBER($I263),IF($I263&gt;=0,$I263,""),""))</f>
        <v/>
      </c>
      <c r="AC263" s="86" t="str">
        <f aca="false">IF(ISBLANK($C263),"",IF($J263=Constants!$B$2,TRUE(),IF($J263=Constants!$B$3,FALSE(),TRUE())))</f>
        <v/>
      </c>
      <c r="AD263" s="86" t="str">
        <f aca="false">IF(ISBLANK($C263),"",IF($K263=Constants!$B$2,TRUE(),IF($K263=Constants!$B$3,FALSE(),TRUE())))</f>
        <v/>
      </c>
      <c r="AE263" s="86" t="str">
        <f aca="false">IF(ISBLANK($C263),"",IF($L263=Constants!$B$2,TRUE(),IF($L263=Constants!$B$3,FALSE(),TRUE())))</f>
        <v/>
      </c>
      <c r="AF263" s="88" t="str">
        <f aca="false">IF(ISBLANK($C263),"",IF(ISNUMBER($M263),IF($M263&gt;=0,$M263,""),""))</f>
        <v/>
      </c>
      <c r="AG263" s="86" t="str">
        <f aca="false">IF(ISBLANK($C263),"",IF(ISBLANK($N263),0,IF(ISNUMBER($N263),IF(AND($N263&gt;=0,$N263&lt;=Constants!$B$17,$N263=INT($N263)),$N263,""),"")))</f>
        <v/>
      </c>
      <c r="AH263" s="87" t="str">
        <f aca="false">IF(ISBLANK($C263),"",IF(ISBLANK($O263),0,IF(ISNUMBER($O263),IF($O263&gt;=0,$O263,""),"")))</f>
        <v/>
      </c>
      <c r="AI263" s="86" t="str">
        <f aca="false">IF(ISBLANK($C263),"",IF($P263=Constants!$B$2,TRUE(),IF($P263=Constants!$B$3,FALSE(),TRUE())))</f>
        <v/>
      </c>
      <c r="AJ263" s="86" t="str">
        <f aca="false">IF(ISBLANK($C263),"",IF($Q263=Constants!$B$2,TRUE(),IF($Q263=Constants!$B$3,FALSE(),TRUE())))</f>
        <v/>
      </c>
      <c r="AK263" s="86" t="str">
        <f aca="false">IF(ISBLANK($C263),"",IF($R263=Constants!$B$2,TRUE(),IF($R263=Constants!$B$3,FALSE(),TRUE())))</f>
        <v/>
      </c>
      <c r="AL263" s="88" t="str">
        <f aca="false">IF(ISBLANK($C263),"",IF(ISNUMBER($S263),IF($S263&gt;=0,$S263,""),""))</f>
        <v/>
      </c>
      <c r="AM263" s="86" t="str">
        <f aca="false">IF(ISBLANK($C263),"",IF(ISBLANK($T263),0,IF(ISNUMBER($T263),IF(AND($T263&gt;=0,$T263&lt;=Constants!$B$17,$T263=INT($T263)),$T263,""),"")))</f>
        <v/>
      </c>
      <c r="AN263" s="87" t="str">
        <f aca="false">IF(ISBLANK($C263),"",IF(ISBLANK($U263),0,IF(ISNUMBER($U263),IF($U263&gt;=0,$U263,""),"")))</f>
        <v/>
      </c>
      <c r="AO263" s="86" t="str">
        <f aca="false">IF(ISBLANK($C263),"",IF($V263=Constants!$B$2,TRUE(),IF($V263=Constants!$B$3,FALSE(),FALSE())))</f>
        <v/>
      </c>
      <c r="AP263" s="86"/>
      <c r="AQ263" s="85" t="str">
        <f aca="false">IF(ISBLANK($C263),"",AND($Y263,OR($AS263,$BC263),OR($Z263="",$AA263="",$AB263="")))</f>
        <v/>
      </c>
      <c r="AR263" s="85" t="str">
        <f aca="false">IF(ISBLANK($C263),"",IF(OR(NOT($Y263),NOT(OR($AS263,$BC263))),"",IF(ISBLANK($D$7),$AR$5,IF($AP$9="",$AR$6,""))))</f>
        <v/>
      </c>
      <c r="AS263" s="85" t="str">
        <f aca="false">IF(ISBLANK($C263),"",COUNTA($J263:$O263)&gt;0)</f>
        <v/>
      </c>
      <c r="AT263" s="85" t="str">
        <f aca="false">IF(ISBLANK($C263),"",AND($AS263,OR(AND($AF263="",OR($AE263,NOT(ISBLANK($M263)))),$AG263="",$AH263="")))</f>
        <v/>
      </c>
      <c r="AU263" s="87" t="str">
        <f aca="false">IF($BL263&lt;&gt;Constants!$B$4,"",IF(NOT($AS263),"",ROUND((Constants!$B$12-$AB263)+(Constants!$B$13-$Z263)+(Constants!$B$14-$AA263),1)))</f>
        <v/>
      </c>
      <c r="AV263" s="90" t="str">
        <f aca="false">IF($BL263&lt;&gt;Constants!$B$4,"",IF(NOT($AS263),"",IF(NOT($AE263),0,Constants!$B$15*(INT(ROUND(MIN($AF263,$AP$9),6))-INT(ROUND(MAX(0,MIN($AF263,2*$AP$9)-$AP$9),6))))))</f>
        <v/>
      </c>
      <c r="AW263" s="90" t="str">
        <f aca="false">IF($BL263&lt;&gt;Constants!$B$4,"",IF(NOT($AS263),"",Constants!$B$16*$AG263))</f>
        <v/>
      </c>
      <c r="AX263" s="90" t="str">
        <f aca="false">IF($BL263&lt;&gt;Constants!$B$4,"",IF(NOT($AS263),"",Constants!$B$18*INT(ROUND($AH263,6))))</f>
        <v/>
      </c>
      <c r="AY263" s="85" t="str">
        <f aca="false">IF($BL263&lt;&gt;Constants!$B$4,"",IF(NOT($AS263),"",IF(NOT($X263),Constants!$B$11,IF(OR(NOT($AC263),NOT($AD263),ROUND($AB263,1)&gt;Constants!$B$12,ROUND($Z263,1)&gt;Constants!$B$13,ROUND($AA263,1)&gt;Constants!$B$14),Constants!$B$10,Constants!$B$9))))</f>
        <v/>
      </c>
      <c r="AZ263" s="91" t="str">
        <f aca="false">IF($BL263&lt;&gt;Constants!$B$4,"",IF(NOT($AS263),"",ROUND($AU263+$AV263+$AW263+$AX263,1)))</f>
        <v/>
      </c>
      <c r="BA263" s="92" t="str">
        <f aca="false">IF($BL263&lt;&gt;Constants!$B$4,"",IF(NOT($AS263),"",IF(ISNUMBER($AF263),$AF263,0)))</f>
        <v/>
      </c>
      <c r="BB263" s="86" t="str">
        <f aca="false">IF($BL263&lt;&gt;Constants!$B$4,"",IF(NOT($BC263),"&lt;-",IF(NOT($AS263),"-&gt;",IF(OR($BI263&lt;$AY263,AND($BI263=$AY263,OR($BJ263&gt;$AZ263,AND($BJ263=$AZ263,OR($BH263&gt;$AX263,AND($BH263=$AX263,OR($BE263&gt;$AU263,AND($BE263=$AU263,OR($BF263&gt;$AV263,AND($BF263=$AV263,$BK263&gt;$BA263)))))))))),"-&gt;","&lt;-"))))</f>
        <v/>
      </c>
      <c r="BC263" s="85" t="str">
        <f aca="false">IF(ISBLANK($C263),"",COUNTA($P263:$U263)&gt;0)</f>
        <v/>
      </c>
      <c r="BD263" s="85" t="str">
        <f aca="false">IF(ISBLANK($C263),"",AND($BC263,OR(AND($AL263="",OR($AK263,NOT(ISBLANK($S263)))),$AM263="",$AN263="")))</f>
        <v/>
      </c>
      <c r="BE263" s="87" t="str">
        <f aca="false">IF($BL263&lt;&gt;Constants!$B$4,"",IF(NOT($BC263),"",ROUND((Constants!$B$12-$AB263)+(Constants!$B$13-$Z263)+(Constants!$B$14-$AA263),1)))</f>
        <v/>
      </c>
      <c r="BF263" s="90" t="str">
        <f aca="false">IF($BL263&lt;&gt;Constants!$B$4,"",IF(NOT($BC263),"",IF(NOT($AK263),0,Constants!$B$15*(INT(ROUND(MIN($AL263,$AP$9),6))-INT(ROUND(MAX(0,MIN($AL263,2*$AP$9)-$AP$9),6))))))</f>
        <v/>
      </c>
      <c r="BG263" s="90" t="str">
        <f aca="false">IF($BL263&lt;&gt;Constants!$B$4,"",IF(NOT($BC263),"",Constants!$B$16*$AM263))</f>
        <v/>
      </c>
      <c r="BH263" s="90" t="str">
        <f aca="false">IF($BL263&lt;&gt;Constants!$B$4,"",IF(NOT($BC263),"",Constants!$B$18*INT(ROUND($AN263,6))))</f>
        <v/>
      </c>
      <c r="BI263" s="85" t="str">
        <f aca="false">IF($BL263&lt;&gt;Constants!$B$4,"",IF(NOT($BC263),"",IF(NOT($X263),Constants!$B$11,IF(OR(NOT($AI263),NOT($AJ263),ROUND($AB263,1)&gt;Constants!$B$12,ROUND($Z263,1)&gt;Constants!$B$13,ROUND($AA263,1)&gt;Constants!$B$14),Constants!$B$10,Constants!$B$9))))</f>
        <v/>
      </c>
      <c r="BJ263" s="91" t="str">
        <f aca="false">IF($BL263&lt;&gt;Constants!$B$4,"",IF(NOT($BC263),"",ROUND($BE263+$BF263+$BG263+$BH263,1)))</f>
        <v/>
      </c>
      <c r="BK263" s="92" t="str">
        <f aca="false">IF($BL263&lt;&gt;Constants!$B$4,"",IF(NOT($BC263),"",IF(ISNUMBER($AL263),$AL263,0)))</f>
        <v/>
      </c>
      <c r="BL263" s="86" t="str">
        <f aca="false">IF(ISBLANK($C263),"",IF($AO263,Constants!$B$7,IF(COUNTA($E263:$V263)=0,Constants!$B$6,IF(NOT($Y263),Constants!$B$5,IF(NOT(OR($AS263,$BC263)),Constants!$B$5,IF(OR($AT263,$BD263,$AQ263,$AR263&lt;&gt;""),Constants!$B$8,Constants!$B$4))))))</f>
        <v/>
      </c>
      <c r="BM263" s="86" t="str">
        <f aca="false">IF(ISBLANK($C263),"",IF($BL263&lt;&gt;Constants!$B$4,$BL263,IF($BB263="-&gt;",$BI263,$AY263)))</f>
        <v/>
      </c>
      <c r="BN263" s="90" t="str">
        <f aca="false">IF($BL263&lt;&gt;Constants!$B$4,"",IF($BB263="-&gt;",$BJ263,$AZ263))</f>
        <v/>
      </c>
      <c r="BO263" s="90" t="str">
        <f aca="false">IF(ISBLANK($C263),"",IF($BL263&lt;&gt;Constants!$B$4,$BL263,$BN263))</f>
        <v/>
      </c>
      <c r="BP263" s="86" t="str">
        <f aca="false">IF(ISBLANK($C263),"",IF($BL263&lt;&gt;Constants!$B$4,$BL263,RANK($BO263,$BO$9:$BO$508,0)))</f>
        <v/>
      </c>
      <c r="BQ263" s="86" t="str">
        <f aca="false">IF(ISBLANK($C263),"",IF($BL263&lt;&gt;Constants!$B$4,$BL263,COUNTIFS($BM$9:$BM$508,"&lt;"&amp;$BM263)+COUNTIFS($BM$9:$BM$508,$BM263,$BP$9:$BP$508,"&lt;"&amp;$BP263)+1))</f>
        <v/>
      </c>
      <c r="BR263" s="90" t="str">
        <f aca="false">IF($BL263&lt;&gt;Constants!$B$4,"",IF($BB263="-&gt;",$BH263,$AX263))</f>
        <v/>
      </c>
      <c r="BS263" s="86" t="str">
        <f aca="false">IF(ISBLANK($C263),"",IF($BL263&lt;&gt;Constants!$B$4,$BL263,IF(ISNUMBER($BR263),RANK($BR263,$BR$9:$BR$508,0),COUNT($BR$9:$BR$508)+1)))</f>
        <v/>
      </c>
      <c r="BT263" s="90" t="str">
        <f aca="false">IF($BL263&lt;&gt;Constants!$B$4,"",IF($BB263="-&gt;",$BE263,$AU263))</f>
        <v/>
      </c>
      <c r="BU263" s="86" t="str">
        <f aca="false">IF(ISBLANK($C263),"",IF($BL263&lt;&gt;Constants!$B$4,$BL263,IF(ISNUMBER($BT263),RANK($BT263,$BT$9:$BT$508,0),COUNT($BT$9:$BT$508)+1)))</f>
        <v/>
      </c>
      <c r="BV263" s="90" t="str">
        <f aca="false">IF($BL263&lt;&gt;Constants!$B$4,"",IF($BB263="-&gt;",$BF263,$AV263))</f>
        <v/>
      </c>
      <c r="BW263" s="86" t="str">
        <f aca="false">IF(ISBLANK($C263),"",IF($BL263&lt;&gt;Constants!$B$4,$BL263,IF(ISNUMBER($BV263),RANK($BV263,$BV$9:$BV$508,0),COUNT($BV$9:$BV$508)+1)))</f>
        <v/>
      </c>
      <c r="BX263" s="90" t="str">
        <f aca="false">IF($BL263&lt;&gt;Constants!$B$4,"",IF($BB263="-&gt;",$BK263,$BA263))</f>
        <v/>
      </c>
      <c r="BY263" s="86" t="str">
        <f aca="false">IF(ISBLANK($C263),"",IF($BL263&lt;&gt;Constants!$B$4,$BL263,IF(ISNUMBER($BX263),RANK($BX263,$BX$9:$BX$508,0),COUNT($BX$9:$BX$508)+1)))</f>
        <v/>
      </c>
      <c r="BZ263" s="86" t="str">
        <f aca="false">IF(ISBLANK($C263),"",IF($BL263&lt;&gt;Constants!$B$4,$BL263,COUNTIFS($BM$9:$BM$508,"&lt;"&amp;$BM263)+COUNTIFS($BM$9:$BM$508,$BM263,$BP$9:$BP$508,"&lt;"&amp;$BP263)+COUNTIFS($BM$9:$BM$508,$BM263,$BP$9:$BP$508,$BP263,$BS$9:$BS$508,"&lt;"&amp;$BS263)+COUNTIFS($BM$9:$BM$508,$BM263,$BP$9:$BP$508,$BP263,$BS$9:$BS$508,$BS263,$BU$9:$BU$508,"&lt;"&amp;$BU263)+COUNTIFS($BM$9:$BM$508,$BM263,$BP$9:$BP$508,$BP263,$BS$9:$BS$508,$BS263,$BU$9:$BU$508,$BU263,$BW$9:$BW$508,"&lt;"&amp;$BW263)+COUNTIFS($BM$9:$BM$508,$BM263,$BP$9:$BP$508,$BP263,$BS$9:$BS$508,$BS263,$BU$9:$BU$508,$BU263,$BW$9:$BW$508,$BW263,$BY$9:$BY$508,"&lt;"&amp;$BY263)+1))</f>
        <v/>
      </c>
      <c r="CA263" s="86" t="str">
        <f aca="false">IF(ISBLANK($C263),"",IF($BL263&lt;&gt;Constants!$B$4,$BL263,$BQ263-$BZ263))</f>
        <v/>
      </c>
      <c r="CB263" s="93"/>
      <c r="CC263" s="94" t="str">
        <f aca="false">IF(ISBLANK($C263),"",IF($BL263=Constants!$B$8,$AR263,""))</f>
        <v/>
      </c>
      <c r="CD263" s="94" t="str">
        <f aca="false">IF(ISBLANK($C263),"",IF($BL263&lt;&gt;Constants!$B$4,"",IF($BB263="-&gt;",2,1)))</f>
        <v/>
      </c>
      <c r="CE263" s="95" t="str">
        <f aca="false">IF(ISBLANK($C263),"",IF($BL263&lt;&gt;Constants!$B$4,"",IF($BB263="-&gt;",$BE263,$AU263)))</f>
        <v/>
      </c>
      <c r="CF263" s="95" t="str">
        <f aca="false">IF(ISBLANK($C263),"",IF($BL263&lt;&gt;Constants!$B$4,"",IF($BB263="-&gt;",$BF263,$AV263)))</f>
        <v/>
      </c>
      <c r="CG263" s="95" t="str">
        <f aca="false">IF(ISBLANK($C263),"",IF($BL263&lt;&gt;Constants!$B$4,"",IF($BB263="-&gt;",$BG263,$AW263)))</f>
        <v/>
      </c>
      <c r="CH263" s="95" t="str">
        <f aca="false">IF(ISBLANK($C263),"",IF($BL263&lt;&gt;Constants!$B$4,"",IF($BB263="-&gt;",$BH263,$AX263)))</f>
        <v/>
      </c>
      <c r="CI263" s="96" t="str">
        <f aca="false">IF(ISBLANK($C263),"",$BO263)</f>
        <v/>
      </c>
      <c r="CJ263" s="97" t="str">
        <f aca="false">IF(ISBLANK($C263),"",$BM263)</f>
        <v/>
      </c>
      <c r="CK263" s="98" t="str">
        <f aca="false">IF(ISBLANK($C263),"",$CA263)</f>
        <v/>
      </c>
      <c r="CL263" s="98" t="str">
        <f aca="false">IF(ISBLANK($C263),"",$BZ263)</f>
        <v/>
      </c>
      <c r="CM263" s="99" t="str">
        <f aca="false">IF(ISBLANK($C263),"",IF($CL263=Constants!$B$7,COUNTA($C$9:$C$508)+2,IF($CL263=Constants!$B$6,COUNTA($C$9:$C$508)+1,IF($CL263=Constants!$B$5,COUNTA($C$9:$C$508),$CL263))))</f>
        <v/>
      </c>
      <c r="CN263" s="8"/>
      <c r="CO263" s="100" t="n">
        <f aca="false">IF(OR(ISNUMBER($CL263),$CL263=Constants!$B$7,$CL263=Constants!$B$5,$CL263=Constants!$B$6),1,0)</f>
        <v>0</v>
      </c>
      <c r="CP263" s="100" t="n">
        <v>255</v>
      </c>
      <c r="CQ263" s="100" t="str">
        <f aca="false">IF(ISBLANK($C263),"",IF(ISNUMBER($CM263),$CM263+ROW($B263)/1000,""))</f>
        <v/>
      </c>
      <c r="CR263" s="100" t="str">
        <f aca="false">IF(ISNUMBER($CQ263),RANK($CQ263,$CQ$9:$CQ$508,1),"")</f>
        <v/>
      </c>
      <c r="CS263" s="100" t="str">
        <f aca="false">IF(ISBLANK($C263),"",$B263)</f>
        <v/>
      </c>
      <c r="CT263" s="100" t="str">
        <f aca="false">IF(ISBLANK($C263),"",$C263)</f>
        <v/>
      </c>
      <c r="CU263" s="100" t="str">
        <f aca="false">IF(ISBLANK($C263),"",$D263)</f>
        <v/>
      </c>
      <c r="CV263" s="101" t="str">
        <f aca="false">$CJ263</f>
        <v/>
      </c>
      <c r="CW263" s="102" t="str">
        <f aca="false">$CI263</f>
        <v/>
      </c>
      <c r="CX263" s="100" t="str">
        <f aca="false">IF(ISBLANK($C263),"",$CL263)</f>
        <v/>
      </c>
      <c r="CY263" s="103" t="str">
        <f aca="false">IF($CP263&gt;$CO$8,"",VLOOKUP($CP263,$CR$9:$CX$508,7,FALSE()))</f>
        <v/>
      </c>
      <c r="CZ263" s="104" t="str">
        <f aca="false">IF($CP263&gt;$CO$8,"",VLOOKUP($CP263,$CR$9:$CX$508,2,FALSE()))</f>
        <v/>
      </c>
      <c r="DA263" s="104" t="str">
        <f aca="false">IF($CP263&gt;$CO$8,"",VLOOKUP($CP263,$CR$9:$CX$508,3,FALSE()))</f>
        <v/>
      </c>
      <c r="DB263" s="104" t="str">
        <f aca="false">IF($CP263&gt;$CO$8,"",VLOOKUP($CP263,$CR$9:$CX$508,4,FALSE()))</f>
        <v/>
      </c>
      <c r="DC263" s="104" t="str">
        <f aca="false">IF($CP263&gt;$CO$8,"",VLOOKUP($CP263,$CR$9:$CX$508,5,FALSE()))</f>
        <v/>
      </c>
      <c r="DD263" s="105" t="str">
        <f aca="false">IF($CP263&gt;$CO$8,"",VLOOKUP($CP263,$CR$9:$CX$508,6,FALSE()))</f>
        <v/>
      </c>
      <c r="DE263" s="70"/>
    </row>
    <row r="264" customFormat="false" ht="15.75" hidden="false" customHeight="false" outlineLevel="0" collapsed="false">
      <c r="A264" s="8"/>
      <c r="B264" s="146"/>
      <c r="C264" s="147"/>
      <c r="D264" s="148"/>
      <c r="E264" s="164"/>
      <c r="F264" s="150"/>
      <c r="G264" s="115"/>
      <c r="H264" s="115"/>
      <c r="I264" s="115"/>
      <c r="J264" s="165"/>
      <c r="K264" s="154"/>
      <c r="L264" s="154"/>
      <c r="M264" s="118"/>
      <c r="N264" s="154"/>
      <c r="O264" s="153"/>
      <c r="P264" s="154"/>
      <c r="Q264" s="154"/>
      <c r="R264" s="154"/>
      <c r="S264" s="115"/>
      <c r="T264" s="154"/>
      <c r="U264" s="153"/>
      <c r="V264" s="154"/>
      <c r="W264" s="123"/>
      <c r="X264" s="124" t="str">
        <f aca="false">IF(ISBLANK($C264),"",IF($E264=Constants!$B$2,TRUE(),IF($E264=Constants!$B$3,FALSE(),TRUE())))</f>
        <v/>
      </c>
      <c r="Y264" s="124" t="str">
        <f aca="false">IF(ISBLANK($C264),"",IF($F264=Constants!$B$2,TRUE(),IF($F264=Constants!$B$3,FALSE(),TRUE())))</f>
        <v/>
      </c>
      <c r="Z264" s="125" t="str">
        <f aca="false">IF(ISBLANK($C264),"",IF(ISNUMBER($G264),IF($G264&gt;=0,$G264,""),""))</f>
        <v/>
      </c>
      <c r="AA264" s="125" t="str">
        <f aca="false">IF(ISBLANK($C264),"",IF(ISNUMBER($H264),IF($H264&gt;=0,$H264,""),""))</f>
        <v/>
      </c>
      <c r="AB264" s="125" t="str">
        <f aca="false">IF(ISBLANK($C264),"",IF(ISNUMBER($I264),IF($I264&gt;=0,$I264,""),""))</f>
        <v/>
      </c>
      <c r="AC264" s="124" t="str">
        <f aca="false">IF(ISBLANK($C264),"",IF($J264=Constants!$B$2,TRUE(),IF($J264=Constants!$B$3,FALSE(),TRUE())))</f>
        <v/>
      </c>
      <c r="AD264" s="124" t="str">
        <f aca="false">IF(ISBLANK($C264),"",IF($K264=Constants!$B$2,TRUE(),IF($K264=Constants!$B$3,FALSE(),TRUE())))</f>
        <v/>
      </c>
      <c r="AE264" s="124" t="str">
        <f aca="false">IF(ISBLANK($C264),"",IF($L264=Constants!$B$2,TRUE(),IF($L264=Constants!$B$3,FALSE(),TRUE())))</f>
        <v/>
      </c>
      <c r="AF264" s="126" t="str">
        <f aca="false">IF(ISBLANK($C264),"",IF(ISNUMBER($M264),IF($M264&gt;=0,$M264,""),""))</f>
        <v/>
      </c>
      <c r="AG264" s="124" t="str">
        <f aca="false">IF(ISBLANK($C264),"",IF(ISBLANK($N264),0,IF(ISNUMBER($N264),IF(AND($N264&gt;=0,$N264&lt;=Constants!$B$17,$N264=INT($N264)),$N264,""),"")))</f>
        <v/>
      </c>
      <c r="AH264" s="125" t="str">
        <f aca="false">IF(ISBLANK($C264),"",IF(ISBLANK($O264),0,IF(ISNUMBER($O264),IF($O264&gt;=0,$O264,""),"")))</f>
        <v/>
      </c>
      <c r="AI264" s="124" t="str">
        <f aca="false">IF(ISBLANK($C264),"",IF($P264=Constants!$B$2,TRUE(),IF($P264=Constants!$B$3,FALSE(),TRUE())))</f>
        <v/>
      </c>
      <c r="AJ264" s="124" t="str">
        <f aca="false">IF(ISBLANK($C264),"",IF($Q264=Constants!$B$2,TRUE(),IF($Q264=Constants!$B$3,FALSE(),TRUE())))</f>
        <v/>
      </c>
      <c r="AK264" s="124" t="str">
        <f aca="false">IF(ISBLANK($C264),"",IF($R264=Constants!$B$2,TRUE(),IF($R264=Constants!$B$3,FALSE(),TRUE())))</f>
        <v/>
      </c>
      <c r="AL264" s="126" t="str">
        <f aca="false">IF(ISBLANK($C264),"",IF(ISNUMBER($S264),IF($S264&gt;=0,$S264,""),""))</f>
        <v/>
      </c>
      <c r="AM264" s="124" t="str">
        <f aca="false">IF(ISBLANK($C264),"",IF(ISBLANK($T264),0,IF(ISNUMBER($T264),IF(AND($T264&gt;=0,$T264&lt;=Constants!$B$17,$T264=INT($T264)),$T264,""),"")))</f>
        <v/>
      </c>
      <c r="AN264" s="125" t="str">
        <f aca="false">IF(ISBLANK($C264),"",IF(ISBLANK($U264),0,IF(ISNUMBER($U264),IF($U264&gt;=0,$U264,""),"")))</f>
        <v/>
      </c>
      <c r="AO264" s="124" t="str">
        <f aca="false">IF(ISBLANK($C264),"",IF($V264=Constants!$B$2,TRUE(),IF($V264=Constants!$B$3,FALSE(),FALSE())))</f>
        <v/>
      </c>
      <c r="AP264" s="124"/>
      <c r="AQ264" s="123" t="str">
        <f aca="false">IF(ISBLANK($C264),"",AND($Y264,OR($AS264,$BC264),OR($Z264="",$AA264="",$AB264="")))</f>
        <v/>
      </c>
      <c r="AR264" s="123" t="str">
        <f aca="false">IF(ISBLANK($C264),"",IF(OR(NOT($Y264),NOT(OR($AS264,$BC264))),"",IF(ISBLANK($D$7),$AR$5,IF($AP$9="",$AR$6,""))))</f>
        <v/>
      </c>
      <c r="AS264" s="123" t="str">
        <f aca="false">IF(ISBLANK($C264),"",COUNTA($J264:$O264)&gt;0)</f>
        <v/>
      </c>
      <c r="AT264" s="123" t="str">
        <f aca="false">IF(ISBLANK($C264),"",AND($AS264,OR(AND($AF264="",OR($AE264,NOT(ISBLANK($M264)))),$AG264="",$AH264="")))</f>
        <v/>
      </c>
      <c r="AU264" s="125" t="str">
        <f aca="false">IF($BL264&lt;&gt;Constants!$B$4,"",IF(NOT($AS264),"",ROUND((Constants!$B$12-$AB264)+(Constants!$B$13-$Z264)+(Constants!$B$14-$AA264),1)))</f>
        <v/>
      </c>
      <c r="AV264" s="127" t="str">
        <f aca="false">IF($BL264&lt;&gt;Constants!$B$4,"",IF(NOT($AS264),"",IF(NOT($AE264),0,Constants!$B$15*(INT(ROUND(MIN($AF264,$AP$9),6))-INT(ROUND(MAX(0,MIN($AF264,2*$AP$9)-$AP$9),6))))))</f>
        <v/>
      </c>
      <c r="AW264" s="127" t="str">
        <f aca="false">IF($BL264&lt;&gt;Constants!$B$4,"",IF(NOT($AS264),"",Constants!$B$16*$AG264))</f>
        <v/>
      </c>
      <c r="AX264" s="127" t="str">
        <f aca="false">IF($BL264&lt;&gt;Constants!$B$4,"",IF(NOT($AS264),"",Constants!$B$18*INT(ROUND($AH264,6))))</f>
        <v/>
      </c>
      <c r="AY264" s="123" t="str">
        <f aca="false">IF($BL264&lt;&gt;Constants!$B$4,"",IF(NOT($AS264),"",IF(NOT($X264),Constants!$B$11,IF(OR(NOT($AC264),NOT($AD264),ROUND($AB264,1)&gt;Constants!$B$12,ROUND($Z264,1)&gt;Constants!$B$13,ROUND($AA264,1)&gt;Constants!$B$14),Constants!$B$10,Constants!$B$9))))</f>
        <v/>
      </c>
      <c r="AZ264" s="128" t="str">
        <f aca="false">IF($BL264&lt;&gt;Constants!$B$4,"",IF(NOT($AS264),"",ROUND($AU264+$AV264+$AW264+$AX264,1)))</f>
        <v/>
      </c>
      <c r="BA264" s="129" t="str">
        <f aca="false">IF($BL264&lt;&gt;Constants!$B$4,"",IF(NOT($AS264),"",IF(ISNUMBER($AF264),$AF264,0)))</f>
        <v/>
      </c>
      <c r="BB264" s="124" t="str">
        <f aca="false">IF($BL264&lt;&gt;Constants!$B$4,"",IF(NOT($BC264),"&lt;-",IF(NOT($AS264),"-&gt;",IF(OR($BI264&lt;$AY264,AND($BI264=$AY264,OR($BJ264&gt;$AZ264,AND($BJ264=$AZ264,OR($BH264&gt;$AX264,AND($BH264=$AX264,OR($BE264&gt;$AU264,AND($BE264=$AU264,OR($BF264&gt;$AV264,AND($BF264=$AV264,$BK264&gt;$BA264)))))))))),"-&gt;","&lt;-"))))</f>
        <v/>
      </c>
      <c r="BC264" s="123" t="str">
        <f aca="false">IF(ISBLANK($C264),"",COUNTA($P264:$U264)&gt;0)</f>
        <v/>
      </c>
      <c r="BD264" s="123" t="str">
        <f aca="false">IF(ISBLANK($C264),"",AND($BC264,OR(AND($AL264="",OR($AK264,NOT(ISBLANK($S264)))),$AM264="",$AN264="")))</f>
        <v/>
      </c>
      <c r="BE264" s="125" t="str">
        <f aca="false">IF($BL264&lt;&gt;Constants!$B$4,"",IF(NOT($BC264),"",ROUND((Constants!$B$12-$AB264)+(Constants!$B$13-$Z264)+(Constants!$B$14-$AA264),1)))</f>
        <v/>
      </c>
      <c r="BF264" s="127" t="str">
        <f aca="false">IF($BL264&lt;&gt;Constants!$B$4,"",IF(NOT($BC264),"",IF(NOT($AK264),0,Constants!$B$15*(INT(ROUND(MIN($AL264,$AP$9),6))-INT(ROUND(MAX(0,MIN($AL264,2*$AP$9)-$AP$9),6))))))</f>
        <v/>
      </c>
      <c r="BG264" s="127" t="str">
        <f aca="false">IF($BL264&lt;&gt;Constants!$B$4,"",IF(NOT($BC264),"",Constants!$B$16*$AM264))</f>
        <v/>
      </c>
      <c r="BH264" s="127" t="str">
        <f aca="false">IF($BL264&lt;&gt;Constants!$B$4,"",IF(NOT($BC264),"",Constants!$B$18*INT(ROUND($AN264,6))))</f>
        <v/>
      </c>
      <c r="BI264" s="123" t="str">
        <f aca="false">IF($BL264&lt;&gt;Constants!$B$4,"",IF(NOT($BC264),"",IF(NOT($X264),Constants!$B$11,IF(OR(NOT($AI264),NOT($AJ264),ROUND($AB264,1)&gt;Constants!$B$12,ROUND($Z264,1)&gt;Constants!$B$13,ROUND($AA264,1)&gt;Constants!$B$14),Constants!$B$10,Constants!$B$9))))</f>
        <v/>
      </c>
      <c r="BJ264" s="128" t="str">
        <f aca="false">IF($BL264&lt;&gt;Constants!$B$4,"",IF(NOT($BC264),"",ROUND($BE264+$BF264+$BG264+$BH264,1)))</f>
        <v/>
      </c>
      <c r="BK264" s="129" t="str">
        <f aca="false">IF($BL264&lt;&gt;Constants!$B$4,"",IF(NOT($BC264),"",IF(ISNUMBER($AL264),$AL264,0)))</f>
        <v/>
      </c>
      <c r="BL264" s="124" t="str">
        <f aca="false">IF(ISBLANK($C264),"",IF($AO264,Constants!$B$7,IF(COUNTA($E264:$V264)=0,Constants!$B$6,IF(NOT($Y264),Constants!$B$5,IF(NOT(OR($AS264,$BC264)),Constants!$B$5,IF(OR($AT264,$BD264,$AQ264,$AR264&lt;&gt;""),Constants!$B$8,Constants!$B$4))))))</f>
        <v/>
      </c>
      <c r="BM264" s="124" t="str">
        <f aca="false">IF(ISBLANK($C264),"",IF($BL264&lt;&gt;Constants!$B$4,$BL264,IF($BB264="-&gt;",$BI264,$AY264)))</f>
        <v/>
      </c>
      <c r="BN264" s="127" t="str">
        <f aca="false">IF($BL264&lt;&gt;Constants!$B$4,"",IF($BB264="-&gt;",$BJ264,$AZ264))</f>
        <v/>
      </c>
      <c r="BO264" s="127" t="str">
        <f aca="false">IF(ISBLANK($C264),"",IF($BL264&lt;&gt;Constants!$B$4,$BL264,$BN264))</f>
        <v/>
      </c>
      <c r="BP264" s="124" t="str">
        <f aca="false">IF(ISBLANK($C264),"",IF($BL264&lt;&gt;Constants!$B$4,$BL264,RANK($BO264,$BO$9:$BO$508,0)))</f>
        <v/>
      </c>
      <c r="BQ264" s="124" t="str">
        <f aca="false">IF(ISBLANK($C264),"",IF($BL264&lt;&gt;Constants!$B$4,$BL264,COUNTIFS($BM$9:$BM$508,"&lt;"&amp;$BM264)+COUNTIFS($BM$9:$BM$508,$BM264,$BP$9:$BP$508,"&lt;"&amp;$BP264)+1))</f>
        <v/>
      </c>
      <c r="BR264" s="127" t="str">
        <f aca="false">IF($BL264&lt;&gt;Constants!$B$4,"",IF($BB264="-&gt;",$BH264,$AX264))</f>
        <v/>
      </c>
      <c r="BS264" s="124" t="str">
        <f aca="false">IF(ISBLANK($C264),"",IF($BL264&lt;&gt;Constants!$B$4,$BL264,IF(ISNUMBER($BR264),RANK($BR264,$BR$9:$BR$508,0),COUNT($BR$9:$BR$508)+1)))</f>
        <v/>
      </c>
      <c r="BT264" s="127" t="str">
        <f aca="false">IF($BL264&lt;&gt;Constants!$B$4,"",IF($BB264="-&gt;",$BE264,$AU264))</f>
        <v/>
      </c>
      <c r="BU264" s="124" t="str">
        <f aca="false">IF(ISBLANK($C264),"",IF($BL264&lt;&gt;Constants!$B$4,$BL264,IF(ISNUMBER($BT264),RANK($BT264,$BT$9:$BT$508,0),COUNT($BT$9:$BT$508)+1)))</f>
        <v/>
      </c>
      <c r="BV264" s="127" t="str">
        <f aca="false">IF($BL264&lt;&gt;Constants!$B$4,"",IF($BB264="-&gt;",$BF264,$AV264))</f>
        <v/>
      </c>
      <c r="BW264" s="124" t="str">
        <f aca="false">IF(ISBLANK($C264),"",IF($BL264&lt;&gt;Constants!$B$4,$BL264,IF(ISNUMBER($BV264),RANK($BV264,$BV$9:$BV$508,0),COUNT($BV$9:$BV$508)+1)))</f>
        <v/>
      </c>
      <c r="BX264" s="127" t="str">
        <f aca="false">IF($BL264&lt;&gt;Constants!$B$4,"",IF($BB264="-&gt;",$BK264,$BA264))</f>
        <v/>
      </c>
      <c r="BY264" s="124" t="str">
        <f aca="false">IF(ISBLANK($C264),"",IF($BL264&lt;&gt;Constants!$B$4,$BL264,IF(ISNUMBER($BX264),RANK($BX264,$BX$9:$BX$508,0),COUNT($BX$9:$BX$508)+1)))</f>
        <v/>
      </c>
      <c r="BZ264" s="124" t="str">
        <f aca="false">IF(ISBLANK($C264),"",IF($BL264&lt;&gt;Constants!$B$4,$BL264,COUNTIFS($BM$9:$BM$508,"&lt;"&amp;$BM264)+COUNTIFS($BM$9:$BM$508,$BM264,$BP$9:$BP$508,"&lt;"&amp;$BP264)+COUNTIFS($BM$9:$BM$508,$BM264,$BP$9:$BP$508,$BP264,$BS$9:$BS$508,"&lt;"&amp;$BS264)+COUNTIFS($BM$9:$BM$508,$BM264,$BP$9:$BP$508,$BP264,$BS$9:$BS$508,$BS264,$BU$9:$BU$508,"&lt;"&amp;$BU264)+COUNTIFS($BM$9:$BM$508,$BM264,$BP$9:$BP$508,$BP264,$BS$9:$BS$508,$BS264,$BU$9:$BU$508,$BU264,$BW$9:$BW$508,"&lt;"&amp;$BW264)+COUNTIFS($BM$9:$BM$508,$BM264,$BP$9:$BP$508,$BP264,$BS$9:$BS$508,$BS264,$BU$9:$BU$508,$BU264,$BW$9:$BW$508,$BW264,$BY$9:$BY$508,"&lt;"&amp;$BY264)+1))</f>
        <v/>
      </c>
      <c r="CA264" s="124" t="str">
        <f aca="false">IF(ISBLANK($C264),"",IF($BL264&lt;&gt;Constants!$B$4,$BL264,$BQ264-$BZ264))</f>
        <v/>
      </c>
      <c r="CB264" s="130"/>
      <c r="CC264" s="131" t="str">
        <f aca="false">IF(ISBLANK($C264),"",IF($BL264=Constants!$B$8,$AR264,""))</f>
        <v/>
      </c>
      <c r="CD264" s="131" t="str">
        <f aca="false">IF(ISBLANK($C264),"",IF($BL264&lt;&gt;Constants!$B$4,"",IF($BB264="-&gt;",2,1)))</f>
        <v/>
      </c>
      <c r="CE264" s="132" t="str">
        <f aca="false">IF(ISBLANK($C264),"",IF($BL264&lt;&gt;Constants!$B$4,"",IF($BB264="-&gt;",$BE264,$AU264)))</f>
        <v/>
      </c>
      <c r="CF264" s="132" t="str">
        <f aca="false">IF(ISBLANK($C264),"",IF($BL264&lt;&gt;Constants!$B$4,"",IF($BB264="-&gt;",$BF264,$AV264)))</f>
        <v/>
      </c>
      <c r="CG264" s="132" t="str">
        <f aca="false">IF(ISBLANK($C264),"",IF($BL264&lt;&gt;Constants!$B$4,"",IF($BB264="-&gt;",$BG264,$AW264)))</f>
        <v/>
      </c>
      <c r="CH264" s="132" t="str">
        <f aca="false">IF(ISBLANK($C264),"",IF($BL264&lt;&gt;Constants!$B$4,"",IF($BB264="-&gt;",$BH264,$AX264)))</f>
        <v/>
      </c>
      <c r="CI264" s="133" t="str">
        <f aca="false">IF(ISBLANK($C264),"",$BO264)</f>
        <v/>
      </c>
      <c r="CJ264" s="134" t="str">
        <f aca="false">IF(ISBLANK($C264),"",$BM264)</f>
        <v/>
      </c>
      <c r="CK264" s="135" t="str">
        <f aca="false">IF(ISBLANK($C264),"",$CA264)</f>
        <v/>
      </c>
      <c r="CL264" s="135" t="str">
        <f aca="false">IF(ISBLANK($C264),"",$BZ264)</f>
        <v/>
      </c>
      <c r="CM264" s="136" t="str">
        <f aca="false">IF(ISBLANK($C264),"",IF($CL264=Constants!$B$7,COUNTA($C$9:$C$508)+2,IF($CL264=Constants!$B$6,COUNTA($C$9:$C$508)+1,IF($CL264=Constants!$B$5,COUNTA($C$9:$C$508),$CL264))))</f>
        <v/>
      </c>
      <c r="CN264" s="8"/>
      <c r="CO264" s="137" t="n">
        <f aca="false">IF(OR(ISNUMBER($CL264),$CL264=Constants!$B$7,$CL264=Constants!$B$5,$CL264=Constants!$B$6),1,0)</f>
        <v>0</v>
      </c>
      <c r="CP264" s="137" t="n">
        <v>256</v>
      </c>
      <c r="CQ264" s="137" t="str">
        <f aca="false">IF(ISBLANK($C264),"",IF(ISNUMBER($CM264),$CM264+ROW($B264)/1000,""))</f>
        <v/>
      </c>
      <c r="CR264" s="137" t="str">
        <f aca="false">IF(ISNUMBER($CQ264),RANK($CQ264,$CQ$9:$CQ$508,1),"")</f>
        <v/>
      </c>
      <c r="CS264" s="137" t="str">
        <f aca="false">IF(ISBLANK($C264),"",$B264)</f>
        <v/>
      </c>
      <c r="CT264" s="137" t="str">
        <f aca="false">IF(ISBLANK($C264),"",$C264)</f>
        <v/>
      </c>
      <c r="CU264" s="137" t="str">
        <f aca="false">IF(ISBLANK($C264),"",$D264)</f>
        <v/>
      </c>
      <c r="CV264" s="138" t="str">
        <f aca="false">$CJ264</f>
        <v/>
      </c>
      <c r="CW264" s="139" t="str">
        <f aca="false">$CI264</f>
        <v/>
      </c>
      <c r="CX264" s="137" t="str">
        <f aca="false">IF(ISBLANK($C264),"",$CL264)</f>
        <v/>
      </c>
      <c r="CY264" s="140" t="str">
        <f aca="false">IF($CP264&gt;$CO$8,"",VLOOKUP($CP264,$CR$9:$CX$508,7,FALSE()))</f>
        <v/>
      </c>
      <c r="CZ264" s="141" t="str">
        <f aca="false">IF($CP264&gt;$CO$8,"",VLOOKUP($CP264,$CR$9:$CX$508,2,FALSE()))</f>
        <v/>
      </c>
      <c r="DA264" s="141" t="str">
        <f aca="false">IF($CP264&gt;$CO$8,"",VLOOKUP($CP264,$CR$9:$CX$508,3,FALSE()))</f>
        <v/>
      </c>
      <c r="DB264" s="141" t="str">
        <f aca="false">IF($CP264&gt;$CO$8,"",VLOOKUP($CP264,$CR$9:$CX$508,4,FALSE()))</f>
        <v/>
      </c>
      <c r="DC264" s="141" t="str">
        <f aca="false">IF($CP264&gt;$CO$8,"",VLOOKUP($CP264,$CR$9:$CX$508,5,FALSE()))</f>
        <v/>
      </c>
      <c r="DD264" s="142" t="str">
        <f aca="false">IF($CP264&gt;$CO$8,"",VLOOKUP($CP264,$CR$9:$CX$508,6,FALSE()))</f>
        <v/>
      </c>
      <c r="DE264" s="70"/>
    </row>
    <row r="265" customFormat="false" ht="15.75" hidden="false" customHeight="false" outlineLevel="0" collapsed="false">
      <c r="A265" s="8"/>
      <c r="B265" s="146"/>
      <c r="C265" s="147"/>
      <c r="D265" s="148"/>
      <c r="E265" s="164"/>
      <c r="F265" s="150"/>
      <c r="G265" s="115"/>
      <c r="H265" s="115"/>
      <c r="I265" s="115"/>
      <c r="J265" s="165"/>
      <c r="K265" s="154"/>
      <c r="L265" s="154"/>
      <c r="M265" s="118"/>
      <c r="N265" s="154"/>
      <c r="O265" s="153"/>
      <c r="P265" s="154"/>
      <c r="Q265" s="154"/>
      <c r="R265" s="154"/>
      <c r="S265" s="115"/>
      <c r="T265" s="154"/>
      <c r="U265" s="153"/>
      <c r="V265" s="154"/>
      <c r="W265" s="123"/>
      <c r="X265" s="124" t="str">
        <f aca="false">IF(ISBLANK($C265),"",IF($E265=Constants!$B$2,TRUE(),IF($E265=Constants!$B$3,FALSE(),TRUE())))</f>
        <v/>
      </c>
      <c r="Y265" s="124" t="str">
        <f aca="false">IF(ISBLANK($C265),"",IF($F265=Constants!$B$2,TRUE(),IF($F265=Constants!$B$3,FALSE(),TRUE())))</f>
        <v/>
      </c>
      <c r="Z265" s="125" t="str">
        <f aca="false">IF(ISBLANK($C265),"",IF(ISNUMBER($G265),IF($G265&gt;=0,$G265,""),""))</f>
        <v/>
      </c>
      <c r="AA265" s="125" t="str">
        <f aca="false">IF(ISBLANK($C265),"",IF(ISNUMBER($H265),IF($H265&gt;=0,$H265,""),""))</f>
        <v/>
      </c>
      <c r="AB265" s="125" t="str">
        <f aca="false">IF(ISBLANK($C265),"",IF(ISNUMBER($I265),IF($I265&gt;=0,$I265,""),""))</f>
        <v/>
      </c>
      <c r="AC265" s="124" t="str">
        <f aca="false">IF(ISBLANK($C265),"",IF($J265=Constants!$B$2,TRUE(),IF($J265=Constants!$B$3,FALSE(),TRUE())))</f>
        <v/>
      </c>
      <c r="AD265" s="124" t="str">
        <f aca="false">IF(ISBLANK($C265),"",IF($K265=Constants!$B$2,TRUE(),IF($K265=Constants!$B$3,FALSE(),TRUE())))</f>
        <v/>
      </c>
      <c r="AE265" s="124" t="str">
        <f aca="false">IF(ISBLANK($C265),"",IF($L265=Constants!$B$2,TRUE(),IF($L265=Constants!$B$3,FALSE(),TRUE())))</f>
        <v/>
      </c>
      <c r="AF265" s="126" t="str">
        <f aca="false">IF(ISBLANK($C265),"",IF(ISNUMBER($M265),IF($M265&gt;=0,$M265,""),""))</f>
        <v/>
      </c>
      <c r="AG265" s="124" t="str">
        <f aca="false">IF(ISBLANK($C265),"",IF(ISBLANK($N265),0,IF(ISNUMBER($N265),IF(AND($N265&gt;=0,$N265&lt;=Constants!$B$17,$N265=INT($N265)),$N265,""),"")))</f>
        <v/>
      </c>
      <c r="AH265" s="125" t="str">
        <f aca="false">IF(ISBLANK($C265),"",IF(ISBLANK($O265),0,IF(ISNUMBER($O265),IF($O265&gt;=0,$O265,""),"")))</f>
        <v/>
      </c>
      <c r="AI265" s="124" t="str">
        <f aca="false">IF(ISBLANK($C265),"",IF($P265=Constants!$B$2,TRUE(),IF($P265=Constants!$B$3,FALSE(),TRUE())))</f>
        <v/>
      </c>
      <c r="AJ265" s="124" t="str">
        <f aca="false">IF(ISBLANK($C265),"",IF($Q265=Constants!$B$2,TRUE(),IF($Q265=Constants!$B$3,FALSE(),TRUE())))</f>
        <v/>
      </c>
      <c r="AK265" s="124" t="str">
        <f aca="false">IF(ISBLANK($C265),"",IF($R265=Constants!$B$2,TRUE(),IF($R265=Constants!$B$3,FALSE(),TRUE())))</f>
        <v/>
      </c>
      <c r="AL265" s="126" t="str">
        <f aca="false">IF(ISBLANK($C265),"",IF(ISNUMBER($S265),IF($S265&gt;=0,$S265,""),""))</f>
        <v/>
      </c>
      <c r="AM265" s="124" t="str">
        <f aca="false">IF(ISBLANK($C265),"",IF(ISBLANK($T265),0,IF(ISNUMBER($T265),IF(AND($T265&gt;=0,$T265&lt;=Constants!$B$17,$T265=INT($T265)),$T265,""),"")))</f>
        <v/>
      </c>
      <c r="AN265" s="125" t="str">
        <f aca="false">IF(ISBLANK($C265),"",IF(ISBLANK($U265),0,IF(ISNUMBER($U265),IF($U265&gt;=0,$U265,""),"")))</f>
        <v/>
      </c>
      <c r="AO265" s="124" t="str">
        <f aca="false">IF(ISBLANK($C265),"",IF($V265=Constants!$B$2,TRUE(),IF($V265=Constants!$B$3,FALSE(),FALSE())))</f>
        <v/>
      </c>
      <c r="AP265" s="124"/>
      <c r="AQ265" s="123" t="str">
        <f aca="false">IF(ISBLANK($C265),"",AND($Y265,OR($AS265,$BC265),OR($Z265="",$AA265="",$AB265="")))</f>
        <v/>
      </c>
      <c r="AR265" s="123" t="str">
        <f aca="false">IF(ISBLANK($C265),"",IF(OR(NOT($Y265),NOT(OR($AS265,$BC265))),"",IF(ISBLANK($D$7),$AR$5,IF($AP$9="",$AR$6,""))))</f>
        <v/>
      </c>
      <c r="AS265" s="123" t="str">
        <f aca="false">IF(ISBLANK($C265),"",COUNTA($J265:$O265)&gt;0)</f>
        <v/>
      </c>
      <c r="AT265" s="123" t="str">
        <f aca="false">IF(ISBLANK($C265),"",AND($AS265,OR(AND($AF265="",OR($AE265,NOT(ISBLANK($M265)))),$AG265="",$AH265="")))</f>
        <v/>
      </c>
      <c r="AU265" s="125" t="str">
        <f aca="false">IF($BL265&lt;&gt;Constants!$B$4,"",IF(NOT($AS265),"",ROUND((Constants!$B$12-$AB265)+(Constants!$B$13-$Z265)+(Constants!$B$14-$AA265),1)))</f>
        <v/>
      </c>
      <c r="AV265" s="127" t="str">
        <f aca="false">IF($BL265&lt;&gt;Constants!$B$4,"",IF(NOT($AS265),"",IF(NOT($AE265),0,Constants!$B$15*(INT(ROUND(MIN($AF265,$AP$9),6))-INT(ROUND(MAX(0,MIN($AF265,2*$AP$9)-$AP$9),6))))))</f>
        <v/>
      </c>
      <c r="AW265" s="127" t="str">
        <f aca="false">IF($BL265&lt;&gt;Constants!$B$4,"",IF(NOT($AS265),"",Constants!$B$16*$AG265))</f>
        <v/>
      </c>
      <c r="AX265" s="127" t="str">
        <f aca="false">IF($BL265&lt;&gt;Constants!$B$4,"",IF(NOT($AS265),"",Constants!$B$18*INT(ROUND($AH265,6))))</f>
        <v/>
      </c>
      <c r="AY265" s="123" t="str">
        <f aca="false">IF($BL265&lt;&gt;Constants!$B$4,"",IF(NOT($AS265),"",IF(NOT($X265),Constants!$B$11,IF(OR(NOT($AC265),NOT($AD265),ROUND($AB265,1)&gt;Constants!$B$12,ROUND($Z265,1)&gt;Constants!$B$13,ROUND($AA265,1)&gt;Constants!$B$14),Constants!$B$10,Constants!$B$9))))</f>
        <v/>
      </c>
      <c r="AZ265" s="128" t="str">
        <f aca="false">IF($BL265&lt;&gt;Constants!$B$4,"",IF(NOT($AS265),"",ROUND($AU265+$AV265+$AW265+$AX265,1)))</f>
        <v/>
      </c>
      <c r="BA265" s="129" t="str">
        <f aca="false">IF($BL265&lt;&gt;Constants!$B$4,"",IF(NOT($AS265),"",IF(ISNUMBER($AF265),$AF265,0)))</f>
        <v/>
      </c>
      <c r="BB265" s="124" t="str">
        <f aca="false">IF($BL265&lt;&gt;Constants!$B$4,"",IF(NOT($BC265),"&lt;-",IF(NOT($AS265),"-&gt;",IF(OR($BI265&lt;$AY265,AND($BI265=$AY265,OR($BJ265&gt;$AZ265,AND($BJ265=$AZ265,OR($BH265&gt;$AX265,AND($BH265=$AX265,OR($BE265&gt;$AU265,AND($BE265=$AU265,OR($BF265&gt;$AV265,AND($BF265=$AV265,$BK265&gt;$BA265)))))))))),"-&gt;","&lt;-"))))</f>
        <v/>
      </c>
      <c r="BC265" s="123" t="str">
        <f aca="false">IF(ISBLANK($C265),"",COUNTA($P265:$U265)&gt;0)</f>
        <v/>
      </c>
      <c r="BD265" s="123" t="str">
        <f aca="false">IF(ISBLANK($C265),"",AND($BC265,OR(AND($AL265="",OR($AK265,NOT(ISBLANK($S265)))),$AM265="",$AN265="")))</f>
        <v/>
      </c>
      <c r="BE265" s="125" t="str">
        <f aca="false">IF($BL265&lt;&gt;Constants!$B$4,"",IF(NOT($BC265),"",ROUND((Constants!$B$12-$AB265)+(Constants!$B$13-$Z265)+(Constants!$B$14-$AA265),1)))</f>
        <v/>
      </c>
      <c r="BF265" s="127" t="str">
        <f aca="false">IF($BL265&lt;&gt;Constants!$B$4,"",IF(NOT($BC265),"",IF(NOT($AK265),0,Constants!$B$15*(INT(ROUND(MIN($AL265,$AP$9),6))-INT(ROUND(MAX(0,MIN($AL265,2*$AP$9)-$AP$9),6))))))</f>
        <v/>
      </c>
      <c r="BG265" s="127" t="str">
        <f aca="false">IF($BL265&lt;&gt;Constants!$B$4,"",IF(NOT($BC265),"",Constants!$B$16*$AM265))</f>
        <v/>
      </c>
      <c r="BH265" s="127" t="str">
        <f aca="false">IF($BL265&lt;&gt;Constants!$B$4,"",IF(NOT($BC265),"",Constants!$B$18*INT(ROUND($AN265,6))))</f>
        <v/>
      </c>
      <c r="BI265" s="123" t="str">
        <f aca="false">IF($BL265&lt;&gt;Constants!$B$4,"",IF(NOT($BC265),"",IF(NOT($X265),Constants!$B$11,IF(OR(NOT($AI265),NOT($AJ265),ROUND($AB265,1)&gt;Constants!$B$12,ROUND($Z265,1)&gt;Constants!$B$13,ROUND($AA265,1)&gt;Constants!$B$14),Constants!$B$10,Constants!$B$9))))</f>
        <v/>
      </c>
      <c r="BJ265" s="128" t="str">
        <f aca="false">IF($BL265&lt;&gt;Constants!$B$4,"",IF(NOT($BC265),"",ROUND($BE265+$BF265+$BG265+$BH265,1)))</f>
        <v/>
      </c>
      <c r="BK265" s="129" t="str">
        <f aca="false">IF($BL265&lt;&gt;Constants!$B$4,"",IF(NOT($BC265),"",IF(ISNUMBER($AL265),$AL265,0)))</f>
        <v/>
      </c>
      <c r="BL265" s="124" t="str">
        <f aca="false">IF(ISBLANK($C265),"",IF($AO265,Constants!$B$7,IF(COUNTA($E265:$V265)=0,Constants!$B$6,IF(NOT($Y265),Constants!$B$5,IF(NOT(OR($AS265,$BC265)),Constants!$B$5,IF(OR($AT265,$BD265,$AQ265,$AR265&lt;&gt;""),Constants!$B$8,Constants!$B$4))))))</f>
        <v/>
      </c>
      <c r="BM265" s="124" t="str">
        <f aca="false">IF(ISBLANK($C265),"",IF($BL265&lt;&gt;Constants!$B$4,$BL265,IF($BB265="-&gt;",$BI265,$AY265)))</f>
        <v/>
      </c>
      <c r="BN265" s="127" t="str">
        <f aca="false">IF($BL265&lt;&gt;Constants!$B$4,"",IF($BB265="-&gt;",$BJ265,$AZ265))</f>
        <v/>
      </c>
      <c r="BO265" s="127" t="str">
        <f aca="false">IF(ISBLANK($C265),"",IF($BL265&lt;&gt;Constants!$B$4,$BL265,$BN265))</f>
        <v/>
      </c>
      <c r="BP265" s="124" t="str">
        <f aca="false">IF(ISBLANK($C265),"",IF($BL265&lt;&gt;Constants!$B$4,$BL265,RANK($BO265,$BO$9:$BO$508,0)))</f>
        <v/>
      </c>
      <c r="BQ265" s="124" t="str">
        <f aca="false">IF(ISBLANK($C265),"",IF($BL265&lt;&gt;Constants!$B$4,$BL265,COUNTIFS($BM$9:$BM$508,"&lt;"&amp;$BM265)+COUNTIFS($BM$9:$BM$508,$BM265,$BP$9:$BP$508,"&lt;"&amp;$BP265)+1))</f>
        <v/>
      </c>
      <c r="BR265" s="127" t="str">
        <f aca="false">IF($BL265&lt;&gt;Constants!$B$4,"",IF($BB265="-&gt;",$BH265,$AX265))</f>
        <v/>
      </c>
      <c r="BS265" s="124" t="str">
        <f aca="false">IF(ISBLANK($C265),"",IF($BL265&lt;&gt;Constants!$B$4,$BL265,IF(ISNUMBER($BR265),RANK($BR265,$BR$9:$BR$508,0),COUNT($BR$9:$BR$508)+1)))</f>
        <v/>
      </c>
      <c r="BT265" s="127" t="str">
        <f aca="false">IF($BL265&lt;&gt;Constants!$B$4,"",IF($BB265="-&gt;",$BE265,$AU265))</f>
        <v/>
      </c>
      <c r="BU265" s="124" t="str">
        <f aca="false">IF(ISBLANK($C265),"",IF($BL265&lt;&gt;Constants!$B$4,$BL265,IF(ISNUMBER($BT265),RANK($BT265,$BT$9:$BT$508,0),COUNT($BT$9:$BT$508)+1)))</f>
        <v/>
      </c>
      <c r="BV265" s="127" t="str">
        <f aca="false">IF($BL265&lt;&gt;Constants!$B$4,"",IF($BB265="-&gt;",$BF265,$AV265))</f>
        <v/>
      </c>
      <c r="BW265" s="124" t="str">
        <f aca="false">IF(ISBLANK($C265),"",IF($BL265&lt;&gt;Constants!$B$4,$BL265,IF(ISNUMBER($BV265),RANK($BV265,$BV$9:$BV$508,0),COUNT($BV$9:$BV$508)+1)))</f>
        <v/>
      </c>
      <c r="BX265" s="127" t="str">
        <f aca="false">IF($BL265&lt;&gt;Constants!$B$4,"",IF($BB265="-&gt;",$BK265,$BA265))</f>
        <v/>
      </c>
      <c r="BY265" s="124" t="str">
        <f aca="false">IF(ISBLANK($C265),"",IF($BL265&lt;&gt;Constants!$B$4,$BL265,IF(ISNUMBER($BX265),RANK($BX265,$BX$9:$BX$508,0),COUNT($BX$9:$BX$508)+1)))</f>
        <v/>
      </c>
      <c r="BZ265" s="124" t="str">
        <f aca="false">IF(ISBLANK($C265),"",IF($BL265&lt;&gt;Constants!$B$4,$BL265,COUNTIFS($BM$9:$BM$508,"&lt;"&amp;$BM265)+COUNTIFS($BM$9:$BM$508,$BM265,$BP$9:$BP$508,"&lt;"&amp;$BP265)+COUNTIFS($BM$9:$BM$508,$BM265,$BP$9:$BP$508,$BP265,$BS$9:$BS$508,"&lt;"&amp;$BS265)+COUNTIFS($BM$9:$BM$508,$BM265,$BP$9:$BP$508,$BP265,$BS$9:$BS$508,$BS265,$BU$9:$BU$508,"&lt;"&amp;$BU265)+COUNTIFS($BM$9:$BM$508,$BM265,$BP$9:$BP$508,$BP265,$BS$9:$BS$508,$BS265,$BU$9:$BU$508,$BU265,$BW$9:$BW$508,"&lt;"&amp;$BW265)+COUNTIFS($BM$9:$BM$508,$BM265,$BP$9:$BP$508,$BP265,$BS$9:$BS$508,$BS265,$BU$9:$BU$508,$BU265,$BW$9:$BW$508,$BW265,$BY$9:$BY$508,"&lt;"&amp;$BY265)+1))</f>
        <v/>
      </c>
      <c r="CA265" s="124" t="str">
        <f aca="false">IF(ISBLANK($C265),"",IF($BL265&lt;&gt;Constants!$B$4,$BL265,$BQ265-$BZ265))</f>
        <v/>
      </c>
      <c r="CB265" s="130"/>
      <c r="CC265" s="131" t="str">
        <f aca="false">IF(ISBLANK($C265),"",IF($BL265=Constants!$B$8,$AR265,""))</f>
        <v/>
      </c>
      <c r="CD265" s="131" t="str">
        <f aca="false">IF(ISBLANK($C265),"",IF($BL265&lt;&gt;Constants!$B$4,"",IF($BB265="-&gt;",2,1)))</f>
        <v/>
      </c>
      <c r="CE265" s="132" t="str">
        <f aca="false">IF(ISBLANK($C265),"",IF($BL265&lt;&gt;Constants!$B$4,"",IF($BB265="-&gt;",$BE265,$AU265)))</f>
        <v/>
      </c>
      <c r="CF265" s="132" t="str">
        <f aca="false">IF(ISBLANK($C265),"",IF($BL265&lt;&gt;Constants!$B$4,"",IF($BB265="-&gt;",$BF265,$AV265)))</f>
        <v/>
      </c>
      <c r="CG265" s="132" t="str">
        <f aca="false">IF(ISBLANK($C265),"",IF($BL265&lt;&gt;Constants!$B$4,"",IF($BB265="-&gt;",$BG265,$AW265)))</f>
        <v/>
      </c>
      <c r="CH265" s="132" t="str">
        <f aca="false">IF(ISBLANK($C265),"",IF($BL265&lt;&gt;Constants!$B$4,"",IF($BB265="-&gt;",$BH265,$AX265)))</f>
        <v/>
      </c>
      <c r="CI265" s="133" t="str">
        <f aca="false">IF(ISBLANK($C265),"",$BO265)</f>
        <v/>
      </c>
      <c r="CJ265" s="134" t="str">
        <f aca="false">IF(ISBLANK($C265),"",$BM265)</f>
        <v/>
      </c>
      <c r="CK265" s="135" t="str">
        <f aca="false">IF(ISBLANK($C265),"",$CA265)</f>
        <v/>
      </c>
      <c r="CL265" s="135" t="str">
        <f aca="false">IF(ISBLANK($C265),"",$BZ265)</f>
        <v/>
      </c>
      <c r="CM265" s="136" t="str">
        <f aca="false">IF(ISBLANK($C265),"",IF($CL265=Constants!$B$7,COUNTA($C$9:$C$508)+2,IF($CL265=Constants!$B$6,COUNTA($C$9:$C$508)+1,IF($CL265=Constants!$B$5,COUNTA($C$9:$C$508),$CL265))))</f>
        <v/>
      </c>
      <c r="CN265" s="8"/>
      <c r="CO265" s="137" t="n">
        <f aca="false">IF(OR(ISNUMBER($CL265),$CL265=Constants!$B$7,$CL265=Constants!$B$5,$CL265=Constants!$B$6),1,0)</f>
        <v>0</v>
      </c>
      <c r="CP265" s="137" t="n">
        <v>257</v>
      </c>
      <c r="CQ265" s="137" t="str">
        <f aca="false">IF(ISBLANK($C265),"",IF(ISNUMBER($CM265),$CM265+ROW($B265)/1000,""))</f>
        <v/>
      </c>
      <c r="CR265" s="137" t="str">
        <f aca="false">IF(ISNUMBER($CQ265),RANK($CQ265,$CQ$9:$CQ$508,1),"")</f>
        <v/>
      </c>
      <c r="CS265" s="137" t="str">
        <f aca="false">IF(ISBLANK($C265),"",$B265)</f>
        <v/>
      </c>
      <c r="CT265" s="137" t="str">
        <f aca="false">IF(ISBLANK($C265),"",$C265)</f>
        <v/>
      </c>
      <c r="CU265" s="137" t="str">
        <f aca="false">IF(ISBLANK($C265),"",$D265)</f>
        <v/>
      </c>
      <c r="CV265" s="138" t="str">
        <f aca="false">$CJ265</f>
        <v/>
      </c>
      <c r="CW265" s="139" t="str">
        <f aca="false">$CI265</f>
        <v/>
      </c>
      <c r="CX265" s="137" t="str">
        <f aca="false">IF(ISBLANK($C265),"",$CL265)</f>
        <v/>
      </c>
      <c r="CY265" s="140" t="str">
        <f aca="false">IF($CP265&gt;$CO$8,"",VLOOKUP($CP265,$CR$9:$CX$508,7,FALSE()))</f>
        <v/>
      </c>
      <c r="CZ265" s="141" t="str">
        <f aca="false">IF($CP265&gt;$CO$8,"",VLOOKUP($CP265,$CR$9:$CX$508,2,FALSE()))</f>
        <v/>
      </c>
      <c r="DA265" s="141" t="str">
        <f aca="false">IF($CP265&gt;$CO$8,"",VLOOKUP($CP265,$CR$9:$CX$508,3,FALSE()))</f>
        <v/>
      </c>
      <c r="DB265" s="141" t="str">
        <f aca="false">IF($CP265&gt;$CO$8,"",VLOOKUP($CP265,$CR$9:$CX$508,4,FALSE()))</f>
        <v/>
      </c>
      <c r="DC265" s="141" t="str">
        <f aca="false">IF($CP265&gt;$CO$8,"",VLOOKUP($CP265,$CR$9:$CX$508,5,FALSE()))</f>
        <v/>
      </c>
      <c r="DD265" s="142" t="str">
        <f aca="false">IF($CP265&gt;$CO$8,"",VLOOKUP($CP265,$CR$9:$CX$508,6,FALSE()))</f>
        <v/>
      </c>
      <c r="DE265" s="70"/>
    </row>
    <row r="266" customFormat="false" ht="15.75" hidden="false" customHeight="false" outlineLevel="0" collapsed="false">
      <c r="A266" s="8"/>
      <c r="B266" s="146"/>
      <c r="C266" s="147"/>
      <c r="D266" s="148"/>
      <c r="E266" s="164"/>
      <c r="F266" s="150"/>
      <c r="G266" s="115"/>
      <c r="H266" s="115"/>
      <c r="I266" s="115"/>
      <c r="J266" s="165"/>
      <c r="K266" s="154"/>
      <c r="L266" s="154"/>
      <c r="M266" s="118"/>
      <c r="N266" s="154"/>
      <c r="O266" s="153"/>
      <c r="P266" s="154"/>
      <c r="Q266" s="154"/>
      <c r="R266" s="154"/>
      <c r="S266" s="115"/>
      <c r="T266" s="154"/>
      <c r="U266" s="153"/>
      <c r="V266" s="154"/>
      <c r="W266" s="123"/>
      <c r="X266" s="124" t="str">
        <f aca="false">IF(ISBLANK($C266),"",IF($E266=Constants!$B$2,TRUE(),IF($E266=Constants!$B$3,FALSE(),TRUE())))</f>
        <v/>
      </c>
      <c r="Y266" s="124" t="str">
        <f aca="false">IF(ISBLANK($C266),"",IF($F266=Constants!$B$2,TRUE(),IF($F266=Constants!$B$3,FALSE(),TRUE())))</f>
        <v/>
      </c>
      <c r="Z266" s="125" t="str">
        <f aca="false">IF(ISBLANK($C266),"",IF(ISNUMBER($G266),IF($G266&gt;=0,$G266,""),""))</f>
        <v/>
      </c>
      <c r="AA266" s="125" t="str">
        <f aca="false">IF(ISBLANK($C266),"",IF(ISNUMBER($H266),IF($H266&gt;=0,$H266,""),""))</f>
        <v/>
      </c>
      <c r="AB266" s="125" t="str">
        <f aca="false">IF(ISBLANK($C266),"",IF(ISNUMBER($I266),IF($I266&gt;=0,$I266,""),""))</f>
        <v/>
      </c>
      <c r="AC266" s="124" t="str">
        <f aca="false">IF(ISBLANK($C266),"",IF($J266=Constants!$B$2,TRUE(),IF($J266=Constants!$B$3,FALSE(),TRUE())))</f>
        <v/>
      </c>
      <c r="AD266" s="124" t="str">
        <f aca="false">IF(ISBLANK($C266),"",IF($K266=Constants!$B$2,TRUE(),IF($K266=Constants!$B$3,FALSE(),TRUE())))</f>
        <v/>
      </c>
      <c r="AE266" s="124" t="str">
        <f aca="false">IF(ISBLANK($C266),"",IF($L266=Constants!$B$2,TRUE(),IF($L266=Constants!$B$3,FALSE(),TRUE())))</f>
        <v/>
      </c>
      <c r="AF266" s="126" t="str">
        <f aca="false">IF(ISBLANK($C266),"",IF(ISNUMBER($M266),IF($M266&gt;=0,$M266,""),""))</f>
        <v/>
      </c>
      <c r="AG266" s="124" t="str">
        <f aca="false">IF(ISBLANK($C266),"",IF(ISBLANK($N266),0,IF(ISNUMBER($N266),IF(AND($N266&gt;=0,$N266&lt;=Constants!$B$17,$N266=INT($N266)),$N266,""),"")))</f>
        <v/>
      </c>
      <c r="AH266" s="125" t="str">
        <f aca="false">IF(ISBLANK($C266),"",IF(ISBLANK($O266),0,IF(ISNUMBER($O266),IF($O266&gt;=0,$O266,""),"")))</f>
        <v/>
      </c>
      <c r="AI266" s="124" t="str">
        <f aca="false">IF(ISBLANK($C266),"",IF($P266=Constants!$B$2,TRUE(),IF($P266=Constants!$B$3,FALSE(),TRUE())))</f>
        <v/>
      </c>
      <c r="AJ266" s="124" t="str">
        <f aca="false">IF(ISBLANK($C266),"",IF($Q266=Constants!$B$2,TRUE(),IF($Q266=Constants!$B$3,FALSE(),TRUE())))</f>
        <v/>
      </c>
      <c r="AK266" s="124" t="str">
        <f aca="false">IF(ISBLANK($C266),"",IF($R266=Constants!$B$2,TRUE(),IF($R266=Constants!$B$3,FALSE(),TRUE())))</f>
        <v/>
      </c>
      <c r="AL266" s="126" t="str">
        <f aca="false">IF(ISBLANK($C266),"",IF(ISNUMBER($S266),IF($S266&gt;=0,$S266,""),""))</f>
        <v/>
      </c>
      <c r="AM266" s="124" t="str">
        <f aca="false">IF(ISBLANK($C266),"",IF(ISBLANK($T266),0,IF(ISNUMBER($T266),IF(AND($T266&gt;=0,$T266&lt;=Constants!$B$17,$T266=INT($T266)),$T266,""),"")))</f>
        <v/>
      </c>
      <c r="AN266" s="125" t="str">
        <f aca="false">IF(ISBLANK($C266),"",IF(ISBLANK($U266),0,IF(ISNUMBER($U266),IF($U266&gt;=0,$U266,""),"")))</f>
        <v/>
      </c>
      <c r="AO266" s="124" t="str">
        <f aca="false">IF(ISBLANK($C266),"",IF($V266=Constants!$B$2,TRUE(),IF($V266=Constants!$B$3,FALSE(),FALSE())))</f>
        <v/>
      </c>
      <c r="AP266" s="124"/>
      <c r="AQ266" s="123" t="str">
        <f aca="false">IF(ISBLANK($C266),"",AND($Y266,OR($AS266,$BC266),OR($Z266="",$AA266="",$AB266="")))</f>
        <v/>
      </c>
      <c r="AR266" s="123" t="str">
        <f aca="false">IF(ISBLANK($C266),"",IF(OR(NOT($Y266),NOT(OR($AS266,$BC266))),"",IF(ISBLANK($D$7),$AR$5,IF($AP$9="",$AR$6,""))))</f>
        <v/>
      </c>
      <c r="AS266" s="123" t="str">
        <f aca="false">IF(ISBLANK($C266),"",COUNTA($J266:$O266)&gt;0)</f>
        <v/>
      </c>
      <c r="AT266" s="123" t="str">
        <f aca="false">IF(ISBLANK($C266),"",AND($AS266,OR(AND($AF266="",OR($AE266,NOT(ISBLANK($M266)))),$AG266="",$AH266="")))</f>
        <v/>
      </c>
      <c r="AU266" s="125" t="str">
        <f aca="false">IF($BL266&lt;&gt;Constants!$B$4,"",IF(NOT($AS266),"",ROUND((Constants!$B$12-$AB266)+(Constants!$B$13-$Z266)+(Constants!$B$14-$AA266),1)))</f>
        <v/>
      </c>
      <c r="AV266" s="127" t="str">
        <f aca="false">IF($BL266&lt;&gt;Constants!$B$4,"",IF(NOT($AS266),"",IF(NOT($AE266),0,Constants!$B$15*(INT(ROUND(MIN($AF266,$AP$9),6))-INT(ROUND(MAX(0,MIN($AF266,2*$AP$9)-$AP$9),6))))))</f>
        <v/>
      </c>
      <c r="AW266" s="127" t="str">
        <f aca="false">IF($BL266&lt;&gt;Constants!$B$4,"",IF(NOT($AS266),"",Constants!$B$16*$AG266))</f>
        <v/>
      </c>
      <c r="AX266" s="127" t="str">
        <f aca="false">IF($BL266&lt;&gt;Constants!$B$4,"",IF(NOT($AS266),"",Constants!$B$18*INT(ROUND($AH266,6))))</f>
        <v/>
      </c>
      <c r="AY266" s="123" t="str">
        <f aca="false">IF($BL266&lt;&gt;Constants!$B$4,"",IF(NOT($AS266),"",IF(NOT($X266),Constants!$B$11,IF(OR(NOT($AC266),NOT($AD266),ROUND($AB266,1)&gt;Constants!$B$12,ROUND($Z266,1)&gt;Constants!$B$13,ROUND($AA266,1)&gt;Constants!$B$14),Constants!$B$10,Constants!$B$9))))</f>
        <v/>
      </c>
      <c r="AZ266" s="128" t="str">
        <f aca="false">IF($BL266&lt;&gt;Constants!$B$4,"",IF(NOT($AS266),"",ROUND($AU266+$AV266+$AW266+$AX266,1)))</f>
        <v/>
      </c>
      <c r="BA266" s="129" t="str">
        <f aca="false">IF($BL266&lt;&gt;Constants!$B$4,"",IF(NOT($AS266),"",IF(ISNUMBER($AF266),$AF266,0)))</f>
        <v/>
      </c>
      <c r="BB266" s="124" t="str">
        <f aca="false">IF($BL266&lt;&gt;Constants!$B$4,"",IF(NOT($BC266),"&lt;-",IF(NOT($AS266),"-&gt;",IF(OR($BI266&lt;$AY266,AND($BI266=$AY266,OR($BJ266&gt;$AZ266,AND($BJ266=$AZ266,OR($BH266&gt;$AX266,AND($BH266=$AX266,OR($BE266&gt;$AU266,AND($BE266=$AU266,OR($BF266&gt;$AV266,AND($BF266=$AV266,$BK266&gt;$BA266)))))))))),"-&gt;","&lt;-"))))</f>
        <v/>
      </c>
      <c r="BC266" s="123" t="str">
        <f aca="false">IF(ISBLANK($C266),"",COUNTA($P266:$U266)&gt;0)</f>
        <v/>
      </c>
      <c r="BD266" s="123" t="str">
        <f aca="false">IF(ISBLANK($C266),"",AND($BC266,OR(AND($AL266="",OR($AK266,NOT(ISBLANK($S266)))),$AM266="",$AN266="")))</f>
        <v/>
      </c>
      <c r="BE266" s="125" t="str">
        <f aca="false">IF($BL266&lt;&gt;Constants!$B$4,"",IF(NOT($BC266),"",ROUND((Constants!$B$12-$AB266)+(Constants!$B$13-$Z266)+(Constants!$B$14-$AA266),1)))</f>
        <v/>
      </c>
      <c r="BF266" s="127" t="str">
        <f aca="false">IF($BL266&lt;&gt;Constants!$B$4,"",IF(NOT($BC266),"",IF(NOT($AK266),0,Constants!$B$15*(INT(ROUND(MIN($AL266,$AP$9),6))-INT(ROUND(MAX(0,MIN($AL266,2*$AP$9)-$AP$9),6))))))</f>
        <v/>
      </c>
      <c r="BG266" s="127" t="str">
        <f aca="false">IF($BL266&lt;&gt;Constants!$B$4,"",IF(NOT($BC266),"",Constants!$B$16*$AM266))</f>
        <v/>
      </c>
      <c r="BH266" s="127" t="str">
        <f aca="false">IF($BL266&lt;&gt;Constants!$B$4,"",IF(NOT($BC266),"",Constants!$B$18*INT(ROUND($AN266,6))))</f>
        <v/>
      </c>
      <c r="BI266" s="123" t="str">
        <f aca="false">IF($BL266&lt;&gt;Constants!$B$4,"",IF(NOT($BC266),"",IF(NOT($X266),Constants!$B$11,IF(OR(NOT($AI266),NOT($AJ266),ROUND($AB266,1)&gt;Constants!$B$12,ROUND($Z266,1)&gt;Constants!$B$13,ROUND($AA266,1)&gt;Constants!$B$14),Constants!$B$10,Constants!$B$9))))</f>
        <v/>
      </c>
      <c r="BJ266" s="128" t="str">
        <f aca="false">IF($BL266&lt;&gt;Constants!$B$4,"",IF(NOT($BC266),"",ROUND($BE266+$BF266+$BG266+$BH266,1)))</f>
        <v/>
      </c>
      <c r="BK266" s="129" t="str">
        <f aca="false">IF($BL266&lt;&gt;Constants!$B$4,"",IF(NOT($BC266),"",IF(ISNUMBER($AL266),$AL266,0)))</f>
        <v/>
      </c>
      <c r="BL266" s="124" t="str">
        <f aca="false">IF(ISBLANK($C266),"",IF($AO266,Constants!$B$7,IF(COUNTA($E266:$V266)=0,Constants!$B$6,IF(NOT($Y266),Constants!$B$5,IF(NOT(OR($AS266,$BC266)),Constants!$B$5,IF(OR($AT266,$BD266,$AQ266,$AR266&lt;&gt;""),Constants!$B$8,Constants!$B$4))))))</f>
        <v/>
      </c>
      <c r="BM266" s="124" t="str">
        <f aca="false">IF(ISBLANK($C266),"",IF($BL266&lt;&gt;Constants!$B$4,$BL266,IF($BB266="-&gt;",$BI266,$AY266)))</f>
        <v/>
      </c>
      <c r="BN266" s="127" t="str">
        <f aca="false">IF($BL266&lt;&gt;Constants!$B$4,"",IF($BB266="-&gt;",$BJ266,$AZ266))</f>
        <v/>
      </c>
      <c r="BO266" s="127" t="str">
        <f aca="false">IF(ISBLANK($C266),"",IF($BL266&lt;&gt;Constants!$B$4,$BL266,$BN266))</f>
        <v/>
      </c>
      <c r="BP266" s="124" t="str">
        <f aca="false">IF(ISBLANK($C266),"",IF($BL266&lt;&gt;Constants!$B$4,$BL266,RANK($BO266,$BO$9:$BO$508,0)))</f>
        <v/>
      </c>
      <c r="BQ266" s="124" t="str">
        <f aca="false">IF(ISBLANK($C266),"",IF($BL266&lt;&gt;Constants!$B$4,$BL266,COUNTIFS($BM$9:$BM$508,"&lt;"&amp;$BM266)+COUNTIFS($BM$9:$BM$508,$BM266,$BP$9:$BP$508,"&lt;"&amp;$BP266)+1))</f>
        <v/>
      </c>
      <c r="BR266" s="127" t="str">
        <f aca="false">IF($BL266&lt;&gt;Constants!$B$4,"",IF($BB266="-&gt;",$BH266,$AX266))</f>
        <v/>
      </c>
      <c r="BS266" s="124" t="str">
        <f aca="false">IF(ISBLANK($C266),"",IF($BL266&lt;&gt;Constants!$B$4,$BL266,IF(ISNUMBER($BR266),RANK($BR266,$BR$9:$BR$508,0),COUNT($BR$9:$BR$508)+1)))</f>
        <v/>
      </c>
      <c r="BT266" s="127" t="str">
        <f aca="false">IF($BL266&lt;&gt;Constants!$B$4,"",IF($BB266="-&gt;",$BE266,$AU266))</f>
        <v/>
      </c>
      <c r="BU266" s="124" t="str">
        <f aca="false">IF(ISBLANK($C266),"",IF($BL266&lt;&gt;Constants!$B$4,$BL266,IF(ISNUMBER($BT266),RANK($BT266,$BT$9:$BT$508,0),COUNT($BT$9:$BT$508)+1)))</f>
        <v/>
      </c>
      <c r="BV266" s="127" t="str">
        <f aca="false">IF($BL266&lt;&gt;Constants!$B$4,"",IF($BB266="-&gt;",$BF266,$AV266))</f>
        <v/>
      </c>
      <c r="BW266" s="124" t="str">
        <f aca="false">IF(ISBLANK($C266),"",IF($BL266&lt;&gt;Constants!$B$4,$BL266,IF(ISNUMBER($BV266),RANK($BV266,$BV$9:$BV$508,0),COUNT($BV$9:$BV$508)+1)))</f>
        <v/>
      </c>
      <c r="BX266" s="127" t="str">
        <f aca="false">IF($BL266&lt;&gt;Constants!$B$4,"",IF($BB266="-&gt;",$BK266,$BA266))</f>
        <v/>
      </c>
      <c r="BY266" s="124" t="str">
        <f aca="false">IF(ISBLANK($C266),"",IF($BL266&lt;&gt;Constants!$B$4,$BL266,IF(ISNUMBER($BX266),RANK($BX266,$BX$9:$BX$508,0),COUNT($BX$9:$BX$508)+1)))</f>
        <v/>
      </c>
      <c r="BZ266" s="124" t="str">
        <f aca="false">IF(ISBLANK($C266),"",IF($BL266&lt;&gt;Constants!$B$4,$BL266,COUNTIFS($BM$9:$BM$508,"&lt;"&amp;$BM266)+COUNTIFS($BM$9:$BM$508,$BM266,$BP$9:$BP$508,"&lt;"&amp;$BP266)+COUNTIFS($BM$9:$BM$508,$BM266,$BP$9:$BP$508,$BP266,$BS$9:$BS$508,"&lt;"&amp;$BS266)+COUNTIFS($BM$9:$BM$508,$BM266,$BP$9:$BP$508,$BP266,$BS$9:$BS$508,$BS266,$BU$9:$BU$508,"&lt;"&amp;$BU266)+COUNTIFS($BM$9:$BM$508,$BM266,$BP$9:$BP$508,$BP266,$BS$9:$BS$508,$BS266,$BU$9:$BU$508,$BU266,$BW$9:$BW$508,"&lt;"&amp;$BW266)+COUNTIFS($BM$9:$BM$508,$BM266,$BP$9:$BP$508,$BP266,$BS$9:$BS$508,$BS266,$BU$9:$BU$508,$BU266,$BW$9:$BW$508,$BW266,$BY$9:$BY$508,"&lt;"&amp;$BY266)+1))</f>
        <v/>
      </c>
      <c r="CA266" s="124" t="str">
        <f aca="false">IF(ISBLANK($C266),"",IF($BL266&lt;&gt;Constants!$B$4,$BL266,$BQ266-$BZ266))</f>
        <v/>
      </c>
      <c r="CB266" s="130"/>
      <c r="CC266" s="131" t="str">
        <f aca="false">IF(ISBLANK($C266),"",IF($BL266=Constants!$B$8,$AR266,""))</f>
        <v/>
      </c>
      <c r="CD266" s="131" t="str">
        <f aca="false">IF(ISBLANK($C266),"",IF($BL266&lt;&gt;Constants!$B$4,"",IF($BB266="-&gt;",2,1)))</f>
        <v/>
      </c>
      <c r="CE266" s="132" t="str">
        <f aca="false">IF(ISBLANK($C266),"",IF($BL266&lt;&gt;Constants!$B$4,"",IF($BB266="-&gt;",$BE266,$AU266)))</f>
        <v/>
      </c>
      <c r="CF266" s="132" t="str">
        <f aca="false">IF(ISBLANK($C266),"",IF($BL266&lt;&gt;Constants!$B$4,"",IF($BB266="-&gt;",$BF266,$AV266)))</f>
        <v/>
      </c>
      <c r="CG266" s="132" t="str">
        <f aca="false">IF(ISBLANK($C266),"",IF($BL266&lt;&gt;Constants!$B$4,"",IF($BB266="-&gt;",$BG266,$AW266)))</f>
        <v/>
      </c>
      <c r="CH266" s="132" t="str">
        <f aca="false">IF(ISBLANK($C266),"",IF($BL266&lt;&gt;Constants!$B$4,"",IF($BB266="-&gt;",$BH266,$AX266)))</f>
        <v/>
      </c>
      <c r="CI266" s="133" t="str">
        <f aca="false">IF(ISBLANK($C266),"",$BO266)</f>
        <v/>
      </c>
      <c r="CJ266" s="134" t="str">
        <f aca="false">IF(ISBLANK($C266),"",$BM266)</f>
        <v/>
      </c>
      <c r="CK266" s="135" t="str">
        <f aca="false">IF(ISBLANK($C266),"",$CA266)</f>
        <v/>
      </c>
      <c r="CL266" s="135" t="str">
        <f aca="false">IF(ISBLANK($C266),"",$BZ266)</f>
        <v/>
      </c>
      <c r="CM266" s="136" t="str">
        <f aca="false">IF(ISBLANK($C266),"",IF($CL266=Constants!$B$7,COUNTA($C$9:$C$508)+2,IF($CL266=Constants!$B$6,COUNTA($C$9:$C$508)+1,IF($CL266=Constants!$B$5,COUNTA($C$9:$C$508),$CL266))))</f>
        <v/>
      </c>
      <c r="CN266" s="8"/>
      <c r="CO266" s="137" t="n">
        <f aca="false">IF(OR(ISNUMBER($CL266),$CL266=Constants!$B$7,$CL266=Constants!$B$5,$CL266=Constants!$B$6),1,0)</f>
        <v>0</v>
      </c>
      <c r="CP266" s="137" t="n">
        <v>258</v>
      </c>
      <c r="CQ266" s="137" t="str">
        <f aca="false">IF(ISBLANK($C266),"",IF(ISNUMBER($CM266),$CM266+ROW($B266)/1000,""))</f>
        <v/>
      </c>
      <c r="CR266" s="137" t="str">
        <f aca="false">IF(ISNUMBER($CQ266),RANK($CQ266,$CQ$9:$CQ$508,1),"")</f>
        <v/>
      </c>
      <c r="CS266" s="137" t="str">
        <f aca="false">IF(ISBLANK($C266),"",$B266)</f>
        <v/>
      </c>
      <c r="CT266" s="137" t="str">
        <f aca="false">IF(ISBLANK($C266),"",$C266)</f>
        <v/>
      </c>
      <c r="CU266" s="137" t="str">
        <f aca="false">IF(ISBLANK($C266),"",$D266)</f>
        <v/>
      </c>
      <c r="CV266" s="138" t="str">
        <f aca="false">$CJ266</f>
        <v/>
      </c>
      <c r="CW266" s="139" t="str">
        <f aca="false">$CI266</f>
        <v/>
      </c>
      <c r="CX266" s="137" t="str">
        <f aca="false">IF(ISBLANK($C266),"",$CL266)</f>
        <v/>
      </c>
      <c r="CY266" s="140" t="str">
        <f aca="false">IF($CP266&gt;$CO$8,"",VLOOKUP($CP266,$CR$9:$CX$508,7,FALSE()))</f>
        <v/>
      </c>
      <c r="CZ266" s="141" t="str">
        <f aca="false">IF($CP266&gt;$CO$8,"",VLOOKUP($CP266,$CR$9:$CX$508,2,FALSE()))</f>
        <v/>
      </c>
      <c r="DA266" s="141" t="str">
        <f aca="false">IF($CP266&gt;$CO$8,"",VLOOKUP($CP266,$CR$9:$CX$508,3,FALSE()))</f>
        <v/>
      </c>
      <c r="DB266" s="141" t="str">
        <f aca="false">IF($CP266&gt;$CO$8,"",VLOOKUP($CP266,$CR$9:$CX$508,4,FALSE()))</f>
        <v/>
      </c>
      <c r="DC266" s="141" t="str">
        <f aca="false">IF($CP266&gt;$CO$8,"",VLOOKUP($CP266,$CR$9:$CX$508,5,FALSE()))</f>
        <v/>
      </c>
      <c r="DD266" s="142" t="str">
        <f aca="false">IF($CP266&gt;$CO$8,"",VLOOKUP($CP266,$CR$9:$CX$508,6,FALSE()))</f>
        <v/>
      </c>
      <c r="DE266" s="70"/>
    </row>
    <row r="267" customFormat="false" ht="15.75" hidden="false" customHeight="false" outlineLevel="0" collapsed="false">
      <c r="A267" s="8"/>
      <c r="B267" s="72"/>
      <c r="C267" s="73"/>
      <c r="D267" s="155"/>
      <c r="E267" s="162"/>
      <c r="F267" s="157"/>
      <c r="G267" s="77"/>
      <c r="H267" s="77"/>
      <c r="I267" s="77"/>
      <c r="J267" s="163"/>
      <c r="K267" s="161"/>
      <c r="L267" s="161"/>
      <c r="M267" s="80"/>
      <c r="N267" s="161"/>
      <c r="O267" s="160"/>
      <c r="P267" s="161"/>
      <c r="Q267" s="161"/>
      <c r="R267" s="161"/>
      <c r="S267" s="77"/>
      <c r="T267" s="161"/>
      <c r="U267" s="160"/>
      <c r="V267" s="161"/>
      <c r="W267" s="85"/>
      <c r="X267" s="86" t="str">
        <f aca="false">IF(ISBLANK($C267),"",IF($E267=Constants!$B$2,TRUE(),IF($E267=Constants!$B$3,FALSE(),TRUE())))</f>
        <v/>
      </c>
      <c r="Y267" s="86" t="str">
        <f aca="false">IF(ISBLANK($C267),"",IF($F267=Constants!$B$2,TRUE(),IF($F267=Constants!$B$3,FALSE(),TRUE())))</f>
        <v/>
      </c>
      <c r="Z267" s="87" t="str">
        <f aca="false">IF(ISBLANK($C267),"",IF(ISNUMBER($G267),IF($G267&gt;=0,$G267,""),""))</f>
        <v/>
      </c>
      <c r="AA267" s="87" t="str">
        <f aca="false">IF(ISBLANK($C267),"",IF(ISNUMBER($H267),IF($H267&gt;=0,$H267,""),""))</f>
        <v/>
      </c>
      <c r="AB267" s="87" t="str">
        <f aca="false">IF(ISBLANK($C267),"",IF(ISNUMBER($I267),IF($I267&gt;=0,$I267,""),""))</f>
        <v/>
      </c>
      <c r="AC267" s="86" t="str">
        <f aca="false">IF(ISBLANK($C267),"",IF($J267=Constants!$B$2,TRUE(),IF($J267=Constants!$B$3,FALSE(),TRUE())))</f>
        <v/>
      </c>
      <c r="AD267" s="86" t="str">
        <f aca="false">IF(ISBLANK($C267),"",IF($K267=Constants!$B$2,TRUE(),IF($K267=Constants!$B$3,FALSE(),TRUE())))</f>
        <v/>
      </c>
      <c r="AE267" s="86" t="str">
        <f aca="false">IF(ISBLANK($C267),"",IF($L267=Constants!$B$2,TRUE(),IF($L267=Constants!$B$3,FALSE(),TRUE())))</f>
        <v/>
      </c>
      <c r="AF267" s="88" t="str">
        <f aca="false">IF(ISBLANK($C267),"",IF(ISNUMBER($M267),IF($M267&gt;=0,$M267,""),""))</f>
        <v/>
      </c>
      <c r="AG267" s="86" t="str">
        <f aca="false">IF(ISBLANK($C267),"",IF(ISBLANK($N267),0,IF(ISNUMBER($N267),IF(AND($N267&gt;=0,$N267&lt;=Constants!$B$17,$N267=INT($N267)),$N267,""),"")))</f>
        <v/>
      </c>
      <c r="AH267" s="87" t="str">
        <f aca="false">IF(ISBLANK($C267),"",IF(ISBLANK($O267),0,IF(ISNUMBER($O267),IF($O267&gt;=0,$O267,""),"")))</f>
        <v/>
      </c>
      <c r="AI267" s="86" t="str">
        <f aca="false">IF(ISBLANK($C267),"",IF($P267=Constants!$B$2,TRUE(),IF($P267=Constants!$B$3,FALSE(),TRUE())))</f>
        <v/>
      </c>
      <c r="AJ267" s="86" t="str">
        <f aca="false">IF(ISBLANK($C267),"",IF($Q267=Constants!$B$2,TRUE(),IF($Q267=Constants!$B$3,FALSE(),TRUE())))</f>
        <v/>
      </c>
      <c r="AK267" s="86" t="str">
        <f aca="false">IF(ISBLANK($C267),"",IF($R267=Constants!$B$2,TRUE(),IF($R267=Constants!$B$3,FALSE(),TRUE())))</f>
        <v/>
      </c>
      <c r="AL267" s="88" t="str">
        <f aca="false">IF(ISBLANK($C267),"",IF(ISNUMBER($S267),IF($S267&gt;=0,$S267,""),""))</f>
        <v/>
      </c>
      <c r="AM267" s="86" t="str">
        <f aca="false">IF(ISBLANK($C267),"",IF(ISBLANK($T267),0,IF(ISNUMBER($T267),IF(AND($T267&gt;=0,$T267&lt;=Constants!$B$17,$T267=INT($T267)),$T267,""),"")))</f>
        <v/>
      </c>
      <c r="AN267" s="87" t="str">
        <f aca="false">IF(ISBLANK($C267),"",IF(ISBLANK($U267),0,IF(ISNUMBER($U267),IF($U267&gt;=0,$U267,""),"")))</f>
        <v/>
      </c>
      <c r="AO267" s="86" t="str">
        <f aca="false">IF(ISBLANK($C267),"",IF($V267=Constants!$B$2,TRUE(),IF($V267=Constants!$B$3,FALSE(),FALSE())))</f>
        <v/>
      </c>
      <c r="AP267" s="86"/>
      <c r="AQ267" s="85" t="str">
        <f aca="false">IF(ISBLANK($C267),"",AND($Y267,OR($AS267,$BC267),OR($Z267="",$AA267="",$AB267="")))</f>
        <v/>
      </c>
      <c r="AR267" s="85" t="str">
        <f aca="false">IF(ISBLANK($C267),"",IF(OR(NOT($Y267),NOT(OR($AS267,$BC267))),"",IF(ISBLANK($D$7),$AR$5,IF($AP$9="",$AR$6,""))))</f>
        <v/>
      </c>
      <c r="AS267" s="85" t="str">
        <f aca="false">IF(ISBLANK($C267),"",COUNTA($J267:$O267)&gt;0)</f>
        <v/>
      </c>
      <c r="AT267" s="85" t="str">
        <f aca="false">IF(ISBLANK($C267),"",AND($AS267,OR(AND($AF267="",OR($AE267,NOT(ISBLANK($M267)))),$AG267="",$AH267="")))</f>
        <v/>
      </c>
      <c r="AU267" s="87" t="str">
        <f aca="false">IF($BL267&lt;&gt;Constants!$B$4,"",IF(NOT($AS267),"",ROUND((Constants!$B$12-$AB267)+(Constants!$B$13-$Z267)+(Constants!$B$14-$AA267),1)))</f>
        <v/>
      </c>
      <c r="AV267" s="90" t="str">
        <f aca="false">IF($BL267&lt;&gt;Constants!$B$4,"",IF(NOT($AS267),"",IF(NOT($AE267),0,Constants!$B$15*(INT(ROUND(MIN($AF267,$AP$9),6))-INT(ROUND(MAX(0,MIN($AF267,2*$AP$9)-$AP$9),6))))))</f>
        <v/>
      </c>
      <c r="AW267" s="90" t="str">
        <f aca="false">IF($BL267&lt;&gt;Constants!$B$4,"",IF(NOT($AS267),"",Constants!$B$16*$AG267))</f>
        <v/>
      </c>
      <c r="AX267" s="90" t="str">
        <f aca="false">IF($BL267&lt;&gt;Constants!$B$4,"",IF(NOT($AS267),"",Constants!$B$18*INT(ROUND($AH267,6))))</f>
        <v/>
      </c>
      <c r="AY267" s="85" t="str">
        <f aca="false">IF($BL267&lt;&gt;Constants!$B$4,"",IF(NOT($AS267),"",IF(NOT($X267),Constants!$B$11,IF(OR(NOT($AC267),NOT($AD267),ROUND($AB267,1)&gt;Constants!$B$12,ROUND($Z267,1)&gt;Constants!$B$13,ROUND($AA267,1)&gt;Constants!$B$14),Constants!$B$10,Constants!$B$9))))</f>
        <v/>
      </c>
      <c r="AZ267" s="91" t="str">
        <f aca="false">IF($BL267&lt;&gt;Constants!$B$4,"",IF(NOT($AS267),"",ROUND($AU267+$AV267+$AW267+$AX267,1)))</f>
        <v/>
      </c>
      <c r="BA267" s="92" t="str">
        <f aca="false">IF($BL267&lt;&gt;Constants!$B$4,"",IF(NOT($AS267),"",IF(ISNUMBER($AF267),$AF267,0)))</f>
        <v/>
      </c>
      <c r="BB267" s="86" t="str">
        <f aca="false">IF($BL267&lt;&gt;Constants!$B$4,"",IF(NOT($BC267),"&lt;-",IF(NOT($AS267),"-&gt;",IF(OR($BI267&lt;$AY267,AND($BI267=$AY267,OR($BJ267&gt;$AZ267,AND($BJ267=$AZ267,OR($BH267&gt;$AX267,AND($BH267=$AX267,OR($BE267&gt;$AU267,AND($BE267=$AU267,OR($BF267&gt;$AV267,AND($BF267=$AV267,$BK267&gt;$BA267)))))))))),"-&gt;","&lt;-"))))</f>
        <v/>
      </c>
      <c r="BC267" s="85" t="str">
        <f aca="false">IF(ISBLANK($C267),"",COUNTA($P267:$U267)&gt;0)</f>
        <v/>
      </c>
      <c r="BD267" s="85" t="str">
        <f aca="false">IF(ISBLANK($C267),"",AND($BC267,OR(AND($AL267="",OR($AK267,NOT(ISBLANK($S267)))),$AM267="",$AN267="")))</f>
        <v/>
      </c>
      <c r="BE267" s="87" t="str">
        <f aca="false">IF($BL267&lt;&gt;Constants!$B$4,"",IF(NOT($BC267),"",ROUND((Constants!$B$12-$AB267)+(Constants!$B$13-$Z267)+(Constants!$B$14-$AA267),1)))</f>
        <v/>
      </c>
      <c r="BF267" s="90" t="str">
        <f aca="false">IF($BL267&lt;&gt;Constants!$B$4,"",IF(NOT($BC267),"",IF(NOT($AK267),0,Constants!$B$15*(INT(ROUND(MIN($AL267,$AP$9),6))-INT(ROUND(MAX(0,MIN($AL267,2*$AP$9)-$AP$9),6))))))</f>
        <v/>
      </c>
      <c r="BG267" s="90" t="str">
        <f aca="false">IF($BL267&lt;&gt;Constants!$B$4,"",IF(NOT($BC267),"",Constants!$B$16*$AM267))</f>
        <v/>
      </c>
      <c r="BH267" s="90" t="str">
        <f aca="false">IF($BL267&lt;&gt;Constants!$B$4,"",IF(NOT($BC267),"",Constants!$B$18*INT(ROUND($AN267,6))))</f>
        <v/>
      </c>
      <c r="BI267" s="85" t="str">
        <f aca="false">IF($BL267&lt;&gt;Constants!$B$4,"",IF(NOT($BC267),"",IF(NOT($X267),Constants!$B$11,IF(OR(NOT($AI267),NOT($AJ267),ROUND($AB267,1)&gt;Constants!$B$12,ROUND($Z267,1)&gt;Constants!$B$13,ROUND($AA267,1)&gt;Constants!$B$14),Constants!$B$10,Constants!$B$9))))</f>
        <v/>
      </c>
      <c r="BJ267" s="91" t="str">
        <f aca="false">IF($BL267&lt;&gt;Constants!$B$4,"",IF(NOT($BC267),"",ROUND($BE267+$BF267+$BG267+$BH267,1)))</f>
        <v/>
      </c>
      <c r="BK267" s="92" t="str">
        <f aca="false">IF($BL267&lt;&gt;Constants!$B$4,"",IF(NOT($BC267),"",IF(ISNUMBER($AL267),$AL267,0)))</f>
        <v/>
      </c>
      <c r="BL267" s="86" t="str">
        <f aca="false">IF(ISBLANK($C267),"",IF($AO267,Constants!$B$7,IF(COUNTA($E267:$V267)=0,Constants!$B$6,IF(NOT($Y267),Constants!$B$5,IF(NOT(OR($AS267,$BC267)),Constants!$B$5,IF(OR($AT267,$BD267,$AQ267,$AR267&lt;&gt;""),Constants!$B$8,Constants!$B$4))))))</f>
        <v/>
      </c>
      <c r="BM267" s="86" t="str">
        <f aca="false">IF(ISBLANK($C267),"",IF($BL267&lt;&gt;Constants!$B$4,$BL267,IF($BB267="-&gt;",$BI267,$AY267)))</f>
        <v/>
      </c>
      <c r="BN267" s="90" t="str">
        <f aca="false">IF($BL267&lt;&gt;Constants!$B$4,"",IF($BB267="-&gt;",$BJ267,$AZ267))</f>
        <v/>
      </c>
      <c r="BO267" s="90" t="str">
        <f aca="false">IF(ISBLANK($C267),"",IF($BL267&lt;&gt;Constants!$B$4,$BL267,$BN267))</f>
        <v/>
      </c>
      <c r="BP267" s="86" t="str">
        <f aca="false">IF(ISBLANK($C267),"",IF($BL267&lt;&gt;Constants!$B$4,$BL267,RANK($BO267,$BO$9:$BO$508,0)))</f>
        <v/>
      </c>
      <c r="BQ267" s="86" t="str">
        <f aca="false">IF(ISBLANK($C267),"",IF($BL267&lt;&gt;Constants!$B$4,$BL267,COUNTIFS($BM$9:$BM$508,"&lt;"&amp;$BM267)+COUNTIFS($BM$9:$BM$508,$BM267,$BP$9:$BP$508,"&lt;"&amp;$BP267)+1))</f>
        <v/>
      </c>
      <c r="BR267" s="90" t="str">
        <f aca="false">IF($BL267&lt;&gt;Constants!$B$4,"",IF($BB267="-&gt;",$BH267,$AX267))</f>
        <v/>
      </c>
      <c r="BS267" s="86" t="str">
        <f aca="false">IF(ISBLANK($C267),"",IF($BL267&lt;&gt;Constants!$B$4,$BL267,IF(ISNUMBER($BR267),RANK($BR267,$BR$9:$BR$508,0),COUNT($BR$9:$BR$508)+1)))</f>
        <v/>
      </c>
      <c r="BT267" s="90" t="str">
        <f aca="false">IF($BL267&lt;&gt;Constants!$B$4,"",IF($BB267="-&gt;",$BE267,$AU267))</f>
        <v/>
      </c>
      <c r="BU267" s="86" t="str">
        <f aca="false">IF(ISBLANK($C267),"",IF($BL267&lt;&gt;Constants!$B$4,$BL267,IF(ISNUMBER($BT267),RANK($BT267,$BT$9:$BT$508,0),COUNT($BT$9:$BT$508)+1)))</f>
        <v/>
      </c>
      <c r="BV267" s="90" t="str">
        <f aca="false">IF($BL267&lt;&gt;Constants!$B$4,"",IF($BB267="-&gt;",$BF267,$AV267))</f>
        <v/>
      </c>
      <c r="BW267" s="86" t="str">
        <f aca="false">IF(ISBLANK($C267),"",IF($BL267&lt;&gt;Constants!$B$4,$BL267,IF(ISNUMBER($BV267),RANK($BV267,$BV$9:$BV$508,0),COUNT($BV$9:$BV$508)+1)))</f>
        <v/>
      </c>
      <c r="BX267" s="90" t="str">
        <f aca="false">IF($BL267&lt;&gt;Constants!$B$4,"",IF($BB267="-&gt;",$BK267,$BA267))</f>
        <v/>
      </c>
      <c r="BY267" s="86" t="str">
        <f aca="false">IF(ISBLANK($C267),"",IF($BL267&lt;&gt;Constants!$B$4,$BL267,IF(ISNUMBER($BX267),RANK($BX267,$BX$9:$BX$508,0),COUNT($BX$9:$BX$508)+1)))</f>
        <v/>
      </c>
      <c r="BZ267" s="86" t="str">
        <f aca="false">IF(ISBLANK($C267),"",IF($BL267&lt;&gt;Constants!$B$4,$BL267,COUNTIFS($BM$9:$BM$508,"&lt;"&amp;$BM267)+COUNTIFS($BM$9:$BM$508,$BM267,$BP$9:$BP$508,"&lt;"&amp;$BP267)+COUNTIFS($BM$9:$BM$508,$BM267,$BP$9:$BP$508,$BP267,$BS$9:$BS$508,"&lt;"&amp;$BS267)+COUNTIFS($BM$9:$BM$508,$BM267,$BP$9:$BP$508,$BP267,$BS$9:$BS$508,$BS267,$BU$9:$BU$508,"&lt;"&amp;$BU267)+COUNTIFS($BM$9:$BM$508,$BM267,$BP$9:$BP$508,$BP267,$BS$9:$BS$508,$BS267,$BU$9:$BU$508,$BU267,$BW$9:$BW$508,"&lt;"&amp;$BW267)+COUNTIFS($BM$9:$BM$508,$BM267,$BP$9:$BP$508,$BP267,$BS$9:$BS$508,$BS267,$BU$9:$BU$508,$BU267,$BW$9:$BW$508,$BW267,$BY$9:$BY$508,"&lt;"&amp;$BY267)+1))</f>
        <v/>
      </c>
      <c r="CA267" s="86" t="str">
        <f aca="false">IF(ISBLANK($C267),"",IF($BL267&lt;&gt;Constants!$B$4,$BL267,$BQ267-$BZ267))</f>
        <v/>
      </c>
      <c r="CB267" s="93"/>
      <c r="CC267" s="94" t="str">
        <f aca="false">IF(ISBLANK($C267),"",IF($BL267=Constants!$B$8,$AR267,""))</f>
        <v/>
      </c>
      <c r="CD267" s="94" t="str">
        <f aca="false">IF(ISBLANK($C267),"",IF($BL267&lt;&gt;Constants!$B$4,"",IF($BB267="-&gt;",2,1)))</f>
        <v/>
      </c>
      <c r="CE267" s="95" t="str">
        <f aca="false">IF(ISBLANK($C267),"",IF($BL267&lt;&gt;Constants!$B$4,"",IF($BB267="-&gt;",$BE267,$AU267)))</f>
        <v/>
      </c>
      <c r="CF267" s="95" t="str">
        <f aca="false">IF(ISBLANK($C267),"",IF($BL267&lt;&gt;Constants!$B$4,"",IF($BB267="-&gt;",$BF267,$AV267)))</f>
        <v/>
      </c>
      <c r="CG267" s="95" t="str">
        <f aca="false">IF(ISBLANK($C267),"",IF($BL267&lt;&gt;Constants!$B$4,"",IF($BB267="-&gt;",$BG267,$AW267)))</f>
        <v/>
      </c>
      <c r="CH267" s="95" t="str">
        <f aca="false">IF(ISBLANK($C267),"",IF($BL267&lt;&gt;Constants!$B$4,"",IF($BB267="-&gt;",$BH267,$AX267)))</f>
        <v/>
      </c>
      <c r="CI267" s="96" t="str">
        <f aca="false">IF(ISBLANK($C267),"",$BO267)</f>
        <v/>
      </c>
      <c r="CJ267" s="97" t="str">
        <f aca="false">IF(ISBLANK($C267),"",$BM267)</f>
        <v/>
      </c>
      <c r="CK267" s="98" t="str">
        <f aca="false">IF(ISBLANK($C267),"",$CA267)</f>
        <v/>
      </c>
      <c r="CL267" s="98" t="str">
        <f aca="false">IF(ISBLANK($C267),"",$BZ267)</f>
        <v/>
      </c>
      <c r="CM267" s="99" t="str">
        <f aca="false">IF(ISBLANK($C267),"",IF($CL267=Constants!$B$7,COUNTA($C$9:$C$508)+2,IF($CL267=Constants!$B$6,COUNTA($C$9:$C$508)+1,IF($CL267=Constants!$B$5,COUNTA($C$9:$C$508),$CL267))))</f>
        <v/>
      </c>
      <c r="CN267" s="8"/>
      <c r="CO267" s="100" t="n">
        <f aca="false">IF(OR(ISNUMBER($CL267),$CL267=Constants!$B$7,$CL267=Constants!$B$5,$CL267=Constants!$B$6),1,0)</f>
        <v>0</v>
      </c>
      <c r="CP267" s="100" t="n">
        <v>259</v>
      </c>
      <c r="CQ267" s="100" t="str">
        <f aca="false">IF(ISBLANK($C267),"",IF(ISNUMBER($CM267),$CM267+ROW($B267)/1000,""))</f>
        <v/>
      </c>
      <c r="CR267" s="100" t="str">
        <f aca="false">IF(ISNUMBER($CQ267),RANK($CQ267,$CQ$9:$CQ$508,1),"")</f>
        <v/>
      </c>
      <c r="CS267" s="100" t="str">
        <f aca="false">IF(ISBLANK($C267),"",$B267)</f>
        <v/>
      </c>
      <c r="CT267" s="100" t="str">
        <f aca="false">IF(ISBLANK($C267),"",$C267)</f>
        <v/>
      </c>
      <c r="CU267" s="100" t="str">
        <f aca="false">IF(ISBLANK($C267),"",$D267)</f>
        <v/>
      </c>
      <c r="CV267" s="101" t="str">
        <f aca="false">$CJ267</f>
        <v/>
      </c>
      <c r="CW267" s="102" t="str">
        <f aca="false">$CI267</f>
        <v/>
      </c>
      <c r="CX267" s="100" t="str">
        <f aca="false">IF(ISBLANK($C267),"",$CL267)</f>
        <v/>
      </c>
      <c r="CY267" s="103" t="str">
        <f aca="false">IF($CP267&gt;$CO$8,"",VLOOKUP($CP267,$CR$9:$CX$508,7,FALSE()))</f>
        <v/>
      </c>
      <c r="CZ267" s="104" t="str">
        <f aca="false">IF($CP267&gt;$CO$8,"",VLOOKUP($CP267,$CR$9:$CX$508,2,FALSE()))</f>
        <v/>
      </c>
      <c r="DA267" s="104" t="str">
        <f aca="false">IF($CP267&gt;$CO$8,"",VLOOKUP($CP267,$CR$9:$CX$508,3,FALSE()))</f>
        <v/>
      </c>
      <c r="DB267" s="104" t="str">
        <f aca="false">IF($CP267&gt;$CO$8,"",VLOOKUP($CP267,$CR$9:$CX$508,4,FALSE()))</f>
        <v/>
      </c>
      <c r="DC267" s="104" t="str">
        <f aca="false">IF($CP267&gt;$CO$8,"",VLOOKUP($CP267,$CR$9:$CX$508,5,FALSE()))</f>
        <v/>
      </c>
      <c r="DD267" s="105" t="str">
        <f aca="false">IF($CP267&gt;$CO$8,"",VLOOKUP($CP267,$CR$9:$CX$508,6,FALSE()))</f>
        <v/>
      </c>
      <c r="DE267" s="70"/>
    </row>
    <row r="268" customFormat="false" ht="15.75" hidden="false" customHeight="false" outlineLevel="0" collapsed="false">
      <c r="A268" s="8"/>
      <c r="B268" s="72"/>
      <c r="C268" s="73"/>
      <c r="D268" s="155"/>
      <c r="E268" s="162"/>
      <c r="F268" s="157"/>
      <c r="G268" s="77"/>
      <c r="H268" s="77"/>
      <c r="I268" s="77"/>
      <c r="J268" s="163"/>
      <c r="K268" s="161"/>
      <c r="L268" s="161"/>
      <c r="M268" s="80"/>
      <c r="N268" s="161"/>
      <c r="O268" s="160"/>
      <c r="P268" s="161"/>
      <c r="Q268" s="161"/>
      <c r="R268" s="161"/>
      <c r="S268" s="77"/>
      <c r="T268" s="161"/>
      <c r="U268" s="160"/>
      <c r="V268" s="161"/>
      <c r="W268" s="85"/>
      <c r="X268" s="86" t="str">
        <f aca="false">IF(ISBLANK($C268),"",IF($E268=Constants!$B$2,TRUE(),IF($E268=Constants!$B$3,FALSE(),TRUE())))</f>
        <v/>
      </c>
      <c r="Y268" s="86" t="str">
        <f aca="false">IF(ISBLANK($C268),"",IF($F268=Constants!$B$2,TRUE(),IF($F268=Constants!$B$3,FALSE(),TRUE())))</f>
        <v/>
      </c>
      <c r="Z268" s="87" t="str">
        <f aca="false">IF(ISBLANK($C268),"",IF(ISNUMBER($G268),IF($G268&gt;=0,$G268,""),""))</f>
        <v/>
      </c>
      <c r="AA268" s="87" t="str">
        <f aca="false">IF(ISBLANK($C268),"",IF(ISNUMBER($H268),IF($H268&gt;=0,$H268,""),""))</f>
        <v/>
      </c>
      <c r="AB268" s="87" t="str">
        <f aca="false">IF(ISBLANK($C268),"",IF(ISNUMBER($I268),IF($I268&gt;=0,$I268,""),""))</f>
        <v/>
      </c>
      <c r="AC268" s="86" t="str">
        <f aca="false">IF(ISBLANK($C268),"",IF($J268=Constants!$B$2,TRUE(),IF($J268=Constants!$B$3,FALSE(),TRUE())))</f>
        <v/>
      </c>
      <c r="AD268" s="86" t="str">
        <f aca="false">IF(ISBLANK($C268),"",IF($K268=Constants!$B$2,TRUE(),IF($K268=Constants!$B$3,FALSE(),TRUE())))</f>
        <v/>
      </c>
      <c r="AE268" s="86" t="str">
        <f aca="false">IF(ISBLANK($C268),"",IF($L268=Constants!$B$2,TRUE(),IF($L268=Constants!$B$3,FALSE(),TRUE())))</f>
        <v/>
      </c>
      <c r="AF268" s="88" t="str">
        <f aca="false">IF(ISBLANK($C268),"",IF(ISNUMBER($M268),IF($M268&gt;=0,$M268,""),""))</f>
        <v/>
      </c>
      <c r="AG268" s="86" t="str">
        <f aca="false">IF(ISBLANK($C268),"",IF(ISBLANK($N268),0,IF(ISNUMBER($N268),IF(AND($N268&gt;=0,$N268&lt;=Constants!$B$17,$N268=INT($N268)),$N268,""),"")))</f>
        <v/>
      </c>
      <c r="AH268" s="87" t="str">
        <f aca="false">IF(ISBLANK($C268),"",IF(ISBLANK($O268),0,IF(ISNUMBER($O268),IF($O268&gt;=0,$O268,""),"")))</f>
        <v/>
      </c>
      <c r="AI268" s="86" t="str">
        <f aca="false">IF(ISBLANK($C268),"",IF($P268=Constants!$B$2,TRUE(),IF($P268=Constants!$B$3,FALSE(),TRUE())))</f>
        <v/>
      </c>
      <c r="AJ268" s="86" t="str">
        <f aca="false">IF(ISBLANK($C268),"",IF($Q268=Constants!$B$2,TRUE(),IF($Q268=Constants!$B$3,FALSE(),TRUE())))</f>
        <v/>
      </c>
      <c r="AK268" s="86" t="str">
        <f aca="false">IF(ISBLANK($C268),"",IF($R268=Constants!$B$2,TRUE(),IF($R268=Constants!$B$3,FALSE(),TRUE())))</f>
        <v/>
      </c>
      <c r="AL268" s="88" t="str">
        <f aca="false">IF(ISBLANK($C268),"",IF(ISNUMBER($S268),IF($S268&gt;=0,$S268,""),""))</f>
        <v/>
      </c>
      <c r="AM268" s="86" t="str">
        <f aca="false">IF(ISBLANK($C268),"",IF(ISBLANK($T268),0,IF(ISNUMBER($T268),IF(AND($T268&gt;=0,$T268&lt;=Constants!$B$17,$T268=INT($T268)),$T268,""),"")))</f>
        <v/>
      </c>
      <c r="AN268" s="87" t="str">
        <f aca="false">IF(ISBLANK($C268),"",IF(ISBLANK($U268),0,IF(ISNUMBER($U268),IF($U268&gt;=0,$U268,""),"")))</f>
        <v/>
      </c>
      <c r="AO268" s="86" t="str">
        <f aca="false">IF(ISBLANK($C268),"",IF($V268=Constants!$B$2,TRUE(),IF($V268=Constants!$B$3,FALSE(),FALSE())))</f>
        <v/>
      </c>
      <c r="AP268" s="86"/>
      <c r="AQ268" s="85" t="str">
        <f aca="false">IF(ISBLANK($C268),"",AND($Y268,OR($AS268,$BC268),OR($Z268="",$AA268="",$AB268="")))</f>
        <v/>
      </c>
      <c r="AR268" s="85" t="str">
        <f aca="false">IF(ISBLANK($C268),"",IF(OR(NOT($Y268),NOT(OR($AS268,$BC268))),"",IF(ISBLANK($D$7),$AR$5,IF($AP$9="",$AR$6,""))))</f>
        <v/>
      </c>
      <c r="AS268" s="85" t="str">
        <f aca="false">IF(ISBLANK($C268),"",COUNTA($J268:$O268)&gt;0)</f>
        <v/>
      </c>
      <c r="AT268" s="85" t="str">
        <f aca="false">IF(ISBLANK($C268),"",AND($AS268,OR(AND($AF268="",OR($AE268,NOT(ISBLANK($M268)))),$AG268="",$AH268="")))</f>
        <v/>
      </c>
      <c r="AU268" s="87" t="str">
        <f aca="false">IF($BL268&lt;&gt;Constants!$B$4,"",IF(NOT($AS268),"",ROUND((Constants!$B$12-$AB268)+(Constants!$B$13-$Z268)+(Constants!$B$14-$AA268),1)))</f>
        <v/>
      </c>
      <c r="AV268" s="90" t="str">
        <f aca="false">IF($BL268&lt;&gt;Constants!$B$4,"",IF(NOT($AS268),"",IF(NOT($AE268),0,Constants!$B$15*(INT(ROUND(MIN($AF268,$AP$9),6))-INT(ROUND(MAX(0,MIN($AF268,2*$AP$9)-$AP$9),6))))))</f>
        <v/>
      </c>
      <c r="AW268" s="90" t="str">
        <f aca="false">IF($BL268&lt;&gt;Constants!$B$4,"",IF(NOT($AS268),"",Constants!$B$16*$AG268))</f>
        <v/>
      </c>
      <c r="AX268" s="90" t="str">
        <f aca="false">IF($BL268&lt;&gt;Constants!$B$4,"",IF(NOT($AS268),"",Constants!$B$18*INT(ROUND($AH268,6))))</f>
        <v/>
      </c>
      <c r="AY268" s="85" t="str">
        <f aca="false">IF($BL268&lt;&gt;Constants!$B$4,"",IF(NOT($AS268),"",IF(NOT($X268),Constants!$B$11,IF(OR(NOT($AC268),NOT($AD268),ROUND($AB268,1)&gt;Constants!$B$12,ROUND($Z268,1)&gt;Constants!$B$13,ROUND($AA268,1)&gt;Constants!$B$14),Constants!$B$10,Constants!$B$9))))</f>
        <v/>
      </c>
      <c r="AZ268" s="91" t="str">
        <f aca="false">IF($BL268&lt;&gt;Constants!$B$4,"",IF(NOT($AS268),"",ROUND($AU268+$AV268+$AW268+$AX268,1)))</f>
        <v/>
      </c>
      <c r="BA268" s="92" t="str">
        <f aca="false">IF($BL268&lt;&gt;Constants!$B$4,"",IF(NOT($AS268),"",IF(ISNUMBER($AF268),$AF268,0)))</f>
        <v/>
      </c>
      <c r="BB268" s="86" t="str">
        <f aca="false">IF($BL268&lt;&gt;Constants!$B$4,"",IF(NOT($BC268),"&lt;-",IF(NOT($AS268),"-&gt;",IF(OR($BI268&lt;$AY268,AND($BI268=$AY268,OR($BJ268&gt;$AZ268,AND($BJ268=$AZ268,OR($BH268&gt;$AX268,AND($BH268=$AX268,OR($BE268&gt;$AU268,AND($BE268=$AU268,OR($BF268&gt;$AV268,AND($BF268=$AV268,$BK268&gt;$BA268)))))))))),"-&gt;","&lt;-"))))</f>
        <v/>
      </c>
      <c r="BC268" s="85" t="str">
        <f aca="false">IF(ISBLANK($C268),"",COUNTA($P268:$U268)&gt;0)</f>
        <v/>
      </c>
      <c r="BD268" s="85" t="str">
        <f aca="false">IF(ISBLANK($C268),"",AND($BC268,OR(AND($AL268="",OR($AK268,NOT(ISBLANK($S268)))),$AM268="",$AN268="")))</f>
        <v/>
      </c>
      <c r="BE268" s="87" t="str">
        <f aca="false">IF($BL268&lt;&gt;Constants!$B$4,"",IF(NOT($BC268),"",ROUND((Constants!$B$12-$AB268)+(Constants!$B$13-$Z268)+(Constants!$B$14-$AA268),1)))</f>
        <v/>
      </c>
      <c r="BF268" s="90" t="str">
        <f aca="false">IF($BL268&lt;&gt;Constants!$B$4,"",IF(NOT($BC268),"",IF(NOT($AK268),0,Constants!$B$15*(INT(ROUND(MIN($AL268,$AP$9),6))-INT(ROUND(MAX(0,MIN($AL268,2*$AP$9)-$AP$9),6))))))</f>
        <v/>
      </c>
      <c r="BG268" s="90" t="str">
        <f aca="false">IF($BL268&lt;&gt;Constants!$B$4,"",IF(NOT($BC268),"",Constants!$B$16*$AM268))</f>
        <v/>
      </c>
      <c r="BH268" s="90" t="str">
        <f aca="false">IF($BL268&lt;&gt;Constants!$B$4,"",IF(NOT($BC268),"",Constants!$B$18*INT(ROUND($AN268,6))))</f>
        <v/>
      </c>
      <c r="BI268" s="85" t="str">
        <f aca="false">IF($BL268&lt;&gt;Constants!$B$4,"",IF(NOT($BC268),"",IF(NOT($X268),Constants!$B$11,IF(OR(NOT($AI268),NOT($AJ268),ROUND($AB268,1)&gt;Constants!$B$12,ROUND($Z268,1)&gt;Constants!$B$13,ROUND($AA268,1)&gt;Constants!$B$14),Constants!$B$10,Constants!$B$9))))</f>
        <v/>
      </c>
      <c r="BJ268" s="91" t="str">
        <f aca="false">IF($BL268&lt;&gt;Constants!$B$4,"",IF(NOT($BC268),"",ROUND($BE268+$BF268+$BG268+$BH268,1)))</f>
        <v/>
      </c>
      <c r="BK268" s="92" t="str">
        <f aca="false">IF($BL268&lt;&gt;Constants!$B$4,"",IF(NOT($BC268),"",IF(ISNUMBER($AL268),$AL268,0)))</f>
        <v/>
      </c>
      <c r="BL268" s="86" t="str">
        <f aca="false">IF(ISBLANK($C268),"",IF($AO268,Constants!$B$7,IF(COUNTA($E268:$V268)=0,Constants!$B$6,IF(NOT($Y268),Constants!$B$5,IF(NOT(OR($AS268,$BC268)),Constants!$B$5,IF(OR($AT268,$BD268,$AQ268,$AR268&lt;&gt;""),Constants!$B$8,Constants!$B$4))))))</f>
        <v/>
      </c>
      <c r="BM268" s="86" t="str">
        <f aca="false">IF(ISBLANK($C268),"",IF($BL268&lt;&gt;Constants!$B$4,$BL268,IF($BB268="-&gt;",$BI268,$AY268)))</f>
        <v/>
      </c>
      <c r="BN268" s="90" t="str">
        <f aca="false">IF($BL268&lt;&gt;Constants!$B$4,"",IF($BB268="-&gt;",$BJ268,$AZ268))</f>
        <v/>
      </c>
      <c r="BO268" s="90" t="str">
        <f aca="false">IF(ISBLANK($C268),"",IF($BL268&lt;&gt;Constants!$B$4,$BL268,$BN268))</f>
        <v/>
      </c>
      <c r="BP268" s="86" t="str">
        <f aca="false">IF(ISBLANK($C268),"",IF($BL268&lt;&gt;Constants!$B$4,$BL268,RANK($BO268,$BO$9:$BO$508,0)))</f>
        <v/>
      </c>
      <c r="BQ268" s="86" t="str">
        <f aca="false">IF(ISBLANK($C268),"",IF($BL268&lt;&gt;Constants!$B$4,$BL268,COUNTIFS($BM$9:$BM$508,"&lt;"&amp;$BM268)+COUNTIFS($BM$9:$BM$508,$BM268,$BP$9:$BP$508,"&lt;"&amp;$BP268)+1))</f>
        <v/>
      </c>
      <c r="BR268" s="90" t="str">
        <f aca="false">IF($BL268&lt;&gt;Constants!$B$4,"",IF($BB268="-&gt;",$BH268,$AX268))</f>
        <v/>
      </c>
      <c r="BS268" s="86" t="str">
        <f aca="false">IF(ISBLANK($C268),"",IF($BL268&lt;&gt;Constants!$B$4,$BL268,IF(ISNUMBER($BR268),RANK($BR268,$BR$9:$BR$508,0),COUNT($BR$9:$BR$508)+1)))</f>
        <v/>
      </c>
      <c r="BT268" s="90" t="str">
        <f aca="false">IF($BL268&lt;&gt;Constants!$B$4,"",IF($BB268="-&gt;",$BE268,$AU268))</f>
        <v/>
      </c>
      <c r="BU268" s="86" t="str">
        <f aca="false">IF(ISBLANK($C268),"",IF($BL268&lt;&gt;Constants!$B$4,$BL268,IF(ISNUMBER($BT268),RANK($BT268,$BT$9:$BT$508,0),COUNT($BT$9:$BT$508)+1)))</f>
        <v/>
      </c>
      <c r="BV268" s="90" t="str">
        <f aca="false">IF($BL268&lt;&gt;Constants!$B$4,"",IF($BB268="-&gt;",$BF268,$AV268))</f>
        <v/>
      </c>
      <c r="BW268" s="86" t="str">
        <f aca="false">IF(ISBLANK($C268),"",IF($BL268&lt;&gt;Constants!$B$4,$BL268,IF(ISNUMBER($BV268),RANK($BV268,$BV$9:$BV$508,0),COUNT($BV$9:$BV$508)+1)))</f>
        <v/>
      </c>
      <c r="BX268" s="90" t="str">
        <f aca="false">IF($BL268&lt;&gt;Constants!$B$4,"",IF($BB268="-&gt;",$BK268,$BA268))</f>
        <v/>
      </c>
      <c r="BY268" s="86" t="str">
        <f aca="false">IF(ISBLANK($C268),"",IF($BL268&lt;&gt;Constants!$B$4,$BL268,IF(ISNUMBER($BX268),RANK($BX268,$BX$9:$BX$508,0),COUNT($BX$9:$BX$508)+1)))</f>
        <v/>
      </c>
      <c r="BZ268" s="86" t="str">
        <f aca="false">IF(ISBLANK($C268),"",IF($BL268&lt;&gt;Constants!$B$4,$BL268,COUNTIFS($BM$9:$BM$508,"&lt;"&amp;$BM268)+COUNTIFS($BM$9:$BM$508,$BM268,$BP$9:$BP$508,"&lt;"&amp;$BP268)+COUNTIFS($BM$9:$BM$508,$BM268,$BP$9:$BP$508,$BP268,$BS$9:$BS$508,"&lt;"&amp;$BS268)+COUNTIFS($BM$9:$BM$508,$BM268,$BP$9:$BP$508,$BP268,$BS$9:$BS$508,$BS268,$BU$9:$BU$508,"&lt;"&amp;$BU268)+COUNTIFS($BM$9:$BM$508,$BM268,$BP$9:$BP$508,$BP268,$BS$9:$BS$508,$BS268,$BU$9:$BU$508,$BU268,$BW$9:$BW$508,"&lt;"&amp;$BW268)+COUNTIFS($BM$9:$BM$508,$BM268,$BP$9:$BP$508,$BP268,$BS$9:$BS$508,$BS268,$BU$9:$BU$508,$BU268,$BW$9:$BW$508,$BW268,$BY$9:$BY$508,"&lt;"&amp;$BY268)+1))</f>
        <v/>
      </c>
      <c r="CA268" s="86" t="str">
        <f aca="false">IF(ISBLANK($C268),"",IF($BL268&lt;&gt;Constants!$B$4,$BL268,$BQ268-$BZ268))</f>
        <v/>
      </c>
      <c r="CB268" s="93"/>
      <c r="CC268" s="94" t="str">
        <f aca="false">IF(ISBLANK($C268),"",IF($BL268=Constants!$B$8,$AR268,""))</f>
        <v/>
      </c>
      <c r="CD268" s="94" t="str">
        <f aca="false">IF(ISBLANK($C268),"",IF($BL268&lt;&gt;Constants!$B$4,"",IF($BB268="-&gt;",2,1)))</f>
        <v/>
      </c>
      <c r="CE268" s="95" t="str">
        <f aca="false">IF(ISBLANK($C268),"",IF($BL268&lt;&gt;Constants!$B$4,"",IF($BB268="-&gt;",$BE268,$AU268)))</f>
        <v/>
      </c>
      <c r="CF268" s="95" t="str">
        <f aca="false">IF(ISBLANK($C268),"",IF($BL268&lt;&gt;Constants!$B$4,"",IF($BB268="-&gt;",$BF268,$AV268)))</f>
        <v/>
      </c>
      <c r="CG268" s="95" t="str">
        <f aca="false">IF(ISBLANK($C268),"",IF($BL268&lt;&gt;Constants!$B$4,"",IF($BB268="-&gt;",$BG268,$AW268)))</f>
        <v/>
      </c>
      <c r="CH268" s="95" t="str">
        <f aca="false">IF(ISBLANK($C268),"",IF($BL268&lt;&gt;Constants!$B$4,"",IF($BB268="-&gt;",$BH268,$AX268)))</f>
        <v/>
      </c>
      <c r="CI268" s="96" t="str">
        <f aca="false">IF(ISBLANK($C268),"",$BO268)</f>
        <v/>
      </c>
      <c r="CJ268" s="97" t="str">
        <f aca="false">IF(ISBLANK($C268),"",$BM268)</f>
        <v/>
      </c>
      <c r="CK268" s="98" t="str">
        <f aca="false">IF(ISBLANK($C268),"",$CA268)</f>
        <v/>
      </c>
      <c r="CL268" s="98" t="str">
        <f aca="false">IF(ISBLANK($C268),"",$BZ268)</f>
        <v/>
      </c>
      <c r="CM268" s="99" t="str">
        <f aca="false">IF(ISBLANK($C268),"",IF($CL268=Constants!$B$7,COUNTA($C$9:$C$508)+2,IF($CL268=Constants!$B$6,COUNTA($C$9:$C$508)+1,IF($CL268=Constants!$B$5,COUNTA($C$9:$C$508),$CL268))))</f>
        <v/>
      </c>
      <c r="CN268" s="8"/>
      <c r="CO268" s="100" t="n">
        <f aca="false">IF(OR(ISNUMBER($CL268),$CL268=Constants!$B$7,$CL268=Constants!$B$5,$CL268=Constants!$B$6),1,0)</f>
        <v>0</v>
      </c>
      <c r="CP268" s="100" t="n">
        <v>260</v>
      </c>
      <c r="CQ268" s="100" t="str">
        <f aca="false">IF(ISBLANK($C268),"",IF(ISNUMBER($CM268),$CM268+ROW($B268)/1000,""))</f>
        <v/>
      </c>
      <c r="CR268" s="100" t="str">
        <f aca="false">IF(ISNUMBER($CQ268),RANK($CQ268,$CQ$9:$CQ$508,1),"")</f>
        <v/>
      </c>
      <c r="CS268" s="100" t="str">
        <f aca="false">IF(ISBLANK($C268),"",$B268)</f>
        <v/>
      </c>
      <c r="CT268" s="100" t="str">
        <f aca="false">IF(ISBLANK($C268),"",$C268)</f>
        <v/>
      </c>
      <c r="CU268" s="100" t="str">
        <f aca="false">IF(ISBLANK($C268),"",$D268)</f>
        <v/>
      </c>
      <c r="CV268" s="101" t="str">
        <f aca="false">$CJ268</f>
        <v/>
      </c>
      <c r="CW268" s="102" t="str">
        <f aca="false">$CI268</f>
        <v/>
      </c>
      <c r="CX268" s="100" t="str">
        <f aca="false">IF(ISBLANK($C268),"",$CL268)</f>
        <v/>
      </c>
      <c r="CY268" s="103" t="str">
        <f aca="false">IF($CP268&gt;$CO$8,"",VLOOKUP($CP268,$CR$9:$CX$508,7,FALSE()))</f>
        <v/>
      </c>
      <c r="CZ268" s="104" t="str">
        <f aca="false">IF($CP268&gt;$CO$8,"",VLOOKUP($CP268,$CR$9:$CX$508,2,FALSE()))</f>
        <v/>
      </c>
      <c r="DA268" s="104" t="str">
        <f aca="false">IF($CP268&gt;$CO$8,"",VLOOKUP($CP268,$CR$9:$CX$508,3,FALSE()))</f>
        <v/>
      </c>
      <c r="DB268" s="104" t="str">
        <f aca="false">IF($CP268&gt;$CO$8,"",VLOOKUP($CP268,$CR$9:$CX$508,4,FALSE()))</f>
        <v/>
      </c>
      <c r="DC268" s="104" t="str">
        <f aca="false">IF($CP268&gt;$CO$8,"",VLOOKUP($CP268,$CR$9:$CX$508,5,FALSE()))</f>
        <v/>
      </c>
      <c r="DD268" s="105" t="str">
        <f aca="false">IF($CP268&gt;$CO$8,"",VLOOKUP($CP268,$CR$9:$CX$508,6,FALSE()))</f>
        <v/>
      </c>
      <c r="DE268" s="70"/>
    </row>
    <row r="269" customFormat="false" ht="15.75" hidden="false" customHeight="false" outlineLevel="0" collapsed="false">
      <c r="A269" s="8"/>
      <c r="B269" s="72"/>
      <c r="C269" s="73"/>
      <c r="D269" s="155"/>
      <c r="E269" s="162"/>
      <c r="F269" s="157"/>
      <c r="G269" s="77"/>
      <c r="H269" s="77"/>
      <c r="I269" s="77"/>
      <c r="J269" s="163"/>
      <c r="K269" s="161"/>
      <c r="L269" s="161"/>
      <c r="M269" s="80"/>
      <c r="N269" s="161"/>
      <c r="O269" s="160"/>
      <c r="P269" s="161"/>
      <c r="Q269" s="161"/>
      <c r="R269" s="161"/>
      <c r="S269" s="77"/>
      <c r="T269" s="161"/>
      <c r="U269" s="160"/>
      <c r="V269" s="161"/>
      <c r="W269" s="85"/>
      <c r="X269" s="86" t="str">
        <f aca="false">IF(ISBLANK($C269),"",IF($E269=Constants!$B$2,TRUE(),IF($E269=Constants!$B$3,FALSE(),TRUE())))</f>
        <v/>
      </c>
      <c r="Y269" s="86" t="str">
        <f aca="false">IF(ISBLANK($C269),"",IF($F269=Constants!$B$2,TRUE(),IF($F269=Constants!$B$3,FALSE(),TRUE())))</f>
        <v/>
      </c>
      <c r="Z269" s="87" t="str">
        <f aca="false">IF(ISBLANK($C269),"",IF(ISNUMBER($G269),IF($G269&gt;=0,$G269,""),""))</f>
        <v/>
      </c>
      <c r="AA269" s="87" t="str">
        <f aca="false">IF(ISBLANK($C269),"",IF(ISNUMBER($H269),IF($H269&gt;=0,$H269,""),""))</f>
        <v/>
      </c>
      <c r="AB269" s="87" t="str">
        <f aca="false">IF(ISBLANK($C269),"",IF(ISNUMBER($I269),IF($I269&gt;=0,$I269,""),""))</f>
        <v/>
      </c>
      <c r="AC269" s="86" t="str">
        <f aca="false">IF(ISBLANK($C269),"",IF($J269=Constants!$B$2,TRUE(),IF($J269=Constants!$B$3,FALSE(),TRUE())))</f>
        <v/>
      </c>
      <c r="AD269" s="86" t="str">
        <f aca="false">IF(ISBLANK($C269),"",IF($K269=Constants!$B$2,TRUE(),IF($K269=Constants!$B$3,FALSE(),TRUE())))</f>
        <v/>
      </c>
      <c r="AE269" s="86" t="str">
        <f aca="false">IF(ISBLANK($C269),"",IF($L269=Constants!$B$2,TRUE(),IF($L269=Constants!$B$3,FALSE(),TRUE())))</f>
        <v/>
      </c>
      <c r="AF269" s="88" t="str">
        <f aca="false">IF(ISBLANK($C269),"",IF(ISNUMBER($M269),IF($M269&gt;=0,$M269,""),""))</f>
        <v/>
      </c>
      <c r="AG269" s="86" t="str">
        <f aca="false">IF(ISBLANK($C269),"",IF(ISBLANK($N269),0,IF(ISNUMBER($N269),IF(AND($N269&gt;=0,$N269&lt;=Constants!$B$17,$N269=INT($N269)),$N269,""),"")))</f>
        <v/>
      </c>
      <c r="AH269" s="87" t="str">
        <f aca="false">IF(ISBLANK($C269),"",IF(ISBLANK($O269),0,IF(ISNUMBER($O269),IF($O269&gt;=0,$O269,""),"")))</f>
        <v/>
      </c>
      <c r="AI269" s="86" t="str">
        <f aca="false">IF(ISBLANK($C269),"",IF($P269=Constants!$B$2,TRUE(),IF($P269=Constants!$B$3,FALSE(),TRUE())))</f>
        <v/>
      </c>
      <c r="AJ269" s="86" t="str">
        <f aca="false">IF(ISBLANK($C269),"",IF($Q269=Constants!$B$2,TRUE(),IF($Q269=Constants!$B$3,FALSE(),TRUE())))</f>
        <v/>
      </c>
      <c r="AK269" s="86" t="str">
        <f aca="false">IF(ISBLANK($C269),"",IF($R269=Constants!$B$2,TRUE(),IF($R269=Constants!$B$3,FALSE(),TRUE())))</f>
        <v/>
      </c>
      <c r="AL269" s="88" t="str">
        <f aca="false">IF(ISBLANK($C269),"",IF(ISNUMBER($S269),IF($S269&gt;=0,$S269,""),""))</f>
        <v/>
      </c>
      <c r="AM269" s="86" t="str">
        <f aca="false">IF(ISBLANK($C269),"",IF(ISBLANK($T269),0,IF(ISNUMBER($T269),IF(AND($T269&gt;=0,$T269&lt;=Constants!$B$17,$T269=INT($T269)),$T269,""),"")))</f>
        <v/>
      </c>
      <c r="AN269" s="87" t="str">
        <f aca="false">IF(ISBLANK($C269),"",IF(ISBLANK($U269),0,IF(ISNUMBER($U269),IF($U269&gt;=0,$U269,""),"")))</f>
        <v/>
      </c>
      <c r="AO269" s="86" t="str">
        <f aca="false">IF(ISBLANK($C269),"",IF($V269=Constants!$B$2,TRUE(),IF($V269=Constants!$B$3,FALSE(),FALSE())))</f>
        <v/>
      </c>
      <c r="AP269" s="86"/>
      <c r="AQ269" s="85" t="str">
        <f aca="false">IF(ISBLANK($C269),"",AND($Y269,OR($AS269,$BC269),OR($Z269="",$AA269="",$AB269="")))</f>
        <v/>
      </c>
      <c r="AR269" s="85" t="str">
        <f aca="false">IF(ISBLANK($C269),"",IF(OR(NOT($Y269),NOT(OR($AS269,$BC269))),"",IF(ISBLANK($D$7),$AR$5,IF($AP$9="",$AR$6,""))))</f>
        <v/>
      </c>
      <c r="AS269" s="85" t="str">
        <f aca="false">IF(ISBLANK($C269),"",COUNTA($J269:$O269)&gt;0)</f>
        <v/>
      </c>
      <c r="AT269" s="85" t="str">
        <f aca="false">IF(ISBLANK($C269),"",AND($AS269,OR(AND($AF269="",OR($AE269,NOT(ISBLANK($M269)))),$AG269="",$AH269="")))</f>
        <v/>
      </c>
      <c r="AU269" s="87" t="str">
        <f aca="false">IF($BL269&lt;&gt;Constants!$B$4,"",IF(NOT($AS269),"",ROUND((Constants!$B$12-$AB269)+(Constants!$B$13-$Z269)+(Constants!$B$14-$AA269),1)))</f>
        <v/>
      </c>
      <c r="AV269" s="90" t="str">
        <f aca="false">IF($BL269&lt;&gt;Constants!$B$4,"",IF(NOT($AS269),"",IF(NOT($AE269),0,Constants!$B$15*(INT(ROUND(MIN($AF269,$AP$9),6))-INT(ROUND(MAX(0,MIN($AF269,2*$AP$9)-$AP$9),6))))))</f>
        <v/>
      </c>
      <c r="AW269" s="90" t="str">
        <f aca="false">IF($BL269&lt;&gt;Constants!$B$4,"",IF(NOT($AS269),"",Constants!$B$16*$AG269))</f>
        <v/>
      </c>
      <c r="AX269" s="90" t="str">
        <f aca="false">IF($BL269&lt;&gt;Constants!$B$4,"",IF(NOT($AS269),"",Constants!$B$18*INT(ROUND($AH269,6))))</f>
        <v/>
      </c>
      <c r="AY269" s="85" t="str">
        <f aca="false">IF($BL269&lt;&gt;Constants!$B$4,"",IF(NOT($AS269),"",IF(NOT($X269),Constants!$B$11,IF(OR(NOT($AC269),NOT($AD269),ROUND($AB269,1)&gt;Constants!$B$12,ROUND($Z269,1)&gt;Constants!$B$13,ROUND($AA269,1)&gt;Constants!$B$14),Constants!$B$10,Constants!$B$9))))</f>
        <v/>
      </c>
      <c r="AZ269" s="91" t="str">
        <f aca="false">IF($BL269&lt;&gt;Constants!$B$4,"",IF(NOT($AS269),"",ROUND($AU269+$AV269+$AW269+$AX269,1)))</f>
        <v/>
      </c>
      <c r="BA269" s="92" t="str">
        <f aca="false">IF($BL269&lt;&gt;Constants!$B$4,"",IF(NOT($AS269),"",IF(ISNUMBER($AF269),$AF269,0)))</f>
        <v/>
      </c>
      <c r="BB269" s="86" t="str">
        <f aca="false">IF($BL269&lt;&gt;Constants!$B$4,"",IF(NOT($BC269),"&lt;-",IF(NOT($AS269),"-&gt;",IF(OR($BI269&lt;$AY269,AND($BI269=$AY269,OR($BJ269&gt;$AZ269,AND($BJ269=$AZ269,OR($BH269&gt;$AX269,AND($BH269=$AX269,OR($BE269&gt;$AU269,AND($BE269=$AU269,OR($BF269&gt;$AV269,AND($BF269=$AV269,$BK269&gt;$BA269)))))))))),"-&gt;","&lt;-"))))</f>
        <v/>
      </c>
      <c r="BC269" s="85" t="str">
        <f aca="false">IF(ISBLANK($C269),"",COUNTA($P269:$U269)&gt;0)</f>
        <v/>
      </c>
      <c r="BD269" s="85" t="str">
        <f aca="false">IF(ISBLANK($C269),"",AND($BC269,OR(AND($AL269="",OR($AK269,NOT(ISBLANK($S269)))),$AM269="",$AN269="")))</f>
        <v/>
      </c>
      <c r="BE269" s="87" t="str">
        <f aca="false">IF($BL269&lt;&gt;Constants!$B$4,"",IF(NOT($BC269),"",ROUND((Constants!$B$12-$AB269)+(Constants!$B$13-$Z269)+(Constants!$B$14-$AA269),1)))</f>
        <v/>
      </c>
      <c r="BF269" s="90" t="str">
        <f aca="false">IF($BL269&lt;&gt;Constants!$B$4,"",IF(NOT($BC269),"",IF(NOT($AK269),0,Constants!$B$15*(INT(ROUND(MIN($AL269,$AP$9),6))-INT(ROUND(MAX(0,MIN($AL269,2*$AP$9)-$AP$9),6))))))</f>
        <v/>
      </c>
      <c r="BG269" s="90" t="str">
        <f aca="false">IF($BL269&lt;&gt;Constants!$B$4,"",IF(NOT($BC269),"",Constants!$B$16*$AM269))</f>
        <v/>
      </c>
      <c r="BH269" s="90" t="str">
        <f aca="false">IF($BL269&lt;&gt;Constants!$B$4,"",IF(NOT($BC269),"",Constants!$B$18*INT(ROUND($AN269,6))))</f>
        <v/>
      </c>
      <c r="BI269" s="85" t="str">
        <f aca="false">IF($BL269&lt;&gt;Constants!$B$4,"",IF(NOT($BC269),"",IF(NOT($X269),Constants!$B$11,IF(OR(NOT($AI269),NOT($AJ269),ROUND($AB269,1)&gt;Constants!$B$12,ROUND($Z269,1)&gt;Constants!$B$13,ROUND($AA269,1)&gt;Constants!$B$14),Constants!$B$10,Constants!$B$9))))</f>
        <v/>
      </c>
      <c r="BJ269" s="91" t="str">
        <f aca="false">IF($BL269&lt;&gt;Constants!$B$4,"",IF(NOT($BC269),"",ROUND($BE269+$BF269+$BG269+$BH269,1)))</f>
        <v/>
      </c>
      <c r="BK269" s="92" t="str">
        <f aca="false">IF($BL269&lt;&gt;Constants!$B$4,"",IF(NOT($BC269),"",IF(ISNUMBER($AL269),$AL269,0)))</f>
        <v/>
      </c>
      <c r="BL269" s="86" t="str">
        <f aca="false">IF(ISBLANK($C269),"",IF($AO269,Constants!$B$7,IF(COUNTA($E269:$V269)=0,Constants!$B$6,IF(NOT($Y269),Constants!$B$5,IF(NOT(OR($AS269,$BC269)),Constants!$B$5,IF(OR($AT269,$BD269,$AQ269,$AR269&lt;&gt;""),Constants!$B$8,Constants!$B$4))))))</f>
        <v/>
      </c>
      <c r="BM269" s="86" t="str">
        <f aca="false">IF(ISBLANK($C269),"",IF($BL269&lt;&gt;Constants!$B$4,$BL269,IF($BB269="-&gt;",$BI269,$AY269)))</f>
        <v/>
      </c>
      <c r="BN269" s="90" t="str">
        <f aca="false">IF($BL269&lt;&gt;Constants!$B$4,"",IF($BB269="-&gt;",$BJ269,$AZ269))</f>
        <v/>
      </c>
      <c r="BO269" s="90" t="str">
        <f aca="false">IF(ISBLANK($C269),"",IF($BL269&lt;&gt;Constants!$B$4,$BL269,$BN269))</f>
        <v/>
      </c>
      <c r="BP269" s="86" t="str">
        <f aca="false">IF(ISBLANK($C269),"",IF($BL269&lt;&gt;Constants!$B$4,$BL269,RANK($BO269,$BO$9:$BO$508,0)))</f>
        <v/>
      </c>
      <c r="BQ269" s="86" t="str">
        <f aca="false">IF(ISBLANK($C269),"",IF($BL269&lt;&gt;Constants!$B$4,$BL269,COUNTIFS($BM$9:$BM$508,"&lt;"&amp;$BM269)+COUNTIFS($BM$9:$BM$508,$BM269,$BP$9:$BP$508,"&lt;"&amp;$BP269)+1))</f>
        <v/>
      </c>
      <c r="BR269" s="90" t="str">
        <f aca="false">IF($BL269&lt;&gt;Constants!$B$4,"",IF($BB269="-&gt;",$BH269,$AX269))</f>
        <v/>
      </c>
      <c r="BS269" s="86" t="str">
        <f aca="false">IF(ISBLANK($C269),"",IF($BL269&lt;&gt;Constants!$B$4,$BL269,IF(ISNUMBER($BR269),RANK($BR269,$BR$9:$BR$508,0),COUNT($BR$9:$BR$508)+1)))</f>
        <v/>
      </c>
      <c r="BT269" s="90" t="str">
        <f aca="false">IF($BL269&lt;&gt;Constants!$B$4,"",IF($BB269="-&gt;",$BE269,$AU269))</f>
        <v/>
      </c>
      <c r="BU269" s="86" t="str">
        <f aca="false">IF(ISBLANK($C269),"",IF($BL269&lt;&gt;Constants!$B$4,$BL269,IF(ISNUMBER($BT269),RANK($BT269,$BT$9:$BT$508,0),COUNT($BT$9:$BT$508)+1)))</f>
        <v/>
      </c>
      <c r="BV269" s="90" t="str">
        <f aca="false">IF($BL269&lt;&gt;Constants!$B$4,"",IF($BB269="-&gt;",$BF269,$AV269))</f>
        <v/>
      </c>
      <c r="BW269" s="86" t="str">
        <f aca="false">IF(ISBLANK($C269),"",IF($BL269&lt;&gt;Constants!$B$4,$BL269,IF(ISNUMBER($BV269),RANK($BV269,$BV$9:$BV$508,0),COUNT($BV$9:$BV$508)+1)))</f>
        <v/>
      </c>
      <c r="BX269" s="90" t="str">
        <f aca="false">IF($BL269&lt;&gt;Constants!$B$4,"",IF($BB269="-&gt;",$BK269,$BA269))</f>
        <v/>
      </c>
      <c r="BY269" s="86" t="str">
        <f aca="false">IF(ISBLANK($C269),"",IF($BL269&lt;&gt;Constants!$B$4,$BL269,IF(ISNUMBER($BX269),RANK($BX269,$BX$9:$BX$508,0),COUNT($BX$9:$BX$508)+1)))</f>
        <v/>
      </c>
      <c r="BZ269" s="86" t="str">
        <f aca="false">IF(ISBLANK($C269),"",IF($BL269&lt;&gt;Constants!$B$4,$BL269,COUNTIFS($BM$9:$BM$508,"&lt;"&amp;$BM269)+COUNTIFS($BM$9:$BM$508,$BM269,$BP$9:$BP$508,"&lt;"&amp;$BP269)+COUNTIFS($BM$9:$BM$508,$BM269,$BP$9:$BP$508,$BP269,$BS$9:$BS$508,"&lt;"&amp;$BS269)+COUNTIFS($BM$9:$BM$508,$BM269,$BP$9:$BP$508,$BP269,$BS$9:$BS$508,$BS269,$BU$9:$BU$508,"&lt;"&amp;$BU269)+COUNTIFS($BM$9:$BM$508,$BM269,$BP$9:$BP$508,$BP269,$BS$9:$BS$508,$BS269,$BU$9:$BU$508,$BU269,$BW$9:$BW$508,"&lt;"&amp;$BW269)+COUNTIFS($BM$9:$BM$508,$BM269,$BP$9:$BP$508,$BP269,$BS$9:$BS$508,$BS269,$BU$9:$BU$508,$BU269,$BW$9:$BW$508,$BW269,$BY$9:$BY$508,"&lt;"&amp;$BY269)+1))</f>
        <v/>
      </c>
      <c r="CA269" s="86" t="str">
        <f aca="false">IF(ISBLANK($C269),"",IF($BL269&lt;&gt;Constants!$B$4,$BL269,$BQ269-$BZ269))</f>
        <v/>
      </c>
      <c r="CB269" s="93"/>
      <c r="CC269" s="94" t="str">
        <f aca="false">IF(ISBLANK($C269),"",IF($BL269=Constants!$B$8,$AR269,""))</f>
        <v/>
      </c>
      <c r="CD269" s="94" t="str">
        <f aca="false">IF(ISBLANK($C269),"",IF($BL269&lt;&gt;Constants!$B$4,"",IF($BB269="-&gt;",2,1)))</f>
        <v/>
      </c>
      <c r="CE269" s="95" t="str">
        <f aca="false">IF(ISBLANK($C269),"",IF($BL269&lt;&gt;Constants!$B$4,"",IF($BB269="-&gt;",$BE269,$AU269)))</f>
        <v/>
      </c>
      <c r="CF269" s="95" t="str">
        <f aca="false">IF(ISBLANK($C269),"",IF($BL269&lt;&gt;Constants!$B$4,"",IF($BB269="-&gt;",$BF269,$AV269)))</f>
        <v/>
      </c>
      <c r="CG269" s="95" t="str">
        <f aca="false">IF(ISBLANK($C269),"",IF($BL269&lt;&gt;Constants!$B$4,"",IF($BB269="-&gt;",$BG269,$AW269)))</f>
        <v/>
      </c>
      <c r="CH269" s="95" t="str">
        <f aca="false">IF(ISBLANK($C269),"",IF($BL269&lt;&gt;Constants!$B$4,"",IF($BB269="-&gt;",$BH269,$AX269)))</f>
        <v/>
      </c>
      <c r="CI269" s="96" t="str">
        <f aca="false">IF(ISBLANK($C269),"",$BO269)</f>
        <v/>
      </c>
      <c r="CJ269" s="97" t="str">
        <f aca="false">IF(ISBLANK($C269),"",$BM269)</f>
        <v/>
      </c>
      <c r="CK269" s="98" t="str">
        <f aca="false">IF(ISBLANK($C269),"",$CA269)</f>
        <v/>
      </c>
      <c r="CL269" s="98" t="str">
        <f aca="false">IF(ISBLANK($C269),"",$BZ269)</f>
        <v/>
      </c>
      <c r="CM269" s="99" t="str">
        <f aca="false">IF(ISBLANK($C269),"",IF($CL269=Constants!$B$7,COUNTA($C$9:$C$508)+2,IF($CL269=Constants!$B$6,COUNTA($C$9:$C$508)+1,IF($CL269=Constants!$B$5,COUNTA($C$9:$C$508),$CL269))))</f>
        <v/>
      </c>
      <c r="CN269" s="8"/>
      <c r="CO269" s="100" t="n">
        <f aca="false">IF(OR(ISNUMBER($CL269),$CL269=Constants!$B$7,$CL269=Constants!$B$5,$CL269=Constants!$B$6),1,0)</f>
        <v>0</v>
      </c>
      <c r="CP269" s="100" t="n">
        <v>261</v>
      </c>
      <c r="CQ269" s="100" t="str">
        <f aca="false">IF(ISBLANK($C269),"",IF(ISNUMBER($CM269),$CM269+ROW($B269)/1000,""))</f>
        <v/>
      </c>
      <c r="CR269" s="100" t="str">
        <f aca="false">IF(ISNUMBER($CQ269),RANK($CQ269,$CQ$9:$CQ$508,1),"")</f>
        <v/>
      </c>
      <c r="CS269" s="100" t="str">
        <f aca="false">IF(ISBLANK($C269),"",$B269)</f>
        <v/>
      </c>
      <c r="CT269" s="100" t="str">
        <f aca="false">IF(ISBLANK($C269),"",$C269)</f>
        <v/>
      </c>
      <c r="CU269" s="100" t="str">
        <f aca="false">IF(ISBLANK($C269),"",$D269)</f>
        <v/>
      </c>
      <c r="CV269" s="101" t="str">
        <f aca="false">$CJ269</f>
        <v/>
      </c>
      <c r="CW269" s="102" t="str">
        <f aca="false">$CI269</f>
        <v/>
      </c>
      <c r="CX269" s="100" t="str">
        <f aca="false">IF(ISBLANK($C269),"",$CL269)</f>
        <v/>
      </c>
      <c r="CY269" s="103" t="str">
        <f aca="false">IF($CP269&gt;$CO$8,"",VLOOKUP($CP269,$CR$9:$CX$508,7,FALSE()))</f>
        <v/>
      </c>
      <c r="CZ269" s="104" t="str">
        <f aca="false">IF($CP269&gt;$CO$8,"",VLOOKUP($CP269,$CR$9:$CX$508,2,FALSE()))</f>
        <v/>
      </c>
      <c r="DA269" s="104" t="str">
        <f aca="false">IF($CP269&gt;$CO$8,"",VLOOKUP($CP269,$CR$9:$CX$508,3,FALSE()))</f>
        <v/>
      </c>
      <c r="DB269" s="104" t="str">
        <f aca="false">IF($CP269&gt;$CO$8,"",VLOOKUP($CP269,$CR$9:$CX$508,4,FALSE()))</f>
        <v/>
      </c>
      <c r="DC269" s="104" t="str">
        <f aca="false">IF($CP269&gt;$CO$8,"",VLOOKUP($CP269,$CR$9:$CX$508,5,FALSE()))</f>
        <v/>
      </c>
      <c r="DD269" s="105" t="str">
        <f aca="false">IF($CP269&gt;$CO$8,"",VLOOKUP($CP269,$CR$9:$CX$508,6,FALSE()))</f>
        <v/>
      </c>
      <c r="DE269" s="70"/>
    </row>
    <row r="270" customFormat="false" ht="15.75" hidden="false" customHeight="false" outlineLevel="0" collapsed="false">
      <c r="A270" s="8"/>
      <c r="B270" s="146"/>
      <c r="C270" s="147"/>
      <c r="D270" s="148"/>
      <c r="E270" s="164"/>
      <c r="F270" s="150"/>
      <c r="G270" s="115"/>
      <c r="H270" s="115"/>
      <c r="I270" s="115"/>
      <c r="J270" s="165"/>
      <c r="K270" s="154"/>
      <c r="L270" s="154"/>
      <c r="M270" s="118"/>
      <c r="N270" s="154"/>
      <c r="O270" s="153"/>
      <c r="P270" s="154"/>
      <c r="Q270" s="154"/>
      <c r="R270" s="154"/>
      <c r="S270" s="115"/>
      <c r="T270" s="154"/>
      <c r="U270" s="153"/>
      <c r="V270" s="154"/>
      <c r="W270" s="123"/>
      <c r="X270" s="124" t="str">
        <f aca="false">IF(ISBLANK($C270),"",IF($E270=Constants!$B$2,TRUE(),IF($E270=Constants!$B$3,FALSE(),TRUE())))</f>
        <v/>
      </c>
      <c r="Y270" s="124" t="str">
        <f aca="false">IF(ISBLANK($C270),"",IF($F270=Constants!$B$2,TRUE(),IF($F270=Constants!$B$3,FALSE(),TRUE())))</f>
        <v/>
      </c>
      <c r="Z270" s="125" t="str">
        <f aca="false">IF(ISBLANK($C270),"",IF(ISNUMBER($G270),IF($G270&gt;=0,$G270,""),""))</f>
        <v/>
      </c>
      <c r="AA270" s="125" t="str">
        <f aca="false">IF(ISBLANK($C270),"",IF(ISNUMBER($H270),IF($H270&gt;=0,$H270,""),""))</f>
        <v/>
      </c>
      <c r="AB270" s="125" t="str">
        <f aca="false">IF(ISBLANK($C270),"",IF(ISNUMBER($I270),IF($I270&gt;=0,$I270,""),""))</f>
        <v/>
      </c>
      <c r="AC270" s="124" t="str">
        <f aca="false">IF(ISBLANK($C270),"",IF($J270=Constants!$B$2,TRUE(),IF($J270=Constants!$B$3,FALSE(),TRUE())))</f>
        <v/>
      </c>
      <c r="AD270" s="124" t="str">
        <f aca="false">IF(ISBLANK($C270),"",IF($K270=Constants!$B$2,TRUE(),IF($K270=Constants!$B$3,FALSE(),TRUE())))</f>
        <v/>
      </c>
      <c r="AE270" s="124" t="str">
        <f aca="false">IF(ISBLANK($C270),"",IF($L270=Constants!$B$2,TRUE(),IF($L270=Constants!$B$3,FALSE(),TRUE())))</f>
        <v/>
      </c>
      <c r="AF270" s="126" t="str">
        <f aca="false">IF(ISBLANK($C270),"",IF(ISNUMBER($M270),IF($M270&gt;=0,$M270,""),""))</f>
        <v/>
      </c>
      <c r="AG270" s="124" t="str">
        <f aca="false">IF(ISBLANK($C270),"",IF(ISBLANK($N270),0,IF(ISNUMBER($N270),IF(AND($N270&gt;=0,$N270&lt;=Constants!$B$17,$N270=INT($N270)),$N270,""),"")))</f>
        <v/>
      </c>
      <c r="AH270" s="125" t="str">
        <f aca="false">IF(ISBLANK($C270),"",IF(ISBLANK($O270),0,IF(ISNUMBER($O270),IF($O270&gt;=0,$O270,""),"")))</f>
        <v/>
      </c>
      <c r="AI270" s="124" t="str">
        <f aca="false">IF(ISBLANK($C270),"",IF($P270=Constants!$B$2,TRUE(),IF($P270=Constants!$B$3,FALSE(),TRUE())))</f>
        <v/>
      </c>
      <c r="AJ270" s="124" t="str">
        <f aca="false">IF(ISBLANK($C270),"",IF($Q270=Constants!$B$2,TRUE(),IF($Q270=Constants!$B$3,FALSE(),TRUE())))</f>
        <v/>
      </c>
      <c r="AK270" s="124" t="str">
        <f aca="false">IF(ISBLANK($C270),"",IF($R270=Constants!$B$2,TRUE(),IF($R270=Constants!$B$3,FALSE(),TRUE())))</f>
        <v/>
      </c>
      <c r="AL270" s="126" t="str">
        <f aca="false">IF(ISBLANK($C270),"",IF(ISNUMBER($S270),IF($S270&gt;=0,$S270,""),""))</f>
        <v/>
      </c>
      <c r="AM270" s="124" t="str">
        <f aca="false">IF(ISBLANK($C270),"",IF(ISBLANK($T270),0,IF(ISNUMBER($T270),IF(AND($T270&gt;=0,$T270&lt;=Constants!$B$17,$T270=INT($T270)),$T270,""),"")))</f>
        <v/>
      </c>
      <c r="AN270" s="125" t="str">
        <f aca="false">IF(ISBLANK($C270),"",IF(ISBLANK($U270),0,IF(ISNUMBER($U270),IF($U270&gt;=0,$U270,""),"")))</f>
        <v/>
      </c>
      <c r="AO270" s="124" t="str">
        <f aca="false">IF(ISBLANK($C270),"",IF($V270=Constants!$B$2,TRUE(),IF($V270=Constants!$B$3,FALSE(),FALSE())))</f>
        <v/>
      </c>
      <c r="AP270" s="124"/>
      <c r="AQ270" s="123" t="str">
        <f aca="false">IF(ISBLANK($C270),"",AND($Y270,OR($AS270,$BC270),OR($Z270="",$AA270="",$AB270="")))</f>
        <v/>
      </c>
      <c r="AR270" s="123" t="str">
        <f aca="false">IF(ISBLANK($C270),"",IF(OR(NOT($Y270),NOT(OR($AS270,$BC270))),"",IF(ISBLANK($D$7),$AR$5,IF($AP$9="",$AR$6,""))))</f>
        <v/>
      </c>
      <c r="AS270" s="123" t="str">
        <f aca="false">IF(ISBLANK($C270),"",COUNTA($J270:$O270)&gt;0)</f>
        <v/>
      </c>
      <c r="AT270" s="123" t="str">
        <f aca="false">IF(ISBLANK($C270),"",AND($AS270,OR(AND($AF270="",OR($AE270,NOT(ISBLANK($M270)))),$AG270="",$AH270="")))</f>
        <v/>
      </c>
      <c r="AU270" s="125" t="str">
        <f aca="false">IF($BL270&lt;&gt;Constants!$B$4,"",IF(NOT($AS270),"",ROUND((Constants!$B$12-$AB270)+(Constants!$B$13-$Z270)+(Constants!$B$14-$AA270),1)))</f>
        <v/>
      </c>
      <c r="AV270" s="127" t="str">
        <f aca="false">IF($BL270&lt;&gt;Constants!$B$4,"",IF(NOT($AS270),"",IF(NOT($AE270),0,Constants!$B$15*(INT(ROUND(MIN($AF270,$AP$9),6))-INT(ROUND(MAX(0,MIN($AF270,2*$AP$9)-$AP$9),6))))))</f>
        <v/>
      </c>
      <c r="AW270" s="127" t="str">
        <f aca="false">IF($BL270&lt;&gt;Constants!$B$4,"",IF(NOT($AS270),"",Constants!$B$16*$AG270))</f>
        <v/>
      </c>
      <c r="AX270" s="127" t="str">
        <f aca="false">IF($BL270&lt;&gt;Constants!$B$4,"",IF(NOT($AS270),"",Constants!$B$18*INT(ROUND($AH270,6))))</f>
        <v/>
      </c>
      <c r="AY270" s="123" t="str">
        <f aca="false">IF($BL270&lt;&gt;Constants!$B$4,"",IF(NOT($AS270),"",IF(NOT($X270),Constants!$B$11,IF(OR(NOT($AC270),NOT($AD270),ROUND($AB270,1)&gt;Constants!$B$12,ROUND($Z270,1)&gt;Constants!$B$13,ROUND($AA270,1)&gt;Constants!$B$14),Constants!$B$10,Constants!$B$9))))</f>
        <v/>
      </c>
      <c r="AZ270" s="128" t="str">
        <f aca="false">IF($BL270&lt;&gt;Constants!$B$4,"",IF(NOT($AS270),"",ROUND($AU270+$AV270+$AW270+$AX270,1)))</f>
        <v/>
      </c>
      <c r="BA270" s="129" t="str">
        <f aca="false">IF($BL270&lt;&gt;Constants!$B$4,"",IF(NOT($AS270),"",IF(ISNUMBER($AF270),$AF270,0)))</f>
        <v/>
      </c>
      <c r="BB270" s="124" t="str">
        <f aca="false">IF($BL270&lt;&gt;Constants!$B$4,"",IF(NOT($BC270),"&lt;-",IF(NOT($AS270),"-&gt;",IF(OR($BI270&lt;$AY270,AND($BI270=$AY270,OR($BJ270&gt;$AZ270,AND($BJ270=$AZ270,OR($BH270&gt;$AX270,AND($BH270=$AX270,OR($BE270&gt;$AU270,AND($BE270=$AU270,OR($BF270&gt;$AV270,AND($BF270=$AV270,$BK270&gt;$BA270)))))))))),"-&gt;","&lt;-"))))</f>
        <v/>
      </c>
      <c r="BC270" s="123" t="str">
        <f aca="false">IF(ISBLANK($C270),"",COUNTA($P270:$U270)&gt;0)</f>
        <v/>
      </c>
      <c r="BD270" s="123" t="str">
        <f aca="false">IF(ISBLANK($C270),"",AND($BC270,OR(AND($AL270="",OR($AK270,NOT(ISBLANK($S270)))),$AM270="",$AN270="")))</f>
        <v/>
      </c>
      <c r="BE270" s="125" t="str">
        <f aca="false">IF($BL270&lt;&gt;Constants!$B$4,"",IF(NOT($BC270),"",ROUND((Constants!$B$12-$AB270)+(Constants!$B$13-$Z270)+(Constants!$B$14-$AA270),1)))</f>
        <v/>
      </c>
      <c r="BF270" s="127" t="str">
        <f aca="false">IF($BL270&lt;&gt;Constants!$B$4,"",IF(NOT($BC270),"",IF(NOT($AK270),0,Constants!$B$15*(INT(ROUND(MIN($AL270,$AP$9),6))-INT(ROUND(MAX(0,MIN($AL270,2*$AP$9)-$AP$9),6))))))</f>
        <v/>
      </c>
      <c r="BG270" s="127" t="str">
        <f aca="false">IF($BL270&lt;&gt;Constants!$B$4,"",IF(NOT($BC270),"",Constants!$B$16*$AM270))</f>
        <v/>
      </c>
      <c r="BH270" s="127" t="str">
        <f aca="false">IF($BL270&lt;&gt;Constants!$B$4,"",IF(NOT($BC270),"",Constants!$B$18*INT(ROUND($AN270,6))))</f>
        <v/>
      </c>
      <c r="BI270" s="123" t="str">
        <f aca="false">IF($BL270&lt;&gt;Constants!$B$4,"",IF(NOT($BC270),"",IF(NOT($X270),Constants!$B$11,IF(OR(NOT($AI270),NOT($AJ270),ROUND($AB270,1)&gt;Constants!$B$12,ROUND($Z270,1)&gt;Constants!$B$13,ROUND($AA270,1)&gt;Constants!$B$14),Constants!$B$10,Constants!$B$9))))</f>
        <v/>
      </c>
      <c r="BJ270" s="128" t="str">
        <f aca="false">IF($BL270&lt;&gt;Constants!$B$4,"",IF(NOT($BC270),"",ROUND($BE270+$BF270+$BG270+$BH270,1)))</f>
        <v/>
      </c>
      <c r="BK270" s="129" t="str">
        <f aca="false">IF($BL270&lt;&gt;Constants!$B$4,"",IF(NOT($BC270),"",IF(ISNUMBER($AL270),$AL270,0)))</f>
        <v/>
      </c>
      <c r="BL270" s="124" t="str">
        <f aca="false">IF(ISBLANK($C270),"",IF($AO270,Constants!$B$7,IF(COUNTA($E270:$V270)=0,Constants!$B$6,IF(NOT($Y270),Constants!$B$5,IF(NOT(OR($AS270,$BC270)),Constants!$B$5,IF(OR($AT270,$BD270,$AQ270,$AR270&lt;&gt;""),Constants!$B$8,Constants!$B$4))))))</f>
        <v/>
      </c>
      <c r="BM270" s="124" t="str">
        <f aca="false">IF(ISBLANK($C270),"",IF($BL270&lt;&gt;Constants!$B$4,$BL270,IF($BB270="-&gt;",$BI270,$AY270)))</f>
        <v/>
      </c>
      <c r="BN270" s="127" t="str">
        <f aca="false">IF($BL270&lt;&gt;Constants!$B$4,"",IF($BB270="-&gt;",$BJ270,$AZ270))</f>
        <v/>
      </c>
      <c r="BO270" s="127" t="str">
        <f aca="false">IF(ISBLANK($C270),"",IF($BL270&lt;&gt;Constants!$B$4,$BL270,$BN270))</f>
        <v/>
      </c>
      <c r="BP270" s="124" t="str">
        <f aca="false">IF(ISBLANK($C270),"",IF($BL270&lt;&gt;Constants!$B$4,$BL270,RANK($BO270,$BO$9:$BO$508,0)))</f>
        <v/>
      </c>
      <c r="BQ270" s="124" t="str">
        <f aca="false">IF(ISBLANK($C270),"",IF($BL270&lt;&gt;Constants!$B$4,$BL270,COUNTIFS($BM$9:$BM$508,"&lt;"&amp;$BM270)+COUNTIFS($BM$9:$BM$508,$BM270,$BP$9:$BP$508,"&lt;"&amp;$BP270)+1))</f>
        <v/>
      </c>
      <c r="BR270" s="127" t="str">
        <f aca="false">IF($BL270&lt;&gt;Constants!$B$4,"",IF($BB270="-&gt;",$BH270,$AX270))</f>
        <v/>
      </c>
      <c r="BS270" s="124" t="str">
        <f aca="false">IF(ISBLANK($C270),"",IF($BL270&lt;&gt;Constants!$B$4,$BL270,IF(ISNUMBER($BR270),RANK($BR270,$BR$9:$BR$508,0),COUNT($BR$9:$BR$508)+1)))</f>
        <v/>
      </c>
      <c r="BT270" s="127" t="str">
        <f aca="false">IF($BL270&lt;&gt;Constants!$B$4,"",IF($BB270="-&gt;",$BE270,$AU270))</f>
        <v/>
      </c>
      <c r="BU270" s="124" t="str">
        <f aca="false">IF(ISBLANK($C270),"",IF($BL270&lt;&gt;Constants!$B$4,$BL270,IF(ISNUMBER($BT270),RANK($BT270,$BT$9:$BT$508,0),COUNT($BT$9:$BT$508)+1)))</f>
        <v/>
      </c>
      <c r="BV270" s="127" t="str">
        <f aca="false">IF($BL270&lt;&gt;Constants!$B$4,"",IF($BB270="-&gt;",$BF270,$AV270))</f>
        <v/>
      </c>
      <c r="BW270" s="124" t="str">
        <f aca="false">IF(ISBLANK($C270),"",IF($BL270&lt;&gt;Constants!$B$4,$BL270,IF(ISNUMBER($BV270),RANK($BV270,$BV$9:$BV$508,0),COUNT($BV$9:$BV$508)+1)))</f>
        <v/>
      </c>
      <c r="BX270" s="127" t="str">
        <f aca="false">IF($BL270&lt;&gt;Constants!$B$4,"",IF($BB270="-&gt;",$BK270,$BA270))</f>
        <v/>
      </c>
      <c r="BY270" s="124" t="str">
        <f aca="false">IF(ISBLANK($C270),"",IF($BL270&lt;&gt;Constants!$B$4,$BL270,IF(ISNUMBER($BX270),RANK($BX270,$BX$9:$BX$508,0),COUNT($BX$9:$BX$508)+1)))</f>
        <v/>
      </c>
      <c r="BZ270" s="124" t="str">
        <f aca="false">IF(ISBLANK($C270),"",IF($BL270&lt;&gt;Constants!$B$4,$BL270,COUNTIFS($BM$9:$BM$508,"&lt;"&amp;$BM270)+COUNTIFS($BM$9:$BM$508,$BM270,$BP$9:$BP$508,"&lt;"&amp;$BP270)+COUNTIFS($BM$9:$BM$508,$BM270,$BP$9:$BP$508,$BP270,$BS$9:$BS$508,"&lt;"&amp;$BS270)+COUNTIFS($BM$9:$BM$508,$BM270,$BP$9:$BP$508,$BP270,$BS$9:$BS$508,$BS270,$BU$9:$BU$508,"&lt;"&amp;$BU270)+COUNTIFS($BM$9:$BM$508,$BM270,$BP$9:$BP$508,$BP270,$BS$9:$BS$508,$BS270,$BU$9:$BU$508,$BU270,$BW$9:$BW$508,"&lt;"&amp;$BW270)+COUNTIFS($BM$9:$BM$508,$BM270,$BP$9:$BP$508,$BP270,$BS$9:$BS$508,$BS270,$BU$9:$BU$508,$BU270,$BW$9:$BW$508,$BW270,$BY$9:$BY$508,"&lt;"&amp;$BY270)+1))</f>
        <v/>
      </c>
      <c r="CA270" s="124" t="str">
        <f aca="false">IF(ISBLANK($C270),"",IF($BL270&lt;&gt;Constants!$B$4,$BL270,$BQ270-$BZ270))</f>
        <v/>
      </c>
      <c r="CB270" s="130"/>
      <c r="CC270" s="131" t="str">
        <f aca="false">IF(ISBLANK($C270),"",IF($BL270=Constants!$B$8,$AR270,""))</f>
        <v/>
      </c>
      <c r="CD270" s="131" t="str">
        <f aca="false">IF(ISBLANK($C270),"",IF($BL270&lt;&gt;Constants!$B$4,"",IF($BB270="-&gt;",2,1)))</f>
        <v/>
      </c>
      <c r="CE270" s="132" t="str">
        <f aca="false">IF(ISBLANK($C270),"",IF($BL270&lt;&gt;Constants!$B$4,"",IF($BB270="-&gt;",$BE270,$AU270)))</f>
        <v/>
      </c>
      <c r="CF270" s="132" t="str">
        <f aca="false">IF(ISBLANK($C270),"",IF($BL270&lt;&gt;Constants!$B$4,"",IF($BB270="-&gt;",$BF270,$AV270)))</f>
        <v/>
      </c>
      <c r="CG270" s="132" t="str">
        <f aca="false">IF(ISBLANK($C270),"",IF($BL270&lt;&gt;Constants!$B$4,"",IF($BB270="-&gt;",$BG270,$AW270)))</f>
        <v/>
      </c>
      <c r="CH270" s="132" t="str">
        <f aca="false">IF(ISBLANK($C270),"",IF($BL270&lt;&gt;Constants!$B$4,"",IF($BB270="-&gt;",$BH270,$AX270)))</f>
        <v/>
      </c>
      <c r="CI270" s="133" t="str">
        <f aca="false">IF(ISBLANK($C270),"",$BO270)</f>
        <v/>
      </c>
      <c r="CJ270" s="134" t="str">
        <f aca="false">IF(ISBLANK($C270),"",$BM270)</f>
        <v/>
      </c>
      <c r="CK270" s="135" t="str">
        <f aca="false">IF(ISBLANK($C270),"",$CA270)</f>
        <v/>
      </c>
      <c r="CL270" s="135" t="str">
        <f aca="false">IF(ISBLANK($C270),"",$BZ270)</f>
        <v/>
      </c>
      <c r="CM270" s="136" t="str">
        <f aca="false">IF(ISBLANK($C270),"",IF($CL270=Constants!$B$7,COUNTA($C$9:$C$508)+2,IF($CL270=Constants!$B$6,COUNTA($C$9:$C$508)+1,IF($CL270=Constants!$B$5,COUNTA($C$9:$C$508),$CL270))))</f>
        <v/>
      </c>
      <c r="CN270" s="8"/>
      <c r="CO270" s="137" t="n">
        <f aca="false">IF(OR(ISNUMBER($CL270),$CL270=Constants!$B$7,$CL270=Constants!$B$5,$CL270=Constants!$B$6),1,0)</f>
        <v>0</v>
      </c>
      <c r="CP270" s="137" t="n">
        <v>262</v>
      </c>
      <c r="CQ270" s="137" t="str">
        <f aca="false">IF(ISBLANK($C270),"",IF(ISNUMBER($CM270),$CM270+ROW($B270)/1000,""))</f>
        <v/>
      </c>
      <c r="CR270" s="137" t="str">
        <f aca="false">IF(ISNUMBER($CQ270),RANK($CQ270,$CQ$9:$CQ$508,1),"")</f>
        <v/>
      </c>
      <c r="CS270" s="137" t="str">
        <f aca="false">IF(ISBLANK($C270),"",$B270)</f>
        <v/>
      </c>
      <c r="CT270" s="137" t="str">
        <f aca="false">IF(ISBLANK($C270),"",$C270)</f>
        <v/>
      </c>
      <c r="CU270" s="137" t="str">
        <f aca="false">IF(ISBLANK($C270),"",$D270)</f>
        <v/>
      </c>
      <c r="CV270" s="138" t="str">
        <f aca="false">$CJ270</f>
        <v/>
      </c>
      <c r="CW270" s="139" t="str">
        <f aca="false">$CI270</f>
        <v/>
      </c>
      <c r="CX270" s="137" t="str">
        <f aca="false">IF(ISBLANK($C270),"",$CL270)</f>
        <v/>
      </c>
      <c r="CY270" s="140" t="str">
        <f aca="false">IF($CP270&gt;$CO$8,"",VLOOKUP($CP270,$CR$9:$CX$508,7,FALSE()))</f>
        <v/>
      </c>
      <c r="CZ270" s="141" t="str">
        <f aca="false">IF($CP270&gt;$CO$8,"",VLOOKUP($CP270,$CR$9:$CX$508,2,FALSE()))</f>
        <v/>
      </c>
      <c r="DA270" s="141" t="str">
        <f aca="false">IF($CP270&gt;$CO$8,"",VLOOKUP($CP270,$CR$9:$CX$508,3,FALSE()))</f>
        <v/>
      </c>
      <c r="DB270" s="141" t="str">
        <f aca="false">IF($CP270&gt;$CO$8,"",VLOOKUP($CP270,$CR$9:$CX$508,4,FALSE()))</f>
        <v/>
      </c>
      <c r="DC270" s="141" t="str">
        <f aca="false">IF($CP270&gt;$CO$8,"",VLOOKUP($CP270,$CR$9:$CX$508,5,FALSE()))</f>
        <v/>
      </c>
      <c r="DD270" s="142" t="str">
        <f aca="false">IF($CP270&gt;$CO$8,"",VLOOKUP($CP270,$CR$9:$CX$508,6,FALSE()))</f>
        <v/>
      </c>
      <c r="DE270" s="70"/>
    </row>
    <row r="271" customFormat="false" ht="15.75" hidden="false" customHeight="false" outlineLevel="0" collapsed="false">
      <c r="A271" s="8"/>
      <c r="B271" s="146"/>
      <c r="C271" s="147"/>
      <c r="D271" s="148"/>
      <c r="E271" s="164"/>
      <c r="F271" s="150"/>
      <c r="G271" s="115"/>
      <c r="H271" s="115"/>
      <c r="I271" s="115"/>
      <c r="J271" s="165"/>
      <c r="K271" s="154"/>
      <c r="L271" s="154"/>
      <c r="M271" s="118"/>
      <c r="N271" s="154"/>
      <c r="O271" s="153"/>
      <c r="P271" s="154"/>
      <c r="Q271" s="154"/>
      <c r="R271" s="154"/>
      <c r="S271" s="115"/>
      <c r="T271" s="154"/>
      <c r="U271" s="153"/>
      <c r="V271" s="154"/>
      <c r="W271" s="123"/>
      <c r="X271" s="124" t="str">
        <f aca="false">IF(ISBLANK($C271),"",IF($E271=Constants!$B$2,TRUE(),IF($E271=Constants!$B$3,FALSE(),TRUE())))</f>
        <v/>
      </c>
      <c r="Y271" s="124" t="str">
        <f aca="false">IF(ISBLANK($C271),"",IF($F271=Constants!$B$2,TRUE(),IF($F271=Constants!$B$3,FALSE(),TRUE())))</f>
        <v/>
      </c>
      <c r="Z271" s="125" t="str">
        <f aca="false">IF(ISBLANK($C271),"",IF(ISNUMBER($G271),IF($G271&gt;=0,$G271,""),""))</f>
        <v/>
      </c>
      <c r="AA271" s="125" t="str">
        <f aca="false">IF(ISBLANK($C271),"",IF(ISNUMBER($H271),IF($H271&gt;=0,$H271,""),""))</f>
        <v/>
      </c>
      <c r="AB271" s="125" t="str">
        <f aca="false">IF(ISBLANK($C271),"",IF(ISNUMBER($I271),IF($I271&gt;=0,$I271,""),""))</f>
        <v/>
      </c>
      <c r="AC271" s="124" t="str">
        <f aca="false">IF(ISBLANK($C271),"",IF($J271=Constants!$B$2,TRUE(),IF($J271=Constants!$B$3,FALSE(),TRUE())))</f>
        <v/>
      </c>
      <c r="AD271" s="124" t="str">
        <f aca="false">IF(ISBLANK($C271),"",IF($K271=Constants!$B$2,TRUE(),IF($K271=Constants!$B$3,FALSE(),TRUE())))</f>
        <v/>
      </c>
      <c r="AE271" s="124" t="str">
        <f aca="false">IF(ISBLANK($C271),"",IF($L271=Constants!$B$2,TRUE(),IF($L271=Constants!$B$3,FALSE(),TRUE())))</f>
        <v/>
      </c>
      <c r="AF271" s="126" t="str">
        <f aca="false">IF(ISBLANK($C271),"",IF(ISNUMBER($M271),IF($M271&gt;=0,$M271,""),""))</f>
        <v/>
      </c>
      <c r="AG271" s="124" t="str">
        <f aca="false">IF(ISBLANK($C271),"",IF(ISBLANK($N271),0,IF(ISNUMBER($N271),IF(AND($N271&gt;=0,$N271&lt;=Constants!$B$17,$N271=INT($N271)),$N271,""),"")))</f>
        <v/>
      </c>
      <c r="AH271" s="125" t="str">
        <f aca="false">IF(ISBLANK($C271),"",IF(ISBLANK($O271),0,IF(ISNUMBER($O271),IF($O271&gt;=0,$O271,""),"")))</f>
        <v/>
      </c>
      <c r="AI271" s="124" t="str">
        <f aca="false">IF(ISBLANK($C271),"",IF($P271=Constants!$B$2,TRUE(),IF($P271=Constants!$B$3,FALSE(),TRUE())))</f>
        <v/>
      </c>
      <c r="AJ271" s="124" t="str">
        <f aca="false">IF(ISBLANK($C271),"",IF($Q271=Constants!$B$2,TRUE(),IF($Q271=Constants!$B$3,FALSE(),TRUE())))</f>
        <v/>
      </c>
      <c r="AK271" s="124" t="str">
        <f aca="false">IF(ISBLANK($C271),"",IF($R271=Constants!$B$2,TRUE(),IF($R271=Constants!$B$3,FALSE(),TRUE())))</f>
        <v/>
      </c>
      <c r="AL271" s="126" t="str">
        <f aca="false">IF(ISBLANK($C271),"",IF(ISNUMBER($S271),IF($S271&gt;=0,$S271,""),""))</f>
        <v/>
      </c>
      <c r="AM271" s="124" t="str">
        <f aca="false">IF(ISBLANK($C271),"",IF(ISBLANK($T271),0,IF(ISNUMBER($T271),IF(AND($T271&gt;=0,$T271&lt;=Constants!$B$17,$T271=INT($T271)),$T271,""),"")))</f>
        <v/>
      </c>
      <c r="AN271" s="125" t="str">
        <f aca="false">IF(ISBLANK($C271),"",IF(ISBLANK($U271),0,IF(ISNUMBER($U271),IF($U271&gt;=0,$U271,""),"")))</f>
        <v/>
      </c>
      <c r="AO271" s="124" t="str">
        <f aca="false">IF(ISBLANK($C271),"",IF($V271=Constants!$B$2,TRUE(),IF($V271=Constants!$B$3,FALSE(),FALSE())))</f>
        <v/>
      </c>
      <c r="AP271" s="124"/>
      <c r="AQ271" s="123" t="str">
        <f aca="false">IF(ISBLANK($C271),"",AND($Y271,OR($AS271,$BC271),OR($Z271="",$AA271="",$AB271="")))</f>
        <v/>
      </c>
      <c r="AR271" s="123" t="str">
        <f aca="false">IF(ISBLANK($C271),"",IF(OR(NOT($Y271),NOT(OR($AS271,$BC271))),"",IF(ISBLANK($D$7),$AR$5,IF($AP$9="",$AR$6,""))))</f>
        <v/>
      </c>
      <c r="AS271" s="123" t="str">
        <f aca="false">IF(ISBLANK($C271),"",COUNTA($J271:$O271)&gt;0)</f>
        <v/>
      </c>
      <c r="AT271" s="123" t="str">
        <f aca="false">IF(ISBLANK($C271),"",AND($AS271,OR(AND($AF271="",OR($AE271,NOT(ISBLANK($M271)))),$AG271="",$AH271="")))</f>
        <v/>
      </c>
      <c r="AU271" s="125" t="str">
        <f aca="false">IF($BL271&lt;&gt;Constants!$B$4,"",IF(NOT($AS271),"",ROUND((Constants!$B$12-$AB271)+(Constants!$B$13-$Z271)+(Constants!$B$14-$AA271),1)))</f>
        <v/>
      </c>
      <c r="AV271" s="127" t="str">
        <f aca="false">IF($BL271&lt;&gt;Constants!$B$4,"",IF(NOT($AS271),"",IF(NOT($AE271),0,Constants!$B$15*(INT(ROUND(MIN($AF271,$AP$9),6))-INT(ROUND(MAX(0,MIN($AF271,2*$AP$9)-$AP$9),6))))))</f>
        <v/>
      </c>
      <c r="AW271" s="127" t="str">
        <f aca="false">IF($BL271&lt;&gt;Constants!$B$4,"",IF(NOT($AS271),"",Constants!$B$16*$AG271))</f>
        <v/>
      </c>
      <c r="AX271" s="127" t="str">
        <f aca="false">IF($BL271&lt;&gt;Constants!$B$4,"",IF(NOT($AS271),"",Constants!$B$18*INT(ROUND($AH271,6))))</f>
        <v/>
      </c>
      <c r="AY271" s="123" t="str">
        <f aca="false">IF($BL271&lt;&gt;Constants!$B$4,"",IF(NOT($AS271),"",IF(NOT($X271),Constants!$B$11,IF(OR(NOT($AC271),NOT($AD271),ROUND($AB271,1)&gt;Constants!$B$12,ROUND($Z271,1)&gt;Constants!$B$13,ROUND($AA271,1)&gt;Constants!$B$14),Constants!$B$10,Constants!$B$9))))</f>
        <v/>
      </c>
      <c r="AZ271" s="128" t="str">
        <f aca="false">IF($BL271&lt;&gt;Constants!$B$4,"",IF(NOT($AS271),"",ROUND($AU271+$AV271+$AW271+$AX271,1)))</f>
        <v/>
      </c>
      <c r="BA271" s="129" t="str">
        <f aca="false">IF($BL271&lt;&gt;Constants!$B$4,"",IF(NOT($AS271),"",IF(ISNUMBER($AF271),$AF271,0)))</f>
        <v/>
      </c>
      <c r="BB271" s="124" t="str">
        <f aca="false">IF($BL271&lt;&gt;Constants!$B$4,"",IF(NOT($BC271),"&lt;-",IF(NOT($AS271),"-&gt;",IF(OR($BI271&lt;$AY271,AND($BI271=$AY271,OR($BJ271&gt;$AZ271,AND($BJ271=$AZ271,OR($BH271&gt;$AX271,AND($BH271=$AX271,OR($BE271&gt;$AU271,AND($BE271=$AU271,OR($BF271&gt;$AV271,AND($BF271=$AV271,$BK271&gt;$BA271)))))))))),"-&gt;","&lt;-"))))</f>
        <v/>
      </c>
      <c r="BC271" s="123" t="str">
        <f aca="false">IF(ISBLANK($C271),"",COUNTA($P271:$U271)&gt;0)</f>
        <v/>
      </c>
      <c r="BD271" s="123" t="str">
        <f aca="false">IF(ISBLANK($C271),"",AND($BC271,OR(AND($AL271="",OR($AK271,NOT(ISBLANK($S271)))),$AM271="",$AN271="")))</f>
        <v/>
      </c>
      <c r="BE271" s="125" t="str">
        <f aca="false">IF($BL271&lt;&gt;Constants!$B$4,"",IF(NOT($BC271),"",ROUND((Constants!$B$12-$AB271)+(Constants!$B$13-$Z271)+(Constants!$B$14-$AA271),1)))</f>
        <v/>
      </c>
      <c r="BF271" s="127" t="str">
        <f aca="false">IF($BL271&lt;&gt;Constants!$B$4,"",IF(NOT($BC271),"",IF(NOT($AK271),0,Constants!$B$15*(INT(ROUND(MIN($AL271,$AP$9),6))-INT(ROUND(MAX(0,MIN($AL271,2*$AP$9)-$AP$9),6))))))</f>
        <v/>
      </c>
      <c r="BG271" s="127" t="str">
        <f aca="false">IF($BL271&lt;&gt;Constants!$B$4,"",IF(NOT($BC271),"",Constants!$B$16*$AM271))</f>
        <v/>
      </c>
      <c r="BH271" s="127" t="str">
        <f aca="false">IF($BL271&lt;&gt;Constants!$B$4,"",IF(NOT($BC271),"",Constants!$B$18*INT(ROUND($AN271,6))))</f>
        <v/>
      </c>
      <c r="BI271" s="123" t="str">
        <f aca="false">IF($BL271&lt;&gt;Constants!$B$4,"",IF(NOT($BC271),"",IF(NOT($X271),Constants!$B$11,IF(OR(NOT($AI271),NOT($AJ271),ROUND($AB271,1)&gt;Constants!$B$12,ROUND($Z271,1)&gt;Constants!$B$13,ROUND($AA271,1)&gt;Constants!$B$14),Constants!$B$10,Constants!$B$9))))</f>
        <v/>
      </c>
      <c r="BJ271" s="128" t="str">
        <f aca="false">IF($BL271&lt;&gt;Constants!$B$4,"",IF(NOT($BC271),"",ROUND($BE271+$BF271+$BG271+$BH271,1)))</f>
        <v/>
      </c>
      <c r="BK271" s="129" t="str">
        <f aca="false">IF($BL271&lt;&gt;Constants!$B$4,"",IF(NOT($BC271),"",IF(ISNUMBER($AL271),$AL271,0)))</f>
        <v/>
      </c>
      <c r="BL271" s="124" t="str">
        <f aca="false">IF(ISBLANK($C271),"",IF($AO271,Constants!$B$7,IF(COUNTA($E271:$V271)=0,Constants!$B$6,IF(NOT($Y271),Constants!$B$5,IF(NOT(OR($AS271,$BC271)),Constants!$B$5,IF(OR($AT271,$BD271,$AQ271,$AR271&lt;&gt;""),Constants!$B$8,Constants!$B$4))))))</f>
        <v/>
      </c>
      <c r="BM271" s="124" t="str">
        <f aca="false">IF(ISBLANK($C271),"",IF($BL271&lt;&gt;Constants!$B$4,$BL271,IF($BB271="-&gt;",$BI271,$AY271)))</f>
        <v/>
      </c>
      <c r="BN271" s="127" t="str">
        <f aca="false">IF($BL271&lt;&gt;Constants!$B$4,"",IF($BB271="-&gt;",$BJ271,$AZ271))</f>
        <v/>
      </c>
      <c r="BO271" s="127" t="str">
        <f aca="false">IF(ISBLANK($C271),"",IF($BL271&lt;&gt;Constants!$B$4,$BL271,$BN271))</f>
        <v/>
      </c>
      <c r="BP271" s="124" t="str">
        <f aca="false">IF(ISBLANK($C271),"",IF($BL271&lt;&gt;Constants!$B$4,$BL271,RANK($BO271,$BO$9:$BO$508,0)))</f>
        <v/>
      </c>
      <c r="BQ271" s="124" t="str">
        <f aca="false">IF(ISBLANK($C271),"",IF($BL271&lt;&gt;Constants!$B$4,$BL271,COUNTIFS($BM$9:$BM$508,"&lt;"&amp;$BM271)+COUNTIFS($BM$9:$BM$508,$BM271,$BP$9:$BP$508,"&lt;"&amp;$BP271)+1))</f>
        <v/>
      </c>
      <c r="BR271" s="127" t="str">
        <f aca="false">IF($BL271&lt;&gt;Constants!$B$4,"",IF($BB271="-&gt;",$BH271,$AX271))</f>
        <v/>
      </c>
      <c r="BS271" s="124" t="str">
        <f aca="false">IF(ISBLANK($C271),"",IF($BL271&lt;&gt;Constants!$B$4,$BL271,IF(ISNUMBER($BR271),RANK($BR271,$BR$9:$BR$508,0),COUNT($BR$9:$BR$508)+1)))</f>
        <v/>
      </c>
      <c r="BT271" s="127" t="str">
        <f aca="false">IF($BL271&lt;&gt;Constants!$B$4,"",IF($BB271="-&gt;",$BE271,$AU271))</f>
        <v/>
      </c>
      <c r="BU271" s="124" t="str">
        <f aca="false">IF(ISBLANK($C271),"",IF($BL271&lt;&gt;Constants!$B$4,$BL271,IF(ISNUMBER($BT271),RANK($BT271,$BT$9:$BT$508,0),COUNT($BT$9:$BT$508)+1)))</f>
        <v/>
      </c>
      <c r="BV271" s="127" t="str">
        <f aca="false">IF($BL271&lt;&gt;Constants!$B$4,"",IF($BB271="-&gt;",$BF271,$AV271))</f>
        <v/>
      </c>
      <c r="BW271" s="124" t="str">
        <f aca="false">IF(ISBLANK($C271),"",IF($BL271&lt;&gt;Constants!$B$4,$BL271,IF(ISNUMBER($BV271),RANK($BV271,$BV$9:$BV$508,0),COUNT($BV$9:$BV$508)+1)))</f>
        <v/>
      </c>
      <c r="BX271" s="127" t="str">
        <f aca="false">IF($BL271&lt;&gt;Constants!$B$4,"",IF($BB271="-&gt;",$BK271,$BA271))</f>
        <v/>
      </c>
      <c r="BY271" s="124" t="str">
        <f aca="false">IF(ISBLANK($C271),"",IF($BL271&lt;&gt;Constants!$B$4,$BL271,IF(ISNUMBER($BX271),RANK($BX271,$BX$9:$BX$508,0),COUNT($BX$9:$BX$508)+1)))</f>
        <v/>
      </c>
      <c r="BZ271" s="124" t="str">
        <f aca="false">IF(ISBLANK($C271),"",IF($BL271&lt;&gt;Constants!$B$4,$BL271,COUNTIFS($BM$9:$BM$508,"&lt;"&amp;$BM271)+COUNTIFS($BM$9:$BM$508,$BM271,$BP$9:$BP$508,"&lt;"&amp;$BP271)+COUNTIFS($BM$9:$BM$508,$BM271,$BP$9:$BP$508,$BP271,$BS$9:$BS$508,"&lt;"&amp;$BS271)+COUNTIFS($BM$9:$BM$508,$BM271,$BP$9:$BP$508,$BP271,$BS$9:$BS$508,$BS271,$BU$9:$BU$508,"&lt;"&amp;$BU271)+COUNTIFS($BM$9:$BM$508,$BM271,$BP$9:$BP$508,$BP271,$BS$9:$BS$508,$BS271,$BU$9:$BU$508,$BU271,$BW$9:$BW$508,"&lt;"&amp;$BW271)+COUNTIFS($BM$9:$BM$508,$BM271,$BP$9:$BP$508,$BP271,$BS$9:$BS$508,$BS271,$BU$9:$BU$508,$BU271,$BW$9:$BW$508,$BW271,$BY$9:$BY$508,"&lt;"&amp;$BY271)+1))</f>
        <v/>
      </c>
      <c r="CA271" s="124" t="str">
        <f aca="false">IF(ISBLANK($C271),"",IF($BL271&lt;&gt;Constants!$B$4,$BL271,$BQ271-$BZ271))</f>
        <v/>
      </c>
      <c r="CB271" s="130"/>
      <c r="CC271" s="131" t="str">
        <f aca="false">IF(ISBLANK($C271),"",IF($BL271=Constants!$B$8,$AR271,""))</f>
        <v/>
      </c>
      <c r="CD271" s="131" t="str">
        <f aca="false">IF(ISBLANK($C271),"",IF($BL271&lt;&gt;Constants!$B$4,"",IF($BB271="-&gt;",2,1)))</f>
        <v/>
      </c>
      <c r="CE271" s="132" t="str">
        <f aca="false">IF(ISBLANK($C271),"",IF($BL271&lt;&gt;Constants!$B$4,"",IF($BB271="-&gt;",$BE271,$AU271)))</f>
        <v/>
      </c>
      <c r="CF271" s="132" t="str">
        <f aca="false">IF(ISBLANK($C271),"",IF($BL271&lt;&gt;Constants!$B$4,"",IF($BB271="-&gt;",$BF271,$AV271)))</f>
        <v/>
      </c>
      <c r="CG271" s="132" t="str">
        <f aca="false">IF(ISBLANK($C271),"",IF($BL271&lt;&gt;Constants!$B$4,"",IF($BB271="-&gt;",$BG271,$AW271)))</f>
        <v/>
      </c>
      <c r="CH271" s="132" t="str">
        <f aca="false">IF(ISBLANK($C271),"",IF($BL271&lt;&gt;Constants!$B$4,"",IF($BB271="-&gt;",$BH271,$AX271)))</f>
        <v/>
      </c>
      <c r="CI271" s="133" t="str">
        <f aca="false">IF(ISBLANK($C271),"",$BO271)</f>
        <v/>
      </c>
      <c r="CJ271" s="134" t="str">
        <f aca="false">IF(ISBLANK($C271),"",$BM271)</f>
        <v/>
      </c>
      <c r="CK271" s="135" t="str">
        <f aca="false">IF(ISBLANK($C271),"",$CA271)</f>
        <v/>
      </c>
      <c r="CL271" s="135" t="str">
        <f aca="false">IF(ISBLANK($C271),"",$BZ271)</f>
        <v/>
      </c>
      <c r="CM271" s="136" t="str">
        <f aca="false">IF(ISBLANK($C271),"",IF($CL271=Constants!$B$7,COUNTA($C$9:$C$508)+2,IF($CL271=Constants!$B$6,COUNTA($C$9:$C$508)+1,IF($CL271=Constants!$B$5,COUNTA($C$9:$C$508),$CL271))))</f>
        <v/>
      </c>
      <c r="CN271" s="8"/>
      <c r="CO271" s="137" t="n">
        <f aca="false">IF(OR(ISNUMBER($CL271),$CL271=Constants!$B$7,$CL271=Constants!$B$5,$CL271=Constants!$B$6),1,0)</f>
        <v>0</v>
      </c>
      <c r="CP271" s="137" t="n">
        <v>263</v>
      </c>
      <c r="CQ271" s="137" t="str">
        <f aca="false">IF(ISBLANK($C271),"",IF(ISNUMBER($CM271),$CM271+ROW($B271)/1000,""))</f>
        <v/>
      </c>
      <c r="CR271" s="137" t="str">
        <f aca="false">IF(ISNUMBER($CQ271),RANK($CQ271,$CQ$9:$CQ$508,1),"")</f>
        <v/>
      </c>
      <c r="CS271" s="137" t="str">
        <f aca="false">IF(ISBLANK($C271),"",$B271)</f>
        <v/>
      </c>
      <c r="CT271" s="137" t="str">
        <f aca="false">IF(ISBLANK($C271),"",$C271)</f>
        <v/>
      </c>
      <c r="CU271" s="137" t="str">
        <f aca="false">IF(ISBLANK($C271),"",$D271)</f>
        <v/>
      </c>
      <c r="CV271" s="138" t="str">
        <f aca="false">$CJ271</f>
        <v/>
      </c>
      <c r="CW271" s="139" t="str">
        <f aca="false">$CI271</f>
        <v/>
      </c>
      <c r="CX271" s="137" t="str">
        <f aca="false">IF(ISBLANK($C271),"",$CL271)</f>
        <v/>
      </c>
      <c r="CY271" s="140" t="str">
        <f aca="false">IF($CP271&gt;$CO$8,"",VLOOKUP($CP271,$CR$9:$CX$508,7,FALSE()))</f>
        <v/>
      </c>
      <c r="CZ271" s="141" t="str">
        <f aca="false">IF($CP271&gt;$CO$8,"",VLOOKUP($CP271,$CR$9:$CX$508,2,FALSE()))</f>
        <v/>
      </c>
      <c r="DA271" s="141" t="str">
        <f aca="false">IF($CP271&gt;$CO$8,"",VLOOKUP($CP271,$CR$9:$CX$508,3,FALSE()))</f>
        <v/>
      </c>
      <c r="DB271" s="141" t="str">
        <f aca="false">IF($CP271&gt;$CO$8,"",VLOOKUP($CP271,$CR$9:$CX$508,4,FALSE()))</f>
        <v/>
      </c>
      <c r="DC271" s="141" t="str">
        <f aca="false">IF($CP271&gt;$CO$8,"",VLOOKUP($CP271,$CR$9:$CX$508,5,FALSE()))</f>
        <v/>
      </c>
      <c r="DD271" s="142" t="str">
        <f aca="false">IF($CP271&gt;$CO$8,"",VLOOKUP($CP271,$CR$9:$CX$508,6,FALSE()))</f>
        <v/>
      </c>
      <c r="DE271" s="70"/>
    </row>
    <row r="272" customFormat="false" ht="15.75" hidden="false" customHeight="false" outlineLevel="0" collapsed="false">
      <c r="A272" s="8"/>
      <c r="B272" s="146"/>
      <c r="C272" s="147"/>
      <c r="D272" s="148"/>
      <c r="E272" s="164"/>
      <c r="F272" s="150"/>
      <c r="G272" s="115"/>
      <c r="H272" s="115"/>
      <c r="I272" s="115"/>
      <c r="J272" s="165"/>
      <c r="K272" s="154"/>
      <c r="L272" s="154"/>
      <c r="M272" s="118"/>
      <c r="N272" s="154"/>
      <c r="O272" s="153"/>
      <c r="P272" s="154"/>
      <c r="Q272" s="154"/>
      <c r="R272" s="154"/>
      <c r="S272" s="115"/>
      <c r="T272" s="154"/>
      <c r="U272" s="153"/>
      <c r="V272" s="154"/>
      <c r="W272" s="123"/>
      <c r="X272" s="124" t="str">
        <f aca="false">IF(ISBLANK($C272),"",IF($E272=Constants!$B$2,TRUE(),IF($E272=Constants!$B$3,FALSE(),TRUE())))</f>
        <v/>
      </c>
      <c r="Y272" s="124" t="str">
        <f aca="false">IF(ISBLANK($C272),"",IF($F272=Constants!$B$2,TRUE(),IF($F272=Constants!$B$3,FALSE(),TRUE())))</f>
        <v/>
      </c>
      <c r="Z272" s="125" t="str">
        <f aca="false">IF(ISBLANK($C272),"",IF(ISNUMBER($G272),IF($G272&gt;=0,$G272,""),""))</f>
        <v/>
      </c>
      <c r="AA272" s="125" t="str">
        <f aca="false">IF(ISBLANK($C272),"",IF(ISNUMBER($H272),IF($H272&gt;=0,$H272,""),""))</f>
        <v/>
      </c>
      <c r="AB272" s="125" t="str">
        <f aca="false">IF(ISBLANK($C272),"",IF(ISNUMBER($I272),IF($I272&gt;=0,$I272,""),""))</f>
        <v/>
      </c>
      <c r="AC272" s="124" t="str">
        <f aca="false">IF(ISBLANK($C272),"",IF($J272=Constants!$B$2,TRUE(),IF($J272=Constants!$B$3,FALSE(),TRUE())))</f>
        <v/>
      </c>
      <c r="AD272" s="124" t="str">
        <f aca="false">IF(ISBLANK($C272),"",IF($K272=Constants!$B$2,TRUE(),IF($K272=Constants!$B$3,FALSE(),TRUE())))</f>
        <v/>
      </c>
      <c r="AE272" s="124" t="str">
        <f aca="false">IF(ISBLANK($C272),"",IF($L272=Constants!$B$2,TRUE(),IF($L272=Constants!$B$3,FALSE(),TRUE())))</f>
        <v/>
      </c>
      <c r="AF272" s="126" t="str">
        <f aca="false">IF(ISBLANK($C272),"",IF(ISNUMBER($M272),IF($M272&gt;=0,$M272,""),""))</f>
        <v/>
      </c>
      <c r="AG272" s="124" t="str">
        <f aca="false">IF(ISBLANK($C272),"",IF(ISBLANK($N272),0,IF(ISNUMBER($N272),IF(AND($N272&gt;=0,$N272&lt;=Constants!$B$17,$N272=INT($N272)),$N272,""),"")))</f>
        <v/>
      </c>
      <c r="AH272" s="125" t="str">
        <f aca="false">IF(ISBLANK($C272),"",IF(ISBLANK($O272),0,IF(ISNUMBER($O272),IF($O272&gt;=0,$O272,""),"")))</f>
        <v/>
      </c>
      <c r="AI272" s="124" t="str">
        <f aca="false">IF(ISBLANK($C272),"",IF($P272=Constants!$B$2,TRUE(),IF($P272=Constants!$B$3,FALSE(),TRUE())))</f>
        <v/>
      </c>
      <c r="AJ272" s="124" t="str">
        <f aca="false">IF(ISBLANK($C272),"",IF($Q272=Constants!$B$2,TRUE(),IF($Q272=Constants!$B$3,FALSE(),TRUE())))</f>
        <v/>
      </c>
      <c r="AK272" s="124" t="str">
        <f aca="false">IF(ISBLANK($C272),"",IF($R272=Constants!$B$2,TRUE(),IF($R272=Constants!$B$3,FALSE(),TRUE())))</f>
        <v/>
      </c>
      <c r="AL272" s="126" t="str">
        <f aca="false">IF(ISBLANK($C272),"",IF(ISNUMBER($S272),IF($S272&gt;=0,$S272,""),""))</f>
        <v/>
      </c>
      <c r="AM272" s="124" t="str">
        <f aca="false">IF(ISBLANK($C272),"",IF(ISBLANK($T272),0,IF(ISNUMBER($T272),IF(AND($T272&gt;=0,$T272&lt;=Constants!$B$17,$T272=INT($T272)),$T272,""),"")))</f>
        <v/>
      </c>
      <c r="AN272" s="125" t="str">
        <f aca="false">IF(ISBLANK($C272),"",IF(ISBLANK($U272),0,IF(ISNUMBER($U272),IF($U272&gt;=0,$U272,""),"")))</f>
        <v/>
      </c>
      <c r="AO272" s="124" t="str">
        <f aca="false">IF(ISBLANK($C272),"",IF($V272=Constants!$B$2,TRUE(),IF($V272=Constants!$B$3,FALSE(),FALSE())))</f>
        <v/>
      </c>
      <c r="AP272" s="124"/>
      <c r="AQ272" s="123" t="str">
        <f aca="false">IF(ISBLANK($C272),"",AND($Y272,OR($AS272,$BC272),OR($Z272="",$AA272="",$AB272="")))</f>
        <v/>
      </c>
      <c r="AR272" s="123" t="str">
        <f aca="false">IF(ISBLANK($C272),"",IF(OR(NOT($Y272),NOT(OR($AS272,$BC272))),"",IF(ISBLANK($D$7),$AR$5,IF($AP$9="",$AR$6,""))))</f>
        <v/>
      </c>
      <c r="AS272" s="123" t="str">
        <f aca="false">IF(ISBLANK($C272),"",COUNTA($J272:$O272)&gt;0)</f>
        <v/>
      </c>
      <c r="AT272" s="123" t="str">
        <f aca="false">IF(ISBLANK($C272),"",AND($AS272,OR(AND($AF272="",OR($AE272,NOT(ISBLANK($M272)))),$AG272="",$AH272="")))</f>
        <v/>
      </c>
      <c r="AU272" s="125" t="str">
        <f aca="false">IF($BL272&lt;&gt;Constants!$B$4,"",IF(NOT($AS272),"",ROUND((Constants!$B$12-$AB272)+(Constants!$B$13-$Z272)+(Constants!$B$14-$AA272),1)))</f>
        <v/>
      </c>
      <c r="AV272" s="127" t="str">
        <f aca="false">IF($BL272&lt;&gt;Constants!$B$4,"",IF(NOT($AS272),"",IF(NOT($AE272),0,Constants!$B$15*(INT(ROUND(MIN($AF272,$AP$9),6))-INT(ROUND(MAX(0,MIN($AF272,2*$AP$9)-$AP$9),6))))))</f>
        <v/>
      </c>
      <c r="AW272" s="127" t="str">
        <f aca="false">IF($BL272&lt;&gt;Constants!$B$4,"",IF(NOT($AS272),"",Constants!$B$16*$AG272))</f>
        <v/>
      </c>
      <c r="AX272" s="127" t="str">
        <f aca="false">IF($BL272&lt;&gt;Constants!$B$4,"",IF(NOT($AS272),"",Constants!$B$18*INT(ROUND($AH272,6))))</f>
        <v/>
      </c>
      <c r="AY272" s="123" t="str">
        <f aca="false">IF($BL272&lt;&gt;Constants!$B$4,"",IF(NOT($AS272),"",IF(NOT($X272),Constants!$B$11,IF(OR(NOT($AC272),NOT($AD272),ROUND($AB272,1)&gt;Constants!$B$12,ROUND($Z272,1)&gt;Constants!$B$13,ROUND($AA272,1)&gt;Constants!$B$14),Constants!$B$10,Constants!$B$9))))</f>
        <v/>
      </c>
      <c r="AZ272" s="128" t="str">
        <f aca="false">IF($BL272&lt;&gt;Constants!$B$4,"",IF(NOT($AS272),"",ROUND($AU272+$AV272+$AW272+$AX272,1)))</f>
        <v/>
      </c>
      <c r="BA272" s="129" t="str">
        <f aca="false">IF($BL272&lt;&gt;Constants!$B$4,"",IF(NOT($AS272),"",IF(ISNUMBER($AF272),$AF272,0)))</f>
        <v/>
      </c>
      <c r="BB272" s="124" t="str">
        <f aca="false">IF($BL272&lt;&gt;Constants!$B$4,"",IF(NOT($BC272),"&lt;-",IF(NOT($AS272),"-&gt;",IF(OR($BI272&lt;$AY272,AND($BI272=$AY272,OR($BJ272&gt;$AZ272,AND($BJ272=$AZ272,OR($BH272&gt;$AX272,AND($BH272=$AX272,OR($BE272&gt;$AU272,AND($BE272=$AU272,OR($BF272&gt;$AV272,AND($BF272=$AV272,$BK272&gt;$BA272)))))))))),"-&gt;","&lt;-"))))</f>
        <v/>
      </c>
      <c r="BC272" s="123" t="str">
        <f aca="false">IF(ISBLANK($C272),"",COUNTA($P272:$U272)&gt;0)</f>
        <v/>
      </c>
      <c r="BD272" s="123" t="str">
        <f aca="false">IF(ISBLANK($C272),"",AND($BC272,OR(AND($AL272="",OR($AK272,NOT(ISBLANK($S272)))),$AM272="",$AN272="")))</f>
        <v/>
      </c>
      <c r="BE272" s="125" t="str">
        <f aca="false">IF($BL272&lt;&gt;Constants!$B$4,"",IF(NOT($BC272),"",ROUND((Constants!$B$12-$AB272)+(Constants!$B$13-$Z272)+(Constants!$B$14-$AA272),1)))</f>
        <v/>
      </c>
      <c r="BF272" s="127" t="str">
        <f aca="false">IF($BL272&lt;&gt;Constants!$B$4,"",IF(NOT($BC272),"",IF(NOT($AK272),0,Constants!$B$15*(INT(ROUND(MIN($AL272,$AP$9),6))-INT(ROUND(MAX(0,MIN($AL272,2*$AP$9)-$AP$9),6))))))</f>
        <v/>
      </c>
      <c r="BG272" s="127" t="str">
        <f aca="false">IF($BL272&lt;&gt;Constants!$B$4,"",IF(NOT($BC272),"",Constants!$B$16*$AM272))</f>
        <v/>
      </c>
      <c r="BH272" s="127" t="str">
        <f aca="false">IF($BL272&lt;&gt;Constants!$B$4,"",IF(NOT($BC272),"",Constants!$B$18*INT(ROUND($AN272,6))))</f>
        <v/>
      </c>
      <c r="BI272" s="123" t="str">
        <f aca="false">IF($BL272&lt;&gt;Constants!$B$4,"",IF(NOT($BC272),"",IF(NOT($X272),Constants!$B$11,IF(OR(NOT($AI272),NOT($AJ272),ROUND($AB272,1)&gt;Constants!$B$12,ROUND($Z272,1)&gt;Constants!$B$13,ROUND($AA272,1)&gt;Constants!$B$14),Constants!$B$10,Constants!$B$9))))</f>
        <v/>
      </c>
      <c r="BJ272" s="128" t="str">
        <f aca="false">IF($BL272&lt;&gt;Constants!$B$4,"",IF(NOT($BC272),"",ROUND($BE272+$BF272+$BG272+$BH272,1)))</f>
        <v/>
      </c>
      <c r="BK272" s="129" t="str">
        <f aca="false">IF($BL272&lt;&gt;Constants!$B$4,"",IF(NOT($BC272),"",IF(ISNUMBER($AL272),$AL272,0)))</f>
        <v/>
      </c>
      <c r="BL272" s="124" t="str">
        <f aca="false">IF(ISBLANK($C272),"",IF($AO272,Constants!$B$7,IF(COUNTA($E272:$V272)=0,Constants!$B$6,IF(NOT($Y272),Constants!$B$5,IF(NOT(OR($AS272,$BC272)),Constants!$B$5,IF(OR($AT272,$BD272,$AQ272,$AR272&lt;&gt;""),Constants!$B$8,Constants!$B$4))))))</f>
        <v/>
      </c>
      <c r="BM272" s="124" t="str">
        <f aca="false">IF(ISBLANK($C272),"",IF($BL272&lt;&gt;Constants!$B$4,$BL272,IF($BB272="-&gt;",$BI272,$AY272)))</f>
        <v/>
      </c>
      <c r="BN272" s="127" t="str">
        <f aca="false">IF($BL272&lt;&gt;Constants!$B$4,"",IF($BB272="-&gt;",$BJ272,$AZ272))</f>
        <v/>
      </c>
      <c r="BO272" s="127" t="str">
        <f aca="false">IF(ISBLANK($C272),"",IF($BL272&lt;&gt;Constants!$B$4,$BL272,$BN272))</f>
        <v/>
      </c>
      <c r="BP272" s="124" t="str">
        <f aca="false">IF(ISBLANK($C272),"",IF($BL272&lt;&gt;Constants!$B$4,$BL272,RANK($BO272,$BO$9:$BO$508,0)))</f>
        <v/>
      </c>
      <c r="BQ272" s="124" t="str">
        <f aca="false">IF(ISBLANK($C272),"",IF($BL272&lt;&gt;Constants!$B$4,$BL272,COUNTIFS($BM$9:$BM$508,"&lt;"&amp;$BM272)+COUNTIFS($BM$9:$BM$508,$BM272,$BP$9:$BP$508,"&lt;"&amp;$BP272)+1))</f>
        <v/>
      </c>
      <c r="BR272" s="127" t="str">
        <f aca="false">IF($BL272&lt;&gt;Constants!$B$4,"",IF($BB272="-&gt;",$BH272,$AX272))</f>
        <v/>
      </c>
      <c r="BS272" s="124" t="str">
        <f aca="false">IF(ISBLANK($C272),"",IF($BL272&lt;&gt;Constants!$B$4,$BL272,IF(ISNUMBER($BR272),RANK($BR272,$BR$9:$BR$508,0),COUNT($BR$9:$BR$508)+1)))</f>
        <v/>
      </c>
      <c r="BT272" s="127" t="str">
        <f aca="false">IF($BL272&lt;&gt;Constants!$B$4,"",IF($BB272="-&gt;",$BE272,$AU272))</f>
        <v/>
      </c>
      <c r="BU272" s="124" t="str">
        <f aca="false">IF(ISBLANK($C272),"",IF($BL272&lt;&gt;Constants!$B$4,$BL272,IF(ISNUMBER($BT272),RANK($BT272,$BT$9:$BT$508,0),COUNT($BT$9:$BT$508)+1)))</f>
        <v/>
      </c>
      <c r="BV272" s="127" t="str">
        <f aca="false">IF($BL272&lt;&gt;Constants!$B$4,"",IF($BB272="-&gt;",$BF272,$AV272))</f>
        <v/>
      </c>
      <c r="BW272" s="124" t="str">
        <f aca="false">IF(ISBLANK($C272),"",IF($BL272&lt;&gt;Constants!$B$4,$BL272,IF(ISNUMBER($BV272),RANK($BV272,$BV$9:$BV$508,0),COUNT($BV$9:$BV$508)+1)))</f>
        <v/>
      </c>
      <c r="BX272" s="127" t="str">
        <f aca="false">IF($BL272&lt;&gt;Constants!$B$4,"",IF($BB272="-&gt;",$BK272,$BA272))</f>
        <v/>
      </c>
      <c r="BY272" s="124" t="str">
        <f aca="false">IF(ISBLANK($C272),"",IF($BL272&lt;&gt;Constants!$B$4,$BL272,IF(ISNUMBER($BX272),RANK($BX272,$BX$9:$BX$508,0),COUNT($BX$9:$BX$508)+1)))</f>
        <v/>
      </c>
      <c r="BZ272" s="124" t="str">
        <f aca="false">IF(ISBLANK($C272),"",IF($BL272&lt;&gt;Constants!$B$4,$BL272,COUNTIFS($BM$9:$BM$508,"&lt;"&amp;$BM272)+COUNTIFS($BM$9:$BM$508,$BM272,$BP$9:$BP$508,"&lt;"&amp;$BP272)+COUNTIFS($BM$9:$BM$508,$BM272,$BP$9:$BP$508,$BP272,$BS$9:$BS$508,"&lt;"&amp;$BS272)+COUNTIFS($BM$9:$BM$508,$BM272,$BP$9:$BP$508,$BP272,$BS$9:$BS$508,$BS272,$BU$9:$BU$508,"&lt;"&amp;$BU272)+COUNTIFS($BM$9:$BM$508,$BM272,$BP$9:$BP$508,$BP272,$BS$9:$BS$508,$BS272,$BU$9:$BU$508,$BU272,$BW$9:$BW$508,"&lt;"&amp;$BW272)+COUNTIFS($BM$9:$BM$508,$BM272,$BP$9:$BP$508,$BP272,$BS$9:$BS$508,$BS272,$BU$9:$BU$508,$BU272,$BW$9:$BW$508,$BW272,$BY$9:$BY$508,"&lt;"&amp;$BY272)+1))</f>
        <v/>
      </c>
      <c r="CA272" s="124" t="str">
        <f aca="false">IF(ISBLANK($C272),"",IF($BL272&lt;&gt;Constants!$B$4,$BL272,$BQ272-$BZ272))</f>
        <v/>
      </c>
      <c r="CB272" s="130"/>
      <c r="CC272" s="131" t="str">
        <f aca="false">IF(ISBLANK($C272),"",IF($BL272=Constants!$B$8,$AR272,""))</f>
        <v/>
      </c>
      <c r="CD272" s="131" t="str">
        <f aca="false">IF(ISBLANK($C272),"",IF($BL272&lt;&gt;Constants!$B$4,"",IF($BB272="-&gt;",2,1)))</f>
        <v/>
      </c>
      <c r="CE272" s="132" t="str">
        <f aca="false">IF(ISBLANK($C272),"",IF($BL272&lt;&gt;Constants!$B$4,"",IF($BB272="-&gt;",$BE272,$AU272)))</f>
        <v/>
      </c>
      <c r="CF272" s="132" t="str">
        <f aca="false">IF(ISBLANK($C272),"",IF($BL272&lt;&gt;Constants!$B$4,"",IF($BB272="-&gt;",$BF272,$AV272)))</f>
        <v/>
      </c>
      <c r="CG272" s="132" t="str">
        <f aca="false">IF(ISBLANK($C272),"",IF($BL272&lt;&gt;Constants!$B$4,"",IF($BB272="-&gt;",$BG272,$AW272)))</f>
        <v/>
      </c>
      <c r="CH272" s="132" t="str">
        <f aca="false">IF(ISBLANK($C272),"",IF($BL272&lt;&gt;Constants!$B$4,"",IF($BB272="-&gt;",$BH272,$AX272)))</f>
        <v/>
      </c>
      <c r="CI272" s="133" t="str">
        <f aca="false">IF(ISBLANK($C272),"",$BO272)</f>
        <v/>
      </c>
      <c r="CJ272" s="134" t="str">
        <f aca="false">IF(ISBLANK($C272),"",$BM272)</f>
        <v/>
      </c>
      <c r="CK272" s="135" t="str">
        <f aca="false">IF(ISBLANK($C272),"",$CA272)</f>
        <v/>
      </c>
      <c r="CL272" s="135" t="str">
        <f aca="false">IF(ISBLANK($C272),"",$BZ272)</f>
        <v/>
      </c>
      <c r="CM272" s="136" t="str">
        <f aca="false">IF(ISBLANK($C272),"",IF($CL272=Constants!$B$7,COUNTA($C$9:$C$508)+2,IF($CL272=Constants!$B$6,COUNTA($C$9:$C$508)+1,IF($CL272=Constants!$B$5,COUNTA($C$9:$C$508),$CL272))))</f>
        <v/>
      </c>
      <c r="CN272" s="8"/>
      <c r="CO272" s="137" t="n">
        <f aca="false">IF(OR(ISNUMBER($CL272),$CL272=Constants!$B$7,$CL272=Constants!$B$5,$CL272=Constants!$B$6),1,0)</f>
        <v>0</v>
      </c>
      <c r="CP272" s="137" t="n">
        <v>264</v>
      </c>
      <c r="CQ272" s="137" t="str">
        <f aca="false">IF(ISBLANK($C272),"",IF(ISNUMBER($CM272),$CM272+ROW($B272)/1000,""))</f>
        <v/>
      </c>
      <c r="CR272" s="137" t="str">
        <f aca="false">IF(ISNUMBER($CQ272),RANK($CQ272,$CQ$9:$CQ$508,1),"")</f>
        <v/>
      </c>
      <c r="CS272" s="137" t="str">
        <f aca="false">IF(ISBLANK($C272),"",$B272)</f>
        <v/>
      </c>
      <c r="CT272" s="137" t="str">
        <f aca="false">IF(ISBLANK($C272),"",$C272)</f>
        <v/>
      </c>
      <c r="CU272" s="137" t="str">
        <f aca="false">IF(ISBLANK($C272),"",$D272)</f>
        <v/>
      </c>
      <c r="CV272" s="138" t="str">
        <f aca="false">$CJ272</f>
        <v/>
      </c>
      <c r="CW272" s="139" t="str">
        <f aca="false">$CI272</f>
        <v/>
      </c>
      <c r="CX272" s="137" t="str">
        <f aca="false">IF(ISBLANK($C272),"",$CL272)</f>
        <v/>
      </c>
      <c r="CY272" s="140" t="str">
        <f aca="false">IF($CP272&gt;$CO$8,"",VLOOKUP($CP272,$CR$9:$CX$508,7,FALSE()))</f>
        <v/>
      </c>
      <c r="CZ272" s="141" t="str">
        <f aca="false">IF($CP272&gt;$CO$8,"",VLOOKUP($CP272,$CR$9:$CX$508,2,FALSE()))</f>
        <v/>
      </c>
      <c r="DA272" s="141" t="str">
        <f aca="false">IF($CP272&gt;$CO$8,"",VLOOKUP($CP272,$CR$9:$CX$508,3,FALSE()))</f>
        <v/>
      </c>
      <c r="DB272" s="141" t="str">
        <f aca="false">IF($CP272&gt;$CO$8,"",VLOOKUP($CP272,$CR$9:$CX$508,4,FALSE()))</f>
        <v/>
      </c>
      <c r="DC272" s="141" t="str">
        <f aca="false">IF($CP272&gt;$CO$8,"",VLOOKUP($CP272,$CR$9:$CX$508,5,FALSE()))</f>
        <v/>
      </c>
      <c r="DD272" s="142" t="str">
        <f aca="false">IF($CP272&gt;$CO$8,"",VLOOKUP($CP272,$CR$9:$CX$508,6,FALSE()))</f>
        <v/>
      </c>
      <c r="DE272" s="70"/>
    </row>
    <row r="273" customFormat="false" ht="15.75" hidden="false" customHeight="false" outlineLevel="0" collapsed="false">
      <c r="A273" s="8"/>
      <c r="B273" s="72"/>
      <c r="C273" s="73"/>
      <c r="D273" s="155"/>
      <c r="E273" s="162"/>
      <c r="F273" s="157"/>
      <c r="G273" s="77"/>
      <c r="H273" s="77"/>
      <c r="I273" s="77"/>
      <c r="J273" s="163"/>
      <c r="K273" s="161"/>
      <c r="L273" s="161"/>
      <c r="M273" s="80"/>
      <c r="N273" s="161"/>
      <c r="O273" s="160"/>
      <c r="P273" s="161"/>
      <c r="Q273" s="161"/>
      <c r="R273" s="161"/>
      <c r="S273" s="77"/>
      <c r="T273" s="161"/>
      <c r="U273" s="160"/>
      <c r="V273" s="161"/>
      <c r="W273" s="85"/>
      <c r="X273" s="86" t="str">
        <f aca="false">IF(ISBLANK($C273),"",IF($E273=Constants!$B$2,TRUE(),IF($E273=Constants!$B$3,FALSE(),TRUE())))</f>
        <v/>
      </c>
      <c r="Y273" s="86" t="str">
        <f aca="false">IF(ISBLANK($C273),"",IF($F273=Constants!$B$2,TRUE(),IF($F273=Constants!$B$3,FALSE(),TRUE())))</f>
        <v/>
      </c>
      <c r="Z273" s="87" t="str">
        <f aca="false">IF(ISBLANK($C273),"",IF(ISNUMBER($G273),IF($G273&gt;=0,$G273,""),""))</f>
        <v/>
      </c>
      <c r="AA273" s="87" t="str">
        <f aca="false">IF(ISBLANK($C273),"",IF(ISNUMBER($H273),IF($H273&gt;=0,$H273,""),""))</f>
        <v/>
      </c>
      <c r="AB273" s="87" t="str">
        <f aca="false">IF(ISBLANK($C273),"",IF(ISNUMBER($I273),IF($I273&gt;=0,$I273,""),""))</f>
        <v/>
      </c>
      <c r="AC273" s="86" t="str">
        <f aca="false">IF(ISBLANK($C273),"",IF($J273=Constants!$B$2,TRUE(),IF($J273=Constants!$B$3,FALSE(),TRUE())))</f>
        <v/>
      </c>
      <c r="AD273" s="86" t="str">
        <f aca="false">IF(ISBLANK($C273),"",IF($K273=Constants!$B$2,TRUE(),IF($K273=Constants!$B$3,FALSE(),TRUE())))</f>
        <v/>
      </c>
      <c r="AE273" s="86" t="str">
        <f aca="false">IF(ISBLANK($C273),"",IF($L273=Constants!$B$2,TRUE(),IF($L273=Constants!$B$3,FALSE(),TRUE())))</f>
        <v/>
      </c>
      <c r="AF273" s="88" t="str">
        <f aca="false">IF(ISBLANK($C273),"",IF(ISNUMBER($M273),IF($M273&gt;=0,$M273,""),""))</f>
        <v/>
      </c>
      <c r="AG273" s="86" t="str">
        <f aca="false">IF(ISBLANK($C273),"",IF(ISBLANK($N273),0,IF(ISNUMBER($N273),IF(AND($N273&gt;=0,$N273&lt;=Constants!$B$17,$N273=INT($N273)),$N273,""),"")))</f>
        <v/>
      </c>
      <c r="AH273" s="87" t="str">
        <f aca="false">IF(ISBLANK($C273),"",IF(ISBLANK($O273),0,IF(ISNUMBER($O273),IF($O273&gt;=0,$O273,""),"")))</f>
        <v/>
      </c>
      <c r="AI273" s="86" t="str">
        <f aca="false">IF(ISBLANK($C273),"",IF($P273=Constants!$B$2,TRUE(),IF($P273=Constants!$B$3,FALSE(),TRUE())))</f>
        <v/>
      </c>
      <c r="AJ273" s="86" t="str">
        <f aca="false">IF(ISBLANK($C273),"",IF($Q273=Constants!$B$2,TRUE(),IF($Q273=Constants!$B$3,FALSE(),TRUE())))</f>
        <v/>
      </c>
      <c r="AK273" s="86" t="str">
        <f aca="false">IF(ISBLANK($C273),"",IF($R273=Constants!$B$2,TRUE(),IF($R273=Constants!$B$3,FALSE(),TRUE())))</f>
        <v/>
      </c>
      <c r="AL273" s="88" t="str">
        <f aca="false">IF(ISBLANK($C273),"",IF(ISNUMBER($S273),IF($S273&gt;=0,$S273,""),""))</f>
        <v/>
      </c>
      <c r="AM273" s="86" t="str">
        <f aca="false">IF(ISBLANK($C273),"",IF(ISBLANK($T273),0,IF(ISNUMBER($T273),IF(AND($T273&gt;=0,$T273&lt;=Constants!$B$17,$T273=INT($T273)),$T273,""),"")))</f>
        <v/>
      </c>
      <c r="AN273" s="87" t="str">
        <f aca="false">IF(ISBLANK($C273),"",IF(ISBLANK($U273),0,IF(ISNUMBER($U273),IF($U273&gt;=0,$U273,""),"")))</f>
        <v/>
      </c>
      <c r="AO273" s="86" t="str">
        <f aca="false">IF(ISBLANK($C273),"",IF($V273=Constants!$B$2,TRUE(),IF($V273=Constants!$B$3,FALSE(),FALSE())))</f>
        <v/>
      </c>
      <c r="AP273" s="86"/>
      <c r="AQ273" s="85" t="str">
        <f aca="false">IF(ISBLANK($C273),"",AND($Y273,OR($AS273,$BC273),OR($Z273="",$AA273="",$AB273="")))</f>
        <v/>
      </c>
      <c r="AR273" s="85" t="str">
        <f aca="false">IF(ISBLANK($C273),"",IF(OR(NOT($Y273),NOT(OR($AS273,$BC273))),"",IF(ISBLANK($D$7),$AR$5,IF($AP$9="",$AR$6,""))))</f>
        <v/>
      </c>
      <c r="AS273" s="85" t="str">
        <f aca="false">IF(ISBLANK($C273),"",COUNTA($J273:$O273)&gt;0)</f>
        <v/>
      </c>
      <c r="AT273" s="85" t="str">
        <f aca="false">IF(ISBLANK($C273),"",AND($AS273,OR(AND($AF273="",OR($AE273,NOT(ISBLANK($M273)))),$AG273="",$AH273="")))</f>
        <v/>
      </c>
      <c r="AU273" s="87" t="str">
        <f aca="false">IF($BL273&lt;&gt;Constants!$B$4,"",IF(NOT($AS273),"",ROUND((Constants!$B$12-$AB273)+(Constants!$B$13-$Z273)+(Constants!$B$14-$AA273),1)))</f>
        <v/>
      </c>
      <c r="AV273" s="90" t="str">
        <f aca="false">IF($BL273&lt;&gt;Constants!$B$4,"",IF(NOT($AS273),"",IF(NOT($AE273),0,Constants!$B$15*(INT(ROUND(MIN($AF273,$AP$9),6))-INT(ROUND(MAX(0,MIN($AF273,2*$AP$9)-$AP$9),6))))))</f>
        <v/>
      </c>
      <c r="AW273" s="90" t="str">
        <f aca="false">IF($BL273&lt;&gt;Constants!$B$4,"",IF(NOT($AS273),"",Constants!$B$16*$AG273))</f>
        <v/>
      </c>
      <c r="AX273" s="90" t="str">
        <f aca="false">IF($BL273&lt;&gt;Constants!$B$4,"",IF(NOT($AS273),"",Constants!$B$18*INT(ROUND($AH273,6))))</f>
        <v/>
      </c>
      <c r="AY273" s="85" t="str">
        <f aca="false">IF($BL273&lt;&gt;Constants!$B$4,"",IF(NOT($AS273),"",IF(NOT($X273),Constants!$B$11,IF(OR(NOT($AC273),NOT($AD273),ROUND($AB273,1)&gt;Constants!$B$12,ROUND($Z273,1)&gt;Constants!$B$13,ROUND($AA273,1)&gt;Constants!$B$14),Constants!$B$10,Constants!$B$9))))</f>
        <v/>
      </c>
      <c r="AZ273" s="91" t="str">
        <f aca="false">IF($BL273&lt;&gt;Constants!$B$4,"",IF(NOT($AS273),"",ROUND($AU273+$AV273+$AW273+$AX273,1)))</f>
        <v/>
      </c>
      <c r="BA273" s="92" t="str">
        <f aca="false">IF($BL273&lt;&gt;Constants!$B$4,"",IF(NOT($AS273),"",IF(ISNUMBER($AF273),$AF273,0)))</f>
        <v/>
      </c>
      <c r="BB273" s="86" t="str">
        <f aca="false">IF($BL273&lt;&gt;Constants!$B$4,"",IF(NOT($BC273),"&lt;-",IF(NOT($AS273),"-&gt;",IF(OR($BI273&lt;$AY273,AND($BI273=$AY273,OR($BJ273&gt;$AZ273,AND($BJ273=$AZ273,OR($BH273&gt;$AX273,AND($BH273=$AX273,OR($BE273&gt;$AU273,AND($BE273=$AU273,OR($BF273&gt;$AV273,AND($BF273=$AV273,$BK273&gt;$BA273)))))))))),"-&gt;","&lt;-"))))</f>
        <v/>
      </c>
      <c r="BC273" s="85" t="str">
        <f aca="false">IF(ISBLANK($C273),"",COUNTA($P273:$U273)&gt;0)</f>
        <v/>
      </c>
      <c r="BD273" s="85" t="str">
        <f aca="false">IF(ISBLANK($C273),"",AND($BC273,OR(AND($AL273="",OR($AK273,NOT(ISBLANK($S273)))),$AM273="",$AN273="")))</f>
        <v/>
      </c>
      <c r="BE273" s="87" t="str">
        <f aca="false">IF($BL273&lt;&gt;Constants!$B$4,"",IF(NOT($BC273),"",ROUND((Constants!$B$12-$AB273)+(Constants!$B$13-$Z273)+(Constants!$B$14-$AA273),1)))</f>
        <v/>
      </c>
      <c r="BF273" s="90" t="str">
        <f aca="false">IF($BL273&lt;&gt;Constants!$B$4,"",IF(NOT($BC273),"",IF(NOT($AK273),0,Constants!$B$15*(INT(ROUND(MIN($AL273,$AP$9),6))-INT(ROUND(MAX(0,MIN($AL273,2*$AP$9)-$AP$9),6))))))</f>
        <v/>
      </c>
      <c r="BG273" s="90" t="str">
        <f aca="false">IF($BL273&lt;&gt;Constants!$B$4,"",IF(NOT($BC273),"",Constants!$B$16*$AM273))</f>
        <v/>
      </c>
      <c r="BH273" s="90" t="str">
        <f aca="false">IF($BL273&lt;&gt;Constants!$B$4,"",IF(NOT($BC273),"",Constants!$B$18*INT(ROUND($AN273,6))))</f>
        <v/>
      </c>
      <c r="BI273" s="85" t="str">
        <f aca="false">IF($BL273&lt;&gt;Constants!$B$4,"",IF(NOT($BC273),"",IF(NOT($X273),Constants!$B$11,IF(OR(NOT($AI273),NOT($AJ273),ROUND($AB273,1)&gt;Constants!$B$12,ROUND($Z273,1)&gt;Constants!$B$13,ROUND($AA273,1)&gt;Constants!$B$14),Constants!$B$10,Constants!$B$9))))</f>
        <v/>
      </c>
      <c r="BJ273" s="91" t="str">
        <f aca="false">IF($BL273&lt;&gt;Constants!$B$4,"",IF(NOT($BC273),"",ROUND($BE273+$BF273+$BG273+$BH273,1)))</f>
        <v/>
      </c>
      <c r="BK273" s="92" t="str">
        <f aca="false">IF($BL273&lt;&gt;Constants!$B$4,"",IF(NOT($BC273),"",IF(ISNUMBER($AL273),$AL273,0)))</f>
        <v/>
      </c>
      <c r="BL273" s="86" t="str">
        <f aca="false">IF(ISBLANK($C273),"",IF($AO273,Constants!$B$7,IF(COUNTA($E273:$V273)=0,Constants!$B$6,IF(NOT($Y273),Constants!$B$5,IF(NOT(OR($AS273,$BC273)),Constants!$B$5,IF(OR($AT273,$BD273,$AQ273,$AR273&lt;&gt;""),Constants!$B$8,Constants!$B$4))))))</f>
        <v/>
      </c>
      <c r="BM273" s="86" t="str">
        <f aca="false">IF(ISBLANK($C273),"",IF($BL273&lt;&gt;Constants!$B$4,$BL273,IF($BB273="-&gt;",$BI273,$AY273)))</f>
        <v/>
      </c>
      <c r="BN273" s="90" t="str">
        <f aca="false">IF($BL273&lt;&gt;Constants!$B$4,"",IF($BB273="-&gt;",$BJ273,$AZ273))</f>
        <v/>
      </c>
      <c r="BO273" s="90" t="str">
        <f aca="false">IF(ISBLANK($C273),"",IF($BL273&lt;&gt;Constants!$B$4,$BL273,$BN273))</f>
        <v/>
      </c>
      <c r="BP273" s="86" t="str">
        <f aca="false">IF(ISBLANK($C273),"",IF($BL273&lt;&gt;Constants!$B$4,$BL273,RANK($BO273,$BO$9:$BO$508,0)))</f>
        <v/>
      </c>
      <c r="BQ273" s="86" t="str">
        <f aca="false">IF(ISBLANK($C273),"",IF($BL273&lt;&gt;Constants!$B$4,$BL273,COUNTIFS($BM$9:$BM$508,"&lt;"&amp;$BM273)+COUNTIFS($BM$9:$BM$508,$BM273,$BP$9:$BP$508,"&lt;"&amp;$BP273)+1))</f>
        <v/>
      </c>
      <c r="BR273" s="90" t="str">
        <f aca="false">IF($BL273&lt;&gt;Constants!$B$4,"",IF($BB273="-&gt;",$BH273,$AX273))</f>
        <v/>
      </c>
      <c r="BS273" s="86" t="str">
        <f aca="false">IF(ISBLANK($C273),"",IF($BL273&lt;&gt;Constants!$B$4,$BL273,IF(ISNUMBER($BR273),RANK($BR273,$BR$9:$BR$508,0),COUNT($BR$9:$BR$508)+1)))</f>
        <v/>
      </c>
      <c r="BT273" s="90" t="str">
        <f aca="false">IF($BL273&lt;&gt;Constants!$B$4,"",IF($BB273="-&gt;",$BE273,$AU273))</f>
        <v/>
      </c>
      <c r="BU273" s="86" t="str">
        <f aca="false">IF(ISBLANK($C273),"",IF($BL273&lt;&gt;Constants!$B$4,$BL273,IF(ISNUMBER($BT273),RANK($BT273,$BT$9:$BT$508,0),COUNT($BT$9:$BT$508)+1)))</f>
        <v/>
      </c>
      <c r="BV273" s="90" t="str">
        <f aca="false">IF($BL273&lt;&gt;Constants!$B$4,"",IF($BB273="-&gt;",$BF273,$AV273))</f>
        <v/>
      </c>
      <c r="BW273" s="86" t="str">
        <f aca="false">IF(ISBLANK($C273),"",IF($BL273&lt;&gt;Constants!$B$4,$BL273,IF(ISNUMBER($BV273),RANK($BV273,$BV$9:$BV$508,0),COUNT($BV$9:$BV$508)+1)))</f>
        <v/>
      </c>
      <c r="BX273" s="90" t="str">
        <f aca="false">IF($BL273&lt;&gt;Constants!$B$4,"",IF($BB273="-&gt;",$BK273,$BA273))</f>
        <v/>
      </c>
      <c r="BY273" s="86" t="str">
        <f aca="false">IF(ISBLANK($C273),"",IF($BL273&lt;&gt;Constants!$B$4,$BL273,IF(ISNUMBER($BX273),RANK($BX273,$BX$9:$BX$508,0),COUNT($BX$9:$BX$508)+1)))</f>
        <v/>
      </c>
      <c r="BZ273" s="86" t="str">
        <f aca="false">IF(ISBLANK($C273),"",IF($BL273&lt;&gt;Constants!$B$4,$BL273,COUNTIFS($BM$9:$BM$508,"&lt;"&amp;$BM273)+COUNTIFS($BM$9:$BM$508,$BM273,$BP$9:$BP$508,"&lt;"&amp;$BP273)+COUNTIFS($BM$9:$BM$508,$BM273,$BP$9:$BP$508,$BP273,$BS$9:$BS$508,"&lt;"&amp;$BS273)+COUNTIFS($BM$9:$BM$508,$BM273,$BP$9:$BP$508,$BP273,$BS$9:$BS$508,$BS273,$BU$9:$BU$508,"&lt;"&amp;$BU273)+COUNTIFS($BM$9:$BM$508,$BM273,$BP$9:$BP$508,$BP273,$BS$9:$BS$508,$BS273,$BU$9:$BU$508,$BU273,$BW$9:$BW$508,"&lt;"&amp;$BW273)+COUNTIFS($BM$9:$BM$508,$BM273,$BP$9:$BP$508,$BP273,$BS$9:$BS$508,$BS273,$BU$9:$BU$508,$BU273,$BW$9:$BW$508,$BW273,$BY$9:$BY$508,"&lt;"&amp;$BY273)+1))</f>
        <v/>
      </c>
      <c r="CA273" s="86" t="str">
        <f aca="false">IF(ISBLANK($C273),"",IF($BL273&lt;&gt;Constants!$B$4,$BL273,$BQ273-$BZ273))</f>
        <v/>
      </c>
      <c r="CB273" s="93"/>
      <c r="CC273" s="94" t="str">
        <f aca="false">IF(ISBLANK($C273),"",IF($BL273=Constants!$B$8,$AR273,""))</f>
        <v/>
      </c>
      <c r="CD273" s="94" t="str">
        <f aca="false">IF(ISBLANK($C273),"",IF($BL273&lt;&gt;Constants!$B$4,"",IF($BB273="-&gt;",2,1)))</f>
        <v/>
      </c>
      <c r="CE273" s="95" t="str">
        <f aca="false">IF(ISBLANK($C273),"",IF($BL273&lt;&gt;Constants!$B$4,"",IF($BB273="-&gt;",$BE273,$AU273)))</f>
        <v/>
      </c>
      <c r="CF273" s="95" t="str">
        <f aca="false">IF(ISBLANK($C273),"",IF($BL273&lt;&gt;Constants!$B$4,"",IF($BB273="-&gt;",$BF273,$AV273)))</f>
        <v/>
      </c>
      <c r="CG273" s="95" t="str">
        <f aca="false">IF(ISBLANK($C273),"",IF($BL273&lt;&gt;Constants!$B$4,"",IF($BB273="-&gt;",$BG273,$AW273)))</f>
        <v/>
      </c>
      <c r="CH273" s="95" t="str">
        <f aca="false">IF(ISBLANK($C273),"",IF($BL273&lt;&gt;Constants!$B$4,"",IF($BB273="-&gt;",$BH273,$AX273)))</f>
        <v/>
      </c>
      <c r="CI273" s="96" t="str">
        <f aca="false">IF(ISBLANK($C273),"",$BO273)</f>
        <v/>
      </c>
      <c r="CJ273" s="97" t="str">
        <f aca="false">IF(ISBLANK($C273),"",$BM273)</f>
        <v/>
      </c>
      <c r="CK273" s="98" t="str">
        <f aca="false">IF(ISBLANK($C273),"",$CA273)</f>
        <v/>
      </c>
      <c r="CL273" s="98" t="str">
        <f aca="false">IF(ISBLANK($C273),"",$BZ273)</f>
        <v/>
      </c>
      <c r="CM273" s="99" t="str">
        <f aca="false">IF(ISBLANK($C273),"",IF($CL273=Constants!$B$7,COUNTA($C$9:$C$508)+2,IF($CL273=Constants!$B$6,COUNTA($C$9:$C$508)+1,IF($CL273=Constants!$B$5,COUNTA($C$9:$C$508),$CL273))))</f>
        <v/>
      </c>
      <c r="CN273" s="8"/>
      <c r="CO273" s="100" t="n">
        <f aca="false">IF(OR(ISNUMBER($CL273),$CL273=Constants!$B$7,$CL273=Constants!$B$5,$CL273=Constants!$B$6),1,0)</f>
        <v>0</v>
      </c>
      <c r="CP273" s="100" t="n">
        <v>265</v>
      </c>
      <c r="CQ273" s="100" t="str">
        <f aca="false">IF(ISBLANK($C273),"",IF(ISNUMBER($CM273),$CM273+ROW($B273)/1000,""))</f>
        <v/>
      </c>
      <c r="CR273" s="100" t="str">
        <f aca="false">IF(ISNUMBER($CQ273),RANK($CQ273,$CQ$9:$CQ$508,1),"")</f>
        <v/>
      </c>
      <c r="CS273" s="100" t="str">
        <f aca="false">IF(ISBLANK($C273),"",$B273)</f>
        <v/>
      </c>
      <c r="CT273" s="100" t="str">
        <f aca="false">IF(ISBLANK($C273),"",$C273)</f>
        <v/>
      </c>
      <c r="CU273" s="100" t="str">
        <f aca="false">IF(ISBLANK($C273),"",$D273)</f>
        <v/>
      </c>
      <c r="CV273" s="101" t="str">
        <f aca="false">$CJ273</f>
        <v/>
      </c>
      <c r="CW273" s="102" t="str">
        <f aca="false">$CI273</f>
        <v/>
      </c>
      <c r="CX273" s="100" t="str">
        <f aca="false">IF(ISBLANK($C273),"",$CL273)</f>
        <v/>
      </c>
      <c r="CY273" s="103" t="str">
        <f aca="false">IF($CP273&gt;$CO$8,"",VLOOKUP($CP273,$CR$9:$CX$508,7,FALSE()))</f>
        <v/>
      </c>
      <c r="CZ273" s="104" t="str">
        <f aca="false">IF($CP273&gt;$CO$8,"",VLOOKUP($CP273,$CR$9:$CX$508,2,FALSE()))</f>
        <v/>
      </c>
      <c r="DA273" s="104" t="str">
        <f aca="false">IF($CP273&gt;$CO$8,"",VLOOKUP($CP273,$CR$9:$CX$508,3,FALSE()))</f>
        <v/>
      </c>
      <c r="DB273" s="104" t="str">
        <f aca="false">IF($CP273&gt;$CO$8,"",VLOOKUP($CP273,$CR$9:$CX$508,4,FALSE()))</f>
        <v/>
      </c>
      <c r="DC273" s="104" t="str">
        <f aca="false">IF($CP273&gt;$CO$8,"",VLOOKUP($CP273,$CR$9:$CX$508,5,FALSE()))</f>
        <v/>
      </c>
      <c r="DD273" s="105" t="str">
        <f aca="false">IF($CP273&gt;$CO$8,"",VLOOKUP($CP273,$CR$9:$CX$508,6,FALSE()))</f>
        <v/>
      </c>
      <c r="DE273" s="70"/>
    </row>
    <row r="274" customFormat="false" ht="15.75" hidden="false" customHeight="false" outlineLevel="0" collapsed="false">
      <c r="A274" s="8"/>
      <c r="B274" s="72"/>
      <c r="C274" s="73"/>
      <c r="D274" s="155"/>
      <c r="E274" s="162"/>
      <c r="F274" s="157"/>
      <c r="G274" s="77"/>
      <c r="H274" s="77"/>
      <c r="I274" s="77"/>
      <c r="J274" s="163"/>
      <c r="K274" s="161"/>
      <c r="L274" s="161"/>
      <c r="M274" s="80"/>
      <c r="N274" s="161"/>
      <c r="O274" s="160"/>
      <c r="P274" s="161"/>
      <c r="Q274" s="161"/>
      <c r="R274" s="161"/>
      <c r="S274" s="77"/>
      <c r="T274" s="161"/>
      <c r="U274" s="160"/>
      <c r="V274" s="161"/>
      <c r="W274" s="85"/>
      <c r="X274" s="86" t="str">
        <f aca="false">IF(ISBLANK($C274),"",IF($E274=Constants!$B$2,TRUE(),IF($E274=Constants!$B$3,FALSE(),TRUE())))</f>
        <v/>
      </c>
      <c r="Y274" s="86" t="str">
        <f aca="false">IF(ISBLANK($C274),"",IF($F274=Constants!$B$2,TRUE(),IF($F274=Constants!$B$3,FALSE(),TRUE())))</f>
        <v/>
      </c>
      <c r="Z274" s="87" t="str">
        <f aca="false">IF(ISBLANK($C274),"",IF(ISNUMBER($G274),IF($G274&gt;=0,$G274,""),""))</f>
        <v/>
      </c>
      <c r="AA274" s="87" t="str">
        <f aca="false">IF(ISBLANK($C274),"",IF(ISNUMBER($H274),IF($H274&gt;=0,$H274,""),""))</f>
        <v/>
      </c>
      <c r="AB274" s="87" t="str">
        <f aca="false">IF(ISBLANK($C274),"",IF(ISNUMBER($I274),IF($I274&gt;=0,$I274,""),""))</f>
        <v/>
      </c>
      <c r="AC274" s="86" t="str">
        <f aca="false">IF(ISBLANK($C274),"",IF($J274=Constants!$B$2,TRUE(),IF($J274=Constants!$B$3,FALSE(),TRUE())))</f>
        <v/>
      </c>
      <c r="AD274" s="86" t="str">
        <f aca="false">IF(ISBLANK($C274),"",IF($K274=Constants!$B$2,TRUE(),IF($K274=Constants!$B$3,FALSE(),TRUE())))</f>
        <v/>
      </c>
      <c r="AE274" s="86" t="str">
        <f aca="false">IF(ISBLANK($C274),"",IF($L274=Constants!$B$2,TRUE(),IF($L274=Constants!$B$3,FALSE(),TRUE())))</f>
        <v/>
      </c>
      <c r="AF274" s="88" t="str">
        <f aca="false">IF(ISBLANK($C274),"",IF(ISNUMBER($M274),IF($M274&gt;=0,$M274,""),""))</f>
        <v/>
      </c>
      <c r="AG274" s="86" t="str">
        <f aca="false">IF(ISBLANK($C274),"",IF(ISBLANK($N274),0,IF(ISNUMBER($N274),IF(AND($N274&gt;=0,$N274&lt;=Constants!$B$17,$N274=INT($N274)),$N274,""),"")))</f>
        <v/>
      </c>
      <c r="AH274" s="87" t="str">
        <f aca="false">IF(ISBLANK($C274),"",IF(ISBLANK($O274),0,IF(ISNUMBER($O274),IF($O274&gt;=0,$O274,""),"")))</f>
        <v/>
      </c>
      <c r="AI274" s="86" t="str">
        <f aca="false">IF(ISBLANK($C274),"",IF($P274=Constants!$B$2,TRUE(),IF($P274=Constants!$B$3,FALSE(),TRUE())))</f>
        <v/>
      </c>
      <c r="AJ274" s="86" t="str">
        <f aca="false">IF(ISBLANK($C274),"",IF($Q274=Constants!$B$2,TRUE(),IF($Q274=Constants!$B$3,FALSE(),TRUE())))</f>
        <v/>
      </c>
      <c r="AK274" s="86" t="str">
        <f aca="false">IF(ISBLANK($C274),"",IF($R274=Constants!$B$2,TRUE(),IF($R274=Constants!$B$3,FALSE(),TRUE())))</f>
        <v/>
      </c>
      <c r="AL274" s="88" t="str">
        <f aca="false">IF(ISBLANK($C274),"",IF(ISNUMBER($S274),IF($S274&gt;=0,$S274,""),""))</f>
        <v/>
      </c>
      <c r="AM274" s="86" t="str">
        <f aca="false">IF(ISBLANK($C274),"",IF(ISBLANK($T274),0,IF(ISNUMBER($T274),IF(AND($T274&gt;=0,$T274&lt;=Constants!$B$17,$T274=INT($T274)),$T274,""),"")))</f>
        <v/>
      </c>
      <c r="AN274" s="87" t="str">
        <f aca="false">IF(ISBLANK($C274),"",IF(ISBLANK($U274),0,IF(ISNUMBER($U274),IF($U274&gt;=0,$U274,""),"")))</f>
        <v/>
      </c>
      <c r="AO274" s="86" t="str">
        <f aca="false">IF(ISBLANK($C274),"",IF($V274=Constants!$B$2,TRUE(),IF($V274=Constants!$B$3,FALSE(),FALSE())))</f>
        <v/>
      </c>
      <c r="AP274" s="86"/>
      <c r="AQ274" s="85" t="str">
        <f aca="false">IF(ISBLANK($C274),"",AND($Y274,OR($AS274,$BC274),OR($Z274="",$AA274="",$AB274="")))</f>
        <v/>
      </c>
      <c r="AR274" s="85" t="str">
        <f aca="false">IF(ISBLANK($C274),"",IF(OR(NOT($Y274),NOT(OR($AS274,$BC274))),"",IF(ISBLANK($D$7),$AR$5,IF($AP$9="",$AR$6,""))))</f>
        <v/>
      </c>
      <c r="AS274" s="85" t="str">
        <f aca="false">IF(ISBLANK($C274),"",COUNTA($J274:$O274)&gt;0)</f>
        <v/>
      </c>
      <c r="AT274" s="85" t="str">
        <f aca="false">IF(ISBLANK($C274),"",AND($AS274,OR(AND($AF274="",OR($AE274,NOT(ISBLANK($M274)))),$AG274="",$AH274="")))</f>
        <v/>
      </c>
      <c r="AU274" s="87" t="str">
        <f aca="false">IF($BL274&lt;&gt;Constants!$B$4,"",IF(NOT($AS274),"",ROUND((Constants!$B$12-$AB274)+(Constants!$B$13-$Z274)+(Constants!$B$14-$AA274),1)))</f>
        <v/>
      </c>
      <c r="AV274" s="90" t="str">
        <f aca="false">IF($BL274&lt;&gt;Constants!$B$4,"",IF(NOT($AS274),"",IF(NOT($AE274),0,Constants!$B$15*(INT(ROUND(MIN($AF274,$AP$9),6))-INT(ROUND(MAX(0,MIN($AF274,2*$AP$9)-$AP$9),6))))))</f>
        <v/>
      </c>
      <c r="AW274" s="90" t="str">
        <f aca="false">IF($BL274&lt;&gt;Constants!$B$4,"",IF(NOT($AS274),"",Constants!$B$16*$AG274))</f>
        <v/>
      </c>
      <c r="AX274" s="90" t="str">
        <f aca="false">IF($BL274&lt;&gt;Constants!$B$4,"",IF(NOT($AS274),"",Constants!$B$18*INT(ROUND($AH274,6))))</f>
        <v/>
      </c>
      <c r="AY274" s="85" t="str">
        <f aca="false">IF($BL274&lt;&gt;Constants!$B$4,"",IF(NOT($AS274),"",IF(NOT($X274),Constants!$B$11,IF(OR(NOT($AC274),NOT($AD274),ROUND($AB274,1)&gt;Constants!$B$12,ROUND($Z274,1)&gt;Constants!$B$13,ROUND($AA274,1)&gt;Constants!$B$14),Constants!$B$10,Constants!$B$9))))</f>
        <v/>
      </c>
      <c r="AZ274" s="91" t="str">
        <f aca="false">IF($BL274&lt;&gt;Constants!$B$4,"",IF(NOT($AS274),"",ROUND($AU274+$AV274+$AW274+$AX274,1)))</f>
        <v/>
      </c>
      <c r="BA274" s="92" t="str">
        <f aca="false">IF($BL274&lt;&gt;Constants!$B$4,"",IF(NOT($AS274),"",IF(ISNUMBER($AF274),$AF274,0)))</f>
        <v/>
      </c>
      <c r="BB274" s="86" t="str">
        <f aca="false">IF($BL274&lt;&gt;Constants!$B$4,"",IF(NOT($BC274),"&lt;-",IF(NOT($AS274),"-&gt;",IF(OR($BI274&lt;$AY274,AND($BI274=$AY274,OR($BJ274&gt;$AZ274,AND($BJ274=$AZ274,OR($BH274&gt;$AX274,AND($BH274=$AX274,OR($BE274&gt;$AU274,AND($BE274=$AU274,OR($BF274&gt;$AV274,AND($BF274=$AV274,$BK274&gt;$BA274)))))))))),"-&gt;","&lt;-"))))</f>
        <v/>
      </c>
      <c r="BC274" s="85" t="str">
        <f aca="false">IF(ISBLANK($C274),"",COUNTA($P274:$U274)&gt;0)</f>
        <v/>
      </c>
      <c r="BD274" s="85" t="str">
        <f aca="false">IF(ISBLANK($C274),"",AND($BC274,OR(AND($AL274="",OR($AK274,NOT(ISBLANK($S274)))),$AM274="",$AN274="")))</f>
        <v/>
      </c>
      <c r="BE274" s="87" t="str">
        <f aca="false">IF($BL274&lt;&gt;Constants!$B$4,"",IF(NOT($BC274),"",ROUND((Constants!$B$12-$AB274)+(Constants!$B$13-$Z274)+(Constants!$B$14-$AA274),1)))</f>
        <v/>
      </c>
      <c r="BF274" s="90" t="str">
        <f aca="false">IF($BL274&lt;&gt;Constants!$B$4,"",IF(NOT($BC274),"",IF(NOT($AK274),0,Constants!$B$15*(INT(ROUND(MIN($AL274,$AP$9),6))-INT(ROUND(MAX(0,MIN($AL274,2*$AP$9)-$AP$9),6))))))</f>
        <v/>
      </c>
      <c r="BG274" s="90" t="str">
        <f aca="false">IF($BL274&lt;&gt;Constants!$B$4,"",IF(NOT($BC274),"",Constants!$B$16*$AM274))</f>
        <v/>
      </c>
      <c r="BH274" s="90" t="str">
        <f aca="false">IF($BL274&lt;&gt;Constants!$B$4,"",IF(NOT($BC274),"",Constants!$B$18*INT(ROUND($AN274,6))))</f>
        <v/>
      </c>
      <c r="BI274" s="85" t="str">
        <f aca="false">IF($BL274&lt;&gt;Constants!$B$4,"",IF(NOT($BC274),"",IF(NOT($X274),Constants!$B$11,IF(OR(NOT($AI274),NOT($AJ274),ROUND($AB274,1)&gt;Constants!$B$12,ROUND($Z274,1)&gt;Constants!$B$13,ROUND($AA274,1)&gt;Constants!$B$14),Constants!$B$10,Constants!$B$9))))</f>
        <v/>
      </c>
      <c r="BJ274" s="91" t="str">
        <f aca="false">IF($BL274&lt;&gt;Constants!$B$4,"",IF(NOT($BC274),"",ROUND($BE274+$BF274+$BG274+$BH274,1)))</f>
        <v/>
      </c>
      <c r="BK274" s="92" t="str">
        <f aca="false">IF($BL274&lt;&gt;Constants!$B$4,"",IF(NOT($BC274),"",IF(ISNUMBER($AL274),$AL274,0)))</f>
        <v/>
      </c>
      <c r="BL274" s="86" t="str">
        <f aca="false">IF(ISBLANK($C274),"",IF($AO274,Constants!$B$7,IF(COUNTA($E274:$V274)=0,Constants!$B$6,IF(NOT($Y274),Constants!$B$5,IF(NOT(OR($AS274,$BC274)),Constants!$B$5,IF(OR($AT274,$BD274,$AQ274,$AR274&lt;&gt;""),Constants!$B$8,Constants!$B$4))))))</f>
        <v/>
      </c>
      <c r="BM274" s="86" t="str">
        <f aca="false">IF(ISBLANK($C274),"",IF($BL274&lt;&gt;Constants!$B$4,$BL274,IF($BB274="-&gt;",$BI274,$AY274)))</f>
        <v/>
      </c>
      <c r="BN274" s="90" t="str">
        <f aca="false">IF($BL274&lt;&gt;Constants!$B$4,"",IF($BB274="-&gt;",$BJ274,$AZ274))</f>
        <v/>
      </c>
      <c r="BO274" s="90" t="str">
        <f aca="false">IF(ISBLANK($C274),"",IF($BL274&lt;&gt;Constants!$B$4,$BL274,$BN274))</f>
        <v/>
      </c>
      <c r="BP274" s="86" t="str">
        <f aca="false">IF(ISBLANK($C274),"",IF($BL274&lt;&gt;Constants!$B$4,$BL274,RANK($BO274,$BO$9:$BO$508,0)))</f>
        <v/>
      </c>
      <c r="BQ274" s="86" t="str">
        <f aca="false">IF(ISBLANK($C274),"",IF($BL274&lt;&gt;Constants!$B$4,$BL274,COUNTIFS($BM$9:$BM$508,"&lt;"&amp;$BM274)+COUNTIFS($BM$9:$BM$508,$BM274,$BP$9:$BP$508,"&lt;"&amp;$BP274)+1))</f>
        <v/>
      </c>
      <c r="BR274" s="90" t="str">
        <f aca="false">IF($BL274&lt;&gt;Constants!$B$4,"",IF($BB274="-&gt;",$BH274,$AX274))</f>
        <v/>
      </c>
      <c r="BS274" s="86" t="str">
        <f aca="false">IF(ISBLANK($C274),"",IF($BL274&lt;&gt;Constants!$B$4,$BL274,IF(ISNUMBER($BR274),RANK($BR274,$BR$9:$BR$508,0),COUNT($BR$9:$BR$508)+1)))</f>
        <v/>
      </c>
      <c r="BT274" s="90" t="str">
        <f aca="false">IF($BL274&lt;&gt;Constants!$B$4,"",IF($BB274="-&gt;",$BE274,$AU274))</f>
        <v/>
      </c>
      <c r="BU274" s="86" t="str">
        <f aca="false">IF(ISBLANK($C274),"",IF($BL274&lt;&gt;Constants!$B$4,$BL274,IF(ISNUMBER($BT274),RANK($BT274,$BT$9:$BT$508,0),COUNT($BT$9:$BT$508)+1)))</f>
        <v/>
      </c>
      <c r="BV274" s="90" t="str">
        <f aca="false">IF($BL274&lt;&gt;Constants!$B$4,"",IF($BB274="-&gt;",$BF274,$AV274))</f>
        <v/>
      </c>
      <c r="BW274" s="86" t="str">
        <f aca="false">IF(ISBLANK($C274),"",IF($BL274&lt;&gt;Constants!$B$4,$BL274,IF(ISNUMBER($BV274),RANK($BV274,$BV$9:$BV$508,0),COUNT($BV$9:$BV$508)+1)))</f>
        <v/>
      </c>
      <c r="BX274" s="90" t="str">
        <f aca="false">IF($BL274&lt;&gt;Constants!$B$4,"",IF($BB274="-&gt;",$BK274,$BA274))</f>
        <v/>
      </c>
      <c r="BY274" s="86" t="str">
        <f aca="false">IF(ISBLANK($C274),"",IF($BL274&lt;&gt;Constants!$B$4,$BL274,IF(ISNUMBER($BX274),RANK($BX274,$BX$9:$BX$508,0),COUNT($BX$9:$BX$508)+1)))</f>
        <v/>
      </c>
      <c r="BZ274" s="86" t="str">
        <f aca="false">IF(ISBLANK($C274),"",IF($BL274&lt;&gt;Constants!$B$4,$BL274,COUNTIFS($BM$9:$BM$508,"&lt;"&amp;$BM274)+COUNTIFS($BM$9:$BM$508,$BM274,$BP$9:$BP$508,"&lt;"&amp;$BP274)+COUNTIFS($BM$9:$BM$508,$BM274,$BP$9:$BP$508,$BP274,$BS$9:$BS$508,"&lt;"&amp;$BS274)+COUNTIFS($BM$9:$BM$508,$BM274,$BP$9:$BP$508,$BP274,$BS$9:$BS$508,$BS274,$BU$9:$BU$508,"&lt;"&amp;$BU274)+COUNTIFS($BM$9:$BM$508,$BM274,$BP$9:$BP$508,$BP274,$BS$9:$BS$508,$BS274,$BU$9:$BU$508,$BU274,$BW$9:$BW$508,"&lt;"&amp;$BW274)+COUNTIFS($BM$9:$BM$508,$BM274,$BP$9:$BP$508,$BP274,$BS$9:$BS$508,$BS274,$BU$9:$BU$508,$BU274,$BW$9:$BW$508,$BW274,$BY$9:$BY$508,"&lt;"&amp;$BY274)+1))</f>
        <v/>
      </c>
      <c r="CA274" s="86" t="str">
        <f aca="false">IF(ISBLANK($C274),"",IF($BL274&lt;&gt;Constants!$B$4,$BL274,$BQ274-$BZ274))</f>
        <v/>
      </c>
      <c r="CB274" s="93"/>
      <c r="CC274" s="94" t="str">
        <f aca="false">IF(ISBLANK($C274),"",IF($BL274=Constants!$B$8,$AR274,""))</f>
        <v/>
      </c>
      <c r="CD274" s="94" t="str">
        <f aca="false">IF(ISBLANK($C274),"",IF($BL274&lt;&gt;Constants!$B$4,"",IF($BB274="-&gt;",2,1)))</f>
        <v/>
      </c>
      <c r="CE274" s="95" t="str">
        <f aca="false">IF(ISBLANK($C274),"",IF($BL274&lt;&gt;Constants!$B$4,"",IF($BB274="-&gt;",$BE274,$AU274)))</f>
        <v/>
      </c>
      <c r="CF274" s="95" t="str">
        <f aca="false">IF(ISBLANK($C274),"",IF($BL274&lt;&gt;Constants!$B$4,"",IF($BB274="-&gt;",$BF274,$AV274)))</f>
        <v/>
      </c>
      <c r="CG274" s="95" t="str">
        <f aca="false">IF(ISBLANK($C274),"",IF($BL274&lt;&gt;Constants!$B$4,"",IF($BB274="-&gt;",$BG274,$AW274)))</f>
        <v/>
      </c>
      <c r="CH274" s="95" t="str">
        <f aca="false">IF(ISBLANK($C274),"",IF($BL274&lt;&gt;Constants!$B$4,"",IF($BB274="-&gt;",$BH274,$AX274)))</f>
        <v/>
      </c>
      <c r="CI274" s="96" t="str">
        <f aca="false">IF(ISBLANK($C274),"",$BO274)</f>
        <v/>
      </c>
      <c r="CJ274" s="97" t="str">
        <f aca="false">IF(ISBLANK($C274),"",$BM274)</f>
        <v/>
      </c>
      <c r="CK274" s="98" t="str">
        <f aca="false">IF(ISBLANK($C274),"",$CA274)</f>
        <v/>
      </c>
      <c r="CL274" s="98" t="str">
        <f aca="false">IF(ISBLANK($C274),"",$BZ274)</f>
        <v/>
      </c>
      <c r="CM274" s="99" t="str">
        <f aca="false">IF(ISBLANK($C274),"",IF($CL274=Constants!$B$7,COUNTA($C$9:$C$508)+2,IF($CL274=Constants!$B$6,COUNTA($C$9:$C$508)+1,IF($CL274=Constants!$B$5,COUNTA($C$9:$C$508),$CL274))))</f>
        <v/>
      </c>
      <c r="CN274" s="8"/>
      <c r="CO274" s="100" t="n">
        <f aca="false">IF(OR(ISNUMBER($CL274),$CL274=Constants!$B$7,$CL274=Constants!$B$5,$CL274=Constants!$B$6),1,0)</f>
        <v>0</v>
      </c>
      <c r="CP274" s="100" t="n">
        <v>266</v>
      </c>
      <c r="CQ274" s="100" t="str">
        <f aca="false">IF(ISBLANK($C274),"",IF(ISNUMBER($CM274),$CM274+ROW($B274)/1000,""))</f>
        <v/>
      </c>
      <c r="CR274" s="100" t="str">
        <f aca="false">IF(ISNUMBER($CQ274),RANK($CQ274,$CQ$9:$CQ$508,1),"")</f>
        <v/>
      </c>
      <c r="CS274" s="100" t="str">
        <f aca="false">IF(ISBLANK($C274),"",$B274)</f>
        <v/>
      </c>
      <c r="CT274" s="100" t="str">
        <f aca="false">IF(ISBLANK($C274),"",$C274)</f>
        <v/>
      </c>
      <c r="CU274" s="100" t="str">
        <f aca="false">IF(ISBLANK($C274),"",$D274)</f>
        <v/>
      </c>
      <c r="CV274" s="101" t="str">
        <f aca="false">$CJ274</f>
        <v/>
      </c>
      <c r="CW274" s="102" t="str">
        <f aca="false">$CI274</f>
        <v/>
      </c>
      <c r="CX274" s="100" t="str">
        <f aca="false">IF(ISBLANK($C274),"",$CL274)</f>
        <v/>
      </c>
      <c r="CY274" s="103" t="str">
        <f aca="false">IF($CP274&gt;$CO$8,"",VLOOKUP($CP274,$CR$9:$CX$508,7,FALSE()))</f>
        <v/>
      </c>
      <c r="CZ274" s="104" t="str">
        <f aca="false">IF($CP274&gt;$CO$8,"",VLOOKUP($CP274,$CR$9:$CX$508,2,FALSE()))</f>
        <v/>
      </c>
      <c r="DA274" s="104" t="str">
        <f aca="false">IF($CP274&gt;$CO$8,"",VLOOKUP($CP274,$CR$9:$CX$508,3,FALSE()))</f>
        <v/>
      </c>
      <c r="DB274" s="104" t="str">
        <f aca="false">IF($CP274&gt;$CO$8,"",VLOOKUP($CP274,$CR$9:$CX$508,4,FALSE()))</f>
        <v/>
      </c>
      <c r="DC274" s="104" t="str">
        <f aca="false">IF($CP274&gt;$CO$8,"",VLOOKUP($CP274,$CR$9:$CX$508,5,FALSE()))</f>
        <v/>
      </c>
      <c r="DD274" s="105" t="str">
        <f aca="false">IF($CP274&gt;$CO$8,"",VLOOKUP($CP274,$CR$9:$CX$508,6,FALSE()))</f>
        <v/>
      </c>
      <c r="DE274" s="70"/>
    </row>
    <row r="275" customFormat="false" ht="15.75" hidden="false" customHeight="false" outlineLevel="0" collapsed="false">
      <c r="A275" s="8"/>
      <c r="B275" s="72"/>
      <c r="C275" s="73"/>
      <c r="D275" s="155"/>
      <c r="E275" s="162"/>
      <c r="F275" s="157"/>
      <c r="G275" s="77"/>
      <c r="H275" s="77"/>
      <c r="I275" s="77"/>
      <c r="J275" s="163"/>
      <c r="K275" s="161"/>
      <c r="L275" s="161"/>
      <c r="M275" s="80"/>
      <c r="N275" s="161"/>
      <c r="O275" s="160"/>
      <c r="P275" s="161"/>
      <c r="Q275" s="161"/>
      <c r="R275" s="161"/>
      <c r="S275" s="77"/>
      <c r="T275" s="161"/>
      <c r="U275" s="160"/>
      <c r="V275" s="161"/>
      <c r="W275" s="85"/>
      <c r="X275" s="86" t="str">
        <f aca="false">IF(ISBLANK($C275),"",IF($E275=Constants!$B$2,TRUE(),IF($E275=Constants!$B$3,FALSE(),TRUE())))</f>
        <v/>
      </c>
      <c r="Y275" s="86" t="str">
        <f aca="false">IF(ISBLANK($C275),"",IF($F275=Constants!$B$2,TRUE(),IF($F275=Constants!$B$3,FALSE(),TRUE())))</f>
        <v/>
      </c>
      <c r="Z275" s="87" t="str">
        <f aca="false">IF(ISBLANK($C275),"",IF(ISNUMBER($G275),IF($G275&gt;=0,$G275,""),""))</f>
        <v/>
      </c>
      <c r="AA275" s="87" t="str">
        <f aca="false">IF(ISBLANK($C275),"",IF(ISNUMBER($H275),IF($H275&gt;=0,$H275,""),""))</f>
        <v/>
      </c>
      <c r="AB275" s="87" t="str">
        <f aca="false">IF(ISBLANK($C275),"",IF(ISNUMBER($I275),IF($I275&gt;=0,$I275,""),""))</f>
        <v/>
      </c>
      <c r="AC275" s="86" t="str">
        <f aca="false">IF(ISBLANK($C275),"",IF($J275=Constants!$B$2,TRUE(),IF($J275=Constants!$B$3,FALSE(),TRUE())))</f>
        <v/>
      </c>
      <c r="AD275" s="86" t="str">
        <f aca="false">IF(ISBLANK($C275),"",IF($K275=Constants!$B$2,TRUE(),IF($K275=Constants!$B$3,FALSE(),TRUE())))</f>
        <v/>
      </c>
      <c r="AE275" s="86" t="str">
        <f aca="false">IF(ISBLANK($C275),"",IF($L275=Constants!$B$2,TRUE(),IF($L275=Constants!$B$3,FALSE(),TRUE())))</f>
        <v/>
      </c>
      <c r="AF275" s="88" t="str">
        <f aca="false">IF(ISBLANK($C275),"",IF(ISNUMBER($M275),IF($M275&gt;=0,$M275,""),""))</f>
        <v/>
      </c>
      <c r="AG275" s="86" t="str">
        <f aca="false">IF(ISBLANK($C275),"",IF(ISBLANK($N275),0,IF(ISNUMBER($N275),IF(AND($N275&gt;=0,$N275&lt;=Constants!$B$17,$N275=INT($N275)),$N275,""),"")))</f>
        <v/>
      </c>
      <c r="AH275" s="87" t="str">
        <f aca="false">IF(ISBLANK($C275),"",IF(ISBLANK($O275),0,IF(ISNUMBER($O275),IF($O275&gt;=0,$O275,""),"")))</f>
        <v/>
      </c>
      <c r="AI275" s="86" t="str">
        <f aca="false">IF(ISBLANK($C275),"",IF($P275=Constants!$B$2,TRUE(),IF($P275=Constants!$B$3,FALSE(),TRUE())))</f>
        <v/>
      </c>
      <c r="AJ275" s="86" t="str">
        <f aca="false">IF(ISBLANK($C275),"",IF($Q275=Constants!$B$2,TRUE(),IF($Q275=Constants!$B$3,FALSE(),TRUE())))</f>
        <v/>
      </c>
      <c r="AK275" s="86" t="str">
        <f aca="false">IF(ISBLANK($C275),"",IF($R275=Constants!$B$2,TRUE(),IF($R275=Constants!$B$3,FALSE(),TRUE())))</f>
        <v/>
      </c>
      <c r="AL275" s="88" t="str">
        <f aca="false">IF(ISBLANK($C275),"",IF(ISNUMBER($S275),IF($S275&gt;=0,$S275,""),""))</f>
        <v/>
      </c>
      <c r="AM275" s="86" t="str">
        <f aca="false">IF(ISBLANK($C275),"",IF(ISBLANK($T275),0,IF(ISNUMBER($T275),IF(AND($T275&gt;=0,$T275&lt;=Constants!$B$17,$T275=INT($T275)),$T275,""),"")))</f>
        <v/>
      </c>
      <c r="AN275" s="87" t="str">
        <f aca="false">IF(ISBLANK($C275),"",IF(ISBLANK($U275),0,IF(ISNUMBER($U275),IF($U275&gt;=0,$U275,""),"")))</f>
        <v/>
      </c>
      <c r="AO275" s="86" t="str">
        <f aca="false">IF(ISBLANK($C275),"",IF($V275=Constants!$B$2,TRUE(),IF($V275=Constants!$B$3,FALSE(),FALSE())))</f>
        <v/>
      </c>
      <c r="AP275" s="86"/>
      <c r="AQ275" s="85" t="str">
        <f aca="false">IF(ISBLANK($C275),"",AND($Y275,OR($AS275,$BC275),OR($Z275="",$AA275="",$AB275="")))</f>
        <v/>
      </c>
      <c r="AR275" s="85" t="str">
        <f aca="false">IF(ISBLANK($C275),"",IF(OR(NOT($Y275),NOT(OR($AS275,$BC275))),"",IF(ISBLANK($D$7),$AR$5,IF($AP$9="",$AR$6,""))))</f>
        <v/>
      </c>
      <c r="AS275" s="85" t="str">
        <f aca="false">IF(ISBLANK($C275),"",COUNTA($J275:$O275)&gt;0)</f>
        <v/>
      </c>
      <c r="AT275" s="85" t="str">
        <f aca="false">IF(ISBLANK($C275),"",AND($AS275,OR(AND($AF275="",OR($AE275,NOT(ISBLANK($M275)))),$AG275="",$AH275="")))</f>
        <v/>
      </c>
      <c r="AU275" s="87" t="str">
        <f aca="false">IF($BL275&lt;&gt;Constants!$B$4,"",IF(NOT($AS275),"",ROUND((Constants!$B$12-$AB275)+(Constants!$B$13-$Z275)+(Constants!$B$14-$AA275),1)))</f>
        <v/>
      </c>
      <c r="AV275" s="90" t="str">
        <f aca="false">IF($BL275&lt;&gt;Constants!$B$4,"",IF(NOT($AS275),"",IF(NOT($AE275),0,Constants!$B$15*(INT(ROUND(MIN($AF275,$AP$9),6))-INT(ROUND(MAX(0,MIN($AF275,2*$AP$9)-$AP$9),6))))))</f>
        <v/>
      </c>
      <c r="AW275" s="90" t="str">
        <f aca="false">IF($BL275&lt;&gt;Constants!$B$4,"",IF(NOT($AS275),"",Constants!$B$16*$AG275))</f>
        <v/>
      </c>
      <c r="AX275" s="90" t="str">
        <f aca="false">IF($BL275&lt;&gt;Constants!$B$4,"",IF(NOT($AS275),"",Constants!$B$18*INT(ROUND($AH275,6))))</f>
        <v/>
      </c>
      <c r="AY275" s="85" t="str">
        <f aca="false">IF($BL275&lt;&gt;Constants!$B$4,"",IF(NOT($AS275),"",IF(NOT($X275),Constants!$B$11,IF(OR(NOT($AC275),NOT($AD275),ROUND($AB275,1)&gt;Constants!$B$12,ROUND($Z275,1)&gt;Constants!$B$13,ROUND($AA275,1)&gt;Constants!$B$14),Constants!$B$10,Constants!$B$9))))</f>
        <v/>
      </c>
      <c r="AZ275" s="91" t="str">
        <f aca="false">IF($BL275&lt;&gt;Constants!$B$4,"",IF(NOT($AS275),"",ROUND($AU275+$AV275+$AW275+$AX275,1)))</f>
        <v/>
      </c>
      <c r="BA275" s="92" t="str">
        <f aca="false">IF($BL275&lt;&gt;Constants!$B$4,"",IF(NOT($AS275),"",IF(ISNUMBER($AF275),$AF275,0)))</f>
        <v/>
      </c>
      <c r="BB275" s="86" t="str">
        <f aca="false">IF($BL275&lt;&gt;Constants!$B$4,"",IF(NOT($BC275),"&lt;-",IF(NOT($AS275),"-&gt;",IF(OR($BI275&lt;$AY275,AND($BI275=$AY275,OR($BJ275&gt;$AZ275,AND($BJ275=$AZ275,OR($BH275&gt;$AX275,AND($BH275=$AX275,OR($BE275&gt;$AU275,AND($BE275=$AU275,OR($BF275&gt;$AV275,AND($BF275=$AV275,$BK275&gt;$BA275)))))))))),"-&gt;","&lt;-"))))</f>
        <v/>
      </c>
      <c r="BC275" s="85" t="str">
        <f aca="false">IF(ISBLANK($C275),"",COUNTA($P275:$U275)&gt;0)</f>
        <v/>
      </c>
      <c r="BD275" s="85" t="str">
        <f aca="false">IF(ISBLANK($C275),"",AND($BC275,OR(AND($AL275="",OR($AK275,NOT(ISBLANK($S275)))),$AM275="",$AN275="")))</f>
        <v/>
      </c>
      <c r="BE275" s="87" t="str">
        <f aca="false">IF($BL275&lt;&gt;Constants!$B$4,"",IF(NOT($BC275),"",ROUND((Constants!$B$12-$AB275)+(Constants!$B$13-$Z275)+(Constants!$B$14-$AA275),1)))</f>
        <v/>
      </c>
      <c r="BF275" s="90" t="str">
        <f aca="false">IF($BL275&lt;&gt;Constants!$B$4,"",IF(NOT($BC275),"",IF(NOT($AK275),0,Constants!$B$15*(INT(ROUND(MIN($AL275,$AP$9),6))-INT(ROUND(MAX(0,MIN($AL275,2*$AP$9)-$AP$9),6))))))</f>
        <v/>
      </c>
      <c r="BG275" s="90" t="str">
        <f aca="false">IF($BL275&lt;&gt;Constants!$B$4,"",IF(NOT($BC275),"",Constants!$B$16*$AM275))</f>
        <v/>
      </c>
      <c r="BH275" s="90" t="str">
        <f aca="false">IF($BL275&lt;&gt;Constants!$B$4,"",IF(NOT($BC275),"",Constants!$B$18*INT(ROUND($AN275,6))))</f>
        <v/>
      </c>
      <c r="BI275" s="85" t="str">
        <f aca="false">IF($BL275&lt;&gt;Constants!$B$4,"",IF(NOT($BC275),"",IF(NOT($X275),Constants!$B$11,IF(OR(NOT($AI275),NOT($AJ275),ROUND($AB275,1)&gt;Constants!$B$12,ROUND($Z275,1)&gt;Constants!$B$13,ROUND($AA275,1)&gt;Constants!$B$14),Constants!$B$10,Constants!$B$9))))</f>
        <v/>
      </c>
      <c r="BJ275" s="91" t="str">
        <f aca="false">IF($BL275&lt;&gt;Constants!$B$4,"",IF(NOT($BC275),"",ROUND($BE275+$BF275+$BG275+$BH275,1)))</f>
        <v/>
      </c>
      <c r="BK275" s="92" t="str">
        <f aca="false">IF($BL275&lt;&gt;Constants!$B$4,"",IF(NOT($BC275),"",IF(ISNUMBER($AL275),$AL275,0)))</f>
        <v/>
      </c>
      <c r="BL275" s="86" t="str">
        <f aca="false">IF(ISBLANK($C275),"",IF($AO275,Constants!$B$7,IF(COUNTA($E275:$V275)=0,Constants!$B$6,IF(NOT($Y275),Constants!$B$5,IF(NOT(OR($AS275,$BC275)),Constants!$B$5,IF(OR($AT275,$BD275,$AQ275,$AR275&lt;&gt;""),Constants!$B$8,Constants!$B$4))))))</f>
        <v/>
      </c>
      <c r="BM275" s="86" t="str">
        <f aca="false">IF(ISBLANK($C275),"",IF($BL275&lt;&gt;Constants!$B$4,$BL275,IF($BB275="-&gt;",$BI275,$AY275)))</f>
        <v/>
      </c>
      <c r="BN275" s="90" t="str">
        <f aca="false">IF($BL275&lt;&gt;Constants!$B$4,"",IF($BB275="-&gt;",$BJ275,$AZ275))</f>
        <v/>
      </c>
      <c r="BO275" s="90" t="str">
        <f aca="false">IF(ISBLANK($C275),"",IF($BL275&lt;&gt;Constants!$B$4,$BL275,$BN275))</f>
        <v/>
      </c>
      <c r="BP275" s="86" t="str">
        <f aca="false">IF(ISBLANK($C275),"",IF($BL275&lt;&gt;Constants!$B$4,$BL275,RANK($BO275,$BO$9:$BO$508,0)))</f>
        <v/>
      </c>
      <c r="BQ275" s="86" t="str">
        <f aca="false">IF(ISBLANK($C275),"",IF($BL275&lt;&gt;Constants!$B$4,$BL275,COUNTIFS($BM$9:$BM$508,"&lt;"&amp;$BM275)+COUNTIFS($BM$9:$BM$508,$BM275,$BP$9:$BP$508,"&lt;"&amp;$BP275)+1))</f>
        <v/>
      </c>
      <c r="BR275" s="90" t="str">
        <f aca="false">IF($BL275&lt;&gt;Constants!$B$4,"",IF($BB275="-&gt;",$BH275,$AX275))</f>
        <v/>
      </c>
      <c r="BS275" s="86" t="str">
        <f aca="false">IF(ISBLANK($C275),"",IF($BL275&lt;&gt;Constants!$B$4,$BL275,IF(ISNUMBER($BR275),RANK($BR275,$BR$9:$BR$508,0),COUNT($BR$9:$BR$508)+1)))</f>
        <v/>
      </c>
      <c r="BT275" s="90" t="str">
        <f aca="false">IF($BL275&lt;&gt;Constants!$B$4,"",IF($BB275="-&gt;",$BE275,$AU275))</f>
        <v/>
      </c>
      <c r="BU275" s="86" t="str">
        <f aca="false">IF(ISBLANK($C275),"",IF($BL275&lt;&gt;Constants!$B$4,$BL275,IF(ISNUMBER($BT275),RANK($BT275,$BT$9:$BT$508,0),COUNT($BT$9:$BT$508)+1)))</f>
        <v/>
      </c>
      <c r="BV275" s="90" t="str">
        <f aca="false">IF($BL275&lt;&gt;Constants!$B$4,"",IF($BB275="-&gt;",$BF275,$AV275))</f>
        <v/>
      </c>
      <c r="BW275" s="86" t="str">
        <f aca="false">IF(ISBLANK($C275),"",IF($BL275&lt;&gt;Constants!$B$4,$BL275,IF(ISNUMBER($BV275),RANK($BV275,$BV$9:$BV$508,0),COUNT($BV$9:$BV$508)+1)))</f>
        <v/>
      </c>
      <c r="BX275" s="90" t="str">
        <f aca="false">IF($BL275&lt;&gt;Constants!$B$4,"",IF($BB275="-&gt;",$BK275,$BA275))</f>
        <v/>
      </c>
      <c r="BY275" s="86" t="str">
        <f aca="false">IF(ISBLANK($C275),"",IF($BL275&lt;&gt;Constants!$B$4,$BL275,IF(ISNUMBER($BX275),RANK($BX275,$BX$9:$BX$508,0),COUNT($BX$9:$BX$508)+1)))</f>
        <v/>
      </c>
      <c r="BZ275" s="86" t="str">
        <f aca="false">IF(ISBLANK($C275),"",IF($BL275&lt;&gt;Constants!$B$4,$BL275,COUNTIFS($BM$9:$BM$508,"&lt;"&amp;$BM275)+COUNTIFS($BM$9:$BM$508,$BM275,$BP$9:$BP$508,"&lt;"&amp;$BP275)+COUNTIFS($BM$9:$BM$508,$BM275,$BP$9:$BP$508,$BP275,$BS$9:$BS$508,"&lt;"&amp;$BS275)+COUNTIFS($BM$9:$BM$508,$BM275,$BP$9:$BP$508,$BP275,$BS$9:$BS$508,$BS275,$BU$9:$BU$508,"&lt;"&amp;$BU275)+COUNTIFS($BM$9:$BM$508,$BM275,$BP$9:$BP$508,$BP275,$BS$9:$BS$508,$BS275,$BU$9:$BU$508,$BU275,$BW$9:$BW$508,"&lt;"&amp;$BW275)+COUNTIFS($BM$9:$BM$508,$BM275,$BP$9:$BP$508,$BP275,$BS$9:$BS$508,$BS275,$BU$9:$BU$508,$BU275,$BW$9:$BW$508,$BW275,$BY$9:$BY$508,"&lt;"&amp;$BY275)+1))</f>
        <v/>
      </c>
      <c r="CA275" s="86" t="str">
        <f aca="false">IF(ISBLANK($C275),"",IF($BL275&lt;&gt;Constants!$B$4,$BL275,$BQ275-$BZ275))</f>
        <v/>
      </c>
      <c r="CB275" s="93"/>
      <c r="CC275" s="94" t="str">
        <f aca="false">IF(ISBLANK($C275),"",IF($BL275=Constants!$B$8,$AR275,""))</f>
        <v/>
      </c>
      <c r="CD275" s="94" t="str">
        <f aca="false">IF(ISBLANK($C275),"",IF($BL275&lt;&gt;Constants!$B$4,"",IF($BB275="-&gt;",2,1)))</f>
        <v/>
      </c>
      <c r="CE275" s="95" t="str">
        <f aca="false">IF(ISBLANK($C275),"",IF($BL275&lt;&gt;Constants!$B$4,"",IF($BB275="-&gt;",$BE275,$AU275)))</f>
        <v/>
      </c>
      <c r="CF275" s="95" t="str">
        <f aca="false">IF(ISBLANK($C275),"",IF($BL275&lt;&gt;Constants!$B$4,"",IF($BB275="-&gt;",$BF275,$AV275)))</f>
        <v/>
      </c>
      <c r="CG275" s="95" t="str">
        <f aca="false">IF(ISBLANK($C275),"",IF($BL275&lt;&gt;Constants!$B$4,"",IF($BB275="-&gt;",$BG275,$AW275)))</f>
        <v/>
      </c>
      <c r="CH275" s="95" t="str">
        <f aca="false">IF(ISBLANK($C275),"",IF($BL275&lt;&gt;Constants!$B$4,"",IF($BB275="-&gt;",$BH275,$AX275)))</f>
        <v/>
      </c>
      <c r="CI275" s="96" t="str">
        <f aca="false">IF(ISBLANK($C275),"",$BO275)</f>
        <v/>
      </c>
      <c r="CJ275" s="97" t="str">
        <f aca="false">IF(ISBLANK($C275),"",$BM275)</f>
        <v/>
      </c>
      <c r="CK275" s="98" t="str">
        <f aca="false">IF(ISBLANK($C275),"",$CA275)</f>
        <v/>
      </c>
      <c r="CL275" s="98" t="str">
        <f aca="false">IF(ISBLANK($C275),"",$BZ275)</f>
        <v/>
      </c>
      <c r="CM275" s="99" t="str">
        <f aca="false">IF(ISBLANK($C275),"",IF($CL275=Constants!$B$7,COUNTA($C$9:$C$508)+2,IF($CL275=Constants!$B$6,COUNTA($C$9:$C$508)+1,IF($CL275=Constants!$B$5,COUNTA($C$9:$C$508),$CL275))))</f>
        <v/>
      </c>
      <c r="CN275" s="8"/>
      <c r="CO275" s="100" t="n">
        <f aca="false">IF(OR(ISNUMBER($CL275),$CL275=Constants!$B$7,$CL275=Constants!$B$5,$CL275=Constants!$B$6),1,0)</f>
        <v>0</v>
      </c>
      <c r="CP275" s="100" t="n">
        <v>267</v>
      </c>
      <c r="CQ275" s="100" t="str">
        <f aca="false">IF(ISBLANK($C275),"",IF(ISNUMBER($CM275),$CM275+ROW($B275)/1000,""))</f>
        <v/>
      </c>
      <c r="CR275" s="100" t="str">
        <f aca="false">IF(ISNUMBER($CQ275),RANK($CQ275,$CQ$9:$CQ$508,1),"")</f>
        <v/>
      </c>
      <c r="CS275" s="100" t="str">
        <f aca="false">IF(ISBLANK($C275),"",$B275)</f>
        <v/>
      </c>
      <c r="CT275" s="100" t="str">
        <f aca="false">IF(ISBLANK($C275),"",$C275)</f>
        <v/>
      </c>
      <c r="CU275" s="100" t="str">
        <f aca="false">IF(ISBLANK($C275),"",$D275)</f>
        <v/>
      </c>
      <c r="CV275" s="101" t="str">
        <f aca="false">$CJ275</f>
        <v/>
      </c>
      <c r="CW275" s="102" t="str">
        <f aca="false">$CI275</f>
        <v/>
      </c>
      <c r="CX275" s="100" t="str">
        <f aca="false">IF(ISBLANK($C275),"",$CL275)</f>
        <v/>
      </c>
      <c r="CY275" s="103" t="str">
        <f aca="false">IF($CP275&gt;$CO$8,"",VLOOKUP($CP275,$CR$9:$CX$508,7,FALSE()))</f>
        <v/>
      </c>
      <c r="CZ275" s="104" t="str">
        <f aca="false">IF($CP275&gt;$CO$8,"",VLOOKUP($CP275,$CR$9:$CX$508,2,FALSE()))</f>
        <v/>
      </c>
      <c r="DA275" s="104" t="str">
        <f aca="false">IF($CP275&gt;$CO$8,"",VLOOKUP($CP275,$CR$9:$CX$508,3,FALSE()))</f>
        <v/>
      </c>
      <c r="DB275" s="104" t="str">
        <f aca="false">IF($CP275&gt;$CO$8,"",VLOOKUP($CP275,$CR$9:$CX$508,4,FALSE()))</f>
        <v/>
      </c>
      <c r="DC275" s="104" t="str">
        <f aca="false">IF($CP275&gt;$CO$8,"",VLOOKUP($CP275,$CR$9:$CX$508,5,FALSE()))</f>
        <v/>
      </c>
      <c r="DD275" s="105" t="str">
        <f aca="false">IF($CP275&gt;$CO$8,"",VLOOKUP($CP275,$CR$9:$CX$508,6,FALSE()))</f>
        <v/>
      </c>
      <c r="DE275" s="70"/>
    </row>
    <row r="276" customFormat="false" ht="15.75" hidden="false" customHeight="false" outlineLevel="0" collapsed="false">
      <c r="A276" s="8"/>
      <c r="B276" s="146"/>
      <c r="C276" s="147"/>
      <c r="D276" s="148"/>
      <c r="E276" s="164"/>
      <c r="F276" s="150"/>
      <c r="G276" s="115"/>
      <c r="H276" s="115"/>
      <c r="I276" s="115"/>
      <c r="J276" s="165"/>
      <c r="K276" s="154"/>
      <c r="L276" s="154"/>
      <c r="M276" s="118"/>
      <c r="N276" s="154"/>
      <c r="O276" s="153"/>
      <c r="P276" s="154"/>
      <c r="Q276" s="154"/>
      <c r="R276" s="154"/>
      <c r="S276" s="115"/>
      <c r="T276" s="154"/>
      <c r="U276" s="153"/>
      <c r="V276" s="154"/>
      <c r="W276" s="123"/>
      <c r="X276" s="124" t="str">
        <f aca="false">IF(ISBLANK($C276),"",IF($E276=Constants!$B$2,TRUE(),IF($E276=Constants!$B$3,FALSE(),TRUE())))</f>
        <v/>
      </c>
      <c r="Y276" s="124" t="str">
        <f aca="false">IF(ISBLANK($C276),"",IF($F276=Constants!$B$2,TRUE(),IF($F276=Constants!$B$3,FALSE(),TRUE())))</f>
        <v/>
      </c>
      <c r="Z276" s="125" t="str">
        <f aca="false">IF(ISBLANK($C276),"",IF(ISNUMBER($G276),IF($G276&gt;=0,$G276,""),""))</f>
        <v/>
      </c>
      <c r="AA276" s="125" t="str">
        <f aca="false">IF(ISBLANK($C276),"",IF(ISNUMBER($H276),IF($H276&gt;=0,$H276,""),""))</f>
        <v/>
      </c>
      <c r="AB276" s="125" t="str">
        <f aca="false">IF(ISBLANK($C276),"",IF(ISNUMBER($I276),IF($I276&gt;=0,$I276,""),""))</f>
        <v/>
      </c>
      <c r="AC276" s="124" t="str">
        <f aca="false">IF(ISBLANK($C276),"",IF($J276=Constants!$B$2,TRUE(),IF($J276=Constants!$B$3,FALSE(),TRUE())))</f>
        <v/>
      </c>
      <c r="AD276" s="124" t="str">
        <f aca="false">IF(ISBLANK($C276),"",IF($K276=Constants!$B$2,TRUE(),IF($K276=Constants!$B$3,FALSE(),TRUE())))</f>
        <v/>
      </c>
      <c r="AE276" s="124" t="str">
        <f aca="false">IF(ISBLANK($C276),"",IF($L276=Constants!$B$2,TRUE(),IF($L276=Constants!$B$3,FALSE(),TRUE())))</f>
        <v/>
      </c>
      <c r="AF276" s="126" t="str">
        <f aca="false">IF(ISBLANK($C276),"",IF(ISNUMBER($M276),IF($M276&gt;=0,$M276,""),""))</f>
        <v/>
      </c>
      <c r="AG276" s="124" t="str">
        <f aca="false">IF(ISBLANK($C276),"",IF(ISBLANK($N276),0,IF(ISNUMBER($N276),IF(AND($N276&gt;=0,$N276&lt;=Constants!$B$17,$N276=INT($N276)),$N276,""),"")))</f>
        <v/>
      </c>
      <c r="AH276" s="125" t="str">
        <f aca="false">IF(ISBLANK($C276),"",IF(ISBLANK($O276),0,IF(ISNUMBER($O276),IF($O276&gt;=0,$O276,""),"")))</f>
        <v/>
      </c>
      <c r="AI276" s="124" t="str">
        <f aca="false">IF(ISBLANK($C276),"",IF($P276=Constants!$B$2,TRUE(),IF($P276=Constants!$B$3,FALSE(),TRUE())))</f>
        <v/>
      </c>
      <c r="AJ276" s="124" t="str">
        <f aca="false">IF(ISBLANK($C276),"",IF($Q276=Constants!$B$2,TRUE(),IF($Q276=Constants!$B$3,FALSE(),TRUE())))</f>
        <v/>
      </c>
      <c r="AK276" s="124" t="str">
        <f aca="false">IF(ISBLANK($C276),"",IF($R276=Constants!$B$2,TRUE(),IF($R276=Constants!$B$3,FALSE(),TRUE())))</f>
        <v/>
      </c>
      <c r="AL276" s="126" t="str">
        <f aca="false">IF(ISBLANK($C276),"",IF(ISNUMBER($S276),IF($S276&gt;=0,$S276,""),""))</f>
        <v/>
      </c>
      <c r="AM276" s="124" t="str">
        <f aca="false">IF(ISBLANK($C276),"",IF(ISBLANK($T276),0,IF(ISNUMBER($T276),IF(AND($T276&gt;=0,$T276&lt;=Constants!$B$17,$T276=INT($T276)),$T276,""),"")))</f>
        <v/>
      </c>
      <c r="AN276" s="125" t="str">
        <f aca="false">IF(ISBLANK($C276),"",IF(ISBLANK($U276),0,IF(ISNUMBER($U276),IF($U276&gt;=0,$U276,""),"")))</f>
        <v/>
      </c>
      <c r="AO276" s="124" t="str">
        <f aca="false">IF(ISBLANK($C276),"",IF($V276=Constants!$B$2,TRUE(),IF($V276=Constants!$B$3,FALSE(),FALSE())))</f>
        <v/>
      </c>
      <c r="AP276" s="124"/>
      <c r="AQ276" s="123" t="str">
        <f aca="false">IF(ISBLANK($C276),"",AND($Y276,OR($AS276,$BC276),OR($Z276="",$AA276="",$AB276="")))</f>
        <v/>
      </c>
      <c r="AR276" s="123" t="str">
        <f aca="false">IF(ISBLANK($C276),"",IF(OR(NOT($Y276),NOT(OR($AS276,$BC276))),"",IF(ISBLANK($D$7),$AR$5,IF($AP$9="",$AR$6,""))))</f>
        <v/>
      </c>
      <c r="AS276" s="123" t="str">
        <f aca="false">IF(ISBLANK($C276),"",COUNTA($J276:$O276)&gt;0)</f>
        <v/>
      </c>
      <c r="AT276" s="123" t="str">
        <f aca="false">IF(ISBLANK($C276),"",AND($AS276,OR(AND($AF276="",OR($AE276,NOT(ISBLANK($M276)))),$AG276="",$AH276="")))</f>
        <v/>
      </c>
      <c r="AU276" s="125" t="str">
        <f aca="false">IF($BL276&lt;&gt;Constants!$B$4,"",IF(NOT($AS276),"",ROUND((Constants!$B$12-$AB276)+(Constants!$B$13-$Z276)+(Constants!$B$14-$AA276),1)))</f>
        <v/>
      </c>
      <c r="AV276" s="127" t="str">
        <f aca="false">IF($BL276&lt;&gt;Constants!$B$4,"",IF(NOT($AS276),"",IF(NOT($AE276),0,Constants!$B$15*(INT(ROUND(MIN($AF276,$AP$9),6))-INT(ROUND(MAX(0,MIN($AF276,2*$AP$9)-$AP$9),6))))))</f>
        <v/>
      </c>
      <c r="AW276" s="127" t="str">
        <f aca="false">IF($BL276&lt;&gt;Constants!$B$4,"",IF(NOT($AS276),"",Constants!$B$16*$AG276))</f>
        <v/>
      </c>
      <c r="AX276" s="127" t="str">
        <f aca="false">IF($BL276&lt;&gt;Constants!$B$4,"",IF(NOT($AS276),"",Constants!$B$18*INT(ROUND($AH276,6))))</f>
        <v/>
      </c>
      <c r="AY276" s="123" t="str">
        <f aca="false">IF($BL276&lt;&gt;Constants!$B$4,"",IF(NOT($AS276),"",IF(NOT($X276),Constants!$B$11,IF(OR(NOT($AC276),NOT($AD276),ROUND($AB276,1)&gt;Constants!$B$12,ROUND($Z276,1)&gt;Constants!$B$13,ROUND($AA276,1)&gt;Constants!$B$14),Constants!$B$10,Constants!$B$9))))</f>
        <v/>
      </c>
      <c r="AZ276" s="128" t="str">
        <f aca="false">IF($BL276&lt;&gt;Constants!$B$4,"",IF(NOT($AS276),"",ROUND($AU276+$AV276+$AW276+$AX276,1)))</f>
        <v/>
      </c>
      <c r="BA276" s="129" t="str">
        <f aca="false">IF($BL276&lt;&gt;Constants!$B$4,"",IF(NOT($AS276),"",IF(ISNUMBER($AF276),$AF276,0)))</f>
        <v/>
      </c>
      <c r="BB276" s="124" t="str">
        <f aca="false">IF($BL276&lt;&gt;Constants!$B$4,"",IF(NOT($BC276),"&lt;-",IF(NOT($AS276),"-&gt;",IF(OR($BI276&lt;$AY276,AND($BI276=$AY276,OR($BJ276&gt;$AZ276,AND($BJ276=$AZ276,OR($BH276&gt;$AX276,AND($BH276=$AX276,OR($BE276&gt;$AU276,AND($BE276=$AU276,OR($BF276&gt;$AV276,AND($BF276=$AV276,$BK276&gt;$BA276)))))))))),"-&gt;","&lt;-"))))</f>
        <v/>
      </c>
      <c r="BC276" s="123" t="str">
        <f aca="false">IF(ISBLANK($C276),"",COUNTA($P276:$U276)&gt;0)</f>
        <v/>
      </c>
      <c r="BD276" s="123" t="str">
        <f aca="false">IF(ISBLANK($C276),"",AND($BC276,OR(AND($AL276="",OR($AK276,NOT(ISBLANK($S276)))),$AM276="",$AN276="")))</f>
        <v/>
      </c>
      <c r="BE276" s="125" t="str">
        <f aca="false">IF($BL276&lt;&gt;Constants!$B$4,"",IF(NOT($BC276),"",ROUND((Constants!$B$12-$AB276)+(Constants!$B$13-$Z276)+(Constants!$B$14-$AA276),1)))</f>
        <v/>
      </c>
      <c r="BF276" s="127" t="str">
        <f aca="false">IF($BL276&lt;&gt;Constants!$B$4,"",IF(NOT($BC276),"",IF(NOT($AK276),0,Constants!$B$15*(INT(ROUND(MIN($AL276,$AP$9),6))-INT(ROUND(MAX(0,MIN($AL276,2*$AP$9)-$AP$9),6))))))</f>
        <v/>
      </c>
      <c r="BG276" s="127" t="str">
        <f aca="false">IF($BL276&lt;&gt;Constants!$B$4,"",IF(NOT($BC276),"",Constants!$B$16*$AM276))</f>
        <v/>
      </c>
      <c r="BH276" s="127" t="str">
        <f aca="false">IF($BL276&lt;&gt;Constants!$B$4,"",IF(NOT($BC276),"",Constants!$B$18*INT(ROUND($AN276,6))))</f>
        <v/>
      </c>
      <c r="BI276" s="123" t="str">
        <f aca="false">IF($BL276&lt;&gt;Constants!$B$4,"",IF(NOT($BC276),"",IF(NOT($X276),Constants!$B$11,IF(OR(NOT($AI276),NOT($AJ276),ROUND($AB276,1)&gt;Constants!$B$12,ROUND($Z276,1)&gt;Constants!$B$13,ROUND($AA276,1)&gt;Constants!$B$14),Constants!$B$10,Constants!$B$9))))</f>
        <v/>
      </c>
      <c r="BJ276" s="128" t="str">
        <f aca="false">IF($BL276&lt;&gt;Constants!$B$4,"",IF(NOT($BC276),"",ROUND($BE276+$BF276+$BG276+$BH276,1)))</f>
        <v/>
      </c>
      <c r="BK276" s="129" t="str">
        <f aca="false">IF($BL276&lt;&gt;Constants!$B$4,"",IF(NOT($BC276),"",IF(ISNUMBER($AL276),$AL276,0)))</f>
        <v/>
      </c>
      <c r="BL276" s="124" t="str">
        <f aca="false">IF(ISBLANK($C276),"",IF($AO276,Constants!$B$7,IF(COUNTA($E276:$V276)=0,Constants!$B$6,IF(NOT($Y276),Constants!$B$5,IF(NOT(OR($AS276,$BC276)),Constants!$B$5,IF(OR($AT276,$BD276,$AQ276,$AR276&lt;&gt;""),Constants!$B$8,Constants!$B$4))))))</f>
        <v/>
      </c>
      <c r="BM276" s="124" t="str">
        <f aca="false">IF(ISBLANK($C276),"",IF($BL276&lt;&gt;Constants!$B$4,$BL276,IF($BB276="-&gt;",$BI276,$AY276)))</f>
        <v/>
      </c>
      <c r="BN276" s="127" t="str">
        <f aca="false">IF($BL276&lt;&gt;Constants!$B$4,"",IF($BB276="-&gt;",$BJ276,$AZ276))</f>
        <v/>
      </c>
      <c r="BO276" s="127" t="str">
        <f aca="false">IF(ISBLANK($C276),"",IF($BL276&lt;&gt;Constants!$B$4,$BL276,$BN276))</f>
        <v/>
      </c>
      <c r="BP276" s="124" t="str">
        <f aca="false">IF(ISBLANK($C276),"",IF($BL276&lt;&gt;Constants!$B$4,$BL276,RANK($BO276,$BO$9:$BO$508,0)))</f>
        <v/>
      </c>
      <c r="BQ276" s="124" t="str">
        <f aca="false">IF(ISBLANK($C276),"",IF($BL276&lt;&gt;Constants!$B$4,$BL276,COUNTIFS($BM$9:$BM$508,"&lt;"&amp;$BM276)+COUNTIFS($BM$9:$BM$508,$BM276,$BP$9:$BP$508,"&lt;"&amp;$BP276)+1))</f>
        <v/>
      </c>
      <c r="BR276" s="127" t="str">
        <f aca="false">IF($BL276&lt;&gt;Constants!$B$4,"",IF($BB276="-&gt;",$BH276,$AX276))</f>
        <v/>
      </c>
      <c r="BS276" s="124" t="str">
        <f aca="false">IF(ISBLANK($C276),"",IF($BL276&lt;&gt;Constants!$B$4,$BL276,IF(ISNUMBER($BR276),RANK($BR276,$BR$9:$BR$508,0),COUNT($BR$9:$BR$508)+1)))</f>
        <v/>
      </c>
      <c r="BT276" s="127" t="str">
        <f aca="false">IF($BL276&lt;&gt;Constants!$B$4,"",IF($BB276="-&gt;",$BE276,$AU276))</f>
        <v/>
      </c>
      <c r="BU276" s="124" t="str">
        <f aca="false">IF(ISBLANK($C276),"",IF($BL276&lt;&gt;Constants!$B$4,$BL276,IF(ISNUMBER($BT276),RANK($BT276,$BT$9:$BT$508,0),COUNT($BT$9:$BT$508)+1)))</f>
        <v/>
      </c>
      <c r="BV276" s="127" t="str">
        <f aca="false">IF($BL276&lt;&gt;Constants!$B$4,"",IF($BB276="-&gt;",$BF276,$AV276))</f>
        <v/>
      </c>
      <c r="BW276" s="124" t="str">
        <f aca="false">IF(ISBLANK($C276),"",IF($BL276&lt;&gt;Constants!$B$4,$BL276,IF(ISNUMBER($BV276),RANK($BV276,$BV$9:$BV$508,0),COUNT($BV$9:$BV$508)+1)))</f>
        <v/>
      </c>
      <c r="BX276" s="127" t="str">
        <f aca="false">IF($BL276&lt;&gt;Constants!$B$4,"",IF($BB276="-&gt;",$BK276,$BA276))</f>
        <v/>
      </c>
      <c r="BY276" s="124" t="str">
        <f aca="false">IF(ISBLANK($C276),"",IF($BL276&lt;&gt;Constants!$B$4,$BL276,IF(ISNUMBER($BX276),RANK($BX276,$BX$9:$BX$508,0),COUNT($BX$9:$BX$508)+1)))</f>
        <v/>
      </c>
      <c r="BZ276" s="124" t="str">
        <f aca="false">IF(ISBLANK($C276),"",IF($BL276&lt;&gt;Constants!$B$4,$BL276,COUNTIFS($BM$9:$BM$508,"&lt;"&amp;$BM276)+COUNTIFS($BM$9:$BM$508,$BM276,$BP$9:$BP$508,"&lt;"&amp;$BP276)+COUNTIFS($BM$9:$BM$508,$BM276,$BP$9:$BP$508,$BP276,$BS$9:$BS$508,"&lt;"&amp;$BS276)+COUNTIFS($BM$9:$BM$508,$BM276,$BP$9:$BP$508,$BP276,$BS$9:$BS$508,$BS276,$BU$9:$BU$508,"&lt;"&amp;$BU276)+COUNTIFS($BM$9:$BM$508,$BM276,$BP$9:$BP$508,$BP276,$BS$9:$BS$508,$BS276,$BU$9:$BU$508,$BU276,$BW$9:$BW$508,"&lt;"&amp;$BW276)+COUNTIFS($BM$9:$BM$508,$BM276,$BP$9:$BP$508,$BP276,$BS$9:$BS$508,$BS276,$BU$9:$BU$508,$BU276,$BW$9:$BW$508,$BW276,$BY$9:$BY$508,"&lt;"&amp;$BY276)+1))</f>
        <v/>
      </c>
      <c r="CA276" s="124" t="str">
        <f aca="false">IF(ISBLANK($C276),"",IF($BL276&lt;&gt;Constants!$B$4,$BL276,$BQ276-$BZ276))</f>
        <v/>
      </c>
      <c r="CB276" s="130"/>
      <c r="CC276" s="131" t="str">
        <f aca="false">IF(ISBLANK($C276),"",IF($BL276=Constants!$B$8,$AR276,""))</f>
        <v/>
      </c>
      <c r="CD276" s="131" t="str">
        <f aca="false">IF(ISBLANK($C276),"",IF($BL276&lt;&gt;Constants!$B$4,"",IF($BB276="-&gt;",2,1)))</f>
        <v/>
      </c>
      <c r="CE276" s="132" t="str">
        <f aca="false">IF(ISBLANK($C276),"",IF($BL276&lt;&gt;Constants!$B$4,"",IF($BB276="-&gt;",$BE276,$AU276)))</f>
        <v/>
      </c>
      <c r="CF276" s="132" t="str">
        <f aca="false">IF(ISBLANK($C276),"",IF($BL276&lt;&gt;Constants!$B$4,"",IF($BB276="-&gt;",$BF276,$AV276)))</f>
        <v/>
      </c>
      <c r="CG276" s="132" t="str">
        <f aca="false">IF(ISBLANK($C276),"",IF($BL276&lt;&gt;Constants!$B$4,"",IF($BB276="-&gt;",$BG276,$AW276)))</f>
        <v/>
      </c>
      <c r="CH276" s="132" t="str">
        <f aca="false">IF(ISBLANK($C276),"",IF($BL276&lt;&gt;Constants!$B$4,"",IF($BB276="-&gt;",$BH276,$AX276)))</f>
        <v/>
      </c>
      <c r="CI276" s="133" t="str">
        <f aca="false">IF(ISBLANK($C276),"",$BO276)</f>
        <v/>
      </c>
      <c r="CJ276" s="134" t="str">
        <f aca="false">IF(ISBLANK($C276),"",$BM276)</f>
        <v/>
      </c>
      <c r="CK276" s="135" t="str">
        <f aca="false">IF(ISBLANK($C276),"",$CA276)</f>
        <v/>
      </c>
      <c r="CL276" s="135" t="str">
        <f aca="false">IF(ISBLANK($C276),"",$BZ276)</f>
        <v/>
      </c>
      <c r="CM276" s="136" t="str">
        <f aca="false">IF(ISBLANK($C276),"",IF($CL276=Constants!$B$7,COUNTA($C$9:$C$508)+2,IF($CL276=Constants!$B$6,COUNTA($C$9:$C$508)+1,IF($CL276=Constants!$B$5,COUNTA($C$9:$C$508),$CL276))))</f>
        <v/>
      </c>
      <c r="CN276" s="8"/>
      <c r="CO276" s="137" t="n">
        <f aca="false">IF(OR(ISNUMBER($CL276),$CL276=Constants!$B$7,$CL276=Constants!$B$5,$CL276=Constants!$B$6),1,0)</f>
        <v>0</v>
      </c>
      <c r="CP276" s="137" t="n">
        <v>268</v>
      </c>
      <c r="CQ276" s="137" t="str">
        <f aca="false">IF(ISBLANK($C276),"",IF(ISNUMBER($CM276),$CM276+ROW($B276)/1000,""))</f>
        <v/>
      </c>
      <c r="CR276" s="137" t="str">
        <f aca="false">IF(ISNUMBER($CQ276),RANK($CQ276,$CQ$9:$CQ$508,1),"")</f>
        <v/>
      </c>
      <c r="CS276" s="137" t="str">
        <f aca="false">IF(ISBLANK($C276),"",$B276)</f>
        <v/>
      </c>
      <c r="CT276" s="137" t="str">
        <f aca="false">IF(ISBLANK($C276),"",$C276)</f>
        <v/>
      </c>
      <c r="CU276" s="137" t="str">
        <f aca="false">IF(ISBLANK($C276),"",$D276)</f>
        <v/>
      </c>
      <c r="CV276" s="138" t="str">
        <f aca="false">$CJ276</f>
        <v/>
      </c>
      <c r="CW276" s="139" t="str">
        <f aca="false">$CI276</f>
        <v/>
      </c>
      <c r="CX276" s="137" t="str">
        <f aca="false">IF(ISBLANK($C276),"",$CL276)</f>
        <v/>
      </c>
      <c r="CY276" s="140" t="str">
        <f aca="false">IF($CP276&gt;$CO$8,"",VLOOKUP($CP276,$CR$9:$CX$508,7,FALSE()))</f>
        <v/>
      </c>
      <c r="CZ276" s="141" t="str">
        <f aca="false">IF($CP276&gt;$CO$8,"",VLOOKUP($CP276,$CR$9:$CX$508,2,FALSE()))</f>
        <v/>
      </c>
      <c r="DA276" s="141" t="str">
        <f aca="false">IF($CP276&gt;$CO$8,"",VLOOKUP($CP276,$CR$9:$CX$508,3,FALSE()))</f>
        <v/>
      </c>
      <c r="DB276" s="141" t="str">
        <f aca="false">IF($CP276&gt;$CO$8,"",VLOOKUP($CP276,$CR$9:$CX$508,4,FALSE()))</f>
        <v/>
      </c>
      <c r="DC276" s="141" t="str">
        <f aca="false">IF($CP276&gt;$CO$8,"",VLOOKUP($CP276,$CR$9:$CX$508,5,FALSE()))</f>
        <v/>
      </c>
      <c r="DD276" s="142" t="str">
        <f aca="false">IF($CP276&gt;$CO$8,"",VLOOKUP($CP276,$CR$9:$CX$508,6,FALSE()))</f>
        <v/>
      </c>
      <c r="DE276" s="70"/>
    </row>
    <row r="277" customFormat="false" ht="15.75" hidden="false" customHeight="false" outlineLevel="0" collapsed="false">
      <c r="A277" s="8"/>
      <c r="B277" s="146"/>
      <c r="C277" s="147"/>
      <c r="D277" s="148"/>
      <c r="E277" s="164"/>
      <c r="F277" s="150"/>
      <c r="G277" s="115"/>
      <c r="H277" s="115"/>
      <c r="I277" s="115"/>
      <c r="J277" s="165"/>
      <c r="K277" s="154"/>
      <c r="L277" s="154"/>
      <c r="M277" s="118"/>
      <c r="N277" s="154"/>
      <c r="O277" s="153"/>
      <c r="P277" s="154"/>
      <c r="Q277" s="154"/>
      <c r="R277" s="154"/>
      <c r="S277" s="115"/>
      <c r="T277" s="154"/>
      <c r="U277" s="153"/>
      <c r="V277" s="154"/>
      <c r="W277" s="123"/>
      <c r="X277" s="124" t="str">
        <f aca="false">IF(ISBLANK($C277),"",IF($E277=Constants!$B$2,TRUE(),IF($E277=Constants!$B$3,FALSE(),TRUE())))</f>
        <v/>
      </c>
      <c r="Y277" s="124" t="str">
        <f aca="false">IF(ISBLANK($C277),"",IF($F277=Constants!$B$2,TRUE(),IF($F277=Constants!$B$3,FALSE(),TRUE())))</f>
        <v/>
      </c>
      <c r="Z277" s="125" t="str">
        <f aca="false">IF(ISBLANK($C277),"",IF(ISNUMBER($G277),IF($G277&gt;=0,$G277,""),""))</f>
        <v/>
      </c>
      <c r="AA277" s="125" t="str">
        <f aca="false">IF(ISBLANK($C277),"",IF(ISNUMBER($H277),IF($H277&gt;=0,$H277,""),""))</f>
        <v/>
      </c>
      <c r="AB277" s="125" t="str">
        <f aca="false">IF(ISBLANK($C277),"",IF(ISNUMBER($I277),IF($I277&gt;=0,$I277,""),""))</f>
        <v/>
      </c>
      <c r="AC277" s="124" t="str">
        <f aca="false">IF(ISBLANK($C277),"",IF($J277=Constants!$B$2,TRUE(),IF($J277=Constants!$B$3,FALSE(),TRUE())))</f>
        <v/>
      </c>
      <c r="AD277" s="124" t="str">
        <f aca="false">IF(ISBLANK($C277),"",IF($K277=Constants!$B$2,TRUE(),IF($K277=Constants!$B$3,FALSE(),TRUE())))</f>
        <v/>
      </c>
      <c r="AE277" s="124" t="str">
        <f aca="false">IF(ISBLANK($C277),"",IF($L277=Constants!$B$2,TRUE(),IF($L277=Constants!$B$3,FALSE(),TRUE())))</f>
        <v/>
      </c>
      <c r="AF277" s="126" t="str">
        <f aca="false">IF(ISBLANK($C277),"",IF(ISNUMBER($M277),IF($M277&gt;=0,$M277,""),""))</f>
        <v/>
      </c>
      <c r="AG277" s="124" t="str">
        <f aca="false">IF(ISBLANK($C277),"",IF(ISBLANK($N277),0,IF(ISNUMBER($N277),IF(AND($N277&gt;=0,$N277&lt;=Constants!$B$17,$N277=INT($N277)),$N277,""),"")))</f>
        <v/>
      </c>
      <c r="AH277" s="125" t="str">
        <f aca="false">IF(ISBLANK($C277),"",IF(ISBLANK($O277),0,IF(ISNUMBER($O277),IF($O277&gt;=0,$O277,""),"")))</f>
        <v/>
      </c>
      <c r="AI277" s="124" t="str">
        <f aca="false">IF(ISBLANK($C277),"",IF($P277=Constants!$B$2,TRUE(),IF($P277=Constants!$B$3,FALSE(),TRUE())))</f>
        <v/>
      </c>
      <c r="AJ277" s="124" t="str">
        <f aca="false">IF(ISBLANK($C277),"",IF($Q277=Constants!$B$2,TRUE(),IF($Q277=Constants!$B$3,FALSE(),TRUE())))</f>
        <v/>
      </c>
      <c r="AK277" s="124" t="str">
        <f aca="false">IF(ISBLANK($C277),"",IF($R277=Constants!$B$2,TRUE(),IF($R277=Constants!$B$3,FALSE(),TRUE())))</f>
        <v/>
      </c>
      <c r="AL277" s="126" t="str">
        <f aca="false">IF(ISBLANK($C277),"",IF(ISNUMBER($S277),IF($S277&gt;=0,$S277,""),""))</f>
        <v/>
      </c>
      <c r="AM277" s="124" t="str">
        <f aca="false">IF(ISBLANK($C277),"",IF(ISBLANK($T277),0,IF(ISNUMBER($T277),IF(AND($T277&gt;=0,$T277&lt;=Constants!$B$17,$T277=INT($T277)),$T277,""),"")))</f>
        <v/>
      </c>
      <c r="AN277" s="125" t="str">
        <f aca="false">IF(ISBLANK($C277),"",IF(ISBLANK($U277),0,IF(ISNUMBER($U277),IF($U277&gt;=0,$U277,""),"")))</f>
        <v/>
      </c>
      <c r="AO277" s="124" t="str">
        <f aca="false">IF(ISBLANK($C277),"",IF($V277=Constants!$B$2,TRUE(),IF($V277=Constants!$B$3,FALSE(),FALSE())))</f>
        <v/>
      </c>
      <c r="AP277" s="124"/>
      <c r="AQ277" s="123" t="str">
        <f aca="false">IF(ISBLANK($C277),"",AND($Y277,OR($AS277,$BC277),OR($Z277="",$AA277="",$AB277="")))</f>
        <v/>
      </c>
      <c r="AR277" s="123" t="str">
        <f aca="false">IF(ISBLANK($C277),"",IF(OR(NOT($Y277),NOT(OR($AS277,$BC277))),"",IF(ISBLANK($D$7),$AR$5,IF($AP$9="",$AR$6,""))))</f>
        <v/>
      </c>
      <c r="AS277" s="123" t="str">
        <f aca="false">IF(ISBLANK($C277),"",COUNTA($J277:$O277)&gt;0)</f>
        <v/>
      </c>
      <c r="AT277" s="123" t="str">
        <f aca="false">IF(ISBLANK($C277),"",AND($AS277,OR(AND($AF277="",OR($AE277,NOT(ISBLANK($M277)))),$AG277="",$AH277="")))</f>
        <v/>
      </c>
      <c r="AU277" s="125" t="str">
        <f aca="false">IF($BL277&lt;&gt;Constants!$B$4,"",IF(NOT($AS277),"",ROUND((Constants!$B$12-$AB277)+(Constants!$B$13-$Z277)+(Constants!$B$14-$AA277),1)))</f>
        <v/>
      </c>
      <c r="AV277" s="127" t="str">
        <f aca="false">IF($BL277&lt;&gt;Constants!$B$4,"",IF(NOT($AS277),"",IF(NOT($AE277),0,Constants!$B$15*(INT(ROUND(MIN($AF277,$AP$9),6))-INT(ROUND(MAX(0,MIN($AF277,2*$AP$9)-$AP$9),6))))))</f>
        <v/>
      </c>
      <c r="AW277" s="127" t="str">
        <f aca="false">IF($BL277&lt;&gt;Constants!$B$4,"",IF(NOT($AS277),"",Constants!$B$16*$AG277))</f>
        <v/>
      </c>
      <c r="AX277" s="127" t="str">
        <f aca="false">IF($BL277&lt;&gt;Constants!$B$4,"",IF(NOT($AS277),"",Constants!$B$18*INT(ROUND($AH277,6))))</f>
        <v/>
      </c>
      <c r="AY277" s="123" t="str">
        <f aca="false">IF($BL277&lt;&gt;Constants!$B$4,"",IF(NOT($AS277),"",IF(NOT($X277),Constants!$B$11,IF(OR(NOT($AC277),NOT($AD277),ROUND($AB277,1)&gt;Constants!$B$12,ROUND($Z277,1)&gt;Constants!$B$13,ROUND($AA277,1)&gt;Constants!$B$14),Constants!$B$10,Constants!$B$9))))</f>
        <v/>
      </c>
      <c r="AZ277" s="128" t="str">
        <f aca="false">IF($BL277&lt;&gt;Constants!$B$4,"",IF(NOT($AS277),"",ROUND($AU277+$AV277+$AW277+$AX277,1)))</f>
        <v/>
      </c>
      <c r="BA277" s="129" t="str">
        <f aca="false">IF($BL277&lt;&gt;Constants!$B$4,"",IF(NOT($AS277),"",IF(ISNUMBER($AF277),$AF277,0)))</f>
        <v/>
      </c>
      <c r="BB277" s="124" t="str">
        <f aca="false">IF($BL277&lt;&gt;Constants!$B$4,"",IF(NOT($BC277),"&lt;-",IF(NOT($AS277),"-&gt;",IF(OR($BI277&lt;$AY277,AND($BI277=$AY277,OR($BJ277&gt;$AZ277,AND($BJ277=$AZ277,OR($BH277&gt;$AX277,AND($BH277=$AX277,OR($BE277&gt;$AU277,AND($BE277=$AU277,OR($BF277&gt;$AV277,AND($BF277=$AV277,$BK277&gt;$BA277)))))))))),"-&gt;","&lt;-"))))</f>
        <v/>
      </c>
      <c r="BC277" s="123" t="str">
        <f aca="false">IF(ISBLANK($C277),"",COUNTA($P277:$U277)&gt;0)</f>
        <v/>
      </c>
      <c r="BD277" s="123" t="str">
        <f aca="false">IF(ISBLANK($C277),"",AND($BC277,OR(AND($AL277="",OR($AK277,NOT(ISBLANK($S277)))),$AM277="",$AN277="")))</f>
        <v/>
      </c>
      <c r="BE277" s="125" t="str">
        <f aca="false">IF($BL277&lt;&gt;Constants!$B$4,"",IF(NOT($BC277),"",ROUND((Constants!$B$12-$AB277)+(Constants!$B$13-$Z277)+(Constants!$B$14-$AA277),1)))</f>
        <v/>
      </c>
      <c r="BF277" s="127" t="str">
        <f aca="false">IF($BL277&lt;&gt;Constants!$B$4,"",IF(NOT($BC277),"",IF(NOT($AK277),0,Constants!$B$15*(INT(ROUND(MIN($AL277,$AP$9),6))-INT(ROUND(MAX(0,MIN($AL277,2*$AP$9)-$AP$9),6))))))</f>
        <v/>
      </c>
      <c r="BG277" s="127" t="str">
        <f aca="false">IF($BL277&lt;&gt;Constants!$B$4,"",IF(NOT($BC277),"",Constants!$B$16*$AM277))</f>
        <v/>
      </c>
      <c r="BH277" s="127" t="str">
        <f aca="false">IF($BL277&lt;&gt;Constants!$B$4,"",IF(NOT($BC277),"",Constants!$B$18*INT(ROUND($AN277,6))))</f>
        <v/>
      </c>
      <c r="BI277" s="123" t="str">
        <f aca="false">IF($BL277&lt;&gt;Constants!$B$4,"",IF(NOT($BC277),"",IF(NOT($X277),Constants!$B$11,IF(OR(NOT($AI277),NOT($AJ277),ROUND($AB277,1)&gt;Constants!$B$12,ROUND($Z277,1)&gt;Constants!$B$13,ROUND($AA277,1)&gt;Constants!$B$14),Constants!$B$10,Constants!$B$9))))</f>
        <v/>
      </c>
      <c r="BJ277" s="128" t="str">
        <f aca="false">IF($BL277&lt;&gt;Constants!$B$4,"",IF(NOT($BC277),"",ROUND($BE277+$BF277+$BG277+$BH277,1)))</f>
        <v/>
      </c>
      <c r="BK277" s="129" t="str">
        <f aca="false">IF($BL277&lt;&gt;Constants!$B$4,"",IF(NOT($BC277),"",IF(ISNUMBER($AL277),$AL277,0)))</f>
        <v/>
      </c>
      <c r="BL277" s="124" t="str">
        <f aca="false">IF(ISBLANK($C277),"",IF($AO277,Constants!$B$7,IF(COUNTA($E277:$V277)=0,Constants!$B$6,IF(NOT($Y277),Constants!$B$5,IF(NOT(OR($AS277,$BC277)),Constants!$B$5,IF(OR($AT277,$BD277,$AQ277,$AR277&lt;&gt;""),Constants!$B$8,Constants!$B$4))))))</f>
        <v/>
      </c>
      <c r="BM277" s="124" t="str">
        <f aca="false">IF(ISBLANK($C277),"",IF($BL277&lt;&gt;Constants!$B$4,$BL277,IF($BB277="-&gt;",$BI277,$AY277)))</f>
        <v/>
      </c>
      <c r="BN277" s="127" t="str">
        <f aca="false">IF($BL277&lt;&gt;Constants!$B$4,"",IF($BB277="-&gt;",$BJ277,$AZ277))</f>
        <v/>
      </c>
      <c r="BO277" s="127" t="str">
        <f aca="false">IF(ISBLANK($C277),"",IF($BL277&lt;&gt;Constants!$B$4,$BL277,$BN277))</f>
        <v/>
      </c>
      <c r="BP277" s="124" t="str">
        <f aca="false">IF(ISBLANK($C277),"",IF($BL277&lt;&gt;Constants!$B$4,$BL277,RANK($BO277,$BO$9:$BO$508,0)))</f>
        <v/>
      </c>
      <c r="BQ277" s="124" t="str">
        <f aca="false">IF(ISBLANK($C277),"",IF($BL277&lt;&gt;Constants!$B$4,$BL277,COUNTIFS($BM$9:$BM$508,"&lt;"&amp;$BM277)+COUNTIFS($BM$9:$BM$508,$BM277,$BP$9:$BP$508,"&lt;"&amp;$BP277)+1))</f>
        <v/>
      </c>
      <c r="BR277" s="127" t="str">
        <f aca="false">IF($BL277&lt;&gt;Constants!$B$4,"",IF($BB277="-&gt;",$BH277,$AX277))</f>
        <v/>
      </c>
      <c r="BS277" s="124" t="str">
        <f aca="false">IF(ISBLANK($C277),"",IF($BL277&lt;&gt;Constants!$B$4,$BL277,IF(ISNUMBER($BR277),RANK($BR277,$BR$9:$BR$508,0),COUNT($BR$9:$BR$508)+1)))</f>
        <v/>
      </c>
      <c r="BT277" s="127" t="str">
        <f aca="false">IF($BL277&lt;&gt;Constants!$B$4,"",IF($BB277="-&gt;",$BE277,$AU277))</f>
        <v/>
      </c>
      <c r="BU277" s="124" t="str">
        <f aca="false">IF(ISBLANK($C277),"",IF($BL277&lt;&gt;Constants!$B$4,$BL277,IF(ISNUMBER($BT277),RANK($BT277,$BT$9:$BT$508,0),COUNT($BT$9:$BT$508)+1)))</f>
        <v/>
      </c>
      <c r="BV277" s="127" t="str">
        <f aca="false">IF($BL277&lt;&gt;Constants!$B$4,"",IF($BB277="-&gt;",$BF277,$AV277))</f>
        <v/>
      </c>
      <c r="BW277" s="124" t="str">
        <f aca="false">IF(ISBLANK($C277),"",IF($BL277&lt;&gt;Constants!$B$4,$BL277,IF(ISNUMBER($BV277),RANK($BV277,$BV$9:$BV$508,0),COUNT($BV$9:$BV$508)+1)))</f>
        <v/>
      </c>
      <c r="BX277" s="127" t="str">
        <f aca="false">IF($BL277&lt;&gt;Constants!$B$4,"",IF($BB277="-&gt;",$BK277,$BA277))</f>
        <v/>
      </c>
      <c r="BY277" s="124" t="str">
        <f aca="false">IF(ISBLANK($C277),"",IF($BL277&lt;&gt;Constants!$B$4,$BL277,IF(ISNUMBER($BX277),RANK($BX277,$BX$9:$BX$508,0),COUNT($BX$9:$BX$508)+1)))</f>
        <v/>
      </c>
      <c r="BZ277" s="124" t="str">
        <f aca="false">IF(ISBLANK($C277),"",IF($BL277&lt;&gt;Constants!$B$4,$BL277,COUNTIFS($BM$9:$BM$508,"&lt;"&amp;$BM277)+COUNTIFS($BM$9:$BM$508,$BM277,$BP$9:$BP$508,"&lt;"&amp;$BP277)+COUNTIFS($BM$9:$BM$508,$BM277,$BP$9:$BP$508,$BP277,$BS$9:$BS$508,"&lt;"&amp;$BS277)+COUNTIFS($BM$9:$BM$508,$BM277,$BP$9:$BP$508,$BP277,$BS$9:$BS$508,$BS277,$BU$9:$BU$508,"&lt;"&amp;$BU277)+COUNTIFS($BM$9:$BM$508,$BM277,$BP$9:$BP$508,$BP277,$BS$9:$BS$508,$BS277,$BU$9:$BU$508,$BU277,$BW$9:$BW$508,"&lt;"&amp;$BW277)+COUNTIFS($BM$9:$BM$508,$BM277,$BP$9:$BP$508,$BP277,$BS$9:$BS$508,$BS277,$BU$9:$BU$508,$BU277,$BW$9:$BW$508,$BW277,$BY$9:$BY$508,"&lt;"&amp;$BY277)+1))</f>
        <v/>
      </c>
      <c r="CA277" s="124" t="str">
        <f aca="false">IF(ISBLANK($C277),"",IF($BL277&lt;&gt;Constants!$B$4,$BL277,$BQ277-$BZ277))</f>
        <v/>
      </c>
      <c r="CB277" s="130"/>
      <c r="CC277" s="131" t="str">
        <f aca="false">IF(ISBLANK($C277),"",IF($BL277=Constants!$B$8,$AR277,""))</f>
        <v/>
      </c>
      <c r="CD277" s="131" t="str">
        <f aca="false">IF(ISBLANK($C277),"",IF($BL277&lt;&gt;Constants!$B$4,"",IF($BB277="-&gt;",2,1)))</f>
        <v/>
      </c>
      <c r="CE277" s="132" t="str">
        <f aca="false">IF(ISBLANK($C277),"",IF($BL277&lt;&gt;Constants!$B$4,"",IF($BB277="-&gt;",$BE277,$AU277)))</f>
        <v/>
      </c>
      <c r="CF277" s="132" t="str">
        <f aca="false">IF(ISBLANK($C277),"",IF($BL277&lt;&gt;Constants!$B$4,"",IF($BB277="-&gt;",$BF277,$AV277)))</f>
        <v/>
      </c>
      <c r="CG277" s="132" t="str">
        <f aca="false">IF(ISBLANK($C277),"",IF($BL277&lt;&gt;Constants!$B$4,"",IF($BB277="-&gt;",$BG277,$AW277)))</f>
        <v/>
      </c>
      <c r="CH277" s="132" t="str">
        <f aca="false">IF(ISBLANK($C277),"",IF($BL277&lt;&gt;Constants!$B$4,"",IF($BB277="-&gt;",$BH277,$AX277)))</f>
        <v/>
      </c>
      <c r="CI277" s="133" t="str">
        <f aca="false">IF(ISBLANK($C277),"",$BO277)</f>
        <v/>
      </c>
      <c r="CJ277" s="134" t="str">
        <f aca="false">IF(ISBLANK($C277),"",$BM277)</f>
        <v/>
      </c>
      <c r="CK277" s="135" t="str">
        <f aca="false">IF(ISBLANK($C277),"",$CA277)</f>
        <v/>
      </c>
      <c r="CL277" s="135" t="str">
        <f aca="false">IF(ISBLANK($C277),"",$BZ277)</f>
        <v/>
      </c>
      <c r="CM277" s="136" t="str">
        <f aca="false">IF(ISBLANK($C277),"",IF($CL277=Constants!$B$7,COUNTA($C$9:$C$508)+2,IF($CL277=Constants!$B$6,COUNTA($C$9:$C$508)+1,IF($CL277=Constants!$B$5,COUNTA($C$9:$C$508),$CL277))))</f>
        <v/>
      </c>
      <c r="CN277" s="8"/>
      <c r="CO277" s="137" t="n">
        <f aca="false">IF(OR(ISNUMBER($CL277),$CL277=Constants!$B$7,$CL277=Constants!$B$5,$CL277=Constants!$B$6),1,0)</f>
        <v>0</v>
      </c>
      <c r="CP277" s="137" t="n">
        <v>269</v>
      </c>
      <c r="CQ277" s="137" t="str">
        <f aca="false">IF(ISBLANK($C277),"",IF(ISNUMBER($CM277),$CM277+ROW($B277)/1000,""))</f>
        <v/>
      </c>
      <c r="CR277" s="137" t="str">
        <f aca="false">IF(ISNUMBER($CQ277),RANK($CQ277,$CQ$9:$CQ$508,1),"")</f>
        <v/>
      </c>
      <c r="CS277" s="137" t="str">
        <f aca="false">IF(ISBLANK($C277),"",$B277)</f>
        <v/>
      </c>
      <c r="CT277" s="137" t="str">
        <f aca="false">IF(ISBLANK($C277),"",$C277)</f>
        <v/>
      </c>
      <c r="CU277" s="137" t="str">
        <f aca="false">IF(ISBLANK($C277),"",$D277)</f>
        <v/>
      </c>
      <c r="CV277" s="138" t="str">
        <f aca="false">$CJ277</f>
        <v/>
      </c>
      <c r="CW277" s="139" t="str">
        <f aca="false">$CI277</f>
        <v/>
      </c>
      <c r="CX277" s="137" t="str">
        <f aca="false">IF(ISBLANK($C277),"",$CL277)</f>
        <v/>
      </c>
      <c r="CY277" s="140" t="str">
        <f aca="false">IF($CP277&gt;$CO$8,"",VLOOKUP($CP277,$CR$9:$CX$508,7,FALSE()))</f>
        <v/>
      </c>
      <c r="CZ277" s="141" t="str">
        <f aca="false">IF($CP277&gt;$CO$8,"",VLOOKUP($CP277,$CR$9:$CX$508,2,FALSE()))</f>
        <v/>
      </c>
      <c r="DA277" s="141" t="str">
        <f aca="false">IF($CP277&gt;$CO$8,"",VLOOKUP($CP277,$CR$9:$CX$508,3,FALSE()))</f>
        <v/>
      </c>
      <c r="DB277" s="141" t="str">
        <f aca="false">IF($CP277&gt;$CO$8,"",VLOOKUP($CP277,$CR$9:$CX$508,4,FALSE()))</f>
        <v/>
      </c>
      <c r="DC277" s="141" t="str">
        <f aca="false">IF($CP277&gt;$CO$8,"",VLOOKUP($CP277,$CR$9:$CX$508,5,FALSE()))</f>
        <v/>
      </c>
      <c r="DD277" s="142" t="str">
        <f aca="false">IF($CP277&gt;$CO$8,"",VLOOKUP($CP277,$CR$9:$CX$508,6,FALSE()))</f>
        <v/>
      </c>
      <c r="DE277" s="70"/>
    </row>
    <row r="278" customFormat="false" ht="15.75" hidden="false" customHeight="false" outlineLevel="0" collapsed="false">
      <c r="A278" s="8"/>
      <c r="B278" s="146"/>
      <c r="C278" s="147"/>
      <c r="D278" s="148"/>
      <c r="E278" s="164"/>
      <c r="F278" s="150"/>
      <c r="G278" s="115"/>
      <c r="H278" s="115"/>
      <c r="I278" s="115"/>
      <c r="J278" s="165"/>
      <c r="K278" s="154"/>
      <c r="L278" s="154"/>
      <c r="M278" s="118"/>
      <c r="N278" s="154"/>
      <c r="O278" s="153"/>
      <c r="P278" s="154"/>
      <c r="Q278" s="154"/>
      <c r="R278" s="154"/>
      <c r="S278" s="115"/>
      <c r="T278" s="154"/>
      <c r="U278" s="153"/>
      <c r="V278" s="154"/>
      <c r="W278" s="123"/>
      <c r="X278" s="124" t="str">
        <f aca="false">IF(ISBLANK($C278),"",IF($E278=Constants!$B$2,TRUE(),IF($E278=Constants!$B$3,FALSE(),TRUE())))</f>
        <v/>
      </c>
      <c r="Y278" s="124" t="str">
        <f aca="false">IF(ISBLANK($C278),"",IF($F278=Constants!$B$2,TRUE(),IF($F278=Constants!$B$3,FALSE(),TRUE())))</f>
        <v/>
      </c>
      <c r="Z278" s="125" t="str">
        <f aca="false">IF(ISBLANK($C278),"",IF(ISNUMBER($G278),IF($G278&gt;=0,$G278,""),""))</f>
        <v/>
      </c>
      <c r="AA278" s="125" t="str">
        <f aca="false">IF(ISBLANK($C278),"",IF(ISNUMBER($H278),IF($H278&gt;=0,$H278,""),""))</f>
        <v/>
      </c>
      <c r="AB278" s="125" t="str">
        <f aca="false">IF(ISBLANK($C278),"",IF(ISNUMBER($I278),IF($I278&gt;=0,$I278,""),""))</f>
        <v/>
      </c>
      <c r="AC278" s="124" t="str">
        <f aca="false">IF(ISBLANK($C278),"",IF($J278=Constants!$B$2,TRUE(),IF($J278=Constants!$B$3,FALSE(),TRUE())))</f>
        <v/>
      </c>
      <c r="AD278" s="124" t="str">
        <f aca="false">IF(ISBLANK($C278),"",IF($K278=Constants!$B$2,TRUE(),IF($K278=Constants!$B$3,FALSE(),TRUE())))</f>
        <v/>
      </c>
      <c r="AE278" s="124" t="str">
        <f aca="false">IF(ISBLANK($C278),"",IF($L278=Constants!$B$2,TRUE(),IF($L278=Constants!$B$3,FALSE(),TRUE())))</f>
        <v/>
      </c>
      <c r="AF278" s="126" t="str">
        <f aca="false">IF(ISBLANK($C278),"",IF(ISNUMBER($M278),IF($M278&gt;=0,$M278,""),""))</f>
        <v/>
      </c>
      <c r="AG278" s="124" t="str">
        <f aca="false">IF(ISBLANK($C278),"",IF(ISBLANK($N278),0,IF(ISNUMBER($N278),IF(AND($N278&gt;=0,$N278&lt;=Constants!$B$17,$N278=INT($N278)),$N278,""),"")))</f>
        <v/>
      </c>
      <c r="AH278" s="125" t="str">
        <f aca="false">IF(ISBLANK($C278),"",IF(ISBLANK($O278),0,IF(ISNUMBER($O278),IF($O278&gt;=0,$O278,""),"")))</f>
        <v/>
      </c>
      <c r="AI278" s="124" t="str">
        <f aca="false">IF(ISBLANK($C278),"",IF($P278=Constants!$B$2,TRUE(),IF($P278=Constants!$B$3,FALSE(),TRUE())))</f>
        <v/>
      </c>
      <c r="AJ278" s="124" t="str">
        <f aca="false">IF(ISBLANK($C278),"",IF($Q278=Constants!$B$2,TRUE(),IF($Q278=Constants!$B$3,FALSE(),TRUE())))</f>
        <v/>
      </c>
      <c r="AK278" s="124" t="str">
        <f aca="false">IF(ISBLANK($C278),"",IF($R278=Constants!$B$2,TRUE(),IF($R278=Constants!$B$3,FALSE(),TRUE())))</f>
        <v/>
      </c>
      <c r="AL278" s="126" t="str">
        <f aca="false">IF(ISBLANK($C278),"",IF(ISNUMBER($S278),IF($S278&gt;=0,$S278,""),""))</f>
        <v/>
      </c>
      <c r="AM278" s="124" t="str">
        <f aca="false">IF(ISBLANK($C278),"",IF(ISBLANK($T278),0,IF(ISNUMBER($T278),IF(AND($T278&gt;=0,$T278&lt;=Constants!$B$17,$T278=INT($T278)),$T278,""),"")))</f>
        <v/>
      </c>
      <c r="AN278" s="125" t="str">
        <f aca="false">IF(ISBLANK($C278),"",IF(ISBLANK($U278),0,IF(ISNUMBER($U278),IF($U278&gt;=0,$U278,""),"")))</f>
        <v/>
      </c>
      <c r="AO278" s="124" t="str">
        <f aca="false">IF(ISBLANK($C278),"",IF($V278=Constants!$B$2,TRUE(),IF($V278=Constants!$B$3,FALSE(),FALSE())))</f>
        <v/>
      </c>
      <c r="AP278" s="124"/>
      <c r="AQ278" s="123" t="str">
        <f aca="false">IF(ISBLANK($C278),"",AND($Y278,OR($AS278,$BC278),OR($Z278="",$AA278="",$AB278="")))</f>
        <v/>
      </c>
      <c r="AR278" s="123" t="str">
        <f aca="false">IF(ISBLANK($C278),"",IF(OR(NOT($Y278),NOT(OR($AS278,$BC278))),"",IF(ISBLANK($D$7),$AR$5,IF($AP$9="",$AR$6,""))))</f>
        <v/>
      </c>
      <c r="AS278" s="123" t="str">
        <f aca="false">IF(ISBLANK($C278),"",COUNTA($J278:$O278)&gt;0)</f>
        <v/>
      </c>
      <c r="AT278" s="123" t="str">
        <f aca="false">IF(ISBLANK($C278),"",AND($AS278,OR(AND($AF278="",OR($AE278,NOT(ISBLANK($M278)))),$AG278="",$AH278="")))</f>
        <v/>
      </c>
      <c r="AU278" s="125" t="str">
        <f aca="false">IF($BL278&lt;&gt;Constants!$B$4,"",IF(NOT($AS278),"",ROUND((Constants!$B$12-$AB278)+(Constants!$B$13-$Z278)+(Constants!$B$14-$AA278),1)))</f>
        <v/>
      </c>
      <c r="AV278" s="127" t="str">
        <f aca="false">IF($BL278&lt;&gt;Constants!$B$4,"",IF(NOT($AS278),"",IF(NOT($AE278),0,Constants!$B$15*(INT(ROUND(MIN($AF278,$AP$9),6))-INT(ROUND(MAX(0,MIN($AF278,2*$AP$9)-$AP$9),6))))))</f>
        <v/>
      </c>
      <c r="AW278" s="127" t="str">
        <f aca="false">IF($BL278&lt;&gt;Constants!$B$4,"",IF(NOT($AS278),"",Constants!$B$16*$AG278))</f>
        <v/>
      </c>
      <c r="AX278" s="127" t="str">
        <f aca="false">IF($BL278&lt;&gt;Constants!$B$4,"",IF(NOT($AS278),"",Constants!$B$18*INT(ROUND($AH278,6))))</f>
        <v/>
      </c>
      <c r="AY278" s="123" t="str">
        <f aca="false">IF($BL278&lt;&gt;Constants!$B$4,"",IF(NOT($AS278),"",IF(NOT($X278),Constants!$B$11,IF(OR(NOT($AC278),NOT($AD278),ROUND($AB278,1)&gt;Constants!$B$12,ROUND($Z278,1)&gt;Constants!$B$13,ROUND($AA278,1)&gt;Constants!$B$14),Constants!$B$10,Constants!$B$9))))</f>
        <v/>
      </c>
      <c r="AZ278" s="128" t="str">
        <f aca="false">IF($BL278&lt;&gt;Constants!$B$4,"",IF(NOT($AS278),"",ROUND($AU278+$AV278+$AW278+$AX278,1)))</f>
        <v/>
      </c>
      <c r="BA278" s="129" t="str">
        <f aca="false">IF($BL278&lt;&gt;Constants!$B$4,"",IF(NOT($AS278),"",IF(ISNUMBER($AF278),$AF278,0)))</f>
        <v/>
      </c>
      <c r="BB278" s="124" t="str">
        <f aca="false">IF($BL278&lt;&gt;Constants!$B$4,"",IF(NOT($BC278),"&lt;-",IF(NOT($AS278),"-&gt;",IF(OR($BI278&lt;$AY278,AND($BI278=$AY278,OR($BJ278&gt;$AZ278,AND($BJ278=$AZ278,OR($BH278&gt;$AX278,AND($BH278=$AX278,OR($BE278&gt;$AU278,AND($BE278=$AU278,OR($BF278&gt;$AV278,AND($BF278=$AV278,$BK278&gt;$BA278)))))))))),"-&gt;","&lt;-"))))</f>
        <v/>
      </c>
      <c r="BC278" s="123" t="str">
        <f aca="false">IF(ISBLANK($C278),"",COUNTA($P278:$U278)&gt;0)</f>
        <v/>
      </c>
      <c r="BD278" s="123" t="str">
        <f aca="false">IF(ISBLANK($C278),"",AND($BC278,OR(AND($AL278="",OR($AK278,NOT(ISBLANK($S278)))),$AM278="",$AN278="")))</f>
        <v/>
      </c>
      <c r="BE278" s="125" t="str">
        <f aca="false">IF($BL278&lt;&gt;Constants!$B$4,"",IF(NOT($BC278),"",ROUND((Constants!$B$12-$AB278)+(Constants!$B$13-$Z278)+(Constants!$B$14-$AA278),1)))</f>
        <v/>
      </c>
      <c r="BF278" s="127" t="str">
        <f aca="false">IF($BL278&lt;&gt;Constants!$B$4,"",IF(NOT($BC278),"",IF(NOT($AK278),0,Constants!$B$15*(INT(ROUND(MIN($AL278,$AP$9),6))-INT(ROUND(MAX(0,MIN($AL278,2*$AP$9)-$AP$9),6))))))</f>
        <v/>
      </c>
      <c r="BG278" s="127" t="str">
        <f aca="false">IF($BL278&lt;&gt;Constants!$B$4,"",IF(NOT($BC278),"",Constants!$B$16*$AM278))</f>
        <v/>
      </c>
      <c r="BH278" s="127" t="str">
        <f aca="false">IF($BL278&lt;&gt;Constants!$B$4,"",IF(NOT($BC278),"",Constants!$B$18*INT(ROUND($AN278,6))))</f>
        <v/>
      </c>
      <c r="BI278" s="123" t="str">
        <f aca="false">IF($BL278&lt;&gt;Constants!$B$4,"",IF(NOT($BC278),"",IF(NOT($X278),Constants!$B$11,IF(OR(NOT($AI278),NOT($AJ278),ROUND($AB278,1)&gt;Constants!$B$12,ROUND($Z278,1)&gt;Constants!$B$13,ROUND($AA278,1)&gt;Constants!$B$14),Constants!$B$10,Constants!$B$9))))</f>
        <v/>
      </c>
      <c r="BJ278" s="128" t="str">
        <f aca="false">IF($BL278&lt;&gt;Constants!$B$4,"",IF(NOT($BC278),"",ROUND($BE278+$BF278+$BG278+$BH278,1)))</f>
        <v/>
      </c>
      <c r="BK278" s="129" t="str">
        <f aca="false">IF($BL278&lt;&gt;Constants!$B$4,"",IF(NOT($BC278),"",IF(ISNUMBER($AL278),$AL278,0)))</f>
        <v/>
      </c>
      <c r="BL278" s="124" t="str">
        <f aca="false">IF(ISBLANK($C278),"",IF($AO278,Constants!$B$7,IF(COUNTA($E278:$V278)=0,Constants!$B$6,IF(NOT($Y278),Constants!$B$5,IF(NOT(OR($AS278,$BC278)),Constants!$B$5,IF(OR($AT278,$BD278,$AQ278,$AR278&lt;&gt;""),Constants!$B$8,Constants!$B$4))))))</f>
        <v/>
      </c>
      <c r="BM278" s="124" t="str">
        <f aca="false">IF(ISBLANK($C278),"",IF($BL278&lt;&gt;Constants!$B$4,$BL278,IF($BB278="-&gt;",$BI278,$AY278)))</f>
        <v/>
      </c>
      <c r="BN278" s="127" t="str">
        <f aca="false">IF($BL278&lt;&gt;Constants!$B$4,"",IF($BB278="-&gt;",$BJ278,$AZ278))</f>
        <v/>
      </c>
      <c r="BO278" s="127" t="str">
        <f aca="false">IF(ISBLANK($C278),"",IF($BL278&lt;&gt;Constants!$B$4,$BL278,$BN278))</f>
        <v/>
      </c>
      <c r="BP278" s="124" t="str">
        <f aca="false">IF(ISBLANK($C278),"",IF($BL278&lt;&gt;Constants!$B$4,$BL278,RANK($BO278,$BO$9:$BO$508,0)))</f>
        <v/>
      </c>
      <c r="BQ278" s="124" t="str">
        <f aca="false">IF(ISBLANK($C278),"",IF($BL278&lt;&gt;Constants!$B$4,$BL278,COUNTIFS($BM$9:$BM$508,"&lt;"&amp;$BM278)+COUNTIFS($BM$9:$BM$508,$BM278,$BP$9:$BP$508,"&lt;"&amp;$BP278)+1))</f>
        <v/>
      </c>
      <c r="BR278" s="127" t="str">
        <f aca="false">IF($BL278&lt;&gt;Constants!$B$4,"",IF($BB278="-&gt;",$BH278,$AX278))</f>
        <v/>
      </c>
      <c r="BS278" s="124" t="str">
        <f aca="false">IF(ISBLANK($C278),"",IF($BL278&lt;&gt;Constants!$B$4,$BL278,IF(ISNUMBER($BR278),RANK($BR278,$BR$9:$BR$508,0),COUNT($BR$9:$BR$508)+1)))</f>
        <v/>
      </c>
      <c r="BT278" s="127" t="str">
        <f aca="false">IF($BL278&lt;&gt;Constants!$B$4,"",IF($BB278="-&gt;",$BE278,$AU278))</f>
        <v/>
      </c>
      <c r="BU278" s="124" t="str">
        <f aca="false">IF(ISBLANK($C278),"",IF($BL278&lt;&gt;Constants!$B$4,$BL278,IF(ISNUMBER($BT278),RANK($BT278,$BT$9:$BT$508,0),COUNT($BT$9:$BT$508)+1)))</f>
        <v/>
      </c>
      <c r="BV278" s="127" t="str">
        <f aca="false">IF($BL278&lt;&gt;Constants!$B$4,"",IF($BB278="-&gt;",$BF278,$AV278))</f>
        <v/>
      </c>
      <c r="BW278" s="124" t="str">
        <f aca="false">IF(ISBLANK($C278),"",IF($BL278&lt;&gt;Constants!$B$4,$BL278,IF(ISNUMBER($BV278),RANK($BV278,$BV$9:$BV$508,0),COUNT($BV$9:$BV$508)+1)))</f>
        <v/>
      </c>
      <c r="BX278" s="127" t="str">
        <f aca="false">IF($BL278&lt;&gt;Constants!$B$4,"",IF($BB278="-&gt;",$BK278,$BA278))</f>
        <v/>
      </c>
      <c r="BY278" s="124" t="str">
        <f aca="false">IF(ISBLANK($C278),"",IF($BL278&lt;&gt;Constants!$B$4,$BL278,IF(ISNUMBER($BX278),RANK($BX278,$BX$9:$BX$508,0),COUNT($BX$9:$BX$508)+1)))</f>
        <v/>
      </c>
      <c r="BZ278" s="124" t="str">
        <f aca="false">IF(ISBLANK($C278),"",IF($BL278&lt;&gt;Constants!$B$4,$BL278,COUNTIFS($BM$9:$BM$508,"&lt;"&amp;$BM278)+COUNTIFS($BM$9:$BM$508,$BM278,$BP$9:$BP$508,"&lt;"&amp;$BP278)+COUNTIFS($BM$9:$BM$508,$BM278,$BP$9:$BP$508,$BP278,$BS$9:$BS$508,"&lt;"&amp;$BS278)+COUNTIFS($BM$9:$BM$508,$BM278,$BP$9:$BP$508,$BP278,$BS$9:$BS$508,$BS278,$BU$9:$BU$508,"&lt;"&amp;$BU278)+COUNTIFS($BM$9:$BM$508,$BM278,$BP$9:$BP$508,$BP278,$BS$9:$BS$508,$BS278,$BU$9:$BU$508,$BU278,$BW$9:$BW$508,"&lt;"&amp;$BW278)+COUNTIFS($BM$9:$BM$508,$BM278,$BP$9:$BP$508,$BP278,$BS$9:$BS$508,$BS278,$BU$9:$BU$508,$BU278,$BW$9:$BW$508,$BW278,$BY$9:$BY$508,"&lt;"&amp;$BY278)+1))</f>
        <v/>
      </c>
      <c r="CA278" s="124" t="str">
        <f aca="false">IF(ISBLANK($C278),"",IF($BL278&lt;&gt;Constants!$B$4,$BL278,$BQ278-$BZ278))</f>
        <v/>
      </c>
      <c r="CB278" s="130"/>
      <c r="CC278" s="131" t="str">
        <f aca="false">IF(ISBLANK($C278),"",IF($BL278=Constants!$B$8,$AR278,""))</f>
        <v/>
      </c>
      <c r="CD278" s="131" t="str">
        <f aca="false">IF(ISBLANK($C278),"",IF($BL278&lt;&gt;Constants!$B$4,"",IF($BB278="-&gt;",2,1)))</f>
        <v/>
      </c>
      <c r="CE278" s="132" t="str">
        <f aca="false">IF(ISBLANK($C278),"",IF($BL278&lt;&gt;Constants!$B$4,"",IF($BB278="-&gt;",$BE278,$AU278)))</f>
        <v/>
      </c>
      <c r="CF278" s="132" t="str">
        <f aca="false">IF(ISBLANK($C278),"",IF($BL278&lt;&gt;Constants!$B$4,"",IF($BB278="-&gt;",$BF278,$AV278)))</f>
        <v/>
      </c>
      <c r="CG278" s="132" t="str">
        <f aca="false">IF(ISBLANK($C278),"",IF($BL278&lt;&gt;Constants!$B$4,"",IF($BB278="-&gt;",$BG278,$AW278)))</f>
        <v/>
      </c>
      <c r="CH278" s="132" t="str">
        <f aca="false">IF(ISBLANK($C278),"",IF($BL278&lt;&gt;Constants!$B$4,"",IF($BB278="-&gt;",$BH278,$AX278)))</f>
        <v/>
      </c>
      <c r="CI278" s="133" t="str">
        <f aca="false">IF(ISBLANK($C278),"",$BO278)</f>
        <v/>
      </c>
      <c r="CJ278" s="134" t="str">
        <f aca="false">IF(ISBLANK($C278),"",$BM278)</f>
        <v/>
      </c>
      <c r="CK278" s="135" t="str">
        <f aca="false">IF(ISBLANK($C278),"",$CA278)</f>
        <v/>
      </c>
      <c r="CL278" s="135" t="str">
        <f aca="false">IF(ISBLANK($C278),"",$BZ278)</f>
        <v/>
      </c>
      <c r="CM278" s="136" t="str">
        <f aca="false">IF(ISBLANK($C278),"",IF($CL278=Constants!$B$7,COUNTA($C$9:$C$508)+2,IF($CL278=Constants!$B$6,COUNTA($C$9:$C$508)+1,IF($CL278=Constants!$B$5,COUNTA($C$9:$C$508),$CL278))))</f>
        <v/>
      </c>
      <c r="CN278" s="8"/>
      <c r="CO278" s="137" t="n">
        <f aca="false">IF(OR(ISNUMBER($CL278),$CL278=Constants!$B$7,$CL278=Constants!$B$5,$CL278=Constants!$B$6),1,0)</f>
        <v>0</v>
      </c>
      <c r="CP278" s="137" t="n">
        <v>270</v>
      </c>
      <c r="CQ278" s="137" t="str">
        <f aca="false">IF(ISBLANK($C278),"",IF(ISNUMBER($CM278),$CM278+ROW($B278)/1000,""))</f>
        <v/>
      </c>
      <c r="CR278" s="137" t="str">
        <f aca="false">IF(ISNUMBER($CQ278),RANK($CQ278,$CQ$9:$CQ$508,1),"")</f>
        <v/>
      </c>
      <c r="CS278" s="137" t="str">
        <f aca="false">IF(ISBLANK($C278),"",$B278)</f>
        <v/>
      </c>
      <c r="CT278" s="137" t="str">
        <f aca="false">IF(ISBLANK($C278),"",$C278)</f>
        <v/>
      </c>
      <c r="CU278" s="137" t="str">
        <f aca="false">IF(ISBLANK($C278),"",$D278)</f>
        <v/>
      </c>
      <c r="CV278" s="138" t="str">
        <f aca="false">$CJ278</f>
        <v/>
      </c>
      <c r="CW278" s="139" t="str">
        <f aca="false">$CI278</f>
        <v/>
      </c>
      <c r="CX278" s="137" t="str">
        <f aca="false">IF(ISBLANK($C278),"",$CL278)</f>
        <v/>
      </c>
      <c r="CY278" s="140" t="str">
        <f aca="false">IF($CP278&gt;$CO$8,"",VLOOKUP($CP278,$CR$9:$CX$508,7,FALSE()))</f>
        <v/>
      </c>
      <c r="CZ278" s="141" t="str">
        <f aca="false">IF($CP278&gt;$CO$8,"",VLOOKUP($CP278,$CR$9:$CX$508,2,FALSE()))</f>
        <v/>
      </c>
      <c r="DA278" s="141" t="str">
        <f aca="false">IF($CP278&gt;$CO$8,"",VLOOKUP($CP278,$CR$9:$CX$508,3,FALSE()))</f>
        <v/>
      </c>
      <c r="DB278" s="141" t="str">
        <f aca="false">IF($CP278&gt;$CO$8,"",VLOOKUP($CP278,$CR$9:$CX$508,4,FALSE()))</f>
        <v/>
      </c>
      <c r="DC278" s="141" t="str">
        <f aca="false">IF($CP278&gt;$CO$8,"",VLOOKUP($CP278,$CR$9:$CX$508,5,FALSE()))</f>
        <v/>
      </c>
      <c r="DD278" s="142" t="str">
        <f aca="false">IF($CP278&gt;$CO$8,"",VLOOKUP($CP278,$CR$9:$CX$508,6,FALSE()))</f>
        <v/>
      </c>
      <c r="DE278" s="70"/>
    </row>
    <row r="279" customFormat="false" ht="15.75" hidden="false" customHeight="false" outlineLevel="0" collapsed="false">
      <c r="A279" s="8"/>
      <c r="B279" s="72"/>
      <c r="C279" s="73"/>
      <c r="D279" s="155"/>
      <c r="E279" s="162"/>
      <c r="F279" s="157"/>
      <c r="G279" s="77"/>
      <c r="H279" s="77"/>
      <c r="I279" s="77"/>
      <c r="J279" s="163"/>
      <c r="K279" s="161"/>
      <c r="L279" s="161"/>
      <c r="M279" s="80"/>
      <c r="N279" s="161"/>
      <c r="O279" s="160"/>
      <c r="P279" s="161"/>
      <c r="Q279" s="161"/>
      <c r="R279" s="161"/>
      <c r="S279" s="77"/>
      <c r="T279" s="161"/>
      <c r="U279" s="160"/>
      <c r="V279" s="161"/>
      <c r="W279" s="85"/>
      <c r="X279" s="86" t="str">
        <f aca="false">IF(ISBLANK($C279),"",IF($E279=Constants!$B$2,TRUE(),IF($E279=Constants!$B$3,FALSE(),TRUE())))</f>
        <v/>
      </c>
      <c r="Y279" s="86" t="str">
        <f aca="false">IF(ISBLANK($C279),"",IF($F279=Constants!$B$2,TRUE(),IF($F279=Constants!$B$3,FALSE(),TRUE())))</f>
        <v/>
      </c>
      <c r="Z279" s="87" t="str">
        <f aca="false">IF(ISBLANK($C279),"",IF(ISNUMBER($G279),IF($G279&gt;=0,$G279,""),""))</f>
        <v/>
      </c>
      <c r="AA279" s="87" t="str">
        <f aca="false">IF(ISBLANK($C279),"",IF(ISNUMBER($H279),IF($H279&gt;=0,$H279,""),""))</f>
        <v/>
      </c>
      <c r="AB279" s="87" t="str">
        <f aca="false">IF(ISBLANK($C279),"",IF(ISNUMBER($I279),IF($I279&gt;=0,$I279,""),""))</f>
        <v/>
      </c>
      <c r="AC279" s="86" t="str">
        <f aca="false">IF(ISBLANK($C279),"",IF($J279=Constants!$B$2,TRUE(),IF($J279=Constants!$B$3,FALSE(),TRUE())))</f>
        <v/>
      </c>
      <c r="AD279" s="86" t="str">
        <f aca="false">IF(ISBLANK($C279),"",IF($K279=Constants!$B$2,TRUE(),IF($K279=Constants!$B$3,FALSE(),TRUE())))</f>
        <v/>
      </c>
      <c r="AE279" s="86" t="str">
        <f aca="false">IF(ISBLANK($C279),"",IF($L279=Constants!$B$2,TRUE(),IF($L279=Constants!$B$3,FALSE(),TRUE())))</f>
        <v/>
      </c>
      <c r="AF279" s="88" t="str">
        <f aca="false">IF(ISBLANK($C279),"",IF(ISNUMBER($M279),IF($M279&gt;=0,$M279,""),""))</f>
        <v/>
      </c>
      <c r="AG279" s="86" t="str">
        <f aca="false">IF(ISBLANK($C279),"",IF(ISBLANK($N279),0,IF(ISNUMBER($N279),IF(AND($N279&gt;=0,$N279&lt;=Constants!$B$17,$N279=INT($N279)),$N279,""),"")))</f>
        <v/>
      </c>
      <c r="AH279" s="87" t="str">
        <f aca="false">IF(ISBLANK($C279),"",IF(ISBLANK($O279),0,IF(ISNUMBER($O279),IF($O279&gt;=0,$O279,""),"")))</f>
        <v/>
      </c>
      <c r="AI279" s="86" t="str">
        <f aca="false">IF(ISBLANK($C279),"",IF($P279=Constants!$B$2,TRUE(),IF($P279=Constants!$B$3,FALSE(),TRUE())))</f>
        <v/>
      </c>
      <c r="AJ279" s="86" t="str">
        <f aca="false">IF(ISBLANK($C279),"",IF($Q279=Constants!$B$2,TRUE(),IF($Q279=Constants!$B$3,FALSE(),TRUE())))</f>
        <v/>
      </c>
      <c r="AK279" s="86" t="str">
        <f aca="false">IF(ISBLANK($C279),"",IF($R279=Constants!$B$2,TRUE(),IF($R279=Constants!$B$3,FALSE(),TRUE())))</f>
        <v/>
      </c>
      <c r="AL279" s="88" t="str">
        <f aca="false">IF(ISBLANK($C279),"",IF(ISNUMBER($S279),IF($S279&gt;=0,$S279,""),""))</f>
        <v/>
      </c>
      <c r="AM279" s="86" t="str">
        <f aca="false">IF(ISBLANK($C279),"",IF(ISBLANK($T279),0,IF(ISNUMBER($T279),IF(AND($T279&gt;=0,$T279&lt;=Constants!$B$17,$T279=INT($T279)),$T279,""),"")))</f>
        <v/>
      </c>
      <c r="AN279" s="87" t="str">
        <f aca="false">IF(ISBLANK($C279),"",IF(ISBLANK($U279),0,IF(ISNUMBER($U279),IF($U279&gt;=0,$U279,""),"")))</f>
        <v/>
      </c>
      <c r="AO279" s="86" t="str">
        <f aca="false">IF(ISBLANK($C279),"",IF($V279=Constants!$B$2,TRUE(),IF($V279=Constants!$B$3,FALSE(),FALSE())))</f>
        <v/>
      </c>
      <c r="AP279" s="86"/>
      <c r="AQ279" s="85" t="str">
        <f aca="false">IF(ISBLANK($C279),"",AND($Y279,OR($AS279,$BC279),OR($Z279="",$AA279="",$AB279="")))</f>
        <v/>
      </c>
      <c r="AR279" s="85" t="str">
        <f aca="false">IF(ISBLANK($C279),"",IF(OR(NOT($Y279),NOT(OR($AS279,$BC279))),"",IF(ISBLANK($D$7),$AR$5,IF($AP$9="",$AR$6,""))))</f>
        <v/>
      </c>
      <c r="AS279" s="85" t="str">
        <f aca="false">IF(ISBLANK($C279),"",COUNTA($J279:$O279)&gt;0)</f>
        <v/>
      </c>
      <c r="AT279" s="85" t="str">
        <f aca="false">IF(ISBLANK($C279),"",AND($AS279,OR(AND($AF279="",OR($AE279,NOT(ISBLANK($M279)))),$AG279="",$AH279="")))</f>
        <v/>
      </c>
      <c r="AU279" s="87" t="str">
        <f aca="false">IF($BL279&lt;&gt;Constants!$B$4,"",IF(NOT($AS279),"",ROUND((Constants!$B$12-$AB279)+(Constants!$B$13-$Z279)+(Constants!$B$14-$AA279),1)))</f>
        <v/>
      </c>
      <c r="AV279" s="90" t="str">
        <f aca="false">IF($BL279&lt;&gt;Constants!$B$4,"",IF(NOT($AS279),"",IF(NOT($AE279),0,Constants!$B$15*(INT(ROUND(MIN($AF279,$AP$9),6))-INT(ROUND(MAX(0,MIN($AF279,2*$AP$9)-$AP$9),6))))))</f>
        <v/>
      </c>
      <c r="AW279" s="90" t="str">
        <f aca="false">IF($BL279&lt;&gt;Constants!$B$4,"",IF(NOT($AS279),"",Constants!$B$16*$AG279))</f>
        <v/>
      </c>
      <c r="AX279" s="90" t="str">
        <f aca="false">IF($BL279&lt;&gt;Constants!$B$4,"",IF(NOT($AS279),"",Constants!$B$18*INT(ROUND($AH279,6))))</f>
        <v/>
      </c>
      <c r="AY279" s="85" t="str">
        <f aca="false">IF($BL279&lt;&gt;Constants!$B$4,"",IF(NOT($AS279),"",IF(NOT($X279),Constants!$B$11,IF(OR(NOT($AC279),NOT($AD279),ROUND($AB279,1)&gt;Constants!$B$12,ROUND($Z279,1)&gt;Constants!$B$13,ROUND($AA279,1)&gt;Constants!$B$14),Constants!$B$10,Constants!$B$9))))</f>
        <v/>
      </c>
      <c r="AZ279" s="91" t="str">
        <f aca="false">IF($BL279&lt;&gt;Constants!$B$4,"",IF(NOT($AS279),"",ROUND($AU279+$AV279+$AW279+$AX279,1)))</f>
        <v/>
      </c>
      <c r="BA279" s="92" t="str">
        <f aca="false">IF($BL279&lt;&gt;Constants!$B$4,"",IF(NOT($AS279),"",IF(ISNUMBER($AF279),$AF279,0)))</f>
        <v/>
      </c>
      <c r="BB279" s="86" t="str">
        <f aca="false">IF($BL279&lt;&gt;Constants!$B$4,"",IF(NOT($BC279),"&lt;-",IF(NOT($AS279),"-&gt;",IF(OR($BI279&lt;$AY279,AND($BI279=$AY279,OR($BJ279&gt;$AZ279,AND($BJ279=$AZ279,OR($BH279&gt;$AX279,AND($BH279=$AX279,OR($BE279&gt;$AU279,AND($BE279=$AU279,OR($BF279&gt;$AV279,AND($BF279=$AV279,$BK279&gt;$BA279)))))))))),"-&gt;","&lt;-"))))</f>
        <v/>
      </c>
      <c r="BC279" s="85" t="str">
        <f aca="false">IF(ISBLANK($C279),"",COUNTA($P279:$U279)&gt;0)</f>
        <v/>
      </c>
      <c r="BD279" s="85" t="str">
        <f aca="false">IF(ISBLANK($C279),"",AND($BC279,OR(AND($AL279="",OR($AK279,NOT(ISBLANK($S279)))),$AM279="",$AN279="")))</f>
        <v/>
      </c>
      <c r="BE279" s="87" t="str">
        <f aca="false">IF($BL279&lt;&gt;Constants!$B$4,"",IF(NOT($BC279),"",ROUND((Constants!$B$12-$AB279)+(Constants!$B$13-$Z279)+(Constants!$B$14-$AA279),1)))</f>
        <v/>
      </c>
      <c r="BF279" s="90" t="str">
        <f aca="false">IF($BL279&lt;&gt;Constants!$B$4,"",IF(NOT($BC279),"",IF(NOT($AK279),0,Constants!$B$15*(INT(ROUND(MIN($AL279,$AP$9),6))-INT(ROUND(MAX(0,MIN($AL279,2*$AP$9)-$AP$9),6))))))</f>
        <v/>
      </c>
      <c r="BG279" s="90" t="str">
        <f aca="false">IF($BL279&lt;&gt;Constants!$B$4,"",IF(NOT($BC279),"",Constants!$B$16*$AM279))</f>
        <v/>
      </c>
      <c r="BH279" s="90" t="str">
        <f aca="false">IF($BL279&lt;&gt;Constants!$B$4,"",IF(NOT($BC279),"",Constants!$B$18*INT(ROUND($AN279,6))))</f>
        <v/>
      </c>
      <c r="BI279" s="85" t="str">
        <f aca="false">IF($BL279&lt;&gt;Constants!$B$4,"",IF(NOT($BC279),"",IF(NOT($X279),Constants!$B$11,IF(OR(NOT($AI279),NOT($AJ279),ROUND($AB279,1)&gt;Constants!$B$12,ROUND($Z279,1)&gt;Constants!$B$13,ROUND($AA279,1)&gt;Constants!$B$14),Constants!$B$10,Constants!$B$9))))</f>
        <v/>
      </c>
      <c r="BJ279" s="91" t="str">
        <f aca="false">IF($BL279&lt;&gt;Constants!$B$4,"",IF(NOT($BC279),"",ROUND($BE279+$BF279+$BG279+$BH279,1)))</f>
        <v/>
      </c>
      <c r="BK279" s="92" t="str">
        <f aca="false">IF($BL279&lt;&gt;Constants!$B$4,"",IF(NOT($BC279),"",IF(ISNUMBER($AL279),$AL279,0)))</f>
        <v/>
      </c>
      <c r="BL279" s="86" t="str">
        <f aca="false">IF(ISBLANK($C279),"",IF($AO279,Constants!$B$7,IF(COUNTA($E279:$V279)=0,Constants!$B$6,IF(NOT($Y279),Constants!$B$5,IF(NOT(OR($AS279,$BC279)),Constants!$B$5,IF(OR($AT279,$BD279,$AQ279,$AR279&lt;&gt;""),Constants!$B$8,Constants!$B$4))))))</f>
        <v/>
      </c>
      <c r="BM279" s="86" t="str">
        <f aca="false">IF(ISBLANK($C279),"",IF($BL279&lt;&gt;Constants!$B$4,$BL279,IF($BB279="-&gt;",$BI279,$AY279)))</f>
        <v/>
      </c>
      <c r="BN279" s="90" t="str">
        <f aca="false">IF($BL279&lt;&gt;Constants!$B$4,"",IF($BB279="-&gt;",$BJ279,$AZ279))</f>
        <v/>
      </c>
      <c r="BO279" s="90" t="str">
        <f aca="false">IF(ISBLANK($C279),"",IF($BL279&lt;&gt;Constants!$B$4,$BL279,$BN279))</f>
        <v/>
      </c>
      <c r="BP279" s="86" t="str">
        <f aca="false">IF(ISBLANK($C279),"",IF($BL279&lt;&gt;Constants!$B$4,$BL279,RANK($BO279,$BO$9:$BO$508,0)))</f>
        <v/>
      </c>
      <c r="BQ279" s="86" t="str">
        <f aca="false">IF(ISBLANK($C279),"",IF($BL279&lt;&gt;Constants!$B$4,$BL279,COUNTIFS($BM$9:$BM$508,"&lt;"&amp;$BM279)+COUNTIFS($BM$9:$BM$508,$BM279,$BP$9:$BP$508,"&lt;"&amp;$BP279)+1))</f>
        <v/>
      </c>
      <c r="BR279" s="90" t="str">
        <f aca="false">IF($BL279&lt;&gt;Constants!$B$4,"",IF($BB279="-&gt;",$BH279,$AX279))</f>
        <v/>
      </c>
      <c r="BS279" s="86" t="str">
        <f aca="false">IF(ISBLANK($C279),"",IF($BL279&lt;&gt;Constants!$B$4,$BL279,IF(ISNUMBER($BR279),RANK($BR279,$BR$9:$BR$508,0),COUNT($BR$9:$BR$508)+1)))</f>
        <v/>
      </c>
      <c r="BT279" s="90" t="str">
        <f aca="false">IF($BL279&lt;&gt;Constants!$B$4,"",IF($BB279="-&gt;",$BE279,$AU279))</f>
        <v/>
      </c>
      <c r="BU279" s="86" t="str">
        <f aca="false">IF(ISBLANK($C279),"",IF($BL279&lt;&gt;Constants!$B$4,$BL279,IF(ISNUMBER($BT279),RANK($BT279,$BT$9:$BT$508,0),COUNT($BT$9:$BT$508)+1)))</f>
        <v/>
      </c>
      <c r="BV279" s="90" t="str">
        <f aca="false">IF($BL279&lt;&gt;Constants!$B$4,"",IF($BB279="-&gt;",$BF279,$AV279))</f>
        <v/>
      </c>
      <c r="BW279" s="86" t="str">
        <f aca="false">IF(ISBLANK($C279),"",IF($BL279&lt;&gt;Constants!$B$4,$BL279,IF(ISNUMBER($BV279),RANK($BV279,$BV$9:$BV$508,0),COUNT($BV$9:$BV$508)+1)))</f>
        <v/>
      </c>
      <c r="BX279" s="90" t="str">
        <f aca="false">IF($BL279&lt;&gt;Constants!$B$4,"",IF($BB279="-&gt;",$BK279,$BA279))</f>
        <v/>
      </c>
      <c r="BY279" s="86" t="str">
        <f aca="false">IF(ISBLANK($C279),"",IF($BL279&lt;&gt;Constants!$B$4,$BL279,IF(ISNUMBER($BX279),RANK($BX279,$BX$9:$BX$508,0),COUNT($BX$9:$BX$508)+1)))</f>
        <v/>
      </c>
      <c r="BZ279" s="86" t="str">
        <f aca="false">IF(ISBLANK($C279),"",IF($BL279&lt;&gt;Constants!$B$4,$BL279,COUNTIFS($BM$9:$BM$508,"&lt;"&amp;$BM279)+COUNTIFS($BM$9:$BM$508,$BM279,$BP$9:$BP$508,"&lt;"&amp;$BP279)+COUNTIFS($BM$9:$BM$508,$BM279,$BP$9:$BP$508,$BP279,$BS$9:$BS$508,"&lt;"&amp;$BS279)+COUNTIFS($BM$9:$BM$508,$BM279,$BP$9:$BP$508,$BP279,$BS$9:$BS$508,$BS279,$BU$9:$BU$508,"&lt;"&amp;$BU279)+COUNTIFS($BM$9:$BM$508,$BM279,$BP$9:$BP$508,$BP279,$BS$9:$BS$508,$BS279,$BU$9:$BU$508,$BU279,$BW$9:$BW$508,"&lt;"&amp;$BW279)+COUNTIFS($BM$9:$BM$508,$BM279,$BP$9:$BP$508,$BP279,$BS$9:$BS$508,$BS279,$BU$9:$BU$508,$BU279,$BW$9:$BW$508,$BW279,$BY$9:$BY$508,"&lt;"&amp;$BY279)+1))</f>
        <v/>
      </c>
      <c r="CA279" s="86" t="str">
        <f aca="false">IF(ISBLANK($C279),"",IF($BL279&lt;&gt;Constants!$B$4,$BL279,$BQ279-$BZ279))</f>
        <v/>
      </c>
      <c r="CB279" s="93"/>
      <c r="CC279" s="94" t="str">
        <f aca="false">IF(ISBLANK($C279),"",IF($BL279=Constants!$B$8,$AR279,""))</f>
        <v/>
      </c>
      <c r="CD279" s="94" t="str">
        <f aca="false">IF(ISBLANK($C279),"",IF($BL279&lt;&gt;Constants!$B$4,"",IF($BB279="-&gt;",2,1)))</f>
        <v/>
      </c>
      <c r="CE279" s="95" t="str">
        <f aca="false">IF(ISBLANK($C279),"",IF($BL279&lt;&gt;Constants!$B$4,"",IF($BB279="-&gt;",$BE279,$AU279)))</f>
        <v/>
      </c>
      <c r="CF279" s="95" t="str">
        <f aca="false">IF(ISBLANK($C279),"",IF($BL279&lt;&gt;Constants!$B$4,"",IF($BB279="-&gt;",$BF279,$AV279)))</f>
        <v/>
      </c>
      <c r="CG279" s="95" t="str">
        <f aca="false">IF(ISBLANK($C279),"",IF($BL279&lt;&gt;Constants!$B$4,"",IF($BB279="-&gt;",$BG279,$AW279)))</f>
        <v/>
      </c>
      <c r="CH279" s="95" t="str">
        <f aca="false">IF(ISBLANK($C279),"",IF($BL279&lt;&gt;Constants!$B$4,"",IF($BB279="-&gt;",$BH279,$AX279)))</f>
        <v/>
      </c>
      <c r="CI279" s="96" t="str">
        <f aca="false">IF(ISBLANK($C279),"",$BO279)</f>
        <v/>
      </c>
      <c r="CJ279" s="97" t="str">
        <f aca="false">IF(ISBLANK($C279),"",$BM279)</f>
        <v/>
      </c>
      <c r="CK279" s="98" t="str">
        <f aca="false">IF(ISBLANK($C279),"",$CA279)</f>
        <v/>
      </c>
      <c r="CL279" s="98" t="str">
        <f aca="false">IF(ISBLANK($C279),"",$BZ279)</f>
        <v/>
      </c>
      <c r="CM279" s="99" t="str">
        <f aca="false">IF(ISBLANK($C279),"",IF($CL279=Constants!$B$7,COUNTA($C$9:$C$508)+2,IF($CL279=Constants!$B$6,COUNTA($C$9:$C$508)+1,IF($CL279=Constants!$B$5,COUNTA($C$9:$C$508),$CL279))))</f>
        <v/>
      </c>
      <c r="CN279" s="8"/>
      <c r="CO279" s="100" t="n">
        <f aca="false">IF(OR(ISNUMBER($CL279),$CL279=Constants!$B$7,$CL279=Constants!$B$5,$CL279=Constants!$B$6),1,0)</f>
        <v>0</v>
      </c>
      <c r="CP279" s="100" t="n">
        <v>271</v>
      </c>
      <c r="CQ279" s="100" t="str">
        <f aca="false">IF(ISBLANK($C279),"",IF(ISNUMBER($CM279),$CM279+ROW($B279)/1000,""))</f>
        <v/>
      </c>
      <c r="CR279" s="100" t="str">
        <f aca="false">IF(ISNUMBER($CQ279),RANK($CQ279,$CQ$9:$CQ$508,1),"")</f>
        <v/>
      </c>
      <c r="CS279" s="100" t="str">
        <f aca="false">IF(ISBLANK($C279),"",$B279)</f>
        <v/>
      </c>
      <c r="CT279" s="100" t="str">
        <f aca="false">IF(ISBLANK($C279),"",$C279)</f>
        <v/>
      </c>
      <c r="CU279" s="100" t="str">
        <f aca="false">IF(ISBLANK($C279),"",$D279)</f>
        <v/>
      </c>
      <c r="CV279" s="101" t="str">
        <f aca="false">$CJ279</f>
        <v/>
      </c>
      <c r="CW279" s="102" t="str">
        <f aca="false">$CI279</f>
        <v/>
      </c>
      <c r="CX279" s="100" t="str">
        <f aca="false">IF(ISBLANK($C279),"",$CL279)</f>
        <v/>
      </c>
      <c r="CY279" s="103" t="str">
        <f aca="false">IF($CP279&gt;$CO$8,"",VLOOKUP($CP279,$CR$9:$CX$508,7,FALSE()))</f>
        <v/>
      </c>
      <c r="CZ279" s="104" t="str">
        <f aca="false">IF($CP279&gt;$CO$8,"",VLOOKUP($CP279,$CR$9:$CX$508,2,FALSE()))</f>
        <v/>
      </c>
      <c r="DA279" s="104" t="str">
        <f aca="false">IF($CP279&gt;$CO$8,"",VLOOKUP($CP279,$CR$9:$CX$508,3,FALSE()))</f>
        <v/>
      </c>
      <c r="DB279" s="104" t="str">
        <f aca="false">IF($CP279&gt;$CO$8,"",VLOOKUP($CP279,$CR$9:$CX$508,4,FALSE()))</f>
        <v/>
      </c>
      <c r="DC279" s="104" t="str">
        <f aca="false">IF($CP279&gt;$CO$8,"",VLOOKUP($CP279,$CR$9:$CX$508,5,FALSE()))</f>
        <v/>
      </c>
      <c r="DD279" s="105" t="str">
        <f aca="false">IF($CP279&gt;$CO$8,"",VLOOKUP($CP279,$CR$9:$CX$508,6,FALSE()))</f>
        <v/>
      </c>
      <c r="DE279" s="70"/>
    </row>
    <row r="280" customFormat="false" ht="15.75" hidden="false" customHeight="false" outlineLevel="0" collapsed="false">
      <c r="A280" s="8"/>
      <c r="B280" s="72"/>
      <c r="C280" s="73"/>
      <c r="D280" s="155"/>
      <c r="E280" s="162"/>
      <c r="F280" s="157"/>
      <c r="G280" s="77"/>
      <c r="H280" s="77"/>
      <c r="I280" s="77"/>
      <c r="J280" s="163"/>
      <c r="K280" s="161"/>
      <c r="L280" s="161"/>
      <c r="M280" s="80"/>
      <c r="N280" s="161"/>
      <c r="O280" s="160"/>
      <c r="P280" s="161"/>
      <c r="Q280" s="161"/>
      <c r="R280" s="161"/>
      <c r="S280" s="77"/>
      <c r="T280" s="161"/>
      <c r="U280" s="160"/>
      <c r="V280" s="161"/>
      <c r="W280" s="85"/>
      <c r="X280" s="86" t="str">
        <f aca="false">IF(ISBLANK($C280),"",IF($E280=Constants!$B$2,TRUE(),IF($E280=Constants!$B$3,FALSE(),TRUE())))</f>
        <v/>
      </c>
      <c r="Y280" s="86" t="str">
        <f aca="false">IF(ISBLANK($C280),"",IF($F280=Constants!$B$2,TRUE(),IF($F280=Constants!$B$3,FALSE(),TRUE())))</f>
        <v/>
      </c>
      <c r="Z280" s="87" t="str">
        <f aca="false">IF(ISBLANK($C280),"",IF(ISNUMBER($G280),IF($G280&gt;=0,$G280,""),""))</f>
        <v/>
      </c>
      <c r="AA280" s="87" t="str">
        <f aca="false">IF(ISBLANK($C280),"",IF(ISNUMBER($H280),IF($H280&gt;=0,$H280,""),""))</f>
        <v/>
      </c>
      <c r="AB280" s="87" t="str">
        <f aca="false">IF(ISBLANK($C280),"",IF(ISNUMBER($I280),IF($I280&gt;=0,$I280,""),""))</f>
        <v/>
      </c>
      <c r="AC280" s="86" t="str">
        <f aca="false">IF(ISBLANK($C280),"",IF($J280=Constants!$B$2,TRUE(),IF($J280=Constants!$B$3,FALSE(),TRUE())))</f>
        <v/>
      </c>
      <c r="AD280" s="86" t="str">
        <f aca="false">IF(ISBLANK($C280),"",IF($K280=Constants!$B$2,TRUE(),IF($K280=Constants!$B$3,FALSE(),TRUE())))</f>
        <v/>
      </c>
      <c r="AE280" s="86" t="str">
        <f aca="false">IF(ISBLANK($C280),"",IF($L280=Constants!$B$2,TRUE(),IF($L280=Constants!$B$3,FALSE(),TRUE())))</f>
        <v/>
      </c>
      <c r="AF280" s="88" t="str">
        <f aca="false">IF(ISBLANK($C280),"",IF(ISNUMBER($M280),IF($M280&gt;=0,$M280,""),""))</f>
        <v/>
      </c>
      <c r="AG280" s="86" t="str">
        <f aca="false">IF(ISBLANK($C280),"",IF(ISBLANK($N280),0,IF(ISNUMBER($N280),IF(AND($N280&gt;=0,$N280&lt;=Constants!$B$17,$N280=INT($N280)),$N280,""),"")))</f>
        <v/>
      </c>
      <c r="AH280" s="87" t="str">
        <f aca="false">IF(ISBLANK($C280),"",IF(ISBLANK($O280),0,IF(ISNUMBER($O280),IF($O280&gt;=0,$O280,""),"")))</f>
        <v/>
      </c>
      <c r="AI280" s="86" t="str">
        <f aca="false">IF(ISBLANK($C280),"",IF($P280=Constants!$B$2,TRUE(),IF($P280=Constants!$B$3,FALSE(),TRUE())))</f>
        <v/>
      </c>
      <c r="AJ280" s="86" t="str">
        <f aca="false">IF(ISBLANK($C280),"",IF($Q280=Constants!$B$2,TRUE(),IF($Q280=Constants!$B$3,FALSE(),TRUE())))</f>
        <v/>
      </c>
      <c r="AK280" s="86" t="str">
        <f aca="false">IF(ISBLANK($C280),"",IF($R280=Constants!$B$2,TRUE(),IF($R280=Constants!$B$3,FALSE(),TRUE())))</f>
        <v/>
      </c>
      <c r="AL280" s="88" t="str">
        <f aca="false">IF(ISBLANK($C280),"",IF(ISNUMBER($S280),IF($S280&gt;=0,$S280,""),""))</f>
        <v/>
      </c>
      <c r="AM280" s="86" t="str">
        <f aca="false">IF(ISBLANK($C280),"",IF(ISBLANK($T280),0,IF(ISNUMBER($T280),IF(AND($T280&gt;=0,$T280&lt;=Constants!$B$17,$T280=INT($T280)),$T280,""),"")))</f>
        <v/>
      </c>
      <c r="AN280" s="87" t="str">
        <f aca="false">IF(ISBLANK($C280),"",IF(ISBLANK($U280),0,IF(ISNUMBER($U280),IF($U280&gt;=0,$U280,""),"")))</f>
        <v/>
      </c>
      <c r="AO280" s="86" t="str">
        <f aca="false">IF(ISBLANK($C280),"",IF($V280=Constants!$B$2,TRUE(),IF($V280=Constants!$B$3,FALSE(),FALSE())))</f>
        <v/>
      </c>
      <c r="AP280" s="86"/>
      <c r="AQ280" s="85" t="str">
        <f aca="false">IF(ISBLANK($C280),"",AND($Y280,OR($AS280,$BC280),OR($Z280="",$AA280="",$AB280="")))</f>
        <v/>
      </c>
      <c r="AR280" s="85" t="str">
        <f aca="false">IF(ISBLANK($C280),"",IF(OR(NOT($Y280),NOT(OR($AS280,$BC280))),"",IF(ISBLANK($D$7),$AR$5,IF($AP$9="",$AR$6,""))))</f>
        <v/>
      </c>
      <c r="AS280" s="85" t="str">
        <f aca="false">IF(ISBLANK($C280),"",COUNTA($J280:$O280)&gt;0)</f>
        <v/>
      </c>
      <c r="AT280" s="85" t="str">
        <f aca="false">IF(ISBLANK($C280),"",AND($AS280,OR(AND($AF280="",OR($AE280,NOT(ISBLANK($M280)))),$AG280="",$AH280="")))</f>
        <v/>
      </c>
      <c r="AU280" s="87" t="str">
        <f aca="false">IF($BL280&lt;&gt;Constants!$B$4,"",IF(NOT($AS280),"",ROUND((Constants!$B$12-$AB280)+(Constants!$B$13-$Z280)+(Constants!$B$14-$AA280),1)))</f>
        <v/>
      </c>
      <c r="AV280" s="90" t="str">
        <f aca="false">IF($BL280&lt;&gt;Constants!$B$4,"",IF(NOT($AS280),"",IF(NOT($AE280),0,Constants!$B$15*(INT(ROUND(MIN($AF280,$AP$9),6))-INT(ROUND(MAX(0,MIN($AF280,2*$AP$9)-$AP$9),6))))))</f>
        <v/>
      </c>
      <c r="AW280" s="90" t="str">
        <f aca="false">IF($BL280&lt;&gt;Constants!$B$4,"",IF(NOT($AS280),"",Constants!$B$16*$AG280))</f>
        <v/>
      </c>
      <c r="AX280" s="90" t="str">
        <f aca="false">IF($BL280&lt;&gt;Constants!$B$4,"",IF(NOT($AS280),"",Constants!$B$18*INT(ROUND($AH280,6))))</f>
        <v/>
      </c>
      <c r="AY280" s="85" t="str">
        <f aca="false">IF($BL280&lt;&gt;Constants!$B$4,"",IF(NOT($AS280),"",IF(NOT($X280),Constants!$B$11,IF(OR(NOT($AC280),NOT($AD280),ROUND($AB280,1)&gt;Constants!$B$12,ROUND($Z280,1)&gt;Constants!$B$13,ROUND($AA280,1)&gt;Constants!$B$14),Constants!$B$10,Constants!$B$9))))</f>
        <v/>
      </c>
      <c r="AZ280" s="91" t="str">
        <f aca="false">IF($BL280&lt;&gt;Constants!$B$4,"",IF(NOT($AS280),"",ROUND($AU280+$AV280+$AW280+$AX280,1)))</f>
        <v/>
      </c>
      <c r="BA280" s="92" t="str">
        <f aca="false">IF($BL280&lt;&gt;Constants!$B$4,"",IF(NOT($AS280),"",IF(ISNUMBER($AF280),$AF280,0)))</f>
        <v/>
      </c>
      <c r="BB280" s="86" t="str">
        <f aca="false">IF($BL280&lt;&gt;Constants!$B$4,"",IF(NOT($BC280),"&lt;-",IF(NOT($AS280),"-&gt;",IF(OR($BI280&lt;$AY280,AND($BI280=$AY280,OR($BJ280&gt;$AZ280,AND($BJ280=$AZ280,OR($BH280&gt;$AX280,AND($BH280=$AX280,OR($BE280&gt;$AU280,AND($BE280=$AU280,OR($BF280&gt;$AV280,AND($BF280=$AV280,$BK280&gt;$BA280)))))))))),"-&gt;","&lt;-"))))</f>
        <v/>
      </c>
      <c r="BC280" s="85" t="str">
        <f aca="false">IF(ISBLANK($C280),"",COUNTA($P280:$U280)&gt;0)</f>
        <v/>
      </c>
      <c r="BD280" s="85" t="str">
        <f aca="false">IF(ISBLANK($C280),"",AND($BC280,OR(AND($AL280="",OR($AK280,NOT(ISBLANK($S280)))),$AM280="",$AN280="")))</f>
        <v/>
      </c>
      <c r="BE280" s="87" t="str">
        <f aca="false">IF($BL280&lt;&gt;Constants!$B$4,"",IF(NOT($BC280),"",ROUND((Constants!$B$12-$AB280)+(Constants!$B$13-$Z280)+(Constants!$B$14-$AA280),1)))</f>
        <v/>
      </c>
      <c r="BF280" s="90" t="str">
        <f aca="false">IF($BL280&lt;&gt;Constants!$B$4,"",IF(NOT($BC280),"",IF(NOT($AK280),0,Constants!$B$15*(INT(ROUND(MIN($AL280,$AP$9),6))-INT(ROUND(MAX(0,MIN($AL280,2*$AP$9)-$AP$9),6))))))</f>
        <v/>
      </c>
      <c r="BG280" s="90" t="str">
        <f aca="false">IF($BL280&lt;&gt;Constants!$B$4,"",IF(NOT($BC280),"",Constants!$B$16*$AM280))</f>
        <v/>
      </c>
      <c r="BH280" s="90" t="str">
        <f aca="false">IF($BL280&lt;&gt;Constants!$B$4,"",IF(NOT($BC280),"",Constants!$B$18*INT(ROUND($AN280,6))))</f>
        <v/>
      </c>
      <c r="BI280" s="85" t="str">
        <f aca="false">IF($BL280&lt;&gt;Constants!$B$4,"",IF(NOT($BC280),"",IF(NOT($X280),Constants!$B$11,IF(OR(NOT($AI280),NOT($AJ280),ROUND($AB280,1)&gt;Constants!$B$12,ROUND($Z280,1)&gt;Constants!$B$13,ROUND($AA280,1)&gt;Constants!$B$14),Constants!$B$10,Constants!$B$9))))</f>
        <v/>
      </c>
      <c r="BJ280" s="91" t="str">
        <f aca="false">IF($BL280&lt;&gt;Constants!$B$4,"",IF(NOT($BC280),"",ROUND($BE280+$BF280+$BG280+$BH280,1)))</f>
        <v/>
      </c>
      <c r="BK280" s="92" t="str">
        <f aca="false">IF($BL280&lt;&gt;Constants!$B$4,"",IF(NOT($BC280),"",IF(ISNUMBER($AL280),$AL280,0)))</f>
        <v/>
      </c>
      <c r="BL280" s="86" t="str">
        <f aca="false">IF(ISBLANK($C280),"",IF($AO280,Constants!$B$7,IF(COUNTA($E280:$V280)=0,Constants!$B$6,IF(NOT($Y280),Constants!$B$5,IF(NOT(OR($AS280,$BC280)),Constants!$B$5,IF(OR($AT280,$BD280,$AQ280,$AR280&lt;&gt;""),Constants!$B$8,Constants!$B$4))))))</f>
        <v/>
      </c>
      <c r="BM280" s="86" t="str">
        <f aca="false">IF(ISBLANK($C280),"",IF($BL280&lt;&gt;Constants!$B$4,$BL280,IF($BB280="-&gt;",$BI280,$AY280)))</f>
        <v/>
      </c>
      <c r="BN280" s="90" t="str">
        <f aca="false">IF($BL280&lt;&gt;Constants!$B$4,"",IF($BB280="-&gt;",$BJ280,$AZ280))</f>
        <v/>
      </c>
      <c r="BO280" s="90" t="str">
        <f aca="false">IF(ISBLANK($C280),"",IF($BL280&lt;&gt;Constants!$B$4,$BL280,$BN280))</f>
        <v/>
      </c>
      <c r="BP280" s="86" t="str">
        <f aca="false">IF(ISBLANK($C280),"",IF($BL280&lt;&gt;Constants!$B$4,$BL280,RANK($BO280,$BO$9:$BO$508,0)))</f>
        <v/>
      </c>
      <c r="BQ280" s="86" t="str">
        <f aca="false">IF(ISBLANK($C280),"",IF($BL280&lt;&gt;Constants!$B$4,$BL280,COUNTIFS($BM$9:$BM$508,"&lt;"&amp;$BM280)+COUNTIFS($BM$9:$BM$508,$BM280,$BP$9:$BP$508,"&lt;"&amp;$BP280)+1))</f>
        <v/>
      </c>
      <c r="BR280" s="90" t="str">
        <f aca="false">IF($BL280&lt;&gt;Constants!$B$4,"",IF($BB280="-&gt;",$BH280,$AX280))</f>
        <v/>
      </c>
      <c r="BS280" s="86" t="str">
        <f aca="false">IF(ISBLANK($C280),"",IF($BL280&lt;&gt;Constants!$B$4,$BL280,IF(ISNUMBER($BR280),RANK($BR280,$BR$9:$BR$508,0),COUNT($BR$9:$BR$508)+1)))</f>
        <v/>
      </c>
      <c r="BT280" s="90" t="str">
        <f aca="false">IF($BL280&lt;&gt;Constants!$B$4,"",IF($BB280="-&gt;",$BE280,$AU280))</f>
        <v/>
      </c>
      <c r="BU280" s="86" t="str">
        <f aca="false">IF(ISBLANK($C280),"",IF($BL280&lt;&gt;Constants!$B$4,$BL280,IF(ISNUMBER($BT280),RANK($BT280,$BT$9:$BT$508,0),COUNT($BT$9:$BT$508)+1)))</f>
        <v/>
      </c>
      <c r="BV280" s="90" t="str">
        <f aca="false">IF($BL280&lt;&gt;Constants!$B$4,"",IF($BB280="-&gt;",$BF280,$AV280))</f>
        <v/>
      </c>
      <c r="BW280" s="86" t="str">
        <f aca="false">IF(ISBLANK($C280),"",IF($BL280&lt;&gt;Constants!$B$4,$BL280,IF(ISNUMBER($BV280),RANK($BV280,$BV$9:$BV$508,0),COUNT($BV$9:$BV$508)+1)))</f>
        <v/>
      </c>
      <c r="BX280" s="90" t="str">
        <f aca="false">IF($BL280&lt;&gt;Constants!$B$4,"",IF($BB280="-&gt;",$BK280,$BA280))</f>
        <v/>
      </c>
      <c r="BY280" s="86" t="str">
        <f aca="false">IF(ISBLANK($C280),"",IF($BL280&lt;&gt;Constants!$B$4,$BL280,IF(ISNUMBER($BX280),RANK($BX280,$BX$9:$BX$508,0),COUNT($BX$9:$BX$508)+1)))</f>
        <v/>
      </c>
      <c r="BZ280" s="86" t="str">
        <f aca="false">IF(ISBLANK($C280),"",IF($BL280&lt;&gt;Constants!$B$4,$BL280,COUNTIFS($BM$9:$BM$508,"&lt;"&amp;$BM280)+COUNTIFS($BM$9:$BM$508,$BM280,$BP$9:$BP$508,"&lt;"&amp;$BP280)+COUNTIFS($BM$9:$BM$508,$BM280,$BP$9:$BP$508,$BP280,$BS$9:$BS$508,"&lt;"&amp;$BS280)+COUNTIFS($BM$9:$BM$508,$BM280,$BP$9:$BP$508,$BP280,$BS$9:$BS$508,$BS280,$BU$9:$BU$508,"&lt;"&amp;$BU280)+COUNTIFS($BM$9:$BM$508,$BM280,$BP$9:$BP$508,$BP280,$BS$9:$BS$508,$BS280,$BU$9:$BU$508,$BU280,$BW$9:$BW$508,"&lt;"&amp;$BW280)+COUNTIFS($BM$9:$BM$508,$BM280,$BP$9:$BP$508,$BP280,$BS$9:$BS$508,$BS280,$BU$9:$BU$508,$BU280,$BW$9:$BW$508,$BW280,$BY$9:$BY$508,"&lt;"&amp;$BY280)+1))</f>
        <v/>
      </c>
      <c r="CA280" s="86" t="str">
        <f aca="false">IF(ISBLANK($C280),"",IF($BL280&lt;&gt;Constants!$B$4,$BL280,$BQ280-$BZ280))</f>
        <v/>
      </c>
      <c r="CB280" s="93"/>
      <c r="CC280" s="94" t="str">
        <f aca="false">IF(ISBLANK($C280),"",IF($BL280=Constants!$B$8,$AR280,""))</f>
        <v/>
      </c>
      <c r="CD280" s="94" t="str">
        <f aca="false">IF(ISBLANK($C280),"",IF($BL280&lt;&gt;Constants!$B$4,"",IF($BB280="-&gt;",2,1)))</f>
        <v/>
      </c>
      <c r="CE280" s="95" t="str">
        <f aca="false">IF(ISBLANK($C280),"",IF($BL280&lt;&gt;Constants!$B$4,"",IF($BB280="-&gt;",$BE280,$AU280)))</f>
        <v/>
      </c>
      <c r="CF280" s="95" t="str">
        <f aca="false">IF(ISBLANK($C280),"",IF($BL280&lt;&gt;Constants!$B$4,"",IF($BB280="-&gt;",$BF280,$AV280)))</f>
        <v/>
      </c>
      <c r="CG280" s="95" t="str">
        <f aca="false">IF(ISBLANK($C280),"",IF($BL280&lt;&gt;Constants!$B$4,"",IF($BB280="-&gt;",$BG280,$AW280)))</f>
        <v/>
      </c>
      <c r="CH280" s="95" t="str">
        <f aca="false">IF(ISBLANK($C280),"",IF($BL280&lt;&gt;Constants!$B$4,"",IF($BB280="-&gt;",$BH280,$AX280)))</f>
        <v/>
      </c>
      <c r="CI280" s="96" t="str">
        <f aca="false">IF(ISBLANK($C280),"",$BO280)</f>
        <v/>
      </c>
      <c r="CJ280" s="97" t="str">
        <f aca="false">IF(ISBLANK($C280),"",$BM280)</f>
        <v/>
      </c>
      <c r="CK280" s="98" t="str">
        <f aca="false">IF(ISBLANK($C280),"",$CA280)</f>
        <v/>
      </c>
      <c r="CL280" s="98" t="str">
        <f aca="false">IF(ISBLANK($C280),"",$BZ280)</f>
        <v/>
      </c>
      <c r="CM280" s="99" t="str">
        <f aca="false">IF(ISBLANK($C280),"",IF($CL280=Constants!$B$7,COUNTA($C$9:$C$508)+2,IF($CL280=Constants!$B$6,COUNTA($C$9:$C$508)+1,IF($CL280=Constants!$B$5,COUNTA($C$9:$C$508),$CL280))))</f>
        <v/>
      </c>
      <c r="CN280" s="8"/>
      <c r="CO280" s="100" t="n">
        <f aca="false">IF(OR(ISNUMBER($CL280),$CL280=Constants!$B$7,$CL280=Constants!$B$5,$CL280=Constants!$B$6),1,0)</f>
        <v>0</v>
      </c>
      <c r="CP280" s="100" t="n">
        <v>272</v>
      </c>
      <c r="CQ280" s="100" t="str">
        <f aca="false">IF(ISBLANK($C280),"",IF(ISNUMBER($CM280),$CM280+ROW($B280)/1000,""))</f>
        <v/>
      </c>
      <c r="CR280" s="100" t="str">
        <f aca="false">IF(ISNUMBER($CQ280),RANK($CQ280,$CQ$9:$CQ$508,1),"")</f>
        <v/>
      </c>
      <c r="CS280" s="100" t="str">
        <f aca="false">IF(ISBLANK($C280),"",$B280)</f>
        <v/>
      </c>
      <c r="CT280" s="100" t="str">
        <f aca="false">IF(ISBLANK($C280),"",$C280)</f>
        <v/>
      </c>
      <c r="CU280" s="100" t="str">
        <f aca="false">IF(ISBLANK($C280),"",$D280)</f>
        <v/>
      </c>
      <c r="CV280" s="101" t="str">
        <f aca="false">$CJ280</f>
        <v/>
      </c>
      <c r="CW280" s="102" t="str">
        <f aca="false">$CI280</f>
        <v/>
      </c>
      <c r="CX280" s="100" t="str">
        <f aca="false">IF(ISBLANK($C280),"",$CL280)</f>
        <v/>
      </c>
      <c r="CY280" s="103" t="str">
        <f aca="false">IF($CP280&gt;$CO$8,"",VLOOKUP($CP280,$CR$9:$CX$508,7,FALSE()))</f>
        <v/>
      </c>
      <c r="CZ280" s="104" t="str">
        <f aca="false">IF($CP280&gt;$CO$8,"",VLOOKUP($CP280,$CR$9:$CX$508,2,FALSE()))</f>
        <v/>
      </c>
      <c r="DA280" s="104" t="str">
        <f aca="false">IF($CP280&gt;$CO$8,"",VLOOKUP($CP280,$CR$9:$CX$508,3,FALSE()))</f>
        <v/>
      </c>
      <c r="DB280" s="104" t="str">
        <f aca="false">IF($CP280&gt;$CO$8,"",VLOOKUP($CP280,$CR$9:$CX$508,4,FALSE()))</f>
        <v/>
      </c>
      <c r="DC280" s="104" t="str">
        <f aca="false">IF($CP280&gt;$CO$8,"",VLOOKUP($CP280,$CR$9:$CX$508,5,FALSE()))</f>
        <v/>
      </c>
      <c r="DD280" s="105" t="str">
        <f aca="false">IF($CP280&gt;$CO$8,"",VLOOKUP($CP280,$CR$9:$CX$508,6,FALSE()))</f>
        <v/>
      </c>
      <c r="DE280" s="70"/>
    </row>
    <row r="281" customFormat="false" ht="15.75" hidden="false" customHeight="false" outlineLevel="0" collapsed="false">
      <c r="A281" s="8"/>
      <c r="B281" s="72"/>
      <c r="C281" s="73"/>
      <c r="D281" s="155"/>
      <c r="E281" s="162"/>
      <c r="F281" s="157"/>
      <c r="G281" s="77"/>
      <c r="H281" s="77"/>
      <c r="I281" s="77"/>
      <c r="J281" s="163"/>
      <c r="K281" s="161"/>
      <c r="L281" s="161"/>
      <c r="M281" s="80"/>
      <c r="N281" s="161"/>
      <c r="O281" s="160"/>
      <c r="P281" s="161"/>
      <c r="Q281" s="161"/>
      <c r="R281" s="161"/>
      <c r="S281" s="77"/>
      <c r="T281" s="161"/>
      <c r="U281" s="160"/>
      <c r="V281" s="161"/>
      <c r="W281" s="85"/>
      <c r="X281" s="86" t="str">
        <f aca="false">IF(ISBLANK($C281),"",IF($E281=Constants!$B$2,TRUE(),IF($E281=Constants!$B$3,FALSE(),TRUE())))</f>
        <v/>
      </c>
      <c r="Y281" s="86" t="str">
        <f aca="false">IF(ISBLANK($C281),"",IF($F281=Constants!$B$2,TRUE(),IF($F281=Constants!$B$3,FALSE(),TRUE())))</f>
        <v/>
      </c>
      <c r="Z281" s="87" t="str">
        <f aca="false">IF(ISBLANK($C281),"",IF(ISNUMBER($G281),IF($G281&gt;=0,$G281,""),""))</f>
        <v/>
      </c>
      <c r="AA281" s="87" t="str">
        <f aca="false">IF(ISBLANK($C281),"",IF(ISNUMBER($H281),IF($H281&gt;=0,$H281,""),""))</f>
        <v/>
      </c>
      <c r="AB281" s="87" t="str">
        <f aca="false">IF(ISBLANK($C281),"",IF(ISNUMBER($I281),IF($I281&gt;=0,$I281,""),""))</f>
        <v/>
      </c>
      <c r="AC281" s="86" t="str">
        <f aca="false">IF(ISBLANK($C281),"",IF($J281=Constants!$B$2,TRUE(),IF($J281=Constants!$B$3,FALSE(),TRUE())))</f>
        <v/>
      </c>
      <c r="AD281" s="86" t="str">
        <f aca="false">IF(ISBLANK($C281),"",IF($K281=Constants!$B$2,TRUE(),IF($K281=Constants!$B$3,FALSE(),TRUE())))</f>
        <v/>
      </c>
      <c r="AE281" s="86" t="str">
        <f aca="false">IF(ISBLANK($C281),"",IF($L281=Constants!$B$2,TRUE(),IF($L281=Constants!$B$3,FALSE(),TRUE())))</f>
        <v/>
      </c>
      <c r="AF281" s="88" t="str">
        <f aca="false">IF(ISBLANK($C281),"",IF(ISNUMBER($M281),IF($M281&gt;=0,$M281,""),""))</f>
        <v/>
      </c>
      <c r="AG281" s="86" t="str">
        <f aca="false">IF(ISBLANK($C281),"",IF(ISBLANK($N281),0,IF(ISNUMBER($N281),IF(AND($N281&gt;=0,$N281&lt;=Constants!$B$17,$N281=INT($N281)),$N281,""),"")))</f>
        <v/>
      </c>
      <c r="AH281" s="87" t="str">
        <f aca="false">IF(ISBLANK($C281),"",IF(ISBLANK($O281),0,IF(ISNUMBER($O281),IF($O281&gt;=0,$O281,""),"")))</f>
        <v/>
      </c>
      <c r="AI281" s="86" t="str">
        <f aca="false">IF(ISBLANK($C281),"",IF($P281=Constants!$B$2,TRUE(),IF($P281=Constants!$B$3,FALSE(),TRUE())))</f>
        <v/>
      </c>
      <c r="AJ281" s="86" t="str">
        <f aca="false">IF(ISBLANK($C281),"",IF($Q281=Constants!$B$2,TRUE(),IF($Q281=Constants!$B$3,FALSE(),TRUE())))</f>
        <v/>
      </c>
      <c r="AK281" s="86" t="str">
        <f aca="false">IF(ISBLANK($C281),"",IF($R281=Constants!$B$2,TRUE(),IF($R281=Constants!$B$3,FALSE(),TRUE())))</f>
        <v/>
      </c>
      <c r="AL281" s="88" t="str">
        <f aca="false">IF(ISBLANK($C281),"",IF(ISNUMBER($S281),IF($S281&gt;=0,$S281,""),""))</f>
        <v/>
      </c>
      <c r="AM281" s="86" t="str">
        <f aca="false">IF(ISBLANK($C281),"",IF(ISBLANK($T281),0,IF(ISNUMBER($T281),IF(AND($T281&gt;=0,$T281&lt;=Constants!$B$17,$T281=INT($T281)),$T281,""),"")))</f>
        <v/>
      </c>
      <c r="AN281" s="87" t="str">
        <f aca="false">IF(ISBLANK($C281),"",IF(ISBLANK($U281),0,IF(ISNUMBER($U281),IF($U281&gt;=0,$U281,""),"")))</f>
        <v/>
      </c>
      <c r="AO281" s="86" t="str">
        <f aca="false">IF(ISBLANK($C281),"",IF($V281=Constants!$B$2,TRUE(),IF($V281=Constants!$B$3,FALSE(),FALSE())))</f>
        <v/>
      </c>
      <c r="AP281" s="86"/>
      <c r="AQ281" s="85" t="str">
        <f aca="false">IF(ISBLANK($C281),"",AND($Y281,OR($AS281,$BC281),OR($Z281="",$AA281="",$AB281="")))</f>
        <v/>
      </c>
      <c r="AR281" s="85" t="str">
        <f aca="false">IF(ISBLANK($C281),"",IF(OR(NOT($Y281),NOT(OR($AS281,$BC281))),"",IF(ISBLANK($D$7),$AR$5,IF($AP$9="",$AR$6,""))))</f>
        <v/>
      </c>
      <c r="AS281" s="85" t="str">
        <f aca="false">IF(ISBLANK($C281),"",COUNTA($J281:$O281)&gt;0)</f>
        <v/>
      </c>
      <c r="AT281" s="85" t="str">
        <f aca="false">IF(ISBLANK($C281),"",AND($AS281,OR(AND($AF281="",OR($AE281,NOT(ISBLANK($M281)))),$AG281="",$AH281="")))</f>
        <v/>
      </c>
      <c r="AU281" s="87" t="str">
        <f aca="false">IF($BL281&lt;&gt;Constants!$B$4,"",IF(NOT($AS281),"",ROUND((Constants!$B$12-$AB281)+(Constants!$B$13-$Z281)+(Constants!$B$14-$AA281),1)))</f>
        <v/>
      </c>
      <c r="AV281" s="90" t="str">
        <f aca="false">IF($BL281&lt;&gt;Constants!$B$4,"",IF(NOT($AS281),"",IF(NOT($AE281),0,Constants!$B$15*(INT(ROUND(MIN($AF281,$AP$9),6))-INT(ROUND(MAX(0,MIN($AF281,2*$AP$9)-$AP$9),6))))))</f>
        <v/>
      </c>
      <c r="AW281" s="90" t="str">
        <f aca="false">IF($BL281&lt;&gt;Constants!$B$4,"",IF(NOT($AS281),"",Constants!$B$16*$AG281))</f>
        <v/>
      </c>
      <c r="AX281" s="90" t="str">
        <f aca="false">IF($BL281&lt;&gt;Constants!$B$4,"",IF(NOT($AS281),"",Constants!$B$18*INT(ROUND($AH281,6))))</f>
        <v/>
      </c>
      <c r="AY281" s="85" t="str">
        <f aca="false">IF($BL281&lt;&gt;Constants!$B$4,"",IF(NOT($AS281),"",IF(NOT($X281),Constants!$B$11,IF(OR(NOT($AC281),NOT($AD281),ROUND($AB281,1)&gt;Constants!$B$12,ROUND($Z281,1)&gt;Constants!$B$13,ROUND($AA281,1)&gt;Constants!$B$14),Constants!$B$10,Constants!$B$9))))</f>
        <v/>
      </c>
      <c r="AZ281" s="91" t="str">
        <f aca="false">IF($BL281&lt;&gt;Constants!$B$4,"",IF(NOT($AS281),"",ROUND($AU281+$AV281+$AW281+$AX281,1)))</f>
        <v/>
      </c>
      <c r="BA281" s="92" t="str">
        <f aca="false">IF($BL281&lt;&gt;Constants!$B$4,"",IF(NOT($AS281),"",IF(ISNUMBER($AF281),$AF281,0)))</f>
        <v/>
      </c>
      <c r="BB281" s="86" t="str">
        <f aca="false">IF($BL281&lt;&gt;Constants!$B$4,"",IF(NOT($BC281),"&lt;-",IF(NOT($AS281),"-&gt;",IF(OR($BI281&lt;$AY281,AND($BI281=$AY281,OR($BJ281&gt;$AZ281,AND($BJ281=$AZ281,OR($BH281&gt;$AX281,AND($BH281=$AX281,OR($BE281&gt;$AU281,AND($BE281=$AU281,OR($BF281&gt;$AV281,AND($BF281=$AV281,$BK281&gt;$BA281)))))))))),"-&gt;","&lt;-"))))</f>
        <v/>
      </c>
      <c r="BC281" s="85" t="str">
        <f aca="false">IF(ISBLANK($C281),"",COUNTA($P281:$U281)&gt;0)</f>
        <v/>
      </c>
      <c r="BD281" s="85" t="str">
        <f aca="false">IF(ISBLANK($C281),"",AND($BC281,OR(AND($AL281="",OR($AK281,NOT(ISBLANK($S281)))),$AM281="",$AN281="")))</f>
        <v/>
      </c>
      <c r="BE281" s="87" t="str">
        <f aca="false">IF($BL281&lt;&gt;Constants!$B$4,"",IF(NOT($BC281),"",ROUND((Constants!$B$12-$AB281)+(Constants!$B$13-$Z281)+(Constants!$B$14-$AA281),1)))</f>
        <v/>
      </c>
      <c r="BF281" s="90" t="str">
        <f aca="false">IF($BL281&lt;&gt;Constants!$B$4,"",IF(NOT($BC281),"",IF(NOT($AK281),0,Constants!$B$15*(INT(ROUND(MIN($AL281,$AP$9),6))-INT(ROUND(MAX(0,MIN($AL281,2*$AP$9)-$AP$9),6))))))</f>
        <v/>
      </c>
      <c r="BG281" s="90" t="str">
        <f aca="false">IF($BL281&lt;&gt;Constants!$B$4,"",IF(NOT($BC281),"",Constants!$B$16*$AM281))</f>
        <v/>
      </c>
      <c r="BH281" s="90" t="str">
        <f aca="false">IF($BL281&lt;&gt;Constants!$B$4,"",IF(NOT($BC281),"",Constants!$B$18*INT(ROUND($AN281,6))))</f>
        <v/>
      </c>
      <c r="BI281" s="85" t="str">
        <f aca="false">IF($BL281&lt;&gt;Constants!$B$4,"",IF(NOT($BC281),"",IF(NOT($X281),Constants!$B$11,IF(OR(NOT($AI281),NOT($AJ281),ROUND($AB281,1)&gt;Constants!$B$12,ROUND($Z281,1)&gt;Constants!$B$13,ROUND($AA281,1)&gt;Constants!$B$14),Constants!$B$10,Constants!$B$9))))</f>
        <v/>
      </c>
      <c r="BJ281" s="91" t="str">
        <f aca="false">IF($BL281&lt;&gt;Constants!$B$4,"",IF(NOT($BC281),"",ROUND($BE281+$BF281+$BG281+$BH281,1)))</f>
        <v/>
      </c>
      <c r="BK281" s="92" t="str">
        <f aca="false">IF($BL281&lt;&gt;Constants!$B$4,"",IF(NOT($BC281),"",IF(ISNUMBER($AL281),$AL281,0)))</f>
        <v/>
      </c>
      <c r="BL281" s="86" t="str">
        <f aca="false">IF(ISBLANK($C281),"",IF($AO281,Constants!$B$7,IF(COUNTA($E281:$V281)=0,Constants!$B$6,IF(NOT($Y281),Constants!$B$5,IF(NOT(OR($AS281,$BC281)),Constants!$B$5,IF(OR($AT281,$BD281,$AQ281,$AR281&lt;&gt;""),Constants!$B$8,Constants!$B$4))))))</f>
        <v/>
      </c>
      <c r="BM281" s="86" t="str">
        <f aca="false">IF(ISBLANK($C281),"",IF($BL281&lt;&gt;Constants!$B$4,$BL281,IF($BB281="-&gt;",$BI281,$AY281)))</f>
        <v/>
      </c>
      <c r="BN281" s="90" t="str">
        <f aca="false">IF($BL281&lt;&gt;Constants!$B$4,"",IF($BB281="-&gt;",$BJ281,$AZ281))</f>
        <v/>
      </c>
      <c r="BO281" s="90" t="str">
        <f aca="false">IF(ISBLANK($C281),"",IF($BL281&lt;&gt;Constants!$B$4,$BL281,$BN281))</f>
        <v/>
      </c>
      <c r="BP281" s="86" t="str">
        <f aca="false">IF(ISBLANK($C281),"",IF($BL281&lt;&gt;Constants!$B$4,$BL281,RANK($BO281,$BO$9:$BO$508,0)))</f>
        <v/>
      </c>
      <c r="BQ281" s="86" t="str">
        <f aca="false">IF(ISBLANK($C281),"",IF($BL281&lt;&gt;Constants!$B$4,$BL281,COUNTIFS($BM$9:$BM$508,"&lt;"&amp;$BM281)+COUNTIFS($BM$9:$BM$508,$BM281,$BP$9:$BP$508,"&lt;"&amp;$BP281)+1))</f>
        <v/>
      </c>
      <c r="BR281" s="90" t="str">
        <f aca="false">IF($BL281&lt;&gt;Constants!$B$4,"",IF($BB281="-&gt;",$BH281,$AX281))</f>
        <v/>
      </c>
      <c r="BS281" s="86" t="str">
        <f aca="false">IF(ISBLANK($C281),"",IF($BL281&lt;&gt;Constants!$B$4,$BL281,IF(ISNUMBER($BR281),RANK($BR281,$BR$9:$BR$508,0),COUNT($BR$9:$BR$508)+1)))</f>
        <v/>
      </c>
      <c r="BT281" s="90" t="str">
        <f aca="false">IF($BL281&lt;&gt;Constants!$B$4,"",IF($BB281="-&gt;",$BE281,$AU281))</f>
        <v/>
      </c>
      <c r="BU281" s="86" t="str">
        <f aca="false">IF(ISBLANK($C281),"",IF($BL281&lt;&gt;Constants!$B$4,$BL281,IF(ISNUMBER($BT281),RANK($BT281,$BT$9:$BT$508,0),COUNT($BT$9:$BT$508)+1)))</f>
        <v/>
      </c>
      <c r="BV281" s="90" t="str">
        <f aca="false">IF($BL281&lt;&gt;Constants!$B$4,"",IF($BB281="-&gt;",$BF281,$AV281))</f>
        <v/>
      </c>
      <c r="BW281" s="86" t="str">
        <f aca="false">IF(ISBLANK($C281),"",IF($BL281&lt;&gt;Constants!$B$4,$BL281,IF(ISNUMBER($BV281),RANK($BV281,$BV$9:$BV$508,0),COUNT($BV$9:$BV$508)+1)))</f>
        <v/>
      </c>
      <c r="BX281" s="90" t="str">
        <f aca="false">IF($BL281&lt;&gt;Constants!$B$4,"",IF($BB281="-&gt;",$BK281,$BA281))</f>
        <v/>
      </c>
      <c r="BY281" s="86" t="str">
        <f aca="false">IF(ISBLANK($C281),"",IF($BL281&lt;&gt;Constants!$B$4,$BL281,IF(ISNUMBER($BX281),RANK($BX281,$BX$9:$BX$508,0),COUNT($BX$9:$BX$508)+1)))</f>
        <v/>
      </c>
      <c r="BZ281" s="86" t="str">
        <f aca="false">IF(ISBLANK($C281),"",IF($BL281&lt;&gt;Constants!$B$4,$BL281,COUNTIFS($BM$9:$BM$508,"&lt;"&amp;$BM281)+COUNTIFS($BM$9:$BM$508,$BM281,$BP$9:$BP$508,"&lt;"&amp;$BP281)+COUNTIFS($BM$9:$BM$508,$BM281,$BP$9:$BP$508,$BP281,$BS$9:$BS$508,"&lt;"&amp;$BS281)+COUNTIFS($BM$9:$BM$508,$BM281,$BP$9:$BP$508,$BP281,$BS$9:$BS$508,$BS281,$BU$9:$BU$508,"&lt;"&amp;$BU281)+COUNTIFS($BM$9:$BM$508,$BM281,$BP$9:$BP$508,$BP281,$BS$9:$BS$508,$BS281,$BU$9:$BU$508,$BU281,$BW$9:$BW$508,"&lt;"&amp;$BW281)+COUNTIFS($BM$9:$BM$508,$BM281,$BP$9:$BP$508,$BP281,$BS$9:$BS$508,$BS281,$BU$9:$BU$508,$BU281,$BW$9:$BW$508,$BW281,$BY$9:$BY$508,"&lt;"&amp;$BY281)+1))</f>
        <v/>
      </c>
      <c r="CA281" s="86" t="str">
        <f aca="false">IF(ISBLANK($C281),"",IF($BL281&lt;&gt;Constants!$B$4,$BL281,$BQ281-$BZ281))</f>
        <v/>
      </c>
      <c r="CB281" s="93"/>
      <c r="CC281" s="94" t="str">
        <f aca="false">IF(ISBLANK($C281),"",IF($BL281=Constants!$B$8,$AR281,""))</f>
        <v/>
      </c>
      <c r="CD281" s="94" t="str">
        <f aca="false">IF(ISBLANK($C281),"",IF($BL281&lt;&gt;Constants!$B$4,"",IF($BB281="-&gt;",2,1)))</f>
        <v/>
      </c>
      <c r="CE281" s="95" t="str">
        <f aca="false">IF(ISBLANK($C281),"",IF($BL281&lt;&gt;Constants!$B$4,"",IF($BB281="-&gt;",$BE281,$AU281)))</f>
        <v/>
      </c>
      <c r="CF281" s="95" t="str">
        <f aca="false">IF(ISBLANK($C281),"",IF($BL281&lt;&gt;Constants!$B$4,"",IF($BB281="-&gt;",$BF281,$AV281)))</f>
        <v/>
      </c>
      <c r="CG281" s="95" t="str">
        <f aca="false">IF(ISBLANK($C281),"",IF($BL281&lt;&gt;Constants!$B$4,"",IF($BB281="-&gt;",$BG281,$AW281)))</f>
        <v/>
      </c>
      <c r="CH281" s="95" t="str">
        <f aca="false">IF(ISBLANK($C281),"",IF($BL281&lt;&gt;Constants!$B$4,"",IF($BB281="-&gt;",$BH281,$AX281)))</f>
        <v/>
      </c>
      <c r="CI281" s="96" t="str">
        <f aca="false">IF(ISBLANK($C281),"",$BO281)</f>
        <v/>
      </c>
      <c r="CJ281" s="97" t="str">
        <f aca="false">IF(ISBLANK($C281),"",$BM281)</f>
        <v/>
      </c>
      <c r="CK281" s="98" t="str">
        <f aca="false">IF(ISBLANK($C281),"",$CA281)</f>
        <v/>
      </c>
      <c r="CL281" s="98" t="str">
        <f aca="false">IF(ISBLANK($C281),"",$BZ281)</f>
        <v/>
      </c>
      <c r="CM281" s="99" t="str">
        <f aca="false">IF(ISBLANK($C281),"",IF($CL281=Constants!$B$7,COUNTA($C$9:$C$508)+2,IF($CL281=Constants!$B$6,COUNTA($C$9:$C$508)+1,IF($CL281=Constants!$B$5,COUNTA($C$9:$C$508),$CL281))))</f>
        <v/>
      </c>
      <c r="CN281" s="8"/>
      <c r="CO281" s="100" t="n">
        <f aca="false">IF(OR(ISNUMBER($CL281),$CL281=Constants!$B$7,$CL281=Constants!$B$5,$CL281=Constants!$B$6),1,0)</f>
        <v>0</v>
      </c>
      <c r="CP281" s="100" t="n">
        <v>273</v>
      </c>
      <c r="CQ281" s="100" t="str">
        <f aca="false">IF(ISBLANK($C281),"",IF(ISNUMBER($CM281),$CM281+ROW($B281)/1000,""))</f>
        <v/>
      </c>
      <c r="CR281" s="100" t="str">
        <f aca="false">IF(ISNUMBER($CQ281),RANK($CQ281,$CQ$9:$CQ$508,1),"")</f>
        <v/>
      </c>
      <c r="CS281" s="100" t="str">
        <f aca="false">IF(ISBLANK($C281),"",$B281)</f>
        <v/>
      </c>
      <c r="CT281" s="100" t="str">
        <f aca="false">IF(ISBLANK($C281),"",$C281)</f>
        <v/>
      </c>
      <c r="CU281" s="100" t="str">
        <f aca="false">IF(ISBLANK($C281),"",$D281)</f>
        <v/>
      </c>
      <c r="CV281" s="101" t="str">
        <f aca="false">$CJ281</f>
        <v/>
      </c>
      <c r="CW281" s="102" t="str">
        <f aca="false">$CI281</f>
        <v/>
      </c>
      <c r="CX281" s="100" t="str">
        <f aca="false">IF(ISBLANK($C281),"",$CL281)</f>
        <v/>
      </c>
      <c r="CY281" s="103" t="str">
        <f aca="false">IF($CP281&gt;$CO$8,"",VLOOKUP($CP281,$CR$9:$CX$508,7,FALSE()))</f>
        <v/>
      </c>
      <c r="CZ281" s="104" t="str">
        <f aca="false">IF($CP281&gt;$CO$8,"",VLOOKUP($CP281,$CR$9:$CX$508,2,FALSE()))</f>
        <v/>
      </c>
      <c r="DA281" s="104" t="str">
        <f aca="false">IF($CP281&gt;$CO$8,"",VLOOKUP($CP281,$CR$9:$CX$508,3,FALSE()))</f>
        <v/>
      </c>
      <c r="DB281" s="104" t="str">
        <f aca="false">IF($CP281&gt;$CO$8,"",VLOOKUP($CP281,$CR$9:$CX$508,4,FALSE()))</f>
        <v/>
      </c>
      <c r="DC281" s="104" t="str">
        <f aca="false">IF($CP281&gt;$CO$8,"",VLOOKUP($CP281,$CR$9:$CX$508,5,FALSE()))</f>
        <v/>
      </c>
      <c r="DD281" s="105" t="str">
        <f aca="false">IF($CP281&gt;$CO$8,"",VLOOKUP($CP281,$CR$9:$CX$508,6,FALSE()))</f>
        <v/>
      </c>
      <c r="DE281" s="70"/>
    </row>
    <row r="282" customFormat="false" ht="15.75" hidden="false" customHeight="false" outlineLevel="0" collapsed="false">
      <c r="A282" s="8"/>
      <c r="B282" s="146"/>
      <c r="C282" s="147"/>
      <c r="D282" s="148"/>
      <c r="E282" s="164"/>
      <c r="F282" s="150"/>
      <c r="G282" s="115"/>
      <c r="H282" s="115"/>
      <c r="I282" s="115"/>
      <c r="J282" s="165"/>
      <c r="K282" s="154"/>
      <c r="L282" s="154"/>
      <c r="M282" s="118"/>
      <c r="N282" s="154"/>
      <c r="O282" s="153"/>
      <c r="P282" s="154"/>
      <c r="Q282" s="154"/>
      <c r="R282" s="154"/>
      <c r="S282" s="115"/>
      <c r="T282" s="154"/>
      <c r="U282" s="153"/>
      <c r="V282" s="154"/>
      <c r="W282" s="123"/>
      <c r="X282" s="124" t="str">
        <f aca="false">IF(ISBLANK($C282),"",IF($E282=Constants!$B$2,TRUE(),IF($E282=Constants!$B$3,FALSE(),TRUE())))</f>
        <v/>
      </c>
      <c r="Y282" s="124" t="str">
        <f aca="false">IF(ISBLANK($C282),"",IF($F282=Constants!$B$2,TRUE(),IF($F282=Constants!$B$3,FALSE(),TRUE())))</f>
        <v/>
      </c>
      <c r="Z282" s="125" t="str">
        <f aca="false">IF(ISBLANK($C282),"",IF(ISNUMBER($G282),IF($G282&gt;=0,$G282,""),""))</f>
        <v/>
      </c>
      <c r="AA282" s="125" t="str">
        <f aca="false">IF(ISBLANK($C282),"",IF(ISNUMBER($H282),IF($H282&gt;=0,$H282,""),""))</f>
        <v/>
      </c>
      <c r="AB282" s="125" t="str">
        <f aca="false">IF(ISBLANK($C282),"",IF(ISNUMBER($I282),IF($I282&gt;=0,$I282,""),""))</f>
        <v/>
      </c>
      <c r="AC282" s="124" t="str">
        <f aca="false">IF(ISBLANK($C282),"",IF($J282=Constants!$B$2,TRUE(),IF($J282=Constants!$B$3,FALSE(),TRUE())))</f>
        <v/>
      </c>
      <c r="AD282" s="124" t="str">
        <f aca="false">IF(ISBLANK($C282),"",IF($K282=Constants!$B$2,TRUE(),IF($K282=Constants!$B$3,FALSE(),TRUE())))</f>
        <v/>
      </c>
      <c r="AE282" s="124" t="str">
        <f aca="false">IF(ISBLANK($C282),"",IF($L282=Constants!$B$2,TRUE(),IF($L282=Constants!$B$3,FALSE(),TRUE())))</f>
        <v/>
      </c>
      <c r="AF282" s="126" t="str">
        <f aca="false">IF(ISBLANK($C282),"",IF(ISNUMBER($M282),IF($M282&gt;=0,$M282,""),""))</f>
        <v/>
      </c>
      <c r="AG282" s="124" t="str">
        <f aca="false">IF(ISBLANK($C282),"",IF(ISBLANK($N282),0,IF(ISNUMBER($N282),IF(AND($N282&gt;=0,$N282&lt;=Constants!$B$17,$N282=INT($N282)),$N282,""),"")))</f>
        <v/>
      </c>
      <c r="AH282" s="125" t="str">
        <f aca="false">IF(ISBLANK($C282),"",IF(ISBLANK($O282),0,IF(ISNUMBER($O282),IF($O282&gt;=0,$O282,""),"")))</f>
        <v/>
      </c>
      <c r="AI282" s="124" t="str">
        <f aca="false">IF(ISBLANK($C282),"",IF($P282=Constants!$B$2,TRUE(),IF($P282=Constants!$B$3,FALSE(),TRUE())))</f>
        <v/>
      </c>
      <c r="AJ282" s="124" t="str">
        <f aca="false">IF(ISBLANK($C282),"",IF($Q282=Constants!$B$2,TRUE(),IF($Q282=Constants!$B$3,FALSE(),TRUE())))</f>
        <v/>
      </c>
      <c r="AK282" s="124" t="str">
        <f aca="false">IF(ISBLANK($C282),"",IF($R282=Constants!$B$2,TRUE(),IF($R282=Constants!$B$3,FALSE(),TRUE())))</f>
        <v/>
      </c>
      <c r="AL282" s="126" t="str">
        <f aca="false">IF(ISBLANK($C282),"",IF(ISNUMBER($S282),IF($S282&gt;=0,$S282,""),""))</f>
        <v/>
      </c>
      <c r="AM282" s="124" t="str">
        <f aca="false">IF(ISBLANK($C282),"",IF(ISBLANK($T282),0,IF(ISNUMBER($T282),IF(AND($T282&gt;=0,$T282&lt;=Constants!$B$17,$T282=INT($T282)),$T282,""),"")))</f>
        <v/>
      </c>
      <c r="AN282" s="125" t="str">
        <f aca="false">IF(ISBLANK($C282),"",IF(ISBLANK($U282),0,IF(ISNUMBER($U282),IF($U282&gt;=0,$U282,""),"")))</f>
        <v/>
      </c>
      <c r="AO282" s="124" t="str">
        <f aca="false">IF(ISBLANK($C282),"",IF($V282=Constants!$B$2,TRUE(),IF($V282=Constants!$B$3,FALSE(),FALSE())))</f>
        <v/>
      </c>
      <c r="AP282" s="124"/>
      <c r="AQ282" s="123" t="str">
        <f aca="false">IF(ISBLANK($C282),"",AND($Y282,OR($AS282,$BC282),OR($Z282="",$AA282="",$AB282="")))</f>
        <v/>
      </c>
      <c r="AR282" s="123" t="str">
        <f aca="false">IF(ISBLANK($C282),"",IF(OR(NOT($Y282),NOT(OR($AS282,$BC282))),"",IF(ISBLANK($D$7),$AR$5,IF($AP$9="",$AR$6,""))))</f>
        <v/>
      </c>
      <c r="AS282" s="123" t="str">
        <f aca="false">IF(ISBLANK($C282),"",COUNTA($J282:$O282)&gt;0)</f>
        <v/>
      </c>
      <c r="AT282" s="123" t="str">
        <f aca="false">IF(ISBLANK($C282),"",AND($AS282,OR(AND($AF282="",OR($AE282,NOT(ISBLANK($M282)))),$AG282="",$AH282="")))</f>
        <v/>
      </c>
      <c r="AU282" s="125" t="str">
        <f aca="false">IF($BL282&lt;&gt;Constants!$B$4,"",IF(NOT($AS282),"",ROUND((Constants!$B$12-$AB282)+(Constants!$B$13-$Z282)+(Constants!$B$14-$AA282),1)))</f>
        <v/>
      </c>
      <c r="AV282" s="127" t="str">
        <f aca="false">IF($BL282&lt;&gt;Constants!$B$4,"",IF(NOT($AS282),"",IF(NOT($AE282),0,Constants!$B$15*(INT(ROUND(MIN($AF282,$AP$9),6))-INT(ROUND(MAX(0,MIN($AF282,2*$AP$9)-$AP$9),6))))))</f>
        <v/>
      </c>
      <c r="AW282" s="127" t="str">
        <f aca="false">IF($BL282&lt;&gt;Constants!$B$4,"",IF(NOT($AS282),"",Constants!$B$16*$AG282))</f>
        <v/>
      </c>
      <c r="AX282" s="127" t="str">
        <f aca="false">IF($BL282&lt;&gt;Constants!$B$4,"",IF(NOT($AS282),"",Constants!$B$18*INT(ROUND($AH282,6))))</f>
        <v/>
      </c>
      <c r="AY282" s="123" t="str">
        <f aca="false">IF($BL282&lt;&gt;Constants!$B$4,"",IF(NOT($AS282),"",IF(NOT($X282),Constants!$B$11,IF(OR(NOT($AC282),NOT($AD282),ROUND($AB282,1)&gt;Constants!$B$12,ROUND($Z282,1)&gt;Constants!$B$13,ROUND($AA282,1)&gt;Constants!$B$14),Constants!$B$10,Constants!$B$9))))</f>
        <v/>
      </c>
      <c r="AZ282" s="128" t="str">
        <f aca="false">IF($BL282&lt;&gt;Constants!$B$4,"",IF(NOT($AS282),"",ROUND($AU282+$AV282+$AW282+$AX282,1)))</f>
        <v/>
      </c>
      <c r="BA282" s="129" t="str">
        <f aca="false">IF($BL282&lt;&gt;Constants!$B$4,"",IF(NOT($AS282),"",IF(ISNUMBER($AF282),$AF282,0)))</f>
        <v/>
      </c>
      <c r="BB282" s="124" t="str">
        <f aca="false">IF($BL282&lt;&gt;Constants!$B$4,"",IF(NOT($BC282),"&lt;-",IF(NOT($AS282),"-&gt;",IF(OR($BI282&lt;$AY282,AND($BI282=$AY282,OR($BJ282&gt;$AZ282,AND($BJ282=$AZ282,OR($BH282&gt;$AX282,AND($BH282=$AX282,OR($BE282&gt;$AU282,AND($BE282=$AU282,OR($BF282&gt;$AV282,AND($BF282=$AV282,$BK282&gt;$BA282)))))))))),"-&gt;","&lt;-"))))</f>
        <v/>
      </c>
      <c r="BC282" s="123" t="str">
        <f aca="false">IF(ISBLANK($C282),"",COUNTA($P282:$U282)&gt;0)</f>
        <v/>
      </c>
      <c r="BD282" s="123" t="str">
        <f aca="false">IF(ISBLANK($C282),"",AND($BC282,OR(AND($AL282="",OR($AK282,NOT(ISBLANK($S282)))),$AM282="",$AN282="")))</f>
        <v/>
      </c>
      <c r="BE282" s="125" t="str">
        <f aca="false">IF($BL282&lt;&gt;Constants!$B$4,"",IF(NOT($BC282),"",ROUND((Constants!$B$12-$AB282)+(Constants!$B$13-$Z282)+(Constants!$B$14-$AA282),1)))</f>
        <v/>
      </c>
      <c r="BF282" s="127" t="str">
        <f aca="false">IF($BL282&lt;&gt;Constants!$B$4,"",IF(NOT($BC282),"",IF(NOT($AK282),0,Constants!$B$15*(INT(ROUND(MIN($AL282,$AP$9),6))-INT(ROUND(MAX(0,MIN($AL282,2*$AP$9)-$AP$9),6))))))</f>
        <v/>
      </c>
      <c r="BG282" s="127" t="str">
        <f aca="false">IF($BL282&lt;&gt;Constants!$B$4,"",IF(NOT($BC282),"",Constants!$B$16*$AM282))</f>
        <v/>
      </c>
      <c r="BH282" s="127" t="str">
        <f aca="false">IF($BL282&lt;&gt;Constants!$B$4,"",IF(NOT($BC282),"",Constants!$B$18*INT(ROUND($AN282,6))))</f>
        <v/>
      </c>
      <c r="BI282" s="123" t="str">
        <f aca="false">IF($BL282&lt;&gt;Constants!$B$4,"",IF(NOT($BC282),"",IF(NOT($X282),Constants!$B$11,IF(OR(NOT($AI282),NOT($AJ282),ROUND($AB282,1)&gt;Constants!$B$12,ROUND($Z282,1)&gt;Constants!$B$13,ROUND($AA282,1)&gt;Constants!$B$14),Constants!$B$10,Constants!$B$9))))</f>
        <v/>
      </c>
      <c r="BJ282" s="128" t="str">
        <f aca="false">IF($BL282&lt;&gt;Constants!$B$4,"",IF(NOT($BC282),"",ROUND($BE282+$BF282+$BG282+$BH282,1)))</f>
        <v/>
      </c>
      <c r="BK282" s="129" t="str">
        <f aca="false">IF($BL282&lt;&gt;Constants!$B$4,"",IF(NOT($BC282),"",IF(ISNUMBER($AL282),$AL282,0)))</f>
        <v/>
      </c>
      <c r="BL282" s="124" t="str">
        <f aca="false">IF(ISBLANK($C282),"",IF($AO282,Constants!$B$7,IF(COUNTA($E282:$V282)=0,Constants!$B$6,IF(NOT($Y282),Constants!$B$5,IF(NOT(OR($AS282,$BC282)),Constants!$B$5,IF(OR($AT282,$BD282,$AQ282,$AR282&lt;&gt;""),Constants!$B$8,Constants!$B$4))))))</f>
        <v/>
      </c>
      <c r="BM282" s="124" t="str">
        <f aca="false">IF(ISBLANK($C282),"",IF($BL282&lt;&gt;Constants!$B$4,$BL282,IF($BB282="-&gt;",$BI282,$AY282)))</f>
        <v/>
      </c>
      <c r="BN282" s="127" t="str">
        <f aca="false">IF($BL282&lt;&gt;Constants!$B$4,"",IF($BB282="-&gt;",$BJ282,$AZ282))</f>
        <v/>
      </c>
      <c r="BO282" s="127" t="str">
        <f aca="false">IF(ISBLANK($C282),"",IF($BL282&lt;&gt;Constants!$B$4,$BL282,$BN282))</f>
        <v/>
      </c>
      <c r="BP282" s="124" t="str">
        <f aca="false">IF(ISBLANK($C282),"",IF($BL282&lt;&gt;Constants!$B$4,$BL282,RANK($BO282,$BO$9:$BO$508,0)))</f>
        <v/>
      </c>
      <c r="BQ282" s="124" t="str">
        <f aca="false">IF(ISBLANK($C282),"",IF($BL282&lt;&gt;Constants!$B$4,$BL282,COUNTIFS($BM$9:$BM$508,"&lt;"&amp;$BM282)+COUNTIFS($BM$9:$BM$508,$BM282,$BP$9:$BP$508,"&lt;"&amp;$BP282)+1))</f>
        <v/>
      </c>
      <c r="BR282" s="127" t="str">
        <f aca="false">IF($BL282&lt;&gt;Constants!$B$4,"",IF($BB282="-&gt;",$BH282,$AX282))</f>
        <v/>
      </c>
      <c r="BS282" s="124" t="str">
        <f aca="false">IF(ISBLANK($C282),"",IF($BL282&lt;&gt;Constants!$B$4,$BL282,IF(ISNUMBER($BR282),RANK($BR282,$BR$9:$BR$508,0),COUNT($BR$9:$BR$508)+1)))</f>
        <v/>
      </c>
      <c r="BT282" s="127" t="str">
        <f aca="false">IF($BL282&lt;&gt;Constants!$B$4,"",IF($BB282="-&gt;",$BE282,$AU282))</f>
        <v/>
      </c>
      <c r="BU282" s="124" t="str">
        <f aca="false">IF(ISBLANK($C282),"",IF($BL282&lt;&gt;Constants!$B$4,$BL282,IF(ISNUMBER($BT282),RANK($BT282,$BT$9:$BT$508,0),COUNT($BT$9:$BT$508)+1)))</f>
        <v/>
      </c>
      <c r="BV282" s="127" t="str">
        <f aca="false">IF($BL282&lt;&gt;Constants!$B$4,"",IF($BB282="-&gt;",$BF282,$AV282))</f>
        <v/>
      </c>
      <c r="BW282" s="124" t="str">
        <f aca="false">IF(ISBLANK($C282),"",IF($BL282&lt;&gt;Constants!$B$4,$BL282,IF(ISNUMBER($BV282),RANK($BV282,$BV$9:$BV$508,0),COUNT($BV$9:$BV$508)+1)))</f>
        <v/>
      </c>
      <c r="BX282" s="127" t="str">
        <f aca="false">IF($BL282&lt;&gt;Constants!$B$4,"",IF($BB282="-&gt;",$BK282,$BA282))</f>
        <v/>
      </c>
      <c r="BY282" s="124" t="str">
        <f aca="false">IF(ISBLANK($C282),"",IF($BL282&lt;&gt;Constants!$B$4,$BL282,IF(ISNUMBER($BX282),RANK($BX282,$BX$9:$BX$508,0),COUNT($BX$9:$BX$508)+1)))</f>
        <v/>
      </c>
      <c r="BZ282" s="124" t="str">
        <f aca="false">IF(ISBLANK($C282),"",IF($BL282&lt;&gt;Constants!$B$4,$BL282,COUNTIFS($BM$9:$BM$508,"&lt;"&amp;$BM282)+COUNTIFS($BM$9:$BM$508,$BM282,$BP$9:$BP$508,"&lt;"&amp;$BP282)+COUNTIFS($BM$9:$BM$508,$BM282,$BP$9:$BP$508,$BP282,$BS$9:$BS$508,"&lt;"&amp;$BS282)+COUNTIFS($BM$9:$BM$508,$BM282,$BP$9:$BP$508,$BP282,$BS$9:$BS$508,$BS282,$BU$9:$BU$508,"&lt;"&amp;$BU282)+COUNTIFS($BM$9:$BM$508,$BM282,$BP$9:$BP$508,$BP282,$BS$9:$BS$508,$BS282,$BU$9:$BU$508,$BU282,$BW$9:$BW$508,"&lt;"&amp;$BW282)+COUNTIFS($BM$9:$BM$508,$BM282,$BP$9:$BP$508,$BP282,$BS$9:$BS$508,$BS282,$BU$9:$BU$508,$BU282,$BW$9:$BW$508,$BW282,$BY$9:$BY$508,"&lt;"&amp;$BY282)+1))</f>
        <v/>
      </c>
      <c r="CA282" s="124" t="str">
        <f aca="false">IF(ISBLANK($C282),"",IF($BL282&lt;&gt;Constants!$B$4,$BL282,$BQ282-$BZ282))</f>
        <v/>
      </c>
      <c r="CB282" s="130"/>
      <c r="CC282" s="131" t="str">
        <f aca="false">IF(ISBLANK($C282),"",IF($BL282=Constants!$B$8,$AR282,""))</f>
        <v/>
      </c>
      <c r="CD282" s="131" t="str">
        <f aca="false">IF(ISBLANK($C282),"",IF($BL282&lt;&gt;Constants!$B$4,"",IF($BB282="-&gt;",2,1)))</f>
        <v/>
      </c>
      <c r="CE282" s="132" t="str">
        <f aca="false">IF(ISBLANK($C282),"",IF($BL282&lt;&gt;Constants!$B$4,"",IF($BB282="-&gt;",$BE282,$AU282)))</f>
        <v/>
      </c>
      <c r="CF282" s="132" t="str">
        <f aca="false">IF(ISBLANK($C282),"",IF($BL282&lt;&gt;Constants!$B$4,"",IF($BB282="-&gt;",$BF282,$AV282)))</f>
        <v/>
      </c>
      <c r="CG282" s="132" t="str">
        <f aca="false">IF(ISBLANK($C282),"",IF($BL282&lt;&gt;Constants!$B$4,"",IF($BB282="-&gt;",$BG282,$AW282)))</f>
        <v/>
      </c>
      <c r="CH282" s="132" t="str">
        <f aca="false">IF(ISBLANK($C282),"",IF($BL282&lt;&gt;Constants!$B$4,"",IF($BB282="-&gt;",$BH282,$AX282)))</f>
        <v/>
      </c>
      <c r="CI282" s="133" t="str">
        <f aca="false">IF(ISBLANK($C282),"",$BO282)</f>
        <v/>
      </c>
      <c r="CJ282" s="134" t="str">
        <f aca="false">IF(ISBLANK($C282),"",$BM282)</f>
        <v/>
      </c>
      <c r="CK282" s="135" t="str">
        <f aca="false">IF(ISBLANK($C282),"",$CA282)</f>
        <v/>
      </c>
      <c r="CL282" s="135" t="str">
        <f aca="false">IF(ISBLANK($C282),"",$BZ282)</f>
        <v/>
      </c>
      <c r="CM282" s="136" t="str">
        <f aca="false">IF(ISBLANK($C282),"",IF($CL282=Constants!$B$7,COUNTA($C$9:$C$508)+2,IF($CL282=Constants!$B$6,COUNTA($C$9:$C$508)+1,IF($CL282=Constants!$B$5,COUNTA($C$9:$C$508),$CL282))))</f>
        <v/>
      </c>
      <c r="CN282" s="8"/>
      <c r="CO282" s="137" t="n">
        <f aca="false">IF(OR(ISNUMBER($CL282),$CL282=Constants!$B$7,$CL282=Constants!$B$5,$CL282=Constants!$B$6),1,0)</f>
        <v>0</v>
      </c>
      <c r="CP282" s="137" t="n">
        <v>274</v>
      </c>
      <c r="CQ282" s="137" t="str">
        <f aca="false">IF(ISBLANK($C282),"",IF(ISNUMBER($CM282),$CM282+ROW($B282)/1000,""))</f>
        <v/>
      </c>
      <c r="CR282" s="137" t="str">
        <f aca="false">IF(ISNUMBER($CQ282),RANK($CQ282,$CQ$9:$CQ$508,1),"")</f>
        <v/>
      </c>
      <c r="CS282" s="137" t="str">
        <f aca="false">IF(ISBLANK($C282),"",$B282)</f>
        <v/>
      </c>
      <c r="CT282" s="137" t="str">
        <f aca="false">IF(ISBLANK($C282),"",$C282)</f>
        <v/>
      </c>
      <c r="CU282" s="137" t="str">
        <f aca="false">IF(ISBLANK($C282),"",$D282)</f>
        <v/>
      </c>
      <c r="CV282" s="138" t="str">
        <f aca="false">$CJ282</f>
        <v/>
      </c>
      <c r="CW282" s="139" t="str">
        <f aca="false">$CI282</f>
        <v/>
      </c>
      <c r="CX282" s="137" t="str">
        <f aca="false">IF(ISBLANK($C282),"",$CL282)</f>
        <v/>
      </c>
      <c r="CY282" s="140" t="str">
        <f aca="false">IF($CP282&gt;$CO$8,"",VLOOKUP($CP282,$CR$9:$CX$508,7,FALSE()))</f>
        <v/>
      </c>
      <c r="CZ282" s="141" t="str">
        <f aca="false">IF($CP282&gt;$CO$8,"",VLOOKUP($CP282,$CR$9:$CX$508,2,FALSE()))</f>
        <v/>
      </c>
      <c r="DA282" s="141" t="str">
        <f aca="false">IF($CP282&gt;$CO$8,"",VLOOKUP($CP282,$CR$9:$CX$508,3,FALSE()))</f>
        <v/>
      </c>
      <c r="DB282" s="141" t="str">
        <f aca="false">IF($CP282&gt;$CO$8,"",VLOOKUP($CP282,$CR$9:$CX$508,4,FALSE()))</f>
        <v/>
      </c>
      <c r="DC282" s="141" t="str">
        <f aca="false">IF($CP282&gt;$CO$8,"",VLOOKUP($CP282,$CR$9:$CX$508,5,FALSE()))</f>
        <v/>
      </c>
      <c r="DD282" s="142" t="str">
        <f aca="false">IF($CP282&gt;$CO$8,"",VLOOKUP($CP282,$CR$9:$CX$508,6,FALSE()))</f>
        <v/>
      </c>
      <c r="DE282" s="70"/>
    </row>
    <row r="283" customFormat="false" ht="15.75" hidden="false" customHeight="false" outlineLevel="0" collapsed="false">
      <c r="A283" s="8"/>
      <c r="B283" s="146"/>
      <c r="C283" s="147"/>
      <c r="D283" s="148"/>
      <c r="E283" s="164"/>
      <c r="F283" s="150"/>
      <c r="G283" s="115"/>
      <c r="H283" s="115"/>
      <c r="I283" s="115"/>
      <c r="J283" s="165"/>
      <c r="K283" s="154"/>
      <c r="L283" s="154"/>
      <c r="M283" s="118"/>
      <c r="N283" s="154"/>
      <c r="O283" s="153"/>
      <c r="P283" s="154"/>
      <c r="Q283" s="154"/>
      <c r="R283" s="154"/>
      <c r="S283" s="115"/>
      <c r="T283" s="154"/>
      <c r="U283" s="153"/>
      <c r="V283" s="154"/>
      <c r="W283" s="123"/>
      <c r="X283" s="124" t="str">
        <f aca="false">IF(ISBLANK($C283),"",IF($E283=Constants!$B$2,TRUE(),IF($E283=Constants!$B$3,FALSE(),TRUE())))</f>
        <v/>
      </c>
      <c r="Y283" s="124" t="str">
        <f aca="false">IF(ISBLANK($C283),"",IF($F283=Constants!$B$2,TRUE(),IF($F283=Constants!$B$3,FALSE(),TRUE())))</f>
        <v/>
      </c>
      <c r="Z283" s="125" t="str">
        <f aca="false">IF(ISBLANK($C283),"",IF(ISNUMBER($G283),IF($G283&gt;=0,$G283,""),""))</f>
        <v/>
      </c>
      <c r="AA283" s="125" t="str">
        <f aca="false">IF(ISBLANK($C283),"",IF(ISNUMBER($H283),IF($H283&gt;=0,$H283,""),""))</f>
        <v/>
      </c>
      <c r="AB283" s="125" t="str">
        <f aca="false">IF(ISBLANK($C283),"",IF(ISNUMBER($I283),IF($I283&gt;=0,$I283,""),""))</f>
        <v/>
      </c>
      <c r="AC283" s="124" t="str">
        <f aca="false">IF(ISBLANK($C283),"",IF($J283=Constants!$B$2,TRUE(),IF($J283=Constants!$B$3,FALSE(),TRUE())))</f>
        <v/>
      </c>
      <c r="AD283" s="124" t="str">
        <f aca="false">IF(ISBLANK($C283),"",IF($K283=Constants!$B$2,TRUE(),IF($K283=Constants!$B$3,FALSE(),TRUE())))</f>
        <v/>
      </c>
      <c r="AE283" s="124" t="str">
        <f aca="false">IF(ISBLANK($C283),"",IF($L283=Constants!$B$2,TRUE(),IF($L283=Constants!$B$3,FALSE(),TRUE())))</f>
        <v/>
      </c>
      <c r="AF283" s="126" t="str">
        <f aca="false">IF(ISBLANK($C283),"",IF(ISNUMBER($M283),IF($M283&gt;=0,$M283,""),""))</f>
        <v/>
      </c>
      <c r="AG283" s="124" t="str">
        <f aca="false">IF(ISBLANK($C283),"",IF(ISBLANK($N283),0,IF(ISNUMBER($N283),IF(AND($N283&gt;=0,$N283&lt;=Constants!$B$17,$N283=INT($N283)),$N283,""),"")))</f>
        <v/>
      </c>
      <c r="AH283" s="125" t="str">
        <f aca="false">IF(ISBLANK($C283),"",IF(ISBLANK($O283),0,IF(ISNUMBER($O283),IF($O283&gt;=0,$O283,""),"")))</f>
        <v/>
      </c>
      <c r="AI283" s="124" t="str">
        <f aca="false">IF(ISBLANK($C283),"",IF($P283=Constants!$B$2,TRUE(),IF($P283=Constants!$B$3,FALSE(),TRUE())))</f>
        <v/>
      </c>
      <c r="AJ283" s="124" t="str">
        <f aca="false">IF(ISBLANK($C283),"",IF($Q283=Constants!$B$2,TRUE(),IF($Q283=Constants!$B$3,FALSE(),TRUE())))</f>
        <v/>
      </c>
      <c r="AK283" s="124" t="str">
        <f aca="false">IF(ISBLANK($C283),"",IF($R283=Constants!$B$2,TRUE(),IF($R283=Constants!$B$3,FALSE(),TRUE())))</f>
        <v/>
      </c>
      <c r="AL283" s="126" t="str">
        <f aca="false">IF(ISBLANK($C283),"",IF(ISNUMBER($S283),IF($S283&gt;=0,$S283,""),""))</f>
        <v/>
      </c>
      <c r="AM283" s="124" t="str">
        <f aca="false">IF(ISBLANK($C283),"",IF(ISBLANK($T283),0,IF(ISNUMBER($T283),IF(AND($T283&gt;=0,$T283&lt;=Constants!$B$17,$T283=INT($T283)),$T283,""),"")))</f>
        <v/>
      </c>
      <c r="AN283" s="125" t="str">
        <f aca="false">IF(ISBLANK($C283),"",IF(ISBLANK($U283),0,IF(ISNUMBER($U283),IF($U283&gt;=0,$U283,""),"")))</f>
        <v/>
      </c>
      <c r="AO283" s="124" t="str">
        <f aca="false">IF(ISBLANK($C283),"",IF($V283=Constants!$B$2,TRUE(),IF($V283=Constants!$B$3,FALSE(),FALSE())))</f>
        <v/>
      </c>
      <c r="AP283" s="124"/>
      <c r="AQ283" s="123" t="str">
        <f aca="false">IF(ISBLANK($C283),"",AND($Y283,OR($AS283,$BC283),OR($Z283="",$AA283="",$AB283="")))</f>
        <v/>
      </c>
      <c r="AR283" s="123" t="str">
        <f aca="false">IF(ISBLANK($C283),"",IF(OR(NOT($Y283),NOT(OR($AS283,$BC283))),"",IF(ISBLANK($D$7),$AR$5,IF($AP$9="",$AR$6,""))))</f>
        <v/>
      </c>
      <c r="AS283" s="123" t="str">
        <f aca="false">IF(ISBLANK($C283),"",COUNTA($J283:$O283)&gt;0)</f>
        <v/>
      </c>
      <c r="AT283" s="123" t="str">
        <f aca="false">IF(ISBLANK($C283),"",AND($AS283,OR(AND($AF283="",OR($AE283,NOT(ISBLANK($M283)))),$AG283="",$AH283="")))</f>
        <v/>
      </c>
      <c r="AU283" s="125" t="str">
        <f aca="false">IF($BL283&lt;&gt;Constants!$B$4,"",IF(NOT($AS283),"",ROUND((Constants!$B$12-$AB283)+(Constants!$B$13-$Z283)+(Constants!$B$14-$AA283),1)))</f>
        <v/>
      </c>
      <c r="AV283" s="127" t="str">
        <f aca="false">IF($BL283&lt;&gt;Constants!$B$4,"",IF(NOT($AS283),"",IF(NOT($AE283),0,Constants!$B$15*(INT(ROUND(MIN($AF283,$AP$9),6))-INT(ROUND(MAX(0,MIN($AF283,2*$AP$9)-$AP$9),6))))))</f>
        <v/>
      </c>
      <c r="AW283" s="127" t="str">
        <f aca="false">IF($BL283&lt;&gt;Constants!$B$4,"",IF(NOT($AS283),"",Constants!$B$16*$AG283))</f>
        <v/>
      </c>
      <c r="AX283" s="127" t="str">
        <f aca="false">IF($BL283&lt;&gt;Constants!$B$4,"",IF(NOT($AS283),"",Constants!$B$18*INT(ROUND($AH283,6))))</f>
        <v/>
      </c>
      <c r="AY283" s="123" t="str">
        <f aca="false">IF($BL283&lt;&gt;Constants!$B$4,"",IF(NOT($AS283),"",IF(NOT($X283),Constants!$B$11,IF(OR(NOT($AC283),NOT($AD283),ROUND($AB283,1)&gt;Constants!$B$12,ROUND($Z283,1)&gt;Constants!$B$13,ROUND($AA283,1)&gt;Constants!$B$14),Constants!$B$10,Constants!$B$9))))</f>
        <v/>
      </c>
      <c r="AZ283" s="128" t="str">
        <f aca="false">IF($BL283&lt;&gt;Constants!$B$4,"",IF(NOT($AS283),"",ROUND($AU283+$AV283+$AW283+$AX283,1)))</f>
        <v/>
      </c>
      <c r="BA283" s="129" t="str">
        <f aca="false">IF($BL283&lt;&gt;Constants!$B$4,"",IF(NOT($AS283),"",IF(ISNUMBER($AF283),$AF283,0)))</f>
        <v/>
      </c>
      <c r="BB283" s="124" t="str">
        <f aca="false">IF($BL283&lt;&gt;Constants!$B$4,"",IF(NOT($BC283),"&lt;-",IF(NOT($AS283),"-&gt;",IF(OR($BI283&lt;$AY283,AND($BI283=$AY283,OR($BJ283&gt;$AZ283,AND($BJ283=$AZ283,OR($BH283&gt;$AX283,AND($BH283=$AX283,OR($BE283&gt;$AU283,AND($BE283=$AU283,OR($BF283&gt;$AV283,AND($BF283=$AV283,$BK283&gt;$BA283)))))))))),"-&gt;","&lt;-"))))</f>
        <v/>
      </c>
      <c r="BC283" s="123" t="str">
        <f aca="false">IF(ISBLANK($C283),"",COUNTA($P283:$U283)&gt;0)</f>
        <v/>
      </c>
      <c r="BD283" s="123" t="str">
        <f aca="false">IF(ISBLANK($C283),"",AND($BC283,OR(AND($AL283="",OR($AK283,NOT(ISBLANK($S283)))),$AM283="",$AN283="")))</f>
        <v/>
      </c>
      <c r="BE283" s="125" t="str">
        <f aca="false">IF($BL283&lt;&gt;Constants!$B$4,"",IF(NOT($BC283),"",ROUND((Constants!$B$12-$AB283)+(Constants!$B$13-$Z283)+(Constants!$B$14-$AA283),1)))</f>
        <v/>
      </c>
      <c r="BF283" s="127" t="str">
        <f aca="false">IF($BL283&lt;&gt;Constants!$B$4,"",IF(NOT($BC283),"",IF(NOT($AK283),0,Constants!$B$15*(INT(ROUND(MIN($AL283,$AP$9),6))-INT(ROUND(MAX(0,MIN($AL283,2*$AP$9)-$AP$9),6))))))</f>
        <v/>
      </c>
      <c r="BG283" s="127" t="str">
        <f aca="false">IF($BL283&lt;&gt;Constants!$B$4,"",IF(NOT($BC283),"",Constants!$B$16*$AM283))</f>
        <v/>
      </c>
      <c r="BH283" s="127" t="str">
        <f aca="false">IF($BL283&lt;&gt;Constants!$B$4,"",IF(NOT($BC283),"",Constants!$B$18*INT(ROUND($AN283,6))))</f>
        <v/>
      </c>
      <c r="BI283" s="123" t="str">
        <f aca="false">IF($BL283&lt;&gt;Constants!$B$4,"",IF(NOT($BC283),"",IF(NOT($X283),Constants!$B$11,IF(OR(NOT($AI283),NOT($AJ283),ROUND($AB283,1)&gt;Constants!$B$12,ROUND($Z283,1)&gt;Constants!$B$13,ROUND($AA283,1)&gt;Constants!$B$14),Constants!$B$10,Constants!$B$9))))</f>
        <v/>
      </c>
      <c r="BJ283" s="128" t="str">
        <f aca="false">IF($BL283&lt;&gt;Constants!$B$4,"",IF(NOT($BC283),"",ROUND($BE283+$BF283+$BG283+$BH283,1)))</f>
        <v/>
      </c>
      <c r="BK283" s="129" t="str">
        <f aca="false">IF($BL283&lt;&gt;Constants!$B$4,"",IF(NOT($BC283),"",IF(ISNUMBER($AL283),$AL283,0)))</f>
        <v/>
      </c>
      <c r="BL283" s="124" t="str">
        <f aca="false">IF(ISBLANK($C283),"",IF($AO283,Constants!$B$7,IF(COUNTA($E283:$V283)=0,Constants!$B$6,IF(NOT($Y283),Constants!$B$5,IF(NOT(OR($AS283,$BC283)),Constants!$B$5,IF(OR($AT283,$BD283,$AQ283,$AR283&lt;&gt;""),Constants!$B$8,Constants!$B$4))))))</f>
        <v/>
      </c>
      <c r="BM283" s="124" t="str">
        <f aca="false">IF(ISBLANK($C283),"",IF($BL283&lt;&gt;Constants!$B$4,$BL283,IF($BB283="-&gt;",$BI283,$AY283)))</f>
        <v/>
      </c>
      <c r="BN283" s="127" t="str">
        <f aca="false">IF($BL283&lt;&gt;Constants!$B$4,"",IF($BB283="-&gt;",$BJ283,$AZ283))</f>
        <v/>
      </c>
      <c r="BO283" s="127" t="str">
        <f aca="false">IF(ISBLANK($C283),"",IF($BL283&lt;&gt;Constants!$B$4,$BL283,$BN283))</f>
        <v/>
      </c>
      <c r="BP283" s="124" t="str">
        <f aca="false">IF(ISBLANK($C283),"",IF($BL283&lt;&gt;Constants!$B$4,$BL283,RANK($BO283,$BO$9:$BO$508,0)))</f>
        <v/>
      </c>
      <c r="BQ283" s="124" t="str">
        <f aca="false">IF(ISBLANK($C283),"",IF($BL283&lt;&gt;Constants!$B$4,$BL283,COUNTIFS($BM$9:$BM$508,"&lt;"&amp;$BM283)+COUNTIFS($BM$9:$BM$508,$BM283,$BP$9:$BP$508,"&lt;"&amp;$BP283)+1))</f>
        <v/>
      </c>
      <c r="BR283" s="127" t="str">
        <f aca="false">IF($BL283&lt;&gt;Constants!$B$4,"",IF($BB283="-&gt;",$BH283,$AX283))</f>
        <v/>
      </c>
      <c r="BS283" s="124" t="str">
        <f aca="false">IF(ISBLANK($C283),"",IF($BL283&lt;&gt;Constants!$B$4,$BL283,IF(ISNUMBER($BR283),RANK($BR283,$BR$9:$BR$508,0),COUNT($BR$9:$BR$508)+1)))</f>
        <v/>
      </c>
      <c r="BT283" s="127" t="str">
        <f aca="false">IF($BL283&lt;&gt;Constants!$B$4,"",IF($BB283="-&gt;",$BE283,$AU283))</f>
        <v/>
      </c>
      <c r="BU283" s="124" t="str">
        <f aca="false">IF(ISBLANK($C283),"",IF($BL283&lt;&gt;Constants!$B$4,$BL283,IF(ISNUMBER($BT283),RANK($BT283,$BT$9:$BT$508,0),COUNT($BT$9:$BT$508)+1)))</f>
        <v/>
      </c>
      <c r="BV283" s="127" t="str">
        <f aca="false">IF($BL283&lt;&gt;Constants!$B$4,"",IF($BB283="-&gt;",$BF283,$AV283))</f>
        <v/>
      </c>
      <c r="BW283" s="124" t="str">
        <f aca="false">IF(ISBLANK($C283),"",IF($BL283&lt;&gt;Constants!$B$4,$BL283,IF(ISNUMBER($BV283),RANK($BV283,$BV$9:$BV$508,0),COUNT($BV$9:$BV$508)+1)))</f>
        <v/>
      </c>
      <c r="BX283" s="127" t="str">
        <f aca="false">IF($BL283&lt;&gt;Constants!$B$4,"",IF($BB283="-&gt;",$BK283,$BA283))</f>
        <v/>
      </c>
      <c r="BY283" s="124" t="str">
        <f aca="false">IF(ISBLANK($C283),"",IF($BL283&lt;&gt;Constants!$B$4,$BL283,IF(ISNUMBER($BX283),RANK($BX283,$BX$9:$BX$508,0),COUNT($BX$9:$BX$508)+1)))</f>
        <v/>
      </c>
      <c r="BZ283" s="124" t="str">
        <f aca="false">IF(ISBLANK($C283),"",IF($BL283&lt;&gt;Constants!$B$4,$BL283,COUNTIFS($BM$9:$BM$508,"&lt;"&amp;$BM283)+COUNTIFS($BM$9:$BM$508,$BM283,$BP$9:$BP$508,"&lt;"&amp;$BP283)+COUNTIFS($BM$9:$BM$508,$BM283,$BP$9:$BP$508,$BP283,$BS$9:$BS$508,"&lt;"&amp;$BS283)+COUNTIFS($BM$9:$BM$508,$BM283,$BP$9:$BP$508,$BP283,$BS$9:$BS$508,$BS283,$BU$9:$BU$508,"&lt;"&amp;$BU283)+COUNTIFS($BM$9:$BM$508,$BM283,$BP$9:$BP$508,$BP283,$BS$9:$BS$508,$BS283,$BU$9:$BU$508,$BU283,$BW$9:$BW$508,"&lt;"&amp;$BW283)+COUNTIFS($BM$9:$BM$508,$BM283,$BP$9:$BP$508,$BP283,$BS$9:$BS$508,$BS283,$BU$9:$BU$508,$BU283,$BW$9:$BW$508,$BW283,$BY$9:$BY$508,"&lt;"&amp;$BY283)+1))</f>
        <v/>
      </c>
      <c r="CA283" s="124" t="str">
        <f aca="false">IF(ISBLANK($C283),"",IF($BL283&lt;&gt;Constants!$B$4,$BL283,$BQ283-$BZ283))</f>
        <v/>
      </c>
      <c r="CB283" s="130"/>
      <c r="CC283" s="131" t="str">
        <f aca="false">IF(ISBLANK($C283),"",IF($BL283=Constants!$B$8,$AR283,""))</f>
        <v/>
      </c>
      <c r="CD283" s="131" t="str">
        <f aca="false">IF(ISBLANK($C283),"",IF($BL283&lt;&gt;Constants!$B$4,"",IF($BB283="-&gt;",2,1)))</f>
        <v/>
      </c>
      <c r="CE283" s="132" t="str">
        <f aca="false">IF(ISBLANK($C283),"",IF($BL283&lt;&gt;Constants!$B$4,"",IF($BB283="-&gt;",$BE283,$AU283)))</f>
        <v/>
      </c>
      <c r="CF283" s="132" t="str">
        <f aca="false">IF(ISBLANK($C283),"",IF($BL283&lt;&gt;Constants!$B$4,"",IF($BB283="-&gt;",$BF283,$AV283)))</f>
        <v/>
      </c>
      <c r="CG283" s="132" t="str">
        <f aca="false">IF(ISBLANK($C283),"",IF($BL283&lt;&gt;Constants!$B$4,"",IF($BB283="-&gt;",$BG283,$AW283)))</f>
        <v/>
      </c>
      <c r="CH283" s="132" t="str">
        <f aca="false">IF(ISBLANK($C283),"",IF($BL283&lt;&gt;Constants!$B$4,"",IF($BB283="-&gt;",$BH283,$AX283)))</f>
        <v/>
      </c>
      <c r="CI283" s="133" t="str">
        <f aca="false">IF(ISBLANK($C283),"",$BO283)</f>
        <v/>
      </c>
      <c r="CJ283" s="134" t="str">
        <f aca="false">IF(ISBLANK($C283),"",$BM283)</f>
        <v/>
      </c>
      <c r="CK283" s="135" t="str">
        <f aca="false">IF(ISBLANK($C283),"",$CA283)</f>
        <v/>
      </c>
      <c r="CL283" s="135" t="str">
        <f aca="false">IF(ISBLANK($C283),"",$BZ283)</f>
        <v/>
      </c>
      <c r="CM283" s="136" t="str">
        <f aca="false">IF(ISBLANK($C283),"",IF($CL283=Constants!$B$7,COUNTA($C$9:$C$508)+2,IF($CL283=Constants!$B$6,COUNTA($C$9:$C$508)+1,IF($CL283=Constants!$B$5,COUNTA($C$9:$C$508),$CL283))))</f>
        <v/>
      </c>
      <c r="CN283" s="8"/>
      <c r="CO283" s="137" t="n">
        <f aca="false">IF(OR(ISNUMBER($CL283),$CL283=Constants!$B$7,$CL283=Constants!$B$5,$CL283=Constants!$B$6),1,0)</f>
        <v>0</v>
      </c>
      <c r="CP283" s="137" t="n">
        <v>275</v>
      </c>
      <c r="CQ283" s="137" t="str">
        <f aca="false">IF(ISBLANK($C283),"",IF(ISNUMBER($CM283),$CM283+ROW($B283)/1000,""))</f>
        <v/>
      </c>
      <c r="CR283" s="137" t="str">
        <f aca="false">IF(ISNUMBER($CQ283),RANK($CQ283,$CQ$9:$CQ$508,1),"")</f>
        <v/>
      </c>
      <c r="CS283" s="137" t="str">
        <f aca="false">IF(ISBLANK($C283),"",$B283)</f>
        <v/>
      </c>
      <c r="CT283" s="137" t="str">
        <f aca="false">IF(ISBLANK($C283),"",$C283)</f>
        <v/>
      </c>
      <c r="CU283" s="137" t="str">
        <f aca="false">IF(ISBLANK($C283),"",$D283)</f>
        <v/>
      </c>
      <c r="CV283" s="138" t="str">
        <f aca="false">$CJ283</f>
        <v/>
      </c>
      <c r="CW283" s="139" t="str">
        <f aca="false">$CI283</f>
        <v/>
      </c>
      <c r="CX283" s="137" t="str">
        <f aca="false">IF(ISBLANK($C283),"",$CL283)</f>
        <v/>
      </c>
      <c r="CY283" s="140" t="str">
        <f aca="false">IF($CP283&gt;$CO$8,"",VLOOKUP($CP283,$CR$9:$CX$508,7,FALSE()))</f>
        <v/>
      </c>
      <c r="CZ283" s="141" t="str">
        <f aca="false">IF($CP283&gt;$CO$8,"",VLOOKUP($CP283,$CR$9:$CX$508,2,FALSE()))</f>
        <v/>
      </c>
      <c r="DA283" s="141" t="str">
        <f aca="false">IF($CP283&gt;$CO$8,"",VLOOKUP($CP283,$CR$9:$CX$508,3,FALSE()))</f>
        <v/>
      </c>
      <c r="DB283" s="141" t="str">
        <f aca="false">IF($CP283&gt;$CO$8,"",VLOOKUP($CP283,$CR$9:$CX$508,4,FALSE()))</f>
        <v/>
      </c>
      <c r="DC283" s="141" t="str">
        <f aca="false">IF($CP283&gt;$CO$8,"",VLOOKUP($CP283,$CR$9:$CX$508,5,FALSE()))</f>
        <v/>
      </c>
      <c r="DD283" s="142" t="str">
        <f aca="false">IF($CP283&gt;$CO$8,"",VLOOKUP($CP283,$CR$9:$CX$508,6,FALSE()))</f>
        <v/>
      </c>
      <c r="DE283" s="70"/>
    </row>
    <row r="284" customFormat="false" ht="15.75" hidden="false" customHeight="false" outlineLevel="0" collapsed="false">
      <c r="A284" s="8"/>
      <c r="B284" s="146"/>
      <c r="C284" s="147"/>
      <c r="D284" s="148"/>
      <c r="E284" s="164"/>
      <c r="F284" s="150"/>
      <c r="G284" s="115"/>
      <c r="H284" s="115"/>
      <c r="I284" s="115"/>
      <c r="J284" s="165"/>
      <c r="K284" s="154"/>
      <c r="L284" s="154"/>
      <c r="M284" s="118"/>
      <c r="N284" s="154"/>
      <c r="O284" s="153"/>
      <c r="P284" s="154"/>
      <c r="Q284" s="154"/>
      <c r="R284" s="154"/>
      <c r="S284" s="115"/>
      <c r="T284" s="154"/>
      <c r="U284" s="153"/>
      <c r="V284" s="154"/>
      <c r="W284" s="123"/>
      <c r="X284" s="124" t="str">
        <f aca="false">IF(ISBLANK($C284),"",IF($E284=Constants!$B$2,TRUE(),IF($E284=Constants!$B$3,FALSE(),TRUE())))</f>
        <v/>
      </c>
      <c r="Y284" s="124" t="str">
        <f aca="false">IF(ISBLANK($C284),"",IF($F284=Constants!$B$2,TRUE(),IF($F284=Constants!$B$3,FALSE(),TRUE())))</f>
        <v/>
      </c>
      <c r="Z284" s="125" t="str">
        <f aca="false">IF(ISBLANK($C284),"",IF(ISNUMBER($G284),IF($G284&gt;=0,$G284,""),""))</f>
        <v/>
      </c>
      <c r="AA284" s="125" t="str">
        <f aca="false">IF(ISBLANK($C284),"",IF(ISNUMBER($H284),IF($H284&gt;=0,$H284,""),""))</f>
        <v/>
      </c>
      <c r="AB284" s="125" t="str">
        <f aca="false">IF(ISBLANK($C284),"",IF(ISNUMBER($I284),IF($I284&gt;=0,$I284,""),""))</f>
        <v/>
      </c>
      <c r="AC284" s="124" t="str">
        <f aca="false">IF(ISBLANK($C284),"",IF($J284=Constants!$B$2,TRUE(),IF($J284=Constants!$B$3,FALSE(),TRUE())))</f>
        <v/>
      </c>
      <c r="AD284" s="124" t="str">
        <f aca="false">IF(ISBLANK($C284),"",IF($K284=Constants!$B$2,TRUE(),IF($K284=Constants!$B$3,FALSE(),TRUE())))</f>
        <v/>
      </c>
      <c r="AE284" s="124" t="str">
        <f aca="false">IF(ISBLANK($C284),"",IF($L284=Constants!$B$2,TRUE(),IF($L284=Constants!$B$3,FALSE(),TRUE())))</f>
        <v/>
      </c>
      <c r="AF284" s="126" t="str">
        <f aca="false">IF(ISBLANK($C284),"",IF(ISNUMBER($M284),IF($M284&gt;=0,$M284,""),""))</f>
        <v/>
      </c>
      <c r="AG284" s="124" t="str">
        <f aca="false">IF(ISBLANK($C284),"",IF(ISBLANK($N284),0,IF(ISNUMBER($N284),IF(AND($N284&gt;=0,$N284&lt;=Constants!$B$17,$N284=INT($N284)),$N284,""),"")))</f>
        <v/>
      </c>
      <c r="AH284" s="125" t="str">
        <f aca="false">IF(ISBLANK($C284),"",IF(ISBLANK($O284),0,IF(ISNUMBER($O284),IF($O284&gt;=0,$O284,""),"")))</f>
        <v/>
      </c>
      <c r="AI284" s="124" t="str">
        <f aca="false">IF(ISBLANK($C284),"",IF($P284=Constants!$B$2,TRUE(),IF($P284=Constants!$B$3,FALSE(),TRUE())))</f>
        <v/>
      </c>
      <c r="AJ284" s="124" t="str">
        <f aca="false">IF(ISBLANK($C284),"",IF($Q284=Constants!$B$2,TRUE(),IF($Q284=Constants!$B$3,FALSE(),TRUE())))</f>
        <v/>
      </c>
      <c r="AK284" s="124" t="str">
        <f aca="false">IF(ISBLANK($C284),"",IF($R284=Constants!$B$2,TRUE(),IF($R284=Constants!$B$3,FALSE(),TRUE())))</f>
        <v/>
      </c>
      <c r="AL284" s="126" t="str">
        <f aca="false">IF(ISBLANK($C284),"",IF(ISNUMBER($S284),IF($S284&gt;=0,$S284,""),""))</f>
        <v/>
      </c>
      <c r="AM284" s="124" t="str">
        <f aca="false">IF(ISBLANK($C284),"",IF(ISBLANK($T284),0,IF(ISNUMBER($T284),IF(AND($T284&gt;=0,$T284&lt;=Constants!$B$17,$T284=INT($T284)),$T284,""),"")))</f>
        <v/>
      </c>
      <c r="AN284" s="125" t="str">
        <f aca="false">IF(ISBLANK($C284),"",IF(ISBLANK($U284),0,IF(ISNUMBER($U284),IF($U284&gt;=0,$U284,""),"")))</f>
        <v/>
      </c>
      <c r="AO284" s="124" t="str">
        <f aca="false">IF(ISBLANK($C284),"",IF($V284=Constants!$B$2,TRUE(),IF($V284=Constants!$B$3,FALSE(),FALSE())))</f>
        <v/>
      </c>
      <c r="AP284" s="124"/>
      <c r="AQ284" s="123" t="str">
        <f aca="false">IF(ISBLANK($C284),"",AND($Y284,OR($AS284,$BC284),OR($Z284="",$AA284="",$AB284="")))</f>
        <v/>
      </c>
      <c r="AR284" s="123" t="str">
        <f aca="false">IF(ISBLANK($C284),"",IF(OR(NOT($Y284),NOT(OR($AS284,$BC284))),"",IF(ISBLANK($D$7),$AR$5,IF($AP$9="",$AR$6,""))))</f>
        <v/>
      </c>
      <c r="AS284" s="123" t="str">
        <f aca="false">IF(ISBLANK($C284),"",COUNTA($J284:$O284)&gt;0)</f>
        <v/>
      </c>
      <c r="AT284" s="123" t="str">
        <f aca="false">IF(ISBLANK($C284),"",AND($AS284,OR(AND($AF284="",OR($AE284,NOT(ISBLANK($M284)))),$AG284="",$AH284="")))</f>
        <v/>
      </c>
      <c r="AU284" s="125" t="str">
        <f aca="false">IF($BL284&lt;&gt;Constants!$B$4,"",IF(NOT($AS284),"",ROUND((Constants!$B$12-$AB284)+(Constants!$B$13-$Z284)+(Constants!$B$14-$AA284),1)))</f>
        <v/>
      </c>
      <c r="AV284" s="127" t="str">
        <f aca="false">IF($BL284&lt;&gt;Constants!$B$4,"",IF(NOT($AS284),"",IF(NOT($AE284),0,Constants!$B$15*(INT(ROUND(MIN($AF284,$AP$9),6))-INT(ROUND(MAX(0,MIN($AF284,2*$AP$9)-$AP$9),6))))))</f>
        <v/>
      </c>
      <c r="AW284" s="127" t="str">
        <f aca="false">IF($BL284&lt;&gt;Constants!$B$4,"",IF(NOT($AS284),"",Constants!$B$16*$AG284))</f>
        <v/>
      </c>
      <c r="AX284" s="127" t="str">
        <f aca="false">IF($BL284&lt;&gt;Constants!$B$4,"",IF(NOT($AS284),"",Constants!$B$18*INT(ROUND($AH284,6))))</f>
        <v/>
      </c>
      <c r="AY284" s="123" t="str">
        <f aca="false">IF($BL284&lt;&gt;Constants!$B$4,"",IF(NOT($AS284),"",IF(NOT($X284),Constants!$B$11,IF(OR(NOT($AC284),NOT($AD284),ROUND($AB284,1)&gt;Constants!$B$12,ROUND($Z284,1)&gt;Constants!$B$13,ROUND($AA284,1)&gt;Constants!$B$14),Constants!$B$10,Constants!$B$9))))</f>
        <v/>
      </c>
      <c r="AZ284" s="128" t="str">
        <f aca="false">IF($BL284&lt;&gt;Constants!$B$4,"",IF(NOT($AS284),"",ROUND($AU284+$AV284+$AW284+$AX284,1)))</f>
        <v/>
      </c>
      <c r="BA284" s="129" t="str">
        <f aca="false">IF($BL284&lt;&gt;Constants!$B$4,"",IF(NOT($AS284),"",IF(ISNUMBER($AF284),$AF284,0)))</f>
        <v/>
      </c>
      <c r="BB284" s="124" t="str">
        <f aca="false">IF($BL284&lt;&gt;Constants!$B$4,"",IF(NOT($BC284),"&lt;-",IF(NOT($AS284),"-&gt;",IF(OR($BI284&lt;$AY284,AND($BI284=$AY284,OR($BJ284&gt;$AZ284,AND($BJ284=$AZ284,OR($BH284&gt;$AX284,AND($BH284=$AX284,OR($BE284&gt;$AU284,AND($BE284=$AU284,OR($BF284&gt;$AV284,AND($BF284=$AV284,$BK284&gt;$BA284)))))))))),"-&gt;","&lt;-"))))</f>
        <v/>
      </c>
      <c r="BC284" s="123" t="str">
        <f aca="false">IF(ISBLANK($C284),"",COUNTA($P284:$U284)&gt;0)</f>
        <v/>
      </c>
      <c r="BD284" s="123" t="str">
        <f aca="false">IF(ISBLANK($C284),"",AND($BC284,OR(AND($AL284="",OR($AK284,NOT(ISBLANK($S284)))),$AM284="",$AN284="")))</f>
        <v/>
      </c>
      <c r="BE284" s="125" t="str">
        <f aca="false">IF($BL284&lt;&gt;Constants!$B$4,"",IF(NOT($BC284),"",ROUND((Constants!$B$12-$AB284)+(Constants!$B$13-$Z284)+(Constants!$B$14-$AA284),1)))</f>
        <v/>
      </c>
      <c r="BF284" s="127" t="str">
        <f aca="false">IF($BL284&lt;&gt;Constants!$B$4,"",IF(NOT($BC284),"",IF(NOT($AK284),0,Constants!$B$15*(INT(ROUND(MIN($AL284,$AP$9),6))-INT(ROUND(MAX(0,MIN($AL284,2*$AP$9)-$AP$9),6))))))</f>
        <v/>
      </c>
      <c r="BG284" s="127" t="str">
        <f aca="false">IF($BL284&lt;&gt;Constants!$B$4,"",IF(NOT($BC284),"",Constants!$B$16*$AM284))</f>
        <v/>
      </c>
      <c r="BH284" s="127" t="str">
        <f aca="false">IF($BL284&lt;&gt;Constants!$B$4,"",IF(NOT($BC284),"",Constants!$B$18*INT(ROUND($AN284,6))))</f>
        <v/>
      </c>
      <c r="BI284" s="123" t="str">
        <f aca="false">IF($BL284&lt;&gt;Constants!$B$4,"",IF(NOT($BC284),"",IF(NOT($X284),Constants!$B$11,IF(OR(NOT($AI284),NOT($AJ284),ROUND($AB284,1)&gt;Constants!$B$12,ROUND($Z284,1)&gt;Constants!$B$13,ROUND($AA284,1)&gt;Constants!$B$14),Constants!$B$10,Constants!$B$9))))</f>
        <v/>
      </c>
      <c r="BJ284" s="128" t="str">
        <f aca="false">IF($BL284&lt;&gt;Constants!$B$4,"",IF(NOT($BC284),"",ROUND($BE284+$BF284+$BG284+$BH284,1)))</f>
        <v/>
      </c>
      <c r="BK284" s="129" t="str">
        <f aca="false">IF($BL284&lt;&gt;Constants!$B$4,"",IF(NOT($BC284),"",IF(ISNUMBER($AL284),$AL284,0)))</f>
        <v/>
      </c>
      <c r="BL284" s="124" t="str">
        <f aca="false">IF(ISBLANK($C284),"",IF($AO284,Constants!$B$7,IF(COUNTA($E284:$V284)=0,Constants!$B$6,IF(NOT($Y284),Constants!$B$5,IF(NOT(OR($AS284,$BC284)),Constants!$B$5,IF(OR($AT284,$BD284,$AQ284,$AR284&lt;&gt;""),Constants!$B$8,Constants!$B$4))))))</f>
        <v/>
      </c>
      <c r="BM284" s="124" t="str">
        <f aca="false">IF(ISBLANK($C284),"",IF($BL284&lt;&gt;Constants!$B$4,$BL284,IF($BB284="-&gt;",$BI284,$AY284)))</f>
        <v/>
      </c>
      <c r="BN284" s="127" t="str">
        <f aca="false">IF($BL284&lt;&gt;Constants!$B$4,"",IF($BB284="-&gt;",$BJ284,$AZ284))</f>
        <v/>
      </c>
      <c r="BO284" s="127" t="str">
        <f aca="false">IF(ISBLANK($C284),"",IF($BL284&lt;&gt;Constants!$B$4,$BL284,$BN284))</f>
        <v/>
      </c>
      <c r="BP284" s="124" t="str">
        <f aca="false">IF(ISBLANK($C284),"",IF($BL284&lt;&gt;Constants!$B$4,$BL284,RANK($BO284,$BO$9:$BO$508,0)))</f>
        <v/>
      </c>
      <c r="BQ284" s="124" t="str">
        <f aca="false">IF(ISBLANK($C284),"",IF($BL284&lt;&gt;Constants!$B$4,$BL284,COUNTIFS($BM$9:$BM$508,"&lt;"&amp;$BM284)+COUNTIFS($BM$9:$BM$508,$BM284,$BP$9:$BP$508,"&lt;"&amp;$BP284)+1))</f>
        <v/>
      </c>
      <c r="BR284" s="127" t="str">
        <f aca="false">IF($BL284&lt;&gt;Constants!$B$4,"",IF($BB284="-&gt;",$BH284,$AX284))</f>
        <v/>
      </c>
      <c r="BS284" s="124" t="str">
        <f aca="false">IF(ISBLANK($C284),"",IF($BL284&lt;&gt;Constants!$B$4,$BL284,IF(ISNUMBER($BR284),RANK($BR284,$BR$9:$BR$508,0),COUNT($BR$9:$BR$508)+1)))</f>
        <v/>
      </c>
      <c r="BT284" s="127" t="str">
        <f aca="false">IF($BL284&lt;&gt;Constants!$B$4,"",IF($BB284="-&gt;",$BE284,$AU284))</f>
        <v/>
      </c>
      <c r="BU284" s="124" t="str">
        <f aca="false">IF(ISBLANK($C284),"",IF($BL284&lt;&gt;Constants!$B$4,$BL284,IF(ISNUMBER($BT284),RANK($BT284,$BT$9:$BT$508,0),COUNT($BT$9:$BT$508)+1)))</f>
        <v/>
      </c>
      <c r="BV284" s="127" t="str">
        <f aca="false">IF($BL284&lt;&gt;Constants!$B$4,"",IF($BB284="-&gt;",$BF284,$AV284))</f>
        <v/>
      </c>
      <c r="BW284" s="124" t="str">
        <f aca="false">IF(ISBLANK($C284),"",IF($BL284&lt;&gt;Constants!$B$4,$BL284,IF(ISNUMBER($BV284),RANK($BV284,$BV$9:$BV$508,0),COUNT($BV$9:$BV$508)+1)))</f>
        <v/>
      </c>
      <c r="BX284" s="127" t="str">
        <f aca="false">IF($BL284&lt;&gt;Constants!$B$4,"",IF($BB284="-&gt;",$BK284,$BA284))</f>
        <v/>
      </c>
      <c r="BY284" s="124" t="str">
        <f aca="false">IF(ISBLANK($C284),"",IF($BL284&lt;&gt;Constants!$B$4,$BL284,IF(ISNUMBER($BX284),RANK($BX284,$BX$9:$BX$508,0),COUNT($BX$9:$BX$508)+1)))</f>
        <v/>
      </c>
      <c r="BZ284" s="124" t="str">
        <f aca="false">IF(ISBLANK($C284),"",IF($BL284&lt;&gt;Constants!$B$4,$BL284,COUNTIFS($BM$9:$BM$508,"&lt;"&amp;$BM284)+COUNTIFS($BM$9:$BM$508,$BM284,$BP$9:$BP$508,"&lt;"&amp;$BP284)+COUNTIFS($BM$9:$BM$508,$BM284,$BP$9:$BP$508,$BP284,$BS$9:$BS$508,"&lt;"&amp;$BS284)+COUNTIFS($BM$9:$BM$508,$BM284,$BP$9:$BP$508,$BP284,$BS$9:$BS$508,$BS284,$BU$9:$BU$508,"&lt;"&amp;$BU284)+COUNTIFS($BM$9:$BM$508,$BM284,$BP$9:$BP$508,$BP284,$BS$9:$BS$508,$BS284,$BU$9:$BU$508,$BU284,$BW$9:$BW$508,"&lt;"&amp;$BW284)+COUNTIFS($BM$9:$BM$508,$BM284,$BP$9:$BP$508,$BP284,$BS$9:$BS$508,$BS284,$BU$9:$BU$508,$BU284,$BW$9:$BW$508,$BW284,$BY$9:$BY$508,"&lt;"&amp;$BY284)+1))</f>
        <v/>
      </c>
      <c r="CA284" s="124" t="str">
        <f aca="false">IF(ISBLANK($C284),"",IF($BL284&lt;&gt;Constants!$B$4,$BL284,$BQ284-$BZ284))</f>
        <v/>
      </c>
      <c r="CB284" s="130"/>
      <c r="CC284" s="131" t="str">
        <f aca="false">IF(ISBLANK($C284),"",IF($BL284=Constants!$B$8,$AR284,""))</f>
        <v/>
      </c>
      <c r="CD284" s="131" t="str">
        <f aca="false">IF(ISBLANK($C284),"",IF($BL284&lt;&gt;Constants!$B$4,"",IF($BB284="-&gt;",2,1)))</f>
        <v/>
      </c>
      <c r="CE284" s="132" t="str">
        <f aca="false">IF(ISBLANK($C284),"",IF($BL284&lt;&gt;Constants!$B$4,"",IF($BB284="-&gt;",$BE284,$AU284)))</f>
        <v/>
      </c>
      <c r="CF284" s="132" t="str">
        <f aca="false">IF(ISBLANK($C284),"",IF($BL284&lt;&gt;Constants!$B$4,"",IF($BB284="-&gt;",$BF284,$AV284)))</f>
        <v/>
      </c>
      <c r="CG284" s="132" t="str">
        <f aca="false">IF(ISBLANK($C284),"",IF($BL284&lt;&gt;Constants!$B$4,"",IF($BB284="-&gt;",$BG284,$AW284)))</f>
        <v/>
      </c>
      <c r="CH284" s="132" t="str">
        <f aca="false">IF(ISBLANK($C284),"",IF($BL284&lt;&gt;Constants!$B$4,"",IF($BB284="-&gt;",$BH284,$AX284)))</f>
        <v/>
      </c>
      <c r="CI284" s="133" t="str">
        <f aca="false">IF(ISBLANK($C284),"",$BO284)</f>
        <v/>
      </c>
      <c r="CJ284" s="134" t="str">
        <f aca="false">IF(ISBLANK($C284),"",$BM284)</f>
        <v/>
      </c>
      <c r="CK284" s="135" t="str">
        <f aca="false">IF(ISBLANK($C284),"",$CA284)</f>
        <v/>
      </c>
      <c r="CL284" s="135" t="str">
        <f aca="false">IF(ISBLANK($C284),"",$BZ284)</f>
        <v/>
      </c>
      <c r="CM284" s="136" t="str">
        <f aca="false">IF(ISBLANK($C284),"",IF($CL284=Constants!$B$7,COUNTA($C$9:$C$508)+2,IF($CL284=Constants!$B$6,COUNTA($C$9:$C$508)+1,IF($CL284=Constants!$B$5,COUNTA($C$9:$C$508),$CL284))))</f>
        <v/>
      </c>
      <c r="CN284" s="8"/>
      <c r="CO284" s="137" t="n">
        <f aca="false">IF(OR(ISNUMBER($CL284),$CL284=Constants!$B$7,$CL284=Constants!$B$5,$CL284=Constants!$B$6),1,0)</f>
        <v>0</v>
      </c>
      <c r="CP284" s="137" t="n">
        <v>276</v>
      </c>
      <c r="CQ284" s="137" t="str">
        <f aca="false">IF(ISBLANK($C284),"",IF(ISNUMBER($CM284),$CM284+ROW($B284)/1000,""))</f>
        <v/>
      </c>
      <c r="CR284" s="137" t="str">
        <f aca="false">IF(ISNUMBER($CQ284),RANK($CQ284,$CQ$9:$CQ$508,1),"")</f>
        <v/>
      </c>
      <c r="CS284" s="137" t="str">
        <f aca="false">IF(ISBLANK($C284),"",$B284)</f>
        <v/>
      </c>
      <c r="CT284" s="137" t="str">
        <f aca="false">IF(ISBLANK($C284),"",$C284)</f>
        <v/>
      </c>
      <c r="CU284" s="137" t="str">
        <f aca="false">IF(ISBLANK($C284),"",$D284)</f>
        <v/>
      </c>
      <c r="CV284" s="138" t="str">
        <f aca="false">$CJ284</f>
        <v/>
      </c>
      <c r="CW284" s="139" t="str">
        <f aca="false">$CI284</f>
        <v/>
      </c>
      <c r="CX284" s="137" t="str">
        <f aca="false">IF(ISBLANK($C284),"",$CL284)</f>
        <v/>
      </c>
      <c r="CY284" s="140" t="str">
        <f aca="false">IF($CP284&gt;$CO$8,"",VLOOKUP($CP284,$CR$9:$CX$508,7,FALSE()))</f>
        <v/>
      </c>
      <c r="CZ284" s="141" t="str">
        <f aca="false">IF($CP284&gt;$CO$8,"",VLOOKUP($CP284,$CR$9:$CX$508,2,FALSE()))</f>
        <v/>
      </c>
      <c r="DA284" s="141" t="str">
        <f aca="false">IF($CP284&gt;$CO$8,"",VLOOKUP($CP284,$CR$9:$CX$508,3,FALSE()))</f>
        <v/>
      </c>
      <c r="DB284" s="141" t="str">
        <f aca="false">IF($CP284&gt;$CO$8,"",VLOOKUP($CP284,$CR$9:$CX$508,4,FALSE()))</f>
        <v/>
      </c>
      <c r="DC284" s="141" t="str">
        <f aca="false">IF($CP284&gt;$CO$8,"",VLOOKUP($CP284,$CR$9:$CX$508,5,FALSE()))</f>
        <v/>
      </c>
      <c r="DD284" s="142" t="str">
        <f aca="false">IF($CP284&gt;$CO$8,"",VLOOKUP($CP284,$CR$9:$CX$508,6,FALSE()))</f>
        <v/>
      </c>
      <c r="DE284" s="70"/>
    </row>
    <row r="285" customFormat="false" ht="15.75" hidden="false" customHeight="false" outlineLevel="0" collapsed="false">
      <c r="A285" s="8"/>
      <c r="B285" s="72"/>
      <c r="C285" s="73"/>
      <c r="D285" s="155"/>
      <c r="E285" s="162"/>
      <c r="F285" s="157"/>
      <c r="G285" s="77"/>
      <c r="H285" s="77"/>
      <c r="I285" s="77"/>
      <c r="J285" s="163"/>
      <c r="K285" s="161"/>
      <c r="L285" s="161"/>
      <c r="M285" s="80"/>
      <c r="N285" s="161"/>
      <c r="O285" s="160"/>
      <c r="P285" s="161"/>
      <c r="Q285" s="161"/>
      <c r="R285" s="161"/>
      <c r="S285" s="77"/>
      <c r="T285" s="161"/>
      <c r="U285" s="160"/>
      <c r="V285" s="161"/>
      <c r="W285" s="85"/>
      <c r="X285" s="86" t="str">
        <f aca="false">IF(ISBLANK($C285),"",IF($E285=Constants!$B$2,TRUE(),IF($E285=Constants!$B$3,FALSE(),TRUE())))</f>
        <v/>
      </c>
      <c r="Y285" s="86" t="str">
        <f aca="false">IF(ISBLANK($C285),"",IF($F285=Constants!$B$2,TRUE(),IF($F285=Constants!$B$3,FALSE(),TRUE())))</f>
        <v/>
      </c>
      <c r="Z285" s="87" t="str">
        <f aca="false">IF(ISBLANK($C285),"",IF(ISNUMBER($G285),IF($G285&gt;=0,$G285,""),""))</f>
        <v/>
      </c>
      <c r="AA285" s="87" t="str">
        <f aca="false">IF(ISBLANK($C285),"",IF(ISNUMBER($H285),IF($H285&gt;=0,$H285,""),""))</f>
        <v/>
      </c>
      <c r="AB285" s="87" t="str">
        <f aca="false">IF(ISBLANK($C285),"",IF(ISNUMBER($I285),IF($I285&gt;=0,$I285,""),""))</f>
        <v/>
      </c>
      <c r="AC285" s="86" t="str">
        <f aca="false">IF(ISBLANK($C285),"",IF($J285=Constants!$B$2,TRUE(),IF($J285=Constants!$B$3,FALSE(),TRUE())))</f>
        <v/>
      </c>
      <c r="AD285" s="86" t="str">
        <f aca="false">IF(ISBLANK($C285),"",IF($K285=Constants!$B$2,TRUE(),IF($K285=Constants!$B$3,FALSE(),TRUE())))</f>
        <v/>
      </c>
      <c r="AE285" s="86" t="str">
        <f aca="false">IF(ISBLANK($C285),"",IF($L285=Constants!$B$2,TRUE(),IF($L285=Constants!$B$3,FALSE(),TRUE())))</f>
        <v/>
      </c>
      <c r="AF285" s="88" t="str">
        <f aca="false">IF(ISBLANK($C285),"",IF(ISNUMBER($M285),IF($M285&gt;=0,$M285,""),""))</f>
        <v/>
      </c>
      <c r="AG285" s="86" t="str">
        <f aca="false">IF(ISBLANK($C285),"",IF(ISBLANK($N285),0,IF(ISNUMBER($N285),IF(AND($N285&gt;=0,$N285&lt;=Constants!$B$17,$N285=INT($N285)),$N285,""),"")))</f>
        <v/>
      </c>
      <c r="AH285" s="87" t="str">
        <f aca="false">IF(ISBLANK($C285),"",IF(ISBLANK($O285),0,IF(ISNUMBER($O285),IF($O285&gt;=0,$O285,""),"")))</f>
        <v/>
      </c>
      <c r="AI285" s="86" t="str">
        <f aca="false">IF(ISBLANK($C285),"",IF($P285=Constants!$B$2,TRUE(),IF($P285=Constants!$B$3,FALSE(),TRUE())))</f>
        <v/>
      </c>
      <c r="AJ285" s="86" t="str">
        <f aca="false">IF(ISBLANK($C285),"",IF($Q285=Constants!$B$2,TRUE(),IF($Q285=Constants!$B$3,FALSE(),TRUE())))</f>
        <v/>
      </c>
      <c r="AK285" s="86" t="str">
        <f aca="false">IF(ISBLANK($C285),"",IF($R285=Constants!$B$2,TRUE(),IF($R285=Constants!$B$3,FALSE(),TRUE())))</f>
        <v/>
      </c>
      <c r="AL285" s="88" t="str">
        <f aca="false">IF(ISBLANK($C285),"",IF(ISNUMBER($S285),IF($S285&gt;=0,$S285,""),""))</f>
        <v/>
      </c>
      <c r="AM285" s="86" t="str">
        <f aca="false">IF(ISBLANK($C285),"",IF(ISBLANK($T285),0,IF(ISNUMBER($T285),IF(AND($T285&gt;=0,$T285&lt;=Constants!$B$17,$T285=INT($T285)),$T285,""),"")))</f>
        <v/>
      </c>
      <c r="AN285" s="87" t="str">
        <f aca="false">IF(ISBLANK($C285),"",IF(ISBLANK($U285),0,IF(ISNUMBER($U285),IF($U285&gt;=0,$U285,""),"")))</f>
        <v/>
      </c>
      <c r="AO285" s="86" t="str">
        <f aca="false">IF(ISBLANK($C285),"",IF($V285=Constants!$B$2,TRUE(),IF($V285=Constants!$B$3,FALSE(),FALSE())))</f>
        <v/>
      </c>
      <c r="AP285" s="86"/>
      <c r="AQ285" s="85" t="str">
        <f aca="false">IF(ISBLANK($C285),"",AND($Y285,OR($AS285,$BC285),OR($Z285="",$AA285="",$AB285="")))</f>
        <v/>
      </c>
      <c r="AR285" s="85" t="str">
        <f aca="false">IF(ISBLANK($C285),"",IF(OR(NOT($Y285),NOT(OR($AS285,$BC285))),"",IF(ISBLANK($D$7),$AR$5,IF($AP$9="",$AR$6,""))))</f>
        <v/>
      </c>
      <c r="AS285" s="85" t="str">
        <f aca="false">IF(ISBLANK($C285),"",COUNTA($J285:$O285)&gt;0)</f>
        <v/>
      </c>
      <c r="AT285" s="85" t="str">
        <f aca="false">IF(ISBLANK($C285),"",AND($AS285,OR(AND($AF285="",OR($AE285,NOT(ISBLANK($M285)))),$AG285="",$AH285="")))</f>
        <v/>
      </c>
      <c r="AU285" s="87" t="str">
        <f aca="false">IF($BL285&lt;&gt;Constants!$B$4,"",IF(NOT($AS285),"",ROUND((Constants!$B$12-$AB285)+(Constants!$B$13-$Z285)+(Constants!$B$14-$AA285),1)))</f>
        <v/>
      </c>
      <c r="AV285" s="90" t="str">
        <f aca="false">IF($BL285&lt;&gt;Constants!$B$4,"",IF(NOT($AS285),"",IF(NOT($AE285),0,Constants!$B$15*(INT(ROUND(MIN($AF285,$AP$9),6))-INT(ROUND(MAX(0,MIN($AF285,2*$AP$9)-$AP$9),6))))))</f>
        <v/>
      </c>
      <c r="AW285" s="90" t="str">
        <f aca="false">IF($BL285&lt;&gt;Constants!$B$4,"",IF(NOT($AS285),"",Constants!$B$16*$AG285))</f>
        <v/>
      </c>
      <c r="AX285" s="90" t="str">
        <f aca="false">IF($BL285&lt;&gt;Constants!$B$4,"",IF(NOT($AS285),"",Constants!$B$18*INT(ROUND($AH285,6))))</f>
        <v/>
      </c>
      <c r="AY285" s="85" t="str">
        <f aca="false">IF($BL285&lt;&gt;Constants!$B$4,"",IF(NOT($AS285),"",IF(NOT($X285),Constants!$B$11,IF(OR(NOT($AC285),NOT($AD285),ROUND($AB285,1)&gt;Constants!$B$12,ROUND($Z285,1)&gt;Constants!$B$13,ROUND($AA285,1)&gt;Constants!$B$14),Constants!$B$10,Constants!$B$9))))</f>
        <v/>
      </c>
      <c r="AZ285" s="91" t="str">
        <f aca="false">IF($BL285&lt;&gt;Constants!$B$4,"",IF(NOT($AS285),"",ROUND($AU285+$AV285+$AW285+$AX285,1)))</f>
        <v/>
      </c>
      <c r="BA285" s="92" t="str">
        <f aca="false">IF($BL285&lt;&gt;Constants!$B$4,"",IF(NOT($AS285),"",IF(ISNUMBER($AF285),$AF285,0)))</f>
        <v/>
      </c>
      <c r="BB285" s="86" t="str">
        <f aca="false">IF($BL285&lt;&gt;Constants!$B$4,"",IF(NOT($BC285),"&lt;-",IF(NOT($AS285),"-&gt;",IF(OR($BI285&lt;$AY285,AND($BI285=$AY285,OR($BJ285&gt;$AZ285,AND($BJ285=$AZ285,OR($BH285&gt;$AX285,AND($BH285=$AX285,OR($BE285&gt;$AU285,AND($BE285=$AU285,OR($BF285&gt;$AV285,AND($BF285=$AV285,$BK285&gt;$BA285)))))))))),"-&gt;","&lt;-"))))</f>
        <v/>
      </c>
      <c r="BC285" s="85" t="str">
        <f aca="false">IF(ISBLANK($C285),"",COUNTA($P285:$U285)&gt;0)</f>
        <v/>
      </c>
      <c r="BD285" s="85" t="str">
        <f aca="false">IF(ISBLANK($C285),"",AND($BC285,OR(AND($AL285="",OR($AK285,NOT(ISBLANK($S285)))),$AM285="",$AN285="")))</f>
        <v/>
      </c>
      <c r="BE285" s="87" t="str">
        <f aca="false">IF($BL285&lt;&gt;Constants!$B$4,"",IF(NOT($BC285),"",ROUND((Constants!$B$12-$AB285)+(Constants!$B$13-$Z285)+(Constants!$B$14-$AA285),1)))</f>
        <v/>
      </c>
      <c r="BF285" s="90" t="str">
        <f aca="false">IF($BL285&lt;&gt;Constants!$B$4,"",IF(NOT($BC285),"",IF(NOT($AK285),0,Constants!$B$15*(INT(ROUND(MIN($AL285,$AP$9),6))-INT(ROUND(MAX(0,MIN($AL285,2*$AP$9)-$AP$9),6))))))</f>
        <v/>
      </c>
      <c r="BG285" s="90" t="str">
        <f aca="false">IF($BL285&lt;&gt;Constants!$B$4,"",IF(NOT($BC285),"",Constants!$B$16*$AM285))</f>
        <v/>
      </c>
      <c r="BH285" s="90" t="str">
        <f aca="false">IF($BL285&lt;&gt;Constants!$B$4,"",IF(NOT($BC285),"",Constants!$B$18*INT(ROUND($AN285,6))))</f>
        <v/>
      </c>
      <c r="BI285" s="85" t="str">
        <f aca="false">IF($BL285&lt;&gt;Constants!$B$4,"",IF(NOT($BC285),"",IF(NOT($X285),Constants!$B$11,IF(OR(NOT($AI285),NOT($AJ285),ROUND($AB285,1)&gt;Constants!$B$12,ROUND($Z285,1)&gt;Constants!$B$13,ROUND($AA285,1)&gt;Constants!$B$14),Constants!$B$10,Constants!$B$9))))</f>
        <v/>
      </c>
      <c r="BJ285" s="91" t="str">
        <f aca="false">IF($BL285&lt;&gt;Constants!$B$4,"",IF(NOT($BC285),"",ROUND($BE285+$BF285+$BG285+$BH285,1)))</f>
        <v/>
      </c>
      <c r="BK285" s="92" t="str">
        <f aca="false">IF($BL285&lt;&gt;Constants!$B$4,"",IF(NOT($BC285),"",IF(ISNUMBER($AL285),$AL285,0)))</f>
        <v/>
      </c>
      <c r="BL285" s="86" t="str">
        <f aca="false">IF(ISBLANK($C285),"",IF($AO285,Constants!$B$7,IF(COUNTA($E285:$V285)=0,Constants!$B$6,IF(NOT($Y285),Constants!$B$5,IF(NOT(OR($AS285,$BC285)),Constants!$B$5,IF(OR($AT285,$BD285,$AQ285,$AR285&lt;&gt;""),Constants!$B$8,Constants!$B$4))))))</f>
        <v/>
      </c>
      <c r="BM285" s="86" t="str">
        <f aca="false">IF(ISBLANK($C285),"",IF($BL285&lt;&gt;Constants!$B$4,$BL285,IF($BB285="-&gt;",$BI285,$AY285)))</f>
        <v/>
      </c>
      <c r="BN285" s="90" t="str">
        <f aca="false">IF($BL285&lt;&gt;Constants!$B$4,"",IF($BB285="-&gt;",$BJ285,$AZ285))</f>
        <v/>
      </c>
      <c r="BO285" s="90" t="str">
        <f aca="false">IF(ISBLANK($C285),"",IF($BL285&lt;&gt;Constants!$B$4,$BL285,$BN285))</f>
        <v/>
      </c>
      <c r="BP285" s="86" t="str">
        <f aca="false">IF(ISBLANK($C285),"",IF($BL285&lt;&gt;Constants!$B$4,$BL285,RANK($BO285,$BO$9:$BO$508,0)))</f>
        <v/>
      </c>
      <c r="BQ285" s="86" t="str">
        <f aca="false">IF(ISBLANK($C285),"",IF($BL285&lt;&gt;Constants!$B$4,$BL285,COUNTIFS($BM$9:$BM$508,"&lt;"&amp;$BM285)+COUNTIFS($BM$9:$BM$508,$BM285,$BP$9:$BP$508,"&lt;"&amp;$BP285)+1))</f>
        <v/>
      </c>
      <c r="BR285" s="90" t="str">
        <f aca="false">IF($BL285&lt;&gt;Constants!$B$4,"",IF($BB285="-&gt;",$BH285,$AX285))</f>
        <v/>
      </c>
      <c r="BS285" s="86" t="str">
        <f aca="false">IF(ISBLANK($C285),"",IF($BL285&lt;&gt;Constants!$B$4,$BL285,IF(ISNUMBER($BR285),RANK($BR285,$BR$9:$BR$508,0),COUNT($BR$9:$BR$508)+1)))</f>
        <v/>
      </c>
      <c r="BT285" s="90" t="str">
        <f aca="false">IF($BL285&lt;&gt;Constants!$B$4,"",IF($BB285="-&gt;",$BE285,$AU285))</f>
        <v/>
      </c>
      <c r="BU285" s="86" t="str">
        <f aca="false">IF(ISBLANK($C285),"",IF($BL285&lt;&gt;Constants!$B$4,$BL285,IF(ISNUMBER($BT285),RANK($BT285,$BT$9:$BT$508,0),COUNT($BT$9:$BT$508)+1)))</f>
        <v/>
      </c>
      <c r="BV285" s="90" t="str">
        <f aca="false">IF($BL285&lt;&gt;Constants!$B$4,"",IF($BB285="-&gt;",$BF285,$AV285))</f>
        <v/>
      </c>
      <c r="BW285" s="86" t="str">
        <f aca="false">IF(ISBLANK($C285),"",IF($BL285&lt;&gt;Constants!$B$4,$BL285,IF(ISNUMBER($BV285),RANK($BV285,$BV$9:$BV$508,0),COUNT($BV$9:$BV$508)+1)))</f>
        <v/>
      </c>
      <c r="BX285" s="90" t="str">
        <f aca="false">IF($BL285&lt;&gt;Constants!$B$4,"",IF($BB285="-&gt;",$BK285,$BA285))</f>
        <v/>
      </c>
      <c r="BY285" s="86" t="str">
        <f aca="false">IF(ISBLANK($C285),"",IF($BL285&lt;&gt;Constants!$B$4,$BL285,IF(ISNUMBER($BX285),RANK($BX285,$BX$9:$BX$508,0),COUNT($BX$9:$BX$508)+1)))</f>
        <v/>
      </c>
      <c r="BZ285" s="86" t="str">
        <f aca="false">IF(ISBLANK($C285),"",IF($BL285&lt;&gt;Constants!$B$4,$BL285,COUNTIFS($BM$9:$BM$508,"&lt;"&amp;$BM285)+COUNTIFS($BM$9:$BM$508,$BM285,$BP$9:$BP$508,"&lt;"&amp;$BP285)+COUNTIFS($BM$9:$BM$508,$BM285,$BP$9:$BP$508,$BP285,$BS$9:$BS$508,"&lt;"&amp;$BS285)+COUNTIFS($BM$9:$BM$508,$BM285,$BP$9:$BP$508,$BP285,$BS$9:$BS$508,$BS285,$BU$9:$BU$508,"&lt;"&amp;$BU285)+COUNTIFS($BM$9:$BM$508,$BM285,$BP$9:$BP$508,$BP285,$BS$9:$BS$508,$BS285,$BU$9:$BU$508,$BU285,$BW$9:$BW$508,"&lt;"&amp;$BW285)+COUNTIFS($BM$9:$BM$508,$BM285,$BP$9:$BP$508,$BP285,$BS$9:$BS$508,$BS285,$BU$9:$BU$508,$BU285,$BW$9:$BW$508,$BW285,$BY$9:$BY$508,"&lt;"&amp;$BY285)+1))</f>
        <v/>
      </c>
      <c r="CA285" s="86" t="str">
        <f aca="false">IF(ISBLANK($C285),"",IF($BL285&lt;&gt;Constants!$B$4,$BL285,$BQ285-$BZ285))</f>
        <v/>
      </c>
      <c r="CB285" s="93"/>
      <c r="CC285" s="94" t="str">
        <f aca="false">IF(ISBLANK($C285),"",IF($BL285=Constants!$B$8,$AR285,""))</f>
        <v/>
      </c>
      <c r="CD285" s="94" t="str">
        <f aca="false">IF(ISBLANK($C285),"",IF($BL285&lt;&gt;Constants!$B$4,"",IF($BB285="-&gt;",2,1)))</f>
        <v/>
      </c>
      <c r="CE285" s="95" t="str">
        <f aca="false">IF(ISBLANK($C285),"",IF($BL285&lt;&gt;Constants!$B$4,"",IF($BB285="-&gt;",$BE285,$AU285)))</f>
        <v/>
      </c>
      <c r="CF285" s="95" t="str">
        <f aca="false">IF(ISBLANK($C285),"",IF($BL285&lt;&gt;Constants!$B$4,"",IF($BB285="-&gt;",$BF285,$AV285)))</f>
        <v/>
      </c>
      <c r="CG285" s="95" t="str">
        <f aca="false">IF(ISBLANK($C285),"",IF($BL285&lt;&gt;Constants!$B$4,"",IF($BB285="-&gt;",$BG285,$AW285)))</f>
        <v/>
      </c>
      <c r="CH285" s="95" t="str">
        <f aca="false">IF(ISBLANK($C285),"",IF($BL285&lt;&gt;Constants!$B$4,"",IF($BB285="-&gt;",$BH285,$AX285)))</f>
        <v/>
      </c>
      <c r="CI285" s="96" t="str">
        <f aca="false">IF(ISBLANK($C285),"",$BO285)</f>
        <v/>
      </c>
      <c r="CJ285" s="97" t="str">
        <f aca="false">IF(ISBLANK($C285),"",$BM285)</f>
        <v/>
      </c>
      <c r="CK285" s="98" t="str">
        <f aca="false">IF(ISBLANK($C285),"",$CA285)</f>
        <v/>
      </c>
      <c r="CL285" s="98" t="str">
        <f aca="false">IF(ISBLANK($C285),"",$BZ285)</f>
        <v/>
      </c>
      <c r="CM285" s="99" t="str">
        <f aca="false">IF(ISBLANK($C285),"",IF($CL285=Constants!$B$7,COUNTA($C$9:$C$508)+2,IF($CL285=Constants!$B$6,COUNTA($C$9:$C$508)+1,IF($CL285=Constants!$B$5,COUNTA($C$9:$C$508),$CL285))))</f>
        <v/>
      </c>
      <c r="CN285" s="8"/>
      <c r="CO285" s="100" t="n">
        <f aca="false">IF(OR(ISNUMBER($CL285),$CL285=Constants!$B$7,$CL285=Constants!$B$5,$CL285=Constants!$B$6),1,0)</f>
        <v>0</v>
      </c>
      <c r="CP285" s="100" t="n">
        <v>277</v>
      </c>
      <c r="CQ285" s="100" t="str">
        <f aca="false">IF(ISBLANK($C285),"",IF(ISNUMBER($CM285),$CM285+ROW($B285)/1000,""))</f>
        <v/>
      </c>
      <c r="CR285" s="100" t="str">
        <f aca="false">IF(ISNUMBER($CQ285),RANK($CQ285,$CQ$9:$CQ$508,1),"")</f>
        <v/>
      </c>
      <c r="CS285" s="100" t="str">
        <f aca="false">IF(ISBLANK($C285),"",$B285)</f>
        <v/>
      </c>
      <c r="CT285" s="100" t="str">
        <f aca="false">IF(ISBLANK($C285),"",$C285)</f>
        <v/>
      </c>
      <c r="CU285" s="100" t="str">
        <f aca="false">IF(ISBLANK($C285),"",$D285)</f>
        <v/>
      </c>
      <c r="CV285" s="101" t="str">
        <f aca="false">$CJ285</f>
        <v/>
      </c>
      <c r="CW285" s="102" t="str">
        <f aca="false">$CI285</f>
        <v/>
      </c>
      <c r="CX285" s="100" t="str">
        <f aca="false">IF(ISBLANK($C285),"",$CL285)</f>
        <v/>
      </c>
      <c r="CY285" s="103" t="str">
        <f aca="false">IF($CP285&gt;$CO$8,"",VLOOKUP($CP285,$CR$9:$CX$508,7,FALSE()))</f>
        <v/>
      </c>
      <c r="CZ285" s="104" t="str">
        <f aca="false">IF($CP285&gt;$CO$8,"",VLOOKUP($CP285,$CR$9:$CX$508,2,FALSE()))</f>
        <v/>
      </c>
      <c r="DA285" s="104" t="str">
        <f aca="false">IF($CP285&gt;$CO$8,"",VLOOKUP($CP285,$CR$9:$CX$508,3,FALSE()))</f>
        <v/>
      </c>
      <c r="DB285" s="104" t="str">
        <f aca="false">IF($CP285&gt;$CO$8,"",VLOOKUP($CP285,$CR$9:$CX$508,4,FALSE()))</f>
        <v/>
      </c>
      <c r="DC285" s="104" t="str">
        <f aca="false">IF($CP285&gt;$CO$8,"",VLOOKUP($CP285,$CR$9:$CX$508,5,FALSE()))</f>
        <v/>
      </c>
      <c r="DD285" s="105" t="str">
        <f aca="false">IF($CP285&gt;$CO$8,"",VLOOKUP($CP285,$CR$9:$CX$508,6,FALSE()))</f>
        <v/>
      </c>
      <c r="DE285" s="70"/>
    </row>
    <row r="286" customFormat="false" ht="15.75" hidden="false" customHeight="false" outlineLevel="0" collapsed="false">
      <c r="A286" s="8"/>
      <c r="B286" s="72"/>
      <c r="C286" s="73"/>
      <c r="D286" s="155"/>
      <c r="E286" s="162"/>
      <c r="F286" s="157"/>
      <c r="G286" s="77"/>
      <c r="H286" s="77"/>
      <c r="I286" s="77"/>
      <c r="J286" s="163"/>
      <c r="K286" s="161"/>
      <c r="L286" s="161"/>
      <c r="M286" s="80"/>
      <c r="N286" s="161"/>
      <c r="O286" s="160"/>
      <c r="P286" s="161"/>
      <c r="Q286" s="161"/>
      <c r="R286" s="161"/>
      <c r="S286" s="77"/>
      <c r="T286" s="161"/>
      <c r="U286" s="160"/>
      <c r="V286" s="161"/>
      <c r="W286" s="85"/>
      <c r="X286" s="86" t="str">
        <f aca="false">IF(ISBLANK($C286),"",IF($E286=Constants!$B$2,TRUE(),IF($E286=Constants!$B$3,FALSE(),TRUE())))</f>
        <v/>
      </c>
      <c r="Y286" s="86" t="str">
        <f aca="false">IF(ISBLANK($C286),"",IF($F286=Constants!$B$2,TRUE(),IF($F286=Constants!$B$3,FALSE(),TRUE())))</f>
        <v/>
      </c>
      <c r="Z286" s="87" t="str">
        <f aca="false">IF(ISBLANK($C286),"",IF(ISNUMBER($G286),IF($G286&gt;=0,$G286,""),""))</f>
        <v/>
      </c>
      <c r="AA286" s="87" t="str">
        <f aca="false">IF(ISBLANK($C286),"",IF(ISNUMBER($H286),IF($H286&gt;=0,$H286,""),""))</f>
        <v/>
      </c>
      <c r="AB286" s="87" t="str">
        <f aca="false">IF(ISBLANK($C286),"",IF(ISNUMBER($I286),IF($I286&gt;=0,$I286,""),""))</f>
        <v/>
      </c>
      <c r="AC286" s="86" t="str">
        <f aca="false">IF(ISBLANK($C286),"",IF($J286=Constants!$B$2,TRUE(),IF($J286=Constants!$B$3,FALSE(),TRUE())))</f>
        <v/>
      </c>
      <c r="AD286" s="86" t="str">
        <f aca="false">IF(ISBLANK($C286),"",IF($K286=Constants!$B$2,TRUE(),IF($K286=Constants!$B$3,FALSE(),TRUE())))</f>
        <v/>
      </c>
      <c r="AE286" s="86" t="str">
        <f aca="false">IF(ISBLANK($C286),"",IF($L286=Constants!$B$2,TRUE(),IF($L286=Constants!$B$3,FALSE(),TRUE())))</f>
        <v/>
      </c>
      <c r="AF286" s="88" t="str">
        <f aca="false">IF(ISBLANK($C286),"",IF(ISNUMBER($M286),IF($M286&gt;=0,$M286,""),""))</f>
        <v/>
      </c>
      <c r="AG286" s="86" t="str">
        <f aca="false">IF(ISBLANK($C286),"",IF(ISBLANK($N286),0,IF(ISNUMBER($N286),IF(AND($N286&gt;=0,$N286&lt;=Constants!$B$17,$N286=INT($N286)),$N286,""),"")))</f>
        <v/>
      </c>
      <c r="AH286" s="87" t="str">
        <f aca="false">IF(ISBLANK($C286),"",IF(ISBLANK($O286),0,IF(ISNUMBER($O286),IF($O286&gt;=0,$O286,""),"")))</f>
        <v/>
      </c>
      <c r="AI286" s="86" t="str">
        <f aca="false">IF(ISBLANK($C286),"",IF($P286=Constants!$B$2,TRUE(),IF($P286=Constants!$B$3,FALSE(),TRUE())))</f>
        <v/>
      </c>
      <c r="AJ286" s="86" t="str">
        <f aca="false">IF(ISBLANK($C286),"",IF($Q286=Constants!$B$2,TRUE(),IF($Q286=Constants!$B$3,FALSE(),TRUE())))</f>
        <v/>
      </c>
      <c r="AK286" s="86" t="str">
        <f aca="false">IF(ISBLANK($C286),"",IF($R286=Constants!$B$2,TRUE(),IF($R286=Constants!$B$3,FALSE(),TRUE())))</f>
        <v/>
      </c>
      <c r="AL286" s="88" t="str">
        <f aca="false">IF(ISBLANK($C286),"",IF(ISNUMBER($S286),IF($S286&gt;=0,$S286,""),""))</f>
        <v/>
      </c>
      <c r="AM286" s="86" t="str">
        <f aca="false">IF(ISBLANK($C286),"",IF(ISBLANK($T286),0,IF(ISNUMBER($T286),IF(AND($T286&gt;=0,$T286&lt;=Constants!$B$17,$T286=INT($T286)),$T286,""),"")))</f>
        <v/>
      </c>
      <c r="AN286" s="87" t="str">
        <f aca="false">IF(ISBLANK($C286),"",IF(ISBLANK($U286),0,IF(ISNUMBER($U286),IF($U286&gt;=0,$U286,""),"")))</f>
        <v/>
      </c>
      <c r="AO286" s="86" t="str">
        <f aca="false">IF(ISBLANK($C286),"",IF($V286=Constants!$B$2,TRUE(),IF($V286=Constants!$B$3,FALSE(),FALSE())))</f>
        <v/>
      </c>
      <c r="AP286" s="86"/>
      <c r="AQ286" s="85" t="str">
        <f aca="false">IF(ISBLANK($C286),"",AND($Y286,OR($AS286,$BC286),OR($Z286="",$AA286="",$AB286="")))</f>
        <v/>
      </c>
      <c r="AR286" s="85" t="str">
        <f aca="false">IF(ISBLANK($C286),"",IF(OR(NOT($Y286),NOT(OR($AS286,$BC286))),"",IF(ISBLANK($D$7),$AR$5,IF($AP$9="",$AR$6,""))))</f>
        <v/>
      </c>
      <c r="AS286" s="85" t="str">
        <f aca="false">IF(ISBLANK($C286),"",COUNTA($J286:$O286)&gt;0)</f>
        <v/>
      </c>
      <c r="AT286" s="85" t="str">
        <f aca="false">IF(ISBLANK($C286),"",AND($AS286,OR(AND($AF286="",OR($AE286,NOT(ISBLANK($M286)))),$AG286="",$AH286="")))</f>
        <v/>
      </c>
      <c r="AU286" s="87" t="str">
        <f aca="false">IF($BL286&lt;&gt;Constants!$B$4,"",IF(NOT($AS286),"",ROUND((Constants!$B$12-$AB286)+(Constants!$B$13-$Z286)+(Constants!$B$14-$AA286),1)))</f>
        <v/>
      </c>
      <c r="AV286" s="90" t="str">
        <f aca="false">IF($BL286&lt;&gt;Constants!$B$4,"",IF(NOT($AS286),"",IF(NOT($AE286),0,Constants!$B$15*(INT(ROUND(MIN($AF286,$AP$9),6))-INT(ROUND(MAX(0,MIN($AF286,2*$AP$9)-$AP$9),6))))))</f>
        <v/>
      </c>
      <c r="AW286" s="90" t="str">
        <f aca="false">IF($BL286&lt;&gt;Constants!$B$4,"",IF(NOT($AS286),"",Constants!$B$16*$AG286))</f>
        <v/>
      </c>
      <c r="AX286" s="90" t="str">
        <f aca="false">IF($BL286&lt;&gt;Constants!$B$4,"",IF(NOT($AS286),"",Constants!$B$18*INT(ROUND($AH286,6))))</f>
        <v/>
      </c>
      <c r="AY286" s="85" t="str">
        <f aca="false">IF($BL286&lt;&gt;Constants!$B$4,"",IF(NOT($AS286),"",IF(NOT($X286),Constants!$B$11,IF(OR(NOT($AC286),NOT($AD286),ROUND($AB286,1)&gt;Constants!$B$12,ROUND($Z286,1)&gt;Constants!$B$13,ROUND($AA286,1)&gt;Constants!$B$14),Constants!$B$10,Constants!$B$9))))</f>
        <v/>
      </c>
      <c r="AZ286" s="91" t="str">
        <f aca="false">IF($BL286&lt;&gt;Constants!$B$4,"",IF(NOT($AS286),"",ROUND($AU286+$AV286+$AW286+$AX286,1)))</f>
        <v/>
      </c>
      <c r="BA286" s="92" t="str">
        <f aca="false">IF($BL286&lt;&gt;Constants!$B$4,"",IF(NOT($AS286),"",IF(ISNUMBER($AF286),$AF286,0)))</f>
        <v/>
      </c>
      <c r="BB286" s="86" t="str">
        <f aca="false">IF($BL286&lt;&gt;Constants!$B$4,"",IF(NOT($BC286),"&lt;-",IF(NOT($AS286),"-&gt;",IF(OR($BI286&lt;$AY286,AND($BI286=$AY286,OR($BJ286&gt;$AZ286,AND($BJ286=$AZ286,OR($BH286&gt;$AX286,AND($BH286=$AX286,OR($BE286&gt;$AU286,AND($BE286=$AU286,OR($BF286&gt;$AV286,AND($BF286=$AV286,$BK286&gt;$BA286)))))))))),"-&gt;","&lt;-"))))</f>
        <v/>
      </c>
      <c r="BC286" s="85" t="str">
        <f aca="false">IF(ISBLANK($C286),"",COUNTA($P286:$U286)&gt;0)</f>
        <v/>
      </c>
      <c r="BD286" s="85" t="str">
        <f aca="false">IF(ISBLANK($C286),"",AND($BC286,OR(AND($AL286="",OR($AK286,NOT(ISBLANK($S286)))),$AM286="",$AN286="")))</f>
        <v/>
      </c>
      <c r="BE286" s="87" t="str">
        <f aca="false">IF($BL286&lt;&gt;Constants!$B$4,"",IF(NOT($BC286),"",ROUND((Constants!$B$12-$AB286)+(Constants!$B$13-$Z286)+(Constants!$B$14-$AA286),1)))</f>
        <v/>
      </c>
      <c r="BF286" s="90" t="str">
        <f aca="false">IF($BL286&lt;&gt;Constants!$B$4,"",IF(NOT($BC286),"",IF(NOT($AK286),0,Constants!$B$15*(INT(ROUND(MIN($AL286,$AP$9),6))-INT(ROUND(MAX(0,MIN($AL286,2*$AP$9)-$AP$9),6))))))</f>
        <v/>
      </c>
      <c r="BG286" s="90" t="str">
        <f aca="false">IF($BL286&lt;&gt;Constants!$B$4,"",IF(NOT($BC286),"",Constants!$B$16*$AM286))</f>
        <v/>
      </c>
      <c r="BH286" s="90" t="str">
        <f aca="false">IF($BL286&lt;&gt;Constants!$B$4,"",IF(NOT($BC286),"",Constants!$B$18*INT(ROUND($AN286,6))))</f>
        <v/>
      </c>
      <c r="BI286" s="85" t="str">
        <f aca="false">IF($BL286&lt;&gt;Constants!$B$4,"",IF(NOT($BC286),"",IF(NOT($X286),Constants!$B$11,IF(OR(NOT($AI286),NOT($AJ286),ROUND($AB286,1)&gt;Constants!$B$12,ROUND($Z286,1)&gt;Constants!$B$13,ROUND($AA286,1)&gt;Constants!$B$14),Constants!$B$10,Constants!$B$9))))</f>
        <v/>
      </c>
      <c r="BJ286" s="91" t="str">
        <f aca="false">IF($BL286&lt;&gt;Constants!$B$4,"",IF(NOT($BC286),"",ROUND($BE286+$BF286+$BG286+$BH286,1)))</f>
        <v/>
      </c>
      <c r="BK286" s="92" t="str">
        <f aca="false">IF($BL286&lt;&gt;Constants!$B$4,"",IF(NOT($BC286),"",IF(ISNUMBER($AL286),$AL286,0)))</f>
        <v/>
      </c>
      <c r="BL286" s="86" t="str">
        <f aca="false">IF(ISBLANK($C286),"",IF($AO286,Constants!$B$7,IF(COUNTA($E286:$V286)=0,Constants!$B$6,IF(NOT($Y286),Constants!$B$5,IF(NOT(OR($AS286,$BC286)),Constants!$B$5,IF(OR($AT286,$BD286,$AQ286,$AR286&lt;&gt;""),Constants!$B$8,Constants!$B$4))))))</f>
        <v/>
      </c>
      <c r="BM286" s="86" t="str">
        <f aca="false">IF(ISBLANK($C286),"",IF($BL286&lt;&gt;Constants!$B$4,$BL286,IF($BB286="-&gt;",$BI286,$AY286)))</f>
        <v/>
      </c>
      <c r="BN286" s="90" t="str">
        <f aca="false">IF($BL286&lt;&gt;Constants!$B$4,"",IF($BB286="-&gt;",$BJ286,$AZ286))</f>
        <v/>
      </c>
      <c r="BO286" s="90" t="str">
        <f aca="false">IF(ISBLANK($C286),"",IF($BL286&lt;&gt;Constants!$B$4,$BL286,$BN286))</f>
        <v/>
      </c>
      <c r="BP286" s="86" t="str">
        <f aca="false">IF(ISBLANK($C286),"",IF($BL286&lt;&gt;Constants!$B$4,$BL286,RANK($BO286,$BO$9:$BO$508,0)))</f>
        <v/>
      </c>
      <c r="BQ286" s="86" t="str">
        <f aca="false">IF(ISBLANK($C286),"",IF($BL286&lt;&gt;Constants!$B$4,$BL286,COUNTIFS($BM$9:$BM$508,"&lt;"&amp;$BM286)+COUNTIFS($BM$9:$BM$508,$BM286,$BP$9:$BP$508,"&lt;"&amp;$BP286)+1))</f>
        <v/>
      </c>
      <c r="BR286" s="90" t="str">
        <f aca="false">IF($BL286&lt;&gt;Constants!$B$4,"",IF($BB286="-&gt;",$BH286,$AX286))</f>
        <v/>
      </c>
      <c r="BS286" s="86" t="str">
        <f aca="false">IF(ISBLANK($C286),"",IF($BL286&lt;&gt;Constants!$B$4,$BL286,IF(ISNUMBER($BR286),RANK($BR286,$BR$9:$BR$508,0),COUNT($BR$9:$BR$508)+1)))</f>
        <v/>
      </c>
      <c r="BT286" s="90" t="str">
        <f aca="false">IF($BL286&lt;&gt;Constants!$B$4,"",IF($BB286="-&gt;",$BE286,$AU286))</f>
        <v/>
      </c>
      <c r="BU286" s="86" t="str">
        <f aca="false">IF(ISBLANK($C286),"",IF($BL286&lt;&gt;Constants!$B$4,$BL286,IF(ISNUMBER($BT286),RANK($BT286,$BT$9:$BT$508,0),COUNT($BT$9:$BT$508)+1)))</f>
        <v/>
      </c>
      <c r="BV286" s="90" t="str">
        <f aca="false">IF($BL286&lt;&gt;Constants!$B$4,"",IF($BB286="-&gt;",$BF286,$AV286))</f>
        <v/>
      </c>
      <c r="BW286" s="86" t="str">
        <f aca="false">IF(ISBLANK($C286),"",IF($BL286&lt;&gt;Constants!$B$4,$BL286,IF(ISNUMBER($BV286),RANK($BV286,$BV$9:$BV$508,0),COUNT($BV$9:$BV$508)+1)))</f>
        <v/>
      </c>
      <c r="BX286" s="90" t="str">
        <f aca="false">IF($BL286&lt;&gt;Constants!$B$4,"",IF($BB286="-&gt;",$BK286,$BA286))</f>
        <v/>
      </c>
      <c r="BY286" s="86" t="str">
        <f aca="false">IF(ISBLANK($C286),"",IF($BL286&lt;&gt;Constants!$B$4,$BL286,IF(ISNUMBER($BX286),RANK($BX286,$BX$9:$BX$508,0),COUNT($BX$9:$BX$508)+1)))</f>
        <v/>
      </c>
      <c r="BZ286" s="86" t="str">
        <f aca="false">IF(ISBLANK($C286),"",IF($BL286&lt;&gt;Constants!$B$4,$BL286,COUNTIFS($BM$9:$BM$508,"&lt;"&amp;$BM286)+COUNTIFS($BM$9:$BM$508,$BM286,$BP$9:$BP$508,"&lt;"&amp;$BP286)+COUNTIFS($BM$9:$BM$508,$BM286,$BP$9:$BP$508,$BP286,$BS$9:$BS$508,"&lt;"&amp;$BS286)+COUNTIFS($BM$9:$BM$508,$BM286,$BP$9:$BP$508,$BP286,$BS$9:$BS$508,$BS286,$BU$9:$BU$508,"&lt;"&amp;$BU286)+COUNTIFS($BM$9:$BM$508,$BM286,$BP$9:$BP$508,$BP286,$BS$9:$BS$508,$BS286,$BU$9:$BU$508,$BU286,$BW$9:$BW$508,"&lt;"&amp;$BW286)+COUNTIFS($BM$9:$BM$508,$BM286,$BP$9:$BP$508,$BP286,$BS$9:$BS$508,$BS286,$BU$9:$BU$508,$BU286,$BW$9:$BW$508,$BW286,$BY$9:$BY$508,"&lt;"&amp;$BY286)+1))</f>
        <v/>
      </c>
      <c r="CA286" s="86" t="str">
        <f aca="false">IF(ISBLANK($C286),"",IF($BL286&lt;&gt;Constants!$B$4,$BL286,$BQ286-$BZ286))</f>
        <v/>
      </c>
      <c r="CB286" s="93"/>
      <c r="CC286" s="94" t="str">
        <f aca="false">IF(ISBLANK($C286),"",IF($BL286=Constants!$B$8,$AR286,""))</f>
        <v/>
      </c>
      <c r="CD286" s="94" t="str">
        <f aca="false">IF(ISBLANK($C286),"",IF($BL286&lt;&gt;Constants!$B$4,"",IF($BB286="-&gt;",2,1)))</f>
        <v/>
      </c>
      <c r="CE286" s="95" t="str">
        <f aca="false">IF(ISBLANK($C286),"",IF($BL286&lt;&gt;Constants!$B$4,"",IF($BB286="-&gt;",$BE286,$AU286)))</f>
        <v/>
      </c>
      <c r="CF286" s="95" t="str">
        <f aca="false">IF(ISBLANK($C286),"",IF($BL286&lt;&gt;Constants!$B$4,"",IF($BB286="-&gt;",$BF286,$AV286)))</f>
        <v/>
      </c>
      <c r="CG286" s="95" t="str">
        <f aca="false">IF(ISBLANK($C286),"",IF($BL286&lt;&gt;Constants!$B$4,"",IF($BB286="-&gt;",$BG286,$AW286)))</f>
        <v/>
      </c>
      <c r="CH286" s="95" t="str">
        <f aca="false">IF(ISBLANK($C286),"",IF($BL286&lt;&gt;Constants!$B$4,"",IF($BB286="-&gt;",$BH286,$AX286)))</f>
        <v/>
      </c>
      <c r="CI286" s="96" t="str">
        <f aca="false">IF(ISBLANK($C286),"",$BO286)</f>
        <v/>
      </c>
      <c r="CJ286" s="97" t="str">
        <f aca="false">IF(ISBLANK($C286),"",$BM286)</f>
        <v/>
      </c>
      <c r="CK286" s="98" t="str">
        <f aca="false">IF(ISBLANK($C286),"",$CA286)</f>
        <v/>
      </c>
      <c r="CL286" s="98" t="str">
        <f aca="false">IF(ISBLANK($C286),"",$BZ286)</f>
        <v/>
      </c>
      <c r="CM286" s="99" t="str">
        <f aca="false">IF(ISBLANK($C286),"",IF($CL286=Constants!$B$7,COUNTA($C$9:$C$508)+2,IF($CL286=Constants!$B$6,COUNTA($C$9:$C$508)+1,IF($CL286=Constants!$B$5,COUNTA($C$9:$C$508),$CL286))))</f>
        <v/>
      </c>
      <c r="CN286" s="8"/>
      <c r="CO286" s="100" t="n">
        <f aca="false">IF(OR(ISNUMBER($CL286),$CL286=Constants!$B$7,$CL286=Constants!$B$5,$CL286=Constants!$B$6),1,0)</f>
        <v>0</v>
      </c>
      <c r="CP286" s="100" t="n">
        <v>278</v>
      </c>
      <c r="CQ286" s="100" t="str">
        <f aca="false">IF(ISBLANK($C286),"",IF(ISNUMBER($CM286),$CM286+ROW($B286)/1000,""))</f>
        <v/>
      </c>
      <c r="CR286" s="100" t="str">
        <f aca="false">IF(ISNUMBER($CQ286),RANK($CQ286,$CQ$9:$CQ$508,1),"")</f>
        <v/>
      </c>
      <c r="CS286" s="100" t="str">
        <f aca="false">IF(ISBLANK($C286),"",$B286)</f>
        <v/>
      </c>
      <c r="CT286" s="100" t="str">
        <f aca="false">IF(ISBLANK($C286),"",$C286)</f>
        <v/>
      </c>
      <c r="CU286" s="100" t="str">
        <f aca="false">IF(ISBLANK($C286),"",$D286)</f>
        <v/>
      </c>
      <c r="CV286" s="101" t="str">
        <f aca="false">$CJ286</f>
        <v/>
      </c>
      <c r="CW286" s="102" t="str">
        <f aca="false">$CI286</f>
        <v/>
      </c>
      <c r="CX286" s="100" t="str">
        <f aca="false">IF(ISBLANK($C286),"",$CL286)</f>
        <v/>
      </c>
      <c r="CY286" s="103" t="str">
        <f aca="false">IF($CP286&gt;$CO$8,"",VLOOKUP($CP286,$CR$9:$CX$508,7,FALSE()))</f>
        <v/>
      </c>
      <c r="CZ286" s="104" t="str">
        <f aca="false">IF($CP286&gt;$CO$8,"",VLOOKUP($CP286,$CR$9:$CX$508,2,FALSE()))</f>
        <v/>
      </c>
      <c r="DA286" s="104" t="str">
        <f aca="false">IF($CP286&gt;$CO$8,"",VLOOKUP($CP286,$CR$9:$CX$508,3,FALSE()))</f>
        <v/>
      </c>
      <c r="DB286" s="104" t="str">
        <f aca="false">IF($CP286&gt;$CO$8,"",VLOOKUP($CP286,$CR$9:$CX$508,4,FALSE()))</f>
        <v/>
      </c>
      <c r="DC286" s="104" t="str">
        <f aca="false">IF($CP286&gt;$CO$8,"",VLOOKUP($CP286,$CR$9:$CX$508,5,FALSE()))</f>
        <v/>
      </c>
      <c r="DD286" s="105" t="str">
        <f aca="false">IF($CP286&gt;$CO$8,"",VLOOKUP($CP286,$CR$9:$CX$508,6,FALSE()))</f>
        <v/>
      </c>
      <c r="DE286" s="70"/>
    </row>
    <row r="287" customFormat="false" ht="15.75" hidden="false" customHeight="false" outlineLevel="0" collapsed="false">
      <c r="A287" s="8"/>
      <c r="B287" s="72"/>
      <c r="C287" s="73"/>
      <c r="D287" s="155"/>
      <c r="E287" s="162"/>
      <c r="F287" s="157"/>
      <c r="G287" s="77"/>
      <c r="H287" s="77"/>
      <c r="I287" s="77"/>
      <c r="J287" s="163"/>
      <c r="K287" s="161"/>
      <c r="L287" s="161"/>
      <c r="M287" s="80"/>
      <c r="N287" s="161"/>
      <c r="O287" s="160"/>
      <c r="P287" s="161"/>
      <c r="Q287" s="161"/>
      <c r="R287" s="161"/>
      <c r="S287" s="77"/>
      <c r="T287" s="161"/>
      <c r="U287" s="160"/>
      <c r="V287" s="161"/>
      <c r="W287" s="85"/>
      <c r="X287" s="86" t="str">
        <f aca="false">IF(ISBLANK($C287),"",IF($E287=Constants!$B$2,TRUE(),IF($E287=Constants!$B$3,FALSE(),TRUE())))</f>
        <v/>
      </c>
      <c r="Y287" s="86" t="str">
        <f aca="false">IF(ISBLANK($C287),"",IF($F287=Constants!$B$2,TRUE(),IF($F287=Constants!$B$3,FALSE(),TRUE())))</f>
        <v/>
      </c>
      <c r="Z287" s="87" t="str">
        <f aca="false">IF(ISBLANK($C287),"",IF(ISNUMBER($G287),IF($G287&gt;=0,$G287,""),""))</f>
        <v/>
      </c>
      <c r="AA287" s="87" t="str">
        <f aca="false">IF(ISBLANK($C287),"",IF(ISNUMBER($H287),IF($H287&gt;=0,$H287,""),""))</f>
        <v/>
      </c>
      <c r="AB287" s="87" t="str">
        <f aca="false">IF(ISBLANK($C287),"",IF(ISNUMBER($I287),IF($I287&gt;=0,$I287,""),""))</f>
        <v/>
      </c>
      <c r="AC287" s="86" t="str">
        <f aca="false">IF(ISBLANK($C287),"",IF($J287=Constants!$B$2,TRUE(),IF($J287=Constants!$B$3,FALSE(),TRUE())))</f>
        <v/>
      </c>
      <c r="AD287" s="86" t="str">
        <f aca="false">IF(ISBLANK($C287),"",IF($K287=Constants!$B$2,TRUE(),IF($K287=Constants!$B$3,FALSE(),TRUE())))</f>
        <v/>
      </c>
      <c r="AE287" s="86" t="str">
        <f aca="false">IF(ISBLANK($C287),"",IF($L287=Constants!$B$2,TRUE(),IF($L287=Constants!$B$3,FALSE(),TRUE())))</f>
        <v/>
      </c>
      <c r="AF287" s="88" t="str">
        <f aca="false">IF(ISBLANK($C287),"",IF(ISNUMBER($M287),IF($M287&gt;=0,$M287,""),""))</f>
        <v/>
      </c>
      <c r="AG287" s="86" t="str">
        <f aca="false">IF(ISBLANK($C287),"",IF(ISBLANK($N287),0,IF(ISNUMBER($N287),IF(AND($N287&gt;=0,$N287&lt;=Constants!$B$17,$N287=INT($N287)),$N287,""),"")))</f>
        <v/>
      </c>
      <c r="AH287" s="87" t="str">
        <f aca="false">IF(ISBLANK($C287),"",IF(ISBLANK($O287),0,IF(ISNUMBER($O287),IF($O287&gt;=0,$O287,""),"")))</f>
        <v/>
      </c>
      <c r="AI287" s="86" t="str">
        <f aca="false">IF(ISBLANK($C287),"",IF($P287=Constants!$B$2,TRUE(),IF($P287=Constants!$B$3,FALSE(),TRUE())))</f>
        <v/>
      </c>
      <c r="AJ287" s="86" t="str">
        <f aca="false">IF(ISBLANK($C287),"",IF($Q287=Constants!$B$2,TRUE(),IF($Q287=Constants!$B$3,FALSE(),TRUE())))</f>
        <v/>
      </c>
      <c r="AK287" s="86" t="str">
        <f aca="false">IF(ISBLANK($C287),"",IF($R287=Constants!$B$2,TRUE(),IF($R287=Constants!$B$3,FALSE(),TRUE())))</f>
        <v/>
      </c>
      <c r="AL287" s="88" t="str">
        <f aca="false">IF(ISBLANK($C287),"",IF(ISNUMBER($S287),IF($S287&gt;=0,$S287,""),""))</f>
        <v/>
      </c>
      <c r="AM287" s="86" t="str">
        <f aca="false">IF(ISBLANK($C287),"",IF(ISBLANK($T287),0,IF(ISNUMBER($T287),IF(AND($T287&gt;=0,$T287&lt;=Constants!$B$17,$T287=INT($T287)),$T287,""),"")))</f>
        <v/>
      </c>
      <c r="AN287" s="87" t="str">
        <f aca="false">IF(ISBLANK($C287),"",IF(ISBLANK($U287),0,IF(ISNUMBER($U287),IF($U287&gt;=0,$U287,""),"")))</f>
        <v/>
      </c>
      <c r="AO287" s="86" t="str">
        <f aca="false">IF(ISBLANK($C287),"",IF($V287=Constants!$B$2,TRUE(),IF($V287=Constants!$B$3,FALSE(),FALSE())))</f>
        <v/>
      </c>
      <c r="AP287" s="86"/>
      <c r="AQ287" s="85" t="str">
        <f aca="false">IF(ISBLANK($C287),"",AND($Y287,OR($AS287,$BC287),OR($Z287="",$AA287="",$AB287="")))</f>
        <v/>
      </c>
      <c r="AR287" s="85" t="str">
        <f aca="false">IF(ISBLANK($C287),"",IF(OR(NOT($Y287),NOT(OR($AS287,$BC287))),"",IF(ISBLANK($D$7),$AR$5,IF($AP$9="",$AR$6,""))))</f>
        <v/>
      </c>
      <c r="AS287" s="85" t="str">
        <f aca="false">IF(ISBLANK($C287),"",COUNTA($J287:$O287)&gt;0)</f>
        <v/>
      </c>
      <c r="AT287" s="85" t="str">
        <f aca="false">IF(ISBLANK($C287),"",AND($AS287,OR(AND($AF287="",OR($AE287,NOT(ISBLANK($M287)))),$AG287="",$AH287="")))</f>
        <v/>
      </c>
      <c r="AU287" s="87" t="str">
        <f aca="false">IF($BL287&lt;&gt;Constants!$B$4,"",IF(NOT($AS287),"",ROUND((Constants!$B$12-$AB287)+(Constants!$B$13-$Z287)+(Constants!$B$14-$AA287),1)))</f>
        <v/>
      </c>
      <c r="AV287" s="90" t="str">
        <f aca="false">IF($BL287&lt;&gt;Constants!$B$4,"",IF(NOT($AS287),"",IF(NOT($AE287),0,Constants!$B$15*(INT(ROUND(MIN($AF287,$AP$9),6))-INT(ROUND(MAX(0,MIN($AF287,2*$AP$9)-$AP$9),6))))))</f>
        <v/>
      </c>
      <c r="AW287" s="90" t="str">
        <f aca="false">IF($BL287&lt;&gt;Constants!$B$4,"",IF(NOT($AS287),"",Constants!$B$16*$AG287))</f>
        <v/>
      </c>
      <c r="AX287" s="90" t="str">
        <f aca="false">IF($BL287&lt;&gt;Constants!$B$4,"",IF(NOT($AS287),"",Constants!$B$18*INT(ROUND($AH287,6))))</f>
        <v/>
      </c>
      <c r="AY287" s="85" t="str">
        <f aca="false">IF($BL287&lt;&gt;Constants!$B$4,"",IF(NOT($AS287),"",IF(NOT($X287),Constants!$B$11,IF(OR(NOT($AC287),NOT($AD287),ROUND($AB287,1)&gt;Constants!$B$12,ROUND($Z287,1)&gt;Constants!$B$13,ROUND($AA287,1)&gt;Constants!$B$14),Constants!$B$10,Constants!$B$9))))</f>
        <v/>
      </c>
      <c r="AZ287" s="91" t="str">
        <f aca="false">IF($BL287&lt;&gt;Constants!$B$4,"",IF(NOT($AS287),"",ROUND($AU287+$AV287+$AW287+$AX287,1)))</f>
        <v/>
      </c>
      <c r="BA287" s="92" t="str">
        <f aca="false">IF($BL287&lt;&gt;Constants!$B$4,"",IF(NOT($AS287),"",IF(ISNUMBER($AF287),$AF287,0)))</f>
        <v/>
      </c>
      <c r="BB287" s="86" t="str">
        <f aca="false">IF($BL287&lt;&gt;Constants!$B$4,"",IF(NOT($BC287),"&lt;-",IF(NOT($AS287),"-&gt;",IF(OR($BI287&lt;$AY287,AND($BI287=$AY287,OR($BJ287&gt;$AZ287,AND($BJ287=$AZ287,OR($BH287&gt;$AX287,AND($BH287=$AX287,OR($BE287&gt;$AU287,AND($BE287=$AU287,OR($BF287&gt;$AV287,AND($BF287=$AV287,$BK287&gt;$BA287)))))))))),"-&gt;","&lt;-"))))</f>
        <v/>
      </c>
      <c r="BC287" s="85" t="str">
        <f aca="false">IF(ISBLANK($C287),"",COUNTA($P287:$U287)&gt;0)</f>
        <v/>
      </c>
      <c r="BD287" s="85" t="str">
        <f aca="false">IF(ISBLANK($C287),"",AND($BC287,OR(AND($AL287="",OR($AK287,NOT(ISBLANK($S287)))),$AM287="",$AN287="")))</f>
        <v/>
      </c>
      <c r="BE287" s="87" t="str">
        <f aca="false">IF($BL287&lt;&gt;Constants!$B$4,"",IF(NOT($BC287),"",ROUND((Constants!$B$12-$AB287)+(Constants!$B$13-$Z287)+(Constants!$B$14-$AA287),1)))</f>
        <v/>
      </c>
      <c r="BF287" s="90" t="str">
        <f aca="false">IF($BL287&lt;&gt;Constants!$B$4,"",IF(NOT($BC287),"",IF(NOT($AK287),0,Constants!$B$15*(INT(ROUND(MIN($AL287,$AP$9),6))-INT(ROUND(MAX(0,MIN($AL287,2*$AP$9)-$AP$9),6))))))</f>
        <v/>
      </c>
      <c r="BG287" s="90" t="str">
        <f aca="false">IF($BL287&lt;&gt;Constants!$B$4,"",IF(NOT($BC287),"",Constants!$B$16*$AM287))</f>
        <v/>
      </c>
      <c r="BH287" s="90" t="str">
        <f aca="false">IF($BL287&lt;&gt;Constants!$B$4,"",IF(NOT($BC287),"",Constants!$B$18*INT(ROUND($AN287,6))))</f>
        <v/>
      </c>
      <c r="BI287" s="85" t="str">
        <f aca="false">IF($BL287&lt;&gt;Constants!$B$4,"",IF(NOT($BC287),"",IF(NOT($X287),Constants!$B$11,IF(OR(NOT($AI287),NOT($AJ287),ROUND($AB287,1)&gt;Constants!$B$12,ROUND($Z287,1)&gt;Constants!$B$13,ROUND($AA287,1)&gt;Constants!$B$14),Constants!$B$10,Constants!$B$9))))</f>
        <v/>
      </c>
      <c r="BJ287" s="91" t="str">
        <f aca="false">IF($BL287&lt;&gt;Constants!$B$4,"",IF(NOT($BC287),"",ROUND($BE287+$BF287+$BG287+$BH287,1)))</f>
        <v/>
      </c>
      <c r="BK287" s="92" t="str">
        <f aca="false">IF($BL287&lt;&gt;Constants!$B$4,"",IF(NOT($BC287),"",IF(ISNUMBER($AL287),$AL287,0)))</f>
        <v/>
      </c>
      <c r="BL287" s="86" t="str">
        <f aca="false">IF(ISBLANK($C287),"",IF($AO287,Constants!$B$7,IF(COUNTA($E287:$V287)=0,Constants!$B$6,IF(NOT($Y287),Constants!$B$5,IF(NOT(OR($AS287,$BC287)),Constants!$B$5,IF(OR($AT287,$BD287,$AQ287,$AR287&lt;&gt;""),Constants!$B$8,Constants!$B$4))))))</f>
        <v/>
      </c>
      <c r="BM287" s="86" t="str">
        <f aca="false">IF(ISBLANK($C287),"",IF($BL287&lt;&gt;Constants!$B$4,$BL287,IF($BB287="-&gt;",$BI287,$AY287)))</f>
        <v/>
      </c>
      <c r="BN287" s="90" t="str">
        <f aca="false">IF($BL287&lt;&gt;Constants!$B$4,"",IF($BB287="-&gt;",$BJ287,$AZ287))</f>
        <v/>
      </c>
      <c r="BO287" s="90" t="str">
        <f aca="false">IF(ISBLANK($C287),"",IF($BL287&lt;&gt;Constants!$B$4,$BL287,$BN287))</f>
        <v/>
      </c>
      <c r="BP287" s="86" t="str">
        <f aca="false">IF(ISBLANK($C287),"",IF($BL287&lt;&gt;Constants!$B$4,$BL287,RANK($BO287,$BO$9:$BO$508,0)))</f>
        <v/>
      </c>
      <c r="BQ287" s="86" t="str">
        <f aca="false">IF(ISBLANK($C287),"",IF($BL287&lt;&gt;Constants!$B$4,$BL287,COUNTIFS($BM$9:$BM$508,"&lt;"&amp;$BM287)+COUNTIFS($BM$9:$BM$508,$BM287,$BP$9:$BP$508,"&lt;"&amp;$BP287)+1))</f>
        <v/>
      </c>
      <c r="BR287" s="90" t="str">
        <f aca="false">IF($BL287&lt;&gt;Constants!$B$4,"",IF($BB287="-&gt;",$BH287,$AX287))</f>
        <v/>
      </c>
      <c r="BS287" s="86" t="str">
        <f aca="false">IF(ISBLANK($C287),"",IF($BL287&lt;&gt;Constants!$B$4,$BL287,IF(ISNUMBER($BR287),RANK($BR287,$BR$9:$BR$508,0),COUNT($BR$9:$BR$508)+1)))</f>
        <v/>
      </c>
      <c r="BT287" s="90" t="str">
        <f aca="false">IF($BL287&lt;&gt;Constants!$B$4,"",IF($BB287="-&gt;",$BE287,$AU287))</f>
        <v/>
      </c>
      <c r="BU287" s="86" t="str">
        <f aca="false">IF(ISBLANK($C287),"",IF($BL287&lt;&gt;Constants!$B$4,$BL287,IF(ISNUMBER($BT287),RANK($BT287,$BT$9:$BT$508,0),COUNT($BT$9:$BT$508)+1)))</f>
        <v/>
      </c>
      <c r="BV287" s="90" t="str">
        <f aca="false">IF($BL287&lt;&gt;Constants!$B$4,"",IF($BB287="-&gt;",$BF287,$AV287))</f>
        <v/>
      </c>
      <c r="BW287" s="86" t="str">
        <f aca="false">IF(ISBLANK($C287),"",IF($BL287&lt;&gt;Constants!$B$4,$BL287,IF(ISNUMBER($BV287),RANK($BV287,$BV$9:$BV$508,0),COUNT($BV$9:$BV$508)+1)))</f>
        <v/>
      </c>
      <c r="BX287" s="90" t="str">
        <f aca="false">IF($BL287&lt;&gt;Constants!$B$4,"",IF($BB287="-&gt;",$BK287,$BA287))</f>
        <v/>
      </c>
      <c r="BY287" s="86" t="str">
        <f aca="false">IF(ISBLANK($C287),"",IF($BL287&lt;&gt;Constants!$B$4,$BL287,IF(ISNUMBER($BX287),RANK($BX287,$BX$9:$BX$508,0),COUNT($BX$9:$BX$508)+1)))</f>
        <v/>
      </c>
      <c r="BZ287" s="86" t="str">
        <f aca="false">IF(ISBLANK($C287),"",IF($BL287&lt;&gt;Constants!$B$4,$BL287,COUNTIFS($BM$9:$BM$508,"&lt;"&amp;$BM287)+COUNTIFS($BM$9:$BM$508,$BM287,$BP$9:$BP$508,"&lt;"&amp;$BP287)+COUNTIFS($BM$9:$BM$508,$BM287,$BP$9:$BP$508,$BP287,$BS$9:$BS$508,"&lt;"&amp;$BS287)+COUNTIFS($BM$9:$BM$508,$BM287,$BP$9:$BP$508,$BP287,$BS$9:$BS$508,$BS287,$BU$9:$BU$508,"&lt;"&amp;$BU287)+COUNTIFS($BM$9:$BM$508,$BM287,$BP$9:$BP$508,$BP287,$BS$9:$BS$508,$BS287,$BU$9:$BU$508,$BU287,$BW$9:$BW$508,"&lt;"&amp;$BW287)+COUNTIFS($BM$9:$BM$508,$BM287,$BP$9:$BP$508,$BP287,$BS$9:$BS$508,$BS287,$BU$9:$BU$508,$BU287,$BW$9:$BW$508,$BW287,$BY$9:$BY$508,"&lt;"&amp;$BY287)+1))</f>
        <v/>
      </c>
      <c r="CA287" s="86" t="str">
        <f aca="false">IF(ISBLANK($C287),"",IF($BL287&lt;&gt;Constants!$B$4,$BL287,$BQ287-$BZ287))</f>
        <v/>
      </c>
      <c r="CB287" s="93"/>
      <c r="CC287" s="94" t="str">
        <f aca="false">IF(ISBLANK($C287),"",IF($BL287=Constants!$B$8,$AR287,""))</f>
        <v/>
      </c>
      <c r="CD287" s="94" t="str">
        <f aca="false">IF(ISBLANK($C287),"",IF($BL287&lt;&gt;Constants!$B$4,"",IF($BB287="-&gt;",2,1)))</f>
        <v/>
      </c>
      <c r="CE287" s="95" t="str">
        <f aca="false">IF(ISBLANK($C287),"",IF($BL287&lt;&gt;Constants!$B$4,"",IF($BB287="-&gt;",$BE287,$AU287)))</f>
        <v/>
      </c>
      <c r="CF287" s="95" t="str">
        <f aca="false">IF(ISBLANK($C287),"",IF($BL287&lt;&gt;Constants!$B$4,"",IF($BB287="-&gt;",$BF287,$AV287)))</f>
        <v/>
      </c>
      <c r="CG287" s="95" t="str">
        <f aca="false">IF(ISBLANK($C287),"",IF($BL287&lt;&gt;Constants!$B$4,"",IF($BB287="-&gt;",$BG287,$AW287)))</f>
        <v/>
      </c>
      <c r="CH287" s="95" t="str">
        <f aca="false">IF(ISBLANK($C287),"",IF($BL287&lt;&gt;Constants!$B$4,"",IF($BB287="-&gt;",$BH287,$AX287)))</f>
        <v/>
      </c>
      <c r="CI287" s="96" t="str">
        <f aca="false">IF(ISBLANK($C287),"",$BO287)</f>
        <v/>
      </c>
      <c r="CJ287" s="97" t="str">
        <f aca="false">IF(ISBLANK($C287),"",$BM287)</f>
        <v/>
      </c>
      <c r="CK287" s="98" t="str">
        <f aca="false">IF(ISBLANK($C287),"",$CA287)</f>
        <v/>
      </c>
      <c r="CL287" s="98" t="str">
        <f aca="false">IF(ISBLANK($C287),"",$BZ287)</f>
        <v/>
      </c>
      <c r="CM287" s="99" t="str">
        <f aca="false">IF(ISBLANK($C287),"",IF($CL287=Constants!$B$7,COUNTA($C$9:$C$508)+2,IF($CL287=Constants!$B$6,COUNTA($C$9:$C$508)+1,IF($CL287=Constants!$B$5,COUNTA($C$9:$C$508),$CL287))))</f>
        <v/>
      </c>
      <c r="CN287" s="8"/>
      <c r="CO287" s="100" t="n">
        <f aca="false">IF(OR(ISNUMBER($CL287),$CL287=Constants!$B$7,$CL287=Constants!$B$5,$CL287=Constants!$B$6),1,0)</f>
        <v>0</v>
      </c>
      <c r="CP287" s="100" t="n">
        <v>279</v>
      </c>
      <c r="CQ287" s="100" t="str">
        <f aca="false">IF(ISBLANK($C287),"",IF(ISNUMBER($CM287),$CM287+ROW($B287)/1000,""))</f>
        <v/>
      </c>
      <c r="CR287" s="100" t="str">
        <f aca="false">IF(ISNUMBER($CQ287),RANK($CQ287,$CQ$9:$CQ$508,1),"")</f>
        <v/>
      </c>
      <c r="CS287" s="100" t="str">
        <f aca="false">IF(ISBLANK($C287),"",$B287)</f>
        <v/>
      </c>
      <c r="CT287" s="100" t="str">
        <f aca="false">IF(ISBLANK($C287),"",$C287)</f>
        <v/>
      </c>
      <c r="CU287" s="100" t="str">
        <f aca="false">IF(ISBLANK($C287),"",$D287)</f>
        <v/>
      </c>
      <c r="CV287" s="101" t="str">
        <f aca="false">$CJ287</f>
        <v/>
      </c>
      <c r="CW287" s="102" t="str">
        <f aca="false">$CI287</f>
        <v/>
      </c>
      <c r="CX287" s="100" t="str">
        <f aca="false">IF(ISBLANK($C287),"",$CL287)</f>
        <v/>
      </c>
      <c r="CY287" s="103" t="str">
        <f aca="false">IF($CP287&gt;$CO$8,"",VLOOKUP($CP287,$CR$9:$CX$508,7,FALSE()))</f>
        <v/>
      </c>
      <c r="CZ287" s="104" t="str">
        <f aca="false">IF($CP287&gt;$CO$8,"",VLOOKUP($CP287,$CR$9:$CX$508,2,FALSE()))</f>
        <v/>
      </c>
      <c r="DA287" s="104" t="str">
        <f aca="false">IF($CP287&gt;$CO$8,"",VLOOKUP($CP287,$CR$9:$CX$508,3,FALSE()))</f>
        <v/>
      </c>
      <c r="DB287" s="104" t="str">
        <f aca="false">IF($CP287&gt;$CO$8,"",VLOOKUP($CP287,$CR$9:$CX$508,4,FALSE()))</f>
        <v/>
      </c>
      <c r="DC287" s="104" t="str">
        <f aca="false">IF($CP287&gt;$CO$8,"",VLOOKUP($CP287,$CR$9:$CX$508,5,FALSE()))</f>
        <v/>
      </c>
      <c r="DD287" s="105" t="str">
        <f aca="false">IF($CP287&gt;$CO$8,"",VLOOKUP($CP287,$CR$9:$CX$508,6,FALSE()))</f>
        <v/>
      </c>
      <c r="DE287" s="70"/>
    </row>
    <row r="288" customFormat="false" ht="15.75" hidden="false" customHeight="false" outlineLevel="0" collapsed="false">
      <c r="A288" s="8"/>
      <c r="B288" s="146"/>
      <c r="C288" s="147"/>
      <c r="D288" s="148"/>
      <c r="E288" s="164"/>
      <c r="F288" s="150"/>
      <c r="G288" s="115"/>
      <c r="H288" s="115"/>
      <c r="I288" s="115"/>
      <c r="J288" s="165"/>
      <c r="K288" s="154"/>
      <c r="L288" s="154"/>
      <c r="M288" s="118"/>
      <c r="N288" s="154"/>
      <c r="O288" s="153"/>
      <c r="P288" s="154"/>
      <c r="Q288" s="154"/>
      <c r="R288" s="154"/>
      <c r="S288" s="115"/>
      <c r="T288" s="154"/>
      <c r="U288" s="153"/>
      <c r="V288" s="154"/>
      <c r="W288" s="123"/>
      <c r="X288" s="124" t="str">
        <f aca="false">IF(ISBLANK($C288),"",IF($E288=Constants!$B$2,TRUE(),IF($E288=Constants!$B$3,FALSE(),TRUE())))</f>
        <v/>
      </c>
      <c r="Y288" s="124" t="str">
        <f aca="false">IF(ISBLANK($C288),"",IF($F288=Constants!$B$2,TRUE(),IF($F288=Constants!$B$3,FALSE(),TRUE())))</f>
        <v/>
      </c>
      <c r="Z288" s="125" t="str">
        <f aca="false">IF(ISBLANK($C288),"",IF(ISNUMBER($G288),IF($G288&gt;=0,$G288,""),""))</f>
        <v/>
      </c>
      <c r="AA288" s="125" t="str">
        <f aca="false">IF(ISBLANK($C288),"",IF(ISNUMBER($H288),IF($H288&gt;=0,$H288,""),""))</f>
        <v/>
      </c>
      <c r="AB288" s="125" t="str">
        <f aca="false">IF(ISBLANK($C288),"",IF(ISNUMBER($I288),IF($I288&gt;=0,$I288,""),""))</f>
        <v/>
      </c>
      <c r="AC288" s="124" t="str">
        <f aca="false">IF(ISBLANK($C288),"",IF($J288=Constants!$B$2,TRUE(),IF($J288=Constants!$B$3,FALSE(),TRUE())))</f>
        <v/>
      </c>
      <c r="AD288" s="124" t="str">
        <f aca="false">IF(ISBLANK($C288),"",IF($K288=Constants!$B$2,TRUE(),IF($K288=Constants!$B$3,FALSE(),TRUE())))</f>
        <v/>
      </c>
      <c r="AE288" s="124" t="str">
        <f aca="false">IF(ISBLANK($C288),"",IF($L288=Constants!$B$2,TRUE(),IF($L288=Constants!$B$3,FALSE(),TRUE())))</f>
        <v/>
      </c>
      <c r="AF288" s="126" t="str">
        <f aca="false">IF(ISBLANK($C288),"",IF(ISNUMBER($M288),IF($M288&gt;=0,$M288,""),""))</f>
        <v/>
      </c>
      <c r="AG288" s="124" t="str">
        <f aca="false">IF(ISBLANK($C288),"",IF(ISBLANK($N288),0,IF(ISNUMBER($N288),IF(AND($N288&gt;=0,$N288&lt;=Constants!$B$17,$N288=INT($N288)),$N288,""),"")))</f>
        <v/>
      </c>
      <c r="AH288" s="125" t="str">
        <f aca="false">IF(ISBLANK($C288),"",IF(ISBLANK($O288),0,IF(ISNUMBER($O288),IF($O288&gt;=0,$O288,""),"")))</f>
        <v/>
      </c>
      <c r="AI288" s="124" t="str">
        <f aca="false">IF(ISBLANK($C288),"",IF($P288=Constants!$B$2,TRUE(),IF($P288=Constants!$B$3,FALSE(),TRUE())))</f>
        <v/>
      </c>
      <c r="AJ288" s="124" t="str">
        <f aca="false">IF(ISBLANK($C288),"",IF($Q288=Constants!$B$2,TRUE(),IF($Q288=Constants!$B$3,FALSE(),TRUE())))</f>
        <v/>
      </c>
      <c r="AK288" s="124" t="str">
        <f aca="false">IF(ISBLANK($C288),"",IF($R288=Constants!$B$2,TRUE(),IF($R288=Constants!$B$3,FALSE(),TRUE())))</f>
        <v/>
      </c>
      <c r="AL288" s="126" t="str">
        <f aca="false">IF(ISBLANK($C288),"",IF(ISNUMBER($S288),IF($S288&gt;=0,$S288,""),""))</f>
        <v/>
      </c>
      <c r="AM288" s="124" t="str">
        <f aca="false">IF(ISBLANK($C288),"",IF(ISBLANK($T288),0,IF(ISNUMBER($T288),IF(AND($T288&gt;=0,$T288&lt;=Constants!$B$17,$T288=INT($T288)),$T288,""),"")))</f>
        <v/>
      </c>
      <c r="AN288" s="125" t="str">
        <f aca="false">IF(ISBLANK($C288),"",IF(ISBLANK($U288),0,IF(ISNUMBER($U288),IF($U288&gt;=0,$U288,""),"")))</f>
        <v/>
      </c>
      <c r="AO288" s="124" t="str">
        <f aca="false">IF(ISBLANK($C288),"",IF($V288=Constants!$B$2,TRUE(),IF($V288=Constants!$B$3,FALSE(),FALSE())))</f>
        <v/>
      </c>
      <c r="AP288" s="124"/>
      <c r="AQ288" s="123" t="str">
        <f aca="false">IF(ISBLANK($C288),"",AND($Y288,OR($AS288,$BC288),OR($Z288="",$AA288="",$AB288="")))</f>
        <v/>
      </c>
      <c r="AR288" s="123" t="str">
        <f aca="false">IF(ISBLANK($C288),"",IF(OR(NOT($Y288),NOT(OR($AS288,$BC288))),"",IF(ISBLANK($D$7),$AR$5,IF($AP$9="",$AR$6,""))))</f>
        <v/>
      </c>
      <c r="AS288" s="123" t="str">
        <f aca="false">IF(ISBLANK($C288),"",COUNTA($J288:$O288)&gt;0)</f>
        <v/>
      </c>
      <c r="AT288" s="123" t="str">
        <f aca="false">IF(ISBLANK($C288),"",AND($AS288,OR(AND($AF288="",OR($AE288,NOT(ISBLANK($M288)))),$AG288="",$AH288="")))</f>
        <v/>
      </c>
      <c r="AU288" s="125" t="str">
        <f aca="false">IF($BL288&lt;&gt;Constants!$B$4,"",IF(NOT($AS288),"",ROUND((Constants!$B$12-$AB288)+(Constants!$B$13-$Z288)+(Constants!$B$14-$AA288),1)))</f>
        <v/>
      </c>
      <c r="AV288" s="127" t="str">
        <f aca="false">IF($BL288&lt;&gt;Constants!$B$4,"",IF(NOT($AS288),"",IF(NOT($AE288),0,Constants!$B$15*(INT(ROUND(MIN($AF288,$AP$9),6))-INT(ROUND(MAX(0,MIN($AF288,2*$AP$9)-$AP$9),6))))))</f>
        <v/>
      </c>
      <c r="AW288" s="127" t="str">
        <f aca="false">IF($BL288&lt;&gt;Constants!$B$4,"",IF(NOT($AS288),"",Constants!$B$16*$AG288))</f>
        <v/>
      </c>
      <c r="AX288" s="127" t="str">
        <f aca="false">IF($BL288&lt;&gt;Constants!$B$4,"",IF(NOT($AS288),"",Constants!$B$18*INT(ROUND($AH288,6))))</f>
        <v/>
      </c>
      <c r="AY288" s="123" t="str">
        <f aca="false">IF($BL288&lt;&gt;Constants!$B$4,"",IF(NOT($AS288),"",IF(NOT($X288),Constants!$B$11,IF(OR(NOT($AC288),NOT($AD288),ROUND($AB288,1)&gt;Constants!$B$12,ROUND($Z288,1)&gt;Constants!$B$13,ROUND($AA288,1)&gt;Constants!$B$14),Constants!$B$10,Constants!$B$9))))</f>
        <v/>
      </c>
      <c r="AZ288" s="128" t="str">
        <f aca="false">IF($BL288&lt;&gt;Constants!$B$4,"",IF(NOT($AS288),"",ROUND($AU288+$AV288+$AW288+$AX288,1)))</f>
        <v/>
      </c>
      <c r="BA288" s="129" t="str">
        <f aca="false">IF($BL288&lt;&gt;Constants!$B$4,"",IF(NOT($AS288),"",IF(ISNUMBER($AF288),$AF288,0)))</f>
        <v/>
      </c>
      <c r="BB288" s="124" t="str">
        <f aca="false">IF($BL288&lt;&gt;Constants!$B$4,"",IF(NOT($BC288),"&lt;-",IF(NOT($AS288),"-&gt;",IF(OR($BI288&lt;$AY288,AND($BI288=$AY288,OR($BJ288&gt;$AZ288,AND($BJ288=$AZ288,OR($BH288&gt;$AX288,AND($BH288=$AX288,OR($BE288&gt;$AU288,AND($BE288=$AU288,OR($BF288&gt;$AV288,AND($BF288=$AV288,$BK288&gt;$BA288)))))))))),"-&gt;","&lt;-"))))</f>
        <v/>
      </c>
      <c r="BC288" s="123" t="str">
        <f aca="false">IF(ISBLANK($C288),"",COUNTA($P288:$U288)&gt;0)</f>
        <v/>
      </c>
      <c r="BD288" s="123" t="str">
        <f aca="false">IF(ISBLANK($C288),"",AND($BC288,OR(AND($AL288="",OR($AK288,NOT(ISBLANK($S288)))),$AM288="",$AN288="")))</f>
        <v/>
      </c>
      <c r="BE288" s="125" t="str">
        <f aca="false">IF($BL288&lt;&gt;Constants!$B$4,"",IF(NOT($BC288),"",ROUND((Constants!$B$12-$AB288)+(Constants!$B$13-$Z288)+(Constants!$B$14-$AA288),1)))</f>
        <v/>
      </c>
      <c r="BF288" s="127" t="str">
        <f aca="false">IF($BL288&lt;&gt;Constants!$B$4,"",IF(NOT($BC288),"",IF(NOT($AK288),0,Constants!$B$15*(INT(ROUND(MIN($AL288,$AP$9),6))-INT(ROUND(MAX(0,MIN($AL288,2*$AP$9)-$AP$9),6))))))</f>
        <v/>
      </c>
      <c r="BG288" s="127" t="str">
        <f aca="false">IF($BL288&lt;&gt;Constants!$B$4,"",IF(NOT($BC288),"",Constants!$B$16*$AM288))</f>
        <v/>
      </c>
      <c r="BH288" s="127" t="str">
        <f aca="false">IF($BL288&lt;&gt;Constants!$B$4,"",IF(NOT($BC288),"",Constants!$B$18*INT(ROUND($AN288,6))))</f>
        <v/>
      </c>
      <c r="BI288" s="123" t="str">
        <f aca="false">IF($BL288&lt;&gt;Constants!$B$4,"",IF(NOT($BC288),"",IF(NOT($X288),Constants!$B$11,IF(OR(NOT($AI288),NOT($AJ288),ROUND($AB288,1)&gt;Constants!$B$12,ROUND($Z288,1)&gt;Constants!$B$13,ROUND($AA288,1)&gt;Constants!$B$14),Constants!$B$10,Constants!$B$9))))</f>
        <v/>
      </c>
      <c r="BJ288" s="128" t="str">
        <f aca="false">IF($BL288&lt;&gt;Constants!$B$4,"",IF(NOT($BC288),"",ROUND($BE288+$BF288+$BG288+$BH288,1)))</f>
        <v/>
      </c>
      <c r="BK288" s="129" t="str">
        <f aca="false">IF($BL288&lt;&gt;Constants!$B$4,"",IF(NOT($BC288),"",IF(ISNUMBER($AL288),$AL288,0)))</f>
        <v/>
      </c>
      <c r="BL288" s="124" t="str">
        <f aca="false">IF(ISBLANK($C288),"",IF($AO288,Constants!$B$7,IF(COUNTA($E288:$V288)=0,Constants!$B$6,IF(NOT($Y288),Constants!$B$5,IF(NOT(OR($AS288,$BC288)),Constants!$B$5,IF(OR($AT288,$BD288,$AQ288,$AR288&lt;&gt;""),Constants!$B$8,Constants!$B$4))))))</f>
        <v/>
      </c>
      <c r="BM288" s="124" t="str">
        <f aca="false">IF(ISBLANK($C288),"",IF($BL288&lt;&gt;Constants!$B$4,$BL288,IF($BB288="-&gt;",$BI288,$AY288)))</f>
        <v/>
      </c>
      <c r="BN288" s="127" t="str">
        <f aca="false">IF($BL288&lt;&gt;Constants!$B$4,"",IF($BB288="-&gt;",$BJ288,$AZ288))</f>
        <v/>
      </c>
      <c r="BO288" s="127" t="str">
        <f aca="false">IF(ISBLANK($C288),"",IF($BL288&lt;&gt;Constants!$B$4,$BL288,$BN288))</f>
        <v/>
      </c>
      <c r="BP288" s="124" t="str">
        <f aca="false">IF(ISBLANK($C288),"",IF($BL288&lt;&gt;Constants!$B$4,$BL288,RANK($BO288,$BO$9:$BO$508,0)))</f>
        <v/>
      </c>
      <c r="BQ288" s="124" t="str">
        <f aca="false">IF(ISBLANK($C288),"",IF($BL288&lt;&gt;Constants!$B$4,$BL288,COUNTIFS($BM$9:$BM$508,"&lt;"&amp;$BM288)+COUNTIFS($BM$9:$BM$508,$BM288,$BP$9:$BP$508,"&lt;"&amp;$BP288)+1))</f>
        <v/>
      </c>
      <c r="BR288" s="127" t="str">
        <f aca="false">IF($BL288&lt;&gt;Constants!$B$4,"",IF($BB288="-&gt;",$BH288,$AX288))</f>
        <v/>
      </c>
      <c r="BS288" s="124" t="str">
        <f aca="false">IF(ISBLANK($C288),"",IF($BL288&lt;&gt;Constants!$B$4,$BL288,IF(ISNUMBER($BR288),RANK($BR288,$BR$9:$BR$508,0),COUNT($BR$9:$BR$508)+1)))</f>
        <v/>
      </c>
      <c r="BT288" s="127" t="str">
        <f aca="false">IF($BL288&lt;&gt;Constants!$B$4,"",IF($BB288="-&gt;",$BE288,$AU288))</f>
        <v/>
      </c>
      <c r="BU288" s="124" t="str">
        <f aca="false">IF(ISBLANK($C288),"",IF($BL288&lt;&gt;Constants!$B$4,$BL288,IF(ISNUMBER($BT288),RANK($BT288,$BT$9:$BT$508,0),COUNT($BT$9:$BT$508)+1)))</f>
        <v/>
      </c>
      <c r="BV288" s="127" t="str">
        <f aca="false">IF($BL288&lt;&gt;Constants!$B$4,"",IF($BB288="-&gt;",$BF288,$AV288))</f>
        <v/>
      </c>
      <c r="BW288" s="124" t="str">
        <f aca="false">IF(ISBLANK($C288),"",IF($BL288&lt;&gt;Constants!$B$4,$BL288,IF(ISNUMBER($BV288),RANK($BV288,$BV$9:$BV$508,0),COUNT($BV$9:$BV$508)+1)))</f>
        <v/>
      </c>
      <c r="BX288" s="127" t="str">
        <f aca="false">IF($BL288&lt;&gt;Constants!$B$4,"",IF($BB288="-&gt;",$BK288,$BA288))</f>
        <v/>
      </c>
      <c r="BY288" s="124" t="str">
        <f aca="false">IF(ISBLANK($C288),"",IF($BL288&lt;&gt;Constants!$B$4,$BL288,IF(ISNUMBER($BX288),RANK($BX288,$BX$9:$BX$508,0),COUNT($BX$9:$BX$508)+1)))</f>
        <v/>
      </c>
      <c r="BZ288" s="124" t="str">
        <f aca="false">IF(ISBLANK($C288),"",IF($BL288&lt;&gt;Constants!$B$4,$BL288,COUNTIFS($BM$9:$BM$508,"&lt;"&amp;$BM288)+COUNTIFS($BM$9:$BM$508,$BM288,$BP$9:$BP$508,"&lt;"&amp;$BP288)+COUNTIFS($BM$9:$BM$508,$BM288,$BP$9:$BP$508,$BP288,$BS$9:$BS$508,"&lt;"&amp;$BS288)+COUNTIFS($BM$9:$BM$508,$BM288,$BP$9:$BP$508,$BP288,$BS$9:$BS$508,$BS288,$BU$9:$BU$508,"&lt;"&amp;$BU288)+COUNTIFS($BM$9:$BM$508,$BM288,$BP$9:$BP$508,$BP288,$BS$9:$BS$508,$BS288,$BU$9:$BU$508,$BU288,$BW$9:$BW$508,"&lt;"&amp;$BW288)+COUNTIFS($BM$9:$BM$508,$BM288,$BP$9:$BP$508,$BP288,$BS$9:$BS$508,$BS288,$BU$9:$BU$508,$BU288,$BW$9:$BW$508,$BW288,$BY$9:$BY$508,"&lt;"&amp;$BY288)+1))</f>
        <v/>
      </c>
      <c r="CA288" s="124" t="str">
        <f aca="false">IF(ISBLANK($C288),"",IF($BL288&lt;&gt;Constants!$B$4,$BL288,$BQ288-$BZ288))</f>
        <v/>
      </c>
      <c r="CB288" s="130"/>
      <c r="CC288" s="131" t="str">
        <f aca="false">IF(ISBLANK($C288),"",IF($BL288=Constants!$B$8,$AR288,""))</f>
        <v/>
      </c>
      <c r="CD288" s="131" t="str">
        <f aca="false">IF(ISBLANK($C288),"",IF($BL288&lt;&gt;Constants!$B$4,"",IF($BB288="-&gt;",2,1)))</f>
        <v/>
      </c>
      <c r="CE288" s="132" t="str">
        <f aca="false">IF(ISBLANK($C288),"",IF($BL288&lt;&gt;Constants!$B$4,"",IF($BB288="-&gt;",$BE288,$AU288)))</f>
        <v/>
      </c>
      <c r="CF288" s="132" t="str">
        <f aca="false">IF(ISBLANK($C288),"",IF($BL288&lt;&gt;Constants!$B$4,"",IF($BB288="-&gt;",$BF288,$AV288)))</f>
        <v/>
      </c>
      <c r="CG288" s="132" t="str">
        <f aca="false">IF(ISBLANK($C288),"",IF($BL288&lt;&gt;Constants!$B$4,"",IF($BB288="-&gt;",$BG288,$AW288)))</f>
        <v/>
      </c>
      <c r="CH288" s="132" t="str">
        <f aca="false">IF(ISBLANK($C288),"",IF($BL288&lt;&gt;Constants!$B$4,"",IF($BB288="-&gt;",$BH288,$AX288)))</f>
        <v/>
      </c>
      <c r="CI288" s="133" t="str">
        <f aca="false">IF(ISBLANK($C288),"",$BO288)</f>
        <v/>
      </c>
      <c r="CJ288" s="134" t="str">
        <f aca="false">IF(ISBLANK($C288),"",$BM288)</f>
        <v/>
      </c>
      <c r="CK288" s="135" t="str">
        <f aca="false">IF(ISBLANK($C288),"",$CA288)</f>
        <v/>
      </c>
      <c r="CL288" s="135" t="str">
        <f aca="false">IF(ISBLANK($C288),"",$BZ288)</f>
        <v/>
      </c>
      <c r="CM288" s="136" t="str">
        <f aca="false">IF(ISBLANK($C288),"",IF($CL288=Constants!$B$7,COUNTA($C$9:$C$508)+2,IF($CL288=Constants!$B$6,COUNTA($C$9:$C$508)+1,IF($CL288=Constants!$B$5,COUNTA($C$9:$C$508),$CL288))))</f>
        <v/>
      </c>
      <c r="CN288" s="8"/>
      <c r="CO288" s="137" t="n">
        <f aca="false">IF(OR(ISNUMBER($CL288),$CL288=Constants!$B$7,$CL288=Constants!$B$5,$CL288=Constants!$B$6),1,0)</f>
        <v>0</v>
      </c>
      <c r="CP288" s="137" t="n">
        <v>280</v>
      </c>
      <c r="CQ288" s="137" t="str">
        <f aca="false">IF(ISBLANK($C288),"",IF(ISNUMBER($CM288),$CM288+ROW($B288)/1000,""))</f>
        <v/>
      </c>
      <c r="CR288" s="137" t="str">
        <f aca="false">IF(ISNUMBER($CQ288),RANK($CQ288,$CQ$9:$CQ$508,1),"")</f>
        <v/>
      </c>
      <c r="CS288" s="137" t="str">
        <f aca="false">IF(ISBLANK($C288),"",$B288)</f>
        <v/>
      </c>
      <c r="CT288" s="137" t="str">
        <f aca="false">IF(ISBLANK($C288),"",$C288)</f>
        <v/>
      </c>
      <c r="CU288" s="137" t="str">
        <f aca="false">IF(ISBLANK($C288),"",$D288)</f>
        <v/>
      </c>
      <c r="CV288" s="138" t="str">
        <f aca="false">$CJ288</f>
        <v/>
      </c>
      <c r="CW288" s="139" t="str">
        <f aca="false">$CI288</f>
        <v/>
      </c>
      <c r="CX288" s="137" t="str">
        <f aca="false">IF(ISBLANK($C288),"",$CL288)</f>
        <v/>
      </c>
      <c r="CY288" s="140" t="str">
        <f aca="false">IF($CP288&gt;$CO$8,"",VLOOKUP($CP288,$CR$9:$CX$508,7,FALSE()))</f>
        <v/>
      </c>
      <c r="CZ288" s="141" t="str">
        <f aca="false">IF($CP288&gt;$CO$8,"",VLOOKUP($CP288,$CR$9:$CX$508,2,FALSE()))</f>
        <v/>
      </c>
      <c r="DA288" s="141" t="str">
        <f aca="false">IF($CP288&gt;$CO$8,"",VLOOKUP($CP288,$CR$9:$CX$508,3,FALSE()))</f>
        <v/>
      </c>
      <c r="DB288" s="141" t="str">
        <f aca="false">IF($CP288&gt;$CO$8,"",VLOOKUP($CP288,$CR$9:$CX$508,4,FALSE()))</f>
        <v/>
      </c>
      <c r="DC288" s="141" t="str">
        <f aca="false">IF($CP288&gt;$CO$8,"",VLOOKUP($CP288,$CR$9:$CX$508,5,FALSE()))</f>
        <v/>
      </c>
      <c r="DD288" s="142" t="str">
        <f aca="false">IF($CP288&gt;$CO$8,"",VLOOKUP($CP288,$CR$9:$CX$508,6,FALSE()))</f>
        <v/>
      </c>
      <c r="DE288" s="70"/>
    </row>
    <row r="289" customFormat="false" ht="15.75" hidden="false" customHeight="false" outlineLevel="0" collapsed="false">
      <c r="A289" s="8"/>
      <c r="B289" s="146"/>
      <c r="C289" s="147"/>
      <c r="D289" s="148"/>
      <c r="E289" s="164"/>
      <c r="F289" s="150"/>
      <c r="G289" s="115"/>
      <c r="H289" s="115"/>
      <c r="I289" s="115"/>
      <c r="J289" s="165"/>
      <c r="K289" s="154"/>
      <c r="L289" s="154"/>
      <c r="M289" s="118"/>
      <c r="N289" s="154"/>
      <c r="O289" s="153"/>
      <c r="P289" s="154"/>
      <c r="Q289" s="154"/>
      <c r="R289" s="154"/>
      <c r="S289" s="115"/>
      <c r="T289" s="154"/>
      <c r="U289" s="153"/>
      <c r="V289" s="154"/>
      <c r="W289" s="123"/>
      <c r="X289" s="124" t="str">
        <f aca="false">IF(ISBLANK($C289),"",IF($E289=Constants!$B$2,TRUE(),IF($E289=Constants!$B$3,FALSE(),TRUE())))</f>
        <v/>
      </c>
      <c r="Y289" s="124" t="str">
        <f aca="false">IF(ISBLANK($C289),"",IF($F289=Constants!$B$2,TRUE(),IF($F289=Constants!$B$3,FALSE(),TRUE())))</f>
        <v/>
      </c>
      <c r="Z289" s="125" t="str">
        <f aca="false">IF(ISBLANK($C289),"",IF(ISNUMBER($G289),IF($G289&gt;=0,$G289,""),""))</f>
        <v/>
      </c>
      <c r="AA289" s="125" t="str">
        <f aca="false">IF(ISBLANK($C289),"",IF(ISNUMBER($H289),IF($H289&gt;=0,$H289,""),""))</f>
        <v/>
      </c>
      <c r="AB289" s="125" t="str">
        <f aca="false">IF(ISBLANK($C289),"",IF(ISNUMBER($I289),IF($I289&gt;=0,$I289,""),""))</f>
        <v/>
      </c>
      <c r="AC289" s="124" t="str">
        <f aca="false">IF(ISBLANK($C289),"",IF($J289=Constants!$B$2,TRUE(),IF($J289=Constants!$B$3,FALSE(),TRUE())))</f>
        <v/>
      </c>
      <c r="AD289" s="124" t="str">
        <f aca="false">IF(ISBLANK($C289),"",IF($K289=Constants!$B$2,TRUE(),IF($K289=Constants!$B$3,FALSE(),TRUE())))</f>
        <v/>
      </c>
      <c r="AE289" s="124" t="str">
        <f aca="false">IF(ISBLANK($C289),"",IF($L289=Constants!$B$2,TRUE(),IF($L289=Constants!$B$3,FALSE(),TRUE())))</f>
        <v/>
      </c>
      <c r="AF289" s="126" t="str">
        <f aca="false">IF(ISBLANK($C289),"",IF(ISNUMBER($M289),IF($M289&gt;=0,$M289,""),""))</f>
        <v/>
      </c>
      <c r="AG289" s="124" t="str">
        <f aca="false">IF(ISBLANK($C289),"",IF(ISBLANK($N289),0,IF(ISNUMBER($N289),IF(AND($N289&gt;=0,$N289&lt;=Constants!$B$17,$N289=INT($N289)),$N289,""),"")))</f>
        <v/>
      </c>
      <c r="AH289" s="125" t="str">
        <f aca="false">IF(ISBLANK($C289),"",IF(ISBLANK($O289),0,IF(ISNUMBER($O289),IF($O289&gt;=0,$O289,""),"")))</f>
        <v/>
      </c>
      <c r="AI289" s="124" t="str">
        <f aca="false">IF(ISBLANK($C289),"",IF($P289=Constants!$B$2,TRUE(),IF($P289=Constants!$B$3,FALSE(),TRUE())))</f>
        <v/>
      </c>
      <c r="AJ289" s="124" t="str">
        <f aca="false">IF(ISBLANK($C289),"",IF($Q289=Constants!$B$2,TRUE(),IF($Q289=Constants!$B$3,FALSE(),TRUE())))</f>
        <v/>
      </c>
      <c r="AK289" s="124" t="str">
        <f aca="false">IF(ISBLANK($C289),"",IF($R289=Constants!$B$2,TRUE(),IF($R289=Constants!$B$3,FALSE(),TRUE())))</f>
        <v/>
      </c>
      <c r="AL289" s="126" t="str">
        <f aca="false">IF(ISBLANK($C289),"",IF(ISNUMBER($S289),IF($S289&gt;=0,$S289,""),""))</f>
        <v/>
      </c>
      <c r="AM289" s="124" t="str">
        <f aca="false">IF(ISBLANK($C289),"",IF(ISBLANK($T289),0,IF(ISNUMBER($T289),IF(AND($T289&gt;=0,$T289&lt;=Constants!$B$17,$T289=INT($T289)),$T289,""),"")))</f>
        <v/>
      </c>
      <c r="AN289" s="125" t="str">
        <f aca="false">IF(ISBLANK($C289),"",IF(ISBLANK($U289),0,IF(ISNUMBER($U289),IF($U289&gt;=0,$U289,""),"")))</f>
        <v/>
      </c>
      <c r="AO289" s="124" t="str">
        <f aca="false">IF(ISBLANK($C289),"",IF($V289=Constants!$B$2,TRUE(),IF($V289=Constants!$B$3,FALSE(),FALSE())))</f>
        <v/>
      </c>
      <c r="AP289" s="124"/>
      <c r="AQ289" s="123" t="str">
        <f aca="false">IF(ISBLANK($C289),"",AND($Y289,OR($AS289,$BC289),OR($Z289="",$AA289="",$AB289="")))</f>
        <v/>
      </c>
      <c r="AR289" s="123" t="str">
        <f aca="false">IF(ISBLANK($C289),"",IF(OR(NOT($Y289),NOT(OR($AS289,$BC289))),"",IF(ISBLANK($D$7),$AR$5,IF($AP$9="",$AR$6,""))))</f>
        <v/>
      </c>
      <c r="AS289" s="123" t="str">
        <f aca="false">IF(ISBLANK($C289),"",COUNTA($J289:$O289)&gt;0)</f>
        <v/>
      </c>
      <c r="AT289" s="123" t="str">
        <f aca="false">IF(ISBLANK($C289),"",AND($AS289,OR(AND($AF289="",OR($AE289,NOT(ISBLANK($M289)))),$AG289="",$AH289="")))</f>
        <v/>
      </c>
      <c r="AU289" s="125" t="str">
        <f aca="false">IF($BL289&lt;&gt;Constants!$B$4,"",IF(NOT($AS289),"",ROUND((Constants!$B$12-$AB289)+(Constants!$B$13-$Z289)+(Constants!$B$14-$AA289),1)))</f>
        <v/>
      </c>
      <c r="AV289" s="127" t="str">
        <f aca="false">IF($BL289&lt;&gt;Constants!$B$4,"",IF(NOT($AS289),"",IF(NOT($AE289),0,Constants!$B$15*(INT(ROUND(MIN($AF289,$AP$9),6))-INT(ROUND(MAX(0,MIN($AF289,2*$AP$9)-$AP$9),6))))))</f>
        <v/>
      </c>
      <c r="AW289" s="127" t="str">
        <f aca="false">IF($BL289&lt;&gt;Constants!$B$4,"",IF(NOT($AS289),"",Constants!$B$16*$AG289))</f>
        <v/>
      </c>
      <c r="AX289" s="127" t="str">
        <f aca="false">IF($BL289&lt;&gt;Constants!$B$4,"",IF(NOT($AS289),"",Constants!$B$18*INT(ROUND($AH289,6))))</f>
        <v/>
      </c>
      <c r="AY289" s="123" t="str">
        <f aca="false">IF($BL289&lt;&gt;Constants!$B$4,"",IF(NOT($AS289),"",IF(NOT($X289),Constants!$B$11,IF(OR(NOT($AC289),NOT($AD289),ROUND($AB289,1)&gt;Constants!$B$12,ROUND($Z289,1)&gt;Constants!$B$13,ROUND($AA289,1)&gt;Constants!$B$14),Constants!$B$10,Constants!$B$9))))</f>
        <v/>
      </c>
      <c r="AZ289" s="128" t="str">
        <f aca="false">IF($BL289&lt;&gt;Constants!$B$4,"",IF(NOT($AS289),"",ROUND($AU289+$AV289+$AW289+$AX289,1)))</f>
        <v/>
      </c>
      <c r="BA289" s="129" t="str">
        <f aca="false">IF($BL289&lt;&gt;Constants!$B$4,"",IF(NOT($AS289),"",IF(ISNUMBER($AF289),$AF289,0)))</f>
        <v/>
      </c>
      <c r="BB289" s="124" t="str">
        <f aca="false">IF($BL289&lt;&gt;Constants!$B$4,"",IF(NOT($BC289),"&lt;-",IF(NOT($AS289),"-&gt;",IF(OR($BI289&lt;$AY289,AND($BI289=$AY289,OR($BJ289&gt;$AZ289,AND($BJ289=$AZ289,OR($BH289&gt;$AX289,AND($BH289=$AX289,OR($BE289&gt;$AU289,AND($BE289=$AU289,OR($BF289&gt;$AV289,AND($BF289=$AV289,$BK289&gt;$BA289)))))))))),"-&gt;","&lt;-"))))</f>
        <v/>
      </c>
      <c r="BC289" s="123" t="str">
        <f aca="false">IF(ISBLANK($C289),"",COUNTA($P289:$U289)&gt;0)</f>
        <v/>
      </c>
      <c r="BD289" s="123" t="str">
        <f aca="false">IF(ISBLANK($C289),"",AND($BC289,OR(AND($AL289="",OR($AK289,NOT(ISBLANK($S289)))),$AM289="",$AN289="")))</f>
        <v/>
      </c>
      <c r="BE289" s="125" t="str">
        <f aca="false">IF($BL289&lt;&gt;Constants!$B$4,"",IF(NOT($BC289),"",ROUND((Constants!$B$12-$AB289)+(Constants!$B$13-$Z289)+(Constants!$B$14-$AA289),1)))</f>
        <v/>
      </c>
      <c r="BF289" s="127" t="str">
        <f aca="false">IF($BL289&lt;&gt;Constants!$B$4,"",IF(NOT($BC289),"",IF(NOT($AK289),0,Constants!$B$15*(INT(ROUND(MIN($AL289,$AP$9),6))-INT(ROUND(MAX(0,MIN($AL289,2*$AP$9)-$AP$9),6))))))</f>
        <v/>
      </c>
      <c r="BG289" s="127" t="str">
        <f aca="false">IF($BL289&lt;&gt;Constants!$B$4,"",IF(NOT($BC289),"",Constants!$B$16*$AM289))</f>
        <v/>
      </c>
      <c r="BH289" s="127" t="str">
        <f aca="false">IF($BL289&lt;&gt;Constants!$B$4,"",IF(NOT($BC289),"",Constants!$B$18*INT(ROUND($AN289,6))))</f>
        <v/>
      </c>
      <c r="BI289" s="123" t="str">
        <f aca="false">IF($BL289&lt;&gt;Constants!$B$4,"",IF(NOT($BC289),"",IF(NOT($X289),Constants!$B$11,IF(OR(NOT($AI289),NOT($AJ289),ROUND($AB289,1)&gt;Constants!$B$12,ROUND($Z289,1)&gt;Constants!$B$13,ROUND($AA289,1)&gt;Constants!$B$14),Constants!$B$10,Constants!$B$9))))</f>
        <v/>
      </c>
      <c r="BJ289" s="128" t="str">
        <f aca="false">IF($BL289&lt;&gt;Constants!$B$4,"",IF(NOT($BC289),"",ROUND($BE289+$BF289+$BG289+$BH289,1)))</f>
        <v/>
      </c>
      <c r="BK289" s="129" t="str">
        <f aca="false">IF($BL289&lt;&gt;Constants!$B$4,"",IF(NOT($BC289),"",IF(ISNUMBER($AL289),$AL289,0)))</f>
        <v/>
      </c>
      <c r="BL289" s="124" t="str">
        <f aca="false">IF(ISBLANK($C289),"",IF($AO289,Constants!$B$7,IF(COUNTA($E289:$V289)=0,Constants!$B$6,IF(NOT($Y289),Constants!$B$5,IF(NOT(OR($AS289,$BC289)),Constants!$B$5,IF(OR($AT289,$BD289,$AQ289,$AR289&lt;&gt;""),Constants!$B$8,Constants!$B$4))))))</f>
        <v/>
      </c>
      <c r="BM289" s="124" t="str">
        <f aca="false">IF(ISBLANK($C289),"",IF($BL289&lt;&gt;Constants!$B$4,$BL289,IF($BB289="-&gt;",$BI289,$AY289)))</f>
        <v/>
      </c>
      <c r="BN289" s="127" t="str">
        <f aca="false">IF($BL289&lt;&gt;Constants!$B$4,"",IF($BB289="-&gt;",$BJ289,$AZ289))</f>
        <v/>
      </c>
      <c r="BO289" s="127" t="str">
        <f aca="false">IF(ISBLANK($C289),"",IF($BL289&lt;&gt;Constants!$B$4,$BL289,$BN289))</f>
        <v/>
      </c>
      <c r="BP289" s="124" t="str">
        <f aca="false">IF(ISBLANK($C289),"",IF($BL289&lt;&gt;Constants!$B$4,$BL289,RANK($BO289,$BO$9:$BO$508,0)))</f>
        <v/>
      </c>
      <c r="BQ289" s="124" t="str">
        <f aca="false">IF(ISBLANK($C289),"",IF($BL289&lt;&gt;Constants!$B$4,$BL289,COUNTIFS($BM$9:$BM$508,"&lt;"&amp;$BM289)+COUNTIFS($BM$9:$BM$508,$BM289,$BP$9:$BP$508,"&lt;"&amp;$BP289)+1))</f>
        <v/>
      </c>
      <c r="BR289" s="127" t="str">
        <f aca="false">IF($BL289&lt;&gt;Constants!$B$4,"",IF($BB289="-&gt;",$BH289,$AX289))</f>
        <v/>
      </c>
      <c r="BS289" s="124" t="str">
        <f aca="false">IF(ISBLANK($C289),"",IF($BL289&lt;&gt;Constants!$B$4,$BL289,IF(ISNUMBER($BR289),RANK($BR289,$BR$9:$BR$508,0),COUNT($BR$9:$BR$508)+1)))</f>
        <v/>
      </c>
      <c r="BT289" s="127" t="str">
        <f aca="false">IF($BL289&lt;&gt;Constants!$B$4,"",IF($BB289="-&gt;",$BE289,$AU289))</f>
        <v/>
      </c>
      <c r="BU289" s="124" t="str">
        <f aca="false">IF(ISBLANK($C289),"",IF($BL289&lt;&gt;Constants!$B$4,$BL289,IF(ISNUMBER($BT289),RANK($BT289,$BT$9:$BT$508,0),COUNT($BT$9:$BT$508)+1)))</f>
        <v/>
      </c>
      <c r="BV289" s="127" t="str">
        <f aca="false">IF($BL289&lt;&gt;Constants!$B$4,"",IF($BB289="-&gt;",$BF289,$AV289))</f>
        <v/>
      </c>
      <c r="BW289" s="124" t="str">
        <f aca="false">IF(ISBLANK($C289),"",IF($BL289&lt;&gt;Constants!$B$4,$BL289,IF(ISNUMBER($BV289),RANK($BV289,$BV$9:$BV$508,0),COUNT($BV$9:$BV$508)+1)))</f>
        <v/>
      </c>
      <c r="BX289" s="127" t="str">
        <f aca="false">IF($BL289&lt;&gt;Constants!$B$4,"",IF($BB289="-&gt;",$BK289,$BA289))</f>
        <v/>
      </c>
      <c r="BY289" s="124" t="str">
        <f aca="false">IF(ISBLANK($C289),"",IF($BL289&lt;&gt;Constants!$B$4,$BL289,IF(ISNUMBER($BX289),RANK($BX289,$BX$9:$BX$508,0),COUNT($BX$9:$BX$508)+1)))</f>
        <v/>
      </c>
      <c r="BZ289" s="124" t="str">
        <f aca="false">IF(ISBLANK($C289),"",IF($BL289&lt;&gt;Constants!$B$4,$BL289,COUNTIFS($BM$9:$BM$508,"&lt;"&amp;$BM289)+COUNTIFS($BM$9:$BM$508,$BM289,$BP$9:$BP$508,"&lt;"&amp;$BP289)+COUNTIFS($BM$9:$BM$508,$BM289,$BP$9:$BP$508,$BP289,$BS$9:$BS$508,"&lt;"&amp;$BS289)+COUNTIFS($BM$9:$BM$508,$BM289,$BP$9:$BP$508,$BP289,$BS$9:$BS$508,$BS289,$BU$9:$BU$508,"&lt;"&amp;$BU289)+COUNTIFS($BM$9:$BM$508,$BM289,$BP$9:$BP$508,$BP289,$BS$9:$BS$508,$BS289,$BU$9:$BU$508,$BU289,$BW$9:$BW$508,"&lt;"&amp;$BW289)+COUNTIFS($BM$9:$BM$508,$BM289,$BP$9:$BP$508,$BP289,$BS$9:$BS$508,$BS289,$BU$9:$BU$508,$BU289,$BW$9:$BW$508,$BW289,$BY$9:$BY$508,"&lt;"&amp;$BY289)+1))</f>
        <v/>
      </c>
      <c r="CA289" s="124" t="str">
        <f aca="false">IF(ISBLANK($C289),"",IF($BL289&lt;&gt;Constants!$B$4,$BL289,$BQ289-$BZ289))</f>
        <v/>
      </c>
      <c r="CB289" s="130"/>
      <c r="CC289" s="131" t="str">
        <f aca="false">IF(ISBLANK($C289),"",IF($BL289=Constants!$B$8,$AR289,""))</f>
        <v/>
      </c>
      <c r="CD289" s="131" t="str">
        <f aca="false">IF(ISBLANK($C289),"",IF($BL289&lt;&gt;Constants!$B$4,"",IF($BB289="-&gt;",2,1)))</f>
        <v/>
      </c>
      <c r="CE289" s="132" t="str">
        <f aca="false">IF(ISBLANK($C289),"",IF($BL289&lt;&gt;Constants!$B$4,"",IF($BB289="-&gt;",$BE289,$AU289)))</f>
        <v/>
      </c>
      <c r="CF289" s="132" t="str">
        <f aca="false">IF(ISBLANK($C289),"",IF($BL289&lt;&gt;Constants!$B$4,"",IF($BB289="-&gt;",$BF289,$AV289)))</f>
        <v/>
      </c>
      <c r="CG289" s="132" t="str">
        <f aca="false">IF(ISBLANK($C289),"",IF($BL289&lt;&gt;Constants!$B$4,"",IF($BB289="-&gt;",$BG289,$AW289)))</f>
        <v/>
      </c>
      <c r="CH289" s="132" t="str">
        <f aca="false">IF(ISBLANK($C289),"",IF($BL289&lt;&gt;Constants!$B$4,"",IF($BB289="-&gt;",$BH289,$AX289)))</f>
        <v/>
      </c>
      <c r="CI289" s="133" t="str">
        <f aca="false">IF(ISBLANK($C289),"",$BO289)</f>
        <v/>
      </c>
      <c r="CJ289" s="134" t="str">
        <f aca="false">IF(ISBLANK($C289),"",$BM289)</f>
        <v/>
      </c>
      <c r="CK289" s="135" t="str">
        <f aca="false">IF(ISBLANK($C289),"",$CA289)</f>
        <v/>
      </c>
      <c r="CL289" s="135" t="str">
        <f aca="false">IF(ISBLANK($C289),"",$BZ289)</f>
        <v/>
      </c>
      <c r="CM289" s="136" t="str">
        <f aca="false">IF(ISBLANK($C289),"",IF($CL289=Constants!$B$7,COUNTA($C$9:$C$508)+2,IF($CL289=Constants!$B$6,COUNTA($C$9:$C$508)+1,IF($CL289=Constants!$B$5,COUNTA($C$9:$C$508),$CL289))))</f>
        <v/>
      </c>
      <c r="CN289" s="8"/>
      <c r="CO289" s="137" t="n">
        <f aca="false">IF(OR(ISNUMBER($CL289),$CL289=Constants!$B$7,$CL289=Constants!$B$5,$CL289=Constants!$B$6),1,0)</f>
        <v>0</v>
      </c>
      <c r="CP289" s="137" t="n">
        <v>281</v>
      </c>
      <c r="CQ289" s="137" t="str">
        <f aca="false">IF(ISBLANK($C289),"",IF(ISNUMBER($CM289),$CM289+ROW($B289)/1000,""))</f>
        <v/>
      </c>
      <c r="CR289" s="137" t="str">
        <f aca="false">IF(ISNUMBER($CQ289),RANK($CQ289,$CQ$9:$CQ$508,1),"")</f>
        <v/>
      </c>
      <c r="CS289" s="137" t="str">
        <f aca="false">IF(ISBLANK($C289),"",$B289)</f>
        <v/>
      </c>
      <c r="CT289" s="137" t="str">
        <f aca="false">IF(ISBLANK($C289),"",$C289)</f>
        <v/>
      </c>
      <c r="CU289" s="137" t="str">
        <f aca="false">IF(ISBLANK($C289),"",$D289)</f>
        <v/>
      </c>
      <c r="CV289" s="138" t="str">
        <f aca="false">$CJ289</f>
        <v/>
      </c>
      <c r="CW289" s="139" t="str">
        <f aca="false">$CI289</f>
        <v/>
      </c>
      <c r="CX289" s="137" t="str">
        <f aca="false">IF(ISBLANK($C289),"",$CL289)</f>
        <v/>
      </c>
      <c r="CY289" s="140" t="str">
        <f aca="false">IF($CP289&gt;$CO$8,"",VLOOKUP($CP289,$CR$9:$CX$508,7,FALSE()))</f>
        <v/>
      </c>
      <c r="CZ289" s="141" t="str">
        <f aca="false">IF($CP289&gt;$CO$8,"",VLOOKUP($CP289,$CR$9:$CX$508,2,FALSE()))</f>
        <v/>
      </c>
      <c r="DA289" s="141" t="str">
        <f aca="false">IF($CP289&gt;$CO$8,"",VLOOKUP($CP289,$CR$9:$CX$508,3,FALSE()))</f>
        <v/>
      </c>
      <c r="DB289" s="141" t="str">
        <f aca="false">IF($CP289&gt;$CO$8,"",VLOOKUP($CP289,$CR$9:$CX$508,4,FALSE()))</f>
        <v/>
      </c>
      <c r="DC289" s="141" t="str">
        <f aca="false">IF($CP289&gt;$CO$8,"",VLOOKUP($CP289,$CR$9:$CX$508,5,FALSE()))</f>
        <v/>
      </c>
      <c r="DD289" s="142" t="str">
        <f aca="false">IF($CP289&gt;$CO$8,"",VLOOKUP($CP289,$CR$9:$CX$508,6,FALSE()))</f>
        <v/>
      </c>
      <c r="DE289" s="70"/>
    </row>
    <row r="290" customFormat="false" ht="15.75" hidden="false" customHeight="false" outlineLevel="0" collapsed="false">
      <c r="A290" s="8"/>
      <c r="B290" s="146"/>
      <c r="C290" s="147"/>
      <c r="D290" s="148"/>
      <c r="E290" s="164"/>
      <c r="F290" s="150"/>
      <c r="G290" s="115"/>
      <c r="H290" s="115"/>
      <c r="I290" s="115"/>
      <c r="J290" s="165"/>
      <c r="K290" s="154"/>
      <c r="L290" s="154"/>
      <c r="M290" s="118"/>
      <c r="N290" s="154"/>
      <c r="O290" s="153"/>
      <c r="P290" s="154"/>
      <c r="Q290" s="154"/>
      <c r="R290" s="154"/>
      <c r="S290" s="115"/>
      <c r="T290" s="154"/>
      <c r="U290" s="153"/>
      <c r="V290" s="154"/>
      <c r="W290" s="123"/>
      <c r="X290" s="124" t="str">
        <f aca="false">IF(ISBLANK($C290),"",IF($E290=Constants!$B$2,TRUE(),IF($E290=Constants!$B$3,FALSE(),TRUE())))</f>
        <v/>
      </c>
      <c r="Y290" s="124" t="str">
        <f aca="false">IF(ISBLANK($C290),"",IF($F290=Constants!$B$2,TRUE(),IF($F290=Constants!$B$3,FALSE(),TRUE())))</f>
        <v/>
      </c>
      <c r="Z290" s="125" t="str">
        <f aca="false">IF(ISBLANK($C290),"",IF(ISNUMBER($G290),IF($G290&gt;=0,$G290,""),""))</f>
        <v/>
      </c>
      <c r="AA290" s="125" t="str">
        <f aca="false">IF(ISBLANK($C290),"",IF(ISNUMBER($H290),IF($H290&gt;=0,$H290,""),""))</f>
        <v/>
      </c>
      <c r="AB290" s="125" t="str">
        <f aca="false">IF(ISBLANK($C290),"",IF(ISNUMBER($I290),IF($I290&gt;=0,$I290,""),""))</f>
        <v/>
      </c>
      <c r="AC290" s="124" t="str">
        <f aca="false">IF(ISBLANK($C290),"",IF($J290=Constants!$B$2,TRUE(),IF($J290=Constants!$B$3,FALSE(),TRUE())))</f>
        <v/>
      </c>
      <c r="AD290" s="124" t="str">
        <f aca="false">IF(ISBLANK($C290),"",IF($K290=Constants!$B$2,TRUE(),IF($K290=Constants!$B$3,FALSE(),TRUE())))</f>
        <v/>
      </c>
      <c r="AE290" s="124" t="str">
        <f aca="false">IF(ISBLANK($C290),"",IF($L290=Constants!$B$2,TRUE(),IF($L290=Constants!$B$3,FALSE(),TRUE())))</f>
        <v/>
      </c>
      <c r="AF290" s="126" t="str">
        <f aca="false">IF(ISBLANK($C290),"",IF(ISNUMBER($M290),IF($M290&gt;=0,$M290,""),""))</f>
        <v/>
      </c>
      <c r="AG290" s="124" t="str">
        <f aca="false">IF(ISBLANK($C290),"",IF(ISBLANK($N290),0,IF(ISNUMBER($N290),IF(AND($N290&gt;=0,$N290&lt;=Constants!$B$17,$N290=INT($N290)),$N290,""),"")))</f>
        <v/>
      </c>
      <c r="AH290" s="125" t="str">
        <f aca="false">IF(ISBLANK($C290),"",IF(ISBLANK($O290),0,IF(ISNUMBER($O290),IF($O290&gt;=0,$O290,""),"")))</f>
        <v/>
      </c>
      <c r="AI290" s="124" t="str">
        <f aca="false">IF(ISBLANK($C290),"",IF($P290=Constants!$B$2,TRUE(),IF($P290=Constants!$B$3,FALSE(),TRUE())))</f>
        <v/>
      </c>
      <c r="AJ290" s="124" t="str">
        <f aca="false">IF(ISBLANK($C290),"",IF($Q290=Constants!$B$2,TRUE(),IF($Q290=Constants!$B$3,FALSE(),TRUE())))</f>
        <v/>
      </c>
      <c r="AK290" s="124" t="str">
        <f aca="false">IF(ISBLANK($C290),"",IF($R290=Constants!$B$2,TRUE(),IF($R290=Constants!$B$3,FALSE(),TRUE())))</f>
        <v/>
      </c>
      <c r="AL290" s="126" t="str">
        <f aca="false">IF(ISBLANK($C290),"",IF(ISNUMBER($S290),IF($S290&gt;=0,$S290,""),""))</f>
        <v/>
      </c>
      <c r="AM290" s="124" t="str">
        <f aca="false">IF(ISBLANK($C290),"",IF(ISBLANK($T290),0,IF(ISNUMBER($T290),IF(AND($T290&gt;=0,$T290&lt;=Constants!$B$17,$T290=INT($T290)),$T290,""),"")))</f>
        <v/>
      </c>
      <c r="AN290" s="125" t="str">
        <f aca="false">IF(ISBLANK($C290),"",IF(ISBLANK($U290),0,IF(ISNUMBER($U290),IF($U290&gt;=0,$U290,""),"")))</f>
        <v/>
      </c>
      <c r="AO290" s="124" t="str">
        <f aca="false">IF(ISBLANK($C290),"",IF($V290=Constants!$B$2,TRUE(),IF($V290=Constants!$B$3,FALSE(),FALSE())))</f>
        <v/>
      </c>
      <c r="AP290" s="124"/>
      <c r="AQ290" s="123" t="str">
        <f aca="false">IF(ISBLANK($C290),"",AND($Y290,OR($AS290,$BC290),OR($Z290="",$AA290="",$AB290="")))</f>
        <v/>
      </c>
      <c r="AR290" s="123" t="str">
        <f aca="false">IF(ISBLANK($C290),"",IF(OR(NOT($Y290),NOT(OR($AS290,$BC290))),"",IF(ISBLANK($D$7),$AR$5,IF($AP$9="",$AR$6,""))))</f>
        <v/>
      </c>
      <c r="AS290" s="123" t="str">
        <f aca="false">IF(ISBLANK($C290),"",COUNTA($J290:$O290)&gt;0)</f>
        <v/>
      </c>
      <c r="AT290" s="123" t="str">
        <f aca="false">IF(ISBLANK($C290),"",AND($AS290,OR(AND($AF290="",OR($AE290,NOT(ISBLANK($M290)))),$AG290="",$AH290="")))</f>
        <v/>
      </c>
      <c r="AU290" s="125" t="str">
        <f aca="false">IF($BL290&lt;&gt;Constants!$B$4,"",IF(NOT($AS290),"",ROUND((Constants!$B$12-$AB290)+(Constants!$B$13-$Z290)+(Constants!$B$14-$AA290),1)))</f>
        <v/>
      </c>
      <c r="AV290" s="127" t="str">
        <f aca="false">IF($BL290&lt;&gt;Constants!$B$4,"",IF(NOT($AS290),"",IF(NOT($AE290),0,Constants!$B$15*(INT(ROUND(MIN($AF290,$AP$9),6))-INT(ROUND(MAX(0,MIN($AF290,2*$AP$9)-$AP$9),6))))))</f>
        <v/>
      </c>
      <c r="AW290" s="127" t="str">
        <f aca="false">IF($BL290&lt;&gt;Constants!$B$4,"",IF(NOT($AS290),"",Constants!$B$16*$AG290))</f>
        <v/>
      </c>
      <c r="AX290" s="127" t="str">
        <f aca="false">IF($BL290&lt;&gt;Constants!$B$4,"",IF(NOT($AS290),"",Constants!$B$18*INT(ROUND($AH290,6))))</f>
        <v/>
      </c>
      <c r="AY290" s="123" t="str">
        <f aca="false">IF($BL290&lt;&gt;Constants!$B$4,"",IF(NOT($AS290),"",IF(NOT($X290),Constants!$B$11,IF(OR(NOT($AC290),NOT($AD290),ROUND($AB290,1)&gt;Constants!$B$12,ROUND($Z290,1)&gt;Constants!$B$13,ROUND($AA290,1)&gt;Constants!$B$14),Constants!$B$10,Constants!$B$9))))</f>
        <v/>
      </c>
      <c r="AZ290" s="128" t="str">
        <f aca="false">IF($BL290&lt;&gt;Constants!$B$4,"",IF(NOT($AS290),"",ROUND($AU290+$AV290+$AW290+$AX290,1)))</f>
        <v/>
      </c>
      <c r="BA290" s="129" t="str">
        <f aca="false">IF($BL290&lt;&gt;Constants!$B$4,"",IF(NOT($AS290),"",IF(ISNUMBER($AF290),$AF290,0)))</f>
        <v/>
      </c>
      <c r="BB290" s="124" t="str">
        <f aca="false">IF($BL290&lt;&gt;Constants!$B$4,"",IF(NOT($BC290),"&lt;-",IF(NOT($AS290),"-&gt;",IF(OR($BI290&lt;$AY290,AND($BI290=$AY290,OR($BJ290&gt;$AZ290,AND($BJ290=$AZ290,OR($BH290&gt;$AX290,AND($BH290=$AX290,OR($BE290&gt;$AU290,AND($BE290=$AU290,OR($BF290&gt;$AV290,AND($BF290=$AV290,$BK290&gt;$BA290)))))))))),"-&gt;","&lt;-"))))</f>
        <v/>
      </c>
      <c r="BC290" s="123" t="str">
        <f aca="false">IF(ISBLANK($C290),"",COUNTA($P290:$U290)&gt;0)</f>
        <v/>
      </c>
      <c r="BD290" s="123" t="str">
        <f aca="false">IF(ISBLANK($C290),"",AND($BC290,OR(AND($AL290="",OR($AK290,NOT(ISBLANK($S290)))),$AM290="",$AN290="")))</f>
        <v/>
      </c>
      <c r="BE290" s="125" t="str">
        <f aca="false">IF($BL290&lt;&gt;Constants!$B$4,"",IF(NOT($BC290),"",ROUND((Constants!$B$12-$AB290)+(Constants!$B$13-$Z290)+(Constants!$B$14-$AA290),1)))</f>
        <v/>
      </c>
      <c r="BF290" s="127" t="str">
        <f aca="false">IF($BL290&lt;&gt;Constants!$B$4,"",IF(NOT($BC290),"",IF(NOT($AK290),0,Constants!$B$15*(INT(ROUND(MIN($AL290,$AP$9),6))-INT(ROUND(MAX(0,MIN($AL290,2*$AP$9)-$AP$9),6))))))</f>
        <v/>
      </c>
      <c r="BG290" s="127" t="str">
        <f aca="false">IF($BL290&lt;&gt;Constants!$B$4,"",IF(NOT($BC290),"",Constants!$B$16*$AM290))</f>
        <v/>
      </c>
      <c r="BH290" s="127" t="str">
        <f aca="false">IF($BL290&lt;&gt;Constants!$B$4,"",IF(NOT($BC290),"",Constants!$B$18*INT(ROUND($AN290,6))))</f>
        <v/>
      </c>
      <c r="BI290" s="123" t="str">
        <f aca="false">IF($BL290&lt;&gt;Constants!$B$4,"",IF(NOT($BC290),"",IF(NOT($X290),Constants!$B$11,IF(OR(NOT($AI290),NOT($AJ290),ROUND($AB290,1)&gt;Constants!$B$12,ROUND($Z290,1)&gt;Constants!$B$13,ROUND($AA290,1)&gt;Constants!$B$14),Constants!$B$10,Constants!$B$9))))</f>
        <v/>
      </c>
      <c r="BJ290" s="128" t="str">
        <f aca="false">IF($BL290&lt;&gt;Constants!$B$4,"",IF(NOT($BC290),"",ROUND($BE290+$BF290+$BG290+$BH290,1)))</f>
        <v/>
      </c>
      <c r="BK290" s="129" t="str">
        <f aca="false">IF($BL290&lt;&gt;Constants!$B$4,"",IF(NOT($BC290),"",IF(ISNUMBER($AL290),$AL290,0)))</f>
        <v/>
      </c>
      <c r="BL290" s="124" t="str">
        <f aca="false">IF(ISBLANK($C290),"",IF($AO290,Constants!$B$7,IF(COUNTA($E290:$V290)=0,Constants!$B$6,IF(NOT($Y290),Constants!$B$5,IF(NOT(OR($AS290,$BC290)),Constants!$B$5,IF(OR($AT290,$BD290,$AQ290,$AR290&lt;&gt;""),Constants!$B$8,Constants!$B$4))))))</f>
        <v/>
      </c>
      <c r="BM290" s="124" t="str">
        <f aca="false">IF(ISBLANK($C290),"",IF($BL290&lt;&gt;Constants!$B$4,$BL290,IF($BB290="-&gt;",$BI290,$AY290)))</f>
        <v/>
      </c>
      <c r="BN290" s="127" t="str">
        <f aca="false">IF($BL290&lt;&gt;Constants!$B$4,"",IF($BB290="-&gt;",$BJ290,$AZ290))</f>
        <v/>
      </c>
      <c r="BO290" s="127" t="str">
        <f aca="false">IF(ISBLANK($C290),"",IF($BL290&lt;&gt;Constants!$B$4,$BL290,$BN290))</f>
        <v/>
      </c>
      <c r="BP290" s="124" t="str">
        <f aca="false">IF(ISBLANK($C290),"",IF($BL290&lt;&gt;Constants!$B$4,$BL290,RANK($BO290,$BO$9:$BO$508,0)))</f>
        <v/>
      </c>
      <c r="BQ290" s="124" t="str">
        <f aca="false">IF(ISBLANK($C290),"",IF($BL290&lt;&gt;Constants!$B$4,$BL290,COUNTIFS($BM$9:$BM$508,"&lt;"&amp;$BM290)+COUNTIFS($BM$9:$BM$508,$BM290,$BP$9:$BP$508,"&lt;"&amp;$BP290)+1))</f>
        <v/>
      </c>
      <c r="BR290" s="127" t="str">
        <f aca="false">IF($BL290&lt;&gt;Constants!$B$4,"",IF($BB290="-&gt;",$BH290,$AX290))</f>
        <v/>
      </c>
      <c r="BS290" s="124" t="str">
        <f aca="false">IF(ISBLANK($C290),"",IF($BL290&lt;&gt;Constants!$B$4,$BL290,IF(ISNUMBER($BR290),RANK($BR290,$BR$9:$BR$508,0),COUNT($BR$9:$BR$508)+1)))</f>
        <v/>
      </c>
      <c r="BT290" s="127" t="str">
        <f aca="false">IF($BL290&lt;&gt;Constants!$B$4,"",IF($BB290="-&gt;",$BE290,$AU290))</f>
        <v/>
      </c>
      <c r="BU290" s="124" t="str">
        <f aca="false">IF(ISBLANK($C290),"",IF($BL290&lt;&gt;Constants!$B$4,$BL290,IF(ISNUMBER($BT290),RANK($BT290,$BT$9:$BT$508,0),COUNT($BT$9:$BT$508)+1)))</f>
        <v/>
      </c>
      <c r="BV290" s="127" t="str">
        <f aca="false">IF($BL290&lt;&gt;Constants!$B$4,"",IF($BB290="-&gt;",$BF290,$AV290))</f>
        <v/>
      </c>
      <c r="BW290" s="124" t="str">
        <f aca="false">IF(ISBLANK($C290),"",IF($BL290&lt;&gt;Constants!$B$4,$BL290,IF(ISNUMBER($BV290),RANK($BV290,$BV$9:$BV$508,0),COUNT($BV$9:$BV$508)+1)))</f>
        <v/>
      </c>
      <c r="BX290" s="127" t="str">
        <f aca="false">IF($BL290&lt;&gt;Constants!$B$4,"",IF($BB290="-&gt;",$BK290,$BA290))</f>
        <v/>
      </c>
      <c r="BY290" s="124" t="str">
        <f aca="false">IF(ISBLANK($C290),"",IF($BL290&lt;&gt;Constants!$B$4,$BL290,IF(ISNUMBER($BX290),RANK($BX290,$BX$9:$BX$508,0),COUNT($BX$9:$BX$508)+1)))</f>
        <v/>
      </c>
      <c r="BZ290" s="124" t="str">
        <f aca="false">IF(ISBLANK($C290),"",IF($BL290&lt;&gt;Constants!$B$4,$BL290,COUNTIFS($BM$9:$BM$508,"&lt;"&amp;$BM290)+COUNTIFS($BM$9:$BM$508,$BM290,$BP$9:$BP$508,"&lt;"&amp;$BP290)+COUNTIFS($BM$9:$BM$508,$BM290,$BP$9:$BP$508,$BP290,$BS$9:$BS$508,"&lt;"&amp;$BS290)+COUNTIFS($BM$9:$BM$508,$BM290,$BP$9:$BP$508,$BP290,$BS$9:$BS$508,$BS290,$BU$9:$BU$508,"&lt;"&amp;$BU290)+COUNTIFS($BM$9:$BM$508,$BM290,$BP$9:$BP$508,$BP290,$BS$9:$BS$508,$BS290,$BU$9:$BU$508,$BU290,$BW$9:$BW$508,"&lt;"&amp;$BW290)+COUNTIFS($BM$9:$BM$508,$BM290,$BP$9:$BP$508,$BP290,$BS$9:$BS$508,$BS290,$BU$9:$BU$508,$BU290,$BW$9:$BW$508,$BW290,$BY$9:$BY$508,"&lt;"&amp;$BY290)+1))</f>
        <v/>
      </c>
      <c r="CA290" s="124" t="str">
        <f aca="false">IF(ISBLANK($C290),"",IF($BL290&lt;&gt;Constants!$B$4,$BL290,$BQ290-$BZ290))</f>
        <v/>
      </c>
      <c r="CB290" s="130"/>
      <c r="CC290" s="131" t="str">
        <f aca="false">IF(ISBLANK($C290),"",IF($BL290=Constants!$B$8,$AR290,""))</f>
        <v/>
      </c>
      <c r="CD290" s="131" t="str">
        <f aca="false">IF(ISBLANK($C290),"",IF($BL290&lt;&gt;Constants!$B$4,"",IF($BB290="-&gt;",2,1)))</f>
        <v/>
      </c>
      <c r="CE290" s="132" t="str">
        <f aca="false">IF(ISBLANK($C290),"",IF($BL290&lt;&gt;Constants!$B$4,"",IF($BB290="-&gt;",$BE290,$AU290)))</f>
        <v/>
      </c>
      <c r="CF290" s="132" t="str">
        <f aca="false">IF(ISBLANK($C290),"",IF($BL290&lt;&gt;Constants!$B$4,"",IF($BB290="-&gt;",$BF290,$AV290)))</f>
        <v/>
      </c>
      <c r="CG290" s="132" t="str">
        <f aca="false">IF(ISBLANK($C290),"",IF($BL290&lt;&gt;Constants!$B$4,"",IF($BB290="-&gt;",$BG290,$AW290)))</f>
        <v/>
      </c>
      <c r="CH290" s="132" t="str">
        <f aca="false">IF(ISBLANK($C290),"",IF($BL290&lt;&gt;Constants!$B$4,"",IF($BB290="-&gt;",$BH290,$AX290)))</f>
        <v/>
      </c>
      <c r="CI290" s="133" t="str">
        <f aca="false">IF(ISBLANK($C290),"",$BO290)</f>
        <v/>
      </c>
      <c r="CJ290" s="134" t="str">
        <f aca="false">IF(ISBLANK($C290),"",$BM290)</f>
        <v/>
      </c>
      <c r="CK290" s="135" t="str">
        <f aca="false">IF(ISBLANK($C290),"",$CA290)</f>
        <v/>
      </c>
      <c r="CL290" s="135" t="str">
        <f aca="false">IF(ISBLANK($C290),"",$BZ290)</f>
        <v/>
      </c>
      <c r="CM290" s="136" t="str">
        <f aca="false">IF(ISBLANK($C290),"",IF($CL290=Constants!$B$7,COUNTA($C$9:$C$508)+2,IF($CL290=Constants!$B$6,COUNTA($C$9:$C$508)+1,IF($CL290=Constants!$B$5,COUNTA($C$9:$C$508),$CL290))))</f>
        <v/>
      </c>
      <c r="CN290" s="8"/>
      <c r="CO290" s="137" t="n">
        <f aca="false">IF(OR(ISNUMBER($CL290),$CL290=Constants!$B$7,$CL290=Constants!$B$5,$CL290=Constants!$B$6),1,0)</f>
        <v>0</v>
      </c>
      <c r="CP290" s="137" t="n">
        <v>282</v>
      </c>
      <c r="CQ290" s="137" t="str">
        <f aca="false">IF(ISBLANK($C290),"",IF(ISNUMBER($CM290),$CM290+ROW($B290)/1000,""))</f>
        <v/>
      </c>
      <c r="CR290" s="137" t="str">
        <f aca="false">IF(ISNUMBER($CQ290),RANK($CQ290,$CQ$9:$CQ$508,1),"")</f>
        <v/>
      </c>
      <c r="CS290" s="137" t="str">
        <f aca="false">IF(ISBLANK($C290),"",$B290)</f>
        <v/>
      </c>
      <c r="CT290" s="137" t="str">
        <f aca="false">IF(ISBLANK($C290),"",$C290)</f>
        <v/>
      </c>
      <c r="CU290" s="137" t="str">
        <f aca="false">IF(ISBLANK($C290),"",$D290)</f>
        <v/>
      </c>
      <c r="CV290" s="138" t="str">
        <f aca="false">$CJ290</f>
        <v/>
      </c>
      <c r="CW290" s="139" t="str">
        <f aca="false">$CI290</f>
        <v/>
      </c>
      <c r="CX290" s="137" t="str">
        <f aca="false">IF(ISBLANK($C290),"",$CL290)</f>
        <v/>
      </c>
      <c r="CY290" s="140" t="str">
        <f aca="false">IF($CP290&gt;$CO$8,"",VLOOKUP($CP290,$CR$9:$CX$508,7,FALSE()))</f>
        <v/>
      </c>
      <c r="CZ290" s="141" t="str">
        <f aca="false">IF($CP290&gt;$CO$8,"",VLOOKUP($CP290,$CR$9:$CX$508,2,FALSE()))</f>
        <v/>
      </c>
      <c r="DA290" s="141" t="str">
        <f aca="false">IF($CP290&gt;$CO$8,"",VLOOKUP($CP290,$CR$9:$CX$508,3,FALSE()))</f>
        <v/>
      </c>
      <c r="DB290" s="141" t="str">
        <f aca="false">IF($CP290&gt;$CO$8,"",VLOOKUP($CP290,$CR$9:$CX$508,4,FALSE()))</f>
        <v/>
      </c>
      <c r="DC290" s="141" t="str">
        <f aca="false">IF($CP290&gt;$CO$8,"",VLOOKUP($CP290,$CR$9:$CX$508,5,FALSE()))</f>
        <v/>
      </c>
      <c r="DD290" s="142" t="str">
        <f aca="false">IF($CP290&gt;$CO$8,"",VLOOKUP($CP290,$CR$9:$CX$508,6,FALSE()))</f>
        <v/>
      </c>
      <c r="DE290" s="70"/>
    </row>
    <row r="291" customFormat="false" ht="15.75" hidden="false" customHeight="false" outlineLevel="0" collapsed="false">
      <c r="A291" s="8"/>
      <c r="B291" s="72"/>
      <c r="C291" s="73"/>
      <c r="D291" s="155"/>
      <c r="E291" s="162"/>
      <c r="F291" s="157"/>
      <c r="G291" s="77"/>
      <c r="H291" s="77"/>
      <c r="I291" s="77"/>
      <c r="J291" s="163"/>
      <c r="K291" s="161"/>
      <c r="L291" s="161"/>
      <c r="M291" s="80"/>
      <c r="N291" s="161"/>
      <c r="O291" s="160"/>
      <c r="P291" s="161"/>
      <c r="Q291" s="161"/>
      <c r="R291" s="161"/>
      <c r="S291" s="77"/>
      <c r="T291" s="161"/>
      <c r="U291" s="160"/>
      <c r="V291" s="161"/>
      <c r="W291" s="85"/>
      <c r="X291" s="86" t="str">
        <f aca="false">IF(ISBLANK($C291),"",IF($E291=Constants!$B$2,TRUE(),IF($E291=Constants!$B$3,FALSE(),TRUE())))</f>
        <v/>
      </c>
      <c r="Y291" s="86" t="str">
        <f aca="false">IF(ISBLANK($C291),"",IF($F291=Constants!$B$2,TRUE(),IF($F291=Constants!$B$3,FALSE(),TRUE())))</f>
        <v/>
      </c>
      <c r="Z291" s="87" t="str">
        <f aca="false">IF(ISBLANK($C291),"",IF(ISNUMBER($G291),IF($G291&gt;=0,$G291,""),""))</f>
        <v/>
      </c>
      <c r="AA291" s="87" t="str">
        <f aca="false">IF(ISBLANK($C291),"",IF(ISNUMBER($H291),IF($H291&gt;=0,$H291,""),""))</f>
        <v/>
      </c>
      <c r="AB291" s="87" t="str">
        <f aca="false">IF(ISBLANK($C291),"",IF(ISNUMBER($I291),IF($I291&gt;=0,$I291,""),""))</f>
        <v/>
      </c>
      <c r="AC291" s="86" t="str">
        <f aca="false">IF(ISBLANK($C291),"",IF($J291=Constants!$B$2,TRUE(),IF($J291=Constants!$B$3,FALSE(),TRUE())))</f>
        <v/>
      </c>
      <c r="AD291" s="86" t="str">
        <f aca="false">IF(ISBLANK($C291),"",IF($K291=Constants!$B$2,TRUE(),IF($K291=Constants!$B$3,FALSE(),TRUE())))</f>
        <v/>
      </c>
      <c r="AE291" s="86" t="str">
        <f aca="false">IF(ISBLANK($C291),"",IF($L291=Constants!$B$2,TRUE(),IF($L291=Constants!$B$3,FALSE(),TRUE())))</f>
        <v/>
      </c>
      <c r="AF291" s="88" t="str">
        <f aca="false">IF(ISBLANK($C291),"",IF(ISNUMBER($M291),IF($M291&gt;=0,$M291,""),""))</f>
        <v/>
      </c>
      <c r="AG291" s="86" t="str">
        <f aca="false">IF(ISBLANK($C291),"",IF(ISBLANK($N291),0,IF(ISNUMBER($N291),IF(AND($N291&gt;=0,$N291&lt;=Constants!$B$17,$N291=INT($N291)),$N291,""),"")))</f>
        <v/>
      </c>
      <c r="AH291" s="87" t="str">
        <f aca="false">IF(ISBLANK($C291),"",IF(ISBLANK($O291),0,IF(ISNUMBER($O291),IF($O291&gt;=0,$O291,""),"")))</f>
        <v/>
      </c>
      <c r="AI291" s="86" t="str">
        <f aca="false">IF(ISBLANK($C291),"",IF($P291=Constants!$B$2,TRUE(),IF($P291=Constants!$B$3,FALSE(),TRUE())))</f>
        <v/>
      </c>
      <c r="AJ291" s="86" t="str">
        <f aca="false">IF(ISBLANK($C291),"",IF($Q291=Constants!$B$2,TRUE(),IF($Q291=Constants!$B$3,FALSE(),TRUE())))</f>
        <v/>
      </c>
      <c r="AK291" s="86" t="str">
        <f aca="false">IF(ISBLANK($C291),"",IF($R291=Constants!$B$2,TRUE(),IF($R291=Constants!$B$3,FALSE(),TRUE())))</f>
        <v/>
      </c>
      <c r="AL291" s="88" t="str">
        <f aca="false">IF(ISBLANK($C291),"",IF(ISNUMBER($S291),IF($S291&gt;=0,$S291,""),""))</f>
        <v/>
      </c>
      <c r="AM291" s="86" t="str">
        <f aca="false">IF(ISBLANK($C291),"",IF(ISBLANK($T291),0,IF(ISNUMBER($T291),IF(AND($T291&gt;=0,$T291&lt;=Constants!$B$17,$T291=INT($T291)),$T291,""),"")))</f>
        <v/>
      </c>
      <c r="AN291" s="87" t="str">
        <f aca="false">IF(ISBLANK($C291),"",IF(ISBLANK($U291),0,IF(ISNUMBER($U291),IF($U291&gt;=0,$U291,""),"")))</f>
        <v/>
      </c>
      <c r="AO291" s="86" t="str">
        <f aca="false">IF(ISBLANK($C291),"",IF($V291=Constants!$B$2,TRUE(),IF($V291=Constants!$B$3,FALSE(),FALSE())))</f>
        <v/>
      </c>
      <c r="AP291" s="86"/>
      <c r="AQ291" s="85" t="str">
        <f aca="false">IF(ISBLANK($C291),"",AND($Y291,OR($AS291,$BC291),OR($Z291="",$AA291="",$AB291="")))</f>
        <v/>
      </c>
      <c r="AR291" s="85" t="str">
        <f aca="false">IF(ISBLANK($C291),"",IF(OR(NOT($Y291),NOT(OR($AS291,$BC291))),"",IF(ISBLANK($D$7),$AR$5,IF($AP$9="",$AR$6,""))))</f>
        <v/>
      </c>
      <c r="AS291" s="85" t="str">
        <f aca="false">IF(ISBLANK($C291),"",COUNTA($J291:$O291)&gt;0)</f>
        <v/>
      </c>
      <c r="AT291" s="85" t="str">
        <f aca="false">IF(ISBLANK($C291),"",AND($AS291,OR(AND($AF291="",OR($AE291,NOT(ISBLANK($M291)))),$AG291="",$AH291="")))</f>
        <v/>
      </c>
      <c r="AU291" s="87" t="str">
        <f aca="false">IF($BL291&lt;&gt;Constants!$B$4,"",IF(NOT($AS291),"",ROUND((Constants!$B$12-$AB291)+(Constants!$B$13-$Z291)+(Constants!$B$14-$AA291),1)))</f>
        <v/>
      </c>
      <c r="AV291" s="90" t="str">
        <f aca="false">IF($BL291&lt;&gt;Constants!$B$4,"",IF(NOT($AS291),"",IF(NOT($AE291),0,Constants!$B$15*(INT(ROUND(MIN($AF291,$AP$9),6))-INT(ROUND(MAX(0,MIN($AF291,2*$AP$9)-$AP$9),6))))))</f>
        <v/>
      </c>
      <c r="AW291" s="90" t="str">
        <f aca="false">IF($BL291&lt;&gt;Constants!$B$4,"",IF(NOT($AS291),"",Constants!$B$16*$AG291))</f>
        <v/>
      </c>
      <c r="AX291" s="90" t="str">
        <f aca="false">IF($BL291&lt;&gt;Constants!$B$4,"",IF(NOT($AS291),"",Constants!$B$18*INT(ROUND($AH291,6))))</f>
        <v/>
      </c>
      <c r="AY291" s="85" t="str">
        <f aca="false">IF($BL291&lt;&gt;Constants!$B$4,"",IF(NOT($AS291),"",IF(NOT($X291),Constants!$B$11,IF(OR(NOT($AC291),NOT($AD291),ROUND($AB291,1)&gt;Constants!$B$12,ROUND($Z291,1)&gt;Constants!$B$13,ROUND($AA291,1)&gt;Constants!$B$14),Constants!$B$10,Constants!$B$9))))</f>
        <v/>
      </c>
      <c r="AZ291" s="91" t="str">
        <f aca="false">IF($BL291&lt;&gt;Constants!$B$4,"",IF(NOT($AS291),"",ROUND($AU291+$AV291+$AW291+$AX291,1)))</f>
        <v/>
      </c>
      <c r="BA291" s="92" t="str">
        <f aca="false">IF($BL291&lt;&gt;Constants!$B$4,"",IF(NOT($AS291),"",IF(ISNUMBER($AF291),$AF291,0)))</f>
        <v/>
      </c>
      <c r="BB291" s="86" t="str">
        <f aca="false">IF($BL291&lt;&gt;Constants!$B$4,"",IF(NOT($BC291),"&lt;-",IF(NOT($AS291),"-&gt;",IF(OR($BI291&lt;$AY291,AND($BI291=$AY291,OR($BJ291&gt;$AZ291,AND($BJ291=$AZ291,OR($BH291&gt;$AX291,AND($BH291=$AX291,OR($BE291&gt;$AU291,AND($BE291=$AU291,OR($BF291&gt;$AV291,AND($BF291=$AV291,$BK291&gt;$BA291)))))))))),"-&gt;","&lt;-"))))</f>
        <v/>
      </c>
      <c r="BC291" s="85" t="str">
        <f aca="false">IF(ISBLANK($C291),"",COUNTA($P291:$U291)&gt;0)</f>
        <v/>
      </c>
      <c r="BD291" s="85" t="str">
        <f aca="false">IF(ISBLANK($C291),"",AND($BC291,OR(AND($AL291="",OR($AK291,NOT(ISBLANK($S291)))),$AM291="",$AN291="")))</f>
        <v/>
      </c>
      <c r="BE291" s="87" t="str">
        <f aca="false">IF($BL291&lt;&gt;Constants!$B$4,"",IF(NOT($BC291),"",ROUND((Constants!$B$12-$AB291)+(Constants!$B$13-$Z291)+(Constants!$B$14-$AA291),1)))</f>
        <v/>
      </c>
      <c r="BF291" s="90" t="str">
        <f aca="false">IF($BL291&lt;&gt;Constants!$B$4,"",IF(NOT($BC291),"",IF(NOT($AK291),0,Constants!$B$15*(INT(ROUND(MIN($AL291,$AP$9),6))-INT(ROUND(MAX(0,MIN($AL291,2*$AP$9)-$AP$9),6))))))</f>
        <v/>
      </c>
      <c r="BG291" s="90" t="str">
        <f aca="false">IF($BL291&lt;&gt;Constants!$B$4,"",IF(NOT($BC291),"",Constants!$B$16*$AM291))</f>
        <v/>
      </c>
      <c r="BH291" s="90" t="str">
        <f aca="false">IF($BL291&lt;&gt;Constants!$B$4,"",IF(NOT($BC291),"",Constants!$B$18*INT(ROUND($AN291,6))))</f>
        <v/>
      </c>
      <c r="BI291" s="85" t="str">
        <f aca="false">IF($BL291&lt;&gt;Constants!$B$4,"",IF(NOT($BC291),"",IF(NOT($X291),Constants!$B$11,IF(OR(NOT($AI291),NOT($AJ291),ROUND($AB291,1)&gt;Constants!$B$12,ROUND($Z291,1)&gt;Constants!$B$13,ROUND($AA291,1)&gt;Constants!$B$14),Constants!$B$10,Constants!$B$9))))</f>
        <v/>
      </c>
      <c r="BJ291" s="91" t="str">
        <f aca="false">IF($BL291&lt;&gt;Constants!$B$4,"",IF(NOT($BC291),"",ROUND($BE291+$BF291+$BG291+$BH291,1)))</f>
        <v/>
      </c>
      <c r="BK291" s="92" t="str">
        <f aca="false">IF($BL291&lt;&gt;Constants!$B$4,"",IF(NOT($BC291),"",IF(ISNUMBER($AL291),$AL291,0)))</f>
        <v/>
      </c>
      <c r="BL291" s="86" t="str">
        <f aca="false">IF(ISBLANK($C291),"",IF($AO291,Constants!$B$7,IF(COUNTA($E291:$V291)=0,Constants!$B$6,IF(NOT($Y291),Constants!$B$5,IF(NOT(OR($AS291,$BC291)),Constants!$B$5,IF(OR($AT291,$BD291,$AQ291,$AR291&lt;&gt;""),Constants!$B$8,Constants!$B$4))))))</f>
        <v/>
      </c>
      <c r="BM291" s="86" t="str">
        <f aca="false">IF(ISBLANK($C291),"",IF($BL291&lt;&gt;Constants!$B$4,$BL291,IF($BB291="-&gt;",$BI291,$AY291)))</f>
        <v/>
      </c>
      <c r="BN291" s="90" t="str">
        <f aca="false">IF($BL291&lt;&gt;Constants!$B$4,"",IF($BB291="-&gt;",$BJ291,$AZ291))</f>
        <v/>
      </c>
      <c r="BO291" s="90" t="str">
        <f aca="false">IF(ISBLANK($C291),"",IF($BL291&lt;&gt;Constants!$B$4,$BL291,$BN291))</f>
        <v/>
      </c>
      <c r="BP291" s="86" t="str">
        <f aca="false">IF(ISBLANK($C291),"",IF($BL291&lt;&gt;Constants!$B$4,$BL291,RANK($BO291,$BO$9:$BO$508,0)))</f>
        <v/>
      </c>
      <c r="BQ291" s="86" t="str">
        <f aca="false">IF(ISBLANK($C291),"",IF($BL291&lt;&gt;Constants!$B$4,$BL291,COUNTIFS($BM$9:$BM$508,"&lt;"&amp;$BM291)+COUNTIFS($BM$9:$BM$508,$BM291,$BP$9:$BP$508,"&lt;"&amp;$BP291)+1))</f>
        <v/>
      </c>
      <c r="BR291" s="90" t="str">
        <f aca="false">IF($BL291&lt;&gt;Constants!$B$4,"",IF($BB291="-&gt;",$BH291,$AX291))</f>
        <v/>
      </c>
      <c r="BS291" s="86" t="str">
        <f aca="false">IF(ISBLANK($C291),"",IF($BL291&lt;&gt;Constants!$B$4,$BL291,IF(ISNUMBER($BR291),RANK($BR291,$BR$9:$BR$508,0),COUNT($BR$9:$BR$508)+1)))</f>
        <v/>
      </c>
      <c r="BT291" s="90" t="str">
        <f aca="false">IF($BL291&lt;&gt;Constants!$B$4,"",IF($BB291="-&gt;",$BE291,$AU291))</f>
        <v/>
      </c>
      <c r="BU291" s="86" t="str">
        <f aca="false">IF(ISBLANK($C291),"",IF($BL291&lt;&gt;Constants!$B$4,$BL291,IF(ISNUMBER($BT291),RANK($BT291,$BT$9:$BT$508,0),COUNT($BT$9:$BT$508)+1)))</f>
        <v/>
      </c>
      <c r="BV291" s="90" t="str">
        <f aca="false">IF($BL291&lt;&gt;Constants!$B$4,"",IF($BB291="-&gt;",$BF291,$AV291))</f>
        <v/>
      </c>
      <c r="BW291" s="86" t="str">
        <f aca="false">IF(ISBLANK($C291),"",IF($BL291&lt;&gt;Constants!$B$4,$BL291,IF(ISNUMBER($BV291),RANK($BV291,$BV$9:$BV$508,0),COUNT($BV$9:$BV$508)+1)))</f>
        <v/>
      </c>
      <c r="BX291" s="90" t="str">
        <f aca="false">IF($BL291&lt;&gt;Constants!$B$4,"",IF($BB291="-&gt;",$BK291,$BA291))</f>
        <v/>
      </c>
      <c r="BY291" s="86" t="str">
        <f aca="false">IF(ISBLANK($C291),"",IF($BL291&lt;&gt;Constants!$B$4,$BL291,IF(ISNUMBER($BX291),RANK($BX291,$BX$9:$BX$508,0),COUNT($BX$9:$BX$508)+1)))</f>
        <v/>
      </c>
      <c r="BZ291" s="86" t="str">
        <f aca="false">IF(ISBLANK($C291),"",IF($BL291&lt;&gt;Constants!$B$4,$BL291,COUNTIFS($BM$9:$BM$508,"&lt;"&amp;$BM291)+COUNTIFS($BM$9:$BM$508,$BM291,$BP$9:$BP$508,"&lt;"&amp;$BP291)+COUNTIFS($BM$9:$BM$508,$BM291,$BP$9:$BP$508,$BP291,$BS$9:$BS$508,"&lt;"&amp;$BS291)+COUNTIFS($BM$9:$BM$508,$BM291,$BP$9:$BP$508,$BP291,$BS$9:$BS$508,$BS291,$BU$9:$BU$508,"&lt;"&amp;$BU291)+COUNTIFS($BM$9:$BM$508,$BM291,$BP$9:$BP$508,$BP291,$BS$9:$BS$508,$BS291,$BU$9:$BU$508,$BU291,$BW$9:$BW$508,"&lt;"&amp;$BW291)+COUNTIFS($BM$9:$BM$508,$BM291,$BP$9:$BP$508,$BP291,$BS$9:$BS$508,$BS291,$BU$9:$BU$508,$BU291,$BW$9:$BW$508,$BW291,$BY$9:$BY$508,"&lt;"&amp;$BY291)+1))</f>
        <v/>
      </c>
      <c r="CA291" s="86" t="str">
        <f aca="false">IF(ISBLANK($C291),"",IF($BL291&lt;&gt;Constants!$B$4,$BL291,$BQ291-$BZ291))</f>
        <v/>
      </c>
      <c r="CB291" s="93"/>
      <c r="CC291" s="94" t="str">
        <f aca="false">IF(ISBLANK($C291),"",IF($BL291=Constants!$B$8,$AR291,""))</f>
        <v/>
      </c>
      <c r="CD291" s="94" t="str">
        <f aca="false">IF(ISBLANK($C291),"",IF($BL291&lt;&gt;Constants!$B$4,"",IF($BB291="-&gt;",2,1)))</f>
        <v/>
      </c>
      <c r="CE291" s="95" t="str">
        <f aca="false">IF(ISBLANK($C291),"",IF($BL291&lt;&gt;Constants!$B$4,"",IF($BB291="-&gt;",$BE291,$AU291)))</f>
        <v/>
      </c>
      <c r="CF291" s="95" t="str">
        <f aca="false">IF(ISBLANK($C291),"",IF($BL291&lt;&gt;Constants!$B$4,"",IF($BB291="-&gt;",$BF291,$AV291)))</f>
        <v/>
      </c>
      <c r="CG291" s="95" t="str">
        <f aca="false">IF(ISBLANK($C291),"",IF($BL291&lt;&gt;Constants!$B$4,"",IF($BB291="-&gt;",$BG291,$AW291)))</f>
        <v/>
      </c>
      <c r="CH291" s="95" t="str">
        <f aca="false">IF(ISBLANK($C291),"",IF($BL291&lt;&gt;Constants!$B$4,"",IF($BB291="-&gt;",$BH291,$AX291)))</f>
        <v/>
      </c>
      <c r="CI291" s="96" t="str">
        <f aca="false">IF(ISBLANK($C291),"",$BO291)</f>
        <v/>
      </c>
      <c r="CJ291" s="97" t="str">
        <f aca="false">IF(ISBLANK($C291),"",$BM291)</f>
        <v/>
      </c>
      <c r="CK291" s="98" t="str">
        <f aca="false">IF(ISBLANK($C291),"",$CA291)</f>
        <v/>
      </c>
      <c r="CL291" s="98" t="str">
        <f aca="false">IF(ISBLANK($C291),"",$BZ291)</f>
        <v/>
      </c>
      <c r="CM291" s="99" t="str">
        <f aca="false">IF(ISBLANK($C291),"",IF($CL291=Constants!$B$7,COUNTA($C$9:$C$508)+2,IF($CL291=Constants!$B$6,COUNTA($C$9:$C$508)+1,IF($CL291=Constants!$B$5,COUNTA($C$9:$C$508),$CL291))))</f>
        <v/>
      </c>
      <c r="CN291" s="8"/>
      <c r="CO291" s="100" t="n">
        <f aca="false">IF(OR(ISNUMBER($CL291),$CL291=Constants!$B$7,$CL291=Constants!$B$5,$CL291=Constants!$B$6),1,0)</f>
        <v>0</v>
      </c>
      <c r="CP291" s="100" t="n">
        <v>283</v>
      </c>
      <c r="CQ291" s="100" t="str">
        <f aca="false">IF(ISBLANK($C291),"",IF(ISNUMBER($CM291),$CM291+ROW($B291)/1000,""))</f>
        <v/>
      </c>
      <c r="CR291" s="100" t="str">
        <f aca="false">IF(ISNUMBER($CQ291),RANK($CQ291,$CQ$9:$CQ$508,1),"")</f>
        <v/>
      </c>
      <c r="CS291" s="100" t="str">
        <f aca="false">IF(ISBLANK($C291),"",$B291)</f>
        <v/>
      </c>
      <c r="CT291" s="100" t="str">
        <f aca="false">IF(ISBLANK($C291),"",$C291)</f>
        <v/>
      </c>
      <c r="CU291" s="100" t="str">
        <f aca="false">IF(ISBLANK($C291),"",$D291)</f>
        <v/>
      </c>
      <c r="CV291" s="101" t="str">
        <f aca="false">$CJ291</f>
        <v/>
      </c>
      <c r="CW291" s="102" t="str">
        <f aca="false">$CI291</f>
        <v/>
      </c>
      <c r="CX291" s="100" t="str">
        <f aca="false">IF(ISBLANK($C291),"",$CL291)</f>
        <v/>
      </c>
      <c r="CY291" s="103" t="str">
        <f aca="false">IF($CP291&gt;$CO$8,"",VLOOKUP($CP291,$CR$9:$CX$508,7,FALSE()))</f>
        <v/>
      </c>
      <c r="CZ291" s="104" t="str">
        <f aca="false">IF($CP291&gt;$CO$8,"",VLOOKUP($CP291,$CR$9:$CX$508,2,FALSE()))</f>
        <v/>
      </c>
      <c r="DA291" s="104" t="str">
        <f aca="false">IF($CP291&gt;$CO$8,"",VLOOKUP($CP291,$CR$9:$CX$508,3,FALSE()))</f>
        <v/>
      </c>
      <c r="DB291" s="104" t="str">
        <f aca="false">IF($CP291&gt;$CO$8,"",VLOOKUP($CP291,$CR$9:$CX$508,4,FALSE()))</f>
        <v/>
      </c>
      <c r="DC291" s="104" t="str">
        <f aca="false">IF($CP291&gt;$CO$8,"",VLOOKUP($CP291,$CR$9:$CX$508,5,FALSE()))</f>
        <v/>
      </c>
      <c r="DD291" s="105" t="str">
        <f aca="false">IF($CP291&gt;$CO$8,"",VLOOKUP($CP291,$CR$9:$CX$508,6,FALSE()))</f>
        <v/>
      </c>
      <c r="DE291" s="70"/>
    </row>
    <row r="292" customFormat="false" ht="15.75" hidden="false" customHeight="false" outlineLevel="0" collapsed="false">
      <c r="A292" s="8"/>
      <c r="B292" s="72"/>
      <c r="C292" s="73"/>
      <c r="D292" s="155"/>
      <c r="E292" s="162"/>
      <c r="F292" s="157"/>
      <c r="G292" s="77"/>
      <c r="H292" s="77"/>
      <c r="I292" s="77"/>
      <c r="J292" s="163"/>
      <c r="K292" s="161"/>
      <c r="L292" s="161"/>
      <c r="M292" s="80"/>
      <c r="N292" s="161"/>
      <c r="O292" s="160"/>
      <c r="P292" s="161"/>
      <c r="Q292" s="161"/>
      <c r="R292" s="161"/>
      <c r="S292" s="77"/>
      <c r="T292" s="161"/>
      <c r="U292" s="160"/>
      <c r="V292" s="161"/>
      <c r="W292" s="85"/>
      <c r="X292" s="86" t="str">
        <f aca="false">IF(ISBLANK($C292),"",IF($E292=Constants!$B$2,TRUE(),IF($E292=Constants!$B$3,FALSE(),TRUE())))</f>
        <v/>
      </c>
      <c r="Y292" s="86" t="str">
        <f aca="false">IF(ISBLANK($C292),"",IF($F292=Constants!$B$2,TRUE(),IF($F292=Constants!$B$3,FALSE(),TRUE())))</f>
        <v/>
      </c>
      <c r="Z292" s="87" t="str">
        <f aca="false">IF(ISBLANK($C292),"",IF(ISNUMBER($G292),IF($G292&gt;=0,$G292,""),""))</f>
        <v/>
      </c>
      <c r="AA292" s="87" t="str">
        <f aca="false">IF(ISBLANK($C292),"",IF(ISNUMBER($H292),IF($H292&gt;=0,$H292,""),""))</f>
        <v/>
      </c>
      <c r="AB292" s="87" t="str">
        <f aca="false">IF(ISBLANK($C292),"",IF(ISNUMBER($I292),IF($I292&gt;=0,$I292,""),""))</f>
        <v/>
      </c>
      <c r="AC292" s="86" t="str">
        <f aca="false">IF(ISBLANK($C292),"",IF($J292=Constants!$B$2,TRUE(),IF($J292=Constants!$B$3,FALSE(),TRUE())))</f>
        <v/>
      </c>
      <c r="AD292" s="86" t="str">
        <f aca="false">IF(ISBLANK($C292),"",IF($K292=Constants!$B$2,TRUE(),IF($K292=Constants!$B$3,FALSE(),TRUE())))</f>
        <v/>
      </c>
      <c r="AE292" s="86" t="str">
        <f aca="false">IF(ISBLANK($C292),"",IF($L292=Constants!$B$2,TRUE(),IF($L292=Constants!$B$3,FALSE(),TRUE())))</f>
        <v/>
      </c>
      <c r="AF292" s="88" t="str">
        <f aca="false">IF(ISBLANK($C292),"",IF(ISNUMBER($M292),IF($M292&gt;=0,$M292,""),""))</f>
        <v/>
      </c>
      <c r="AG292" s="86" t="str">
        <f aca="false">IF(ISBLANK($C292),"",IF(ISBLANK($N292),0,IF(ISNUMBER($N292),IF(AND($N292&gt;=0,$N292&lt;=Constants!$B$17,$N292=INT($N292)),$N292,""),"")))</f>
        <v/>
      </c>
      <c r="AH292" s="87" t="str">
        <f aca="false">IF(ISBLANK($C292),"",IF(ISBLANK($O292),0,IF(ISNUMBER($O292),IF($O292&gt;=0,$O292,""),"")))</f>
        <v/>
      </c>
      <c r="AI292" s="86" t="str">
        <f aca="false">IF(ISBLANK($C292),"",IF($P292=Constants!$B$2,TRUE(),IF($P292=Constants!$B$3,FALSE(),TRUE())))</f>
        <v/>
      </c>
      <c r="AJ292" s="86" t="str">
        <f aca="false">IF(ISBLANK($C292),"",IF($Q292=Constants!$B$2,TRUE(),IF($Q292=Constants!$B$3,FALSE(),TRUE())))</f>
        <v/>
      </c>
      <c r="AK292" s="86" t="str">
        <f aca="false">IF(ISBLANK($C292),"",IF($R292=Constants!$B$2,TRUE(),IF($R292=Constants!$B$3,FALSE(),TRUE())))</f>
        <v/>
      </c>
      <c r="AL292" s="88" t="str">
        <f aca="false">IF(ISBLANK($C292),"",IF(ISNUMBER($S292),IF($S292&gt;=0,$S292,""),""))</f>
        <v/>
      </c>
      <c r="AM292" s="86" t="str">
        <f aca="false">IF(ISBLANK($C292),"",IF(ISBLANK($T292),0,IF(ISNUMBER($T292),IF(AND($T292&gt;=0,$T292&lt;=Constants!$B$17,$T292=INT($T292)),$T292,""),"")))</f>
        <v/>
      </c>
      <c r="AN292" s="87" t="str">
        <f aca="false">IF(ISBLANK($C292),"",IF(ISBLANK($U292),0,IF(ISNUMBER($U292),IF($U292&gt;=0,$U292,""),"")))</f>
        <v/>
      </c>
      <c r="AO292" s="86" t="str">
        <f aca="false">IF(ISBLANK($C292),"",IF($V292=Constants!$B$2,TRUE(),IF($V292=Constants!$B$3,FALSE(),FALSE())))</f>
        <v/>
      </c>
      <c r="AP292" s="86"/>
      <c r="AQ292" s="85" t="str">
        <f aca="false">IF(ISBLANK($C292),"",AND($Y292,OR($AS292,$BC292),OR($Z292="",$AA292="",$AB292="")))</f>
        <v/>
      </c>
      <c r="AR292" s="85" t="str">
        <f aca="false">IF(ISBLANK($C292),"",IF(OR(NOT($Y292),NOT(OR($AS292,$BC292))),"",IF(ISBLANK($D$7),$AR$5,IF($AP$9="",$AR$6,""))))</f>
        <v/>
      </c>
      <c r="AS292" s="85" t="str">
        <f aca="false">IF(ISBLANK($C292),"",COUNTA($J292:$O292)&gt;0)</f>
        <v/>
      </c>
      <c r="AT292" s="85" t="str">
        <f aca="false">IF(ISBLANK($C292),"",AND($AS292,OR(AND($AF292="",OR($AE292,NOT(ISBLANK($M292)))),$AG292="",$AH292="")))</f>
        <v/>
      </c>
      <c r="AU292" s="87" t="str">
        <f aca="false">IF($BL292&lt;&gt;Constants!$B$4,"",IF(NOT($AS292),"",ROUND((Constants!$B$12-$AB292)+(Constants!$B$13-$Z292)+(Constants!$B$14-$AA292),1)))</f>
        <v/>
      </c>
      <c r="AV292" s="90" t="str">
        <f aca="false">IF($BL292&lt;&gt;Constants!$B$4,"",IF(NOT($AS292),"",IF(NOT($AE292),0,Constants!$B$15*(INT(ROUND(MIN($AF292,$AP$9),6))-INT(ROUND(MAX(0,MIN($AF292,2*$AP$9)-$AP$9),6))))))</f>
        <v/>
      </c>
      <c r="AW292" s="90" t="str">
        <f aca="false">IF($BL292&lt;&gt;Constants!$B$4,"",IF(NOT($AS292),"",Constants!$B$16*$AG292))</f>
        <v/>
      </c>
      <c r="AX292" s="90" t="str">
        <f aca="false">IF($BL292&lt;&gt;Constants!$B$4,"",IF(NOT($AS292),"",Constants!$B$18*INT(ROUND($AH292,6))))</f>
        <v/>
      </c>
      <c r="AY292" s="85" t="str">
        <f aca="false">IF($BL292&lt;&gt;Constants!$B$4,"",IF(NOT($AS292),"",IF(NOT($X292),Constants!$B$11,IF(OR(NOT($AC292),NOT($AD292),ROUND($AB292,1)&gt;Constants!$B$12,ROUND($Z292,1)&gt;Constants!$B$13,ROUND($AA292,1)&gt;Constants!$B$14),Constants!$B$10,Constants!$B$9))))</f>
        <v/>
      </c>
      <c r="AZ292" s="91" t="str">
        <f aca="false">IF($BL292&lt;&gt;Constants!$B$4,"",IF(NOT($AS292),"",ROUND($AU292+$AV292+$AW292+$AX292,1)))</f>
        <v/>
      </c>
      <c r="BA292" s="92" t="str">
        <f aca="false">IF($BL292&lt;&gt;Constants!$B$4,"",IF(NOT($AS292),"",IF(ISNUMBER($AF292),$AF292,0)))</f>
        <v/>
      </c>
      <c r="BB292" s="86" t="str">
        <f aca="false">IF($BL292&lt;&gt;Constants!$B$4,"",IF(NOT($BC292),"&lt;-",IF(NOT($AS292),"-&gt;",IF(OR($BI292&lt;$AY292,AND($BI292=$AY292,OR($BJ292&gt;$AZ292,AND($BJ292=$AZ292,OR($BH292&gt;$AX292,AND($BH292=$AX292,OR($BE292&gt;$AU292,AND($BE292=$AU292,OR($BF292&gt;$AV292,AND($BF292=$AV292,$BK292&gt;$BA292)))))))))),"-&gt;","&lt;-"))))</f>
        <v/>
      </c>
      <c r="BC292" s="85" t="str">
        <f aca="false">IF(ISBLANK($C292),"",COUNTA($P292:$U292)&gt;0)</f>
        <v/>
      </c>
      <c r="BD292" s="85" t="str">
        <f aca="false">IF(ISBLANK($C292),"",AND($BC292,OR(AND($AL292="",OR($AK292,NOT(ISBLANK($S292)))),$AM292="",$AN292="")))</f>
        <v/>
      </c>
      <c r="BE292" s="87" t="str">
        <f aca="false">IF($BL292&lt;&gt;Constants!$B$4,"",IF(NOT($BC292),"",ROUND((Constants!$B$12-$AB292)+(Constants!$B$13-$Z292)+(Constants!$B$14-$AA292),1)))</f>
        <v/>
      </c>
      <c r="BF292" s="90" t="str">
        <f aca="false">IF($BL292&lt;&gt;Constants!$B$4,"",IF(NOT($BC292),"",IF(NOT($AK292),0,Constants!$B$15*(INT(ROUND(MIN($AL292,$AP$9),6))-INT(ROUND(MAX(0,MIN($AL292,2*$AP$9)-$AP$9),6))))))</f>
        <v/>
      </c>
      <c r="BG292" s="90" t="str">
        <f aca="false">IF($BL292&lt;&gt;Constants!$B$4,"",IF(NOT($BC292),"",Constants!$B$16*$AM292))</f>
        <v/>
      </c>
      <c r="BH292" s="90" t="str">
        <f aca="false">IF($BL292&lt;&gt;Constants!$B$4,"",IF(NOT($BC292),"",Constants!$B$18*INT(ROUND($AN292,6))))</f>
        <v/>
      </c>
      <c r="BI292" s="85" t="str">
        <f aca="false">IF($BL292&lt;&gt;Constants!$B$4,"",IF(NOT($BC292),"",IF(NOT($X292),Constants!$B$11,IF(OR(NOT($AI292),NOT($AJ292),ROUND($AB292,1)&gt;Constants!$B$12,ROUND($Z292,1)&gt;Constants!$B$13,ROUND($AA292,1)&gt;Constants!$B$14),Constants!$B$10,Constants!$B$9))))</f>
        <v/>
      </c>
      <c r="BJ292" s="91" t="str">
        <f aca="false">IF($BL292&lt;&gt;Constants!$B$4,"",IF(NOT($BC292),"",ROUND($BE292+$BF292+$BG292+$BH292,1)))</f>
        <v/>
      </c>
      <c r="BK292" s="92" t="str">
        <f aca="false">IF($BL292&lt;&gt;Constants!$B$4,"",IF(NOT($BC292),"",IF(ISNUMBER($AL292),$AL292,0)))</f>
        <v/>
      </c>
      <c r="BL292" s="86" t="str">
        <f aca="false">IF(ISBLANK($C292),"",IF($AO292,Constants!$B$7,IF(COUNTA($E292:$V292)=0,Constants!$B$6,IF(NOT($Y292),Constants!$B$5,IF(NOT(OR($AS292,$BC292)),Constants!$B$5,IF(OR($AT292,$BD292,$AQ292,$AR292&lt;&gt;""),Constants!$B$8,Constants!$B$4))))))</f>
        <v/>
      </c>
      <c r="BM292" s="86" t="str">
        <f aca="false">IF(ISBLANK($C292),"",IF($BL292&lt;&gt;Constants!$B$4,$BL292,IF($BB292="-&gt;",$BI292,$AY292)))</f>
        <v/>
      </c>
      <c r="BN292" s="90" t="str">
        <f aca="false">IF($BL292&lt;&gt;Constants!$B$4,"",IF($BB292="-&gt;",$BJ292,$AZ292))</f>
        <v/>
      </c>
      <c r="BO292" s="90" t="str">
        <f aca="false">IF(ISBLANK($C292),"",IF($BL292&lt;&gt;Constants!$B$4,$BL292,$BN292))</f>
        <v/>
      </c>
      <c r="BP292" s="86" t="str">
        <f aca="false">IF(ISBLANK($C292),"",IF($BL292&lt;&gt;Constants!$B$4,$BL292,RANK($BO292,$BO$9:$BO$508,0)))</f>
        <v/>
      </c>
      <c r="BQ292" s="86" t="str">
        <f aca="false">IF(ISBLANK($C292),"",IF($BL292&lt;&gt;Constants!$B$4,$BL292,COUNTIFS($BM$9:$BM$508,"&lt;"&amp;$BM292)+COUNTIFS($BM$9:$BM$508,$BM292,$BP$9:$BP$508,"&lt;"&amp;$BP292)+1))</f>
        <v/>
      </c>
      <c r="BR292" s="90" t="str">
        <f aca="false">IF($BL292&lt;&gt;Constants!$B$4,"",IF($BB292="-&gt;",$BH292,$AX292))</f>
        <v/>
      </c>
      <c r="BS292" s="86" t="str">
        <f aca="false">IF(ISBLANK($C292),"",IF($BL292&lt;&gt;Constants!$B$4,$BL292,IF(ISNUMBER($BR292),RANK($BR292,$BR$9:$BR$508,0),COUNT($BR$9:$BR$508)+1)))</f>
        <v/>
      </c>
      <c r="BT292" s="90" t="str">
        <f aca="false">IF($BL292&lt;&gt;Constants!$B$4,"",IF($BB292="-&gt;",$BE292,$AU292))</f>
        <v/>
      </c>
      <c r="BU292" s="86" t="str">
        <f aca="false">IF(ISBLANK($C292),"",IF($BL292&lt;&gt;Constants!$B$4,$BL292,IF(ISNUMBER($BT292),RANK($BT292,$BT$9:$BT$508,0),COUNT($BT$9:$BT$508)+1)))</f>
        <v/>
      </c>
      <c r="BV292" s="90" t="str">
        <f aca="false">IF($BL292&lt;&gt;Constants!$B$4,"",IF($BB292="-&gt;",$BF292,$AV292))</f>
        <v/>
      </c>
      <c r="BW292" s="86" t="str">
        <f aca="false">IF(ISBLANK($C292),"",IF($BL292&lt;&gt;Constants!$B$4,$BL292,IF(ISNUMBER($BV292),RANK($BV292,$BV$9:$BV$508,0),COUNT($BV$9:$BV$508)+1)))</f>
        <v/>
      </c>
      <c r="BX292" s="90" t="str">
        <f aca="false">IF($BL292&lt;&gt;Constants!$B$4,"",IF($BB292="-&gt;",$BK292,$BA292))</f>
        <v/>
      </c>
      <c r="BY292" s="86" t="str">
        <f aca="false">IF(ISBLANK($C292),"",IF($BL292&lt;&gt;Constants!$B$4,$BL292,IF(ISNUMBER($BX292),RANK($BX292,$BX$9:$BX$508,0),COUNT($BX$9:$BX$508)+1)))</f>
        <v/>
      </c>
      <c r="BZ292" s="86" t="str">
        <f aca="false">IF(ISBLANK($C292),"",IF($BL292&lt;&gt;Constants!$B$4,$BL292,COUNTIFS($BM$9:$BM$508,"&lt;"&amp;$BM292)+COUNTIFS($BM$9:$BM$508,$BM292,$BP$9:$BP$508,"&lt;"&amp;$BP292)+COUNTIFS($BM$9:$BM$508,$BM292,$BP$9:$BP$508,$BP292,$BS$9:$BS$508,"&lt;"&amp;$BS292)+COUNTIFS($BM$9:$BM$508,$BM292,$BP$9:$BP$508,$BP292,$BS$9:$BS$508,$BS292,$BU$9:$BU$508,"&lt;"&amp;$BU292)+COUNTIFS($BM$9:$BM$508,$BM292,$BP$9:$BP$508,$BP292,$BS$9:$BS$508,$BS292,$BU$9:$BU$508,$BU292,$BW$9:$BW$508,"&lt;"&amp;$BW292)+COUNTIFS($BM$9:$BM$508,$BM292,$BP$9:$BP$508,$BP292,$BS$9:$BS$508,$BS292,$BU$9:$BU$508,$BU292,$BW$9:$BW$508,$BW292,$BY$9:$BY$508,"&lt;"&amp;$BY292)+1))</f>
        <v/>
      </c>
      <c r="CA292" s="86" t="str">
        <f aca="false">IF(ISBLANK($C292),"",IF($BL292&lt;&gt;Constants!$B$4,$BL292,$BQ292-$BZ292))</f>
        <v/>
      </c>
      <c r="CB292" s="93"/>
      <c r="CC292" s="94" t="str">
        <f aca="false">IF(ISBLANK($C292),"",IF($BL292=Constants!$B$8,$AR292,""))</f>
        <v/>
      </c>
      <c r="CD292" s="94" t="str">
        <f aca="false">IF(ISBLANK($C292),"",IF($BL292&lt;&gt;Constants!$B$4,"",IF($BB292="-&gt;",2,1)))</f>
        <v/>
      </c>
      <c r="CE292" s="95" t="str">
        <f aca="false">IF(ISBLANK($C292),"",IF($BL292&lt;&gt;Constants!$B$4,"",IF($BB292="-&gt;",$BE292,$AU292)))</f>
        <v/>
      </c>
      <c r="CF292" s="95" t="str">
        <f aca="false">IF(ISBLANK($C292),"",IF($BL292&lt;&gt;Constants!$B$4,"",IF($BB292="-&gt;",$BF292,$AV292)))</f>
        <v/>
      </c>
      <c r="CG292" s="95" t="str">
        <f aca="false">IF(ISBLANK($C292),"",IF($BL292&lt;&gt;Constants!$B$4,"",IF($BB292="-&gt;",$BG292,$AW292)))</f>
        <v/>
      </c>
      <c r="CH292" s="95" t="str">
        <f aca="false">IF(ISBLANK($C292),"",IF($BL292&lt;&gt;Constants!$B$4,"",IF($BB292="-&gt;",$BH292,$AX292)))</f>
        <v/>
      </c>
      <c r="CI292" s="96" t="str">
        <f aca="false">IF(ISBLANK($C292),"",$BO292)</f>
        <v/>
      </c>
      <c r="CJ292" s="97" t="str">
        <f aca="false">IF(ISBLANK($C292),"",$BM292)</f>
        <v/>
      </c>
      <c r="CK292" s="98" t="str">
        <f aca="false">IF(ISBLANK($C292),"",$CA292)</f>
        <v/>
      </c>
      <c r="CL292" s="98" t="str">
        <f aca="false">IF(ISBLANK($C292),"",$BZ292)</f>
        <v/>
      </c>
      <c r="CM292" s="99" t="str">
        <f aca="false">IF(ISBLANK($C292),"",IF($CL292=Constants!$B$7,COUNTA($C$9:$C$508)+2,IF($CL292=Constants!$B$6,COUNTA($C$9:$C$508)+1,IF($CL292=Constants!$B$5,COUNTA($C$9:$C$508),$CL292))))</f>
        <v/>
      </c>
      <c r="CN292" s="8"/>
      <c r="CO292" s="100" t="n">
        <f aca="false">IF(OR(ISNUMBER($CL292),$CL292=Constants!$B$7,$CL292=Constants!$B$5,$CL292=Constants!$B$6),1,0)</f>
        <v>0</v>
      </c>
      <c r="CP292" s="100" t="n">
        <v>284</v>
      </c>
      <c r="CQ292" s="100" t="str">
        <f aca="false">IF(ISBLANK($C292),"",IF(ISNUMBER($CM292),$CM292+ROW($B292)/1000,""))</f>
        <v/>
      </c>
      <c r="CR292" s="100" t="str">
        <f aca="false">IF(ISNUMBER($CQ292),RANK($CQ292,$CQ$9:$CQ$508,1),"")</f>
        <v/>
      </c>
      <c r="CS292" s="100" t="str">
        <f aca="false">IF(ISBLANK($C292),"",$B292)</f>
        <v/>
      </c>
      <c r="CT292" s="100" t="str">
        <f aca="false">IF(ISBLANK($C292),"",$C292)</f>
        <v/>
      </c>
      <c r="CU292" s="100" t="str">
        <f aca="false">IF(ISBLANK($C292),"",$D292)</f>
        <v/>
      </c>
      <c r="CV292" s="101" t="str">
        <f aca="false">$CJ292</f>
        <v/>
      </c>
      <c r="CW292" s="102" t="str">
        <f aca="false">$CI292</f>
        <v/>
      </c>
      <c r="CX292" s="100" t="str">
        <f aca="false">IF(ISBLANK($C292),"",$CL292)</f>
        <v/>
      </c>
      <c r="CY292" s="103" t="str">
        <f aca="false">IF($CP292&gt;$CO$8,"",VLOOKUP($CP292,$CR$9:$CX$508,7,FALSE()))</f>
        <v/>
      </c>
      <c r="CZ292" s="104" t="str">
        <f aca="false">IF($CP292&gt;$CO$8,"",VLOOKUP($CP292,$CR$9:$CX$508,2,FALSE()))</f>
        <v/>
      </c>
      <c r="DA292" s="104" t="str">
        <f aca="false">IF($CP292&gt;$CO$8,"",VLOOKUP($CP292,$CR$9:$CX$508,3,FALSE()))</f>
        <v/>
      </c>
      <c r="DB292" s="104" t="str">
        <f aca="false">IF($CP292&gt;$CO$8,"",VLOOKUP($CP292,$CR$9:$CX$508,4,FALSE()))</f>
        <v/>
      </c>
      <c r="DC292" s="104" t="str">
        <f aca="false">IF($CP292&gt;$CO$8,"",VLOOKUP($CP292,$CR$9:$CX$508,5,FALSE()))</f>
        <v/>
      </c>
      <c r="DD292" s="105" t="str">
        <f aca="false">IF($CP292&gt;$CO$8,"",VLOOKUP($CP292,$CR$9:$CX$508,6,FALSE()))</f>
        <v/>
      </c>
      <c r="DE292" s="70"/>
    </row>
    <row r="293" customFormat="false" ht="15.75" hidden="false" customHeight="false" outlineLevel="0" collapsed="false">
      <c r="A293" s="8"/>
      <c r="B293" s="72"/>
      <c r="C293" s="73"/>
      <c r="D293" s="155"/>
      <c r="E293" s="162"/>
      <c r="F293" s="157"/>
      <c r="G293" s="77"/>
      <c r="H293" s="77"/>
      <c r="I293" s="77"/>
      <c r="J293" s="163"/>
      <c r="K293" s="161"/>
      <c r="L293" s="161"/>
      <c r="M293" s="80"/>
      <c r="N293" s="161"/>
      <c r="O293" s="160"/>
      <c r="P293" s="161"/>
      <c r="Q293" s="161"/>
      <c r="R293" s="161"/>
      <c r="S293" s="77"/>
      <c r="T293" s="161"/>
      <c r="U293" s="160"/>
      <c r="V293" s="161"/>
      <c r="W293" s="85"/>
      <c r="X293" s="86" t="str">
        <f aca="false">IF(ISBLANK($C293),"",IF($E293=Constants!$B$2,TRUE(),IF($E293=Constants!$B$3,FALSE(),TRUE())))</f>
        <v/>
      </c>
      <c r="Y293" s="86" t="str">
        <f aca="false">IF(ISBLANK($C293),"",IF($F293=Constants!$B$2,TRUE(),IF($F293=Constants!$B$3,FALSE(),TRUE())))</f>
        <v/>
      </c>
      <c r="Z293" s="87" t="str">
        <f aca="false">IF(ISBLANK($C293),"",IF(ISNUMBER($G293),IF($G293&gt;=0,$G293,""),""))</f>
        <v/>
      </c>
      <c r="AA293" s="87" t="str">
        <f aca="false">IF(ISBLANK($C293),"",IF(ISNUMBER($H293),IF($H293&gt;=0,$H293,""),""))</f>
        <v/>
      </c>
      <c r="AB293" s="87" t="str">
        <f aca="false">IF(ISBLANK($C293),"",IF(ISNUMBER($I293),IF($I293&gt;=0,$I293,""),""))</f>
        <v/>
      </c>
      <c r="AC293" s="86" t="str">
        <f aca="false">IF(ISBLANK($C293),"",IF($J293=Constants!$B$2,TRUE(),IF($J293=Constants!$B$3,FALSE(),TRUE())))</f>
        <v/>
      </c>
      <c r="AD293" s="86" t="str">
        <f aca="false">IF(ISBLANK($C293),"",IF($K293=Constants!$B$2,TRUE(),IF($K293=Constants!$B$3,FALSE(),TRUE())))</f>
        <v/>
      </c>
      <c r="AE293" s="86" t="str">
        <f aca="false">IF(ISBLANK($C293),"",IF($L293=Constants!$B$2,TRUE(),IF($L293=Constants!$B$3,FALSE(),TRUE())))</f>
        <v/>
      </c>
      <c r="AF293" s="88" t="str">
        <f aca="false">IF(ISBLANK($C293),"",IF(ISNUMBER($M293),IF($M293&gt;=0,$M293,""),""))</f>
        <v/>
      </c>
      <c r="AG293" s="86" t="str">
        <f aca="false">IF(ISBLANK($C293),"",IF(ISBLANK($N293),0,IF(ISNUMBER($N293),IF(AND($N293&gt;=0,$N293&lt;=Constants!$B$17,$N293=INT($N293)),$N293,""),"")))</f>
        <v/>
      </c>
      <c r="AH293" s="87" t="str">
        <f aca="false">IF(ISBLANK($C293),"",IF(ISBLANK($O293),0,IF(ISNUMBER($O293),IF($O293&gt;=0,$O293,""),"")))</f>
        <v/>
      </c>
      <c r="AI293" s="86" t="str">
        <f aca="false">IF(ISBLANK($C293),"",IF($P293=Constants!$B$2,TRUE(),IF($P293=Constants!$B$3,FALSE(),TRUE())))</f>
        <v/>
      </c>
      <c r="AJ293" s="86" t="str">
        <f aca="false">IF(ISBLANK($C293),"",IF($Q293=Constants!$B$2,TRUE(),IF($Q293=Constants!$B$3,FALSE(),TRUE())))</f>
        <v/>
      </c>
      <c r="AK293" s="86" t="str">
        <f aca="false">IF(ISBLANK($C293),"",IF($R293=Constants!$B$2,TRUE(),IF($R293=Constants!$B$3,FALSE(),TRUE())))</f>
        <v/>
      </c>
      <c r="AL293" s="88" t="str">
        <f aca="false">IF(ISBLANK($C293),"",IF(ISNUMBER($S293),IF($S293&gt;=0,$S293,""),""))</f>
        <v/>
      </c>
      <c r="AM293" s="86" t="str">
        <f aca="false">IF(ISBLANK($C293),"",IF(ISBLANK($T293),0,IF(ISNUMBER($T293),IF(AND($T293&gt;=0,$T293&lt;=Constants!$B$17,$T293=INT($T293)),$T293,""),"")))</f>
        <v/>
      </c>
      <c r="AN293" s="87" t="str">
        <f aca="false">IF(ISBLANK($C293),"",IF(ISBLANK($U293),0,IF(ISNUMBER($U293),IF($U293&gt;=0,$U293,""),"")))</f>
        <v/>
      </c>
      <c r="AO293" s="86" t="str">
        <f aca="false">IF(ISBLANK($C293),"",IF($V293=Constants!$B$2,TRUE(),IF($V293=Constants!$B$3,FALSE(),FALSE())))</f>
        <v/>
      </c>
      <c r="AP293" s="86"/>
      <c r="AQ293" s="85" t="str">
        <f aca="false">IF(ISBLANK($C293),"",AND($Y293,OR($AS293,$BC293),OR($Z293="",$AA293="",$AB293="")))</f>
        <v/>
      </c>
      <c r="AR293" s="85" t="str">
        <f aca="false">IF(ISBLANK($C293),"",IF(OR(NOT($Y293),NOT(OR($AS293,$BC293))),"",IF(ISBLANK($D$7),$AR$5,IF($AP$9="",$AR$6,""))))</f>
        <v/>
      </c>
      <c r="AS293" s="85" t="str">
        <f aca="false">IF(ISBLANK($C293),"",COUNTA($J293:$O293)&gt;0)</f>
        <v/>
      </c>
      <c r="AT293" s="85" t="str">
        <f aca="false">IF(ISBLANK($C293),"",AND($AS293,OR(AND($AF293="",OR($AE293,NOT(ISBLANK($M293)))),$AG293="",$AH293="")))</f>
        <v/>
      </c>
      <c r="AU293" s="87" t="str">
        <f aca="false">IF($BL293&lt;&gt;Constants!$B$4,"",IF(NOT($AS293),"",ROUND((Constants!$B$12-$AB293)+(Constants!$B$13-$Z293)+(Constants!$B$14-$AA293),1)))</f>
        <v/>
      </c>
      <c r="AV293" s="90" t="str">
        <f aca="false">IF($BL293&lt;&gt;Constants!$B$4,"",IF(NOT($AS293),"",IF(NOT($AE293),0,Constants!$B$15*(INT(ROUND(MIN($AF293,$AP$9),6))-INT(ROUND(MAX(0,MIN($AF293,2*$AP$9)-$AP$9),6))))))</f>
        <v/>
      </c>
      <c r="AW293" s="90" t="str">
        <f aca="false">IF($BL293&lt;&gt;Constants!$B$4,"",IF(NOT($AS293),"",Constants!$B$16*$AG293))</f>
        <v/>
      </c>
      <c r="AX293" s="90" t="str">
        <f aca="false">IF($BL293&lt;&gt;Constants!$B$4,"",IF(NOT($AS293),"",Constants!$B$18*INT(ROUND($AH293,6))))</f>
        <v/>
      </c>
      <c r="AY293" s="85" t="str">
        <f aca="false">IF($BL293&lt;&gt;Constants!$B$4,"",IF(NOT($AS293),"",IF(NOT($X293),Constants!$B$11,IF(OR(NOT($AC293),NOT($AD293),ROUND($AB293,1)&gt;Constants!$B$12,ROUND($Z293,1)&gt;Constants!$B$13,ROUND($AA293,1)&gt;Constants!$B$14),Constants!$B$10,Constants!$B$9))))</f>
        <v/>
      </c>
      <c r="AZ293" s="91" t="str">
        <f aca="false">IF($BL293&lt;&gt;Constants!$B$4,"",IF(NOT($AS293),"",ROUND($AU293+$AV293+$AW293+$AX293,1)))</f>
        <v/>
      </c>
      <c r="BA293" s="92" t="str">
        <f aca="false">IF($BL293&lt;&gt;Constants!$B$4,"",IF(NOT($AS293),"",IF(ISNUMBER($AF293),$AF293,0)))</f>
        <v/>
      </c>
      <c r="BB293" s="86" t="str">
        <f aca="false">IF($BL293&lt;&gt;Constants!$B$4,"",IF(NOT($BC293),"&lt;-",IF(NOT($AS293),"-&gt;",IF(OR($BI293&lt;$AY293,AND($BI293=$AY293,OR($BJ293&gt;$AZ293,AND($BJ293=$AZ293,OR($BH293&gt;$AX293,AND($BH293=$AX293,OR($BE293&gt;$AU293,AND($BE293=$AU293,OR($BF293&gt;$AV293,AND($BF293=$AV293,$BK293&gt;$BA293)))))))))),"-&gt;","&lt;-"))))</f>
        <v/>
      </c>
      <c r="BC293" s="85" t="str">
        <f aca="false">IF(ISBLANK($C293),"",COUNTA($P293:$U293)&gt;0)</f>
        <v/>
      </c>
      <c r="BD293" s="85" t="str">
        <f aca="false">IF(ISBLANK($C293),"",AND($BC293,OR(AND($AL293="",OR($AK293,NOT(ISBLANK($S293)))),$AM293="",$AN293="")))</f>
        <v/>
      </c>
      <c r="BE293" s="87" t="str">
        <f aca="false">IF($BL293&lt;&gt;Constants!$B$4,"",IF(NOT($BC293),"",ROUND((Constants!$B$12-$AB293)+(Constants!$B$13-$Z293)+(Constants!$B$14-$AA293),1)))</f>
        <v/>
      </c>
      <c r="BF293" s="90" t="str">
        <f aca="false">IF($BL293&lt;&gt;Constants!$B$4,"",IF(NOT($BC293),"",IF(NOT($AK293),0,Constants!$B$15*(INT(ROUND(MIN($AL293,$AP$9),6))-INT(ROUND(MAX(0,MIN($AL293,2*$AP$9)-$AP$9),6))))))</f>
        <v/>
      </c>
      <c r="BG293" s="90" t="str">
        <f aca="false">IF($BL293&lt;&gt;Constants!$B$4,"",IF(NOT($BC293),"",Constants!$B$16*$AM293))</f>
        <v/>
      </c>
      <c r="BH293" s="90" t="str">
        <f aca="false">IF($BL293&lt;&gt;Constants!$B$4,"",IF(NOT($BC293),"",Constants!$B$18*INT(ROUND($AN293,6))))</f>
        <v/>
      </c>
      <c r="BI293" s="85" t="str">
        <f aca="false">IF($BL293&lt;&gt;Constants!$B$4,"",IF(NOT($BC293),"",IF(NOT($X293),Constants!$B$11,IF(OR(NOT($AI293),NOT($AJ293),ROUND($AB293,1)&gt;Constants!$B$12,ROUND($Z293,1)&gt;Constants!$B$13,ROUND($AA293,1)&gt;Constants!$B$14),Constants!$B$10,Constants!$B$9))))</f>
        <v/>
      </c>
      <c r="BJ293" s="91" t="str">
        <f aca="false">IF($BL293&lt;&gt;Constants!$B$4,"",IF(NOT($BC293),"",ROUND($BE293+$BF293+$BG293+$BH293,1)))</f>
        <v/>
      </c>
      <c r="BK293" s="92" t="str">
        <f aca="false">IF($BL293&lt;&gt;Constants!$B$4,"",IF(NOT($BC293),"",IF(ISNUMBER($AL293),$AL293,0)))</f>
        <v/>
      </c>
      <c r="BL293" s="86" t="str">
        <f aca="false">IF(ISBLANK($C293),"",IF($AO293,Constants!$B$7,IF(COUNTA($E293:$V293)=0,Constants!$B$6,IF(NOT($Y293),Constants!$B$5,IF(NOT(OR($AS293,$BC293)),Constants!$B$5,IF(OR($AT293,$BD293,$AQ293,$AR293&lt;&gt;""),Constants!$B$8,Constants!$B$4))))))</f>
        <v/>
      </c>
      <c r="BM293" s="86" t="str">
        <f aca="false">IF(ISBLANK($C293),"",IF($BL293&lt;&gt;Constants!$B$4,$BL293,IF($BB293="-&gt;",$BI293,$AY293)))</f>
        <v/>
      </c>
      <c r="BN293" s="90" t="str">
        <f aca="false">IF($BL293&lt;&gt;Constants!$B$4,"",IF($BB293="-&gt;",$BJ293,$AZ293))</f>
        <v/>
      </c>
      <c r="BO293" s="90" t="str">
        <f aca="false">IF(ISBLANK($C293),"",IF($BL293&lt;&gt;Constants!$B$4,$BL293,$BN293))</f>
        <v/>
      </c>
      <c r="BP293" s="86" t="str">
        <f aca="false">IF(ISBLANK($C293),"",IF($BL293&lt;&gt;Constants!$B$4,$BL293,RANK($BO293,$BO$9:$BO$508,0)))</f>
        <v/>
      </c>
      <c r="BQ293" s="86" t="str">
        <f aca="false">IF(ISBLANK($C293),"",IF($BL293&lt;&gt;Constants!$B$4,$BL293,COUNTIFS($BM$9:$BM$508,"&lt;"&amp;$BM293)+COUNTIFS($BM$9:$BM$508,$BM293,$BP$9:$BP$508,"&lt;"&amp;$BP293)+1))</f>
        <v/>
      </c>
      <c r="BR293" s="90" t="str">
        <f aca="false">IF($BL293&lt;&gt;Constants!$B$4,"",IF($BB293="-&gt;",$BH293,$AX293))</f>
        <v/>
      </c>
      <c r="BS293" s="86" t="str">
        <f aca="false">IF(ISBLANK($C293),"",IF($BL293&lt;&gt;Constants!$B$4,$BL293,IF(ISNUMBER($BR293),RANK($BR293,$BR$9:$BR$508,0),COUNT($BR$9:$BR$508)+1)))</f>
        <v/>
      </c>
      <c r="BT293" s="90" t="str">
        <f aca="false">IF($BL293&lt;&gt;Constants!$B$4,"",IF($BB293="-&gt;",$BE293,$AU293))</f>
        <v/>
      </c>
      <c r="BU293" s="86" t="str">
        <f aca="false">IF(ISBLANK($C293),"",IF($BL293&lt;&gt;Constants!$B$4,$BL293,IF(ISNUMBER($BT293),RANK($BT293,$BT$9:$BT$508,0),COUNT($BT$9:$BT$508)+1)))</f>
        <v/>
      </c>
      <c r="BV293" s="90" t="str">
        <f aca="false">IF($BL293&lt;&gt;Constants!$B$4,"",IF($BB293="-&gt;",$BF293,$AV293))</f>
        <v/>
      </c>
      <c r="BW293" s="86" t="str">
        <f aca="false">IF(ISBLANK($C293),"",IF($BL293&lt;&gt;Constants!$B$4,$BL293,IF(ISNUMBER($BV293),RANK($BV293,$BV$9:$BV$508,0),COUNT($BV$9:$BV$508)+1)))</f>
        <v/>
      </c>
      <c r="BX293" s="90" t="str">
        <f aca="false">IF($BL293&lt;&gt;Constants!$B$4,"",IF($BB293="-&gt;",$BK293,$BA293))</f>
        <v/>
      </c>
      <c r="BY293" s="86" t="str">
        <f aca="false">IF(ISBLANK($C293),"",IF($BL293&lt;&gt;Constants!$B$4,$BL293,IF(ISNUMBER($BX293),RANK($BX293,$BX$9:$BX$508,0),COUNT($BX$9:$BX$508)+1)))</f>
        <v/>
      </c>
      <c r="BZ293" s="86" t="str">
        <f aca="false">IF(ISBLANK($C293),"",IF($BL293&lt;&gt;Constants!$B$4,$BL293,COUNTIFS($BM$9:$BM$508,"&lt;"&amp;$BM293)+COUNTIFS($BM$9:$BM$508,$BM293,$BP$9:$BP$508,"&lt;"&amp;$BP293)+COUNTIFS($BM$9:$BM$508,$BM293,$BP$9:$BP$508,$BP293,$BS$9:$BS$508,"&lt;"&amp;$BS293)+COUNTIFS($BM$9:$BM$508,$BM293,$BP$9:$BP$508,$BP293,$BS$9:$BS$508,$BS293,$BU$9:$BU$508,"&lt;"&amp;$BU293)+COUNTIFS($BM$9:$BM$508,$BM293,$BP$9:$BP$508,$BP293,$BS$9:$BS$508,$BS293,$BU$9:$BU$508,$BU293,$BW$9:$BW$508,"&lt;"&amp;$BW293)+COUNTIFS($BM$9:$BM$508,$BM293,$BP$9:$BP$508,$BP293,$BS$9:$BS$508,$BS293,$BU$9:$BU$508,$BU293,$BW$9:$BW$508,$BW293,$BY$9:$BY$508,"&lt;"&amp;$BY293)+1))</f>
        <v/>
      </c>
      <c r="CA293" s="86" t="str">
        <f aca="false">IF(ISBLANK($C293),"",IF($BL293&lt;&gt;Constants!$B$4,$BL293,$BQ293-$BZ293))</f>
        <v/>
      </c>
      <c r="CB293" s="93"/>
      <c r="CC293" s="94" t="str">
        <f aca="false">IF(ISBLANK($C293),"",IF($BL293=Constants!$B$8,$AR293,""))</f>
        <v/>
      </c>
      <c r="CD293" s="94" t="str">
        <f aca="false">IF(ISBLANK($C293),"",IF($BL293&lt;&gt;Constants!$B$4,"",IF($BB293="-&gt;",2,1)))</f>
        <v/>
      </c>
      <c r="CE293" s="95" t="str">
        <f aca="false">IF(ISBLANK($C293),"",IF($BL293&lt;&gt;Constants!$B$4,"",IF($BB293="-&gt;",$BE293,$AU293)))</f>
        <v/>
      </c>
      <c r="CF293" s="95" t="str">
        <f aca="false">IF(ISBLANK($C293),"",IF($BL293&lt;&gt;Constants!$B$4,"",IF($BB293="-&gt;",$BF293,$AV293)))</f>
        <v/>
      </c>
      <c r="CG293" s="95" t="str">
        <f aca="false">IF(ISBLANK($C293),"",IF($BL293&lt;&gt;Constants!$B$4,"",IF($BB293="-&gt;",$BG293,$AW293)))</f>
        <v/>
      </c>
      <c r="CH293" s="95" t="str">
        <f aca="false">IF(ISBLANK($C293),"",IF($BL293&lt;&gt;Constants!$B$4,"",IF($BB293="-&gt;",$BH293,$AX293)))</f>
        <v/>
      </c>
      <c r="CI293" s="96" t="str">
        <f aca="false">IF(ISBLANK($C293),"",$BO293)</f>
        <v/>
      </c>
      <c r="CJ293" s="97" t="str">
        <f aca="false">IF(ISBLANK($C293),"",$BM293)</f>
        <v/>
      </c>
      <c r="CK293" s="98" t="str">
        <f aca="false">IF(ISBLANK($C293),"",$CA293)</f>
        <v/>
      </c>
      <c r="CL293" s="98" t="str">
        <f aca="false">IF(ISBLANK($C293),"",$BZ293)</f>
        <v/>
      </c>
      <c r="CM293" s="99" t="str">
        <f aca="false">IF(ISBLANK($C293),"",IF($CL293=Constants!$B$7,COUNTA($C$9:$C$508)+2,IF($CL293=Constants!$B$6,COUNTA($C$9:$C$508)+1,IF($CL293=Constants!$B$5,COUNTA($C$9:$C$508),$CL293))))</f>
        <v/>
      </c>
      <c r="CN293" s="8"/>
      <c r="CO293" s="100" t="n">
        <f aca="false">IF(OR(ISNUMBER($CL293),$CL293=Constants!$B$7,$CL293=Constants!$B$5,$CL293=Constants!$B$6),1,0)</f>
        <v>0</v>
      </c>
      <c r="CP293" s="100" t="n">
        <v>285</v>
      </c>
      <c r="CQ293" s="100" t="str">
        <f aca="false">IF(ISBLANK($C293),"",IF(ISNUMBER($CM293),$CM293+ROW($B293)/1000,""))</f>
        <v/>
      </c>
      <c r="CR293" s="100" t="str">
        <f aca="false">IF(ISNUMBER($CQ293),RANK($CQ293,$CQ$9:$CQ$508,1),"")</f>
        <v/>
      </c>
      <c r="CS293" s="100" t="str">
        <f aca="false">IF(ISBLANK($C293),"",$B293)</f>
        <v/>
      </c>
      <c r="CT293" s="100" t="str">
        <f aca="false">IF(ISBLANK($C293),"",$C293)</f>
        <v/>
      </c>
      <c r="CU293" s="100" t="str">
        <f aca="false">IF(ISBLANK($C293),"",$D293)</f>
        <v/>
      </c>
      <c r="CV293" s="101" t="str">
        <f aca="false">$CJ293</f>
        <v/>
      </c>
      <c r="CW293" s="102" t="str">
        <f aca="false">$CI293</f>
        <v/>
      </c>
      <c r="CX293" s="100" t="str">
        <f aca="false">IF(ISBLANK($C293),"",$CL293)</f>
        <v/>
      </c>
      <c r="CY293" s="103" t="str">
        <f aca="false">IF($CP293&gt;$CO$8,"",VLOOKUP($CP293,$CR$9:$CX$508,7,FALSE()))</f>
        <v/>
      </c>
      <c r="CZ293" s="104" t="str">
        <f aca="false">IF($CP293&gt;$CO$8,"",VLOOKUP($CP293,$CR$9:$CX$508,2,FALSE()))</f>
        <v/>
      </c>
      <c r="DA293" s="104" t="str">
        <f aca="false">IF($CP293&gt;$CO$8,"",VLOOKUP($CP293,$CR$9:$CX$508,3,FALSE()))</f>
        <v/>
      </c>
      <c r="DB293" s="104" t="str">
        <f aca="false">IF($CP293&gt;$CO$8,"",VLOOKUP($CP293,$CR$9:$CX$508,4,FALSE()))</f>
        <v/>
      </c>
      <c r="DC293" s="104" t="str">
        <f aca="false">IF($CP293&gt;$CO$8,"",VLOOKUP($CP293,$CR$9:$CX$508,5,FALSE()))</f>
        <v/>
      </c>
      <c r="DD293" s="105" t="str">
        <f aca="false">IF($CP293&gt;$CO$8,"",VLOOKUP($CP293,$CR$9:$CX$508,6,FALSE()))</f>
        <v/>
      </c>
      <c r="DE293" s="70"/>
    </row>
    <row r="294" customFormat="false" ht="15.75" hidden="false" customHeight="false" outlineLevel="0" collapsed="false">
      <c r="A294" s="8"/>
      <c r="B294" s="146"/>
      <c r="C294" s="147"/>
      <c r="D294" s="148"/>
      <c r="E294" s="164"/>
      <c r="F294" s="150"/>
      <c r="G294" s="115"/>
      <c r="H294" s="115"/>
      <c r="I294" s="115"/>
      <c r="J294" s="165"/>
      <c r="K294" s="154"/>
      <c r="L294" s="154"/>
      <c r="M294" s="118"/>
      <c r="N294" s="154"/>
      <c r="O294" s="153"/>
      <c r="P294" s="154"/>
      <c r="Q294" s="154"/>
      <c r="R294" s="154"/>
      <c r="S294" s="115"/>
      <c r="T294" s="154"/>
      <c r="U294" s="153"/>
      <c r="V294" s="154"/>
      <c r="W294" s="123"/>
      <c r="X294" s="124" t="str">
        <f aca="false">IF(ISBLANK($C294),"",IF($E294=Constants!$B$2,TRUE(),IF($E294=Constants!$B$3,FALSE(),TRUE())))</f>
        <v/>
      </c>
      <c r="Y294" s="124" t="str">
        <f aca="false">IF(ISBLANK($C294),"",IF($F294=Constants!$B$2,TRUE(),IF($F294=Constants!$B$3,FALSE(),TRUE())))</f>
        <v/>
      </c>
      <c r="Z294" s="125" t="str">
        <f aca="false">IF(ISBLANK($C294),"",IF(ISNUMBER($G294),IF($G294&gt;=0,$G294,""),""))</f>
        <v/>
      </c>
      <c r="AA294" s="125" t="str">
        <f aca="false">IF(ISBLANK($C294),"",IF(ISNUMBER($H294),IF($H294&gt;=0,$H294,""),""))</f>
        <v/>
      </c>
      <c r="AB294" s="125" t="str">
        <f aca="false">IF(ISBLANK($C294),"",IF(ISNUMBER($I294),IF($I294&gt;=0,$I294,""),""))</f>
        <v/>
      </c>
      <c r="AC294" s="124" t="str">
        <f aca="false">IF(ISBLANK($C294),"",IF($J294=Constants!$B$2,TRUE(),IF($J294=Constants!$B$3,FALSE(),TRUE())))</f>
        <v/>
      </c>
      <c r="AD294" s="124" t="str">
        <f aca="false">IF(ISBLANK($C294),"",IF($K294=Constants!$B$2,TRUE(),IF($K294=Constants!$B$3,FALSE(),TRUE())))</f>
        <v/>
      </c>
      <c r="AE294" s="124" t="str">
        <f aca="false">IF(ISBLANK($C294),"",IF($L294=Constants!$B$2,TRUE(),IF($L294=Constants!$B$3,FALSE(),TRUE())))</f>
        <v/>
      </c>
      <c r="AF294" s="126" t="str">
        <f aca="false">IF(ISBLANK($C294),"",IF(ISNUMBER($M294),IF($M294&gt;=0,$M294,""),""))</f>
        <v/>
      </c>
      <c r="AG294" s="124" t="str">
        <f aca="false">IF(ISBLANK($C294),"",IF(ISBLANK($N294),0,IF(ISNUMBER($N294),IF(AND($N294&gt;=0,$N294&lt;=Constants!$B$17,$N294=INT($N294)),$N294,""),"")))</f>
        <v/>
      </c>
      <c r="AH294" s="125" t="str">
        <f aca="false">IF(ISBLANK($C294),"",IF(ISBLANK($O294),0,IF(ISNUMBER($O294),IF($O294&gt;=0,$O294,""),"")))</f>
        <v/>
      </c>
      <c r="AI294" s="124" t="str">
        <f aca="false">IF(ISBLANK($C294),"",IF($P294=Constants!$B$2,TRUE(),IF($P294=Constants!$B$3,FALSE(),TRUE())))</f>
        <v/>
      </c>
      <c r="AJ294" s="124" t="str">
        <f aca="false">IF(ISBLANK($C294),"",IF($Q294=Constants!$B$2,TRUE(),IF($Q294=Constants!$B$3,FALSE(),TRUE())))</f>
        <v/>
      </c>
      <c r="AK294" s="124" t="str">
        <f aca="false">IF(ISBLANK($C294),"",IF($R294=Constants!$B$2,TRUE(),IF($R294=Constants!$B$3,FALSE(),TRUE())))</f>
        <v/>
      </c>
      <c r="AL294" s="126" t="str">
        <f aca="false">IF(ISBLANK($C294),"",IF(ISNUMBER($S294),IF($S294&gt;=0,$S294,""),""))</f>
        <v/>
      </c>
      <c r="AM294" s="124" t="str">
        <f aca="false">IF(ISBLANK($C294),"",IF(ISBLANK($T294),0,IF(ISNUMBER($T294),IF(AND($T294&gt;=0,$T294&lt;=Constants!$B$17,$T294=INT($T294)),$T294,""),"")))</f>
        <v/>
      </c>
      <c r="AN294" s="125" t="str">
        <f aca="false">IF(ISBLANK($C294),"",IF(ISBLANK($U294),0,IF(ISNUMBER($U294),IF($U294&gt;=0,$U294,""),"")))</f>
        <v/>
      </c>
      <c r="AO294" s="124" t="str">
        <f aca="false">IF(ISBLANK($C294),"",IF($V294=Constants!$B$2,TRUE(),IF($V294=Constants!$B$3,FALSE(),FALSE())))</f>
        <v/>
      </c>
      <c r="AP294" s="124"/>
      <c r="AQ294" s="123" t="str">
        <f aca="false">IF(ISBLANK($C294),"",AND($Y294,OR($AS294,$BC294),OR($Z294="",$AA294="",$AB294="")))</f>
        <v/>
      </c>
      <c r="AR294" s="123" t="str">
        <f aca="false">IF(ISBLANK($C294),"",IF(OR(NOT($Y294),NOT(OR($AS294,$BC294))),"",IF(ISBLANK($D$7),$AR$5,IF($AP$9="",$AR$6,""))))</f>
        <v/>
      </c>
      <c r="AS294" s="123" t="str">
        <f aca="false">IF(ISBLANK($C294),"",COUNTA($J294:$O294)&gt;0)</f>
        <v/>
      </c>
      <c r="AT294" s="123" t="str">
        <f aca="false">IF(ISBLANK($C294),"",AND($AS294,OR(AND($AF294="",OR($AE294,NOT(ISBLANK($M294)))),$AG294="",$AH294="")))</f>
        <v/>
      </c>
      <c r="AU294" s="125" t="str">
        <f aca="false">IF($BL294&lt;&gt;Constants!$B$4,"",IF(NOT($AS294),"",ROUND((Constants!$B$12-$AB294)+(Constants!$B$13-$Z294)+(Constants!$B$14-$AA294),1)))</f>
        <v/>
      </c>
      <c r="AV294" s="127" t="str">
        <f aca="false">IF($BL294&lt;&gt;Constants!$B$4,"",IF(NOT($AS294),"",IF(NOT($AE294),0,Constants!$B$15*(INT(ROUND(MIN($AF294,$AP$9),6))-INT(ROUND(MAX(0,MIN($AF294,2*$AP$9)-$AP$9),6))))))</f>
        <v/>
      </c>
      <c r="AW294" s="127" t="str">
        <f aca="false">IF($BL294&lt;&gt;Constants!$B$4,"",IF(NOT($AS294),"",Constants!$B$16*$AG294))</f>
        <v/>
      </c>
      <c r="AX294" s="127" t="str">
        <f aca="false">IF($BL294&lt;&gt;Constants!$B$4,"",IF(NOT($AS294),"",Constants!$B$18*INT(ROUND($AH294,6))))</f>
        <v/>
      </c>
      <c r="AY294" s="123" t="str">
        <f aca="false">IF($BL294&lt;&gt;Constants!$B$4,"",IF(NOT($AS294),"",IF(NOT($X294),Constants!$B$11,IF(OR(NOT($AC294),NOT($AD294),ROUND($AB294,1)&gt;Constants!$B$12,ROUND($Z294,1)&gt;Constants!$B$13,ROUND($AA294,1)&gt;Constants!$B$14),Constants!$B$10,Constants!$B$9))))</f>
        <v/>
      </c>
      <c r="AZ294" s="128" t="str">
        <f aca="false">IF($BL294&lt;&gt;Constants!$B$4,"",IF(NOT($AS294),"",ROUND($AU294+$AV294+$AW294+$AX294,1)))</f>
        <v/>
      </c>
      <c r="BA294" s="129" t="str">
        <f aca="false">IF($BL294&lt;&gt;Constants!$B$4,"",IF(NOT($AS294),"",IF(ISNUMBER($AF294),$AF294,0)))</f>
        <v/>
      </c>
      <c r="BB294" s="124" t="str">
        <f aca="false">IF($BL294&lt;&gt;Constants!$B$4,"",IF(NOT($BC294),"&lt;-",IF(NOT($AS294),"-&gt;",IF(OR($BI294&lt;$AY294,AND($BI294=$AY294,OR($BJ294&gt;$AZ294,AND($BJ294=$AZ294,OR($BH294&gt;$AX294,AND($BH294=$AX294,OR($BE294&gt;$AU294,AND($BE294=$AU294,OR($BF294&gt;$AV294,AND($BF294=$AV294,$BK294&gt;$BA294)))))))))),"-&gt;","&lt;-"))))</f>
        <v/>
      </c>
      <c r="BC294" s="123" t="str">
        <f aca="false">IF(ISBLANK($C294),"",COUNTA($P294:$U294)&gt;0)</f>
        <v/>
      </c>
      <c r="BD294" s="123" t="str">
        <f aca="false">IF(ISBLANK($C294),"",AND($BC294,OR(AND($AL294="",OR($AK294,NOT(ISBLANK($S294)))),$AM294="",$AN294="")))</f>
        <v/>
      </c>
      <c r="BE294" s="125" t="str">
        <f aca="false">IF($BL294&lt;&gt;Constants!$B$4,"",IF(NOT($BC294),"",ROUND((Constants!$B$12-$AB294)+(Constants!$B$13-$Z294)+(Constants!$B$14-$AA294),1)))</f>
        <v/>
      </c>
      <c r="BF294" s="127" t="str">
        <f aca="false">IF($BL294&lt;&gt;Constants!$B$4,"",IF(NOT($BC294),"",IF(NOT($AK294),0,Constants!$B$15*(INT(ROUND(MIN($AL294,$AP$9),6))-INT(ROUND(MAX(0,MIN($AL294,2*$AP$9)-$AP$9),6))))))</f>
        <v/>
      </c>
      <c r="BG294" s="127" t="str">
        <f aca="false">IF($BL294&lt;&gt;Constants!$B$4,"",IF(NOT($BC294),"",Constants!$B$16*$AM294))</f>
        <v/>
      </c>
      <c r="BH294" s="127" t="str">
        <f aca="false">IF($BL294&lt;&gt;Constants!$B$4,"",IF(NOT($BC294),"",Constants!$B$18*INT(ROUND($AN294,6))))</f>
        <v/>
      </c>
      <c r="BI294" s="123" t="str">
        <f aca="false">IF($BL294&lt;&gt;Constants!$B$4,"",IF(NOT($BC294),"",IF(NOT($X294),Constants!$B$11,IF(OR(NOT($AI294),NOT($AJ294),ROUND($AB294,1)&gt;Constants!$B$12,ROUND($Z294,1)&gt;Constants!$B$13,ROUND($AA294,1)&gt;Constants!$B$14),Constants!$B$10,Constants!$B$9))))</f>
        <v/>
      </c>
      <c r="BJ294" s="128" t="str">
        <f aca="false">IF($BL294&lt;&gt;Constants!$B$4,"",IF(NOT($BC294),"",ROUND($BE294+$BF294+$BG294+$BH294,1)))</f>
        <v/>
      </c>
      <c r="BK294" s="129" t="str">
        <f aca="false">IF($BL294&lt;&gt;Constants!$B$4,"",IF(NOT($BC294),"",IF(ISNUMBER($AL294),$AL294,0)))</f>
        <v/>
      </c>
      <c r="BL294" s="124" t="str">
        <f aca="false">IF(ISBLANK($C294),"",IF($AO294,Constants!$B$7,IF(COUNTA($E294:$V294)=0,Constants!$B$6,IF(NOT($Y294),Constants!$B$5,IF(NOT(OR($AS294,$BC294)),Constants!$B$5,IF(OR($AT294,$BD294,$AQ294,$AR294&lt;&gt;""),Constants!$B$8,Constants!$B$4))))))</f>
        <v/>
      </c>
      <c r="BM294" s="124" t="str">
        <f aca="false">IF(ISBLANK($C294),"",IF($BL294&lt;&gt;Constants!$B$4,$BL294,IF($BB294="-&gt;",$BI294,$AY294)))</f>
        <v/>
      </c>
      <c r="BN294" s="127" t="str">
        <f aca="false">IF($BL294&lt;&gt;Constants!$B$4,"",IF($BB294="-&gt;",$BJ294,$AZ294))</f>
        <v/>
      </c>
      <c r="BO294" s="127" t="str">
        <f aca="false">IF(ISBLANK($C294),"",IF($BL294&lt;&gt;Constants!$B$4,$BL294,$BN294))</f>
        <v/>
      </c>
      <c r="BP294" s="124" t="str">
        <f aca="false">IF(ISBLANK($C294),"",IF($BL294&lt;&gt;Constants!$B$4,$BL294,RANK($BO294,$BO$9:$BO$508,0)))</f>
        <v/>
      </c>
      <c r="BQ294" s="124" t="str">
        <f aca="false">IF(ISBLANK($C294),"",IF($BL294&lt;&gt;Constants!$B$4,$BL294,COUNTIFS($BM$9:$BM$508,"&lt;"&amp;$BM294)+COUNTIFS($BM$9:$BM$508,$BM294,$BP$9:$BP$508,"&lt;"&amp;$BP294)+1))</f>
        <v/>
      </c>
      <c r="BR294" s="127" t="str">
        <f aca="false">IF($BL294&lt;&gt;Constants!$B$4,"",IF($BB294="-&gt;",$BH294,$AX294))</f>
        <v/>
      </c>
      <c r="BS294" s="124" t="str">
        <f aca="false">IF(ISBLANK($C294),"",IF($BL294&lt;&gt;Constants!$B$4,$BL294,IF(ISNUMBER($BR294),RANK($BR294,$BR$9:$BR$508,0),COUNT($BR$9:$BR$508)+1)))</f>
        <v/>
      </c>
      <c r="BT294" s="127" t="str">
        <f aca="false">IF($BL294&lt;&gt;Constants!$B$4,"",IF($BB294="-&gt;",$BE294,$AU294))</f>
        <v/>
      </c>
      <c r="BU294" s="124" t="str">
        <f aca="false">IF(ISBLANK($C294),"",IF($BL294&lt;&gt;Constants!$B$4,$BL294,IF(ISNUMBER($BT294),RANK($BT294,$BT$9:$BT$508,0),COUNT($BT$9:$BT$508)+1)))</f>
        <v/>
      </c>
      <c r="BV294" s="127" t="str">
        <f aca="false">IF($BL294&lt;&gt;Constants!$B$4,"",IF($BB294="-&gt;",$BF294,$AV294))</f>
        <v/>
      </c>
      <c r="BW294" s="124" t="str">
        <f aca="false">IF(ISBLANK($C294),"",IF($BL294&lt;&gt;Constants!$B$4,$BL294,IF(ISNUMBER($BV294),RANK($BV294,$BV$9:$BV$508,0),COUNT($BV$9:$BV$508)+1)))</f>
        <v/>
      </c>
      <c r="BX294" s="127" t="str">
        <f aca="false">IF($BL294&lt;&gt;Constants!$B$4,"",IF($BB294="-&gt;",$BK294,$BA294))</f>
        <v/>
      </c>
      <c r="BY294" s="124" t="str">
        <f aca="false">IF(ISBLANK($C294),"",IF($BL294&lt;&gt;Constants!$B$4,$BL294,IF(ISNUMBER($BX294),RANK($BX294,$BX$9:$BX$508,0),COUNT($BX$9:$BX$508)+1)))</f>
        <v/>
      </c>
      <c r="BZ294" s="124" t="str">
        <f aca="false">IF(ISBLANK($C294),"",IF($BL294&lt;&gt;Constants!$B$4,$BL294,COUNTIFS($BM$9:$BM$508,"&lt;"&amp;$BM294)+COUNTIFS($BM$9:$BM$508,$BM294,$BP$9:$BP$508,"&lt;"&amp;$BP294)+COUNTIFS($BM$9:$BM$508,$BM294,$BP$9:$BP$508,$BP294,$BS$9:$BS$508,"&lt;"&amp;$BS294)+COUNTIFS($BM$9:$BM$508,$BM294,$BP$9:$BP$508,$BP294,$BS$9:$BS$508,$BS294,$BU$9:$BU$508,"&lt;"&amp;$BU294)+COUNTIFS($BM$9:$BM$508,$BM294,$BP$9:$BP$508,$BP294,$BS$9:$BS$508,$BS294,$BU$9:$BU$508,$BU294,$BW$9:$BW$508,"&lt;"&amp;$BW294)+COUNTIFS($BM$9:$BM$508,$BM294,$BP$9:$BP$508,$BP294,$BS$9:$BS$508,$BS294,$BU$9:$BU$508,$BU294,$BW$9:$BW$508,$BW294,$BY$9:$BY$508,"&lt;"&amp;$BY294)+1))</f>
        <v/>
      </c>
      <c r="CA294" s="124" t="str">
        <f aca="false">IF(ISBLANK($C294),"",IF($BL294&lt;&gt;Constants!$B$4,$BL294,$BQ294-$BZ294))</f>
        <v/>
      </c>
      <c r="CB294" s="130"/>
      <c r="CC294" s="131" t="str">
        <f aca="false">IF(ISBLANK($C294),"",IF($BL294=Constants!$B$8,$AR294,""))</f>
        <v/>
      </c>
      <c r="CD294" s="131" t="str">
        <f aca="false">IF(ISBLANK($C294),"",IF($BL294&lt;&gt;Constants!$B$4,"",IF($BB294="-&gt;",2,1)))</f>
        <v/>
      </c>
      <c r="CE294" s="132" t="str">
        <f aca="false">IF(ISBLANK($C294),"",IF($BL294&lt;&gt;Constants!$B$4,"",IF($BB294="-&gt;",$BE294,$AU294)))</f>
        <v/>
      </c>
      <c r="CF294" s="132" t="str">
        <f aca="false">IF(ISBLANK($C294),"",IF($BL294&lt;&gt;Constants!$B$4,"",IF($BB294="-&gt;",$BF294,$AV294)))</f>
        <v/>
      </c>
      <c r="CG294" s="132" t="str">
        <f aca="false">IF(ISBLANK($C294),"",IF($BL294&lt;&gt;Constants!$B$4,"",IF($BB294="-&gt;",$BG294,$AW294)))</f>
        <v/>
      </c>
      <c r="CH294" s="132" t="str">
        <f aca="false">IF(ISBLANK($C294),"",IF($BL294&lt;&gt;Constants!$B$4,"",IF($BB294="-&gt;",$BH294,$AX294)))</f>
        <v/>
      </c>
      <c r="CI294" s="133" t="str">
        <f aca="false">IF(ISBLANK($C294),"",$BO294)</f>
        <v/>
      </c>
      <c r="CJ294" s="134" t="str">
        <f aca="false">IF(ISBLANK($C294),"",$BM294)</f>
        <v/>
      </c>
      <c r="CK294" s="135" t="str">
        <f aca="false">IF(ISBLANK($C294),"",$CA294)</f>
        <v/>
      </c>
      <c r="CL294" s="135" t="str">
        <f aca="false">IF(ISBLANK($C294),"",$BZ294)</f>
        <v/>
      </c>
      <c r="CM294" s="136" t="str">
        <f aca="false">IF(ISBLANK($C294),"",IF($CL294=Constants!$B$7,COUNTA($C$9:$C$508)+2,IF($CL294=Constants!$B$6,COUNTA($C$9:$C$508)+1,IF($CL294=Constants!$B$5,COUNTA($C$9:$C$508),$CL294))))</f>
        <v/>
      </c>
      <c r="CN294" s="8"/>
      <c r="CO294" s="137" t="n">
        <f aca="false">IF(OR(ISNUMBER($CL294),$CL294=Constants!$B$7,$CL294=Constants!$B$5,$CL294=Constants!$B$6),1,0)</f>
        <v>0</v>
      </c>
      <c r="CP294" s="137" t="n">
        <v>286</v>
      </c>
      <c r="CQ294" s="137" t="str">
        <f aca="false">IF(ISBLANK($C294),"",IF(ISNUMBER($CM294),$CM294+ROW($B294)/1000,""))</f>
        <v/>
      </c>
      <c r="CR294" s="137" t="str">
        <f aca="false">IF(ISNUMBER($CQ294),RANK($CQ294,$CQ$9:$CQ$508,1),"")</f>
        <v/>
      </c>
      <c r="CS294" s="137" t="str">
        <f aca="false">IF(ISBLANK($C294),"",$B294)</f>
        <v/>
      </c>
      <c r="CT294" s="137" t="str">
        <f aca="false">IF(ISBLANK($C294),"",$C294)</f>
        <v/>
      </c>
      <c r="CU294" s="137" t="str">
        <f aca="false">IF(ISBLANK($C294),"",$D294)</f>
        <v/>
      </c>
      <c r="CV294" s="138" t="str">
        <f aca="false">$CJ294</f>
        <v/>
      </c>
      <c r="CW294" s="139" t="str">
        <f aca="false">$CI294</f>
        <v/>
      </c>
      <c r="CX294" s="137" t="str">
        <f aca="false">IF(ISBLANK($C294),"",$CL294)</f>
        <v/>
      </c>
      <c r="CY294" s="140" t="str">
        <f aca="false">IF($CP294&gt;$CO$8,"",VLOOKUP($CP294,$CR$9:$CX$508,7,FALSE()))</f>
        <v/>
      </c>
      <c r="CZ294" s="141" t="str">
        <f aca="false">IF($CP294&gt;$CO$8,"",VLOOKUP($CP294,$CR$9:$CX$508,2,FALSE()))</f>
        <v/>
      </c>
      <c r="DA294" s="141" t="str">
        <f aca="false">IF($CP294&gt;$CO$8,"",VLOOKUP($CP294,$CR$9:$CX$508,3,FALSE()))</f>
        <v/>
      </c>
      <c r="DB294" s="141" t="str">
        <f aca="false">IF($CP294&gt;$CO$8,"",VLOOKUP($CP294,$CR$9:$CX$508,4,FALSE()))</f>
        <v/>
      </c>
      <c r="DC294" s="141" t="str">
        <f aca="false">IF($CP294&gt;$CO$8,"",VLOOKUP($CP294,$CR$9:$CX$508,5,FALSE()))</f>
        <v/>
      </c>
      <c r="DD294" s="142" t="str">
        <f aca="false">IF($CP294&gt;$CO$8,"",VLOOKUP($CP294,$CR$9:$CX$508,6,FALSE()))</f>
        <v/>
      </c>
      <c r="DE294" s="70"/>
    </row>
    <row r="295" customFormat="false" ht="15.75" hidden="false" customHeight="false" outlineLevel="0" collapsed="false">
      <c r="A295" s="8"/>
      <c r="B295" s="146"/>
      <c r="C295" s="147"/>
      <c r="D295" s="148"/>
      <c r="E295" s="164"/>
      <c r="F295" s="150"/>
      <c r="G295" s="115"/>
      <c r="H295" s="115"/>
      <c r="I295" s="115"/>
      <c r="J295" s="165"/>
      <c r="K295" s="154"/>
      <c r="L295" s="154"/>
      <c r="M295" s="118"/>
      <c r="N295" s="154"/>
      <c r="O295" s="153"/>
      <c r="P295" s="154"/>
      <c r="Q295" s="154"/>
      <c r="R295" s="154"/>
      <c r="S295" s="115"/>
      <c r="T295" s="154"/>
      <c r="U295" s="153"/>
      <c r="V295" s="154"/>
      <c r="W295" s="123"/>
      <c r="X295" s="124" t="str">
        <f aca="false">IF(ISBLANK($C295),"",IF($E295=Constants!$B$2,TRUE(),IF($E295=Constants!$B$3,FALSE(),TRUE())))</f>
        <v/>
      </c>
      <c r="Y295" s="124" t="str">
        <f aca="false">IF(ISBLANK($C295),"",IF($F295=Constants!$B$2,TRUE(),IF($F295=Constants!$B$3,FALSE(),TRUE())))</f>
        <v/>
      </c>
      <c r="Z295" s="125" t="str">
        <f aca="false">IF(ISBLANK($C295),"",IF(ISNUMBER($G295),IF($G295&gt;=0,$G295,""),""))</f>
        <v/>
      </c>
      <c r="AA295" s="125" t="str">
        <f aca="false">IF(ISBLANK($C295),"",IF(ISNUMBER($H295),IF($H295&gt;=0,$H295,""),""))</f>
        <v/>
      </c>
      <c r="AB295" s="125" t="str">
        <f aca="false">IF(ISBLANK($C295),"",IF(ISNUMBER($I295),IF($I295&gt;=0,$I295,""),""))</f>
        <v/>
      </c>
      <c r="AC295" s="124" t="str">
        <f aca="false">IF(ISBLANK($C295),"",IF($J295=Constants!$B$2,TRUE(),IF($J295=Constants!$B$3,FALSE(),TRUE())))</f>
        <v/>
      </c>
      <c r="AD295" s="124" t="str">
        <f aca="false">IF(ISBLANK($C295),"",IF($K295=Constants!$B$2,TRUE(),IF($K295=Constants!$B$3,FALSE(),TRUE())))</f>
        <v/>
      </c>
      <c r="AE295" s="124" t="str">
        <f aca="false">IF(ISBLANK($C295),"",IF($L295=Constants!$B$2,TRUE(),IF($L295=Constants!$B$3,FALSE(),TRUE())))</f>
        <v/>
      </c>
      <c r="AF295" s="126" t="str">
        <f aca="false">IF(ISBLANK($C295),"",IF(ISNUMBER($M295),IF($M295&gt;=0,$M295,""),""))</f>
        <v/>
      </c>
      <c r="AG295" s="124" t="str">
        <f aca="false">IF(ISBLANK($C295),"",IF(ISBLANK($N295),0,IF(ISNUMBER($N295),IF(AND($N295&gt;=0,$N295&lt;=Constants!$B$17,$N295=INT($N295)),$N295,""),"")))</f>
        <v/>
      </c>
      <c r="AH295" s="125" t="str">
        <f aca="false">IF(ISBLANK($C295),"",IF(ISBLANK($O295),0,IF(ISNUMBER($O295),IF($O295&gt;=0,$O295,""),"")))</f>
        <v/>
      </c>
      <c r="AI295" s="124" t="str">
        <f aca="false">IF(ISBLANK($C295),"",IF($P295=Constants!$B$2,TRUE(),IF($P295=Constants!$B$3,FALSE(),TRUE())))</f>
        <v/>
      </c>
      <c r="AJ295" s="124" t="str">
        <f aca="false">IF(ISBLANK($C295),"",IF($Q295=Constants!$B$2,TRUE(),IF($Q295=Constants!$B$3,FALSE(),TRUE())))</f>
        <v/>
      </c>
      <c r="AK295" s="124" t="str">
        <f aca="false">IF(ISBLANK($C295),"",IF($R295=Constants!$B$2,TRUE(),IF($R295=Constants!$B$3,FALSE(),TRUE())))</f>
        <v/>
      </c>
      <c r="AL295" s="126" t="str">
        <f aca="false">IF(ISBLANK($C295),"",IF(ISNUMBER($S295),IF($S295&gt;=0,$S295,""),""))</f>
        <v/>
      </c>
      <c r="AM295" s="124" t="str">
        <f aca="false">IF(ISBLANK($C295),"",IF(ISBLANK($T295),0,IF(ISNUMBER($T295),IF(AND($T295&gt;=0,$T295&lt;=Constants!$B$17,$T295=INT($T295)),$T295,""),"")))</f>
        <v/>
      </c>
      <c r="AN295" s="125" t="str">
        <f aca="false">IF(ISBLANK($C295),"",IF(ISBLANK($U295),0,IF(ISNUMBER($U295),IF($U295&gt;=0,$U295,""),"")))</f>
        <v/>
      </c>
      <c r="AO295" s="124" t="str">
        <f aca="false">IF(ISBLANK($C295),"",IF($V295=Constants!$B$2,TRUE(),IF($V295=Constants!$B$3,FALSE(),FALSE())))</f>
        <v/>
      </c>
      <c r="AP295" s="124"/>
      <c r="AQ295" s="123" t="str">
        <f aca="false">IF(ISBLANK($C295),"",AND($Y295,OR($AS295,$BC295),OR($Z295="",$AA295="",$AB295="")))</f>
        <v/>
      </c>
      <c r="AR295" s="123" t="str">
        <f aca="false">IF(ISBLANK($C295),"",IF(OR(NOT($Y295),NOT(OR($AS295,$BC295))),"",IF(ISBLANK($D$7),$AR$5,IF($AP$9="",$AR$6,""))))</f>
        <v/>
      </c>
      <c r="AS295" s="123" t="str">
        <f aca="false">IF(ISBLANK($C295),"",COUNTA($J295:$O295)&gt;0)</f>
        <v/>
      </c>
      <c r="AT295" s="123" t="str">
        <f aca="false">IF(ISBLANK($C295),"",AND($AS295,OR(AND($AF295="",OR($AE295,NOT(ISBLANK($M295)))),$AG295="",$AH295="")))</f>
        <v/>
      </c>
      <c r="AU295" s="125" t="str">
        <f aca="false">IF($BL295&lt;&gt;Constants!$B$4,"",IF(NOT($AS295),"",ROUND((Constants!$B$12-$AB295)+(Constants!$B$13-$Z295)+(Constants!$B$14-$AA295),1)))</f>
        <v/>
      </c>
      <c r="AV295" s="127" t="str">
        <f aca="false">IF($BL295&lt;&gt;Constants!$B$4,"",IF(NOT($AS295),"",IF(NOT($AE295),0,Constants!$B$15*(INT(ROUND(MIN($AF295,$AP$9),6))-INT(ROUND(MAX(0,MIN($AF295,2*$AP$9)-$AP$9),6))))))</f>
        <v/>
      </c>
      <c r="AW295" s="127" t="str">
        <f aca="false">IF($BL295&lt;&gt;Constants!$B$4,"",IF(NOT($AS295),"",Constants!$B$16*$AG295))</f>
        <v/>
      </c>
      <c r="AX295" s="127" t="str">
        <f aca="false">IF($BL295&lt;&gt;Constants!$B$4,"",IF(NOT($AS295),"",Constants!$B$18*INT(ROUND($AH295,6))))</f>
        <v/>
      </c>
      <c r="AY295" s="123" t="str">
        <f aca="false">IF($BL295&lt;&gt;Constants!$B$4,"",IF(NOT($AS295),"",IF(NOT($X295),Constants!$B$11,IF(OR(NOT($AC295),NOT($AD295),ROUND($AB295,1)&gt;Constants!$B$12,ROUND($Z295,1)&gt;Constants!$B$13,ROUND($AA295,1)&gt;Constants!$B$14),Constants!$B$10,Constants!$B$9))))</f>
        <v/>
      </c>
      <c r="AZ295" s="128" t="str">
        <f aca="false">IF($BL295&lt;&gt;Constants!$B$4,"",IF(NOT($AS295),"",ROUND($AU295+$AV295+$AW295+$AX295,1)))</f>
        <v/>
      </c>
      <c r="BA295" s="129" t="str">
        <f aca="false">IF($BL295&lt;&gt;Constants!$B$4,"",IF(NOT($AS295),"",IF(ISNUMBER($AF295),$AF295,0)))</f>
        <v/>
      </c>
      <c r="BB295" s="124" t="str">
        <f aca="false">IF($BL295&lt;&gt;Constants!$B$4,"",IF(NOT($BC295),"&lt;-",IF(NOT($AS295),"-&gt;",IF(OR($BI295&lt;$AY295,AND($BI295=$AY295,OR($BJ295&gt;$AZ295,AND($BJ295=$AZ295,OR($BH295&gt;$AX295,AND($BH295=$AX295,OR($BE295&gt;$AU295,AND($BE295=$AU295,OR($BF295&gt;$AV295,AND($BF295=$AV295,$BK295&gt;$BA295)))))))))),"-&gt;","&lt;-"))))</f>
        <v/>
      </c>
      <c r="BC295" s="123" t="str">
        <f aca="false">IF(ISBLANK($C295),"",COUNTA($P295:$U295)&gt;0)</f>
        <v/>
      </c>
      <c r="BD295" s="123" t="str">
        <f aca="false">IF(ISBLANK($C295),"",AND($BC295,OR(AND($AL295="",OR($AK295,NOT(ISBLANK($S295)))),$AM295="",$AN295="")))</f>
        <v/>
      </c>
      <c r="BE295" s="125" t="str">
        <f aca="false">IF($BL295&lt;&gt;Constants!$B$4,"",IF(NOT($BC295),"",ROUND((Constants!$B$12-$AB295)+(Constants!$B$13-$Z295)+(Constants!$B$14-$AA295),1)))</f>
        <v/>
      </c>
      <c r="BF295" s="127" t="str">
        <f aca="false">IF($BL295&lt;&gt;Constants!$B$4,"",IF(NOT($BC295),"",IF(NOT($AK295),0,Constants!$B$15*(INT(ROUND(MIN($AL295,$AP$9),6))-INT(ROUND(MAX(0,MIN($AL295,2*$AP$9)-$AP$9),6))))))</f>
        <v/>
      </c>
      <c r="BG295" s="127" t="str">
        <f aca="false">IF($BL295&lt;&gt;Constants!$B$4,"",IF(NOT($BC295),"",Constants!$B$16*$AM295))</f>
        <v/>
      </c>
      <c r="BH295" s="127" t="str">
        <f aca="false">IF($BL295&lt;&gt;Constants!$B$4,"",IF(NOT($BC295),"",Constants!$B$18*INT(ROUND($AN295,6))))</f>
        <v/>
      </c>
      <c r="BI295" s="123" t="str">
        <f aca="false">IF($BL295&lt;&gt;Constants!$B$4,"",IF(NOT($BC295),"",IF(NOT($X295),Constants!$B$11,IF(OR(NOT($AI295),NOT($AJ295),ROUND($AB295,1)&gt;Constants!$B$12,ROUND($Z295,1)&gt;Constants!$B$13,ROUND($AA295,1)&gt;Constants!$B$14),Constants!$B$10,Constants!$B$9))))</f>
        <v/>
      </c>
      <c r="BJ295" s="128" t="str">
        <f aca="false">IF($BL295&lt;&gt;Constants!$B$4,"",IF(NOT($BC295),"",ROUND($BE295+$BF295+$BG295+$BH295,1)))</f>
        <v/>
      </c>
      <c r="BK295" s="129" t="str">
        <f aca="false">IF($BL295&lt;&gt;Constants!$B$4,"",IF(NOT($BC295),"",IF(ISNUMBER($AL295),$AL295,0)))</f>
        <v/>
      </c>
      <c r="BL295" s="124" t="str">
        <f aca="false">IF(ISBLANK($C295),"",IF($AO295,Constants!$B$7,IF(COUNTA($E295:$V295)=0,Constants!$B$6,IF(NOT($Y295),Constants!$B$5,IF(NOT(OR($AS295,$BC295)),Constants!$B$5,IF(OR($AT295,$BD295,$AQ295,$AR295&lt;&gt;""),Constants!$B$8,Constants!$B$4))))))</f>
        <v/>
      </c>
      <c r="BM295" s="124" t="str">
        <f aca="false">IF(ISBLANK($C295),"",IF($BL295&lt;&gt;Constants!$B$4,$BL295,IF($BB295="-&gt;",$BI295,$AY295)))</f>
        <v/>
      </c>
      <c r="BN295" s="127" t="str">
        <f aca="false">IF($BL295&lt;&gt;Constants!$B$4,"",IF($BB295="-&gt;",$BJ295,$AZ295))</f>
        <v/>
      </c>
      <c r="BO295" s="127" t="str">
        <f aca="false">IF(ISBLANK($C295),"",IF($BL295&lt;&gt;Constants!$B$4,$BL295,$BN295))</f>
        <v/>
      </c>
      <c r="BP295" s="124" t="str">
        <f aca="false">IF(ISBLANK($C295),"",IF($BL295&lt;&gt;Constants!$B$4,$BL295,RANK($BO295,$BO$9:$BO$508,0)))</f>
        <v/>
      </c>
      <c r="BQ295" s="124" t="str">
        <f aca="false">IF(ISBLANK($C295),"",IF($BL295&lt;&gt;Constants!$B$4,$BL295,COUNTIFS($BM$9:$BM$508,"&lt;"&amp;$BM295)+COUNTIFS($BM$9:$BM$508,$BM295,$BP$9:$BP$508,"&lt;"&amp;$BP295)+1))</f>
        <v/>
      </c>
      <c r="BR295" s="127" t="str">
        <f aca="false">IF($BL295&lt;&gt;Constants!$B$4,"",IF($BB295="-&gt;",$BH295,$AX295))</f>
        <v/>
      </c>
      <c r="BS295" s="124" t="str">
        <f aca="false">IF(ISBLANK($C295),"",IF($BL295&lt;&gt;Constants!$B$4,$BL295,IF(ISNUMBER($BR295),RANK($BR295,$BR$9:$BR$508,0),COUNT($BR$9:$BR$508)+1)))</f>
        <v/>
      </c>
      <c r="BT295" s="127" t="str">
        <f aca="false">IF($BL295&lt;&gt;Constants!$B$4,"",IF($BB295="-&gt;",$BE295,$AU295))</f>
        <v/>
      </c>
      <c r="BU295" s="124" t="str">
        <f aca="false">IF(ISBLANK($C295),"",IF($BL295&lt;&gt;Constants!$B$4,$BL295,IF(ISNUMBER($BT295),RANK($BT295,$BT$9:$BT$508,0),COUNT($BT$9:$BT$508)+1)))</f>
        <v/>
      </c>
      <c r="BV295" s="127" t="str">
        <f aca="false">IF($BL295&lt;&gt;Constants!$B$4,"",IF($BB295="-&gt;",$BF295,$AV295))</f>
        <v/>
      </c>
      <c r="BW295" s="124" t="str">
        <f aca="false">IF(ISBLANK($C295),"",IF($BL295&lt;&gt;Constants!$B$4,$BL295,IF(ISNUMBER($BV295),RANK($BV295,$BV$9:$BV$508,0),COUNT($BV$9:$BV$508)+1)))</f>
        <v/>
      </c>
      <c r="BX295" s="127" t="str">
        <f aca="false">IF($BL295&lt;&gt;Constants!$B$4,"",IF($BB295="-&gt;",$BK295,$BA295))</f>
        <v/>
      </c>
      <c r="BY295" s="124" t="str">
        <f aca="false">IF(ISBLANK($C295),"",IF($BL295&lt;&gt;Constants!$B$4,$BL295,IF(ISNUMBER($BX295),RANK($BX295,$BX$9:$BX$508,0),COUNT($BX$9:$BX$508)+1)))</f>
        <v/>
      </c>
      <c r="BZ295" s="124" t="str">
        <f aca="false">IF(ISBLANK($C295),"",IF($BL295&lt;&gt;Constants!$B$4,$BL295,COUNTIFS($BM$9:$BM$508,"&lt;"&amp;$BM295)+COUNTIFS($BM$9:$BM$508,$BM295,$BP$9:$BP$508,"&lt;"&amp;$BP295)+COUNTIFS($BM$9:$BM$508,$BM295,$BP$9:$BP$508,$BP295,$BS$9:$BS$508,"&lt;"&amp;$BS295)+COUNTIFS($BM$9:$BM$508,$BM295,$BP$9:$BP$508,$BP295,$BS$9:$BS$508,$BS295,$BU$9:$BU$508,"&lt;"&amp;$BU295)+COUNTIFS($BM$9:$BM$508,$BM295,$BP$9:$BP$508,$BP295,$BS$9:$BS$508,$BS295,$BU$9:$BU$508,$BU295,$BW$9:$BW$508,"&lt;"&amp;$BW295)+COUNTIFS($BM$9:$BM$508,$BM295,$BP$9:$BP$508,$BP295,$BS$9:$BS$508,$BS295,$BU$9:$BU$508,$BU295,$BW$9:$BW$508,$BW295,$BY$9:$BY$508,"&lt;"&amp;$BY295)+1))</f>
        <v/>
      </c>
      <c r="CA295" s="124" t="str">
        <f aca="false">IF(ISBLANK($C295),"",IF($BL295&lt;&gt;Constants!$B$4,$BL295,$BQ295-$BZ295))</f>
        <v/>
      </c>
      <c r="CB295" s="130"/>
      <c r="CC295" s="131" t="str">
        <f aca="false">IF(ISBLANK($C295),"",IF($BL295=Constants!$B$8,$AR295,""))</f>
        <v/>
      </c>
      <c r="CD295" s="131" t="str">
        <f aca="false">IF(ISBLANK($C295),"",IF($BL295&lt;&gt;Constants!$B$4,"",IF($BB295="-&gt;",2,1)))</f>
        <v/>
      </c>
      <c r="CE295" s="132" t="str">
        <f aca="false">IF(ISBLANK($C295),"",IF($BL295&lt;&gt;Constants!$B$4,"",IF($BB295="-&gt;",$BE295,$AU295)))</f>
        <v/>
      </c>
      <c r="CF295" s="132" t="str">
        <f aca="false">IF(ISBLANK($C295),"",IF($BL295&lt;&gt;Constants!$B$4,"",IF($BB295="-&gt;",$BF295,$AV295)))</f>
        <v/>
      </c>
      <c r="CG295" s="132" t="str">
        <f aca="false">IF(ISBLANK($C295),"",IF($BL295&lt;&gt;Constants!$B$4,"",IF($BB295="-&gt;",$BG295,$AW295)))</f>
        <v/>
      </c>
      <c r="CH295" s="132" t="str">
        <f aca="false">IF(ISBLANK($C295),"",IF($BL295&lt;&gt;Constants!$B$4,"",IF($BB295="-&gt;",$BH295,$AX295)))</f>
        <v/>
      </c>
      <c r="CI295" s="133" t="str">
        <f aca="false">IF(ISBLANK($C295),"",$BO295)</f>
        <v/>
      </c>
      <c r="CJ295" s="134" t="str">
        <f aca="false">IF(ISBLANK($C295),"",$BM295)</f>
        <v/>
      </c>
      <c r="CK295" s="135" t="str">
        <f aca="false">IF(ISBLANK($C295),"",$CA295)</f>
        <v/>
      </c>
      <c r="CL295" s="135" t="str">
        <f aca="false">IF(ISBLANK($C295),"",$BZ295)</f>
        <v/>
      </c>
      <c r="CM295" s="136" t="str">
        <f aca="false">IF(ISBLANK($C295),"",IF($CL295=Constants!$B$7,COUNTA($C$9:$C$508)+2,IF($CL295=Constants!$B$6,COUNTA($C$9:$C$508)+1,IF($CL295=Constants!$B$5,COUNTA($C$9:$C$508),$CL295))))</f>
        <v/>
      </c>
      <c r="CN295" s="8"/>
      <c r="CO295" s="137" t="n">
        <f aca="false">IF(OR(ISNUMBER($CL295),$CL295=Constants!$B$7,$CL295=Constants!$B$5,$CL295=Constants!$B$6),1,0)</f>
        <v>0</v>
      </c>
      <c r="CP295" s="137" t="n">
        <v>287</v>
      </c>
      <c r="CQ295" s="137" t="str">
        <f aca="false">IF(ISBLANK($C295),"",IF(ISNUMBER($CM295),$CM295+ROW($B295)/1000,""))</f>
        <v/>
      </c>
      <c r="CR295" s="137" t="str">
        <f aca="false">IF(ISNUMBER($CQ295),RANK($CQ295,$CQ$9:$CQ$508,1),"")</f>
        <v/>
      </c>
      <c r="CS295" s="137" t="str">
        <f aca="false">IF(ISBLANK($C295),"",$B295)</f>
        <v/>
      </c>
      <c r="CT295" s="137" t="str">
        <f aca="false">IF(ISBLANK($C295),"",$C295)</f>
        <v/>
      </c>
      <c r="CU295" s="137" t="str">
        <f aca="false">IF(ISBLANK($C295),"",$D295)</f>
        <v/>
      </c>
      <c r="CV295" s="138" t="str">
        <f aca="false">$CJ295</f>
        <v/>
      </c>
      <c r="CW295" s="139" t="str">
        <f aca="false">$CI295</f>
        <v/>
      </c>
      <c r="CX295" s="137" t="str">
        <f aca="false">IF(ISBLANK($C295),"",$CL295)</f>
        <v/>
      </c>
      <c r="CY295" s="140" t="str">
        <f aca="false">IF($CP295&gt;$CO$8,"",VLOOKUP($CP295,$CR$9:$CX$508,7,FALSE()))</f>
        <v/>
      </c>
      <c r="CZ295" s="141" t="str">
        <f aca="false">IF($CP295&gt;$CO$8,"",VLOOKUP($CP295,$CR$9:$CX$508,2,FALSE()))</f>
        <v/>
      </c>
      <c r="DA295" s="141" t="str">
        <f aca="false">IF($CP295&gt;$CO$8,"",VLOOKUP($CP295,$CR$9:$CX$508,3,FALSE()))</f>
        <v/>
      </c>
      <c r="DB295" s="141" t="str">
        <f aca="false">IF($CP295&gt;$CO$8,"",VLOOKUP($CP295,$CR$9:$CX$508,4,FALSE()))</f>
        <v/>
      </c>
      <c r="DC295" s="141" t="str">
        <f aca="false">IF($CP295&gt;$CO$8,"",VLOOKUP($CP295,$CR$9:$CX$508,5,FALSE()))</f>
        <v/>
      </c>
      <c r="DD295" s="142" t="str">
        <f aca="false">IF($CP295&gt;$CO$8,"",VLOOKUP($CP295,$CR$9:$CX$508,6,FALSE()))</f>
        <v/>
      </c>
      <c r="DE295" s="70"/>
    </row>
    <row r="296" customFormat="false" ht="15.75" hidden="false" customHeight="false" outlineLevel="0" collapsed="false">
      <c r="A296" s="8"/>
      <c r="B296" s="146"/>
      <c r="C296" s="147"/>
      <c r="D296" s="148"/>
      <c r="E296" s="164"/>
      <c r="F296" s="150"/>
      <c r="G296" s="115"/>
      <c r="H296" s="115"/>
      <c r="I296" s="115"/>
      <c r="J296" s="165"/>
      <c r="K296" s="154"/>
      <c r="L296" s="154"/>
      <c r="M296" s="118"/>
      <c r="N296" s="154"/>
      <c r="O296" s="153"/>
      <c r="P296" s="154"/>
      <c r="Q296" s="154"/>
      <c r="R296" s="154"/>
      <c r="S296" s="115"/>
      <c r="T296" s="154"/>
      <c r="U296" s="153"/>
      <c r="V296" s="154"/>
      <c r="W296" s="123"/>
      <c r="X296" s="124" t="str">
        <f aca="false">IF(ISBLANK($C296),"",IF($E296=Constants!$B$2,TRUE(),IF($E296=Constants!$B$3,FALSE(),TRUE())))</f>
        <v/>
      </c>
      <c r="Y296" s="124" t="str">
        <f aca="false">IF(ISBLANK($C296),"",IF($F296=Constants!$B$2,TRUE(),IF($F296=Constants!$B$3,FALSE(),TRUE())))</f>
        <v/>
      </c>
      <c r="Z296" s="125" t="str">
        <f aca="false">IF(ISBLANK($C296),"",IF(ISNUMBER($G296),IF($G296&gt;=0,$G296,""),""))</f>
        <v/>
      </c>
      <c r="AA296" s="125" t="str">
        <f aca="false">IF(ISBLANK($C296),"",IF(ISNUMBER($H296),IF($H296&gt;=0,$H296,""),""))</f>
        <v/>
      </c>
      <c r="AB296" s="125" t="str">
        <f aca="false">IF(ISBLANK($C296),"",IF(ISNUMBER($I296),IF($I296&gt;=0,$I296,""),""))</f>
        <v/>
      </c>
      <c r="AC296" s="124" t="str">
        <f aca="false">IF(ISBLANK($C296),"",IF($J296=Constants!$B$2,TRUE(),IF($J296=Constants!$B$3,FALSE(),TRUE())))</f>
        <v/>
      </c>
      <c r="AD296" s="124" t="str">
        <f aca="false">IF(ISBLANK($C296),"",IF($K296=Constants!$B$2,TRUE(),IF($K296=Constants!$B$3,FALSE(),TRUE())))</f>
        <v/>
      </c>
      <c r="AE296" s="124" t="str">
        <f aca="false">IF(ISBLANK($C296),"",IF($L296=Constants!$B$2,TRUE(),IF($L296=Constants!$B$3,FALSE(),TRUE())))</f>
        <v/>
      </c>
      <c r="AF296" s="126" t="str">
        <f aca="false">IF(ISBLANK($C296),"",IF(ISNUMBER($M296),IF($M296&gt;=0,$M296,""),""))</f>
        <v/>
      </c>
      <c r="AG296" s="124" t="str">
        <f aca="false">IF(ISBLANK($C296),"",IF(ISBLANK($N296),0,IF(ISNUMBER($N296),IF(AND($N296&gt;=0,$N296&lt;=Constants!$B$17,$N296=INT($N296)),$N296,""),"")))</f>
        <v/>
      </c>
      <c r="AH296" s="125" t="str">
        <f aca="false">IF(ISBLANK($C296),"",IF(ISBLANK($O296),0,IF(ISNUMBER($O296),IF($O296&gt;=0,$O296,""),"")))</f>
        <v/>
      </c>
      <c r="AI296" s="124" t="str">
        <f aca="false">IF(ISBLANK($C296),"",IF($P296=Constants!$B$2,TRUE(),IF($P296=Constants!$B$3,FALSE(),TRUE())))</f>
        <v/>
      </c>
      <c r="AJ296" s="124" t="str">
        <f aca="false">IF(ISBLANK($C296),"",IF($Q296=Constants!$B$2,TRUE(),IF($Q296=Constants!$B$3,FALSE(),TRUE())))</f>
        <v/>
      </c>
      <c r="AK296" s="124" t="str">
        <f aca="false">IF(ISBLANK($C296),"",IF($R296=Constants!$B$2,TRUE(),IF($R296=Constants!$B$3,FALSE(),TRUE())))</f>
        <v/>
      </c>
      <c r="AL296" s="126" t="str">
        <f aca="false">IF(ISBLANK($C296),"",IF(ISNUMBER($S296),IF($S296&gt;=0,$S296,""),""))</f>
        <v/>
      </c>
      <c r="AM296" s="124" t="str">
        <f aca="false">IF(ISBLANK($C296),"",IF(ISBLANK($T296),0,IF(ISNUMBER($T296),IF(AND($T296&gt;=0,$T296&lt;=Constants!$B$17,$T296=INT($T296)),$T296,""),"")))</f>
        <v/>
      </c>
      <c r="AN296" s="125" t="str">
        <f aca="false">IF(ISBLANK($C296),"",IF(ISBLANK($U296),0,IF(ISNUMBER($U296),IF($U296&gt;=0,$U296,""),"")))</f>
        <v/>
      </c>
      <c r="AO296" s="124" t="str">
        <f aca="false">IF(ISBLANK($C296),"",IF($V296=Constants!$B$2,TRUE(),IF($V296=Constants!$B$3,FALSE(),FALSE())))</f>
        <v/>
      </c>
      <c r="AP296" s="124"/>
      <c r="AQ296" s="123" t="str">
        <f aca="false">IF(ISBLANK($C296),"",AND($Y296,OR($AS296,$BC296),OR($Z296="",$AA296="",$AB296="")))</f>
        <v/>
      </c>
      <c r="AR296" s="123" t="str">
        <f aca="false">IF(ISBLANK($C296),"",IF(OR(NOT($Y296),NOT(OR($AS296,$BC296))),"",IF(ISBLANK($D$7),$AR$5,IF($AP$9="",$AR$6,""))))</f>
        <v/>
      </c>
      <c r="AS296" s="123" t="str">
        <f aca="false">IF(ISBLANK($C296),"",COUNTA($J296:$O296)&gt;0)</f>
        <v/>
      </c>
      <c r="AT296" s="123" t="str">
        <f aca="false">IF(ISBLANK($C296),"",AND($AS296,OR(AND($AF296="",OR($AE296,NOT(ISBLANK($M296)))),$AG296="",$AH296="")))</f>
        <v/>
      </c>
      <c r="AU296" s="125" t="str">
        <f aca="false">IF($BL296&lt;&gt;Constants!$B$4,"",IF(NOT($AS296),"",ROUND((Constants!$B$12-$AB296)+(Constants!$B$13-$Z296)+(Constants!$B$14-$AA296),1)))</f>
        <v/>
      </c>
      <c r="AV296" s="127" t="str">
        <f aca="false">IF($BL296&lt;&gt;Constants!$B$4,"",IF(NOT($AS296),"",IF(NOT($AE296),0,Constants!$B$15*(INT(ROUND(MIN($AF296,$AP$9),6))-INT(ROUND(MAX(0,MIN($AF296,2*$AP$9)-$AP$9),6))))))</f>
        <v/>
      </c>
      <c r="AW296" s="127" t="str">
        <f aca="false">IF($BL296&lt;&gt;Constants!$B$4,"",IF(NOT($AS296),"",Constants!$B$16*$AG296))</f>
        <v/>
      </c>
      <c r="AX296" s="127" t="str">
        <f aca="false">IF($BL296&lt;&gt;Constants!$B$4,"",IF(NOT($AS296),"",Constants!$B$18*INT(ROUND($AH296,6))))</f>
        <v/>
      </c>
      <c r="AY296" s="123" t="str">
        <f aca="false">IF($BL296&lt;&gt;Constants!$B$4,"",IF(NOT($AS296),"",IF(NOT($X296),Constants!$B$11,IF(OR(NOT($AC296),NOT($AD296),ROUND($AB296,1)&gt;Constants!$B$12,ROUND($Z296,1)&gt;Constants!$B$13,ROUND($AA296,1)&gt;Constants!$B$14),Constants!$B$10,Constants!$B$9))))</f>
        <v/>
      </c>
      <c r="AZ296" s="128" t="str">
        <f aca="false">IF($BL296&lt;&gt;Constants!$B$4,"",IF(NOT($AS296),"",ROUND($AU296+$AV296+$AW296+$AX296,1)))</f>
        <v/>
      </c>
      <c r="BA296" s="129" t="str">
        <f aca="false">IF($BL296&lt;&gt;Constants!$B$4,"",IF(NOT($AS296),"",IF(ISNUMBER($AF296),$AF296,0)))</f>
        <v/>
      </c>
      <c r="BB296" s="124" t="str">
        <f aca="false">IF($BL296&lt;&gt;Constants!$B$4,"",IF(NOT($BC296),"&lt;-",IF(NOT($AS296),"-&gt;",IF(OR($BI296&lt;$AY296,AND($BI296=$AY296,OR($BJ296&gt;$AZ296,AND($BJ296=$AZ296,OR($BH296&gt;$AX296,AND($BH296=$AX296,OR($BE296&gt;$AU296,AND($BE296=$AU296,OR($BF296&gt;$AV296,AND($BF296=$AV296,$BK296&gt;$BA296)))))))))),"-&gt;","&lt;-"))))</f>
        <v/>
      </c>
      <c r="BC296" s="123" t="str">
        <f aca="false">IF(ISBLANK($C296),"",COUNTA($P296:$U296)&gt;0)</f>
        <v/>
      </c>
      <c r="BD296" s="123" t="str">
        <f aca="false">IF(ISBLANK($C296),"",AND($BC296,OR(AND($AL296="",OR($AK296,NOT(ISBLANK($S296)))),$AM296="",$AN296="")))</f>
        <v/>
      </c>
      <c r="BE296" s="125" t="str">
        <f aca="false">IF($BL296&lt;&gt;Constants!$B$4,"",IF(NOT($BC296),"",ROUND((Constants!$B$12-$AB296)+(Constants!$B$13-$Z296)+(Constants!$B$14-$AA296),1)))</f>
        <v/>
      </c>
      <c r="BF296" s="127" t="str">
        <f aca="false">IF($BL296&lt;&gt;Constants!$B$4,"",IF(NOT($BC296),"",IF(NOT($AK296),0,Constants!$B$15*(INT(ROUND(MIN($AL296,$AP$9),6))-INT(ROUND(MAX(0,MIN($AL296,2*$AP$9)-$AP$9),6))))))</f>
        <v/>
      </c>
      <c r="BG296" s="127" t="str">
        <f aca="false">IF($BL296&lt;&gt;Constants!$B$4,"",IF(NOT($BC296),"",Constants!$B$16*$AM296))</f>
        <v/>
      </c>
      <c r="BH296" s="127" t="str">
        <f aca="false">IF($BL296&lt;&gt;Constants!$B$4,"",IF(NOT($BC296),"",Constants!$B$18*INT(ROUND($AN296,6))))</f>
        <v/>
      </c>
      <c r="BI296" s="123" t="str">
        <f aca="false">IF($BL296&lt;&gt;Constants!$B$4,"",IF(NOT($BC296),"",IF(NOT($X296),Constants!$B$11,IF(OR(NOT($AI296),NOT($AJ296),ROUND($AB296,1)&gt;Constants!$B$12,ROUND($Z296,1)&gt;Constants!$B$13,ROUND($AA296,1)&gt;Constants!$B$14),Constants!$B$10,Constants!$B$9))))</f>
        <v/>
      </c>
      <c r="BJ296" s="128" t="str">
        <f aca="false">IF($BL296&lt;&gt;Constants!$B$4,"",IF(NOT($BC296),"",ROUND($BE296+$BF296+$BG296+$BH296,1)))</f>
        <v/>
      </c>
      <c r="BK296" s="129" t="str">
        <f aca="false">IF($BL296&lt;&gt;Constants!$B$4,"",IF(NOT($BC296),"",IF(ISNUMBER($AL296),$AL296,0)))</f>
        <v/>
      </c>
      <c r="BL296" s="124" t="str">
        <f aca="false">IF(ISBLANK($C296),"",IF($AO296,Constants!$B$7,IF(COUNTA($E296:$V296)=0,Constants!$B$6,IF(NOT($Y296),Constants!$B$5,IF(NOT(OR($AS296,$BC296)),Constants!$B$5,IF(OR($AT296,$BD296,$AQ296,$AR296&lt;&gt;""),Constants!$B$8,Constants!$B$4))))))</f>
        <v/>
      </c>
      <c r="BM296" s="124" t="str">
        <f aca="false">IF(ISBLANK($C296),"",IF($BL296&lt;&gt;Constants!$B$4,$BL296,IF($BB296="-&gt;",$BI296,$AY296)))</f>
        <v/>
      </c>
      <c r="BN296" s="127" t="str">
        <f aca="false">IF($BL296&lt;&gt;Constants!$B$4,"",IF($BB296="-&gt;",$BJ296,$AZ296))</f>
        <v/>
      </c>
      <c r="BO296" s="127" t="str">
        <f aca="false">IF(ISBLANK($C296),"",IF($BL296&lt;&gt;Constants!$B$4,$BL296,$BN296))</f>
        <v/>
      </c>
      <c r="BP296" s="124" t="str">
        <f aca="false">IF(ISBLANK($C296),"",IF($BL296&lt;&gt;Constants!$B$4,$BL296,RANK($BO296,$BO$9:$BO$508,0)))</f>
        <v/>
      </c>
      <c r="BQ296" s="124" t="str">
        <f aca="false">IF(ISBLANK($C296),"",IF($BL296&lt;&gt;Constants!$B$4,$BL296,COUNTIFS($BM$9:$BM$508,"&lt;"&amp;$BM296)+COUNTIFS($BM$9:$BM$508,$BM296,$BP$9:$BP$508,"&lt;"&amp;$BP296)+1))</f>
        <v/>
      </c>
      <c r="BR296" s="127" t="str">
        <f aca="false">IF($BL296&lt;&gt;Constants!$B$4,"",IF($BB296="-&gt;",$BH296,$AX296))</f>
        <v/>
      </c>
      <c r="BS296" s="124" t="str">
        <f aca="false">IF(ISBLANK($C296),"",IF($BL296&lt;&gt;Constants!$B$4,$BL296,IF(ISNUMBER($BR296),RANK($BR296,$BR$9:$BR$508,0),COUNT($BR$9:$BR$508)+1)))</f>
        <v/>
      </c>
      <c r="BT296" s="127" t="str">
        <f aca="false">IF($BL296&lt;&gt;Constants!$B$4,"",IF($BB296="-&gt;",$BE296,$AU296))</f>
        <v/>
      </c>
      <c r="BU296" s="124" t="str">
        <f aca="false">IF(ISBLANK($C296),"",IF($BL296&lt;&gt;Constants!$B$4,$BL296,IF(ISNUMBER($BT296),RANK($BT296,$BT$9:$BT$508,0),COUNT($BT$9:$BT$508)+1)))</f>
        <v/>
      </c>
      <c r="BV296" s="127" t="str">
        <f aca="false">IF($BL296&lt;&gt;Constants!$B$4,"",IF($BB296="-&gt;",$BF296,$AV296))</f>
        <v/>
      </c>
      <c r="BW296" s="124" t="str">
        <f aca="false">IF(ISBLANK($C296),"",IF($BL296&lt;&gt;Constants!$B$4,$BL296,IF(ISNUMBER($BV296),RANK($BV296,$BV$9:$BV$508,0),COUNT($BV$9:$BV$508)+1)))</f>
        <v/>
      </c>
      <c r="BX296" s="127" t="str">
        <f aca="false">IF($BL296&lt;&gt;Constants!$B$4,"",IF($BB296="-&gt;",$BK296,$BA296))</f>
        <v/>
      </c>
      <c r="BY296" s="124" t="str">
        <f aca="false">IF(ISBLANK($C296),"",IF($BL296&lt;&gt;Constants!$B$4,$BL296,IF(ISNUMBER($BX296),RANK($BX296,$BX$9:$BX$508,0),COUNT($BX$9:$BX$508)+1)))</f>
        <v/>
      </c>
      <c r="BZ296" s="124" t="str">
        <f aca="false">IF(ISBLANK($C296),"",IF($BL296&lt;&gt;Constants!$B$4,$BL296,COUNTIFS($BM$9:$BM$508,"&lt;"&amp;$BM296)+COUNTIFS($BM$9:$BM$508,$BM296,$BP$9:$BP$508,"&lt;"&amp;$BP296)+COUNTIFS($BM$9:$BM$508,$BM296,$BP$9:$BP$508,$BP296,$BS$9:$BS$508,"&lt;"&amp;$BS296)+COUNTIFS($BM$9:$BM$508,$BM296,$BP$9:$BP$508,$BP296,$BS$9:$BS$508,$BS296,$BU$9:$BU$508,"&lt;"&amp;$BU296)+COUNTIFS($BM$9:$BM$508,$BM296,$BP$9:$BP$508,$BP296,$BS$9:$BS$508,$BS296,$BU$9:$BU$508,$BU296,$BW$9:$BW$508,"&lt;"&amp;$BW296)+COUNTIFS($BM$9:$BM$508,$BM296,$BP$9:$BP$508,$BP296,$BS$9:$BS$508,$BS296,$BU$9:$BU$508,$BU296,$BW$9:$BW$508,$BW296,$BY$9:$BY$508,"&lt;"&amp;$BY296)+1))</f>
        <v/>
      </c>
      <c r="CA296" s="124" t="str">
        <f aca="false">IF(ISBLANK($C296),"",IF($BL296&lt;&gt;Constants!$B$4,$BL296,$BQ296-$BZ296))</f>
        <v/>
      </c>
      <c r="CB296" s="130"/>
      <c r="CC296" s="131" t="str">
        <f aca="false">IF(ISBLANK($C296),"",IF($BL296=Constants!$B$8,$AR296,""))</f>
        <v/>
      </c>
      <c r="CD296" s="131" t="str">
        <f aca="false">IF(ISBLANK($C296),"",IF($BL296&lt;&gt;Constants!$B$4,"",IF($BB296="-&gt;",2,1)))</f>
        <v/>
      </c>
      <c r="CE296" s="132" t="str">
        <f aca="false">IF(ISBLANK($C296),"",IF($BL296&lt;&gt;Constants!$B$4,"",IF($BB296="-&gt;",$BE296,$AU296)))</f>
        <v/>
      </c>
      <c r="CF296" s="132" t="str">
        <f aca="false">IF(ISBLANK($C296),"",IF($BL296&lt;&gt;Constants!$B$4,"",IF($BB296="-&gt;",$BF296,$AV296)))</f>
        <v/>
      </c>
      <c r="CG296" s="132" t="str">
        <f aca="false">IF(ISBLANK($C296),"",IF($BL296&lt;&gt;Constants!$B$4,"",IF($BB296="-&gt;",$BG296,$AW296)))</f>
        <v/>
      </c>
      <c r="CH296" s="132" t="str">
        <f aca="false">IF(ISBLANK($C296),"",IF($BL296&lt;&gt;Constants!$B$4,"",IF($BB296="-&gt;",$BH296,$AX296)))</f>
        <v/>
      </c>
      <c r="CI296" s="133" t="str">
        <f aca="false">IF(ISBLANK($C296),"",$BO296)</f>
        <v/>
      </c>
      <c r="CJ296" s="134" t="str">
        <f aca="false">IF(ISBLANK($C296),"",$BM296)</f>
        <v/>
      </c>
      <c r="CK296" s="135" t="str">
        <f aca="false">IF(ISBLANK($C296),"",$CA296)</f>
        <v/>
      </c>
      <c r="CL296" s="135" t="str">
        <f aca="false">IF(ISBLANK($C296),"",$BZ296)</f>
        <v/>
      </c>
      <c r="CM296" s="136" t="str">
        <f aca="false">IF(ISBLANK($C296),"",IF($CL296=Constants!$B$7,COUNTA($C$9:$C$508)+2,IF($CL296=Constants!$B$6,COUNTA($C$9:$C$508)+1,IF($CL296=Constants!$B$5,COUNTA($C$9:$C$508),$CL296))))</f>
        <v/>
      </c>
      <c r="CN296" s="8"/>
      <c r="CO296" s="137" t="n">
        <f aca="false">IF(OR(ISNUMBER($CL296),$CL296=Constants!$B$7,$CL296=Constants!$B$5,$CL296=Constants!$B$6),1,0)</f>
        <v>0</v>
      </c>
      <c r="CP296" s="137" t="n">
        <v>288</v>
      </c>
      <c r="CQ296" s="137" t="str">
        <f aca="false">IF(ISBLANK($C296),"",IF(ISNUMBER($CM296),$CM296+ROW($B296)/1000,""))</f>
        <v/>
      </c>
      <c r="CR296" s="137" t="str">
        <f aca="false">IF(ISNUMBER($CQ296),RANK($CQ296,$CQ$9:$CQ$508,1),"")</f>
        <v/>
      </c>
      <c r="CS296" s="137" t="str">
        <f aca="false">IF(ISBLANK($C296),"",$B296)</f>
        <v/>
      </c>
      <c r="CT296" s="137" t="str">
        <f aca="false">IF(ISBLANK($C296),"",$C296)</f>
        <v/>
      </c>
      <c r="CU296" s="137" t="str">
        <f aca="false">IF(ISBLANK($C296),"",$D296)</f>
        <v/>
      </c>
      <c r="CV296" s="138" t="str">
        <f aca="false">$CJ296</f>
        <v/>
      </c>
      <c r="CW296" s="139" t="str">
        <f aca="false">$CI296</f>
        <v/>
      </c>
      <c r="CX296" s="137" t="str">
        <f aca="false">IF(ISBLANK($C296),"",$CL296)</f>
        <v/>
      </c>
      <c r="CY296" s="140" t="str">
        <f aca="false">IF($CP296&gt;$CO$8,"",VLOOKUP($CP296,$CR$9:$CX$508,7,FALSE()))</f>
        <v/>
      </c>
      <c r="CZ296" s="141" t="str">
        <f aca="false">IF($CP296&gt;$CO$8,"",VLOOKUP($CP296,$CR$9:$CX$508,2,FALSE()))</f>
        <v/>
      </c>
      <c r="DA296" s="141" t="str">
        <f aca="false">IF($CP296&gt;$CO$8,"",VLOOKUP($CP296,$CR$9:$CX$508,3,FALSE()))</f>
        <v/>
      </c>
      <c r="DB296" s="141" t="str">
        <f aca="false">IF($CP296&gt;$CO$8,"",VLOOKUP($CP296,$CR$9:$CX$508,4,FALSE()))</f>
        <v/>
      </c>
      <c r="DC296" s="141" t="str">
        <f aca="false">IF($CP296&gt;$CO$8,"",VLOOKUP($CP296,$CR$9:$CX$508,5,FALSE()))</f>
        <v/>
      </c>
      <c r="DD296" s="142" t="str">
        <f aca="false">IF($CP296&gt;$CO$8,"",VLOOKUP($CP296,$CR$9:$CX$508,6,FALSE()))</f>
        <v/>
      </c>
      <c r="DE296" s="70"/>
    </row>
    <row r="297" customFormat="false" ht="15.75" hidden="false" customHeight="false" outlineLevel="0" collapsed="false">
      <c r="A297" s="8"/>
      <c r="B297" s="72"/>
      <c r="C297" s="73"/>
      <c r="D297" s="155"/>
      <c r="E297" s="162"/>
      <c r="F297" s="157"/>
      <c r="G297" s="77"/>
      <c r="H297" s="77"/>
      <c r="I297" s="77"/>
      <c r="J297" s="163"/>
      <c r="K297" s="161"/>
      <c r="L297" s="161"/>
      <c r="M297" s="80"/>
      <c r="N297" s="161"/>
      <c r="O297" s="160"/>
      <c r="P297" s="161"/>
      <c r="Q297" s="161"/>
      <c r="R297" s="161"/>
      <c r="S297" s="77"/>
      <c r="T297" s="161"/>
      <c r="U297" s="160"/>
      <c r="V297" s="161"/>
      <c r="W297" s="85"/>
      <c r="X297" s="86" t="str">
        <f aca="false">IF(ISBLANK($C297),"",IF($E297=Constants!$B$2,TRUE(),IF($E297=Constants!$B$3,FALSE(),TRUE())))</f>
        <v/>
      </c>
      <c r="Y297" s="86" t="str">
        <f aca="false">IF(ISBLANK($C297),"",IF($F297=Constants!$B$2,TRUE(),IF($F297=Constants!$B$3,FALSE(),TRUE())))</f>
        <v/>
      </c>
      <c r="Z297" s="87" t="str">
        <f aca="false">IF(ISBLANK($C297),"",IF(ISNUMBER($G297),IF($G297&gt;=0,$G297,""),""))</f>
        <v/>
      </c>
      <c r="AA297" s="87" t="str">
        <f aca="false">IF(ISBLANK($C297),"",IF(ISNUMBER($H297),IF($H297&gt;=0,$H297,""),""))</f>
        <v/>
      </c>
      <c r="AB297" s="87" t="str">
        <f aca="false">IF(ISBLANK($C297),"",IF(ISNUMBER($I297),IF($I297&gt;=0,$I297,""),""))</f>
        <v/>
      </c>
      <c r="AC297" s="86" t="str">
        <f aca="false">IF(ISBLANK($C297),"",IF($J297=Constants!$B$2,TRUE(),IF($J297=Constants!$B$3,FALSE(),TRUE())))</f>
        <v/>
      </c>
      <c r="AD297" s="86" t="str">
        <f aca="false">IF(ISBLANK($C297),"",IF($K297=Constants!$B$2,TRUE(),IF($K297=Constants!$B$3,FALSE(),TRUE())))</f>
        <v/>
      </c>
      <c r="AE297" s="86" t="str">
        <f aca="false">IF(ISBLANK($C297),"",IF($L297=Constants!$B$2,TRUE(),IF($L297=Constants!$B$3,FALSE(),TRUE())))</f>
        <v/>
      </c>
      <c r="AF297" s="88" t="str">
        <f aca="false">IF(ISBLANK($C297),"",IF(ISNUMBER($M297),IF($M297&gt;=0,$M297,""),""))</f>
        <v/>
      </c>
      <c r="AG297" s="86" t="str">
        <f aca="false">IF(ISBLANK($C297),"",IF(ISBLANK($N297),0,IF(ISNUMBER($N297),IF(AND($N297&gt;=0,$N297&lt;=Constants!$B$17,$N297=INT($N297)),$N297,""),"")))</f>
        <v/>
      </c>
      <c r="AH297" s="87" t="str">
        <f aca="false">IF(ISBLANK($C297),"",IF(ISBLANK($O297),0,IF(ISNUMBER($O297),IF($O297&gt;=0,$O297,""),"")))</f>
        <v/>
      </c>
      <c r="AI297" s="86" t="str">
        <f aca="false">IF(ISBLANK($C297),"",IF($P297=Constants!$B$2,TRUE(),IF($P297=Constants!$B$3,FALSE(),TRUE())))</f>
        <v/>
      </c>
      <c r="AJ297" s="86" t="str">
        <f aca="false">IF(ISBLANK($C297),"",IF($Q297=Constants!$B$2,TRUE(),IF($Q297=Constants!$B$3,FALSE(),TRUE())))</f>
        <v/>
      </c>
      <c r="AK297" s="86" t="str">
        <f aca="false">IF(ISBLANK($C297),"",IF($R297=Constants!$B$2,TRUE(),IF($R297=Constants!$B$3,FALSE(),TRUE())))</f>
        <v/>
      </c>
      <c r="AL297" s="88" t="str">
        <f aca="false">IF(ISBLANK($C297),"",IF(ISNUMBER($S297),IF($S297&gt;=0,$S297,""),""))</f>
        <v/>
      </c>
      <c r="AM297" s="86" t="str">
        <f aca="false">IF(ISBLANK($C297),"",IF(ISBLANK($T297),0,IF(ISNUMBER($T297),IF(AND($T297&gt;=0,$T297&lt;=Constants!$B$17,$T297=INT($T297)),$T297,""),"")))</f>
        <v/>
      </c>
      <c r="AN297" s="87" t="str">
        <f aca="false">IF(ISBLANK($C297),"",IF(ISBLANK($U297),0,IF(ISNUMBER($U297),IF($U297&gt;=0,$U297,""),"")))</f>
        <v/>
      </c>
      <c r="AO297" s="86" t="str">
        <f aca="false">IF(ISBLANK($C297),"",IF($V297=Constants!$B$2,TRUE(),IF($V297=Constants!$B$3,FALSE(),FALSE())))</f>
        <v/>
      </c>
      <c r="AP297" s="86"/>
      <c r="AQ297" s="85" t="str">
        <f aca="false">IF(ISBLANK($C297),"",AND($Y297,OR($AS297,$BC297),OR($Z297="",$AA297="",$AB297="")))</f>
        <v/>
      </c>
      <c r="AR297" s="85" t="str">
        <f aca="false">IF(ISBLANK($C297),"",IF(OR(NOT($Y297),NOT(OR($AS297,$BC297))),"",IF(ISBLANK($D$7),$AR$5,IF($AP$9="",$AR$6,""))))</f>
        <v/>
      </c>
      <c r="AS297" s="85" t="str">
        <f aca="false">IF(ISBLANK($C297),"",COUNTA($J297:$O297)&gt;0)</f>
        <v/>
      </c>
      <c r="AT297" s="85" t="str">
        <f aca="false">IF(ISBLANK($C297),"",AND($AS297,OR(AND($AF297="",OR($AE297,NOT(ISBLANK($M297)))),$AG297="",$AH297="")))</f>
        <v/>
      </c>
      <c r="AU297" s="87" t="str">
        <f aca="false">IF($BL297&lt;&gt;Constants!$B$4,"",IF(NOT($AS297),"",ROUND((Constants!$B$12-$AB297)+(Constants!$B$13-$Z297)+(Constants!$B$14-$AA297),1)))</f>
        <v/>
      </c>
      <c r="AV297" s="90" t="str">
        <f aca="false">IF($BL297&lt;&gt;Constants!$B$4,"",IF(NOT($AS297),"",IF(NOT($AE297),0,Constants!$B$15*(INT(ROUND(MIN($AF297,$AP$9),6))-INT(ROUND(MAX(0,MIN($AF297,2*$AP$9)-$AP$9),6))))))</f>
        <v/>
      </c>
      <c r="AW297" s="90" t="str">
        <f aca="false">IF($BL297&lt;&gt;Constants!$B$4,"",IF(NOT($AS297),"",Constants!$B$16*$AG297))</f>
        <v/>
      </c>
      <c r="AX297" s="90" t="str">
        <f aca="false">IF($BL297&lt;&gt;Constants!$B$4,"",IF(NOT($AS297),"",Constants!$B$18*INT(ROUND($AH297,6))))</f>
        <v/>
      </c>
      <c r="AY297" s="85" t="str">
        <f aca="false">IF($BL297&lt;&gt;Constants!$B$4,"",IF(NOT($AS297),"",IF(NOT($X297),Constants!$B$11,IF(OR(NOT($AC297),NOT($AD297),ROUND($AB297,1)&gt;Constants!$B$12,ROUND($Z297,1)&gt;Constants!$B$13,ROUND($AA297,1)&gt;Constants!$B$14),Constants!$B$10,Constants!$B$9))))</f>
        <v/>
      </c>
      <c r="AZ297" s="91" t="str">
        <f aca="false">IF($BL297&lt;&gt;Constants!$B$4,"",IF(NOT($AS297),"",ROUND($AU297+$AV297+$AW297+$AX297,1)))</f>
        <v/>
      </c>
      <c r="BA297" s="92" t="str">
        <f aca="false">IF($BL297&lt;&gt;Constants!$B$4,"",IF(NOT($AS297),"",IF(ISNUMBER($AF297),$AF297,0)))</f>
        <v/>
      </c>
      <c r="BB297" s="86" t="str">
        <f aca="false">IF($BL297&lt;&gt;Constants!$B$4,"",IF(NOT($BC297),"&lt;-",IF(NOT($AS297),"-&gt;",IF(OR($BI297&lt;$AY297,AND($BI297=$AY297,OR($BJ297&gt;$AZ297,AND($BJ297=$AZ297,OR($BH297&gt;$AX297,AND($BH297=$AX297,OR($BE297&gt;$AU297,AND($BE297=$AU297,OR($BF297&gt;$AV297,AND($BF297=$AV297,$BK297&gt;$BA297)))))))))),"-&gt;","&lt;-"))))</f>
        <v/>
      </c>
      <c r="BC297" s="85" t="str">
        <f aca="false">IF(ISBLANK($C297),"",COUNTA($P297:$U297)&gt;0)</f>
        <v/>
      </c>
      <c r="BD297" s="85" t="str">
        <f aca="false">IF(ISBLANK($C297),"",AND($BC297,OR(AND($AL297="",OR($AK297,NOT(ISBLANK($S297)))),$AM297="",$AN297="")))</f>
        <v/>
      </c>
      <c r="BE297" s="87" t="str">
        <f aca="false">IF($BL297&lt;&gt;Constants!$B$4,"",IF(NOT($BC297),"",ROUND((Constants!$B$12-$AB297)+(Constants!$B$13-$Z297)+(Constants!$B$14-$AA297),1)))</f>
        <v/>
      </c>
      <c r="BF297" s="90" t="str">
        <f aca="false">IF($BL297&lt;&gt;Constants!$B$4,"",IF(NOT($BC297),"",IF(NOT($AK297),0,Constants!$B$15*(INT(ROUND(MIN($AL297,$AP$9),6))-INT(ROUND(MAX(0,MIN($AL297,2*$AP$9)-$AP$9),6))))))</f>
        <v/>
      </c>
      <c r="BG297" s="90" t="str">
        <f aca="false">IF($BL297&lt;&gt;Constants!$B$4,"",IF(NOT($BC297),"",Constants!$B$16*$AM297))</f>
        <v/>
      </c>
      <c r="BH297" s="90" t="str">
        <f aca="false">IF($BL297&lt;&gt;Constants!$B$4,"",IF(NOT($BC297),"",Constants!$B$18*INT(ROUND($AN297,6))))</f>
        <v/>
      </c>
      <c r="BI297" s="85" t="str">
        <f aca="false">IF($BL297&lt;&gt;Constants!$B$4,"",IF(NOT($BC297),"",IF(NOT($X297),Constants!$B$11,IF(OR(NOT($AI297),NOT($AJ297),ROUND($AB297,1)&gt;Constants!$B$12,ROUND($Z297,1)&gt;Constants!$B$13,ROUND($AA297,1)&gt;Constants!$B$14),Constants!$B$10,Constants!$B$9))))</f>
        <v/>
      </c>
      <c r="BJ297" s="91" t="str">
        <f aca="false">IF($BL297&lt;&gt;Constants!$B$4,"",IF(NOT($BC297),"",ROUND($BE297+$BF297+$BG297+$BH297,1)))</f>
        <v/>
      </c>
      <c r="BK297" s="92" t="str">
        <f aca="false">IF($BL297&lt;&gt;Constants!$B$4,"",IF(NOT($BC297),"",IF(ISNUMBER($AL297),$AL297,0)))</f>
        <v/>
      </c>
      <c r="BL297" s="86" t="str">
        <f aca="false">IF(ISBLANK($C297),"",IF($AO297,Constants!$B$7,IF(COUNTA($E297:$V297)=0,Constants!$B$6,IF(NOT($Y297),Constants!$B$5,IF(NOT(OR($AS297,$BC297)),Constants!$B$5,IF(OR($AT297,$BD297,$AQ297,$AR297&lt;&gt;""),Constants!$B$8,Constants!$B$4))))))</f>
        <v/>
      </c>
      <c r="BM297" s="86" t="str">
        <f aca="false">IF(ISBLANK($C297),"",IF($BL297&lt;&gt;Constants!$B$4,$BL297,IF($BB297="-&gt;",$BI297,$AY297)))</f>
        <v/>
      </c>
      <c r="BN297" s="90" t="str">
        <f aca="false">IF($BL297&lt;&gt;Constants!$B$4,"",IF($BB297="-&gt;",$BJ297,$AZ297))</f>
        <v/>
      </c>
      <c r="BO297" s="90" t="str">
        <f aca="false">IF(ISBLANK($C297),"",IF($BL297&lt;&gt;Constants!$B$4,$BL297,$BN297))</f>
        <v/>
      </c>
      <c r="BP297" s="86" t="str">
        <f aca="false">IF(ISBLANK($C297),"",IF($BL297&lt;&gt;Constants!$B$4,$BL297,RANK($BO297,$BO$9:$BO$508,0)))</f>
        <v/>
      </c>
      <c r="BQ297" s="86" t="str">
        <f aca="false">IF(ISBLANK($C297),"",IF($BL297&lt;&gt;Constants!$B$4,$BL297,COUNTIFS($BM$9:$BM$508,"&lt;"&amp;$BM297)+COUNTIFS($BM$9:$BM$508,$BM297,$BP$9:$BP$508,"&lt;"&amp;$BP297)+1))</f>
        <v/>
      </c>
      <c r="BR297" s="90" t="str">
        <f aca="false">IF($BL297&lt;&gt;Constants!$B$4,"",IF($BB297="-&gt;",$BH297,$AX297))</f>
        <v/>
      </c>
      <c r="BS297" s="86" t="str">
        <f aca="false">IF(ISBLANK($C297),"",IF($BL297&lt;&gt;Constants!$B$4,$BL297,IF(ISNUMBER($BR297),RANK($BR297,$BR$9:$BR$508,0),COUNT($BR$9:$BR$508)+1)))</f>
        <v/>
      </c>
      <c r="BT297" s="90" t="str">
        <f aca="false">IF($BL297&lt;&gt;Constants!$B$4,"",IF($BB297="-&gt;",$BE297,$AU297))</f>
        <v/>
      </c>
      <c r="BU297" s="86" t="str">
        <f aca="false">IF(ISBLANK($C297),"",IF($BL297&lt;&gt;Constants!$B$4,$BL297,IF(ISNUMBER($BT297),RANK($BT297,$BT$9:$BT$508,0),COUNT($BT$9:$BT$508)+1)))</f>
        <v/>
      </c>
      <c r="BV297" s="90" t="str">
        <f aca="false">IF($BL297&lt;&gt;Constants!$B$4,"",IF($BB297="-&gt;",$BF297,$AV297))</f>
        <v/>
      </c>
      <c r="BW297" s="86" t="str">
        <f aca="false">IF(ISBLANK($C297),"",IF($BL297&lt;&gt;Constants!$B$4,$BL297,IF(ISNUMBER($BV297),RANK($BV297,$BV$9:$BV$508,0),COUNT($BV$9:$BV$508)+1)))</f>
        <v/>
      </c>
      <c r="BX297" s="90" t="str">
        <f aca="false">IF($BL297&lt;&gt;Constants!$B$4,"",IF($BB297="-&gt;",$BK297,$BA297))</f>
        <v/>
      </c>
      <c r="BY297" s="86" t="str">
        <f aca="false">IF(ISBLANK($C297),"",IF($BL297&lt;&gt;Constants!$B$4,$BL297,IF(ISNUMBER($BX297),RANK($BX297,$BX$9:$BX$508,0),COUNT($BX$9:$BX$508)+1)))</f>
        <v/>
      </c>
      <c r="BZ297" s="86" t="str">
        <f aca="false">IF(ISBLANK($C297),"",IF($BL297&lt;&gt;Constants!$B$4,$BL297,COUNTIFS($BM$9:$BM$508,"&lt;"&amp;$BM297)+COUNTIFS($BM$9:$BM$508,$BM297,$BP$9:$BP$508,"&lt;"&amp;$BP297)+COUNTIFS($BM$9:$BM$508,$BM297,$BP$9:$BP$508,$BP297,$BS$9:$BS$508,"&lt;"&amp;$BS297)+COUNTIFS($BM$9:$BM$508,$BM297,$BP$9:$BP$508,$BP297,$BS$9:$BS$508,$BS297,$BU$9:$BU$508,"&lt;"&amp;$BU297)+COUNTIFS($BM$9:$BM$508,$BM297,$BP$9:$BP$508,$BP297,$BS$9:$BS$508,$BS297,$BU$9:$BU$508,$BU297,$BW$9:$BW$508,"&lt;"&amp;$BW297)+COUNTIFS($BM$9:$BM$508,$BM297,$BP$9:$BP$508,$BP297,$BS$9:$BS$508,$BS297,$BU$9:$BU$508,$BU297,$BW$9:$BW$508,$BW297,$BY$9:$BY$508,"&lt;"&amp;$BY297)+1))</f>
        <v/>
      </c>
      <c r="CA297" s="86" t="str">
        <f aca="false">IF(ISBLANK($C297),"",IF($BL297&lt;&gt;Constants!$B$4,$BL297,$BQ297-$BZ297))</f>
        <v/>
      </c>
      <c r="CB297" s="93"/>
      <c r="CC297" s="94" t="str">
        <f aca="false">IF(ISBLANK($C297),"",IF($BL297=Constants!$B$8,$AR297,""))</f>
        <v/>
      </c>
      <c r="CD297" s="94" t="str">
        <f aca="false">IF(ISBLANK($C297),"",IF($BL297&lt;&gt;Constants!$B$4,"",IF($BB297="-&gt;",2,1)))</f>
        <v/>
      </c>
      <c r="CE297" s="95" t="str">
        <f aca="false">IF(ISBLANK($C297),"",IF($BL297&lt;&gt;Constants!$B$4,"",IF($BB297="-&gt;",$BE297,$AU297)))</f>
        <v/>
      </c>
      <c r="CF297" s="95" t="str">
        <f aca="false">IF(ISBLANK($C297),"",IF($BL297&lt;&gt;Constants!$B$4,"",IF($BB297="-&gt;",$BF297,$AV297)))</f>
        <v/>
      </c>
      <c r="CG297" s="95" t="str">
        <f aca="false">IF(ISBLANK($C297),"",IF($BL297&lt;&gt;Constants!$B$4,"",IF($BB297="-&gt;",$BG297,$AW297)))</f>
        <v/>
      </c>
      <c r="CH297" s="95" t="str">
        <f aca="false">IF(ISBLANK($C297),"",IF($BL297&lt;&gt;Constants!$B$4,"",IF($BB297="-&gt;",$BH297,$AX297)))</f>
        <v/>
      </c>
      <c r="CI297" s="96" t="str">
        <f aca="false">IF(ISBLANK($C297),"",$BO297)</f>
        <v/>
      </c>
      <c r="CJ297" s="97" t="str">
        <f aca="false">IF(ISBLANK($C297),"",$BM297)</f>
        <v/>
      </c>
      <c r="CK297" s="98" t="str">
        <f aca="false">IF(ISBLANK($C297),"",$CA297)</f>
        <v/>
      </c>
      <c r="CL297" s="98" t="str">
        <f aca="false">IF(ISBLANK($C297),"",$BZ297)</f>
        <v/>
      </c>
      <c r="CM297" s="99" t="str">
        <f aca="false">IF(ISBLANK($C297),"",IF($CL297=Constants!$B$7,COUNTA($C$9:$C$508)+2,IF($CL297=Constants!$B$6,COUNTA($C$9:$C$508)+1,IF($CL297=Constants!$B$5,COUNTA($C$9:$C$508),$CL297))))</f>
        <v/>
      </c>
      <c r="CN297" s="8"/>
      <c r="CO297" s="100" t="n">
        <f aca="false">IF(OR(ISNUMBER($CL297),$CL297=Constants!$B$7,$CL297=Constants!$B$5,$CL297=Constants!$B$6),1,0)</f>
        <v>0</v>
      </c>
      <c r="CP297" s="100" t="n">
        <v>289</v>
      </c>
      <c r="CQ297" s="100" t="str">
        <f aca="false">IF(ISBLANK($C297),"",IF(ISNUMBER($CM297),$CM297+ROW($B297)/1000,""))</f>
        <v/>
      </c>
      <c r="CR297" s="100" t="str">
        <f aca="false">IF(ISNUMBER($CQ297),RANK($CQ297,$CQ$9:$CQ$508,1),"")</f>
        <v/>
      </c>
      <c r="CS297" s="100" t="str">
        <f aca="false">IF(ISBLANK($C297),"",$B297)</f>
        <v/>
      </c>
      <c r="CT297" s="100" t="str">
        <f aca="false">IF(ISBLANK($C297),"",$C297)</f>
        <v/>
      </c>
      <c r="CU297" s="100" t="str">
        <f aca="false">IF(ISBLANK($C297),"",$D297)</f>
        <v/>
      </c>
      <c r="CV297" s="101" t="str">
        <f aca="false">$CJ297</f>
        <v/>
      </c>
      <c r="CW297" s="102" t="str">
        <f aca="false">$CI297</f>
        <v/>
      </c>
      <c r="CX297" s="100" t="str">
        <f aca="false">IF(ISBLANK($C297),"",$CL297)</f>
        <v/>
      </c>
      <c r="CY297" s="103" t="str">
        <f aca="false">IF($CP297&gt;$CO$8,"",VLOOKUP($CP297,$CR$9:$CX$508,7,FALSE()))</f>
        <v/>
      </c>
      <c r="CZ297" s="104" t="str">
        <f aca="false">IF($CP297&gt;$CO$8,"",VLOOKUP($CP297,$CR$9:$CX$508,2,FALSE()))</f>
        <v/>
      </c>
      <c r="DA297" s="104" t="str">
        <f aca="false">IF($CP297&gt;$CO$8,"",VLOOKUP($CP297,$CR$9:$CX$508,3,FALSE()))</f>
        <v/>
      </c>
      <c r="DB297" s="104" t="str">
        <f aca="false">IF($CP297&gt;$CO$8,"",VLOOKUP($CP297,$CR$9:$CX$508,4,FALSE()))</f>
        <v/>
      </c>
      <c r="DC297" s="104" t="str">
        <f aca="false">IF($CP297&gt;$CO$8,"",VLOOKUP($CP297,$CR$9:$CX$508,5,FALSE()))</f>
        <v/>
      </c>
      <c r="DD297" s="105" t="str">
        <f aca="false">IF($CP297&gt;$CO$8,"",VLOOKUP($CP297,$CR$9:$CX$508,6,FALSE()))</f>
        <v/>
      </c>
      <c r="DE297" s="70"/>
    </row>
    <row r="298" customFormat="false" ht="15.75" hidden="false" customHeight="false" outlineLevel="0" collapsed="false">
      <c r="A298" s="8"/>
      <c r="B298" s="72"/>
      <c r="C298" s="73"/>
      <c r="D298" s="155"/>
      <c r="E298" s="162"/>
      <c r="F298" s="157"/>
      <c r="G298" s="77"/>
      <c r="H298" s="77"/>
      <c r="I298" s="77"/>
      <c r="J298" s="163"/>
      <c r="K298" s="161"/>
      <c r="L298" s="161"/>
      <c r="M298" s="80"/>
      <c r="N298" s="161"/>
      <c r="O298" s="160"/>
      <c r="P298" s="161"/>
      <c r="Q298" s="161"/>
      <c r="R298" s="161"/>
      <c r="S298" s="77"/>
      <c r="T298" s="161"/>
      <c r="U298" s="160"/>
      <c r="V298" s="161"/>
      <c r="W298" s="85"/>
      <c r="X298" s="86" t="str">
        <f aca="false">IF(ISBLANK($C298),"",IF($E298=Constants!$B$2,TRUE(),IF($E298=Constants!$B$3,FALSE(),TRUE())))</f>
        <v/>
      </c>
      <c r="Y298" s="86" t="str">
        <f aca="false">IF(ISBLANK($C298),"",IF($F298=Constants!$B$2,TRUE(),IF($F298=Constants!$B$3,FALSE(),TRUE())))</f>
        <v/>
      </c>
      <c r="Z298" s="87" t="str">
        <f aca="false">IF(ISBLANK($C298),"",IF(ISNUMBER($G298),IF($G298&gt;=0,$G298,""),""))</f>
        <v/>
      </c>
      <c r="AA298" s="87" t="str">
        <f aca="false">IF(ISBLANK($C298),"",IF(ISNUMBER($H298),IF($H298&gt;=0,$H298,""),""))</f>
        <v/>
      </c>
      <c r="AB298" s="87" t="str">
        <f aca="false">IF(ISBLANK($C298),"",IF(ISNUMBER($I298),IF($I298&gt;=0,$I298,""),""))</f>
        <v/>
      </c>
      <c r="AC298" s="86" t="str">
        <f aca="false">IF(ISBLANK($C298),"",IF($J298=Constants!$B$2,TRUE(),IF($J298=Constants!$B$3,FALSE(),TRUE())))</f>
        <v/>
      </c>
      <c r="AD298" s="86" t="str">
        <f aca="false">IF(ISBLANK($C298),"",IF($K298=Constants!$B$2,TRUE(),IF($K298=Constants!$B$3,FALSE(),TRUE())))</f>
        <v/>
      </c>
      <c r="AE298" s="86" t="str">
        <f aca="false">IF(ISBLANK($C298),"",IF($L298=Constants!$B$2,TRUE(),IF($L298=Constants!$B$3,FALSE(),TRUE())))</f>
        <v/>
      </c>
      <c r="AF298" s="88" t="str">
        <f aca="false">IF(ISBLANK($C298),"",IF(ISNUMBER($M298),IF($M298&gt;=0,$M298,""),""))</f>
        <v/>
      </c>
      <c r="AG298" s="86" t="str">
        <f aca="false">IF(ISBLANK($C298),"",IF(ISBLANK($N298),0,IF(ISNUMBER($N298),IF(AND($N298&gt;=0,$N298&lt;=Constants!$B$17,$N298=INT($N298)),$N298,""),"")))</f>
        <v/>
      </c>
      <c r="AH298" s="87" t="str">
        <f aca="false">IF(ISBLANK($C298),"",IF(ISBLANK($O298),0,IF(ISNUMBER($O298),IF($O298&gt;=0,$O298,""),"")))</f>
        <v/>
      </c>
      <c r="AI298" s="86" t="str">
        <f aca="false">IF(ISBLANK($C298),"",IF($P298=Constants!$B$2,TRUE(),IF($P298=Constants!$B$3,FALSE(),TRUE())))</f>
        <v/>
      </c>
      <c r="AJ298" s="86" t="str">
        <f aca="false">IF(ISBLANK($C298),"",IF($Q298=Constants!$B$2,TRUE(),IF($Q298=Constants!$B$3,FALSE(),TRUE())))</f>
        <v/>
      </c>
      <c r="AK298" s="86" t="str">
        <f aca="false">IF(ISBLANK($C298),"",IF($R298=Constants!$B$2,TRUE(),IF($R298=Constants!$B$3,FALSE(),TRUE())))</f>
        <v/>
      </c>
      <c r="AL298" s="88" t="str">
        <f aca="false">IF(ISBLANK($C298),"",IF(ISNUMBER($S298),IF($S298&gt;=0,$S298,""),""))</f>
        <v/>
      </c>
      <c r="AM298" s="86" t="str">
        <f aca="false">IF(ISBLANK($C298),"",IF(ISBLANK($T298),0,IF(ISNUMBER($T298),IF(AND($T298&gt;=0,$T298&lt;=Constants!$B$17,$T298=INT($T298)),$T298,""),"")))</f>
        <v/>
      </c>
      <c r="AN298" s="87" t="str">
        <f aca="false">IF(ISBLANK($C298),"",IF(ISBLANK($U298),0,IF(ISNUMBER($U298),IF($U298&gt;=0,$U298,""),"")))</f>
        <v/>
      </c>
      <c r="AO298" s="86" t="str">
        <f aca="false">IF(ISBLANK($C298),"",IF($V298=Constants!$B$2,TRUE(),IF($V298=Constants!$B$3,FALSE(),FALSE())))</f>
        <v/>
      </c>
      <c r="AP298" s="86"/>
      <c r="AQ298" s="85" t="str">
        <f aca="false">IF(ISBLANK($C298),"",AND($Y298,OR($AS298,$BC298),OR($Z298="",$AA298="",$AB298="")))</f>
        <v/>
      </c>
      <c r="AR298" s="85" t="str">
        <f aca="false">IF(ISBLANK($C298),"",IF(OR(NOT($Y298),NOT(OR($AS298,$BC298))),"",IF(ISBLANK($D$7),$AR$5,IF($AP$9="",$AR$6,""))))</f>
        <v/>
      </c>
      <c r="AS298" s="85" t="str">
        <f aca="false">IF(ISBLANK($C298),"",COUNTA($J298:$O298)&gt;0)</f>
        <v/>
      </c>
      <c r="AT298" s="85" t="str">
        <f aca="false">IF(ISBLANK($C298),"",AND($AS298,OR(AND($AF298="",OR($AE298,NOT(ISBLANK($M298)))),$AG298="",$AH298="")))</f>
        <v/>
      </c>
      <c r="AU298" s="87" t="str">
        <f aca="false">IF($BL298&lt;&gt;Constants!$B$4,"",IF(NOT($AS298),"",ROUND((Constants!$B$12-$AB298)+(Constants!$B$13-$Z298)+(Constants!$B$14-$AA298),1)))</f>
        <v/>
      </c>
      <c r="AV298" s="90" t="str">
        <f aca="false">IF($BL298&lt;&gt;Constants!$B$4,"",IF(NOT($AS298),"",IF(NOT($AE298),0,Constants!$B$15*(INT(ROUND(MIN($AF298,$AP$9),6))-INT(ROUND(MAX(0,MIN($AF298,2*$AP$9)-$AP$9),6))))))</f>
        <v/>
      </c>
      <c r="AW298" s="90" t="str">
        <f aca="false">IF($BL298&lt;&gt;Constants!$B$4,"",IF(NOT($AS298),"",Constants!$B$16*$AG298))</f>
        <v/>
      </c>
      <c r="AX298" s="90" t="str">
        <f aca="false">IF($BL298&lt;&gt;Constants!$B$4,"",IF(NOT($AS298),"",Constants!$B$18*INT(ROUND($AH298,6))))</f>
        <v/>
      </c>
      <c r="AY298" s="85" t="str">
        <f aca="false">IF($BL298&lt;&gt;Constants!$B$4,"",IF(NOT($AS298),"",IF(NOT($X298),Constants!$B$11,IF(OR(NOT($AC298),NOT($AD298),ROUND($AB298,1)&gt;Constants!$B$12,ROUND($Z298,1)&gt;Constants!$B$13,ROUND($AA298,1)&gt;Constants!$B$14),Constants!$B$10,Constants!$B$9))))</f>
        <v/>
      </c>
      <c r="AZ298" s="91" t="str">
        <f aca="false">IF($BL298&lt;&gt;Constants!$B$4,"",IF(NOT($AS298),"",ROUND($AU298+$AV298+$AW298+$AX298,1)))</f>
        <v/>
      </c>
      <c r="BA298" s="92" t="str">
        <f aca="false">IF($BL298&lt;&gt;Constants!$B$4,"",IF(NOT($AS298),"",IF(ISNUMBER($AF298),$AF298,0)))</f>
        <v/>
      </c>
      <c r="BB298" s="86" t="str">
        <f aca="false">IF($BL298&lt;&gt;Constants!$B$4,"",IF(NOT($BC298),"&lt;-",IF(NOT($AS298),"-&gt;",IF(OR($BI298&lt;$AY298,AND($BI298=$AY298,OR($BJ298&gt;$AZ298,AND($BJ298=$AZ298,OR($BH298&gt;$AX298,AND($BH298=$AX298,OR($BE298&gt;$AU298,AND($BE298=$AU298,OR($BF298&gt;$AV298,AND($BF298=$AV298,$BK298&gt;$BA298)))))))))),"-&gt;","&lt;-"))))</f>
        <v/>
      </c>
      <c r="BC298" s="85" t="str">
        <f aca="false">IF(ISBLANK($C298),"",COUNTA($P298:$U298)&gt;0)</f>
        <v/>
      </c>
      <c r="BD298" s="85" t="str">
        <f aca="false">IF(ISBLANK($C298),"",AND($BC298,OR(AND($AL298="",OR($AK298,NOT(ISBLANK($S298)))),$AM298="",$AN298="")))</f>
        <v/>
      </c>
      <c r="BE298" s="87" t="str">
        <f aca="false">IF($BL298&lt;&gt;Constants!$B$4,"",IF(NOT($BC298),"",ROUND((Constants!$B$12-$AB298)+(Constants!$B$13-$Z298)+(Constants!$B$14-$AA298),1)))</f>
        <v/>
      </c>
      <c r="BF298" s="90" t="str">
        <f aca="false">IF($BL298&lt;&gt;Constants!$B$4,"",IF(NOT($BC298),"",IF(NOT($AK298),0,Constants!$B$15*(INT(ROUND(MIN($AL298,$AP$9),6))-INT(ROUND(MAX(0,MIN($AL298,2*$AP$9)-$AP$9),6))))))</f>
        <v/>
      </c>
      <c r="BG298" s="90" t="str">
        <f aca="false">IF($BL298&lt;&gt;Constants!$B$4,"",IF(NOT($BC298),"",Constants!$B$16*$AM298))</f>
        <v/>
      </c>
      <c r="BH298" s="90" t="str">
        <f aca="false">IF($BL298&lt;&gt;Constants!$B$4,"",IF(NOT($BC298),"",Constants!$B$18*INT(ROUND($AN298,6))))</f>
        <v/>
      </c>
      <c r="BI298" s="85" t="str">
        <f aca="false">IF($BL298&lt;&gt;Constants!$B$4,"",IF(NOT($BC298),"",IF(NOT($X298),Constants!$B$11,IF(OR(NOT($AI298),NOT($AJ298),ROUND($AB298,1)&gt;Constants!$B$12,ROUND($Z298,1)&gt;Constants!$B$13,ROUND($AA298,1)&gt;Constants!$B$14),Constants!$B$10,Constants!$B$9))))</f>
        <v/>
      </c>
      <c r="BJ298" s="91" t="str">
        <f aca="false">IF($BL298&lt;&gt;Constants!$B$4,"",IF(NOT($BC298),"",ROUND($BE298+$BF298+$BG298+$BH298,1)))</f>
        <v/>
      </c>
      <c r="BK298" s="92" t="str">
        <f aca="false">IF($BL298&lt;&gt;Constants!$B$4,"",IF(NOT($BC298),"",IF(ISNUMBER($AL298),$AL298,0)))</f>
        <v/>
      </c>
      <c r="BL298" s="86" t="str">
        <f aca="false">IF(ISBLANK($C298),"",IF($AO298,Constants!$B$7,IF(COUNTA($E298:$V298)=0,Constants!$B$6,IF(NOT($Y298),Constants!$B$5,IF(NOT(OR($AS298,$BC298)),Constants!$B$5,IF(OR($AT298,$BD298,$AQ298,$AR298&lt;&gt;""),Constants!$B$8,Constants!$B$4))))))</f>
        <v/>
      </c>
      <c r="BM298" s="86" t="str">
        <f aca="false">IF(ISBLANK($C298),"",IF($BL298&lt;&gt;Constants!$B$4,$BL298,IF($BB298="-&gt;",$BI298,$AY298)))</f>
        <v/>
      </c>
      <c r="BN298" s="90" t="str">
        <f aca="false">IF($BL298&lt;&gt;Constants!$B$4,"",IF($BB298="-&gt;",$BJ298,$AZ298))</f>
        <v/>
      </c>
      <c r="BO298" s="90" t="str">
        <f aca="false">IF(ISBLANK($C298),"",IF($BL298&lt;&gt;Constants!$B$4,$BL298,$BN298))</f>
        <v/>
      </c>
      <c r="BP298" s="86" t="str">
        <f aca="false">IF(ISBLANK($C298),"",IF($BL298&lt;&gt;Constants!$B$4,$BL298,RANK($BO298,$BO$9:$BO$508,0)))</f>
        <v/>
      </c>
      <c r="BQ298" s="86" t="str">
        <f aca="false">IF(ISBLANK($C298),"",IF($BL298&lt;&gt;Constants!$B$4,$BL298,COUNTIFS($BM$9:$BM$508,"&lt;"&amp;$BM298)+COUNTIFS($BM$9:$BM$508,$BM298,$BP$9:$BP$508,"&lt;"&amp;$BP298)+1))</f>
        <v/>
      </c>
      <c r="BR298" s="90" t="str">
        <f aca="false">IF($BL298&lt;&gt;Constants!$B$4,"",IF($BB298="-&gt;",$BH298,$AX298))</f>
        <v/>
      </c>
      <c r="BS298" s="86" t="str">
        <f aca="false">IF(ISBLANK($C298),"",IF($BL298&lt;&gt;Constants!$B$4,$BL298,IF(ISNUMBER($BR298),RANK($BR298,$BR$9:$BR$508,0),COUNT($BR$9:$BR$508)+1)))</f>
        <v/>
      </c>
      <c r="BT298" s="90" t="str">
        <f aca="false">IF($BL298&lt;&gt;Constants!$B$4,"",IF($BB298="-&gt;",$BE298,$AU298))</f>
        <v/>
      </c>
      <c r="BU298" s="86" t="str">
        <f aca="false">IF(ISBLANK($C298),"",IF($BL298&lt;&gt;Constants!$B$4,$BL298,IF(ISNUMBER($BT298),RANK($BT298,$BT$9:$BT$508,0),COUNT($BT$9:$BT$508)+1)))</f>
        <v/>
      </c>
      <c r="BV298" s="90" t="str">
        <f aca="false">IF($BL298&lt;&gt;Constants!$B$4,"",IF($BB298="-&gt;",$BF298,$AV298))</f>
        <v/>
      </c>
      <c r="BW298" s="86" t="str">
        <f aca="false">IF(ISBLANK($C298),"",IF($BL298&lt;&gt;Constants!$B$4,$BL298,IF(ISNUMBER($BV298),RANK($BV298,$BV$9:$BV$508,0),COUNT($BV$9:$BV$508)+1)))</f>
        <v/>
      </c>
      <c r="BX298" s="90" t="str">
        <f aca="false">IF($BL298&lt;&gt;Constants!$B$4,"",IF($BB298="-&gt;",$BK298,$BA298))</f>
        <v/>
      </c>
      <c r="BY298" s="86" t="str">
        <f aca="false">IF(ISBLANK($C298),"",IF($BL298&lt;&gt;Constants!$B$4,$BL298,IF(ISNUMBER($BX298),RANK($BX298,$BX$9:$BX$508,0),COUNT($BX$9:$BX$508)+1)))</f>
        <v/>
      </c>
      <c r="BZ298" s="86" t="str">
        <f aca="false">IF(ISBLANK($C298),"",IF($BL298&lt;&gt;Constants!$B$4,$BL298,COUNTIFS($BM$9:$BM$508,"&lt;"&amp;$BM298)+COUNTIFS($BM$9:$BM$508,$BM298,$BP$9:$BP$508,"&lt;"&amp;$BP298)+COUNTIFS($BM$9:$BM$508,$BM298,$BP$9:$BP$508,$BP298,$BS$9:$BS$508,"&lt;"&amp;$BS298)+COUNTIFS($BM$9:$BM$508,$BM298,$BP$9:$BP$508,$BP298,$BS$9:$BS$508,$BS298,$BU$9:$BU$508,"&lt;"&amp;$BU298)+COUNTIFS($BM$9:$BM$508,$BM298,$BP$9:$BP$508,$BP298,$BS$9:$BS$508,$BS298,$BU$9:$BU$508,$BU298,$BW$9:$BW$508,"&lt;"&amp;$BW298)+COUNTIFS($BM$9:$BM$508,$BM298,$BP$9:$BP$508,$BP298,$BS$9:$BS$508,$BS298,$BU$9:$BU$508,$BU298,$BW$9:$BW$508,$BW298,$BY$9:$BY$508,"&lt;"&amp;$BY298)+1))</f>
        <v/>
      </c>
      <c r="CA298" s="86" t="str">
        <f aca="false">IF(ISBLANK($C298),"",IF($BL298&lt;&gt;Constants!$B$4,$BL298,$BQ298-$BZ298))</f>
        <v/>
      </c>
      <c r="CB298" s="93"/>
      <c r="CC298" s="94" t="str">
        <f aca="false">IF(ISBLANK($C298),"",IF($BL298=Constants!$B$8,$AR298,""))</f>
        <v/>
      </c>
      <c r="CD298" s="94" t="str">
        <f aca="false">IF(ISBLANK($C298),"",IF($BL298&lt;&gt;Constants!$B$4,"",IF($BB298="-&gt;",2,1)))</f>
        <v/>
      </c>
      <c r="CE298" s="95" t="str">
        <f aca="false">IF(ISBLANK($C298),"",IF($BL298&lt;&gt;Constants!$B$4,"",IF($BB298="-&gt;",$BE298,$AU298)))</f>
        <v/>
      </c>
      <c r="CF298" s="95" t="str">
        <f aca="false">IF(ISBLANK($C298),"",IF($BL298&lt;&gt;Constants!$B$4,"",IF($BB298="-&gt;",$BF298,$AV298)))</f>
        <v/>
      </c>
      <c r="CG298" s="95" t="str">
        <f aca="false">IF(ISBLANK($C298),"",IF($BL298&lt;&gt;Constants!$B$4,"",IF($BB298="-&gt;",$BG298,$AW298)))</f>
        <v/>
      </c>
      <c r="CH298" s="95" t="str">
        <f aca="false">IF(ISBLANK($C298),"",IF($BL298&lt;&gt;Constants!$B$4,"",IF($BB298="-&gt;",$BH298,$AX298)))</f>
        <v/>
      </c>
      <c r="CI298" s="96" t="str">
        <f aca="false">IF(ISBLANK($C298),"",$BO298)</f>
        <v/>
      </c>
      <c r="CJ298" s="97" t="str">
        <f aca="false">IF(ISBLANK($C298),"",$BM298)</f>
        <v/>
      </c>
      <c r="CK298" s="98" t="str">
        <f aca="false">IF(ISBLANK($C298),"",$CA298)</f>
        <v/>
      </c>
      <c r="CL298" s="98" t="str">
        <f aca="false">IF(ISBLANK($C298),"",$BZ298)</f>
        <v/>
      </c>
      <c r="CM298" s="99" t="str">
        <f aca="false">IF(ISBLANK($C298),"",IF($CL298=Constants!$B$7,COUNTA($C$9:$C$508)+2,IF($CL298=Constants!$B$6,COUNTA($C$9:$C$508)+1,IF($CL298=Constants!$B$5,COUNTA($C$9:$C$508),$CL298))))</f>
        <v/>
      </c>
      <c r="CN298" s="8"/>
      <c r="CO298" s="100" t="n">
        <f aca="false">IF(OR(ISNUMBER($CL298),$CL298=Constants!$B$7,$CL298=Constants!$B$5,$CL298=Constants!$B$6),1,0)</f>
        <v>0</v>
      </c>
      <c r="CP298" s="100" t="n">
        <v>290</v>
      </c>
      <c r="CQ298" s="100" t="str">
        <f aca="false">IF(ISBLANK($C298),"",IF(ISNUMBER($CM298),$CM298+ROW($B298)/1000,""))</f>
        <v/>
      </c>
      <c r="CR298" s="100" t="str">
        <f aca="false">IF(ISNUMBER($CQ298),RANK($CQ298,$CQ$9:$CQ$508,1),"")</f>
        <v/>
      </c>
      <c r="CS298" s="100" t="str">
        <f aca="false">IF(ISBLANK($C298),"",$B298)</f>
        <v/>
      </c>
      <c r="CT298" s="100" t="str">
        <f aca="false">IF(ISBLANK($C298),"",$C298)</f>
        <v/>
      </c>
      <c r="CU298" s="100" t="str">
        <f aca="false">IF(ISBLANK($C298),"",$D298)</f>
        <v/>
      </c>
      <c r="CV298" s="101" t="str">
        <f aca="false">$CJ298</f>
        <v/>
      </c>
      <c r="CW298" s="102" t="str">
        <f aca="false">$CI298</f>
        <v/>
      </c>
      <c r="CX298" s="100" t="str">
        <f aca="false">IF(ISBLANK($C298),"",$CL298)</f>
        <v/>
      </c>
      <c r="CY298" s="103" t="str">
        <f aca="false">IF($CP298&gt;$CO$8,"",VLOOKUP($CP298,$CR$9:$CX$508,7,FALSE()))</f>
        <v/>
      </c>
      <c r="CZ298" s="104" t="str">
        <f aca="false">IF($CP298&gt;$CO$8,"",VLOOKUP($CP298,$CR$9:$CX$508,2,FALSE()))</f>
        <v/>
      </c>
      <c r="DA298" s="104" t="str">
        <f aca="false">IF($CP298&gt;$CO$8,"",VLOOKUP($CP298,$CR$9:$CX$508,3,FALSE()))</f>
        <v/>
      </c>
      <c r="DB298" s="104" t="str">
        <f aca="false">IF($CP298&gt;$CO$8,"",VLOOKUP($CP298,$CR$9:$CX$508,4,FALSE()))</f>
        <v/>
      </c>
      <c r="DC298" s="104" t="str">
        <f aca="false">IF($CP298&gt;$CO$8,"",VLOOKUP($CP298,$CR$9:$CX$508,5,FALSE()))</f>
        <v/>
      </c>
      <c r="DD298" s="105" t="str">
        <f aca="false">IF($CP298&gt;$CO$8,"",VLOOKUP($CP298,$CR$9:$CX$508,6,FALSE()))</f>
        <v/>
      </c>
      <c r="DE298" s="70"/>
    </row>
    <row r="299" customFormat="false" ht="15.75" hidden="false" customHeight="false" outlineLevel="0" collapsed="false">
      <c r="A299" s="8"/>
      <c r="B299" s="72"/>
      <c r="C299" s="73"/>
      <c r="D299" s="155"/>
      <c r="E299" s="162"/>
      <c r="F299" s="157"/>
      <c r="G299" s="77"/>
      <c r="H299" s="77"/>
      <c r="I299" s="77"/>
      <c r="J299" s="163"/>
      <c r="K299" s="161"/>
      <c r="L299" s="161"/>
      <c r="M299" s="80"/>
      <c r="N299" s="161"/>
      <c r="O299" s="160"/>
      <c r="P299" s="161"/>
      <c r="Q299" s="161"/>
      <c r="R299" s="161"/>
      <c r="S299" s="77"/>
      <c r="T299" s="161"/>
      <c r="U299" s="160"/>
      <c r="V299" s="161"/>
      <c r="W299" s="85"/>
      <c r="X299" s="86" t="str">
        <f aca="false">IF(ISBLANK($C299),"",IF($E299=Constants!$B$2,TRUE(),IF($E299=Constants!$B$3,FALSE(),TRUE())))</f>
        <v/>
      </c>
      <c r="Y299" s="86" t="str">
        <f aca="false">IF(ISBLANK($C299),"",IF($F299=Constants!$B$2,TRUE(),IF($F299=Constants!$B$3,FALSE(),TRUE())))</f>
        <v/>
      </c>
      <c r="Z299" s="87" t="str">
        <f aca="false">IF(ISBLANK($C299),"",IF(ISNUMBER($G299),IF($G299&gt;=0,$G299,""),""))</f>
        <v/>
      </c>
      <c r="AA299" s="87" t="str">
        <f aca="false">IF(ISBLANK($C299),"",IF(ISNUMBER($H299),IF($H299&gt;=0,$H299,""),""))</f>
        <v/>
      </c>
      <c r="AB299" s="87" t="str">
        <f aca="false">IF(ISBLANK($C299),"",IF(ISNUMBER($I299),IF($I299&gt;=0,$I299,""),""))</f>
        <v/>
      </c>
      <c r="AC299" s="86" t="str">
        <f aca="false">IF(ISBLANK($C299),"",IF($J299=Constants!$B$2,TRUE(),IF($J299=Constants!$B$3,FALSE(),TRUE())))</f>
        <v/>
      </c>
      <c r="AD299" s="86" t="str">
        <f aca="false">IF(ISBLANK($C299),"",IF($K299=Constants!$B$2,TRUE(),IF($K299=Constants!$B$3,FALSE(),TRUE())))</f>
        <v/>
      </c>
      <c r="AE299" s="86" t="str">
        <f aca="false">IF(ISBLANK($C299),"",IF($L299=Constants!$B$2,TRUE(),IF($L299=Constants!$B$3,FALSE(),TRUE())))</f>
        <v/>
      </c>
      <c r="AF299" s="88" t="str">
        <f aca="false">IF(ISBLANK($C299),"",IF(ISNUMBER($M299),IF($M299&gt;=0,$M299,""),""))</f>
        <v/>
      </c>
      <c r="AG299" s="86" t="str">
        <f aca="false">IF(ISBLANK($C299),"",IF(ISBLANK($N299),0,IF(ISNUMBER($N299),IF(AND($N299&gt;=0,$N299&lt;=Constants!$B$17,$N299=INT($N299)),$N299,""),"")))</f>
        <v/>
      </c>
      <c r="AH299" s="87" t="str">
        <f aca="false">IF(ISBLANK($C299),"",IF(ISBLANK($O299),0,IF(ISNUMBER($O299),IF($O299&gt;=0,$O299,""),"")))</f>
        <v/>
      </c>
      <c r="AI299" s="86" t="str">
        <f aca="false">IF(ISBLANK($C299),"",IF($P299=Constants!$B$2,TRUE(),IF($P299=Constants!$B$3,FALSE(),TRUE())))</f>
        <v/>
      </c>
      <c r="AJ299" s="86" t="str">
        <f aca="false">IF(ISBLANK($C299),"",IF($Q299=Constants!$B$2,TRUE(),IF($Q299=Constants!$B$3,FALSE(),TRUE())))</f>
        <v/>
      </c>
      <c r="AK299" s="86" t="str">
        <f aca="false">IF(ISBLANK($C299),"",IF($R299=Constants!$B$2,TRUE(),IF($R299=Constants!$B$3,FALSE(),TRUE())))</f>
        <v/>
      </c>
      <c r="AL299" s="88" t="str">
        <f aca="false">IF(ISBLANK($C299),"",IF(ISNUMBER($S299),IF($S299&gt;=0,$S299,""),""))</f>
        <v/>
      </c>
      <c r="AM299" s="86" t="str">
        <f aca="false">IF(ISBLANK($C299),"",IF(ISBLANK($T299),0,IF(ISNUMBER($T299),IF(AND($T299&gt;=0,$T299&lt;=Constants!$B$17,$T299=INT($T299)),$T299,""),"")))</f>
        <v/>
      </c>
      <c r="AN299" s="87" t="str">
        <f aca="false">IF(ISBLANK($C299),"",IF(ISBLANK($U299),0,IF(ISNUMBER($U299),IF($U299&gt;=0,$U299,""),"")))</f>
        <v/>
      </c>
      <c r="AO299" s="86" t="str">
        <f aca="false">IF(ISBLANK($C299),"",IF($V299=Constants!$B$2,TRUE(),IF($V299=Constants!$B$3,FALSE(),FALSE())))</f>
        <v/>
      </c>
      <c r="AP299" s="86"/>
      <c r="AQ299" s="85" t="str">
        <f aca="false">IF(ISBLANK($C299),"",AND($Y299,OR($AS299,$BC299),OR($Z299="",$AA299="",$AB299="")))</f>
        <v/>
      </c>
      <c r="AR299" s="85" t="str">
        <f aca="false">IF(ISBLANK($C299),"",IF(OR(NOT($Y299),NOT(OR($AS299,$BC299))),"",IF(ISBLANK($D$7),$AR$5,IF($AP$9="",$AR$6,""))))</f>
        <v/>
      </c>
      <c r="AS299" s="85" t="str">
        <f aca="false">IF(ISBLANK($C299),"",COUNTA($J299:$O299)&gt;0)</f>
        <v/>
      </c>
      <c r="AT299" s="85" t="str">
        <f aca="false">IF(ISBLANK($C299),"",AND($AS299,OR(AND($AF299="",OR($AE299,NOT(ISBLANK($M299)))),$AG299="",$AH299="")))</f>
        <v/>
      </c>
      <c r="AU299" s="87" t="str">
        <f aca="false">IF($BL299&lt;&gt;Constants!$B$4,"",IF(NOT($AS299),"",ROUND((Constants!$B$12-$AB299)+(Constants!$B$13-$Z299)+(Constants!$B$14-$AA299),1)))</f>
        <v/>
      </c>
      <c r="AV299" s="90" t="str">
        <f aca="false">IF($BL299&lt;&gt;Constants!$B$4,"",IF(NOT($AS299),"",IF(NOT($AE299),0,Constants!$B$15*(INT(ROUND(MIN($AF299,$AP$9),6))-INT(ROUND(MAX(0,MIN($AF299,2*$AP$9)-$AP$9),6))))))</f>
        <v/>
      </c>
      <c r="AW299" s="90" t="str">
        <f aca="false">IF($BL299&lt;&gt;Constants!$B$4,"",IF(NOT($AS299),"",Constants!$B$16*$AG299))</f>
        <v/>
      </c>
      <c r="AX299" s="90" t="str">
        <f aca="false">IF($BL299&lt;&gt;Constants!$B$4,"",IF(NOT($AS299),"",Constants!$B$18*INT(ROUND($AH299,6))))</f>
        <v/>
      </c>
      <c r="AY299" s="85" t="str">
        <f aca="false">IF($BL299&lt;&gt;Constants!$B$4,"",IF(NOT($AS299),"",IF(NOT($X299),Constants!$B$11,IF(OR(NOT($AC299),NOT($AD299),ROUND($AB299,1)&gt;Constants!$B$12,ROUND($Z299,1)&gt;Constants!$B$13,ROUND($AA299,1)&gt;Constants!$B$14),Constants!$B$10,Constants!$B$9))))</f>
        <v/>
      </c>
      <c r="AZ299" s="91" t="str">
        <f aca="false">IF($BL299&lt;&gt;Constants!$B$4,"",IF(NOT($AS299),"",ROUND($AU299+$AV299+$AW299+$AX299,1)))</f>
        <v/>
      </c>
      <c r="BA299" s="92" t="str">
        <f aca="false">IF($BL299&lt;&gt;Constants!$B$4,"",IF(NOT($AS299),"",IF(ISNUMBER($AF299),$AF299,0)))</f>
        <v/>
      </c>
      <c r="BB299" s="86" t="str">
        <f aca="false">IF($BL299&lt;&gt;Constants!$B$4,"",IF(NOT($BC299),"&lt;-",IF(NOT($AS299),"-&gt;",IF(OR($BI299&lt;$AY299,AND($BI299=$AY299,OR($BJ299&gt;$AZ299,AND($BJ299=$AZ299,OR($BH299&gt;$AX299,AND($BH299=$AX299,OR($BE299&gt;$AU299,AND($BE299=$AU299,OR($BF299&gt;$AV299,AND($BF299=$AV299,$BK299&gt;$BA299)))))))))),"-&gt;","&lt;-"))))</f>
        <v/>
      </c>
      <c r="BC299" s="85" t="str">
        <f aca="false">IF(ISBLANK($C299),"",COUNTA($P299:$U299)&gt;0)</f>
        <v/>
      </c>
      <c r="BD299" s="85" t="str">
        <f aca="false">IF(ISBLANK($C299),"",AND($BC299,OR(AND($AL299="",OR($AK299,NOT(ISBLANK($S299)))),$AM299="",$AN299="")))</f>
        <v/>
      </c>
      <c r="BE299" s="87" t="str">
        <f aca="false">IF($BL299&lt;&gt;Constants!$B$4,"",IF(NOT($BC299),"",ROUND((Constants!$B$12-$AB299)+(Constants!$B$13-$Z299)+(Constants!$B$14-$AA299),1)))</f>
        <v/>
      </c>
      <c r="BF299" s="90" t="str">
        <f aca="false">IF($BL299&lt;&gt;Constants!$B$4,"",IF(NOT($BC299),"",IF(NOT($AK299),0,Constants!$B$15*(INT(ROUND(MIN($AL299,$AP$9),6))-INT(ROUND(MAX(0,MIN($AL299,2*$AP$9)-$AP$9),6))))))</f>
        <v/>
      </c>
      <c r="BG299" s="90" t="str">
        <f aca="false">IF($BL299&lt;&gt;Constants!$B$4,"",IF(NOT($BC299),"",Constants!$B$16*$AM299))</f>
        <v/>
      </c>
      <c r="BH299" s="90" t="str">
        <f aca="false">IF($BL299&lt;&gt;Constants!$B$4,"",IF(NOT($BC299),"",Constants!$B$18*INT(ROUND($AN299,6))))</f>
        <v/>
      </c>
      <c r="BI299" s="85" t="str">
        <f aca="false">IF($BL299&lt;&gt;Constants!$B$4,"",IF(NOT($BC299),"",IF(NOT($X299),Constants!$B$11,IF(OR(NOT($AI299),NOT($AJ299),ROUND($AB299,1)&gt;Constants!$B$12,ROUND($Z299,1)&gt;Constants!$B$13,ROUND($AA299,1)&gt;Constants!$B$14),Constants!$B$10,Constants!$B$9))))</f>
        <v/>
      </c>
      <c r="BJ299" s="91" t="str">
        <f aca="false">IF($BL299&lt;&gt;Constants!$B$4,"",IF(NOT($BC299),"",ROUND($BE299+$BF299+$BG299+$BH299,1)))</f>
        <v/>
      </c>
      <c r="BK299" s="92" t="str">
        <f aca="false">IF($BL299&lt;&gt;Constants!$B$4,"",IF(NOT($BC299),"",IF(ISNUMBER($AL299),$AL299,0)))</f>
        <v/>
      </c>
      <c r="BL299" s="86" t="str">
        <f aca="false">IF(ISBLANK($C299),"",IF($AO299,Constants!$B$7,IF(COUNTA($E299:$V299)=0,Constants!$B$6,IF(NOT($Y299),Constants!$B$5,IF(NOT(OR($AS299,$BC299)),Constants!$B$5,IF(OR($AT299,$BD299,$AQ299,$AR299&lt;&gt;""),Constants!$B$8,Constants!$B$4))))))</f>
        <v/>
      </c>
      <c r="BM299" s="86" t="str">
        <f aca="false">IF(ISBLANK($C299),"",IF($BL299&lt;&gt;Constants!$B$4,$BL299,IF($BB299="-&gt;",$BI299,$AY299)))</f>
        <v/>
      </c>
      <c r="BN299" s="90" t="str">
        <f aca="false">IF($BL299&lt;&gt;Constants!$B$4,"",IF($BB299="-&gt;",$BJ299,$AZ299))</f>
        <v/>
      </c>
      <c r="BO299" s="90" t="str">
        <f aca="false">IF(ISBLANK($C299),"",IF($BL299&lt;&gt;Constants!$B$4,$BL299,$BN299))</f>
        <v/>
      </c>
      <c r="BP299" s="86" t="str">
        <f aca="false">IF(ISBLANK($C299),"",IF($BL299&lt;&gt;Constants!$B$4,$BL299,RANK($BO299,$BO$9:$BO$508,0)))</f>
        <v/>
      </c>
      <c r="BQ299" s="86" t="str">
        <f aca="false">IF(ISBLANK($C299),"",IF($BL299&lt;&gt;Constants!$B$4,$BL299,COUNTIFS($BM$9:$BM$508,"&lt;"&amp;$BM299)+COUNTIFS($BM$9:$BM$508,$BM299,$BP$9:$BP$508,"&lt;"&amp;$BP299)+1))</f>
        <v/>
      </c>
      <c r="BR299" s="90" t="str">
        <f aca="false">IF($BL299&lt;&gt;Constants!$B$4,"",IF($BB299="-&gt;",$BH299,$AX299))</f>
        <v/>
      </c>
      <c r="BS299" s="86" t="str">
        <f aca="false">IF(ISBLANK($C299),"",IF($BL299&lt;&gt;Constants!$B$4,$BL299,IF(ISNUMBER($BR299),RANK($BR299,$BR$9:$BR$508,0),COUNT($BR$9:$BR$508)+1)))</f>
        <v/>
      </c>
      <c r="BT299" s="90" t="str">
        <f aca="false">IF($BL299&lt;&gt;Constants!$B$4,"",IF($BB299="-&gt;",$BE299,$AU299))</f>
        <v/>
      </c>
      <c r="BU299" s="86" t="str">
        <f aca="false">IF(ISBLANK($C299),"",IF($BL299&lt;&gt;Constants!$B$4,$BL299,IF(ISNUMBER($BT299),RANK($BT299,$BT$9:$BT$508,0),COUNT($BT$9:$BT$508)+1)))</f>
        <v/>
      </c>
      <c r="BV299" s="90" t="str">
        <f aca="false">IF($BL299&lt;&gt;Constants!$B$4,"",IF($BB299="-&gt;",$BF299,$AV299))</f>
        <v/>
      </c>
      <c r="BW299" s="86" t="str">
        <f aca="false">IF(ISBLANK($C299),"",IF($BL299&lt;&gt;Constants!$B$4,$BL299,IF(ISNUMBER($BV299),RANK($BV299,$BV$9:$BV$508,0),COUNT($BV$9:$BV$508)+1)))</f>
        <v/>
      </c>
      <c r="BX299" s="90" t="str">
        <f aca="false">IF($BL299&lt;&gt;Constants!$B$4,"",IF($BB299="-&gt;",$BK299,$BA299))</f>
        <v/>
      </c>
      <c r="BY299" s="86" t="str">
        <f aca="false">IF(ISBLANK($C299),"",IF($BL299&lt;&gt;Constants!$B$4,$BL299,IF(ISNUMBER($BX299),RANK($BX299,$BX$9:$BX$508,0),COUNT($BX$9:$BX$508)+1)))</f>
        <v/>
      </c>
      <c r="BZ299" s="86" t="str">
        <f aca="false">IF(ISBLANK($C299),"",IF($BL299&lt;&gt;Constants!$B$4,$BL299,COUNTIFS($BM$9:$BM$508,"&lt;"&amp;$BM299)+COUNTIFS($BM$9:$BM$508,$BM299,$BP$9:$BP$508,"&lt;"&amp;$BP299)+COUNTIFS($BM$9:$BM$508,$BM299,$BP$9:$BP$508,$BP299,$BS$9:$BS$508,"&lt;"&amp;$BS299)+COUNTIFS($BM$9:$BM$508,$BM299,$BP$9:$BP$508,$BP299,$BS$9:$BS$508,$BS299,$BU$9:$BU$508,"&lt;"&amp;$BU299)+COUNTIFS($BM$9:$BM$508,$BM299,$BP$9:$BP$508,$BP299,$BS$9:$BS$508,$BS299,$BU$9:$BU$508,$BU299,$BW$9:$BW$508,"&lt;"&amp;$BW299)+COUNTIFS($BM$9:$BM$508,$BM299,$BP$9:$BP$508,$BP299,$BS$9:$BS$508,$BS299,$BU$9:$BU$508,$BU299,$BW$9:$BW$508,$BW299,$BY$9:$BY$508,"&lt;"&amp;$BY299)+1))</f>
        <v/>
      </c>
      <c r="CA299" s="86" t="str">
        <f aca="false">IF(ISBLANK($C299),"",IF($BL299&lt;&gt;Constants!$B$4,$BL299,$BQ299-$BZ299))</f>
        <v/>
      </c>
      <c r="CB299" s="93"/>
      <c r="CC299" s="94" t="str">
        <f aca="false">IF(ISBLANK($C299),"",IF($BL299=Constants!$B$8,$AR299,""))</f>
        <v/>
      </c>
      <c r="CD299" s="94" t="str">
        <f aca="false">IF(ISBLANK($C299),"",IF($BL299&lt;&gt;Constants!$B$4,"",IF($BB299="-&gt;",2,1)))</f>
        <v/>
      </c>
      <c r="CE299" s="95" t="str">
        <f aca="false">IF(ISBLANK($C299),"",IF($BL299&lt;&gt;Constants!$B$4,"",IF($BB299="-&gt;",$BE299,$AU299)))</f>
        <v/>
      </c>
      <c r="CF299" s="95" t="str">
        <f aca="false">IF(ISBLANK($C299),"",IF($BL299&lt;&gt;Constants!$B$4,"",IF($BB299="-&gt;",$BF299,$AV299)))</f>
        <v/>
      </c>
      <c r="CG299" s="95" t="str">
        <f aca="false">IF(ISBLANK($C299),"",IF($BL299&lt;&gt;Constants!$B$4,"",IF($BB299="-&gt;",$BG299,$AW299)))</f>
        <v/>
      </c>
      <c r="CH299" s="95" t="str">
        <f aca="false">IF(ISBLANK($C299),"",IF($BL299&lt;&gt;Constants!$B$4,"",IF($BB299="-&gt;",$BH299,$AX299)))</f>
        <v/>
      </c>
      <c r="CI299" s="96" t="str">
        <f aca="false">IF(ISBLANK($C299),"",$BO299)</f>
        <v/>
      </c>
      <c r="CJ299" s="97" t="str">
        <f aca="false">IF(ISBLANK($C299),"",$BM299)</f>
        <v/>
      </c>
      <c r="CK299" s="98" t="str">
        <f aca="false">IF(ISBLANK($C299),"",$CA299)</f>
        <v/>
      </c>
      <c r="CL299" s="98" t="str">
        <f aca="false">IF(ISBLANK($C299),"",$BZ299)</f>
        <v/>
      </c>
      <c r="CM299" s="99" t="str">
        <f aca="false">IF(ISBLANK($C299),"",IF($CL299=Constants!$B$7,COUNTA($C$9:$C$508)+2,IF($CL299=Constants!$B$6,COUNTA($C$9:$C$508)+1,IF($CL299=Constants!$B$5,COUNTA($C$9:$C$508),$CL299))))</f>
        <v/>
      </c>
      <c r="CN299" s="8"/>
      <c r="CO299" s="100" t="n">
        <f aca="false">IF(OR(ISNUMBER($CL299),$CL299=Constants!$B$7,$CL299=Constants!$B$5,$CL299=Constants!$B$6),1,0)</f>
        <v>0</v>
      </c>
      <c r="CP299" s="100" t="n">
        <v>291</v>
      </c>
      <c r="CQ299" s="100" t="str">
        <f aca="false">IF(ISBLANK($C299),"",IF(ISNUMBER($CM299),$CM299+ROW($B299)/1000,""))</f>
        <v/>
      </c>
      <c r="CR299" s="100" t="str">
        <f aca="false">IF(ISNUMBER($CQ299),RANK($CQ299,$CQ$9:$CQ$508,1),"")</f>
        <v/>
      </c>
      <c r="CS299" s="100" t="str">
        <f aca="false">IF(ISBLANK($C299),"",$B299)</f>
        <v/>
      </c>
      <c r="CT299" s="100" t="str">
        <f aca="false">IF(ISBLANK($C299),"",$C299)</f>
        <v/>
      </c>
      <c r="CU299" s="100" t="str">
        <f aca="false">IF(ISBLANK($C299),"",$D299)</f>
        <v/>
      </c>
      <c r="CV299" s="101" t="str">
        <f aca="false">$CJ299</f>
        <v/>
      </c>
      <c r="CW299" s="102" t="str">
        <f aca="false">$CI299</f>
        <v/>
      </c>
      <c r="CX299" s="100" t="str">
        <f aca="false">IF(ISBLANK($C299),"",$CL299)</f>
        <v/>
      </c>
      <c r="CY299" s="103" t="str">
        <f aca="false">IF($CP299&gt;$CO$8,"",VLOOKUP($CP299,$CR$9:$CX$508,7,FALSE()))</f>
        <v/>
      </c>
      <c r="CZ299" s="104" t="str">
        <f aca="false">IF($CP299&gt;$CO$8,"",VLOOKUP($CP299,$CR$9:$CX$508,2,FALSE()))</f>
        <v/>
      </c>
      <c r="DA299" s="104" t="str">
        <f aca="false">IF($CP299&gt;$CO$8,"",VLOOKUP($CP299,$CR$9:$CX$508,3,FALSE()))</f>
        <v/>
      </c>
      <c r="DB299" s="104" t="str">
        <f aca="false">IF($CP299&gt;$CO$8,"",VLOOKUP($CP299,$CR$9:$CX$508,4,FALSE()))</f>
        <v/>
      </c>
      <c r="DC299" s="104" t="str">
        <f aca="false">IF($CP299&gt;$CO$8,"",VLOOKUP($CP299,$CR$9:$CX$508,5,FALSE()))</f>
        <v/>
      </c>
      <c r="DD299" s="105" t="str">
        <f aca="false">IF($CP299&gt;$CO$8,"",VLOOKUP($CP299,$CR$9:$CX$508,6,FALSE()))</f>
        <v/>
      </c>
      <c r="DE299" s="70"/>
    </row>
    <row r="300" customFormat="false" ht="15.75" hidden="false" customHeight="false" outlineLevel="0" collapsed="false">
      <c r="A300" s="8"/>
      <c r="B300" s="146"/>
      <c r="C300" s="147"/>
      <c r="D300" s="148"/>
      <c r="E300" s="164"/>
      <c r="F300" s="150"/>
      <c r="G300" s="115"/>
      <c r="H300" s="115"/>
      <c r="I300" s="115"/>
      <c r="J300" s="165"/>
      <c r="K300" s="154"/>
      <c r="L300" s="154"/>
      <c r="M300" s="118"/>
      <c r="N300" s="154"/>
      <c r="O300" s="153"/>
      <c r="P300" s="154"/>
      <c r="Q300" s="154"/>
      <c r="R300" s="154"/>
      <c r="S300" s="115"/>
      <c r="T300" s="154"/>
      <c r="U300" s="153"/>
      <c r="V300" s="154"/>
      <c r="W300" s="123"/>
      <c r="X300" s="124" t="str">
        <f aca="false">IF(ISBLANK($C300),"",IF($E300=Constants!$B$2,TRUE(),IF($E300=Constants!$B$3,FALSE(),TRUE())))</f>
        <v/>
      </c>
      <c r="Y300" s="124" t="str">
        <f aca="false">IF(ISBLANK($C300),"",IF($F300=Constants!$B$2,TRUE(),IF($F300=Constants!$B$3,FALSE(),TRUE())))</f>
        <v/>
      </c>
      <c r="Z300" s="125" t="str">
        <f aca="false">IF(ISBLANK($C300),"",IF(ISNUMBER($G300),IF($G300&gt;=0,$G300,""),""))</f>
        <v/>
      </c>
      <c r="AA300" s="125" t="str">
        <f aca="false">IF(ISBLANK($C300),"",IF(ISNUMBER($H300),IF($H300&gt;=0,$H300,""),""))</f>
        <v/>
      </c>
      <c r="AB300" s="125" t="str">
        <f aca="false">IF(ISBLANK($C300),"",IF(ISNUMBER($I300),IF($I300&gt;=0,$I300,""),""))</f>
        <v/>
      </c>
      <c r="AC300" s="124" t="str">
        <f aca="false">IF(ISBLANK($C300),"",IF($J300=Constants!$B$2,TRUE(),IF($J300=Constants!$B$3,FALSE(),TRUE())))</f>
        <v/>
      </c>
      <c r="AD300" s="124" t="str">
        <f aca="false">IF(ISBLANK($C300),"",IF($K300=Constants!$B$2,TRUE(),IF($K300=Constants!$B$3,FALSE(),TRUE())))</f>
        <v/>
      </c>
      <c r="AE300" s="124" t="str">
        <f aca="false">IF(ISBLANK($C300),"",IF($L300=Constants!$B$2,TRUE(),IF($L300=Constants!$B$3,FALSE(),TRUE())))</f>
        <v/>
      </c>
      <c r="AF300" s="126" t="str">
        <f aca="false">IF(ISBLANK($C300),"",IF(ISNUMBER($M300),IF($M300&gt;=0,$M300,""),""))</f>
        <v/>
      </c>
      <c r="AG300" s="124" t="str">
        <f aca="false">IF(ISBLANK($C300),"",IF(ISBLANK($N300),0,IF(ISNUMBER($N300),IF(AND($N300&gt;=0,$N300&lt;=Constants!$B$17,$N300=INT($N300)),$N300,""),"")))</f>
        <v/>
      </c>
      <c r="AH300" s="125" t="str">
        <f aca="false">IF(ISBLANK($C300),"",IF(ISBLANK($O300),0,IF(ISNUMBER($O300),IF($O300&gt;=0,$O300,""),"")))</f>
        <v/>
      </c>
      <c r="AI300" s="124" t="str">
        <f aca="false">IF(ISBLANK($C300),"",IF($P300=Constants!$B$2,TRUE(),IF($P300=Constants!$B$3,FALSE(),TRUE())))</f>
        <v/>
      </c>
      <c r="AJ300" s="124" t="str">
        <f aca="false">IF(ISBLANK($C300),"",IF($Q300=Constants!$B$2,TRUE(),IF($Q300=Constants!$B$3,FALSE(),TRUE())))</f>
        <v/>
      </c>
      <c r="AK300" s="124" t="str">
        <f aca="false">IF(ISBLANK($C300),"",IF($R300=Constants!$B$2,TRUE(),IF($R300=Constants!$B$3,FALSE(),TRUE())))</f>
        <v/>
      </c>
      <c r="AL300" s="126" t="str">
        <f aca="false">IF(ISBLANK($C300),"",IF(ISNUMBER($S300),IF($S300&gt;=0,$S300,""),""))</f>
        <v/>
      </c>
      <c r="AM300" s="124" t="str">
        <f aca="false">IF(ISBLANK($C300),"",IF(ISBLANK($T300),0,IF(ISNUMBER($T300),IF(AND($T300&gt;=0,$T300&lt;=Constants!$B$17,$T300=INT($T300)),$T300,""),"")))</f>
        <v/>
      </c>
      <c r="AN300" s="125" t="str">
        <f aca="false">IF(ISBLANK($C300),"",IF(ISBLANK($U300),0,IF(ISNUMBER($U300),IF($U300&gt;=0,$U300,""),"")))</f>
        <v/>
      </c>
      <c r="AO300" s="124" t="str">
        <f aca="false">IF(ISBLANK($C300),"",IF($V300=Constants!$B$2,TRUE(),IF($V300=Constants!$B$3,FALSE(),FALSE())))</f>
        <v/>
      </c>
      <c r="AP300" s="124"/>
      <c r="AQ300" s="123" t="str">
        <f aca="false">IF(ISBLANK($C300),"",AND($Y300,OR($AS300,$BC300),OR($Z300="",$AA300="",$AB300="")))</f>
        <v/>
      </c>
      <c r="AR300" s="123" t="str">
        <f aca="false">IF(ISBLANK($C300),"",IF(OR(NOT($Y300),NOT(OR($AS300,$BC300))),"",IF(ISBLANK($D$7),$AR$5,IF($AP$9="",$AR$6,""))))</f>
        <v/>
      </c>
      <c r="AS300" s="123" t="str">
        <f aca="false">IF(ISBLANK($C300),"",COUNTA($J300:$O300)&gt;0)</f>
        <v/>
      </c>
      <c r="AT300" s="123" t="str">
        <f aca="false">IF(ISBLANK($C300),"",AND($AS300,OR(AND($AF300="",OR($AE300,NOT(ISBLANK($M300)))),$AG300="",$AH300="")))</f>
        <v/>
      </c>
      <c r="AU300" s="125" t="str">
        <f aca="false">IF($BL300&lt;&gt;Constants!$B$4,"",IF(NOT($AS300),"",ROUND((Constants!$B$12-$AB300)+(Constants!$B$13-$Z300)+(Constants!$B$14-$AA300),1)))</f>
        <v/>
      </c>
      <c r="AV300" s="127" t="str">
        <f aca="false">IF($BL300&lt;&gt;Constants!$B$4,"",IF(NOT($AS300),"",IF(NOT($AE300),0,Constants!$B$15*(INT(ROUND(MIN($AF300,$AP$9),6))-INT(ROUND(MAX(0,MIN($AF300,2*$AP$9)-$AP$9),6))))))</f>
        <v/>
      </c>
      <c r="AW300" s="127" t="str">
        <f aca="false">IF($BL300&lt;&gt;Constants!$B$4,"",IF(NOT($AS300),"",Constants!$B$16*$AG300))</f>
        <v/>
      </c>
      <c r="AX300" s="127" t="str">
        <f aca="false">IF($BL300&lt;&gt;Constants!$B$4,"",IF(NOT($AS300),"",Constants!$B$18*INT(ROUND($AH300,6))))</f>
        <v/>
      </c>
      <c r="AY300" s="123" t="str">
        <f aca="false">IF($BL300&lt;&gt;Constants!$B$4,"",IF(NOT($AS300),"",IF(NOT($X300),Constants!$B$11,IF(OR(NOT($AC300),NOT($AD300),ROUND($AB300,1)&gt;Constants!$B$12,ROUND($Z300,1)&gt;Constants!$B$13,ROUND($AA300,1)&gt;Constants!$B$14),Constants!$B$10,Constants!$B$9))))</f>
        <v/>
      </c>
      <c r="AZ300" s="128" t="str">
        <f aca="false">IF($BL300&lt;&gt;Constants!$B$4,"",IF(NOT($AS300),"",ROUND($AU300+$AV300+$AW300+$AX300,1)))</f>
        <v/>
      </c>
      <c r="BA300" s="129" t="str">
        <f aca="false">IF($BL300&lt;&gt;Constants!$B$4,"",IF(NOT($AS300),"",IF(ISNUMBER($AF300),$AF300,0)))</f>
        <v/>
      </c>
      <c r="BB300" s="124" t="str">
        <f aca="false">IF($BL300&lt;&gt;Constants!$B$4,"",IF(NOT($BC300),"&lt;-",IF(NOT($AS300),"-&gt;",IF(OR($BI300&lt;$AY300,AND($BI300=$AY300,OR($BJ300&gt;$AZ300,AND($BJ300=$AZ300,OR($BH300&gt;$AX300,AND($BH300=$AX300,OR($BE300&gt;$AU300,AND($BE300=$AU300,OR($BF300&gt;$AV300,AND($BF300=$AV300,$BK300&gt;$BA300)))))))))),"-&gt;","&lt;-"))))</f>
        <v/>
      </c>
      <c r="BC300" s="123" t="str">
        <f aca="false">IF(ISBLANK($C300),"",COUNTA($P300:$U300)&gt;0)</f>
        <v/>
      </c>
      <c r="BD300" s="123" t="str">
        <f aca="false">IF(ISBLANK($C300),"",AND($BC300,OR(AND($AL300="",OR($AK300,NOT(ISBLANK($S300)))),$AM300="",$AN300="")))</f>
        <v/>
      </c>
      <c r="BE300" s="125" t="str">
        <f aca="false">IF($BL300&lt;&gt;Constants!$B$4,"",IF(NOT($BC300),"",ROUND((Constants!$B$12-$AB300)+(Constants!$B$13-$Z300)+(Constants!$B$14-$AA300),1)))</f>
        <v/>
      </c>
      <c r="BF300" s="127" t="str">
        <f aca="false">IF($BL300&lt;&gt;Constants!$B$4,"",IF(NOT($BC300),"",IF(NOT($AK300),0,Constants!$B$15*(INT(ROUND(MIN($AL300,$AP$9),6))-INT(ROUND(MAX(0,MIN($AL300,2*$AP$9)-$AP$9),6))))))</f>
        <v/>
      </c>
      <c r="BG300" s="127" t="str">
        <f aca="false">IF($BL300&lt;&gt;Constants!$B$4,"",IF(NOT($BC300),"",Constants!$B$16*$AM300))</f>
        <v/>
      </c>
      <c r="BH300" s="127" t="str">
        <f aca="false">IF($BL300&lt;&gt;Constants!$B$4,"",IF(NOT($BC300),"",Constants!$B$18*INT(ROUND($AN300,6))))</f>
        <v/>
      </c>
      <c r="BI300" s="123" t="str">
        <f aca="false">IF($BL300&lt;&gt;Constants!$B$4,"",IF(NOT($BC300),"",IF(NOT($X300),Constants!$B$11,IF(OR(NOT($AI300),NOT($AJ300),ROUND($AB300,1)&gt;Constants!$B$12,ROUND($Z300,1)&gt;Constants!$B$13,ROUND($AA300,1)&gt;Constants!$B$14),Constants!$B$10,Constants!$B$9))))</f>
        <v/>
      </c>
      <c r="BJ300" s="128" t="str">
        <f aca="false">IF($BL300&lt;&gt;Constants!$B$4,"",IF(NOT($BC300),"",ROUND($BE300+$BF300+$BG300+$BH300,1)))</f>
        <v/>
      </c>
      <c r="BK300" s="129" t="str">
        <f aca="false">IF($BL300&lt;&gt;Constants!$B$4,"",IF(NOT($BC300),"",IF(ISNUMBER($AL300),$AL300,0)))</f>
        <v/>
      </c>
      <c r="BL300" s="124" t="str">
        <f aca="false">IF(ISBLANK($C300),"",IF($AO300,Constants!$B$7,IF(COUNTA($E300:$V300)=0,Constants!$B$6,IF(NOT($Y300),Constants!$B$5,IF(NOT(OR($AS300,$BC300)),Constants!$B$5,IF(OR($AT300,$BD300,$AQ300,$AR300&lt;&gt;""),Constants!$B$8,Constants!$B$4))))))</f>
        <v/>
      </c>
      <c r="BM300" s="124" t="str">
        <f aca="false">IF(ISBLANK($C300),"",IF($BL300&lt;&gt;Constants!$B$4,$BL300,IF($BB300="-&gt;",$BI300,$AY300)))</f>
        <v/>
      </c>
      <c r="BN300" s="127" t="str">
        <f aca="false">IF($BL300&lt;&gt;Constants!$B$4,"",IF($BB300="-&gt;",$BJ300,$AZ300))</f>
        <v/>
      </c>
      <c r="BO300" s="127" t="str">
        <f aca="false">IF(ISBLANK($C300),"",IF($BL300&lt;&gt;Constants!$B$4,$BL300,$BN300))</f>
        <v/>
      </c>
      <c r="BP300" s="124" t="str">
        <f aca="false">IF(ISBLANK($C300),"",IF($BL300&lt;&gt;Constants!$B$4,$BL300,RANK($BO300,$BO$9:$BO$508,0)))</f>
        <v/>
      </c>
      <c r="BQ300" s="124" t="str">
        <f aca="false">IF(ISBLANK($C300),"",IF($BL300&lt;&gt;Constants!$B$4,$BL300,COUNTIFS($BM$9:$BM$508,"&lt;"&amp;$BM300)+COUNTIFS($BM$9:$BM$508,$BM300,$BP$9:$BP$508,"&lt;"&amp;$BP300)+1))</f>
        <v/>
      </c>
      <c r="BR300" s="127" t="str">
        <f aca="false">IF($BL300&lt;&gt;Constants!$B$4,"",IF($BB300="-&gt;",$BH300,$AX300))</f>
        <v/>
      </c>
      <c r="BS300" s="124" t="str">
        <f aca="false">IF(ISBLANK($C300),"",IF($BL300&lt;&gt;Constants!$B$4,$BL300,IF(ISNUMBER($BR300),RANK($BR300,$BR$9:$BR$508,0),COUNT($BR$9:$BR$508)+1)))</f>
        <v/>
      </c>
      <c r="BT300" s="127" t="str">
        <f aca="false">IF($BL300&lt;&gt;Constants!$B$4,"",IF($BB300="-&gt;",$BE300,$AU300))</f>
        <v/>
      </c>
      <c r="BU300" s="124" t="str">
        <f aca="false">IF(ISBLANK($C300),"",IF($BL300&lt;&gt;Constants!$B$4,$BL300,IF(ISNUMBER($BT300),RANK($BT300,$BT$9:$BT$508,0),COUNT($BT$9:$BT$508)+1)))</f>
        <v/>
      </c>
      <c r="BV300" s="127" t="str">
        <f aca="false">IF($BL300&lt;&gt;Constants!$B$4,"",IF($BB300="-&gt;",$BF300,$AV300))</f>
        <v/>
      </c>
      <c r="BW300" s="124" t="str">
        <f aca="false">IF(ISBLANK($C300),"",IF($BL300&lt;&gt;Constants!$B$4,$BL300,IF(ISNUMBER($BV300),RANK($BV300,$BV$9:$BV$508,0),COUNT($BV$9:$BV$508)+1)))</f>
        <v/>
      </c>
      <c r="BX300" s="127" t="str">
        <f aca="false">IF($BL300&lt;&gt;Constants!$B$4,"",IF($BB300="-&gt;",$BK300,$BA300))</f>
        <v/>
      </c>
      <c r="BY300" s="124" t="str">
        <f aca="false">IF(ISBLANK($C300),"",IF($BL300&lt;&gt;Constants!$B$4,$BL300,IF(ISNUMBER($BX300),RANK($BX300,$BX$9:$BX$508,0),COUNT($BX$9:$BX$508)+1)))</f>
        <v/>
      </c>
      <c r="BZ300" s="124" t="str">
        <f aca="false">IF(ISBLANK($C300),"",IF($BL300&lt;&gt;Constants!$B$4,$BL300,COUNTIFS($BM$9:$BM$508,"&lt;"&amp;$BM300)+COUNTIFS($BM$9:$BM$508,$BM300,$BP$9:$BP$508,"&lt;"&amp;$BP300)+COUNTIFS($BM$9:$BM$508,$BM300,$BP$9:$BP$508,$BP300,$BS$9:$BS$508,"&lt;"&amp;$BS300)+COUNTIFS($BM$9:$BM$508,$BM300,$BP$9:$BP$508,$BP300,$BS$9:$BS$508,$BS300,$BU$9:$BU$508,"&lt;"&amp;$BU300)+COUNTIFS($BM$9:$BM$508,$BM300,$BP$9:$BP$508,$BP300,$BS$9:$BS$508,$BS300,$BU$9:$BU$508,$BU300,$BW$9:$BW$508,"&lt;"&amp;$BW300)+COUNTIFS($BM$9:$BM$508,$BM300,$BP$9:$BP$508,$BP300,$BS$9:$BS$508,$BS300,$BU$9:$BU$508,$BU300,$BW$9:$BW$508,$BW300,$BY$9:$BY$508,"&lt;"&amp;$BY300)+1))</f>
        <v/>
      </c>
      <c r="CA300" s="124" t="str">
        <f aca="false">IF(ISBLANK($C300),"",IF($BL300&lt;&gt;Constants!$B$4,$BL300,$BQ300-$BZ300))</f>
        <v/>
      </c>
      <c r="CB300" s="130"/>
      <c r="CC300" s="131" t="str">
        <f aca="false">IF(ISBLANK($C300),"",IF($BL300=Constants!$B$8,$AR300,""))</f>
        <v/>
      </c>
      <c r="CD300" s="131" t="str">
        <f aca="false">IF(ISBLANK($C300),"",IF($BL300&lt;&gt;Constants!$B$4,"",IF($BB300="-&gt;",2,1)))</f>
        <v/>
      </c>
      <c r="CE300" s="132" t="str">
        <f aca="false">IF(ISBLANK($C300),"",IF($BL300&lt;&gt;Constants!$B$4,"",IF($BB300="-&gt;",$BE300,$AU300)))</f>
        <v/>
      </c>
      <c r="CF300" s="132" t="str">
        <f aca="false">IF(ISBLANK($C300),"",IF($BL300&lt;&gt;Constants!$B$4,"",IF($BB300="-&gt;",$BF300,$AV300)))</f>
        <v/>
      </c>
      <c r="CG300" s="132" t="str">
        <f aca="false">IF(ISBLANK($C300),"",IF($BL300&lt;&gt;Constants!$B$4,"",IF($BB300="-&gt;",$BG300,$AW300)))</f>
        <v/>
      </c>
      <c r="CH300" s="132" t="str">
        <f aca="false">IF(ISBLANK($C300),"",IF($BL300&lt;&gt;Constants!$B$4,"",IF($BB300="-&gt;",$BH300,$AX300)))</f>
        <v/>
      </c>
      <c r="CI300" s="133" t="str">
        <f aca="false">IF(ISBLANK($C300),"",$BO300)</f>
        <v/>
      </c>
      <c r="CJ300" s="134" t="str">
        <f aca="false">IF(ISBLANK($C300),"",$BM300)</f>
        <v/>
      </c>
      <c r="CK300" s="135" t="str">
        <f aca="false">IF(ISBLANK($C300),"",$CA300)</f>
        <v/>
      </c>
      <c r="CL300" s="135" t="str">
        <f aca="false">IF(ISBLANK($C300),"",$BZ300)</f>
        <v/>
      </c>
      <c r="CM300" s="136" t="str">
        <f aca="false">IF(ISBLANK($C300),"",IF($CL300=Constants!$B$7,COUNTA($C$9:$C$508)+2,IF($CL300=Constants!$B$6,COUNTA($C$9:$C$508)+1,IF($CL300=Constants!$B$5,COUNTA($C$9:$C$508),$CL300))))</f>
        <v/>
      </c>
      <c r="CN300" s="8"/>
      <c r="CO300" s="137" t="n">
        <f aca="false">IF(OR(ISNUMBER($CL300),$CL300=Constants!$B$7,$CL300=Constants!$B$5,$CL300=Constants!$B$6),1,0)</f>
        <v>0</v>
      </c>
      <c r="CP300" s="137" t="n">
        <v>292</v>
      </c>
      <c r="CQ300" s="137" t="str">
        <f aca="false">IF(ISBLANK($C300),"",IF(ISNUMBER($CM300),$CM300+ROW($B300)/1000,""))</f>
        <v/>
      </c>
      <c r="CR300" s="137" t="str">
        <f aca="false">IF(ISNUMBER($CQ300),RANK($CQ300,$CQ$9:$CQ$508,1),"")</f>
        <v/>
      </c>
      <c r="CS300" s="137" t="str">
        <f aca="false">IF(ISBLANK($C300),"",$B300)</f>
        <v/>
      </c>
      <c r="CT300" s="137" t="str">
        <f aca="false">IF(ISBLANK($C300),"",$C300)</f>
        <v/>
      </c>
      <c r="CU300" s="137" t="str">
        <f aca="false">IF(ISBLANK($C300),"",$D300)</f>
        <v/>
      </c>
      <c r="CV300" s="138" t="str">
        <f aca="false">$CJ300</f>
        <v/>
      </c>
      <c r="CW300" s="139" t="str">
        <f aca="false">$CI300</f>
        <v/>
      </c>
      <c r="CX300" s="137" t="str">
        <f aca="false">IF(ISBLANK($C300),"",$CL300)</f>
        <v/>
      </c>
      <c r="CY300" s="140" t="str">
        <f aca="false">IF($CP300&gt;$CO$8,"",VLOOKUP($CP300,$CR$9:$CX$508,7,FALSE()))</f>
        <v/>
      </c>
      <c r="CZ300" s="141" t="str">
        <f aca="false">IF($CP300&gt;$CO$8,"",VLOOKUP($CP300,$CR$9:$CX$508,2,FALSE()))</f>
        <v/>
      </c>
      <c r="DA300" s="141" t="str">
        <f aca="false">IF($CP300&gt;$CO$8,"",VLOOKUP($CP300,$CR$9:$CX$508,3,FALSE()))</f>
        <v/>
      </c>
      <c r="DB300" s="141" t="str">
        <f aca="false">IF($CP300&gt;$CO$8,"",VLOOKUP($CP300,$CR$9:$CX$508,4,FALSE()))</f>
        <v/>
      </c>
      <c r="DC300" s="141" t="str">
        <f aca="false">IF($CP300&gt;$CO$8,"",VLOOKUP($CP300,$CR$9:$CX$508,5,FALSE()))</f>
        <v/>
      </c>
      <c r="DD300" s="142" t="str">
        <f aca="false">IF($CP300&gt;$CO$8,"",VLOOKUP($CP300,$CR$9:$CX$508,6,FALSE()))</f>
        <v/>
      </c>
      <c r="DE300" s="70"/>
    </row>
    <row r="301" customFormat="false" ht="15.75" hidden="false" customHeight="false" outlineLevel="0" collapsed="false">
      <c r="A301" s="8"/>
      <c r="B301" s="146"/>
      <c r="C301" s="147"/>
      <c r="D301" s="148"/>
      <c r="E301" s="164"/>
      <c r="F301" s="150"/>
      <c r="G301" s="115"/>
      <c r="H301" s="115"/>
      <c r="I301" s="115"/>
      <c r="J301" s="165"/>
      <c r="K301" s="154"/>
      <c r="L301" s="154"/>
      <c r="M301" s="118"/>
      <c r="N301" s="154"/>
      <c r="O301" s="153"/>
      <c r="P301" s="154"/>
      <c r="Q301" s="154"/>
      <c r="R301" s="154"/>
      <c r="S301" s="115"/>
      <c r="T301" s="154"/>
      <c r="U301" s="153"/>
      <c r="V301" s="154"/>
      <c r="W301" s="123"/>
      <c r="X301" s="124" t="str">
        <f aca="false">IF(ISBLANK($C301),"",IF($E301=Constants!$B$2,TRUE(),IF($E301=Constants!$B$3,FALSE(),TRUE())))</f>
        <v/>
      </c>
      <c r="Y301" s="124" t="str">
        <f aca="false">IF(ISBLANK($C301),"",IF($F301=Constants!$B$2,TRUE(),IF($F301=Constants!$B$3,FALSE(),TRUE())))</f>
        <v/>
      </c>
      <c r="Z301" s="125" t="str">
        <f aca="false">IF(ISBLANK($C301),"",IF(ISNUMBER($G301),IF($G301&gt;=0,$G301,""),""))</f>
        <v/>
      </c>
      <c r="AA301" s="125" t="str">
        <f aca="false">IF(ISBLANK($C301),"",IF(ISNUMBER($H301),IF($H301&gt;=0,$H301,""),""))</f>
        <v/>
      </c>
      <c r="AB301" s="125" t="str">
        <f aca="false">IF(ISBLANK($C301),"",IF(ISNUMBER($I301),IF($I301&gt;=0,$I301,""),""))</f>
        <v/>
      </c>
      <c r="AC301" s="124" t="str">
        <f aca="false">IF(ISBLANK($C301),"",IF($J301=Constants!$B$2,TRUE(),IF($J301=Constants!$B$3,FALSE(),TRUE())))</f>
        <v/>
      </c>
      <c r="AD301" s="124" t="str">
        <f aca="false">IF(ISBLANK($C301),"",IF($K301=Constants!$B$2,TRUE(),IF($K301=Constants!$B$3,FALSE(),TRUE())))</f>
        <v/>
      </c>
      <c r="AE301" s="124" t="str">
        <f aca="false">IF(ISBLANK($C301),"",IF($L301=Constants!$B$2,TRUE(),IF($L301=Constants!$B$3,FALSE(),TRUE())))</f>
        <v/>
      </c>
      <c r="AF301" s="126" t="str">
        <f aca="false">IF(ISBLANK($C301),"",IF(ISNUMBER($M301),IF($M301&gt;=0,$M301,""),""))</f>
        <v/>
      </c>
      <c r="AG301" s="124" t="str">
        <f aca="false">IF(ISBLANK($C301),"",IF(ISBLANK($N301),0,IF(ISNUMBER($N301),IF(AND($N301&gt;=0,$N301&lt;=Constants!$B$17,$N301=INT($N301)),$N301,""),"")))</f>
        <v/>
      </c>
      <c r="AH301" s="125" t="str">
        <f aca="false">IF(ISBLANK($C301),"",IF(ISBLANK($O301),0,IF(ISNUMBER($O301),IF($O301&gt;=0,$O301,""),"")))</f>
        <v/>
      </c>
      <c r="AI301" s="124" t="str">
        <f aca="false">IF(ISBLANK($C301),"",IF($P301=Constants!$B$2,TRUE(),IF($P301=Constants!$B$3,FALSE(),TRUE())))</f>
        <v/>
      </c>
      <c r="AJ301" s="124" t="str">
        <f aca="false">IF(ISBLANK($C301),"",IF($Q301=Constants!$B$2,TRUE(),IF($Q301=Constants!$B$3,FALSE(),TRUE())))</f>
        <v/>
      </c>
      <c r="AK301" s="124" t="str">
        <f aca="false">IF(ISBLANK($C301),"",IF($R301=Constants!$B$2,TRUE(),IF($R301=Constants!$B$3,FALSE(),TRUE())))</f>
        <v/>
      </c>
      <c r="AL301" s="126" t="str">
        <f aca="false">IF(ISBLANK($C301),"",IF(ISNUMBER($S301),IF($S301&gt;=0,$S301,""),""))</f>
        <v/>
      </c>
      <c r="AM301" s="124" t="str">
        <f aca="false">IF(ISBLANK($C301),"",IF(ISBLANK($T301),0,IF(ISNUMBER($T301),IF(AND($T301&gt;=0,$T301&lt;=Constants!$B$17,$T301=INT($T301)),$T301,""),"")))</f>
        <v/>
      </c>
      <c r="AN301" s="125" t="str">
        <f aca="false">IF(ISBLANK($C301),"",IF(ISBLANK($U301),0,IF(ISNUMBER($U301),IF($U301&gt;=0,$U301,""),"")))</f>
        <v/>
      </c>
      <c r="AO301" s="124" t="str">
        <f aca="false">IF(ISBLANK($C301),"",IF($V301=Constants!$B$2,TRUE(),IF($V301=Constants!$B$3,FALSE(),FALSE())))</f>
        <v/>
      </c>
      <c r="AP301" s="124"/>
      <c r="AQ301" s="123" t="str">
        <f aca="false">IF(ISBLANK($C301),"",AND($Y301,OR($AS301,$BC301),OR($Z301="",$AA301="",$AB301="")))</f>
        <v/>
      </c>
      <c r="AR301" s="123" t="str">
        <f aca="false">IF(ISBLANK($C301),"",IF(OR(NOT($Y301),NOT(OR($AS301,$BC301))),"",IF(ISBLANK($D$7),$AR$5,IF($AP$9="",$AR$6,""))))</f>
        <v/>
      </c>
      <c r="AS301" s="123" t="str">
        <f aca="false">IF(ISBLANK($C301),"",COUNTA($J301:$O301)&gt;0)</f>
        <v/>
      </c>
      <c r="AT301" s="123" t="str">
        <f aca="false">IF(ISBLANK($C301),"",AND($AS301,OR(AND($AF301="",OR($AE301,NOT(ISBLANK($M301)))),$AG301="",$AH301="")))</f>
        <v/>
      </c>
      <c r="AU301" s="125" t="str">
        <f aca="false">IF($BL301&lt;&gt;Constants!$B$4,"",IF(NOT($AS301),"",ROUND((Constants!$B$12-$AB301)+(Constants!$B$13-$Z301)+(Constants!$B$14-$AA301),1)))</f>
        <v/>
      </c>
      <c r="AV301" s="127" t="str">
        <f aca="false">IF($BL301&lt;&gt;Constants!$B$4,"",IF(NOT($AS301),"",IF(NOT($AE301),0,Constants!$B$15*(INT(ROUND(MIN($AF301,$AP$9),6))-INT(ROUND(MAX(0,MIN($AF301,2*$AP$9)-$AP$9),6))))))</f>
        <v/>
      </c>
      <c r="AW301" s="127" t="str">
        <f aca="false">IF($BL301&lt;&gt;Constants!$B$4,"",IF(NOT($AS301),"",Constants!$B$16*$AG301))</f>
        <v/>
      </c>
      <c r="AX301" s="127" t="str">
        <f aca="false">IF($BL301&lt;&gt;Constants!$B$4,"",IF(NOT($AS301),"",Constants!$B$18*INT(ROUND($AH301,6))))</f>
        <v/>
      </c>
      <c r="AY301" s="123" t="str">
        <f aca="false">IF($BL301&lt;&gt;Constants!$B$4,"",IF(NOT($AS301),"",IF(NOT($X301),Constants!$B$11,IF(OR(NOT($AC301),NOT($AD301),ROUND($AB301,1)&gt;Constants!$B$12,ROUND($Z301,1)&gt;Constants!$B$13,ROUND($AA301,1)&gt;Constants!$B$14),Constants!$B$10,Constants!$B$9))))</f>
        <v/>
      </c>
      <c r="AZ301" s="128" t="str">
        <f aca="false">IF($BL301&lt;&gt;Constants!$B$4,"",IF(NOT($AS301),"",ROUND($AU301+$AV301+$AW301+$AX301,1)))</f>
        <v/>
      </c>
      <c r="BA301" s="129" t="str">
        <f aca="false">IF($BL301&lt;&gt;Constants!$B$4,"",IF(NOT($AS301),"",IF(ISNUMBER($AF301),$AF301,0)))</f>
        <v/>
      </c>
      <c r="BB301" s="124" t="str">
        <f aca="false">IF($BL301&lt;&gt;Constants!$B$4,"",IF(NOT($BC301),"&lt;-",IF(NOT($AS301),"-&gt;",IF(OR($BI301&lt;$AY301,AND($BI301=$AY301,OR($BJ301&gt;$AZ301,AND($BJ301=$AZ301,OR($BH301&gt;$AX301,AND($BH301=$AX301,OR($BE301&gt;$AU301,AND($BE301=$AU301,OR($BF301&gt;$AV301,AND($BF301=$AV301,$BK301&gt;$BA301)))))))))),"-&gt;","&lt;-"))))</f>
        <v/>
      </c>
      <c r="BC301" s="123" t="str">
        <f aca="false">IF(ISBLANK($C301),"",COUNTA($P301:$U301)&gt;0)</f>
        <v/>
      </c>
      <c r="BD301" s="123" t="str">
        <f aca="false">IF(ISBLANK($C301),"",AND($BC301,OR(AND($AL301="",OR($AK301,NOT(ISBLANK($S301)))),$AM301="",$AN301="")))</f>
        <v/>
      </c>
      <c r="BE301" s="125" t="str">
        <f aca="false">IF($BL301&lt;&gt;Constants!$B$4,"",IF(NOT($BC301),"",ROUND((Constants!$B$12-$AB301)+(Constants!$B$13-$Z301)+(Constants!$B$14-$AA301),1)))</f>
        <v/>
      </c>
      <c r="BF301" s="127" t="str">
        <f aca="false">IF($BL301&lt;&gt;Constants!$B$4,"",IF(NOT($BC301),"",IF(NOT($AK301),0,Constants!$B$15*(INT(ROUND(MIN($AL301,$AP$9),6))-INT(ROUND(MAX(0,MIN($AL301,2*$AP$9)-$AP$9),6))))))</f>
        <v/>
      </c>
      <c r="BG301" s="127" t="str">
        <f aca="false">IF($BL301&lt;&gt;Constants!$B$4,"",IF(NOT($BC301),"",Constants!$B$16*$AM301))</f>
        <v/>
      </c>
      <c r="BH301" s="127" t="str">
        <f aca="false">IF($BL301&lt;&gt;Constants!$B$4,"",IF(NOT($BC301),"",Constants!$B$18*INT(ROUND($AN301,6))))</f>
        <v/>
      </c>
      <c r="BI301" s="123" t="str">
        <f aca="false">IF($BL301&lt;&gt;Constants!$B$4,"",IF(NOT($BC301),"",IF(NOT($X301),Constants!$B$11,IF(OR(NOT($AI301),NOT($AJ301),ROUND($AB301,1)&gt;Constants!$B$12,ROUND($Z301,1)&gt;Constants!$B$13,ROUND($AA301,1)&gt;Constants!$B$14),Constants!$B$10,Constants!$B$9))))</f>
        <v/>
      </c>
      <c r="BJ301" s="128" t="str">
        <f aca="false">IF($BL301&lt;&gt;Constants!$B$4,"",IF(NOT($BC301),"",ROUND($BE301+$BF301+$BG301+$BH301,1)))</f>
        <v/>
      </c>
      <c r="BK301" s="129" t="str">
        <f aca="false">IF($BL301&lt;&gt;Constants!$B$4,"",IF(NOT($BC301),"",IF(ISNUMBER($AL301),$AL301,0)))</f>
        <v/>
      </c>
      <c r="BL301" s="124" t="str">
        <f aca="false">IF(ISBLANK($C301),"",IF($AO301,Constants!$B$7,IF(COUNTA($E301:$V301)=0,Constants!$B$6,IF(NOT($Y301),Constants!$B$5,IF(NOT(OR($AS301,$BC301)),Constants!$B$5,IF(OR($AT301,$BD301,$AQ301,$AR301&lt;&gt;""),Constants!$B$8,Constants!$B$4))))))</f>
        <v/>
      </c>
      <c r="BM301" s="124" t="str">
        <f aca="false">IF(ISBLANK($C301),"",IF($BL301&lt;&gt;Constants!$B$4,$BL301,IF($BB301="-&gt;",$BI301,$AY301)))</f>
        <v/>
      </c>
      <c r="BN301" s="127" t="str">
        <f aca="false">IF($BL301&lt;&gt;Constants!$B$4,"",IF($BB301="-&gt;",$BJ301,$AZ301))</f>
        <v/>
      </c>
      <c r="BO301" s="127" t="str">
        <f aca="false">IF(ISBLANK($C301),"",IF($BL301&lt;&gt;Constants!$B$4,$BL301,$BN301))</f>
        <v/>
      </c>
      <c r="BP301" s="124" t="str">
        <f aca="false">IF(ISBLANK($C301),"",IF($BL301&lt;&gt;Constants!$B$4,$BL301,RANK($BO301,$BO$9:$BO$508,0)))</f>
        <v/>
      </c>
      <c r="BQ301" s="124" t="str">
        <f aca="false">IF(ISBLANK($C301),"",IF($BL301&lt;&gt;Constants!$B$4,$BL301,COUNTIFS($BM$9:$BM$508,"&lt;"&amp;$BM301)+COUNTIFS($BM$9:$BM$508,$BM301,$BP$9:$BP$508,"&lt;"&amp;$BP301)+1))</f>
        <v/>
      </c>
      <c r="BR301" s="127" t="str">
        <f aca="false">IF($BL301&lt;&gt;Constants!$B$4,"",IF($BB301="-&gt;",$BH301,$AX301))</f>
        <v/>
      </c>
      <c r="BS301" s="124" t="str">
        <f aca="false">IF(ISBLANK($C301),"",IF($BL301&lt;&gt;Constants!$B$4,$BL301,IF(ISNUMBER($BR301),RANK($BR301,$BR$9:$BR$508,0),COUNT($BR$9:$BR$508)+1)))</f>
        <v/>
      </c>
      <c r="BT301" s="127" t="str">
        <f aca="false">IF($BL301&lt;&gt;Constants!$B$4,"",IF($BB301="-&gt;",$BE301,$AU301))</f>
        <v/>
      </c>
      <c r="BU301" s="124" t="str">
        <f aca="false">IF(ISBLANK($C301),"",IF($BL301&lt;&gt;Constants!$B$4,$BL301,IF(ISNUMBER($BT301),RANK($BT301,$BT$9:$BT$508,0),COUNT($BT$9:$BT$508)+1)))</f>
        <v/>
      </c>
      <c r="BV301" s="127" t="str">
        <f aca="false">IF($BL301&lt;&gt;Constants!$B$4,"",IF($BB301="-&gt;",$BF301,$AV301))</f>
        <v/>
      </c>
      <c r="BW301" s="124" t="str">
        <f aca="false">IF(ISBLANK($C301),"",IF($BL301&lt;&gt;Constants!$B$4,$BL301,IF(ISNUMBER($BV301),RANK($BV301,$BV$9:$BV$508,0),COUNT($BV$9:$BV$508)+1)))</f>
        <v/>
      </c>
      <c r="BX301" s="127" t="str">
        <f aca="false">IF($BL301&lt;&gt;Constants!$B$4,"",IF($BB301="-&gt;",$BK301,$BA301))</f>
        <v/>
      </c>
      <c r="BY301" s="124" t="str">
        <f aca="false">IF(ISBLANK($C301),"",IF($BL301&lt;&gt;Constants!$B$4,$BL301,IF(ISNUMBER($BX301),RANK($BX301,$BX$9:$BX$508,0),COUNT($BX$9:$BX$508)+1)))</f>
        <v/>
      </c>
      <c r="BZ301" s="124" t="str">
        <f aca="false">IF(ISBLANK($C301),"",IF($BL301&lt;&gt;Constants!$B$4,$BL301,COUNTIFS($BM$9:$BM$508,"&lt;"&amp;$BM301)+COUNTIFS($BM$9:$BM$508,$BM301,$BP$9:$BP$508,"&lt;"&amp;$BP301)+COUNTIFS($BM$9:$BM$508,$BM301,$BP$9:$BP$508,$BP301,$BS$9:$BS$508,"&lt;"&amp;$BS301)+COUNTIFS($BM$9:$BM$508,$BM301,$BP$9:$BP$508,$BP301,$BS$9:$BS$508,$BS301,$BU$9:$BU$508,"&lt;"&amp;$BU301)+COUNTIFS($BM$9:$BM$508,$BM301,$BP$9:$BP$508,$BP301,$BS$9:$BS$508,$BS301,$BU$9:$BU$508,$BU301,$BW$9:$BW$508,"&lt;"&amp;$BW301)+COUNTIFS($BM$9:$BM$508,$BM301,$BP$9:$BP$508,$BP301,$BS$9:$BS$508,$BS301,$BU$9:$BU$508,$BU301,$BW$9:$BW$508,$BW301,$BY$9:$BY$508,"&lt;"&amp;$BY301)+1))</f>
        <v/>
      </c>
      <c r="CA301" s="124" t="str">
        <f aca="false">IF(ISBLANK($C301),"",IF($BL301&lt;&gt;Constants!$B$4,$BL301,$BQ301-$BZ301))</f>
        <v/>
      </c>
      <c r="CB301" s="130"/>
      <c r="CC301" s="131" t="str">
        <f aca="false">IF(ISBLANK($C301),"",IF($BL301=Constants!$B$8,$AR301,""))</f>
        <v/>
      </c>
      <c r="CD301" s="131" t="str">
        <f aca="false">IF(ISBLANK($C301),"",IF($BL301&lt;&gt;Constants!$B$4,"",IF($BB301="-&gt;",2,1)))</f>
        <v/>
      </c>
      <c r="CE301" s="132" t="str">
        <f aca="false">IF(ISBLANK($C301),"",IF($BL301&lt;&gt;Constants!$B$4,"",IF($BB301="-&gt;",$BE301,$AU301)))</f>
        <v/>
      </c>
      <c r="CF301" s="132" t="str">
        <f aca="false">IF(ISBLANK($C301),"",IF($BL301&lt;&gt;Constants!$B$4,"",IF($BB301="-&gt;",$BF301,$AV301)))</f>
        <v/>
      </c>
      <c r="CG301" s="132" t="str">
        <f aca="false">IF(ISBLANK($C301),"",IF($BL301&lt;&gt;Constants!$B$4,"",IF($BB301="-&gt;",$BG301,$AW301)))</f>
        <v/>
      </c>
      <c r="CH301" s="132" t="str">
        <f aca="false">IF(ISBLANK($C301),"",IF($BL301&lt;&gt;Constants!$B$4,"",IF($BB301="-&gt;",$BH301,$AX301)))</f>
        <v/>
      </c>
      <c r="CI301" s="133" t="str">
        <f aca="false">IF(ISBLANK($C301),"",$BO301)</f>
        <v/>
      </c>
      <c r="CJ301" s="134" t="str">
        <f aca="false">IF(ISBLANK($C301),"",$BM301)</f>
        <v/>
      </c>
      <c r="CK301" s="135" t="str">
        <f aca="false">IF(ISBLANK($C301),"",$CA301)</f>
        <v/>
      </c>
      <c r="CL301" s="135" t="str">
        <f aca="false">IF(ISBLANK($C301),"",$BZ301)</f>
        <v/>
      </c>
      <c r="CM301" s="136" t="str">
        <f aca="false">IF(ISBLANK($C301),"",IF($CL301=Constants!$B$7,COUNTA($C$9:$C$508)+2,IF($CL301=Constants!$B$6,COUNTA($C$9:$C$508)+1,IF($CL301=Constants!$B$5,COUNTA($C$9:$C$508),$CL301))))</f>
        <v/>
      </c>
      <c r="CN301" s="8"/>
      <c r="CO301" s="137" t="n">
        <f aca="false">IF(OR(ISNUMBER($CL301),$CL301=Constants!$B$7,$CL301=Constants!$B$5,$CL301=Constants!$B$6),1,0)</f>
        <v>0</v>
      </c>
      <c r="CP301" s="137" t="n">
        <v>293</v>
      </c>
      <c r="CQ301" s="137" t="str">
        <f aca="false">IF(ISBLANK($C301),"",IF(ISNUMBER($CM301),$CM301+ROW($B301)/1000,""))</f>
        <v/>
      </c>
      <c r="CR301" s="137" t="str">
        <f aca="false">IF(ISNUMBER($CQ301),RANK($CQ301,$CQ$9:$CQ$508,1),"")</f>
        <v/>
      </c>
      <c r="CS301" s="137" t="str">
        <f aca="false">IF(ISBLANK($C301),"",$B301)</f>
        <v/>
      </c>
      <c r="CT301" s="137" t="str">
        <f aca="false">IF(ISBLANK($C301),"",$C301)</f>
        <v/>
      </c>
      <c r="CU301" s="137" t="str">
        <f aca="false">IF(ISBLANK($C301),"",$D301)</f>
        <v/>
      </c>
      <c r="CV301" s="138" t="str">
        <f aca="false">$CJ301</f>
        <v/>
      </c>
      <c r="CW301" s="139" t="str">
        <f aca="false">$CI301</f>
        <v/>
      </c>
      <c r="CX301" s="137" t="str">
        <f aca="false">IF(ISBLANK($C301),"",$CL301)</f>
        <v/>
      </c>
      <c r="CY301" s="140" t="str">
        <f aca="false">IF($CP301&gt;$CO$8,"",VLOOKUP($CP301,$CR$9:$CX$508,7,FALSE()))</f>
        <v/>
      </c>
      <c r="CZ301" s="141" t="str">
        <f aca="false">IF($CP301&gt;$CO$8,"",VLOOKUP($CP301,$CR$9:$CX$508,2,FALSE()))</f>
        <v/>
      </c>
      <c r="DA301" s="141" t="str">
        <f aca="false">IF($CP301&gt;$CO$8,"",VLOOKUP($CP301,$CR$9:$CX$508,3,FALSE()))</f>
        <v/>
      </c>
      <c r="DB301" s="141" t="str">
        <f aca="false">IF($CP301&gt;$CO$8,"",VLOOKUP($CP301,$CR$9:$CX$508,4,FALSE()))</f>
        <v/>
      </c>
      <c r="DC301" s="141" t="str">
        <f aca="false">IF($CP301&gt;$CO$8,"",VLOOKUP($CP301,$CR$9:$CX$508,5,FALSE()))</f>
        <v/>
      </c>
      <c r="DD301" s="142" t="str">
        <f aca="false">IF($CP301&gt;$CO$8,"",VLOOKUP($CP301,$CR$9:$CX$508,6,FALSE()))</f>
        <v/>
      </c>
      <c r="DE301" s="70"/>
    </row>
    <row r="302" customFormat="false" ht="15.75" hidden="false" customHeight="false" outlineLevel="0" collapsed="false">
      <c r="A302" s="8"/>
      <c r="B302" s="146"/>
      <c r="C302" s="147"/>
      <c r="D302" s="148"/>
      <c r="E302" s="164"/>
      <c r="F302" s="150"/>
      <c r="G302" s="115"/>
      <c r="H302" s="115"/>
      <c r="I302" s="115"/>
      <c r="J302" s="165"/>
      <c r="K302" s="154"/>
      <c r="L302" s="154"/>
      <c r="M302" s="118"/>
      <c r="N302" s="154"/>
      <c r="O302" s="153"/>
      <c r="P302" s="154"/>
      <c r="Q302" s="154"/>
      <c r="R302" s="154"/>
      <c r="S302" s="115"/>
      <c r="T302" s="154"/>
      <c r="U302" s="153"/>
      <c r="V302" s="154"/>
      <c r="W302" s="123"/>
      <c r="X302" s="124" t="str">
        <f aca="false">IF(ISBLANK($C302),"",IF($E302=Constants!$B$2,TRUE(),IF($E302=Constants!$B$3,FALSE(),TRUE())))</f>
        <v/>
      </c>
      <c r="Y302" s="124" t="str">
        <f aca="false">IF(ISBLANK($C302),"",IF($F302=Constants!$B$2,TRUE(),IF($F302=Constants!$B$3,FALSE(),TRUE())))</f>
        <v/>
      </c>
      <c r="Z302" s="125" t="str">
        <f aca="false">IF(ISBLANK($C302),"",IF(ISNUMBER($G302),IF($G302&gt;=0,$G302,""),""))</f>
        <v/>
      </c>
      <c r="AA302" s="125" t="str">
        <f aca="false">IF(ISBLANK($C302),"",IF(ISNUMBER($H302),IF($H302&gt;=0,$H302,""),""))</f>
        <v/>
      </c>
      <c r="AB302" s="125" t="str">
        <f aca="false">IF(ISBLANK($C302),"",IF(ISNUMBER($I302),IF($I302&gt;=0,$I302,""),""))</f>
        <v/>
      </c>
      <c r="AC302" s="124" t="str">
        <f aca="false">IF(ISBLANK($C302),"",IF($J302=Constants!$B$2,TRUE(),IF($J302=Constants!$B$3,FALSE(),TRUE())))</f>
        <v/>
      </c>
      <c r="AD302" s="124" t="str">
        <f aca="false">IF(ISBLANK($C302),"",IF($K302=Constants!$B$2,TRUE(),IF($K302=Constants!$B$3,FALSE(),TRUE())))</f>
        <v/>
      </c>
      <c r="AE302" s="124" t="str">
        <f aca="false">IF(ISBLANK($C302),"",IF($L302=Constants!$B$2,TRUE(),IF($L302=Constants!$B$3,FALSE(),TRUE())))</f>
        <v/>
      </c>
      <c r="AF302" s="126" t="str">
        <f aca="false">IF(ISBLANK($C302),"",IF(ISNUMBER($M302),IF($M302&gt;=0,$M302,""),""))</f>
        <v/>
      </c>
      <c r="AG302" s="124" t="str">
        <f aca="false">IF(ISBLANK($C302),"",IF(ISBLANK($N302),0,IF(ISNUMBER($N302),IF(AND($N302&gt;=0,$N302&lt;=Constants!$B$17,$N302=INT($N302)),$N302,""),"")))</f>
        <v/>
      </c>
      <c r="AH302" s="125" t="str">
        <f aca="false">IF(ISBLANK($C302),"",IF(ISBLANK($O302),0,IF(ISNUMBER($O302),IF($O302&gt;=0,$O302,""),"")))</f>
        <v/>
      </c>
      <c r="AI302" s="124" t="str">
        <f aca="false">IF(ISBLANK($C302),"",IF($P302=Constants!$B$2,TRUE(),IF($P302=Constants!$B$3,FALSE(),TRUE())))</f>
        <v/>
      </c>
      <c r="AJ302" s="124" t="str">
        <f aca="false">IF(ISBLANK($C302),"",IF($Q302=Constants!$B$2,TRUE(),IF($Q302=Constants!$B$3,FALSE(),TRUE())))</f>
        <v/>
      </c>
      <c r="AK302" s="124" t="str">
        <f aca="false">IF(ISBLANK($C302),"",IF($R302=Constants!$B$2,TRUE(),IF($R302=Constants!$B$3,FALSE(),TRUE())))</f>
        <v/>
      </c>
      <c r="AL302" s="126" t="str">
        <f aca="false">IF(ISBLANK($C302),"",IF(ISNUMBER($S302),IF($S302&gt;=0,$S302,""),""))</f>
        <v/>
      </c>
      <c r="AM302" s="124" t="str">
        <f aca="false">IF(ISBLANK($C302),"",IF(ISBLANK($T302),0,IF(ISNUMBER($T302),IF(AND($T302&gt;=0,$T302&lt;=Constants!$B$17,$T302=INT($T302)),$T302,""),"")))</f>
        <v/>
      </c>
      <c r="AN302" s="125" t="str">
        <f aca="false">IF(ISBLANK($C302),"",IF(ISBLANK($U302),0,IF(ISNUMBER($U302),IF($U302&gt;=0,$U302,""),"")))</f>
        <v/>
      </c>
      <c r="AO302" s="124" t="str">
        <f aca="false">IF(ISBLANK($C302),"",IF($V302=Constants!$B$2,TRUE(),IF($V302=Constants!$B$3,FALSE(),FALSE())))</f>
        <v/>
      </c>
      <c r="AP302" s="124"/>
      <c r="AQ302" s="123" t="str">
        <f aca="false">IF(ISBLANK($C302),"",AND($Y302,OR($AS302,$BC302),OR($Z302="",$AA302="",$AB302="")))</f>
        <v/>
      </c>
      <c r="AR302" s="123" t="str">
        <f aca="false">IF(ISBLANK($C302),"",IF(OR(NOT($Y302),NOT(OR($AS302,$BC302))),"",IF(ISBLANK($D$7),$AR$5,IF($AP$9="",$AR$6,""))))</f>
        <v/>
      </c>
      <c r="AS302" s="123" t="str">
        <f aca="false">IF(ISBLANK($C302),"",COUNTA($J302:$O302)&gt;0)</f>
        <v/>
      </c>
      <c r="AT302" s="123" t="str">
        <f aca="false">IF(ISBLANK($C302),"",AND($AS302,OR(AND($AF302="",OR($AE302,NOT(ISBLANK($M302)))),$AG302="",$AH302="")))</f>
        <v/>
      </c>
      <c r="AU302" s="125" t="str">
        <f aca="false">IF($BL302&lt;&gt;Constants!$B$4,"",IF(NOT($AS302),"",ROUND((Constants!$B$12-$AB302)+(Constants!$B$13-$Z302)+(Constants!$B$14-$AA302),1)))</f>
        <v/>
      </c>
      <c r="AV302" s="127" t="str">
        <f aca="false">IF($BL302&lt;&gt;Constants!$B$4,"",IF(NOT($AS302),"",IF(NOT($AE302),0,Constants!$B$15*(INT(ROUND(MIN($AF302,$AP$9),6))-INT(ROUND(MAX(0,MIN($AF302,2*$AP$9)-$AP$9),6))))))</f>
        <v/>
      </c>
      <c r="AW302" s="127" t="str">
        <f aca="false">IF($BL302&lt;&gt;Constants!$B$4,"",IF(NOT($AS302),"",Constants!$B$16*$AG302))</f>
        <v/>
      </c>
      <c r="AX302" s="127" t="str">
        <f aca="false">IF($BL302&lt;&gt;Constants!$B$4,"",IF(NOT($AS302),"",Constants!$B$18*INT(ROUND($AH302,6))))</f>
        <v/>
      </c>
      <c r="AY302" s="123" t="str">
        <f aca="false">IF($BL302&lt;&gt;Constants!$B$4,"",IF(NOT($AS302),"",IF(NOT($X302),Constants!$B$11,IF(OR(NOT($AC302),NOT($AD302),ROUND($AB302,1)&gt;Constants!$B$12,ROUND($Z302,1)&gt;Constants!$B$13,ROUND($AA302,1)&gt;Constants!$B$14),Constants!$B$10,Constants!$B$9))))</f>
        <v/>
      </c>
      <c r="AZ302" s="128" t="str">
        <f aca="false">IF($BL302&lt;&gt;Constants!$B$4,"",IF(NOT($AS302),"",ROUND($AU302+$AV302+$AW302+$AX302,1)))</f>
        <v/>
      </c>
      <c r="BA302" s="129" t="str">
        <f aca="false">IF($BL302&lt;&gt;Constants!$B$4,"",IF(NOT($AS302),"",IF(ISNUMBER($AF302),$AF302,0)))</f>
        <v/>
      </c>
      <c r="BB302" s="124" t="str">
        <f aca="false">IF($BL302&lt;&gt;Constants!$B$4,"",IF(NOT($BC302),"&lt;-",IF(NOT($AS302),"-&gt;",IF(OR($BI302&lt;$AY302,AND($BI302=$AY302,OR($BJ302&gt;$AZ302,AND($BJ302=$AZ302,OR($BH302&gt;$AX302,AND($BH302=$AX302,OR($BE302&gt;$AU302,AND($BE302=$AU302,OR($BF302&gt;$AV302,AND($BF302=$AV302,$BK302&gt;$BA302)))))))))),"-&gt;","&lt;-"))))</f>
        <v/>
      </c>
      <c r="BC302" s="123" t="str">
        <f aca="false">IF(ISBLANK($C302),"",COUNTA($P302:$U302)&gt;0)</f>
        <v/>
      </c>
      <c r="BD302" s="123" t="str">
        <f aca="false">IF(ISBLANK($C302),"",AND($BC302,OR(AND($AL302="",OR($AK302,NOT(ISBLANK($S302)))),$AM302="",$AN302="")))</f>
        <v/>
      </c>
      <c r="BE302" s="125" t="str">
        <f aca="false">IF($BL302&lt;&gt;Constants!$B$4,"",IF(NOT($BC302),"",ROUND((Constants!$B$12-$AB302)+(Constants!$B$13-$Z302)+(Constants!$B$14-$AA302),1)))</f>
        <v/>
      </c>
      <c r="BF302" s="127" t="str">
        <f aca="false">IF($BL302&lt;&gt;Constants!$B$4,"",IF(NOT($BC302),"",IF(NOT($AK302),0,Constants!$B$15*(INT(ROUND(MIN($AL302,$AP$9),6))-INT(ROUND(MAX(0,MIN($AL302,2*$AP$9)-$AP$9),6))))))</f>
        <v/>
      </c>
      <c r="BG302" s="127" t="str">
        <f aca="false">IF($BL302&lt;&gt;Constants!$B$4,"",IF(NOT($BC302),"",Constants!$B$16*$AM302))</f>
        <v/>
      </c>
      <c r="BH302" s="127" t="str">
        <f aca="false">IF($BL302&lt;&gt;Constants!$B$4,"",IF(NOT($BC302),"",Constants!$B$18*INT(ROUND($AN302,6))))</f>
        <v/>
      </c>
      <c r="BI302" s="123" t="str">
        <f aca="false">IF($BL302&lt;&gt;Constants!$B$4,"",IF(NOT($BC302),"",IF(NOT($X302),Constants!$B$11,IF(OR(NOT($AI302),NOT($AJ302),ROUND($AB302,1)&gt;Constants!$B$12,ROUND($Z302,1)&gt;Constants!$B$13,ROUND($AA302,1)&gt;Constants!$B$14),Constants!$B$10,Constants!$B$9))))</f>
        <v/>
      </c>
      <c r="BJ302" s="128" t="str">
        <f aca="false">IF($BL302&lt;&gt;Constants!$B$4,"",IF(NOT($BC302),"",ROUND($BE302+$BF302+$BG302+$BH302,1)))</f>
        <v/>
      </c>
      <c r="BK302" s="129" t="str">
        <f aca="false">IF($BL302&lt;&gt;Constants!$B$4,"",IF(NOT($BC302),"",IF(ISNUMBER($AL302),$AL302,0)))</f>
        <v/>
      </c>
      <c r="BL302" s="124" t="str">
        <f aca="false">IF(ISBLANK($C302),"",IF($AO302,Constants!$B$7,IF(COUNTA($E302:$V302)=0,Constants!$B$6,IF(NOT($Y302),Constants!$B$5,IF(NOT(OR($AS302,$BC302)),Constants!$B$5,IF(OR($AT302,$BD302,$AQ302,$AR302&lt;&gt;""),Constants!$B$8,Constants!$B$4))))))</f>
        <v/>
      </c>
      <c r="BM302" s="124" t="str">
        <f aca="false">IF(ISBLANK($C302),"",IF($BL302&lt;&gt;Constants!$B$4,$BL302,IF($BB302="-&gt;",$BI302,$AY302)))</f>
        <v/>
      </c>
      <c r="BN302" s="127" t="str">
        <f aca="false">IF($BL302&lt;&gt;Constants!$B$4,"",IF($BB302="-&gt;",$BJ302,$AZ302))</f>
        <v/>
      </c>
      <c r="BO302" s="127" t="str">
        <f aca="false">IF(ISBLANK($C302),"",IF($BL302&lt;&gt;Constants!$B$4,$BL302,$BN302))</f>
        <v/>
      </c>
      <c r="BP302" s="124" t="str">
        <f aca="false">IF(ISBLANK($C302),"",IF($BL302&lt;&gt;Constants!$B$4,$BL302,RANK($BO302,$BO$9:$BO$508,0)))</f>
        <v/>
      </c>
      <c r="BQ302" s="124" t="str">
        <f aca="false">IF(ISBLANK($C302),"",IF($BL302&lt;&gt;Constants!$B$4,$BL302,COUNTIFS($BM$9:$BM$508,"&lt;"&amp;$BM302)+COUNTIFS($BM$9:$BM$508,$BM302,$BP$9:$BP$508,"&lt;"&amp;$BP302)+1))</f>
        <v/>
      </c>
      <c r="BR302" s="127" t="str">
        <f aca="false">IF($BL302&lt;&gt;Constants!$B$4,"",IF($BB302="-&gt;",$BH302,$AX302))</f>
        <v/>
      </c>
      <c r="BS302" s="124" t="str">
        <f aca="false">IF(ISBLANK($C302),"",IF($BL302&lt;&gt;Constants!$B$4,$BL302,IF(ISNUMBER($BR302),RANK($BR302,$BR$9:$BR$508,0),COUNT($BR$9:$BR$508)+1)))</f>
        <v/>
      </c>
      <c r="BT302" s="127" t="str">
        <f aca="false">IF($BL302&lt;&gt;Constants!$B$4,"",IF($BB302="-&gt;",$BE302,$AU302))</f>
        <v/>
      </c>
      <c r="BU302" s="124" t="str">
        <f aca="false">IF(ISBLANK($C302),"",IF($BL302&lt;&gt;Constants!$B$4,$BL302,IF(ISNUMBER($BT302),RANK($BT302,$BT$9:$BT$508,0),COUNT($BT$9:$BT$508)+1)))</f>
        <v/>
      </c>
      <c r="BV302" s="127" t="str">
        <f aca="false">IF($BL302&lt;&gt;Constants!$B$4,"",IF($BB302="-&gt;",$BF302,$AV302))</f>
        <v/>
      </c>
      <c r="BW302" s="124" t="str">
        <f aca="false">IF(ISBLANK($C302),"",IF($BL302&lt;&gt;Constants!$B$4,$BL302,IF(ISNUMBER($BV302),RANK($BV302,$BV$9:$BV$508,0),COUNT($BV$9:$BV$508)+1)))</f>
        <v/>
      </c>
      <c r="BX302" s="127" t="str">
        <f aca="false">IF($BL302&lt;&gt;Constants!$B$4,"",IF($BB302="-&gt;",$BK302,$BA302))</f>
        <v/>
      </c>
      <c r="BY302" s="124" t="str">
        <f aca="false">IF(ISBLANK($C302),"",IF($BL302&lt;&gt;Constants!$B$4,$BL302,IF(ISNUMBER($BX302),RANK($BX302,$BX$9:$BX$508,0),COUNT($BX$9:$BX$508)+1)))</f>
        <v/>
      </c>
      <c r="BZ302" s="124" t="str">
        <f aca="false">IF(ISBLANK($C302),"",IF($BL302&lt;&gt;Constants!$B$4,$BL302,COUNTIFS($BM$9:$BM$508,"&lt;"&amp;$BM302)+COUNTIFS($BM$9:$BM$508,$BM302,$BP$9:$BP$508,"&lt;"&amp;$BP302)+COUNTIFS($BM$9:$BM$508,$BM302,$BP$9:$BP$508,$BP302,$BS$9:$BS$508,"&lt;"&amp;$BS302)+COUNTIFS($BM$9:$BM$508,$BM302,$BP$9:$BP$508,$BP302,$BS$9:$BS$508,$BS302,$BU$9:$BU$508,"&lt;"&amp;$BU302)+COUNTIFS($BM$9:$BM$508,$BM302,$BP$9:$BP$508,$BP302,$BS$9:$BS$508,$BS302,$BU$9:$BU$508,$BU302,$BW$9:$BW$508,"&lt;"&amp;$BW302)+COUNTIFS($BM$9:$BM$508,$BM302,$BP$9:$BP$508,$BP302,$BS$9:$BS$508,$BS302,$BU$9:$BU$508,$BU302,$BW$9:$BW$508,$BW302,$BY$9:$BY$508,"&lt;"&amp;$BY302)+1))</f>
        <v/>
      </c>
      <c r="CA302" s="124" t="str">
        <f aca="false">IF(ISBLANK($C302),"",IF($BL302&lt;&gt;Constants!$B$4,$BL302,$BQ302-$BZ302))</f>
        <v/>
      </c>
      <c r="CB302" s="130"/>
      <c r="CC302" s="131" t="str">
        <f aca="false">IF(ISBLANK($C302),"",IF($BL302=Constants!$B$8,$AR302,""))</f>
        <v/>
      </c>
      <c r="CD302" s="131" t="str">
        <f aca="false">IF(ISBLANK($C302),"",IF($BL302&lt;&gt;Constants!$B$4,"",IF($BB302="-&gt;",2,1)))</f>
        <v/>
      </c>
      <c r="CE302" s="132" t="str">
        <f aca="false">IF(ISBLANK($C302),"",IF($BL302&lt;&gt;Constants!$B$4,"",IF($BB302="-&gt;",$BE302,$AU302)))</f>
        <v/>
      </c>
      <c r="CF302" s="132" t="str">
        <f aca="false">IF(ISBLANK($C302),"",IF($BL302&lt;&gt;Constants!$B$4,"",IF($BB302="-&gt;",$BF302,$AV302)))</f>
        <v/>
      </c>
      <c r="CG302" s="132" t="str">
        <f aca="false">IF(ISBLANK($C302),"",IF($BL302&lt;&gt;Constants!$B$4,"",IF($BB302="-&gt;",$BG302,$AW302)))</f>
        <v/>
      </c>
      <c r="CH302" s="132" t="str">
        <f aca="false">IF(ISBLANK($C302),"",IF($BL302&lt;&gt;Constants!$B$4,"",IF($BB302="-&gt;",$BH302,$AX302)))</f>
        <v/>
      </c>
      <c r="CI302" s="133" t="str">
        <f aca="false">IF(ISBLANK($C302),"",$BO302)</f>
        <v/>
      </c>
      <c r="CJ302" s="134" t="str">
        <f aca="false">IF(ISBLANK($C302),"",$BM302)</f>
        <v/>
      </c>
      <c r="CK302" s="135" t="str">
        <f aca="false">IF(ISBLANK($C302),"",$CA302)</f>
        <v/>
      </c>
      <c r="CL302" s="135" t="str">
        <f aca="false">IF(ISBLANK($C302),"",$BZ302)</f>
        <v/>
      </c>
      <c r="CM302" s="136" t="str">
        <f aca="false">IF(ISBLANK($C302),"",IF($CL302=Constants!$B$7,COUNTA($C$9:$C$508)+2,IF($CL302=Constants!$B$6,COUNTA($C$9:$C$508)+1,IF($CL302=Constants!$B$5,COUNTA($C$9:$C$508),$CL302))))</f>
        <v/>
      </c>
      <c r="CN302" s="8"/>
      <c r="CO302" s="137" t="n">
        <f aca="false">IF(OR(ISNUMBER($CL302),$CL302=Constants!$B$7,$CL302=Constants!$B$5,$CL302=Constants!$B$6),1,0)</f>
        <v>0</v>
      </c>
      <c r="CP302" s="137" t="n">
        <v>294</v>
      </c>
      <c r="CQ302" s="137" t="str">
        <f aca="false">IF(ISBLANK($C302),"",IF(ISNUMBER($CM302),$CM302+ROW($B302)/1000,""))</f>
        <v/>
      </c>
      <c r="CR302" s="137" t="str">
        <f aca="false">IF(ISNUMBER($CQ302),RANK($CQ302,$CQ$9:$CQ$508,1),"")</f>
        <v/>
      </c>
      <c r="CS302" s="137" t="str">
        <f aca="false">IF(ISBLANK($C302),"",$B302)</f>
        <v/>
      </c>
      <c r="CT302" s="137" t="str">
        <f aca="false">IF(ISBLANK($C302),"",$C302)</f>
        <v/>
      </c>
      <c r="CU302" s="137" t="str">
        <f aca="false">IF(ISBLANK($C302),"",$D302)</f>
        <v/>
      </c>
      <c r="CV302" s="138" t="str">
        <f aca="false">$CJ302</f>
        <v/>
      </c>
      <c r="CW302" s="139" t="str">
        <f aca="false">$CI302</f>
        <v/>
      </c>
      <c r="CX302" s="137" t="str">
        <f aca="false">IF(ISBLANK($C302),"",$CL302)</f>
        <v/>
      </c>
      <c r="CY302" s="140" t="str">
        <f aca="false">IF($CP302&gt;$CO$8,"",VLOOKUP($CP302,$CR$9:$CX$508,7,FALSE()))</f>
        <v/>
      </c>
      <c r="CZ302" s="141" t="str">
        <f aca="false">IF($CP302&gt;$CO$8,"",VLOOKUP($CP302,$CR$9:$CX$508,2,FALSE()))</f>
        <v/>
      </c>
      <c r="DA302" s="141" t="str">
        <f aca="false">IF($CP302&gt;$CO$8,"",VLOOKUP($CP302,$CR$9:$CX$508,3,FALSE()))</f>
        <v/>
      </c>
      <c r="DB302" s="141" t="str">
        <f aca="false">IF($CP302&gt;$CO$8,"",VLOOKUP($CP302,$CR$9:$CX$508,4,FALSE()))</f>
        <v/>
      </c>
      <c r="DC302" s="141" t="str">
        <f aca="false">IF($CP302&gt;$CO$8,"",VLOOKUP($CP302,$CR$9:$CX$508,5,FALSE()))</f>
        <v/>
      </c>
      <c r="DD302" s="142" t="str">
        <f aca="false">IF($CP302&gt;$CO$8,"",VLOOKUP($CP302,$CR$9:$CX$508,6,FALSE()))</f>
        <v/>
      </c>
      <c r="DE302" s="70"/>
    </row>
    <row r="303" customFormat="false" ht="15.75" hidden="false" customHeight="false" outlineLevel="0" collapsed="false">
      <c r="A303" s="8"/>
      <c r="B303" s="72"/>
      <c r="C303" s="73"/>
      <c r="D303" s="155"/>
      <c r="E303" s="162"/>
      <c r="F303" s="157"/>
      <c r="G303" s="77"/>
      <c r="H303" s="77"/>
      <c r="I303" s="77"/>
      <c r="J303" s="163"/>
      <c r="K303" s="161"/>
      <c r="L303" s="161"/>
      <c r="M303" s="80"/>
      <c r="N303" s="161"/>
      <c r="O303" s="160"/>
      <c r="P303" s="161"/>
      <c r="Q303" s="161"/>
      <c r="R303" s="161"/>
      <c r="S303" s="77"/>
      <c r="T303" s="161"/>
      <c r="U303" s="160"/>
      <c r="V303" s="161"/>
      <c r="W303" s="85"/>
      <c r="X303" s="86" t="str">
        <f aca="false">IF(ISBLANK($C303),"",IF($E303=Constants!$B$2,TRUE(),IF($E303=Constants!$B$3,FALSE(),TRUE())))</f>
        <v/>
      </c>
      <c r="Y303" s="86" t="str">
        <f aca="false">IF(ISBLANK($C303),"",IF($F303=Constants!$B$2,TRUE(),IF($F303=Constants!$B$3,FALSE(),TRUE())))</f>
        <v/>
      </c>
      <c r="Z303" s="87" t="str">
        <f aca="false">IF(ISBLANK($C303),"",IF(ISNUMBER($G303),IF($G303&gt;=0,$G303,""),""))</f>
        <v/>
      </c>
      <c r="AA303" s="87" t="str">
        <f aca="false">IF(ISBLANK($C303),"",IF(ISNUMBER($H303),IF($H303&gt;=0,$H303,""),""))</f>
        <v/>
      </c>
      <c r="AB303" s="87" t="str">
        <f aca="false">IF(ISBLANK($C303),"",IF(ISNUMBER($I303),IF($I303&gt;=0,$I303,""),""))</f>
        <v/>
      </c>
      <c r="AC303" s="86" t="str">
        <f aca="false">IF(ISBLANK($C303),"",IF($J303=Constants!$B$2,TRUE(),IF($J303=Constants!$B$3,FALSE(),TRUE())))</f>
        <v/>
      </c>
      <c r="AD303" s="86" t="str">
        <f aca="false">IF(ISBLANK($C303),"",IF($K303=Constants!$B$2,TRUE(),IF($K303=Constants!$B$3,FALSE(),TRUE())))</f>
        <v/>
      </c>
      <c r="AE303" s="86" t="str">
        <f aca="false">IF(ISBLANK($C303),"",IF($L303=Constants!$B$2,TRUE(),IF($L303=Constants!$B$3,FALSE(),TRUE())))</f>
        <v/>
      </c>
      <c r="AF303" s="88" t="str">
        <f aca="false">IF(ISBLANK($C303),"",IF(ISNUMBER($M303),IF($M303&gt;=0,$M303,""),""))</f>
        <v/>
      </c>
      <c r="AG303" s="86" t="str">
        <f aca="false">IF(ISBLANK($C303),"",IF(ISBLANK($N303),0,IF(ISNUMBER($N303),IF(AND($N303&gt;=0,$N303&lt;=Constants!$B$17,$N303=INT($N303)),$N303,""),"")))</f>
        <v/>
      </c>
      <c r="AH303" s="87" t="str">
        <f aca="false">IF(ISBLANK($C303),"",IF(ISBLANK($O303),0,IF(ISNUMBER($O303),IF($O303&gt;=0,$O303,""),"")))</f>
        <v/>
      </c>
      <c r="AI303" s="86" t="str">
        <f aca="false">IF(ISBLANK($C303),"",IF($P303=Constants!$B$2,TRUE(),IF($P303=Constants!$B$3,FALSE(),TRUE())))</f>
        <v/>
      </c>
      <c r="AJ303" s="86" t="str">
        <f aca="false">IF(ISBLANK($C303),"",IF($Q303=Constants!$B$2,TRUE(),IF($Q303=Constants!$B$3,FALSE(),TRUE())))</f>
        <v/>
      </c>
      <c r="AK303" s="86" t="str">
        <f aca="false">IF(ISBLANK($C303),"",IF($R303=Constants!$B$2,TRUE(),IF($R303=Constants!$B$3,FALSE(),TRUE())))</f>
        <v/>
      </c>
      <c r="AL303" s="88" t="str">
        <f aca="false">IF(ISBLANK($C303),"",IF(ISNUMBER($S303),IF($S303&gt;=0,$S303,""),""))</f>
        <v/>
      </c>
      <c r="AM303" s="86" t="str">
        <f aca="false">IF(ISBLANK($C303),"",IF(ISBLANK($T303),0,IF(ISNUMBER($T303),IF(AND($T303&gt;=0,$T303&lt;=Constants!$B$17,$T303=INT($T303)),$T303,""),"")))</f>
        <v/>
      </c>
      <c r="AN303" s="87" t="str">
        <f aca="false">IF(ISBLANK($C303),"",IF(ISBLANK($U303),0,IF(ISNUMBER($U303),IF($U303&gt;=0,$U303,""),"")))</f>
        <v/>
      </c>
      <c r="AO303" s="86" t="str">
        <f aca="false">IF(ISBLANK($C303),"",IF($V303=Constants!$B$2,TRUE(),IF($V303=Constants!$B$3,FALSE(),FALSE())))</f>
        <v/>
      </c>
      <c r="AP303" s="86"/>
      <c r="AQ303" s="85" t="str">
        <f aca="false">IF(ISBLANK($C303),"",AND($Y303,OR($AS303,$BC303),OR($Z303="",$AA303="",$AB303="")))</f>
        <v/>
      </c>
      <c r="AR303" s="85" t="str">
        <f aca="false">IF(ISBLANK($C303),"",IF(OR(NOT($Y303),NOT(OR($AS303,$BC303))),"",IF(ISBLANK($D$7),$AR$5,IF($AP$9="",$AR$6,""))))</f>
        <v/>
      </c>
      <c r="AS303" s="85" t="str">
        <f aca="false">IF(ISBLANK($C303),"",COUNTA($J303:$O303)&gt;0)</f>
        <v/>
      </c>
      <c r="AT303" s="85" t="str">
        <f aca="false">IF(ISBLANK($C303),"",AND($AS303,OR(AND($AF303="",OR($AE303,NOT(ISBLANK($M303)))),$AG303="",$AH303="")))</f>
        <v/>
      </c>
      <c r="AU303" s="87" t="str">
        <f aca="false">IF($BL303&lt;&gt;Constants!$B$4,"",IF(NOT($AS303),"",ROUND((Constants!$B$12-$AB303)+(Constants!$B$13-$Z303)+(Constants!$B$14-$AA303),1)))</f>
        <v/>
      </c>
      <c r="AV303" s="90" t="str">
        <f aca="false">IF($BL303&lt;&gt;Constants!$B$4,"",IF(NOT($AS303),"",IF(NOT($AE303),0,Constants!$B$15*(INT(ROUND(MIN($AF303,$AP$9),6))-INT(ROUND(MAX(0,MIN($AF303,2*$AP$9)-$AP$9),6))))))</f>
        <v/>
      </c>
      <c r="AW303" s="90" t="str">
        <f aca="false">IF($BL303&lt;&gt;Constants!$B$4,"",IF(NOT($AS303),"",Constants!$B$16*$AG303))</f>
        <v/>
      </c>
      <c r="AX303" s="90" t="str">
        <f aca="false">IF($BL303&lt;&gt;Constants!$B$4,"",IF(NOT($AS303),"",Constants!$B$18*INT(ROUND($AH303,6))))</f>
        <v/>
      </c>
      <c r="AY303" s="85" t="str">
        <f aca="false">IF($BL303&lt;&gt;Constants!$B$4,"",IF(NOT($AS303),"",IF(NOT($X303),Constants!$B$11,IF(OR(NOT($AC303),NOT($AD303),ROUND($AB303,1)&gt;Constants!$B$12,ROUND($Z303,1)&gt;Constants!$B$13,ROUND($AA303,1)&gt;Constants!$B$14),Constants!$B$10,Constants!$B$9))))</f>
        <v/>
      </c>
      <c r="AZ303" s="91" t="str">
        <f aca="false">IF($BL303&lt;&gt;Constants!$B$4,"",IF(NOT($AS303),"",ROUND($AU303+$AV303+$AW303+$AX303,1)))</f>
        <v/>
      </c>
      <c r="BA303" s="92" t="str">
        <f aca="false">IF($BL303&lt;&gt;Constants!$B$4,"",IF(NOT($AS303),"",IF(ISNUMBER($AF303),$AF303,0)))</f>
        <v/>
      </c>
      <c r="BB303" s="86" t="str">
        <f aca="false">IF($BL303&lt;&gt;Constants!$B$4,"",IF(NOT($BC303),"&lt;-",IF(NOT($AS303),"-&gt;",IF(OR($BI303&lt;$AY303,AND($BI303=$AY303,OR($BJ303&gt;$AZ303,AND($BJ303=$AZ303,OR($BH303&gt;$AX303,AND($BH303=$AX303,OR($BE303&gt;$AU303,AND($BE303=$AU303,OR($BF303&gt;$AV303,AND($BF303=$AV303,$BK303&gt;$BA303)))))))))),"-&gt;","&lt;-"))))</f>
        <v/>
      </c>
      <c r="BC303" s="85" t="str">
        <f aca="false">IF(ISBLANK($C303),"",COUNTA($P303:$U303)&gt;0)</f>
        <v/>
      </c>
      <c r="BD303" s="85" t="str">
        <f aca="false">IF(ISBLANK($C303),"",AND($BC303,OR(AND($AL303="",OR($AK303,NOT(ISBLANK($S303)))),$AM303="",$AN303="")))</f>
        <v/>
      </c>
      <c r="BE303" s="87" t="str">
        <f aca="false">IF($BL303&lt;&gt;Constants!$B$4,"",IF(NOT($BC303),"",ROUND((Constants!$B$12-$AB303)+(Constants!$B$13-$Z303)+(Constants!$B$14-$AA303),1)))</f>
        <v/>
      </c>
      <c r="BF303" s="90" t="str">
        <f aca="false">IF($BL303&lt;&gt;Constants!$B$4,"",IF(NOT($BC303),"",IF(NOT($AK303),0,Constants!$B$15*(INT(ROUND(MIN($AL303,$AP$9),6))-INT(ROUND(MAX(0,MIN($AL303,2*$AP$9)-$AP$9),6))))))</f>
        <v/>
      </c>
      <c r="BG303" s="90" t="str">
        <f aca="false">IF($BL303&lt;&gt;Constants!$B$4,"",IF(NOT($BC303),"",Constants!$B$16*$AM303))</f>
        <v/>
      </c>
      <c r="BH303" s="90" t="str">
        <f aca="false">IF($BL303&lt;&gt;Constants!$B$4,"",IF(NOT($BC303),"",Constants!$B$18*INT(ROUND($AN303,6))))</f>
        <v/>
      </c>
      <c r="BI303" s="85" t="str">
        <f aca="false">IF($BL303&lt;&gt;Constants!$B$4,"",IF(NOT($BC303),"",IF(NOT($X303),Constants!$B$11,IF(OR(NOT($AI303),NOT($AJ303),ROUND($AB303,1)&gt;Constants!$B$12,ROUND($Z303,1)&gt;Constants!$B$13,ROUND($AA303,1)&gt;Constants!$B$14),Constants!$B$10,Constants!$B$9))))</f>
        <v/>
      </c>
      <c r="BJ303" s="91" t="str">
        <f aca="false">IF($BL303&lt;&gt;Constants!$B$4,"",IF(NOT($BC303),"",ROUND($BE303+$BF303+$BG303+$BH303,1)))</f>
        <v/>
      </c>
      <c r="BK303" s="92" t="str">
        <f aca="false">IF($BL303&lt;&gt;Constants!$B$4,"",IF(NOT($BC303),"",IF(ISNUMBER($AL303),$AL303,0)))</f>
        <v/>
      </c>
      <c r="BL303" s="86" t="str">
        <f aca="false">IF(ISBLANK($C303),"",IF($AO303,Constants!$B$7,IF(COUNTA($E303:$V303)=0,Constants!$B$6,IF(NOT($Y303),Constants!$B$5,IF(NOT(OR($AS303,$BC303)),Constants!$B$5,IF(OR($AT303,$BD303,$AQ303,$AR303&lt;&gt;""),Constants!$B$8,Constants!$B$4))))))</f>
        <v/>
      </c>
      <c r="BM303" s="86" t="str">
        <f aca="false">IF(ISBLANK($C303),"",IF($BL303&lt;&gt;Constants!$B$4,$BL303,IF($BB303="-&gt;",$BI303,$AY303)))</f>
        <v/>
      </c>
      <c r="BN303" s="90" t="str">
        <f aca="false">IF($BL303&lt;&gt;Constants!$B$4,"",IF($BB303="-&gt;",$BJ303,$AZ303))</f>
        <v/>
      </c>
      <c r="BO303" s="90" t="str">
        <f aca="false">IF(ISBLANK($C303),"",IF($BL303&lt;&gt;Constants!$B$4,$BL303,$BN303))</f>
        <v/>
      </c>
      <c r="BP303" s="86" t="str">
        <f aca="false">IF(ISBLANK($C303),"",IF($BL303&lt;&gt;Constants!$B$4,$BL303,RANK($BO303,$BO$9:$BO$508,0)))</f>
        <v/>
      </c>
      <c r="BQ303" s="86" t="str">
        <f aca="false">IF(ISBLANK($C303),"",IF($BL303&lt;&gt;Constants!$B$4,$BL303,COUNTIFS($BM$9:$BM$508,"&lt;"&amp;$BM303)+COUNTIFS($BM$9:$BM$508,$BM303,$BP$9:$BP$508,"&lt;"&amp;$BP303)+1))</f>
        <v/>
      </c>
      <c r="BR303" s="90" t="str">
        <f aca="false">IF($BL303&lt;&gt;Constants!$B$4,"",IF($BB303="-&gt;",$BH303,$AX303))</f>
        <v/>
      </c>
      <c r="BS303" s="86" t="str">
        <f aca="false">IF(ISBLANK($C303),"",IF($BL303&lt;&gt;Constants!$B$4,$BL303,IF(ISNUMBER($BR303),RANK($BR303,$BR$9:$BR$508,0),COUNT($BR$9:$BR$508)+1)))</f>
        <v/>
      </c>
      <c r="BT303" s="90" t="str">
        <f aca="false">IF($BL303&lt;&gt;Constants!$B$4,"",IF($BB303="-&gt;",$BE303,$AU303))</f>
        <v/>
      </c>
      <c r="BU303" s="86" t="str">
        <f aca="false">IF(ISBLANK($C303),"",IF($BL303&lt;&gt;Constants!$B$4,$BL303,IF(ISNUMBER($BT303),RANK($BT303,$BT$9:$BT$508,0),COUNT($BT$9:$BT$508)+1)))</f>
        <v/>
      </c>
      <c r="BV303" s="90" t="str">
        <f aca="false">IF($BL303&lt;&gt;Constants!$B$4,"",IF($BB303="-&gt;",$BF303,$AV303))</f>
        <v/>
      </c>
      <c r="BW303" s="86" t="str">
        <f aca="false">IF(ISBLANK($C303),"",IF($BL303&lt;&gt;Constants!$B$4,$BL303,IF(ISNUMBER($BV303),RANK($BV303,$BV$9:$BV$508,0),COUNT($BV$9:$BV$508)+1)))</f>
        <v/>
      </c>
      <c r="BX303" s="90" t="str">
        <f aca="false">IF($BL303&lt;&gt;Constants!$B$4,"",IF($BB303="-&gt;",$BK303,$BA303))</f>
        <v/>
      </c>
      <c r="BY303" s="86" t="str">
        <f aca="false">IF(ISBLANK($C303),"",IF($BL303&lt;&gt;Constants!$B$4,$BL303,IF(ISNUMBER($BX303),RANK($BX303,$BX$9:$BX$508,0),COUNT($BX$9:$BX$508)+1)))</f>
        <v/>
      </c>
      <c r="BZ303" s="86" t="str">
        <f aca="false">IF(ISBLANK($C303),"",IF($BL303&lt;&gt;Constants!$B$4,$BL303,COUNTIFS($BM$9:$BM$508,"&lt;"&amp;$BM303)+COUNTIFS($BM$9:$BM$508,$BM303,$BP$9:$BP$508,"&lt;"&amp;$BP303)+COUNTIFS($BM$9:$BM$508,$BM303,$BP$9:$BP$508,$BP303,$BS$9:$BS$508,"&lt;"&amp;$BS303)+COUNTIFS($BM$9:$BM$508,$BM303,$BP$9:$BP$508,$BP303,$BS$9:$BS$508,$BS303,$BU$9:$BU$508,"&lt;"&amp;$BU303)+COUNTIFS($BM$9:$BM$508,$BM303,$BP$9:$BP$508,$BP303,$BS$9:$BS$508,$BS303,$BU$9:$BU$508,$BU303,$BW$9:$BW$508,"&lt;"&amp;$BW303)+COUNTIFS($BM$9:$BM$508,$BM303,$BP$9:$BP$508,$BP303,$BS$9:$BS$508,$BS303,$BU$9:$BU$508,$BU303,$BW$9:$BW$508,$BW303,$BY$9:$BY$508,"&lt;"&amp;$BY303)+1))</f>
        <v/>
      </c>
      <c r="CA303" s="86" t="str">
        <f aca="false">IF(ISBLANK($C303),"",IF($BL303&lt;&gt;Constants!$B$4,$BL303,$BQ303-$BZ303))</f>
        <v/>
      </c>
      <c r="CB303" s="93"/>
      <c r="CC303" s="94" t="str">
        <f aca="false">IF(ISBLANK($C303),"",IF($BL303=Constants!$B$8,$AR303,""))</f>
        <v/>
      </c>
      <c r="CD303" s="94" t="str">
        <f aca="false">IF(ISBLANK($C303),"",IF($BL303&lt;&gt;Constants!$B$4,"",IF($BB303="-&gt;",2,1)))</f>
        <v/>
      </c>
      <c r="CE303" s="95" t="str">
        <f aca="false">IF(ISBLANK($C303),"",IF($BL303&lt;&gt;Constants!$B$4,"",IF($BB303="-&gt;",$BE303,$AU303)))</f>
        <v/>
      </c>
      <c r="CF303" s="95" t="str">
        <f aca="false">IF(ISBLANK($C303),"",IF($BL303&lt;&gt;Constants!$B$4,"",IF($BB303="-&gt;",$BF303,$AV303)))</f>
        <v/>
      </c>
      <c r="CG303" s="95" t="str">
        <f aca="false">IF(ISBLANK($C303),"",IF($BL303&lt;&gt;Constants!$B$4,"",IF($BB303="-&gt;",$BG303,$AW303)))</f>
        <v/>
      </c>
      <c r="CH303" s="95" t="str">
        <f aca="false">IF(ISBLANK($C303),"",IF($BL303&lt;&gt;Constants!$B$4,"",IF($BB303="-&gt;",$BH303,$AX303)))</f>
        <v/>
      </c>
      <c r="CI303" s="96" t="str">
        <f aca="false">IF(ISBLANK($C303),"",$BO303)</f>
        <v/>
      </c>
      <c r="CJ303" s="97" t="str">
        <f aca="false">IF(ISBLANK($C303),"",$BM303)</f>
        <v/>
      </c>
      <c r="CK303" s="98" t="str">
        <f aca="false">IF(ISBLANK($C303),"",$CA303)</f>
        <v/>
      </c>
      <c r="CL303" s="98" t="str">
        <f aca="false">IF(ISBLANK($C303),"",$BZ303)</f>
        <v/>
      </c>
      <c r="CM303" s="99" t="str">
        <f aca="false">IF(ISBLANK($C303),"",IF($CL303=Constants!$B$7,COUNTA($C$9:$C$508)+2,IF($CL303=Constants!$B$6,COUNTA($C$9:$C$508)+1,IF($CL303=Constants!$B$5,COUNTA($C$9:$C$508),$CL303))))</f>
        <v/>
      </c>
      <c r="CN303" s="8"/>
      <c r="CO303" s="100" t="n">
        <f aca="false">IF(OR(ISNUMBER($CL303),$CL303=Constants!$B$7,$CL303=Constants!$B$5,$CL303=Constants!$B$6),1,0)</f>
        <v>0</v>
      </c>
      <c r="CP303" s="100" t="n">
        <v>295</v>
      </c>
      <c r="CQ303" s="100" t="str">
        <f aca="false">IF(ISBLANK($C303),"",IF(ISNUMBER($CM303),$CM303+ROW($B303)/1000,""))</f>
        <v/>
      </c>
      <c r="CR303" s="100" t="str">
        <f aca="false">IF(ISNUMBER($CQ303),RANK($CQ303,$CQ$9:$CQ$508,1),"")</f>
        <v/>
      </c>
      <c r="CS303" s="100" t="str">
        <f aca="false">IF(ISBLANK($C303),"",$B303)</f>
        <v/>
      </c>
      <c r="CT303" s="100" t="str">
        <f aca="false">IF(ISBLANK($C303),"",$C303)</f>
        <v/>
      </c>
      <c r="CU303" s="100" t="str">
        <f aca="false">IF(ISBLANK($C303),"",$D303)</f>
        <v/>
      </c>
      <c r="CV303" s="101" t="str">
        <f aca="false">$CJ303</f>
        <v/>
      </c>
      <c r="CW303" s="102" t="str">
        <f aca="false">$CI303</f>
        <v/>
      </c>
      <c r="CX303" s="100" t="str">
        <f aca="false">IF(ISBLANK($C303),"",$CL303)</f>
        <v/>
      </c>
      <c r="CY303" s="103" t="str">
        <f aca="false">IF($CP303&gt;$CO$8,"",VLOOKUP($CP303,$CR$9:$CX$508,7,FALSE()))</f>
        <v/>
      </c>
      <c r="CZ303" s="104" t="str">
        <f aca="false">IF($CP303&gt;$CO$8,"",VLOOKUP($CP303,$CR$9:$CX$508,2,FALSE()))</f>
        <v/>
      </c>
      <c r="DA303" s="104" t="str">
        <f aca="false">IF($CP303&gt;$CO$8,"",VLOOKUP($CP303,$CR$9:$CX$508,3,FALSE()))</f>
        <v/>
      </c>
      <c r="DB303" s="104" t="str">
        <f aca="false">IF($CP303&gt;$CO$8,"",VLOOKUP($CP303,$CR$9:$CX$508,4,FALSE()))</f>
        <v/>
      </c>
      <c r="DC303" s="104" t="str">
        <f aca="false">IF($CP303&gt;$CO$8,"",VLOOKUP($CP303,$CR$9:$CX$508,5,FALSE()))</f>
        <v/>
      </c>
      <c r="DD303" s="105" t="str">
        <f aca="false">IF($CP303&gt;$CO$8,"",VLOOKUP($CP303,$CR$9:$CX$508,6,FALSE()))</f>
        <v/>
      </c>
      <c r="DE303" s="70"/>
    </row>
    <row r="304" customFormat="false" ht="15.75" hidden="false" customHeight="false" outlineLevel="0" collapsed="false">
      <c r="A304" s="8"/>
      <c r="B304" s="72"/>
      <c r="C304" s="73"/>
      <c r="D304" s="155"/>
      <c r="E304" s="162"/>
      <c r="F304" s="157"/>
      <c r="G304" s="77"/>
      <c r="H304" s="77"/>
      <c r="I304" s="77"/>
      <c r="J304" s="163"/>
      <c r="K304" s="161"/>
      <c r="L304" s="161"/>
      <c r="M304" s="80"/>
      <c r="N304" s="161"/>
      <c r="O304" s="160"/>
      <c r="P304" s="161"/>
      <c r="Q304" s="161"/>
      <c r="R304" s="161"/>
      <c r="S304" s="77"/>
      <c r="T304" s="161"/>
      <c r="U304" s="160"/>
      <c r="V304" s="161"/>
      <c r="W304" s="85"/>
      <c r="X304" s="86" t="str">
        <f aca="false">IF(ISBLANK($C304),"",IF($E304=Constants!$B$2,TRUE(),IF($E304=Constants!$B$3,FALSE(),TRUE())))</f>
        <v/>
      </c>
      <c r="Y304" s="86" t="str">
        <f aca="false">IF(ISBLANK($C304),"",IF($F304=Constants!$B$2,TRUE(),IF($F304=Constants!$B$3,FALSE(),TRUE())))</f>
        <v/>
      </c>
      <c r="Z304" s="87" t="str">
        <f aca="false">IF(ISBLANK($C304),"",IF(ISNUMBER($G304),IF($G304&gt;=0,$G304,""),""))</f>
        <v/>
      </c>
      <c r="AA304" s="87" t="str">
        <f aca="false">IF(ISBLANK($C304),"",IF(ISNUMBER($H304),IF($H304&gt;=0,$H304,""),""))</f>
        <v/>
      </c>
      <c r="AB304" s="87" t="str">
        <f aca="false">IF(ISBLANK($C304),"",IF(ISNUMBER($I304),IF($I304&gt;=0,$I304,""),""))</f>
        <v/>
      </c>
      <c r="AC304" s="86" t="str">
        <f aca="false">IF(ISBLANK($C304),"",IF($J304=Constants!$B$2,TRUE(),IF($J304=Constants!$B$3,FALSE(),TRUE())))</f>
        <v/>
      </c>
      <c r="AD304" s="86" t="str">
        <f aca="false">IF(ISBLANK($C304),"",IF($K304=Constants!$B$2,TRUE(),IF($K304=Constants!$B$3,FALSE(),TRUE())))</f>
        <v/>
      </c>
      <c r="AE304" s="86" t="str">
        <f aca="false">IF(ISBLANK($C304),"",IF($L304=Constants!$B$2,TRUE(),IF($L304=Constants!$B$3,FALSE(),TRUE())))</f>
        <v/>
      </c>
      <c r="AF304" s="88" t="str">
        <f aca="false">IF(ISBLANK($C304),"",IF(ISNUMBER($M304),IF($M304&gt;=0,$M304,""),""))</f>
        <v/>
      </c>
      <c r="AG304" s="86" t="str">
        <f aca="false">IF(ISBLANK($C304),"",IF(ISBLANK($N304),0,IF(ISNUMBER($N304),IF(AND($N304&gt;=0,$N304&lt;=Constants!$B$17,$N304=INT($N304)),$N304,""),"")))</f>
        <v/>
      </c>
      <c r="AH304" s="87" t="str">
        <f aca="false">IF(ISBLANK($C304),"",IF(ISBLANK($O304),0,IF(ISNUMBER($O304),IF($O304&gt;=0,$O304,""),"")))</f>
        <v/>
      </c>
      <c r="AI304" s="86" t="str">
        <f aca="false">IF(ISBLANK($C304),"",IF($P304=Constants!$B$2,TRUE(),IF($P304=Constants!$B$3,FALSE(),TRUE())))</f>
        <v/>
      </c>
      <c r="AJ304" s="86" t="str">
        <f aca="false">IF(ISBLANK($C304),"",IF($Q304=Constants!$B$2,TRUE(),IF($Q304=Constants!$B$3,FALSE(),TRUE())))</f>
        <v/>
      </c>
      <c r="AK304" s="86" t="str">
        <f aca="false">IF(ISBLANK($C304),"",IF($R304=Constants!$B$2,TRUE(),IF($R304=Constants!$B$3,FALSE(),TRUE())))</f>
        <v/>
      </c>
      <c r="AL304" s="88" t="str">
        <f aca="false">IF(ISBLANK($C304),"",IF(ISNUMBER($S304),IF($S304&gt;=0,$S304,""),""))</f>
        <v/>
      </c>
      <c r="AM304" s="86" t="str">
        <f aca="false">IF(ISBLANK($C304),"",IF(ISBLANK($T304),0,IF(ISNUMBER($T304),IF(AND($T304&gt;=0,$T304&lt;=Constants!$B$17,$T304=INT($T304)),$T304,""),"")))</f>
        <v/>
      </c>
      <c r="AN304" s="87" t="str">
        <f aca="false">IF(ISBLANK($C304),"",IF(ISBLANK($U304),0,IF(ISNUMBER($U304),IF($U304&gt;=0,$U304,""),"")))</f>
        <v/>
      </c>
      <c r="AO304" s="86" t="str">
        <f aca="false">IF(ISBLANK($C304),"",IF($V304=Constants!$B$2,TRUE(),IF($V304=Constants!$B$3,FALSE(),FALSE())))</f>
        <v/>
      </c>
      <c r="AP304" s="86"/>
      <c r="AQ304" s="85" t="str">
        <f aca="false">IF(ISBLANK($C304),"",AND($Y304,OR($AS304,$BC304),OR($Z304="",$AA304="",$AB304="")))</f>
        <v/>
      </c>
      <c r="AR304" s="85" t="str">
        <f aca="false">IF(ISBLANK($C304),"",IF(OR(NOT($Y304),NOT(OR($AS304,$BC304))),"",IF(ISBLANK($D$7),$AR$5,IF($AP$9="",$AR$6,""))))</f>
        <v/>
      </c>
      <c r="AS304" s="85" t="str">
        <f aca="false">IF(ISBLANK($C304),"",COUNTA($J304:$O304)&gt;0)</f>
        <v/>
      </c>
      <c r="AT304" s="85" t="str">
        <f aca="false">IF(ISBLANK($C304),"",AND($AS304,OR(AND($AF304="",OR($AE304,NOT(ISBLANK($M304)))),$AG304="",$AH304="")))</f>
        <v/>
      </c>
      <c r="AU304" s="87" t="str">
        <f aca="false">IF($BL304&lt;&gt;Constants!$B$4,"",IF(NOT($AS304),"",ROUND((Constants!$B$12-$AB304)+(Constants!$B$13-$Z304)+(Constants!$B$14-$AA304),1)))</f>
        <v/>
      </c>
      <c r="AV304" s="90" t="str">
        <f aca="false">IF($BL304&lt;&gt;Constants!$B$4,"",IF(NOT($AS304),"",IF(NOT($AE304),0,Constants!$B$15*(INT(ROUND(MIN($AF304,$AP$9),6))-INT(ROUND(MAX(0,MIN($AF304,2*$AP$9)-$AP$9),6))))))</f>
        <v/>
      </c>
      <c r="AW304" s="90" t="str">
        <f aca="false">IF($BL304&lt;&gt;Constants!$B$4,"",IF(NOT($AS304),"",Constants!$B$16*$AG304))</f>
        <v/>
      </c>
      <c r="AX304" s="90" t="str">
        <f aca="false">IF($BL304&lt;&gt;Constants!$B$4,"",IF(NOT($AS304),"",Constants!$B$18*INT(ROUND($AH304,6))))</f>
        <v/>
      </c>
      <c r="AY304" s="85" t="str">
        <f aca="false">IF($BL304&lt;&gt;Constants!$B$4,"",IF(NOT($AS304),"",IF(NOT($X304),Constants!$B$11,IF(OR(NOT($AC304),NOT($AD304),ROUND($AB304,1)&gt;Constants!$B$12,ROUND($Z304,1)&gt;Constants!$B$13,ROUND($AA304,1)&gt;Constants!$B$14),Constants!$B$10,Constants!$B$9))))</f>
        <v/>
      </c>
      <c r="AZ304" s="91" t="str">
        <f aca="false">IF($BL304&lt;&gt;Constants!$B$4,"",IF(NOT($AS304),"",ROUND($AU304+$AV304+$AW304+$AX304,1)))</f>
        <v/>
      </c>
      <c r="BA304" s="92" t="str">
        <f aca="false">IF($BL304&lt;&gt;Constants!$B$4,"",IF(NOT($AS304),"",IF(ISNUMBER($AF304),$AF304,0)))</f>
        <v/>
      </c>
      <c r="BB304" s="86" t="str">
        <f aca="false">IF($BL304&lt;&gt;Constants!$B$4,"",IF(NOT($BC304),"&lt;-",IF(NOT($AS304),"-&gt;",IF(OR($BI304&lt;$AY304,AND($BI304=$AY304,OR($BJ304&gt;$AZ304,AND($BJ304=$AZ304,OR($BH304&gt;$AX304,AND($BH304=$AX304,OR($BE304&gt;$AU304,AND($BE304=$AU304,OR($BF304&gt;$AV304,AND($BF304=$AV304,$BK304&gt;$BA304)))))))))),"-&gt;","&lt;-"))))</f>
        <v/>
      </c>
      <c r="BC304" s="85" t="str">
        <f aca="false">IF(ISBLANK($C304),"",COUNTA($P304:$U304)&gt;0)</f>
        <v/>
      </c>
      <c r="BD304" s="85" t="str">
        <f aca="false">IF(ISBLANK($C304),"",AND($BC304,OR(AND($AL304="",OR($AK304,NOT(ISBLANK($S304)))),$AM304="",$AN304="")))</f>
        <v/>
      </c>
      <c r="BE304" s="87" t="str">
        <f aca="false">IF($BL304&lt;&gt;Constants!$B$4,"",IF(NOT($BC304),"",ROUND((Constants!$B$12-$AB304)+(Constants!$B$13-$Z304)+(Constants!$B$14-$AA304),1)))</f>
        <v/>
      </c>
      <c r="BF304" s="90" t="str">
        <f aca="false">IF($BL304&lt;&gt;Constants!$B$4,"",IF(NOT($BC304),"",IF(NOT($AK304),0,Constants!$B$15*(INT(ROUND(MIN($AL304,$AP$9),6))-INT(ROUND(MAX(0,MIN($AL304,2*$AP$9)-$AP$9),6))))))</f>
        <v/>
      </c>
      <c r="BG304" s="90" t="str">
        <f aca="false">IF($BL304&lt;&gt;Constants!$B$4,"",IF(NOT($BC304),"",Constants!$B$16*$AM304))</f>
        <v/>
      </c>
      <c r="BH304" s="90" t="str">
        <f aca="false">IF($BL304&lt;&gt;Constants!$B$4,"",IF(NOT($BC304),"",Constants!$B$18*INT(ROUND($AN304,6))))</f>
        <v/>
      </c>
      <c r="BI304" s="85" t="str">
        <f aca="false">IF($BL304&lt;&gt;Constants!$B$4,"",IF(NOT($BC304),"",IF(NOT($X304),Constants!$B$11,IF(OR(NOT($AI304),NOT($AJ304),ROUND($AB304,1)&gt;Constants!$B$12,ROUND($Z304,1)&gt;Constants!$B$13,ROUND($AA304,1)&gt;Constants!$B$14),Constants!$B$10,Constants!$B$9))))</f>
        <v/>
      </c>
      <c r="BJ304" s="91" t="str">
        <f aca="false">IF($BL304&lt;&gt;Constants!$B$4,"",IF(NOT($BC304),"",ROUND($BE304+$BF304+$BG304+$BH304,1)))</f>
        <v/>
      </c>
      <c r="BK304" s="92" t="str">
        <f aca="false">IF($BL304&lt;&gt;Constants!$B$4,"",IF(NOT($BC304),"",IF(ISNUMBER($AL304),$AL304,0)))</f>
        <v/>
      </c>
      <c r="BL304" s="86" t="str">
        <f aca="false">IF(ISBLANK($C304),"",IF($AO304,Constants!$B$7,IF(COUNTA($E304:$V304)=0,Constants!$B$6,IF(NOT($Y304),Constants!$B$5,IF(NOT(OR($AS304,$BC304)),Constants!$B$5,IF(OR($AT304,$BD304,$AQ304,$AR304&lt;&gt;""),Constants!$B$8,Constants!$B$4))))))</f>
        <v/>
      </c>
      <c r="BM304" s="86" t="str">
        <f aca="false">IF(ISBLANK($C304),"",IF($BL304&lt;&gt;Constants!$B$4,$BL304,IF($BB304="-&gt;",$BI304,$AY304)))</f>
        <v/>
      </c>
      <c r="BN304" s="90" t="str">
        <f aca="false">IF($BL304&lt;&gt;Constants!$B$4,"",IF($BB304="-&gt;",$BJ304,$AZ304))</f>
        <v/>
      </c>
      <c r="BO304" s="90" t="str">
        <f aca="false">IF(ISBLANK($C304),"",IF($BL304&lt;&gt;Constants!$B$4,$BL304,$BN304))</f>
        <v/>
      </c>
      <c r="BP304" s="86" t="str">
        <f aca="false">IF(ISBLANK($C304),"",IF($BL304&lt;&gt;Constants!$B$4,$BL304,RANK($BO304,$BO$9:$BO$508,0)))</f>
        <v/>
      </c>
      <c r="BQ304" s="86" t="str">
        <f aca="false">IF(ISBLANK($C304),"",IF($BL304&lt;&gt;Constants!$B$4,$BL304,COUNTIFS($BM$9:$BM$508,"&lt;"&amp;$BM304)+COUNTIFS($BM$9:$BM$508,$BM304,$BP$9:$BP$508,"&lt;"&amp;$BP304)+1))</f>
        <v/>
      </c>
      <c r="BR304" s="90" t="str">
        <f aca="false">IF($BL304&lt;&gt;Constants!$B$4,"",IF($BB304="-&gt;",$BH304,$AX304))</f>
        <v/>
      </c>
      <c r="BS304" s="86" t="str">
        <f aca="false">IF(ISBLANK($C304),"",IF($BL304&lt;&gt;Constants!$B$4,$BL304,IF(ISNUMBER($BR304),RANK($BR304,$BR$9:$BR$508,0),COUNT($BR$9:$BR$508)+1)))</f>
        <v/>
      </c>
      <c r="BT304" s="90" t="str">
        <f aca="false">IF($BL304&lt;&gt;Constants!$B$4,"",IF($BB304="-&gt;",$BE304,$AU304))</f>
        <v/>
      </c>
      <c r="BU304" s="86" t="str">
        <f aca="false">IF(ISBLANK($C304),"",IF($BL304&lt;&gt;Constants!$B$4,$BL304,IF(ISNUMBER($BT304),RANK($BT304,$BT$9:$BT$508,0),COUNT($BT$9:$BT$508)+1)))</f>
        <v/>
      </c>
      <c r="BV304" s="90" t="str">
        <f aca="false">IF($BL304&lt;&gt;Constants!$B$4,"",IF($BB304="-&gt;",$BF304,$AV304))</f>
        <v/>
      </c>
      <c r="BW304" s="86" t="str">
        <f aca="false">IF(ISBLANK($C304),"",IF($BL304&lt;&gt;Constants!$B$4,$BL304,IF(ISNUMBER($BV304),RANK($BV304,$BV$9:$BV$508,0),COUNT($BV$9:$BV$508)+1)))</f>
        <v/>
      </c>
      <c r="BX304" s="90" t="str">
        <f aca="false">IF($BL304&lt;&gt;Constants!$B$4,"",IF($BB304="-&gt;",$BK304,$BA304))</f>
        <v/>
      </c>
      <c r="BY304" s="86" t="str">
        <f aca="false">IF(ISBLANK($C304),"",IF($BL304&lt;&gt;Constants!$B$4,$BL304,IF(ISNUMBER($BX304),RANK($BX304,$BX$9:$BX$508,0),COUNT($BX$9:$BX$508)+1)))</f>
        <v/>
      </c>
      <c r="BZ304" s="86" t="str">
        <f aca="false">IF(ISBLANK($C304),"",IF($BL304&lt;&gt;Constants!$B$4,$BL304,COUNTIFS($BM$9:$BM$508,"&lt;"&amp;$BM304)+COUNTIFS($BM$9:$BM$508,$BM304,$BP$9:$BP$508,"&lt;"&amp;$BP304)+COUNTIFS($BM$9:$BM$508,$BM304,$BP$9:$BP$508,$BP304,$BS$9:$BS$508,"&lt;"&amp;$BS304)+COUNTIFS($BM$9:$BM$508,$BM304,$BP$9:$BP$508,$BP304,$BS$9:$BS$508,$BS304,$BU$9:$BU$508,"&lt;"&amp;$BU304)+COUNTIFS($BM$9:$BM$508,$BM304,$BP$9:$BP$508,$BP304,$BS$9:$BS$508,$BS304,$BU$9:$BU$508,$BU304,$BW$9:$BW$508,"&lt;"&amp;$BW304)+COUNTIFS($BM$9:$BM$508,$BM304,$BP$9:$BP$508,$BP304,$BS$9:$BS$508,$BS304,$BU$9:$BU$508,$BU304,$BW$9:$BW$508,$BW304,$BY$9:$BY$508,"&lt;"&amp;$BY304)+1))</f>
        <v/>
      </c>
      <c r="CA304" s="86" t="str">
        <f aca="false">IF(ISBLANK($C304),"",IF($BL304&lt;&gt;Constants!$B$4,$BL304,$BQ304-$BZ304))</f>
        <v/>
      </c>
      <c r="CB304" s="93"/>
      <c r="CC304" s="94" t="str">
        <f aca="false">IF(ISBLANK($C304),"",IF($BL304=Constants!$B$8,$AR304,""))</f>
        <v/>
      </c>
      <c r="CD304" s="94" t="str">
        <f aca="false">IF(ISBLANK($C304),"",IF($BL304&lt;&gt;Constants!$B$4,"",IF($BB304="-&gt;",2,1)))</f>
        <v/>
      </c>
      <c r="CE304" s="95" t="str">
        <f aca="false">IF(ISBLANK($C304),"",IF($BL304&lt;&gt;Constants!$B$4,"",IF($BB304="-&gt;",$BE304,$AU304)))</f>
        <v/>
      </c>
      <c r="CF304" s="95" t="str">
        <f aca="false">IF(ISBLANK($C304),"",IF($BL304&lt;&gt;Constants!$B$4,"",IF($BB304="-&gt;",$BF304,$AV304)))</f>
        <v/>
      </c>
      <c r="CG304" s="95" t="str">
        <f aca="false">IF(ISBLANK($C304),"",IF($BL304&lt;&gt;Constants!$B$4,"",IF($BB304="-&gt;",$BG304,$AW304)))</f>
        <v/>
      </c>
      <c r="CH304" s="95" t="str">
        <f aca="false">IF(ISBLANK($C304),"",IF($BL304&lt;&gt;Constants!$B$4,"",IF($BB304="-&gt;",$BH304,$AX304)))</f>
        <v/>
      </c>
      <c r="CI304" s="96" t="str">
        <f aca="false">IF(ISBLANK($C304),"",$BO304)</f>
        <v/>
      </c>
      <c r="CJ304" s="97" t="str">
        <f aca="false">IF(ISBLANK($C304),"",$BM304)</f>
        <v/>
      </c>
      <c r="CK304" s="98" t="str">
        <f aca="false">IF(ISBLANK($C304),"",$CA304)</f>
        <v/>
      </c>
      <c r="CL304" s="98" t="str">
        <f aca="false">IF(ISBLANK($C304),"",$BZ304)</f>
        <v/>
      </c>
      <c r="CM304" s="99" t="str">
        <f aca="false">IF(ISBLANK($C304),"",IF($CL304=Constants!$B$7,COUNTA($C$9:$C$508)+2,IF($CL304=Constants!$B$6,COUNTA($C$9:$C$508)+1,IF($CL304=Constants!$B$5,COUNTA($C$9:$C$508),$CL304))))</f>
        <v/>
      </c>
      <c r="CN304" s="8"/>
      <c r="CO304" s="100" t="n">
        <f aca="false">IF(OR(ISNUMBER($CL304),$CL304=Constants!$B$7,$CL304=Constants!$B$5,$CL304=Constants!$B$6),1,0)</f>
        <v>0</v>
      </c>
      <c r="CP304" s="100" t="n">
        <v>296</v>
      </c>
      <c r="CQ304" s="100" t="str">
        <f aca="false">IF(ISBLANK($C304),"",IF(ISNUMBER($CM304),$CM304+ROW($B304)/1000,""))</f>
        <v/>
      </c>
      <c r="CR304" s="100" t="str">
        <f aca="false">IF(ISNUMBER($CQ304),RANK($CQ304,$CQ$9:$CQ$508,1),"")</f>
        <v/>
      </c>
      <c r="CS304" s="100" t="str">
        <f aca="false">IF(ISBLANK($C304),"",$B304)</f>
        <v/>
      </c>
      <c r="CT304" s="100" t="str">
        <f aca="false">IF(ISBLANK($C304),"",$C304)</f>
        <v/>
      </c>
      <c r="CU304" s="100" t="str">
        <f aca="false">IF(ISBLANK($C304),"",$D304)</f>
        <v/>
      </c>
      <c r="CV304" s="101" t="str">
        <f aca="false">$CJ304</f>
        <v/>
      </c>
      <c r="CW304" s="102" t="str">
        <f aca="false">$CI304</f>
        <v/>
      </c>
      <c r="CX304" s="100" t="str">
        <f aca="false">IF(ISBLANK($C304),"",$CL304)</f>
        <v/>
      </c>
      <c r="CY304" s="103" t="str">
        <f aca="false">IF($CP304&gt;$CO$8,"",VLOOKUP($CP304,$CR$9:$CX$508,7,FALSE()))</f>
        <v/>
      </c>
      <c r="CZ304" s="104" t="str">
        <f aca="false">IF($CP304&gt;$CO$8,"",VLOOKUP($CP304,$CR$9:$CX$508,2,FALSE()))</f>
        <v/>
      </c>
      <c r="DA304" s="104" t="str">
        <f aca="false">IF($CP304&gt;$CO$8,"",VLOOKUP($CP304,$CR$9:$CX$508,3,FALSE()))</f>
        <v/>
      </c>
      <c r="DB304" s="104" t="str">
        <f aca="false">IF($CP304&gt;$CO$8,"",VLOOKUP($CP304,$CR$9:$CX$508,4,FALSE()))</f>
        <v/>
      </c>
      <c r="DC304" s="104" t="str">
        <f aca="false">IF($CP304&gt;$CO$8,"",VLOOKUP($CP304,$CR$9:$CX$508,5,FALSE()))</f>
        <v/>
      </c>
      <c r="DD304" s="105" t="str">
        <f aca="false">IF($CP304&gt;$CO$8,"",VLOOKUP($CP304,$CR$9:$CX$508,6,FALSE()))</f>
        <v/>
      </c>
      <c r="DE304" s="70"/>
    </row>
    <row r="305" customFormat="false" ht="15.75" hidden="false" customHeight="false" outlineLevel="0" collapsed="false">
      <c r="A305" s="8"/>
      <c r="B305" s="72"/>
      <c r="C305" s="73"/>
      <c r="D305" s="155"/>
      <c r="E305" s="162"/>
      <c r="F305" s="157"/>
      <c r="G305" s="77"/>
      <c r="H305" s="77"/>
      <c r="I305" s="77"/>
      <c r="J305" s="163"/>
      <c r="K305" s="161"/>
      <c r="L305" s="161"/>
      <c r="M305" s="80"/>
      <c r="N305" s="161"/>
      <c r="O305" s="160"/>
      <c r="P305" s="161"/>
      <c r="Q305" s="161"/>
      <c r="R305" s="161"/>
      <c r="S305" s="77"/>
      <c r="T305" s="161"/>
      <c r="U305" s="160"/>
      <c r="V305" s="161"/>
      <c r="W305" s="85"/>
      <c r="X305" s="86" t="str">
        <f aca="false">IF(ISBLANK($C305),"",IF($E305=Constants!$B$2,TRUE(),IF($E305=Constants!$B$3,FALSE(),TRUE())))</f>
        <v/>
      </c>
      <c r="Y305" s="86" t="str">
        <f aca="false">IF(ISBLANK($C305),"",IF($F305=Constants!$B$2,TRUE(),IF($F305=Constants!$B$3,FALSE(),TRUE())))</f>
        <v/>
      </c>
      <c r="Z305" s="87" t="str">
        <f aca="false">IF(ISBLANK($C305),"",IF(ISNUMBER($G305),IF($G305&gt;=0,$G305,""),""))</f>
        <v/>
      </c>
      <c r="AA305" s="87" t="str">
        <f aca="false">IF(ISBLANK($C305),"",IF(ISNUMBER($H305),IF($H305&gt;=0,$H305,""),""))</f>
        <v/>
      </c>
      <c r="AB305" s="87" t="str">
        <f aca="false">IF(ISBLANK($C305),"",IF(ISNUMBER($I305),IF($I305&gt;=0,$I305,""),""))</f>
        <v/>
      </c>
      <c r="AC305" s="86" t="str">
        <f aca="false">IF(ISBLANK($C305),"",IF($J305=Constants!$B$2,TRUE(),IF($J305=Constants!$B$3,FALSE(),TRUE())))</f>
        <v/>
      </c>
      <c r="AD305" s="86" t="str">
        <f aca="false">IF(ISBLANK($C305),"",IF($K305=Constants!$B$2,TRUE(),IF($K305=Constants!$B$3,FALSE(),TRUE())))</f>
        <v/>
      </c>
      <c r="AE305" s="86" t="str">
        <f aca="false">IF(ISBLANK($C305),"",IF($L305=Constants!$B$2,TRUE(),IF($L305=Constants!$B$3,FALSE(),TRUE())))</f>
        <v/>
      </c>
      <c r="AF305" s="88" t="str">
        <f aca="false">IF(ISBLANK($C305),"",IF(ISNUMBER($M305),IF($M305&gt;=0,$M305,""),""))</f>
        <v/>
      </c>
      <c r="AG305" s="86" t="str">
        <f aca="false">IF(ISBLANK($C305),"",IF(ISBLANK($N305),0,IF(ISNUMBER($N305),IF(AND($N305&gt;=0,$N305&lt;=Constants!$B$17,$N305=INT($N305)),$N305,""),"")))</f>
        <v/>
      </c>
      <c r="AH305" s="87" t="str">
        <f aca="false">IF(ISBLANK($C305),"",IF(ISBLANK($O305),0,IF(ISNUMBER($O305),IF($O305&gt;=0,$O305,""),"")))</f>
        <v/>
      </c>
      <c r="AI305" s="86" t="str">
        <f aca="false">IF(ISBLANK($C305),"",IF($P305=Constants!$B$2,TRUE(),IF($P305=Constants!$B$3,FALSE(),TRUE())))</f>
        <v/>
      </c>
      <c r="AJ305" s="86" t="str">
        <f aca="false">IF(ISBLANK($C305),"",IF($Q305=Constants!$B$2,TRUE(),IF($Q305=Constants!$B$3,FALSE(),TRUE())))</f>
        <v/>
      </c>
      <c r="AK305" s="86" t="str">
        <f aca="false">IF(ISBLANK($C305),"",IF($R305=Constants!$B$2,TRUE(),IF($R305=Constants!$B$3,FALSE(),TRUE())))</f>
        <v/>
      </c>
      <c r="AL305" s="88" t="str">
        <f aca="false">IF(ISBLANK($C305),"",IF(ISNUMBER($S305),IF($S305&gt;=0,$S305,""),""))</f>
        <v/>
      </c>
      <c r="AM305" s="86" t="str">
        <f aca="false">IF(ISBLANK($C305),"",IF(ISBLANK($T305),0,IF(ISNUMBER($T305),IF(AND($T305&gt;=0,$T305&lt;=Constants!$B$17,$T305=INT($T305)),$T305,""),"")))</f>
        <v/>
      </c>
      <c r="AN305" s="87" t="str">
        <f aca="false">IF(ISBLANK($C305),"",IF(ISBLANK($U305),0,IF(ISNUMBER($U305),IF($U305&gt;=0,$U305,""),"")))</f>
        <v/>
      </c>
      <c r="AO305" s="86" t="str">
        <f aca="false">IF(ISBLANK($C305),"",IF($V305=Constants!$B$2,TRUE(),IF($V305=Constants!$B$3,FALSE(),FALSE())))</f>
        <v/>
      </c>
      <c r="AP305" s="86"/>
      <c r="AQ305" s="85" t="str">
        <f aca="false">IF(ISBLANK($C305),"",AND($Y305,OR($AS305,$BC305),OR($Z305="",$AA305="",$AB305="")))</f>
        <v/>
      </c>
      <c r="AR305" s="85" t="str">
        <f aca="false">IF(ISBLANK($C305),"",IF(OR(NOT($Y305),NOT(OR($AS305,$BC305))),"",IF(ISBLANK($D$7),$AR$5,IF($AP$9="",$AR$6,""))))</f>
        <v/>
      </c>
      <c r="AS305" s="85" t="str">
        <f aca="false">IF(ISBLANK($C305),"",COUNTA($J305:$O305)&gt;0)</f>
        <v/>
      </c>
      <c r="AT305" s="85" t="str">
        <f aca="false">IF(ISBLANK($C305),"",AND($AS305,OR(AND($AF305="",OR($AE305,NOT(ISBLANK($M305)))),$AG305="",$AH305="")))</f>
        <v/>
      </c>
      <c r="AU305" s="87" t="str">
        <f aca="false">IF($BL305&lt;&gt;Constants!$B$4,"",IF(NOT($AS305),"",ROUND((Constants!$B$12-$AB305)+(Constants!$B$13-$Z305)+(Constants!$B$14-$AA305),1)))</f>
        <v/>
      </c>
      <c r="AV305" s="90" t="str">
        <f aca="false">IF($BL305&lt;&gt;Constants!$B$4,"",IF(NOT($AS305),"",IF(NOT($AE305),0,Constants!$B$15*(INT(ROUND(MIN($AF305,$AP$9),6))-INT(ROUND(MAX(0,MIN($AF305,2*$AP$9)-$AP$9),6))))))</f>
        <v/>
      </c>
      <c r="AW305" s="90" t="str">
        <f aca="false">IF($BL305&lt;&gt;Constants!$B$4,"",IF(NOT($AS305),"",Constants!$B$16*$AG305))</f>
        <v/>
      </c>
      <c r="AX305" s="90" t="str">
        <f aca="false">IF($BL305&lt;&gt;Constants!$B$4,"",IF(NOT($AS305),"",Constants!$B$18*INT(ROUND($AH305,6))))</f>
        <v/>
      </c>
      <c r="AY305" s="85" t="str">
        <f aca="false">IF($BL305&lt;&gt;Constants!$B$4,"",IF(NOT($AS305),"",IF(NOT($X305),Constants!$B$11,IF(OR(NOT($AC305),NOT($AD305),ROUND($AB305,1)&gt;Constants!$B$12,ROUND($Z305,1)&gt;Constants!$B$13,ROUND($AA305,1)&gt;Constants!$B$14),Constants!$B$10,Constants!$B$9))))</f>
        <v/>
      </c>
      <c r="AZ305" s="91" t="str">
        <f aca="false">IF($BL305&lt;&gt;Constants!$B$4,"",IF(NOT($AS305),"",ROUND($AU305+$AV305+$AW305+$AX305,1)))</f>
        <v/>
      </c>
      <c r="BA305" s="92" t="str">
        <f aca="false">IF($BL305&lt;&gt;Constants!$B$4,"",IF(NOT($AS305),"",IF(ISNUMBER($AF305),$AF305,0)))</f>
        <v/>
      </c>
      <c r="BB305" s="86" t="str">
        <f aca="false">IF($BL305&lt;&gt;Constants!$B$4,"",IF(NOT($BC305),"&lt;-",IF(NOT($AS305),"-&gt;",IF(OR($BI305&lt;$AY305,AND($BI305=$AY305,OR($BJ305&gt;$AZ305,AND($BJ305=$AZ305,OR($BH305&gt;$AX305,AND($BH305=$AX305,OR($BE305&gt;$AU305,AND($BE305=$AU305,OR($BF305&gt;$AV305,AND($BF305=$AV305,$BK305&gt;$BA305)))))))))),"-&gt;","&lt;-"))))</f>
        <v/>
      </c>
      <c r="BC305" s="85" t="str">
        <f aca="false">IF(ISBLANK($C305),"",COUNTA($P305:$U305)&gt;0)</f>
        <v/>
      </c>
      <c r="BD305" s="85" t="str">
        <f aca="false">IF(ISBLANK($C305),"",AND($BC305,OR(AND($AL305="",OR($AK305,NOT(ISBLANK($S305)))),$AM305="",$AN305="")))</f>
        <v/>
      </c>
      <c r="BE305" s="87" t="str">
        <f aca="false">IF($BL305&lt;&gt;Constants!$B$4,"",IF(NOT($BC305),"",ROUND((Constants!$B$12-$AB305)+(Constants!$B$13-$Z305)+(Constants!$B$14-$AA305),1)))</f>
        <v/>
      </c>
      <c r="BF305" s="90" t="str">
        <f aca="false">IF($BL305&lt;&gt;Constants!$B$4,"",IF(NOT($BC305),"",IF(NOT($AK305),0,Constants!$B$15*(INT(ROUND(MIN($AL305,$AP$9),6))-INT(ROUND(MAX(0,MIN($AL305,2*$AP$9)-$AP$9),6))))))</f>
        <v/>
      </c>
      <c r="BG305" s="90" t="str">
        <f aca="false">IF($BL305&lt;&gt;Constants!$B$4,"",IF(NOT($BC305),"",Constants!$B$16*$AM305))</f>
        <v/>
      </c>
      <c r="BH305" s="90" t="str">
        <f aca="false">IF($BL305&lt;&gt;Constants!$B$4,"",IF(NOT($BC305),"",Constants!$B$18*INT(ROUND($AN305,6))))</f>
        <v/>
      </c>
      <c r="BI305" s="85" t="str">
        <f aca="false">IF($BL305&lt;&gt;Constants!$B$4,"",IF(NOT($BC305),"",IF(NOT($X305),Constants!$B$11,IF(OR(NOT($AI305),NOT($AJ305),ROUND($AB305,1)&gt;Constants!$B$12,ROUND($Z305,1)&gt;Constants!$B$13,ROUND($AA305,1)&gt;Constants!$B$14),Constants!$B$10,Constants!$B$9))))</f>
        <v/>
      </c>
      <c r="BJ305" s="91" t="str">
        <f aca="false">IF($BL305&lt;&gt;Constants!$B$4,"",IF(NOT($BC305),"",ROUND($BE305+$BF305+$BG305+$BH305,1)))</f>
        <v/>
      </c>
      <c r="BK305" s="92" t="str">
        <f aca="false">IF($BL305&lt;&gt;Constants!$B$4,"",IF(NOT($BC305),"",IF(ISNUMBER($AL305),$AL305,0)))</f>
        <v/>
      </c>
      <c r="BL305" s="86" t="str">
        <f aca="false">IF(ISBLANK($C305),"",IF($AO305,Constants!$B$7,IF(COUNTA($E305:$V305)=0,Constants!$B$6,IF(NOT($Y305),Constants!$B$5,IF(NOT(OR($AS305,$BC305)),Constants!$B$5,IF(OR($AT305,$BD305,$AQ305,$AR305&lt;&gt;""),Constants!$B$8,Constants!$B$4))))))</f>
        <v/>
      </c>
      <c r="BM305" s="86" t="str">
        <f aca="false">IF(ISBLANK($C305),"",IF($BL305&lt;&gt;Constants!$B$4,$BL305,IF($BB305="-&gt;",$BI305,$AY305)))</f>
        <v/>
      </c>
      <c r="BN305" s="90" t="str">
        <f aca="false">IF($BL305&lt;&gt;Constants!$B$4,"",IF($BB305="-&gt;",$BJ305,$AZ305))</f>
        <v/>
      </c>
      <c r="BO305" s="90" t="str">
        <f aca="false">IF(ISBLANK($C305),"",IF($BL305&lt;&gt;Constants!$B$4,$BL305,$BN305))</f>
        <v/>
      </c>
      <c r="BP305" s="86" t="str">
        <f aca="false">IF(ISBLANK($C305),"",IF($BL305&lt;&gt;Constants!$B$4,$BL305,RANK($BO305,$BO$9:$BO$508,0)))</f>
        <v/>
      </c>
      <c r="BQ305" s="86" t="str">
        <f aca="false">IF(ISBLANK($C305),"",IF($BL305&lt;&gt;Constants!$B$4,$BL305,COUNTIFS($BM$9:$BM$508,"&lt;"&amp;$BM305)+COUNTIFS($BM$9:$BM$508,$BM305,$BP$9:$BP$508,"&lt;"&amp;$BP305)+1))</f>
        <v/>
      </c>
      <c r="BR305" s="90" t="str">
        <f aca="false">IF($BL305&lt;&gt;Constants!$B$4,"",IF($BB305="-&gt;",$BH305,$AX305))</f>
        <v/>
      </c>
      <c r="BS305" s="86" t="str">
        <f aca="false">IF(ISBLANK($C305),"",IF($BL305&lt;&gt;Constants!$B$4,$BL305,IF(ISNUMBER($BR305),RANK($BR305,$BR$9:$BR$508,0),COUNT($BR$9:$BR$508)+1)))</f>
        <v/>
      </c>
      <c r="BT305" s="90" t="str">
        <f aca="false">IF($BL305&lt;&gt;Constants!$B$4,"",IF($BB305="-&gt;",$BE305,$AU305))</f>
        <v/>
      </c>
      <c r="BU305" s="86" t="str">
        <f aca="false">IF(ISBLANK($C305),"",IF($BL305&lt;&gt;Constants!$B$4,$BL305,IF(ISNUMBER($BT305),RANK($BT305,$BT$9:$BT$508,0),COUNT($BT$9:$BT$508)+1)))</f>
        <v/>
      </c>
      <c r="BV305" s="90" t="str">
        <f aca="false">IF($BL305&lt;&gt;Constants!$B$4,"",IF($BB305="-&gt;",$BF305,$AV305))</f>
        <v/>
      </c>
      <c r="BW305" s="86" t="str">
        <f aca="false">IF(ISBLANK($C305),"",IF($BL305&lt;&gt;Constants!$B$4,$BL305,IF(ISNUMBER($BV305),RANK($BV305,$BV$9:$BV$508,0),COUNT($BV$9:$BV$508)+1)))</f>
        <v/>
      </c>
      <c r="BX305" s="90" t="str">
        <f aca="false">IF($BL305&lt;&gt;Constants!$B$4,"",IF($BB305="-&gt;",$BK305,$BA305))</f>
        <v/>
      </c>
      <c r="BY305" s="86" t="str">
        <f aca="false">IF(ISBLANK($C305),"",IF($BL305&lt;&gt;Constants!$B$4,$BL305,IF(ISNUMBER($BX305),RANK($BX305,$BX$9:$BX$508,0),COUNT($BX$9:$BX$508)+1)))</f>
        <v/>
      </c>
      <c r="BZ305" s="86" t="str">
        <f aca="false">IF(ISBLANK($C305),"",IF($BL305&lt;&gt;Constants!$B$4,$BL305,COUNTIFS($BM$9:$BM$508,"&lt;"&amp;$BM305)+COUNTIFS($BM$9:$BM$508,$BM305,$BP$9:$BP$508,"&lt;"&amp;$BP305)+COUNTIFS($BM$9:$BM$508,$BM305,$BP$9:$BP$508,$BP305,$BS$9:$BS$508,"&lt;"&amp;$BS305)+COUNTIFS($BM$9:$BM$508,$BM305,$BP$9:$BP$508,$BP305,$BS$9:$BS$508,$BS305,$BU$9:$BU$508,"&lt;"&amp;$BU305)+COUNTIFS($BM$9:$BM$508,$BM305,$BP$9:$BP$508,$BP305,$BS$9:$BS$508,$BS305,$BU$9:$BU$508,$BU305,$BW$9:$BW$508,"&lt;"&amp;$BW305)+COUNTIFS($BM$9:$BM$508,$BM305,$BP$9:$BP$508,$BP305,$BS$9:$BS$508,$BS305,$BU$9:$BU$508,$BU305,$BW$9:$BW$508,$BW305,$BY$9:$BY$508,"&lt;"&amp;$BY305)+1))</f>
        <v/>
      </c>
      <c r="CA305" s="86" t="str">
        <f aca="false">IF(ISBLANK($C305),"",IF($BL305&lt;&gt;Constants!$B$4,$BL305,$BQ305-$BZ305))</f>
        <v/>
      </c>
      <c r="CB305" s="93"/>
      <c r="CC305" s="94" t="str">
        <f aca="false">IF(ISBLANK($C305),"",IF($BL305=Constants!$B$8,$AR305,""))</f>
        <v/>
      </c>
      <c r="CD305" s="94" t="str">
        <f aca="false">IF(ISBLANK($C305),"",IF($BL305&lt;&gt;Constants!$B$4,"",IF($BB305="-&gt;",2,1)))</f>
        <v/>
      </c>
      <c r="CE305" s="95" t="str">
        <f aca="false">IF(ISBLANK($C305),"",IF($BL305&lt;&gt;Constants!$B$4,"",IF($BB305="-&gt;",$BE305,$AU305)))</f>
        <v/>
      </c>
      <c r="CF305" s="95" t="str">
        <f aca="false">IF(ISBLANK($C305),"",IF($BL305&lt;&gt;Constants!$B$4,"",IF($BB305="-&gt;",$BF305,$AV305)))</f>
        <v/>
      </c>
      <c r="CG305" s="95" t="str">
        <f aca="false">IF(ISBLANK($C305),"",IF($BL305&lt;&gt;Constants!$B$4,"",IF($BB305="-&gt;",$BG305,$AW305)))</f>
        <v/>
      </c>
      <c r="CH305" s="95" t="str">
        <f aca="false">IF(ISBLANK($C305),"",IF($BL305&lt;&gt;Constants!$B$4,"",IF($BB305="-&gt;",$BH305,$AX305)))</f>
        <v/>
      </c>
      <c r="CI305" s="96" t="str">
        <f aca="false">IF(ISBLANK($C305),"",$BO305)</f>
        <v/>
      </c>
      <c r="CJ305" s="97" t="str">
        <f aca="false">IF(ISBLANK($C305),"",$BM305)</f>
        <v/>
      </c>
      <c r="CK305" s="98" t="str">
        <f aca="false">IF(ISBLANK($C305),"",$CA305)</f>
        <v/>
      </c>
      <c r="CL305" s="98" t="str">
        <f aca="false">IF(ISBLANK($C305),"",$BZ305)</f>
        <v/>
      </c>
      <c r="CM305" s="99" t="str">
        <f aca="false">IF(ISBLANK($C305),"",IF($CL305=Constants!$B$7,COUNTA($C$9:$C$508)+2,IF($CL305=Constants!$B$6,COUNTA($C$9:$C$508)+1,IF($CL305=Constants!$B$5,COUNTA($C$9:$C$508),$CL305))))</f>
        <v/>
      </c>
      <c r="CN305" s="8"/>
      <c r="CO305" s="100" t="n">
        <f aca="false">IF(OR(ISNUMBER($CL305),$CL305=Constants!$B$7,$CL305=Constants!$B$5,$CL305=Constants!$B$6),1,0)</f>
        <v>0</v>
      </c>
      <c r="CP305" s="100" t="n">
        <v>297</v>
      </c>
      <c r="CQ305" s="100" t="str">
        <f aca="false">IF(ISBLANK($C305),"",IF(ISNUMBER($CM305),$CM305+ROW($B305)/1000,""))</f>
        <v/>
      </c>
      <c r="CR305" s="100" t="str">
        <f aca="false">IF(ISNUMBER($CQ305),RANK($CQ305,$CQ$9:$CQ$508,1),"")</f>
        <v/>
      </c>
      <c r="CS305" s="100" t="str">
        <f aca="false">IF(ISBLANK($C305),"",$B305)</f>
        <v/>
      </c>
      <c r="CT305" s="100" t="str">
        <f aca="false">IF(ISBLANK($C305),"",$C305)</f>
        <v/>
      </c>
      <c r="CU305" s="100" t="str">
        <f aca="false">IF(ISBLANK($C305),"",$D305)</f>
        <v/>
      </c>
      <c r="CV305" s="101" t="str">
        <f aca="false">$CJ305</f>
        <v/>
      </c>
      <c r="CW305" s="102" t="str">
        <f aca="false">$CI305</f>
        <v/>
      </c>
      <c r="CX305" s="100" t="str">
        <f aca="false">IF(ISBLANK($C305),"",$CL305)</f>
        <v/>
      </c>
      <c r="CY305" s="103" t="str">
        <f aca="false">IF($CP305&gt;$CO$8,"",VLOOKUP($CP305,$CR$9:$CX$508,7,FALSE()))</f>
        <v/>
      </c>
      <c r="CZ305" s="104" t="str">
        <f aca="false">IF($CP305&gt;$CO$8,"",VLOOKUP($CP305,$CR$9:$CX$508,2,FALSE()))</f>
        <v/>
      </c>
      <c r="DA305" s="104" t="str">
        <f aca="false">IF($CP305&gt;$CO$8,"",VLOOKUP($CP305,$CR$9:$CX$508,3,FALSE()))</f>
        <v/>
      </c>
      <c r="DB305" s="104" t="str">
        <f aca="false">IF($CP305&gt;$CO$8,"",VLOOKUP($CP305,$CR$9:$CX$508,4,FALSE()))</f>
        <v/>
      </c>
      <c r="DC305" s="104" t="str">
        <f aca="false">IF($CP305&gt;$CO$8,"",VLOOKUP($CP305,$CR$9:$CX$508,5,FALSE()))</f>
        <v/>
      </c>
      <c r="DD305" s="105" t="str">
        <f aca="false">IF($CP305&gt;$CO$8,"",VLOOKUP($CP305,$CR$9:$CX$508,6,FALSE()))</f>
        <v/>
      </c>
      <c r="DE305" s="70"/>
    </row>
    <row r="306" customFormat="false" ht="15.75" hidden="false" customHeight="false" outlineLevel="0" collapsed="false">
      <c r="A306" s="8"/>
      <c r="B306" s="146"/>
      <c r="C306" s="147"/>
      <c r="D306" s="148"/>
      <c r="E306" s="164"/>
      <c r="F306" s="150"/>
      <c r="G306" s="115"/>
      <c r="H306" s="115"/>
      <c r="I306" s="115"/>
      <c r="J306" s="165"/>
      <c r="K306" s="154"/>
      <c r="L306" s="154"/>
      <c r="M306" s="118"/>
      <c r="N306" s="154"/>
      <c r="O306" s="153"/>
      <c r="P306" s="154"/>
      <c r="Q306" s="154"/>
      <c r="R306" s="154"/>
      <c r="S306" s="115"/>
      <c r="T306" s="154"/>
      <c r="U306" s="153"/>
      <c r="V306" s="154"/>
      <c r="W306" s="123"/>
      <c r="X306" s="124" t="str">
        <f aca="false">IF(ISBLANK($C306),"",IF($E306=Constants!$B$2,TRUE(),IF($E306=Constants!$B$3,FALSE(),TRUE())))</f>
        <v/>
      </c>
      <c r="Y306" s="124" t="str">
        <f aca="false">IF(ISBLANK($C306),"",IF($F306=Constants!$B$2,TRUE(),IF($F306=Constants!$B$3,FALSE(),TRUE())))</f>
        <v/>
      </c>
      <c r="Z306" s="125" t="str">
        <f aca="false">IF(ISBLANK($C306),"",IF(ISNUMBER($G306),IF($G306&gt;=0,$G306,""),""))</f>
        <v/>
      </c>
      <c r="AA306" s="125" t="str">
        <f aca="false">IF(ISBLANK($C306),"",IF(ISNUMBER($H306),IF($H306&gt;=0,$H306,""),""))</f>
        <v/>
      </c>
      <c r="AB306" s="125" t="str">
        <f aca="false">IF(ISBLANK($C306),"",IF(ISNUMBER($I306),IF($I306&gt;=0,$I306,""),""))</f>
        <v/>
      </c>
      <c r="AC306" s="124" t="str">
        <f aca="false">IF(ISBLANK($C306),"",IF($J306=Constants!$B$2,TRUE(),IF($J306=Constants!$B$3,FALSE(),TRUE())))</f>
        <v/>
      </c>
      <c r="AD306" s="124" t="str">
        <f aca="false">IF(ISBLANK($C306),"",IF($K306=Constants!$B$2,TRUE(),IF($K306=Constants!$B$3,FALSE(),TRUE())))</f>
        <v/>
      </c>
      <c r="AE306" s="124" t="str">
        <f aca="false">IF(ISBLANK($C306),"",IF($L306=Constants!$B$2,TRUE(),IF($L306=Constants!$B$3,FALSE(),TRUE())))</f>
        <v/>
      </c>
      <c r="AF306" s="126" t="str">
        <f aca="false">IF(ISBLANK($C306),"",IF(ISNUMBER($M306),IF($M306&gt;=0,$M306,""),""))</f>
        <v/>
      </c>
      <c r="AG306" s="124" t="str">
        <f aca="false">IF(ISBLANK($C306),"",IF(ISBLANK($N306),0,IF(ISNUMBER($N306),IF(AND($N306&gt;=0,$N306&lt;=Constants!$B$17,$N306=INT($N306)),$N306,""),"")))</f>
        <v/>
      </c>
      <c r="AH306" s="125" t="str">
        <f aca="false">IF(ISBLANK($C306),"",IF(ISBLANK($O306),0,IF(ISNUMBER($O306),IF($O306&gt;=0,$O306,""),"")))</f>
        <v/>
      </c>
      <c r="AI306" s="124" t="str">
        <f aca="false">IF(ISBLANK($C306),"",IF($P306=Constants!$B$2,TRUE(),IF($P306=Constants!$B$3,FALSE(),TRUE())))</f>
        <v/>
      </c>
      <c r="AJ306" s="124" t="str">
        <f aca="false">IF(ISBLANK($C306),"",IF($Q306=Constants!$B$2,TRUE(),IF($Q306=Constants!$B$3,FALSE(),TRUE())))</f>
        <v/>
      </c>
      <c r="AK306" s="124" t="str">
        <f aca="false">IF(ISBLANK($C306),"",IF($R306=Constants!$B$2,TRUE(),IF($R306=Constants!$B$3,FALSE(),TRUE())))</f>
        <v/>
      </c>
      <c r="AL306" s="126" t="str">
        <f aca="false">IF(ISBLANK($C306),"",IF(ISNUMBER($S306),IF($S306&gt;=0,$S306,""),""))</f>
        <v/>
      </c>
      <c r="AM306" s="124" t="str">
        <f aca="false">IF(ISBLANK($C306),"",IF(ISBLANK($T306),0,IF(ISNUMBER($T306),IF(AND($T306&gt;=0,$T306&lt;=Constants!$B$17,$T306=INT($T306)),$T306,""),"")))</f>
        <v/>
      </c>
      <c r="AN306" s="125" t="str">
        <f aca="false">IF(ISBLANK($C306),"",IF(ISBLANK($U306),0,IF(ISNUMBER($U306),IF($U306&gt;=0,$U306,""),"")))</f>
        <v/>
      </c>
      <c r="AO306" s="124" t="str">
        <f aca="false">IF(ISBLANK($C306),"",IF($V306=Constants!$B$2,TRUE(),IF($V306=Constants!$B$3,FALSE(),FALSE())))</f>
        <v/>
      </c>
      <c r="AP306" s="124"/>
      <c r="AQ306" s="123" t="str">
        <f aca="false">IF(ISBLANK($C306),"",AND($Y306,OR($AS306,$BC306),OR($Z306="",$AA306="",$AB306="")))</f>
        <v/>
      </c>
      <c r="AR306" s="123" t="str">
        <f aca="false">IF(ISBLANK($C306),"",IF(OR(NOT($Y306),NOT(OR($AS306,$BC306))),"",IF(ISBLANK($D$7),$AR$5,IF($AP$9="",$AR$6,""))))</f>
        <v/>
      </c>
      <c r="AS306" s="123" t="str">
        <f aca="false">IF(ISBLANK($C306),"",COUNTA($J306:$O306)&gt;0)</f>
        <v/>
      </c>
      <c r="AT306" s="123" t="str">
        <f aca="false">IF(ISBLANK($C306),"",AND($AS306,OR(AND($AF306="",OR($AE306,NOT(ISBLANK($M306)))),$AG306="",$AH306="")))</f>
        <v/>
      </c>
      <c r="AU306" s="125" t="str">
        <f aca="false">IF($BL306&lt;&gt;Constants!$B$4,"",IF(NOT($AS306),"",ROUND((Constants!$B$12-$AB306)+(Constants!$B$13-$Z306)+(Constants!$B$14-$AA306),1)))</f>
        <v/>
      </c>
      <c r="AV306" s="127" t="str">
        <f aca="false">IF($BL306&lt;&gt;Constants!$B$4,"",IF(NOT($AS306),"",IF(NOT($AE306),0,Constants!$B$15*(INT(ROUND(MIN($AF306,$AP$9),6))-INT(ROUND(MAX(0,MIN($AF306,2*$AP$9)-$AP$9),6))))))</f>
        <v/>
      </c>
      <c r="AW306" s="127" t="str">
        <f aca="false">IF($BL306&lt;&gt;Constants!$B$4,"",IF(NOT($AS306),"",Constants!$B$16*$AG306))</f>
        <v/>
      </c>
      <c r="AX306" s="127" t="str">
        <f aca="false">IF($BL306&lt;&gt;Constants!$B$4,"",IF(NOT($AS306),"",Constants!$B$18*INT(ROUND($AH306,6))))</f>
        <v/>
      </c>
      <c r="AY306" s="123" t="str">
        <f aca="false">IF($BL306&lt;&gt;Constants!$B$4,"",IF(NOT($AS306),"",IF(NOT($X306),Constants!$B$11,IF(OR(NOT($AC306),NOT($AD306),ROUND($AB306,1)&gt;Constants!$B$12,ROUND($Z306,1)&gt;Constants!$B$13,ROUND($AA306,1)&gt;Constants!$B$14),Constants!$B$10,Constants!$B$9))))</f>
        <v/>
      </c>
      <c r="AZ306" s="128" t="str">
        <f aca="false">IF($BL306&lt;&gt;Constants!$B$4,"",IF(NOT($AS306),"",ROUND($AU306+$AV306+$AW306+$AX306,1)))</f>
        <v/>
      </c>
      <c r="BA306" s="129" t="str">
        <f aca="false">IF($BL306&lt;&gt;Constants!$B$4,"",IF(NOT($AS306),"",IF(ISNUMBER($AF306),$AF306,0)))</f>
        <v/>
      </c>
      <c r="BB306" s="124" t="str">
        <f aca="false">IF($BL306&lt;&gt;Constants!$B$4,"",IF(NOT($BC306),"&lt;-",IF(NOT($AS306),"-&gt;",IF(OR($BI306&lt;$AY306,AND($BI306=$AY306,OR($BJ306&gt;$AZ306,AND($BJ306=$AZ306,OR($BH306&gt;$AX306,AND($BH306=$AX306,OR($BE306&gt;$AU306,AND($BE306=$AU306,OR($BF306&gt;$AV306,AND($BF306=$AV306,$BK306&gt;$BA306)))))))))),"-&gt;","&lt;-"))))</f>
        <v/>
      </c>
      <c r="BC306" s="123" t="str">
        <f aca="false">IF(ISBLANK($C306),"",COUNTA($P306:$U306)&gt;0)</f>
        <v/>
      </c>
      <c r="BD306" s="123" t="str">
        <f aca="false">IF(ISBLANK($C306),"",AND($BC306,OR(AND($AL306="",OR($AK306,NOT(ISBLANK($S306)))),$AM306="",$AN306="")))</f>
        <v/>
      </c>
      <c r="BE306" s="125" t="str">
        <f aca="false">IF($BL306&lt;&gt;Constants!$B$4,"",IF(NOT($BC306),"",ROUND((Constants!$B$12-$AB306)+(Constants!$B$13-$Z306)+(Constants!$B$14-$AA306),1)))</f>
        <v/>
      </c>
      <c r="BF306" s="127" t="str">
        <f aca="false">IF($BL306&lt;&gt;Constants!$B$4,"",IF(NOT($BC306),"",IF(NOT($AK306),0,Constants!$B$15*(INT(ROUND(MIN($AL306,$AP$9),6))-INT(ROUND(MAX(0,MIN($AL306,2*$AP$9)-$AP$9),6))))))</f>
        <v/>
      </c>
      <c r="BG306" s="127" t="str">
        <f aca="false">IF($BL306&lt;&gt;Constants!$B$4,"",IF(NOT($BC306),"",Constants!$B$16*$AM306))</f>
        <v/>
      </c>
      <c r="BH306" s="127" t="str">
        <f aca="false">IF($BL306&lt;&gt;Constants!$B$4,"",IF(NOT($BC306),"",Constants!$B$18*INT(ROUND($AN306,6))))</f>
        <v/>
      </c>
      <c r="BI306" s="123" t="str">
        <f aca="false">IF($BL306&lt;&gt;Constants!$B$4,"",IF(NOT($BC306),"",IF(NOT($X306),Constants!$B$11,IF(OR(NOT($AI306),NOT($AJ306),ROUND($AB306,1)&gt;Constants!$B$12,ROUND($Z306,1)&gt;Constants!$B$13,ROUND($AA306,1)&gt;Constants!$B$14),Constants!$B$10,Constants!$B$9))))</f>
        <v/>
      </c>
      <c r="BJ306" s="128" t="str">
        <f aca="false">IF($BL306&lt;&gt;Constants!$B$4,"",IF(NOT($BC306),"",ROUND($BE306+$BF306+$BG306+$BH306,1)))</f>
        <v/>
      </c>
      <c r="BK306" s="129" t="str">
        <f aca="false">IF($BL306&lt;&gt;Constants!$B$4,"",IF(NOT($BC306),"",IF(ISNUMBER($AL306),$AL306,0)))</f>
        <v/>
      </c>
      <c r="BL306" s="124" t="str">
        <f aca="false">IF(ISBLANK($C306),"",IF($AO306,Constants!$B$7,IF(COUNTA($E306:$V306)=0,Constants!$B$6,IF(NOT($Y306),Constants!$B$5,IF(NOT(OR($AS306,$BC306)),Constants!$B$5,IF(OR($AT306,$BD306,$AQ306,$AR306&lt;&gt;""),Constants!$B$8,Constants!$B$4))))))</f>
        <v/>
      </c>
      <c r="BM306" s="124" t="str">
        <f aca="false">IF(ISBLANK($C306),"",IF($BL306&lt;&gt;Constants!$B$4,$BL306,IF($BB306="-&gt;",$BI306,$AY306)))</f>
        <v/>
      </c>
      <c r="BN306" s="127" t="str">
        <f aca="false">IF($BL306&lt;&gt;Constants!$B$4,"",IF($BB306="-&gt;",$BJ306,$AZ306))</f>
        <v/>
      </c>
      <c r="BO306" s="127" t="str">
        <f aca="false">IF(ISBLANK($C306),"",IF($BL306&lt;&gt;Constants!$B$4,$BL306,$BN306))</f>
        <v/>
      </c>
      <c r="BP306" s="124" t="str">
        <f aca="false">IF(ISBLANK($C306),"",IF($BL306&lt;&gt;Constants!$B$4,$BL306,RANK($BO306,$BO$9:$BO$508,0)))</f>
        <v/>
      </c>
      <c r="BQ306" s="124" t="str">
        <f aca="false">IF(ISBLANK($C306),"",IF($BL306&lt;&gt;Constants!$B$4,$BL306,COUNTIFS($BM$9:$BM$508,"&lt;"&amp;$BM306)+COUNTIFS($BM$9:$BM$508,$BM306,$BP$9:$BP$508,"&lt;"&amp;$BP306)+1))</f>
        <v/>
      </c>
      <c r="BR306" s="127" t="str">
        <f aca="false">IF($BL306&lt;&gt;Constants!$B$4,"",IF($BB306="-&gt;",$BH306,$AX306))</f>
        <v/>
      </c>
      <c r="BS306" s="124" t="str">
        <f aca="false">IF(ISBLANK($C306),"",IF($BL306&lt;&gt;Constants!$B$4,$BL306,IF(ISNUMBER($BR306),RANK($BR306,$BR$9:$BR$508,0),COUNT($BR$9:$BR$508)+1)))</f>
        <v/>
      </c>
      <c r="BT306" s="127" t="str">
        <f aca="false">IF($BL306&lt;&gt;Constants!$B$4,"",IF($BB306="-&gt;",$BE306,$AU306))</f>
        <v/>
      </c>
      <c r="BU306" s="124" t="str">
        <f aca="false">IF(ISBLANK($C306),"",IF($BL306&lt;&gt;Constants!$B$4,$BL306,IF(ISNUMBER($BT306),RANK($BT306,$BT$9:$BT$508,0),COUNT($BT$9:$BT$508)+1)))</f>
        <v/>
      </c>
      <c r="BV306" s="127" t="str">
        <f aca="false">IF($BL306&lt;&gt;Constants!$B$4,"",IF($BB306="-&gt;",$BF306,$AV306))</f>
        <v/>
      </c>
      <c r="BW306" s="124" t="str">
        <f aca="false">IF(ISBLANK($C306),"",IF($BL306&lt;&gt;Constants!$B$4,$BL306,IF(ISNUMBER($BV306),RANK($BV306,$BV$9:$BV$508,0),COUNT($BV$9:$BV$508)+1)))</f>
        <v/>
      </c>
      <c r="BX306" s="127" t="str">
        <f aca="false">IF($BL306&lt;&gt;Constants!$B$4,"",IF($BB306="-&gt;",$BK306,$BA306))</f>
        <v/>
      </c>
      <c r="BY306" s="124" t="str">
        <f aca="false">IF(ISBLANK($C306),"",IF($BL306&lt;&gt;Constants!$B$4,$BL306,IF(ISNUMBER($BX306),RANK($BX306,$BX$9:$BX$508,0),COUNT($BX$9:$BX$508)+1)))</f>
        <v/>
      </c>
      <c r="BZ306" s="124" t="str">
        <f aca="false">IF(ISBLANK($C306),"",IF($BL306&lt;&gt;Constants!$B$4,$BL306,COUNTIFS($BM$9:$BM$508,"&lt;"&amp;$BM306)+COUNTIFS($BM$9:$BM$508,$BM306,$BP$9:$BP$508,"&lt;"&amp;$BP306)+COUNTIFS($BM$9:$BM$508,$BM306,$BP$9:$BP$508,$BP306,$BS$9:$BS$508,"&lt;"&amp;$BS306)+COUNTIFS($BM$9:$BM$508,$BM306,$BP$9:$BP$508,$BP306,$BS$9:$BS$508,$BS306,$BU$9:$BU$508,"&lt;"&amp;$BU306)+COUNTIFS($BM$9:$BM$508,$BM306,$BP$9:$BP$508,$BP306,$BS$9:$BS$508,$BS306,$BU$9:$BU$508,$BU306,$BW$9:$BW$508,"&lt;"&amp;$BW306)+COUNTIFS($BM$9:$BM$508,$BM306,$BP$9:$BP$508,$BP306,$BS$9:$BS$508,$BS306,$BU$9:$BU$508,$BU306,$BW$9:$BW$508,$BW306,$BY$9:$BY$508,"&lt;"&amp;$BY306)+1))</f>
        <v/>
      </c>
      <c r="CA306" s="124" t="str">
        <f aca="false">IF(ISBLANK($C306),"",IF($BL306&lt;&gt;Constants!$B$4,$BL306,$BQ306-$BZ306))</f>
        <v/>
      </c>
      <c r="CB306" s="130"/>
      <c r="CC306" s="131" t="str">
        <f aca="false">IF(ISBLANK($C306),"",IF($BL306=Constants!$B$8,$AR306,""))</f>
        <v/>
      </c>
      <c r="CD306" s="131" t="str">
        <f aca="false">IF(ISBLANK($C306),"",IF($BL306&lt;&gt;Constants!$B$4,"",IF($BB306="-&gt;",2,1)))</f>
        <v/>
      </c>
      <c r="CE306" s="132" t="str">
        <f aca="false">IF(ISBLANK($C306),"",IF($BL306&lt;&gt;Constants!$B$4,"",IF($BB306="-&gt;",$BE306,$AU306)))</f>
        <v/>
      </c>
      <c r="CF306" s="132" t="str">
        <f aca="false">IF(ISBLANK($C306),"",IF($BL306&lt;&gt;Constants!$B$4,"",IF($BB306="-&gt;",$BF306,$AV306)))</f>
        <v/>
      </c>
      <c r="CG306" s="132" t="str">
        <f aca="false">IF(ISBLANK($C306),"",IF($BL306&lt;&gt;Constants!$B$4,"",IF($BB306="-&gt;",$BG306,$AW306)))</f>
        <v/>
      </c>
      <c r="CH306" s="132" t="str">
        <f aca="false">IF(ISBLANK($C306),"",IF($BL306&lt;&gt;Constants!$B$4,"",IF($BB306="-&gt;",$BH306,$AX306)))</f>
        <v/>
      </c>
      <c r="CI306" s="133" t="str">
        <f aca="false">IF(ISBLANK($C306),"",$BO306)</f>
        <v/>
      </c>
      <c r="CJ306" s="134" t="str">
        <f aca="false">IF(ISBLANK($C306),"",$BM306)</f>
        <v/>
      </c>
      <c r="CK306" s="135" t="str">
        <f aca="false">IF(ISBLANK($C306),"",$CA306)</f>
        <v/>
      </c>
      <c r="CL306" s="135" t="str">
        <f aca="false">IF(ISBLANK($C306),"",$BZ306)</f>
        <v/>
      </c>
      <c r="CM306" s="136" t="str">
        <f aca="false">IF(ISBLANK($C306),"",IF($CL306=Constants!$B$7,COUNTA($C$9:$C$508)+2,IF($CL306=Constants!$B$6,COUNTA($C$9:$C$508)+1,IF($CL306=Constants!$B$5,COUNTA($C$9:$C$508),$CL306))))</f>
        <v/>
      </c>
      <c r="CN306" s="8"/>
      <c r="CO306" s="137" t="n">
        <f aca="false">IF(OR(ISNUMBER($CL306),$CL306=Constants!$B$7,$CL306=Constants!$B$5,$CL306=Constants!$B$6),1,0)</f>
        <v>0</v>
      </c>
      <c r="CP306" s="137" t="n">
        <v>298</v>
      </c>
      <c r="CQ306" s="137" t="str">
        <f aca="false">IF(ISBLANK($C306),"",IF(ISNUMBER($CM306),$CM306+ROW($B306)/1000,""))</f>
        <v/>
      </c>
      <c r="CR306" s="137" t="str">
        <f aca="false">IF(ISNUMBER($CQ306),RANK($CQ306,$CQ$9:$CQ$508,1),"")</f>
        <v/>
      </c>
      <c r="CS306" s="137" t="str">
        <f aca="false">IF(ISBLANK($C306),"",$B306)</f>
        <v/>
      </c>
      <c r="CT306" s="137" t="str">
        <f aca="false">IF(ISBLANK($C306),"",$C306)</f>
        <v/>
      </c>
      <c r="CU306" s="137" t="str">
        <f aca="false">IF(ISBLANK($C306),"",$D306)</f>
        <v/>
      </c>
      <c r="CV306" s="138" t="str">
        <f aca="false">$CJ306</f>
        <v/>
      </c>
      <c r="CW306" s="139" t="str">
        <f aca="false">$CI306</f>
        <v/>
      </c>
      <c r="CX306" s="137" t="str">
        <f aca="false">IF(ISBLANK($C306),"",$CL306)</f>
        <v/>
      </c>
      <c r="CY306" s="140" t="str">
        <f aca="false">IF($CP306&gt;$CO$8,"",VLOOKUP($CP306,$CR$9:$CX$508,7,FALSE()))</f>
        <v/>
      </c>
      <c r="CZ306" s="141" t="str">
        <f aca="false">IF($CP306&gt;$CO$8,"",VLOOKUP($CP306,$CR$9:$CX$508,2,FALSE()))</f>
        <v/>
      </c>
      <c r="DA306" s="141" t="str">
        <f aca="false">IF($CP306&gt;$CO$8,"",VLOOKUP($CP306,$CR$9:$CX$508,3,FALSE()))</f>
        <v/>
      </c>
      <c r="DB306" s="141" t="str">
        <f aca="false">IF($CP306&gt;$CO$8,"",VLOOKUP($CP306,$CR$9:$CX$508,4,FALSE()))</f>
        <v/>
      </c>
      <c r="DC306" s="141" t="str">
        <f aca="false">IF($CP306&gt;$CO$8,"",VLOOKUP($CP306,$CR$9:$CX$508,5,FALSE()))</f>
        <v/>
      </c>
      <c r="DD306" s="142" t="str">
        <f aca="false">IF($CP306&gt;$CO$8,"",VLOOKUP($CP306,$CR$9:$CX$508,6,FALSE()))</f>
        <v/>
      </c>
      <c r="DE306" s="70"/>
    </row>
    <row r="307" customFormat="false" ht="15.75" hidden="false" customHeight="false" outlineLevel="0" collapsed="false">
      <c r="A307" s="8"/>
      <c r="B307" s="146"/>
      <c r="C307" s="147"/>
      <c r="D307" s="148"/>
      <c r="E307" s="164"/>
      <c r="F307" s="150"/>
      <c r="G307" s="115"/>
      <c r="H307" s="115"/>
      <c r="I307" s="115"/>
      <c r="J307" s="165"/>
      <c r="K307" s="154"/>
      <c r="L307" s="154"/>
      <c r="M307" s="118"/>
      <c r="N307" s="154"/>
      <c r="O307" s="153"/>
      <c r="P307" s="154"/>
      <c r="Q307" s="154"/>
      <c r="R307" s="154"/>
      <c r="S307" s="115"/>
      <c r="T307" s="154"/>
      <c r="U307" s="153"/>
      <c r="V307" s="154"/>
      <c r="W307" s="123"/>
      <c r="X307" s="124" t="str">
        <f aca="false">IF(ISBLANK($C307),"",IF($E307=Constants!$B$2,TRUE(),IF($E307=Constants!$B$3,FALSE(),TRUE())))</f>
        <v/>
      </c>
      <c r="Y307" s="124" t="str">
        <f aca="false">IF(ISBLANK($C307),"",IF($F307=Constants!$B$2,TRUE(),IF($F307=Constants!$B$3,FALSE(),TRUE())))</f>
        <v/>
      </c>
      <c r="Z307" s="125" t="str">
        <f aca="false">IF(ISBLANK($C307),"",IF(ISNUMBER($G307),IF($G307&gt;=0,$G307,""),""))</f>
        <v/>
      </c>
      <c r="AA307" s="125" t="str">
        <f aca="false">IF(ISBLANK($C307),"",IF(ISNUMBER($H307),IF($H307&gt;=0,$H307,""),""))</f>
        <v/>
      </c>
      <c r="AB307" s="125" t="str">
        <f aca="false">IF(ISBLANK($C307),"",IF(ISNUMBER($I307),IF($I307&gt;=0,$I307,""),""))</f>
        <v/>
      </c>
      <c r="AC307" s="124" t="str">
        <f aca="false">IF(ISBLANK($C307),"",IF($J307=Constants!$B$2,TRUE(),IF($J307=Constants!$B$3,FALSE(),TRUE())))</f>
        <v/>
      </c>
      <c r="AD307" s="124" t="str">
        <f aca="false">IF(ISBLANK($C307),"",IF($K307=Constants!$B$2,TRUE(),IF($K307=Constants!$B$3,FALSE(),TRUE())))</f>
        <v/>
      </c>
      <c r="AE307" s="124" t="str">
        <f aca="false">IF(ISBLANK($C307),"",IF($L307=Constants!$B$2,TRUE(),IF($L307=Constants!$B$3,FALSE(),TRUE())))</f>
        <v/>
      </c>
      <c r="AF307" s="126" t="str">
        <f aca="false">IF(ISBLANK($C307),"",IF(ISNUMBER($M307),IF($M307&gt;=0,$M307,""),""))</f>
        <v/>
      </c>
      <c r="AG307" s="124" t="str">
        <f aca="false">IF(ISBLANK($C307),"",IF(ISBLANK($N307),0,IF(ISNUMBER($N307),IF(AND($N307&gt;=0,$N307&lt;=Constants!$B$17,$N307=INT($N307)),$N307,""),"")))</f>
        <v/>
      </c>
      <c r="AH307" s="125" t="str">
        <f aca="false">IF(ISBLANK($C307),"",IF(ISBLANK($O307),0,IF(ISNUMBER($O307),IF($O307&gt;=0,$O307,""),"")))</f>
        <v/>
      </c>
      <c r="AI307" s="124" t="str">
        <f aca="false">IF(ISBLANK($C307),"",IF($P307=Constants!$B$2,TRUE(),IF($P307=Constants!$B$3,FALSE(),TRUE())))</f>
        <v/>
      </c>
      <c r="AJ307" s="124" t="str">
        <f aca="false">IF(ISBLANK($C307),"",IF($Q307=Constants!$B$2,TRUE(),IF($Q307=Constants!$B$3,FALSE(),TRUE())))</f>
        <v/>
      </c>
      <c r="AK307" s="124" t="str">
        <f aca="false">IF(ISBLANK($C307),"",IF($R307=Constants!$B$2,TRUE(),IF($R307=Constants!$B$3,FALSE(),TRUE())))</f>
        <v/>
      </c>
      <c r="AL307" s="126" t="str">
        <f aca="false">IF(ISBLANK($C307),"",IF(ISNUMBER($S307),IF($S307&gt;=0,$S307,""),""))</f>
        <v/>
      </c>
      <c r="AM307" s="124" t="str">
        <f aca="false">IF(ISBLANK($C307),"",IF(ISBLANK($T307),0,IF(ISNUMBER($T307),IF(AND($T307&gt;=0,$T307&lt;=Constants!$B$17,$T307=INT($T307)),$T307,""),"")))</f>
        <v/>
      </c>
      <c r="AN307" s="125" t="str">
        <f aca="false">IF(ISBLANK($C307),"",IF(ISBLANK($U307),0,IF(ISNUMBER($U307),IF($U307&gt;=0,$U307,""),"")))</f>
        <v/>
      </c>
      <c r="AO307" s="124" t="str">
        <f aca="false">IF(ISBLANK($C307),"",IF($V307=Constants!$B$2,TRUE(),IF($V307=Constants!$B$3,FALSE(),FALSE())))</f>
        <v/>
      </c>
      <c r="AP307" s="124"/>
      <c r="AQ307" s="123" t="str">
        <f aca="false">IF(ISBLANK($C307),"",AND($Y307,OR($AS307,$BC307),OR($Z307="",$AA307="",$AB307="")))</f>
        <v/>
      </c>
      <c r="AR307" s="123" t="str">
        <f aca="false">IF(ISBLANK($C307),"",IF(OR(NOT($Y307),NOT(OR($AS307,$BC307))),"",IF(ISBLANK($D$7),$AR$5,IF($AP$9="",$AR$6,""))))</f>
        <v/>
      </c>
      <c r="AS307" s="123" t="str">
        <f aca="false">IF(ISBLANK($C307),"",COUNTA($J307:$O307)&gt;0)</f>
        <v/>
      </c>
      <c r="AT307" s="123" t="str">
        <f aca="false">IF(ISBLANK($C307),"",AND($AS307,OR(AND($AF307="",OR($AE307,NOT(ISBLANK($M307)))),$AG307="",$AH307="")))</f>
        <v/>
      </c>
      <c r="AU307" s="125" t="str">
        <f aca="false">IF($BL307&lt;&gt;Constants!$B$4,"",IF(NOT($AS307),"",ROUND((Constants!$B$12-$AB307)+(Constants!$B$13-$Z307)+(Constants!$B$14-$AA307),1)))</f>
        <v/>
      </c>
      <c r="AV307" s="127" t="str">
        <f aca="false">IF($BL307&lt;&gt;Constants!$B$4,"",IF(NOT($AS307),"",IF(NOT($AE307),0,Constants!$B$15*(INT(ROUND(MIN($AF307,$AP$9),6))-INT(ROUND(MAX(0,MIN($AF307,2*$AP$9)-$AP$9),6))))))</f>
        <v/>
      </c>
      <c r="AW307" s="127" t="str">
        <f aca="false">IF($BL307&lt;&gt;Constants!$B$4,"",IF(NOT($AS307),"",Constants!$B$16*$AG307))</f>
        <v/>
      </c>
      <c r="AX307" s="127" t="str">
        <f aca="false">IF($BL307&lt;&gt;Constants!$B$4,"",IF(NOT($AS307),"",Constants!$B$18*INT(ROUND($AH307,6))))</f>
        <v/>
      </c>
      <c r="AY307" s="123" t="str">
        <f aca="false">IF($BL307&lt;&gt;Constants!$B$4,"",IF(NOT($AS307),"",IF(NOT($X307),Constants!$B$11,IF(OR(NOT($AC307),NOT($AD307),ROUND($AB307,1)&gt;Constants!$B$12,ROUND($Z307,1)&gt;Constants!$B$13,ROUND($AA307,1)&gt;Constants!$B$14),Constants!$B$10,Constants!$B$9))))</f>
        <v/>
      </c>
      <c r="AZ307" s="128" t="str">
        <f aca="false">IF($BL307&lt;&gt;Constants!$B$4,"",IF(NOT($AS307),"",ROUND($AU307+$AV307+$AW307+$AX307,1)))</f>
        <v/>
      </c>
      <c r="BA307" s="129" t="str">
        <f aca="false">IF($BL307&lt;&gt;Constants!$B$4,"",IF(NOT($AS307),"",IF(ISNUMBER($AF307),$AF307,0)))</f>
        <v/>
      </c>
      <c r="BB307" s="124" t="str">
        <f aca="false">IF($BL307&lt;&gt;Constants!$B$4,"",IF(NOT($BC307),"&lt;-",IF(NOT($AS307),"-&gt;",IF(OR($BI307&lt;$AY307,AND($BI307=$AY307,OR($BJ307&gt;$AZ307,AND($BJ307=$AZ307,OR($BH307&gt;$AX307,AND($BH307=$AX307,OR($BE307&gt;$AU307,AND($BE307=$AU307,OR($BF307&gt;$AV307,AND($BF307=$AV307,$BK307&gt;$BA307)))))))))),"-&gt;","&lt;-"))))</f>
        <v/>
      </c>
      <c r="BC307" s="123" t="str">
        <f aca="false">IF(ISBLANK($C307),"",COUNTA($P307:$U307)&gt;0)</f>
        <v/>
      </c>
      <c r="BD307" s="123" t="str">
        <f aca="false">IF(ISBLANK($C307),"",AND($BC307,OR(AND($AL307="",OR($AK307,NOT(ISBLANK($S307)))),$AM307="",$AN307="")))</f>
        <v/>
      </c>
      <c r="BE307" s="125" t="str">
        <f aca="false">IF($BL307&lt;&gt;Constants!$B$4,"",IF(NOT($BC307),"",ROUND((Constants!$B$12-$AB307)+(Constants!$B$13-$Z307)+(Constants!$B$14-$AA307),1)))</f>
        <v/>
      </c>
      <c r="BF307" s="127" t="str">
        <f aca="false">IF($BL307&lt;&gt;Constants!$B$4,"",IF(NOT($BC307),"",IF(NOT($AK307),0,Constants!$B$15*(INT(ROUND(MIN($AL307,$AP$9),6))-INT(ROUND(MAX(0,MIN($AL307,2*$AP$9)-$AP$9),6))))))</f>
        <v/>
      </c>
      <c r="BG307" s="127" t="str">
        <f aca="false">IF($BL307&lt;&gt;Constants!$B$4,"",IF(NOT($BC307),"",Constants!$B$16*$AM307))</f>
        <v/>
      </c>
      <c r="BH307" s="127" t="str">
        <f aca="false">IF($BL307&lt;&gt;Constants!$B$4,"",IF(NOT($BC307),"",Constants!$B$18*INT(ROUND($AN307,6))))</f>
        <v/>
      </c>
      <c r="BI307" s="123" t="str">
        <f aca="false">IF($BL307&lt;&gt;Constants!$B$4,"",IF(NOT($BC307),"",IF(NOT($X307),Constants!$B$11,IF(OR(NOT($AI307),NOT($AJ307),ROUND($AB307,1)&gt;Constants!$B$12,ROUND($Z307,1)&gt;Constants!$B$13,ROUND($AA307,1)&gt;Constants!$B$14),Constants!$B$10,Constants!$B$9))))</f>
        <v/>
      </c>
      <c r="BJ307" s="128" t="str">
        <f aca="false">IF($BL307&lt;&gt;Constants!$B$4,"",IF(NOT($BC307),"",ROUND($BE307+$BF307+$BG307+$BH307,1)))</f>
        <v/>
      </c>
      <c r="BK307" s="129" t="str">
        <f aca="false">IF($BL307&lt;&gt;Constants!$B$4,"",IF(NOT($BC307),"",IF(ISNUMBER($AL307),$AL307,0)))</f>
        <v/>
      </c>
      <c r="BL307" s="124" t="str">
        <f aca="false">IF(ISBLANK($C307),"",IF($AO307,Constants!$B$7,IF(COUNTA($E307:$V307)=0,Constants!$B$6,IF(NOT($Y307),Constants!$B$5,IF(NOT(OR($AS307,$BC307)),Constants!$B$5,IF(OR($AT307,$BD307,$AQ307,$AR307&lt;&gt;""),Constants!$B$8,Constants!$B$4))))))</f>
        <v/>
      </c>
      <c r="BM307" s="124" t="str">
        <f aca="false">IF(ISBLANK($C307),"",IF($BL307&lt;&gt;Constants!$B$4,$BL307,IF($BB307="-&gt;",$BI307,$AY307)))</f>
        <v/>
      </c>
      <c r="BN307" s="127" t="str">
        <f aca="false">IF($BL307&lt;&gt;Constants!$B$4,"",IF($BB307="-&gt;",$BJ307,$AZ307))</f>
        <v/>
      </c>
      <c r="BO307" s="127" t="str">
        <f aca="false">IF(ISBLANK($C307),"",IF($BL307&lt;&gt;Constants!$B$4,$BL307,$BN307))</f>
        <v/>
      </c>
      <c r="BP307" s="124" t="str">
        <f aca="false">IF(ISBLANK($C307),"",IF($BL307&lt;&gt;Constants!$B$4,$BL307,RANK($BO307,$BO$9:$BO$508,0)))</f>
        <v/>
      </c>
      <c r="BQ307" s="124" t="str">
        <f aca="false">IF(ISBLANK($C307),"",IF($BL307&lt;&gt;Constants!$B$4,$BL307,COUNTIFS($BM$9:$BM$508,"&lt;"&amp;$BM307)+COUNTIFS($BM$9:$BM$508,$BM307,$BP$9:$BP$508,"&lt;"&amp;$BP307)+1))</f>
        <v/>
      </c>
      <c r="BR307" s="127" t="str">
        <f aca="false">IF($BL307&lt;&gt;Constants!$B$4,"",IF($BB307="-&gt;",$BH307,$AX307))</f>
        <v/>
      </c>
      <c r="BS307" s="124" t="str">
        <f aca="false">IF(ISBLANK($C307),"",IF($BL307&lt;&gt;Constants!$B$4,$BL307,IF(ISNUMBER($BR307),RANK($BR307,$BR$9:$BR$508,0),COUNT($BR$9:$BR$508)+1)))</f>
        <v/>
      </c>
      <c r="BT307" s="127" t="str">
        <f aca="false">IF($BL307&lt;&gt;Constants!$B$4,"",IF($BB307="-&gt;",$BE307,$AU307))</f>
        <v/>
      </c>
      <c r="BU307" s="124" t="str">
        <f aca="false">IF(ISBLANK($C307),"",IF($BL307&lt;&gt;Constants!$B$4,$BL307,IF(ISNUMBER($BT307),RANK($BT307,$BT$9:$BT$508,0),COUNT($BT$9:$BT$508)+1)))</f>
        <v/>
      </c>
      <c r="BV307" s="127" t="str">
        <f aca="false">IF($BL307&lt;&gt;Constants!$B$4,"",IF($BB307="-&gt;",$BF307,$AV307))</f>
        <v/>
      </c>
      <c r="BW307" s="124" t="str">
        <f aca="false">IF(ISBLANK($C307),"",IF($BL307&lt;&gt;Constants!$B$4,$BL307,IF(ISNUMBER($BV307),RANK($BV307,$BV$9:$BV$508,0),COUNT($BV$9:$BV$508)+1)))</f>
        <v/>
      </c>
      <c r="BX307" s="127" t="str">
        <f aca="false">IF($BL307&lt;&gt;Constants!$B$4,"",IF($BB307="-&gt;",$BK307,$BA307))</f>
        <v/>
      </c>
      <c r="BY307" s="124" t="str">
        <f aca="false">IF(ISBLANK($C307),"",IF($BL307&lt;&gt;Constants!$B$4,$BL307,IF(ISNUMBER($BX307),RANK($BX307,$BX$9:$BX$508,0),COUNT($BX$9:$BX$508)+1)))</f>
        <v/>
      </c>
      <c r="BZ307" s="124" t="str">
        <f aca="false">IF(ISBLANK($C307),"",IF($BL307&lt;&gt;Constants!$B$4,$BL307,COUNTIFS($BM$9:$BM$508,"&lt;"&amp;$BM307)+COUNTIFS($BM$9:$BM$508,$BM307,$BP$9:$BP$508,"&lt;"&amp;$BP307)+COUNTIFS($BM$9:$BM$508,$BM307,$BP$9:$BP$508,$BP307,$BS$9:$BS$508,"&lt;"&amp;$BS307)+COUNTIFS($BM$9:$BM$508,$BM307,$BP$9:$BP$508,$BP307,$BS$9:$BS$508,$BS307,$BU$9:$BU$508,"&lt;"&amp;$BU307)+COUNTIFS($BM$9:$BM$508,$BM307,$BP$9:$BP$508,$BP307,$BS$9:$BS$508,$BS307,$BU$9:$BU$508,$BU307,$BW$9:$BW$508,"&lt;"&amp;$BW307)+COUNTIFS($BM$9:$BM$508,$BM307,$BP$9:$BP$508,$BP307,$BS$9:$BS$508,$BS307,$BU$9:$BU$508,$BU307,$BW$9:$BW$508,$BW307,$BY$9:$BY$508,"&lt;"&amp;$BY307)+1))</f>
        <v/>
      </c>
      <c r="CA307" s="124" t="str">
        <f aca="false">IF(ISBLANK($C307),"",IF($BL307&lt;&gt;Constants!$B$4,$BL307,$BQ307-$BZ307))</f>
        <v/>
      </c>
      <c r="CB307" s="130"/>
      <c r="CC307" s="131" t="str">
        <f aca="false">IF(ISBLANK($C307),"",IF($BL307=Constants!$B$8,$AR307,""))</f>
        <v/>
      </c>
      <c r="CD307" s="131" t="str">
        <f aca="false">IF(ISBLANK($C307),"",IF($BL307&lt;&gt;Constants!$B$4,"",IF($BB307="-&gt;",2,1)))</f>
        <v/>
      </c>
      <c r="CE307" s="132" t="str">
        <f aca="false">IF(ISBLANK($C307),"",IF($BL307&lt;&gt;Constants!$B$4,"",IF($BB307="-&gt;",$BE307,$AU307)))</f>
        <v/>
      </c>
      <c r="CF307" s="132" t="str">
        <f aca="false">IF(ISBLANK($C307),"",IF($BL307&lt;&gt;Constants!$B$4,"",IF($BB307="-&gt;",$BF307,$AV307)))</f>
        <v/>
      </c>
      <c r="CG307" s="132" t="str">
        <f aca="false">IF(ISBLANK($C307),"",IF($BL307&lt;&gt;Constants!$B$4,"",IF($BB307="-&gt;",$BG307,$AW307)))</f>
        <v/>
      </c>
      <c r="CH307" s="132" t="str">
        <f aca="false">IF(ISBLANK($C307),"",IF($BL307&lt;&gt;Constants!$B$4,"",IF($BB307="-&gt;",$BH307,$AX307)))</f>
        <v/>
      </c>
      <c r="CI307" s="133" t="str">
        <f aca="false">IF(ISBLANK($C307),"",$BO307)</f>
        <v/>
      </c>
      <c r="CJ307" s="134" t="str">
        <f aca="false">IF(ISBLANK($C307),"",$BM307)</f>
        <v/>
      </c>
      <c r="CK307" s="135" t="str">
        <f aca="false">IF(ISBLANK($C307),"",$CA307)</f>
        <v/>
      </c>
      <c r="CL307" s="135" t="str">
        <f aca="false">IF(ISBLANK($C307),"",$BZ307)</f>
        <v/>
      </c>
      <c r="CM307" s="136" t="str">
        <f aca="false">IF(ISBLANK($C307),"",IF($CL307=Constants!$B$7,COUNTA($C$9:$C$508)+2,IF($CL307=Constants!$B$6,COUNTA($C$9:$C$508)+1,IF($CL307=Constants!$B$5,COUNTA($C$9:$C$508),$CL307))))</f>
        <v/>
      </c>
      <c r="CN307" s="8"/>
      <c r="CO307" s="137" t="n">
        <f aca="false">IF(OR(ISNUMBER($CL307),$CL307=Constants!$B$7,$CL307=Constants!$B$5,$CL307=Constants!$B$6),1,0)</f>
        <v>0</v>
      </c>
      <c r="CP307" s="137" t="n">
        <v>299</v>
      </c>
      <c r="CQ307" s="137" t="str">
        <f aca="false">IF(ISBLANK($C307),"",IF(ISNUMBER($CM307),$CM307+ROW($B307)/1000,""))</f>
        <v/>
      </c>
      <c r="CR307" s="137" t="str">
        <f aca="false">IF(ISNUMBER($CQ307),RANK($CQ307,$CQ$9:$CQ$508,1),"")</f>
        <v/>
      </c>
      <c r="CS307" s="137" t="str">
        <f aca="false">IF(ISBLANK($C307),"",$B307)</f>
        <v/>
      </c>
      <c r="CT307" s="137" t="str">
        <f aca="false">IF(ISBLANK($C307),"",$C307)</f>
        <v/>
      </c>
      <c r="CU307" s="137" t="str">
        <f aca="false">IF(ISBLANK($C307),"",$D307)</f>
        <v/>
      </c>
      <c r="CV307" s="138" t="str">
        <f aca="false">$CJ307</f>
        <v/>
      </c>
      <c r="CW307" s="139" t="str">
        <f aca="false">$CI307</f>
        <v/>
      </c>
      <c r="CX307" s="137" t="str">
        <f aca="false">IF(ISBLANK($C307),"",$CL307)</f>
        <v/>
      </c>
      <c r="CY307" s="140" t="str">
        <f aca="false">IF($CP307&gt;$CO$8,"",VLOOKUP($CP307,$CR$9:$CX$508,7,FALSE()))</f>
        <v/>
      </c>
      <c r="CZ307" s="141" t="str">
        <f aca="false">IF($CP307&gt;$CO$8,"",VLOOKUP($CP307,$CR$9:$CX$508,2,FALSE()))</f>
        <v/>
      </c>
      <c r="DA307" s="141" t="str">
        <f aca="false">IF($CP307&gt;$CO$8,"",VLOOKUP($CP307,$CR$9:$CX$508,3,FALSE()))</f>
        <v/>
      </c>
      <c r="DB307" s="141" t="str">
        <f aca="false">IF($CP307&gt;$CO$8,"",VLOOKUP($CP307,$CR$9:$CX$508,4,FALSE()))</f>
        <v/>
      </c>
      <c r="DC307" s="141" t="str">
        <f aca="false">IF($CP307&gt;$CO$8,"",VLOOKUP($CP307,$CR$9:$CX$508,5,FALSE()))</f>
        <v/>
      </c>
      <c r="DD307" s="142" t="str">
        <f aca="false">IF($CP307&gt;$CO$8,"",VLOOKUP($CP307,$CR$9:$CX$508,6,FALSE()))</f>
        <v/>
      </c>
      <c r="DE307" s="70"/>
    </row>
    <row r="308" customFormat="false" ht="15.75" hidden="false" customHeight="false" outlineLevel="0" collapsed="false">
      <c r="A308" s="8"/>
      <c r="B308" s="146"/>
      <c r="C308" s="147"/>
      <c r="D308" s="148"/>
      <c r="E308" s="164"/>
      <c r="F308" s="150"/>
      <c r="G308" s="115"/>
      <c r="H308" s="115"/>
      <c r="I308" s="115"/>
      <c r="J308" s="165"/>
      <c r="K308" s="154"/>
      <c r="L308" s="154"/>
      <c r="M308" s="118"/>
      <c r="N308" s="154"/>
      <c r="O308" s="153"/>
      <c r="P308" s="154"/>
      <c r="Q308" s="154"/>
      <c r="R308" s="154"/>
      <c r="S308" s="115"/>
      <c r="T308" s="154"/>
      <c r="U308" s="153"/>
      <c r="V308" s="154"/>
      <c r="W308" s="123"/>
      <c r="X308" s="124" t="str">
        <f aca="false">IF(ISBLANK($C308),"",IF($E308=Constants!$B$2,TRUE(),IF($E308=Constants!$B$3,FALSE(),TRUE())))</f>
        <v/>
      </c>
      <c r="Y308" s="124" t="str">
        <f aca="false">IF(ISBLANK($C308),"",IF($F308=Constants!$B$2,TRUE(),IF($F308=Constants!$B$3,FALSE(),TRUE())))</f>
        <v/>
      </c>
      <c r="Z308" s="125" t="str">
        <f aca="false">IF(ISBLANK($C308),"",IF(ISNUMBER($G308),IF($G308&gt;=0,$G308,""),""))</f>
        <v/>
      </c>
      <c r="AA308" s="125" t="str">
        <f aca="false">IF(ISBLANK($C308),"",IF(ISNUMBER($H308),IF($H308&gt;=0,$H308,""),""))</f>
        <v/>
      </c>
      <c r="AB308" s="125" t="str">
        <f aca="false">IF(ISBLANK($C308),"",IF(ISNUMBER($I308),IF($I308&gt;=0,$I308,""),""))</f>
        <v/>
      </c>
      <c r="AC308" s="124" t="str">
        <f aca="false">IF(ISBLANK($C308),"",IF($J308=Constants!$B$2,TRUE(),IF($J308=Constants!$B$3,FALSE(),TRUE())))</f>
        <v/>
      </c>
      <c r="AD308" s="124" t="str">
        <f aca="false">IF(ISBLANK($C308),"",IF($K308=Constants!$B$2,TRUE(),IF($K308=Constants!$B$3,FALSE(),TRUE())))</f>
        <v/>
      </c>
      <c r="AE308" s="124" t="str">
        <f aca="false">IF(ISBLANK($C308),"",IF($L308=Constants!$B$2,TRUE(),IF($L308=Constants!$B$3,FALSE(),TRUE())))</f>
        <v/>
      </c>
      <c r="AF308" s="126" t="str">
        <f aca="false">IF(ISBLANK($C308),"",IF(ISNUMBER($M308),IF($M308&gt;=0,$M308,""),""))</f>
        <v/>
      </c>
      <c r="AG308" s="124" t="str">
        <f aca="false">IF(ISBLANK($C308),"",IF(ISBLANK($N308),0,IF(ISNUMBER($N308),IF(AND($N308&gt;=0,$N308&lt;=Constants!$B$17,$N308=INT($N308)),$N308,""),"")))</f>
        <v/>
      </c>
      <c r="AH308" s="125" t="str">
        <f aca="false">IF(ISBLANK($C308),"",IF(ISBLANK($O308),0,IF(ISNUMBER($O308),IF($O308&gt;=0,$O308,""),"")))</f>
        <v/>
      </c>
      <c r="AI308" s="124" t="str">
        <f aca="false">IF(ISBLANK($C308),"",IF($P308=Constants!$B$2,TRUE(),IF($P308=Constants!$B$3,FALSE(),TRUE())))</f>
        <v/>
      </c>
      <c r="AJ308" s="124" t="str">
        <f aca="false">IF(ISBLANK($C308),"",IF($Q308=Constants!$B$2,TRUE(),IF($Q308=Constants!$B$3,FALSE(),TRUE())))</f>
        <v/>
      </c>
      <c r="AK308" s="124" t="str">
        <f aca="false">IF(ISBLANK($C308),"",IF($R308=Constants!$B$2,TRUE(),IF($R308=Constants!$B$3,FALSE(),TRUE())))</f>
        <v/>
      </c>
      <c r="AL308" s="126" t="str">
        <f aca="false">IF(ISBLANK($C308),"",IF(ISNUMBER($S308),IF($S308&gt;=0,$S308,""),""))</f>
        <v/>
      </c>
      <c r="AM308" s="124" t="str">
        <f aca="false">IF(ISBLANK($C308),"",IF(ISBLANK($T308),0,IF(ISNUMBER($T308),IF(AND($T308&gt;=0,$T308&lt;=Constants!$B$17,$T308=INT($T308)),$T308,""),"")))</f>
        <v/>
      </c>
      <c r="AN308" s="125" t="str">
        <f aca="false">IF(ISBLANK($C308),"",IF(ISBLANK($U308),0,IF(ISNUMBER($U308),IF($U308&gt;=0,$U308,""),"")))</f>
        <v/>
      </c>
      <c r="AO308" s="124" t="str">
        <f aca="false">IF(ISBLANK($C308),"",IF($V308=Constants!$B$2,TRUE(),IF($V308=Constants!$B$3,FALSE(),FALSE())))</f>
        <v/>
      </c>
      <c r="AP308" s="124"/>
      <c r="AQ308" s="123" t="str">
        <f aca="false">IF(ISBLANK($C308),"",AND($Y308,OR($AS308,$BC308),OR($Z308="",$AA308="",$AB308="")))</f>
        <v/>
      </c>
      <c r="AR308" s="123" t="str">
        <f aca="false">IF(ISBLANK($C308),"",IF(OR(NOT($Y308),NOT(OR($AS308,$BC308))),"",IF(ISBLANK($D$7),$AR$5,IF($AP$9="",$AR$6,""))))</f>
        <v/>
      </c>
      <c r="AS308" s="123" t="str">
        <f aca="false">IF(ISBLANK($C308),"",COUNTA($J308:$O308)&gt;0)</f>
        <v/>
      </c>
      <c r="AT308" s="123" t="str">
        <f aca="false">IF(ISBLANK($C308),"",AND($AS308,OR(AND($AF308="",OR($AE308,NOT(ISBLANK($M308)))),$AG308="",$AH308="")))</f>
        <v/>
      </c>
      <c r="AU308" s="125" t="str">
        <f aca="false">IF($BL308&lt;&gt;Constants!$B$4,"",IF(NOT($AS308),"",ROUND((Constants!$B$12-$AB308)+(Constants!$B$13-$Z308)+(Constants!$B$14-$AA308),1)))</f>
        <v/>
      </c>
      <c r="AV308" s="127" t="str">
        <f aca="false">IF($BL308&lt;&gt;Constants!$B$4,"",IF(NOT($AS308),"",IF(NOT($AE308),0,Constants!$B$15*(INT(ROUND(MIN($AF308,$AP$9),6))-INT(ROUND(MAX(0,MIN($AF308,2*$AP$9)-$AP$9),6))))))</f>
        <v/>
      </c>
      <c r="AW308" s="127" t="str">
        <f aca="false">IF($BL308&lt;&gt;Constants!$B$4,"",IF(NOT($AS308),"",Constants!$B$16*$AG308))</f>
        <v/>
      </c>
      <c r="AX308" s="127" t="str">
        <f aca="false">IF($BL308&lt;&gt;Constants!$B$4,"",IF(NOT($AS308),"",Constants!$B$18*INT(ROUND($AH308,6))))</f>
        <v/>
      </c>
      <c r="AY308" s="123" t="str">
        <f aca="false">IF($BL308&lt;&gt;Constants!$B$4,"",IF(NOT($AS308),"",IF(NOT($X308),Constants!$B$11,IF(OR(NOT($AC308),NOT($AD308),ROUND($AB308,1)&gt;Constants!$B$12,ROUND($Z308,1)&gt;Constants!$B$13,ROUND($AA308,1)&gt;Constants!$B$14),Constants!$B$10,Constants!$B$9))))</f>
        <v/>
      </c>
      <c r="AZ308" s="128" t="str">
        <f aca="false">IF($BL308&lt;&gt;Constants!$B$4,"",IF(NOT($AS308),"",ROUND($AU308+$AV308+$AW308+$AX308,1)))</f>
        <v/>
      </c>
      <c r="BA308" s="129" t="str">
        <f aca="false">IF($BL308&lt;&gt;Constants!$B$4,"",IF(NOT($AS308),"",IF(ISNUMBER($AF308),$AF308,0)))</f>
        <v/>
      </c>
      <c r="BB308" s="124" t="str">
        <f aca="false">IF($BL308&lt;&gt;Constants!$B$4,"",IF(NOT($BC308),"&lt;-",IF(NOT($AS308),"-&gt;",IF(OR($BI308&lt;$AY308,AND($BI308=$AY308,OR($BJ308&gt;$AZ308,AND($BJ308=$AZ308,OR($BH308&gt;$AX308,AND($BH308=$AX308,OR($BE308&gt;$AU308,AND($BE308=$AU308,OR($BF308&gt;$AV308,AND($BF308=$AV308,$BK308&gt;$BA308)))))))))),"-&gt;","&lt;-"))))</f>
        <v/>
      </c>
      <c r="BC308" s="123" t="str">
        <f aca="false">IF(ISBLANK($C308),"",COUNTA($P308:$U308)&gt;0)</f>
        <v/>
      </c>
      <c r="BD308" s="123" t="str">
        <f aca="false">IF(ISBLANK($C308),"",AND($BC308,OR(AND($AL308="",OR($AK308,NOT(ISBLANK($S308)))),$AM308="",$AN308="")))</f>
        <v/>
      </c>
      <c r="BE308" s="125" t="str">
        <f aca="false">IF($BL308&lt;&gt;Constants!$B$4,"",IF(NOT($BC308),"",ROUND((Constants!$B$12-$AB308)+(Constants!$B$13-$Z308)+(Constants!$B$14-$AA308),1)))</f>
        <v/>
      </c>
      <c r="BF308" s="127" t="str">
        <f aca="false">IF($BL308&lt;&gt;Constants!$B$4,"",IF(NOT($BC308),"",IF(NOT($AK308),0,Constants!$B$15*(INT(ROUND(MIN($AL308,$AP$9),6))-INT(ROUND(MAX(0,MIN($AL308,2*$AP$9)-$AP$9),6))))))</f>
        <v/>
      </c>
      <c r="BG308" s="127" t="str">
        <f aca="false">IF($BL308&lt;&gt;Constants!$B$4,"",IF(NOT($BC308),"",Constants!$B$16*$AM308))</f>
        <v/>
      </c>
      <c r="BH308" s="127" t="str">
        <f aca="false">IF($BL308&lt;&gt;Constants!$B$4,"",IF(NOT($BC308),"",Constants!$B$18*INT(ROUND($AN308,6))))</f>
        <v/>
      </c>
      <c r="BI308" s="123" t="str">
        <f aca="false">IF($BL308&lt;&gt;Constants!$B$4,"",IF(NOT($BC308),"",IF(NOT($X308),Constants!$B$11,IF(OR(NOT($AI308),NOT($AJ308),ROUND($AB308,1)&gt;Constants!$B$12,ROUND($Z308,1)&gt;Constants!$B$13,ROUND($AA308,1)&gt;Constants!$B$14),Constants!$B$10,Constants!$B$9))))</f>
        <v/>
      </c>
      <c r="BJ308" s="128" t="str">
        <f aca="false">IF($BL308&lt;&gt;Constants!$B$4,"",IF(NOT($BC308),"",ROUND($BE308+$BF308+$BG308+$BH308,1)))</f>
        <v/>
      </c>
      <c r="BK308" s="129" t="str">
        <f aca="false">IF($BL308&lt;&gt;Constants!$B$4,"",IF(NOT($BC308),"",IF(ISNUMBER($AL308),$AL308,0)))</f>
        <v/>
      </c>
      <c r="BL308" s="124" t="str">
        <f aca="false">IF(ISBLANK($C308),"",IF($AO308,Constants!$B$7,IF(COUNTA($E308:$V308)=0,Constants!$B$6,IF(NOT($Y308),Constants!$B$5,IF(NOT(OR($AS308,$BC308)),Constants!$B$5,IF(OR($AT308,$BD308,$AQ308,$AR308&lt;&gt;""),Constants!$B$8,Constants!$B$4))))))</f>
        <v/>
      </c>
      <c r="BM308" s="124" t="str">
        <f aca="false">IF(ISBLANK($C308),"",IF($BL308&lt;&gt;Constants!$B$4,$BL308,IF($BB308="-&gt;",$BI308,$AY308)))</f>
        <v/>
      </c>
      <c r="BN308" s="127" t="str">
        <f aca="false">IF($BL308&lt;&gt;Constants!$B$4,"",IF($BB308="-&gt;",$BJ308,$AZ308))</f>
        <v/>
      </c>
      <c r="BO308" s="127" t="str">
        <f aca="false">IF(ISBLANK($C308),"",IF($BL308&lt;&gt;Constants!$B$4,$BL308,$BN308))</f>
        <v/>
      </c>
      <c r="BP308" s="124" t="str">
        <f aca="false">IF(ISBLANK($C308),"",IF($BL308&lt;&gt;Constants!$B$4,$BL308,RANK($BO308,$BO$9:$BO$508,0)))</f>
        <v/>
      </c>
      <c r="BQ308" s="124" t="str">
        <f aca="false">IF(ISBLANK($C308),"",IF($BL308&lt;&gt;Constants!$B$4,$BL308,COUNTIFS($BM$9:$BM$508,"&lt;"&amp;$BM308)+COUNTIFS($BM$9:$BM$508,$BM308,$BP$9:$BP$508,"&lt;"&amp;$BP308)+1))</f>
        <v/>
      </c>
      <c r="BR308" s="127" t="str">
        <f aca="false">IF($BL308&lt;&gt;Constants!$B$4,"",IF($BB308="-&gt;",$BH308,$AX308))</f>
        <v/>
      </c>
      <c r="BS308" s="124" t="str">
        <f aca="false">IF(ISBLANK($C308),"",IF($BL308&lt;&gt;Constants!$B$4,$BL308,IF(ISNUMBER($BR308),RANK($BR308,$BR$9:$BR$508,0),COUNT($BR$9:$BR$508)+1)))</f>
        <v/>
      </c>
      <c r="BT308" s="127" t="str">
        <f aca="false">IF($BL308&lt;&gt;Constants!$B$4,"",IF($BB308="-&gt;",$BE308,$AU308))</f>
        <v/>
      </c>
      <c r="BU308" s="124" t="str">
        <f aca="false">IF(ISBLANK($C308),"",IF($BL308&lt;&gt;Constants!$B$4,$BL308,IF(ISNUMBER($BT308),RANK($BT308,$BT$9:$BT$508,0),COUNT($BT$9:$BT$508)+1)))</f>
        <v/>
      </c>
      <c r="BV308" s="127" t="str">
        <f aca="false">IF($BL308&lt;&gt;Constants!$B$4,"",IF($BB308="-&gt;",$BF308,$AV308))</f>
        <v/>
      </c>
      <c r="BW308" s="124" t="str">
        <f aca="false">IF(ISBLANK($C308),"",IF($BL308&lt;&gt;Constants!$B$4,$BL308,IF(ISNUMBER($BV308),RANK($BV308,$BV$9:$BV$508,0),COUNT($BV$9:$BV$508)+1)))</f>
        <v/>
      </c>
      <c r="BX308" s="127" t="str">
        <f aca="false">IF($BL308&lt;&gt;Constants!$B$4,"",IF($BB308="-&gt;",$BK308,$BA308))</f>
        <v/>
      </c>
      <c r="BY308" s="124" t="str">
        <f aca="false">IF(ISBLANK($C308),"",IF($BL308&lt;&gt;Constants!$B$4,$BL308,IF(ISNUMBER($BX308),RANK($BX308,$BX$9:$BX$508,0),COUNT($BX$9:$BX$508)+1)))</f>
        <v/>
      </c>
      <c r="BZ308" s="124" t="str">
        <f aca="false">IF(ISBLANK($C308),"",IF($BL308&lt;&gt;Constants!$B$4,$BL308,COUNTIFS($BM$9:$BM$508,"&lt;"&amp;$BM308)+COUNTIFS($BM$9:$BM$508,$BM308,$BP$9:$BP$508,"&lt;"&amp;$BP308)+COUNTIFS($BM$9:$BM$508,$BM308,$BP$9:$BP$508,$BP308,$BS$9:$BS$508,"&lt;"&amp;$BS308)+COUNTIFS($BM$9:$BM$508,$BM308,$BP$9:$BP$508,$BP308,$BS$9:$BS$508,$BS308,$BU$9:$BU$508,"&lt;"&amp;$BU308)+COUNTIFS($BM$9:$BM$508,$BM308,$BP$9:$BP$508,$BP308,$BS$9:$BS$508,$BS308,$BU$9:$BU$508,$BU308,$BW$9:$BW$508,"&lt;"&amp;$BW308)+COUNTIFS($BM$9:$BM$508,$BM308,$BP$9:$BP$508,$BP308,$BS$9:$BS$508,$BS308,$BU$9:$BU$508,$BU308,$BW$9:$BW$508,$BW308,$BY$9:$BY$508,"&lt;"&amp;$BY308)+1))</f>
        <v/>
      </c>
      <c r="CA308" s="124" t="str">
        <f aca="false">IF(ISBLANK($C308),"",IF($BL308&lt;&gt;Constants!$B$4,$BL308,$BQ308-$BZ308))</f>
        <v/>
      </c>
      <c r="CB308" s="130"/>
      <c r="CC308" s="131" t="str">
        <f aca="false">IF(ISBLANK($C308),"",IF($BL308=Constants!$B$8,$AR308,""))</f>
        <v/>
      </c>
      <c r="CD308" s="131" t="str">
        <f aca="false">IF(ISBLANK($C308),"",IF($BL308&lt;&gt;Constants!$B$4,"",IF($BB308="-&gt;",2,1)))</f>
        <v/>
      </c>
      <c r="CE308" s="132" t="str">
        <f aca="false">IF(ISBLANK($C308),"",IF($BL308&lt;&gt;Constants!$B$4,"",IF($BB308="-&gt;",$BE308,$AU308)))</f>
        <v/>
      </c>
      <c r="CF308" s="132" t="str">
        <f aca="false">IF(ISBLANK($C308),"",IF($BL308&lt;&gt;Constants!$B$4,"",IF($BB308="-&gt;",$BF308,$AV308)))</f>
        <v/>
      </c>
      <c r="CG308" s="132" t="str">
        <f aca="false">IF(ISBLANK($C308),"",IF($BL308&lt;&gt;Constants!$B$4,"",IF($BB308="-&gt;",$BG308,$AW308)))</f>
        <v/>
      </c>
      <c r="CH308" s="132" t="str">
        <f aca="false">IF(ISBLANK($C308),"",IF($BL308&lt;&gt;Constants!$B$4,"",IF($BB308="-&gt;",$BH308,$AX308)))</f>
        <v/>
      </c>
      <c r="CI308" s="133" t="str">
        <f aca="false">IF(ISBLANK($C308),"",$BO308)</f>
        <v/>
      </c>
      <c r="CJ308" s="134" t="str">
        <f aca="false">IF(ISBLANK($C308),"",$BM308)</f>
        <v/>
      </c>
      <c r="CK308" s="135" t="str">
        <f aca="false">IF(ISBLANK($C308),"",$CA308)</f>
        <v/>
      </c>
      <c r="CL308" s="135" t="str">
        <f aca="false">IF(ISBLANK($C308),"",$BZ308)</f>
        <v/>
      </c>
      <c r="CM308" s="136" t="str">
        <f aca="false">IF(ISBLANK($C308),"",IF($CL308=Constants!$B$7,COUNTA($C$9:$C$508)+2,IF($CL308=Constants!$B$6,COUNTA($C$9:$C$508)+1,IF($CL308=Constants!$B$5,COUNTA($C$9:$C$508),$CL308))))</f>
        <v/>
      </c>
      <c r="CN308" s="8"/>
      <c r="CO308" s="137" t="n">
        <f aca="false">IF(OR(ISNUMBER($CL308),$CL308=Constants!$B$7,$CL308=Constants!$B$5,$CL308=Constants!$B$6),1,0)</f>
        <v>0</v>
      </c>
      <c r="CP308" s="137" t="n">
        <v>300</v>
      </c>
      <c r="CQ308" s="137" t="str">
        <f aca="false">IF(ISBLANK($C308),"",IF(ISNUMBER($CM308),$CM308+ROW($B308)/1000,""))</f>
        <v/>
      </c>
      <c r="CR308" s="137" t="str">
        <f aca="false">IF(ISNUMBER($CQ308),RANK($CQ308,$CQ$9:$CQ$508,1),"")</f>
        <v/>
      </c>
      <c r="CS308" s="137" t="str">
        <f aca="false">IF(ISBLANK($C308),"",$B308)</f>
        <v/>
      </c>
      <c r="CT308" s="137" t="str">
        <f aca="false">IF(ISBLANK($C308),"",$C308)</f>
        <v/>
      </c>
      <c r="CU308" s="137" t="str">
        <f aca="false">IF(ISBLANK($C308),"",$D308)</f>
        <v/>
      </c>
      <c r="CV308" s="138" t="str">
        <f aca="false">$CJ308</f>
        <v/>
      </c>
      <c r="CW308" s="139" t="str">
        <f aca="false">$CI308</f>
        <v/>
      </c>
      <c r="CX308" s="137" t="str">
        <f aca="false">IF(ISBLANK($C308),"",$CL308)</f>
        <v/>
      </c>
      <c r="CY308" s="140" t="str">
        <f aca="false">IF($CP308&gt;$CO$8,"",VLOOKUP($CP308,$CR$9:$CX$508,7,FALSE()))</f>
        <v/>
      </c>
      <c r="CZ308" s="141" t="str">
        <f aca="false">IF($CP308&gt;$CO$8,"",VLOOKUP($CP308,$CR$9:$CX$508,2,FALSE()))</f>
        <v/>
      </c>
      <c r="DA308" s="141" t="str">
        <f aca="false">IF($CP308&gt;$CO$8,"",VLOOKUP($CP308,$CR$9:$CX$508,3,FALSE()))</f>
        <v/>
      </c>
      <c r="DB308" s="141" t="str">
        <f aca="false">IF($CP308&gt;$CO$8,"",VLOOKUP($CP308,$CR$9:$CX$508,4,FALSE()))</f>
        <v/>
      </c>
      <c r="DC308" s="141" t="str">
        <f aca="false">IF($CP308&gt;$CO$8,"",VLOOKUP($CP308,$CR$9:$CX$508,5,FALSE()))</f>
        <v/>
      </c>
      <c r="DD308" s="142" t="str">
        <f aca="false">IF($CP308&gt;$CO$8,"",VLOOKUP($CP308,$CR$9:$CX$508,6,FALSE()))</f>
        <v/>
      </c>
      <c r="DE308" s="70"/>
    </row>
    <row r="309" customFormat="false" ht="15.75" hidden="false" customHeight="false" outlineLevel="0" collapsed="false">
      <c r="A309" s="8"/>
      <c r="B309" s="72"/>
      <c r="C309" s="73"/>
      <c r="D309" s="155"/>
      <c r="E309" s="162"/>
      <c r="F309" s="157"/>
      <c r="G309" s="77"/>
      <c r="H309" s="77"/>
      <c r="I309" s="77"/>
      <c r="J309" s="163"/>
      <c r="K309" s="161"/>
      <c r="L309" s="161"/>
      <c r="M309" s="80"/>
      <c r="N309" s="161"/>
      <c r="O309" s="160"/>
      <c r="P309" s="161"/>
      <c r="Q309" s="161"/>
      <c r="R309" s="161"/>
      <c r="S309" s="77"/>
      <c r="T309" s="161"/>
      <c r="U309" s="160"/>
      <c r="V309" s="161"/>
      <c r="W309" s="85"/>
      <c r="X309" s="86" t="str">
        <f aca="false">IF(ISBLANK($C309),"",IF($E309=Constants!$B$2,TRUE(),IF($E309=Constants!$B$3,FALSE(),TRUE())))</f>
        <v/>
      </c>
      <c r="Y309" s="86" t="str">
        <f aca="false">IF(ISBLANK($C309),"",IF($F309=Constants!$B$2,TRUE(),IF($F309=Constants!$B$3,FALSE(),TRUE())))</f>
        <v/>
      </c>
      <c r="Z309" s="87" t="str">
        <f aca="false">IF(ISBLANK($C309),"",IF(ISNUMBER($G309),IF($G309&gt;=0,$G309,""),""))</f>
        <v/>
      </c>
      <c r="AA309" s="87" t="str">
        <f aca="false">IF(ISBLANK($C309),"",IF(ISNUMBER($H309),IF($H309&gt;=0,$H309,""),""))</f>
        <v/>
      </c>
      <c r="AB309" s="87" t="str">
        <f aca="false">IF(ISBLANK($C309),"",IF(ISNUMBER($I309),IF($I309&gt;=0,$I309,""),""))</f>
        <v/>
      </c>
      <c r="AC309" s="86" t="str">
        <f aca="false">IF(ISBLANK($C309),"",IF($J309=Constants!$B$2,TRUE(),IF($J309=Constants!$B$3,FALSE(),TRUE())))</f>
        <v/>
      </c>
      <c r="AD309" s="86" t="str">
        <f aca="false">IF(ISBLANK($C309),"",IF($K309=Constants!$B$2,TRUE(),IF($K309=Constants!$B$3,FALSE(),TRUE())))</f>
        <v/>
      </c>
      <c r="AE309" s="86" t="str">
        <f aca="false">IF(ISBLANK($C309),"",IF($L309=Constants!$B$2,TRUE(),IF($L309=Constants!$B$3,FALSE(),TRUE())))</f>
        <v/>
      </c>
      <c r="AF309" s="88" t="str">
        <f aca="false">IF(ISBLANK($C309),"",IF(ISNUMBER($M309),IF($M309&gt;=0,$M309,""),""))</f>
        <v/>
      </c>
      <c r="AG309" s="86" t="str">
        <f aca="false">IF(ISBLANK($C309),"",IF(ISBLANK($N309),0,IF(ISNUMBER($N309),IF(AND($N309&gt;=0,$N309&lt;=Constants!$B$17,$N309=INT($N309)),$N309,""),"")))</f>
        <v/>
      </c>
      <c r="AH309" s="87" t="str">
        <f aca="false">IF(ISBLANK($C309),"",IF(ISBLANK($O309),0,IF(ISNUMBER($O309),IF($O309&gt;=0,$O309,""),"")))</f>
        <v/>
      </c>
      <c r="AI309" s="86" t="str">
        <f aca="false">IF(ISBLANK($C309),"",IF($P309=Constants!$B$2,TRUE(),IF($P309=Constants!$B$3,FALSE(),TRUE())))</f>
        <v/>
      </c>
      <c r="AJ309" s="86" t="str">
        <f aca="false">IF(ISBLANK($C309),"",IF($Q309=Constants!$B$2,TRUE(),IF($Q309=Constants!$B$3,FALSE(),TRUE())))</f>
        <v/>
      </c>
      <c r="AK309" s="86" t="str">
        <f aca="false">IF(ISBLANK($C309),"",IF($R309=Constants!$B$2,TRUE(),IF($R309=Constants!$B$3,FALSE(),TRUE())))</f>
        <v/>
      </c>
      <c r="AL309" s="88" t="str">
        <f aca="false">IF(ISBLANK($C309),"",IF(ISNUMBER($S309),IF($S309&gt;=0,$S309,""),""))</f>
        <v/>
      </c>
      <c r="AM309" s="86" t="str">
        <f aca="false">IF(ISBLANK($C309),"",IF(ISBLANK($T309),0,IF(ISNUMBER($T309),IF(AND($T309&gt;=0,$T309&lt;=Constants!$B$17,$T309=INT($T309)),$T309,""),"")))</f>
        <v/>
      </c>
      <c r="AN309" s="87" t="str">
        <f aca="false">IF(ISBLANK($C309),"",IF(ISBLANK($U309),0,IF(ISNUMBER($U309),IF($U309&gt;=0,$U309,""),"")))</f>
        <v/>
      </c>
      <c r="AO309" s="86" t="str">
        <f aca="false">IF(ISBLANK($C309),"",IF($V309=Constants!$B$2,TRUE(),IF($V309=Constants!$B$3,FALSE(),FALSE())))</f>
        <v/>
      </c>
      <c r="AP309" s="86"/>
      <c r="AQ309" s="85" t="str">
        <f aca="false">IF(ISBLANK($C309),"",AND($Y309,OR($AS309,$BC309),OR($Z309="",$AA309="",$AB309="")))</f>
        <v/>
      </c>
      <c r="AR309" s="85" t="str">
        <f aca="false">IF(ISBLANK($C309),"",IF(OR(NOT($Y309),NOT(OR($AS309,$BC309))),"",IF(ISBLANK($D$7),$AR$5,IF($AP$9="",$AR$6,""))))</f>
        <v/>
      </c>
      <c r="AS309" s="85" t="str">
        <f aca="false">IF(ISBLANK($C309),"",COUNTA($J309:$O309)&gt;0)</f>
        <v/>
      </c>
      <c r="AT309" s="85" t="str">
        <f aca="false">IF(ISBLANK($C309),"",AND($AS309,OR(AND($AF309="",OR($AE309,NOT(ISBLANK($M309)))),$AG309="",$AH309="")))</f>
        <v/>
      </c>
      <c r="AU309" s="87" t="str">
        <f aca="false">IF($BL309&lt;&gt;Constants!$B$4,"",IF(NOT($AS309),"",ROUND((Constants!$B$12-$AB309)+(Constants!$B$13-$Z309)+(Constants!$B$14-$AA309),1)))</f>
        <v/>
      </c>
      <c r="AV309" s="90" t="str">
        <f aca="false">IF($BL309&lt;&gt;Constants!$B$4,"",IF(NOT($AS309),"",IF(NOT($AE309),0,Constants!$B$15*(INT(ROUND(MIN($AF309,$AP$9),6))-INT(ROUND(MAX(0,MIN($AF309,2*$AP$9)-$AP$9),6))))))</f>
        <v/>
      </c>
      <c r="AW309" s="90" t="str">
        <f aca="false">IF($BL309&lt;&gt;Constants!$B$4,"",IF(NOT($AS309),"",Constants!$B$16*$AG309))</f>
        <v/>
      </c>
      <c r="AX309" s="90" t="str">
        <f aca="false">IF($BL309&lt;&gt;Constants!$B$4,"",IF(NOT($AS309),"",Constants!$B$18*INT(ROUND($AH309,6))))</f>
        <v/>
      </c>
      <c r="AY309" s="85" t="str">
        <f aca="false">IF($BL309&lt;&gt;Constants!$B$4,"",IF(NOT($AS309),"",IF(NOT($X309),Constants!$B$11,IF(OR(NOT($AC309),NOT($AD309),ROUND($AB309,1)&gt;Constants!$B$12,ROUND($Z309,1)&gt;Constants!$B$13,ROUND($AA309,1)&gt;Constants!$B$14),Constants!$B$10,Constants!$B$9))))</f>
        <v/>
      </c>
      <c r="AZ309" s="91" t="str">
        <f aca="false">IF($BL309&lt;&gt;Constants!$B$4,"",IF(NOT($AS309),"",ROUND($AU309+$AV309+$AW309+$AX309,1)))</f>
        <v/>
      </c>
      <c r="BA309" s="92" t="str">
        <f aca="false">IF($BL309&lt;&gt;Constants!$B$4,"",IF(NOT($AS309),"",IF(ISNUMBER($AF309),$AF309,0)))</f>
        <v/>
      </c>
      <c r="BB309" s="86" t="str">
        <f aca="false">IF($BL309&lt;&gt;Constants!$B$4,"",IF(NOT($BC309),"&lt;-",IF(NOT($AS309),"-&gt;",IF(OR($BI309&lt;$AY309,AND($BI309=$AY309,OR($BJ309&gt;$AZ309,AND($BJ309=$AZ309,OR($BH309&gt;$AX309,AND($BH309=$AX309,OR($BE309&gt;$AU309,AND($BE309=$AU309,OR($BF309&gt;$AV309,AND($BF309=$AV309,$BK309&gt;$BA309)))))))))),"-&gt;","&lt;-"))))</f>
        <v/>
      </c>
      <c r="BC309" s="85" t="str">
        <f aca="false">IF(ISBLANK($C309),"",COUNTA($P309:$U309)&gt;0)</f>
        <v/>
      </c>
      <c r="BD309" s="85" t="str">
        <f aca="false">IF(ISBLANK($C309),"",AND($BC309,OR(AND($AL309="",OR($AK309,NOT(ISBLANK($S309)))),$AM309="",$AN309="")))</f>
        <v/>
      </c>
      <c r="BE309" s="87" t="str">
        <f aca="false">IF($BL309&lt;&gt;Constants!$B$4,"",IF(NOT($BC309),"",ROUND((Constants!$B$12-$AB309)+(Constants!$B$13-$Z309)+(Constants!$B$14-$AA309),1)))</f>
        <v/>
      </c>
      <c r="BF309" s="90" t="str">
        <f aca="false">IF($BL309&lt;&gt;Constants!$B$4,"",IF(NOT($BC309),"",IF(NOT($AK309),0,Constants!$B$15*(INT(ROUND(MIN($AL309,$AP$9),6))-INT(ROUND(MAX(0,MIN($AL309,2*$AP$9)-$AP$9),6))))))</f>
        <v/>
      </c>
      <c r="BG309" s="90" t="str">
        <f aca="false">IF($BL309&lt;&gt;Constants!$B$4,"",IF(NOT($BC309),"",Constants!$B$16*$AM309))</f>
        <v/>
      </c>
      <c r="BH309" s="90" t="str">
        <f aca="false">IF($BL309&lt;&gt;Constants!$B$4,"",IF(NOT($BC309),"",Constants!$B$18*INT(ROUND($AN309,6))))</f>
        <v/>
      </c>
      <c r="BI309" s="85" t="str">
        <f aca="false">IF($BL309&lt;&gt;Constants!$B$4,"",IF(NOT($BC309),"",IF(NOT($X309),Constants!$B$11,IF(OR(NOT($AI309),NOT($AJ309),ROUND($AB309,1)&gt;Constants!$B$12,ROUND($Z309,1)&gt;Constants!$B$13,ROUND($AA309,1)&gt;Constants!$B$14),Constants!$B$10,Constants!$B$9))))</f>
        <v/>
      </c>
      <c r="BJ309" s="91" t="str">
        <f aca="false">IF($BL309&lt;&gt;Constants!$B$4,"",IF(NOT($BC309),"",ROUND($BE309+$BF309+$BG309+$BH309,1)))</f>
        <v/>
      </c>
      <c r="BK309" s="92" t="str">
        <f aca="false">IF($BL309&lt;&gt;Constants!$B$4,"",IF(NOT($BC309),"",IF(ISNUMBER($AL309),$AL309,0)))</f>
        <v/>
      </c>
      <c r="BL309" s="86" t="str">
        <f aca="false">IF(ISBLANK($C309),"",IF($AO309,Constants!$B$7,IF(COUNTA($E309:$V309)=0,Constants!$B$6,IF(NOT($Y309),Constants!$B$5,IF(NOT(OR($AS309,$BC309)),Constants!$B$5,IF(OR($AT309,$BD309,$AQ309,$AR309&lt;&gt;""),Constants!$B$8,Constants!$B$4))))))</f>
        <v/>
      </c>
      <c r="BM309" s="86" t="str">
        <f aca="false">IF(ISBLANK($C309),"",IF($BL309&lt;&gt;Constants!$B$4,$BL309,IF($BB309="-&gt;",$BI309,$AY309)))</f>
        <v/>
      </c>
      <c r="BN309" s="90" t="str">
        <f aca="false">IF($BL309&lt;&gt;Constants!$B$4,"",IF($BB309="-&gt;",$BJ309,$AZ309))</f>
        <v/>
      </c>
      <c r="BO309" s="90" t="str">
        <f aca="false">IF(ISBLANK($C309),"",IF($BL309&lt;&gt;Constants!$B$4,$BL309,$BN309))</f>
        <v/>
      </c>
      <c r="BP309" s="86" t="str">
        <f aca="false">IF(ISBLANK($C309),"",IF($BL309&lt;&gt;Constants!$B$4,$BL309,RANK($BO309,$BO$9:$BO$508,0)))</f>
        <v/>
      </c>
      <c r="BQ309" s="86" t="str">
        <f aca="false">IF(ISBLANK($C309),"",IF($BL309&lt;&gt;Constants!$B$4,$BL309,COUNTIFS($BM$9:$BM$508,"&lt;"&amp;$BM309)+COUNTIFS($BM$9:$BM$508,$BM309,$BP$9:$BP$508,"&lt;"&amp;$BP309)+1))</f>
        <v/>
      </c>
      <c r="BR309" s="90" t="str">
        <f aca="false">IF($BL309&lt;&gt;Constants!$B$4,"",IF($BB309="-&gt;",$BH309,$AX309))</f>
        <v/>
      </c>
      <c r="BS309" s="86" t="str">
        <f aca="false">IF(ISBLANK($C309),"",IF($BL309&lt;&gt;Constants!$B$4,$BL309,IF(ISNUMBER($BR309),RANK($BR309,$BR$9:$BR$508,0),COUNT($BR$9:$BR$508)+1)))</f>
        <v/>
      </c>
      <c r="BT309" s="90" t="str">
        <f aca="false">IF($BL309&lt;&gt;Constants!$B$4,"",IF($BB309="-&gt;",$BE309,$AU309))</f>
        <v/>
      </c>
      <c r="BU309" s="86" t="str">
        <f aca="false">IF(ISBLANK($C309),"",IF($BL309&lt;&gt;Constants!$B$4,$BL309,IF(ISNUMBER($BT309),RANK($BT309,$BT$9:$BT$508,0),COUNT($BT$9:$BT$508)+1)))</f>
        <v/>
      </c>
      <c r="BV309" s="90" t="str">
        <f aca="false">IF($BL309&lt;&gt;Constants!$B$4,"",IF($BB309="-&gt;",$BF309,$AV309))</f>
        <v/>
      </c>
      <c r="BW309" s="86" t="str">
        <f aca="false">IF(ISBLANK($C309),"",IF($BL309&lt;&gt;Constants!$B$4,$BL309,IF(ISNUMBER($BV309),RANK($BV309,$BV$9:$BV$508,0),COUNT($BV$9:$BV$508)+1)))</f>
        <v/>
      </c>
      <c r="BX309" s="90" t="str">
        <f aca="false">IF($BL309&lt;&gt;Constants!$B$4,"",IF($BB309="-&gt;",$BK309,$BA309))</f>
        <v/>
      </c>
      <c r="BY309" s="86" t="str">
        <f aca="false">IF(ISBLANK($C309),"",IF($BL309&lt;&gt;Constants!$B$4,$BL309,IF(ISNUMBER($BX309),RANK($BX309,$BX$9:$BX$508,0),COUNT($BX$9:$BX$508)+1)))</f>
        <v/>
      </c>
      <c r="BZ309" s="86" t="str">
        <f aca="false">IF(ISBLANK($C309),"",IF($BL309&lt;&gt;Constants!$B$4,$BL309,COUNTIFS($BM$9:$BM$508,"&lt;"&amp;$BM309)+COUNTIFS($BM$9:$BM$508,$BM309,$BP$9:$BP$508,"&lt;"&amp;$BP309)+COUNTIFS($BM$9:$BM$508,$BM309,$BP$9:$BP$508,$BP309,$BS$9:$BS$508,"&lt;"&amp;$BS309)+COUNTIFS($BM$9:$BM$508,$BM309,$BP$9:$BP$508,$BP309,$BS$9:$BS$508,$BS309,$BU$9:$BU$508,"&lt;"&amp;$BU309)+COUNTIFS($BM$9:$BM$508,$BM309,$BP$9:$BP$508,$BP309,$BS$9:$BS$508,$BS309,$BU$9:$BU$508,$BU309,$BW$9:$BW$508,"&lt;"&amp;$BW309)+COUNTIFS($BM$9:$BM$508,$BM309,$BP$9:$BP$508,$BP309,$BS$9:$BS$508,$BS309,$BU$9:$BU$508,$BU309,$BW$9:$BW$508,$BW309,$BY$9:$BY$508,"&lt;"&amp;$BY309)+1))</f>
        <v/>
      </c>
      <c r="CA309" s="86" t="str">
        <f aca="false">IF(ISBLANK($C309),"",IF($BL309&lt;&gt;Constants!$B$4,$BL309,$BQ309-$BZ309))</f>
        <v/>
      </c>
      <c r="CB309" s="93"/>
      <c r="CC309" s="94" t="str">
        <f aca="false">IF(ISBLANK($C309),"",IF($BL309=Constants!$B$8,$AR309,""))</f>
        <v/>
      </c>
      <c r="CD309" s="94" t="str">
        <f aca="false">IF(ISBLANK($C309),"",IF($BL309&lt;&gt;Constants!$B$4,"",IF($BB309="-&gt;",2,1)))</f>
        <v/>
      </c>
      <c r="CE309" s="95" t="str">
        <f aca="false">IF(ISBLANK($C309),"",IF($BL309&lt;&gt;Constants!$B$4,"",IF($BB309="-&gt;",$BE309,$AU309)))</f>
        <v/>
      </c>
      <c r="CF309" s="95" t="str">
        <f aca="false">IF(ISBLANK($C309),"",IF($BL309&lt;&gt;Constants!$B$4,"",IF($BB309="-&gt;",$BF309,$AV309)))</f>
        <v/>
      </c>
      <c r="CG309" s="95" t="str">
        <f aca="false">IF(ISBLANK($C309),"",IF($BL309&lt;&gt;Constants!$B$4,"",IF($BB309="-&gt;",$BG309,$AW309)))</f>
        <v/>
      </c>
      <c r="CH309" s="95" t="str">
        <f aca="false">IF(ISBLANK($C309),"",IF($BL309&lt;&gt;Constants!$B$4,"",IF($BB309="-&gt;",$BH309,$AX309)))</f>
        <v/>
      </c>
      <c r="CI309" s="96" t="str">
        <f aca="false">IF(ISBLANK($C309),"",$BO309)</f>
        <v/>
      </c>
      <c r="CJ309" s="97" t="str">
        <f aca="false">IF(ISBLANK($C309),"",$BM309)</f>
        <v/>
      </c>
      <c r="CK309" s="98" t="str">
        <f aca="false">IF(ISBLANK($C309),"",$CA309)</f>
        <v/>
      </c>
      <c r="CL309" s="98" t="str">
        <f aca="false">IF(ISBLANK($C309),"",$BZ309)</f>
        <v/>
      </c>
      <c r="CM309" s="99" t="str">
        <f aca="false">IF(ISBLANK($C309),"",IF($CL309=Constants!$B$7,COUNTA($C$9:$C$508)+2,IF($CL309=Constants!$B$6,COUNTA($C$9:$C$508)+1,IF($CL309=Constants!$B$5,COUNTA($C$9:$C$508),$CL309))))</f>
        <v/>
      </c>
      <c r="CN309" s="8"/>
      <c r="CO309" s="100" t="n">
        <f aca="false">IF(OR(ISNUMBER($CL309),$CL309=Constants!$B$7,$CL309=Constants!$B$5,$CL309=Constants!$B$6),1,0)</f>
        <v>0</v>
      </c>
      <c r="CP309" s="100" t="n">
        <v>301</v>
      </c>
      <c r="CQ309" s="100" t="str">
        <f aca="false">IF(ISBLANK($C309),"",IF(ISNUMBER($CM309),$CM309+ROW($B309)/1000,""))</f>
        <v/>
      </c>
      <c r="CR309" s="100" t="str">
        <f aca="false">IF(ISNUMBER($CQ309),RANK($CQ309,$CQ$9:$CQ$508,1),"")</f>
        <v/>
      </c>
      <c r="CS309" s="100" t="str">
        <f aca="false">IF(ISBLANK($C309),"",$B309)</f>
        <v/>
      </c>
      <c r="CT309" s="100" t="str">
        <f aca="false">IF(ISBLANK($C309),"",$C309)</f>
        <v/>
      </c>
      <c r="CU309" s="100" t="str">
        <f aca="false">IF(ISBLANK($C309),"",$D309)</f>
        <v/>
      </c>
      <c r="CV309" s="101" t="str">
        <f aca="false">$CJ309</f>
        <v/>
      </c>
      <c r="CW309" s="102" t="str">
        <f aca="false">$CI309</f>
        <v/>
      </c>
      <c r="CX309" s="100" t="str">
        <f aca="false">IF(ISBLANK($C309),"",$CL309)</f>
        <v/>
      </c>
      <c r="CY309" s="103" t="str">
        <f aca="false">IF($CP309&gt;$CO$8,"",VLOOKUP($CP309,$CR$9:$CX$508,7,FALSE()))</f>
        <v/>
      </c>
      <c r="CZ309" s="104" t="str">
        <f aca="false">IF($CP309&gt;$CO$8,"",VLOOKUP($CP309,$CR$9:$CX$508,2,FALSE()))</f>
        <v/>
      </c>
      <c r="DA309" s="104" t="str">
        <f aca="false">IF($CP309&gt;$CO$8,"",VLOOKUP($CP309,$CR$9:$CX$508,3,FALSE()))</f>
        <v/>
      </c>
      <c r="DB309" s="104" t="str">
        <f aca="false">IF($CP309&gt;$CO$8,"",VLOOKUP($CP309,$CR$9:$CX$508,4,FALSE()))</f>
        <v/>
      </c>
      <c r="DC309" s="104" t="str">
        <f aca="false">IF($CP309&gt;$CO$8,"",VLOOKUP($CP309,$CR$9:$CX$508,5,FALSE()))</f>
        <v/>
      </c>
      <c r="DD309" s="105" t="str">
        <f aca="false">IF($CP309&gt;$CO$8,"",VLOOKUP($CP309,$CR$9:$CX$508,6,FALSE()))</f>
        <v/>
      </c>
      <c r="DE309" s="70"/>
    </row>
    <row r="310" customFormat="false" ht="15.75" hidden="false" customHeight="false" outlineLevel="0" collapsed="false">
      <c r="A310" s="8"/>
      <c r="B310" s="72"/>
      <c r="C310" s="73"/>
      <c r="D310" s="155"/>
      <c r="E310" s="162"/>
      <c r="F310" s="157"/>
      <c r="G310" s="77"/>
      <c r="H310" s="77"/>
      <c r="I310" s="77"/>
      <c r="J310" s="163"/>
      <c r="K310" s="161"/>
      <c r="L310" s="161"/>
      <c r="M310" s="80"/>
      <c r="N310" s="161"/>
      <c r="O310" s="160"/>
      <c r="P310" s="161"/>
      <c r="Q310" s="161"/>
      <c r="R310" s="161"/>
      <c r="S310" s="77"/>
      <c r="T310" s="161"/>
      <c r="U310" s="160"/>
      <c r="V310" s="161"/>
      <c r="W310" s="85"/>
      <c r="X310" s="86" t="str">
        <f aca="false">IF(ISBLANK($C310),"",IF($E310=Constants!$B$2,TRUE(),IF($E310=Constants!$B$3,FALSE(),TRUE())))</f>
        <v/>
      </c>
      <c r="Y310" s="86" t="str">
        <f aca="false">IF(ISBLANK($C310),"",IF($F310=Constants!$B$2,TRUE(),IF($F310=Constants!$B$3,FALSE(),TRUE())))</f>
        <v/>
      </c>
      <c r="Z310" s="87" t="str">
        <f aca="false">IF(ISBLANK($C310),"",IF(ISNUMBER($G310),IF($G310&gt;=0,$G310,""),""))</f>
        <v/>
      </c>
      <c r="AA310" s="87" t="str">
        <f aca="false">IF(ISBLANK($C310),"",IF(ISNUMBER($H310),IF($H310&gt;=0,$H310,""),""))</f>
        <v/>
      </c>
      <c r="AB310" s="87" t="str">
        <f aca="false">IF(ISBLANK($C310),"",IF(ISNUMBER($I310),IF($I310&gt;=0,$I310,""),""))</f>
        <v/>
      </c>
      <c r="AC310" s="86" t="str">
        <f aca="false">IF(ISBLANK($C310),"",IF($J310=Constants!$B$2,TRUE(),IF($J310=Constants!$B$3,FALSE(),TRUE())))</f>
        <v/>
      </c>
      <c r="AD310" s="86" t="str">
        <f aca="false">IF(ISBLANK($C310),"",IF($K310=Constants!$B$2,TRUE(),IF($K310=Constants!$B$3,FALSE(),TRUE())))</f>
        <v/>
      </c>
      <c r="AE310" s="86" t="str">
        <f aca="false">IF(ISBLANK($C310),"",IF($L310=Constants!$B$2,TRUE(),IF($L310=Constants!$B$3,FALSE(),TRUE())))</f>
        <v/>
      </c>
      <c r="AF310" s="88" t="str">
        <f aca="false">IF(ISBLANK($C310),"",IF(ISNUMBER($M310),IF($M310&gt;=0,$M310,""),""))</f>
        <v/>
      </c>
      <c r="AG310" s="86" t="str">
        <f aca="false">IF(ISBLANK($C310),"",IF(ISBLANK($N310),0,IF(ISNUMBER($N310),IF(AND($N310&gt;=0,$N310&lt;=Constants!$B$17,$N310=INT($N310)),$N310,""),"")))</f>
        <v/>
      </c>
      <c r="AH310" s="87" t="str">
        <f aca="false">IF(ISBLANK($C310),"",IF(ISBLANK($O310),0,IF(ISNUMBER($O310),IF($O310&gt;=0,$O310,""),"")))</f>
        <v/>
      </c>
      <c r="AI310" s="86" t="str">
        <f aca="false">IF(ISBLANK($C310),"",IF($P310=Constants!$B$2,TRUE(),IF($P310=Constants!$B$3,FALSE(),TRUE())))</f>
        <v/>
      </c>
      <c r="AJ310" s="86" t="str">
        <f aca="false">IF(ISBLANK($C310),"",IF($Q310=Constants!$B$2,TRUE(),IF($Q310=Constants!$B$3,FALSE(),TRUE())))</f>
        <v/>
      </c>
      <c r="AK310" s="86" t="str">
        <f aca="false">IF(ISBLANK($C310),"",IF($R310=Constants!$B$2,TRUE(),IF($R310=Constants!$B$3,FALSE(),TRUE())))</f>
        <v/>
      </c>
      <c r="AL310" s="88" t="str">
        <f aca="false">IF(ISBLANK($C310),"",IF(ISNUMBER($S310),IF($S310&gt;=0,$S310,""),""))</f>
        <v/>
      </c>
      <c r="AM310" s="86" t="str">
        <f aca="false">IF(ISBLANK($C310),"",IF(ISBLANK($T310),0,IF(ISNUMBER($T310),IF(AND($T310&gt;=0,$T310&lt;=Constants!$B$17,$T310=INT($T310)),$T310,""),"")))</f>
        <v/>
      </c>
      <c r="AN310" s="87" t="str">
        <f aca="false">IF(ISBLANK($C310),"",IF(ISBLANK($U310),0,IF(ISNUMBER($U310),IF($U310&gt;=0,$U310,""),"")))</f>
        <v/>
      </c>
      <c r="AO310" s="86" t="str">
        <f aca="false">IF(ISBLANK($C310),"",IF($V310=Constants!$B$2,TRUE(),IF($V310=Constants!$B$3,FALSE(),FALSE())))</f>
        <v/>
      </c>
      <c r="AP310" s="86"/>
      <c r="AQ310" s="85" t="str">
        <f aca="false">IF(ISBLANK($C310),"",AND($Y310,OR($AS310,$BC310),OR($Z310="",$AA310="",$AB310="")))</f>
        <v/>
      </c>
      <c r="AR310" s="85" t="str">
        <f aca="false">IF(ISBLANK($C310),"",IF(OR(NOT($Y310),NOT(OR($AS310,$BC310))),"",IF(ISBLANK($D$7),$AR$5,IF($AP$9="",$AR$6,""))))</f>
        <v/>
      </c>
      <c r="AS310" s="85" t="str">
        <f aca="false">IF(ISBLANK($C310),"",COUNTA($J310:$O310)&gt;0)</f>
        <v/>
      </c>
      <c r="AT310" s="85" t="str">
        <f aca="false">IF(ISBLANK($C310),"",AND($AS310,OR(AND($AF310="",OR($AE310,NOT(ISBLANK($M310)))),$AG310="",$AH310="")))</f>
        <v/>
      </c>
      <c r="AU310" s="87" t="str">
        <f aca="false">IF($BL310&lt;&gt;Constants!$B$4,"",IF(NOT($AS310),"",ROUND((Constants!$B$12-$AB310)+(Constants!$B$13-$Z310)+(Constants!$B$14-$AA310),1)))</f>
        <v/>
      </c>
      <c r="AV310" s="90" t="str">
        <f aca="false">IF($BL310&lt;&gt;Constants!$B$4,"",IF(NOT($AS310),"",IF(NOT($AE310),0,Constants!$B$15*(INT(ROUND(MIN($AF310,$AP$9),6))-INT(ROUND(MAX(0,MIN($AF310,2*$AP$9)-$AP$9),6))))))</f>
        <v/>
      </c>
      <c r="AW310" s="90" t="str">
        <f aca="false">IF($BL310&lt;&gt;Constants!$B$4,"",IF(NOT($AS310),"",Constants!$B$16*$AG310))</f>
        <v/>
      </c>
      <c r="AX310" s="90" t="str">
        <f aca="false">IF($BL310&lt;&gt;Constants!$B$4,"",IF(NOT($AS310),"",Constants!$B$18*INT(ROUND($AH310,6))))</f>
        <v/>
      </c>
      <c r="AY310" s="85" t="str">
        <f aca="false">IF($BL310&lt;&gt;Constants!$B$4,"",IF(NOT($AS310),"",IF(NOT($X310),Constants!$B$11,IF(OR(NOT($AC310),NOT($AD310),ROUND($AB310,1)&gt;Constants!$B$12,ROUND($Z310,1)&gt;Constants!$B$13,ROUND($AA310,1)&gt;Constants!$B$14),Constants!$B$10,Constants!$B$9))))</f>
        <v/>
      </c>
      <c r="AZ310" s="91" t="str">
        <f aca="false">IF($BL310&lt;&gt;Constants!$B$4,"",IF(NOT($AS310),"",ROUND($AU310+$AV310+$AW310+$AX310,1)))</f>
        <v/>
      </c>
      <c r="BA310" s="92" t="str">
        <f aca="false">IF($BL310&lt;&gt;Constants!$B$4,"",IF(NOT($AS310),"",IF(ISNUMBER($AF310),$AF310,0)))</f>
        <v/>
      </c>
      <c r="BB310" s="86" t="str">
        <f aca="false">IF($BL310&lt;&gt;Constants!$B$4,"",IF(NOT($BC310),"&lt;-",IF(NOT($AS310),"-&gt;",IF(OR($BI310&lt;$AY310,AND($BI310=$AY310,OR($BJ310&gt;$AZ310,AND($BJ310=$AZ310,OR($BH310&gt;$AX310,AND($BH310=$AX310,OR($BE310&gt;$AU310,AND($BE310=$AU310,OR($BF310&gt;$AV310,AND($BF310=$AV310,$BK310&gt;$BA310)))))))))),"-&gt;","&lt;-"))))</f>
        <v/>
      </c>
      <c r="BC310" s="85" t="str">
        <f aca="false">IF(ISBLANK($C310),"",COUNTA($P310:$U310)&gt;0)</f>
        <v/>
      </c>
      <c r="BD310" s="85" t="str">
        <f aca="false">IF(ISBLANK($C310),"",AND($BC310,OR(AND($AL310="",OR($AK310,NOT(ISBLANK($S310)))),$AM310="",$AN310="")))</f>
        <v/>
      </c>
      <c r="BE310" s="87" t="str">
        <f aca="false">IF($BL310&lt;&gt;Constants!$B$4,"",IF(NOT($BC310),"",ROUND((Constants!$B$12-$AB310)+(Constants!$B$13-$Z310)+(Constants!$B$14-$AA310),1)))</f>
        <v/>
      </c>
      <c r="BF310" s="90" t="str">
        <f aca="false">IF($BL310&lt;&gt;Constants!$B$4,"",IF(NOT($BC310),"",IF(NOT($AK310),0,Constants!$B$15*(INT(ROUND(MIN($AL310,$AP$9),6))-INT(ROUND(MAX(0,MIN($AL310,2*$AP$9)-$AP$9),6))))))</f>
        <v/>
      </c>
      <c r="BG310" s="90" t="str">
        <f aca="false">IF($BL310&lt;&gt;Constants!$B$4,"",IF(NOT($BC310),"",Constants!$B$16*$AM310))</f>
        <v/>
      </c>
      <c r="BH310" s="90" t="str">
        <f aca="false">IF($BL310&lt;&gt;Constants!$B$4,"",IF(NOT($BC310),"",Constants!$B$18*INT(ROUND($AN310,6))))</f>
        <v/>
      </c>
      <c r="BI310" s="85" t="str">
        <f aca="false">IF($BL310&lt;&gt;Constants!$B$4,"",IF(NOT($BC310),"",IF(NOT($X310),Constants!$B$11,IF(OR(NOT($AI310),NOT($AJ310),ROUND($AB310,1)&gt;Constants!$B$12,ROUND($Z310,1)&gt;Constants!$B$13,ROUND($AA310,1)&gt;Constants!$B$14),Constants!$B$10,Constants!$B$9))))</f>
        <v/>
      </c>
      <c r="BJ310" s="91" t="str">
        <f aca="false">IF($BL310&lt;&gt;Constants!$B$4,"",IF(NOT($BC310),"",ROUND($BE310+$BF310+$BG310+$BH310,1)))</f>
        <v/>
      </c>
      <c r="BK310" s="92" t="str">
        <f aca="false">IF($BL310&lt;&gt;Constants!$B$4,"",IF(NOT($BC310),"",IF(ISNUMBER($AL310),$AL310,0)))</f>
        <v/>
      </c>
      <c r="BL310" s="86" t="str">
        <f aca="false">IF(ISBLANK($C310),"",IF($AO310,Constants!$B$7,IF(COUNTA($E310:$V310)=0,Constants!$B$6,IF(NOT($Y310),Constants!$B$5,IF(NOT(OR($AS310,$BC310)),Constants!$B$5,IF(OR($AT310,$BD310,$AQ310,$AR310&lt;&gt;""),Constants!$B$8,Constants!$B$4))))))</f>
        <v/>
      </c>
      <c r="BM310" s="86" t="str">
        <f aca="false">IF(ISBLANK($C310),"",IF($BL310&lt;&gt;Constants!$B$4,$BL310,IF($BB310="-&gt;",$BI310,$AY310)))</f>
        <v/>
      </c>
      <c r="BN310" s="90" t="str">
        <f aca="false">IF($BL310&lt;&gt;Constants!$B$4,"",IF($BB310="-&gt;",$BJ310,$AZ310))</f>
        <v/>
      </c>
      <c r="BO310" s="90" t="str">
        <f aca="false">IF(ISBLANK($C310),"",IF($BL310&lt;&gt;Constants!$B$4,$BL310,$BN310))</f>
        <v/>
      </c>
      <c r="BP310" s="86" t="str">
        <f aca="false">IF(ISBLANK($C310),"",IF($BL310&lt;&gt;Constants!$B$4,$BL310,RANK($BO310,$BO$9:$BO$508,0)))</f>
        <v/>
      </c>
      <c r="BQ310" s="86" t="str">
        <f aca="false">IF(ISBLANK($C310),"",IF($BL310&lt;&gt;Constants!$B$4,$BL310,COUNTIFS($BM$9:$BM$508,"&lt;"&amp;$BM310)+COUNTIFS($BM$9:$BM$508,$BM310,$BP$9:$BP$508,"&lt;"&amp;$BP310)+1))</f>
        <v/>
      </c>
      <c r="BR310" s="90" t="str">
        <f aca="false">IF($BL310&lt;&gt;Constants!$B$4,"",IF($BB310="-&gt;",$BH310,$AX310))</f>
        <v/>
      </c>
      <c r="BS310" s="86" t="str">
        <f aca="false">IF(ISBLANK($C310),"",IF($BL310&lt;&gt;Constants!$B$4,$BL310,IF(ISNUMBER($BR310),RANK($BR310,$BR$9:$BR$508,0),COUNT($BR$9:$BR$508)+1)))</f>
        <v/>
      </c>
      <c r="BT310" s="90" t="str">
        <f aca="false">IF($BL310&lt;&gt;Constants!$B$4,"",IF($BB310="-&gt;",$BE310,$AU310))</f>
        <v/>
      </c>
      <c r="BU310" s="86" t="str">
        <f aca="false">IF(ISBLANK($C310),"",IF($BL310&lt;&gt;Constants!$B$4,$BL310,IF(ISNUMBER($BT310),RANK($BT310,$BT$9:$BT$508,0),COUNT($BT$9:$BT$508)+1)))</f>
        <v/>
      </c>
      <c r="BV310" s="90" t="str">
        <f aca="false">IF($BL310&lt;&gt;Constants!$B$4,"",IF($BB310="-&gt;",$BF310,$AV310))</f>
        <v/>
      </c>
      <c r="BW310" s="86" t="str">
        <f aca="false">IF(ISBLANK($C310),"",IF($BL310&lt;&gt;Constants!$B$4,$BL310,IF(ISNUMBER($BV310),RANK($BV310,$BV$9:$BV$508,0),COUNT($BV$9:$BV$508)+1)))</f>
        <v/>
      </c>
      <c r="BX310" s="90" t="str">
        <f aca="false">IF($BL310&lt;&gt;Constants!$B$4,"",IF($BB310="-&gt;",$BK310,$BA310))</f>
        <v/>
      </c>
      <c r="BY310" s="86" t="str">
        <f aca="false">IF(ISBLANK($C310),"",IF($BL310&lt;&gt;Constants!$B$4,$BL310,IF(ISNUMBER($BX310),RANK($BX310,$BX$9:$BX$508,0),COUNT($BX$9:$BX$508)+1)))</f>
        <v/>
      </c>
      <c r="BZ310" s="86" t="str">
        <f aca="false">IF(ISBLANK($C310),"",IF($BL310&lt;&gt;Constants!$B$4,$BL310,COUNTIFS($BM$9:$BM$508,"&lt;"&amp;$BM310)+COUNTIFS($BM$9:$BM$508,$BM310,$BP$9:$BP$508,"&lt;"&amp;$BP310)+COUNTIFS($BM$9:$BM$508,$BM310,$BP$9:$BP$508,$BP310,$BS$9:$BS$508,"&lt;"&amp;$BS310)+COUNTIFS($BM$9:$BM$508,$BM310,$BP$9:$BP$508,$BP310,$BS$9:$BS$508,$BS310,$BU$9:$BU$508,"&lt;"&amp;$BU310)+COUNTIFS($BM$9:$BM$508,$BM310,$BP$9:$BP$508,$BP310,$BS$9:$BS$508,$BS310,$BU$9:$BU$508,$BU310,$BW$9:$BW$508,"&lt;"&amp;$BW310)+COUNTIFS($BM$9:$BM$508,$BM310,$BP$9:$BP$508,$BP310,$BS$9:$BS$508,$BS310,$BU$9:$BU$508,$BU310,$BW$9:$BW$508,$BW310,$BY$9:$BY$508,"&lt;"&amp;$BY310)+1))</f>
        <v/>
      </c>
      <c r="CA310" s="86" t="str">
        <f aca="false">IF(ISBLANK($C310),"",IF($BL310&lt;&gt;Constants!$B$4,$BL310,$BQ310-$BZ310))</f>
        <v/>
      </c>
      <c r="CB310" s="93"/>
      <c r="CC310" s="94" t="str">
        <f aca="false">IF(ISBLANK($C310),"",IF($BL310=Constants!$B$8,$AR310,""))</f>
        <v/>
      </c>
      <c r="CD310" s="94" t="str">
        <f aca="false">IF(ISBLANK($C310),"",IF($BL310&lt;&gt;Constants!$B$4,"",IF($BB310="-&gt;",2,1)))</f>
        <v/>
      </c>
      <c r="CE310" s="95" t="str">
        <f aca="false">IF(ISBLANK($C310),"",IF($BL310&lt;&gt;Constants!$B$4,"",IF($BB310="-&gt;",$BE310,$AU310)))</f>
        <v/>
      </c>
      <c r="CF310" s="95" t="str">
        <f aca="false">IF(ISBLANK($C310),"",IF($BL310&lt;&gt;Constants!$B$4,"",IF($BB310="-&gt;",$BF310,$AV310)))</f>
        <v/>
      </c>
      <c r="CG310" s="95" t="str">
        <f aca="false">IF(ISBLANK($C310),"",IF($BL310&lt;&gt;Constants!$B$4,"",IF($BB310="-&gt;",$BG310,$AW310)))</f>
        <v/>
      </c>
      <c r="CH310" s="95" t="str">
        <f aca="false">IF(ISBLANK($C310),"",IF($BL310&lt;&gt;Constants!$B$4,"",IF($BB310="-&gt;",$BH310,$AX310)))</f>
        <v/>
      </c>
      <c r="CI310" s="96" t="str">
        <f aca="false">IF(ISBLANK($C310),"",$BO310)</f>
        <v/>
      </c>
      <c r="CJ310" s="97" t="str">
        <f aca="false">IF(ISBLANK($C310),"",$BM310)</f>
        <v/>
      </c>
      <c r="CK310" s="98" t="str">
        <f aca="false">IF(ISBLANK($C310),"",$CA310)</f>
        <v/>
      </c>
      <c r="CL310" s="98" t="str">
        <f aca="false">IF(ISBLANK($C310),"",$BZ310)</f>
        <v/>
      </c>
      <c r="CM310" s="99" t="str">
        <f aca="false">IF(ISBLANK($C310),"",IF($CL310=Constants!$B$7,COUNTA($C$9:$C$508)+2,IF($CL310=Constants!$B$6,COUNTA($C$9:$C$508)+1,IF($CL310=Constants!$B$5,COUNTA($C$9:$C$508),$CL310))))</f>
        <v/>
      </c>
      <c r="CN310" s="8"/>
      <c r="CO310" s="100" t="n">
        <f aca="false">IF(OR(ISNUMBER($CL310),$CL310=Constants!$B$7,$CL310=Constants!$B$5,$CL310=Constants!$B$6),1,0)</f>
        <v>0</v>
      </c>
      <c r="CP310" s="100" t="n">
        <v>302</v>
      </c>
      <c r="CQ310" s="100" t="str">
        <f aca="false">IF(ISBLANK($C310),"",IF(ISNUMBER($CM310),$CM310+ROW($B310)/1000,""))</f>
        <v/>
      </c>
      <c r="CR310" s="100" t="str">
        <f aca="false">IF(ISNUMBER($CQ310),RANK($CQ310,$CQ$9:$CQ$508,1),"")</f>
        <v/>
      </c>
      <c r="CS310" s="100" t="str">
        <f aca="false">IF(ISBLANK($C310),"",$B310)</f>
        <v/>
      </c>
      <c r="CT310" s="100" t="str">
        <f aca="false">IF(ISBLANK($C310),"",$C310)</f>
        <v/>
      </c>
      <c r="CU310" s="100" t="str">
        <f aca="false">IF(ISBLANK($C310),"",$D310)</f>
        <v/>
      </c>
      <c r="CV310" s="101" t="str">
        <f aca="false">$CJ310</f>
        <v/>
      </c>
      <c r="CW310" s="102" t="str">
        <f aca="false">$CI310</f>
        <v/>
      </c>
      <c r="CX310" s="100" t="str">
        <f aca="false">IF(ISBLANK($C310),"",$CL310)</f>
        <v/>
      </c>
      <c r="CY310" s="103" t="str">
        <f aca="false">IF($CP310&gt;$CO$8,"",VLOOKUP($CP310,$CR$9:$CX$508,7,FALSE()))</f>
        <v/>
      </c>
      <c r="CZ310" s="104" t="str">
        <f aca="false">IF($CP310&gt;$CO$8,"",VLOOKUP($CP310,$CR$9:$CX$508,2,FALSE()))</f>
        <v/>
      </c>
      <c r="DA310" s="104" t="str">
        <f aca="false">IF($CP310&gt;$CO$8,"",VLOOKUP($CP310,$CR$9:$CX$508,3,FALSE()))</f>
        <v/>
      </c>
      <c r="DB310" s="104" t="str">
        <f aca="false">IF($CP310&gt;$CO$8,"",VLOOKUP($CP310,$CR$9:$CX$508,4,FALSE()))</f>
        <v/>
      </c>
      <c r="DC310" s="104" t="str">
        <f aca="false">IF($CP310&gt;$CO$8,"",VLOOKUP($CP310,$CR$9:$CX$508,5,FALSE()))</f>
        <v/>
      </c>
      <c r="DD310" s="105" t="str">
        <f aca="false">IF($CP310&gt;$CO$8,"",VLOOKUP($CP310,$CR$9:$CX$508,6,FALSE()))</f>
        <v/>
      </c>
      <c r="DE310" s="70"/>
    </row>
    <row r="311" customFormat="false" ht="15.75" hidden="false" customHeight="false" outlineLevel="0" collapsed="false">
      <c r="A311" s="8"/>
      <c r="B311" s="72"/>
      <c r="C311" s="73"/>
      <c r="D311" s="155"/>
      <c r="E311" s="162"/>
      <c r="F311" s="157"/>
      <c r="G311" s="77"/>
      <c r="H311" s="77"/>
      <c r="I311" s="77"/>
      <c r="J311" s="163"/>
      <c r="K311" s="161"/>
      <c r="L311" s="161"/>
      <c r="M311" s="80"/>
      <c r="N311" s="161"/>
      <c r="O311" s="160"/>
      <c r="P311" s="161"/>
      <c r="Q311" s="161"/>
      <c r="R311" s="161"/>
      <c r="S311" s="77"/>
      <c r="T311" s="161"/>
      <c r="U311" s="160"/>
      <c r="V311" s="161"/>
      <c r="W311" s="85"/>
      <c r="X311" s="86" t="str">
        <f aca="false">IF(ISBLANK($C311),"",IF($E311=Constants!$B$2,TRUE(),IF($E311=Constants!$B$3,FALSE(),TRUE())))</f>
        <v/>
      </c>
      <c r="Y311" s="86" t="str">
        <f aca="false">IF(ISBLANK($C311),"",IF($F311=Constants!$B$2,TRUE(),IF($F311=Constants!$B$3,FALSE(),TRUE())))</f>
        <v/>
      </c>
      <c r="Z311" s="87" t="str">
        <f aca="false">IF(ISBLANK($C311),"",IF(ISNUMBER($G311),IF($G311&gt;=0,$G311,""),""))</f>
        <v/>
      </c>
      <c r="AA311" s="87" t="str">
        <f aca="false">IF(ISBLANK($C311),"",IF(ISNUMBER($H311),IF($H311&gt;=0,$H311,""),""))</f>
        <v/>
      </c>
      <c r="AB311" s="87" t="str">
        <f aca="false">IF(ISBLANK($C311),"",IF(ISNUMBER($I311),IF($I311&gt;=0,$I311,""),""))</f>
        <v/>
      </c>
      <c r="AC311" s="86" t="str">
        <f aca="false">IF(ISBLANK($C311),"",IF($J311=Constants!$B$2,TRUE(),IF($J311=Constants!$B$3,FALSE(),TRUE())))</f>
        <v/>
      </c>
      <c r="AD311" s="86" t="str">
        <f aca="false">IF(ISBLANK($C311),"",IF($K311=Constants!$B$2,TRUE(),IF($K311=Constants!$B$3,FALSE(),TRUE())))</f>
        <v/>
      </c>
      <c r="AE311" s="86" t="str">
        <f aca="false">IF(ISBLANK($C311),"",IF($L311=Constants!$B$2,TRUE(),IF($L311=Constants!$B$3,FALSE(),TRUE())))</f>
        <v/>
      </c>
      <c r="AF311" s="88" t="str">
        <f aca="false">IF(ISBLANK($C311),"",IF(ISNUMBER($M311),IF($M311&gt;=0,$M311,""),""))</f>
        <v/>
      </c>
      <c r="AG311" s="86" t="str">
        <f aca="false">IF(ISBLANK($C311),"",IF(ISBLANK($N311),0,IF(ISNUMBER($N311),IF(AND($N311&gt;=0,$N311&lt;=Constants!$B$17,$N311=INT($N311)),$N311,""),"")))</f>
        <v/>
      </c>
      <c r="AH311" s="87" t="str">
        <f aca="false">IF(ISBLANK($C311),"",IF(ISBLANK($O311),0,IF(ISNUMBER($O311),IF($O311&gt;=0,$O311,""),"")))</f>
        <v/>
      </c>
      <c r="AI311" s="86" t="str">
        <f aca="false">IF(ISBLANK($C311),"",IF($P311=Constants!$B$2,TRUE(),IF($P311=Constants!$B$3,FALSE(),TRUE())))</f>
        <v/>
      </c>
      <c r="AJ311" s="86" t="str">
        <f aca="false">IF(ISBLANK($C311),"",IF($Q311=Constants!$B$2,TRUE(),IF($Q311=Constants!$B$3,FALSE(),TRUE())))</f>
        <v/>
      </c>
      <c r="AK311" s="86" t="str">
        <f aca="false">IF(ISBLANK($C311),"",IF($R311=Constants!$B$2,TRUE(),IF($R311=Constants!$B$3,FALSE(),TRUE())))</f>
        <v/>
      </c>
      <c r="AL311" s="88" t="str">
        <f aca="false">IF(ISBLANK($C311),"",IF(ISNUMBER($S311),IF($S311&gt;=0,$S311,""),""))</f>
        <v/>
      </c>
      <c r="AM311" s="86" t="str">
        <f aca="false">IF(ISBLANK($C311),"",IF(ISBLANK($T311),0,IF(ISNUMBER($T311),IF(AND($T311&gt;=0,$T311&lt;=Constants!$B$17,$T311=INT($T311)),$T311,""),"")))</f>
        <v/>
      </c>
      <c r="AN311" s="87" t="str">
        <f aca="false">IF(ISBLANK($C311),"",IF(ISBLANK($U311),0,IF(ISNUMBER($U311),IF($U311&gt;=0,$U311,""),"")))</f>
        <v/>
      </c>
      <c r="AO311" s="86" t="str">
        <f aca="false">IF(ISBLANK($C311),"",IF($V311=Constants!$B$2,TRUE(),IF($V311=Constants!$B$3,FALSE(),FALSE())))</f>
        <v/>
      </c>
      <c r="AP311" s="86"/>
      <c r="AQ311" s="85" t="str">
        <f aca="false">IF(ISBLANK($C311),"",AND($Y311,OR($AS311,$BC311),OR($Z311="",$AA311="",$AB311="")))</f>
        <v/>
      </c>
      <c r="AR311" s="85" t="str">
        <f aca="false">IF(ISBLANK($C311),"",IF(OR(NOT($Y311),NOT(OR($AS311,$BC311))),"",IF(ISBLANK($D$7),$AR$5,IF($AP$9="",$AR$6,""))))</f>
        <v/>
      </c>
      <c r="AS311" s="85" t="str">
        <f aca="false">IF(ISBLANK($C311),"",COUNTA($J311:$O311)&gt;0)</f>
        <v/>
      </c>
      <c r="AT311" s="85" t="str">
        <f aca="false">IF(ISBLANK($C311),"",AND($AS311,OR(AND($AF311="",OR($AE311,NOT(ISBLANK($M311)))),$AG311="",$AH311="")))</f>
        <v/>
      </c>
      <c r="AU311" s="87" t="str">
        <f aca="false">IF($BL311&lt;&gt;Constants!$B$4,"",IF(NOT($AS311),"",ROUND((Constants!$B$12-$AB311)+(Constants!$B$13-$Z311)+(Constants!$B$14-$AA311),1)))</f>
        <v/>
      </c>
      <c r="AV311" s="90" t="str">
        <f aca="false">IF($BL311&lt;&gt;Constants!$B$4,"",IF(NOT($AS311),"",IF(NOT($AE311),0,Constants!$B$15*(INT(ROUND(MIN($AF311,$AP$9),6))-INT(ROUND(MAX(0,MIN($AF311,2*$AP$9)-$AP$9),6))))))</f>
        <v/>
      </c>
      <c r="AW311" s="90" t="str">
        <f aca="false">IF($BL311&lt;&gt;Constants!$B$4,"",IF(NOT($AS311),"",Constants!$B$16*$AG311))</f>
        <v/>
      </c>
      <c r="AX311" s="90" t="str">
        <f aca="false">IF($BL311&lt;&gt;Constants!$B$4,"",IF(NOT($AS311),"",Constants!$B$18*INT(ROUND($AH311,6))))</f>
        <v/>
      </c>
      <c r="AY311" s="85" t="str">
        <f aca="false">IF($BL311&lt;&gt;Constants!$B$4,"",IF(NOT($AS311),"",IF(NOT($X311),Constants!$B$11,IF(OR(NOT($AC311),NOT($AD311),ROUND($AB311,1)&gt;Constants!$B$12,ROUND($Z311,1)&gt;Constants!$B$13,ROUND($AA311,1)&gt;Constants!$B$14),Constants!$B$10,Constants!$B$9))))</f>
        <v/>
      </c>
      <c r="AZ311" s="91" t="str">
        <f aca="false">IF($BL311&lt;&gt;Constants!$B$4,"",IF(NOT($AS311),"",ROUND($AU311+$AV311+$AW311+$AX311,1)))</f>
        <v/>
      </c>
      <c r="BA311" s="92" t="str">
        <f aca="false">IF($BL311&lt;&gt;Constants!$B$4,"",IF(NOT($AS311),"",IF(ISNUMBER($AF311),$AF311,0)))</f>
        <v/>
      </c>
      <c r="BB311" s="86" t="str">
        <f aca="false">IF($BL311&lt;&gt;Constants!$B$4,"",IF(NOT($BC311),"&lt;-",IF(NOT($AS311),"-&gt;",IF(OR($BI311&lt;$AY311,AND($BI311=$AY311,OR($BJ311&gt;$AZ311,AND($BJ311=$AZ311,OR($BH311&gt;$AX311,AND($BH311=$AX311,OR($BE311&gt;$AU311,AND($BE311=$AU311,OR($BF311&gt;$AV311,AND($BF311=$AV311,$BK311&gt;$BA311)))))))))),"-&gt;","&lt;-"))))</f>
        <v/>
      </c>
      <c r="BC311" s="85" t="str">
        <f aca="false">IF(ISBLANK($C311),"",COUNTA($P311:$U311)&gt;0)</f>
        <v/>
      </c>
      <c r="BD311" s="85" t="str">
        <f aca="false">IF(ISBLANK($C311),"",AND($BC311,OR(AND($AL311="",OR($AK311,NOT(ISBLANK($S311)))),$AM311="",$AN311="")))</f>
        <v/>
      </c>
      <c r="BE311" s="87" t="str">
        <f aca="false">IF($BL311&lt;&gt;Constants!$B$4,"",IF(NOT($BC311),"",ROUND((Constants!$B$12-$AB311)+(Constants!$B$13-$Z311)+(Constants!$B$14-$AA311),1)))</f>
        <v/>
      </c>
      <c r="BF311" s="90" t="str">
        <f aca="false">IF($BL311&lt;&gt;Constants!$B$4,"",IF(NOT($BC311),"",IF(NOT($AK311),0,Constants!$B$15*(INT(ROUND(MIN($AL311,$AP$9),6))-INT(ROUND(MAX(0,MIN($AL311,2*$AP$9)-$AP$9),6))))))</f>
        <v/>
      </c>
      <c r="BG311" s="90" t="str">
        <f aca="false">IF($BL311&lt;&gt;Constants!$B$4,"",IF(NOT($BC311),"",Constants!$B$16*$AM311))</f>
        <v/>
      </c>
      <c r="BH311" s="90" t="str">
        <f aca="false">IF($BL311&lt;&gt;Constants!$B$4,"",IF(NOT($BC311),"",Constants!$B$18*INT(ROUND($AN311,6))))</f>
        <v/>
      </c>
      <c r="BI311" s="85" t="str">
        <f aca="false">IF($BL311&lt;&gt;Constants!$B$4,"",IF(NOT($BC311),"",IF(NOT($X311),Constants!$B$11,IF(OR(NOT($AI311),NOT($AJ311),ROUND($AB311,1)&gt;Constants!$B$12,ROUND($Z311,1)&gt;Constants!$B$13,ROUND($AA311,1)&gt;Constants!$B$14),Constants!$B$10,Constants!$B$9))))</f>
        <v/>
      </c>
      <c r="BJ311" s="91" t="str">
        <f aca="false">IF($BL311&lt;&gt;Constants!$B$4,"",IF(NOT($BC311),"",ROUND($BE311+$BF311+$BG311+$BH311,1)))</f>
        <v/>
      </c>
      <c r="BK311" s="92" t="str">
        <f aca="false">IF($BL311&lt;&gt;Constants!$B$4,"",IF(NOT($BC311),"",IF(ISNUMBER($AL311),$AL311,0)))</f>
        <v/>
      </c>
      <c r="BL311" s="86" t="str">
        <f aca="false">IF(ISBLANK($C311),"",IF($AO311,Constants!$B$7,IF(COUNTA($E311:$V311)=0,Constants!$B$6,IF(NOT($Y311),Constants!$B$5,IF(NOT(OR($AS311,$BC311)),Constants!$B$5,IF(OR($AT311,$BD311,$AQ311,$AR311&lt;&gt;""),Constants!$B$8,Constants!$B$4))))))</f>
        <v/>
      </c>
      <c r="BM311" s="86" t="str">
        <f aca="false">IF(ISBLANK($C311),"",IF($BL311&lt;&gt;Constants!$B$4,$BL311,IF($BB311="-&gt;",$BI311,$AY311)))</f>
        <v/>
      </c>
      <c r="BN311" s="90" t="str">
        <f aca="false">IF($BL311&lt;&gt;Constants!$B$4,"",IF($BB311="-&gt;",$BJ311,$AZ311))</f>
        <v/>
      </c>
      <c r="BO311" s="90" t="str">
        <f aca="false">IF(ISBLANK($C311),"",IF($BL311&lt;&gt;Constants!$B$4,$BL311,$BN311))</f>
        <v/>
      </c>
      <c r="BP311" s="86" t="str">
        <f aca="false">IF(ISBLANK($C311),"",IF($BL311&lt;&gt;Constants!$B$4,$BL311,RANK($BO311,$BO$9:$BO$508,0)))</f>
        <v/>
      </c>
      <c r="BQ311" s="86" t="str">
        <f aca="false">IF(ISBLANK($C311),"",IF($BL311&lt;&gt;Constants!$B$4,$BL311,COUNTIFS($BM$9:$BM$508,"&lt;"&amp;$BM311)+COUNTIFS($BM$9:$BM$508,$BM311,$BP$9:$BP$508,"&lt;"&amp;$BP311)+1))</f>
        <v/>
      </c>
      <c r="BR311" s="90" t="str">
        <f aca="false">IF($BL311&lt;&gt;Constants!$B$4,"",IF($BB311="-&gt;",$BH311,$AX311))</f>
        <v/>
      </c>
      <c r="BS311" s="86" t="str">
        <f aca="false">IF(ISBLANK($C311),"",IF($BL311&lt;&gt;Constants!$B$4,$BL311,IF(ISNUMBER($BR311),RANK($BR311,$BR$9:$BR$508,0),COUNT($BR$9:$BR$508)+1)))</f>
        <v/>
      </c>
      <c r="BT311" s="90" t="str">
        <f aca="false">IF($BL311&lt;&gt;Constants!$B$4,"",IF($BB311="-&gt;",$BE311,$AU311))</f>
        <v/>
      </c>
      <c r="BU311" s="86" t="str">
        <f aca="false">IF(ISBLANK($C311),"",IF($BL311&lt;&gt;Constants!$B$4,$BL311,IF(ISNUMBER($BT311),RANK($BT311,$BT$9:$BT$508,0),COUNT($BT$9:$BT$508)+1)))</f>
        <v/>
      </c>
      <c r="BV311" s="90" t="str">
        <f aca="false">IF($BL311&lt;&gt;Constants!$B$4,"",IF($BB311="-&gt;",$BF311,$AV311))</f>
        <v/>
      </c>
      <c r="BW311" s="86" t="str">
        <f aca="false">IF(ISBLANK($C311),"",IF($BL311&lt;&gt;Constants!$B$4,$BL311,IF(ISNUMBER($BV311),RANK($BV311,$BV$9:$BV$508,0),COUNT($BV$9:$BV$508)+1)))</f>
        <v/>
      </c>
      <c r="BX311" s="90" t="str">
        <f aca="false">IF($BL311&lt;&gt;Constants!$B$4,"",IF($BB311="-&gt;",$BK311,$BA311))</f>
        <v/>
      </c>
      <c r="BY311" s="86" t="str">
        <f aca="false">IF(ISBLANK($C311),"",IF($BL311&lt;&gt;Constants!$B$4,$BL311,IF(ISNUMBER($BX311),RANK($BX311,$BX$9:$BX$508,0),COUNT($BX$9:$BX$508)+1)))</f>
        <v/>
      </c>
      <c r="BZ311" s="86" t="str">
        <f aca="false">IF(ISBLANK($C311),"",IF($BL311&lt;&gt;Constants!$B$4,$BL311,COUNTIFS($BM$9:$BM$508,"&lt;"&amp;$BM311)+COUNTIFS($BM$9:$BM$508,$BM311,$BP$9:$BP$508,"&lt;"&amp;$BP311)+COUNTIFS($BM$9:$BM$508,$BM311,$BP$9:$BP$508,$BP311,$BS$9:$BS$508,"&lt;"&amp;$BS311)+COUNTIFS($BM$9:$BM$508,$BM311,$BP$9:$BP$508,$BP311,$BS$9:$BS$508,$BS311,$BU$9:$BU$508,"&lt;"&amp;$BU311)+COUNTIFS($BM$9:$BM$508,$BM311,$BP$9:$BP$508,$BP311,$BS$9:$BS$508,$BS311,$BU$9:$BU$508,$BU311,$BW$9:$BW$508,"&lt;"&amp;$BW311)+COUNTIFS($BM$9:$BM$508,$BM311,$BP$9:$BP$508,$BP311,$BS$9:$BS$508,$BS311,$BU$9:$BU$508,$BU311,$BW$9:$BW$508,$BW311,$BY$9:$BY$508,"&lt;"&amp;$BY311)+1))</f>
        <v/>
      </c>
      <c r="CA311" s="86" t="str">
        <f aca="false">IF(ISBLANK($C311),"",IF($BL311&lt;&gt;Constants!$B$4,$BL311,$BQ311-$BZ311))</f>
        <v/>
      </c>
      <c r="CB311" s="93"/>
      <c r="CC311" s="94" t="str">
        <f aca="false">IF(ISBLANK($C311),"",IF($BL311=Constants!$B$8,$AR311,""))</f>
        <v/>
      </c>
      <c r="CD311" s="94" t="str">
        <f aca="false">IF(ISBLANK($C311),"",IF($BL311&lt;&gt;Constants!$B$4,"",IF($BB311="-&gt;",2,1)))</f>
        <v/>
      </c>
      <c r="CE311" s="95" t="str">
        <f aca="false">IF(ISBLANK($C311),"",IF($BL311&lt;&gt;Constants!$B$4,"",IF($BB311="-&gt;",$BE311,$AU311)))</f>
        <v/>
      </c>
      <c r="CF311" s="95" t="str">
        <f aca="false">IF(ISBLANK($C311),"",IF($BL311&lt;&gt;Constants!$B$4,"",IF($BB311="-&gt;",$BF311,$AV311)))</f>
        <v/>
      </c>
      <c r="CG311" s="95" t="str">
        <f aca="false">IF(ISBLANK($C311),"",IF($BL311&lt;&gt;Constants!$B$4,"",IF($BB311="-&gt;",$BG311,$AW311)))</f>
        <v/>
      </c>
      <c r="CH311" s="95" t="str">
        <f aca="false">IF(ISBLANK($C311),"",IF($BL311&lt;&gt;Constants!$B$4,"",IF($BB311="-&gt;",$BH311,$AX311)))</f>
        <v/>
      </c>
      <c r="CI311" s="96" t="str">
        <f aca="false">IF(ISBLANK($C311),"",$BO311)</f>
        <v/>
      </c>
      <c r="CJ311" s="97" t="str">
        <f aca="false">IF(ISBLANK($C311),"",$BM311)</f>
        <v/>
      </c>
      <c r="CK311" s="98" t="str">
        <f aca="false">IF(ISBLANK($C311),"",$CA311)</f>
        <v/>
      </c>
      <c r="CL311" s="98" t="str">
        <f aca="false">IF(ISBLANK($C311),"",$BZ311)</f>
        <v/>
      </c>
      <c r="CM311" s="99" t="str">
        <f aca="false">IF(ISBLANK($C311),"",IF($CL311=Constants!$B$7,COUNTA($C$9:$C$508)+2,IF($CL311=Constants!$B$6,COUNTA($C$9:$C$508)+1,IF($CL311=Constants!$B$5,COUNTA($C$9:$C$508),$CL311))))</f>
        <v/>
      </c>
      <c r="CN311" s="8"/>
      <c r="CO311" s="100" t="n">
        <f aca="false">IF(OR(ISNUMBER($CL311),$CL311=Constants!$B$7,$CL311=Constants!$B$5,$CL311=Constants!$B$6),1,0)</f>
        <v>0</v>
      </c>
      <c r="CP311" s="100" t="n">
        <v>303</v>
      </c>
      <c r="CQ311" s="100" t="str">
        <f aca="false">IF(ISBLANK($C311),"",IF(ISNUMBER($CM311),$CM311+ROW($B311)/1000,""))</f>
        <v/>
      </c>
      <c r="CR311" s="100" t="str">
        <f aca="false">IF(ISNUMBER($CQ311),RANK($CQ311,$CQ$9:$CQ$508,1),"")</f>
        <v/>
      </c>
      <c r="CS311" s="100" t="str">
        <f aca="false">IF(ISBLANK($C311),"",$B311)</f>
        <v/>
      </c>
      <c r="CT311" s="100" t="str">
        <f aca="false">IF(ISBLANK($C311),"",$C311)</f>
        <v/>
      </c>
      <c r="CU311" s="100" t="str">
        <f aca="false">IF(ISBLANK($C311),"",$D311)</f>
        <v/>
      </c>
      <c r="CV311" s="101" t="str">
        <f aca="false">$CJ311</f>
        <v/>
      </c>
      <c r="CW311" s="102" t="str">
        <f aca="false">$CI311</f>
        <v/>
      </c>
      <c r="CX311" s="100" t="str">
        <f aca="false">IF(ISBLANK($C311),"",$CL311)</f>
        <v/>
      </c>
      <c r="CY311" s="103" t="str">
        <f aca="false">IF($CP311&gt;$CO$8,"",VLOOKUP($CP311,$CR$9:$CX$508,7,FALSE()))</f>
        <v/>
      </c>
      <c r="CZ311" s="104" t="str">
        <f aca="false">IF($CP311&gt;$CO$8,"",VLOOKUP($CP311,$CR$9:$CX$508,2,FALSE()))</f>
        <v/>
      </c>
      <c r="DA311" s="104" t="str">
        <f aca="false">IF($CP311&gt;$CO$8,"",VLOOKUP($CP311,$CR$9:$CX$508,3,FALSE()))</f>
        <v/>
      </c>
      <c r="DB311" s="104" t="str">
        <f aca="false">IF($CP311&gt;$CO$8,"",VLOOKUP($CP311,$CR$9:$CX$508,4,FALSE()))</f>
        <v/>
      </c>
      <c r="DC311" s="104" t="str">
        <f aca="false">IF($CP311&gt;$CO$8,"",VLOOKUP($CP311,$CR$9:$CX$508,5,FALSE()))</f>
        <v/>
      </c>
      <c r="DD311" s="105" t="str">
        <f aca="false">IF($CP311&gt;$CO$8,"",VLOOKUP($CP311,$CR$9:$CX$508,6,FALSE()))</f>
        <v/>
      </c>
      <c r="DE311" s="70"/>
    </row>
    <row r="312" customFormat="false" ht="15.75" hidden="false" customHeight="false" outlineLevel="0" collapsed="false">
      <c r="A312" s="8"/>
      <c r="B312" s="146"/>
      <c r="C312" s="147"/>
      <c r="D312" s="148"/>
      <c r="E312" s="164"/>
      <c r="F312" s="150"/>
      <c r="G312" s="115"/>
      <c r="H312" s="115"/>
      <c r="I312" s="115"/>
      <c r="J312" s="165"/>
      <c r="K312" s="154"/>
      <c r="L312" s="154"/>
      <c r="M312" s="118"/>
      <c r="N312" s="154"/>
      <c r="O312" s="153"/>
      <c r="P312" s="154"/>
      <c r="Q312" s="154"/>
      <c r="R312" s="154"/>
      <c r="S312" s="115"/>
      <c r="T312" s="154"/>
      <c r="U312" s="153"/>
      <c r="V312" s="154"/>
      <c r="W312" s="123"/>
      <c r="X312" s="124" t="str">
        <f aca="false">IF(ISBLANK($C312),"",IF($E312=Constants!$B$2,TRUE(),IF($E312=Constants!$B$3,FALSE(),TRUE())))</f>
        <v/>
      </c>
      <c r="Y312" s="124" t="str">
        <f aca="false">IF(ISBLANK($C312),"",IF($F312=Constants!$B$2,TRUE(),IF($F312=Constants!$B$3,FALSE(),TRUE())))</f>
        <v/>
      </c>
      <c r="Z312" s="125" t="str">
        <f aca="false">IF(ISBLANK($C312),"",IF(ISNUMBER($G312),IF($G312&gt;=0,$G312,""),""))</f>
        <v/>
      </c>
      <c r="AA312" s="125" t="str">
        <f aca="false">IF(ISBLANK($C312),"",IF(ISNUMBER($H312),IF($H312&gt;=0,$H312,""),""))</f>
        <v/>
      </c>
      <c r="AB312" s="125" t="str">
        <f aca="false">IF(ISBLANK($C312),"",IF(ISNUMBER($I312),IF($I312&gt;=0,$I312,""),""))</f>
        <v/>
      </c>
      <c r="AC312" s="124" t="str">
        <f aca="false">IF(ISBLANK($C312),"",IF($J312=Constants!$B$2,TRUE(),IF($J312=Constants!$B$3,FALSE(),TRUE())))</f>
        <v/>
      </c>
      <c r="AD312" s="124" t="str">
        <f aca="false">IF(ISBLANK($C312),"",IF($K312=Constants!$B$2,TRUE(),IF($K312=Constants!$B$3,FALSE(),TRUE())))</f>
        <v/>
      </c>
      <c r="AE312" s="124" t="str">
        <f aca="false">IF(ISBLANK($C312),"",IF($L312=Constants!$B$2,TRUE(),IF($L312=Constants!$B$3,FALSE(),TRUE())))</f>
        <v/>
      </c>
      <c r="AF312" s="126" t="str">
        <f aca="false">IF(ISBLANK($C312),"",IF(ISNUMBER($M312),IF($M312&gt;=0,$M312,""),""))</f>
        <v/>
      </c>
      <c r="AG312" s="124" t="str">
        <f aca="false">IF(ISBLANK($C312),"",IF(ISBLANK($N312),0,IF(ISNUMBER($N312),IF(AND($N312&gt;=0,$N312&lt;=Constants!$B$17,$N312=INT($N312)),$N312,""),"")))</f>
        <v/>
      </c>
      <c r="AH312" s="125" t="str">
        <f aca="false">IF(ISBLANK($C312),"",IF(ISBLANK($O312),0,IF(ISNUMBER($O312),IF($O312&gt;=0,$O312,""),"")))</f>
        <v/>
      </c>
      <c r="AI312" s="124" t="str">
        <f aca="false">IF(ISBLANK($C312),"",IF($P312=Constants!$B$2,TRUE(),IF($P312=Constants!$B$3,FALSE(),TRUE())))</f>
        <v/>
      </c>
      <c r="AJ312" s="124" t="str">
        <f aca="false">IF(ISBLANK($C312),"",IF($Q312=Constants!$B$2,TRUE(),IF($Q312=Constants!$B$3,FALSE(),TRUE())))</f>
        <v/>
      </c>
      <c r="AK312" s="124" t="str">
        <f aca="false">IF(ISBLANK($C312),"",IF($R312=Constants!$B$2,TRUE(),IF($R312=Constants!$B$3,FALSE(),TRUE())))</f>
        <v/>
      </c>
      <c r="AL312" s="126" t="str">
        <f aca="false">IF(ISBLANK($C312),"",IF(ISNUMBER($S312),IF($S312&gt;=0,$S312,""),""))</f>
        <v/>
      </c>
      <c r="AM312" s="124" t="str">
        <f aca="false">IF(ISBLANK($C312),"",IF(ISBLANK($T312),0,IF(ISNUMBER($T312),IF(AND($T312&gt;=0,$T312&lt;=Constants!$B$17,$T312=INT($T312)),$T312,""),"")))</f>
        <v/>
      </c>
      <c r="AN312" s="125" t="str">
        <f aca="false">IF(ISBLANK($C312),"",IF(ISBLANK($U312),0,IF(ISNUMBER($U312),IF($U312&gt;=0,$U312,""),"")))</f>
        <v/>
      </c>
      <c r="AO312" s="124" t="str">
        <f aca="false">IF(ISBLANK($C312),"",IF($V312=Constants!$B$2,TRUE(),IF($V312=Constants!$B$3,FALSE(),FALSE())))</f>
        <v/>
      </c>
      <c r="AP312" s="124"/>
      <c r="AQ312" s="123" t="str">
        <f aca="false">IF(ISBLANK($C312),"",AND($Y312,OR($AS312,$BC312),OR($Z312="",$AA312="",$AB312="")))</f>
        <v/>
      </c>
      <c r="AR312" s="123" t="str">
        <f aca="false">IF(ISBLANK($C312),"",IF(OR(NOT($Y312),NOT(OR($AS312,$BC312))),"",IF(ISBLANK($D$7),$AR$5,IF($AP$9="",$AR$6,""))))</f>
        <v/>
      </c>
      <c r="AS312" s="123" t="str">
        <f aca="false">IF(ISBLANK($C312),"",COUNTA($J312:$O312)&gt;0)</f>
        <v/>
      </c>
      <c r="AT312" s="123" t="str">
        <f aca="false">IF(ISBLANK($C312),"",AND($AS312,OR(AND($AF312="",OR($AE312,NOT(ISBLANK($M312)))),$AG312="",$AH312="")))</f>
        <v/>
      </c>
      <c r="AU312" s="125" t="str">
        <f aca="false">IF($BL312&lt;&gt;Constants!$B$4,"",IF(NOT($AS312),"",ROUND((Constants!$B$12-$AB312)+(Constants!$B$13-$Z312)+(Constants!$B$14-$AA312),1)))</f>
        <v/>
      </c>
      <c r="AV312" s="127" t="str">
        <f aca="false">IF($BL312&lt;&gt;Constants!$B$4,"",IF(NOT($AS312),"",IF(NOT($AE312),0,Constants!$B$15*(INT(ROUND(MIN($AF312,$AP$9),6))-INT(ROUND(MAX(0,MIN($AF312,2*$AP$9)-$AP$9),6))))))</f>
        <v/>
      </c>
      <c r="AW312" s="127" t="str">
        <f aca="false">IF($BL312&lt;&gt;Constants!$B$4,"",IF(NOT($AS312),"",Constants!$B$16*$AG312))</f>
        <v/>
      </c>
      <c r="AX312" s="127" t="str">
        <f aca="false">IF($BL312&lt;&gt;Constants!$B$4,"",IF(NOT($AS312),"",Constants!$B$18*INT(ROUND($AH312,6))))</f>
        <v/>
      </c>
      <c r="AY312" s="123" t="str">
        <f aca="false">IF($BL312&lt;&gt;Constants!$B$4,"",IF(NOT($AS312),"",IF(NOT($X312),Constants!$B$11,IF(OR(NOT($AC312),NOT($AD312),ROUND($AB312,1)&gt;Constants!$B$12,ROUND($Z312,1)&gt;Constants!$B$13,ROUND($AA312,1)&gt;Constants!$B$14),Constants!$B$10,Constants!$B$9))))</f>
        <v/>
      </c>
      <c r="AZ312" s="128" t="str">
        <f aca="false">IF($BL312&lt;&gt;Constants!$B$4,"",IF(NOT($AS312),"",ROUND($AU312+$AV312+$AW312+$AX312,1)))</f>
        <v/>
      </c>
      <c r="BA312" s="129" t="str">
        <f aca="false">IF($BL312&lt;&gt;Constants!$B$4,"",IF(NOT($AS312),"",IF(ISNUMBER($AF312),$AF312,0)))</f>
        <v/>
      </c>
      <c r="BB312" s="124" t="str">
        <f aca="false">IF($BL312&lt;&gt;Constants!$B$4,"",IF(NOT($BC312),"&lt;-",IF(NOT($AS312),"-&gt;",IF(OR($BI312&lt;$AY312,AND($BI312=$AY312,OR($BJ312&gt;$AZ312,AND($BJ312=$AZ312,OR($BH312&gt;$AX312,AND($BH312=$AX312,OR($BE312&gt;$AU312,AND($BE312=$AU312,OR($BF312&gt;$AV312,AND($BF312=$AV312,$BK312&gt;$BA312)))))))))),"-&gt;","&lt;-"))))</f>
        <v/>
      </c>
      <c r="BC312" s="123" t="str">
        <f aca="false">IF(ISBLANK($C312),"",COUNTA($P312:$U312)&gt;0)</f>
        <v/>
      </c>
      <c r="BD312" s="123" t="str">
        <f aca="false">IF(ISBLANK($C312),"",AND($BC312,OR(AND($AL312="",OR($AK312,NOT(ISBLANK($S312)))),$AM312="",$AN312="")))</f>
        <v/>
      </c>
      <c r="BE312" s="125" t="str">
        <f aca="false">IF($BL312&lt;&gt;Constants!$B$4,"",IF(NOT($BC312),"",ROUND((Constants!$B$12-$AB312)+(Constants!$B$13-$Z312)+(Constants!$B$14-$AA312),1)))</f>
        <v/>
      </c>
      <c r="BF312" s="127" t="str">
        <f aca="false">IF($BL312&lt;&gt;Constants!$B$4,"",IF(NOT($BC312),"",IF(NOT($AK312),0,Constants!$B$15*(INT(ROUND(MIN($AL312,$AP$9),6))-INT(ROUND(MAX(0,MIN($AL312,2*$AP$9)-$AP$9),6))))))</f>
        <v/>
      </c>
      <c r="BG312" s="127" t="str">
        <f aca="false">IF($BL312&lt;&gt;Constants!$B$4,"",IF(NOT($BC312),"",Constants!$B$16*$AM312))</f>
        <v/>
      </c>
      <c r="BH312" s="127" t="str">
        <f aca="false">IF($BL312&lt;&gt;Constants!$B$4,"",IF(NOT($BC312),"",Constants!$B$18*INT(ROUND($AN312,6))))</f>
        <v/>
      </c>
      <c r="BI312" s="123" t="str">
        <f aca="false">IF($BL312&lt;&gt;Constants!$B$4,"",IF(NOT($BC312),"",IF(NOT($X312),Constants!$B$11,IF(OR(NOT($AI312),NOT($AJ312),ROUND($AB312,1)&gt;Constants!$B$12,ROUND($Z312,1)&gt;Constants!$B$13,ROUND($AA312,1)&gt;Constants!$B$14),Constants!$B$10,Constants!$B$9))))</f>
        <v/>
      </c>
      <c r="BJ312" s="128" t="str">
        <f aca="false">IF($BL312&lt;&gt;Constants!$B$4,"",IF(NOT($BC312),"",ROUND($BE312+$BF312+$BG312+$BH312,1)))</f>
        <v/>
      </c>
      <c r="BK312" s="129" t="str">
        <f aca="false">IF($BL312&lt;&gt;Constants!$B$4,"",IF(NOT($BC312),"",IF(ISNUMBER($AL312),$AL312,0)))</f>
        <v/>
      </c>
      <c r="BL312" s="124" t="str">
        <f aca="false">IF(ISBLANK($C312),"",IF($AO312,Constants!$B$7,IF(COUNTA($E312:$V312)=0,Constants!$B$6,IF(NOT($Y312),Constants!$B$5,IF(NOT(OR($AS312,$BC312)),Constants!$B$5,IF(OR($AT312,$BD312,$AQ312,$AR312&lt;&gt;""),Constants!$B$8,Constants!$B$4))))))</f>
        <v/>
      </c>
      <c r="BM312" s="124" t="str">
        <f aca="false">IF(ISBLANK($C312),"",IF($BL312&lt;&gt;Constants!$B$4,$BL312,IF($BB312="-&gt;",$BI312,$AY312)))</f>
        <v/>
      </c>
      <c r="BN312" s="127" t="str">
        <f aca="false">IF($BL312&lt;&gt;Constants!$B$4,"",IF($BB312="-&gt;",$BJ312,$AZ312))</f>
        <v/>
      </c>
      <c r="BO312" s="127" t="str">
        <f aca="false">IF(ISBLANK($C312),"",IF($BL312&lt;&gt;Constants!$B$4,$BL312,$BN312))</f>
        <v/>
      </c>
      <c r="BP312" s="124" t="str">
        <f aca="false">IF(ISBLANK($C312),"",IF($BL312&lt;&gt;Constants!$B$4,$BL312,RANK($BO312,$BO$9:$BO$508,0)))</f>
        <v/>
      </c>
      <c r="BQ312" s="124" t="str">
        <f aca="false">IF(ISBLANK($C312),"",IF($BL312&lt;&gt;Constants!$B$4,$BL312,COUNTIFS($BM$9:$BM$508,"&lt;"&amp;$BM312)+COUNTIFS($BM$9:$BM$508,$BM312,$BP$9:$BP$508,"&lt;"&amp;$BP312)+1))</f>
        <v/>
      </c>
      <c r="BR312" s="127" t="str">
        <f aca="false">IF($BL312&lt;&gt;Constants!$B$4,"",IF($BB312="-&gt;",$BH312,$AX312))</f>
        <v/>
      </c>
      <c r="BS312" s="124" t="str">
        <f aca="false">IF(ISBLANK($C312),"",IF($BL312&lt;&gt;Constants!$B$4,$BL312,IF(ISNUMBER($BR312),RANK($BR312,$BR$9:$BR$508,0),COUNT($BR$9:$BR$508)+1)))</f>
        <v/>
      </c>
      <c r="BT312" s="127" t="str">
        <f aca="false">IF($BL312&lt;&gt;Constants!$B$4,"",IF($BB312="-&gt;",$BE312,$AU312))</f>
        <v/>
      </c>
      <c r="BU312" s="124" t="str">
        <f aca="false">IF(ISBLANK($C312),"",IF($BL312&lt;&gt;Constants!$B$4,$BL312,IF(ISNUMBER($BT312),RANK($BT312,$BT$9:$BT$508,0),COUNT($BT$9:$BT$508)+1)))</f>
        <v/>
      </c>
      <c r="BV312" s="127" t="str">
        <f aca="false">IF($BL312&lt;&gt;Constants!$B$4,"",IF($BB312="-&gt;",$BF312,$AV312))</f>
        <v/>
      </c>
      <c r="BW312" s="124" t="str">
        <f aca="false">IF(ISBLANK($C312),"",IF($BL312&lt;&gt;Constants!$B$4,$BL312,IF(ISNUMBER($BV312),RANK($BV312,$BV$9:$BV$508,0),COUNT($BV$9:$BV$508)+1)))</f>
        <v/>
      </c>
      <c r="BX312" s="127" t="str">
        <f aca="false">IF($BL312&lt;&gt;Constants!$B$4,"",IF($BB312="-&gt;",$BK312,$BA312))</f>
        <v/>
      </c>
      <c r="BY312" s="124" t="str">
        <f aca="false">IF(ISBLANK($C312),"",IF($BL312&lt;&gt;Constants!$B$4,$BL312,IF(ISNUMBER($BX312),RANK($BX312,$BX$9:$BX$508,0),COUNT($BX$9:$BX$508)+1)))</f>
        <v/>
      </c>
      <c r="BZ312" s="124" t="str">
        <f aca="false">IF(ISBLANK($C312),"",IF($BL312&lt;&gt;Constants!$B$4,$BL312,COUNTIFS($BM$9:$BM$508,"&lt;"&amp;$BM312)+COUNTIFS($BM$9:$BM$508,$BM312,$BP$9:$BP$508,"&lt;"&amp;$BP312)+COUNTIFS($BM$9:$BM$508,$BM312,$BP$9:$BP$508,$BP312,$BS$9:$BS$508,"&lt;"&amp;$BS312)+COUNTIFS($BM$9:$BM$508,$BM312,$BP$9:$BP$508,$BP312,$BS$9:$BS$508,$BS312,$BU$9:$BU$508,"&lt;"&amp;$BU312)+COUNTIFS($BM$9:$BM$508,$BM312,$BP$9:$BP$508,$BP312,$BS$9:$BS$508,$BS312,$BU$9:$BU$508,$BU312,$BW$9:$BW$508,"&lt;"&amp;$BW312)+COUNTIFS($BM$9:$BM$508,$BM312,$BP$9:$BP$508,$BP312,$BS$9:$BS$508,$BS312,$BU$9:$BU$508,$BU312,$BW$9:$BW$508,$BW312,$BY$9:$BY$508,"&lt;"&amp;$BY312)+1))</f>
        <v/>
      </c>
      <c r="CA312" s="124" t="str">
        <f aca="false">IF(ISBLANK($C312),"",IF($BL312&lt;&gt;Constants!$B$4,$BL312,$BQ312-$BZ312))</f>
        <v/>
      </c>
      <c r="CB312" s="130"/>
      <c r="CC312" s="131" t="str">
        <f aca="false">IF(ISBLANK($C312),"",IF($BL312=Constants!$B$8,$AR312,""))</f>
        <v/>
      </c>
      <c r="CD312" s="131" t="str">
        <f aca="false">IF(ISBLANK($C312),"",IF($BL312&lt;&gt;Constants!$B$4,"",IF($BB312="-&gt;",2,1)))</f>
        <v/>
      </c>
      <c r="CE312" s="132" t="str">
        <f aca="false">IF(ISBLANK($C312),"",IF($BL312&lt;&gt;Constants!$B$4,"",IF($BB312="-&gt;",$BE312,$AU312)))</f>
        <v/>
      </c>
      <c r="CF312" s="132" t="str">
        <f aca="false">IF(ISBLANK($C312),"",IF($BL312&lt;&gt;Constants!$B$4,"",IF($BB312="-&gt;",$BF312,$AV312)))</f>
        <v/>
      </c>
      <c r="CG312" s="132" t="str">
        <f aca="false">IF(ISBLANK($C312),"",IF($BL312&lt;&gt;Constants!$B$4,"",IF($BB312="-&gt;",$BG312,$AW312)))</f>
        <v/>
      </c>
      <c r="CH312" s="132" t="str">
        <f aca="false">IF(ISBLANK($C312),"",IF($BL312&lt;&gt;Constants!$B$4,"",IF($BB312="-&gt;",$BH312,$AX312)))</f>
        <v/>
      </c>
      <c r="CI312" s="133" t="str">
        <f aca="false">IF(ISBLANK($C312),"",$BO312)</f>
        <v/>
      </c>
      <c r="CJ312" s="134" t="str">
        <f aca="false">IF(ISBLANK($C312),"",$BM312)</f>
        <v/>
      </c>
      <c r="CK312" s="135" t="str">
        <f aca="false">IF(ISBLANK($C312),"",$CA312)</f>
        <v/>
      </c>
      <c r="CL312" s="135" t="str">
        <f aca="false">IF(ISBLANK($C312),"",$BZ312)</f>
        <v/>
      </c>
      <c r="CM312" s="136" t="str">
        <f aca="false">IF(ISBLANK($C312),"",IF($CL312=Constants!$B$7,COUNTA($C$9:$C$508)+2,IF($CL312=Constants!$B$6,COUNTA($C$9:$C$508)+1,IF($CL312=Constants!$B$5,COUNTA($C$9:$C$508),$CL312))))</f>
        <v/>
      </c>
      <c r="CN312" s="8"/>
      <c r="CO312" s="137" t="n">
        <f aca="false">IF(OR(ISNUMBER($CL312),$CL312=Constants!$B$7,$CL312=Constants!$B$5,$CL312=Constants!$B$6),1,0)</f>
        <v>0</v>
      </c>
      <c r="CP312" s="137" t="n">
        <v>304</v>
      </c>
      <c r="CQ312" s="137" t="str">
        <f aca="false">IF(ISBLANK($C312),"",IF(ISNUMBER($CM312),$CM312+ROW($B312)/1000,""))</f>
        <v/>
      </c>
      <c r="CR312" s="137" t="str">
        <f aca="false">IF(ISNUMBER($CQ312),RANK($CQ312,$CQ$9:$CQ$508,1),"")</f>
        <v/>
      </c>
      <c r="CS312" s="137" t="str">
        <f aca="false">IF(ISBLANK($C312),"",$B312)</f>
        <v/>
      </c>
      <c r="CT312" s="137" t="str">
        <f aca="false">IF(ISBLANK($C312),"",$C312)</f>
        <v/>
      </c>
      <c r="CU312" s="137" t="str">
        <f aca="false">IF(ISBLANK($C312),"",$D312)</f>
        <v/>
      </c>
      <c r="CV312" s="138" t="str">
        <f aca="false">$CJ312</f>
        <v/>
      </c>
      <c r="CW312" s="139" t="str">
        <f aca="false">$CI312</f>
        <v/>
      </c>
      <c r="CX312" s="137" t="str">
        <f aca="false">IF(ISBLANK($C312),"",$CL312)</f>
        <v/>
      </c>
      <c r="CY312" s="140" t="str">
        <f aca="false">IF($CP312&gt;$CO$8,"",VLOOKUP($CP312,$CR$9:$CX$508,7,FALSE()))</f>
        <v/>
      </c>
      <c r="CZ312" s="141" t="str">
        <f aca="false">IF($CP312&gt;$CO$8,"",VLOOKUP($CP312,$CR$9:$CX$508,2,FALSE()))</f>
        <v/>
      </c>
      <c r="DA312" s="141" t="str">
        <f aca="false">IF($CP312&gt;$CO$8,"",VLOOKUP($CP312,$CR$9:$CX$508,3,FALSE()))</f>
        <v/>
      </c>
      <c r="DB312" s="141" t="str">
        <f aca="false">IF($CP312&gt;$CO$8,"",VLOOKUP($CP312,$CR$9:$CX$508,4,FALSE()))</f>
        <v/>
      </c>
      <c r="DC312" s="141" t="str">
        <f aca="false">IF($CP312&gt;$CO$8,"",VLOOKUP($CP312,$CR$9:$CX$508,5,FALSE()))</f>
        <v/>
      </c>
      <c r="DD312" s="142" t="str">
        <f aca="false">IF($CP312&gt;$CO$8,"",VLOOKUP($CP312,$CR$9:$CX$508,6,FALSE()))</f>
        <v/>
      </c>
      <c r="DE312" s="70"/>
    </row>
    <row r="313" customFormat="false" ht="15.75" hidden="false" customHeight="false" outlineLevel="0" collapsed="false">
      <c r="A313" s="8"/>
      <c r="B313" s="146"/>
      <c r="C313" s="147"/>
      <c r="D313" s="148"/>
      <c r="E313" s="164"/>
      <c r="F313" s="150"/>
      <c r="G313" s="115"/>
      <c r="H313" s="115"/>
      <c r="I313" s="115"/>
      <c r="J313" s="165"/>
      <c r="K313" s="154"/>
      <c r="L313" s="154"/>
      <c r="M313" s="118"/>
      <c r="N313" s="154"/>
      <c r="O313" s="153"/>
      <c r="P313" s="154"/>
      <c r="Q313" s="154"/>
      <c r="R313" s="154"/>
      <c r="S313" s="115"/>
      <c r="T313" s="154"/>
      <c r="U313" s="153"/>
      <c r="V313" s="154"/>
      <c r="W313" s="123"/>
      <c r="X313" s="124" t="str">
        <f aca="false">IF(ISBLANK($C313),"",IF($E313=Constants!$B$2,TRUE(),IF($E313=Constants!$B$3,FALSE(),TRUE())))</f>
        <v/>
      </c>
      <c r="Y313" s="124" t="str">
        <f aca="false">IF(ISBLANK($C313),"",IF($F313=Constants!$B$2,TRUE(),IF($F313=Constants!$B$3,FALSE(),TRUE())))</f>
        <v/>
      </c>
      <c r="Z313" s="125" t="str">
        <f aca="false">IF(ISBLANK($C313),"",IF(ISNUMBER($G313),IF($G313&gt;=0,$G313,""),""))</f>
        <v/>
      </c>
      <c r="AA313" s="125" t="str">
        <f aca="false">IF(ISBLANK($C313),"",IF(ISNUMBER($H313),IF($H313&gt;=0,$H313,""),""))</f>
        <v/>
      </c>
      <c r="AB313" s="125" t="str">
        <f aca="false">IF(ISBLANK($C313),"",IF(ISNUMBER($I313),IF($I313&gt;=0,$I313,""),""))</f>
        <v/>
      </c>
      <c r="AC313" s="124" t="str">
        <f aca="false">IF(ISBLANK($C313),"",IF($J313=Constants!$B$2,TRUE(),IF($J313=Constants!$B$3,FALSE(),TRUE())))</f>
        <v/>
      </c>
      <c r="AD313" s="124" t="str">
        <f aca="false">IF(ISBLANK($C313),"",IF($K313=Constants!$B$2,TRUE(),IF($K313=Constants!$B$3,FALSE(),TRUE())))</f>
        <v/>
      </c>
      <c r="AE313" s="124" t="str">
        <f aca="false">IF(ISBLANK($C313),"",IF($L313=Constants!$B$2,TRUE(),IF($L313=Constants!$B$3,FALSE(),TRUE())))</f>
        <v/>
      </c>
      <c r="AF313" s="126" t="str">
        <f aca="false">IF(ISBLANK($C313),"",IF(ISNUMBER($M313),IF($M313&gt;=0,$M313,""),""))</f>
        <v/>
      </c>
      <c r="AG313" s="124" t="str">
        <f aca="false">IF(ISBLANK($C313),"",IF(ISBLANK($N313),0,IF(ISNUMBER($N313),IF(AND($N313&gt;=0,$N313&lt;=Constants!$B$17,$N313=INT($N313)),$N313,""),"")))</f>
        <v/>
      </c>
      <c r="AH313" s="125" t="str">
        <f aca="false">IF(ISBLANK($C313),"",IF(ISBLANK($O313),0,IF(ISNUMBER($O313),IF($O313&gt;=0,$O313,""),"")))</f>
        <v/>
      </c>
      <c r="AI313" s="124" t="str">
        <f aca="false">IF(ISBLANK($C313),"",IF($P313=Constants!$B$2,TRUE(),IF($P313=Constants!$B$3,FALSE(),TRUE())))</f>
        <v/>
      </c>
      <c r="AJ313" s="124" t="str">
        <f aca="false">IF(ISBLANK($C313),"",IF($Q313=Constants!$B$2,TRUE(),IF($Q313=Constants!$B$3,FALSE(),TRUE())))</f>
        <v/>
      </c>
      <c r="AK313" s="124" t="str">
        <f aca="false">IF(ISBLANK($C313),"",IF($R313=Constants!$B$2,TRUE(),IF($R313=Constants!$B$3,FALSE(),TRUE())))</f>
        <v/>
      </c>
      <c r="AL313" s="126" t="str">
        <f aca="false">IF(ISBLANK($C313),"",IF(ISNUMBER($S313),IF($S313&gt;=0,$S313,""),""))</f>
        <v/>
      </c>
      <c r="AM313" s="124" t="str">
        <f aca="false">IF(ISBLANK($C313),"",IF(ISBLANK($T313),0,IF(ISNUMBER($T313),IF(AND($T313&gt;=0,$T313&lt;=Constants!$B$17,$T313=INT($T313)),$T313,""),"")))</f>
        <v/>
      </c>
      <c r="AN313" s="125" t="str">
        <f aca="false">IF(ISBLANK($C313),"",IF(ISBLANK($U313),0,IF(ISNUMBER($U313),IF($U313&gt;=0,$U313,""),"")))</f>
        <v/>
      </c>
      <c r="AO313" s="124" t="str">
        <f aca="false">IF(ISBLANK($C313),"",IF($V313=Constants!$B$2,TRUE(),IF($V313=Constants!$B$3,FALSE(),FALSE())))</f>
        <v/>
      </c>
      <c r="AP313" s="124"/>
      <c r="AQ313" s="123" t="str">
        <f aca="false">IF(ISBLANK($C313),"",AND($Y313,OR($AS313,$BC313),OR($Z313="",$AA313="",$AB313="")))</f>
        <v/>
      </c>
      <c r="AR313" s="123" t="str">
        <f aca="false">IF(ISBLANK($C313),"",IF(OR(NOT($Y313),NOT(OR($AS313,$BC313))),"",IF(ISBLANK($D$7),$AR$5,IF($AP$9="",$AR$6,""))))</f>
        <v/>
      </c>
      <c r="AS313" s="123" t="str">
        <f aca="false">IF(ISBLANK($C313),"",COUNTA($J313:$O313)&gt;0)</f>
        <v/>
      </c>
      <c r="AT313" s="123" t="str">
        <f aca="false">IF(ISBLANK($C313),"",AND($AS313,OR(AND($AF313="",OR($AE313,NOT(ISBLANK($M313)))),$AG313="",$AH313="")))</f>
        <v/>
      </c>
      <c r="AU313" s="125" t="str">
        <f aca="false">IF($BL313&lt;&gt;Constants!$B$4,"",IF(NOT($AS313),"",ROUND((Constants!$B$12-$AB313)+(Constants!$B$13-$Z313)+(Constants!$B$14-$AA313),1)))</f>
        <v/>
      </c>
      <c r="AV313" s="127" t="str">
        <f aca="false">IF($BL313&lt;&gt;Constants!$B$4,"",IF(NOT($AS313),"",IF(NOT($AE313),0,Constants!$B$15*(INT(ROUND(MIN($AF313,$AP$9),6))-INT(ROUND(MAX(0,MIN($AF313,2*$AP$9)-$AP$9),6))))))</f>
        <v/>
      </c>
      <c r="AW313" s="127" t="str">
        <f aca="false">IF($BL313&lt;&gt;Constants!$B$4,"",IF(NOT($AS313),"",Constants!$B$16*$AG313))</f>
        <v/>
      </c>
      <c r="AX313" s="127" t="str">
        <f aca="false">IF($BL313&lt;&gt;Constants!$B$4,"",IF(NOT($AS313),"",Constants!$B$18*INT(ROUND($AH313,6))))</f>
        <v/>
      </c>
      <c r="AY313" s="123" t="str">
        <f aca="false">IF($BL313&lt;&gt;Constants!$B$4,"",IF(NOT($AS313),"",IF(NOT($X313),Constants!$B$11,IF(OR(NOT($AC313),NOT($AD313),ROUND($AB313,1)&gt;Constants!$B$12,ROUND($Z313,1)&gt;Constants!$B$13,ROUND($AA313,1)&gt;Constants!$B$14),Constants!$B$10,Constants!$B$9))))</f>
        <v/>
      </c>
      <c r="AZ313" s="128" t="str">
        <f aca="false">IF($BL313&lt;&gt;Constants!$B$4,"",IF(NOT($AS313),"",ROUND($AU313+$AV313+$AW313+$AX313,1)))</f>
        <v/>
      </c>
      <c r="BA313" s="129" t="str">
        <f aca="false">IF($BL313&lt;&gt;Constants!$B$4,"",IF(NOT($AS313),"",IF(ISNUMBER($AF313),$AF313,0)))</f>
        <v/>
      </c>
      <c r="BB313" s="124" t="str">
        <f aca="false">IF($BL313&lt;&gt;Constants!$B$4,"",IF(NOT($BC313),"&lt;-",IF(NOT($AS313),"-&gt;",IF(OR($BI313&lt;$AY313,AND($BI313=$AY313,OR($BJ313&gt;$AZ313,AND($BJ313=$AZ313,OR($BH313&gt;$AX313,AND($BH313=$AX313,OR($BE313&gt;$AU313,AND($BE313=$AU313,OR($BF313&gt;$AV313,AND($BF313=$AV313,$BK313&gt;$BA313)))))))))),"-&gt;","&lt;-"))))</f>
        <v/>
      </c>
      <c r="BC313" s="123" t="str">
        <f aca="false">IF(ISBLANK($C313),"",COUNTA($P313:$U313)&gt;0)</f>
        <v/>
      </c>
      <c r="BD313" s="123" t="str">
        <f aca="false">IF(ISBLANK($C313),"",AND($BC313,OR(AND($AL313="",OR($AK313,NOT(ISBLANK($S313)))),$AM313="",$AN313="")))</f>
        <v/>
      </c>
      <c r="BE313" s="125" t="str">
        <f aca="false">IF($BL313&lt;&gt;Constants!$B$4,"",IF(NOT($BC313),"",ROUND((Constants!$B$12-$AB313)+(Constants!$B$13-$Z313)+(Constants!$B$14-$AA313),1)))</f>
        <v/>
      </c>
      <c r="BF313" s="127" t="str">
        <f aca="false">IF($BL313&lt;&gt;Constants!$B$4,"",IF(NOT($BC313),"",IF(NOT($AK313),0,Constants!$B$15*(INT(ROUND(MIN($AL313,$AP$9),6))-INT(ROUND(MAX(0,MIN($AL313,2*$AP$9)-$AP$9),6))))))</f>
        <v/>
      </c>
      <c r="BG313" s="127" t="str">
        <f aca="false">IF($BL313&lt;&gt;Constants!$B$4,"",IF(NOT($BC313),"",Constants!$B$16*$AM313))</f>
        <v/>
      </c>
      <c r="BH313" s="127" t="str">
        <f aca="false">IF($BL313&lt;&gt;Constants!$B$4,"",IF(NOT($BC313),"",Constants!$B$18*INT(ROUND($AN313,6))))</f>
        <v/>
      </c>
      <c r="BI313" s="123" t="str">
        <f aca="false">IF($BL313&lt;&gt;Constants!$B$4,"",IF(NOT($BC313),"",IF(NOT($X313),Constants!$B$11,IF(OR(NOT($AI313),NOT($AJ313),ROUND($AB313,1)&gt;Constants!$B$12,ROUND($Z313,1)&gt;Constants!$B$13,ROUND($AA313,1)&gt;Constants!$B$14),Constants!$B$10,Constants!$B$9))))</f>
        <v/>
      </c>
      <c r="BJ313" s="128" t="str">
        <f aca="false">IF($BL313&lt;&gt;Constants!$B$4,"",IF(NOT($BC313),"",ROUND($BE313+$BF313+$BG313+$BH313,1)))</f>
        <v/>
      </c>
      <c r="BK313" s="129" t="str">
        <f aca="false">IF($BL313&lt;&gt;Constants!$B$4,"",IF(NOT($BC313),"",IF(ISNUMBER($AL313),$AL313,0)))</f>
        <v/>
      </c>
      <c r="BL313" s="124" t="str">
        <f aca="false">IF(ISBLANK($C313),"",IF($AO313,Constants!$B$7,IF(COUNTA($E313:$V313)=0,Constants!$B$6,IF(NOT($Y313),Constants!$B$5,IF(NOT(OR($AS313,$BC313)),Constants!$B$5,IF(OR($AT313,$BD313,$AQ313,$AR313&lt;&gt;""),Constants!$B$8,Constants!$B$4))))))</f>
        <v/>
      </c>
      <c r="BM313" s="124" t="str">
        <f aca="false">IF(ISBLANK($C313),"",IF($BL313&lt;&gt;Constants!$B$4,$BL313,IF($BB313="-&gt;",$BI313,$AY313)))</f>
        <v/>
      </c>
      <c r="BN313" s="127" t="str">
        <f aca="false">IF($BL313&lt;&gt;Constants!$B$4,"",IF($BB313="-&gt;",$BJ313,$AZ313))</f>
        <v/>
      </c>
      <c r="BO313" s="127" t="str">
        <f aca="false">IF(ISBLANK($C313),"",IF($BL313&lt;&gt;Constants!$B$4,$BL313,$BN313))</f>
        <v/>
      </c>
      <c r="BP313" s="124" t="str">
        <f aca="false">IF(ISBLANK($C313),"",IF($BL313&lt;&gt;Constants!$B$4,$BL313,RANK($BO313,$BO$9:$BO$508,0)))</f>
        <v/>
      </c>
      <c r="BQ313" s="124" t="str">
        <f aca="false">IF(ISBLANK($C313),"",IF($BL313&lt;&gt;Constants!$B$4,$BL313,COUNTIFS($BM$9:$BM$508,"&lt;"&amp;$BM313)+COUNTIFS($BM$9:$BM$508,$BM313,$BP$9:$BP$508,"&lt;"&amp;$BP313)+1))</f>
        <v/>
      </c>
      <c r="BR313" s="127" t="str">
        <f aca="false">IF($BL313&lt;&gt;Constants!$B$4,"",IF($BB313="-&gt;",$BH313,$AX313))</f>
        <v/>
      </c>
      <c r="BS313" s="124" t="str">
        <f aca="false">IF(ISBLANK($C313),"",IF($BL313&lt;&gt;Constants!$B$4,$BL313,IF(ISNUMBER($BR313),RANK($BR313,$BR$9:$BR$508,0),COUNT($BR$9:$BR$508)+1)))</f>
        <v/>
      </c>
      <c r="BT313" s="127" t="str">
        <f aca="false">IF($BL313&lt;&gt;Constants!$B$4,"",IF($BB313="-&gt;",$BE313,$AU313))</f>
        <v/>
      </c>
      <c r="BU313" s="124" t="str">
        <f aca="false">IF(ISBLANK($C313),"",IF($BL313&lt;&gt;Constants!$B$4,$BL313,IF(ISNUMBER($BT313),RANK($BT313,$BT$9:$BT$508,0),COUNT($BT$9:$BT$508)+1)))</f>
        <v/>
      </c>
      <c r="BV313" s="127" t="str">
        <f aca="false">IF($BL313&lt;&gt;Constants!$B$4,"",IF($BB313="-&gt;",$BF313,$AV313))</f>
        <v/>
      </c>
      <c r="BW313" s="124" t="str">
        <f aca="false">IF(ISBLANK($C313),"",IF($BL313&lt;&gt;Constants!$B$4,$BL313,IF(ISNUMBER($BV313),RANK($BV313,$BV$9:$BV$508,0),COUNT($BV$9:$BV$508)+1)))</f>
        <v/>
      </c>
      <c r="BX313" s="127" t="str">
        <f aca="false">IF($BL313&lt;&gt;Constants!$B$4,"",IF($BB313="-&gt;",$BK313,$BA313))</f>
        <v/>
      </c>
      <c r="BY313" s="124" t="str">
        <f aca="false">IF(ISBLANK($C313),"",IF($BL313&lt;&gt;Constants!$B$4,$BL313,IF(ISNUMBER($BX313),RANK($BX313,$BX$9:$BX$508,0),COUNT($BX$9:$BX$508)+1)))</f>
        <v/>
      </c>
      <c r="BZ313" s="124" t="str">
        <f aca="false">IF(ISBLANK($C313),"",IF($BL313&lt;&gt;Constants!$B$4,$BL313,COUNTIFS($BM$9:$BM$508,"&lt;"&amp;$BM313)+COUNTIFS($BM$9:$BM$508,$BM313,$BP$9:$BP$508,"&lt;"&amp;$BP313)+COUNTIFS($BM$9:$BM$508,$BM313,$BP$9:$BP$508,$BP313,$BS$9:$BS$508,"&lt;"&amp;$BS313)+COUNTIFS($BM$9:$BM$508,$BM313,$BP$9:$BP$508,$BP313,$BS$9:$BS$508,$BS313,$BU$9:$BU$508,"&lt;"&amp;$BU313)+COUNTIFS($BM$9:$BM$508,$BM313,$BP$9:$BP$508,$BP313,$BS$9:$BS$508,$BS313,$BU$9:$BU$508,$BU313,$BW$9:$BW$508,"&lt;"&amp;$BW313)+COUNTIFS($BM$9:$BM$508,$BM313,$BP$9:$BP$508,$BP313,$BS$9:$BS$508,$BS313,$BU$9:$BU$508,$BU313,$BW$9:$BW$508,$BW313,$BY$9:$BY$508,"&lt;"&amp;$BY313)+1))</f>
        <v/>
      </c>
      <c r="CA313" s="124" t="str">
        <f aca="false">IF(ISBLANK($C313),"",IF($BL313&lt;&gt;Constants!$B$4,$BL313,$BQ313-$BZ313))</f>
        <v/>
      </c>
      <c r="CB313" s="130"/>
      <c r="CC313" s="131" t="str">
        <f aca="false">IF(ISBLANK($C313),"",IF($BL313=Constants!$B$8,$AR313,""))</f>
        <v/>
      </c>
      <c r="CD313" s="131" t="str">
        <f aca="false">IF(ISBLANK($C313),"",IF($BL313&lt;&gt;Constants!$B$4,"",IF($BB313="-&gt;",2,1)))</f>
        <v/>
      </c>
      <c r="CE313" s="132" t="str">
        <f aca="false">IF(ISBLANK($C313),"",IF($BL313&lt;&gt;Constants!$B$4,"",IF($BB313="-&gt;",$BE313,$AU313)))</f>
        <v/>
      </c>
      <c r="CF313" s="132" t="str">
        <f aca="false">IF(ISBLANK($C313),"",IF($BL313&lt;&gt;Constants!$B$4,"",IF($BB313="-&gt;",$BF313,$AV313)))</f>
        <v/>
      </c>
      <c r="CG313" s="132" t="str">
        <f aca="false">IF(ISBLANK($C313),"",IF($BL313&lt;&gt;Constants!$B$4,"",IF($BB313="-&gt;",$BG313,$AW313)))</f>
        <v/>
      </c>
      <c r="CH313" s="132" t="str">
        <f aca="false">IF(ISBLANK($C313),"",IF($BL313&lt;&gt;Constants!$B$4,"",IF($BB313="-&gt;",$BH313,$AX313)))</f>
        <v/>
      </c>
      <c r="CI313" s="133" t="str">
        <f aca="false">IF(ISBLANK($C313),"",$BO313)</f>
        <v/>
      </c>
      <c r="CJ313" s="134" t="str">
        <f aca="false">IF(ISBLANK($C313),"",$BM313)</f>
        <v/>
      </c>
      <c r="CK313" s="135" t="str">
        <f aca="false">IF(ISBLANK($C313),"",$CA313)</f>
        <v/>
      </c>
      <c r="CL313" s="135" t="str">
        <f aca="false">IF(ISBLANK($C313),"",$BZ313)</f>
        <v/>
      </c>
      <c r="CM313" s="136" t="str">
        <f aca="false">IF(ISBLANK($C313),"",IF($CL313=Constants!$B$7,COUNTA($C$9:$C$508)+2,IF($CL313=Constants!$B$6,COUNTA($C$9:$C$508)+1,IF($CL313=Constants!$B$5,COUNTA($C$9:$C$508),$CL313))))</f>
        <v/>
      </c>
      <c r="CN313" s="8"/>
      <c r="CO313" s="137" t="n">
        <f aca="false">IF(OR(ISNUMBER($CL313),$CL313=Constants!$B$7,$CL313=Constants!$B$5,$CL313=Constants!$B$6),1,0)</f>
        <v>0</v>
      </c>
      <c r="CP313" s="137" t="n">
        <v>305</v>
      </c>
      <c r="CQ313" s="137" t="str">
        <f aca="false">IF(ISBLANK($C313),"",IF(ISNUMBER($CM313),$CM313+ROW($B313)/1000,""))</f>
        <v/>
      </c>
      <c r="CR313" s="137" t="str">
        <f aca="false">IF(ISNUMBER($CQ313),RANK($CQ313,$CQ$9:$CQ$508,1),"")</f>
        <v/>
      </c>
      <c r="CS313" s="137" t="str">
        <f aca="false">IF(ISBLANK($C313),"",$B313)</f>
        <v/>
      </c>
      <c r="CT313" s="137" t="str">
        <f aca="false">IF(ISBLANK($C313),"",$C313)</f>
        <v/>
      </c>
      <c r="CU313" s="137" t="str">
        <f aca="false">IF(ISBLANK($C313),"",$D313)</f>
        <v/>
      </c>
      <c r="CV313" s="138" t="str">
        <f aca="false">$CJ313</f>
        <v/>
      </c>
      <c r="CW313" s="139" t="str">
        <f aca="false">$CI313</f>
        <v/>
      </c>
      <c r="CX313" s="137" t="str">
        <f aca="false">IF(ISBLANK($C313),"",$CL313)</f>
        <v/>
      </c>
      <c r="CY313" s="140" t="str">
        <f aca="false">IF($CP313&gt;$CO$8,"",VLOOKUP($CP313,$CR$9:$CX$508,7,FALSE()))</f>
        <v/>
      </c>
      <c r="CZ313" s="141" t="str">
        <f aca="false">IF($CP313&gt;$CO$8,"",VLOOKUP($CP313,$CR$9:$CX$508,2,FALSE()))</f>
        <v/>
      </c>
      <c r="DA313" s="141" t="str">
        <f aca="false">IF($CP313&gt;$CO$8,"",VLOOKUP($CP313,$CR$9:$CX$508,3,FALSE()))</f>
        <v/>
      </c>
      <c r="DB313" s="141" t="str">
        <f aca="false">IF($CP313&gt;$CO$8,"",VLOOKUP($CP313,$CR$9:$CX$508,4,FALSE()))</f>
        <v/>
      </c>
      <c r="DC313" s="141" t="str">
        <f aca="false">IF($CP313&gt;$CO$8,"",VLOOKUP($CP313,$CR$9:$CX$508,5,FALSE()))</f>
        <v/>
      </c>
      <c r="DD313" s="142" t="str">
        <f aca="false">IF($CP313&gt;$CO$8,"",VLOOKUP($CP313,$CR$9:$CX$508,6,FALSE()))</f>
        <v/>
      </c>
      <c r="DE313" s="70"/>
    </row>
    <row r="314" customFormat="false" ht="15.75" hidden="false" customHeight="false" outlineLevel="0" collapsed="false">
      <c r="A314" s="8"/>
      <c r="B314" s="146"/>
      <c r="C314" s="147"/>
      <c r="D314" s="148"/>
      <c r="E314" s="164"/>
      <c r="F314" s="150"/>
      <c r="G314" s="115"/>
      <c r="H314" s="115"/>
      <c r="I314" s="115"/>
      <c r="J314" s="165"/>
      <c r="K314" s="154"/>
      <c r="L314" s="154"/>
      <c r="M314" s="118"/>
      <c r="N314" s="154"/>
      <c r="O314" s="153"/>
      <c r="P314" s="154"/>
      <c r="Q314" s="154"/>
      <c r="R314" s="154"/>
      <c r="S314" s="115"/>
      <c r="T314" s="154"/>
      <c r="U314" s="153"/>
      <c r="V314" s="154"/>
      <c r="W314" s="123"/>
      <c r="X314" s="124" t="str">
        <f aca="false">IF(ISBLANK($C314),"",IF($E314=Constants!$B$2,TRUE(),IF($E314=Constants!$B$3,FALSE(),TRUE())))</f>
        <v/>
      </c>
      <c r="Y314" s="124" t="str">
        <f aca="false">IF(ISBLANK($C314),"",IF($F314=Constants!$B$2,TRUE(),IF($F314=Constants!$B$3,FALSE(),TRUE())))</f>
        <v/>
      </c>
      <c r="Z314" s="125" t="str">
        <f aca="false">IF(ISBLANK($C314),"",IF(ISNUMBER($G314),IF($G314&gt;=0,$G314,""),""))</f>
        <v/>
      </c>
      <c r="AA314" s="125" t="str">
        <f aca="false">IF(ISBLANK($C314),"",IF(ISNUMBER($H314),IF($H314&gt;=0,$H314,""),""))</f>
        <v/>
      </c>
      <c r="AB314" s="125" t="str">
        <f aca="false">IF(ISBLANK($C314),"",IF(ISNUMBER($I314),IF($I314&gt;=0,$I314,""),""))</f>
        <v/>
      </c>
      <c r="AC314" s="124" t="str">
        <f aca="false">IF(ISBLANK($C314),"",IF($J314=Constants!$B$2,TRUE(),IF($J314=Constants!$B$3,FALSE(),TRUE())))</f>
        <v/>
      </c>
      <c r="AD314" s="124" t="str">
        <f aca="false">IF(ISBLANK($C314),"",IF($K314=Constants!$B$2,TRUE(),IF($K314=Constants!$B$3,FALSE(),TRUE())))</f>
        <v/>
      </c>
      <c r="AE314" s="124" t="str">
        <f aca="false">IF(ISBLANK($C314),"",IF($L314=Constants!$B$2,TRUE(),IF($L314=Constants!$B$3,FALSE(),TRUE())))</f>
        <v/>
      </c>
      <c r="AF314" s="126" t="str">
        <f aca="false">IF(ISBLANK($C314),"",IF(ISNUMBER($M314),IF($M314&gt;=0,$M314,""),""))</f>
        <v/>
      </c>
      <c r="AG314" s="124" t="str">
        <f aca="false">IF(ISBLANK($C314),"",IF(ISBLANK($N314),0,IF(ISNUMBER($N314),IF(AND($N314&gt;=0,$N314&lt;=Constants!$B$17,$N314=INT($N314)),$N314,""),"")))</f>
        <v/>
      </c>
      <c r="AH314" s="125" t="str">
        <f aca="false">IF(ISBLANK($C314),"",IF(ISBLANK($O314),0,IF(ISNUMBER($O314),IF($O314&gt;=0,$O314,""),"")))</f>
        <v/>
      </c>
      <c r="AI314" s="124" t="str">
        <f aca="false">IF(ISBLANK($C314),"",IF($P314=Constants!$B$2,TRUE(),IF($P314=Constants!$B$3,FALSE(),TRUE())))</f>
        <v/>
      </c>
      <c r="AJ314" s="124" t="str">
        <f aca="false">IF(ISBLANK($C314),"",IF($Q314=Constants!$B$2,TRUE(),IF($Q314=Constants!$B$3,FALSE(),TRUE())))</f>
        <v/>
      </c>
      <c r="AK314" s="124" t="str">
        <f aca="false">IF(ISBLANK($C314),"",IF($R314=Constants!$B$2,TRUE(),IF($R314=Constants!$B$3,FALSE(),TRUE())))</f>
        <v/>
      </c>
      <c r="AL314" s="126" t="str">
        <f aca="false">IF(ISBLANK($C314),"",IF(ISNUMBER($S314),IF($S314&gt;=0,$S314,""),""))</f>
        <v/>
      </c>
      <c r="AM314" s="124" t="str">
        <f aca="false">IF(ISBLANK($C314),"",IF(ISBLANK($T314),0,IF(ISNUMBER($T314),IF(AND($T314&gt;=0,$T314&lt;=Constants!$B$17,$T314=INT($T314)),$T314,""),"")))</f>
        <v/>
      </c>
      <c r="AN314" s="125" t="str">
        <f aca="false">IF(ISBLANK($C314),"",IF(ISBLANK($U314),0,IF(ISNUMBER($U314),IF($U314&gt;=0,$U314,""),"")))</f>
        <v/>
      </c>
      <c r="AO314" s="124" t="str">
        <f aca="false">IF(ISBLANK($C314),"",IF($V314=Constants!$B$2,TRUE(),IF($V314=Constants!$B$3,FALSE(),FALSE())))</f>
        <v/>
      </c>
      <c r="AP314" s="124"/>
      <c r="AQ314" s="123" t="str">
        <f aca="false">IF(ISBLANK($C314),"",AND($Y314,OR($AS314,$BC314),OR($Z314="",$AA314="",$AB314="")))</f>
        <v/>
      </c>
      <c r="AR314" s="123" t="str">
        <f aca="false">IF(ISBLANK($C314),"",IF(OR(NOT($Y314),NOT(OR($AS314,$BC314))),"",IF(ISBLANK($D$7),$AR$5,IF($AP$9="",$AR$6,""))))</f>
        <v/>
      </c>
      <c r="AS314" s="123" t="str">
        <f aca="false">IF(ISBLANK($C314),"",COUNTA($J314:$O314)&gt;0)</f>
        <v/>
      </c>
      <c r="AT314" s="123" t="str">
        <f aca="false">IF(ISBLANK($C314),"",AND($AS314,OR(AND($AF314="",OR($AE314,NOT(ISBLANK($M314)))),$AG314="",$AH314="")))</f>
        <v/>
      </c>
      <c r="AU314" s="125" t="str">
        <f aca="false">IF($BL314&lt;&gt;Constants!$B$4,"",IF(NOT($AS314),"",ROUND((Constants!$B$12-$AB314)+(Constants!$B$13-$Z314)+(Constants!$B$14-$AA314),1)))</f>
        <v/>
      </c>
      <c r="AV314" s="127" t="str">
        <f aca="false">IF($BL314&lt;&gt;Constants!$B$4,"",IF(NOT($AS314),"",IF(NOT($AE314),0,Constants!$B$15*(INT(ROUND(MIN($AF314,$AP$9),6))-INT(ROUND(MAX(0,MIN($AF314,2*$AP$9)-$AP$9),6))))))</f>
        <v/>
      </c>
      <c r="AW314" s="127" t="str">
        <f aca="false">IF($BL314&lt;&gt;Constants!$B$4,"",IF(NOT($AS314),"",Constants!$B$16*$AG314))</f>
        <v/>
      </c>
      <c r="AX314" s="127" t="str">
        <f aca="false">IF($BL314&lt;&gt;Constants!$B$4,"",IF(NOT($AS314),"",Constants!$B$18*INT(ROUND($AH314,6))))</f>
        <v/>
      </c>
      <c r="AY314" s="123" t="str">
        <f aca="false">IF($BL314&lt;&gt;Constants!$B$4,"",IF(NOT($AS314),"",IF(NOT($X314),Constants!$B$11,IF(OR(NOT($AC314),NOT($AD314),ROUND($AB314,1)&gt;Constants!$B$12,ROUND($Z314,1)&gt;Constants!$B$13,ROUND($AA314,1)&gt;Constants!$B$14),Constants!$B$10,Constants!$B$9))))</f>
        <v/>
      </c>
      <c r="AZ314" s="128" t="str">
        <f aca="false">IF($BL314&lt;&gt;Constants!$B$4,"",IF(NOT($AS314),"",ROUND($AU314+$AV314+$AW314+$AX314,1)))</f>
        <v/>
      </c>
      <c r="BA314" s="129" t="str">
        <f aca="false">IF($BL314&lt;&gt;Constants!$B$4,"",IF(NOT($AS314),"",IF(ISNUMBER($AF314),$AF314,0)))</f>
        <v/>
      </c>
      <c r="BB314" s="124" t="str">
        <f aca="false">IF($BL314&lt;&gt;Constants!$B$4,"",IF(NOT($BC314),"&lt;-",IF(NOT($AS314),"-&gt;",IF(OR($BI314&lt;$AY314,AND($BI314=$AY314,OR($BJ314&gt;$AZ314,AND($BJ314=$AZ314,OR($BH314&gt;$AX314,AND($BH314=$AX314,OR($BE314&gt;$AU314,AND($BE314=$AU314,OR($BF314&gt;$AV314,AND($BF314=$AV314,$BK314&gt;$BA314)))))))))),"-&gt;","&lt;-"))))</f>
        <v/>
      </c>
      <c r="BC314" s="123" t="str">
        <f aca="false">IF(ISBLANK($C314),"",COUNTA($P314:$U314)&gt;0)</f>
        <v/>
      </c>
      <c r="BD314" s="123" t="str">
        <f aca="false">IF(ISBLANK($C314),"",AND($BC314,OR(AND($AL314="",OR($AK314,NOT(ISBLANK($S314)))),$AM314="",$AN314="")))</f>
        <v/>
      </c>
      <c r="BE314" s="125" t="str">
        <f aca="false">IF($BL314&lt;&gt;Constants!$B$4,"",IF(NOT($BC314),"",ROUND((Constants!$B$12-$AB314)+(Constants!$B$13-$Z314)+(Constants!$B$14-$AA314),1)))</f>
        <v/>
      </c>
      <c r="BF314" s="127" t="str">
        <f aca="false">IF($BL314&lt;&gt;Constants!$B$4,"",IF(NOT($BC314),"",IF(NOT($AK314),0,Constants!$B$15*(INT(ROUND(MIN($AL314,$AP$9),6))-INT(ROUND(MAX(0,MIN($AL314,2*$AP$9)-$AP$9),6))))))</f>
        <v/>
      </c>
      <c r="BG314" s="127" t="str">
        <f aca="false">IF($BL314&lt;&gt;Constants!$B$4,"",IF(NOT($BC314),"",Constants!$B$16*$AM314))</f>
        <v/>
      </c>
      <c r="BH314" s="127" t="str">
        <f aca="false">IF($BL314&lt;&gt;Constants!$B$4,"",IF(NOT($BC314),"",Constants!$B$18*INT(ROUND($AN314,6))))</f>
        <v/>
      </c>
      <c r="BI314" s="123" t="str">
        <f aca="false">IF($BL314&lt;&gt;Constants!$B$4,"",IF(NOT($BC314),"",IF(NOT($X314),Constants!$B$11,IF(OR(NOT($AI314),NOT($AJ314),ROUND($AB314,1)&gt;Constants!$B$12,ROUND($Z314,1)&gt;Constants!$B$13,ROUND($AA314,1)&gt;Constants!$B$14),Constants!$B$10,Constants!$B$9))))</f>
        <v/>
      </c>
      <c r="BJ314" s="128" t="str">
        <f aca="false">IF($BL314&lt;&gt;Constants!$B$4,"",IF(NOT($BC314),"",ROUND($BE314+$BF314+$BG314+$BH314,1)))</f>
        <v/>
      </c>
      <c r="BK314" s="129" t="str">
        <f aca="false">IF($BL314&lt;&gt;Constants!$B$4,"",IF(NOT($BC314),"",IF(ISNUMBER($AL314),$AL314,0)))</f>
        <v/>
      </c>
      <c r="BL314" s="124" t="str">
        <f aca="false">IF(ISBLANK($C314),"",IF($AO314,Constants!$B$7,IF(COUNTA($E314:$V314)=0,Constants!$B$6,IF(NOT($Y314),Constants!$B$5,IF(NOT(OR($AS314,$BC314)),Constants!$B$5,IF(OR($AT314,$BD314,$AQ314,$AR314&lt;&gt;""),Constants!$B$8,Constants!$B$4))))))</f>
        <v/>
      </c>
      <c r="BM314" s="124" t="str">
        <f aca="false">IF(ISBLANK($C314),"",IF($BL314&lt;&gt;Constants!$B$4,$BL314,IF($BB314="-&gt;",$BI314,$AY314)))</f>
        <v/>
      </c>
      <c r="BN314" s="127" t="str">
        <f aca="false">IF($BL314&lt;&gt;Constants!$B$4,"",IF($BB314="-&gt;",$BJ314,$AZ314))</f>
        <v/>
      </c>
      <c r="BO314" s="127" t="str">
        <f aca="false">IF(ISBLANK($C314),"",IF($BL314&lt;&gt;Constants!$B$4,$BL314,$BN314))</f>
        <v/>
      </c>
      <c r="BP314" s="124" t="str">
        <f aca="false">IF(ISBLANK($C314),"",IF($BL314&lt;&gt;Constants!$B$4,$BL314,RANK($BO314,$BO$9:$BO$508,0)))</f>
        <v/>
      </c>
      <c r="BQ314" s="124" t="str">
        <f aca="false">IF(ISBLANK($C314),"",IF($BL314&lt;&gt;Constants!$B$4,$BL314,COUNTIFS($BM$9:$BM$508,"&lt;"&amp;$BM314)+COUNTIFS($BM$9:$BM$508,$BM314,$BP$9:$BP$508,"&lt;"&amp;$BP314)+1))</f>
        <v/>
      </c>
      <c r="BR314" s="127" t="str">
        <f aca="false">IF($BL314&lt;&gt;Constants!$B$4,"",IF($BB314="-&gt;",$BH314,$AX314))</f>
        <v/>
      </c>
      <c r="BS314" s="124" t="str">
        <f aca="false">IF(ISBLANK($C314),"",IF($BL314&lt;&gt;Constants!$B$4,$BL314,IF(ISNUMBER($BR314),RANK($BR314,$BR$9:$BR$508,0),COUNT($BR$9:$BR$508)+1)))</f>
        <v/>
      </c>
      <c r="BT314" s="127" t="str">
        <f aca="false">IF($BL314&lt;&gt;Constants!$B$4,"",IF($BB314="-&gt;",$BE314,$AU314))</f>
        <v/>
      </c>
      <c r="BU314" s="124" t="str">
        <f aca="false">IF(ISBLANK($C314),"",IF($BL314&lt;&gt;Constants!$B$4,$BL314,IF(ISNUMBER($BT314),RANK($BT314,$BT$9:$BT$508,0),COUNT($BT$9:$BT$508)+1)))</f>
        <v/>
      </c>
      <c r="BV314" s="127" t="str">
        <f aca="false">IF($BL314&lt;&gt;Constants!$B$4,"",IF($BB314="-&gt;",$BF314,$AV314))</f>
        <v/>
      </c>
      <c r="BW314" s="124" t="str">
        <f aca="false">IF(ISBLANK($C314),"",IF($BL314&lt;&gt;Constants!$B$4,$BL314,IF(ISNUMBER($BV314),RANK($BV314,$BV$9:$BV$508,0),COUNT($BV$9:$BV$508)+1)))</f>
        <v/>
      </c>
      <c r="BX314" s="127" t="str">
        <f aca="false">IF($BL314&lt;&gt;Constants!$B$4,"",IF($BB314="-&gt;",$BK314,$BA314))</f>
        <v/>
      </c>
      <c r="BY314" s="124" t="str">
        <f aca="false">IF(ISBLANK($C314),"",IF($BL314&lt;&gt;Constants!$B$4,$BL314,IF(ISNUMBER($BX314),RANK($BX314,$BX$9:$BX$508,0),COUNT($BX$9:$BX$508)+1)))</f>
        <v/>
      </c>
      <c r="BZ314" s="124" t="str">
        <f aca="false">IF(ISBLANK($C314),"",IF($BL314&lt;&gt;Constants!$B$4,$BL314,COUNTIFS($BM$9:$BM$508,"&lt;"&amp;$BM314)+COUNTIFS($BM$9:$BM$508,$BM314,$BP$9:$BP$508,"&lt;"&amp;$BP314)+COUNTIFS($BM$9:$BM$508,$BM314,$BP$9:$BP$508,$BP314,$BS$9:$BS$508,"&lt;"&amp;$BS314)+COUNTIFS($BM$9:$BM$508,$BM314,$BP$9:$BP$508,$BP314,$BS$9:$BS$508,$BS314,$BU$9:$BU$508,"&lt;"&amp;$BU314)+COUNTIFS($BM$9:$BM$508,$BM314,$BP$9:$BP$508,$BP314,$BS$9:$BS$508,$BS314,$BU$9:$BU$508,$BU314,$BW$9:$BW$508,"&lt;"&amp;$BW314)+COUNTIFS($BM$9:$BM$508,$BM314,$BP$9:$BP$508,$BP314,$BS$9:$BS$508,$BS314,$BU$9:$BU$508,$BU314,$BW$9:$BW$508,$BW314,$BY$9:$BY$508,"&lt;"&amp;$BY314)+1))</f>
        <v/>
      </c>
      <c r="CA314" s="124" t="str">
        <f aca="false">IF(ISBLANK($C314),"",IF($BL314&lt;&gt;Constants!$B$4,$BL314,$BQ314-$BZ314))</f>
        <v/>
      </c>
      <c r="CB314" s="130"/>
      <c r="CC314" s="131" t="str">
        <f aca="false">IF(ISBLANK($C314),"",IF($BL314=Constants!$B$8,$AR314,""))</f>
        <v/>
      </c>
      <c r="CD314" s="131" t="str">
        <f aca="false">IF(ISBLANK($C314),"",IF($BL314&lt;&gt;Constants!$B$4,"",IF($BB314="-&gt;",2,1)))</f>
        <v/>
      </c>
      <c r="CE314" s="132" t="str">
        <f aca="false">IF(ISBLANK($C314),"",IF($BL314&lt;&gt;Constants!$B$4,"",IF($BB314="-&gt;",$BE314,$AU314)))</f>
        <v/>
      </c>
      <c r="CF314" s="132" t="str">
        <f aca="false">IF(ISBLANK($C314),"",IF($BL314&lt;&gt;Constants!$B$4,"",IF($BB314="-&gt;",$BF314,$AV314)))</f>
        <v/>
      </c>
      <c r="CG314" s="132" t="str">
        <f aca="false">IF(ISBLANK($C314),"",IF($BL314&lt;&gt;Constants!$B$4,"",IF($BB314="-&gt;",$BG314,$AW314)))</f>
        <v/>
      </c>
      <c r="CH314" s="132" t="str">
        <f aca="false">IF(ISBLANK($C314),"",IF($BL314&lt;&gt;Constants!$B$4,"",IF($BB314="-&gt;",$BH314,$AX314)))</f>
        <v/>
      </c>
      <c r="CI314" s="133" t="str">
        <f aca="false">IF(ISBLANK($C314),"",$BO314)</f>
        <v/>
      </c>
      <c r="CJ314" s="134" t="str">
        <f aca="false">IF(ISBLANK($C314),"",$BM314)</f>
        <v/>
      </c>
      <c r="CK314" s="135" t="str">
        <f aca="false">IF(ISBLANK($C314),"",$CA314)</f>
        <v/>
      </c>
      <c r="CL314" s="135" t="str">
        <f aca="false">IF(ISBLANK($C314),"",$BZ314)</f>
        <v/>
      </c>
      <c r="CM314" s="136" t="str">
        <f aca="false">IF(ISBLANK($C314),"",IF($CL314=Constants!$B$7,COUNTA($C$9:$C$508)+2,IF($CL314=Constants!$B$6,COUNTA($C$9:$C$508)+1,IF($CL314=Constants!$B$5,COUNTA($C$9:$C$508),$CL314))))</f>
        <v/>
      </c>
      <c r="CN314" s="8"/>
      <c r="CO314" s="137" t="n">
        <f aca="false">IF(OR(ISNUMBER($CL314),$CL314=Constants!$B$7,$CL314=Constants!$B$5,$CL314=Constants!$B$6),1,0)</f>
        <v>0</v>
      </c>
      <c r="CP314" s="137" t="n">
        <v>306</v>
      </c>
      <c r="CQ314" s="137" t="str">
        <f aca="false">IF(ISBLANK($C314),"",IF(ISNUMBER($CM314),$CM314+ROW($B314)/1000,""))</f>
        <v/>
      </c>
      <c r="CR314" s="137" t="str">
        <f aca="false">IF(ISNUMBER($CQ314),RANK($CQ314,$CQ$9:$CQ$508,1),"")</f>
        <v/>
      </c>
      <c r="CS314" s="137" t="str">
        <f aca="false">IF(ISBLANK($C314),"",$B314)</f>
        <v/>
      </c>
      <c r="CT314" s="137" t="str">
        <f aca="false">IF(ISBLANK($C314),"",$C314)</f>
        <v/>
      </c>
      <c r="CU314" s="137" t="str">
        <f aca="false">IF(ISBLANK($C314),"",$D314)</f>
        <v/>
      </c>
      <c r="CV314" s="138" t="str">
        <f aca="false">$CJ314</f>
        <v/>
      </c>
      <c r="CW314" s="139" t="str">
        <f aca="false">$CI314</f>
        <v/>
      </c>
      <c r="CX314" s="137" t="str">
        <f aca="false">IF(ISBLANK($C314),"",$CL314)</f>
        <v/>
      </c>
      <c r="CY314" s="140" t="str">
        <f aca="false">IF($CP314&gt;$CO$8,"",VLOOKUP($CP314,$CR$9:$CX$508,7,FALSE()))</f>
        <v/>
      </c>
      <c r="CZ314" s="141" t="str">
        <f aca="false">IF($CP314&gt;$CO$8,"",VLOOKUP($CP314,$CR$9:$CX$508,2,FALSE()))</f>
        <v/>
      </c>
      <c r="DA314" s="141" t="str">
        <f aca="false">IF($CP314&gt;$CO$8,"",VLOOKUP($CP314,$CR$9:$CX$508,3,FALSE()))</f>
        <v/>
      </c>
      <c r="DB314" s="141" t="str">
        <f aca="false">IF($CP314&gt;$CO$8,"",VLOOKUP($CP314,$CR$9:$CX$508,4,FALSE()))</f>
        <v/>
      </c>
      <c r="DC314" s="141" t="str">
        <f aca="false">IF($CP314&gt;$CO$8,"",VLOOKUP($CP314,$CR$9:$CX$508,5,FALSE()))</f>
        <v/>
      </c>
      <c r="DD314" s="142" t="str">
        <f aca="false">IF($CP314&gt;$CO$8,"",VLOOKUP($CP314,$CR$9:$CX$508,6,FALSE()))</f>
        <v/>
      </c>
      <c r="DE314" s="70"/>
    </row>
    <row r="315" customFormat="false" ht="15.75" hidden="false" customHeight="false" outlineLevel="0" collapsed="false">
      <c r="A315" s="8"/>
      <c r="B315" s="72"/>
      <c r="C315" s="73"/>
      <c r="D315" s="155"/>
      <c r="E315" s="162"/>
      <c r="F315" s="157"/>
      <c r="G315" s="77"/>
      <c r="H315" s="77"/>
      <c r="I315" s="77"/>
      <c r="J315" s="163"/>
      <c r="K315" s="161"/>
      <c r="L315" s="161"/>
      <c r="M315" s="80"/>
      <c r="N315" s="161"/>
      <c r="O315" s="160"/>
      <c r="P315" s="161"/>
      <c r="Q315" s="161"/>
      <c r="R315" s="161"/>
      <c r="S315" s="77"/>
      <c r="T315" s="161"/>
      <c r="U315" s="160"/>
      <c r="V315" s="161"/>
      <c r="W315" s="85"/>
      <c r="X315" s="86" t="str">
        <f aca="false">IF(ISBLANK($C315),"",IF($E315=Constants!$B$2,TRUE(),IF($E315=Constants!$B$3,FALSE(),TRUE())))</f>
        <v/>
      </c>
      <c r="Y315" s="86" t="str">
        <f aca="false">IF(ISBLANK($C315),"",IF($F315=Constants!$B$2,TRUE(),IF($F315=Constants!$B$3,FALSE(),TRUE())))</f>
        <v/>
      </c>
      <c r="Z315" s="87" t="str">
        <f aca="false">IF(ISBLANK($C315),"",IF(ISNUMBER($G315),IF($G315&gt;=0,$G315,""),""))</f>
        <v/>
      </c>
      <c r="AA315" s="87" t="str">
        <f aca="false">IF(ISBLANK($C315),"",IF(ISNUMBER($H315),IF($H315&gt;=0,$H315,""),""))</f>
        <v/>
      </c>
      <c r="AB315" s="87" t="str">
        <f aca="false">IF(ISBLANK($C315),"",IF(ISNUMBER($I315),IF($I315&gt;=0,$I315,""),""))</f>
        <v/>
      </c>
      <c r="AC315" s="86" t="str">
        <f aca="false">IF(ISBLANK($C315),"",IF($J315=Constants!$B$2,TRUE(),IF($J315=Constants!$B$3,FALSE(),TRUE())))</f>
        <v/>
      </c>
      <c r="AD315" s="86" t="str">
        <f aca="false">IF(ISBLANK($C315),"",IF($K315=Constants!$B$2,TRUE(),IF($K315=Constants!$B$3,FALSE(),TRUE())))</f>
        <v/>
      </c>
      <c r="AE315" s="86" t="str">
        <f aca="false">IF(ISBLANK($C315),"",IF($L315=Constants!$B$2,TRUE(),IF($L315=Constants!$B$3,FALSE(),TRUE())))</f>
        <v/>
      </c>
      <c r="AF315" s="88" t="str">
        <f aca="false">IF(ISBLANK($C315),"",IF(ISNUMBER($M315),IF($M315&gt;=0,$M315,""),""))</f>
        <v/>
      </c>
      <c r="AG315" s="86" t="str">
        <f aca="false">IF(ISBLANK($C315),"",IF(ISBLANK($N315),0,IF(ISNUMBER($N315),IF(AND($N315&gt;=0,$N315&lt;=Constants!$B$17,$N315=INT($N315)),$N315,""),"")))</f>
        <v/>
      </c>
      <c r="AH315" s="87" t="str">
        <f aca="false">IF(ISBLANK($C315),"",IF(ISBLANK($O315),0,IF(ISNUMBER($O315),IF($O315&gt;=0,$O315,""),"")))</f>
        <v/>
      </c>
      <c r="AI315" s="86" t="str">
        <f aca="false">IF(ISBLANK($C315),"",IF($P315=Constants!$B$2,TRUE(),IF($P315=Constants!$B$3,FALSE(),TRUE())))</f>
        <v/>
      </c>
      <c r="AJ315" s="86" t="str">
        <f aca="false">IF(ISBLANK($C315),"",IF($Q315=Constants!$B$2,TRUE(),IF($Q315=Constants!$B$3,FALSE(),TRUE())))</f>
        <v/>
      </c>
      <c r="AK315" s="86" t="str">
        <f aca="false">IF(ISBLANK($C315),"",IF($R315=Constants!$B$2,TRUE(),IF($R315=Constants!$B$3,FALSE(),TRUE())))</f>
        <v/>
      </c>
      <c r="AL315" s="88" t="str">
        <f aca="false">IF(ISBLANK($C315),"",IF(ISNUMBER($S315),IF($S315&gt;=0,$S315,""),""))</f>
        <v/>
      </c>
      <c r="AM315" s="86" t="str">
        <f aca="false">IF(ISBLANK($C315),"",IF(ISBLANK($T315),0,IF(ISNUMBER($T315),IF(AND($T315&gt;=0,$T315&lt;=Constants!$B$17,$T315=INT($T315)),$T315,""),"")))</f>
        <v/>
      </c>
      <c r="AN315" s="87" t="str">
        <f aca="false">IF(ISBLANK($C315),"",IF(ISBLANK($U315),0,IF(ISNUMBER($U315),IF($U315&gt;=0,$U315,""),"")))</f>
        <v/>
      </c>
      <c r="AO315" s="86" t="str">
        <f aca="false">IF(ISBLANK($C315),"",IF($V315=Constants!$B$2,TRUE(),IF($V315=Constants!$B$3,FALSE(),FALSE())))</f>
        <v/>
      </c>
      <c r="AP315" s="86"/>
      <c r="AQ315" s="85" t="str">
        <f aca="false">IF(ISBLANK($C315),"",AND($Y315,OR($AS315,$BC315),OR($Z315="",$AA315="",$AB315="")))</f>
        <v/>
      </c>
      <c r="AR315" s="85" t="str">
        <f aca="false">IF(ISBLANK($C315),"",IF(OR(NOT($Y315),NOT(OR($AS315,$BC315))),"",IF(ISBLANK($D$7),$AR$5,IF($AP$9="",$AR$6,""))))</f>
        <v/>
      </c>
      <c r="AS315" s="85" t="str">
        <f aca="false">IF(ISBLANK($C315),"",COUNTA($J315:$O315)&gt;0)</f>
        <v/>
      </c>
      <c r="AT315" s="85" t="str">
        <f aca="false">IF(ISBLANK($C315),"",AND($AS315,OR(AND($AF315="",OR($AE315,NOT(ISBLANK($M315)))),$AG315="",$AH315="")))</f>
        <v/>
      </c>
      <c r="AU315" s="87" t="str">
        <f aca="false">IF($BL315&lt;&gt;Constants!$B$4,"",IF(NOT($AS315),"",ROUND((Constants!$B$12-$AB315)+(Constants!$B$13-$Z315)+(Constants!$B$14-$AA315),1)))</f>
        <v/>
      </c>
      <c r="AV315" s="90" t="str">
        <f aca="false">IF($BL315&lt;&gt;Constants!$B$4,"",IF(NOT($AS315),"",IF(NOT($AE315),0,Constants!$B$15*(INT(ROUND(MIN($AF315,$AP$9),6))-INT(ROUND(MAX(0,MIN($AF315,2*$AP$9)-$AP$9),6))))))</f>
        <v/>
      </c>
      <c r="AW315" s="90" t="str">
        <f aca="false">IF($BL315&lt;&gt;Constants!$B$4,"",IF(NOT($AS315),"",Constants!$B$16*$AG315))</f>
        <v/>
      </c>
      <c r="AX315" s="90" t="str">
        <f aca="false">IF($BL315&lt;&gt;Constants!$B$4,"",IF(NOT($AS315),"",Constants!$B$18*INT(ROUND($AH315,6))))</f>
        <v/>
      </c>
      <c r="AY315" s="85" t="str">
        <f aca="false">IF($BL315&lt;&gt;Constants!$B$4,"",IF(NOT($AS315),"",IF(NOT($X315),Constants!$B$11,IF(OR(NOT($AC315),NOT($AD315),ROUND($AB315,1)&gt;Constants!$B$12,ROUND($Z315,1)&gt;Constants!$B$13,ROUND($AA315,1)&gt;Constants!$B$14),Constants!$B$10,Constants!$B$9))))</f>
        <v/>
      </c>
      <c r="AZ315" s="91" t="str">
        <f aca="false">IF($BL315&lt;&gt;Constants!$B$4,"",IF(NOT($AS315),"",ROUND($AU315+$AV315+$AW315+$AX315,1)))</f>
        <v/>
      </c>
      <c r="BA315" s="92" t="str">
        <f aca="false">IF($BL315&lt;&gt;Constants!$B$4,"",IF(NOT($AS315),"",IF(ISNUMBER($AF315),$AF315,0)))</f>
        <v/>
      </c>
      <c r="BB315" s="86" t="str">
        <f aca="false">IF($BL315&lt;&gt;Constants!$B$4,"",IF(NOT($BC315),"&lt;-",IF(NOT($AS315),"-&gt;",IF(OR($BI315&lt;$AY315,AND($BI315=$AY315,OR($BJ315&gt;$AZ315,AND($BJ315=$AZ315,OR($BH315&gt;$AX315,AND($BH315=$AX315,OR($BE315&gt;$AU315,AND($BE315=$AU315,OR($BF315&gt;$AV315,AND($BF315=$AV315,$BK315&gt;$BA315)))))))))),"-&gt;","&lt;-"))))</f>
        <v/>
      </c>
      <c r="BC315" s="85" t="str">
        <f aca="false">IF(ISBLANK($C315),"",COUNTA($P315:$U315)&gt;0)</f>
        <v/>
      </c>
      <c r="BD315" s="85" t="str">
        <f aca="false">IF(ISBLANK($C315),"",AND($BC315,OR(AND($AL315="",OR($AK315,NOT(ISBLANK($S315)))),$AM315="",$AN315="")))</f>
        <v/>
      </c>
      <c r="BE315" s="87" t="str">
        <f aca="false">IF($BL315&lt;&gt;Constants!$B$4,"",IF(NOT($BC315),"",ROUND((Constants!$B$12-$AB315)+(Constants!$B$13-$Z315)+(Constants!$B$14-$AA315),1)))</f>
        <v/>
      </c>
      <c r="BF315" s="90" t="str">
        <f aca="false">IF($BL315&lt;&gt;Constants!$B$4,"",IF(NOT($BC315),"",IF(NOT($AK315),0,Constants!$B$15*(INT(ROUND(MIN($AL315,$AP$9),6))-INT(ROUND(MAX(0,MIN($AL315,2*$AP$9)-$AP$9),6))))))</f>
        <v/>
      </c>
      <c r="BG315" s="90" t="str">
        <f aca="false">IF($BL315&lt;&gt;Constants!$B$4,"",IF(NOT($BC315),"",Constants!$B$16*$AM315))</f>
        <v/>
      </c>
      <c r="BH315" s="90" t="str">
        <f aca="false">IF($BL315&lt;&gt;Constants!$B$4,"",IF(NOT($BC315),"",Constants!$B$18*INT(ROUND($AN315,6))))</f>
        <v/>
      </c>
      <c r="BI315" s="85" t="str">
        <f aca="false">IF($BL315&lt;&gt;Constants!$B$4,"",IF(NOT($BC315),"",IF(NOT($X315),Constants!$B$11,IF(OR(NOT($AI315),NOT($AJ315),ROUND($AB315,1)&gt;Constants!$B$12,ROUND($Z315,1)&gt;Constants!$B$13,ROUND($AA315,1)&gt;Constants!$B$14),Constants!$B$10,Constants!$B$9))))</f>
        <v/>
      </c>
      <c r="BJ315" s="91" t="str">
        <f aca="false">IF($BL315&lt;&gt;Constants!$B$4,"",IF(NOT($BC315),"",ROUND($BE315+$BF315+$BG315+$BH315,1)))</f>
        <v/>
      </c>
      <c r="BK315" s="92" t="str">
        <f aca="false">IF($BL315&lt;&gt;Constants!$B$4,"",IF(NOT($BC315),"",IF(ISNUMBER($AL315),$AL315,0)))</f>
        <v/>
      </c>
      <c r="BL315" s="86" t="str">
        <f aca="false">IF(ISBLANK($C315),"",IF($AO315,Constants!$B$7,IF(COUNTA($E315:$V315)=0,Constants!$B$6,IF(NOT($Y315),Constants!$B$5,IF(NOT(OR($AS315,$BC315)),Constants!$B$5,IF(OR($AT315,$BD315,$AQ315,$AR315&lt;&gt;""),Constants!$B$8,Constants!$B$4))))))</f>
        <v/>
      </c>
      <c r="BM315" s="86" t="str">
        <f aca="false">IF(ISBLANK($C315),"",IF($BL315&lt;&gt;Constants!$B$4,$BL315,IF($BB315="-&gt;",$BI315,$AY315)))</f>
        <v/>
      </c>
      <c r="BN315" s="90" t="str">
        <f aca="false">IF($BL315&lt;&gt;Constants!$B$4,"",IF($BB315="-&gt;",$BJ315,$AZ315))</f>
        <v/>
      </c>
      <c r="BO315" s="90" t="str">
        <f aca="false">IF(ISBLANK($C315),"",IF($BL315&lt;&gt;Constants!$B$4,$BL315,$BN315))</f>
        <v/>
      </c>
      <c r="BP315" s="86" t="str">
        <f aca="false">IF(ISBLANK($C315),"",IF($BL315&lt;&gt;Constants!$B$4,$BL315,RANK($BO315,$BO$9:$BO$508,0)))</f>
        <v/>
      </c>
      <c r="BQ315" s="86" t="str">
        <f aca="false">IF(ISBLANK($C315),"",IF($BL315&lt;&gt;Constants!$B$4,$BL315,COUNTIFS($BM$9:$BM$508,"&lt;"&amp;$BM315)+COUNTIFS($BM$9:$BM$508,$BM315,$BP$9:$BP$508,"&lt;"&amp;$BP315)+1))</f>
        <v/>
      </c>
      <c r="BR315" s="90" t="str">
        <f aca="false">IF($BL315&lt;&gt;Constants!$B$4,"",IF($BB315="-&gt;",$BH315,$AX315))</f>
        <v/>
      </c>
      <c r="BS315" s="86" t="str">
        <f aca="false">IF(ISBLANK($C315),"",IF($BL315&lt;&gt;Constants!$B$4,$BL315,IF(ISNUMBER($BR315),RANK($BR315,$BR$9:$BR$508,0),COUNT($BR$9:$BR$508)+1)))</f>
        <v/>
      </c>
      <c r="BT315" s="90" t="str">
        <f aca="false">IF($BL315&lt;&gt;Constants!$B$4,"",IF($BB315="-&gt;",$BE315,$AU315))</f>
        <v/>
      </c>
      <c r="BU315" s="86" t="str">
        <f aca="false">IF(ISBLANK($C315),"",IF($BL315&lt;&gt;Constants!$B$4,$BL315,IF(ISNUMBER($BT315),RANK($BT315,$BT$9:$BT$508,0),COUNT($BT$9:$BT$508)+1)))</f>
        <v/>
      </c>
      <c r="BV315" s="90" t="str">
        <f aca="false">IF($BL315&lt;&gt;Constants!$B$4,"",IF($BB315="-&gt;",$BF315,$AV315))</f>
        <v/>
      </c>
      <c r="BW315" s="86" t="str">
        <f aca="false">IF(ISBLANK($C315),"",IF($BL315&lt;&gt;Constants!$B$4,$BL315,IF(ISNUMBER($BV315),RANK($BV315,$BV$9:$BV$508,0),COUNT($BV$9:$BV$508)+1)))</f>
        <v/>
      </c>
      <c r="BX315" s="90" t="str">
        <f aca="false">IF($BL315&lt;&gt;Constants!$B$4,"",IF($BB315="-&gt;",$BK315,$BA315))</f>
        <v/>
      </c>
      <c r="BY315" s="86" t="str">
        <f aca="false">IF(ISBLANK($C315),"",IF($BL315&lt;&gt;Constants!$B$4,$BL315,IF(ISNUMBER($BX315),RANK($BX315,$BX$9:$BX$508,0),COUNT($BX$9:$BX$508)+1)))</f>
        <v/>
      </c>
      <c r="BZ315" s="86" t="str">
        <f aca="false">IF(ISBLANK($C315),"",IF($BL315&lt;&gt;Constants!$B$4,$BL315,COUNTIFS($BM$9:$BM$508,"&lt;"&amp;$BM315)+COUNTIFS($BM$9:$BM$508,$BM315,$BP$9:$BP$508,"&lt;"&amp;$BP315)+COUNTIFS($BM$9:$BM$508,$BM315,$BP$9:$BP$508,$BP315,$BS$9:$BS$508,"&lt;"&amp;$BS315)+COUNTIFS($BM$9:$BM$508,$BM315,$BP$9:$BP$508,$BP315,$BS$9:$BS$508,$BS315,$BU$9:$BU$508,"&lt;"&amp;$BU315)+COUNTIFS($BM$9:$BM$508,$BM315,$BP$9:$BP$508,$BP315,$BS$9:$BS$508,$BS315,$BU$9:$BU$508,$BU315,$BW$9:$BW$508,"&lt;"&amp;$BW315)+COUNTIFS($BM$9:$BM$508,$BM315,$BP$9:$BP$508,$BP315,$BS$9:$BS$508,$BS315,$BU$9:$BU$508,$BU315,$BW$9:$BW$508,$BW315,$BY$9:$BY$508,"&lt;"&amp;$BY315)+1))</f>
        <v/>
      </c>
      <c r="CA315" s="86" t="str">
        <f aca="false">IF(ISBLANK($C315),"",IF($BL315&lt;&gt;Constants!$B$4,$BL315,$BQ315-$BZ315))</f>
        <v/>
      </c>
      <c r="CB315" s="93"/>
      <c r="CC315" s="94" t="str">
        <f aca="false">IF(ISBLANK($C315),"",IF($BL315=Constants!$B$8,$AR315,""))</f>
        <v/>
      </c>
      <c r="CD315" s="94" t="str">
        <f aca="false">IF(ISBLANK($C315),"",IF($BL315&lt;&gt;Constants!$B$4,"",IF($BB315="-&gt;",2,1)))</f>
        <v/>
      </c>
      <c r="CE315" s="95" t="str">
        <f aca="false">IF(ISBLANK($C315),"",IF($BL315&lt;&gt;Constants!$B$4,"",IF($BB315="-&gt;",$BE315,$AU315)))</f>
        <v/>
      </c>
      <c r="CF315" s="95" t="str">
        <f aca="false">IF(ISBLANK($C315),"",IF($BL315&lt;&gt;Constants!$B$4,"",IF($BB315="-&gt;",$BF315,$AV315)))</f>
        <v/>
      </c>
      <c r="CG315" s="95" t="str">
        <f aca="false">IF(ISBLANK($C315),"",IF($BL315&lt;&gt;Constants!$B$4,"",IF($BB315="-&gt;",$BG315,$AW315)))</f>
        <v/>
      </c>
      <c r="CH315" s="95" t="str">
        <f aca="false">IF(ISBLANK($C315),"",IF($BL315&lt;&gt;Constants!$B$4,"",IF($BB315="-&gt;",$BH315,$AX315)))</f>
        <v/>
      </c>
      <c r="CI315" s="96" t="str">
        <f aca="false">IF(ISBLANK($C315),"",$BO315)</f>
        <v/>
      </c>
      <c r="CJ315" s="97" t="str">
        <f aca="false">IF(ISBLANK($C315),"",$BM315)</f>
        <v/>
      </c>
      <c r="CK315" s="98" t="str">
        <f aca="false">IF(ISBLANK($C315),"",$CA315)</f>
        <v/>
      </c>
      <c r="CL315" s="98" t="str">
        <f aca="false">IF(ISBLANK($C315),"",$BZ315)</f>
        <v/>
      </c>
      <c r="CM315" s="99" t="str">
        <f aca="false">IF(ISBLANK($C315),"",IF($CL315=Constants!$B$7,COUNTA($C$9:$C$508)+2,IF($CL315=Constants!$B$6,COUNTA($C$9:$C$508)+1,IF($CL315=Constants!$B$5,COUNTA($C$9:$C$508),$CL315))))</f>
        <v/>
      </c>
      <c r="CN315" s="8"/>
      <c r="CO315" s="100" t="n">
        <f aca="false">IF(OR(ISNUMBER($CL315),$CL315=Constants!$B$7,$CL315=Constants!$B$5,$CL315=Constants!$B$6),1,0)</f>
        <v>0</v>
      </c>
      <c r="CP315" s="100" t="n">
        <v>307</v>
      </c>
      <c r="CQ315" s="100" t="str">
        <f aca="false">IF(ISBLANK($C315),"",IF(ISNUMBER($CM315),$CM315+ROW($B315)/1000,""))</f>
        <v/>
      </c>
      <c r="CR315" s="100" t="str">
        <f aca="false">IF(ISNUMBER($CQ315),RANK($CQ315,$CQ$9:$CQ$508,1),"")</f>
        <v/>
      </c>
      <c r="CS315" s="100" t="str">
        <f aca="false">IF(ISBLANK($C315),"",$B315)</f>
        <v/>
      </c>
      <c r="CT315" s="100" t="str">
        <f aca="false">IF(ISBLANK($C315),"",$C315)</f>
        <v/>
      </c>
      <c r="CU315" s="100" t="str">
        <f aca="false">IF(ISBLANK($C315),"",$D315)</f>
        <v/>
      </c>
      <c r="CV315" s="101" t="str">
        <f aca="false">$CJ315</f>
        <v/>
      </c>
      <c r="CW315" s="102" t="str">
        <f aca="false">$CI315</f>
        <v/>
      </c>
      <c r="CX315" s="100" t="str">
        <f aca="false">IF(ISBLANK($C315),"",$CL315)</f>
        <v/>
      </c>
      <c r="CY315" s="103" t="str">
        <f aca="false">IF($CP315&gt;$CO$8,"",VLOOKUP($CP315,$CR$9:$CX$508,7,FALSE()))</f>
        <v/>
      </c>
      <c r="CZ315" s="104" t="str">
        <f aca="false">IF($CP315&gt;$CO$8,"",VLOOKUP($CP315,$CR$9:$CX$508,2,FALSE()))</f>
        <v/>
      </c>
      <c r="DA315" s="104" t="str">
        <f aca="false">IF($CP315&gt;$CO$8,"",VLOOKUP($CP315,$CR$9:$CX$508,3,FALSE()))</f>
        <v/>
      </c>
      <c r="DB315" s="104" t="str">
        <f aca="false">IF($CP315&gt;$CO$8,"",VLOOKUP($CP315,$CR$9:$CX$508,4,FALSE()))</f>
        <v/>
      </c>
      <c r="DC315" s="104" t="str">
        <f aca="false">IF($CP315&gt;$CO$8,"",VLOOKUP($CP315,$CR$9:$CX$508,5,FALSE()))</f>
        <v/>
      </c>
      <c r="DD315" s="105" t="str">
        <f aca="false">IF($CP315&gt;$CO$8,"",VLOOKUP($CP315,$CR$9:$CX$508,6,FALSE()))</f>
        <v/>
      </c>
      <c r="DE315" s="70"/>
    </row>
    <row r="316" customFormat="false" ht="15.75" hidden="false" customHeight="false" outlineLevel="0" collapsed="false">
      <c r="A316" s="8"/>
      <c r="B316" s="72"/>
      <c r="C316" s="73"/>
      <c r="D316" s="155"/>
      <c r="E316" s="162"/>
      <c r="F316" s="157"/>
      <c r="G316" s="77"/>
      <c r="H316" s="77"/>
      <c r="I316" s="77"/>
      <c r="J316" s="163"/>
      <c r="K316" s="161"/>
      <c r="L316" s="161"/>
      <c r="M316" s="80"/>
      <c r="N316" s="161"/>
      <c r="O316" s="160"/>
      <c r="P316" s="161"/>
      <c r="Q316" s="161"/>
      <c r="R316" s="161"/>
      <c r="S316" s="77"/>
      <c r="T316" s="161"/>
      <c r="U316" s="160"/>
      <c r="V316" s="161"/>
      <c r="W316" s="85"/>
      <c r="X316" s="86" t="str">
        <f aca="false">IF(ISBLANK($C316),"",IF($E316=Constants!$B$2,TRUE(),IF($E316=Constants!$B$3,FALSE(),TRUE())))</f>
        <v/>
      </c>
      <c r="Y316" s="86" t="str">
        <f aca="false">IF(ISBLANK($C316),"",IF($F316=Constants!$B$2,TRUE(),IF($F316=Constants!$B$3,FALSE(),TRUE())))</f>
        <v/>
      </c>
      <c r="Z316" s="87" t="str">
        <f aca="false">IF(ISBLANK($C316),"",IF(ISNUMBER($G316),IF($G316&gt;=0,$G316,""),""))</f>
        <v/>
      </c>
      <c r="AA316" s="87" t="str">
        <f aca="false">IF(ISBLANK($C316),"",IF(ISNUMBER($H316),IF($H316&gt;=0,$H316,""),""))</f>
        <v/>
      </c>
      <c r="AB316" s="87" t="str">
        <f aca="false">IF(ISBLANK($C316),"",IF(ISNUMBER($I316),IF($I316&gt;=0,$I316,""),""))</f>
        <v/>
      </c>
      <c r="AC316" s="86" t="str">
        <f aca="false">IF(ISBLANK($C316),"",IF($J316=Constants!$B$2,TRUE(),IF($J316=Constants!$B$3,FALSE(),TRUE())))</f>
        <v/>
      </c>
      <c r="AD316" s="86" t="str">
        <f aca="false">IF(ISBLANK($C316),"",IF($K316=Constants!$B$2,TRUE(),IF($K316=Constants!$B$3,FALSE(),TRUE())))</f>
        <v/>
      </c>
      <c r="AE316" s="86" t="str">
        <f aca="false">IF(ISBLANK($C316),"",IF($L316=Constants!$B$2,TRUE(),IF($L316=Constants!$B$3,FALSE(),TRUE())))</f>
        <v/>
      </c>
      <c r="AF316" s="88" t="str">
        <f aca="false">IF(ISBLANK($C316),"",IF(ISNUMBER($M316),IF($M316&gt;=0,$M316,""),""))</f>
        <v/>
      </c>
      <c r="AG316" s="86" t="str">
        <f aca="false">IF(ISBLANK($C316),"",IF(ISBLANK($N316),0,IF(ISNUMBER($N316),IF(AND($N316&gt;=0,$N316&lt;=Constants!$B$17,$N316=INT($N316)),$N316,""),"")))</f>
        <v/>
      </c>
      <c r="AH316" s="87" t="str">
        <f aca="false">IF(ISBLANK($C316),"",IF(ISBLANK($O316),0,IF(ISNUMBER($O316),IF($O316&gt;=0,$O316,""),"")))</f>
        <v/>
      </c>
      <c r="AI316" s="86" t="str">
        <f aca="false">IF(ISBLANK($C316),"",IF($P316=Constants!$B$2,TRUE(),IF($P316=Constants!$B$3,FALSE(),TRUE())))</f>
        <v/>
      </c>
      <c r="AJ316" s="86" t="str">
        <f aca="false">IF(ISBLANK($C316),"",IF($Q316=Constants!$B$2,TRUE(),IF($Q316=Constants!$B$3,FALSE(),TRUE())))</f>
        <v/>
      </c>
      <c r="AK316" s="86" t="str">
        <f aca="false">IF(ISBLANK($C316),"",IF($R316=Constants!$B$2,TRUE(),IF($R316=Constants!$B$3,FALSE(),TRUE())))</f>
        <v/>
      </c>
      <c r="AL316" s="88" t="str">
        <f aca="false">IF(ISBLANK($C316),"",IF(ISNUMBER($S316),IF($S316&gt;=0,$S316,""),""))</f>
        <v/>
      </c>
      <c r="AM316" s="86" t="str">
        <f aca="false">IF(ISBLANK($C316),"",IF(ISBLANK($T316),0,IF(ISNUMBER($T316),IF(AND($T316&gt;=0,$T316&lt;=Constants!$B$17,$T316=INT($T316)),$T316,""),"")))</f>
        <v/>
      </c>
      <c r="AN316" s="87" t="str">
        <f aca="false">IF(ISBLANK($C316),"",IF(ISBLANK($U316),0,IF(ISNUMBER($U316),IF($U316&gt;=0,$U316,""),"")))</f>
        <v/>
      </c>
      <c r="AO316" s="86" t="str">
        <f aca="false">IF(ISBLANK($C316),"",IF($V316=Constants!$B$2,TRUE(),IF($V316=Constants!$B$3,FALSE(),FALSE())))</f>
        <v/>
      </c>
      <c r="AP316" s="86"/>
      <c r="AQ316" s="85" t="str">
        <f aca="false">IF(ISBLANK($C316),"",AND($Y316,OR($AS316,$BC316),OR($Z316="",$AA316="",$AB316="")))</f>
        <v/>
      </c>
      <c r="AR316" s="85" t="str">
        <f aca="false">IF(ISBLANK($C316),"",IF(OR(NOT($Y316),NOT(OR($AS316,$BC316))),"",IF(ISBLANK($D$7),$AR$5,IF($AP$9="",$AR$6,""))))</f>
        <v/>
      </c>
      <c r="AS316" s="85" t="str">
        <f aca="false">IF(ISBLANK($C316),"",COUNTA($J316:$O316)&gt;0)</f>
        <v/>
      </c>
      <c r="AT316" s="85" t="str">
        <f aca="false">IF(ISBLANK($C316),"",AND($AS316,OR(AND($AF316="",OR($AE316,NOT(ISBLANK($M316)))),$AG316="",$AH316="")))</f>
        <v/>
      </c>
      <c r="AU316" s="87" t="str">
        <f aca="false">IF($BL316&lt;&gt;Constants!$B$4,"",IF(NOT($AS316),"",ROUND((Constants!$B$12-$AB316)+(Constants!$B$13-$Z316)+(Constants!$B$14-$AA316),1)))</f>
        <v/>
      </c>
      <c r="AV316" s="90" t="str">
        <f aca="false">IF($BL316&lt;&gt;Constants!$B$4,"",IF(NOT($AS316),"",IF(NOT($AE316),0,Constants!$B$15*(INT(ROUND(MIN($AF316,$AP$9),6))-INT(ROUND(MAX(0,MIN($AF316,2*$AP$9)-$AP$9),6))))))</f>
        <v/>
      </c>
      <c r="AW316" s="90" t="str">
        <f aca="false">IF($BL316&lt;&gt;Constants!$B$4,"",IF(NOT($AS316),"",Constants!$B$16*$AG316))</f>
        <v/>
      </c>
      <c r="AX316" s="90" t="str">
        <f aca="false">IF($BL316&lt;&gt;Constants!$B$4,"",IF(NOT($AS316),"",Constants!$B$18*INT(ROUND($AH316,6))))</f>
        <v/>
      </c>
      <c r="AY316" s="85" t="str">
        <f aca="false">IF($BL316&lt;&gt;Constants!$B$4,"",IF(NOT($AS316),"",IF(NOT($X316),Constants!$B$11,IF(OR(NOT($AC316),NOT($AD316),ROUND($AB316,1)&gt;Constants!$B$12,ROUND($Z316,1)&gt;Constants!$B$13,ROUND($AA316,1)&gt;Constants!$B$14),Constants!$B$10,Constants!$B$9))))</f>
        <v/>
      </c>
      <c r="AZ316" s="91" t="str">
        <f aca="false">IF($BL316&lt;&gt;Constants!$B$4,"",IF(NOT($AS316),"",ROUND($AU316+$AV316+$AW316+$AX316,1)))</f>
        <v/>
      </c>
      <c r="BA316" s="92" t="str">
        <f aca="false">IF($BL316&lt;&gt;Constants!$B$4,"",IF(NOT($AS316),"",IF(ISNUMBER($AF316),$AF316,0)))</f>
        <v/>
      </c>
      <c r="BB316" s="86" t="str">
        <f aca="false">IF($BL316&lt;&gt;Constants!$B$4,"",IF(NOT($BC316),"&lt;-",IF(NOT($AS316),"-&gt;",IF(OR($BI316&lt;$AY316,AND($BI316=$AY316,OR($BJ316&gt;$AZ316,AND($BJ316=$AZ316,OR($BH316&gt;$AX316,AND($BH316=$AX316,OR($BE316&gt;$AU316,AND($BE316=$AU316,OR($BF316&gt;$AV316,AND($BF316=$AV316,$BK316&gt;$BA316)))))))))),"-&gt;","&lt;-"))))</f>
        <v/>
      </c>
      <c r="BC316" s="85" t="str">
        <f aca="false">IF(ISBLANK($C316),"",COUNTA($P316:$U316)&gt;0)</f>
        <v/>
      </c>
      <c r="BD316" s="85" t="str">
        <f aca="false">IF(ISBLANK($C316),"",AND($BC316,OR(AND($AL316="",OR($AK316,NOT(ISBLANK($S316)))),$AM316="",$AN316="")))</f>
        <v/>
      </c>
      <c r="BE316" s="87" t="str">
        <f aca="false">IF($BL316&lt;&gt;Constants!$B$4,"",IF(NOT($BC316),"",ROUND((Constants!$B$12-$AB316)+(Constants!$B$13-$Z316)+(Constants!$B$14-$AA316),1)))</f>
        <v/>
      </c>
      <c r="BF316" s="90" t="str">
        <f aca="false">IF($BL316&lt;&gt;Constants!$B$4,"",IF(NOT($BC316),"",IF(NOT($AK316),0,Constants!$B$15*(INT(ROUND(MIN($AL316,$AP$9),6))-INT(ROUND(MAX(0,MIN($AL316,2*$AP$9)-$AP$9),6))))))</f>
        <v/>
      </c>
      <c r="BG316" s="90" t="str">
        <f aca="false">IF($BL316&lt;&gt;Constants!$B$4,"",IF(NOT($BC316),"",Constants!$B$16*$AM316))</f>
        <v/>
      </c>
      <c r="BH316" s="90" t="str">
        <f aca="false">IF($BL316&lt;&gt;Constants!$B$4,"",IF(NOT($BC316),"",Constants!$B$18*INT(ROUND($AN316,6))))</f>
        <v/>
      </c>
      <c r="BI316" s="85" t="str">
        <f aca="false">IF($BL316&lt;&gt;Constants!$B$4,"",IF(NOT($BC316),"",IF(NOT($X316),Constants!$B$11,IF(OR(NOT($AI316),NOT($AJ316),ROUND($AB316,1)&gt;Constants!$B$12,ROUND($Z316,1)&gt;Constants!$B$13,ROUND($AA316,1)&gt;Constants!$B$14),Constants!$B$10,Constants!$B$9))))</f>
        <v/>
      </c>
      <c r="BJ316" s="91" t="str">
        <f aca="false">IF($BL316&lt;&gt;Constants!$B$4,"",IF(NOT($BC316),"",ROUND($BE316+$BF316+$BG316+$BH316,1)))</f>
        <v/>
      </c>
      <c r="BK316" s="92" t="str">
        <f aca="false">IF($BL316&lt;&gt;Constants!$B$4,"",IF(NOT($BC316),"",IF(ISNUMBER($AL316),$AL316,0)))</f>
        <v/>
      </c>
      <c r="BL316" s="86" t="str">
        <f aca="false">IF(ISBLANK($C316),"",IF($AO316,Constants!$B$7,IF(COUNTA($E316:$V316)=0,Constants!$B$6,IF(NOT($Y316),Constants!$B$5,IF(NOT(OR($AS316,$BC316)),Constants!$B$5,IF(OR($AT316,$BD316,$AQ316,$AR316&lt;&gt;""),Constants!$B$8,Constants!$B$4))))))</f>
        <v/>
      </c>
      <c r="BM316" s="86" t="str">
        <f aca="false">IF(ISBLANK($C316),"",IF($BL316&lt;&gt;Constants!$B$4,$BL316,IF($BB316="-&gt;",$BI316,$AY316)))</f>
        <v/>
      </c>
      <c r="BN316" s="90" t="str">
        <f aca="false">IF($BL316&lt;&gt;Constants!$B$4,"",IF($BB316="-&gt;",$BJ316,$AZ316))</f>
        <v/>
      </c>
      <c r="BO316" s="90" t="str">
        <f aca="false">IF(ISBLANK($C316),"",IF($BL316&lt;&gt;Constants!$B$4,$BL316,$BN316))</f>
        <v/>
      </c>
      <c r="BP316" s="86" t="str">
        <f aca="false">IF(ISBLANK($C316),"",IF($BL316&lt;&gt;Constants!$B$4,$BL316,RANK($BO316,$BO$9:$BO$508,0)))</f>
        <v/>
      </c>
      <c r="BQ316" s="86" t="str">
        <f aca="false">IF(ISBLANK($C316),"",IF($BL316&lt;&gt;Constants!$B$4,$BL316,COUNTIFS($BM$9:$BM$508,"&lt;"&amp;$BM316)+COUNTIFS($BM$9:$BM$508,$BM316,$BP$9:$BP$508,"&lt;"&amp;$BP316)+1))</f>
        <v/>
      </c>
      <c r="BR316" s="90" t="str">
        <f aca="false">IF($BL316&lt;&gt;Constants!$B$4,"",IF($BB316="-&gt;",$BH316,$AX316))</f>
        <v/>
      </c>
      <c r="BS316" s="86" t="str">
        <f aca="false">IF(ISBLANK($C316),"",IF($BL316&lt;&gt;Constants!$B$4,$BL316,IF(ISNUMBER($BR316),RANK($BR316,$BR$9:$BR$508,0),COUNT($BR$9:$BR$508)+1)))</f>
        <v/>
      </c>
      <c r="BT316" s="90" t="str">
        <f aca="false">IF($BL316&lt;&gt;Constants!$B$4,"",IF($BB316="-&gt;",$BE316,$AU316))</f>
        <v/>
      </c>
      <c r="BU316" s="86" t="str">
        <f aca="false">IF(ISBLANK($C316),"",IF($BL316&lt;&gt;Constants!$B$4,$BL316,IF(ISNUMBER($BT316),RANK($BT316,$BT$9:$BT$508,0),COUNT($BT$9:$BT$508)+1)))</f>
        <v/>
      </c>
      <c r="BV316" s="90" t="str">
        <f aca="false">IF($BL316&lt;&gt;Constants!$B$4,"",IF($BB316="-&gt;",$BF316,$AV316))</f>
        <v/>
      </c>
      <c r="BW316" s="86" t="str">
        <f aca="false">IF(ISBLANK($C316),"",IF($BL316&lt;&gt;Constants!$B$4,$BL316,IF(ISNUMBER($BV316),RANK($BV316,$BV$9:$BV$508,0),COUNT($BV$9:$BV$508)+1)))</f>
        <v/>
      </c>
      <c r="BX316" s="90" t="str">
        <f aca="false">IF($BL316&lt;&gt;Constants!$B$4,"",IF($BB316="-&gt;",$BK316,$BA316))</f>
        <v/>
      </c>
      <c r="BY316" s="86" t="str">
        <f aca="false">IF(ISBLANK($C316),"",IF($BL316&lt;&gt;Constants!$B$4,$BL316,IF(ISNUMBER($BX316),RANK($BX316,$BX$9:$BX$508,0),COUNT($BX$9:$BX$508)+1)))</f>
        <v/>
      </c>
      <c r="BZ316" s="86" t="str">
        <f aca="false">IF(ISBLANK($C316),"",IF($BL316&lt;&gt;Constants!$B$4,$BL316,COUNTIFS($BM$9:$BM$508,"&lt;"&amp;$BM316)+COUNTIFS($BM$9:$BM$508,$BM316,$BP$9:$BP$508,"&lt;"&amp;$BP316)+COUNTIFS($BM$9:$BM$508,$BM316,$BP$9:$BP$508,$BP316,$BS$9:$BS$508,"&lt;"&amp;$BS316)+COUNTIFS($BM$9:$BM$508,$BM316,$BP$9:$BP$508,$BP316,$BS$9:$BS$508,$BS316,$BU$9:$BU$508,"&lt;"&amp;$BU316)+COUNTIFS($BM$9:$BM$508,$BM316,$BP$9:$BP$508,$BP316,$BS$9:$BS$508,$BS316,$BU$9:$BU$508,$BU316,$BW$9:$BW$508,"&lt;"&amp;$BW316)+COUNTIFS($BM$9:$BM$508,$BM316,$BP$9:$BP$508,$BP316,$BS$9:$BS$508,$BS316,$BU$9:$BU$508,$BU316,$BW$9:$BW$508,$BW316,$BY$9:$BY$508,"&lt;"&amp;$BY316)+1))</f>
        <v/>
      </c>
      <c r="CA316" s="86" t="str">
        <f aca="false">IF(ISBLANK($C316),"",IF($BL316&lt;&gt;Constants!$B$4,$BL316,$BQ316-$BZ316))</f>
        <v/>
      </c>
      <c r="CB316" s="93"/>
      <c r="CC316" s="94" t="str">
        <f aca="false">IF(ISBLANK($C316),"",IF($BL316=Constants!$B$8,$AR316,""))</f>
        <v/>
      </c>
      <c r="CD316" s="94" t="str">
        <f aca="false">IF(ISBLANK($C316),"",IF($BL316&lt;&gt;Constants!$B$4,"",IF($BB316="-&gt;",2,1)))</f>
        <v/>
      </c>
      <c r="CE316" s="95" t="str">
        <f aca="false">IF(ISBLANK($C316),"",IF($BL316&lt;&gt;Constants!$B$4,"",IF($BB316="-&gt;",$BE316,$AU316)))</f>
        <v/>
      </c>
      <c r="CF316" s="95" t="str">
        <f aca="false">IF(ISBLANK($C316),"",IF($BL316&lt;&gt;Constants!$B$4,"",IF($BB316="-&gt;",$BF316,$AV316)))</f>
        <v/>
      </c>
      <c r="CG316" s="95" t="str">
        <f aca="false">IF(ISBLANK($C316),"",IF($BL316&lt;&gt;Constants!$B$4,"",IF($BB316="-&gt;",$BG316,$AW316)))</f>
        <v/>
      </c>
      <c r="CH316" s="95" t="str">
        <f aca="false">IF(ISBLANK($C316),"",IF($BL316&lt;&gt;Constants!$B$4,"",IF($BB316="-&gt;",$BH316,$AX316)))</f>
        <v/>
      </c>
      <c r="CI316" s="96" t="str">
        <f aca="false">IF(ISBLANK($C316),"",$BO316)</f>
        <v/>
      </c>
      <c r="CJ316" s="97" t="str">
        <f aca="false">IF(ISBLANK($C316),"",$BM316)</f>
        <v/>
      </c>
      <c r="CK316" s="98" t="str">
        <f aca="false">IF(ISBLANK($C316),"",$CA316)</f>
        <v/>
      </c>
      <c r="CL316" s="98" t="str">
        <f aca="false">IF(ISBLANK($C316),"",$BZ316)</f>
        <v/>
      </c>
      <c r="CM316" s="99" t="str">
        <f aca="false">IF(ISBLANK($C316),"",IF($CL316=Constants!$B$7,COUNTA($C$9:$C$508)+2,IF($CL316=Constants!$B$6,COUNTA($C$9:$C$508)+1,IF($CL316=Constants!$B$5,COUNTA($C$9:$C$508),$CL316))))</f>
        <v/>
      </c>
      <c r="CN316" s="8"/>
      <c r="CO316" s="100" t="n">
        <f aca="false">IF(OR(ISNUMBER($CL316),$CL316=Constants!$B$7,$CL316=Constants!$B$5,$CL316=Constants!$B$6),1,0)</f>
        <v>0</v>
      </c>
      <c r="CP316" s="100" t="n">
        <v>308</v>
      </c>
      <c r="CQ316" s="100" t="str">
        <f aca="false">IF(ISBLANK($C316),"",IF(ISNUMBER($CM316),$CM316+ROW($B316)/1000,""))</f>
        <v/>
      </c>
      <c r="CR316" s="100" t="str">
        <f aca="false">IF(ISNUMBER($CQ316),RANK($CQ316,$CQ$9:$CQ$508,1),"")</f>
        <v/>
      </c>
      <c r="CS316" s="100" t="str">
        <f aca="false">IF(ISBLANK($C316),"",$B316)</f>
        <v/>
      </c>
      <c r="CT316" s="100" t="str">
        <f aca="false">IF(ISBLANK($C316),"",$C316)</f>
        <v/>
      </c>
      <c r="CU316" s="100" t="str">
        <f aca="false">IF(ISBLANK($C316),"",$D316)</f>
        <v/>
      </c>
      <c r="CV316" s="101" t="str">
        <f aca="false">$CJ316</f>
        <v/>
      </c>
      <c r="CW316" s="102" t="str">
        <f aca="false">$CI316</f>
        <v/>
      </c>
      <c r="CX316" s="100" t="str">
        <f aca="false">IF(ISBLANK($C316),"",$CL316)</f>
        <v/>
      </c>
      <c r="CY316" s="103" t="str">
        <f aca="false">IF($CP316&gt;$CO$8,"",VLOOKUP($CP316,$CR$9:$CX$508,7,FALSE()))</f>
        <v/>
      </c>
      <c r="CZ316" s="104" t="str">
        <f aca="false">IF($CP316&gt;$CO$8,"",VLOOKUP($CP316,$CR$9:$CX$508,2,FALSE()))</f>
        <v/>
      </c>
      <c r="DA316" s="104" t="str">
        <f aca="false">IF($CP316&gt;$CO$8,"",VLOOKUP($CP316,$CR$9:$CX$508,3,FALSE()))</f>
        <v/>
      </c>
      <c r="DB316" s="104" t="str">
        <f aca="false">IF($CP316&gt;$CO$8,"",VLOOKUP($CP316,$CR$9:$CX$508,4,FALSE()))</f>
        <v/>
      </c>
      <c r="DC316" s="104" t="str">
        <f aca="false">IF($CP316&gt;$CO$8,"",VLOOKUP($CP316,$CR$9:$CX$508,5,FALSE()))</f>
        <v/>
      </c>
      <c r="DD316" s="105" t="str">
        <f aca="false">IF($CP316&gt;$CO$8,"",VLOOKUP($CP316,$CR$9:$CX$508,6,FALSE()))</f>
        <v/>
      </c>
      <c r="DE316" s="70"/>
    </row>
    <row r="317" customFormat="false" ht="15.75" hidden="false" customHeight="false" outlineLevel="0" collapsed="false">
      <c r="A317" s="8"/>
      <c r="B317" s="72"/>
      <c r="C317" s="73"/>
      <c r="D317" s="155"/>
      <c r="E317" s="162"/>
      <c r="F317" s="157"/>
      <c r="G317" s="77"/>
      <c r="H317" s="77"/>
      <c r="I317" s="77"/>
      <c r="J317" s="163"/>
      <c r="K317" s="161"/>
      <c r="L317" s="161"/>
      <c r="M317" s="80"/>
      <c r="N317" s="161"/>
      <c r="O317" s="160"/>
      <c r="P317" s="161"/>
      <c r="Q317" s="161"/>
      <c r="R317" s="161"/>
      <c r="S317" s="77"/>
      <c r="T317" s="161"/>
      <c r="U317" s="160"/>
      <c r="V317" s="161"/>
      <c r="W317" s="85"/>
      <c r="X317" s="86" t="str">
        <f aca="false">IF(ISBLANK($C317),"",IF($E317=Constants!$B$2,TRUE(),IF($E317=Constants!$B$3,FALSE(),TRUE())))</f>
        <v/>
      </c>
      <c r="Y317" s="86" t="str">
        <f aca="false">IF(ISBLANK($C317),"",IF($F317=Constants!$B$2,TRUE(),IF($F317=Constants!$B$3,FALSE(),TRUE())))</f>
        <v/>
      </c>
      <c r="Z317" s="87" t="str">
        <f aca="false">IF(ISBLANK($C317),"",IF(ISNUMBER($G317),IF($G317&gt;=0,$G317,""),""))</f>
        <v/>
      </c>
      <c r="AA317" s="87" t="str">
        <f aca="false">IF(ISBLANK($C317),"",IF(ISNUMBER($H317),IF($H317&gt;=0,$H317,""),""))</f>
        <v/>
      </c>
      <c r="AB317" s="87" t="str">
        <f aca="false">IF(ISBLANK($C317),"",IF(ISNUMBER($I317),IF($I317&gt;=0,$I317,""),""))</f>
        <v/>
      </c>
      <c r="AC317" s="86" t="str">
        <f aca="false">IF(ISBLANK($C317),"",IF($J317=Constants!$B$2,TRUE(),IF($J317=Constants!$B$3,FALSE(),TRUE())))</f>
        <v/>
      </c>
      <c r="AD317" s="86" t="str">
        <f aca="false">IF(ISBLANK($C317),"",IF($K317=Constants!$B$2,TRUE(),IF($K317=Constants!$B$3,FALSE(),TRUE())))</f>
        <v/>
      </c>
      <c r="AE317" s="86" t="str">
        <f aca="false">IF(ISBLANK($C317),"",IF($L317=Constants!$B$2,TRUE(),IF($L317=Constants!$B$3,FALSE(),TRUE())))</f>
        <v/>
      </c>
      <c r="AF317" s="88" t="str">
        <f aca="false">IF(ISBLANK($C317),"",IF(ISNUMBER($M317),IF($M317&gt;=0,$M317,""),""))</f>
        <v/>
      </c>
      <c r="AG317" s="86" t="str">
        <f aca="false">IF(ISBLANK($C317),"",IF(ISBLANK($N317),0,IF(ISNUMBER($N317),IF(AND($N317&gt;=0,$N317&lt;=Constants!$B$17,$N317=INT($N317)),$N317,""),"")))</f>
        <v/>
      </c>
      <c r="AH317" s="87" t="str">
        <f aca="false">IF(ISBLANK($C317),"",IF(ISBLANK($O317),0,IF(ISNUMBER($O317),IF($O317&gt;=0,$O317,""),"")))</f>
        <v/>
      </c>
      <c r="AI317" s="86" t="str">
        <f aca="false">IF(ISBLANK($C317),"",IF($P317=Constants!$B$2,TRUE(),IF($P317=Constants!$B$3,FALSE(),TRUE())))</f>
        <v/>
      </c>
      <c r="AJ317" s="86" t="str">
        <f aca="false">IF(ISBLANK($C317),"",IF($Q317=Constants!$B$2,TRUE(),IF($Q317=Constants!$B$3,FALSE(),TRUE())))</f>
        <v/>
      </c>
      <c r="AK317" s="86" t="str">
        <f aca="false">IF(ISBLANK($C317),"",IF($R317=Constants!$B$2,TRUE(),IF($R317=Constants!$B$3,FALSE(),TRUE())))</f>
        <v/>
      </c>
      <c r="AL317" s="88" t="str">
        <f aca="false">IF(ISBLANK($C317),"",IF(ISNUMBER($S317),IF($S317&gt;=0,$S317,""),""))</f>
        <v/>
      </c>
      <c r="AM317" s="86" t="str">
        <f aca="false">IF(ISBLANK($C317),"",IF(ISBLANK($T317),0,IF(ISNUMBER($T317),IF(AND($T317&gt;=0,$T317&lt;=Constants!$B$17,$T317=INT($T317)),$T317,""),"")))</f>
        <v/>
      </c>
      <c r="AN317" s="87" t="str">
        <f aca="false">IF(ISBLANK($C317),"",IF(ISBLANK($U317),0,IF(ISNUMBER($U317),IF($U317&gt;=0,$U317,""),"")))</f>
        <v/>
      </c>
      <c r="AO317" s="86" t="str">
        <f aca="false">IF(ISBLANK($C317),"",IF($V317=Constants!$B$2,TRUE(),IF($V317=Constants!$B$3,FALSE(),FALSE())))</f>
        <v/>
      </c>
      <c r="AP317" s="86"/>
      <c r="AQ317" s="85" t="str">
        <f aca="false">IF(ISBLANK($C317),"",AND($Y317,OR($AS317,$BC317),OR($Z317="",$AA317="",$AB317="")))</f>
        <v/>
      </c>
      <c r="AR317" s="85" t="str">
        <f aca="false">IF(ISBLANK($C317),"",IF(OR(NOT($Y317),NOT(OR($AS317,$BC317))),"",IF(ISBLANK($D$7),$AR$5,IF($AP$9="",$AR$6,""))))</f>
        <v/>
      </c>
      <c r="AS317" s="85" t="str">
        <f aca="false">IF(ISBLANK($C317),"",COUNTA($J317:$O317)&gt;0)</f>
        <v/>
      </c>
      <c r="AT317" s="85" t="str">
        <f aca="false">IF(ISBLANK($C317),"",AND($AS317,OR(AND($AF317="",OR($AE317,NOT(ISBLANK($M317)))),$AG317="",$AH317="")))</f>
        <v/>
      </c>
      <c r="AU317" s="87" t="str">
        <f aca="false">IF($BL317&lt;&gt;Constants!$B$4,"",IF(NOT($AS317),"",ROUND((Constants!$B$12-$AB317)+(Constants!$B$13-$Z317)+(Constants!$B$14-$AA317),1)))</f>
        <v/>
      </c>
      <c r="AV317" s="90" t="str">
        <f aca="false">IF($BL317&lt;&gt;Constants!$B$4,"",IF(NOT($AS317),"",IF(NOT($AE317),0,Constants!$B$15*(INT(ROUND(MIN($AF317,$AP$9),6))-INT(ROUND(MAX(0,MIN($AF317,2*$AP$9)-$AP$9),6))))))</f>
        <v/>
      </c>
      <c r="AW317" s="90" t="str">
        <f aca="false">IF($BL317&lt;&gt;Constants!$B$4,"",IF(NOT($AS317),"",Constants!$B$16*$AG317))</f>
        <v/>
      </c>
      <c r="AX317" s="90" t="str">
        <f aca="false">IF($BL317&lt;&gt;Constants!$B$4,"",IF(NOT($AS317),"",Constants!$B$18*INT(ROUND($AH317,6))))</f>
        <v/>
      </c>
      <c r="AY317" s="85" t="str">
        <f aca="false">IF($BL317&lt;&gt;Constants!$B$4,"",IF(NOT($AS317),"",IF(NOT($X317),Constants!$B$11,IF(OR(NOT($AC317),NOT($AD317),ROUND($AB317,1)&gt;Constants!$B$12,ROUND($Z317,1)&gt;Constants!$B$13,ROUND($AA317,1)&gt;Constants!$B$14),Constants!$B$10,Constants!$B$9))))</f>
        <v/>
      </c>
      <c r="AZ317" s="91" t="str">
        <f aca="false">IF($BL317&lt;&gt;Constants!$B$4,"",IF(NOT($AS317),"",ROUND($AU317+$AV317+$AW317+$AX317,1)))</f>
        <v/>
      </c>
      <c r="BA317" s="92" t="str">
        <f aca="false">IF($BL317&lt;&gt;Constants!$B$4,"",IF(NOT($AS317),"",IF(ISNUMBER($AF317),$AF317,0)))</f>
        <v/>
      </c>
      <c r="BB317" s="86" t="str">
        <f aca="false">IF($BL317&lt;&gt;Constants!$B$4,"",IF(NOT($BC317),"&lt;-",IF(NOT($AS317),"-&gt;",IF(OR($BI317&lt;$AY317,AND($BI317=$AY317,OR($BJ317&gt;$AZ317,AND($BJ317=$AZ317,OR($BH317&gt;$AX317,AND($BH317=$AX317,OR($BE317&gt;$AU317,AND($BE317=$AU317,OR($BF317&gt;$AV317,AND($BF317=$AV317,$BK317&gt;$BA317)))))))))),"-&gt;","&lt;-"))))</f>
        <v/>
      </c>
      <c r="BC317" s="85" t="str">
        <f aca="false">IF(ISBLANK($C317),"",COUNTA($P317:$U317)&gt;0)</f>
        <v/>
      </c>
      <c r="BD317" s="85" t="str">
        <f aca="false">IF(ISBLANK($C317),"",AND($BC317,OR(AND($AL317="",OR($AK317,NOT(ISBLANK($S317)))),$AM317="",$AN317="")))</f>
        <v/>
      </c>
      <c r="BE317" s="87" t="str">
        <f aca="false">IF($BL317&lt;&gt;Constants!$B$4,"",IF(NOT($BC317),"",ROUND((Constants!$B$12-$AB317)+(Constants!$B$13-$Z317)+(Constants!$B$14-$AA317),1)))</f>
        <v/>
      </c>
      <c r="BF317" s="90" t="str">
        <f aca="false">IF($BL317&lt;&gt;Constants!$B$4,"",IF(NOT($BC317),"",IF(NOT($AK317),0,Constants!$B$15*(INT(ROUND(MIN($AL317,$AP$9),6))-INT(ROUND(MAX(0,MIN($AL317,2*$AP$9)-$AP$9),6))))))</f>
        <v/>
      </c>
      <c r="BG317" s="90" t="str">
        <f aca="false">IF($BL317&lt;&gt;Constants!$B$4,"",IF(NOT($BC317),"",Constants!$B$16*$AM317))</f>
        <v/>
      </c>
      <c r="BH317" s="90" t="str">
        <f aca="false">IF($BL317&lt;&gt;Constants!$B$4,"",IF(NOT($BC317),"",Constants!$B$18*INT(ROUND($AN317,6))))</f>
        <v/>
      </c>
      <c r="BI317" s="85" t="str">
        <f aca="false">IF($BL317&lt;&gt;Constants!$B$4,"",IF(NOT($BC317),"",IF(NOT($X317),Constants!$B$11,IF(OR(NOT($AI317),NOT($AJ317),ROUND($AB317,1)&gt;Constants!$B$12,ROUND($Z317,1)&gt;Constants!$B$13,ROUND($AA317,1)&gt;Constants!$B$14),Constants!$B$10,Constants!$B$9))))</f>
        <v/>
      </c>
      <c r="BJ317" s="91" t="str">
        <f aca="false">IF($BL317&lt;&gt;Constants!$B$4,"",IF(NOT($BC317),"",ROUND($BE317+$BF317+$BG317+$BH317,1)))</f>
        <v/>
      </c>
      <c r="BK317" s="92" t="str">
        <f aca="false">IF($BL317&lt;&gt;Constants!$B$4,"",IF(NOT($BC317),"",IF(ISNUMBER($AL317),$AL317,0)))</f>
        <v/>
      </c>
      <c r="BL317" s="86" t="str">
        <f aca="false">IF(ISBLANK($C317),"",IF($AO317,Constants!$B$7,IF(COUNTA($E317:$V317)=0,Constants!$B$6,IF(NOT($Y317),Constants!$B$5,IF(NOT(OR($AS317,$BC317)),Constants!$B$5,IF(OR($AT317,$BD317,$AQ317,$AR317&lt;&gt;""),Constants!$B$8,Constants!$B$4))))))</f>
        <v/>
      </c>
      <c r="BM317" s="86" t="str">
        <f aca="false">IF(ISBLANK($C317),"",IF($BL317&lt;&gt;Constants!$B$4,$BL317,IF($BB317="-&gt;",$BI317,$AY317)))</f>
        <v/>
      </c>
      <c r="BN317" s="90" t="str">
        <f aca="false">IF($BL317&lt;&gt;Constants!$B$4,"",IF($BB317="-&gt;",$BJ317,$AZ317))</f>
        <v/>
      </c>
      <c r="BO317" s="90" t="str">
        <f aca="false">IF(ISBLANK($C317),"",IF($BL317&lt;&gt;Constants!$B$4,$BL317,$BN317))</f>
        <v/>
      </c>
      <c r="BP317" s="86" t="str">
        <f aca="false">IF(ISBLANK($C317),"",IF($BL317&lt;&gt;Constants!$B$4,$BL317,RANK($BO317,$BO$9:$BO$508,0)))</f>
        <v/>
      </c>
      <c r="BQ317" s="86" t="str">
        <f aca="false">IF(ISBLANK($C317),"",IF($BL317&lt;&gt;Constants!$B$4,$BL317,COUNTIFS($BM$9:$BM$508,"&lt;"&amp;$BM317)+COUNTIFS($BM$9:$BM$508,$BM317,$BP$9:$BP$508,"&lt;"&amp;$BP317)+1))</f>
        <v/>
      </c>
      <c r="BR317" s="90" t="str">
        <f aca="false">IF($BL317&lt;&gt;Constants!$B$4,"",IF($BB317="-&gt;",$BH317,$AX317))</f>
        <v/>
      </c>
      <c r="BS317" s="86" t="str">
        <f aca="false">IF(ISBLANK($C317),"",IF($BL317&lt;&gt;Constants!$B$4,$BL317,IF(ISNUMBER($BR317),RANK($BR317,$BR$9:$BR$508,0),COUNT($BR$9:$BR$508)+1)))</f>
        <v/>
      </c>
      <c r="BT317" s="90" t="str">
        <f aca="false">IF($BL317&lt;&gt;Constants!$B$4,"",IF($BB317="-&gt;",$BE317,$AU317))</f>
        <v/>
      </c>
      <c r="BU317" s="86" t="str">
        <f aca="false">IF(ISBLANK($C317),"",IF($BL317&lt;&gt;Constants!$B$4,$BL317,IF(ISNUMBER($BT317),RANK($BT317,$BT$9:$BT$508,0),COUNT($BT$9:$BT$508)+1)))</f>
        <v/>
      </c>
      <c r="BV317" s="90" t="str">
        <f aca="false">IF($BL317&lt;&gt;Constants!$B$4,"",IF($BB317="-&gt;",$BF317,$AV317))</f>
        <v/>
      </c>
      <c r="BW317" s="86" t="str">
        <f aca="false">IF(ISBLANK($C317),"",IF($BL317&lt;&gt;Constants!$B$4,$BL317,IF(ISNUMBER($BV317),RANK($BV317,$BV$9:$BV$508,0),COUNT($BV$9:$BV$508)+1)))</f>
        <v/>
      </c>
      <c r="BX317" s="90" t="str">
        <f aca="false">IF($BL317&lt;&gt;Constants!$B$4,"",IF($BB317="-&gt;",$BK317,$BA317))</f>
        <v/>
      </c>
      <c r="BY317" s="86" t="str">
        <f aca="false">IF(ISBLANK($C317),"",IF($BL317&lt;&gt;Constants!$B$4,$BL317,IF(ISNUMBER($BX317),RANK($BX317,$BX$9:$BX$508,0),COUNT($BX$9:$BX$508)+1)))</f>
        <v/>
      </c>
      <c r="BZ317" s="86" t="str">
        <f aca="false">IF(ISBLANK($C317),"",IF($BL317&lt;&gt;Constants!$B$4,$BL317,COUNTIFS($BM$9:$BM$508,"&lt;"&amp;$BM317)+COUNTIFS($BM$9:$BM$508,$BM317,$BP$9:$BP$508,"&lt;"&amp;$BP317)+COUNTIFS($BM$9:$BM$508,$BM317,$BP$9:$BP$508,$BP317,$BS$9:$BS$508,"&lt;"&amp;$BS317)+COUNTIFS($BM$9:$BM$508,$BM317,$BP$9:$BP$508,$BP317,$BS$9:$BS$508,$BS317,$BU$9:$BU$508,"&lt;"&amp;$BU317)+COUNTIFS($BM$9:$BM$508,$BM317,$BP$9:$BP$508,$BP317,$BS$9:$BS$508,$BS317,$BU$9:$BU$508,$BU317,$BW$9:$BW$508,"&lt;"&amp;$BW317)+COUNTIFS($BM$9:$BM$508,$BM317,$BP$9:$BP$508,$BP317,$BS$9:$BS$508,$BS317,$BU$9:$BU$508,$BU317,$BW$9:$BW$508,$BW317,$BY$9:$BY$508,"&lt;"&amp;$BY317)+1))</f>
        <v/>
      </c>
      <c r="CA317" s="86" t="str">
        <f aca="false">IF(ISBLANK($C317),"",IF($BL317&lt;&gt;Constants!$B$4,$BL317,$BQ317-$BZ317))</f>
        <v/>
      </c>
      <c r="CB317" s="93"/>
      <c r="CC317" s="94" t="str">
        <f aca="false">IF(ISBLANK($C317),"",IF($BL317=Constants!$B$8,$AR317,""))</f>
        <v/>
      </c>
      <c r="CD317" s="94" t="str">
        <f aca="false">IF(ISBLANK($C317),"",IF($BL317&lt;&gt;Constants!$B$4,"",IF($BB317="-&gt;",2,1)))</f>
        <v/>
      </c>
      <c r="CE317" s="95" t="str">
        <f aca="false">IF(ISBLANK($C317),"",IF($BL317&lt;&gt;Constants!$B$4,"",IF($BB317="-&gt;",$BE317,$AU317)))</f>
        <v/>
      </c>
      <c r="CF317" s="95" t="str">
        <f aca="false">IF(ISBLANK($C317),"",IF($BL317&lt;&gt;Constants!$B$4,"",IF($BB317="-&gt;",$BF317,$AV317)))</f>
        <v/>
      </c>
      <c r="CG317" s="95" t="str">
        <f aca="false">IF(ISBLANK($C317),"",IF($BL317&lt;&gt;Constants!$B$4,"",IF($BB317="-&gt;",$BG317,$AW317)))</f>
        <v/>
      </c>
      <c r="CH317" s="95" t="str">
        <f aca="false">IF(ISBLANK($C317),"",IF($BL317&lt;&gt;Constants!$B$4,"",IF($BB317="-&gt;",$BH317,$AX317)))</f>
        <v/>
      </c>
      <c r="CI317" s="96" t="str">
        <f aca="false">IF(ISBLANK($C317),"",$BO317)</f>
        <v/>
      </c>
      <c r="CJ317" s="97" t="str">
        <f aca="false">IF(ISBLANK($C317),"",$BM317)</f>
        <v/>
      </c>
      <c r="CK317" s="98" t="str">
        <f aca="false">IF(ISBLANK($C317),"",$CA317)</f>
        <v/>
      </c>
      <c r="CL317" s="98" t="str">
        <f aca="false">IF(ISBLANK($C317),"",$BZ317)</f>
        <v/>
      </c>
      <c r="CM317" s="99" t="str">
        <f aca="false">IF(ISBLANK($C317),"",IF($CL317=Constants!$B$7,COUNTA($C$9:$C$508)+2,IF($CL317=Constants!$B$6,COUNTA($C$9:$C$508)+1,IF($CL317=Constants!$B$5,COUNTA($C$9:$C$508),$CL317))))</f>
        <v/>
      </c>
      <c r="CN317" s="8"/>
      <c r="CO317" s="100" t="n">
        <f aca="false">IF(OR(ISNUMBER($CL317),$CL317=Constants!$B$7,$CL317=Constants!$B$5,$CL317=Constants!$B$6),1,0)</f>
        <v>0</v>
      </c>
      <c r="CP317" s="100" t="n">
        <v>309</v>
      </c>
      <c r="CQ317" s="100" t="str">
        <f aca="false">IF(ISBLANK($C317),"",IF(ISNUMBER($CM317),$CM317+ROW($B317)/1000,""))</f>
        <v/>
      </c>
      <c r="CR317" s="100" t="str">
        <f aca="false">IF(ISNUMBER($CQ317),RANK($CQ317,$CQ$9:$CQ$508,1),"")</f>
        <v/>
      </c>
      <c r="CS317" s="100" t="str">
        <f aca="false">IF(ISBLANK($C317),"",$B317)</f>
        <v/>
      </c>
      <c r="CT317" s="100" t="str">
        <f aca="false">IF(ISBLANK($C317),"",$C317)</f>
        <v/>
      </c>
      <c r="CU317" s="100" t="str">
        <f aca="false">IF(ISBLANK($C317),"",$D317)</f>
        <v/>
      </c>
      <c r="CV317" s="101" t="str">
        <f aca="false">$CJ317</f>
        <v/>
      </c>
      <c r="CW317" s="102" t="str">
        <f aca="false">$CI317</f>
        <v/>
      </c>
      <c r="CX317" s="100" t="str">
        <f aca="false">IF(ISBLANK($C317),"",$CL317)</f>
        <v/>
      </c>
      <c r="CY317" s="103" t="str">
        <f aca="false">IF($CP317&gt;$CO$8,"",VLOOKUP($CP317,$CR$9:$CX$508,7,FALSE()))</f>
        <v/>
      </c>
      <c r="CZ317" s="104" t="str">
        <f aca="false">IF($CP317&gt;$CO$8,"",VLOOKUP($CP317,$CR$9:$CX$508,2,FALSE()))</f>
        <v/>
      </c>
      <c r="DA317" s="104" t="str">
        <f aca="false">IF($CP317&gt;$CO$8,"",VLOOKUP($CP317,$CR$9:$CX$508,3,FALSE()))</f>
        <v/>
      </c>
      <c r="DB317" s="104" t="str">
        <f aca="false">IF($CP317&gt;$CO$8,"",VLOOKUP($CP317,$CR$9:$CX$508,4,FALSE()))</f>
        <v/>
      </c>
      <c r="DC317" s="104" t="str">
        <f aca="false">IF($CP317&gt;$CO$8,"",VLOOKUP($CP317,$CR$9:$CX$508,5,FALSE()))</f>
        <v/>
      </c>
      <c r="DD317" s="105" t="str">
        <f aca="false">IF($CP317&gt;$CO$8,"",VLOOKUP($CP317,$CR$9:$CX$508,6,FALSE()))</f>
        <v/>
      </c>
      <c r="DE317" s="70"/>
    </row>
    <row r="318" customFormat="false" ht="15.75" hidden="false" customHeight="false" outlineLevel="0" collapsed="false">
      <c r="A318" s="8"/>
      <c r="B318" s="146"/>
      <c r="C318" s="147"/>
      <c r="D318" s="148"/>
      <c r="E318" s="164"/>
      <c r="F318" s="150"/>
      <c r="G318" s="115"/>
      <c r="H318" s="115"/>
      <c r="I318" s="115"/>
      <c r="J318" s="165"/>
      <c r="K318" s="154"/>
      <c r="L318" s="154"/>
      <c r="M318" s="118"/>
      <c r="N318" s="154"/>
      <c r="O318" s="153"/>
      <c r="P318" s="154"/>
      <c r="Q318" s="154"/>
      <c r="R318" s="154"/>
      <c r="S318" s="115"/>
      <c r="T318" s="154"/>
      <c r="U318" s="153"/>
      <c r="V318" s="154"/>
      <c r="W318" s="123"/>
      <c r="X318" s="124" t="str">
        <f aca="false">IF(ISBLANK($C318),"",IF($E318=Constants!$B$2,TRUE(),IF($E318=Constants!$B$3,FALSE(),TRUE())))</f>
        <v/>
      </c>
      <c r="Y318" s="124" t="str">
        <f aca="false">IF(ISBLANK($C318),"",IF($F318=Constants!$B$2,TRUE(),IF($F318=Constants!$B$3,FALSE(),TRUE())))</f>
        <v/>
      </c>
      <c r="Z318" s="125" t="str">
        <f aca="false">IF(ISBLANK($C318),"",IF(ISNUMBER($G318),IF($G318&gt;=0,$G318,""),""))</f>
        <v/>
      </c>
      <c r="AA318" s="125" t="str">
        <f aca="false">IF(ISBLANK($C318),"",IF(ISNUMBER($H318),IF($H318&gt;=0,$H318,""),""))</f>
        <v/>
      </c>
      <c r="AB318" s="125" t="str">
        <f aca="false">IF(ISBLANK($C318),"",IF(ISNUMBER($I318),IF($I318&gt;=0,$I318,""),""))</f>
        <v/>
      </c>
      <c r="AC318" s="124" t="str">
        <f aca="false">IF(ISBLANK($C318),"",IF($J318=Constants!$B$2,TRUE(),IF($J318=Constants!$B$3,FALSE(),TRUE())))</f>
        <v/>
      </c>
      <c r="AD318" s="124" t="str">
        <f aca="false">IF(ISBLANK($C318),"",IF($K318=Constants!$B$2,TRUE(),IF($K318=Constants!$B$3,FALSE(),TRUE())))</f>
        <v/>
      </c>
      <c r="AE318" s="124" t="str">
        <f aca="false">IF(ISBLANK($C318),"",IF($L318=Constants!$B$2,TRUE(),IF($L318=Constants!$B$3,FALSE(),TRUE())))</f>
        <v/>
      </c>
      <c r="AF318" s="126" t="str">
        <f aca="false">IF(ISBLANK($C318),"",IF(ISNUMBER($M318),IF($M318&gt;=0,$M318,""),""))</f>
        <v/>
      </c>
      <c r="AG318" s="124" t="str">
        <f aca="false">IF(ISBLANK($C318),"",IF(ISBLANK($N318),0,IF(ISNUMBER($N318),IF(AND($N318&gt;=0,$N318&lt;=Constants!$B$17,$N318=INT($N318)),$N318,""),"")))</f>
        <v/>
      </c>
      <c r="AH318" s="125" t="str">
        <f aca="false">IF(ISBLANK($C318),"",IF(ISBLANK($O318),0,IF(ISNUMBER($O318),IF($O318&gt;=0,$O318,""),"")))</f>
        <v/>
      </c>
      <c r="AI318" s="124" t="str">
        <f aca="false">IF(ISBLANK($C318),"",IF($P318=Constants!$B$2,TRUE(),IF($P318=Constants!$B$3,FALSE(),TRUE())))</f>
        <v/>
      </c>
      <c r="AJ318" s="124" t="str">
        <f aca="false">IF(ISBLANK($C318),"",IF($Q318=Constants!$B$2,TRUE(),IF($Q318=Constants!$B$3,FALSE(),TRUE())))</f>
        <v/>
      </c>
      <c r="AK318" s="124" t="str">
        <f aca="false">IF(ISBLANK($C318),"",IF($R318=Constants!$B$2,TRUE(),IF($R318=Constants!$B$3,FALSE(),TRUE())))</f>
        <v/>
      </c>
      <c r="AL318" s="126" t="str">
        <f aca="false">IF(ISBLANK($C318),"",IF(ISNUMBER($S318),IF($S318&gt;=0,$S318,""),""))</f>
        <v/>
      </c>
      <c r="AM318" s="124" t="str">
        <f aca="false">IF(ISBLANK($C318),"",IF(ISBLANK($T318),0,IF(ISNUMBER($T318),IF(AND($T318&gt;=0,$T318&lt;=Constants!$B$17,$T318=INT($T318)),$T318,""),"")))</f>
        <v/>
      </c>
      <c r="AN318" s="125" t="str">
        <f aca="false">IF(ISBLANK($C318),"",IF(ISBLANK($U318),0,IF(ISNUMBER($U318),IF($U318&gt;=0,$U318,""),"")))</f>
        <v/>
      </c>
      <c r="AO318" s="124" t="str">
        <f aca="false">IF(ISBLANK($C318),"",IF($V318=Constants!$B$2,TRUE(),IF($V318=Constants!$B$3,FALSE(),FALSE())))</f>
        <v/>
      </c>
      <c r="AP318" s="124"/>
      <c r="AQ318" s="123" t="str">
        <f aca="false">IF(ISBLANK($C318),"",AND($Y318,OR($AS318,$BC318),OR($Z318="",$AA318="",$AB318="")))</f>
        <v/>
      </c>
      <c r="AR318" s="123" t="str">
        <f aca="false">IF(ISBLANK($C318),"",IF(OR(NOT($Y318),NOT(OR($AS318,$BC318))),"",IF(ISBLANK($D$7),$AR$5,IF($AP$9="",$AR$6,""))))</f>
        <v/>
      </c>
      <c r="AS318" s="123" t="str">
        <f aca="false">IF(ISBLANK($C318),"",COUNTA($J318:$O318)&gt;0)</f>
        <v/>
      </c>
      <c r="AT318" s="123" t="str">
        <f aca="false">IF(ISBLANK($C318),"",AND($AS318,OR(AND($AF318="",OR($AE318,NOT(ISBLANK($M318)))),$AG318="",$AH318="")))</f>
        <v/>
      </c>
      <c r="AU318" s="125" t="str">
        <f aca="false">IF($BL318&lt;&gt;Constants!$B$4,"",IF(NOT($AS318),"",ROUND((Constants!$B$12-$AB318)+(Constants!$B$13-$Z318)+(Constants!$B$14-$AA318),1)))</f>
        <v/>
      </c>
      <c r="AV318" s="127" t="str">
        <f aca="false">IF($BL318&lt;&gt;Constants!$B$4,"",IF(NOT($AS318),"",IF(NOT($AE318),0,Constants!$B$15*(INT(ROUND(MIN($AF318,$AP$9),6))-INT(ROUND(MAX(0,MIN($AF318,2*$AP$9)-$AP$9),6))))))</f>
        <v/>
      </c>
      <c r="AW318" s="127" t="str">
        <f aca="false">IF($BL318&lt;&gt;Constants!$B$4,"",IF(NOT($AS318),"",Constants!$B$16*$AG318))</f>
        <v/>
      </c>
      <c r="AX318" s="127" t="str">
        <f aca="false">IF($BL318&lt;&gt;Constants!$B$4,"",IF(NOT($AS318),"",Constants!$B$18*INT(ROUND($AH318,6))))</f>
        <v/>
      </c>
      <c r="AY318" s="123" t="str">
        <f aca="false">IF($BL318&lt;&gt;Constants!$B$4,"",IF(NOT($AS318),"",IF(NOT($X318),Constants!$B$11,IF(OR(NOT($AC318),NOT($AD318),ROUND($AB318,1)&gt;Constants!$B$12,ROUND($Z318,1)&gt;Constants!$B$13,ROUND($AA318,1)&gt;Constants!$B$14),Constants!$B$10,Constants!$B$9))))</f>
        <v/>
      </c>
      <c r="AZ318" s="128" t="str">
        <f aca="false">IF($BL318&lt;&gt;Constants!$B$4,"",IF(NOT($AS318),"",ROUND($AU318+$AV318+$AW318+$AX318,1)))</f>
        <v/>
      </c>
      <c r="BA318" s="129" t="str">
        <f aca="false">IF($BL318&lt;&gt;Constants!$B$4,"",IF(NOT($AS318),"",IF(ISNUMBER($AF318),$AF318,0)))</f>
        <v/>
      </c>
      <c r="BB318" s="124" t="str">
        <f aca="false">IF($BL318&lt;&gt;Constants!$B$4,"",IF(NOT($BC318),"&lt;-",IF(NOT($AS318),"-&gt;",IF(OR($BI318&lt;$AY318,AND($BI318=$AY318,OR($BJ318&gt;$AZ318,AND($BJ318=$AZ318,OR($BH318&gt;$AX318,AND($BH318=$AX318,OR($BE318&gt;$AU318,AND($BE318=$AU318,OR($BF318&gt;$AV318,AND($BF318=$AV318,$BK318&gt;$BA318)))))))))),"-&gt;","&lt;-"))))</f>
        <v/>
      </c>
      <c r="BC318" s="123" t="str">
        <f aca="false">IF(ISBLANK($C318),"",COUNTA($P318:$U318)&gt;0)</f>
        <v/>
      </c>
      <c r="BD318" s="123" t="str">
        <f aca="false">IF(ISBLANK($C318),"",AND($BC318,OR(AND($AL318="",OR($AK318,NOT(ISBLANK($S318)))),$AM318="",$AN318="")))</f>
        <v/>
      </c>
      <c r="BE318" s="125" t="str">
        <f aca="false">IF($BL318&lt;&gt;Constants!$B$4,"",IF(NOT($BC318),"",ROUND((Constants!$B$12-$AB318)+(Constants!$B$13-$Z318)+(Constants!$B$14-$AA318),1)))</f>
        <v/>
      </c>
      <c r="BF318" s="127" t="str">
        <f aca="false">IF($BL318&lt;&gt;Constants!$B$4,"",IF(NOT($BC318),"",IF(NOT($AK318),0,Constants!$B$15*(INT(ROUND(MIN($AL318,$AP$9),6))-INT(ROUND(MAX(0,MIN($AL318,2*$AP$9)-$AP$9),6))))))</f>
        <v/>
      </c>
      <c r="BG318" s="127" t="str">
        <f aca="false">IF($BL318&lt;&gt;Constants!$B$4,"",IF(NOT($BC318),"",Constants!$B$16*$AM318))</f>
        <v/>
      </c>
      <c r="BH318" s="127" t="str">
        <f aca="false">IF($BL318&lt;&gt;Constants!$B$4,"",IF(NOT($BC318),"",Constants!$B$18*INT(ROUND($AN318,6))))</f>
        <v/>
      </c>
      <c r="BI318" s="123" t="str">
        <f aca="false">IF($BL318&lt;&gt;Constants!$B$4,"",IF(NOT($BC318),"",IF(NOT($X318),Constants!$B$11,IF(OR(NOT($AI318),NOT($AJ318),ROUND($AB318,1)&gt;Constants!$B$12,ROUND($Z318,1)&gt;Constants!$B$13,ROUND($AA318,1)&gt;Constants!$B$14),Constants!$B$10,Constants!$B$9))))</f>
        <v/>
      </c>
      <c r="BJ318" s="128" t="str">
        <f aca="false">IF($BL318&lt;&gt;Constants!$B$4,"",IF(NOT($BC318),"",ROUND($BE318+$BF318+$BG318+$BH318,1)))</f>
        <v/>
      </c>
      <c r="BK318" s="129" t="str">
        <f aca="false">IF($BL318&lt;&gt;Constants!$B$4,"",IF(NOT($BC318),"",IF(ISNUMBER($AL318),$AL318,0)))</f>
        <v/>
      </c>
      <c r="BL318" s="124" t="str">
        <f aca="false">IF(ISBLANK($C318),"",IF($AO318,Constants!$B$7,IF(COUNTA($E318:$V318)=0,Constants!$B$6,IF(NOT($Y318),Constants!$B$5,IF(NOT(OR($AS318,$BC318)),Constants!$B$5,IF(OR($AT318,$BD318,$AQ318,$AR318&lt;&gt;""),Constants!$B$8,Constants!$B$4))))))</f>
        <v/>
      </c>
      <c r="BM318" s="124" t="str">
        <f aca="false">IF(ISBLANK($C318),"",IF($BL318&lt;&gt;Constants!$B$4,$BL318,IF($BB318="-&gt;",$BI318,$AY318)))</f>
        <v/>
      </c>
      <c r="BN318" s="127" t="str">
        <f aca="false">IF($BL318&lt;&gt;Constants!$B$4,"",IF($BB318="-&gt;",$BJ318,$AZ318))</f>
        <v/>
      </c>
      <c r="BO318" s="127" t="str">
        <f aca="false">IF(ISBLANK($C318),"",IF($BL318&lt;&gt;Constants!$B$4,$BL318,$BN318))</f>
        <v/>
      </c>
      <c r="BP318" s="124" t="str">
        <f aca="false">IF(ISBLANK($C318),"",IF($BL318&lt;&gt;Constants!$B$4,$BL318,RANK($BO318,$BO$9:$BO$508,0)))</f>
        <v/>
      </c>
      <c r="BQ318" s="124" t="str">
        <f aca="false">IF(ISBLANK($C318),"",IF($BL318&lt;&gt;Constants!$B$4,$BL318,COUNTIFS($BM$9:$BM$508,"&lt;"&amp;$BM318)+COUNTIFS($BM$9:$BM$508,$BM318,$BP$9:$BP$508,"&lt;"&amp;$BP318)+1))</f>
        <v/>
      </c>
      <c r="BR318" s="127" t="str">
        <f aca="false">IF($BL318&lt;&gt;Constants!$B$4,"",IF($BB318="-&gt;",$BH318,$AX318))</f>
        <v/>
      </c>
      <c r="BS318" s="124" t="str">
        <f aca="false">IF(ISBLANK($C318),"",IF($BL318&lt;&gt;Constants!$B$4,$BL318,IF(ISNUMBER($BR318),RANK($BR318,$BR$9:$BR$508,0),COUNT($BR$9:$BR$508)+1)))</f>
        <v/>
      </c>
      <c r="BT318" s="127" t="str">
        <f aca="false">IF($BL318&lt;&gt;Constants!$B$4,"",IF($BB318="-&gt;",$BE318,$AU318))</f>
        <v/>
      </c>
      <c r="BU318" s="124" t="str">
        <f aca="false">IF(ISBLANK($C318),"",IF($BL318&lt;&gt;Constants!$B$4,$BL318,IF(ISNUMBER($BT318),RANK($BT318,$BT$9:$BT$508,0),COUNT($BT$9:$BT$508)+1)))</f>
        <v/>
      </c>
      <c r="BV318" s="127" t="str">
        <f aca="false">IF($BL318&lt;&gt;Constants!$B$4,"",IF($BB318="-&gt;",$BF318,$AV318))</f>
        <v/>
      </c>
      <c r="BW318" s="124" t="str">
        <f aca="false">IF(ISBLANK($C318),"",IF($BL318&lt;&gt;Constants!$B$4,$BL318,IF(ISNUMBER($BV318),RANK($BV318,$BV$9:$BV$508,0),COUNT($BV$9:$BV$508)+1)))</f>
        <v/>
      </c>
      <c r="BX318" s="127" t="str">
        <f aca="false">IF($BL318&lt;&gt;Constants!$B$4,"",IF($BB318="-&gt;",$BK318,$BA318))</f>
        <v/>
      </c>
      <c r="BY318" s="124" t="str">
        <f aca="false">IF(ISBLANK($C318),"",IF($BL318&lt;&gt;Constants!$B$4,$BL318,IF(ISNUMBER($BX318),RANK($BX318,$BX$9:$BX$508,0),COUNT($BX$9:$BX$508)+1)))</f>
        <v/>
      </c>
      <c r="BZ318" s="124" t="str">
        <f aca="false">IF(ISBLANK($C318),"",IF($BL318&lt;&gt;Constants!$B$4,$BL318,COUNTIFS($BM$9:$BM$508,"&lt;"&amp;$BM318)+COUNTIFS($BM$9:$BM$508,$BM318,$BP$9:$BP$508,"&lt;"&amp;$BP318)+COUNTIFS($BM$9:$BM$508,$BM318,$BP$9:$BP$508,$BP318,$BS$9:$BS$508,"&lt;"&amp;$BS318)+COUNTIFS($BM$9:$BM$508,$BM318,$BP$9:$BP$508,$BP318,$BS$9:$BS$508,$BS318,$BU$9:$BU$508,"&lt;"&amp;$BU318)+COUNTIFS($BM$9:$BM$508,$BM318,$BP$9:$BP$508,$BP318,$BS$9:$BS$508,$BS318,$BU$9:$BU$508,$BU318,$BW$9:$BW$508,"&lt;"&amp;$BW318)+COUNTIFS($BM$9:$BM$508,$BM318,$BP$9:$BP$508,$BP318,$BS$9:$BS$508,$BS318,$BU$9:$BU$508,$BU318,$BW$9:$BW$508,$BW318,$BY$9:$BY$508,"&lt;"&amp;$BY318)+1))</f>
        <v/>
      </c>
      <c r="CA318" s="124" t="str">
        <f aca="false">IF(ISBLANK($C318),"",IF($BL318&lt;&gt;Constants!$B$4,$BL318,$BQ318-$BZ318))</f>
        <v/>
      </c>
      <c r="CB318" s="130"/>
      <c r="CC318" s="131" t="str">
        <f aca="false">IF(ISBLANK($C318),"",IF($BL318=Constants!$B$8,$AR318,""))</f>
        <v/>
      </c>
      <c r="CD318" s="131" t="str">
        <f aca="false">IF(ISBLANK($C318),"",IF($BL318&lt;&gt;Constants!$B$4,"",IF($BB318="-&gt;",2,1)))</f>
        <v/>
      </c>
      <c r="CE318" s="132" t="str">
        <f aca="false">IF(ISBLANK($C318),"",IF($BL318&lt;&gt;Constants!$B$4,"",IF($BB318="-&gt;",$BE318,$AU318)))</f>
        <v/>
      </c>
      <c r="CF318" s="132" t="str">
        <f aca="false">IF(ISBLANK($C318),"",IF($BL318&lt;&gt;Constants!$B$4,"",IF($BB318="-&gt;",$BF318,$AV318)))</f>
        <v/>
      </c>
      <c r="CG318" s="132" t="str">
        <f aca="false">IF(ISBLANK($C318),"",IF($BL318&lt;&gt;Constants!$B$4,"",IF($BB318="-&gt;",$BG318,$AW318)))</f>
        <v/>
      </c>
      <c r="CH318" s="132" t="str">
        <f aca="false">IF(ISBLANK($C318),"",IF($BL318&lt;&gt;Constants!$B$4,"",IF($BB318="-&gt;",$BH318,$AX318)))</f>
        <v/>
      </c>
      <c r="CI318" s="133" t="str">
        <f aca="false">IF(ISBLANK($C318),"",$BO318)</f>
        <v/>
      </c>
      <c r="CJ318" s="134" t="str">
        <f aca="false">IF(ISBLANK($C318),"",$BM318)</f>
        <v/>
      </c>
      <c r="CK318" s="135" t="str">
        <f aca="false">IF(ISBLANK($C318),"",$CA318)</f>
        <v/>
      </c>
      <c r="CL318" s="135" t="str">
        <f aca="false">IF(ISBLANK($C318),"",$BZ318)</f>
        <v/>
      </c>
      <c r="CM318" s="136" t="str">
        <f aca="false">IF(ISBLANK($C318),"",IF($CL318=Constants!$B$7,COUNTA($C$9:$C$508)+2,IF($CL318=Constants!$B$6,COUNTA($C$9:$C$508)+1,IF($CL318=Constants!$B$5,COUNTA($C$9:$C$508),$CL318))))</f>
        <v/>
      </c>
      <c r="CN318" s="8"/>
      <c r="CO318" s="137" t="n">
        <f aca="false">IF(OR(ISNUMBER($CL318),$CL318=Constants!$B$7,$CL318=Constants!$B$5,$CL318=Constants!$B$6),1,0)</f>
        <v>0</v>
      </c>
      <c r="CP318" s="137" t="n">
        <v>310</v>
      </c>
      <c r="CQ318" s="137" t="str">
        <f aca="false">IF(ISBLANK($C318),"",IF(ISNUMBER($CM318),$CM318+ROW($B318)/1000,""))</f>
        <v/>
      </c>
      <c r="CR318" s="137" t="str">
        <f aca="false">IF(ISNUMBER($CQ318),RANK($CQ318,$CQ$9:$CQ$508,1),"")</f>
        <v/>
      </c>
      <c r="CS318" s="137" t="str">
        <f aca="false">IF(ISBLANK($C318),"",$B318)</f>
        <v/>
      </c>
      <c r="CT318" s="137" t="str">
        <f aca="false">IF(ISBLANK($C318),"",$C318)</f>
        <v/>
      </c>
      <c r="CU318" s="137" t="str">
        <f aca="false">IF(ISBLANK($C318),"",$D318)</f>
        <v/>
      </c>
      <c r="CV318" s="138" t="str">
        <f aca="false">$CJ318</f>
        <v/>
      </c>
      <c r="CW318" s="139" t="str">
        <f aca="false">$CI318</f>
        <v/>
      </c>
      <c r="CX318" s="137" t="str">
        <f aca="false">IF(ISBLANK($C318),"",$CL318)</f>
        <v/>
      </c>
      <c r="CY318" s="140" t="str">
        <f aca="false">IF($CP318&gt;$CO$8,"",VLOOKUP($CP318,$CR$9:$CX$508,7,FALSE()))</f>
        <v/>
      </c>
      <c r="CZ318" s="141" t="str">
        <f aca="false">IF($CP318&gt;$CO$8,"",VLOOKUP($CP318,$CR$9:$CX$508,2,FALSE()))</f>
        <v/>
      </c>
      <c r="DA318" s="141" t="str">
        <f aca="false">IF($CP318&gt;$CO$8,"",VLOOKUP($CP318,$CR$9:$CX$508,3,FALSE()))</f>
        <v/>
      </c>
      <c r="DB318" s="141" t="str">
        <f aca="false">IF($CP318&gt;$CO$8,"",VLOOKUP($CP318,$CR$9:$CX$508,4,FALSE()))</f>
        <v/>
      </c>
      <c r="DC318" s="141" t="str">
        <f aca="false">IF($CP318&gt;$CO$8,"",VLOOKUP($CP318,$CR$9:$CX$508,5,FALSE()))</f>
        <v/>
      </c>
      <c r="DD318" s="142" t="str">
        <f aca="false">IF($CP318&gt;$CO$8,"",VLOOKUP($CP318,$CR$9:$CX$508,6,FALSE()))</f>
        <v/>
      </c>
      <c r="DE318" s="70"/>
    </row>
    <row r="319" customFormat="false" ht="15.75" hidden="false" customHeight="false" outlineLevel="0" collapsed="false">
      <c r="A319" s="8"/>
      <c r="B319" s="146"/>
      <c r="C319" s="147"/>
      <c r="D319" s="148"/>
      <c r="E319" s="164"/>
      <c r="F319" s="150"/>
      <c r="G319" s="115"/>
      <c r="H319" s="115"/>
      <c r="I319" s="115"/>
      <c r="J319" s="165"/>
      <c r="K319" s="154"/>
      <c r="L319" s="154"/>
      <c r="M319" s="118"/>
      <c r="N319" s="154"/>
      <c r="O319" s="153"/>
      <c r="P319" s="154"/>
      <c r="Q319" s="154"/>
      <c r="R319" s="154"/>
      <c r="S319" s="115"/>
      <c r="T319" s="154"/>
      <c r="U319" s="153"/>
      <c r="V319" s="154"/>
      <c r="W319" s="123"/>
      <c r="X319" s="124" t="str">
        <f aca="false">IF(ISBLANK($C319),"",IF($E319=Constants!$B$2,TRUE(),IF($E319=Constants!$B$3,FALSE(),TRUE())))</f>
        <v/>
      </c>
      <c r="Y319" s="124" t="str">
        <f aca="false">IF(ISBLANK($C319),"",IF($F319=Constants!$B$2,TRUE(),IF($F319=Constants!$B$3,FALSE(),TRUE())))</f>
        <v/>
      </c>
      <c r="Z319" s="125" t="str">
        <f aca="false">IF(ISBLANK($C319),"",IF(ISNUMBER($G319),IF($G319&gt;=0,$G319,""),""))</f>
        <v/>
      </c>
      <c r="AA319" s="125" t="str">
        <f aca="false">IF(ISBLANK($C319),"",IF(ISNUMBER($H319),IF($H319&gt;=0,$H319,""),""))</f>
        <v/>
      </c>
      <c r="AB319" s="125" t="str">
        <f aca="false">IF(ISBLANK($C319),"",IF(ISNUMBER($I319),IF($I319&gt;=0,$I319,""),""))</f>
        <v/>
      </c>
      <c r="AC319" s="124" t="str">
        <f aca="false">IF(ISBLANK($C319),"",IF($J319=Constants!$B$2,TRUE(),IF($J319=Constants!$B$3,FALSE(),TRUE())))</f>
        <v/>
      </c>
      <c r="AD319" s="124" t="str">
        <f aca="false">IF(ISBLANK($C319),"",IF($K319=Constants!$B$2,TRUE(),IF($K319=Constants!$B$3,FALSE(),TRUE())))</f>
        <v/>
      </c>
      <c r="AE319" s="124" t="str">
        <f aca="false">IF(ISBLANK($C319),"",IF($L319=Constants!$B$2,TRUE(),IF($L319=Constants!$B$3,FALSE(),TRUE())))</f>
        <v/>
      </c>
      <c r="AF319" s="126" t="str">
        <f aca="false">IF(ISBLANK($C319),"",IF(ISNUMBER($M319),IF($M319&gt;=0,$M319,""),""))</f>
        <v/>
      </c>
      <c r="AG319" s="124" t="str">
        <f aca="false">IF(ISBLANK($C319),"",IF(ISBLANK($N319),0,IF(ISNUMBER($N319),IF(AND($N319&gt;=0,$N319&lt;=Constants!$B$17,$N319=INT($N319)),$N319,""),"")))</f>
        <v/>
      </c>
      <c r="AH319" s="125" t="str">
        <f aca="false">IF(ISBLANK($C319),"",IF(ISBLANK($O319),0,IF(ISNUMBER($O319),IF($O319&gt;=0,$O319,""),"")))</f>
        <v/>
      </c>
      <c r="AI319" s="124" t="str">
        <f aca="false">IF(ISBLANK($C319),"",IF($P319=Constants!$B$2,TRUE(),IF($P319=Constants!$B$3,FALSE(),TRUE())))</f>
        <v/>
      </c>
      <c r="AJ319" s="124" t="str">
        <f aca="false">IF(ISBLANK($C319),"",IF($Q319=Constants!$B$2,TRUE(),IF($Q319=Constants!$B$3,FALSE(),TRUE())))</f>
        <v/>
      </c>
      <c r="AK319" s="124" t="str">
        <f aca="false">IF(ISBLANK($C319),"",IF($R319=Constants!$B$2,TRUE(),IF($R319=Constants!$B$3,FALSE(),TRUE())))</f>
        <v/>
      </c>
      <c r="AL319" s="126" t="str">
        <f aca="false">IF(ISBLANK($C319),"",IF(ISNUMBER($S319),IF($S319&gt;=0,$S319,""),""))</f>
        <v/>
      </c>
      <c r="AM319" s="124" t="str">
        <f aca="false">IF(ISBLANK($C319),"",IF(ISBLANK($T319),0,IF(ISNUMBER($T319),IF(AND($T319&gt;=0,$T319&lt;=Constants!$B$17,$T319=INT($T319)),$T319,""),"")))</f>
        <v/>
      </c>
      <c r="AN319" s="125" t="str">
        <f aca="false">IF(ISBLANK($C319),"",IF(ISBLANK($U319),0,IF(ISNUMBER($U319),IF($U319&gt;=0,$U319,""),"")))</f>
        <v/>
      </c>
      <c r="AO319" s="124" t="str">
        <f aca="false">IF(ISBLANK($C319),"",IF($V319=Constants!$B$2,TRUE(),IF($V319=Constants!$B$3,FALSE(),FALSE())))</f>
        <v/>
      </c>
      <c r="AP319" s="124"/>
      <c r="AQ319" s="123" t="str">
        <f aca="false">IF(ISBLANK($C319),"",AND($Y319,OR($AS319,$BC319),OR($Z319="",$AA319="",$AB319="")))</f>
        <v/>
      </c>
      <c r="AR319" s="123" t="str">
        <f aca="false">IF(ISBLANK($C319),"",IF(OR(NOT($Y319),NOT(OR($AS319,$BC319))),"",IF(ISBLANK($D$7),$AR$5,IF($AP$9="",$AR$6,""))))</f>
        <v/>
      </c>
      <c r="AS319" s="123" t="str">
        <f aca="false">IF(ISBLANK($C319),"",COUNTA($J319:$O319)&gt;0)</f>
        <v/>
      </c>
      <c r="AT319" s="123" t="str">
        <f aca="false">IF(ISBLANK($C319),"",AND($AS319,OR(AND($AF319="",OR($AE319,NOT(ISBLANK($M319)))),$AG319="",$AH319="")))</f>
        <v/>
      </c>
      <c r="AU319" s="125" t="str">
        <f aca="false">IF($BL319&lt;&gt;Constants!$B$4,"",IF(NOT($AS319),"",ROUND((Constants!$B$12-$AB319)+(Constants!$B$13-$Z319)+(Constants!$B$14-$AA319),1)))</f>
        <v/>
      </c>
      <c r="AV319" s="127" t="str">
        <f aca="false">IF($BL319&lt;&gt;Constants!$B$4,"",IF(NOT($AS319),"",IF(NOT($AE319),0,Constants!$B$15*(INT(ROUND(MIN($AF319,$AP$9),6))-INT(ROUND(MAX(0,MIN($AF319,2*$AP$9)-$AP$9),6))))))</f>
        <v/>
      </c>
      <c r="AW319" s="127" t="str">
        <f aca="false">IF($BL319&lt;&gt;Constants!$B$4,"",IF(NOT($AS319),"",Constants!$B$16*$AG319))</f>
        <v/>
      </c>
      <c r="AX319" s="127" t="str">
        <f aca="false">IF($BL319&lt;&gt;Constants!$B$4,"",IF(NOT($AS319),"",Constants!$B$18*INT(ROUND($AH319,6))))</f>
        <v/>
      </c>
      <c r="AY319" s="123" t="str">
        <f aca="false">IF($BL319&lt;&gt;Constants!$B$4,"",IF(NOT($AS319),"",IF(NOT($X319),Constants!$B$11,IF(OR(NOT($AC319),NOT($AD319),ROUND($AB319,1)&gt;Constants!$B$12,ROUND($Z319,1)&gt;Constants!$B$13,ROUND($AA319,1)&gt;Constants!$B$14),Constants!$B$10,Constants!$B$9))))</f>
        <v/>
      </c>
      <c r="AZ319" s="128" t="str">
        <f aca="false">IF($BL319&lt;&gt;Constants!$B$4,"",IF(NOT($AS319),"",ROUND($AU319+$AV319+$AW319+$AX319,1)))</f>
        <v/>
      </c>
      <c r="BA319" s="129" t="str">
        <f aca="false">IF($BL319&lt;&gt;Constants!$B$4,"",IF(NOT($AS319),"",IF(ISNUMBER($AF319),$AF319,0)))</f>
        <v/>
      </c>
      <c r="BB319" s="124" t="str">
        <f aca="false">IF($BL319&lt;&gt;Constants!$B$4,"",IF(NOT($BC319),"&lt;-",IF(NOT($AS319),"-&gt;",IF(OR($BI319&lt;$AY319,AND($BI319=$AY319,OR($BJ319&gt;$AZ319,AND($BJ319=$AZ319,OR($BH319&gt;$AX319,AND($BH319=$AX319,OR($BE319&gt;$AU319,AND($BE319=$AU319,OR($BF319&gt;$AV319,AND($BF319=$AV319,$BK319&gt;$BA319)))))))))),"-&gt;","&lt;-"))))</f>
        <v/>
      </c>
      <c r="BC319" s="123" t="str">
        <f aca="false">IF(ISBLANK($C319),"",COUNTA($P319:$U319)&gt;0)</f>
        <v/>
      </c>
      <c r="BD319" s="123" t="str">
        <f aca="false">IF(ISBLANK($C319),"",AND($BC319,OR(AND($AL319="",OR($AK319,NOT(ISBLANK($S319)))),$AM319="",$AN319="")))</f>
        <v/>
      </c>
      <c r="BE319" s="125" t="str">
        <f aca="false">IF($BL319&lt;&gt;Constants!$B$4,"",IF(NOT($BC319),"",ROUND((Constants!$B$12-$AB319)+(Constants!$B$13-$Z319)+(Constants!$B$14-$AA319),1)))</f>
        <v/>
      </c>
      <c r="BF319" s="127" t="str">
        <f aca="false">IF($BL319&lt;&gt;Constants!$B$4,"",IF(NOT($BC319),"",IF(NOT($AK319),0,Constants!$B$15*(INT(ROUND(MIN($AL319,$AP$9),6))-INT(ROUND(MAX(0,MIN($AL319,2*$AP$9)-$AP$9),6))))))</f>
        <v/>
      </c>
      <c r="BG319" s="127" t="str">
        <f aca="false">IF($BL319&lt;&gt;Constants!$B$4,"",IF(NOT($BC319),"",Constants!$B$16*$AM319))</f>
        <v/>
      </c>
      <c r="BH319" s="127" t="str">
        <f aca="false">IF($BL319&lt;&gt;Constants!$B$4,"",IF(NOT($BC319),"",Constants!$B$18*INT(ROUND($AN319,6))))</f>
        <v/>
      </c>
      <c r="BI319" s="123" t="str">
        <f aca="false">IF($BL319&lt;&gt;Constants!$B$4,"",IF(NOT($BC319),"",IF(NOT($X319),Constants!$B$11,IF(OR(NOT($AI319),NOT($AJ319),ROUND($AB319,1)&gt;Constants!$B$12,ROUND($Z319,1)&gt;Constants!$B$13,ROUND($AA319,1)&gt;Constants!$B$14),Constants!$B$10,Constants!$B$9))))</f>
        <v/>
      </c>
      <c r="BJ319" s="128" t="str">
        <f aca="false">IF($BL319&lt;&gt;Constants!$B$4,"",IF(NOT($BC319),"",ROUND($BE319+$BF319+$BG319+$BH319,1)))</f>
        <v/>
      </c>
      <c r="BK319" s="129" t="str">
        <f aca="false">IF($BL319&lt;&gt;Constants!$B$4,"",IF(NOT($BC319),"",IF(ISNUMBER($AL319),$AL319,0)))</f>
        <v/>
      </c>
      <c r="BL319" s="124" t="str">
        <f aca="false">IF(ISBLANK($C319),"",IF($AO319,Constants!$B$7,IF(COUNTA($E319:$V319)=0,Constants!$B$6,IF(NOT($Y319),Constants!$B$5,IF(NOT(OR($AS319,$BC319)),Constants!$B$5,IF(OR($AT319,$BD319,$AQ319,$AR319&lt;&gt;""),Constants!$B$8,Constants!$B$4))))))</f>
        <v/>
      </c>
      <c r="BM319" s="124" t="str">
        <f aca="false">IF(ISBLANK($C319),"",IF($BL319&lt;&gt;Constants!$B$4,$BL319,IF($BB319="-&gt;",$BI319,$AY319)))</f>
        <v/>
      </c>
      <c r="BN319" s="127" t="str">
        <f aca="false">IF($BL319&lt;&gt;Constants!$B$4,"",IF($BB319="-&gt;",$BJ319,$AZ319))</f>
        <v/>
      </c>
      <c r="BO319" s="127" t="str">
        <f aca="false">IF(ISBLANK($C319),"",IF($BL319&lt;&gt;Constants!$B$4,$BL319,$BN319))</f>
        <v/>
      </c>
      <c r="BP319" s="124" t="str">
        <f aca="false">IF(ISBLANK($C319),"",IF($BL319&lt;&gt;Constants!$B$4,$BL319,RANK($BO319,$BO$9:$BO$508,0)))</f>
        <v/>
      </c>
      <c r="BQ319" s="124" t="str">
        <f aca="false">IF(ISBLANK($C319),"",IF($BL319&lt;&gt;Constants!$B$4,$BL319,COUNTIFS($BM$9:$BM$508,"&lt;"&amp;$BM319)+COUNTIFS($BM$9:$BM$508,$BM319,$BP$9:$BP$508,"&lt;"&amp;$BP319)+1))</f>
        <v/>
      </c>
      <c r="BR319" s="127" t="str">
        <f aca="false">IF($BL319&lt;&gt;Constants!$B$4,"",IF($BB319="-&gt;",$BH319,$AX319))</f>
        <v/>
      </c>
      <c r="BS319" s="124" t="str">
        <f aca="false">IF(ISBLANK($C319),"",IF($BL319&lt;&gt;Constants!$B$4,$BL319,IF(ISNUMBER($BR319),RANK($BR319,$BR$9:$BR$508,0),COUNT($BR$9:$BR$508)+1)))</f>
        <v/>
      </c>
      <c r="BT319" s="127" t="str">
        <f aca="false">IF($BL319&lt;&gt;Constants!$B$4,"",IF($BB319="-&gt;",$BE319,$AU319))</f>
        <v/>
      </c>
      <c r="BU319" s="124" t="str">
        <f aca="false">IF(ISBLANK($C319),"",IF($BL319&lt;&gt;Constants!$B$4,$BL319,IF(ISNUMBER($BT319),RANK($BT319,$BT$9:$BT$508,0),COUNT($BT$9:$BT$508)+1)))</f>
        <v/>
      </c>
      <c r="BV319" s="127" t="str">
        <f aca="false">IF($BL319&lt;&gt;Constants!$B$4,"",IF($BB319="-&gt;",$BF319,$AV319))</f>
        <v/>
      </c>
      <c r="BW319" s="124" t="str">
        <f aca="false">IF(ISBLANK($C319),"",IF($BL319&lt;&gt;Constants!$B$4,$BL319,IF(ISNUMBER($BV319),RANK($BV319,$BV$9:$BV$508,0),COUNT($BV$9:$BV$508)+1)))</f>
        <v/>
      </c>
      <c r="BX319" s="127" t="str">
        <f aca="false">IF($BL319&lt;&gt;Constants!$B$4,"",IF($BB319="-&gt;",$BK319,$BA319))</f>
        <v/>
      </c>
      <c r="BY319" s="124" t="str">
        <f aca="false">IF(ISBLANK($C319),"",IF($BL319&lt;&gt;Constants!$B$4,$BL319,IF(ISNUMBER($BX319),RANK($BX319,$BX$9:$BX$508,0),COUNT($BX$9:$BX$508)+1)))</f>
        <v/>
      </c>
      <c r="BZ319" s="124" t="str">
        <f aca="false">IF(ISBLANK($C319),"",IF($BL319&lt;&gt;Constants!$B$4,$BL319,COUNTIFS($BM$9:$BM$508,"&lt;"&amp;$BM319)+COUNTIFS($BM$9:$BM$508,$BM319,$BP$9:$BP$508,"&lt;"&amp;$BP319)+COUNTIFS($BM$9:$BM$508,$BM319,$BP$9:$BP$508,$BP319,$BS$9:$BS$508,"&lt;"&amp;$BS319)+COUNTIFS($BM$9:$BM$508,$BM319,$BP$9:$BP$508,$BP319,$BS$9:$BS$508,$BS319,$BU$9:$BU$508,"&lt;"&amp;$BU319)+COUNTIFS($BM$9:$BM$508,$BM319,$BP$9:$BP$508,$BP319,$BS$9:$BS$508,$BS319,$BU$9:$BU$508,$BU319,$BW$9:$BW$508,"&lt;"&amp;$BW319)+COUNTIFS($BM$9:$BM$508,$BM319,$BP$9:$BP$508,$BP319,$BS$9:$BS$508,$BS319,$BU$9:$BU$508,$BU319,$BW$9:$BW$508,$BW319,$BY$9:$BY$508,"&lt;"&amp;$BY319)+1))</f>
        <v/>
      </c>
      <c r="CA319" s="124" t="str">
        <f aca="false">IF(ISBLANK($C319),"",IF($BL319&lt;&gt;Constants!$B$4,$BL319,$BQ319-$BZ319))</f>
        <v/>
      </c>
      <c r="CB319" s="130"/>
      <c r="CC319" s="131" t="str">
        <f aca="false">IF(ISBLANK($C319),"",IF($BL319=Constants!$B$8,$AR319,""))</f>
        <v/>
      </c>
      <c r="CD319" s="131" t="str">
        <f aca="false">IF(ISBLANK($C319),"",IF($BL319&lt;&gt;Constants!$B$4,"",IF($BB319="-&gt;",2,1)))</f>
        <v/>
      </c>
      <c r="CE319" s="132" t="str">
        <f aca="false">IF(ISBLANK($C319),"",IF($BL319&lt;&gt;Constants!$B$4,"",IF($BB319="-&gt;",$BE319,$AU319)))</f>
        <v/>
      </c>
      <c r="CF319" s="132" t="str">
        <f aca="false">IF(ISBLANK($C319),"",IF($BL319&lt;&gt;Constants!$B$4,"",IF($BB319="-&gt;",$BF319,$AV319)))</f>
        <v/>
      </c>
      <c r="CG319" s="132" t="str">
        <f aca="false">IF(ISBLANK($C319),"",IF($BL319&lt;&gt;Constants!$B$4,"",IF($BB319="-&gt;",$BG319,$AW319)))</f>
        <v/>
      </c>
      <c r="CH319" s="132" t="str">
        <f aca="false">IF(ISBLANK($C319),"",IF($BL319&lt;&gt;Constants!$B$4,"",IF($BB319="-&gt;",$BH319,$AX319)))</f>
        <v/>
      </c>
      <c r="CI319" s="133" t="str">
        <f aca="false">IF(ISBLANK($C319),"",$BO319)</f>
        <v/>
      </c>
      <c r="CJ319" s="134" t="str">
        <f aca="false">IF(ISBLANK($C319),"",$BM319)</f>
        <v/>
      </c>
      <c r="CK319" s="135" t="str">
        <f aca="false">IF(ISBLANK($C319),"",$CA319)</f>
        <v/>
      </c>
      <c r="CL319" s="135" t="str">
        <f aca="false">IF(ISBLANK($C319),"",$BZ319)</f>
        <v/>
      </c>
      <c r="CM319" s="136" t="str">
        <f aca="false">IF(ISBLANK($C319),"",IF($CL319=Constants!$B$7,COUNTA($C$9:$C$508)+2,IF($CL319=Constants!$B$6,COUNTA($C$9:$C$508)+1,IF($CL319=Constants!$B$5,COUNTA($C$9:$C$508),$CL319))))</f>
        <v/>
      </c>
      <c r="CN319" s="8"/>
      <c r="CO319" s="137" t="n">
        <f aca="false">IF(OR(ISNUMBER($CL319),$CL319=Constants!$B$7,$CL319=Constants!$B$5,$CL319=Constants!$B$6),1,0)</f>
        <v>0</v>
      </c>
      <c r="CP319" s="137" t="n">
        <v>311</v>
      </c>
      <c r="CQ319" s="137" t="str">
        <f aca="false">IF(ISBLANK($C319),"",IF(ISNUMBER($CM319),$CM319+ROW($B319)/1000,""))</f>
        <v/>
      </c>
      <c r="CR319" s="137" t="str">
        <f aca="false">IF(ISNUMBER($CQ319),RANK($CQ319,$CQ$9:$CQ$508,1),"")</f>
        <v/>
      </c>
      <c r="CS319" s="137" t="str">
        <f aca="false">IF(ISBLANK($C319),"",$B319)</f>
        <v/>
      </c>
      <c r="CT319" s="137" t="str">
        <f aca="false">IF(ISBLANK($C319),"",$C319)</f>
        <v/>
      </c>
      <c r="CU319" s="137" t="str">
        <f aca="false">IF(ISBLANK($C319),"",$D319)</f>
        <v/>
      </c>
      <c r="CV319" s="138" t="str">
        <f aca="false">$CJ319</f>
        <v/>
      </c>
      <c r="CW319" s="139" t="str">
        <f aca="false">$CI319</f>
        <v/>
      </c>
      <c r="CX319" s="137" t="str">
        <f aca="false">IF(ISBLANK($C319),"",$CL319)</f>
        <v/>
      </c>
      <c r="CY319" s="140" t="str">
        <f aca="false">IF($CP319&gt;$CO$8,"",VLOOKUP($CP319,$CR$9:$CX$508,7,FALSE()))</f>
        <v/>
      </c>
      <c r="CZ319" s="141" t="str">
        <f aca="false">IF($CP319&gt;$CO$8,"",VLOOKUP($CP319,$CR$9:$CX$508,2,FALSE()))</f>
        <v/>
      </c>
      <c r="DA319" s="141" t="str">
        <f aca="false">IF($CP319&gt;$CO$8,"",VLOOKUP($CP319,$CR$9:$CX$508,3,FALSE()))</f>
        <v/>
      </c>
      <c r="DB319" s="141" t="str">
        <f aca="false">IF($CP319&gt;$CO$8,"",VLOOKUP($CP319,$CR$9:$CX$508,4,FALSE()))</f>
        <v/>
      </c>
      <c r="DC319" s="141" t="str">
        <f aca="false">IF($CP319&gt;$CO$8,"",VLOOKUP($CP319,$CR$9:$CX$508,5,FALSE()))</f>
        <v/>
      </c>
      <c r="DD319" s="142" t="str">
        <f aca="false">IF($CP319&gt;$CO$8,"",VLOOKUP($CP319,$CR$9:$CX$508,6,FALSE()))</f>
        <v/>
      </c>
      <c r="DE319" s="70"/>
    </row>
    <row r="320" customFormat="false" ht="15.75" hidden="false" customHeight="false" outlineLevel="0" collapsed="false">
      <c r="A320" s="8"/>
      <c r="B320" s="146"/>
      <c r="C320" s="147"/>
      <c r="D320" s="148"/>
      <c r="E320" s="164"/>
      <c r="F320" s="150"/>
      <c r="G320" s="115"/>
      <c r="H320" s="115"/>
      <c r="I320" s="115"/>
      <c r="J320" s="165"/>
      <c r="K320" s="154"/>
      <c r="L320" s="154"/>
      <c r="M320" s="118"/>
      <c r="N320" s="154"/>
      <c r="O320" s="153"/>
      <c r="P320" s="154"/>
      <c r="Q320" s="154"/>
      <c r="R320" s="154"/>
      <c r="S320" s="115"/>
      <c r="T320" s="154"/>
      <c r="U320" s="153"/>
      <c r="V320" s="154"/>
      <c r="W320" s="123"/>
      <c r="X320" s="124" t="str">
        <f aca="false">IF(ISBLANK($C320),"",IF($E320=Constants!$B$2,TRUE(),IF($E320=Constants!$B$3,FALSE(),TRUE())))</f>
        <v/>
      </c>
      <c r="Y320" s="124" t="str">
        <f aca="false">IF(ISBLANK($C320),"",IF($F320=Constants!$B$2,TRUE(),IF($F320=Constants!$B$3,FALSE(),TRUE())))</f>
        <v/>
      </c>
      <c r="Z320" s="125" t="str">
        <f aca="false">IF(ISBLANK($C320),"",IF(ISNUMBER($G320),IF($G320&gt;=0,$G320,""),""))</f>
        <v/>
      </c>
      <c r="AA320" s="125" t="str">
        <f aca="false">IF(ISBLANK($C320),"",IF(ISNUMBER($H320),IF($H320&gt;=0,$H320,""),""))</f>
        <v/>
      </c>
      <c r="AB320" s="125" t="str">
        <f aca="false">IF(ISBLANK($C320),"",IF(ISNUMBER($I320),IF($I320&gt;=0,$I320,""),""))</f>
        <v/>
      </c>
      <c r="AC320" s="124" t="str">
        <f aca="false">IF(ISBLANK($C320),"",IF($J320=Constants!$B$2,TRUE(),IF($J320=Constants!$B$3,FALSE(),TRUE())))</f>
        <v/>
      </c>
      <c r="AD320" s="124" t="str">
        <f aca="false">IF(ISBLANK($C320),"",IF($K320=Constants!$B$2,TRUE(),IF($K320=Constants!$B$3,FALSE(),TRUE())))</f>
        <v/>
      </c>
      <c r="AE320" s="124" t="str">
        <f aca="false">IF(ISBLANK($C320),"",IF($L320=Constants!$B$2,TRUE(),IF($L320=Constants!$B$3,FALSE(),TRUE())))</f>
        <v/>
      </c>
      <c r="AF320" s="126" t="str">
        <f aca="false">IF(ISBLANK($C320),"",IF(ISNUMBER($M320),IF($M320&gt;=0,$M320,""),""))</f>
        <v/>
      </c>
      <c r="AG320" s="124" t="str">
        <f aca="false">IF(ISBLANK($C320),"",IF(ISBLANK($N320),0,IF(ISNUMBER($N320),IF(AND($N320&gt;=0,$N320&lt;=Constants!$B$17,$N320=INT($N320)),$N320,""),"")))</f>
        <v/>
      </c>
      <c r="AH320" s="125" t="str">
        <f aca="false">IF(ISBLANK($C320),"",IF(ISBLANK($O320),0,IF(ISNUMBER($O320),IF($O320&gt;=0,$O320,""),"")))</f>
        <v/>
      </c>
      <c r="AI320" s="124" t="str">
        <f aca="false">IF(ISBLANK($C320),"",IF($P320=Constants!$B$2,TRUE(),IF($P320=Constants!$B$3,FALSE(),TRUE())))</f>
        <v/>
      </c>
      <c r="AJ320" s="124" t="str">
        <f aca="false">IF(ISBLANK($C320),"",IF($Q320=Constants!$B$2,TRUE(),IF($Q320=Constants!$B$3,FALSE(),TRUE())))</f>
        <v/>
      </c>
      <c r="AK320" s="124" t="str">
        <f aca="false">IF(ISBLANK($C320),"",IF($R320=Constants!$B$2,TRUE(),IF($R320=Constants!$B$3,FALSE(),TRUE())))</f>
        <v/>
      </c>
      <c r="AL320" s="126" t="str">
        <f aca="false">IF(ISBLANK($C320),"",IF(ISNUMBER($S320),IF($S320&gt;=0,$S320,""),""))</f>
        <v/>
      </c>
      <c r="AM320" s="124" t="str">
        <f aca="false">IF(ISBLANK($C320),"",IF(ISBLANK($T320),0,IF(ISNUMBER($T320),IF(AND($T320&gt;=0,$T320&lt;=Constants!$B$17,$T320=INT($T320)),$T320,""),"")))</f>
        <v/>
      </c>
      <c r="AN320" s="125" t="str">
        <f aca="false">IF(ISBLANK($C320),"",IF(ISBLANK($U320),0,IF(ISNUMBER($U320),IF($U320&gt;=0,$U320,""),"")))</f>
        <v/>
      </c>
      <c r="AO320" s="124" t="str">
        <f aca="false">IF(ISBLANK($C320),"",IF($V320=Constants!$B$2,TRUE(),IF($V320=Constants!$B$3,FALSE(),FALSE())))</f>
        <v/>
      </c>
      <c r="AP320" s="124"/>
      <c r="AQ320" s="123" t="str">
        <f aca="false">IF(ISBLANK($C320),"",AND($Y320,OR($AS320,$BC320),OR($Z320="",$AA320="",$AB320="")))</f>
        <v/>
      </c>
      <c r="AR320" s="123" t="str">
        <f aca="false">IF(ISBLANK($C320),"",IF(OR(NOT($Y320),NOT(OR($AS320,$BC320))),"",IF(ISBLANK($D$7),$AR$5,IF($AP$9="",$AR$6,""))))</f>
        <v/>
      </c>
      <c r="AS320" s="123" t="str">
        <f aca="false">IF(ISBLANK($C320),"",COUNTA($J320:$O320)&gt;0)</f>
        <v/>
      </c>
      <c r="AT320" s="123" t="str">
        <f aca="false">IF(ISBLANK($C320),"",AND($AS320,OR(AND($AF320="",OR($AE320,NOT(ISBLANK($M320)))),$AG320="",$AH320="")))</f>
        <v/>
      </c>
      <c r="AU320" s="125" t="str">
        <f aca="false">IF($BL320&lt;&gt;Constants!$B$4,"",IF(NOT($AS320),"",ROUND((Constants!$B$12-$AB320)+(Constants!$B$13-$Z320)+(Constants!$B$14-$AA320),1)))</f>
        <v/>
      </c>
      <c r="AV320" s="127" t="str">
        <f aca="false">IF($BL320&lt;&gt;Constants!$B$4,"",IF(NOT($AS320),"",IF(NOT($AE320),0,Constants!$B$15*(INT(ROUND(MIN($AF320,$AP$9),6))-INT(ROUND(MAX(0,MIN($AF320,2*$AP$9)-$AP$9),6))))))</f>
        <v/>
      </c>
      <c r="AW320" s="127" t="str">
        <f aca="false">IF($BL320&lt;&gt;Constants!$B$4,"",IF(NOT($AS320),"",Constants!$B$16*$AG320))</f>
        <v/>
      </c>
      <c r="AX320" s="127" t="str">
        <f aca="false">IF($BL320&lt;&gt;Constants!$B$4,"",IF(NOT($AS320),"",Constants!$B$18*INT(ROUND($AH320,6))))</f>
        <v/>
      </c>
      <c r="AY320" s="123" t="str">
        <f aca="false">IF($BL320&lt;&gt;Constants!$B$4,"",IF(NOT($AS320),"",IF(NOT($X320),Constants!$B$11,IF(OR(NOT($AC320),NOT($AD320),ROUND($AB320,1)&gt;Constants!$B$12,ROUND($Z320,1)&gt;Constants!$B$13,ROUND($AA320,1)&gt;Constants!$B$14),Constants!$B$10,Constants!$B$9))))</f>
        <v/>
      </c>
      <c r="AZ320" s="128" t="str">
        <f aca="false">IF($BL320&lt;&gt;Constants!$B$4,"",IF(NOT($AS320),"",ROUND($AU320+$AV320+$AW320+$AX320,1)))</f>
        <v/>
      </c>
      <c r="BA320" s="129" t="str">
        <f aca="false">IF($BL320&lt;&gt;Constants!$B$4,"",IF(NOT($AS320),"",IF(ISNUMBER($AF320),$AF320,0)))</f>
        <v/>
      </c>
      <c r="BB320" s="124" t="str">
        <f aca="false">IF($BL320&lt;&gt;Constants!$B$4,"",IF(NOT($BC320),"&lt;-",IF(NOT($AS320),"-&gt;",IF(OR($BI320&lt;$AY320,AND($BI320=$AY320,OR($BJ320&gt;$AZ320,AND($BJ320=$AZ320,OR($BH320&gt;$AX320,AND($BH320=$AX320,OR($BE320&gt;$AU320,AND($BE320=$AU320,OR($BF320&gt;$AV320,AND($BF320=$AV320,$BK320&gt;$BA320)))))))))),"-&gt;","&lt;-"))))</f>
        <v/>
      </c>
      <c r="BC320" s="123" t="str">
        <f aca="false">IF(ISBLANK($C320),"",COUNTA($P320:$U320)&gt;0)</f>
        <v/>
      </c>
      <c r="BD320" s="123" t="str">
        <f aca="false">IF(ISBLANK($C320),"",AND($BC320,OR(AND($AL320="",OR($AK320,NOT(ISBLANK($S320)))),$AM320="",$AN320="")))</f>
        <v/>
      </c>
      <c r="BE320" s="125" t="str">
        <f aca="false">IF($BL320&lt;&gt;Constants!$B$4,"",IF(NOT($BC320),"",ROUND((Constants!$B$12-$AB320)+(Constants!$B$13-$Z320)+(Constants!$B$14-$AA320),1)))</f>
        <v/>
      </c>
      <c r="BF320" s="127" t="str">
        <f aca="false">IF($BL320&lt;&gt;Constants!$B$4,"",IF(NOT($BC320),"",IF(NOT($AK320),0,Constants!$B$15*(INT(ROUND(MIN($AL320,$AP$9),6))-INT(ROUND(MAX(0,MIN($AL320,2*$AP$9)-$AP$9),6))))))</f>
        <v/>
      </c>
      <c r="BG320" s="127" t="str">
        <f aca="false">IF($BL320&lt;&gt;Constants!$B$4,"",IF(NOT($BC320),"",Constants!$B$16*$AM320))</f>
        <v/>
      </c>
      <c r="BH320" s="127" t="str">
        <f aca="false">IF($BL320&lt;&gt;Constants!$B$4,"",IF(NOT($BC320),"",Constants!$B$18*INT(ROUND($AN320,6))))</f>
        <v/>
      </c>
      <c r="BI320" s="123" t="str">
        <f aca="false">IF($BL320&lt;&gt;Constants!$B$4,"",IF(NOT($BC320),"",IF(NOT($X320),Constants!$B$11,IF(OR(NOT($AI320),NOT($AJ320),ROUND($AB320,1)&gt;Constants!$B$12,ROUND($Z320,1)&gt;Constants!$B$13,ROUND($AA320,1)&gt;Constants!$B$14),Constants!$B$10,Constants!$B$9))))</f>
        <v/>
      </c>
      <c r="BJ320" s="128" t="str">
        <f aca="false">IF($BL320&lt;&gt;Constants!$B$4,"",IF(NOT($BC320),"",ROUND($BE320+$BF320+$BG320+$BH320,1)))</f>
        <v/>
      </c>
      <c r="BK320" s="129" t="str">
        <f aca="false">IF($BL320&lt;&gt;Constants!$B$4,"",IF(NOT($BC320),"",IF(ISNUMBER($AL320),$AL320,0)))</f>
        <v/>
      </c>
      <c r="BL320" s="124" t="str">
        <f aca="false">IF(ISBLANK($C320),"",IF($AO320,Constants!$B$7,IF(COUNTA($E320:$V320)=0,Constants!$B$6,IF(NOT($Y320),Constants!$B$5,IF(NOT(OR($AS320,$BC320)),Constants!$B$5,IF(OR($AT320,$BD320,$AQ320,$AR320&lt;&gt;""),Constants!$B$8,Constants!$B$4))))))</f>
        <v/>
      </c>
      <c r="BM320" s="124" t="str">
        <f aca="false">IF(ISBLANK($C320),"",IF($BL320&lt;&gt;Constants!$B$4,$BL320,IF($BB320="-&gt;",$BI320,$AY320)))</f>
        <v/>
      </c>
      <c r="BN320" s="127" t="str">
        <f aca="false">IF($BL320&lt;&gt;Constants!$B$4,"",IF($BB320="-&gt;",$BJ320,$AZ320))</f>
        <v/>
      </c>
      <c r="BO320" s="127" t="str">
        <f aca="false">IF(ISBLANK($C320),"",IF($BL320&lt;&gt;Constants!$B$4,$BL320,$BN320))</f>
        <v/>
      </c>
      <c r="BP320" s="124" t="str">
        <f aca="false">IF(ISBLANK($C320),"",IF($BL320&lt;&gt;Constants!$B$4,$BL320,RANK($BO320,$BO$9:$BO$508,0)))</f>
        <v/>
      </c>
      <c r="BQ320" s="124" t="str">
        <f aca="false">IF(ISBLANK($C320),"",IF($BL320&lt;&gt;Constants!$B$4,$BL320,COUNTIFS($BM$9:$BM$508,"&lt;"&amp;$BM320)+COUNTIFS($BM$9:$BM$508,$BM320,$BP$9:$BP$508,"&lt;"&amp;$BP320)+1))</f>
        <v/>
      </c>
      <c r="BR320" s="127" t="str">
        <f aca="false">IF($BL320&lt;&gt;Constants!$B$4,"",IF($BB320="-&gt;",$BH320,$AX320))</f>
        <v/>
      </c>
      <c r="BS320" s="124" t="str">
        <f aca="false">IF(ISBLANK($C320),"",IF($BL320&lt;&gt;Constants!$B$4,$BL320,IF(ISNUMBER($BR320),RANK($BR320,$BR$9:$BR$508,0),COUNT($BR$9:$BR$508)+1)))</f>
        <v/>
      </c>
      <c r="BT320" s="127" t="str">
        <f aca="false">IF($BL320&lt;&gt;Constants!$B$4,"",IF($BB320="-&gt;",$BE320,$AU320))</f>
        <v/>
      </c>
      <c r="BU320" s="124" t="str">
        <f aca="false">IF(ISBLANK($C320),"",IF($BL320&lt;&gt;Constants!$B$4,$BL320,IF(ISNUMBER($BT320),RANK($BT320,$BT$9:$BT$508,0),COUNT($BT$9:$BT$508)+1)))</f>
        <v/>
      </c>
      <c r="BV320" s="127" t="str">
        <f aca="false">IF($BL320&lt;&gt;Constants!$B$4,"",IF($BB320="-&gt;",$BF320,$AV320))</f>
        <v/>
      </c>
      <c r="BW320" s="124" t="str">
        <f aca="false">IF(ISBLANK($C320),"",IF($BL320&lt;&gt;Constants!$B$4,$BL320,IF(ISNUMBER($BV320),RANK($BV320,$BV$9:$BV$508,0),COUNT($BV$9:$BV$508)+1)))</f>
        <v/>
      </c>
      <c r="BX320" s="127" t="str">
        <f aca="false">IF($BL320&lt;&gt;Constants!$B$4,"",IF($BB320="-&gt;",$BK320,$BA320))</f>
        <v/>
      </c>
      <c r="BY320" s="124" t="str">
        <f aca="false">IF(ISBLANK($C320),"",IF($BL320&lt;&gt;Constants!$B$4,$BL320,IF(ISNUMBER($BX320),RANK($BX320,$BX$9:$BX$508,0),COUNT($BX$9:$BX$508)+1)))</f>
        <v/>
      </c>
      <c r="BZ320" s="124" t="str">
        <f aca="false">IF(ISBLANK($C320),"",IF($BL320&lt;&gt;Constants!$B$4,$BL320,COUNTIFS($BM$9:$BM$508,"&lt;"&amp;$BM320)+COUNTIFS($BM$9:$BM$508,$BM320,$BP$9:$BP$508,"&lt;"&amp;$BP320)+COUNTIFS($BM$9:$BM$508,$BM320,$BP$9:$BP$508,$BP320,$BS$9:$BS$508,"&lt;"&amp;$BS320)+COUNTIFS($BM$9:$BM$508,$BM320,$BP$9:$BP$508,$BP320,$BS$9:$BS$508,$BS320,$BU$9:$BU$508,"&lt;"&amp;$BU320)+COUNTIFS($BM$9:$BM$508,$BM320,$BP$9:$BP$508,$BP320,$BS$9:$BS$508,$BS320,$BU$9:$BU$508,$BU320,$BW$9:$BW$508,"&lt;"&amp;$BW320)+COUNTIFS($BM$9:$BM$508,$BM320,$BP$9:$BP$508,$BP320,$BS$9:$BS$508,$BS320,$BU$9:$BU$508,$BU320,$BW$9:$BW$508,$BW320,$BY$9:$BY$508,"&lt;"&amp;$BY320)+1))</f>
        <v/>
      </c>
      <c r="CA320" s="124" t="str">
        <f aca="false">IF(ISBLANK($C320),"",IF($BL320&lt;&gt;Constants!$B$4,$BL320,$BQ320-$BZ320))</f>
        <v/>
      </c>
      <c r="CB320" s="130"/>
      <c r="CC320" s="131" t="str">
        <f aca="false">IF(ISBLANK($C320),"",IF($BL320=Constants!$B$8,$AR320,""))</f>
        <v/>
      </c>
      <c r="CD320" s="131" t="str">
        <f aca="false">IF(ISBLANK($C320),"",IF($BL320&lt;&gt;Constants!$B$4,"",IF($BB320="-&gt;",2,1)))</f>
        <v/>
      </c>
      <c r="CE320" s="132" t="str">
        <f aca="false">IF(ISBLANK($C320),"",IF($BL320&lt;&gt;Constants!$B$4,"",IF($BB320="-&gt;",$BE320,$AU320)))</f>
        <v/>
      </c>
      <c r="CF320" s="132" t="str">
        <f aca="false">IF(ISBLANK($C320),"",IF($BL320&lt;&gt;Constants!$B$4,"",IF($BB320="-&gt;",$BF320,$AV320)))</f>
        <v/>
      </c>
      <c r="CG320" s="132" t="str">
        <f aca="false">IF(ISBLANK($C320),"",IF($BL320&lt;&gt;Constants!$B$4,"",IF($BB320="-&gt;",$BG320,$AW320)))</f>
        <v/>
      </c>
      <c r="CH320" s="132" t="str">
        <f aca="false">IF(ISBLANK($C320),"",IF($BL320&lt;&gt;Constants!$B$4,"",IF($BB320="-&gt;",$BH320,$AX320)))</f>
        <v/>
      </c>
      <c r="CI320" s="133" t="str">
        <f aca="false">IF(ISBLANK($C320),"",$BO320)</f>
        <v/>
      </c>
      <c r="CJ320" s="134" t="str">
        <f aca="false">IF(ISBLANK($C320),"",$BM320)</f>
        <v/>
      </c>
      <c r="CK320" s="135" t="str">
        <f aca="false">IF(ISBLANK($C320),"",$CA320)</f>
        <v/>
      </c>
      <c r="CL320" s="135" t="str">
        <f aca="false">IF(ISBLANK($C320),"",$BZ320)</f>
        <v/>
      </c>
      <c r="CM320" s="136" t="str">
        <f aca="false">IF(ISBLANK($C320),"",IF($CL320=Constants!$B$7,COUNTA($C$9:$C$508)+2,IF($CL320=Constants!$B$6,COUNTA($C$9:$C$508)+1,IF($CL320=Constants!$B$5,COUNTA($C$9:$C$508),$CL320))))</f>
        <v/>
      </c>
      <c r="CN320" s="8"/>
      <c r="CO320" s="137" t="n">
        <f aca="false">IF(OR(ISNUMBER($CL320),$CL320=Constants!$B$7,$CL320=Constants!$B$5,$CL320=Constants!$B$6),1,0)</f>
        <v>0</v>
      </c>
      <c r="CP320" s="137" t="n">
        <v>312</v>
      </c>
      <c r="CQ320" s="137" t="str">
        <f aca="false">IF(ISBLANK($C320),"",IF(ISNUMBER($CM320),$CM320+ROW($B320)/1000,""))</f>
        <v/>
      </c>
      <c r="CR320" s="137" t="str">
        <f aca="false">IF(ISNUMBER($CQ320),RANK($CQ320,$CQ$9:$CQ$508,1),"")</f>
        <v/>
      </c>
      <c r="CS320" s="137" t="str">
        <f aca="false">IF(ISBLANK($C320),"",$B320)</f>
        <v/>
      </c>
      <c r="CT320" s="137" t="str">
        <f aca="false">IF(ISBLANK($C320),"",$C320)</f>
        <v/>
      </c>
      <c r="CU320" s="137" t="str">
        <f aca="false">IF(ISBLANK($C320),"",$D320)</f>
        <v/>
      </c>
      <c r="CV320" s="138" t="str">
        <f aca="false">$CJ320</f>
        <v/>
      </c>
      <c r="CW320" s="139" t="str">
        <f aca="false">$CI320</f>
        <v/>
      </c>
      <c r="CX320" s="137" t="str">
        <f aca="false">IF(ISBLANK($C320),"",$CL320)</f>
        <v/>
      </c>
      <c r="CY320" s="140" t="str">
        <f aca="false">IF($CP320&gt;$CO$8,"",VLOOKUP($CP320,$CR$9:$CX$508,7,FALSE()))</f>
        <v/>
      </c>
      <c r="CZ320" s="141" t="str">
        <f aca="false">IF($CP320&gt;$CO$8,"",VLOOKUP($CP320,$CR$9:$CX$508,2,FALSE()))</f>
        <v/>
      </c>
      <c r="DA320" s="141" t="str">
        <f aca="false">IF($CP320&gt;$CO$8,"",VLOOKUP($CP320,$CR$9:$CX$508,3,FALSE()))</f>
        <v/>
      </c>
      <c r="DB320" s="141" t="str">
        <f aca="false">IF($CP320&gt;$CO$8,"",VLOOKUP($CP320,$CR$9:$CX$508,4,FALSE()))</f>
        <v/>
      </c>
      <c r="DC320" s="141" t="str">
        <f aca="false">IF($CP320&gt;$CO$8,"",VLOOKUP($CP320,$CR$9:$CX$508,5,FALSE()))</f>
        <v/>
      </c>
      <c r="DD320" s="142" t="str">
        <f aca="false">IF($CP320&gt;$CO$8,"",VLOOKUP($CP320,$CR$9:$CX$508,6,FALSE()))</f>
        <v/>
      </c>
      <c r="DE320" s="70"/>
    </row>
    <row r="321" customFormat="false" ht="15.75" hidden="false" customHeight="false" outlineLevel="0" collapsed="false">
      <c r="A321" s="8"/>
      <c r="B321" s="72"/>
      <c r="C321" s="73"/>
      <c r="D321" s="155"/>
      <c r="E321" s="162"/>
      <c r="F321" s="157"/>
      <c r="G321" s="77"/>
      <c r="H321" s="77"/>
      <c r="I321" s="77"/>
      <c r="J321" s="163"/>
      <c r="K321" s="161"/>
      <c r="L321" s="161"/>
      <c r="M321" s="80"/>
      <c r="N321" s="161"/>
      <c r="O321" s="160"/>
      <c r="P321" s="161"/>
      <c r="Q321" s="161"/>
      <c r="R321" s="161"/>
      <c r="S321" s="77"/>
      <c r="T321" s="161"/>
      <c r="U321" s="160"/>
      <c r="V321" s="161"/>
      <c r="W321" s="85"/>
      <c r="X321" s="86" t="str">
        <f aca="false">IF(ISBLANK($C321),"",IF($E321=Constants!$B$2,TRUE(),IF($E321=Constants!$B$3,FALSE(),TRUE())))</f>
        <v/>
      </c>
      <c r="Y321" s="86" t="str">
        <f aca="false">IF(ISBLANK($C321),"",IF($F321=Constants!$B$2,TRUE(),IF($F321=Constants!$B$3,FALSE(),TRUE())))</f>
        <v/>
      </c>
      <c r="Z321" s="87" t="str">
        <f aca="false">IF(ISBLANK($C321),"",IF(ISNUMBER($G321),IF($G321&gt;=0,$G321,""),""))</f>
        <v/>
      </c>
      <c r="AA321" s="87" t="str">
        <f aca="false">IF(ISBLANK($C321),"",IF(ISNUMBER($H321),IF($H321&gt;=0,$H321,""),""))</f>
        <v/>
      </c>
      <c r="AB321" s="87" t="str">
        <f aca="false">IF(ISBLANK($C321),"",IF(ISNUMBER($I321),IF($I321&gt;=0,$I321,""),""))</f>
        <v/>
      </c>
      <c r="AC321" s="86" t="str">
        <f aca="false">IF(ISBLANK($C321),"",IF($J321=Constants!$B$2,TRUE(),IF($J321=Constants!$B$3,FALSE(),TRUE())))</f>
        <v/>
      </c>
      <c r="AD321" s="86" t="str">
        <f aca="false">IF(ISBLANK($C321),"",IF($K321=Constants!$B$2,TRUE(),IF($K321=Constants!$B$3,FALSE(),TRUE())))</f>
        <v/>
      </c>
      <c r="AE321" s="86" t="str">
        <f aca="false">IF(ISBLANK($C321),"",IF($L321=Constants!$B$2,TRUE(),IF($L321=Constants!$B$3,FALSE(),TRUE())))</f>
        <v/>
      </c>
      <c r="AF321" s="88" t="str">
        <f aca="false">IF(ISBLANK($C321),"",IF(ISNUMBER($M321),IF($M321&gt;=0,$M321,""),""))</f>
        <v/>
      </c>
      <c r="AG321" s="86" t="str">
        <f aca="false">IF(ISBLANK($C321),"",IF(ISBLANK($N321),0,IF(ISNUMBER($N321),IF(AND($N321&gt;=0,$N321&lt;=Constants!$B$17,$N321=INT($N321)),$N321,""),"")))</f>
        <v/>
      </c>
      <c r="AH321" s="87" t="str">
        <f aca="false">IF(ISBLANK($C321),"",IF(ISBLANK($O321),0,IF(ISNUMBER($O321),IF($O321&gt;=0,$O321,""),"")))</f>
        <v/>
      </c>
      <c r="AI321" s="86" t="str">
        <f aca="false">IF(ISBLANK($C321),"",IF($P321=Constants!$B$2,TRUE(),IF($P321=Constants!$B$3,FALSE(),TRUE())))</f>
        <v/>
      </c>
      <c r="AJ321" s="86" t="str">
        <f aca="false">IF(ISBLANK($C321),"",IF($Q321=Constants!$B$2,TRUE(),IF($Q321=Constants!$B$3,FALSE(),TRUE())))</f>
        <v/>
      </c>
      <c r="AK321" s="86" t="str">
        <f aca="false">IF(ISBLANK($C321),"",IF($R321=Constants!$B$2,TRUE(),IF($R321=Constants!$B$3,FALSE(),TRUE())))</f>
        <v/>
      </c>
      <c r="AL321" s="88" t="str">
        <f aca="false">IF(ISBLANK($C321),"",IF(ISNUMBER($S321),IF($S321&gt;=0,$S321,""),""))</f>
        <v/>
      </c>
      <c r="AM321" s="86" t="str">
        <f aca="false">IF(ISBLANK($C321),"",IF(ISBLANK($T321),0,IF(ISNUMBER($T321),IF(AND($T321&gt;=0,$T321&lt;=Constants!$B$17,$T321=INT($T321)),$T321,""),"")))</f>
        <v/>
      </c>
      <c r="AN321" s="87" t="str">
        <f aca="false">IF(ISBLANK($C321),"",IF(ISBLANK($U321),0,IF(ISNUMBER($U321),IF($U321&gt;=0,$U321,""),"")))</f>
        <v/>
      </c>
      <c r="AO321" s="86" t="str">
        <f aca="false">IF(ISBLANK($C321),"",IF($V321=Constants!$B$2,TRUE(),IF($V321=Constants!$B$3,FALSE(),FALSE())))</f>
        <v/>
      </c>
      <c r="AP321" s="86"/>
      <c r="AQ321" s="85" t="str">
        <f aca="false">IF(ISBLANK($C321),"",AND($Y321,OR($AS321,$BC321),OR($Z321="",$AA321="",$AB321="")))</f>
        <v/>
      </c>
      <c r="AR321" s="85" t="str">
        <f aca="false">IF(ISBLANK($C321),"",IF(OR(NOT($Y321),NOT(OR($AS321,$BC321))),"",IF(ISBLANK($D$7),$AR$5,IF($AP$9="",$AR$6,""))))</f>
        <v/>
      </c>
      <c r="AS321" s="85" t="str">
        <f aca="false">IF(ISBLANK($C321),"",COUNTA($J321:$O321)&gt;0)</f>
        <v/>
      </c>
      <c r="AT321" s="85" t="str">
        <f aca="false">IF(ISBLANK($C321),"",AND($AS321,OR(AND($AF321="",OR($AE321,NOT(ISBLANK($M321)))),$AG321="",$AH321="")))</f>
        <v/>
      </c>
      <c r="AU321" s="87" t="str">
        <f aca="false">IF($BL321&lt;&gt;Constants!$B$4,"",IF(NOT($AS321),"",ROUND((Constants!$B$12-$AB321)+(Constants!$B$13-$Z321)+(Constants!$B$14-$AA321),1)))</f>
        <v/>
      </c>
      <c r="AV321" s="90" t="str">
        <f aca="false">IF($BL321&lt;&gt;Constants!$B$4,"",IF(NOT($AS321),"",IF(NOT($AE321),0,Constants!$B$15*(INT(ROUND(MIN($AF321,$AP$9),6))-INT(ROUND(MAX(0,MIN($AF321,2*$AP$9)-$AP$9),6))))))</f>
        <v/>
      </c>
      <c r="AW321" s="90" t="str">
        <f aca="false">IF($BL321&lt;&gt;Constants!$B$4,"",IF(NOT($AS321),"",Constants!$B$16*$AG321))</f>
        <v/>
      </c>
      <c r="AX321" s="90" t="str">
        <f aca="false">IF($BL321&lt;&gt;Constants!$B$4,"",IF(NOT($AS321),"",Constants!$B$18*INT(ROUND($AH321,6))))</f>
        <v/>
      </c>
      <c r="AY321" s="85" t="str">
        <f aca="false">IF($BL321&lt;&gt;Constants!$B$4,"",IF(NOT($AS321),"",IF(NOT($X321),Constants!$B$11,IF(OR(NOT($AC321),NOT($AD321),ROUND($AB321,1)&gt;Constants!$B$12,ROUND($Z321,1)&gt;Constants!$B$13,ROUND($AA321,1)&gt;Constants!$B$14),Constants!$B$10,Constants!$B$9))))</f>
        <v/>
      </c>
      <c r="AZ321" s="91" t="str">
        <f aca="false">IF($BL321&lt;&gt;Constants!$B$4,"",IF(NOT($AS321),"",ROUND($AU321+$AV321+$AW321+$AX321,1)))</f>
        <v/>
      </c>
      <c r="BA321" s="92" t="str">
        <f aca="false">IF($BL321&lt;&gt;Constants!$B$4,"",IF(NOT($AS321),"",IF(ISNUMBER($AF321),$AF321,0)))</f>
        <v/>
      </c>
      <c r="BB321" s="86" t="str">
        <f aca="false">IF($BL321&lt;&gt;Constants!$B$4,"",IF(NOT($BC321),"&lt;-",IF(NOT($AS321),"-&gt;",IF(OR($BI321&lt;$AY321,AND($BI321=$AY321,OR($BJ321&gt;$AZ321,AND($BJ321=$AZ321,OR($BH321&gt;$AX321,AND($BH321=$AX321,OR($BE321&gt;$AU321,AND($BE321=$AU321,OR($BF321&gt;$AV321,AND($BF321=$AV321,$BK321&gt;$BA321)))))))))),"-&gt;","&lt;-"))))</f>
        <v/>
      </c>
      <c r="BC321" s="85" t="str">
        <f aca="false">IF(ISBLANK($C321),"",COUNTA($P321:$U321)&gt;0)</f>
        <v/>
      </c>
      <c r="BD321" s="85" t="str">
        <f aca="false">IF(ISBLANK($C321),"",AND($BC321,OR(AND($AL321="",OR($AK321,NOT(ISBLANK($S321)))),$AM321="",$AN321="")))</f>
        <v/>
      </c>
      <c r="BE321" s="87" t="str">
        <f aca="false">IF($BL321&lt;&gt;Constants!$B$4,"",IF(NOT($BC321),"",ROUND((Constants!$B$12-$AB321)+(Constants!$B$13-$Z321)+(Constants!$B$14-$AA321),1)))</f>
        <v/>
      </c>
      <c r="BF321" s="90" t="str">
        <f aca="false">IF($BL321&lt;&gt;Constants!$B$4,"",IF(NOT($BC321),"",IF(NOT($AK321),0,Constants!$B$15*(INT(ROUND(MIN($AL321,$AP$9),6))-INT(ROUND(MAX(0,MIN($AL321,2*$AP$9)-$AP$9),6))))))</f>
        <v/>
      </c>
      <c r="BG321" s="90" t="str">
        <f aca="false">IF($BL321&lt;&gt;Constants!$B$4,"",IF(NOT($BC321),"",Constants!$B$16*$AM321))</f>
        <v/>
      </c>
      <c r="BH321" s="90" t="str">
        <f aca="false">IF($BL321&lt;&gt;Constants!$B$4,"",IF(NOT($BC321),"",Constants!$B$18*INT(ROUND($AN321,6))))</f>
        <v/>
      </c>
      <c r="BI321" s="85" t="str">
        <f aca="false">IF($BL321&lt;&gt;Constants!$B$4,"",IF(NOT($BC321),"",IF(NOT($X321),Constants!$B$11,IF(OR(NOT($AI321),NOT($AJ321),ROUND($AB321,1)&gt;Constants!$B$12,ROUND($Z321,1)&gt;Constants!$B$13,ROUND($AA321,1)&gt;Constants!$B$14),Constants!$B$10,Constants!$B$9))))</f>
        <v/>
      </c>
      <c r="BJ321" s="91" t="str">
        <f aca="false">IF($BL321&lt;&gt;Constants!$B$4,"",IF(NOT($BC321),"",ROUND($BE321+$BF321+$BG321+$BH321,1)))</f>
        <v/>
      </c>
      <c r="BK321" s="92" t="str">
        <f aca="false">IF($BL321&lt;&gt;Constants!$B$4,"",IF(NOT($BC321),"",IF(ISNUMBER($AL321),$AL321,0)))</f>
        <v/>
      </c>
      <c r="BL321" s="86" t="str">
        <f aca="false">IF(ISBLANK($C321),"",IF($AO321,Constants!$B$7,IF(COUNTA($E321:$V321)=0,Constants!$B$6,IF(NOT($Y321),Constants!$B$5,IF(NOT(OR($AS321,$BC321)),Constants!$B$5,IF(OR($AT321,$BD321,$AQ321,$AR321&lt;&gt;""),Constants!$B$8,Constants!$B$4))))))</f>
        <v/>
      </c>
      <c r="BM321" s="86" t="str">
        <f aca="false">IF(ISBLANK($C321),"",IF($BL321&lt;&gt;Constants!$B$4,$BL321,IF($BB321="-&gt;",$BI321,$AY321)))</f>
        <v/>
      </c>
      <c r="BN321" s="90" t="str">
        <f aca="false">IF($BL321&lt;&gt;Constants!$B$4,"",IF($BB321="-&gt;",$BJ321,$AZ321))</f>
        <v/>
      </c>
      <c r="BO321" s="90" t="str">
        <f aca="false">IF(ISBLANK($C321),"",IF($BL321&lt;&gt;Constants!$B$4,$BL321,$BN321))</f>
        <v/>
      </c>
      <c r="BP321" s="86" t="str">
        <f aca="false">IF(ISBLANK($C321),"",IF($BL321&lt;&gt;Constants!$B$4,$BL321,RANK($BO321,$BO$9:$BO$508,0)))</f>
        <v/>
      </c>
      <c r="BQ321" s="86" t="str">
        <f aca="false">IF(ISBLANK($C321),"",IF($BL321&lt;&gt;Constants!$B$4,$BL321,COUNTIFS($BM$9:$BM$508,"&lt;"&amp;$BM321)+COUNTIFS($BM$9:$BM$508,$BM321,$BP$9:$BP$508,"&lt;"&amp;$BP321)+1))</f>
        <v/>
      </c>
      <c r="BR321" s="90" t="str">
        <f aca="false">IF($BL321&lt;&gt;Constants!$B$4,"",IF($BB321="-&gt;",$BH321,$AX321))</f>
        <v/>
      </c>
      <c r="BS321" s="86" t="str">
        <f aca="false">IF(ISBLANK($C321),"",IF($BL321&lt;&gt;Constants!$B$4,$BL321,IF(ISNUMBER($BR321),RANK($BR321,$BR$9:$BR$508,0),COUNT($BR$9:$BR$508)+1)))</f>
        <v/>
      </c>
      <c r="BT321" s="90" t="str">
        <f aca="false">IF($BL321&lt;&gt;Constants!$B$4,"",IF($BB321="-&gt;",$BE321,$AU321))</f>
        <v/>
      </c>
      <c r="BU321" s="86" t="str">
        <f aca="false">IF(ISBLANK($C321),"",IF($BL321&lt;&gt;Constants!$B$4,$BL321,IF(ISNUMBER($BT321),RANK($BT321,$BT$9:$BT$508,0),COUNT($BT$9:$BT$508)+1)))</f>
        <v/>
      </c>
      <c r="BV321" s="90" t="str">
        <f aca="false">IF($BL321&lt;&gt;Constants!$B$4,"",IF($BB321="-&gt;",$BF321,$AV321))</f>
        <v/>
      </c>
      <c r="BW321" s="86" t="str">
        <f aca="false">IF(ISBLANK($C321),"",IF($BL321&lt;&gt;Constants!$B$4,$BL321,IF(ISNUMBER($BV321),RANK($BV321,$BV$9:$BV$508,0),COUNT($BV$9:$BV$508)+1)))</f>
        <v/>
      </c>
      <c r="BX321" s="90" t="str">
        <f aca="false">IF($BL321&lt;&gt;Constants!$B$4,"",IF($BB321="-&gt;",$BK321,$BA321))</f>
        <v/>
      </c>
      <c r="BY321" s="86" t="str">
        <f aca="false">IF(ISBLANK($C321),"",IF($BL321&lt;&gt;Constants!$B$4,$BL321,IF(ISNUMBER($BX321),RANK($BX321,$BX$9:$BX$508,0),COUNT($BX$9:$BX$508)+1)))</f>
        <v/>
      </c>
      <c r="BZ321" s="86" t="str">
        <f aca="false">IF(ISBLANK($C321),"",IF($BL321&lt;&gt;Constants!$B$4,$BL321,COUNTIFS($BM$9:$BM$508,"&lt;"&amp;$BM321)+COUNTIFS($BM$9:$BM$508,$BM321,$BP$9:$BP$508,"&lt;"&amp;$BP321)+COUNTIFS($BM$9:$BM$508,$BM321,$BP$9:$BP$508,$BP321,$BS$9:$BS$508,"&lt;"&amp;$BS321)+COUNTIFS($BM$9:$BM$508,$BM321,$BP$9:$BP$508,$BP321,$BS$9:$BS$508,$BS321,$BU$9:$BU$508,"&lt;"&amp;$BU321)+COUNTIFS($BM$9:$BM$508,$BM321,$BP$9:$BP$508,$BP321,$BS$9:$BS$508,$BS321,$BU$9:$BU$508,$BU321,$BW$9:$BW$508,"&lt;"&amp;$BW321)+COUNTIFS($BM$9:$BM$508,$BM321,$BP$9:$BP$508,$BP321,$BS$9:$BS$508,$BS321,$BU$9:$BU$508,$BU321,$BW$9:$BW$508,$BW321,$BY$9:$BY$508,"&lt;"&amp;$BY321)+1))</f>
        <v/>
      </c>
      <c r="CA321" s="86" t="str">
        <f aca="false">IF(ISBLANK($C321),"",IF($BL321&lt;&gt;Constants!$B$4,$BL321,$BQ321-$BZ321))</f>
        <v/>
      </c>
      <c r="CB321" s="93"/>
      <c r="CC321" s="94" t="str">
        <f aca="false">IF(ISBLANK($C321),"",IF($BL321=Constants!$B$8,$AR321,""))</f>
        <v/>
      </c>
      <c r="CD321" s="94" t="str">
        <f aca="false">IF(ISBLANK($C321),"",IF($BL321&lt;&gt;Constants!$B$4,"",IF($BB321="-&gt;",2,1)))</f>
        <v/>
      </c>
      <c r="CE321" s="95" t="str">
        <f aca="false">IF(ISBLANK($C321),"",IF($BL321&lt;&gt;Constants!$B$4,"",IF($BB321="-&gt;",$BE321,$AU321)))</f>
        <v/>
      </c>
      <c r="CF321" s="95" t="str">
        <f aca="false">IF(ISBLANK($C321),"",IF($BL321&lt;&gt;Constants!$B$4,"",IF($BB321="-&gt;",$BF321,$AV321)))</f>
        <v/>
      </c>
      <c r="CG321" s="95" t="str">
        <f aca="false">IF(ISBLANK($C321),"",IF($BL321&lt;&gt;Constants!$B$4,"",IF($BB321="-&gt;",$BG321,$AW321)))</f>
        <v/>
      </c>
      <c r="CH321" s="95" t="str">
        <f aca="false">IF(ISBLANK($C321),"",IF($BL321&lt;&gt;Constants!$B$4,"",IF($BB321="-&gt;",$BH321,$AX321)))</f>
        <v/>
      </c>
      <c r="CI321" s="96" t="str">
        <f aca="false">IF(ISBLANK($C321),"",$BO321)</f>
        <v/>
      </c>
      <c r="CJ321" s="97" t="str">
        <f aca="false">IF(ISBLANK($C321),"",$BM321)</f>
        <v/>
      </c>
      <c r="CK321" s="98" t="str">
        <f aca="false">IF(ISBLANK($C321),"",$CA321)</f>
        <v/>
      </c>
      <c r="CL321" s="98" t="str">
        <f aca="false">IF(ISBLANK($C321),"",$BZ321)</f>
        <v/>
      </c>
      <c r="CM321" s="99" t="str">
        <f aca="false">IF(ISBLANK($C321),"",IF($CL321=Constants!$B$7,COUNTA($C$9:$C$508)+2,IF($CL321=Constants!$B$6,COUNTA($C$9:$C$508)+1,IF($CL321=Constants!$B$5,COUNTA($C$9:$C$508),$CL321))))</f>
        <v/>
      </c>
      <c r="CN321" s="8"/>
      <c r="CO321" s="100" t="n">
        <f aca="false">IF(OR(ISNUMBER($CL321),$CL321=Constants!$B$7,$CL321=Constants!$B$5,$CL321=Constants!$B$6),1,0)</f>
        <v>0</v>
      </c>
      <c r="CP321" s="100" t="n">
        <v>313</v>
      </c>
      <c r="CQ321" s="100" t="str">
        <f aca="false">IF(ISBLANK($C321),"",IF(ISNUMBER($CM321),$CM321+ROW($B321)/1000,""))</f>
        <v/>
      </c>
      <c r="CR321" s="100" t="str">
        <f aca="false">IF(ISNUMBER($CQ321),RANK($CQ321,$CQ$9:$CQ$508,1),"")</f>
        <v/>
      </c>
      <c r="CS321" s="100" t="str">
        <f aca="false">IF(ISBLANK($C321),"",$B321)</f>
        <v/>
      </c>
      <c r="CT321" s="100" t="str">
        <f aca="false">IF(ISBLANK($C321),"",$C321)</f>
        <v/>
      </c>
      <c r="CU321" s="100" t="str">
        <f aca="false">IF(ISBLANK($C321),"",$D321)</f>
        <v/>
      </c>
      <c r="CV321" s="101" t="str">
        <f aca="false">$CJ321</f>
        <v/>
      </c>
      <c r="CW321" s="102" t="str">
        <f aca="false">$CI321</f>
        <v/>
      </c>
      <c r="CX321" s="100" t="str">
        <f aca="false">IF(ISBLANK($C321),"",$CL321)</f>
        <v/>
      </c>
      <c r="CY321" s="103" t="str">
        <f aca="false">IF($CP321&gt;$CO$8,"",VLOOKUP($CP321,$CR$9:$CX$508,7,FALSE()))</f>
        <v/>
      </c>
      <c r="CZ321" s="104" t="str">
        <f aca="false">IF($CP321&gt;$CO$8,"",VLOOKUP($CP321,$CR$9:$CX$508,2,FALSE()))</f>
        <v/>
      </c>
      <c r="DA321" s="104" t="str">
        <f aca="false">IF($CP321&gt;$CO$8,"",VLOOKUP($CP321,$CR$9:$CX$508,3,FALSE()))</f>
        <v/>
      </c>
      <c r="DB321" s="104" t="str">
        <f aca="false">IF($CP321&gt;$CO$8,"",VLOOKUP($CP321,$CR$9:$CX$508,4,FALSE()))</f>
        <v/>
      </c>
      <c r="DC321" s="104" t="str">
        <f aca="false">IF($CP321&gt;$CO$8,"",VLOOKUP($CP321,$CR$9:$CX$508,5,FALSE()))</f>
        <v/>
      </c>
      <c r="DD321" s="105" t="str">
        <f aca="false">IF($CP321&gt;$CO$8,"",VLOOKUP($CP321,$CR$9:$CX$508,6,FALSE()))</f>
        <v/>
      </c>
      <c r="DE321" s="70"/>
    </row>
    <row r="322" customFormat="false" ht="15.75" hidden="false" customHeight="false" outlineLevel="0" collapsed="false">
      <c r="A322" s="8"/>
      <c r="B322" s="72"/>
      <c r="C322" s="73"/>
      <c r="D322" s="155"/>
      <c r="E322" s="162"/>
      <c r="F322" s="157"/>
      <c r="G322" s="77"/>
      <c r="H322" s="77"/>
      <c r="I322" s="77"/>
      <c r="J322" s="163"/>
      <c r="K322" s="161"/>
      <c r="L322" s="161"/>
      <c r="M322" s="80"/>
      <c r="N322" s="161"/>
      <c r="O322" s="160"/>
      <c r="P322" s="161"/>
      <c r="Q322" s="161"/>
      <c r="R322" s="161"/>
      <c r="S322" s="77"/>
      <c r="T322" s="161"/>
      <c r="U322" s="160"/>
      <c r="V322" s="161"/>
      <c r="W322" s="85"/>
      <c r="X322" s="86" t="str">
        <f aca="false">IF(ISBLANK($C322),"",IF($E322=Constants!$B$2,TRUE(),IF($E322=Constants!$B$3,FALSE(),TRUE())))</f>
        <v/>
      </c>
      <c r="Y322" s="86" t="str">
        <f aca="false">IF(ISBLANK($C322),"",IF($F322=Constants!$B$2,TRUE(),IF($F322=Constants!$B$3,FALSE(),TRUE())))</f>
        <v/>
      </c>
      <c r="Z322" s="87" t="str">
        <f aca="false">IF(ISBLANK($C322),"",IF(ISNUMBER($G322),IF($G322&gt;=0,$G322,""),""))</f>
        <v/>
      </c>
      <c r="AA322" s="87" t="str">
        <f aca="false">IF(ISBLANK($C322),"",IF(ISNUMBER($H322),IF($H322&gt;=0,$H322,""),""))</f>
        <v/>
      </c>
      <c r="AB322" s="87" t="str">
        <f aca="false">IF(ISBLANK($C322),"",IF(ISNUMBER($I322),IF($I322&gt;=0,$I322,""),""))</f>
        <v/>
      </c>
      <c r="AC322" s="86" t="str">
        <f aca="false">IF(ISBLANK($C322),"",IF($J322=Constants!$B$2,TRUE(),IF($J322=Constants!$B$3,FALSE(),TRUE())))</f>
        <v/>
      </c>
      <c r="AD322" s="86" t="str">
        <f aca="false">IF(ISBLANK($C322),"",IF($K322=Constants!$B$2,TRUE(),IF($K322=Constants!$B$3,FALSE(),TRUE())))</f>
        <v/>
      </c>
      <c r="AE322" s="86" t="str">
        <f aca="false">IF(ISBLANK($C322),"",IF($L322=Constants!$B$2,TRUE(),IF($L322=Constants!$B$3,FALSE(),TRUE())))</f>
        <v/>
      </c>
      <c r="AF322" s="88" t="str">
        <f aca="false">IF(ISBLANK($C322),"",IF(ISNUMBER($M322),IF($M322&gt;=0,$M322,""),""))</f>
        <v/>
      </c>
      <c r="AG322" s="86" t="str">
        <f aca="false">IF(ISBLANK($C322),"",IF(ISBLANK($N322),0,IF(ISNUMBER($N322),IF(AND($N322&gt;=0,$N322&lt;=Constants!$B$17,$N322=INT($N322)),$N322,""),"")))</f>
        <v/>
      </c>
      <c r="AH322" s="87" t="str">
        <f aca="false">IF(ISBLANK($C322),"",IF(ISBLANK($O322),0,IF(ISNUMBER($O322),IF($O322&gt;=0,$O322,""),"")))</f>
        <v/>
      </c>
      <c r="AI322" s="86" t="str">
        <f aca="false">IF(ISBLANK($C322),"",IF($P322=Constants!$B$2,TRUE(),IF($P322=Constants!$B$3,FALSE(),TRUE())))</f>
        <v/>
      </c>
      <c r="AJ322" s="86" t="str">
        <f aca="false">IF(ISBLANK($C322),"",IF($Q322=Constants!$B$2,TRUE(),IF($Q322=Constants!$B$3,FALSE(),TRUE())))</f>
        <v/>
      </c>
      <c r="AK322" s="86" t="str">
        <f aca="false">IF(ISBLANK($C322),"",IF($R322=Constants!$B$2,TRUE(),IF($R322=Constants!$B$3,FALSE(),TRUE())))</f>
        <v/>
      </c>
      <c r="AL322" s="88" t="str">
        <f aca="false">IF(ISBLANK($C322),"",IF(ISNUMBER($S322),IF($S322&gt;=0,$S322,""),""))</f>
        <v/>
      </c>
      <c r="AM322" s="86" t="str">
        <f aca="false">IF(ISBLANK($C322),"",IF(ISBLANK($T322),0,IF(ISNUMBER($T322),IF(AND($T322&gt;=0,$T322&lt;=Constants!$B$17,$T322=INT($T322)),$T322,""),"")))</f>
        <v/>
      </c>
      <c r="AN322" s="87" t="str">
        <f aca="false">IF(ISBLANK($C322),"",IF(ISBLANK($U322),0,IF(ISNUMBER($U322),IF($U322&gt;=0,$U322,""),"")))</f>
        <v/>
      </c>
      <c r="AO322" s="86" t="str">
        <f aca="false">IF(ISBLANK($C322),"",IF($V322=Constants!$B$2,TRUE(),IF($V322=Constants!$B$3,FALSE(),FALSE())))</f>
        <v/>
      </c>
      <c r="AP322" s="86"/>
      <c r="AQ322" s="85" t="str">
        <f aca="false">IF(ISBLANK($C322),"",AND($Y322,OR($AS322,$BC322),OR($Z322="",$AA322="",$AB322="")))</f>
        <v/>
      </c>
      <c r="AR322" s="85" t="str">
        <f aca="false">IF(ISBLANK($C322),"",IF(OR(NOT($Y322),NOT(OR($AS322,$BC322))),"",IF(ISBLANK($D$7),$AR$5,IF($AP$9="",$AR$6,""))))</f>
        <v/>
      </c>
      <c r="AS322" s="85" t="str">
        <f aca="false">IF(ISBLANK($C322),"",COUNTA($J322:$O322)&gt;0)</f>
        <v/>
      </c>
      <c r="AT322" s="85" t="str">
        <f aca="false">IF(ISBLANK($C322),"",AND($AS322,OR(AND($AF322="",OR($AE322,NOT(ISBLANK($M322)))),$AG322="",$AH322="")))</f>
        <v/>
      </c>
      <c r="AU322" s="87" t="str">
        <f aca="false">IF($BL322&lt;&gt;Constants!$B$4,"",IF(NOT($AS322),"",ROUND((Constants!$B$12-$AB322)+(Constants!$B$13-$Z322)+(Constants!$B$14-$AA322),1)))</f>
        <v/>
      </c>
      <c r="AV322" s="90" t="str">
        <f aca="false">IF($BL322&lt;&gt;Constants!$B$4,"",IF(NOT($AS322),"",IF(NOT($AE322),0,Constants!$B$15*(INT(ROUND(MIN($AF322,$AP$9),6))-INT(ROUND(MAX(0,MIN($AF322,2*$AP$9)-$AP$9),6))))))</f>
        <v/>
      </c>
      <c r="AW322" s="90" t="str">
        <f aca="false">IF($BL322&lt;&gt;Constants!$B$4,"",IF(NOT($AS322),"",Constants!$B$16*$AG322))</f>
        <v/>
      </c>
      <c r="AX322" s="90" t="str">
        <f aca="false">IF($BL322&lt;&gt;Constants!$B$4,"",IF(NOT($AS322),"",Constants!$B$18*INT(ROUND($AH322,6))))</f>
        <v/>
      </c>
      <c r="AY322" s="85" t="str">
        <f aca="false">IF($BL322&lt;&gt;Constants!$B$4,"",IF(NOT($AS322),"",IF(NOT($X322),Constants!$B$11,IF(OR(NOT($AC322),NOT($AD322),ROUND($AB322,1)&gt;Constants!$B$12,ROUND($Z322,1)&gt;Constants!$B$13,ROUND($AA322,1)&gt;Constants!$B$14),Constants!$B$10,Constants!$B$9))))</f>
        <v/>
      </c>
      <c r="AZ322" s="91" t="str">
        <f aca="false">IF($BL322&lt;&gt;Constants!$B$4,"",IF(NOT($AS322),"",ROUND($AU322+$AV322+$AW322+$AX322,1)))</f>
        <v/>
      </c>
      <c r="BA322" s="92" t="str">
        <f aca="false">IF($BL322&lt;&gt;Constants!$B$4,"",IF(NOT($AS322),"",IF(ISNUMBER($AF322),$AF322,0)))</f>
        <v/>
      </c>
      <c r="BB322" s="86" t="str">
        <f aca="false">IF($BL322&lt;&gt;Constants!$B$4,"",IF(NOT($BC322),"&lt;-",IF(NOT($AS322),"-&gt;",IF(OR($BI322&lt;$AY322,AND($BI322=$AY322,OR($BJ322&gt;$AZ322,AND($BJ322=$AZ322,OR($BH322&gt;$AX322,AND($BH322=$AX322,OR($BE322&gt;$AU322,AND($BE322=$AU322,OR($BF322&gt;$AV322,AND($BF322=$AV322,$BK322&gt;$BA322)))))))))),"-&gt;","&lt;-"))))</f>
        <v/>
      </c>
      <c r="BC322" s="85" t="str">
        <f aca="false">IF(ISBLANK($C322),"",COUNTA($P322:$U322)&gt;0)</f>
        <v/>
      </c>
      <c r="BD322" s="85" t="str">
        <f aca="false">IF(ISBLANK($C322),"",AND($BC322,OR(AND($AL322="",OR($AK322,NOT(ISBLANK($S322)))),$AM322="",$AN322="")))</f>
        <v/>
      </c>
      <c r="BE322" s="87" t="str">
        <f aca="false">IF($BL322&lt;&gt;Constants!$B$4,"",IF(NOT($BC322),"",ROUND((Constants!$B$12-$AB322)+(Constants!$B$13-$Z322)+(Constants!$B$14-$AA322),1)))</f>
        <v/>
      </c>
      <c r="BF322" s="90" t="str">
        <f aca="false">IF($BL322&lt;&gt;Constants!$B$4,"",IF(NOT($BC322),"",IF(NOT($AK322),0,Constants!$B$15*(INT(ROUND(MIN($AL322,$AP$9),6))-INT(ROUND(MAX(0,MIN($AL322,2*$AP$9)-$AP$9),6))))))</f>
        <v/>
      </c>
      <c r="BG322" s="90" t="str">
        <f aca="false">IF($BL322&lt;&gt;Constants!$B$4,"",IF(NOT($BC322),"",Constants!$B$16*$AM322))</f>
        <v/>
      </c>
      <c r="BH322" s="90" t="str">
        <f aca="false">IF($BL322&lt;&gt;Constants!$B$4,"",IF(NOT($BC322),"",Constants!$B$18*INT(ROUND($AN322,6))))</f>
        <v/>
      </c>
      <c r="BI322" s="85" t="str">
        <f aca="false">IF($BL322&lt;&gt;Constants!$B$4,"",IF(NOT($BC322),"",IF(NOT($X322),Constants!$B$11,IF(OR(NOT($AI322),NOT($AJ322),ROUND($AB322,1)&gt;Constants!$B$12,ROUND($Z322,1)&gt;Constants!$B$13,ROUND($AA322,1)&gt;Constants!$B$14),Constants!$B$10,Constants!$B$9))))</f>
        <v/>
      </c>
      <c r="BJ322" s="91" t="str">
        <f aca="false">IF($BL322&lt;&gt;Constants!$B$4,"",IF(NOT($BC322),"",ROUND($BE322+$BF322+$BG322+$BH322,1)))</f>
        <v/>
      </c>
      <c r="BK322" s="92" t="str">
        <f aca="false">IF($BL322&lt;&gt;Constants!$B$4,"",IF(NOT($BC322),"",IF(ISNUMBER($AL322),$AL322,0)))</f>
        <v/>
      </c>
      <c r="BL322" s="86" t="str">
        <f aca="false">IF(ISBLANK($C322),"",IF($AO322,Constants!$B$7,IF(COUNTA($E322:$V322)=0,Constants!$B$6,IF(NOT($Y322),Constants!$B$5,IF(NOT(OR($AS322,$BC322)),Constants!$B$5,IF(OR($AT322,$BD322,$AQ322,$AR322&lt;&gt;""),Constants!$B$8,Constants!$B$4))))))</f>
        <v/>
      </c>
      <c r="BM322" s="86" t="str">
        <f aca="false">IF(ISBLANK($C322),"",IF($BL322&lt;&gt;Constants!$B$4,$BL322,IF($BB322="-&gt;",$BI322,$AY322)))</f>
        <v/>
      </c>
      <c r="BN322" s="90" t="str">
        <f aca="false">IF($BL322&lt;&gt;Constants!$B$4,"",IF($BB322="-&gt;",$BJ322,$AZ322))</f>
        <v/>
      </c>
      <c r="BO322" s="90" t="str">
        <f aca="false">IF(ISBLANK($C322),"",IF($BL322&lt;&gt;Constants!$B$4,$BL322,$BN322))</f>
        <v/>
      </c>
      <c r="BP322" s="86" t="str">
        <f aca="false">IF(ISBLANK($C322),"",IF($BL322&lt;&gt;Constants!$B$4,$BL322,RANK($BO322,$BO$9:$BO$508,0)))</f>
        <v/>
      </c>
      <c r="BQ322" s="86" t="str">
        <f aca="false">IF(ISBLANK($C322),"",IF($BL322&lt;&gt;Constants!$B$4,$BL322,COUNTIFS($BM$9:$BM$508,"&lt;"&amp;$BM322)+COUNTIFS($BM$9:$BM$508,$BM322,$BP$9:$BP$508,"&lt;"&amp;$BP322)+1))</f>
        <v/>
      </c>
      <c r="BR322" s="90" t="str">
        <f aca="false">IF($BL322&lt;&gt;Constants!$B$4,"",IF($BB322="-&gt;",$BH322,$AX322))</f>
        <v/>
      </c>
      <c r="BS322" s="86" t="str">
        <f aca="false">IF(ISBLANK($C322),"",IF($BL322&lt;&gt;Constants!$B$4,$BL322,IF(ISNUMBER($BR322),RANK($BR322,$BR$9:$BR$508,0),COUNT($BR$9:$BR$508)+1)))</f>
        <v/>
      </c>
      <c r="BT322" s="90" t="str">
        <f aca="false">IF($BL322&lt;&gt;Constants!$B$4,"",IF($BB322="-&gt;",$BE322,$AU322))</f>
        <v/>
      </c>
      <c r="BU322" s="86" t="str">
        <f aca="false">IF(ISBLANK($C322),"",IF($BL322&lt;&gt;Constants!$B$4,$BL322,IF(ISNUMBER($BT322),RANK($BT322,$BT$9:$BT$508,0),COUNT($BT$9:$BT$508)+1)))</f>
        <v/>
      </c>
      <c r="BV322" s="90" t="str">
        <f aca="false">IF($BL322&lt;&gt;Constants!$B$4,"",IF($BB322="-&gt;",$BF322,$AV322))</f>
        <v/>
      </c>
      <c r="BW322" s="86" t="str">
        <f aca="false">IF(ISBLANK($C322),"",IF($BL322&lt;&gt;Constants!$B$4,$BL322,IF(ISNUMBER($BV322),RANK($BV322,$BV$9:$BV$508,0),COUNT($BV$9:$BV$508)+1)))</f>
        <v/>
      </c>
      <c r="BX322" s="90" t="str">
        <f aca="false">IF($BL322&lt;&gt;Constants!$B$4,"",IF($BB322="-&gt;",$BK322,$BA322))</f>
        <v/>
      </c>
      <c r="BY322" s="86" t="str">
        <f aca="false">IF(ISBLANK($C322),"",IF($BL322&lt;&gt;Constants!$B$4,$BL322,IF(ISNUMBER($BX322),RANK($BX322,$BX$9:$BX$508,0),COUNT($BX$9:$BX$508)+1)))</f>
        <v/>
      </c>
      <c r="BZ322" s="86" t="str">
        <f aca="false">IF(ISBLANK($C322),"",IF($BL322&lt;&gt;Constants!$B$4,$BL322,COUNTIFS($BM$9:$BM$508,"&lt;"&amp;$BM322)+COUNTIFS($BM$9:$BM$508,$BM322,$BP$9:$BP$508,"&lt;"&amp;$BP322)+COUNTIFS($BM$9:$BM$508,$BM322,$BP$9:$BP$508,$BP322,$BS$9:$BS$508,"&lt;"&amp;$BS322)+COUNTIFS($BM$9:$BM$508,$BM322,$BP$9:$BP$508,$BP322,$BS$9:$BS$508,$BS322,$BU$9:$BU$508,"&lt;"&amp;$BU322)+COUNTIFS($BM$9:$BM$508,$BM322,$BP$9:$BP$508,$BP322,$BS$9:$BS$508,$BS322,$BU$9:$BU$508,$BU322,$BW$9:$BW$508,"&lt;"&amp;$BW322)+COUNTIFS($BM$9:$BM$508,$BM322,$BP$9:$BP$508,$BP322,$BS$9:$BS$508,$BS322,$BU$9:$BU$508,$BU322,$BW$9:$BW$508,$BW322,$BY$9:$BY$508,"&lt;"&amp;$BY322)+1))</f>
        <v/>
      </c>
      <c r="CA322" s="86" t="str">
        <f aca="false">IF(ISBLANK($C322),"",IF($BL322&lt;&gt;Constants!$B$4,$BL322,$BQ322-$BZ322))</f>
        <v/>
      </c>
      <c r="CB322" s="93"/>
      <c r="CC322" s="94" t="str">
        <f aca="false">IF(ISBLANK($C322),"",IF($BL322=Constants!$B$8,$AR322,""))</f>
        <v/>
      </c>
      <c r="CD322" s="94" t="str">
        <f aca="false">IF(ISBLANK($C322),"",IF($BL322&lt;&gt;Constants!$B$4,"",IF($BB322="-&gt;",2,1)))</f>
        <v/>
      </c>
      <c r="CE322" s="95" t="str">
        <f aca="false">IF(ISBLANK($C322),"",IF($BL322&lt;&gt;Constants!$B$4,"",IF($BB322="-&gt;",$BE322,$AU322)))</f>
        <v/>
      </c>
      <c r="CF322" s="95" t="str">
        <f aca="false">IF(ISBLANK($C322),"",IF($BL322&lt;&gt;Constants!$B$4,"",IF($BB322="-&gt;",$BF322,$AV322)))</f>
        <v/>
      </c>
      <c r="CG322" s="95" t="str">
        <f aca="false">IF(ISBLANK($C322),"",IF($BL322&lt;&gt;Constants!$B$4,"",IF($BB322="-&gt;",$BG322,$AW322)))</f>
        <v/>
      </c>
      <c r="CH322" s="95" t="str">
        <f aca="false">IF(ISBLANK($C322),"",IF($BL322&lt;&gt;Constants!$B$4,"",IF($BB322="-&gt;",$BH322,$AX322)))</f>
        <v/>
      </c>
      <c r="CI322" s="96" t="str">
        <f aca="false">IF(ISBLANK($C322),"",$BO322)</f>
        <v/>
      </c>
      <c r="CJ322" s="97" t="str">
        <f aca="false">IF(ISBLANK($C322),"",$BM322)</f>
        <v/>
      </c>
      <c r="CK322" s="98" t="str">
        <f aca="false">IF(ISBLANK($C322),"",$CA322)</f>
        <v/>
      </c>
      <c r="CL322" s="98" t="str">
        <f aca="false">IF(ISBLANK($C322),"",$BZ322)</f>
        <v/>
      </c>
      <c r="CM322" s="99" t="str">
        <f aca="false">IF(ISBLANK($C322),"",IF($CL322=Constants!$B$7,COUNTA($C$9:$C$508)+2,IF($CL322=Constants!$B$6,COUNTA($C$9:$C$508)+1,IF($CL322=Constants!$B$5,COUNTA($C$9:$C$508),$CL322))))</f>
        <v/>
      </c>
      <c r="CN322" s="8"/>
      <c r="CO322" s="100" t="n">
        <f aca="false">IF(OR(ISNUMBER($CL322),$CL322=Constants!$B$7,$CL322=Constants!$B$5,$CL322=Constants!$B$6),1,0)</f>
        <v>0</v>
      </c>
      <c r="CP322" s="100" t="n">
        <v>314</v>
      </c>
      <c r="CQ322" s="100" t="str">
        <f aca="false">IF(ISBLANK($C322),"",IF(ISNUMBER($CM322),$CM322+ROW($B322)/1000,""))</f>
        <v/>
      </c>
      <c r="CR322" s="100" t="str">
        <f aca="false">IF(ISNUMBER($CQ322),RANK($CQ322,$CQ$9:$CQ$508,1),"")</f>
        <v/>
      </c>
      <c r="CS322" s="100" t="str">
        <f aca="false">IF(ISBLANK($C322),"",$B322)</f>
        <v/>
      </c>
      <c r="CT322" s="100" t="str">
        <f aca="false">IF(ISBLANK($C322),"",$C322)</f>
        <v/>
      </c>
      <c r="CU322" s="100" t="str">
        <f aca="false">IF(ISBLANK($C322),"",$D322)</f>
        <v/>
      </c>
      <c r="CV322" s="101" t="str">
        <f aca="false">$CJ322</f>
        <v/>
      </c>
      <c r="CW322" s="102" t="str">
        <f aca="false">$CI322</f>
        <v/>
      </c>
      <c r="CX322" s="100" t="str">
        <f aca="false">IF(ISBLANK($C322),"",$CL322)</f>
        <v/>
      </c>
      <c r="CY322" s="103" t="str">
        <f aca="false">IF($CP322&gt;$CO$8,"",VLOOKUP($CP322,$CR$9:$CX$508,7,FALSE()))</f>
        <v/>
      </c>
      <c r="CZ322" s="104" t="str">
        <f aca="false">IF($CP322&gt;$CO$8,"",VLOOKUP($CP322,$CR$9:$CX$508,2,FALSE()))</f>
        <v/>
      </c>
      <c r="DA322" s="104" t="str">
        <f aca="false">IF($CP322&gt;$CO$8,"",VLOOKUP($CP322,$CR$9:$CX$508,3,FALSE()))</f>
        <v/>
      </c>
      <c r="DB322" s="104" t="str">
        <f aca="false">IF($CP322&gt;$CO$8,"",VLOOKUP($CP322,$CR$9:$CX$508,4,FALSE()))</f>
        <v/>
      </c>
      <c r="DC322" s="104" t="str">
        <f aca="false">IF($CP322&gt;$CO$8,"",VLOOKUP($CP322,$CR$9:$CX$508,5,FALSE()))</f>
        <v/>
      </c>
      <c r="DD322" s="105" t="str">
        <f aca="false">IF($CP322&gt;$CO$8,"",VLOOKUP($CP322,$CR$9:$CX$508,6,FALSE()))</f>
        <v/>
      </c>
      <c r="DE322" s="70"/>
    </row>
    <row r="323" customFormat="false" ht="15.75" hidden="false" customHeight="false" outlineLevel="0" collapsed="false">
      <c r="A323" s="8"/>
      <c r="B323" s="72"/>
      <c r="C323" s="73"/>
      <c r="D323" s="155"/>
      <c r="E323" s="162"/>
      <c r="F323" s="157"/>
      <c r="G323" s="77"/>
      <c r="H323" s="77"/>
      <c r="I323" s="77"/>
      <c r="J323" s="163"/>
      <c r="K323" s="161"/>
      <c r="L323" s="161"/>
      <c r="M323" s="80"/>
      <c r="N323" s="161"/>
      <c r="O323" s="160"/>
      <c r="P323" s="161"/>
      <c r="Q323" s="161"/>
      <c r="R323" s="161"/>
      <c r="S323" s="77"/>
      <c r="T323" s="161"/>
      <c r="U323" s="160"/>
      <c r="V323" s="161"/>
      <c r="W323" s="85"/>
      <c r="X323" s="86" t="str">
        <f aca="false">IF(ISBLANK($C323),"",IF($E323=Constants!$B$2,TRUE(),IF($E323=Constants!$B$3,FALSE(),TRUE())))</f>
        <v/>
      </c>
      <c r="Y323" s="86" t="str">
        <f aca="false">IF(ISBLANK($C323),"",IF($F323=Constants!$B$2,TRUE(),IF($F323=Constants!$B$3,FALSE(),TRUE())))</f>
        <v/>
      </c>
      <c r="Z323" s="87" t="str">
        <f aca="false">IF(ISBLANK($C323),"",IF(ISNUMBER($G323),IF($G323&gt;=0,$G323,""),""))</f>
        <v/>
      </c>
      <c r="AA323" s="87" t="str">
        <f aca="false">IF(ISBLANK($C323),"",IF(ISNUMBER($H323),IF($H323&gt;=0,$H323,""),""))</f>
        <v/>
      </c>
      <c r="AB323" s="87" t="str">
        <f aca="false">IF(ISBLANK($C323),"",IF(ISNUMBER($I323),IF($I323&gt;=0,$I323,""),""))</f>
        <v/>
      </c>
      <c r="AC323" s="86" t="str">
        <f aca="false">IF(ISBLANK($C323),"",IF($J323=Constants!$B$2,TRUE(),IF($J323=Constants!$B$3,FALSE(),TRUE())))</f>
        <v/>
      </c>
      <c r="AD323" s="86" t="str">
        <f aca="false">IF(ISBLANK($C323),"",IF($K323=Constants!$B$2,TRUE(),IF($K323=Constants!$B$3,FALSE(),TRUE())))</f>
        <v/>
      </c>
      <c r="AE323" s="86" t="str">
        <f aca="false">IF(ISBLANK($C323),"",IF($L323=Constants!$B$2,TRUE(),IF($L323=Constants!$B$3,FALSE(),TRUE())))</f>
        <v/>
      </c>
      <c r="AF323" s="88" t="str">
        <f aca="false">IF(ISBLANK($C323),"",IF(ISNUMBER($M323),IF($M323&gt;=0,$M323,""),""))</f>
        <v/>
      </c>
      <c r="AG323" s="86" t="str">
        <f aca="false">IF(ISBLANK($C323),"",IF(ISBLANK($N323),0,IF(ISNUMBER($N323),IF(AND($N323&gt;=0,$N323&lt;=Constants!$B$17,$N323=INT($N323)),$N323,""),"")))</f>
        <v/>
      </c>
      <c r="AH323" s="87" t="str">
        <f aca="false">IF(ISBLANK($C323),"",IF(ISBLANK($O323),0,IF(ISNUMBER($O323),IF($O323&gt;=0,$O323,""),"")))</f>
        <v/>
      </c>
      <c r="AI323" s="86" t="str">
        <f aca="false">IF(ISBLANK($C323),"",IF($P323=Constants!$B$2,TRUE(),IF($P323=Constants!$B$3,FALSE(),TRUE())))</f>
        <v/>
      </c>
      <c r="AJ323" s="86" t="str">
        <f aca="false">IF(ISBLANK($C323),"",IF($Q323=Constants!$B$2,TRUE(),IF($Q323=Constants!$B$3,FALSE(),TRUE())))</f>
        <v/>
      </c>
      <c r="AK323" s="86" t="str">
        <f aca="false">IF(ISBLANK($C323),"",IF($R323=Constants!$B$2,TRUE(),IF($R323=Constants!$B$3,FALSE(),TRUE())))</f>
        <v/>
      </c>
      <c r="AL323" s="88" t="str">
        <f aca="false">IF(ISBLANK($C323),"",IF(ISNUMBER($S323),IF($S323&gt;=0,$S323,""),""))</f>
        <v/>
      </c>
      <c r="AM323" s="86" t="str">
        <f aca="false">IF(ISBLANK($C323),"",IF(ISBLANK($T323),0,IF(ISNUMBER($T323),IF(AND($T323&gt;=0,$T323&lt;=Constants!$B$17,$T323=INT($T323)),$T323,""),"")))</f>
        <v/>
      </c>
      <c r="AN323" s="87" t="str">
        <f aca="false">IF(ISBLANK($C323),"",IF(ISBLANK($U323),0,IF(ISNUMBER($U323),IF($U323&gt;=0,$U323,""),"")))</f>
        <v/>
      </c>
      <c r="AO323" s="86" t="str">
        <f aca="false">IF(ISBLANK($C323),"",IF($V323=Constants!$B$2,TRUE(),IF($V323=Constants!$B$3,FALSE(),FALSE())))</f>
        <v/>
      </c>
      <c r="AP323" s="86"/>
      <c r="AQ323" s="85" t="str">
        <f aca="false">IF(ISBLANK($C323),"",AND($Y323,OR($AS323,$BC323),OR($Z323="",$AA323="",$AB323="")))</f>
        <v/>
      </c>
      <c r="AR323" s="85" t="str">
        <f aca="false">IF(ISBLANK($C323),"",IF(OR(NOT($Y323),NOT(OR($AS323,$BC323))),"",IF(ISBLANK($D$7),$AR$5,IF($AP$9="",$AR$6,""))))</f>
        <v/>
      </c>
      <c r="AS323" s="85" t="str">
        <f aca="false">IF(ISBLANK($C323),"",COUNTA($J323:$O323)&gt;0)</f>
        <v/>
      </c>
      <c r="AT323" s="85" t="str">
        <f aca="false">IF(ISBLANK($C323),"",AND($AS323,OR(AND($AF323="",OR($AE323,NOT(ISBLANK($M323)))),$AG323="",$AH323="")))</f>
        <v/>
      </c>
      <c r="AU323" s="87" t="str">
        <f aca="false">IF($BL323&lt;&gt;Constants!$B$4,"",IF(NOT($AS323),"",ROUND((Constants!$B$12-$AB323)+(Constants!$B$13-$Z323)+(Constants!$B$14-$AA323),1)))</f>
        <v/>
      </c>
      <c r="AV323" s="90" t="str">
        <f aca="false">IF($BL323&lt;&gt;Constants!$B$4,"",IF(NOT($AS323),"",IF(NOT($AE323),0,Constants!$B$15*(INT(ROUND(MIN($AF323,$AP$9),6))-INT(ROUND(MAX(0,MIN($AF323,2*$AP$9)-$AP$9),6))))))</f>
        <v/>
      </c>
      <c r="AW323" s="90" t="str">
        <f aca="false">IF($BL323&lt;&gt;Constants!$B$4,"",IF(NOT($AS323),"",Constants!$B$16*$AG323))</f>
        <v/>
      </c>
      <c r="AX323" s="90" t="str">
        <f aca="false">IF($BL323&lt;&gt;Constants!$B$4,"",IF(NOT($AS323),"",Constants!$B$18*INT(ROUND($AH323,6))))</f>
        <v/>
      </c>
      <c r="AY323" s="85" t="str">
        <f aca="false">IF($BL323&lt;&gt;Constants!$B$4,"",IF(NOT($AS323),"",IF(NOT($X323),Constants!$B$11,IF(OR(NOT($AC323),NOT($AD323),ROUND($AB323,1)&gt;Constants!$B$12,ROUND($Z323,1)&gt;Constants!$B$13,ROUND($AA323,1)&gt;Constants!$B$14),Constants!$B$10,Constants!$B$9))))</f>
        <v/>
      </c>
      <c r="AZ323" s="91" t="str">
        <f aca="false">IF($BL323&lt;&gt;Constants!$B$4,"",IF(NOT($AS323),"",ROUND($AU323+$AV323+$AW323+$AX323,1)))</f>
        <v/>
      </c>
      <c r="BA323" s="92" t="str">
        <f aca="false">IF($BL323&lt;&gt;Constants!$B$4,"",IF(NOT($AS323),"",IF(ISNUMBER($AF323),$AF323,0)))</f>
        <v/>
      </c>
      <c r="BB323" s="86" t="str">
        <f aca="false">IF($BL323&lt;&gt;Constants!$B$4,"",IF(NOT($BC323),"&lt;-",IF(NOT($AS323),"-&gt;",IF(OR($BI323&lt;$AY323,AND($BI323=$AY323,OR($BJ323&gt;$AZ323,AND($BJ323=$AZ323,OR($BH323&gt;$AX323,AND($BH323=$AX323,OR($BE323&gt;$AU323,AND($BE323=$AU323,OR($BF323&gt;$AV323,AND($BF323=$AV323,$BK323&gt;$BA323)))))))))),"-&gt;","&lt;-"))))</f>
        <v/>
      </c>
      <c r="BC323" s="85" t="str">
        <f aca="false">IF(ISBLANK($C323),"",COUNTA($P323:$U323)&gt;0)</f>
        <v/>
      </c>
      <c r="BD323" s="85" t="str">
        <f aca="false">IF(ISBLANK($C323),"",AND($BC323,OR(AND($AL323="",OR($AK323,NOT(ISBLANK($S323)))),$AM323="",$AN323="")))</f>
        <v/>
      </c>
      <c r="BE323" s="87" t="str">
        <f aca="false">IF($BL323&lt;&gt;Constants!$B$4,"",IF(NOT($BC323),"",ROUND((Constants!$B$12-$AB323)+(Constants!$B$13-$Z323)+(Constants!$B$14-$AA323),1)))</f>
        <v/>
      </c>
      <c r="BF323" s="90" t="str">
        <f aca="false">IF($BL323&lt;&gt;Constants!$B$4,"",IF(NOT($BC323),"",IF(NOT($AK323),0,Constants!$B$15*(INT(ROUND(MIN($AL323,$AP$9),6))-INT(ROUND(MAX(0,MIN($AL323,2*$AP$9)-$AP$9),6))))))</f>
        <v/>
      </c>
      <c r="BG323" s="90" t="str">
        <f aca="false">IF($BL323&lt;&gt;Constants!$B$4,"",IF(NOT($BC323),"",Constants!$B$16*$AM323))</f>
        <v/>
      </c>
      <c r="BH323" s="90" t="str">
        <f aca="false">IF($BL323&lt;&gt;Constants!$B$4,"",IF(NOT($BC323),"",Constants!$B$18*INT(ROUND($AN323,6))))</f>
        <v/>
      </c>
      <c r="BI323" s="85" t="str">
        <f aca="false">IF($BL323&lt;&gt;Constants!$B$4,"",IF(NOT($BC323),"",IF(NOT($X323),Constants!$B$11,IF(OR(NOT($AI323),NOT($AJ323),ROUND($AB323,1)&gt;Constants!$B$12,ROUND($Z323,1)&gt;Constants!$B$13,ROUND($AA323,1)&gt;Constants!$B$14),Constants!$B$10,Constants!$B$9))))</f>
        <v/>
      </c>
      <c r="BJ323" s="91" t="str">
        <f aca="false">IF($BL323&lt;&gt;Constants!$B$4,"",IF(NOT($BC323),"",ROUND($BE323+$BF323+$BG323+$BH323,1)))</f>
        <v/>
      </c>
      <c r="BK323" s="92" t="str">
        <f aca="false">IF($BL323&lt;&gt;Constants!$B$4,"",IF(NOT($BC323),"",IF(ISNUMBER($AL323),$AL323,0)))</f>
        <v/>
      </c>
      <c r="BL323" s="86" t="str">
        <f aca="false">IF(ISBLANK($C323),"",IF($AO323,Constants!$B$7,IF(COUNTA($E323:$V323)=0,Constants!$B$6,IF(NOT($Y323),Constants!$B$5,IF(NOT(OR($AS323,$BC323)),Constants!$B$5,IF(OR($AT323,$BD323,$AQ323,$AR323&lt;&gt;""),Constants!$B$8,Constants!$B$4))))))</f>
        <v/>
      </c>
      <c r="BM323" s="86" t="str">
        <f aca="false">IF(ISBLANK($C323),"",IF($BL323&lt;&gt;Constants!$B$4,$BL323,IF($BB323="-&gt;",$BI323,$AY323)))</f>
        <v/>
      </c>
      <c r="BN323" s="90" t="str">
        <f aca="false">IF($BL323&lt;&gt;Constants!$B$4,"",IF($BB323="-&gt;",$BJ323,$AZ323))</f>
        <v/>
      </c>
      <c r="BO323" s="90" t="str">
        <f aca="false">IF(ISBLANK($C323),"",IF($BL323&lt;&gt;Constants!$B$4,$BL323,$BN323))</f>
        <v/>
      </c>
      <c r="BP323" s="86" t="str">
        <f aca="false">IF(ISBLANK($C323),"",IF($BL323&lt;&gt;Constants!$B$4,$BL323,RANK($BO323,$BO$9:$BO$508,0)))</f>
        <v/>
      </c>
      <c r="BQ323" s="86" t="str">
        <f aca="false">IF(ISBLANK($C323),"",IF($BL323&lt;&gt;Constants!$B$4,$BL323,COUNTIFS($BM$9:$BM$508,"&lt;"&amp;$BM323)+COUNTIFS($BM$9:$BM$508,$BM323,$BP$9:$BP$508,"&lt;"&amp;$BP323)+1))</f>
        <v/>
      </c>
      <c r="BR323" s="90" t="str">
        <f aca="false">IF($BL323&lt;&gt;Constants!$B$4,"",IF($BB323="-&gt;",$BH323,$AX323))</f>
        <v/>
      </c>
      <c r="BS323" s="86" t="str">
        <f aca="false">IF(ISBLANK($C323),"",IF($BL323&lt;&gt;Constants!$B$4,$BL323,IF(ISNUMBER($BR323),RANK($BR323,$BR$9:$BR$508,0),COUNT($BR$9:$BR$508)+1)))</f>
        <v/>
      </c>
      <c r="BT323" s="90" t="str">
        <f aca="false">IF($BL323&lt;&gt;Constants!$B$4,"",IF($BB323="-&gt;",$BE323,$AU323))</f>
        <v/>
      </c>
      <c r="BU323" s="86" t="str">
        <f aca="false">IF(ISBLANK($C323),"",IF($BL323&lt;&gt;Constants!$B$4,$BL323,IF(ISNUMBER($BT323),RANK($BT323,$BT$9:$BT$508,0),COUNT($BT$9:$BT$508)+1)))</f>
        <v/>
      </c>
      <c r="BV323" s="90" t="str">
        <f aca="false">IF($BL323&lt;&gt;Constants!$B$4,"",IF($BB323="-&gt;",$BF323,$AV323))</f>
        <v/>
      </c>
      <c r="BW323" s="86" t="str">
        <f aca="false">IF(ISBLANK($C323),"",IF($BL323&lt;&gt;Constants!$B$4,$BL323,IF(ISNUMBER($BV323),RANK($BV323,$BV$9:$BV$508,0),COUNT($BV$9:$BV$508)+1)))</f>
        <v/>
      </c>
      <c r="BX323" s="90" t="str">
        <f aca="false">IF($BL323&lt;&gt;Constants!$B$4,"",IF($BB323="-&gt;",$BK323,$BA323))</f>
        <v/>
      </c>
      <c r="BY323" s="86" t="str">
        <f aca="false">IF(ISBLANK($C323),"",IF($BL323&lt;&gt;Constants!$B$4,$BL323,IF(ISNUMBER($BX323),RANK($BX323,$BX$9:$BX$508,0),COUNT($BX$9:$BX$508)+1)))</f>
        <v/>
      </c>
      <c r="BZ323" s="86" t="str">
        <f aca="false">IF(ISBLANK($C323),"",IF($BL323&lt;&gt;Constants!$B$4,$BL323,COUNTIFS($BM$9:$BM$508,"&lt;"&amp;$BM323)+COUNTIFS($BM$9:$BM$508,$BM323,$BP$9:$BP$508,"&lt;"&amp;$BP323)+COUNTIFS($BM$9:$BM$508,$BM323,$BP$9:$BP$508,$BP323,$BS$9:$BS$508,"&lt;"&amp;$BS323)+COUNTIFS($BM$9:$BM$508,$BM323,$BP$9:$BP$508,$BP323,$BS$9:$BS$508,$BS323,$BU$9:$BU$508,"&lt;"&amp;$BU323)+COUNTIFS($BM$9:$BM$508,$BM323,$BP$9:$BP$508,$BP323,$BS$9:$BS$508,$BS323,$BU$9:$BU$508,$BU323,$BW$9:$BW$508,"&lt;"&amp;$BW323)+COUNTIFS($BM$9:$BM$508,$BM323,$BP$9:$BP$508,$BP323,$BS$9:$BS$508,$BS323,$BU$9:$BU$508,$BU323,$BW$9:$BW$508,$BW323,$BY$9:$BY$508,"&lt;"&amp;$BY323)+1))</f>
        <v/>
      </c>
      <c r="CA323" s="86" t="str">
        <f aca="false">IF(ISBLANK($C323),"",IF($BL323&lt;&gt;Constants!$B$4,$BL323,$BQ323-$BZ323))</f>
        <v/>
      </c>
      <c r="CB323" s="93"/>
      <c r="CC323" s="94" t="str">
        <f aca="false">IF(ISBLANK($C323),"",IF($BL323=Constants!$B$8,$AR323,""))</f>
        <v/>
      </c>
      <c r="CD323" s="94" t="str">
        <f aca="false">IF(ISBLANK($C323),"",IF($BL323&lt;&gt;Constants!$B$4,"",IF($BB323="-&gt;",2,1)))</f>
        <v/>
      </c>
      <c r="CE323" s="95" t="str">
        <f aca="false">IF(ISBLANK($C323),"",IF($BL323&lt;&gt;Constants!$B$4,"",IF($BB323="-&gt;",$BE323,$AU323)))</f>
        <v/>
      </c>
      <c r="CF323" s="95" t="str">
        <f aca="false">IF(ISBLANK($C323),"",IF($BL323&lt;&gt;Constants!$B$4,"",IF($BB323="-&gt;",$BF323,$AV323)))</f>
        <v/>
      </c>
      <c r="CG323" s="95" t="str">
        <f aca="false">IF(ISBLANK($C323),"",IF($BL323&lt;&gt;Constants!$B$4,"",IF($BB323="-&gt;",$BG323,$AW323)))</f>
        <v/>
      </c>
      <c r="CH323" s="95" t="str">
        <f aca="false">IF(ISBLANK($C323),"",IF($BL323&lt;&gt;Constants!$B$4,"",IF($BB323="-&gt;",$BH323,$AX323)))</f>
        <v/>
      </c>
      <c r="CI323" s="96" t="str">
        <f aca="false">IF(ISBLANK($C323),"",$BO323)</f>
        <v/>
      </c>
      <c r="CJ323" s="97" t="str">
        <f aca="false">IF(ISBLANK($C323),"",$BM323)</f>
        <v/>
      </c>
      <c r="CK323" s="98" t="str">
        <f aca="false">IF(ISBLANK($C323),"",$CA323)</f>
        <v/>
      </c>
      <c r="CL323" s="98" t="str">
        <f aca="false">IF(ISBLANK($C323),"",$BZ323)</f>
        <v/>
      </c>
      <c r="CM323" s="99" t="str">
        <f aca="false">IF(ISBLANK($C323),"",IF($CL323=Constants!$B$7,COUNTA($C$9:$C$508)+2,IF($CL323=Constants!$B$6,COUNTA($C$9:$C$508)+1,IF($CL323=Constants!$B$5,COUNTA($C$9:$C$508),$CL323))))</f>
        <v/>
      </c>
      <c r="CN323" s="8"/>
      <c r="CO323" s="100" t="n">
        <f aca="false">IF(OR(ISNUMBER($CL323),$CL323=Constants!$B$7,$CL323=Constants!$B$5,$CL323=Constants!$B$6),1,0)</f>
        <v>0</v>
      </c>
      <c r="CP323" s="100" t="n">
        <v>315</v>
      </c>
      <c r="CQ323" s="100" t="str">
        <f aca="false">IF(ISBLANK($C323),"",IF(ISNUMBER($CM323),$CM323+ROW($B323)/1000,""))</f>
        <v/>
      </c>
      <c r="CR323" s="100" t="str">
        <f aca="false">IF(ISNUMBER($CQ323),RANK($CQ323,$CQ$9:$CQ$508,1),"")</f>
        <v/>
      </c>
      <c r="CS323" s="100" t="str">
        <f aca="false">IF(ISBLANK($C323),"",$B323)</f>
        <v/>
      </c>
      <c r="CT323" s="100" t="str">
        <f aca="false">IF(ISBLANK($C323),"",$C323)</f>
        <v/>
      </c>
      <c r="CU323" s="100" t="str">
        <f aca="false">IF(ISBLANK($C323),"",$D323)</f>
        <v/>
      </c>
      <c r="CV323" s="101" t="str">
        <f aca="false">$CJ323</f>
        <v/>
      </c>
      <c r="CW323" s="102" t="str">
        <f aca="false">$CI323</f>
        <v/>
      </c>
      <c r="CX323" s="100" t="str">
        <f aca="false">IF(ISBLANK($C323),"",$CL323)</f>
        <v/>
      </c>
      <c r="CY323" s="103" t="str">
        <f aca="false">IF($CP323&gt;$CO$8,"",VLOOKUP($CP323,$CR$9:$CX$508,7,FALSE()))</f>
        <v/>
      </c>
      <c r="CZ323" s="104" t="str">
        <f aca="false">IF($CP323&gt;$CO$8,"",VLOOKUP($CP323,$CR$9:$CX$508,2,FALSE()))</f>
        <v/>
      </c>
      <c r="DA323" s="104" t="str">
        <f aca="false">IF($CP323&gt;$CO$8,"",VLOOKUP($CP323,$CR$9:$CX$508,3,FALSE()))</f>
        <v/>
      </c>
      <c r="DB323" s="104" t="str">
        <f aca="false">IF($CP323&gt;$CO$8,"",VLOOKUP($CP323,$CR$9:$CX$508,4,FALSE()))</f>
        <v/>
      </c>
      <c r="DC323" s="104" t="str">
        <f aca="false">IF($CP323&gt;$CO$8,"",VLOOKUP($CP323,$CR$9:$CX$508,5,FALSE()))</f>
        <v/>
      </c>
      <c r="DD323" s="105" t="str">
        <f aca="false">IF($CP323&gt;$CO$8,"",VLOOKUP($CP323,$CR$9:$CX$508,6,FALSE()))</f>
        <v/>
      </c>
      <c r="DE323" s="70"/>
    </row>
    <row r="324" customFormat="false" ht="15.75" hidden="false" customHeight="false" outlineLevel="0" collapsed="false">
      <c r="A324" s="8"/>
      <c r="B324" s="146"/>
      <c r="C324" s="147"/>
      <c r="D324" s="148"/>
      <c r="E324" s="164"/>
      <c r="F324" s="150"/>
      <c r="G324" s="115"/>
      <c r="H324" s="115"/>
      <c r="I324" s="115"/>
      <c r="J324" s="165"/>
      <c r="K324" s="154"/>
      <c r="L324" s="154"/>
      <c r="M324" s="118"/>
      <c r="N324" s="154"/>
      <c r="O324" s="153"/>
      <c r="P324" s="154"/>
      <c r="Q324" s="154"/>
      <c r="R324" s="154"/>
      <c r="S324" s="115"/>
      <c r="T324" s="154"/>
      <c r="U324" s="153"/>
      <c r="V324" s="154"/>
      <c r="W324" s="123"/>
      <c r="X324" s="124" t="str">
        <f aca="false">IF(ISBLANK($C324),"",IF($E324=Constants!$B$2,TRUE(),IF($E324=Constants!$B$3,FALSE(),TRUE())))</f>
        <v/>
      </c>
      <c r="Y324" s="124" t="str">
        <f aca="false">IF(ISBLANK($C324),"",IF($F324=Constants!$B$2,TRUE(),IF($F324=Constants!$B$3,FALSE(),TRUE())))</f>
        <v/>
      </c>
      <c r="Z324" s="125" t="str">
        <f aca="false">IF(ISBLANK($C324),"",IF(ISNUMBER($G324),IF($G324&gt;=0,$G324,""),""))</f>
        <v/>
      </c>
      <c r="AA324" s="125" t="str">
        <f aca="false">IF(ISBLANK($C324),"",IF(ISNUMBER($H324),IF($H324&gt;=0,$H324,""),""))</f>
        <v/>
      </c>
      <c r="AB324" s="125" t="str">
        <f aca="false">IF(ISBLANK($C324),"",IF(ISNUMBER($I324),IF($I324&gt;=0,$I324,""),""))</f>
        <v/>
      </c>
      <c r="AC324" s="124" t="str">
        <f aca="false">IF(ISBLANK($C324),"",IF($J324=Constants!$B$2,TRUE(),IF($J324=Constants!$B$3,FALSE(),TRUE())))</f>
        <v/>
      </c>
      <c r="AD324" s="124" t="str">
        <f aca="false">IF(ISBLANK($C324),"",IF($K324=Constants!$B$2,TRUE(),IF($K324=Constants!$B$3,FALSE(),TRUE())))</f>
        <v/>
      </c>
      <c r="AE324" s="124" t="str">
        <f aca="false">IF(ISBLANK($C324),"",IF($L324=Constants!$B$2,TRUE(),IF($L324=Constants!$B$3,FALSE(),TRUE())))</f>
        <v/>
      </c>
      <c r="AF324" s="126" t="str">
        <f aca="false">IF(ISBLANK($C324),"",IF(ISNUMBER($M324),IF($M324&gt;=0,$M324,""),""))</f>
        <v/>
      </c>
      <c r="AG324" s="124" t="str">
        <f aca="false">IF(ISBLANK($C324),"",IF(ISBLANK($N324),0,IF(ISNUMBER($N324),IF(AND($N324&gt;=0,$N324&lt;=Constants!$B$17,$N324=INT($N324)),$N324,""),"")))</f>
        <v/>
      </c>
      <c r="AH324" s="125" t="str">
        <f aca="false">IF(ISBLANK($C324),"",IF(ISBLANK($O324),0,IF(ISNUMBER($O324),IF($O324&gt;=0,$O324,""),"")))</f>
        <v/>
      </c>
      <c r="AI324" s="124" t="str">
        <f aca="false">IF(ISBLANK($C324),"",IF($P324=Constants!$B$2,TRUE(),IF($P324=Constants!$B$3,FALSE(),TRUE())))</f>
        <v/>
      </c>
      <c r="AJ324" s="124" t="str">
        <f aca="false">IF(ISBLANK($C324),"",IF($Q324=Constants!$B$2,TRUE(),IF($Q324=Constants!$B$3,FALSE(),TRUE())))</f>
        <v/>
      </c>
      <c r="AK324" s="124" t="str">
        <f aca="false">IF(ISBLANK($C324),"",IF($R324=Constants!$B$2,TRUE(),IF($R324=Constants!$B$3,FALSE(),TRUE())))</f>
        <v/>
      </c>
      <c r="AL324" s="126" t="str">
        <f aca="false">IF(ISBLANK($C324),"",IF(ISNUMBER($S324),IF($S324&gt;=0,$S324,""),""))</f>
        <v/>
      </c>
      <c r="AM324" s="124" t="str">
        <f aca="false">IF(ISBLANK($C324),"",IF(ISBLANK($T324),0,IF(ISNUMBER($T324),IF(AND($T324&gt;=0,$T324&lt;=Constants!$B$17,$T324=INT($T324)),$T324,""),"")))</f>
        <v/>
      </c>
      <c r="AN324" s="125" t="str">
        <f aca="false">IF(ISBLANK($C324),"",IF(ISBLANK($U324),0,IF(ISNUMBER($U324),IF($U324&gt;=0,$U324,""),"")))</f>
        <v/>
      </c>
      <c r="AO324" s="124" t="str">
        <f aca="false">IF(ISBLANK($C324),"",IF($V324=Constants!$B$2,TRUE(),IF($V324=Constants!$B$3,FALSE(),FALSE())))</f>
        <v/>
      </c>
      <c r="AP324" s="124"/>
      <c r="AQ324" s="123" t="str">
        <f aca="false">IF(ISBLANK($C324),"",AND($Y324,OR($AS324,$BC324),OR($Z324="",$AA324="",$AB324="")))</f>
        <v/>
      </c>
      <c r="AR324" s="123" t="str">
        <f aca="false">IF(ISBLANK($C324),"",IF(OR(NOT($Y324),NOT(OR($AS324,$BC324))),"",IF(ISBLANK($D$7),$AR$5,IF($AP$9="",$AR$6,""))))</f>
        <v/>
      </c>
      <c r="AS324" s="123" t="str">
        <f aca="false">IF(ISBLANK($C324),"",COUNTA($J324:$O324)&gt;0)</f>
        <v/>
      </c>
      <c r="AT324" s="123" t="str">
        <f aca="false">IF(ISBLANK($C324),"",AND($AS324,OR(AND($AF324="",OR($AE324,NOT(ISBLANK($M324)))),$AG324="",$AH324="")))</f>
        <v/>
      </c>
      <c r="AU324" s="125" t="str">
        <f aca="false">IF($BL324&lt;&gt;Constants!$B$4,"",IF(NOT($AS324),"",ROUND((Constants!$B$12-$AB324)+(Constants!$B$13-$Z324)+(Constants!$B$14-$AA324),1)))</f>
        <v/>
      </c>
      <c r="AV324" s="127" t="str">
        <f aca="false">IF($BL324&lt;&gt;Constants!$B$4,"",IF(NOT($AS324),"",IF(NOT($AE324),0,Constants!$B$15*(INT(ROUND(MIN($AF324,$AP$9),6))-INT(ROUND(MAX(0,MIN($AF324,2*$AP$9)-$AP$9),6))))))</f>
        <v/>
      </c>
      <c r="AW324" s="127" t="str">
        <f aca="false">IF($BL324&lt;&gt;Constants!$B$4,"",IF(NOT($AS324),"",Constants!$B$16*$AG324))</f>
        <v/>
      </c>
      <c r="AX324" s="127" t="str">
        <f aca="false">IF($BL324&lt;&gt;Constants!$B$4,"",IF(NOT($AS324),"",Constants!$B$18*INT(ROUND($AH324,6))))</f>
        <v/>
      </c>
      <c r="AY324" s="123" t="str">
        <f aca="false">IF($BL324&lt;&gt;Constants!$B$4,"",IF(NOT($AS324),"",IF(NOT($X324),Constants!$B$11,IF(OR(NOT($AC324),NOT($AD324),ROUND($AB324,1)&gt;Constants!$B$12,ROUND($Z324,1)&gt;Constants!$B$13,ROUND($AA324,1)&gt;Constants!$B$14),Constants!$B$10,Constants!$B$9))))</f>
        <v/>
      </c>
      <c r="AZ324" s="128" t="str">
        <f aca="false">IF($BL324&lt;&gt;Constants!$B$4,"",IF(NOT($AS324),"",ROUND($AU324+$AV324+$AW324+$AX324,1)))</f>
        <v/>
      </c>
      <c r="BA324" s="129" t="str">
        <f aca="false">IF($BL324&lt;&gt;Constants!$B$4,"",IF(NOT($AS324),"",IF(ISNUMBER($AF324),$AF324,0)))</f>
        <v/>
      </c>
      <c r="BB324" s="124" t="str">
        <f aca="false">IF($BL324&lt;&gt;Constants!$B$4,"",IF(NOT($BC324),"&lt;-",IF(NOT($AS324),"-&gt;",IF(OR($BI324&lt;$AY324,AND($BI324=$AY324,OR($BJ324&gt;$AZ324,AND($BJ324=$AZ324,OR($BH324&gt;$AX324,AND($BH324=$AX324,OR($BE324&gt;$AU324,AND($BE324=$AU324,OR($BF324&gt;$AV324,AND($BF324=$AV324,$BK324&gt;$BA324)))))))))),"-&gt;","&lt;-"))))</f>
        <v/>
      </c>
      <c r="BC324" s="123" t="str">
        <f aca="false">IF(ISBLANK($C324),"",COUNTA($P324:$U324)&gt;0)</f>
        <v/>
      </c>
      <c r="BD324" s="123" t="str">
        <f aca="false">IF(ISBLANK($C324),"",AND($BC324,OR(AND($AL324="",OR($AK324,NOT(ISBLANK($S324)))),$AM324="",$AN324="")))</f>
        <v/>
      </c>
      <c r="BE324" s="125" t="str">
        <f aca="false">IF($BL324&lt;&gt;Constants!$B$4,"",IF(NOT($BC324),"",ROUND((Constants!$B$12-$AB324)+(Constants!$B$13-$Z324)+(Constants!$B$14-$AA324),1)))</f>
        <v/>
      </c>
      <c r="BF324" s="127" t="str">
        <f aca="false">IF($BL324&lt;&gt;Constants!$B$4,"",IF(NOT($BC324),"",IF(NOT($AK324),0,Constants!$B$15*(INT(ROUND(MIN($AL324,$AP$9),6))-INT(ROUND(MAX(0,MIN($AL324,2*$AP$9)-$AP$9),6))))))</f>
        <v/>
      </c>
      <c r="BG324" s="127" t="str">
        <f aca="false">IF($BL324&lt;&gt;Constants!$B$4,"",IF(NOT($BC324),"",Constants!$B$16*$AM324))</f>
        <v/>
      </c>
      <c r="BH324" s="127" t="str">
        <f aca="false">IF($BL324&lt;&gt;Constants!$B$4,"",IF(NOT($BC324),"",Constants!$B$18*INT(ROUND($AN324,6))))</f>
        <v/>
      </c>
      <c r="BI324" s="123" t="str">
        <f aca="false">IF($BL324&lt;&gt;Constants!$B$4,"",IF(NOT($BC324),"",IF(NOT($X324),Constants!$B$11,IF(OR(NOT($AI324),NOT($AJ324),ROUND($AB324,1)&gt;Constants!$B$12,ROUND($Z324,1)&gt;Constants!$B$13,ROUND($AA324,1)&gt;Constants!$B$14),Constants!$B$10,Constants!$B$9))))</f>
        <v/>
      </c>
      <c r="BJ324" s="128" t="str">
        <f aca="false">IF($BL324&lt;&gt;Constants!$B$4,"",IF(NOT($BC324),"",ROUND($BE324+$BF324+$BG324+$BH324,1)))</f>
        <v/>
      </c>
      <c r="BK324" s="129" t="str">
        <f aca="false">IF($BL324&lt;&gt;Constants!$B$4,"",IF(NOT($BC324),"",IF(ISNUMBER($AL324),$AL324,0)))</f>
        <v/>
      </c>
      <c r="BL324" s="124" t="str">
        <f aca="false">IF(ISBLANK($C324),"",IF($AO324,Constants!$B$7,IF(COUNTA($E324:$V324)=0,Constants!$B$6,IF(NOT($Y324),Constants!$B$5,IF(NOT(OR($AS324,$BC324)),Constants!$B$5,IF(OR($AT324,$BD324,$AQ324,$AR324&lt;&gt;""),Constants!$B$8,Constants!$B$4))))))</f>
        <v/>
      </c>
      <c r="BM324" s="124" t="str">
        <f aca="false">IF(ISBLANK($C324),"",IF($BL324&lt;&gt;Constants!$B$4,$BL324,IF($BB324="-&gt;",$BI324,$AY324)))</f>
        <v/>
      </c>
      <c r="BN324" s="127" t="str">
        <f aca="false">IF($BL324&lt;&gt;Constants!$B$4,"",IF($BB324="-&gt;",$BJ324,$AZ324))</f>
        <v/>
      </c>
      <c r="BO324" s="127" t="str">
        <f aca="false">IF(ISBLANK($C324),"",IF($BL324&lt;&gt;Constants!$B$4,$BL324,$BN324))</f>
        <v/>
      </c>
      <c r="BP324" s="124" t="str">
        <f aca="false">IF(ISBLANK($C324),"",IF($BL324&lt;&gt;Constants!$B$4,$BL324,RANK($BO324,$BO$9:$BO$508,0)))</f>
        <v/>
      </c>
      <c r="BQ324" s="124" t="str">
        <f aca="false">IF(ISBLANK($C324),"",IF($BL324&lt;&gt;Constants!$B$4,$BL324,COUNTIFS($BM$9:$BM$508,"&lt;"&amp;$BM324)+COUNTIFS($BM$9:$BM$508,$BM324,$BP$9:$BP$508,"&lt;"&amp;$BP324)+1))</f>
        <v/>
      </c>
      <c r="BR324" s="127" t="str">
        <f aca="false">IF($BL324&lt;&gt;Constants!$B$4,"",IF($BB324="-&gt;",$BH324,$AX324))</f>
        <v/>
      </c>
      <c r="BS324" s="124" t="str">
        <f aca="false">IF(ISBLANK($C324),"",IF($BL324&lt;&gt;Constants!$B$4,$BL324,IF(ISNUMBER($BR324),RANK($BR324,$BR$9:$BR$508,0),COUNT($BR$9:$BR$508)+1)))</f>
        <v/>
      </c>
      <c r="BT324" s="127" t="str">
        <f aca="false">IF($BL324&lt;&gt;Constants!$B$4,"",IF($BB324="-&gt;",$BE324,$AU324))</f>
        <v/>
      </c>
      <c r="BU324" s="124" t="str">
        <f aca="false">IF(ISBLANK($C324),"",IF($BL324&lt;&gt;Constants!$B$4,$BL324,IF(ISNUMBER($BT324),RANK($BT324,$BT$9:$BT$508,0),COUNT($BT$9:$BT$508)+1)))</f>
        <v/>
      </c>
      <c r="BV324" s="127" t="str">
        <f aca="false">IF($BL324&lt;&gt;Constants!$B$4,"",IF($BB324="-&gt;",$BF324,$AV324))</f>
        <v/>
      </c>
      <c r="BW324" s="124" t="str">
        <f aca="false">IF(ISBLANK($C324),"",IF($BL324&lt;&gt;Constants!$B$4,$BL324,IF(ISNUMBER($BV324),RANK($BV324,$BV$9:$BV$508,0),COUNT($BV$9:$BV$508)+1)))</f>
        <v/>
      </c>
      <c r="BX324" s="127" t="str">
        <f aca="false">IF($BL324&lt;&gt;Constants!$B$4,"",IF($BB324="-&gt;",$BK324,$BA324))</f>
        <v/>
      </c>
      <c r="BY324" s="124" t="str">
        <f aca="false">IF(ISBLANK($C324),"",IF($BL324&lt;&gt;Constants!$B$4,$BL324,IF(ISNUMBER($BX324),RANK($BX324,$BX$9:$BX$508,0),COUNT($BX$9:$BX$508)+1)))</f>
        <v/>
      </c>
      <c r="BZ324" s="124" t="str">
        <f aca="false">IF(ISBLANK($C324),"",IF($BL324&lt;&gt;Constants!$B$4,$BL324,COUNTIFS($BM$9:$BM$508,"&lt;"&amp;$BM324)+COUNTIFS($BM$9:$BM$508,$BM324,$BP$9:$BP$508,"&lt;"&amp;$BP324)+COUNTIFS($BM$9:$BM$508,$BM324,$BP$9:$BP$508,$BP324,$BS$9:$BS$508,"&lt;"&amp;$BS324)+COUNTIFS($BM$9:$BM$508,$BM324,$BP$9:$BP$508,$BP324,$BS$9:$BS$508,$BS324,$BU$9:$BU$508,"&lt;"&amp;$BU324)+COUNTIFS($BM$9:$BM$508,$BM324,$BP$9:$BP$508,$BP324,$BS$9:$BS$508,$BS324,$BU$9:$BU$508,$BU324,$BW$9:$BW$508,"&lt;"&amp;$BW324)+COUNTIFS($BM$9:$BM$508,$BM324,$BP$9:$BP$508,$BP324,$BS$9:$BS$508,$BS324,$BU$9:$BU$508,$BU324,$BW$9:$BW$508,$BW324,$BY$9:$BY$508,"&lt;"&amp;$BY324)+1))</f>
        <v/>
      </c>
      <c r="CA324" s="124" t="str">
        <f aca="false">IF(ISBLANK($C324),"",IF($BL324&lt;&gt;Constants!$B$4,$BL324,$BQ324-$BZ324))</f>
        <v/>
      </c>
      <c r="CB324" s="130"/>
      <c r="CC324" s="131" t="str">
        <f aca="false">IF(ISBLANK($C324),"",IF($BL324=Constants!$B$8,$AR324,""))</f>
        <v/>
      </c>
      <c r="CD324" s="131" t="str">
        <f aca="false">IF(ISBLANK($C324),"",IF($BL324&lt;&gt;Constants!$B$4,"",IF($BB324="-&gt;",2,1)))</f>
        <v/>
      </c>
      <c r="CE324" s="132" t="str">
        <f aca="false">IF(ISBLANK($C324),"",IF($BL324&lt;&gt;Constants!$B$4,"",IF($BB324="-&gt;",$BE324,$AU324)))</f>
        <v/>
      </c>
      <c r="CF324" s="132" t="str">
        <f aca="false">IF(ISBLANK($C324),"",IF($BL324&lt;&gt;Constants!$B$4,"",IF($BB324="-&gt;",$BF324,$AV324)))</f>
        <v/>
      </c>
      <c r="CG324" s="132" t="str">
        <f aca="false">IF(ISBLANK($C324),"",IF($BL324&lt;&gt;Constants!$B$4,"",IF($BB324="-&gt;",$BG324,$AW324)))</f>
        <v/>
      </c>
      <c r="CH324" s="132" t="str">
        <f aca="false">IF(ISBLANK($C324),"",IF($BL324&lt;&gt;Constants!$B$4,"",IF($BB324="-&gt;",$BH324,$AX324)))</f>
        <v/>
      </c>
      <c r="CI324" s="133" t="str">
        <f aca="false">IF(ISBLANK($C324),"",$BO324)</f>
        <v/>
      </c>
      <c r="CJ324" s="134" t="str">
        <f aca="false">IF(ISBLANK($C324),"",$BM324)</f>
        <v/>
      </c>
      <c r="CK324" s="135" t="str">
        <f aca="false">IF(ISBLANK($C324),"",$CA324)</f>
        <v/>
      </c>
      <c r="CL324" s="135" t="str">
        <f aca="false">IF(ISBLANK($C324),"",$BZ324)</f>
        <v/>
      </c>
      <c r="CM324" s="136" t="str">
        <f aca="false">IF(ISBLANK($C324),"",IF($CL324=Constants!$B$7,COUNTA($C$9:$C$508)+2,IF($CL324=Constants!$B$6,COUNTA($C$9:$C$508)+1,IF($CL324=Constants!$B$5,COUNTA($C$9:$C$508),$CL324))))</f>
        <v/>
      </c>
      <c r="CN324" s="8"/>
      <c r="CO324" s="137" t="n">
        <f aca="false">IF(OR(ISNUMBER($CL324),$CL324=Constants!$B$7,$CL324=Constants!$B$5,$CL324=Constants!$B$6),1,0)</f>
        <v>0</v>
      </c>
      <c r="CP324" s="137" t="n">
        <v>316</v>
      </c>
      <c r="CQ324" s="137" t="str">
        <f aca="false">IF(ISBLANK($C324),"",IF(ISNUMBER($CM324),$CM324+ROW($B324)/1000,""))</f>
        <v/>
      </c>
      <c r="CR324" s="137" t="str">
        <f aca="false">IF(ISNUMBER($CQ324),RANK($CQ324,$CQ$9:$CQ$508,1),"")</f>
        <v/>
      </c>
      <c r="CS324" s="137" t="str">
        <f aca="false">IF(ISBLANK($C324),"",$B324)</f>
        <v/>
      </c>
      <c r="CT324" s="137" t="str">
        <f aca="false">IF(ISBLANK($C324),"",$C324)</f>
        <v/>
      </c>
      <c r="CU324" s="137" t="str">
        <f aca="false">IF(ISBLANK($C324),"",$D324)</f>
        <v/>
      </c>
      <c r="CV324" s="138" t="str">
        <f aca="false">$CJ324</f>
        <v/>
      </c>
      <c r="CW324" s="139" t="str">
        <f aca="false">$CI324</f>
        <v/>
      </c>
      <c r="CX324" s="137" t="str">
        <f aca="false">IF(ISBLANK($C324),"",$CL324)</f>
        <v/>
      </c>
      <c r="CY324" s="140" t="str">
        <f aca="false">IF($CP324&gt;$CO$8,"",VLOOKUP($CP324,$CR$9:$CX$508,7,FALSE()))</f>
        <v/>
      </c>
      <c r="CZ324" s="141" t="str">
        <f aca="false">IF($CP324&gt;$CO$8,"",VLOOKUP($CP324,$CR$9:$CX$508,2,FALSE()))</f>
        <v/>
      </c>
      <c r="DA324" s="141" t="str">
        <f aca="false">IF($CP324&gt;$CO$8,"",VLOOKUP($CP324,$CR$9:$CX$508,3,FALSE()))</f>
        <v/>
      </c>
      <c r="DB324" s="141" t="str">
        <f aca="false">IF($CP324&gt;$CO$8,"",VLOOKUP($CP324,$CR$9:$CX$508,4,FALSE()))</f>
        <v/>
      </c>
      <c r="DC324" s="141" t="str">
        <f aca="false">IF($CP324&gt;$CO$8,"",VLOOKUP($CP324,$CR$9:$CX$508,5,FALSE()))</f>
        <v/>
      </c>
      <c r="DD324" s="142" t="str">
        <f aca="false">IF($CP324&gt;$CO$8,"",VLOOKUP($CP324,$CR$9:$CX$508,6,FALSE()))</f>
        <v/>
      </c>
      <c r="DE324" s="70"/>
    </row>
    <row r="325" customFormat="false" ht="15.75" hidden="false" customHeight="false" outlineLevel="0" collapsed="false">
      <c r="A325" s="8"/>
      <c r="B325" s="146"/>
      <c r="C325" s="147"/>
      <c r="D325" s="148"/>
      <c r="E325" s="164"/>
      <c r="F325" s="150"/>
      <c r="G325" s="115"/>
      <c r="H325" s="115"/>
      <c r="I325" s="115"/>
      <c r="J325" s="165"/>
      <c r="K325" s="154"/>
      <c r="L325" s="154"/>
      <c r="M325" s="118"/>
      <c r="N325" s="154"/>
      <c r="O325" s="153"/>
      <c r="P325" s="154"/>
      <c r="Q325" s="154"/>
      <c r="R325" s="154"/>
      <c r="S325" s="115"/>
      <c r="T325" s="154"/>
      <c r="U325" s="153"/>
      <c r="V325" s="154"/>
      <c r="W325" s="123"/>
      <c r="X325" s="124" t="str">
        <f aca="false">IF(ISBLANK($C325),"",IF($E325=Constants!$B$2,TRUE(),IF($E325=Constants!$B$3,FALSE(),TRUE())))</f>
        <v/>
      </c>
      <c r="Y325" s="124" t="str">
        <f aca="false">IF(ISBLANK($C325),"",IF($F325=Constants!$B$2,TRUE(),IF($F325=Constants!$B$3,FALSE(),TRUE())))</f>
        <v/>
      </c>
      <c r="Z325" s="125" t="str">
        <f aca="false">IF(ISBLANK($C325),"",IF(ISNUMBER($G325),IF($G325&gt;=0,$G325,""),""))</f>
        <v/>
      </c>
      <c r="AA325" s="125" t="str">
        <f aca="false">IF(ISBLANK($C325),"",IF(ISNUMBER($H325),IF($H325&gt;=0,$H325,""),""))</f>
        <v/>
      </c>
      <c r="AB325" s="125" t="str">
        <f aca="false">IF(ISBLANK($C325),"",IF(ISNUMBER($I325),IF($I325&gt;=0,$I325,""),""))</f>
        <v/>
      </c>
      <c r="AC325" s="124" t="str">
        <f aca="false">IF(ISBLANK($C325),"",IF($J325=Constants!$B$2,TRUE(),IF($J325=Constants!$B$3,FALSE(),TRUE())))</f>
        <v/>
      </c>
      <c r="AD325" s="124" t="str">
        <f aca="false">IF(ISBLANK($C325),"",IF($K325=Constants!$B$2,TRUE(),IF($K325=Constants!$B$3,FALSE(),TRUE())))</f>
        <v/>
      </c>
      <c r="AE325" s="124" t="str">
        <f aca="false">IF(ISBLANK($C325),"",IF($L325=Constants!$B$2,TRUE(),IF($L325=Constants!$B$3,FALSE(),TRUE())))</f>
        <v/>
      </c>
      <c r="AF325" s="126" t="str">
        <f aca="false">IF(ISBLANK($C325),"",IF(ISNUMBER($M325),IF($M325&gt;=0,$M325,""),""))</f>
        <v/>
      </c>
      <c r="AG325" s="124" t="str">
        <f aca="false">IF(ISBLANK($C325),"",IF(ISBLANK($N325),0,IF(ISNUMBER($N325),IF(AND($N325&gt;=0,$N325&lt;=Constants!$B$17,$N325=INT($N325)),$N325,""),"")))</f>
        <v/>
      </c>
      <c r="AH325" s="125" t="str">
        <f aca="false">IF(ISBLANK($C325),"",IF(ISBLANK($O325),0,IF(ISNUMBER($O325),IF($O325&gt;=0,$O325,""),"")))</f>
        <v/>
      </c>
      <c r="AI325" s="124" t="str">
        <f aca="false">IF(ISBLANK($C325),"",IF($P325=Constants!$B$2,TRUE(),IF($P325=Constants!$B$3,FALSE(),TRUE())))</f>
        <v/>
      </c>
      <c r="AJ325" s="124" t="str">
        <f aca="false">IF(ISBLANK($C325),"",IF($Q325=Constants!$B$2,TRUE(),IF($Q325=Constants!$B$3,FALSE(),TRUE())))</f>
        <v/>
      </c>
      <c r="AK325" s="124" t="str">
        <f aca="false">IF(ISBLANK($C325),"",IF($R325=Constants!$B$2,TRUE(),IF($R325=Constants!$B$3,FALSE(),TRUE())))</f>
        <v/>
      </c>
      <c r="AL325" s="126" t="str">
        <f aca="false">IF(ISBLANK($C325),"",IF(ISNUMBER($S325),IF($S325&gt;=0,$S325,""),""))</f>
        <v/>
      </c>
      <c r="AM325" s="124" t="str">
        <f aca="false">IF(ISBLANK($C325),"",IF(ISBLANK($T325),0,IF(ISNUMBER($T325),IF(AND($T325&gt;=0,$T325&lt;=Constants!$B$17,$T325=INT($T325)),$T325,""),"")))</f>
        <v/>
      </c>
      <c r="AN325" s="125" t="str">
        <f aca="false">IF(ISBLANK($C325),"",IF(ISBLANK($U325),0,IF(ISNUMBER($U325),IF($U325&gt;=0,$U325,""),"")))</f>
        <v/>
      </c>
      <c r="AO325" s="124" t="str">
        <f aca="false">IF(ISBLANK($C325),"",IF($V325=Constants!$B$2,TRUE(),IF($V325=Constants!$B$3,FALSE(),FALSE())))</f>
        <v/>
      </c>
      <c r="AP325" s="124"/>
      <c r="AQ325" s="123" t="str">
        <f aca="false">IF(ISBLANK($C325),"",AND($Y325,OR($AS325,$BC325),OR($Z325="",$AA325="",$AB325="")))</f>
        <v/>
      </c>
      <c r="AR325" s="123" t="str">
        <f aca="false">IF(ISBLANK($C325),"",IF(OR(NOT($Y325),NOT(OR($AS325,$BC325))),"",IF(ISBLANK($D$7),$AR$5,IF($AP$9="",$AR$6,""))))</f>
        <v/>
      </c>
      <c r="AS325" s="123" t="str">
        <f aca="false">IF(ISBLANK($C325),"",COUNTA($J325:$O325)&gt;0)</f>
        <v/>
      </c>
      <c r="AT325" s="123" t="str">
        <f aca="false">IF(ISBLANK($C325),"",AND($AS325,OR(AND($AF325="",OR($AE325,NOT(ISBLANK($M325)))),$AG325="",$AH325="")))</f>
        <v/>
      </c>
      <c r="AU325" s="125" t="str">
        <f aca="false">IF($BL325&lt;&gt;Constants!$B$4,"",IF(NOT($AS325),"",ROUND((Constants!$B$12-$AB325)+(Constants!$B$13-$Z325)+(Constants!$B$14-$AA325),1)))</f>
        <v/>
      </c>
      <c r="AV325" s="127" t="str">
        <f aca="false">IF($BL325&lt;&gt;Constants!$B$4,"",IF(NOT($AS325),"",IF(NOT($AE325),0,Constants!$B$15*(INT(ROUND(MIN($AF325,$AP$9),6))-INT(ROUND(MAX(0,MIN($AF325,2*$AP$9)-$AP$9),6))))))</f>
        <v/>
      </c>
      <c r="AW325" s="127" t="str">
        <f aca="false">IF($BL325&lt;&gt;Constants!$B$4,"",IF(NOT($AS325),"",Constants!$B$16*$AG325))</f>
        <v/>
      </c>
      <c r="AX325" s="127" t="str">
        <f aca="false">IF($BL325&lt;&gt;Constants!$B$4,"",IF(NOT($AS325),"",Constants!$B$18*INT(ROUND($AH325,6))))</f>
        <v/>
      </c>
      <c r="AY325" s="123" t="str">
        <f aca="false">IF($BL325&lt;&gt;Constants!$B$4,"",IF(NOT($AS325),"",IF(NOT($X325),Constants!$B$11,IF(OR(NOT($AC325),NOT($AD325),ROUND($AB325,1)&gt;Constants!$B$12,ROUND($Z325,1)&gt;Constants!$B$13,ROUND($AA325,1)&gt;Constants!$B$14),Constants!$B$10,Constants!$B$9))))</f>
        <v/>
      </c>
      <c r="AZ325" s="128" t="str">
        <f aca="false">IF($BL325&lt;&gt;Constants!$B$4,"",IF(NOT($AS325),"",ROUND($AU325+$AV325+$AW325+$AX325,1)))</f>
        <v/>
      </c>
      <c r="BA325" s="129" t="str">
        <f aca="false">IF($BL325&lt;&gt;Constants!$B$4,"",IF(NOT($AS325),"",IF(ISNUMBER($AF325),$AF325,0)))</f>
        <v/>
      </c>
      <c r="BB325" s="124" t="str">
        <f aca="false">IF($BL325&lt;&gt;Constants!$B$4,"",IF(NOT($BC325),"&lt;-",IF(NOT($AS325),"-&gt;",IF(OR($BI325&lt;$AY325,AND($BI325=$AY325,OR($BJ325&gt;$AZ325,AND($BJ325=$AZ325,OR($BH325&gt;$AX325,AND($BH325=$AX325,OR($BE325&gt;$AU325,AND($BE325=$AU325,OR($BF325&gt;$AV325,AND($BF325=$AV325,$BK325&gt;$BA325)))))))))),"-&gt;","&lt;-"))))</f>
        <v/>
      </c>
      <c r="BC325" s="123" t="str">
        <f aca="false">IF(ISBLANK($C325),"",COUNTA($P325:$U325)&gt;0)</f>
        <v/>
      </c>
      <c r="BD325" s="123" t="str">
        <f aca="false">IF(ISBLANK($C325),"",AND($BC325,OR(AND($AL325="",OR($AK325,NOT(ISBLANK($S325)))),$AM325="",$AN325="")))</f>
        <v/>
      </c>
      <c r="BE325" s="125" t="str">
        <f aca="false">IF($BL325&lt;&gt;Constants!$B$4,"",IF(NOT($BC325),"",ROUND((Constants!$B$12-$AB325)+(Constants!$B$13-$Z325)+(Constants!$B$14-$AA325),1)))</f>
        <v/>
      </c>
      <c r="BF325" s="127" t="str">
        <f aca="false">IF($BL325&lt;&gt;Constants!$B$4,"",IF(NOT($BC325),"",IF(NOT($AK325),0,Constants!$B$15*(INT(ROUND(MIN($AL325,$AP$9),6))-INT(ROUND(MAX(0,MIN($AL325,2*$AP$9)-$AP$9),6))))))</f>
        <v/>
      </c>
      <c r="BG325" s="127" t="str">
        <f aca="false">IF($BL325&lt;&gt;Constants!$B$4,"",IF(NOT($BC325),"",Constants!$B$16*$AM325))</f>
        <v/>
      </c>
      <c r="BH325" s="127" t="str">
        <f aca="false">IF($BL325&lt;&gt;Constants!$B$4,"",IF(NOT($BC325),"",Constants!$B$18*INT(ROUND($AN325,6))))</f>
        <v/>
      </c>
      <c r="BI325" s="123" t="str">
        <f aca="false">IF($BL325&lt;&gt;Constants!$B$4,"",IF(NOT($BC325),"",IF(NOT($X325),Constants!$B$11,IF(OR(NOT($AI325),NOT($AJ325),ROUND($AB325,1)&gt;Constants!$B$12,ROUND($Z325,1)&gt;Constants!$B$13,ROUND($AA325,1)&gt;Constants!$B$14),Constants!$B$10,Constants!$B$9))))</f>
        <v/>
      </c>
      <c r="BJ325" s="128" t="str">
        <f aca="false">IF($BL325&lt;&gt;Constants!$B$4,"",IF(NOT($BC325),"",ROUND($BE325+$BF325+$BG325+$BH325,1)))</f>
        <v/>
      </c>
      <c r="BK325" s="129" t="str">
        <f aca="false">IF($BL325&lt;&gt;Constants!$B$4,"",IF(NOT($BC325),"",IF(ISNUMBER($AL325),$AL325,0)))</f>
        <v/>
      </c>
      <c r="BL325" s="124" t="str">
        <f aca="false">IF(ISBLANK($C325),"",IF($AO325,Constants!$B$7,IF(COUNTA($E325:$V325)=0,Constants!$B$6,IF(NOT($Y325),Constants!$B$5,IF(NOT(OR($AS325,$BC325)),Constants!$B$5,IF(OR($AT325,$BD325,$AQ325,$AR325&lt;&gt;""),Constants!$B$8,Constants!$B$4))))))</f>
        <v/>
      </c>
      <c r="BM325" s="124" t="str">
        <f aca="false">IF(ISBLANK($C325),"",IF($BL325&lt;&gt;Constants!$B$4,$BL325,IF($BB325="-&gt;",$BI325,$AY325)))</f>
        <v/>
      </c>
      <c r="BN325" s="127" t="str">
        <f aca="false">IF($BL325&lt;&gt;Constants!$B$4,"",IF($BB325="-&gt;",$BJ325,$AZ325))</f>
        <v/>
      </c>
      <c r="BO325" s="127" t="str">
        <f aca="false">IF(ISBLANK($C325),"",IF($BL325&lt;&gt;Constants!$B$4,$BL325,$BN325))</f>
        <v/>
      </c>
      <c r="BP325" s="124" t="str">
        <f aca="false">IF(ISBLANK($C325),"",IF($BL325&lt;&gt;Constants!$B$4,$BL325,RANK($BO325,$BO$9:$BO$508,0)))</f>
        <v/>
      </c>
      <c r="BQ325" s="124" t="str">
        <f aca="false">IF(ISBLANK($C325),"",IF($BL325&lt;&gt;Constants!$B$4,$BL325,COUNTIFS($BM$9:$BM$508,"&lt;"&amp;$BM325)+COUNTIFS($BM$9:$BM$508,$BM325,$BP$9:$BP$508,"&lt;"&amp;$BP325)+1))</f>
        <v/>
      </c>
      <c r="BR325" s="127" t="str">
        <f aca="false">IF($BL325&lt;&gt;Constants!$B$4,"",IF($BB325="-&gt;",$BH325,$AX325))</f>
        <v/>
      </c>
      <c r="BS325" s="124" t="str">
        <f aca="false">IF(ISBLANK($C325),"",IF($BL325&lt;&gt;Constants!$B$4,$BL325,IF(ISNUMBER($BR325),RANK($BR325,$BR$9:$BR$508,0),COUNT($BR$9:$BR$508)+1)))</f>
        <v/>
      </c>
      <c r="BT325" s="127" t="str">
        <f aca="false">IF($BL325&lt;&gt;Constants!$B$4,"",IF($BB325="-&gt;",$BE325,$AU325))</f>
        <v/>
      </c>
      <c r="BU325" s="124" t="str">
        <f aca="false">IF(ISBLANK($C325),"",IF($BL325&lt;&gt;Constants!$B$4,$BL325,IF(ISNUMBER($BT325),RANK($BT325,$BT$9:$BT$508,0),COUNT($BT$9:$BT$508)+1)))</f>
        <v/>
      </c>
      <c r="BV325" s="127" t="str">
        <f aca="false">IF($BL325&lt;&gt;Constants!$B$4,"",IF($BB325="-&gt;",$BF325,$AV325))</f>
        <v/>
      </c>
      <c r="BW325" s="124" t="str">
        <f aca="false">IF(ISBLANK($C325),"",IF($BL325&lt;&gt;Constants!$B$4,$BL325,IF(ISNUMBER($BV325),RANK($BV325,$BV$9:$BV$508,0),COUNT($BV$9:$BV$508)+1)))</f>
        <v/>
      </c>
      <c r="BX325" s="127" t="str">
        <f aca="false">IF($BL325&lt;&gt;Constants!$B$4,"",IF($BB325="-&gt;",$BK325,$BA325))</f>
        <v/>
      </c>
      <c r="BY325" s="124" t="str">
        <f aca="false">IF(ISBLANK($C325),"",IF($BL325&lt;&gt;Constants!$B$4,$BL325,IF(ISNUMBER($BX325),RANK($BX325,$BX$9:$BX$508,0),COUNT($BX$9:$BX$508)+1)))</f>
        <v/>
      </c>
      <c r="BZ325" s="124" t="str">
        <f aca="false">IF(ISBLANK($C325),"",IF($BL325&lt;&gt;Constants!$B$4,$BL325,COUNTIFS($BM$9:$BM$508,"&lt;"&amp;$BM325)+COUNTIFS($BM$9:$BM$508,$BM325,$BP$9:$BP$508,"&lt;"&amp;$BP325)+COUNTIFS($BM$9:$BM$508,$BM325,$BP$9:$BP$508,$BP325,$BS$9:$BS$508,"&lt;"&amp;$BS325)+COUNTIFS($BM$9:$BM$508,$BM325,$BP$9:$BP$508,$BP325,$BS$9:$BS$508,$BS325,$BU$9:$BU$508,"&lt;"&amp;$BU325)+COUNTIFS($BM$9:$BM$508,$BM325,$BP$9:$BP$508,$BP325,$BS$9:$BS$508,$BS325,$BU$9:$BU$508,$BU325,$BW$9:$BW$508,"&lt;"&amp;$BW325)+COUNTIFS($BM$9:$BM$508,$BM325,$BP$9:$BP$508,$BP325,$BS$9:$BS$508,$BS325,$BU$9:$BU$508,$BU325,$BW$9:$BW$508,$BW325,$BY$9:$BY$508,"&lt;"&amp;$BY325)+1))</f>
        <v/>
      </c>
      <c r="CA325" s="124" t="str">
        <f aca="false">IF(ISBLANK($C325),"",IF($BL325&lt;&gt;Constants!$B$4,$BL325,$BQ325-$BZ325))</f>
        <v/>
      </c>
      <c r="CB325" s="130"/>
      <c r="CC325" s="131" t="str">
        <f aca="false">IF(ISBLANK($C325),"",IF($BL325=Constants!$B$8,$AR325,""))</f>
        <v/>
      </c>
      <c r="CD325" s="131" t="str">
        <f aca="false">IF(ISBLANK($C325),"",IF($BL325&lt;&gt;Constants!$B$4,"",IF($BB325="-&gt;",2,1)))</f>
        <v/>
      </c>
      <c r="CE325" s="132" t="str">
        <f aca="false">IF(ISBLANK($C325),"",IF($BL325&lt;&gt;Constants!$B$4,"",IF($BB325="-&gt;",$BE325,$AU325)))</f>
        <v/>
      </c>
      <c r="CF325" s="132" t="str">
        <f aca="false">IF(ISBLANK($C325),"",IF($BL325&lt;&gt;Constants!$B$4,"",IF($BB325="-&gt;",$BF325,$AV325)))</f>
        <v/>
      </c>
      <c r="CG325" s="132" t="str">
        <f aca="false">IF(ISBLANK($C325),"",IF($BL325&lt;&gt;Constants!$B$4,"",IF($BB325="-&gt;",$BG325,$AW325)))</f>
        <v/>
      </c>
      <c r="CH325" s="132" t="str">
        <f aca="false">IF(ISBLANK($C325),"",IF($BL325&lt;&gt;Constants!$B$4,"",IF($BB325="-&gt;",$BH325,$AX325)))</f>
        <v/>
      </c>
      <c r="CI325" s="133" t="str">
        <f aca="false">IF(ISBLANK($C325),"",$BO325)</f>
        <v/>
      </c>
      <c r="CJ325" s="134" t="str">
        <f aca="false">IF(ISBLANK($C325),"",$BM325)</f>
        <v/>
      </c>
      <c r="CK325" s="135" t="str">
        <f aca="false">IF(ISBLANK($C325),"",$CA325)</f>
        <v/>
      </c>
      <c r="CL325" s="135" t="str">
        <f aca="false">IF(ISBLANK($C325),"",$BZ325)</f>
        <v/>
      </c>
      <c r="CM325" s="136" t="str">
        <f aca="false">IF(ISBLANK($C325),"",IF($CL325=Constants!$B$7,COUNTA($C$9:$C$508)+2,IF($CL325=Constants!$B$6,COUNTA($C$9:$C$508)+1,IF($CL325=Constants!$B$5,COUNTA($C$9:$C$508),$CL325))))</f>
        <v/>
      </c>
      <c r="CN325" s="8"/>
      <c r="CO325" s="137" t="n">
        <f aca="false">IF(OR(ISNUMBER($CL325),$CL325=Constants!$B$7,$CL325=Constants!$B$5,$CL325=Constants!$B$6),1,0)</f>
        <v>0</v>
      </c>
      <c r="CP325" s="137" t="n">
        <v>317</v>
      </c>
      <c r="CQ325" s="137" t="str">
        <f aca="false">IF(ISBLANK($C325),"",IF(ISNUMBER($CM325),$CM325+ROW($B325)/1000,""))</f>
        <v/>
      </c>
      <c r="CR325" s="137" t="str">
        <f aca="false">IF(ISNUMBER($CQ325),RANK($CQ325,$CQ$9:$CQ$508,1),"")</f>
        <v/>
      </c>
      <c r="CS325" s="137" t="str">
        <f aca="false">IF(ISBLANK($C325),"",$B325)</f>
        <v/>
      </c>
      <c r="CT325" s="137" t="str">
        <f aca="false">IF(ISBLANK($C325),"",$C325)</f>
        <v/>
      </c>
      <c r="CU325" s="137" t="str">
        <f aca="false">IF(ISBLANK($C325),"",$D325)</f>
        <v/>
      </c>
      <c r="CV325" s="138" t="str">
        <f aca="false">$CJ325</f>
        <v/>
      </c>
      <c r="CW325" s="139" t="str">
        <f aca="false">$CI325</f>
        <v/>
      </c>
      <c r="CX325" s="137" t="str">
        <f aca="false">IF(ISBLANK($C325),"",$CL325)</f>
        <v/>
      </c>
      <c r="CY325" s="140" t="str">
        <f aca="false">IF($CP325&gt;$CO$8,"",VLOOKUP($CP325,$CR$9:$CX$508,7,FALSE()))</f>
        <v/>
      </c>
      <c r="CZ325" s="141" t="str">
        <f aca="false">IF($CP325&gt;$CO$8,"",VLOOKUP($CP325,$CR$9:$CX$508,2,FALSE()))</f>
        <v/>
      </c>
      <c r="DA325" s="141" t="str">
        <f aca="false">IF($CP325&gt;$CO$8,"",VLOOKUP($CP325,$CR$9:$CX$508,3,FALSE()))</f>
        <v/>
      </c>
      <c r="DB325" s="141" t="str">
        <f aca="false">IF($CP325&gt;$CO$8,"",VLOOKUP($CP325,$CR$9:$CX$508,4,FALSE()))</f>
        <v/>
      </c>
      <c r="DC325" s="141" t="str">
        <f aca="false">IF($CP325&gt;$CO$8,"",VLOOKUP($CP325,$CR$9:$CX$508,5,FALSE()))</f>
        <v/>
      </c>
      <c r="DD325" s="142" t="str">
        <f aca="false">IF($CP325&gt;$CO$8,"",VLOOKUP($CP325,$CR$9:$CX$508,6,FALSE()))</f>
        <v/>
      </c>
      <c r="DE325" s="70"/>
    </row>
    <row r="326" customFormat="false" ht="15.75" hidden="false" customHeight="false" outlineLevel="0" collapsed="false">
      <c r="A326" s="8"/>
      <c r="B326" s="146"/>
      <c r="C326" s="147"/>
      <c r="D326" s="148"/>
      <c r="E326" s="164"/>
      <c r="F326" s="150"/>
      <c r="G326" s="115"/>
      <c r="H326" s="115"/>
      <c r="I326" s="115"/>
      <c r="J326" s="165"/>
      <c r="K326" s="154"/>
      <c r="L326" s="154"/>
      <c r="M326" s="118"/>
      <c r="N326" s="154"/>
      <c r="O326" s="153"/>
      <c r="P326" s="154"/>
      <c r="Q326" s="154"/>
      <c r="R326" s="154"/>
      <c r="S326" s="115"/>
      <c r="T326" s="154"/>
      <c r="U326" s="153"/>
      <c r="V326" s="154"/>
      <c r="W326" s="123"/>
      <c r="X326" s="124" t="str">
        <f aca="false">IF(ISBLANK($C326),"",IF($E326=Constants!$B$2,TRUE(),IF($E326=Constants!$B$3,FALSE(),TRUE())))</f>
        <v/>
      </c>
      <c r="Y326" s="124" t="str">
        <f aca="false">IF(ISBLANK($C326),"",IF($F326=Constants!$B$2,TRUE(),IF($F326=Constants!$B$3,FALSE(),TRUE())))</f>
        <v/>
      </c>
      <c r="Z326" s="125" t="str">
        <f aca="false">IF(ISBLANK($C326),"",IF(ISNUMBER($G326),IF($G326&gt;=0,$G326,""),""))</f>
        <v/>
      </c>
      <c r="AA326" s="125" t="str">
        <f aca="false">IF(ISBLANK($C326),"",IF(ISNUMBER($H326),IF($H326&gt;=0,$H326,""),""))</f>
        <v/>
      </c>
      <c r="AB326" s="125" t="str">
        <f aca="false">IF(ISBLANK($C326),"",IF(ISNUMBER($I326),IF($I326&gt;=0,$I326,""),""))</f>
        <v/>
      </c>
      <c r="AC326" s="124" t="str">
        <f aca="false">IF(ISBLANK($C326),"",IF($J326=Constants!$B$2,TRUE(),IF($J326=Constants!$B$3,FALSE(),TRUE())))</f>
        <v/>
      </c>
      <c r="AD326" s="124" t="str">
        <f aca="false">IF(ISBLANK($C326),"",IF($K326=Constants!$B$2,TRUE(),IF($K326=Constants!$B$3,FALSE(),TRUE())))</f>
        <v/>
      </c>
      <c r="AE326" s="124" t="str">
        <f aca="false">IF(ISBLANK($C326),"",IF($L326=Constants!$B$2,TRUE(),IF($L326=Constants!$B$3,FALSE(),TRUE())))</f>
        <v/>
      </c>
      <c r="AF326" s="126" t="str">
        <f aca="false">IF(ISBLANK($C326),"",IF(ISNUMBER($M326),IF($M326&gt;=0,$M326,""),""))</f>
        <v/>
      </c>
      <c r="AG326" s="124" t="str">
        <f aca="false">IF(ISBLANK($C326),"",IF(ISBLANK($N326),0,IF(ISNUMBER($N326),IF(AND($N326&gt;=0,$N326&lt;=Constants!$B$17,$N326=INT($N326)),$N326,""),"")))</f>
        <v/>
      </c>
      <c r="AH326" s="125" t="str">
        <f aca="false">IF(ISBLANK($C326),"",IF(ISBLANK($O326),0,IF(ISNUMBER($O326),IF($O326&gt;=0,$O326,""),"")))</f>
        <v/>
      </c>
      <c r="AI326" s="124" t="str">
        <f aca="false">IF(ISBLANK($C326),"",IF($P326=Constants!$B$2,TRUE(),IF($P326=Constants!$B$3,FALSE(),TRUE())))</f>
        <v/>
      </c>
      <c r="AJ326" s="124" t="str">
        <f aca="false">IF(ISBLANK($C326),"",IF($Q326=Constants!$B$2,TRUE(),IF($Q326=Constants!$B$3,FALSE(),TRUE())))</f>
        <v/>
      </c>
      <c r="AK326" s="124" t="str">
        <f aca="false">IF(ISBLANK($C326),"",IF($R326=Constants!$B$2,TRUE(),IF($R326=Constants!$B$3,FALSE(),TRUE())))</f>
        <v/>
      </c>
      <c r="AL326" s="126" t="str">
        <f aca="false">IF(ISBLANK($C326),"",IF(ISNUMBER($S326),IF($S326&gt;=0,$S326,""),""))</f>
        <v/>
      </c>
      <c r="AM326" s="124" t="str">
        <f aca="false">IF(ISBLANK($C326),"",IF(ISBLANK($T326),0,IF(ISNUMBER($T326),IF(AND($T326&gt;=0,$T326&lt;=Constants!$B$17,$T326=INT($T326)),$T326,""),"")))</f>
        <v/>
      </c>
      <c r="AN326" s="125" t="str">
        <f aca="false">IF(ISBLANK($C326),"",IF(ISBLANK($U326),0,IF(ISNUMBER($U326),IF($U326&gt;=0,$U326,""),"")))</f>
        <v/>
      </c>
      <c r="AO326" s="124" t="str">
        <f aca="false">IF(ISBLANK($C326),"",IF($V326=Constants!$B$2,TRUE(),IF($V326=Constants!$B$3,FALSE(),FALSE())))</f>
        <v/>
      </c>
      <c r="AP326" s="124"/>
      <c r="AQ326" s="123" t="str">
        <f aca="false">IF(ISBLANK($C326),"",AND($Y326,OR($AS326,$BC326),OR($Z326="",$AA326="",$AB326="")))</f>
        <v/>
      </c>
      <c r="AR326" s="123" t="str">
        <f aca="false">IF(ISBLANK($C326),"",IF(OR(NOT($Y326),NOT(OR($AS326,$BC326))),"",IF(ISBLANK($D$7),$AR$5,IF($AP$9="",$AR$6,""))))</f>
        <v/>
      </c>
      <c r="AS326" s="123" t="str">
        <f aca="false">IF(ISBLANK($C326),"",COUNTA($J326:$O326)&gt;0)</f>
        <v/>
      </c>
      <c r="AT326" s="123" t="str">
        <f aca="false">IF(ISBLANK($C326),"",AND($AS326,OR(AND($AF326="",OR($AE326,NOT(ISBLANK($M326)))),$AG326="",$AH326="")))</f>
        <v/>
      </c>
      <c r="AU326" s="125" t="str">
        <f aca="false">IF($BL326&lt;&gt;Constants!$B$4,"",IF(NOT($AS326),"",ROUND((Constants!$B$12-$AB326)+(Constants!$B$13-$Z326)+(Constants!$B$14-$AA326),1)))</f>
        <v/>
      </c>
      <c r="AV326" s="127" t="str">
        <f aca="false">IF($BL326&lt;&gt;Constants!$B$4,"",IF(NOT($AS326),"",IF(NOT($AE326),0,Constants!$B$15*(INT(ROUND(MIN($AF326,$AP$9),6))-INT(ROUND(MAX(0,MIN($AF326,2*$AP$9)-$AP$9),6))))))</f>
        <v/>
      </c>
      <c r="AW326" s="127" t="str">
        <f aca="false">IF($BL326&lt;&gt;Constants!$B$4,"",IF(NOT($AS326),"",Constants!$B$16*$AG326))</f>
        <v/>
      </c>
      <c r="AX326" s="127" t="str">
        <f aca="false">IF($BL326&lt;&gt;Constants!$B$4,"",IF(NOT($AS326),"",Constants!$B$18*INT(ROUND($AH326,6))))</f>
        <v/>
      </c>
      <c r="AY326" s="123" t="str">
        <f aca="false">IF($BL326&lt;&gt;Constants!$B$4,"",IF(NOT($AS326),"",IF(NOT($X326),Constants!$B$11,IF(OR(NOT($AC326),NOT($AD326),ROUND($AB326,1)&gt;Constants!$B$12,ROUND($Z326,1)&gt;Constants!$B$13,ROUND($AA326,1)&gt;Constants!$B$14),Constants!$B$10,Constants!$B$9))))</f>
        <v/>
      </c>
      <c r="AZ326" s="128" t="str">
        <f aca="false">IF($BL326&lt;&gt;Constants!$B$4,"",IF(NOT($AS326),"",ROUND($AU326+$AV326+$AW326+$AX326,1)))</f>
        <v/>
      </c>
      <c r="BA326" s="129" t="str">
        <f aca="false">IF($BL326&lt;&gt;Constants!$B$4,"",IF(NOT($AS326),"",IF(ISNUMBER($AF326),$AF326,0)))</f>
        <v/>
      </c>
      <c r="BB326" s="124" t="str">
        <f aca="false">IF($BL326&lt;&gt;Constants!$B$4,"",IF(NOT($BC326),"&lt;-",IF(NOT($AS326),"-&gt;",IF(OR($BI326&lt;$AY326,AND($BI326=$AY326,OR($BJ326&gt;$AZ326,AND($BJ326=$AZ326,OR($BH326&gt;$AX326,AND($BH326=$AX326,OR($BE326&gt;$AU326,AND($BE326=$AU326,OR($BF326&gt;$AV326,AND($BF326=$AV326,$BK326&gt;$BA326)))))))))),"-&gt;","&lt;-"))))</f>
        <v/>
      </c>
      <c r="BC326" s="123" t="str">
        <f aca="false">IF(ISBLANK($C326),"",COUNTA($P326:$U326)&gt;0)</f>
        <v/>
      </c>
      <c r="BD326" s="123" t="str">
        <f aca="false">IF(ISBLANK($C326),"",AND($BC326,OR(AND($AL326="",OR($AK326,NOT(ISBLANK($S326)))),$AM326="",$AN326="")))</f>
        <v/>
      </c>
      <c r="BE326" s="125" t="str">
        <f aca="false">IF($BL326&lt;&gt;Constants!$B$4,"",IF(NOT($BC326),"",ROUND((Constants!$B$12-$AB326)+(Constants!$B$13-$Z326)+(Constants!$B$14-$AA326),1)))</f>
        <v/>
      </c>
      <c r="BF326" s="127" t="str">
        <f aca="false">IF($BL326&lt;&gt;Constants!$B$4,"",IF(NOT($BC326),"",IF(NOT($AK326),0,Constants!$B$15*(INT(ROUND(MIN($AL326,$AP$9),6))-INT(ROUND(MAX(0,MIN($AL326,2*$AP$9)-$AP$9),6))))))</f>
        <v/>
      </c>
      <c r="BG326" s="127" t="str">
        <f aca="false">IF($BL326&lt;&gt;Constants!$B$4,"",IF(NOT($BC326),"",Constants!$B$16*$AM326))</f>
        <v/>
      </c>
      <c r="BH326" s="127" t="str">
        <f aca="false">IF($BL326&lt;&gt;Constants!$B$4,"",IF(NOT($BC326),"",Constants!$B$18*INT(ROUND($AN326,6))))</f>
        <v/>
      </c>
      <c r="BI326" s="123" t="str">
        <f aca="false">IF($BL326&lt;&gt;Constants!$B$4,"",IF(NOT($BC326),"",IF(NOT($X326),Constants!$B$11,IF(OR(NOT($AI326),NOT($AJ326),ROUND($AB326,1)&gt;Constants!$B$12,ROUND($Z326,1)&gt;Constants!$B$13,ROUND($AA326,1)&gt;Constants!$B$14),Constants!$B$10,Constants!$B$9))))</f>
        <v/>
      </c>
      <c r="BJ326" s="128" t="str">
        <f aca="false">IF($BL326&lt;&gt;Constants!$B$4,"",IF(NOT($BC326),"",ROUND($BE326+$BF326+$BG326+$BH326,1)))</f>
        <v/>
      </c>
      <c r="BK326" s="129" t="str">
        <f aca="false">IF($BL326&lt;&gt;Constants!$B$4,"",IF(NOT($BC326),"",IF(ISNUMBER($AL326),$AL326,0)))</f>
        <v/>
      </c>
      <c r="BL326" s="124" t="str">
        <f aca="false">IF(ISBLANK($C326),"",IF($AO326,Constants!$B$7,IF(COUNTA($E326:$V326)=0,Constants!$B$6,IF(NOT($Y326),Constants!$B$5,IF(NOT(OR($AS326,$BC326)),Constants!$B$5,IF(OR($AT326,$BD326,$AQ326,$AR326&lt;&gt;""),Constants!$B$8,Constants!$B$4))))))</f>
        <v/>
      </c>
      <c r="BM326" s="124" t="str">
        <f aca="false">IF(ISBLANK($C326),"",IF($BL326&lt;&gt;Constants!$B$4,$BL326,IF($BB326="-&gt;",$BI326,$AY326)))</f>
        <v/>
      </c>
      <c r="BN326" s="127" t="str">
        <f aca="false">IF($BL326&lt;&gt;Constants!$B$4,"",IF($BB326="-&gt;",$BJ326,$AZ326))</f>
        <v/>
      </c>
      <c r="BO326" s="127" t="str">
        <f aca="false">IF(ISBLANK($C326),"",IF($BL326&lt;&gt;Constants!$B$4,$BL326,$BN326))</f>
        <v/>
      </c>
      <c r="BP326" s="124" t="str">
        <f aca="false">IF(ISBLANK($C326),"",IF($BL326&lt;&gt;Constants!$B$4,$BL326,RANK($BO326,$BO$9:$BO$508,0)))</f>
        <v/>
      </c>
      <c r="BQ326" s="124" t="str">
        <f aca="false">IF(ISBLANK($C326),"",IF($BL326&lt;&gt;Constants!$B$4,$BL326,COUNTIFS($BM$9:$BM$508,"&lt;"&amp;$BM326)+COUNTIFS($BM$9:$BM$508,$BM326,$BP$9:$BP$508,"&lt;"&amp;$BP326)+1))</f>
        <v/>
      </c>
      <c r="BR326" s="127" t="str">
        <f aca="false">IF($BL326&lt;&gt;Constants!$B$4,"",IF($BB326="-&gt;",$BH326,$AX326))</f>
        <v/>
      </c>
      <c r="BS326" s="124" t="str">
        <f aca="false">IF(ISBLANK($C326),"",IF($BL326&lt;&gt;Constants!$B$4,$BL326,IF(ISNUMBER($BR326),RANK($BR326,$BR$9:$BR$508,0),COUNT($BR$9:$BR$508)+1)))</f>
        <v/>
      </c>
      <c r="BT326" s="127" t="str">
        <f aca="false">IF($BL326&lt;&gt;Constants!$B$4,"",IF($BB326="-&gt;",$BE326,$AU326))</f>
        <v/>
      </c>
      <c r="BU326" s="124" t="str">
        <f aca="false">IF(ISBLANK($C326),"",IF($BL326&lt;&gt;Constants!$B$4,$BL326,IF(ISNUMBER($BT326),RANK($BT326,$BT$9:$BT$508,0),COUNT($BT$9:$BT$508)+1)))</f>
        <v/>
      </c>
      <c r="BV326" s="127" t="str">
        <f aca="false">IF($BL326&lt;&gt;Constants!$B$4,"",IF($BB326="-&gt;",$BF326,$AV326))</f>
        <v/>
      </c>
      <c r="BW326" s="124" t="str">
        <f aca="false">IF(ISBLANK($C326),"",IF($BL326&lt;&gt;Constants!$B$4,$BL326,IF(ISNUMBER($BV326),RANK($BV326,$BV$9:$BV$508,0),COUNT($BV$9:$BV$508)+1)))</f>
        <v/>
      </c>
      <c r="BX326" s="127" t="str">
        <f aca="false">IF($BL326&lt;&gt;Constants!$B$4,"",IF($BB326="-&gt;",$BK326,$BA326))</f>
        <v/>
      </c>
      <c r="BY326" s="124" t="str">
        <f aca="false">IF(ISBLANK($C326),"",IF($BL326&lt;&gt;Constants!$B$4,$BL326,IF(ISNUMBER($BX326),RANK($BX326,$BX$9:$BX$508,0),COUNT($BX$9:$BX$508)+1)))</f>
        <v/>
      </c>
      <c r="BZ326" s="124" t="str">
        <f aca="false">IF(ISBLANK($C326),"",IF($BL326&lt;&gt;Constants!$B$4,$BL326,COUNTIFS($BM$9:$BM$508,"&lt;"&amp;$BM326)+COUNTIFS($BM$9:$BM$508,$BM326,$BP$9:$BP$508,"&lt;"&amp;$BP326)+COUNTIFS($BM$9:$BM$508,$BM326,$BP$9:$BP$508,$BP326,$BS$9:$BS$508,"&lt;"&amp;$BS326)+COUNTIFS($BM$9:$BM$508,$BM326,$BP$9:$BP$508,$BP326,$BS$9:$BS$508,$BS326,$BU$9:$BU$508,"&lt;"&amp;$BU326)+COUNTIFS($BM$9:$BM$508,$BM326,$BP$9:$BP$508,$BP326,$BS$9:$BS$508,$BS326,$BU$9:$BU$508,$BU326,$BW$9:$BW$508,"&lt;"&amp;$BW326)+COUNTIFS($BM$9:$BM$508,$BM326,$BP$9:$BP$508,$BP326,$BS$9:$BS$508,$BS326,$BU$9:$BU$508,$BU326,$BW$9:$BW$508,$BW326,$BY$9:$BY$508,"&lt;"&amp;$BY326)+1))</f>
        <v/>
      </c>
      <c r="CA326" s="124" t="str">
        <f aca="false">IF(ISBLANK($C326),"",IF($BL326&lt;&gt;Constants!$B$4,$BL326,$BQ326-$BZ326))</f>
        <v/>
      </c>
      <c r="CB326" s="130"/>
      <c r="CC326" s="131" t="str">
        <f aca="false">IF(ISBLANK($C326),"",IF($BL326=Constants!$B$8,$AR326,""))</f>
        <v/>
      </c>
      <c r="CD326" s="131" t="str">
        <f aca="false">IF(ISBLANK($C326),"",IF($BL326&lt;&gt;Constants!$B$4,"",IF($BB326="-&gt;",2,1)))</f>
        <v/>
      </c>
      <c r="CE326" s="132" t="str">
        <f aca="false">IF(ISBLANK($C326),"",IF($BL326&lt;&gt;Constants!$B$4,"",IF($BB326="-&gt;",$BE326,$AU326)))</f>
        <v/>
      </c>
      <c r="CF326" s="132" t="str">
        <f aca="false">IF(ISBLANK($C326),"",IF($BL326&lt;&gt;Constants!$B$4,"",IF($BB326="-&gt;",$BF326,$AV326)))</f>
        <v/>
      </c>
      <c r="CG326" s="132" t="str">
        <f aca="false">IF(ISBLANK($C326),"",IF($BL326&lt;&gt;Constants!$B$4,"",IF($BB326="-&gt;",$BG326,$AW326)))</f>
        <v/>
      </c>
      <c r="CH326" s="132" t="str">
        <f aca="false">IF(ISBLANK($C326),"",IF($BL326&lt;&gt;Constants!$B$4,"",IF($BB326="-&gt;",$BH326,$AX326)))</f>
        <v/>
      </c>
      <c r="CI326" s="133" t="str">
        <f aca="false">IF(ISBLANK($C326),"",$BO326)</f>
        <v/>
      </c>
      <c r="CJ326" s="134" t="str">
        <f aca="false">IF(ISBLANK($C326),"",$BM326)</f>
        <v/>
      </c>
      <c r="CK326" s="135" t="str">
        <f aca="false">IF(ISBLANK($C326),"",$CA326)</f>
        <v/>
      </c>
      <c r="CL326" s="135" t="str">
        <f aca="false">IF(ISBLANK($C326),"",$BZ326)</f>
        <v/>
      </c>
      <c r="CM326" s="136" t="str">
        <f aca="false">IF(ISBLANK($C326),"",IF($CL326=Constants!$B$7,COUNTA($C$9:$C$508)+2,IF($CL326=Constants!$B$6,COUNTA($C$9:$C$508)+1,IF($CL326=Constants!$B$5,COUNTA($C$9:$C$508),$CL326))))</f>
        <v/>
      </c>
      <c r="CN326" s="8"/>
      <c r="CO326" s="137" t="n">
        <f aca="false">IF(OR(ISNUMBER($CL326),$CL326=Constants!$B$7,$CL326=Constants!$B$5,$CL326=Constants!$B$6),1,0)</f>
        <v>0</v>
      </c>
      <c r="CP326" s="137" t="n">
        <v>318</v>
      </c>
      <c r="CQ326" s="137" t="str">
        <f aca="false">IF(ISBLANK($C326),"",IF(ISNUMBER($CM326),$CM326+ROW($B326)/1000,""))</f>
        <v/>
      </c>
      <c r="CR326" s="137" t="str">
        <f aca="false">IF(ISNUMBER($CQ326),RANK($CQ326,$CQ$9:$CQ$508,1),"")</f>
        <v/>
      </c>
      <c r="CS326" s="137" t="str">
        <f aca="false">IF(ISBLANK($C326),"",$B326)</f>
        <v/>
      </c>
      <c r="CT326" s="137" t="str">
        <f aca="false">IF(ISBLANK($C326),"",$C326)</f>
        <v/>
      </c>
      <c r="CU326" s="137" t="str">
        <f aca="false">IF(ISBLANK($C326),"",$D326)</f>
        <v/>
      </c>
      <c r="CV326" s="138" t="str">
        <f aca="false">$CJ326</f>
        <v/>
      </c>
      <c r="CW326" s="139" t="str">
        <f aca="false">$CI326</f>
        <v/>
      </c>
      <c r="CX326" s="137" t="str">
        <f aca="false">IF(ISBLANK($C326),"",$CL326)</f>
        <v/>
      </c>
      <c r="CY326" s="140" t="str">
        <f aca="false">IF($CP326&gt;$CO$8,"",VLOOKUP($CP326,$CR$9:$CX$508,7,FALSE()))</f>
        <v/>
      </c>
      <c r="CZ326" s="141" t="str">
        <f aca="false">IF($CP326&gt;$CO$8,"",VLOOKUP($CP326,$CR$9:$CX$508,2,FALSE()))</f>
        <v/>
      </c>
      <c r="DA326" s="141" t="str">
        <f aca="false">IF($CP326&gt;$CO$8,"",VLOOKUP($CP326,$CR$9:$CX$508,3,FALSE()))</f>
        <v/>
      </c>
      <c r="DB326" s="141" t="str">
        <f aca="false">IF($CP326&gt;$CO$8,"",VLOOKUP($CP326,$CR$9:$CX$508,4,FALSE()))</f>
        <v/>
      </c>
      <c r="DC326" s="141" t="str">
        <f aca="false">IF($CP326&gt;$CO$8,"",VLOOKUP($CP326,$CR$9:$CX$508,5,FALSE()))</f>
        <v/>
      </c>
      <c r="DD326" s="142" t="str">
        <f aca="false">IF($CP326&gt;$CO$8,"",VLOOKUP($CP326,$CR$9:$CX$508,6,FALSE()))</f>
        <v/>
      </c>
      <c r="DE326" s="70"/>
    </row>
    <row r="327" customFormat="false" ht="15.75" hidden="false" customHeight="false" outlineLevel="0" collapsed="false">
      <c r="A327" s="8"/>
      <c r="B327" s="72"/>
      <c r="C327" s="73"/>
      <c r="D327" s="155"/>
      <c r="E327" s="162"/>
      <c r="F327" s="157"/>
      <c r="G327" s="77"/>
      <c r="H327" s="77"/>
      <c r="I327" s="77"/>
      <c r="J327" s="163"/>
      <c r="K327" s="161"/>
      <c r="L327" s="161"/>
      <c r="M327" s="80"/>
      <c r="N327" s="161"/>
      <c r="O327" s="160"/>
      <c r="P327" s="161"/>
      <c r="Q327" s="161"/>
      <c r="R327" s="161"/>
      <c r="S327" s="77"/>
      <c r="T327" s="161"/>
      <c r="U327" s="160"/>
      <c r="V327" s="161"/>
      <c r="W327" s="85"/>
      <c r="X327" s="86" t="str">
        <f aca="false">IF(ISBLANK($C327),"",IF($E327=Constants!$B$2,TRUE(),IF($E327=Constants!$B$3,FALSE(),TRUE())))</f>
        <v/>
      </c>
      <c r="Y327" s="86" t="str">
        <f aca="false">IF(ISBLANK($C327),"",IF($F327=Constants!$B$2,TRUE(),IF($F327=Constants!$B$3,FALSE(),TRUE())))</f>
        <v/>
      </c>
      <c r="Z327" s="87" t="str">
        <f aca="false">IF(ISBLANK($C327),"",IF(ISNUMBER($G327),IF($G327&gt;=0,$G327,""),""))</f>
        <v/>
      </c>
      <c r="AA327" s="87" t="str">
        <f aca="false">IF(ISBLANK($C327),"",IF(ISNUMBER($H327),IF($H327&gt;=0,$H327,""),""))</f>
        <v/>
      </c>
      <c r="AB327" s="87" t="str">
        <f aca="false">IF(ISBLANK($C327),"",IF(ISNUMBER($I327),IF($I327&gt;=0,$I327,""),""))</f>
        <v/>
      </c>
      <c r="AC327" s="86" t="str">
        <f aca="false">IF(ISBLANK($C327),"",IF($J327=Constants!$B$2,TRUE(),IF($J327=Constants!$B$3,FALSE(),TRUE())))</f>
        <v/>
      </c>
      <c r="AD327" s="86" t="str">
        <f aca="false">IF(ISBLANK($C327),"",IF($K327=Constants!$B$2,TRUE(),IF($K327=Constants!$B$3,FALSE(),TRUE())))</f>
        <v/>
      </c>
      <c r="AE327" s="86" t="str">
        <f aca="false">IF(ISBLANK($C327),"",IF($L327=Constants!$B$2,TRUE(),IF($L327=Constants!$B$3,FALSE(),TRUE())))</f>
        <v/>
      </c>
      <c r="AF327" s="88" t="str">
        <f aca="false">IF(ISBLANK($C327),"",IF(ISNUMBER($M327),IF($M327&gt;=0,$M327,""),""))</f>
        <v/>
      </c>
      <c r="AG327" s="86" t="str">
        <f aca="false">IF(ISBLANK($C327),"",IF(ISBLANK($N327),0,IF(ISNUMBER($N327),IF(AND($N327&gt;=0,$N327&lt;=Constants!$B$17,$N327=INT($N327)),$N327,""),"")))</f>
        <v/>
      </c>
      <c r="AH327" s="87" t="str">
        <f aca="false">IF(ISBLANK($C327),"",IF(ISBLANK($O327),0,IF(ISNUMBER($O327),IF($O327&gt;=0,$O327,""),"")))</f>
        <v/>
      </c>
      <c r="AI327" s="86" t="str">
        <f aca="false">IF(ISBLANK($C327),"",IF($P327=Constants!$B$2,TRUE(),IF($P327=Constants!$B$3,FALSE(),TRUE())))</f>
        <v/>
      </c>
      <c r="AJ327" s="86" t="str">
        <f aca="false">IF(ISBLANK($C327),"",IF($Q327=Constants!$B$2,TRUE(),IF($Q327=Constants!$B$3,FALSE(),TRUE())))</f>
        <v/>
      </c>
      <c r="AK327" s="86" t="str">
        <f aca="false">IF(ISBLANK($C327),"",IF($R327=Constants!$B$2,TRUE(),IF($R327=Constants!$B$3,FALSE(),TRUE())))</f>
        <v/>
      </c>
      <c r="AL327" s="88" t="str">
        <f aca="false">IF(ISBLANK($C327),"",IF(ISNUMBER($S327),IF($S327&gt;=0,$S327,""),""))</f>
        <v/>
      </c>
      <c r="AM327" s="86" t="str">
        <f aca="false">IF(ISBLANK($C327),"",IF(ISBLANK($T327),0,IF(ISNUMBER($T327),IF(AND($T327&gt;=0,$T327&lt;=Constants!$B$17,$T327=INT($T327)),$T327,""),"")))</f>
        <v/>
      </c>
      <c r="AN327" s="87" t="str">
        <f aca="false">IF(ISBLANK($C327),"",IF(ISBLANK($U327),0,IF(ISNUMBER($U327),IF($U327&gt;=0,$U327,""),"")))</f>
        <v/>
      </c>
      <c r="AO327" s="86" t="str">
        <f aca="false">IF(ISBLANK($C327),"",IF($V327=Constants!$B$2,TRUE(),IF($V327=Constants!$B$3,FALSE(),FALSE())))</f>
        <v/>
      </c>
      <c r="AP327" s="86"/>
      <c r="AQ327" s="85" t="str">
        <f aca="false">IF(ISBLANK($C327),"",AND($Y327,OR($AS327,$BC327),OR($Z327="",$AA327="",$AB327="")))</f>
        <v/>
      </c>
      <c r="AR327" s="85" t="str">
        <f aca="false">IF(ISBLANK($C327),"",IF(OR(NOT($Y327),NOT(OR($AS327,$BC327))),"",IF(ISBLANK($D$7),$AR$5,IF($AP$9="",$AR$6,""))))</f>
        <v/>
      </c>
      <c r="AS327" s="85" t="str">
        <f aca="false">IF(ISBLANK($C327),"",COUNTA($J327:$O327)&gt;0)</f>
        <v/>
      </c>
      <c r="AT327" s="85" t="str">
        <f aca="false">IF(ISBLANK($C327),"",AND($AS327,OR(AND($AF327="",OR($AE327,NOT(ISBLANK($M327)))),$AG327="",$AH327="")))</f>
        <v/>
      </c>
      <c r="AU327" s="87" t="str">
        <f aca="false">IF($BL327&lt;&gt;Constants!$B$4,"",IF(NOT($AS327),"",ROUND((Constants!$B$12-$AB327)+(Constants!$B$13-$Z327)+(Constants!$B$14-$AA327),1)))</f>
        <v/>
      </c>
      <c r="AV327" s="90" t="str">
        <f aca="false">IF($BL327&lt;&gt;Constants!$B$4,"",IF(NOT($AS327),"",IF(NOT($AE327),0,Constants!$B$15*(INT(ROUND(MIN($AF327,$AP$9),6))-INT(ROUND(MAX(0,MIN($AF327,2*$AP$9)-$AP$9),6))))))</f>
        <v/>
      </c>
      <c r="AW327" s="90" t="str">
        <f aca="false">IF($BL327&lt;&gt;Constants!$B$4,"",IF(NOT($AS327),"",Constants!$B$16*$AG327))</f>
        <v/>
      </c>
      <c r="AX327" s="90" t="str">
        <f aca="false">IF($BL327&lt;&gt;Constants!$B$4,"",IF(NOT($AS327),"",Constants!$B$18*INT(ROUND($AH327,6))))</f>
        <v/>
      </c>
      <c r="AY327" s="85" t="str">
        <f aca="false">IF($BL327&lt;&gt;Constants!$B$4,"",IF(NOT($AS327),"",IF(NOT($X327),Constants!$B$11,IF(OR(NOT($AC327),NOT($AD327),ROUND($AB327,1)&gt;Constants!$B$12,ROUND($Z327,1)&gt;Constants!$B$13,ROUND($AA327,1)&gt;Constants!$B$14),Constants!$B$10,Constants!$B$9))))</f>
        <v/>
      </c>
      <c r="AZ327" s="91" t="str">
        <f aca="false">IF($BL327&lt;&gt;Constants!$B$4,"",IF(NOT($AS327),"",ROUND($AU327+$AV327+$AW327+$AX327,1)))</f>
        <v/>
      </c>
      <c r="BA327" s="92" t="str">
        <f aca="false">IF($BL327&lt;&gt;Constants!$B$4,"",IF(NOT($AS327),"",IF(ISNUMBER($AF327),$AF327,0)))</f>
        <v/>
      </c>
      <c r="BB327" s="86" t="str">
        <f aca="false">IF($BL327&lt;&gt;Constants!$B$4,"",IF(NOT($BC327),"&lt;-",IF(NOT($AS327),"-&gt;",IF(OR($BI327&lt;$AY327,AND($BI327=$AY327,OR($BJ327&gt;$AZ327,AND($BJ327=$AZ327,OR($BH327&gt;$AX327,AND($BH327=$AX327,OR($BE327&gt;$AU327,AND($BE327=$AU327,OR($BF327&gt;$AV327,AND($BF327=$AV327,$BK327&gt;$BA327)))))))))),"-&gt;","&lt;-"))))</f>
        <v/>
      </c>
      <c r="BC327" s="85" t="str">
        <f aca="false">IF(ISBLANK($C327),"",COUNTA($P327:$U327)&gt;0)</f>
        <v/>
      </c>
      <c r="BD327" s="85" t="str">
        <f aca="false">IF(ISBLANK($C327),"",AND($BC327,OR(AND($AL327="",OR($AK327,NOT(ISBLANK($S327)))),$AM327="",$AN327="")))</f>
        <v/>
      </c>
      <c r="BE327" s="87" t="str">
        <f aca="false">IF($BL327&lt;&gt;Constants!$B$4,"",IF(NOT($BC327),"",ROUND((Constants!$B$12-$AB327)+(Constants!$B$13-$Z327)+(Constants!$B$14-$AA327),1)))</f>
        <v/>
      </c>
      <c r="BF327" s="90" t="str">
        <f aca="false">IF($BL327&lt;&gt;Constants!$B$4,"",IF(NOT($BC327),"",IF(NOT($AK327),0,Constants!$B$15*(INT(ROUND(MIN($AL327,$AP$9),6))-INT(ROUND(MAX(0,MIN($AL327,2*$AP$9)-$AP$9),6))))))</f>
        <v/>
      </c>
      <c r="BG327" s="90" t="str">
        <f aca="false">IF($BL327&lt;&gt;Constants!$B$4,"",IF(NOT($BC327),"",Constants!$B$16*$AM327))</f>
        <v/>
      </c>
      <c r="BH327" s="90" t="str">
        <f aca="false">IF($BL327&lt;&gt;Constants!$B$4,"",IF(NOT($BC327),"",Constants!$B$18*INT(ROUND($AN327,6))))</f>
        <v/>
      </c>
      <c r="BI327" s="85" t="str">
        <f aca="false">IF($BL327&lt;&gt;Constants!$B$4,"",IF(NOT($BC327),"",IF(NOT($X327),Constants!$B$11,IF(OR(NOT($AI327),NOT($AJ327),ROUND($AB327,1)&gt;Constants!$B$12,ROUND($Z327,1)&gt;Constants!$B$13,ROUND($AA327,1)&gt;Constants!$B$14),Constants!$B$10,Constants!$B$9))))</f>
        <v/>
      </c>
      <c r="BJ327" s="91" t="str">
        <f aca="false">IF($BL327&lt;&gt;Constants!$B$4,"",IF(NOT($BC327),"",ROUND($BE327+$BF327+$BG327+$BH327,1)))</f>
        <v/>
      </c>
      <c r="BK327" s="92" t="str">
        <f aca="false">IF($BL327&lt;&gt;Constants!$B$4,"",IF(NOT($BC327),"",IF(ISNUMBER($AL327),$AL327,0)))</f>
        <v/>
      </c>
      <c r="BL327" s="86" t="str">
        <f aca="false">IF(ISBLANK($C327),"",IF($AO327,Constants!$B$7,IF(COUNTA($E327:$V327)=0,Constants!$B$6,IF(NOT($Y327),Constants!$B$5,IF(NOT(OR($AS327,$BC327)),Constants!$B$5,IF(OR($AT327,$BD327,$AQ327,$AR327&lt;&gt;""),Constants!$B$8,Constants!$B$4))))))</f>
        <v/>
      </c>
      <c r="BM327" s="86" t="str">
        <f aca="false">IF(ISBLANK($C327),"",IF($BL327&lt;&gt;Constants!$B$4,$BL327,IF($BB327="-&gt;",$BI327,$AY327)))</f>
        <v/>
      </c>
      <c r="BN327" s="90" t="str">
        <f aca="false">IF($BL327&lt;&gt;Constants!$B$4,"",IF($BB327="-&gt;",$BJ327,$AZ327))</f>
        <v/>
      </c>
      <c r="BO327" s="90" t="str">
        <f aca="false">IF(ISBLANK($C327),"",IF($BL327&lt;&gt;Constants!$B$4,$BL327,$BN327))</f>
        <v/>
      </c>
      <c r="BP327" s="86" t="str">
        <f aca="false">IF(ISBLANK($C327),"",IF($BL327&lt;&gt;Constants!$B$4,$BL327,RANK($BO327,$BO$9:$BO$508,0)))</f>
        <v/>
      </c>
      <c r="BQ327" s="86" t="str">
        <f aca="false">IF(ISBLANK($C327),"",IF($BL327&lt;&gt;Constants!$B$4,$BL327,COUNTIFS($BM$9:$BM$508,"&lt;"&amp;$BM327)+COUNTIFS($BM$9:$BM$508,$BM327,$BP$9:$BP$508,"&lt;"&amp;$BP327)+1))</f>
        <v/>
      </c>
      <c r="BR327" s="90" t="str">
        <f aca="false">IF($BL327&lt;&gt;Constants!$B$4,"",IF($BB327="-&gt;",$BH327,$AX327))</f>
        <v/>
      </c>
      <c r="BS327" s="86" t="str">
        <f aca="false">IF(ISBLANK($C327),"",IF($BL327&lt;&gt;Constants!$B$4,$BL327,IF(ISNUMBER($BR327),RANK($BR327,$BR$9:$BR$508,0),COUNT($BR$9:$BR$508)+1)))</f>
        <v/>
      </c>
      <c r="BT327" s="90" t="str">
        <f aca="false">IF($BL327&lt;&gt;Constants!$B$4,"",IF($BB327="-&gt;",$BE327,$AU327))</f>
        <v/>
      </c>
      <c r="BU327" s="86" t="str">
        <f aca="false">IF(ISBLANK($C327),"",IF($BL327&lt;&gt;Constants!$B$4,$BL327,IF(ISNUMBER($BT327),RANK($BT327,$BT$9:$BT$508,0),COUNT($BT$9:$BT$508)+1)))</f>
        <v/>
      </c>
      <c r="BV327" s="90" t="str">
        <f aca="false">IF($BL327&lt;&gt;Constants!$B$4,"",IF($BB327="-&gt;",$BF327,$AV327))</f>
        <v/>
      </c>
      <c r="BW327" s="86" t="str">
        <f aca="false">IF(ISBLANK($C327),"",IF($BL327&lt;&gt;Constants!$B$4,$BL327,IF(ISNUMBER($BV327),RANK($BV327,$BV$9:$BV$508,0),COUNT($BV$9:$BV$508)+1)))</f>
        <v/>
      </c>
      <c r="BX327" s="90" t="str">
        <f aca="false">IF($BL327&lt;&gt;Constants!$B$4,"",IF($BB327="-&gt;",$BK327,$BA327))</f>
        <v/>
      </c>
      <c r="BY327" s="86" t="str">
        <f aca="false">IF(ISBLANK($C327),"",IF($BL327&lt;&gt;Constants!$B$4,$BL327,IF(ISNUMBER($BX327),RANK($BX327,$BX$9:$BX$508,0),COUNT($BX$9:$BX$508)+1)))</f>
        <v/>
      </c>
      <c r="BZ327" s="86" t="str">
        <f aca="false">IF(ISBLANK($C327),"",IF($BL327&lt;&gt;Constants!$B$4,$BL327,COUNTIFS($BM$9:$BM$508,"&lt;"&amp;$BM327)+COUNTIFS($BM$9:$BM$508,$BM327,$BP$9:$BP$508,"&lt;"&amp;$BP327)+COUNTIFS($BM$9:$BM$508,$BM327,$BP$9:$BP$508,$BP327,$BS$9:$BS$508,"&lt;"&amp;$BS327)+COUNTIFS($BM$9:$BM$508,$BM327,$BP$9:$BP$508,$BP327,$BS$9:$BS$508,$BS327,$BU$9:$BU$508,"&lt;"&amp;$BU327)+COUNTIFS($BM$9:$BM$508,$BM327,$BP$9:$BP$508,$BP327,$BS$9:$BS$508,$BS327,$BU$9:$BU$508,$BU327,$BW$9:$BW$508,"&lt;"&amp;$BW327)+COUNTIFS($BM$9:$BM$508,$BM327,$BP$9:$BP$508,$BP327,$BS$9:$BS$508,$BS327,$BU$9:$BU$508,$BU327,$BW$9:$BW$508,$BW327,$BY$9:$BY$508,"&lt;"&amp;$BY327)+1))</f>
        <v/>
      </c>
      <c r="CA327" s="86" t="str">
        <f aca="false">IF(ISBLANK($C327),"",IF($BL327&lt;&gt;Constants!$B$4,$BL327,$BQ327-$BZ327))</f>
        <v/>
      </c>
      <c r="CB327" s="93"/>
      <c r="CC327" s="94" t="str">
        <f aca="false">IF(ISBLANK($C327),"",IF($BL327=Constants!$B$8,$AR327,""))</f>
        <v/>
      </c>
      <c r="CD327" s="94" t="str">
        <f aca="false">IF(ISBLANK($C327),"",IF($BL327&lt;&gt;Constants!$B$4,"",IF($BB327="-&gt;",2,1)))</f>
        <v/>
      </c>
      <c r="CE327" s="95" t="str">
        <f aca="false">IF(ISBLANK($C327),"",IF($BL327&lt;&gt;Constants!$B$4,"",IF($BB327="-&gt;",$BE327,$AU327)))</f>
        <v/>
      </c>
      <c r="CF327" s="95" t="str">
        <f aca="false">IF(ISBLANK($C327),"",IF($BL327&lt;&gt;Constants!$B$4,"",IF($BB327="-&gt;",$BF327,$AV327)))</f>
        <v/>
      </c>
      <c r="CG327" s="95" t="str">
        <f aca="false">IF(ISBLANK($C327),"",IF($BL327&lt;&gt;Constants!$B$4,"",IF($BB327="-&gt;",$BG327,$AW327)))</f>
        <v/>
      </c>
      <c r="CH327" s="95" t="str">
        <f aca="false">IF(ISBLANK($C327),"",IF($BL327&lt;&gt;Constants!$B$4,"",IF($BB327="-&gt;",$BH327,$AX327)))</f>
        <v/>
      </c>
      <c r="CI327" s="96" t="str">
        <f aca="false">IF(ISBLANK($C327),"",$BO327)</f>
        <v/>
      </c>
      <c r="CJ327" s="97" t="str">
        <f aca="false">IF(ISBLANK($C327),"",$BM327)</f>
        <v/>
      </c>
      <c r="CK327" s="98" t="str">
        <f aca="false">IF(ISBLANK($C327),"",$CA327)</f>
        <v/>
      </c>
      <c r="CL327" s="98" t="str">
        <f aca="false">IF(ISBLANK($C327),"",$BZ327)</f>
        <v/>
      </c>
      <c r="CM327" s="99" t="str">
        <f aca="false">IF(ISBLANK($C327),"",IF($CL327=Constants!$B$7,COUNTA($C$9:$C$508)+2,IF($CL327=Constants!$B$6,COUNTA($C$9:$C$508)+1,IF($CL327=Constants!$B$5,COUNTA($C$9:$C$508),$CL327))))</f>
        <v/>
      </c>
      <c r="CN327" s="8"/>
      <c r="CO327" s="100" t="n">
        <f aca="false">IF(OR(ISNUMBER($CL327),$CL327=Constants!$B$7,$CL327=Constants!$B$5,$CL327=Constants!$B$6),1,0)</f>
        <v>0</v>
      </c>
      <c r="CP327" s="100" t="n">
        <v>319</v>
      </c>
      <c r="CQ327" s="100" t="str">
        <f aca="false">IF(ISBLANK($C327),"",IF(ISNUMBER($CM327),$CM327+ROW($B327)/1000,""))</f>
        <v/>
      </c>
      <c r="CR327" s="100" t="str">
        <f aca="false">IF(ISNUMBER($CQ327),RANK($CQ327,$CQ$9:$CQ$508,1),"")</f>
        <v/>
      </c>
      <c r="CS327" s="100" t="str">
        <f aca="false">IF(ISBLANK($C327),"",$B327)</f>
        <v/>
      </c>
      <c r="CT327" s="100" t="str">
        <f aca="false">IF(ISBLANK($C327),"",$C327)</f>
        <v/>
      </c>
      <c r="CU327" s="100" t="str">
        <f aca="false">IF(ISBLANK($C327),"",$D327)</f>
        <v/>
      </c>
      <c r="CV327" s="101" t="str">
        <f aca="false">$CJ327</f>
        <v/>
      </c>
      <c r="CW327" s="102" t="str">
        <f aca="false">$CI327</f>
        <v/>
      </c>
      <c r="CX327" s="100" t="str">
        <f aca="false">IF(ISBLANK($C327),"",$CL327)</f>
        <v/>
      </c>
      <c r="CY327" s="103" t="str">
        <f aca="false">IF($CP327&gt;$CO$8,"",VLOOKUP($CP327,$CR$9:$CX$508,7,FALSE()))</f>
        <v/>
      </c>
      <c r="CZ327" s="104" t="str">
        <f aca="false">IF($CP327&gt;$CO$8,"",VLOOKUP($CP327,$CR$9:$CX$508,2,FALSE()))</f>
        <v/>
      </c>
      <c r="DA327" s="104" t="str">
        <f aca="false">IF($CP327&gt;$CO$8,"",VLOOKUP($CP327,$CR$9:$CX$508,3,FALSE()))</f>
        <v/>
      </c>
      <c r="DB327" s="104" t="str">
        <f aca="false">IF($CP327&gt;$CO$8,"",VLOOKUP($CP327,$CR$9:$CX$508,4,FALSE()))</f>
        <v/>
      </c>
      <c r="DC327" s="104" t="str">
        <f aca="false">IF($CP327&gt;$CO$8,"",VLOOKUP($CP327,$CR$9:$CX$508,5,FALSE()))</f>
        <v/>
      </c>
      <c r="DD327" s="105" t="str">
        <f aca="false">IF($CP327&gt;$CO$8,"",VLOOKUP($CP327,$CR$9:$CX$508,6,FALSE()))</f>
        <v/>
      </c>
      <c r="DE327" s="70"/>
    </row>
    <row r="328" customFormat="false" ht="15.75" hidden="false" customHeight="false" outlineLevel="0" collapsed="false">
      <c r="A328" s="8"/>
      <c r="B328" s="72"/>
      <c r="C328" s="73"/>
      <c r="D328" s="155"/>
      <c r="E328" s="162"/>
      <c r="F328" s="157"/>
      <c r="G328" s="77"/>
      <c r="H328" s="77"/>
      <c r="I328" s="77"/>
      <c r="J328" s="163"/>
      <c r="K328" s="161"/>
      <c r="L328" s="161"/>
      <c r="M328" s="80"/>
      <c r="N328" s="161"/>
      <c r="O328" s="160"/>
      <c r="P328" s="161"/>
      <c r="Q328" s="161"/>
      <c r="R328" s="161"/>
      <c r="S328" s="77"/>
      <c r="T328" s="161"/>
      <c r="U328" s="160"/>
      <c r="V328" s="161"/>
      <c r="W328" s="85"/>
      <c r="X328" s="86" t="str">
        <f aca="false">IF(ISBLANK($C328),"",IF($E328=Constants!$B$2,TRUE(),IF($E328=Constants!$B$3,FALSE(),TRUE())))</f>
        <v/>
      </c>
      <c r="Y328" s="86" t="str">
        <f aca="false">IF(ISBLANK($C328),"",IF($F328=Constants!$B$2,TRUE(),IF($F328=Constants!$B$3,FALSE(),TRUE())))</f>
        <v/>
      </c>
      <c r="Z328" s="87" t="str">
        <f aca="false">IF(ISBLANK($C328),"",IF(ISNUMBER($G328),IF($G328&gt;=0,$G328,""),""))</f>
        <v/>
      </c>
      <c r="AA328" s="87" t="str">
        <f aca="false">IF(ISBLANK($C328),"",IF(ISNUMBER($H328),IF($H328&gt;=0,$H328,""),""))</f>
        <v/>
      </c>
      <c r="AB328" s="87" t="str">
        <f aca="false">IF(ISBLANK($C328),"",IF(ISNUMBER($I328),IF($I328&gt;=0,$I328,""),""))</f>
        <v/>
      </c>
      <c r="AC328" s="86" t="str">
        <f aca="false">IF(ISBLANK($C328),"",IF($J328=Constants!$B$2,TRUE(),IF($J328=Constants!$B$3,FALSE(),TRUE())))</f>
        <v/>
      </c>
      <c r="AD328" s="86" t="str">
        <f aca="false">IF(ISBLANK($C328),"",IF($K328=Constants!$B$2,TRUE(),IF($K328=Constants!$B$3,FALSE(),TRUE())))</f>
        <v/>
      </c>
      <c r="AE328" s="86" t="str">
        <f aca="false">IF(ISBLANK($C328),"",IF($L328=Constants!$B$2,TRUE(),IF($L328=Constants!$B$3,FALSE(),TRUE())))</f>
        <v/>
      </c>
      <c r="AF328" s="88" t="str">
        <f aca="false">IF(ISBLANK($C328),"",IF(ISNUMBER($M328),IF($M328&gt;=0,$M328,""),""))</f>
        <v/>
      </c>
      <c r="AG328" s="86" t="str">
        <f aca="false">IF(ISBLANK($C328),"",IF(ISBLANK($N328),0,IF(ISNUMBER($N328),IF(AND($N328&gt;=0,$N328&lt;=Constants!$B$17,$N328=INT($N328)),$N328,""),"")))</f>
        <v/>
      </c>
      <c r="AH328" s="87" t="str">
        <f aca="false">IF(ISBLANK($C328),"",IF(ISBLANK($O328),0,IF(ISNUMBER($O328),IF($O328&gt;=0,$O328,""),"")))</f>
        <v/>
      </c>
      <c r="AI328" s="86" t="str">
        <f aca="false">IF(ISBLANK($C328),"",IF($P328=Constants!$B$2,TRUE(),IF($P328=Constants!$B$3,FALSE(),TRUE())))</f>
        <v/>
      </c>
      <c r="AJ328" s="86" t="str">
        <f aca="false">IF(ISBLANK($C328),"",IF($Q328=Constants!$B$2,TRUE(),IF($Q328=Constants!$B$3,FALSE(),TRUE())))</f>
        <v/>
      </c>
      <c r="AK328" s="86" t="str">
        <f aca="false">IF(ISBLANK($C328),"",IF($R328=Constants!$B$2,TRUE(),IF($R328=Constants!$B$3,FALSE(),TRUE())))</f>
        <v/>
      </c>
      <c r="AL328" s="88" t="str">
        <f aca="false">IF(ISBLANK($C328),"",IF(ISNUMBER($S328),IF($S328&gt;=0,$S328,""),""))</f>
        <v/>
      </c>
      <c r="AM328" s="86" t="str">
        <f aca="false">IF(ISBLANK($C328),"",IF(ISBLANK($T328),0,IF(ISNUMBER($T328),IF(AND($T328&gt;=0,$T328&lt;=Constants!$B$17,$T328=INT($T328)),$T328,""),"")))</f>
        <v/>
      </c>
      <c r="AN328" s="87" t="str">
        <f aca="false">IF(ISBLANK($C328),"",IF(ISBLANK($U328),0,IF(ISNUMBER($U328),IF($U328&gt;=0,$U328,""),"")))</f>
        <v/>
      </c>
      <c r="AO328" s="86" t="str">
        <f aca="false">IF(ISBLANK($C328),"",IF($V328=Constants!$B$2,TRUE(),IF($V328=Constants!$B$3,FALSE(),FALSE())))</f>
        <v/>
      </c>
      <c r="AP328" s="86"/>
      <c r="AQ328" s="85" t="str">
        <f aca="false">IF(ISBLANK($C328),"",AND($Y328,OR($AS328,$BC328),OR($Z328="",$AA328="",$AB328="")))</f>
        <v/>
      </c>
      <c r="AR328" s="85" t="str">
        <f aca="false">IF(ISBLANK($C328),"",IF(OR(NOT($Y328),NOT(OR($AS328,$BC328))),"",IF(ISBLANK($D$7),$AR$5,IF($AP$9="",$AR$6,""))))</f>
        <v/>
      </c>
      <c r="AS328" s="85" t="str">
        <f aca="false">IF(ISBLANK($C328),"",COUNTA($J328:$O328)&gt;0)</f>
        <v/>
      </c>
      <c r="AT328" s="85" t="str">
        <f aca="false">IF(ISBLANK($C328),"",AND($AS328,OR(AND($AF328="",OR($AE328,NOT(ISBLANK($M328)))),$AG328="",$AH328="")))</f>
        <v/>
      </c>
      <c r="AU328" s="87" t="str">
        <f aca="false">IF($BL328&lt;&gt;Constants!$B$4,"",IF(NOT($AS328),"",ROUND((Constants!$B$12-$AB328)+(Constants!$B$13-$Z328)+(Constants!$B$14-$AA328),1)))</f>
        <v/>
      </c>
      <c r="AV328" s="90" t="str">
        <f aca="false">IF($BL328&lt;&gt;Constants!$B$4,"",IF(NOT($AS328),"",IF(NOT($AE328),0,Constants!$B$15*(INT(ROUND(MIN($AF328,$AP$9),6))-INT(ROUND(MAX(0,MIN($AF328,2*$AP$9)-$AP$9),6))))))</f>
        <v/>
      </c>
      <c r="AW328" s="90" t="str">
        <f aca="false">IF($BL328&lt;&gt;Constants!$B$4,"",IF(NOT($AS328),"",Constants!$B$16*$AG328))</f>
        <v/>
      </c>
      <c r="AX328" s="90" t="str">
        <f aca="false">IF($BL328&lt;&gt;Constants!$B$4,"",IF(NOT($AS328),"",Constants!$B$18*INT(ROUND($AH328,6))))</f>
        <v/>
      </c>
      <c r="AY328" s="85" t="str">
        <f aca="false">IF($BL328&lt;&gt;Constants!$B$4,"",IF(NOT($AS328),"",IF(NOT($X328),Constants!$B$11,IF(OR(NOT($AC328),NOT($AD328),ROUND($AB328,1)&gt;Constants!$B$12,ROUND($Z328,1)&gt;Constants!$B$13,ROUND($AA328,1)&gt;Constants!$B$14),Constants!$B$10,Constants!$B$9))))</f>
        <v/>
      </c>
      <c r="AZ328" s="91" t="str">
        <f aca="false">IF($BL328&lt;&gt;Constants!$B$4,"",IF(NOT($AS328),"",ROUND($AU328+$AV328+$AW328+$AX328,1)))</f>
        <v/>
      </c>
      <c r="BA328" s="92" t="str">
        <f aca="false">IF($BL328&lt;&gt;Constants!$B$4,"",IF(NOT($AS328),"",IF(ISNUMBER($AF328),$AF328,0)))</f>
        <v/>
      </c>
      <c r="BB328" s="86" t="str">
        <f aca="false">IF($BL328&lt;&gt;Constants!$B$4,"",IF(NOT($BC328),"&lt;-",IF(NOT($AS328),"-&gt;",IF(OR($BI328&lt;$AY328,AND($BI328=$AY328,OR($BJ328&gt;$AZ328,AND($BJ328=$AZ328,OR($BH328&gt;$AX328,AND($BH328=$AX328,OR($BE328&gt;$AU328,AND($BE328=$AU328,OR($BF328&gt;$AV328,AND($BF328=$AV328,$BK328&gt;$BA328)))))))))),"-&gt;","&lt;-"))))</f>
        <v/>
      </c>
      <c r="BC328" s="85" t="str">
        <f aca="false">IF(ISBLANK($C328),"",COUNTA($P328:$U328)&gt;0)</f>
        <v/>
      </c>
      <c r="BD328" s="85" t="str">
        <f aca="false">IF(ISBLANK($C328),"",AND($BC328,OR(AND($AL328="",OR($AK328,NOT(ISBLANK($S328)))),$AM328="",$AN328="")))</f>
        <v/>
      </c>
      <c r="BE328" s="87" t="str">
        <f aca="false">IF($BL328&lt;&gt;Constants!$B$4,"",IF(NOT($BC328),"",ROUND((Constants!$B$12-$AB328)+(Constants!$B$13-$Z328)+(Constants!$B$14-$AA328),1)))</f>
        <v/>
      </c>
      <c r="BF328" s="90" t="str">
        <f aca="false">IF($BL328&lt;&gt;Constants!$B$4,"",IF(NOT($BC328),"",IF(NOT($AK328),0,Constants!$B$15*(INT(ROUND(MIN($AL328,$AP$9),6))-INT(ROUND(MAX(0,MIN($AL328,2*$AP$9)-$AP$9),6))))))</f>
        <v/>
      </c>
      <c r="BG328" s="90" t="str">
        <f aca="false">IF($BL328&lt;&gt;Constants!$B$4,"",IF(NOT($BC328),"",Constants!$B$16*$AM328))</f>
        <v/>
      </c>
      <c r="BH328" s="90" t="str">
        <f aca="false">IF($BL328&lt;&gt;Constants!$B$4,"",IF(NOT($BC328),"",Constants!$B$18*INT(ROUND($AN328,6))))</f>
        <v/>
      </c>
      <c r="BI328" s="85" t="str">
        <f aca="false">IF($BL328&lt;&gt;Constants!$B$4,"",IF(NOT($BC328),"",IF(NOT($X328),Constants!$B$11,IF(OR(NOT($AI328),NOT($AJ328),ROUND($AB328,1)&gt;Constants!$B$12,ROUND($Z328,1)&gt;Constants!$B$13,ROUND($AA328,1)&gt;Constants!$B$14),Constants!$B$10,Constants!$B$9))))</f>
        <v/>
      </c>
      <c r="BJ328" s="91" t="str">
        <f aca="false">IF($BL328&lt;&gt;Constants!$B$4,"",IF(NOT($BC328),"",ROUND($BE328+$BF328+$BG328+$BH328,1)))</f>
        <v/>
      </c>
      <c r="BK328" s="92" t="str">
        <f aca="false">IF($BL328&lt;&gt;Constants!$B$4,"",IF(NOT($BC328),"",IF(ISNUMBER($AL328),$AL328,0)))</f>
        <v/>
      </c>
      <c r="BL328" s="86" t="str">
        <f aca="false">IF(ISBLANK($C328),"",IF($AO328,Constants!$B$7,IF(COUNTA($E328:$V328)=0,Constants!$B$6,IF(NOT($Y328),Constants!$B$5,IF(NOT(OR($AS328,$BC328)),Constants!$B$5,IF(OR($AT328,$BD328,$AQ328,$AR328&lt;&gt;""),Constants!$B$8,Constants!$B$4))))))</f>
        <v/>
      </c>
      <c r="BM328" s="86" t="str">
        <f aca="false">IF(ISBLANK($C328),"",IF($BL328&lt;&gt;Constants!$B$4,$BL328,IF($BB328="-&gt;",$BI328,$AY328)))</f>
        <v/>
      </c>
      <c r="BN328" s="90" t="str">
        <f aca="false">IF($BL328&lt;&gt;Constants!$B$4,"",IF($BB328="-&gt;",$BJ328,$AZ328))</f>
        <v/>
      </c>
      <c r="BO328" s="90" t="str">
        <f aca="false">IF(ISBLANK($C328),"",IF($BL328&lt;&gt;Constants!$B$4,$BL328,$BN328))</f>
        <v/>
      </c>
      <c r="BP328" s="86" t="str">
        <f aca="false">IF(ISBLANK($C328),"",IF($BL328&lt;&gt;Constants!$B$4,$BL328,RANK($BO328,$BO$9:$BO$508,0)))</f>
        <v/>
      </c>
      <c r="BQ328" s="86" t="str">
        <f aca="false">IF(ISBLANK($C328),"",IF($BL328&lt;&gt;Constants!$B$4,$BL328,COUNTIFS($BM$9:$BM$508,"&lt;"&amp;$BM328)+COUNTIFS($BM$9:$BM$508,$BM328,$BP$9:$BP$508,"&lt;"&amp;$BP328)+1))</f>
        <v/>
      </c>
      <c r="BR328" s="90" t="str">
        <f aca="false">IF($BL328&lt;&gt;Constants!$B$4,"",IF($BB328="-&gt;",$BH328,$AX328))</f>
        <v/>
      </c>
      <c r="BS328" s="86" t="str">
        <f aca="false">IF(ISBLANK($C328),"",IF($BL328&lt;&gt;Constants!$B$4,$BL328,IF(ISNUMBER($BR328),RANK($BR328,$BR$9:$BR$508,0),COUNT($BR$9:$BR$508)+1)))</f>
        <v/>
      </c>
      <c r="BT328" s="90" t="str">
        <f aca="false">IF($BL328&lt;&gt;Constants!$B$4,"",IF($BB328="-&gt;",$BE328,$AU328))</f>
        <v/>
      </c>
      <c r="BU328" s="86" t="str">
        <f aca="false">IF(ISBLANK($C328),"",IF($BL328&lt;&gt;Constants!$B$4,$BL328,IF(ISNUMBER($BT328),RANK($BT328,$BT$9:$BT$508,0),COUNT($BT$9:$BT$508)+1)))</f>
        <v/>
      </c>
      <c r="BV328" s="90" t="str">
        <f aca="false">IF($BL328&lt;&gt;Constants!$B$4,"",IF($BB328="-&gt;",$BF328,$AV328))</f>
        <v/>
      </c>
      <c r="BW328" s="86" t="str">
        <f aca="false">IF(ISBLANK($C328),"",IF($BL328&lt;&gt;Constants!$B$4,$BL328,IF(ISNUMBER($BV328),RANK($BV328,$BV$9:$BV$508,0),COUNT($BV$9:$BV$508)+1)))</f>
        <v/>
      </c>
      <c r="BX328" s="90" t="str">
        <f aca="false">IF($BL328&lt;&gt;Constants!$B$4,"",IF($BB328="-&gt;",$BK328,$BA328))</f>
        <v/>
      </c>
      <c r="BY328" s="86" t="str">
        <f aca="false">IF(ISBLANK($C328),"",IF($BL328&lt;&gt;Constants!$B$4,$BL328,IF(ISNUMBER($BX328),RANK($BX328,$BX$9:$BX$508,0),COUNT($BX$9:$BX$508)+1)))</f>
        <v/>
      </c>
      <c r="BZ328" s="86" t="str">
        <f aca="false">IF(ISBLANK($C328),"",IF($BL328&lt;&gt;Constants!$B$4,$BL328,COUNTIFS($BM$9:$BM$508,"&lt;"&amp;$BM328)+COUNTIFS($BM$9:$BM$508,$BM328,$BP$9:$BP$508,"&lt;"&amp;$BP328)+COUNTIFS($BM$9:$BM$508,$BM328,$BP$9:$BP$508,$BP328,$BS$9:$BS$508,"&lt;"&amp;$BS328)+COUNTIFS($BM$9:$BM$508,$BM328,$BP$9:$BP$508,$BP328,$BS$9:$BS$508,$BS328,$BU$9:$BU$508,"&lt;"&amp;$BU328)+COUNTIFS($BM$9:$BM$508,$BM328,$BP$9:$BP$508,$BP328,$BS$9:$BS$508,$BS328,$BU$9:$BU$508,$BU328,$BW$9:$BW$508,"&lt;"&amp;$BW328)+COUNTIFS($BM$9:$BM$508,$BM328,$BP$9:$BP$508,$BP328,$BS$9:$BS$508,$BS328,$BU$9:$BU$508,$BU328,$BW$9:$BW$508,$BW328,$BY$9:$BY$508,"&lt;"&amp;$BY328)+1))</f>
        <v/>
      </c>
      <c r="CA328" s="86" t="str">
        <f aca="false">IF(ISBLANK($C328),"",IF($BL328&lt;&gt;Constants!$B$4,$BL328,$BQ328-$BZ328))</f>
        <v/>
      </c>
      <c r="CB328" s="93"/>
      <c r="CC328" s="94" t="str">
        <f aca="false">IF(ISBLANK($C328),"",IF($BL328=Constants!$B$8,$AR328,""))</f>
        <v/>
      </c>
      <c r="CD328" s="94" t="str">
        <f aca="false">IF(ISBLANK($C328),"",IF($BL328&lt;&gt;Constants!$B$4,"",IF($BB328="-&gt;",2,1)))</f>
        <v/>
      </c>
      <c r="CE328" s="95" t="str">
        <f aca="false">IF(ISBLANK($C328),"",IF($BL328&lt;&gt;Constants!$B$4,"",IF($BB328="-&gt;",$BE328,$AU328)))</f>
        <v/>
      </c>
      <c r="CF328" s="95" t="str">
        <f aca="false">IF(ISBLANK($C328),"",IF($BL328&lt;&gt;Constants!$B$4,"",IF($BB328="-&gt;",$BF328,$AV328)))</f>
        <v/>
      </c>
      <c r="CG328" s="95" t="str">
        <f aca="false">IF(ISBLANK($C328),"",IF($BL328&lt;&gt;Constants!$B$4,"",IF($BB328="-&gt;",$BG328,$AW328)))</f>
        <v/>
      </c>
      <c r="CH328" s="95" t="str">
        <f aca="false">IF(ISBLANK($C328),"",IF($BL328&lt;&gt;Constants!$B$4,"",IF($BB328="-&gt;",$BH328,$AX328)))</f>
        <v/>
      </c>
      <c r="CI328" s="96" t="str">
        <f aca="false">IF(ISBLANK($C328),"",$BO328)</f>
        <v/>
      </c>
      <c r="CJ328" s="97" t="str">
        <f aca="false">IF(ISBLANK($C328),"",$BM328)</f>
        <v/>
      </c>
      <c r="CK328" s="98" t="str">
        <f aca="false">IF(ISBLANK($C328),"",$CA328)</f>
        <v/>
      </c>
      <c r="CL328" s="98" t="str">
        <f aca="false">IF(ISBLANK($C328),"",$BZ328)</f>
        <v/>
      </c>
      <c r="CM328" s="99" t="str">
        <f aca="false">IF(ISBLANK($C328),"",IF($CL328=Constants!$B$7,COUNTA($C$9:$C$508)+2,IF($CL328=Constants!$B$6,COUNTA($C$9:$C$508)+1,IF($CL328=Constants!$B$5,COUNTA($C$9:$C$508),$CL328))))</f>
        <v/>
      </c>
      <c r="CN328" s="8"/>
      <c r="CO328" s="100" t="n">
        <f aca="false">IF(OR(ISNUMBER($CL328),$CL328=Constants!$B$7,$CL328=Constants!$B$5,$CL328=Constants!$B$6),1,0)</f>
        <v>0</v>
      </c>
      <c r="CP328" s="100" t="n">
        <v>320</v>
      </c>
      <c r="CQ328" s="100" t="str">
        <f aca="false">IF(ISBLANK($C328),"",IF(ISNUMBER($CM328),$CM328+ROW($B328)/1000,""))</f>
        <v/>
      </c>
      <c r="CR328" s="100" t="str">
        <f aca="false">IF(ISNUMBER($CQ328),RANK($CQ328,$CQ$9:$CQ$508,1),"")</f>
        <v/>
      </c>
      <c r="CS328" s="100" t="str">
        <f aca="false">IF(ISBLANK($C328),"",$B328)</f>
        <v/>
      </c>
      <c r="CT328" s="100" t="str">
        <f aca="false">IF(ISBLANK($C328),"",$C328)</f>
        <v/>
      </c>
      <c r="CU328" s="100" t="str">
        <f aca="false">IF(ISBLANK($C328),"",$D328)</f>
        <v/>
      </c>
      <c r="CV328" s="101" t="str">
        <f aca="false">$CJ328</f>
        <v/>
      </c>
      <c r="CW328" s="102" t="str">
        <f aca="false">$CI328</f>
        <v/>
      </c>
      <c r="CX328" s="100" t="str">
        <f aca="false">IF(ISBLANK($C328),"",$CL328)</f>
        <v/>
      </c>
      <c r="CY328" s="103" t="str">
        <f aca="false">IF($CP328&gt;$CO$8,"",VLOOKUP($CP328,$CR$9:$CX$508,7,FALSE()))</f>
        <v/>
      </c>
      <c r="CZ328" s="104" t="str">
        <f aca="false">IF($CP328&gt;$CO$8,"",VLOOKUP($CP328,$CR$9:$CX$508,2,FALSE()))</f>
        <v/>
      </c>
      <c r="DA328" s="104" t="str">
        <f aca="false">IF($CP328&gt;$CO$8,"",VLOOKUP($CP328,$CR$9:$CX$508,3,FALSE()))</f>
        <v/>
      </c>
      <c r="DB328" s="104" t="str">
        <f aca="false">IF($CP328&gt;$CO$8,"",VLOOKUP($CP328,$CR$9:$CX$508,4,FALSE()))</f>
        <v/>
      </c>
      <c r="DC328" s="104" t="str">
        <f aca="false">IF($CP328&gt;$CO$8,"",VLOOKUP($CP328,$CR$9:$CX$508,5,FALSE()))</f>
        <v/>
      </c>
      <c r="DD328" s="105" t="str">
        <f aca="false">IF($CP328&gt;$CO$8,"",VLOOKUP($CP328,$CR$9:$CX$508,6,FALSE()))</f>
        <v/>
      </c>
      <c r="DE328" s="70"/>
    </row>
    <row r="329" customFormat="false" ht="15.75" hidden="false" customHeight="false" outlineLevel="0" collapsed="false">
      <c r="A329" s="8"/>
      <c r="B329" s="72"/>
      <c r="C329" s="73"/>
      <c r="D329" s="155"/>
      <c r="E329" s="162"/>
      <c r="F329" s="157"/>
      <c r="G329" s="77"/>
      <c r="H329" s="77"/>
      <c r="I329" s="77"/>
      <c r="J329" s="163"/>
      <c r="K329" s="161"/>
      <c r="L329" s="161"/>
      <c r="M329" s="80"/>
      <c r="N329" s="161"/>
      <c r="O329" s="160"/>
      <c r="P329" s="161"/>
      <c r="Q329" s="161"/>
      <c r="R329" s="161"/>
      <c r="S329" s="77"/>
      <c r="T329" s="161"/>
      <c r="U329" s="160"/>
      <c r="V329" s="161"/>
      <c r="W329" s="85"/>
      <c r="X329" s="86" t="str">
        <f aca="false">IF(ISBLANK($C329),"",IF($E329=Constants!$B$2,TRUE(),IF($E329=Constants!$B$3,FALSE(),TRUE())))</f>
        <v/>
      </c>
      <c r="Y329" s="86" t="str">
        <f aca="false">IF(ISBLANK($C329),"",IF($F329=Constants!$B$2,TRUE(),IF($F329=Constants!$B$3,FALSE(),TRUE())))</f>
        <v/>
      </c>
      <c r="Z329" s="87" t="str">
        <f aca="false">IF(ISBLANK($C329),"",IF(ISNUMBER($G329),IF($G329&gt;=0,$G329,""),""))</f>
        <v/>
      </c>
      <c r="AA329" s="87" t="str">
        <f aca="false">IF(ISBLANK($C329),"",IF(ISNUMBER($H329),IF($H329&gt;=0,$H329,""),""))</f>
        <v/>
      </c>
      <c r="AB329" s="87" t="str">
        <f aca="false">IF(ISBLANK($C329),"",IF(ISNUMBER($I329),IF($I329&gt;=0,$I329,""),""))</f>
        <v/>
      </c>
      <c r="AC329" s="86" t="str">
        <f aca="false">IF(ISBLANK($C329),"",IF($J329=Constants!$B$2,TRUE(),IF($J329=Constants!$B$3,FALSE(),TRUE())))</f>
        <v/>
      </c>
      <c r="AD329" s="86" t="str">
        <f aca="false">IF(ISBLANK($C329),"",IF($K329=Constants!$B$2,TRUE(),IF($K329=Constants!$B$3,FALSE(),TRUE())))</f>
        <v/>
      </c>
      <c r="AE329" s="86" t="str">
        <f aca="false">IF(ISBLANK($C329),"",IF($L329=Constants!$B$2,TRUE(),IF($L329=Constants!$B$3,FALSE(),TRUE())))</f>
        <v/>
      </c>
      <c r="AF329" s="88" t="str">
        <f aca="false">IF(ISBLANK($C329),"",IF(ISNUMBER($M329),IF($M329&gt;=0,$M329,""),""))</f>
        <v/>
      </c>
      <c r="AG329" s="86" t="str">
        <f aca="false">IF(ISBLANK($C329),"",IF(ISBLANK($N329),0,IF(ISNUMBER($N329),IF(AND($N329&gt;=0,$N329&lt;=Constants!$B$17,$N329=INT($N329)),$N329,""),"")))</f>
        <v/>
      </c>
      <c r="AH329" s="87" t="str">
        <f aca="false">IF(ISBLANK($C329),"",IF(ISBLANK($O329),0,IF(ISNUMBER($O329),IF($O329&gt;=0,$O329,""),"")))</f>
        <v/>
      </c>
      <c r="AI329" s="86" t="str">
        <f aca="false">IF(ISBLANK($C329),"",IF($P329=Constants!$B$2,TRUE(),IF($P329=Constants!$B$3,FALSE(),TRUE())))</f>
        <v/>
      </c>
      <c r="AJ329" s="86" t="str">
        <f aca="false">IF(ISBLANK($C329),"",IF($Q329=Constants!$B$2,TRUE(),IF($Q329=Constants!$B$3,FALSE(),TRUE())))</f>
        <v/>
      </c>
      <c r="AK329" s="86" t="str">
        <f aca="false">IF(ISBLANK($C329),"",IF($R329=Constants!$B$2,TRUE(),IF($R329=Constants!$B$3,FALSE(),TRUE())))</f>
        <v/>
      </c>
      <c r="AL329" s="88" t="str">
        <f aca="false">IF(ISBLANK($C329),"",IF(ISNUMBER($S329),IF($S329&gt;=0,$S329,""),""))</f>
        <v/>
      </c>
      <c r="AM329" s="86" t="str">
        <f aca="false">IF(ISBLANK($C329),"",IF(ISBLANK($T329),0,IF(ISNUMBER($T329),IF(AND($T329&gt;=0,$T329&lt;=Constants!$B$17,$T329=INT($T329)),$T329,""),"")))</f>
        <v/>
      </c>
      <c r="AN329" s="87" t="str">
        <f aca="false">IF(ISBLANK($C329),"",IF(ISBLANK($U329),0,IF(ISNUMBER($U329),IF($U329&gt;=0,$U329,""),"")))</f>
        <v/>
      </c>
      <c r="AO329" s="86" t="str">
        <f aca="false">IF(ISBLANK($C329),"",IF($V329=Constants!$B$2,TRUE(),IF($V329=Constants!$B$3,FALSE(),FALSE())))</f>
        <v/>
      </c>
      <c r="AP329" s="86"/>
      <c r="AQ329" s="85" t="str">
        <f aca="false">IF(ISBLANK($C329),"",AND($Y329,OR($AS329,$BC329),OR($Z329="",$AA329="",$AB329="")))</f>
        <v/>
      </c>
      <c r="AR329" s="85" t="str">
        <f aca="false">IF(ISBLANK($C329),"",IF(OR(NOT($Y329),NOT(OR($AS329,$BC329))),"",IF(ISBLANK($D$7),$AR$5,IF($AP$9="",$AR$6,""))))</f>
        <v/>
      </c>
      <c r="AS329" s="85" t="str">
        <f aca="false">IF(ISBLANK($C329),"",COUNTA($J329:$O329)&gt;0)</f>
        <v/>
      </c>
      <c r="AT329" s="85" t="str">
        <f aca="false">IF(ISBLANK($C329),"",AND($AS329,OR(AND($AF329="",OR($AE329,NOT(ISBLANK($M329)))),$AG329="",$AH329="")))</f>
        <v/>
      </c>
      <c r="AU329" s="87" t="str">
        <f aca="false">IF($BL329&lt;&gt;Constants!$B$4,"",IF(NOT($AS329),"",ROUND((Constants!$B$12-$AB329)+(Constants!$B$13-$Z329)+(Constants!$B$14-$AA329),1)))</f>
        <v/>
      </c>
      <c r="AV329" s="90" t="str">
        <f aca="false">IF($BL329&lt;&gt;Constants!$B$4,"",IF(NOT($AS329),"",IF(NOT($AE329),0,Constants!$B$15*(INT(ROUND(MIN($AF329,$AP$9),6))-INT(ROUND(MAX(0,MIN($AF329,2*$AP$9)-$AP$9),6))))))</f>
        <v/>
      </c>
      <c r="AW329" s="90" t="str">
        <f aca="false">IF($BL329&lt;&gt;Constants!$B$4,"",IF(NOT($AS329),"",Constants!$B$16*$AG329))</f>
        <v/>
      </c>
      <c r="AX329" s="90" t="str">
        <f aca="false">IF($BL329&lt;&gt;Constants!$B$4,"",IF(NOT($AS329),"",Constants!$B$18*INT(ROUND($AH329,6))))</f>
        <v/>
      </c>
      <c r="AY329" s="85" t="str">
        <f aca="false">IF($BL329&lt;&gt;Constants!$B$4,"",IF(NOT($AS329),"",IF(NOT($X329),Constants!$B$11,IF(OR(NOT($AC329),NOT($AD329),ROUND($AB329,1)&gt;Constants!$B$12,ROUND($Z329,1)&gt;Constants!$B$13,ROUND($AA329,1)&gt;Constants!$B$14),Constants!$B$10,Constants!$B$9))))</f>
        <v/>
      </c>
      <c r="AZ329" s="91" t="str">
        <f aca="false">IF($BL329&lt;&gt;Constants!$B$4,"",IF(NOT($AS329),"",ROUND($AU329+$AV329+$AW329+$AX329,1)))</f>
        <v/>
      </c>
      <c r="BA329" s="92" t="str">
        <f aca="false">IF($BL329&lt;&gt;Constants!$B$4,"",IF(NOT($AS329),"",IF(ISNUMBER($AF329),$AF329,0)))</f>
        <v/>
      </c>
      <c r="BB329" s="86" t="str">
        <f aca="false">IF($BL329&lt;&gt;Constants!$B$4,"",IF(NOT($BC329),"&lt;-",IF(NOT($AS329),"-&gt;",IF(OR($BI329&lt;$AY329,AND($BI329=$AY329,OR($BJ329&gt;$AZ329,AND($BJ329=$AZ329,OR($BH329&gt;$AX329,AND($BH329=$AX329,OR($BE329&gt;$AU329,AND($BE329=$AU329,OR($BF329&gt;$AV329,AND($BF329=$AV329,$BK329&gt;$BA329)))))))))),"-&gt;","&lt;-"))))</f>
        <v/>
      </c>
      <c r="BC329" s="85" t="str">
        <f aca="false">IF(ISBLANK($C329),"",COUNTA($P329:$U329)&gt;0)</f>
        <v/>
      </c>
      <c r="BD329" s="85" t="str">
        <f aca="false">IF(ISBLANK($C329),"",AND($BC329,OR(AND($AL329="",OR($AK329,NOT(ISBLANK($S329)))),$AM329="",$AN329="")))</f>
        <v/>
      </c>
      <c r="BE329" s="87" t="str">
        <f aca="false">IF($BL329&lt;&gt;Constants!$B$4,"",IF(NOT($BC329),"",ROUND((Constants!$B$12-$AB329)+(Constants!$B$13-$Z329)+(Constants!$B$14-$AA329),1)))</f>
        <v/>
      </c>
      <c r="BF329" s="90" t="str">
        <f aca="false">IF($BL329&lt;&gt;Constants!$B$4,"",IF(NOT($BC329),"",IF(NOT($AK329),0,Constants!$B$15*(INT(ROUND(MIN($AL329,$AP$9),6))-INT(ROUND(MAX(0,MIN($AL329,2*$AP$9)-$AP$9),6))))))</f>
        <v/>
      </c>
      <c r="BG329" s="90" t="str">
        <f aca="false">IF($BL329&lt;&gt;Constants!$B$4,"",IF(NOT($BC329),"",Constants!$B$16*$AM329))</f>
        <v/>
      </c>
      <c r="BH329" s="90" t="str">
        <f aca="false">IF($BL329&lt;&gt;Constants!$B$4,"",IF(NOT($BC329),"",Constants!$B$18*INT(ROUND($AN329,6))))</f>
        <v/>
      </c>
      <c r="BI329" s="85" t="str">
        <f aca="false">IF($BL329&lt;&gt;Constants!$B$4,"",IF(NOT($BC329),"",IF(NOT($X329),Constants!$B$11,IF(OR(NOT($AI329),NOT($AJ329),ROUND($AB329,1)&gt;Constants!$B$12,ROUND($Z329,1)&gt;Constants!$B$13,ROUND($AA329,1)&gt;Constants!$B$14),Constants!$B$10,Constants!$B$9))))</f>
        <v/>
      </c>
      <c r="BJ329" s="91" t="str">
        <f aca="false">IF($BL329&lt;&gt;Constants!$B$4,"",IF(NOT($BC329),"",ROUND($BE329+$BF329+$BG329+$BH329,1)))</f>
        <v/>
      </c>
      <c r="BK329" s="92" t="str">
        <f aca="false">IF($BL329&lt;&gt;Constants!$B$4,"",IF(NOT($BC329),"",IF(ISNUMBER($AL329),$AL329,0)))</f>
        <v/>
      </c>
      <c r="BL329" s="86" t="str">
        <f aca="false">IF(ISBLANK($C329),"",IF($AO329,Constants!$B$7,IF(COUNTA($E329:$V329)=0,Constants!$B$6,IF(NOT($Y329),Constants!$B$5,IF(NOT(OR($AS329,$BC329)),Constants!$B$5,IF(OR($AT329,$BD329,$AQ329,$AR329&lt;&gt;""),Constants!$B$8,Constants!$B$4))))))</f>
        <v/>
      </c>
      <c r="BM329" s="86" t="str">
        <f aca="false">IF(ISBLANK($C329),"",IF($BL329&lt;&gt;Constants!$B$4,$BL329,IF($BB329="-&gt;",$BI329,$AY329)))</f>
        <v/>
      </c>
      <c r="BN329" s="90" t="str">
        <f aca="false">IF($BL329&lt;&gt;Constants!$B$4,"",IF($BB329="-&gt;",$BJ329,$AZ329))</f>
        <v/>
      </c>
      <c r="BO329" s="90" t="str">
        <f aca="false">IF(ISBLANK($C329),"",IF($BL329&lt;&gt;Constants!$B$4,$BL329,$BN329))</f>
        <v/>
      </c>
      <c r="BP329" s="86" t="str">
        <f aca="false">IF(ISBLANK($C329),"",IF($BL329&lt;&gt;Constants!$B$4,$BL329,RANK($BO329,$BO$9:$BO$508,0)))</f>
        <v/>
      </c>
      <c r="BQ329" s="86" t="str">
        <f aca="false">IF(ISBLANK($C329),"",IF($BL329&lt;&gt;Constants!$B$4,$BL329,COUNTIFS($BM$9:$BM$508,"&lt;"&amp;$BM329)+COUNTIFS($BM$9:$BM$508,$BM329,$BP$9:$BP$508,"&lt;"&amp;$BP329)+1))</f>
        <v/>
      </c>
      <c r="BR329" s="90" t="str">
        <f aca="false">IF($BL329&lt;&gt;Constants!$B$4,"",IF($BB329="-&gt;",$BH329,$AX329))</f>
        <v/>
      </c>
      <c r="BS329" s="86" t="str">
        <f aca="false">IF(ISBLANK($C329),"",IF($BL329&lt;&gt;Constants!$B$4,$BL329,IF(ISNUMBER($BR329),RANK($BR329,$BR$9:$BR$508,0),COUNT($BR$9:$BR$508)+1)))</f>
        <v/>
      </c>
      <c r="BT329" s="90" t="str">
        <f aca="false">IF($BL329&lt;&gt;Constants!$B$4,"",IF($BB329="-&gt;",$BE329,$AU329))</f>
        <v/>
      </c>
      <c r="BU329" s="86" t="str">
        <f aca="false">IF(ISBLANK($C329),"",IF($BL329&lt;&gt;Constants!$B$4,$BL329,IF(ISNUMBER($BT329),RANK($BT329,$BT$9:$BT$508,0),COUNT($BT$9:$BT$508)+1)))</f>
        <v/>
      </c>
      <c r="BV329" s="90" t="str">
        <f aca="false">IF($BL329&lt;&gt;Constants!$B$4,"",IF($BB329="-&gt;",$BF329,$AV329))</f>
        <v/>
      </c>
      <c r="BW329" s="86" t="str">
        <f aca="false">IF(ISBLANK($C329),"",IF($BL329&lt;&gt;Constants!$B$4,$BL329,IF(ISNUMBER($BV329),RANK($BV329,$BV$9:$BV$508,0),COUNT($BV$9:$BV$508)+1)))</f>
        <v/>
      </c>
      <c r="BX329" s="90" t="str">
        <f aca="false">IF($BL329&lt;&gt;Constants!$B$4,"",IF($BB329="-&gt;",$BK329,$BA329))</f>
        <v/>
      </c>
      <c r="BY329" s="86" t="str">
        <f aca="false">IF(ISBLANK($C329),"",IF($BL329&lt;&gt;Constants!$B$4,$BL329,IF(ISNUMBER($BX329),RANK($BX329,$BX$9:$BX$508,0),COUNT($BX$9:$BX$508)+1)))</f>
        <v/>
      </c>
      <c r="BZ329" s="86" t="str">
        <f aca="false">IF(ISBLANK($C329),"",IF($BL329&lt;&gt;Constants!$B$4,$BL329,COUNTIFS($BM$9:$BM$508,"&lt;"&amp;$BM329)+COUNTIFS($BM$9:$BM$508,$BM329,$BP$9:$BP$508,"&lt;"&amp;$BP329)+COUNTIFS($BM$9:$BM$508,$BM329,$BP$9:$BP$508,$BP329,$BS$9:$BS$508,"&lt;"&amp;$BS329)+COUNTIFS($BM$9:$BM$508,$BM329,$BP$9:$BP$508,$BP329,$BS$9:$BS$508,$BS329,$BU$9:$BU$508,"&lt;"&amp;$BU329)+COUNTIFS($BM$9:$BM$508,$BM329,$BP$9:$BP$508,$BP329,$BS$9:$BS$508,$BS329,$BU$9:$BU$508,$BU329,$BW$9:$BW$508,"&lt;"&amp;$BW329)+COUNTIFS($BM$9:$BM$508,$BM329,$BP$9:$BP$508,$BP329,$BS$9:$BS$508,$BS329,$BU$9:$BU$508,$BU329,$BW$9:$BW$508,$BW329,$BY$9:$BY$508,"&lt;"&amp;$BY329)+1))</f>
        <v/>
      </c>
      <c r="CA329" s="86" t="str">
        <f aca="false">IF(ISBLANK($C329),"",IF($BL329&lt;&gt;Constants!$B$4,$BL329,$BQ329-$BZ329))</f>
        <v/>
      </c>
      <c r="CB329" s="93"/>
      <c r="CC329" s="94" t="str">
        <f aca="false">IF(ISBLANK($C329),"",IF($BL329=Constants!$B$8,$AR329,""))</f>
        <v/>
      </c>
      <c r="CD329" s="94" t="str">
        <f aca="false">IF(ISBLANK($C329),"",IF($BL329&lt;&gt;Constants!$B$4,"",IF($BB329="-&gt;",2,1)))</f>
        <v/>
      </c>
      <c r="CE329" s="95" t="str">
        <f aca="false">IF(ISBLANK($C329),"",IF($BL329&lt;&gt;Constants!$B$4,"",IF($BB329="-&gt;",$BE329,$AU329)))</f>
        <v/>
      </c>
      <c r="CF329" s="95" t="str">
        <f aca="false">IF(ISBLANK($C329),"",IF($BL329&lt;&gt;Constants!$B$4,"",IF($BB329="-&gt;",$BF329,$AV329)))</f>
        <v/>
      </c>
      <c r="CG329" s="95" t="str">
        <f aca="false">IF(ISBLANK($C329),"",IF($BL329&lt;&gt;Constants!$B$4,"",IF($BB329="-&gt;",$BG329,$AW329)))</f>
        <v/>
      </c>
      <c r="CH329" s="95" t="str">
        <f aca="false">IF(ISBLANK($C329),"",IF($BL329&lt;&gt;Constants!$B$4,"",IF($BB329="-&gt;",$BH329,$AX329)))</f>
        <v/>
      </c>
      <c r="CI329" s="96" t="str">
        <f aca="false">IF(ISBLANK($C329),"",$BO329)</f>
        <v/>
      </c>
      <c r="CJ329" s="97" t="str">
        <f aca="false">IF(ISBLANK($C329),"",$BM329)</f>
        <v/>
      </c>
      <c r="CK329" s="98" t="str">
        <f aca="false">IF(ISBLANK($C329),"",$CA329)</f>
        <v/>
      </c>
      <c r="CL329" s="98" t="str">
        <f aca="false">IF(ISBLANK($C329),"",$BZ329)</f>
        <v/>
      </c>
      <c r="CM329" s="99" t="str">
        <f aca="false">IF(ISBLANK($C329),"",IF($CL329=Constants!$B$7,COUNTA($C$9:$C$508)+2,IF($CL329=Constants!$B$6,COUNTA($C$9:$C$508)+1,IF($CL329=Constants!$B$5,COUNTA($C$9:$C$508),$CL329))))</f>
        <v/>
      </c>
      <c r="CN329" s="8"/>
      <c r="CO329" s="100" t="n">
        <f aca="false">IF(OR(ISNUMBER($CL329),$CL329=Constants!$B$7,$CL329=Constants!$B$5,$CL329=Constants!$B$6),1,0)</f>
        <v>0</v>
      </c>
      <c r="CP329" s="100" t="n">
        <v>321</v>
      </c>
      <c r="CQ329" s="100" t="str">
        <f aca="false">IF(ISBLANK($C329),"",IF(ISNUMBER($CM329),$CM329+ROW($B329)/1000,""))</f>
        <v/>
      </c>
      <c r="CR329" s="100" t="str">
        <f aca="false">IF(ISNUMBER($CQ329),RANK($CQ329,$CQ$9:$CQ$508,1),"")</f>
        <v/>
      </c>
      <c r="CS329" s="100" t="str">
        <f aca="false">IF(ISBLANK($C329),"",$B329)</f>
        <v/>
      </c>
      <c r="CT329" s="100" t="str">
        <f aca="false">IF(ISBLANK($C329),"",$C329)</f>
        <v/>
      </c>
      <c r="CU329" s="100" t="str">
        <f aca="false">IF(ISBLANK($C329),"",$D329)</f>
        <v/>
      </c>
      <c r="CV329" s="101" t="str">
        <f aca="false">$CJ329</f>
        <v/>
      </c>
      <c r="CW329" s="102" t="str">
        <f aca="false">$CI329</f>
        <v/>
      </c>
      <c r="CX329" s="100" t="str">
        <f aca="false">IF(ISBLANK($C329),"",$CL329)</f>
        <v/>
      </c>
      <c r="CY329" s="103" t="str">
        <f aca="false">IF($CP329&gt;$CO$8,"",VLOOKUP($CP329,$CR$9:$CX$508,7,FALSE()))</f>
        <v/>
      </c>
      <c r="CZ329" s="104" t="str">
        <f aca="false">IF($CP329&gt;$CO$8,"",VLOOKUP($CP329,$CR$9:$CX$508,2,FALSE()))</f>
        <v/>
      </c>
      <c r="DA329" s="104" t="str">
        <f aca="false">IF($CP329&gt;$CO$8,"",VLOOKUP($CP329,$CR$9:$CX$508,3,FALSE()))</f>
        <v/>
      </c>
      <c r="DB329" s="104" t="str">
        <f aca="false">IF($CP329&gt;$CO$8,"",VLOOKUP($CP329,$CR$9:$CX$508,4,FALSE()))</f>
        <v/>
      </c>
      <c r="DC329" s="104" t="str">
        <f aca="false">IF($CP329&gt;$CO$8,"",VLOOKUP($CP329,$CR$9:$CX$508,5,FALSE()))</f>
        <v/>
      </c>
      <c r="DD329" s="105" t="str">
        <f aca="false">IF($CP329&gt;$CO$8,"",VLOOKUP($CP329,$CR$9:$CX$508,6,FALSE()))</f>
        <v/>
      </c>
      <c r="DE329" s="70"/>
    </row>
    <row r="330" customFormat="false" ht="15.75" hidden="false" customHeight="false" outlineLevel="0" collapsed="false">
      <c r="A330" s="8"/>
      <c r="B330" s="146"/>
      <c r="C330" s="147"/>
      <c r="D330" s="148"/>
      <c r="E330" s="164"/>
      <c r="F330" s="150"/>
      <c r="G330" s="115"/>
      <c r="H330" s="115"/>
      <c r="I330" s="115"/>
      <c r="J330" s="165"/>
      <c r="K330" s="154"/>
      <c r="L330" s="154"/>
      <c r="M330" s="118"/>
      <c r="N330" s="154"/>
      <c r="O330" s="153"/>
      <c r="P330" s="154"/>
      <c r="Q330" s="154"/>
      <c r="R330" s="154"/>
      <c r="S330" s="115"/>
      <c r="T330" s="154"/>
      <c r="U330" s="153"/>
      <c r="V330" s="154"/>
      <c r="W330" s="123"/>
      <c r="X330" s="124" t="str">
        <f aca="false">IF(ISBLANK($C330),"",IF($E330=Constants!$B$2,TRUE(),IF($E330=Constants!$B$3,FALSE(),TRUE())))</f>
        <v/>
      </c>
      <c r="Y330" s="124" t="str">
        <f aca="false">IF(ISBLANK($C330),"",IF($F330=Constants!$B$2,TRUE(),IF($F330=Constants!$B$3,FALSE(),TRUE())))</f>
        <v/>
      </c>
      <c r="Z330" s="125" t="str">
        <f aca="false">IF(ISBLANK($C330),"",IF(ISNUMBER($G330),IF($G330&gt;=0,$G330,""),""))</f>
        <v/>
      </c>
      <c r="AA330" s="125" t="str">
        <f aca="false">IF(ISBLANK($C330),"",IF(ISNUMBER($H330),IF($H330&gt;=0,$H330,""),""))</f>
        <v/>
      </c>
      <c r="AB330" s="125" t="str">
        <f aca="false">IF(ISBLANK($C330),"",IF(ISNUMBER($I330),IF($I330&gt;=0,$I330,""),""))</f>
        <v/>
      </c>
      <c r="AC330" s="124" t="str">
        <f aca="false">IF(ISBLANK($C330),"",IF($J330=Constants!$B$2,TRUE(),IF($J330=Constants!$B$3,FALSE(),TRUE())))</f>
        <v/>
      </c>
      <c r="AD330" s="124" t="str">
        <f aca="false">IF(ISBLANK($C330),"",IF($K330=Constants!$B$2,TRUE(),IF($K330=Constants!$B$3,FALSE(),TRUE())))</f>
        <v/>
      </c>
      <c r="AE330" s="124" t="str">
        <f aca="false">IF(ISBLANK($C330),"",IF($L330=Constants!$B$2,TRUE(),IF($L330=Constants!$B$3,FALSE(),TRUE())))</f>
        <v/>
      </c>
      <c r="AF330" s="126" t="str">
        <f aca="false">IF(ISBLANK($C330),"",IF(ISNUMBER($M330),IF($M330&gt;=0,$M330,""),""))</f>
        <v/>
      </c>
      <c r="AG330" s="124" t="str">
        <f aca="false">IF(ISBLANK($C330),"",IF(ISBLANK($N330),0,IF(ISNUMBER($N330),IF(AND($N330&gt;=0,$N330&lt;=Constants!$B$17,$N330=INT($N330)),$N330,""),"")))</f>
        <v/>
      </c>
      <c r="AH330" s="125" t="str">
        <f aca="false">IF(ISBLANK($C330),"",IF(ISBLANK($O330),0,IF(ISNUMBER($O330),IF($O330&gt;=0,$O330,""),"")))</f>
        <v/>
      </c>
      <c r="AI330" s="124" t="str">
        <f aca="false">IF(ISBLANK($C330),"",IF($P330=Constants!$B$2,TRUE(),IF($P330=Constants!$B$3,FALSE(),TRUE())))</f>
        <v/>
      </c>
      <c r="AJ330" s="124" t="str">
        <f aca="false">IF(ISBLANK($C330),"",IF($Q330=Constants!$B$2,TRUE(),IF($Q330=Constants!$B$3,FALSE(),TRUE())))</f>
        <v/>
      </c>
      <c r="AK330" s="124" t="str">
        <f aca="false">IF(ISBLANK($C330),"",IF($R330=Constants!$B$2,TRUE(),IF($R330=Constants!$B$3,FALSE(),TRUE())))</f>
        <v/>
      </c>
      <c r="AL330" s="126" t="str">
        <f aca="false">IF(ISBLANK($C330),"",IF(ISNUMBER($S330),IF($S330&gt;=0,$S330,""),""))</f>
        <v/>
      </c>
      <c r="AM330" s="124" t="str">
        <f aca="false">IF(ISBLANK($C330),"",IF(ISBLANK($T330),0,IF(ISNUMBER($T330),IF(AND($T330&gt;=0,$T330&lt;=Constants!$B$17,$T330=INT($T330)),$T330,""),"")))</f>
        <v/>
      </c>
      <c r="AN330" s="125" t="str">
        <f aca="false">IF(ISBLANK($C330),"",IF(ISBLANK($U330),0,IF(ISNUMBER($U330),IF($U330&gt;=0,$U330,""),"")))</f>
        <v/>
      </c>
      <c r="AO330" s="124" t="str">
        <f aca="false">IF(ISBLANK($C330),"",IF($V330=Constants!$B$2,TRUE(),IF($V330=Constants!$B$3,FALSE(),FALSE())))</f>
        <v/>
      </c>
      <c r="AP330" s="124"/>
      <c r="AQ330" s="123" t="str">
        <f aca="false">IF(ISBLANK($C330),"",AND($Y330,OR($AS330,$BC330),OR($Z330="",$AA330="",$AB330="")))</f>
        <v/>
      </c>
      <c r="AR330" s="123" t="str">
        <f aca="false">IF(ISBLANK($C330),"",IF(OR(NOT($Y330),NOT(OR($AS330,$BC330))),"",IF(ISBLANK($D$7),$AR$5,IF($AP$9="",$AR$6,""))))</f>
        <v/>
      </c>
      <c r="AS330" s="123" t="str">
        <f aca="false">IF(ISBLANK($C330),"",COUNTA($J330:$O330)&gt;0)</f>
        <v/>
      </c>
      <c r="AT330" s="123" t="str">
        <f aca="false">IF(ISBLANK($C330),"",AND($AS330,OR(AND($AF330="",OR($AE330,NOT(ISBLANK($M330)))),$AG330="",$AH330="")))</f>
        <v/>
      </c>
      <c r="AU330" s="125" t="str">
        <f aca="false">IF($BL330&lt;&gt;Constants!$B$4,"",IF(NOT($AS330),"",ROUND((Constants!$B$12-$AB330)+(Constants!$B$13-$Z330)+(Constants!$B$14-$AA330),1)))</f>
        <v/>
      </c>
      <c r="AV330" s="127" t="str">
        <f aca="false">IF($BL330&lt;&gt;Constants!$B$4,"",IF(NOT($AS330),"",IF(NOT($AE330),0,Constants!$B$15*(INT(ROUND(MIN($AF330,$AP$9),6))-INT(ROUND(MAX(0,MIN($AF330,2*$AP$9)-$AP$9),6))))))</f>
        <v/>
      </c>
      <c r="AW330" s="127" t="str">
        <f aca="false">IF($BL330&lt;&gt;Constants!$B$4,"",IF(NOT($AS330),"",Constants!$B$16*$AG330))</f>
        <v/>
      </c>
      <c r="AX330" s="127" t="str">
        <f aca="false">IF($BL330&lt;&gt;Constants!$B$4,"",IF(NOT($AS330),"",Constants!$B$18*INT(ROUND($AH330,6))))</f>
        <v/>
      </c>
      <c r="AY330" s="123" t="str">
        <f aca="false">IF($BL330&lt;&gt;Constants!$B$4,"",IF(NOT($AS330),"",IF(NOT($X330),Constants!$B$11,IF(OR(NOT($AC330),NOT($AD330),ROUND($AB330,1)&gt;Constants!$B$12,ROUND($Z330,1)&gt;Constants!$B$13,ROUND($AA330,1)&gt;Constants!$B$14),Constants!$B$10,Constants!$B$9))))</f>
        <v/>
      </c>
      <c r="AZ330" s="128" t="str">
        <f aca="false">IF($BL330&lt;&gt;Constants!$B$4,"",IF(NOT($AS330),"",ROUND($AU330+$AV330+$AW330+$AX330,1)))</f>
        <v/>
      </c>
      <c r="BA330" s="129" t="str">
        <f aca="false">IF($BL330&lt;&gt;Constants!$B$4,"",IF(NOT($AS330),"",IF(ISNUMBER($AF330),$AF330,0)))</f>
        <v/>
      </c>
      <c r="BB330" s="124" t="str">
        <f aca="false">IF($BL330&lt;&gt;Constants!$B$4,"",IF(NOT($BC330),"&lt;-",IF(NOT($AS330),"-&gt;",IF(OR($BI330&lt;$AY330,AND($BI330=$AY330,OR($BJ330&gt;$AZ330,AND($BJ330=$AZ330,OR($BH330&gt;$AX330,AND($BH330=$AX330,OR($BE330&gt;$AU330,AND($BE330=$AU330,OR($BF330&gt;$AV330,AND($BF330=$AV330,$BK330&gt;$BA330)))))))))),"-&gt;","&lt;-"))))</f>
        <v/>
      </c>
      <c r="BC330" s="123" t="str">
        <f aca="false">IF(ISBLANK($C330),"",COUNTA($P330:$U330)&gt;0)</f>
        <v/>
      </c>
      <c r="BD330" s="123" t="str">
        <f aca="false">IF(ISBLANK($C330),"",AND($BC330,OR(AND($AL330="",OR($AK330,NOT(ISBLANK($S330)))),$AM330="",$AN330="")))</f>
        <v/>
      </c>
      <c r="BE330" s="125" t="str">
        <f aca="false">IF($BL330&lt;&gt;Constants!$B$4,"",IF(NOT($BC330),"",ROUND((Constants!$B$12-$AB330)+(Constants!$B$13-$Z330)+(Constants!$B$14-$AA330),1)))</f>
        <v/>
      </c>
      <c r="BF330" s="127" t="str">
        <f aca="false">IF($BL330&lt;&gt;Constants!$B$4,"",IF(NOT($BC330),"",IF(NOT($AK330),0,Constants!$B$15*(INT(ROUND(MIN($AL330,$AP$9),6))-INT(ROUND(MAX(0,MIN($AL330,2*$AP$9)-$AP$9),6))))))</f>
        <v/>
      </c>
      <c r="BG330" s="127" t="str">
        <f aca="false">IF($BL330&lt;&gt;Constants!$B$4,"",IF(NOT($BC330),"",Constants!$B$16*$AM330))</f>
        <v/>
      </c>
      <c r="BH330" s="127" t="str">
        <f aca="false">IF($BL330&lt;&gt;Constants!$B$4,"",IF(NOT($BC330),"",Constants!$B$18*INT(ROUND($AN330,6))))</f>
        <v/>
      </c>
      <c r="BI330" s="123" t="str">
        <f aca="false">IF($BL330&lt;&gt;Constants!$B$4,"",IF(NOT($BC330),"",IF(NOT($X330),Constants!$B$11,IF(OR(NOT($AI330),NOT($AJ330),ROUND($AB330,1)&gt;Constants!$B$12,ROUND($Z330,1)&gt;Constants!$B$13,ROUND($AA330,1)&gt;Constants!$B$14),Constants!$B$10,Constants!$B$9))))</f>
        <v/>
      </c>
      <c r="BJ330" s="128" t="str">
        <f aca="false">IF($BL330&lt;&gt;Constants!$B$4,"",IF(NOT($BC330),"",ROUND($BE330+$BF330+$BG330+$BH330,1)))</f>
        <v/>
      </c>
      <c r="BK330" s="129" t="str">
        <f aca="false">IF($BL330&lt;&gt;Constants!$B$4,"",IF(NOT($BC330),"",IF(ISNUMBER($AL330),$AL330,0)))</f>
        <v/>
      </c>
      <c r="BL330" s="124" t="str">
        <f aca="false">IF(ISBLANK($C330),"",IF($AO330,Constants!$B$7,IF(COUNTA($E330:$V330)=0,Constants!$B$6,IF(NOT($Y330),Constants!$B$5,IF(NOT(OR($AS330,$BC330)),Constants!$B$5,IF(OR($AT330,$BD330,$AQ330,$AR330&lt;&gt;""),Constants!$B$8,Constants!$B$4))))))</f>
        <v/>
      </c>
      <c r="BM330" s="124" t="str">
        <f aca="false">IF(ISBLANK($C330),"",IF($BL330&lt;&gt;Constants!$B$4,$BL330,IF($BB330="-&gt;",$BI330,$AY330)))</f>
        <v/>
      </c>
      <c r="BN330" s="127" t="str">
        <f aca="false">IF($BL330&lt;&gt;Constants!$B$4,"",IF($BB330="-&gt;",$BJ330,$AZ330))</f>
        <v/>
      </c>
      <c r="BO330" s="127" t="str">
        <f aca="false">IF(ISBLANK($C330),"",IF($BL330&lt;&gt;Constants!$B$4,$BL330,$BN330))</f>
        <v/>
      </c>
      <c r="BP330" s="124" t="str">
        <f aca="false">IF(ISBLANK($C330),"",IF($BL330&lt;&gt;Constants!$B$4,$BL330,RANK($BO330,$BO$9:$BO$508,0)))</f>
        <v/>
      </c>
      <c r="BQ330" s="124" t="str">
        <f aca="false">IF(ISBLANK($C330),"",IF($BL330&lt;&gt;Constants!$B$4,$BL330,COUNTIFS($BM$9:$BM$508,"&lt;"&amp;$BM330)+COUNTIFS($BM$9:$BM$508,$BM330,$BP$9:$BP$508,"&lt;"&amp;$BP330)+1))</f>
        <v/>
      </c>
      <c r="BR330" s="127" t="str">
        <f aca="false">IF($BL330&lt;&gt;Constants!$B$4,"",IF($BB330="-&gt;",$BH330,$AX330))</f>
        <v/>
      </c>
      <c r="BS330" s="124" t="str">
        <f aca="false">IF(ISBLANK($C330),"",IF($BL330&lt;&gt;Constants!$B$4,$BL330,IF(ISNUMBER($BR330),RANK($BR330,$BR$9:$BR$508,0),COUNT($BR$9:$BR$508)+1)))</f>
        <v/>
      </c>
      <c r="BT330" s="127" t="str">
        <f aca="false">IF($BL330&lt;&gt;Constants!$B$4,"",IF($BB330="-&gt;",$BE330,$AU330))</f>
        <v/>
      </c>
      <c r="BU330" s="124" t="str">
        <f aca="false">IF(ISBLANK($C330),"",IF($BL330&lt;&gt;Constants!$B$4,$BL330,IF(ISNUMBER($BT330),RANK($BT330,$BT$9:$BT$508,0),COUNT($BT$9:$BT$508)+1)))</f>
        <v/>
      </c>
      <c r="BV330" s="127" t="str">
        <f aca="false">IF($BL330&lt;&gt;Constants!$B$4,"",IF($BB330="-&gt;",$BF330,$AV330))</f>
        <v/>
      </c>
      <c r="BW330" s="124" t="str">
        <f aca="false">IF(ISBLANK($C330),"",IF($BL330&lt;&gt;Constants!$B$4,$BL330,IF(ISNUMBER($BV330),RANK($BV330,$BV$9:$BV$508,0),COUNT($BV$9:$BV$508)+1)))</f>
        <v/>
      </c>
      <c r="BX330" s="127" t="str">
        <f aca="false">IF($BL330&lt;&gt;Constants!$B$4,"",IF($BB330="-&gt;",$BK330,$BA330))</f>
        <v/>
      </c>
      <c r="BY330" s="124" t="str">
        <f aca="false">IF(ISBLANK($C330),"",IF($BL330&lt;&gt;Constants!$B$4,$BL330,IF(ISNUMBER($BX330),RANK($BX330,$BX$9:$BX$508,0),COUNT($BX$9:$BX$508)+1)))</f>
        <v/>
      </c>
      <c r="BZ330" s="124" t="str">
        <f aca="false">IF(ISBLANK($C330),"",IF($BL330&lt;&gt;Constants!$B$4,$BL330,COUNTIFS($BM$9:$BM$508,"&lt;"&amp;$BM330)+COUNTIFS($BM$9:$BM$508,$BM330,$BP$9:$BP$508,"&lt;"&amp;$BP330)+COUNTIFS($BM$9:$BM$508,$BM330,$BP$9:$BP$508,$BP330,$BS$9:$BS$508,"&lt;"&amp;$BS330)+COUNTIFS($BM$9:$BM$508,$BM330,$BP$9:$BP$508,$BP330,$BS$9:$BS$508,$BS330,$BU$9:$BU$508,"&lt;"&amp;$BU330)+COUNTIFS($BM$9:$BM$508,$BM330,$BP$9:$BP$508,$BP330,$BS$9:$BS$508,$BS330,$BU$9:$BU$508,$BU330,$BW$9:$BW$508,"&lt;"&amp;$BW330)+COUNTIFS($BM$9:$BM$508,$BM330,$BP$9:$BP$508,$BP330,$BS$9:$BS$508,$BS330,$BU$9:$BU$508,$BU330,$BW$9:$BW$508,$BW330,$BY$9:$BY$508,"&lt;"&amp;$BY330)+1))</f>
        <v/>
      </c>
      <c r="CA330" s="124" t="str">
        <f aca="false">IF(ISBLANK($C330),"",IF($BL330&lt;&gt;Constants!$B$4,$BL330,$BQ330-$BZ330))</f>
        <v/>
      </c>
      <c r="CB330" s="130"/>
      <c r="CC330" s="131" t="str">
        <f aca="false">IF(ISBLANK($C330),"",IF($BL330=Constants!$B$8,$AR330,""))</f>
        <v/>
      </c>
      <c r="CD330" s="131" t="str">
        <f aca="false">IF(ISBLANK($C330),"",IF($BL330&lt;&gt;Constants!$B$4,"",IF($BB330="-&gt;",2,1)))</f>
        <v/>
      </c>
      <c r="CE330" s="132" t="str">
        <f aca="false">IF(ISBLANK($C330),"",IF($BL330&lt;&gt;Constants!$B$4,"",IF($BB330="-&gt;",$BE330,$AU330)))</f>
        <v/>
      </c>
      <c r="CF330" s="132" t="str">
        <f aca="false">IF(ISBLANK($C330),"",IF($BL330&lt;&gt;Constants!$B$4,"",IF($BB330="-&gt;",$BF330,$AV330)))</f>
        <v/>
      </c>
      <c r="CG330" s="132" t="str">
        <f aca="false">IF(ISBLANK($C330),"",IF($BL330&lt;&gt;Constants!$B$4,"",IF($BB330="-&gt;",$BG330,$AW330)))</f>
        <v/>
      </c>
      <c r="CH330" s="132" t="str">
        <f aca="false">IF(ISBLANK($C330),"",IF($BL330&lt;&gt;Constants!$B$4,"",IF($BB330="-&gt;",$BH330,$AX330)))</f>
        <v/>
      </c>
      <c r="CI330" s="133" t="str">
        <f aca="false">IF(ISBLANK($C330),"",$BO330)</f>
        <v/>
      </c>
      <c r="CJ330" s="134" t="str">
        <f aca="false">IF(ISBLANK($C330),"",$BM330)</f>
        <v/>
      </c>
      <c r="CK330" s="135" t="str">
        <f aca="false">IF(ISBLANK($C330),"",$CA330)</f>
        <v/>
      </c>
      <c r="CL330" s="135" t="str">
        <f aca="false">IF(ISBLANK($C330),"",$BZ330)</f>
        <v/>
      </c>
      <c r="CM330" s="136" t="str">
        <f aca="false">IF(ISBLANK($C330),"",IF($CL330=Constants!$B$7,COUNTA($C$9:$C$508)+2,IF($CL330=Constants!$B$6,COUNTA($C$9:$C$508)+1,IF($CL330=Constants!$B$5,COUNTA($C$9:$C$508),$CL330))))</f>
        <v/>
      </c>
      <c r="CN330" s="8"/>
      <c r="CO330" s="137" t="n">
        <f aca="false">IF(OR(ISNUMBER($CL330),$CL330=Constants!$B$7,$CL330=Constants!$B$5,$CL330=Constants!$B$6),1,0)</f>
        <v>0</v>
      </c>
      <c r="CP330" s="137" t="n">
        <v>322</v>
      </c>
      <c r="CQ330" s="137" t="str">
        <f aca="false">IF(ISBLANK($C330),"",IF(ISNUMBER($CM330),$CM330+ROW($B330)/1000,""))</f>
        <v/>
      </c>
      <c r="CR330" s="137" t="str">
        <f aca="false">IF(ISNUMBER($CQ330),RANK($CQ330,$CQ$9:$CQ$508,1),"")</f>
        <v/>
      </c>
      <c r="CS330" s="137" t="str">
        <f aca="false">IF(ISBLANK($C330),"",$B330)</f>
        <v/>
      </c>
      <c r="CT330" s="137" t="str">
        <f aca="false">IF(ISBLANK($C330),"",$C330)</f>
        <v/>
      </c>
      <c r="CU330" s="137" t="str">
        <f aca="false">IF(ISBLANK($C330),"",$D330)</f>
        <v/>
      </c>
      <c r="CV330" s="138" t="str">
        <f aca="false">$CJ330</f>
        <v/>
      </c>
      <c r="CW330" s="139" t="str">
        <f aca="false">$CI330</f>
        <v/>
      </c>
      <c r="CX330" s="137" t="str">
        <f aca="false">IF(ISBLANK($C330),"",$CL330)</f>
        <v/>
      </c>
      <c r="CY330" s="140" t="str">
        <f aca="false">IF($CP330&gt;$CO$8,"",VLOOKUP($CP330,$CR$9:$CX$508,7,FALSE()))</f>
        <v/>
      </c>
      <c r="CZ330" s="141" t="str">
        <f aca="false">IF($CP330&gt;$CO$8,"",VLOOKUP($CP330,$CR$9:$CX$508,2,FALSE()))</f>
        <v/>
      </c>
      <c r="DA330" s="141" t="str">
        <f aca="false">IF($CP330&gt;$CO$8,"",VLOOKUP($CP330,$CR$9:$CX$508,3,FALSE()))</f>
        <v/>
      </c>
      <c r="DB330" s="141" t="str">
        <f aca="false">IF($CP330&gt;$CO$8,"",VLOOKUP($CP330,$CR$9:$CX$508,4,FALSE()))</f>
        <v/>
      </c>
      <c r="DC330" s="141" t="str">
        <f aca="false">IF($CP330&gt;$CO$8,"",VLOOKUP($CP330,$CR$9:$CX$508,5,FALSE()))</f>
        <v/>
      </c>
      <c r="DD330" s="142" t="str">
        <f aca="false">IF($CP330&gt;$CO$8,"",VLOOKUP($CP330,$CR$9:$CX$508,6,FALSE()))</f>
        <v/>
      </c>
      <c r="DE330" s="70"/>
    </row>
    <row r="331" customFormat="false" ht="15.75" hidden="false" customHeight="false" outlineLevel="0" collapsed="false">
      <c r="A331" s="8"/>
      <c r="B331" s="146"/>
      <c r="C331" s="147"/>
      <c r="D331" s="148"/>
      <c r="E331" s="164"/>
      <c r="F331" s="150"/>
      <c r="G331" s="115"/>
      <c r="H331" s="115"/>
      <c r="I331" s="115"/>
      <c r="J331" s="165"/>
      <c r="K331" s="154"/>
      <c r="L331" s="154"/>
      <c r="M331" s="118"/>
      <c r="N331" s="154"/>
      <c r="O331" s="153"/>
      <c r="P331" s="154"/>
      <c r="Q331" s="154"/>
      <c r="R331" s="154"/>
      <c r="S331" s="115"/>
      <c r="T331" s="154"/>
      <c r="U331" s="153"/>
      <c r="V331" s="154"/>
      <c r="W331" s="123"/>
      <c r="X331" s="124" t="str">
        <f aca="false">IF(ISBLANK($C331),"",IF($E331=Constants!$B$2,TRUE(),IF($E331=Constants!$B$3,FALSE(),TRUE())))</f>
        <v/>
      </c>
      <c r="Y331" s="124" t="str">
        <f aca="false">IF(ISBLANK($C331),"",IF($F331=Constants!$B$2,TRUE(),IF($F331=Constants!$B$3,FALSE(),TRUE())))</f>
        <v/>
      </c>
      <c r="Z331" s="125" t="str">
        <f aca="false">IF(ISBLANK($C331),"",IF(ISNUMBER($G331),IF($G331&gt;=0,$G331,""),""))</f>
        <v/>
      </c>
      <c r="AA331" s="125" t="str">
        <f aca="false">IF(ISBLANK($C331),"",IF(ISNUMBER($H331),IF($H331&gt;=0,$H331,""),""))</f>
        <v/>
      </c>
      <c r="AB331" s="125" t="str">
        <f aca="false">IF(ISBLANK($C331),"",IF(ISNUMBER($I331),IF($I331&gt;=0,$I331,""),""))</f>
        <v/>
      </c>
      <c r="AC331" s="124" t="str">
        <f aca="false">IF(ISBLANK($C331),"",IF($J331=Constants!$B$2,TRUE(),IF($J331=Constants!$B$3,FALSE(),TRUE())))</f>
        <v/>
      </c>
      <c r="AD331" s="124" t="str">
        <f aca="false">IF(ISBLANK($C331),"",IF($K331=Constants!$B$2,TRUE(),IF($K331=Constants!$B$3,FALSE(),TRUE())))</f>
        <v/>
      </c>
      <c r="AE331" s="124" t="str">
        <f aca="false">IF(ISBLANK($C331),"",IF($L331=Constants!$B$2,TRUE(),IF($L331=Constants!$B$3,FALSE(),TRUE())))</f>
        <v/>
      </c>
      <c r="AF331" s="126" t="str">
        <f aca="false">IF(ISBLANK($C331),"",IF(ISNUMBER($M331),IF($M331&gt;=0,$M331,""),""))</f>
        <v/>
      </c>
      <c r="AG331" s="124" t="str">
        <f aca="false">IF(ISBLANK($C331),"",IF(ISBLANK($N331),0,IF(ISNUMBER($N331),IF(AND($N331&gt;=0,$N331&lt;=Constants!$B$17,$N331=INT($N331)),$N331,""),"")))</f>
        <v/>
      </c>
      <c r="AH331" s="125" t="str">
        <f aca="false">IF(ISBLANK($C331),"",IF(ISBLANK($O331),0,IF(ISNUMBER($O331),IF($O331&gt;=0,$O331,""),"")))</f>
        <v/>
      </c>
      <c r="AI331" s="124" t="str">
        <f aca="false">IF(ISBLANK($C331),"",IF($P331=Constants!$B$2,TRUE(),IF($P331=Constants!$B$3,FALSE(),TRUE())))</f>
        <v/>
      </c>
      <c r="AJ331" s="124" t="str">
        <f aca="false">IF(ISBLANK($C331),"",IF($Q331=Constants!$B$2,TRUE(),IF($Q331=Constants!$B$3,FALSE(),TRUE())))</f>
        <v/>
      </c>
      <c r="AK331" s="124" t="str">
        <f aca="false">IF(ISBLANK($C331),"",IF($R331=Constants!$B$2,TRUE(),IF($R331=Constants!$B$3,FALSE(),TRUE())))</f>
        <v/>
      </c>
      <c r="AL331" s="126" t="str">
        <f aca="false">IF(ISBLANK($C331),"",IF(ISNUMBER($S331),IF($S331&gt;=0,$S331,""),""))</f>
        <v/>
      </c>
      <c r="AM331" s="124" t="str">
        <f aca="false">IF(ISBLANK($C331),"",IF(ISBLANK($T331),0,IF(ISNUMBER($T331),IF(AND($T331&gt;=0,$T331&lt;=Constants!$B$17,$T331=INT($T331)),$T331,""),"")))</f>
        <v/>
      </c>
      <c r="AN331" s="125" t="str">
        <f aca="false">IF(ISBLANK($C331),"",IF(ISBLANK($U331),0,IF(ISNUMBER($U331),IF($U331&gt;=0,$U331,""),"")))</f>
        <v/>
      </c>
      <c r="AO331" s="124" t="str">
        <f aca="false">IF(ISBLANK($C331),"",IF($V331=Constants!$B$2,TRUE(),IF($V331=Constants!$B$3,FALSE(),FALSE())))</f>
        <v/>
      </c>
      <c r="AP331" s="124"/>
      <c r="AQ331" s="123" t="str">
        <f aca="false">IF(ISBLANK($C331),"",AND($Y331,OR($AS331,$BC331),OR($Z331="",$AA331="",$AB331="")))</f>
        <v/>
      </c>
      <c r="AR331" s="123" t="str">
        <f aca="false">IF(ISBLANK($C331),"",IF(OR(NOT($Y331),NOT(OR($AS331,$BC331))),"",IF(ISBLANK($D$7),$AR$5,IF($AP$9="",$AR$6,""))))</f>
        <v/>
      </c>
      <c r="AS331" s="123" t="str">
        <f aca="false">IF(ISBLANK($C331),"",COUNTA($J331:$O331)&gt;0)</f>
        <v/>
      </c>
      <c r="AT331" s="123" t="str">
        <f aca="false">IF(ISBLANK($C331),"",AND($AS331,OR(AND($AF331="",OR($AE331,NOT(ISBLANK($M331)))),$AG331="",$AH331="")))</f>
        <v/>
      </c>
      <c r="AU331" s="125" t="str">
        <f aca="false">IF($BL331&lt;&gt;Constants!$B$4,"",IF(NOT($AS331),"",ROUND((Constants!$B$12-$AB331)+(Constants!$B$13-$Z331)+(Constants!$B$14-$AA331),1)))</f>
        <v/>
      </c>
      <c r="AV331" s="127" t="str">
        <f aca="false">IF($BL331&lt;&gt;Constants!$B$4,"",IF(NOT($AS331),"",IF(NOT($AE331),0,Constants!$B$15*(INT(ROUND(MIN($AF331,$AP$9),6))-INT(ROUND(MAX(0,MIN($AF331,2*$AP$9)-$AP$9),6))))))</f>
        <v/>
      </c>
      <c r="AW331" s="127" t="str">
        <f aca="false">IF($BL331&lt;&gt;Constants!$B$4,"",IF(NOT($AS331),"",Constants!$B$16*$AG331))</f>
        <v/>
      </c>
      <c r="AX331" s="127" t="str">
        <f aca="false">IF($BL331&lt;&gt;Constants!$B$4,"",IF(NOT($AS331),"",Constants!$B$18*INT(ROUND($AH331,6))))</f>
        <v/>
      </c>
      <c r="AY331" s="123" t="str">
        <f aca="false">IF($BL331&lt;&gt;Constants!$B$4,"",IF(NOT($AS331),"",IF(NOT($X331),Constants!$B$11,IF(OR(NOT($AC331),NOT($AD331),ROUND($AB331,1)&gt;Constants!$B$12,ROUND($Z331,1)&gt;Constants!$B$13,ROUND($AA331,1)&gt;Constants!$B$14),Constants!$B$10,Constants!$B$9))))</f>
        <v/>
      </c>
      <c r="AZ331" s="128" t="str">
        <f aca="false">IF($BL331&lt;&gt;Constants!$B$4,"",IF(NOT($AS331),"",ROUND($AU331+$AV331+$AW331+$AX331,1)))</f>
        <v/>
      </c>
      <c r="BA331" s="129" t="str">
        <f aca="false">IF($BL331&lt;&gt;Constants!$B$4,"",IF(NOT($AS331),"",IF(ISNUMBER($AF331),$AF331,0)))</f>
        <v/>
      </c>
      <c r="BB331" s="124" t="str">
        <f aca="false">IF($BL331&lt;&gt;Constants!$B$4,"",IF(NOT($BC331),"&lt;-",IF(NOT($AS331),"-&gt;",IF(OR($BI331&lt;$AY331,AND($BI331=$AY331,OR($BJ331&gt;$AZ331,AND($BJ331=$AZ331,OR($BH331&gt;$AX331,AND($BH331=$AX331,OR($BE331&gt;$AU331,AND($BE331=$AU331,OR($BF331&gt;$AV331,AND($BF331=$AV331,$BK331&gt;$BA331)))))))))),"-&gt;","&lt;-"))))</f>
        <v/>
      </c>
      <c r="BC331" s="123" t="str">
        <f aca="false">IF(ISBLANK($C331),"",COUNTA($P331:$U331)&gt;0)</f>
        <v/>
      </c>
      <c r="BD331" s="123" t="str">
        <f aca="false">IF(ISBLANK($C331),"",AND($BC331,OR(AND($AL331="",OR($AK331,NOT(ISBLANK($S331)))),$AM331="",$AN331="")))</f>
        <v/>
      </c>
      <c r="BE331" s="125" t="str">
        <f aca="false">IF($BL331&lt;&gt;Constants!$B$4,"",IF(NOT($BC331),"",ROUND((Constants!$B$12-$AB331)+(Constants!$B$13-$Z331)+(Constants!$B$14-$AA331),1)))</f>
        <v/>
      </c>
      <c r="BF331" s="127" t="str">
        <f aca="false">IF($BL331&lt;&gt;Constants!$B$4,"",IF(NOT($BC331),"",IF(NOT($AK331),0,Constants!$B$15*(INT(ROUND(MIN($AL331,$AP$9),6))-INT(ROUND(MAX(0,MIN($AL331,2*$AP$9)-$AP$9),6))))))</f>
        <v/>
      </c>
      <c r="BG331" s="127" t="str">
        <f aca="false">IF($BL331&lt;&gt;Constants!$B$4,"",IF(NOT($BC331),"",Constants!$B$16*$AM331))</f>
        <v/>
      </c>
      <c r="BH331" s="127" t="str">
        <f aca="false">IF($BL331&lt;&gt;Constants!$B$4,"",IF(NOT($BC331),"",Constants!$B$18*INT(ROUND($AN331,6))))</f>
        <v/>
      </c>
      <c r="BI331" s="123" t="str">
        <f aca="false">IF($BL331&lt;&gt;Constants!$B$4,"",IF(NOT($BC331),"",IF(NOT($X331),Constants!$B$11,IF(OR(NOT($AI331),NOT($AJ331),ROUND($AB331,1)&gt;Constants!$B$12,ROUND($Z331,1)&gt;Constants!$B$13,ROUND($AA331,1)&gt;Constants!$B$14),Constants!$B$10,Constants!$B$9))))</f>
        <v/>
      </c>
      <c r="BJ331" s="128" t="str">
        <f aca="false">IF($BL331&lt;&gt;Constants!$B$4,"",IF(NOT($BC331),"",ROUND($BE331+$BF331+$BG331+$BH331,1)))</f>
        <v/>
      </c>
      <c r="BK331" s="129" t="str">
        <f aca="false">IF($BL331&lt;&gt;Constants!$B$4,"",IF(NOT($BC331),"",IF(ISNUMBER($AL331),$AL331,0)))</f>
        <v/>
      </c>
      <c r="BL331" s="124" t="str">
        <f aca="false">IF(ISBLANK($C331),"",IF($AO331,Constants!$B$7,IF(COUNTA($E331:$V331)=0,Constants!$B$6,IF(NOT($Y331),Constants!$B$5,IF(NOT(OR($AS331,$BC331)),Constants!$B$5,IF(OR($AT331,$BD331,$AQ331,$AR331&lt;&gt;""),Constants!$B$8,Constants!$B$4))))))</f>
        <v/>
      </c>
      <c r="BM331" s="124" t="str">
        <f aca="false">IF(ISBLANK($C331),"",IF($BL331&lt;&gt;Constants!$B$4,$BL331,IF($BB331="-&gt;",$BI331,$AY331)))</f>
        <v/>
      </c>
      <c r="BN331" s="127" t="str">
        <f aca="false">IF($BL331&lt;&gt;Constants!$B$4,"",IF($BB331="-&gt;",$BJ331,$AZ331))</f>
        <v/>
      </c>
      <c r="BO331" s="127" t="str">
        <f aca="false">IF(ISBLANK($C331),"",IF($BL331&lt;&gt;Constants!$B$4,$BL331,$BN331))</f>
        <v/>
      </c>
      <c r="BP331" s="124" t="str">
        <f aca="false">IF(ISBLANK($C331),"",IF($BL331&lt;&gt;Constants!$B$4,$BL331,RANK($BO331,$BO$9:$BO$508,0)))</f>
        <v/>
      </c>
      <c r="BQ331" s="124" t="str">
        <f aca="false">IF(ISBLANK($C331),"",IF($BL331&lt;&gt;Constants!$B$4,$BL331,COUNTIFS($BM$9:$BM$508,"&lt;"&amp;$BM331)+COUNTIFS($BM$9:$BM$508,$BM331,$BP$9:$BP$508,"&lt;"&amp;$BP331)+1))</f>
        <v/>
      </c>
      <c r="BR331" s="127" t="str">
        <f aca="false">IF($BL331&lt;&gt;Constants!$B$4,"",IF($BB331="-&gt;",$BH331,$AX331))</f>
        <v/>
      </c>
      <c r="BS331" s="124" t="str">
        <f aca="false">IF(ISBLANK($C331),"",IF($BL331&lt;&gt;Constants!$B$4,$BL331,IF(ISNUMBER($BR331),RANK($BR331,$BR$9:$BR$508,0),COUNT($BR$9:$BR$508)+1)))</f>
        <v/>
      </c>
      <c r="BT331" s="127" t="str">
        <f aca="false">IF($BL331&lt;&gt;Constants!$B$4,"",IF($BB331="-&gt;",$BE331,$AU331))</f>
        <v/>
      </c>
      <c r="BU331" s="124" t="str">
        <f aca="false">IF(ISBLANK($C331),"",IF($BL331&lt;&gt;Constants!$B$4,$BL331,IF(ISNUMBER($BT331),RANK($BT331,$BT$9:$BT$508,0),COUNT($BT$9:$BT$508)+1)))</f>
        <v/>
      </c>
      <c r="BV331" s="127" t="str">
        <f aca="false">IF($BL331&lt;&gt;Constants!$B$4,"",IF($BB331="-&gt;",$BF331,$AV331))</f>
        <v/>
      </c>
      <c r="BW331" s="124" t="str">
        <f aca="false">IF(ISBLANK($C331),"",IF($BL331&lt;&gt;Constants!$B$4,$BL331,IF(ISNUMBER($BV331),RANK($BV331,$BV$9:$BV$508,0),COUNT($BV$9:$BV$508)+1)))</f>
        <v/>
      </c>
      <c r="BX331" s="127" t="str">
        <f aca="false">IF($BL331&lt;&gt;Constants!$B$4,"",IF($BB331="-&gt;",$BK331,$BA331))</f>
        <v/>
      </c>
      <c r="BY331" s="124" t="str">
        <f aca="false">IF(ISBLANK($C331),"",IF($BL331&lt;&gt;Constants!$B$4,$BL331,IF(ISNUMBER($BX331),RANK($BX331,$BX$9:$BX$508,0),COUNT($BX$9:$BX$508)+1)))</f>
        <v/>
      </c>
      <c r="BZ331" s="124" t="str">
        <f aca="false">IF(ISBLANK($C331),"",IF($BL331&lt;&gt;Constants!$B$4,$BL331,COUNTIFS($BM$9:$BM$508,"&lt;"&amp;$BM331)+COUNTIFS($BM$9:$BM$508,$BM331,$BP$9:$BP$508,"&lt;"&amp;$BP331)+COUNTIFS($BM$9:$BM$508,$BM331,$BP$9:$BP$508,$BP331,$BS$9:$BS$508,"&lt;"&amp;$BS331)+COUNTIFS($BM$9:$BM$508,$BM331,$BP$9:$BP$508,$BP331,$BS$9:$BS$508,$BS331,$BU$9:$BU$508,"&lt;"&amp;$BU331)+COUNTIFS($BM$9:$BM$508,$BM331,$BP$9:$BP$508,$BP331,$BS$9:$BS$508,$BS331,$BU$9:$BU$508,$BU331,$BW$9:$BW$508,"&lt;"&amp;$BW331)+COUNTIFS($BM$9:$BM$508,$BM331,$BP$9:$BP$508,$BP331,$BS$9:$BS$508,$BS331,$BU$9:$BU$508,$BU331,$BW$9:$BW$508,$BW331,$BY$9:$BY$508,"&lt;"&amp;$BY331)+1))</f>
        <v/>
      </c>
      <c r="CA331" s="124" t="str">
        <f aca="false">IF(ISBLANK($C331),"",IF($BL331&lt;&gt;Constants!$B$4,$BL331,$BQ331-$BZ331))</f>
        <v/>
      </c>
      <c r="CB331" s="130"/>
      <c r="CC331" s="131" t="str">
        <f aca="false">IF(ISBLANK($C331),"",IF($BL331=Constants!$B$8,$AR331,""))</f>
        <v/>
      </c>
      <c r="CD331" s="131" t="str">
        <f aca="false">IF(ISBLANK($C331),"",IF($BL331&lt;&gt;Constants!$B$4,"",IF($BB331="-&gt;",2,1)))</f>
        <v/>
      </c>
      <c r="CE331" s="132" t="str">
        <f aca="false">IF(ISBLANK($C331),"",IF($BL331&lt;&gt;Constants!$B$4,"",IF($BB331="-&gt;",$BE331,$AU331)))</f>
        <v/>
      </c>
      <c r="CF331" s="132" t="str">
        <f aca="false">IF(ISBLANK($C331),"",IF($BL331&lt;&gt;Constants!$B$4,"",IF($BB331="-&gt;",$BF331,$AV331)))</f>
        <v/>
      </c>
      <c r="CG331" s="132" t="str">
        <f aca="false">IF(ISBLANK($C331),"",IF($BL331&lt;&gt;Constants!$B$4,"",IF($BB331="-&gt;",$BG331,$AW331)))</f>
        <v/>
      </c>
      <c r="CH331" s="132" t="str">
        <f aca="false">IF(ISBLANK($C331),"",IF($BL331&lt;&gt;Constants!$B$4,"",IF($BB331="-&gt;",$BH331,$AX331)))</f>
        <v/>
      </c>
      <c r="CI331" s="133" t="str">
        <f aca="false">IF(ISBLANK($C331),"",$BO331)</f>
        <v/>
      </c>
      <c r="CJ331" s="134" t="str">
        <f aca="false">IF(ISBLANK($C331),"",$BM331)</f>
        <v/>
      </c>
      <c r="CK331" s="135" t="str">
        <f aca="false">IF(ISBLANK($C331),"",$CA331)</f>
        <v/>
      </c>
      <c r="CL331" s="135" t="str">
        <f aca="false">IF(ISBLANK($C331),"",$BZ331)</f>
        <v/>
      </c>
      <c r="CM331" s="136" t="str">
        <f aca="false">IF(ISBLANK($C331),"",IF($CL331=Constants!$B$7,COUNTA($C$9:$C$508)+2,IF($CL331=Constants!$B$6,COUNTA($C$9:$C$508)+1,IF($CL331=Constants!$B$5,COUNTA($C$9:$C$508),$CL331))))</f>
        <v/>
      </c>
      <c r="CN331" s="8"/>
      <c r="CO331" s="137" t="n">
        <f aca="false">IF(OR(ISNUMBER($CL331),$CL331=Constants!$B$7,$CL331=Constants!$B$5,$CL331=Constants!$B$6),1,0)</f>
        <v>0</v>
      </c>
      <c r="CP331" s="137" t="n">
        <v>323</v>
      </c>
      <c r="CQ331" s="137" t="str">
        <f aca="false">IF(ISBLANK($C331),"",IF(ISNUMBER($CM331),$CM331+ROW($B331)/1000,""))</f>
        <v/>
      </c>
      <c r="CR331" s="137" t="str">
        <f aca="false">IF(ISNUMBER($CQ331),RANK($CQ331,$CQ$9:$CQ$508,1),"")</f>
        <v/>
      </c>
      <c r="CS331" s="137" t="str">
        <f aca="false">IF(ISBLANK($C331),"",$B331)</f>
        <v/>
      </c>
      <c r="CT331" s="137" t="str">
        <f aca="false">IF(ISBLANK($C331),"",$C331)</f>
        <v/>
      </c>
      <c r="CU331" s="137" t="str">
        <f aca="false">IF(ISBLANK($C331),"",$D331)</f>
        <v/>
      </c>
      <c r="CV331" s="138" t="str">
        <f aca="false">$CJ331</f>
        <v/>
      </c>
      <c r="CW331" s="139" t="str">
        <f aca="false">$CI331</f>
        <v/>
      </c>
      <c r="CX331" s="137" t="str">
        <f aca="false">IF(ISBLANK($C331),"",$CL331)</f>
        <v/>
      </c>
      <c r="CY331" s="140" t="str">
        <f aca="false">IF($CP331&gt;$CO$8,"",VLOOKUP($CP331,$CR$9:$CX$508,7,FALSE()))</f>
        <v/>
      </c>
      <c r="CZ331" s="141" t="str">
        <f aca="false">IF($CP331&gt;$CO$8,"",VLOOKUP($CP331,$CR$9:$CX$508,2,FALSE()))</f>
        <v/>
      </c>
      <c r="DA331" s="141" t="str">
        <f aca="false">IF($CP331&gt;$CO$8,"",VLOOKUP($CP331,$CR$9:$CX$508,3,FALSE()))</f>
        <v/>
      </c>
      <c r="DB331" s="141" t="str">
        <f aca="false">IF($CP331&gt;$CO$8,"",VLOOKUP($CP331,$CR$9:$CX$508,4,FALSE()))</f>
        <v/>
      </c>
      <c r="DC331" s="141" t="str">
        <f aca="false">IF($CP331&gt;$CO$8,"",VLOOKUP($CP331,$CR$9:$CX$508,5,FALSE()))</f>
        <v/>
      </c>
      <c r="DD331" s="142" t="str">
        <f aca="false">IF($CP331&gt;$CO$8,"",VLOOKUP($CP331,$CR$9:$CX$508,6,FALSE()))</f>
        <v/>
      </c>
      <c r="DE331" s="70"/>
    </row>
    <row r="332" customFormat="false" ht="15.75" hidden="false" customHeight="false" outlineLevel="0" collapsed="false">
      <c r="A332" s="8"/>
      <c r="B332" s="146"/>
      <c r="C332" s="147"/>
      <c r="D332" s="148"/>
      <c r="E332" s="164"/>
      <c r="F332" s="150"/>
      <c r="G332" s="115"/>
      <c r="H332" s="115"/>
      <c r="I332" s="115"/>
      <c r="J332" s="165"/>
      <c r="K332" s="154"/>
      <c r="L332" s="154"/>
      <c r="M332" s="118"/>
      <c r="N332" s="154"/>
      <c r="O332" s="153"/>
      <c r="P332" s="154"/>
      <c r="Q332" s="154"/>
      <c r="R332" s="154"/>
      <c r="S332" s="115"/>
      <c r="T332" s="154"/>
      <c r="U332" s="153"/>
      <c r="V332" s="154"/>
      <c r="W332" s="123"/>
      <c r="X332" s="124" t="str">
        <f aca="false">IF(ISBLANK($C332),"",IF($E332=Constants!$B$2,TRUE(),IF($E332=Constants!$B$3,FALSE(),TRUE())))</f>
        <v/>
      </c>
      <c r="Y332" s="124" t="str">
        <f aca="false">IF(ISBLANK($C332),"",IF($F332=Constants!$B$2,TRUE(),IF($F332=Constants!$B$3,FALSE(),TRUE())))</f>
        <v/>
      </c>
      <c r="Z332" s="125" t="str">
        <f aca="false">IF(ISBLANK($C332),"",IF(ISNUMBER($G332),IF($G332&gt;=0,$G332,""),""))</f>
        <v/>
      </c>
      <c r="AA332" s="125" t="str">
        <f aca="false">IF(ISBLANK($C332),"",IF(ISNUMBER($H332),IF($H332&gt;=0,$H332,""),""))</f>
        <v/>
      </c>
      <c r="AB332" s="125" t="str">
        <f aca="false">IF(ISBLANK($C332),"",IF(ISNUMBER($I332),IF($I332&gt;=0,$I332,""),""))</f>
        <v/>
      </c>
      <c r="AC332" s="124" t="str">
        <f aca="false">IF(ISBLANK($C332),"",IF($J332=Constants!$B$2,TRUE(),IF($J332=Constants!$B$3,FALSE(),TRUE())))</f>
        <v/>
      </c>
      <c r="AD332" s="124" t="str">
        <f aca="false">IF(ISBLANK($C332),"",IF($K332=Constants!$B$2,TRUE(),IF($K332=Constants!$B$3,FALSE(),TRUE())))</f>
        <v/>
      </c>
      <c r="AE332" s="124" t="str">
        <f aca="false">IF(ISBLANK($C332),"",IF($L332=Constants!$B$2,TRUE(),IF($L332=Constants!$B$3,FALSE(),TRUE())))</f>
        <v/>
      </c>
      <c r="AF332" s="126" t="str">
        <f aca="false">IF(ISBLANK($C332),"",IF(ISNUMBER($M332),IF($M332&gt;=0,$M332,""),""))</f>
        <v/>
      </c>
      <c r="AG332" s="124" t="str">
        <f aca="false">IF(ISBLANK($C332),"",IF(ISBLANK($N332),0,IF(ISNUMBER($N332),IF(AND($N332&gt;=0,$N332&lt;=Constants!$B$17,$N332=INT($N332)),$N332,""),"")))</f>
        <v/>
      </c>
      <c r="AH332" s="125" t="str">
        <f aca="false">IF(ISBLANK($C332),"",IF(ISBLANK($O332),0,IF(ISNUMBER($O332),IF($O332&gt;=0,$O332,""),"")))</f>
        <v/>
      </c>
      <c r="AI332" s="124" t="str">
        <f aca="false">IF(ISBLANK($C332),"",IF($P332=Constants!$B$2,TRUE(),IF($P332=Constants!$B$3,FALSE(),TRUE())))</f>
        <v/>
      </c>
      <c r="AJ332" s="124" t="str">
        <f aca="false">IF(ISBLANK($C332),"",IF($Q332=Constants!$B$2,TRUE(),IF($Q332=Constants!$B$3,FALSE(),TRUE())))</f>
        <v/>
      </c>
      <c r="AK332" s="124" t="str">
        <f aca="false">IF(ISBLANK($C332),"",IF($R332=Constants!$B$2,TRUE(),IF($R332=Constants!$B$3,FALSE(),TRUE())))</f>
        <v/>
      </c>
      <c r="AL332" s="126" t="str">
        <f aca="false">IF(ISBLANK($C332),"",IF(ISNUMBER($S332),IF($S332&gt;=0,$S332,""),""))</f>
        <v/>
      </c>
      <c r="AM332" s="124" t="str">
        <f aca="false">IF(ISBLANK($C332),"",IF(ISBLANK($T332),0,IF(ISNUMBER($T332),IF(AND($T332&gt;=0,$T332&lt;=Constants!$B$17,$T332=INT($T332)),$T332,""),"")))</f>
        <v/>
      </c>
      <c r="AN332" s="125" t="str">
        <f aca="false">IF(ISBLANK($C332),"",IF(ISBLANK($U332),0,IF(ISNUMBER($U332),IF($U332&gt;=0,$U332,""),"")))</f>
        <v/>
      </c>
      <c r="AO332" s="124" t="str">
        <f aca="false">IF(ISBLANK($C332),"",IF($V332=Constants!$B$2,TRUE(),IF($V332=Constants!$B$3,FALSE(),FALSE())))</f>
        <v/>
      </c>
      <c r="AP332" s="124"/>
      <c r="AQ332" s="123" t="str">
        <f aca="false">IF(ISBLANK($C332),"",AND($Y332,OR($AS332,$BC332),OR($Z332="",$AA332="",$AB332="")))</f>
        <v/>
      </c>
      <c r="AR332" s="123" t="str">
        <f aca="false">IF(ISBLANK($C332),"",IF(OR(NOT($Y332),NOT(OR($AS332,$BC332))),"",IF(ISBLANK($D$7),$AR$5,IF($AP$9="",$AR$6,""))))</f>
        <v/>
      </c>
      <c r="AS332" s="123" t="str">
        <f aca="false">IF(ISBLANK($C332),"",COUNTA($J332:$O332)&gt;0)</f>
        <v/>
      </c>
      <c r="AT332" s="123" t="str">
        <f aca="false">IF(ISBLANK($C332),"",AND($AS332,OR(AND($AF332="",OR($AE332,NOT(ISBLANK($M332)))),$AG332="",$AH332="")))</f>
        <v/>
      </c>
      <c r="AU332" s="125" t="str">
        <f aca="false">IF($BL332&lt;&gt;Constants!$B$4,"",IF(NOT($AS332),"",ROUND((Constants!$B$12-$AB332)+(Constants!$B$13-$Z332)+(Constants!$B$14-$AA332),1)))</f>
        <v/>
      </c>
      <c r="AV332" s="127" t="str">
        <f aca="false">IF($BL332&lt;&gt;Constants!$B$4,"",IF(NOT($AS332),"",IF(NOT($AE332),0,Constants!$B$15*(INT(ROUND(MIN($AF332,$AP$9),6))-INT(ROUND(MAX(0,MIN($AF332,2*$AP$9)-$AP$9),6))))))</f>
        <v/>
      </c>
      <c r="AW332" s="127" t="str">
        <f aca="false">IF($BL332&lt;&gt;Constants!$B$4,"",IF(NOT($AS332),"",Constants!$B$16*$AG332))</f>
        <v/>
      </c>
      <c r="AX332" s="127" t="str">
        <f aca="false">IF($BL332&lt;&gt;Constants!$B$4,"",IF(NOT($AS332),"",Constants!$B$18*INT(ROUND($AH332,6))))</f>
        <v/>
      </c>
      <c r="AY332" s="123" t="str">
        <f aca="false">IF($BL332&lt;&gt;Constants!$B$4,"",IF(NOT($AS332),"",IF(NOT($X332),Constants!$B$11,IF(OR(NOT($AC332),NOT($AD332),ROUND($AB332,1)&gt;Constants!$B$12,ROUND($Z332,1)&gt;Constants!$B$13,ROUND($AA332,1)&gt;Constants!$B$14),Constants!$B$10,Constants!$B$9))))</f>
        <v/>
      </c>
      <c r="AZ332" s="128" t="str">
        <f aca="false">IF($BL332&lt;&gt;Constants!$B$4,"",IF(NOT($AS332),"",ROUND($AU332+$AV332+$AW332+$AX332,1)))</f>
        <v/>
      </c>
      <c r="BA332" s="129" t="str">
        <f aca="false">IF($BL332&lt;&gt;Constants!$B$4,"",IF(NOT($AS332),"",IF(ISNUMBER($AF332),$AF332,0)))</f>
        <v/>
      </c>
      <c r="BB332" s="124" t="str">
        <f aca="false">IF($BL332&lt;&gt;Constants!$B$4,"",IF(NOT($BC332),"&lt;-",IF(NOT($AS332),"-&gt;",IF(OR($BI332&lt;$AY332,AND($BI332=$AY332,OR($BJ332&gt;$AZ332,AND($BJ332=$AZ332,OR($BH332&gt;$AX332,AND($BH332=$AX332,OR($BE332&gt;$AU332,AND($BE332=$AU332,OR($BF332&gt;$AV332,AND($BF332=$AV332,$BK332&gt;$BA332)))))))))),"-&gt;","&lt;-"))))</f>
        <v/>
      </c>
      <c r="BC332" s="123" t="str">
        <f aca="false">IF(ISBLANK($C332),"",COUNTA($P332:$U332)&gt;0)</f>
        <v/>
      </c>
      <c r="BD332" s="123" t="str">
        <f aca="false">IF(ISBLANK($C332),"",AND($BC332,OR(AND($AL332="",OR($AK332,NOT(ISBLANK($S332)))),$AM332="",$AN332="")))</f>
        <v/>
      </c>
      <c r="BE332" s="125" t="str">
        <f aca="false">IF($BL332&lt;&gt;Constants!$B$4,"",IF(NOT($BC332),"",ROUND((Constants!$B$12-$AB332)+(Constants!$B$13-$Z332)+(Constants!$B$14-$AA332),1)))</f>
        <v/>
      </c>
      <c r="BF332" s="127" t="str">
        <f aca="false">IF($BL332&lt;&gt;Constants!$B$4,"",IF(NOT($BC332),"",IF(NOT($AK332),0,Constants!$B$15*(INT(ROUND(MIN($AL332,$AP$9),6))-INT(ROUND(MAX(0,MIN($AL332,2*$AP$9)-$AP$9),6))))))</f>
        <v/>
      </c>
      <c r="BG332" s="127" t="str">
        <f aca="false">IF($BL332&lt;&gt;Constants!$B$4,"",IF(NOT($BC332),"",Constants!$B$16*$AM332))</f>
        <v/>
      </c>
      <c r="BH332" s="127" t="str">
        <f aca="false">IF($BL332&lt;&gt;Constants!$B$4,"",IF(NOT($BC332),"",Constants!$B$18*INT(ROUND($AN332,6))))</f>
        <v/>
      </c>
      <c r="BI332" s="123" t="str">
        <f aca="false">IF($BL332&lt;&gt;Constants!$B$4,"",IF(NOT($BC332),"",IF(NOT($X332),Constants!$B$11,IF(OR(NOT($AI332),NOT($AJ332),ROUND($AB332,1)&gt;Constants!$B$12,ROUND($Z332,1)&gt;Constants!$B$13,ROUND($AA332,1)&gt;Constants!$B$14),Constants!$B$10,Constants!$B$9))))</f>
        <v/>
      </c>
      <c r="BJ332" s="128" t="str">
        <f aca="false">IF($BL332&lt;&gt;Constants!$B$4,"",IF(NOT($BC332),"",ROUND($BE332+$BF332+$BG332+$BH332,1)))</f>
        <v/>
      </c>
      <c r="BK332" s="129" t="str">
        <f aca="false">IF($BL332&lt;&gt;Constants!$B$4,"",IF(NOT($BC332),"",IF(ISNUMBER($AL332),$AL332,0)))</f>
        <v/>
      </c>
      <c r="BL332" s="124" t="str">
        <f aca="false">IF(ISBLANK($C332),"",IF($AO332,Constants!$B$7,IF(COUNTA($E332:$V332)=0,Constants!$B$6,IF(NOT($Y332),Constants!$B$5,IF(NOT(OR($AS332,$BC332)),Constants!$B$5,IF(OR($AT332,$BD332,$AQ332,$AR332&lt;&gt;""),Constants!$B$8,Constants!$B$4))))))</f>
        <v/>
      </c>
      <c r="BM332" s="124" t="str">
        <f aca="false">IF(ISBLANK($C332),"",IF($BL332&lt;&gt;Constants!$B$4,$BL332,IF($BB332="-&gt;",$BI332,$AY332)))</f>
        <v/>
      </c>
      <c r="BN332" s="127" t="str">
        <f aca="false">IF($BL332&lt;&gt;Constants!$B$4,"",IF($BB332="-&gt;",$BJ332,$AZ332))</f>
        <v/>
      </c>
      <c r="BO332" s="127" t="str">
        <f aca="false">IF(ISBLANK($C332),"",IF($BL332&lt;&gt;Constants!$B$4,$BL332,$BN332))</f>
        <v/>
      </c>
      <c r="BP332" s="124" t="str">
        <f aca="false">IF(ISBLANK($C332),"",IF($BL332&lt;&gt;Constants!$B$4,$BL332,RANK($BO332,$BO$9:$BO$508,0)))</f>
        <v/>
      </c>
      <c r="BQ332" s="124" t="str">
        <f aca="false">IF(ISBLANK($C332),"",IF($BL332&lt;&gt;Constants!$B$4,$BL332,COUNTIFS($BM$9:$BM$508,"&lt;"&amp;$BM332)+COUNTIFS($BM$9:$BM$508,$BM332,$BP$9:$BP$508,"&lt;"&amp;$BP332)+1))</f>
        <v/>
      </c>
      <c r="BR332" s="127" t="str">
        <f aca="false">IF($BL332&lt;&gt;Constants!$B$4,"",IF($BB332="-&gt;",$BH332,$AX332))</f>
        <v/>
      </c>
      <c r="BS332" s="124" t="str">
        <f aca="false">IF(ISBLANK($C332),"",IF($BL332&lt;&gt;Constants!$B$4,$BL332,IF(ISNUMBER($BR332),RANK($BR332,$BR$9:$BR$508,0),COUNT($BR$9:$BR$508)+1)))</f>
        <v/>
      </c>
      <c r="BT332" s="127" t="str">
        <f aca="false">IF($BL332&lt;&gt;Constants!$B$4,"",IF($BB332="-&gt;",$BE332,$AU332))</f>
        <v/>
      </c>
      <c r="BU332" s="124" t="str">
        <f aca="false">IF(ISBLANK($C332),"",IF($BL332&lt;&gt;Constants!$B$4,$BL332,IF(ISNUMBER($BT332),RANK($BT332,$BT$9:$BT$508,0),COUNT($BT$9:$BT$508)+1)))</f>
        <v/>
      </c>
      <c r="BV332" s="127" t="str">
        <f aca="false">IF($BL332&lt;&gt;Constants!$B$4,"",IF($BB332="-&gt;",$BF332,$AV332))</f>
        <v/>
      </c>
      <c r="BW332" s="124" t="str">
        <f aca="false">IF(ISBLANK($C332),"",IF($BL332&lt;&gt;Constants!$B$4,$BL332,IF(ISNUMBER($BV332),RANK($BV332,$BV$9:$BV$508,0),COUNT($BV$9:$BV$508)+1)))</f>
        <v/>
      </c>
      <c r="BX332" s="127" t="str">
        <f aca="false">IF($BL332&lt;&gt;Constants!$B$4,"",IF($BB332="-&gt;",$BK332,$BA332))</f>
        <v/>
      </c>
      <c r="BY332" s="124" t="str">
        <f aca="false">IF(ISBLANK($C332),"",IF($BL332&lt;&gt;Constants!$B$4,$BL332,IF(ISNUMBER($BX332),RANK($BX332,$BX$9:$BX$508,0),COUNT($BX$9:$BX$508)+1)))</f>
        <v/>
      </c>
      <c r="BZ332" s="124" t="str">
        <f aca="false">IF(ISBLANK($C332),"",IF($BL332&lt;&gt;Constants!$B$4,$BL332,COUNTIFS($BM$9:$BM$508,"&lt;"&amp;$BM332)+COUNTIFS($BM$9:$BM$508,$BM332,$BP$9:$BP$508,"&lt;"&amp;$BP332)+COUNTIFS($BM$9:$BM$508,$BM332,$BP$9:$BP$508,$BP332,$BS$9:$BS$508,"&lt;"&amp;$BS332)+COUNTIFS($BM$9:$BM$508,$BM332,$BP$9:$BP$508,$BP332,$BS$9:$BS$508,$BS332,$BU$9:$BU$508,"&lt;"&amp;$BU332)+COUNTIFS($BM$9:$BM$508,$BM332,$BP$9:$BP$508,$BP332,$BS$9:$BS$508,$BS332,$BU$9:$BU$508,$BU332,$BW$9:$BW$508,"&lt;"&amp;$BW332)+COUNTIFS($BM$9:$BM$508,$BM332,$BP$9:$BP$508,$BP332,$BS$9:$BS$508,$BS332,$BU$9:$BU$508,$BU332,$BW$9:$BW$508,$BW332,$BY$9:$BY$508,"&lt;"&amp;$BY332)+1))</f>
        <v/>
      </c>
      <c r="CA332" s="124" t="str">
        <f aca="false">IF(ISBLANK($C332),"",IF($BL332&lt;&gt;Constants!$B$4,$BL332,$BQ332-$BZ332))</f>
        <v/>
      </c>
      <c r="CB332" s="130"/>
      <c r="CC332" s="131" t="str">
        <f aca="false">IF(ISBLANK($C332),"",IF($BL332=Constants!$B$8,$AR332,""))</f>
        <v/>
      </c>
      <c r="CD332" s="131" t="str">
        <f aca="false">IF(ISBLANK($C332),"",IF($BL332&lt;&gt;Constants!$B$4,"",IF($BB332="-&gt;",2,1)))</f>
        <v/>
      </c>
      <c r="CE332" s="132" t="str">
        <f aca="false">IF(ISBLANK($C332),"",IF($BL332&lt;&gt;Constants!$B$4,"",IF($BB332="-&gt;",$BE332,$AU332)))</f>
        <v/>
      </c>
      <c r="CF332" s="132" t="str">
        <f aca="false">IF(ISBLANK($C332),"",IF($BL332&lt;&gt;Constants!$B$4,"",IF($BB332="-&gt;",$BF332,$AV332)))</f>
        <v/>
      </c>
      <c r="CG332" s="132" t="str">
        <f aca="false">IF(ISBLANK($C332),"",IF($BL332&lt;&gt;Constants!$B$4,"",IF($BB332="-&gt;",$BG332,$AW332)))</f>
        <v/>
      </c>
      <c r="CH332" s="132" t="str">
        <f aca="false">IF(ISBLANK($C332),"",IF($BL332&lt;&gt;Constants!$B$4,"",IF($BB332="-&gt;",$BH332,$AX332)))</f>
        <v/>
      </c>
      <c r="CI332" s="133" t="str">
        <f aca="false">IF(ISBLANK($C332),"",$BO332)</f>
        <v/>
      </c>
      <c r="CJ332" s="134" t="str">
        <f aca="false">IF(ISBLANK($C332),"",$BM332)</f>
        <v/>
      </c>
      <c r="CK332" s="135" t="str">
        <f aca="false">IF(ISBLANK($C332),"",$CA332)</f>
        <v/>
      </c>
      <c r="CL332" s="135" t="str">
        <f aca="false">IF(ISBLANK($C332),"",$BZ332)</f>
        <v/>
      </c>
      <c r="CM332" s="136" t="str">
        <f aca="false">IF(ISBLANK($C332),"",IF($CL332=Constants!$B$7,COUNTA($C$9:$C$508)+2,IF($CL332=Constants!$B$6,COUNTA($C$9:$C$508)+1,IF($CL332=Constants!$B$5,COUNTA($C$9:$C$508),$CL332))))</f>
        <v/>
      </c>
      <c r="CN332" s="8"/>
      <c r="CO332" s="137" t="n">
        <f aca="false">IF(OR(ISNUMBER($CL332),$CL332=Constants!$B$7,$CL332=Constants!$B$5,$CL332=Constants!$B$6),1,0)</f>
        <v>0</v>
      </c>
      <c r="CP332" s="137" t="n">
        <v>324</v>
      </c>
      <c r="CQ332" s="137" t="str">
        <f aca="false">IF(ISBLANK($C332),"",IF(ISNUMBER($CM332),$CM332+ROW($B332)/1000,""))</f>
        <v/>
      </c>
      <c r="CR332" s="137" t="str">
        <f aca="false">IF(ISNUMBER($CQ332),RANK($CQ332,$CQ$9:$CQ$508,1),"")</f>
        <v/>
      </c>
      <c r="CS332" s="137" t="str">
        <f aca="false">IF(ISBLANK($C332),"",$B332)</f>
        <v/>
      </c>
      <c r="CT332" s="137" t="str">
        <f aca="false">IF(ISBLANK($C332),"",$C332)</f>
        <v/>
      </c>
      <c r="CU332" s="137" t="str">
        <f aca="false">IF(ISBLANK($C332),"",$D332)</f>
        <v/>
      </c>
      <c r="CV332" s="138" t="str">
        <f aca="false">$CJ332</f>
        <v/>
      </c>
      <c r="CW332" s="139" t="str">
        <f aca="false">$CI332</f>
        <v/>
      </c>
      <c r="CX332" s="137" t="str">
        <f aca="false">IF(ISBLANK($C332),"",$CL332)</f>
        <v/>
      </c>
      <c r="CY332" s="140" t="str">
        <f aca="false">IF($CP332&gt;$CO$8,"",VLOOKUP($CP332,$CR$9:$CX$508,7,FALSE()))</f>
        <v/>
      </c>
      <c r="CZ332" s="141" t="str">
        <f aca="false">IF($CP332&gt;$CO$8,"",VLOOKUP($CP332,$CR$9:$CX$508,2,FALSE()))</f>
        <v/>
      </c>
      <c r="DA332" s="141" t="str">
        <f aca="false">IF($CP332&gt;$CO$8,"",VLOOKUP($CP332,$CR$9:$CX$508,3,FALSE()))</f>
        <v/>
      </c>
      <c r="DB332" s="141" t="str">
        <f aca="false">IF($CP332&gt;$CO$8,"",VLOOKUP($CP332,$CR$9:$CX$508,4,FALSE()))</f>
        <v/>
      </c>
      <c r="DC332" s="141" t="str">
        <f aca="false">IF($CP332&gt;$CO$8,"",VLOOKUP($CP332,$CR$9:$CX$508,5,FALSE()))</f>
        <v/>
      </c>
      <c r="DD332" s="142" t="str">
        <f aca="false">IF($CP332&gt;$CO$8,"",VLOOKUP($CP332,$CR$9:$CX$508,6,FALSE()))</f>
        <v/>
      </c>
      <c r="DE332" s="70"/>
    </row>
    <row r="333" customFormat="false" ht="15.75" hidden="false" customHeight="false" outlineLevel="0" collapsed="false">
      <c r="A333" s="8"/>
      <c r="B333" s="72"/>
      <c r="C333" s="73"/>
      <c r="D333" s="155"/>
      <c r="E333" s="162"/>
      <c r="F333" s="157"/>
      <c r="G333" s="77"/>
      <c r="H333" s="77"/>
      <c r="I333" s="77"/>
      <c r="J333" s="163"/>
      <c r="K333" s="161"/>
      <c r="L333" s="161"/>
      <c r="M333" s="80"/>
      <c r="N333" s="161"/>
      <c r="O333" s="160"/>
      <c r="P333" s="161"/>
      <c r="Q333" s="161"/>
      <c r="R333" s="161"/>
      <c r="S333" s="77"/>
      <c r="T333" s="161"/>
      <c r="U333" s="160"/>
      <c r="V333" s="161"/>
      <c r="W333" s="85"/>
      <c r="X333" s="86" t="str">
        <f aca="false">IF(ISBLANK($C333),"",IF($E333=Constants!$B$2,TRUE(),IF($E333=Constants!$B$3,FALSE(),TRUE())))</f>
        <v/>
      </c>
      <c r="Y333" s="86" t="str">
        <f aca="false">IF(ISBLANK($C333),"",IF($F333=Constants!$B$2,TRUE(),IF($F333=Constants!$B$3,FALSE(),TRUE())))</f>
        <v/>
      </c>
      <c r="Z333" s="87" t="str">
        <f aca="false">IF(ISBLANK($C333),"",IF(ISNUMBER($G333),IF($G333&gt;=0,$G333,""),""))</f>
        <v/>
      </c>
      <c r="AA333" s="87" t="str">
        <f aca="false">IF(ISBLANK($C333),"",IF(ISNUMBER($H333),IF($H333&gt;=0,$H333,""),""))</f>
        <v/>
      </c>
      <c r="AB333" s="87" t="str">
        <f aca="false">IF(ISBLANK($C333),"",IF(ISNUMBER($I333),IF($I333&gt;=0,$I333,""),""))</f>
        <v/>
      </c>
      <c r="AC333" s="86" t="str">
        <f aca="false">IF(ISBLANK($C333),"",IF($J333=Constants!$B$2,TRUE(),IF($J333=Constants!$B$3,FALSE(),TRUE())))</f>
        <v/>
      </c>
      <c r="AD333" s="86" t="str">
        <f aca="false">IF(ISBLANK($C333),"",IF($K333=Constants!$B$2,TRUE(),IF($K333=Constants!$B$3,FALSE(),TRUE())))</f>
        <v/>
      </c>
      <c r="AE333" s="86" t="str">
        <f aca="false">IF(ISBLANK($C333),"",IF($L333=Constants!$B$2,TRUE(),IF($L333=Constants!$B$3,FALSE(),TRUE())))</f>
        <v/>
      </c>
      <c r="AF333" s="88" t="str">
        <f aca="false">IF(ISBLANK($C333),"",IF(ISNUMBER($M333),IF($M333&gt;=0,$M333,""),""))</f>
        <v/>
      </c>
      <c r="AG333" s="86" t="str">
        <f aca="false">IF(ISBLANK($C333),"",IF(ISBLANK($N333),0,IF(ISNUMBER($N333),IF(AND($N333&gt;=0,$N333&lt;=Constants!$B$17,$N333=INT($N333)),$N333,""),"")))</f>
        <v/>
      </c>
      <c r="AH333" s="87" t="str">
        <f aca="false">IF(ISBLANK($C333),"",IF(ISBLANK($O333),0,IF(ISNUMBER($O333),IF($O333&gt;=0,$O333,""),"")))</f>
        <v/>
      </c>
      <c r="AI333" s="86" t="str">
        <f aca="false">IF(ISBLANK($C333),"",IF($P333=Constants!$B$2,TRUE(),IF($P333=Constants!$B$3,FALSE(),TRUE())))</f>
        <v/>
      </c>
      <c r="AJ333" s="86" t="str">
        <f aca="false">IF(ISBLANK($C333),"",IF($Q333=Constants!$B$2,TRUE(),IF($Q333=Constants!$B$3,FALSE(),TRUE())))</f>
        <v/>
      </c>
      <c r="AK333" s="86" t="str">
        <f aca="false">IF(ISBLANK($C333),"",IF($R333=Constants!$B$2,TRUE(),IF($R333=Constants!$B$3,FALSE(),TRUE())))</f>
        <v/>
      </c>
      <c r="AL333" s="88" t="str">
        <f aca="false">IF(ISBLANK($C333),"",IF(ISNUMBER($S333),IF($S333&gt;=0,$S333,""),""))</f>
        <v/>
      </c>
      <c r="AM333" s="86" t="str">
        <f aca="false">IF(ISBLANK($C333),"",IF(ISBLANK($T333),0,IF(ISNUMBER($T333),IF(AND($T333&gt;=0,$T333&lt;=Constants!$B$17,$T333=INT($T333)),$T333,""),"")))</f>
        <v/>
      </c>
      <c r="AN333" s="87" t="str">
        <f aca="false">IF(ISBLANK($C333),"",IF(ISBLANK($U333),0,IF(ISNUMBER($U333),IF($U333&gt;=0,$U333,""),"")))</f>
        <v/>
      </c>
      <c r="AO333" s="86" t="str">
        <f aca="false">IF(ISBLANK($C333),"",IF($V333=Constants!$B$2,TRUE(),IF($V333=Constants!$B$3,FALSE(),FALSE())))</f>
        <v/>
      </c>
      <c r="AP333" s="86"/>
      <c r="AQ333" s="85" t="str">
        <f aca="false">IF(ISBLANK($C333),"",AND($Y333,OR($AS333,$BC333),OR($Z333="",$AA333="",$AB333="")))</f>
        <v/>
      </c>
      <c r="AR333" s="85" t="str">
        <f aca="false">IF(ISBLANK($C333),"",IF(OR(NOT($Y333),NOT(OR($AS333,$BC333))),"",IF(ISBLANK($D$7),$AR$5,IF($AP$9="",$AR$6,""))))</f>
        <v/>
      </c>
      <c r="AS333" s="85" t="str">
        <f aca="false">IF(ISBLANK($C333),"",COUNTA($J333:$O333)&gt;0)</f>
        <v/>
      </c>
      <c r="AT333" s="85" t="str">
        <f aca="false">IF(ISBLANK($C333),"",AND($AS333,OR(AND($AF333="",OR($AE333,NOT(ISBLANK($M333)))),$AG333="",$AH333="")))</f>
        <v/>
      </c>
      <c r="AU333" s="87" t="str">
        <f aca="false">IF($BL333&lt;&gt;Constants!$B$4,"",IF(NOT($AS333),"",ROUND((Constants!$B$12-$AB333)+(Constants!$B$13-$Z333)+(Constants!$B$14-$AA333),1)))</f>
        <v/>
      </c>
      <c r="AV333" s="90" t="str">
        <f aca="false">IF($BL333&lt;&gt;Constants!$B$4,"",IF(NOT($AS333),"",IF(NOT($AE333),0,Constants!$B$15*(INT(ROUND(MIN($AF333,$AP$9),6))-INT(ROUND(MAX(0,MIN($AF333,2*$AP$9)-$AP$9),6))))))</f>
        <v/>
      </c>
      <c r="AW333" s="90" t="str">
        <f aca="false">IF($BL333&lt;&gt;Constants!$B$4,"",IF(NOT($AS333),"",Constants!$B$16*$AG333))</f>
        <v/>
      </c>
      <c r="AX333" s="90" t="str">
        <f aca="false">IF($BL333&lt;&gt;Constants!$B$4,"",IF(NOT($AS333),"",Constants!$B$18*INT(ROUND($AH333,6))))</f>
        <v/>
      </c>
      <c r="AY333" s="85" t="str">
        <f aca="false">IF($BL333&lt;&gt;Constants!$B$4,"",IF(NOT($AS333),"",IF(NOT($X333),Constants!$B$11,IF(OR(NOT($AC333),NOT($AD333),ROUND($AB333,1)&gt;Constants!$B$12,ROUND($Z333,1)&gt;Constants!$B$13,ROUND($AA333,1)&gt;Constants!$B$14),Constants!$B$10,Constants!$B$9))))</f>
        <v/>
      </c>
      <c r="AZ333" s="91" t="str">
        <f aca="false">IF($BL333&lt;&gt;Constants!$B$4,"",IF(NOT($AS333),"",ROUND($AU333+$AV333+$AW333+$AX333,1)))</f>
        <v/>
      </c>
      <c r="BA333" s="92" t="str">
        <f aca="false">IF($BL333&lt;&gt;Constants!$B$4,"",IF(NOT($AS333),"",IF(ISNUMBER($AF333),$AF333,0)))</f>
        <v/>
      </c>
      <c r="BB333" s="86" t="str">
        <f aca="false">IF($BL333&lt;&gt;Constants!$B$4,"",IF(NOT($BC333),"&lt;-",IF(NOT($AS333),"-&gt;",IF(OR($BI333&lt;$AY333,AND($BI333=$AY333,OR($BJ333&gt;$AZ333,AND($BJ333=$AZ333,OR($BH333&gt;$AX333,AND($BH333=$AX333,OR($BE333&gt;$AU333,AND($BE333=$AU333,OR($BF333&gt;$AV333,AND($BF333=$AV333,$BK333&gt;$BA333)))))))))),"-&gt;","&lt;-"))))</f>
        <v/>
      </c>
      <c r="BC333" s="85" t="str">
        <f aca="false">IF(ISBLANK($C333),"",COUNTA($P333:$U333)&gt;0)</f>
        <v/>
      </c>
      <c r="BD333" s="85" t="str">
        <f aca="false">IF(ISBLANK($C333),"",AND($BC333,OR(AND($AL333="",OR($AK333,NOT(ISBLANK($S333)))),$AM333="",$AN333="")))</f>
        <v/>
      </c>
      <c r="BE333" s="87" t="str">
        <f aca="false">IF($BL333&lt;&gt;Constants!$B$4,"",IF(NOT($BC333),"",ROUND((Constants!$B$12-$AB333)+(Constants!$B$13-$Z333)+(Constants!$B$14-$AA333),1)))</f>
        <v/>
      </c>
      <c r="BF333" s="90" t="str">
        <f aca="false">IF($BL333&lt;&gt;Constants!$B$4,"",IF(NOT($BC333),"",IF(NOT($AK333),0,Constants!$B$15*(INT(ROUND(MIN($AL333,$AP$9),6))-INT(ROUND(MAX(0,MIN($AL333,2*$AP$9)-$AP$9),6))))))</f>
        <v/>
      </c>
      <c r="BG333" s="90" t="str">
        <f aca="false">IF($BL333&lt;&gt;Constants!$B$4,"",IF(NOT($BC333),"",Constants!$B$16*$AM333))</f>
        <v/>
      </c>
      <c r="BH333" s="90" t="str">
        <f aca="false">IF($BL333&lt;&gt;Constants!$B$4,"",IF(NOT($BC333),"",Constants!$B$18*INT(ROUND($AN333,6))))</f>
        <v/>
      </c>
      <c r="BI333" s="85" t="str">
        <f aca="false">IF($BL333&lt;&gt;Constants!$B$4,"",IF(NOT($BC333),"",IF(NOT($X333),Constants!$B$11,IF(OR(NOT($AI333),NOT($AJ333),ROUND($AB333,1)&gt;Constants!$B$12,ROUND($Z333,1)&gt;Constants!$B$13,ROUND($AA333,1)&gt;Constants!$B$14),Constants!$B$10,Constants!$B$9))))</f>
        <v/>
      </c>
      <c r="BJ333" s="91" t="str">
        <f aca="false">IF($BL333&lt;&gt;Constants!$B$4,"",IF(NOT($BC333),"",ROUND($BE333+$BF333+$BG333+$BH333,1)))</f>
        <v/>
      </c>
      <c r="BK333" s="92" t="str">
        <f aca="false">IF($BL333&lt;&gt;Constants!$B$4,"",IF(NOT($BC333),"",IF(ISNUMBER($AL333),$AL333,0)))</f>
        <v/>
      </c>
      <c r="BL333" s="86" t="str">
        <f aca="false">IF(ISBLANK($C333),"",IF($AO333,Constants!$B$7,IF(COUNTA($E333:$V333)=0,Constants!$B$6,IF(NOT($Y333),Constants!$B$5,IF(NOT(OR($AS333,$BC333)),Constants!$B$5,IF(OR($AT333,$BD333,$AQ333,$AR333&lt;&gt;""),Constants!$B$8,Constants!$B$4))))))</f>
        <v/>
      </c>
      <c r="BM333" s="86" t="str">
        <f aca="false">IF(ISBLANK($C333),"",IF($BL333&lt;&gt;Constants!$B$4,$BL333,IF($BB333="-&gt;",$BI333,$AY333)))</f>
        <v/>
      </c>
      <c r="BN333" s="90" t="str">
        <f aca="false">IF($BL333&lt;&gt;Constants!$B$4,"",IF($BB333="-&gt;",$BJ333,$AZ333))</f>
        <v/>
      </c>
      <c r="BO333" s="90" t="str">
        <f aca="false">IF(ISBLANK($C333),"",IF($BL333&lt;&gt;Constants!$B$4,$BL333,$BN333))</f>
        <v/>
      </c>
      <c r="BP333" s="86" t="str">
        <f aca="false">IF(ISBLANK($C333),"",IF($BL333&lt;&gt;Constants!$B$4,$BL333,RANK($BO333,$BO$9:$BO$508,0)))</f>
        <v/>
      </c>
      <c r="BQ333" s="86" t="str">
        <f aca="false">IF(ISBLANK($C333),"",IF($BL333&lt;&gt;Constants!$B$4,$BL333,COUNTIFS($BM$9:$BM$508,"&lt;"&amp;$BM333)+COUNTIFS($BM$9:$BM$508,$BM333,$BP$9:$BP$508,"&lt;"&amp;$BP333)+1))</f>
        <v/>
      </c>
      <c r="BR333" s="90" t="str">
        <f aca="false">IF($BL333&lt;&gt;Constants!$B$4,"",IF($BB333="-&gt;",$BH333,$AX333))</f>
        <v/>
      </c>
      <c r="BS333" s="86" t="str">
        <f aca="false">IF(ISBLANK($C333),"",IF($BL333&lt;&gt;Constants!$B$4,$BL333,IF(ISNUMBER($BR333),RANK($BR333,$BR$9:$BR$508,0),COUNT($BR$9:$BR$508)+1)))</f>
        <v/>
      </c>
      <c r="BT333" s="90" t="str">
        <f aca="false">IF($BL333&lt;&gt;Constants!$B$4,"",IF($BB333="-&gt;",$BE333,$AU333))</f>
        <v/>
      </c>
      <c r="BU333" s="86" t="str">
        <f aca="false">IF(ISBLANK($C333),"",IF($BL333&lt;&gt;Constants!$B$4,$BL333,IF(ISNUMBER($BT333),RANK($BT333,$BT$9:$BT$508,0),COUNT($BT$9:$BT$508)+1)))</f>
        <v/>
      </c>
      <c r="BV333" s="90" t="str">
        <f aca="false">IF($BL333&lt;&gt;Constants!$B$4,"",IF($BB333="-&gt;",$BF333,$AV333))</f>
        <v/>
      </c>
      <c r="BW333" s="86" t="str">
        <f aca="false">IF(ISBLANK($C333),"",IF($BL333&lt;&gt;Constants!$B$4,$BL333,IF(ISNUMBER($BV333),RANK($BV333,$BV$9:$BV$508,0),COUNT($BV$9:$BV$508)+1)))</f>
        <v/>
      </c>
      <c r="BX333" s="90" t="str">
        <f aca="false">IF($BL333&lt;&gt;Constants!$B$4,"",IF($BB333="-&gt;",$BK333,$BA333))</f>
        <v/>
      </c>
      <c r="BY333" s="86" t="str">
        <f aca="false">IF(ISBLANK($C333),"",IF($BL333&lt;&gt;Constants!$B$4,$BL333,IF(ISNUMBER($BX333),RANK($BX333,$BX$9:$BX$508,0),COUNT($BX$9:$BX$508)+1)))</f>
        <v/>
      </c>
      <c r="BZ333" s="86" t="str">
        <f aca="false">IF(ISBLANK($C333),"",IF($BL333&lt;&gt;Constants!$B$4,$BL333,COUNTIFS($BM$9:$BM$508,"&lt;"&amp;$BM333)+COUNTIFS($BM$9:$BM$508,$BM333,$BP$9:$BP$508,"&lt;"&amp;$BP333)+COUNTIFS($BM$9:$BM$508,$BM333,$BP$9:$BP$508,$BP333,$BS$9:$BS$508,"&lt;"&amp;$BS333)+COUNTIFS($BM$9:$BM$508,$BM333,$BP$9:$BP$508,$BP333,$BS$9:$BS$508,$BS333,$BU$9:$BU$508,"&lt;"&amp;$BU333)+COUNTIFS($BM$9:$BM$508,$BM333,$BP$9:$BP$508,$BP333,$BS$9:$BS$508,$BS333,$BU$9:$BU$508,$BU333,$BW$9:$BW$508,"&lt;"&amp;$BW333)+COUNTIFS($BM$9:$BM$508,$BM333,$BP$9:$BP$508,$BP333,$BS$9:$BS$508,$BS333,$BU$9:$BU$508,$BU333,$BW$9:$BW$508,$BW333,$BY$9:$BY$508,"&lt;"&amp;$BY333)+1))</f>
        <v/>
      </c>
      <c r="CA333" s="86" t="str">
        <f aca="false">IF(ISBLANK($C333),"",IF($BL333&lt;&gt;Constants!$B$4,$BL333,$BQ333-$BZ333))</f>
        <v/>
      </c>
      <c r="CB333" s="93"/>
      <c r="CC333" s="94" t="str">
        <f aca="false">IF(ISBLANK($C333),"",IF($BL333=Constants!$B$8,$AR333,""))</f>
        <v/>
      </c>
      <c r="CD333" s="94" t="str">
        <f aca="false">IF(ISBLANK($C333),"",IF($BL333&lt;&gt;Constants!$B$4,"",IF($BB333="-&gt;",2,1)))</f>
        <v/>
      </c>
      <c r="CE333" s="95" t="str">
        <f aca="false">IF(ISBLANK($C333),"",IF($BL333&lt;&gt;Constants!$B$4,"",IF($BB333="-&gt;",$BE333,$AU333)))</f>
        <v/>
      </c>
      <c r="CF333" s="95" t="str">
        <f aca="false">IF(ISBLANK($C333),"",IF($BL333&lt;&gt;Constants!$B$4,"",IF($BB333="-&gt;",$BF333,$AV333)))</f>
        <v/>
      </c>
      <c r="CG333" s="95" t="str">
        <f aca="false">IF(ISBLANK($C333),"",IF($BL333&lt;&gt;Constants!$B$4,"",IF($BB333="-&gt;",$BG333,$AW333)))</f>
        <v/>
      </c>
      <c r="CH333" s="95" t="str">
        <f aca="false">IF(ISBLANK($C333),"",IF($BL333&lt;&gt;Constants!$B$4,"",IF($BB333="-&gt;",$BH333,$AX333)))</f>
        <v/>
      </c>
      <c r="CI333" s="96" t="str">
        <f aca="false">IF(ISBLANK($C333),"",$BO333)</f>
        <v/>
      </c>
      <c r="CJ333" s="97" t="str">
        <f aca="false">IF(ISBLANK($C333),"",$BM333)</f>
        <v/>
      </c>
      <c r="CK333" s="98" t="str">
        <f aca="false">IF(ISBLANK($C333),"",$CA333)</f>
        <v/>
      </c>
      <c r="CL333" s="98" t="str">
        <f aca="false">IF(ISBLANK($C333),"",$BZ333)</f>
        <v/>
      </c>
      <c r="CM333" s="99" t="str">
        <f aca="false">IF(ISBLANK($C333),"",IF($CL333=Constants!$B$7,COUNTA($C$9:$C$508)+2,IF($CL333=Constants!$B$6,COUNTA($C$9:$C$508)+1,IF($CL333=Constants!$B$5,COUNTA($C$9:$C$508),$CL333))))</f>
        <v/>
      </c>
      <c r="CN333" s="8"/>
      <c r="CO333" s="100" t="n">
        <f aca="false">IF(OR(ISNUMBER($CL333),$CL333=Constants!$B$7,$CL333=Constants!$B$5,$CL333=Constants!$B$6),1,0)</f>
        <v>0</v>
      </c>
      <c r="CP333" s="100" t="n">
        <v>325</v>
      </c>
      <c r="CQ333" s="100" t="str">
        <f aca="false">IF(ISBLANK($C333),"",IF(ISNUMBER($CM333),$CM333+ROW($B333)/1000,""))</f>
        <v/>
      </c>
      <c r="CR333" s="100" t="str">
        <f aca="false">IF(ISNUMBER($CQ333),RANK($CQ333,$CQ$9:$CQ$508,1),"")</f>
        <v/>
      </c>
      <c r="CS333" s="100" t="str">
        <f aca="false">IF(ISBLANK($C333),"",$B333)</f>
        <v/>
      </c>
      <c r="CT333" s="100" t="str">
        <f aca="false">IF(ISBLANK($C333),"",$C333)</f>
        <v/>
      </c>
      <c r="CU333" s="100" t="str">
        <f aca="false">IF(ISBLANK($C333),"",$D333)</f>
        <v/>
      </c>
      <c r="CV333" s="101" t="str">
        <f aca="false">$CJ333</f>
        <v/>
      </c>
      <c r="CW333" s="102" t="str">
        <f aca="false">$CI333</f>
        <v/>
      </c>
      <c r="CX333" s="100" t="str">
        <f aca="false">IF(ISBLANK($C333),"",$CL333)</f>
        <v/>
      </c>
      <c r="CY333" s="103" t="str">
        <f aca="false">IF($CP333&gt;$CO$8,"",VLOOKUP($CP333,$CR$9:$CX$508,7,FALSE()))</f>
        <v/>
      </c>
      <c r="CZ333" s="104" t="str">
        <f aca="false">IF($CP333&gt;$CO$8,"",VLOOKUP($CP333,$CR$9:$CX$508,2,FALSE()))</f>
        <v/>
      </c>
      <c r="DA333" s="104" t="str">
        <f aca="false">IF($CP333&gt;$CO$8,"",VLOOKUP($CP333,$CR$9:$CX$508,3,FALSE()))</f>
        <v/>
      </c>
      <c r="DB333" s="104" t="str">
        <f aca="false">IF($CP333&gt;$CO$8,"",VLOOKUP($CP333,$CR$9:$CX$508,4,FALSE()))</f>
        <v/>
      </c>
      <c r="DC333" s="104" t="str">
        <f aca="false">IF($CP333&gt;$CO$8,"",VLOOKUP($CP333,$CR$9:$CX$508,5,FALSE()))</f>
        <v/>
      </c>
      <c r="DD333" s="105" t="str">
        <f aca="false">IF($CP333&gt;$CO$8,"",VLOOKUP($CP333,$CR$9:$CX$508,6,FALSE()))</f>
        <v/>
      </c>
      <c r="DE333" s="70"/>
    </row>
    <row r="334" customFormat="false" ht="15.75" hidden="false" customHeight="false" outlineLevel="0" collapsed="false">
      <c r="A334" s="8"/>
      <c r="B334" s="72"/>
      <c r="C334" s="73"/>
      <c r="D334" s="155"/>
      <c r="E334" s="162"/>
      <c r="F334" s="157"/>
      <c r="G334" s="77"/>
      <c r="H334" s="77"/>
      <c r="I334" s="77"/>
      <c r="J334" s="163"/>
      <c r="K334" s="161"/>
      <c r="L334" s="161"/>
      <c r="M334" s="80"/>
      <c r="N334" s="161"/>
      <c r="O334" s="160"/>
      <c r="P334" s="161"/>
      <c r="Q334" s="161"/>
      <c r="R334" s="161"/>
      <c r="S334" s="77"/>
      <c r="T334" s="161"/>
      <c r="U334" s="160"/>
      <c r="V334" s="161"/>
      <c r="W334" s="85"/>
      <c r="X334" s="86" t="str">
        <f aca="false">IF(ISBLANK($C334),"",IF($E334=Constants!$B$2,TRUE(),IF($E334=Constants!$B$3,FALSE(),TRUE())))</f>
        <v/>
      </c>
      <c r="Y334" s="86" t="str">
        <f aca="false">IF(ISBLANK($C334),"",IF($F334=Constants!$B$2,TRUE(),IF($F334=Constants!$B$3,FALSE(),TRUE())))</f>
        <v/>
      </c>
      <c r="Z334" s="87" t="str">
        <f aca="false">IF(ISBLANK($C334),"",IF(ISNUMBER($G334),IF($G334&gt;=0,$G334,""),""))</f>
        <v/>
      </c>
      <c r="AA334" s="87" t="str">
        <f aca="false">IF(ISBLANK($C334),"",IF(ISNUMBER($H334),IF($H334&gt;=0,$H334,""),""))</f>
        <v/>
      </c>
      <c r="AB334" s="87" t="str">
        <f aca="false">IF(ISBLANK($C334),"",IF(ISNUMBER($I334),IF($I334&gt;=0,$I334,""),""))</f>
        <v/>
      </c>
      <c r="AC334" s="86" t="str">
        <f aca="false">IF(ISBLANK($C334),"",IF($J334=Constants!$B$2,TRUE(),IF($J334=Constants!$B$3,FALSE(),TRUE())))</f>
        <v/>
      </c>
      <c r="AD334" s="86" t="str">
        <f aca="false">IF(ISBLANK($C334),"",IF($K334=Constants!$B$2,TRUE(),IF($K334=Constants!$B$3,FALSE(),TRUE())))</f>
        <v/>
      </c>
      <c r="AE334" s="86" t="str">
        <f aca="false">IF(ISBLANK($C334),"",IF($L334=Constants!$B$2,TRUE(),IF($L334=Constants!$B$3,FALSE(),TRUE())))</f>
        <v/>
      </c>
      <c r="AF334" s="88" t="str">
        <f aca="false">IF(ISBLANK($C334),"",IF(ISNUMBER($M334),IF($M334&gt;=0,$M334,""),""))</f>
        <v/>
      </c>
      <c r="AG334" s="86" t="str">
        <f aca="false">IF(ISBLANK($C334),"",IF(ISBLANK($N334),0,IF(ISNUMBER($N334),IF(AND($N334&gt;=0,$N334&lt;=Constants!$B$17,$N334=INT($N334)),$N334,""),"")))</f>
        <v/>
      </c>
      <c r="AH334" s="87" t="str">
        <f aca="false">IF(ISBLANK($C334),"",IF(ISBLANK($O334),0,IF(ISNUMBER($O334),IF($O334&gt;=0,$O334,""),"")))</f>
        <v/>
      </c>
      <c r="AI334" s="86" t="str">
        <f aca="false">IF(ISBLANK($C334),"",IF($P334=Constants!$B$2,TRUE(),IF($P334=Constants!$B$3,FALSE(),TRUE())))</f>
        <v/>
      </c>
      <c r="AJ334" s="86" t="str">
        <f aca="false">IF(ISBLANK($C334),"",IF($Q334=Constants!$B$2,TRUE(),IF($Q334=Constants!$B$3,FALSE(),TRUE())))</f>
        <v/>
      </c>
      <c r="AK334" s="86" t="str">
        <f aca="false">IF(ISBLANK($C334),"",IF($R334=Constants!$B$2,TRUE(),IF($R334=Constants!$B$3,FALSE(),TRUE())))</f>
        <v/>
      </c>
      <c r="AL334" s="88" t="str">
        <f aca="false">IF(ISBLANK($C334),"",IF(ISNUMBER($S334),IF($S334&gt;=0,$S334,""),""))</f>
        <v/>
      </c>
      <c r="AM334" s="86" t="str">
        <f aca="false">IF(ISBLANK($C334),"",IF(ISBLANK($T334),0,IF(ISNUMBER($T334),IF(AND($T334&gt;=0,$T334&lt;=Constants!$B$17,$T334=INT($T334)),$T334,""),"")))</f>
        <v/>
      </c>
      <c r="AN334" s="87" t="str">
        <f aca="false">IF(ISBLANK($C334),"",IF(ISBLANK($U334),0,IF(ISNUMBER($U334),IF($U334&gt;=0,$U334,""),"")))</f>
        <v/>
      </c>
      <c r="AO334" s="86" t="str">
        <f aca="false">IF(ISBLANK($C334),"",IF($V334=Constants!$B$2,TRUE(),IF($V334=Constants!$B$3,FALSE(),FALSE())))</f>
        <v/>
      </c>
      <c r="AP334" s="86"/>
      <c r="AQ334" s="85" t="str">
        <f aca="false">IF(ISBLANK($C334),"",AND($Y334,OR($AS334,$BC334),OR($Z334="",$AA334="",$AB334="")))</f>
        <v/>
      </c>
      <c r="AR334" s="85" t="str">
        <f aca="false">IF(ISBLANK($C334),"",IF(OR(NOT($Y334),NOT(OR($AS334,$BC334))),"",IF(ISBLANK($D$7),$AR$5,IF($AP$9="",$AR$6,""))))</f>
        <v/>
      </c>
      <c r="AS334" s="85" t="str">
        <f aca="false">IF(ISBLANK($C334),"",COUNTA($J334:$O334)&gt;0)</f>
        <v/>
      </c>
      <c r="AT334" s="85" t="str">
        <f aca="false">IF(ISBLANK($C334),"",AND($AS334,OR(AND($AF334="",OR($AE334,NOT(ISBLANK($M334)))),$AG334="",$AH334="")))</f>
        <v/>
      </c>
      <c r="AU334" s="87" t="str">
        <f aca="false">IF($BL334&lt;&gt;Constants!$B$4,"",IF(NOT($AS334),"",ROUND((Constants!$B$12-$AB334)+(Constants!$B$13-$Z334)+(Constants!$B$14-$AA334),1)))</f>
        <v/>
      </c>
      <c r="AV334" s="90" t="str">
        <f aca="false">IF($BL334&lt;&gt;Constants!$B$4,"",IF(NOT($AS334),"",IF(NOT($AE334),0,Constants!$B$15*(INT(ROUND(MIN($AF334,$AP$9),6))-INT(ROUND(MAX(0,MIN($AF334,2*$AP$9)-$AP$9),6))))))</f>
        <v/>
      </c>
      <c r="AW334" s="90" t="str">
        <f aca="false">IF($BL334&lt;&gt;Constants!$B$4,"",IF(NOT($AS334),"",Constants!$B$16*$AG334))</f>
        <v/>
      </c>
      <c r="AX334" s="90" t="str">
        <f aca="false">IF($BL334&lt;&gt;Constants!$B$4,"",IF(NOT($AS334),"",Constants!$B$18*INT(ROUND($AH334,6))))</f>
        <v/>
      </c>
      <c r="AY334" s="85" t="str">
        <f aca="false">IF($BL334&lt;&gt;Constants!$B$4,"",IF(NOT($AS334),"",IF(NOT($X334),Constants!$B$11,IF(OR(NOT($AC334),NOT($AD334),ROUND($AB334,1)&gt;Constants!$B$12,ROUND($Z334,1)&gt;Constants!$B$13,ROUND($AA334,1)&gt;Constants!$B$14),Constants!$B$10,Constants!$B$9))))</f>
        <v/>
      </c>
      <c r="AZ334" s="91" t="str">
        <f aca="false">IF($BL334&lt;&gt;Constants!$B$4,"",IF(NOT($AS334),"",ROUND($AU334+$AV334+$AW334+$AX334,1)))</f>
        <v/>
      </c>
      <c r="BA334" s="92" t="str">
        <f aca="false">IF($BL334&lt;&gt;Constants!$B$4,"",IF(NOT($AS334),"",IF(ISNUMBER($AF334),$AF334,0)))</f>
        <v/>
      </c>
      <c r="BB334" s="86" t="str">
        <f aca="false">IF($BL334&lt;&gt;Constants!$B$4,"",IF(NOT($BC334),"&lt;-",IF(NOT($AS334),"-&gt;",IF(OR($BI334&lt;$AY334,AND($BI334=$AY334,OR($BJ334&gt;$AZ334,AND($BJ334=$AZ334,OR($BH334&gt;$AX334,AND($BH334=$AX334,OR($BE334&gt;$AU334,AND($BE334=$AU334,OR($BF334&gt;$AV334,AND($BF334=$AV334,$BK334&gt;$BA334)))))))))),"-&gt;","&lt;-"))))</f>
        <v/>
      </c>
      <c r="BC334" s="85" t="str">
        <f aca="false">IF(ISBLANK($C334),"",COUNTA($P334:$U334)&gt;0)</f>
        <v/>
      </c>
      <c r="BD334" s="85" t="str">
        <f aca="false">IF(ISBLANK($C334),"",AND($BC334,OR(AND($AL334="",OR($AK334,NOT(ISBLANK($S334)))),$AM334="",$AN334="")))</f>
        <v/>
      </c>
      <c r="BE334" s="87" t="str">
        <f aca="false">IF($BL334&lt;&gt;Constants!$B$4,"",IF(NOT($BC334),"",ROUND((Constants!$B$12-$AB334)+(Constants!$B$13-$Z334)+(Constants!$B$14-$AA334),1)))</f>
        <v/>
      </c>
      <c r="BF334" s="90" t="str">
        <f aca="false">IF($BL334&lt;&gt;Constants!$B$4,"",IF(NOT($BC334),"",IF(NOT($AK334),0,Constants!$B$15*(INT(ROUND(MIN($AL334,$AP$9),6))-INT(ROUND(MAX(0,MIN($AL334,2*$AP$9)-$AP$9),6))))))</f>
        <v/>
      </c>
      <c r="BG334" s="90" t="str">
        <f aca="false">IF($BL334&lt;&gt;Constants!$B$4,"",IF(NOT($BC334),"",Constants!$B$16*$AM334))</f>
        <v/>
      </c>
      <c r="BH334" s="90" t="str">
        <f aca="false">IF($BL334&lt;&gt;Constants!$B$4,"",IF(NOT($BC334),"",Constants!$B$18*INT(ROUND($AN334,6))))</f>
        <v/>
      </c>
      <c r="BI334" s="85" t="str">
        <f aca="false">IF($BL334&lt;&gt;Constants!$B$4,"",IF(NOT($BC334),"",IF(NOT($X334),Constants!$B$11,IF(OR(NOT($AI334),NOT($AJ334),ROUND($AB334,1)&gt;Constants!$B$12,ROUND($Z334,1)&gt;Constants!$B$13,ROUND($AA334,1)&gt;Constants!$B$14),Constants!$B$10,Constants!$B$9))))</f>
        <v/>
      </c>
      <c r="BJ334" s="91" t="str">
        <f aca="false">IF($BL334&lt;&gt;Constants!$B$4,"",IF(NOT($BC334),"",ROUND($BE334+$BF334+$BG334+$BH334,1)))</f>
        <v/>
      </c>
      <c r="BK334" s="92" t="str">
        <f aca="false">IF($BL334&lt;&gt;Constants!$B$4,"",IF(NOT($BC334),"",IF(ISNUMBER($AL334),$AL334,0)))</f>
        <v/>
      </c>
      <c r="BL334" s="86" t="str">
        <f aca="false">IF(ISBLANK($C334),"",IF($AO334,Constants!$B$7,IF(COUNTA($E334:$V334)=0,Constants!$B$6,IF(NOT($Y334),Constants!$B$5,IF(NOT(OR($AS334,$BC334)),Constants!$B$5,IF(OR($AT334,$BD334,$AQ334,$AR334&lt;&gt;""),Constants!$B$8,Constants!$B$4))))))</f>
        <v/>
      </c>
      <c r="BM334" s="86" t="str">
        <f aca="false">IF(ISBLANK($C334),"",IF($BL334&lt;&gt;Constants!$B$4,$BL334,IF($BB334="-&gt;",$BI334,$AY334)))</f>
        <v/>
      </c>
      <c r="BN334" s="90" t="str">
        <f aca="false">IF($BL334&lt;&gt;Constants!$B$4,"",IF($BB334="-&gt;",$BJ334,$AZ334))</f>
        <v/>
      </c>
      <c r="BO334" s="90" t="str">
        <f aca="false">IF(ISBLANK($C334),"",IF($BL334&lt;&gt;Constants!$B$4,$BL334,$BN334))</f>
        <v/>
      </c>
      <c r="BP334" s="86" t="str">
        <f aca="false">IF(ISBLANK($C334),"",IF($BL334&lt;&gt;Constants!$B$4,$BL334,RANK($BO334,$BO$9:$BO$508,0)))</f>
        <v/>
      </c>
      <c r="BQ334" s="86" t="str">
        <f aca="false">IF(ISBLANK($C334),"",IF($BL334&lt;&gt;Constants!$B$4,$BL334,COUNTIFS($BM$9:$BM$508,"&lt;"&amp;$BM334)+COUNTIFS($BM$9:$BM$508,$BM334,$BP$9:$BP$508,"&lt;"&amp;$BP334)+1))</f>
        <v/>
      </c>
      <c r="BR334" s="90" t="str">
        <f aca="false">IF($BL334&lt;&gt;Constants!$B$4,"",IF($BB334="-&gt;",$BH334,$AX334))</f>
        <v/>
      </c>
      <c r="BS334" s="86" t="str">
        <f aca="false">IF(ISBLANK($C334),"",IF($BL334&lt;&gt;Constants!$B$4,$BL334,IF(ISNUMBER($BR334),RANK($BR334,$BR$9:$BR$508,0),COUNT($BR$9:$BR$508)+1)))</f>
        <v/>
      </c>
      <c r="BT334" s="90" t="str">
        <f aca="false">IF($BL334&lt;&gt;Constants!$B$4,"",IF($BB334="-&gt;",$BE334,$AU334))</f>
        <v/>
      </c>
      <c r="BU334" s="86" t="str">
        <f aca="false">IF(ISBLANK($C334),"",IF($BL334&lt;&gt;Constants!$B$4,$BL334,IF(ISNUMBER($BT334),RANK($BT334,$BT$9:$BT$508,0),COUNT($BT$9:$BT$508)+1)))</f>
        <v/>
      </c>
      <c r="BV334" s="90" t="str">
        <f aca="false">IF($BL334&lt;&gt;Constants!$B$4,"",IF($BB334="-&gt;",$BF334,$AV334))</f>
        <v/>
      </c>
      <c r="BW334" s="86" t="str">
        <f aca="false">IF(ISBLANK($C334),"",IF($BL334&lt;&gt;Constants!$B$4,$BL334,IF(ISNUMBER($BV334),RANK($BV334,$BV$9:$BV$508,0),COUNT($BV$9:$BV$508)+1)))</f>
        <v/>
      </c>
      <c r="BX334" s="90" t="str">
        <f aca="false">IF($BL334&lt;&gt;Constants!$B$4,"",IF($BB334="-&gt;",$BK334,$BA334))</f>
        <v/>
      </c>
      <c r="BY334" s="86" t="str">
        <f aca="false">IF(ISBLANK($C334),"",IF($BL334&lt;&gt;Constants!$B$4,$BL334,IF(ISNUMBER($BX334),RANK($BX334,$BX$9:$BX$508,0),COUNT($BX$9:$BX$508)+1)))</f>
        <v/>
      </c>
      <c r="BZ334" s="86" t="str">
        <f aca="false">IF(ISBLANK($C334),"",IF($BL334&lt;&gt;Constants!$B$4,$BL334,COUNTIFS($BM$9:$BM$508,"&lt;"&amp;$BM334)+COUNTIFS($BM$9:$BM$508,$BM334,$BP$9:$BP$508,"&lt;"&amp;$BP334)+COUNTIFS($BM$9:$BM$508,$BM334,$BP$9:$BP$508,$BP334,$BS$9:$BS$508,"&lt;"&amp;$BS334)+COUNTIFS($BM$9:$BM$508,$BM334,$BP$9:$BP$508,$BP334,$BS$9:$BS$508,$BS334,$BU$9:$BU$508,"&lt;"&amp;$BU334)+COUNTIFS($BM$9:$BM$508,$BM334,$BP$9:$BP$508,$BP334,$BS$9:$BS$508,$BS334,$BU$9:$BU$508,$BU334,$BW$9:$BW$508,"&lt;"&amp;$BW334)+COUNTIFS($BM$9:$BM$508,$BM334,$BP$9:$BP$508,$BP334,$BS$9:$BS$508,$BS334,$BU$9:$BU$508,$BU334,$BW$9:$BW$508,$BW334,$BY$9:$BY$508,"&lt;"&amp;$BY334)+1))</f>
        <v/>
      </c>
      <c r="CA334" s="86" t="str">
        <f aca="false">IF(ISBLANK($C334),"",IF($BL334&lt;&gt;Constants!$B$4,$BL334,$BQ334-$BZ334))</f>
        <v/>
      </c>
      <c r="CB334" s="93"/>
      <c r="CC334" s="94" t="str">
        <f aca="false">IF(ISBLANK($C334),"",IF($BL334=Constants!$B$8,$AR334,""))</f>
        <v/>
      </c>
      <c r="CD334" s="94" t="str">
        <f aca="false">IF(ISBLANK($C334),"",IF($BL334&lt;&gt;Constants!$B$4,"",IF($BB334="-&gt;",2,1)))</f>
        <v/>
      </c>
      <c r="CE334" s="95" t="str">
        <f aca="false">IF(ISBLANK($C334),"",IF($BL334&lt;&gt;Constants!$B$4,"",IF($BB334="-&gt;",$BE334,$AU334)))</f>
        <v/>
      </c>
      <c r="CF334" s="95" t="str">
        <f aca="false">IF(ISBLANK($C334),"",IF($BL334&lt;&gt;Constants!$B$4,"",IF($BB334="-&gt;",$BF334,$AV334)))</f>
        <v/>
      </c>
      <c r="CG334" s="95" t="str">
        <f aca="false">IF(ISBLANK($C334),"",IF($BL334&lt;&gt;Constants!$B$4,"",IF($BB334="-&gt;",$BG334,$AW334)))</f>
        <v/>
      </c>
      <c r="CH334" s="95" t="str">
        <f aca="false">IF(ISBLANK($C334),"",IF($BL334&lt;&gt;Constants!$B$4,"",IF($BB334="-&gt;",$BH334,$AX334)))</f>
        <v/>
      </c>
      <c r="CI334" s="96" t="str">
        <f aca="false">IF(ISBLANK($C334),"",$BO334)</f>
        <v/>
      </c>
      <c r="CJ334" s="97" t="str">
        <f aca="false">IF(ISBLANK($C334),"",$BM334)</f>
        <v/>
      </c>
      <c r="CK334" s="98" t="str">
        <f aca="false">IF(ISBLANK($C334),"",$CA334)</f>
        <v/>
      </c>
      <c r="CL334" s="98" t="str">
        <f aca="false">IF(ISBLANK($C334),"",$BZ334)</f>
        <v/>
      </c>
      <c r="CM334" s="99" t="str">
        <f aca="false">IF(ISBLANK($C334),"",IF($CL334=Constants!$B$7,COUNTA($C$9:$C$508)+2,IF($CL334=Constants!$B$6,COUNTA($C$9:$C$508)+1,IF($CL334=Constants!$B$5,COUNTA($C$9:$C$508),$CL334))))</f>
        <v/>
      </c>
      <c r="CN334" s="8"/>
      <c r="CO334" s="100" t="n">
        <f aca="false">IF(OR(ISNUMBER($CL334),$CL334=Constants!$B$7,$CL334=Constants!$B$5,$CL334=Constants!$B$6),1,0)</f>
        <v>0</v>
      </c>
      <c r="CP334" s="100" t="n">
        <v>326</v>
      </c>
      <c r="CQ334" s="100" t="str">
        <f aca="false">IF(ISBLANK($C334),"",IF(ISNUMBER($CM334),$CM334+ROW($B334)/1000,""))</f>
        <v/>
      </c>
      <c r="CR334" s="100" t="str">
        <f aca="false">IF(ISNUMBER($CQ334),RANK($CQ334,$CQ$9:$CQ$508,1),"")</f>
        <v/>
      </c>
      <c r="CS334" s="100" t="str">
        <f aca="false">IF(ISBLANK($C334),"",$B334)</f>
        <v/>
      </c>
      <c r="CT334" s="100" t="str">
        <f aca="false">IF(ISBLANK($C334),"",$C334)</f>
        <v/>
      </c>
      <c r="CU334" s="100" t="str">
        <f aca="false">IF(ISBLANK($C334),"",$D334)</f>
        <v/>
      </c>
      <c r="CV334" s="101" t="str">
        <f aca="false">$CJ334</f>
        <v/>
      </c>
      <c r="CW334" s="102" t="str">
        <f aca="false">$CI334</f>
        <v/>
      </c>
      <c r="CX334" s="100" t="str">
        <f aca="false">IF(ISBLANK($C334),"",$CL334)</f>
        <v/>
      </c>
      <c r="CY334" s="103" t="str">
        <f aca="false">IF($CP334&gt;$CO$8,"",VLOOKUP($CP334,$CR$9:$CX$508,7,FALSE()))</f>
        <v/>
      </c>
      <c r="CZ334" s="104" t="str">
        <f aca="false">IF($CP334&gt;$CO$8,"",VLOOKUP($CP334,$CR$9:$CX$508,2,FALSE()))</f>
        <v/>
      </c>
      <c r="DA334" s="104" t="str">
        <f aca="false">IF($CP334&gt;$CO$8,"",VLOOKUP($CP334,$CR$9:$CX$508,3,FALSE()))</f>
        <v/>
      </c>
      <c r="DB334" s="104" t="str">
        <f aca="false">IF($CP334&gt;$CO$8,"",VLOOKUP($CP334,$CR$9:$CX$508,4,FALSE()))</f>
        <v/>
      </c>
      <c r="DC334" s="104" t="str">
        <f aca="false">IF($CP334&gt;$CO$8,"",VLOOKUP($CP334,$CR$9:$CX$508,5,FALSE()))</f>
        <v/>
      </c>
      <c r="DD334" s="105" t="str">
        <f aca="false">IF($CP334&gt;$CO$8,"",VLOOKUP($CP334,$CR$9:$CX$508,6,FALSE()))</f>
        <v/>
      </c>
      <c r="DE334" s="70"/>
    </row>
    <row r="335" customFormat="false" ht="15.75" hidden="false" customHeight="false" outlineLevel="0" collapsed="false">
      <c r="A335" s="8"/>
      <c r="B335" s="72"/>
      <c r="C335" s="73"/>
      <c r="D335" s="155"/>
      <c r="E335" s="162"/>
      <c r="F335" s="157"/>
      <c r="G335" s="77"/>
      <c r="H335" s="77"/>
      <c r="I335" s="77"/>
      <c r="J335" s="163"/>
      <c r="K335" s="161"/>
      <c r="L335" s="161"/>
      <c r="M335" s="80"/>
      <c r="N335" s="161"/>
      <c r="O335" s="160"/>
      <c r="P335" s="161"/>
      <c r="Q335" s="161"/>
      <c r="R335" s="161"/>
      <c r="S335" s="77"/>
      <c r="T335" s="161"/>
      <c r="U335" s="160"/>
      <c r="V335" s="161"/>
      <c r="W335" s="85"/>
      <c r="X335" s="86" t="str">
        <f aca="false">IF(ISBLANK($C335),"",IF($E335=Constants!$B$2,TRUE(),IF($E335=Constants!$B$3,FALSE(),TRUE())))</f>
        <v/>
      </c>
      <c r="Y335" s="86" t="str">
        <f aca="false">IF(ISBLANK($C335),"",IF($F335=Constants!$B$2,TRUE(),IF($F335=Constants!$B$3,FALSE(),TRUE())))</f>
        <v/>
      </c>
      <c r="Z335" s="87" t="str">
        <f aca="false">IF(ISBLANK($C335),"",IF(ISNUMBER($G335),IF($G335&gt;=0,$G335,""),""))</f>
        <v/>
      </c>
      <c r="AA335" s="87" t="str">
        <f aca="false">IF(ISBLANK($C335),"",IF(ISNUMBER($H335),IF($H335&gt;=0,$H335,""),""))</f>
        <v/>
      </c>
      <c r="AB335" s="87" t="str">
        <f aca="false">IF(ISBLANK($C335),"",IF(ISNUMBER($I335),IF($I335&gt;=0,$I335,""),""))</f>
        <v/>
      </c>
      <c r="AC335" s="86" t="str">
        <f aca="false">IF(ISBLANK($C335),"",IF($J335=Constants!$B$2,TRUE(),IF($J335=Constants!$B$3,FALSE(),TRUE())))</f>
        <v/>
      </c>
      <c r="AD335" s="86" t="str">
        <f aca="false">IF(ISBLANK($C335),"",IF($K335=Constants!$B$2,TRUE(),IF($K335=Constants!$B$3,FALSE(),TRUE())))</f>
        <v/>
      </c>
      <c r="AE335" s="86" t="str">
        <f aca="false">IF(ISBLANK($C335),"",IF($L335=Constants!$B$2,TRUE(),IF($L335=Constants!$B$3,FALSE(),TRUE())))</f>
        <v/>
      </c>
      <c r="AF335" s="88" t="str">
        <f aca="false">IF(ISBLANK($C335),"",IF(ISNUMBER($M335),IF($M335&gt;=0,$M335,""),""))</f>
        <v/>
      </c>
      <c r="AG335" s="86" t="str">
        <f aca="false">IF(ISBLANK($C335),"",IF(ISBLANK($N335),0,IF(ISNUMBER($N335),IF(AND($N335&gt;=0,$N335&lt;=Constants!$B$17,$N335=INT($N335)),$N335,""),"")))</f>
        <v/>
      </c>
      <c r="AH335" s="87" t="str">
        <f aca="false">IF(ISBLANK($C335),"",IF(ISBLANK($O335),0,IF(ISNUMBER($O335),IF($O335&gt;=0,$O335,""),"")))</f>
        <v/>
      </c>
      <c r="AI335" s="86" t="str">
        <f aca="false">IF(ISBLANK($C335),"",IF($P335=Constants!$B$2,TRUE(),IF($P335=Constants!$B$3,FALSE(),TRUE())))</f>
        <v/>
      </c>
      <c r="AJ335" s="86" t="str">
        <f aca="false">IF(ISBLANK($C335),"",IF($Q335=Constants!$B$2,TRUE(),IF($Q335=Constants!$B$3,FALSE(),TRUE())))</f>
        <v/>
      </c>
      <c r="AK335" s="86" t="str">
        <f aca="false">IF(ISBLANK($C335),"",IF($R335=Constants!$B$2,TRUE(),IF($R335=Constants!$B$3,FALSE(),TRUE())))</f>
        <v/>
      </c>
      <c r="AL335" s="88" t="str">
        <f aca="false">IF(ISBLANK($C335),"",IF(ISNUMBER($S335),IF($S335&gt;=0,$S335,""),""))</f>
        <v/>
      </c>
      <c r="AM335" s="86" t="str">
        <f aca="false">IF(ISBLANK($C335),"",IF(ISBLANK($T335),0,IF(ISNUMBER($T335),IF(AND($T335&gt;=0,$T335&lt;=Constants!$B$17,$T335=INT($T335)),$T335,""),"")))</f>
        <v/>
      </c>
      <c r="AN335" s="87" t="str">
        <f aca="false">IF(ISBLANK($C335),"",IF(ISBLANK($U335),0,IF(ISNUMBER($U335),IF($U335&gt;=0,$U335,""),"")))</f>
        <v/>
      </c>
      <c r="AO335" s="86" t="str">
        <f aca="false">IF(ISBLANK($C335),"",IF($V335=Constants!$B$2,TRUE(),IF($V335=Constants!$B$3,FALSE(),FALSE())))</f>
        <v/>
      </c>
      <c r="AP335" s="86"/>
      <c r="AQ335" s="85" t="str">
        <f aca="false">IF(ISBLANK($C335),"",AND($Y335,OR($AS335,$BC335),OR($Z335="",$AA335="",$AB335="")))</f>
        <v/>
      </c>
      <c r="AR335" s="85" t="str">
        <f aca="false">IF(ISBLANK($C335),"",IF(OR(NOT($Y335),NOT(OR($AS335,$BC335))),"",IF(ISBLANK($D$7),$AR$5,IF($AP$9="",$AR$6,""))))</f>
        <v/>
      </c>
      <c r="AS335" s="85" t="str">
        <f aca="false">IF(ISBLANK($C335),"",COUNTA($J335:$O335)&gt;0)</f>
        <v/>
      </c>
      <c r="AT335" s="85" t="str">
        <f aca="false">IF(ISBLANK($C335),"",AND($AS335,OR(AND($AF335="",OR($AE335,NOT(ISBLANK($M335)))),$AG335="",$AH335="")))</f>
        <v/>
      </c>
      <c r="AU335" s="87" t="str">
        <f aca="false">IF($BL335&lt;&gt;Constants!$B$4,"",IF(NOT($AS335),"",ROUND((Constants!$B$12-$AB335)+(Constants!$B$13-$Z335)+(Constants!$B$14-$AA335),1)))</f>
        <v/>
      </c>
      <c r="AV335" s="90" t="str">
        <f aca="false">IF($BL335&lt;&gt;Constants!$B$4,"",IF(NOT($AS335),"",IF(NOT($AE335),0,Constants!$B$15*(INT(ROUND(MIN($AF335,$AP$9),6))-INT(ROUND(MAX(0,MIN($AF335,2*$AP$9)-$AP$9),6))))))</f>
        <v/>
      </c>
      <c r="AW335" s="90" t="str">
        <f aca="false">IF($BL335&lt;&gt;Constants!$B$4,"",IF(NOT($AS335),"",Constants!$B$16*$AG335))</f>
        <v/>
      </c>
      <c r="AX335" s="90" t="str">
        <f aca="false">IF($BL335&lt;&gt;Constants!$B$4,"",IF(NOT($AS335),"",Constants!$B$18*INT(ROUND($AH335,6))))</f>
        <v/>
      </c>
      <c r="AY335" s="85" t="str">
        <f aca="false">IF($BL335&lt;&gt;Constants!$B$4,"",IF(NOT($AS335),"",IF(NOT($X335),Constants!$B$11,IF(OR(NOT($AC335),NOT($AD335),ROUND($AB335,1)&gt;Constants!$B$12,ROUND($Z335,1)&gt;Constants!$B$13,ROUND($AA335,1)&gt;Constants!$B$14),Constants!$B$10,Constants!$B$9))))</f>
        <v/>
      </c>
      <c r="AZ335" s="91" t="str">
        <f aca="false">IF($BL335&lt;&gt;Constants!$B$4,"",IF(NOT($AS335),"",ROUND($AU335+$AV335+$AW335+$AX335,1)))</f>
        <v/>
      </c>
      <c r="BA335" s="92" t="str">
        <f aca="false">IF($BL335&lt;&gt;Constants!$B$4,"",IF(NOT($AS335),"",IF(ISNUMBER($AF335),$AF335,0)))</f>
        <v/>
      </c>
      <c r="BB335" s="86" t="str">
        <f aca="false">IF($BL335&lt;&gt;Constants!$B$4,"",IF(NOT($BC335),"&lt;-",IF(NOT($AS335),"-&gt;",IF(OR($BI335&lt;$AY335,AND($BI335=$AY335,OR($BJ335&gt;$AZ335,AND($BJ335=$AZ335,OR($BH335&gt;$AX335,AND($BH335=$AX335,OR($BE335&gt;$AU335,AND($BE335=$AU335,OR($BF335&gt;$AV335,AND($BF335=$AV335,$BK335&gt;$BA335)))))))))),"-&gt;","&lt;-"))))</f>
        <v/>
      </c>
      <c r="BC335" s="85" t="str">
        <f aca="false">IF(ISBLANK($C335),"",COUNTA($P335:$U335)&gt;0)</f>
        <v/>
      </c>
      <c r="BD335" s="85" t="str">
        <f aca="false">IF(ISBLANK($C335),"",AND($BC335,OR(AND($AL335="",OR($AK335,NOT(ISBLANK($S335)))),$AM335="",$AN335="")))</f>
        <v/>
      </c>
      <c r="BE335" s="87" t="str">
        <f aca="false">IF($BL335&lt;&gt;Constants!$B$4,"",IF(NOT($BC335),"",ROUND((Constants!$B$12-$AB335)+(Constants!$B$13-$Z335)+(Constants!$B$14-$AA335),1)))</f>
        <v/>
      </c>
      <c r="BF335" s="90" t="str">
        <f aca="false">IF($BL335&lt;&gt;Constants!$B$4,"",IF(NOT($BC335),"",IF(NOT($AK335),0,Constants!$B$15*(INT(ROUND(MIN($AL335,$AP$9),6))-INT(ROUND(MAX(0,MIN($AL335,2*$AP$9)-$AP$9),6))))))</f>
        <v/>
      </c>
      <c r="BG335" s="90" t="str">
        <f aca="false">IF($BL335&lt;&gt;Constants!$B$4,"",IF(NOT($BC335),"",Constants!$B$16*$AM335))</f>
        <v/>
      </c>
      <c r="BH335" s="90" t="str">
        <f aca="false">IF($BL335&lt;&gt;Constants!$B$4,"",IF(NOT($BC335),"",Constants!$B$18*INT(ROUND($AN335,6))))</f>
        <v/>
      </c>
      <c r="BI335" s="85" t="str">
        <f aca="false">IF($BL335&lt;&gt;Constants!$B$4,"",IF(NOT($BC335),"",IF(NOT($X335),Constants!$B$11,IF(OR(NOT($AI335),NOT($AJ335),ROUND($AB335,1)&gt;Constants!$B$12,ROUND($Z335,1)&gt;Constants!$B$13,ROUND($AA335,1)&gt;Constants!$B$14),Constants!$B$10,Constants!$B$9))))</f>
        <v/>
      </c>
      <c r="BJ335" s="91" t="str">
        <f aca="false">IF($BL335&lt;&gt;Constants!$B$4,"",IF(NOT($BC335),"",ROUND($BE335+$BF335+$BG335+$BH335,1)))</f>
        <v/>
      </c>
      <c r="BK335" s="92" t="str">
        <f aca="false">IF($BL335&lt;&gt;Constants!$B$4,"",IF(NOT($BC335),"",IF(ISNUMBER($AL335),$AL335,0)))</f>
        <v/>
      </c>
      <c r="BL335" s="86" t="str">
        <f aca="false">IF(ISBLANK($C335),"",IF($AO335,Constants!$B$7,IF(COUNTA($E335:$V335)=0,Constants!$B$6,IF(NOT($Y335),Constants!$B$5,IF(NOT(OR($AS335,$BC335)),Constants!$B$5,IF(OR($AT335,$BD335,$AQ335,$AR335&lt;&gt;""),Constants!$B$8,Constants!$B$4))))))</f>
        <v/>
      </c>
      <c r="BM335" s="86" t="str">
        <f aca="false">IF(ISBLANK($C335),"",IF($BL335&lt;&gt;Constants!$B$4,$BL335,IF($BB335="-&gt;",$BI335,$AY335)))</f>
        <v/>
      </c>
      <c r="BN335" s="90" t="str">
        <f aca="false">IF($BL335&lt;&gt;Constants!$B$4,"",IF($BB335="-&gt;",$BJ335,$AZ335))</f>
        <v/>
      </c>
      <c r="BO335" s="90" t="str">
        <f aca="false">IF(ISBLANK($C335),"",IF($BL335&lt;&gt;Constants!$B$4,$BL335,$BN335))</f>
        <v/>
      </c>
      <c r="BP335" s="86" t="str">
        <f aca="false">IF(ISBLANK($C335),"",IF($BL335&lt;&gt;Constants!$B$4,$BL335,RANK($BO335,$BO$9:$BO$508,0)))</f>
        <v/>
      </c>
      <c r="BQ335" s="86" t="str">
        <f aca="false">IF(ISBLANK($C335),"",IF($BL335&lt;&gt;Constants!$B$4,$BL335,COUNTIFS($BM$9:$BM$508,"&lt;"&amp;$BM335)+COUNTIFS($BM$9:$BM$508,$BM335,$BP$9:$BP$508,"&lt;"&amp;$BP335)+1))</f>
        <v/>
      </c>
      <c r="BR335" s="90" t="str">
        <f aca="false">IF($BL335&lt;&gt;Constants!$B$4,"",IF($BB335="-&gt;",$BH335,$AX335))</f>
        <v/>
      </c>
      <c r="BS335" s="86" t="str">
        <f aca="false">IF(ISBLANK($C335),"",IF($BL335&lt;&gt;Constants!$B$4,$BL335,IF(ISNUMBER($BR335),RANK($BR335,$BR$9:$BR$508,0),COUNT($BR$9:$BR$508)+1)))</f>
        <v/>
      </c>
      <c r="BT335" s="90" t="str">
        <f aca="false">IF($BL335&lt;&gt;Constants!$B$4,"",IF($BB335="-&gt;",$BE335,$AU335))</f>
        <v/>
      </c>
      <c r="BU335" s="86" t="str">
        <f aca="false">IF(ISBLANK($C335),"",IF($BL335&lt;&gt;Constants!$B$4,$BL335,IF(ISNUMBER($BT335),RANK($BT335,$BT$9:$BT$508,0),COUNT($BT$9:$BT$508)+1)))</f>
        <v/>
      </c>
      <c r="BV335" s="90" t="str">
        <f aca="false">IF($BL335&lt;&gt;Constants!$B$4,"",IF($BB335="-&gt;",$BF335,$AV335))</f>
        <v/>
      </c>
      <c r="BW335" s="86" t="str">
        <f aca="false">IF(ISBLANK($C335),"",IF($BL335&lt;&gt;Constants!$B$4,$BL335,IF(ISNUMBER($BV335),RANK($BV335,$BV$9:$BV$508,0),COUNT($BV$9:$BV$508)+1)))</f>
        <v/>
      </c>
      <c r="BX335" s="90" t="str">
        <f aca="false">IF($BL335&lt;&gt;Constants!$B$4,"",IF($BB335="-&gt;",$BK335,$BA335))</f>
        <v/>
      </c>
      <c r="BY335" s="86" t="str">
        <f aca="false">IF(ISBLANK($C335),"",IF($BL335&lt;&gt;Constants!$B$4,$BL335,IF(ISNUMBER($BX335),RANK($BX335,$BX$9:$BX$508,0),COUNT($BX$9:$BX$508)+1)))</f>
        <v/>
      </c>
      <c r="BZ335" s="86" t="str">
        <f aca="false">IF(ISBLANK($C335),"",IF($BL335&lt;&gt;Constants!$B$4,$BL335,COUNTIFS($BM$9:$BM$508,"&lt;"&amp;$BM335)+COUNTIFS($BM$9:$BM$508,$BM335,$BP$9:$BP$508,"&lt;"&amp;$BP335)+COUNTIFS($BM$9:$BM$508,$BM335,$BP$9:$BP$508,$BP335,$BS$9:$BS$508,"&lt;"&amp;$BS335)+COUNTIFS($BM$9:$BM$508,$BM335,$BP$9:$BP$508,$BP335,$BS$9:$BS$508,$BS335,$BU$9:$BU$508,"&lt;"&amp;$BU335)+COUNTIFS($BM$9:$BM$508,$BM335,$BP$9:$BP$508,$BP335,$BS$9:$BS$508,$BS335,$BU$9:$BU$508,$BU335,$BW$9:$BW$508,"&lt;"&amp;$BW335)+COUNTIFS($BM$9:$BM$508,$BM335,$BP$9:$BP$508,$BP335,$BS$9:$BS$508,$BS335,$BU$9:$BU$508,$BU335,$BW$9:$BW$508,$BW335,$BY$9:$BY$508,"&lt;"&amp;$BY335)+1))</f>
        <v/>
      </c>
      <c r="CA335" s="86" t="str">
        <f aca="false">IF(ISBLANK($C335),"",IF($BL335&lt;&gt;Constants!$B$4,$BL335,$BQ335-$BZ335))</f>
        <v/>
      </c>
      <c r="CB335" s="93"/>
      <c r="CC335" s="94" t="str">
        <f aca="false">IF(ISBLANK($C335),"",IF($BL335=Constants!$B$8,$AR335,""))</f>
        <v/>
      </c>
      <c r="CD335" s="94" t="str">
        <f aca="false">IF(ISBLANK($C335),"",IF($BL335&lt;&gt;Constants!$B$4,"",IF($BB335="-&gt;",2,1)))</f>
        <v/>
      </c>
      <c r="CE335" s="95" t="str">
        <f aca="false">IF(ISBLANK($C335),"",IF($BL335&lt;&gt;Constants!$B$4,"",IF($BB335="-&gt;",$BE335,$AU335)))</f>
        <v/>
      </c>
      <c r="CF335" s="95" t="str">
        <f aca="false">IF(ISBLANK($C335),"",IF($BL335&lt;&gt;Constants!$B$4,"",IF($BB335="-&gt;",$BF335,$AV335)))</f>
        <v/>
      </c>
      <c r="CG335" s="95" t="str">
        <f aca="false">IF(ISBLANK($C335),"",IF($BL335&lt;&gt;Constants!$B$4,"",IF($BB335="-&gt;",$BG335,$AW335)))</f>
        <v/>
      </c>
      <c r="CH335" s="95" t="str">
        <f aca="false">IF(ISBLANK($C335),"",IF($BL335&lt;&gt;Constants!$B$4,"",IF($BB335="-&gt;",$BH335,$AX335)))</f>
        <v/>
      </c>
      <c r="CI335" s="96" t="str">
        <f aca="false">IF(ISBLANK($C335),"",$BO335)</f>
        <v/>
      </c>
      <c r="CJ335" s="97" t="str">
        <f aca="false">IF(ISBLANK($C335),"",$BM335)</f>
        <v/>
      </c>
      <c r="CK335" s="98" t="str">
        <f aca="false">IF(ISBLANK($C335),"",$CA335)</f>
        <v/>
      </c>
      <c r="CL335" s="98" t="str">
        <f aca="false">IF(ISBLANK($C335),"",$BZ335)</f>
        <v/>
      </c>
      <c r="CM335" s="99" t="str">
        <f aca="false">IF(ISBLANK($C335),"",IF($CL335=Constants!$B$7,COUNTA($C$9:$C$508)+2,IF($CL335=Constants!$B$6,COUNTA($C$9:$C$508)+1,IF($CL335=Constants!$B$5,COUNTA($C$9:$C$508),$CL335))))</f>
        <v/>
      </c>
      <c r="CN335" s="8"/>
      <c r="CO335" s="100" t="n">
        <f aca="false">IF(OR(ISNUMBER($CL335),$CL335=Constants!$B$7,$CL335=Constants!$B$5,$CL335=Constants!$B$6),1,0)</f>
        <v>0</v>
      </c>
      <c r="CP335" s="100" t="n">
        <v>327</v>
      </c>
      <c r="CQ335" s="100" t="str">
        <f aca="false">IF(ISBLANK($C335),"",IF(ISNUMBER($CM335),$CM335+ROW($B335)/1000,""))</f>
        <v/>
      </c>
      <c r="CR335" s="100" t="str">
        <f aca="false">IF(ISNUMBER($CQ335),RANK($CQ335,$CQ$9:$CQ$508,1),"")</f>
        <v/>
      </c>
      <c r="CS335" s="100" t="str">
        <f aca="false">IF(ISBLANK($C335),"",$B335)</f>
        <v/>
      </c>
      <c r="CT335" s="100" t="str">
        <f aca="false">IF(ISBLANK($C335),"",$C335)</f>
        <v/>
      </c>
      <c r="CU335" s="100" t="str">
        <f aca="false">IF(ISBLANK($C335),"",$D335)</f>
        <v/>
      </c>
      <c r="CV335" s="101" t="str">
        <f aca="false">$CJ335</f>
        <v/>
      </c>
      <c r="CW335" s="102" t="str">
        <f aca="false">$CI335</f>
        <v/>
      </c>
      <c r="CX335" s="100" t="str">
        <f aca="false">IF(ISBLANK($C335),"",$CL335)</f>
        <v/>
      </c>
      <c r="CY335" s="103" t="str">
        <f aca="false">IF($CP335&gt;$CO$8,"",VLOOKUP($CP335,$CR$9:$CX$508,7,FALSE()))</f>
        <v/>
      </c>
      <c r="CZ335" s="104" t="str">
        <f aca="false">IF($CP335&gt;$CO$8,"",VLOOKUP($CP335,$CR$9:$CX$508,2,FALSE()))</f>
        <v/>
      </c>
      <c r="DA335" s="104" t="str">
        <f aca="false">IF($CP335&gt;$CO$8,"",VLOOKUP($CP335,$CR$9:$CX$508,3,FALSE()))</f>
        <v/>
      </c>
      <c r="DB335" s="104" t="str">
        <f aca="false">IF($CP335&gt;$CO$8,"",VLOOKUP($CP335,$CR$9:$CX$508,4,FALSE()))</f>
        <v/>
      </c>
      <c r="DC335" s="104" t="str">
        <f aca="false">IF($CP335&gt;$CO$8,"",VLOOKUP($CP335,$CR$9:$CX$508,5,FALSE()))</f>
        <v/>
      </c>
      <c r="DD335" s="105" t="str">
        <f aca="false">IF($CP335&gt;$CO$8,"",VLOOKUP($CP335,$CR$9:$CX$508,6,FALSE()))</f>
        <v/>
      </c>
      <c r="DE335" s="70"/>
    </row>
    <row r="336" customFormat="false" ht="15.75" hidden="false" customHeight="false" outlineLevel="0" collapsed="false">
      <c r="A336" s="8"/>
      <c r="B336" s="146"/>
      <c r="C336" s="147"/>
      <c r="D336" s="148"/>
      <c r="E336" s="164"/>
      <c r="F336" s="150"/>
      <c r="G336" s="115"/>
      <c r="H336" s="115"/>
      <c r="I336" s="115"/>
      <c r="J336" s="165"/>
      <c r="K336" s="154"/>
      <c r="L336" s="154"/>
      <c r="M336" s="118"/>
      <c r="N336" s="154"/>
      <c r="O336" s="153"/>
      <c r="P336" s="154"/>
      <c r="Q336" s="154"/>
      <c r="R336" s="154"/>
      <c r="S336" s="115"/>
      <c r="T336" s="154"/>
      <c r="U336" s="153"/>
      <c r="V336" s="154"/>
      <c r="W336" s="123"/>
      <c r="X336" s="124" t="str">
        <f aca="false">IF(ISBLANK($C336),"",IF($E336=Constants!$B$2,TRUE(),IF($E336=Constants!$B$3,FALSE(),TRUE())))</f>
        <v/>
      </c>
      <c r="Y336" s="124" t="str">
        <f aca="false">IF(ISBLANK($C336),"",IF($F336=Constants!$B$2,TRUE(),IF($F336=Constants!$B$3,FALSE(),TRUE())))</f>
        <v/>
      </c>
      <c r="Z336" s="125" t="str">
        <f aca="false">IF(ISBLANK($C336),"",IF(ISNUMBER($G336),IF($G336&gt;=0,$G336,""),""))</f>
        <v/>
      </c>
      <c r="AA336" s="125" t="str">
        <f aca="false">IF(ISBLANK($C336),"",IF(ISNUMBER($H336),IF($H336&gt;=0,$H336,""),""))</f>
        <v/>
      </c>
      <c r="AB336" s="125" t="str">
        <f aca="false">IF(ISBLANK($C336),"",IF(ISNUMBER($I336),IF($I336&gt;=0,$I336,""),""))</f>
        <v/>
      </c>
      <c r="AC336" s="124" t="str">
        <f aca="false">IF(ISBLANK($C336),"",IF($J336=Constants!$B$2,TRUE(),IF($J336=Constants!$B$3,FALSE(),TRUE())))</f>
        <v/>
      </c>
      <c r="AD336" s="124" t="str">
        <f aca="false">IF(ISBLANK($C336),"",IF($K336=Constants!$B$2,TRUE(),IF($K336=Constants!$B$3,FALSE(),TRUE())))</f>
        <v/>
      </c>
      <c r="AE336" s="124" t="str">
        <f aca="false">IF(ISBLANK($C336),"",IF($L336=Constants!$B$2,TRUE(),IF($L336=Constants!$B$3,FALSE(),TRUE())))</f>
        <v/>
      </c>
      <c r="AF336" s="126" t="str">
        <f aca="false">IF(ISBLANK($C336),"",IF(ISNUMBER($M336),IF($M336&gt;=0,$M336,""),""))</f>
        <v/>
      </c>
      <c r="AG336" s="124" t="str">
        <f aca="false">IF(ISBLANK($C336),"",IF(ISBLANK($N336),0,IF(ISNUMBER($N336),IF(AND($N336&gt;=0,$N336&lt;=Constants!$B$17,$N336=INT($N336)),$N336,""),"")))</f>
        <v/>
      </c>
      <c r="AH336" s="125" t="str">
        <f aca="false">IF(ISBLANK($C336),"",IF(ISBLANK($O336),0,IF(ISNUMBER($O336),IF($O336&gt;=0,$O336,""),"")))</f>
        <v/>
      </c>
      <c r="AI336" s="124" t="str">
        <f aca="false">IF(ISBLANK($C336),"",IF($P336=Constants!$B$2,TRUE(),IF($P336=Constants!$B$3,FALSE(),TRUE())))</f>
        <v/>
      </c>
      <c r="AJ336" s="124" t="str">
        <f aca="false">IF(ISBLANK($C336),"",IF($Q336=Constants!$B$2,TRUE(),IF($Q336=Constants!$B$3,FALSE(),TRUE())))</f>
        <v/>
      </c>
      <c r="AK336" s="124" t="str">
        <f aca="false">IF(ISBLANK($C336),"",IF($R336=Constants!$B$2,TRUE(),IF($R336=Constants!$B$3,FALSE(),TRUE())))</f>
        <v/>
      </c>
      <c r="AL336" s="126" t="str">
        <f aca="false">IF(ISBLANK($C336),"",IF(ISNUMBER($S336),IF($S336&gt;=0,$S336,""),""))</f>
        <v/>
      </c>
      <c r="AM336" s="124" t="str">
        <f aca="false">IF(ISBLANK($C336),"",IF(ISBLANK($T336),0,IF(ISNUMBER($T336),IF(AND($T336&gt;=0,$T336&lt;=Constants!$B$17,$T336=INT($T336)),$T336,""),"")))</f>
        <v/>
      </c>
      <c r="AN336" s="125" t="str">
        <f aca="false">IF(ISBLANK($C336),"",IF(ISBLANK($U336),0,IF(ISNUMBER($U336),IF($U336&gt;=0,$U336,""),"")))</f>
        <v/>
      </c>
      <c r="AO336" s="124" t="str">
        <f aca="false">IF(ISBLANK($C336),"",IF($V336=Constants!$B$2,TRUE(),IF($V336=Constants!$B$3,FALSE(),FALSE())))</f>
        <v/>
      </c>
      <c r="AP336" s="124"/>
      <c r="AQ336" s="123" t="str">
        <f aca="false">IF(ISBLANK($C336),"",AND($Y336,OR($AS336,$BC336),OR($Z336="",$AA336="",$AB336="")))</f>
        <v/>
      </c>
      <c r="AR336" s="123" t="str">
        <f aca="false">IF(ISBLANK($C336),"",IF(OR(NOT($Y336),NOT(OR($AS336,$BC336))),"",IF(ISBLANK($D$7),$AR$5,IF($AP$9="",$AR$6,""))))</f>
        <v/>
      </c>
      <c r="AS336" s="123" t="str">
        <f aca="false">IF(ISBLANK($C336),"",COUNTA($J336:$O336)&gt;0)</f>
        <v/>
      </c>
      <c r="AT336" s="123" t="str">
        <f aca="false">IF(ISBLANK($C336),"",AND($AS336,OR(AND($AF336="",OR($AE336,NOT(ISBLANK($M336)))),$AG336="",$AH336="")))</f>
        <v/>
      </c>
      <c r="AU336" s="125" t="str">
        <f aca="false">IF($BL336&lt;&gt;Constants!$B$4,"",IF(NOT($AS336),"",ROUND((Constants!$B$12-$AB336)+(Constants!$B$13-$Z336)+(Constants!$B$14-$AA336),1)))</f>
        <v/>
      </c>
      <c r="AV336" s="127" t="str">
        <f aca="false">IF($BL336&lt;&gt;Constants!$B$4,"",IF(NOT($AS336),"",IF(NOT($AE336),0,Constants!$B$15*(INT(ROUND(MIN($AF336,$AP$9),6))-INT(ROUND(MAX(0,MIN($AF336,2*$AP$9)-$AP$9),6))))))</f>
        <v/>
      </c>
      <c r="AW336" s="127" t="str">
        <f aca="false">IF($BL336&lt;&gt;Constants!$B$4,"",IF(NOT($AS336),"",Constants!$B$16*$AG336))</f>
        <v/>
      </c>
      <c r="AX336" s="127" t="str">
        <f aca="false">IF($BL336&lt;&gt;Constants!$B$4,"",IF(NOT($AS336),"",Constants!$B$18*INT(ROUND($AH336,6))))</f>
        <v/>
      </c>
      <c r="AY336" s="123" t="str">
        <f aca="false">IF($BL336&lt;&gt;Constants!$B$4,"",IF(NOT($AS336),"",IF(NOT($X336),Constants!$B$11,IF(OR(NOT($AC336),NOT($AD336),ROUND($AB336,1)&gt;Constants!$B$12,ROUND($Z336,1)&gt;Constants!$B$13,ROUND($AA336,1)&gt;Constants!$B$14),Constants!$B$10,Constants!$B$9))))</f>
        <v/>
      </c>
      <c r="AZ336" s="128" t="str">
        <f aca="false">IF($BL336&lt;&gt;Constants!$B$4,"",IF(NOT($AS336),"",ROUND($AU336+$AV336+$AW336+$AX336,1)))</f>
        <v/>
      </c>
      <c r="BA336" s="129" t="str">
        <f aca="false">IF($BL336&lt;&gt;Constants!$B$4,"",IF(NOT($AS336),"",IF(ISNUMBER($AF336),$AF336,0)))</f>
        <v/>
      </c>
      <c r="BB336" s="124" t="str">
        <f aca="false">IF($BL336&lt;&gt;Constants!$B$4,"",IF(NOT($BC336),"&lt;-",IF(NOT($AS336),"-&gt;",IF(OR($BI336&lt;$AY336,AND($BI336=$AY336,OR($BJ336&gt;$AZ336,AND($BJ336=$AZ336,OR($BH336&gt;$AX336,AND($BH336=$AX336,OR($BE336&gt;$AU336,AND($BE336=$AU336,OR($BF336&gt;$AV336,AND($BF336=$AV336,$BK336&gt;$BA336)))))))))),"-&gt;","&lt;-"))))</f>
        <v/>
      </c>
      <c r="BC336" s="123" t="str">
        <f aca="false">IF(ISBLANK($C336),"",COUNTA($P336:$U336)&gt;0)</f>
        <v/>
      </c>
      <c r="BD336" s="123" t="str">
        <f aca="false">IF(ISBLANK($C336),"",AND($BC336,OR(AND($AL336="",OR($AK336,NOT(ISBLANK($S336)))),$AM336="",$AN336="")))</f>
        <v/>
      </c>
      <c r="BE336" s="125" t="str">
        <f aca="false">IF($BL336&lt;&gt;Constants!$B$4,"",IF(NOT($BC336),"",ROUND((Constants!$B$12-$AB336)+(Constants!$B$13-$Z336)+(Constants!$B$14-$AA336),1)))</f>
        <v/>
      </c>
      <c r="BF336" s="127" t="str">
        <f aca="false">IF($BL336&lt;&gt;Constants!$B$4,"",IF(NOT($BC336),"",IF(NOT($AK336),0,Constants!$B$15*(INT(ROUND(MIN($AL336,$AP$9),6))-INT(ROUND(MAX(0,MIN($AL336,2*$AP$9)-$AP$9),6))))))</f>
        <v/>
      </c>
      <c r="BG336" s="127" t="str">
        <f aca="false">IF($BL336&lt;&gt;Constants!$B$4,"",IF(NOT($BC336),"",Constants!$B$16*$AM336))</f>
        <v/>
      </c>
      <c r="BH336" s="127" t="str">
        <f aca="false">IF($BL336&lt;&gt;Constants!$B$4,"",IF(NOT($BC336),"",Constants!$B$18*INT(ROUND($AN336,6))))</f>
        <v/>
      </c>
      <c r="BI336" s="123" t="str">
        <f aca="false">IF($BL336&lt;&gt;Constants!$B$4,"",IF(NOT($BC336),"",IF(NOT($X336),Constants!$B$11,IF(OR(NOT($AI336),NOT($AJ336),ROUND($AB336,1)&gt;Constants!$B$12,ROUND($Z336,1)&gt;Constants!$B$13,ROUND($AA336,1)&gt;Constants!$B$14),Constants!$B$10,Constants!$B$9))))</f>
        <v/>
      </c>
      <c r="BJ336" s="128" t="str">
        <f aca="false">IF($BL336&lt;&gt;Constants!$B$4,"",IF(NOT($BC336),"",ROUND($BE336+$BF336+$BG336+$BH336,1)))</f>
        <v/>
      </c>
      <c r="BK336" s="129" t="str">
        <f aca="false">IF($BL336&lt;&gt;Constants!$B$4,"",IF(NOT($BC336),"",IF(ISNUMBER($AL336),$AL336,0)))</f>
        <v/>
      </c>
      <c r="BL336" s="124" t="str">
        <f aca="false">IF(ISBLANK($C336),"",IF($AO336,Constants!$B$7,IF(COUNTA($E336:$V336)=0,Constants!$B$6,IF(NOT($Y336),Constants!$B$5,IF(NOT(OR($AS336,$BC336)),Constants!$B$5,IF(OR($AT336,$BD336,$AQ336,$AR336&lt;&gt;""),Constants!$B$8,Constants!$B$4))))))</f>
        <v/>
      </c>
      <c r="BM336" s="124" t="str">
        <f aca="false">IF(ISBLANK($C336),"",IF($BL336&lt;&gt;Constants!$B$4,$BL336,IF($BB336="-&gt;",$BI336,$AY336)))</f>
        <v/>
      </c>
      <c r="BN336" s="127" t="str">
        <f aca="false">IF($BL336&lt;&gt;Constants!$B$4,"",IF($BB336="-&gt;",$BJ336,$AZ336))</f>
        <v/>
      </c>
      <c r="BO336" s="127" t="str">
        <f aca="false">IF(ISBLANK($C336),"",IF($BL336&lt;&gt;Constants!$B$4,$BL336,$BN336))</f>
        <v/>
      </c>
      <c r="BP336" s="124" t="str">
        <f aca="false">IF(ISBLANK($C336),"",IF($BL336&lt;&gt;Constants!$B$4,$BL336,RANK($BO336,$BO$9:$BO$508,0)))</f>
        <v/>
      </c>
      <c r="BQ336" s="124" t="str">
        <f aca="false">IF(ISBLANK($C336),"",IF($BL336&lt;&gt;Constants!$B$4,$BL336,COUNTIFS($BM$9:$BM$508,"&lt;"&amp;$BM336)+COUNTIFS($BM$9:$BM$508,$BM336,$BP$9:$BP$508,"&lt;"&amp;$BP336)+1))</f>
        <v/>
      </c>
      <c r="BR336" s="127" t="str">
        <f aca="false">IF($BL336&lt;&gt;Constants!$B$4,"",IF($BB336="-&gt;",$BH336,$AX336))</f>
        <v/>
      </c>
      <c r="BS336" s="124" t="str">
        <f aca="false">IF(ISBLANK($C336),"",IF($BL336&lt;&gt;Constants!$B$4,$BL336,IF(ISNUMBER($BR336),RANK($BR336,$BR$9:$BR$508,0),COUNT($BR$9:$BR$508)+1)))</f>
        <v/>
      </c>
      <c r="BT336" s="127" t="str">
        <f aca="false">IF($BL336&lt;&gt;Constants!$B$4,"",IF($BB336="-&gt;",$BE336,$AU336))</f>
        <v/>
      </c>
      <c r="BU336" s="124" t="str">
        <f aca="false">IF(ISBLANK($C336),"",IF($BL336&lt;&gt;Constants!$B$4,$BL336,IF(ISNUMBER($BT336),RANK($BT336,$BT$9:$BT$508,0),COUNT($BT$9:$BT$508)+1)))</f>
        <v/>
      </c>
      <c r="BV336" s="127" t="str">
        <f aca="false">IF($BL336&lt;&gt;Constants!$B$4,"",IF($BB336="-&gt;",$BF336,$AV336))</f>
        <v/>
      </c>
      <c r="BW336" s="124" t="str">
        <f aca="false">IF(ISBLANK($C336),"",IF($BL336&lt;&gt;Constants!$B$4,$BL336,IF(ISNUMBER($BV336),RANK($BV336,$BV$9:$BV$508,0),COUNT($BV$9:$BV$508)+1)))</f>
        <v/>
      </c>
      <c r="BX336" s="127" t="str">
        <f aca="false">IF($BL336&lt;&gt;Constants!$B$4,"",IF($BB336="-&gt;",$BK336,$BA336))</f>
        <v/>
      </c>
      <c r="BY336" s="124" t="str">
        <f aca="false">IF(ISBLANK($C336),"",IF($BL336&lt;&gt;Constants!$B$4,$BL336,IF(ISNUMBER($BX336),RANK($BX336,$BX$9:$BX$508,0),COUNT($BX$9:$BX$508)+1)))</f>
        <v/>
      </c>
      <c r="BZ336" s="124" t="str">
        <f aca="false">IF(ISBLANK($C336),"",IF($BL336&lt;&gt;Constants!$B$4,$BL336,COUNTIFS($BM$9:$BM$508,"&lt;"&amp;$BM336)+COUNTIFS($BM$9:$BM$508,$BM336,$BP$9:$BP$508,"&lt;"&amp;$BP336)+COUNTIFS($BM$9:$BM$508,$BM336,$BP$9:$BP$508,$BP336,$BS$9:$BS$508,"&lt;"&amp;$BS336)+COUNTIFS($BM$9:$BM$508,$BM336,$BP$9:$BP$508,$BP336,$BS$9:$BS$508,$BS336,$BU$9:$BU$508,"&lt;"&amp;$BU336)+COUNTIFS($BM$9:$BM$508,$BM336,$BP$9:$BP$508,$BP336,$BS$9:$BS$508,$BS336,$BU$9:$BU$508,$BU336,$BW$9:$BW$508,"&lt;"&amp;$BW336)+COUNTIFS($BM$9:$BM$508,$BM336,$BP$9:$BP$508,$BP336,$BS$9:$BS$508,$BS336,$BU$9:$BU$508,$BU336,$BW$9:$BW$508,$BW336,$BY$9:$BY$508,"&lt;"&amp;$BY336)+1))</f>
        <v/>
      </c>
      <c r="CA336" s="124" t="str">
        <f aca="false">IF(ISBLANK($C336),"",IF($BL336&lt;&gt;Constants!$B$4,$BL336,$BQ336-$BZ336))</f>
        <v/>
      </c>
      <c r="CB336" s="130"/>
      <c r="CC336" s="131" t="str">
        <f aca="false">IF(ISBLANK($C336),"",IF($BL336=Constants!$B$8,$AR336,""))</f>
        <v/>
      </c>
      <c r="CD336" s="131" t="str">
        <f aca="false">IF(ISBLANK($C336),"",IF($BL336&lt;&gt;Constants!$B$4,"",IF($BB336="-&gt;",2,1)))</f>
        <v/>
      </c>
      <c r="CE336" s="132" t="str">
        <f aca="false">IF(ISBLANK($C336),"",IF($BL336&lt;&gt;Constants!$B$4,"",IF($BB336="-&gt;",$BE336,$AU336)))</f>
        <v/>
      </c>
      <c r="CF336" s="132" t="str">
        <f aca="false">IF(ISBLANK($C336),"",IF($BL336&lt;&gt;Constants!$B$4,"",IF($BB336="-&gt;",$BF336,$AV336)))</f>
        <v/>
      </c>
      <c r="CG336" s="132" t="str">
        <f aca="false">IF(ISBLANK($C336),"",IF($BL336&lt;&gt;Constants!$B$4,"",IF($BB336="-&gt;",$BG336,$AW336)))</f>
        <v/>
      </c>
      <c r="CH336" s="132" t="str">
        <f aca="false">IF(ISBLANK($C336),"",IF($BL336&lt;&gt;Constants!$B$4,"",IF($BB336="-&gt;",$BH336,$AX336)))</f>
        <v/>
      </c>
      <c r="CI336" s="133" t="str">
        <f aca="false">IF(ISBLANK($C336),"",$BO336)</f>
        <v/>
      </c>
      <c r="CJ336" s="134" t="str">
        <f aca="false">IF(ISBLANK($C336),"",$BM336)</f>
        <v/>
      </c>
      <c r="CK336" s="135" t="str">
        <f aca="false">IF(ISBLANK($C336),"",$CA336)</f>
        <v/>
      </c>
      <c r="CL336" s="135" t="str">
        <f aca="false">IF(ISBLANK($C336),"",$BZ336)</f>
        <v/>
      </c>
      <c r="CM336" s="136" t="str">
        <f aca="false">IF(ISBLANK($C336),"",IF($CL336=Constants!$B$7,COUNTA($C$9:$C$508)+2,IF($CL336=Constants!$B$6,COUNTA($C$9:$C$508)+1,IF($CL336=Constants!$B$5,COUNTA($C$9:$C$508),$CL336))))</f>
        <v/>
      </c>
      <c r="CN336" s="8"/>
      <c r="CO336" s="137" t="n">
        <f aca="false">IF(OR(ISNUMBER($CL336),$CL336=Constants!$B$7,$CL336=Constants!$B$5,$CL336=Constants!$B$6),1,0)</f>
        <v>0</v>
      </c>
      <c r="CP336" s="137" t="n">
        <v>328</v>
      </c>
      <c r="CQ336" s="137" t="str">
        <f aca="false">IF(ISBLANK($C336),"",IF(ISNUMBER($CM336),$CM336+ROW($B336)/1000,""))</f>
        <v/>
      </c>
      <c r="CR336" s="137" t="str">
        <f aca="false">IF(ISNUMBER($CQ336),RANK($CQ336,$CQ$9:$CQ$508,1),"")</f>
        <v/>
      </c>
      <c r="CS336" s="137" t="str">
        <f aca="false">IF(ISBLANK($C336),"",$B336)</f>
        <v/>
      </c>
      <c r="CT336" s="137" t="str">
        <f aca="false">IF(ISBLANK($C336),"",$C336)</f>
        <v/>
      </c>
      <c r="CU336" s="137" t="str">
        <f aca="false">IF(ISBLANK($C336),"",$D336)</f>
        <v/>
      </c>
      <c r="CV336" s="138" t="str">
        <f aca="false">$CJ336</f>
        <v/>
      </c>
      <c r="CW336" s="139" t="str">
        <f aca="false">$CI336</f>
        <v/>
      </c>
      <c r="CX336" s="137" t="str">
        <f aca="false">IF(ISBLANK($C336),"",$CL336)</f>
        <v/>
      </c>
      <c r="CY336" s="140" t="str">
        <f aca="false">IF($CP336&gt;$CO$8,"",VLOOKUP($CP336,$CR$9:$CX$508,7,FALSE()))</f>
        <v/>
      </c>
      <c r="CZ336" s="141" t="str">
        <f aca="false">IF($CP336&gt;$CO$8,"",VLOOKUP($CP336,$CR$9:$CX$508,2,FALSE()))</f>
        <v/>
      </c>
      <c r="DA336" s="141" t="str">
        <f aca="false">IF($CP336&gt;$CO$8,"",VLOOKUP($CP336,$CR$9:$CX$508,3,FALSE()))</f>
        <v/>
      </c>
      <c r="DB336" s="141" t="str">
        <f aca="false">IF($CP336&gt;$CO$8,"",VLOOKUP($CP336,$CR$9:$CX$508,4,FALSE()))</f>
        <v/>
      </c>
      <c r="DC336" s="141" t="str">
        <f aca="false">IF($CP336&gt;$CO$8,"",VLOOKUP($CP336,$CR$9:$CX$508,5,FALSE()))</f>
        <v/>
      </c>
      <c r="DD336" s="142" t="str">
        <f aca="false">IF($CP336&gt;$CO$8,"",VLOOKUP($CP336,$CR$9:$CX$508,6,FALSE()))</f>
        <v/>
      </c>
      <c r="DE336" s="70"/>
    </row>
    <row r="337" customFormat="false" ht="15.75" hidden="false" customHeight="false" outlineLevel="0" collapsed="false">
      <c r="A337" s="8"/>
      <c r="B337" s="146"/>
      <c r="C337" s="147"/>
      <c r="D337" s="148"/>
      <c r="E337" s="164"/>
      <c r="F337" s="150"/>
      <c r="G337" s="115"/>
      <c r="H337" s="115"/>
      <c r="I337" s="115"/>
      <c r="J337" s="165"/>
      <c r="K337" s="154"/>
      <c r="L337" s="154"/>
      <c r="M337" s="118"/>
      <c r="N337" s="154"/>
      <c r="O337" s="153"/>
      <c r="P337" s="154"/>
      <c r="Q337" s="154"/>
      <c r="R337" s="154"/>
      <c r="S337" s="115"/>
      <c r="T337" s="154"/>
      <c r="U337" s="153"/>
      <c r="V337" s="154"/>
      <c r="W337" s="123"/>
      <c r="X337" s="124" t="str">
        <f aca="false">IF(ISBLANK($C337),"",IF($E337=Constants!$B$2,TRUE(),IF($E337=Constants!$B$3,FALSE(),TRUE())))</f>
        <v/>
      </c>
      <c r="Y337" s="124" t="str">
        <f aca="false">IF(ISBLANK($C337),"",IF($F337=Constants!$B$2,TRUE(),IF($F337=Constants!$B$3,FALSE(),TRUE())))</f>
        <v/>
      </c>
      <c r="Z337" s="125" t="str">
        <f aca="false">IF(ISBLANK($C337),"",IF(ISNUMBER($G337),IF($G337&gt;=0,$G337,""),""))</f>
        <v/>
      </c>
      <c r="AA337" s="125" t="str">
        <f aca="false">IF(ISBLANK($C337),"",IF(ISNUMBER($H337),IF($H337&gt;=0,$H337,""),""))</f>
        <v/>
      </c>
      <c r="AB337" s="125" t="str">
        <f aca="false">IF(ISBLANK($C337),"",IF(ISNUMBER($I337),IF($I337&gt;=0,$I337,""),""))</f>
        <v/>
      </c>
      <c r="AC337" s="124" t="str">
        <f aca="false">IF(ISBLANK($C337),"",IF($J337=Constants!$B$2,TRUE(),IF($J337=Constants!$B$3,FALSE(),TRUE())))</f>
        <v/>
      </c>
      <c r="AD337" s="124" t="str">
        <f aca="false">IF(ISBLANK($C337),"",IF($K337=Constants!$B$2,TRUE(),IF($K337=Constants!$B$3,FALSE(),TRUE())))</f>
        <v/>
      </c>
      <c r="AE337" s="124" t="str">
        <f aca="false">IF(ISBLANK($C337),"",IF($L337=Constants!$B$2,TRUE(),IF($L337=Constants!$B$3,FALSE(),TRUE())))</f>
        <v/>
      </c>
      <c r="AF337" s="126" t="str">
        <f aca="false">IF(ISBLANK($C337),"",IF(ISNUMBER($M337),IF($M337&gt;=0,$M337,""),""))</f>
        <v/>
      </c>
      <c r="AG337" s="124" t="str">
        <f aca="false">IF(ISBLANK($C337),"",IF(ISBLANK($N337),0,IF(ISNUMBER($N337),IF(AND($N337&gt;=0,$N337&lt;=Constants!$B$17,$N337=INT($N337)),$N337,""),"")))</f>
        <v/>
      </c>
      <c r="AH337" s="125" t="str">
        <f aca="false">IF(ISBLANK($C337),"",IF(ISBLANK($O337),0,IF(ISNUMBER($O337),IF($O337&gt;=0,$O337,""),"")))</f>
        <v/>
      </c>
      <c r="AI337" s="124" t="str">
        <f aca="false">IF(ISBLANK($C337),"",IF($P337=Constants!$B$2,TRUE(),IF($P337=Constants!$B$3,FALSE(),TRUE())))</f>
        <v/>
      </c>
      <c r="AJ337" s="124" t="str">
        <f aca="false">IF(ISBLANK($C337),"",IF($Q337=Constants!$B$2,TRUE(),IF($Q337=Constants!$B$3,FALSE(),TRUE())))</f>
        <v/>
      </c>
      <c r="AK337" s="124" t="str">
        <f aca="false">IF(ISBLANK($C337),"",IF($R337=Constants!$B$2,TRUE(),IF($R337=Constants!$B$3,FALSE(),TRUE())))</f>
        <v/>
      </c>
      <c r="AL337" s="126" t="str">
        <f aca="false">IF(ISBLANK($C337),"",IF(ISNUMBER($S337),IF($S337&gt;=0,$S337,""),""))</f>
        <v/>
      </c>
      <c r="AM337" s="124" t="str">
        <f aca="false">IF(ISBLANK($C337),"",IF(ISBLANK($T337),0,IF(ISNUMBER($T337),IF(AND($T337&gt;=0,$T337&lt;=Constants!$B$17,$T337=INT($T337)),$T337,""),"")))</f>
        <v/>
      </c>
      <c r="AN337" s="125" t="str">
        <f aca="false">IF(ISBLANK($C337),"",IF(ISBLANK($U337),0,IF(ISNUMBER($U337),IF($U337&gt;=0,$U337,""),"")))</f>
        <v/>
      </c>
      <c r="AO337" s="124" t="str">
        <f aca="false">IF(ISBLANK($C337),"",IF($V337=Constants!$B$2,TRUE(),IF($V337=Constants!$B$3,FALSE(),FALSE())))</f>
        <v/>
      </c>
      <c r="AP337" s="124"/>
      <c r="AQ337" s="123" t="str">
        <f aca="false">IF(ISBLANK($C337),"",AND($Y337,OR($AS337,$BC337),OR($Z337="",$AA337="",$AB337="")))</f>
        <v/>
      </c>
      <c r="AR337" s="123" t="str">
        <f aca="false">IF(ISBLANK($C337),"",IF(OR(NOT($Y337),NOT(OR($AS337,$BC337))),"",IF(ISBLANK($D$7),$AR$5,IF($AP$9="",$AR$6,""))))</f>
        <v/>
      </c>
      <c r="AS337" s="123" t="str">
        <f aca="false">IF(ISBLANK($C337),"",COUNTA($J337:$O337)&gt;0)</f>
        <v/>
      </c>
      <c r="AT337" s="123" t="str">
        <f aca="false">IF(ISBLANK($C337),"",AND($AS337,OR(AND($AF337="",OR($AE337,NOT(ISBLANK($M337)))),$AG337="",$AH337="")))</f>
        <v/>
      </c>
      <c r="AU337" s="125" t="str">
        <f aca="false">IF($BL337&lt;&gt;Constants!$B$4,"",IF(NOT($AS337),"",ROUND((Constants!$B$12-$AB337)+(Constants!$B$13-$Z337)+(Constants!$B$14-$AA337),1)))</f>
        <v/>
      </c>
      <c r="AV337" s="127" t="str">
        <f aca="false">IF($BL337&lt;&gt;Constants!$B$4,"",IF(NOT($AS337),"",IF(NOT($AE337),0,Constants!$B$15*(INT(ROUND(MIN($AF337,$AP$9),6))-INT(ROUND(MAX(0,MIN($AF337,2*$AP$9)-$AP$9),6))))))</f>
        <v/>
      </c>
      <c r="AW337" s="127" t="str">
        <f aca="false">IF($BL337&lt;&gt;Constants!$B$4,"",IF(NOT($AS337),"",Constants!$B$16*$AG337))</f>
        <v/>
      </c>
      <c r="AX337" s="127" t="str">
        <f aca="false">IF($BL337&lt;&gt;Constants!$B$4,"",IF(NOT($AS337),"",Constants!$B$18*INT(ROUND($AH337,6))))</f>
        <v/>
      </c>
      <c r="AY337" s="123" t="str">
        <f aca="false">IF($BL337&lt;&gt;Constants!$B$4,"",IF(NOT($AS337),"",IF(NOT($X337),Constants!$B$11,IF(OR(NOT($AC337),NOT($AD337),ROUND($AB337,1)&gt;Constants!$B$12,ROUND($Z337,1)&gt;Constants!$B$13,ROUND($AA337,1)&gt;Constants!$B$14),Constants!$B$10,Constants!$B$9))))</f>
        <v/>
      </c>
      <c r="AZ337" s="128" t="str">
        <f aca="false">IF($BL337&lt;&gt;Constants!$B$4,"",IF(NOT($AS337),"",ROUND($AU337+$AV337+$AW337+$AX337,1)))</f>
        <v/>
      </c>
      <c r="BA337" s="129" t="str">
        <f aca="false">IF($BL337&lt;&gt;Constants!$B$4,"",IF(NOT($AS337),"",IF(ISNUMBER($AF337),$AF337,0)))</f>
        <v/>
      </c>
      <c r="BB337" s="124" t="str">
        <f aca="false">IF($BL337&lt;&gt;Constants!$B$4,"",IF(NOT($BC337),"&lt;-",IF(NOT($AS337),"-&gt;",IF(OR($BI337&lt;$AY337,AND($BI337=$AY337,OR($BJ337&gt;$AZ337,AND($BJ337=$AZ337,OR($BH337&gt;$AX337,AND($BH337=$AX337,OR($BE337&gt;$AU337,AND($BE337=$AU337,OR($BF337&gt;$AV337,AND($BF337=$AV337,$BK337&gt;$BA337)))))))))),"-&gt;","&lt;-"))))</f>
        <v/>
      </c>
      <c r="BC337" s="123" t="str">
        <f aca="false">IF(ISBLANK($C337),"",COUNTA($P337:$U337)&gt;0)</f>
        <v/>
      </c>
      <c r="BD337" s="123" t="str">
        <f aca="false">IF(ISBLANK($C337),"",AND($BC337,OR(AND($AL337="",OR($AK337,NOT(ISBLANK($S337)))),$AM337="",$AN337="")))</f>
        <v/>
      </c>
      <c r="BE337" s="125" t="str">
        <f aca="false">IF($BL337&lt;&gt;Constants!$B$4,"",IF(NOT($BC337),"",ROUND((Constants!$B$12-$AB337)+(Constants!$B$13-$Z337)+(Constants!$B$14-$AA337),1)))</f>
        <v/>
      </c>
      <c r="BF337" s="127" t="str">
        <f aca="false">IF($BL337&lt;&gt;Constants!$B$4,"",IF(NOT($BC337),"",IF(NOT($AK337),0,Constants!$B$15*(INT(ROUND(MIN($AL337,$AP$9),6))-INT(ROUND(MAX(0,MIN($AL337,2*$AP$9)-$AP$9),6))))))</f>
        <v/>
      </c>
      <c r="BG337" s="127" t="str">
        <f aca="false">IF($BL337&lt;&gt;Constants!$B$4,"",IF(NOT($BC337),"",Constants!$B$16*$AM337))</f>
        <v/>
      </c>
      <c r="BH337" s="127" t="str">
        <f aca="false">IF($BL337&lt;&gt;Constants!$B$4,"",IF(NOT($BC337),"",Constants!$B$18*INT(ROUND($AN337,6))))</f>
        <v/>
      </c>
      <c r="BI337" s="123" t="str">
        <f aca="false">IF($BL337&lt;&gt;Constants!$B$4,"",IF(NOT($BC337),"",IF(NOT($X337),Constants!$B$11,IF(OR(NOT($AI337),NOT($AJ337),ROUND($AB337,1)&gt;Constants!$B$12,ROUND($Z337,1)&gt;Constants!$B$13,ROUND($AA337,1)&gt;Constants!$B$14),Constants!$B$10,Constants!$B$9))))</f>
        <v/>
      </c>
      <c r="BJ337" s="128" t="str">
        <f aca="false">IF($BL337&lt;&gt;Constants!$B$4,"",IF(NOT($BC337),"",ROUND($BE337+$BF337+$BG337+$BH337,1)))</f>
        <v/>
      </c>
      <c r="BK337" s="129" t="str">
        <f aca="false">IF($BL337&lt;&gt;Constants!$B$4,"",IF(NOT($BC337),"",IF(ISNUMBER($AL337),$AL337,0)))</f>
        <v/>
      </c>
      <c r="BL337" s="124" t="str">
        <f aca="false">IF(ISBLANK($C337),"",IF($AO337,Constants!$B$7,IF(COUNTA($E337:$V337)=0,Constants!$B$6,IF(NOT($Y337),Constants!$B$5,IF(NOT(OR($AS337,$BC337)),Constants!$B$5,IF(OR($AT337,$BD337,$AQ337,$AR337&lt;&gt;""),Constants!$B$8,Constants!$B$4))))))</f>
        <v/>
      </c>
      <c r="BM337" s="124" t="str">
        <f aca="false">IF(ISBLANK($C337),"",IF($BL337&lt;&gt;Constants!$B$4,$BL337,IF($BB337="-&gt;",$BI337,$AY337)))</f>
        <v/>
      </c>
      <c r="BN337" s="127" t="str">
        <f aca="false">IF($BL337&lt;&gt;Constants!$B$4,"",IF($BB337="-&gt;",$BJ337,$AZ337))</f>
        <v/>
      </c>
      <c r="BO337" s="127" t="str">
        <f aca="false">IF(ISBLANK($C337),"",IF($BL337&lt;&gt;Constants!$B$4,$BL337,$BN337))</f>
        <v/>
      </c>
      <c r="BP337" s="124" t="str">
        <f aca="false">IF(ISBLANK($C337),"",IF($BL337&lt;&gt;Constants!$B$4,$BL337,RANK($BO337,$BO$9:$BO$508,0)))</f>
        <v/>
      </c>
      <c r="BQ337" s="124" t="str">
        <f aca="false">IF(ISBLANK($C337),"",IF($BL337&lt;&gt;Constants!$B$4,$BL337,COUNTIFS($BM$9:$BM$508,"&lt;"&amp;$BM337)+COUNTIFS($BM$9:$BM$508,$BM337,$BP$9:$BP$508,"&lt;"&amp;$BP337)+1))</f>
        <v/>
      </c>
      <c r="BR337" s="127" t="str">
        <f aca="false">IF($BL337&lt;&gt;Constants!$B$4,"",IF($BB337="-&gt;",$BH337,$AX337))</f>
        <v/>
      </c>
      <c r="BS337" s="124" t="str">
        <f aca="false">IF(ISBLANK($C337),"",IF($BL337&lt;&gt;Constants!$B$4,$BL337,IF(ISNUMBER($BR337),RANK($BR337,$BR$9:$BR$508,0),COUNT($BR$9:$BR$508)+1)))</f>
        <v/>
      </c>
      <c r="BT337" s="127" t="str">
        <f aca="false">IF($BL337&lt;&gt;Constants!$B$4,"",IF($BB337="-&gt;",$BE337,$AU337))</f>
        <v/>
      </c>
      <c r="BU337" s="124" t="str">
        <f aca="false">IF(ISBLANK($C337),"",IF($BL337&lt;&gt;Constants!$B$4,$BL337,IF(ISNUMBER($BT337),RANK($BT337,$BT$9:$BT$508,0),COUNT($BT$9:$BT$508)+1)))</f>
        <v/>
      </c>
      <c r="BV337" s="127" t="str">
        <f aca="false">IF($BL337&lt;&gt;Constants!$B$4,"",IF($BB337="-&gt;",$BF337,$AV337))</f>
        <v/>
      </c>
      <c r="BW337" s="124" t="str">
        <f aca="false">IF(ISBLANK($C337),"",IF($BL337&lt;&gt;Constants!$B$4,$BL337,IF(ISNUMBER($BV337),RANK($BV337,$BV$9:$BV$508,0),COUNT($BV$9:$BV$508)+1)))</f>
        <v/>
      </c>
      <c r="BX337" s="127" t="str">
        <f aca="false">IF($BL337&lt;&gt;Constants!$B$4,"",IF($BB337="-&gt;",$BK337,$BA337))</f>
        <v/>
      </c>
      <c r="BY337" s="124" t="str">
        <f aca="false">IF(ISBLANK($C337),"",IF($BL337&lt;&gt;Constants!$B$4,$BL337,IF(ISNUMBER($BX337),RANK($BX337,$BX$9:$BX$508,0),COUNT($BX$9:$BX$508)+1)))</f>
        <v/>
      </c>
      <c r="BZ337" s="124" t="str">
        <f aca="false">IF(ISBLANK($C337),"",IF($BL337&lt;&gt;Constants!$B$4,$BL337,COUNTIFS($BM$9:$BM$508,"&lt;"&amp;$BM337)+COUNTIFS($BM$9:$BM$508,$BM337,$BP$9:$BP$508,"&lt;"&amp;$BP337)+COUNTIFS($BM$9:$BM$508,$BM337,$BP$9:$BP$508,$BP337,$BS$9:$BS$508,"&lt;"&amp;$BS337)+COUNTIFS($BM$9:$BM$508,$BM337,$BP$9:$BP$508,$BP337,$BS$9:$BS$508,$BS337,$BU$9:$BU$508,"&lt;"&amp;$BU337)+COUNTIFS($BM$9:$BM$508,$BM337,$BP$9:$BP$508,$BP337,$BS$9:$BS$508,$BS337,$BU$9:$BU$508,$BU337,$BW$9:$BW$508,"&lt;"&amp;$BW337)+COUNTIFS($BM$9:$BM$508,$BM337,$BP$9:$BP$508,$BP337,$BS$9:$BS$508,$BS337,$BU$9:$BU$508,$BU337,$BW$9:$BW$508,$BW337,$BY$9:$BY$508,"&lt;"&amp;$BY337)+1))</f>
        <v/>
      </c>
      <c r="CA337" s="124" t="str">
        <f aca="false">IF(ISBLANK($C337),"",IF($BL337&lt;&gt;Constants!$B$4,$BL337,$BQ337-$BZ337))</f>
        <v/>
      </c>
      <c r="CB337" s="130"/>
      <c r="CC337" s="131" t="str">
        <f aca="false">IF(ISBLANK($C337),"",IF($BL337=Constants!$B$8,$AR337,""))</f>
        <v/>
      </c>
      <c r="CD337" s="131" t="str">
        <f aca="false">IF(ISBLANK($C337),"",IF($BL337&lt;&gt;Constants!$B$4,"",IF($BB337="-&gt;",2,1)))</f>
        <v/>
      </c>
      <c r="CE337" s="132" t="str">
        <f aca="false">IF(ISBLANK($C337),"",IF($BL337&lt;&gt;Constants!$B$4,"",IF($BB337="-&gt;",$BE337,$AU337)))</f>
        <v/>
      </c>
      <c r="CF337" s="132" t="str">
        <f aca="false">IF(ISBLANK($C337),"",IF($BL337&lt;&gt;Constants!$B$4,"",IF($BB337="-&gt;",$BF337,$AV337)))</f>
        <v/>
      </c>
      <c r="CG337" s="132" t="str">
        <f aca="false">IF(ISBLANK($C337),"",IF($BL337&lt;&gt;Constants!$B$4,"",IF($BB337="-&gt;",$BG337,$AW337)))</f>
        <v/>
      </c>
      <c r="CH337" s="132" t="str">
        <f aca="false">IF(ISBLANK($C337),"",IF($BL337&lt;&gt;Constants!$B$4,"",IF($BB337="-&gt;",$BH337,$AX337)))</f>
        <v/>
      </c>
      <c r="CI337" s="133" t="str">
        <f aca="false">IF(ISBLANK($C337),"",$BO337)</f>
        <v/>
      </c>
      <c r="CJ337" s="134" t="str">
        <f aca="false">IF(ISBLANK($C337),"",$BM337)</f>
        <v/>
      </c>
      <c r="CK337" s="135" t="str">
        <f aca="false">IF(ISBLANK($C337),"",$CA337)</f>
        <v/>
      </c>
      <c r="CL337" s="135" t="str">
        <f aca="false">IF(ISBLANK($C337),"",$BZ337)</f>
        <v/>
      </c>
      <c r="CM337" s="136" t="str">
        <f aca="false">IF(ISBLANK($C337),"",IF($CL337=Constants!$B$7,COUNTA($C$9:$C$508)+2,IF($CL337=Constants!$B$6,COUNTA($C$9:$C$508)+1,IF($CL337=Constants!$B$5,COUNTA($C$9:$C$508),$CL337))))</f>
        <v/>
      </c>
      <c r="CN337" s="8"/>
      <c r="CO337" s="137" t="n">
        <f aca="false">IF(OR(ISNUMBER($CL337),$CL337=Constants!$B$7,$CL337=Constants!$B$5,$CL337=Constants!$B$6),1,0)</f>
        <v>0</v>
      </c>
      <c r="CP337" s="137" t="n">
        <v>329</v>
      </c>
      <c r="CQ337" s="137" t="str">
        <f aca="false">IF(ISBLANK($C337),"",IF(ISNUMBER($CM337),$CM337+ROW($B337)/1000,""))</f>
        <v/>
      </c>
      <c r="CR337" s="137" t="str">
        <f aca="false">IF(ISNUMBER($CQ337),RANK($CQ337,$CQ$9:$CQ$508,1),"")</f>
        <v/>
      </c>
      <c r="CS337" s="137" t="str">
        <f aca="false">IF(ISBLANK($C337),"",$B337)</f>
        <v/>
      </c>
      <c r="CT337" s="137" t="str">
        <f aca="false">IF(ISBLANK($C337),"",$C337)</f>
        <v/>
      </c>
      <c r="CU337" s="137" t="str">
        <f aca="false">IF(ISBLANK($C337),"",$D337)</f>
        <v/>
      </c>
      <c r="CV337" s="138" t="str">
        <f aca="false">$CJ337</f>
        <v/>
      </c>
      <c r="CW337" s="139" t="str">
        <f aca="false">$CI337</f>
        <v/>
      </c>
      <c r="CX337" s="137" t="str">
        <f aca="false">IF(ISBLANK($C337),"",$CL337)</f>
        <v/>
      </c>
      <c r="CY337" s="140" t="str">
        <f aca="false">IF($CP337&gt;$CO$8,"",VLOOKUP($CP337,$CR$9:$CX$508,7,FALSE()))</f>
        <v/>
      </c>
      <c r="CZ337" s="141" t="str">
        <f aca="false">IF($CP337&gt;$CO$8,"",VLOOKUP($CP337,$CR$9:$CX$508,2,FALSE()))</f>
        <v/>
      </c>
      <c r="DA337" s="141" t="str">
        <f aca="false">IF($CP337&gt;$CO$8,"",VLOOKUP($CP337,$CR$9:$CX$508,3,FALSE()))</f>
        <v/>
      </c>
      <c r="DB337" s="141" t="str">
        <f aca="false">IF($CP337&gt;$CO$8,"",VLOOKUP($CP337,$CR$9:$CX$508,4,FALSE()))</f>
        <v/>
      </c>
      <c r="DC337" s="141" t="str">
        <f aca="false">IF($CP337&gt;$CO$8,"",VLOOKUP($CP337,$CR$9:$CX$508,5,FALSE()))</f>
        <v/>
      </c>
      <c r="DD337" s="142" t="str">
        <f aca="false">IF($CP337&gt;$CO$8,"",VLOOKUP($CP337,$CR$9:$CX$508,6,FALSE()))</f>
        <v/>
      </c>
      <c r="DE337" s="70"/>
    </row>
    <row r="338" customFormat="false" ht="15.75" hidden="false" customHeight="false" outlineLevel="0" collapsed="false">
      <c r="A338" s="8"/>
      <c r="B338" s="146"/>
      <c r="C338" s="147"/>
      <c r="D338" s="148"/>
      <c r="E338" s="164"/>
      <c r="F338" s="150"/>
      <c r="G338" s="115"/>
      <c r="H338" s="115"/>
      <c r="I338" s="115"/>
      <c r="J338" s="165"/>
      <c r="K338" s="154"/>
      <c r="L338" s="154"/>
      <c r="M338" s="118"/>
      <c r="N338" s="154"/>
      <c r="O338" s="153"/>
      <c r="P338" s="154"/>
      <c r="Q338" s="154"/>
      <c r="R338" s="154"/>
      <c r="S338" s="115"/>
      <c r="T338" s="154"/>
      <c r="U338" s="153"/>
      <c r="V338" s="154"/>
      <c r="W338" s="123"/>
      <c r="X338" s="124" t="str">
        <f aca="false">IF(ISBLANK($C338),"",IF($E338=Constants!$B$2,TRUE(),IF($E338=Constants!$B$3,FALSE(),TRUE())))</f>
        <v/>
      </c>
      <c r="Y338" s="124" t="str">
        <f aca="false">IF(ISBLANK($C338),"",IF($F338=Constants!$B$2,TRUE(),IF($F338=Constants!$B$3,FALSE(),TRUE())))</f>
        <v/>
      </c>
      <c r="Z338" s="125" t="str">
        <f aca="false">IF(ISBLANK($C338),"",IF(ISNUMBER($G338),IF($G338&gt;=0,$G338,""),""))</f>
        <v/>
      </c>
      <c r="AA338" s="125" t="str">
        <f aca="false">IF(ISBLANK($C338),"",IF(ISNUMBER($H338),IF($H338&gt;=0,$H338,""),""))</f>
        <v/>
      </c>
      <c r="AB338" s="125" t="str">
        <f aca="false">IF(ISBLANK($C338),"",IF(ISNUMBER($I338),IF($I338&gt;=0,$I338,""),""))</f>
        <v/>
      </c>
      <c r="AC338" s="124" t="str">
        <f aca="false">IF(ISBLANK($C338),"",IF($J338=Constants!$B$2,TRUE(),IF($J338=Constants!$B$3,FALSE(),TRUE())))</f>
        <v/>
      </c>
      <c r="AD338" s="124" t="str">
        <f aca="false">IF(ISBLANK($C338),"",IF($K338=Constants!$B$2,TRUE(),IF($K338=Constants!$B$3,FALSE(),TRUE())))</f>
        <v/>
      </c>
      <c r="AE338" s="124" t="str">
        <f aca="false">IF(ISBLANK($C338),"",IF($L338=Constants!$B$2,TRUE(),IF($L338=Constants!$B$3,FALSE(),TRUE())))</f>
        <v/>
      </c>
      <c r="AF338" s="126" t="str">
        <f aca="false">IF(ISBLANK($C338),"",IF(ISNUMBER($M338),IF($M338&gt;=0,$M338,""),""))</f>
        <v/>
      </c>
      <c r="AG338" s="124" t="str">
        <f aca="false">IF(ISBLANK($C338),"",IF(ISBLANK($N338),0,IF(ISNUMBER($N338),IF(AND($N338&gt;=0,$N338&lt;=Constants!$B$17,$N338=INT($N338)),$N338,""),"")))</f>
        <v/>
      </c>
      <c r="AH338" s="125" t="str">
        <f aca="false">IF(ISBLANK($C338),"",IF(ISBLANK($O338),0,IF(ISNUMBER($O338),IF($O338&gt;=0,$O338,""),"")))</f>
        <v/>
      </c>
      <c r="AI338" s="124" t="str">
        <f aca="false">IF(ISBLANK($C338),"",IF($P338=Constants!$B$2,TRUE(),IF($P338=Constants!$B$3,FALSE(),TRUE())))</f>
        <v/>
      </c>
      <c r="AJ338" s="124" t="str">
        <f aca="false">IF(ISBLANK($C338),"",IF($Q338=Constants!$B$2,TRUE(),IF($Q338=Constants!$B$3,FALSE(),TRUE())))</f>
        <v/>
      </c>
      <c r="AK338" s="124" t="str">
        <f aca="false">IF(ISBLANK($C338),"",IF($R338=Constants!$B$2,TRUE(),IF($R338=Constants!$B$3,FALSE(),TRUE())))</f>
        <v/>
      </c>
      <c r="AL338" s="126" t="str">
        <f aca="false">IF(ISBLANK($C338),"",IF(ISNUMBER($S338),IF($S338&gt;=0,$S338,""),""))</f>
        <v/>
      </c>
      <c r="AM338" s="124" t="str">
        <f aca="false">IF(ISBLANK($C338),"",IF(ISBLANK($T338),0,IF(ISNUMBER($T338),IF(AND($T338&gt;=0,$T338&lt;=Constants!$B$17,$T338=INT($T338)),$T338,""),"")))</f>
        <v/>
      </c>
      <c r="AN338" s="125" t="str">
        <f aca="false">IF(ISBLANK($C338),"",IF(ISBLANK($U338),0,IF(ISNUMBER($U338),IF($U338&gt;=0,$U338,""),"")))</f>
        <v/>
      </c>
      <c r="AO338" s="124" t="str">
        <f aca="false">IF(ISBLANK($C338),"",IF($V338=Constants!$B$2,TRUE(),IF($V338=Constants!$B$3,FALSE(),FALSE())))</f>
        <v/>
      </c>
      <c r="AP338" s="124"/>
      <c r="AQ338" s="123" t="str">
        <f aca="false">IF(ISBLANK($C338),"",AND($Y338,OR($AS338,$BC338),OR($Z338="",$AA338="",$AB338="")))</f>
        <v/>
      </c>
      <c r="AR338" s="123" t="str">
        <f aca="false">IF(ISBLANK($C338),"",IF(OR(NOT($Y338),NOT(OR($AS338,$BC338))),"",IF(ISBLANK($D$7),$AR$5,IF($AP$9="",$AR$6,""))))</f>
        <v/>
      </c>
      <c r="AS338" s="123" t="str">
        <f aca="false">IF(ISBLANK($C338),"",COUNTA($J338:$O338)&gt;0)</f>
        <v/>
      </c>
      <c r="AT338" s="123" t="str">
        <f aca="false">IF(ISBLANK($C338),"",AND($AS338,OR(AND($AF338="",OR($AE338,NOT(ISBLANK($M338)))),$AG338="",$AH338="")))</f>
        <v/>
      </c>
      <c r="AU338" s="125" t="str">
        <f aca="false">IF($BL338&lt;&gt;Constants!$B$4,"",IF(NOT($AS338),"",ROUND((Constants!$B$12-$AB338)+(Constants!$B$13-$Z338)+(Constants!$B$14-$AA338),1)))</f>
        <v/>
      </c>
      <c r="AV338" s="127" t="str">
        <f aca="false">IF($BL338&lt;&gt;Constants!$B$4,"",IF(NOT($AS338),"",IF(NOT($AE338),0,Constants!$B$15*(INT(ROUND(MIN($AF338,$AP$9),6))-INT(ROUND(MAX(0,MIN($AF338,2*$AP$9)-$AP$9),6))))))</f>
        <v/>
      </c>
      <c r="AW338" s="127" t="str">
        <f aca="false">IF($BL338&lt;&gt;Constants!$B$4,"",IF(NOT($AS338),"",Constants!$B$16*$AG338))</f>
        <v/>
      </c>
      <c r="AX338" s="127" t="str">
        <f aca="false">IF($BL338&lt;&gt;Constants!$B$4,"",IF(NOT($AS338),"",Constants!$B$18*INT(ROUND($AH338,6))))</f>
        <v/>
      </c>
      <c r="AY338" s="123" t="str">
        <f aca="false">IF($BL338&lt;&gt;Constants!$B$4,"",IF(NOT($AS338),"",IF(NOT($X338),Constants!$B$11,IF(OR(NOT($AC338),NOT($AD338),ROUND($AB338,1)&gt;Constants!$B$12,ROUND($Z338,1)&gt;Constants!$B$13,ROUND($AA338,1)&gt;Constants!$B$14),Constants!$B$10,Constants!$B$9))))</f>
        <v/>
      </c>
      <c r="AZ338" s="128" t="str">
        <f aca="false">IF($BL338&lt;&gt;Constants!$B$4,"",IF(NOT($AS338),"",ROUND($AU338+$AV338+$AW338+$AX338,1)))</f>
        <v/>
      </c>
      <c r="BA338" s="129" t="str">
        <f aca="false">IF($BL338&lt;&gt;Constants!$B$4,"",IF(NOT($AS338),"",IF(ISNUMBER($AF338),$AF338,0)))</f>
        <v/>
      </c>
      <c r="BB338" s="124" t="str">
        <f aca="false">IF($BL338&lt;&gt;Constants!$B$4,"",IF(NOT($BC338),"&lt;-",IF(NOT($AS338),"-&gt;",IF(OR($BI338&lt;$AY338,AND($BI338=$AY338,OR($BJ338&gt;$AZ338,AND($BJ338=$AZ338,OR($BH338&gt;$AX338,AND($BH338=$AX338,OR($BE338&gt;$AU338,AND($BE338=$AU338,OR($BF338&gt;$AV338,AND($BF338=$AV338,$BK338&gt;$BA338)))))))))),"-&gt;","&lt;-"))))</f>
        <v/>
      </c>
      <c r="BC338" s="123" t="str">
        <f aca="false">IF(ISBLANK($C338),"",COUNTA($P338:$U338)&gt;0)</f>
        <v/>
      </c>
      <c r="BD338" s="123" t="str">
        <f aca="false">IF(ISBLANK($C338),"",AND($BC338,OR(AND($AL338="",OR($AK338,NOT(ISBLANK($S338)))),$AM338="",$AN338="")))</f>
        <v/>
      </c>
      <c r="BE338" s="125" t="str">
        <f aca="false">IF($BL338&lt;&gt;Constants!$B$4,"",IF(NOT($BC338),"",ROUND((Constants!$B$12-$AB338)+(Constants!$B$13-$Z338)+(Constants!$B$14-$AA338),1)))</f>
        <v/>
      </c>
      <c r="BF338" s="127" t="str">
        <f aca="false">IF($BL338&lt;&gt;Constants!$B$4,"",IF(NOT($BC338),"",IF(NOT($AK338),0,Constants!$B$15*(INT(ROUND(MIN($AL338,$AP$9),6))-INT(ROUND(MAX(0,MIN($AL338,2*$AP$9)-$AP$9),6))))))</f>
        <v/>
      </c>
      <c r="BG338" s="127" t="str">
        <f aca="false">IF($BL338&lt;&gt;Constants!$B$4,"",IF(NOT($BC338),"",Constants!$B$16*$AM338))</f>
        <v/>
      </c>
      <c r="BH338" s="127" t="str">
        <f aca="false">IF($BL338&lt;&gt;Constants!$B$4,"",IF(NOT($BC338),"",Constants!$B$18*INT(ROUND($AN338,6))))</f>
        <v/>
      </c>
      <c r="BI338" s="123" t="str">
        <f aca="false">IF($BL338&lt;&gt;Constants!$B$4,"",IF(NOT($BC338),"",IF(NOT($X338),Constants!$B$11,IF(OR(NOT($AI338),NOT($AJ338),ROUND($AB338,1)&gt;Constants!$B$12,ROUND($Z338,1)&gt;Constants!$B$13,ROUND($AA338,1)&gt;Constants!$B$14),Constants!$B$10,Constants!$B$9))))</f>
        <v/>
      </c>
      <c r="BJ338" s="128" t="str">
        <f aca="false">IF($BL338&lt;&gt;Constants!$B$4,"",IF(NOT($BC338),"",ROUND($BE338+$BF338+$BG338+$BH338,1)))</f>
        <v/>
      </c>
      <c r="BK338" s="129" t="str">
        <f aca="false">IF($BL338&lt;&gt;Constants!$B$4,"",IF(NOT($BC338),"",IF(ISNUMBER($AL338),$AL338,0)))</f>
        <v/>
      </c>
      <c r="BL338" s="124" t="str">
        <f aca="false">IF(ISBLANK($C338),"",IF($AO338,Constants!$B$7,IF(COUNTA($E338:$V338)=0,Constants!$B$6,IF(NOT($Y338),Constants!$B$5,IF(NOT(OR($AS338,$BC338)),Constants!$B$5,IF(OR($AT338,$BD338,$AQ338,$AR338&lt;&gt;""),Constants!$B$8,Constants!$B$4))))))</f>
        <v/>
      </c>
      <c r="BM338" s="124" t="str">
        <f aca="false">IF(ISBLANK($C338),"",IF($BL338&lt;&gt;Constants!$B$4,$BL338,IF($BB338="-&gt;",$BI338,$AY338)))</f>
        <v/>
      </c>
      <c r="BN338" s="127" t="str">
        <f aca="false">IF($BL338&lt;&gt;Constants!$B$4,"",IF($BB338="-&gt;",$BJ338,$AZ338))</f>
        <v/>
      </c>
      <c r="BO338" s="127" t="str">
        <f aca="false">IF(ISBLANK($C338),"",IF($BL338&lt;&gt;Constants!$B$4,$BL338,$BN338))</f>
        <v/>
      </c>
      <c r="BP338" s="124" t="str">
        <f aca="false">IF(ISBLANK($C338),"",IF($BL338&lt;&gt;Constants!$B$4,$BL338,RANK($BO338,$BO$9:$BO$508,0)))</f>
        <v/>
      </c>
      <c r="BQ338" s="124" t="str">
        <f aca="false">IF(ISBLANK($C338),"",IF($BL338&lt;&gt;Constants!$B$4,$BL338,COUNTIFS($BM$9:$BM$508,"&lt;"&amp;$BM338)+COUNTIFS($BM$9:$BM$508,$BM338,$BP$9:$BP$508,"&lt;"&amp;$BP338)+1))</f>
        <v/>
      </c>
      <c r="BR338" s="127" t="str">
        <f aca="false">IF($BL338&lt;&gt;Constants!$B$4,"",IF($BB338="-&gt;",$BH338,$AX338))</f>
        <v/>
      </c>
      <c r="BS338" s="124" t="str">
        <f aca="false">IF(ISBLANK($C338),"",IF($BL338&lt;&gt;Constants!$B$4,$BL338,IF(ISNUMBER($BR338),RANK($BR338,$BR$9:$BR$508,0),COUNT($BR$9:$BR$508)+1)))</f>
        <v/>
      </c>
      <c r="BT338" s="127" t="str">
        <f aca="false">IF($BL338&lt;&gt;Constants!$B$4,"",IF($BB338="-&gt;",$BE338,$AU338))</f>
        <v/>
      </c>
      <c r="BU338" s="124" t="str">
        <f aca="false">IF(ISBLANK($C338),"",IF($BL338&lt;&gt;Constants!$B$4,$BL338,IF(ISNUMBER($BT338),RANK($BT338,$BT$9:$BT$508,0),COUNT($BT$9:$BT$508)+1)))</f>
        <v/>
      </c>
      <c r="BV338" s="127" t="str">
        <f aca="false">IF($BL338&lt;&gt;Constants!$B$4,"",IF($BB338="-&gt;",$BF338,$AV338))</f>
        <v/>
      </c>
      <c r="BW338" s="124" t="str">
        <f aca="false">IF(ISBLANK($C338),"",IF($BL338&lt;&gt;Constants!$B$4,$BL338,IF(ISNUMBER($BV338),RANK($BV338,$BV$9:$BV$508,0),COUNT($BV$9:$BV$508)+1)))</f>
        <v/>
      </c>
      <c r="BX338" s="127" t="str">
        <f aca="false">IF($BL338&lt;&gt;Constants!$B$4,"",IF($BB338="-&gt;",$BK338,$BA338))</f>
        <v/>
      </c>
      <c r="BY338" s="124" t="str">
        <f aca="false">IF(ISBLANK($C338),"",IF($BL338&lt;&gt;Constants!$B$4,$BL338,IF(ISNUMBER($BX338),RANK($BX338,$BX$9:$BX$508,0),COUNT($BX$9:$BX$508)+1)))</f>
        <v/>
      </c>
      <c r="BZ338" s="124" t="str">
        <f aca="false">IF(ISBLANK($C338),"",IF($BL338&lt;&gt;Constants!$B$4,$BL338,COUNTIFS($BM$9:$BM$508,"&lt;"&amp;$BM338)+COUNTIFS($BM$9:$BM$508,$BM338,$BP$9:$BP$508,"&lt;"&amp;$BP338)+COUNTIFS($BM$9:$BM$508,$BM338,$BP$9:$BP$508,$BP338,$BS$9:$BS$508,"&lt;"&amp;$BS338)+COUNTIFS($BM$9:$BM$508,$BM338,$BP$9:$BP$508,$BP338,$BS$9:$BS$508,$BS338,$BU$9:$BU$508,"&lt;"&amp;$BU338)+COUNTIFS($BM$9:$BM$508,$BM338,$BP$9:$BP$508,$BP338,$BS$9:$BS$508,$BS338,$BU$9:$BU$508,$BU338,$BW$9:$BW$508,"&lt;"&amp;$BW338)+COUNTIFS($BM$9:$BM$508,$BM338,$BP$9:$BP$508,$BP338,$BS$9:$BS$508,$BS338,$BU$9:$BU$508,$BU338,$BW$9:$BW$508,$BW338,$BY$9:$BY$508,"&lt;"&amp;$BY338)+1))</f>
        <v/>
      </c>
      <c r="CA338" s="124" t="str">
        <f aca="false">IF(ISBLANK($C338),"",IF($BL338&lt;&gt;Constants!$B$4,$BL338,$BQ338-$BZ338))</f>
        <v/>
      </c>
      <c r="CB338" s="130"/>
      <c r="CC338" s="131" t="str">
        <f aca="false">IF(ISBLANK($C338),"",IF($BL338=Constants!$B$8,$AR338,""))</f>
        <v/>
      </c>
      <c r="CD338" s="131" t="str">
        <f aca="false">IF(ISBLANK($C338),"",IF($BL338&lt;&gt;Constants!$B$4,"",IF($BB338="-&gt;",2,1)))</f>
        <v/>
      </c>
      <c r="CE338" s="132" t="str">
        <f aca="false">IF(ISBLANK($C338),"",IF($BL338&lt;&gt;Constants!$B$4,"",IF($BB338="-&gt;",$BE338,$AU338)))</f>
        <v/>
      </c>
      <c r="CF338" s="132" t="str">
        <f aca="false">IF(ISBLANK($C338),"",IF($BL338&lt;&gt;Constants!$B$4,"",IF($BB338="-&gt;",$BF338,$AV338)))</f>
        <v/>
      </c>
      <c r="CG338" s="132" t="str">
        <f aca="false">IF(ISBLANK($C338),"",IF($BL338&lt;&gt;Constants!$B$4,"",IF($BB338="-&gt;",$BG338,$AW338)))</f>
        <v/>
      </c>
      <c r="CH338" s="132" t="str">
        <f aca="false">IF(ISBLANK($C338),"",IF($BL338&lt;&gt;Constants!$B$4,"",IF($BB338="-&gt;",$BH338,$AX338)))</f>
        <v/>
      </c>
      <c r="CI338" s="133" t="str">
        <f aca="false">IF(ISBLANK($C338),"",$BO338)</f>
        <v/>
      </c>
      <c r="CJ338" s="134" t="str">
        <f aca="false">IF(ISBLANK($C338),"",$BM338)</f>
        <v/>
      </c>
      <c r="CK338" s="135" t="str">
        <f aca="false">IF(ISBLANK($C338),"",$CA338)</f>
        <v/>
      </c>
      <c r="CL338" s="135" t="str">
        <f aca="false">IF(ISBLANK($C338),"",$BZ338)</f>
        <v/>
      </c>
      <c r="CM338" s="136" t="str">
        <f aca="false">IF(ISBLANK($C338),"",IF($CL338=Constants!$B$7,COUNTA($C$9:$C$508)+2,IF($CL338=Constants!$B$6,COUNTA($C$9:$C$508)+1,IF($CL338=Constants!$B$5,COUNTA($C$9:$C$508),$CL338))))</f>
        <v/>
      </c>
      <c r="CN338" s="8"/>
      <c r="CO338" s="137" t="n">
        <f aca="false">IF(OR(ISNUMBER($CL338),$CL338=Constants!$B$7,$CL338=Constants!$B$5,$CL338=Constants!$B$6),1,0)</f>
        <v>0</v>
      </c>
      <c r="CP338" s="137" t="n">
        <v>330</v>
      </c>
      <c r="CQ338" s="137" t="str">
        <f aca="false">IF(ISBLANK($C338),"",IF(ISNUMBER($CM338),$CM338+ROW($B338)/1000,""))</f>
        <v/>
      </c>
      <c r="CR338" s="137" t="str">
        <f aca="false">IF(ISNUMBER($CQ338),RANK($CQ338,$CQ$9:$CQ$508,1),"")</f>
        <v/>
      </c>
      <c r="CS338" s="137" t="str">
        <f aca="false">IF(ISBLANK($C338),"",$B338)</f>
        <v/>
      </c>
      <c r="CT338" s="137" t="str">
        <f aca="false">IF(ISBLANK($C338),"",$C338)</f>
        <v/>
      </c>
      <c r="CU338" s="137" t="str">
        <f aca="false">IF(ISBLANK($C338),"",$D338)</f>
        <v/>
      </c>
      <c r="CV338" s="138" t="str">
        <f aca="false">$CJ338</f>
        <v/>
      </c>
      <c r="CW338" s="139" t="str">
        <f aca="false">$CI338</f>
        <v/>
      </c>
      <c r="CX338" s="137" t="str">
        <f aca="false">IF(ISBLANK($C338),"",$CL338)</f>
        <v/>
      </c>
      <c r="CY338" s="140" t="str">
        <f aca="false">IF($CP338&gt;$CO$8,"",VLOOKUP($CP338,$CR$9:$CX$508,7,FALSE()))</f>
        <v/>
      </c>
      <c r="CZ338" s="141" t="str">
        <f aca="false">IF($CP338&gt;$CO$8,"",VLOOKUP($CP338,$CR$9:$CX$508,2,FALSE()))</f>
        <v/>
      </c>
      <c r="DA338" s="141" t="str">
        <f aca="false">IF($CP338&gt;$CO$8,"",VLOOKUP($CP338,$CR$9:$CX$508,3,FALSE()))</f>
        <v/>
      </c>
      <c r="DB338" s="141" t="str">
        <f aca="false">IF($CP338&gt;$CO$8,"",VLOOKUP($CP338,$CR$9:$CX$508,4,FALSE()))</f>
        <v/>
      </c>
      <c r="DC338" s="141" t="str">
        <f aca="false">IF($CP338&gt;$CO$8,"",VLOOKUP($CP338,$CR$9:$CX$508,5,FALSE()))</f>
        <v/>
      </c>
      <c r="DD338" s="142" t="str">
        <f aca="false">IF($CP338&gt;$CO$8,"",VLOOKUP($CP338,$CR$9:$CX$508,6,FALSE()))</f>
        <v/>
      </c>
      <c r="DE338" s="70"/>
    </row>
    <row r="339" customFormat="false" ht="15.75" hidden="false" customHeight="false" outlineLevel="0" collapsed="false">
      <c r="A339" s="8"/>
      <c r="B339" s="72"/>
      <c r="C339" s="73"/>
      <c r="D339" s="155"/>
      <c r="E339" s="162"/>
      <c r="F339" s="157"/>
      <c r="G339" s="77"/>
      <c r="H339" s="77"/>
      <c r="I339" s="77"/>
      <c r="J339" s="163"/>
      <c r="K339" s="161"/>
      <c r="L339" s="161"/>
      <c r="M339" s="80"/>
      <c r="N339" s="161"/>
      <c r="O339" s="160"/>
      <c r="P339" s="161"/>
      <c r="Q339" s="161"/>
      <c r="R339" s="161"/>
      <c r="S339" s="77"/>
      <c r="T339" s="161"/>
      <c r="U339" s="160"/>
      <c r="V339" s="161"/>
      <c r="W339" s="85"/>
      <c r="X339" s="86" t="str">
        <f aca="false">IF(ISBLANK($C339),"",IF($E339=Constants!$B$2,TRUE(),IF($E339=Constants!$B$3,FALSE(),TRUE())))</f>
        <v/>
      </c>
      <c r="Y339" s="86" t="str">
        <f aca="false">IF(ISBLANK($C339),"",IF($F339=Constants!$B$2,TRUE(),IF($F339=Constants!$B$3,FALSE(),TRUE())))</f>
        <v/>
      </c>
      <c r="Z339" s="87" t="str">
        <f aca="false">IF(ISBLANK($C339),"",IF(ISNUMBER($G339),IF($G339&gt;=0,$G339,""),""))</f>
        <v/>
      </c>
      <c r="AA339" s="87" t="str">
        <f aca="false">IF(ISBLANK($C339),"",IF(ISNUMBER($H339),IF($H339&gt;=0,$H339,""),""))</f>
        <v/>
      </c>
      <c r="AB339" s="87" t="str">
        <f aca="false">IF(ISBLANK($C339),"",IF(ISNUMBER($I339),IF($I339&gt;=0,$I339,""),""))</f>
        <v/>
      </c>
      <c r="AC339" s="86" t="str">
        <f aca="false">IF(ISBLANK($C339),"",IF($J339=Constants!$B$2,TRUE(),IF($J339=Constants!$B$3,FALSE(),TRUE())))</f>
        <v/>
      </c>
      <c r="AD339" s="86" t="str">
        <f aca="false">IF(ISBLANK($C339),"",IF($K339=Constants!$B$2,TRUE(),IF($K339=Constants!$B$3,FALSE(),TRUE())))</f>
        <v/>
      </c>
      <c r="AE339" s="86" t="str">
        <f aca="false">IF(ISBLANK($C339),"",IF($L339=Constants!$B$2,TRUE(),IF($L339=Constants!$B$3,FALSE(),TRUE())))</f>
        <v/>
      </c>
      <c r="AF339" s="88" t="str">
        <f aca="false">IF(ISBLANK($C339),"",IF(ISNUMBER($M339),IF($M339&gt;=0,$M339,""),""))</f>
        <v/>
      </c>
      <c r="AG339" s="86" t="str">
        <f aca="false">IF(ISBLANK($C339),"",IF(ISBLANK($N339),0,IF(ISNUMBER($N339),IF(AND($N339&gt;=0,$N339&lt;=Constants!$B$17,$N339=INT($N339)),$N339,""),"")))</f>
        <v/>
      </c>
      <c r="AH339" s="87" t="str">
        <f aca="false">IF(ISBLANK($C339),"",IF(ISBLANK($O339),0,IF(ISNUMBER($O339),IF($O339&gt;=0,$O339,""),"")))</f>
        <v/>
      </c>
      <c r="AI339" s="86" t="str">
        <f aca="false">IF(ISBLANK($C339),"",IF($P339=Constants!$B$2,TRUE(),IF($P339=Constants!$B$3,FALSE(),TRUE())))</f>
        <v/>
      </c>
      <c r="AJ339" s="86" t="str">
        <f aca="false">IF(ISBLANK($C339),"",IF($Q339=Constants!$B$2,TRUE(),IF($Q339=Constants!$B$3,FALSE(),TRUE())))</f>
        <v/>
      </c>
      <c r="AK339" s="86" t="str">
        <f aca="false">IF(ISBLANK($C339),"",IF($R339=Constants!$B$2,TRUE(),IF($R339=Constants!$B$3,FALSE(),TRUE())))</f>
        <v/>
      </c>
      <c r="AL339" s="88" t="str">
        <f aca="false">IF(ISBLANK($C339),"",IF(ISNUMBER($S339),IF($S339&gt;=0,$S339,""),""))</f>
        <v/>
      </c>
      <c r="AM339" s="86" t="str">
        <f aca="false">IF(ISBLANK($C339),"",IF(ISBLANK($T339),0,IF(ISNUMBER($T339),IF(AND($T339&gt;=0,$T339&lt;=Constants!$B$17,$T339=INT($T339)),$T339,""),"")))</f>
        <v/>
      </c>
      <c r="AN339" s="87" t="str">
        <f aca="false">IF(ISBLANK($C339),"",IF(ISBLANK($U339),0,IF(ISNUMBER($U339),IF($U339&gt;=0,$U339,""),"")))</f>
        <v/>
      </c>
      <c r="AO339" s="86" t="str">
        <f aca="false">IF(ISBLANK($C339),"",IF($V339=Constants!$B$2,TRUE(),IF($V339=Constants!$B$3,FALSE(),FALSE())))</f>
        <v/>
      </c>
      <c r="AP339" s="86"/>
      <c r="AQ339" s="85" t="str">
        <f aca="false">IF(ISBLANK($C339),"",AND($Y339,OR($AS339,$BC339),OR($Z339="",$AA339="",$AB339="")))</f>
        <v/>
      </c>
      <c r="AR339" s="85" t="str">
        <f aca="false">IF(ISBLANK($C339),"",IF(OR(NOT($Y339),NOT(OR($AS339,$BC339))),"",IF(ISBLANK($D$7),$AR$5,IF($AP$9="",$AR$6,""))))</f>
        <v/>
      </c>
      <c r="AS339" s="85" t="str">
        <f aca="false">IF(ISBLANK($C339),"",COUNTA($J339:$O339)&gt;0)</f>
        <v/>
      </c>
      <c r="AT339" s="85" t="str">
        <f aca="false">IF(ISBLANK($C339),"",AND($AS339,OR(AND($AF339="",OR($AE339,NOT(ISBLANK($M339)))),$AG339="",$AH339="")))</f>
        <v/>
      </c>
      <c r="AU339" s="87" t="str">
        <f aca="false">IF($BL339&lt;&gt;Constants!$B$4,"",IF(NOT($AS339),"",ROUND((Constants!$B$12-$AB339)+(Constants!$B$13-$Z339)+(Constants!$B$14-$AA339),1)))</f>
        <v/>
      </c>
      <c r="AV339" s="90" t="str">
        <f aca="false">IF($BL339&lt;&gt;Constants!$B$4,"",IF(NOT($AS339),"",IF(NOT($AE339),0,Constants!$B$15*(INT(ROUND(MIN($AF339,$AP$9),6))-INT(ROUND(MAX(0,MIN($AF339,2*$AP$9)-$AP$9),6))))))</f>
        <v/>
      </c>
      <c r="AW339" s="90" t="str">
        <f aca="false">IF($BL339&lt;&gt;Constants!$B$4,"",IF(NOT($AS339),"",Constants!$B$16*$AG339))</f>
        <v/>
      </c>
      <c r="AX339" s="90" t="str">
        <f aca="false">IF($BL339&lt;&gt;Constants!$B$4,"",IF(NOT($AS339),"",Constants!$B$18*INT(ROUND($AH339,6))))</f>
        <v/>
      </c>
      <c r="AY339" s="85" t="str">
        <f aca="false">IF($BL339&lt;&gt;Constants!$B$4,"",IF(NOT($AS339),"",IF(NOT($X339),Constants!$B$11,IF(OR(NOT($AC339),NOT($AD339),ROUND($AB339,1)&gt;Constants!$B$12,ROUND($Z339,1)&gt;Constants!$B$13,ROUND($AA339,1)&gt;Constants!$B$14),Constants!$B$10,Constants!$B$9))))</f>
        <v/>
      </c>
      <c r="AZ339" s="91" t="str">
        <f aca="false">IF($BL339&lt;&gt;Constants!$B$4,"",IF(NOT($AS339),"",ROUND($AU339+$AV339+$AW339+$AX339,1)))</f>
        <v/>
      </c>
      <c r="BA339" s="92" t="str">
        <f aca="false">IF($BL339&lt;&gt;Constants!$B$4,"",IF(NOT($AS339),"",IF(ISNUMBER($AF339),$AF339,0)))</f>
        <v/>
      </c>
      <c r="BB339" s="86" t="str">
        <f aca="false">IF($BL339&lt;&gt;Constants!$B$4,"",IF(NOT($BC339),"&lt;-",IF(NOT($AS339),"-&gt;",IF(OR($BI339&lt;$AY339,AND($BI339=$AY339,OR($BJ339&gt;$AZ339,AND($BJ339=$AZ339,OR($BH339&gt;$AX339,AND($BH339=$AX339,OR($BE339&gt;$AU339,AND($BE339=$AU339,OR($BF339&gt;$AV339,AND($BF339=$AV339,$BK339&gt;$BA339)))))))))),"-&gt;","&lt;-"))))</f>
        <v/>
      </c>
      <c r="BC339" s="85" t="str">
        <f aca="false">IF(ISBLANK($C339),"",COUNTA($P339:$U339)&gt;0)</f>
        <v/>
      </c>
      <c r="BD339" s="85" t="str">
        <f aca="false">IF(ISBLANK($C339),"",AND($BC339,OR(AND($AL339="",OR($AK339,NOT(ISBLANK($S339)))),$AM339="",$AN339="")))</f>
        <v/>
      </c>
      <c r="BE339" s="87" t="str">
        <f aca="false">IF($BL339&lt;&gt;Constants!$B$4,"",IF(NOT($BC339),"",ROUND((Constants!$B$12-$AB339)+(Constants!$B$13-$Z339)+(Constants!$B$14-$AA339),1)))</f>
        <v/>
      </c>
      <c r="BF339" s="90" t="str">
        <f aca="false">IF($BL339&lt;&gt;Constants!$B$4,"",IF(NOT($BC339),"",IF(NOT($AK339),0,Constants!$B$15*(INT(ROUND(MIN($AL339,$AP$9),6))-INT(ROUND(MAX(0,MIN($AL339,2*$AP$9)-$AP$9),6))))))</f>
        <v/>
      </c>
      <c r="BG339" s="90" t="str">
        <f aca="false">IF($BL339&lt;&gt;Constants!$B$4,"",IF(NOT($BC339),"",Constants!$B$16*$AM339))</f>
        <v/>
      </c>
      <c r="BH339" s="90" t="str">
        <f aca="false">IF($BL339&lt;&gt;Constants!$B$4,"",IF(NOT($BC339),"",Constants!$B$18*INT(ROUND($AN339,6))))</f>
        <v/>
      </c>
      <c r="BI339" s="85" t="str">
        <f aca="false">IF($BL339&lt;&gt;Constants!$B$4,"",IF(NOT($BC339),"",IF(NOT($X339),Constants!$B$11,IF(OR(NOT($AI339),NOT($AJ339),ROUND($AB339,1)&gt;Constants!$B$12,ROUND($Z339,1)&gt;Constants!$B$13,ROUND($AA339,1)&gt;Constants!$B$14),Constants!$B$10,Constants!$B$9))))</f>
        <v/>
      </c>
      <c r="BJ339" s="91" t="str">
        <f aca="false">IF($BL339&lt;&gt;Constants!$B$4,"",IF(NOT($BC339),"",ROUND($BE339+$BF339+$BG339+$BH339,1)))</f>
        <v/>
      </c>
      <c r="BK339" s="92" t="str">
        <f aca="false">IF($BL339&lt;&gt;Constants!$B$4,"",IF(NOT($BC339),"",IF(ISNUMBER($AL339),$AL339,0)))</f>
        <v/>
      </c>
      <c r="BL339" s="86" t="str">
        <f aca="false">IF(ISBLANK($C339),"",IF($AO339,Constants!$B$7,IF(COUNTA($E339:$V339)=0,Constants!$B$6,IF(NOT($Y339),Constants!$B$5,IF(NOT(OR($AS339,$BC339)),Constants!$B$5,IF(OR($AT339,$BD339,$AQ339,$AR339&lt;&gt;""),Constants!$B$8,Constants!$B$4))))))</f>
        <v/>
      </c>
      <c r="BM339" s="86" t="str">
        <f aca="false">IF(ISBLANK($C339),"",IF($BL339&lt;&gt;Constants!$B$4,$BL339,IF($BB339="-&gt;",$BI339,$AY339)))</f>
        <v/>
      </c>
      <c r="BN339" s="90" t="str">
        <f aca="false">IF($BL339&lt;&gt;Constants!$B$4,"",IF($BB339="-&gt;",$BJ339,$AZ339))</f>
        <v/>
      </c>
      <c r="BO339" s="90" t="str">
        <f aca="false">IF(ISBLANK($C339),"",IF($BL339&lt;&gt;Constants!$B$4,$BL339,$BN339))</f>
        <v/>
      </c>
      <c r="BP339" s="86" t="str">
        <f aca="false">IF(ISBLANK($C339),"",IF($BL339&lt;&gt;Constants!$B$4,$BL339,RANK($BO339,$BO$9:$BO$508,0)))</f>
        <v/>
      </c>
      <c r="BQ339" s="86" t="str">
        <f aca="false">IF(ISBLANK($C339),"",IF($BL339&lt;&gt;Constants!$B$4,$BL339,COUNTIFS($BM$9:$BM$508,"&lt;"&amp;$BM339)+COUNTIFS($BM$9:$BM$508,$BM339,$BP$9:$BP$508,"&lt;"&amp;$BP339)+1))</f>
        <v/>
      </c>
      <c r="BR339" s="90" t="str">
        <f aca="false">IF($BL339&lt;&gt;Constants!$B$4,"",IF($BB339="-&gt;",$BH339,$AX339))</f>
        <v/>
      </c>
      <c r="BS339" s="86" t="str">
        <f aca="false">IF(ISBLANK($C339),"",IF($BL339&lt;&gt;Constants!$B$4,$BL339,IF(ISNUMBER($BR339),RANK($BR339,$BR$9:$BR$508,0),COUNT($BR$9:$BR$508)+1)))</f>
        <v/>
      </c>
      <c r="BT339" s="90" t="str">
        <f aca="false">IF($BL339&lt;&gt;Constants!$B$4,"",IF($BB339="-&gt;",$BE339,$AU339))</f>
        <v/>
      </c>
      <c r="BU339" s="86" t="str">
        <f aca="false">IF(ISBLANK($C339),"",IF($BL339&lt;&gt;Constants!$B$4,$BL339,IF(ISNUMBER($BT339),RANK($BT339,$BT$9:$BT$508,0),COUNT($BT$9:$BT$508)+1)))</f>
        <v/>
      </c>
      <c r="BV339" s="90" t="str">
        <f aca="false">IF($BL339&lt;&gt;Constants!$B$4,"",IF($BB339="-&gt;",$BF339,$AV339))</f>
        <v/>
      </c>
      <c r="BW339" s="86" t="str">
        <f aca="false">IF(ISBLANK($C339),"",IF($BL339&lt;&gt;Constants!$B$4,$BL339,IF(ISNUMBER($BV339),RANK($BV339,$BV$9:$BV$508,0),COUNT($BV$9:$BV$508)+1)))</f>
        <v/>
      </c>
      <c r="BX339" s="90" t="str">
        <f aca="false">IF($BL339&lt;&gt;Constants!$B$4,"",IF($BB339="-&gt;",$BK339,$BA339))</f>
        <v/>
      </c>
      <c r="BY339" s="86" t="str">
        <f aca="false">IF(ISBLANK($C339),"",IF($BL339&lt;&gt;Constants!$B$4,$BL339,IF(ISNUMBER($BX339),RANK($BX339,$BX$9:$BX$508,0),COUNT($BX$9:$BX$508)+1)))</f>
        <v/>
      </c>
      <c r="BZ339" s="86" t="str">
        <f aca="false">IF(ISBLANK($C339),"",IF($BL339&lt;&gt;Constants!$B$4,$BL339,COUNTIFS($BM$9:$BM$508,"&lt;"&amp;$BM339)+COUNTIFS($BM$9:$BM$508,$BM339,$BP$9:$BP$508,"&lt;"&amp;$BP339)+COUNTIFS($BM$9:$BM$508,$BM339,$BP$9:$BP$508,$BP339,$BS$9:$BS$508,"&lt;"&amp;$BS339)+COUNTIFS($BM$9:$BM$508,$BM339,$BP$9:$BP$508,$BP339,$BS$9:$BS$508,$BS339,$BU$9:$BU$508,"&lt;"&amp;$BU339)+COUNTIFS($BM$9:$BM$508,$BM339,$BP$9:$BP$508,$BP339,$BS$9:$BS$508,$BS339,$BU$9:$BU$508,$BU339,$BW$9:$BW$508,"&lt;"&amp;$BW339)+COUNTIFS($BM$9:$BM$508,$BM339,$BP$9:$BP$508,$BP339,$BS$9:$BS$508,$BS339,$BU$9:$BU$508,$BU339,$BW$9:$BW$508,$BW339,$BY$9:$BY$508,"&lt;"&amp;$BY339)+1))</f>
        <v/>
      </c>
      <c r="CA339" s="86" t="str">
        <f aca="false">IF(ISBLANK($C339),"",IF($BL339&lt;&gt;Constants!$B$4,$BL339,$BQ339-$BZ339))</f>
        <v/>
      </c>
      <c r="CB339" s="93"/>
      <c r="CC339" s="94" t="str">
        <f aca="false">IF(ISBLANK($C339),"",IF($BL339=Constants!$B$8,$AR339,""))</f>
        <v/>
      </c>
      <c r="CD339" s="94" t="str">
        <f aca="false">IF(ISBLANK($C339),"",IF($BL339&lt;&gt;Constants!$B$4,"",IF($BB339="-&gt;",2,1)))</f>
        <v/>
      </c>
      <c r="CE339" s="95" t="str">
        <f aca="false">IF(ISBLANK($C339),"",IF($BL339&lt;&gt;Constants!$B$4,"",IF($BB339="-&gt;",$BE339,$AU339)))</f>
        <v/>
      </c>
      <c r="CF339" s="95" t="str">
        <f aca="false">IF(ISBLANK($C339),"",IF($BL339&lt;&gt;Constants!$B$4,"",IF($BB339="-&gt;",$BF339,$AV339)))</f>
        <v/>
      </c>
      <c r="CG339" s="95" t="str">
        <f aca="false">IF(ISBLANK($C339),"",IF($BL339&lt;&gt;Constants!$B$4,"",IF($BB339="-&gt;",$BG339,$AW339)))</f>
        <v/>
      </c>
      <c r="CH339" s="95" t="str">
        <f aca="false">IF(ISBLANK($C339),"",IF($BL339&lt;&gt;Constants!$B$4,"",IF($BB339="-&gt;",$BH339,$AX339)))</f>
        <v/>
      </c>
      <c r="CI339" s="96" t="str">
        <f aca="false">IF(ISBLANK($C339),"",$BO339)</f>
        <v/>
      </c>
      <c r="CJ339" s="97" t="str">
        <f aca="false">IF(ISBLANK($C339),"",$BM339)</f>
        <v/>
      </c>
      <c r="CK339" s="98" t="str">
        <f aca="false">IF(ISBLANK($C339),"",$CA339)</f>
        <v/>
      </c>
      <c r="CL339" s="98" t="str">
        <f aca="false">IF(ISBLANK($C339),"",$BZ339)</f>
        <v/>
      </c>
      <c r="CM339" s="99" t="str">
        <f aca="false">IF(ISBLANK($C339),"",IF($CL339=Constants!$B$7,COUNTA($C$9:$C$508)+2,IF($CL339=Constants!$B$6,COUNTA($C$9:$C$508)+1,IF($CL339=Constants!$B$5,COUNTA($C$9:$C$508),$CL339))))</f>
        <v/>
      </c>
      <c r="CN339" s="8"/>
      <c r="CO339" s="100" t="n">
        <f aca="false">IF(OR(ISNUMBER($CL339),$CL339=Constants!$B$7,$CL339=Constants!$B$5,$CL339=Constants!$B$6),1,0)</f>
        <v>0</v>
      </c>
      <c r="CP339" s="100" t="n">
        <v>331</v>
      </c>
      <c r="CQ339" s="100" t="str">
        <f aca="false">IF(ISBLANK($C339),"",IF(ISNUMBER($CM339),$CM339+ROW($B339)/1000,""))</f>
        <v/>
      </c>
      <c r="CR339" s="100" t="str">
        <f aca="false">IF(ISNUMBER($CQ339),RANK($CQ339,$CQ$9:$CQ$508,1),"")</f>
        <v/>
      </c>
      <c r="CS339" s="100" t="str">
        <f aca="false">IF(ISBLANK($C339),"",$B339)</f>
        <v/>
      </c>
      <c r="CT339" s="100" t="str">
        <f aca="false">IF(ISBLANK($C339),"",$C339)</f>
        <v/>
      </c>
      <c r="CU339" s="100" t="str">
        <f aca="false">IF(ISBLANK($C339),"",$D339)</f>
        <v/>
      </c>
      <c r="CV339" s="101" t="str">
        <f aca="false">$CJ339</f>
        <v/>
      </c>
      <c r="CW339" s="102" t="str">
        <f aca="false">$CI339</f>
        <v/>
      </c>
      <c r="CX339" s="100" t="str">
        <f aca="false">IF(ISBLANK($C339),"",$CL339)</f>
        <v/>
      </c>
      <c r="CY339" s="103" t="str">
        <f aca="false">IF($CP339&gt;$CO$8,"",VLOOKUP($CP339,$CR$9:$CX$508,7,FALSE()))</f>
        <v/>
      </c>
      <c r="CZ339" s="104" t="str">
        <f aca="false">IF($CP339&gt;$CO$8,"",VLOOKUP($CP339,$CR$9:$CX$508,2,FALSE()))</f>
        <v/>
      </c>
      <c r="DA339" s="104" t="str">
        <f aca="false">IF($CP339&gt;$CO$8,"",VLOOKUP($CP339,$CR$9:$CX$508,3,FALSE()))</f>
        <v/>
      </c>
      <c r="DB339" s="104" t="str">
        <f aca="false">IF($CP339&gt;$CO$8,"",VLOOKUP($CP339,$CR$9:$CX$508,4,FALSE()))</f>
        <v/>
      </c>
      <c r="DC339" s="104" t="str">
        <f aca="false">IF($CP339&gt;$CO$8,"",VLOOKUP($CP339,$CR$9:$CX$508,5,FALSE()))</f>
        <v/>
      </c>
      <c r="DD339" s="105" t="str">
        <f aca="false">IF($CP339&gt;$CO$8,"",VLOOKUP($CP339,$CR$9:$CX$508,6,FALSE()))</f>
        <v/>
      </c>
      <c r="DE339" s="70"/>
    </row>
    <row r="340" customFormat="false" ht="15.75" hidden="false" customHeight="false" outlineLevel="0" collapsed="false">
      <c r="A340" s="8"/>
      <c r="B340" s="72"/>
      <c r="C340" s="73"/>
      <c r="D340" s="155"/>
      <c r="E340" s="162"/>
      <c r="F340" s="157"/>
      <c r="G340" s="77"/>
      <c r="H340" s="77"/>
      <c r="I340" s="77"/>
      <c r="J340" s="163"/>
      <c r="K340" s="161"/>
      <c r="L340" s="161"/>
      <c r="M340" s="80"/>
      <c r="N340" s="161"/>
      <c r="O340" s="160"/>
      <c r="P340" s="161"/>
      <c r="Q340" s="161"/>
      <c r="R340" s="161"/>
      <c r="S340" s="77"/>
      <c r="T340" s="161"/>
      <c r="U340" s="160"/>
      <c r="V340" s="161"/>
      <c r="W340" s="85"/>
      <c r="X340" s="86" t="str">
        <f aca="false">IF(ISBLANK($C340),"",IF($E340=Constants!$B$2,TRUE(),IF($E340=Constants!$B$3,FALSE(),TRUE())))</f>
        <v/>
      </c>
      <c r="Y340" s="86" t="str">
        <f aca="false">IF(ISBLANK($C340),"",IF($F340=Constants!$B$2,TRUE(),IF($F340=Constants!$B$3,FALSE(),TRUE())))</f>
        <v/>
      </c>
      <c r="Z340" s="87" t="str">
        <f aca="false">IF(ISBLANK($C340),"",IF(ISNUMBER($G340),IF($G340&gt;=0,$G340,""),""))</f>
        <v/>
      </c>
      <c r="AA340" s="87" t="str">
        <f aca="false">IF(ISBLANK($C340),"",IF(ISNUMBER($H340),IF($H340&gt;=0,$H340,""),""))</f>
        <v/>
      </c>
      <c r="AB340" s="87" t="str">
        <f aca="false">IF(ISBLANK($C340),"",IF(ISNUMBER($I340),IF($I340&gt;=0,$I340,""),""))</f>
        <v/>
      </c>
      <c r="AC340" s="86" t="str">
        <f aca="false">IF(ISBLANK($C340),"",IF($J340=Constants!$B$2,TRUE(),IF($J340=Constants!$B$3,FALSE(),TRUE())))</f>
        <v/>
      </c>
      <c r="AD340" s="86" t="str">
        <f aca="false">IF(ISBLANK($C340),"",IF($K340=Constants!$B$2,TRUE(),IF($K340=Constants!$B$3,FALSE(),TRUE())))</f>
        <v/>
      </c>
      <c r="AE340" s="86" t="str">
        <f aca="false">IF(ISBLANK($C340),"",IF($L340=Constants!$B$2,TRUE(),IF($L340=Constants!$B$3,FALSE(),TRUE())))</f>
        <v/>
      </c>
      <c r="AF340" s="88" t="str">
        <f aca="false">IF(ISBLANK($C340),"",IF(ISNUMBER($M340),IF($M340&gt;=0,$M340,""),""))</f>
        <v/>
      </c>
      <c r="AG340" s="86" t="str">
        <f aca="false">IF(ISBLANK($C340),"",IF(ISBLANK($N340),0,IF(ISNUMBER($N340),IF(AND($N340&gt;=0,$N340&lt;=Constants!$B$17,$N340=INT($N340)),$N340,""),"")))</f>
        <v/>
      </c>
      <c r="AH340" s="87" t="str">
        <f aca="false">IF(ISBLANK($C340),"",IF(ISBLANK($O340),0,IF(ISNUMBER($O340),IF($O340&gt;=0,$O340,""),"")))</f>
        <v/>
      </c>
      <c r="AI340" s="86" t="str">
        <f aca="false">IF(ISBLANK($C340),"",IF($P340=Constants!$B$2,TRUE(),IF($P340=Constants!$B$3,FALSE(),TRUE())))</f>
        <v/>
      </c>
      <c r="AJ340" s="86" t="str">
        <f aca="false">IF(ISBLANK($C340),"",IF($Q340=Constants!$B$2,TRUE(),IF($Q340=Constants!$B$3,FALSE(),TRUE())))</f>
        <v/>
      </c>
      <c r="AK340" s="86" t="str">
        <f aca="false">IF(ISBLANK($C340),"",IF($R340=Constants!$B$2,TRUE(),IF($R340=Constants!$B$3,FALSE(),TRUE())))</f>
        <v/>
      </c>
      <c r="AL340" s="88" t="str">
        <f aca="false">IF(ISBLANK($C340),"",IF(ISNUMBER($S340),IF($S340&gt;=0,$S340,""),""))</f>
        <v/>
      </c>
      <c r="AM340" s="86" t="str">
        <f aca="false">IF(ISBLANK($C340),"",IF(ISBLANK($T340),0,IF(ISNUMBER($T340),IF(AND($T340&gt;=0,$T340&lt;=Constants!$B$17,$T340=INT($T340)),$T340,""),"")))</f>
        <v/>
      </c>
      <c r="AN340" s="87" t="str">
        <f aca="false">IF(ISBLANK($C340),"",IF(ISBLANK($U340),0,IF(ISNUMBER($U340),IF($U340&gt;=0,$U340,""),"")))</f>
        <v/>
      </c>
      <c r="AO340" s="86" t="str">
        <f aca="false">IF(ISBLANK($C340),"",IF($V340=Constants!$B$2,TRUE(),IF($V340=Constants!$B$3,FALSE(),FALSE())))</f>
        <v/>
      </c>
      <c r="AP340" s="86"/>
      <c r="AQ340" s="85" t="str">
        <f aca="false">IF(ISBLANK($C340),"",AND($Y340,OR($AS340,$BC340),OR($Z340="",$AA340="",$AB340="")))</f>
        <v/>
      </c>
      <c r="AR340" s="85" t="str">
        <f aca="false">IF(ISBLANK($C340),"",IF(OR(NOT($Y340),NOT(OR($AS340,$BC340))),"",IF(ISBLANK($D$7),$AR$5,IF($AP$9="",$AR$6,""))))</f>
        <v/>
      </c>
      <c r="AS340" s="85" t="str">
        <f aca="false">IF(ISBLANK($C340),"",COUNTA($J340:$O340)&gt;0)</f>
        <v/>
      </c>
      <c r="AT340" s="85" t="str">
        <f aca="false">IF(ISBLANK($C340),"",AND($AS340,OR(AND($AF340="",OR($AE340,NOT(ISBLANK($M340)))),$AG340="",$AH340="")))</f>
        <v/>
      </c>
      <c r="AU340" s="87" t="str">
        <f aca="false">IF($BL340&lt;&gt;Constants!$B$4,"",IF(NOT($AS340),"",ROUND((Constants!$B$12-$AB340)+(Constants!$B$13-$Z340)+(Constants!$B$14-$AA340),1)))</f>
        <v/>
      </c>
      <c r="AV340" s="90" t="str">
        <f aca="false">IF($BL340&lt;&gt;Constants!$B$4,"",IF(NOT($AS340),"",IF(NOT($AE340),0,Constants!$B$15*(INT(ROUND(MIN($AF340,$AP$9),6))-INT(ROUND(MAX(0,MIN($AF340,2*$AP$9)-$AP$9),6))))))</f>
        <v/>
      </c>
      <c r="AW340" s="90" t="str">
        <f aca="false">IF($BL340&lt;&gt;Constants!$B$4,"",IF(NOT($AS340),"",Constants!$B$16*$AG340))</f>
        <v/>
      </c>
      <c r="AX340" s="90" t="str">
        <f aca="false">IF($BL340&lt;&gt;Constants!$B$4,"",IF(NOT($AS340),"",Constants!$B$18*INT(ROUND($AH340,6))))</f>
        <v/>
      </c>
      <c r="AY340" s="85" t="str">
        <f aca="false">IF($BL340&lt;&gt;Constants!$B$4,"",IF(NOT($AS340),"",IF(NOT($X340),Constants!$B$11,IF(OR(NOT($AC340),NOT($AD340),ROUND($AB340,1)&gt;Constants!$B$12,ROUND($Z340,1)&gt;Constants!$B$13,ROUND($AA340,1)&gt;Constants!$B$14),Constants!$B$10,Constants!$B$9))))</f>
        <v/>
      </c>
      <c r="AZ340" s="91" t="str">
        <f aca="false">IF($BL340&lt;&gt;Constants!$B$4,"",IF(NOT($AS340),"",ROUND($AU340+$AV340+$AW340+$AX340,1)))</f>
        <v/>
      </c>
      <c r="BA340" s="92" t="str">
        <f aca="false">IF($BL340&lt;&gt;Constants!$B$4,"",IF(NOT($AS340),"",IF(ISNUMBER($AF340),$AF340,0)))</f>
        <v/>
      </c>
      <c r="BB340" s="86" t="str">
        <f aca="false">IF($BL340&lt;&gt;Constants!$B$4,"",IF(NOT($BC340),"&lt;-",IF(NOT($AS340),"-&gt;",IF(OR($BI340&lt;$AY340,AND($BI340=$AY340,OR($BJ340&gt;$AZ340,AND($BJ340=$AZ340,OR($BH340&gt;$AX340,AND($BH340=$AX340,OR($BE340&gt;$AU340,AND($BE340=$AU340,OR($BF340&gt;$AV340,AND($BF340=$AV340,$BK340&gt;$BA340)))))))))),"-&gt;","&lt;-"))))</f>
        <v/>
      </c>
      <c r="BC340" s="85" t="str">
        <f aca="false">IF(ISBLANK($C340),"",COUNTA($P340:$U340)&gt;0)</f>
        <v/>
      </c>
      <c r="BD340" s="85" t="str">
        <f aca="false">IF(ISBLANK($C340),"",AND($BC340,OR(AND($AL340="",OR($AK340,NOT(ISBLANK($S340)))),$AM340="",$AN340="")))</f>
        <v/>
      </c>
      <c r="BE340" s="87" t="str">
        <f aca="false">IF($BL340&lt;&gt;Constants!$B$4,"",IF(NOT($BC340),"",ROUND((Constants!$B$12-$AB340)+(Constants!$B$13-$Z340)+(Constants!$B$14-$AA340),1)))</f>
        <v/>
      </c>
      <c r="BF340" s="90" t="str">
        <f aca="false">IF($BL340&lt;&gt;Constants!$B$4,"",IF(NOT($BC340),"",IF(NOT($AK340),0,Constants!$B$15*(INT(ROUND(MIN($AL340,$AP$9),6))-INT(ROUND(MAX(0,MIN($AL340,2*$AP$9)-$AP$9),6))))))</f>
        <v/>
      </c>
      <c r="BG340" s="90" t="str">
        <f aca="false">IF($BL340&lt;&gt;Constants!$B$4,"",IF(NOT($BC340),"",Constants!$B$16*$AM340))</f>
        <v/>
      </c>
      <c r="BH340" s="90" t="str">
        <f aca="false">IF($BL340&lt;&gt;Constants!$B$4,"",IF(NOT($BC340),"",Constants!$B$18*INT(ROUND($AN340,6))))</f>
        <v/>
      </c>
      <c r="BI340" s="85" t="str">
        <f aca="false">IF($BL340&lt;&gt;Constants!$B$4,"",IF(NOT($BC340),"",IF(NOT($X340),Constants!$B$11,IF(OR(NOT($AI340),NOT($AJ340),ROUND($AB340,1)&gt;Constants!$B$12,ROUND($Z340,1)&gt;Constants!$B$13,ROUND($AA340,1)&gt;Constants!$B$14),Constants!$B$10,Constants!$B$9))))</f>
        <v/>
      </c>
      <c r="BJ340" s="91" t="str">
        <f aca="false">IF($BL340&lt;&gt;Constants!$B$4,"",IF(NOT($BC340),"",ROUND($BE340+$BF340+$BG340+$BH340,1)))</f>
        <v/>
      </c>
      <c r="BK340" s="92" t="str">
        <f aca="false">IF($BL340&lt;&gt;Constants!$B$4,"",IF(NOT($BC340),"",IF(ISNUMBER($AL340),$AL340,0)))</f>
        <v/>
      </c>
      <c r="BL340" s="86" t="str">
        <f aca="false">IF(ISBLANK($C340),"",IF($AO340,Constants!$B$7,IF(COUNTA($E340:$V340)=0,Constants!$B$6,IF(NOT($Y340),Constants!$B$5,IF(NOT(OR($AS340,$BC340)),Constants!$B$5,IF(OR($AT340,$BD340,$AQ340,$AR340&lt;&gt;""),Constants!$B$8,Constants!$B$4))))))</f>
        <v/>
      </c>
      <c r="BM340" s="86" t="str">
        <f aca="false">IF(ISBLANK($C340),"",IF($BL340&lt;&gt;Constants!$B$4,$BL340,IF($BB340="-&gt;",$BI340,$AY340)))</f>
        <v/>
      </c>
      <c r="BN340" s="90" t="str">
        <f aca="false">IF($BL340&lt;&gt;Constants!$B$4,"",IF($BB340="-&gt;",$BJ340,$AZ340))</f>
        <v/>
      </c>
      <c r="BO340" s="90" t="str">
        <f aca="false">IF(ISBLANK($C340),"",IF($BL340&lt;&gt;Constants!$B$4,$BL340,$BN340))</f>
        <v/>
      </c>
      <c r="BP340" s="86" t="str">
        <f aca="false">IF(ISBLANK($C340),"",IF($BL340&lt;&gt;Constants!$B$4,$BL340,RANK($BO340,$BO$9:$BO$508,0)))</f>
        <v/>
      </c>
      <c r="BQ340" s="86" t="str">
        <f aca="false">IF(ISBLANK($C340),"",IF($BL340&lt;&gt;Constants!$B$4,$BL340,COUNTIFS($BM$9:$BM$508,"&lt;"&amp;$BM340)+COUNTIFS($BM$9:$BM$508,$BM340,$BP$9:$BP$508,"&lt;"&amp;$BP340)+1))</f>
        <v/>
      </c>
      <c r="BR340" s="90" t="str">
        <f aca="false">IF($BL340&lt;&gt;Constants!$B$4,"",IF($BB340="-&gt;",$BH340,$AX340))</f>
        <v/>
      </c>
      <c r="BS340" s="86" t="str">
        <f aca="false">IF(ISBLANK($C340),"",IF($BL340&lt;&gt;Constants!$B$4,$BL340,IF(ISNUMBER($BR340),RANK($BR340,$BR$9:$BR$508,0),COUNT($BR$9:$BR$508)+1)))</f>
        <v/>
      </c>
      <c r="BT340" s="90" t="str">
        <f aca="false">IF($BL340&lt;&gt;Constants!$B$4,"",IF($BB340="-&gt;",$BE340,$AU340))</f>
        <v/>
      </c>
      <c r="BU340" s="86" t="str">
        <f aca="false">IF(ISBLANK($C340),"",IF($BL340&lt;&gt;Constants!$B$4,$BL340,IF(ISNUMBER($BT340),RANK($BT340,$BT$9:$BT$508,0),COUNT($BT$9:$BT$508)+1)))</f>
        <v/>
      </c>
      <c r="BV340" s="90" t="str">
        <f aca="false">IF($BL340&lt;&gt;Constants!$B$4,"",IF($BB340="-&gt;",$BF340,$AV340))</f>
        <v/>
      </c>
      <c r="BW340" s="86" t="str">
        <f aca="false">IF(ISBLANK($C340),"",IF($BL340&lt;&gt;Constants!$B$4,$BL340,IF(ISNUMBER($BV340),RANK($BV340,$BV$9:$BV$508,0),COUNT($BV$9:$BV$508)+1)))</f>
        <v/>
      </c>
      <c r="BX340" s="90" t="str">
        <f aca="false">IF($BL340&lt;&gt;Constants!$B$4,"",IF($BB340="-&gt;",$BK340,$BA340))</f>
        <v/>
      </c>
      <c r="BY340" s="86" t="str">
        <f aca="false">IF(ISBLANK($C340),"",IF($BL340&lt;&gt;Constants!$B$4,$BL340,IF(ISNUMBER($BX340),RANK($BX340,$BX$9:$BX$508,0),COUNT($BX$9:$BX$508)+1)))</f>
        <v/>
      </c>
      <c r="BZ340" s="86" t="str">
        <f aca="false">IF(ISBLANK($C340),"",IF($BL340&lt;&gt;Constants!$B$4,$BL340,COUNTIFS($BM$9:$BM$508,"&lt;"&amp;$BM340)+COUNTIFS($BM$9:$BM$508,$BM340,$BP$9:$BP$508,"&lt;"&amp;$BP340)+COUNTIFS($BM$9:$BM$508,$BM340,$BP$9:$BP$508,$BP340,$BS$9:$BS$508,"&lt;"&amp;$BS340)+COUNTIFS($BM$9:$BM$508,$BM340,$BP$9:$BP$508,$BP340,$BS$9:$BS$508,$BS340,$BU$9:$BU$508,"&lt;"&amp;$BU340)+COUNTIFS($BM$9:$BM$508,$BM340,$BP$9:$BP$508,$BP340,$BS$9:$BS$508,$BS340,$BU$9:$BU$508,$BU340,$BW$9:$BW$508,"&lt;"&amp;$BW340)+COUNTIFS($BM$9:$BM$508,$BM340,$BP$9:$BP$508,$BP340,$BS$9:$BS$508,$BS340,$BU$9:$BU$508,$BU340,$BW$9:$BW$508,$BW340,$BY$9:$BY$508,"&lt;"&amp;$BY340)+1))</f>
        <v/>
      </c>
      <c r="CA340" s="86" t="str">
        <f aca="false">IF(ISBLANK($C340),"",IF($BL340&lt;&gt;Constants!$B$4,$BL340,$BQ340-$BZ340))</f>
        <v/>
      </c>
      <c r="CB340" s="93"/>
      <c r="CC340" s="94" t="str">
        <f aca="false">IF(ISBLANK($C340),"",IF($BL340=Constants!$B$8,$AR340,""))</f>
        <v/>
      </c>
      <c r="CD340" s="94" t="str">
        <f aca="false">IF(ISBLANK($C340),"",IF($BL340&lt;&gt;Constants!$B$4,"",IF($BB340="-&gt;",2,1)))</f>
        <v/>
      </c>
      <c r="CE340" s="95" t="str">
        <f aca="false">IF(ISBLANK($C340),"",IF($BL340&lt;&gt;Constants!$B$4,"",IF($BB340="-&gt;",$BE340,$AU340)))</f>
        <v/>
      </c>
      <c r="CF340" s="95" t="str">
        <f aca="false">IF(ISBLANK($C340),"",IF($BL340&lt;&gt;Constants!$B$4,"",IF($BB340="-&gt;",$BF340,$AV340)))</f>
        <v/>
      </c>
      <c r="CG340" s="95" t="str">
        <f aca="false">IF(ISBLANK($C340),"",IF($BL340&lt;&gt;Constants!$B$4,"",IF($BB340="-&gt;",$BG340,$AW340)))</f>
        <v/>
      </c>
      <c r="CH340" s="95" t="str">
        <f aca="false">IF(ISBLANK($C340),"",IF($BL340&lt;&gt;Constants!$B$4,"",IF($BB340="-&gt;",$BH340,$AX340)))</f>
        <v/>
      </c>
      <c r="CI340" s="96" t="str">
        <f aca="false">IF(ISBLANK($C340),"",$BO340)</f>
        <v/>
      </c>
      <c r="CJ340" s="97" t="str">
        <f aca="false">IF(ISBLANK($C340),"",$BM340)</f>
        <v/>
      </c>
      <c r="CK340" s="98" t="str">
        <f aca="false">IF(ISBLANK($C340),"",$CA340)</f>
        <v/>
      </c>
      <c r="CL340" s="98" t="str">
        <f aca="false">IF(ISBLANK($C340),"",$BZ340)</f>
        <v/>
      </c>
      <c r="CM340" s="99" t="str">
        <f aca="false">IF(ISBLANK($C340),"",IF($CL340=Constants!$B$7,COUNTA($C$9:$C$508)+2,IF($CL340=Constants!$B$6,COUNTA($C$9:$C$508)+1,IF($CL340=Constants!$B$5,COUNTA($C$9:$C$508),$CL340))))</f>
        <v/>
      </c>
      <c r="CN340" s="8"/>
      <c r="CO340" s="100" t="n">
        <f aca="false">IF(OR(ISNUMBER($CL340),$CL340=Constants!$B$7,$CL340=Constants!$B$5,$CL340=Constants!$B$6),1,0)</f>
        <v>0</v>
      </c>
      <c r="CP340" s="100" t="n">
        <v>332</v>
      </c>
      <c r="CQ340" s="100" t="str">
        <f aca="false">IF(ISBLANK($C340),"",IF(ISNUMBER($CM340),$CM340+ROW($B340)/1000,""))</f>
        <v/>
      </c>
      <c r="CR340" s="100" t="str">
        <f aca="false">IF(ISNUMBER($CQ340),RANK($CQ340,$CQ$9:$CQ$508,1),"")</f>
        <v/>
      </c>
      <c r="CS340" s="100" t="str">
        <f aca="false">IF(ISBLANK($C340),"",$B340)</f>
        <v/>
      </c>
      <c r="CT340" s="100" t="str">
        <f aca="false">IF(ISBLANK($C340),"",$C340)</f>
        <v/>
      </c>
      <c r="CU340" s="100" t="str">
        <f aca="false">IF(ISBLANK($C340),"",$D340)</f>
        <v/>
      </c>
      <c r="CV340" s="101" t="str">
        <f aca="false">$CJ340</f>
        <v/>
      </c>
      <c r="CW340" s="102" t="str">
        <f aca="false">$CI340</f>
        <v/>
      </c>
      <c r="CX340" s="100" t="str">
        <f aca="false">IF(ISBLANK($C340),"",$CL340)</f>
        <v/>
      </c>
      <c r="CY340" s="103" t="str">
        <f aca="false">IF($CP340&gt;$CO$8,"",VLOOKUP($CP340,$CR$9:$CX$508,7,FALSE()))</f>
        <v/>
      </c>
      <c r="CZ340" s="104" t="str">
        <f aca="false">IF($CP340&gt;$CO$8,"",VLOOKUP($CP340,$CR$9:$CX$508,2,FALSE()))</f>
        <v/>
      </c>
      <c r="DA340" s="104" t="str">
        <f aca="false">IF($CP340&gt;$CO$8,"",VLOOKUP($CP340,$CR$9:$CX$508,3,FALSE()))</f>
        <v/>
      </c>
      <c r="DB340" s="104" t="str">
        <f aca="false">IF($CP340&gt;$CO$8,"",VLOOKUP($CP340,$CR$9:$CX$508,4,FALSE()))</f>
        <v/>
      </c>
      <c r="DC340" s="104" t="str">
        <f aca="false">IF($CP340&gt;$CO$8,"",VLOOKUP($CP340,$CR$9:$CX$508,5,FALSE()))</f>
        <v/>
      </c>
      <c r="DD340" s="105" t="str">
        <f aca="false">IF($CP340&gt;$CO$8,"",VLOOKUP($CP340,$CR$9:$CX$508,6,FALSE()))</f>
        <v/>
      </c>
      <c r="DE340" s="70"/>
    </row>
    <row r="341" customFormat="false" ht="15.75" hidden="false" customHeight="false" outlineLevel="0" collapsed="false">
      <c r="A341" s="8"/>
      <c r="B341" s="72"/>
      <c r="C341" s="73"/>
      <c r="D341" s="155"/>
      <c r="E341" s="162"/>
      <c r="F341" s="157"/>
      <c r="G341" s="77"/>
      <c r="H341" s="77"/>
      <c r="I341" s="77"/>
      <c r="J341" s="163"/>
      <c r="K341" s="161"/>
      <c r="L341" s="161"/>
      <c r="M341" s="80"/>
      <c r="N341" s="161"/>
      <c r="O341" s="160"/>
      <c r="P341" s="161"/>
      <c r="Q341" s="161"/>
      <c r="R341" s="161"/>
      <c r="S341" s="77"/>
      <c r="T341" s="161"/>
      <c r="U341" s="160"/>
      <c r="V341" s="161"/>
      <c r="W341" s="85"/>
      <c r="X341" s="86" t="str">
        <f aca="false">IF(ISBLANK($C341),"",IF($E341=Constants!$B$2,TRUE(),IF($E341=Constants!$B$3,FALSE(),TRUE())))</f>
        <v/>
      </c>
      <c r="Y341" s="86" t="str">
        <f aca="false">IF(ISBLANK($C341),"",IF($F341=Constants!$B$2,TRUE(),IF($F341=Constants!$B$3,FALSE(),TRUE())))</f>
        <v/>
      </c>
      <c r="Z341" s="87" t="str">
        <f aca="false">IF(ISBLANK($C341),"",IF(ISNUMBER($G341),IF($G341&gt;=0,$G341,""),""))</f>
        <v/>
      </c>
      <c r="AA341" s="87" t="str">
        <f aca="false">IF(ISBLANK($C341),"",IF(ISNUMBER($H341),IF($H341&gt;=0,$H341,""),""))</f>
        <v/>
      </c>
      <c r="AB341" s="87" t="str">
        <f aca="false">IF(ISBLANK($C341),"",IF(ISNUMBER($I341),IF($I341&gt;=0,$I341,""),""))</f>
        <v/>
      </c>
      <c r="AC341" s="86" t="str">
        <f aca="false">IF(ISBLANK($C341),"",IF($J341=Constants!$B$2,TRUE(),IF($J341=Constants!$B$3,FALSE(),TRUE())))</f>
        <v/>
      </c>
      <c r="AD341" s="86" t="str">
        <f aca="false">IF(ISBLANK($C341),"",IF($K341=Constants!$B$2,TRUE(),IF($K341=Constants!$B$3,FALSE(),TRUE())))</f>
        <v/>
      </c>
      <c r="AE341" s="86" t="str">
        <f aca="false">IF(ISBLANK($C341),"",IF($L341=Constants!$B$2,TRUE(),IF($L341=Constants!$B$3,FALSE(),TRUE())))</f>
        <v/>
      </c>
      <c r="AF341" s="88" t="str">
        <f aca="false">IF(ISBLANK($C341),"",IF(ISNUMBER($M341),IF($M341&gt;=0,$M341,""),""))</f>
        <v/>
      </c>
      <c r="AG341" s="86" t="str">
        <f aca="false">IF(ISBLANK($C341),"",IF(ISBLANK($N341),0,IF(ISNUMBER($N341),IF(AND($N341&gt;=0,$N341&lt;=Constants!$B$17,$N341=INT($N341)),$N341,""),"")))</f>
        <v/>
      </c>
      <c r="AH341" s="87" t="str">
        <f aca="false">IF(ISBLANK($C341),"",IF(ISBLANK($O341),0,IF(ISNUMBER($O341),IF($O341&gt;=0,$O341,""),"")))</f>
        <v/>
      </c>
      <c r="AI341" s="86" t="str">
        <f aca="false">IF(ISBLANK($C341),"",IF($P341=Constants!$B$2,TRUE(),IF($P341=Constants!$B$3,FALSE(),TRUE())))</f>
        <v/>
      </c>
      <c r="AJ341" s="86" t="str">
        <f aca="false">IF(ISBLANK($C341),"",IF($Q341=Constants!$B$2,TRUE(),IF($Q341=Constants!$B$3,FALSE(),TRUE())))</f>
        <v/>
      </c>
      <c r="AK341" s="86" t="str">
        <f aca="false">IF(ISBLANK($C341),"",IF($R341=Constants!$B$2,TRUE(),IF($R341=Constants!$B$3,FALSE(),TRUE())))</f>
        <v/>
      </c>
      <c r="AL341" s="88" t="str">
        <f aca="false">IF(ISBLANK($C341),"",IF(ISNUMBER($S341),IF($S341&gt;=0,$S341,""),""))</f>
        <v/>
      </c>
      <c r="AM341" s="86" t="str">
        <f aca="false">IF(ISBLANK($C341),"",IF(ISBLANK($T341),0,IF(ISNUMBER($T341),IF(AND($T341&gt;=0,$T341&lt;=Constants!$B$17,$T341=INT($T341)),$T341,""),"")))</f>
        <v/>
      </c>
      <c r="AN341" s="87" t="str">
        <f aca="false">IF(ISBLANK($C341),"",IF(ISBLANK($U341),0,IF(ISNUMBER($U341),IF($U341&gt;=0,$U341,""),"")))</f>
        <v/>
      </c>
      <c r="AO341" s="86" t="str">
        <f aca="false">IF(ISBLANK($C341),"",IF($V341=Constants!$B$2,TRUE(),IF($V341=Constants!$B$3,FALSE(),FALSE())))</f>
        <v/>
      </c>
      <c r="AP341" s="86"/>
      <c r="AQ341" s="85" t="str">
        <f aca="false">IF(ISBLANK($C341),"",AND($Y341,OR($AS341,$BC341),OR($Z341="",$AA341="",$AB341="")))</f>
        <v/>
      </c>
      <c r="AR341" s="85" t="str">
        <f aca="false">IF(ISBLANK($C341),"",IF(OR(NOT($Y341),NOT(OR($AS341,$BC341))),"",IF(ISBLANK($D$7),$AR$5,IF($AP$9="",$AR$6,""))))</f>
        <v/>
      </c>
      <c r="AS341" s="85" t="str">
        <f aca="false">IF(ISBLANK($C341),"",COUNTA($J341:$O341)&gt;0)</f>
        <v/>
      </c>
      <c r="AT341" s="85" t="str">
        <f aca="false">IF(ISBLANK($C341),"",AND($AS341,OR(AND($AF341="",OR($AE341,NOT(ISBLANK($M341)))),$AG341="",$AH341="")))</f>
        <v/>
      </c>
      <c r="AU341" s="87" t="str">
        <f aca="false">IF($BL341&lt;&gt;Constants!$B$4,"",IF(NOT($AS341),"",ROUND((Constants!$B$12-$AB341)+(Constants!$B$13-$Z341)+(Constants!$B$14-$AA341),1)))</f>
        <v/>
      </c>
      <c r="AV341" s="90" t="str">
        <f aca="false">IF($BL341&lt;&gt;Constants!$B$4,"",IF(NOT($AS341),"",IF(NOT($AE341),0,Constants!$B$15*(INT(ROUND(MIN($AF341,$AP$9),6))-INT(ROUND(MAX(0,MIN($AF341,2*$AP$9)-$AP$9),6))))))</f>
        <v/>
      </c>
      <c r="AW341" s="90" t="str">
        <f aca="false">IF($BL341&lt;&gt;Constants!$B$4,"",IF(NOT($AS341),"",Constants!$B$16*$AG341))</f>
        <v/>
      </c>
      <c r="AX341" s="90" t="str">
        <f aca="false">IF($BL341&lt;&gt;Constants!$B$4,"",IF(NOT($AS341),"",Constants!$B$18*INT(ROUND($AH341,6))))</f>
        <v/>
      </c>
      <c r="AY341" s="85" t="str">
        <f aca="false">IF($BL341&lt;&gt;Constants!$B$4,"",IF(NOT($AS341),"",IF(NOT($X341),Constants!$B$11,IF(OR(NOT($AC341),NOT($AD341),ROUND($AB341,1)&gt;Constants!$B$12,ROUND($Z341,1)&gt;Constants!$B$13,ROUND($AA341,1)&gt;Constants!$B$14),Constants!$B$10,Constants!$B$9))))</f>
        <v/>
      </c>
      <c r="AZ341" s="91" t="str">
        <f aca="false">IF($BL341&lt;&gt;Constants!$B$4,"",IF(NOT($AS341),"",ROUND($AU341+$AV341+$AW341+$AX341,1)))</f>
        <v/>
      </c>
      <c r="BA341" s="92" t="str">
        <f aca="false">IF($BL341&lt;&gt;Constants!$B$4,"",IF(NOT($AS341),"",IF(ISNUMBER($AF341),$AF341,0)))</f>
        <v/>
      </c>
      <c r="BB341" s="86" t="str">
        <f aca="false">IF($BL341&lt;&gt;Constants!$B$4,"",IF(NOT($BC341),"&lt;-",IF(NOT($AS341),"-&gt;",IF(OR($BI341&lt;$AY341,AND($BI341=$AY341,OR($BJ341&gt;$AZ341,AND($BJ341=$AZ341,OR($BH341&gt;$AX341,AND($BH341=$AX341,OR($BE341&gt;$AU341,AND($BE341=$AU341,OR($BF341&gt;$AV341,AND($BF341=$AV341,$BK341&gt;$BA341)))))))))),"-&gt;","&lt;-"))))</f>
        <v/>
      </c>
      <c r="BC341" s="85" t="str">
        <f aca="false">IF(ISBLANK($C341),"",COUNTA($P341:$U341)&gt;0)</f>
        <v/>
      </c>
      <c r="BD341" s="85" t="str">
        <f aca="false">IF(ISBLANK($C341),"",AND($BC341,OR(AND($AL341="",OR($AK341,NOT(ISBLANK($S341)))),$AM341="",$AN341="")))</f>
        <v/>
      </c>
      <c r="BE341" s="87" t="str">
        <f aca="false">IF($BL341&lt;&gt;Constants!$B$4,"",IF(NOT($BC341),"",ROUND((Constants!$B$12-$AB341)+(Constants!$B$13-$Z341)+(Constants!$B$14-$AA341),1)))</f>
        <v/>
      </c>
      <c r="BF341" s="90" t="str">
        <f aca="false">IF($BL341&lt;&gt;Constants!$B$4,"",IF(NOT($BC341),"",IF(NOT($AK341),0,Constants!$B$15*(INT(ROUND(MIN($AL341,$AP$9),6))-INT(ROUND(MAX(0,MIN($AL341,2*$AP$9)-$AP$9),6))))))</f>
        <v/>
      </c>
      <c r="BG341" s="90" t="str">
        <f aca="false">IF($BL341&lt;&gt;Constants!$B$4,"",IF(NOT($BC341),"",Constants!$B$16*$AM341))</f>
        <v/>
      </c>
      <c r="BH341" s="90" t="str">
        <f aca="false">IF($BL341&lt;&gt;Constants!$B$4,"",IF(NOT($BC341),"",Constants!$B$18*INT(ROUND($AN341,6))))</f>
        <v/>
      </c>
      <c r="BI341" s="85" t="str">
        <f aca="false">IF($BL341&lt;&gt;Constants!$B$4,"",IF(NOT($BC341),"",IF(NOT($X341),Constants!$B$11,IF(OR(NOT($AI341),NOT($AJ341),ROUND($AB341,1)&gt;Constants!$B$12,ROUND($Z341,1)&gt;Constants!$B$13,ROUND($AA341,1)&gt;Constants!$B$14),Constants!$B$10,Constants!$B$9))))</f>
        <v/>
      </c>
      <c r="BJ341" s="91" t="str">
        <f aca="false">IF($BL341&lt;&gt;Constants!$B$4,"",IF(NOT($BC341),"",ROUND($BE341+$BF341+$BG341+$BH341,1)))</f>
        <v/>
      </c>
      <c r="BK341" s="92" t="str">
        <f aca="false">IF($BL341&lt;&gt;Constants!$B$4,"",IF(NOT($BC341),"",IF(ISNUMBER($AL341),$AL341,0)))</f>
        <v/>
      </c>
      <c r="BL341" s="86" t="str">
        <f aca="false">IF(ISBLANK($C341),"",IF($AO341,Constants!$B$7,IF(COUNTA($E341:$V341)=0,Constants!$B$6,IF(NOT($Y341),Constants!$B$5,IF(NOT(OR($AS341,$BC341)),Constants!$B$5,IF(OR($AT341,$BD341,$AQ341,$AR341&lt;&gt;""),Constants!$B$8,Constants!$B$4))))))</f>
        <v/>
      </c>
      <c r="BM341" s="86" t="str">
        <f aca="false">IF(ISBLANK($C341),"",IF($BL341&lt;&gt;Constants!$B$4,$BL341,IF($BB341="-&gt;",$BI341,$AY341)))</f>
        <v/>
      </c>
      <c r="BN341" s="90" t="str">
        <f aca="false">IF($BL341&lt;&gt;Constants!$B$4,"",IF($BB341="-&gt;",$BJ341,$AZ341))</f>
        <v/>
      </c>
      <c r="BO341" s="90" t="str">
        <f aca="false">IF(ISBLANK($C341),"",IF($BL341&lt;&gt;Constants!$B$4,$BL341,$BN341))</f>
        <v/>
      </c>
      <c r="BP341" s="86" t="str">
        <f aca="false">IF(ISBLANK($C341),"",IF($BL341&lt;&gt;Constants!$B$4,$BL341,RANK($BO341,$BO$9:$BO$508,0)))</f>
        <v/>
      </c>
      <c r="BQ341" s="86" t="str">
        <f aca="false">IF(ISBLANK($C341),"",IF($BL341&lt;&gt;Constants!$B$4,$BL341,COUNTIFS($BM$9:$BM$508,"&lt;"&amp;$BM341)+COUNTIFS($BM$9:$BM$508,$BM341,$BP$9:$BP$508,"&lt;"&amp;$BP341)+1))</f>
        <v/>
      </c>
      <c r="BR341" s="90" t="str">
        <f aca="false">IF($BL341&lt;&gt;Constants!$B$4,"",IF($BB341="-&gt;",$BH341,$AX341))</f>
        <v/>
      </c>
      <c r="BS341" s="86" t="str">
        <f aca="false">IF(ISBLANK($C341),"",IF($BL341&lt;&gt;Constants!$B$4,$BL341,IF(ISNUMBER($BR341),RANK($BR341,$BR$9:$BR$508,0),COUNT($BR$9:$BR$508)+1)))</f>
        <v/>
      </c>
      <c r="BT341" s="90" t="str">
        <f aca="false">IF($BL341&lt;&gt;Constants!$B$4,"",IF($BB341="-&gt;",$BE341,$AU341))</f>
        <v/>
      </c>
      <c r="BU341" s="86" t="str">
        <f aca="false">IF(ISBLANK($C341),"",IF($BL341&lt;&gt;Constants!$B$4,$BL341,IF(ISNUMBER($BT341),RANK($BT341,$BT$9:$BT$508,0),COUNT($BT$9:$BT$508)+1)))</f>
        <v/>
      </c>
      <c r="BV341" s="90" t="str">
        <f aca="false">IF($BL341&lt;&gt;Constants!$B$4,"",IF($BB341="-&gt;",$BF341,$AV341))</f>
        <v/>
      </c>
      <c r="BW341" s="86" t="str">
        <f aca="false">IF(ISBLANK($C341),"",IF($BL341&lt;&gt;Constants!$B$4,$BL341,IF(ISNUMBER($BV341),RANK($BV341,$BV$9:$BV$508,0),COUNT($BV$9:$BV$508)+1)))</f>
        <v/>
      </c>
      <c r="BX341" s="90" t="str">
        <f aca="false">IF($BL341&lt;&gt;Constants!$B$4,"",IF($BB341="-&gt;",$BK341,$BA341))</f>
        <v/>
      </c>
      <c r="BY341" s="86" t="str">
        <f aca="false">IF(ISBLANK($C341),"",IF($BL341&lt;&gt;Constants!$B$4,$BL341,IF(ISNUMBER($BX341),RANK($BX341,$BX$9:$BX$508,0),COUNT($BX$9:$BX$508)+1)))</f>
        <v/>
      </c>
      <c r="BZ341" s="86" t="str">
        <f aca="false">IF(ISBLANK($C341),"",IF($BL341&lt;&gt;Constants!$B$4,$BL341,COUNTIFS($BM$9:$BM$508,"&lt;"&amp;$BM341)+COUNTIFS($BM$9:$BM$508,$BM341,$BP$9:$BP$508,"&lt;"&amp;$BP341)+COUNTIFS($BM$9:$BM$508,$BM341,$BP$9:$BP$508,$BP341,$BS$9:$BS$508,"&lt;"&amp;$BS341)+COUNTIFS($BM$9:$BM$508,$BM341,$BP$9:$BP$508,$BP341,$BS$9:$BS$508,$BS341,$BU$9:$BU$508,"&lt;"&amp;$BU341)+COUNTIFS($BM$9:$BM$508,$BM341,$BP$9:$BP$508,$BP341,$BS$9:$BS$508,$BS341,$BU$9:$BU$508,$BU341,$BW$9:$BW$508,"&lt;"&amp;$BW341)+COUNTIFS($BM$9:$BM$508,$BM341,$BP$9:$BP$508,$BP341,$BS$9:$BS$508,$BS341,$BU$9:$BU$508,$BU341,$BW$9:$BW$508,$BW341,$BY$9:$BY$508,"&lt;"&amp;$BY341)+1))</f>
        <v/>
      </c>
      <c r="CA341" s="86" t="str">
        <f aca="false">IF(ISBLANK($C341),"",IF($BL341&lt;&gt;Constants!$B$4,$BL341,$BQ341-$BZ341))</f>
        <v/>
      </c>
      <c r="CB341" s="93"/>
      <c r="CC341" s="94" t="str">
        <f aca="false">IF(ISBLANK($C341),"",IF($BL341=Constants!$B$8,$AR341,""))</f>
        <v/>
      </c>
      <c r="CD341" s="94" t="str">
        <f aca="false">IF(ISBLANK($C341),"",IF($BL341&lt;&gt;Constants!$B$4,"",IF($BB341="-&gt;",2,1)))</f>
        <v/>
      </c>
      <c r="CE341" s="95" t="str">
        <f aca="false">IF(ISBLANK($C341),"",IF($BL341&lt;&gt;Constants!$B$4,"",IF($BB341="-&gt;",$BE341,$AU341)))</f>
        <v/>
      </c>
      <c r="CF341" s="95" t="str">
        <f aca="false">IF(ISBLANK($C341),"",IF($BL341&lt;&gt;Constants!$B$4,"",IF($BB341="-&gt;",$BF341,$AV341)))</f>
        <v/>
      </c>
      <c r="CG341" s="95" t="str">
        <f aca="false">IF(ISBLANK($C341),"",IF($BL341&lt;&gt;Constants!$B$4,"",IF($BB341="-&gt;",$BG341,$AW341)))</f>
        <v/>
      </c>
      <c r="CH341" s="95" t="str">
        <f aca="false">IF(ISBLANK($C341),"",IF($BL341&lt;&gt;Constants!$B$4,"",IF($BB341="-&gt;",$BH341,$AX341)))</f>
        <v/>
      </c>
      <c r="CI341" s="96" t="str">
        <f aca="false">IF(ISBLANK($C341),"",$BO341)</f>
        <v/>
      </c>
      <c r="CJ341" s="97" t="str">
        <f aca="false">IF(ISBLANK($C341),"",$BM341)</f>
        <v/>
      </c>
      <c r="CK341" s="98" t="str">
        <f aca="false">IF(ISBLANK($C341),"",$CA341)</f>
        <v/>
      </c>
      <c r="CL341" s="98" t="str">
        <f aca="false">IF(ISBLANK($C341),"",$BZ341)</f>
        <v/>
      </c>
      <c r="CM341" s="99" t="str">
        <f aca="false">IF(ISBLANK($C341),"",IF($CL341=Constants!$B$7,COUNTA($C$9:$C$508)+2,IF($CL341=Constants!$B$6,COUNTA($C$9:$C$508)+1,IF($CL341=Constants!$B$5,COUNTA($C$9:$C$508),$CL341))))</f>
        <v/>
      </c>
      <c r="CN341" s="8"/>
      <c r="CO341" s="100" t="n">
        <f aca="false">IF(OR(ISNUMBER($CL341),$CL341=Constants!$B$7,$CL341=Constants!$B$5,$CL341=Constants!$B$6),1,0)</f>
        <v>0</v>
      </c>
      <c r="CP341" s="100" t="n">
        <v>333</v>
      </c>
      <c r="CQ341" s="100" t="str">
        <f aca="false">IF(ISBLANK($C341),"",IF(ISNUMBER($CM341),$CM341+ROW($B341)/1000,""))</f>
        <v/>
      </c>
      <c r="CR341" s="100" t="str">
        <f aca="false">IF(ISNUMBER($CQ341),RANK($CQ341,$CQ$9:$CQ$508,1),"")</f>
        <v/>
      </c>
      <c r="CS341" s="100" t="str">
        <f aca="false">IF(ISBLANK($C341),"",$B341)</f>
        <v/>
      </c>
      <c r="CT341" s="100" t="str">
        <f aca="false">IF(ISBLANK($C341),"",$C341)</f>
        <v/>
      </c>
      <c r="CU341" s="100" t="str">
        <f aca="false">IF(ISBLANK($C341),"",$D341)</f>
        <v/>
      </c>
      <c r="CV341" s="101" t="str">
        <f aca="false">$CJ341</f>
        <v/>
      </c>
      <c r="CW341" s="102" t="str">
        <f aca="false">$CI341</f>
        <v/>
      </c>
      <c r="CX341" s="100" t="str">
        <f aca="false">IF(ISBLANK($C341),"",$CL341)</f>
        <v/>
      </c>
      <c r="CY341" s="103" t="str">
        <f aca="false">IF($CP341&gt;$CO$8,"",VLOOKUP($CP341,$CR$9:$CX$508,7,FALSE()))</f>
        <v/>
      </c>
      <c r="CZ341" s="104" t="str">
        <f aca="false">IF($CP341&gt;$CO$8,"",VLOOKUP($CP341,$CR$9:$CX$508,2,FALSE()))</f>
        <v/>
      </c>
      <c r="DA341" s="104" t="str">
        <f aca="false">IF($CP341&gt;$CO$8,"",VLOOKUP($CP341,$CR$9:$CX$508,3,FALSE()))</f>
        <v/>
      </c>
      <c r="DB341" s="104" t="str">
        <f aca="false">IF($CP341&gt;$CO$8,"",VLOOKUP($CP341,$CR$9:$CX$508,4,FALSE()))</f>
        <v/>
      </c>
      <c r="DC341" s="104" t="str">
        <f aca="false">IF($CP341&gt;$CO$8,"",VLOOKUP($CP341,$CR$9:$CX$508,5,FALSE()))</f>
        <v/>
      </c>
      <c r="DD341" s="105" t="str">
        <f aca="false">IF($CP341&gt;$CO$8,"",VLOOKUP($CP341,$CR$9:$CX$508,6,FALSE()))</f>
        <v/>
      </c>
      <c r="DE341" s="70"/>
    </row>
    <row r="342" customFormat="false" ht="15.75" hidden="false" customHeight="false" outlineLevel="0" collapsed="false">
      <c r="A342" s="8"/>
      <c r="B342" s="146"/>
      <c r="C342" s="147"/>
      <c r="D342" s="148"/>
      <c r="E342" s="164"/>
      <c r="F342" s="150"/>
      <c r="G342" s="115"/>
      <c r="H342" s="115"/>
      <c r="I342" s="115"/>
      <c r="J342" s="165"/>
      <c r="K342" s="154"/>
      <c r="L342" s="154"/>
      <c r="M342" s="118"/>
      <c r="N342" s="154"/>
      <c r="O342" s="153"/>
      <c r="P342" s="154"/>
      <c r="Q342" s="154"/>
      <c r="R342" s="154"/>
      <c r="S342" s="115"/>
      <c r="T342" s="154"/>
      <c r="U342" s="153"/>
      <c r="V342" s="154"/>
      <c r="W342" s="123"/>
      <c r="X342" s="124" t="str">
        <f aca="false">IF(ISBLANK($C342),"",IF($E342=Constants!$B$2,TRUE(),IF($E342=Constants!$B$3,FALSE(),TRUE())))</f>
        <v/>
      </c>
      <c r="Y342" s="124" t="str">
        <f aca="false">IF(ISBLANK($C342),"",IF($F342=Constants!$B$2,TRUE(),IF($F342=Constants!$B$3,FALSE(),TRUE())))</f>
        <v/>
      </c>
      <c r="Z342" s="125" t="str">
        <f aca="false">IF(ISBLANK($C342),"",IF(ISNUMBER($G342),IF($G342&gt;=0,$G342,""),""))</f>
        <v/>
      </c>
      <c r="AA342" s="125" t="str">
        <f aca="false">IF(ISBLANK($C342),"",IF(ISNUMBER($H342),IF($H342&gt;=0,$H342,""),""))</f>
        <v/>
      </c>
      <c r="AB342" s="125" t="str">
        <f aca="false">IF(ISBLANK($C342),"",IF(ISNUMBER($I342),IF($I342&gt;=0,$I342,""),""))</f>
        <v/>
      </c>
      <c r="AC342" s="124" t="str">
        <f aca="false">IF(ISBLANK($C342),"",IF($J342=Constants!$B$2,TRUE(),IF($J342=Constants!$B$3,FALSE(),TRUE())))</f>
        <v/>
      </c>
      <c r="AD342" s="124" t="str">
        <f aca="false">IF(ISBLANK($C342),"",IF($K342=Constants!$B$2,TRUE(),IF($K342=Constants!$B$3,FALSE(),TRUE())))</f>
        <v/>
      </c>
      <c r="AE342" s="124" t="str">
        <f aca="false">IF(ISBLANK($C342),"",IF($L342=Constants!$B$2,TRUE(),IF($L342=Constants!$B$3,FALSE(),TRUE())))</f>
        <v/>
      </c>
      <c r="AF342" s="126" t="str">
        <f aca="false">IF(ISBLANK($C342),"",IF(ISNUMBER($M342),IF($M342&gt;=0,$M342,""),""))</f>
        <v/>
      </c>
      <c r="AG342" s="124" t="str">
        <f aca="false">IF(ISBLANK($C342),"",IF(ISBLANK($N342),0,IF(ISNUMBER($N342),IF(AND($N342&gt;=0,$N342&lt;=Constants!$B$17,$N342=INT($N342)),$N342,""),"")))</f>
        <v/>
      </c>
      <c r="AH342" s="125" t="str">
        <f aca="false">IF(ISBLANK($C342),"",IF(ISBLANK($O342),0,IF(ISNUMBER($O342),IF($O342&gt;=0,$O342,""),"")))</f>
        <v/>
      </c>
      <c r="AI342" s="124" t="str">
        <f aca="false">IF(ISBLANK($C342),"",IF($P342=Constants!$B$2,TRUE(),IF($P342=Constants!$B$3,FALSE(),TRUE())))</f>
        <v/>
      </c>
      <c r="AJ342" s="124" t="str">
        <f aca="false">IF(ISBLANK($C342),"",IF($Q342=Constants!$B$2,TRUE(),IF($Q342=Constants!$B$3,FALSE(),TRUE())))</f>
        <v/>
      </c>
      <c r="AK342" s="124" t="str">
        <f aca="false">IF(ISBLANK($C342),"",IF($R342=Constants!$B$2,TRUE(),IF($R342=Constants!$B$3,FALSE(),TRUE())))</f>
        <v/>
      </c>
      <c r="AL342" s="126" t="str">
        <f aca="false">IF(ISBLANK($C342),"",IF(ISNUMBER($S342),IF($S342&gt;=0,$S342,""),""))</f>
        <v/>
      </c>
      <c r="AM342" s="124" t="str">
        <f aca="false">IF(ISBLANK($C342),"",IF(ISBLANK($T342),0,IF(ISNUMBER($T342),IF(AND($T342&gt;=0,$T342&lt;=Constants!$B$17,$T342=INT($T342)),$T342,""),"")))</f>
        <v/>
      </c>
      <c r="AN342" s="125" t="str">
        <f aca="false">IF(ISBLANK($C342),"",IF(ISBLANK($U342),0,IF(ISNUMBER($U342),IF($U342&gt;=0,$U342,""),"")))</f>
        <v/>
      </c>
      <c r="AO342" s="124" t="str">
        <f aca="false">IF(ISBLANK($C342),"",IF($V342=Constants!$B$2,TRUE(),IF($V342=Constants!$B$3,FALSE(),FALSE())))</f>
        <v/>
      </c>
      <c r="AP342" s="124"/>
      <c r="AQ342" s="123" t="str">
        <f aca="false">IF(ISBLANK($C342),"",AND($Y342,OR($AS342,$BC342),OR($Z342="",$AA342="",$AB342="")))</f>
        <v/>
      </c>
      <c r="AR342" s="123" t="str">
        <f aca="false">IF(ISBLANK($C342),"",IF(OR(NOT($Y342),NOT(OR($AS342,$BC342))),"",IF(ISBLANK($D$7),$AR$5,IF($AP$9="",$AR$6,""))))</f>
        <v/>
      </c>
      <c r="AS342" s="123" t="str">
        <f aca="false">IF(ISBLANK($C342),"",COUNTA($J342:$O342)&gt;0)</f>
        <v/>
      </c>
      <c r="AT342" s="123" t="str">
        <f aca="false">IF(ISBLANK($C342),"",AND($AS342,OR(AND($AF342="",OR($AE342,NOT(ISBLANK($M342)))),$AG342="",$AH342="")))</f>
        <v/>
      </c>
      <c r="AU342" s="125" t="str">
        <f aca="false">IF($BL342&lt;&gt;Constants!$B$4,"",IF(NOT($AS342),"",ROUND((Constants!$B$12-$AB342)+(Constants!$B$13-$Z342)+(Constants!$B$14-$AA342),1)))</f>
        <v/>
      </c>
      <c r="AV342" s="127" t="str">
        <f aca="false">IF($BL342&lt;&gt;Constants!$B$4,"",IF(NOT($AS342),"",IF(NOT($AE342),0,Constants!$B$15*(INT(ROUND(MIN($AF342,$AP$9),6))-INT(ROUND(MAX(0,MIN($AF342,2*$AP$9)-$AP$9),6))))))</f>
        <v/>
      </c>
      <c r="AW342" s="127" t="str">
        <f aca="false">IF($BL342&lt;&gt;Constants!$B$4,"",IF(NOT($AS342),"",Constants!$B$16*$AG342))</f>
        <v/>
      </c>
      <c r="AX342" s="127" t="str">
        <f aca="false">IF($BL342&lt;&gt;Constants!$B$4,"",IF(NOT($AS342),"",Constants!$B$18*INT(ROUND($AH342,6))))</f>
        <v/>
      </c>
      <c r="AY342" s="123" t="str">
        <f aca="false">IF($BL342&lt;&gt;Constants!$B$4,"",IF(NOT($AS342),"",IF(NOT($X342),Constants!$B$11,IF(OR(NOT($AC342),NOT($AD342),ROUND($AB342,1)&gt;Constants!$B$12,ROUND($Z342,1)&gt;Constants!$B$13,ROUND($AA342,1)&gt;Constants!$B$14),Constants!$B$10,Constants!$B$9))))</f>
        <v/>
      </c>
      <c r="AZ342" s="128" t="str">
        <f aca="false">IF($BL342&lt;&gt;Constants!$B$4,"",IF(NOT($AS342),"",ROUND($AU342+$AV342+$AW342+$AX342,1)))</f>
        <v/>
      </c>
      <c r="BA342" s="129" t="str">
        <f aca="false">IF($BL342&lt;&gt;Constants!$B$4,"",IF(NOT($AS342),"",IF(ISNUMBER($AF342),$AF342,0)))</f>
        <v/>
      </c>
      <c r="BB342" s="124" t="str">
        <f aca="false">IF($BL342&lt;&gt;Constants!$B$4,"",IF(NOT($BC342),"&lt;-",IF(NOT($AS342),"-&gt;",IF(OR($BI342&lt;$AY342,AND($BI342=$AY342,OR($BJ342&gt;$AZ342,AND($BJ342=$AZ342,OR($BH342&gt;$AX342,AND($BH342=$AX342,OR($BE342&gt;$AU342,AND($BE342=$AU342,OR($BF342&gt;$AV342,AND($BF342=$AV342,$BK342&gt;$BA342)))))))))),"-&gt;","&lt;-"))))</f>
        <v/>
      </c>
      <c r="BC342" s="123" t="str">
        <f aca="false">IF(ISBLANK($C342),"",COUNTA($P342:$U342)&gt;0)</f>
        <v/>
      </c>
      <c r="BD342" s="123" t="str">
        <f aca="false">IF(ISBLANK($C342),"",AND($BC342,OR(AND($AL342="",OR($AK342,NOT(ISBLANK($S342)))),$AM342="",$AN342="")))</f>
        <v/>
      </c>
      <c r="BE342" s="125" t="str">
        <f aca="false">IF($BL342&lt;&gt;Constants!$B$4,"",IF(NOT($BC342),"",ROUND((Constants!$B$12-$AB342)+(Constants!$B$13-$Z342)+(Constants!$B$14-$AA342),1)))</f>
        <v/>
      </c>
      <c r="BF342" s="127" t="str">
        <f aca="false">IF($BL342&lt;&gt;Constants!$B$4,"",IF(NOT($BC342),"",IF(NOT($AK342),0,Constants!$B$15*(INT(ROUND(MIN($AL342,$AP$9),6))-INT(ROUND(MAX(0,MIN($AL342,2*$AP$9)-$AP$9),6))))))</f>
        <v/>
      </c>
      <c r="BG342" s="127" t="str">
        <f aca="false">IF($BL342&lt;&gt;Constants!$B$4,"",IF(NOT($BC342),"",Constants!$B$16*$AM342))</f>
        <v/>
      </c>
      <c r="BH342" s="127" t="str">
        <f aca="false">IF($BL342&lt;&gt;Constants!$B$4,"",IF(NOT($BC342),"",Constants!$B$18*INT(ROUND($AN342,6))))</f>
        <v/>
      </c>
      <c r="BI342" s="123" t="str">
        <f aca="false">IF($BL342&lt;&gt;Constants!$B$4,"",IF(NOT($BC342),"",IF(NOT($X342),Constants!$B$11,IF(OR(NOT($AI342),NOT($AJ342),ROUND($AB342,1)&gt;Constants!$B$12,ROUND($Z342,1)&gt;Constants!$B$13,ROUND($AA342,1)&gt;Constants!$B$14),Constants!$B$10,Constants!$B$9))))</f>
        <v/>
      </c>
      <c r="BJ342" s="128" t="str">
        <f aca="false">IF($BL342&lt;&gt;Constants!$B$4,"",IF(NOT($BC342),"",ROUND($BE342+$BF342+$BG342+$BH342,1)))</f>
        <v/>
      </c>
      <c r="BK342" s="129" t="str">
        <f aca="false">IF($BL342&lt;&gt;Constants!$B$4,"",IF(NOT($BC342),"",IF(ISNUMBER($AL342),$AL342,0)))</f>
        <v/>
      </c>
      <c r="BL342" s="124" t="str">
        <f aca="false">IF(ISBLANK($C342),"",IF($AO342,Constants!$B$7,IF(COUNTA($E342:$V342)=0,Constants!$B$6,IF(NOT($Y342),Constants!$B$5,IF(NOT(OR($AS342,$BC342)),Constants!$B$5,IF(OR($AT342,$BD342,$AQ342,$AR342&lt;&gt;""),Constants!$B$8,Constants!$B$4))))))</f>
        <v/>
      </c>
      <c r="BM342" s="124" t="str">
        <f aca="false">IF(ISBLANK($C342),"",IF($BL342&lt;&gt;Constants!$B$4,$BL342,IF($BB342="-&gt;",$BI342,$AY342)))</f>
        <v/>
      </c>
      <c r="BN342" s="127" t="str">
        <f aca="false">IF($BL342&lt;&gt;Constants!$B$4,"",IF($BB342="-&gt;",$BJ342,$AZ342))</f>
        <v/>
      </c>
      <c r="BO342" s="127" t="str">
        <f aca="false">IF(ISBLANK($C342),"",IF($BL342&lt;&gt;Constants!$B$4,$BL342,$BN342))</f>
        <v/>
      </c>
      <c r="BP342" s="124" t="str">
        <f aca="false">IF(ISBLANK($C342),"",IF($BL342&lt;&gt;Constants!$B$4,$BL342,RANK($BO342,$BO$9:$BO$508,0)))</f>
        <v/>
      </c>
      <c r="BQ342" s="124" t="str">
        <f aca="false">IF(ISBLANK($C342),"",IF($BL342&lt;&gt;Constants!$B$4,$BL342,COUNTIFS($BM$9:$BM$508,"&lt;"&amp;$BM342)+COUNTIFS($BM$9:$BM$508,$BM342,$BP$9:$BP$508,"&lt;"&amp;$BP342)+1))</f>
        <v/>
      </c>
      <c r="BR342" s="127" t="str">
        <f aca="false">IF($BL342&lt;&gt;Constants!$B$4,"",IF($BB342="-&gt;",$BH342,$AX342))</f>
        <v/>
      </c>
      <c r="BS342" s="124" t="str">
        <f aca="false">IF(ISBLANK($C342),"",IF($BL342&lt;&gt;Constants!$B$4,$BL342,IF(ISNUMBER($BR342),RANK($BR342,$BR$9:$BR$508,0),COUNT($BR$9:$BR$508)+1)))</f>
        <v/>
      </c>
      <c r="BT342" s="127" t="str">
        <f aca="false">IF($BL342&lt;&gt;Constants!$B$4,"",IF($BB342="-&gt;",$BE342,$AU342))</f>
        <v/>
      </c>
      <c r="BU342" s="124" t="str">
        <f aca="false">IF(ISBLANK($C342),"",IF($BL342&lt;&gt;Constants!$B$4,$BL342,IF(ISNUMBER($BT342),RANK($BT342,$BT$9:$BT$508,0),COUNT($BT$9:$BT$508)+1)))</f>
        <v/>
      </c>
      <c r="BV342" s="127" t="str">
        <f aca="false">IF($BL342&lt;&gt;Constants!$B$4,"",IF($BB342="-&gt;",$BF342,$AV342))</f>
        <v/>
      </c>
      <c r="BW342" s="124" t="str">
        <f aca="false">IF(ISBLANK($C342),"",IF($BL342&lt;&gt;Constants!$B$4,$BL342,IF(ISNUMBER($BV342),RANK($BV342,$BV$9:$BV$508,0),COUNT($BV$9:$BV$508)+1)))</f>
        <v/>
      </c>
      <c r="BX342" s="127" t="str">
        <f aca="false">IF($BL342&lt;&gt;Constants!$B$4,"",IF($BB342="-&gt;",$BK342,$BA342))</f>
        <v/>
      </c>
      <c r="BY342" s="124" t="str">
        <f aca="false">IF(ISBLANK($C342),"",IF($BL342&lt;&gt;Constants!$B$4,$BL342,IF(ISNUMBER($BX342),RANK($BX342,$BX$9:$BX$508,0),COUNT($BX$9:$BX$508)+1)))</f>
        <v/>
      </c>
      <c r="BZ342" s="124" t="str">
        <f aca="false">IF(ISBLANK($C342),"",IF($BL342&lt;&gt;Constants!$B$4,$BL342,COUNTIFS($BM$9:$BM$508,"&lt;"&amp;$BM342)+COUNTIFS($BM$9:$BM$508,$BM342,$BP$9:$BP$508,"&lt;"&amp;$BP342)+COUNTIFS($BM$9:$BM$508,$BM342,$BP$9:$BP$508,$BP342,$BS$9:$BS$508,"&lt;"&amp;$BS342)+COUNTIFS($BM$9:$BM$508,$BM342,$BP$9:$BP$508,$BP342,$BS$9:$BS$508,$BS342,$BU$9:$BU$508,"&lt;"&amp;$BU342)+COUNTIFS($BM$9:$BM$508,$BM342,$BP$9:$BP$508,$BP342,$BS$9:$BS$508,$BS342,$BU$9:$BU$508,$BU342,$BW$9:$BW$508,"&lt;"&amp;$BW342)+COUNTIFS($BM$9:$BM$508,$BM342,$BP$9:$BP$508,$BP342,$BS$9:$BS$508,$BS342,$BU$9:$BU$508,$BU342,$BW$9:$BW$508,$BW342,$BY$9:$BY$508,"&lt;"&amp;$BY342)+1))</f>
        <v/>
      </c>
      <c r="CA342" s="124" t="str">
        <f aca="false">IF(ISBLANK($C342),"",IF($BL342&lt;&gt;Constants!$B$4,$BL342,$BQ342-$BZ342))</f>
        <v/>
      </c>
      <c r="CB342" s="130"/>
      <c r="CC342" s="131" t="str">
        <f aca="false">IF(ISBLANK($C342),"",IF($BL342=Constants!$B$8,$AR342,""))</f>
        <v/>
      </c>
      <c r="CD342" s="131" t="str">
        <f aca="false">IF(ISBLANK($C342),"",IF($BL342&lt;&gt;Constants!$B$4,"",IF($BB342="-&gt;",2,1)))</f>
        <v/>
      </c>
      <c r="CE342" s="132" t="str">
        <f aca="false">IF(ISBLANK($C342),"",IF($BL342&lt;&gt;Constants!$B$4,"",IF($BB342="-&gt;",$BE342,$AU342)))</f>
        <v/>
      </c>
      <c r="CF342" s="132" t="str">
        <f aca="false">IF(ISBLANK($C342),"",IF($BL342&lt;&gt;Constants!$B$4,"",IF($BB342="-&gt;",$BF342,$AV342)))</f>
        <v/>
      </c>
      <c r="CG342" s="132" t="str">
        <f aca="false">IF(ISBLANK($C342),"",IF($BL342&lt;&gt;Constants!$B$4,"",IF($BB342="-&gt;",$BG342,$AW342)))</f>
        <v/>
      </c>
      <c r="CH342" s="132" t="str">
        <f aca="false">IF(ISBLANK($C342),"",IF($BL342&lt;&gt;Constants!$B$4,"",IF($BB342="-&gt;",$BH342,$AX342)))</f>
        <v/>
      </c>
      <c r="CI342" s="133" t="str">
        <f aca="false">IF(ISBLANK($C342),"",$BO342)</f>
        <v/>
      </c>
      <c r="CJ342" s="134" t="str">
        <f aca="false">IF(ISBLANK($C342),"",$BM342)</f>
        <v/>
      </c>
      <c r="CK342" s="135" t="str">
        <f aca="false">IF(ISBLANK($C342),"",$CA342)</f>
        <v/>
      </c>
      <c r="CL342" s="135" t="str">
        <f aca="false">IF(ISBLANK($C342),"",$BZ342)</f>
        <v/>
      </c>
      <c r="CM342" s="136" t="str">
        <f aca="false">IF(ISBLANK($C342),"",IF($CL342=Constants!$B$7,COUNTA($C$9:$C$508)+2,IF($CL342=Constants!$B$6,COUNTA($C$9:$C$508)+1,IF($CL342=Constants!$B$5,COUNTA($C$9:$C$508),$CL342))))</f>
        <v/>
      </c>
      <c r="CN342" s="8"/>
      <c r="CO342" s="137" t="n">
        <f aca="false">IF(OR(ISNUMBER($CL342),$CL342=Constants!$B$7,$CL342=Constants!$B$5,$CL342=Constants!$B$6),1,0)</f>
        <v>0</v>
      </c>
      <c r="CP342" s="137" t="n">
        <v>334</v>
      </c>
      <c r="CQ342" s="137" t="str">
        <f aca="false">IF(ISBLANK($C342),"",IF(ISNUMBER($CM342),$CM342+ROW($B342)/1000,""))</f>
        <v/>
      </c>
      <c r="CR342" s="137" t="str">
        <f aca="false">IF(ISNUMBER($CQ342),RANK($CQ342,$CQ$9:$CQ$508,1),"")</f>
        <v/>
      </c>
      <c r="CS342" s="137" t="str">
        <f aca="false">IF(ISBLANK($C342),"",$B342)</f>
        <v/>
      </c>
      <c r="CT342" s="137" t="str">
        <f aca="false">IF(ISBLANK($C342),"",$C342)</f>
        <v/>
      </c>
      <c r="CU342" s="137" t="str">
        <f aca="false">IF(ISBLANK($C342),"",$D342)</f>
        <v/>
      </c>
      <c r="CV342" s="138" t="str">
        <f aca="false">$CJ342</f>
        <v/>
      </c>
      <c r="CW342" s="139" t="str">
        <f aca="false">$CI342</f>
        <v/>
      </c>
      <c r="CX342" s="137" t="str">
        <f aca="false">IF(ISBLANK($C342),"",$CL342)</f>
        <v/>
      </c>
      <c r="CY342" s="140" t="str">
        <f aca="false">IF($CP342&gt;$CO$8,"",VLOOKUP($CP342,$CR$9:$CX$508,7,FALSE()))</f>
        <v/>
      </c>
      <c r="CZ342" s="141" t="str">
        <f aca="false">IF($CP342&gt;$CO$8,"",VLOOKUP($CP342,$CR$9:$CX$508,2,FALSE()))</f>
        <v/>
      </c>
      <c r="DA342" s="141" t="str">
        <f aca="false">IF($CP342&gt;$CO$8,"",VLOOKUP($CP342,$CR$9:$CX$508,3,FALSE()))</f>
        <v/>
      </c>
      <c r="DB342" s="141" t="str">
        <f aca="false">IF($CP342&gt;$CO$8,"",VLOOKUP($CP342,$CR$9:$CX$508,4,FALSE()))</f>
        <v/>
      </c>
      <c r="DC342" s="141" t="str">
        <f aca="false">IF($CP342&gt;$CO$8,"",VLOOKUP($CP342,$CR$9:$CX$508,5,FALSE()))</f>
        <v/>
      </c>
      <c r="DD342" s="142" t="str">
        <f aca="false">IF($CP342&gt;$CO$8,"",VLOOKUP($CP342,$CR$9:$CX$508,6,FALSE()))</f>
        <v/>
      </c>
      <c r="DE342" s="70"/>
    </row>
    <row r="343" customFormat="false" ht="15.75" hidden="false" customHeight="false" outlineLevel="0" collapsed="false">
      <c r="A343" s="8"/>
      <c r="B343" s="146"/>
      <c r="C343" s="147"/>
      <c r="D343" s="148"/>
      <c r="E343" s="164"/>
      <c r="F343" s="150"/>
      <c r="G343" s="115"/>
      <c r="H343" s="115"/>
      <c r="I343" s="115"/>
      <c r="J343" s="165"/>
      <c r="K343" s="154"/>
      <c r="L343" s="154"/>
      <c r="M343" s="118"/>
      <c r="N343" s="154"/>
      <c r="O343" s="153"/>
      <c r="P343" s="154"/>
      <c r="Q343" s="154"/>
      <c r="R343" s="154"/>
      <c r="S343" s="115"/>
      <c r="T343" s="154"/>
      <c r="U343" s="153"/>
      <c r="V343" s="154"/>
      <c r="W343" s="123"/>
      <c r="X343" s="124" t="str">
        <f aca="false">IF(ISBLANK($C343),"",IF($E343=Constants!$B$2,TRUE(),IF($E343=Constants!$B$3,FALSE(),TRUE())))</f>
        <v/>
      </c>
      <c r="Y343" s="124" t="str">
        <f aca="false">IF(ISBLANK($C343),"",IF($F343=Constants!$B$2,TRUE(),IF($F343=Constants!$B$3,FALSE(),TRUE())))</f>
        <v/>
      </c>
      <c r="Z343" s="125" t="str">
        <f aca="false">IF(ISBLANK($C343),"",IF(ISNUMBER($G343),IF($G343&gt;=0,$G343,""),""))</f>
        <v/>
      </c>
      <c r="AA343" s="125" t="str">
        <f aca="false">IF(ISBLANK($C343),"",IF(ISNUMBER($H343),IF($H343&gt;=0,$H343,""),""))</f>
        <v/>
      </c>
      <c r="AB343" s="125" t="str">
        <f aca="false">IF(ISBLANK($C343),"",IF(ISNUMBER($I343),IF($I343&gt;=0,$I343,""),""))</f>
        <v/>
      </c>
      <c r="AC343" s="124" t="str">
        <f aca="false">IF(ISBLANK($C343),"",IF($J343=Constants!$B$2,TRUE(),IF($J343=Constants!$B$3,FALSE(),TRUE())))</f>
        <v/>
      </c>
      <c r="AD343" s="124" t="str">
        <f aca="false">IF(ISBLANK($C343),"",IF($K343=Constants!$B$2,TRUE(),IF($K343=Constants!$B$3,FALSE(),TRUE())))</f>
        <v/>
      </c>
      <c r="AE343" s="124" t="str">
        <f aca="false">IF(ISBLANK($C343),"",IF($L343=Constants!$B$2,TRUE(),IF($L343=Constants!$B$3,FALSE(),TRUE())))</f>
        <v/>
      </c>
      <c r="AF343" s="126" t="str">
        <f aca="false">IF(ISBLANK($C343),"",IF(ISNUMBER($M343),IF($M343&gt;=0,$M343,""),""))</f>
        <v/>
      </c>
      <c r="AG343" s="124" t="str">
        <f aca="false">IF(ISBLANK($C343),"",IF(ISBLANK($N343),0,IF(ISNUMBER($N343),IF(AND($N343&gt;=0,$N343&lt;=Constants!$B$17,$N343=INT($N343)),$N343,""),"")))</f>
        <v/>
      </c>
      <c r="AH343" s="125" t="str">
        <f aca="false">IF(ISBLANK($C343),"",IF(ISBLANK($O343),0,IF(ISNUMBER($O343),IF($O343&gt;=0,$O343,""),"")))</f>
        <v/>
      </c>
      <c r="AI343" s="124" t="str">
        <f aca="false">IF(ISBLANK($C343),"",IF($P343=Constants!$B$2,TRUE(),IF($P343=Constants!$B$3,FALSE(),TRUE())))</f>
        <v/>
      </c>
      <c r="AJ343" s="124" t="str">
        <f aca="false">IF(ISBLANK($C343),"",IF($Q343=Constants!$B$2,TRUE(),IF($Q343=Constants!$B$3,FALSE(),TRUE())))</f>
        <v/>
      </c>
      <c r="AK343" s="124" t="str">
        <f aca="false">IF(ISBLANK($C343),"",IF($R343=Constants!$B$2,TRUE(),IF($R343=Constants!$B$3,FALSE(),TRUE())))</f>
        <v/>
      </c>
      <c r="AL343" s="126" t="str">
        <f aca="false">IF(ISBLANK($C343),"",IF(ISNUMBER($S343),IF($S343&gt;=0,$S343,""),""))</f>
        <v/>
      </c>
      <c r="AM343" s="124" t="str">
        <f aca="false">IF(ISBLANK($C343),"",IF(ISBLANK($T343),0,IF(ISNUMBER($T343),IF(AND($T343&gt;=0,$T343&lt;=Constants!$B$17,$T343=INT($T343)),$T343,""),"")))</f>
        <v/>
      </c>
      <c r="AN343" s="125" t="str">
        <f aca="false">IF(ISBLANK($C343),"",IF(ISBLANK($U343),0,IF(ISNUMBER($U343),IF($U343&gt;=0,$U343,""),"")))</f>
        <v/>
      </c>
      <c r="AO343" s="124" t="str">
        <f aca="false">IF(ISBLANK($C343),"",IF($V343=Constants!$B$2,TRUE(),IF($V343=Constants!$B$3,FALSE(),FALSE())))</f>
        <v/>
      </c>
      <c r="AP343" s="124"/>
      <c r="AQ343" s="123" t="str">
        <f aca="false">IF(ISBLANK($C343),"",AND($Y343,OR($AS343,$BC343),OR($Z343="",$AA343="",$AB343="")))</f>
        <v/>
      </c>
      <c r="AR343" s="123" t="str">
        <f aca="false">IF(ISBLANK($C343),"",IF(OR(NOT($Y343),NOT(OR($AS343,$BC343))),"",IF(ISBLANK($D$7),$AR$5,IF($AP$9="",$AR$6,""))))</f>
        <v/>
      </c>
      <c r="AS343" s="123" t="str">
        <f aca="false">IF(ISBLANK($C343),"",COUNTA($J343:$O343)&gt;0)</f>
        <v/>
      </c>
      <c r="AT343" s="123" t="str">
        <f aca="false">IF(ISBLANK($C343),"",AND($AS343,OR(AND($AF343="",OR($AE343,NOT(ISBLANK($M343)))),$AG343="",$AH343="")))</f>
        <v/>
      </c>
      <c r="AU343" s="125" t="str">
        <f aca="false">IF($BL343&lt;&gt;Constants!$B$4,"",IF(NOT($AS343),"",ROUND((Constants!$B$12-$AB343)+(Constants!$B$13-$Z343)+(Constants!$B$14-$AA343),1)))</f>
        <v/>
      </c>
      <c r="AV343" s="127" t="str">
        <f aca="false">IF($BL343&lt;&gt;Constants!$B$4,"",IF(NOT($AS343),"",IF(NOT($AE343),0,Constants!$B$15*(INT(ROUND(MIN($AF343,$AP$9),6))-INT(ROUND(MAX(0,MIN($AF343,2*$AP$9)-$AP$9),6))))))</f>
        <v/>
      </c>
      <c r="AW343" s="127" t="str">
        <f aca="false">IF($BL343&lt;&gt;Constants!$B$4,"",IF(NOT($AS343),"",Constants!$B$16*$AG343))</f>
        <v/>
      </c>
      <c r="AX343" s="127" t="str">
        <f aca="false">IF($BL343&lt;&gt;Constants!$B$4,"",IF(NOT($AS343),"",Constants!$B$18*INT(ROUND($AH343,6))))</f>
        <v/>
      </c>
      <c r="AY343" s="123" t="str">
        <f aca="false">IF($BL343&lt;&gt;Constants!$B$4,"",IF(NOT($AS343),"",IF(NOT($X343),Constants!$B$11,IF(OR(NOT($AC343),NOT($AD343),ROUND($AB343,1)&gt;Constants!$B$12,ROUND($Z343,1)&gt;Constants!$B$13,ROUND($AA343,1)&gt;Constants!$B$14),Constants!$B$10,Constants!$B$9))))</f>
        <v/>
      </c>
      <c r="AZ343" s="128" t="str">
        <f aca="false">IF($BL343&lt;&gt;Constants!$B$4,"",IF(NOT($AS343),"",ROUND($AU343+$AV343+$AW343+$AX343,1)))</f>
        <v/>
      </c>
      <c r="BA343" s="129" t="str">
        <f aca="false">IF($BL343&lt;&gt;Constants!$B$4,"",IF(NOT($AS343),"",IF(ISNUMBER($AF343),$AF343,0)))</f>
        <v/>
      </c>
      <c r="BB343" s="124" t="str">
        <f aca="false">IF($BL343&lt;&gt;Constants!$B$4,"",IF(NOT($BC343),"&lt;-",IF(NOT($AS343),"-&gt;",IF(OR($BI343&lt;$AY343,AND($BI343=$AY343,OR($BJ343&gt;$AZ343,AND($BJ343=$AZ343,OR($BH343&gt;$AX343,AND($BH343=$AX343,OR($BE343&gt;$AU343,AND($BE343=$AU343,OR($BF343&gt;$AV343,AND($BF343=$AV343,$BK343&gt;$BA343)))))))))),"-&gt;","&lt;-"))))</f>
        <v/>
      </c>
      <c r="BC343" s="123" t="str">
        <f aca="false">IF(ISBLANK($C343),"",COUNTA($P343:$U343)&gt;0)</f>
        <v/>
      </c>
      <c r="BD343" s="123" t="str">
        <f aca="false">IF(ISBLANK($C343),"",AND($BC343,OR(AND($AL343="",OR($AK343,NOT(ISBLANK($S343)))),$AM343="",$AN343="")))</f>
        <v/>
      </c>
      <c r="BE343" s="125" t="str">
        <f aca="false">IF($BL343&lt;&gt;Constants!$B$4,"",IF(NOT($BC343),"",ROUND((Constants!$B$12-$AB343)+(Constants!$B$13-$Z343)+(Constants!$B$14-$AA343),1)))</f>
        <v/>
      </c>
      <c r="BF343" s="127" t="str">
        <f aca="false">IF($BL343&lt;&gt;Constants!$B$4,"",IF(NOT($BC343),"",IF(NOT($AK343),0,Constants!$B$15*(INT(ROUND(MIN($AL343,$AP$9),6))-INT(ROUND(MAX(0,MIN($AL343,2*$AP$9)-$AP$9),6))))))</f>
        <v/>
      </c>
      <c r="BG343" s="127" t="str">
        <f aca="false">IF($BL343&lt;&gt;Constants!$B$4,"",IF(NOT($BC343),"",Constants!$B$16*$AM343))</f>
        <v/>
      </c>
      <c r="BH343" s="127" t="str">
        <f aca="false">IF($BL343&lt;&gt;Constants!$B$4,"",IF(NOT($BC343),"",Constants!$B$18*INT(ROUND($AN343,6))))</f>
        <v/>
      </c>
      <c r="BI343" s="123" t="str">
        <f aca="false">IF($BL343&lt;&gt;Constants!$B$4,"",IF(NOT($BC343),"",IF(NOT($X343),Constants!$B$11,IF(OR(NOT($AI343),NOT($AJ343),ROUND($AB343,1)&gt;Constants!$B$12,ROUND($Z343,1)&gt;Constants!$B$13,ROUND($AA343,1)&gt;Constants!$B$14),Constants!$B$10,Constants!$B$9))))</f>
        <v/>
      </c>
      <c r="BJ343" s="128" t="str">
        <f aca="false">IF($BL343&lt;&gt;Constants!$B$4,"",IF(NOT($BC343),"",ROUND($BE343+$BF343+$BG343+$BH343,1)))</f>
        <v/>
      </c>
      <c r="BK343" s="129" t="str">
        <f aca="false">IF($BL343&lt;&gt;Constants!$B$4,"",IF(NOT($BC343),"",IF(ISNUMBER($AL343),$AL343,0)))</f>
        <v/>
      </c>
      <c r="BL343" s="124" t="str">
        <f aca="false">IF(ISBLANK($C343),"",IF($AO343,Constants!$B$7,IF(COUNTA($E343:$V343)=0,Constants!$B$6,IF(NOT($Y343),Constants!$B$5,IF(NOT(OR($AS343,$BC343)),Constants!$B$5,IF(OR($AT343,$BD343,$AQ343,$AR343&lt;&gt;""),Constants!$B$8,Constants!$B$4))))))</f>
        <v/>
      </c>
      <c r="BM343" s="124" t="str">
        <f aca="false">IF(ISBLANK($C343),"",IF($BL343&lt;&gt;Constants!$B$4,$BL343,IF($BB343="-&gt;",$BI343,$AY343)))</f>
        <v/>
      </c>
      <c r="BN343" s="127" t="str">
        <f aca="false">IF($BL343&lt;&gt;Constants!$B$4,"",IF($BB343="-&gt;",$BJ343,$AZ343))</f>
        <v/>
      </c>
      <c r="BO343" s="127" t="str">
        <f aca="false">IF(ISBLANK($C343),"",IF($BL343&lt;&gt;Constants!$B$4,$BL343,$BN343))</f>
        <v/>
      </c>
      <c r="BP343" s="124" t="str">
        <f aca="false">IF(ISBLANK($C343),"",IF($BL343&lt;&gt;Constants!$B$4,$BL343,RANK($BO343,$BO$9:$BO$508,0)))</f>
        <v/>
      </c>
      <c r="BQ343" s="124" t="str">
        <f aca="false">IF(ISBLANK($C343),"",IF($BL343&lt;&gt;Constants!$B$4,$BL343,COUNTIFS($BM$9:$BM$508,"&lt;"&amp;$BM343)+COUNTIFS($BM$9:$BM$508,$BM343,$BP$9:$BP$508,"&lt;"&amp;$BP343)+1))</f>
        <v/>
      </c>
      <c r="BR343" s="127" t="str">
        <f aca="false">IF($BL343&lt;&gt;Constants!$B$4,"",IF($BB343="-&gt;",$BH343,$AX343))</f>
        <v/>
      </c>
      <c r="BS343" s="124" t="str">
        <f aca="false">IF(ISBLANK($C343),"",IF($BL343&lt;&gt;Constants!$B$4,$BL343,IF(ISNUMBER($BR343),RANK($BR343,$BR$9:$BR$508,0),COUNT($BR$9:$BR$508)+1)))</f>
        <v/>
      </c>
      <c r="BT343" s="127" t="str">
        <f aca="false">IF($BL343&lt;&gt;Constants!$B$4,"",IF($BB343="-&gt;",$BE343,$AU343))</f>
        <v/>
      </c>
      <c r="BU343" s="124" t="str">
        <f aca="false">IF(ISBLANK($C343),"",IF($BL343&lt;&gt;Constants!$B$4,$BL343,IF(ISNUMBER($BT343),RANK($BT343,$BT$9:$BT$508,0),COUNT($BT$9:$BT$508)+1)))</f>
        <v/>
      </c>
      <c r="BV343" s="127" t="str">
        <f aca="false">IF($BL343&lt;&gt;Constants!$B$4,"",IF($BB343="-&gt;",$BF343,$AV343))</f>
        <v/>
      </c>
      <c r="BW343" s="124" t="str">
        <f aca="false">IF(ISBLANK($C343),"",IF($BL343&lt;&gt;Constants!$B$4,$BL343,IF(ISNUMBER($BV343),RANK($BV343,$BV$9:$BV$508,0),COUNT($BV$9:$BV$508)+1)))</f>
        <v/>
      </c>
      <c r="BX343" s="127" t="str">
        <f aca="false">IF($BL343&lt;&gt;Constants!$B$4,"",IF($BB343="-&gt;",$BK343,$BA343))</f>
        <v/>
      </c>
      <c r="BY343" s="124" t="str">
        <f aca="false">IF(ISBLANK($C343),"",IF($BL343&lt;&gt;Constants!$B$4,$BL343,IF(ISNUMBER($BX343),RANK($BX343,$BX$9:$BX$508,0),COUNT($BX$9:$BX$508)+1)))</f>
        <v/>
      </c>
      <c r="BZ343" s="124" t="str">
        <f aca="false">IF(ISBLANK($C343),"",IF($BL343&lt;&gt;Constants!$B$4,$BL343,COUNTIFS($BM$9:$BM$508,"&lt;"&amp;$BM343)+COUNTIFS($BM$9:$BM$508,$BM343,$BP$9:$BP$508,"&lt;"&amp;$BP343)+COUNTIFS($BM$9:$BM$508,$BM343,$BP$9:$BP$508,$BP343,$BS$9:$BS$508,"&lt;"&amp;$BS343)+COUNTIFS($BM$9:$BM$508,$BM343,$BP$9:$BP$508,$BP343,$BS$9:$BS$508,$BS343,$BU$9:$BU$508,"&lt;"&amp;$BU343)+COUNTIFS($BM$9:$BM$508,$BM343,$BP$9:$BP$508,$BP343,$BS$9:$BS$508,$BS343,$BU$9:$BU$508,$BU343,$BW$9:$BW$508,"&lt;"&amp;$BW343)+COUNTIFS($BM$9:$BM$508,$BM343,$BP$9:$BP$508,$BP343,$BS$9:$BS$508,$BS343,$BU$9:$BU$508,$BU343,$BW$9:$BW$508,$BW343,$BY$9:$BY$508,"&lt;"&amp;$BY343)+1))</f>
        <v/>
      </c>
      <c r="CA343" s="124" t="str">
        <f aca="false">IF(ISBLANK($C343),"",IF($BL343&lt;&gt;Constants!$B$4,$BL343,$BQ343-$BZ343))</f>
        <v/>
      </c>
      <c r="CB343" s="130"/>
      <c r="CC343" s="131" t="str">
        <f aca="false">IF(ISBLANK($C343),"",IF($BL343=Constants!$B$8,$AR343,""))</f>
        <v/>
      </c>
      <c r="CD343" s="131" t="str">
        <f aca="false">IF(ISBLANK($C343),"",IF($BL343&lt;&gt;Constants!$B$4,"",IF($BB343="-&gt;",2,1)))</f>
        <v/>
      </c>
      <c r="CE343" s="132" t="str">
        <f aca="false">IF(ISBLANK($C343),"",IF($BL343&lt;&gt;Constants!$B$4,"",IF($BB343="-&gt;",$BE343,$AU343)))</f>
        <v/>
      </c>
      <c r="CF343" s="132" t="str">
        <f aca="false">IF(ISBLANK($C343),"",IF($BL343&lt;&gt;Constants!$B$4,"",IF($BB343="-&gt;",$BF343,$AV343)))</f>
        <v/>
      </c>
      <c r="CG343" s="132" t="str">
        <f aca="false">IF(ISBLANK($C343),"",IF($BL343&lt;&gt;Constants!$B$4,"",IF($BB343="-&gt;",$BG343,$AW343)))</f>
        <v/>
      </c>
      <c r="CH343" s="132" t="str">
        <f aca="false">IF(ISBLANK($C343),"",IF($BL343&lt;&gt;Constants!$B$4,"",IF($BB343="-&gt;",$BH343,$AX343)))</f>
        <v/>
      </c>
      <c r="CI343" s="133" t="str">
        <f aca="false">IF(ISBLANK($C343),"",$BO343)</f>
        <v/>
      </c>
      <c r="CJ343" s="134" t="str">
        <f aca="false">IF(ISBLANK($C343),"",$BM343)</f>
        <v/>
      </c>
      <c r="CK343" s="135" t="str">
        <f aca="false">IF(ISBLANK($C343),"",$CA343)</f>
        <v/>
      </c>
      <c r="CL343" s="135" t="str">
        <f aca="false">IF(ISBLANK($C343),"",$BZ343)</f>
        <v/>
      </c>
      <c r="CM343" s="136" t="str">
        <f aca="false">IF(ISBLANK($C343),"",IF($CL343=Constants!$B$7,COUNTA($C$9:$C$508)+2,IF($CL343=Constants!$B$6,COUNTA($C$9:$C$508)+1,IF($CL343=Constants!$B$5,COUNTA($C$9:$C$508),$CL343))))</f>
        <v/>
      </c>
      <c r="CN343" s="8"/>
      <c r="CO343" s="137" t="n">
        <f aca="false">IF(OR(ISNUMBER($CL343),$CL343=Constants!$B$7,$CL343=Constants!$B$5,$CL343=Constants!$B$6),1,0)</f>
        <v>0</v>
      </c>
      <c r="CP343" s="137" t="n">
        <v>335</v>
      </c>
      <c r="CQ343" s="137" t="str">
        <f aca="false">IF(ISBLANK($C343),"",IF(ISNUMBER($CM343),$CM343+ROW($B343)/1000,""))</f>
        <v/>
      </c>
      <c r="CR343" s="137" t="str">
        <f aca="false">IF(ISNUMBER($CQ343),RANK($CQ343,$CQ$9:$CQ$508,1),"")</f>
        <v/>
      </c>
      <c r="CS343" s="137" t="str">
        <f aca="false">IF(ISBLANK($C343),"",$B343)</f>
        <v/>
      </c>
      <c r="CT343" s="137" t="str">
        <f aca="false">IF(ISBLANK($C343),"",$C343)</f>
        <v/>
      </c>
      <c r="CU343" s="137" t="str">
        <f aca="false">IF(ISBLANK($C343),"",$D343)</f>
        <v/>
      </c>
      <c r="CV343" s="138" t="str">
        <f aca="false">$CJ343</f>
        <v/>
      </c>
      <c r="CW343" s="139" t="str">
        <f aca="false">$CI343</f>
        <v/>
      </c>
      <c r="CX343" s="137" t="str">
        <f aca="false">IF(ISBLANK($C343),"",$CL343)</f>
        <v/>
      </c>
      <c r="CY343" s="140" t="str">
        <f aca="false">IF($CP343&gt;$CO$8,"",VLOOKUP($CP343,$CR$9:$CX$508,7,FALSE()))</f>
        <v/>
      </c>
      <c r="CZ343" s="141" t="str">
        <f aca="false">IF($CP343&gt;$CO$8,"",VLOOKUP($CP343,$CR$9:$CX$508,2,FALSE()))</f>
        <v/>
      </c>
      <c r="DA343" s="141" t="str">
        <f aca="false">IF($CP343&gt;$CO$8,"",VLOOKUP($CP343,$CR$9:$CX$508,3,FALSE()))</f>
        <v/>
      </c>
      <c r="DB343" s="141" t="str">
        <f aca="false">IF($CP343&gt;$CO$8,"",VLOOKUP($CP343,$CR$9:$CX$508,4,FALSE()))</f>
        <v/>
      </c>
      <c r="DC343" s="141" t="str">
        <f aca="false">IF($CP343&gt;$CO$8,"",VLOOKUP($CP343,$CR$9:$CX$508,5,FALSE()))</f>
        <v/>
      </c>
      <c r="DD343" s="142" t="str">
        <f aca="false">IF($CP343&gt;$CO$8,"",VLOOKUP($CP343,$CR$9:$CX$508,6,FALSE()))</f>
        <v/>
      </c>
      <c r="DE343" s="70"/>
    </row>
    <row r="344" customFormat="false" ht="15.75" hidden="false" customHeight="false" outlineLevel="0" collapsed="false">
      <c r="A344" s="8"/>
      <c r="B344" s="146"/>
      <c r="C344" s="147"/>
      <c r="D344" s="148"/>
      <c r="E344" s="164"/>
      <c r="F344" s="150"/>
      <c r="G344" s="115"/>
      <c r="H344" s="115"/>
      <c r="I344" s="115"/>
      <c r="J344" s="165"/>
      <c r="K344" s="154"/>
      <c r="L344" s="154"/>
      <c r="M344" s="118"/>
      <c r="N344" s="154"/>
      <c r="O344" s="153"/>
      <c r="P344" s="154"/>
      <c r="Q344" s="154"/>
      <c r="R344" s="154"/>
      <c r="S344" s="115"/>
      <c r="T344" s="154"/>
      <c r="U344" s="153"/>
      <c r="V344" s="154"/>
      <c r="W344" s="123"/>
      <c r="X344" s="124" t="str">
        <f aca="false">IF(ISBLANK($C344),"",IF($E344=Constants!$B$2,TRUE(),IF($E344=Constants!$B$3,FALSE(),TRUE())))</f>
        <v/>
      </c>
      <c r="Y344" s="124" t="str">
        <f aca="false">IF(ISBLANK($C344),"",IF($F344=Constants!$B$2,TRUE(),IF($F344=Constants!$B$3,FALSE(),TRUE())))</f>
        <v/>
      </c>
      <c r="Z344" s="125" t="str">
        <f aca="false">IF(ISBLANK($C344),"",IF(ISNUMBER($G344),IF($G344&gt;=0,$G344,""),""))</f>
        <v/>
      </c>
      <c r="AA344" s="125" t="str">
        <f aca="false">IF(ISBLANK($C344),"",IF(ISNUMBER($H344),IF($H344&gt;=0,$H344,""),""))</f>
        <v/>
      </c>
      <c r="AB344" s="125" t="str">
        <f aca="false">IF(ISBLANK($C344),"",IF(ISNUMBER($I344),IF($I344&gt;=0,$I344,""),""))</f>
        <v/>
      </c>
      <c r="AC344" s="124" t="str">
        <f aca="false">IF(ISBLANK($C344),"",IF($J344=Constants!$B$2,TRUE(),IF($J344=Constants!$B$3,FALSE(),TRUE())))</f>
        <v/>
      </c>
      <c r="AD344" s="124" t="str">
        <f aca="false">IF(ISBLANK($C344),"",IF($K344=Constants!$B$2,TRUE(),IF($K344=Constants!$B$3,FALSE(),TRUE())))</f>
        <v/>
      </c>
      <c r="AE344" s="124" t="str">
        <f aca="false">IF(ISBLANK($C344),"",IF($L344=Constants!$B$2,TRUE(),IF($L344=Constants!$B$3,FALSE(),TRUE())))</f>
        <v/>
      </c>
      <c r="AF344" s="126" t="str">
        <f aca="false">IF(ISBLANK($C344),"",IF(ISNUMBER($M344),IF($M344&gt;=0,$M344,""),""))</f>
        <v/>
      </c>
      <c r="AG344" s="124" t="str">
        <f aca="false">IF(ISBLANK($C344),"",IF(ISBLANK($N344),0,IF(ISNUMBER($N344),IF(AND($N344&gt;=0,$N344&lt;=Constants!$B$17,$N344=INT($N344)),$N344,""),"")))</f>
        <v/>
      </c>
      <c r="AH344" s="125" t="str">
        <f aca="false">IF(ISBLANK($C344),"",IF(ISBLANK($O344),0,IF(ISNUMBER($O344),IF($O344&gt;=0,$O344,""),"")))</f>
        <v/>
      </c>
      <c r="AI344" s="124" t="str">
        <f aca="false">IF(ISBLANK($C344),"",IF($P344=Constants!$B$2,TRUE(),IF($P344=Constants!$B$3,FALSE(),TRUE())))</f>
        <v/>
      </c>
      <c r="AJ344" s="124" t="str">
        <f aca="false">IF(ISBLANK($C344),"",IF($Q344=Constants!$B$2,TRUE(),IF($Q344=Constants!$B$3,FALSE(),TRUE())))</f>
        <v/>
      </c>
      <c r="AK344" s="124" t="str">
        <f aca="false">IF(ISBLANK($C344),"",IF($R344=Constants!$B$2,TRUE(),IF($R344=Constants!$B$3,FALSE(),TRUE())))</f>
        <v/>
      </c>
      <c r="AL344" s="126" t="str">
        <f aca="false">IF(ISBLANK($C344),"",IF(ISNUMBER($S344),IF($S344&gt;=0,$S344,""),""))</f>
        <v/>
      </c>
      <c r="AM344" s="124" t="str">
        <f aca="false">IF(ISBLANK($C344),"",IF(ISBLANK($T344),0,IF(ISNUMBER($T344),IF(AND($T344&gt;=0,$T344&lt;=Constants!$B$17,$T344=INT($T344)),$T344,""),"")))</f>
        <v/>
      </c>
      <c r="AN344" s="125" t="str">
        <f aca="false">IF(ISBLANK($C344),"",IF(ISBLANK($U344),0,IF(ISNUMBER($U344),IF($U344&gt;=0,$U344,""),"")))</f>
        <v/>
      </c>
      <c r="AO344" s="124" t="str">
        <f aca="false">IF(ISBLANK($C344),"",IF($V344=Constants!$B$2,TRUE(),IF($V344=Constants!$B$3,FALSE(),FALSE())))</f>
        <v/>
      </c>
      <c r="AP344" s="124"/>
      <c r="AQ344" s="123" t="str">
        <f aca="false">IF(ISBLANK($C344),"",AND($Y344,OR($AS344,$BC344),OR($Z344="",$AA344="",$AB344="")))</f>
        <v/>
      </c>
      <c r="AR344" s="123" t="str">
        <f aca="false">IF(ISBLANK($C344),"",IF(OR(NOT($Y344),NOT(OR($AS344,$BC344))),"",IF(ISBLANK($D$7),$AR$5,IF($AP$9="",$AR$6,""))))</f>
        <v/>
      </c>
      <c r="AS344" s="123" t="str">
        <f aca="false">IF(ISBLANK($C344),"",COUNTA($J344:$O344)&gt;0)</f>
        <v/>
      </c>
      <c r="AT344" s="123" t="str">
        <f aca="false">IF(ISBLANK($C344),"",AND($AS344,OR(AND($AF344="",OR($AE344,NOT(ISBLANK($M344)))),$AG344="",$AH344="")))</f>
        <v/>
      </c>
      <c r="AU344" s="125" t="str">
        <f aca="false">IF($BL344&lt;&gt;Constants!$B$4,"",IF(NOT($AS344),"",ROUND((Constants!$B$12-$AB344)+(Constants!$B$13-$Z344)+(Constants!$B$14-$AA344),1)))</f>
        <v/>
      </c>
      <c r="AV344" s="127" t="str">
        <f aca="false">IF($BL344&lt;&gt;Constants!$B$4,"",IF(NOT($AS344),"",IF(NOT($AE344),0,Constants!$B$15*(INT(ROUND(MIN($AF344,$AP$9),6))-INT(ROUND(MAX(0,MIN($AF344,2*$AP$9)-$AP$9),6))))))</f>
        <v/>
      </c>
      <c r="AW344" s="127" t="str">
        <f aca="false">IF($BL344&lt;&gt;Constants!$B$4,"",IF(NOT($AS344),"",Constants!$B$16*$AG344))</f>
        <v/>
      </c>
      <c r="AX344" s="127" t="str">
        <f aca="false">IF($BL344&lt;&gt;Constants!$B$4,"",IF(NOT($AS344),"",Constants!$B$18*INT(ROUND($AH344,6))))</f>
        <v/>
      </c>
      <c r="AY344" s="123" t="str">
        <f aca="false">IF($BL344&lt;&gt;Constants!$B$4,"",IF(NOT($AS344),"",IF(NOT($X344),Constants!$B$11,IF(OR(NOT($AC344),NOT($AD344),ROUND($AB344,1)&gt;Constants!$B$12,ROUND($Z344,1)&gt;Constants!$B$13,ROUND($AA344,1)&gt;Constants!$B$14),Constants!$B$10,Constants!$B$9))))</f>
        <v/>
      </c>
      <c r="AZ344" s="128" t="str">
        <f aca="false">IF($BL344&lt;&gt;Constants!$B$4,"",IF(NOT($AS344),"",ROUND($AU344+$AV344+$AW344+$AX344,1)))</f>
        <v/>
      </c>
      <c r="BA344" s="129" t="str">
        <f aca="false">IF($BL344&lt;&gt;Constants!$B$4,"",IF(NOT($AS344),"",IF(ISNUMBER($AF344),$AF344,0)))</f>
        <v/>
      </c>
      <c r="BB344" s="124" t="str">
        <f aca="false">IF($BL344&lt;&gt;Constants!$B$4,"",IF(NOT($BC344),"&lt;-",IF(NOT($AS344),"-&gt;",IF(OR($BI344&lt;$AY344,AND($BI344=$AY344,OR($BJ344&gt;$AZ344,AND($BJ344=$AZ344,OR($BH344&gt;$AX344,AND($BH344=$AX344,OR($BE344&gt;$AU344,AND($BE344=$AU344,OR($BF344&gt;$AV344,AND($BF344=$AV344,$BK344&gt;$BA344)))))))))),"-&gt;","&lt;-"))))</f>
        <v/>
      </c>
      <c r="BC344" s="123" t="str">
        <f aca="false">IF(ISBLANK($C344),"",COUNTA($P344:$U344)&gt;0)</f>
        <v/>
      </c>
      <c r="BD344" s="123" t="str">
        <f aca="false">IF(ISBLANK($C344),"",AND($BC344,OR(AND($AL344="",OR($AK344,NOT(ISBLANK($S344)))),$AM344="",$AN344="")))</f>
        <v/>
      </c>
      <c r="BE344" s="125" t="str">
        <f aca="false">IF($BL344&lt;&gt;Constants!$B$4,"",IF(NOT($BC344),"",ROUND((Constants!$B$12-$AB344)+(Constants!$B$13-$Z344)+(Constants!$B$14-$AA344),1)))</f>
        <v/>
      </c>
      <c r="BF344" s="127" t="str">
        <f aca="false">IF($BL344&lt;&gt;Constants!$B$4,"",IF(NOT($BC344),"",IF(NOT($AK344),0,Constants!$B$15*(INT(ROUND(MIN($AL344,$AP$9),6))-INT(ROUND(MAX(0,MIN($AL344,2*$AP$9)-$AP$9),6))))))</f>
        <v/>
      </c>
      <c r="BG344" s="127" t="str">
        <f aca="false">IF($BL344&lt;&gt;Constants!$B$4,"",IF(NOT($BC344),"",Constants!$B$16*$AM344))</f>
        <v/>
      </c>
      <c r="BH344" s="127" t="str">
        <f aca="false">IF($BL344&lt;&gt;Constants!$B$4,"",IF(NOT($BC344),"",Constants!$B$18*INT(ROUND($AN344,6))))</f>
        <v/>
      </c>
      <c r="BI344" s="123" t="str">
        <f aca="false">IF($BL344&lt;&gt;Constants!$B$4,"",IF(NOT($BC344),"",IF(NOT($X344),Constants!$B$11,IF(OR(NOT($AI344),NOT($AJ344),ROUND($AB344,1)&gt;Constants!$B$12,ROUND($Z344,1)&gt;Constants!$B$13,ROUND($AA344,1)&gt;Constants!$B$14),Constants!$B$10,Constants!$B$9))))</f>
        <v/>
      </c>
      <c r="BJ344" s="128" t="str">
        <f aca="false">IF($BL344&lt;&gt;Constants!$B$4,"",IF(NOT($BC344),"",ROUND($BE344+$BF344+$BG344+$BH344,1)))</f>
        <v/>
      </c>
      <c r="BK344" s="129" t="str">
        <f aca="false">IF($BL344&lt;&gt;Constants!$B$4,"",IF(NOT($BC344),"",IF(ISNUMBER($AL344),$AL344,0)))</f>
        <v/>
      </c>
      <c r="BL344" s="124" t="str">
        <f aca="false">IF(ISBLANK($C344),"",IF($AO344,Constants!$B$7,IF(COUNTA($E344:$V344)=0,Constants!$B$6,IF(NOT($Y344),Constants!$B$5,IF(NOT(OR($AS344,$BC344)),Constants!$B$5,IF(OR($AT344,$BD344,$AQ344,$AR344&lt;&gt;""),Constants!$B$8,Constants!$B$4))))))</f>
        <v/>
      </c>
      <c r="BM344" s="124" t="str">
        <f aca="false">IF(ISBLANK($C344),"",IF($BL344&lt;&gt;Constants!$B$4,$BL344,IF($BB344="-&gt;",$BI344,$AY344)))</f>
        <v/>
      </c>
      <c r="BN344" s="127" t="str">
        <f aca="false">IF($BL344&lt;&gt;Constants!$B$4,"",IF($BB344="-&gt;",$BJ344,$AZ344))</f>
        <v/>
      </c>
      <c r="BO344" s="127" t="str">
        <f aca="false">IF(ISBLANK($C344),"",IF($BL344&lt;&gt;Constants!$B$4,$BL344,$BN344))</f>
        <v/>
      </c>
      <c r="BP344" s="124" t="str">
        <f aca="false">IF(ISBLANK($C344),"",IF($BL344&lt;&gt;Constants!$B$4,$BL344,RANK($BO344,$BO$9:$BO$508,0)))</f>
        <v/>
      </c>
      <c r="BQ344" s="124" t="str">
        <f aca="false">IF(ISBLANK($C344),"",IF($BL344&lt;&gt;Constants!$B$4,$BL344,COUNTIFS($BM$9:$BM$508,"&lt;"&amp;$BM344)+COUNTIFS($BM$9:$BM$508,$BM344,$BP$9:$BP$508,"&lt;"&amp;$BP344)+1))</f>
        <v/>
      </c>
      <c r="BR344" s="127" t="str">
        <f aca="false">IF($BL344&lt;&gt;Constants!$B$4,"",IF($BB344="-&gt;",$BH344,$AX344))</f>
        <v/>
      </c>
      <c r="BS344" s="124" t="str">
        <f aca="false">IF(ISBLANK($C344),"",IF($BL344&lt;&gt;Constants!$B$4,$BL344,IF(ISNUMBER($BR344),RANK($BR344,$BR$9:$BR$508,0),COUNT($BR$9:$BR$508)+1)))</f>
        <v/>
      </c>
      <c r="BT344" s="127" t="str">
        <f aca="false">IF($BL344&lt;&gt;Constants!$B$4,"",IF($BB344="-&gt;",$BE344,$AU344))</f>
        <v/>
      </c>
      <c r="BU344" s="124" t="str">
        <f aca="false">IF(ISBLANK($C344),"",IF($BL344&lt;&gt;Constants!$B$4,$BL344,IF(ISNUMBER($BT344),RANK($BT344,$BT$9:$BT$508,0),COUNT($BT$9:$BT$508)+1)))</f>
        <v/>
      </c>
      <c r="BV344" s="127" t="str">
        <f aca="false">IF($BL344&lt;&gt;Constants!$B$4,"",IF($BB344="-&gt;",$BF344,$AV344))</f>
        <v/>
      </c>
      <c r="BW344" s="124" t="str">
        <f aca="false">IF(ISBLANK($C344),"",IF($BL344&lt;&gt;Constants!$B$4,$BL344,IF(ISNUMBER($BV344),RANK($BV344,$BV$9:$BV$508,0),COUNT($BV$9:$BV$508)+1)))</f>
        <v/>
      </c>
      <c r="BX344" s="127" t="str">
        <f aca="false">IF($BL344&lt;&gt;Constants!$B$4,"",IF($BB344="-&gt;",$BK344,$BA344))</f>
        <v/>
      </c>
      <c r="BY344" s="124" t="str">
        <f aca="false">IF(ISBLANK($C344),"",IF($BL344&lt;&gt;Constants!$B$4,$BL344,IF(ISNUMBER($BX344),RANK($BX344,$BX$9:$BX$508,0),COUNT($BX$9:$BX$508)+1)))</f>
        <v/>
      </c>
      <c r="BZ344" s="124" t="str">
        <f aca="false">IF(ISBLANK($C344),"",IF($BL344&lt;&gt;Constants!$B$4,$BL344,COUNTIFS($BM$9:$BM$508,"&lt;"&amp;$BM344)+COUNTIFS($BM$9:$BM$508,$BM344,$BP$9:$BP$508,"&lt;"&amp;$BP344)+COUNTIFS($BM$9:$BM$508,$BM344,$BP$9:$BP$508,$BP344,$BS$9:$BS$508,"&lt;"&amp;$BS344)+COUNTIFS($BM$9:$BM$508,$BM344,$BP$9:$BP$508,$BP344,$BS$9:$BS$508,$BS344,$BU$9:$BU$508,"&lt;"&amp;$BU344)+COUNTIFS($BM$9:$BM$508,$BM344,$BP$9:$BP$508,$BP344,$BS$9:$BS$508,$BS344,$BU$9:$BU$508,$BU344,$BW$9:$BW$508,"&lt;"&amp;$BW344)+COUNTIFS($BM$9:$BM$508,$BM344,$BP$9:$BP$508,$BP344,$BS$9:$BS$508,$BS344,$BU$9:$BU$508,$BU344,$BW$9:$BW$508,$BW344,$BY$9:$BY$508,"&lt;"&amp;$BY344)+1))</f>
        <v/>
      </c>
      <c r="CA344" s="124" t="str">
        <f aca="false">IF(ISBLANK($C344),"",IF($BL344&lt;&gt;Constants!$B$4,$BL344,$BQ344-$BZ344))</f>
        <v/>
      </c>
      <c r="CB344" s="130"/>
      <c r="CC344" s="131" t="str">
        <f aca="false">IF(ISBLANK($C344),"",IF($BL344=Constants!$B$8,$AR344,""))</f>
        <v/>
      </c>
      <c r="CD344" s="131" t="str">
        <f aca="false">IF(ISBLANK($C344),"",IF($BL344&lt;&gt;Constants!$B$4,"",IF($BB344="-&gt;",2,1)))</f>
        <v/>
      </c>
      <c r="CE344" s="132" t="str">
        <f aca="false">IF(ISBLANK($C344),"",IF($BL344&lt;&gt;Constants!$B$4,"",IF($BB344="-&gt;",$BE344,$AU344)))</f>
        <v/>
      </c>
      <c r="CF344" s="132" t="str">
        <f aca="false">IF(ISBLANK($C344),"",IF($BL344&lt;&gt;Constants!$B$4,"",IF($BB344="-&gt;",$BF344,$AV344)))</f>
        <v/>
      </c>
      <c r="CG344" s="132" t="str">
        <f aca="false">IF(ISBLANK($C344),"",IF($BL344&lt;&gt;Constants!$B$4,"",IF($BB344="-&gt;",$BG344,$AW344)))</f>
        <v/>
      </c>
      <c r="CH344" s="132" t="str">
        <f aca="false">IF(ISBLANK($C344),"",IF($BL344&lt;&gt;Constants!$B$4,"",IF($BB344="-&gt;",$BH344,$AX344)))</f>
        <v/>
      </c>
      <c r="CI344" s="133" t="str">
        <f aca="false">IF(ISBLANK($C344),"",$BO344)</f>
        <v/>
      </c>
      <c r="CJ344" s="134" t="str">
        <f aca="false">IF(ISBLANK($C344),"",$BM344)</f>
        <v/>
      </c>
      <c r="CK344" s="135" t="str">
        <f aca="false">IF(ISBLANK($C344),"",$CA344)</f>
        <v/>
      </c>
      <c r="CL344" s="135" t="str">
        <f aca="false">IF(ISBLANK($C344),"",$BZ344)</f>
        <v/>
      </c>
      <c r="CM344" s="136" t="str">
        <f aca="false">IF(ISBLANK($C344),"",IF($CL344=Constants!$B$7,COUNTA($C$9:$C$508)+2,IF($CL344=Constants!$B$6,COUNTA($C$9:$C$508)+1,IF($CL344=Constants!$B$5,COUNTA($C$9:$C$508),$CL344))))</f>
        <v/>
      </c>
      <c r="CN344" s="8"/>
      <c r="CO344" s="137" t="n">
        <f aca="false">IF(OR(ISNUMBER($CL344),$CL344=Constants!$B$7,$CL344=Constants!$B$5,$CL344=Constants!$B$6),1,0)</f>
        <v>0</v>
      </c>
      <c r="CP344" s="137" t="n">
        <v>336</v>
      </c>
      <c r="CQ344" s="137" t="str">
        <f aca="false">IF(ISBLANK($C344),"",IF(ISNUMBER($CM344),$CM344+ROW($B344)/1000,""))</f>
        <v/>
      </c>
      <c r="CR344" s="137" t="str">
        <f aca="false">IF(ISNUMBER($CQ344),RANK($CQ344,$CQ$9:$CQ$508,1),"")</f>
        <v/>
      </c>
      <c r="CS344" s="137" t="str">
        <f aca="false">IF(ISBLANK($C344),"",$B344)</f>
        <v/>
      </c>
      <c r="CT344" s="137" t="str">
        <f aca="false">IF(ISBLANK($C344),"",$C344)</f>
        <v/>
      </c>
      <c r="CU344" s="137" t="str">
        <f aca="false">IF(ISBLANK($C344),"",$D344)</f>
        <v/>
      </c>
      <c r="CV344" s="138" t="str">
        <f aca="false">$CJ344</f>
        <v/>
      </c>
      <c r="CW344" s="139" t="str">
        <f aca="false">$CI344</f>
        <v/>
      </c>
      <c r="CX344" s="137" t="str">
        <f aca="false">IF(ISBLANK($C344),"",$CL344)</f>
        <v/>
      </c>
      <c r="CY344" s="140" t="str">
        <f aca="false">IF($CP344&gt;$CO$8,"",VLOOKUP($CP344,$CR$9:$CX$508,7,FALSE()))</f>
        <v/>
      </c>
      <c r="CZ344" s="141" t="str">
        <f aca="false">IF($CP344&gt;$CO$8,"",VLOOKUP($CP344,$CR$9:$CX$508,2,FALSE()))</f>
        <v/>
      </c>
      <c r="DA344" s="141" t="str">
        <f aca="false">IF($CP344&gt;$CO$8,"",VLOOKUP($CP344,$CR$9:$CX$508,3,FALSE()))</f>
        <v/>
      </c>
      <c r="DB344" s="141" t="str">
        <f aca="false">IF($CP344&gt;$CO$8,"",VLOOKUP($CP344,$CR$9:$CX$508,4,FALSE()))</f>
        <v/>
      </c>
      <c r="DC344" s="141" t="str">
        <f aca="false">IF($CP344&gt;$CO$8,"",VLOOKUP($CP344,$CR$9:$CX$508,5,FALSE()))</f>
        <v/>
      </c>
      <c r="DD344" s="142" t="str">
        <f aca="false">IF($CP344&gt;$CO$8,"",VLOOKUP($CP344,$CR$9:$CX$508,6,FALSE()))</f>
        <v/>
      </c>
      <c r="DE344" s="70"/>
    </row>
    <row r="345" customFormat="false" ht="15.75" hidden="false" customHeight="false" outlineLevel="0" collapsed="false">
      <c r="A345" s="8"/>
      <c r="B345" s="72"/>
      <c r="C345" s="73"/>
      <c r="D345" s="155"/>
      <c r="E345" s="162"/>
      <c r="F345" s="157"/>
      <c r="G345" s="77"/>
      <c r="H345" s="77"/>
      <c r="I345" s="77"/>
      <c r="J345" s="163"/>
      <c r="K345" s="161"/>
      <c r="L345" s="161"/>
      <c r="M345" s="80"/>
      <c r="N345" s="161"/>
      <c r="O345" s="160"/>
      <c r="P345" s="161"/>
      <c r="Q345" s="161"/>
      <c r="R345" s="161"/>
      <c r="S345" s="77"/>
      <c r="T345" s="161"/>
      <c r="U345" s="160"/>
      <c r="V345" s="161"/>
      <c r="W345" s="85"/>
      <c r="X345" s="86" t="str">
        <f aca="false">IF(ISBLANK($C345),"",IF($E345=Constants!$B$2,TRUE(),IF($E345=Constants!$B$3,FALSE(),TRUE())))</f>
        <v/>
      </c>
      <c r="Y345" s="86" t="str">
        <f aca="false">IF(ISBLANK($C345),"",IF($F345=Constants!$B$2,TRUE(),IF($F345=Constants!$B$3,FALSE(),TRUE())))</f>
        <v/>
      </c>
      <c r="Z345" s="87" t="str">
        <f aca="false">IF(ISBLANK($C345),"",IF(ISNUMBER($G345),IF($G345&gt;=0,$G345,""),""))</f>
        <v/>
      </c>
      <c r="AA345" s="87" t="str">
        <f aca="false">IF(ISBLANK($C345),"",IF(ISNUMBER($H345),IF($H345&gt;=0,$H345,""),""))</f>
        <v/>
      </c>
      <c r="AB345" s="87" t="str">
        <f aca="false">IF(ISBLANK($C345),"",IF(ISNUMBER($I345),IF($I345&gt;=0,$I345,""),""))</f>
        <v/>
      </c>
      <c r="AC345" s="86" t="str">
        <f aca="false">IF(ISBLANK($C345),"",IF($J345=Constants!$B$2,TRUE(),IF($J345=Constants!$B$3,FALSE(),TRUE())))</f>
        <v/>
      </c>
      <c r="AD345" s="86" t="str">
        <f aca="false">IF(ISBLANK($C345),"",IF($K345=Constants!$B$2,TRUE(),IF($K345=Constants!$B$3,FALSE(),TRUE())))</f>
        <v/>
      </c>
      <c r="AE345" s="86" t="str">
        <f aca="false">IF(ISBLANK($C345),"",IF($L345=Constants!$B$2,TRUE(),IF($L345=Constants!$B$3,FALSE(),TRUE())))</f>
        <v/>
      </c>
      <c r="AF345" s="88" t="str">
        <f aca="false">IF(ISBLANK($C345),"",IF(ISNUMBER($M345),IF($M345&gt;=0,$M345,""),""))</f>
        <v/>
      </c>
      <c r="AG345" s="86" t="str">
        <f aca="false">IF(ISBLANK($C345),"",IF(ISBLANK($N345),0,IF(ISNUMBER($N345),IF(AND($N345&gt;=0,$N345&lt;=Constants!$B$17,$N345=INT($N345)),$N345,""),"")))</f>
        <v/>
      </c>
      <c r="AH345" s="87" t="str">
        <f aca="false">IF(ISBLANK($C345),"",IF(ISBLANK($O345),0,IF(ISNUMBER($O345),IF($O345&gt;=0,$O345,""),"")))</f>
        <v/>
      </c>
      <c r="AI345" s="86" t="str">
        <f aca="false">IF(ISBLANK($C345),"",IF($P345=Constants!$B$2,TRUE(),IF($P345=Constants!$B$3,FALSE(),TRUE())))</f>
        <v/>
      </c>
      <c r="AJ345" s="86" t="str">
        <f aca="false">IF(ISBLANK($C345),"",IF($Q345=Constants!$B$2,TRUE(),IF($Q345=Constants!$B$3,FALSE(),TRUE())))</f>
        <v/>
      </c>
      <c r="AK345" s="86" t="str">
        <f aca="false">IF(ISBLANK($C345),"",IF($R345=Constants!$B$2,TRUE(),IF($R345=Constants!$B$3,FALSE(),TRUE())))</f>
        <v/>
      </c>
      <c r="AL345" s="88" t="str">
        <f aca="false">IF(ISBLANK($C345),"",IF(ISNUMBER($S345),IF($S345&gt;=0,$S345,""),""))</f>
        <v/>
      </c>
      <c r="AM345" s="86" t="str">
        <f aca="false">IF(ISBLANK($C345),"",IF(ISBLANK($T345),0,IF(ISNUMBER($T345),IF(AND($T345&gt;=0,$T345&lt;=Constants!$B$17,$T345=INT($T345)),$T345,""),"")))</f>
        <v/>
      </c>
      <c r="AN345" s="87" t="str">
        <f aca="false">IF(ISBLANK($C345),"",IF(ISBLANK($U345),0,IF(ISNUMBER($U345),IF($U345&gt;=0,$U345,""),"")))</f>
        <v/>
      </c>
      <c r="AO345" s="86" t="str">
        <f aca="false">IF(ISBLANK($C345),"",IF($V345=Constants!$B$2,TRUE(),IF($V345=Constants!$B$3,FALSE(),FALSE())))</f>
        <v/>
      </c>
      <c r="AP345" s="86"/>
      <c r="AQ345" s="85" t="str">
        <f aca="false">IF(ISBLANK($C345),"",AND($Y345,OR($AS345,$BC345),OR($Z345="",$AA345="",$AB345="")))</f>
        <v/>
      </c>
      <c r="AR345" s="85" t="str">
        <f aca="false">IF(ISBLANK($C345),"",IF(OR(NOT($Y345),NOT(OR($AS345,$BC345))),"",IF(ISBLANK($D$7),$AR$5,IF($AP$9="",$AR$6,""))))</f>
        <v/>
      </c>
      <c r="AS345" s="85" t="str">
        <f aca="false">IF(ISBLANK($C345),"",COUNTA($J345:$O345)&gt;0)</f>
        <v/>
      </c>
      <c r="AT345" s="85" t="str">
        <f aca="false">IF(ISBLANK($C345),"",AND($AS345,OR(AND($AF345="",OR($AE345,NOT(ISBLANK($M345)))),$AG345="",$AH345="")))</f>
        <v/>
      </c>
      <c r="AU345" s="87" t="str">
        <f aca="false">IF($BL345&lt;&gt;Constants!$B$4,"",IF(NOT($AS345),"",ROUND((Constants!$B$12-$AB345)+(Constants!$B$13-$Z345)+(Constants!$B$14-$AA345),1)))</f>
        <v/>
      </c>
      <c r="AV345" s="90" t="str">
        <f aca="false">IF($BL345&lt;&gt;Constants!$B$4,"",IF(NOT($AS345),"",IF(NOT($AE345),0,Constants!$B$15*(INT(ROUND(MIN($AF345,$AP$9),6))-INT(ROUND(MAX(0,MIN($AF345,2*$AP$9)-$AP$9),6))))))</f>
        <v/>
      </c>
      <c r="AW345" s="90" t="str">
        <f aca="false">IF($BL345&lt;&gt;Constants!$B$4,"",IF(NOT($AS345),"",Constants!$B$16*$AG345))</f>
        <v/>
      </c>
      <c r="AX345" s="90" t="str">
        <f aca="false">IF($BL345&lt;&gt;Constants!$B$4,"",IF(NOT($AS345),"",Constants!$B$18*INT(ROUND($AH345,6))))</f>
        <v/>
      </c>
      <c r="AY345" s="85" t="str">
        <f aca="false">IF($BL345&lt;&gt;Constants!$B$4,"",IF(NOT($AS345),"",IF(NOT($X345),Constants!$B$11,IF(OR(NOT($AC345),NOT($AD345),ROUND($AB345,1)&gt;Constants!$B$12,ROUND($Z345,1)&gt;Constants!$B$13,ROUND($AA345,1)&gt;Constants!$B$14),Constants!$B$10,Constants!$B$9))))</f>
        <v/>
      </c>
      <c r="AZ345" s="91" t="str">
        <f aca="false">IF($BL345&lt;&gt;Constants!$B$4,"",IF(NOT($AS345),"",ROUND($AU345+$AV345+$AW345+$AX345,1)))</f>
        <v/>
      </c>
      <c r="BA345" s="92" t="str">
        <f aca="false">IF($BL345&lt;&gt;Constants!$B$4,"",IF(NOT($AS345),"",IF(ISNUMBER($AF345),$AF345,0)))</f>
        <v/>
      </c>
      <c r="BB345" s="86" t="str">
        <f aca="false">IF($BL345&lt;&gt;Constants!$B$4,"",IF(NOT($BC345),"&lt;-",IF(NOT($AS345),"-&gt;",IF(OR($BI345&lt;$AY345,AND($BI345=$AY345,OR($BJ345&gt;$AZ345,AND($BJ345=$AZ345,OR($BH345&gt;$AX345,AND($BH345=$AX345,OR($BE345&gt;$AU345,AND($BE345=$AU345,OR($BF345&gt;$AV345,AND($BF345=$AV345,$BK345&gt;$BA345)))))))))),"-&gt;","&lt;-"))))</f>
        <v/>
      </c>
      <c r="BC345" s="85" t="str">
        <f aca="false">IF(ISBLANK($C345),"",COUNTA($P345:$U345)&gt;0)</f>
        <v/>
      </c>
      <c r="BD345" s="85" t="str">
        <f aca="false">IF(ISBLANK($C345),"",AND($BC345,OR(AND($AL345="",OR($AK345,NOT(ISBLANK($S345)))),$AM345="",$AN345="")))</f>
        <v/>
      </c>
      <c r="BE345" s="87" t="str">
        <f aca="false">IF($BL345&lt;&gt;Constants!$B$4,"",IF(NOT($BC345),"",ROUND((Constants!$B$12-$AB345)+(Constants!$B$13-$Z345)+(Constants!$B$14-$AA345),1)))</f>
        <v/>
      </c>
      <c r="BF345" s="90" t="str">
        <f aca="false">IF($BL345&lt;&gt;Constants!$B$4,"",IF(NOT($BC345),"",IF(NOT($AK345),0,Constants!$B$15*(INT(ROUND(MIN($AL345,$AP$9),6))-INT(ROUND(MAX(0,MIN($AL345,2*$AP$9)-$AP$9),6))))))</f>
        <v/>
      </c>
      <c r="BG345" s="90" t="str">
        <f aca="false">IF($BL345&lt;&gt;Constants!$B$4,"",IF(NOT($BC345),"",Constants!$B$16*$AM345))</f>
        <v/>
      </c>
      <c r="BH345" s="90" t="str">
        <f aca="false">IF($BL345&lt;&gt;Constants!$B$4,"",IF(NOT($BC345),"",Constants!$B$18*INT(ROUND($AN345,6))))</f>
        <v/>
      </c>
      <c r="BI345" s="85" t="str">
        <f aca="false">IF($BL345&lt;&gt;Constants!$B$4,"",IF(NOT($BC345),"",IF(NOT($X345),Constants!$B$11,IF(OR(NOT($AI345),NOT($AJ345),ROUND($AB345,1)&gt;Constants!$B$12,ROUND($Z345,1)&gt;Constants!$B$13,ROUND($AA345,1)&gt;Constants!$B$14),Constants!$B$10,Constants!$B$9))))</f>
        <v/>
      </c>
      <c r="BJ345" s="91" t="str">
        <f aca="false">IF($BL345&lt;&gt;Constants!$B$4,"",IF(NOT($BC345),"",ROUND($BE345+$BF345+$BG345+$BH345,1)))</f>
        <v/>
      </c>
      <c r="BK345" s="92" t="str">
        <f aca="false">IF($BL345&lt;&gt;Constants!$B$4,"",IF(NOT($BC345),"",IF(ISNUMBER($AL345),$AL345,0)))</f>
        <v/>
      </c>
      <c r="BL345" s="86" t="str">
        <f aca="false">IF(ISBLANK($C345),"",IF($AO345,Constants!$B$7,IF(COUNTA($E345:$V345)=0,Constants!$B$6,IF(NOT($Y345),Constants!$B$5,IF(NOT(OR($AS345,$BC345)),Constants!$B$5,IF(OR($AT345,$BD345,$AQ345,$AR345&lt;&gt;""),Constants!$B$8,Constants!$B$4))))))</f>
        <v/>
      </c>
      <c r="BM345" s="86" t="str">
        <f aca="false">IF(ISBLANK($C345),"",IF($BL345&lt;&gt;Constants!$B$4,$BL345,IF($BB345="-&gt;",$BI345,$AY345)))</f>
        <v/>
      </c>
      <c r="BN345" s="90" t="str">
        <f aca="false">IF($BL345&lt;&gt;Constants!$B$4,"",IF($BB345="-&gt;",$BJ345,$AZ345))</f>
        <v/>
      </c>
      <c r="BO345" s="90" t="str">
        <f aca="false">IF(ISBLANK($C345),"",IF($BL345&lt;&gt;Constants!$B$4,$BL345,$BN345))</f>
        <v/>
      </c>
      <c r="BP345" s="86" t="str">
        <f aca="false">IF(ISBLANK($C345),"",IF($BL345&lt;&gt;Constants!$B$4,$BL345,RANK($BO345,$BO$9:$BO$508,0)))</f>
        <v/>
      </c>
      <c r="BQ345" s="86" t="str">
        <f aca="false">IF(ISBLANK($C345),"",IF($BL345&lt;&gt;Constants!$B$4,$BL345,COUNTIFS($BM$9:$BM$508,"&lt;"&amp;$BM345)+COUNTIFS($BM$9:$BM$508,$BM345,$BP$9:$BP$508,"&lt;"&amp;$BP345)+1))</f>
        <v/>
      </c>
      <c r="BR345" s="90" t="str">
        <f aca="false">IF($BL345&lt;&gt;Constants!$B$4,"",IF($BB345="-&gt;",$BH345,$AX345))</f>
        <v/>
      </c>
      <c r="BS345" s="86" t="str">
        <f aca="false">IF(ISBLANK($C345),"",IF($BL345&lt;&gt;Constants!$B$4,$BL345,IF(ISNUMBER($BR345),RANK($BR345,$BR$9:$BR$508,0),COUNT($BR$9:$BR$508)+1)))</f>
        <v/>
      </c>
      <c r="BT345" s="90" t="str">
        <f aca="false">IF($BL345&lt;&gt;Constants!$B$4,"",IF($BB345="-&gt;",$BE345,$AU345))</f>
        <v/>
      </c>
      <c r="BU345" s="86" t="str">
        <f aca="false">IF(ISBLANK($C345),"",IF($BL345&lt;&gt;Constants!$B$4,$BL345,IF(ISNUMBER($BT345),RANK($BT345,$BT$9:$BT$508,0),COUNT($BT$9:$BT$508)+1)))</f>
        <v/>
      </c>
      <c r="BV345" s="90" t="str">
        <f aca="false">IF($BL345&lt;&gt;Constants!$B$4,"",IF($BB345="-&gt;",$BF345,$AV345))</f>
        <v/>
      </c>
      <c r="BW345" s="86" t="str">
        <f aca="false">IF(ISBLANK($C345),"",IF($BL345&lt;&gt;Constants!$B$4,$BL345,IF(ISNUMBER($BV345),RANK($BV345,$BV$9:$BV$508,0),COUNT($BV$9:$BV$508)+1)))</f>
        <v/>
      </c>
      <c r="BX345" s="90" t="str">
        <f aca="false">IF($BL345&lt;&gt;Constants!$B$4,"",IF($BB345="-&gt;",$BK345,$BA345))</f>
        <v/>
      </c>
      <c r="BY345" s="86" t="str">
        <f aca="false">IF(ISBLANK($C345),"",IF($BL345&lt;&gt;Constants!$B$4,$BL345,IF(ISNUMBER($BX345),RANK($BX345,$BX$9:$BX$508,0),COUNT($BX$9:$BX$508)+1)))</f>
        <v/>
      </c>
      <c r="BZ345" s="86" t="str">
        <f aca="false">IF(ISBLANK($C345),"",IF($BL345&lt;&gt;Constants!$B$4,$BL345,COUNTIFS($BM$9:$BM$508,"&lt;"&amp;$BM345)+COUNTIFS($BM$9:$BM$508,$BM345,$BP$9:$BP$508,"&lt;"&amp;$BP345)+COUNTIFS($BM$9:$BM$508,$BM345,$BP$9:$BP$508,$BP345,$BS$9:$BS$508,"&lt;"&amp;$BS345)+COUNTIFS($BM$9:$BM$508,$BM345,$BP$9:$BP$508,$BP345,$BS$9:$BS$508,$BS345,$BU$9:$BU$508,"&lt;"&amp;$BU345)+COUNTIFS($BM$9:$BM$508,$BM345,$BP$9:$BP$508,$BP345,$BS$9:$BS$508,$BS345,$BU$9:$BU$508,$BU345,$BW$9:$BW$508,"&lt;"&amp;$BW345)+COUNTIFS($BM$9:$BM$508,$BM345,$BP$9:$BP$508,$BP345,$BS$9:$BS$508,$BS345,$BU$9:$BU$508,$BU345,$BW$9:$BW$508,$BW345,$BY$9:$BY$508,"&lt;"&amp;$BY345)+1))</f>
        <v/>
      </c>
      <c r="CA345" s="86" t="str">
        <f aca="false">IF(ISBLANK($C345),"",IF($BL345&lt;&gt;Constants!$B$4,$BL345,$BQ345-$BZ345))</f>
        <v/>
      </c>
      <c r="CB345" s="93"/>
      <c r="CC345" s="94" t="str">
        <f aca="false">IF(ISBLANK($C345),"",IF($BL345=Constants!$B$8,$AR345,""))</f>
        <v/>
      </c>
      <c r="CD345" s="94" t="str">
        <f aca="false">IF(ISBLANK($C345),"",IF($BL345&lt;&gt;Constants!$B$4,"",IF($BB345="-&gt;",2,1)))</f>
        <v/>
      </c>
      <c r="CE345" s="95" t="str">
        <f aca="false">IF(ISBLANK($C345),"",IF($BL345&lt;&gt;Constants!$B$4,"",IF($BB345="-&gt;",$BE345,$AU345)))</f>
        <v/>
      </c>
      <c r="CF345" s="95" t="str">
        <f aca="false">IF(ISBLANK($C345),"",IF($BL345&lt;&gt;Constants!$B$4,"",IF($BB345="-&gt;",$BF345,$AV345)))</f>
        <v/>
      </c>
      <c r="CG345" s="95" t="str">
        <f aca="false">IF(ISBLANK($C345),"",IF($BL345&lt;&gt;Constants!$B$4,"",IF($BB345="-&gt;",$BG345,$AW345)))</f>
        <v/>
      </c>
      <c r="CH345" s="95" t="str">
        <f aca="false">IF(ISBLANK($C345),"",IF($BL345&lt;&gt;Constants!$B$4,"",IF($BB345="-&gt;",$BH345,$AX345)))</f>
        <v/>
      </c>
      <c r="CI345" s="96" t="str">
        <f aca="false">IF(ISBLANK($C345),"",$BO345)</f>
        <v/>
      </c>
      <c r="CJ345" s="97" t="str">
        <f aca="false">IF(ISBLANK($C345),"",$BM345)</f>
        <v/>
      </c>
      <c r="CK345" s="98" t="str">
        <f aca="false">IF(ISBLANK($C345),"",$CA345)</f>
        <v/>
      </c>
      <c r="CL345" s="98" t="str">
        <f aca="false">IF(ISBLANK($C345),"",$BZ345)</f>
        <v/>
      </c>
      <c r="CM345" s="99" t="str">
        <f aca="false">IF(ISBLANK($C345),"",IF($CL345=Constants!$B$7,COUNTA($C$9:$C$508)+2,IF($CL345=Constants!$B$6,COUNTA($C$9:$C$508)+1,IF($CL345=Constants!$B$5,COUNTA($C$9:$C$508),$CL345))))</f>
        <v/>
      </c>
      <c r="CN345" s="8"/>
      <c r="CO345" s="100" t="n">
        <f aca="false">IF(OR(ISNUMBER($CL345),$CL345=Constants!$B$7,$CL345=Constants!$B$5,$CL345=Constants!$B$6),1,0)</f>
        <v>0</v>
      </c>
      <c r="CP345" s="100" t="n">
        <v>337</v>
      </c>
      <c r="CQ345" s="100" t="str">
        <f aca="false">IF(ISBLANK($C345),"",IF(ISNUMBER($CM345),$CM345+ROW($B345)/1000,""))</f>
        <v/>
      </c>
      <c r="CR345" s="100" t="str">
        <f aca="false">IF(ISNUMBER($CQ345),RANK($CQ345,$CQ$9:$CQ$508,1),"")</f>
        <v/>
      </c>
      <c r="CS345" s="100" t="str">
        <f aca="false">IF(ISBLANK($C345),"",$B345)</f>
        <v/>
      </c>
      <c r="CT345" s="100" t="str">
        <f aca="false">IF(ISBLANK($C345),"",$C345)</f>
        <v/>
      </c>
      <c r="CU345" s="100" t="str">
        <f aca="false">IF(ISBLANK($C345),"",$D345)</f>
        <v/>
      </c>
      <c r="CV345" s="101" t="str">
        <f aca="false">$CJ345</f>
        <v/>
      </c>
      <c r="CW345" s="102" t="str">
        <f aca="false">$CI345</f>
        <v/>
      </c>
      <c r="CX345" s="100" t="str">
        <f aca="false">IF(ISBLANK($C345),"",$CL345)</f>
        <v/>
      </c>
      <c r="CY345" s="103" t="str">
        <f aca="false">IF($CP345&gt;$CO$8,"",VLOOKUP($CP345,$CR$9:$CX$508,7,FALSE()))</f>
        <v/>
      </c>
      <c r="CZ345" s="104" t="str">
        <f aca="false">IF($CP345&gt;$CO$8,"",VLOOKUP($CP345,$CR$9:$CX$508,2,FALSE()))</f>
        <v/>
      </c>
      <c r="DA345" s="104" t="str">
        <f aca="false">IF($CP345&gt;$CO$8,"",VLOOKUP($CP345,$CR$9:$CX$508,3,FALSE()))</f>
        <v/>
      </c>
      <c r="DB345" s="104" t="str">
        <f aca="false">IF($CP345&gt;$CO$8,"",VLOOKUP($CP345,$CR$9:$CX$508,4,FALSE()))</f>
        <v/>
      </c>
      <c r="DC345" s="104" t="str">
        <f aca="false">IF($CP345&gt;$CO$8,"",VLOOKUP($CP345,$CR$9:$CX$508,5,FALSE()))</f>
        <v/>
      </c>
      <c r="DD345" s="105" t="str">
        <f aca="false">IF($CP345&gt;$CO$8,"",VLOOKUP($CP345,$CR$9:$CX$508,6,FALSE()))</f>
        <v/>
      </c>
      <c r="DE345" s="70"/>
    </row>
    <row r="346" customFormat="false" ht="15.75" hidden="false" customHeight="false" outlineLevel="0" collapsed="false">
      <c r="A346" s="8"/>
      <c r="B346" s="72"/>
      <c r="C346" s="73"/>
      <c r="D346" s="155"/>
      <c r="E346" s="162"/>
      <c r="F346" s="157"/>
      <c r="G346" s="77"/>
      <c r="H346" s="77"/>
      <c r="I346" s="77"/>
      <c r="J346" s="163"/>
      <c r="K346" s="161"/>
      <c r="L346" s="161"/>
      <c r="M346" s="80"/>
      <c r="N346" s="161"/>
      <c r="O346" s="160"/>
      <c r="P346" s="161"/>
      <c r="Q346" s="161"/>
      <c r="R346" s="161"/>
      <c r="S346" s="77"/>
      <c r="T346" s="161"/>
      <c r="U346" s="160"/>
      <c r="V346" s="161"/>
      <c r="W346" s="85"/>
      <c r="X346" s="86" t="str">
        <f aca="false">IF(ISBLANK($C346),"",IF($E346=Constants!$B$2,TRUE(),IF($E346=Constants!$B$3,FALSE(),TRUE())))</f>
        <v/>
      </c>
      <c r="Y346" s="86" t="str">
        <f aca="false">IF(ISBLANK($C346),"",IF($F346=Constants!$B$2,TRUE(),IF($F346=Constants!$B$3,FALSE(),TRUE())))</f>
        <v/>
      </c>
      <c r="Z346" s="87" t="str">
        <f aca="false">IF(ISBLANK($C346),"",IF(ISNUMBER($G346),IF($G346&gt;=0,$G346,""),""))</f>
        <v/>
      </c>
      <c r="AA346" s="87" t="str">
        <f aca="false">IF(ISBLANK($C346),"",IF(ISNUMBER($H346),IF($H346&gt;=0,$H346,""),""))</f>
        <v/>
      </c>
      <c r="AB346" s="87" t="str">
        <f aca="false">IF(ISBLANK($C346),"",IF(ISNUMBER($I346),IF($I346&gt;=0,$I346,""),""))</f>
        <v/>
      </c>
      <c r="AC346" s="86" t="str">
        <f aca="false">IF(ISBLANK($C346),"",IF($J346=Constants!$B$2,TRUE(),IF($J346=Constants!$B$3,FALSE(),TRUE())))</f>
        <v/>
      </c>
      <c r="AD346" s="86" t="str">
        <f aca="false">IF(ISBLANK($C346),"",IF($K346=Constants!$B$2,TRUE(),IF($K346=Constants!$B$3,FALSE(),TRUE())))</f>
        <v/>
      </c>
      <c r="AE346" s="86" t="str">
        <f aca="false">IF(ISBLANK($C346),"",IF($L346=Constants!$B$2,TRUE(),IF($L346=Constants!$B$3,FALSE(),TRUE())))</f>
        <v/>
      </c>
      <c r="AF346" s="88" t="str">
        <f aca="false">IF(ISBLANK($C346),"",IF(ISNUMBER($M346),IF($M346&gt;=0,$M346,""),""))</f>
        <v/>
      </c>
      <c r="AG346" s="86" t="str">
        <f aca="false">IF(ISBLANK($C346),"",IF(ISBLANK($N346),0,IF(ISNUMBER($N346),IF(AND($N346&gt;=0,$N346&lt;=Constants!$B$17,$N346=INT($N346)),$N346,""),"")))</f>
        <v/>
      </c>
      <c r="AH346" s="87" t="str">
        <f aca="false">IF(ISBLANK($C346),"",IF(ISBLANK($O346),0,IF(ISNUMBER($O346),IF($O346&gt;=0,$O346,""),"")))</f>
        <v/>
      </c>
      <c r="AI346" s="86" t="str">
        <f aca="false">IF(ISBLANK($C346),"",IF($P346=Constants!$B$2,TRUE(),IF($P346=Constants!$B$3,FALSE(),TRUE())))</f>
        <v/>
      </c>
      <c r="AJ346" s="86" t="str">
        <f aca="false">IF(ISBLANK($C346),"",IF($Q346=Constants!$B$2,TRUE(),IF($Q346=Constants!$B$3,FALSE(),TRUE())))</f>
        <v/>
      </c>
      <c r="AK346" s="86" t="str">
        <f aca="false">IF(ISBLANK($C346),"",IF($R346=Constants!$B$2,TRUE(),IF($R346=Constants!$B$3,FALSE(),TRUE())))</f>
        <v/>
      </c>
      <c r="AL346" s="88" t="str">
        <f aca="false">IF(ISBLANK($C346),"",IF(ISNUMBER($S346),IF($S346&gt;=0,$S346,""),""))</f>
        <v/>
      </c>
      <c r="AM346" s="86" t="str">
        <f aca="false">IF(ISBLANK($C346),"",IF(ISBLANK($T346),0,IF(ISNUMBER($T346),IF(AND($T346&gt;=0,$T346&lt;=Constants!$B$17,$T346=INT($T346)),$T346,""),"")))</f>
        <v/>
      </c>
      <c r="AN346" s="87" t="str">
        <f aca="false">IF(ISBLANK($C346),"",IF(ISBLANK($U346),0,IF(ISNUMBER($U346),IF($U346&gt;=0,$U346,""),"")))</f>
        <v/>
      </c>
      <c r="AO346" s="86" t="str">
        <f aca="false">IF(ISBLANK($C346),"",IF($V346=Constants!$B$2,TRUE(),IF($V346=Constants!$B$3,FALSE(),FALSE())))</f>
        <v/>
      </c>
      <c r="AP346" s="86"/>
      <c r="AQ346" s="85" t="str">
        <f aca="false">IF(ISBLANK($C346),"",AND($Y346,OR($AS346,$BC346),OR($Z346="",$AA346="",$AB346="")))</f>
        <v/>
      </c>
      <c r="AR346" s="85" t="str">
        <f aca="false">IF(ISBLANK($C346),"",IF(OR(NOT($Y346),NOT(OR($AS346,$BC346))),"",IF(ISBLANK($D$7),$AR$5,IF($AP$9="",$AR$6,""))))</f>
        <v/>
      </c>
      <c r="AS346" s="85" t="str">
        <f aca="false">IF(ISBLANK($C346),"",COUNTA($J346:$O346)&gt;0)</f>
        <v/>
      </c>
      <c r="AT346" s="85" t="str">
        <f aca="false">IF(ISBLANK($C346),"",AND($AS346,OR(AND($AF346="",OR($AE346,NOT(ISBLANK($M346)))),$AG346="",$AH346="")))</f>
        <v/>
      </c>
      <c r="AU346" s="87" t="str">
        <f aca="false">IF($BL346&lt;&gt;Constants!$B$4,"",IF(NOT($AS346),"",ROUND((Constants!$B$12-$AB346)+(Constants!$B$13-$Z346)+(Constants!$B$14-$AA346),1)))</f>
        <v/>
      </c>
      <c r="AV346" s="90" t="str">
        <f aca="false">IF($BL346&lt;&gt;Constants!$B$4,"",IF(NOT($AS346),"",IF(NOT($AE346),0,Constants!$B$15*(INT(ROUND(MIN($AF346,$AP$9),6))-INT(ROUND(MAX(0,MIN($AF346,2*$AP$9)-$AP$9),6))))))</f>
        <v/>
      </c>
      <c r="AW346" s="90" t="str">
        <f aca="false">IF($BL346&lt;&gt;Constants!$B$4,"",IF(NOT($AS346),"",Constants!$B$16*$AG346))</f>
        <v/>
      </c>
      <c r="AX346" s="90" t="str">
        <f aca="false">IF($BL346&lt;&gt;Constants!$B$4,"",IF(NOT($AS346),"",Constants!$B$18*INT(ROUND($AH346,6))))</f>
        <v/>
      </c>
      <c r="AY346" s="85" t="str">
        <f aca="false">IF($BL346&lt;&gt;Constants!$B$4,"",IF(NOT($AS346),"",IF(NOT($X346),Constants!$B$11,IF(OR(NOT($AC346),NOT($AD346),ROUND($AB346,1)&gt;Constants!$B$12,ROUND($Z346,1)&gt;Constants!$B$13,ROUND($AA346,1)&gt;Constants!$B$14),Constants!$B$10,Constants!$B$9))))</f>
        <v/>
      </c>
      <c r="AZ346" s="91" t="str">
        <f aca="false">IF($BL346&lt;&gt;Constants!$B$4,"",IF(NOT($AS346),"",ROUND($AU346+$AV346+$AW346+$AX346,1)))</f>
        <v/>
      </c>
      <c r="BA346" s="92" t="str">
        <f aca="false">IF($BL346&lt;&gt;Constants!$B$4,"",IF(NOT($AS346),"",IF(ISNUMBER($AF346),$AF346,0)))</f>
        <v/>
      </c>
      <c r="BB346" s="86" t="str">
        <f aca="false">IF($BL346&lt;&gt;Constants!$B$4,"",IF(NOT($BC346),"&lt;-",IF(NOT($AS346),"-&gt;",IF(OR($BI346&lt;$AY346,AND($BI346=$AY346,OR($BJ346&gt;$AZ346,AND($BJ346=$AZ346,OR($BH346&gt;$AX346,AND($BH346=$AX346,OR($BE346&gt;$AU346,AND($BE346=$AU346,OR($BF346&gt;$AV346,AND($BF346=$AV346,$BK346&gt;$BA346)))))))))),"-&gt;","&lt;-"))))</f>
        <v/>
      </c>
      <c r="BC346" s="85" t="str">
        <f aca="false">IF(ISBLANK($C346),"",COUNTA($P346:$U346)&gt;0)</f>
        <v/>
      </c>
      <c r="BD346" s="85" t="str">
        <f aca="false">IF(ISBLANK($C346),"",AND($BC346,OR(AND($AL346="",OR($AK346,NOT(ISBLANK($S346)))),$AM346="",$AN346="")))</f>
        <v/>
      </c>
      <c r="BE346" s="87" t="str">
        <f aca="false">IF($BL346&lt;&gt;Constants!$B$4,"",IF(NOT($BC346),"",ROUND((Constants!$B$12-$AB346)+(Constants!$B$13-$Z346)+(Constants!$B$14-$AA346),1)))</f>
        <v/>
      </c>
      <c r="BF346" s="90" t="str">
        <f aca="false">IF($BL346&lt;&gt;Constants!$B$4,"",IF(NOT($BC346),"",IF(NOT($AK346),0,Constants!$B$15*(INT(ROUND(MIN($AL346,$AP$9),6))-INT(ROUND(MAX(0,MIN($AL346,2*$AP$9)-$AP$9),6))))))</f>
        <v/>
      </c>
      <c r="BG346" s="90" t="str">
        <f aca="false">IF($BL346&lt;&gt;Constants!$B$4,"",IF(NOT($BC346),"",Constants!$B$16*$AM346))</f>
        <v/>
      </c>
      <c r="BH346" s="90" t="str">
        <f aca="false">IF($BL346&lt;&gt;Constants!$B$4,"",IF(NOT($BC346),"",Constants!$B$18*INT(ROUND($AN346,6))))</f>
        <v/>
      </c>
      <c r="BI346" s="85" t="str">
        <f aca="false">IF($BL346&lt;&gt;Constants!$B$4,"",IF(NOT($BC346),"",IF(NOT($X346),Constants!$B$11,IF(OR(NOT($AI346),NOT($AJ346),ROUND($AB346,1)&gt;Constants!$B$12,ROUND($Z346,1)&gt;Constants!$B$13,ROUND($AA346,1)&gt;Constants!$B$14),Constants!$B$10,Constants!$B$9))))</f>
        <v/>
      </c>
      <c r="BJ346" s="91" t="str">
        <f aca="false">IF($BL346&lt;&gt;Constants!$B$4,"",IF(NOT($BC346),"",ROUND($BE346+$BF346+$BG346+$BH346,1)))</f>
        <v/>
      </c>
      <c r="BK346" s="92" t="str">
        <f aca="false">IF($BL346&lt;&gt;Constants!$B$4,"",IF(NOT($BC346),"",IF(ISNUMBER($AL346),$AL346,0)))</f>
        <v/>
      </c>
      <c r="BL346" s="86" t="str">
        <f aca="false">IF(ISBLANK($C346),"",IF($AO346,Constants!$B$7,IF(COUNTA($E346:$V346)=0,Constants!$B$6,IF(NOT($Y346),Constants!$B$5,IF(NOT(OR($AS346,$BC346)),Constants!$B$5,IF(OR($AT346,$BD346,$AQ346,$AR346&lt;&gt;""),Constants!$B$8,Constants!$B$4))))))</f>
        <v/>
      </c>
      <c r="BM346" s="86" t="str">
        <f aca="false">IF(ISBLANK($C346),"",IF($BL346&lt;&gt;Constants!$B$4,$BL346,IF($BB346="-&gt;",$BI346,$AY346)))</f>
        <v/>
      </c>
      <c r="BN346" s="90" t="str">
        <f aca="false">IF($BL346&lt;&gt;Constants!$B$4,"",IF($BB346="-&gt;",$BJ346,$AZ346))</f>
        <v/>
      </c>
      <c r="BO346" s="90" t="str">
        <f aca="false">IF(ISBLANK($C346),"",IF($BL346&lt;&gt;Constants!$B$4,$BL346,$BN346))</f>
        <v/>
      </c>
      <c r="BP346" s="86" t="str">
        <f aca="false">IF(ISBLANK($C346),"",IF($BL346&lt;&gt;Constants!$B$4,$BL346,RANK($BO346,$BO$9:$BO$508,0)))</f>
        <v/>
      </c>
      <c r="BQ346" s="86" t="str">
        <f aca="false">IF(ISBLANK($C346),"",IF($BL346&lt;&gt;Constants!$B$4,$BL346,COUNTIFS($BM$9:$BM$508,"&lt;"&amp;$BM346)+COUNTIFS($BM$9:$BM$508,$BM346,$BP$9:$BP$508,"&lt;"&amp;$BP346)+1))</f>
        <v/>
      </c>
      <c r="BR346" s="90" t="str">
        <f aca="false">IF($BL346&lt;&gt;Constants!$B$4,"",IF($BB346="-&gt;",$BH346,$AX346))</f>
        <v/>
      </c>
      <c r="BS346" s="86" t="str">
        <f aca="false">IF(ISBLANK($C346),"",IF($BL346&lt;&gt;Constants!$B$4,$BL346,IF(ISNUMBER($BR346),RANK($BR346,$BR$9:$BR$508,0),COUNT($BR$9:$BR$508)+1)))</f>
        <v/>
      </c>
      <c r="BT346" s="90" t="str">
        <f aca="false">IF($BL346&lt;&gt;Constants!$B$4,"",IF($BB346="-&gt;",$BE346,$AU346))</f>
        <v/>
      </c>
      <c r="BU346" s="86" t="str">
        <f aca="false">IF(ISBLANK($C346),"",IF($BL346&lt;&gt;Constants!$B$4,$BL346,IF(ISNUMBER($BT346),RANK($BT346,$BT$9:$BT$508,0),COUNT($BT$9:$BT$508)+1)))</f>
        <v/>
      </c>
      <c r="BV346" s="90" t="str">
        <f aca="false">IF($BL346&lt;&gt;Constants!$B$4,"",IF($BB346="-&gt;",$BF346,$AV346))</f>
        <v/>
      </c>
      <c r="BW346" s="86" t="str">
        <f aca="false">IF(ISBLANK($C346),"",IF($BL346&lt;&gt;Constants!$B$4,$BL346,IF(ISNUMBER($BV346),RANK($BV346,$BV$9:$BV$508,0),COUNT($BV$9:$BV$508)+1)))</f>
        <v/>
      </c>
      <c r="BX346" s="90" t="str">
        <f aca="false">IF($BL346&lt;&gt;Constants!$B$4,"",IF($BB346="-&gt;",$BK346,$BA346))</f>
        <v/>
      </c>
      <c r="BY346" s="86" t="str">
        <f aca="false">IF(ISBLANK($C346),"",IF($BL346&lt;&gt;Constants!$B$4,$BL346,IF(ISNUMBER($BX346),RANK($BX346,$BX$9:$BX$508,0),COUNT($BX$9:$BX$508)+1)))</f>
        <v/>
      </c>
      <c r="BZ346" s="86" t="str">
        <f aca="false">IF(ISBLANK($C346),"",IF($BL346&lt;&gt;Constants!$B$4,$BL346,COUNTIFS($BM$9:$BM$508,"&lt;"&amp;$BM346)+COUNTIFS($BM$9:$BM$508,$BM346,$BP$9:$BP$508,"&lt;"&amp;$BP346)+COUNTIFS($BM$9:$BM$508,$BM346,$BP$9:$BP$508,$BP346,$BS$9:$BS$508,"&lt;"&amp;$BS346)+COUNTIFS($BM$9:$BM$508,$BM346,$BP$9:$BP$508,$BP346,$BS$9:$BS$508,$BS346,$BU$9:$BU$508,"&lt;"&amp;$BU346)+COUNTIFS($BM$9:$BM$508,$BM346,$BP$9:$BP$508,$BP346,$BS$9:$BS$508,$BS346,$BU$9:$BU$508,$BU346,$BW$9:$BW$508,"&lt;"&amp;$BW346)+COUNTIFS($BM$9:$BM$508,$BM346,$BP$9:$BP$508,$BP346,$BS$9:$BS$508,$BS346,$BU$9:$BU$508,$BU346,$BW$9:$BW$508,$BW346,$BY$9:$BY$508,"&lt;"&amp;$BY346)+1))</f>
        <v/>
      </c>
      <c r="CA346" s="86" t="str">
        <f aca="false">IF(ISBLANK($C346),"",IF($BL346&lt;&gt;Constants!$B$4,$BL346,$BQ346-$BZ346))</f>
        <v/>
      </c>
      <c r="CB346" s="93"/>
      <c r="CC346" s="94" t="str">
        <f aca="false">IF(ISBLANK($C346),"",IF($BL346=Constants!$B$8,$AR346,""))</f>
        <v/>
      </c>
      <c r="CD346" s="94" t="str">
        <f aca="false">IF(ISBLANK($C346),"",IF($BL346&lt;&gt;Constants!$B$4,"",IF($BB346="-&gt;",2,1)))</f>
        <v/>
      </c>
      <c r="CE346" s="95" t="str">
        <f aca="false">IF(ISBLANK($C346),"",IF($BL346&lt;&gt;Constants!$B$4,"",IF($BB346="-&gt;",$BE346,$AU346)))</f>
        <v/>
      </c>
      <c r="CF346" s="95" t="str">
        <f aca="false">IF(ISBLANK($C346),"",IF($BL346&lt;&gt;Constants!$B$4,"",IF($BB346="-&gt;",$BF346,$AV346)))</f>
        <v/>
      </c>
      <c r="CG346" s="95" t="str">
        <f aca="false">IF(ISBLANK($C346),"",IF($BL346&lt;&gt;Constants!$B$4,"",IF($BB346="-&gt;",$BG346,$AW346)))</f>
        <v/>
      </c>
      <c r="CH346" s="95" t="str">
        <f aca="false">IF(ISBLANK($C346),"",IF($BL346&lt;&gt;Constants!$B$4,"",IF($BB346="-&gt;",$BH346,$AX346)))</f>
        <v/>
      </c>
      <c r="CI346" s="96" t="str">
        <f aca="false">IF(ISBLANK($C346),"",$BO346)</f>
        <v/>
      </c>
      <c r="CJ346" s="97" t="str">
        <f aca="false">IF(ISBLANK($C346),"",$BM346)</f>
        <v/>
      </c>
      <c r="CK346" s="98" t="str">
        <f aca="false">IF(ISBLANK($C346),"",$CA346)</f>
        <v/>
      </c>
      <c r="CL346" s="98" t="str">
        <f aca="false">IF(ISBLANK($C346),"",$BZ346)</f>
        <v/>
      </c>
      <c r="CM346" s="99" t="str">
        <f aca="false">IF(ISBLANK($C346),"",IF($CL346=Constants!$B$7,COUNTA($C$9:$C$508)+2,IF($CL346=Constants!$B$6,COUNTA($C$9:$C$508)+1,IF($CL346=Constants!$B$5,COUNTA($C$9:$C$508),$CL346))))</f>
        <v/>
      </c>
      <c r="CN346" s="8"/>
      <c r="CO346" s="100" t="n">
        <f aca="false">IF(OR(ISNUMBER($CL346),$CL346=Constants!$B$7,$CL346=Constants!$B$5,$CL346=Constants!$B$6),1,0)</f>
        <v>0</v>
      </c>
      <c r="CP346" s="100" t="n">
        <v>338</v>
      </c>
      <c r="CQ346" s="100" t="str">
        <f aca="false">IF(ISBLANK($C346),"",IF(ISNUMBER($CM346),$CM346+ROW($B346)/1000,""))</f>
        <v/>
      </c>
      <c r="CR346" s="100" t="str">
        <f aca="false">IF(ISNUMBER($CQ346),RANK($CQ346,$CQ$9:$CQ$508,1),"")</f>
        <v/>
      </c>
      <c r="CS346" s="100" t="str">
        <f aca="false">IF(ISBLANK($C346),"",$B346)</f>
        <v/>
      </c>
      <c r="CT346" s="100" t="str">
        <f aca="false">IF(ISBLANK($C346),"",$C346)</f>
        <v/>
      </c>
      <c r="CU346" s="100" t="str">
        <f aca="false">IF(ISBLANK($C346),"",$D346)</f>
        <v/>
      </c>
      <c r="CV346" s="101" t="str">
        <f aca="false">$CJ346</f>
        <v/>
      </c>
      <c r="CW346" s="102" t="str">
        <f aca="false">$CI346</f>
        <v/>
      </c>
      <c r="CX346" s="100" t="str">
        <f aca="false">IF(ISBLANK($C346),"",$CL346)</f>
        <v/>
      </c>
      <c r="CY346" s="103" t="str">
        <f aca="false">IF($CP346&gt;$CO$8,"",VLOOKUP($CP346,$CR$9:$CX$508,7,FALSE()))</f>
        <v/>
      </c>
      <c r="CZ346" s="104" t="str">
        <f aca="false">IF($CP346&gt;$CO$8,"",VLOOKUP($CP346,$CR$9:$CX$508,2,FALSE()))</f>
        <v/>
      </c>
      <c r="DA346" s="104" t="str">
        <f aca="false">IF($CP346&gt;$CO$8,"",VLOOKUP($CP346,$CR$9:$CX$508,3,FALSE()))</f>
        <v/>
      </c>
      <c r="DB346" s="104" t="str">
        <f aca="false">IF($CP346&gt;$CO$8,"",VLOOKUP($CP346,$CR$9:$CX$508,4,FALSE()))</f>
        <v/>
      </c>
      <c r="DC346" s="104" t="str">
        <f aca="false">IF($CP346&gt;$CO$8,"",VLOOKUP($CP346,$CR$9:$CX$508,5,FALSE()))</f>
        <v/>
      </c>
      <c r="DD346" s="105" t="str">
        <f aca="false">IF($CP346&gt;$CO$8,"",VLOOKUP($CP346,$CR$9:$CX$508,6,FALSE()))</f>
        <v/>
      </c>
      <c r="DE346" s="70"/>
    </row>
    <row r="347" customFormat="false" ht="15.75" hidden="false" customHeight="false" outlineLevel="0" collapsed="false">
      <c r="A347" s="8"/>
      <c r="B347" s="72"/>
      <c r="C347" s="73"/>
      <c r="D347" s="155"/>
      <c r="E347" s="162"/>
      <c r="F347" s="157"/>
      <c r="G347" s="77"/>
      <c r="H347" s="77"/>
      <c r="I347" s="77"/>
      <c r="J347" s="163"/>
      <c r="K347" s="161"/>
      <c r="L347" s="161"/>
      <c r="M347" s="80"/>
      <c r="N347" s="161"/>
      <c r="O347" s="160"/>
      <c r="P347" s="161"/>
      <c r="Q347" s="161"/>
      <c r="R347" s="161"/>
      <c r="S347" s="77"/>
      <c r="T347" s="161"/>
      <c r="U347" s="160"/>
      <c r="V347" s="161"/>
      <c r="W347" s="85"/>
      <c r="X347" s="86" t="str">
        <f aca="false">IF(ISBLANK($C347),"",IF($E347=Constants!$B$2,TRUE(),IF($E347=Constants!$B$3,FALSE(),TRUE())))</f>
        <v/>
      </c>
      <c r="Y347" s="86" t="str">
        <f aca="false">IF(ISBLANK($C347),"",IF($F347=Constants!$B$2,TRUE(),IF($F347=Constants!$B$3,FALSE(),TRUE())))</f>
        <v/>
      </c>
      <c r="Z347" s="87" t="str">
        <f aca="false">IF(ISBLANK($C347),"",IF(ISNUMBER($G347),IF($G347&gt;=0,$G347,""),""))</f>
        <v/>
      </c>
      <c r="AA347" s="87" t="str">
        <f aca="false">IF(ISBLANK($C347),"",IF(ISNUMBER($H347),IF($H347&gt;=0,$H347,""),""))</f>
        <v/>
      </c>
      <c r="AB347" s="87" t="str">
        <f aca="false">IF(ISBLANK($C347),"",IF(ISNUMBER($I347),IF($I347&gt;=0,$I347,""),""))</f>
        <v/>
      </c>
      <c r="AC347" s="86" t="str">
        <f aca="false">IF(ISBLANK($C347),"",IF($J347=Constants!$B$2,TRUE(),IF($J347=Constants!$B$3,FALSE(),TRUE())))</f>
        <v/>
      </c>
      <c r="AD347" s="86" t="str">
        <f aca="false">IF(ISBLANK($C347),"",IF($K347=Constants!$B$2,TRUE(),IF($K347=Constants!$B$3,FALSE(),TRUE())))</f>
        <v/>
      </c>
      <c r="AE347" s="86" t="str">
        <f aca="false">IF(ISBLANK($C347),"",IF($L347=Constants!$B$2,TRUE(),IF($L347=Constants!$B$3,FALSE(),TRUE())))</f>
        <v/>
      </c>
      <c r="AF347" s="88" t="str">
        <f aca="false">IF(ISBLANK($C347),"",IF(ISNUMBER($M347),IF($M347&gt;=0,$M347,""),""))</f>
        <v/>
      </c>
      <c r="AG347" s="86" t="str">
        <f aca="false">IF(ISBLANK($C347),"",IF(ISBLANK($N347),0,IF(ISNUMBER($N347),IF(AND($N347&gt;=0,$N347&lt;=Constants!$B$17,$N347=INT($N347)),$N347,""),"")))</f>
        <v/>
      </c>
      <c r="AH347" s="87" t="str">
        <f aca="false">IF(ISBLANK($C347),"",IF(ISBLANK($O347),0,IF(ISNUMBER($O347),IF($O347&gt;=0,$O347,""),"")))</f>
        <v/>
      </c>
      <c r="AI347" s="86" t="str">
        <f aca="false">IF(ISBLANK($C347),"",IF($P347=Constants!$B$2,TRUE(),IF($P347=Constants!$B$3,FALSE(),TRUE())))</f>
        <v/>
      </c>
      <c r="AJ347" s="86" t="str">
        <f aca="false">IF(ISBLANK($C347),"",IF($Q347=Constants!$B$2,TRUE(),IF($Q347=Constants!$B$3,FALSE(),TRUE())))</f>
        <v/>
      </c>
      <c r="AK347" s="86" t="str">
        <f aca="false">IF(ISBLANK($C347),"",IF($R347=Constants!$B$2,TRUE(),IF($R347=Constants!$B$3,FALSE(),TRUE())))</f>
        <v/>
      </c>
      <c r="AL347" s="88" t="str">
        <f aca="false">IF(ISBLANK($C347),"",IF(ISNUMBER($S347),IF($S347&gt;=0,$S347,""),""))</f>
        <v/>
      </c>
      <c r="AM347" s="86" t="str">
        <f aca="false">IF(ISBLANK($C347),"",IF(ISBLANK($T347),0,IF(ISNUMBER($T347),IF(AND($T347&gt;=0,$T347&lt;=Constants!$B$17,$T347=INT($T347)),$T347,""),"")))</f>
        <v/>
      </c>
      <c r="AN347" s="87" t="str">
        <f aca="false">IF(ISBLANK($C347),"",IF(ISBLANK($U347),0,IF(ISNUMBER($U347),IF($U347&gt;=0,$U347,""),"")))</f>
        <v/>
      </c>
      <c r="AO347" s="86" t="str">
        <f aca="false">IF(ISBLANK($C347),"",IF($V347=Constants!$B$2,TRUE(),IF($V347=Constants!$B$3,FALSE(),FALSE())))</f>
        <v/>
      </c>
      <c r="AP347" s="86"/>
      <c r="AQ347" s="85" t="str">
        <f aca="false">IF(ISBLANK($C347),"",AND($Y347,OR($AS347,$BC347),OR($Z347="",$AA347="",$AB347="")))</f>
        <v/>
      </c>
      <c r="AR347" s="85" t="str">
        <f aca="false">IF(ISBLANK($C347),"",IF(OR(NOT($Y347),NOT(OR($AS347,$BC347))),"",IF(ISBLANK($D$7),$AR$5,IF($AP$9="",$AR$6,""))))</f>
        <v/>
      </c>
      <c r="AS347" s="85" t="str">
        <f aca="false">IF(ISBLANK($C347),"",COUNTA($J347:$O347)&gt;0)</f>
        <v/>
      </c>
      <c r="AT347" s="85" t="str">
        <f aca="false">IF(ISBLANK($C347),"",AND($AS347,OR(AND($AF347="",OR($AE347,NOT(ISBLANK($M347)))),$AG347="",$AH347="")))</f>
        <v/>
      </c>
      <c r="AU347" s="87" t="str">
        <f aca="false">IF($BL347&lt;&gt;Constants!$B$4,"",IF(NOT($AS347),"",ROUND((Constants!$B$12-$AB347)+(Constants!$B$13-$Z347)+(Constants!$B$14-$AA347),1)))</f>
        <v/>
      </c>
      <c r="AV347" s="90" t="str">
        <f aca="false">IF($BL347&lt;&gt;Constants!$B$4,"",IF(NOT($AS347),"",IF(NOT($AE347),0,Constants!$B$15*(INT(ROUND(MIN($AF347,$AP$9),6))-INT(ROUND(MAX(0,MIN($AF347,2*$AP$9)-$AP$9),6))))))</f>
        <v/>
      </c>
      <c r="AW347" s="90" t="str">
        <f aca="false">IF($BL347&lt;&gt;Constants!$B$4,"",IF(NOT($AS347),"",Constants!$B$16*$AG347))</f>
        <v/>
      </c>
      <c r="AX347" s="90" t="str">
        <f aca="false">IF($BL347&lt;&gt;Constants!$B$4,"",IF(NOT($AS347),"",Constants!$B$18*INT(ROUND($AH347,6))))</f>
        <v/>
      </c>
      <c r="AY347" s="85" t="str">
        <f aca="false">IF($BL347&lt;&gt;Constants!$B$4,"",IF(NOT($AS347),"",IF(NOT($X347),Constants!$B$11,IF(OR(NOT($AC347),NOT($AD347),ROUND($AB347,1)&gt;Constants!$B$12,ROUND($Z347,1)&gt;Constants!$B$13,ROUND($AA347,1)&gt;Constants!$B$14),Constants!$B$10,Constants!$B$9))))</f>
        <v/>
      </c>
      <c r="AZ347" s="91" t="str">
        <f aca="false">IF($BL347&lt;&gt;Constants!$B$4,"",IF(NOT($AS347),"",ROUND($AU347+$AV347+$AW347+$AX347,1)))</f>
        <v/>
      </c>
      <c r="BA347" s="92" t="str">
        <f aca="false">IF($BL347&lt;&gt;Constants!$B$4,"",IF(NOT($AS347),"",IF(ISNUMBER($AF347),$AF347,0)))</f>
        <v/>
      </c>
      <c r="BB347" s="86" t="str">
        <f aca="false">IF($BL347&lt;&gt;Constants!$B$4,"",IF(NOT($BC347),"&lt;-",IF(NOT($AS347),"-&gt;",IF(OR($BI347&lt;$AY347,AND($BI347=$AY347,OR($BJ347&gt;$AZ347,AND($BJ347=$AZ347,OR($BH347&gt;$AX347,AND($BH347=$AX347,OR($BE347&gt;$AU347,AND($BE347=$AU347,OR($BF347&gt;$AV347,AND($BF347=$AV347,$BK347&gt;$BA347)))))))))),"-&gt;","&lt;-"))))</f>
        <v/>
      </c>
      <c r="BC347" s="85" t="str">
        <f aca="false">IF(ISBLANK($C347),"",COUNTA($P347:$U347)&gt;0)</f>
        <v/>
      </c>
      <c r="BD347" s="85" t="str">
        <f aca="false">IF(ISBLANK($C347),"",AND($BC347,OR(AND($AL347="",OR($AK347,NOT(ISBLANK($S347)))),$AM347="",$AN347="")))</f>
        <v/>
      </c>
      <c r="BE347" s="87" t="str">
        <f aca="false">IF($BL347&lt;&gt;Constants!$B$4,"",IF(NOT($BC347),"",ROUND((Constants!$B$12-$AB347)+(Constants!$B$13-$Z347)+(Constants!$B$14-$AA347),1)))</f>
        <v/>
      </c>
      <c r="BF347" s="90" t="str">
        <f aca="false">IF($BL347&lt;&gt;Constants!$B$4,"",IF(NOT($BC347),"",IF(NOT($AK347),0,Constants!$B$15*(INT(ROUND(MIN($AL347,$AP$9),6))-INT(ROUND(MAX(0,MIN($AL347,2*$AP$9)-$AP$9),6))))))</f>
        <v/>
      </c>
      <c r="BG347" s="90" t="str">
        <f aca="false">IF($BL347&lt;&gt;Constants!$B$4,"",IF(NOT($BC347),"",Constants!$B$16*$AM347))</f>
        <v/>
      </c>
      <c r="BH347" s="90" t="str">
        <f aca="false">IF($BL347&lt;&gt;Constants!$B$4,"",IF(NOT($BC347),"",Constants!$B$18*INT(ROUND($AN347,6))))</f>
        <v/>
      </c>
      <c r="BI347" s="85" t="str">
        <f aca="false">IF($BL347&lt;&gt;Constants!$B$4,"",IF(NOT($BC347),"",IF(NOT($X347),Constants!$B$11,IF(OR(NOT($AI347),NOT($AJ347),ROUND($AB347,1)&gt;Constants!$B$12,ROUND($Z347,1)&gt;Constants!$B$13,ROUND($AA347,1)&gt;Constants!$B$14),Constants!$B$10,Constants!$B$9))))</f>
        <v/>
      </c>
      <c r="BJ347" s="91" t="str">
        <f aca="false">IF($BL347&lt;&gt;Constants!$B$4,"",IF(NOT($BC347),"",ROUND($BE347+$BF347+$BG347+$BH347,1)))</f>
        <v/>
      </c>
      <c r="BK347" s="92" t="str">
        <f aca="false">IF($BL347&lt;&gt;Constants!$B$4,"",IF(NOT($BC347),"",IF(ISNUMBER($AL347),$AL347,0)))</f>
        <v/>
      </c>
      <c r="BL347" s="86" t="str">
        <f aca="false">IF(ISBLANK($C347),"",IF($AO347,Constants!$B$7,IF(COUNTA($E347:$V347)=0,Constants!$B$6,IF(NOT($Y347),Constants!$B$5,IF(NOT(OR($AS347,$BC347)),Constants!$B$5,IF(OR($AT347,$BD347,$AQ347,$AR347&lt;&gt;""),Constants!$B$8,Constants!$B$4))))))</f>
        <v/>
      </c>
      <c r="BM347" s="86" t="str">
        <f aca="false">IF(ISBLANK($C347),"",IF($BL347&lt;&gt;Constants!$B$4,$BL347,IF($BB347="-&gt;",$BI347,$AY347)))</f>
        <v/>
      </c>
      <c r="BN347" s="90" t="str">
        <f aca="false">IF($BL347&lt;&gt;Constants!$B$4,"",IF($BB347="-&gt;",$BJ347,$AZ347))</f>
        <v/>
      </c>
      <c r="BO347" s="90" t="str">
        <f aca="false">IF(ISBLANK($C347),"",IF($BL347&lt;&gt;Constants!$B$4,$BL347,$BN347))</f>
        <v/>
      </c>
      <c r="BP347" s="86" t="str">
        <f aca="false">IF(ISBLANK($C347),"",IF($BL347&lt;&gt;Constants!$B$4,$BL347,RANK($BO347,$BO$9:$BO$508,0)))</f>
        <v/>
      </c>
      <c r="BQ347" s="86" t="str">
        <f aca="false">IF(ISBLANK($C347),"",IF($BL347&lt;&gt;Constants!$B$4,$BL347,COUNTIFS($BM$9:$BM$508,"&lt;"&amp;$BM347)+COUNTIFS($BM$9:$BM$508,$BM347,$BP$9:$BP$508,"&lt;"&amp;$BP347)+1))</f>
        <v/>
      </c>
      <c r="BR347" s="90" t="str">
        <f aca="false">IF($BL347&lt;&gt;Constants!$B$4,"",IF($BB347="-&gt;",$BH347,$AX347))</f>
        <v/>
      </c>
      <c r="BS347" s="86" t="str">
        <f aca="false">IF(ISBLANK($C347),"",IF($BL347&lt;&gt;Constants!$B$4,$BL347,IF(ISNUMBER($BR347),RANK($BR347,$BR$9:$BR$508,0),COUNT($BR$9:$BR$508)+1)))</f>
        <v/>
      </c>
      <c r="BT347" s="90" t="str">
        <f aca="false">IF($BL347&lt;&gt;Constants!$B$4,"",IF($BB347="-&gt;",$BE347,$AU347))</f>
        <v/>
      </c>
      <c r="BU347" s="86" t="str">
        <f aca="false">IF(ISBLANK($C347),"",IF($BL347&lt;&gt;Constants!$B$4,$BL347,IF(ISNUMBER($BT347),RANK($BT347,$BT$9:$BT$508,0),COUNT($BT$9:$BT$508)+1)))</f>
        <v/>
      </c>
      <c r="BV347" s="90" t="str">
        <f aca="false">IF($BL347&lt;&gt;Constants!$B$4,"",IF($BB347="-&gt;",$BF347,$AV347))</f>
        <v/>
      </c>
      <c r="BW347" s="86" t="str">
        <f aca="false">IF(ISBLANK($C347),"",IF($BL347&lt;&gt;Constants!$B$4,$BL347,IF(ISNUMBER($BV347),RANK($BV347,$BV$9:$BV$508,0),COUNT($BV$9:$BV$508)+1)))</f>
        <v/>
      </c>
      <c r="BX347" s="90" t="str">
        <f aca="false">IF($BL347&lt;&gt;Constants!$B$4,"",IF($BB347="-&gt;",$BK347,$BA347))</f>
        <v/>
      </c>
      <c r="BY347" s="86" t="str">
        <f aca="false">IF(ISBLANK($C347),"",IF($BL347&lt;&gt;Constants!$B$4,$BL347,IF(ISNUMBER($BX347),RANK($BX347,$BX$9:$BX$508,0),COUNT($BX$9:$BX$508)+1)))</f>
        <v/>
      </c>
      <c r="BZ347" s="86" t="str">
        <f aca="false">IF(ISBLANK($C347),"",IF($BL347&lt;&gt;Constants!$B$4,$BL347,COUNTIFS($BM$9:$BM$508,"&lt;"&amp;$BM347)+COUNTIFS($BM$9:$BM$508,$BM347,$BP$9:$BP$508,"&lt;"&amp;$BP347)+COUNTIFS($BM$9:$BM$508,$BM347,$BP$9:$BP$508,$BP347,$BS$9:$BS$508,"&lt;"&amp;$BS347)+COUNTIFS($BM$9:$BM$508,$BM347,$BP$9:$BP$508,$BP347,$BS$9:$BS$508,$BS347,$BU$9:$BU$508,"&lt;"&amp;$BU347)+COUNTIFS($BM$9:$BM$508,$BM347,$BP$9:$BP$508,$BP347,$BS$9:$BS$508,$BS347,$BU$9:$BU$508,$BU347,$BW$9:$BW$508,"&lt;"&amp;$BW347)+COUNTIFS($BM$9:$BM$508,$BM347,$BP$9:$BP$508,$BP347,$BS$9:$BS$508,$BS347,$BU$9:$BU$508,$BU347,$BW$9:$BW$508,$BW347,$BY$9:$BY$508,"&lt;"&amp;$BY347)+1))</f>
        <v/>
      </c>
      <c r="CA347" s="86" t="str">
        <f aca="false">IF(ISBLANK($C347),"",IF($BL347&lt;&gt;Constants!$B$4,$BL347,$BQ347-$BZ347))</f>
        <v/>
      </c>
      <c r="CB347" s="93"/>
      <c r="CC347" s="94" t="str">
        <f aca="false">IF(ISBLANK($C347),"",IF($BL347=Constants!$B$8,$AR347,""))</f>
        <v/>
      </c>
      <c r="CD347" s="94" t="str">
        <f aca="false">IF(ISBLANK($C347),"",IF($BL347&lt;&gt;Constants!$B$4,"",IF($BB347="-&gt;",2,1)))</f>
        <v/>
      </c>
      <c r="CE347" s="95" t="str">
        <f aca="false">IF(ISBLANK($C347),"",IF($BL347&lt;&gt;Constants!$B$4,"",IF($BB347="-&gt;",$BE347,$AU347)))</f>
        <v/>
      </c>
      <c r="CF347" s="95" t="str">
        <f aca="false">IF(ISBLANK($C347),"",IF($BL347&lt;&gt;Constants!$B$4,"",IF($BB347="-&gt;",$BF347,$AV347)))</f>
        <v/>
      </c>
      <c r="CG347" s="95" t="str">
        <f aca="false">IF(ISBLANK($C347),"",IF($BL347&lt;&gt;Constants!$B$4,"",IF($BB347="-&gt;",$BG347,$AW347)))</f>
        <v/>
      </c>
      <c r="CH347" s="95" t="str">
        <f aca="false">IF(ISBLANK($C347),"",IF($BL347&lt;&gt;Constants!$B$4,"",IF($BB347="-&gt;",$BH347,$AX347)))</f>
        <v/>
      </c>
      <c r="CI347" s="96" t="str">
        <f aca="false">IF(ISBLANK($C347),"",$BO347)</f>
        <v/>
      </c>
      <c r="CJ347" s="97" t="str">
        <f aca="false">IF(ISBLANK($C347),"",$BM347)</f>
        <v/>
      </c>
      <c r="CK347" s="98" t="str">
        <f aca="false">IF(ISBLANK($C347),"",$CA347)</f>
        <v/>
      </c>
      <c r="CL347" s="98" t="str">
        <f aca="false">IF(ISBLANK($C347),"",$BZ347)</f>
        <v/>
      </c>
      <c r="CM347" s="99" t="str">
        <f aca="false">IF(ISBLANK($C347),"",IF($CL347=Constants!$B$7,COUNTA($C$9:$C$508)+2,IF($CL347=Constants!$B$6,COUNTA($C$9:$C$508)+1,IF($CL347=Constants!$B$5,COUNTA($C$9:$C$508),$CL347))))</f>
        <v/>
      </c>
      <c r="CN347" s="8"/>
      <c r="CO347" s="100" t="n">
        <f aca="false">IF(OR(ISNUMBER($CL347),$CL347=Constants!$B$7,$CL347=Constants!$B$5,$CL347=Constants!$B$6),1,0)</f>
        <v>0</v>
      </c>
      <c r="CP347" s="100" t="n">
        <v>339</v>
      </c>
      <c r="CQ347" s="100" t="str">
        <f aca="false">IF(ISBLANK($C347),"",IF(ISNUMBER($CM347),$CM347+ROW($B347)/1000,""))</f>
        <v/>
      </c>
      <c r="CR347" s="100" t="str">
        <f aca="false">IF(ISNUMBER($CQ347),RANK($CQ347,$CQ$9:$CQ$508,1),"")</f>
        <v/>
      </c>
      <c r="CS347" s="100" t="str">
        <f aca="false">IF(ISBLANK($C347),"",$B347)</f>
        <v/>
      </c>
      <c r="CT347" s="100" t="str">
        <f aca="false">IF(ISBLANK($C347),"",$C347)</f>
        <v/>
      </c>
      <c r="CU347" s="100" t="str">
        <f aca="false">IF(ISBLANK($C347),"",$D347)</f>
        <v/>
      </c>
      <c r="CV347" s="101" t="str">
        <f aca="false">$CJ347</f>
        <v/>
      </c>
      <c r="CW347" s="102" t="str">
        <f aca="false">$CI347</f>
        <v/>
      </c>
      <c r="CX347" s="100" t="str">
        <f aca="false">IF(ISBLANK($C347),"",$CL347)</f>
        <v/>
      </c>
      <c r="CY347" s="103" t="str">
        <f aca="false">IF($CP347&gt;$CO$8,"",VLOOKUP($CP347,$CR$9:$CX$508,7,FALSE()))</f>
        <v/>
      </c>
      <c r="CZ347" s="104" t="str">
        <f aca="false">IF($CP347&gt;$CO$8,"",VLOOKUP($CP347,$CR$9:$CX$508,2,FALSE()))</f>
        <v/>
      </c>
      <c r="DA347" s="104" t="str">
        <f aca="false">IF($CP347&gt;$CO$8,"",VLOOKUP($CP347,$CR$9:$CX$508,3,FALSE()))</f>
        <v/>
      </c>
      <c r="DB347" s="104" t="str">
        <f aca="false">IF($CP347&gt;$CO$8,"",VLOOKUP($CP347,$CR$9:$CX$508,4,FALSE()))</f>
        <v/>
      </c>
      <c r="DC347" s="104" t="str">
        <f aca="false">IF($CP347&gt;$CO$8,"",VLOOKUP($CP347,$CR$9:$CX$508,5,FALSE()))</f>
        <v/>
      </c>
      <c r="DD347" s="105" t="str">
        <f aca="false">IF($CP347&gt;$CO$8,"",VLOOKUP($CP347,$CR$9:$CX$508,6,FALSE()))</f>
        <v/>
      </c>
      <c r="DE347" s="70"/>
    </row>
    <row r="348" customFormat="false" ht="15.75" hidden="false" customHeight="false" outlineLevel="0" collapsed="false">
      <c r="A348" s="8"/>
      <c r="B348" s="146"/>
      <c r="C348" s="147"/>
      <c r="D348" s="148"/>
      <c r="E348" s="164"/>
      <c r="F348" s="150"/>
      <c r="G348" s="115"/>
      <c r="H348" s="115"/>
      <c r="I348" s="115"/>
      <c r="J348" s="165"/>
      <c r="K348" s="154"/>
      <c r="L348" s="154"/>
      <c r="M348" s="118"/>
      <c r="N348" s="154"/>
      <c r="O348" s="153"/>
      <c r="P348" s="154"/>
      <c r="Q348" s="154"/>
      <c r="R348" s="154"/>
      <c r="S348" s="115"/>
      <c r="T348" s="154"/>
      <c r="U348" s="153"/>
      <c r="V348" s="154"/>
      <c r="W348" s="123"/>
      <c r="X348" s="124" t="str">
        <f aca="false">IF(ISBLANK($C348),"",IF($E348=Constants!$B$2,TRUE(),IF($E348=Constants!$B$3,FALSE(),TRUE())))</f>
        <v/>
      </c>
      <c r="Y348" s="124" t="str">
        <f aca="false">IF(ISBLANK($C348),"",IF($F348=Constants!$B$2,TRUE(),IF($F348=Constants!$B$3,FALSE(),TRUE())))</f>
        <v/>
      </c>
      <c r="Z348" s="125" t="str">
        <f aca="false">IF(ISBLANK($C348),"",IF(ISNUMBER($G348),IF($G348&gt;=0,$G348,""),""))</f>
        <v/>
      </c>
      <c r="AA348" s="125" t="str">
        <f aca="false">IF(ISBLANK($C348),"",IF(ISNUMBER($H348),IF($H348&gt;=0,$H348,""),""))</f>
        <v/>
      </c>
      <c r="AB348" s="125" t="str">
        <f aca="false">IF(ISBLANK($C348),"",IF(ISNUMBER($I348),IF($I348&gt;=0,$I348,""),""))</f>
        <v/>
      </c>
      <c r="AC348" s="124" t="str">
        <f aca="false">IF(ISBLANK($C348),"",IF($J348=Constants!$B$2,TRUE(),IF($J348=Constants!$B$3,FALSE(),TRUE())))</f>
        <v/>
      </c>
      <c r="AD348" s="124" t="str">
        <f aca="false">IF(ISBLANK($C348),"",IF($K348=Constants!$B$2,TRUE(),IF($K348=Constants!$B$3,FALSE(),TRUE())))</f>
        <v/>
      </c>
      <c r="AE348" s="124" t="str">
        <f aca="false">IF(ISBLANK($C348),"",IF($L348=Constants!$B$2,TRUE(),IF($L348=Constants!$B$3,FALSE(),TRUE())))</f>
        <v/>
      </c>
      <c r="AF348" s="126" t="str">
        <f aca="false">IF(ISBLANK($C348),"",IF(ISNUMBER($M348),IF($M348&gt;=0,$M348,""),""))</f>
        <v/>
      </c>
      <c r="AG348" s="124" t="str">
        <f aca="false">IF(ISBLANK($C348),"",IF(ISBLANK($N348),0,IF(ISNUMBER($N348),IF(AND($N348&gt;=0,$N348&lt;=Constants!$B$17,$N348=INT($N348)),$N348,""),"")))</f>
        <v/>
      </c>
      <c r="AH348" s="125" t="str">
        <f aca="false">IF(ISBLANK($C348),"",IF(ISBLANK($O348),0,IF(ISNUMBER($O348),IF($O348&gt;=0,$O348,""),"")))</f>
        <v/>
      </c>
      <c r="AI348" s="124" t="str">
        <f aca="false">IF(ISBLANK($C348),"",IF($P348=Constants!$B$2,TRUE(),IF($P348=Constants!$B$3,FALSE(),TRUE())))</f>
        <v/>
      </c>
      <c r="AJ348" s="124" t="str">
        <f aca="false">IF(ISBLANK($C348),"",IF($Q348=Constants!$B$2,TRUE(),IF($Q348=Constants!$B$3,FALSE(),TRUE())))</f>
        <v/>
      </c>
      <c r="AK348" s="124" t="str">
        <f aca="false">IF(ISBLANK($C348),"",IF($R348=Constants!$B$2,TRUE(),IF($R348=Constants!$B$3,FALSE(),TRUE())))</f>
        <v/>
      </c>
      <c r="AL348" s="126" t="str">
        <f aca="false">IF(ISBLANK($C348),"",IF(ISNUMBER($S348),IF($S348&gt;=0,$S348,""),""))</f>
        <v/>
      </c>
      <c r="AM348" s="124" t="str">
        <f aca="false">IF(ISBLANK($C348),"",IF(ISBLANK($T348),0,IF(ISNUMBER($T348),IF(AND($T348&gt;=0,$T348&lt;=Constants!$B$17,$T348=INT($T348)),$T348,""),"")))</f>
        <v/>
      </c>
      <c r="AN348" s="125" t="str">
        <f aca="false">IF(ISBLANK($C348),"",IF(ISBLANK($U348),0,IF(ISNUMBER($U348),IF($U348&gt;=0,$U348,""),"")))</f>
        <v/>
      </c>
      <c r="AO348" s="124" t="str">
        <f aca="false">IF(ISBLANK($C348),"",IF($V348=Constants!$B$2,TRUE(),IF($V348=Constants!$B$3,FALSE(),FALSE())))</f>
        <v/>
      </c>
      <c r="AP348" s="124"/>
      <c r="AQ348" s="123" t="str">
        <f aca="false">IF(ISBLANK($C348),"",AND($Y348,OR($AS348,$BC348),OR($Z348="",$AA348="",$AB348="")))</f>
        <v/>
      </c>
      <c r="AR348" s="123" t="str">
        <f aca="false">IF(ISBLANK($C348),"",IF(OR(NOT($Y348),NOT(OR($AS348,$BC348))),"",IF(ISBLANK($D$7),$AR$5,IF($AP$9="",$AR$6,""))))</f>
        <v/>
      </c>
      <c r="AS348" s="123" t="str">
        <f aca="false">IF(ISBLANK($C348),"",COUNTA($J348:$O348)&gt;0)</f>
        <v/>
      </c>
      <c r="AT348" s="123" t="str">
        <f aca="false">IF(ISBLANK($C348),"",AND($AS348,OR(AND($AF348="",OR($AE348,NOT(ISBLANK($M348)))),$AG348="",$AH348="")))</f>
        <v/>
      </c>
      <c r="AU348" s="125" t="str">
        <f aca="false">IF($BL348&lt;&gt;Constants!$B$4,"",IF(NOT($AS348),"",ROUND((Constants!$B$12-$AB348)+(Constants!$B$13-$Z348)+(Constants!$B$14-$AA348),1)))</f>
        <v/>
      </c>
      <c r="AV348" s="127" t="str">
        <f aca="false">IF($BL348&lt;&gt;Constants!$B$4,"",IF(NOT($AS348),"",IF(NOT($AE348),0,Constants!$B$15*(INT(ROUND(MIN($AF348,$AP$9),6))-INT(ROUND(MAX(0,MIN($AF348,2*$AP$9)-$AP$9),6))))))</f>
        <v/>
      </c>
      <c r="AW348" s="127" t="str">
        <f aca="false">IF($BL348&lt;&gt;Constants!$B$4,"",IF(NOT($AS348),"",Constants!$B$16*$AG348))</f>
        <v/>
      </c>
      <c r="AX348" s="127" t="str">
        <f aca="false">IF($BL348&lt;&gt;Constants!$B$4,"",IF(NOT($AS348),"",Constants!$B$18*INT(ROUND($AH348,6))))</f>
        <v/>
      </c>
      <c r="AY348" s="123" t="str">
        <f aca="false">IF($BL348&lt;&gt;Constants!$B$4,"",IF(NOT($AS348),"",IF(NOT($X348),Constants!$B$11,IF(OR(NOT($AC348),NOT($AD348),ROUND($AB348,1)&gt;Constants!$B$12,ROUND($Z348,1)&gt;Constants!$B$13,ROUND($AA348,1)&gt;Constants!$B$14),Constants!$B$10,Constants!$B$9))))</f>
        <v/>
      </c>
      <c r="AZ348" s="128" t="str">
        <f aca="false">IF($BL348&lt;&gt;Constants!$B$4,"",IF(NOT($AS348),"",ROUND($AU348+$AV348+$AW348+$AX348,1)))</f>
        <v/>
      </c>
      <c r="BA348" s="129" t="str">
        <f aca="false">IF($BL348&lt;&gt;Constants!$B$4,"",IF(NOT($AS348),"",IF(ISNUMBER($AF348),$AF348,0)))</f>
        <v/>
      </c>
      <c r="BB348" s="124" t="str">
        <f aca="false">IF($BL348&lt;&gt;Constants!$B$4,"",IF(NOT($BC348),"&lt;-",IF(NOT($AS348),"-&gt;",IF(OR($BI348&lt;$AY348,AND($BI348=$AY348,OR($BJ348&gt;$AZ348,AND($BJ348=$AZ348,OR($BH348&gt;$AX348,AND($BH348=$AX348,OR($BE348&gt;$AU348,AND($BE348=$AU348,OR($BF348&gt;$AV348,AND($BF348=$AV348,$BK348&gt;$BA348)))))))))),"-&gt;","&lt;-"))))</f>
        <v/>
      </c>
      <c r="BC348" s="123" t="str">
        <f aca="false">IF(ISBLANK($C348),"",COUNTA($P348:$U348)&gt;0)</f>
        <v/>
      </c>
      <c r="BD348" s="123" t="str">
        <f aca="false">IF(ISBLANK($C348),"",AND($BC348,OR(AND($AL348="",OR($AK348,NOT(ISBLANK($S348)))),$AM348="",$AN348="")))</f>
        <v/>
      </c>
      <c r="BE348" s="125" t="str">
        <f aca="false">IF($BL348&lt;&gt;Constants!$B$4,"",IF(NOT($BC348),"",ROUND((Constants!$B$12-$AB348)+(Constants!$B$13-$Z348)+(Constants!$B$14-$AA348),1)))</f>
        <v/>
      </c>
      <c r="BF348" s="127" t="str">
        <f aca="false">IF($BL348&lt;&gt;Constants!$B$4,"",IF(NOT($BC348),"",IF(NOT($AK348),0,Constants!$B$15*(INT(ROUND(MIN($AL348,$AP$9),6))-INT(ROUND(MAX(0,MIN($AL348,2*$AP$9)-$AP$9),6))))))</f>
        <v/>
      </c>
      <c r="BG348" s="127" t="str">
        <f aca="false">IF($BL348&lt;&gt;Constants!$B$4,"",IF(NOT($BC348),"",Constants!$B$16*$AM348))</f>
        <v/>
      </c>
      <c r="BH348" s="127" t="str">
        <f aca="false">IF($BL348&lt;&gt;Constants!$B$4,"",IF(NOT($BC348),"",Constants!$B$18*INT(ROUND($AN348,6))))</f>
        <v/>
      </c>
      <c r="BI348" s="123" t="str">
        <f aca="false">IF($BL348&lt;&gt;Constants!$B$4,"",IF(NOT($BC348),"",IF(NOT($X348),Constants!$B$11,IF(OR(NOT($AI348),NOT($AJ348),ROUND($AB348,1)&gt;Constants!$B$12,ROUND($Z348,1)&gt;Constants!$B$13,ROUND($AA348,1)&gt;Constants!$B$14),Constants!$B$10,Constants!$B$9))))</f>
        <v/>
      </c>
      <c r="BJ348" s="128" t="str">
        <f aca="false">IF($BL348&lt;&gt;Constants!$B$4,"",IF(NOT($BC348),"",ROUND($BE348+$BF348+$BG348+$BH348,1)))</f>
        <v/>
      </c>
      <c r="BK348" s="129" t="str">
        <f aca="false">IF($BL348&lt;&gt;Constants!$B$4,"",IF(NOT($BC348),"",IF(ISNUMBER($AL348),$AL348,0)))</f>
        <v/>
      </c>
      <c r="BL348" s="124" t="str">
        <f aca="false">IF(ISBLANK($C348),"",IF($AO348,Constants!$B$7,IF(COUNTA($E348:$V348)=0,Constants!$B$6,IF(NOT($Y348),Constants!$B$5,IF(NOT(OR($AS348,$BC348)),Constants!$B$5,IF(OR($AT348,$BD348,$AQ348,$AR348&lt;&gt;""),Constants!$B$8,Constants!$B$4))))))</f>
        <v/>
      </c>
      <c r="BM348" s="124" t="str">
        <f aca="false">IF(ISBLANK($C348),"",IF($BL348&lt;&gt;Constants!$B$4,$BL348,IF($BB348="-&gt;",$BI348,$AY348)))</f>
        <v/>
      </c>
      <c r="BN348" s="127" t="str">
        <f aca="false">IF($BL348&lt;&gt;Constants!$B$4,"",IF($BB348="-&gt;",$BJ348,$AZ348))</f>
        <v/>
      </c>
      <c r="BO348" s="127" t="str">
        <f aca="false">IF(ISBLANK($C348),"",IF($BL348&lt;&gt;Constants!$B$4,$BL348,$BN348))</f>
        <v/>
      </c>
      <c r="BP348" s="124" t="str">
        <f aca="false">IF(ISBLANK($C348),"",IF($BL348&lt;&gt;Constants!$B$4,$BL348,RANK($BO348,$BO$9:$BO$508,0)))</f>
        <v/>
      </c>
      <c r="BQ348" s="124" t="str">
        <f aca="false">IF(ISBLANK($C348),"",IF($BL348&lt;&gt;Constants!$B$4,$BL348,COUNTIFS($BM$9:$BM$508,"&lt;"&amp;$BM348)+COUNTIFS($BM$9:$BM$508,$BM348,$BP$9:$BP$508,"&lt;"&amp;$BP348)+1))</f>
        <v/>
      </c>
      <c r="BR348" s="127" t="str">
        <f aca="false">IF($BL348&lt;&gt;Constants!$B$4,"",IF($BB348="-&gt;",$BH348,$AX348))</f>
        <v/>
      </c>
      <c r="BS348" s="124" t="str">
        <f aca="false">IF(ISBLANK($C348),"",IF($BL348&lt;&gt;Constants!$B$4,$BL348,IF(ISNUMBER($BR348),RANK($BR348,$BR$9:$BR$508,0),COUNT($BR$9:$BR$508)+1)))</f>
        <v/>
      </c>
      <c r="BT348" s="127" t="str">
        <f aca="false">IF($BL348&lt;&gt;Constants!$B$4,"",IF($BB348="-&gt;",$BE348,$AU348))</f>
        <v/>
      </c>
      <c r="BU348" s="124" t="str">
        <f aca="false">IF(ISBLANK($C348),"",IF($BL348&lt;&gt;Constants!$B$4,$BL348,IF(ISNUMBER($BT348),RANK($BT348,$BT$9:$BT$508,0),COUNT($BT$9:$BT$508)+1)))</f>
        <v/>
      </c>
      <c r="BV348" s="127" t="str">
        <f aca="false">IF($BL348&lt;&gt;Constants!$B$4,"",IF($BB348="-&gt;",$BF348,$AV348))</f>
        <v/>
      </c>
      <c r="BW348" s="124" t="str">
        <f aca="false">IF(ISBLANK($C348),"",IF($BL348&lt;&gt;Constants!$B$4,$BL348,IF(ISNUMBER($BV348),RANK($BV348,$BV$9:$BV$508,0),COUNT($BV$9:$BV$508)+1)))</f>
        <v/>
      </c>
      <c r="BX348" s="127" t="str">
        <f aca="false">IF($BL348&lt;&gt;Constants!$B$4,"",IF($BB348="-&gt;",$BK348,$BA348))</f>
        <v/>
      </c>
      <c r="BY348" s="124" t="str">
        <f aca="false">IF(ISBLANK($C348),"",IF($BL348&lt;&gt;Constants!$B$4,$BL348,IF(ISNUMBER($BX348),RANK($BX348,$BX$9:$BX$508,0),COUNT($BX$9:$BX$508)+1)))</f>
        <v/>
      </c>
      <c r="BZ348" s="124" t="str">
        <f aca="false">IF(ISBLANK($C348),"",IF($BL348&lt;&gt;Constants!$B$4,$BL348,COUNTIFS($BM$9:$BM$508,"&lt;"&amp;$BM348)+COUNTIFS($BM$9:$BM$508,$BM348,$BP$9:$BP$508,"&lt;"&amp;$BP348)+COUNTIFS($BM$9:$BM$508,$BM348,$BP$9:$BP$508,$BP348,$BS$9:$BS$508,"&lt;"&amp;$BS348)+COUNTIFS($BM$9:$BM$508,$BM348,$BP$9:$BP$508,$BP348,$BS$9:$BS$508,$BS348,$BU$9:$BU$508,"&lt;"&amp;$BU348)+COUNTIFS($BM$9:$BM$508,$BM348,$BP$9:$BP$508,$BP348,$BS$9:$BS$508,$BS348,$BU$9:$BU$508,$BU348,$BW$9:$BW$508,"&lt;"&amp;$BW348)+COUNTIFS($BM$9:$BM$508,$BM348,$BP$9:$BP$508,$BP348,$BS$9:$BS$508,$BS348,$BU$9:$BU$508,$BU348,$BW$9:$BW$508,$BW348,$BY$9:$BY$508,"&lt;"&amp;$BY348)+1))</f>
        <v/>
      </c>
      <c r="CA348" s="124" t="str">
        <f aca="false">IF(ISBLANK($C348),"",IF($BL348&lt;&gt;Constants!$B$4,$BL348,$BQ348-$BZ348))</f>
        <v/>
      </c>
      <c r="CB348" s="130"/>
      <c r="CC348" s="131" t="str">
        <f aca="false">IF(ISBLANK($C348),"",IF($BL348=Constants!$B$8,$AR348,""))</f>
        <v/>
      </c>
      <c r="CD348" s="131" t="str">
        <f aca="false">IF(ISBLANK($C348),"",IF($BL348&lt;&gt;Constants!$B$4,"",IF($BB348="-&gt;",2,1)))</f>
        <v/>
      </c>
      <c r="CE348" s="132" t="str">
        <f aca="false">IF(ISBLANK($C348),"",IF($BL348&lt;&gt;Constants!$B$4,"",IF($BB348="-&gt;",$BE348,$AU348)))</f>
        <v/>
      </c>
      <c r="CF348" s="132" t="str">
        <f aca="false">IF(ISBLANK($C348),"",IF($BL348&lt;&gt;Constants!$B$4,"",IF($BB348="-&gt;",$BF348,$AV348)))</f>
        <v/>
      </c>
      <c r="CG348" s="132" t="str">
        <f aca="false">IF(ISBLANK($C348),"",IF($BL348&lt;&gt;Constants!$B$4,"",IF($BB348="-&gt;",$BG348,$AW348)))</f>
        <v/>
      </c>
      <c r="CH348" s="132" t="str">
        <f aca="false">IF(ISBLANK($C348),"",IF($BL348&lt;&gt;Constants!$B$4,"",IF($BB348="-&gt;",$BH348,$AX348)))</f>
        <v/>
      </c>
      <c r="CI348" s="133" t="str">
        <f aca="false">IF(ISBLANK($C348),"",$BO348)</f>
        <v/>
      </c>
      <c r="CJ348" s="134" t="str">
        <f aca="false">IF(ISBLANK($C348),"",$BM348)</f>
        <v/>
      </c>
      <c r="CK348" s="135" t="str">
        <f aca="false">IF(ISBLANK($C348),"",$CA348)</f>
        <v/>
      </c>
      <c r="CL348" s="135" t="str">
        <f aca="false">IF(ISBLANK($C348),"",$BZ348)</f>
        <v/>
      </c>
      <c r="CM348" s="136" t="str">
        <f aca="false">IF(ISBLANK($C348),"",IF($CL348=Constants!$B$7,COUNTA($C$9:$C$508)+2,IF($CL348=Constants!$B$6,COUNTA($C$9:$C$508)+1,IF($CL348=Constants!$B$5,COUNTA($C$9:$C$508),$CL348))))</f>
        <v/>
      </c>
      <c r="CN348" s="8"/>
      <c r="CO348" s="137" t="n">
        <f aca="false">IF(OR(ISNUMBER($CL348),$CL348=Constants!$B$7,$CL348=Constants!$B$5,$CL348=Constants!$B$6),1,0)</f>
        <v>0</v>
      </c>
      <c r="CP348" s="137" t="n">
        <v>340</v>
      </c>
      <c r="CQ348" s="137" t="str">
        <f aca="false">IF(ISBLANK($C348),"",IF(ISNUMBER($CM348),$CM348+ROW($B348)/1000,""))</f>
        <v/>
      </c>
      <c r="CR348" s="137" t="str">
        <f aca="false">IF(ISNUMBER($CQ348),RANK($CQ348,$CQ$9:$CQ$508,1),"")</f>
        <v/>
      </c>
      <c r="CS348" s="137" t="str">
        <f aca="false">IF(ISBLANK($C348),"",$B348)</f>
        <v/>
      </c>
      <c r="CT348" s="137" t="str">
        <f aca="false">IF(ISBLANK($C348),"",$C348)</f>
        <v/>
      </c>
      <c r="CU348" s="137" t="str">
        <f aca="false">IF(ISBLANK($C348),"",$D348)</f>
        <v/>
      </c>
      <c r="CV348" s="138" t="str">
        <f aca="false">$CJ348</f>
        <v/>
      </c>
      <c r="CW348" s="139" t="str">
        <f aca="false">$CI348</f>
        <v/>
      </c>
      <c r="CX348" s="137" t="str">
        <f aca="false">IF(ISBLANK($C348),"",$CL348)</f>
        <v/>
      </c>
      <c r="CY348" s="140" t="str">
        <f aca="false">IF($CP348&gt;$CO$8,"",VLOOKUP($CP348,$CR$9:$CX$508,7,FALSE()))</f>
        <v/>
      </c>
      <c r="CZ348" s="141" t="str">
        <f aca="false">IF($CP348&gt;$CO$8,"",VLOOKUP($CP348,$CR$9:$CX$508,2,FALSE()))</f>
        <v/>
      </c>
      <c r="DA348" s="141" t="str">
        <f aca="false">IF($CP348&gt;$CO$8,"",VLOOKUP($CP348,$CR$9:$CX$508,3,FALSE()))</f>
        <v/>
      </c>
      <c r="DB348" s="141" t="str">
        <f aca="false">IF($CP348&gt;$CO$8,"",VLOOKUP($CP348,$CR$9:$CX$508,4,FALSE()))</f>
        <v/>
      </c>
      <c r="DC348" s="141" t="str">
        <f aca="false">IF($CP348&gt;$CO$8,"",VLOOKUP($CP348,$CR$9:$CX$508,5,FALSE()))</f>
        <v/>
      </c>
      <c r="DD348" s="142" t="str">
        <f aca="false">IF($CP348&gt;$CO$8,"",VLOOKUP($CP348,$CR$9:$CX$508,6,FALSE()))</f>
        <v/>
      </c>
      <c r="DE348" s="70"/>
    </row>
    <row r="349" customFormat="false" ht="15.75" hidden="false" customHeight="false" outlineLevel="0" collapsed="false">
      <c r="A349" s="8"/>
      <c r="B349" s="146"/>
      <c r="C349" s="147"/>
      <c r="D349" s="148"/>
      <c r="E349" s="164"/>
      <c r="F349" s="150"/>
      <c r="G349" s="115"/>
      <c r="H349" s="115"/>
      <c r="I349" s="115"/>
      <c r="J349" s="165"/>
      <c r="K349" s="154"/>
      <c r="L349" s="154"/>
      <c r="M349" s="118"/>
      <c r="N349" s="154"/>
      <c r="O349" s="153"/>
      <c r="P349" s="154"/>
      <c r="Q349" s="154"/>
      <c r="R349" s="154"/>
      <c r="S349" s="115"/>
      <c r="T349" s="154"/>
      <c r="U349" s="153"/>
      <c r="V349" s="154"/>
      <c r="W349" s="123"/>
      <c r="X349" s="124" t="str">
        <f aca="false">IF(ISBLANK($C349),"",IF($E349=Constants!$B$2,TRUE(),IF($E349=Constants!$B$3,FALSE(),TRUE())))</f>
        <v/>
      </c>
      <c r="Y349" s="124" t="str">
        <f aca="false">IF(ISBLANK($C349),"",IF($F349=Constants!$B$2,TRUE(),IF($F349=Constants!$B$3,FALSE(),TRUE())))</f>
        <v/>
      </c>
      <c r="Z349" s="125" t="str">
        <f aca="false">IF(ISBLANK($C349),"",IF(ISNUMBER($G349),IF($G349&gt;=0,$G349,""),""))</f>
        <v/>
      </c>
      <c r="AA349" s="125" t="str">
        <f aca="false">IF(ISBLANK($C349),"",IF(ISNUMBER($H349),IF($H349&gt;=0,$H349,""),""))</f>
        <v/>
      </c>
      <c r="AB349" s="125" t="str">
        <f aca="false">IF(ISBLANK($C349),"",IF(ISNUMBER($I349),IF($I349&gt;=0,$I349,""),""))</f>
        <v/>
      </c>
      <c r="AC349" s="124" t="str">
        <f aca="false">IF(ISBLANK($C349),"",IF($J349=Constants!$B$2,TRUE(),IF($J349=Constants!$B$3,FALSE(),TRUE())))</f>
        <v/>
      </c>
      <c r="AD349" s="124" t="str">
        <f aca="false">IF(ISBLANK($C349),"",IF($K349=Constants!$B$2,TRUE(),IF($K349=Constants!$B$3,FALSE(),TRUE())))</f>
        <v/>
      </c>
      <c r="AE349" s="124" t="str">
        <f aca="false">IF(ISBLANK($C349),"",IF($L349=Constants!$B$2,TRUE(),IF($L349=Constants!$B$3,FALSE(),TRUE())))</f>
        <v/>
      </c>
      <c r="AF349" s="126" t="str">
        <f aca="false">IF(ISBLANK($C349),"",IF(ISNUMBER($M349),IF($M349&gt;=0,$M349,""),""))</f>
        <v/>
      </c>
      <c r="AG349" s="124" t="str">
        <f aca="false">IF(ISBLANK($C349),"",IF(ISBLANK($N349),0,IF(ISNUMBER($N349),IF(AND($N349&gt;=0,$N349&lt;=Constants!$B$17,$N349=INT($N349)),$N349,""),"")))</f>
        <v/>
      </c>
      <c r="AH349" s="125" t="str">
        <f aca="false">IF(ISBLANK($C349),"",IF(ISBLANK($O349),0,IF(ISNUMBER($O349),IF($O349&gt;=0,$O349,""),"")))</f>
        <v/>
      </c>
      <c r="AI349" s="124" t="str">
        <f aca="false">IF(ISBLANK($C349),"",IF($P349=Constants!$B$2,TRUE(),IF($P349=Constants!$B$3,FALSE(),TRUE())))</f>
        <v/>
      </c>
      <c r="AJ349" s="124" t="str">
        <f aca="false">IF(ISBLANK($C349),"",IF($Q349=Constants!$B$2,TRUE(),IF($Q349=Constants!$B$3,FALSE(),TRUE())))</f>
        <v/>
      </c>
      <c r="AK349" s="124" t="str">
        <f aca="false">IF(ISBLANK($C349),"",IF($R349=Constants!$B$2,TRUE(),IF($R349=Constants!$B$3,FALSE(),TRUE())))</f>
        <v/>
      </c>
      <c r="AL349" s="126" t="str">
        <f aca="false">IF(ISBLANK($C349),"",IF(ISNUMBER($S349),IF($S349&gt;=0,$S349,""),""))</f>
        <v/>
      </c>
      <c r="AM349" s="124" t="str">
        <f aca="false">IF(ISBLANK($C349),"",IF(ISBLANK($T349),0,IF(ISNUMBER($T349),IF(AND($T349&gt;=0,$T349&lt;=Constants!$B$17,$T349=INT($T349)),$T349,""),"")))</f>
        <v/>
      </c>
      <c r="AN349" s="125" t="str">
        <f aca="false">IF(ISBLANK($C349),"",IF(ISBLANK($U349),0,IF(ISNUMBER($U349),IF($U349&gt;=0,$U349,""),"")))</f>
        <v/>
      </c>
      <c r="AO349" s="124" t="str">
        <f aca="false">IF(ISBLANK($C349),"",IF($V349=Constants!$B$2,TRUE(),IF($V349=Constants!$B$3,FALSE(),FALSE())))</f>
        <v/>
      </c>
      <c r="AP349" s="124"/>
      <c r="AQ349" s="123" t="str">
        <f aca="false">IF(ISBLANK($C349),"",AND($Y349,OR($AS349,$BC349),OR($Z349="",$AA349="",$AB349="")))</f>
        <v/>
      </c>
      <c r="AR349" s="123" t="str">
        <f aca="false">IF(ISBLANK($C349),"",IF(OR(NOT($Y349),NOT(OR($AS349,$BC349))),"",IF(ISBLANK($D$7),$AR$5,IF($AP$9="",$AR$6,""))))</f>
        <v/>
      </c>
      <c r="AS349" s="123" t="str">
        <f aca="false">IF(ISBLANK($C349),"",COUNTA($J349:$O349)&gt;0)</f>
        <v/>
      </c>
      <c r="AT349" s="123" t="str">
        <f aca="false">IF(ISBLANK($C349),"",AND($AS349,OR(AND($AF349="",OR($AE349,NOT(ISBLANK($M349)))),$AG349="",$AH349="")))</f>
        <v/>
      </c>
      <c r="AU349" s="125" t="str">
        <f aca="false">IF($BL349&lt;&gt;Constants!$B$4,"",IF(NOT($AS349),"",ROUND((Constants!$B$12-$AB349)+(Constants!$B$13-$Z349)+(Constants!$B$14-$AA349),1)))</f>
        <v/>
      </c>
      <c r="AV349" s="127" t="str">
        <f aca="false">IF($BL349&lt;&gt;Constants!$B$4,"",IF(NOT($AS349),"",IF(NOT($AE349),0,Constants!$B$15*(INT(ROUND(MIN($AF349,$AP$9),6))-INT(ROUND(MAX(0,MIN($AF349,2*$AP$9)-$AP$9),6))))))</f>
        <v/>
      </c>
      <c r="AW349" s="127" t="str">
        <f aca="false">IF($BL349&lt;&gt;Constants!$B$4,"",IF(NOT($AS349),"",Constants!$B$16*$AG349))</f>
        <v/>
      </c>
      <c r="AX349" s="127" t="str">
        <f aca="false">IF($BL349&lt;&gt;Constants!$B$4,"",IF(NOT($AS349),"",Constants!$B$18*INT(ROUND($AH349,6))))</f>
        <v/>
      </c>
      <c r="AY349" s="123" t="str">
        <f aca="false">IF($BL349&lt;&gt;Constants!$B$4,"",IF(NOT($AS349),"",IF(NOT($X349),Constants!$B$11,IF(OR(NOT($AC349),NOT($AD349),ROUND($AB349,1)&gt;Constants!$B$12,ROUND($Z349,1)&gt;Constants!$B$13,ROUND($AA349,1)&gt;Constants!$B$14),Constants!$B$10,Constants!$B$9))))</f>
        <v/>
      </c>
      <c r="AZ349" s="128" t="str">
        <f aca="false">IF($BL349&lt;&gt;Constants!$B$4,"",IF(NOT($AS349),"",ROUND($AU349+$AV349+$AW349+$AX349,1)))</f>
        <v/>
      </c>
      <c r="BA349" s="129" t="str">
        <f aca="false">IF($BL349&lt;&gt;Constants!$B$4,"",IF(NOT($AS349),"",IF(ISNUMBER($AF349),$AF349,0)))</f>
        <v/>
      </c>
      <c r="BB349" s="124" t="str">
        <f aca="false">IF($BL349&lt;&gt;Constants!$B$4,"",IF(NOT($BC349),"&lt;-",IF(NOT($AS349),"-&gt;",IF(OR($BI349&lt;$AY349,AND($BI349=$AY349,OR($BJ349&gt;$AZ349,AND($BJ349=$AZ349,OR($BH349&gt;$AX349,AND($BH349=$AX349,OR($BE349&gt;$AU349,AND($BE349=$AU349,OR($BF349&gt;$AV349,AND($BF349=$AV349,$BK349&gt;$BA349)))))))))),"-&gt;","&lt;-"))))</f>
        <v/>
      </c>
      <c r="BC349" s="123" t="str">
        <f aca="false">IF(ISBLANK($C349),"",COUNTA($P349:$U349)&gt;0)</f>
        <v/>
      </c>
      <c r="BD349" s="123" t="str">
        <f aca="false">IF(ISBLANK($C349),"",AND($BC349,OR(AND($AL349="",OR($AK349,NOT(ISBLANK($S349)))),$AM349="",$AN349="")))</f>
        <v/>
      </c>
      <c r="BE349" s="125" t="str">
        <f aca="false">IF($BL349&lt;&gt;Constants!$B$4,"",IF(NOT($BC349),"",ROUND((Constants!$B$12-$AB349)+(Constants!$B$13-$Z349)+(Constants!$B$14-$AA349),1)))</f>
        <v/>
      </c>
      <c r="BF349" s="127" t="str">
        <f aca="false">IF($BL349&lt;&gt;Constants!$B$4,"",IF(NOT($BC349),"",IF(NOT($AK349),0,Constants!$B$15*(INT(ROUND(MIN($AL349,$AP$9),6))-INT(ROUND(MAX(0,MIN($AL349,2*$AP$9)-$AP$9),6))))))</f>
        <v/>
      </c>
      <c r="BG349" s="127" t="str">
        <f aca="false">IF($BL349&lt;&gt;Constants!$B$4,"",IF(NOT($BC349),"",Constants!$B$16*$AM349))</f>
        <v/>
      </c>
      <c r="BH349" s="127" t="str">
        <f aca="false">IF($BL349&lt;&gt;Constants!$B$4,"",IF(NOT($BC349),"",Constants!$B$18*INT(ROUND($AN349,6))))</f>
        <v/>
      </c>
      <c r="BI349" s="123" t="str">
        <f aca="false">IF($BL349&lt;&gt;Constants!$B$4,"",IF(NOT($BC349),"",IF(NOT($X349),Constants!$B$11,IF(OR(NOT($AI349),NOT($AJ349),ROUND($AB349,1)&gt;Constants!$B$12,ROUND($Z349,1)&gt;Constants!$B$13,ROUND($AA349,1)&gt;Constants!$B$14),Constants!$B$10,Constants!$B$9))))</f>
        <v/>
      </c>
      <c r="BJ349" s="128" t="str">
        <f aca="false">IF($BL349&lt;&gt;Constants!$B$4,"",IF(NOT($BC349),"",ROUND($BE349+$BF349+$BG349+$BH349,1)))</f>
        <v/>
      </c>
      <c r="BK349" s="129" t="str">
        <f aca="false">IF($BL349&lt;&gt;Constants!$B$4,"",IF(NOT($BC349),"",IF(ISNUMBER($AL349),$AL349,0)))</f>
        <v/>
      </c>
      <c r="BL349" s="124" t="str">
        <f aca="false">IF(ISBLANK($C349),"",IF($AO349,Constants!$B$7,IF(COUNTA($E349:$V349)=0,Constants!$B$6,IF(NOT($Y349),Constants!$B$5,IF(NOT(OR($AS349,$BC349)),Constants!$B$5,IF(OR($AT349,$BD349,$AQ349,$AR349&lt;&gt;""),Constants!$B$8,Constants!$B$4))))))</f>
        <v/>
      </c>
      <c r="BM349" s="124" t="str">
        <f aca="false">IF(ISBLANK($C349),"",IF($BL349&lt;&gt;Constants!$B$4,$BL349,IF($BB349="-&gt;",$BI349,$AY349)))</f>
        <v/>
      </c>
      <c r="BN349" s="127" t="str">
        <f aca="false">IF($BL349&lt;&gt;Constants!$B$4,"",IF($BB349="-&gt;",$BJ349,$AZ349))</f>
        <v/>
      </c>
      <c r="BO349" s="127" t="str">
        <f aca="false">IF(ISBLANK($C349),"",IF($BL349&lt;&gt;Constants!$B$4,$BL349,$BN349))</f>
        <v/>
      </c>
      <c r="BP349" s="124" t="str">
        <f aca="false">IF(ISBLANK($C349),"",IF($BL349&lt;&gt;Constants!$B$4,$BL349,RANK($BO349,$BO$9:$BO$508,0)))</f>
        <v/>
      </c>
      <c r="BQ349" s="124" t="str">
        <f aca="false">IF(ISBLANK($C349),"",IF($BL349&lt;&gt;Constants!$B$4,$BL349,COUNTIFS($BM$9:$BM$508,"&lt;"&amp;$BM349)+COUNTIFS($BM$9:$BM$508,$BM349,$BP$9:$BP$508,"&lt;"&amp;$BP349)+1))</f>
        <v/>
      </c>
      <c r="BR349" s="127" t="str">
        <f aca="false">IF($BL349&lt;&gt;Constants!$B$4,"",IF($BB349="-&gt;",$BH349,$AX349))</f>
        <v/>
      </c>
      <c r="BS349" s="124" t="str">
        <f aca="false">IF(ISBLANK($C349),"",IF($BL349&lt;&gt;Constants!$B$4,$BL349,IF(ISNUMBER($BR349),RANK($BR349,$BR$9:$BR$508,0),COUNT($BR$9:$BR$508)+1)))</f>
        <v/>
      </c>
      <c r="BT349" s="127" t="str">
        <f aca="false">IF($BL349&lt;&gt;Constants!$B$4,"",IF($BB349="-&gt;",$BE349,$AU349))</f>
        <v/>
      </c>
      <c r="BU349" s="124" t="str">
        <f aca="false">IF(ISBLANK($C349),"",IF($BL349&lt;&gt;Constants!$B$4,$BL349,IF(ISNUMBER($BT349),RANK($BT349,$BT$9:$BT$508,0),COUNT($BT$9:$BT$508)+1)))</f>
        <v/>
      </c>
      <c r="BV349" s="127" t="str">
        <f aca="false">IF($BL349&lt;&gt;Constants!$B$4,"",IF($BB349="-&gt;",$BF349,$AV349))</f>
        <v/>
      </c>
      <c r="BW349" s="124" t="str">
        <f aca="false">IF(ISBLANK($C349),"",IF($BL349&lt;&gt;Constants!$B$4,$BL349,IF(ISNUMBER($BV349),RANK($BV349,$BV$9:$BV$508,0),COUNT($BV$9:$BV$508)+1)))</f>
        <v/>
      </c>
      <c r="BX349" s="127" t="str">
        <f aca="false">IF($BL349&lt;&gt;Constants!$B$4,"",IF($BB349="-&gt;",$BK349,$BA349))</f>
        <v/>
      </c>
      <c r="BY349" s="124" t="str">
        <f aca="false">IF(ISBLANK($C349),"",IF($BL349&lt;&gt;Constants!$B$4,$BL349,IF(ISNUMBER($BX349),RANK($BX349,$BX$9:$BX$508,0),COUNT($BX$9:$BX$508)+1)))</f>
        <v/>
      </c>
      <c r="BZ349" s="124" t="str">
        <f aca="false">IF(ISBLANK($C349),"",IF($BL349&lt;&gt;Constants!$B$4,$BL349,COUNTIFS($BM$9:$BM$508,"&lt;"&amp;$BM349)+COUNTIFS($BM$9:$BM$508,$BM349,$BP$9:$BP$508,"&lt;"&amp;$BP349)+COUNTIFS($BM$9:$BM$508,$BM349,$BP$9:$BP$508,$BP349,$BS$9:$BS$508,"&lt;"&amp;$BS349)+COUNTIFS($BM$9:$BM$508,$BM349,$BP$9:$BP$508,$BP349,$BS$9:$BS$508,$BS349,$BU$9:$BU$508,"&lt;"&amp;$BU349)+COUNTIFS($BM$9:$BM$508,$BM349,$BP$9:$BP$508,$BP349,$BS$9:$BS$508,$BS349,$BU$9:$BU$508,$BU349,$BW$9:$BW$508,"&lt;"&amp;$BW349)+COUNTIFS($BM$9:$BM$508,$BM349,$BP$9:$BP$508,$BP349,$BS$9:$BS$508,$BS349,$BU$9:$BU$508,$BU349,$BW$9:$BW$508,$BW349,$BY$9:$BY$508,"&lt;"&amp;$BY349)+1))</f>
        <v/>
      </c>
      <c r="CA349" s="124" t="str">
        <f aca="false">IF(ISBLANK($C349),"",IF($BL349&lt;&gt;Constants!$B$4,$BL349,$BQ349-$BZ349))</f>
        <v/>
      </c>
      <c r="CB349" s="130"/>
      <c r="CC349" s="131" t="str">
        <f aca="false">IF(ISBLANK($C349),"",IF($BL349=Constants!$B$8,$AR349,""))</f>
        <v/>
      </c>
      <c r="CD349" s="131" t="str">
        <f aca="false">IF(ISBLANK($C349),"",IF($BL349&lt;&gt;Constants!$B$4,"",IF($BB349="-&gt;",2,1)))</f>
        <v/>
      </c>
      <c r="CE349" s="132" t="str">
        <f aca="false">IF(ISBLANK($C349),"",IF($BL349&lt;&gt;Constants!$B$4,"",IF($BB349="-&gt;",$BE349,$AU349)))</f>
        <v/>
      </c>
      <c r="CF349" s="132" t="str">
        <f aca="false">IF(ISBLANK($C349),"",IF($BL349&lt;&gt;Constants!$B$4,"",IF($BB349="-&gt;",$BF349,$AV349)))</f>
        <v/>
      </c>
      <c r="CG349" s="132" t="str">
        <f aca="false">IF(ISBLANK($C349),"",IF($BL349&lt;&gt;Constants!$B$4,"",IF($BB349="-&gt;",$BG349,$AW349)))</f>
        <v/>
      </c>
      <c r="CH349" s="132" t="str">
        <f aca="false">IF(ISBLANK($C349),"",IF($BL349&lt;&gt;Constants!$B$4,"",IF($BB349="-&gt;",$BH349,$AX349)))</f>
        <v/>
      </c>
      <c r="CI349" s="133" t="str">
        <f aca="false">IF(ISBLANK($C349),"",$BO349)</f>
        <v/>
      </c>
      <c r="CJ349" s="134" t="str">
        <f aca="false">IF(ISBLANK($C349),"",$BM349)</f>
        <v/>
      </c>
      <c r="CK349" s="135" t="str">
        <f aca="false">IF(ISBLANK($C349),"",$CA349)</f>
        <v/>
      </c>
      <c r="CL349" s="135" t="str">
        <f aca="false">IF(ISBLANK($C349),"",$BZ349)</f>
        <v/>
      </c>
      <c r="CM349" s="136" t="str">
        <f aca="false">IF(ISBLANK($C349),"",IF($CL349=Constants!$B$7,COUNTA($C$9:$C$508)+2,IF($CL349=Constants!$B$6,COUNTA($C$9:$C$508)+1,IF($CL349=Constants!$B$5,COUNTA($C$9:$C$508),$CL349))))</f>
        <v/>
      </c>
      <c r="CN349" s="8"/>
      <c r="CO349" s="137" t="n">
        <f aca="false">IF(OR(ISNUMBER($CL349),$CL349=Constants!$B$7,$CL349=Constants!$B$5,$CL349=Constants!$B$6),1,0)</f>
        <v>0</v>
      </c>
      <c r="CP349" s="137" t="n">
        <v>341</v>
      </c>
      <c r="CQ349" s="137" t="str">
        <f aca="false">IF(ISBLANK($C349),"",IF(ISNUMBER($CM349),$CM349+ROW($B349)/1000,""))</f>
        <v/>
      </c>
      <c r="CR349" s="137" t="str">
        <f aca="false">IF(ISNUMBER($CQ349),RANK($CQ349,$CQ$9:$CQ$508,1),"")</f>
        <v/>
      </c>
      <c r="CS349" s="137" t="str">
        <f aca="false">IF(ISBLANK($C349),"",$B349)</f>
        <v/>
      </c>
      <c r="CT349" s="137" t="str">
        <f aca="false">IF(ISBLANK($C349),"",$C349)</f>
        <v/>
      </c>
      <c r="CU349" s="137" t="str">
        <f aca="false">IF(ISBLANK($C349),"",$D349)</f>
        <v/>
      </c>
      <c r="CV349" s="138" t="str">
        <f aca="false">$CJ349</f>
        <v/>
      </c>
      <c r="CW349" s="139" t="str">
        <f aca="false">$CI349</f>
        <v/>
      </c>
      <c r="CX349" s="137" t="str">
        <f aca="false">IF(ISBLANK($C349),"",$CL349)</f>
        <v/>
      </c>
      <c r="CY349" s="140" t="str">
        <f aca="false">IF($CP349&gt;$CO$8,"",VLOOKUP($CP349,$CR$9:$CX$508,7,FALSE()))</f>
        <v/>
      </c>
      <c r="CZ349" s="141" t="str">
        <f aca="false">IF($CP349&gt;$CO$8,"",VLOOKUP($CP349,$CR$9:$CX$508,2,FALSE()))</f>
        <v/>
      </c>
      <c r="DA349" s="141" t="str">
        <f aca="false">IF($CP349&gt;$CO$8,"",VLOOKUP($CP349,$CR$9:$CX$508,3,FALSE()))</f>
        <v/>
      </c>
      <c r="DB349" s="141" t="str">
        <f aca="false">IF($CP349&gt;$CO$8,"",VLOOKUP($CP349,$CR$9:$CX$508,4,FALSE()))</f>
        <v/>
      </c>
      <c r="DC349" s="141" t="str">
        <f aca="false">IF($CP349&gt;$CO$8,"",VLOOKUP($CP349,$CR$9:$CX$508,5,FALSE()))</f>
        <v/>
      </c>
      <c r="DD349" s="142" t="str">
        <f aca="false">IF($CP349&gt;$CO$8,"",VLOOKUP($CP349,$CR$9:$CX$508,6,FALSE()))</f>
        <v/>
      </c>
      <c r="DE349" s="70"/>
    </row>
    <row r="350" customFormat="false" ht="15.75" hidden="false" customHeight="false" outlineLevel="0" collapsed="false">
      <c r="A350" s="8"/>
      <c r="B350" s="146"/>
      <c r="C350" s="147"/>
      <c r="D350" s="148"/>
      <c r="E350" s="164"/>
      <c r="F350" s="150"/>
      <c r="G350" s="115"/>
      <c r="H350" s="115"/>
      <c r="I350" s="115"/>
      <c r="J350" s="165"/>
      <c r="K350" s="154"/>
      <c r="L350" s="154"/>
      <c r="M350" s="118"/>
      <c r="N350" s="154"/>
      <c r="O350" s="153"/>
      <c r="P350" s="154"/>
      <c r="Q350" s="154"/>
      <c r="R350" s="154"/>
      <c r="S350" s="115"/>
      <c r="T350" s="154"/>
      <c r="U350" s="153"/>
      <c r="V350" s="154"/>
      <c r="W350" s="123"/>
      <c r="X350" s="124" t="str">
        <f aca="false">IF(ISBLANK($C350),"",IF($E350=Constants!$B$2,TRUE(),IF($E350=Constants!$B$3,FALSE(),TRUE())))</f>
        <v/>
      </c>
      <c r="Y350" s="124" t="str">
        <f aca="false">IF(ISBLANK($C350),"",IF($F350=Constants!$B$2,TRUE(),IF($F350=Constants!$B$3,FALSE(),TRUE())))</f>
        <v/>
      </c>
      <c r="Z350" s="125" t="str">
        <f aca="false">IF(ISBLANK($C350),"",IF(ISNUMBER($G350),IF($G350&gt;=0,$G350,""),""))</f>
        <v/>
      </c>
      <c r="AA350" s="125" t="str">
        <f aca="false">IF(ISBLANK($C350),"",IF(ISNUMBER($H350),IF($H350&gt;=0,$H350,""),""))</f>
        <v/>
      </c>
      <c r="AB350" s="125" t="str">
        <f aca="false">IF(ISBLANK($C350),"",IF(ISNUMBER($I350),IF($I350&gt;=0,$I350,""),""))</f>
        <v/>
      </c>
      <c r="AC350" s="124" t="str">
        <f aca="false">IF(ISBLANK($C350),"",IF($J350=Constants!$B$2,TRUE(),IF($J350=Constants!$B$3,FALSE(),TRUE())))</f>
        <v/>
      </c>
      <c r="AD350" s="124" t="str">
        <f aca="false">IF(ISBLANK($C350),"",IF($K350=Constants!$B$2,TRUE(),IF($K350=Constants!$B$3,FALSE(),TRUE())))</f>
        <v/>
      </c>
      <c r="AE350" s="124" t="str">
        <f aca="false">IF(ISBLANK($C350),"",IF($L350=Constants!$B$2,TRUE(),IF($L350=Constants!$B$3,FALSE(),TRUE())))</f>
        <v/>
      </c>
      <c r="AF350" s="126" t="str">
        <f aca="false">IF(ISBLANK($C350),"",IF(ISNUMBER($M350),IF($M350&gt;=0,$M350,""),""))</f>
        <v/>
      </c>
      <c r="AG350" s="124" t="str">
        <f aca="false">IF(ISBLANK($C350),"",IF(ISBLANK($N350),0,IF(ISNUMBER($N350),IF(AND($N350&gt;=0,$N350&lt;=Constants!$B$17,$N350=INT($N350)),$N350,""),"")))</f>
        <v/>
      </c>
      <c r="AH350" s="125" t="str">
        <f aca="false">IF(ISBLANK($C350),"",IF(ISBLANK($O350),0,IF(ISNUMBER($O350),IF($O350&gt;=0,$O350,""),"")))</f>
        <v/>
      </c>
      <c r="AI350" s="124" t="str">
        <f aca="false">IF(ISBLANK($C350),"",IF($P350=Constants!$B$2,TRUE(),IF($P350=Constants!$B$3,FALSE(),TRUE())))</f>
        <v/>
      </c>
      <c r="AJ350" s="124" t="str">
        <f aca="false">IF(ISBLANK($C350),"",IF($Q350=Constants!$B$2,TRUE(),IF($Q350=Constants!$B$3,FALSE(),TRUE())))</f>
        <v/>
      </c>
      <c r="AK350" s="124" t="str">
        <f aca="false">IF(ISBLANK($C350),"",IF($R350=Constants!$B$2,TRUE(),IF($R350=Constants!$B$3,FALSE(),TRUE())))</f>
        <v/>
      </c>
      <c r="AL350" s="126" t="str">
        <f aca="false">IF(ISBLANK($C350),"",IF(ISNUMBER($S350),IF($S350&gt;=0,$S350,""),""))</f>
        <v/>
      </c>
      <c r="AM350" s="124" t="str">
        <f aca="false">IF(ISBLANK($C350),"",IF(ISBLANK($T350),0,IF(ISNUMBER($T350),IF(AND($T350&gt;=0,$T350&lt;=Constants!$B$17,$T350=INT($T350)),$T350,""),"")))</f>
        <v/>
      </c>
      <c r="AN350" s="125" t="str">
        <f aca="false">IF(ISBLANK($C350),"",IF(ISBLANK($U350),0,IF(ISNUMBER($U350),IF($U350&gt;=0,$U350,""),"")))</f>
        <v/>
      </c>
      <c r="AO350" s="124" t="str">
        <f aca="false">IF(ISBLANK($C350),"",IF($V350=Constants!$B$2,TRUE(),IF($V350=Constants!$B$3,FALSE(),FALSE())))</f>
        <v/>
      </c>
      <c r="AP350" s="124"/>
      <c r="AQ350" s="123" t="str">
        <f aca="false">IF(ISBLANK($C350),"",AND($Y350,OR($AS350,$BC350),OR($Z350="",$AA350="",$AB350="")))</f>
        <v/>
      </c>
      <c r="AR350" s="123" t="str">
        <f aca="false">IF(ISBLANK($C350),"",IF(OR(NOT($Y350),NOT(OR($AS350,$BC350))),"",IF(ISBLANK($D$7),$AR$5,IF($AP$9="",$AR$6,""))))</f>
        <v/>
      </c>
      <c r="AS350" s="123" t="str">
        <f aca="false">IF(ISBLANK($C350),"",COUNTA($J350:$O350)&gt;0)</f>
        <v/>
      </c>
      <c r="AT350" s="123" t="str">
        <f aca="false">IF(ISBLANK($C350),"",AND($AS350,OR(AND($AF350="",OR($AE350,NOT(ISBLANK($M350)))),$AG350="",$AH350="")))</f>
        <v/>
      </c>
      <c r="AU350" s="125" t="str">
        <f aca="false">IF($BL350&lt;&gt;Constants!$B$4,"",IF(NOT($AS350),"",ROUND((Constants!$B$12-$AB350)+(Constants!$B$13-$Z350)+(Constants!$B$14-$AA350),1)))</f>
        <v/>
      </c>
      <c r="AV350" s="127" t="str">
        <f aca="false">IF($BL350&lt;&gt;Constants!$B$4,"",IF(NOT($AS350),"",IF(NOT($AE350),0,Constants!$B$15*(INT(ROUND(MIN($AF350,$AP$9),6))-INT(ROUND(MAX(0,MIN($AF350,2*$AP$9)-$AP$9),6))))))</f>
        <v/>
      </c>
      <c r="AW350" s="127" t="str">
        <f aca="false">IF($BL350&lt;&gt;Constants!$B$4,"",IF(NOT($AS350),"",Constants!$B$16*$AG350))</f>
        <v/>
      </c>
      <c r="AX350" s="127" t="str">
        <f aca="false">IF($BL350&lt;&gt;Constants!$B$4,"",IF(NOT($AS350),"",Constants!$B$18*INT(ROUND($AH350,6))))</f>
        <v/>
      </c>
      <c r="AY350" s="123" t="str">
        <f aca="false">IF($BL350&lt;&gt;Constants!$B$4,"",IF(NOT($AS350),"",IF(NOT($X350),Constants!$B$11,IF(OR(NOT($AC350),NOT($AD350),ROUND($AB350,1)&gt;Constants!$B$12,ROUND($Z350,1)&gt;Constants!$B$13,ROUND($AA350,1)&gt;Constants!$B$14),Constants!$B$10,Constants!$B$9))))</f>
        <v/>
      </c>
      <c r="AZ350" s="128" t="str">
        <f aca="false">IF($BL350&lt;&gt;Constants!$B$4,"",IF(NOT($AS350),"",ROUND($AU350+$AV350+$AW350+$AX350,1)))</f>
        <v/>
      </c>
      <c r="BA350" s="129" t="str">
        <f aca="false">IF($BL350&lt;&gt;Constants!$B$4,"",IF(NOT($AS350),"",IF(ISNUMBER($AF350),$AF350,0)))</f>
        <v/>
      </c>
      <c r="BB350" s="124" t="str">
        <f aca="false">IF($BL350&lt;&gt;Constants!$B$4,"",IF(NOT($BC350),"&lt;-",IF(NOT($AS350),"-&gt;",IF(OR($BI350&lt;$AY350,AND($BI350=$AY350,OR($BJ350&gt;$AZ350,AND($BJ350=$AZ350,OR($BH350&gt;$AX350,AND($BH350=$AX350,OR($BE350&gt;$AU350,AND($BE350=$AU350,OR($BF350&gt;$AV350,AND($BF350=$AV350,$BK350&gt;$BA350)))))))))),"-&gt;","&lt;-"))))</f>
        <v/>
      </c>
      <c r="BC350" s="123" t="str">
        <f aca="false">IF(ISBLANK($C350),"",COUNTA($P350:$U350)&gt;0)</f>
        <v/>
      </c>
      <c r="BD350" s="123" t="str">
        <f aca="false">IF(ISBLANK($C350),"",AND($BC350,OR(AND($AL350="",OR($AK350,NOT(ISBLANK($S350)))),$AM350="",$AN350="")))</f>
        <v/>
      </c>
      <c r="BE350" s="125" t="str">
        <f aca="false">IF($BL350&lt;&gt;Constants!$B$4,"",IF(NOT($BC350),"",ROUND((Constants!$B$12-$AB350)+(Constants!$B$13-$Z350)+(Constants!$B$14-$AA350),1)))</f>
        <v/>
      </c>
      <c r="BF350" s="127" t="str">
        <f aca="false">IF($BL350&lt;&gt;Constants!$B$4,"",IF(NOT($BC350),"",IF(NOT($AK350),0,Constants!$B$15*(INT(ROUND(MIN($AL350,$AP$9),6))-INT(ROUND(MAX(0,MIN($AL350,2*$AP$9)-$AP$9),6))))))</f>
        <v/>
      </c>
      <c r="BG350" s="127" t="str">
        <f aca="false">IF($BL350&lt;&gt;Constants!$B$4,"",IF(NOT($BC350),"",Constants!$B$16*$AM350))</f>
        <v/>
      </c>
      <c r="BH350" s="127" t="str">
        <f aca="false">IF($BL350&lt;&gt;Constants!$B$4,"",IF(NOT($BC350),"",Constants!$B$18*INT(ROUND($AN350,6))))</f>
        <v/>
      </c>
      <c r="BI350" s="123" t="str">
        <f aca="false">IF($BL350&lt;&gt;Constants!$B$4,"",IF(NOT($BC350),"",IF(NOT($X350),Constants!$B$11,IF(OR(NOT($AI350),NOT($AJ350),ROUND($AB350,1)&gt;Constants!$B$12,ROUND($Z350,1)&gt;Constants!$B$13,ROUND($AA350,1)&gt;Constants!$B$14),Constants!$B$10,Constants!$B$9))))</f>
        <v/>
      </c>
      <c r="BJ350" s="128" t="str">
        <f aca="false">IF($BL350&lt;&gt;Constants!$B$4,"",IF(NOT($BC350),"",ROUND($BE350+$BF350+$BG350+$BH350,1)))</f>
        <v/>
      </c>
      <c r="BK350" s="129" t="str">
        <f aca="false">IF($BL350&lt;&gt;Constants!$B$4,"",IF(NOT($BC350),"",IF(ISNUMBER($AL350),$AL350,0)))</f>
        <v/>
      </c>
      <c r="BL350" s="124" t="str">
        <f aca="false">IF(ISBLANK($C350),"",IF($AO350,Constants!$B$7,IF(COUNTA($E350:$V350)=0,Constants!$B$6,IF(NOT($Y350),Constants!$B$5,IF(NOT(OR($AS350,$BC350)),Constants!$B$5,IF(OR($AT350,$BD350,$AQ350,$AR350&lt;&gt;""),Constants!$B$8,Constants!$B$4))))))</f>
        <v/>
      </c>
      <c r="BM350" s="124" t="str">
        <f aca="false">IF(ISBLANK($C350),"",IF($BL350&lt;&gt;Constants!$B$4,$BL350,IF($BB350="-&gt;",$BI350,$AY350)))</f>
        <v/>
      </c>
      <c r="BN350" s="127" t="str">
        <f aca="false">IF($BL350&lt;&gt;Constants!$B$4,"",IF($BB350="-&gt;",$BJ350,$AZ350))</f>
        <v/>
      </c>
      <c r="BO350" s="127" t="str">
        <f aca="false">IF(ISBLANK($C350),"",IF($BL350&lt;&gt;Constants!$B$4,$BL350,$BN350))</f>
        <v/>
      </c>
      <c r="BP350" s="124" t="str">
        <f aca="false">IF(ISBLANK($C350),"",IF($BL350&lt;&gt;Constants!$B$4,$BL350,RANK($BO350,$BO$9:$BO$508,0)))</f>
        <v/>
      </c>
      <c r="BQ350" s="124" t="str">
        <f aca="false">IF(ISBLANK($C350),"",IF($BL350&lt;&gt;Constants!$B$4,$BL350,COUNTIFS($BM$9:$BM$508,"&lt;"&amp;$BM350)+COUNTIFS($BM$9:$BM$508,$BM350,$BP$9:$BP$508,"&lt;"&amp;$BP350)+1))</f>
        <v/>
      </c>
      <c r="BR350" s="127" t="str">
        <f aca="false">IF($BL350&lt;&gt;Constants!$B$4,"",IF($BB350="-&gt;",$BH350,$AX350))</f>
        <v/>
      </c>
      <c r="BS350" s="124" t="str">
        <f aca="false">IF(ISBLANK($C350),"",IF($BL350&lt;&gt;Constants!$B$4,$BL350,IF(ISNUMBER($BR350),RANK($BR350,$BR$9:$BR$508,0),COUNT($BR$9:$BR$508)+1)))</f>
        <v/>
      </c>
      <c r="BT350" s="127" t="str">
        <f aca="false">IF($BL350&lt;&gt;Constants!$B$4,"",IF($BB350="-&gt;",$BE350,$AU350))</f>
        <v/>
      </c>
      <c r="BU350" s="124" t="str">
        <f aca="false">IF(ISBLANK($C350),"",IF($BL350&lt;&gt;Constants!$B$4,$BL350,IF(ISNUMBER($BT350),RANK($BT350,$BT$9:$BT$508,0),COUNT($BT$9:$BT$508)+1)))</f>
        <v/>
      </c>
      <c r="BV350" s="127" t="str">
        <f aca="false">IF($BL350&lt;&gt;Constants!$B$4,"",IF($BB350="-&gt;",$BF350,$AV350))</f>
        <v/>
      </c>
      <c r="BW350" s="124" t="str">
        <f aca="false">IF(ISBLANK($C350),"",IF($BL350&lt;&gt;Constants!$B$4,$BL350,IF(ISNUMBER($BV350),RANK($BV350,$BV$9:$BV$508,0),COUNT($BV$9:$BV$508)+1)))</f>
        <v/>
      </c>
      <c r="BX350" s="127" t="str">
        <f aca="false">IF($BL350&lt;&gt;Constants!$B$4,"",IF($BB350="-&gt;",$BK350,$BA350))</f>
        <v/>
      </c>
      <c r="BY350" s="124" t="str">
        <f aca="false">IF(ISBLANK($C350),"",IF($BL350&lt;&gt;Constants!$B$4,$BL350,IF(ISNUMBER($BX350),RANK($BX350,$BX$9:$BX$508,0),COUNT($BX$9:$BX$508)+1)))</f>
        <v/>
      </c>
      <c r="BZ350" s="124" t="str">
        <f aca="false">IF(ISBLANK($C350),"",IF($BL350&lt;&gt;Constants!$B$4,$BL350,COUNTIFS($BM$9:$BM$508,"&lt;"&amp;$BM350)+COUNTIFS($BM$9:$BM$508,$BM350,$BP$9:$BP$508,"&lt;"&amp;$BP350)+COUNTIFS($BM$9:$BM$508,$BM350,$BP$9:$BP$508,$BP350,$BS$9:$BS$508,"&lt;"&amp;$BS350)+COUNTIFS($BM$9:$BM$508,$BM350,$BP$9:$BP$508,$BP350,$BS$9:$BS$508,$BS350,$BU$9:$BU$508,"&lt;"&amp;$BU350)+COUNTIFS($BM$9:$BM$508,$BM350,$BP$9:$BP$508,$BP350,$BS$9:$BS$508,$BS350,$BU$9:$BU$508,$BU350,$BW$9:$BW$508,"&lt;"&amp;$BW350)+COUNTIFS($BM$9:$BM$508,$BM350,$BP$9:$BP$508,$BP350,$BS$9:$BS$508,$BS350,$BU$9:$BU$508,$BU350,$BW$9:$BW$508,$BW350,$BY$9:$BY$508,"&lt;"&amp;$BY350)+1))</f>
        <v/>
      </c>
      <c r="CA350" s="124" t="str">
        <f aca="false">IF(ISBLANK($C350),"",IF($BL350&lt;&gt;Constants!$B$4,$BL350,$BQ350-$BZ350))</f>
        <v/>
      </c>
      <c r="CB350" s="130"/>
      <c r="CC350" s="131" t="str">
        <f aca="false">IF(ISBLANK($C350),"",IF($BL350=Constants!$B$8,$AR350,""))</f>
        <v/>
      </c>
      <c r="CD350" s="131" t="str">
        <f aca="false">IF(ISBLANK($C350),"",IF($BL350&lt;&gt;Constants!$B$4,"",IF($BB350="-&gt;",2,1)))</f>
        <v/>
      </c>
      <c r="CE350" s="132" t="str">
        <f aca="false">IF(ISBLANK($C350),"",IF($BL350&lt;&gt;Constants!$B$4,"",IF($BB350="-&gt;",$BE350,$AU350)))</f>
        <v/>
      </c>
      <c r="CF350" s="132" t="str">
        <f aca="false">IF(ISBLANK($C350),"",IF($BL350&lt;&gt;Constants!$B$4,"",IF($BB350="-&gt;",$BF350,$AV350)))</f>
        <v/>
      </c>
      <c r="CG350" s="132" t="str">
        <f aca="false">IF(ISBLANK($C350),"",IF($BL350&lt;&gt;Constants!$B$4,"",IF($BB350="-&gt;",$BG350,$AW350)))</f>
        <v/>
      </c>
      <c r="CH350" s="132" t="str">
        <f aca="false">IF(ISBLANK($C350),"",IF($BL350&lt;&gt;Constants!$B$4,"",IF($BB350="-&gt;",$BH350,$AX350)))</f>
        <v/>
      </c>
      <c r="CI350" s="133" t="str">
        <f aca="false">IF(ISBLANK($C350),"",$BO350)</f>
        <v/>
      </c>
      <c r="CJ350" s="134" t="str">
        <f aca="false">IF(ISBLANK($C350),"",$BM350)</f>
        <v/>
      </c>
      <c r="CK350" s="135" t="str">
        <f aca="false">IF(ISBLANK($C350),"",$CA350)</f>
        <v/>
      </c>
      <c r="CL350" s="135" t="str">
        <f aca="false">IF(ISBLANK($C350),"",$BZ350)</f>
        <v/>
      </c>
      <c r="CM350" s="136" t="str">
        <f aca="false">IF(ISBLANK($C350),"",IF($CL350=Constants!$B$7,COUNTA($C$9:$C$508)+2,IF($CL350=Constants!$B$6,COUNTA($C$9:$C$508)+1,IF($CL350=Constants!$B$5,COUNTA($C$9:$C$508),$CL350))))</f>
        <v/>
      </c>
      <c r="CN350" s="8"/>
      <c r="CO350" s="137" t="n">
        <f aca="false">IF(OR(ISNUMBER($CL350),$CL350=Constants!$B$7,$CL350=Constants!$B$5,$CL350=Constants!$B$6),1,0)</f>
        <v>0</v>
      </c>
      <c r="CP350" s="137" t="n">
        <v>342</v>
      </c>
      <c r="CQ350" s="137" t="str">
        <f aca="false">IF(ISBLANK($C350),"",IF(ISNUMBER($CM350),$CM350+ROW($B350)/1000,""))</f>
        <v/>
      </c>
      <c r="CR350" s="137" t="str">
        <f aca="false">IF(ISNUMBER($CQ350),RANK($CQ350,$CQ$9:$CQ$508,1),"")</f>
        <v/>
      </c>
      <c r="CS350" s="137" t="str">
        <f aca="false">IF(ISBLANK($C350),"",$B350)</f>
        <v/>
      </c>
      <c r="CT350" s="137" t="str">
        <f aca="false">IF(ISBLANK($C350),"",$C350)</f>
        <v/>
      </c>
      <c r="CU350" s="137" t="str">
        <f aca="false">IF(ISBLANK($C350),"",$D350)</f>
        <v/>
      </c>
      <c r="CV350" s="138" t="str">
        <f aca="false">$CJ350</f>
        <v/>
      </c>
      <c r="CW350" s="139" t="str">
        <f aca="false">$CI350</f>
        <v/>
      </c>
      <c r="CX350" s="137" t="str">
        <f aca="false">IF(ISBLANK($C350),"",$CL350)</f>
        <v/>
      </c>
      <c r="CY350" s="140" t="str">
        <f aca="false">IF($CP350&gt;$CO$8,"",VLOOKUP($CP350,$CR$9:$CX$508,7,FALSE()))</f>
        <v/>
      </c>
      <c r="CZ350" s="141" t="str">
        <f aca="false">IF($CP350&gt;$CO$8,"",VLOOKUP($CP350,$CR$9:$CX$508,2,FALSE()))</f>
        <v/>
      </c>
      <c r="DA350" s="141" t="str">
        <f aca="false">IF($CP350&gt;$CO$8,"",VLOOKUP($CP350,$CR$9:$CX$508,3,FALSE()))</f>
        <v/>
      </c>
      <c r="DB350" s="141" t="str">
        <f aca="false">IF($CP350&gt;$CO$8,"",VLOOKUP($CP350,$CR$9:$CX$508,4,FALSE()))</f>
        <v/>
      </c>
      <c r="DC350" s="141" t="str">
        <f aca="false">IF($CP350&gt;$CO$8,"",VLOOKUP($CP350,$CR$9:$CX$508,5,FALSE()))</f>
        <v/>
      </c>
      <c r="DD350" s="142" t="str">
        <f aca="false">IF($CP350&gt;$CO$8,"",VLOOKUP($CP350,$CR$9:$CX$508,6,FALSE()))</f>
        <v/>
      </c>
      <c r="DE350" s="70"/>
    </row>
    <row r="351" customFormat="false" ht="15.75" hidden="false" customHeight="false" outlineLevel="0" collapsed="false">
      <c r="A351" s="8"/>
      <c r="B351" s="72"/>
      <c r="C351" s="73"/>
      <c r="D351" s="155"/>
      <c r="E351" s="162"/>
      <c r="F351" s="157"/>
      <c r="G351" s="77"/>
      <c r="H351" s="77"/>
      <c r="I351" s="77"/>
      <c r="J351" s="163"/>
      <c r="K351" s="161"/>
      <c r="L351" s="161"/>
      <c r="M351" s="80"/>
      <c r="N351" s="161"/>
      <c r="O351" s="160"/>
      <c r="P351" s="161"/>
      <c r="Q351" s="161"/>
      <c r="R351" s="161"/>
      <c r="S351" s="77"/>
      <c r="T351" s="161"/>
      <c r="U351" s="160"/>
      <c r="V351" s="161"/>
      <c r="W351" s="85"/>
      <c r="X351" s="86" t="str">
        <f aca="false">IF(ISBLANK($C351),"",IF($E351=Constants!$B$2,TRUE(),IF($E351=Constants!$B$3,FALSE(),TRUE())))</f>
        <v/>
      </c>
      <c r="Y351" s="86" t="str">
        <f aca="false">IF(ISBLANK($C351),"",IF($F351=Constants!$B$2,TRUE(),IF($F351=Constants!$B$3,FALSE(),TRUE())))</f>
        <v/>
      </c>
      <c r="Z351" s="87" t="str">
        <f aca="false">IF(ISBLANK($C351),"",IF(ISNUMBER($G351),IF($G351&gt;=0,$G351,""),""))</f>
        <v/>
      </c>
      <c r="AA351" s="87" t="str">
        <f aca="false">IF(ISBLANK($C351),"",IF(ISNUMBER($H351),IF($H351&gt;=0,$H351,""),""))</f>
        <v/>
      </c>
      <c r="AB351" s="87" t="str">
        <f aca="false">IF(ISBLANK($C351),"",IF(ISNUMBER($I351),IF($I351&gt;=0,$I351,""),""))</f>
        <v/>
      </c>
      <c r="AC351" s="86" t="str">
        <f aca="false">IF(ISBLANK($C351),"",IF($J351=Constants!$B$2,TRUE(),IF($J351=Constants!$B$3,FALSE(),TRUE())))</f>
        <v/>
      </c>
      <c r="AD351" s="86" t="str">
        <f aca="false">IF(ISBLANK($C351),"",IF($K351=Constants!$B$2,TRUE(),IF($K351=Constants!$B$3,FALSE(),TRUE())))</f>
        <v/>
      </c>
      <c r="AE351" s="86" t="str">
        <f aca="false">IF(ISBLANK($C351),"",IF($L351=Constants!$B$2,TRUE(),IF($L351=Constants!$B$3,FALSE(),TRUE())))</f>
        <v/>
      </c>
      <c r="AF351" s="88" t="str">
        <f aca="false">IF(ISBLANK($C351),"",IF(ISNUMBER($M351),IF($M351&gt;=0,$M351,""),""))</f>
        <v/>
      </c>
      <c r="AG351" s="86" t="str">
        <f aca="false">IF(ISBLANK($C351),"",IF(ISBLANK($N351),0,IF(ISNUMBER($N351),IF(AND($N351&gt;=0,$N351&lt;=Constants!$B$17,$N351=INT($N351)),$N351,""),"")))</f>
        <v/>
      </c>
      <c r="AH351" s="87" t="str">
        <f aca="false">IF(ISBLANK($C351),"",IF(ISBLANK($O351),0,IF(ISNUMBER($O351),IF($O351&gt;=0,$O351,""),"")))</f>
        <v/>
      </c>
      <c r="AI351" s="86" t="str">
        <f aca="false">IF(ISBLANK($C351),"",IF($P351=Constants!$B$2,TRUE(),IF($P351=Constants!$B$3,FALSE(),TRUE())))</f>
        <v/>
      </c>
      <c r="AJ351" s="86" t="str">
        <f aca="false">IF(ISBLANK($C351),"",IF($Q351=Constants!$B$2,TRUE(),IF($Q351=Constants!$B$3,FALSE(),TRUE())))</f>
        <v/>
      </c>
      <c r="AK351" s="86" t="str">
        <f aca="false">IF(ISBLANK($C351),"",IF($R351=Constants!$B$2,TRUE(),IF($R351=Constants!$B$3,FALSE(),TRUE())))</f>
        <v/>
      </c>
      <c r="AL351" s="88" t="str">
        <f aca="false">IF(ISBLANK($C351),"",IF(ISNUMBER($S351),IF($S351&gt;=0,$S351,""),""))</f>
        <v/>
      </c>
      <c r="AM351" s="86" t="str">
        <f aca="false">IF(ISBLANK($C351),"",IF(ISBLANK($T351),0,IF(ISNUMBER($T351),IF(AND($T351&gt;=0,$T351&lt;=Constants!$B$17,$T351=INT($T351)),$T351,""),"")))</f>
        <v/>
      </c>
      <c r="AN351" s="87" t="str">
        <f aca="false">IF(ISBLANK($C351),"",IF(ISBLANK($U351),0,IF(ISNUMBER($U351),IF($U351&gt;=0,$U351,""),"")))</f>
        <v/>
      </c>
      <c r="AO351" s="86" t="str">
        <f aca="false">IF(ISBLANK($C351),"",IF($V351=Constants!$B$2,TRUE(),IF($V351=Constants!$B$3,FALSE(),FALSE())))</f>
        <v/>
      </c>
      <c r="AP351" s="86"/>
      <c r="AQ351" s="85" t="str">
        <f aca="false">IF(ISBLANK($C351),"",AND($Y351,OR($AS351,$BC351),OR($Z351="",$AA351="",$AB351="")))</f>
        <v/>
      </c>
      <c r="AR351" s="85" t="str">
        <f aca="false">IF(ISBLANK($C351),"",IF(OR(NOT($Y351),NOT(OR($AS351,$BC351))),"",IF(ISBLANK($D$7),$AR$5,IF($AP$9="",$AR$6,""))))</f>
        <v/>
      </c>
      <c r="AS351" s="85" t="str">
        <f aca="false">IF(ISBLANK($C351),"",COUNTA($J351:$O351)&gt;0)</f>
        <v/>
      </c>
      <c r="AT351" s="85" t="str">
        <f aca="false">IF(ISBLANK($C351),"",AND($AS351,OR(AND($AF351="",OR($AE351,NOT(ISBLANK($M351)))),$AG351="",$AH351="")))</f>
        <v/>
      </c>
      <c r="AU351" s="87" t="str">
        <f aca="false">IF($BL351&lt;&gt;Constants!$B$4,"",IF(NOT($AS351),"",ROUND((Constants!$B$12-$AB351)+(Constants!$B$13-$Z351)+(Constants!$B$14-$AA351),1)))</f>
        <v/>
      </c>
      <c r="AV351" s="90" t="str">
        <f aca="false">IF($BL351&lt;&gt;Constants!$B$4,"",IF(NOT($AS351),"",IF(NOT($AE351),0,Constants!$B$15*(INT(ROUND(MIN($AF351,$AP$9),6))-INT(ROUND(MAX(0,MIN($AF351,2*$AP$9)-$AP$9),6))))))</f>
        <v/>
      </c>
      <c r="AW351" s="90" t="str">
        <f aca="false">IF($BL351&lt;&gt;Constants!$B$4,"",IF(NOT($AS351),"",Constants!$B$16*$AG351))</f>
        <v/>
      </c>
      <c r="AX351" s="90" t="str">
        <f aca="false">IF($BL351&lt;&gt;Constants!$B$4,"",IF(NOT($AS351),"",Constants!$B$18*INT(ROUND($AH351,6))))</f>
        <v/>
      </c>
      <c r="AY351" s="85" t="str">
        <f aca="false">IF($BL351&lt;&gt;Constants!$B$4,"",IF(NOT($AS351),"",IF(NOT($X351),Constants!$B$11,IF(OR(NOT($AC351),NOT($AD351),ROUND($AB351,1)&gt;Constants!$B$12,ROUND($Z351,1)&gt;Constants!$B$13,ROUND($AA351,1)&gt;Constants!$B$14),Constants!$B$10,Constants!$B$9))))</f>
        <v/>
      </c>
      <c r="AZ351" s="91" t="str">
        <f aca="false">IF($BL351&lt;&gt;Constants!$B$4,"",IF(NOT($AS351),"",ROUND($AU351+$AV351+$AW351+$AX351,1)))</f>
        <v/>
      </c>
      <c r="BA351" s="92" t="str">
        <f aca="false">IF($BL351&lt;&gt;Constants!$B$4,"",IF(NOT($AS351),"",IF(ISNUMBER($AF351),$AF351,0)))</f>
        <v/>
      </c>
      <c r="BB351" s="86" t="str">
        <f aca="false">IF($BL351&lt;&gt;Constants!$B$4,"",IF(NOT($BC351),"&lt;-",IF(NOT($AS351),"-&gt;",IF(OR($BI351&lt;$AY351,AND($BI351=$AY351,OR($BJ351&gt;$AZ351,AND($BJ351=$AZ351,OR($BH351&gt;$AX351,AND($BH351=$AX351,OR($BE351&gt;$AU351,AND($BE351=$AU351,OR($BF351&gt;$AV351,AND($BF351=$AV351,$BK351&gt;$BA351)))))))))),"-&gt;","&lt;-"))))</f>
        <v/>
      </c>
      <c r="BC351" s="85" t="str">
        <f aca="false">IF(ISBLANK($C351),"",COUNTA($P351:$U351)&gt;0)</f>
        <v/>
      </c>
      <c r="BD351" s="85" t="str">
        <f aca="false">IF(ISBLANK($C351),"",AND($BC351,OR(AND($AL351="",OR($AK351,NOT(ISBLANK($S351)))),$AM351="",$AN351="")))</f>
        <v/>
      </c>
      <c r="BE351" s="87" t="str">
        <f aca="false">IF($BL351&lt;&gt;Constants!$B$4,"",IF(NOT($BC351),"",ROUND((Constants!$B$12-$AB351)+(Constants!$B$13-$Z351)+(Constants!$B$14-$AA351),1)))</f>
        <v/>
      </c>
      <c r="BF351" s="90" t="str">
        <f aca="false">IF($BL351&lt;&gt;Constants!$B$4,"",IF(NOT($BC351),"",IF(NOT($AK351),0,Constants!$B$15*(INT(ROUND(MIN($AL351,$AP$9),6))-INT(ROUND(MAX(0,MIN($AL351,2*$AP$9)-$AP$9),6))))))</f>
        <v/>
      </c>
      <c r="BG351" s="90" t="str">
        <f aca="false">IF($BL351&lt;&gt;Constants!$B$4,"",IF(NOT($BC351),"",Constants!$B$16*$AM351))</f>
        <v/>
      </c>
      <c r="BH351" s="90" t="str">
        <f aca="false">IF($BL351&lt;&gt;Constants!$B$4,"",IF(NOT($BC351),"",Constants!$B$18*INT(ROUND($AN351,6))))</f>
        <v/>
      </c>
      <c r="BI351" s="85" t="str">
        <f aca="false">IF($BL351&lt;&gt;Constants!$B$4,"",IF(NOT($BC351),"",IF(NOT($X351),Constants!$B$11,IF(OR(NOT($AI351),NOT($AJ351),ROUND($AB351,1)&gt;Constants!$B$12,ROUND($Z351,1)&gt;Constants!$B$13,ROUND($AA351,1)&gt;Constants!$B$14),Constants!$B$10,Constants!$B$9))))</f>
        <v/>
      </c>
      <c r="BJ351" s="91" t="str">
        <f aca="false">IF($BL351&lt;&gt;Constants!$B$4,"",IF(NOT($BC351),"",ROUND($BE351+$BF351+$BG351+$BH351,1)))</f>
        <v/>
      </c>
      <c r="BK351" s="92" t="str">
        <f aca="false">IF($BL351&lt;&gt;Constants!$B$4,"",IF(NOT($BC351),"",IF(ISNUMBER($AL351),$AL351,0)))</f>
        <v/>
      </c>
      <c r="BL351" s="86" t="str">
        <f aca="false">IF(ISBLANK($C351),"",IF($AO351,Constants!$B$7,IF(COUNTA($E351:$V351)=0,Constants!$B$6,IF(NOT($Y351),Constants!$B$5,IF(NOT(OR($AS351,$BC351)),Constants!$B$5,IF(OR($AT351,$BD351,$AQ351,$AR351&lt;&gt;""),Constants!$B$8,Constants!$B$4))))))</f>
        <v/>
      </c>
      <c r="BM351" s="86" t="str">
        <f aca="false">IF(ISBLANK($C351),"",IF($BL351&lt;&gt;Constants!$B$4,$BL351,IF($BB351="-&gt;",$BI351,$AY351)))</f>
        <v/>
      </c>
      <c r="BN351" s="90" t="str">
        <f aca="false">IF($BL351&lt;&gt;Constants!$B$4,"",IF($BB351="-&gt;",$BJ351,$AZ351))</f>
        <v/>
      </c>
      <c r="BO351" s="90" t="str">
        <f aca="false">IF(ISBLANK($C351),"",IF($BL351&lt;&gt;Constants!$B$4,$BL351,$BN351))</f>
        <v/>
      </c>
      <c r="BP351" s="86" t="str">
        <f aca="false">IF(ISBLANK($C351),"",IF($BL351&lt;&gt;Constants!$B$4,$BL351,RANK($BO351,$BO$9:$BO$508,0)))</f>
        <v/>
      </c>
      <c r="BQ351" s="86" t="str">
        <f aca="false">IF(ISBLANK($C351),"",IF($BL351&lt;&gt;Constants!$B$4,$BL351,COUNTIFS($BM$9:$BM$508,"&lt;"&amp;$BM351)+COUNTIFS($BM$9:$BM$508,$BM351,$BP$9:$BP$508,"&lt;"&amp;$BP351)+1))</f>
        <v/>
      </c>
      <c r="BR351" s="90" t="str">
        <f aca="false">IF($BL351&lt;&gt;Constants!$B$4,"",IF($BB351="-&gt;",$BH351,$AX351))</f>
        <v/>
      </c>
      <c r="BS351" s="86" t="str">
        <f aca="false">IF(ISBLANK($C351),"",IF($BL351&lt;&gt;Constants!$B$4,$BL351,IF(ISNUMBER($BR351),RANK($BR351,$BR$9:$BR$508,0),COUNT($BR$9:$BR$508)+1)))</f>
        <v/>
      </c>
      <c r="BT351" s="90" t="str">
        <f aca="false">IF($BL351&lt;&gt;Constants!$B$4,"",IF($BB351="-&gt;",$BE351,$AU351))</f>
        <v/>
      </c>
      <c r="BU351" s="86" t="str">
        <f aca="false">IF(ISBLANK($C351),"",IF($BL351&lt;&gt;Constants!$B$4,$BL351,IF(ISNUMBER($BT351),RANK($BT351,$BT$9:$BT$508,0),COUNT($BT$9:$BT$508)+1)))</f>
        <v/>
      </c>
      <c r="BV351" s="90" t="str">
        <f aca="false">IF($BL351&lt;&gt;Constants!$B$4,"",IF($BB351="-&gt;",$BF351,$AV351))</f>
        <v/>
      </c>
      <c r="BW351" s="86" t="str">
        <f aca="false">IF(ISBLANK($C351),"",IF($BL351&lt;&gt;Constants!$B$4,$BL351,IF(ISNUMBER($BV351),RANK($BV351,$BV$9:$BV$508,0),COUNT($BV$9:$BV$508)+1)))</f>
        <v/>
      </c>
      <c r="BX351" s="90" t="str">
        <f aca="false">IF($BL351&lt;&gt;Constants!$B$4,"",IF($BB351="-&gt;",$BK351,$BA351))</f>
        <v/>
      </c>
      <c r="BY351" s="86" t="str">
        <f aca="false">IF(ISBLANK($C351),"",IF($BL351&lt;&gt;Constants!$B$4,$BL351,IF(ISNUMBER($BX351),RANK($BX351,$BX$9:$BX$508,0),COUNT($BX$9:$BX$508)+1)))</f>
        <v/>
      </c>
      <c r="BZ351" s="86" t="str">
        <f aca="false">IF(ISBLANK($C351),"",IF($BL351&lt;&gt;Constants!$B$4,$BL351,COUNTIFS($BM$9:$BM$508,"&lt;"&amp;$BM351)+COUNTIFS($BM$9:$BM$508,$BM351,$BP$9:$BP$508,"&lt;"&amp;$BP351)+COUNTIFS($BM$9:$BM$508,$BM351,$BP$9:$BP$508,$BP351,$BS$9:$BS$508,"&lt;"&amp;$BS351)+COUNTIFS($BM$9:$BM$508,$BM351,$BP$9:$BP$508,$BP351,$BS$9:$BS$508,$BS351,$BU$9:$BU$508,"&lt;"&amp;$BU351)+COUNTIFS($BM$9:$BM$508,$BM351,$BP$9:$BP$508,$BP351,$BS$9:$BS$508,$BS351,$BU$9:$BU$508,$BU351,$BW$9:$BW$508,"&lt;"&amp;$BW351)+COUNTIFS($BM$9:$BM$508,$BM351,$BP$9:$BP$508,$BP351,$BS$9:$BS$508,$BS351,$BU$9:$BU$508,$BU351,$BW$9:$BW$508,$BW351,$BY$9:$BY$508,"&lt;"&amp;$BY351)+1))</f>
        <v/>
      </c>
      <c r="CA351" s="86" t="str">
        <f aca="false">IF(ISBLANK($C351),"",IF($BL351&lt;&gt;Constants!$B$4,$BL351,$BQ351-$BZ351))</f>
        <v/>
      </c>
      <c r="CB351" s="93"/>
      <c r="CC351" s="94" t="str">
        <f aca="false">IF(ISBLANK($C351),"",IF($BL351=Constants!$B$8,$AR351,""))</f>
        <v/>
      </c>
      <c r="CD351" s="94" t="str">
        <f aca="false">IF(ISBLANK($C351),"",IF($BL351&lt;&gt;Constants!$B$4,"",IF($BB351="-&gt;",2,1)))</f>
        <v/>
      </c>
      <c r="CE351" s="95" t="str">
        <f aca="false">IF(ISBLANK($C351),"",IF($BL351&lt;&gt;Constants!$B$4,"",IF($BB351="-&gt;",$BE351,$AU351)))</f>
        <v/>
      </c>
      <c r="CF351" s="95" t="str">
        <f aca="false">IF(ISBLANK($C351),"",IF($BL351&lt;&gt;Constants!$B$4,"",IF($BB351="-&gt;",$BF351,$AV351)))</f>
        <v/>
      </c>
      <c r="CG351" s="95" t="str">
        <f aca="false">IF(ISBLANK($C351),"",IF($BL351&lt;&gt;Constants!$B$4,"",IF($BB351="-&gt;",$BG351,$AW351)))</f>
        <v/>
      </c>
      <c r="CH351" s="95" t="str">
        <f aca="false">IF(ISBLANK($C351),"",IF($BL351&lt;&gt;Constants!$B$4,"",IF($BB351="-&gt;",$BH351,$AX351)))</f>
        <v/>
      </c>
      <c r="CI351" s="96" t="str">
        <f aca="false">IF(ISBLANK($C351),"",$BO351)</f>
        <v/>
      </c>
      <c r="CJ351" s="97" t="str">
        <f aca="false">IF(ISBLANK($C351),"",$BM351)</f>
        <v/>
      </c>
      <c r="CK351" s="98" t="str">
        <f aca="false">IF(ISBLANK($C351),"",$CA351)</f>
        <v/>
      </c>
      <c r="CL351" s="98" t="str">
        <f aca="false">IF(ISBLANK($C351),"",$BZ351)</f>
        <v/>
      </c>
      <c r="CM351" s="99" t="str">
        <f aca="false">IF(ISBLANK($C351),"",IF($CL351=Constants!$B$7,COUNTA($C$9:$C$508)+2,IF($CL351=Constants!$B$6,COUNTA($C$9:$C$508)+1,IF($CL351=Constants!$B$5,COUNTA($C$9:$C$508),$CL351))))</f>
        <v/>
      </c>
      <c r="CN351" s="8"/>
      <c r="CO351" s="100" t="n">
        <f aca="false">IF(OR(ISNUMBER($CL351),$CL351=Constants!$B$7,$CL351=Constants!$B$5,$CL351=Constants!$B$6),1,0)</f>
        <v>0</v>
      </c>
      <c r="CP351" s="100" t="n">
        <v>343</v>
      </c>
      <c r="CQ351" s="100" t="str">
        <f aca="false">IF(ISBLANK($C351),"",IF(ISNUMBER($CM351),$CM351+ROW($B351)/1000,""))</f>
        <v/>
      </c>
      <c r="CR351" s="100" t="str">
        <f aca="false">IF(ISNUMBER($CQ351),RANK($CQ351,$CQ$9:$CQ$508,1),"")</f>
        <v/>
      </c>
      <c r="CS351" s="100" t="str">
        <f aca="false">IF(ISBLANK($C351),"",$B351)</f>
        <v/>
      </c>
      <c r="CT351" s="100" t="str">
        <f aca="false">IF(ISBLANK($C351),"",$C351)</f>
        <v/>
      </c>
      <c r="CU351" s="100" t="str">
        <f aca="false">IF(ISBLANK($C351),"",$D351)</f>
        <v/>
      </c>
      <c r="CV351" s="101" t="str">
        <f aca="false">$CJ351</f>
        <v/>
      </c>
      <c r="CW351" s="102" t="str">
        <f aca="false">$CI351</f>
        <v/>
      </c>
      <c r="CX351" s="100" t="str">
        <f aca="false">IF(ISBLANK($C351),"",$CL351)</f>
        <v/>
      </c>
      <c r="CY351" s="103" t="str">
        <f aca="false">IF($CP351&gt;$CO$8,"",VLOOKUP($CP351,$CR$9:$CX$508,7,FALSE()))</f>
        <v/>
      </c>
      <c r="CZ351" s="104" t="str">
        <f aca="false">IF($CP351&gt;$CO$8,"",VLOOKUP($CP351,$CR$9:$CX$508,2,FALSE()))</f>
        <v/>
      </c>
      <c r="DA351" s="104" t="str">
        <f aca="false">IF($CP351&gt;$CO$8,"",VLOOKUP($CP351,$CR$9:$CX$508,3,FALSE()))</f>
        <v/>
      </c>
      <c r="DB351" s="104" t="str">
        <f aca="false">IF($CP351&gt;$CO$8,"",VLOOKUP($CP351,$CR$9:$CX$508,4,FALSE()))</f>
        <v/>
      </c>
      <c r="DC351" s="104" t="str">
        <f aca="false">IF($CP351&gt;$CO$8,"",VLOOKUP($CP351,$CR$9:$CX$508,5,FALSE()))</f>
        <v/>
      </c>
      <c r="DD351" s="105" t="str">
        <f aca="false">IF($CP351&gt;$CO$8,"",VLOOKUP($CP351,$CR$9:$CX$508,6,FALSE()))</f>
        <v/>
      </c>
      <c r="DE351" s="70"/>
    </row>
    <row r="352" customFormat="false" ht="15.75" hidden="false" customHeight="false" outlineLevel="0" collapsed="false">
      <c r="A352" s="8"/>
      <c r="B352" s="72"/>
      <c r="C352" s="73"/>
      <c r="D352" s="155"/>
      <c r="E352" s="162"/>
      <c r="F352" s="157"/>
      <c r="G352" s="77"/>
      <c r="H352" s="77"/>
      <c r="I352" s="77"/>
      <c r="J352" s="163"/>
      <c r="K352" s="161"/>
      <c r="L352" s="161"/>
      <c r="M352" s="80"/>
      <c r="N352" s="161"/>
      <c r="O352" s="160"/>
      <c r="P352" s="161"/>
      <c r="Q352" s="161"/>
      <c r="R352" s="161"/>
      <c r="S352" s="77"/>
      <c r="T352" s="161"/>
      <c r="U352" s="160"/>
      <c r="V352" s="161"/>
      <c r="W352" s="85"/>
      <c r="X352" s="86" t="str">
        <f aca="false">IF(ISBLANK($C352),"",IF($E352=Constants!$B$2,TRUE(),IF($E352=Constants!$B$3,FALSE(),TRUE())))</f>
        <v/>
      </c>
      <c r="Y352" s="86" t="str">
        <f aca="false">IF(ISBLANK($C352),"",IF($F352=Constants!$B$2,TRUE(),IF($F352=Constants!$B$3,FALSE(),TRUE())))</f>
        <v/>
      </c>
      <c r="Z352" s="87" t="str">
        <f aca="false">IF(ISBLANK($C352),"",IF(ISNUMBER($G352),IF($G352&gt;=0,$G352,""),""))</f>
        <v/>
      </c>
      <c r="AA352" s="87" t="str">
        <f aca="false">IF(ISBLANK($C352),"",IF(ISNUMBER($H352),IF($H352&gt;=0,$H352,""),""))</f>
        <v/>
      </c>
      <c r="AB352" s="87" t="str">
        <f aca="false">IF(ISBLANK($C352),"",IF(ISNUMBER($I352),IF($I352&gt;=0,$I352,""),""))</f>
        <v/>
      </c>
      <c r="AC352" s="86" t="str">
        <f aca="false">IF(ISBLANK($C352),"",IF($J352=Constants!$B$2,TRUE(),IF($J352=Constants!$B$3,FALSE(),TRUE())))</f>
        <v/>
      </c>
      <c r="AD352" s="86" t="str">
        <f aca="false">IF(ISBLANK($C352),"",IF($K352=Constants!$B$2,TRUE(),IF($K352=Constants!$B$3,FALSE(),TRUE())))</f>
        <v/>
      </c>
      <c r="AE352" s="86" t="str">
        <f aca="false">IF(ISBLANK($C352),"",IF($L352=Constants!$B$2,TRUE(),IF($L352=Constants!$B$3,FALSE(),TRUE())))</f>
        <v/>
      </c>
      <c r="AF352" s="88" t="str">
        <f aca="false">IF(ISBLANK($C352),"",IF(ISNUMBER($M352),IF($M352&gt;=0,$M352,""),""))</f>
        <v/>
      </c>
      <c r="AG352" s="86" t="str">
        <f aca="false">IF(ISBLANK($C352),"",IF(ISBLANK($N352),0,IF(ISNUMBER($N352),IF(AND($N352&gt;=0,$N352&lt;=Constants!$B$17,$N352=INT($N352)),$N352,""),"")))</f>
        <v/>
      </c>
      <c r="AH352" s="87" t="str">
        <f aca="false">IF(ISBLANK($C352),"",IF(ISBLANK($O352),0,IF(ISNUMBER($O352),IF($O352&gt;=0,$O352,""),"")))</f>
        <v/>
      </c>
      <c r="AI352" s="86" t="str">
        <f aca="false">IF(ISBLANK($C352),"",IF($P352=Constants!$B$2,TRUE(),IF($P352=Constants!$B$3,FALSE(),TRUE())))</f>
        <v/>
      </c>
      <c r="AJ352" s="86" t="str">
        <f aca="false">IF(ISBLANK($C352),"",IF($Q352=Constants!$B$2,TRUE(),IF($Q352=Constants!$B$3,FALSE(),TRUE())))</f>
        <v/>
      </c>
      <c r="AK352" s="86" t="str">
        <f aca="false">IF(ISBLANK($C352),"",IF($R352=Constants!$B$2,TRUE(),IF($R352=Constants!$B$3,FALSE(),TRUE())))</f>
        <v/>
      </c>
      <c r="AL352" s="88" t="str">
        <f aca="false">IF(ISBLANK($C352),"",IF(ISNUMBER($S352),IF($S352&gt;=0,$S352,""),""))</f>
        <v/>
      </c>
      <c r="AM352" s="86" t="str">
        <f aca="false">IF(ISBLANK($C352),"",IF(ISBLANK($T352),0,IF(ISNUMBER($T352),IF(AND($T352&gt;=0,$T352&lt;=Constants!$B$17,$T352=INT($T352)),$T352,""),"")))</f>
        <v/>
      </c>
      <c r="AN352" s="87" t="str">
        <f aca="false">IF(ISBLANK($C352),"",IF(ISBLANK($U352),0,IF(ISNUMBER($U352),IF($U352&gt;=0,$U352,""),"")))</f>
        <v/>
      </c>
      <c r="AO352" s="86" t="str">
        <f aca="false">IF(ISBLANK($C352),"",IF($V352=Constants!$B$2,TRUE(),IF($V352=Constants!$B$3,FALSE(),FALSE())))</f>
        <v/>
      </c>
      <c r="AP352" s="86"/>
      <c r="AQ352" s="85" t="str">
        <f aca="false">IF(ISBLANK($C352),"",AND($Y352,OR($AS352,$BC352),OR($Z352="",$AA352="",$AB352="")))</f>
        <v/>
      </c>
      <c r="AR352" s="85" t="str">
        <f aca="false">IF(ISBLANK($C352),"",IF(OR(NOT($Y352),NOT(OR($AS352,$BC352))),"",IF(ISBLANK($D$7),$AR$5,IF($AP$9="",$AR$6,""))))</f>
        <v/>
      </c>
      <c r="AS352" s="85" t="str">
        <f aca="false">IF(ISBLANK($C352),"",COUNTA($J352:$O352)&gt;0)</f>
        <v/>
      </c>
      <c r="AT352" s="85" t="str">
        <f aca="false">IF(ISBLANK($C352),"",AND($AS352,OR(AND($AF352="",OR($AE352,NOT(ISBLANK($M352)))),$AG352="",$AH352="")))</f>
        <v/>
      </c>
      <c r="AU352" s="87" t="str">
        <f aca="false">IF($BL352&lt;&gt;Constants!$B$4,"",IF(NOT($AS352),"",ROUND((Constants!$B$12-$AB352)+(Constants!$B$13-$Z352)+(Constants!$B$14-$AA352),1)))</f>
        <v/>
      </c>
      <c r="AV352" s="90" t="str">
        <f aca="false">IF($BL352&lt;&gt;Constants!$B$4,"",IF(NOT($AS352),"",IF(NOT($AE352),0,Constants!$B$15*(INT(ROUND(MIN($AF352,$AP$9),6))-INT(ROUND(MAX(0,MIN($AF352,2*$AP$9)-$AP$9),6))))))</f>
        <v/>
      </c>
      <c r="AW352" s="90" t="str">
        <f aca="false">IF($BL352&lt;&gt;Constants!$B$4,"",IF(NOT($AS352),"",Constants!$B$16*$AG352))</f>
        <v/>
      </c>
      <c r="AX352" s="90" t="str">
        <f aca="false">IF($BL352&lt;&gt;Constants!$B$4,"",IF(NOT($AS352),"",Constants!$B$18*INT(ROUND($AH352,6))))</f>
        <v/>
      </c>
      <c r="AY352" s="85" t="str">
        <f aca="false">IF($BL352&lt;&gt;Constants!$B$4,"",IF(NOT($AS352),"",IF(NOT($X352),Constants!$B$11,IF(OR(NOT($AC352),NOT($AD352),ROUND($AB352,1)&gt;Constants!$B$12,ROUND($Z352,1)&gt;Constants!$B$13,ROUND($AA352,1)&gt;Constants!$B$14),Constants!$B$10,Constants!$B$9))))</f>
        <v/>
      </c>
      <c r="AZ352" s="91" t="str">
        <f aca="false">IF($BL352&lt;&gt;Constants!$B$4,"",IF(NOT($AS352),"",ROUND($AU352+$AV352+$AW352+$AX352,1)))</f>
        <v/>
      </c>
      <c r="BA352" s="92" t="str">
        <f aca="false">IF($BL352&lt;&gt;Constants!$B$4,"",IF(NOT($AS352),"",IF(ISNUMBER($AF352),$AF352,0)))</f>
        <v/>
      </c>
      <c r="BB352" s="86" t="str">
        <f aca="false">IF($BL352&lt;&gt;Constants!$B$4,"",IF(NOT($BC352),"&lt;-",IF(NOT($AS352),"-&gt;",IF(OR($BI352&lt;$AY352,AND($BI352=$AY352,OR($BJ352&gt;$AZ352,AND($BJ352=$AZ352,OR($BH352&gt;$AX352,AND($BH352=$AX352,OR($BE352&gt;$AU352,AND($BE352=$AU352,OR($BF352&gt;$AV352,AND($BF352=$AV352,$BK352&gt;$BA352)))))))))),"-&gt;","&lt;-"))))</f>
        <v/>
      </c>
      <c r="BC352" s="85" t="str">
        <f aca="false">IF(ISBLANK($C352),"",COUNTA($P352:$U352)&gt;0)</f>
        <v/>
      </c>
      <c r="BD352" s="85" t="str">
        <f aca="false">IF(ISBLANK($C352),"",AND($BC352,OR(AND($AL352="",OR($AK352,NOT(ISBLANK($S352)))),$AM352="",$AN352="")))</f>
        <v/>
      </c>
      <c r="BE352" s="87" t="str">
        <f aca="false">IF($BL352&lt;&gt;Constants!$B$4,"",IF(NOT($BC352),"",ROUND((Constants!$B$12-$AB352)+(Constants!$B$13-$Z352)+(Constants!$B$14-$AA352),1)))</f>
        <v/>
      </c>
      <c r="BF352" s="90" t="str">
        <f aca="false">IF($BL352&lt;&gt;Constants!$B$4,"",IF(NOT($BC352),"",IF(NOT($AK352),0,Constants!$B$15*(INT(ROUND(MIN($AL352,$AP$9),6))-INT(ROUND(MAX(0,MIN($AL352,2*$AP$9)-$AP$9),6))))))</f>
        <v/>
      </c>
      <c r="BG352" s="90" t="str">
        <f aca="false">IF($BL352&lt;&gt;Constants!$B$4,"",IF(NOT($BC352),"",Constants!$B$16*$AM352))</f>
        <v/>
      </c>
      <c r="BH352" s="90" t="str">
        <f aca="false">IF($BL352&lt;&gt;Constants!$B$4,"",IF(NOT($BC352),"",Constants!$B$18*INT(ROUND($AN352,6))))</f>
        <v/>
      </c>
      <c r="BI352" s="85" t="str">
        <f aca="false">IF($BL352&lt;&gt;Constants!$B$4,"",IF(NOT($BC352),"",IF(NOT($X352),Constants!$B$11,IF(OR(NOT($AI352),NOT($AJ352),ROUND($AB352,1)&gt;Constants!$B$12,ROUND($Z352,1)&gt;Constants!$B$13,ROUND($AA352,1)&gt;Constants!$B$14),Constants!$B$10,Constants!$B$9))))</f>
        <v/>
      </c>
      <c r="BJ352" s="91" t="str">
        <f aca="false">IF($BL352&lt;&gt;Constants!$B$4,"",IF(NOT($BC352),"",ROUND($BE352+$BF352+$BG352+$BH352,1)))</f>
        <v/>
      </c>
      <c r="BK352" s="92" t="str">
        <f aca="false">IF($BL352&lt;&gt;Constants!$B$4,"",IF(NOT($BC352),"",IF(ISNUMBER($AL352),$AL352,0)))</f>
        <v/>
      </c>
      <c r="BL352" s="86" t="str">
        <f aca="false">IF(ISBLANK($C352),"",IF($AO352,Constants!$B$7,IF(COUNTA($E352:$V352)=0,Constants!$B$6,IF(NOT($Y352),Constants!$B$5,IF(NOT(OR($AS352,$BC352)),Constants!$B$5,IF(OR($AT352,$BD352,$AQ352,$AR352&lt;&gt;""),Constants!$B$8,Constants!$B$4))))))</f>
        <v/>
      </c>
      <c r="BM352" s="86" t="str">
        <f aca="false">IF(ISBLANK($C352),"",IF($BL352&lt;&gt;Constants!$B$4,$BL352,IF($BB352="-&gt;",$BI352,$AY352)))</f>
        <v/>
      </c>
      <c r="BN352" s="90" t="str">
        <f aca="false">IF($BL352&lt;&gt;Constants!$B$4,"",IF($BB352="-&gt;",$BJ352,$AZ352))</f>
        <v/>
      </c>
      <c r="BO352" s="90" t="str">
        <f aca="false">IF(ISBLANK($C352),"",IF($BL352&lt;&gt;Constants!$B$4,$BL352,$BN352))</f>
        <v/>
      </c>
      <c r="BP352" s="86" t="str">
        <f aca="false">IF(ISBLANK($C352),"",IF($BL352&lt;&gt;Constants!$B$4,$BL352,RANK($BO352,$BO$9:$BO$508,0)))</f>
        <v/>
      </c>
      <c r="BQ352" s="86" t="str">
        <f aca="false">IF(ISBLANK($C352),"",IF($BL352&lt;&gt;Constants!$B$4,$BL352,COUNTIFS($BM$9:$BM$508,"&lt;"&amp;$BM352)+COUNTIFS($BM$9:$BM$508,$BM352,$BP$9:$BP$508,"&lt;"&amp;$BP352)+1))</f>
        <v/>
      </c>
      <c r="BR352" s="90" t="str">
        <f aca="false">IF($BL352&lt;&gt;Constants!$B$4,"",IF($BB352="-&gt;",$BH352,$AX352))</f>
        <v/>
      </c>
      <c r="BS352" s="86" t="str">
        <f aca="false">IF(ISBLANK($C352),"",IF($BL352&lt;&gt;Constants!$B$4,$BL352,IF(ISNUMBER($BR352),RANK($BR352,$BR$9:$BR$508,0),COUNT($BR$9:$BR$508)+1)))</f>
        <v/>
      </c>
      <c r="BT352" s="90" t="str">
        <f aca="false">IF($BL352&lt;&gt;Constants!$B$4,"",IF($BB352="-&gt;",$BE352,$AU352))</f>
        <v/>
      </c>
      <c r="BU352" s="86" t="str">
        <f aca="false">IF(ISBLANK($C352),"",IF($BL352&lt;&gt;Constants!$B$4,$BL352,IF(ISNUMBER($BT352),RANK($BT352,$BT$9:$BT$508,0),COUNT($BT$9:$BT$508)+1)))</f>
        <v/>
      </c>
      <c r="BV352" s="90" t="str">
        <f aca="false">IF($BL352&lt;&gt;Constants!$B$4,"",IF($BB352="-&gt;",$BF352,$AV352))</f>
        <v/>
      </c>
      <c r="BW352" s="86" t="str">
        <f aca="false">IF(ISBLANK($C352),"",IF($BL352&lt;&gt;Constants!$B$4,$BL352,IF(ISNUMBER($BV352),RANK($BV352,$BV$9:$BV$508,0),COUNT($BV$9:$BV$508)+1)))</f>
        <v/>
      </c>
      <c r="BX352" s="90" t="str">
        <f aca="false">IF($BL352&lt;&gt;Constants!$B$4,"",IF($BB352="-&gt;",$BK352,$BA352))</f>
        <v/>
      </c>
      <c r="BY352" s="86" t="str">
        <f aca="false">IF(ISBLANK($C352),"",IF($BL352&lt;&gt;Constants!$B$4,$BL352,IF(ISNUMBER($BX352),RANK($BX352,$BX$9:$BX$508,0),COUNT($BX$9:$BX$508)+1)))</f>
        <v/>
      </c>
      <c r="BZ352" s="86" t="str">
        <f aca="false">IF(ISBLANK($C352),"",IF($BL352&lt;&gt;Constants!$B$4,$BL352,COUNTIFS($BM$9:$BM$508,"&lt;"&amp;$BM352)+COUNTIFS($BM$9:$BM$508,$BM352,$BP$9:$BP$508,"&lt;"&amp;$BP352)+COUNTIFS($BM$9:$BM$508,$BM352,$BP$9:$BP$508,$BP352,$BS$9:$BS$508,"&lt;"&amp;$BS352)+COUNTIFS($BM$9:$BM$508,$BM352,$BP$9:$BP$508,$BP352,$BS$9:$BS$508,$BS352,$BU$9:$BU$508,"&lt;"&amp;$BU352)+COUNTIFS($BM$9:$BM$508,$BM352,$BP$9:$BP$508,$BP352,$BS$9:$BS$508,$BS352,$BU$9:$BU$508,$BU352,$BW$9:$BW$508,"&lt;"&amp;$BW352)+COUNTIFS($BM$9:$BM$508,$BM352,$BP$9:$BP$508,$BP352,$BS$9:$BS$508,$BS352,$BU$9:$BU$508,$BU352,$BW$9:$BW$508,$BW352,$BY$9:$BY$508,"&lt;"&amp;$BY352)+1))</f>
        <v/>
      </c>
      <c r="CA352" s="86" t="str">
        <f aca="false">IF(ISBLANK($C352),"",IF($BL352&lt;&gt;Constants!$B$4,$BL352,$BQ352-$BZ352))</f>
        <v/>
      </c>
      <c r="CB352" s="93"/>
      <c r="CC352" s="94" t="str">
        <f aca="false">IF(ISBLANK($C352),"",IF($BL352=Constants!$B$8,$AR352,""))</f>
        <v/>
      </c>
      <c r="CD352" s="94" t="str">
        <f aca="false">IF(ISBLANK($C352),"",IF($BL352&lt;&gt;Constants!$B$4,"",IF($BB352="-&gt;",2,1)))</f>
        <v/>
      </c>
      <c r="CE352" s="95" t="str">
        <f aca="false">IF(ISBLANK($C352),"",IF($BL352&lt;&gt;Constants!$B$4,"",IF($BB352="-&gt;",$BE352,$AU352)))</f>
        <v/>
      </c>
      <c r="CF352" s="95" t="str">
        <f aca="false">IF(ISBLANK($C352),"",IF($BL352&lt;&gt;Constants!$B$4,"",IF($BB352="-&gt;",$BF352,$AV352)))</f>
        <v/>
      </c>
      <c r="CG352" s="95" t="str">
        <f aca="false">IF(ISBLANK($C352),"",IF($BL352&lt;&gt;Constants!$B$4,"",IF($BB352="-&gt;",$BG352,$AW352)))</f>
        <v/>
      </c>
      <c r="CH352" s="95" t="str">
        <f aca="false">IF(ISBLANK($C352),"",IF($BL352&lt;&gt;Constants!$B$4,"",IF($BB352="-&gt;",$BH352,$AX352)))</f>
        <v/>
      </c>
      <c r="CI352" s="96" t="str">
        <f aca="false">IF(ISBLANK($C352),"",$BO352)</f>
        <v/>
      </c>
      <c r="CJ352" s="97" t="str">
        <f aca="false">IF(ISBLANK($C352),"",$BM352)</f>
        <v/>
      </c>
      <c r="CK352" s="98" t="str">
        <f aca="false">IF(ISBLANK($C352),"",$CA352)</f>
        <v/>
      </c>
      <c r="CL352" s="98" t="str">
        <f aca="false">IF(ISBLANK($C352),"",$BZ352)</f>
        <v/>
      </c>
      <c r="CM352" s="99" t="str">
        <f aca="false">IF(ISBLANK($C352),"",IF($CL352=Constants!$B$7,COUNTA($C$9:$C$508)+2,IF($CL352=Constants!$B$6,COUNTA($C$9:$C$508)+1,IF($CL352=Constants!$B$5,COUNTA($C$9:$C$508),$CL352))))</f>
        <v/>
      </c>
      <c r="CN352" s="8"/>
      <c r="CO352" s="100" t="n">
        <f aca="false">IF(OR(ISNUMBER($CL352),$CL352=Constants!$B$7,$CL352=Constants!$B$5,$CL352=Constants!$B$6),1,0)</f>
        <v>0</v>
      </c>
      <c r="CP352" s="100" t="n">
        <v>344</v>
      </c>
      <c r="CQ352" s="100" t="str">
        <f aca="false">IF(ISBLANK($C352),"",IF(ISNUMBER($CM352),$CM352+ROW($B352)/1000,""))</f>
        <v/>
      </c>
      <c r="CR352" s="100" t="str">
        <f aca="false">IF(ISNUMBER($CQ352),RANK($CQ352,$CQ$9:$CQ$508,1),"")</f>
        <v/>
      </c>
      <c r="CS352" s="100" t="str">
        <f aca="false">IF(ISBLANK($C352),"",$B352)</f>
        <v/>
      </c>
      <c r="CT352" s="100" t="str">
        <f aca="false">IF(ISBLANK($C352),"",$C352)</f>
        <v/>
      </c>
      <c r="CU352" s="100" t="str">
        <f aca="false">IF(ISBLANK($C352),"",$D352)</f>
        <v/>
      </c>
      <c r="CV352" s="101" t="str">
        <f aca="false">$CJ352</f>
        <v/>
      </c>
      <c r="CW352" s="102" t="str">
        <f aca="false">$CI352</f>
        <v/>
      </c>
      <c r="CX352" s="100" t="str">
        <f aca="false">IF(ISBLANK($C352),"",$CL352)</f>
        <v/>
      </c>
      <c r="CY352" s="103" t="str">
        <f aca="false">IF($CP352&gt;$CO$8,"",VLOOKUP($CP352,$CR$9:$CX$508,7,FALSE()))</f>
        <v/>
      </c>
      <c r="CZ352" s="104" t="str">
        <f aca="false">IF($CP352&gt;$CO$8,"",VLOOKUP($CP352,$CR$9:$CX$508,2,FALSE()))</f>
        <v/>
      </c>
      <c r="DA352" s="104" t="str">
        <f aca="false">IF($CP352&gt;$CO$8,"",VLOOKUP($CP352,$CR$9:$CX$508,3,FALSE()))</f>
        <v/>
      </c>
      <c r="DB352" s="104" t="str">
        <f aca="false">IF($CP352&gt;$CO$8,"",VLOOKUP($CP352,$CR$9:$CX$508,4,FALSE()))</f>
        <v/>
      </c>
      <c r="DC352" s="104" t="str">
        <f aca="false">IF($CP352&gt;$CO$8,"",VLOOKUP($CP352,$CR$9:$CX$508,5,FALSE()))</f>
        <v/>
      </c>
      <c r="DD352" s="105" t="str">
        <f aca="false">IF($CP352&gt;$CO$8,"",VLOOKUP($CP352,$CR$9:$CX$508,6,FALSE()))</f>
        <v/>
      </c>
      <c r="DE352" s="70"/>
    </row>
    <row r="353" customFormat="false" ht="15.75" hidden="false" customHeight="false" outlineLevel="0" collapsed="false">
      <c r="A353" s="8"/>
      <c r="B353" s="72"/>
      <c r="C353" s="73"/>
      <c r="D353" s="155"/>
      <c r="E353" s="162"/>
      <c r="F353" s="157"/>
      <c r="G353" s="77"/>
      <c r="H353" s="77"/>
      <c r="I353" s="77"/>
      <c r="J353" s="163"/>
      <c r="K353" s="161"/>
      <c r="L353" s="161"/>
      <c r="M353" s="80"/>
      <c r="N353" s="161"/>
      <c r="O353" s="160"/>
      <c r="P353" s="161"/>
      <c r="Q353" s="161"/>
      <c r="R353" s="161"/>
      <c r="S353" s="77"/>
      <c r="T353" s="161"/>
      <c r="U353" s="160"/>
      <c r="V353" s="161"/>
      <c r="W353" s="85"/>
      <c r="X353" s="86" t="str">
        <f aca="false">IF(ISBLANK($C353),"",IF($E353=Constants!$B$2,TRUE(),IF($E353=Constants!$B$3,FALSE(),TRUE())))</f>
        <v/>
      </c>
      <c r="Y353" s="86" t="str">
        <f aca="false">IF(ISBLANK($C353),"",IF($F353=Constants!$B$2,TRUE(),IF($F353=Constants!$B$3,FALSE(),TRUE())))</f>
        <v/>
      </c>
      <c r="Z353" s="87" t="str">
        <f aca="false">IF(ISBLANK($C353),"",IF(ISNUMBER($G353),IF($G353&gt;=0,$G353,""),""))</f>
        <v/>
      </c>
      <c r="AA353" s="87" t="str">
        <f aca="false">IF(ISBLANK($C353),"",IF(ISNUMBER($H353),IF($H353&gt;=0,$H353,""),""))</f>
        <v/>
      </c>
      <c r="AB353" s="87" t="str">
        <f aca="false">IF(ISBLANK($C353),"",IF(ISNUMBER($I353),IF($I353&gt;=0,$I353,""),""))</f>
        <v/>
      </c>
      <c r="AC353" s="86" t="str">
        <f aca="false">IF(ISBLANK($C353),"",IF($J353=Constants!$B$2,TRUE(),IF($J353=Constants!$B$3,FALSE(),TRUE())))</f>
        <v/>
      </c>
      <c r="AD353" s="86" t="str">
        <f aca="false">IF(ISBLANK($C353),"",IF($K353=Constants!$B$2,TRUE(),IF($K353=Constants!$B$3,FALSE(),TRUE())))</f>
        <v/>
      </c>
      <c r="AE353" s="86" t="str">
        <f aca="false">IF(ISBLANK($C353),"",IF($L353=Constants!$B$2,TRUE(),IF($L353=Constants!$B$3,FALSE(),TRUE())))</f>
        <v/>
      </c>
      <c r="AF353" s="88" t="str">
        <f aca="false">IF(ISBLANK($C353),"",IF(ISNUMBER($M353),IF($M353&gt;=0,$M353,""),""))</f>
        <v/>
      </c>
      <c r="AG353" s="86" t="str">
        <f aca="false">IF(ISBLANK($C353),"",IF(ISBLANK($N353),0,IF(ISNUMBER($N353),IF(AND($N353&gt;=0,$N353&lt;=Constants!$B$17,$N353=INT($N353)),$N353,""),"")))</f>
        <v/>
      </c>
      <c r="AH353" s="87" t="str">
        <f aca="false">IF(ISBLANK($C353),"",IF(ISBLANK($O353),0,IF(ISNUMBER($O353),IF($O353&gt;=0,$O353,""),"")))</f>
        <v/>
      </c>
      <c r="AI353" s="86" t="str">
        <f aca="false">IF(ISBLANK($C353),"",IF($P353=Constants!$B$2,TRUE(),IF($P353=Constants!$B$3,FALSE(),TRUE())))</f>
        <v/>
      </c>
      <c r="AJ353" s="86" t="str">
        <f aca="false">IF(ISBLANK($C353),"",IF($Q353=Constants!$B$2,TRUE(),IF($Q353=Constants!$B$3,FALSE(),TRUE())))</f>
        <v/>
      </c>
      <c r="AK353" s="86" t="str">
        <f aca="false">IF(ISBLANK($C353),"",IF($R353=Constants!$B$2,TRUE(),IF($R353=Constants!$B$3,FALSE(),TRUE())))</f>
        <v/>
      </c>
      <c r="AL353" s="88" t="str">
        <f aca="false">IF(ISBLANK($C353),"",IF(ISNUMBER($S353),IF($S353&gt;=0,$S353,""),""))</f>
        <v/>
      </c>
      <c r="AM353" s="86" t="str">
        <f aca="false">IF(ISBLANK($C353),"",IF(ISBLANK($T353),0,IF(ISNUMBER($T353),IF(AND($T353&gt;=0,$T353&lt;=Constants!$B$17,$T353=INT($T353)),$T353,""),"")))</f>
        <v/>
      </c>
      <c r="AN353" s="87" t="str">
        <f aca="false">IF(ISBLANK($C353),"",IF(ISBLANK($U353),0,IF(ISNUMBER($U353),IF($U353&gt;=0,$U353,""),"")))</f>
        <v/>
      </c>
      <c r="AO353" s="86" t="str">
        <f aca="false">IF(ISBLANK($C353),"",IF($V353=Constants!$B$2,TRUE(),IF($V353=Constants!$B$3,FALSE(),FALSE())))</f>
        <v/>
      </c>
      <c r="AP353" s="86"/>
      <c r="AQ353" s="85" t="str">
        <f aca="false">IF(ISBLANK($C353),"",AND($Y353,OR($AS353,$BC353),OR($Z353="",$AA353="",$AB353="")))</f>
        <v/>
      </c>
      <c r="AR353" s="85" t="str">
        <f aca="false">IF(ISBLANK($C353),"",IF(OR(NOT($Y353),NOT(OR($AS353,$BC353))),"",IF(ISBLANK($D$7),$AR$5,IF($AP$9="",$AR$6,""))))</f>
        <v/>
      </c>
      <c r="AS353" s="85" t="str">
        <f aca="false">IF(ISBLANK($C353),"",COUNTA($J353:$O353)&gt;0)</f>
        <v/>
      </c>
      <c r="AT353" s="85" t="str">
        <f aca="false">IF(ISBLANK($C353),"",AND($AS353,OR(AND($AF353="",OR($AE353,NOT(ISBLANK($M353)))),$AG353="",$AH353="")))</f>
        <v/>
      </c>
      <c r="AU353" s="87" t="str">
        <f aca="false">IF($BL353&lt;&gt;Constants!$B$4,"",IF(NOT($AS353),"",ROUND((Constants!$B$12-$AB353)+(Constants!$B$13-$Z353)+(Constants!$B$14-$AA353),1)))</f>
        <v/>
      </c>
      <c r="AV353" s="90" t="str">
        <f aca="false">IF($BL353&lt;&gt;Constants!$B$4,"",IF(NOT($AS353),"",IF(NOT($AE353),0,Constants!$B$15*(INT(ROUND(MIN($AF353,$AP$9),6))-INT(ROUND(MAX(0,MIN($AF353,2*$AP$9)-$AP$9),6))))))</f>
        <v/>
      </c>
      <c r="AW353" s="90" t="str">
        <f aca="false">IF($BL353&lt;&gt;Constants!$B$4,"",IF(NOT($AS353),"",Constants!$B$16*$AG353))</f>
        <v/>
      </c>
      <c r="AX353" s="90" t="str">
        <f aca="false">IF($BL353&lt;&gt;Constants!$B$4,"",IF(NOT($AS353),"",Constants!$B$18*INT(ROUND($AH353,6))))</f>
        <v/>
      </c>
      <c r="AY353" s="85" t="str">
        <f aca="false">IF($BL353&lt;&gt;Constants!$B$4,"",IF(NOT($AS353),"",IF(NOT($X353),Constants!$B$11,IF(OR(NOT($AC353),NOT($AD353),ROUND($AB353,1)&gt;Constants!$B$12,ROUND($Z353,1)&gt;Constants!$B$13,ROUND($AA353,1)&gt;Constants!$B$14),Constants!$B$10,Constants!$B$9))))</f>
        <v/>
      </c>
      <c r="AZ353" s="91" t="str">
        <f aca="false">IF($BL353&lt;&gt;Constants!$B$4,"",IF(NOT($AS353),"",ROUND($AU353+$AV353+$AW353+$AX353,1)))</f>
        <v/>
      </c>
      <c r="BA353" s="92" t="str">
        <f aca="false">IF($BL353&lt;&gt;Constants!$B$4,"",IF(NOT($AS353),"",IF(ISNUMBER($AF353),$AF353,0)))</f>
        <v/>
      </c>
      <c r="BB353" s="86" t="str">
        <f aca="false">IF($BL353&lt;&gt;Constants!$B$4,"",IF(NOT($BC353),"&lt;-",IF(NOT($AS353),"-&gt;",IF(OR($BI353&lt;$AY353,AND($BI353=$AY353,OR($BJ353&gt;$AZ353,AND($BJ353=$AZ353,OR($BH353&gt;$AX353,AND($BH353=$AX353,OR($BE353&gt;$AU353,AND($BE353=$AU353,OR($BF353&gt;$AV353,AND($BF353=$AV353,$BK353&gt;$BA353)))))))))),"-&gt;","&lt;-"))))</f>
        <v/>
      </c>
      <c r="BC353" s="85" t="str">
        <f aca="false">IF(ISBLANK($C353),"",COUNTA($P353:$U353)&gt;0)</f>
        <v/>
      </c>
      <c r="BD353" s="85" t="str">
        <f aca="false">IF(ISBLANK($C353),"",AND($BC353,OR(AND($AL353="",OR($AK353,NOT(ISBLANK($S353)))),$AM353="",$AN353="")))</f>
        <v/>
      </c>
      <c r="BE353" s="87" t="str">
        <f aca="false">IF($BL353&lt;&gt;Constants!$B$4,"",IF(NOT($BC353),"",ROUND((Constants!$B$12-$AB353)+(Constants!$B$13-$Z353)+(Constants!$B$14-$AA353),1)))</f>
        <v/>
      </c>
      <c r="BF353" s="90" t="str">
        <f aca="false">IF($BL353&lt;&gt;Constants!$B$4,"",IF(NOT($BC353),"",IF(NOT($AK353),0,Constants!$B$15*(INT(ROUND(MIN($AL353,$AP$9),6))-INT(ROUND(MAX(0,MIN($AL353,2*$AP$9)-$AP$9),6))))))</f>
        <v/>
      </c>
      <c r="BG353" s="90" t="str">
        <f aca="false">IF($BL353&lt;&gt;Constants!$B$4,"",IF(NOT($BC353),"",Constants!$B$16*$AM353))</f>
        <v/>
      </c>
      <c r="BH353" s="90" t="str">
        <f aca="false">IF($BL353&lt;&gt;Constants!$B$4,"",IF(NOT($BC353),"",Constants!$B$18*INT(ROUND($AN353,6))))</f>
        <v/>
      </c>
      <c r="BI353" s="85" t="str">
        <f aca="false">IF($BL353&lt;&gt;Constants!$B$4,"",IF(NOT($BC353),"",IF(NOT($X353),Constants!$B$11,IF(OR(NOT($AI353),NOT($AJ353),ROUND($AB353,1)&gt;Constants!$B$12,ROUND($Z353,1)&gt;Constants!$B$13,ROUND($AA353,1)&gt;Constants!$B$14),Constants!$B$10,Constants!$B$9))))</f>
        <v/>
      </c>
      <c r="BJ353" s="91" t="str">
        <f aca="false">IF($BL353&lt;&gt;Constants!$B$4,"",IF(NOT($BC353),"",ROUND($BE353+$BF353+$BG353+$BH353,1)))</f>
        <v/>
      </c>
      <c r="BK353" s="92" t="str">
        <f aca="false">IF($BL353&lt;&gt;Constants!$B$4,"",IF(NOT($BC353),"",IF(ISNUMBER($AL353),$AL353,0)))</f>
        <v/>
      </c>
      <c r="BL353" s="86" t="str">
        <f aca="false">IF(ISBLANK($C353),"",IF($AO353,Constants!$B$7,IF(COUNTA($E353:$V353)=0,Constants!$B$6,IF(NOT($Y353),Constants!$B$5,IF(NOT(OR($AS353,$BC353)),Constants!$B$5,IF(OR($AT353,$BD353,$AQ353,$AR353&lt;&gt;""),Constants!$B$8,Constants!$B$4))))))</f>
        <v/>
      </c>
      <c r="BM353" s="86" t="str">
        <f aca="false">IF(ISBLANK($C353),"",IF($BL353&lt;&gt;Constants!$B$4,$BL353,IF($BB353="-&gt;",$BI353,$AY353)))</f>
        <v/>
      </c>
      <c r="BN353" s="90" t="str">
        <f aca="false">IF($BL353&lt;&gt;Constants!$B$4,"",IF($BB353="-&gt;",$BJ353,$AZ353))</f>
        <v/>
      </c>
      <c r="BO353" s="90" t="str">
        <f aca="false">IF(ISBLANK($C353),"",IF($BL353&lt;&gt;Constants!$B$4,$BL353,$BN353))</f>
        <v/>
      </c>
      <c r="BP353" s="86" t="str">
        <f aca="false">IF(ISBLANK($C353),"",IF($BL353&lt;&gt;Constants!$B$4,$BL353,RANK($BO353,$BO$9:$BO$508,0)))</f>
        <v/>
      </c>
      <c r="BQ353" s="86" t="str">
        <f aca="false">IF(ISBLANK($C353),"",IF($BL353&lt;&gt;Constants!$B$4,$BL353,COUNTIFS($BM$9:$BM$508,"&lt;"&amp;$BM353)+COUNTIFS($BM$9:$BM$508,$BM353,$BP$9:$BP$508,"&lt;"&amp;$BP353)+1))</f>
        <v/>
      </c>
      <c r="BR353" s="90" t="str">
        <f aca="false">IF($BL353&lt;&gt;Constants!$B$4,"",IF($BB353="-&gt;",$BH353,$AX353))</f>
        <v/>
      </c>
      <c r="BS353" s="86" t="str">
        <f aca="false">IF(ISBLANK($C353),"",IF($BL353&lt;&gt;Constants!$B$4,$BL353,IF(ISNUMBER($BR353),RANK($BR353,$BR$9:$BR$508,0),COUNT($BR$9:$BR$508)+1)))</f>
        <v/>
      </c>
      <c r="BT353" s="90" t="str">
        <f aca="false">IF($BL353&lt;&gt;Constants!$B$4,"",IF($BB353="-&gt;",$BE353,$AU353))</f>
        <v/>
      </c>
      <c r="BU353" s="86" t="str">
        <f aca="false">IF(ISBLANK($C353),"",IF($BL353&lt;&gt;Constants!$B$4,$BL353,IF(ISNUMBER($BT353),RANK($BT353,$BT$9:$BT$508,0),COUNT($BT$9:$BT$508)+1)))</f>
        <v/>
      </c>
      <c r="BV353" s="90" t="str">
        <f aca="false">IF($BL353&lt;&gt;Constants!$B$4,"",IF($BB353="-&gt;",$BF353,$AV353))</f>
        <v/>
      </c>
      <c r="BW353" s="86" t="str">
        <f aca="false">IF(ISBLANK($C353),"",IF($BL353&lt;&gt;Constants!$B$4,$BL353,IF(ISNUMBER($BV353),RANK($BV353,$BV$9:$BV$508,0),COUNT($BV$9:$BV$508)+1)))</f>
        <v/>
      </c>
      <c r="BX353" s="90" t="str">
        <f aca="false">IF($BL353&lt;&gt;Constants!$B$4,"",IF($BB353="-&gt;",$BK353,$BA353))</f>
        <v/>
      </c>
      <c r="BY353" s="86" t="str">
        <f aca="false">IF(ISBLANK($C353),"",IF($BL353&lt;&gt;Constants!$B$4,$BL353,IF(ISNUMBER($BX353),RANK($BX353,$BX$9:$BX$508,0),COUNT($BX$9:$BX$508)+1)))</f>
        <v/>
      </c>
      <c r="BZ353" s="86" t="str">
        <f aca="false">IF(ISBLANK($C353),"",IF($BL353&lt;&gt;Constants!$B$4,$BL353,COUNTIFS($BM$9:$BM$508,"&lt;"&amp;$BM353)+COUNTIFS($BM$9:$BM$508,$BM353,$BP$9:$BP$508,"&lt;"&amp;$BP353)+COUNTIFS($BM$9:$BM$508,$BM353,$BP$9:$BP$508,$BP353,$BS$9:$BS$508,"&lt;"&amp;$BS353)+COUNTIFS($BM$9:$BM$508,$BM353,$BP$9:$BP$508,$BP353,$BS$9:$BS$508,$BS353,$BU$9:$BU$508,"&lt;"&amp;$BU353)+COUNTIFS($BM$9:$BM$508,$BM353,$BP$9:$BP$508,$BP353,$BS$9:$BS$508,$BS353,$BU$9:$BU$508,$BU353,$BW$9:$BW$508,"&lt;"&amp;$BW353)+COUNTIFS($BM$9:$BM$508,$BM353,$BP$9:$BP$508,$BP353,$BS$9:$BS$508,$BS353,$BU$9:$BU$508,$BU353,$BW$9:$BW$508,$BW353,$BY$9:$BY$508,"&lt;"&amp;$BY353)+1))</f>
        <v/>
      </c>
      <c r="CA353" s="86" t="str">
        <f aca="false">IF(ISBLANK($C353),"",IF($BL353&lt;&gt;Constants!$B$4,$BL353,$BQ353-$BZ353))</f>
        <v/>
      </c>
      <c r="CB353" s="93"/>
      <c r="CC353" s="94" t="str">
        <f aca="false">IF(ISBLANK($C353),"",IF($BL353=Constants!$B$8,$AR353,""))</f>
        <v/>
      </c>
      <c r="CD353" s="94" t="str">
        <f aca="false">IF(ISBLANK($C353),"",IF($BL353&lt;&gt;Constants!$B$4,"",IF($BB353="-&gt;",2,1)))</f>
        <v/>
      </c>
      <c r="CE353" s="95" t="str">
        <f aca="false">IF(ISBLANK($C353),"",IF($BL353&lt;&gt;Constants!$B$4,"",IF($BB353="-&gt;",$BE353,$AU353)))</f>
        <v/>
      </c>
      <c r="CF353" s="95" t="str">
        <f aca="false">IF(ISBLANK($C353),"",IF($BL353&lt;&gt;Constants!$B$4,"",IF($BB353="-&gt;",$BF353,$AV353)))</f>
        <v/>
      </c>
      <c r="CG353" s="95" t="str">
        <f aca="false">IF(ISBLANK($C353),"",IF($BL353&lt;&gt;Constants!$B$4,"",IF($BB353="-&gt;",$BG353,$AW353)))</f>
        <v/>
      </c>
      <c r="CH353" s="95" t="str">
        <f aca="false">IF(ISBLANK($C353),"",IF($BL353&lt;&gt;Constants!$B$4,"",IF($BB353="-&gt;",$BH353,$AX353)))</f>
        <v/>
      </c>
      <c r="CI353" s="96" t="str">
        <f aca="false">IF(ISBLANK($C353),"",$BO353)</f>
        <v/>
      </c>
      <c r="CJ353" s="97" t="str">
        <f aca="false">IF(ISBLANK($C353),"",$BM353)</f>
        <v/>
      </c>
      <c r="CK353" s="98" t="str">
        <f aca="false">IF(ISBLANK($C353),"",$CA353)</f>
        <v/>
      </c>
      <c r="CL353" s="98" t="str">
        <f aca="false">IF(ISBLANK($C353),"",$BZ353)</f>
        <v/>
      </c>
      <c r="CM353" s="99" t="str">
        <f aca="false">IF(ISBLANK($C353),"",IF($CL353=Constants!$B$7,COUNTA($C$9:$C$508)+2,IF($CL353=Constants!$B$6,COUNTA($C$9:$C$508)+1,IF($CL353=Constants!$B$5,COUNTA($C$9:$C$508),$CL353))))</f>
        <v/>
      </c>
      <c r="CN353" s="8"/>
      <c r="CO353" s="100" t="n">
        <f aca="false">IF(OR(ISNUMBER($CL353),$CL353=Constants!$B$7,$CL353=Constants!$B$5,$CL353=Constants!$B$6),1,0)</f>
        <v>0</v>
      </c>
      <c r="CP353" s="100" t="n">
        <v>345</v>
      </c>
      <c r="CQ353" s="100" t="str">
        <f aca="false">IF(ISBLANK($C353),"",IF(ISNUMBER($CM353),$CM353+ROW($B353)/1000,""))</f>
        <v/>
      </c>
      <c r="CR353" s="100" t="str">
        <f aca="false">IF(ISNUMBER($CQ353),RANK($CQ353,$CQ$9:$CQ$508,1),"")</f>
        <v/>
      </c>
      <c r="CS353" s="100" t="str">
        <f aca="false">IF(ISBLANK($C353),"",$B353)</f>
        <v/>
      </c>
      <c r="CT353" s="100" t="str">
        <f aca="false">IF(ISBLANK($C353),"",$C353)</f>
        <v/>
      </c>
      <c r="CU353" s="100" t="str">
        <f aca="false">IF(ISBLANK($C353),"",$D353)</f>
        <v/>
      </c>
      <c r="CV353" s="101" t="str">
        <f aca="false">$CJ353</f>
        <v/>
      </c>
      <c r="CW353" s="102" t="str">
        <f aca="false">$CI353</f>
        <v/>
      </c>
      <c r="CX353" s="100" t="str">
        <f aca="false">IF(ISBLANK($C353),"",$CL353)</f>
        <v/>
      </c>
      <c r="CY353" s="103" t="str">
        <f aca="false">IF($CP353&gt;$CO$8,"",VLOOKUP($CP353,$CR$9:$CX$508,7,FALSE()))</f>
        <v/>
      </c>
      <c r="CZ353" s="104" t="str">
        <f aca="false">IF($CP353&gt;$CO$8,"",VLOOKUP($CP353,$CR$9:$CX$508,2,FALSE()))</f>
        <v/>
      </c>
      <c r="DA353" s="104" t="str">
        <f aca="false">IF($CP353&gt;$CO$8,"",VLOOKUP($CP353,$CR$9:$CX$508,3,FALSE()))</f>
        <v/>
      </c>
      <c r="DB353" s="104" t="str">
        <f aca="false">IF($CP353&gt;$CO$8,"",VLOOKUP($CP353,$CR$9:$CX$508,4,FALSE()))</f>
        <v/>
      </c>
      <c r="DC353" s="104" t="str">
        <f aca="false">IF($CP353&gt;$CO$8,"",VLOOKUP($CP353,$CR$9:$CX$508,5,FALSE()))</f>
        <v/>
      </c>
      <c r="DD353" s="105" t="str">
        <f aca="false">IF($CP353&gt;$CO$8,"",VLOOKUP($CP353,$CR$9:$CX$508,6,FALSE()))</f>
        <v/>
      </c>
      <c r="DE353" s="70"/>
    </row>
    <row r="354" customFormat="false" ht="15.75" hidden="false" customHeight="false" outlineLevel="0" collapsed="false">
      <c r="A354" s="8"/>
      <c r="B354" s="146"/>
      <c r="C354" s="147"/>
      <c r="D354" s="148"/>
      <c r="E354" s="164"/>
      <c r="F354" s="150"/>
      <c r="G354" s="115"/>
      <c r="H354" s="115"/>
      <c r="I354" s="115"/>
      <c r="J354" s="165"/>
      <c r="K354" s="154"/>
      <c r="L354" s="154"/>
      <c r="M354" s="118"/>
      <c r="N354" s="154"/>
      <c r="O354" s="153"/>
      <c r="P354" s="154"/>
      <c r="Q354" s="154"/>
      <c r="R354" s="154"/>
      <c r="S354" s="115"/>
      <c r="T354" s="154"/>
      <c r="U354" s="153"/>
      <c r="V354" s="154"/>
      <c r="W354" s="123"/>
      <c r="X354" s="124" t="str">
        <f aca="false">IF(ISBLANK($C354),"",IF($E354=Constants!$B$2,TRUE(),IF($E354=Constants!$B$3,FALSE(),TRUE())))</f>
        <v/>
      </c>
      <c r="Y354" s="124" t="str">
        <f aca="false">IF(ISBLANK($C354),"",IF($F354=Constants!$B$2,TRUE(),IF($F354=Constants!$B$3,FALSE(),TRUE())))</f>
        <v/>
      </c>
      <c r="Z354" s="125" t="str">
        <f aca="false">IF(ISBLANK($C354),"",IF(ISNUMBER($G354),IF($G354&gt;=0,$G354,""),""))</f>
        <v/>
      </c>
      <c r="AA354" s="125" t="str">
        <f aca="false">IF(ISBLANK($C354),"",IF(ISNUMBER($H354),IF($H354&gt;=0,$H354,""),""))</f>
        <v/>
      </c>
      <c r="AB354" s="125" t="str">
        <f aca="false">IF(ISBLANK($C354),"",IF(ISNUMBER($I354),IF($I354&gt;=0,$I354,""),""))</f>
        <v/>
      </c>
      <c r="AC354" s="124" t="str">
        <f aca="false">IF(ISBLANK($C354),"",IF($J354=Constants!$B$2,TRUE(),IF($J354=Constants!$B$3,FALSE(),TRUE())))</f>
        <v/>
      </c>
      <c r="AD354" s="124" t="str">
        <f aca="false">IF(ISBLANK($C354),"",IF($K354=Constants!$B$2,TRUE(),IF($K354=Constants!$B$3,FALSE(),TRUE())))</f>
        <v/>
      </c>
      <c r="AE354" s="124" t="str">
        <f aca="false">IF(ISBLANK($C354),"",IF($L354=Constants!$B$2,TRUE(),IF($L354=Constants!$B$3,FALSE(),TRUE())))</f>
        <v/>
      </c>
      <c r="AF354" s="126" t="str">
        <f aca="false">IF(ISBLANK($C354),"",IF(ISNUMBER($M354),IF($M354&gt;=0,$M354,""),""))</f>
        <v/>
      </c>
      <c r="AG354" s="124" t="str">
        <f aca="false">IF(ISBLANK($C354),"",IF(ISBLANK($N354),0,IF(ISNUMBER($N354),IF(AND($N354&gt;=0,$N354&lt;=Constants!$B$17,$N354=INT($N354)),$N354,""),"")))</f>
        <v/>
      </c>
      <c r="AH354" s="125" t="str">
        <f aca="false">IF(ISBLANK($C354),"",IF(ISBLANK($O354),0,IF(ISNUMBER($O354),IF($O354&gt;=0,$O354,""),"")))</f>
        <v/>
      </c>
      <c r="AI354" s="124" t="str">
        <f aca="false">IF(ISBLANK($C354),"",IF($P354=Constants!$B$2,TRUE(),IF($P354=Constants!$B$3,FALSE(),TRUE())))</f>
        <v/>
      </c>
      <c r="AJ354" s="124" t="str">
        <f aca="false">IF(ISBLANK($C354),"",IF($Q354=Constants!$B$2,TRUE(),IF($Q354=Constants!$B$3,FALSE(),TRUE())))</f>
        <v/>
      </c>
      <c r="AK354" s="124" t="str">
        <f aca="false">IF(ISBLANK($C354),"",IF($R354=Constants!$B$2,TRUE(),IF($R354=Constants!$B$3,FALSE(),TRUE())))</f>
        <v/>
      </c>
      <c r="AL354" s="126" t="str">
        <f aca="false">IF(ISBLANK($C354),"",IF(ISNUMBER($S354),IF($S354&gt;=0,$S354,""),""))</f>
        <v/>
      </c>
      <c r="AM354" s="124" t="str">
        <f aca="false">IF(ISBLANK($C354),"",IF(ISBLANK($T354),0,IF(ISNUMBER($T354),IF(AND($T354&gt;=0,$T354&lt;=Constants!$B$17,$T354=INT($T354)),$T354,""),"")))</f>
        <v/>
      </c>
      <c r="AN354" s="125" t="str">
        <f aca="false">IF(ISBLANK($C354),"",IF(ISBLANK($U354),0,IF(ISNUMBER($U354),IF($U354&gt;=0,$U354,""),"")))</f>
        <v/>
      </c>
      <c r="AO354" s="124" t="str">
        <f aca="false">IF(ISBLANK($C354),"",IF($V354=Constants!$B$2,TRUE(),IF($V354=Constants!$B$3,FALSE(),FALSE())))</f>
        <v/>
      </c>
      <c r="AP354" s="124"/>
      <c r="AQ354" s="123" t="str">
        <f aca="false">IF(ISBLANK($C354),"",AND($Y354,OR($AS354,$BC354),OR($Z354="",$AA354="",$AB354="")))</f>
        <v/>
      </c>
      <c r="AR354" s="123" t="str">
        <f aca="false">IF(ISBLANK($C354),"",IF(OR(NOT($Y354),NOT(OR($AS354,$BC354))),"",IF(ISBLANK($D$7),$AR$5,IF($AP$9="",$AR$6,""))))</f>
        <v/>
      </c>
      <c r="AS354" s="123" t="str">
        <f aca="false">IF(ISBLANK($C354),"",COUNTA($J354:$O354)&gt;0)</f>
        <v/>
      </c>
      <c r="AT354" s="123" t="str">
        <f aca="false">IF(ISBLANK($C354),"",AND($AS354,OR(AND($AF354="",OR($AE354,NOT(ISBLANK($M354)))),$AG354="",$AH354="")))</f>
        <v/>
      </c>
      <c r="AU354" s="125" t="str">
        <f aca="false">IF($BL354&lt;&gt;Constants!$B$4,"",IF(NOT($AS354),"",ROUND((Constants!$B$12-$AB354)+(Constants!$B$13-$Z354)+(Constants!$B$14-$AA354),1)))</f>
        <v/>
      </c>
      <c r="AV354" s="127" t="str">
        <f aca="false">IF($BL354&lt;&gt;Constants!$B$4,"",IF(NOT($AS354),"",IF(NOT($AE354),0,Constants!$B$15*(INT(ROUND(MIN($AF354,$AP$9),6))-INT(ROUND(MAX(0,MIN($AF354,2*$AP$9)-$AP$9),6))))))</f>
        <v/>
      </c>
      <c r="AW354" s="127" t="str">
        <f aca="false">IF($BL354&lt;&gt;Constants!$B$4,"",IF(NOT($AS354),"",Constants!$B$16*$AG354))</f>
        <v/>
      </c>
      <c r="AX354" s="127" t="str">
        <f aca="false">IF($BL354&lt;&gt;Constants!$B$4,"",IF(NOT($AS354),"",Constants!$B$18*INT(ROUND($AH354,6))))</f>
        <v/>
      </c>
      <c r="AY354" s="123" t="str">
        <f aca="false">IF($BL354&lt;&gt;Constants!$B$4,"",IF(NOT($AS354),"",IF(NOT($X354),Constants!$B$11,IF(OR(NOT($AC354),NOT($AD354),ROUND($AB354,1)&gt;Constants!$B$12,ROUND($Z354,1)&gt;Constants!$B$13,ROUND($AA354,1)&gt;Constants!$B$14),Constants!$B$10,Constants!$B$9))))</f>
        <v/>
      </c>
      <c r="AZ354" s="128" t="str">
        <f aca="false">IF($BL354&lt;&gt;Constants!$B$4,"",IF(NOT($AS354),"",ROUND($AU354+$AV354+$AW354+$AX354,1)))</f>
        <v/>
      </c>
      <c r="BA354" s="129" t="str">
        <f aca="false">IF($BL354&lt;&gt;Constants!$B$4,"",IF(NOT($AS354),"",IF(ISNUMBER($AF354),$AF354,0)))</f>
        <v/>
      </c>
      <c r="BB354" s="124" t="str">
        <f aca="false">IF($BL354&lt;&gt;Constants!$B$4,"",IF(NOT($BC354),"&lt;-",IF(NOT($AS354),"-&gt;",IF(OR($BI354&lt;$AY354,AND($BI354=$AY354,OR($BJ354&gt;$AZ354,AND($BJ354=$AZ354,OR($BH354&gt;$AX354,AND($BH354=$AX354,OR($BE354&gt;$AU354,AND($BE354=$AU354,OR($BF354&gt;$AV354,AND($BF354=$AV354,$BK354&gt;$BA354)))))))))),"-&gt;","&lt;-"))))</f>
        <v/>
      </c>
      <c r="BC354" s="123" t="str">
        <f aca="false">IF(ISBLANK($C354),"",COUNTA($P354:$U354)&gt;0)</f>
        <v/>
      </c>
      <c r="BD354" s="123" t="str">
        <f aca="false">IF(ISBLANK($C354),"",AND($BC354,OR(AND($AL354="",OR($AK354,NOT(ISBLANK($S354)))),$AM354="",$AN354="")))</f>
        <v/>
      </c>
      <c r="BE354" s="125" t="str">
        <f aca="false">IF($BL354&lt;&gt;Constants!$B$4,"",IF(NOT($BC354),"",ROUND((Constants!$B$12-$AB354)+(Constants!$B$13-$Z354)+(Constants!$B$14-$AA354),1)))</f>
        <v/>
      </c>
      <c r="BF354" s="127" t="str">
        <f aca="false">IF($BL354&lt;&gt;Constants!$B$4,"",IF(NOT($BC354),"",IF(NOT($AK354),0,Constants!$B$15*(INT(ROUND(MIN($AL354,$AP$9),6))-INT(ROUND(MAX(0,MIN($AL354,2*$AP$9)-$AP$9),6))))))</f>
        <v/>
      </c>
      <c r="BG354" s="127" t="str">
        <f aca="false">IF($BL354&lt;&gt;Constants!$B$4,"",IF(NOT($BC354),"",Constants!$B$16*$AM354))</f>
        <v/>
      </c>
      <c r="BH354" s="127" t="str">
        <f aca="false">IF($BL354&lt;&gt;Constants!$B$4,"",IF(NOT($BC354),"",Constants!$B$18*INT(ROUND($AN354,6))))</f>
        <v/>
      </c>
      <c r="BI354" s="123" t="str">
        <f aca="false">IF($BL354&lt;&gt;Constants!$B$4,"",IF(NOT($BC354),"",IF(NOT($X354),Constants!$B$11,IF(OR(NOT($AI354),NOT($AJ354),ROUND($AB354,1)&gt;Constants!$B$12,ROUND($Z354,1)&gt;Constants!$B$13,ROUND($AA354,1)&gt;Constants!$B$14),Constants!$B$10,Constants!$B$9))))</f>
        <v/>
      </c>
      <c r="BJ354" s="128" t="str">
        <f aca="false">IF($BL354&lt;&gt;Constants!$B$4,"",IF(NOT($BC354),"",ROUND($BE354+$BF354+$BG354+$BH354,1)))</f>
        <v/>
      </c>
      <c r="BK354" s="129" t="str">
        <f aca="false">IF($BL354&lt;&gt;Constants!$B$4,"",IF(NOT($BC354),"",IF(ISNUMBER($AL354),$AL354,0)))</f>
        <v/>
      </c>
      <c r="BL354" s="124" t="str">
        <f aca="false">IF(ISBLANK($C354),"",IF($AO354,Constants!$B$7,IF(COUNTA($E354:$V354)=0,Constants!$B$6,IF(NOT($Y354),Constants!$B$5,IF(NOT(OR($AS354,$BC354)),Constants!$B$5,IF(OR($AT354,$BD354,$AQ354,$AR354&lt;&gt;""),Constants!$B$8,Constants!$B$4))))))</f>
        <v/>
      </c>
      <c r="BM354" s="124" t="str">
        <f aca="false">IF(ISBLANK($C354),"",IF($BL354&lt;&gt;Constants!$B$4,$BL354,IF($BB354="-&gt;",$BI354,$AY354)))</f>
        <v/>
      </c>
      <c r="BN354" s="127" t="str">
        <f aca="false">IF($BL354&lt;&gt;Constants!$B$4,"",IF($BB354="-&gt;",$BJ354,$AZ354))</f>
        <v/>
      </c>
      <c r="BO354" s="127" t="str">
        <f aca="false">IF(ISBLANK($C354),"",IF($BL354&lt;&gt;Constants!$B$4,$BL354,$BN354))</f>
        <v/>
      </c>
      <c r="BP354" s="124" t="str">
        <f aca="false">IF(ISBLANK($C354),"",IF($BL354&lt;&gt;Constants!$B$4,$BL354,RANK($BO354,$BO$9:$BO$508,0)))</f>
        <v/>
      </c>
      <c r="BQ354" s="124" t="str">
        <f aca="false">IF(ISBLANK($C354),"",IF($BL354&lt;&gt;Constants!$B$4,$BL354,COUNTIFS($BM$9:$BM$508,"&lt;"&amp;$BM354)+COUNTIFS($BM$9:$BM$508,$BM354,$BP$9:$BP$508,"&lt;"&amp;$BP354)+1))</f>
        <v/>
      </c>
      <c r="BR354" s="127" t="str">
        <f aca="false">IF($BL354&lt;&gt;Constants!$B$4,"",IF($BB354="-&gt;",$BH354,$AX354))</f>
        <v/>
      </c>
      <c r="BS354" s="124" t="str">
        <f aca="false">IF(ISBLANK($C354),"",IF($BL354&lt;&gt;Constants!$B$4,$BL354,IF(ISNUMBER($BR354),RANK($BR354,$BR$9:$BR$508,0),COUNT($BR$9:$BR$508)+1)))</f>
        <v/>
      </c>
      <c r="BT354" s="127" t="str">
        <f aca="false">IF($BL354&lt;&gt;Constants!$B$4,"",IF($BB354="-&gt;",$BE354,$AU354))</f>
        <v/>
      </c>
      <c r="BU354" s="124" t="str">
        <f aca="false">IF(ISBLANK($C354),"",IF($BL354&lt;&gt;Constants!$B$4,$BL354,IF(ISNUMBER($BT354),RANK($BT354,$BT$9:$BT$508,0),COUNT($BT$9:$BT$508)+1)))</f>
        <v/>
      </c>
      <c r="BV354" s="127" t="str">
        <f aca="false">IF($BL354&lt;&gt;Constants!$B$4,"",IF($BB354="-&gt;",$BF354,$AV354))</f>
        <v/>
      </c>
      <c r="BW354" s="124" t="str">
        <f aca="false">IF(ISBLANK($C354),"",IF($BL354&lt;&gt;Constants!$B$4,$BL354,IF(ISNUMBER($BV354),RANK($BV354,$BV$9:$BV$508,0),COUNT($BV$9:$BV$508)+1)))</f>
        <v/>
      </c>
      <c r="BX354" s="127" t="str">
        <f aca="false">IF($BL354&lt;&gt;Constants!$B$4,"",IF($BB354="-&gt;",$BK354,$BA354))</f>
        <v/>
      </c>
      <c r="BY354" s="124" t="str">
        <f aca="false">IF(ISBLANK($C354),"",IF($BL354&lt;&gt;Constants!$B$4,$BL354,IF(ISNUMBER($BX354),RANK($BX354,$BX$9:$BX$508,0),COUNT($BX$9:$BX$508)+1)))</f>
        <v/>
      </c>
      <c r="BZ354" s="124" t="str">
        <f aca="false">IF(ISBLANK($C354),"",IF($BL354&lt;&gt;Constants!$B$4,$BL354,COUNTIFS($BM$9:$BM$508,"&lt;"&amp;$BM354)+COUNTIFS($BM$9:$BM$508,$BM354,$BP$9:$BP$508,"&lt;"&amp;$BP354)+COUNTIFS($BM$9:$BM$508,$BM354,$BP$9:$BP$508,$BP354,$BS$9:$BS$508,"&lt;"&amp;$BS354)+COUNTIFS($BM$9:$BM$508,$BM354,$BP$9:$BP$508,$BP354,$BS$9:$BS$508,$BS354,$BU$9:$BU$508,"&lt;"&amp;$BU354)+COUNTIFS($BM$9:$BM$508,$BM354,$BP$9:$BP$508,$BP354,$BS$9:$BS$508,$BS354,$BU$9:$BU$508,$BU354,$BW$9:$BW$508,"&lt;"&amp;$BW354)+COUNTIFS($BM$9:$BM$508,$BM354,$BP$9:$BP$508,$BP354,$BS$9:$BS$508,$BS354,$BU$9:$BU$508,$BU354,$BW$9:$BW$508,$BW354,$BY$9:$BY$508,"&lt;"&amp;$BY354)+1))</f>
        <v/>
      </c>
      <c r="CA354" s="124" t="str">
        <f aca="false">IF(ISBLANK($C354),"",IF($BL354&lt;&gt;Constants!$B$4,$BL354,$BQ354-$BZ354))</f>
        <v/>
      </c>
      <c r="CB354" s="130"/>
      <c r="CC354" s="131" t="str">
        <f aca="false">IF(ISBLANK($C354),"",IF($BL354=Constants!$B$8,$AR354,""))</f>
        <v/>
      </c>
      <c r="CD354" s="131" t="str">
        <f aca="false">IF(ISBLANK($C354),"",IF($BL354&lt;&gt;Constants!$B$4,"",IF($BB354="-&gt;",2,1)))</f>
        <v/>
      </c>
      <c r="CE354" s="132" t="str">
        <f aca="false">IF(ISBLANK($C354),"",IF($BL354&lt;&gt;Constants!$B$4,"",IF($BB354="-&gt;",$BE354,$AU354)))</f>
        <v/>
      </c>
      <c r="CF354" s="132" t="str">
        <f aca="false">IF(ISBLANK($C354),"",IF($BL354&lt;&gt;Constants!$B$4,"",IF($BB354="-&gt;",$BF354,$AV354)))</f>
        <v/>
      </c>
      <c r="CG354" s="132" t="str">
        <f aca="false">IF(ISBLANK($C354),"",IF($BL354&lt;&gt;Constants!$B$4,"",IF($BB354="-&gt;",$BG354,$AW354)))</f>
        <v/>
      </c>
      <c r="CH354" s="132" t="str">
        <f aca="false">IF(ISBLANK($C354),"",IF($BL354&lt;&gt;Constants!$B$4,"",IF($BB354="-&gt;",$BH354,$AX354)))</f>
        <v/>
      </c>
      <c r="CI354" s="133" t="str">
        <f aca="false">IF(ISBLANK($C354),"",$BO354)</f>
        <v/>
      </c>
      <c r="CJ354" s="134" t="str">
        <f aca="false">IF(ISBLANK($C354),"",$BM354)</f>
        <v/>
      </c>
      <c r="CK354" s="135" t="str">
        <f aca="false">IF(ISBLANK($C354),"",$CA354)</f>
        <v/>
      </c>
      <c r="CL354" s="135" t="str">
        <f aca="false">IF(ISBLANK($C354),"",$BZ354)</f>
        <v/>
      </c>
      <c r="CM354" s="136" t="str">
        <f aca="false">IF(ISBLANK($C354),"",IF($CL354=Constants!$B$7,COUNTA($C$9:$C$508)+2,IF($CL354=Constants!$B$6,COUNTA($C$9:$C$508)+1,IF($CL354=Constants!$B$5,COUNTA($C$9:$C$508),$CL354))))</f>
        <v/>
      </c>
      <c r="CN354" s="8"/>
      <c r="CO354" s="137" t="n">
        <f aca="false">IF(OR(ISNUMBER($CL354),$CL354=Constants!$B$7,$CL354=Constants!$B$5,$CL354=Constants!$B$6),1,0)</f>
        <v>0</v>
      </c>
      <c r="CP354" s="137" t="n">
        <v>346</v>
      </c>
      <c r="CQ354" s="137" t="str">
        <f aca="false">IF(ISBLANK($C354),"",IF(ISNUMBER($CM354),$CM354+ROW($B354)/1000,""))</f>
        <v/>
      </c>
      <c r="CR354" s="137" t="str">
        <f aca="false">IF(ISNUMBER($CQ354),RANK($CQ354,$CQ$9:$CQ$508,1),"")</f>
        <v/>
      </c>
      <c r="CS354" s="137" t="str">
        <f aca="false">IF(ISBLANK($C354),"",$B354)</f>
        <v/>
      </c>
      <c r="CT354" s="137" t="str">
        <f aca="false">IF(ISBLANK($C354),"",$C354)</f>
        <v/>
      </c>
      <c r="CU354" s="137" t="str">
        <f aca="false">IF(ISBLANK($C354),"",$D354)</f>
        <v/>
      </c>
      <c r="CV354" s="138" t="str">
        <f aca="false">$CJ354</f>
        <v/>
      </c>
      <c r="CW354" s="139" t="str">
        <f aca="false">$CI354</f>
        <v/>
      </c>
      <c r="CX354" s="137" t="str">
        <f aca="false">IF(ISBLANK($C354),"",$CL354)</f>
        <v/>
      </c>
      <c r="CY354" s="140" t="str">
        <f aca="false">IF($CP354&gt;$CO$8,"",VLOOKUP($CP354,$CR$9:$CX$508,7,FALSE()))</f>
        <v/>
      </c>
      <c r="CZ354" s="141" t="str">
        <f aca="false">IF($CP354&gt;$CO$8,"",VLOOKUP($CP354,$CR$9:$CX$508,2,FALSE()))</f>
        <v/>
      </c>
      <c r="DA354" s="141" t="str">
        <f aca="false">IF($CP354&gt;$CO$8,"",VLOOKUP($CP354,$CR$9:$CX$508,3,FALSE()))</f>
        <v/>
      </c>
      <c r="DB354" s="141" t="str">
        <f aca="false">IF($CP354&gt;$CO$8,"",VLOOKUP($CP354,$CR$9:$CX$508,4,FALSE()))</f>
        <v/>
      </c>
      <c r="DC354" s="141" t="str">
        <f aca="false">IF($CP354&gt;$CO$8,"",VLOOKUP($CP354,$CR$9:$CX$508,5,FALSE()))</f>
        <v/>
      </c>
      <c r="DD354" s="142" t="str">
        <f aca="false">IF($CP354&gt;$CO$8,"",VLOOKUP($CP354,$CR$9:$CX$508,6,FALSE()))</f>
        <v/>
      </c>
      <c r="DE354" s="70"/>
    </row>
    <row r="355" customFormat="false" ht="15.75" hidden="false" customHeight="false" outlineLevel="0" collapsed="false">
      <c r="A355" s="8"/>
      <c r="B355" s="146"/>
      <c r="C355" s="147"/>
      <c r="D355" s="148"/>
      <c r="E355" s="164"/>
      <c r="F355" s="150"/>
      <c r="G355" s="115"/>
      <c r="H355" s="115"/>
      <c r="I355" s="115"/>
      <c r="J355" s="165"/>
      <c r="K355" s="154"/>
      <c r="L355" s="154"/>
      <c r="M355" s="118"/>
      <c r="N355" s="154"/>
      <c r="O355" s="153"/>
      <c r="P355" s="154"/>
      <c r="Q355" s="154"/>
      <c r="R355" s="154"/>
      <c r="S355" s="115"/>
      <c r="T355" s="154"/>
      <c r="U355" s="153"/>
      <c r="V355" s="154"/>
      <c r="W355" s="123"/>
      <c r="X355" s="124" t="str">
        <f aca="false">IF(ISBLANK($C355),"",IF($E355=Constants!$B$2,TRUE(),IF($E355=Constants!$B$3,FALSE(),TRUE())))</f>
        <v/>
      </c>
      <c r="Y355" s="124" t="str">
        <f aca="false">IF(ISBLANK($C355),"",IF($F355=Constants!$B$2,TRUE(),IF($F355=Constants!$B$3,FALSE(),TRUE())))</f>
        <v/>
      </c>
      <c r="Z355" s="125" t="str">
        <f aca="false">IF(ISBLANK($C355),"",IF(ISNUMBER($G355),IF($G355&gt;=0,$G355,""),""))</f>
        <v/>
      </c>
      <c r="AA355" s="125" t="str">
        <f aca="false">IF(ISBLANK($C355),"",IF(ISNUMBER($H355),IF($H355&gt;=0,$H355,""),""))</f>
        <v/>
      </c>
      <c r="AB355" s="125" t="str">
        <f aca="false">IF(ISBLANK($C355),"",IF(ISNUMBER($I355),IF($I355&gt;=0,$I355,""),""))</f>
        <v/>
      </c>
      <c r="AC355" s="124" t="str">
        <f aca="false">IF(ISBLANK($C355),"",IF($J355=Constants!$B$2,TRUE(),IF($J355=Constants!$B$3,FALSE(),TRUE())))</f>
        <v/>
      </c>
      <c r="AD355" s="124" t="str">
        <f aca="false">IF(ISBLANK($C355),"",IF($K355=Constants!$B$2,TRUE(),IF($K355=Constants!$B$3,FALSE(),TRUE())))</f>
        <v/>
      </c>
      <c r="AE355" s="124" t="str">
        <f aca="false">IF(ISBLANK($C355),"",IF($L355=Constants!$B$2,TRUE(),IF($L355=Constants!$B$3,FALSE(),TRUE())))</f>
        <v/>
      </c>
      <c r="AF355" s="126" t="str">
        <f aca="false">IF(ISBLANK($C355),"",IF(ISNUMBER($M355),IF($M355&gt;=0,$M355,""),""))</f>
        <v/>
      </c>
      <c r="AG355" s="124" t="str">
        <f aca="false">IF(ISBLANK($C355),"",IF(ISBLANK($N355),0,IF(ISNUMBER($N355),IF(AND($N355&gt;=0,$N355&lt;=Constants!$B$17,$N355=INT($N355)),$N355,""),"")))</f>
        <v/>
      </c>
      <c r="AH355" s="125" t="str">
        <f aca="false">IF(ISBLANK($C355),"",IF(ISBLANK($O355),0,IF(ISNUMBER($O355),IF($O355&gt;=0,$O355,""),"")))</f>
        <v/>
      </c>
      <c r="AI355" s="124" t="str">
        <f aca="false">IF(ISBLANK($C355),"",IF($P355=Constants!$B$2,TRUE(),IF($P355=Constants!$B$3,FALSE(),TRUE())))</f>
        <v/>
      </c>
      <c r="AJ355" s="124" t="str">
        <f aca="false">IF(ISBLANK($C355),"",IF($Q355=Constants!$B$2,TRUE(),IF($Q355=Constants!$B$3,FALSE(),TRUE())))</f>
        <v/>
      </c>
      <c r="AK355" s="124" t="str">
        <f aca="false">IF(ISBLANK($C355),"",IF($R355=Constants!$B$2,TRUE(),IF($R355=Constants!$B$3,FALSE(),TRUE())))</f>
        <v/>
      </c>
      <c r="AL355" s="126" t="str">
        <f aca="false">IF(ISBLANK($C355),"",IF(ISNUMBER($S355),IF($S355&gt;=0,$S355,""),""))</f>
        <v/>
      </c>
      <c r="AM355" s="124" t="str">
        <f aca="false">IF(ISBLANK($C355),"",IF(ISBLANK($T355),0,IF(ISNUMBER($T355),IF(AND($T355&gt;=0,$T355&lt;=Constants!$B$17,$T355=INT($T355)),$T355,""),"")))</f>
        <v/>
      </c>
      <c r="AN355" s="125" t="str">
        <f aca="false">IF(ISBLANK($C355),"",IF(ISBLANK($U355),0,IF(ISNUMBER($U355),IF($U355&gt;=0,$U355,""),"")))</f>
        <v/>
      </c>
      <c r="AO355" s="124" t="str">
        <f aca="false">IF(ISBLANK($C355),"",IF($V355=Constants!$B$2,TRUE(),IF($V355=Constants!$B$3,FALSE(),FALSE())))</f>
        <v/>
      </c>
      <c r="AP355" s="124"/>
      <c r="AQ355" s="123" t="str">
        <f aca="false">IF(ISBLANK($C355),"",AND($Y355,OR($AS355,$BC355),OR($Z355="",$AA355="",$AB355="")))</f>
        <v/>
      </c>
      <c r="AR355" s="123" t="str">
        <f aca="false">IF(ISBLANK($C355),"",IF(OR(NOT($Y355),NOT(OR($AS355,$BC355))),"",IF(ISBLANK($D$7),$AR$5,IF($AP$9="",$AR$6,""))))</f>
        <v/>
      </c>
      <c r="AS355" s="123" t="str">
        <f aca="false">IF(ISBLANK($C355),"",COUNTA($J355:$O355)&gt;0)</f>
        <v/>
      </c>
      <c r="AT355" s="123" t="str">
        <f aca="false">IF(ISBLANK($C355),"",AND($AS355,OR(AND($AF355="",OR($AE355,NOT(ISBLANK($M355)))),$AG355="",$AH355="")))</f>
        <v/>
      </c>
      <c r="AU355" s="125" t="str">
        <f aca="false">IF($BL355&lt;&gt;Constants!$B$4,"",IF(NOT($AS355),"",ROUND((Constants!$B$12-$AB355)+(Constants!$B$13-$Z355)+(Constants!$B$14-$AA355),1)))</f>
        <v/>
      </c>
      <c r="AV355" s="127" t="str">
        <f aca="false">IF($BL355&lt;&gt;Constants!$B$4,"",IF(NOT($AS355),"",IF(NOT($AE355),0,Constants!$B$15*(INT(ROUND(MIN($AF355,$AP$9),6))-INT(ROUND(MAX(0,MIN($AF355,2*$AP$9)-$AP$9),6))))))</f>
        <v/>
      </c>
      <c r="AW355" s="127" t="str">
        <f aca="false">IF($BL355&lt;&gt;Constants!$B$4,"",IF(NOT($AS355),"",Constants!$B$16*$AG355))</f>
        <v/>
      </c>
      <c r="AX355" s="127" t="str">
        <f aca="false">IF($BL355&lt;&gt;Constants!$B$4,"",IF(NOT($AS355),"",Constants!$B$18*INT(ROUND($AH355,6))))</f>
        <v/>
      </c>
      <c r="AY355" s="123" t="str">
        <f aca="false">IF($BL355&lt;&gt;Constants!$B$4,"",IF(NOT($AS355),"",IF(NOT($X355),Constants!$B$11,IF(OR(NOT($AC355),NOT($AD355),ROUND($AB355,1)&gt;Constants!$B$12,ROUND($Z355,1)&gt;Constants!$B$13,ROUND($AA355,1)&gt;Constants!$B$14),Constants!$B$10,Constants!$B$9))))</f>
        <v/>
      </c>
      <c r="AZ355" s="128" t="str">
        <f aca="false">IF($BL355&lt;&gt;Constants!$B$4,"",IF(NOT($AS355),"",ROUND($AU355+$AV355+$AW355+$AX355,1)))</f>
        <v/>
      </c>
      <c r="BA355" s="129" t="str">
        <f aca="false">IF($BL355&lt;&gt;Constants!$B$4,"",IF(NOT($AS355),"",IF(ISNUMBER($AF355),$AF355,0)))</f>
        <v/>
      </c>
      <c r="BB355" s="124" t="str">
        <f aca="false">IF($BL355&lt;&gt;Constants!$B$4,"",IF(NOT($BC355),"&lt;-",IF(NOT($AS355),"-&gt;",IF(OR($BI355&lt;$AY355,AND($BI355=$AY355,OR($BJ355&gt;$AZ355,AND($BJ355=$AZ355,OR($BH355&gt;$AX355,AND($BH355=$AX355,OR($BE355&gt;$AU355,AND($BE355=$AU355,OR($BF355&gt;$AV355,AND($BF355=$AV355,$BK355&gt;$BA355)))))))))),"-&gt;","&lt;-"))))</f>
        <v/>
      </c>
      <c r="BC355" s="123" t="str">
        <f aca="false">IF(ISBLANK($C355),"",COUNTA($P355:$U355)&gt;0)</f>
        <v/>
      </c>
      <c r="BD355" s="123" t="str">
        <f aca="false">IF(ISBLANK($C355),"",AND($BC355,OR(AND($AL355="",OR($AK355,NOT(ISBLANK($S355)))),$AM355="",$AN355="")))</f>
        <v/>
      </c>
      <c r="BE355" s="125" t="str">
        <f aca="false">IF($BL355&lt;&gt;Constants!$B$4,"",IF(NOT($BC355),"",ROUND((Constants!$B$12-$AB355)+(Constants!$B$13-$Z355)+(Constants!$B$14-$AA355),1)))</f>
        <v/>
      </c>
      <c r="BF355" s="127" t="str">
        <f aca="false">IF($BL355&lt;&gt;Constants!$B$4,"",IF(NOT($BC355),"",IF(NOT($AK355),0,Constants!$B$15*(INT(ROUND(MIN($AL355,$AP$9),6))-INT(ROUND(MAX(0,MIN($AL355,2*$AP$9)-$AP$9),6))))))</f>
        <v/>
      </c>
      <c r="BG355" s="127" t="str">
        <f aca="false">IF($BL355&lt;&gt;Constants!$B$4,"",IF(NOT($BC355),"",Constants!$B$16*$AM355))</f>
        <v/>
      </c>
      <c r="BH355" s="127" t="str">
        <f aca="false">IF($BL355&lt;&gt;Constants!$B$4,"",IF(NOT($BC355),"",Constants!$B$18*INT(ROUND($AN355,6))))</f>
        <v/>
      </c>
      <c r="BI355" s="123" t="str">
        <f aca="false">IF($BL355&lt;&gt;Constants!$B$4,"",IF(NOT($BC355),"",IF(NOT($X355),Constants!$B$11,IF(OR(NOT($AI355),NOT($AJ355),ROUND($AB355,1)&gt;Constants!$B$12,ROUND($Z355,1)&gt;Constants!$B$13,ROUND($AA355,1)&gt;Constants!$B$14),Constants!$B$10,Constants!$B$9))))</f>
        <v/>
      </c>
      <c r="BJ355" s="128" t="str">
        <f aca="false">IF($BL355&lt;&gt;Constants!$B$4,"",IF(NOT($BC355),"",ROUND($BE355+$BF355+$BG355+$BH355,1)))</f>
        <v/>
      </c>
      <c r="BK355" s="129" t="str">
        <f aca="false">IF($BL355&lt;&gt;Constants!$B$4,"",IF(NOT($BC355),"",IF(ISNUMBER($AL355),$AL355,0)))</f>
        <v/>
      </c>
      <c r="BL355" s="124" t="str">
        <f aca="false">IF(ISBLANK($C355),"",IF($AO355,Constants!$B$7,IF(COUNTA($E355:$V355)=0,Constants!$B$6,IF(NOT($Y355),Constants!$B$5,IF(NOT(OR($AS355,$BC355)),Constants!$B$5,IF(OR($AT355,$BD355,$AQ355,$AR355&lt;&gt;""),Constants!$B$8,Constants!$B$4))))))</f>
        <v/>
      </c>
      <c r="BM355" s="124" t="str">
        <f aca="false">IF(ISBLANK($C355),"",IF($BL355&lt;&gt;Constants!$B$4,$BL355,IF($BB355="-&gt;",$BI355,$AY355)))</f>
        <v/>
      </c>
      <c r="BN355" s="127" t="str">
        <f aca="false">IF($BL355&lt;&gt;Constants!$B$4,"",IF($BB355="-&gt;",$BJ355,$AZ355))</f>
        <v/>
      </c>
      <c r="BO355" s="127" t="str">
        <f aca="false">IF(ISBLANK($C355),"",IF($BL355&lt;&gt;Constants!$B$4,$BL355,$BN355))</f>
        <v/>
      </c>
      <c r="BP355" s="124" t="str">
        <f aca="false">IF(ISBLANK($C355),"",IF($BL355&lt;&gt;Constants!$B$4,$BL355,RANK($BO355,$BO$9:$BO$508,0)))</f>
        <v/>
      </c>
      <c r="BQ355" s="124" t="str">
        <f aca="false">IF(ISBLANK($C355),"",IF($BL355&lt;&gt;Constants!$B$4,$BL355,COUNTIFS($BM$9:$BM$508,"&lt;"&amp;$BM355)+COUNTIFS($BM$9:$BM$508,$BM355,$BP$9:$BP$508,"&lt;"&amp;$BP355)+1))</f>
        <v/>
      </c>
      <c r="BR355" s="127" t="str">
        <f aca="false">IF($BL355&lt;&gt;Constants!$B$4,"",IF($BB355="-&gt;",$BH355,$AX355))</f>
        <v/>
      </c>
      <c r="BS355" s="124" t="str">
        <f aca="false">IF(ISBLANK($C355),"",IF($BL355&lt;&gt;Constants!$B$4,$BL355,IF(ISNUMBER($BR355),RANK($BR355,$BR$9:$BR$508,0),COUNT($BR$9:$BR$508)+1)))</f>
        <v/>
      </c>
      <c r="BT355" s="127" t="str">
        <f aca="false">IF($BL355&lt;&gt;Constants!$B$4,"",IF($BB355="-&gt;",$BE355,$AU355))</f>
        <v/>
      </c>
      <c r="BU355" s="124" t="str">
        <f aca="false">IF(ISBLANK($C355),"",IF($BL355&lt;&gt;Constants!$B$4,$BL355,IF(ISNUMBER($BT355),RANK($BT355,$BT$9:$BT$508,0),COUNT($BT$9:$BT$508)+1)))</f>
        <v/>
      </c>
      <c r="BV355" s="127" t="str">
        <f aca="false">IF($BL355&lt;&gt;Constants!$B$4,"",IF($BB355="-&gt;",$BF355,$AV355))</f>
        <v/>
      </c>
      <c r="BW355" s="124" t="str">
        <f aca="false">IF(ISBLANK($C355),"",IF($BL355&lt;&gt;Constants!$B$4,$BL355,IF(ISNUMBER($BV355),RANK($BV355,$BV$9:$BV$508,0),COUNT($BV$9:$BV$508)+1)))</f>
        <v/>
      </c>
      <c r="BX355" s="127" t="str">
        <f aca="false">IF($BL355&lt;&gt;Constants!$B$4,"",IF($BB355="-&gt;",$BK355,$BA355))</f>
        <v/>
      </c>
      <c r="BY355" s="124" t="str">
        <f aca="false">IF(ISBLANK($C355),"",IF($BL355&lt;&gt;Constants!$B$4,$BL355,IF(ISNUMBER($BX355),RANK($BX355,$BX$9:$BX$508,0),COUNT($BX$9:$BX$508)+1)))</f>
        <v/>
      </c>
      <c r="BZ355" s="124" t="str">
        <f aca="false">IF(ISBLANK($C355),"",IF($BL355&lt;&gt;Constants!$B$4,$BL355,COUNTIFS($BM$9:$BM$508,"&lt;"&amp;$BM355)+COUNTIFS($BM$9:$BM$508,$BM355,$BP$9:$BP$508,"&lt;"&amp;$BP355)+COUNTIFS($BM$9:$BM$508,$BM355,$BP$9:$BP$508,$BP355,$BS$9:$BS$508,"&lt;"&amp;$BS355)+COUNTIFS($BM$9:$BM$508,$BM355,$BP$9:$BP$508,$BP355,$BS$9:$BS$508,$BS355,$BU$9:$BU$508,"&lt;"&amp;$BU355)+COUNTIFS($BM$9:$BM$508,$BM355,$BP$9:$BP$508,$BP355,$BS$9:$BS$508,$BS355,$BU$9:$BU$508,$BU355,$BW$9:$BW$508,"&lt;"&amp;$BW355)+COUNTIFS($BM$9:$BM$508,$BM355,$BP$9:$BP$508,$BP355,$BS$9:$BS$508,$BS355,$BU$9:$BU$508,$BU355,$BW$9:$BW$508,$BW355,$BY$9:$BY$508,"&lt;"&amp;$BY355)+1))</f>
        <v/>
      </c>
      <c r="CA355" s="124" t="str">
        <f aca="false">IF(ISBLANK($C355),"",IF($BL355&lt;&gt;Constants!$B$4,$BL355,$BQ355-$BZ355))</f>
        <v/>
      </c>
      <c r="CB355" s="130"/>
      <c r="CC355" s="131" t="str">
        <f aca="false">IF(ISBLANK($C355),"",IF($BL355=Constants!$B$8,$AR355,""))</f>
        <v/>
      </c>
      <c r="CD355" s="131" t="str">
        <f aca="false">IF(ISBLANK($C355),"",IF($BL355&lt;&gt;Constants!$B$4,"",IF($BB355="-&gt;",2,1)))</f>
        <v/>
      </c>
      <c r="CE355" s="132" t="str">
        <f aca="false">IF(ISBLANK($C355),"",IF($BL355&lt;&gt;Constants!$B$4,"",IF($BB355="-&gt;",$BE355,$AU355)))</f>
        <v/>
      </c>
      <c r="CF355" s="132" t="str">
        <f aca="false">IF(ISBLANK($C355),"",IF($BL355&lt;&gt;Constants!$B$4,"",IF($BB355="-&gt;",$BF355,$AV355)))</f>
        <v/>
      </c>
      <c r="CG355" s="132" t="str">
        <f aca="false">IF(ISBLANK($C355),"",IF($BL355&lt;&gt;Constants!$B$4,"",IF($BB355="-&gt;",$BG355,$AW355)))</f>
        <v/>
      </c>
      <c r="CH355" s="132" t="str">
        <f aca="false">IF(ISBLANK($C355),"",IF($BL355&lt;&gt;Constants!$B$4,"",IF($BB355="-&gt;",$BH355,$AX355)))</f>
        <v/>
      </c>
      <c r="CI355" s="133" t="str">
        <f aca="false">IF(ISBLANK($C355),"",$BO355)</f>
        <v/>
      </c>
      <c r="CJ355" s="134" t="str">
        <f aca="false">IF(ISBLANK($C355),"",$BM355)</f>
        <v/>
      </c>
      <c r="CK355" s="135" t="str">
        <f aca="false">IF(ISBLANK($C355),"",$CA355)</f>
        <v/>
      </c>
      <c r="CL355" s="135" t="str">
        <f aca="false">IF(ISBLANK($C355),"",$BZ355)</f>
        <v/>
      </c>
      <c r="CM355" s="136" t="str">
        <f aca="false">IF(ISBLANK($C355),"",IF($CL355=Constants!$B$7,COUNTA($C$9:$C$508)+2,IF($CL355=Constants!$B$6,COUNTA($C$9:$C$508)+1,IF($CL355=Constants!$B$5,COUNTA($C$9:$C$508),$CL355))))</f>
        <v/>
      </c>
      <c r="CN355" s="8"/>
      <c r="CO355" s="137" t="n">
        <f aca="false">IF(OR(ISNUMBER($CL355),$CL355=Constants!$B$7,$CL355=Constants!$B$5,$CL355=Constants!$B$6),1,0)</f>
        <v>0</v>
      </c>
      <c r="CP355" s="137" t="n">
        <v>347</v>
      </c>
      <c r="CQ355" s="137" t="str">
        <f aca="false">IF(ISBLANK($C355),"",IF(ISNUMBER($CM355),$CM355+ROW($B355)/1000,""))</f>
        <v/>
      </c>
      <c r="CR355" s="137" t="str">
        <f aca="false">IF(ISNUMBER($CQ355),RANK($CQ355,$CQ$9:$CQ$508,1),"")</f>
        <v/>
      </c>
      <c r="CS355" s="137" t="str">
        <f aca="false">IF(ISBLANK($C355),"",$B355)</f>
        <v/>
      </c>
      <c r="CT355" s="137" t="str">
        <f aca="false">IF(ISBLANK($C355),"",$C355)</f>
        <v/>
      </c>
      <c r="CU355" s="137" t="str">
        <f aca="false">IF(ISBLANK($C355),"",$D355)</f>
        <v/>
      </c>
      <c r="CV355" s="138" t="str">
        <f aca="false">$CJ355</f>
        <v/>
      </c>
      <c r="CW355" s="139" t="str">
        <f aca="false">$CI355</f>
        <v/>
      </c>
      <c r="CX355" s="137" t="str">
        <f aca="false">IF(ISBLANK($C355),"",$CL355)</f>
        <v/>
      </c>
      <c r="CY355" s="140" t="str">
        <f aca="false">IF($CP355&gt;$CO$8,"",VLOOKUP($CP355,$CR$9:$CX$508,7,FALSE()))</f>
        <v/>
      </c>
      <c r="CZ355" s="141" t="str">
        <f aca="false">IF($CP355&gt;$CO$8,"",VLOOKUP($CP355,$CR$9:$CX$508,2,FALSE()))</f>
        <v/>
      </c>
      <c r="DA355" s="141" t="str">
        <f aca="false">IF($CP355&gt;$CO$8,"",VLOOKUP($CP355,$CR$9:$CX$508,3,FALSE()))</f>
        <v/>
      </c>
      <c r="DB355" s="141" t="str">
        <f aca="false">IF($CP355&gt;$CO$8,"",VLOOKUP($CP355,$CR$9:$CX$508,4,FALSE()))</f>
        <v/>
      </c>
      <c r="DC355" s="141" t="str">
        <f aca="false">IF($CP355&gt;$CO$8,"",VLOOKUP($CP355,$CR$9:$CX$508,5,FALSE()))</f>
        <v/>
      </c>
      <c r="DD355" s="142" t="str">
        <f aca="false">IF($CP355&gt;$CO$8,"",VLOOKUP($CP355,$CR$9:$CX$508,6,FALSE()))</f>
        <v/>
      </c>
      <c r="DE355" s="70"/>
    </row>
    <row r="356" customFormat="false" ht="15.75" hidden="false" customHeight="false" outlineLevel="0" collapsed="false">
      <c r="A356" s="8"/>
      <c r="B356" s="146"/>
      <c r="C356" s="147"/>
      <c r="D356" s="148"/>
      <c r="E356" s="164"/>
      <c r="F356" s="150"/>
      <c r="G356" s="115"/>
      <c r="H356" s="115"/>
      <c r="I356" s="115"/>
      <c r="J356" s="165"/>
      <c r="K356" s="154"/>
      <c r="L356" s="154"/>
      <c r="M356" s="118"/>
      <c r="N356" s="154"/>
      <c r="O356" s="153"/>
      <c r="P356" s="154"/>
      <c r="Q356" s="154"/>
      <c r="R356" s="154"/>
      <c r="S356" s="115"/>
      <c r="T356" s="154"/>
      <c r="U356" s="153"/>
      <c r="V356" s="154"/>
      <c r="W356" s="123"/>
      <c r="X356" s="124" t="str">
        <f aca="false">IF(ISBLANK($C356),"",IF($E356=Constants!$B$2,TRUE(),IF($E356=Constants!$B$3,FALSE(),TRUE())))</f>
        <v/>
      </c>
      <c r="Y356" s="124" t="str">
        <f aca="false">IF(ISBLANK($C356),"",IF($F356=Constants!$B$2,TRUE(),IF($F356=Constants!$B$3,FALSE(),TRUE())))</f>
        <v/>
      </c>
      <c r="Z356" s="125" t="str">
        <f aca="false">IF(ISBLANK($C356),"",IF(ISNUMBER($G356),IF($G356&gt;=0,$G356,""),""))</f>
        <v/>
      </c>
      <c r="AA356" s="125" t="str">
        <f aca="false">IF(ISBLANK($C356),"",IF(ISNUMBER($H356),IF($H356&gt;=0,$H356,""),""))</f>
        <v/>
      </c>
      <c r="AB356" s="125" t="str">
        <f aca="false">IF(ISBLANK($C356),"",IF(ISNUMBER($I356),IF($I356&gt;=0,$I356,""),""))</f>
        <v/>
      </c>
      <c r="AC356" s="124" t="str">
        <f aca="false">IF(ISBLANK($C356),"",IF($J356=Constants!$B$2,TRUE(),IF($J356=Constants!$B$3,FALSE(),TRUE())))</f>
        <v/>
      </c>
      <c r="AD356" s="124" t="str">
        <f aca="false">IF(ISBLANK($C356),"",IF($K356=Constants!$B$2,TRUE(),IF($K356=Constants!$B$3,FALSE(),TRUE())))</f>
        <v/>
      </c>
      <c r="AE356" s="124" t="str">
        <f aca="false">IF(ISBLANK($C356),"",IF($L356=Constants!$B$2,TRUE(),IF($L356=Constants!$B$3,FALSE(),TRUE())))</f>
        <v/>
      </c>
      <c r="AF356" s="126" t="str">
        <f aca="false">IF(ISBLANK($C356),"",IF(ISNUMBER($M356),IF($M356&gt;=0,$M356,""),""))</f>
        <v/>
      </c>
      <c r="AG356" s="124" t="str">
        <f aca="false">IF(ISBLANK($C356),"",IF(ISBLANK($N356),0,IF(ISNUMBER($N356),IF(AND($N356&gt;=0,$N356&lt;=Constants!$B$17,$N356=INT($N356)),$N356,""),"")))</f>
        <v/>
      </c>
      <c r="AH356" s="125" t="str">
        <f aca="false">IF(ISBLANK($C356),"",IF(ISBLANK($O356),0,IF(ISNUMBER($O356),IF($O356&gt;=0,$O356,""),"")))</f>
        <v/>
      </c>
      <c r="AI356" s="124" t="str">
        <f aca="false">IF(ISBLANK($C356),"",IF($P356=Constants!$B$2,TRUE(),IF($P356=Constants!$B$3,FALSE(),TRUE())))</f>
        <v/>
      </c>
      <c r="AJ356" s="124" t="str">
        <f aca="false">IF(ISBLANK($C356),"",IF($Q356=Constants!$B$2,TRUE(),IF($Q356=Constants!$B$3,FALSE(),TRUE())))</f>
        <v/>
      </c>
      <c r="AK356" s="124" t="str">
        <f aca="false">IF(ISBLANK($C356),"",IF($R356=Constants!$B$2,TRUE(),IF($R356=Constants!$B$3,FALSE(),TRUE())))</f>
        <v/>
      </c>
      <c r="AL356" s="126" t="str">
        <f aca="false">IF(ISBLANK($C356),"",IF(ISNUMBER($S356),IF($S356&gt;=0,$S356,""),""))</f>
        <v/>
      </c>
      <c r="AM356" s="124" t="str">
        <f aca="false">IF(ISBLANK($C356),"",IF(ISBLANK($T356),0,IF(ISNUMBER($T356),IF(AND($T356&gt;=0,$T356&lt;=Constants!$B$17,$T356=INT($T356)),$T356,""),"")))</f>
        <v/>
      </c>
      <c r="AN356" s="125" t="str">
        <f aca="false">IF(ISBLANK($C356),"",IF(ISBLANK($U356),0,IF(ISNUMBER($U356),IF($U356&gt;=0,$U356,""),"")))</f>
        <v/>
      </c>
      <c r="AO356" s="124" t="str">
        <f aca="false">IF(ISBLANK($C356),"",IF($V356=Constants!$B$2,TRUE(),IF($V356=Constants!$B$3,FALSE(),FALSE())))</f>
        <v/>
      </c>
      <c r="AP356" s="124"/>
      <c r="AQ356" s="123" t="str">
        <f aca="false">IF(ISBLANK($C356),"",AND($Y356,OR($AS356,$BC356),OR($Z356="",$AA356="",$AB356="")))</f>
        <v/>
      </c>
      <c r="AR356" s="123" t="str">
        <f aca="false">IF(ISBLANK($C356),"",IF(OR(NOT($Y356),NOT(OR($AS356,$BC356))),"",IF(ISBLANK($D$7),$AR$5,IF($AP$9="",$AR$6,""))))</f>
        <v/>
      </c>
      <c r="AS356" s="123" t="str">
        <f aca="false">IF(ISBLANK($C356),"",COUNTA($J356:$O356)&gt;0)</f>
        <v/>
      </c>
      <c r="AT356" s="123" t="str">
        <f aca="false">IF(ISBLANK($C356),"",AND($AS356,OR(AND($AF356="",OR($AE356,NOT(ISBLANK($M356)))),$AG356="",$AH356="")))</f>
        <v/>
      </c>
      <c r="AU356" s="125" t="str">
        <f aca="false">IF($BL356&lt;&gt;Constants!$B$4,"",IF(NOT($AS356),"",ROUND((Constants!$B$12-$AB356)+(Constants!$B$13-$Z356)+(Constants!$B$14-$AA356),1)))</f>
        <v/>
      </c>
      <c r="AV356" s="127" t="str">
        <f aca="false">IF($BL356&lt;&gt;Constants!$B$4,"",IF(NOT($AS356),"",IF(NOT($AE356),0,Constants!$B$15*(INT(ROUND(MIN($AF356,$AP$9),6))-INT(ROUND(MAX(0,MIN($AF356,2*$AP$9)-$AP$9),6))))))</f>
        <v/>
      </c>
      <c r="AW356" s="127" t="str">
        <f aca="false">IF($BL356&lt;&gt;Constants!$B$4,"",IF(NOT($AS356),"",Constants!$B$16*$AG356))</f>
        <v/>
      </c>
      <c r="AX356" s="127" t="str">
        <f aca="false">IF($BL356&lt;&gt;Constants!$B$4,"",IF(NOT($AS356),"",Constants!$B$18*INT(ROUND($AH356,6))))</f>
        <v/>
      </c>
      <c r="AY356" s="123" t="str">
        <f aca="false">IF($BL356&lt;&gt;Constants!$B$4,"",IF(NOT($AS356),"",IF(NOT($X356),Constants!$B$11,IF(OR(NOT($AC356),NOT($AD356),ROUND($AB356,1)&gt;Constants!$B$12,ROUND($Z356,1)&gt;Constants!$B$13,ROUND($AA356,1)&gt;Constants!$B$14),Constants!$B$10,Constants!$B$9))))</f>
        <v/>
      </c>
      <c r="AZ356" s="128" t="str">
        <f aca="false">IF($BL356&lt;&gt;Constants!$B$4,"",IF(NOT($AS356),"",ROUND($AU356+$AV356+$AW356+$AX356,1)))</f>
        <v/>
      </c>
      <c r="BA356" s="129" t="str">
        <f aca="false">IF($BL356&lt;&gt;Constants!$B$4,"",IF(NOT($AS356),"",IF(ISNUMBER($AF356),$AF356,0)))</f>
        <v/>
      </c>
      <c r="BB356" s="124" t="str">
        <f aca="false">IF($BL356&lt;&gt;Constants!$B$4,"",IF(NOT($BC356),"&lt;-",IF(NOT($AS356),"-&gt;",IF(OR($BI356&lt;$AY356,AND($BI356=$AY356,OR($BJ356&gt;$AZ356,AND($BJ356=$AZ356,OR($BH356&gt;$AX356,AND($BH356=$AX356,OR($BE356&gt;$AU356,AND($BE356=$AU356,OR($BF356&gt;$AV356,AND($BF356=$AV356,$BK356&gt;$BA356)))))))))),"-&gt;","&lt;-"))))</f>
        <v/>
      </c>
      <c r="BC356" s="123" t="str">
        <f aca="false">IF(ISBLANK($C356),"",COUNTA($P356:$U356)&gt;0)</f>
        <v/>
      </c>
      <c r="BD356" s="123" t="str">
        <f aca="false">IF(ISBLANK($C356),"",AND($BC356,OR(AND($AL356="",OR($AK356,NOT(ISBLANK($S356)))),$AM356="",$AN356="")))</f>
        <v/>
      </c>
      <c r="BE356" s="125" t="str">
        <f aca="false">IF($BL356&lt;&gt;Constants!$B$4,"",IF(NOT($BC356),"",ROUND((Constants!$B$12-$AB356)+(Constants!$B$13-$Z356)+(Constants!$B$14-$AA356),1)))</f>
        <v/>
      </c>
      <c r="BF356" s="127" t="str">
        <f aca="false">IF($BL356&lt;&gt;Constants!$B$4,"",IF(NOT($BC356),"",IF(NOT($AK356),0,Constants!$B$15*(INT(ROUND(MIN($AL356,$AP$9),6))-INT(ROUND(MAX(0,MIN($AL356,2*$AP$9)-$AP$9),6))))))</f>
        <v/>
      </c>
      <c r="BG356" s="127" t="str">
        <f aca="false">IF($BL356&lt;&gt;Constants!$B$4,"",IF(NOT($BC356),"",Constants!$B$16*$AM356))</f>
        <v/>
      </c>
      <c r="BH356" s="127" t="str">
        <f aca="false">IF($BL356&lt;&gt;Constants!$B$4,"",IF(NOT($BC356),"",Constants!$B$18*INT(ROUND($AN356,6))))</f>
        <v/>
      </c>
      <c r="BI356" s="123" t="str">
        <f aca="false">IF($BL356&lt;&gt;Constants!$B$4,"",IF(NOT($BC356),"",IF(NOT($X356),Constants!$B$11,IF(OR(NOT($AI356),NOT($AJ356),ROUND($AB356,1)&gt;Constants!$B$12,ROUND($Z356,1)&gt;Constants!$B$13,ROUND($AA356,1)&gt;Constants!$B$14),Constants!$B$10,Constants!$B$9))))</f>
        <v/>
      </c>
      <c r="BJ356" s="128" t="str">
        <f aca="false">IF($BL356&lt;&gt;Constants!$B$4,"",IF(NOT($BC356),"",ROUND($BE356+$BF356+$BG356+$BH356,1)))</f>
        <v/>
      </c>
      <c r="BK356" s="129" t="str">
        <f aca="false">IF($BL356&lt;&gt;Constants!$B$4,"",IF(NOT($BC356),"",IF(ISNUMBER($AL356),$AL356,0)))</f>
        <v/>
      </c>
      <c r="BL356" s="124" t="str">
        <f aca="false">IF(ISBLANK($C356),"",IF($AO356,Constants!$B$7,IF(COUNTA($E356:$V356)=0,Constants!$B$6,IF(NOT($Y356),Constants!$B$5,IF(NOT(OR($AS356,$BC356)),Constants!$B$5,IF(OR($AT356,$BD356,$AQ356,$AR356&lt;&gt;""),Constants!$B$8,Constants!$B$4))))))</f>
        <v/>
      </c>
      <c r="BM356" s="124" t="str">
        <f aca="false">IF(ISBLANK($C356),"",IF($BL356&lt;&gt;Constants!$B$4,$BL356,IF($BB356="-&gt;",$BI356,$AY356)))</f>
        <v/>
      </c>
      <c r="BN356" s="127" t="str">
        <f aca="false">IF($BL356&lt;&gt;Constants!$B$4,"",IF($BB356="-&gt;",$BJ356,$AZ356))</f>
        <v/>
      </c>
      <c r="BO356" s="127" t="str">
        <f aca="false">IF(ISBLANK($C356),"",IF($BL356&lt;&gt;Constants!$B$4,$BL356,$BN356))</f>
        <v/>
      </c>
      <c r="BP356" s="124" t="str">
        <f aca="false">IF(ISBLANK($C356),"",IF($BL356&lt;&gt;Constants!$B$4,$BL356,RANK($BO356,$BO$9:$BO$508,0)))</f>
        <v/>
      </c>
      <c r="BQ356" s="124" t="str">
        <f aca="false">IF(ISBLANK($C356),"",IF($BL356&lt;&gt;Constants!$B$4,$BL356,COUNTIFS($BM$9:$BM$508,"&lt;"&amp;$BM356)+COUNTIFS($BM$9:$BM$508,$BM356,$BP$9:$BP$508,"&lt;"&amp;$BP356)+1))</f>
        <v/>
      </c>
      <c r="BR356" s="127" t="str">
        <f aca="false">IF($BL356&lt;&gt;Constants!$B$4,"",IF($BB356="-&gt;",$BH356,$AX356))</f>
        <v/>
      </c>
      <c r="BS356" s="124" t="str">
        <f aca="false">IF(ISBLANK($C356),"",IF($BL356&lt;&gt;Constants!$B$4,$BL356,IF(ISNUMBER($BR356),RANK($BR356,$BR$9:$BR$508,0),COUNT($BR$9:$BR$508)+1)))</f>
        <v/>
      </c>
      <c r="BT356" s="127" t="str">
        <f aca="false">IF($BL356&lt;&gt;Constants!$B$4,"",IF($BB356="-&gt;",$BE356,$AU356))</f>
        <v/>
      </c>
      <c r="BU356" s="124" t="str">
        <f aca="false">IF(ISBLANK($C356),"",IF($BL356&lt;&gt;Constants!$B$4,$BL356,IF(ISNUMBER($BT356),RANK($BT356,$BT$9:$BT$508,0),COUNT($BT$9:$BT$508)+1)))</f>
        <v/>
      </c>
      <c r="BV356" s="127" t="str">
        <f aca="false">IF($BL356&lt;&gt;Constants!$B$4,"",IF($BB356="-&gt;",$BF356,$AV356))</f>
        <v/>
      </c>
      <c r="BW356" s="124" t="str">
        <f aca="false">IF(ISBLANK($C356),"",IF($BL356&lt;&gt;Constants!$B$4,$BL356,IF(ISNUMBER($BV356),RANK($BV356,$BV$9:$BV$508,0),COUNT($BV$9:$BV$508)+1)))</f>
        <v/>
      </c>
      <c r="BX356" s="127" t="str">
        <f aca="false">IF($BL356&lt;&gt;Constants!$B$4,"",IF($BB356="-&gt;",$BK356,$BA356))</f>
        <v/>
      </c>
      <c r="BY356" s="124" t="str">
        <f aca="false">IF(ISBLANK($C356),"",IF($BL356&lt;&gt;Constants!$B$4,$BL356,IF(ISNUMBER($BX356),RANK($BX356,$BX$9:$BX$508,0),COUNT($BX$9:$BX$508)+1)))</f>
        <v/>
      </c>
      <c r="BZ356" s="124" t="str">
        <f aca="false">IF(ISBLANK($C356),"",IF($BL356&lt;&gt;Constants!$B$4,$BL356,COUNTIFS($BM$9:$BM$508,"&lt;"&amp;$BM356)+COUNTIFS($BM$9:$BM$508,$BM356,$BP$9:$BP$508,"&lt;"&amp;$BP356)+COUNTIFS($BM$9:$BM$508,$BM356,$BP$9:$BP$508,$BP356,$BS$9:$BS$508,"&lt;"&amp;$BS356)+COUNTIFS($BM$9:$BM$508,$BM356,$BP$9:$BP$508,$BP356,$BS$9:$BS$508,$BS356,$BU$9:$BU$508,"&lt;"&amp;$BU356)+COUNTIFS($BM$9:$BM$508,$BM356,$BP$9:$BP$508,$BP356,$BS$9:$BS$508,$BS356,$BU$9:$BU$508,$BU356,$BW$9:$BW$508,"&lt;"&amp;$BW356)+COUNTIFS($BM$9:$BM$508,$BM356,$BP$9:$BP$508,$BP356,$BS$9:$BS$508,$BS356,$BU$9:$BU$508,$BU356,$BW$9:$BW$508,$BW356,$BY$9:$BY$508,"&lt;"&amp;$BY356)+1))</f>
        <v/>
      </c>
      <c r="CA356" s="124" t="str">
        <f aca="false">IF(ISBLANK($C356),"",IF($BL356&lt;&gt;Constants!$B$4,$BL356,$BQ356-$BZ356))</f>
        <v/>
      </c>
      <c r="CB356" s="130"/>
      <c r="CC356" s="131" t="str">
        <f aca="false">IF(ISBLANK($C356),"",IF($BL356=Constants!$B$8,$AR356,""))</f>
        <v/>
      </c>
      <c r="CD356" s="131" t="str">
        <f aca="false">IF(ISBLANK($C356),"",IF($BL356&lt;&gt;Constants!$B$4,"",IF($BB356="-&gt;",2,1)))</f>
        <v/>
      </c>
      <c r="CE356" s="132" t="str">
        <f aca="false">IF(ISBLANK($C356),"",IF($BL356&lt;&gt;Constants!$B$4,"",IF($BB356="-&gt;",$BE356,$AU356)))</f>
        <v/>
      </c>
      <c r="CF356" s="132" t="str">
        <f aca="false">IF(ISBLANK($C356),"",IF($BL356&lt;&gt;Constants!$B$4,"",IF($BB356="-&gt;",$BF356,$AV356)))</f>
        <v/>
      </c>
      <c r="CG356" s="132" t="str">
        <f aca="false">IF(ISBLANK($C356),"",IF($BL356&lt;&gt;Constants!$B$4,"",IF($BB356="-&gt;",$BG356,$AW356)))</f>
        <v/>
      </c>
      <c r="CH356" s="132" t="str">
        <f aca="false">IF(ISBLANK($C356),"",IF($BL356&lt;&gt;Constants!$B$4,"",IF($BB356="-&gt;",$BH356,$AX356)))</f>
        <v/>
      </c>
      <c r="CI356" s="133" t="str">
        <f aca="false">IF(ISBLANK($C356),"",$BO356)</f>
        <v/>
      </c>
      <c r="CJ356" s="134" t="str">
        <f aca="false">IF(ISBLANK($C356),"",$BM356)</f>
        <v/>
      </c>
      <c r="CK356" s="135" t="str">
        <f aca="false">IF(ISBLANK($C356),"",$CA356)</f>
        <v/>
      </c>
      <c r="CL356" s="135" t="str">
        <f aca="false">IF(ISBLANK($C356),"",$BZ356)</f>
        <v/>
      </c>
      <c r="CM356" s="136" t="str">
        <f aca="false">IF(ISBLANK($C356),"",IF($CL356=Constants!$B$7,COUNTA($C$9:$C$508)+2,IF($CL356=Constants!$B$6,COUNTA($C$9:$C$508)+1,IF($CL356=Constants!$B$5,COUNTA($C$9:$C$508),$CL356))))</f>
        <v/>
      </c>
      <c r="CN356" s="8"/>
      <c r="CO356" s="137" t="n">
        <f aca="false">IF(OR(ISNUMBER($CL356),$CL356=Constants!$B$7,$CL356=Constants!$B$5,$CL356=Constants!$B$6),1,0)</f>
        <v>0</v>
      </c>
      <c r="CP356" s="137" t="n">
        <v>348</v>
      </c>
      <c r="CQ356" s="137" t="str">
        <f aca="false">IF(ISBLANK($C356),"",IF(ISNUMBER($CM356),$CM356+ROW($B356)/1000,""))</f>
        <v/>
      </c>
      <c r="CR356" s="137" t="str">
        <f aca="false">IF(ISNUMBER($CQ356),RANK($CQ356,$CQ$9:$CQ$508,1),"")</f>
        <v/>
      </c>
      <c r="CS356" s="137" t="str">
        <f aca="false">IF(ISBLANK($C356),"",$B356)</f>
        <v/>
      </c>
      <c r="CT356" s="137" t="str">
        <f aca="false">IF(ISBLANK($C356),"",$C356)</f>
        <v/>
      </c>
      <c r="CU356" s="137" t="str">
        <f aca="false">IF(ISBLANK($C356),"",$D356)</f>
        <v/>
      </c>
      <c r="CV356" s="138" t="str">
        <f aca="false">$CJ356</f>
        <v/>
      </c>
      <c r="CW356" s="139" t="str">
        <f aca="false">$CI356</f>
        <v/>
      </c>
      <c r="CX356" s="137" t="str">
        <f aca="false">IF(ISBLANK($C356),"",$CL356)</f>
        <v/>
      </c>
      <c r="CY356" s="140" t="str">
        <f aca="false">IF($CP356&gt;$CO$8,"",VLOOKUP($CP356,$CR$9:$CX$508,7,FALSE()))</f>
        <v/>
      </c>
      <c r="CZ356" s="141" t="str">
        <f aca="false">IF($CP356&gt;$CO$8,"",VLOOKUP($CP356,$CR$9:$CX$508,2,FALSE()))</f>
        <v/>
      </c>
      <c r="DA356" s="141" t="str">
        <f aca="false">IF($CP356&gt;$CO$8,"",VLOOKUP($CP356,$CR$9:$CX$508,3,FALSE()))</f>
        <v/>
      </c>
      <c r="DB356" s="141" t="str">
        <f aca="false">IF($CP356&gt;$CO$8,"",VLOOKUP($CP356,$CR$9:$CX$508,4,FALSE()))</f>
        <v/>
      </c>
      <c r="DC356" s="141" t="str">
        <f aca="false">IF($CP356&gt;$CO$8,"",VLOOKUP($CP356,$CR$9:$CX$508,5,FALSE()))</f>
        <v/>
      </c>
      <c r="DD356" s="142" t="str">
        <f aca="false">IF($CP356&gt;$CO$8,"",VLOOKUP($CP356,$CR$9:$CX$508,6,FALSE()))</f>
        <v/>
      </c>
      <c r="DE356" s="70"/>
    </row>
    <row r="357" customFormat="false" ht="15.75" hidden="false" customHeight="false" outlineLevel="0" collapsed="false">
      <c r="A357" s="8"/>
      <c r="B357" s="72"/>
      <c r="C357" s="73"/>
      <c r="D357" s="155"/>
      <c r="E357" s="162"/>
      <c r="F357" s="157"/>
      <c r="G357" s="77"/>
      <c r="H357" s="77"/>
      <c r="I357" s="77"/>
      <c r="J357" s="163"/>
      <c r="K357" s="161"/>
      <c r="L357" s="161"/>
      <c r="M357" s="80"/>
      <c r="N357" s="161"/>
      <c r="O357" s="160"/>
      <c r="P357" s="161"/>
      <c r="Q357" s="161"/>
      <c r="R357" s="161"/>
      <c r="S357" s="77"/>
      <c r="T357" s="161"/>
      <c r="U357" s="160"/>
      <c r="V357" s="161"/>
      <c r="W357" s="85"/>
      <c r="X357" s="86" t="str">
        <f aca="false">IF(ISBLANK($C357),"",IF($E357=Constants!$B$2,TRUE(),IF($E357=Constants!$B$3,FALSE(),TRUE())))</f>
        <v/>
      </c>
      <c r="Y357" s="86" t="str">
        <f aca="false">IF(ISBLANK($C357),"",IF($F357=Constants!$B$2,TRUE(),IF($F357=Constants!$B$3,FALSE(),TRUE())))</f>
        <v/>
      </c>
      <c r="Z357" s="87" t="str">
        <f aca="false">IF(ISBLANK($C357),"",IF(ISNUMBER($G357),IF($G357&gt;=0,$G357,""),""))</f>
        <v/>
      </c>
      <c r="AA357" s="87" t="str">
        <f aca="false">IF(ISBLANK($C357),"",IF(ISNUMBER($H357),IF($H357&gt;=0,$H357,""),""))</f>
        <v/>
      </c>
      <c r="AB357" s="87" t="str">
        <f aca="false">IF(ISBLANK($C357),"",IF(ISNUMBER($I357),IF($I357&gt;=0,$I357,""),""))</f>
        <v/>
      </c>
      <c r="AC357" s="86" t="str">
        <f aca="false">IF(ISBLANK($C357),"",IF($J357=Constants!$B$2,TRUE(),IF($J357=Constants!$B$3,FALSE(),TRUE())))</f>
        <v/>
      </c>
      <c r="AD357" s="86" t="str">
        <f aca="false">IF(ISBLANK($C357),"",IF($K357=Constants!$B$2,TRUE(),IF($K357=Constants!$B$3,FALSE(),TRUE())))</f>
        <v/>
      </c>
      <c r="AE357" s="86" t="str">
        <f aca="false">IF(ISBLANK($C357),"",IF($L357=Constants!$B$2,TRUE(),IF($L357=Constants!$B$3,FALSE(),TRUE())))</f>
        <v/>
      </c>
      <c r="AF357" s="88" t="str">
        <f aca="false">IF(ISBLANK($C357),"",IF(ISNUMBER($M357),IF($M357&gt;=0,$M357,""),""))</f>
        <v/>
      </c>
      <c r="AG357" s="86" t="str">
        <f aca="false">IF(ISBLANK($C357),"",IF(ISBLANK($N357),0,IF(ISNUMBER($N357),IF(AND($N357&gt;=0,$N357&lt;=Constants!$B$17,$N357=INT($N357)),$N357,""),"")))</f>
        <v/>
      </c>
      <c r="AH357" s="87" t="str">
        <f aca="false">IF(ISBLANK($C357),"",IF(ISBLANK($O357),0,IF(ISNUMBER($O357),IF($O357&gt;=0,$O357,""),"")))</f>
        <v/>
      </c>
      <c r="AI357" s="86" t="str">
        <f aca="false">IF(ISBLANK($C357),"",IF($P357=Constants!$B$2,TRUE(),IF($P357=Constants!$B$3,FALSE(),TRUE())))</f>
        <v/>
      </c>
      <c r="AJ357" s="86" t="str">
        <f aca="false">IF(ISBLANK($C357),"",IF($Q357=Constants!$B$2,TRUE(),IF($Q357=Constants!$B$3,FALSE(),TRUE())))</f>
        <v/>
      </c>
      <c r="AK357" s="86" t="str">
        <f aca="false">IF(ISBLANK($C357),"",IF($R357=Constants!$B$2,TRUE(),IF($R357=Constants!$B$3,FALSE(),TRUE())))</f>
        <v/>
      </c>
      <c r="AL357" s="88" t="str">
        <f aca="false">IF(ISBLANK($C357),"",IF(ISNUMBER($S357),IF($S357&gt;=0,$S357,""),""))</f>
        <v/>
      </c>
      <c r="AM357" s="86" t="str">
        <f aca="false">IF(ISBLANK($C357),"",IF(ISBLANK($T357),0,IF(ISNUMBER($T357),IF(AND($T357&gt;=0,$T357&lt;=Constants!$B$17,$T357=INT($T357)),$T357,""),"")))</f>
        <v/>
      </c>
      <c r="AN357" s="87" t="str">
        <f aca="false">IF(ISBLANK($C357),"",IF(ISBLANK($U357),0,IF(ISNUMBER($U357),IF($U357&gt;=0,$U357,""),"")))</f>
        <v/>
      </c>
      <c r="AO357" s="86" t="str">
        <f aca="false">IF(ISBLANK($C357),"",IF($V357=Constants!$B$2,TRUE(),IF($V357=Constants!$B$3,FALSE(),FALSE())))</f>
        <v/>
      </c>
      <c r="AP357" s="86"/>
      <c r="AQ357" s="85" t="str">
        <f aca="false">IF(ISBLANK($C357),"",AND($Y357,OR($AS357,$BC357),OR($Z357="",$AA357="",$AB357="")))</f>
        <v/>
      </c>
      <c r="AR357" s="85" t="str">
        <f aca="false">IF(ISBLANK($C357),"",IF(OR(NOT($Y357),NOT(OR($AS357,$BC357))),"",IF(ISBLANK($D$7),$AR$5,IF($AP$9="",$AR$6,""))))</f>
        <v/>
      </c>
      <c r="AS357" s="85" t="str">
        <f aca="false">IF(ISBLANK($C357),"",COUNTA($J357:$O357)&gt;0)</f>
        <v/>
      </c>
      <c r="AT357" s="85" t="str">
        <f aca="false">IF(ISBLANK($C357),"",AND($AS357,OR(AND($AF357="",OR($AE357,NOT(ISBLANK($M357)))),$AG357="",$AH357="")))</f>
        <v/>
      </c>
      <c r="AU357" s="87" t="str">
        <f aca="false">IF($BL357&lt;&gt;Constants!$B$4,"",IF(NOT($AS357),"",ROUND((Constants!$B$12-$AB357)+(Constants!$B$13-$Z357)+(Constants!$B$14-$AA357),1)))</f>
        <v/>
      </c>
      <c r="AV357" s="90" t="str">
        <f aca="false">IF($BL357&lt;&gt;Constants!$B$4,"",IF(NOT($AS357),"",IF(NOT($AE357),0,Constants!$B$15*(INT(ROUND(MIN($AF357,$AP$9),6))-INT(ROUND(MAX(0,MIN($AF357,2*$AP$9)-$AP$9),6))))))</f>
        <v/>
      </c>
      <c r="AW357" s="90" t="str">
        <f aca="false">IF($BL357&lt;&gt;Constants!$B$4,"",IF(NOT($AS357),"",Constants!$B$16*$AG357))</f>
        <v/>
      </c>
      <c r="AX357" s="90" t="str">
        <f aca="false">IF($BL357&lt;&gt;Constants!$B$4,"",IF(NOT($AS357),"",Constants!$B$18*INT(ROUND($AH357,6))))</f>
        <v/>
      </c>
      <c r="AY357" s="85" t="str">
        <f aca="false">IF($BL357&lt;&gt;Constants!$B$4,"",IF(NOT($AS357),"",IF(NOT($X357),Constants!$B$11,IF(OR(NOT($AC357),NOT($AD357),ROUND($AB357,1)&gt;Constants!$B$12,ROUND($Z357,1)&gt;Constants!$B$13,ROUND($AA357,1)&gt;Constants!$B$14),Constants!$B$10,Constants!$B$9))))</f>
        <v/>
      </c>
      <c r="AZ357" s="91" t="str">
        <f aca="false">IF($BL357&lt;&gt;Constants!$B$4,"",IF(NOT($AS357),"",ROUND($AU357+$AV357+$AW357+$AX357,1)))</f>
        <v/>
      </c>
      <c r="BA357" s="92" t="str">
        <f aca="false">IF($BL357&lt;&gt;Constants!$B$4,"",IF(NOT($AS357),"",IF(ISNUMBER($AF357),$AF357,0)))</f>
        <v/>
      </c>
      <c r="BB357" s="86" t="str">
        <f aca="false">IF($BL357&lt;&gt;Constants!$B$4,"",IF(NOT($BC357),"&lt;-",IF(NOT($AS357),"-&gt;",IF(OR($BI357&lt;$AY357,AND($BI357=$AY357,OR($BJ357&gt;$AZ357,AND($BJ357=$AZ357,OR($BH357&gt;$AX357,AND($BH357=$AX357,OR($BE357&gt;$AU357,AND($BE357=$AU357,OR($BF357&gt;$AV357,AND($BF357=$AV357,$BK357&gt;$BA357)))))))))),"-&gt;","&lt;-"))))</f>
        <v/>
      </c>
      <c r="BC357" s="85" t="str">
        <f aca="false">IF(ISBLANK($C357),"",COUNTA($P357:$U357)&gt;0)</f>
        <v/>
      </c>
      <c r="BD357" s="85" t="str">
        <f aca="false">IF(ISBLANK($C357),"",AND($BC357,OR(AND($AL357="",OR($AK357,NOT(ISBLANK($S357)))),$AM357="",$AN357="")))</f>
        <v/>
      </c>
      <c r="BE357" s="87" t="str">
        <f aca="false">IF($BL357&lt;&gt;Constants!$B$4,"",IF(NOT($BC357),"",ROUND((Constants!$B$12-$AB357)+(Constants!$B$13-$Z357)+(Constants!$B$14-$AA357),1)))</f>
        <v/>
      </c>
      <c r="BF357" s="90" t="str">
        <f aca="false">IF($BL357&lt;&gt;Constants!$B$4,"",IF(NOT($BC357),"",IF(NOT($AK357),0,Constants!$B$15*(INT(ROUND(MIN($AL357,$AP$9),6))-INT(ROUND(MAX(0,MIN($AL357,2*$AP$9)-$AP$9),6))))))</f>
        <v/>
      </c>
      <c r="BG357" s="90" t="str">
        <f aca="false">IF($BL357&lt;&gt;Constants!$B$4,"",IF(NOT($BC357),"",Constants!$B$16*$AM357))</f>
        <v/>
      </c>
      <c r="BH357" s="90" t="str">
        <f aca="false">IF($BL357&lt;&gt;Constants!$B$4,"",IF(NOT($BC357),"",Constants!$B$18*INT(ROUND($AN357,6))))</f>
        <v/>
      </c>
      <c r="BI357" s="85" t="str">
        <f aca="false">IF($BL357&lt;&gt;Constants!$B$4,"",IF(NOT($BC357),"",IF(NOT($X357),Constants!$B$11,IF(OR(NOT($AI357),NOT($AJ357),ROUND($AB357,1)&gt;Constants!$B$12,ROUND($Z357,1)&gt;Constants!$B$13,ROUND($AA357,1)&gt;Constants!$B$14),Constants!$B$10,Constants!$B$9))))</f>
        <v/>
      </c>
      <c r="BJ357" s="91" t="str">
        <f aca="false">IF($BL357&lt;&gt;Constants!$B$4,"",IF(NOT($BC357),"",ROUND($BE357+$BF357+$BG357+$BH357,1)))</f>
        <v/>
      </c>
      <c r="BK357" s="92" t="str">
        <f aca="false">IF($BL357&lt;&gt;Constants!$B$4,"",IF(NOT($BC357),"",IF(ISNUMBER($AL357),$AL357,0)))</f>
        <v/>
      </c>
      <c r="BL357" s="86" t="str">
        <f aca="false">IF(ISBLANK($C357),"",IF($AO357,Constants!$B$7,IF(COUNTA($E357:$V357)=0,Constants!$B$6,IF(NOT($Y357),Constants!$B$5,IF(NOT(OR($AS357,$BC357)),Constants!$B$5,IF(OR($AT357,$BD357,$AQ357,$AR357&lt;&gt;""),Constants!$B$8,Constants!$B$4))))))</f>
        <v/>
      </c>
      <c r="BM357" s="86" t="str">
        <f aca="false">IF(ISBLANK($C357),"",IF($BL357&lt;&gt;Constants!$B$4,$BL357,IF($BB357="-&gt;",$BI357,$AY357)))</f>
        <v/>
      </c>
      <c r="BN357" s="90" t="str">
        <f aca="false">IF($BL357&lt;&gt;Constants!$B$4,"",IF($BB357="-&gt;",$BJ357,$AZ357))</f>
        <v/>
      </c>
      <c r="BO357" s="90" t="str">
        <f aca="false">IF(ISBLANK($C357),"",IF($BL357&lt;&gt;Constants!$B$4,$BL357,$BN357))</f>
        <v/>
      </c>
      <c r="BP357" s="86" t="str">
        <f aca="false">IF(ISBLANK($C357),"",IF($BL357&lt;&gt;Constants!$B$4,$BL357,RANK($BO357,$BO$9:$BO$508,0)))</f>
        <v/>
      </c>
      <c r="BQ357" s="86" t="str">
        <f aca="false">IF(ISBLANK($C357),"",IF($BL357&lt;&gt;Constants!$B$4,$BL357,COUNTIFS($BM$9:$BM$508,"&lt;"&amp;$BM357)+COUNTIFS($BM$9:$BM$508,$BM357,$BP$9:$BP$508,"&lt;"&amp;$BP357)+1))</f>
        <v/>
      </c>
      <c r="BR357" s="90" t="str">
        <f aca="false">IF($BL357&lt;&gt;Constants!$B$4,"",IF($BB357="-&gt;",$BH357,$AX357))</f>
        <v/>
      </c>
      <c r="BS357" s="86" t="str">
        <f aca="false">IF(ISBLANK($C357),"",IF($BL357&lt;&gt;Constants!$B$4,$BL357,IF(ISNUMBER($BR357),RANK($BR357,$BR$9:$BR$508,0),COUNT($BR$9:$BR$508)+1)))</f>
        <v/>
      </c>
      <c r="BT357" s="90" t="str">
        <f aca="false">IF($BL357&lt;&gt;Constants!$B$4,"",IF($BB357="-&gt;",$BE357,$AU357))</f>
        <v/>
      </c>
      <c r="BU357" s="86" t="str">
        <f aca="false">IF(ISBLANK($C357),"",IF($BL357&lt;&gt;Constants!$B$4,$BL357,IF(ISNUMBER($BT357),RANK($BT357,$BT$9:$BT$508,0),COUNT($BT$9:$BT$508)+1)))</f>
        <v/>
      </c>
      <c r="BV357" s="90" t="str">
        <f aca="false">IF($BL357&lt;&gt;Constants!$B$4,"",IF($BB357="-&gt;",$BF357,$AV357))</f>
        <v/>
      </c>
      <c r="BW357" s="86" t="str">
        <f aca="false">IF(ISBLANK($C357),"",IF($BL357&lt;&gt;Constants!$B$4,$BL357,IF(ISNUMBER($BV357),RANK($BV357,$BV$9:$BV$508,0),COUNT($BV$9:$BV$508)+1)))</f>
        <v/>
      </c>
      <c r="BX357" s="90" t="str">
        <f aca="false">IF($BL357&lt;&gt;Constants!$B$4,"",IF($BB357="-&gt;",$BK357,$BA357))</f>
        <v/>
      </c>
      <c r="BY357" s="86" t="str">
        <f aca="false">IF(ISBLANK($C357),"",IF($BL357&lt;&gt;Constants!$B$4,$BL357,IF(ISNUMBER($BX357),RANK($BX357,$BX$9:$BX$508,0),COUNT($BX$9:$BX$508)+1)))</f>
        <v/>
      </c>
      <c r="BZ357" s="86" t="str">
        <f aca="false">IF(ISBLANK($C357),"",IF($BL357&lt;&gt;Constants!$B$4,$BL357,COUNTIFS($BM$9:$BM$508,"&lt;"&amp;$BM357)+COUNTIFS($BM$9:$BM$508,$BM357,$BP$9:$BP$508,"&lt;"&amp;$BP357)+COUNTIFS($BM$9:$BM$508,$BM357,$BP$9:$BP$508,$BP357,$BS$9:$BS$508,"&lt;"&amp;$BS357)+COUNTIFS($BM$9:$BM$508,$BM357,$BP$9:$BP$508,$BP357,$BS$9:$BS$508,$BS357,$BU$9:$BU$508,"&lt;"&amp;$BU357)+COUNTIFS($BM$9:$BM$508,$BM357,$BP$9:$BP$508,$BP357,$BS$9:$BS$508,$BS357,$BU$9:$BU$508,$BU357,$BW$9:$BW$508,"&lt;"&amp;$BW357)+COUNTIFS($BM$9:$BM$508,$BM357,$BP$9:$BP$508,$BP357,$BS$9:$BS$508,$BS357,$BU$9:$BU$508,$BU357,$BW$9:$BW$508,$BW357,$BY$9:$BY$508,"&lt;"&amp;$BY357)+1))</f>
        <v/>
      </c>
      <c r="CA357" s="86" t="str">
        <f aca="false">IF(ISBLANK($C357),"",IF($BL357&lt;&gt;Constants!$B$4,$BL357,$BQ357-$BZ357))</f>
        <v/>
      </c>
      <c r="CB357" s="93"/>
      <c r="CC357" s="94" t="str">
        <f aca="false">IF(ISBLANK($C357),"",IF($BL357=Constants!$B$8,$AR357,""))</f>
        <v/>
      </c>
      <c r="CD357" s="94" t="str">
        <f aca="false">IF(ISBLANK($C357),"",IF($BL357&lt;&gt;Constants!$B$4,"",IF($BB357="-&gt;",2,1)))</f>
        <v/>
      </c>
      <c r="CE357" s="95" t="str">
        <f aca="false">IF(ISBLANK($C357),"",IF($BL357&lt;&gt;Constants!$B$4,"",IF($BB357="-&gt;",$BE357,$AU357)))</f>
        <v/>
      </c>
      <c r="CF357" s="95" t="str">
        <f aca="false">IF(ISBLANK($C357),"",IF($BL357&lt;&gt;Constants!$B$4,"",IF($BB357="-&gt;",$BF357,$AV357)))</f>
        <v/>
      </c>
      <c r="CG357" s="95" t="str">
        <f aca="false">IF(ISBLANK($C357),"",IF($BL357&lt;&gt;Constants!$B$4,"",IF($BB357="-&gt;",$BG357,$AW357)))</f>
        <v/>
      </c>
      <c r="CH357" s="95" t="str">
        <f aca="false">IF(ISBLANK($C357),"",IF($BL357&lt;&gt;Constants!$B$4,"",IF($BB357="-&gt;",$BH357,$AX357)))</f>
        <v/>
      </c>
      <c r="CI357" s="96" t="str">
        <f aca="false">IF(ISBLANK($C357),"",$BO357)</f>
        <v/>
      </c>
      <c r="CJ357" s="97" t="str">
        <f aca="false">IF(ISBLANK($C357),"",$BM357)</f>
        <v/>
      </c>
      <c r="CK357" s="98" t="str">
        <f aca="false">IF(ISBLANK($C357),"",$CA357)</f>
        <v/>
      </c>
      <c r="CL357" s="98" t="str">
        <f aca="false">IF(ISBLANK($C357),"",$BZ357)</f>
        <v/>
      </c>
      <c r="CM357" s="99" t="str">
        <f aca="false">IF(ISBLANK($C357),"",IF($CL357=Constants!$B$7,COUNTA($C$9:$C$508)+2,IF($CL357=Constants!$B$6,COUNTA($C$9:$C$508)+1,IF($CL357=Constants!$B$5,COUNTA($C$9:$C$508),$CL357))))</f>
        <v/>
      </c>
      <c r="CN357" s="8"/>
      <c r="CO357" s="100" t="n">
        <f aca="false">IF(OR(ISNUMBER($CL357),$CL357=Constants!$B$7,$CL357=Constants!$B$5,$CL357=Constants!$B$6),1,0)</f>
        <v>0</v>
      </c>
      <c r="CP357" s="100" t="n">
        <v>349</v>
      </c>
      <c r="CQ357" s="100" t="str">
        <f aca="false">IF(ISBLANK($C357),"",IF(ISNUMBER($CM357),$CM357+ROW($B357)/1000,""))</f>
        <v/>
      </c>
      <c r="CR357" s="100" t="str">
        <f aca="false">IF(ISNUMBER($CQ357),RANK($CQ357,$CQ$9:$CQ$508,1),"")</f>
        <v/>
      </c>
      <c r="CS357" s="100" t="str">
        <f aca="false">IF(ISBLANK($C357),"",$B357)</f>
        <v/>
      </c>
      <c r="CT357" s="100" t="str">
        <f aca="false">IF(ISBLANK($C357),"",$C357)</f>
        <v/>
      </c>
      <c r="CU357" s="100" t="str">
        <f aca="false">IF(ISBLANK($C357),"",$D357)</f>
        <v/>
      </c>
      <c r="CV357" s="101" t="str">
        <f aca="false">$CJ357</f>
        <v/>
      </c>
      <c r="CW357" s="102" t="str">
        <f aca="false">$CI357</f>
        <v/>
      </c>
      <c r="CX357" s="100" t="str">
        <f aca="false">IF(ISBLANK($C357),"",$CL357)</f>
        <v/>
      </c>
      <c r="CY357" s="103" t="str">
        <f aca="false">IF($CP357&gt;$CO$8,"",VLOOKUP($CP357,$CR$9:$CX$508,7,FALSE()))</f>
        <v/>
      </c>
      <c r="CZ357" s="104" t="str">
        <f aca="false">IF($CP357&gt;$CO$8,"",VLOOKUP($CP357,$CR$9:$CX$508,2,FALSE()))</f>
        <v/>
      </c>
      <c r="DA357" s="104" t="str">
        <f aca="false">IF($CP357&gt;$CO$8,"",VLOOKUP($CP357,$CR$9:$CX$508,3,FALSE()))</f>
        <v/>
      </c>
      <c r="DB357" s="104" t="str">
        <f aca="false">IF($CP357&gt;$CO$8,"",VLOOKUP($CP357,$CR$9:$CX$508,4,FALSE()))</f>
        <v/>
      </c>
      <c r="DC357" s="104" t="str">
        <f aca="false">IF($CP357&gt;$CO$8,"",VLOOKUP($CP357,$CR$9:$CX$508,5,FALSE()))</f>
        <v/>
      </c>
      <c r="DD357" s="105" t="str">
        <f aca="false">IF($CP357&gt;$CO$8,"",VLOOKUP($CP357,$CR$9:$CX$508,6,FALSE()))</f>
        <v/>
      </c>
      <c r="DE357" s="70"/>
    </row>
    <row r="358" customFormat="false" ht="15.75" hidden="false" customHeight="false" outlineLevel="0" collapsed="false">
      <c r="A358" s="8"/>
      <c r="B358" s="72"/>
      <c r="C358" s="73"/>
      <c r="D358" s="155"/>
      <c r="E358" s="162"/>
      <c r="F358" s="157"/>
      <c r="G358" s="77"/>
      <c r="H358" s="77"/>
      <c r="I358" s="77"/>
      <c r="J358" s="163"/>
      <c r="K358" s="161"/>
      <c r="L358" s="161"/>
      <c r="M358" s="80"/>
      <c r="N358" s="161"/>
      <c r="O358" s="160"/>
      <c r="P358" s="161"/>
      <c r="Q358" s="161"/>
      <c r="R358" s="161"/>
      <c r="S358" s="77"/>
      <c r="T358" s="161"/>
      <c r="U358" s="160"/>
      <c r="V358" s="161"/>
      <c r="W358" s="85"/>
      <c r="X358" s="86" t="str">
        <f aca="false">IF(ISBLANK($C358),"",IF($E358=Constants!$B$2,TRUE(),IF($E358=Constants!$B$3,FALSE(),TRUE())))</f>
        <v/>
      </c>
      <c r="Y358" s="86" t="str">
        <f aca="false">IF(ISBLANK($C358),"",IF($F358=Constants!$B$2,TRUE(),IF($F358=Constants!$B$3,FALSE(),TRUE())))</f>
        <v/>
      </c>
      <c r="Z358" s="87" t="str">
        <f aca="false">IF(ISBLANK($C358),"",IF(ISNUMBER($G358),IF($G358&gt;=0,$G358,""),""))</f>
        <v/>
      </c>
      <c r="AA358" s="87" t="str">
        <f aca="false">IF(ISBLANK($C358),"",IF(ISNUMBER($H358),IF($H358&gt;=0,$H358,""),""))</f>
        <v/>
      </c>
      <c r="AB358" s="87" t="str">
        <f aca="false">IF(ISBLANK($C358),"",IF(ISNUMBER($I358),IF($I358&gt;=0,$I358,""),""))</f>
        <v/>
      </c>
      <c r="AC358" s="86" t="str">
        <f aca="false">IF(ISBLANK($C358),"",IF($J358=Constants!$B$2,TRUE(),IF($J358=Constants!$B$3,FALSE(),TRUE())))</f>
        <v/>
      </c>
      <c r="AD358" s="86" t="str">
        <f aca="false">IF(ISBLANK($C358),"",IF($K358=Constants!$B$2,TRUE(),IF($K358=Constants!$B$3,FALSE(),TRUE())))</f>
        <v/>
      </c>
      <c r="AE358" s="86" t="str">
        <f aca="false">IF(ISBLANK($C358),"",IF($L358=Constants!$B$2,TRUE(),IF($L358=Constants!$B$3,FALSE(),TRUE())))</f>
        <v/>
      </c>
      <c r="AF358" s="88" t="str">
        <f aca="false">IF(ISBLANK($C358),"",IF(ISNUMBER($M358),IF($M358&gt;=0,$M358,""),""))</f>
        <v/>
      </c>
      <c r="AG358" s="86" t="str">
        <f aca="false">IF(ISBLANK($C358),"",IF(ISBLANK($N358),0,IF(ISNUMBER($N358),IF(AND($N358&gt;=0,$N358&lt;=Constants!$B$17,$N358=INT($N358)),$N358,""),"")))</f>
        <v/>
      </c>
      <c r="AH358" s="87" t="str">
        <f aca="false">IF(ISBLANK($C358),"",IF(ISBLANK($O358),0,IF(ISNUMBER($O358),IF($O358&gt;=0,$O358,""),"")))</f>
        <v/>
      </c>
      <c r="AI358" s="86" t="str">
        <f aca="false">IF(ISBLANK($C358),"",IF($P358=Constants!$B$2,TRUE(),IF($P358=Constants!$B$3,FALSE(),TRUE())))</f>
        <v/>
      </c>
      <c r="AJ358" s="86" t="str">
        <f aca="false">IF(ISBLANK($C358),"",IF($Q358=Constants!$B$2,TRUE(),IF($Q358=Constants!$B$3,FALSE(),TRUE())))</f>
        <v/>
      </c>
      <c r="AK358" s="86" t="str">
        <f aca="false">IF(ISBLANK($C358),"",IF($R358=Constants!$B$2,TRUE(),IF($R358=Constants!$B$3,FALSE(),TRUE())))</f>
        <v/>
      </c>
      <c r="AL358" s="88" t="str">
        <f aca="false">IF(ISBLANK($C358),"",IF(ISNUMBER($S358),IF($S358&gt;=0,$S358,""),""))</f>
        <v/>
      </c>
      <c r="AM358" s="86" t="str">
        <f aca="false">IF(ISBLANK($C358),"",IF(ISBLANK($T358),0,IF(ISNUMBER($T358),IF(AND($T358&gt;=0,$T358&lt;=Constants!$B$17,$T358=INT($T358)),$T358,""),"")))</f>
        <v/>
      </c>
      <c r="AN358" s="87" t="str">
        <f aca="false">IF(ISBLANK($C358),"",IF(ISBLANK($U358),0,IF(ISNUMBER($U358),IF($U358&gt;=0,$U358,""),"")))</f>
        <v/>
      </c>
      <c r="AO358" s="86" t="str">
        <f aca="false">IF(ISBLANK($C358),"",IF($V358=Constants!$B$2,TRUE(),IF($V358=Constants!$B$3,FALSE(),FALSE())))</f>
        <v/>
      </c>
      <c r="AP358" s="86"/>
      <c r="AQ358" s="85" t="str">
        <f aca="false">IF(ISBLANK($C358),"",AND($Y358,OR($AS358,$BC358),OR($Z358="",$AA358="",$AB358="")))</f>
        <v/>
      </c>
      <c r="AR358" s="85" t="str">
        <f aca="false">IF(ISBLANK($C358),"",IF(OR(NOT($Y358),NOT(OR($AS358,$BC358))),"",IF(ISBLANK($D$7),$AR$5,IF($AP$9="",$AR$6,""))))</f>
        <v/>
      </c>
      <c r="AS358" s="85" t="str">
        <f aca="false">IF(ISBLANK($C358),"",COUNTA($J358:$O358)&gt;0)</f>
        <v/>
      </c>
      <c r="AT358" s="85" t="str">
        <f aca="false">IF(ISBLANK($C358),"",AND($AS358,OR(AND($AF358="",OR($AE358,NOT(ISBLANK($M358)))),$AG358="",$AH358="")))</f>
        <v/>
      </c>
      <c r="AU358" s="87" t="str">
        <f aca="false">IF($BL358&lt;&gt;Constants!$B$4,"",IF(NOT($AS358),"",ROUND((Constants!$B$12-$AB358)+(Constants!$B$13-$Z358)+(Constants!$B$14-$AA358),1)))</f>
        <v/>
      </c>
      <c r="AV358" s="90" t="str">
        <f aca="false">IF($BL358&lt;&gt;Constants!$B$4,"",IF(NOT($AS358),"",IF(NOT($AE358),0,Constants!$B$15*(INT(ROUND(MIN($AF358,$AP$9),6))-INT(ROUND(MAX(0,MIN($AF358,2*$AP$9)-$AP$9),6))))))</f>
        <v/>
      </c>
      <c r="AW358" s="90" t="str">
        <f aca="false">IF($BL358&lt;&gt;Constants!$B$4,"",IF(NOT($AS358),"",Constants!$B$16*$AG358))</f>
        <v/>
      </c>
      <c r="AX358" s="90" t="str">
        <f aca="false">IF($BL358&lt;&gt;Constants!$B$4,"",IF(NOT($AS358),"",Constants!$B$18*INT(ROUND($AH358,6))))</f>
        <v/>
      </c>
      <c r="AY358" s="85" t="str">
        <f aca="false">IF($BL358&lt;&gt;Constants!$B$4,"",IF(NOT($AS358),"",IF(NOT($X358),Constants!$B$11,IF(OR(NOT($AC358),NOT($AD358),ROUND($AB358,1)&gt;Constants!$B$12,ROUND($Z358,1)&gt;Constants!$B$13,ROUND($AA358,1)&gt;Constants!$B$14),Constants!$B$10,Constants!$B$9))))</f>
        <v/>
      </c>
      <c r="AZ358" s="91" t="str">
        <f aca="false">IF($BL358&lt;&gt;Constants!$B$4,"",IF(NOT($AS358),"",ROUND($AU358+$AV358+$AW358+$AX358,1)))</f>
        <v/>
      </c>
      <c r="BA358" s="92" t="str">
        <f aca="false">IF($BL358&lt;&gt;Constants!$B$4,"",IF(NOT($AS358),"",IF(ISNUMBER($AF358),$AF358,0)))</f>
        <v/>
      </c>
      <c r="BB358" s="86" t="str">
        <f aca="false">IF($BL358&lt;&gt;Constants!$B$4,"",IF(NOT($BC358),"&lt;-",IF(NOT($AS358),"-&gt;",IF(OR($BI358&lt;$AY358,AND($BI358=$AY358,OR($BJ358&gt;$AZ358,AND($BJ358=$AZ358,OR($BH358&gt;$AX358,AND($BH358=$AX358,OR($BE358&gt;$AU358,AND($BE358=$AU358,OR($BF358&gt;$AV358,AND($BF358=$AV358,$BK358&gt;$BA358)))))))))),"-&gt;","&lt;-"))))</f>
        <v/>
      </c>
      <c r="BC358" s="85" t="str">
        <f aca="false">IF(ISBLANK($C358),"",COUNTA($P358:$U358)&gt;0)</f>
        <v/>
      </c>
      <c r="BD358" s="85" t="str">
        <f aca="false">IF(ISBLANK($C358),"",AND($BC358,OR(AND($AL358="",OR($AK358,NOT(ISBLANK($S358)))),$AM358="",$AN358="")))</f>
        <v/>
      </c>
      <c r="BE358" s="87" t="str">
        <f aca="false">IF($BL358&lt;&gt;Constants!$B$4,"",IF(NOT($BC358),"",ROUND((Constants!$B$12-$AB358)+(Constants!$B$13-$Z358)+(Constants!$B$14-$AA358),1)))</f>
        <v/>
      </c>
      <c r="BF358" s="90" t="str">
        <f aca="false">IF($BL358&lt;&gt;Constants!$B$4,"",IF(NOT($BC358),"",IF(NOT($AK358),0,Constants!$B$15*(INT(ROUND(MIN($AL358,$AP$9),6))-INT(ROUND(MAX(0,MIN($AL358,2*$AP$9)-$AP$9),6))))))</f>
        <v/>
      </c>
      <c r="BG358" s="90" t="str">
        <f aca="false">IF($BL358&lt;&gt;Constants!$B$4,"",IF(NOT($BC358),"",Constants!$B$16*$AM358))</f>
        <v/>
      </c>
      <c r="BH358" s="90" t="str">
        <f aca="false">IF($BL358&lt;&gt;Constants!$B$4,"",IF(NOT($BC358),"",Constants!$B$18*INT(ROUND($AN358,6))))</f>
        <v/>
      </c>
      <c r="BI358" s="85" t="str">
        <f aca="false">IF($BL358&lt;&gt;Constants!$B$4,"",IF(NOT($BC358),"",IF(NOT($X358),Constants!$B$11,IF(OR(NOT($AI358),NOT($AJ358),ROUND($AB358,1)&gt;Constants!$B$12,ROUND($Z358,1)&gt;Constants!$B$13,ROUND($AA358,1)&gt;Constants!$B$14),Constants!$B$10,Constants!$B$9))))</f>
        <v/>
      </c>
      <c r="BJ358" s="91" t="str">
        <f aca="false">IF($BL358&lt;&gt;Constants!$B$4,"",IF(NOT($BC358),"",ROUND($BE358+$BF358+$BG358+$BH358,1)))</f>
        <v/>
      </c>
      <c r="BK358" s="92" t="str">
        <f aca="false">IF($BL358&lt;&gt;Constants!$B$4,"",IF(NOT($BC358),"",IF(ISNUMBER($AL358),$AL358,0)))</f>
        <v/>
      </c>
      <c r="BL358" s="86" t="str">
        <f aca="false">IF(ISBLANK($C358),"",IF($AO358,Constants!$B$7,IF(COUNTA($E358:$V358)=0,Constants!$B$6,IF(NOT($Y358),Constants!$B$5,IF(NOT(OR($AS358,$BC358)),Constants!$B$5,IF(OR($AT358,$BD358,$AQ358,$AR358&lt;&gt;""),Constants!$B$8,Constants!$B$4))))))</f>
        <v/>
      </c>
      <c r="BM358" s="86" t="str">
        <f aca="false">IF(ISBLANK($C358),"",IF($BL358&lt;&gt;Constants!$B$4,$BL358,IF($BB358="-&gt;",$BI358,$AY358)))</f>
        <v/>
      </c>
      <c r="BN358" s="90" t="str">
        <f aca="false">IF($BL358&lt;&gt;Constants!$B$4,"",IF($BB358="-&gt;",$BJ358,$AZ358))</f>
        <v/>
      </c>
      <c r="BO358" s="90" t="str">
        <f aca="false">IF(ISBLANK($C358),"",IF($BL358&lt;&gt;Constants!$B$4,$BL358,$BN358))</f>
        <v/>
      </c>
      <c r="BP358" s="86" t="str">
        <f aca="false">IF(ISBLANK($C358),"",IF($BL358&lt;&gt;Constants!$B$4,$BL358,RANK($BO358,$BO$9:$BO$508,0)))</f>
        <v/>
      </c>
      <c r="BQ358" s="86" t="str">
        <f aca="false">IF(ISBLANK($C358),"",IF($BL358&lt;&gt;Constants!$B$4,$BL358,COUNTIFS($BM$9:$BM$508,"&lt;"&amp;$BM358)+COUNTIFS($BM$9:$BM$508,$BM358,$BP$9:$BP$508,"&lt;"&amp;$BP358)+1))</f>
        <v/>
      </c>
      <c r="BR358" s="90" t="str">
        <f aca="false">IF($BL358&lt;&gt;Constants!$B$4,"",IF($BB358="-&gt;",$BH358,$AX358))</f>
        <v/>
      </c>
      <c r="BS358" s="86" t="str">
        <f aca="false">IF(ISBLANK($C358),"",IF($BL358&lt;&gt;Constants!$B$4,$BL358,IF(ISNUMBER($BR358),RANK($BR358,$BR$9:$BR$508,0),COUNT($BR$9:$BR$508)+1)))</f>
        <v/>
      </c>
      <c r="BT358" s="90" t="str">
        <f aca="false">IF($BL358&lt;&gt;Constants!$B$4,"",IF($BB358="-&gt;",$BE358,$AU358))</f>
        <v/>
      </c>
      <c r="BU358" s="86" t="str">
        <f aca="false">IF(ISBLANK($C358),"",IF($BL358&lt;&gt;Constants!$B$4,$BL358,IF(ISNUMBER($BT358),RANK($BT358,$BT$9:$BT$508,0),COUNT($BT$9:$BT$508)+1)))</f>
        <v/>
      </c>
      <c r="BV358" s="90" t="str">
        <f aca="false">IF($BL358&lt;&gt;Constants!$B$4,"",IF($BB358="-&gt;",$BF358,$AV358))</f>
        <v/>
      </c>
      <c r="BW358" s="86" t="str">
        <f aca="false">IF(ISBLANK($C358),"",IF($BL358&lt;&gt;Constants!$B$4,$BL358,IF(ISNUMBER($BV358),RANK($BV358,$BV$9:$BV$508,0),COUNT($BV$9:$BV$508)+1)))</f>
        <v/>
      </c>
      <c r="BX358" s="90" t="str">
        <f aca="false">IF($BL358&lt;&gt;Constants!$B$4,"",IF($BB358="-&gt;",$BK358,$BA358))</f>
        <v/>
      </c>
      <c r="BY358" s="86" t="str">
        <f aca="false">IF(ISBLANK($C358),"",IF($BL358&lt;&gt;Constants!$B$4,$BL358,IF(ISNUMBER($BX358),RANK($BX358,$BX$9:$BX$508,0),COUNT($BX$9:$BX$508)+1)))</f>
        <v/>
      </c>
      <c r="BZ358" s="86" t="str">
        <f aca="false">IF(ISBLANK($C358),"",IF($BL358&lt;&gt;Constants!$B$4,$BL358,COUNTIFS($BM$9:$BM$508,"&lt;"&amp;$BM358)+COUNTIFS($BM$9:$BM$508,$BM358,$BP$9:$BP$508,"&lt;"&amp;$BP358)+COUNTIFS($BM$9:$BM$508,$BM358,$BP$9:$BP$508,$BP358,$BS$9:$BS$508,"&lt;"&amp;$BS358)+COUNTIFS($BM$9:$BM$508,$BM358,$BP$9:$BP$508,$BP358,$BS$9:$BS$508,$BS358,$BU$9:$BU$508,"&lt;"&amp;$BU358)+COUNTIFS($BM$9:$BM$508,$BM358,$BP$9:$BP$508,$BP358,$BS$9:$BS$508,$BS358,$BU$9:$BU$508,$BU358,$BW$9:$BW$508,"&lt;"&amp;$BW358)+COUNTIFS($BM$9:$BM$508,$BM358,$BP$9:$BP$508,$BP358,$BS$9:$BS$508,$BS358,$BU$9:$BU$508,$BU358,$BW$9:$BW$508,$BW358,$BY$9:$BY$508,"&lt;"&amp;$BY358)+1))</f>
        <v/>
      </c>
      <c r="CA358" s="86" t="str">
        <f aca="false">IF(ISBLANK($C358),"",IF($BL358&lt;&gt;Constants!$B$4,$BL358,$BQ358-$BZ358))</f>
        <v/>
      </c>
      <c r="CB358" s="93"/>
      <c r="CC358" s="94" t="str">
        <f aca="false">IF(ISBLANK($C358),"",IF($BL358=Constants!$B$8,$AR358,""))</f>
        <v/>
      </c>
      <c r="CD358" s="94" t="str">
        <f aca="false">IF(ISBLANK($C358),"",IF($BL358&lt;&gt;Constants!$B$4,"",IF($BB358="-&gt;",2,1)))</f>
        <v/>
      </c>
      <c r="CE358" s="95" t="str">
        <f aca="false">IF(ISBLANK($C358),"",IF($BL358&lt;&gt;Constants!$B$4,"",IF($BB358="-&gt;",$BE358,$AU358)))</f>
        <v/>
      </c>
      <c r="CF358" s="95" t="str">
        <f aca="false">IF(ISBLANK($C358),"",IF($BL358&lt;&gt;Constants!$B$4,"",IF($BB358="-&gt;",$BF358,$AV358)))</f>
        <v/>
      </c>
      <c r="CG358" s="95" t="str">
        <f aca="false">IF(ISBLANK($C358),"",IF($BL358&lt;&gt;Constants!$B$4,"",IF($BB358="-&gt;",$BG358,$AW358)))</f>
        <v/>
      </c>
      <c r="CH358" s="95" t="str">
        <f aca="false">IF(ISBLANK($C358),"",IF($BL358&lt;&gt;Constants!$B$4,"",IF($BB358="-&gt;",$BH358,$AX358)))</f>
        <v/>
      </c>
      <c r="CI358" s="96" t="str">
        <f aca="false">IF(ISBLANK($C358),"",$BO358)</f>
        <v/>
      </c>
      <c r="CJ358" s="97" t="str">
        <f aca="false">IF(ISBLANK($C358),"",$BM358)</f>
        <v/>
      </c>
      <c r="CK358" s="98" t="str">
        <f aca="false">IF(ISBLANK($C358),"",$CA358)</f>
        <v/>
      </c>
      <c r="CL358" s="98" t="str">
        <f aca="false">IF(ISBLANK($C358),"",$BZ358)</f>
        <v/>
      </c>
      <c r="CM358" s="99" t="str">
        <f aca="false">IF(ISBLANK($C358),"",IF($CL358=Constants!$B$7,COUNTA($C$9:$C$508)+2,IF($CL358=Constants!$B$6,COUNTA($C$9:$C$508)+1,IF($CL358=Constants!$B$5,COUNTA($C$9:$C$508),$CL358))))</f>
        <v/>
      </c>
      <c r="CN358" s="8"/>
      <c r="CO358" s="100" t="n">
        <f aca="false">IF(OR(ISNUMBER($CL358),$CL358=Constants!$B$7,$CL358=Constants!$B$5,$CL358=Constants!$B$6),1,0)</f>
        <v>0</v>
      </c>
      <c r="CP358" s="100" t="n">
        <v>350</v>
      </c>
      <c r="CQ358" s="100" t="str">
        <f aca="false">IF(ISBLANK($C358),"",IF(ISNUMBER($CM358),$CM358+ROW($B358)/1000,""))</f>
        <v/>
      </c>
      <c r="CR358" s="100" t="str">
        <f aca="false">IF(ISNUMBER($CQ358),RANK($CQ358,$CQ$9:$CQ$508,1),"")</f>
        <v/>
      </c>
      <c r="CS358" s="100" t="str">
        <f aca="false">IF(ISBLANK($C358),"",$B358)</f>
        <v/>
      </c>
      <c r="CT358" s="100" t="str">
        <f aca="false">IF(ISBLANK($C358),"",$C358)</f>
        <v/>
      </c>
      <c r="CU358" s="100" t="str">
        <f aca="false">IF(ISBLANK($C358),"",$D358)</f>
        <v/>
      </c>
      <c r="CV358" s="101" t="str">
        <f aca="false">$CJ358</f>
        <v/>
      </c>
      <c r="CW358" s="102" t="str">
        <f aca="false">$CI358</f>
        <v/>
      </c>
      <c r="CX358" s="100" t="str">
        <f aca="false">IF(ISBLANK($C358),"",$CL358)</f>
        <v/>
      </c>
      <c r="CY358" s="103" t="str">
        <f aca="false">IF($CP358&gt;$CO$8,"",VLOOKUP($CP358,$CR$9:$CX$508,7,FALSE()))</f>
        <v/>
      </c>
      <c r="CZ358" s="104" t="str">
        <f aca="false">IF($CP358&gt;$CO$8,"",VLOOKUP($CP358,$CR$9:$CX$508,2,FALSE()))</f>
        <v/>
      </c>
      <c r="DA358" s="104" t="str">
        <f aca="false">IF($CP358&gt;$CO$8,"",VLOOKUP($CP358,$CR$9:$CX$508,3,FALSE()))</f>
        <v/>
      </c>
      <c r="DB358" s="104" t="str">
        <f aca="false">IF($CP358&gt;$CO$8,"",VLOOKUP($CP358,$CR$9:$CX$508,4,FALSE()))</f>
        <v/>
      </c>
      <c r="DC358" s="104" t="str">
        <f aca="false">IF($CP358&gt;$CO$8,"",VLOOKUP($CP358,$CR$9:$CX$508,5,FALSE()))</f>
        <v/>
      </c>
      <c r="DD358" s="105" t="str">
        <f aca="false">IF($CP358&gt;$CO$8,"",VLOOKUP($CP358,$CR$9:$CX$508,6,FALSE()))</f>
        <v/>
      </c>
      <c r="DE358" s="70"/>
    </row>
    <row r="359" customFormat="false" ht="15.75" hidden="false" customHeight="false" outlineLevel="0" collapsed="false">
      <c r="A359" s="8"/>
      <c r="B359" s="72"/>
      <c r="C359" s="73"/>
      <c r="D359" s="155"/>
      <c r="E359" s="162"/>
      <c r="F359" s="157"/>
      <c r="G359" s="77"/>
      <c r="H359" s="77"/>
      <c r="I359" s="77"/>
      <c r="J359" s="163"/>
      <c r="K359" s="161"/>
      <c r="L359" s="161"/>
      <c r="M359" s="80"/>
      <c r="N359" s="161"/>
      <c r="O359" s="160"/>
      <c r="P359" s="161"/>
      <c r="Q359" s="161"/>
      <c r="R359" s="161"/>
      <c r="S359" s="77"/>
      <c r="T359" s="161"/>
      <c r="U359" s="160"/>
      <c r="V359" s="161"/>
      <c r="W359" s="85"/>
      <c r="X359" s="86" t="str">
        <f aca="false">IF(ISBLANK($C359),"",IF($E359=Constants!$B$2,TRUE(),IF($E359=Constants!$B$3,FALSE(),TRUE())))</f>
        <v/>
      </c>
      <c r="Y359" s="86" t="str">
        <f aca="false">IF(ISBLANK($C359),"",IF($F359=Constants!$B$2,TRUE(),IF($F359=Constants!$B$3,FALSE(),TRUE())))</f>
        <v/>
      </c>
      <c r="Z359" s="87" t="str">
        <f aca="false">IF(ISBLANK($C359),"",IF(ISNUMBER($G359),IF($G359&gt;=0,$G359,""),""))</f>
        <v/>
      </c>
      <c r="AA359" s="87" t="str">
        <f aca="false">IF(ISBLANK($C359),"",IF(ISNUMBER($H359),IF($H359&gt;=0,$H359,""),""))</f>
        <v/>
      </c>
      <c r="AB359" s="87" t="str">
        <f aca="false">IF(ISBLANK($C359),"",IF(ISNUMBER($I359),IF($I359&gt;=0,$I359,""),""))</f>
        <v/>
      </c>
      <c r="AC359" s="86" t="str">
        <f aca="false">IF(ISBLANK($C359),"",IF($J359=Constants!$B$2,TRUE(),IF($J359=Constants!$B$3,FALSE(),TRUE())))</f>
        <v/>
      </c>
      <c r="AD359" s="86" t="str">
        <f aca="false">IF(ISBLANK($C359),"",IF($K359=Constants!$B$2,TRUE(),IF($K359=Constants!$B$3,FALSE(),TRUE())))</f>
        <v/>
      </c>
      <c r="AE359" s="86" t="str">
        <f aca="false">IF(ISBLANK($C359),"",IF($L359=Constants!$B$2,TRUE(),IF($L359=Constants!$B$3,FALSE(),TRUE())))</f>
        <v/>
      </c>
      <c r="AF359" s="88" t="str">
        <f aca="false">IF(ISBLANK($C359),"",IF(ISNUMBER($M359),IF($M359&gt;=0,$M359,""),""))</f>
        <v/>
      </c>
      <c r="AG359" s="86" t="str">
        <f aca="false">IF(ISBLANK($C359),"",IF(ISBLANK($N359),0,IF(ISNUMBER($N359),IF(AND($N359&gt;=0,$N359&lt;=Constants!$B$17,$N359=INT($N359)),$N359,""),"")))</f>
        <v/>
      </c>
      <c r="AH359" s="87" t="str">
        <f aca="false">IF(ISBLANK($C359),"",IF(ISBLANK($O359),0,IF(ISNUMBER($O359),IF($O359&gt;=0,$O359,""),"")))</f>
        <v/>
      </c>
      <c r="AI359" s="86" t="str">
        <f aca="false">IF(ISBLANK($C359),"",IF($P359=Constants!$B$2,TRUE(),IF($P359=Constants!$B$3,FALSE(),TRUE())))</f>
        <v/>
      </c>
      <c r="AJ359" s="86" t="str">
        <f aca="false">IF(ISBLANK($C359),"",IF($Q359=Constants!$B$2,TRUE(),IF($Q359=Constants!$B$3,FALSE(),TRUE())))</f>
        <v/>
      </c>
      <c r="AK359" s="86" t="str">
        <f aca="false">IF(ISBLANK($C359),"",IF($R359=Constants!$B$2,TRUE(),IF($R359=Constants!$B$3,FALSE(),TRUE())))</f>
        <v/>
      </c>
      <c r="AL359" s="88" t="str">
        <f aca="false">IF(ISBLANK($C359),"",IF(ISNUMBER($S359),IF($S359&gt;=0,$S359,""),""))</f>
        <v/>
      </c>
      <c r="AM359" s="86" t="str">
        <f aca="false">IF(ISBLANK($C359),"",IF(ISBLANK($T359),0,IF(ISNUMBER($T359),IF(AND($T359&gt;=0,$T359&lt;=Constants!$B$17,$T359=INT($T359)),$T359,""),"")))</f>
        <v/>
      </c>
      <c r="AN359" s="87" t="str">
        <f aca="false">IF(ISBLANK($C359),"",IF(ISBLANK($U359),0,IF(ISNUMBER($U359),IF($U359&gt;=0,$U359,""),"")))</f>
        <v/>
      </c>
      <c r="AO359" s="86" t="str">
        <f aca="false">IF(ISBLANK($C359),"",IF($V359=Constants!$B$2,TRUE(),IF($V359=Constants!$B$3,FALSE(),FALSE())))</f>
        <v/>
      </c>
      <c r="AP359" s="86"/>
      <c r="AQ359" s="85" t="str">
        <f aca="false">IF(ISBLANK($C359),"",AND($Y359,OR($AS359,$BC359),OR($Z359="",$AA359="",$AB359="")))</f>
        <v/>
      </c>
      <c r="AR359" s="85" t="str">
        <f aca="false">IF(ISBLANK($C359),"",IF(OR(NOT($Y359),NOT(OR($AS359,$BC359))),"",IF(ISBLANK($D$7),$AR$5,IF($AP$9="",$AR$6,""))))</f>
        <v/>
      </c>
      <c r="AS359" s="85" t="str">
        <f aca="false">IF(ISBLANK($C359),"",COUNTA($J359:$O359)&gt;0)</f>
        <v/>
      </c>
      <c r="AT359" s="85" t="str">
        <f aca="false">IF(ISBLANK($C359),"",AND($AS359,OR(AND($AF359="",OR($AE359,NOT(ISBLANK($M359)))),$AG359="",$AH359="")))</f>
        <v/>
      </c>
      <c r="AU359" s="87" t="str">
        <f aca="false">IF($BL359&lt;&gt;Constants!$B$4,"",IF(NOT($AS359),"",ROUND((Constants!$B$12-$AB359)+(Constants!$B$13-$Z359)+(Constants!$B$14-$AA359),1)))</f>
        <v/>
      </c>
      <c r="AV359" s="90" t="str">
        <f aca="false">IF($BL359&lt;&gt;Constants!$B$4,"",IF(NOT($AS359),"",IF(NOT($AE359),0,Constants!$B$15*(INT(ROUND(MIN($AF359,$AP$9),6))-INT(ROUND(MAX(0,MIN($AF359,2*$AP$9)-$AP$9),6))))))</f>
        <v/>
      </c>
      <c r="AW359" s="90" t="str">
        <f aca="false">IF($BL359&lt;&gt;Constants!$B$4,"",IF(NOT($AS359),"",Constants!$B$16*$AG359))</f>
        <v/>
      </c>
      <c r="AX359" s="90" t="str">
        <f aca="false">IF($BL359&lt;&gt;Constants!$B$4,"",IF(NOT($AS359),"",Constants!$B$18*INT(ROUND($AH359,6))))</f>
        <v/>
      </c>
      <c r="AY359" s="85" t="str">
        <f aca="false">IF($BL359&lt;&gt;Constants!$B$4,"",IF(NOT($AS359),"",IF(NOT($X359),Constants!$B$11,IF(OR(NOT($AC359),NOT($AD359),ROUND($AB359,1)&gt;Constants!$B$12,ROUND($Z359,1)&gt;Constants!$B$13,ROUND($AA359,1)&gt;Constants!$B$14),Constants!$B$10,Constants!$B$9))))</f>
        <v/>
      </c>
      <c r="AZ359" s="91" t="str">
        <f aca="false">IF($BL359&lt;&gt;Constants!$B$4,"",IF(NOT($AS359),"",ROUND($AU359+$AV359+$AW359+$AX359,1)))</f>
        <v/>
      </c>
      <c r="BA359" s="92" t="str">
        <f aca="false">IF($BL359&lt;&gt;Constants!$B$4,"",IF(NOT($AS359),"",IF(ISNUMBER($AF359),$AF359,0)))</f>
        <v/>
      </c>
      <c r="BB359" s="86" t="str">
        <f aca="false">IF($BL359&lt;&gt;Constants!$B$4,"",IF(NOT($BC359),"&lt;-",IF(NOT($AS359),"-&gt;",IF(OR($BI359&lt;$AY359,AND($BI359=$AY359,OR($BJ359&gt;$AZ359,AND($BJ359=$AZ359,OR($BH359&gt;$AX359,AND($BH359=$AX359,OR($BE359&gt;$AU359,AND($BE359=$AU359,OR($BF359&gt;$AV359,AND($BF359=$AV359,$BK359&gt;$BA359)))))))))),"-&gt;","&lt;-"))))</f>
        <v/>
      </c>
      <c r="BC359" s="85" t="str">
        <f aca="false">IF(ISBLANK($C359),"",COUNTA($P359:$U359)&gt;0)</f>
        <v/>
      </c>
      <c r="BD359" s="85" t="str">
        <f aca="false">IF(ISBLANK($C359),"",AND($BC359,OR(AND($AL359="",OR($AK359,NOT(ISBLANK($S359)))),$AM359="",$AN359="")))</f>
        <v/>
      </c>
      <c r="BE359" s="87" t="str">
        <f aca="false">IF($BL359&lt;&gt;Constants!$B$4,"",IF(NOT($BC359),"",ROUND((Constants!$B$12-$AB359)+(Constants!$B$13-$Z359)+(Constants!$B$14-$AA359),1)))</f>
        <v/>
      </c>
      <c r="BF359" s="90" t="str">
        <f aca="false">IF($BL359&lt;&gt;Constants!$B$4,"",IF(NOT($BC359),"",IF(NOT($AK359),0,Constants!$B$15*(INT(ROUND(MIN($AL359,$AP$9),6))-INT(ROUND(MAX(0,MIN($AL359,2*$AP$9)-$AP$9),6))))))</f>
        <v/>
      </c>
      <c r="BG359" s="90" t="str">
        <f aca="false">IF($BL359&lt;&gt;Constants!$B$4,"",IF(NOT($BC359),"",Constants!$B$16*$AM359))</f>
        <v/>
      </c>
      <c r="BH359" s="90" t="str">
        <f aca="false">IF($BL359&lt;&gt;Constants!$B$4,"",IF(NOT($BC359),"",Constants!$B$18*INT(ROUND($AN359,6))))</f>
        <v/>
      </c>
      <c r="BI359" s="85" t="str">
        <f aca="false">IF($BL359&lt;&gt;Constants!$B$4,"",IF(NOT($BC359),"",IF(NOT($X359),Constants!$B$11,IF(OR(NOT($AI359),NOT($AJ359),ROUND($AB359,1)&gt;Constants!$B$12,ROUND($Z359,1)&gt;Constants!$B$13,ROUND($AA359,1)&gt;Constants!$B$14),Constants!$B$10,Constants!$B$9))))</f>
        <v/>
      </c>
      <c r="BJ359" s="91" t="str">
        <f aca="false">IF($BL359&lt;&gt;Constants!$B$4,"",IF(NOT($BC359),"",ROUND($BE359+$BF359+$BG359+$BH359,1)))</f>
        <v/>
      </c>
      <c r="BK359" s="92" t="str">
        <f aca="false">IF($BL359&lt;&gt;Constants!$B$4,"",IF(NOT($BC359),"",IF(ISNUMBER($AL359),$AL359,0)))</f>
        <v/>
      </c>
      <c r="BL359" s="86" t="str">
        <f aca="false">IF(ISBLANK($C359),"",IF($AO359,Constants!$B$7,IF(COUNTA($E359:$V359)=0,Constants!$B$6,IF(NOT($Y359),Constants!$B$5,IF(NOT(OR($AS359,$BC359)),Constants!$B$5,IF(OR($AT359,$BD359,$AQ359,$AR359&lt;&gt;""),Constants!$B$8,Constants!$B$4))))))</f>
        <v/>
      </c>
      <c r="BM359" s="86" t="str">
        <f aca="false">IF(ISBLANK($C359),"",IF($BL359&lt;&gt;Constants!$B$4,$BL359,IF($BB359="-&gt;",$BI359,$AY359)))</f>
        <v/>
      </c>
      <c r="BN359" s="90" t="str">
        <f aca="false">IF($BL359&lt;&gt;Constants!$B$4,"",IF($BB359="-&gt;",$BJ359,$AZ359))</f>
        <v/>
      </c>
      <c r="BO359" s="90" t="str">
        <f aca="false">IF(ISBLANK($C359),"",IF($BL359&lt;&gt;Constants!$B$4,$BL359,$BN359))</f>
        <v/>
      </c>
      <c r="BP359" s="86" t="str">
        <f aca="false">IF(ISBLANK($C359),"",IF($BL359&lt;&gt;Constants!$B$4,$BL359,RANK($BO359,$BO$9:$BO$508,0)))</f>
        <v/>
      </c>
      <c r="BQ359" s="86" t="str">
        <f aca="false">IF(ISBLANK($C359),"",IF($BL359&lt;&gt;Constants!$B$4,$BL359,COUNTIFS($BM$9:$BM$508,"&lt;"&amp;$BM359)+COUNTIFS($BM$9:$BM$508,$BM359,$BP$9:$BP$508,"&lt;"&amp;$BP359)+1))</f>
        <v/>
      </c>
      <c r="BR359" s="90" t="str">
        <f aca="false">IF($BL359&lt;&gt;Constants!$B$4,"",IF($BB359="-&gt;",$BH359,$AX359))</f>
        <v/>
      </c>
      <c r="BS359" s="86" t="str">
        <f aca="false">IF(ISBLANK($C359),"",IF($BL359&lt;&gt;Constants!$B$4,$BL359,IF(ISNUMBER($BR359),RANK($BR359,$BR$9:$BR$508,0),COUNT($BR$9:$BR$508)+1)))</f>
        <v/>
      </c>
      <c r="BT359" s="90" t="str">
        <f aca="false">IF($BL359&lt;&gt;Constants!$B$4,"",IF($BB359="-&gt;",$BE359,$AU359))</f>
        <v/>
      </c>
      <c r="BU359" s="86" t="str">
        <f aca="false">IF(ISBLANK($C359),"",IF($BL359&lt;&gt;Constants!$B$4,$BL359,IF(ISNUMBER($BT359),RANK($BT359,$BT$9:$BT$508,0),COUNT($BT$9:$BT$508)+1)))</f>
        <v/>
      </c>
      <c r="BV359" s="90" t="str">
        <f aca="false">IF($BL359&lt;&gt;Constants!$B$4,"",IF($BB359="-&gt;",$BF359,$AV359))</f>
        <v/>
      </c>
      <c r="BW359" s="86" t="str">
        <f aca="false">IF(ISBLANK($C359),"",IF($BL359&lt;&gt;Constants!$B$4,$BL359,IF(ISNUMBER($BV359),RANK($BV359,$BV$9:$BV$508,0),COUNT($BV$9:$BV$508)+1)))</f>
        <v/>
      </c>
      <c r="BX359" s="90" t="str">
        <f aca="false">IF($BL359&lt;&gt;Constants!$B$4,"",IF($BB359="-&gt;",$BK359,$BA359))</f>
        <v/>
      </c>
      <c r="BY359" s="86" t="str">
        <f aca="false">IF(ISBLANK($C359),"",IF($BL359&lt;&gt;Constants!$B$4,$BL359,IF(ISNUMBER($BX359),RANK($BX359,$BX$9:$BX$508,0),COUNT($BX$9:$BX$508)+1)))</f>
        <v/>
      </c>
      <c r="BZ359" s="86" t="str">
        <f aca="false">IF(ISBLANK($C359),"",IF($BL359&lt;&gt;Constants!$B$4,$BL359,COUNTIFS($BM$9:$BM$508,"&lt;"&amp;$BM359)+COUNTIFS($BM$9:$BM$508,$BM359,$BP$9:$BP$508,"&lt;"&amp;$BP359)+COUNTIFS($BM$9:$BM$508,$BM359,$BP$9:$BP$508,$BP359,$BS$9:$BS$508,"&lt;"&amp;$BS359)+COUNTIFS($BM$9:$BM$508,$BM359,$BP$9:$BP$508,$BP359,$BS$9:$BS$508,$BS359,$BU$9:$BU$508,"&lt;"&amp;$BU359)+COUNTIFS($BM$9:$BM$508,$BM359,$BP$9:$BP$508,$BP359,$BS$9:$BS$508,$BS359,$BU$9:$BU$508,$BU359,$BW$9:$BW$508,"&lt;"&amp;$BW359)+COUNTIFS($BM$9:$BM$508,$BM359,$BP$9:$BP$508,$BP359,$BS$9:$BS$508,$BS359,$BU$9:$BU$508,$BU359,$BW$9:$BW$508,$BW359,$BY$9:$BY$508,"&lt;"&amp;$BY359)+1))</f>
        <v/>
      </c>
      <c r="CA359" s="86" t="str">
        <f aca="false">IF(ISBLANK($C359),"",IF($BL359&lt;&gt;Constants!$B$4,$BL359,$BQ359-$BZ359))</f>
        <v/>
      </c>
      <c r="CB359" s="93"/>
      <c r="CC359" s="94" t="str">
        <f aca="false">IF(ISBLANK($C359),"",IF($BL359=Constants!$B$8,$AR359,""))</f>
        <v/>
      </c>
      <c r="CD359" s="94" t="str">
        <f aca="false">IF(ISBLANK($C359),"",IF($BL359&lt;&gt;Constants!$B$4,"",IF($BB359="-&gt;",2,1)))</f>
        <v/>
      </c>
      <c r="CE359" s="95" t="str">
        <f aca="false">IF(ISBLANK($C359),"",IF($BL359&lt;&gt;Constants!$B$4,"",IF($BB359="-&gt;",$BE359,$AU359)))</f>
        <v/>
      </c>
      <c r="CF359" s="95" t="str">
        <f aca="false">IF(ISBLANK($C359),"",IF($BL359&lt;&gt;Constants!$B$4,"",IF($BB359="-&gt;",$BF359,$AV359)))</f>
        <v/>
      </c>
      <c r="CG359" s="95" t="str">
        <f aca="false">IF(ISBLANK($C359),"",IF($BL359&lt;&gt;Constants!$B$4,"",IF($BB359="-&gt;",$BG359,$AW359)))</f>
        <v/>
      </c>
      <c r="CH359" s="95" t="str">
        <f aca="false">IF(ISBLANK($C359),"",IF($BL359&lt;&gt;Constants!$B$4,"",IF($BB359="-&gt;",$BH359,$AX359)))</f>
        <v/>
      </c>
      <c r="CI359" s="96" t="str">
        <f aca="false">IF(ISBLANK($C359),"",$BO359)</f>
        <v/>
      </c>
      <c r="CJ359" s="97" t="str">
        <f aca="false">IF(ISBLANK($C359),"",$BM359)</f>
        <v/>
      </c>
      <c r="CK359" s="98" t="str">
        <f aca="false">IF(ISBLANK($C359),"",$CA359)</f>
        <v/>
      </c>
      <c r="CL359" s="98" t="str">
        <f aca="false">IF(ISBLANK($C359),"",$BZ359)</f>
        <v/>
      </c>
      <c r="CM359" s="99" t="str">
        <f aca="false">IF(ISBLANK($C359),"",IF($CL359=Constants!$B$7,COUNTA($C$9:$C$508)+2,IF($CL359=Constants!$B$6,COUNTA($C$9:$C$508)+1,IF($CL359=Constants!$B$5,COUNTA($C$9:$C$508),$CL359))))</f>
        <v/>
      </c>
      <c r="CN359" s="8"/>
      <c r="CO359" s="100" t="n">
        <f aca="false">IF(OR(ISNUMBER($CL359),$CL359=Constants!$B$7,$CL359=Constants!$B$5,$CL359=Constants!$B$6),1,0)</f>
        <v>0</v>
      </c>
      <c r="CP359" s="100" t="n">
        <v>351</v>
      </c>
      <c r="CQ359" s="100" t="str">
        <f aca="false">IF(ISBLANK($C359),"",IF(ISNUMBER($CM359),$CM359+ROW($B359)/1000,""))</f>
        <v/>
      </c>
      <c r="CR359" s="100" t="str">
        <f aca="false">IF(ISNUMBER($CQ359),RANK($CQ359,$CQ$9:$CQ$508,1),"")</f>
        <v/>
      </c>
      <c r="CS359" s="100" t="str">
        <f aca="false">IF(ISBLANK($C359),"",$B359)</f>
        <v/>
      </c>
      <c r="CT359" s="100" t="str">
        <f aca="false">IF(ISBLANK($C359),"",$C359)</f>
        <v/>
      </c>
      <c r="CU359" s="100" t="str">
        <f aca="false">IF(ISBLANK($C359),"",$D359)</f>
        <v/>
      </c>
      <c r="CV359" s="101" t="str">
        <f aca="false">$CJ359</f>
        <v/>
      </c>
      <c r="CW359" s="102" t="str">
        <f aca="false">$CI359</f>
        <v/>
      </c>
      <c r="CX359" s="100" t="str">
        <f aca="false">IF(ISBLANK($C359),"",$CL359)</f>
        <v/>
      </c>
      <c r="CY359" s="103" t="str">
        <f aca="false">IF($CP359&gt;$CO$8,"",VLOOKUP($CP359,$CR$9:$CX$508,7,FALSE()))</f>
        <v/>
      </c>
      <c r="CZ359" s="104" t="str">
        <f aca="false">IF($CP359&gt;$CO$8,"",VLOOKUP($CP359,$CR$9:$CX$508,2,FALSE()))</f>
        <v/>
      </c>
      <c r="DA359" s="104" t="str">
        <f aca="false">IF($CP359&gt;$CO$8,"",VLOOKUP($CP359,$CR$9:$CX$508,3,FALSE()))</f>
        <v/>
      </c>
      <c r="DB359" s="104" t="str">
        <f aca="false">IF($CP359&gt;$CO$8,"",VLOOKUP($CP359,$CR$9:$CX$508,4,FALSE()))</f>
        <v/>
      </c>
      <c r="DC359" s="104" t="str">
        <f aca="false">IF($CP359&gt;$CO$8,"",VLOOKUP($CP359,$CR$9:$CX$508,5,FALSE()))</f>
        <v/>
      </c>
      <c r="DD359" s="105" t="str">
        <f aca="false">IF($CP359&gt;$CO$8,"",VLOOKUP($CP359,$CR$9:$CX$508,6,FALSE()))</f>
        <v/>
      </c>
      <c r="DE359" s="70"/>
    </row>
    <row r="360" customFormat="false" ht="15.75" hidden="false" customHeight="false" outlineLevel="0" collapsed="false">
      <c r="A360" s="8"/>
      <c r="B360" s="146"/>
      <c r="C360" s="147"/>
      <c r="D360" s="148"/>
      <c r="E360" s="164"/>
      <c r="F360" s="150"/>
      <c r="G360" s="115"/>
      <c r="H360" s="115"/>
      <c r="I360" s="115"/>
      <c r="J360" s="165"/>
      <c r="K360" s="154"/>
      <c r="L360" s="154"/>
      <c r="M360" s="118"/>
      <c r="N360" s="154"/>
      <c r="O360" s="153"/>
      <c r="P360" s="154"/>
      <c r="Q360" s="154"/>
      <c r="R360" s="154"/>
      <c r="S360" s="115"/>
      <c r="T360" s="154"/>
      <c r="U360" s="153"/>
      <c r="V360" s="154"/>
      <c r="W360" s="123"/>
      <c r="X360" s="124" t="str">
        <f aca="false">IF(ISBLANK($C360),"",IF($E360=Constants!$B$2,TRUE(),IF($E360=Constants!$B$3,FALSE(),TRUE())))</f>
        <v/>
      </c>
      <c r="Y360" s="124" t="str">
        <f aca="false">IF(ISBLANK($C360),"",IF($F360=Constants!$B$2,TRUE(),IF($F360=Constants!$B$3,FALSE(),TRUE())))</f>
        <v/>
      </c>
      <c r="Z360" s="125" t="str">
        <f aca="false">IF(ISBLANK($C360),"",IF(ISNUMBER($G360),IF($G360&gt;=0,$G360,""),""))</f>
        <v/>
      </c>
      <c r="AA360" s="125" t="str">
        <f aca="false">IF(ISBLANK($C360),"",IF(ISNUMBER($H360),IF($H360&gt;=0,$H360,""),""))</f>
        <v/>
      </c>
      <c r="AB360" s="125" t="str">
        <f aca="false">IF(ISBLANK($C360),"",IF(ISNUMBER($I360),IF($I360&gt;=0,$I360,""),""))</f>
        <v/>
      </c>
      <c r="AC360" s="124" t="str">
        <f aca="false">IF(ISBLANK($C360),"",IF($J360=Constants!$B$2,TRUE(),IF($J360=Constants!$B$3,FALSE(),TRUE())))</f>
        <v/>
      </c>
      <c r="AD360" s="124" t="str">
        <f aca="false">IF(ISBLANK($C360),"",IF($K360=Constants!$B$2,TRUE(),IF($K360=Constants!$B$3,FALSE(),TRUE())))</f>
        <v/>
      </c>
      <c r="AE360" s="124" t="str">
        <f aca="false">IF(ISBLANK($C360),"",IF($L360=Constants!$B$2,TRUE(),IF($L360=Constants!$B$3,FALSE(),TRUE())))</f>
        <v/>
      </c>
      <c r="AF360" s="126" t="str">
        <f aca="false">IF(ISBLANK($C360),"",IF(ISNUMBER($M360),IF($M360&gt;=0,$M360,""),""))</f>
        <v/>
      </c>
      <c r="AG360" s="124" t="str">
        <f aca="false">IF(ISBLANK($C360),"",IF(ISBLANK($N360),0,IF(ISNUMBER($N360),IF(AND($N360&gt;=0,$N360&lt;=Constants!$B$17,$N360=INT($N360)),$N360,""),"")))</f>
        <v/>
      </c>
      <c r="AH360" s="125" t="str">
        <f aca="false">IF(ISBLANK($C360),"",IF(ISBLANK($O360),0,IF(ISNUMBER($O360),IF($O360&gt;=0,$O360,""),"")))</f>
        <v/>
      </c>
      <c r="AI360" s="124" t="str">
        <f aca="false">IF(ISBLANK($C360),"",IF($P360=Constants!$B$2,TRUE(),IF($P360=Constants!$B$3,FALSE(),TRUE())))</f>
        <v/>
      </c>
      <c r="AJ360" s="124" t="str">
        <f aca="false">IF(ISBLANK($C360),"",IF($Q360=Constants!$B$2,TRUE(),IF($Q360=Constants!$B$3,FALSE(),TRUE())))</f>
        <v/>
      </c>
      <c r="AK360" s="124" t="str">
        <f aca="false">IF(ISBLANK($C360),"",IF($R360=Constants!$B$2,TRUE(),IF($R360=Constants!$B$3,FALSE(),TRUE())))</f>
        <v/>
      </c>
      <c r="AL360" s="126" t="str">
        <f aca="false">IF(ISBLANK($C360),"",IF(ISNUMBER($S360),IF($S360&gt;=0,$S360,""),""))</f>
        <v/>
      </c>
      <c r="AM360" s="124" t="str">
        <f aca="false">IF(ISBLANK($C360),"",IF(ISBLANK($T360),0,IF(ISNUMBER($T360),IF(AND($T360&gt;=0,$T360&lt;=Constants!$B$17,$T360=INT($T360)),$T360,""),"")))</f>
        <v/>
      </c>
      <c r="AN360" s="125" t="str">
        <f aca="false">IF(ISBLANK($C360),"",IF(ISBLANK($U360),0,IF(ISNUMBER($U360),IF($U360&gt;=0,$U360,""),"")))</f>
        <v/>
      </c>
      <c r="AO360" s="124" t="str">
        <f aca="false">IF(ISBLANK($C360),"",IF($V360=Constants!$B$2,TRUE(),IF($V360=Constants!$B$3,FALSE(),FALSE())))</f>
        <v/>
      </c>
      <c r="AP360" s="124"/>
      <c r="AQ360" s="123" t="str">
        <f aca="false">IF(ISBLANK($C360),"",AND($Y360,OR($AS360,$BC360),OR($Z360="",$AA360="",$AB360="")))</f>
        <v/>
      </c>
      <c r="AR360" s="123" t="str">
        <f aca="false">IF(ISBLANK($C360),"",IF(OR(NOT($Y360),NOT(OR($AS360,$BC360))),"",IF(ISBLANK($D$7),$AR$5,IF($AP$9="",$AR$6,""))))</f>
        <v/>
      </c>
      <c r="AS360" s="123" t="str">
        <f aca="false">IF(ISBLANK($C360),"",COUNTA($J360:$O360)&gt;0)</f>
        <v/>
      </c>
      <c r="AT360" s="123" t="str">
        <f aca="false">IF(ISBLANK($C360),"",AND($AS360,OR(AND($AF360="",OR($AE360,NOT(ISBLANK($M360)))),$AG360="",$AH360="")))</f>
        <v/>
      </c>
      <c r="AU360" s="125" t="str">
        <f aca="false">IF($BL360&lt;&gt;Constants!$B$4,"",IF(NOT($AS360),"",ROUND((Constants!$B$12-$AB360)+(Constants!$B$13-$Z360)+(Constants!$B$14-$AA360),1)))</f>
        <v/>
      </c>
      <c r="AV360" s="127" t="str">
        <f aca="false">IF($BL360&lt;&gt;Constants!$B$4,"",IF(NOT($AS360),"",IF(NOT($AE360),0,Constants!$B$15*(INT(ROUND(MIN($AF360,$AP$9),6))-INT(ROUND(MAX(0,MIN($AF360,2*$AP$9)-$AP$9),6))))))</f>
        <v/>
      </c>
      <c r="AW360" s="127" t="str">
        <f aca="false">IF($BL360&lt;&gt;Constants!$B$4,"",IF(NOT($AS360),"",Constants!$B$16*$AG360))</f>
        <v/>
      </c>
      <c r="AX360" s="127" t="str">
        <f aca="false">IF($BL360&lt;&gt;Constants!$B$4,"",IF(NOT($AS360),"",Constants!$B$18*INT(ROUND($AH360,6))))</f>
        <v/>
      </c>
      <c r="AY360" s="123" t="str">
        <f aca="false">IF($BL360&lt;&gt;Constants!$B$4,"",IF(NOT($AS360),"",IF(NOT($X360),Constants!$B$11,IF(OR(NOT($AC360),NOT($AD360),ROUND($AB360,1)&gt;Constants!$B$12,ROUND($Z360,1)&gt;Constants!$B$13,ROUND($AA360,1)&gt;Constants!$B$14),Constants!$B$10,Constants!$B$9))))</f>
        <v/>
      </c>
      <c r="AZ360" s="128" t="str">
        <f aca="false">IF($BL360&lt;&gt;Constants!$B$4,"",IF(NOT($AS360),"",ROUND($AU360+$AV360+$AW360+$AX360,1)))</f>
        <v/>
      </c>
      <c r="BA360" s="129" t="str">
        <f aca="false">IF($BL360&lt;&gt;Constants!$B$4,"",IF(NOT($AS360),"",IF(ISNUMBER($AF360),$AF360,0)))</f>
        <v/>
      </c>
      <c r="BB360" s="124" t="str">
        <f aca="false">IF($BL360&lt;&gt;Constants!$B$4,"",IF(NOT($BC360),"&lt;-",IF(NOT($AS360),"-&gt;",IF(OR($BI360&lt;$AY360,AND($BI360=$AY360,OR($BJ360&gt;$AZ360,AND($BJ360=$AZ360,OR($BH360&gt;$AX360,AND($BH360=$AX360,OR($BE360&gt;$AU360,AND($BE360=$AU360,OR($BF360&gt;$AV360,AND($BF360=$AV360,$BK360&gt;$BA360)))))))))),"-&gt;","&lt;-"))))</f>
        <v/>
      </c>
      <c r="BC360" s="123" t="str">
        <f aca="false">IF(ISBLANK($C360),"",COUNTA($P360:$U360)&gt;0)</f>
        <v/>
      </c>
      <c r="BD360" s="123" t="str">
        <f aca="false">IF(ISBLANK($C360),"",AND($BC360,OR(AND($AL360="",OR($AK360,NOT(ISBLANK($S360)))),$AM360="",$AN360="")))</f>
        <v/>
      </c>
      <c r="BE360" s="125" t="str">
        <f aca="false">IF($BL360&lt;&gt;Constants!$B$4,"",IF(NOT($BC360),"",ROUND((Constants!$B$12-$AB360)+(Constants!$B$13-$Z360)+(Constants!$B$14-$AA360),1)))</f>
        <v/>
      </c>
      <c r="BF360" s="127" t="str">
        <f aca="false">IF($BL360&lt;&gt;Constants!$B$4,"",IF(NOT($BC360),"",IF(NOT($AK360),0,Constants!$B$15*(INT(ROUND(MIN($AL360,$AP$9),6))-INT(ROUND(MAX(0,MIN($AL360,2*$AP$9)-$AP$9),6))))))</f>
        <v/>
      </c>
      <c r="BG360" s="127" t="str">
        <f aca="false">IF($BL360&lt;&gt;Constants!$B$4,"",IF(NOT($BC360),"",Constants!$B$16*$AM360))</f>
        <v/>
      </c>
      <c r="BH360" s="127" t="str">
        <f aca="false">IF($BL360&lt;&gt;Constants!$B$4,"",IF(NOT($BC360),"",Constants!$B$18*INT(ROUND($AN360,6))))</f>
        <v/>
      </c>
      <c r="BI360" s="123" t="str">
        <f aca="false">IF($BL360&lt;&gt;Constants!$B$4,"",IF(NOT($BC360),"",IF(NOT($X360),Constants!$B$11,IF(OR(NOT($AI360),NOT($AJ360),ROUND($AB360,1)&gt;Constants!$B$12,ROUND($Z360,1)&gt;Constants!$B$13,ROUND($AA360,1)&gt;Constants!$B$14),Constants!$B$10,Constants!$B$9))))</f>
        <v/>
      </c>
      <c r="BJ360" s="128" t="str">
        <f aca="false">IF($BL360&lt;&gt;Constants!$B$4,"",IF(NOT($BC360),"",ROUND($BE360+$BF360+$BG360+$BH360,1)))</f>
        <v/>
      </c>
      <c r="BK360" s="129" t="str">
        <f aca="false">IF($BL360&lt;&gt;Constants!$B$4,"",IF(NOT($BC360),"",IF(ISNUMBER($AL360),$AL360,0)))</f>
        <v/>
      </c>
      <c r="BL360" s="124" t="str">
        <f aca="false">IF(ISBLANK($C360),"",IF($AO360,Constants!$B$7,IF(COUNTA($E360:$V360)=0,Constants!$B$6,IF(NOT($Y360),Constants!$B$5,IF(NOT(OR($AS360,$BC360)),Constants!$B$5,IF(OR($AT360,$BD360,$AQ360,$AR360&lt;&gt;""),Constants!$B$8,Constants!$B$4))))))</f>
        <v/>
      </c>
      <c r="BM360" s="124" t="str">
        <f aca="false">IF(ISBLANK($C360),"",IF($BL360&lt;&gt;Constants!$B$4,$BL360,IF($BB360="-&gt;",$BI360,$AY360)))</f>
        <v/>
      </c>
      <c r="BN360" s="127" t="str">
        <f aca="false">IF($BL360&lt;&gt;Constants!$B$4,"",IF($BB360="-&gt;",$BJ360,$AZ360))</f>
        <v/>
      </c>
      <c r="BO360" s="127" t="str">
        <f aca="false">IF(ISBLANK($C360),"",IF($BL360&lt;&gt;Constants!$B$4,$BL360,$BN360))</f>
        <v/>
      </c>
      <c r="BP360" s="124" t="str">
        <f aca="false">IF(ISBLANK($C360),"",IF($BL360&lt;&gt;Constants!$B$4,$BL360,RANK($BO360,$BO$9:$BO$508,0)))</f>
        <v/>
      </c>
      <c r="BQ360" s="124" t="str">
        <f aca="false">IF(ISBLANK($C360),"",IF($BL360&lt;&gt;Constants!$B$4,$BL360,COUNTIFS($BM$9:$BM$508,"&lt;"&amp;$BM360)+COUNTIFS($BM$9:$BM$508,$BM360,$BP$9:$BP$508,"&lt;"&amp;$BP360)+1))</f>
        <v/>
      </c>
      <c r="BR360" s="127" t="str">
        <f aca="false">IF($BL360&lt;&gt;Constants!$B$4,"",IF($BB360="-&gt;",$BH360,$AX360))</f>
        <v/>
      </c>
      <c r="BS360" s="124" t="str">
        <f aca="false">IF(ISBLANK($C360),"",IF($BL360&lt;&gt;Constants!$B$4,$BL360,IF(ISNUMBER($BR360),RANK($BR360,$BR$9:$BR$508,0),COUNT($BR$9:$BR$508)+1)))</f>
        <v/>
      </c>
      <c r="BT360" s="127" t="str">
        <f aca="false">IF($BL360&lt;&gt;Constants!$B$4,"",IF($BB360="-&gt;",$BE360,$AU360))</f>
        <v/>
      </c>
      <c r="BU360" s="124" t="str">
        <f aca="false">IF(ISBLANK($C360),"",IF($BL360&lt;&gt;Constants!$B$4,$BL360,IF(ISNUMBER($BT360),RANK($BT360,$BT$9:$BT$508,0),COUNT($BT$9:$BT$508)+1)))</f>
        <v/>
      </c>
      <c r="BV360" s="127" t="str">
        <f aca="false">IF($BL360&lt;&gt;Constants!$B$4,"",IF($BB360="-&gt;",$BF360,$AV360))</f>
        <v/>
      </c>
      <c r="BW360" s="124" t="str">
        <f aca="false">IF(ISBLANK($C360),"",IF($BL360&lt;&gt;Constants!$B$4,$BL360,IF(ISNUMBER($BV360),RANK($BV360,$BV$9:$BV$508,0),COUNT($BV$9:$BV$508)+1)))</f>
        <v/>
      </c>
      <c r="BX360" s="127" t="str">
        <f aca="false">IF($BL360&lt;&gt;Constants!$B$4,"",IF($BB360="-&gt;",$BK360,$BA360))</f>
        <v/>
      </c>
      <c r="BY360" s="124" t="str">
        <f aca="false">IF(ISBLANK($C360),"",IF($BL360&lt;&gt;Constants!$B$4,$BL360,IF(ISNUMBER($BX360),RANK($BX360,$BX$9:$BX$508,0),COUNT($BX$9:$BX$508)+1)))</f>
        <v/>
      </c>
      <c r="BZ360" s="124" t="str">
        <f aca="false">IF(ISBLANK($C360),"",IF($BL360&lt;&gt;Constants!$B$4,$BL360,COUNTIFS($BM$9:$BM$508,"&lt;"&amp;$BM360)+COUNTIFS($BM$9:$BM$508,$BM360,$BP$9:$BP$508,"&lt;"&amp;$BP360)+COUNTIFS($BM$9:$BM$508,$BM360,$BP$9:$BP$508,$BP360,$BS$9:$BS$508,"&lt;"&amp;$BS360)+COUNTIFS($BM$9:$BM$508,$BM360,$BP$9:$BP$508,$BP360,$BS$9:$BS$508,$BS360,$BU$9:$BU$508,"&lt;"&amp;$BU360)+COUNTIFS($BM$9:$BM$508,$BM360,$BP$9:$BP$508,$BP360,$BS$9:$BS$508,$BS360,$BU$9:$BU$508,$BU360,$BW$9:$BW$508,"&lt;"&amp;$BW360)+COUNTIFS($BM$9:$BM$508,$BM360,$BP$9:$BP$508,$BP360,$BS$9:$BS$508,$BS360,$BU$9:$BU$508,$BU360,$BW$9:$BW$508,$BW360,$BY$9:$BY$508,"&lt;"&amp;$BY360)+1))</f>
        <v/>
      </c>
      <c r="CA360" s="124" t="str">
        <f aca="false">IF(ISBLANK($C360),"",IF($BL360&lt;&gt;Constants!$B$4,$BL360,$BQ360-$BZ360))</f>
        <v/>
      </c>
      <c r="CB360" s="130"/>
      <c r="CC360" s="131" t="str">
        <f aca="false">IF(ISBLANK($C360),"",IF($BL360=Constants!$B$8,$AR360,""))</f>
        <v/>
      </c>
      <c r="CD360" s="131" t="str">
        <f aca="false">IF(ISBLANK($C360),"",IF($BL360&lt;&gt;Constants!$B$4,"",IF($BB360="-&gt;",2,1)))</f>
        <v/>
      </c>
      <c r="CE360" s="132" t="str">
        <f aca="false">IF(ISBLANK($C360),"",IF($BL360&lt;&gt;Constants!$B$4,"",IF($BB360="-&gt;",$BE360,$AU360)))</f>
        <v/>
      </c>
      <c r="CF360" s="132" t="str">
        <f aca="false">IF(ISBLANK($C360),"",IF($BL360&lt;&gt;Constants!$B$4,"",IF($BB360="-&gt;",$BF360,$AV360)))</f>
        <v/>
      </c>
      <c r="CG360" s="132" t="str">
        <f aca="false">IF(ISBLANK($C360),"",IF($BL360&lt;&gt;Constants!$B$4,"",IF($BB360="-&gt;",$BG360,$AW360)))</f>
        <v/>
      </c>
      <c r="CH360" s="132" t="str">
        <f aca="false">IF(ISBLANK($C360),"",IF($BL360&lt;&gt;Constants!$B$4,"",IF($BB360="-&gt;",$BH360,$AX360)))</f>
        <v/>
      </c>
      <c r="CI360" s="133" t="str">
        <f aca="false">IF(ISBLANK($C360),"",$BO360)</f>
        <v/>
      </c>
      <c r="CJ360" s="134" t="str">
        <f aca="false">IF(ISBLANK($C360),"",$BM360)</f>
        <v/>
      </c>
      <c r="CK360" s="135" t="str">
        <f aca="false">IF(ISBLANK($C360),"",$CA360)</f>
        <v/>
      </c>
      <c r="CL360" s="135" t="str">
        <f aca="false">IF(ISBLANK($C360),"",$BZ360)</f>
        <v/>
      </c>
      <c r="CM360" s="136" t="str">
        <f aca="false">IF(ISBLANK($C360),"",IF($CL360=Constants!$B$7,COUNTA($C$9:$C$508)+2,IF($CL360=Constants!$B$6,COUNTA($C$9:$C$508)+1,IF($CL360=Constants!$B$5,COUNTA($C$9:$C$508),$CL360))))</f>
        <v/>
      </c>
      <c r="CN360" s="8"/>
      <c r="CO360" s="137" t="n">
        <f aca="false">IF(OR(ISNUMBER($CL360),$CL360=Constants!$B$7,$CL360=Constants!$B$5,$CL360=Constants!$B$6),1,0)</f>
        <v>0</v>
      </c>
      <c r="CP360" s="137" t="n">
        <v>352</v>
      </c>
      <c r="CQ360" s="137" t="str">
        <f aca="false">IF(ISBLANK($C360),"",IF(ISNUMBER($CM360),$CM360+ROW($B360)/1000,""))</f>
        <v/>
      </c>
      <c r="CR360" s="137" t="str">
        <f aca="false">IF(ISNUMBER($CQ360),RANK($CQ360,$CQ$9:$CQ$508,1),"")</f>
        <v/>
      </c>
      <c r="CS360" s="137" t="str">
        <f aca="false">IF(ISBLANK($C360),"",$B360)</f>
        <v/>
      </c>
      <c r="CT360" s="137" t="str">
        <f aca="false">IF(ISBLANK($C360),"",$C360)</f>
        <v/>
      </c>
      <c r="CU360" s="137" t="str">
        <f aca="false">IF(ISBLANK($C360),"",$D360)</f>
        <v/>
      </c>
      <c r="CV360" s="138" t="str">
        <f aca="false">$CJ360</f>
        <v/>
      </c>
      <c r="CW360" s="139" t="str">
        <f aca="false">$CI360</f>
        <v/>
      </c>
      <c r="CX360" s="137" t="str">
        <f aca="false">IF(ISBLANK($C360),"",$CL360)</f>
        <v/>
      </c>
      <c r="CY360" s="140" t="str">
        <f aca="false">IF($CP360&gt;$CO$8,"",VLOOKUP($CP360,$CR$9:$CX$508,7,FALSE()))</f>
        <v/>
      </c>
      <c r="CZ360" s="141" t="str">
        <f aca="false">IF($CP360&gt;$CO$8,"",VLOOKUP($CP360,$CR$9:$CX$508,2,FALSE()))</f>
        <v/>
      </c>
      <c r="DA360" s="141" t="str">
        <f aca="false">IF($CP360&gt;$CO$8,"",VLOOKUP($CP360,$CR$9:$CX$508,3,FALSE()))</f>
        <v/>
      </c>
      <c r="DB360" s="141" t="str">
        <f aca="false">IF($CP360&gt;$CO$8,"",VLOOKUP($CP360,$CR$9:$CX$508,4,FALSE()))</f>
        <v/>
      </c>
      <c r="DC360" s="141" t="str">
        <f aca="false">IF($CP360&gt;$CO$8,"",VLOOKUP($CP360,$CR$9:$CX$508,5,FALSE()))</f>
        <v/>
      </c>
      <c r="DD360" s="142" t="str">
        <f aca="false">IF($CP360&gt;$CO$8,"",VLOOKUP($CP360,$CR$9:$CX$508,6,FALSE()))</f>
        <v/>
      </c>
      <c r="DE360" s="70"/>
    </row>
    <row r="361" customFormat="false" ht="15.75" hidden="false" customHeight="false" outlineLevel="0" collapsed="false">
      <c r="A361" s="8"/>
      <c r="B361" s="146"/>
      <c r="C361" s="147"/>
      <c r="D361" s="148"/>
      <c r="E361" s="164"/>
      <c r="F361" s="150"/>
      <c r="G361" s="115"/>
      <c r="H361" s="115"/>
      <c r="I361" s="115"/>
      <c r="J361" s="165"/>
      <c r="K361" s="154"/>
      <c r="L361" s="154"/>
      <c r="M361" s="118"/>
      <c r="N361" s="154"/>
      <c r="O361" s="153"/>
      <c r="P361" s="154"/>
      <c r="Q361" s="154"/>
      <c r="R361" s="154"/>
      <c r="S361" s="115"/>
      <c r="T361" s="154"/>
      <c r="U361" s="153"/>
      <c r="V361" s="154"/>
      <c r="W361" s="123"/>
      <c r="X361" s="124" t="str">
        <f aca="false">IF(ISBLANK($C361),"",IF($E361=Constants!$B$2,TRUE(),IF($E361=Constants!$B$3,FALSE(),TRUE())))</f>
        <v/>
      </c>
      <c r="Y361" s="124" t="str">
        <f aca="false">IF(ISBLANK($C361),"",IF($F361=Constants!$B$2,TRUE(),IF($F361=Constants!$B$3,FALSE(),TRUE())))</f>
        <v/>
      </c>
      <c r="Z361" s="125" t="str">
        <f aca="false">IF(ISBLANK($C361),"",IF(ISNUMBER($G361),IF($G361&gt;=0,$G361,""),""))</f>
        <v/>
      </c>
      <c r="AA361" s="125" t="str">
        <f aca="false">IF(ISBLANK($C361),"",IF(ISNUMBER($H361),IF($H361&gt;=0,$H361,""),""))</f>
        <v/>
      </c>
      <c r="AB361" s="125" t="str">
        <f aca="false">IF(ISBLANK($C361),"",IF(ISNUMBER($I361),IF($I361&gt;=0,$I361,""),""))</f>
        <v/>
      </c>
      <c r="AC361" s="124" t="str">
        <f aca="false">IF(ISBLANK($C361),"",IF($J361=Constants!$B$2,TRUE(),IF($J361=Constants!$B$3,FALSE(),TRUE())))</f>
        <v/>
      </c>
      <c r="AD361" s="124" t="str">
        <f aca="false">IF(ISBLANK($C361),"",IF($K361=Constants!$B$2,TRUE(),IF($K361=Constants!$B$3,FALSE(),TRUE())))</f>
        <v/>
      </c>
      <c r="AE361" s="124" t="str">
        <f aca="false">IF(ISBLANK($C361),"",IF($L361=Constants!$B$2,TRUE(),IF($L361=Constants!$B$3,FALSE(),TRUE())))</f>
        <v/>
      </c>
      <c r="AF361" s="126" t="str">
        <f aca="false">IF(ISBLANK($C361),"",IF(ISNUMBER($M361),IF($M361&gt;=0,$M361,""),""))</f>
        <v/>
      </c>
      <c r="AG361" s="124" t="str">
        <f aca="false">IF(ISBLANK($C361),"",IF(ISBLANK($N361),0,IF(ISNUMBER($N361),IF(AND($N361&gt;=0,$N361&lt;=Constants!$B$17,$N361=INT($N361)),$N361,""),"")))</f>
        <v/>
      </c>
      <c r="AH361" s="125" t="str">
        <f aca="false">IF(ISBLANK($C361),"",IF(ISBLANK($O361),0,IF(ISNUMBER($O361),IF($O361&gt;=0,$O361,""),"")))</f>
        <v/>
      </c>
      <c r="AI361" s="124" t="str">
        <f aca="false">IF(ISBLANK($C361),"",IF($P361=Constants!$B$2,TRUE(),IF($P361=Constants!$B$3,FALSE(),TRUE())))</f>
        <v/>
      </c>
      <c r="AJ361" s="124" t="str">
        <f aca="false">IF(ISBLANK($C361),"",IF($Q361=Constants!$B$2,TRUE(),IF($Q361=Constants!$B$3,FALSE(),TRUE())))</f>
        <v/>
      </c>
      <c r="AK361" s="124" t="str">
        <f aca="false">IF(ISBLANK($C361),"",IF($R361=Constants!$B$2,TRUE(),IF($R361=Constants!$B$3,FALSE(),TRUE())))</f>
        <v/>
      </c>
      <c r="AL361" s="126" t="str">
        <f aca="false">IF(ISBLANK($C361),"",IF(ISNUMBER($S361),IF($S361&gt;=0,$S361,""),""))</f>
        <v/>
      </c>
      <c r="AM361" s="124" t="str">
        <f aca="false">IF(ISBLANK($C361),"",IF(ISBLANK($T361),0,IF(ISNUMBER($T361),IF(AND($T361&gt;=0,$T361&lt;=Constants!$B$17,$T361=INT($T361)),$T361,""),"")))</f>
        <v/>
      </c>
      <c r="AN361" s="125" t="str">
        <f aca="false">IF(ISBLANK($C361),"",IF(ISBLANK($U361),0,IF(ISNUMBER($U361),IF($U361&gt;=0,$U361,""),"")))</f>
        <v/>
      </c>
      <c r="AO361" s="124" t="str">
        <f aca="false">IF(ISBLANK($C361),"",IF($V361=Constants!$B$2,TRUE(),IF($V361=Constants!$B$3,FALSE(),FALSE())))</f>
        <v/>
      </c>
      <c r="AP361" s="124"/>
      <c r="AQ361" s="123" t="str">
        <f aca="false">IF(ISBLANK($C361),"",AND($Y361,OR($AS361,$BC361),OR($Z361="",$AA361="",$AB361="")))</f>
        <v/>
      </c>
      <c r="AR361" s="123" t="str">
        <f aca="false">IF(ISBLANK($C361),"",IF(OR(NOT($Y361),NOT(OR($AS361,$BC361))),"",IF(ISBLANK($D$7),$AR$5,IF($AP$9="",$AR$6,""))))</f>
        <v/>
      </c>
      <c r="AS361" s="123" t="str">
        <f aca="false">IF(ISBLANK($C361),"",COUNTA($J361:$O361)&gt;0)</f>
        <v/>
      </c>
      <c r="AT361" s="123" t="str">
        <f aca="false">IF(ISBLANK($C361),"",AND($AS361,OR(AND($AF361="",OR($AE361,NOT(ISBLANK($M361)))),$AG361="",$AH361="")))</f>
        <v/>
      </c>
      <c r="AU361" s="125" t="str">
        <f aca="false">IF($BL361&lt;&gt;Constants!$B$4,"",IF(NOT($AS361),"",ROUND((Constants!$B$12-$AB361)+(Constants!$B$13-$Z361)+(Constants!$B$14-$AA361),1)))</f>
        <v/>
      </c>
      <c r="AV361" s="127" t="str">
        <f aca="false">IF($BL361&lt;&gt;Constants!$B$4,"",IF(NOT($AS361),"",IF(NOT($AE361),0,Constants!$B$15*(INT(ROUND(MIN($AF361,$AP$9),6))-INT(ROUND(MAX(0,MIN($AF361,2*$AP$9)-$AP$9),6))))))</f>
        <v/>
      </c>
      <c r="AW361" s="127" t="str">
        <f aca="false">IF($BL361&lt;&gt;Constants!$B$4,"",IF(NOT($AS361),"",Constants!$B$16*$AG361))</f>
        <v/>
      </c>
      <c r="AX361" s="127" t="str">
        <f aca="false">IF($BL361&lt;&gt;Constants!$B$4,"",IF(NOT($AS361),"",Constants!$B$18*INT(ROUND($AH361,6))))</f>
        <v/>
      </c>
      <c r="AY361" s="123" t="str">
        <f aca="false">IF($BL361&lt;&gt;Constants!$B$4,"",IF(NOT($AS361),"",IF(NOT($X361),Constants!$B$11,IF(OR(NOT($AC361),NOT($AD361),ROUND($AB361,1)&gt;Constants!$B$12,ROUND($Z361,1)&gt;Constants!$B$13,ROUND($AA361,1)&gt;Constants!$B$14),Constants!$B$10,Constants!$B$9))))</f>
        <v/>
      </c>
      <c r="AZ361" s="128" t="str">
        <f aca="false">IF($BL361&lt;&gt;Constants!$B$4,"",IF(NOT($AS361),"",ROUND($AU361+$AV361+$AW361+$AX361,1)))</f>
        <v/>
      </c>
      <c r="BA361" s="129" t="str">
        <f aca="false">IF($BL361&lt;&gt;Constants!$B$4,"",IF(NOT($AS361),"",IF(ISNUMBER($AF361),$AF361,0)))</f>
        <v/>
      </c>
      <c r="BB361" s="124" t="str">
        <f aca="false">IF($BL361&lt;&gt;Constants!$B$4,"",IF(NOT($BC361),"&lt;-",IF(NOT($AS361),"-&gt;",IF(OR($BI361&lt;$AY361,AND($BI361=$AY361,OR($BJ361&gt;$AZ361,AND($BJ361=$AZ361,OR($BH361&gt;$AX361,AND($BH361=$AX361,OR($BE361&gt;$AU361,AND($BE361=$AU361,OR($BF361&gt;$AV361,AND($BF361=$AV361,$BK361&gt;$BA361)))))))))),"-&gt;","&lt;-"))))</f>
        <v/>
      </c>
      <c r="BC361" s="123" t="str">
        <f aca="false">IF(ISBLANK($C361),"",COUNTA($P361:$U361)&gt;0)</f>
        <v/>
      </c>
      <c r="BD361" s="123" t="str">
        <f aca="false">IF(ISBLANK($C361),"",AND($BC361,OR(AND($AL361="",OR($AK361,NOT(ISBLANK($S361)))),$AM361="",$AN361="")))</f>
        <v/>
      </c>
      <c r="BE361" s="125" t="str">
        <f aca="false">IF($BL361&lt;&gt;Constants!$B$4,"",IF(NOT($BC361),"",ROUND((Constants!$B$12-$AB361)+(Constants!$B$13-$Z361)+(Constants!$B$14-$AA361),1)))</f>
        <v/>
      </c>
      <c r="BF361" s="127" t="str">
        <f aca="false">IF($BL361&lt;&gt;Constants!$B$4,"",IF(NOT($BC361),"",IF(NOT($AK361),0,Constants!$B$15*(INT(ROUND(MIN($AL361,$AP$9),6))-INT(ROUND(MAX(0,MIN($AL361,2*$AP$9)-$AP$9),6))))))</f>
        <v/>
      </c>
      <c r="BG361" s="127" t="str">
        <f aca="false">IF($BL361&lt;&gt;Constants!$B$4,"",IF(NOT($BC361),"",Constants!$B$16*$AM361))</f>
        <v/>
      </c>
      <c r="BH361" s="127" t="str">
        <f aca="false">IF($BL361&lt;&gt;Constants!$B$4,"",IF(NOT($BC361),"",Constants!$B$18*INT(ROUND($AN361,6))))</f>
        <v/>
      </c>
      <c r="BI361" s="123" t="str">
        <f aca="false">IF($BL361&lt;&gt;Constants!$B$4,"",IF(NOT($BC361),"",IF(NOT($X361),Constants!$B$11,IF(OR(NOT($AI361),NOT($AJ361),ROUND($AB361,1)&gt;Constants!$B$12,ROUND($Z361,1)&gt;Constants!$B$13,ROUND($AA361,1)&gt;Constants!$B$14),Constants!$B$10,Constants!$B$9))))</f>
        <v/>
      </c>
      <c r="BJ361" s="128" t="str">
        <f aca="false">IF($BL361&lt;&gt;Constants!$B$4,"",IF(NOT($BC361),"",ROUND($BE361+$BF361+$BG361+$BH361,1)))</f>
        <v/>
      </c>
      <c r="BK361" s="129" t="str">
        <f aca="false">IF($BL361&lt;&gt;Constants!$B$4,"",IF(NOT($BC361),"",IF(ISNUMBER($AL361),$AL361,0)))</f>
        <v/>
      </c>
      <c r="BL361" s="124" t="str">
        <f aca="false">IF(ISBLANK($C361),"",IF($AO361,Constants!$B$7,IF(COUNTA($E361:$V361)=0,Constants!$B$6,IF(NOT($Y361),Constants!$B$5,IF(NOT(OR($AS361,$BC361)),Constants!$B$5,IF(OR($AT361,$BD361,$AQ361,$AR361&lt;&gt;""),Constants!$B$8,Constants!$B$4))))))</f>
        <v/>
      </c>
      <c r="BM361" s="124" t="str">
        <f aca="false">IF(ISBLANK($C361),"",IF($BL361&lt;&gt;Constants!$B$4,$BL361,IF($BB361="-&gt;",$BI361,$AY361)))</f>
        <v/>
      </c>
      <c r="BN361" s="127" t="str">
        <f aca="false">IF($BL361&lt;&gt;Constants!$B$4,"",IF($BB361="-&gt;",$BJ361,$AZ361))</f>
        <v/>
      </c>
      <c r="BO361" s="127" t="str">
        <f aca="false">IF(ISBLANK($C361),"",IF($BL361&lt;&gt;Constants!$B$4,$BL361,$BN361))</f>
        <v/>
      </c>
      <c r="BP361" s="124" t="str">
        <f aca="false">IF(ISBLANK($C361),"",IF($BL361&lt;&gt;Constants!$B$4,$BL361,RANK($BO361,$BO$9:$BO$508,0)))</f>
        <v/>
      </c>
      <c r="BQ361" s="124" t="str">
        <f aca="false">IF(ISBLANK($C361),"",IF($BL361&lt;&gt;Constants!$B$4,$BL361,COUNTIFS($BM$9:$BM$508,"&lt;"&amp;$BM361)+COUNTIFS($BM$9:$BM$508,$BM361,$BP$9:$BP$508,"&lt;"&amp;$BP361)+1))</f>
        <v/>
      </c>
      <c r="BR361" s="127" t="str">
        <f aca="false">IF($BL361&lt;&gt;Constants!$B$4,"",IF($BB361="-&gt;",$BH361,$AX361))</f>
        <v/>
      </c>
      <c r="BS361" s="124" t="str">
        <f aca="false">IF(ISBLANK($C361),"",IF($BL361&lt;&gt;Constants!$B$4,$BL361,IF(ISNUMBER($BR361),RANK($BR361,$BR$9:$BR$508,0),COUNT($BR$9:$BR$508)+1)))</f>
        <v/>
      </c>
      <c r="BT361" s="127" t="str">
        <f aca="false">IF($BL361&lt;&gt;Constants!$B$4,"",IF($BB361="-&gt;",$BE361,$AU361))</f>
        <v/>
      </c>
      <c r="BU361" s="124" t="str">
        <f aca="false">IF(ISBLANK($C361),"",IF($BL361&lt;&gt;Constants!$B$4,$BL361,IF(ISNUMBER($BT361),RANK($BT361,$BT$9:$BT$508,0),COUNT($BT$9:$BT$508)+1)))</f>
        <v/>
      </c>
      <c r="BV361" s="127" t="str">
        <f aca="false">IF($BL361&lt;&gt;Constants!$B$4,"",IF($BB361="-&gt;",$BF361,$AV361))</f>
        <v/>
      </c>
      <c r="BW361" s="124" t="str">
        <f aca="false">IF(ISBLANK($C361),"",IF($BL361&lt;&gt;Constants!$B$4,$BL361,IF(ISNUMBER($BV361),RANK($BV361,$BV$9:$BV$508,0),COUNT($BV$9:$BV$508)+1)))</f>
        <v/>
      </c>
      <c r="BX361" s="127" t="str">
        <f aca="false">IF($BL361&lt;&gt;Constants!$B$4,"",IF($BB361="-&gt;",$BK361,$BA361))</f>
        <v/>
      </c>
      <c r="BY361" s="124" t="str">
        <f aca="false">IF(ISBLANK($C361),"",IF($BL361&lt;&gt;Constants!$B$4,$BL361,IF(ISNUMBER($BX361),RANK($BX361,$BX$9:$BX$508,0),COUNT($BX$9:$BX$508)+1)))</f>
        <v/>
      </c>
      <c r="BZ361" s="124" t="str">
        <f aca="false">IF(ISBLANK($C361),"",IF($BL361&lt;&gt;Constants!$B$4,$BL361,COUNTIFS($BM$9:$BM$508,"&lt;"&amp;$BM361)+COUNTIFS($BM$9:$BM$508,$BM361,$BP$9:$BP$508,"&lt;"&amp;$BP361)+COUNTIFS($BM$9:$BM$508,$BM361,$BP$9:$BP$508,$BP361,$BS$9:$BS$508,"&lt;"&amp;$BS361)+COUNTIFS($BM$9:$BM$508,$BM361,$BP$9:$BP$508,$BP361,$BS$9:$BS$508,$BS361,$BU$9:$BU$508,"&lt;"&amp;$BU361)+COUNTIFS($BM$9:$BM$508,$BM361,$BP$9:$BP$508,$BP361,$BS$9:$BS$508,$BS361,$BU$9:$BU$508,$BU361,$BW$9:$BW$508,"&lt;"&amp;$BW361)+COUNTIFS($BM$9:$BM$508,$BM361,$BP$9:$BP$508,$BP361,$BS$9:$BS$508,$BS361,$BU$9:$BU$508,$BU361,$BW$9:$BW$508,$BW361,$BY$9:$BY$508,"&lt;"&amp;$BY361)+1))</f>
        <v/>
      </c>
      <c r="CA361" s="124" t="str">
        <f aca="false">IF(ISBLANK($C361),"",IF($BL361&lt;&gt;Constants!$B$4,$BL361,$BQ361-$BZ361))</f>
        <v/>
      </c>
      <c r="CB361" s="130"/>
      <c r="CC361" s="131" t="str">
        <f aca="false">IF(ISBLANK($C361),"",IF($BL361=Constants!$B$8,$AR361,""))</f>
        <v/>
      </c>
      <c r="CD361" s="131" t="str">
        <f aca="false">IF(ISBLANK($C361),"",IF($BL361&lt;&gt;Constants!$B$4,"",IF($BB361="-&gt;",2,1)))</f>
        <v/>
      </c>
      <c r="CE361" s="132" t="str">
        <f aca="false">IF(ISBLANK($C361),"",IF($BL361&lt;&gt;Constants!$B$4,"",IF($BB361="-&gt;",$BE361,$AU361)))</f>
        <v/>
      </c>
      <c r="CF361" s="132" t="str">
        <f aca="false">IF(ISBLANK($C361),"",IF($BL361&lt;&gt;Constants!$B$4,"",IF($BB361="-&gt;",$BF361,$AV361)))</f>
        <v/>
      </c>
      <c r="CG361" s="132" t="str">
        <f aca="false">IF(ISBLANK($C361),"",IF($BL361&lt;&gt;Constants!$B$4,"",IF($BB361="-&gt;",$BG361,$AW361)))</f>
        <v/>
      </c>
      <c r="CH361" s="132" t="str">
        <f aca="false">IF(ISBLANK($C361),"",IF($BL361&lt;&gt;Constants!$B$4,"",IF($BB361="-&gt;",$BH361,$AX361)))</f>
        <v/>
      </c>
      <c r="CI361" s="133" t="str">
        <f aca="false">IF(ISBLANK($C361),"",$BO361)</f>
        <v/>
      </c>
      <c r="CJ361" s="134" t="str">
        <f aca="false">IF(ISBLANK($C361),"",$BM361)</f>
        <v/>
      </c>
      <c r="CK361" s="135" t="str">
        <f aca="false">IF(ISBLANK($C361),"",$CA361)</f>
        <v/>
      </c>
      <c r="CL361" s="135" t="str">
        <f aca="false">IF(ISBLANK($C361),"",$BZ361)</f>
        <v/>
      </c>
      <c r="CM361" s="136" t="str">
        <f aca="false">IF(ISBLANK($C361),"",IF($CL361=Constants!$B$7,COUNTA($C$9:$C$508)+2,IF($CL361=Constants!$B$6,COUNTA($C$9:$C$508)+1,IF($CL361=Constants!$B$5,COUNTA($C$9:$C$508),$CL361))))</f>
        <v/>
      </c>
      <c r="CN361" s="8"/>
      <c r="CO361" s="137" t="n">
        <f aca="false">IF(OR(ISNUMBER($CL361),$CL361=Constants!$B$7,$CL361=Constants!$B$5,$CL361=Constants!$B$6),1,0)</f>
        <v>0</v>
      </c>
      <c r="CP361" s="137" t="n">
        <v>353</v>
      </c>
      <c r="CQ361" s="137" t="str">
        <f aca="false">IF(ISBLANK($C361),"",IF(ISNUMBER($CM361),$CM361+ROW($B361)/1000,""))</f>
        <v/>
      </c>
      <c r="CR361" s="137" t="str">
        <f aca="false">IF(ISNUMBER($CQ361),RANK($CQ361,$CQ$9:$CQ$508,1),"")</f>
        <v/>
      </c>
      <c r="CS361" s="137" t="str">
        <f aca="false">IF(ISBLANK($C361),"",$B361)</f>
        <v/>
      </c>
      <c r="CT361" s="137" t="str">
        <f aca="false">IF(ISBLANK($C361),"",$C361)</f>
        <v/>
      </c>
      <c r="CU361" s="137" t="str">
        <f aca="false">IF(ISBLANK($C361),"",$D361)</f>
        <v/>
      </c>
      <c r="CV361" s="138" t="str">
        <f aca="false">$CJ361</f>
        <v/>
      </c>
      <c r="CW361" s="139" t="str">
        <f aca="false">$CI361</f>
        <v/>
      </c>
      <c r="CX361" s="137" t="str">
        <f aca="false">IF(ISBLANK($C361),"",$CL361)</f>
        <v/>
      </c>
      <c r="CY361" s="140" t="str">
        <f aca="false">IF($CP361&gt;$CO$8,"",VLOOKUP($CP361,$CR$9:$CX$508,7,FALSE()))</f>
        <v/>
      </c>
      <c r="CZ361" s="141" t="str">
        <f aca="false">IF($CP361&gt;$CO$8,"",VLOOKUP($CP361,$CR$9:$CX$508,2,FALSE()))</f>
        <v/>
      </c>
      <c r="DA361" s="141" t="str">
        <f aca="false">IF($CP361&gt;$CO$8,"",VLOOKUP($CP361,$CR$9:$CX$508,3,FALSE()))</f>
        <v/>
      </c>
      <c r="DB361" s="141" t="str">
        <f aca="false">IF($CP361&gt;$CO$8,"",VLOOKUP($CP361,$CR$9:$CX$508,4,FALSE()))</f>
        <v/>
      </c>
      <c r="DC361" s="141" t="str">
        <f aca="false">IF($CP361&gt;$CO$8,"",VLOOKUP($CP361,$CR$9:$CX$508,5,FALSE()))</f>
        <v/>
      </c>
      <c r="DD361" s="142" t="str">
        <f aca="false">IF($CP361&gt;$CO$8,"",VLOOKUP($CP361,$CR$9:$CX$508,6,FALSE()))</f>
        <v/>
      </c>
      <c r="DE361" s="70"/>
    </row>
    <row r="362" customFormat="false" ht="15.75" hidden="false" customHeight="false" outlineLevel="0" collapsed="false">
      <c r="A362" s="8"/>
      <c r="B362" s="146"/>
      <c r="C362" s="147"/>
      <c r="D362" s="148"/>
      <c r="E362" s="164"/>
      <c r="F362" s="150"/>
      <c r="G362" s="115"/>
      <c r="H362" s="115"/>
      <c r="I362" s="115"/>
      <c r="J362" s="165"/>
      <c r="K362" s="154"/>
      <c r="L362" s="154"/>
      <c r="M362" s="118"/>
      <c r="N362" s="154"/>
      <c r="O362" s="153"/>
      <c r="P362" s="154"/>
      <c r="Q362" s="154"/>
      <c r="R362" s="154"/>
      <c r="S362" s="115"/>
      <c r="T362" s="154"/>
      <c r="U362" s="153"/>
      <c r="V362" s="154"/>
      <c r="W362" s="123"/>
      <c r="X362" s="124" t="str">
        <f aca="false">IF(ISBLANK($C362),"",IF($E362=Constants!$B$2,TRUE(),IF($E362=Constants!$B$3,FALSE(),TRUE())))</f>
        <v/>
      </c>
      <c r="Y362" s="124" t="str">
        <f aca="false">IF(ISBLANK($C362),"",IF($F362=Constants!$B$2,TRUE(),IF($F362=Constants!$B$3,FALSE(),TRUE())))</f>
        <v/>
      </c>
      <c r="Z362" s="125" t="str">
        <f aca="false">IF(ISBLANK($C362),"",IF(ISNUMBER($G362),IF($G362&gt;=0,$G362,""),""))</f>
        <v/>
      </c>
      <c r="AA362" s="125" t="str">
        <f aca="false">IF(ISBLANK($C362),"",IF(ISNUMBER($H362),IF($H362&gt;=0,$H362,""),""))</f>
        <v/>
      </c>
      <c r="AB362" s="125" t="str">
        <f aca="false">IF(ISBLANK($C362),"",IF(ISNUMBER($I362),IF($I362&gt;=0,$I362,""),""))</f>
        <v/>
      </c>
      <c r="AC362" s="124" t="str">
        <f aca="false">IF(ISBLANK($C362),"",IF($J362=Constants!$B$2,TRUE(),IF($J362=Constants!$B$3,FALSE(),TRUE())))</f>
        <v/>
      </c>
      <c r="AD362" s="124" t="str">
        <f aca="false">IF(ISBLANK($C362),"",IF($K362=Constants!$B$2,TRUE(),IF($K362=Constants!$B$3,FALSE(),TRUE())))</f>
        <v/>
      </c>
      <c r="AE362" s="124" t="str">
        <f aca="false">IF(ISBLANK($C362),"",IF($L362=Constants!$B$2,TRUE(),IF($L362=Constants!$B$3,FALSE(),TRUE())))</f>
        <v/>
      </c>
      <c r="AF362" s="126" t="str">
        <f aca="false">IF(ISBLANK($C362),"",IF(ISNUMBER($M362),IF($M362&gt;=0,$M362,""),""))</f>
        <v/>
      </c>
      <c r="AG362" s="124" t="str">
        <f aca="false">IF(ISBLANK($C362),"",IF(ISBLANK($N362),0,IF(ISNUMBER($N362),IF(AND($N362&gt;=0,$N362&lt;=Constants!$B$17,$N362=INT($N362)),$N362,""),"")))</f>
        <v/>
      </c>
      <c r="AH362" s="125" t="str">
        <f aca="false">IF(ISBLANK($C362),"",IF(ISBLANK($O362),0,IF(ISNUMBER($O362),IF($O362&gt;=0,$O362,""),"")))</f>
        <v/>
      </c>
      <c r="AI362" s="124" t="str">
        <f aca="false">IF(ISBLANK($C362),"",IF($P362=Constants!$B$2,TRUE(),IF($P362=Constants!$B$3,FALSE(),TRUE())))</f>
        <v/>
      </c>
      <c r="AJ362" s="124" t="str">
        <f aca="false">IF(ISBLANK($C362),"",IF($Q362=Constants!$B$2,TRUE(),IF($Q362=Constants!$B$3,FALSE(),TRUE())))</f>
        <v/>
      </c>
      <c r="AK362" s="124" t="str">
        <f aca="false">IF(ISBLANK($C362),"",IF($R362=Constants!$B$2,TRUE(),IF($R362=Constants!$B$3,FALSE(),TRUE())))</f>
        <v/>
      </c>
      <c r="AL362" s="126" t="str">
        <f aca="false">IF(ISBLANK($C362),"",IF(ISNUMBER($S362),IF($S362&gt;=0,$S362,""),""))</f>
        <v/>
      </c>
      <c r="AM362" s="124" t="str">
        <f aca="false">IF(ISBLANK($C362),"",IF(ISBLANK($T362),0,IF(ISNUMBER($T362),IF(AND($T362&gt;=0,$T362&lt;=Constants!$B$17,$T362=INT($T362)),$T362,""),"")))</f>
        <v/>
      </c>
      <c r="AN362" s="125" t="str">
        <f aca="false">IF(ISBLANK($C362),"",IF(ISBLANK($U362),0,IF(ISNUMBER($U362),IF($U362&gt;=0,$U362,""),"")))</f>
        <v/>
      </c>
      <c r="AO362" s="124" t="str">
        <f aca="false">IF(ISBLANK($C362),"",IF($V362=Constants!$B$2,TRUE(),IF($V362=Constants!$B$3,FALSE(),FALSE())))</f>
        <v/>
      </c>
      <c r="AP362" s="124"/>
      <c r="AQ362" s="123" t="str">
        <f aca="false">IF(ISBLANK($C362),"",AND($Y362,OR($AS362,$BC362),OR($Z362="",$AA362="",$AB362="")))</f>
        <v/>
      </c>
      <c r="AR362" s="123" t="str">
        <f aca="false">IF(ISBLANK($C362),"",IF(OR(NOT($Y362),NOT(OR($AS362,$BC362))),"",IF(ISBLANK($D$7),$AR$5,IF($AP$9="",$AR$6,""))))</f>
        <v/>
      </c>
      <c r="AS362" s="123" t="str">
        <f aca="false">IF(ISBLANK($C362),"",COUNTA($J362:$O362)&gt;0)</f>
        <v/>
      </c>
      <c r="AT362" s="123" t="str">
        <f aca="false">IF(ISBLANK($C362),"",AND($AS362,OR(AND($AF362="",OR($AE362,NOT(ISBLANK($M362)))),$AG362="",$AH362="")))</f>
        <v/>
      </c>
      <c r="AU362" s="125" t="str">
        <f aca="false">IF($BL362&lt;&gt;Constants!$B$4,"",IF(NOT($AS362),"",ROUND((Constants!$B$12-$AB362)+(Constants!$B$13-$Z362)+(Constants!$B$14-$AA362),1)))</f>
        <v/>
      </c>
      <c r="AV362" s="127" t="str">
        <f aca="false">IF($BL362&lt;&gt;Constants!$B$4,"",IF(NOT($AS362),"",IF(NOT($AE362),0,Constants!$B$15*(INT(ROUND(MIN($AF362,$AP$9),6))-INT(ROUND(MAX(0,MIN($AF362,2*$AP$9)-$AP$9),6))))))</f>
        <v/>
      </c>
      <c r="AW362" s="127" t="str">
        <f aca="false">IF($BL362&lt;&gt;Constants!$B$4,"",IF(NOT($AS362),"",Constants!$B$16*$AG362))</f>
        <v/>
      </c>
      <c r="AX362" s="127" t="str">
        <f aca="false">IF($BL362&lt;&gt;Constants!$B$4,"",IF(NOT($AS362),"",Constants!$B$18*INT(ROUND($AH362,6))))</f>
        <v/>
      </c>
      <c r="AY362" s="123" t="str">
        <f aca="false">IF($BL362&lt;&gt;Constants!$B$4,"",IF(NOT($AS362),"",IF(NOT($X362),Constants!$B$11,IF(OR(NOT($AC362),NOT($AD362),ROUND($AB362,1)&gt;Constants!$B$12,ROUND($Z362,1)&gt;Constants!$B$13,ROUND($AA362,1)&gt;Constants!$B$14),Constants!$B$10,Constants!$B$9))))</f>
        <v/>
      </c>
      <c r="AZ362" s="128" t="str">
        <f aca="false">IF($BL362&lt;&gt;Constants!$B$4,"",IF(NOT($AS362),"",ROUND($AU362+$AV362+$AW362+$AX362,1)))</f>
        <v/>
      </c>
      <c r="BA362" s="129" t="str">
        <f aca="false">IF($BL362&lt;&gt;Constants!$B$4,"",IF(NOT($AS362),"",IF(ISNUMBER($AF362),$AF362,0)))</f>
        <v/>
      </c>
      <c r="BB362" s="124" t="str">
        <f aca="false">IF($BL362&lt;&gt;Constants!$B$4,"",IF(NOT($BC362),"&lt;-",IF(NOT($AS362),"-&gt;",IF(OR($BI362&lt;$AY362,AND($BI362=$AY362,OR($BJ362&gt;$AZ362,AND($BJ362=$AZ362,OR($BH362&gt;$AX362,AND($BH362=$AX362,OR($BE362&gt;$AU362,AND($BE362=$AU362,OR($BF362&gt;$AV362,AND($BF362=$AV362,$BK362&gt;$BA362)))))))))),"-&gt;","&lt;-"))))</f>
        <v/>
      </c>
      <c r="BC362" s="123" t="str">
        <f aca="false">IF(ISBLANK($C362),"",COUNTA($P362:$U362)&gt;0)</f>
        <v/>
      </c>
      <c r="BD362" s="123" t="str">
        <f aca="false">IF(ISBLANK($C362),"",AND($BC362,OR(AND($AL362="",OR($AK362,NOT(ISBLANK($S362)))),$AM362="",$AN362="")))</f>
        <v/>
      </c>
      <c r="BE362" s="125" t="str">
        <f aca="false">IF($BL362&lt;&gt;Constants!$B$4,"",IF(NOT($BC362),"",ROUND((Constants!$B$12-$AB362)+(Constants!$B$13-$Z362)+(Constants!$B$14-$AA362),1)))</f>
        <v/>
      </c>
      <c r="BF362" s="127" t="str">
        <f aca="false">IF($BL362&lt;&gt;Constants!$B$4,"",IF(NOT($BC362),"",IF(NOT($AK362),0,Constants!$B$15*(INT(ROUND(MIN($AL362,$AP$9),6))-INT(ROUND(MAX(0,MIN($AL362,2*$AP$9)-$AP$9),6))))))</f>
        <v/>
      </c>
      <c r="BG362" s="127" t="str">
        <f aca="false">IF($BL362&lt;&gt;Constants!$B$4,"",IF(NOT($BC362),"",Constants!$B$16*$AM362))</f>
        <v/>
      </c>
      <c r="BH362" s="127" t="str">
        <f aca="false">IF($BL362&lt;&gt;Constants!$B$4,"",IF(NOT($BC362),"",Constants!$B$18*INT(ROUND($AN362,6))))</f>
        <v/>
      </c>
      <c r="BI362" s="123" t="str">
        <f aca="false">IF($BL362&lt;&gt;Constants!$B$4,"",IF(NOT($BC362),"",IF(NOT($X362),Constants!$B$11,IF(OR(NOT($AI362),NOT($AJ362),ROUND($AB362,1)&gt;Constants!$B$12,ROUND($Z362,1)&gt;Constants!$B$13,ROUND($AA362,1)&gt;Constants!$B$14),Constants!$B$10,Constants!$B$9))))</f>
        <v/>
      </c>
      <c r="BJ362" s="128" t="str">
        <f aca="false">IF($BL362&lt;&gt;Constants!$B$4,"",IF(NOT($BC362),"",ROUND($BE362+$BF362+$BG362+$BH362,1)))</f>
        <v/>
      </c>
      <c r="BK362" s="129" t="str">
        <f aca="false">IF($BL362&lt;&gt;Constants!$B$4,"",IF(NOT($BC362),"",IF(ISNUMBER($AL362),$AL362,0)))</f>
        <v/>
      </c>
      <c r="BL362" s="124" t="str">
        <f aca="false">IF(ISBLANK($C362),"",IF($AO362,Constants!$B$7,IF(COUNTA($E362:$V362)=0,Constants!$B$6,IF(NOT($Y362),Constants!$B$5,IF(NOT(OR($AS362,$BC362)),Constants!$B$5,IF(OR($AT362,$BD362,$AQ362,$AR362&lt;&gt;""),Constants!$B$8,Constants!$B$4))))))</f>
        <v/>
      </c>
      <c r="BM362" s="124" t="str">
        <f aca="false">IF(ISBLANK($C362),"",IF($BL362&lt;&gt;Constants!$B$4,$BL362,IF($BB362="-&gt;",$BI362,$AY362)))</f>
        <v/>
      </c>
      <c r="BN362" s="127" t="str">
        <f aca="false">IF($BL362&lt;&gt;Constants!$B$4,"",IF($BB362="-&gt;",$BJ362,$AZ362))</f>
        <v/>
      </c>
      <c r="BO362" s="127" t="str">
        <f aca="false">IF(ISBLANK($C362),"",IF($BL362&lt;&gt;Constants!$B$4,$BL362,$BN362))</f>
        <v/>
      </c>
      <c r="BP362" s="124" t="str">
        <f aca="false">IF(ISBLANK($C362),"",IF($BL362&lt;&gt;Constants!$B$4,$BL362,RANK($BO362,$BO$9:$BO$508,0)))</f>
        <v/>
      </c>
      <c r="BQ362" s="124" t="str">
        <f aca="false">IF(ISBLANK($C362),"",IF($BL362&lt;&gt;Constants!$B$4,$BL362,COUNTIFS($BM$9:$BM$508,"&lt;"&amp;$BM362)+COUNTIFS($BM$9:$BM$508,$BM362,$BP$9:$BP$508,"&lt;"&amp;$BP362)+1))</f>
        <v/>
      </c>
      <c r="BR362" s="127" t="str">
        <f aca="false">IF($BL362&lt;&gt;Constants!$B$4,"",IF($BB362="-&gt;",$BH362,$AX362))</f>
        <v/>
      </c>
      <c r="BS362" s="124" t="str">
        <f aca="false">IF(ISBLANK($C362),"",IF($BL362&lt;&gt;Constants!$B$4,$BL362,IF(ISNUMBER($BR362),RANK($BR362,$BR$9:$BR$508,0),COUNT($BR$9:$BR$508)+1)))</f>
        <v/>
      </c>
      <c r="BT362" s="127" t="str">
        <f aca="false">IF($BL362&lt;&gt;Constants!$B$4,"",IF($BB362="-&gt;",$BE362,$AU362))</f>
        <v/>
      </c>
      <c r="BU362" s="124" t="str">
        <f aca="false">IF(ISBLANK($C362),"",IF($BL362&lt;&gt;Constants!$B$4,$BL362,IF(ISNUMBER($BT362),RANK($BT362,$BT$9:$BT$508,0),COUNT($BT$9:$BT$508)+1)))</f>
        <v/>
      </c>
      <c r="BV362" s="127" t="str">
        <f aca="false">IF($BL362&lt;&gt;Constants!$B$4,"",IF($BB362="-&gt;",$BF362,$AV362))</f>
        <v/>
      </c>
      <c r="BW362" s="124" t="str">
        <f aca="false">IF(ISBLANK($C362),"",IF($BL362&lt;&gt;Constants!$B$4,$BL362,IF(ISNUMBER($BV362),RANK($BV362,$BV$9:$BV$508,0),COUNT($BV$9:$BV$508)+1)))</f>
        <v/>
      </c>
      <c r="BX362" s="127" t="str">
        <f aca="false">IF($BL362&lt;&gt;Constants!$B$4,"",IF($BB362="-&gt;",$BK362,$BA362))</f>
        <v/>
      </c>
      <c r="BY362" s="124" t="str">
        <f aca="false">IF(ISBLANK($C362),"",IF($BL362&lt;&gt;Constants!$B$4,$BL362,IF(ISNUMBER($BX362),RANK($BX362,$BX$9:$BX$508,0),COUNT($BX$9:$BX$508)+1)))</f>
        <v/>
      </c>
      <c r="BZ362" s="124" t="str">
        <f aca="false">IF(ISBLANK($C362),"",IF($BL362&lt;&gt;Constants!$B$4,$BL362,COUNTIFS($BM$9:$BM$508,"&lt;"&amp;$BM362)+COUNTIFS($BM$9:$BM$508,$BM362,$BP$9:$BP$508,"&lt;"&amp;$BP362)+COUNTIFS($BM$9:$BM$508,$BM362,$BP$9:$BP$508,$BP362,$BS$9:$BS$508,"&lt;"&amp;$BS362)+COUNTIFS($BM$9:$BM$508,$BM362,$BP$9:$BP$508,$BP362,$BS$9:$BS$508,$BS362,$BU$9:$BU$508,"&lt;"&amp;$BU362)+COUNTIFS($BM$9:$BM$508,$BM362,$BP$9:$BP$508,$BP362,$BS$9:$BS$508,$BS362,$BU$9:$BU$508,$BU362,$BW$9:$BW$508,"&lt;"&amp;$BW362)+COUNTIFS($BM$9:$BM$508,$BM362,$BP$9:$BP$508,$BP362,$BS$9:$BS$508,$BS362,$BU$9:$BU$508,$BU362,$BW$9:$BW$508,$BW362,$BY$9:$BY$508,"&lt;"&amp;$BY362)+1))</f>
        <v/>
      </c>
      <c r="CA362" s="124" t="str">
        <f aca="false">IF(ISBLANK($C362),"",IF($BL362&lt;&gt;Constants!$B$4,$BL362,$BQ362-$BZ362))</f>
        <v/>
      </c>
      <c r="CB362" s="130"/>
      <c r="CC362" s="131" t="str">
        <f aca="false">IF(ISBLANK($C362),"",IF($BL362=Constants!$B$8,$AR362,""))</f>
        <v/>
      </c>
      <c r="CD362" s="131" t="str">
        <f aca="false">IF(ISBLANK($C362),"",IF($BL362&lt;&gt;Constants!$B$4,"",IF($BB362="-&gt;",2,1)))</f>
        <v/>
      </c>
      <c r="CE362" s="132" t="str">
        <f aca="false">IF(ISBLANK($C362),"",IF($BL362&lt;&gt;Constants!$B$4,"",IF($BB362="-&gt;",$BE362,$AU362)))</f>
        <v/>
      </c>
      <c r="CF362" s="132" t="str">
        <f aca="false">IF(ISBLANK($C362),"",IF($BL362&lt;&gt;Constants!$B$4,"",IF($BB362="-&gt;",$BF362,$AV362)))</f>
        <v/>
      </c>
      <c r="CG362" s="132" t="str">
        <f aca="false">IF(ISBLANK($C362),"",IF($BL362&lt;&gt;Constants!$B$4,"",IF($BB362="-&gt;",$BG362,$AW362)))</f>
        <v/>
      </c>
      <c r="CH362" s="132" t="str">
        <f aca="false">IF(ISBLANK($C362),"",IF($BL362&lt;&gt;Constants!$B$4,"",IF($BB362="-&gt;",$BH362,$AX362)))</f>
        <v/>
      </c>
      <c r="CI362" s="133" t="str">
        <f aca="false">IF(ISBLANK($C362),"",$BO362)</f>
        <v/>
      </c>
      <c r="CJ362" s="134" t="str">
        <f aca="false">IF(ISBLANK($C362),"",$BM362)</f>
        <v/>
      </c>
      <c r="CK362" s="135" t="str">
        <f aca="false">IF(ISBLANK($C362),"",$CA362)</f>
        <v/>
      </c>
      <c r="CL362" s="135" t="str">
        <f aca="false">IF(ISBLANK($C362),"",$BZ362)</f>
        <v/>
      </c>
      <c r="CM362" s="136" t="str">
        <f aca="false">IF(ISBLANK($C362),"",IF($CL362=Constants!$B$7,COUNTA($C$9:$C$508)+2,IF($CL362=Constants!$B$6,COUNTA($C$9:$C$508)+1,IF($CL362=Constants!$B$5,COUNTA($C$9:$C$508),$CL362))))</f>
        <v/>
      </c>
      <c r="CN362" s="8"/>
      <c r="CO362" s="137" t="n">
        <f aca="false">IF(OR(ISNUMBER($CL362),$CL362=Constants!$B$7,$CL362=Constants!$B$5,$CL362=Constants!$B$6),1,0)</f>
        <v>0</v>
      </c>
      <c r="CP362" s="137" t="n">
        <v>354</v>
      </c>
      <c r="CQ362" s="137" t="str">
        <f aca="false">IF(ISBLANK($C362),"",IF(ISNUMBER($CM362),$CM362+ROW($B362)/1000,""))</f>
        <v/>
      </c>
      <c r="CR362" s="137" t="str">
        <f aca="false">IF(ISNUMBER($CQ362),RANK($CQ362,$CQ$9:$CQ$508,1),"")</f>
        <v/>
      </c>
      <c r="CS362" s="137" t="str">
        <f aca="false">IF(ISBLANK($C362),"",$B362)</f>
        <v/>
      </c>
      <c r="CT362" s="137" t="str">
        <f aca="false">IF(ISBLANK($C362),"",$C362)</f>
        <v/>
      </c>
      <c r="CU362" s="137" t="str">
        <f aca="false">IF(ISBLANK($C362),"",$D362)</f>
        <v/>
      </c>
      <c r="CV362" s="138" t="str">
        <f aca="false">$CJ362</f>
        <v/>
      </c>
      <c r="CW362" s="139" t="str">
        <f aca="false">$CI362</f>
        <v/>
      </c>
      <c r="CX362" s="137" t="str">
        <f aca="false">IF(ISBLANK($C362),"",$CL362)</f>
        <v/>
      </c>
      <c r="CY362" s="140" t="str">
        <f aca="false">IF($CP362&gt;$CO$8,"",VLOOKUP($CP362,$CR$9:$CX$508,7,FALSE()))</f>
        <v/>
      </c>
      <c r="CZ362" s="141" t="str">
        <f aca="false">IF($CP362&gt;$CO$8,"",VLOOKUP($CP362,$CR$9:$CX$508,2,FALSE()))</f>
        <v/>
      </c>
      <c r="DA362" s="141" t="str">
        <f aca="false">IF($CP362&gt;$CO$8,"",VLOOKUP($CP362,$CR$9:$CX$508,3,FALSE()))</f>
        <v/>
      </c>
      <c r="DB362" s="141" t="str">
        <f aca="false">IF($CP362&gt;$CO$8,"",VLOOKUP($CP362,$CR$9:$CX$508,4,FALSE()))</f>
        <v/>
      </c>
      <c r="DC362" s="141" t="str">
        <f aca="false">IF($CP362&gt;$CO$8,"",VLOOKUP($CP362,$CR$9:$CX$508,5,FALSE()))</f>
        <v/>
      </c>
      <c r="DD362" s="142" t="str">
        <f aca="false">IF($CP362&gt;$CO$8,"",VLOOKUP($CP362,$CR$9:$CX$508,6,FALSE()))</f>
        <v/>
      </c>
      <c r="DE362" s="70"/>
    </row>
    <row r="363" customFormat="false" ht="15.75" hidden="false" customHeight="false" outlineLevel="0" collapsed="false">
      <c r="A363" s="8"/>
      <c r="B363" s="72"/>
      <c r="C363" s="73"/>
      <c r="D363" s="155"/>
      <c r="E363" s="162"/>
      <c r="F363" s="157"/>
      <c r="G363" s="77"/>
      <c r="H363" s="77"/>
      <c r="I363" s="77"/>
      <c r="J363" s="163"/>
      <c r="K363" s="161"/>
      <c r="L363" s="161"/>
      <c r="M363" s="80"/>
      <c r="N363" s="161"/>
      <c r="O363" s="160"/>
      <c r="P363" s="161"/>
      <c r="Q363" s="161"/>
      <c r="R363" s="161"/>
      <c r="S363" s="77"/>
      <c r="T363" s="161"/>
      <c r="U363" s="160"/>
      <c r="V363" s="161"/>
      <c r="W363" s="85"/>
      <c r="X363" s="86" t="str">
        <f aca="false">IF(ISBLANK($C363),"",IF($E363=Constants!$B$2,TRUE(),IF($E363=Constants!$B$3,FALSE(),TRUE())))</f>
        <v/>
      </c>
      <c r="Y363" s="86" t="str">
        <f aca="false">IF(ISBLANK($C363),"",IF($F363=Constants!$B$2,TRUE(),IF($F363=Constants!$B$3,FALSE(),TRUE())))</f>
        <v/>
      </c>
      <c r="Z363" s="87" t="str">
        <f aca="false">IF(ISBLANK($C363),"",IF(ISNUMBER($G363),IF($G363&gt;=0,$G363,""),""))</f>
        <v/>
      </c>
      <c r="AA363" s="87" t="str">
        <f aca="false">IF(ISBLANK($C363),"",IF(ISNUMBER($H363),IF($H363&gt;=0,$H363,""),""))</f>
        <v/>
      </c>
      <c r="AB363" s="87" t="str">
        <f aca="false">IF(ISBLANK($C363),"",IF(ISNUMBER($I363),IF($I363&gt;=0,$I363,""),""))</f>
        <v/>
      </c>
      <c r="AC363" s="86" t="str">
        <f aca="false">IF(ISBLANK($C363),"",IF($J363=Constants!$B$2,TRUE(),IF($J363=Constants!$B$3,FALSE(),TRUE())))</f>
        <v/>
      </c>
      <c r="AD363" s="86" t="str">
        <f aca="false">IF(ISBLANK($C363),"",IF($K363=Constants!$B$2,TRUE(),IF($K363=Constants!$B$3,FALSE(),TRUE())))</f>
        <v/>
      </c>
      <c r="AE363" s="86" t="str">
        <f aca="false">IF(ISBLANK($C363),"",IF($L363=Constants!$B$2,TRUE(),IF($L363=Constants!$B$3,FALSE(),TRUE())))</f>
        <v/>
      </c>
      <c r="AF363" s="88" t="str">
        <f aca="false">IF(ISBLANK($C363),"",IF(ISNUMBER($M363),IF($M363&gt;=0,$M363,""),""))</f>
        <v/>
      </c>
      <c r="AG363" s="86" t="str">
        <f aca="false">IF(ISBLANK($C363),"",IF(ISBLANK($N363),0,IF(ISNUMBER($N363),IF(AND($N363&gt;=0,$N363&lt;=Constants!$B$17,$N363=INT($N363)),$N363,""),"")))</f>
        <v/>
      </c>
      <c r="AH363" s="87" t="str">
        <f aca="false">IF(ISBLANK($C363),"",IF(ISBLANK($O363),0,IF(ISNUMBER($O363),IF($O363&gt;=0,$O363,""),"")))</f>
        <v/>
      </c>
      <c r="AI363" s="86" t="str">
        <f aca="false">IF(ISBLANK($C363),"",IF($P363=Constants!$B$2,TRUE(),IF($P363=Constants!$B$3,FALSE(),TRUE())))</f>
        <v/>
      </c>
      <c r="AJ363" s="86" t="str">
        <f aca="false">IF(ISBLANK($C363),"",IF($Q363=Constants!$B$2,TRUE(),IF($Q363=Constants!$B$3,FALSE(),TRUE())))</f>
        <v/>
      </c>
      <c r="AK363" s="86" t="str">
        <f aca="false">IF(ISBLANK($C363),"",IF($R363=Constants!$B$2,TRUE(),IF($R363=Constants!$B$3,FALSE(),TRUE())))</f>
        <v/>
      </c>
      <c r="AL363" s="88" t="str">
        <f aca="false">IF(ISBLANK($C363),"",IF(ISNUMBER($S363),IF($S363&gt;=0,$S363,""),""))</f>
        <v/>
      </c>
      <c r="AM363" s="86" t="str">
        <f aca="false">IF(ISBLANK($C363),"",IF(ISBLANK($T363),0,IF(ISNUMBER($T363),IF(AND($T363&gt;=0,$T363&lt;=Constants!$B$17,$T363=INT($T363)),$T363,""),"")))</f>
        <v/>
      </c>
      <c r="AN363" s="87" t="str">
        <f aca="false">IF(ISBLANK($C363),"",IF(ISBLANK($U363),0,IF(ISNUMBER($U363),IF($U363&gt;=0,$U363,""),"")))</f>
        <v/>
      </c>
      <c r="AO363" s="86" t="str">
        <f aca="false">IF(ISBLANK($C363),"",IF($V363=Constants!$B$2,TRUE(),IF($V363=Constants!$B$3,FALSE(),FALSE())))</f>
        <v/>
      </c>
      <c r="AP363" s="86"/>
      <c r="AQ363" s="85" t="str">
        <f aca="false">IF(ISBLANK($C363),"",AND($Y363,OR($AS363,$BC363),OR($Z363="",$AA363="",$AB363="")))</f>
        <v/>
      </c>
      <c r="AR363" s="85" t="str">
        <f aca="false">IF(ISBLANK($C363),"",IF(OR(NOT($Y363),NOT(OR($AS363,$BC363))),"",IF(ISBLANK($D$7),$AR$5,IF($AP$9="",$AR$6,""))))</f>
        <v/>
      </c>
      <c r="AS363" s="85" t="str">
        <f aca="false">IF(ISBLANK($C363),"",COUNTA($J363:$O363)&gt;0)</f>
        <v/>
      </c>
      <c r="AT363" s="85" t="str">
        <f aca="false">IF(ISBLANK($C363),"",AND($AS363,OR(AND($AF363="",OR($AE363,NOT(ISBLANK($M363)))),$AG363="",$AH363="")))</f>
        <v/>
      </c>
      <c r="AU363" s="87" t="str">
        <f aca="false">IF($BL363&lt;&gt;Constants!$B$4,"",IF(NOT($AS363),"",ROUND((Constants!$B$12-$AB363)+(Constants!$B$13-$Z363)+(Constants!$B$14-$AA363),1)))</f>
        <v/>
      </c>
      <c r="AV363" s="90" t="str">
        <f aca="false">IF($BL363&lt;&gt;Constants!$B$4,"",IF(NOT($AS363),"",IF(NOT($AE363),0,Constants!$B$15*(INT(ROUND(MIN($AF363,$AP$9),6))-INT(ROUND(MAX(0,MIN($AF363,2*$AP$9)-$AP$9),6))))))</f>
        <v/>
      </c>
      <c r="AW363" s="90" t="str">
        <f aca="false">IF($BL363&lt;&gt;Constants!$B$4,"",IF(NOT($AS363),"",Constants!$B$16*$AG363))</f>
        <v/>
      </c>
      <c r="AX363" s="90" t="str">
        <f aca="false">IF($BL363&lt;&gt;Constants!$B$4,"",IF(NOT($AS363),"",Constants!$B$18*INT(ROUND($AH363,6))))</f>
        <v/>
      </c>
      <c r="AY363" s="85" t="str">
        <f aca="false">IF($BL363&lt;&gt;Constants!$B$4,"",IF(NOT($AS363),"",IF(NOT($X363),Constants!$B$11,IF(OR(NOT($AC363),NOT($AD363),ROUND($AB363,1)&gt;Constants!$B$12,ROUND($Z363,1)&gt;Constants!$B$13,ROUND($AA363,1)&gt;Constants!$B$14),Constants!$B$10,Constants!$B$9))))</f>
        <v/>
      </c>
      <c r="AZ363" s="91" t="str">
        <f aca="false">IF($BL363&lt;&gt;Constants!$B$4,"",IF(NOT($AS363),"",ROUND($AU363+$AV363+$AW363+$AX363,1)))</f>
        <v/>
      </c>
      <c r="BA363" s="92" t="str">
        <f aca="false">IF($BL363&lt;&gt;Constants!$B$4,"",IF(NOT($AS363),"",IF(ISNUMBER($AF363),$AF363,0)))</f>
        <v/>
      </c>
      <c r="BB363" s="86" t="str">
        <f aca="false">IF($BL363&lt;&gt;Constants!$B$4,"",IF(NOT($BC363),"&lt;-",IF(NOT($AS363),"-&gt;",IF(OR($BI363&lt;$AY363,AND($BI363=$AY363,OR($BJ363&gt;$AZ363,AND($BJ363=$AZ363,OR($BH363&gt;$AX363,AND($BH363=$AX363,OR($BE363&gt;$AU363,AND($BE363=$AU363,OR($BF363&gt;$AV363,AND($BF363=$AV363,$BK363&gt;$BA363)))))))))),"-&gt;","&lt;-"))))</f>
        <v/>
      </c>
      <c r="BC363" s="85" t="str">
        <f aca="false">IF(ISBLANK($C363),"",COUNTA($P363:$U363)&gt;0)</f>
        <v/>
      </c>
      <c r="BD363" s="85" t="str">
        <f aca="false">IF(ISBLANK($C363),"",AND($BC363,OR(AND($AL363="",OR($AK363,NOT(ISBLANK($S363)))),$AM363="",$AN363="")))</f>
        <v/>
      </c>
      <c r="BE363" s="87" t="str">
        <f aca="false">IF($BL363&lt;&gt;Constants!$B$4,"",IF(NOT($BC363),"",ROUND((Constants!$B$12-$AB363)+(Constants!$B$13-$Z363)+(Constants!$B$14-$AA363),1)))</f>
        <v/>
      </c>
      <c r="BF363" s="90" t="str">
        <f aca="false">IF($BL363&lt;&gt;Constants!$B$4,"",IF(NOT($BC363),"",IF(NOT($AK363),0,Constants!$B$15*(INT(ROUND(MIN($AL363,$AP$9),6))-INT(ROUND(MAX(0,MIN($AL363,2*$AP$9)-$AP$9),6))))))</f>
        <v/>
      </c>
      <c r="BG363" s="90" t="str">
        <f aca="false">IF($BL363&lt;&gt;Constants!$B$4,"",IF(NOT($BC363),"",Constants!$B$16*$AM363))</f>
        <v/>
      </c>
      <c r="BH363" s="90" t="str">
        <f aca="false">IF($BL363&lt;&gt;Constants!$B$4,"",IF(NOT($BC363),"",Constants!$B$18*INT(ROUND($AN363,6))))</f>
        <v/>
      </c>
      <c r="BI363" s="85" t="str">
        <f aca="false">IF($BL363&lt;&gt;Constants!$B$4,"",IF(NOT($BC363),"",IF(NOT($X363),Constants!$B$11,IF(OR(NOT($AI363),NOT($AJ363),ROUND($AB363,1)&gt;Constants!$B$12,ROUND($Z363,1)&gt;Constants!$B$13,ROUND($AA363,1)&gt;Constants!$B$14),Constants!$B$10,Constants!$B$9))))</f>
        <v/>
      </c>
      <c r="BJ363" s="91" t="str">
        <f aca="false">IF($BL363&lt;&gt;Constants!$B$4,"",IF(NOT($BC363),"",ROUND($BE363+$BF363+$BG363+$BH363,1)))</f>
        <v/>
      </c>
      <c r="BK363" s="92" t="str">
        <f aca="false">IF($BL363&lt;&gt;Constants!$B$4,"",IF(NOT($BC363),"",IF(ISNUMBER($AL363),$AL363,0)))</f>
        <v/>
      </c>
      <c r="BL363" s="86" t="str">
        <f aca="false">IF(ISBLANK($C363),"",IF($AO363,Constants!$B$7,IF(COUNTA($E363:$V363)=0,Constants!$B$6,IF(NOT($Y363),Constants!$B$5,IF(NOT(OR($AS363,$BC363)),Constants!$B$5,IF(OR($AT363,$BD363,$AQ363,$AR363&lt;&gt;""),Constants!$B$8,Constants!$B$4))))))</f>
        <v/>
      </c>
      <c r="BM363" s="86" t="str">
        <f aca="false">IF(ISBLANK($C363),"",IF($BL363&lt;&gt;Constants!$B$4,$BL363,IF($BB363="-&gt;",$BI363,$AY363)))</f>
        <v/>
      </c>
      <c r="BN363" s="90" t="str">
        <f aca="false">IF($BL363&lt;&gt;Constants!$B$4,"",IF($BB363="-&gt;",$BJ363,$AZ363))</f>
        <v/>
      </c>
      <c r="BO363" s="90" t="str">
        <f aca="false">IF(ISBLANK($C363),"",IF($BL363&lt;&gt;Constants!$B$4,$BL363,$BN363))</f>
        <v/>
      </c>
      <c r="BP363" s="86" t="str">
        <f aca="false">IF(ISBLANK($C363),"",IF($BL363&lt;&gt;Constants!$B$4,$BL363,RANK($BO363,$BO$9:$BO$508,0)))</f>
        <v/>
      </c>
      <c r="BQ363" s="86" t="str">
        <f aca="false">IF(ISBLANK($C363),"",IF($BL363&lt;&gt;Constants!$B$4,$BL363,COUNTIFS($BM$9:$BM$508,"&lt;"&amp;$BM363)+COUNTIFS($BM$9:$BM$508,$BM363,$BP$9:$BP$508,"&lt;"&amp;$BP363)+1))</f>
        <v/>
      </c>
      <c r="BR363" s="90" t="str">
        <f aca="false">IF($BL363&lt;&gt;Constants!$B$4,"",IF($BB363="-&gt;",$BH363,$AX363))</f>
        <v/>
      </c>
      <c r="BS363" s="86" t="str">
        <f aca="false">IF(ISBLANK($C363),"",IF($BL363&lt;&gt;Constants!$B$4,$BL363,IF(ISNUMBER($BR363),RANK($BR363,$BR$9:$BR$508,0),COUNT($BR$9:$BR$508)+1)))</f>
        <v/>
      </c>
      <c r="BT363" s="90" t="str">
        <f aca="false">IF($BL363&lt;&gt;Constants!$B$4,"",IF($BB363="-&gt;",$BE363,$AU363))</f>
        <v/>
      </c>
      <c r="BU363" s="86" t="str">
        <f aca="false">IF(ISBLANK($C363),"",IF($BL363&lt;&gt;Constants!$B$4,$BL363,IF(ISNUMBER($BT363),RANK($BT363,$BT$9:$BT$508,0),COUNT($BT$9:$BT$508)+1)))</f>
        <v/>
      </c>
      <c r="BV363" s="90" t="str">
        <f aca="false">IF($BL363&lt;&gt;Constants!$B$4,"",IF($BB363="-&gt;",$BF363,$AV363))</f>
        <v/>
      </c>
      <c r="BW363" s="86" t="str">
        <f aca="false">IF(ISBLANK($C363),"",IF($BL363&lt;&gt;Constants!$B$4,$BL363,IF(ISNUMBER($BV363),RANK($BV363,$BV$9:$BV$508,0),COUNT($BV$9:$BV$508)+1)))</f>
        <v/>
      </c>
      <c r="BX363" s="90" t="str">
        <f aca="false">IF($BL363&lt;&gt;Constants!$B$4,"",IF($BB363="-&gt;",$BK363,$BA363))</f>
        <v/>
      </c>
      <c r="BY363" s="86" t="str">
        <f aca="false">IF(ISBLANK($C363),"",IF($BL363&lt;&gt;Constants!$B$4,$BL363,IF(ISNUMBER($BX363),RANK($BX363,$BX$9:$BX$508,0),COUNT($BX$9:$BX$508)+1)))</f>
        <v/>
      </c>
      <c r="BZ363" s="86" t="str">
        <f aca="false">IF(ISBLANK($C363),"",IF($BL363&lt;&gt;Constants!$B$4,$BL363,COUNTIFS($BM$9:$BM$508,"&lt;"&amp;$BM363)+COUNTIFS($BM$9:$BM$508,$BM363,$BP$9:$BP$508,"&lt;"&amp;$BP363)+COUNTIFS($BM$9:$BM$508,$BM363,$BP$9:$BP$508,$BP363,$BS$9:$BS$508,"&lt;"&amp;$BS363)+COUNTIFS($BM$9:$BM$508,$BM363,$BP$9:$BP$508,$BP363,$BS$9:$BS$508,$BS363,$BU$9:$BU$508,"&lt;"&amp;$BU363)+COUNTIFS($BM$9:$BM$508,$BM363,$BP$9:$BP$508,$BP363,$BS$9:$BS$508,$BS363,$BU$9:$BU$508,$BU363,$BW$9:$BW$508,"&lt;"&amp;$BW363)+COUNTIFS($BM$9:$BM$508,$BM363,$BP$9:$BP$508,$BP363,$BS$9:$BS$508,$BS363,$BU$9:$BU$508,$BU363,$BW$9:$BW$508,$BW363,$BY$9:$BY$508,"&lt;"&amp;$BY363)+1))</f>
        <v/>
      </c>
      <c r="CA363" s="86" t="str">
        <f aca="false">IF(ISBLANK($C363),"",IF($BL363&lt;&gt;Constants!$B$4,$BL363,$BQ363-$BZ363))</f>
        <v/>
      </c>
      <c r="CB363" s="93"/>
      <c r="CC363" s="94" t="str">
        <f aca="false">IF(ISBLANK($C363),"",IF($BL363=Constants!$B$8,$AR363,""))</f>
        <v/>
      </c>
      <c r="CD363" s="94" t="str">
        <f aca="false">IF(ISBLANK($C363),"",IF($BL363&lt;&gt;Constants!$B$4,"",IF($BB363="-&gt;",2,1)))</f>
        <v/>
      </c>
      <c r="CE363" s="95" t="str">
        <f aca="false">IF(ISBLANK($C363),"",IF($BL363&lt;&gt;Constants!$B$4,"",IF($BB363="-&gt;",$BE363,$AU363)))</f>
        <v/>
      </c>
      <c r="CF363" s="95" t="str">
        <f aca="false">IF(ISBLANK($C363),"",IF($BL363&lt;&gt;Constants!$B$4,"",IF($BB363="-&gt;",$BF363,$AV363)))</f>
        <v/>
      </c>
      <c r="CG363" s="95" t="str">
        <f aca="false">IF(ISBLANK($C363),"",IF($BL363&lt;&gt;Constants!$B$4,"",IF($BB363="-&gt;",$BG363,$AW363)))</f>
        <v/>
      </c>
      <c r="CH363" s="95" t="str">
        <f aca="false">IF(ISBLANK($C363),"",IF($BL363&lt;&gt;Constants!$B$4,"",IF($BB363="-&gt;",$BH363,$AX363)))</f>
        <v/>
      </c>
      <c r="CI363" s="96" t="str">
        <f aca="false">IF(ISBLANK($C363),"",$BO363)</f>
        <v/>
      </c>
      <c r="CJ363" s="97" t="str">
        <f aca="false">IF(ISBLANK($C363),"",$BM363)</f>
        <v/>
      </c>
      <c r="CK363" s="98" t="str">
        <f aca="false">IF(ISBLANK($C363),"",$CA363)</f>
        <v/>
      </c>
      <c r="CL363" s="98" t="str">
        <f aca="false">IF(ISBLANK($C363),"",$BZ363)</f>
        <v/>
      </c>
      <c r="CM363" s="99" t="str">
        <f aca="false">IF(ISBLANK($C363),"",IF($CL363=Constants!$B$7,COUNTA($C$9:$C$508)+2,IF($CL363=Constants!$B$6,COUNTA($C$9:$C$508)+1,IF($CL363=Constants!$B$5,COUNTA($C$9:$C$508),$CL363))))</f>
        <v/>
      </c>
      <c r="CN363" s="8"/>
      <c r="CO363" s="100" t="n">
        <f aca="false">IF(OR(ISNUMBER($CL363),$CL363=Constants!$B$7,$CL363=Constants!$B$5,$CL363=Constants!$B$6),1,0)</f>
        <v>0</v>
      </c>
      <c r="CP363" s="100" t="n">
        <v>355</v>
      </c>
      <c r="CQ363" s="100" t="str">
        <f aca="false">IF(ISBLANK($C363),"",IF(ISNUMBER($CM363),$CM363+ROW($B363)/1000,""))</f>
        <v/>
      </c>
      <c r="CR363" s="100" t="str">
        <f aca="false">IF(ISNUMBER($CQ363),RANK($CQ363,$CQ$9:$CQ$508,1),"")</f>
        <v/>
      </c>
      <c r="CS363" s="100" t="str">
        <f aca="false">IF(ISBLANK($C363),"",$B363)</f>
        <v/>
      </c>
      <c r="CT363" s="100" t="str">
        <f aca="false">IF(ISBLANK($C363),"",$C363)</f>
        <v/>
      </c>
      <c r="CU363" s="100" t="str">
        <f aca="false">IF(ISBLANK($C363),"",$D363)</f>
        <v/>
      </c>
      <c r="CV363" s="101" t="str">
        <f aca="false">$CJ363</f>
        <v/>
      </c>
      <c r="CW363" s="102" t="str">
        <f aca="false">$CI363</f>
        <v/>
      </c>
      <c r="CX363" s="100" t="str">
        <f aca="false">IF(ISBLANK($C363),"",$CL363)</f>
        <v/>
      </c>
      <c r="CY363" s="103" t="str">
        <f aca="false">IF($CP363&gt;$CO$8,"",VLOOKUP($CP363,$CR$9:$CX$508,7,FALSE()))</f>
        <v/>
      </c>
      <c r="CZ363" s="104" t="str">
        <f aca="false">IF($CP363&gt;$CO$8,"",VLOOKUP($CP363,$CR$9:$CX$508,2,FALSE()))</f>
        <v/>
      </c>
      <c r="DA363" s="104" t="str">
        <f aca="false">IF($CP363&gt;$CO$8,"",VLOOKUP($CP363,$CR$9:$CX$508,3,FALSE()))</f>
        <v/>
      </c>
      <c r="DB363" s="104" t="str">
        <f aca="false">IF($CP363&gt;$CO$8,"",VLOOKUP($CP363,$CR$9:$CX$508,4,FALSE()))</f>
        <v/>
      </c>
      <c r="DC363" s="104" t="str">
        <f aca="false">IF($CP363&gt;$CO$8,"",VLOOKUP($CP363,$CR$9:$CX$508,5,FALSE()))</f>
        <v/>
      </c>
      <c r="DD363" s="105" t="str">
        <f aca="false">IF($CP363&gt;$CO$8,"",VLOOKUP($CP363,$CR$9:$CX$508,6,FALSE()))</f>
        <v/>
      </c>
      <c r="DE363" s="70"/>
    </row>
    <row r="364" customFormat="false" ht="15.75" hidden="false" customHeight="false" outlineLevel="0" collapsed="false">
      <c r="A364" s="8"/>
      <c r="B364" s="72"/>
      <c r="C364" s="73"/>
      <c r="D364" s="155"/>
      <c r="E364" s="162"/>
      <c r="F364" s="157"/>
      <c r="G364" s="77"/>
      <c r="H364" s="77"/>
      <c r="I364" s="77"/>
      <c r="J364" s="163"/>
      <c r="K364" s="161"/>
      <c r="L364" s="161"/>
      <c r="M364" s="80"/>
      <c r="N364" s="161"/>
      <c r="O364" s="160"/>
      <c r="P364" s="161"/>
      <c r="Q364" s="161"/>
      <c r="R364" s="161"/>
      <c r="S364" s="77"/>
      <c r="T364" s="161"/>
      <c r="U364" s="160"/>
      <c r="V364" s="161"/>
      <c r="W364" s="85"/>
      <c r="X364" s="86" t="str">
        <f aca="false">IF(ISBLANK($C364),"",IF($E364=Constants!$B$2,TRUE(),IF($E364=Constants!$B$3,FALSE(),TRUE())))</f>
        <v/>
      </c>
      <c r="Y364" s="86" t="str">
        <f aca="false">IF(ISBLANK($C364),"",IF($F364=Constants!$B$2,TRUE(),IF($F364=Constants!$B$3,FALSE(),TRUE())))</f>
        <v/>
      </c>
      <c r="Z364" s="87" t="str">
        <f aca="false">IF(ISBLANK($C364),"",IF(ISNUMBER($G364),IF($G364&gt;=0,$G364,""),""))</f>
        <v/>
      </c>
      <c r="AA364" s="87" t="str">
        <f aca="false">IF(ISBLANK($C364),"",IF(ISNUMBER($H364),IF($H364&gt;=0,$H364,""),""))</f>
        <v/>
      </c>
      <c r="AB364" s="87" t="str">
        <f aca="false">IF(ISBLANK($C364),"",IF(ISNUMBER($I364),IF($I364&gt;=0,$I364,""),""))</f>
        <v/>
      </c>
      <c r="AC364" s="86" t="str">
        <f aca="false">IF(ISBLANK($C364),"",IF($J364=Constants!$B$2,TRUE(),IF($J364=Constants!$B$3,FALSE(),TRUE())))</f>
        <v/>
      </c>
      <c r="AD364" s="86" t="str">
        <f aca="false">IF(ISBLANK($C364),"",IF($K364=Constants!$B$2,TRUE(),IF($K364=Constants!$B$3,FALSE(),TRUE())))</f>
        <v/>
      </c>
      <c r="AE364" s="86" t="str">
        <f aca="false">IF(ISBLANK($C364),"",IF($L364=Constants!$B$2,TRUE(),IF($L364=Constants!$B$3,FALSE(),TRUE())))</f>
        <v/>
      </c>
      <c r="AF364" s="88" t="str">
        <f aca="false">IF(ISBLANK($C364),"",IF(ISNUMBER($M364),IF($M364&gt;=0,$M364,""),""))</f>
        <v/>
      </c>
      <c r="AG364" s="86" t="str">
        <f aca="false">IF(ISBLANK($C364),"",IF(ISBLANK($N364),0,IF(ISNUMBER($N364),IF(AND($N364&gt;=0,$N364&lt;=Constants!$B$17,$N364=INT($N364)),$N364,""),"")))</f>
        <v/>
      </c>
      <c r="AH364" s="87" t="str">
        <f aca="false">IF(ISBLANK($C364),"",IF(ISBLANK($O364),0,IF(ISNUMBER($O364),IF($O364&gt;=0,$O364,""),"")))</f>
        <v/>
      </c>
      <c r="AI364" s="86" t="str">
        <f aca="false">IF(ISBLANK($C364),"",IF($P364=Constants!$B$2,TRUE(),IF($P364=Constants!$B$3,FALSE(),TRUE())))</f>
        <v/>
      </c>
      <c r="AJ364" s="86" t="str">
        <f aca="false">IF(ISBLANK($C364),"",IF($Q364=Constants!$B$2,TRUE(),IF($Q364=Constants!$B$3,FALSE(),TRUE())))</f>
        <v/>
      </c>
      <c r="AK364" s="86" t="str">
        <f aca="false">IF(ISBLANK($C364),"",IF($R364=Constants!$B$2,TRUE(),IF($R364=Constants!$B$3,FALSE(),TRUE())))</f>
        <v/>
      </c>
      <c r="AL364" s="88" t="str">
        <f aca="false">IF(ISBLANK($C364),"",IF(ISNUMBER($S364),IF($S364&gt;=0,$S364,""),""))</f>
        <v/>
      </c>
      <c r="AM364" s="86" t="str">
        <f aca="false">IF(ISBLANK($C364),"",IF(ISBLANK($T364),0,IF(ISNUMBER($T364),IF(AND($T364&gt;=0,$T364&lt;=Constants!$B$17,$T364=INT($T364)),$T364,""),"")))</f>
        <v/>
      </c>
      <c r="AN364" s="87" t="str">
        <f aca="false">IF(ISBLANK($C364),"",IF(ISBLANK($U364),0,IF(ISNUMBER($U364),IF($U364&gt;=0,$U364,""),"")))</f>
        <v/>
      </c>
      <c r="AO364" s="86" t="str">
        <f aca="false">IF(ISBLANK($C364),"",IF($V364=Constants!$B$2,TRUE(),IF($V364=Constants!$B$3,FALSE(),FALSE())))</f>
        <v/>
      </c>
      <c r="AP364" s="86"/>
      <c r="AQ364" s="85" t="str">
        <f aca="false">IF(ISBLANK($C364),"",AND($Y364,OR($AS364,$BC364),OR($Z364="",$AA364="",$AB364="")))</f>
        <v/>
      </c>
      <c r="AR364" s="85" t="str">
        <f aca="false">IF(ISBLANK($C364),"",IF(OR(NOT($Y364),NOT(OR($AS364,$BC364))),"",IF(ISBLANK($D$7),$AR$5,IF($AP$9="",$AR$6,""))))</f>
        <v/>
      </c>
      <c r="AS364" s="85" t="str">
        <f aca="false">IF(ISBLANK($C364),"",COUNTA($J364:$O364)&gt;0)</f>
        <v/>
      </c>
      <c r="AT364" s="85" t="str">
        <f aca="false">IF(ISBLANK($C364),"",AND($AS364,OR(AND($AF364="",OR($AE364,NOT(ISBLANK($M364)))),$AG364="",$AH364="")))</f>
        <v/>
      </c>
      <c r="AU364" s="87" t="str">
        <f aca="false">IF($BL364&lt;&gt;Constants!$B$4,"",IF(NOT($AS364),"",ROUND((Constants!$B$12-$AB364)+(Constants!$B$13-$Z364)+(Constants!$B$14-$AA364),1)))</f>
        <v/>
      </c>
      <c r="AV364" s="90" t="str">
        <f aca="false">IF($BL364&lt;&gt;Constants!$B$4,"",IF(NOT($AS364),"",IF(NOT($AE364),0,Constants!$B$15*(INT(ROUND(MIN($AF364,$AP$9),6))-INT(ROUND(MAX(0,MIN($AF364,2*$AP$9)-$AP$9),6))))))</f>
        <v/>
      </c>
      <c r="AW364" s="90" t="str">
        <f aca="false">IF($BL364&lt;&gt;Constants!$B$4,"",IF(NOT($AS364),"",Constants!$B$16*$AG364))</f>
        <v/>
      </c>
      <c r="AX364" s="90" t="str">
        <f aca="false">IF($BL364&lt;&gt;Constants!$B$4,"",IF(NOT($AS364),"",Constants!$B$18*INT(ROUND($AH364,6))))</f>
        <v/>
      </c>
      <c r="AY364" s="85" t="str">
        <f aca="false">IF($BL364&lt;&gt;Constants!$B$4,"",IF(NOT($AS364),"",IF(NOT($X364),Constants!$B$11,IF(OR(NOT($AC364),NOT($AD364),ROUND($AB364,1)&gt;Constants!$B$12,ROUND($Z364,1)&gt;Constants!$B$13,ROUND($AA364,1)&gt;Constants!$B$14),Constants!$B$10,Constants!$B$9))))</f>
        <v/>
      </c>
      <c r="AZ364" s="91" t="str">
        <f aca="false">IF($BL364&lt;&gt;Constants!$B$4,"",IF(NOT($AS364),"",ROUND($AU364+$AV364+$AW364+$AX364,1)))</f>
        <v/>
      </c>
      <c r="BA364" s="92" t="str">
        <f aca="false">IF($BL364&lt;&gt;Constants!$B$4,"",IF(NOT($AS364),"",IF(ISNUMBER($AF364),$AF364,0)))</f>
        <v/>
      </c>
      <c r="BB364" s="86" t="str">
        <f aca="false">IF($BL364&lt;&gt;Constants!$B$4,"",IF(NOT($BC364),"&lt;-",IF(NOT($AS364),"-&gt;",IF(OR($BI364&lt;$AY364,AND($BI364=$AY364,OR($BJ364&gt;$AZ364,AND($BJ364=$AZ364,OR($BH364&gt;$AX364,AND($BH364=$AX364,OR($BE364&gt;$AU364,AND($BE364=$AU364,OR($BF364&gt;$AV364,AND($BF364=$AV364,$BK364&gt;$BA364)))))))))),"-&gt;","&lt;-"))))</f>
        <v/>
      </c>
      <c r="BC364" s="85" t="str">
        <f aca="false">IF(ISBLANK($C364),"",COUNTA($P364:$U364)&gt;0)</f>
        <v/>
      </c>
      <c r="BD364" s="85" t="str">
        <f aca="false">IF(ISBLANK($C364),"",AND($BC364,OR(AND($AL364="",OR($AK364,NOT(ISBLANK($S364)))),$AM364="",$AN364="")))</f>
        <v/>
      </c>
      <c r="BE364" s="87" t="str">
        <f aca="false">IF($BL364&lt;&gt;Constants!$B$4,"",IF(NOT($BC364),"",ROUND((Constants!$B$12-$AB364)+(Constants!$B$13-$Z364)+(Constants!$B$14-$AA364),1)))</f>
        <v/>
      </c>
      <c r="BF364" s="90" t="str">
        <f aca="false">IF($BL364&lt;&gt;Constants!$B$4,"",IF(NOT($BC364),"",IF(NOT($AK364),0,Constants!$B$15*(INT(ROUND(MIN($AL364,$AP$9),6))-INT(ROUND(MAX(0,MIN($AL364,2*$AP$9)-$AP$9),6))))))</f>
        <v/>
      </c>
      <c r="BG364" s="90" t="str">
        <f aca="false">IF($BL364&lt;&gt;Constants!$B$4,"",IF(NOT($BC364),"",Constants!$B$16*$AM364))</f>
        <v/>
      </c>
      <c r="BH364" s="90" t="str">
        <f aca="false">IF($BL364&lt;&gt;Constants!$B$4,"",IF(NOT($BC364),"",Constants!$B$18*INT(ROUND($AN364,6))))</f>
        <v/>
      </c>
      <c r="BI364" s="85" t="str">
        <f aca="false">IF($BL364&lt;&gt;Constants!$B$4,"",IF(NOT($BC364),"",IF(NOT($X364),Constants!$B$11,IF(OR(NOT($AI364),NOT($AJ364),ROUND($AB364,1)&gt;Constants!$B$12,ROUND($Z364,1)&gt;Constants!$B$13,ROUND($AA364,1)&gt;Constants!$B$14),Constants!$B$10,Constants!$B$9))))</f>
        <v/>
      </c>
      <c r="BJ364" s="91" t="str">
        <f aca="false">IF($BL364&lt;&gt;Constants!$B$4,"",IF(NOT($BC364),"",ROUND($BE364+$BF364+$BG364+$BH364,1)))</f>
        <v/>
      </c>
      <c r="BK364" s="92" t="str">
        <f aca="false">IF($BL364&lt;&gt;Constants!$B$4,"",IF(NOT($BC364),"",IF(ISNUMBER($AL364),$AL364,0)))</f>
        <v/>
      </c>
      <c r="BL364" s="86" t="str">
        <f aca="false">IF(ISBLANK($C364),"",IF($AO364,Constants!$B$7,IF(COUNTA($E364:$V364)=0,Constants!$B$6,IF(NOT($Y364),Constants!$B$5,IF(NOT(OR($AS364,$BC364)),Constants!$B$5,IF(OR($AT364,$BD364,$AQ364,$AR364&lt;&gt;""),Constants!$B$8,Constants!$B$4))))))</f>
        <v/>
      </c>
      <c r="BM364" s="86" t="str">
        <f aca="false">IF(ISBLANK($C364),"",IF($BL364&lt;&gt;Constants!$B$4,$BL364,IF($BB364="-&gt;",$BI364,$AY364)))</f>
        <v/>
      </c>
      <c r="BN364" s="90" t="str">
        <f aca="false">IF($BL364&lt;&gt;Constants!$B$4,"",IF($BB364="-&gt;",$BJ364,$AZ364))</f>
        <v/>
      </c>
      <c r="BO364" s="90" t="str">
        <f aca="false">IF(ISBLANK($C364),"",IF($BL364&lt;&gt;Constants!$B$4,$BL364,$BN364))</f>
        <v/>
      </c>
      <c r="BP364" s="86" t="str">
        <f aca="false">IF(ISBLANK($C364),"",IF($BL364&lt;&gt;Constants!$B$4,$BL364,RANK($BO364,$BO$9:$BO$508,0)))</f>
        <v/>
      </c>
      <c r="BQ364" s="86" t="str">
        <f aca="false">IF(ISBLANK($C364),"",IF($BL364&lt;&gt;Constants!$B$4,$BL364,COUNTIFS($BM$9:$BM$508,"&lt;"&amp;$BM364)+COUNTIFS($BM$9:$BM$508,$BM364,$BP$9:$BP$508,"&lt;"&amp;$BP364)+1))</f>
        <v/>
      </c>
      <c r="BR364" s="90" t="str">
        <f aca="false">IF($BL364&lt;&gt;Constants!$B$4,"",IF($BB364="-&gt;",$BH364,$AX364))</f>
        <v/>
      </c>
      <c r="BS364" s="86" t="str">
        <f aca="false">IF(ISBLANK($C364),"",IF($BL364&lt;&gt;Constants!$B$4,$BL364,IF(ISNUMBER($BR364),RANK($BR364,$BR$9:$BR$508,0),COUNT($BR$9:$BR$508)+1)))</f>
        <v/>
      </c>
      <c r="BT364" s="90" t="str">
        <f aca="false">IF($BL364&lt;&gt;Constants!$B$4,"",IF($BB364="-&gt;",$BE364,$AU364))</f>
        <v/>
      </c>
      <c r="BU364" s="86" t="str">
        <f aca="false">IF(ISBLANK($C364),"",IF($BL364&lt;&gt;Constants!$B$4,$BL364,IF(ISNUMBER($BT364),RANK($BT364,$BT$9:$BT$508,0),COUNT($BT$9:$BT$508)+1)))</f>
        <v/>
      </c>
      <c r="BV364" s="90" t="str">
        <f aca="false">IF($BL364&lt;&gt;Constants!$B$4,"",IF($BB364="-&gt;",$BF364,$AV364))</f>
        <v/>
      </c>
      <c r="BW364" s="86" t="str">
        <f aca="false">IF(ISBLANK($C364),"",IF($BL364&lt;&gt;Constants!$B$4,$BL364,IF(ISNUMBER($BV364),RANK($BV364,$BV$9:$BV$508,0),COUNT($BV$9:$BV$508)+1)))</f>
        <v/>
      </c>
      <c r="BX364" s="90" t="str">
        <f aca="false">IF($BL364&lt;&gt;Constants!$B$4,"",IF($BB364="-&gt;",$BK364,$BA364))</f>
        <v/>
      </c>
      <c r="BY364" s="86" t="str">
        <f aca="false">IF(ISBLANK($C364),"",IF($BL364&lt;&gt;Constants!$B$4,$BL364,IF(ISNUMBER($BX364),RANK($BX364,$BX$9:$BX$508,0),COUNT($BX$9:$BX$508)+1)))</f>
        <v/>
      </c>
      <c r="BZ364" s="86" t="str">
        <f aca="false">IF(ISBLANK($C364),"",IF($BL364&lt;&gt;Constants!$B$4,$BL364,COUNTIFS($BM$9:$BM$508,"&lt;"&amp;$BM364)+COUNTIFS($BM$9:$BM$508,$BM364,$BP$9:$BP$508,"&lt;"&amp;$BP364)+COUNTIFS($BM$9:$BM$508,$BM364,$BP$9:$BP$508,$BP364,$BS$9:$BS$508,"&lt;"&amp;$BS364)+COUNTIFS($BM$9:$BM$508,$BM364,$BP$9:$BP$508,$BP364,$BS$9:$BS$508,$BS364,$BU$9:$BU$508,"&lt;"&amp;$BU364)+COUNTIFS($BM$9:$BM$508,$BM364,$BP$9:$BP$508,$BP364,$BS$9:$BS$508,$BS364,$BU$9:$BU$508,$BU364,$BW$9:$BW$508,"&lt;"&amp;$BW364)+COUNTIFS($BM$9:$BM$508,$BM364,$BP$9:$BP$508,$BP364,$BS$9:$BS$508,$BS364,$BU$9:$BU$508,$BU364,$BW$9:$BW$508,$BW364,$BY$9:$BY$508,"&lt;"&amp;$BY364)+1))</f>
        <v/>
      </c>
      <c r="CA364" s="86" t="str">
        <f aca="false">IF(ISBLANK($C364),"",IF($BL364&lt;&gt;Constants!$B$4,$BL364,$BQ364-$BZ364))</f>
        <v/>
      </c>
      <c r="CB364" s="93"/>
      <c r="CC364" s="94" t="str">
        <f aca="false">IF(ISBLANK($C364),"",IF($BL364=Constants!$B$8,$AR364,""))</f>
        <v/>
      </c>
      <c r="CD364" s="94" t="str">
        <f aca="false">IF(ISBLANK($C364),"",IF($BL364&lt;&gt;Constants!$B$4,"",IF($BB364="-&gt;",2,1)))</f>
        <v/>
      </c>
      <c r="CE364" s="95" t="str">
        <f aca="false">IF(ISBLANK($C364),"",IF($BL364&lt;&gt;Constants!$B$4,"",IF($BB364="-&gt;",$BE364,$AU364)))</f>
        <v/>
      </c>
      <c r="CF364" s="95" t="str">
        <f aca="false">IF(ISBLANK($C364),"",IF($BL364&lt;&gt;Constants!$B$4,"",IF($BB364="-&gt;",$BF364,$AV364)))</f>
        <v/>
      </c>
      <c r="CG364" s="95" t="str">
        <f aca="false">IF(ISBLANK($C364),"",IF($BL364&lt;&gt;Constants!$B$4,"",IF($BB364="-&gt;",$BG364,$AW364)))</f>
        <v/>
      </c>
      <c r="CH364" s="95" t="str">
        <f aca="false">IF(ISBLANK($C364),"",IF($BL364&lt;&gt;Constants!$B$4,"",IF($BB364="-&gt;",$BH364,$AX364)))</f>
        <v/>
      </c>
      <c r="CI364" s="96" t="str">
        <f aca="false">IF(ISBLANK($C364),"",$BO364)</f>
        <v/>
      </c>
      <c r="CJ364" s="97" t="str">
        <f aca="false">IF(ISBLANK($C364),"",$BM364)</f>
        <v/>
      </c>
      <c r="CK364" s="98" t="str">
        <f aca="false">IF(ISBLANK($C364),"",$CA364)</f>
        <v/>
      </c>
      <c r="CL364" s="98" t="str">
        <f aca="false">IF(ISBLANK($C364),"",$BZ364)</f>
        <v/>
      </c>
      <c r="CM364" s="99" t="str">
        <f aca="false">IF(ISBLANK($C364),"",IF($CL364=Constants!$B$7,COUNTA($C$9:$C$508)+2,IF($CL364=Constants!$B$6,COUNTA($C$9:$C$508)+1,IF($CL364=Constants!$B$5,COUNTA($C$9:$C$508),$CL364))))</f>
        <v/>
      </c>
      <c r="CN364" s="8"/>
      <c r="CO364" s="100" t="n">
        <f aca="false">IF(OR(ISNUMBER($CL364),$CL364=Constants!$B$7,$CL364=Constants!$B$5,$CL364=Constants!$B$6),1,0)</f>
        <v>0</v>
      </c>
      <c r="CP364" s="100" t="n">
        <v>356</v>
      </c>
      <c r="CQ364" s="100" t="str">
        <f aca="false">IF(ISBLANK($C364),"",IF(ISNUMBER($CM364),$CM364+ROW($B364)/1000,""))</f>
        <v/>
      </c>
      <c r="CR364" s="100" t="str">
        <f aca="false">IF(ISNUMBER($CQ364),RANK($CQ364,$CQ$9:$CQ$508,1),"")</f>
        <v/>
      </c>
      <c r="CS364" s="100" t="str">
        <f aca="false">IF(ISBLANK($C364),"",$B364)</f>
        <v/>
      </c>
      <c r="CT364" s="100" t="str">
        <f aca="false">IF(ISBLANK($C364),"",$C364)</f>
        <v/>
      </c>
      <c r="CU364" s="100" t="str">
        <f aca="false">IF(ISBLANK($C364),"",$D364)</f>
        <v/>
      </c>
      <c r="CV364" s="101" t="str">
        <f aca="false">$CJ364</f>
        <v/>
      </c>
      <c r="CW364" s="102" t="str">
        <f aca="false">$CI364</f>
        <v/>
      </c>
      <c r="CX364" s="100" t="str">
        <f aca="false">IF(ISBLANK($C364),"",$CL364)</f>
        <v/>
      </c>
      <c r="CY364" s="103" t="str">
        <f aca="false">IF($CP364&gt;$CO$8,"",VLOOKUP($CP364,$CR$9:$CX$508,7,FALSE()))</f>
        <v/>
      </c>
      <c r="CZ364" s="104" t="str">
        <f aca="false">IF($CP364&gt;$CO$8,"",VLOOKUP($CP364,$CR$9:$CX$508,2,FALSE()))</f>
        <v/>
      </c>
      <c r="DA364" s="104" t="str">
        <f aca="false">IF($CP364&gt;$CO$8,"",VLOOKUP($CP364,$CR$9:$CX$508,3,FALSE()))</f>
        <v/>
      </c>
      <c r="DB364" s="104" t="str">
        <f aca="false">IF($CP364&gt;$CO$8,"",VLOOKUP($CP364,$CR$9:$CX$508,4,FALSE()))</f>
        <v/>
      </c>
      <c r="DC364" s="104" t="str">
        <f aca="false">IF($CP364&gt;$CO$8,"",VLOOKUP($CP364,$CR$9:$CX$508,5,FALSE()))</f>
        <v/>
      </c>
      <c r="DD364" s="105" t="str">
        <f aca="false">IF($CP364&gt;$CO$8,"",VLOOKUP($CP364,$CR$9:$CX$508,6,FALSE()))</f>
        <v/>
      </c>
      <c r="DE364" s="70"/>
    </row>
    <row r="365" customFormat="false" ht="15.75" hidden="false" customHeight="false" outlineLevel="0" collapsed="false">
      <c r="A365" s="8"/>
      <c r="B365" s="72"/>
      <c r="C365" s="73"/>
      <c r="D365" s="155"/>
      <c r="E365" s="162"/>
      <c r="F365" s="157"/>
      <c r="G365" s="77"/>
      <c r="H365" s="77"/>
      <c r="I365" s="77"/>
      <c r="J365" s="163"/>
      <c r="K365" s="161"/>
      <c r="L365" s="161"/>
      <c r="M365" s="80"/>
      <c r="N365" s="161"/>
      <c r="O365" s="160"/>
      <c r="P365" s="161"/>
      <c r="Q365" s="161"/>
      <c r="R365" s="161"/>
      <c r="S365" s="77"/>
      <c r="T365" s="161"/>
      <c r="U365" s="160"/>
      <c r="V365" s="161"/>
      <c r="W365" s="85"/>
      <c r="X365" s="86" t="str">
        <f aca="false">IF(ISBLANK($C365),"",IF($E365=Constants!$B$2,TRUE(),IF($E365=Constants!$B$3,FALSE(),TRUE())))</f>
        <v/>
      </c>
      <c r="Y365" s="86" t="str">
        <f aca="false">IF(ISBLANK($C365),"",IF($F365=Constants!$B$2,TRUE(),IF($F365=Constants!$B$3,FALSE(),TRUE())))</f>
        <v/>
      </c>
      <c r="Z365" s="87" t="str">
        <f aca="false">IF(ISBLANK($C365),"",IF(ISNUMBER($G365),IF($G365&gt;=0,$G365,""),""))</f>
        <v/>
      </c>
      <c r="AA365" s="87" t="str">
        <f aca="false">IF(ISBLANK($C365),"",IF(ISNUMBER($H365),IF($H365&gt;=0,$H365,""),""))</f>
        <v/>
      </c>
      <c r="AB365" s="87" t="str">
        <f aca="false">IF(ISBLANK($C365),"",IF(ISNUMBER($I365),IF($I365&gt;=0,$I365,""),""))</f>
        <v/>
      </c>
      <c r="AC365" s="86" t="str">
        <f aca="false">IF(ISBLANK($C365),"",IF($J365=Constants!$B$2,TRUE(),IF($J365=Constants!$B$3,FALSE(),TRUE())))</f>
        <v/>
      </c>
      <c r="AD365" s="86" t="str">
        <f aca="false">IF(ISBLANK($C365),"",IF($K365=Constants!$B$2,TRUE(),IF($K365=Constants!$B$3,FALSE(),TRUE())))</f>
        <v/>
      </c>
      <c r="AE365" s="86" t="str">
        <f aca="false">IF(ISBLANK($C365),"",IF($L365=Constants!$B$2,TRUE(),IF($L365=Constants!$B$3,FALSE(),TRUE())))</f>
        <v/>
      </c>
      <c r="AF365" s="88" t="str">
        <f aca="false">IF(ISBLANK($C365),"",IF(ISNUMBER($M365),IF($M365&gt;=0,$M365,""),""))</f>
        <v/>
      </c>
      <c r="AG365" s="86" t="str">
        <f aca="false">IF(ISBLANK($C365),"",IF(ISBLANK($N365),0,IF(ISNUMBER($N365),IF(AND($N365&gt;=0,$N365&lt;=Constants!$B$17,$N365=INT($N365)),$N365,""),"")))</f>
        <v/>
      </c>
      <c r="AH365" s="87" t="str">
        <f aca="false">IF(ISBLANK($C365),"",IF(ISBLANK($O365),0,IF(ISNUMBER($O365),IF($O365&gt;=0,$O365,""),"")))</f>
        <v/>
      </c>
      <c r="AI365" s="86" t="str">
        <f aca="false">IF(ISBLANK($C365),"",IF($P365=Constants!$B$2,TRUE(),IF($P365=Constants!$B$3,FALSE(),TRUE())))</f>
        <v/>
      </c>
      <c r="AJ365" s="86" t="str">
        <f aca="false">IF(ISBLANK($C365),"",IF($Q365=Constants!$B$2,TRUE(),IF($Q365=Constants!$B$3,FALSE(),TRUE())))</f>
        <v/>
      </c>
      <c r="AK365" s="86" t="str">
        <f aca="false">IF(ISBLANK($C365),"",IF($R365=Constants!$B$2,TRUE(),IF($R365=Constants!$B$3,FALSE(),TRUE())))</f>
        <v/>
      </c>
      <c r="AL365" s="88" t="str">
        <f aca="false">IF(ISBLANK($C365),"",IF(ISNUMBER($S365),IF($S365&gt;=0,$S365,""),""))</f>
        <v/>
      </c>
      <c r="AM365" s="86" t="str">
        <f aca="false">IF(ISBLANK($C365),"",IF(ISBLANK($T365),0,IF(ISNUMBER($T365),IF(AND($T365&gt;=0,$T365&lt;=Constants!$B$17,$T365=INT($T365)),$T365,""),"")))</f>
        <v/>
      </c>
      <c r="AN365" s="87" t="str">
        <f aca="false">IF(ISBLANK($C365),"",IF(ISBLANK($U365),0,IF(ISNUMBER($U365),IF($U365&gt;=0,$U365,""),"")))</f>
        <v/>
      </c>
      <c r="AO365" s="86" t="str">
        <f aca="false">IF(ISBLANK($C365),"",IF($V365=Constants!$B$2,TRUE(),IF($V365=Constants!$B$3,FALSE(),FALSE())))</f>
        <v/>
      </c>
      <c r="AP365" s="86"/>
      <c r="AQ365" s="85" t="str">
        <f aca="false">IF(ISBLANK($C365),"",AND($Y365,OR($AS365,$BC365),OR($Z365="",$AA365="",$AB365="")))</f>
        <v/>
      </c>
      <c r="AR365" s="85" t="str">
        <f aca="false">IF(ISBLANK($C365),"",IF(OR(NOT($Y365),NOT(OR($AS365,$BC365))),"",IF(ISBLANK($D$7),$AR$5,IF($AP$9="",$AR$6,""))))</f>
        <v/>
      </c>
      <c r="AS365" s="85" t="str">
        <f aca="false">IF(ISBLANK($C365),"",COUNTA($J365:$O365)&gt;0)</f>
        <v/>
      </c>
      <c r="AT365" s="85" t="str">
        <f aca="false">IF(ISBLANK($C365),"",AND($AS365,OR(AND($AF365="",OR($AE365,NOT(ISBLANK($M365)))),$AG365="",$AH365="")))</f>
        <v/>
      </c>
      <c r="AU365" s="87" t="str">
        <f aca="false">IF($BL365&lt;&gt;Constants!$B$4,"",IF(NOT($AS365),"",ROUND((Constants!$B$12-$AB365)+(Constants!$B$13-$Z365)+(Constants!$B$14-$AA365),1)))</f>
        <v/>
      </c>
      <c r="AV365" s="90" t="str">
        <f aca="false">IF($BL365&lt;&gt;Constants!$B$4,"",IF(NOT($AS365),"",IF(NOT($AE365),0,Constants!$B$15*(INT(ROUND(MIN($AF365,$AP$9),6))-INT(ROUND(MAX(0,MIN($AF365,2*$AP$9)-$AP$9),6))))))</f>
        <v/>
      </c>
      <c r="AW365" s="90" t="str">
        <f aca="false">IF($BL365&lt;&gt;Constants!$B$4,"",IF(NOT($AS365),"",Constants!$B$16*$AG365))</f>
        <v/>
      </c>
      <c r="AX365" s="90" t="str">
        <f aca="false">IF($BL365&lt;&gt;Constants!$B$4,"",IF(NOT($AS365),"",Constants!$B$18*INT(ROUND($AH365,6))))</f>
        <v/>
      </c>
      <c r="AY365" s="85" t="str">
        <f aca="false">IF($BL365&lt;&gt;Constants!$B$4,"",IF(NOT($AS365),"",IF(NOT($X365),Constants!$B$11,IF(OR(NOT($AC365),NOT($AD365),ROUND($AB365,1)&gt;Constants!$B$12,ROUND($Z365,1)&gt;Constants!$B$13,ROUND($AA365,1)&gt;Constants!$B$14),Constants!$B$10,Constants!$B$9))))</f>
        <v/>
      </c>
      <c r="AZ365" s="91" t="str">
        <f aca="false">IF($BL365&lt;&gt;Constants!$B$4,"",IF(NOT($AS365),"",ROUND($AU365+$AV365+$AW365+$AX365,1)))</f>
        <v/>
      </c>
      <c r="BA365" s="92" t="str">
        <f aca="false">IF($BL365&lt;&gt;Constants!$B$4,"",IF(NOT($AS365),"",IF(ISNUMBER($AF365),$AF365,0)))</f>
        <v/>
      </c>
      <c r="BB365" s="86" t="str">
        <f aca="false">IF($BL365&lt;&gt;Constants!$B$4,"",IF(NOT($BC365),"&lt;-",IF(NOT($AS365),"-&gt;",IF(OR($BI365&lt;$AY365,AND($BI365=$AY365,OR($BJ365&gt;$AZ365,AND($BJ365=$AZ365,OR($BH365&gt;$AX365,AND($BH365=$AX365,OR($BE365&gt;$AU365,AND($BE365=$AU365,OR($BF365&gt;$AV365,AND($BF365=$AV365,$BK365&gt;$BA365)))))))))),"-&gt;","&lt;-"))))</f>
        <v/>
      </c>
      <c r="BC365" s="85" t="str">
        <f aca="false">IF(ISBLANK($C365),"",COUNTA($P365:$U365)&gt;0)</f>
        <v/>
      </c>
      <c r="BD365" s="85" t="str">
        <f aca="false">IF(ISBLANK($C365),"",AND($BC365,OR(AND($AL365="",OR($AK365,NOT(ISBLANK($S365)))),$AM365="",$AN365="")))</f>
        <v/>
      </c>
      <c r="BE365" s="87" t="str">
        <f aca="false">IF($BL365&lt;&gt;Constants!$B$4,"",IF(NOT($BC365),"",ROUND((Constants!$B$12-$AB365)+(Constants!$B$13-$Z365)+(Constants!$B$14-$AA365),1)))</f>
        <v/>
      </c>
      <c r="BF365" s="90" t="str">
        <f aca="false">IF($BL365&lt;&gt;Constants!$B$4,"",IF(NOT($BC365),"",IF(NOT($AK365),0,Constants!$B$15*(INT(ROUND(MIN($AL365,$AP$9),6))-INT(ROUND(MAX(0,MIN($AL365,2*$AP$9)-$AP$9),6))))))</f>
        <v/>
      </c>
      <c r="BG365" s="90" t="str">
        <f aca="false">IF($BL365&lt;&gt;Constants!$B$4,"",IF(NOT($BC365),"",Constants!$B$16*$AM365))</f>
        <v/>
      </c>
      <c r="BH365" s="90" t="str">
        <f aca="false">IF($BL365&lt;&gt;Constants!$B$4,"",IF(NOT($BC365),"",Constants!$B$18*INT(ROUND($AN365,6))))</f>
        <v/>
      </c>
      <c r="BI365" s="85" t="str">
        <f aca="false">IF($BL365&lt;&gt;Constants!$B$4,"",IF(NOT($BC365),"",IF(NOT($X365),Constants!$B$11,IF(OR(NOT($AI365),NOT($AJ365),ROUND($AB365,1)&gt;Constants!$B$12,ROUND($Z365,1)&gt;Constants!$B$13,ROUND($AA365,1)&gt;Constants!$B$14),Constants!$B$10,Constants!$B$9))))</f>
        <v/>
      </c>
      <c r="BJ365" s="91" t="str">
        <f aca="false">IF($BL365&lt;&gt;Constants!$B$4,"",IF(NOT($BC365),"",ROUND($BE365+$BF365+$BG365+$BH365,1)))</f>
        <v/>
      </c>
      <c r="BK365" s="92" t="str">
        <f aca="false">IF($BL365&lt;&gt;Constants!$B$4,"",IF(NOT($BC365),"",IF(ISNUMBER($AL365),$AL365,0)))</f>
        <v/>
      </c>
      <c r="BL365" s="86" t="str">
        <f aca="false">IF(ISBLANK($C365),"",IF($AO365,Constants!$B$7,IF(COUNTA($E365:$V365)=0,Constants!$B$6,IF(NOT($Y365),Constants!$B$5,IF(NOT(OR($AS365,$BC365)),Constants!$B$5,IF(OR($AT365,$BD365,$AQ365,$AR365&lt;&gt;""),Constants!$B$8,Constants!$B$4))))))</f>
        <v/>
      </c>
      <c r="BM365" s="86" t="str">
        <f aca="false">IF(ISBLANK($C365),"",IF($BL365&lt;&gt;Constants!$B$4,$BL365,IF($BB365="-&gt;",$BI365,$AY365)))</f>
        <v/>
      </c>
      <c r="BN365" s="90" t="str">
        <f aca="false">IF($BL365&lt;&gt;Constants!$B$4,"",IF($BB365="-&gt;",$BJ365,$AZ365))</f>
        <v/>
      </c>
      <c r="BO365" s="90" t="str">
        <f aca="false">IF(ISBLANK($C365),"",IF($BL365&lt;&gt;Constants!$B$4,$BL365,$BN365))</f>
        <v/>
      </c>
      <c r="BP365" s="86" t="str">
        <f aca="false">IF(ISBLANK($C365),"",IF($BL365&lt;&gt;Constants!$B$4,$BL365,RANK($BO365,$BO$9:$BO$508,0)))</f>
        <v/>
      </c>
      <c r="BQ365" s="86" t="str">
        <f aca="false">IF(ISBLANK($C365),"",IF($BL365&lt;&gt;Constants!$B$4,$BL365,COUNTIFS($BM$9:$BM$508,"&lt;"&amp;$BM365)+COUNTIFS($BM$9:$BM$508,$BM365,$BP$9:$BP$508,"&lt;"&amp;$BP365)+1))</f>
        <v/>
      </c>
      <c r="BR365" s="90" t="str">
        <f aca="false">IF($BL365&lt;&gt;Constants!$B$4,"",IF($BB365="-&gt;",$BH365,$AX365))</f>
        <v/>
      </c>
      <c r="BS365" s="86" t="str">
        <f aca="false">IF(ISBLANK($C365),"",IF($BL365&lt;&gt;Constants!$B$4,$BL365,IF(ISNUMBER($BR365),RANK($BR365,$BR$9:$BR$508,0),COUNT($BR$9:$BR$508)+1)))</f>
        <v/>
      </c>
      <c r="BT365" s="90" t="str">
        <f aca="false">IF($BL365&lt;&gt;Constants!$B$4,"",IF($BB365="-&gt;",$BE365,$AU365))</f>
        <v/>
      </c>
      <c r="BU365" s="86" t="str">
        <f aca="false">IF(ISBLANK($C365),"",IF($BL365&lt;&gt;Constants!$B$4,$BL365,IF(ISNUMBER($BT365),RANK($BT365,$BT$9:$BT$508,0),COUNT($BT$9:$BT$508)+1)))</f>
        <v/>
      </c>
      <c r="BV365" s="90" t="str">
        <f aca="false">IF($BL365&lt;&gt;Constants!$B$4,"",IF($BB365="-&gt;",$BF365,$AV365))</f>
        <v/>
      </c>
      <c r="BW365" s="86" t="str">
        <f aca="false">IF(ISBLANK($C365),"",IF($BL365&lt;&gt;Constants!$B$4,$BL365,IF(ISNUMBER($BV365),RANK($BV365,$BV$9:$BV$508,0),COUNT($BV$9:$BV$508)+1)))</f>
        <v/>
      </c>
      <c r="BX365" s="90" t="str">
        <f aca="false">IF($BL365&lt;&gt;Constants!$B$4,"",IF($BB365="-&gt;",$BK365,$BA365))</f>
        <v/>
      </c>
      <c r="BY365" s="86" t="str">
        <f aca="false">IF(ISBLANK($C365),"",IF($BL365&lt;&gt;Constants!$B$4,$BL365,IF(ISNUMBER($BX365),RANK($BX365,$BX$9:$BX$508,0),COUNT($BX$9:$BX$508)+1)))</f>
        <v/>
      </c>
      <c r="BZ365" s="86" t="str">
        <f aca="false">IF(ISBLANK($C365),"",IF($BL365&lt;&gt;Constants!$B$4,$BL365,COUNTIFS($BM$9:$BM$508,"&lt;"&amp;$BM365)+COUNTIFS($BM$9:$BM$508,$BM365,$BP$9:$BP$508,"&lt;"&amp;$BP365)+COUNTIFS($BM$9:$BM$508,$BM365,$BP$9:$BP$508,$BP365,$BS$9:$BS$508,"&lt;"&amp;$BS365)+COUNTIFS($BM$9:$BM$508,$BM365,$BP$9:$BP$508,$BP365,$BS$9:$BS$508,$BS365,$BU$9:$BU$508,"&lt;"&amp;$BU365)+COUNTIFS($BM$9:$BM$508,$BM365,$BP$9:$BP$508,$BP365,$BS$9:$BS$508,$BS365,$BU$9:$BU$508,$BU365,$BW$9:$BW$508,"&lt;"&amp;$BW365)+COUNTIFS($BM$9:$BM$508,$BM365,$BP$9:$BP$508,$BP365,$BS$9:$BS$508,$BS365,$BU$9:$BU$508,$BU365,$BW$9:$BW$508,$BW365,$BY$9:$BY$508,"&lt;"&amp;$BY365)+1))</f>
        <v/>
      </c>
      <c r="CA365" s="86" t="str">
        <f aca="false">IF(ISBLANK($C365),"",IF($BL365&lt;&gt;Constants!$B$4,$BL365,$BQ365-$BZ365))</f>
        <v/>
      </c>
      <c r="CB365" s="93"/>
      <c r="CC365" s="94" t="str">
        <f aca="false">IF(ISBLANK($C365),"",IF($BL365=Constants!$B$8,$AR365,""))</f>
        <v/>
      </c>
      <c r="CD365" s="94" t="str">
        <f aca="false">IF(ISBLANK($C365),"",IF($BL365&lt;&gt;Constants!$B$4,"",IF($BB365="-&gt;",2,1)))</f>
        <v/>
      </c>
      <c r="CE365" s="95" t="str">
        <f aca="false">IF(ISBLANK($C365),"",IF($BL365&lt;&gt;Constants!$B$4,"",IF($BB365="-&gt;",$BE365,$AU365)))</f>
        <v/>
      </c>
      <c r="CF365" s="95" t="str">
        <f aca="false">IF(ISBLANK($C365),"",IF($BL365&lt;&gt;Constants!$B$4,"",IF($BB365="-&gt;",$BF365,$AV365)))</f>
        <v/>
      </c>
      <c r="CG365" s="95" t="str">
        <f aca="false">IF(ISBLANK($C365),"",IF($BL365&lt;&gt;Constants!$B$4,"",IF($BB365="-&gt;",$BG365,$AW365)))</f>
        <v/>
      </c>
      <c r="CH365" s="95" t="str">
        <f aca="false">IF(ISBLANK($C365),"",IF($BL365&lt;&gt;Constants!$B$4,"",IF($BB365="-&gt;",$BH365,$AX365)))</f>
        <v/>
      </c>
      <c r="CI365" s="96" t="str">
        <f aca="false">IF(ISBLANK($C365),"",$BO365)</f>
        <v/>
      </c>
      <c r="CJ365" s="97" t="str">
        <f aca="false">IF(ISBLANK($C365),"",$BM365)</f>
        <v/>
      </c>
      <c r="CK365" s="98" t="str">
        <f aca="false">IF(ISBLANK($C365),"",$CA365)</f>
        <v/>
      </c>
      <c r="CL365" s="98" t="str">
        <f aca="false">IF(ISBLANK($C365),"",$BZ365)</f>
        <v/>
      </c>
      <c r="CM365" s="99" t="str">
        <f aca="false">IF(ISBLANK($C365),"",IF($CL365=Constants!$B$7,COUNTA($C$9:$C$508)+2,IF($CL365=Constants!$B$6,COUNTA($C$9:$C$508)+1,IF($CL365=Constants!$B$5,COUNTA($C$9:$C$508),$CL365))))</f>
        <v/>
      </c>
      <c r="CN365" s="8"/>
      <c r="CO365" s="100" t="n">
        <f aca="false">IF(OR(ISNUMBER($CL365),$CL365=Constants!$B$7,$CL365=Constants!$B$5,$CL365=Constants!$B$6),1,0)</f>
        <v>0</v>
      </c>
      <c r="CP365" s="100" t="n">
        <v>357</v>
      </c>
      <c r="CQ365" s="100" t="str">
        <f aca="false">IF(ISBLANK($C365),"",IF(ISNUMBER($CM365),$CM365+ROW($B365)/1000,""))</f>
        <v/>
      </c>
      <c r="CR365" s="100" t="str">
        <f aca="false">IF(ISNUMBER($CQ365),RANK($CQ365,$CQ$9:$CQ$508,1),"")</f>
        <v/>
      </c>
      <c r="CS365" s="100" t="str">
        <f aca="false">IF(ISBLANK($C365),"",$B365)</f>
        <v/>
      </c>
      <c r="CT365" s="100" t="str">
        <f aca="false">IF(ISBLANK($C365),"",$C365)</f>
        <v/>
      </c>
      <c r="CU365" s="100" t="str">
        <f aca="false">IF(ISBLANK($C365),"",$D365)</f>
        <v/>
      </c>
      <c r="CV365" s="101" t="str">
        <f aca="false">$CJ365</f>
        <v/>
      </c>
      <c r="CW365" s="102" t="str">
        <f aca="false">$CI365</f>
        <v/>
      </c>
      <c r="CX365" s="100" t="str">
        <f aca="false">IF(ISBLANK($C365),"",$CL365)</f>
        <v/>
      </c>
      <c r="CY365" s="103" t="str">
        <f aca="false">IF($CP365&gt;$CO$8,"",VLOOKUP($CP365,$CR$9:$CX$508,7,FALSE()))</f>
        <v/>
      </c>
      <c r="CZ365" s="104" t="str">
        <f aca="false">IF($CP365&gt;$CO$8,"",VLOOKUP($CP365,$CR$9:$CX$508,2,FALSE()))</f>
        <v/>
      </c>
      <c r="DA365" s="104" t="str">
        <f aca="false">IF($CP365&gt;$CO$8,"",VLOOKUP($CP365,$CR$9:$CX$508,3,FALSE()))</f>
        <v/>
      </c>
      <c r="DB365" s="104" t="str">
        <f aca="false">IF($CP365&gt;$CO$8,"",VLOOKUP($CP365,$CR$9:$CX$508,4,FALSE()))</f>
        <v/>
      </c>
      <c r="DC365" s="104" t="str">
        <f aca="false">IF($CP365&gt;$CO$8,"",VLOOKUP($CP365,$CR$9:$CX$508,5,FALSE()))</f>
        <v/>
      </c>
      <c r="DD365" s="105" t="str">
        <f aca="false">IF($CP365&gt;$CO$8,"",VLOOKUP($CP365,$CR$9:$CX$508,6,FALSE()))</f>
        <v/>
      </c>
      <c r="DE365" s="70"/>
    </row>
    <row r="366" customFormat="false" ht="15.75" hidden="false" customHeight="false" outlineLevel="0" collapsed="false">
      <c r="A366" s="8"/>
      <c r="B366" s="146"/>
      <c r="C366" s="147"/>
      <c r="D366" s="148"/>
      <c r="E366" s="164"/>
      <c r="F366" s="150"/>
      <c r="G366" s="115"/>
      <c r="H366" s="115"/>
      <c r="I366" s="115"/>
      <c r="J366" s="165"/>
      <c r="K366" s="154"/>
      <c r="L366" s="154"/>
      <c r="M366" s="118"/>
      <c r="N366" s="154"/>
      <c r="O366" s="153"/>
      <c r="P366" s="154"/>
      <c r="Q366" s="154"/>
      <c r="R366" s="154"/>
      <c r="S366" s="115"/>
      <c r="T366" s="154"/>
      <c r="U366" s="153"/>
      <c r="V366" s="154"/>
      <c r="W366" s="123"/>
      <c r="X366" s="124" t="str">
        <f aca="false">IF(ISBLANK($C366),"",IF($E366=Constants!$B$2,TRUE(),IF($E366=Constants!$B$3,FALSE(),TRUE())))</f>
        <v/>
      </c>
      <c r="Y366" s="124" t="str">
        <f aca="false">IF(ISBLANK($C366),"",IF($F366=Constants!$B$2,TRUE(),IF($F366=Constants!$B$3,FALSE(),TRUE())))</f>
        <v/>
      </c>
      <c r="Z366" s="125" t="str">
        <f aca="false">IF(ISBLANK($C366),"",IF(ISNUMBER($G366),IF($G366&gt;=0,$G366,""),""))</f>
        <v/>
      </c>
      <c r="AA366" s="125" t="str">
        <f aca="false">IF(ISBLANK($C366),"",IF(ISNUMBER($H366),IF($H366&gt;=0,$H366,""),""))</f>
        <v/>
      </c>
      <c r="AB366" s="125" t="str">
        <f aca="false">IF(ISBLANK($C366),"",IF(ISNUMBER($I366),IF($I366&gt;=0,$I366,""),""))</f>
        <v/>
      </c>
      <c r="AC366" s="124" t="str">
        <f aca="false">IF(ISBLANK($C366),"",IF($J366=Constants!$B$2,TRUE(),IF($J366=Constants!$B$3,FALSE(),TRUE())))</f>
        <v/>
      </c>
      <c r="AD366" s="124" t="str">
        <f aca="false">IF(ISBLANK($C366),"",IF($K366=Constants!$B$2,TRUE(),IF($K366=Constants!$B$3,FALSE(),TRUE())))</f>
        <v/>
      </c>
      <c r="AE366" s="124" t="str">
        <f aca="false">IF(ISBLANK($C366),"",IF($L366=Constants!$B$2,TRUE(),IF($L366=Constants!$B$3,FALSE(),TRUE())))</f>
        <v/>
      </c>
      <c r="AF366" s="126" t="str">
        <f aca="false">IF(ISBLANK($C366),"",IF(ISNUMBER($M366),IF($M366&gt;=0,$M366,""),""))</f>
        <v/>
      </c>
      <c r="AG366" s="124" t="str">
        <f aca="false">IF(ISBLANK($C366),"",IF(ISBLANK($N366),0,IF(ISNUMBER($N366),IF(AND($N366&gt;=0,$N366&lt;=Constants!$B$17,$N366=INT($N366)),$N366,""),"")))</f>
        <v/>
      </c>
      <c r="AH366" s="125" t="str">
        <f aca="false">IF(ISBLANK($C366),"",IF(ISBLANK($O366),0,IF(ISNUMBER($O366),IF($O366&gt;=0,$O366,""),"")))</f>
        <v/>
      </c>
      <c r="AI366" s="124" t="str">
        <f aca="false">IF(ISBLANK($C366),"",IF($P366=Constants!$B$2,TRUE(),IF($P366=Constants!$B$3,FALSE(),TRUE())))</f>
        <v/>
      </c>
      <c r="AJ366" s="124" t="str">
        <f aca="false">IF(ISBLANK($C366),"",IF($Q366=Constants!$B$2,TRUE(),IF($Q366=Constants!$B$3,FALSE(),TRUE())))</f>
        <v/>
      </c>
      <c r="AK366" s="124" t="str">
        <f aca="false">IF(ISBLANK($C366),"",IF($R366=Constants!$B$2,TRUE(),IF($R366=Constants!$B$3,FALSE(),TRUE())))</f>
        <v/>
      </c>
      <c r="AL366" s="126" t="str">
        <f aca="false">IF(ISBLANK($C366),"",IF(ISNUMBER($S366),IF($S366&gt;=0,$S366,""),""))</f>
        <v/>
      </c>
      <c r="AM366" s="124" t="str">
        <f aca="false">IF(ISBLANK($C366),"",IF(ISBLANK($T366),0,IF(ISNUMBER($T366),IF(AND($T366&gt;=0,$T366&lt;=Constants!$B$17,$T366=INT($T366)),$T366,""),"")))</f>
        <v/>
      </c>
      <c r="AN366" s="125" t="str">
        <f aca="false">IF(ISBLANK($C366),"",IF(ISBLANK($U366),0,IF(ISNUMBER($U366),IF($U366&gt;=0,$U366,""),"")))</f>
        <v/>
      </c>
      <c r="AO366" s="124" t="str">
        <f aca="false">IF(ISBLANK($C366),"",IF($V366=Constants!$B$2,TRUE(),IF($V366=Constants!$B$3,FALSE(),FALSE())))</f>
        <v/>
      </c>
      <c r="AP366" s="124"/>
      <c r="AQ366" s="123" t="str">
        <f aca="false">IF(ISBLANK($C366),"",AND($Y366,OR($AS366,$BC366),OR($Z366="",$AA366="",$AB366="")))</f>
        <v/>
      </c>
      <c r="AR366" s="123" t="str">
        <f aca="false">IF(ISBLANK($C366),"",IF(OR(NOT($Y366),NOT(OR($AS366,$BC366))),"",IF(ISBLANK($D$7),$AR$5,IF($AP$9="",$AR$6,""))))</f>
        <v/>
      </c>
      <c r="AS366" s="123" t="str">
        <f aca="false">IF(ISBLANK($C366),"",COUNTA($J366:$O366)&gt;0)</f>
        <v/>
      </c>
      <c r="AT366" s="123" t="str">
        <f aca="false">IF(ISBLANK($C366),"",AND($AS366,OR(AND($AF366="",OR($AE366,NOT(ISBLANK($M366)))),$AG366="",$AH366="")))</f>
        <v/>
      </c>
      <c r="AU366" s="125" t="str">
        <f aca="false">IF($BL366&lt;&gt;Constants!$B$4,"",IF(NOT($AS366),"",ROUND((Constants!$B$12-$AB366)+(Constants!$B$13-$Z366)+(Constants!$B$14-$AA366),1)))</f>
        <v/>
      </c>
      <c r="AV366" s="127" t="str">
        <f aca="false">IF($BL366&lt;&gt;Constants!$B$4,"",IF(NOT($AS366),"",IF(NOT($AE366),0,Constants!$B$15*(INT(ROUND(MIN($AF366,$AP$9),6))-INT(ROUND(MAX(0,MIN($AF366,2*$AP$9)-$AP$9),6))))))</f>
        <v/>
      </c>
      <c r="AW366" s="127" t="str">
        <f aca="false">IF($BL366&lt;&gt;Constants!$B$4,"",IF(NOT($AS366),"",Constants!$B$16*$AG366))</f>
        <v/>
      </c>
      <c r="AX366" s="127" t="str">
        <f aca="false">IF($BL366&lt;&gt;Constants!$B$4,"",IF(NOT($AS366),"",Constants!$B$18*INT(ROUND($AH366,6))))</f>
        <v/>
      </c>
      <c r="AY366" s="123" t="str">
        <f aca="false">IF($BL366&lt;&gt;Constants!$B$4,"",IF(NOT($AS366),"",IF(NOT($X366),Constants!$B$11,IF(OR(NOT($AC366),NOT($AD366),ROUND($AB366,1)&gt;Constants!$B$12,ROUND($Z366,1)&gt;Constants!$B$13,ROUND($AA366,1)&gt;Constants!$B$14),Constants!$B$10,Constants!$B$9))))</f>
        <v/>
      </c>
      <c r="AZ366" s="128" t="str">
        <f aca="false">IF($BL366&lt;&gt;Constants!$B$4,"",IF(NOT($AS366),"",ROUND($AU366+$AV366+$AW366+$AX366,1)))</f>
        <v/>
      </c>
      <c r="BA366" s="129" t="str">
        <f aca="false">IF($BL366&lt;&gt;Constants!$B$4,"",IF(NOT($AS366),"",IF(ISNUMBER($AF366),$AF366,0)))</f>
        <v/>
      </c>
      <c r="BB366" s="124" t="str">
        <f aca="false">IF($BL366&lt;&gt;Constants!$B$4,"",IF(NOT($BC366),"&lt;-",IF(NOT($AS366),"-&gt;",IF(OR($BI366&lt;$AY366,AND($BI366=$AY366,OR($BJ366&gt;$AZ366,AND($BJ366=$AZ366,OR($BH366&gt;$AX366,AND($BH366=$AX366,OR($BE366&gt;$AU366,AND($BE366=$AU366,OR($BF366&gt;$AV366,AND($BF366=$AV366,$BK366&gt;$BA366)))))))))),"-&gt;","&lt;-"))))</f>
        <v/>
      </c>
      <c r="BC366" s="123" t="str">
        <f aca="false">IF(ISBLANK($C366),"",COUNTA($P366:$U366)&gt;0)</f>
        <v/>
      </c>
      <c r="BD366" s="123" t="str">
        <f aca="false">IF(ISBLANK($C366),"",AND($BC366,OR(AND($AL366="",OR($AK366,NOT(ISBLANK($S366)))),$AM366="",$AN366="")))</f>
        <v/>
      </c>
      <c r="BE366" s="125" t="str">
        <f aca="false">IF($BL366&lt;&gt;Constants!$B$4,"",IF(NOT($BC366),"",ROUND((Constants!$B$12-$AB366)+(Constants!$B$13-$Z366)+(Constants!$B$14-$AA366),1)))</f>
        <v/>
      </c>
      <c r="BF366" s="127" t="str">
        <f aca="false">IF($BL366&lt;&gt;Constants!$B$4,"",IF(NOT($BC366),"",IF(NOT($AK366),0,Constants!$B$15*(INT(ROUND(MIN($AL366,$AP$9),6))-INT(ROUND(MAX(0,MIN($AL366,2*$AP$9)-$AP$9),6))))))</f>
        <v/>
      </c>
      <c r="BG366" s="127" t="str">
        <f aca="false">IF($BL366&lt;&gt;Constants!$B$4,"",IF(NOT($BC366),"",Constants!$B$16*$AM366))</f>
        <v/>
      </c>
      <c r="BH366" s="127" t="str">
        <f aca="false">IF($BL366&lt;&gt;Constants!$B$4,"",IF(NOT($BC366),"",Constants!$B$18*INT(ROUND($AN366,6))))</f>
        <v/>
      </c>
      <c r="BI366" s="123" t="str">
        <f aca="false">IF($BL366&lt;&gt;Constants!$B$4,"",IF(NOT($BC366),"",IF(NOT($X366),Constants!$B$11,IF(OR(NOT($AI366),NOT($AJ366),ROUND($AB366,1)&gt;Constants!$B$12,ROUND($Z366,1)&gt;Constants!$B$13,ROUND($AA366,1)&gt;Constants!$B$14),Constants!$B$10,Constants!$B$9))))</f>
        <v/>
      </c>
      <c r="BJ366" s="128" t="str">
        <f aca="false">IF($BL366&lt;&gt;Constants!$B$4,"",IF(NOT($BC366),"",ROUND($BE366+$BF366+$BG366+$BH366,1)))</f>
        <v/>
      </c>
      <c r="BK366" s="129" t="str">
        <f aca="false">IF($BL366&lt;&gt;Constants!$B$4,"",IF(NOT($BC366),"",IF(ISNUMBER($AL366),$AL366,0)))</f>
        <v/>
      </c>
      <c r="BL366" s="124" t="str">
        <f aca="false">IF(ISBLANK($C366),"",IF($AO366,Constants!$B$7,IF(COUNTA($E366:$V366)=0,Constants!$B$6,IF(NOT($Y366),Constants!$B$5,IF(NOT(OR($AS366,$BC366)),Constants!$B$5,IF(OR($AT366,$BD366,$AQ366,$AR366&lt;&gt;""),Constants!$B$8,Constants!$B$4))))))</f>
        <v/>
      </c>
      <c r="BM366" s="124" t="str">
        <f aca="false">IF(ISBLANK($C366),"",IF($BL366&lt;&gt;Constants!$B$4,$BL366,IF($BB366="-&gt;",$BI366,$AY366)))</f>
        <v/>
      </c>
      <c r="BN366" s="127" t="str">
        <f aca="false">IF($BL366&lt;&gt;Constants!$B$4,"",IF($BB366="-&gt;",$BJ366,$AZ366))</f>
        <v/>
      </c>
      <c r="BO366" s="127" t="str">
        <f aca="false">IF(ISBLANK($C366),"",IF($BL366&lt;&gt;Constants!$B$4,$BL366,$BN366))</f>
        <v/>
      </c>
      <c r="BP366" s="124" t="str">
        <f aca="false">IF(ISBLANK($C366),"",IF($BL366&lt;&gt;Constants!$B$4,$BL366,RANK($BO366,$BO$9:$BO$508,0)))</f>
        <v/>
      </c>
      <c r="BQ366" s="124" t="str">
        <f aca="false">IF(ISBLANK($C366),"",IF($BL366&lt;&gt;Constants!$B$4,$BL366,COUNTIFS($BM$9:$BM$508,"&lt;"&amp;$BM366)+COUNTIFS($BM$9:$BM$508,$BM366,$BP$9:$BP$508,"&lt;"&amp;$BP366)+1))</f>
        <v/>
      </c>
      <c r="BR366" s="127" t="str">
        <f aca="false">IF($BL366&lt;&gt;Constants!$B$4,"",IF($BB366="-&gt;",$BH366,$AX366))</f>
        <v/>
      </c>
      <c r="BS366" s="124" t="str">
        <f aca="false">IF(ISBLANK($C366),"",IF($BL366&lt;&gt;Constants!$B$4,$BL366,IF(ISNUMBER($BR366),RANK($BR366,$BR$9:$BR$508,0),COUNT($BR$9:$BR$508)+1)))</f>
        <v/>
      </c>
      <c r="BT366" s="127" t="str">
        <f aca="false">IF($BL366&lt;&gt;Constants!$B$4,"",IF($BB366="-&gt;",$BE366,$AU366))</f>
        <v/>
      </c>
      <c r="BU366" s="124" t="str">
        <f aca="false">IF(ISBLANK($C366),"",IF($BL366&lt;&gt;Constants!$B$4,$BL366,IF(ISNUMBER($BT366),RANK($BT366,$BT$9:$BT$508,0),COUNT($BT$9:$BT$508)+1)))</f>
        <v/>
      </c>
      <c r="BV366" s="127" t="str">
        <f aca="false">IF($BL366&lt;&gt;Constants!$B$4,"",IF($BB366="-&gt;",$BF366,$AV366))</f>
        <v/>
      </c>
      <c r="BW366" s="124" t="str">
        <f aca="false">IF(ISBLANK($C366),"",IF($BL366&lt;&gt;Constants!$B$4,$BL366,IF(ISNUMBER($BV366),RANK($BV366,$BV$9:$BV$508,0),COUNT($BV$9:$BV$508)+1)))</f>
        <v/>
      </c>
      <c r="BX366" s="127" t="str">
        <f aca="false">IF($BL366&lt;&gt;Constants!$B$4,"",IF($BB366="-&gt;",$BK366,$BA366))</f>
        <v/>
      </c>
      <c r="BY366" s="124" t="str">
        <f aca="false">IF(ISBLANK($C366),"",IF($BL366&lt;&gt;Constants!$B$4,$BL366,IF(ISNUMBER($BX366),RANK($BX366,$BX$9:$BX$508,0),COUNT($BX$9:$BX$508)+1)))</f>
        <v/>
      </c>
      <c r="BZ366" s="124" t="str">
        <f aca="false">IF(ISBLANK($C366),"",IF($BL366&lt;&gt;Constants!$B$4,$BL366,COUNTIFS($BM$9:$BM$508,"&lt;"&amp;$BM366)+COUNTIFS($BM$9:$BM$508,$BM366,$BP$9:$BP$508,"&lt;"&amp;$BP366)+COUNTIFS($BM$9:$BM$508,$BM366,$BP$9:$BP$508,$BP366,$BS$9:$BS$508,"&lt;"&amp;$BS366)+COUNTIFS($BM$9:$BM$508,$BM366,$BP$9:$BP$508,$BP366,$BS$9:$BS$508,$BS366,$BU$9:$BU$508,"&lt;"&amp;$BU366)+COUNTIFS($BM$9:$BM$508,$BM366,$BP$9:$BP$508,$BP366,$BS$9:$BS$508,$BS366,$BU$9:$BU$508,$BU366,$BW$9:$BW$508,"&lt;"&amp;$BW366)+COUNTIFS($BM$9:$BM$508,$BM366,$BP$9:$BP$508,$BP366,$BS$9:$BS$508,$BS366,$BU$9:$BU$508,$BU366,$BW$9:$BW$508,$BW366,$BY$9:$BY$508,"&lt;"&amp;$BY366)+1))</f>
        <v/>
      </c>
      <c r="CA366" s="124" t="str">
        <f aca="false">IF(ISBLANK($C366),"",IF($BL366&lt;&gt;Constants!$B$4,$BL366,$BQ366-$BZ366))</f>
        <v/>
      </c>
      <c r="CB366" s="130"/>
      <c r="CC366" s="131" t="str">
        <f aca="false">IF(ISBLANK($C366),"",IF($BL366=Constants!$B$8,$AR366,""))</f>
        <v/>
      </c>
      <c r="CD366" s="131" t="str">
        <f aca="false">IF(ISBLANK($C366),"",IF($BL366&lt;&gt;Constants!$B$4,"",IF($BB366="-&gt;",2,1)))</f>
        <v/>
      </c>
      <c r="CE366" s="132" t="str">
        <f aca="false">IF(ISBLANK($C366),"",IF($BL366&lt;&gt;Constants!$B$4,"",IF($BB366="-&gt;",$BE366,$AU366)))</f>
        <v/>
      </c>
      <c r="CF366" s="132" t="str">
        <f aca="false">IF(ISBLANK($C366),"",IF($BL366&lt;&gt;Constants!$B$4,"",IF($BB366="-&gt;",$BF366,$AV366)))</f>
        <v/>
      </c>
      <c r="CG366" s="132" t="str">
        <f aca="false">IF(ISBLANK($C366),"",IF($BL366&lt;&gt;Constants!$B$4,"",IF($BB366="-&gt;",$BG366,$AW366)))</f>
        <v/>
      </c>
      <c r="CH366" s="132" t="str">
        <f aca="false">IF(ISBLANK($C366),"",IF($BL366&lt;&gt;Constants!$B$4,"",IF($BB366="-&gt;",$BH366,$AX366)))</f>
        <v/>
      </c>
      <c r="CI366" s="133" t="str">
        <f aca="false">IF(ISBLANK($C366),"",$BO366)</f>
        <v/>
      </c>
      <c r="CJ366" s="134" t="str">
        <f aca="false">IF(ISBLANK($C366),"",$BM366)</f>
        <v/>
      </c>
      <c r="CK366" s="135" t="str">
        <f aca="false">IF(ISBLANK($C366),"",$CA366)</f>
        <v/>
      </c>
      <c r="CL366" s="135" t="str">
        <f aca="false">IF(ISBLANK($C366),"",$BZ366)</f>
        <v/>
      </c>
      <c r="CM366" s="136" t="str">
        <f aca="false">IF(ISBLANK($C366),"",IF($CL366=Constants!$B$7,COUNTA($C$9:$C$508)+2,IF($CL366=Constants!$B$6,COUNTA($C$9:$C$508)+1,IF($CL366=Constants!$B$5,COUNTA($C$9:$C$508),$CL366))))</f>
        <v/>
      </c>
      <c r="CN366" s="8"/>
      <c r="CO366" s="137" t="n">
        <f aca="false">IF(OR(ISNUMBER($CL366),$CL366=Constants!$B$7,$CL366=Constants!$B$5,$CL366=Constants!$B$6),1,0)</f>
        <v>0</v>
      </c>
      <c r="CP366" s="137" t="n">
        <v>358</v>
      </c>
      <c r="CQ366" s="137" t="str">
        <f aca="false">IF(ISBLANK($C366),"",IF(ISNUMBER($CM366),$CM366+ROW($B366)/1000,""))</f>
        <v/>
      </c>
      <c r="CR366" s="137" t="str">
        <f aca="false">IF(ISNUMBER($CQ366),RANK($CQ366,$CQ$9:$CQ$508,1),"")</f>
        <v/>
      </c>
      <c r="CS366" s="137" t="str">
        <f aca="false">IF(ISBLANK($C366),"",$B366)</f>
        <v/>
      </c>
      <c r="CT366" s="137" t="str">
        <f aca="false">IF(ISBLANK($C366),"",$C366)</f>
        <v/>
      </c>
      <c r="CU366" s="137" t="str">
        <f aca="false">IF(ISBLANK($C366),"",$D366)</f>
        <v/>
      </c>
      <c r="CV366" s="138" t="str">
        <f aca="false">$CJ366</f>
        <v/>
      </c>
      <c r="CW366" s="139" t="str">
        <f aca="false">$CI366</f>
        <v/>
      </c>
      <c r="CX366" s="137" t="str">
        <f aca="false">IF(ISBLANK($C366),"",$CL366)</f>
        <v/>
      </c>
      <c r="CY366" s="140" t="str">
        <f aca="false">IF($CP366&gt;$CO$8,"",VLOOKUP($CP366,$CR$9:$CX$508,7,FALSE()))</f>
        <v/>
      </c>
      <c r="CZ366" s="141" t="str">
        <f aca="false">IF($CP366&gt;$CO$8,"",VLOOKUP($CP366,$CR$9:$CX$508,2,FALSE()))</f>
        <v/>
      </c>
      <c r="DA366" s="141" t="str">
        <f aca="false">IF($CP366&gt;$CO$8,"",VLOOKUP($CP366,$CR$9:$CX$508,3,FALSE()))</f>
        <v/>
      </c>
      <c r="DB366" s="141" t="str">
        <f aca="false">IF($CP366&gt;$CO$8,"",VLOOKUP($CP366,$CR$9:$CX$508,4,FALSE()))</f>
        <v/>
      </c>
      <c r="DC366" s="141" t="str">
        <f aca="false">IF($CP366&gt;$CO$8,"",VLOOKUP($CP366,$CR$9:$CX$508,5,FALSE()))</f>
        <v/>
      </c>
      <c r="DD366" s="142" t="str">
        <f aca="false">IF($CP366&gt;$CO$8,"",VLOOKUP($CP366,$CR$9:$CX$508,6,FALSE()))</f>
        <v/>
      </c>
      <c r="DE366" s="70"/>
    </row>
    <row r="367" customFormat="false" ht="15.75" hidden="false" customHeight="false" outlineLevel="0" collapsed="false">
      <c r="A367" s="8"/>
      <c r="B367" s="146"/>
      <c r="C367" s="147"/>
      <c r="D367" s="148"/>
      <c r="E367" s="164"/>
      <c r="F367" s="150"/>
      <c r="G367" s="115"/>
      <c r="H367" s="115"/>
      <c r="I367" s="115"/>
      <c r="J367" s="165"/>
      <c r="K367" s="154"/>
      <c r="L367" s="154"/>
      <c r="M367" s="118"/>
      <c r="N367" s="154"/>
      <c r="O367" s="153"/>
      <c r="P367" s="154"/>
      <c r="Q367" s="154"/>
      <c r="R367" s="154"/>
      <c r="S367" s="115"/>
      <c r="T367" s="154"/>
      <c r="U367" s="153"/>
      <c r="V367" s="154"/>
      <c r="W367" s="123"/>
      <c r="X367" s="124" t="str">
        <f aca="false">IF(ISBLANK($C367),"",IF($E367=Constants!$B$2,TRUE(),IF($E367=Constants!$B$3,FALSE(),TRUE())))</f>
        <v/>
      </c>
      <c r="Y367" s="124" t="str">
        <f aca="false">IF(ISBLANK($C367),"",IF($F367=Constants!$B$2,TRUE(),IF($F367=Constants!$B$3,FALSE(),TRUE())))</f>
        <v/>
      </c>
      <c r="Z367" s="125" t="str">
        <f aca="false">IF(ISBLANK($C367),"",IF(ISNUMBER($G367),IF($G367&gt;=0,$G367,""),""))</f>
        <v/>
      </c>
      <c r="AA367" s="125" t="str">
        <f aca="false">IF(ISBLANK($C367),"",IF(ISNUMBER($H367),IF($H367&gt;=0,$H367,""),""))</f>
        <v/>
      </c>
      <c r="AB367" s="125" t="str">
        <f aca="false">IF(ISBLANK($C367),"",IF(ISNUMBER($I367),IF($I367&gt;=0,$I367,""),""))</f>
        <v/>
      </c>
      <c r="AC367" s="124" t="str">
        <f aca="false">IF(ISBLANK($C367),"",IF($J367=Constants!$B$2,TRUE(),IF($J367=Constants!$B$3,FALSE(),TRUE())))</f>
        <v/>
      </c>
      <c r="AD367" s="124" t="str">
        <f aca="false">IF(ISBLANK($C367),"",IF($K367=Constants!$B$2,TRUE(),IF($K367=Constants!$B$3,FALSE(),TRUE())))</f>
        <v/>
      </c>
      <c r="AE367" s="124" t="str">
        <f aca="false">IF(ISBLANK($C367),"",IF($L367=Constants!$B$2,TRUE(),IF($L367=Constants!$B$3,FALSE(),TRUE())))</f>
        <v/>
      </c>
      <c r="AF367" s="126" t="str">
        <f aca="false">IF(ISBLANK($C367),"",IF(ISNUMBER($M367),IF($M367&gt;=0,$M367,""),""))</f>
        <v/>
      </c>
      <c r="AG367" s="124" t="str">
        <f aca="false">IF(ISBLANK($C367),"",IF(ISBLANK($N367),0,IF(ISNUMBER($N367),IF(AND($N367&gt;=0,$N367&lt;=Constants!$B$17,$N367=INT($N367)),$N367,""),"")))</f>
        <v/>
      </c>
      <c r="AH367" s="125" t="str">
        <f aca="false">IF(ISBLANK($C367),"",IF(ISBLANK($O367),0,IF(ISNUMBER($O367),IF($O367&gt;=0,$O367,""),"")))</f>
        <v/>
      </c>
      <c r="AI367" s="124" t="str">
        <f aca="false">IF(ISBLANK($C367),"",IF($P367=Constants!$B$2,TRUE(),IF($P367=Constants!$B$3,FALSE(),TRUE())))</f>
        <v/>
      </c>
      <c r="AJ367" s="124" t="str">
        <f aca="false">IF(ISBLANK($C367),"",IF($Q367=Constants!$B$2,TRUE(),IF($Q367=Constants!$B$3,FALSE(),TRUE())))</f>
        <v/>
      </c>
      <c r="AK367" s="124" t="str">
        <f aca="false">IF(ISBLANK($C367),"",IF($R367=Constants!$B$2,TRUE(),IF($R367=Constants!$B$3,FALSE(),TRUE())))</f>
        <v/>
      </c>
      <c r="AL367" s="126" t="str">
        <f aca="false">IF(ISBLANK($C367),"",IF(ISNUMBER($S367),IF($S367&gt;=0,$S367,""),""))</f>
        <v/>
      </c>
      <c r="AM367" s="124" t="str">
        <f aca="false">IF(ISBLANK($C367),"",IF(ISBLANK($T367),0,IF(ISNUMBER($T367),IF(AND($T367&gt;=0,$T367&lt;=Constants!$B$17,$T367=INT($T367)),$T367,""),"")))</f>
        <v/>
      </c>
      <c r="AN367" s="125" t="str">
        <f aca="false">IF(ISBLANK($C367),"",IF(ISBLANK($U367),0,IF(ISNUMBER($U367),IF($U367&gt;=0,$U367,""),"")))</f>
        <v/>
      </c>
      <c r="AO367" s="124" t="str">
        <f aca="false">IF(ISBLANK($C367),"",IF($V367=Constants!$B$2,TRUE(),IF($V367=Constants!$B$3,FALSE(),FALSE())))</f>
        <v/>
      </c>
      <c r="AP367" s="124"/>
      <c r="AQ367" s="123" t="str">
        <f aca="false">IF(ISBLANK($C367),"",AND($Y367,OR($AS367,$BC367),OR($Z367="",$AA367="",$AB367="")))</f>
        <v/>
      </c>
      <c r="AR367" s="123" t="str">
        <f aca="false">IF(ISBLANK($C367),"",IF(OR(NOT($Y367),NOT(OR($AS367,$BC367))),"",IF(ISBLANK($D$7),$AR$5,IF($AP$9="",$AR$6,""))))</f>
        <v/>
      </c>
      <c r="AS367" s="123" t="str">
        <f aca="false">IF(ISBLANK($C367),"",COUNTA($J367:$O367)&gt;0)</f>
        <v/>
      </c>
      <c r="AT367" s="123" t="str">
        <f aca="false">IF(ISBLANK($C367),"",AND($AS367,OR(AND($AF367="",OR($AE367,NOT(ISBLANK($M367)))),$AG367="",$AH367="")))</f>
        <v/>
      </c>
      <c r="AU367" s="125" t="str">
        <f aca="false">IF($BL367&lt;&gt;Constants!$B$4,"",IF(NOT($AS367),"",ROUND((Constants!$B$12-$AB367)+(Constants!$B$13-$Z367)+(Constants!$B$14-$AA367),1)))</f>
        <v/>
      </c>
      <c r="AV367" s="127" t="str">
        <f aca="false">IF($BL367&lt;&gt;Constants!$B$4,"",IF(NOT($AS367),"",IF(NOT($AE367),0,Constants!$B$15*(INT(ROUND(MIN($AF367,$AP$9),6))-INT(ROUND(MAX(0,MIN($AF367,2*$AP$9)-$AP$9),6))))))</f>
        <v/>
      </c>
      <c r="AW367" s="127" t="str">
        <f aca="false">IF($BL367&lt;&gt;Constants!$B$4,"",IF(NOT($AS367),"",Constants!$B$16*$AG367))</f>
        <v/>
      </c>
      <c r="AX367" s="127" t="str">
        <f aca="false">IF($BL367&lt;&gt;Constants!$B$4,"",IF(NOT($AS367),"",Constants!$B$18*INT(ROUND($AH367,6))))</f>
        <v/>
      </c>
      <c r="AY367" s="123" t="str">
        <f aca="false">IF($BL367&lt;&gt;Constants!$B$4,"",IF(NOT($AS367),"",IF(NOT($X367),Constants!$B$11,IF(OR(NOT($AC367),NOT($AD367),ROUND($AB367,1)&gt;Constants!$B$12,ROUND($Z367,1)&gt;Constants!$B$13,ROUND($AA367,1)&gt;Constants!$B$14),Constants!$B$10,Constants!$B$9))))</f>
        <v/>
      </c>
      <c r="AZ367" s="128" t="str">
        <f aca="false">IF($BL367&lt;&gt;Constants!$B$4,"",IF(NOT($AS367),"",ROUND($AU367+$AV367+$AW367+$AX367,1)))</f>
        <v/>
      </c>
      <c r="BA367" s="129" t="str">
        <f aca="false">IF($BL367&lt;&gt;Constants!$B$4,"",IF(NOT($AS367),"",IF(ISNUMBER($AF367),$AF367,0)))</f>
        <v/>
      </c>
      <c r="BB367" s="124" t="str">
        <f aca="false">IF($BL367&lt;&gt;Constants!$B$4,"",IF(NOT($BC367),"&lt;-",IF(NOT($AS367),"-&gt;",IF(OR($BI367&lt;$AY367,AND($BI367=$AY367,OR($BJ367&gt;$AZ367,AND($BJ367=$AZ367,OR($BH367&gt;$AX367,AND($BH367=$AX367,OR($BE367&gt;$AU367,AND($BE367=$AU367,OR($BF367&gt;$AV367,AND($BF367=$AV367,$BK367&gt;$BA367)))))))))),"-&gt;","&lt;-"))))</f>
        <v/>
      </c>
      <c r="BC367" s="123" t="str">
        <f aca="false">IF(ISBLANK($C367),"",COUNTA($P367:$U367)&gt;0)</f>
        <v/>
      </c>
      <c r="BD367" s="123" t="str">
        <f aca="false">IF(ISBLANK($C367),"",AND($BC367,OR(AND($AL367="",OR($AK367,NOT(ISBLANK($S367)))),$AM367="",$AN367="")))</f>
        <v/>
      </c>
      <c r="BE367" s="125" t="str">
        <f aca="false">IF($BL367&lt;&gt;Constants!$B$4,"",IF(NOT($BC367),"",ROUND((Constants!$B$12-$AB367)+(Constants!$B$13-$Z367)+(Constants!$B$14-$AA367),1)))</f>
        <v/>
      </c>
      <c r="BF367" s="127" t="str">
        <f aca="false">IF($BL367&lt;&gt;Constants!$B$4,"",IF(NOT($BC367),"",IF(NOT($AK367),0,Constants!$B$15*(INT(ROUND(MIN($AL367,$AP$9),6))-INT(ROUND(MAX(0,MIN($AL367,2*$AP$9)-$AP$9),6))))))</f>
        <v/>
      </c>
      <c r="BG367" s="127" t="str">
        <f aca="false">IF($BL367&lt;&gt;Constants!$B$4,"",IF(NOT($BC367),"",Constants!$B$16*$AM367))</f>
        <v/>
      </c>
      <c r="BH367" s="127" t="str">
        <f aca="false">IF($BL367&lt;&gt;Constants!$B$4,"",IF(NOT($BC367),"",Constants!$B$18*INT(ROUND($AN367,6))))</f>
        <v/>
      </c>
      <c r="BI367" s="123" t="str">
        <f aca="false">IF($BL367&lt;&gt;Constants!$B$4,"",IF(NOT($BC367),"",IF(NOT($X367),Constants!$B$11,IF(OR(NOT($AI367),NOT($AJ367),ROUND($AB367,1)&gt;Constants!$B$12,ROUND($Z367,1)&gt;Constants!$B$13,ROUND($AA367,1)&gt;Constants!$B$14),Constants!$B$10,Constants!$B$9))))</f>
        <v/>
      </c>
      <c r="BJ367" s="128" t="str">
        <f aca="false">IF($BL367&lt;&gt;Constants!$B$4,"",IF(NOT($BC367),"",ROUND($BE367+$BF367+$BG367+$BH367,1)))</f>
        <v/>
      </c>
      <c r="BK367" s="129" t="str">
        <f aca="false">IF($BL367&lt;&gt;Constants!$B$4,"",IF(NOT($BC367),"",IF(ISNUMBER($AL367),$AL367,0)))</f>
        <v/>
      </c>
      <c r="BL367" s="124" t="str">
        <f aca="false">IF(ISBLANK($C367),"",IF($AO367,Constants!$B$7,IF(COUNTA($E367:$V367)=0,Constants!$B$6,IF(NOT($Y367),Constants!$B$5,IF(NOT(OR($AS367,$BC367)),Constants!$B$5,IF(OR($AT367,$BD367,$AQ367,$AR367&lt;&gt;""),Constants!$B$8,Constants!$B$4))))))</f>
        <v/>
      </c>
      <c r="BM367" s="124" t="str">
        <f aca="false">IF(ISBLANK($C367),"",IF($BL367&lt;&gt;Constants!$B$4,$BL367,IF($BB367="-&gt;",$BI367,$AY367)))</f>
        <v/>
      </c>
      <c r="BN367" s="127" t="str">
        <f aca="false">IF($BL367&lt;&gt;Constants!$B$4,"",IF($BB367="-&gt;",$BJ367,$AZ367))</f>
        <v/>
      </c>
      <c r="BO367" s="127" t="str">
        <f aca="false">IF(ISBLANK($C367),"",IF($BL367&lt;&gt;Constants!$B$4,$BL367,$BN367))</f>
        <v/>
      </c>
      <c r="BP367" s="124" t="str">
        <f aca="false">IF(ISBLANK($C367),"",IF($BL367&lt;&gt;Constants!$B$4,$BL367,RANK($BO367,$BO$9:$BO$508,0)))</f>
        <v/>
      </c>
      <c r="BQ367" s="124" t="str">
        <f aca="false">IF(ISBLANK($C367),"",IF($BL367&lt;&gt;Constants!$B$4,$BL367,COUNTIFS($BM$9:$BM$508,"&lt;"&amp;$BM367)+COUNTIFS($BM$9:$BM$508,$BM367,$BP$9:$BP$508,"&lt;"&amp;$BP367)+1))</f>
        <v/>
      </c>
      <c r="BR367" s="127" t="str">
        <f aca="false">IF($BL367&lt;&gt;Constants!$B$4,"",IF($BB367="-&gt;",$BH367,$AX367))</f>
        <v/>
      </c>
      <c r="BS367" s="124" t="str">
        <f aca="false">IF(ISBLANK($C367),"",IF($BL367&lt;&gt;Constants!$B$4,$BL367,IF(ISNUMBER($BR367),RANK($BR367,$BR$9:$BR$508,0),COUNT($BR$9:$BR$508)+1)))</f>
        <v/>
      </c>
      <c r="BT367" s="127" t="str">
        <f aca="false">IF($BL367&lt;&gt;Constants!$B$4,"",IF($BB367="-&gt;",$BE367,$AU367))</f>
        <v/>
      </c>
      <c r="BU367" s="124" t="str">
        <f aca="false">IF(ISBLANK($C367),"",IF($BL367&lt;&gt;Constants!$B$4,$BL367,IF(ISNUMBER($BT367),RANK($BT367,$BT$9:$BT$508,0),COUNT($BT$9:$BT$508)+1)))</f>
        <v/>
      </c>
      <c r="BV367" s="127" t="str">
        <f aca="false">IF($BL367&lt;&gt;Constants!$B$4,"",IF($BB367="-&gt;",$BF367,$AV367))</f>
        <v/>
      </c>
      <c r="BW367" s="124" t="str">
        <f aca="false">IF(ISBLANK($C367),"",IF($BL367&lt;&gt;Constants!$B$4,$BL367,IF(ISNUMBER($BV367),RANK($BV367,$BV$9:$BV$508,0),COUNT($BV$9:$BV$508)+1)))</f>
        <v/>
      </c>
      <c r="BX367" s="127" t="str">
        <f aca="false">IF($BL367&lt;&gt;Constants!$B$4,"",IF($BB367="-&gt;",$BK367,$BA367))</f>
        <v/>
      </c>
      <c r="BY367" s="124" t="str">
        <f aca="false">IF(ISBLANK($C367),"",IF($BL367&lt;&gt;Constants!$B$4,$BL367,IF(ISNUMBER($BX367),RANK($BX367,$BX$9:$BX$508,0),COUNT($BX$9:$BX$508)+1)))</f>
        <v/>
      </c>
      <c r="BZ367" s="124" t="str">
        <f aca="false">IF(ISBLANK($C367),"",IF($BL367&lt;&gt;Constants!$B$4,$BL367,COUNTIFS($BM$9:$BM$508,"&lt;"&amp;$BM367)+COUNTIFS($BM$9:$BM$508,$BM367,$BP$9:$BP$508,"&lt;"&amp;$BP367)+COUNTIFS($BM$9:$BM$508,$BM367,$BP$9:$BP$508,$BP367,$BS$9:$BS$508,"&lt;"&amp;$BS367)+COUNTIFS($BM$9:$BM$508,$BM367,$BP$9:$BP$508,$BP367,$BS$9:$BS$508,$BS367,$BU$9:$BU$508,"&lt;"&amp;$BU367)+COUNTIFS($BM$9:$BM$508,$BM367,$BP$9:$BP$508,$BP367,$BS$9:$BS$508,$BS367,$BU$9:$BU$508,$BU367,$BW$9:$BW$508,"&lt;"&amp;$BW367)+COUNTIFS($BM$9:$BM$508,$BM367,$BP$9:$BP$508,$BP367,$BS$9:$BS$508,$BS367,$BU$9:$BU$508,$BU367,$BW$9:$BW$508,$BW367,$BY$9:$BY$508,"&lt;"&amp;$BY367)+1))</f>
        <v/>
      </c>
      <c r="CA367" s="124" t="str">
        <f aca="false">IF(ISBLANK($C367),"",IF($BL367&lt;&gt;Constants!$B$4,$BL367,$BQ367-$BZ367))</f>
        <v/>
      </c>
      <c r="CB367" s="130"/>
      <c r="CC367" s="131" t="str">
        <f aca="false">IF(ISBLANK($C367),"",IF($BL367=Constants!$B$8,$AR367,""))</f>
        <v/>
      </c>
      <c r="CD367" s="131" t="str">
        <f aca="false">IF(ISBLANK($C367),"",IF($BL367&lt;&gt;Constants!$B$4,"",IF($BB367="-&gt;",2,1)))</f>
        <v/>
      </c>
      <c r="CE367" s="132" t="str">
        <f aca="false">IF(ISBLANK($C367),"",IF($BL367&lt;&gt;Constants!$B$4,"",IF($BB367="-&gt;",$BE367,$AU367)))</f>
        <v/>
      </c>
      <c r="CF367" s="132" t="str">
        <f aca="false">IF(ISBLANK($C367),"",IF($BL367&lt;&gt;Constants!$B$4,"",IF($BB367="-&gt;",$BF367,$AV367)))</f>
        <v/>
      </c>
      <c r="CG367" s="132" t="str">
        <f aca="false">IF(ISBLANK($C367),"",IF($BL367&lt;&gt;Constants!$B$4,"",IF($BB367="-&gt;",$BG367,$AW367)))</f>
        <v/>
      </c>
      <c r="CH367" s="132" t="str">
        <f aca="false">IF(ISBLANK($C367),"",IF($BL367&lt;&gt;Constants!$B$4,"",IF($BB367="-&gt;",$BH367,$AX367)))</f>
        <v/>
      </c>
      <c r="CI367" s="133" t="str">
        <f aca="false">IF(ISBLANK($C367),"",$BO367)</f>
        <v/>
      </c>
      <c r="CJ367" s="134" t="str">
        <f aca="false">IF(ISBLANK($C367),"",$BM367)</f>
        <v/>
      </c>
      <c r="CK367" s="135" t="str">
        <f aca="false">IF(ISBLANK($C367),"",$CA367)</f>
        <v/>
      </c>
      <c r="CL367" s="135" t="str">
        <f aca="false">IF(ISBLANK($C367),"",$BZ367)</f>
        <v/>
      </c>
      <c r="CM367" s="136" t="str">
        <f aca="false">IF(ISBLANK($C367),"",IF($CL367=Constants!$B$7,COUNTA($C$9:$C$508)+2,IF($CL367=Constants!$B$6,COUNTA($C$9:$C$508)+1,IF($CL367=Constants!$B$5,COUNTA($C$9:$C$508),$CL367))))</f>
        <v/>
      </c>
      <c r="CN367" s="8"/>
      <c r="CO367" s="137" t="n">
        <f aca="false">IF(OR(ISNUMBER($CL367),$CL367=Constants!$B$7,$CL367=Constants!$B$5,$CL367=Constants!$B$6),1,0)</f>
        <v>0</v>
      </c>
      <c r="CP367" s="137" t="n">
        <v>359</v>
      </c>
      <c r="CQ367" s="137" t="str">
        <f aca="false">IF(ISBLANK($C367),"",IF(ISNUMBER($CM367),$CM367+ROW($B367)/1000,""))</f>
        <v/>
      </c>
      <c r="CR367" s="137" t="str">
        <f aca="false">IF(ISNUMBER($CQ367),RANK($CQ367,$CQ$9:$CQ$508,1),"")</f>
        <v/>
      </c>
      <c r="CS367" s="137" t="str">
        <f aca="false">IF(ISBLANK($C367),"",$B367)</f>
        <v/>
      </c>
      <c r="CT367" s="137" t="str">
        <f aca="false">IF(ISBLANK($C367),"",$C367)</f>
        <v/>
      </c>
      <c r="CU367" s="137" t="str">
        <f aca="false">IF(ISBLANK($C367),"",$D367)</f>
        <v/>
      </c>
      <c r="CV367" s="138" t="str">
        <f aca="false">$CJ367</f>
        <v/>
      </c>
      <c r="CW367" s="139" t="str">
        <f aca="false">$CI367</f>
        <v/>
      </c>
      <c r="CX367" s="137" t="str">
        <f aca="false">IF(ISBLANK($C367),"",$CL367)</f>
        <v/>
      </c>
      <c r="CY367" s="140" t="str">
        <f aca="false">IF($CP367&gt;$CO$8,"",VLOOKUP($CP367,$CR$9:$CX$508,7,FALSE()))</f>
        <v/>
      </c>
      <c r="CZ367" s="141" t="str">
        <f aca="false">IF($CP367&gt;$CO$8,"",VLOOKUP($CP367,$CR$9:$CX$508,2,FALSE()))</f>
        <v/>
      </c>
      <c r="DA367" s="141" t="str">
        <f aca="false">IF($CP367&gt;$CO$8,"",VLOOKUP($CP367,$CR$9:$CX$508,3,FALSE()))</f>
        <v/>
      </c>
      <c r="DB367" s="141" t="str">
        <f aca="false">IF($CP367&gt;$CO$8,"",VLOOKUP($CP367,$CR$9:$CX$508,4,FALSE()))</f>
        <v/>
      </c>
      <c r="DC367" s="141" t="str">
        <f aca="false">IF($CP367&gt;$CO$8,"",VLOOKUP($CP367,$CR$9:$CX$508,5,FALSE()))</f>
        <v/>
      </c>
      <c r="DD367" s="142" t="str">
        <f aca="false">IF($CP367&gt;$CO$8,"",VLOOKUP($CP367,$CR$9:$CX$508,6,FALSE()))</f>
        <v/>
      </c>
      <c r="DE367" s="70"/>
    </row>
    <row r="368" customFormat="false" ht="15.75" hidden="false" customHeight="false" outlineLevel="0" collapsed="false">
      <c r="A368" s="8"/>
      <c r="B368" s="146"/>
      <c r="C368" s="147"/>
      <c r="D368" s="148"/>
      <c r="E368" s="164"/>
      <c r="F368" s="150"/>
      <c r="G368" s="115"/>
      <c r="H368" s="115"/>
      <c r="I368" s="115"/>
      <c r="J368" s="165"/>
      <c r="K368" s="154"/>
      <c r="L368" s="154"/>
      <c r="M368" s="118"/>
      <c r="N368" s="154"/>
      <c r="O368" s="153"/>
      <c r="P368" s="154"/>
      <c r="Q368" s="154"/>
      <c r="R368" s="154"/>
      <c r="S368" s="115"/>
      <c r="T368" s="154"/>
      <c r="U368" s="153"/>
      <c r="V368" s="154"/>
      <c r="W368" s="123"/>
      <c r="X368" s="124" t="str">
        <f aca="false">IF(ISBLANK($C368),"",IF($E368=Constants!$B$2,TRUE(),IF($E368=Constants!$B$3,FALSE(),TRUE())))</f>
        <v/>
      </c>
      <c r="Y368" s="124" t="str">
        <f aca="false">IF(ISBLANK($C368),"",IF($F368=Constants!$B$2,TRUE(),IF($F368=Constants!$B$3,FALSE(),TRUE())))</f>
        <v/>
      </c>
      <c r="Z368" s="125" t="str">
        <f aca="false">IF(ISBLANK($C368),"",IF(ISNUMBER($G368),IF($G368&gt;=0,$G368,""),""))</f>
        <v/>
      </c>
      <c r="AA368" s="125" t="str">
        <f aca="false">IF(ISBLANK($C368),"",IF(ISNUMBER($H368),IF($H368&gt;=0,$H368,""),""))</f>
        <v/>
      </c>
      <c r="AB368" s="125" t="str">
        <f aca="false">IF(ISBLANK($C368),"",IF(ISNUMBER($I368),IF($I368&gt;=0,$I368,""),""))</f>
        <v/>
      </c>
      <c r="AC368" s="124" t="str">
        <f aca="false">IF(ISBLANK($C368),"",IF($J368=Constants!$B$2,TRUE(),IF($J368=Constants!$B$3,FALSE(),TRUE())))</f>
        <v/>
      </c>
      <c r="AD368" s="124" t="str">
        <f aca="false">IF(ISBLANK($C368),"",IF($K368=Constants!$B$2,TRUE(),IF($K368=Constants!$B$3,FALSE(),TRUE())))</f>
        <v/>
      </c>
      <c r="AE368" s="124" t="str">
        <f aca="false">IF(ISBLANK($C368),"",IF($L368=Constants!$B$2,TRUE(),IF($L368=Constants!$B$3,FALSE(),TRUE())))</f>
        <v/>
      </c>
      <c r="AF368" s="126" t="str">
        <f aca="false">IF(ISBLANK($C368),"",IF(ISNUMBER($M368),IF($M368&gt;=0,$M368,""),""))</f>
        <v/>
      </c>
      <c r="AG368" s="124" t="str">
        <f aca="false">IF(ISBLANK($C368),"",IF(ISBLANK($N368),0,IF(ISNUMBER($N368),IF(AND($N368&gt;=0,$N368&lt;=Constants!$B$17,$N368=INT($N368)),$N368,""),"")))</f>
        <v/>
      </c>
      <c r="AH368" s="125" t="str">
        <f aca="false">IF(ISBLANK($C368),"",IF(ISBLANK($O368),0,IF(ISNUMBER($O368),IF($O368&gt;=0,$O368,""),"")))</f>
        <v/>
      </c>
      <c r="AI368" s="124" t="str">
        <f aca="false">IF(ISBLANK($C368),"",IF($P368=Constants!$B$2,TRUE(),IF($P368=Constants!$B$3,FALSE(),TRUE())))</f>
        <v/>
      </c>
      <c r="AJ368" s="124" t="str">
        <f aca="false">IF(ISBLANK($C368),"",IF($Q368=Constants!$B$2,TRUE(),IF($Q368=Constants!$B$3,FALSE(),TRUE())))</f>
        <v/>
      </c>
      <c r="AK368" s="124" t="str">
        <f aca="false">IF(ISBLANK($C368),"",IF($R368=Constants!$B$2,TRUE(),IF($R368=Constants!$B$3,FALSE(),TRUE())))</f>
        <v/>
      </c>
      <c r="AL368" s="126" t="str">
        <f aca="false">IF(ISBLANK($C368),"",IF(ISNUMBER($S368),IF($S368&gt;=0,$S368,""),""))</f>
        <v/>
      </c>
      <c r="AM368" s="124" t="str">
        <f aca="false">IF(ISBLANK($C368),"",IF(ISBLANK($T368),0,IF(ISNUMBER($T368),IF(AND($T368&gt;=0,$T368&lt;=Constants!$B$17,$T368=INT($T368)),$T368,""),"")))</f>
        <v/>
      </c>
      <c r="AN368" s="125" t="str">
        <f aca="false">IF(ISBLANK($C368),"",IF(ISBLANK($U368),0,IF(ISNUMBER($U368),IF($U368&gt;=0,$U368,""),"")))</f>
        <v/>
      </c>
      <c r="AO368" s="124" t="str">
        <f aca="false">IF(ISBLANK($C368),"",IF($V368=Constants!$B$2,TRUE(),IF($V368=Constants!$B$3,FALSE(),FALSE())))</f>
        <v/>
      </c>
      <c r="AP368" s="124"/>
      <c r="AQ368" s="123" t="str">
        <f aca="false">IF(ISBLANK($C368),"",AND($Y368,OR($AS368,$BC368),OR($Z368="",$AA368="",$AB368="")))</f>
        <v/>
      </c>
      <c r="AR368" s="123" t="str">
        <f aca="false">IF(ISBLANK($C368),"",IF(OR(NOT($Y368),NOT(OR($AS368,$BC368))),"",IF(ISBLANK($D$7),$AR$5,IF($AP$9="",$AR$6,""))))</f>
        <v/>
      </c>
      <c r="AS368" s="123" t="str">
        <f aca="false">IF(ISBLANK($C368),"",COUNTA($J368:$O368)&gt;0)</f>
        <v/>
      </c>
      <c r="AT368" s="123" t="str">
        <f aca="false">IF(ISBLANK($C368),"",AND($AS368,OR(AND($AF368="",OR($AE368,NOT(ISBLANK($M368)))),$AG368="",$AH368="")))</f>
        <v/>
      </c>
      <c r="AU368" s="125" t="str">
        <f aca="false">IF($BL368&lt;&gt;Constants!$B$4,"",IF(NOT($AS368),"",ROUND((Constants!$B$12-$AB368)+(Constants!$B$13-$Z368)+(Constants!$B$14-$AA368),1)))</f>
        <v/>
      </c>
      <c r="AV368" s="127" t="str">
        <f aca="false">IF($BL368&lt;&gt;Constants!$B$4,"",IF(NOT($AS368),"",IF(NOT($AE368),0,Constants!$B$15*(INT(ROUND(MIN($AF368,$AP$9),6))-INT(ROUND(MAX(0,MIN($AF368,2*$AP$9)-$AP$9),6))))))</f>
        <v/>
      </c>
      <c r="AW368" s="127" t="str">
        <f aca="false">IF($BL368&lt;&gt;Constants!$B$4,"",IF(NOT($AS368),"",Constants!$B$16*$AG368))</f>
        <v/>
      </c>
      <c r="AX368" s="127" t="str">
        <f aca="false">IF($BL368&lt;&gt;Constants!$B$4,"",IF(NOT($AS368),"",Constants!$B$18*INT(ROUND($AH368,6))))</f>
        <v/>
      </c>
      <c r="AY368" s="123" t="str">
        <f aca="false">IF($BL368&lt;&gt;Constants!$B$4,"",IF(NOT($AS368),"",IF(NOT($X368),Constants!$B$11,IF(OR(NOT($AC368),NOT($AD368),ROUND($AB368,1)&gt;Constants!$B$12,ROUND($Z368,1)&gt;Constants!$B$13,ROUND($AA368,1)&gt;Constants!$B$14),Constants!$B$10,Constants!$B$9))))</f>
        <v/>
      </c>
      <c r="AZ368" s="128" t="str">
        <f aca="false">IF($BL368&lt;&gt;Constants!$B$4,"",IF(NOT($AS368),"",ROUND($AU368+$AV368+$AW368+$AX368,1)))</f>
        <v/>
      </c>
      <c r="BA368" s="129" t="str">
        <f aca="false">IF($BL368&lt;&gt;Constants!$B$4,"",IF(NOT($AS368),"",IF(ISNUMBER($AF368),$AF368,0)))</f>
        <v/>
      </c>
      <c r="BB368" s="124" t="str">
        <f aca="false">IF($BL368&lt;&gt;Constants!$B$4,"",IF(NOT($BC368),"&lt;-",IF(NOT($AS368),"-&gt;",IF(OR($BI368&lt;$AY368,AND($BI368=$AY368,OR($BJ368&gt;$AZ368,AND($BJ368=$AZ368,OR($BH368&gt;$AX368,AND($BH368=$AX368,OR($BE368&gt;$AU368,AND($BE368=$AU368,OR($BF368&gt;$AV368,AND($BF368=$AV368,$BK368&gt;$BA368)))))))))),"-&gt;","&lt;-"))))</f>
        <v/>
      </c>
      <c r="BC368" s="123" t="str">
        <f aca="false">IF(ISBLANK($C368),"",COUNTA($P368:$U368)&gt;0)</f>
        <v/>
      </c>
      <c r="BD368" s="123" t="str">
        <f aca="false">IF(ISBLANK($C368),"",AND($BC368,OR(AND($AL368="",OR($AK368,NOT(ISBLANK($S368)))),$AM368="",$AN368="")))</f>
        <v/>
      </c>
      <c r="BE368" s="125" t="str">
        <f aca="false">IF($BL368&lt;&gt;Constants!$B$4,"",IF(NOT($BC368),"",ROUND((Constants!$B$12-$AB368)+(Constants!$B$13-$Z368)+(Constants!$B$14-$AA368),1)))</f>
        <v/>
      </c>
      <c r="BF368" s="127" t="str">
        <f aca="false">IF($BL368&lt;&gt;Constants!$B$4,"",IF(NOT($BC368),"",IF(NOT($AK368),0,Constants!$B$15*(INT(ROUND(MIN($AL368,$AP$9),6))-INT(ROUND(MAX(0,MIN($AL368,2*$AP$9)-$AP$9),6))))))</f>
        <v/>
      </c>
      <c r="BG368" s="127" t="str">
        <f aca="false">IF($BL368&lt;&gt;Constants!$B$4,"",IF(NOT($BC368),"",Constants!$B$16*$AM368))</f>
        <v/>
      </c>
      <c r="BH368" s="127" t="str">
        <f aca="false">IF($BL368&lt;&gt;Constants!$B$4,"",IF(NOT($BC368),"",Constants!$B$18*INT(ROUND($AN368,6))))</f>
        <v/>
      </c>
      <c r="BI368" s="123" t="str">
        <f aca="false">IF($BL368&lt;&gt;Constants!$B$4,"",IF(NOT($BC368),"",IF(NOT($X368),Constants!$B$11,IF(OR(NOT($AI368),NOT($AJ368),ROUND($AB368,1)&gt;Constants!$B$12,ROUND($Z368,1)&gt;Constants!$B$13,ROUND($AA368,1)&gt;Constants!$B$14),Constants!$B$10,Constants!$B$9))))</f>
        <v/>
      </c>
      <c r="BJ368" s="128" t="str">
        <f aca="false">IF($BL368&lt;&gt;Constants!$B$4,"",IF(NOT($BC368),"",ROUND($BE368+$BF368+$BG368+$BH368,1)))</f>
        <v/>
      </c>
      <c r="BK368" s="129" t="str">
        <f aca="false">IF($BL368&lt;&gt;Constants!$B$4,"",IF(NOT($BC368),"",IF(ISNUMBER($AL368),$AL368,0)))</f>
        <v/>
      </c>
      <c r="BL368" s="124" t="str">
        <f aca="false">IF(ISBLANK($C368),"",IF($AO368,Constants!$B$7,IF(COUNTA($E368:$V368)=0,Constants!$B$6,IF(NOT($Y368),Constants!$B$5,IF(NOT(OR($AS368,$BC368)),Constants!$B$5,IF(OR($AT368,$BD368,$AQ368,$AR368&lt;&gt;""),Constants!$B$8,Constants!$B$4))))))</f>
        <v/>
      </c>
      <c r="BM368" s="124" t="str">
        <f aca="false">IF(ISBLANK($C368),"",IF($BL368&lt;&gt;Constants!$B$4,$BL368,IF($BB368="-&gt;",$BI368,$AY368)))</f>
        <v/>
      </c>
      <c r="BN368" s="127" t="str">
        <f aca="false">IF($BL368&lt;&gt;Constants!$B$4,"",IF($BB368="-&gt;",$BJ368,$AZ368))</f>
        <v/>
      </c>
      <c r="BO368" s="127" t="str">
        <f aca="false">IF(ISBLANK($C368),"",IF($BL368&lt;&gt;Constants!$B$4,$BL368,$BN368))</f>
        <v/>
      </c>
      <c r="BP368" s="124" t="str">
        <f aca="false">IF(ISBLANK($C368),"",IF($BL368&lt;&gt;Constants!$B$4,$BL368,RANK($BO368,$BO$9:$BO$508,0)))</f>
        <v/>
      </c>
      <c r="BQ368" s="124" t="str">
        <f aca="false">IF(ISBLANK($C368),"",IF($BL368&lt;&gt;Constants!$B$4,$BL368,COUNTIFS($BM$9:$BM$508,"&lt;"&amp;$BM368)+COUNTIFS($BM$9:$BM$508,$BM368,$BP$9:$BP$508,"&lt;"&amp;$BP368)+1))</f>
        <v/>
      </c>
      <c r="BR368" s="127" t="str">
        <f aca="false">IF($BL368&lt;&gt;Constants!$B$4,"",IF($BB368="-&gt;",$BH368,$AX368))</f>
        <v/>
      </c>
      <c r="BS368" s="124" t="str">
        <f aca="false">IF(ISBLANK($C368),"",IF($BL368&lt;&gt;Constants!$B$4,$BL368,IF(ISNUMBER($BR368),RANK($BR368,$BR$9:$BR$508,0),COUNT($BR$9:$BR$508)+1)))</f>
        <v/>
      </c>
      <c r="BT368" s="127" t="str">
        <f aca="false">IF($BL368&lt;&gt;Constants!$B$4,"",IF($BB368="-&gt;",$BE368,$AU368))</f>
        <v/>
      </c>
      <c r="BU368" s="124" t="str">
        <f aca="false">IF(ISBLANK($C368),"",IF($BL368&lt;&gt;Constants!$B$4,$BL368,IF(ISNUMBER($BT368),RANK($BT368,$BT$9:$BT$508,0),COUNT($BT$9:$BT$508)+1)))</f>
        <v/>
      </c>
      <c r="BV368" s="127" t="str">
        <f aca="false">IF($BL368&lt;&gt;Constants!$B$4,"",IF($BB368="-&gt;",$BF368,$AV368))</f>
        <v/>
      </c>
      <c r="BW368" s="124" t="str">
        <f aca="false">IF(ISBLANK($C368),"",IF($BL368&lt;&gt;Constants!$B$4,$BL368,IF(ISNUMBER($BV368),RANK($BV368,$BV$9:$BV$508,0),COUNT($BV$9:$BV$508)+1)))</f>
        <v/>
      </c>
      <c r="BX368" s="127" t="str">
        <f aca="false">IF($BL368&lt;&gt;Constants!$B$4,"",IF($BB368="-&gt;",$BK368,$BA368))</f>
        <v/>
      </c>
      <c r="BY368" s="124" t="str">
        <f aca="false">IF(ISBLANK($C368),"",IF($BL368&lt;&gt;Constants!$B$4,$BL368,IF(ISNUMBER($BX368),RANK($BX368,$BX$9:$BX$508,0),COUNT($BX$9:$BX$508)+1)))</f>
        <v/>
      </c>
      <c r="BZ368" s="124" t="str">
        <f aca="false">IF(ISBLANK($C368),"",IF($BL368&lt;&gt;Constants!$B$4,$BL368,COUNTIFS($BM$9:$BM$508,"&lt;"&amp;$BM368)+COUNTIFS($BM$9:$BM$508,$BM368,$BP$9:$BP$508,"&lt;"&amp;$BP368)+COUNTIFS($BM$9:$BM$508,$BM368,$BP$9:$BP$508,$BP368,$BS$9:$BS$508,"&lt;"&amp;$BS368)+COUNTIFS($BM$9:$BM$508,$BM368,$BP$9:$BP$508,$BP368,$BS$9:$BS$508,$BS368,$BU$9:$BU$508,"&lt;"&amp;$BU368)+COUNTIFS($BM$9:$BM$508,$BM368,$BP$9:$BP$508,$BP368,$BS$9:$BS$508,$BS368,$BU$9:$BU$508,$BU368,$BW$9:$BW$508,"&lt;"&amp;$BW368)+COUNTIFS($BM$9:$BM$508,$BM368,$BP$9:$BP$508,$BP368,$BS$9:$BS$508,$BS368,$BU$9:$BU$508,$BU368,$BW$9:$BW$508,$BW368,$BY$9:$BY$508,"&lt;"&amp;$BY368)+1))</f>
        <v/>
      </c>
      <c r="CA368" s="124" t="str">
        <f aca="false">IF(ISBLANK($C368),"",IF($BL368&lt;&gt;Constants!$B$4,$BL368,$BQ368-$BZ368))</f>
        <v/>
      </c>
      <c r="CB368" s="130"/>
      <c r="CC368" s="131" t="str">
        <f aca="false">IF(ISBLANK($C368),"",IF($BL368=Constants!$B$8,$AR368,""))</f>
        <v/>
      </c>
      <c r="CD368" s="131" t="str">
        <f aca="false">IF(ISBLANK($C368),"",IF($BL368&lt;&gt;Constants!$B$4,"",IF($BB368="-&gt;",2,1)))</f>
        <v/>
      </c>
      <c r="CE368" s="132" t="str">
        <f aca="false">IF(ISBLANK($C368),"",IF($BL368&lt;&gt;Constants!$B$4,"",IF($BB368="-&gt;",$BE368,$AU368)))</f>
        <v/>
      </c>
      <c r="CF368" s="132" t="str">
        <f aca="false">IF(ISBLANK($C368),"",IF($BL368&lt;&gt;Constants!$B$4,"",IF($BB368="-&gt;",$BF368,$AV368)))</f>
        <v/>
      </c>
      <c r="CG368" s="132" t="str">
        <f aca="false">IF(ISBLANK($C368),"",IF($BL368&lt;&gt;Constants!$B$4,"",IF($BB368="-&gt;",$BG368,$AW368)))</f>
        <v/>
      </c>
      <c r="CH368" s="132" t="str">
        <f aca="false">IF(ISBLANK($C368),"",IF($BL368&lt;&gt;Constants!$B$4,"",IF($BB368="-&gt;",$BH368,$AX368)))</f>
        <v/>
      </c>
      <c r="CI368" s="133" t="str">
        <f aca="false">IF(ISBLANK($C368),"",$BO368)</f>
        <v/>
      </c>
      <c r="CJ368" s="134" t="str">
        <f aca="false">IF(ISBLANK($C368),"",$BM368)</f>
        <v/>
      </c>
      <c r="CK368" s="135" t="str">
        <f aca="false">IF(ISBLANK($C368),"",$CA368)</f>
        <v/>
      </c>
      <c r="CL368" s="135" t="str">
        <f aca="false">IF(ISBLANK($C368),"",$BZ368)</f>
        <v/>
      </c>
      <c r="CM368" s="136" t="str">
        <f aca="false">IF(ISBLANK($C368),"",IF($CL368=Constants!$B$7,COUNTA($C$9:$C$508)+2,IF($CL368=Constants!$B$6,COUNTA($C$9:$C$508)+1,IF($CL368=Constants!$B$5,COUNTA($C$9:$C$508),$CL368))))</f>
        <v/>
      </c>
      <c r="CN368" s="8"/>
      <c r="CO368" s="137" t="n">
        <f aca="false">IF(OR(ISNUMBER($CL368),$CL368=Constants!$B$7,$CL368=Constants!$B$5,$CL368=Constants!$B$6),1,0)</f>
        <v>0</v>
      </c>
      <c r="CP368" s="137" t="n">
        <v>360</v>
      </c>
      <c r="CQ368" s="137" t="str">
        <f aca="false">IF(ISBLANK($C368),"",IF(ISNUMBER($CM368),$CM368+ROW($B368)/1000,""))</f>
        <v/>
      </c>
      <c r="CR368" s="137" t="str">
        <f aca="false">IF(ISNUMBER($CQ368),RANK($CQ368,$CQ$9:$CQ$508,1),"")</f>
        <v/>
      </c>
      <c r="CS368" s="137" t="str">
        <f aca="false">IF(ISBLANK($C368),"",$B368)</f>
        <v/>
      </c>
      <c r="CT368" s="137" t="str">
        <f aca="false">IF(ISBLANK($C368),"",$C368)</f>
        <v/>
      </c>
      <c r="CU368" s="137" t="str">
        <f aca="false">IF(ISBLANK($C368),"",$D368)</f>
        <v/>
      </c>
      <c r="CV368" s="138" t="str">
        <f aca="false">$CJ368</f>
        <v/>
      </c>
      <c r="CW368" s="139" t="str">
        <f aca="false">$CI368</f>
        <v/>
      </c>
      <c r="CX368" s="137" t="str">
        <f aca="false">IF(ISBLANK($C368),"",$CL368)</f>
        <v/>
      </c>
      <c r="CY368" s="140" t="str">
        <f aca="false">IF($CP368&gt;$CO$8,"",VLOOKUP($CP368,$CR$9:$CX$508,7,FALSE()))</f>
        <v/>
      </c>
      <c r="CZ368" s="141" t="str">
        <f aca="false">IF($CP368&gt;$CO$8,"",VLOOKUP($CP368,$CR$9:$CX$508,2,FALSE()))</f>
        <v/>
      </c>
      <c r="DA368" s="141" t="str">
        <f aca="false">IF($CP368&gt;$CO$8,"",VLOOKUP($CP368,$CR$9:$CX$508,3,FALSE()))</f>
        <v/>
      </c>
      <c r="DB368" s="141" t="str">
        <f aca="false">IF($CP368&gt;$CO$8,"",VLOOKUP($CP368,$CR$9:$CX$508,4,FALSE()))</f>
        <v/>
      </c>
      <c r="DC368" s="141" t="str">
        <f aca="false">IF($CP368&gt;$CO$8,"",VLOOKUP($CP368,$CR$9:$CX$508,5,FALSE()))</f>
        <v/>
      </c>
      <c r="DD368" s="142" t="str">
        <f aca="false">IF($CP368&gt;$CO$8,"",VLOOKUP($CP368,$CR$9:$CX$508,6,FALSE()))</f>
        <v/>
      </c>
      <c r="DE368" s="70"/>
    </row>
    <row r="369" customFormat="false" ht="15.75" hidden="false" customHeight="false" outlineLevel="0" collapsed="false">
      <c r="A369" s="8"/>
      <c r="B369" s="72"/>
      <c r="C369" s="73"/>
      <c r="D369" s="155"/>
      <c r="E369" s="162"/>
      <c r="F369" s="157"/>
      <c r="G369" s="77"/>
      <c r="H369" s="77"/>
      <c r="I369" s="77"/>
      <c r="J369" s="163"/>
      <c r="K369" s="161"/>
      <c r="L369" s="161"/>
      <c r="M369" s="80"/>
      <c r="N369" s="161"/>
      <c r="O369" s="160"/>
      <c r="P369" s="161"/>
      <c r="Q369" s="161"/>
      <c r="R369" s="161"/>
      <c r="S369" s="77"/>
      <c r="T369" s="161"/>
      <c r="U369" s="160"/>
      <c r="V369" s="161"/>
      <c r="W369" s="85"/>
      <c r="X369" s="86" t="str">
        <f aca="false">IF(ISBLANK($C369),"",IF($E369=Constants!$B$2,TRUE(),IF($E369=Constants!$B$3,FALSE(),TRUE())))</f>
        <v/>
      </c>
      <c r="Y369" s="86" t="str">
        <f aca="false">IF(ISBLANK($C369),"",IF($F369=Constants!$B$2,TRUE(),IF($F369=Constants!$B$3,FALSE(),TRUE())))</f>
        <v/>
      </c>
      <c r="Z369" s="87" t="str">
        <f aca="false">IF(ISBLANK($C369),"",IF(ISNUMBER($G369),IF($G369&gt;=0,$G369,""),""))</f>
        <v/>
      </c>
      <c r="AA369" s="87" t="str">
        <f aca="false">IF(ISBLANK($C369),"",IF(ISNUMBER($H369),IF($H369&gt;=0,$H369,""),""))</f>
        <v/>
      </c>
      <c r="AB369" s="87" t="str">
        <f aca="false">IF(ISBLANK($C369),"",IF(ISNUMBER($I369),IF($I369&gt;=0,$I369,""),""))</f>
        <v/>
      </c>
      <c r="AC369" s="86" t="str">
        <f aca="false">IF(ISBLANK($C369),"",IF($J369=Constants!$B$2,TRUE(),IF($J369=Constants!$B$3,FALSE(),TRUE())))</f>
        <v/>
      </c>
      <c r="AD369" s="86" t="str">
        <f aca="false">IF(ISBLANK($C369),"",IF($K369=Constants!$B$2,TRUE(),IF($K369=Constants!$B$3,FALSE(),TRUE())))</f>
        <v/>
      </c>
      <c r="AE369" s="86" t="str">
        <f aca="false">IF(ISBLANK($C369),"",IF($L369=Constants!$B$2,TRUE(),IF($L369=Constants!$B$3,FALSE(),TRUE())))</f>
        <v/>
      </c>
      <c r="AF369" s="88" t="str">
        <f aca="false">IF(ISBLANK($C369),"",IF(ISNUMBER($M369),IF($M369&gt;=0,$M369,""),""))</f>
        <v/>
      </c>
      <c r="AG369" s="86" t="str">
        <f aca="false">IF(ISBLANK($C369),"",IF(ISBLANK($N369),0,IF(ISNUMBER($N369),IF(AND($N369&gt;=0,$N369&lt;=Constants!$B$17,$N369=INT($N369)),$N369,""),"")))</f>
        <v/>
      </c>
      <c r="AH369" s="87" t="str">
        <f aca="false">IF(ISBLANK($C369),"",IF(ISBLANK($O369),0,IF(ISNUMBER($O369),IF($O369&gt;=0,$O369,""),"")))</f>
        <v/>
      </c>
      <c r="AI369" s="86" t="str">
        <f aca="false">IF(ISBLANK($C369),"",IF($P369=Constants!$B$2,TRUE(),IF($P369=Constants!$B$3,FALSE(),TRUE())))</f>
        <v/>
      </c>
      <c r="AJ369" s="86" t="str">
        <f aca="false">IF(ISBLANK($C369),"",IF($Q369=Constants!$B$2,TRUE(),IF($Q369=Constants!$B$3,FALSE(),TRUE())))</f>
        <v/>
      </c>
      <c r="AK369" s="86" t="str">
        <f aca="false">IF(ISBLANK($C369),"",IF($R369=Constants!$B$2,TRUE(),IF($R369=Constants!$B$3,FALSE(),TRUE())))</f>
        <v/>
      </c>
      <c r="AL369" s="88" t="str">
        <f aca="false">IF(ISBLANK($C369),"",IF(ISNUMBER($S369),IF($S369&gt;=0,$S369,""),""))</f>
        <v/>
      </c>
      <c r="AM369" s="86" t="str">
        <f aca="false">IF(ISBLANK($C369),"",IF(ISBLANK($T369),0,IF(ISNUMBER($T369),IF(AND($T369&gt;=0,$T369&lt;=Constants!$B$17,$T369=INT($T369)),$T369,""),"")))</f>
        <v/>
      </c>
      <c r="AN369" s="87" t="str">
        <f aca="false">IF(ISBLANK($C369),"",IF(ISBLANK($U369),0,IF(ISNUMBER($U369),IF($U369&gt;=0,$U369,""),"")))</f>
        <v/>
      </c>
      <c r="AO369" s="86" t="str">
        <f aca="false">IF(ISBLANK($C369),"",IF($V369=Constants!$B$2,TRUE(),IF($V369=Constants!$B$3,FALSE(),FALSE())))</f>
        <v/>
      </c>
      <c r="AP369" s="86"/>
      <c r="AQ369" s="85" t="str">
        <f aca="false">IF(ISBLANK($C369),"",AND($Y369,OR($AS369,$BC369),OR($Z369="",$AA369="",$AB369="")))</f>
        <v/>
      </c>
      <c r="AR369" s="85" t="str">
        <f aca="false">IF(ISBLANK($C369),"",IF(OR(NOT($Y369),NOT(OR($AS369,$BC369))),"",IF(ISBLANK($D$7),$AR$5,IF($AP$9="",$AR$6,""))))</f>
        <v/>
      </c>
      <c r="AS369" s="85" t="str">
        <f aca="false">IF(ISBLANK($C369),"",COUNTA($J369:$O369)&gt;0)</f>
        <v/>
      </c>
      <c r="AT369" s="85" t="str">
        <f aca="false">IF(ISBLANK($C369),"",AND($AS369,OR(AND($AF369="",OR($AE369,NOT(ISBLANK($M369)))),$AG369="",$AH369="")))</f>
        <v/>
      </c>
      <c r="AU369" s="87" t="str">
        <f aca="false">IF($BL369&lt;&gt;Constants!$B$4,"",IF(NOT($AS369),"",ROUND((Constants!$B$12-$AB369)+(Constants!$B$13-$Z369)+(Constants!$B$14-$AA369),1)))</f>
        <v/>
      </c>
      <c r="AV369" s="90" t="str">
        <f aca="false">IF($BL369&lt;&gt;Constants!$B$4,"",IF(NOT($AS369),"",IF(NOT($AE369),0,Constants!$B$15*(INT(ROUND(MIN($AF369,$AP$9),6))-INT(ROUND(MAX(0,MIN($AF369,2*$AP$9)-$AP$9),6))))))</f>
        <v/>
      </c>
      <c r="AW369" s="90" t="str">
        <f aca="false">IF($BL369&lt;&gt;Constants!$B$4,"",IF(NOT($AS369),"",Constants!$B$16*$AG369))</f>
        <v/>
      </c>
      <c r="AX369" s="90" t="str">
        <f aca="false">IF($BL369&lt;&gt;Constants!$B$4,"",IF(NOT($AS369),"",Constants!$B$18*INT(ROUND($AH369,6))))</f>
        <v/>
      </c>
      <c r="AY369" s="85" t="str">
        <f aca="false">IF($BL369&lt;&gt;Constants!$B$4,"",IF(NOT($AS369),"",IF(NOT($X369),Constants!$B$11,IF(OR(NOT($AC369),NOT($AD369),ROUND($AB369,1)&gt;Constants!$B$12,ROUND($Z369,1)&gt;Constants!$B$13,ROUND($AA369,1)&gt;Constants!$B$14),Constants!$B$10,Constants!$B$9))))</f>
        <v/>
      </c>
      <c r="AZ369" s="91" t="str">
        <f aca="false">IF($BL369&lt;&gt;Constants!$B$4,"",IF(NOT($AS369),"",ROUND($AU369+$AV369+$AW369+$AX369,1)))</f>
        <v/>
      </c>
      <c r="BA369" s="92" t="str">
        <f aca="false">IF($BL369&lt;&gt;Constants!$B$4,"",IF(NOT($AS369),"",IF(ISNUMBER($AF369),$AF369,0)))</f>
        <v/>
      </c>
      <c r="BB369" s="86" t="str">
        <f aca="false">IF($BL369&lt;&gt;Constants!$B$4,"",IF(NOT($BC369),"&lt;-",IF(NOT($AS369),"-&gt;",IF(OR($BI369&lt;$AY369,AND($BI369=$AY369,OR($BJ369&gt;$AZ369,AND($BJ369=$AZ369,OR($BH369&gt;$AX369,AND($BH369=$AX369,OR($BE369&gt;$AU369,AND($BE369=$AU369,OR($BF369&gt;$AV369,AND($BF369=$AV369,$BK369&gt;$BA369)))))))))),"-&gt;","&lt;-"))))</f>
        <v/>
      </c>
      <c r="BC369" s="85" t="str">
        <f aca="false">IF(ISBLANK($C369),"",COUNTA($P369:$U369)&gt;0)</f>
        <v/>
      </c>
      <c r="BD369" s="85" t="str">
        <f aca="false">IF(ISBLANK($C369),"",AND($BC369,OR(AND($AL369="",OR($AK369,NOT(ISBLANK($S369)))),$AM369="",$AN369="")))</f>
        <v/>
      </c>
      <c r="BE369" s="87" t="str">
        <f aca="false">IF($BL369&lt;&gt;Constants!$B$4,"",IF(NOT($BC369),"",ROUND((Constants!$B$12-$AB369)+(Constants!$B$13-$Z369)+(Constants!$B$14-$AA369),1)))</f>
        <v/>
      </c>
      <c r="BF369" s="90" t="str">
        <f aca="false">IF($BL369&lt;&gt;Constants!$B$4,"",IF(NOT($BC369),"",IF(NOT($AK369),0,Constants!$B$15*(INT(ROUND(MIN($AL369,$AP$9),6))-INT(ROUND(MAX(0,MIN($AL369,2*$AP$9)-$AP$9),6))))))</f>
        <v/>
      </c>
      <c r="BG369" s="90" t="str">
        <f aca="false">IF($BL369&lt;&gt;Constants!$B$4,"",IF(NOT($BC369),"",Constants!$B$16*$AM369))</f>
        <v/>
      </c>
      <c r="BH369" s="90" t="str">
        <f aca="false">IF($BL369&lt;&gt;Constants!$B$4,"",IF(NOT($BC369),"",Constants!$B$18*INT(ROUND($AN369,6))))</f>
        <v/>
      </c>
      <c r="BI369" s="85" t="str">
        <f aca="false">IF($BL369&lt;&gt;Constants!$B$4,"",IF(NOT($BC369),"",IF(NOT($X369),Constants!$B$11,IF(OR(NOT($AI369),NOT($AJ369),ROUND($AB369,1)&gt;Constants!$B$12,ROUND($Z369,1)&gt;Constants!$B$13,ROUND($AA369,1)&gt;Constants!$B$14),Constants!$B$10,Constants!$B$9))))</f>
        <v/>
      </c>
      <c r="BJ369" s="91" t="str">
        <f aca="false">IF($BL369&lt;&gt;Constants!$B$4,"",IF(NOT($BC369),"",ROUND($BE369+$BF369+$BG369+$BH369,1)))</f>
        <v/>
      </c>
      <c r="BK369" s="92" t="str">
        <f aca="false">IF($BL369&lt;&gt;Constants!$B$4,"",IF(NOT($BC369),"",IF(ISNUMBER($AL369),$AL369,0)))</f>
        <v/>
      </c>
      <c r="BL369" s="86" t="str">
        <f aca="false">IF(ISBLANK($C369),"",IF($AO369,Constants!$B$7,IF(COUNTA($E369:$V369)=0,Constants!$B$6,IF(NOT($Y369),Constants!$B$5,IF(NOT(OR($AS369,$BC369)),Constants!$B$5,IF(OR($AT369,$BD369,$AQ369,$AR369&lt;&gt;""),Constants!$B$8,Constants!$B$4))))))</f>
        <v/>
      </c>
      <c r="BM369" s="86" t="str">
        <f aca="false">IF(ISBLANK($C369),"",IF($BL369&lt;&gt;Constants!$B$4,$BL369,IF($BB369="-&gt;",$BI369,$AY369)))</f>
        <v/>
      </c>
      <c r="BN369" s="90" t="str">
        <f aca="false">IF($BL369&lt;&gt;Constants!$B$4,"",IF($BB369="-&gt;",$BJ369,$AZ369))</f>
        <v/>
      </c>
      <c r="BO369" s="90" t="str">
        <f aca="false">IF(ISBLANK($C369),"",IF($BL369&lt;&gt;Constants!$B$4,$BL369,$BN369))</f>
        <v/>
      </c>
      <c r="BP369" s="86" t="str">
        <f aca="false">IF(ISBLANK($C369),"",IF($BL369&lt;&gt;Constants!$B$4,$BL369,RANK($BO369,$BO$9:$BO$508,0)))</f>
        <v/>
      </c>
      <c r="BQ369" s="86" t="str">
        <f aca="false">IF(ISBLANK($C369),"",IF($BL369&lt;&gt;Constants!$B$4,$BL369,COUNTIFS($BM$9:$BM$508,"&lt;"&amp;$BM369)+COUNTIFS($BM$9:$BM$508,$BM369,$BP$9:$BP$508,"&lt;"&amp;$BP369)+1))</f>
        <v/>
      </c>
      <c r="BR369" s="90" t="str">
        <f aca="false">IF($BL369&lt;&gt;Constants!$B$4,"",IF($BB369="-&gt;",$BH369,$AX369))</f>
        <v/>
      </c>
      <c r="BS369" s="86" t="str">
        <f aca="false">IF(ISBLANK($C369),"",IF($BL369&lt;&gt;Constants!$B$4,$BL369,IF(ISNUMBER($BR369),RANK($BR369,$BR$9:$BR$508,0),COUNT($BR$9:$BR$508)+1)))</f>
        <v/>
      </c>
      <c r="BT369" s="90" t="str">
        <f aca="false">IF($BL369&lt;&gt;Constants!$B$4,"",IF($BB369="-&gt;",$BE369,$AU369))</f>
        <v/>
      </c>
      <c r="BU369" s="86" t="str">
        <f aca="false">IF(ISBLANK($C369),"",IF($BL369&lt;&gt;Constants!$B$4,$BL369,IF(ISNUMBER($BT369),RANK($BT369,$BT$9:$BT$508,0),COUNT($BT$9:$BT$508)+1)))</f>
        <v/>
      </c>
      <c r="BV369" s="90" t="str">
        <f aca="false">IF($BL369&lt;&gt;Constants!$B$4,"",IF($BB369="-&gt;",$BF369,$AV369))</f>
        <v/>
      </c>
      <c r="BW369" s="86" t="str">
        <f aca="false">IF(ISBLANK($C369),"",IF($BL369&lt;&gt;Constants!$B$4,$BL369,IF(ISNUMBER($BV369),RANK($BV369,$BV$9:$BV$508,0),COUNT($BV$9:$BV$508)+1)))</f>
        <v/>
      </c>
      <c r="BX369" s="90" t="str">
        <f aca="false">IF($BL369&lt;&gt;Constants!$B$4,"",IF($BB369="-&gt;",$BK369,$BA369))</f>
        <v/>
      </c>
      <c r="BY369" s="86" t="str">
        <f aca="false">IF(ISBLANK($C369),"",IF($BL369&lt;&gt;Constants!$B$4,$BL369,IF(ISNUMBER($BX369),RANK($BX369,$BX$9:$BX$508,0),COUNT($BX$9:$BX$508)+1)))</f>
        <v/>
      </c>
      <c r="BZ369" s="86" t="str">
        <f aca="false">IF(ISBLANK($C369),"",IF($BL369&lt;&gt;Constants!$B$4,$BL369,COUNTIFS($BM$9:$BM$508,"&lt;"&amp;$BM369)+COUNTIFS($BM$9:$BM$508,$BM369,$BP$9:$BP$508,"&lt;"&amp;$BP369)+COUNTIFS($BM$9:$BM$508,$BM369,$BP$9:$BP$508,$BP369,$BS$9:$BS$508,"&lt;"&amp;$BS369)+COUNTIFS($BM$9:$BM$508,$BM369,$BP$9:$BP$508,$BP369,$BS$9:$BS$508,$BS369,$BU$9:$BU$508,"&lt;"&amp;$BU369)+COUNTIFS($BM$9:$BM$508,$BM369,$BP$9:$BP$508,$BP369,$BS$9:$BS$508,$BS369,$BU$9:$BU$508,$BU369,$BW$9:$BW$508,"&lt;"&amp;$BW369)+COUNTIFS($BM$9:$BM$508,$BM369,$BP$9:$BP$508,$BP369,$BS$9:$BS$508,$BS369,$BU$9:$BU$508,$BU369,$BW$9:$BW$508,$BW369,$BY$9:$BY$508,"&lt;"&amp;$BY369)+1))</f>
        <v/>
      </c>
      <c r="CA369" s="86" t="str">
        <f aca="false">IF(ISBLANK($C369),"",IF($BL369&lt;&gt;Constants!$B$4,$BL369,$BQ369-$BZ369))</f>
        <v/>
      </c>
      <c r="CB369" s="93"/>
      <c r="CC369" s="94" t="str">
        <f aca="false">IF(ISBLANK($C369),"",IF($BL369=Constants!$B$8,$AR369,""))</f>
        <v/>
      </c>
      <c r="CD369" s="94" t="str">
        <f aca="false">IF(ISBLANK($C369),"",IF($BL369&lt;&gt;Constants!$B$4,"",IF($BB369="-&gt;",2,1)))</f>
        <v/>
      </c>
      <c r="CE369" s="95" t="str">
        <f aca="false">IF(ISBLANK($C369),"",IF($BL369&lt;&gt;Constants!$B$4,"",IF($BB369="-&gt;",$BE369,$AU369)))</f>
        <v/>
      </c>
      <c r="CF369" s="95" t="str">
        <f aca="false">IF(ISBLANK($C369),"",IF($BL369&lt;&gt;Constants!$B$4,"",IF($BB369="-&gt;",$BF369,$AV369)))</f>
        <v/>
      </c>
      <c r="CG369" s="95" t="str">
        <f aca="false">IF(ISBLANK($C369),"",IF($BL369&lt;&gt;Constants!$B$4,"",IF($BB369="-&gt;",$BG369,$AW369)))</f>
        <v/>
      </c>
      <c r="CH369" s="95" t="str">
        <f aca="false">IF(ISBLANK($C369),"",IF($BL369&lt;&gt;Constants!$B$4,"",IF($BB369="-&gt;",$BH369,$AX369)))</f>
        <v/>
      </c>
      <c r="CI369" s="96" t="str">
        <f aca="false">IF(ISBLANK($C369),"",$BO369)</f>
        <v/>
      </c>
      <c r="CJ369" s="97" t="str">
        <f aca="false">IF(ISBLANK($C369),"",$BM369)</f>
        <v/>
      </c>
      <c r="CK369" s="98" t="str">
        <f aca="false">IF(ISBLANK($C369),"",$CA369)</f>
        <v/>
      </c>
      <c r="CL369" s="98" t="str">
        <f aca="false">IF(ISBLANK($C369),"",$BZ369)</f>
        <v/>
      </c>
      <c r="CM369" s="99" t="str">
        <f aca="false">IF(ISBLANK($C369),"",IF($CL369=Constants!$B$7,COUNTA($C$9:$C$508)+2,IF($CL369=Constants!$B$6,COUNTA($C$9:$C$508)+1,IF($CL369=Constants!$B$5,COUNTA($C$9:$C$508),$CL369))))</f>
        <v/>
      </c>
      <c r="CN369" s="8"/>
      <c r="CO369" s="100" t="n">
        <f aca="false">IF(OR(ISNUMBER($CL369),$CL369=Constants!$B$7,$CL369=Constants!$B$5,$CL369=Constants!$B$6),1,0)</f>
        <v>0</v>
      </c>
      <c r="CP369" s="100" t="n">
        <v>361</v>
      </c>
      <c r="CQ369" s="100" t="str">
        <f aca="false">IF(ISBLANK($C369),"",IF(ISNUMBER($CM369),$CM369+ROW($B369)/1000,""))</f>
        <v/>
      </c>
      <c r="CR369" s="100" t="str">
        <f aca="false">IF(ISNUMBER($CQ369),RANK($CQ369,$CQ$9:$CQ$508,1),"")</f>
        <v/>
      </c>
      <c r="CS369" s="100" t="str">
        <f aca="false">IF(ISBLANK($C369),"",$B369)</f>
        <v/>
      </c>
      <c r="CT369" s="100" t="str">
        <f aca="false">IF(ISBLANK($C369),"",$C369)</f>
        <v/>
      </c>
      <c r="CU369" s="100" t="str">
        <f aca="false">IF(ISBLANK($C369),"",$D369)</f>
        <v/>
      </c>
      <c r="CV369" s="101" t="str">
        <f aca="false">$CJ369</f>
        <v/>
      </c>
      <c r="CW369" s="102" t="str">
        <f aca="false">$CI369</f>
        <v/>
      </c>
      <c r="CX369" s="100" t="str">
        <f aca="false">IF(ISBLANK($C369),"",$CL369)</f>
        <v/>
      </c>
      <c r="CY369" s="103" t="str">
        <f aca="false">IF($CP369&gt;$CO$8,"",VLOOKUP($CP369,$CR$9:$CX$508,7,FALSE()))</f>
        <v/>
      </c>
      <c r="CZ369" s="104" t="str">
        <f aca="false">IF($CP369&gt;$CO$8,"",VLOOKUP($CP369,$CR$9:$CX$508,2,FALSE()))</f>
        <v/>
      </c>
      <c r="DA369" s="104" t="str">
        <f aca="false">IF($CP369&gt;$CO$8,"",VLOOKUP($CP369,$CR$9:$CX$508,3,FALSE()))</f>
        <v/>
      </c>
      <c r="DB369" s="104" t="str">
        <f aca="false">IF($CP369&gt;$CO$8,"",VLOOKUP($CP369,$CR$9:$CX$508,4,FALSE()))</f>
        <v/>
      </c>
      <c r="DC369" s="104" t="str">
        <f aca="false">IF($CP369&gt;$CO$8,"",VLOOKUP($CP369,$CR$9:$CX$508,5,FALSE()))</f>
        <v/>
      </c>
      <c r="DD369" s="105" t="str">
        <f aca="false">IF($CP369&gt;$CO$8,"",VLOOKUP($CP369,$CR$9:$CX$508,6,FALSE()))</f>
        <v/>
      </c>
      <c r="DE369" s="70"/>
    </row>
    <row r="370" customFormat="false" ht="15.75" hidden="false" customHeight="false" outlineLevel="0" collapsed="false">
      <c r="A370" s="8"/>
      <c r="B370" s="72"/>
      <c r="C370" s="73"/>
      <c r="D370" s="155"/>
      <c r="E370" s="162"/>
      <c r="F370" s="157"/>
      <c r="G370" s="77"/>
      <c r="H370" s="77"/>
      <c r="I370" s="77"/>
      <c r="J370" s="163"/>
      <c r="K370" s="161"/>
      <c r="L370" s="161"/>
      <c r="M370" s="80"/>
      <c r="N370" s="161"/>
      <c r="O370" s="160"/>
      <c r="P370" s="161"/>
      <c r="Q370" s="161"/>
      <c r="R370" s="161"/>
      <c r="S370" s="77"/>
      <c r="T370" s="161"/>
      <c r="U370" s="160"/>
      <c r="V370" s="161"/>
      <c r="W370" s="85"/>
      <c r="X370" s="86" t="str">
        <f aca="false">IF(ISBLANK($C370),"",IF($E370=Constants!$B$2,TRUE(),IF($E370=Constants!$B$3,FALSE(),TRUE())))</f>
        <v/>
      </c>
      <c r="Y370" s="86" t="str">
        <f aca="false">IF(ISBLANK($C370),"",IF($F370=Constants!$B$2,TRUE(),IF($F370=Constants!$B$3,FALSE(),TRUE())))</f>
        <v/>
      </c>
      <c r="Z370" s="87" t="str">
        <f aca="false">IF(ISBLANK($C370),"",IF(ISNUMBER($G370),IF($G370&gt;=0,$G370,""),""))</f>
        <v/>
      </c>
      <c r="AA370" s="87" t="str">
        <f aca="false">IF(ISBLANK($C370),"",IF(ISNUMBER($H370),IF($H370&gt;=0,$H370,""),""))</f>
        <v/>
      </c>
      <c r="AB370" s="87" t="str">
        <f aca="false">IF(ISBLANK($C370),"",IF(ISNUMBER($I370),IF($I370&gt;=0,$I370,""),""))</f>
        <v/>
      </c>
      <c r="AC370" s="86" t="str">
        <f aca="false">IF(ISBLANK($C370),"",IF($J370=Constants!$B$2,TRUE(),IF($J370=Constants!$B$3,FALSE(),TRUE())))</f>
        <v/>
      </c>
      <c r="AD370" s="86" t="str">
        <f aca="false">IF(ISBLANK($C370),"",IF($K370=Constants!$B$2,TRUE(),IF($K370=Constants!$B$3,FALSE(),TRUE())))</f>
        <v/>
      </c>
      <c r="AE370" s="86" t="str">
        <f aca="false">IF(ISBLANK($C370),"",IF($L370=Constants!$B$2,TRUE(),IF($L370=Constants!$B$3,FALSE(),TRUE())))</f>
        <v/>
      </c>
      <c r="AF370" s="88" t="str">
        <f aca="false">IF(ISBLANK($C370),"",IF(ISNUMBER($M370),IF($M370&gt;=0,$M370,""),""))</f>
        <v/>
      </c>
      <c r="AG370" s="86" t="str">
        <f aca="false">IF(ISBLANK($C370),"",IF(ISBLANK($N370),0,IF(ISNUMBER($N370),IF(AND($N370&gt;=0,$N370&lt;=Constants!$B$17,$N370=INT($N370)),$N370,""),"")))</f>
        <v/>
      </c>
      <c r="AH370" s="87" t="str">
        <f aca="false">IF(ISBLANK($C370),"",IF(ISBLANK($O370),0,IF(ISNUMBER($O370),IF($O370&gt;=0,$O370,""),"")))</f>
        <v/>
      </c>
      <c r="AI370" s="86" t="str">
        <f aca="false">IF(ISBLANK($C370),"",IF($P370=Constants!$B$2,TRUE(),IF($P370=Constants!$B$3,FALSE(),TRUE())))</f>
        <v/>
      </c>
      <c r="AJ370" s="86" t="str">
        <f aca="false">IF(ISBLANK($C370),"",IF($Q370=Constants!$B$2,TRUE(),IF($Q370=Constants!$B$3,FALSE(),TRUE())))</f>
        <v/>
      </c>
      <c r="AK370" s="86" t="str">
        <f aca="false">IF(ISBLANK($C370),"",IF($R370=Constants!$B$2,TRUE(),IF($R370=Constants!$B$3,FALSE(),TRUE())))</f>
        <v/>
      </c>
      <c r="AL370" s="88" t="str">
        <f aca="false">IF(ISBLANK($C370),"",IF(ISNUMBER($S370),IF($S370&gt;=0,$S370,""),""))</f>
        <v/>
      </c>
      <c r="AM370" s="86" t="str">
        <f aca="false">IF(ISBLANK($C370),"",IF(ISBLANK($T370),0,IF(ISNUMBER($T370),IF(AND($T370&gt;=0,$T370&lt;=Constants!$B$17,$T370=INT($T370)),$T370,""),"")))</f>
        <v/>
      </c>
      <c r="AN370" s="87" t="str">
        <f aca="false">IF(ISBLANK($C370),"",IF(ISBLANK($U370),0,IF(ISNUMBER($U370),IF($U370&gt;=0,$U370,""),"")))</f>
        <v/>
      </c>
      <c r="AO370" s="86" t="str">
        <f aca="false">IF(ISBLANK($C370),"",IF($V370=Constants!$B$2,TRUE(),IF($V370=Constants!$B$3,FALSE(),FALSE())))</f>
        <v/>
      </c>
      <c r="AP370" s="86"/>
      <c r="AQ370" s="85" t="str">
        <f aca="false">IF(ISBLANK($C370),"",AND($Y370,OR($AS370,$BC370),OR($Z370="",$AA370="",$AB370="")))</f>
        <v/>
      </c>
      <c r="AR370" s="85" t="str">
        <f aca="false">IF(ISBLANK($C370),"",IF(OR(NOT($Y370),NOT(OR($AS370,$BC370))),"",IF(ISBLANK($D$7),$AR$5,IF($AP$9="",$AR$6,""))))</f>
        <v/>
      </c>
      <c r="AS370" s="85" t="str">
        <f aca="false">IF(ISBLANK($C370),"",COUNTA($J370:$O370)&gt;0)</f>
        <v/>
      </c>
      <c r="AT370" s="85" t="str">
        <f aca="false">IF(ISBLANK($C370),"",AND($AS370,OR(AND($AF370="",OR($AE370,NOT(ISBLANK($M370)))),$AG370="",$AH370="")))</f>
        <v/>
      </c>
      <c r="AU370" s="87" t="str">
        <f aca="false">IF($BL370&lt;&gt;Constants!$B$4,"",IF(NOT($AS370),"",ROUND((Constants!$B$12-$AB370)+(Constants!$B$13-$Z370)+(Constants!$B$14-$AA370),1)))</f>
        <v/>
      </c>
      <c r="AV370" s="90" t="str">
        <f aca="false">IF($BL370&lt;&gt;Constants!$B$4,"",IF(NOT($AS370),"",IF(NOT($AE370),0,Constants!$B$15*(INT(ROUND(MIN($AF370,$AP$9),6))-INT(ROUND(MAX(0,MIN($AF370,2*$AP$9)-$AP$9),6))))))</f>
        <v/>
      </c>
      <c r="AW370" s="90" t="str">
        <f aca="false">IF($BL370&lt;&gt;Constants!$B$4,"",IF(NOT($AS370),"",Constants!$B$16*$AG370))</f>
        <v/>
      </c>
      <c r="AX370" s="90" t="str">
        <f aca="false">IF($BL370&lt;&gt;Constants!$B$4,"",IF(NOT($AS370),"",Constants!$B$18*INT(ROUND($AH370,6))))</f>
        <v/>
      </c>
      <c r="AY370" s="85" t="str">
        <f aca="false">IF($BL370&lt;&gt;Constants!$B$4,"",IF(NOT($AS370),"",IF(NOT($X370),Constants!$B$11,IF(OR(NOT($AC370),NOT($AD370),ROUND($AB370,1)&gt;Constants!$B$12,ROUND($Z370,1)&gt;Constants!$B$13,ROUND($AA370,1)&gt;Constants!$B$14),Constants!$B$10,Constants!$B$9))))</f>
        <v/>
      </c>
      <c r="AZ370" s="91" t="str">
        <f aca="false">IF($BL370&lt;&gt;Constants!$B$4,"",IF(NOT($AS370),"",ROUND($AU370+$AV370+$AW370+$AX370,1)))</f>
        <v/>
      </c>
      <c r="BA370" s="92" t="str">
        <f aca="false">IF($BL370&lt;&gt;Constants!$B$4,"",IF(NOT($AS370),"",IF(ISNUMBER($AF370),$AF370,0)))</f>
        <v/>
      </c>
      <c r="BB370" s="86" t="str">
        <f aca="false">IF($BL370&lt;&gt;Constants!$B$4,"",IF(NOT($BC370),"&lt;-",IF(NOT($AS370),"-&gt;",IF(OR($BI370&lt;$AY370,AND($BI370=$AY370,OR($BJ370&gt;$AZ370,AND($BJ370=$AZ370,OR($BH370&gt;$AX370,AND($BH370=$AX370,OR($BE370&gt;$AU370,AND($BE370=$AU370,OR($BF370&gt;$AV370,AND($BF370=$AV370,$BK370&gt;$BA370)))))))))),"-&gt;","&lt;-"))))</f>
        <v/>
      </c>
      <c r="BC370" s="85" t="str">
        <f aca="false">IF(ISBLANK($C370),"",COUNTA($P370:$U370)&gt;0)</f>
        <v/>
      </c>
      <c r="BD370" s="85" t="str">
        <f aca="false">IF(ISBLANK($C370),"",AND($BC370,OR(AND($AL370="",OR($AK370,NOT(ISBLANK($S370)))),$AM370="",$AN370="")))</f>
        <v/>
      </c>
      <c r="BE370" s="87" t="str">
        <f aca="false">IF($BL370&lt;&gt;Constants!$B$4,"",IF(NOT($BC370),"",ROUND((Constants!$B$12-$AB370)+(Constants!$B$13-$Z370)+(Constants!$B$14-$AA370),1)))</f>
        <v/>
      </c>
      <c r="BF370" s="90" t="str">
        <f aca="false">IF($BL370&lt;&gt;Constants!$B$4,"",IF(NOT($BC370),"",IF(NOT($AK370),0,Constants!$B$15*(INT(ROUND(MIN($AL370,$AP$9),6))-INT(ROUND(MAX(0,MIN($AL370,2*$AP$9)-$AP$9),6))))))</f>
        <v/>
      </c>
      <c r="BG370" s="90" t="str">
        <f aca="false">IF($BL370&lt;&gt;Constants!$B$4,"",IF(NOT($BC370),"",Constants!$B$16*$AM370))</f>
        <v/>
      </c>
      <c r="BH370" s="90" t="str">
        <f aca="false">IF($BL370&lt;&gt;Constants!$B$4,"",IF(NOT($BC370),"",Constants!$B$18*INT(ROUND($AN370,6))))</f>
        <v/>
      </c>
      <c r="BI370" s="85" t="str">
        <f aca="false">IF($BL370&lt;&gt;Constants!$B$4,"",IF(NOT($BC370),"",IF(NOT($X370),Constants!$B$11,IF(OR(NOT($AI370),NOT($AJ370),ROUND($AB370,1)&gt;Constants!$B$12,ROUND($Z370,1)&gt;Constants!$B$13,ROUND($AA370,1)&gt;Constants!$B$14),Constants!$B$10,Constants!$B$9))))</f>
        <v/>
      </c>
      <c r="BJ370" s="91" t="str">
        <f aca="false">IF($BL370&lt;&gt;Constants!$B$4,"",IF(NOT($BC370),"",ROUND($BE370+$BF370+$BG370+$BH370,1)))</f>
        <v/>
      </c>
      <c r="BK370" s="92" t="str">
        <f aca="false">IF($BL370&lt;&gt;Constants!$B$4,"",IF(NOT($BC370),"",IF(ISNUMBER($AL370),$AL370,0)))</f>
        <v/>
      </c>
      <c r="BL370" s="86" t="str">
        <f aca="false">IF(ISBLANK($C370),"",IF($AO370,Constants!$B$7,IF(COUNTA($E370:$V370)=0,Constants!$B$6,IF(NOT($Y370),Constants!$B$5,IF(NOT(OR($AS370,$BC370)),Constants!$B$5,IF(OR($AT370,$BD370,$AQ370,$AR370&lt;&gt;""),Constants!$B$8,Constants!$B$4))))))</f>
        <v/>
      </c>
      <c r="BM370" s="86" t="str">
        <f aca="false">IF(ISBLANK($C370),"",IF($BL370&lt;&gt;Constants!$B$4,$BL370,IF($BB370="-&gt;",$BI370,$AY370)))</f>
        <v/>
      </c>
      <c r="BN370" s="90" t="str">
        <f aca="false">IF($BL370&lt;&gt;Constants!$B$4,"",IF($BB370="-&gt;",$BJ370,$AZ370))</f>
        <v/>
      </c>
      <c r="BO370" s="90" t="str">
        <f aca="false">IF(ISBLANK($C370),"",IF($BL370&lt;&gt;Constants!$B$4,$BL370,$BN370))</f>
        <v/>
      </c>
      <c r="BP370" s="86" t="str">
        <f aca="false">IF(ISBLANK($C370),"",IF($BL370&lt;&gt;Constants!$B$4,$BL370,RANK($BO370,$BO$9:$BO$508,0)))</f>
        <v/>
      </c>
      <c r="BQ370" s="86" t="str">
        <f aca="false">IF(ISBLANK($C370),"",IF($BL370&lt;&gt;Constants!$B$4,$BL370,COUNTIFS($BM$9:$BM$508,"&lt;"&amp;$BM370)+COUNTIFS($BM$9:$BM$508,$BM370,$BP$9:$BP$508,"&lt;"&amp;$BP370)+1))</f>
        <v/>
      </c>
      <c r="BR370" s="90" t="str">
        <f aca="false">IF($BL370&lt;&gt;Constants!$B$4,"",IF($BB370="-&gt;",$BH370,$AX370))</f>
        <v/>
      </c>
      <c r="BS370" s="86" t="str">
        <f aca="false">IF(ISBLANK($C370),"",IF($BL370&lt;&gt;Constants!$B$4,$BL370,IF(ISNUMBER($BR370),RANK($BR370,$BR$9:$BR$508,0),COUNT($BR$9:$BR$508)+1)))</f>
        <v/>
      </c>
      <c r="BT370" s="90" t="str">
        <f aca="false">IF($BL370&lt;&gt;Constants!$B$4,"",IF($BB370="-&gt;",$BE370,$AU370))</f>
        <v/>
      </c>
      <c r="BU370" s="86" t="str">
        <f aca="false">IF(ISBLANK($C370),"",IF($BL370&lt;&gt;Constants!$B$4,$BL370,IF(ISNUMBER($BT370),RANK($BT370,$BT$9:$BT$508,0),COUNT($BT$9:$BT$508)+1)))</f>
        <v/>
      </c>
      <c r="BV370" s="90" t="str">
        <f aca="false">IF($BL370&lt;&gt;Constants!$B$4,"",IF($BB370="-&gt;",$BF370,$AV370))</f>
        <v/>
      </c>
      <c r="BW370" s="86" t="str">
        <f aca="false">IF(ISBLANK($C370),"",IF($BL370&lt;&gt;Constants!$B$4,$BL370,IF(ISNUMBER($BV370),RANK($BV370,$BV$9:$BV$508,0),COUNT($BV$9:$BV$508)+1)))</f>
        <v/>
      </c>
      <c r="BX370" s="90" t="str">
        <f aca="false">IF($BL370&lt;&gt;Constants!$B$4,"",IF($BB370="-&gt;",$BK370,$BA370))</f>
        <v/>
      </c>
      <c r="BY370" s="86" t="str">
        <f aca="false">IF(ISBLANK($C370),"",IF($BL370&lt;&gt;Constants!$B$4,$BL370,IF(ISNUMBER($BX370),RANK($BX370,$BX$9:$BX$508,0),COUNT($BX$9:$BX$508)+1)))</f>
        <v/>
      </c>
      <c r="BZ370" s="86" t="str">
        <f aca="false">IF(ISBLANK($C370),"",IF($BL370&lt;&gt;Constants!$B$4,$BL370,COUNTIFS($BM$9:$BM$508,"&lt;"&amp;$BM370)+COUNTIFS($BM$9:$BM$508,$BM370,$BP$9:$BP$508,"&lt;"&amp;$BP370)+COUNTIFS($BM$9:$BM$508,$BM370,$BP$9:$BP$508,$BP370,$BS$9:$BS$508,"&lt;"&amp;$BS370)+COUNTIFS($BM$9:$BM$508,$BM370,$BP$9:$BP$508,$BP370,$BS$9:$BS$508,$BS370,$BU$9:$BU$508,"&lt;"&amp;$BU370)+COUNTIFS($BM$9:$BM$508,$BM370,$BP$9:$BP$508,$BP370,$BS$9:$BS$508,$BS370,$BU$9:$BU$508,$BU370,$BW$9:$BW$508,"&lt;"&amp;$BW370)+COUNTIFS($BM$9:$BM$508,$BM370,$BP$9:$BP$508,$BP370,$BS$9:$BS$508,$BS370,$BU$9:$BU$508,$BU370,$BW$9:$BW$508,$BW370,$BY$9:$BY$508,"&lt;"&amp;$BY370)+1))</f>
        <v/>
      </c>
      <c r="CA370" s="86" t="str">
        <f aca="false">IF(ISBLANK($C370),"",IF($BL370&lt;&gt;Constants!$B$4,$BL370,$BQ370-$BZ370))</f>
        <v/>
      </c>
      <c r="CB370" s="93"/>
      <c r="CC370" s="94" t="str">
        <f aca="false">IF(ISBLANK($C370),"",IF($BL370=Constants!$B$8,$AR370,""))</f>
        <v/>
      </c>
      <c r="CD370" s="94" t="str">
        <f aca="false">IF(ISBLANK($C370),"",IF($BL370&lt;&gt;Constants!$B$4,"",IF($BB370="-&gt;",2,1)))</f>
        <v/>
      </c>
      <c r="CE370" s="95" t="str">
        <f aca="false">IF(ISBLANK($C370),"",IF($BL370&lt;&gt;Constants!$B$4,"",IF($BB370="-&gt;",$BE370,$AU370)))</f>
        <v/>
      </c>
      <c r="CF370" s="95" t="str">
        <f aca="false">IF(ISBLANK($C370),"",IF($BL370&lt;&gt;Constants!$B$4,"",IF($BB370="-&gt;",$BF370,$AV370)))</f>
        <v/>
      </c>
      <c r="CG370" s="95" t="str">
        <f aca="false">IF(ISBLANK($C370),"",IF($BL370&lt;&gt;Constants!$B$4,"",IF($BB370="-&gt;",$BG370,$AW370)))</f>
        <v/>
      </c>
      <c r="CH370" s="95" t="str">
        <f aca="false">IF(ISBLANK($C370),"",IF($BL370&lt;&gt;Constants!$B$4,"",IF($BB370="-&gt;",$BH370,$AX370)))</f>
        <v/>
      </c>
      <c r="CI370" s="96" t="str">
        <f aca="false">IF(ISBLANK($C370),"",$BO370)</f>
        <v/>
      </c>
      <c r="CJ370" s="97" t="str">
        <f aca="false">IF(ISBLANK($C370),"",$BM370)</f>
        <v/>
      </c>
      <c r="CK370" s="98" t="str">
        <f aca="false">IF(ISBLANK($C370),"",$CA370)</f>
        <v/>
      </c>
      <c r="CL370" s="98" t="str">
        <f aca="false">IF(ISBLANK($C370),"",$BZ370)</f>
        <v/>
      </c>
      <c r="CM370" s="99" t="str">
        <f aca="false">IF(ISBLANK($C370),"",IF($CL370=Constants!$B$7,COUNTA($C$9:$C$508)+2,IF($CL370=Constants!$B$6,COUNTA($C$9:$C$508)+1,IF($CL370=Constants!$B$5,COUNTA($C$9:$C$508),$CL370))))</f>
        <v/>
      </c>
      <c r="CN370" s="8"/>
      <c r="CO370" s="100" t="n">
        <f aca="false">IF(OR(ISNUMBER($CL370),$CL370=Constants!$B$7,$CL370=Constants!$B$5,$CL370=Constants!$B$6),1,0)</f>
        <v>0</v>
      </c>
      <c r="CP370" s="100" t="n">
        <v>362</v>
      </c>
      <c r="CQ370" s="100" t="str">
        <f aca="false">IF(ISBLANK($C370),"",IF(ISNUMBER($CM370),$CM370+ROW($B370)/1000,""))</f>
        <v/>
      </c>
      <c r="CR370" s="100" t="str">
        <f aca="false">IF(ISNUMBER($CQ370),RANK($CQ370,$CQ$9:$CQ$508,1),"")</f>
        <v/>
      </c>
      <c r="CS370" s="100" t="str">
        <f aca="false">IF(ISBLANK($C370),"",$B370)</f>
        <v/>
      </c>
      <c r="CT370" s="100" t="str">
        <f aca="false">IF(ISBLANK($C370),"",$C370)</f>
        <v/>
      </c>
      <c r="CU370" s="100" t="str">
        <f aca="false">IF(ISBLANK($C370),"",$D370)</f>
        <v/>
      </c>
      <c r="CV370" s="101" t="str">
        <f aca="false">$CJ370</f>
        <v/>
      </c>
      <c r="CW370" s="102" t="str">
        <f aca="false">$CI370</f>
        <v/>
      </c>
      <c r="CX370" s="100" t="str">
        <f aca="false">IF(ISBLANK($C370),"",$CL370)</f>
        <v/>
      </c>
      <c r="CY370" s="103" t="str">
        <f aca="false">IF($CP370&gt;$CO$8,"",VLOOKUP($CP370,$CR$9:$CX$508,7,FALSE()))</f>
        <v/>
      </c>
      <c r="CZ370" s="104" t="str">
        <f aca="false">IF($CP370&gt;$CO$8,"",VLOOKUP($CP370,$CR$9:$CX$508,2,FALSE()))</f>
        <v/>
      </c>
      <c r="DA370" s="104" t="str">
        <f aca="false">IF($CP370&gt;$CO$8,"",VLOOKUP($CP370,$CR$9:$CX$508,3,FALSE()))</f>
        <v/>
      </c>
      <c r="DB370" s="104" t="str">
        <f aca="false">IF($CP370&gt;$CO$8,"",VLOOKUP($CP370,$CR$9:$CX$508,4,FALSE()))</f>
        <v/>
      </c>
      <c r="DC370" s="104" t="str">
        <f aca="false">IF($CP370&gt;$CO$8,"",VLOOKUP($CP370,$CR$9:$CX$508,5,FALSE()))</f>
        <v/>
      </c>
      <c r="DD370" s="105" t="str">
        <f aca="false">IF($CP370&gt;$CO$8,"",VLOOKUP($CP370,$CR$9:$CX$508,6,FALSE()))</f>
        <v/>
      </c>
      <c r="DE370" s="70"/>
    </row>
    <row r="371" customFormat="false" ht="15.75" hidden="false" customHeight="false" outlineLevel="0" collapsed="false">
      <c r="A371" s="8"/>
      <c r="B371" s="72"/>
      <c r="C371" s="73"/>
      <c r="D371" s="155"/>
      <c r="E371" s="162"/>
      <c r="F371" s="157"/>
      <c r="G371" s="77"/>
      <c r="H371" s="77"/>
      <c r="I371" s="77"/>
      <c r="J371" s="163"/>
      <c r="K371" s="161"/>
      <c r="L371" s="161"/>
      <c r="M371" s="80"/>
      <c r="N371" s="161"/>
      <c r="O371" s="160"/>
      <c r="P371" s="161"/>
      <c r="Q371" s="161"/>
      <c r="R371" s="161"/>
      <c r="S371" s="77"/>
      <c r="T371" s="161"/>
      <c r="U371" s="160"/>
      <c r="V371" s="161"/>
      <c r="W371" s="85"/>
      <c r="X371" s="86" t="str">
        <f aca="false">IF(ISBLANK($C371),"",IF($E371=Constants!$B$2,TRUE(),IF($E371=Constants!$B$3,FALSE(),TRUE())))</f>
        <v/>
      </c>
      <c r="Y371" s="86" t="str">
        <f aca="false">IF(ISBLANK($C371),"",IF($F371=Constants!$B$2,TRUE(),IF($F371=Constants!$B$3,FALSE(),TRUE())))</f>
        <v/>
      </c>
      <c r="Z371" s="87" t="str">
        <f aca="false">IF(ISBLANK($C371),"",IF(ISNUMBER($G371),IF($G371&gt;=0,$G371,""),""))</f>
        <v/>
      </c>
      <c r="AA371" s="87" t="str">
        <f aca="false">IF(ISBLANK($C371),"",IF(ISNUMBER($H371),IF($H371&gt;=0,$H371,""),""))</f>
        <v/>
      </c>
      <c r="AB371" s="87" t="str">
        <f aca="false">IF(ISBLANK($C371),"",IF(ISNUMBER($I371),IF($I371&gt;=0,$I371,""),""))</f>
        <v/>
      </c>
      <c r="AC371" s="86" t="str">
        <f aca="false">IF(ISBLANK($C371),"",IF($J371=Constants!$B$2,TRUE(),IF($J371=Constants!$B$3,FALSE(),TRUE())))</f>
        <v/>
      </c>
      <c r="AD371" s="86" t="str">
        <f aca="false">IF(ISBLANK($C371),"",IF($K371=Constants!$B$2,TRUE(),IF($K371=Constants!$B$3,FALSE(),TRUE())))</f>
        <v/>
      </c>
      <c r="AE371" s="86" t="str">
        <f aca="false">IF(ISBLANK($C371),"",IF($L371=Constants!$B$2,TRUE(),IF($L371=Constants!$B$3,FALSE(),TRUE())))</f>
        <v/>
      </c>
      <c r="AF371" s="88" t="str">
        <f aca="false">IF(ISBLANK($C371),"",IF(ISNUMBER($M371),IF($M371&gt;=0,$M371,""),""))</f>
        <v/>
      </c>
      <c r="AG371" s="86" t="str">
        <f aca="false">IF(ISBLANK($C371),"",IF(ISBLANK($N371),0,IF(ISNUMBER($N371),IF(AND($N371&gt;=0,$N371&lt;=Constants!$B$17,$N371=INT($N371)),$N371,""),"")))</f>
        <v/>
      </c>
      <c r="AH371" s="87" t="str">
        <f aca="false">IF(ISBLANK($C371),"",IF(ISBLANK($O371),0,IF(ISNUMBER($O371),IF($O371&gt;=0,$O371,""),"")))</f>
        <v/>
      </c>
      <c r="AI371" s="86" t="str">
        <f aca="false">IF(ISBLANK($C371),"",IF($P371=Constants!$B$2,TRUE(),IF($P371=Constants!$B$3,FALSE(),TRUE())))</f>
        <v/>
      </c>
      <c r="AJ371" s="86" t="str">
        <f aca="false">IF(ISBLANK($C371),"",IF($Q371=Constants!$B$2,TRUE(),IF($Q371=Constants!$B$3,FALSE(),TRUE())))</f>
        <v/>
      </c>
      <c r="AK371" s="86" t="str">
        <f aca="false">IF(ISBLANK($C371),"",IF($R371=Constants!$B$2,TRUE(),IF($R371=Constants!$B$3,FALSE(),TRUE())))</f>
        <v/>
      </c>
      <c r="AL371" s="88" t="str">
        <f aca="false">IF(ISBLANK($C371),"",IF(ISNUMBER($S371),IF($S371&gt;=0,$S371,""),""))</f>
        <v/>
      </c>
      <c r="AM371" s="86" t="str">
        <f aca="false">IF(ISBLANK($C371),"",IF(ISBLANK($T371),0,IF(ISNUMBER($T371),IF(AND($T371&gt;=0,$T371&lt;=Constants!$B$17,$T371=INT($T371)),$T371,""),"")))</f>
        <v/>
      </c>
      <c r="AN371" s="87" t="str">
        <f aca="false">IF(ISBLANK($C371),"",IF(ISBLANK($U371),0,IF(ISNUMBER($U371),IF($U371&gt;=0,$U371,""),"")))</f>
        <v/>
      </c>
      <c r="AO371" s="86" t="str">
        <f aca="false">IF(ISBLANK($C371),"",IF($V371=Constants!$B$2,TRUE(),IF($V371=Constants!$B$3,FALSE(),FALSE())))</f>
        <v/>
      </c>
      <c r="AP371" s="86"/>
      <c r="AQ371" s="85" t="str">
        <f aca="false">IF(ISBLANK($C371),"",AND($Y371,OR($AS371,$BC371),OR($Z371="",$AA371="",$AB371="")))</f>
        <v/>
      </c>
      <c r="AR371" s="85" t="str">
        <f aca="false">IF(ISBLANK($C371),"",IF(OR(NOT($Y371),NOT(OR($AS371,$BC371))),"",IF(ISBLANK($D$7),$AR$5,IF($AP$9="",$AR$6,""))))</f>
        <v/>
      </c>
      <c r="AS371" s="85" t="str">
        <f aca="false">IF(ISBLANK($C371),"",COUNTA($J371:$O371)&gt;0)</f>
        <v/>
      </c>
      <c r="AT371" s="85" t="str">
        <f aca="false">IF(ISBLANK($C371),"",AND($AS371,OR(AND($AF371="",OR($AE371,NOT(ISBLANK($M371)))),$AG371="",$AH371="")))</f>
        <v/>
      </c>
      <c r="AU371" s="87" t="str">
        <f aca="false">IF($BL371&lt;&gt;Constants!$B$4,"",IF(NOT($AS371),"",ROUND((Constants!$B$12-$AB371)+(Constants!$B$13-$Z371)+(Constants!$B$14-$AA371),1)))</f>
        <v/>
      </c>
      <c r="AV371" s="90" t="str">
        <f aca="false">IF($BL371&lt;&gt;Constants!$B$4,"",IF(NOT($AS371),"",IF(NOT($AE371),0,Constants!$B$15*(INT(ROUND(MIN($AF371,$AP$9),6))-INT(ROUND(MAX(0,MIN($AF371,2*$AP$9)-$AP$9),6))))))</f>
        <v/>
      </c>
      <c r="AW371" s="90" t="str">
        <f aca="false">IF($BL371&lt;&gt;Constants!$B$4,"",IF(NOT($AS371),"",Constants!$B$16*$AG371))</f>
        <v/>
      </c>
      <c r="AX371" s="90" t="str">
        <f aca="false">IF($BL371&lt;&gt;Constants!$B$4,"",IF(NOT($AS371),"",Constants!$B$18*INT(ROUND($AH371,6))))</f>
        <v/>
      </c>
      <c r="AY371" s="85" t="str">
        <f aca="false">IF($BL371&lt;&gt;Constants!$B$4,"",IF(NOT($AS371),"",IF(NOT($X371),Constants!$B$11,IF(OR(NOT($AC371),NOT($AD371),ROUND($AB371,1)&gt;Constants!$B$12,ROUND($Z371,1)&gt;Constants!$B$13,ROUND($AA371,1)&gt;Constants!$B$14),Constants!$B$10,Constants!$B$9))))</f>
        <v/>
      </c>
      <c r="AZ371" s="91" t="str">
        <f aca="false">IF($BL371&lt;&gt;Constants!$B$4,"",IF(NOT($AS371),"",ROUND($AU371+$AV371+$AW371+$AX371,1)))</f>
        <v/>
      </c>
      <c r="BA371" s="92" t="str">
        <f aca="false">IF($BL371&lt;&gt;Constants!$B$4,"",IF(NOT($AS371),"",IF(ISNUMBER($AF371),$AF371,0)))</f>
        <v/>
      </c>
      <c r="BB371" s="86" t="str">
        <f aca="false">IF($BL371&lt;&gt;Constants!$B$4,"",IF(NOT($BC371),"&lt;-",IF(NOT($AS371),"-&gt;",IF(OR($BI371&lt;$AY371,AND($BI371=$AY371,OR($BJ371&gt;$AZ371,AND($BJ371=$AZ371,OR($BH371&gt;$AX371,AND($BH371=$AX371,OR($BE371&gt;$AU371,AND($BE371=$AU371,OR($BF371&gt;$AV371,AND($BF371=$AV371,$BK371&gt;$BA371)))))))))),"-&gt;","&lt;-"))))</f>
        <v/>
      </c>
      <c r="BC371" s="85" t="str">
        <f aca="false">IF(ISBLANK($C371),"",COUNTA($P371:$U371)&gt;0)</f>
        <v/>
      </c>
      <c r="BD371" s="85" t="str">
        <f aca="false">IF(ISBLANK($C371),"",AND($BC371,OR(AND($AL371="",OR($AK371,NOT(ISBLANK($S371)))),$AM371="",$AN371="")))</f>
        <v/>
      </c>
      <c r="BE371" s="87" t="str">
        <f aca="false">IF($BL371&lt;&gt;Constants!$B$4,"",IF(NOT($BC371),"",ROUND((Constants!$B$12-$AB371)+(Constants!$B$13-$Z371)+(Constants!$B$14-$AA371),1)))</f>
        <v/>
      </c>
      <c r="BF371" s="90" t="str">
        <f aca="false">IF($BL371&lt;&gt;Constants!$B$4,"",IF(NOT($BC371),"",IF(NOT($AK371),0,Constants!$B$15*(INT(ROUND(MIN($AL371,$AP$9),6))-INT(ROUND(MAX(0,MIN($AL371,2*$AP$9)-$AP$9),6))))))</f>
        <v/>
      </c>
      <c r="BG371" s="90" t="str">
        <f aca="false">IF($BL371&lt;&gt;Constants!$B$4,"",IF(NOT($BC371),"",Constants!$B$16*$AM371))</f>
        <v/>
      </c>
      <c r="BH371" s="90" t="str">
        <f aca="false">IF($BL371&lt;&gt;Constants!$B$4,"",IF(NOT($BC371),"",Constants!$B$18*INT(ROUND($AN371,6))))</f>
        <v/>
      </c>
      <c r="BI371" s="85" t="str">
        <f aca="false">IF($BL371&lt;&gt;Constants!$B$4,"",IF(NOT($BC371),"",IF(NOT($X371),Constants!$B$11,IF(OR(NOT($AI371),NOT($AJ371),ROUND($AB371,1)&gt;Constants!$B$12,ROUND($Z371,1)&gt;Constants!$B$13,ROUND($AA371,1)&gt;Constants!$B$14),Constants!$B$10,Constants!$B$9))))</f>
        <v/>
      </c>
      <c r="BJ371" s="91" t="str">
        <f aca="false">IF($BL371&lt;&gt;Constants!$B$4,"",IF(NOT($BC371),"",ROUND($BE371+$BF371+$BG371+$BH371,1)))</f>
        <v/>
      </c>
      <c r="BK371" s="92" t="str">
        <f aca="false">IF($BL371&lt;&gt;Constants!$B$4,"",IF(NOT($BC371),"",IF(ISNUMBER($AL371),$AL371,0)))</f>
        <v/>
      </c>
      <c r="BL371" s="86" t="str">
        <f aca="false">IF(ISBLANK($C371),"",IF($AO371,Constants!$B$7,IF(COUNTA($E371:$V371)=0,Constants!$B$6,IF(NOT($Y371),Constants!$B$5,IF(NOT(OR($AS371,$BC371)),Constants!$B$5,IF(OR($AT371,$BD371,$AQ371,$AR371&lt;&gt;""),Constants!$B$8,Constants!$B$4))))))</f>
        <v/>
      </c>
      <c r="BM371" s="86" t="str">
        <f aca="false">IF(ISBLANK($C371),"",IF($BL371&lt;&gt;Constants!$B$4,$BL371,IF($BB371="-&gt;",$BI371,$AY371)))</f>
        <v/>
      </c>
      <c r="BN371" s="90" t="str">
        <f aca="false">IF($BL371&lt;&gt;Constants!$B$4,"",IF($BB371="-&gt;",$BJ371,$AZ371))</f>
        <v/>
      </c>
      <c r="BO371" s="90" t="str">
        <f aca="false">IF(ISBLANK($C371),"",IF($BL371&lt;&gt;Constants!$B$4,$BL371,$BN371))</f>
        <v/>
      </c>
      <c r="BP371" s="86" t="str">
        <f aca="false">IF(ISBLANK($C371),"",IF($BL371&lt;&gt;Constants!$B$4,$BL371,RANK($BO371,$BO$9:$BO$508,0)))</f>
        <v/>
      </c>
      <c r="BQ371" s="86" t="str">
        <f aca="false">IF(ISBLANK($C371),"",IF($BL371&lt;&gt;Constants!$B$4,$BL371,COUNTIFS($BM$9:$BM$508,"&lt;"&amp;$BM371)+COUNTIFS($BM$9:$BM$508,$BM371,$BP$9:$BP$508,"&lt;"&amp;$BP371)+1))</f>
        <v/>
      </c>
      <c r="BR371" s="90" t="str">
        <f aca="false">IF($BL371&lt;&gt;Constants!$B$4,"",IF($BB371="-&gt;",$BH371,$AX371))</f>
        <v/>
      </c>
      <c r="BS371" s="86" t="str">
        <f aca="false">IF(ISBLANK($C371),"",IF($BL371&lt;&gt;Constants!$B$4,$BL371,IF(ISNUMBER($BR371),RANK($BR371,$BR$9:$BR$508,0),COUNT($BR$9:$BR$508)+1)))</f>
        <v/>
      </c>
      <c r="BT371" s="90" t="str">
        <f aca="false">IF($BL371&lt;&gt;Constants!$B$4,"",IF($BB371="-&gt;",$BE371,$AU371))</f>
        <v/>
      </c>
      <c r="BU371" s="86" t="str">
        <f aca="false">IF(ISBLANK($C371),"",IF($BL371&lt;&gt;Constants!$B$4,$BL371,IF(ISNUMBER($BT371),RANK($BT371,$BT$9:$BT$508,0),COUNT($BT$9:$BT$508)+1)))</f>
        <v/>
      </c>
      <c r="BV371" s="90" t="str">
        <f aca="false">IF($BL371&lt;&gt;Constants!$B$4,"",IF($BB371="-&gt;",$BF371,$AV371))</f>
        <v/>
      </c>
      <c r="BW371" s="86" t="str">
        <f aca="false">IF(ISBLANK($C371),"",IF($BL371&lt;&gt;Constants!$B$4,$BL371,IF(ISNUMBER($BV371),RANK($BV371,$BV$9:$BV$508,0),COUNT($BV$9:$BV$508)+1)))</f>
        <v/>
      </c>
      <c r="BX371" s="90" t="str">
        <f aca="false">IF($BL371&lt;&gt;Constants!$B$4,"",IF($BB371="-&gt;",$BK371,$BA371))</f>
        <v/>
      </c>
      <c r="BY371" s="86" t="str">
        <f aca="false">IF(ISBLANK($C371),"",IF($BL371&lt;&gt;Constants!$B$4,$BL371,IF(ISNUMBER($BX371),RANK($BX371,$BX$9:$BX$508,0),COUNT($BX$9:$BX$508)+1)))</f>
        <v/>
      </c>
      <c r="BZ371" s="86" t="str">
        <f aca="false">IF(ISBLANK($C371),"",IF($BL371&lt;&gt;Constants!$B$4,$BL371,COUNTIFS($BM$9:$BM$508,"&lt;"&amp;$BM371)+COUNTIFS($BM$9:$BM$508,$BM371,$BP$9:$BP$508,"&lt;"&amp;$BP371)+COUNTIFS($BM$9:$BM$508,$BM371,$BP$9:$BP$508,$BP371,$BS$9:$BS$508,"&lt;"&amp;$BS371)+COUNTIFS($BM$9:$BM$508,$BM371,$BP$9:$BP$508,$BP371,$BS$9:$BS$508,$BS371,$BU$9:$BU$508,"&lt;"&amp;$BU371)+COUNTIFS($BM$9:$BM$508,$BM371,$BP$9:$BP$508,$BP371,$BS$9:$BS$508,$BS371,$BU$9:$BU$508,$BU371,$BW$9:$BW$508,"&lt;"&amp;$BW371)+COUNTIFS($BM$9:$BM$508,$BM371,$BP$9:$BP$508,$BP371,$BS$9:$BS$508,$BS371,$BU$9:$BU$508,$BU371,$BW$9:$BW$508,$BW371,$BY$9:$BY$508,"&lt;"&amp;$BY371)+1))</f>
        <v/>
      </c>
      <c r="CA371" s="86" t="str">
        <f aca="false">IF(ISBLANK($C371),"",IF($BL371&lt;&gt;Constants!$B$4,$BL371,$BQ371-$BZ371))</f>
        <v/>
      </c>
      <c r="CB371" s="93"/>
      <c r="CC371" s="94" t="str">
        <f aca="false">IF(ISBLANK($C371),"",IF($BL371=Constants!$B$8,$AR371,""))</f>
        <v/>
      </c>
      <c r="CD371" s="94" t="str">
        <f aca="false">IF(ISBLANK($C371),"",IF($BL371&lt;&gt;Constants!$B$4,"",IF($BB371="-&gt;",2,1)))</f>
        <v/>
      </c>
      <c r="CE371" s="95" t="str">
        <f aca="false">IF(ISBLANK($C371),"",IF($BL371&lt;&gt;Constants!$B$4,"",IF($BB371="-&gt;",$BE371,$AU371)))</f>
        <v/>
      </c>
      <c r="CF371" s="95" t="str">
        <f aca="false">IF(ISBLANK($C371),"",IF($BL371&lt;&gt;Constants!$B$4,"",IF($BB371="-&gt;",$BF371,$AV371)))</f>
        <v/>
      </c>
      <c r="CG371" s="95" t="str">
        <f aca="false">IF(ISBLANK($C371),"",IF($BL371&lt;&gt;Constants!$B$4,"",IF($BB371="-&gt;",$BG371,$AW371)))</f>
        <v/>
      </c>
      <c r="CH371" s="95" t="str">
        <f aca="false">IF(ISBLANK($C371),"",IF($BL371&lt;&gt;Constants!$B$4,"",IF($BB371="-&gt;",$BH371,$AX371)))</f>
        <v/>
      </c>
      <c r="CI371" s="96" t="str">
        <f aca="false">IF(ISBLANK($C371),"",$BO371)</f>
        <v/>
      </c>
      <c r="CJ371" s="97" t="str">
        <f aca="false">IF(ISBLANK($C371),"",$BM371)</f>
        <v/>
      </c>
      <c r="CK371" s="98" t="str">
        <f aca="false">IF(ISBLANK($C371),"",$CA371)</f>
        <v/>
      </c>
      <c r="CL371" s="98" t="str">
        <f aca="false">IF(ISBLANK($C371),"",$BZ371)</f>
        <v/>
      </c>
      <c r="CM371" s="99" t="str">
        <f aca="false">IF(ISBLANK($C371),"",IF($CL371=Constants!$B$7,COUNTA($C$9:$C$508)+2,IF($CL371=Constants!$B$6,COUNTA($C$9:$C$508)+1,IF($CL371=Constants!$B$5,COUNTA($C$9:$C$508),$CL371))))</f>
        <v/>
      </c>
      <c r="CN371" s="8"/>
      <c r="CO371" s="100" t="n">
        <f aca="false">IF(OR(ISNUMBER($CL371),$CL371=Constants!$B$7,$CL371=Constants!$B$5,$CL371=Constants!$B$6),1,0)</f>
        <v>0</v>
      </c>
      <c r="CP371" s="100" t="n">
        <v>363</v>
      </c>
      <c r="CQ371" s="100" t="str">
        <f aca="false">IF(ISBLANK($C371),"",IF(ISNUMBER($CM371),$CM371+ROW($B371)/1000,""))</f>
        <v/>
      </c>
      <c r="CR371" s="100" t="str">
        <f aca="false">IF(ISNUMBER($CQ371),RANK($CQ371,$CQ$9:$CQ$508,1),"")</f>
        <v/>
      </c>
      <c r="CS371" s="100" t="str">
        <f aca="false">IF(ISBLANK($C371),"",$B371)</f>
        <v/>
      </c>
      <c r="CT371" s="100" t="str">
        <f aca="false">IF(ISBLANK($C371),"",$C371)</f>
        <v/>
      </c>
      <c r="CU371" s="100" t="str">
        <f aca="false">IF(ISBLANK($C371),"",$D371)</f>
        <v/>
      </c>
      <c r="CV371" s="101" t="str">
        <f aca="false">$CJ371</f>
        <v/>
      </c>
      <c r="CW371" s="102" t="str">
        <f aca="false">$CI371</f>
        <v/>
      </c>
      <c r="CX371" s="100" t="str">
        <f aca="false">IF(ISBLANK($C371),"",$CL371)</f>
        <v/>
      </c>
      <c r="CY371" s="103" t="str">
        <f aca="false">IF($CP371&gt;$CO$8,"",VLOOKUP($CP371,$CR$9:$CX$508,7,FALSE()))</f>
        <v/>
      </c>
      <c r="CZ371" s="104" t="str">
        <f aca="false">IF($CP371&gt;$CO$8,"",VLOOKUP($CP371,$CR$9:$CX$508,2,FALSE()))</f>
        <v/>
      </c>
      <c r="DA371" s="104" t="str">
        <f aca="false">IF($CP371&gt;$CO$8,"",VLOOKUP($CP371,$CR$9:$CX$508,3,FALSE()))</f>
        <v/>
      </c>
      <c r="DB371" s="104" t="str">
        <f aca="false">IF($CP371&gt;$CO$8,"",VLOOKUP($CP371,$CR$9:$CX$508,4,FALSE()))</f>
        <v/>
      </c>
      <c r="DC371" s="104" t="str">
        <f aca="false">IF($CP371&gt;$CO$8,"",VLOOKUP($CP371,$CR$9:$CX$508,5,FALSE()))</f>
        <v/>
      </c>
      <c r="DD371" s="105" t="str">
        <f aca="false">IF($CP371&gt;$CO$8,"",VLOOKUP($CP371,$CR$9:$CX$508,6,FALSE()))</f>
        <v/>
      </c>
      <c r="DE371" s="70"/>
    </row>
    <row r="372" customFormat="false" ht="15.75" hidden="false" customHeight="false" outlineLevel="0" collapsed="false">
      <c r="A372" s="8"/>
      <c r="B372" s="146"/>
      <c r="C372" s="147"/>
      <c r="D372" s="148"/>
      <c r="E372" s="164"/>
      <c r="F372" s="150"/>
      <c r="G372" s="115"/>
      <c r="H372" s="115"/>
      <c r="I372" s="115"/>
      <c r="J372" s="165"/>
      <c r="K372" s="154"/>
      <c r="L372" s="154"/>
      <c r="M372" s="118"/>
      <c r="N372" s="154"/>
      <c r="O372" s="153"/>
      <c r="P372" s="154"/>
      <c r="Q372" s="154"/>
      <c r="R372" s="154"/>
      <c r="S372" s="115"/>
      <c r="T372" s="154"/>
      <c r="U372" s="153"/>
      <c r="V372" s="154"/>
      <c r="W372" s="123"/>
      <c r="X372" s="124" t="str">
        <f aca="false">IF(ISBLANK($C372),"",IF($E372=Constants!$B$2,TRUE(),IF($E372=Constants!$B$3,FALSE(),TRUE())))</f>
        <v/>
      </c>
      <c r="Y372" s="124" t="str">
        <f aca="false">IF(ISBLANK($C372),"",IF($F372=Constants!$B$2,TRUE(),IF($F372=Constants!$B$3,FALSE(),TRUE())))</f>
        <v/>
      </c>
      <c r="Z372" s="125" t="str">
        <f aca="false">IF(ISBLANK($C372),"",IF(ISNUMBER($G372),IF($G372&gt;=0,$G372,""),""))</f>
        <v/>
      </c>
      <c r="AA372" s="125" t="str">
        <f aca="false">IF(ISBLANK($C372),"",IF(ISNUMBER($H372),IF($H372&gt;=0,$H372,""),""))</f>
        <v/>
      </c>
      <c r="AB372" s="125" t="str">
        <f aca="false">IF(ISBLANK($C372),"",IF(ISNUMBER($I372),IF($I372&gt;=0,$I372,""),""))</f>
        <v/>
      </c>
      <c r="AC372" s="124" t="str">
        <f aca="false">IF(ISBLANK($C372),"",IF($J372=Constants!$B$2,TRUE(),IF($J372=Constants!$B$3,FALSE(),TRUE())))</f>
        <v/>
      </c>
      <c r="AD372" s="124" t="str">
        <f aca="false">IF(ISBLANK($C372),"",IF($K372=Constants!$B$2,TRUE(),IF($K372=Constants!$B$3,FALSE(),TRUE())))</f>
        <v/>
      </c>
      <c r="AE372" s="124" t="str">
        <f aca="false">IF(ISBLANK($C372),"",IF($L372=Constants!$B$2,TRUE(),IF($L372=Constants!$B$3,FALSE(),TRUE())))</f>
        <v/>
      </c>
      <c r="AF372" s="126" t="str">
        <f aca="false">IF(ISBLANK($C372),"",IF(ISNUMBER($M372),IF($M372&gt;=0,$M372,""),""))</f>
        <v/>
      </c>
      <c r="AG372" s="124" t="str">
        <f aca="false">IF(ISBLANK($C372),"",IF(ISBLANK($N372),0,IF(ISNUMBER($N372),IF(AND($N372&gt;=0,$N372&lt;=Constants!$B$17,$N372=INT($N372)),$N372,""),"")))</f>
        <v/>
      </c>
      <c r="AH372" s="125" t="str">
        <f aca="false">IF(ISBLANK($C372),"",IF(ISBLANK($O372),0,IF(ISNUMBER($O372),IF($O372&gt;=0,$O372,""),"")))</f>
        <v/>
      </c>
      <c r="AI372" s="124" t="str">
        <f aca="false">IF(ISBLANK($C372),"",IF($P372=Constants!$B$2,TRUE(),IF($P372=Constants!$B$3,FALSE(),TRUE())))</f>
        <v/>
      </c>
      <c r="AJ372" s="124" t="str">
        <f aca="false">IF(ISBLANK($C372),"",IF($Q372=Constants!$B$2,TRUE(),IF($Q372=Constants!$B$3,FALSE(),TRUE())))</f>
        <v/>
      </c>
      <c r="AK372" s="124" t="str">
        <f aca="false">IF(ISBLANK($C372),"",IF($R372=Constants!$B$2,TRUE(),IF($R372=Constants!$B$3,FALSE(),TRUE())))</f>
        <v/>
      </c>
      <c r="AL372" s="126" t="str">
        <f aca="false">IF(ISBLANK($C372),"",IF(ISNUMBER($S372),IF($S372&gt;=0,$S372,""),""))</f>
        <v/>
      </c>
      <c r="AM372" s="124" t="str">
        <f aca="false">IF(ISBLANK($C372),"",IF(ISBLANK($T372),0,IF(ISNUMBER($T372),IF(AND($T372&gt;=0,$T372&lt;=Constants!$B$17,$T372=INT($T372)),$T372,""),"")))</f>
        <v/>
      </c>
      <c r="AN372" s="125" t="str">
        <f aca="false">IF(ISBLANK($C372),"",IF(ISBLANK($U372),0,IF(ISNUMBER($U372),IF($U372&gt;=0,$U372,""),"")))</f>
        <v/>
      </c>
      <c r="AO372" s="124" t="str">
        <f aca="false">IF(ISBLANK($C372),"",IF($V372=Constants!$B$2,TRUE(),IF($V372=Constants!$B$3,FALSE(),FALSE())))</f>
        <v/>
      </c>
      <c r="AP372" s="124"/>
      <c r="AQ372" s="123" t="str">
        <f aca="false">IF(ISBLANK($C372),"",AND($Y372,OR($AS372,$BC372),OR($Z372="",$AA372="",$AB372="")))</f>
        <v/>
      </c>
      <c r="AR372" s="123" t="str">
        <f aca="false">IF(ISBLANK($C372),"",IF(OR(NOT($Y372),NOT(OR($AS372,$BC372))),"",IF(ISBLANK($D$7),$AR$5,IF($AP$9="",$AR$6,""))))</f>
        <v/>
      </c>
      <c r="AS372" s="123" t="str">
        <f aca="false">IF(ISBLANK($C372),"",COUNTA($J372:$O372)&gt;0)</f>
        <v/>
      </c>
      <c r="AT372" s="123" t="str">
        <f aca="false">IF(ISBLANK($C372),"",AND($AS372,OR(AND($AF372="",OR($AE372,NOT(ISBLANK($M372)))),$AG372="",$AH372="")))</f>
        <v/>
      </c>
      <c r="AU372" s="125" t="str">
        <f aca="false">IF($BL372&lt;&gt;Constants!$B$4,"",IF(NOT($AS372),"",ROUND((Constants!$B$12-$AB372)+(Constants!$B$13-$Z372)+(Constants!$B$14-$AA372),1)))</f>
        <v/>
      </c>
      <c r="AV372" s="127" t="str">
        <f aca="false">IF($BL372&lt;&gt;Constants!$B$4,"",IF(NOT($AS372),"",IF(NOT($AE372),0,Constants!$B$15*(INT(ROUND(MIN($AF372,$AP$9),6))-INT(ROUND(MAX(0,MIN($AF372,2*$AP$9)-$AP$9),6))))))</f>
        <v/>
      </c>
      <c r="AW372" s="127" t="str">
        <f aca="false">IF($BL372&lt;&gt;Constants!$B$4,"",IF(NOT($AS372),"",Constants!$B$16*$AG372))</f>
        <v/>
      </c>
      <c r="AX372" s="127" t="str">
        <f aca="false">IF($BL372&lt;&gt;Constants!$B$4,"",IF(NOT($AS372),"",Constants!$B$18*INT(ROUND($AH372,6))))</f>
        <v/>
      </c>
      <c r="AY372" s="123" t="str">
        <f aca="false">IF($BL372&lt;&gt;Constants!$B$4,"",IF(NOT($AS372),"",IF(NOT($X372),Constants!$B$11,IF(OR(NOT($AC372),NOT($AD372),ROUND($AB372,1)&gt;Constants!$B$12,ROUND($Z372,1)&gt;Constants!$B$13,ROUND($AA372,1)&gt;Constants!$B$14),Constants!$B$10,Constants!$B$9))))</f>
        <v/>
      </c>
      <c r="AZ372" s="128" t="str">
        <f aca="false">IF($BL372&lt;&gt;Constants!$B$4,"",IF(NOT($AS372),"",ROUND($AU372+$AV372+$AW372+$AX372,1)))</f>
        <v/>
      </c>
      <c r="BA372" s="129" t="str">
        <f aca="false">IF($BL372&lt;&gt;Constants!$B$4,"",IF(NOT($AS372),"",IF(ISNUMBER($AF372),$AF372,0)))</f>
        <v/>
      </c>
      <c r="BB372" s="124" t="str">
        <f aca="false">IF($BL372&lt;&gt;Constants!$B$4,"",IF(NOT($BC372),"&lt;-",IF(NOT($AS372),"-&gt;",IF(OR($BI372&lt;$AY372,AND($BI372=$AY372,OR($BJ372&gt;$AZ372,AND($BJ372=$AZ372,OR($BH372&gt;$AX372,AND($BH372=$AX372,OR($BE372&gt;$AU372,AND($BE372=$AU372,OR($BF372&gt;$AV372,AND($BF372=$AV372,$BK372&gt;$BA372)))))))))),"-&gt;","&lt;-"))))</f>
        <v/>
      </c>
      <c r="BC372" s="123" t="str">
        <f aca="false">IF(ISBLANK($C372),"",COUNTA($P372:$U372)&gt;0)</f>
        <v/>
      </c>
      <c r="BD372" s="123" t="str">
        <f aca="false">IF(ISBLANK($C372),"",AND($BC372,OR(AND($AL372="",OR($AK372,NOT(ISBLANK($S372)))),$AM372="",$AN372="")))</f>
        <v/>
      </c>
      <c r="BE372" s="125" t="str">
        <f aca="false">IF($BL372&lt;&gt;Constants!$B$4,"",IF(NOT($BC372),"",ROUND((Constants!$B$12-$AB372)+(Constants!$B$13-$Z372)+(Constants!$B$14-$AA372),1)))</f>
        <v/>
      </c>
      <c r="BF372" s="127" t="str">
        <f aca="false">IF($BL372&lt;&gt;Constants!$B$4,"",IF(NOT($BC372),"",IF(NOT($AK372),0,Constants!$B$15*(INT(ROUND(MIN($AL372,$AP$9),6))-INT(ROUND(MAX(0,MIN($AL372,2*$AP$9)-$AP$9),6))))))</f>
        <v/>
      </c>
      <c r="BG372" s="127" t="str">
        <f aca="false">IF($BL372&lt;&gt;Constants!$B$4,"",IF(NOT($BC372),"",Constants!$B$16*$AM372))</f>
        <v/>
      </c>
      <c r="BH372" s="127" t="str">
        <f aca="false">IF($BL372&lt;&gt;Constants!$B$4,"",IF(NOT($BC372),"",Constants!$B$18*INT(ROUND($AN372,6))))</f>
        <v/>
      </c>
      <c r="BI372" s="123" t="str">
        <f aca="false">IF($BL372&lt;&gt;Constants!$B$4,"",IF(NOT($BC372),"",IF(NOT($X372),Constants!$B$11,IF(OR(NOT($AI372),NOT($AJ372),ROUND($AB372,1)&gt;Constants!$B$12,ROUND($Z372,1)&gt;Constants!$B$13,ROUND($AA372,1)&gt;Constants!$B$14),Constants!$B$10,Constants!$B$9))))</f>
        <v/>
      </c>
      <c r="BJ372" s="128" t="str">
        <f aca="false">IF($BL372&lt;&gt;Constants!$B$4,"",IF(NOT($BC372),"",ROUND($BE372+$BF372+$BG372+$BH372,1)))</f>
        <v/>
      </c>
      <c r="BK372" s="129" t="str">
        <f aca="false">IF($BL372&lt;&gt;Constants!$B$4,"",IF(NOT($BC372),"",IF(ISNUMBER($AL372),$AL372,0)))</f>
        <v/>
      </c>
      <c r="BL372" s="124" t="str">
        <f aca="false">IF(ISBLANK($C372),"",IF($AO372,Constants!$B$7,IF(COUNTA($E372:$V372)=0,Constants!$B$6,IF(NOT($Y372),Constants!$B$5,IF(NOT(OR($AS372,$BC372)),Constants!$B$5,IF(OR($AT372,$BD372,$AQ372,$AR372&lt;&gt;""),Constants!$B$8,Constants!$B$4))))))</f>
        <v/>
      </c>
      <c r="BM372" s="124" t="str">
        <f aca="false">IF(ISBLANK($C372),"",IF($BL372&lt;&gt;Constants!$B$4,$BL372,IF($BB372="-&gt;",$BI372,$AY372)))</f>
        <v/>
      </c>
      <c r="BN372" s="127" t="str">
        <f aca="false">IF($BL372&lt;&gt;Constants!$B$4,"",IF($BB372="-&gt;",$BJ372,$AZ372))</f>
        <v/>
      </c>
      <c r="BO372" s="127" t="str">
        <f aca="false">IF(ISBLANK($C372),"",IF($BL372&lt;&gt;Constants!$B$4,$BL372,$BN372))</f>
        <v/>
      </c>
      <c r="BP372" s="124" t="str">
        <f aca="false">IF(ISBLANK($C372),"",IF($BL372&lt;&gt;Constants!$B$4,$BL372,RANK($BO372,$BO$9:$BO$508,0)))</f>
        <v/>
      </c>
      <c r="BQ372" s="124" t="str">
        <f aca="false">IF(ISBLANK($C372),"",IF($BL372&lt;&gt;Constants!$B$4,$BL372,COUNTIFS($BM$9:$BM$508,"&lt;"&amp;$BM372)+COUNTIFS($BM$9:$BM$508,$BM372,$BP$9:$BP$508,"&lt;"&amp;$BP372)+1))</f>
        <v/>
      </c>
      <c r="BR372" s="127" t="str">
        <f aca="false">IF($BL372&lt;&gt;Constants!$B$4,"",IF($BB372="-&gt;",$BH372,$AX372))</f>
        <v/>
      </c>
      <c r="BS372" s="124" t="str">
        <f aca="false">IF(ISBLANK($C372),"",IF($BL372&lt;&gt;Constants!$B$4,$BL372,IF(ISNUMBER($BR372),RANK($BR372,$BR$9:$BR$508,0),COUNT($BR$9:$BR$508)+1)))</f>
        <v/>
      </c>
      <c r="BT372" s="127" t="str">
        <f aca="false">IF($BL372&lt;&gt;Constants!$B$4,"",IF($BB372="-&gt;",$BE372,$AU372))</f>
        <v/>
      </c>
      <c r="BU372" s="124" t="str">
        <f aca="false">IF(ISBLANK($C372),"",IF($BL372&lt;&gt;Constants!$B$4,$BL372,IF(ISNUMBER($BT372),RANK($BT372,$BT$9:$BT$508,0),COUNT($BT$9:$BT$508)+1)))</f>
        <v/>
      </c>
      <c r="BV372" s="127" t="str">
        <f aca="false">IF($BL372&lt;&gt;Constants!$B$4,"",IF($BB372="-&gt;",$BF372,$AV372))</f>
        <v/>
      </c>
      <c r="BW372" s="124" t="str">
        <f aca="false">IF(ISBLANK($C372),"",IF($BL372&lt;&gt;Constants!$B$4,$BL372,IF(ISNUMBER($BV372),RANK($BV372,$BV$9:$BV$508,0),COUNT($BV$9:$BV$508)+1)))</f>
        <v/>
      </c>
      <c r="BX372" s="127" t="str">
        <f aca="false">IF($BL372&lt;&gt;Constants!$B$4,"",IF($BB372="-&gt;",$BK372,$BA372))</f>
        <v/>
      </c>
      <c r="BY372" s="124" t="str">
        <f aca="false">IF(ISBLANK($C372),"",IF($BL372&lt;&gt;Constants!$B$4,$BL372,IF(ISNUMBER($BX372),RANK($BX372,$BX$9:$BX$508,0),COUNT($BX$9:$BX$508)+1)))</f>
        <v/>
      </c>
      <c r="BZ372" s="124" t="str">
        <f aca="false">IF(ISBLANK($C372),"",IF($BL372&lt;&gt;Constants!$B$4,$BL372,COUNTIFS($BM$9:$BM$508,"&lt;"&amp;$BM372)+COUNTIFS($BM$9:$BM$508,$BM372,$BP$9:$BP$508,"&lt;"&amp;$BP372)+COUNTIFS($BM$9:$BM$508,$BM372,$BP$9:$BP$508,$BP372,$BS$9:$BS$508,"&lt;"&amp;$BS372)+COUNTIFS($BM$9:$BM$508,$BM372,$BP$9:$BP$508,$BP372,$BS$9:$BS$508,$BS372,$BU$9:$BU$508,"&lt;"&amp;$BU372)+COUNTIFS($BM$9:$BM$508,$BM372,$BP$9:$BP$508,$BP372,$BS$9:$BS$508,$BS372,$BU$9:$BU$508,$BU372,$BW$9:$BW$508,"&lt;"&amp;$BW372)+COUNTIFS($BM$9:$BM$508,$BM372,$BP$9:$BP$508,$BP372,$BS$9:$BS$508,$BS372,$BU$9:$BU$508,$BU372,$BW$9:$BW$508,$BW372,$BY$9:$BY$508,"&lt;"&amp;$BY372)+1))</f>
        <v/>
      </c>
      <c r="CA372" s="124" t="str">
        <f aca="false">IF(ISBLANK($C372),"",IF($BL372&lt;&gt;Constants!$B$4,$BL372,$BQ372-$BZ372))</f>
        <v/>
      </c>
      <c r="CB372" s="130"/>
      <c r="CC372" s="131" t="str">
        <f aca="false">IF(ISBLANK($C372),"",IF($BL372=Constants!$B$8,$AR372,""))</f>
        <v/>
      </c>
      <c r="CD372" s="131" t="str">
        <f aca="false">IF(ISBLANK($C372),"",IF($BL372&lt;&gt;Constants!$B$4,"",IF($BB372="-&gt;",2,1)))</f>
        <v/>
      </c>
      <c r="CE372" s="132" t="str">
        <f aca="false">IF(ISBLANK($C372),"",IF($BL372&lt;&gt;Constants!$B$4,"",IF($BB372="-&gt;",$BE372,$AU372)))</f>
        <v/>
      </c>
      <c r="CF372" s="132" t="str">
        <f aca="false">IF(ISBLANK($C372),"",IF($BL372&lt;&gt;Constants!$B$4,"",IF($BB372="-&gt;",$BF372,$AV372)))</f>
        <v/>
      </c>
      <c r="CG372" s="132" t="str">
        <f aca="false">IF(ISBLANK($C372),"",IF($BL372&lt;&gt;Constants!$B$4,"",IF($BB372="-&gt;",$BG372,$AW372)))</f>
        <v/>
      </c>
      <c r="CH372" s="132" t="str">
        <f aca="false">IF(ISBLANK($C372),"",IF($BL372&lt;&gt;Constants!$B$4,"",IF($BB372="-&gt;",$BH372,$AX372)))</f>
        <v/>
      </c>
      <c r="CI372" s="133" t="str">
        <f aca="false">IF(ISBLANK($C372),"",$BO372)</f>
        <v/>
      </c>
      <c r="CJ372" s="134" t="str">
        <f aca="false">IF(ISBLANK($C372),"",$BM372)</f>
        <v/>
      </c>
      <c r="CK372" s="135" t="str">
        <f aca="false">IF(ISBLANK($C372),"",$CA372)</f>
        <v/>
      </c>
      <c r="CL372" s="135" t="str">
        <f aca="false">IF(ISBLANK($C372),"",$BZ372)</f>
        <v/>
      </c>
      <c r="CM372" s="136" t="str">
        <f aca="false">IF(ISBLANK($C372),"",IF($CL372=Constants!$B$7,COUNTA($C$9:$C$508)+2,IF($CL372=Constants!$B$6,COUNTA($C$9:$C$508)+1,IF($CL372=Constants!$B$5,COUNTA($C$9:$C$508),$CL372))))</f>
        <v/>
      </c>
      <c r="CN372" s="8"/>
      <c r="CO372" s="137" t="n">
        <f aca="false">IF(OR(ISNUMBER($CL372),$CL372=Constants!$B$7,$CL372=Constants!$B$5,$CL372=Constants!$B$6),1,0)</f>
        <v>0</v>
      </c>
      <c r="CP372" s="137" t="n">
        <v>364</v>
      </c>
      <c r="CQ372" s="137" t="str">
        <f aca="false">IF(ISBLANK($C372),"",IF(ISNUMBER($CM372),$CM372+ROW($B372)/1000,""))</f>
        <v/>
      </c>
      <c r="CR372" s="137" t="str">
        <f aca="false">IF(ISNUMBER($CQ372),RANK($CQ372,$CQ$9:$CQ$508,1),"")</f>
        <v/>
      </c>
      <c r="CS372" s="137" t="str">
        <f aca="false">IF(ISBLANK($C372),"",$B372)</f>
        <v/>
      </c>
      <c r="CT372" s="137" t="str">
        <f aca="false">IF(ISBLANK($C372),"",$C372)</f>
        <v/>
      </c>
      <c r="CU372" s="137" t="str">
        <f aca="false">IF(ISBLANK($C372),"",$D372)</f>
        <v/>
      </c>
      <c r="CV372" s="138" t="str">
        <f aca="false">$CJ372</f>
        <v/>
      </c>
      <c r="CW372" s="139" t="str">
        <f aca="false">$CI372</f>
        <v/>
      </c>
      <c r="CX372" s="137" t="str">
        <f aca="false">IF(ISBLANK($C372),"",$CL372)</f>
        <v/>
      </c>
      <c r="CY372" s="140" t="str">
        <f aca="false">IF($CP372&gt;$CO$8,"",VLOOKUP($CP372,$CR$9:$CX$508,7,FALSE()))</f>
        <v/>
      </c>
      <c r="CZ372" s="141" t="str">
        <f aca="false">IF($CP372&gt;$CO$8,"",VLOOKUP($CP372,$CR$9:$CX$508,2,FALSE()))</f>
        <v/>
      </c>
      <c r="DA372" s="141" t="str">
        <f aca="false">IF($CP372&gt;$CO$8,"",VLOOKUP($CP372,$CR$9:$CX$508,3,FALSE()))</f>
        <v/>
      </c>
      <c r="DB372" s="141" t="str">
        <f aca="false">IF($CP372&gt;$CO$8,"",VLOOKUP($CP372,$CR$9:$CX$508,4,FALSE()))</f>
        <v/>
      </c>
      <c r="DC372" s="141" t="str">
        <f aca="false">IF($CP372&gt;$CO$8,"",VLOOKUP($CP372,$CR$9:$CX$508,5,FALSE()))</f>
        <v/>
      </c>
      <c r="DD372" s="142" t="str">
        <f aca="false">IF($CP372&gt;$CO$8,"",VLOOKUP($CP372,$CR$9:$CX$508,6,FALSE()))</f>
        <v/>
      </c>
      <c r="DE372" s="70"/>
    </row>
    <row r="373" customFormat="false" ht="15.75" hidden="false" customHeight="false" outlineLevel="0" collapsed="false">
      <c r="A373" s="8"/>
      <c r="B373" s="146"/>
      <c r="C373" s="147"/>
      <c r="D373" s="148"/>
      <c r="E373" s="164"/>
      <c r="F373" s="150"/>
      <c r="G373" s="115"/>
      <c r="H373" s="115"/>
      <c r="I373" s="115"/>
      <c r="J373" s="165"/>
      <c r="K373" s="154"/>
      <c r="L373" s="154"/>
      <c r="M373" s="118"/>
      <c r="N373" s="154"/>
      <c r="O373" s="153"/>
      <c r="P373" s="154"/>
      <c r="Q373" s="154"/>
      <c r="R373" s="154"/>
      <c r="S373" s="115"/>
      <c r="T373" s="154"/>
      <c r="U373" s="153"/>
      <c r="V373" s="154"/>
      <c r="W373" s="123"/>
      <c r="X373" s="124" t="str">
        <f aca="false">IF(ISBLANK($C373),"",IF($E373=Constants!$B$2,TRUE(),IF($E373=Constants!$B$3,FALSE(),TRUE())))</f>
        <v/>
      </c>
      <c r="Y373" s="124" t="str">
        <f aca="false">IF(ISBLANK($C373),"",IF($F373=Constants!$B$2,TRUE(),IF($F373=Constants!$B$3,FALSE(),TRUE())))</f>
        <v/>
      </c>
      <c r="Z373" s="125" t="str">
        <f aca="false">IF(ISBLANK($C373),"",IF(ISNUMBER($G373),IF($G373&gt;=0,$G373,""),""))</f>
        <v/>
      </c>
      <c r="AA373" s="125" t="str">
        <f aca="false">IF(ISBLANK($C373),"",IF(ISNUMBER($H373),IF($H373&gt;=0,$H373,""),""))</f>
        <v/>
      </c>
      <c r="AB373" s="125" t="str">
        <f aca="false">IF(ISBLANK($C373),"",IF(ISNUMBER($I373),IF($I373&gt;=0,$I373,""),""))</f>
        <v/>
      </c>
      <c r="AC373" s="124" t="str">
        <f aca="false">IF(ISBLANK($C373),"",IF($J373=Constants!$B$2,TRUE(),IF($J373=Constants!$B$3,FALSE(),TRUE())))</f>
        <v/>
      </c>
      <c r="AD373" s="124" t="str">
        <f aca="false">IF(ISBLANK($C373),"",IF($K373=Constants!$B$2,TRUE(),IF($K373=Constants!$B$3,FALSE(),TRUE())))</f>
        <v/>
      </c>
      <c r="AE373" s="124" t="str">
        <f aca="false">IF(ISBLANK($C373),"",IF($L373=Constants!$B$2,TRUE(),IF($L373=Constants!$B$3,FALSE(),TRUE())))</f>
        <v/>
      </c>
      <c r="AF373" s="126" t="str">
        <f aca="false">IF(ISBLANK($C373),"",IF(ISNUMBER($M373),IF($M373&gt;=0,$M373,""),""))</f>
        <v/>
      </c>
      <c r="AG373" s="124" t="str">
        <f aca="false">IF(ISBLANK($C373),"",IF(ISBLANK($N373),0,IF(ISNUMBER($N373),IF(AND($N373&gt;=0,$N373&lt;=Constants!$B$17,$N373=INT($N373)),$N373,""),"")))</f>
        <v/>
      </c>
      <c r="AH373" s="125" t="str">
        <f aca="false">IF(ISBLANK($C373),"",IF(ISBLANK($O373),0,IF(ISNUMBER($O373),IF($O373&gt;=0,$O373,""),"")))</f>
        <v/>
      </c>
      <c r="AI373" s="124" t="str">
        <f aca="false">IF(ISBLANK($C373),"",IF($P373=Constants!$B$2,TRUE(),IF($P373=Constants!$B$3,FALSE(),TRUE())))</f>
        <v/>
      </c>
      <c r="AJ373" s="124" t="str">
        <f aca="false">IF(ISBLANK($C373),"",IF($Q373=Constants!$B$2,TRUE(),IF($Q373=Constants!$B$3,FALSE(),TRUE())))</f>
        <v/>
      </c>
      <c r="AK373" s="124" t="str">
        <f aca="false">IF(ISBLANK($C373),"",IF($R373=Constants!$B$2,TRUE(),IF($R373=Constants!$B$3,FALSE(),TRUE())))</f>
        <v/>
      </c>
      <c r="AL373" s="126" t="str">
        <f aca="false">IF(ISBLANK($C373),"",IF(ISNUMBER($S373),IF($S373&gt;=0,$S373,""),""))</f>
        <v/>
      </c>
      <c r="AM373" s="124" t="str">
        <f aca="false">IF(ISBLANK($C373),"",IF(ISBLANK($T373),0,IF(ISNUMBER($T373),IF(AND($T373&gt;=0,$T373&lt;=Constants!$B$17,$T373=INT($T373)),$T373,""),"")))</f>
        <v/>
      </c>
      <c r="AN373" s="125" t="str">
        <f aca="false">IF(ISBLANK($C373),"",IF(ISBLANK($U373),0,IF(ISNUMBER($U373),IF($U373&gt;=0,$U373,""),"")))</f>
        <v/>
      </c>
      <c r="AO373" s="124" t="str">
        <f aca="false">IF(ISBLANK($C373),"",IF($V373=Constants!$B$2,TRUE(),IF($V373=Constants!$B$3,FALSE(),FALSE())))</f>
        <v/>
      </c>
      <c r="AP373" s="124"/>
      <c r="AQ373" s="123" t="str">
        <f aca="false">IF(ISBLANK($C373),"",AND($Y373,OR($AS373,$BC373),OR($Z373="",$AA373="",$AB373="")))</f>
        <v/>
      </c>
      <c r="AR373" s="123" t="str">
        <f aca="false">IF(ISBLANK($C373),"",IF(OR(NOT($Y373),NOT(OR($AS373,$BC373))),"",IF(ISBLANK($D$7),$AR$5,IF($AP$9="",$AR$6,""))))</f>
        <v/>
      </c>
      <c r="AS373" s="123" t="str">
        <f aca="false">IF(ISBLANK($C373),"",COUNTA($J373:$O373)&gt;0)</f>
        <v/>
      </c>
      <c r="AT373" s="123" t="str">
        <f aca="false">IF(ISBLANK($C373),"",AND($AS373,OR(AND($AF373="",OR($AE373,NOT(ISBLANK($M373)))),$AG373="",$AH373="")))</f>
        <v/>
      </c>
      <c r="AU373" s="125" t="str">
        <f aca="false">IF($BL373&lt;&gt;Constants!$B$4,"",IF(NOT($AS373),"",ROUND((Constants!$B$12-$AB373)+(Constants!$B$13-$Z373)+(Constants!$B$14-$AA373),1)))</f>
        <v/>
      </c>
      <c r="AV373" s="127" t="str">
        <f aca="false">IF($BL373&lt;&gt;Constants!$B$4,"",IF(NOT($AS373),"",IF(NOT($AE373),0,Constants!$B$15*(INT(ROUND(MIN($AF373,$AP$9),6))-INT(ROUND(MAX(0,MIN($AF373,2*$AP$9)-$AP$9),6))))))</f>
        <v/>
      </c>
      <c r="AW373" s="127" t="str">
        <f aca="false">IF($BL373&lt;&gt;Constants!$B$4,"",IF(NOT($AS373),"",Constants!$B$16*$AG373))</f>
        <v/>
      </c>
      <c r="AX373" s="127" t="str">
        <f aca="false">IF($BL373&lt;&gt;Constants!$B$4,"",IF(NOT($AS373),"",Constants!$B$18*INT(ROUND($AH373,6))))</f>
        <v/>
      </c>
      <c r="AY373" s="123" t="str">
        <f aca="false">IF($BL373&lt;&gt;Constants!$B$4,"",IF(NOT($AS373),"",IF(NOT($X373),Constants!$B$11,IF(OR(NOT($AC373),NOT($AD373),ROUND($AB373,1)&gt;Constants!$B$12,ROUND($Z373,1)&gt;Constants!$B$13,ROUND($AA373,1)&gt;Constants!$B$14),Constants!$B$10,Constants!$B$9))))</f>
        <v/>
      </c>
      <c r="AZ373" s="128" t="str">
        <f aca="false">IF($BL373&lt;&gt;Constants!$B$4,"",IF(NOT($AS373),"",ROUND($AU373+$AV373+$AW373+$AX373,1)))</f>
        <v/>
      </c>
      <c r="BA373" s="129" t="str">
        <f aca="false">IF($BL373&lt;&gt;Constants!$B$4,"",IF(NOT($AS373),"",IF(ISNUMBER($AF373),$AF373,0)))</f>
        <v/>
      </c>
      <c r="BB373" s="124" t="str">
        <f aca="false">IF($BL373&lt;&gt;Constants!$B$4,"",IF(NOT($BC373),"&lt;-",IF(NOT($AS373),"-&gt;",IF(OR($BI373&lt;$AY373,AND($BI373=$AY373,OR($BJ373&gt;$AZ373,AND($BJ373=$AZ373,OR($BH373&gt;$AX373,AND($BH373=$AX373,OR($BE373&gt;$AU373,AND($BE373=$AU373,OR($BF373&gt;$AV373,AND($BF373=$AV373,$BK373&gt;$BA373)))))))))),"-&gt;","&lt;-"))))</f>
        <v/>
      </c>
      <c r="BC373" s="123" t="str">
        <f aca="false">IF(ISBLANK($C373),"",COUNTA($P373:$U373)&gt;0)</f>
        <v/>
      </c>
      <c r="BD373" s="123" t="str">
        <f aca="false">IF(ISBLANK($C373),"",AND($BC373,OR(AND($AL373="",OR($AK373,NOT(ISBLANK($S373)))),$AM373="",$AN373="")))</f>
        <v/>
      </c>
      <c r="BE373" s="125" t="str">
        <f aca="false">IF($BL373&lt;&gt;Constants!$B$4,"",IF(NOT($BC373),"",ROUND((Constants!$B$12-$AB373)+(Constants!$B$13-$Z373)+(Constants!$B$14-$AA373),1)))</f>
        <v/>
      </c>
      <c r="BF373" s="127" t="str">
        <f aca="false">IF($BL373&lt;&gt;Constants!$B$4,"",IF(NOT($BC373),"",IF(NOT($AK373),0,Constants!$B$15*(INT(ROUND(MIN($AL373,$AP$9),6))-INT(ROUND(MAX(0,MIN($AL373,2*$AP$9)-$AP$9),6))))))</f>
        <v/>
      </c>
      <c r="BG373" s="127" t="str">
        <f aca="false">IF($BL373&lt;&gt;Constants!$B$4,"",IF(NOT($BC373),"",Constants!$B$16*$AM373))</f>
        <v/>
      </c>
      <c r="BH373" s="127" t="str">
        <f aca="false">IF($BL373&lt;&gt;Constants!$B$4,"",IF(NOT($BC373),"",Constants!$B$18*INT(ROUND($AN373,6))))</f>
        <v/>
      </c>
      <c r="BI373" s="123" t="str">
        <f aca="false">IF($BL373&lt;&gt;Constants!$B$4,"",IF(NOT($BC373),"",IF(NOT($X373),Constants!$B$11,IF(OR(NOT($AI373),NOT($AJ373),ROUND($AB373,1)&gt;Constants!$B$12,ROUND($Z373,1)&gt;Constants!$B$13,ROUND($AA373,1)&gt;Constants!$B$14),Constants!$B$10,Constants!$B$9))))</f>
        <v/>
      </c>
      <c r="BJ373" s="128" t="str">
        <f aca="false">IF($BL373&lt;&gt;Constants!$B$4,"",IF(NOT($BC373),"",ROUND($BE373+$BF373+$BG373+$BH373,1)))</f>
        <v/>
      </c>
      <c r="BK373" s="129" t="str">
        <f aca="false">IF($BL373&lt;&gt;Constants!$B$4,"",IF(NOT($BC373),"",IF(ISNUMBER($AL373),$AL373,0)))</f>
        <v/>
      </c>
      <c r="BL373" s="124" t="str">
        <f aca="false">IF(ISBLANK($C373),"",IF($AO373,Constants!$B$7,IF(COUNTA($E373:$V373)=0,Constants!$B$6,IF(NOT($Y373),Constants!$B$5,IF(NOT(OR($AS373,$BC373)),Constants!$B$5,IF(OR($AT373,$BD373,$AQ373,$AR373&lt;&gt;""),Constants!$B$8,Constants!$B$4))))))</f>
        <v/>
      </c>
      <c r="BM373" s="124" t="str">
        <f aca="false">IF(ISBLANK($C373),"",IF($BL373&lt;&gt;Constants!$B$4,$BL373,IF($BB373="-&gt;",$BI373,$AY373)))</f>
        <v/>
      </c>
      <c r="BN373" s="127" t="str">
        <f aca="false">IF($BL373&lt;&gt;Constants!$B$4,"",IF($BB373="-&gt;",$BJ373,$AZ373))</f>
        <v/>
      </c>
      <c r="BO373" s="127" t="str">
        <f aca="false">IF(ISBLANK($C373),"",IF($BL373&lt;&gt;Constants!$B$4,$BL373,$BN373))</f>
        <v/>
      </c>
      <c r="BP373" s="124" t="str">
        <f aca="false">IF(ISBLANK($C373),"",IF($BL373&lt;&gt;Constants!$B$4,$BL373,RANK($BO373,$BO$9:$BO$508,0)))</f>
        <v/>
      </c>
      <c r="BQ373" s="124" t="str">
        <f aca="false">IF(ISBLANK($C373),"",IF($BL373&lt;&gt;Constants!$B$4,$BL373,COUNTIFS($BM$9:$BM$508,"&lt;"&amp;$BM373)+COUNTIFS($BM$9:$BM$508,$BM373,$BP$9:$BP$508,"&lt;"&amp;$BP373)+1))</f>
        <v/>
      </c>
      <c r="BR373" s="127" t="str">
        <f aca="false">IF($BL373&lt;&gt;Constants!$B$4,"",IF($BB373="-&gt;",$BH373,$AX373))</f>
        <v/>
      </c>
      <c r="BS373" s="124" t="str">
        <f aca="false">IF(ISBLANK($C373),"",IF($BL373&lt;&gt;Constants!$B$4,$BL373,IF(ISNUMBER($BR373),RANK($BR373,$BR$9:$BR$508,0),COUNT($BR$9:$BR$508)+1)))</f>
        <v/>
      </c>
      <c r="BT373" s="127" t="str">
        <f aca="false">IF($BL373&lt;&gt;Constants!$B$4,"",IF($BB373="-&gt;",$BE373,$AU373))</f>
        <v/>
      </c>
      <c r="BU373" s="124" t="str">
        <f aca="false">IF(ISBLANK($C373),"",IF($BL373&lt;&gt;Constants!$B$4,$BL373,IF(ISNUMBER($BT373),RANK($BT373,$BT$9:$BT$508,0),COUNT($BT$9:$BT$508)+1)))</f>
        <v/>
      </c>
      <c r="BV373" s="127" t="str">
        <f aca="false">IF($BL373&lt;&gt;Constants!$B$4,"",IF($BB373="-&gt;",$BF373,$AV373))</f>
        <v/>
      </c>
      <c r="BW373" s="124" t="str">
        <f aca="false">IF(ISBLANK($C373),"",IF($BL373&lt;&gt;Constants!$B$4,$BL373,IF(ISNUMBER($BV373),RANK($BV373,$BV$9:$BV$508,0),COUNT($BV$9:$BV$508)+1)))</f>
        <v/>
      </c>
      <c r="BX373" s="127" t="str">
        <f aca="false">IF($BL373&lt;&gt;Constants!$B$4,"",IF($BB373="-&gt;",$BK373,$BA373))</f>
        <v/>
      </c>
      <c r="BY373" s="124" t="str">
        <f aca="false">IF(ISBLANK($C373),"",IF($BL373&lt;&gt;Constants!$B$4,$BL373,IF(ISNUMBER($BX373),RANK($BX373,$BX$9:$BX$508,0),COUNT($BX$9:$BX$508)+1)))</f>
        <v/>
      </c>
      <c r="BZ373" s="124" t="str">
        <f aca="false">IF(ISBLANK($C373),"",IF($BL373&lt;&gt;Constants!$B$4,$BL373,COUNTIFS($BM$9:$BM$508,"&lt;"&amp;$BM373)+COUNTIFS($BM$9:$BM$508,$BM373,$BP$9:$BP$508,"&lt;"&amp;$BP373)+COUNTIFS($BM$9:$BM$508,$BM373,$BP$9:$BP$508,$BP373,$BS$9:$BS$508,"&lt;"&amp;$BS373)+COUNTIFS($BM$9:$BM$508,$BM373,$BP$9:$BP$508,$BP373,$BS$9:$BS$508,$BS373,$BU$9:$BU$508,"&lt;"&amp;$BU373)+COUNTIFS($BM$9:$BM$508,$BM373,$BP$9:$BP$508,$BP373,$BS$9:$BS$508,$BS373,$BU$9:$BU$508,$BU373,$BW$9:$BW$508,"&lt;"&amp;$BW373)+COUNTIFS($BM$9:$BM$508,$BM373,$BP$9:$BP$508,$BP373,$BS$9:$BS$508,$BS373,$BU$9:$BU$508,$BU373,$BW$9:$BW$508,$BW373,$BY$9:$BY$508,"&lt;"&amp;$BY373)+1))</f>
        <v/>
      </c>
      <c r="CA373" s="124" t="str">
        <f aca="false">IF(ISBLANK($C373),"",IF($BL373&lt;&gt;Constants!$B$4,$BL373,$BQ373-$BZ373))</f>
        <v/>
      </c>
      <c r="CB373" s="130"/>
      <c r="CC373" s="131" t="str">
        <f aca="false">IF(ISBLANK($C373),"",IF($BL373=Constants!$B$8,$AR373,""))</f>
        <v/>
      </c>
      <c r="CD373" s="131" t="str">
        <f aca="false">IF(ISBLANK($C373),"",IF($BL373&lt;&gt;Constants!$B$4,"",IF($BB373="-&gt;",2,1)))</f>
        <v/>
      </c>
      <c r="CE373" s="132" t="str">
        <f aca="false">IF(ISBLANK($C373),"",IF($BL373&lt;&gt;Constants!$B$4,"",IF($BB373="-&gt;",$BE373,$AU373)))</f>
        <v/>
      </c>
      <c r="CF373" s="132" t="str">
        <f aca="false">IF(ISBLANK($C373),"",IF($BL373&lt;&gt;Constants!$B$4,"",IF($BB373="-&gt;",$BF373,$AV373)))</f>
        <v/>
      </c>
      <c r="CG373" s="132" t="str">
        <f aca="false">IF(ISBLANK($C373),"",IF($BL373&lt;&gt;Constants!$B$4,"",IF($BB373="-&gt;",$BG373,$AW373)))</f>
        <v/>
      </c>
      <c r="CH373" s="132" t="str">
        <f aca="false">IF(ISBLANK($C373),"",IF($BL373&lt;&gt;Constants!$B$4,"",IF($BB373="-&gt;",$BH373,$AX373)))</f>
        <v/>
      </c>
      <c r="CI373" s="133" t="str">
        <f aca="false">IF(ISBLANK($C373),"",$BO373)</f>
        <v/>
      </c>
      <c r="CJ373" s="134" t="str">
        <f aca="false">IF(ISBLANK($C373),"",$BM373)</f>
        <v/>
      </c>
      <c r="CK373" s="135" t="str">
        <f aca="false">IF(ISBLANK($C373),"",$CA373)</f>
        <v/>
      </c>
      <c r="CL373" s="135" t="str">
        <f aca="false">IF(ISBLANK($C373),"",$BZ373)</f>
        <v/>
      </c>
      <c r="CM373" s="136" t="str">
        <f aca="false">IF(ISBLANK($C373),"",IF($CL373=Constants!$B$7,COUNTA($C$9:$C$508)+2,IF($CL373=Constants!$B$6,COUNTA($C$9:$C$508)+1,IF($CL373=Constants!$B$5,COUNTA($C$9:$C$508),$CL373))))</f>
        <v/>
      </c>
      <c r="CN373" s="8"/>
      <c r="CO373" s="137" t="n">
        <f aca="false">IF(OR(ISNUMBER($CL373),$CL373=Constants!$B$7,$CL373=Constants!$B$5,$CL373=Constants!$B$6),1,0)</f>
        <v>0</v>
      </c>
      <c r="CP373" s="137" t="n">
        <v>365</v>
      </c>
      <c r="CQ373" s="137" t="str">
        <f aca="false">IF(ISBLANK($C373),"",IF(ISNUMBER($CM373),$CM373+ROW($B373)/1000,""))</f>
        <v/>
      </c>
      <c r="CR373" s="137" t="str">
        <f aca="false">IF(ISNUMBER($CQ373),RANK($CQ373,$CQ$9:$CQ$508,1),"")</f>
        <v/>
      </c>
      <c r="CS373" s="137" t="str">
        <f aca="false">IF(ISBLANK($C373),"",$B373)</f>
        <v/>
      </c>
      <c r="CT373" s="137" t="str">
        <f aca="false">IF(ISBLANK($C373),"",$C373)</f>
        <v/>
      </c>
      <c r="CU373" s="137" t="str">
        <f aca="false">IF(ISBLANK($C373),"",$D373)</f>
        <v/>
      </c>
      <c r="CV373" s="138" t="str">
        <f aca="false">$CJ373</f>
        <v/>
      </c>
      <c r="CW373" s="139" t="str">
        <f aca="false">$CI373</f>
        <v/>
      </c>
      <c r="CX373" s="137" t="str">
        <f aca="false">IF(ISBLANK($C373),"",$CL373)</f>
        <v/>
      </c>
      <c r="CY373" s="140" t="str">
        <f aca="false">IF($CP373&gt;$CO$8,"",VLOOKUP($CP373,$CR$9:$CX$508,7,FALSE()))</f>
        <v/>
      </c>
      <c r="CZ373" s="141" t="str">
        <f aca="false">IF($CP373&gt;$CO$8,"",VLOOKUP($CP373,$CR$9:$CX$508,2,FALSE()))</f>
        <v/>
      </c>
      <c r="DA373" s="141" t="str">
        <f aca="false">IF($CP373&gt;$CO$8,"",VLOOKUP($CP373,$CR$9:$CX$508,3,FALSE()))</f>
        <v/>
      </c>
      <c r="DB373" s="141" t="str">
        <f aca="false">IF($CP373&gt;$CO$8,"",VLOOKUP($CP373,$CR$9:$CX$508,4,FALSE()))</f>
        <v/>
      </c>
      <c r="DC373" s="141" t="str">
        <f aca="false">IF($CP373&gt;$CO$8,"",VLOOKUP($CP373,$CR$9:$CX$508,5,FALSE()))</f>
        <v/>
      </c>
      <c r="DD373" s="142" t="str">
        <f aca="false">IF($CP373&gt;$CO$8,"",VLOOKUP($CP373,$CR$9:$CX$508,6,FALSE()))</f>
        <v/>
      </c>
      <c r="DE373" s="70"/>
    </row>
    <row r="374" customFormat="false" ht="15.75" hidden="false" customHeight="false" outlineLevel="0" collapsed="false">
      <c r="A374" s="8"/>
      <c r="B374" s="146"/>
      <c r="C374" s="147"/>
      <c r="D374" s="148"/>
      <c r="E374" s="164"/>
      <c r="F374" s="150"/>
      <c r="G374" s="115"/>
      <c r="H374" s="115"/>
      <c r="I374" s="115"/>
      <c r="J374" s="165"/>
      <c r="K374" s="154"/>
      <c r="L374" s="154"/>
      <c r="M374" s="118"/>
      <c r="N374" s="154"/>
      <c r="O374" s="153"/>
      <c r="P374" s="154"/>
      <c r="Q374" s="154"/>
      <c r="R374" s="154"/>
      <c r="S374" s="115"/>
      <c r="T374" s="154"/>
      <c r="U374" s="153"/>
      <c r="V374" s="154"/>
      <c r="W374" s="123"/>
      <c r="X374" s="124" t="str">
        <f aca="false">IF(ISBLANK($C374),"",IF($E374=Constants!$B$2,TRUE(),IF($E374=Constants!$B$3,FALSE(),TRUE())))</f>
        <v/>
      </c>
      <c r="Y374" s="124" t="str">
        <f aca="false">IF(ISBLANK($C374),"",IF($F374=Constants!$B$2,TRUE(),IF($F374=Constants!$B$3,FALSE(),TRUE())))</f>
        <v/>
      </c>
      <c r="Z374" s="125" t="str">
        <f aca="false">IF(ISBLANK($C374),"",IF(ISNUMBER($G374),IF($G374&gt;=0,$G374,""),""))</f>
        <v/>
      </c>
      <c r="AA374" s="125" t="str">
        <f aca="false">IF(ISBLANK($C374),"",IF(ISNUMBER($H374),IF($H374&gt;=0,$H374,""),""))</f>
        <v/>
      </c>
      <c r="AB374" s="125" t="str">
        <f aca="false">IF(ISBLANK($C374),"",IF(ISNUMBER($I374),IF($I374&gt;=0,$I374,""),""))</f>
        <v/>
      </c>
      <c r="AC374" s="124" t="str">
        <f aca="false">IF(ISBLANK($C374),"",IF($J374=Constants!$B$2,TRUE(),IF($J374=Constants!$B$3,FALSE(),TRUE())))</f>
        <v/>
      </c>
      <c r="AD374" s="124" t="str">
        <f aca="false">IF(ISBLANK($C374),"",IF($K374=Constants!$B$2,TRUE(),IF($K374=Constants!$B$3,FALSE(),TRUE())))</f>
        <v/>
      </c>
      <c r="AE374" s="124" t="str">
        <f aca="false">IF(ISBLANK($C374),"",IF($L374=Constants!$B$2,TRUE(),IF($L374=Constants!$B$3,FALSE(),TRUE())))</f>
        <v/>
      </c>
      <c r="AF374" s="126" t="str">
        <f aca="false">IF(ISBLANK($C374),"",IF(ISNUMBER($M374),IF($M374&gt;=0,$M374,""),""))</f>
        <v/>
      </c>
      <c r="AG374" s="124" t="str">
        <f aca="false">IF(ISBLANK($C374),"",IF(ISBLANK($N374),0,IF(ISNUMBER($N374),IF(AND($N374&gt;=0,$N374&lt;=Constants!$B$17,$N374=INT($N374)),$N374,""),"")))</f>
        <v/>
      </c>
      <c r="AH374" s="125" t="str">
        <f aca="false">IF(ISBLANK($C374),"",IF(ISBLANK($O374),0,IF(ISNUMBER($O374),IF($O374&gt;=0,$O374,""),"")))</f>
        <v/>
      </c>
      <c r="AI374" s="124" t="str">
        <f aca="false">IF(ISBLANK($C374),"",IF($P374=Constants!$B$2,TRUE(),IF($P374=Constants!$B$3,FALSE(),TRUE())))</f>
        <v/>
      </c>
      <c r="AJ374" s="124" t="str">
        <f aca="false">IF(ISBLANK($C374),"",IF($Q374=Constants!$B$2,TRUE(),IF($Q374=Constants!$B$3,FALSE(),TRUE())))</f>
        <v/>
      </c>
      <c r="AK374" s="124" t="str">
        <f aca="false">IF(ISBLANK($C374),"",IF($R374=Constants!$B$2,TRUE(),IF($R374=Constants!$B$3,FALSE(),TRUE())))</f>
        <v/>
      </c>
      <c r="AL374" s="126" t="str">
        <f aca="false">IF(ISBLANK($C374),"",IF(ISNUMBER($S374),IF($S374&gt;=0,$S374,""),""))</f>
        <v/>
      </c>
      <c r="AM374" s="124" t="str">
        <f aca="false">IF(ISBLANK($C374),"",IF(ISBLANK($T374),0,IF(ISNUMBER($T374),IF(AND($T374&gt;=0,$T374&lt;=Constants!$B$17,$T374=INT($T374)),$T374,""),"")))</f>
        <v/>
      </c>
      <c r="AN374" s="125" t="str">
        <f aca="false">IF(ISBLANK($C374),"",IF(ISBLANK($U374),0,IF(ISNUMBER($U374),IF($U374&gt;=0,$U374,""),"")))</f>
        <v/>
      </c>
      <c r="AO374" s="124" t="str">
        <f aca="false">IF(ISBLANK($C374),"",IF($V374=Constants!$B$2,TRUE(),IF($V374=Constants!$B$3,FALSE(),FALSE())))</f>
        <v/>
      </c>
      <c r="AP374" s="124"/>
      <c r="AQ374" s="123" t="str">
        <f aca="false">IF(ISBLANK($C374),"",AND($Y374,OR($AS374,$BC374),OR($Z374="",$AA374="",$AB374="")))</f>
        <v/>
      </c>
      <c r="AR374" s="123" t="str">
        <f aca="false">IF(ISBLANK($C374),"",IF(OR(NOT($Y374),NOT(OR($AS374,$BC374))),"",IF(ISBLANK($D$7),$AR$5,IF($AP$9="",$AR$6,""))))</f>
        <v/>
      </c>
      <c r="AS374" s="123" t="str">
        <f aca="false">IF(ISBLANK($C374),"",COUNTA($J374:$O374)&gt;0)</f>
        <v/>
      </c>
      <c r="AT374" s="123" t="str">
        <f aca="false">IF(ISBLANK($C374),"",AND($AS374,OR(AND($AF374="",OR($AE374,NOT(ISBLANK($M374)))),$AG374="",$AH374="")))</f>
        <v/>
      </c>
      <c r="AU374" s="125" t="str">
        <f aca="false">IF($BL374&lt;&gt;Constants!$B$4,"",IF(NOT($AS374),"",ROUND((Constants!$B$12-$AB374)+(Constants!$B$13-$Z374)+(Constants!$B$14-$AA374),1)))</f>
        <v/>
      </c>
      <c r="AV374" s="127" t="str">
        <f aca="false">IF($BL374&lt;&gt;Constants!$B$4,"",IF(NOT($AS374),"",IF(NOT($AE374),0,Constants!$B$15*(INT(ROUND(MIN($AF374,$AP$9),6))-INT(ROUND(MAX(0,MIN($AF374,2*$AP$9)-$AP$9),6))))))</f>
        <v/>
      </c>
      <c r="AW374" s="127" t="str">
        <f aca="false">IF($BL374&lt;&gt;Constants!$B$4,"",IF(NOT($AS374),"",Constants!$B$16*$AG374))</f>
        <v/>
      </c>
      <c r="AX374" s="127" t="str">
        <f aca="false">IF($BL374&lt;&gt;Constants!$B$4,"",IF(NOT($AS374),"",Constants!$B$18*INT(ROUND($AH374,6))))</f>
        <v/>
      </c>
      <c r="AY374" s="123" t="str">
        <f aca="false">IF($BL374&lt;&gt;Constants!$B$4,"",IF(NOT($AS374),"",IF(NOT($X374),Constants!$B$11,IF(OR(NOT($AC374),NOT($AD374),ROUND($AB374,1)&gt;Constants!$B$12,ROUND($Z374,1)&gt;Constants!$B$13,ROUND($AA374,1)&gt;Constants!$B$14),Constants!$B$10,Constants!$B$9))))</f>
        <v/>
      </c>
      <c r="AZ374" s="128" t="str">
        <f aca="false">IF($BL374&lt;&gt;Constants!$B$4,"",IF(NOT($AS374),"",ROUND($AU374+$AV374+$AW374+$AX374,1)))</f>
        <v/>
      </c>
      <c r="BA374" s="129" t="str">
        <f aca="false">IF($BL374&lt;&gt;Constants!$B$4,"",IF(NOT($AS374),"",IF(ISNUMBER($AF374),$AF374,0)))</f>
        <v/>
      </c>
      <c r="BB374" s="124" t="str">
        <f aca="false">IF($BL374&lt;&gt;Constants!$B$4,"",IF(NOT($BC374),"&lt;-",IF(NOT($AS374),"-&gt;",IF(OR($BI374&lt;$AY374,AND($BI374=$AY374,OR($BJ374&gt;$AZ374,AND($BJ374=$AZ374,OR($BH374&gt;$AX374,AND($BH374=$AX374,OR($BE374&gt;$AU374,AND($BE374=$AU374,OR($BF374&gt;$AV374,AND($BF374=$AV374,$BK374&gt;$BA374)))))))))),"-&gt;","&lt;-"))))</f>
        <v/>
      </c>
      <c r="BC374" s="123" t="str">
        <f aca="false">IF(ISBLANK($C374),"",COUNTA($P374:$U374)&gt;0)</f>
        <v/>
      </c>
      <c r="BD374" s="123" t="str">
        <f aca="false">IF(ISBLANK($C374),"",AND($BC374,OR(AND($AL374="",OR($AK374,NOT(ISBLANK($S374)))),$AM374="",$AN374="")))</f>
        <v/>
      </c>
      <c r="BE374" s="125" t="str">
        <f aca="false">IF($BL374&lt;&gt;Constants!$B$4,"",IF(NOT($BC374),"",ROUND((Constants!$B$12-$AB374)+(Constants!$B$13-$Z374)+(Constants!$B$14-$AA374),1)))</f>
        <v/>
      </c>
      <c r="BF374" s="127" t="str">
        <f aca="false">IF($BL374&lt;&gt;Constants!$B$4,"",IF(NOT($BC374),"",IF(NOT($AK374),0,Constants!$B$15*(INT(ROUND(MIN($AL374,$AP$9),6))-INT(ROUND(MAX(0,MIN($AL374,2*$AP$9)-$AP$9),6))))))</f>
        <v/>
      </c>
      <c r="BG374" s="127" t="str">
        <f aca="false">IF($BL374&lt;&gt;Constants!$B$4,"",IF(NOT($BC374),"",Constants!$B$16*$AM374))</f>
        <v/>
      </c>
      <c r="BH374" s="127" t="str">
        <f aca="false">IF($BL374&lt;&gt;Constants!$B$4,"",IF(NOT($BC374),"",Constants!$B$18*INT(ROUND($AN374,6))))</f>
        <v/>
      </c>
      <c r="BI374" s="123" t="str">
        <f aca="false">IF($BL374&lt;&gt;Constants!$B$4,"",IF(NOT($BC374),"",IF(NOT($X374),Constants!$B$11,IF(OR(NOT($AI374),NOT($AJ374),ROUND($AB374,1)&gt;Constants!$B$12,ROUND($Z374,1)&gt;Constants!$B$13,ROUND($AA374,1)&gt;Constants!$B$14),Constants!$B$10,Constants!$B$9))))</f>
        <v/>
      </c>
      <c r="BJ374" s="128" t="str">
        <f aca="false">IF($BL374&lt;&gt;Constants!$B$4,"",IF(NOT($BC374),"",ROUND($BE374+$BF374+$BG374+$BH374,1)))</f>
        <v/>
      </c>
      <c r="BK374" s="129" t="str">
        <f aca="false">IF($BL374&lt;&gt;Constants!$B$4,"",IF(NOT($BC374),"",IF(ISNUMBER($AL374),$AL374,0)))</f>
        <v/>
      </c>
      <c r="BL374" s="124" t="str">
        <f aca="false">IF(ISBLANK($C374),"",IF($AO374,Constants!$B$7,IF(COUNTA($E374:$V374)=0,Constants!$B$6,IF(NOT($Y374),Constants!$B$5,IF(NOT(OR($AS374,$BC374)),Constants!$B$5,IF(OR($AT374,$BD374,$AQ374,$AR374&lt;&gt;""),Constants!$B$8,Constants!$B$4))))))</f>
        <v/>
      </c>
      <c r="BM374" s="124" t="str">
        <f aca="false">IF(ISBLANK($C374),"",IF($BL374&lt;&gt;Constants!$B$4,$BL374,IF($BB374="-&gt;",$BI374,$AY374)))</f>
        <v/>
      </c>
      <c r="BN374" s="127" t="str">
        <f aca="false">IF($BL374&lt;&gt;Constants!$B$4,"",IF($BB374="-&gt;",$BJ374,$AZ374))</f>
        <v/>
      </c>
      <c r="BO374" s="127" t="str">
        <f aca="false">IF(ISBLANK($C374),"",IF($BL374&lt;&gt;Constants!$B$4,$BL374,$BN374))</f>
        <v/>
      </c>
      <c r="BP374" s="124" t="str">
        <f aca="false">IF(ISBLANK($C374),"",IF($BL374&lt;&gt;Constants!$B$4,$BL374,RANK($BO374,$BO$9:$BO$508,0)))</f>
        <v/>
      </c>
      <c r="BQ374" s="124" t="str">
        <f aca="false">IF(ISBLANK($C374),"",IF($BL374&lt;&gt;Constants!$B$4,$BL374,COUNTIFS($BM$9:$BM$508,"&lt;"&amp;$BM374)+COUNTIFS($BM$9:$BM$508,$BM374,$BP$9:$BP$508,"&lt;"&amp;$BP374)+1))</f>
        <v/>
      </c>
      <c r="BR374" s="127" t="str">
        <f aca="false">IF($BL374&lt;&gt;Constants!$B$4,"",IF($BB374="-&gt;",$BH374,$AX374))</f>
        <v/>
      </c>
      <c r="BS374" s="124" t="str">
        <f aca="false">IF(ISBLANK($C374),"",IF($BL374&lt;&gt;Constants!$B$4,$BL374,IF(ISNUMBER($BR374),RANK($BR374,$BR$9:$BR$508,0),COUNT($BR$9:$BR$508)+1)))</f>
        <v/>
      </c>
      <c r="BT374" s="127" t="str">
        <f aca="false">IF($BL374&lt;&gt;Constants!$B$4,"",IF($BB374="-&gt;",$BE374,$AU374))</f>
        <v/>
      </c>
      <c r="BU374" s="124" t="str">
        <f aca="false">IF(ISBLANK($C374),"",IF($BL374&lt;&gt;Constants!$B$4,$BL374,IF(ISNUMBER($BT374),RANK($BT374,$BT$9:$BT$508,0),COUNT($BT$9:$BT$508)+1)))</f>
        <v/>
      </c>
      <c r="BV374" s="127" t="str">
        <f aca="false">IF($BL374&lt;&gt;Constants!$B$4,"",IF($BB374="-&gt;",$BF374,$AV374))</f>
        <v/>
      </c>
      <c r="BW374" s="124" t="str">
        <f aca="false">IF(ISBLANK($C374),"",IF($BL374&lt;&gt;Constants!$B$4,$BL374,IF(ISNUMBER($BV374),RANK($BV374,$BV$9:$BV$508,0),COUNT($BV$9:$BV$508)+1)))</f>
        <v/>
      </c>
      <c r="BX374" s="127" t="str">
        <f aca="false">IF($BL374&lt;&gt;Constants!$B$4,"",IF($BB374="-&gt;",$BK374,$BA374))</f>
        <v/>
      </c>
      <c r="BY374" s="124" t="str">
        <f aca="false">IF(ISBLANK($C374),"",IF($BL374&lt;&gt;Constants!$B$4,$BL374,IF(ISNUMBER($BX374),RANK($BX374,$BX$9:$BX$508,0),COUNT($BX$9:$BX$508)+1)))</f>
        <v/>
      </c>
      <c r="BZ374" s="124" t="str">
        <f aca="false">IF(ISBLANK($C374),"",IF($BL374&lt;&gt;Constants!$B$4,$BL374,COUNTIFS($BM$9:$BM$508,"&lt;"&amp;$BM374)+COUNTIFS($BM$9:$BM$508,$BM374,$BP$9:$BP$508,"&lt;"&amp;$BP374)+COUNTIFS($BM$9:$BM$508,$BM374,$BP$9:$BP$508,$BP374,$BS$9:$BS$508,"&lt;"&amp;$BS374)+COUNTIFS($BM$9:$BM$508,$BM374,$BP$9:$BP$508,$BP374,$BS$9:$BS$508,$BS374,$BU$9:$BU$508,"&lt;"&amp;$BU374)+COUNTIFS($BM$9:$BM$508,$BM374,$BP$9:$BP$508,$BP374,$BS$9:$BS$508,$BS374,$BU$9:$BU$508,$BU374,$BW$9:$BW$508,"&lt;"&amp;$BW374)+COUNTIFS($BM$9:$BM$508,$BM374,$BP$9:$BP$508,$BP374,$BS$9:$BS$508,$BS374,$BU$9:$BU$508,$BU374,$BW$9:$BW$508,$BW374,$BY$9:$BY$508,"&lt;"&amp;$BY374)+1))</f>
        <v/>
      </c>
      <c r="CA374" s="124" t="str">
        <f aca="false">IF(ISBLANK($C374),"",IF($BL374&lt;&gt;Constants!$B$4,$BL374,$BQ374-$BZ374))</f>
        <v/>
      </c>
      <c r="CB374" s="130"/>
      <c r="CC374" s="131" t="str">
        <f aca="false">IF(ISBLANK($C374),"",IF($BL374=Constants!$B$8,$AR374,""))</f>
        <v/>
      </c>
      <c r="CD374" s="131" t="str">
        <f aca="false">IF(ISBLANK($C374),"",IF($BL374&lt;&gt;Constants!$B$4,"",IF($BB374="-&gt;",2,1)))</f>
        <v/>
      </c>
      <c r="CE374" s="132" t="str">
        <f aca="false">IF(ISBLANK($C374),"",IF($BL374&lt;&gt;Constants!$B$4,"",IF($BB374="-&gt;",$BE374,$AU374)))</f>
        <v/>
      </c>
      <c r="CF374" s="132" t="str">
        <f aca="false">IF(ISBLANK($C374),"",IF($BL374&lt;&gt;Constants!$B$4,"",IF($BB374="-&gt;",$BF374,$AV374)))</f>
        <v/>
      </c>
      <c r="CG374" s="132" t="str">
        <f aca="false">IF(ISBLANK($C374),"",IF($BL374&lt;&gt;Constants!$B$4,"",IF($BB374="-&gt;",$BG374,$AW374)))</f>
        <v/>
      </c>
      <c r="CH374" s="132" t="str">
        <f aca="false">IF(ISBLANK($C374),"",IF($BL374&lt;&gt;Constants!$B$4,"",IF($BB374="-&gt;",$BH374,$AX374)))</f>
        <v/>
      </c>
      <c r="CI374" s="133" t="str">
        <f aca="false">IF(ISBLANK($C374),"",$BO374)</f>
        <v/>
      </c>
      <c r="CJ374" s="134" t="str">
        <f aca="false">IF(ISBLANK($C374),"",$BM374)</f>
        <v/>
      </c>
      <c r="CK374" s="135" t="str">
        <f aca="false">IF(ISBLANK($C374),"",$CA374)</f>
        <v/>
      </c>
      <c r="CL374" s="135" t="str">
        <f aca="false">IF(ISBLANK($C374),"",$BZ374)</f>
        <v/>
      </c>
      <c r="CM374" s="136" t="str">
        <f aca="false">IF(ISBLANK($C374),"",IF($CL374=Constants!$B$7,COUNTA($C$9:$C$508)+2,IF($CL374=Constants!$B$6,COUNTA($C$9:$C$508)+1,IF($CL374=Constants!$B$5,COUNTA($C$9:$C$508),$CL374))))</f>
        <v/>
      </c>
      <c r="CN374" s="8"/>
      <c r="CO374" s="137" t="n">
        <f aca="false">IF(OR(ISNUMBER($CL374),$CL374=Constants!$B$7,$CL374=Constants!$B$5,$CL374=Constants!$B$6),1,0)</f>
        <v>0</v>
      </c>
      <c r="CP374" s="137" t="n">
        <v>366</v>
      </c>
      <c r="CQ374" s="137" t="str">
        <f aca="false">IF(ISBLANK($C374),"",IF(ISNUMBER($CM374),$CM374+ROW($B374)/1000,""))</f>
        <v/>
      </c>
      <c r="CR374" s="137" t="str">
        <f aca="false">IF(ISNUMBER($CQ374),RANK($CQ374,$CQ$9:$CQ$508,1),"")</f>
        <v/>
      </c>
      <c r="CS374" s="137" t="str">
        <f aca="false">IF(ISBLANK($C374),"",$B374)</f>
        <v/>
      </c>
      <c r="CT374" s="137" t="str">
        <f aca="false">IF(ISBLANK($C374),"",$C374)</f>
        <v/>
      </c>
      <c r="CU374" s="137" t="str">
        <f aca="false">IF(ISBLANK($C374),"",$D374)</f>
        <v/>
      </c>
      <c r="CV374" s="138" t="str">
        <f aca="false">$CJ374</f>
        <v/>
      </c>
      <c r="CW374" s="139" t="str">
        <f aca="false">$CI374</f>
        <v/>
      </c>
      <c r="CX374" s="137" t="str">
        <f aca="false">IF(ISBLANK($C374),"",$CL374)</f>
        <v/>
      </c>
      <c r="CY374" s="140" t="str">
        <f aca="false">IF($CP374&gt;$CO$8,"",VLOOKUP($CP374,$CR$9:$CX$508,7,FALSE()))</f>
        <v/>
      </c>
      <c r="CZ374" s="141" t="str">
        <f aca="false">IF($CP374&gt;$CO$8,"",VLOOKUP($CP374,$CR$9:$CX$508,2,FALSE()))</f>
        <v/>
      </c>
      <c r="DA374" s="141" t="str">
        <f aca="false">IF($CP374&gt;$CO$8,"",VLOOKUP($CP374,$CR$9:$CX$508,3,FALSE()))</f>
        <v/>
      </c>
      <c r="DB374" s="141" t="str">
        <f aca="false">IF($CP374&gt;$CO$8,"",VLOOKUP($CP374,$CR$9:$CX$508,4,FALSE()))</f>
        <v/>
      </c>
      <c r="DC374" s="141" t="str">
        <f aca="false">IF($CP374&gt;$CO$8,"",VLOOKUP($CP374,$CR$9:$CX$508,5,FALSE()))</f>
        <v/>
      </c>
      <c r="DD374" s="142" t="str">
        <f aca="false">IF($CP374&gt;$CO$8,"",VLOOKUP($CP374,$CR$9:$CX$508,6,FALSE()))</f>
        <v/>
      </c>
      <c r="DE374" s="70"/>
    </row>
    <row r="375" customFormat="false" ht="15.75" hidden="false" customHeight="false" outlineLevel="0" collapsed="false">
      <c r="A375" s="8"/>
      <c r="B375" s="72"/>
      <c r="C375" s="73"/>
      <c r="D375" s="155"/>
      <c r="E375" s="162"/>
      <c r="F375" s="157"/>
      <c r="G375" s="77"/>
      <c r="H375" s="77"/>
      <c r="I375" s="77"/>
      <c r="J375" s="163"/>
      <c r="K375" s="161"/>
      <c r="L375" s="161"/>
      <c r="M375" s="80"/>
      <c r="N375" s="161"/>
      <c r="O375" s="160"/>
      <c r="P375" s="161"/>
      <c r="Q375" s="161"/>
      <c r="R375" s="161"/>
      <c r="S375" s="77"/>
      <c r="T375" s="161"/>
      <c r="U375" s="160"/>
      <c r="V375" s="161"/>
      <c r="W375" s="85"/>
      <c r="X375" s="86" t="str">
        <f aca="false">IF(ISBLANK($C375),"",IF($E375=Constants!$B$2,TRUE(),IF($E375=Constants!$B$3,FALSE(),TRUE())))</f>
        <v/>
      </c>
      <c r="Y375" s="86" t="str">
        <f aca="false">IF(ISBLANK($C375),"",IF($F375=Constants!$B$2,TRUE(),IF($F375=Constants!$B$3,FALSE(),TRUE())))</f>
        <v/>
      </c>
      <c r="Z375" s="87" t="str">
        <f aca="false">IF(ISBLANK($C375),"",IF(ISNUMBER($G375),IF($G375&gt;=0,$G375,""),""))</f>
        <v/>
      </c>
      <c r="AA375" s="87" t="str">
        <f aca="false">IF(ISBLANK($C375),"",IF(ISNUMBER($H375),IF($H375&gt;=0,$H375,""),""))</f>
        <v/>
      </c>
      <c r="AB375" s="87" t="str">
        <f aca="false">IF(ISBLANK($C375),"",IF(ISNUMBER($I375),IF($I375&gt;=0,$I375,""),""))</f>
        <v/>
      </c>
      <c r="AC375" s="86" t="str">
        <f aca="false">IF(ISBLANK($C375),"",IF($J375=Constants!$B$2,TRUE(),IF($J375=Constants!$B$3,FALSE(),TRUE())))</f>
        <v/>
      </c>
      <c r="AD375" s="86" t="str">
        <f aca="false">IF(ISBLANK($C375),"",IF($K375=Constants!$B$2,TRUE(),IF($K375=Constants!$B$3,FALSE(),TRUE())))</f>
        <v/>
      </c>
      <c r="AE375" s="86" t="str">
        <f aca="false">IF(ISBLANK($C375),"",IF($L375=Constants!$B$2,TRUE(),IF($L375=Constants!$B$3,FALSE(),TRUE())))</f>
        <v/>
      </c>
      <c r="AF375" s="88" t="str">
        <f aca="false">IF(ISBLANK($C375),"",IF(ISNUMBER($M375),IF($M375&gt;=0,$M375,""),""))</f>
        <v/>
      </c>
      <c r="AG375" s="86" t="str">
        <f aca="false">IF(ISBLANK($C375),"",IF(ISBLANK($N375),0,IF(ISNUMBER($N375),IF(AND($N375&gt;=0,$N375&lt;=Constants!$B$17,$N375=INT($N375)),$N375,""),"")))</f>
        <v/>
      </c>
      <c r="AH375" s="87" t="str">
        <f aca="false">IF(ISBLANK($C375),"",IF(ISBLANK($O375),0,IF(ISNUMBER($O375),IF($O375&gt;=0,$O375,""),"")))</f>
        <v/>
      </c>
      <c r="AI375" s="86" t="str">
        <f aca="false">IF(ISBLANK($C375),"",IF($P375=Constants!$B$2,TRUE(),IF($P375=Constants!$B$3,FALSE(),TRUE())))</f>
        <v/>
      </c>
      <c r="AJ375" s="86" t="str">
        <f aca="false">IF(ISBLANK($C375),"",IF($Q375=Constants!$B$2,TRUE(),IF($Q375=Constants!$B$3,FALSE(),TRUE())))</f>
        <v/>
      </c>
      <c r="AK375" s="86" t="str">
        <f aca="false">IF(ISBLANK($C375),"",IF($R375=Constants!$B$2,TRUE(),IF($R375=Constants!$B$3,FALSE(),TRUE())))</f>
        <v/>
      </c>
      <c r="AL375" s="88" t="str">
        <f aca="false">IF(ISBLANK($C375),"",IF(ISNUMBER($S375),IF($S375&gt;=0,$S375,""),""))</f>
        <v/>
      </c>
      <c r="AM375" s="86" t="str">
        <f aca="false">IF(ISBLANK($C375),"",IF(ISBLANK($T375),0,IF(ISNUMBER($T375),IF(AND($T375&gt;=0,$T375&lt;=Constants!$B$17,$T375=INT($T375)),$T375,""),"")))</f>
        <v/>
      </c>
      <c r="AN375" s="87" t="str">
        <f aca="false">IF(ISBLANK($C375),"",IF(ISBLANK($U375),0,IF(ISNUMBER($U375),IF($U375&gt;=0,$U375,""),"")))</f>
        <v/>
      </c>
      <c r="AO375" s="86" t="str">
        <f aca="false">IF(ISBLANK($C375),"",IF($V375=Constants!$B$2,TRUE(),IF($V375=Constants!$B$3,FALSE(),FALSE())))</f>
        <v/>
      </c>
      <c r="AP375" s="86"/>
      <c r="AQ375" s="85" t="str">
        <f aca="false">IF(ISBLANK($C375),"",AND($Y375,OR($AS375,$BC375),OR($Z375="",$AA375="",$AB375="")))</f>
        <v/>
      </c>
      <c r="AR375" s="85" t="str">
        <f aca="false">IF(ISBLANK($C375),"",IF(OR(NOT($Y375),NOT(OR($AS375,$BC375))),"",IF(ISBLANK($D$7),$AR$5,IF($AP$9="",$AR$6,""))))</f>
        <v/>
      </c>
      <c r="AS375" s="85" t="str">
        <f aca="false">IF(ISBLANK($C375),"",COUNTA($J375:$O375)&gt;0)</f>
        <v/>
      </c>
      <c r="AT375" s="85" t="str">
        <f aca="false">IF(ISBLANK($C375),"",AND($AS375,OR(AND($AF375="",OR($AE375,NOT(ISBLANK($M375)))),$AG375="",$AH375="")))</f>
        <v/>
      </c>
      <c r="AU375" s="87" t="str">
        <f aca="false">IF($BL375&lt;&gt;Constants!$B$4,"",IF(NOT($AS375),"",ROUND((Constants!$B$12-$AB375)+(Constants!$B$13-$Z375)+(Constants!$B$14-$AA375),1)))</f>
        <v/>
      </c>
      <c r="AV375" s="90" t="str">
        <f aca="false">IF($BL375&lt;&gt;Constants!$B$4,"",IF(NOT($AS375),"",IF(NOT($AE375),0,Constants!$B$15*(INT(ROUND(MIN($AF375,$AP$9),6))-INT(ROUND(MAX(0,MIN($AF375,2*$AP$9)-$AP$9),6))))))</f>
        <v/>
      </c>
      <c r="AW375" s="90" t="str">
        <f aca="false">IF($BL375&lt;&gt;Constants!$B$4,"",IF(NOT($AS375),"",Constants!$B$16*$AG375))</f>
        <v/>
      </c>
      <c r="AX375" s="90" t="str">
        <f aca="false">IF($BL375&lt;&gt;Constants!$B$4,"",IF(NOT($AS375),"",Constants!$B$18*INT(ROUND($AH375,6))))</f>
        <v/>
      </c>
      <c r="AY375" s="85" t="str">
        <f aca="false">IF($BL375&lt;&gt;Constants!$B$4,"",IF(NOT($AS375),"",IF(NOT($X375),Constants!$B$11,IF(OR(NOT($AC375),NOT($AD375),ROUND($AB375,1)&gt;Constants!$B$12,ROUND($Z375,1)&gt;Constants!$B$13,ROUND($AA375,1)&gt;Constants!$B$14),Constants!$B$10,Constants!$B$9))))</f>
        <v/>
      </c>
      <c r="AZ375" s="91" t="str">
        <f aca="false">IF($BL375&lt;&gt;Constants!$B$4,"",IF(NOT($AS375),"",ROUND($AU375+$AV375+$AW375+$AX375,1)))</f>
        <v/>
      </c>
      <c r="BA375" s="92" t="str">
        <f aca="false">IF($BL375&lt;&gt;Constants!$B$4,"",IF(NOT($AS375),"",IF(ISNUMBER($AF375),$AF375,0)))</f>
        <v/>
      </c>
      <c r="BB375" s="86" t="str">
        <f aca="false">IF($BL375&lt;&gt;Constants!$B$4,"",IF(NOT($BC375),"&lt;-",IF(NOT($AS375),"-&gt;",IF(OR($BI375&lt;$AY375,AND($BI375=$AY375,OR($BJ375&gt;$AZ375,AND($BJ375=$AZ375,OR($BH375&gt;$AX375,AND($BH375=$AX375,OR($BE375&gt;$AU375,AND($BE375=$AU375,OR($BF375&gt;$AV375,AND($BF375=$AV375,$BK375&gt;$BA375)))))))))),"-&gt;","&lt;-"))))</f>
        <v/>
      </c>
      <c r="BC375" s="85" t="str">
        <f aca="false">IF(ISBLANK($C375),"",COUNTA($P375:$U375)&gt;0)</f>
        <v/>
      </c>
      <c r="BD375" s="85" t="str">
        <f aca="false">IF(ISBLANK($C375),"",AND($BC375,OR(AND($AL375="",OR($AK375,NOT(ISBLANK($S375)))),$AM375="",$AN375="")))</f>
        <v/>
      </c>
      <c r="BE375" s="87" t="str">
        <f aca="false">IF($BL375&lt;&gt;Constants!$B$4,"",IF(NOT($BC375),"",ROUND((Constants!$B$12-$AB375)+(Constants!$B$13-$Z375)+(Constants!$B$14-$AA375),1)))</f>
        <v/>
      </c>
      <c r="BF375" s="90" t="str">
        <f aca="false">IF($BL375&lt;&gt;Constants!$B$4,"",IF(NOT($BC375),"",IF(NOT($AK375),0,Constants!$B$15*(INT(ROUND(MIN($AL375,$AP$9),6))-INT(ROUND(MAX(0,MIN($AL375,2*$AP$9)-$AP$9),6))))))</f>
        <v/>
      </c>
      <c r="BG375" s="90" t="str">
        <f aca="false">IF($BL375&lt;&gt;Constants!$B$4,"",IF(NOT($BC375),"",Constants!$B$16*$AM375))</f>
        <v/>
      </c>
      <c r="BH375" s="90" t="str">
        <f aca="false">IF($BL375&lt;&gt;Constants!$B$4,"",IF(NOT($BC375),"",Constants!$B$18*INT(ROUND($AN375,6))))</f>
        <v/>
      </c>
      <c r="BI375" s="85" t="str">
        <f aca="false">IF($BL375&lt;&gt;Constants!$B$4,"",IF(NOT($BC375),"",IF(NOT($X375),Constants!$B$11,IF(OR(NOT($AI375),NOT($AJ375),ROUND($AB375,1)&gt;Constants!$B$12,ROUND($Z375,1)&gt;Constants!$B$13,ROUND($AA375,1)&gt;Constants!$B$14),Constants!$B$10,Constants!$B$9))))</f>
        <v/>
      </c>
      <c r="BJ375" s="91" t="str">
        <f aca="false">IF($BL375&lt;&gt;Constants!$B$4,"",IF(NOT($BC375),"",ROUND($BE375+$BF375+$BG375+$BH375,1)))</f>
        <v/>
      </c>
      <c r="BK375" s="92" t="str">
        <f aca="false">IF($BL375&lt;&gt;Constants!$B$4,"",IF(NOT($BC375),"",IF(ISNUMBER($AL375),$AL375,0)))</f>
        <v/>
      </c>
      <c r="BL375" s="86" t="str">
        <f aca="false">IF(ISBLANK($C375),"",IF($AO375,Constants!$B$7,IF(COUNTA($E375:$V375)=0,Constants!$B$6,IF(NOT($Y375),Constants!$B$5,IF(NOT(OR($AS375,$BC375)),Constants!$B$5,IF(OR($AT375,$BD375,$AQ375,$AR375&lt;&gt;""),Constants!$B$8,Constants!$B$4))))))</f>
        <v/>
      </c>
      <c r="BM375" s="86" t="str">
        <f aca="false">IF(ISBLANK($C375),"",IF($BL375&lt;&gt;Constants!$B$4,$BL375,IF($BB375="-&gt;",$BI375,$AY375)))</f>
        <v/>
      </c>
      <c r="BN375" s="90" t="str">
        <f aca="false">IF($BL375&lt;&gt;Constants!$B$4,"",IF($BB375="-&gt;",$BJ375,$AZ375))</f>
        <v/>
      </c>
      <c r="BO375" s="90" t="str">
        <f aca="false">IF(ISBLANK($C375),"",IF($BL375&lt;&gt;Constants!$B$4,$BL375,$BN375))</f>
        <v/>
      </c>
      <c r="BP375" s="86" t="str">
        <f aca="false">IF(ISBLANK($C375),"",IF($BL375&lt;&gt;Constants!$B$4,$BL375,RANK($BO375,$BO$9:$BO$508,0)))</f>
        <v/>
      </c>
      <c r="BQ375" s="86" t="str">
        <f aca="false">IF(ISBLANK($C375),"",IF($BL375&lt;&gt;Constants!$B$4,$BL375,COUNTIFS($BM$9:$BM$508,"&lt;"&amp;$BM375)+COUNTIFS($BM$9:$BM$508,$BM375,$BP$9:$BP$508,"&lt;"&amp;$BP375)+1))</f>
        <v/>
      </c>
      <c r="BR375" s="90" t="str">
        <f aca="false">IF($BL375&lt;&gt;Constants!$B$4,"",IF($BB375="-&gt;",$BH375,$AX375))</f>
        <v/>
      </c>
      <c r="BS375" s="86" t="str">
        <f aca="false">IF(ISBLANK($C375),"",IF($BL375&lt;&gt;Constants!$B$4,$BL375,IF(ISNUMBER($BR375),RANK($BR375,$BR$9:$BR$508,0),COUNT($BR$9:$BR$508)+1)))</f>
        <v/>
      </c>
      <c r="BT375" s="90" t="str">
        <f aca="false">IF($BL375&lt;&gt;Constants!$B$4,"",IF($BB375="-&gt;",$BE375,$AU375))</f>
        <v/>
      </c>
      <c r="BU375" s="86" t="str">
        <f aca="false">IF(ISBLANK($C375),"",IF($BL375&lt;&gt;Constants!$B$4,$BL375,IF(ISNUMBER($BT375),RANK($BT375,$BT$9:$BT$508,0),COUNT($BT$9:$BT$508)+1)))</f>
        <v/>
      </c>
      <c r="BV375" s="90" t="str">
        <f aca="false">IF($BL375&lt;&gt;Constants!$B$4,"",IF($BB375="-&gt;",$BF375,$AV375))</f>
        <v/>
      </c>
      <c r="BW375" s="86" t="str">
        <f aca="false">IF(ISBLANK($C375),"",IF($BL375&lt;&gt;Constants!$B$4,$BL375,IF(ISNUMBER($BV375),RANK($BV375,$BV$9:$BV$508,0),COUNT($BV$9:$BV$508)+1)))</f>
        <v/>
      </c>
      <c r="BX375" s="90" t="str">
        <f aca="false">IF($BL375&lt;&gt;Constants!$B$4,"",IF($BB375="-&gt;",$BK375,$BA375))</f>
        <v/>
      </c>
      <c r="BY375" s="86" t="str">
        <f aca="false">IF(ISBLANK($C375),"",IF($BL375&lt;&gt;Constants!$B$4,$BL375,IF(ISNUMBER($BX375),RANK($BX375,$BX$9:$BX$508,0),COUNT($BX$9:$BX$508)+1)))</f>
        <v/>
      </c>
      <c r="BZ375" s="86" t="str">
        <f aca="false">IF(ISBLANK($C375),"",IF($BL375&lt;&gt;Constants!$B$4,$BL375,COUNTIFS($BM$9:$BM$508,"&lt;"&amp;$BM375)+COUNTIFS($BM$9:$BM$508,$BM375,$BP$9:$BP$508,"&lt;"&amp;$BP375)+COUNTIFS($BM$9:$BM$508,$BM375,$BP$9:$BP$508,$BP375,$BS$9:$BS$508,"&lt;"&amp;$BS375)+COUNTIFS($BM$9:$BM$508,$BM375,$BP$9:$BP$508,$BP375,$BS$9:$BS$508,$BS375,$BU$9:$BU$508,"&lt;"&amp;$BU375)+COUNTIFS($BM$9:$BM$508,$BM375,$BP$9:$BP$508,$BP375,$BS$9:$BS$508,$BS375,$BU$9:$BU$508,$BU375,$BW$9:$BW$508,"&lt;"&amp;$BW375)+COUNTIFS($BM$9:$BM$508,$BM375,$BP$9:$BP$508,$BP375,$BS$9:$BS$508,$BS375,$BU$9:$BU$508,$BU375,$BW$9:$BW$508,$BW375,$BY$9:$BY$508,"&lt;"&amp;$BY375)+1))</f>
        <v/>
      </c>
      <c r="CA375" s="86" t="str">
        <f aca="false">IF(ISBLANK($C375),"",IF($BL375&lt;&gt;Constants!$B$4,$BL375,$BQ375-$BZ375))</f>
        <v/>
      </c>
      <c r="CB375" s="93"/>
      <c r="CC375" s="94" t="str">
        <f aca="false">IF(ISBLANK($C375),"",IF($BL375=Constants!$B$8,$AR375,""))</f>
        <v/>
      </c>
      <c r="CD375" s="94" t="str">
        <f aca="false">IF(ISBLANK($C375),"",IF($BL375&lt;&gt;Constants!$B$4,"",IF($BB375="-&gt;",2,1)))</f>
        <v/>
      </c>
      <c r="CE375" s="95" t="str">
        <f aca="false">IF(ISBLANK($C375),"",IF($BL375&lt;&gt;Constants!$B$4,"",IF($BB375="-&gt;",$BE375,$AU375)))</f>
        <v/>
      </c>
      <c r="CF375" s="95" t="str">
        <f aca="false">IF(ISBLANK($C375),"",IF($BL375&lt;&gt;Constants!$B$4,"",IF($BB375="-&gt;",$BF375,$AV375)))</f>
        <v/>
      </c>
      <c r="CG375" s="95" t="str">
        <f aca="false">IF(ISBLANK($C375),"",IF($BL375&lt;&gt;Constants!$B$4,"",IF($BB375="-&gt;",$BG375,$AW375)))</f>
        <v/>
      </c>
      <c r="CH375" s="95" t="str">
        <f aca="false">IF(ISBLANK($C375),"",IF($BL375&lt;&gt;Constants!$B$4,"",IF($BB375="-&gt;",$BH375,$AX375)))</f>
        <v/>
      </c>
      <c r="CI375" s="96" t="str">
        <f aca="false">IF(ISBLANK($C375),"",$BO375)</f>
        <v/>
      </c>
      <c r="CJ375" s="97" t="str">
        <f aca="false">IF(ISBLANK($C375),"",$BM375)</f>
        <v/>
      </c>
      <c r="CK375" s="98" t="str">
        <f aca="false">IF(ISBLANK($C375),"",$CA375)</f>
        <v/>
      </c>
      <c r="CL375" s="98" t="str">
        <f aca="false">IF(ISBLANK($C375),"",$BZ375)</f>
        <v/>
      </c>
      <c r="CM375" s="99" t="str">
        <f aca="false">IF(ISBLANK($C375),"",IF($CL375=Constants!$B$7,COUNTA($C$9:$C$508)+2,IF($CL375=Constants!$B$6,COUNTA($C$9:$C$508)+1,IF($CL375=Constants!$B$5,COUNTA($C$9:$C$508),$CL375))))</f>
        <v/>
      </c>
      <c r="CN375" s="8"/>
      <c r="CO375" s="100" t="n">
        <f aca="false">IF(OR(ISNUMBER($CL375),$CL375=Constants!$B$7,$CL375=Constants!$B$5,$CL375=Constants!$B$6),1,0)</f>
        <v>0</v>
      </c>
      <c r="CP375" s="100" t="n">
        <v>367</v>
      </c>
      <c r="CQ375" s="100" t="str">
        <f aca="false">IF(ISBLANK($C375),"",IF(ISNUMBER($CM375),$CM375+ROW($B375)/1000,""))</f>
        <v/>
      </c>
      <c r="CR375" s="100" t="str">
        <f aca="false">IF(ISNUMBER($CQ375),RANK($CQ375,$CQ$9:$CQ$508,1),"")</f>
        <v/>
      </c>
      <c r="CS375" s="100" t="str">
        <f aca="false">IF(ISBLANK($C375),"",$B375)</f>
        <v/>
      </c>
      <c r="CT375" s="100" t="str">
        <f aca="false">IF(ISBLANK($C375),"",$C375)</f>
        <v/>
      </c>
      <c r="CU375" s="100" t="str">
        <f aca="false">IF(ISBLANK($C375),"",$D375)</f>
        <v/>
      </c>
      <c r="CV375" s="101" t="str">
        <f aca="false">$CJ375</f>
        <v/>
      </c>
      <c r="CW375" s="102" t="str">
        <f aca="false">$CI375</f>
        <v/>
      </c>
      <c r="CX375" s="100" t="str">
        <f aca="false">IF(ISBLANK($C375),"",$CL375)</f>
        <v/>
      </c>
      <c r="CY375" s="103" t="str">
        <f aca="false">IF($CP375&gt;$CO$8,"",VLOOKUP($CP375,$CR$9:$CX$508,7,FALSE()))</f>
        <v/>
      </c>
      <c r="CZ375" s="104" t="str">
        <f aca="false">IF($CP375&gt;$CO$8,"",VLOOKUP($CP375,$CR$9:$CX$508,2,FALSE()))</f>
        <v/>
      </c>
      <c r="DA375" s="104" t="str">
        <f aca="false">IF($CP375&gt;$CO$8,"",VLOOKUP($CP375,$CR$9:$CX$508,3,FALSE()))</f>
        <v/>
      </c>
      <c r="DB375" s="104" t="str">
        <f aca="false">IF($CP375&gt;$CO$8,"",VLOOKUP($CP375,$CR$9:$CX$508,4,FALSE()))</f>
        <v/>
      </c>
      <c r="DC375" s="104" t="str">
        <f aca="false">IF($CP375&gt;$CO$8,"",VLOOKUP($CP375,$CR$9:$CX$508,5,FALSE()))</f>
        <v/>
      </c>
      <c r="DD375" s="105" t="str">
        <f aca="false">IF($CP375&gt;$CO$8,"",VLOOKUP($CP375,$CR$9:$CX$508,6,FALSE()))</f>
        <v/>
      </c>
      <c r="DE375" s="70"/>
    </row>
    <row r="376" customFormat="false" ht="15.75" hidden="false" customHeight="false" outlineLevel="0" collapsed="false">
      <c r="A376" s="8"/>
      <c r="B376" s="72"/>
      <c r="C376" s="73"/>
      <c r="D376" s="155"/>
      <c r="E376" s="162"/>
      <c r="F376" s="157"/>
      <c r="G376" s="77"/>
      <c r="H376" s="77"/>
      <c r="I376" s="77"/>
      <c r="J376" s="163"/>
      <c r="K376" s="161"/>
      <c r="L376" s="161"/>
      <c r="M376" s="80"/>
      <c r="N376" s="161"/>
      <c r="O376" s="160"/>
      <c r="P376" s="161"/>
      <c r="Q376" s="161"/>
      <c r="R376" s="161"/>
      <c r="S376" s="77"/>
      <c r="T376" s="161"/>
      <c r="U376" s="160"/>
      <c r="V376" s="161"/>
      <c r="W376" s="85"/>
      <c r="X376" s="86" t="str">
        <f aca="false">IF(ISBLANK($C376),"",IF($E376=Constants!$B$2,TRUE(),IF($E376=Constants!$B$3,FALSE(),TRUE())))</f>
        <v/>
      </c>
      <c r="Y376" s="86" t="str">
        <f aca="false">IF(ISBLANK($C376),"",IF($F376=Constants!$B$2,TRUE(),IF($F376=Constants!$B$3,FALSE(),TRUE())))</f>
        <v/>
      </c>
      <c r="Z376" s="87" t="str">
        <f aca="false">IF(ISBLANK($C376),"",IF(ISNUMBER($G376),IF($G376&gt;=0,$G376,""),""))</f>
        <v/>
      </c>
      <c r="AA376" s="87" t="str">
        <f aca="false">IF(ISBLANK($C376),"",IF(ISNUMBER($H376),IF($H376&gt;=0,$H376,""),""))</f>
        <v/>
      </c>
      <c r="AB376" s="87" t="str">
        <f aca="false">IF(ISBLANK($C376),"",IF(ISNUMBER($I376),IF($I376&gt;=0,$I376,""),""))</f>
        <v/>
      </c>
      <c r="AC376" s="86" t="str">
        <f aca="false">IF(ISBLANK($C376),"",IF($J376=Constants!$B$2,TRUE(),IF($J376=Constants!$B$3,FALSE(),TRUE())))</f>
        <v/>
      </c>
      <c r="AD376" s="86" t="str">
        <f aca="false">IF(ISBLANK($C376),"",IF($K376=Constants!$B$2,TRUE(),IF($K376=Constants!$B$3,FALSE(),TRUE())))</f>
        <v/>
      </c>
      <c r="AE376" s="86" t="str">
        <f aca="false">IF(ISBLANK($C376),"",IF($L376=Constants!$B$2,TRUE(),IF($L376=Constants!$B$3,FALSE(),TRUE())))</f>
        <v/>
      </c>
      <c r="AF376" s="88" t="str">
        <f aca="false">IF(ISBLANK($C376),"",IF(ISNUMBER($M376),IF($M376&gt;=0,$M376,""),""))</f>
        <v/>
      </c>
      <c r="AG376" s="86" t="str">
        <f aca="false">IF(ISBLANK($C376),"",IF(ISBLANK($N376),0,IF(ISNUMBER($N376),IF(AND($N376&gt;=0,$N376&lt;=Constants!$B$17,$N376=INT($N376)),$N376,""),"")))</f>
        <v/>
      </c>
      <c r="AH376" s="87" t="str">
        <f aca="false">IF(ISBLANK($C376),"",IF(ISBLANK($O376),0,IF(ISNUMBER($O376),IF($O376&gt;=0,$O376,""),"")))</f>
        <v/>
      </c>
      <c r="AI376" s="86" t="str">
        <f aca="false">IF(ISBLANK($C376),"",IF($P376=Constants!$B$2,TRUE(),IF($P376=Constants!$B$3,FALSE(),TRUE())))</f>
        <v/>
      </c>
      <c r="AJ376" s="86" t="str">
        <f aca="false">IF(ISBLANK($C376),"",IF($Q376=Constants!$B$2,TRUE(),IF($Q376=Constants!$B$3,FALSE(),TRUE())))</f>
        <v/>
      </c>
      <c r="AK376" s="86" t="str">
        <f aca="false">IF(ISBLANK($C376),"",IF($R376=Constants!$B$2,TRUE(),IF($R376=Constants!$B$3,FALSE(),TRUE())))</f>
        <v/>
      </c>
      <c r="AL376" s="88" t="str">
        <f aca="false">IF(ISBLANK($C376),"",IF(ISNUMBER($S376),IF($S376&gt;=0,$S376,""),""))</f>
        <v/>
      </c>
      <c r="AM376" s="86" t="str">
        <f aca="false">IF(ISBLANK($C376),"",IF(ISBLANK($T376),0,IF(ISNUMBER($T376),IF(AND($T376&gt;=0,$T376&lt;=Constants!$B$17,$T376=INT($T376)),$T376,""),"")))</f>
        <v/>
      </c>
      <c r="AN376" s="87" t="str">
        <f aca="false">IF(ISBLANK($C376),"",IF(ISBLANK($U376),0,IF(ISNUMBER($U376),IF($U376&gt;=0,$U376,""),"")))</f>
        <v/>
      </c>
      <c r="AO376" s="86" t="str">
        <f aca="false">IF(ISBLANK($C376),"",IF($V376=Constants!$B$2,TRUE(),IF($V376=Constants!$B$3,FALSE(),FALSE())))</f>
        <v/>
      </c>
      <c r="AP376" s="86"/>
      <c r="AQ376" s="85" t="str">
        <f aca="false">IF(ISBLANK($C376),"",AND($Y376,OR($AS376,$BC376),OR($Z376="",$AA376="",$AB376="")))</f>
        <v/>
      </c>
      <c r="AR376" s="85" t="str">
        <f aca="false">IF(ISBLANK($C376),"",IF(OR(NOT($Y376),NOT(OR($AS376,$BC376))),"",IF(ISBLANK($D$7),$AR$5,IF($AP$9="",$AR$6,""))))</f>
        <v/>
      </c>
      <c r="AS376" s="85" t="str">
        <f aca="false">IF(ISBLANK($C376),"",COUNTA($J376:$O376)&gt;0)</f>
        <v/>
      </c>
      <c r="AT376" s="85" t="str">
        <f aca="false">IF(ISBLANK($C376),"",AND($AS376,OR(AND($AF376="",OR($AE376,NOT(ISBLANK($M376)))),$AG376="",$AH376="")))</f>
        <v/>
      </c>
      <c r="AU376" s="87" t="str">
        <f aca="false">IF($BL376&lt;&gt;Constants!$B$4,"",IF(NOT($AS376),"",ROUND((Constants!$B$12-$AB376)+(Constants!$B$13-$Z376)+(Constants!$B$14-$AA376),1)))</f>
        <v/>
      </c>
      <c r="AV376" s="90" t="str">
        <f aca="false">IF($BL376&lt;&gt;Constants!$B$4,"",IF(NOT($AS376),"",IF(NOT($AE376),0,Constants!$B$15*(INT(ROUND(MIN($AF376,$AP$9),6))-INT(ROUND(MAX(0,MIN($AF376,2*$AP$9)-$AP$9),6))))))</f>
        <v/>
      </c>
      <c r="AW376" s="90" t="str">
        <f aca="false">IF($BL376&lt;&gt;Constants!$B$4,"",IF(NOT($AS376),"",Constants!$B$16*$AG376))</f>
        <v/>
      </c>
      <c r="AX376" s="90" t="str">
        <f aca="false">IF($BL376&lt;&gt;Constants!$B$4,"",IF(NOT($AS376),"",Constants!$B$18*INT(ROUND($AH376,6))))</f>
        <v/>
      </c>
      <c r="AY376" s="85" t="str">
        <f aca="false">IF($BL376&lt;&gt;Constants!$B$4,"",IF(NOT($AS376),"",IF(NOT($X376),Constants!$B$11,IF(OR(NOT($AC376),NOT($AD376),ROUND($AB376,1)&gt;Constants!$B$12,ROUND($Z376,1)&gt;Constants!$B$13,ROUND($AA376,1)&gt;Constants!$B$14),Constants!$B$10,Constants!$B$9))))</f>
        <v/>
      </c>
      <c r="AZ376" s="91" t="str">
        <f aca="false">IF($BL376&lt;&gt;Constants!$B$4,"",IF(NOT($AS376),"",ROUND($AU376+$AV376+$AW376+$AX376,1)))</f>
        <v/>
      </c>
      <c r="BA376" s="92" t="str">
        <f aca="false">IF($BL376&lt;&gt;Constants!$B$4,"",IF(NOT($AS376),"",IF(ISNUMBER($AF376),$AF376,0)))</f>
        <v/>
      </c>
      <c r="BB376" s="86" t="str">
        <f aca="false">IF($BL376&lt;&gt;Constants!$B$4,"",IF(NOT($BC376),"&lt;-",IF(NOT($AS376),"-&gt;",IF(OR($BI376&lt;$AY376,AND($BI376=$AY376,OR($BJ376&gt;$AZ376,AND($BJ376=$AZ376,OR($BH376&gt;$AX376,AND($BH376=$AX376,OR($BE376&gt;$AU376,AND($BE376=$AU376,OR($BF376&gt;$AV376,AND($BF376=$AV376,$BK376&gt;$BA376)))))))))),"-&gt;","&lt;-"))))</f>
        <v/>
      </c>
      <c r="BC376" s="85" t="str">
        <f aca="false">IF(ISBLANK($C376),"",COUNTA($P376:$U376)&gt;0)</f>
        <v/>
      </c>
      <c r="BD376" s="85" t="str">
        <f aca="false">IF(ISBLANK($C376),"",AND($BC376,OR(AND($AL376="",OR($AK376,NOT(ISBLANK($S376)))),$AM376="",$AN376="")))</f>
        <v/>
      </c>
      <c r="BE376" s="87" t="str">
        <f aca="false">IF($BL376&lt;&gt;Constants!$B$4,"",IF(NOT($BC376),"",ROUND((Constants!$B$12-$AB376)+(Constants!$B$13-$Z376)+(Constants!$B$14-$AA376),1)))</f>
        <v/>
      </c>
      <c r="BF376" s="90" t="str">
        <f aca="false">IF($BL376&lt;&gt;Constants!$B$4,"",IF(NOT($BC376),"",IF(NOT($AK376),0,Constants!$B$15*(INT(ROUND(MIN($AL376,$AP$9),6))-INT(ROUND(MAX(0,MIN($AL376,2*$AP$9)-$AP$9),6))))))</f>
        <v/>
      </c>
      <c r="BG376" s="90" t="str">
        <f aca="false">IF($BL376&lt;&gt;Constants!$B$4,"",IF(NOT($BC376),"",Constants!$B$16*$AM376))</f>
        <v/>
      </c>
      <c r="BH376" s="90" t="str">
        <f aca="false">IF($BL376&lt;&gt;Constants!$B$4,"",IF(NOT($BC376),"",Constants!$B$18*INT(ROUND($AN376,6))))</f>
        <v/>
      </c>
      <c r="BI376" s="85" t="str">
        <f aca="false">IF($BL376&lt;&gt;Constants!$B$4,"",IF(NOT($BC376),"",IF(NOT($X376),Constants!$B$11,IF(OR(NOT($AI376),NOT($AJ376),ROUND($AB376,1)&gt;Constants!$B$12,ROUND($Z376,1)&gt;Constants!$B$13,ROUND($AA376,1)&gt;Constants!$B$14),Constants!$B$10,Constants!$B$9))))</f>
        <v/>
      </c>
      <c r="BJ376" s="91" t="str">
        <f aca="false">IF($BL376&lt;&gt;Constants!$B$4,"",IF(NOT($BC376),"",ROUND($BE376+$BF376+$BG376+$BH376,1)))</f>
        <v/>
      </c>
      <c r="BK376" s="92" t="str">
        <f aca="false">IF($BL376&lt;&gt;Constants!$B$4,"",IF(NOT($BC376),"",IF(ISNUMBER($AL376),$AL376,0)))</f>
        <v/>
      </c>
      <c r="BL376" s="86" t="str">
        <f aca="false">IF(ISBLANK($C376),"",IF($AO376,Constants!$B$7,IF(COUNTA($E376:$V376)=0,Constants!$B$6,IF(NOT($Y376),Constants!$B$5,IF(NOT(OR($AS376,$BC376)),Constants!$B$5,IF(OR($AT376,$BD376,$AQ376,$AR376&lt;&gt;""),Constants!$B$8,Constants!$B$4))))))</f>
        <v/>
      </c>
      <c r="BM376" s="86" t="str">
        <f aca="false">IF(ISBLANK($C376),"",IF($BL376&lt;&gt;Constants!$B$4,$BL376,IF($BB376="-&gt;",$BI376,$AY376)))</f>
        <v/>
      </c>
      <c r="BN376" s="90" t="str">
        <f aca="false">IF($BL376&lt;&gt;Constants!$B$4,"",IF($BB376="-&gt;",$BJ376,$AZ376))</f>
        <v/>
      </c>
      <c r="BO376" s="90" t="str">
        <f aca="false">IF(ISBLANK($C376),"",IF($BL376&lt;&gt;Constants!$B$4,$BL376,$BN376))</f>
        <v/>
      </c>
      <c r="BP376" s="86" t="str">
        <f aca="false">IF(ISBLANK($C376),"",IF($BL376&lt;&gt;Constants!$B$4,$BL376,RANK($BO376,$BO$9:$BO$508,0)))</f>
        <v/>
      </c>
      <c r="BQ376" s="86" t="str">
        <f aca="false">IF(ISBLANK($C376),"",IF($BL376&lt;&gt;Constants!$B$4,$BL376,COUNTIFS($BM$9:$BM$508,"&lt;"&amp;$BM376)+COUNTIFS($BM$9:$BM$508,$BM376,$BP$9:$BP$508,"&lt;"&amp;$BP376)+1))</f>
        <v/>
      </c>
      <c r="BR376" s="90" t="str">
        <f aca="false">IF($BL376&lt;&gt;Constants!$B$4,"",IF($BB376="-&gt;",$BH376,$AX376))</f>
        <v/>
      </c>
      <c r="BS376" s="86" t="str">
        <f aca="false">IF(ISBLANK($C376),"",IF($BL376&lt;&gt;Constants!$B$4,$BL376,IF(ISNUMBER($BR376),RANK($BR376,$BR$9:$BR$508,0),COUNT($BR$9:$BR$508)+1)))</f>
        <v/>
      </c>
      <c r="BT376" s="90" t="str">
        <f aca="false">IF($BL376&lt;&gt;Constants!$B$4,"",IF($BB376="-&gt;",$BE376,$AU376))</f>
        <v/>
      </c>
      <c r="BU376" s="86" t="str">
        <f aca="false">IF(ISBLANK($C376),"",IF($BL376&lt;&gt;Constants!$B$4,$BL376,IF(ISNUMBER($BT376),RANK($BT376,$BT$9:$BT$508,0),COUNT($BT$9:$BT$508)+1)))</f>
        <v/>
      </c>
      <c r="BV376" s="90" t="str">
        <f aca="false">IF($BL376&lt;&gt;Constants!$B$4,"",IF($BB376="-&gt;",$BF376,$AV376))</f>
        <v/>
      </c>
      <c r="BW376" s="86" t="str">
        <f aca="false">IF(ISBLANK($C376),"",IF($BL376&lt;&gt;Constants!$B$4,$BL376,IF(ISNUMBER($BV376),RANK($BV376,$BV$9:$BV$508,0),COUNT($BV$9:$BV$508)+1)))</f>
        <v/>
      </c>
      <c r="BX376" s="90" t="str">
        <f aca="false">IF($BL376&lt;&gt;Constants!$B$4,"",IF($BB376="-&gt;",$BK376,$BA376))</f>
        <v/>
      </c>
      <c r="BY376" s="86" t="str">
        <f aca="false">IF(ISBLANK($C376),"",IF($BL376&lt;&gt;Constants!$B$4,$BL376,IF(ISNUMBER($BX376),RANK($BX376,$BX$9:$BX$508,0),COUNT($BX$9:$BX$508)+1)))</f>
        <v/>
      </c>
      <c r="BZ376" s="86" t="str">
        <f aca="false">IF(ISBLANK($C376),"",IF($BL376&lt;&gt;Constants!$B$4,$BL376,COUNTIFS($BM$9:$BM$508,"&lt;"&amp;$BM376)+COUNTIFS($BM$9:$BM$508,$BM376,$BP$9:$BP$508,"&lt;"&amp;$BP376)+COUNTIFS($BM$9:$BM$508,$BM376,$BP$9:$BP$508,$BP376,$BS$9:$BS$508,"&lt;"&amp;$BS376)+COUNTIFS($BM$9:$BM$508,$BM376,$BP$9:$BP$508,$BP376,$BS$9:$BS$508,$BS376,$BU$9:$BU$508,"&lt;"&amp;$BU376)+COUNTIFS($BM$9:$BM$508,$BM376,$BP$9:$BP$508,$BP376,$BS$9:$BS$508,$BS376,$BU$9:$BU$508,$BU376,$BW$9:$BW$508,"&lt;"&amp;$BW376)+COUNTIFS($BM$9:$BM$508,$BM376,$BP$9:$BP$508,$BP376,$BS$9:$BS$508,$BS376,$BU$9:$BU$508,$BU376,$BW$9:$BW$508,$BW376,$BY$9:$BY$508,"&lt;"&amp;$BY376)+1))</f>
        <v/>
      </c>
      <c r="CA376" s="86" t="str">
        <f aca="false">IF(ISBLANK($C376),"",IF($BL376&lt;&gt;Constants!$B$4,$BL376,$BQ376-$BZ376))</f>
        <v/>
      </c>
      <c r="CB376" s="93"/>
      <c r="CC376" s="94" t="str">
        <f aca="false">IF(ISBLANK($C376),"",IF($BL376=Constants!$B$8,$AR376,""))</f>
        <v/>
      </c>
      <c r="CD376" s="94" t="str">
        <f aca="false">IF(ISBLANK($C376),"",IF($BL376&lt;&gt;Constants!$B$4,"",IF($BB376="-&gt;",2,1)))</f>
        <v/>
      </c>
      <c r="CE376" s="95" t="str">
        <f aca="false">IF(ISBLANK($C376),"",IF($BL376&lt;&gt;Constants!$B$4,"",IF($BB376="-&gt;",$BE376,$AU376)))</f>
        <v/>
      </c>
      <c r="CF376" s="95" t="str">
        <f aca="false">IF(ISBLANK($C376),"",IF($BL376&lt;&gt;Constants!$B$4,"",IF($BB376="-&gt;",$BF376,$AV376)))</f>
        <v/>
      </c>
      <c r="CG376" s="95" t="str">
        <f aca="false">IF(ISBLANK($C376),"",IF($BL376&lt;&gt;Constants!$B$4,"",IF($BB376="-&gt;",$BG376,$AW376)))</f>
        <v/>
      </c>
      <c r="CH376" s="95" t="str">
        <f aca="false">IF(ISBLANK($C376),"",IF($BL376&lt;&gt;Constants!$B$4,"",IF($BB376="-&gt;",$BH376,$AX376)))</f>
        <v/>
      </c>
      <c r="CI376" s="96" t="str">
        <f aca="false">IF(ISBLANK($C376),"",$BO376)</f>
        <v/>
      </c>
      <c r="CJ376" s="97" t="str">
        <f aca="false">IF(ISBLANK($C376),"",$BM376)</f>
        <v/>
      </c>
      <c r="CK376" s="98" t="str">
        <f aca="false">IF(ISBLANK($C376),"",$CA376)</f>
        <v/>
      </c>
      <c r="CL376" s="98" t="str">
        <f aca="false">IF(ISBLANK($C376),"",$BZ376)</f>
        <v/>
      </c>
      <c r="CM376" s="99" t="str">
        <f aca="false">IF(ISBLANK($C376),"",IF($CL376=Constants!$B$7,COUNTA($C$9:$C$508)+2,IF($CL376=Constants!$B$6,COUNTA($C$9:$C$508)+1,IF($CL376=Constants!$B$5,COUNTA($C$9:$C$508),$CL376))))</f>
        <v/>
      </c>
      <c r="CN376" s="8"/>
      <c r="CO376" s="100" t="n">
        <f aca="false">IF(OR(ISNUMBER($CL376),$CL376=Constants!$B$7,$CL376=Constants!$B$5,$CL376=Constants!$B$6),1,0)</f>
        <v>0</v>
      </c>
      <c r="CP376" s="100" t="n">
        <v>368</v>
      </c>
      <c r="CQ376" s="100" t="str">
        <f aca="false">IF(ISBLANK($C376),"",IF(ISNUMBER($CM376),$CM376+ROW($B376)/1000,""))</f>
        <v/>
      </c>
      <c r="CR376" s="100" t="str">
        <f aca="false">IF(ISNUMBER($CQ376),RANK($CQ376,$CQ$9:$CQ$508,1),"")</f>
        <v/>
      </c>
      <c r="CS376" s="100" t="str">
        <f aca="false">IF(ISBLANK($C376),"",$B376)</f>
        <v/>
      </c>
      <c r="CT376" s="100" t="str">
        <f aca="false">IF(ISBLANK($C376),"",$C376)</f>
        <v/>
      </c>
      <c r="CU376" s="100" t="str">
        <f aca="false">IF(ISBLANK($C376),"",$D376)</f>
        <v/>
      </c>
      <c r="CV376" s="101" t="str">
        <f aca="false">$CJ376</f>
        <v/>
      </c>
      <c r="CW376" s="102" t="str">
        <f aca="false">$CI376</f>
        <v/>
      </c>
      <c r="CX376" s="100" t="str">
        <f aca="false">IF(ISBLANK($C376),"",$CL376)</f>
        <v/>
      </c>
      <c r="CY376" s="103" t="str">
        <f aca="false">IF($CP376&gt;$CO$8,"",VLOOKUP($CP376,$CR$9:$CX$508,7,FALSE()))</f>
        <v/>
      </c>
      <c r="CZ376" s="104" t="str">
        <f aca="false">IF($CP376&gt;$CO$8,"",VLOOKUP($CP376,$CR$9:$CX$508,2,FALSE()))</f>
        <v/>
      </c>
      <c r="DA376" s="104" t="str">
        <f aca="false">IF($CP376&gt;$CO$8,"",VLOOKUP($CP376,$CR$9:$CX$508,3,FALSE()))</f>
        <v/>
      </c>
      <c r="DB376" s="104" t="str">
        <f aca="false">IF($CP376&gt;$CO$8,"",VLOOKUP($CP376,$CR$9:$CX$508,4,FALSE()))</f>
        <v/>
      </c>
      <c r="DC376" s="104" t="str">
        <f aca="false">IF($CP376&gt;$CO$8,"",VLOOKUP($CP376,$CR$9:$CX$508,5,FALSE()))</f>
        <v/>
      </c>
      <c r="DD376" s="105" t="str">
        <f aca="false">IF($CP376&gt;$CO$8,"",VLOOKUP($CP376,$CR$9:$CX$508,6,FALSE()))</f>
        <v/>
      </c>
      <c r="DE376" s="70"/>
    </row>
    <row r="377" customFormat="false" ht="15.75" hidden="false" customHeight="false" outlineLevel="0" collapsed="false">
      <c r="A377" s="8"/>
      <c r="B377" s="72"/>
      <c r="C377" s="73"/>
      <c r="D377" s="155"/>
      <c r="E377" s="162"/>
      <c r="F377" s="157"/>
      <c r="G377" s="77"/>
      <c r="H377" s="77"/>
      <c r="I377" s="77"/>
      <c r="J377" s="163"/>
      <c r="K377" s="161"/>
      <c r="L377" s="161"/>
      <c r="M377" s="80"/>
      <c r="N377" s="161"/>
      <c r="O377" s="160"/>
      <c r="P377" s="161"/>
      <c r="Q377" s="161"/>
      <c r="R377" s="161"/>
      <c r="S377" s="77"/>
      <c r="T377" s="161"/>
      <c r="U377" s="160"/>
      <c r="V377" s="161"/>
      <c r="W377" s="85"/>
      <c r="X377" s="86" t="str">
        <f aca="false">IF(ISBLANK($C377),"",IF($E377=Constants!$B$2,TRUE(),IF($E377=Constants!$B$3,FALSE(),TRUE())))</f>
        <v/>
      </c>
      <c r="Y377" s="86" t="str">
        <f aca="false">IF(ISBLANK($C377),"",IF($F377=Constants!$B$2,TRUE(),IF($F377=Constants!$B$3,FALSE(),TRUE())))</f>
        <v/>
      </c>
      <c r="Z377" s="87" t="str">
        <f aca="false">IF(ISBLANK($C377),"",IF(ISNUMBER($G377),IF($G377&gt;=0,$G377,""),""))</f>
        <v/>
      </c>
      <c r="AA377" s="87" t="str">
        <f aca="false">IF(ISBLANK($C377),"",IF(ISNUMBER($H377),IF($H377&gt;=0,$H377,""),""))</f>
        <v/>
      </c>
      <c r="AB377" s="87" t="str">
        <f aca="false">IF(ISBLANK($C377),"",IF(ISNUMBER($I377),IF($I377&gt;=0,$I377,""),""))</f>
        <v/>
      </c>
      <c r="AC377" s="86" t="str">
        <f aca="false">IF(ISBLANK($C377),"",IF($J377=Constants!$B$2,TRUE(),IF($J377=Constants!$B$3,FALSE(),TRUE())))</f>
        <v/>
      </c>
      <c r="AD377" s="86" t="str">
        <f aca="false">IF(ISBLANK($C377),"",IF($K377=Constants!$B$2,TRUE(),IF($K377=Constants!$B$3,FALSE(),TRUE())))</f>
        <v/>
      </c>
      <c r="AE377" s="86" t="str">
        <f aca="false">IF(ISBLANK($C377),"",IF($L377=Constants!$B$2,TRUE(),IF($L377=Constants!$B$3,FALSE(),TRUE())))</f>
        <v/>
      </c>
      <c r="AF377" s="88" t="str">
        <f aca="false">IF(ISBLANK($C377),"",IF(ISNUMBER($M377),IF($M377&gt;=0,$M377,""),""))</f>
        <v/>
      </c>
      <c r="AG377" s="86" t="str">
        <f aca="false">IF(ISBLANK($C377),"",IF(ISBLANK($N377),0,IF(ISNUMBER($N377),IF(AND($N377&gt;=0,$N377&lt;=Constants!$B$17,$N377=INT($N377)),$N377,""),"")))</f>
        <v/>
      </c>
      <c r="AH377" s="87" t="str">
        <f aca="false">IF(ISBLANK($C377),"",IF(ISBLANK($O377),0,IF(ISNUMBER($O377),IF($O377&gt;=0,$O377,""),"")))</f>
        <v/>
      </c>
      <c r="AI377" s="86" t="str">
        <f aca="false">IF(ISBLANK($C377),"",IF($P377=Constants!$B$2,TRUE(),IF($P377=Constants!$B$3,FALSE(),TRUE())))</f>
        <v/>
      </c>
      <c r="AJ377" s="86" t="str">
        <f aca="false">IF(ISBLANK($C377),"",IF($Q377=Constants!$B$2,TRUE(),IF($Q377=Constants!$B$3,FALSE(),TRUE())))</f>
        <v/>
      </c>
      <c r="AK377" s="86" t="str">
        <f aca="false">IF(ISBLANK($C377),"",IF($R377=Constants!$B$2,TRUE(),IF($R377=Constants!$B$3,FALSE(),TRUE())))</f>
        <v/>
      </c>
      <c r="AL377" s="88" t="str">
        <f aca="false">IF(ISBLANK($C377),"",IF(ISNUMBER($S377),IF($S377&gt;=0,$S377,""),""))</f>
        <v/>
      </c>
      <c r="AM377" s="86" t="str">
        <f aca="false">IF(ISBLANK($C377),"",IF(ISBLANK($T377),0,IF(ISNUMBER($T377),IF(AND($T377&gt;=0,$T377&lt;=Constants!$B$17,$T377=INT($T377)),$T377,""),"")))</f>
        <v/>
      </c>
      <c r="AN377" s="87" t="str">
        <f aca="false">IF(ISBLANK($C377),"",IF(ISBLANK($U377),0,IF(ISNUMBER($U377),IF($U377&gt;=0,$U377,""),"")))</f>
        <v/>
      </c>
      <c r="AO377" s="86" t="str">
        <f aca="false">IF(ISBLANK($C377),"",IF($V377=Constants!$B$2,TRUE(),IF($V377=Constants!$B$3,FALSE(),FALSE())))</f>
        <v/>
      </c>
      <c r="AP377" s="86"/>
      <c r="AQ377" s="85" t="str">
        <f aca="false">IF(ISBLANK($C377),"",AND($Y377,OR($AS377,$BC377),OR($Z377="",$AA377="",$AB377="")))</f>
        <v/>
      </c>
      <c r="AR377" s="85" t="str">
        <f aca="false">IF(ISBLANK($C377),"",IF(OR(NOT($Y377),NOT(OR($AS377,$BC377))),"",IF(ISBLANK($D$7),$AR$5,IF($AP$9="",$AR$6,""))))</f>
        <v/>
      </c>
      <c r="AS377" s="85" t="str">
        <f aca="false">IF(ISBLANK($C377),"",COUNTA($J377:$O377)&gt;0)</f>
        <v/>
      </c>
      <c r="AT377" s="85" t="str">
        <f aca="false">IF(ISBLANK($C377),"",AND($AS377,OR(AND($AF377="",OR($AE377,NOT(ISBLANK($M377)))),$AG377="",$AH377="")))</f>
        <v/>
      </c>
      <c r="AU377" s="87" t="str">
        <f aca="false">IF($BL377&lt;&gt;Constants!$B$4,"",IF(NOT($AS377),"",ROUND((Constants!$B$12-$AB377)+(Constants!$B$13-$Z377)+(Constants!$B$14-$AA377),1)))</f>
        <v/>
      </c>
      <c r="AV377" s="90" t="str">
        <f aca="false">IF($BL377&lt;&gt;Constants!$B$4,"",IF(NOT($AS377),"",IF(NOT($AE377),0,Constants!$B$15*(INT(ROUND(MIN($AF377,$AP$9),6))-INT(ROUND(MAX(0,MIN($AF377,2*$AP$9)-$AP$9),6))))))</f>
        <v/>
      </c>
      <c r="AW377" s="90" t="str">
        <f aca="false">IF($BL377&lt;&gt;Constants!$B$4,"",IF(NOT($AS377),"",Constants!$B$16*$AG377))</f>
        <v/>
      </c>
      <c r="AX377" s="90" t="str">
        <f aca="false">IF($BL377&lt;&gt;Constants!$B$4,"",IF(NOT($AS377),"",Constants!$B$18*INT(ROUND($AH377,6))))</f>
        <v/>
      </c>
      <c r="AY377" s="85" t="str">
        <f aca="false">IF($BL377&lt;&gt;Constants!$B$4,"",IF(NOT($AS377),"",IF(NOT($X377),Constants!$B$11,IF(OR(NOT($AC377),NOT($AD377),ROUND($AB377,1)&gt;Constants!$B$12,ROUND($Z377,1)&gt;Constants!$B$13,ROUND($AA377,1)&gt;Constants!$B$14),Constants!$B$10,Constants!$B$9))))</f>
        <v/>
      </c>
      <c r="AZ377" s="91" t="str">
        <f aca="false">IF($BL377&lt;&gt;Constants!$B$4,"",IF(NOT($AS377),"",ROUND($AU377+$AV377+$AW377+$AX377,1)))</f>
        <v/>
      </c>
      <c r="BA377" s="92" t="str">
        <f aca="false">IF($BL377&lt;&gt;Constants!$B$4,"",IF(NOT($AS377),"",IF(ISNUMBER($AF377),$AF377,0)))</f>
        <v/>
      </c>
      <c r="BB377" s="86" t="str">
        <f aca="false">IF($BL377&lt;&gt;Constants!$B$4,"",IF(NOT($BC377),"&lt;-",IF(NOT($AS377),"-&gt;",IF(OR($BI377&lt;$AY377,AND($BI377=$AY377,OR($BJ377&gt;$AZ377,AND($BJ377=$AZ377,OR($BH377&gt;$AX377,AND($BH377=$AX377,OR($BE377&gt;$AU377,AND($BE377=$AU377,OR($BF377&gt;$AV377,AND($BF377=$AV377,$BK377&gt;$BA377)))))))))),"-&gt;","&lt;-"))))</f>
        <v/>
      </c>
      <c r="BC377" s="85" t="str">
        <f aca="false">IF(ISBLANK($C377),"",COUNTA($P377:$U377)&gt;0)</f>
        <v/>
      </c>
      <c r="BD377" s="85" t="str">
        <f aca="false">IF(ISBLANK($C377),"",AND($BC377,OR(AND($AL377="",OR($AK377,NOT(ISBLANK($S377)))),$AM377="",$AN377="")))</f>
        <v/>
      </c>
      <c r="BE377" s="87" t="str">
        <f aca="false">IF($BL377&lt;&gt;Constants!$B$4,"",IF(NOT($BC377),"",ROUND((Constants!$B$12-$AB377)+(Constants!$B$13-$Z377)+(Constants!$B$14-$AA377),1)))</f>
        <v/>
      </c>
      <c r="BF377" s="90" t="str">
        <f aca="false">IF($BL377&lt;&gt;Constants!$B$4,"",IF(NOT($BC377),"",IF(NOT($AK377),0,Constants!$B$15*(INT(ROUND(MIN($AL377,$AP$9),6))-INT(ROUND(MAX(0,MIN($AL377,2*$AP$9)-$AP$9),6))))))</f>
        <v/>
      </c>
      <c r="BG377" s="90" t="str">
        <f aca="false">IF($BL377&lt;&gt;Constants!$B$4,"",IF(NOT($BC377),"",Constants!$B$16*$AM377))</f>
        <v/>
      </c>
      <c r="BH377" s="90" t="str">
        <f aca="false">IF($BL377&lt;&gt;Constants!$B$4,"",IF(NOT($BC377),"",Constants!$B$18*INT(ROUND($AN377,6))))</f>
        <v/>
      </c>
      <c r="BI377" s="85" t="str">
        <f aca="false">IF($BL377&lt;&gt;Constants!$B$4,"",IF(NOT($BC377),"",IF(NOT($X377),Constants!$B$11,IF(OR(NOT($AI377),NOT($AJ377),ROUND($AB377,1)&gt;Constants!$B$12,ROUND($Z377,1)&gt;Constants!$B$13,ROUND($AA377,1)&gt;Constants!$B$14),Constants!$B$10,Constants!$B$9))))</f>
        <v/>
      </c>
      <c r="BJ377" s="91" t="str">
        <f aca="false">IF($BL377&lt;&gt;Constants!$B$4,"",IF(NOT($BC377),"",ROUND($BE377+$BF377+$BG377+$BH377,1)))</f>
        <v/>
      </c>
      <c r="BK377" s="92" t="str">
        <f aca="false">IF($BL377&lt;&gt;Constants!$B$4,"",IF(NOT($BC377),"",IF(ISNUMBER($AL377),$AL377,0)))</f>
        <v/>
      </c>
      <c r="BL377" s="86" t="str">
        <f aca="false">IF(ISBLANK($C377),"",IF($AO377,Constants!$B$7,IF(COUNTA($E377:$V377)=0,Constants!$B$6,IF(NOT($Y377),Constants!$B$5,IF(NOT(OR($AS377,$BC377)),Constants!$B$5,IF(OR($AT377,$BD377,$AQ377,$AR377&lt;&gt;""),Constants!$B$8,Constants!$B$4))))))</f>
        <v/>
      </c>
      <c r="BM377" s="86" t="str">
        <f aca="false">IF(ISBLANK($C377),"",IF($BL377&lt;&gt;Constants!$B$4,$BL377,IF($BB377="-&gt;",$BI377,$AY377)))</f>
        <v/>
      </c>
      <c r="BN377" s="90" t="str">
        <f aca="false">IF($BL377&lt;&gt;Constants!$B$4,"",IF($BB377="-&gt;",$BJ377,$AZ377))</f>
        <v/>
      </c>
      <c r="BO377" s="90" t="str">
        <f aca="false">IF(ISBLANK($C377),"",IF($BL377&lt;&gt;Constants!$B$4,$BL377,$BN377))</f>
        <v/>
      </c>
      <c r="BP377" s="86" t="str">
        <f aca="false">IF(ISBLANK($C377),"",IF($BL377&lt;&gt;Constants!$B$4,$BL377,RANK($BO377,$BO$9:$BO$508,0)))</f>
        <v/>
      </c>
      <c r="BQ377" s="86" t="str">
        <f aca="false">IF(ISBLANK($C377),"",IF($BL377&lt;&gt;Constants!$B$4,$BL377,COUNTIFS($BM$9:$BM$508,"&lt;"&amp;$BM377)+COUNTIFS($BM$9:$BM$508,$BM377,$BP$9:$BP$508,"&lt;"&amp;$BP377)+1))</f>
        <v/>
      </c>
      <c r="BR377" s="90" t="str">
        <f aca="false">IF($BL377&lt;&gt;Constants!$B$4,"",IF($BB377="-&gt;",$BH377,$AX377))</f>
        <v/>
      </c>
      <c r="BS377" s="86" t="str">
        <f aca="false">IF(ISBLANK($C377),"",IF($BL377&lt;&gt;Constants!$B$4,$BL377,IF(ISNUMBER($BR377),RANK($BR377,$BR$9:$BR$508,0),COUNT($BR$9:$BR$508)+1)))</f>
        <v/>
      </c>
      <c r="BT377" s="90" t="str">
        <f aca="false">IF($BL377&lt;&gt;Constants!$B$4,"",IF($BB377="-&gt;",$BE377,$AU377))</f>
        <v/>
      </c>
      <c r="BU377" s="86" t="str">
        <f aca="false">IF(ISBLANK($C377),"",IF($BL377&lt;&gt;Constants!$B$4,$BL377,IF(ISNUMBER($BT377),RANK($BT377,$BT$9:$BT$508,0),COUNT($BT$9:$BT$508)+1)))</f>
        <v/>
      </c>
      <c r="BV377" s="90" t="str">
        <f aca="false">IF($BL377&lt;&gt;Constants!$B$4,"",IF($BB377="-&gt;",$BF377,$AV377))</f>
        <v/>
      </c>
      <c r="BW377" s="86" t="str">
        <f aca="false">IF(ISBLANK($C377),"",IF($BL377&lt;&gt;Constants!$B$4,$BL377,IF(ISNUMBER($BV377),RANK($BV377,$BV$9:$BV$508,0),COUNT($BV$9:$BV$508)+1)))</f>
        <v/>
      </c>
      <c r="BX377" s="90" t="str">
        <f aca="false">IF($BL377&lt;&gt;Constants!$B$4,"",IF($BB377="-&gt;",$BK377,$BA377))</f>
        <v/>
      </c>
      <c r="BY377" s="86" t="str">
        <f aca="false">IF(ISBLANK($C377),"",IF($BL377&lt;&gt;Constants!$B$4,$BL377,IF(ISNUMBER($BX377),RANK($BX377,$BX$9:$BX$508,0),COUNT($BX$9:$BX$508)+1)))</f>
        <v/>
      </c>
      <c r="BZ377" s="86" t="str">
        <f aca="false">IF(ISBLANK($C377),"",IF($BL377&lt;&gt;Constants!$B$4,$BL377,COUNTIFS($BM$9:$BM$508,"&lt;"&amp;$BM377)+COUNTIFS($BM$9:$BM$508,$BM377,$BP$9:$BP$508,"&lt;"&amp;$BP377)+COUNTIFS($BM$9:$BM$508,$BM377,$BP$9:$BP$508,$BP377,$BS$9:$BS$508,"&lt;"&amp;$BS377)+COUNTIFS($BM$9:$BM$508,$BM377,$BP$9:$BP$508,$BP377,$BS$9:$BS$508,$BS377,$BU$9:$BU$508,"&lt;"&amp;$BU377)+COUNTIFS($BM$9:$BM$508,$BM377,$BP$9:$BP$508,$BP377,$BS$9:$BS$508,$BS377,$BU$9:$BU$508,$BU377,$BW$9:$BW$508,"&lt;"&amp;$BW377)+COUNTIFS($BM$9:$BM$508,$BM377,$BP$9:$BP$508,$BP377,$BS$9:$BS$508,$BS377,$BU$9:$BU$508,$BU377,$BW$9:$BW$508,$BW377,$BY$9:$BY$508,"&lt;"&amp;$BY377)+1))</f>
        <v/>
      </c>
      <c r="CA377" s="86" t="str">
        <f aca="false">IF(ISBLANK($C377),"",IF($BL377&lt;&gt;Constants!$B$4,$BL377,$BQ377-$BZ377))</f>
        <v/>
      </c>
      <c r="CB377" s="93"/>
      <c r="CC377" s="94" t="str">
        <f aca="false">IF(ISBLANK($C377),"",IF($BL377=Constants!$B$8,$AR377,""))</f>
        <v/>
      </c>
      <c r="CD377" s="94" t="str">
        <f aca="false">IF(ISBLANK($C377),"",IF($BL377&lt;&gt;Constants!$B$4,"",IF($BB377="-&gt;",2,1)))</f>
        <v/>
      </c>
      <c r="CE377" s="95" t="str">
        <f aca="false">IF(ISBLANK($C377),"",IF($BL377&lt;&gt;Constants!$B$4,"",IF($BB377="-&gt;",$BE377,$AU377)))</f>
        <v/>
      </c>
      <c r="CF377" s="95" t="str">
        <f aca="false">IF(ISBLANK($C377),"",IF($BL377&lt;&gt;Constants!$B$4,"",IF($BB377="-&gt;",$BF377,$AV377)))</f>
        <v/>
      </c>
      <c r="CG377" s="95" t="str">
        <f aca="false">IF(ISBLANK($C377),"",IF($BL377&lt;&gt;Constants!$B$4,"",IF($BB377="-&gt;",$BG377,$AW377)))</f>
        <v/>
      </c>
      <c r="CH377" s="95" t="str">
        <f aca="false">IF(ISBLANK($C377),"",IF($BL377&lt;&gt;Constants!$B$4,"",IF($BB377="-&gt;",$BH377,$AX377)))</f>
        <v/>
      </c>
      <c r="CI377" s="96" t="str">
        <f aca="false">IF(ISBLANK($C377),"",$BO377)</f>
        <v/>
      </c>
      <c r="CJ377" s="97" t="str">
        <f aca="false">IF(ISBLANK($C377),"",$BM377)</f>
        <v/>
      </c>
      <c r="CK377" s="98" t="str">
        <f aca="false">IF(ISBLANK($C377),"",$CA377)</f>
        <v/>
      </c>
      <c r="CL377" s="98" t="str">
        <f aca="false">IF(ISBLANK($C377),"",$BZ377)</f>
        <v/>
      </c>
      <c r="CM377" s="99" t="str">
        <f aca="false">IF(ISBLANK($C377),"",IF($CL377=Constants!$B$7,COUNTA($C$9:$C$508)+2,IF($CL377=Constants!$B$6,COUNTA($C$9:$C$508)+1,IF($CL377=Constants!$B$5,COUNTA($C$9:$C$508),$CL377))))</f>
        <v/>
      </c>
      <c r="CN377" s="8"/>
      <c r="CO377" s="100" t="n">
        <f aca="false">IF(OR(ISNUMBER($CL377),$CL377=Constants!$B$7,$CL377=Constants!$B$5,$CL377=Constants!$B$6),1,0)</f>
        <v>0</v>
      </c>
      <c r="CP377" s="100" t="n">
        <v>369</v>
      </c>
      <c r="CQ377" s="100" t="str">
        <f aca="false">IF(ISBLANK($C377),"",IF(ISNUMBER($CM377),$CM377+ROW($B377)/1000,""))</f>
        <v/>
      </c>
      <c r="CR377" s="100" t="str">
        <f aca="false">IF(ISNUMBER($CQ377),RANK($CQ377,$CQ$9:$CQ$508,1),"")</f>
        <v/>
      </c>
      <c r="CS377" s="100" t="str">
        <f aca="false">IF(ISBLANK($C377),"",$B377)</f>
        <v/>
      </c>
      <c r="CT377" s="100" t="str">
        <f aca="false">IF(ISBLANK($C377),"",$C377)</f>
        <v/>
      </c>
      <c r="CU377" s="100" t="str">
        <f aca="false">IF(ISBLANK($C377),"",$D377)</f>
        <v/>
      </c>
      <c r="CV377" s="101" t="str">
        <f aca="false">$CJ377</f>
        <v/>
      </c>
      <c r="CW377" s="102" t="str">
        <f aca="false">$CI377</f>
        <v/>
      </c>
      <c r="CX377" s="100" t="str">
        <f aca="false">IF(ISBLANK($C377),"",$CL377)</f>
        <v/>
      </c>
      <c r="CY377" s="103" t="str">
        <f aca="false">IF($CP377&gt;$CO$8,"",VLOOKUP($CP377,$CR$9:$CX$508,7,FALSE()))</f>
        <v/>
      </c>
      <c r="CZ377" s="104" t="str">
        <f aca="false">IF($CP377&gt;$CO$8,"",VLOOKUP($CP377,$CR$9:$CX$508,2,FALSE()))</f>
        <v/>
      </c>
      <c r="DA377" s="104" t="str">
        <f aca="false">IF($CP377&gt;$CO$8,"",VLOOKUP($CP377,$CR$9:$CX$508,3,FALSE()))</f>
        <v/>
      </c>
      <c r="DB377" s="104" t="str">
        <f aca="false">IF($CP377&gt;$CO$8,"",VLOOKUP($CP377,$CR$9:$CX$508,4,FALSE()))</f>
        <v/>
      </c>
      <c r="DC377" s="104" t="str">
        <f aca="false">IF($CP377&gt;$CO$8,"",VLOOKUP($CP377,$CR$9:$CX$508,5,FALSE()))</f>
        <v/>
      </c>
      <c r="DD377" s="105" t="str">
        <f aca="false">IF($CP377&gt;$CO$8,"",VLOOKUP($CP377,$CR$9:$CX$508,6,FALSE()))</f>
        <v/>
      </c>
      <c r="DE377" s="70"/>
    </row>
    <row r="378" customFormat="false" ht="15.75" hidden="false" customHeight="false" outlineLevel="0" collapsed="false">
      <c r="A378" s="8"/>
      <c r="B378" s="146"/>
      <c r="C378" s="147"/>
      <c r="D378" s="148"/>
      <c r="E378" s="164"/>
      <c r="F378" s="150"/>
      <c r="G378" s="115"/>
      <c r="H378" s="115"/>
      <c r="I378" s="115"/>
      <c r="J378" s="165"/>
      <c r="K378" s="154"/>
      <c r="L378" s="154"/>
      <c r="M378" s="118"/>
      <c r="N378" s="154"/>
      <c r="O378" s="153"/>
      <c r="P378" s="154"/>
      <c r="Q378" s="154"/>
      <c r="R378" s="154"/>
      <c r="S378" s="115"/>
      <c r="T378" s="154"/>
      <c r="U378" s="153"/>
      <c r="V378" s="154"/>
      <c r="W378" s="123"/>
      <c r="X378" s="124" t="str">
        <f aca="false">IF(ISBLANK($C378),"",IF($E378=Constants!$B$2,TRUE(),IF($E378=Constants!$B$3,FALSE(),TRUE())))</f>
        <v/>
      </c>
      <c r="Y378" s="124" t="str">
        <f aca="false">IF(ISBLANK($C378),"",IF($F378=Constants!$B$2,TRUE(),IF($F378=Constants!$B$3,FALSE(),TRUE())))</f>
        <v/>
      </c>
      <c r="Z378" s="125" t="str">
        <f aca="false">IF(ISBLANK($C378),"",IF(ISNUMBER($G378),IF($G378&gt;=0,$G378,""),""))</f>
        <v/>
      </c>
      <c r="AA378" s="125" t="str">
        <f aca="false">IF(ISBLANK($C378),"",IF(ISNUMBER($H378),IF($H378&gt;=0,$H378,""),""))</f>
        <v/>
      </c>
      <c r="AB378" s="125" t="str">
        <f aca="false">IF(ISBLANK($C378),"",IF(ISNUMBER($I378),IF($I378&gt;=0,$I378,""),""))</f>
        <v/>
      </c>
      <c r="AC378" s="124" t="str">
        <f aca="false">IF(ISBLANK($C378),"",IF($J378=Constants!$B$2,TRUE(),IF($J378=Constants!$B$3,FALSE(),TRUE())))</f>
        <v/>
      </c>
      <c r="AD378" s="124" t="str">
        <f aca="false">IF(ISBLANK($C378),"",IF($K378=Constants!$B$2,TRUE(),IF($K378=Constants!$B$3,FALSE(),TRUE())))</f>
        <v/>
      </c>
      <c r="AE378" s="124" t="str">
        <f aca="false">IF(ISBLANK($C378),"",IF($L378=Constants!$B$2,TRUE(),IF($L378=Constants!$B$3,FALSE(),TRUE())))</f>
        <v/>
      </c>
      <c r="AF378" s="126" t="str">
        <f aca="false">IF(ISBLANK($C378),"",IF(ISNUMBER($M378),IF($M378&gt;=0,$M378,""),""))</f>
        <v/>
      </c>
      <c r="AG378" s="124" t="str">
        <f aca="false">IF(ISBLANK($C378),"",IF(ISBLANK($N378),0,IF(ISNUMBER($N378),IF(AND($N378&gt;=0,$N378&lt;=Constants!$B$17,$N378=INT($N378)),$N378,""),"")))</f>
        <v/>
      </c>
      <c r="AH378" s="125" t="str">
        <f aca="false">IF(ISBLANK($C378),"",IF(ISBLANK($O378),0,IF(ISNUMBER($O378),IF($O378&gt;=0,$O378,""),"")))</f>
        <v/>
      </c>
      <c r="AI378" s="124" t="str">
        <f aca="false">IF(ISBLANK($C378),"",IF($P378=Constants!$B$2,TRUE(),IF($P378=Constants!$B$3,FALSE(),TRUE())))</f>
        <v/>
      </c>
      <c r="AJ378" s="124" t="str">
        <f aca="false">IF(ISBLANK($C378),"",IF($Q378=Constants!$B$2,TRUE(),IF($Q378=Constants!$B$3,FALSE(),TRUE())))</f>
        <v/>
      </c>
      <c r="AK378" s="124" t="str">
        <f aca="false">IF(ISBLANK($C378),"",IF($R378=Constants!$B$2,TRUE(),IF($R378=Constants!$B$3,FALSE(),TRUE())))</f>
        <v/>
      </c>
      <c r="AL378" s="126" t="str">
        <f aca="false">IF(ISBLANK($C378),"",IF(ISNUMBER($S378),IF($S378&gt;=0,$S378,""),""))</f>
        <v/>
      </c>
      <c r="AM378" s="124" t="str">
        <f aca="false">IF(ISBLANK($C378),"",IF(ISBLANK($T378),0,IF(ISNUMBER($T378),IF(AND($T378&gt;=0,$T378&lt;=Constants!$B$17,$T378=INT($T378)),$T378,""),"")))</f>
        <v/>
      </c>
      <c r="AN378" s="125" t="str">
        <f aca="false">IF(ISBLANK($C378),"",IF(ISBLANK($U378),0,IF(ISNUMBER($U378),IF($U378&gt;=0,$U378,""),"")))</f>
        <v/>
      </c>
      <c r="AO378" s="124" t="str">
        <f aca="false">IF(ISBLANK($C378),"",IF($V378=Constants!$B$2,TRUE(),IF($V378=Constants!$B$3,FALSE(),FALSE())))</f>
        <v/>
      </c>
      <c r="AP378" s="124"/>
      <c r="AQ378" s="123" t="str">
        <f aca="false">IF(ISBLANK($C378),"",AND($Y378,OR($AS378,$BC378),OR($Z378="",$AA378="",$AB378="")))</f>
        <v/>
      </c>
      <c r="AR378" s="123" t="str">
        <f aca="false">IF(ISBLANK($C378),"",IF(OR(NOT($Y378),NOT(OR($AS378,$BC378))),"",IF(ISBLANK($D$7),$AR$5,IF($AP$9="",$AR$6,""))))</f>
        <v/>
      </c>
      <c r="AS378" s="123" t="str">
        <f aca="false">IF(ISBLANK($C378),"",COUNTA($J378:$O378)&gt;0)</f>
        <v/>
      </c>
      <c r="AT378" s="123" t="str">
        <f aca="false">IF(ISBLANK($C378),"",AND($AS378,OR(AND($AF378="",OR($AE378,NOT(ISBLANK($M378)))),$AG378="",$AH378="")))</f>
        <v/>
      </c>
      <c r="AU378" s="125" t="str">
        <f aca="false">IF($BL378&lt;&gt;Constants!$B$4,"",IF(NOT($AS378),"",ROUND((Constants!$B$12-$AB378)+(Constants!$B$13-$Z378)+(Constants!$B$14-$AA378),1)))</f>
        <v/>
      </c>
      <c r="AV378" s="127" t="str">
        <f aca="false">IF($BL378&lt;&gt;Constants!$B$4,"",IF(NOT($AS378),"",IF(NOT($AE378),0,Constants!$B$15*(INT(ROUND(MIN($AF378,$AP$9),6))-INT(ROUND(MAX(0,MIN($AF378,2*$AP$9)-$AP$9),6))))))</f>
        <v/>
      </c>
      <c r="AW378" s="127" t="str">
        <f aca="false">IF($BL378&lt;&gt;Constants!$B$4,"",IF(NOT($AS378),"",Constants!$B$16*$AG378))</f>
        <v/>
      </c>
      <c r="AX378" s="127" t="str">
        <f aca="false">IF($BL378&lt;&gt;Constants!$B$4,"",IF(NOT($AS378),"",Constants!$B$18*INT(ROUND($AH378,6))))</f>
        <v/>
      </c>
      <c r="AY378" s="123" t="str">
        <f aca="false">IF($BL378&lt;&gt;Constants!$B$4,"",IF(NOT($AS378),"",IF(NOT($X378),Constants!$B$11,IF(OR(NOT($AC378),NOT($AD378),ROUND($AB378,1)&gt;Constants!$B$12,ROUND($Z378,1)&gt;Constants!$B$13,ROUND($AA378,1)&gt;Constants!$B$14),Constants!$B$10,Constants!$B$9))))</f>
        <v/>
      </c>
      <c r="AZ378" s="128" t="str">
        <f aca="false">IF($BL378&lt;&gt;Constants!$B$4,"",IF(NOT($AS378),"",ROUND($AU378+$AV378+$AW378+$AX378,1)))</f>
        <v/>
      </c>
      <c r="BA378" s="129" t="str">
        <f aca="false">IF($BL378&lt;&gt;Constants!$B$4,"",IF(NOT($AS378),"",IF(ISNUMBER($AF378),$AF378,0)))</f>
        <v/>
      </c>
      <c r="BB378" s="124" t="str">
        <f aca="false">IF($BL378&lt;&gt;Constants!$B$4,"",IF(NOT($BC378),"&lt;-",IF(NOT($AS378),"-&gt;",IF(OR($BI378&lt;$AY378,AND($BI378=$AY378,OR($BJ378&gt;$AZ378,AND($BJ378=$AZ378,OR($BH378&gt;$AX378,AND($BH378=$AX378,OR($BE378&gt;$AU378,AND($BE378=$AU378,OR($BF378&gt;$AV378,AND($BF378=$AV378,$BK378&gt;$BA378)))))))))),"-&gt;","&lt;-"))))</f>
        <v/>
      </c>
      <c r="BC378" s="123" t="str">
        <f aca="false">IF(ISBLANK($C378),"",COUNTA($P378:$U378)&gt;0)</f>
        <v/>
      </c>
      <c r="BD378" s="123" t="str">
        <f aca="false">IF(ISBLANK($C378),"",AND($BC378,OR(AND($AL378="",OR($AK378,NOT(ISBLANK($S378)))),$AM378="",$AN378="")))</f>
        <v/>
      </c>
      <c r="BE378" s="125" t="str">
        <f aca="false">IF($BL378&lt;&gt;Constants!$B$4,"",IF(NOT($BC378),"",ROUND((Constants!$B$12-$AB378)+(Constants!$B$13-$Z378)+(Constants!$B$14-$AA378),1)))</f>
        <v/>
      </c>
      <c r="BF378" s="127" t="str">
        <f aca="false">IF($BL378&lt;&gt;Constants!$B$4,"",IF(NOT($BC378),"",IF(NOT($AK378),0,Constants!$B$15*(INT(ROUND(MIN($AL378,$AP$9),6))-INT(ROUND(MAX(0,MIN($AL378,2*$AP$9)-$AP$9),6))))))</f>
        <v/>
      </c>
      <c r="BG378" s="127" t="str">
        <f aca="false">IF($BL378&lt;&gt;Constants!$B$4,"",IF(NOT($BC378),"",Constants!$B$16*$AM378))</f>
        <v/>
      </c>
      <c r="BH378" s="127" t="str">
        <f aca="false">IF($BL378&lt;&gt;Constants!$B$4,"",IF(NOT($BC378),"",Constants!$B$18*INT(ROUND($AN378,6))))</f>
        <v/>
      </c>
      <c r="BI378" s="123" t="str">
        <f aca="false">IF($BL378&lt;&gt;Constants!$B$4,"",IF(NOT($BC378),"",IF(NOT($X378),Constants!$B$11,IF(OR(NOT($AI378),NOT($AJ378),ROUND($AB378,1)&gt;Constants!$B$12,ROUND($Z378,1)&gt;Constants!$B$13,ROUND($AA378,1)&gt;Constants!$B$14),Constants!$B$10,Constants!$B$9))))</f>
        <v/>
      </c>
      <c r="BJ378" s="128" t="str">
        <f aca="false">IF($BL378&lt;&gt;Constants!$B$4,"",IF(NOT($BC378),"",ROUND($BE378+$BF378+$BG378+$BH378,1)))</f>
        <v/>
      </c>
      <c r="BK378" s="129" t="str">
        <f aca="false">IF($BL378&lt;&gt;Constants!$B$4,"",IF(NOT($BC378),"",IF(ISNUMBER($AL378),$AL378,0)))</f>
        <v/>
      </c>
      <c r="BL378" s="124" t="str">
        <f aca="false">IF(ISBLANK($C378),"",IF($AO378,Constants!$B$7,IF(COUNTA($E378:$V378)=0,Constants!$B$6,IF(NOT($Y378),Constants!$B$5,IF(NOT(OR($AS378,$BC378)),Constants!$B$5,IF(OR($AT378,$BD378,$AQ378,$AR378&lt;&gt;""),Constants!$B$8,Constants!$B$4))))))</f>
        <v/>
      </c>
      <c r="BM378" s="124" t="str">
        <f aca="false">IF(ISBLANK($C378),"",IF($BL378&lt;&gt;Constants!$B$4,$BL378,IF($BB378="-&gt;",$BI378,$AY378)))</f>
        <v/>
      </c>
      <c r="BN378" s="127" t="str">
        <f aca="false">IF($BL378&lt;&gt;Constants!$B$4,"",IF($BB378="-&gt;",$BJ378,$AZ378))</f>
        <v/>
      </c>
      <c r="BO378" s="127" t="str">
        <f aca="false">IF(ISBLANK($C378),"",IF($BL378&lt;&gt;Constants!$B$4,$BL378,$BN378))</f>
        <v/>
      </c>
      <c r="BP378" s="124" t="str">
        <f aca="false">IF(ISBLANK($C378),"",IF($BL378&lt;&gt;Constants!$B$4,$BL378,RANK($BO378,$BO$9:$BO$508,0)))</f>
        <v/>
      </c>
      <c r="BQ378" s="124" t="str">
        <f aca="false">IF(ISBLANK($C378),"",IF($BL378&lt;&gt;Constants!$B$4,$BL378,COUNTIFS($BM$9:$BM$508,"&lt;"&amp;$BM378)+COUNTIFS($BM$9:$BM$508,$BM378,$BP$9:$BP$508,"&lt;"&amp;$BP378)+1))</f>
        <v/>
      </c>
      <c r="BR378" s="127" t="str">
        <f aca="false">IF($BL378&lt;&gt;Constants!$B$4,"",IF($BB378="-&gt;",$BH378,$AX378))</f>
        <v/>
      </c>
      <c r="BS378" s="124" t="str">
        <f aca="false">IF(ISBLANK($C378),"",IF($BL378&lt;&gt;Constants!$B$4,$BL378,IF(ISNUMBER($BR378),RANK($BR378,$BR$9:$BR$508,0),COUNT($BR$9:$BR$508)+1)))</f>
        <v/>
      </c>
      <c r="BT378" s="127" t="str">
        <f aca="false">IF($BL378&lt;&gt;Constants!$B$4,"",IF($BB378="-&gt;",$BE378,$AU378))</f>
        <v/>
      </c>
      <c r="BU378" s="124" t="str">
        <f aca="false">IF(ISBLANK($C378),"",IF($BL378&lt;&gt;Constants!$B$4,$BL378,IF(ISNUMBER($BT378),RANK($BT378,$BT$9:$BT$508,0),COUNT($BT$9:$BT$508)+1)))</f>
        <v/>
      </c>
      <c r="BV378" s="127" t="str">
        <f aca="false">IF($BL378&lt;&gt;Constants!$B$4,"",IF($BB378="-&gt;",$BF378,$AV378))</f>
        <v/>
      </c>
      <c r="BW378" s="124" t="str">
        <f aca="false">IF(ISBLANK($C378),"",IF($BL378&lt;&gt;Constants!$B$4,$BL378,IF(ISNUMBER($BV378),RANK($BV378,$BV$9:$BV$508,0),COUNT($BV$9:$BV$508)+1)))</f>
        <v/>
      </c>
      <c r="BX378" s="127" t="str">
        <f aca="false">IF($BL378&lt;&gt;Constants!$B$4,"",IF($BB378="-&gt;",$BK378,$BA378))</f>
        <v/>
      </c>
      <c r="BY378" s="124" t="str">
        <f aca="false">IF(ISBLANK($C378),"",IF($BL378&lt;&gt;Constants!$B$4,$BL378,IF(ISNUMBER($BX378),RANK($BX378,$BX$9:$BX$508,0),COUNT($BX$9:$BX$508)+1)))</f>
        <v/>
      </c>
      <c r="BZ378" s="124" t="str">
        <f aca="false">IF(ISBLANK($C378),"",IF($BL378&lt;&gt;Constants!$B$4,$BL378,COUNTIFS($BM$9:$BM$508,"&lt;"&amp;$BM378)+COUNTIFS($BM$9:$BM$508,$BM378,$BP$9:$BP$508,"&lt;"&amp;$BP378)+COUNTIFS($BM$9:$BM$508,$BM378,$BP$9:$BP$508,$BP378,$BS$9:$BS$508,"&lt;"&amp;$BS378)+COUNTIFS($BM$9:$BM$508,$BM378,$BP$9:$BP$508,$BP378,$BS$9:$BS$508,$BS378,$BU$9:$BU$508,"&lt;"&amp;$BU378)+COUNTIFS($BM$9:$BM$508,$BM378,$BP$9:$BP$508,$BP378,$BS$9:$BS$508,$BS378,$BU$9:$BU$508,$BU378,$BW$9:$BW$508,"&lt;"&amp;$BW378)+COUNTIFS($BM$9:$BM$508,$BM378,$BP$9:$BP$508,$BP378,$BS$9:$BS$508,$BS378,$BU$9:$BU$508,$BU378,$BW$9:$BW$508,$BW378,$BY$9:$BY$508,"&lt;"&amp;$BY378)+1))</f>
        <v/>
      </c>
      <c r="CA378" s="124" t="str">
        <f aca="false">IF(ISBLANK($C378),"",IF($BL378&lt;&gt;Constants!$B$4,$BL378,$BQ378-$BZ378))</f>
        <v/>
      </c>
      <c r="CB378" s="130"/>
      <c r="CC378" s="131" t="str">
        <f aca="false">IF(ISBLANK($C378),"",IF($BL378=Constants!$B$8,$AR378,""))</f>
        <v/>
      </c>
      <c r="CD378" s="131" t="str">
        <f aca="false">IF(ISBLANK($C378),"",IF($BL378&lt;&gt;Constants!$B$4,"",IF($BB378="-&gt;",2,1)))</f>
        <v/>
      </c>
      <c r="CE378" s="132" t="str">
        <f aca="false">IF(ISBLANK($C378),"",IF($BL378&lt;&gt;Constants!$B$4,"",IF($BB378="-&gt;",$BE378,$AU378)))</f>
        <v/>
      </c>
      <c r="CF378" s="132" t="str">
        <f aca="false">IF(ISBLANK($C378),"",IF($BL378&lt;&gt;Constants!$B$4,"",IF($BB378="-&gt;",$BF378,$AV378)))</f>
        <v/>
      </c>
      <c r="CG378" s="132" t="str">
        <f aca="false">IF(ISBLANK($C378),"",IF($BL378&lt;&gt;Constants!$B$4,"",IF($BB378="-&gt;",$BG378,$AW378)))</f>
        <v/>
      </c>
      <c r="CH378" s="132" t="str">
        <f aca="false">IF(ISBLANK($C378),"",IF($BL378&lt;&gt;Constants!$B$4,"",IF($BB378="-&gt;",$BH378,$AX378)))</f>
        <v/>
      </c>
      <c r="CI378" s="133" t="str">
        <f aca="false">IF(ISBLANK($C378),"",$BO378)</f>
        <v/>
      </c>
      <c r="CJ378" s="134" t="str">
        <f aca="false">IF(ISBLANK($C378),"",$BM378)</f>
        <v/>
      </c>
      <c r="CK378" s="135" t="str">
        <f aca="false">IF(ISBLANK($C378),"",$CA378)</f>
        <v/>
      </c>
      <c r="CL378" s="135" t="str">
        <f aca="false">IF(ISBLANK($C378),"",$BZ378)</f>
        <v/>
      </c>
      <c r="CM378" s="136" t="str">
        <f aca="false">IF(ISBLANK($C378),"",IF($CL378=Constants!$B$7,COUNTA($C$9:$C$508)+2,IF($CL378=Constants!$B$6,COUNTA($C$9:$C$508)+1,IF($CL378=Constants!$B$5,COUNTA($C$9:$C$508),$CL378))))</f>
        <v/>
      </c>
      <c r="CN378" s="8"/>
      <c r="CO378" s="137" t="n">
        <f aca="false">IF(OR(ISNUMBER($CL378),$CL378=Constants!$B$7,$CL378=Constants!$B$5,$CL378=Constants!$B$6),1,0)</f>
        <v>0</v>
      </c>
      <c r="CP378" s="137" t="n">
        <v>370</v>
      </c>
      <c r="CQ378" s="137" t="str">
        <f aca="false">IF(ISBLANK($C378),"",IF(ISNUMBER($CM378),$CM378+ROW($B378)/1000,""))</f>
        <v/>
      </c>
      <c r="CR378" s="137" t="str">
        <f aca="false">IF(ISNUMBER($CQ378),RANK($CQ378,$CQ$9:$CQ$508,1),"")</f>
        <v/>
      </c>
      <c r="CS378" s="137" t="str">
        <f aca="false">IF(ISBLANK($C378),"",$B378)</f>
        <v/>
      </c>
      <c r="CT378" s="137" t="str">
        <f aca="false">IF(ISBLANK($C378),"",$C378)</f>
        <v/>
      </c>
      <c r="CU378" s="137" t="str">
        <f aca="false">IF(ISBLANK($C378),"",$D378)</f>
        <v/>
      </c>
      <c r="CV378" s="138" t="str">
        <f aca="false">$CJ378</f>
        <v/>
      </c>
      <c r="CW378" s="139" t="str">
        <f aca="false">$CI378</f>
        <v/>
      </c>
      <c r="CX378" s="137" t="str">
        <f aca="false">IF(ISBLANK($C378),"",$CL378)</f>
        <v/>
      </c>
      <c r="CY378" s="140" t="str">
        <f aca="false">IF($CP378&gt;$CO$8,"",VLOOKUP($CP378,$CR$9:$CX$508,7,FALSE()))</f>
        <v/>
      </c>
      <c r="CZ378" s="141" t="str">
        <f aca="false">IF($CP378&gt;$CO$8,"",VLOOKUP($CP378,$CR$9:$CX$508,2,FALSE()))</f>
        <v/>
      </c>
      <c r="DA378" s="141" t="str">
        <f aca="false">IF($CP378&gt;$CO$8,"",VLOOKUP($CP378,$CR$9:$CX$508,3,FALSE()))</f>
        <v/>
      </c>
      <c r="DB378" s="141" t="str">
        <f aca="false">IF($CP378&gt;$CO$8,"",VLOOKUP($CP378,$CR$9:$CX$508,4,FALSE()))</f>
        <v/>
      </c>
      <c r="DC378" s="141" t="str">
        <f aca="false">IF($CP378&gt;$CO$8,"",VLOOKUP($CP378,$CR$9:$CX$508,5,FALSE()))</f>
        <v/>
      </c>
      <c r="DD378" s="142" t="str">
        <f aca="false">IF($CP378&gt;$CO$8,"",VLOOKUP($CP378,$CR$9:$CX$508,6,FALSE()))</f>
        <v/>
      </c>
      <c r="DE378" s="70"/>
    </row>
    <row r="379" customFormat="false" ht="15.75" hidden="false" customHeight="false" outlineLevel="0" collapsed="false">
      <c r="A379" s="8"/>
      <c r="B379" s="146"/>
      <c r="C379" s="147"/>
      <c r="D379" s="148"/>
      <c r="E379" s="164"/>
      <c r="F379" s="150"/>
      <c r="G379" s="115"/>
      <c r="H379" s="115"/>
      <c r="I379" s="115"/>
      <c r="J379" s="165"/>
      <c r="K379" s="154"/>
      <c r="L379" s="154"/>
      <c r="M379" s="118"/>
      <c r="N379" s="154"/>
      <c r="O379" s="153"/>
      <c r="P379" s="154"/>
      <c r="Q379" s="154"/>
      <c r="R379" s="154"/>
      <c r="S379" s="115"/>
      <c r="T379" s="154"/>
      <c r="U379" s="153"/>
      <c r="V379" s="154"/>
      <c r="W379" s="123"/>
      <c r="X379" s="124" t="str">
        <f aca="false">IF(ISBLANK($C379),"",IF($E379=Constants!$B$2,TRUE(),IF($E379=Constants!$B$3,FALSE(),TRUE())))</f>
        <v/>
      </c>
      <c r="Y379" s="124" t="str">
        <f aca="false">IF(ISBLANK($C379),"",IF($F379=Constants!$B$2,TRUE(),IF($F379=Constants!$B$3,FALSE(),TRUE())))</f>
        <v/>
      </c>
      <c r="Z379" s="125" t="str">
        <f aca="false">IF(ISBLANK($C379),"",IF(ISNUMBER($G379),IF($G379&gt;=0,$G379,""),""))</f>
        <v/>
      </c>
      <c r="AA379" s="125" t="str">
        <f aca="false">IF(ISBLANK($C379),"",IF(ISNUMBER($H379),IF($H379&gt;=0,$H379,""),""))</f>
        <v/>
      </c>
      <c r="AB379" s="125" t="str">
        <f aca="false">IF(ISBLANK($C379),"",IF(ISNUMBER($I379),IF($I379&gt;=0,$I379,""),""))</f>
        <v/>
      </c>
      <c r="AC379" s="124" t="str">
        <f aca="false">IF(ISBLANK($C379),"",IF($J379=Constants!$B$2,TRUE(),IF($J379=Constants!$B$3,FALSE(),TRUE())))</f>
        <v/>
      </c>
      <c r="AD379" s="124" t="str">
        <f aca="false">IF(ISBLANK($C379),"",IF($K379=Constants!$B$2,TRUE(),IF($K379=Constants!$B$3,FALSE(),TRUE())))</f>
        <v/>
      </c>
      <c r="AE379" s="124" t="str">
        <f aca="false">IF(ISBLANK($C379),"",IF($L379=Constants!$B$2,TRUE(),IF($L379=Constants!$B$3,FALSE(),TRUE())))</f>
        <v/>
      </c>
      <c r="AF379" s="126" t="str">
        <f aca="false">IF(ISBLANK($C379),"",IF(ISNUMBER($M379),IF($M379&gt;=0,$M379,""),""))</f>
        <v/>
      </c>
      <c r="AG379" s="124" t="str">
        <f aca="false">IF(ISBLANK($C379),"",IF(ISBLANK($N379),0,IF(ISNUMBER($N379),IF(AND($N379&gt;=0,$N379&lt;=Constants!$B$17,$N379=INT($N379)),$N379,""),"")))</f>
        <v/>
      </c>
      <c r="AH379" s="125" t="str">
        <f aca="false">IF(ISBLANK($C379),"",IF(ISBLANK($O379),0,IF(ISNUMBER($O379),IF($O379&gt;=0,$O379,""),"")))</f>
        <v/>
      </c>
      <c r="AI379" s="124" t="str">
        <f aca="false">IF(ISBLANK($C379),"",IF($P379=Constants!$B$2,TRUE(),IF($P379=Constants!$B$3,FALSE(),TRUE())))</f>
        <v/>
      </c>
      <c r="AJ379" s="124" t="str">
        <f aca="false">IF(ISBLANK($C379),"",IF($Q379=Constants!$B$2,TRUE(),IF($Q379=Constants!$B$3,FALSE(),TRUE())))</f>
        <v/>
      </c>
      <c r="AK379" s="124" t="str">
        <f aca="false">IF(ISBLANK($C379),"",IF($R379=Constants!$B$2,TRUE(),IF($R379=Constants!$B$3,FALSE(),TRUE())))</f>
        <v/>
      </c>
      <c r="AL379" s="126" t="str">
        <f aca="false">IF(ISBLANK($C379),"",IF(ISNUMBER($S379),IF($S379&gt;=0,$S379,""),""))</f>
        <v/>
      </c>
      <c r="AM379" s="124" t="str">
        <f aca="false">IF(ISBLANK($C379),"",IF(ISBLANK($T379),0,IF(ISNUMBER($T379),IF(AND($T379&gt;=0,$T379&lt;=Constants!$B$17,$T379=INT($T379)),$T379,""),"")))</f>
        <v/>
      </c>
      <c r="AN379" s="125" t="str">
        <f aca="false">IF(ISBLANK($C379),"",IF(ISBLANK($U379),0,IF(ISNUMBER($U379),IF($U379&gt;=0,$U379,""),"")))</f>
        <v/>
      </c>
      <c r="AO379" s="124" t="str">
        <f aca="false">IF(ISBLANK($C379),"",IF($V379=Constants!$B$2,TRUE(),IF($V379=Constants!$B$3,FALSE(),FALSE())))</f>
        <v/>
      </c>
      <c r="AP379" s="124"/>
      <c r="AQ379" s="123" t="str">
        <f aca="false">IF(ISBLANK($C379),"",AND($Y379,OR($AS379,$BC379),OR($Z379="",$AA379="",$AB379="")))</f>
        <v/>
      </c>
      <c r="AR379" s="123" t="str">
        <f aca="false">IF(ISBLANK($C379),"",IF(OR(NOT($Y379),NOT(OR($AS379,$BC379))),"",IF(ISBLANK($D$7),$AR$5,IF($AP$9="",$AR$6,""))))</f>
        <v/>
      </c>
      <c r="AS379" s="123" t="str">
        <f aca="false">IF(ISBLANK($C379),"",COUNTA($J379:$O379)&gt;0)</f>
        <v/>
      </c>
      <c r="AT379" s="123" t="str">
        <f aca="false">IF(ISBLANK($C379),"",AND($AS379,OR(AND($AF379="",OR($AE379,NOT(ISBLANK($M379)))),$AG379="",$AH379="")))</f>
        <v/>
      </c>
      <c r="AU379" s="125" t="str">
        <f aca="false">IF($BL379&lt;&gt;Constants!$B$4,"",IF(NOT($AS379),"",ROUND((Constants!$B$12-$AB379)+(Constants!$B$13-$Z379)+(Constants!$B$14-$AA379),1)))</f>
        <v/>
      </c>
      <c r="AV379" s="127" t="str">
        <f aca="false">IF($BL379&lt;&gt;Constants!$B$4,"",IF(NOT($AS379),"",IF(NOT($AE379),0,Constants!$B$15*(INT(ROUND(MIN($AF379,$AP$9),6))-INT(ROUND(MAX(0,MIN($AF379,2*$AP$9)-$AP$9),6))))))</f>
        <v/>
      </c>
      <c r="AW379" s="127" t="str">
        <f aca="false">IF($BL379&lt;&gt;Constants!$B$4,"",IF(NOT($AS379),"",Constants!$B$16*$AG379))</f>
        <v/>
      </c>
      <c r="AX379" s="127" t="str">
        <f aca="false">IF($BL379&lt;&gt;Constants!$B$4,"",IF(NOT($AS379),"",Constants!$B$18*INT(ROUND($AH379,6))))</f>
        <v/>
      </c>
      <c r="AY379" s="123" t="str">
        <f aca="false">IF($BL379&lt;&gt;Constants!$B$4,"",IF(NOT($AS379),"",IF(NOT($X379),Constants!$B$11,IF(OR(NOT($AC379),NOT($AD379),ROUND($AB379,1)&gt;Constants!$B$12,ROUND($Z379,1)&gt;Constants!$B$13,ROUND($AA379,1)&gt;Constants!$B$14),Constants!$B$10,Constants!$B$9))))</f>
        <v/>
      </c>
      <c r="AZ379" s="128" t="str">
        <f aca="false">IF($BL379&lt;&gt;Constants!$B$4,"",IF(NOT($AS379),"",ROUND($AU379+$AV379+$AW379+$AX379,1)))</f>
        <v/>
      </c>
      <c r="BA379" s="129" t="str">
        <f aca="false">IF($BL379&lt;&gt;Constants!$B$4,"",IF(NOT($AS379),"",IF(ISNUMBER($AF379),$AF379,0)))</f>
        <v/>
      </c>
      <c r="BB379" s="124" t="str">
        <f aca="false">IF($BL379&lt;&gt;Constants!$B$4,"",IF(NOT($BC379),"&lt;-",IF(NOT($AS379),"-&gt;",IF(OR($BI379&lt;$AY379,AND($BI379=$AY379,OR($BJ379&gt;$AZ379,AND($BJ379=$AZ379,OR($BH379&gt;$AX379,AND($BH379=$AX379,OR($BE379&gt;$AU379,AND($BE379=$AU379,OR($BF379&gt;$AV379,AND($BF379=$AV379,$BK379&gt;$BA379)))))))))),"-&gt;","&lt;-"))))</f>
        <v/>
      </c>
      <c r="BC379" s="123" t="str">
        <f aca="false">IF(ISBLANK($C379),"",COUNTA($P379:$U379)&gt;0)</f>
        <v/>
      </c>
      <c r="BD379" s="123" t="str">
        <f aca="false">IF(ISBLANK($C379),"",AND($BC379,OR(AND($AL379="",OR($AK379,NOT(ISBLANK($S379)))),$AM379="",$AN379="")))</f>
        <v/>
      </c>
      <c r="BE379" s="125" t="str">
        <f aca="false">IF($BL379&lt;&gt;Constants!$B$4,"",IF(NOT($BC379),"",ROUND((Constants!$B$12-$AB379)+(Constants!$B$13-$Z379)+(Constants!$B$14-$AA379),1)))</f>
        <v/>
      </c>
      <c r="BF379" s="127" t="str">
        <f aca="false">IF($BL379&lt;&gt;Constants!$B$4,"",IF(NOT($BC379),"",IF(NOT($AK379),0,Constants!$B$15*(INT(ROUND(MIN($AL379,$AP$9),6))-INT(ROUND(MAX(0,MIN($AL379,2*$AP$9)-$AP$9),6))))))</f>
        <v/>
      </c>
      <c r="BG379" s="127" t="str">
        <f aca="false">IF($BL379&lt;&gt;Constants!$B$4,"",IF(NOT($BC379),"",Constants!$B$16*$AM379))</f>
        <v/>
      </c>
      <c r="BH379" s="127" t="str">
        <f aca="false">IF($BL379&lt;&gt;Constants!$B$4,"",IF(NOT($BC379),"",Constants!$B$18*INT(ROUND($AN379,6))))</f>
        <v/>
      </c>
      <c r="BI379" s="123" t="str">
        <f aca="false">IF($BL379&lt;&gt;Constants!$B$4,"",IF(NOT($BC379),"",IF(NOT($X379),Constants!$B$11,IF(OR(NOT($AI379),NOT($AJ379),ROUND($AB379,1)&gt;Constants!$B$12,ROUND($Z379,1)&gt;Constants!$B$13,ROUND($AA379,1)&gt;Constants!$B$14),Constants!$B$10,Constants!$B$9))))</f>
        <v/>
      </c>
      <c r="BJ379" s="128" t="str">
        <f aca="false">IF($BL379&lt;&gt;Constants!$B$4,"",IF(NOT($BC379),"",ROUND($BE379+$BF379+$BG379+$BH379,1)))</f>
        <v/>
      </c>
      <c r="BK379" s="129" t="str">
        <f aca="false">IF($BL379&lt;&gt;Constants!$B$4,"",IF(NOT($BC379),"",IF(ISNUMBER($AL379),$AL379,0)))</f>
        <v/>
      </c>
      <c r="BL379" s="124" t="str">
        <f aca="false">IF(ISBLANK($C379),"",IF($AO379,Constants!$B$7,IF(COUNTA($E379:$V379)=0,Constants!$B$6,IF(NOT($Y379),Constants!$B$5,IF(NOT(OR($AS379,$BC379)),Constants!$B$5,IF(OR($AT379,$BD379,$AQ379,$AR379&lt;&gt;""),Constants!$B$8,Constants!$B$4))))))</f>
        <v/>
      </c>
      <c r="BM379" s="124" t="str">
        <f aca="false">IF(ISBLANK($C379),"",IF($BL379&lt;&gt;Constants!$B$4,$BL379,IF($BB379="-&gt;",$BI379,$AY379)))</f>
        <v/>
      </c>
      <c r="BN379" s="127" t="str">
        <f aca="false">IF($BL379&lt;&gt;Constants!$B$4,"",IF($BB379="-&gt;",$BJ379,$AZ379))</f>
        <v/>
      </c>
      <c r="BO379" s="127" t="str">
        <f aca="false">IF(ISBLANK($C379),"",IF($BL379&lt;&gt;Constants!$B$4,$BL379,$BN379))</f>
        <v/>
      </c>
      <c r="BP379" s="124" t="str">
        <f aca="false">IF(ISBLANK($C379),"",IF($BL379&lt;&gt;Constants!$B$4,$BL379,RANK($BO379,$BO$9:$BO$508,0)))</f>
        <v/>
      </c>
      <c r="BQ379" s="124" t="str">
        <f aca="false">IF(ISBLANK($C379),"",IF($BL379&lt;&gt;Constants!$B$4,$BL379,COUNTIFS($BM$9:$BM$508,"&lt;"&amp;$BM379)+COUNTIFS($BM$9:$BM$508,$BM379,$BP$9:$BP$508,"&lt;"&amp;$BP379)+1))</f>
        <v/>
      </c>
      <c r="BR379" s="127" t="str">
        <f aca="false">IF($BL379&lt;&gt;Constants!$B$4,"",IF($BB379="-&gt;",$BH379,$AX379))</f>
        <v/>
      </c>
      <c r="BS379" s="124" t="str">
        <f aca="false">IF(ISBLANK($C379),"",IF($BL379&lt;&gt;Constants!$B$4,$BL379,IF(ISNUMBER($BR379),RANK($BR379,$BR$9:$BR$508,0),COUNT($BR$9:$BR$508)+1)))</f>
        <v/>
      </c>
      <c r="BT379" s="127" t="str">
        <f aca="false">IF($BL379&lt;&gt;Constants!$B$4,"",IF($BB379="-&gt;",$BE379,$AU379))</f>
        <v/>
      </c>
      <c r="BU379" s="124" t="str">
        <f aca="false">IF(ISBLANK($C379),"",IF($BL379&lt;&gt;Constants!$B$4,$BL379,IF(ISNUMBER($BT379),RANK($BT379,$BT$9:$BT$508,0),COUNT($BT$9:$BT$508)+1)))</f>
        <v/>
      </c>
      <c r="BV379" s="127" t="str">
        <f aca="false">IF($BL379&lt;&gt;Constants!$B$4,"",IF($BB379="-&gt;",$BF379,$AV379))</f>
        <v/>
      </c>
      <c r="BW379" s="124" t="str">
        <f aca="false">IF(ISBLANK($C379),"",IF($BL379&lt;&gt;Constants!$B$4,$BL379,IF(ISNUMBER($BV379),RANK($BV379,$BV$9:$BV$508,0),COUNT($BV$9:$BV$508)+1)))</f>
        <v/>
      </c>
      <c r="BX379" s="127" t="str">
        <f aca="false">IF($BL379&lt;&gt;Constants!$B$4,"",IF($BB379="-&gt;",$BK379,$BA379))</f>
        <v/>
      </c>
      <c r="BY379" s="124" t="str">
        <f aca="false">IF(ISBLANK($C379),"",IF($BL379&lt;&gt;Constants!$B$4,$BL379,IF(ISNUMBER($BX379),RANK($BX379,$BX$9:$BX$508,0),COUNT($BX$9:$BX$508)+1)))</f>
        <v/>
      </c>
      <c r="BZ379" s="124" t="str">
        <f aca="false">IF(ISBLANK($C379),"",IF($BL379&lt;&gt;Constants!$B$4,$BL379,COUNTIFS($BM$9:$BM$508,"&lt;"&amp;$BM379)+COUNTIFS($BM$9:$BM$508,$BM379,$BP$9:$BP$508,"&lt;"&amp;$BP379)+COUNTIFS($BM$9:$BM$508,$BM379,$BP$9:$BP$508,$BP379,$BS$9:$BS$508,"&lt;"&amp;$BS379)+COUNTIFS($BM$9:$BM$508,$BM379,$BP$9:$BP$508,$BP379,$BS$9:$BS$508,$BS379,$BU$9:$BU$508,"&lt;"&amp;$BU379)+COUNTIFS($BM$9:$BM$508,$BM379,$BP$9:$BP$508,$BP379,$BS$9:$BS$508,$BS379,$BU$9:$BU$508,$BU379,$BW$9:$BW$508,"&lt;"&amp;$BW379)+COUNTIFS($BM$9:$BM$508,$BM379,$BP$9:$BP$508,$BP379,$BS$9:$BS$508,$BS379,$BU$9:$BU$508,$BU379,$BW$9:$BW$508,$BW379,$BY$9:$BY$508,"&lt;"&amp;$BY379)+1))</f>
        <v/>
      </c>
      <c r="CA379" s="124" t="str">
        <f aca="false">IF(ISBLANK($C379),"",IF($BL379&lt;&gt;Constants!$B$4,$BL379,$BQ379-$BZ379))</f>
        <v/>
      </c>
      <c r="CB379" s="130"/>
      <c r="CC379" s="131" t="str">
        <f aca="false">IF(ISBLANK($C379),"",IF($BL379=Constants!$B$8,$AR379,""))</f>
        <v/>
      </c>
      <c r="CD379" s="131" t="str">
        <f aca="false">IF(ISBLANK($C379),"",IF($BL379&lt;&gt;Constants!$B$4,"",IF($BB379="-&gt;",2,1)))</f>
        <v/>
      </c>
      <c r="CE379" s="132" t="str">
        <f aca="false">IF(ISBLANK($C379),"",IF($BL379&lt;&gt;Constants!$B$4,"",IF($BB379="-&gt;",$BE379,$AU379)))</f>
        <v/>
      </c>
      <c r="CF379" s="132" t="str">
        <f aca="false">IF(ISBLANK($C379),"",IF($BL379&lt;&gt;Constants!$B$4,"",IF($BB379="-&gt;",$BF379,$AV379)))</f>
        <v/>
      </c>
      <c r="CG379" s="132" t="str">
        <f aca="false">IF(ISBLANK($C379),"",IF($BL379&lt;&gt;Constants!$B$4,"",IF($BB379="-&gt;",$BG379,$AW379)))</f>
        <v/>
      </c>
      <c r="CH379" s="132" t="str">
        <f aca="false">IF(ISBLANK($C379),"",IF($BL379&lt;&gt;Constants!$B$4,"",IF($BB379="-&gt;",$BH379,$AX379)))</f>
        <v/>
      </c>
      <c r="CI379" s="133" t="str">
        <f aca="false">IF(ISBLANK($C379),"",$BO379)</f>
        <v/>
      </c>
      <c r="CJ379" s="134" t="str">
        <f aca="false">IF(ISBLANK($C379),"",$BM379)</f>
        <v/>
      </c>
      <c r="CK379" s="135" t="str">
        <f aca="false">IF(ISBLANK($C379),"",$CA379)</f>
        <v/>
      </c>
      <c r="CL379" s="135" t="str">
        <f aca="false">IF(ISBLANK($C379),"",$BZ379)</f>
        <v/>
      </c>
      <c r="CM379" s="136" t="str">
        <f aca="false">IF(ISBLANK($C379),"",IF($CL379=Constants!$B$7,COUNTA($C$9:$C$508)+2,IF($CL379=Constants!$B$6,COUNTA($C$9:$C$508)+1,IF($CL379=Constants!$B$5,COUNTA($C$9:$C$508),$CL379))))</f>
        <v/>
      </c>
      <c r="CN379" s="8"/>
      <c r="CO379" s="137" t="n">
        <f aca="false">IF(OR(ISNUMBER($CL379),$CL379=Constants!$B$7,$CL379=Constants!$B$5,$CL379=Constants!$B$6),1,0)</f>
        <v>0</v>
      </c>
      <c r="CP379" s="137" t="n">
        <v>371</v>
      </c>
      <c r="CQ379" s="137" t="str">
        <f aca="false">IF(ISBLANK($C379),"",IF(ISNUMBER($CM379),$CM379+ROW($B379)/1000,""))</f>
        <v/>
      </c>
      <c r="CR379" s="137" t="str">
        <f aca="false">IF(ISNUMBER($CQ379),RANK($CQ379,$CQ$9:$CQ$508,1),"")</f>
        <v/>
      </c>
      <c r="CS379" s="137" t="str">
        <f aca="false">IF(ISBLANK($C379),"",$B379)</f>
        <v/>
      </c>
      <c r="CT379" s="137" t="str">
        <f aca="false">IF(ISBLANK($C379),"",$C379)</f>
        <v/>
      </c>
      <c r="CU379" s="137" t="str">
        <f aca="false">IF(ISBLANK($C379),"",$D379)</f>
        <v/>
      </c>
      <c r="CV379" s="138" t="str">
        <f aca="false">$CJ379</f>
        <v/>
      </c>
      <c r="CW379" s="139" t="str">
        <f aca="false">$CI379</f>
        <v/>
      </c>
      <c r="CX379" s="137" t="str">
        <f aca="false">IF(ISBLANK($C379),"",$CL379)</f>
        <v/>
      </c>
      <c r="CY379" s="140" t="str">
        <f aca="false">IF($CP379&gt;$CO$8,"",VLOOKUP($CP379,$CR$9:$CX$508,7,FALSE()))</f>
        <v/>
      </c>
      <c r="CZ379" s="141" t="str">
        <f aca="false">IF($CP379&gt;$CO$8,"",VLOOKUP($CP379,$CR$9:$CX$508,2,FALSE()))</f>
        <v/>
      </c>
      <c r="DA379" s="141" t="str">
        <f aca="false">IF($CP379&gt;$CO$8,"",VLOOKUP($CP379,$CR$9:$CX$508,3,FALSE()))</f>
        <v/>
      </c>
      <c r="DB379" s="141" t="str">
        <f aca="false">IF($CP379&gt;$CO$8,"",VLOOKUP($CP379,$CR$9:$CX$508,4,FALSE()))</f>
        <v/>
      </c>
      <c r="DC379" s="141" t="str">
        <f aca="false">IF($CP379&gt;$CO$8,"",VLOOKUP($CP379,$CR$9:$CX$508,5,FALSE()))</f>
        <v/>
      </c>
      <c r="DD379" s="142" t="str">
        <f aca="false">IF($CP379&gt;$CO$8,"",VLOOKUP($CP379,$CR$9:$CX$508,6,FALSE()))</f>
        <v/>
      </c>
      <c r="DE379" s="70"/>
    </row>
    <row r="380" customFormat="false" ht="15.75" hidden="false" customHeight="false" outlineLevel="0" collapsed="false">
      <c r="A380" s="8"/>
      <c r="B380" s="146"/>
      <c r="C380" s="147"/>
      <c r="D380" s="148"/>
      <c r="E380" s="164"/>
      <c r="F380" s="150"/>
      <c r="G380" s="115"/>
      <c r="H380" s="115"/>
      <c r="I380" s="115"/>
      <c r="J380" s="165"/>
      <c r="K380" s="154"/>
      <c r="L380" s="154"/>
      <c r="M380" s="118"/>
      <c r="N380" s="154"/>
      <c r="O380" s="153"/>
      <c r="P380" s="154"/>
      <c r="Q380" s="154"/>
      <c r="R380" s="154"/>
      <c r="S380" s="115"/>
      <c r="T380" s="154"/>
      <c r="U380" s="153"/>
      <c r="V380" s="154"/>
      <c r="W380" s="123"/>
      <c r="X380" s="124" t="str">
        <f aca="false">IF(ISBLANK($C380),"",IF($E380=Constants!$B$2,TRUE(),IF($E380=Constants!$B$3,FALSE(),TRUE())))</f>
        <v/>
      </c>
      <c r="Y380" s="124" t="str">
        <f aca="false">IF(ISBLANK($C380),"",IF($F380=Constants!$B$2,TRUE(),IF($F380=Constants!$B$3,FALSE(),TRUE())))</f>
        <v/>
      </c>
      <c r="Z380" s="125" t="str">
        <f aca="false">IF(ISBLANK($C380),"",IF(ISNUMBER($G380),IF($G380&gt;=0,$G380,""),""))</f>
        <v/>
      </c>
      <c r="AA380" s="125" t="str">
        <f aca="false">IF(ISBLANK($C380),"",IF(ISNUMBER($H380),IF($H380&gt;=0,$H380,""),""))</f>
        <v/>
      </c>
      <c r="AB380" s="125" t="str">
        <f aca="false">IF(ISBLANK($C380),"",IF(ISNUMBER($I380),IF($I380&gt;=0,$I380,""),""))</f>
        <v/>
      </c>
      <c r="AC380" s="124" t="str">
        <f aca="false">IF(ISBLANK($C380),"",IF($J380=Constants!$B$2,TRUE(),IF($J380=Constants!$B$3,FALSE(),TRUE())))</f>
        <v/>
      </c>
      <c r="AD380" s="124" t="str">
        <f aca="false">IF(ISBLANK($C380),"",IF($K380=Constants!$B$2,TRUE(),IF($K380=Constants!$B$3,FALSE(),TRUE())))</f>
        <v/>
      </c>
      <c r="AE380" s="124" t="str">
        <f aca="false">IF(ISBLANK($C380),"",IF($L380=Constants!$B$2,TRUE(),IF($L380=Constants!$B$3,FALSE(),TRUE())))</f>
        <v/>
      </c>
      <c r="AF380" s="126" t="str">
        <f aca="false">IF(ISBLANK($C380),"",IF(ISNUMBER($M380),IF($M380&gt;=0,$M380,""),""))</f>
        <v/>
      </c>
      <c r="AG380" s="124" t="str">
        <f aca="false">IF(ISBLANK($C380),"",IF(ISBLANK($N380),0,IF(ISNUMBER($N380),IF(AND($N380&gt;=0,$N380&lt;=Constants!$B$17,$N380=INT($N380)),$N380,""),"")))</f>
        <v/>
      </c>
      <c r="AH380" s="125" t="str">
        <f aca="false">IF(ISBLANK($C380),"",IF(ISBLANK($O380),0,IF(ISNUMBER($O380),IF($O380&gt;=0,$O380,""),"")))</f>
        <v/>
      </c>
      <c r="AI380" s="124" t="str">
        <f aca="false">IF(ISBLANK($C380),"",IF($P380=Constants!$B$2,TRUE(),IF($P380=Constants!$B$3,FALSE(),TRUE())))</f>
        <v/>
      </c>
      <c r="AJ380" s="124" t="str">
        <f aca="false">IF(ISBLANK($C380),"",IF($Q380=Constants!$B$2,TRUE(),IF($Q380=Constants!$B$3,FALSE(),TRUE())))</f>
        <v/>
      </c>
      <c r="AK380" s="124" t="str">
        <f aca="false">IF(ISBLANK($C380),"",IF($R380=Constants!$B$2,TRUE(),IF($R380=Constants!$B$3,FALSE(),TRUE())))</f>
        <v/>
      </c>
      <c r="AL380" s="126" t="str">
        <f aca="false">IF(ISBLANK($C380),"",IF(ISNUMBER($S380),IF($S380&gt;=0,$S380,""),""))</f>
        <v/>
      </c>
      <c r="AM380" s="124" t="str">
        <f aca="false">IF(ISBLANK($C380),"",IF(ISBLANK($T380),0,IF(ISNUMBER($T380),IF(AND($T380&gt;=0,$T380&lt;=Constants!$B$17,$T380=INT($T380)),$T380,""),"")))</f>
        <v/>
      </c>
      <c r="AN380" s="125" t="str">
        <f aca="false">IF(ISBLANK($C380),"",IF(ISBLANK($U380),0,IF(ISNUMBER($U380),IF($U380&gt;=0,$U380,""),"")))</f>
        <v/>
      </c>
      <c r="AO380" s="124" t="str">
        <f aca="false">IF(ISBLANK($C380),"",IF($V380=Constants!$B$2,TRUE(),IF($V380=Constants!$B$3,FALSE(),FALSE())))</f>
        <v/>
      </c>
      <c r="AP380" s="124"/>
      <c r="AQ380" s="123" t="str">
        <f aca="false">IF(ISBLANK($C380),"",AND($Y380,OR($AS380,$BC380),OR($Z380="",$AA380="",$AB380="")))</f>
        <v/>
      </c>
      <c r="AR380" s="123" t="str">
        <f aca="false">IF(ISBLANK($C380),"",IF(OR(NOT($Y380),NOT(OR($AS380,$BC380))),"",IF(ISBLANK($D$7),$AR$5,IF($AP$9="",$AR$6,""))))</f>
        <v/>
      </c>
      <c r="AS380" s="123" t="str">
        <f aca="false">IF(ISBLANK($C380),"",COUNTA($J380:$O380)&gt;0)</f>
        <v/>
      </c>
      <c r="AT380" s="123" t="str">
        <f aca="false">IF(ISBLANK($C380),"",AND($AS380,OR(AND($AF380="",OR($AE380,NOT(ISBLANK($M380)))),$AG380="",$AH380="")))</f>
        <v/>
      </c>
      <c r="AU380" s="125" t="str">
        <f aca="false">IF($BL380&lt;&gt;Constants!$B$4,"",IF(NOT($AS380),"",ROUND((Constants!$B$12-$AB380)+(Constants!$B$13-$Z380)+(Constants!$B$14-$AA380),1)))</f>
        <v/>
      </c>
      <c r="AV380" s="127" t="str">
        <f aca="false">IF($BL380&lt;&gt;Constants!$B$4,"",IF(NOT($AS380),"",IF(NOT($AE380),0,Constants!$B$15*(INT(ROUND(MIN($AF380,$AP$9),6))-INT(ROUND(MAX(0,MIN($AF380,2*$AP$9)-$AP$9),6))))))</f>
        <v/>
      </c>
      <c r="AW380" s="127" t="str">
        <f aca="false">IF($BL380&lt;&gt;Constants!$B$4,"",IF(NOT($AS380),"",Constants!$B$16*$AG380))</f>
        <v/>
      </c>
      <c r="AX380" s="127" t="str">
        <f aca="false">IF($BL380&lt;&gt;Constants!$B$4,"",IF(NOT($AS380),"",Constants!$B$18*INT(ROUND($AH380,6))))</f>
        <v/>
      </c>
      <c r="AY380" s="123" t="str">
        <f aca="false">IF($BL380&lt;&gt;Constants!$B$4,"",IF(NOT($AS380),"",IF(NOT($X380),Constants!$B$11,IF(OR(NOT($AC380),NOT($AD380),ROUND($AB380,1)&gt;Constants!$B$12,ROUND($Z380,1)&gt;Constants!$B$13,ROUND($AA380,1)&gt;Constants!$B$14),Constants!$B$10,Constants!$B$9))))</f>
        <v/>
      </c>
      <c r="AZ380" s="128" t="str">
        <f aca="false">IF($BL380&lt;&gt;Constants!$B$4,"",IF(NOT($AS380),"",ROUND($AU380+$AV380+$AW380+$AX380,1)))</f>
        <v/>
      </c>
      <c r="BA380" s="129" t="str">
        <f aca="false">IF($BL380&lt;&gt;Constants!$B$4,"",IF(NOT($AS380),"",IF(ISNUMBER($AF380),$AF380,0)))</f>
        <v/>
      </c>
      <c r="BB380" s="124" t="str">
        <f aca="false">IF($BL380&lt;&gt;Constants!$B$4,"",IF(NOT($BC380),"&lt;-",IF(NOT($AS380),"-&gt;",IF(OR($BI380&lt;$AY380,AND($BI380=$AY380,OR($BJ380&gt;$AZ380,AND($BJ380=$AZ380,OR($BH380&gt;$AX380,AND($BH380=$AX380,OR($BE380&gt;$AU380,AND($BE380=$AU380,OR($BF380&gt;$AV380,AND($BF380=$AV380,$BK380&gt;$BA380)))))))))),"-&gt;","&lt;-"))))</f>
        <v/>
      </c>
      <c r="BC380" s="123" t="str">
        <f aca="false">IF(ISBLANK($C380),"",COUNTA($P380:$U380)&gt;0)</f>
        <v/>
      </c>
      <c r="BD380" s="123" t="str">
        <f aca="false">IF(ISBLANK($C380),"",AND($BC380,OR(AND($AL380="",OR($AK380,NOT(ISBLANK($S380)))),$AM380="",$AN380="")))</f>
        <v/>
      </c>
      <c r="BE380" s="125" t="str">
        <f aca="false">IF($BL380&lt;&gt;Constants!$B$4,"",IF(NOT($BC380),"",ROUND((Constants!$B$12-$AB380)+(Constants!$B$13-$Z380)+(Constants!$B$14-$AA380),1)))</f>
        <v/>
      </c>
      <c r="BF380" s="127" t="str">
        <f aca="false">IF($BL380&lt;&gt;Constants!$B$4,"",IF(NOT($BC380),"",IF(NOT($AK380),0,Constants!$B$15*(INT(ROUND(MIN($AL380,$AP$9),6))-INT(ROUND(MAX(0,MIN($AL380,2*$AP$9)-$AP$9),6))))))</f>
        <v/>
      </c>
      <c r="BG380" s="127" t="str">
        <f aca="false">IF($BL380&lt;&gt;Constants!$B$4,"",IF(NOT($BC380),"",Constants!$B$16*$AM380))</f>
        <v/>
      </c>
      <c r="BH380" s="127" t="str">
        <f aca="false">IF($BL380&lt;&gt;Constants!$B$4,"",IF(NOT($BC380),"",Constants!$B$18*INT(ROUND($AN380,6))))</f>
        <v/>
      </c>
      <c r="BI380" s="123" t="str">
        <f aca="false">IF($BL380&lt;&gt;Constants!$B$4,"",IF(NOT($BC380),"",IF(NOT($X380),Constants!$B$11,IF(OR(NOT($AI380),NOT($AJ380),ROUND($AB380,1)&gt;Constants!$B$12,ROUND($Z380,1)&gt;Constants!$B$13,ROUND($AA380,1)&gt;Constants!$B$14),Constants!$B$10,Constants!$B$9))))</f>
        <v/>
      </c>
      <c r="BJ380" s="128" t="str">
        <f aca="false">IF($BL380&lt;&gt;Constants!$B$4,"",IF(NOT($BC380),"",ROUND($BE380+$BF380+$BG380+$BH380,1)))</f>
        <v/>
      </c>
      <c r="BK380" s="129" t="str">
        <f aca="false">IF($BL380&lt;&gt;Constants!$B$4,"",IF(NOT($BC380),"",IF(ISNUMBER($AL380),$AL380,0)))</f>
        <v/>
      </c>
      <c r="BL380" s="124" t="str">
        <f aca="false">IF(ISBLANK($C380),"",IF($AO380,Constants!$B$7,IF(COUNTA($E380:$V380)=0,Constants!$B$6,IF(NOT($Y380),Constants!$B$5,IF(NOT(OR($AS380,$BC380)),Constants!$B$5,IF(OR($AT380,$BD380,$AQ380,$AR380&lt;&gt;""),Constants!$B$8,Constants!$B$4))))))</f>
        <v/>
      </c>
      <c r="BM380" s="124" t="str">
        <f aca="false">IF(ISBLANK($C380),"",IF($BL380&lt;&gt;Constants!$B$4,$BL380,IF($BB380="-&gt;",$BI380,$AY380)))</f>
        <v/>
      </c>
      <c r="BN380" s="127" t="str">
        <f aca="false">IF($BL380&lt;&gt;Constants!$B$4,"",IF($BB380="-&gt;",$BJ380,$AZ380))</f>
        <v/>
      </c>
      <c r="BO380" s="127" t="str">
        <f aca="false">IF(ISBLANK($C380),"",IF($BL380&lt;&gt;Constants!$B$4,$BL380,$BN380))</f>
        <v/>
      </c>
      <c r="BP380" s="124" t="str">
        <f aca="false">IF(ISBLANK($C380),"",IF($BL380&lt;&gt;Constants!$B$4,$BL380,RANK($BO380,$BO$9:$BO$508,0)))</f>
        <v/>
      </c>
      <c r="BQ380" s="124" t="str">
        <f aca="false">IF(ISBLANK($C380),"",IF($BL380&lt;&gt;Constants!$B$4,$BL380,COUNTIFS($BM$9:$BM$508,"&lt;"&amp;$BM380)+COUNTIFS($BM$9:$BM$508,$BM380,$BP$9:$BP$508,"&lt;"&amp;$BP380)+1))</f>
        <v/>
      </c>
      <c r="BR380" s="127" t="str">
        <f aca="false">IF($BL380&lt;&gt;Constants!$B$4,"",IF($BB380="-&gt;",$BH380,$AX380))</f>
        <v/>
      </c>
      <c r="BS380" s="124" t="str">
        <f aca="false">IF(ISBLANK($C380),"",IF($BL380&lt;&gt;Constants!$B$4,$BL380,IF(ISNUMBER($BR380),RANK($BR380,$BR$9:$BR$508,0),COUNT($BR$9:$BR$508)+1)))</f>
        <v/>
      </c>
      <c r="BT380" s="127" t="str">
        <f aca="false">IF($BL380&lt;&gt;Constants!$B$4,"",IF($BB380="-&gt;",$BE380,$AU380))</f>
        <v/>
      </c>
      <c r="BU380" s="124" t="str">
        <f aca="false">IF(ISBLANK($C380),"",IF($BL380&lt;&gt;Constants!$B$4,$BL380,IF(ISNUMBER($BT380),RANK($BT380,$BT$9:$BT$508,0),COUNT($BT$9:$BT$508)+1)))</f>
        <v/>
      </c>
      <c r="BV380" s="127" t="str">
        <f aca="false">IF($BL380&lt;&gt;Constants!$B$4,"",IF($BB380="-&gt;",$BF380,$AV380))</f>
        <v/>
      </c>
      <c r="BW380" s="124" t="str">
        <f aca="false">IF(ISBLANK($C380),"",IF($BL380&lt;&gt;Constants!$B$4,$BL380,IF(ISNUMBER($BV380),RANK($BV380,$BV$9:$BV$508,0),COUNT($BV$9:$BV$508)+1)))</f>
        <v/>
      </c>
      <c r="BX380" s="127" t="str">
        <f aca="false">IF($BL380&lt;&gt;Constants!$B$4,"",IF($BB380="-&gt;",$BK380,$BA380))</f>
        <v/>
      </c>
      <c r="BY380" s="124" t="str">
        <f aca="false">IF(ISBLANK($C380),"",IF($BL380&lt;&gt;Constants!$B$4,$BL380,IF(ISNUMBER($BX380),RANK($BX380,$BX$9:$BX$508,0),COUNT($BX$9:$BX$508)+1)))</f>
        <v/>
      </c>
      <c r="BZ380" s="124" t="str">
        <f aca="false">IF(ISBLANK($C380),"",IF($BL380&lt;&gt;Constants!$B$4,$BL380,COUNTIFS($BM$9:$BM$508,"&lt;"&amp;$BM380)+COUNTIFS($BM$9:$BM$508,$BM380,$BP$9:$BP$508,"&lt;"&amp;$BP380)+COUNTIFS($BM$9:$BM$508,$BM380,$BP$9:$BP$508,$BP380,$BS$9:$BS$508,"&lt;"&amp;$BS380)+COUNTIFS($BM$9:$BM$508,$BM380,$BP$9:$BP$508,$BP380,$BS$9:$BS$508,$BS380,$BU$9:$BU$508,"&lt;"&amp;$BU380)+COUNTIFS($BM$9:$BM$508,$BM380,$BP$9:$BP$508,$BP380,$BS$9:$BS$508,$BS380,$BU$9:$BU$508,$BU380,$BW$9:$BW$508,"&lt;"&amp;$BW380)+COUNTIFS($BM$9:$BM$508,$BM380,$BP$9:$BP$508,$BP380,$BS$9:$BS$508,$BS380,$BU$9:$BU$508,$BU380,$BW$9:$BW$508,$BW380,$BY$9:$BY$508,"&lt;"&amp;$BY380)+1))</f>
        <v/>
      </c>
      <c r="CA380" s="124" t="str">
        <f aca="false">IF(ISBLANK($C380),"",IF($BL380&lt;&gt;Constants!$B$4,$BL380,$BQ380-$BZ380))</f>
        <v/>
      </c>
      <c r="CB380" s="130"/>
      <c r="CC380" s="131" t="str">
        <f aca="false">IF(ISBLANK($C380),"",IF($BL380=Constants!$B$8,$AR380,""))</f>
        <v/>
      </c>
      <c r="CD380" s="131" t="str">
        <f aca="false">IF(ISBLANK($C380),"",IF($BL380&lt;&gt;Constants!$B$4,"",IF($BB380="-&gt;",2,1)))</f>
        <v/>
      </c>
      <c r="CE380" s="132" t="str">
        <f aca="false">IF(ISBLANK($C380),"",IF($BL380&lt;&gt;Constants!$B$4,"",IF($BB380="-&gt;",$BE380,$AU380)))</f>
        <v/>
      </c>
      <c r="CF380" s="132" t="str">
        <f aca="false">IF(ISBLANK($C380),"",IF($BL380&lt;&gt;Constants!$B$4,"",IF($BB380="-&gt;",$BF380,$AV380)))</f>
        <v/>
      </c>
      <c r="CG380" s="132" t="str">
        <f aca="false">IF(ISBLANK($C380),"",IF($BL380&lt;&gt;Constants!$B$4,"",IF($BB380="-&gt;",$BG380,$AW380)))</f>
        <v/>
      </c>
      <c r="CH380" s="132" t="str">
        <f aca="false">IF(ISBLANK($C380),"",IF($BL380&lt;&gt;Constants!$B$4,"",IF($BB380="-&gt;",$BH380,$AX380)))</f>
        <v/>
      </c>
      <c r="CI380" s="133" t="str">
        <f aca="false">IF(ISBLANK($C380),"",$BO380)</f>
        <v/>
      </c>
      <c r="CJ380" s="134" t="str">
        <f aca="false">IF(ISBLANK($C380),"",$BM380)</f>
        <v/>
      </c>
      <c r="CK380" s="135" t="str">
        <f aca="false">IF(ISBLANK($C380),"",$CA380)</f>
        <v/>
      </c>
      <c r="CL380" s="135" t="str">
        <f aca="false">IF(ISBLANK($C380),"",$BZ380)</f>
        <v/>
      </c>
      <c r="CM380" s="136" t="str">
        <f aca="false">IF(ISBLANK($C380),"",IF($CL380=Constants!$B$7,COUNTA($C$9:$C$508)+2,IF($CL380=Constants!$B$6,COUNTA($C$9:$C$508)+1,IF($CL380=Constants!$B$5,COUNTA($C$9:$C$508),$CL380))))</f>
        <v/>
      </c>
      <c r="CN380" s="8"/>
      <c r="CO380" s="137" t="n">
        <f aca="false">IF(OR(ISNUMBER($CL380),$CL380=Constants!$B$7,$CL380=Constants!$B$5,$CL380=Constants!$B$6),1,0)</f>
        <v>0</v>
      </c>
      <c r="CP380" s="137" t="n">
        <v>372</v>
      </c>
      <c r="CQ380" s="137" t="str">
        <f aca="false">IF(ISBLANK($C380),"",IF(ISNUMBER($CM380),$CM380+ROW($B380)/1000,""))</f>
        <v/>
      </c>
      <c r="CR380" s="137" t="str">
        <f aca="false">IF(ISNUMBER($CQ380),RANK($CQ380,$CQ$9:$CQ$508,1),"")</f>
        <v/>
      </c>
      <c r="CS380" s="137" t="str">
        <f aca="false">IF(ISBLANK($C380),"",$B380)</f>
        <v/>
      </c>
      <c r="CT380" s="137" t="str">
        <f aca="false">IF(ISBLANK($C380),"",$C380)</f>
        <v/>
      </c>
      <c r="CU380" s="137" t="str">
        <f aca="false">IF(ISBLANK($C380),"",$D380)</f>
        <v/>
      </c>
      <c r="CV380" s="138" t="str">
        <f aca="false">$CJ380</f>
        <v/>
      </c>
      <c r="CW380" s="139" t="str">
        <f aca="false">$CI380</f>
        <v/>
      </c>
      <c r="CX380" s="137" t="str">
        <f aca="false">IF(ISBLANK($C380),"",$CL380)</f>
        <v/>
      </c>
      <c r="CY380" s="140" t="str">
        <f aca="false">IF($CP380&gt;$CO$8,"",VLOOKUP($CP380,$CR$9:$CX$508,7,FALSE()))</f>
        <v/>
      </c>
      <c r="CZ380" s="141" t="str">
        <f aca="false">IF($CP380&gt;$CO$8,"",VLOOKUP($CP380,$CR$9:$CX$508,2,FALSE()))</f>
        <v/>
      </c>
      <c r="DA380" s="141" t="str">
        <f aca="false">IF($CP380&gt;$CO$8,"",VLOOKUP($CP380,$CR$9:$CX$508,3,FALSE()))</f>
        <v/>
      </c>
      <c r="DB380" s="141" t="str">
        <f aca="false">IF($CP380&gt;$CO$8,"",VLOOKUP($CP380,$CR$9:$CX$508,4,FALSE()))</f>
        <v/>
      </c>
      <c r="DC380" s="141" t="str">
        <f aca="false">IF($CP380&gt;$CO$8,"",VLOOKUP($CP380,$CR$9:$CX$508,5,FALSE()))</f>
        <v/>
      </c>
      <c r="DD380" s="142" t="str">
        <f aca="false">IF($CP380&gt;$CO$8,"",VLOOKUP($CP380,$CR$9:$CX$508,6,FALSE()))</f>
        <v/>
      </c>
      <c r="DE380" s="70"/>
    </row>
    <row r="381" customFormat="false" ht="15.75" hidden="false" customHeight="false" outlineLevel="0" collapsed="false">
      <c r="A381" s="8"/>
      <c r="B381" s="72"/>
      <c r="C381" s="73"/>
      <c r="D381" s="155"/>
      <c r="E381" s="162"/>
      <c r="F381" s="157"/>
      <c r="G381" s="77"/>
      <c r="H381" s="77"/>
      <c r="I381" s="77"/>
      <c r="J381" s="163"/>
      <c r="K381" s="161"/>
      <c r="L381" s="161"/>
      <c r="M381" s="80"/>
      <c r="N381" s="161"/>
      <c r="O381" s="160"/>
      <c r="P381" s="161"/>
      <c r="Q381" s="161"/>
      <c r="R381" s="161"/>
      <c r="S381" s="77"/>
      <c r="T381" s="161"/>
      <c r="U381" s="160"/>
      <c r="V381" s="161"/>
      <c r="W381" s="85"/>
      <c r="X381" s="86" t="str">
        <f aca="false">IF(ISBLANK($C381),"",IF($E381=Constants!$B$2,TRUE(),IF($E381=Constants!$B$3,FALSE(),TRUE())))</f>
        <v/>
      </c>
      <c r="Y381" s="86" t="str">
        <f aca="false">IF(ISBLANK($C381),"",IF($F381=Constants!$B$2,TRUE(),IF($F381=Constants!$B$3,FALSE(),TRUE())))</f>
        <v/>
      </c>
      <c r="Z381" s="87" t="str">
        <f aca="false">IF(ISBLANK($C381),"",IF(ISNUMBER($G381),IF($G381&gt;=0,$G381,""),""))</f>
        <v/>
      </c>
      <c r="AA381" s="87" t="str">
        <f aca="false">IF(ISBLANK($C381),"",IF(ISNUMBER($H381),IF($H381&gt;=0,$H381,""),""))</f>
        <v/>
      </c>
      <c r="AB381" s="87" t="str">
        <f aca="false">IF(ISBLANK($C381),"",IF(ISNUMBER($I381),IF($I381&gt;=0,$I381,""),""))</f>
        <v/>
      </c>
      <c r="AC381" s="86" t="str">
        <f aca="false">IF(ISBLANK($C381),"",IF($J381=Constants!$B$2,TRUE(),IF($J381=Constants!$B$3,FALSE(),TRUE())))</f>
        <v/>
      </c>
      <c r="AD381" s="86" t="str">
        <f aca="false">IF(ISBLANK($C381),"",IF($K381=Constants!$B$2,TRUE(),IF($K381=Constants!$B$3,FALSE(),TRUE())))</f>
        <v/>
      </c>
      <c r="AE381" s="86" t="str">
        <f aca="false">IF(ISBLANK($C381),"",IF($L381=Constants!$B$2,TRUE(),IF($L381=Constants!$B$3,FALSE(),TRUE())))</f>
        <v/>
      </c>
      <c r="AF381" s="88" t="str">
        <f aca="false">IF(ISBLANK($C381),"",IF(ISNUMBER($M381),IF($M381&gt;=0,$M381,""),""))</f>
        <v/>
      </c>
      <c r="AG381" s="86" t="str">
        <f aca="false">IF(ISBLANK($C381),"",IF(ISBLANK($N381),0,IF(ISNUMBER($N381),IF(AND($N381&gt;=0,$N381&lt;=Constants!$B$17,$N381=INT($N381)),$N381,""),"")))</f>
        <v/>
      </c>
      <c r="AH381" s="87" t="str">
        <f aca="false">IF(ISBLANK($C381),"",IF(ISBLANK($O381),0,IF(ISNUMBER($O381),IF($O381&gt;=0,$O381,""),"")))</f>
        <v/>
      </c>
      <c r="AI381" s="86" t="str">
        <f aca="false">IF(ISBLANK($C381),"",IF($P381=Constants!$B$2,TRUE(),IF($P381=Constants!$B$3,FALSE(),TRUE())))</f>
        <v/>
      </c>
      <c r="AJ381" s="86" t="str">
        <f aca="false">IF(ISBLANK($C381),"",IF($Q381=Constants!$B$2,TRUE(),IF($Q381=Constants!$B$3,FALSE(),TRUE())))</f>
        <v/>
      </c>
      <c r="AK381" s="86" t="str">
        <f aca="false">IF(ISBLANK($C381),"",IF($R381=Constants!$B$2,TRUE(),IF($R381=Constants!$B$3,FALSE(),TRUE())))</f>
        <v/>
      </c>
      <c r="AL381" s="88" t="str">
        <f aca="false">IF(ISBLANK($C381),"",IF(ISNUMBER($S381),IF($S381&gt;=0,$S381,""),""))</f>
        <v/>
      </c>
      <c r="AM381" s="86" t="str">
        <f aca="false">IF(ISBLANK($C381),"",IF(ISBLANK($T381),0,IF(ISNUMBER($T381),IF(AND($T381&gt;=0,$T381&lt;=Constants!$B$17,$T381=INT($T381)),$T381,""),"")))</f>
        <v/>
      </c>
      <c r="AN381" s="87" t="str">
        <f aca="false">IF(ISBLANK($C381),"",IF(ISBLANK($U381),0,IF(ISNUMBER($U381),IF($U381&gt;=0,$U381,""),"")))</f>
        <v/>
      </c>
      <c r="AO381" s="86" t="str">
        <f aca="false">IF(ISBLANK($C381),"",IF($V381=Constants!$B$2,TRUE(),IF($V381=Constants!$B$3,FALSE(),FALSE())))</f>
        <v/>
      </c>
      <c r="AP381" s="86"/>
      <c r="AQ381" s="85" t="str">
        <f aca="false">IF(ISBLANK($C381),"",AND($Y381,OR($AS381,$BC381),OR($Z381="",$AA381="",$AB381="")))</f>
        <v/>
      </c>
      <c r="AR381" s="85" t="str">
        <f aca="false">IF(ISBLANK($C381),"",IF(OR(NOT($Y381),NOT(OR($AS381,$BC381))),"",IF(ISBLANK($D$7),$AR$5,IF($AP$9="",$AR$6,""))))</f>
        <v/>
      </c>
      <c r="AS381" s="85" t="str">
        <f aca="false">IF(ISBLANK($C381),"",COUNTA($J381:$O381)&gt;0)</f>
        <v/>
      </c>
      <c r="AT381" s="85" t="str">
        <f aca="false">IF(ISBLANK($C381),"",AND($AS381,OR(AND($AF381="",OR($AE381,NOT(ISBLANK($M381)))),$AG381="",$AH381="")))</f>
        <v/>
      </c>
      <c r="AU381" s="87" t="str">
        <f aca="false">IF($BL381&lt;&gt;Constants!$B$4,"",IF(NOT($AS381),"",ROUND((Constants!$B$12-$AB381)+(Constants!$B$13-$Z381)+(Constants!$B$14-$AA381),1)))</f>
        <v/>
      </c>
      <c r="AV381" s="90" t="str">
        <f aca="false">IF($BL381&lt;&gt;Constants!$B$4,"",IF(NOT($AS381),"",IF(NOT($AE381),0,Constants!$B$15*(INT(ROUND(MIN($AF381,$AP$9),6))-INT(ROUND(MAX(0,MIN($AF381,2*$AP$9)-$AP$9),6))))))</f>
        <v/>
      </c>
      <c r="AW381" s="90" t="str">
        <f aca="false">IF($BL381&lt;&gt;Constants!$B$4,"",IF(NOT($AS381),"",Constants!$B$16*$AG381))</f>
        <v/>
      </c>
      <c r="AX381" s="90" t="str">
        <f aca="false">IF($BL381&lt;&gt;Constants!$B$4,"",IF(NOT($AS381),"",Constants!$B$18*INT(ROUND($AH381,6))))</f>
        <v/>
      </c>
      <c r="AY381" s="85" t="str">
        <f aca="false">IF($BL381&lt;&gt;Constants!$B$4,"",IF(NOT($AS381),"",IF(NOT($X381),Constants!$B$11,IF(OR(NOT($AC381),NOT($AD381),ROUND($AB381,1)&gt;Constants!$B$12,ROUND($Z381,1)&gt;Constants!$B$13,ROUND($AA381,1)&gt;Constants!$B$14),Constants!$B$10,Constants!$B$9))))</f>
        <v/>
      </c>
      <c r="AZ381" s="91" t="str">
        <f aca="false">IF($BL381&lt;&gt;Constants!$B$4,"",IF(NOT($AS381),"",ROUND($AU381+$AV381+$AW381+$AX381,1)))</f>
        <v/>
      </c>
      <c r="BA381" s="92" t="str">
        <f aca="false">IF($BL381&lt;&gt;Constants!$B$4,"",IF(NOT($AS381),"",IF(ISNUMBER($AF381),$AF381,0)))</f>
        <v/>
      </c>
      <c r="BB381" s="86" t="str">
        <f aca="false">IF($BL381&lt;&gt;Constants!$B$4,"",IF(NOT($BC381),"&lt;-",IF(NOT($AS381),"-&gt;",IF(OR($BI381&lt;$AY381,AND($BI381=$AY381,OR($BJ381&gt;$AZ381,AND($BJ381=$AZ381,OR($BH381&gt;$AX381,AND($BH381=$AX381,OR($BE381&gt;$AU381,AND($BE381=$AU381,OR($BF381&gt;$AV381,AND($BF381=$AV381,$BK381&gt;$BA381)))))))))),"-&gt;","&lt;-"))))</f>
        <v/>
      </c>
      <c r="BC381" s="85" t="str">
        <f aca="false">IF(ISBLANK($C381),"",COUNTA($P381:$U381)&gt;0)</f>
        <v/>
      </c>
      <c r="BD381" s="85" t="str">
        <f aca="false">IF(ISBLANK($C381),"",AND($BC381,OR(AND($AL381="",OR($AK381,NOT(ISBLANK($S381)))),$AM381="",$AN381="")))</f>
        <v/>
      </c>
      <c r="BE381" s="87" t="str">
        <f aca="false">IF($BL381&lt;&gt;Constants!$B$4,"",IF(NOT($BC381),"",ROUND((Constants!$B$12-$AB381)+(Constants!$B$13-$Z381)+(Constants!$B$14-$AA381),1)))</f>
        <v/>
      </c>
      <c r="BF381" s="90" t="str">
        <f aca="false">IF($BL381&lt;&gt;Constants!$B$4,"",IF(NOT($BC381),"",IF(NOT($AK381),0,Constants!$B$15*(INT(ROUND(MIN($AL381,$AP$9),6))-INT(ROUND(MAX(0,MIN($AL381,2*$AP$9)-$AP$9),6))))))</f>
        <v/>
      </c>
      <c r="BG381" s="90" t="str">
        <f aca="false">IF($BL381&lt;&gt;Constants!$B$4,"",IF(NOT($BC381),"",Constants!$B$16*$AM381))</f>
        <v/>
      </c>
      <c r="BH381" s="90" t="str">
        <f aca="false">IF($BL381&lt;&gt;Constants!$B$4,"",IF(NOT($BC381),"",Constants!$B$18*INT(ROUND($AN381,6))))</f>
        <v/>
      </c>
      <c r="BI381" s="85" t="str">
        <f aca="false">IF($BL381&lt;&gt;Constants!$B$4,"",IF(NOT($BC381),"",IF(NOT($X381),Constants!$B$11,IF(OR(NOT($AI381),NOT($AJ381),ROUND($AB381,1)&gt;Constants!$B$12,ROUND($Z381,1)&gt;Constants!$B$13,ROUND($AA381,1)&gt;Constants!$B$14),Constants!$B$10,Constants!$B$9))))</f>
        <v/>
      </c>
      <c r="BJ381" s="91" t="str">
        <f aca="false">IF($BL381&lt;&gt;Constants!$B$4,"",IF(NOT($BC381),"",ROUND($BE381+$BF381+$BG381+$BH381,1)))</f>
        <v/>
      </c>
      <c r="BK381" s="92" t="str">
        <f aca="false">IF($BL381&lt;&gt;Constants!$B$4,"",IF(NOT($BC381),"",IF(ISNUMBER($AL381),$AL381,0)))</f>
        <v/>
      </c>
      <c r="BL381" s="86" t="str">
        <f aca="false">IF(ISBLANK($C381),"",IF($AO381,Constants!$B$7,IF(COUNTA($E381:$V381)=0,Constants!$B$6,IF(NOT($Y381),Constants!$B$5,IF(NOT(OR($AS381,$BC381)),Constants!$B$5,IF(OR($AT381,$BD381,$AQ381,$AR381&lt;&gt;""),Constants!$B$8,Constants!$B$4))))))</f>
        <v/>
      </c>
      <c r="BM381" s="86" t="str">
        <f aca="false">IF(ISBLANK($C381),"",IF($BL381&lt;&gt;Constants!$B$4,$BL381,IF($BB381="-&gt;",$BI381,$AY381)))</f>
        <v/>
      </c>
      <c r="BN381" s="90" t="str">
        <f aca="false">IF($BL381&lt;&gt;Constants!$B$4,"",IF($BB381="-&gt;",$BJ381,$AZ381))</f>
        <v/>
      </c>
      <c r="BO381" s="90" t="str">
        <f aca="false">IF(ISBLANK($C381),"",IF($BL381&lt;&gt;Constants!$B$4,$BL381,$BN381))</f>
        <v/>
      </c>
      <c r="BP381" s="86" t="str">
        <f aca="false">IF(ISBLANK($C381),"",IF($BL381&lt;&gt;Constants!$B$4,$BL381,RANK($BO381,$BO$9:$BO$508,0)))</f>
        <v/>
      </c>
      <c r="BQ381" s="86" t="str">
        <f aca="false">IF(ISBLANK($C381),"",IF($BL381&lt;&gt;Constants!$B$4,$BL381,COUNTIFS($BM$9:$BM$508,"&lt;"&amp;$BM381)+COUNTIFS($BM$9:$BM$508,$BM381,$BP$9:$BP$508,"&lt;"&amp;$BP381)+1))</f>
        <v/>
      </c>
      <c r="BR381" s="90" t="str">
        <f aca="false">IF($BL381&lt;&gt;Constants!$B$4,"",IF($BB381="-&gt;",$BH381,$AX381))</f>
        <v/>
      </c>
      <c r="BS381" s="86" t="str">
        <f aca="false">IF(ISBLANK($C381),"",IF($BL381&lt;&gt;Constants!$B$4,$BL381,IF(ISNUMBER($BR381),RANK($BR381,$BR$9:$BR$508,0),COUNT($BR$9:$BR$508)+1)))</f>
        <v/>
      </c>
      <c r="BT381" s="90" t="str">
        <f aca="false">IF($BL381&lt;&gt;Constants!$B$4,"",IF($BB381="-&gt;",$BE381,$AU381))</f>
        <v/>
      </c>
      <c r="BU381" s="86" t="str">
        <f aca="false">IF(ISBLANK($C381),"",IF($BL381&lt;&gt;Constants!$B$4,$BL381,IF(ISNUMBER($BT381),RANK($BT381,$BT$9:$BT$508,0),COUNT($BT$9:$BT$508)+1)))</f>
        <v/>
      </c>
      <c r="BV381" s="90" t="str">
        <f aca="false">IF($BL381&lt;&gt;Constants!$B$4,"",IF($BB381="-&gt;",$BF381,$AV381))</f>
        <v/>
      </c>
      <c r="BW381" s="86" t="str">
        <f aca="false">IF(ISBLANK($C381),"",IF($BL381&lt;&gt;Constants!$B$4,$BL381,IF(ISNUMBER($BV381),RANK($BV381,$BV$9:$BV$508,0),COUNT($BV$9:$BV$508)+1)))</f>
        <v/>
      </c>
      <c r="BX381" s="90" t="str">
        <f aca="false">IF($BL381&lt;&gt;Constants!$B$4,"",IF($BB381="-&gt;",$BK381,$BA381))</f>
        <v/>
      </c>
      <c r="BY381" s="86" t="str">
        <f aca="false">IF(ISBLANK($C381),"",IF($BL381&lt;&gt;Constants!$B$4,$BL381,IF(ISNUMBER($BX381),RANK($BX381,$BX$9:$BX$508,0),COUNT($BX$9:$BX$508)+1)))</f>
        <v/>
      </c>
      <c r="BZ381" s="86" t="str">
        <f aca="false">IF(ISBLANK($C381),"",IF($BL381&lt;&gt;Constants!$B$4,$BL381,COUNTIFS($BM$9:$BM$508,"&lt;"&amp;$BM381)+COUNTIFS($BM$9:$BM$508,$BM381,$BP$9:$BP$508,"&lt;"&amp;$BP381)+COUNTIFS($BM$9:$BM$508,$BM381,$BP$9:$BP$508,$BP381,$BS$9:$BS$508,"&lt;"&amp;$BS381)+COUNTIFS($BM$9:$BM$508,$BM381,$BP$9:$BP$508,$BP381,$BS$9:$BS$508,$BS381,$BU$9:$BU$508,"&lt;"&amp;$BU381)+COUNTIFS($BM$9:$BM$508,$BM381,$BP$9:$BP$508,$BP381,$BS$9:$BS$508,$BS381,$BU$9:$BU$508,$BU381,$BW$9:$BW$508,"&lt;"&amp;$BW381)+COUNTIFS($BM$9:$BM$508,$BM381,$BP$9:$BP$508,$BP381,$BS$9:$BS$508,$BS381,$BU$9:$BU$508,$BU381,$BW$9:$BW$508,$BW381,$BY$9:$BY$508,"&lt;"&amp;$BY381)+1))</f>
        <v/>
      </c>
      <c r="CA381" s="86" t="str">
        <f aca="false">IF(ISBLANK($C381),"",IF($BL381&lt;&gt;Constants!$B$4,$BL381,$BQ381-$BZ381))</f>
        <v/>
      </c>
      <c r="CB381" s="93"/>
      <c r="CC381" s="94" t="str">
        <f aca="false">IF(ISBLANK($C381),"",IF($BL381=Constants!$B$8,$AR381,""))</f>
        <v/>
      </c>
      <c r="CD381" s="94" t="str">
        <f aca="false">IF(ISBLANK($C381),"",IF($BL381&lt;&gt;Constants!$B$4,"",IF($BB381="-&gt;",2,1)))</f>
        <v/>
      </c>
      <c r="CE381" s="95" t="str">
        <f aca="false">IF(ISBLANK($C381),"",IF($BL381&lt;&gt;Constants!$B$4,"",IF($BB381="-&gt;",$BE381,$AU381)))</f>
        <v/>
      </c>
      <c r="CF381" s="95" t="str">
        <f aca="false">IF(ISBLANK($C381),"",IF($BL381&lt;&gt;Constants!$B$4,"",IF($BB381="-&gt;",$BF381,$AV381)))</f>
        <v/>
      </c>
      <c r="CG381" s="95" t="str">
        <f aca="false">IF(ISBLANK($C381),"",IF($BL381&lt;&gt;Constants!$B$4,"",IF($BB381="-&gt;",$BG381,$AW381)))</f>
        <v/>
      </c>
      <c r="CH381" s="95" t="str">
        <f aca="false">IF(ISBLANK($C381),"",IF($BL381&lt;&gt;Constants!$B$4,"",IF($BB381="-&gt;",$BH381,$AX381)))</f>
        <v/>
      </c>
      <c r="CI381" s="96" t="str">
        <f aca="false">IF(ISBLANK($C381),"",$BO381)</f>
        <v/>
      </c>
      <c r="CJ381" s="97" t="str">
        <f aca="false">IF(ISBLANK($C381),"",$BM381)</f>
        <v/>
      </c>
      <c r="CK381" s="98" t="str">
        <f aca="false">IF(ISBLANK($C381),"",$CA381)</f>
        <v/>
      </c>
      <c r="CL381" s="98" t="str">
        <f aca="false">IF(ISBLANK($C381),"",$BZ381)</f>
        <v/>
      </c>
      <c r="CM381" s="99" t="str">
        <f aca="false">IF(ISBLANK($C381),"",IF($CL381=Constants!$B$7,COUNTA($C$9:$C$508)+2,IF($CL381=Constants!$B$6,COUNTA($C$9:$C$508)+1,IF($CL381=Constants!$B$5,COUNTA($C$9:$C$508),$CL381))))</f>
        <v/>
      </c>
      <c r="CN381" s="8"/>
      <c r="CO381" s="100" t="n">
        <f aca="false">IF(OR(ISNUMBER($CL381),$CL381=Constants!$B$7,$CL381=Constants!$B$5,$CL381=Constants!$B$6),1,0)</f>
        <v>0</v>
      </c>
      <c r="CP381" s="100" t="n">
        <v>373</v>
      </c>
      <c r="CQ381" s="100" t="str">
        <f aca="false">IF(ISBLANK($C381),"",IF(ISNUMBER($CM381),$CM381+ROW($B381)/1000,""))</f>
        <v/>
      </c>
      <c r="CR381" s="100" t="str">
        <f aca="false">IF(ISNUMBER($CQ381),RANK($CQ381,$CQ$9:$CQ$508,1),"")</f>
        <v/>
      </c>
      <c r="CS381" s="100" t="str">
        <f aca="false">IF(ISBLANK($C381),"",$B381)</f>
        <v/>
      </c>
      <c r="CT381" s="100" t="str">
        <f aca="false">IF(ISBLANK($C381),"",$C381)</f>
        <v/>
      </c>
      <c r="CU381" s="100" t="str">
        <f aca="false">IF(ISBLANK($C381),"",$D381)</f>
        <v/>
      </c>
      <c r="CV381" s="101" t="str">
        <f aca="false">$CJ381</f>
        <v/>
      </c>
      <c r="CW381" s="102" t="str">
        <f aca="false">$CI381</f>
        <v/>
      </c>
      <c r="CX381" s="100" t="str">
        <f aca="false">IF(ISBLANK($C381),"",$CL381)</f>
        <v/>
      </c>
      <c r="CY381" s="103" t="str">
        <f aca="false">IF($CP381&gt;$CO$8,"",VLOOKUP($CP381,$CR$9:$CX$508,7,FALSE()))</f>
        <v/>
      </c>
      <c r="CZ381" s="104" t="str">
        <f aca="false">IF($CP381&gt;$CO$8,"",VLOOKUP($CP381,$CR$9:$CX$508,2,FALSE()))</f>
        <v/>
      </c>
      <c r="DA381" s="104" t="str">
        <f aca="false">IF($CP381&gt;$CO$8,"",VLOOKUP($CP381,$CR$9:$CX$508,3,FALSE()))</f>
        <v/>
      </c>
      <c r="DB381" s="104" t="str">
        <f aca="false">IF($CP381&gt;$CO$8,"",VLOOKUP($CP381,$CR$9:$CX$508,4,FALSE()))</f>
        <v/>
      </c>
      <c r="DC381" s="104" t="str">
        <f aca="false">IF($CP381&gt;$CO$8,"",VLOOKUP($CP381,$CR$9:$CX$508,5,FALSE()))</f>
        <v/>
      </c>
      <c r="DD381" s="105" t="str">
        <f aca="false">IF($CP381&gt;$CO$8,"",VLOOKUP($CP381,$CR$9:$CX$508,6,FALSE()))</f>
        <v/>
      </c>
      <c r="DE381" s="70"/>
    </row>
    <row r="382" customFormat="false" ht="15.75" hidden="false" customHeight="false" outlineLevel="0" collapsed="false">
      <c r="A382" s="8"/>
      <c r="B382" s="72"/>
      <c r="C382" s="73"/>
      <c r="D382" s="155"/>
      <c r="E382" s="162"/>
      <c r="F382" s="157"/>
      <c r="G382" s="77"/>
      <c r="H382" s="77"/>
      <c r="I382" s="77"/>
      <c r="J382" s="163"/>
      <c r="K382" s="161"/>
      <c r="L382" s="161"/>
      <c r="M382" s="80"/>
      <c r="N382" s="161"/>
      <c r="O382" s="160"/>
      <c r="P382" s="161"/>
      <c r="Q382" s="161"/>
      <c r="R382" s="161"/>
      <c r="S382" s="77"/>
      <c r="T382" s="161"/>
      <c r="U382" s="160"/>
      <c r="V382" s="161"/>
      <c r="W382" s="85"/>
      <c r="X382" s="86" t="str">
        <f aca="false">IF(ISBLANK($C382),"",IF($E382=Constants!$B$2,TRUE(),IF($E382=Constants!$B$3,FALSE(),TRUE())))</f>
        <v/>
      </c>
      <c r="Y382" s="86" t="str">
        <f aca="false">IF(ISBLANK($C382),"",IF($F382=Constants!$B$2,TRUE(),IF($F382=Constants!$B$3,FALSE(),TRUE())))</f>
        <v/>
      </c>
      <c r="Z382" s="87" t="str">
        <f aca="false">IF(ISBLANK($C382),"",IF(ISNUMBER($G382),IF($G382&gt;=0,$G382,""),""))</f>
        <v/>
      </c>
      <c r="AA382" s="87" t="str">
        <f aca="false">IF(ISBLANK($C382),"",IF(ISNUMBER($H382),IF($H382&gt;=0,$H382,""),""))</f>
        <v/>
      </c>
      <c r="AB382" s="87" t="str">
        <f aca="false">IF(ISBLANK($C382),"",IF(ISNUMBER($I382),IF($I382&gt;=0,$I382,""),""))</f>
        <v/>
      </c>
      <c r="AC382" s="86" t="str">
        <f aca="false">IF(ISBLANK($C382),"",IF($J382=Constants!$B$2,TRUE(),IF($J382=Constants!$B$3,FALSE(),TRUE())))</f>
        <v/>
      </c>
      <c r="AD382" s="86" t="str">
        <f aca="false">IF(ISBLANK($C382),"",IF($K382=Constants!$B$2,TRUE(),IF($K382=Constants!$B$3,FALSE(),TRUE())))</f>
        <v/>
      </c>
      <c r="AE382" s="86" t="str">
        <f aca="false">IF(ISBLANK($C382),"",IF($L382=Constants!$B$2,TRUE(),IF($L382=Constants!$B$3,FALSE(),TRUE())))</f>
        <v/>
      </c>
      <c r="AF382" s="88" t="str">
        <f aca="false">IF(ISBLANK($C382),"",IF(ISNUMBER($M382),IF($M382&gt;=0,$M382,""),""))</f>
        <v/>
      </c>
      <c r="AG382" s="86" t="str">
        <f aca="false">IF(ISBLANK($C382),"",IF(ISBLANK($N382),0,IF(ISNUMBER($N382),IF(AND($N382&gt;=0,$N382&lt;=Constants!$B$17,$N382=INT($N382)),$N382,""),"")))</f>
        <v/>
      </c>
      <c r="AH382" s="87" t="str">
        <f aca="false">IF(ISBLANK($C382),"",IF(ISBLANK($O382),0,IF(ISNUMBER($O382),IF($O382&gt;=0,$O382,""),"")))</f>
        <v/>
      </c>
      <c r="AI382" s="86" t="str">
        <f aca="false">IF(ISBLANK($C382),"",IF($P382=Constants!$B$2,TRUE(),IF($P382=Constants!$B$3,FALSE(),TRUE())))</f>
        <v/>
      </c>
      <c r="AJ382" s="86" t="str">
        <f aca="false">IF(ISBLANK($C382),"",IF($Q382=Constants!$B$2,TRUE(),IF($Q382=Constants!$B$3,FALSE(),TRUE())))</f>
        <v/>
      </c>
      <c r="AK382" s="86" t="str">
        <f aca="false">IF(ISBLANK($C382),"",IF($R382=Constants!$B$2,TRUE(),IF($R382=Constants!$B$3,FALSE(),TRUE())))</f>
        <v/>
      </c>
      <c r="AL382" s="88" t="str">
        <f aca="false">IF(ISBLANK($C382),"",IF(ISNUMBER($S382),IF($S382&gt;=0,$S382,""),""))</f>
        <v/>
      </c>
      <c r="AM382" s="86" t="str">
        <f aca="false">IF(ISBLANK($C382),"",IF(ISBLANK($T382),0,IF(ISNUMBER($T382),IF(AND($T382&gt;=0,$T382&lt;=Constants!$B$17,$T382=INT($T382)),$T382,""),"")))</f>
        <v/>
      </c>
      <c r="AN382" s="87" t="str">
        <f aca="false">IF(ISBLANK($C382),"",IF(ISBLANK($U382),0,IF(ISNUMBER($U382),IF($U382&gt;=0,$U382,""),"")))</f>
        <v/>
      </c>
      <c r="AO382" s="86" t="str">
        <f aca="false">IF(ISBLANK($C382),"",IF($V382=Constants!$B$2,TRUE(),IF($V382=Constants!$B$3,FALSE(),FALSE())))</f>
        <v/>
      </c>
      <c r="AP382" s="86"/>
      <c r="AQ382" s="85" t="str">
        <f aca="false">IF(ISBLANK($C382),"",AND($Y382,OR($AS382,$BC382),OR($Z382="",$AA382="",$AB382="")))</f>
        <v/>
      </c>
      <c r="AR382" s="85" t="str">
        <f aca="false">IF(ISBLANK($C382),"",IF(OR(NOT($Y382),NOT(OR($AS382,$BC382))),"",IF(ISBLANK($D$7),$AR$5,IF($AP$9="",$AR$6,""))))</f>
        <v/>
      </c>
      <c r="AS382" s="85" t="str">
        <f aca="false">IF(ISBLANK($C382),"",COUNTA($J382:$O382)&gt;0)</f>
        <v/>
      </c>
      <c r="AT382" s="85" t="str">
        <f aca="false">IF(ISBLANK($C382),"",AND($AS382,OR(AND($AF382="",OR($AE382,NOT(ISBLANK($M382)))),$AG382="",$AH382="")))</f>
        <v/>
      </c>
      <c r="AU382" s="87" t="str">
        <f aca="false">IF($BL382&lt;&gt;Constants!$B$4,"",IF(NOT($AS382),"",ROUND((Constants!$B$12-$AB382)+(Constants!$B$13-$Z382)+(Constants!$B$14-$AA382),1)))</f>
        <v/>
      </c>
      <c r="AV382" s="90" t="str">
        <f aca="false">IF($BL382&lt;&gt;Constants!$B$4,"",IF(NOT($AS382),"",IF(NOT($AE382),0,Constants!$B$15*(INT(ROUND(MIN($AF382,$AP$9),6))-INT(ROUND(MAX(0,MIN($AF382,2*$AP$9)-$AP$9),6))))))</f>
        <v/>
      </c>
      <c r="AW382" s="90" t="str">
        <f aca="false">IF($BL382&lt;&gt;Constants!$B$4,"",IF(NOT($AS382),"",Constants!$B$16*$AG382))</f>
        <v/>
      </c>
      <c r="AX382" s="90" t="str">
        <f aca="false">IF($BL382&lt;&gt;Constants!$B$4,"",IF(NOT($AS382),"",Constants!$B$18*INT(ROUND($AH382,6))))</f>
        <v/>
      </c>
      <c r="AY382" s="85" t="str">
        <f aca="false">IF($BL382&lt;&gt;Constants!$B$4,"",IF(NOT($AS382),"",IF(NOT($X382),Constants!$B$11,IF(OR(NOT($AC382),NOT($AD382),ROUND($AB382,1)&gt;Constants!$B$12,ROUND($Z382,1)&gt;Constants!$B$13,ROUND($AA382,1)&gt;Constants!$B$14),Constants!$B$10,Constants!$B$9))))</f>
        <v/>
      </c>
      <c r="AZ382" s="91" t="str">
        <f aca="false">IF($BL382&lt;&gt;Constants!$B$4,"",IF(NOT($AS382),"",ROUND($AU382+$AV382+$AW382+$AX382,1)))</f>
        <v/>
      </c>
      <c r="BA382" s="92" t="str">
        <f aca="false">IF($BL382&lt;&gt;Constants!$B$4,"",IF(NOT($AS382),"",IF(ISNUMBER($AF382),$AF382,0)))</f>
        <v/>
      </c>
      <c r="BB382" s="86" t="str">
        <f aca="false">IF($BL382&lt;&gt;Constants!$B$4,"",IF(NOT($BC382),"&lt;-",IF(NOT($AS382),"-&gt;",IF(OR($BI382&lt;$AY382,AND($BI382=$AY382,OR($BJ382&gt;$AZ382,AND($BJ382=$AZ382,OR($BH382&gt;$AX382,AND($BH382=$AX382,OR($BE382&gt;$AU382,AND($BE382=$AU382,OR($BF382&gt;$AV382,AND($BF382=$AV382,$BK382&gt;$BA382)))))))))),"-&gt;","&lt;-"))))</f>
        <v/>
      </c>
      <c r="BC382" s="85" t="str">
        <f aca="false">IF(ISBLANK($C382),"",COUNTA($P382:$U382)&gt;0)</f>
        <v/>
      </c>
      <c r="BD382" s="85" t="str">
        <f aca="false">IF(ISBLANK($C382),"",AND($BC382,OR(AND($AL382="",OR($AK382,NOT(ISBLANK($S382)))),$AM382="",$AN382="")))</f>
        <v/>
      </c>
      <c r="BE382" s="87" t="str">
        <f aca="false">IF($BL382&lt;&gt;Constants!$B$4,"",IF(NOT($BC382),"",ROUND((Constants!$B$12-$AB382)+(Constants!$B$13-$Z382)+(Constants!$B$14-$AA382),1)))</f>
        <v/>
      </c>
      <c r="BF382" s="90" t="str">
        <f aca="false">IF($BL382&lt;&gt;Constants!$B$4,"",IF(NOT($BC382),"",IF(NOT($AK382),0,Constants!$B$15*(INT(ROUND(MIN($AL382,$AP$9),6))-INT(ROUND(MAX(0,MIN($AL382,2*$AP$9)-$AP$9),6))))))</f>
        <v/>
      </c>
      <c r="BG382" s="90" t="str">
        <f aca="false">IF($BL382&lt;&gt;Constants!$B$4,"",IF(NOT($BC382),"",Constants!$B$16*$AM382))</f>
        <v/>
      </c>
      <c r="BH382" s="90" t="str">
        <f aca="false">IF($BL382&lt;&gt;Constants!$B$4,"",IF(NOT($BC382),"",Constants!$B$18*INT(ROUND($AN382,6))))</f>
        <v/>
      </c>
      <c r="BI382" s="85" t="str">
        <f aca="false">IF($BL382&lt;&gt;Constants!$B$4,"",IF(NOT($BC382),"",IF(NOT($X382),Constants!$B$11,IF(OR(NOT($AI382),NOT($AJ382),ROUND($AB382,1)&gt;Constants!$B$12,ROUND($Z382,1)&gt;Constants!$B$13,ROUND($AA382,1)&gt;Constants!$B$14),Constants!$B$10,Constants!$B$9))))</f>
        <v/>
      </c>
      <c r="BJ382" s="91" t="str">
        <f aca="false">IF($BL382&lt;&gt;Constants!$B$4,"",IF(NOT($BC382),"",ROUND($BE382+$BF382+$BG382+$BH382,1)))</f>
        <v/>
      </c>
      <c r="BK382" s="92" t="str">
        <f aca="false">IF($BL382&lt;&gt;Constants!$B$4,"",IF(NOT($BC382),"",IF(ISNUMBER($AL382),$AL382,0)))</f>
        <v/>
      </c>
      <c r="BL382" s="86" t="str">
        <f aca="false">IF(ISBLANK($C382),"",IF($AO382,Constants!$B$7,IF(COUNTA($E382:$V382)=0,Constants!$B$6,IF(NOT($Y382),Constants!$B$5,IF(NOT(OR($AS382,$BC382)),Constants!$B$5,IF(OR($AT382,$BD382,$AQ382,$AR382&lt;&gt;""),Constants!$B$8,Constants!$B$4))))))</f>
        <v/>
      </c>
      <c r="BM382" s="86" t="str">
        <f aca="false">IF(ISBLANK($C382),"",IF($BL382&lt;&gt;Constants!$B$4,$BL382,IF($BB382="-&gt;",$BI382,$AY382)))</f>
        <v/>
      </c>
      <c r="BN382" s="90" t="str">
        <f aca="false">IF($BL382&lt;&gt;Constants!$B$4,"",IF($BB382="-&gt;",$BJ382,$AZ382))</f>
        <v/>
      </c>
      <c r="BO382" s="90" t="str">
        <f aca="false">IF(ISBLANK($C382),"",IF($BL382&lt;&gt;Constants!$B$4,$BL382,$BN382))</f>
        <v/>
      </c>
      <c r="BP382" s="86" t="str">
        <f aca="false">IF(ISBLANK($C382),"",IF($BL382&lt;&gt;Constants!$B$4,$BL382,RANK($BO382,$BO$9:$BO$508,0)))</f>
        <v/>
      </c>
      <c r="BQ382" s="86" t="str">
        <f aca="false">IF(ISBLANK($C382),"",IF($BL382&lt;&gt;Constants!$B$4,$BL382,COUNTIFS($BM$9:$BM$508,"&lt;"&amp;$BM382)+COUNTIFS($BM$9:$BM$508,$BM382,$BP$9:$BP$508,"&lt;"&amp;$BP382)+1))</f>
        <v/>
      </c>
      <c r="BR382" s="90" t="str">
        <f aca="false">IF($BL382&lt;&gt;Constants!$B$4,"",IF($BB382="-&gt;",$BH382,$AX382))</f>
        <v/>
      </c>
      <c r="BS382" s="86" t="str">
        <f aca="false">IF(ISBLANK($C382),"",IF($BL382&lt;&gt;Constants!$B$4,$BL382,IF(ISNUMBER($BR382),RANK($BR382,$BR$9:$BR$508,0),COUNT($BR$9:$BR$508)+1)))</f>
        <v/>
      </c>
      <c r="BT382" s="90" t="str">
        <f aca="false">IF($BL382&lt;&gt;Constants!$B$4,"",IF($BB382="-&gt;",$BE382,$AU382))</f>
        <v/>
      </c>
      <c r="BU382" s="86" t="str">
        <f aca="false">IF(ISBLANK($C382),"",IF($BL382&lt;&gt;Constants!$B$4,$BL382,IF(ISNUMBER($BT382),RANK($BT382,$BT$9:$BT$508,0),COUNT($BT$9:$BT$508)+1)))</f>
        <v/>
      </c>
      <c r="BV382" s="90" t="str">
        <f aca="false">IF($BL382&lt;&gt;Constants!$B$4,"",IF($BB382="-&gt;",$BF382,$AV382))</f>
        <v/>
      </c>
      <c r="BW382" s="86" t="str">
        <f aca="false">IF(ISBLANK($C382),"",IF($BL382&lt;&gt;Constants!$B$4,$BL382,IF(ISNUMBER($BV382),RANK($BV382,$BV$9:$BV$508,0),COUNT($BV$9:$BV$508)+1)))</f>
        <v/>
      </c>
      <c r="BX382" s="90" t="str">
        <f aca="false">IF($BL382&lt;&gt;Constants!$B$4,"",IF($BB382="-&gt;",$BK382,$BA382))</f>
        <v/>
      </c>
      <c r="BY382" s="86" t="str">
        <f aca="false">IF(ISBLANK($C382),"",IF($BL382&lt;&gt;Constants!$B$4,$BL382,IF(ISNUMBER($BX382),RANK($BX382,$BX$9:$BX$508,0),COUNT($BX$9:$BX$508)+1)))</f>
        <v/>
      </c>
      <c r="BZ382" s="86" t="str">
        <f aca="false">IF(ISBLANK($C382),"",IF($BL382&lt;&gt;Constants!$B$4,$BL382,COUNTIFS($BM$9:$BM$508,"&lt;"&amp;$BM382)+COUNTIFS($BM$9:$BM$508,$BM382,$BP$9:$BP$508,"&lt;"&amp;$BP382)+COUNTIFS($BM$9:$BM$508,$BM382,$BP$9:$BP$508,$BP382,$BS$9:$BS$508,"&lt;"&amp;$BS382)+COUNTIFS($BM$9:$BM$508,$BM382,$BP$9:$BP$508,$BP382,$BS$9:$BS$508,$BS382,$BU$9:$BU$508,"&lt;"&amp;$BU382)+COUNTIFS($BM$9:$BM$508,$BM382,$BP$9:$BP$508,$BP382,$BS$9:$BS$508,$BS382,$BU$9:$BU$508,$BU382,$BW$9:$BW$508,"&lt;"&amp;$BW382)+COUNTIFS($BM$9:$BM$508,$BM382,$BP$9:$BP$508,$BP382,$BS$9:$BS$508,$BS382,$BU$9:$BU$508,$BU382,$BW$9:$BW$508,$BW382,$BY$9:$BY$508,"&lt;"&amp;$BY382)+1))</f>
        <v/>
      </c>
      <c r="CA382" s="86" t="str">
        <f aca="false">IF(ISBLANK($C382),"",IF($BL382&lt;&gt;Constants!$B$4,$BL382,$BQ382-$BZ382))</f>
        <v/>
      </c>
      <c r="CB382" s="93"/>
      <c r="CC382" s="94" t="str">
        <f aca="false">IF(ISBLANK($C382),"",IF($BL382=Constants!$B$8,$AR382,""))</f>
        <v/>
      </c>
      <c r="CD382" s="94" t="str">
        <f aca="false">IF(ISBLANK($C382),"",IF($BL382&lt;&gt;Constants!$B$4,"",IF($BB382="-&gt;",2,1)))</f>
        <v/>
      </c>
      <c r="CE382" s="95" t="str">
        <f aca="false">IF(ISBLANK($C382),"",IF($BL382&lt;&gt;Constants!$B$4,"",IF($BB382="-&gt;",$BE382,$AU382)))</f>
        <v/>
      </c>
      <c r="CF382" s="95" t="str">
        <f aca="false">IF(ISBLANK($C382),"",IF($BL382&lt;&gt;Constants!$B$4,"",IF($BB382="-&gt;",$BF382,$AV382)))</f>
        <v/>
      </c>
      <c r="CG382" s="95" t="str">
        <f aca="false">IF(ISBLANK($C382),"",IF($BL382&lt;&gt;Constants!$B$4,"",IF($BB382="-&gt;",$BG382,$AW382)))</f>
        <v/>
      </c>
      <c r="CH382" s="95" t="str">
        <f aca="false">IF(ISBLANK($C382),"",IF($BL382&lt;&gt;Constants!$B$4,"",IF($BB382="-&gt;",$BH382,$AX382)))</f>
        <v/>
      </c>
      <c r="CI382" s="96" t="str">
        <f aca="false">IF(ISBLANK($C382),"",$BO382)</f>
        <v/>
      </c>
      <c r="CJ382" s="97" t="str">
        <f aca="false">IF(ISBLANK($C382),"",$BM382)</f>
        <v/>
      </c>
      <c r="CK382" s="98" t="str">
        <f aca="false">IF(ISBLANK($C382),"",$CA382)</f>
        <v/>
      </c>
      <c r="CL382" s="98" t="str">
        <f aca="false">IF(ISBLANK($C382),"",$BZ382)</f>
        <v/>
      </c>
      <c r="CM382" s="99" t="str">
        <f aca="false">IF(ISBLANK($C382),"",IF($CL382=Constants!$B$7,COUNTA($C$9:$C$508)+2,IF($CL382=Constants!$B$6,COUNTA($C$9:$C$508)+1,IF($CL382=Constants!$B$5,COUNTA($C$9:$C$508),$CL382))))</f>
        <v/>
      </c>
      <c r="CN382" s="8"/>
      <c r="CO382" s="100" t="n">
        <f aca="false">IF(OR(ISNUMBER($CL382),$CL382=Constants!$B$7,$CL382=Constants!$B$5,$CL382=Constants!$B$6),1,0)</f>
        <v>0</v>
      </c>
      <c r="CP382" s="100" t="n">
        <v>374</v>
      </c>
      <c r="CQ382" s="100" t="str">
        <f aca="false">IF(ISBLANK($C382),"",IF(ISNUMBER($CM382),$CM382+ROW($B382)/1000,""))</f>
        <v/>
      </c>
      <c r="CR382" s="100" t="str">
        <f aca="false">IF(ISNUMBER($CQ382),RANK($CQ382,$CQ$9:$CQ$508,1),"")</f>
        <v/>
      </c>
      <c r="CS382" s="100" t="str">
        <f aca="false">IF(ISBLANK($C382),"",$B382)</f>
        <v/>
      </c>
      <c r="CT382" s="100" t="str">
        <f aca="false">IF(ISBLANK($C382),"",$C382)</f>
        <v/>
      </c>
      <c r="CU382" s="100" t="str">
        <f aca="false">IF(ISBLANK($C382),"",$D382)</f>
        <v/>
      </c>
      <c r="CV382" s="101" t="str">
        <f aca="false">$CJ382</f>
        <v/>
      </c>
      <c r="CW382" s="102" t="str">
        <f aca="false">$CI382</f>
        <v/>
      </c>
      <c r="CX382" s="100" t="str">
        <f aca="false">IF(ISBLANK($C382),"",$CL382)</f>
        <v/>
      </c>
      <c r="CY382" s="103" t="str">
        <f aca="false">IF($CP382&gt;$CO$8,"",VLOOKUP($CP382,$CR$9:$CX$508,7,FALSE()))</f>
        <v/>
      </c>
      <c r="CZ382" s="104" t="str">
        <f aca="false">IF($CP382&gt;$CO$8,"",VLOOKUP($CP382,$CR$9:$CX$508,2,FALSE()))</f>
        <v/>
      </c>
      <c r="DA382" s="104" t="str">
        <f aca="false">IF($CP382&gt;$CO$8,"",VLOOKUP($CP382,$CR$9:$CX$508,3,FALSE()))</f>
        <v/>
      </c>
      <c r="DB382" s="104" t="str">
        <f aca="false">IF($CP382&gt;$CO$8,"",VLOOKUP($CP382,$CR$9:$CX$508,4,FALSE()))</f>
        <v/>
      </c>
      <c r="DC382" s="104" t="str">
        <f aca="false">IF($CP382&gt;$CO$8,"",VLOOKUP($CP382,$CR$9:$CX$508,5,FALSE()))</f>
        <v/>
      </c>
      <c r="DD382" s="105" t="str">
        <f aca="false">IF($CP382&gt;$CO$8,"",VLOOKUP($CP382,$CR$9:$CX$508,6,FALSE()))</f>
        <v/>
      </c>
      <c r="DE382" s="70"/>
    </row>
    <row r="383" customFormat="false" ht="15.75" hidden="false" customHeight="false" outlineLevel="0" collapsed="false">
      <c r="A383" s="8"/>
      <c r="B383" s="72"/>
      <c r="C383" s="73"/>
      <c r="D383" s="155"/>
      <c r="E383" s="162"/>
      <c r="F383" s="157"/>
      <c r="G383" s="77"/>
      <c r="H383" s="77"/>
      <c r="I383" s="77"/>
      <c r="J383" s="163"/>
      <c r="K383" s="161"/>
      <c r="L383" s="161"/>
      <c r="M383" s="80"/>
      <c r="N383" s="161"/>
      <c r="O383" s="160"/>
      <c r="P383" s="161"/>
      <c r="Q383" s="161"/>
      <c r="R383" s="161"/>
      <c r="S383" s="77"/>
      <c r="T383" s="161"/>
      <c r="U383" s="160"/>
      <c r="V383" s="161"/>
      <c r="W383" s="85"/>
      <c r="X383" s="86" t="str">
        <f aca="false">IF(ISBLANK($C383),"",IF($E383=Constants!$B$2,TRUE(),IF($E383=Constants!$B$3,FALSE(),TRUE())))</f>
        <v/>
      </c>
      <c r="Y383" s="86" t="str">
        <f aca="false">IF(ISBLANK($C383),"",IF($F383=Constants!$B$2,TRUE(),IF($F383=Constants!$B$3,FALSE(),TRUE())))</f>
        <v/>
      </c>
      <c r="Z383" s="87" t="str">
        <f aca="false">IF(ISBLANK($C383),"",IF(ISNUMBER($G383),IF($G383&gt;=0,$G383,""),""))</f>
        <v/>
      </c>
      <c r="AA383" s="87" t="str">
        <f aca="false">IF(ISBLANK($C383),"",IF(ISNUMBER($H383),IF($H383&gt;=0,$H383,""),""))</f>
        <v/>
      </c>
      <c r="AB383" s="87" t="str">
        <f aca="false">IF(ISBLANK($C383),"",IF(ISNUMBER($I383),IF($I383&gt;=0,$I383,""),""))</f>
        <v/>
      </c>
      <c r="AC383" s="86" t="str">
        <f aca="false">IF(ISBLANK($C383),"",IF($J383=Constants!$B$2,TRUE(),IF($J383=Constants!$B$3,FALSE(),TRUE())))</f>
        <v/>
      </c>
      <c r="AD383" s="86" t="str">
        <f aca="false">IF(ISBLANK($C383),"",IF($K383=Constants!$B$2,TRUE(),IF($K383=Constants!$B$3,FALSE(),TRUE())))</f>
        <v/>
      </c>
      <c r="AE383" s="86" t="str">
        <f aca="false">IF(ISBLANK($C383),"",IF($L383=Constants!$B$2,TRUE(),IF($L383=Constants!$B$3,FALSE(),TRUE())))</f>
        <v/>
      </c>
      <c r="AF383" s="88" t="str">
        <f aca="false">IF(ISBLANK($C383),"",IF(ISNUMBER($M383),IF($M383&gt;=0,$M383,""),""))</f>
        <v/>
      </c>
      <c r="AG383" s="86" t="str">
        <f aca="false">IF(ISBLANK($C383),"",IF(ISBLANK($N383),0,IF(ISNUMBER($N383),IF(AND($N383&gt;=0,$N383&lt;=Constants!$B$17,$N383=INT($N383)),$N383,""),"")))</f>
        <v/>
      </c>
      <c r="AH383" s="87" t="str">
        <f aca="false">IF(ISBLANK($C383),"",IF(ISBLANK($O383),0,IF(ISNUMBER($O383),IF($O383&gt;=0,$O383,""),"")))</f>
        <v/>
      </c>
      <c r="AI383" s="86" t="str">
        <f aca="false">IF(ISBLANK($C383),"",IF($P383=Constants!$B$2,TRUE(),IF($P383=Constants!$B$3,FALSE(),TRUE())))</f>
        <v/>
      </c>
      <c r="AJ383" s="86" t="str">
        <f aca="false">IF(ISBLANK($C383),"",IF($Q383=Constants!$B$2,TRUE(),IF($Q383=Constants!$B$3,FALSE(),TRUE())))</f>
        <v/>
      </c>
      <c r="AK383" s="86" t="str">
        <f aca="false">IF(ISBLANK($C383),"",IF($R383=Constants!$B$2,TRUE(),IF($R383=Constants!$B$3,FALSE(),TRUE())))</f>
        <v/>
      </c>
      <c r="AL383" s="88" t="str">
        <f aca="false">IF(ISBLANK($C383),"",IF(ISNUMBER($S383),IF($S383&gt;=0,$S383,""),""))</f>
        <v/>
      </c>
      <c r="AM383" s="86" t="str">
        <f aca="false">IF(ISBLANK($C383),"",IF(ISBLANK($T383),0,IF(ISNUMBER($T383),IF(AND($T383&gt;=0,$T383&lt;=Constants!$B$17,$T383=INT($T383)),$T383,""),"")))</f>
        <v/>
      </c>
      <c r="AN383" s="87" t="str">
        <f aca="false">IF(ISBLANK($C383),"",IF(ISBLANK($U383),0,IF(ISNUMBER($U383),IF($U383&gt;=0,$U383,""),"")))</f>
        <v/>
      </c>
      <c r="AO383" s="86" t="str">
        <f aca="false">IF(ISBLANK($C383),"",IF($V383=Constants!$B$2,TRUE(),IF($V383=Constants!$B$3,FALSE(),FALSE())))</f>
        <v/>
      </c>
      <c r="AP383" s="86"/>
      <c r="AQ383" s="85" t="str">
        <f aca="false">IF(ISBLANK($C383),"",AND($Y383,OR($AS383,$BC383),OR($Z383="",$AA383="",$AB383="")))</f>
        <v/>
      </c>
      <c r="AR383" s="85" t="str">
        <f aca="false">IF(ISBLANK($C383),"",IF(OR(NOT($Y383),NOT(OR($AS383,$BC383))),"",IF(ISBLANK($D$7),$AR$5,IF($AP$9="",$AR$6,""))))</f>
        <v/>
      </c>
      <c r="AS383" s="85" t="str">
        <f aca="false">IF(ISBLANK($C383),"",COUNTA($J383:$O383)&gt;0)</f>
        <v/>
      </c>
      <c r="AT383" s="85" t="str">
        <f aca="false">IF(ISBLANK($C383),"",AND($AS383,OR(AND($AF383="",OR($AE383,NOT(ISBLANK($M383)))),$AG383="",$AH383="")))</f>
        <v/>
      </c>
      <c r="AU383" s="87" t="str">
        <f aca="false">IF($BL383&lt;&gt;Constants!$B$4,"",IF(NOT($AS383),"",ROUND((Constants!$B$12-$AB383)+(Constants!$B$13-$Z383)+(Constants!$B$14-$AA383),1)))</f>
        <v/>
      </c>
      <c r="AV383" s="90" t="str">
        <f aca="false">IF($BL383&lt;&gt;Constants!$B$4,"",IF(NOT($AS383),"",IF(NOT($AE383),0,Constants!$B$15*(INT(ROUND(MIN($AF383,$AP$9),6))-INT(ROUND(MAX(0,MIN($AF383,2*$AP$9)-$AP$9),6))))))</f>
        <v/>
      </c>
      <c r="AW383" s="90" t="str">
        <f aca="false">IF($BL383&lt;&gt;Constants!$B$4,"",IF(NOT($AS383),"",Constants!$B$16*$AG383))</f>
        <v/>
      </c>
      <c r="AX383" s="90" t="str">
        <f aca="false">IF($BL383&lt;&gt;Constants!$B$4,"",IF(NOT($AS383),"",Constants!$B$18*INT(ROUND($AH383,6))))</f>
        <v/>
      </c>
      <c r="AY383" s="85" t="str">
        <f aca="false">IF($BL383&lt;&gt;Constants!$B$4,"",IF(NOT($AS383),"",IF(NOT($X383),Constants!$B$11,IF(OR(NOT($AC383),NOT($AD383),ROUND($AB383,1)&gt;Constants!$B$12,ROUND($Z383,1)&gt;Constants!$B$13,ROUND($AA383,1)&gt;Constants!$B$14),Constants!$B$10,Constants!$B$9))))</f>
        <v/>
      </c>
      <c r="AZ383" s="91" t="str">
        <f aca="false">IF($BL383&lt;&gt;Constants!$B$4,"",IF(NOT($AS383),"",ROUND($AU383+$AV383+$AW383+$AX383,1)))</f>
        <v/>
      </c>
      <c r="BA383" s="92" t="str">
        <f aca="false">IF($BL383&lt;&gt;Constants!$B$4,"",IF(NOT($AS383),"",IF(ISNUMBER($AF383),$AF383,0)))</f>
        <v/>
      </c>
      <c r="BB383" s="86" t="str">
        <f aca="false">IF($BL383&lt;&gt;Constants!$B$4,"",IF(NOT($BC383),"&lt;-",IF(NOT($AS383),"-&gt;",IF(OR($BI383&lt;$AY383,AND($BI383=$AY383,OR($BJ383&gt;$AZ383,AND($BJ383=$AZ383,OR($BH383&gt;$AX383,AND($BH383=$AX383,OR($BE383&gt;$AU383,AND($BE383=$AU383,OR($BF383&gt;$AV383,AND($BF383=$AV383,$BK383&gt;$BA383)))))))))),"-&gt;","&lt;-"))))</f>
        <v/>
      </c>
      <c r="BC383" s="85" t="str">
        <f aca="false">IF(ISBLANK($C383),"",COUNTA($P383:$U383)&gt;0)</f>
        <v/>
      </c>
      <c r="BD383" s="85" t="str">
        <f aca="false">IF(ISBLANK($C383),"",AND($BC383,OR(AND($AL383="",OR($AK383,NOT(ISBLANK($S383)))),$AM383="",$AN383="")))</f>
        <v/>
      </c>
      <c r="BE383" s="87" t="str">
        <f aca="false">IF($BL383&lt;&gt;Constants!$B$4,"",IF(NOT($BC383),"",ROUND((Constants!$B$12-$AB383)+(Constants!$B$13-$Z383)+(Constants!$B$14-$AA383),1)))</f>
        <v/>
      </c>
      <c r="BF383" s="90" t="str">
        <f aca="false">IF($BL383&lt;&gt;Constants!$B$4,"",IF(NOT($BC383),"",IF(NOT($AK383),0,Constants!$B$15*(INT(ROUND(MIN($AL383,$AP$9),6))-INT(ROUND(MAX(0,MIN($AL383,2*$AP$9)-$AP$9),6))))))</f>
        <v/>
      </c>
      <c r="BG383" s="90" t="str">
        <f aca="false">IF($BL383&lt;&gt;Constants!$B$4,"",IF(NOT($BC383),"",Constants!$B$16*$AM383))</f>
        <v/>
      </c>
      <c r="BH383" s="90" t="str">
        <f aca="false">IF($BL383&lt;&gt;Constants!$B$4,"",IF(NOT($BC383),"",Constants!$B$18*INT(ROUND($AN383,6))))</f>
        <v/>
      </c>
      <c r="BI383" s="85" t="str">
        <f aca="false">IF($BL383&lt;&gt;Constants!$B$4,"",IF(NOT($BC383),"",IF(NOT($X383),Constants!$B$11,IF(OR(NOT($AI383),NOT($AJ383),ROUND($AB383,1)&gt;Constants!$B$12,ROUND($Z383,1)&gt;Constants!$B$13,ROUND($AA383,1)&gt;Constants!$B$14),Constants!$B$10,Constants!$B$9))))</f>
        <v/>
      </c>
      <c r="BJ383" s="91" t="str">
        <f aca="false">IF($BL383&lt;&gt;Constants!$B$4,"",IF(NOT($BC383),"",ROUND($BE383+$BF383+$BG383+$BH383,1)))</f>
        <v/>
      </c>
      <c r="BK383" s="92" t="str">
        <f aca="false">IF($BL383&lt;&gt;Constants!$B$4,"",IF(NOT($BC383),"",IF(ISNUMBER($AL383),$AL383,0)))</f>
        <v/>
      </c>
      <c r="BL383" s="86" t="str">
        <f aca="false">IF(ISBLANK($C383),"",IF($AO383,Constants!$B$7,IF(COUNTA($E383:$V383)=0,Constants!$B$6,IF(NOT($Y383),Constants!$B$5,IF(NOT(OR($AS383,$BC383)),Constants!$B$5,IF(OR($AT383,$BD383,$AQ383,$AR383&lt;&gt;""),Constants!$B$8,Constants!$B$4))))))</f>
        <v/>
      </c>
      <c r="BM383" s="86" t="str">
        <f aca="false">IF(ISBLANK($C383),"",IF($BL383&lt;&gt;Constants!$B$4,$BL383,IF($BB383="-&gt;",$BI383,$AY383)))</f>
        <v/>
      </c>
      <c r="BN383" s="90" t="str">
        <f aca="false">IF($BL383&lt;&gt;Constants!$B$4,"",IF($BB383="-&gt;",$BJ383,$AZ383))</f>
        <v/>
      </c>
      <c r="BO383" s="90" t="str">
        <f aca="false">IF(ISBLANK($C383),"",IF($BL383&lt;&gt;Constants!$B$4,$BL383,$BN383))</f>
        <v/>
      </c>
      <c r="BP383" s="86" t="str">
        <f aca="false">IF(ISBLANK($C383),"",IF($BL383&lt;&gt;Constants!$B$4,$BL383,RANK($BO383,$BO$9:$BO$508,0)))</f>
        <v/>
      </c>
      <c r="BQ383" s="86" t="str">
        <f aca="false">IF(ISBLANK($C383),"",IF($BL383&lt;&gt;Constants!$B$4,$BL383,COUNTIFS($BM$9:$BM$508,"&lt;"&amp;$BM383)+COUNTIFS($BM$9:$BM$508,$BM383,$BP$9:$BP$508,"&lt;"&amp;$BP383)+1))</f>
        <v/>
      </c>
      <c r="BR383" s="90" t="str">
        <f aca="false">IF($BL383&lt;&gt;Constants!$B$4,"",IF($BB383="-&gt;",$BH383,$AX383))</f>
        <v/>
      </c>
      <c r="BS383" s="86" t="str">
        <f aca="false">IF(ISBLANK($C383),"",IF($BL383&lt;&gt;Constants!$B$4,$BL383,IF(ISNUMBER($BR383),RANK($BR383,$BR$9:$BR$508,0),COUNT($BR$9:$BR$508)+1)))</f>
        <v/>
      </c>
      <c r="BT383" s="90" t="str">
        <f aca="false">IF($BL383&lt;&gt;Constants!$B$4,"",IF($BB383="-&gt;",$BE383,$AU383))</f>
        <v/>
      </c>
      <c r="BU383" s="86" t="str">
        <f aca="false">IF(ISBLANK($C383),"",IF($BL383&lt;&gt;Constants!$B$4,$BL383,IF(ISNUMBER($BT383),RANK($BT383,$BT$9:$BT$508,0),COUNT($BT$9:$BT$508)+1)))</f>
        <v/>
      </c>
      <c r="BV383" s="90" t="str">
        <f aca="false">IF($BL383&lt;&gt;Constants!$B$4,"",IF($BB383="-&gt;",$BF383,$AV383))</f>
        <v/>
      </c>
      <c r="BW383" s="86" t="str">
        <f aca="false">IF(ISBLANK($C383),"",IF($BL383&lt;&gt;Constants!$B$4,$BL383,IF(ISNUMBER($BV383),RANK($BV383,$BV$9:$BV$508,0),COUNT($BV$9:$BV$508)+1)))</f>
        <v/>
      </c>
      <c r="BX383" s="90" t="str">
        <f aca="false">IF($BL383&lt;&gt;Constants!$B$4,"",IF($BB383="-&gt;",$BK383,$BA383))</f>
        <v/>
      </c>
      <c r="BY383" s="86" t="str">
        <f aca="false">IF(ISBLANK($C383),"",IF($BL383&lt;&gt;Constants!$B$4,$BL383,IF(ISNUMBER($BX383),RANK($BX383,$BX$9:$BX$508,0),COUNT($BX$9:$BX$508)+1)))</f>
        <v/>
      </c>
      <c r="BZ383" s="86" t="str">
        <f aca="false">IF(ISBLANK($C383),"",IF($BL383&lt;&gt;Constants!$B$4,$BL383,COUNTIFS($BM$9:$BM$508,"&lt;"&amp;$BM383)+COUNTIFS($BM$9:$BM$508,$BM383,$BP$9:$BP$508,"&lt;"&amp;$BP383)+COUNTIFS($BM$9:$BM$508,$BM383,$BP$9:$BP$508,$BP383,$BS$9:$BS$508,"&lt;"&amp;$BS383)+COUNTIFS($BM$9:$BM$508,$BM383,$BP$9:$BP$508,$BP383,$BS$9:$BS$508,$BS383,$BU$9:$BU$508,"&lt;"&amp;$BU383)+COUNTIFS($BM$9:$BM$508,$BM383,$BP$9:$BP$508,$BP383,$BS$9:$BS$508,$BS383,$BU$9:$BU$508,$BU383,$BW$9:$BW$508,"&lt;"&amp;$BW383)+COUNTIFS($BM$9:$BM$508,$BM383,$BP$9:$BP$508,$BP383,$BS$9:$BS$508,$BS383,$BU$9:$BU$508,$BU383,$BW$9:$BW$508,$BW383,$BY$9:$BY$508,"&lt;"&amp;$BY383)+1))</f>
        <v/>
      </c>
      <c r="CA383" s="86" t="str">
        <f aca="false">IF(ISBLANK($C383),"",IF($BL383&lt;&gt;Constants!$B$4,$BL383,$BQ383-$BZ383))</f>
        <v/>
      </c>
      <c r="CB383" s="93"/>
      <c r="CC383" s="94" t="str">
        <f aca="false">IF(ISBLANK($C383),"",IF($BL383=Constants!$B$8,$AR383,""))</f>
        <v/>
      </c>
      <c r="CD383" s="94" t="str">
        <f aca="false">IF(ISBLANK($C383),"",IF($BL383&lt;&gt;Constants!$B$4,"",IF($BB383="-&gt;",2,1)))</f>
        <v/>
      </c>
      <c r="CE383" s="95" t="str">
        <f aca="false">IF(ISBLANK($C383),"",IF($BL383&lt;&gt;Constants!$B$4,"",IF($BB383="-&gt;",$BE383,$AU383)))</f>
        <v/>
      </c>
      <c r="CF383" s="95" t="str">
        <f aca="false">IF(ISBLANK($C383),"",IF($BL383&lt;&gt;Constants!$B$4,"",IF($BB383="-&gt;",$BF383,$AV383)))</f>
        <v/>
      </c>
      <c r="CG383" s="95" t="str">
        <f aca="false">IF(ISBLANK($C383),"",IF($BL383&lt;&gt;Constants!$B$4,"",IF($BB383="-&gt;",$BG383,$AW383)))</f>
        <v/>
      </c>
      <c r="CH383" s="95" t="str">
        <f aca="false">IF(ISBLANK($C383),"",IF($BL383&lt;&gt;Constants!$B$4,"",IF($BB383="-&gt;",$BH383,$AX383)))</f>
        <v/>
      </c>
      <c r="CI383" s="96" t="str">
        <f aca="false">IF(ISBLANK($C383),"",$BO383)</f>
        <v/>
      </c>
      <c r="CJ383" s="97" t="str">
        <f aca="false">IF(ISBLANK($C383),"",$BM383)</f>
        <v/>
      </c>
      <c r="CK383" s="98" t="str">
        <f aca="false">IF(ISBLANK($C383),"",$CA383)</f>
        <v/>
      </c>
      <c r="CL383" s="98" t="str">
        <f aca="false">IF(ISBLANK($C383),"",$BZ383)</f>
        <v/>
      </c>
      <c r="CM383" s="99" t="str">
        <f aca="false">IF(ISBLANK($C383),"",IF($CL383=Constants!$B$7,COUNTA($C$9:$C$508)+2,IF($CL383=Constants!$B$6,COUNTA($C$9:$C$508)+1,IF($CL383=Constants!$B$5,COUNTA($C$9:$C$508),$CL383))))</f>
        <v/>
      </c>
      <c r="CN383" s="8"/>
      <c r="CO383" s="100" t="n">
        <f aca="false">IF(OR(ISNUMBER($CL383),$CL383=Constants!$B$7,$CL383=Constants!$B$5,$CL383=Constants!$B$6),1,0)</f>
        <v>0</v>
      </c>
      <c r="CP383" s="100" t="n">
        <v>375</v>
      </c>
      <c r="CQ383" s="100" t="str">
        <f aca="false">IF(ISBLANK($C383),"",IF(ISNUMBER($CM383),$CM383+ROW($B383)/1000,""))</f>
        <v/>
      </c>
      <c r="CR383" s="100" t="str">
        <f aca="false">IF(ISNUMBER($CQ383),RANK($CQ383,$CQ$9:$CQ$508,1),"")</f>
        <v/>
      </c>
      <c r="CS383" s="100" t="str">
        <f aca="false">IF(ISBLANK($C383),"",$B383)</f>
        <v/>
      </c>
      <c r="CT383" s="100" t="str">
        <f aca="false">IF(ISBLANK($C383),"",$C383)</f>
        <v/>
      </c>
      <c r="CU383" s="100" t="str">
        <f aca="false">IF(ISBLANK($C383),"",$D383)</f>
        <v/>
      </c>
      <c r="CV383" s="101" t="str">
        <f aca="false">$CJ383</f>
        <v/>
      </c>
      <c r="CW383" s="102" t="str">
        <f aca="false">$CI383</f>
        <v/>
      </c>
      <c r="CX383" s="100" t="str">
        <f aca="false">IF(ISBLANK($C383),"",$CL383)</f>
        <v/>
      </c>
      <c r="CY383" s="103" t="str">
        <f aca="false">IF($CP383&gt;$CO$8,"",VLOOKUP($CP383,$CR$9:$CX$508,7,FALSE()))</f>
        <v/>
      </c>
      <c r="CZ383" s="104" t="str">
        <f aca="false">IF($CP383&gt;$CO$8,"",VLOOKUP($CP383,$CR$9:$CX$508,2,FALSE()))</f>
        <v/>
      </c>
      <c r="DA383" s="104" t="str">
        <f aca="false">IF($CP383&gt;$CO$8,"",VLOOKUP($CP383,$CR$9:$CX$508,3,FALSE()))</f>
        <v/>
      </c>
      <c r="DB383" s="104" t="str">
        <f aca="false">IF($CP383&gt;$CO$8,"",VLOOKUP($CP383,$CR$9:$CX$508,4,FALSE()))</f>
        <v/>
      </c>
      <c r="DC383" s="104" t="str">
        <f aca="false">IF($CP383&gt;$CO$8,"",VLOOKUP($CP383,$CR$9:$CX$508,5,FALSE()))</f>
        <v/>
      </c>
      <c r="DD383" s="105" t="str">
        <f aca="false">IF($CP383&gt;$CO$8,"",VLOOKUP($CP383,$CR$9:$CX$508,6,FALSE()))</f>
        <v/>
      </c>
      <c r="DE383" s="70"/>
    </row>
    <row r="384" customFormat="false" ht="15.75" hidden="false" customHeight="false" outlineLevel="0" collapsed="false">
      <c r="A384" s="8"/>
      <c r="B384" s="146"/>
      <c r="C384" s="147"/>
      <c r="D384" s="148"/>
      <c r="E384" s="164"/>
      <c r="F384" s="150"/>
      <c r="G384" s="115"/>
      <c r="H384" s="115"/>
      <c r="I384" s="115"/>
      <c r="J384" s="165"/>
      <c r="K384" s="154"/>
      <c r="L384" s="154"/>
      <c r="M384" s="118"/>
      <c r="N384" s="154"/>
      <c r="O384" s="153"/>
      <c r="P384" s="154"/>
      <c r="Q384" s="154"/>
      <c r="R384" s="154"/>
      <c r="S384" s="115"/>
      <c r="T384" s="154"/>
      <c r="U384" s="153"/>
      <c r="V384" s="154"/>
      <c r="W384" s="123"/>
      <c r="X384" s="124" t="str">
        <f aca="false">IF(ISBLANK($C384),"",IF($E384=Constants!$B$2,TRUE(),IF($E384=Constants!$B$3,FALSE(),TRUE())))</f>
        <v/>
      </c>
      <c r="Y384" s="124" t="str">
        <f aca="false">IF(ISBLANK($C384),"",IF($F384=Constants!$B$2,TRUE(),IF($F384=Constants!$B$3,FALSE(),TRUE())))</f>
        <v/>
      </c>
      <c r="Z384" s="125" t="str">
        <f aca="false">IF(ISBLANK($C384),"",IF(ISNUMBER($G384),IF($G384&gt;=0,$G384,""),""))</f>
        <v/>
      </c>
      <c r="AA384" s="125" t="str">
        <f aca="false">IF(ISBLANK($C384),"",IF(ISNUMBER($H384),IF($H384&gt;=0,$H384,""),""))</f>
        <v/>
      </c>
      <c r="AB384" s="125" t="str">
        <f aca="false">IF(ISBLANK($C384),"",IF(ISNUMBER($I384),IF($I384&gt;=0,$I384,""),""))</f>
        <v/>
      </c>
      <c r="AC384" s="124" t="str">
        <f aca="false">IF(ISBLANK($C384),"",IF($J384=Constants!$B$2,TRUE(),IF($J384=Constants!$B$3,FALSE(),TRUE())))</f>
        <v/>
      </c>
      <c r="AD384" s="124" t="str">
        <f aca="false">IF(ISBLANK($C384),"",IF($K384=Constants!$B$2,TRUE(),IF($K384=Constants!$B$3,FALSE(),TRUE())))</f>
        <v/>
      </c>
      <c r="AE384" s="124" t="str">
        <f aca="false">IF(ISBLANK($C384),"",IF($L384=Constants!$B$2,TRUE(),IF($L384=Constants!$B$3,FALSE(),TRUE())))</f>
        <v/>
      </c>
      <c r="AF384" s="126" t="str">
        <f aca="false">IF(ISBLANK($C384),"",IF(ISNUMBER($M384),IF($M384&gt;=0,$M384,""),""))</f>
        <v/>
      </c>
      <c r="AG384" s="124" t="str">
        <f aca="false">IF(ISBLANK($C384),"",IF(ISBLANK($N384),0,IF(ISNUMBER($N384),IF(AND($N384&gt;=0,$N384&lt;=Constants!$B$17,$N384=INT($N384)),$N384,""),"")))</f>
        <v/>
      </c>
      <c r="AH384" s="125" t="str">
        <f aca="false">IF(ISBLANK($C384),"",IF(ISBLANK($O384),0,IF(ISNUMBER($O384),IF($O384&gt;=0,$O384,""),"")))</f>
        <v/>
      </c>
      <c r="AI384" s="124" t="str">
        <f aca="false">IF(ISBLANK($C384),"",IF($P384=Constants!$B$2,TRUE(),IF($P384=Constants!$B$3,FALSE(),TRUE())))</f>
        <v/>
      </c>
      <c r="AJ384" s="124" t="str">
        <f aca="false">IF(ISBLANK($C384),"",IF($Q384=Constants!$B$2,TRUE(),IF($Q384=Constants!$B$3,FALSE(),TRUE())))</f>
        <v/>
      </c>
      <c r="AK384" s="124" t="str">
        <f aca="false">IF(ISBLANK($C384),"",IF($R384=Constants!$B$2,TRUE(),IF($R384=Constants!$B$3,FALSE(),TRUE())))</f>
        <v/>
      </c>
      <c r="AL384" s="126" t="str">
        <f aca="false">IF(ISBLANK($C384),"",IF(ISNUMBER($S384),IF($S384&gt;=0,$S384,""),""))</f>
        <v/>
      </c>
      <c r="AM384" s="124" t="str">
        <f aca="false">IF(ISBLANK($C384),"",IF(ISBLANK($T384),0,IF(ISNUMBER($T384),IF(AND($T384&gt;=0,$T384&lt;=Constants!$B$17,$T384=INT($T384)),$T384,""),"")))</f>
        <v/>
      </c>
      <c r="AN384" s="125" t="str">
        <f aca="false">IF(ISBLANK($C384),"",IF(ISBLANK($U384),0,IF(ISNUMBER($U384),IF($U384&gt;=0,$U384,""),"")))</f>
        <v/>
      </c>
      <c r="AO384" s="124" t="str">
        <f aca="false">IF(ISBLANK($C384),"",IF($V384=Constants!$B$2,TRUE(),IF($V384=Constants!$B$3,FALSE(),FALSE())))</f>
        <v/>
      </c>
      <c r="AP384" s="124"/>
      <c r="AQ384" s="123" t="str">
        <f aca="false">IF(ISBLANK($C384),"",AND($Y384,OR($AS384,$BC384),OR($Z384="",$AA384="",$AB384="")))</f>
        <v/>
      </c>
      <c r="AR384" s="123" t="str">
        <f aca="false">IF(ISBLANK($C384),"",IF(OR(NOT($Y384),NOT(OR($AS384,$BC384))),"",IF(ISBLANK($D$7),$AR$5,IF($AP$9="",$AR$6,""))))</f>
        <v/>
      </c>
      <c r="AS384" s="123" t="str">
        <f aca="false">IF(ISBLANK($C384),"",COUNTA($J384:$O384)&gt;0)</f>
        <v/>
      </c>
      <c r="AT384" s="123" t="str">
        <f aca="false">IF(ISBLANK($C384),"",AND($AS384,OR(AND($AF384="",OR($AE384,NOT(ISBLANK($M384)))),$AG384="",$AH384="")))</f>
        <v/>
      </c>
      <c r="AU384" s="125" t="str">
        <f aca="false">IF($BL384&lt;&gt;Constants!$B$4,"",IF(NOT($AS384),"",ROUND((Constants!$B$12-$AB384)+(Constants!$B$13-$Z384)+(Constants!$B$14-$AA384),1)))</f>
        <v/>
      </c>
      <c r="AV384" s="127" t="str">
        <f aca="false">IF($BL384&lt;&gt;Constants!$B$4,"",IF(NOT($AS384),"",IF(NOT($AE384),0,Constants!$B$15*(INT(ROUND(MIN($AF384,$AP$9),6))-INT(ROUND(MAX(0,MIN($AF384,2*$AP$9)-$AP$9),6))))))</f>
        <v/>
      </c>
      <c r="AW384" s="127" t="str">
        <f aca="false">IF($BL384&lt;&gt;Constants!$B$4,"",IF(NOT($AS384),"",Constants!$B$16*$AG384))</f>
        <v/>
      </c>
      <c r="AX384" s="127" t="str">
        <f aca="false">IF($BL384&lt;&gt;Constants!$B$4,"",IF(NOT($AS384),"",Constants!$B$18*INT(ROUND($AH384,6))))</f>
        <v/>
      </c>
      <c r="AY384" s="123" t="str">
        <f aca="false">IF($BL384&lt;&gt;Constants!$B$4,"",IF(NOT($AS384),"",IF(NOT($X384),Constants!$B$11,IF(OR(NOT($AC384),NOT($AD384),ROUND($AB384,1)&gt;Constants!$B$12,ROUND($Z384,1)&gt;Constants!$B$13,ROUND($AA384,1)&gt;Constants!$B$14),Constants!$B$10,Constants!$B$9))))</f>
        <v/>
      </c>
      <c r="AZ384" s="128" t="str">
        <f aca="false">IF($BL384&lt;&gt;Constants!$B$4,"",IF(NOT($AS384),"",ROUND($AU384+$AV384+$AW384+$AX384,1)))</f>
        <v/>
      </c>
      <c r="BA384" s="129" t="str">
        <f aca="false">IF($BL384&lt;&gt;Constants!$B$4,"",IF(NOT($AS384),"",IF(ISNUMBER($AF384),$AF384,0)))</f>
        <v/>
      </c>
      <c r="BB384" s="124" t="str">
        <f aca="false">IF($BL384&lt;&gt;Constants!$B$4,"",IF(NOT($BC384),"&lt;-",IF(NOT($AS384),"-&gt;",IF(OR($BI384&lt;$AY384,AND($BI384=$AY384,OR($BJ384&gt;$AZ384,AND($BJ384=$AZ384,OR($BH384&gt;$AX384,AND($BH384=$AX384,OR($BE384&gt;$AU384,AND($BE384=$AU384,OR($BF384&gt;$AV384,AND($BF384=$AV384,$BK384&gt;$BA384)))))))))),"-&gt;","&lt;-"))))</f>
        <v/>
      </c>
      <c r="BC384" s="123" t="str">
        <f aca="false">IF(ISBLANK($C384),"",COUNTA($P384:$U384)&gt;0)</f>
        <v/>
      </c>
      <c r="BD384" s="123" t="str">
        <f aca="false">IF(ISBLANK($C384),"",AND($BC384,OR(AND($AL384="",OR($AK384,NOT(ISBLANK($S384)))),$AM384="",$AN384="")))</f>
        <v/>
      </c>
      <c r="BE384" s="125" t="str">
        <f aca="false">IF($BL384&lt;&gt;Constants!$B$4,"",IF(NOT($BC384),"",ROUND((Constants!$B$12-$AB384)+(Constants!$B$13-$Z384)+(Constants!$B$14-$AA384),1)))</f>
        <v/>
      </c>
      <c r="BF384" s="127" t="str">
        <f aca="false">IF($BL384&lt;&gt;Constants!$B$4,"",IF(NOT($BC384),"",IF(NOT($AK384),0,Constants!$B$15*(INT(ROUND(MIN($AL384,$AP$9),6))-INT(ROUND(MAX(0,MIN($AL384,2*$AP$9)-$AP$9),6))))))</f>
        <v/>
      </c>
      <c r="BG384" s="127" t="str">
        <f aca="false">IF($BL384&lt;&gt;Constants!$B$4,"",IF(NOT($BC384),"",Constants!$B$16*$AM384))</f>
        <v/>
      </c>
      <c r="BH384" s="127" t="str">
        <f aca="false">IF($BL384&lt;&gt;Constants!$B$4,"",IF(NOT($BC384),"",Constants!$B$18*INT(ROUND($AN384,6))))</f>
        <v/>
      </c>
      <c r="BI384" s="123" t="str">
        <f aca="false">IF($BL384&lt;&gt;Constants!$B$4,"",IF(NOT($BC384),"",IF(NOT($X384),Constants!$B$11,IF(OR(NOT($AI384),NOT($AJ384),ROUND($AB384,1)&gt;Constants!$B$12,ROUND($Z384,1)&gt;Constants!$B$13,ROUND($AA384,1)&gt;Constants!$B$14),Constants!$B$10,Constants!$B$9))))</f>
        <v/>
      </c>
      <c r="BJ384" s="128" t="str">
        <f aca="false">IF($BL384&lt;&gt;Constants!$B$4,"",IF(NOT($BC384),"",ROUND($BE384+$BF384+$BG384+$BH384,1)))</f>
        <v/>
      </c>
      <c r="BK384" s="129" t="str">
        <f aca="false">IF($BL384&lt;&gt;Constants!$B$4,"",IF(NOT($BC384),"",IF(ISNUMBER($AL384),$AL384,0)))</f>
        <v/>
      </c>
      <c r="BL384" s="124" t="str">
        <f aca="false">IF(ISBLANK($C384),"",IF($AO384,Constants!$B$7,IF(COUNTA($E384:$V384)=0,Constants!$B$6,IF(NOT($Y384),Constants!$B$5,IF(NOT(OR($AS384,$BC384)),Constants!$B$5,IF(OR($AT384,$BD384,$AQ384,$AR384&lt;&gt;""),Constants!$B$8,Constants!$B$4))))))</f>
        <v/>
      </c>
      <c r="BM384" s="124" t="str">
        <f aca="false">IF(ISBLANK($C384),"",IF($BL384&lt;&gt;Constants!$B$4,$BL384,IF($BB384="-&gt;",$BI384,$AY384)))</f>
        <v/>
      </c>
      <c r="BN384" s="127" t="str">
        <f aca="false">IF($BL384&lt;&gt;Constants!$B$4,"",IF($BB384="-&gt;",$BJ384,$AZ384))</f>
        <v/>
      </c>
      <c r="BO384" s="127" t="str">
        <f aca="false">IF(ISBLANK($C384),"",IF($BL384&lt;&gt;Constants!$B$4,$BL384,$BN384))</f>
        <v/>
      </c>
      <c r="BP384" s="124" t="str">
        <f aca="false">IF(ISBLANK($C384),"",IF($BL384&lt;&gt;Constants!$B$4,$BL384,RANK($BO384,$BO$9:$BO$508,0)))</f>
        <v/>
      </c>
      <c r="BQ384" s="124" t="str">
        <f aca="false">IF(ISBLANK($C384),"",IF($BL384&lt;&gt;Constants!$B$4,$BL384,COUNTIFS($BM$9:$BM$508,"&lt;"&amp;$BM384)+COUNTIFS($BM$9:$BM$508,$BM384,$BP$9:$BP$508,"&lt;"&amp;$BP384)+1))</f>
        <v/>
      </c>
      <c r="BR384" s="127" t="str">
        <f aca="false">IF($BL384&lt;&gt;Constants!$B$4,"",IF($BB384="-&gt;",$BH384,$AX384))</f>
        <v/>
      </c>
      <c r="BS384" s="124" t="str">
        <f aca="false">IF(ISBLANK($C384),"",IF($BL384&lt;&gt;Constants!$B$4,$BL384,IF(ISNUMBER($BR384),RANK($BR384,$BR$9:$BR$508,0),COUNT($BR$9:$BR$508)+1)))</f>
        <v/>
      </c>
      <c r="BT384" s="127" t="str">
        <f aca="false">IF($BL384&lt;&gt;Constants!$B$4,"",IF($BB384="-&gt;",$BE384,$AU384))</f>
        <v/>
      </c>
      <c r="BU384" s="124" t="str">
        <f aca="false">IF(ISBLANK($C384),"",IF($BL384&lt;&gt;Constants!$B$4,$BL384,IF(ISNUMBER($BT384),RANK($BT384,$BT$9:$BT$508,0),COUNT($BT$9:$BT$508)+1)))</f>
        <v/>
      </c>
      <c r="BV384" s="127" t="str">
        <f aca="false">IF($BL384&lt;&gt;Constants!$B$4,"",IF($BB384="-&gt;",$BF384,$AV384))</f>
        <v/>
      </c>
      <c r="BW384" s="124" t="str">
        <f aca="false">IF(ISBLANK($C384),"",IF($BL384&lt;&gt;Constants!$B$4,$BL384,IF(ISNUMBER($BV384),RANK($BV384,$BV$9:$BV$508,0),COUNT($BV$9:$BV$508)+1)))</f>
        <v/>
      </c>
      <c r="BX384" s="127" t="str">
        <f aca="false">IF($BL384&lt;&gt;Constants!$B$4,"",IF($BB384="-&gt;",$BK384,$BA384))</f>
        <v/>
      </c>
      <c r="BY384" s="124" t="str">
        <f aca="false">IF(ISBLANK($C384),"",IF($BL384&lt;&gt;Constants!$B$4,$BL384,IF(ISNUMBER($BX384),RANK($BX384,$BX$9:$BX$508,0),COUNT($BX$9:$BX$508)+1)))</f>
        <v/>
      </c>
      <c r="BZ384" s="124" t="str">
        <f aca="false">IF(ISBLANK($C384),"",IF($BL384&lt;&gt;Constants!$B$4,$BL384,COUNTIFS($BM$9:$BM$508,"&lt;"&amp;$BM384)+COUNTIFS($BM$9:$BM$508,$BM384,$BP$9:$BP$508,"&lt;"&amp;$BP384)+COUNTIFS($BM$9:$BM$508,$BM384,$BP$9:$BP$508,$BP384,$BS$9:$BS$508,"&lt;"&amp;$BS384)+COUNTIFS($BM$9:$BM$508,$BM384,$BP$9:$BP$508,$BP384,$BS$9:$BS$508,$BS384,$BU$9:$BU$508,"&lt;"&amp;$BU384)+COUNTIFS($BM$9:$BM$508,$BM384,$BP$9:$BP$508,$BP384,$BS$9:$BS$508,$BS384,$BU$9:$BU$508,$BU384,$BW$9:$BW$508,"&lt;"&amp;$BW384)+COUNTIFS($BM$9:$BM$508,$BM384,$BP$9:$BP$508,$BP384,$BS$9:$BS$508,$BS384,$BU$9:$BU$508,$BU384,$BW$9:$BW$508,$BW384,$BY$9:$BY$508,"&lt;"&amp;$BY384)+1))</f>
        <v/>
      </c>
      <c r="CA384" s="124" t="str">
        <f aca="false">IF(ISBLANK($C384),"",IF($BL384&lt;&gt;Constants!$B$4,$BL384,$BQ384-$BZ384))</f>
        <v/>
      </c>
      <c r="CB384" s="130"/>
      <c r="CC384" s="131" t="str">
        <f aca="false">IF(ISBLANK($C384),"",IF($BL384=Constants!$B$8,$AR384,""))</f>
        <v/>
      </c>
      <c r="CD384" s="131" t="str">
        <f aca="false">IF(ISBLANK($C384),"",IF($BL384&lt;&gt;Constants!$B$4,"",IF($BB384="-&gt;",2,1)))</f>
        <v/>
      </c>
      <c r="CE384" s="132" t="str">
        <f aca="false">IF(ISBLANK($C384),"",IF($BL384&lt;&gt;Constants!$B$4,"",IF($BB384="-&gt;",$BE384,$AU384)))</f>
        <v/>
      </c>
      <c r="CF384" s="132" t="str">
        <f aca="false">IF(ISBLANK($C384),"",IF($BL384&lt;&gt;Constants!$B$4,"",IF($BB384="-&gt;",$BF384,$AV384)))</f>
        <v/>
      </c>
      <c r="CG384" s="132" t="str">
        <f aca="false">IF(ISBLANK($C384),"",IF($BL384&lt;&gt;Constants!$B$4,"",IF($BB384="-&gt;",$BG384,$AW384)))</f>
        <v/>
      </c>
      <c r="CH384" s="132" t="str">
        <f aca="false">IF(ISBLANK($C384),"",IF($BL384&lt;&gt;Constants!$B$4,"",IF($BB384="-&gt;",$BH384,$AX384)))</f>
        <v/>
      </c>
      <c r="CI384" s="133" t="str">
        <f aca="false">IF(ISBLANK($C384),"",$BO384)</f>
        <v/>
      </c>
      <c r="CJ384" s="134" t="str">
        <f aca="false">IF(ISBLANK($C384),"",$BM384)</f>
        <v/>
      </c>
      <c r="CK384" s="135" t="str">
        <f aca="false">IF(ISBLANK($C384),"",$CA384)</f>
        <v/>
      </c>
      <c r="CL384" s="135" t="str">
        <f aca="false">IF(ISBLANK($C384),"",$BZ384)</f>
        <v/>
      </c>
      <c r="CM384" s="136" t="str">
        <f aca="false">IF(ISBLANK($C384),"",IF($CL384=Constants!$B$7,COUNTA($C$9:$C$508)+2,IF($CL384=Constants!$B$6,COUNTA($C$9:$C$508)+1,IF($CL384=Constants!$B$5,COUNTA($C$9:$C$508),$CL384))))</f>
        <v/>
      </c>
      <c r="CN384" s="8"/>
      <c r="CO384" s="137" t="n">
        <f aca="false">IF(OR(ISNUMBER($CL384),$CL384=Constants!$B$7,$CL384=Constants!$B$5,$CL384=Constants!$B$6),1,0)</f>
        <v>0</v>
      </c>
      <c r="CP384" s="137" t="n">
        <v>376</v>
      </c>
      <c r="CQ384" s="137" t="str">
        <f aca="false">IF(ISBLANK($C384),"",IF(ISNUMBER($CM384),$CM384+ROW($B384)/1000,""))</f>
        <v/>
      </c>
      <c r="CR384" s="137" t="str">
        <f aca="false">IF(ISNUMBER($CQ384),RANK($CQ384,$CQ$9:$CQ$508,1),"")</f>
        <v/>
      </c>
      <c r="CS384" s="137" t="str">
        <f aca="false">IF(ISBLANK($C384),"",$B384)</f>
        <v/>
      </c>
      <c r="CT384" s="137" t="str">
        <f aca="false">IF(ISBLANK($C384),"",$C384)</f>
        <v/>
      </c>
      <c r="CU384" s="137" t="str">
        <f aca="false">IF(ISBLANK($C384),"",$D384)</f>
        <v/>
      </c>
      <c r="CV384" s="138" t="str">
        <f aca="false">$CJ384</f>
        <v/>
      </c>
      <c r="CW384" s="139" t="str">
        <f aca="false">$CI384</f>
        <v/>
      </c>
      <c r="CX384" s="137" t="str">
        <f aca="false">IF(ISBLANK($C384),"",$CL384)</f>
        <v/>
      </c>
      <c r="CY384" s="140" t="str">
        <f aca="false">IF($CP384&gt;$CO$8,"",VLOOKUP($CP384,$CR$9:$CX$508,7,FALSE()))</f>
        <v/>
      </c>
      <c r="CZ384" s="141" t="str">
        <f aca="false">IF($CP384&gt;$CO$8,"",VLOOKUP($CP384,$CR$9:$CX$508,2,FALSE()))</f>
        <v/>
      </c>
      <c r="DA384" s="141" t="str">
        <f aca="false">IF($CP384&gt;$CO$8,"",VLOOKUP($CP384,$CR$9:$CX$508,3,FALSE()))</f>
        <v/>
      </c>
      <c r="DB384" s="141" t="str">
        <f aca="false">IF($CP384&gt;$CO$8,"",VLOOKUP($CP384,$CR$9:$CX$508,4,FALSE()))</f>
        <v/>
      </c>
      <c r="DC384" s="141" t="str">
        <f aca="false">IF($CP384&gt;$CO$8,"",VLOOKUP($CP384,$CR$9:$CX$508,5,FALSE()))</f>
        <v/>
      </c>
      <c r="DD384" s="142" t="str">
        <f aca="false">IF($CP384&gt;$CO$8,"",VLOOKUP($CP384,$CR$9:$CX$508,6,FALSE()))</f>
        <v/>
      </c>
      <c r="DE384" s="70"/>
    </row>
    <row r="385" customFormat="false" ht="15.75" hidden="false" customHeight="false" outlineLevel="0" collapsed="false">
      <c r="A385" s="8"/>
      <c r="B385" s="146"/>
      <c r="C385" s="147"/>
      <c r="D385" s="148"/>
      <c r="E385" s="164"/>
      <c r="F385" s="150"/>
      <c r="G385" s="115"/>
      <c r="H385" s="115"/>
      <c r="I385" s="115"/>
      <c r="J385" s="165"/>
      <c r="K385" s="154"/>
      <c r="L385" s="154"/>
      <c r="M385" s="118"/>
      <c r="N385" s="154"/>
      <c r="O385" s="153"/>
      <c r="P385" s="154"/>
      <c r="Q385" s="154"/>
      <c r="R385" s="154"/>
      <c r="S385" s="115"/>
      <c r="T385" s="154"/>
      <c r="U385" s="153"/>
      <c r="V385" s="154"/>
      <c r="W385" s="123"/>
      <c r="X385" s="124" t="str">
        <f aca="false">IF(ISBLANK($C385),"",IF($E385=Constants!$B$2,TRUE(),IF($E385=Constants!$B$3,FALSE(),TRUE())))</f>
        <v/>
      </c>
      <c r="Y385" s="124" t="str">
        <f aca="false">IF(ISBLANK($C385),"",IF($F385=Constants!$B$2,TRUE(),IF($F385=Constants!$B$3,FALSE(),TRUE())))</f>
        <v/>
      </c>
      <c r="Z385" s="125" t="str">
        <f aca="false">IF(ISBLANK($C385),"",IF(ISNUMBER($G385),IF($G385&gt;=0,$G385,""),""))</f>
        <v/>
      </c>
      <c r="AA385" s="125" t="str">
        <f aca="false">IF(ISBLANK($C385),"",IF(ISNUMBER($H385),IF($H385&gt;=0,$H385,""),""))</f>
        <v/>
      </c>
      <c r="AB385" s="125" t="str">
        <f aca="false">IF(ISBLANK($C385),"",IF(ISNUMBER($I385),IF($I385&gt;=0,$I385,""),""))</f>
        <v/>
      </c>
      <c r="AC385" s="124" t="str">
        <f aca="false">IF(ISBLANK($C385),"",IF($J385=Constants!$B$2,TRUE(),IF($J385=Constants!$B$3,FALSE(),TRUE())))</f>
        <v/>
      </c>
      <c r="AD385" s="124" t="str">
        <f aca="false">IF(ISBLANK($C385),"",IF($K385=Constants!$B$2,TRUE(),IF($K385=Constants!$B$3,FALSE(),TRUE())))</f>
        <v/>
      </c>
      <c r="AE385" s="124" t="str">
        <f aca="false">IF(ISBLANK($C385),"",IF($L385=Constants!$B$2,TRUE(),IF($L385=Constants!$B$3,FALSE(),TRUE())))</f>
        <v/>
      </c>
      <c r="AF385" s="126" t="str">
        <f aca="false">IF(ISBLANK($C385),"",IF(ISNUMBER($M385),IF($M385&gt;=0,$M385,""),""))</f>
        <v/>
      </c>
      <c r="AG385" s="124" t="str">
        <f aca="false">IF(ISBLANK($C385),"",IF(ISBLANK($N385),0,IF(ISNUMBER($N385),IF(AND($N385&gt;=0,$N385&lt;=Constants!$B$17,$N385=INT($N385)),$N385,""),"")))</f>
        <v/>
      </c>
      <c r="AH385" s="125" t="str">
        <f aca="false">IF(ISBLANK($C385),"",IF(ISBLANK($O385),0,IF(ISNUMBER($O385),IF($O385&gt;=0,$O385,""),"")))</f>
        <v/>
      </c>
      <c r="AI385" s="124" t="str">
        <f aca="false">IF(ISBLANK($C385),"",IF($P385=Constants!$B$2,TRUE(),IF($P385=Constants!$B$3,FALSE(),TRUE())))</f>
        <v/>
      </c>
      <c r="AJ385" s="124" t="str">
        <f aca="false">IF(ISBLANK($C385),"",IF($Q385=Constants!$B$2,TRUE(),IF($Q385=Constants!$B$3,FALSE(),TRUE())))</f>
        <v/>
      </c>
      <c r="AK385" s="124" t="str">
        <f aca="false">IF(ISBLANK($C385),"",IF($R385=Constants!$B$2,TRUE(),IF($R385=Constants!$B$3,FALSE(),TRUE())))</f>
        <v/>
      </c>
      <c r="AL385" s="126" t="str">
        <f aca="false">IF(ISBLANK($C385),"",IF(ISNUMBER($S385),IF($S385&gt;=0,$S385,""),""))</f>
        <v/>
      </c>
      <c r="AM385" s="124" t="str">
        <f aca="false">IF(ISBLANK($C385),"",IF(ISBLANK($T385),0,IF(ISNUMBER($T385),IF(AND($T385&gt;=0,$T385&lt;=Constants!$B$17,$T385=INT($T385)),$T385,""),"")))</f>
        <v/>
      </c>
      <c r="AN385" s="125" t="str">
        <f aca="false">IF(ISBLANK($C385),"",IF(ISBLANK($U385),0,IF(ISNUMBER($U385),IF($U385&gt;=0,$U385,""),"")))</f>
        <v/>
      </c>
      <c r="AO385" s="124" t="str">
        <f aca="false">IF(ISBLANK($C385),"",IF($V385=Constants!$B$2,TRUE(),IF($V385=Constants!$B$3,FALSE(),FALSE())))</f>
        <v/>
      </c>
      <c r="AP385" s="124"/>
      <c r="AQ385" s="123" t="str">
        <f aca="false">IF(ISBLANK($C385),"",AND($Y385,OR($AS385,$BC385),OR($Z385="",$AA385="",$AB385="")))</f>
        <v/>
      </c>
      <c r="AR385" s="123" t="str">
        <f aca="false">IF(ISBLANK($C385),"",IF(OR(NOT($Y385),NOT(OR($AS385,$BC385))),"",IF(ISBLANK($D$7),$AR$5,IF($AP$9="",$AR$6,""))))</f>
        <v/>
      </c>
      <c r="AS385" s="123" t="str">
        <f aca="false">IF(ISBLANK($C385),"",COUNTA($J385:$O385)&gt;0)</f>
        <v/>
      </c>
      <c r="AT385" s="123" t="str">
        <f aca="false">IF(ISBLANK($C385),"",AND($AS385,OR(AND($AF385="",OR($AE385,NOT(ISBLANK($M385)))),$AG385="",$AH385="")))</f>
        <v/>
      </c>
      <c r="AU385" s="125" t="str">
        <f aca="false">IF($BL385&lt;&gt;Constants!$B$4,"",IF(NOT($AS385),"",ROUND((Constants!$B$12-$AB385)+(Constants!$B$13-$Z385)+(Constants!$B$14-$AA385),1)))</f>
        <v/>
      </c>
      <c r="AV385" s="127" t="str">
        <f aca="false">IF($BL385&lt;&gt;Constants!$B$4,"",IF(NOT($AS385),"",IF(NOT($AE385),0,Constants!$B$15*(INT(ROUND(MIN($AF385,$AP$9),6))-INT(ROUND(MAX(0,MIN($AF385,2*$AP$9)-$AP$9),6))))))</f>
        <v/>
      </c>
      <c r="AW385" s="127" t="str">
        <f aca="false">IF($BL385&lt;&gt;Constants!$B$4,"",IF(NOT($AS385),"",Constants!$B$16*$AG385))</f>
        <v/>
      </c>
      <c r="AX385" s="127" t="str">
        <f aca="false">IF($BL385&lt;&gt;Constants!$B$4,"",IF(NOT($AS385),"",Constants!$B$18*INT(ROUND($AH385,6))))</f>
        <v/>
      </c>
      <c r="AY385" s="123" t="str">
        <f aca="false">IF($BL385&lt;&gt;Constants!$B$4,"",IF(NOT($AS385),"",IF(NOT($X385),Constants!$B$11,IF(OR(NOT($AC385),NOT($AD385),ROUND($AB385,1)&gt;Constants!$B$12,ROUND($Z385,1)&gt;Constants!$B$13,ROUND($AA385,1)&gt;Constants!$B$14),Constants!$B$10,Constants!$B$9))))</f>
        <v/>
      </c>
      <c r="AZ385" s="128" t="str">
        <f aca="false">IF($BL385&lt;&gt;Constants!$B$4,"",IF(NOT($AS385),"",ROUND($AU385+$AV385+$AW385+$AX385,1)))</f>
        <v/>
      </c>
      <c r="BA385" s="129" t="str">
        <f aca="false">IF($BL385&lt;&gt;Constants!$B$4,"",IF(NOT($AS385),"",IF(ISNUMBER($AF385),$AF385,0)))</f>
        <v/>
      </c>
      <c r="BB385" s="124" t="str">
        <f aca="false">IF($BL385&lt;&gt;Constants!$B$4,"",IF(NOT($BC385),"&lt;-",IF(NOT($AS385),"-&gt;",IF(OR($BI385&lt;$AY385,AND($BI385=$AY385,OR($BJ385&gt;$AZ385,AND($BJ385=$AZ385,OR($BH385&gt;$AX385,AND($BH385=$AX385,OR($BE385&gt;$AU385,AND($BE385=$AU385,OR($BF385&gt;$AV385,AND($BF385=$AV385,$BK385&gt;$BA385)))))))))),"-&gt;","&lt;-"))))</f>
        <v/>
      </c>
      <c r="BC385" s="123" t="str">
        <f aca="false">IF(ISBLANK($C385),"",COUNTA($P385:$U385)&gt;0)</f>
        <v/>
      </c>
      <c r="BD385" s="123" t="str">
        <f aca="false">IF(ISBLANK($C385),"",AND($BC385,OR(AND($AL385="",OR($AK385,NOT(ISBLANK($S385)))),$AM385="",$AN385="")))</f>
        <v/>
      </c>
      <c r="BE385" s="125" t="str">
        <f aca="false">IF($BL385&lt;&gt;Constants!$B$4,"",IF(NOT($BC385),"",ROUND((Constants!$B$12-$AB385)+(Constants!$B$13-$Z385)+(Constants!$B$14-$AA385),1)))</f>
        <v/>
      </c>
      <c r="BF385" s="127" t="str">
        <f aca="false">IF($BL385&lt;&gt;Constants!$B$4,"",IF(NOT($BC385),"",IF(NOT($AK385),0,Constants!$B$15*(INT(ROUND(MIN($AL385,$AP$9),6))-INT(ROUND(MAX(0,MIN($AL385,2*$AP$9)-$AP$9),6))))))</f>
        <v/>
      </c>
      <c r="BG385" s="127" t="str">
        <f aca="false">IF($BL385&lt;&gt;Constants!$B$4,"",IF(NOT($BC385),"",Constants!$B$16*$AM385))</f>
        <v/>
      </c>
      <c r="BH385" s="127" t="str">
        <f aca="false">IF($BL385&lt;&gt;Constants!$B$4,"",IF(NOT($BC385),"",Constants!$B$18*INT(ROUND($AN385,6))))</f>
        <v/>
      </c>
      <c r="BI385" s="123" t="str">
        <f aca="false">IF($BL385&lt;&gt;Constants!$B$4,"",IF(NOT($BC385),"",IF(NOT($X385),Constants!$B$11,IF(OR(NOT($AI385),NOT($AJ385),ROUND($AB385,1)&gt;Constants!$B$12,ROUND($Z385,1)&gt;Constants!$B$13,ROUND($AA385,1)&gt;Constants!$B$14),Constants!$B$10,Constants!$B$9))))</f>
        <v/>
      </c>
      <c r="BJ385" s="128" t="str">
        <f aca="false">IF($BL385&lt;&gt;Constants!$B$4,"",IF(NOT($BC385),"",ROUND($BE385+$BF385+$BG385+$BH385,1)))</f>
        <v/>
      </c>
      <c r="BK385" s="129" t="str">
        <f aca="false">IF($BL385&lt;&gt;Constants!$B$4,"",IF(NOT($BC385),"",IF(ISNUMBER($AL385),$AL385,0)))</f>
        <v/>
      </c>
      <c r="BL385" s="124" t="str">
        <f aca="false">IF(ISBLANK($C385),"",IF($AO385,Constants!$B$7,IF(COUNTA($E385:$V385)=0,Constants!$B$6,IF(NOT($Y385),Constants!$B$5,IF(NOT(OR($AS385,$BC385)),Constants!$B$5,IF(OR($AT385,$BD385,$AQ385,$AR385&lt;&gt;""),Constants!$B$8,Constants!$B$4))))))</f>
        <v/>
      </c>
      <c r="BM385" s="124" t="str">
        <f aca="false">IF(ISBLANK($C385),"",IF($BL385&lt;&gt;Constants!$B$4,$BL385,IF($BB385="-&gt;",$BI385,$AY385)))</f>
        <v/>
      </c>
      <c r="BN385" s="127" t="str">
        <f aca="false">IF($BL385&lt;&gt;Constants!$B$4,"",IF($BB385="-&gt;",$BJ385,$AZ385))</f>
        <v/>
      </c>
      <c r="BO385" s="127" t="str">
        <f aca="false">IF(ISBLANK($C385),"",IF($BL385&lt;&gt;Constants!$B$4,$BL385,$BN385))</f>
        <v/>
      </c>
      <c r="BP385" s="124" t="str">
        <f aca="false">IF(ISBLANK($C385),"",IF($BL385&lt;&gt;Constants!$B$4,$BL385,RANK($BO385,$BO$9:$BO$508,0)))</f>
        <v/>
      </c>
      <c r="BQ385" s="124" t="str">
        <f aca="false">IF(ISBLANK($C385),"",IF($BL385&lt;&gt;Constants!$B$4,$BL385,COUNTIFS($BM$9:$BM$508,"&lt;"&amp;$BM385)+COUNTIFS($BM$9:$BM$508,$BM385,$BP$9:$BP$508,"&lt;"&amp;$BP385)+1))</f>
        <v/>
      </c>
      <c r="BR385" s="127" t="str">
        <f aca="false">IF($BL385&lt;&gt;Constants!$B$4,"",IF($BB385="-&gt;",$BH385,$AX385))</f>
        <v/>
      </c>
      <c r="BS385" s="124" t="str">
        <f aca="false">IF(ISBLANK($C385),"",IF($BL385&lt;&gt;Constants!$B$4,$BL385,IF(ISNUMBER($BR385),RANK($BR385,$BR$9:$BR$508,0),COUNT($BR$9:$BR$508)+1)))</f>
        <v/>
      </c>
      <c r="BT385" s="127" t="str">
        <f aca="false">IF($BL385&lt;&gt;Constants!$B$4,"",IF($BB385="-&gt;",$BE385,$AU385))</f>
        <v/>
      </c>
      <c r="BU385" s="124" t="str">
        <f aca="false">IF(ISBLANK($C385),"",IF($BL385&lt;&gt;Constants!$B$4,$BL385,IF(ISNUMBER($BT385),RANK($BT385,$BT$9:$BT$508,0),COUNT($BT$9:$BT$508)+1)))</f>
        <v/>
      </c>
      <c r="BV385" s="127" t="str">
        <f aca="false">IF($BL385&lt;&gt;Constants!$B$4,"",IF($BB385="-&gt;",$BF385,$AV385))</f>
        <v/>
      </c>
      <c r="BW385" s="124" t="str">
        <f aca="false">IF(ISBLANK($C385),"",IF($BL385&lt;&gt;Constants!$B$4,$BL385,IF(ISNUMBER($BV385),RANK($BV385,$BV$9:$BV$508,0),COUNT($BV$9:$BV$508)+1)))</f>
        <v/>
      </c>
      <c r="BX385" s="127" t="str">
        <f aca="false">IF($BL385&lt;&gt;Constants!$B$4,"",IF($BB385="-&gt;",$BK385,$BA385))</f>
        <v/>
      </c>
      <c r="BY385" s="124" t="str">
        <f aca="false">IF(ISBLANK($C385),"",IF($BL385&lt;&gt;Constants!$B$4,$BL385,IF(ISNUMBER($BX385),RANK($BX385,$BX$9:$BX$508,0),COUNT($BX$9:$BX$508)+1)))</f>
        <v/>
      </c>
      <c r="BZ385" s="124" t="str">
        <f aca="false">IF(ISBLANK($C385),"",IF($BL385&lt;&gt;Constants!$B$4,$BL385,COUNTIFS($BM$9:$BM$508,"&lt;"&amp;$BM385)+COUNTIFS($BM$9:$BM$508,$BM385,$BP$9:$BP$508,"&lt;"&amp;$BP385)+COUNTIFS($BM$9:$BM$508,$BM385,$BP$9:$BP$508,$BP385,$BS$9:$BS$508,"&lt;"&amp;$BS385)+COUNTIFS($BM$9:$BM$508,$BM385,$BP$9:$BP$508,$BP385,$BS$9:$BS$508,$BS385,$BU$9:$BU$508,"&lt;"&amp;$BU385)+COUNTIFS($BM$9:$BM$508,$BM385,$BP$9:$BP$508,$BP385,$BS$9:$BS$508,$BS385,$BU$9:$BU$508,$BU385,$BW$9:$BW$508,"&lt;"&amp;$BW385)+COUNTIFS($BM$9:$BM$508,$BM385,$BP$9:$BP$508,$BP385,$BS$9:$BS$508,$BS385,$BU$9:$BU$508,$BU385,$BW$9:$BW$508,$BW385,$BY$9:$BY$508,"&lt;"&amp;$BY385)+1))</f>
        <v/>
      </c>
      <c r="CA385" s="124" t="str">
        <f aca="false">IF(ISBLANK($C385),"",IF($BL385&lt;&gt;Constants!$B$4,$BL385,$BQ385-$BZ385))</f>
        <v/>
      </c>
      <c r="CB385" s="130"/>
      <c r="CC385" s="131" t="str">
        <f aca="false">IF(ISBLANK($C385),"",IF($BL385=Constants!$B$8,$AR385,""))</f>
        <v/>
      </c>
      <c r="CD385" s="131" t="str">
        <f aca="false">IF(ISBLANK($C385),"",IF($BL385&lt;&gt;Constants!$B$4,"",IF($BB385="-&gt;",2,1)))</f>
        <v/>
      </c>
      <c r="CE385" s="132" t="str">
        <f aca="false">IF(ISBLANK($C385),"",IF($BL385&lt;&gt;Constants!$B$4,"",IF($BB385="-&gt;",$BE385,$AU385)))</f>
        <v/>
      </c>
      <c r="CF385" s="132" t="str">
        <f aca="false">IF(ISBLANK($C385),"",IF($BL385&lt;&gt;Constants!$B$4,"",IF($BB385="-&gt;",$BF385,$AV385)))</f>
        <v/>
      </c>
      <c r="CG385" s="132" t="str">
        <f aca="false">IF(ISBLANK($C385),"",IF($BL385&lt;&gt;Constants!$B$4,"",IF($BB385="-&gt;",$BG385,$AW385)))</f>
        <v/>
      </c>
      <c r="CH385" s="132" t="str">
        <f aca="false">IF(ISBLANK($C385),"",IF($BL385&lt;&gt;Constants!$B$4,"",IF($BB385="-&gt;",$BH385,$AX385)))</f>
        <v/>
      </c>
      <c r="CI385" s="133" t="str">
        <f aca="false">IF(ISBLANK($C385),"",$BO385)</f>
        <v/>
      </c>
      <c r="CJ385" s="134" t="str">
        <f aca="false">IF(ISBLANK($C385),"",$BM385)</f>
        <v/>
      </c>
      <c r="CK385" s="135" t="str">
        <f aca="false">IF(ISBLANK($C385),"",$CA385)</f>
        <v/>
      </c>
      <c r="CL385" s="135" t="str">
        <f aca="false">IF(ISBLANK($C385),"",$BZ385)</f>
        <v/>
      </c>
      <c r="CM385" s="136" t="str">
        <f aca="false">IF(ISBLANK($C385),"",IF($CL385=Constants!$B$7,COUNTA($C$9:$C$508)+2,IF($CL385=Constants!$B$6,COUNTA($C$9:$C$508)+1,IF($CL385=Constants!$B$5,COUNTA($C$9:$C$508),$CL385))))</f>
        <v/>
      </c>
      <c r="CN385" s="8"/>
      <c r="CO385" s="137" t="n">
        <f aca="false">IF(OR(ISNUMBER($CL385),$CL385=Constants!$B$7,$CL385=Constants!$B$5,$CL385=Constants!$B$6),1,0)</f>
        <v>0</v>
      </c>
      <c r="CP385" s="137" t="n">
        <v>377</v>
      </c>
      <c r="CQ385" s="137" t="str">
        <f aca="false">IF(ISBLANK($C385),"",IF(ISNUMBER($CM385),$CM385+ROW($B385)/1000,""))</f>
        <v/>
      </c>
      <c r="CR385" s="137" t="str">
        <f aca="false">IF(ISNUMBER($CQ385),RANK($CQ385,$CQ$9:$CQ$508,1),"")</f>
        <v/>
      </c>
      <c r="CS385" s="137" t="str">
        <f aca="false">IF(ISBLANK($C385),"",$B385)</f>
        <v/>
      </c>
      <c r="CT385" s="137" t="str">
        <f aca="false">IF(ISBLANK($C385),"",$C385)</f>
        <v/>
      </c>
      <c r="CU385" s="137" t="str">
        <f aca="false">IF(ISBLANK($C385),"",$D385)</f>
        <v/>
      </c>
      <c r="CV385" s="138" t="str">
        <f aca="false">$CJ385</f>
        <v/>
      </c>
      <c r="CW385" s="139" t="str">
        <f aca="false">$CI385</f>
        <v/>
      </c>
      <c r="CX385" s="137" t="str">
        <f aca="false">IF(ISBLANK($C385),"",$CL385)</f>
        <v/>
      </c>
      <c r="CY385" s="140" t="str">
        <f aca="false">IF($CP385&gt;$CO$8,"",VLOOKUP($CP385,$CR$9:$CX$508,7,FALSE()))</f>
        <v/>
      </c>
      <c r="CZ385" s="141" t="str">
        <f aca="false">IF($CP385&gt;$CO$8,"",VLOOKUP($CP385,$CR$9:$CX$508,2,FALSE()))</f>
        <v/>
      </c>
      <c r="DA385" s="141" t="str">
        <f aca="false">IF($CP385&gt;$CO$8,"",VLOOKUP($CP385,$CR$9:$CX$508,3,FALSE()))</f>
        <v/>
      </c>
      <c r="DB385" s="141" t="str">
        <f aca="false">IF($CP385&gt;$CO$8,"",VLOOKUP($CP385,$CR$9:$CX$508,4,FALSE()))</f>
        <v/>
      </c>
      <c r="DC385" s="141" t="str">
        <f aca="false">IF($CP385&gt;$CO$8,"",VLOOKUP($CP385,$CR$9:$CX$508,5,FALSE()))</f>
        <v/>
      </c>
      <c r="DD385" s="142" t="str">
        <f aca="false">IF($CP385&gt;$CO$8,"",VLOOKUP($CP385,$CR$9:$CX$508,6,FALSE()))</f>
        <v/>
      </c>
      <c r="DE385" s="70"/>
    </row>
    <row r="386" customFormat="false" ht="15.75" hidden="false" customHeight="false" outlineLevel="0" collapsed="false">
      <c r="A386" s="8"/>
      <c r="B386" s="146"/>
      <c r="C386" s="147"/>
      <c r="D386" s="148"/>
      <c r="E386" s="164"/>
      <c r="F386" s="150"/>
      <c r="G386" s="115"/>
      <c r="H386" s="115"/>
      <c r="I386" s="115"/>
      <c r="J386" s="165"/>
      <c r="K386" s="154"/>
      <c r="L386" s="154"/>
      <c r="M386" s="118"/>
      <c r="N386" s="154"/>
      <c r="O386" s="153"/>
      <c r="P386" s="154"/>
      <c r="Q386" s="154"/>
      <c r="R386" s="154"/>
      <c r="S386" s="115"/>
      <c r="T386" s="154"/>
      <c r="U386" s="153"/>
      <c r="V386" s="154"/>
      <c r="W386" s="123"/>
      <c r="X386" s="124" t="str">
        <f aca="false">IF(ISBLANK($C386),"",IF($E386=Constants!$B$2,TRUE(),IF($E386=Constants!$B$3,FALSE(),TRUE())))</f>
        <v/>
      </c>
      <c r="Y386" s="124" t="str">
        <f aca="false">IF(ISBLANK($C386),"",IF($F386=Constants!$B$2,TRUE(),IF($F386=Constants!$B$3,FALSE(),TRUE())))</f>
        <v/>
      </c>
      <c r="Z386" s="125" t="str">
        <f aca="false">IF(ISBLANK($C386),"",IF(ISNUMBER($G386),IF($G386&gt;=0,$G386,""),""))</f>
        <v/>
      </c>
      <c r="AA386" s="125" t="str">
        <f aca="false">IF(ISBLANK($C386),"",IF(ISNUMBER($H386),IF($H386&gt;=0,$H386,""),""))</f>
        <v/>
      </c>
      <c r="AB386" s="125" t="str">
        <f aca="false">IF(ISBLANK($C386),"",IF(ISNUMBER($I386),IF($I386&gt;=0,$I386,""),""))</f>
        <v/>
      </c>
      <c r="AC386" s="124" t="str">
        <f aca="false">IF(ISBLANK($C386),"",IF($J386=Constants!$B$2,TRUE(),IF($J386=Constants!$B$3,FALSE(),TRUE())))</f>
        <v/>
      </c>
      <c r="AD386" s="124" t="str">
        <f aca="false">IF(ISBLANK($C386),"",IF($K386=Constants!$B$2,TRUE(),IF($K386=Constants!$B$3,FALSE(),TRUE())))</f>
        <v/>
      </c>
      <c r="AE386" s="124" t="str">
        <f aca="false">IF(ISBLANK($C386),"",IF($L386=Constants!$B$2,TRUE(),IF($L386=Constants!$B$3,FALSE(),TRUE())))</f>
        <v/>
      </c>
      <c r="AF386" s="126" t="str">
        <f aca="false">IF(ISBLANK($C386),"",IF(ISNUMBER($M386),IF($M386&gt;=0,$M386,""),""))</f>
        <v/>
      </c>
      <c r="AG386" s="124" t="str">
        <f aca="false">IF(ISBLANK($C386),"",IF(ISBLANK($N386),0,IF(ISNUMBER($N386),IF(AND($N386&gt;=0,$N386&lt;=Constants!$B$17,$N386=INT($N386)),$N386,""),"")))</f>
        <v/>
      </c>
      <c r="AH386" s="125" t="str">
        <f aca="false">IF(ISBLANK($C386),"",IF(ISBLANK($O386),0,IF(ISNUMBER($O386),IF($O386&gt;=0,$O386,""),"")))</f>
        <v/>
      </c>
      <c r="AI386" s="124" t="str">
        <f aca="false">IF(ISBLANK($C386),"",IF($P386=Constants!$B$2,TRUE(),IF($P386=Constants!$B$3,FALSE(),TRUE())))</f>
        <v/>
      </c>
      <c r="AJ386" s="124" t="str">
        <f aca="false">IF(ISBLANK($C386),"",IF($Q386=Constants!$B$2,TRUE(),IF($Q386=Constants!$B$3,FALSE(),TRUE())))</f>
        <v/>
      </c>
      <c r="AK386" s="124" t="str">
        <f aca="false">IF(ISBLANK($C386),"",IF($R386=Constants!$B$2,TRUE(),IF($R386=Constants!$B$3,FALSE(),TRUE())))</f>
        <v/>
      </c>
      <c r="AL386" s="126" t="str">
        <f aca="false">IF(ISBLANK($C386),"",IF(ISNUMBER($S386),IF($S386&gt;=0,$S386,""),""))</f>
        <v/>
      </c>
      <c r="AM386" s="124" t="str">
        <f aca="false">IF(ISBLANK($C386),"",IF(ISBLANK($T386),0,IF(ISNUMBER($T386),IF(AND($T386&gt;=0,$T386&lt;=Constants!$B$17,$T386=INT($T386)),$T386,""),"")))</f>
        <v/>
      </c>
      <c r="AN386" s="125" t="str">
        <f aca="false">IF(ISBLANK($C386),"",IF(ISBLANK($U386),0,IF(ISNUMBER($U386),IF($U386&gt;=0,$U386,""),"")))</f>
        <v/>
      </c>
      <c r="AO386" s="124" t="str">
        <f aca="false">IF(ISBLANK($C386),"",IF($V386=Constants!$B$2,TRUE(),IF($V386=Constants!$B$3,FALSE(),FALSE())))</f>
        <v/>
      </c>
      <c r="AP386" s="124"/>
      <c r="AQ386" s="123" t="str">
        <f aca="false">IF(ISBLANK($C386),"",AND($Y386,OR($AS386,$BC386),OR($Z386="",$AA386="",$AB386="")))</f>
        <v/>
      </c>
      <c r="AR386" s="123" t="str">
        <f aca="false">IF(ISBLANK($C386),"",IF(OR(NOT($Y386),NOT(OR($AS386,$BC386))),"",IF(ISBLANK($D$7),$AR$5,IF($AP$9="",$AR$6,""))))</f>
        <v/>
      </c>
      <c r="AS386" s="123" t="str">
        <f aca="false">IF(ISBLANK($C386),"",COUNTA($J386:$O386)&gt;0)</f>
        <v/>
      </c>
      <c r="AT386" s="123" t="str">
        <f aca="false">IF(ISBLANK($C386),"",AND($AS386,OR(AND($AF386="",OR($AE386,NOT(ISBLANK($M386)))),$AG386="",$AH386="")))</f>
        <v/>
      </c>
      <c r="AU386" s="125" t="str">
        <f aca="false">IF($BL386&lt;&gt;Constants!$B$4,"",IF(NOT($AS386),"",ROUND((Constants!$B$12-$AB386)+(Constants!$B$13-$Z386)+(Constants!$B$14-$AA386),1)))</f>
        <v/>
      </c>
      <c r="AV386" s="127" t="str">
        <f aca="false">IF($BL386&lt;&gt;Constants!$B$4,"",IF(NOT($AS386),"",IF(NOT($AE386),0,Constants!$B$15*(INT(ROUND(MIN($AF386,$AP$9),6))-INT(ROUND(MAX(0,MIN($AF386,2*$AP$9)-$AP$9),6))))))</f>
        <v/>
      </c>
      <c r="AW386" s="127" t="str">
        <f aca="false">IF($BL386&lt;&gt;Constants!$B$4,"",IF(NOT($AS386),"",Constants!$B$16*$AG386))</f>
        <v/>
      </c>
      <c r="AX386" s="127" t="str">
        <f aca="false">IF($BL386&lt;&gt;Constants!$B$4,"",IF(NOT($AS386),"",Constants!$B$18*INT(ROUND($AH386,6))))</f>
        <v/>
      </c>
      <c r="AY386" s="123" t="str">
        <f aca="false">IF($BL386&lt;&gt;Constants!$B$4,"",IF(NOT($AS386),"",IF(NOT($X386),Constants!$B$11,IF(OR(NOT($AC386),NOT($AD386),ROUND($AB386,1)&gt;Constants!$B$12,ROUND($Z386,1)&gt;Constants!$B$13,ROUND($AA386,1)&gt;Constants!$B$14),Constants!$B$10,Constants!$B$9))))</f>
        <v/>
      </c>
      <c r="AZ386" s="128" t="str">
        <f aca="false">IF($BL386&lt;&gt;Constants!$B$4,"",IF(NOT($AS386),"",ROUND($AU386+$AV386+$AW386+$AX386,1)))</f>
        <v/>
      </c>
      <c r="BA386" s="129" t="str">
        <f aca="false">IF($BL386&lt;&gt;Constants!$B$4,"",IF(NOT($AS386),"",IF(ISNUMBER($AF386),$AF386,0)))</f>
        <v/>
      </c>
      <c r="BB386" s="124" t="str">
        <f aca="false">IF($BL386&lt;&gt;Constants!$B$4,"",IF(NOT($BC386),"&lt;-",IF(NOT($AS386),"-&gt;",IF(OR($BI386&lt;$AY386,AND($BI386=$AY386,OR($BJ386&gt;$AZ386,AND($BJ386=$AZ386,OR($BH386&gt;$AX386,AND($BH386=$AX386,OR($BE386&gt;$AU386,AND($BE386=$AU386,OR($BF386&gt;$AV386,AND($BF386=$AV386,$BK386&gt;$BA386)))))))))),"-&gt;","&lt;-"))))</f>
        <v/>
      </c>
      <c r="BC386" s="123" t="str">
        <f aca="false">IF(ISBLANK($C386),"",COUNTA($P386:$U386)&gt;0)</f>
        <v/>
      </c>
      <c r="BD386" s="123" t="str">
        <f aca="false">IF(ISBLANK($C386),"",AND($BC386,OR(AND($AL386="",OR($AK386,NOT(ISBLANK($S386)))),$AM386="",$AN386="")))</f>
        <v/>
      </c>
      <c r="BE386" s="125" t="str">
        <f aca="false">IF($BL386&lt;&gt;Constants!$B$4,"",IF(NOT($BC386),"",ROUND((Constants!$B$12-$AB386)+(Constants!$B$13-$Z386)+(Constants!$B$14-$AA386),1)))</f>
        <v/>
      </c>
      <c r="BF386" s="127" t="str">
        <f aca="false">IF($BL386&lt;&gt;Constants!$B$4,"",IF(NOT($BC386),"",IF(NOT($AK386),0,Constants!$B$15*(INT(ROUND(MIN($AL386,$AP$9),6))-INT(ROUND(MAX(0,MIN($AL386,2*$AP$9)-$AP$9),6))))))</f>
        <v/>
      </c>
      <c r="BG386" s="127" t="str">
        <f aca="false">IF($BL386&lt;&gt;Constants!$B$4,"",IF(NOT($BC386),"",Constants!$B$16*$AM386))</f>
        <v/>
      </c>
      <c r="BH386" s="127" t="str">
        <f aca="false">IF($BL386&lt;&gt;Constants!$B$4,"",IF(NOT($BC386),"",Constants!$B$18*INT(ROUND($AN386,6))))</f>
        <v/>
      </c>
      <c r="BI386" s="123" t="str">
        <f aca="false">IF($BL386&lt;&gt;Constants!$B$4,"",IF(NOT($BC386),"",IF(NOT($X386),Constants!$B$11,IF(OR(NOT($AI386),NOT($AJ386),ROUND($AB386,1)&gt;Constants!$B$12,ROUND($Z386,1)&gt;Constants!$B$13,ROUND($AA386,1)&gt;Constants!$B$14),Constants!$B$10,Constants!$B$9))))</f>
        <v/>
      </c>
      <c r="BJ386" s="128" t="str">
        <f aca="false">IF($BL386&lt;&gt;Constants!$B$4,"",IF(NOT($BC386),"",ROUND($BE386+$BF386+$BG386+$BH386,1)))</f>
        <v/>
      </c>
      <c r="BK386" s="129" t="str">
        <f aca="false">IF($BL386&lt;&gt;Constants!$B$4,"",IF(NOT($BC386),"",IF(ISNUMBER($AL386),$AL386,0)))</f>
        <v/>
      </c>
      <c r="BL386" s="124" t="str">
        <f aca="false">IF(ISBLANK($C386),"",IF($AO386,Constants!$B$7,IF(COUNTA($E386:$V386)=0,Constants!$B$6,IF(NOT($Y386),Constants!$B$5,IF(NOT(OR($AS386,$BC386)),Constants!$B$5,IF(OR($AT386,$BD386,$AQ386,$AR386&lt;&gt;""),Constants!$B$8,Constants!$B$4))))))</f>
        <v/>
      </c>
      <c r="BM386" s="124" t="str">
        <f aca="false">IF(ISBLANK($C386),"",IF($BL386&lt;&gt;Constants!$B$4,$BL386,IF($BB386="-&gt;",$BI386,$AY386)))</f>
        <v/>
      </c>
      <c r="BN386" s="127" t="str">
        <f aca="false">IF($BL386&lt;&gt;Constants!$B$4,"",IF($BB386="-&gt;",$BJ386,$AZ386))</f>
        <v/>
      </c>
      <c r="BO386" s="127" t="str">
        <f aca="false">IF(ISBLANK($C386),"",IF($BL386&lt;&gt;Constants!$B$4,$BL386,$BN386))</f>
        <v/>
      </c>
      <c r="BP386" s="124" t="str">
        <f aca="false">IF(ISBLANK($C386),"",IF($BL386&lt;&gt;Constants!$B$4,$BL386,RANK($BO386,$BO$9:$BO$508,0)))</f>
        <v/>
      </c>
      <c r="BQ386" s="124" t="str">
        <f aca="false">IF(ISBLANK($C386),"",IF($BL386&lt;&gt;Constants!$B$4,$BL386,COUNTIFS($BM$9:$BM$508,"&lt;"&amp;$BM386)+COUNTIFS($BM$9:$BM$508,$BM386,$BP$9:$BP$508,"&lt;"&amp;$BP386)+1))</f>
        <v/>
      </c>
      <c r="BR386" s="127" t="str">
        <f aca="false">IF($BL386&lt;&gt;Constants!$B$4,"",IF($BB386="-&gt;",$BH386,$AX386))</f>
        <v/>
      </c>
      <c r="BS386" s="124" t="str">
        <f aca="false">IF(ISBLANK($C386),"",IF($BL386&lt;&gt;Constants!$B$4,$BL386,IF(ISNUMBER($BR386),RANK($BR386,$BR$9:$BR$508,0),COUNT($BR$9:$BR$508)+1)))</f>
        <v/>
      </c>
      <c r="BT386" s="127" t="str">
        <f aca="false">IF($BL386&lt;&gt;Constants!$B$4,"",IF($BB386="-&gt;",$BE386,$AU386))</f>
        <v/>
      </c>
      <c r="BU386" s="124" t="str">
        <f aca="false">IF(ISBLANK($C386),"",IF($BL386&lt;&gt;Constants!$B$4,$BL386,IF(ISNUMBER($BT386),RANK($BT386,$BT$9:$BT$508,0),COUNT($BT$9:$BT$508)+1)))</f>
        <v/>
      </c>
      <c r="BV386" s="127" t="str">
        <f aca="false">IF($BL386&lt;&gt;Constants!$B$4,"",IF($BB386="-&gt;",$BF386,$AV386))</f>
        <v/>
      </c>
      <c r="BW386" s="124" t="str">
        <f aca="false">IF(ISBLANK($C386),"",IF($BL386&lt;&gt;Constants!$B$4,$BL386,IF(ISNUMBER($BV386),RANK($BV386,$BV$9:$BV$508,0),COUNT($BV$9:$BV$508)+1)))</f>
        <v/>
      </c>
      <c r="BX386" s="127" t="str">
        <f aca="false">IF($BL386&lt;&gt;Constants!$B$4,"",IF($BB386="-&gt;",$BK386,$BA386))</f>
        <v/>
      </c>
      <c r="BY386" s="124" t="str">
        <f aca="false">IF(ISBLANK($C386),"",IF($BL386&lt;&gt;Constants!$B$4,$BL386,IF(ISNUMBER($BX386),RANK($BX386,$BX$9:$BX$508,0),COUNT($BX$9:$BX$508)+1)))</f>
        <v/>
      </c>
      <c r="BZ386" s="124" t="str">
        <f aca="false">IF(ISBLANK($C386),"",IF($BL386&lt;&gt;Constants!$B$4,$BL386,COUNTIFS($BM$9:$BM$508,"&lt;"&amp;$BM386)+COUNTIFS($BM$9:$BM$508,$BM386,$BP$9:$BP$508,"&lt;"&amp;$BP386)+COUNTIFS($BM$9:$BM$508,$BM386,$BP$9:$BP$508,$BP386,$BS$9:$BS$508,"&lt;"&amp;$BS386)+COUNTIFS($BM$9:$BM$508,$BM386,$BP$9:$BP$508,$BP386,$BS$9:$BS$508,$BS386,$BU$9:$BU$508,"&lt;"&amp;$BU386)+COUNTIFS($BM$9:$BM$508,$BM386,$BP$9:$BP$508,$BP386,$BS$9:$BS$508,$BS386,$BU$9:$BU$508,$BU386,$BW$9:$BW$508,"&lt;"&amp;$BW386)+COUNTIFS($BM$9:$BM$508,$BM386,$BP$9:$BP$508,$BP386,$BS$9:$BS$508,$BS386,$BU$9:$BU$508,$BU386,$BW$9:$BW$508,$BW386,$BY$9:$BY$508,"&lt;"&amp;$BY386)+1))</f>
        <v/>
      </c>
      <c r="CA386" s="124" t="str">
        <f aca="false">IF(ISBLANK($C386),"",IF($BL386&lt;&gt;Constants!$B$4,$BL386,$BQ386-$BZ386))</f>
        <v/>
      </c>
      <c r="CB386" s="130"/>
      <c r="CC386" s="131" t="str">
        <f aca="false">IF(ISBLANK($C386),"",IF($BL386=Constants!$B$8,$AR386,""))</f>
        <v/>
      </c>
      <c r="CD386" s="131" t="str">
        <f aca="false">IF(ISBLANK($C386),"",IF($BL386&lt;&gt;Constants!$B$4,"",IF($BB386="-&gt;",2,1)))</f>
        <v/>
      </c>
      <c r="CE386" s="132" t="str">
        <f aca="false">IF(ISBLANK($C386),"",IF($BL386&lt;&gt;Constants!$B$4,"",IF($BB386="-&gt;",$BE386,$AU386)))</f>
        <v/>
      </c>
      <c r="CF386" s="132" t="str">
        <f aca="false">IF(ISBLANK($C386),"",IF($BL386&lt;&gt;Constants!$B$4,"",IF($BB386="-&gt;",$BF386,$AV386)))</f>
        <v/>
      </c>
      <c r="CG386" s="132" t="str">
        <f aca="false">IF(ISBLANK($C386),"",IF($BL386&lt;&gt;Constants!$B$4,"",IF($BB386="-&gt;",$BG386,$AW386)))</f>
        <v/>
      </c>
      <c r="CH386" s="132" t="str">
        <f aca="false">IF(ISBLANK($C386),"",IF($BL386&lt;&gt;Constants!$B$4,"",IF($BB386="-&gt;",$BH386,$AX386)))</f>
        <v/>
      </c>
      <c r="CI386" s="133" t="str">
        <f aca="false">IF(ISBLANK($C386),"",$BO386)</f>
        <v/>
      </c>
      <c r="CJ386" s="134" t="str">
        <f aca="false">IF(ISBLANK($C386),"",$BM386)</f>
        <v/>
      </c>
      <c r="CK386" s="135" t="str">
        <f aca="false">IF(ISBLANK($C386),"",$CA386)</f>
        <v/>
      </c>
      <c r="CL386" s="135" t="str">
        <f aca="false">IF(ISBLANK($C386),"",$BZ386)</f>
        <v/>
      </c>
      <c r="CM386" s="136" t="str">
        <f aca="false">IF(ISBLANK($C386),"",IF($CL386=Constants!$B$7,COUNTA($C$9:$C$508)+2,IF($CL386=Constants!$B$6,COUNTA($C$9:$C$508)+1,IF($CL386=Constants!$B$5,COUNTA($C$9:$C$508),$CL386))))</f>
        <v/>
      </c>
      <c r="CN386" s="8"/>
      <c r="CO386" s="137" t="n">
        <f aca="false">IF(OR(ISNUMBER($CL386),$CL386=Constants!$B$7,$CL386=Constants!$B$5,$CL386=Constants!$B$6),1,0)</f>
        <v>0</v>
      </c>
      <c r="CP386" s="137" t="n">
        <v>378</v>
      </c>
      <c r="CQ386" s="137" t="str">
        <f aca="false">IF(ISBLANK($C386),"",IF(ISNUMBER($CM386),$CM386+ROW($B386)/1000,""))</f>
        <v/>
      </c>
      <c r="CR386" s="137" t="str">
        <f aca="false">IF(ISNUMBER($CQ386),RANK($CQ386,$CQ$9:$CQ$508,1),"")</f>
        <v/>
      </c>
      <c r="CS386" s="137" t="str">
        <f aca="false">IF(ISBLANK($C386),"",$B386)</f>
        <v/>
      </c>
      <c r="CT386" s="137" t="str">
        <f aca="false">IF(ISBLANK($C386),"",$C386)</f>
        <v/>
      </c>
      <c r="CU386" s="137" t="str">
        <f aca="false">IF(ISBLANK($C386),"",$D386)</f>
        <v/>
      </c>
      <c r="CV386" s="138" t="str">
        <f aca="false">$CJ386</f>
        <v/>
      </c>
      <c r="CW386" s="139" t="str">
        <f aca="false">$CI386</f>
        <v/>
      </c>
      <c r="CX386" s="137" t="str">
        <f aca="false">IF(ISBLANK($C386),"",$CL386)</f>
        <v/>
      </c>
      <c r="CY386" s="140" t="str">
        <f aca="false">IF($CP386&gt;$CO$8,"",VLOOKUP($CP386,$CR$9:$CX$508,7,FALSE()))</f>
        <v/>
      </c>
      <c r="CZ386" s="141" t="str">
        <f aca="false">IF($CP386&gt;$CO$8,"",VLOOKUP($CP386,$CR$9:$CX$508,2,FALSE()))</f>
        <v/>
      </c>
      <c r="DA386" s="141" t="str">
        <f aca="false">IF($CP386&gt;$CO$8,"",VLOOKUP($CP386,$CR$9:$CX$508,3,FALSE()))</f>
        <v/>
      </c>
      <c r="DB386" s="141" t="str">
        <f aca="false">IF($CP386&gt;$CO$8,"",VLOOKUP($CP386,$CR$9:$CX$508,4,FALSE()))</f>
        <v/>
      </c>
      <c r="DC386" s="141" t="str">
        <f aca="false">IF($CP386&gt;$CO$8,"",VLOOKUP($CP386,$CR$9:$CX$508,5,FALSE()))</f>
        <v/>
      </c>
      <c r="DD386" s="142" t="str">
        <f aca="false">IF($CP386&gt;$CO$8,"",VLOOKUP($CP386,$CR$9:$CX$508,6,FALSE()))</f>
        <v/>
      </c>
      <c r="DE386" s="70"/>
    </row>
    <row r="387" customFormat="false" ht="15.75" hidden="false" customHeight="false" outlineLevel="0" collapsed="false">
      <c r="A387" s="8"/>
      <c r="B387" s="72"/>
      <c r="C387" s="73"/>
      <c r="D387" s="155"/>
      <c r="E387" s="162"/>
      <c r="F387" s="157"/>
      <c r="G387" s="77"/>
      <c r="H387" s="77"/>
      <c r="I387" s="77"/>
      <c r="J387" s="163"/>
      <c r="K387" s="161"/>
      <c r="L387" s="161"/>
      <c r="M387" s="80"/>
      <c r="N387" s="161"/>
      <c r="O387" s="160"/>
      <c r="P387" s="161"/>
      <c r="Q387" s="161"/>
      <c r="R387" s="161"/>
      <c r="S387" s="77"/>
      <c r="T387" s="161"/>
      <c r="U387" s="160"/>
      <c r="V387" s="161"/>
      <c r="W387" s="85"/>
      <c r="X387" s="86" t="str">
        <f aca="false">IF(ISBLANK($C387),"",IF($E387=Constants!$B$2,TRUE(),IF($E387=Constants!$B$3,FALSE(),TRUE())))</f>
        <v/>
      </c>
      <c r="Y387" s="86" t="str">
        <f aca="false">IF(ISBLANK($C387),"",IF($F387=Constants!$B$2,TRUE(),IF($F387=Constants!$B$3,FALSE(),TRUE())))</f>
        <v/>
      </c>
      <c r="Z387" s="87" t="str">
        <f aca="false">IF(ISBLANK($C387),"",IF(ISNUMBER($G387),IF($G387&gt;=0,$G387,""),""))</f>
        <v/>
      </c>
      <c r="AA387" s="87" t="str">
        <f aca="false">IF(ISBLANK($C387),"",IF(ISNUMBER($H387),IF($H387&gt;=0,$H387,""),""))</f>
        <v/>
      </c>
      <c r="AB387" s="87" t="str">
        <f aca="false">IF(ISBLANK($C387),"",IF(ISNUMBER($I387),IF($I387&gt;=0,$I387,""),""))</f>
        <v/>
      </c>
      <c r="AC387" s="86" t="str">
        <f aca="false">IF(ISBLANK($C387),"",IF($J387=Constants!$B$2,TRUE(),IF($J387=Constants!$B$3,FALSE(),TRUE())))</f>
        <v/>
      </c>
      <c r="AD387" s="86" t="str">
        <f aca="false">IF(ISBLANK($C387),"",IF($K387=Constants!$B$2,TRUE(),IF($K387=Constants!$B$3,FALSE(),TRUE())))</f>
        <v/>
      </c>
      <c r="AE387" s="86" t="str">
        <f aca="false">IF(ISBLANK($C387),"",IF($L387=Constants!$B$2,TRUE(),IF($L387=Constants!$B$3,FALSE(),TRUE())))</f>
        <v/>
      </c>
      <c r="AF387" s="88" t="str">
        <f aca="false">IF(ISBLANK($C387),"",IF(ISNUMBER($M387),IF($M387&gt;=0,$M387,""),""))</f>
        <v/>
      </c>
      <c r="AG387" s="86" t="str">
        <f aca="false">IF(ISBLANK($C387),"",IF(ISBLANK($N387),0,IF(ISNUMBER($N387),IF(AND($N387&gt;=0,$N387&lt;=Constants!$B$17,$N387=INT($N387)),$N387,""),"")))</f>
        <v/>
      </c>
      <c r="AH387" s="87" t="str">
        <f aca="false">IF(ISBLANK($C387),"",IF(ISBLANK($O387),0,IF(ISNUMBER($O387),IF($O387&gt;=0,$O387,""),"")))</f>
        <v/>
      </c>
      <c r="AI387" s="86" t="str">
        <f aca="false">IF(ISBLANK($C387),"",IF($P387=Constants!$B$2,TRUE(),IF($P387=Constants!$B$3,FALSE(),TRUE())))</f>
        <v/>
      </c>
      <c r="AJ387" s="86" t="str">
        <f aca="false">IF(ISBLANK($C387),"",IF($Q387=Constants!$B$2,TRUE(),IF($Q387=Constants!$B$3,FALSE(),TRUE())))</f>
        <v/>
      </c>
      <c r="AK387" s="86" t="str">
        <f aca="false">IF(ISBLANK($C387),"",IF($R387=Constants!$B$2,TRUE(),IF($R387=Constants!$B$3,FALSE(),TRUE())))</f>
        <v/>
      </c>
      <c r="AL387" s="88" t="str">
        <f aca="false">IF(ISBLANK($C387),"",IF(ISNUMBER($S387),IF($S387&gt;=0,$S387,""),""))</f>
        <v/>
      </c>
      <c r="AM387" s="86" t="str">
        <f aca="false">IF(ISBLANK($C387),"",IF(ISBLANK($T387),0,IF(ISNUMBER($T387),IF(AND($T387&gt;=0,$T387&lt;=Constants!$B$17,$T387=INT($T387)),$T387,""),"")))</f>
        <v/>
      </c>
      <c r="AN387" s="87" t="str">
        <f aca="false">IF(ISBLANK($C387),"",IF(ISBLANK($U387),0,IF(ISNUMBER($U387),IF($U387&gt;=0,$U387,""),"")))</f>
        <v/>
      </c>
      <c r="AO387" s="86" t="str">
        <f aca="false">IF(ISBLANK($C387),"",IF($V387=Constants!$B$2,TRUE(),IF($V387=Constants!$B$3,FALSE(),FALSE())))</f>
        <v/>
      </c>
      <c r="AP387" s="86"/>
      <c r="AQ387" s="85" t="str">
        <f aca="false">IF(ISBLANK($C387),"",AND($Y387,OR($AS387,$BC387),OR($Z387="",$AA387="",$AB387="")))</f>
        <v/>
      </c>
      <c r="AR387" s="85" t="str">
        <f aca="false">IF(ISBLANK($C387),"",IF(OR(NOT($Y387),NOT(OR($AS387,$BC387))),"",IF(ISBLANK($D$7),$AR$5,IF($AP$9="",$AR$6,""))))</f>
        <v/>
      </c>
      <c r="AS387" s="85" t="str">
        <f aca="false">IF(ISBLANK($C387),"",COUNTA($J387:$O387)&gt;0)</f>
        <v/>
      </c>
      <c r="AT387" s="85" t="str">
        <f aca="false">IF(ISBLANK($C387),"",AND($AS387,OR(AND($AF387="",OR($AE387,NOT(ISBLANK($M387)))),$AG387="",$AH387="")))</f>
        <v/>
      </c>
      <c r="AU387" s="87" t="str">
        <f aca="false">IF($BL387&lt;&gt;Constants!$B$4,"",IF(NOT($AS387),"",ROUND((Constants!$B$12-$AB387)+(Constants!$B$13-$Z387)+(Constants!$B$14-$AA387),1)))</f>
        <v/>
      </c>
      <c r="AV387" s="90" t="str">
        <f aca="false">IF($BL387&lt;&gt;Constants!$B$4,"",IF(NOT($AS387),"",IF(NOT($AE387),0,Constants!$B$15*(INT(ROUND(MIN($AF387,$AP$9),6))-INT(ROUND(MAX(0,MIN($AF387,2*$AP$9)-$AP$9),6))))))</f>
        <v/>
      </c>
      <c r="AW387" s="90" t="str">
        <f aca="false">IF($BL387&lt;&gt;Constants!$B$4,"",IF(NOT($AS387),"",Constants!$B$16*$AG387))</f>
        <v/>
      </c>
      <c r="AX387" s="90" t="str">
        <f aca="false">IF($BL387&lt;&gt;Constants!$B$4,"",IF(NOT($AS387),"",Constants!$B$18*INT(ROUND($AH387,6))))</f>
        <v/>
      </c>
      <c r="AY387" s="85" t="str">
        <f aca="false">IF($BL387&lt;&gt;Constants!$B$4,"",IF(NOT($AS387),"",IF(NOT($X387),Constants!$B$11,IF(OR(NOT($AC387),NOT($AD387),ROUND($AB387,1)&gt;Constants!$B$12,ROUND($Z387,1)&gt;Constants!$B$13,ROUND($AA387,1)&gt;Constants!$B$14),Constants!$B$10,Constants!$B$9))))</f>
        <v/>
      </c>
      <c r="AZ387" s="91" t="str">
        <f aca="false">IF($BL387&lt;&gt;Constants!$B$4,"",IF(NOT($AS387),"",ROUND($AU387+$AV387+$AW387+$AX387,1)))</f>
        <v/>
      </c>
      <c r="BA387" s="92" t="str">
        <f aca="false">IF($BL387&lt;&gt;Constants!$B$4,"",IF(NOT($AS387),"",IF(ISNUMBER($AF387),$AF387,0)))</f>
        <v/>
      </c>
      <c r="BB387" s="86" t="str">
        <f aca="false">IF($BL387&lt;&gt;Constants!$B$4,"",IF(NOT($BC387),"&lt;-",IF(NOT($AS387),"-&gt;",IF(OR($BI387&lt;$AY387,AND($BI387=$AY387,OR($BJ387&gt;$AZ387,AND($BJ387=$AZ387,OR($BH387&gt;$AX387,AND($BH387=$AX387,OR($BE387&gt;$AU387,AND($BE387=$AU387,OR($BF387&gt;$AV387,AND($BF387=$AV387,$BK387&gt;$BA387)))))))))),"-&gt;","&lt;-"))))</f>
        <v/>
      </c>
      <c r="BC387" s="85" t="str">
        <f aca="false">IF(ISBLANK($C387),"",COUNTA($P387:$U387)&gt;0)</f>
        <v/>
      </c>
      <c r="BD387" s="85" t="str">
        <f aca="false">IF(ISBLANK($C387),"",AND($BC387,OR(AND($AL387="",OR($AK387,NOT(ISBLANK($S387)))),$AM387="",$AN387="")))</f>
        <v/>
      </c>
      <c r="BE387" s="87" t="str">
        <f aca="false">IF($BL387&lt;&gt;Constants!$B$4,"",IF(NOT($BC387),"",ROUND((Constants!$B$12-$AB387)+(Constants!$B$13-$Z387)+(Constants!$B$14-$AA387),1)))</f>
        <v/>
      </c>
      <c r="BF387" s="90" t="str">
        <f aca="false">IF($BL387&lt;&gt;Constants!$B$4,"",IF(NOT($BC387),"",IF(NOT($AK387),0,Constants!$B$15*(INT(ROUND(MIN($AL387,$AP$9),6))-INT(ROUND(MAX(0,MIN($AL387,2*$AP$9)-$AP$9),6))))))</f>
        <v/>
      </c>
      <c r="BG387" s="90" t="str">
        <f aca="false">IF($BL387&lt;&gt;Constants!$B$4,"",IF(NOT($BC387),"",Constants!$B$16*$AM387))</f>
        <v/>
      </c>
      <c r="BH387" s="90" t="str">
        <f aca="false">IF($BL387&lt;&gt;Constants!$B$4,"",IF(NOT($BC387),"",Constants!$B$18*INT(ROUND($AN387,6))))</f>
        <v/>
      </c>
      <c r="BI387" s="85" t="str">
        <f aca="false">IF($BL387&lt;&gt;Constants!$B$4,"",IF(NOT($BC387),"",IF(NOT($X387),Constants!$B$11,IF(OR(NOT($AI387),NOT($AJ387),ROUND($AB387,1)&gt;Constants!$B$12,ROUND($Z387,1)&gt;Constants!$B$13,ROUND($AA387,1)&gt;Constants!$B$14),Constants!$B$10,Constants!$B$9))))</f>
        <v/>
      </c>
      <c r="BJ387" s="91" t="str">
        <f aca="false">IF($BL387&lt;&gt;Constants!$B$4,"",IF(NOT($BC387),"",ROUND($BE387+$BF387+$BG387+$BH387,1)))</f>
        <v/>
      </c>
      <c r="BK387" s="92" t="str">
        <f aca="false">IF($BL387&lt;&gt;Constants!$B$4,"",IF(NOT($BC387),"",IF(ISNUMBER($AL387),$AL387,0)))</f>
        <v/>
      </c>
      <c r="BL387" s="86" t="str">
        <f aca="false">IF(ISBLANK($C387),"",IF($AO387,Constants!$B$7,IF(COUNTA($E387:$V387)=0,Constants!$B$6,IF(NOT($Y387),Constants!$B$5,IF(NOT(OR($AS387,$BC387)),Constants!$B$5,IF(OR($AT387,$BD387,$AQ387,$AR387&lt;&gt;""),Constants!$B$8,Constants!$B$4))))))</f>
        <v/>
      </c>
      <c r="BM387" s="86" t="str">
        <f aca="false">IF(ISBLANK($C387),"",IF($BL387&lt;&gt;Constants!$B$4,$BL387,IF($BB387="-&gt;",$BI387,$AY387)))</f>
        <v/>
      </c>
      <c r="BN387" s="90" t="str">
        <f aca="false">IF($BL387&lt;&gt;Constants!$B$4,"",IF($BB387="-&gt;",$BJ387,$AZ387))</f>
        <v/>
      </c>
      <c r="BO387" s="90" t="str">
        <f aca="false">IF(ISBLANK($C387),"",IF($BL387&lt;&gt;Constants!$B$4,$BL387,$BN387))</f>
        <v/>
      </c>
      <c r="BP387" s="86" t="str">
        <f aca="false">IF(ISBLANK($C387),"",IF($BL387&lt;&gt;Constants!$B$4,$BL387,RANK($BO387,$BO$9:$BO$508,0)))</f>
        <v/>
      </c>
      <c r="BQ387" s="86" t="str">
        <f aca="false">IF(ISBLANK($C387),"",IF($BL387&lt;&gt;Constants!$B$4,$BL387,COUNTIFS($BM$9:$BM$508,"&lt;"&amp;$BM387)+COUNTIFS($BM$9:$BM$508,$BM387,$BP$9:$BP$508,"&lt;"&amp;$BP387)+1))</f>
        <v/>
      </c>
      <c r="BR387" s="90" t="str">
        <f aca="false">IF($BL387&lt;&gt;Constants!$B$4,"",IF($BB387="-&gt;",$BH387,$AX387))</f>
        <v/>
      </c>
      <c r="BS387" s="86" t="str">
        <f aca="false">IF(ISBLANK($C387),"",IF($BL387&lt;&gt;Constants!$B$4,$BL387,IF(ISNUMBER($BR387),RANK($BR387,$BR$9:$BR$508,0),COUNT($BR$9:$BR$508)+1)))</f>
        <v/>
      </c>
      <c r="BT387" s="90" t="str">
        <f aca="false">IF($BL387&lt;&gt;Constants!$B$4,"",IF($BB387="-&gt;",$BE387,$AU387))</f>
        <v/>
      </c>
      <c r="BU387" s="86" t="str">
        <f aca="false">IF(ISBLANK($C387),"",IF($BL387&lt;&gt;Constants!$B$4,$BL387,IF(ISNUMBER($BT387),RANK($BT387,$BT$9:$BT$508,0),COUNT($BT$9:$BT$508)+1)))</f>
        <v/>
      </c>
      <c r="BV387" s="90" t="str">
        <f aca="false">IF($BL387&lt;&gt;Constants!$B$4,"",IF($BB387="-&gt;",$BF387,$AV387))</f>
        <v/>
      </c>
      <c r="BW387" s="86" t="str">
        <f aca="false">IF(ISBLANK($C387),"",IF($BL387&lt;&gt;Constants!$B$4,$BL387,IF(ISNUMBER($BV387),RANK($BV387,$BV$9:$BV$508,0),COUNT($BV$9:$BV$508)+1)))</f>
        <v/>
      </c>
      <c r="BX387" s="90" t="str">
        <f aca="false">IF($BL387&lt;&gt;Constants!$B$4,"",IF($BB387="-&gt;",$BK387,$BA387))</f>
        <v/>
      </c>
      <c r="BY387" s="86" t="str">
        <f aca="false">IF(ISBLANK($C387),"",IF($BL387&lt;&gt;Constants!$B$4,$BL387,IF(ISNUMBER($BX387),RANK($BX387,$BX$9:$BX$508,0),COUNT($BX$9:$BX$508)+1)))</f>
        <v/>
      </c>
      <c r="BZ387" s="86" t="str">
        <f aca="false">IF(ISBLANK($C387),"",IF($BL387&lt;&gt;Constants!$B$4,$BL387,COUNTIFS($BM$9:$BM$508,"&lt;"&amp;$BM387)+COUNTIFS($BM$9:$BM$508,$BM387,$BP$9:$BP$508,"&lt;"&amp;$BP387)+COUNTIFS($BM$9:$BM$508,$BM387,$BP$9:$BP$508,$BP387,$BS$9:$BS$508,"&lt;"&amp;$BS387)+COUNTIFS($BM$9:$BM$508,$BM387,$BP$9:$BP$508,$BP387,$BS$9:$BS$508,$BS387,$BU$9:$BU$508,"&lt;"&amp;$BU387)+COUNTIFS($BM$9:$BM$508,$BM387,$BP$9:$BP$508,$BP387,$BS$9:$BS$508,$BS387,$BU$9:$BU$508,$BU387,$BW$9:$BW$508,"&lt;"&amp;$BW387)+COUNTIFS($BM$9:$BM$508,$BM387,$BP$9:$BP$508,$BP387,$BS$9:$BS$508,$BS387,$BU$9:$BU$508,$BU387,$BW$9:$BW$508,$BW387,$BY$9:$BY$508,"&lt;"&amp;$BY387)+1))</f>
        <v/>
      </c>
      <c r="CA387" s="86" t="str">
        <f aca="false">IF(ISBLANK($C387),"",IF($BL387&lt;&gt;Constants!$B$4,$BL387,$BQ387-$BZ387))</f>
        <v/>
      </c>
      <c r="CB387" s="93"/>
      <c r="CC387" s="94" t="str">
        <f aca="false">IF(ISBLANK($C387),"",IF($BL387=Constants!$B$8,$AR387,""))</f>
        <v/>
      </c>
      <c r="CD387" s="94" t="str">
        <f aca="false">IF(ISBLANK($C387),"",IF($BL387&lt;&gt;Constants!$B$4,"",IF($BB387="-&gt;",2,1)))</f>
        <v/>
      </c>
      <c r="CE387" s="95" t="str">
        <f aca="false">IF(ISBLANK($C387),"",IF($BL387&lt;&gt;Constants!$B$4,"",IF($BB387="-&gt;",$BE387,$AU387)))</f>
        <v/>
      </c>
      <c r="CF387" s="95" t="str">
        <f aca="false">IF(ISBLANK($C387),"",IF($BL387&lt;&gt;Constants!$B$4,"",IF($BB387="-&gt;",$BF387,$AV387)))</f>
        <v/>
      </c>
      <c r="CG387" s="95" t="str">
        <f aca="false">IF(ISBLANK($C387),"",IF($BL387&lt;&gt;Constants!$B$4,"",IF($BB387="-&gt;",$BG387,$AW387)))</f>
        <v/>
      </c>
      <c r="CH387" s="95" t="str">
        <f aca="false">IF(ISBLANK($C387),"",IF($BL387&lt;&gt;Constants!$B$4,"",IF($BB387="-&gt;",$BH387,$AX387)))</f>
        <v/>
      </c>
      <c r="CI387" s="96" t="str">
        <f aca="false">IF(ISBLANK($C387),"",$BO387)</f>
        <v/>
      </c>
      <c r="CJ387" s="97" t="str">
        <f aca="false">IF(ISBLANK($C387),"",$BM387)</f>
        <v/>
      </c>
      <c r="CK387" s="98" t="str">
        <f aca="false">IF(ISBLANK($C387),"",$CA387)</f>
        <v/>
      </c>
      <c r="CL387" s="98" t="str">
        <f aca="false">IF(ISBLANK($C387),"",$BZ387)</f>
        <v/>
      </c>
      <c r="CM387" s="99" t="str">
        <f aca="false">IF(ISBLANK($C387),"",IF($CL387=Constants!$B$7,COUNTA($C$9:$C$508)+2,IF($CL387=Constants!$B$6,COUNTA($C$9:$C$508)+1,IF($CL387=Constants!$B$5,COUNTA($C$9:$C$508),$CL387))))</f>
        <v/>
      </c>
      <c r="CN387" s="8"/>
      <c r="CO387" s="100" t="n">
        <f aca="false">IF(OR(ISNUMBER($CL387),$CL387=Constants!$B$7,$CL387=Constants!$B$5,$CL387=Constants!$B$6),1,0)</f>
        <v>0</v>
      </c>
      <c r="CP387" s="100" t="n">
        <v>379</v>
      </c>
      <c r="CQ387" s="100" t="str">
        <f aca="false">IF(ISBLANK($C387),"",IF(ISNUMBER($CM387),$CM387+ROW($B387)/1000,""))</f>
        <v/>
      </c>
      <c r="CR387" s="100" t="str">
        <f aca="false">IF(ISNUMBER($CQ387),RANK($CQ387,$CQ$9:$CQ$508,1),"")</f>
        <v/>
      </c>
      <c r="CS387" s="100" t="str">
        <f aca="false">IF(ISBLANK($C387),"",$B387)</f>
        <v/>
      </c>
      <c r="CT387" s="100" t="str">
        <f aca="false">IF(ISBLANK($C387),"",$C387)</f>
        <v/>
      </c>
      <c r="CU387" s="100" t="str">
        <f aca="false">IF(ISBLANK($C387),"",$D387)</f>
        <v/>
      </c>
      <c r="CV387" s="101" t="str">
        <f aca="false">$CJ387</f>
        <v/>
      </c>
      <c r="CW387" s="102" t="str">
        <f aca="false">$CI387</f>
        <v/>
      </c>
      <c r="CX387" s="100" t="str">
        <f aca="false">IF(ISBLANK($C387),"",$CL387)</f>
        <v/>
      </c>
      <c r="CY387" s="103" t="str">
        <f aca="false">IF($CP387&gt;$CO$8,"",VLOOKUP($CP387,$CR$9:$CX$508,7,FALSE()))</f>
        <v/>
      </c>
      <c r="CZ387" s="104" t="str">
        <f aca="false">IF($CP387&gt;$CO$8,"",VLOOKUP($CP387,$CR$9:$CX$508,2,FALSE()))</f>
        <v/>
      </c>
      <c r="DA387" s="104" t="str">
        <f aca="false">IF($CP387&gt;$CO$8,"",VLOOKUP($CP387,$CR$9:$CX$508,3,FALSE()))</f>
        <v/>
      </c>
      <c r="DB387" s="104" t="str">
        <f aca="false">IF($CP387&gt;$CO$8,"",VLOOKUP($CP387,$CR$9:$CX$508,4,FALSE()))</f>
        <v/>
      </c>
      <c r="DC387" s="104" t="str">
        <f aca="false">IF($CP387&gt;$CO$8,"",VLOOKUP($CP387,$CR$9:$CX$508,5,FALSE()))</f>
        <v/>
      </c>
      <c r="DD387" s="105" t="str">
        <f aca="false">IF($CP387&gt;$CO$8,"",VLOOKUP($CP387,$CR$9:$CX$508,6,FALSE()))</f>
        <v/>
      </c>
      <c r="DE387" s="70"/>
    </row>
    <row r="388" customFormat="false" ht="15.75" hidden="false" customHeight="false" outlineLevel="0" collapsed="false">
      <c r="A388" s="8"/>
      <c r="B388" s="72"/>
      <c r="C388" s="73"/>
      <c r="D388" s="155"/>
      <c r="E388" s="162"/>
      <c r="F388" s="157"/>
      <c r="G388" s="77"/>
      <c r="H388" s="77"/>
      <c r="I388" s="77"/>
      <c r="J388" s="163"/>
      <c r="K388" s="161"/>
      <c r="L388" s="161"/>
      <c r="M388" s="80"/>
      <c r="N388" s="161"/>
      <c r="O388" s="160"/>
      <c r="P388" s="161"/>
      <c r="Q388" s="161"/>
      <c r="R388" s="161"/>
      <c r="S388" s="77"/>
      <c r="T388" s="161"/>
      <c r="U388" s="160"/>
      <c r="V388" s="161"/>
      <c r="W388" s="85"/>
      <c r="X388" s="86" t="str">
        <f aca="false">IF(ISBLANK($C388),"",IF($E388=Constants!$B$2,TRUE(),IF($E388=Constants!$B$3,FALSE(),TRUE())))</f>
        <v/>
      </c>
      <c r="Y388" s="86" t="str">
        <f aca="false">IF(ISBLANK($C388),"",IF($F388=Constants!$B$2,TRUE(),IF($F388=Constants!$B$3,FALSE(),TRUE())))</f>
        <v/>
      </c>
      <c r="Z388" s="87" t="str">
        <f aca="false">IF(ISBLANK($C388),"",IF(ISNUMBER($G388),IF($G388&gt;=0,$G388,""),""))</f>
        <v/>
      </c>
      <c r="AA388" s="87" t="str">
        <f aca="false">IF(ISBLANK($C388),"",IF(ISNUMBER($H388),IF($H388&gt;=0,$H388,""),""))</f>
        <v/>
      </c>
      <c r="AB388" s="87" t="str">
        <f aca="false">IF(ISBLANK($C388),"",IF(ISNUMBER($I388),IF($I388&gt;=0,$I388,""),""))</f>
        <v/>
      </c>
      <c r="AC388" s="86" t="str">
        <f aca="false">IF(ISBLANK($C388),"",IF($J388=Constants!$B$2,TRUE(),IF($J388=Constants!$B$3,FALSE(),TRUE())))</f>
        <v/>
      </c>
      <c r="AD388" s="86" t="str">
        <f aca="false">IF(ISBLANK($C388),"",IF($K388=Constants!$B$2,TRUE(),IF($K388=Constants!$B$3,FALSE(),TRUE())))</f>
        <v/>
      </c>
      <c r="AE388" s="86" t="str">
        <f aca="false">IF(ISBLANK($C388),"",IF($L388=Constants!$B$2,TRUE(),IF($L388=Constants!$B$3,FALSE(),TRUE())))</f>
        <v/>
      </c>
      <c r="AF388" s="88" t="str">
        <f aca="false">IF(ISBLANK($C388),"",IF(ISNUMBER($M388),IF($M388&gt;=0,$M388,""),""))</f>
        <v/>
      </c>
      <c r="AG388" s="86" t="str">
        <f aca="false">IF(ISBLANK($C388),"",IF(ISBLANK($N388),0,IF(ISNUMBER($N388),IF(AND($N388&gt;=0,$N388&lt;=Constants!$B$17,$N388=INT($N388)),$N388,""),"")))</f>
        <v/>
      </c>
      <c r="AH388" s="87" t="str">
        <f aca="false">IF(ISBLANK($C388),"",IF(ISBLANK($O388),0,IF(ISNUMBER($O388),IF($O388&gt;=0,$O388,""),"")))</f>
        <v/>
      </c>
      <c r="AI388" s="86" t="str">
        <f aca="false">IF(ISBLANK($C388),"",IF($P388=Constants!$B$2,TRUE(),IF($P388=Constants!$B$3,FALSE(),TRUE())))</f>
        <v/>
      </c>
      <c r="AJ388" s="86" t="str">
        <f aca="false">IF(ISBLANK($C388),"",IF($Q388=Constants!$B$2,TRUE(),IF($Q388=Constants!$B$3,FALSE(),TRUE())))</f>
        <v/>
      </c>
      <c r="AK388" s="86" t="str">
        <f aca="false">IF(ISBLANK($C388),"",IF($R388=Constants!$B$2,TRUE(),IF($R388=Constants!$B$3,FALSE(),TRUE())))</f>
        <v/>
      </c>
      <c r="AL388" s="88" t="str">
        <f aca="false">IF(ISBLANK($C388),"",IF(ISNUMBER($S388),IF($S388&gt;=0,$S388,""),""))</f>
        <v/>
      </c>
      <c r="AM388" s="86" t="str">
        <f aca="false">IF(ISBLANK($C388),"",IF(ISBLANK($T388),0,IF(ISNUMBER($T388),IF(AND($T388&gt;=0,$T388&lt;=Constants!$B$17,$T388=INT($T388)),$T388,""),"")))</f>
        <v/>
      </c>
      <c r="AN388" s="87" t="str">
        <f aca="false">IF(ISBLANK($C388),"",IF(ISBLANK($U388),0,IF(ISNUMBER($U388),IF($U388&gt;=0,$U388,""),"")))</f>
        <v/>
      </c>
      <c r="AO388" s="86" t="str">
        <f aca="false">IF(ISBLANK($C388),"",IF($V388=Constants!$B$2,TRUE(),IF($V388=Constants!$B$3,FALSE(),FALSE())))</f>
        <v/>
      </c>
      <c r="AP388" s="86"/>
      <c r="AQ388" s="85" t="str">
        <f aca="false">IF(ISBLANK($C388),"",AND($Y388,OR($AS388,$BC388),OR($Z388="",$AA388="",$AB388="")))</f>
        <v/>
      </c>
      <c r="AR388" s="85" t="str">
        <f aca="false">IF(ISBLANK($C388),"",IF(OR(NOT($Y388),NOT(OR($AS388,$BC388))),"",IF(ISBLANK($D$7),$AR$5,IF($AP$9="",$AR$6,""))))</f>
        <v/>
      </c>
      <c r="AS388" s="85" t="str">
        <f aca="false">IF(ISBLANK($C388),"",COUNTA($J388:$O388)&gt;0)</f>
        <v/>
      </c>
      <c r="AT388" s="85" t="str">
        <f aca="false">IF(ISBLANK($C388),"",AND($AS388,OR(AND($AF388="",OR($AE388,NOT(ISBLANK($M388)))),$AG388="",$AH388="")))</f>
        <v/>
      </c>
      <c r="AU388" s="87" t="str">
        <f aca="false">IF($BL388&lt;&gt;Constants!$B$4,"",IF(NOT($AS388),"",ROUND((Constants!$B$12-$AB388)+(Constants!$B$13-$Z388)+(Constants!$B$14-$AA388),1)))</f>
        <v/>
      </c>
      <c r="AV388" s="90" t="str">
        <f aca="false">IF($BL388&lt;&gt;Constants!$B$4,"",IF(NOT($AS388),"",IF(NOT($AE388),0,Constants!$B$15*(INT(ROUND(MIN($AF388,$AP$9),6))-INT(ROUND(MAX(0,MIN($AF388,2*$AP$9)-$AP$9),6))))))</f>
        <v/>
      </c>
      <c r="AW388" s="90" t="str">
        <f aca="false">IF($BL388&lt;&gt;Constants!$B$4,"",IF(NOT($AS388),"",Constants!$B$16*$AG388))</f>
        <v/>
      </c>
      <c r="AX388" s="90" t="str">
        <f aca="false">IF($BL388&lt;&gt;Constants!$B$4,"",IF(NOT($AS388),"",Constants!$B$18*INT(ROUND($AH388,6))))</f>
        <v/>
      </c>
      <c r="AY388" s="85" t="str">
        <f aca="false">IF($BL388&lt;&gt;Constants!$B$4,"",IF(NOT($AS388),"",IF(NOT($X388),Constants!$B$11,IF(OR(NOT($AC388),NOT($AD388),ROUND($AB388,1)&gt;Constants!$B$12,ROUND($Z388,1)&gt;Constants!$B$13,ROUND($AA388,1)&gt;Constants!$B$14),Constants!$B$10,Constants!$B$9))))</f>
        <v/>
      </c>
      <c r="AZ388" s="91" t="str">
        <f aca="false">IF($BL388&lt;&gt;Constants!$B$4,"",IF(NOT($AS388),"",ROUND($AU388+$AV388+$AW388+$AX388,1)))</f>
        <v/>
      </c>
      <c r="BA388" s="92" t="str">
        <f aca="false">IF($BL388&lt;&gt;Constants!$B$4,"",IF(NOT($AS388),"",IF(ISNUMBER($AF388),$AF388,0)))</f>
        <v/>
      </c>
      <c r="BB388" s="86" t="str">
        <f aca="false">IF($BL388&lt;&gt;Constants!$B$4,"",IF(NOT($BC388),"&lt;-",IF(NOT($AS388),"-&gt;",IF(OR($BI388&lt;$AY388,AND($BI388=$AY388,OR($BJ388&gt;$AZ388,AND($BJ388=$AZ388,OR($BH388&gt;$AX388,AND($BH388=$AX388,OR($BE388&gt;$AU388,AND($BE388=$AU388,OR($BF388&gt;$AV388,AND($BF388=$AV388,$BK388&gt;$BA388)))))))))),"-&gt;","&lt;-"))))</f>
        <v/>
      </c>
      <c r="BC388" s="85" t="str">
        <f aca="false">IF(ISBLANK($C388),"",COUNTA($P388:$U388)&gt;0)</f>
        <v/>
      </c>
      <c r="BD388" s="85" t="str">
        <f aca="false">IF(ISBLANK($C388),"",AND($BC388,OR(AND($AL388="",OR($AK388,NOT(ISBLANK($S388)))),$AM388="",$AN388="")))</f>
        <v/>
      </c>
      <c r="BE388" s="87" t="str">
        <f aca="false">IF($BL388&lt;&gt;Constants!$B$4,"",IF(NOT($BC388),"",ROUND((Constants!$B$12-$AB388)+(Constants!$B$13-$Z388)+(Constants!$B$14-$AA388),1)))</f>
        <v/>
      </c>
      <c r="BF388" s="90" t="str">
        <f aca="false">IF($BL388&lt;&gt;Constants!$B$4,"",IF(NOT($BC388),"",IF(NOT($AK388),0,Constants!$B$15*(INT(ROUND(MIN($AL388,$AP$9),6))-INT(ROUND(MAX(0,MIN($AL388,2*$AP$9)-$AP$9),6))))))</f>
        <v/>
      </c>
      <c r="BG388" s="90" t="str">
        <f aca="false">IF($BL388&lt;&gt;Constants!$B$4,"",IF(NOT($BC388),"",Constants!$B$16*$AM388))</f>
        <v/>
      </c>
      <c r="BH388" s="90" t="str">
        <f aca="false">IF($BL388&lt;&gt;Constants!$B$4,"",IF(NOT($BC388),"",Constants!$B$18*INT(ROUND($AN388,6))))</f>
        <v/>
      </c>
      <c r="BI388" s="85" t="str">
        <f aca="false">IF($BL388&lt;&gt;Constants!$B$4,"",IF(NOT($BC388),"",IF(NOT($X388),Constants!$B$11,IF(OR(NOT($AI388),NOT($AJ388),ROUND($AB388,1)&gt;Constants!$B$12,ROUND($Z388,1)&gt;Constants!$B$13,ROUND($AA388,1)&gt;Constants!$B$14),Constants!$B$10,Constants!$B$9))))</f>
        <v/>
      </c>
      <c r="BJ388" s="91" t="str">
        <f aca="false">IF($BL388&lt;&gt;Constants!$B$4,"",IF(NOT($BC388),"",ROUND($BE388+$BF388+$BG388+$BH388,1)))</f>
        <v/>
      </c>
      <c r="BK388" s="92" t="str">
        <f aca="false">IF($BL388&lt;&gt;Constants!$B$4,"",IF(NOT($BC388),"",IF(ISNUMBER($AL388),$AL388,0)))</f>
        <v/>
      </c>
      <c r="BL388" s="86" t="str">
        <f aca="false">IF(ISBLANK($C388),"",IF($AO388,Constants!$B$7,IF(COUNTA($E388:$V388)=0,Constants!$B$6,IF(NOT($Y388),Constants!$B$5,IF(NOT(OR($AS388,$BC388)),Constants!$B$5,IF(OR($AT388,$BD388,$AQ388,$AR388&lt;&gt;""),Constants!$B$8,Constants!$B$4))))))</f>
        <v/>
      </c>
      <c r="BM388" s="86" t="str">
        <f aca="false">IF(ISBLANK($C388),"",IF($BL388&lt;&gt;Constants!$B$4,$BL388,IF($BB388="-&gt;",$BI388,$AY388)))</f>
        <v/>
      </c>
      <c r="BN388" s="90" t="str">
        <f aca="false">IF($BL388&lt;&gt;Constants!$B$4,"",IF($BB388="-&gt;",$BJ388,$AZ388))</f>
        <v/>
      </c>
      <c r="BO388" s="90" t="str">
        <f aca="false">IF(ISBLANK($C388),"",IF($BL388&lt;&gt;Constants!$B$4,$BL388,$BN388))</f>
        <v/>
      </c>
      <c r="BP388" s="86" t="str">
        <f aca="false">IF(ISBLANK($C388),"",IF($BL388&lt;&gt;Constants!$B$4,$BL388,RANK($BO388,$BO$9:$BO$508,0)))</f>
        <v/>
      </c>
      <c r="BQ388" s="86" t="str">
        <f aca="false">IF(ISBLANK($C388),"",IF($BL388&lt;&gt;Constants!$B$4,$BL388,COUNTIFS($BM$9:$BM$508,"&lt;"&amp;$BM388)+COUNTIFS($BM$9:$BM$508,$BM388,$BP$9:$BP$508,"&lt;"&amp;$BP388)+1))</f>
        <v/>
      </c>
      <c r="BR388" s="90" t="str">
        <f aca="false">IF($BL388&lt;&gt;Constants!$B$4,"",IF($BB388="-&gt;",$BH388,$AX388))</f>
        <v/>
      </c>
      <c r="BS388" s="86" t="str">
        <f aca="false">IF(ISBLANK($C388),"",IF($BL388&lt;&gt;Constants!$B$4,$BL388,IF(ISNUMBER($BR388),RANK($BR388,$BR$9:$BR$508,0),COUNT($BR$9:$BR$508)+1)))</f>
        <v/>
      </c>
      <c r="BT388" s="90" t="str">
        <f aca="false">IF($BL388&lt;&gt;Constants!$B$4,"",IF($BB388="-&gt;",$BE388,$AU388))</f>
        <v/>
      </c>
      <c r="BU388" s="86" t="str">
        <f aca="false">IF(ISBLANK($C388),"",IF($BL388&lt;&gt;Constants!$B$4,$BL388,IF(ISNUMBER($BT388),RANK($BT388,$BT$9:$BT$508,0),COUNT($BT$9:$BT$508)+1)))</f>
        <v/>
      </c>
      <c r="BV388" s="90" t="str">
        <f aca="false">IF($BL388&lt;&gt;Constants!$B$4,"",IF($BB388="-&gt;",$BF388,$AV388))</f>
        <v/>
      </c>
      <c r="BW388" s="86" t="str">
        <f aca="false">IF(ISBLANK($C388),"",IF($BL388&lt;&gt;Constants!$B$4,$BL388,IF(ISNUMBER($BV388),RANK($BV388,$BV$9:$BV$508,0),COUNT($BV$9:$BV$508)+1)))</f>
        <v/>
      </c>
      <c r="BX388" s="90" t="str">
        <f aca="false">IF($BL388&lt;&gt;Constants!$B$4,"",IF($BB388="-&gt;",$BK388,$BA388))</f>
        <v/>
      </c>
      <c r="BY388" s="86" t="str">
        <f aca="false">IF(ISBLANK($C388),"",IF($BL388&lt;&gt;Constants!$B$4,$BL388,IF(ISNUMBER($BX388),RANK($BX388,$BX$9:$BX$508,0),COUNT($BX$9:$BX$508)+1)))</f>
        <v/>
      </c>
      <c r="BZ388" s="86" t="str">
        <f aca="false">IF(ISBLANK($C388),"",IF($BL388&lt;&gt;Constants!$B$4,$BL388,COUNTIFS($BM$9:$BM$508,"&lt;"&amp;$BM388)+COUNTIFS($BM$9:$BM$508,$BM388,$BP$9:$BP$508,"&lt;"&amp;$BP388)+COUNTIFS($BM$9:$BM$508,$BM388,$BP$9:$BP$508,$BP388,$BS$9:$BS$508,"&lt;"&amp;$BS388)+COUNTIFS($BM$9:$BM$508,$BM388,$BP$9:$BP$508,$BP388,$BS$9:$BS$508,$BS388,$BU$9:$BU$508,"&lt;"&amp;$BU388)+COUNTIFS($BM$9:$BM$508,$BM388,$BP$9:$BP$508,$BP388,$BS$9:$BS$508,$BS388,$BU$9:$BU$508,$BU388,$BW$9:$BW$508,"&lt;"&amp;$BW388)+COUNTIFS($BM$9:$BM$508,$BM388,$BP$9:$BP$508,$BP388,$BS$9:$BS$508,$BS388,$BU$9:$BU$508,$BU388,$BW$9:$BW$508,$BW388,$BY$9:$BY$508,"&lt;"&amp;$BY388)+1))</f>
        <v/>
      </c>
      <c r="CA388" s="86" t="str">
        <f aca="false">IF(ISBLANK($C388),"",IF($BL388&lt;&gt;Constants!$B$4,$BL388,$BQ388-$BZ388))</f>
        <v/>
      </c>
      <c r="CB388" s="93"/>
      <c r="CC388" s="94" t="str">
        <f aca="false">IF(ISBLANK($C388),"",IF($BL388=Constants!$B$8,$AR388,""))</f>
        <v/>
      </c>
      <c r="CD388" s="94" t="str">
        <f aca="false">IF(ISBLANK($C388),"",IF($BL388&lt;&gt;Constants!$B$4,"",IF($BB388="-&gt;",2,1)))</f>
        <v/>
      </c>
      <c r="CE388" s="95" t="str">
        <f aca="false">IF(ISBLANK($C388),"",IF($BL388&lt;&gt;Constants!$B$4,"",IF($BB388="-&gt;",$BE388,$AU388)))</f>
        <v/>
      </c>
      <c r="CF388" s="95" t="str">
        <f aca="false">IF(ISBLANK($C388),"",IF($BL388&lt;&gt;Constants!$B$4,"",IF($BB388="-&gt;",$BF388,$AV388)))</f>
        <v/>
      </c>
      <c r="CG388" s="95" t="str">
        <f aca="false">IF(ISBLANK($C388),"",IF($BL388&lt;&gt;Constants!$B$4,"",IF($BB388="-&gt;",$BG388,$AW388)))</f>
        <v/>
      </c>
      <c r="CH388" s="95" t="str">
        <f aca="false">IF(ISBLANK($C388),"",IF($BL388&lt;&gt;Constants!$B$4,"",IF($BB388="-&gt;",$BH388,$AX388)))</f>
        <v/>
      </c>
      <c r="CI388" s="96" t="str">
        <f aca="false">IF(ISBLANK($C388),"",$BO388)</f>
        <v/>
      </c>
      <c r="CJ388" s="97" t="str">
        <f aca="false">IF(ISBLANK($C388),"",$BM388)</f>
        <v/>
      </c>
      <c r="CK388" s="98" t="str">
        <f aca="false">IF(ISBLANK($C388),"",$CA388)</f>
        <v/>
      </c>
      <c r="CL388" s="98" t="str">
        <f aca="false">IF(ISBLANK($C388),"",$BZ388)</f>
        <v/>
      </c>
      <c r="CM388" s="99" t="str">
        <f aca="false">IF(ISBLANK($C388),"",IF($CL388=Constants!$B$7,COUNTA($C$9:$C$508)+2,IF($CL388=Constants!$B$6,COUNTA($C$9:$C$508)+1,IF($CL388=Constants!$B$5,COUNTA($C$9:$C$508),$CL388))))</f>
        <v/>
      </c>
      <c r="CN388" s="8"/>
      <c r="CO388" s="100" t="n">
        <f aca="false">IF(OR(ISNUMBER($CL388),$CL388=Constants!$B$7,$CL388=Constants!$B$5,$CL388=Constants!$B$6),1,0)</f>
        <v>0</v>
      </c>
      <c r="CP388" s="100" t="n">
        <v>380</v>
      </c>
      <c r="CQ388" s="100" t="str">
        <f aca="false">IF(ISBLANK($C388),"",IF(ISNUMBER($CM388),$CM388+ROW($B388)/1000,""))</f>
        <v/>
      </c>
      <c r="CR388" s="100" t="str">
        <f aca="false">IF(ISNUMBER($CQ388),RANK($CQ388,$CQ$9:$CQ$508,1),"")</f>
        <v/>
      </c>
      <c r="CS388" s="100" t="str">
        <f aca="false">IF(ISBLANK($C388),"",$B388)</f>
        <v/>
      </c>
      <c r="CT388" s="100" t="str">
        <f aca="false">IF(ISBLANK($C388),"",$C388)</f>
        <v/>
      </c>
      <c r="CU388" s="100" t="str">
        <f aca="false">IF(ISBLANK($C388),"",$D388)</f>
        <v/>
      </c>
      <c r="CV388" s="101" t="str">
        <f aca="false">$CJ388</f>
        <v/>
      </c>
      <c r="CW388" s="102" t="str">
        <f aca="false">$CI388</f>
        <v/>
      </c>
      <c r="CX388" s="100" t="str">
        <f aca="false">IF(ISBLANK($C388),"",$CL388)</f>
        <v/>
      </c>
      <c r="CY388" s="103" t="str">
        <f aca="false">IF($CP388&gt;$CO$8,"",VLOOKUP($CP388,$CR$9:$CX$508,7,FALSE()))</f>
        <v/>
      </c>
      <c r="CZ388" s="104" t="str">
        <f aca="false">IF($CP388&gt;$CO$8,"",VLOOKUP($CP388,$CR$9:$CX$508,2,FALSE()))</f>
        <v/>
      </c>
      <c r="DA388" s="104" t="str">
        <f aca="false">IF($CP388&gt;$CO$8,"",VLOOKUP($CP388,$CR$9:$CX$508,3,FALSE()))</f>
        <v/>
      </c>
      <c r="DB388" s="104" t="str">
        <f aca="false">IF($CP388&gt;$CO$8,"",VLOOKUP($CP388,$CR$9:$CX$508,4,FALSE()))</f>
        <v/>
      </c>
      <c r="DC388" s="104" t="str">
        <f aca="false">IF($CP388&gt;$CO$8,"",VLOOKUP($CP388,$CR$9:$CX$508,5,FALSE()))</f>
        <v/>
      </c>
      <c r="DD388" s="105" t="str">
        <f aca="false">IF($CP388&gt;$CO$8,"",VLOOKUP($CP388,$CR$9:$CX$508,6,FALSE()))</f>
        <v/>
      </c>
      <c r="DE388" s="70"/>
    </row>
    <row r="389" customFormat="false" ht="15.75" hidden="false" customHeight="false" outlineLevel="0" collapsed="false">
      <c r="A389" s="8"/>
      <c r="B389" s="72"/>
      <c r="C389" s="73"/>
      <c r="D389" s="155"/>
      <c r="E389" s="162"/>
      <c r="F389" s="157"/>
      <c r="G389" s="77"/>
      <c r="H389" s="77"/>
      <c r="I389" s="77"/>
      <c r="J389" s="163"/>
      <c r="K389" s="161"/>
      <c r="L389" s="161"/>
      <c r="M389" s="80"/>
      <c r="N389" s="161"/>
      <c r="O389" s="160"/>
      <c r="P389" s="161"/>
      <c r="Q389" s="161"/>
      <c r="R389" s="161"/>
      <c r="S389" s="77"/>
      <c r="T389" s="161"/>
      <c r="U389" s="160"/>
      <c r="V389" s="161"/>
      <c r="W389" s="85"/>
      <c r="X389" s="86" t="str">
        <f aca="false">IF(ISBLANK($C389),"",IF($E389=Constants!$B$2,TRUE(),IF($E389=Constants!$B$3,FALSE(),TRUE())))</f>
        <v/>
      </c>
      <c r="Y389" s="86" t="str">
        <f aca="false">IF(ISBLANK($C389),"",IF($F389=Constants!$B$2,TRUE(),IF($F389=Constants!$B$3,FALSE(),TRUE())))</f>
        <v/>
      </c>
      <c r="Z389" s="87" t="str">
        <f aca="false">IF(ISBLANK($C389),"",IF(ISNUMBER($G389),IF($G389&gt;=0,$G389,""),""))</f>
        <v/>
      </c>
      <c r="AA389" s="87" t="str">
        <f aca="false">IF(ISBLANK($C389),"",IF(ISNUMBER($H389),IF($H389&gt;=0,$H389,""),""))</f>
        <v/>
      </c>
      <c r="AB389" s="87" t="str">
        <f aca="false">IF(ISBLANK($C389),"",IF(ISNUMBER($I389),IF($I389&gt;=0,$I389,""),""))</f>
        <v/>
      </c>
      <c r="AC389" s="86" t="str">
        <f aca="false">IF(ISBLANK($C389),"",IF($J389=Constants!$B$2,TRUE(),IF($J389=Constants!$B$3,FALSE(),TRUE())))</f>
        <v/>
      </c>
      <c r="AD389" s="86" t="str">
        <f aca="false">IF(ISBLANK($C389),"",IF($K389=Constants!$B$2,TRUE(),IF($K389=Constants!$B$3,FALSE(),TRUE())))</f>
        <v/>
      </c>
      <c r="AE389" s="86" t="str">
        <f aca="false">IF(ISBLANK($C389),"",IF($L389=Constants!$B$2,TRUE(),IF($L389=Constants!$B$3,FALSE(),TRUE())))</f>
        <v/>
      </c>
      <c r="AF389" s="88" t="str">
        <f aca="false">IF(ISBLANK($C389),"",IF(ISNUMBER($M389),IF($M389&gt;=0,$M389,""),""))</f>
        <v/>
      </c>
      <c r="AG389" s="86" t="str">
        <f aca="false">IF(ISBLANK($C389),"",IF(ISBLANK($N389),0,IF(ISNUMBER($N389),IF(AND($N389&gt;=0,$N389&lt;=Constants!$B$17,$N389=INT($N389)),$N389,""),"")))</f>
        <v/>
      </c>
      <c r="AH389" s="87" t="str">
        <f aca="false">IF(ISBLANK($C389),"",IF(ISBLANK($O389),0,IF(ISNUMBER($O389),IF($O389&gt;=0,$O389,""),"")))</f>
        <v/>
      </c>
      <c r="AI389" s="86" t="str">
        <f aca="false">IF(ISBLANK($C389),"",IF($P389=Constants!$B$2,TRUE(),IF($P389=Constants!$B$3,FALSE(),TRUE())))</f>
        <v/>
      </c>
      <c r="AJ389" s="86" t="str">
        <f aca="false">IF(ISBLANK($C389),"",IF($Q389=Constants!$B$2,TRUE(),IF($Q389=Constants!$B$3,FALSE(),TRUE())))</f>
        <v/>
      </c>
      <c r="AK389" s="86" t="str">
        <f aca="false">IF(ISBLANK($C389),"",IF($R389=Constants!$B$2,TRUE(),IF($R389=Constants!$B$3,FALSE(),TRUE())))</f>
        <v/>
      </c>
      <c r="AL389" s="88" t="str">
        <f aca="false">IF(ISBLANK($C389),"",IF(ISNUMBER($S389),IF($S389&gt;=0,$S389,""),""))</f>
        <v/>
      </c>
      <c r="AM389" s="86" t="str">
        <f aca="false">IF(ISBLANK($C389),"",IF(ISBLANK($T389),0,IF(ISNUMBER($T389),IF(AND($T389&gt;=0,$T389&lt;=Constants!$B$17,$T389=INT($T389)),$T389,""),"")))</f>
        <v/>
      </c>
      <c r="AN389" s="87" t="str">
        <f aca="false">IF(ISBLANK($C389),"",IF(ISBLANK($U389),0,IF(ISNUMBER($U389),IF($U389&gt;=0,$U389,""),"")))</f>
        <v/>
      </c>
      <c r="AO389" s="86" t="str">
        <f aca="false">IF(ISBLANK($C389),"",IF($V389=Constants!$B$2,TRUE(),IF($V389=Constants!$B$3,FALSE(),FALSE())))</f>
        <v/>
      </c>
      <c r="AP389" s="86"/>
      <c r="AQ389" s="85" t="str">
        <f aca="false">IF(ISBLANK($C389),"",AND($Y389,OR($AS389,$BC389),OR($Z389="",$AA389="",$AB389="")))</f>
        <v/>
      </c>
      <c r="AR389" s="85" t="str">
        <f aca="false">IF(ISBLANK($C389),"",IF(OR(NOT($Y389),NOT(OR($AS389,$BC389))),"",IF(ISBLANK($D$7),$AR$5,IF($AP$9="",$AR$6,""))))</f>
        <v/>
      </c>
      <c r="AS389" s="85" t="str">
        <f aca="false">IF(ISBLANK($C389),"",COUNTA($J389:$O389)&gt;0)</f>
        <v/>
      </c>
      <c r="AT389" s="85" t="str">
        <f aca="false">IF(ISBLANK($C389),"",AND($AS389,OR(AND($AF389="",OR($AE389,NOT(ISBLANK($M389)))),$AG389="",$AH389="")))</f>
        <v/>
      </c>
      <c r="AU389" s="87" t="str">
        <f aca="false">IF($BL389&lt;&gt;Constants!$B$4,"",IF(NOT($AS389),"",ROUND((Constants!$B$12-$AB389)+(Constants!$B$13-$Z389)+(Constants!$B$14-$AA389),1)))</f>
        <v/>
      </c>
      <c r="AV389" s="90" t="str">
        <f aca="false">IF($BL389&lt;&gt;Constants!$B$4,"",IF(NOT($AS389),"",IF(NOT($AE389),0,Constants!$B$15*(INT(ROUND(MIN($AF389,$AP$9),6))-INT(ROUND(MAX(0,MIN($AF389,2*$AP$9)-$AP$9),6))))))</f>
        <v/>
      </c>
      <c r="AW389" s="90" t="str">
        <f aca="false">IF($BL389&lt;&gt;Constants!$B$4,"",IF(NOT($AS389),"",Constants!$B$16*$AG389))</f>
        <v/>
      </c>
      <c r="AX389" s="90" t="str">
        <f aca="false">IF($BL389&lt;&gt;Constants!$B$4,"",IF(NOT($AS389),"",Constants!$B$18*INT(ROUND($AH389,6))))</f>
        <v/>
      </c>
      <c r="AY389" s="85" t="str">
        <f aca="false">IF($BL389&lt;&gt;Constants!$B$4,"",IF(NOT($AS389),"",IF(NOT($X389),Constants!$B$11,IF(OR(NOT($AC389),NOT($AD389),ROUND($AB389,1)&gt;Constants!$B$12,ROUND($Z389,1)&gt;Constants!$B$13,ROUND($AA389,1)&gt;Constants!$B$14),Constants!$B$10,Constants!$B$9))))</f>
        <v/>
      </c>
      <c r="AZ389" s="91" t="str">
        <f aca="false">IF($BL389&lt;&gt;Constants!$B$4,"",IF(NOT($AS389),"",ROUND($AU389+$AV389+$AW389+$AX389,1)))</f>
        <v/>
      </c>
      <c r="BA389" s="92" t="str">
        <f aca="false">IF($BL389&lt;&gt;Constants!$B$4,"",IF(NOT($AS389),"",IF(ISNUMBER($AF389),$AF389,0)))</f>
        <v/>
      </c>
      <c r="BB389" s="86" t="str">
        <f aca="false">IF($BL389&lt;&gt;Constants!$B$4,"",IF(NOT($BC389),"&lt;-",IF(NOT($AS389),"-&gt;",IF(OR($BI389&lt;$AY389,AND($BI389=$AY389,OR($BJ389&gt;$AZ389,AND($BJ389=$AZ389,OR($BH389&gt;$AX389,AND($BH389=$AX389,OR($BE389&gt;$AU389,AND($BE389=$AU389,OR($BF389&gt;$AV389,AND($BF389=$AV389,$BK389&gt;$BA389)))))))))),"-&gt;","&lt;-"))))</f>
        <v/>
      </c>
      <c r="BC389" s="85" t="str">
        <f aca="false">IF(ISBLANK($C389),"",COUNTA($P389:$U389)&gt;0)</f>
        <v/>
      </c>
      <c r="BD389" s="85" t="str">
        <f aca="false">IF(ISBLANK($C389),"",AND($BC389,OR(AND($AL389="",OR($AK389,NOT(ISBLANK($S389)))),$AM389="",$AN389="")))</f>
        <v/>
      </c>
      <c r="BE389" s="87" t="str">
        <f aca="false">IF($BL389&lt;&gt;Constants!$B$4,"",IF(NOT($BC389),"",ROUND((Constants!$B$12-$AB389)+(Constants!$B$13-$Z389)+(Constants!$B$14-$AA389),1)))</f>
        <v/>
      </c>
      <c r="BF389" s="90" t="str">
        <f aca="false">IF($BL389&lt;&gt;Constants!$B$4,"",IF(NOT($BC389),"",IF(NOT($AK389),0,Constants!$B$15*(INT(ROUND(MIN($AL389,$AP$9),6))-INT(ROUND(MAX(0,MIN($AL389,2*$AP$9)-$AP$9),6))))))</f>
        <v/>
      </c>
      <c r="BG389" s="90" t="str">
        <f aca="false">IF($BL389&lt;&gt;Constants!$B$4,"",IF(NOT($BC389),"",Constants!$B$16*$AM389))</f>
        <v/>
      </c>
      <c r="BH389" s="90" t="str">
        <f aca="false">IF($BL389&lt;&gt;Constants!$B$4,"",IF(NOT($BC389),"",Constants!$B$18*INT(ROUND($AN389,6))))</f>
        <v/>
      </c>
      <c r="BI389" s="85" t="str">
        <f aca="false">IF($BL389&lt;&gt;Constants!$B$4,"",IF(NOT($BC389),"",IF(NOT($X389),Constants!$B$11,IF(OR(NOT($AI389),NOT($AJ389),ROUND($AB389,1)&gt;Constants!$B$12,ROUND($Z389,1)&gt;Constants!$B$13,ROUND($AA389,1)&gt;Constants!$B$14),Constants!$B$10,Constants!$B$9))))</f>
        <v/>
      </c>
      <c r="BJ389" s="91" t="str">
        <f aca="false">IF($BL389&lt;&gt;Constants!$B$4,"",IF(NOT($BC389),"",ROUND($BE389+$BF389+$BG389+$BH389,1)))</f>
        <v/>
      </c>
      <c r="BK389" s="92" t="str">
        <f aca="false">IF($BL389&lt;&gt;Constants!$B$4,"",IF(NOT($BC389),"",IF(ISNUMBER($AL389),$AL389,0)))</f>
        <v/>
      </c>
      <c r="BL389" s="86" t="str">
        <f aca="false">IF(ISBLANK($C389),"",IF($AO389,Constants!$B$7,IF(COUNTA($E389:$V389)=0,Constants!$B$6,IF(NOT($Y389),Constants!$B$5,IF(NOT(OR($AS389,$BC389)),Constants!$B$5,IF(OR($AT389,$BD389,$AQ389,$AR389&lt;&gt;""),Constants!$B$8,Constants!$B$4))))))</f>
        <v/>
      </c>
      <c r="BM389" s="86" t="str">
        <f aca="false">IF(ISBLANK($C389),"",IF($BL389&lt;&gt;Constants!$B$4,$BL389,IF($BB389="-&gt;",$BI389,$AY389)))</f>
        <v/>
      </c>
      <c r="BN389" s="90" t="str">
        <f aca="false">IF($BL389&lt;&gt;Constants!$B$4,"",IF($BB389="-&gt;",$BJ389,$AZ389))</f>
        <v/>
      </c>
      <c r="BO389" s="90" t="str">
        <f aca="false">IF(ISBLANK($C389),"",IF($BL389&lt;&gt;Constants!$B$4,$BL389,$BN389))</f>
        <v/>
      </c>
      <c r="BP389" s="86" t="str">
        <f aca="false">IF(ISBLANK($C389),"",IF($BL389&lt;&gt;Constants!$B$4,$BL389,RANK($BO389,$BO$9:$BO$508,0)))</f>
        <v/>
      </c>
      <c r="BQ389" s="86" t="str">
        <f aca="false">IF(ISBLANK($C389),"",IF($BL389&lt;&gt;Constants!$B$4,$BL389,COUNTIFS($BM$9:$BM$508,"&lt;"&amp;$BM389)+COUNTIFS($BM$9:$BM$508,$BM389,$BP$9:$BP$508,"&lt;"&amp;$BP389)+1))</f>
        <v/>
      </c>
      <c r="BR389" s="90" t="str">
        <f aca="false">IF($BL389&lt;&gt;Constants!$B$4,"",IF($BB389="-&gt;",$BH389,$AX389))</f>
        <v/>
      </c>
      <c r="BS389" s="86" t="str">
        <f aca="false">IF(ISBLANK($C389),"",IF($BL389&lt;&gt;Constants!$B$4,$BL389,IF(ISNUMBER($BR389),RANK($BR389,$BR$9:$BR$508,0),COUNT($BR$9:$BR$508)+1)))</f>
        <v/>
      </c>
      <c r="BT389" s="90" t="str">
        <f aca="false">IF($BL389&lt;&gt;Constants!$B$4,"",IF($BB389="-&gt;",$BE389,$AU389))</f>
        <v/>
      </c>
      <c r="BU389" s="86" t="str">
        <f aca="false">IF(ISBLANK($C389),"",IF($BL389&lt;&gt;Constants!$B$4,$BL389,IF(ISNUMBER($BT389),RANK($BT389,$BT$9:$BT$508,0),COUNT($BT$9:$BT$508)+1)))</f>
        <v/>
      </c>
      <c r="BV389" s="90" t="str">
        <f aca="false">IF($BL389&lt;&gt;Constants!$B$4,"",IF($BB389="-&gt;",$BF389,$AV389))</f>
        <v/>
      </c>
      <c r="BW389" s="86" t="str">
        <f aca="false">IF(ISBLANK($C389),"",IF($BL389&lt;&gt;Constants!$B$4,$BL389,IF(ISNUMBER($BV389),RANK($BV389,$BV$9:$BV$508,0),COUNT($BV$9:$BV$508)+1)))</f>
        <v/>
      </c>
      <c r="BX389" s="90" t="str">
        <f aca="false">IF($BL389&lt;&gt;Constants!$B$4,"",IF($BB389="-&gt;",$BK389,$BA389))</f>
        <v/>
      </c>
      <c r="BY389" s="86" t="str">
        <f aca="false">IF(ISBLANK($C389),"",IF($BL389&lt;&gt;Constants!$B$4,$BL389,IF(ISNUMBER($BX389),RANK($BX389,$BX$9:$BX$508,0),COUNT($BX$9:$BX$508)+1)))</f>
        <v/>
      </c>
      <c r="BZ389" s="86" t="str">
        <f aca="false">IF(ISBLANK($C389),"",IF($BL389&lt;&gt;Constants!$B$4,$BL389,COUNTIFS($BM$9:$BM$508,"&lt;"&amp;$BM389)+COUNTIFS($BM$9:$BM$508,$BM389,$BP$9:$BP$508,"&lt;"&amp;$BP389)+COUNTIFS($BM$9:$BM$508,$BM389,$BP$9:$BP$508,$BP389,$BS$9:$BS$508,"&lt;"&amp;$BS389)+COUNTIFS($BM$9:$BM$508,$BM389,$BP$9:$BP$508,$BP389,$BS$9:$BS$508,$BS389,$BU$9:$BU$508,"&lt;"&amp;$BU389)+COUNTIFS($BM$9:$BM$508,$BM389,$BP$9:$BP$508,$BP389,$BS$9:$BS$508,$BS389,$BU$9:$BU$508,$BU389,$BW$9:$BW$508,"&lt;"&amp;$BW389)+COUNTIFS($BM$9:$BM$508,$BM389,$BP$9:$BP$508,$BP389,$BS$9:$BS$508,$BS389,$BU$9:$BU$508,$BU389,$BW$9:$BW$508,$BW389,$BY$9:$BY$508,"&lt;"&amp;$BY389)+1))</f>
        <v/>
      </c>
      <c r="CA389" s="86" t="str">
        <f aca="false">IF(ISBLANK($C389),"",IF($BL389&lt;&gt;Constants!$B$4,$BL389,$BQ389-$BZ389))</f>
        <v/>
      </c>
      <c r="CB389" s="93"/>
      <c r="CC389" s="94" t="str">
        <f aca="false">IF(ISBLANK($C389),"",IF($BL389=Constants!$B$8,$AR389,""))</f>
        <v/>
      </c>
      <c r="CD389" s="94" t="str">
        <f aca="false">IF(ISBLANK($C389),"",IF($BL389&lt;&gt;Constants!$B$4,"",IF($BB389="-&gt;",2,1)))</f>
        <v/>
      </c>
      <c r="CE389" s="95" t="str">
        <f aca="false">IF(ISBLANK($C389),"",IF($BL389&lt;&gt;Constants!$B$4,"",IF($BB389="-&gt;",$BE389,$AU389)))</f>
        <v/>
      </c>
      <c r="CF389" s="95" t="str">
        <f aca="false">IF(ISBLANK($C389),"",IF($BL389&lt;&gt;Constants!$B$4,"",IF($BB389="-&gt;",$BF389,$AV389)))</f>
        <v/>
      </c>
      <c r="CG389" s="95" t="str">
        <f aca="false">IF(ISBLANK($C389),"",IF($BL389&lt;&gt;Constants!$B$4,"",IF($BB389="-&gt;",$BG389,$AW389)))</f>
        <v/>
      </c>
      <c r="CH389" s="95" t="str">
        <f aca="false">IF(ISBLANK($C389),"",IF($BL389&lt;&gt;Constants!$B$4,"",IF($BB389="-&gt;",$BH389,$AX389)))</f>
        <v/>
      </c>
      <c r="CI389" s="96" t="str">
        <f aca="false">IF(ISBLANK($C389),"",$BO389)</f>
        <v/>
      </c>
      <c r="CJ389" s="97" t="str">
        <f aca="false">IF(ISBLANK($C389),"",$BM389)</f>
        <v/>
      </c>
      <c r="CK389" s="98" t="str">
        <f aca="false">IF(ISBLANK($C389),"",$CA389)</f>
        <v/>
      </c>
      <c r="CL389" s="98" t="str">
        <f aca="false">IF(ISBLANK($C389),"",$BZ389)</f>
        <v/>
      </c>
      <c r="CM389" s="99" t="str">
        <f aca="false">IF(ISBLANK($C389),"",IF($CL389=Constants!$B$7,COUNTA($C$9:$C$508)+2,IF($CL389=Constants!$B$6,COUNTA($C$9:$C$508)+1,IF($CL389=Constants!$B$5,COUNTA($C$9:$C$508),$CL389))))</f>
        <v/>
      </c>
      <c r="CN389" s="8"/>
      <c r="CO389" s="100" t="n">
        <f aca="false">IF(OR(ISNUMBER($CL389),$CL389=Constants!$B$7,$CL389=Constants!$B$5,$CL389=Constants!$B$6),1,0)</f>
        <v>0</v>
      </c>
      <c r="CP389" s="100" t="n">
        <v>381</v>
      </c>
      <c r="CQ389" s="100" t="str">
        <f aca="false">IF(ISBLANK($C389),"",IF(ISNUMBER($CM389),$CM389+ROW($B389)/1000,""))</f>
        <v/>
      </c>
      <c r="CR389" s="100" t="str">
        <f aca="false">IF(ISNUMBER($CQ389),RANK($CQ389,$CQ$9:$CQ$508,1),"")</f>
        <v/>
      </c>
      <c r="CS389" s="100" t="str">
        <f aca="false">IF(ISBLANK($C389),"",$B389)</f>
        <v/>
      </c>
      <c r="CT389" s="100" t="str">
        <f aca="false">IF(ISBLANK($C389),"",$C389)</f>
        <v/>
      </c>
      <c r="CU389" s="100" t="str">
        <f aca="false">IF(ISBLANK($C389),"",$D389)</f>
        <v/>
      </c>
      <c r="CV389" s="101" t="str">
        <f aca="false">$CJ389</f>
        <v/>
      </c>
      <c r="CW389" s="102" t="str">
        <f aca="false">$CI389</f>
        <v/>
      </c>
      <c r="CX389" s="100" t="str">
        <f aca="false">IF(ISBLANK($C389),"",$CL389)</f>
        <v/>
      </c>
      <c r="CY389" s="103" t="str">
        <f aca="false">IF($CP389&gt;$CO$8,"",VLOOKUP($CP389,$CR$9:$CX$508,7,FALSE()))</f>
        <v/>
      </c>
      <c r="CZ389" s="104" t="str">
        <f aca="false">IF($CP389&gt;$CO$8,"",VLOOKUP($CP389,$CR$9:$CX$508,2,FALSE()))</f>
        <v/>
      </c>
      <c r="DA389" s="104" t="str">
        <f aca="false">IF($CP389&gt;$CO$8,"",VLOOKUP($CP389,$CR$9:$CX$508,3,FALSE()))</f>
        <v/>
      </c>
      <c r="DB389" s="104" t="str">
        <f aca="false">IF($CP389&gt;$CO$8,"",VLOOKUP($CP389,$CR$9:$CX$508,4,FALSE()))</f>
        <v/>
      </c>
      <c r="DC389" s="104" t="str">
        <f aca="false">IF($CP389&gt;$CO$8,"",VLOOKUP($CP389,$CR$9:$CX$508,5,FALSE()))</f>
        <v/>
      </c>
      <c r="DD389" s="105" t="str">
        <f aca="false">IF($CP389&gt;$CO$8,"",VLOOKUP($CP389,$CR$9:$CX$508,6,FALSE()))</f>
        <v/>
      </c>
      <c r="DE389" s="70"/>
    </row>
    <row r="390" customFormat="false" ht="15.75" hidden="false" customHeight="false" outlineLevel="0" collapsed="false">
      <c r="A390" s="8"/>
      <c r="B390" s="146"/>
      <c r="C390" s="147"/>
      <c r="D390" s="148"/>
      <c r="E390" s="164"/>
      <c r="F390" s="150"/>
      <c r="G390" s="115"/>
      <c r="H390" s="115"/>
      <c r="I390" s="115"/>
      <c r="J390" s="165"/>
      <c r="K390" s="154"/>
      <c r="L390" s="154"/>
      <c r="M390" s="118"/>
      <c r="N390" s="154"/>
      <c r="O390" s="153"/>
      <c r="P390" s="154"/>
      <c r="Q390" s="154"/>
      <c r="R390" s="154"/>
      <c r="S390" s="115"/>
      <c r="T390" s="154"/>
      <c r="U390" s="153"/>
      <c r="V390" s="154"/>
      <c r="W390" s="123"/>
      <c r="X390" s="124" t="str">
        <f aca="false">IF(ISBLANK($C390),"",IF($E390=Constants!$B$2,TRUE(),IF($E390=Constants!$B$3,FALSE(),TRUE())))</f>
        <v/>
      </c>
      <c r="Y390" s="124" t="str">
        <f aca="false">IF(ISBLANK($C390),"",IF($F390=Constants!$B$2,TRUE(),IF($F390=Constants!$B$3,FALSE(),TRUE())))</f>
        <v/>
      </c>
      <c r="Z390" s="125" t="str">
        <f aca="false">IF(ISBLANK($C390),"",IF(ISNUMBER($G390),IF($G390&gt;=0,$G390,""),""))</f>
        <v/>
      </c>
      <c r="AA390" s="125" t="str">
        <f aca="false">IF(ISBLANK($C390),"",IF(ISNUMBER($H390),IF($H390&gt;=0,$H390,""),""))</f>
        <v/>
      </c>
      <c r="AB390" s="125" t="str">
        <f aca="false">IF(ISBLANK($C390),"",IF(ISNUMBER($I390),IF($I390&gt;=0,$I390,""),""))</f>
        <v/>
      </c>
      <c r="AC390" s="124" t="str">
        <f aca="false">IF(ISBLANK($C390),"",IF($J390=Constants!$B$2,TRUE(),IF($J390=Constants!$B$3,FALSE(),TRUE())))</f>
        <v/>
      </c>
      <c r="AD390" s="124" t="str">
        <f aca="false">IF(ISBLANK($C390),"",IF($K390=Constants!$B$2,TRUE(),IF($K390=Constants!$B$3,FALSE(),TRUE())))</f>
        <v/>
      </c>
      <c r="AE390" s="124" t="str">
        <f aca="false">IF(ISBLANK($C390),"",IF($L390=Constants!$B$2,TRUE(),IF($L390=Constants!$B$3,FALSE(),TRUE())))</f>
        <v/>
      </c>
      <c r="AF390" s="126" t="str">
        <f aca="false">IF(ISBLANK($C390),"",IF(ISNUMBER($M390),IF($M390&gt;=0,$M390,""),""))</f>
        <v/>
      </c>
      <c r="AG390" s="124" t="str">
        <f aca="false">IF(ISBLANK($C390),"",IF(ISBLANK($N390),0,IF(ISNUMBER($N390),IF(AND($N390&gt;=0,$N390&lt;=Constants!$B$17,$N390=INT($N390)),$N390,""),"")))</f>
        <v/>
      </c>
      <c r="AH390" s="125" t="str">
        <f aca="false">IF(ISBLANK($C390),"",IF(ISBLANK($O390),0,IF(ISNUMBER($O390),IF($O390&gt;=0,$O390,""),"")))</f>
        <v/>
      </c>
      <c r="AI390" s="124" t="str">
        <f aca="false">IF(ISBLANK($C390),"",IF($P390=Constants!$B$2,TRUE(),IF($P390=Constants!$B$3,FALSE(),TRUE())))</f>
        <v/>
      </c>
      <c r="AJ390" s="124" t="str">
        <f aca="false">IF(ISBLANK($C390),"",IF($Q390=Constants!$B$2,TRUE(),IF($Q390=Constants!$B$3,FALSE(),TRUE())))</f>
        <v/>
      </c>
      <c r="AK390" s="124" t="str">
        <f aca="false">IF(ISBLANK($C390),"",IF($R390=Constants!$B$2,TRUE(),IF($R390=Constants!$B$3,FALSE(),TRUE())))</f>
        <v/>
      </c>
      <c r="AL390" s="126" t="str">
        <f aca="false">IF(ISBLANK($C390),"",IF(ISNUMBER($S390),IF($S390&gt;=0,$S390,""),""))</f>
        <v/>
      </c>
      <c r="AM390" s="124" t="str">
        <f aca="false">IF(ISBLANK($C390),"",IF(ISBLANK($T390),0,IF(ISNUMBER($T390),IF(AND($T390&gt;=0,$T390&lt;=Constants!$B$17,$T390=INT($T390)),$T390,""),"")))</f>
        <v/>
      </c>
      <c r="AN390" s="125" t="str">
        <f aca="false">IF(ISBLANK($C390),"",IF(ISBLANK($U390),0,IF(ISNUMBER($U390),IF($U390&gt;=0,$U390,""),"")))</f>
        <v/>
      </c>
      <c r="AO390" s="124" t="str">
        <f aca="false">IF(ISBLANK($C390),"",IF($V390=Constants!$B$2,TRUE(),IF($V390=Constants!$B$3,FALSE(),FALSE())))</f>
        <v/>
      </c>
      <c r="AP390" s="124"/>
      <c r="AQ390" s="123" t="str">
        <f aca="false">IF(ISBLANK($C390),"",AND($Y390,OR($AS390,$BC390),OR($Z390="",$AA390="",$AB390="")))</f>
        <v/>
      </c>
      <c r="AR390" s="123" t="str">
        <f aca="false">IF(ISBLANK($C390),"",IF(OR(NOT($Y390),NOT(OR($AS390,$BC390))),"",IF(ISBLANK($D$7),$AR$5,IF($AP$9="",$AR$6,""))))</f>
        <v/>
      </c>
      <c r="AS390" s="123" t="str">
        <f aca="false">IF(ISBLANK($C390),"",COUNTA($J390:$O390)&gt;0)</f>
        <v/>
      </c>
      <c r="AT390" s="123" t="str">
        <f aca="false">IF(ISBLANK($C390),"",AND($AS390,OR(AND($AF390="",OR($AE390,NOT(ISBLANK($M390)))),$AG390="",$AH390="")))</f>
        <v/>
      </c>
      <c r="AU390" s="125" t="str">
        <f aca="false">IF($BL390&lt;&gt;Constants!$B$4,"",IF(NOT($AS390),"",ROUND((Constants!$B$12-$AB390)+(Constants!$B$13-$Z390)+(Constants!$B$14-$AA390),1)))</f>
        <v/>
      </c>
      <c r="AV390" s="127" t="str">
        <f aca="false">IF($BL390&lt;&gt;Constants!$B$4,"",IF(NOT($AS390),"",IF(NOT($AE390),0,Constants!$B$15*(INT(ROUND(MIN($AF390,$AP$9),6))-INT(ROUND(MAX(0,MIN($AF390,2*$AP$9)-$AP$9),6))))))</f>
        <v/>
      </c>
      <c r="AW390" s="127" t="str">
        <f aca="false">IF($BL390&lt;&gt;Constants!$B$4,"",IF(NOT($AS390),"",Constants!$B$16*$AG390))</f>
        <v/>
      </c>
      <c r="AX390" s="127" t="str">
        <f aca="false">IF($BL390&lt;&gt;Constants!$B$4,"",IF(NOT($AS390),"",Constants!$B$18*INT(ROUND($AH390,6))))</f>
        <v/>
      </c>
      <c r="AY390" s="123" t="str">
        <f aca="false">IF($BL390&lt;&gt;Constants!$B$4,"",IF(NOT($AS390),"",IF(NOT($X390),Constants!$B$11,IF(OR(NOT($AC390),NOT($AD390),ROUND($AB390,1)&gt;Constants!$B$12,ROUND($Z390,1)&gt;Constants!$B$13,ROUND($AA390,1)&gt;Constants!$B$14),Constants!$B$10,Constants!$B$9))))</f>
        <v/>
      </c>
      <c r="AZ390" s="128" t="str">
        <f aca="false">IF($BL390&lt;&gt;Constants!$B$4,"",IF(NOT($AS390),"",ROUND($AU390+$AV390+$AW390+$AX390,1)))</f>
        <v/>
      </c>
      <c r="BA390" s="129" t="str">
        <f aca="false">IF($BL390&lt;&gt;Constants!$B$4,"",IF(NOT($AS390),"",IF(ISNUMBER($AF390),$AF390,0)))</f>
        <v/>
      </c>
      <c r="BB390" s="124" t="str">
        <f aca="false">IF($BL390&lt;&gt;Constants!$B$4,"",IF(NOT($BC390),"&lt;-",IF(NOT($AS390),"-&gt;",IF(OR($BI390&lt;$AY390,AND($BI390=$AY390,OR($BJ390&gt;$AZ390,AND($BJ390=$AZ390,OR($BH390&gt;$AX390,AND($BH390=$AX390,OR($BE390&gt;$AU390,AND($BE390=$AU390,OR($BF390&gt;$AV390,AND($BF390=$AV390,$BK390&gt;$BA390)))))))))),"-&gt;","&lt;-"))))</f>
        <v/>
      </c>
      <c r="BC390" s="123" t="str">
        <f aca="false">IF(ISBLANK($C390),"",COUNTA($P390:$U390)&gt;0)</f>
        <v/>
      </c>
      <c r="BD390" s="123" t="str">
        <f aca="false">IF(ISBLANK($C390),"",AND($BC390,OR(AND($AL390="",OR($AK390,NOT(ISBLANK($S390)))),$AM390="",$AN390="")))</f>
        <v/>
      </c>
      <c r="BE390" s="125" t="str">
        <f aca="false">IF($BL390&lt;&gt;Constants!$B$4,"",IF(NOT($BC390),"",ROUND((Constants!$B$12-$AB390)+(Constants!$B$13-$Z390)+(Constants!$B$14-$AA390),1)))</f>
        <v/>
      </c>
      <c r="BF390" s="127" t="str">
        <f aca="false">IF($BL390&lt;&gt;Constants!$B$4,"",IF(NOT($BC390),"",IF(NOT($AK390),0,Constants!$B$15*(INT(ROUND(MIN($AL390,$AP$9),6))-INT(ROUND(MAX(0,MIN($AL390,2*$AP$9)-$AP$9),6))))))</f>
        <v/>
      </c>
      <c r="BG390" s="127" t="str">
        <f aca="false">IF($BL390&lt;&gt;Constants!$B$4,"",IF(NOT($BC390),"",Constants!$B$16*$AM390))</f>
        <v/>
      </c>
      <c r="BH390" s="127" t="str">
        <f aca="false">IF($BL390&lt;&gt;Constants!$B$4,"",IF(NOT($BC390),"",Constants!$B$18*INT(ROUND($AN390,6))))</f>
        <v/>
      </c>
      <c r="BI390" s="123" t="str">
        <f aca="false">IF($BL390&lt;&gt;Constants!$B$4,"",IF(NOT($BC390),"",IF(NOT($X390),Constants!$B$11,IF(OR(NOT($AI390),NOT($AJ390),ROUND($AB390,1)&gt;Constants!$B$12,ROUND($Z390,1)&gt;Constants!$B$13,ROUND($AA390,1)&gt;Constants!$B$14),Constants!$B$10,Constants!$B$9))))</f>
        <v/>
      </c>
      <c r="BJ390" s="128" t="str">
        <f aca="false">IF($BL390&lt;&gt;Constants!$B$4,"",IF(NOT($BC390),"",ROUND($BE390+$BF390+$BG390+$BH390,1)))</f>
        <v/>
      </c>
      <c r="BK390" s="129" t="str">
        <f aca="false">IF($BL390&lt;&gt;Constants!$B$4,"",IF(NOT($BC390),"",IF(ISNUMBER($AL390),$AL390,0)))</f>
        <v/>
      </c>
      <c r="BL390" s="124" t="str">
        <f aca="false">IF(ISBLANK($C390),"",IF($AO390,Constants!$B$7,IF(COUNTA($E390:$V390)=0,Constants!$B$6,IF(NOT($Y390),Constants!$B$5,IF(NOT(OR($AS390,$BC390)),Constants!$B$5,IF(OR($AT390,$BD390,$AQ390,$AR390&lt;&gt;""),Constants!$B$8,Constants!$B$4))))))</f>
        <v/>
      </c>
      <c r="BM390" s="124" t="str">
        <f aca="false">IF(ISBLANK($C390),"",IF($BL390&lt;&gt;Constants!$B$4,$BL390,IF($BB390="-&gt;",$BI390,$AY390)))</f>
        <v/>
      </c>
      <c r="BN390" s="127" t="str">
        <f aca="false">IF($BL390&lt;&gt;Constants!$B$4,"",IF($BB390="-&gt;",$BJ390,$AZ390))</f>
        <v/>
      </c>
      <c r="BO390" s="127" t="str">
        <f aca="false">IF(ISBLANK($C390),"",IF($BL390&lt;&gt;Constants!$B$4,$BL390,$BN390))</f>
        <v/>
      </c>
      <c r="BP390" s="124" t="str">
        <f aca="false">IF(ISBLANK($C390),"",IF($BL390&lt;&gt;Constants!$B$4,$BL390,RANK($BO390,$BO$9:$BO$508,0)))</f>
        <v/>
      </c>
      <c r="BQ390" s="124" t="str">
        <f aca="false">IF(ISBLANK($C390),"",IF($BL390&lt;&gt;Constants!$B$4,$BL390,COUNTIFS($BM$9:$BM$508,"&lt;"&amp;$BM390)+COUNTIFS($BM$9:$BM$508,$BM390,$BP$9:$BP$508,"&lt;"&amp;$BP390)+1))</f>
        <v/>
      </c>
      <c r="BR390" s="127" t="str">
        <f aca="false">IF($BL390&lt;&gt;Constants!$B$4,"",IF($BB390="-&gt;",$BH390,$AX390))</f>
        <v/>
      </c>
      <c r="BS390" s="124" t="str">
        <f aca="false">IF(ISBLANK($C390),"",IF($BL390&lt;&gt;Constants!$B$4,$BL390,IF(ISNUMBER($BR390),RANK($BR390,$BR$9:$BR$508,0),COUNT($BR$9:$BR$508)+1)))</f>
        <v/>
      </c>
      <c r="BT390" s="127" t="str">
        <f aca="false">IF($BL390&lt;&gt;Constants!$B$4,"",IF($BB390="-&gt;",$BE390,$AU390))</f>
        <v/>
      </c>
      <c r="BU390" s="124" t="str">
        <f aca="false">IF(ISBLANK($C390),"",IF($BL390&lt;&gt;Constants!$B$4,$BL390,IF(ISNUMBER($BT390),RANK($BT390,$BT$9:$BT$508,0),COUNT($BT$9:$BT$508)+1)))</f>
        <v/>
      </c>
      <c r="BV390" s="127" t="str">
        <f aca="false">IF($BL390&lt;&gt;Constants!$B$4,"",IF($BB390="-&gt;",$BF390,$AV390))</f>
        <v/>
      </c>
      <c r="BW390" s="124" t="str">
        <f aca="false">IF(ISBLANK($C390),"",IF($BL390&lt;&gt;Constants!$B$4,$BL390,IF(ISNUMBER($BV390),RANK($BV390,$BV$9:$BV$508,0),COUNT($BV$9:$BV$508)+1)))</f>
        <v/>
      </c>
      <c r="BX390" s="127" t="str">
        <f aca="false">IF($BL390&lt;&gt;Constants!$B$4,"",IF($BB390="-&gt;",$BK390,$BA390))</f>
        <v/>
      </c>
      <c r="BY390" s="124" t="str">
        <f aca="false">IF(ISBLANK($C390),"",IF($BL390&lt;&gt;Constants!$B$4,$BL390,IF(ISNUMBER($BX390),RANK($BX390,$BX$9:$BX$508,0),COUNT($BX$9:$BX$508)+1)))</f>
        <v/>
      </c>
      <c r="BZ390" s="124" t="str">
        <f aca="false">IF(ISBLANK($C390),"",IF($BL390&lt;&gt;Constants!$B$4,$BL390,COUNTIFS($BM$9:$BM$508,"&lt;"&amp;$BM390)+COUNTIFS($BM$9:$BM$508,$BM390,$BP$9:$BP$508,"&lt;"&amp;$BP390)+COUNTIFS($BM$9:$BM$508,$BM390,$BP$9:$BP$508,$BP390,$BS$9:$BS$508,"&lt;"&amp;$BS390)+COUNTIFS($BM$9:$BM$508,$BM390,$BP$9:$BP$508,$BP390,$BS$9:$BS$508,$BS390,$BU$9:$BU$508,"&lt;"&amp;$BU390)+COUNTIFS($BM$9:$BM$508,$BM390,$BP$9:$BP$508,$BP390,$BS$9:$BS$508,$BS390,$BU$9:$BU$508,$BU390,$BW$9:$BW$508,"&lt;"&amp;$BW390)+COUNTIFS($BM$9:$BM$508,$BM390,$BP$9:$BP$508,$BP390,$BS$9:$BS$508,$BS390,$BU$9:$BU$508,$BU390,$BW$9:$BW$508,$BW390,$BY$9:$BY$508,"&lt;"&amp;$BY390)+1))</f>
        <v/>
      </c>
      <c r="CA390" s="124" t="str">
        <f aca="false">IF(ISBLANK($C390),"",IF($BL390&lt;&gt;Constants!$B$4,$BL390,$BQ390-$BZ390))</f>
        <v/>
      </c>
      <c r="CB390" s="130"/>
      <c r="CC390" s="131" t="str">
        <f aca="false">IF(ISBLANK($C390),"",IF($BL390=Constants!$B$8,$AR390,""))</f>
        <v/>
      </c>
      <c r="CD390" s="131" t="str">
        <f aca="false">IF(ISBLANK($C390),"",IF($BL390&lt;&gt;Constants!$B$4,"",IF($BB390="-&gt;",2,1)))</f>
        <v/>
      </c>
      <c r="CE390" s="132" t="str">
        <f aca="false">IF(ISBLANK($C390),"",IF($BL390&lt;&gt;Constants!$B$4,"",IF($BB390="-&gt;",$BE390,$AU390)))</f>
        <v/>
      </c>
      <c r="CF390" s="132" t="str">
        <f aca="false">IF(ISBLANK($C390),"",IF($BL390&lt;&gt;Constants!$B$4,"",IF($BB390="-&gt;",$BF390,$AV390)))</f>
        <v/>
      </c>
      <c r="CG390" s="132" t="str">
        <f aca="false">IF(ISBLANK($C390),"",IF($BL390&lt;&gt;Constants!$B$4,"",IF($BB390="-&gt;",$BG390,$AW390)))</f>
        <v/>
      </c>
      <c r="CH390" s="132" t="str">
        <f aca="false">IF(ISBLANK($C390),"",IF($BL390&lt;&gt;Constants!$B$4,"",IF($BB390="-&gt;",$BH390,$AX390)))</f>
        <v/>
      </c>
      <c r="CI390" s="133" t="str">
        <f aca="false">IF(ISBLANK($C390),"",$BO390)</f>
        <v/>
      </c>
      <c r="CJ390" s="134" t="str">
        <f aca="false">IF(ISBLANK($C390),"",$BM390)</f>
        <v/>
      </c>
      <c r="CK390" s="135" t="str">
        <f aca="false">IF(ISBLANK($C390),"",$CA390)</f>
        <v/>
      </c>
      <c r="CL390" s="135" t="str">
        <f aca="false">IF(ISBLANK($C390),"",$BZ390)</f>
        <v/>
      </c>
      <c r="CM390" s="136" t="str">
        <f aca="false">IF(ISBLANK($C390),"",IF($CL390=Constants!$B$7,COUNTA($C$9:$C$508)+2,IF($CL390=Constants!$B$6,COUNTA($C$9:$C$508)+1,IF($CL390=Constants!$B$5,COUNTA($C$9:$C$508),$CL390))))</f>
        <v/>
      </c>
      <c r="CN390" s="8"/>
      <c r="CO390" s="137" t="n">
        <f aca="false">IF(OR(ISNUMBER($CL390),$CL390=Constants!$B$7,$CL390=Constants!$B$5,$CL390=Constants!$B$6),1,0)</f>
        <v>0</v>
      </c>
      <c r="CP390" s="137" t="n">
        <v>382</v>
      </c>
      <c r="CQ390" s="137" t="str">
        <f aca="false">IF(ISBLANK($C390),"",IF(ISNUMBER($CM390),$CM390+ROW($B390)/1000,""))</f>
        <v/>
      </c>
      <c r="CR390" s="137" t="str">
        <f aca="false">IF(ISNUMBER($CQ390),RANK($CQ390,$CQ$9:$CQ$508,1),"")</f>
        <v/>
      </c>
      <c r="CS390" s="137" t="str">
        <f aca="false">IF(ISBLANK($C390),"",$B390)</f>
        <v/>
      </c>
      <c r="CT390" s="137" t="str">
        <f aca="false">IF(ISBLANK($C390),"",$C390)</f>
        <v/>
      </c>
      <c r="CU390" s="137" t="str">
        <f aca="false">IF(ISBLANK($C390),"",$D390)</f>
        <v/>
      </c>
      <c r="CV390" s="138" t="str">
        <f aca="false">$CJ390</f>
        <v/>
      </c>
      <c r="CW390" s="139" t="str">
        <f aca="false">$CI390</f>
        <v/>
      </c>
      <c r="CX390" s="137" t="str">
        <f aca="false">IF(ISBLANK($C390),"",$CL390)</f>
        <v/>
      </c>
      <c r="CY390" s="140" t="str">
        <f aca="false">IF($CP390&gt;$CO$8,"",VLOOKUP($CP390,$CR$9:$CX$508,7,FALSE()))</f>
        <v/>
      </c>
      <c r="CZ390" s="141" t="str">
        <f aca="false">IF($CP390&gt;$CO$8,"",VLOOKUP($CP390,$CR$9:$CX$508,2,FALSE()))</f>
        <v/>
      </c>
      <c r="DA390" s="141" t="str">
        <f aca="false">IF($CP390&gt;$CO$8,"",VLOOKUP($CP390,$CR$9:$CX$508,3,FALSE()))</f>
        <v/>
      </c>
      <c r="DB390" s="141" t="str">
        <f aca="false">IF($CP390&gt;$CO$8,"",VLOOKUP($CP390,$CR$9:$CX$508,4,FALSE()))</f>
        <v/>
      </c>
      <c r="DC390" s="141" t="str">
        <f aca="false">IF($CP390&gt;$CO$8,"",VLOOKUP($CP390,$CR$9:$CX$508,5,FALSE()))</f>
        <v/>
      </c>
      <c r="DD390" s="142" t="str">
        <f aca="false">IF($CP390&gt;$CO$8,"",VLOOKUP($CP390,$CR$9:$CX$508,6,FALSE()))</f>
        <v/>
      </c>
      <c r="DE390" s="70"/>
    </row>
    <row r="391" customFormat="false" ht="15.75" hidden="false" customHeight="false" outlineLevel="0" collapsed="false">
      <c r="A391" s="8"/>
      <c r="B391" s="146"/>
      <c r="C391" s="147"/>
      <c r="D391" s="148"/>
      <c r="E391" s="164"/>
      <c r="F391" s="150"/>
      <c r="G391" s="115"/>
      <c r="H391" s="115"/>
      <c r="I391" s="115"/>
      <c r="J391" s="165"/>
      <c r="K391" s="154"/>
      <c r="L391" s="154"/>
      <c r="M391" s="118"/>
      <c r="N391" s="154"/>
      <c r="O391" s="153"/>
      <c r="P391" s="154"/>
      <c r="Q391" s="154"/>
      <c r="R391" s="154"/>
      <c r="S391" s="115"/>
      <c r="T391" s="154"/>
      <c r="U391" s="153"/>
      <c r="V391" s="154"/>
      <c r="W391" s="123"/>
      <c r="X391" s="124" t="str">
        <f aca="false">IF(ISBLANK($C391),"",IF($E391=Constants!$B$2,TRUE(),IF($E391=Constants!$B$3,FALSE(),TRUE())))</f>
        <v/>
      </c>
      <c r="Y391" s="124" t="str">
        <f aca="false">IF(ISBLANK($C391),"",IF($F391=Constants!$B$2,TRUE(),IF($F391=Constants!$B$3,FALSE(),TRUE())))</f>
        <v/>
      </c>
      <c r="Z391" s="125" t="str">
        <f aca="false">IF(ISBLANK($C391),"",IF(ISNUMBER($G391),IF($G391&gt;=0,$G391,""),""))</f>
        <v/>
      </c>
      <c r="AA391" s="125" t="str">
        <f aca="false">IF(ISBLANK($C391),"",IF(ISNUMBER($H391),IF($H391&gt;=0,$H391,""),""))</f>
        <v/>
      </c>
      <c r="AB391" s="125" t="str">
        <f aca="false">IF(ISBLANK($C391),"",IF(ISNUMBER($I391),IF($I391&gt;=0,$I391,""),""))</f>
        <v/>
      </c>
      <c r="AC391" s="124" t="str">
        <f aca="false">IF(ISBLANK($C391),"",IF($J391=Constants!$B$2,TRUE(),IF($J391=Constants!$B$3,FALSE(),TRUE())))</f>
        <v/>
      </c>
      <c r="AD391" s="124" t="str">
        <f aca="false">IF(ISBLANK($C391),"",IF($K391=Constants!$B$2,TRUE(),IF($K391=Constants!$B$3,FALSE(),TRUE())))</f>
        <v/>
      </c>
      <c r="AE391" s="124" t="str">
        <f aca="false">IF(ISBLANK($C391),"",IF($L391=Constants!$B$2,TRUE(),IF($L391=Constants!$B$3,FALSE(),TRUE())))</f>
        <v/>
      </c>
      <c r="AF391" s="126" t="str">
        <f aca="false">IF(ISBLANK($C391),"",IF(ISNUMBER($M391),IF($M391&gt;=0,$M391,""),""))</f>
        <v/>
      </c>
      <c r="AG391" s="124" t="str">
        <f aca="false">IF(ISBLANK($C391),"",IF(ISBLANK($N391),0,IF(ISNUMBER($N391),IF(AND($N391&gt;=0,$N391&lt;=Constants!$B$17,$N391=INT($N391)),$N391,""),"")))</f>
        <v/>
      </c>
      <c r="AH391" s="125" t="str">
        <f aca="false">IF(ISBLANK($C391),"",IF(ISBLANK($O391),0,IF(ISNUMBER($O391),IF($O391&gt;=0,$O391,""),"")))</f>
        <v/>
      </c>
      <c r="AI391" s="124" t="str">
        <f aca="false">IF(ISBLANK($C391),"",IF($P391=Constants!$B$2,TRUE(),IF($P391=Constants!$B$3,FALSE(),TRUE())))</f>
        <v/>
      </c>
      <c r="AJ391" s="124" t="str">
        <f aca="false">IF(ISBLANK($C391),"",IF($Q391=Constants!$B$2,TRUE(),IF($Q391=Constants!$B$3,FALSE(),TRUE())))</f>
        <v/>
      </c>
      <c r="AK391" s="124" t="str">
        <f aca="false">IF(ISBLANK($C391),"",IF($R391=Constants!$B$2,TRUE(),IF($R391=Constants!$B$3,FALSE(),TRUE())))</f>
        <v/>
      </c>
      <c r="AL391" s="126" t="str">
        <f aca="false">IF(ISBLANK($C391),"",IF(ISNUMBER($S391),IF($S391&gt;=0,$S391,""),""))</f>
        <v/>
      </c>
      <c r="AM391" s="124" t="str">
        <f aca="false">IF(ISBLANK($C391),"",IF(ISBLANK($T391),0,IF(ISNUMBER($T391),IF(AND($T391&gt;=0,$T391&lt;=Constants!$B$17,$T391=INT($T391)),$T391,""),"")))</f>
        <v/>
      </c>
      <c r="AN391" s="125" t="str">
        <f aca="false">IF(ISBLANK($C391),"",IF(ISBLANK($U391),0,IF(ISNUMBER($U391),IF($U391&gt;=0,$U391,""),"")))</f>
        <v/>
      </c>
      <c r="AO391" s="124" t="str">
        <f aca="false">IF(ISBLANK($C391),"",IF($V391=Constants!$B$2,TRUE(),IF($V391=Constants!$B$3,FALSE(),FALSE())))</f>
        <v/>
      </c>
      <c r="AP391" s="124"/>
      <c r="AQ391" s="123" t="str">
        <f aca="false">IF(ISBLANK($C391),"",AND($Y391,OR($AS391,$BC391),OR($Z391="",$AA391="",$AB391="")))</f>
        <v/>
      </c>
      <c r="AR391" s="123" t="str">
        <f aca="false">IF(ISBLANK($C391),"",IF(OR(NOT($Y391),NOT(OR($AS391,$BC391))),"",IF(ISBLANK($D$7),$AR$5,IF($AP$9="",$AR$6,""))))</f>
        <v/>
      </c>
      <c r="AS391" s="123" t="str">
        <f aca="false">IF(ISBLANK($C391),"",COUNTA($J391:$O391)&gt;0)</f>
        <v/>
      </c>
      <c r="AT391" s="123" t="str">
        <f aca="false">IF(ISBLANK($C391),"",AND($AS391,OR(AND($AF391="",OR($AE391,NOT(ISBLANK($M391)))),$AG391="",$AH391="")))</f>
        <v/>
      </c>
      <c r="AU391" s="125" t="str">
        <f aca="false">IF($BL391&lt;&gt;Constants!$B$4,"",IF(NOT($AS391),"",ROUND((Constants!$B$12-$AB391)+(Constants!$B$13-$Z391)+(Constants!$B$14-$AA391),1)))</f>
        <v/>
      </c>
      <c r="AV391" s="127" t="str">
        <f aca="false">IF($BL391&lt;&gt;Constants!$B$4,"",IF(NOT($AS391),"",IF(NOT($AE391),0,Constants!$B$15*(INT(ROUND(MIN($AF391,$AP$9),6))-INT(ROUND(MAX(0,MIN($AF391,2*$AP$9)-$AP$9),6))))))</f>
        <v/>
      </c>
      <c r="AW391" s="127" t="str">
        <f aca="false">IF($BL391&lt;&gt;Constants!$B$4,"",IF(NOT($AS391),"",Constants!$B$16*$AG391))</f>
        <v/>
      </c>
      <c r="AX391" s="127" t="str">
        <f aca="false">IF($BL391&lt;&gt;Constants!$B$4,"",IF(NOT($AS391),"",Constants!$B$18*INT(ROUND($AH391,6))))</f>
        <v/>
      </c>
      <c r="AY391" s="123" t="str">
        <f aca="false">IF($BL391&lt;&gt;Constants!$B$4,"",IF(NOT($AS391),"",IF(NOT($X391),Constants!$B$11,IF(OR(NOT($AC391),NOT($AD391),ROUND($AB391,1)&gt;Constants!$B$12,ROUND($Z391,1)&gt;Constants!$B$13,ROUND($AA391,1)&gt;Constants!$B$14),Constants!$B$10,Constants!$B$9))))</f>
        <v/>
      </c>
      <c r="AZ391" s="128" t="str">
        <f aca="false">IF($BL391&lt;&gt;Constants!$B$4,"",IF(NOT($AS391),"",ROUND($AU391+$AV391+$AW391+$AX391,1)))</f>
        <v/>
      </c>
      <c r="BA391" s="129" t="str">
        <f aca="false">IF($BL391&lt;&gt;Constants!$B$4,"",IF(NOT($AS391),"",IF(ISNUMBER($AF391),$AF391,0)))</f>
        <v/>
      </c>
      <c r="BB391" s="124" t="str">
        <f aca="false">IF($BL391&lt;&gt;Constants!$B$4,"",IF(NOT($BC391),"&lt;-",IF(NOT($AS391),"-&gt;",IF(OR($BI391&lt;$AY391,AND($BI391=$AY391,OR($BJ391&gt;$AZ391,AND($BJ391=$AZ391,OR($BH391&gt;$AX391,AND($BH391=$AX391,OR($BE391&gt;$AU391,AND($BE391=$AU391,OR($BF391&gt;$AV391,AND($BF391=$AV391,$BK391&gt;$BA391)))))))))),"-&gt;","&lt;-"))))</f>
        <v/>
      </c>
      <c r="BC391" s="123" t="str">
        <f aca="false">IF(ISBLANK($C391),"",COUNTA($P391:$U391)&gt;0)</f>
        <v/>
      </c>
      <c r="BD391" s="123" t="str">
        <f aca="false">IF(ISBLANK($C391),"",AND($BC391,OR(AND($AL391="",OR($AK391,NOT(ISBLANK($S391)))),$AM391="",$AN391="")))</f>
        <v/>
      </c>
      <c r="BE391" s="125" t="str">
        <f aca="false">IF($BL391&lt;&gt;Constants!$B$4,"",IF(NOT($BC391),"",ROUND((Constants!$B$12-$AB391)+(Constants!$B$13-$Z391)+(Constants!$B$14-$AA391),1)))</f>
        <v/>
      </c>
      <c r="BF391" s="127" t="str">
        <f aca="false">IF($BL391&lt;&gt;Constants!$B$4,"",IF(NOT($BC391),"",IF(NOT($AK391),0,Constants!$B$15*(INT(ROUND(MIN($AL391,$AP$9),6))-INT(ROUND(MAX(0,MIN($AL391,2*$AP$9)-$AP$9),6))))))</f>
        <v/>
      </c>
      <c r="BG391" s="127" t="str">
        <f aca="false">IF($BL391&lt;&gt;Constants!$B$4,"",IF(NOT($BC391),"",Constants!$B$16*$AM391))</f>
        <v/>
      </c>
      <c r="BH391" s="127" t="str">
        <f aca="false">IF($BL391&lt;&gt;Constants!$B$4,"",IF(NOT($BC391),"",Constants!$B$18*INT(ROUND($AN391,6))))</f>
        <v/>
      </c>
      <c r="BI391" s="123" t="str">
        <f aca="false">IF($BL391&lt;&gt;Constants!$B$4,"",IF(NOT($BC391),"",IF(NOT($X391),Constants!$B$11,IF(OR(NOT($AI391),NOT($AJ391),ROUND($AB391,1)&gt;Constants!$B$12,ROUND($Z391,1)&gt;Constants!$B$13,ROUND($AA391,1)&gt;Constants!$B$14),Constants!$B$10,Constants!$B$9))))</f>
        <v/>
      </c>
      <c r="BJ391" s="128" t="str">
        <f aca="false">IF($BL391&lt;&gt;Constants!$B$4,"",IF(NOT($BC391),"",ROUND($BE391+$BF391+$BG391+$BH391,1)))</f>
        <v/>
      </c>
      <c r="BK391" s="129" t="str">
        <f aca="false">IF($BL391&lt;&gt;Constants!$B$4,"",IF(NOT($BC391),"",IF(ISNUMBER($AL391),$AL391,0)))</f>
        <v/>
      </c>
      <c r="BL391" s="124" t="str">
        <f aca="false">IF(ISBLANK($C391),"",IF($AO391,Constants!$B$7,IF(COUNTA($E391:$V391)=0,Constants!$B$6,IF(NOT($Y391),Constants!$B$5,IF(NOT(OR($AS391,$BC391)),Constants!$B$5,IF(OR($AT391,$BD391,$AQ391,$AR391&lt;&gt;""),Constants!$B$8,Constants!$B$4))))))</f>
        <v/>
      </c>
      <c r="BM391" s="124" t="str">
        <f aca="false">IF(ISBLANK($C391),"",IF($BL391&lt;&gt;Constants!$B$4,$BL391,IF($BB391="-&gt;",$BI391,$AY391)))</f>
        <v/>
      </c>
      <c r="BN391" s="127" t="str">
        <f aca="false">IF($BL391&lt;&gt;Constants!$B$4,"",IF($BB391="-&gt;",$BJ391,$AZ391))</f>
        <v/>
      </c>
      <c r="BO391" s="127" t="str">
        <f aca="false">IF(ISBLANK($C391),"",IF($BL391&lt;&gt;Constants!$B$4,$BL391,$BN391))</f>
        <v/>
      </c>
      <c r="BP391" s="124" t="str">
        <f aca="false">IF(ISBLANK($C391),"",IF($BL391&lt;&gt;Constants!$B$4,$BL391,RANK($BO391,$BO$9:$BO$508,0)))</f>
        <v/>
      </c>
      <c r="BQ391" s="124" t="str">
        <f aca="false">IF(ISBLANK($C391),"",IF($BL391&lt;&gt;Constants!$B$4,$BL391,COUNTIFS($BM$9:$BM$508,"&lt;"&amp;$BM391)+COUNTIFS($BM$9:$BM$508,$BM391,$BP$9:$BP$508,"&lt;"&amp;$BP391)+1))</f>
        <v/>
      </c>
      <c r="BR391" s="127" t="str">
        <f aca="false">IF($BL391&lt;&gt;Constants!$B$4,"",IF($BB391="-&gt;",$BH391,$AX391))</f>
        <v/>
      </c>
      <c r="BS391" s="124" t="str">
        <f aca="false">IF(ISBLANK($C391),"",IF($BL391&lt;&gt;Constants!$B$4,$BL391,IF(ISNUMBER($BR391),RANK($BR391,$BR$9:$BR$508,0),COUNT($BR$9:$BR$508)+1)))</f>
        <v/>
      </c>
      <c r="BT391" s="127" t="str">
        <f aca="false">IF($BL391&lt;&gt;Constants!$B$4,"",IF($BB391="-&gt;",$BE391,$AU391))</f>
        <v/>
      </c>
      <c r="BU391" s="124" t="str">
        <f aca="false">IF(ISBLANK($C391),"",IF($BL391&lt;&gt;Constants!$B$4,$BL391,IF(ISNUMBER($BT391),RANK($BT391,$BT$9:$BT$508,0),COUNT($BT$9:$BT$508)+1)))</f>
        <v/>
      </c>
      <c r="BV391" s="127" t="str">
        <f aca="false">IF($BL391&lt;&gt;Constants!$B$4,"",IF($BB391="-&gt;",$BF391,$AV391))</f>
        <v/>
      </c>
      <c r="BW391" s="124" t="str">
        <f aca="false">IF(ISBLANK($C391),"",IF($BL391&lt;&gt;Constants!$B$4,$BL391,IF(ISNUMBER($BV391),RANK($BV391,$BV$9:$BV$508,0),COUNT($BV$9:$BV$508)+1)))</f>
        <v/>
      </c>
      <c r="BX391" s="127" t="str">
        <f aca="false">IF($BL391&lt;&gt;Constants!$B$4,"",IF($BB391="-&gt;",$BK391,$BA391))</f>
        <v/>
      </c>
      <c r="BY391" s="124" t="str">
        <f aca="false">IF(ISBLANK($C391),"",IF($BL391&lt;&gt;Constants!$B$4,$BL391,IF(ISNUMBER($BX391),RANK($BX391,$BX$9:$BX$508,0),COUNT($BX$9:$BX$508)+1)))</f>
        <v/>
      </c>
      <c r="BZ391" s="124" t="str">
        <f aca="false">IF(ISBLANK($C391),"",IF($BL391&lt;&gt;Constants!$B$4,$BL391,COUNTIFS($BM$9:$BM$508,"&lt;"&amp;$BM391)+COUNTIFS($BM$9:$BM$508,$BM391,$BP$9:$BP$508,"&lt;"&amp;$BP391)+COUNTIFS($BM$9:$BM$508,$BM391,$BP$9:$BP$508,$BP391,$BS$9:$BS$508,"&lt;"&amp;$BS391)+COUNTIFS($BM$9:$BM$508,$BM391,$BP$9:$BP$508,$BP391,$BS$9:$BS$508,$BS391,$BU$9:$BU$508,"&lt;"&amp;$BU391)+COUNTIFS($BM$9:$BM$508,$BM391,$BP$9:$BP$508,$BP391,$BS$9:$BS$508,$BS391,$BU$9:$BU$508,$BU391,$BW$9:$BW$508,"&lt;"&amp;$BW391)+COUNTIFS($BM$9:$BM$508,$BM391,$BP$9:$BP$508,$BP391,$BS$9:$BS$508,$BS391,$BU$9:$BU$508,$BU391,$BW$9:$BW$508,$BW391,$BY$9:$BY$508,"&lt;"&amp;$BY391)+1))</f>
        <v/>
      </c>
      <c r="CA391" s="124" t="str">
        <f aca="false">IF(ISBLANK($C391),"",IF($BL391&lt;&gt;Constants!$B$4,$BL391,$BQ391-$BZ391))</f>
        <v/>
      </c>
      <c r="CB391" s="130"/>
      <c r="CC391" s="131" t="str">
        <f aca="false">IF(ISBLANK($C391),"",IF($BL391=Constants!$B$8,$AR391,""))</f>
        <v/>
      </c>
      <c r="CD391" s="131" t="str">
        <f aca="false">IF(ISBLANK($C391),"",IF($BL391&lt;&gt;Constants!$B$4,"",IF($BB391="-&gt;",2,1)))</f>
        <v/>
      </c>
      <c r="CE391" s="132" t="str">
        <f aca="false">IF(ISBLANK($C391),"",IF($BL391&lt;&gt;Constants!$B$4,"",IF($BB391="-&gt;",$BE391,$AU391)))</f>
        <v/>
      </c>
      <c r="CF391" s="132" t="str">
        <f aca="false">IF(ISBLANK($C391),"",IF($BL391&lt;&gt;Constants!$B$4,"",IF($BB391="-&gt;",$BF391,$AV391)))</f>
        <v/>
      </c>
      <c r="CG391" s="132" t="str">
        <f aca="false">IF(ISBLANK($C391),"",IF($BL391&lt;&gt;Constants!$B$4,"",IF($BB391="-&gt;",$BG391,$AW391)))</f>
        <v/>
      </c>
      <c r="CH391" s="132" t="str">
        <f aca="false">IF(ISBLANK($C391),"",IF($BL391&lt;&gt;Constants!$B$4,"",IF($BB391="-&gt;",$BH391,$AX391)))</f>
        <v/>
      </c>
      <c r="CI391" s="133" t="str">
        <f aca="false">IF(ISBLANK($C391),"",$BO391)</f>
        <v/>
      </c>
      <c r="CJ391" s="134" t="str">
        <f aca="false">IF(ISBLANK($C391),"",$BM391)</f>
        <v/>
      </c>
      <c r="CK391" s="135" t="str">
        <f aca="false">IF(ISBLANK($C391),"",$CA391)</f>
        <v/>
      </c>
      <c r="CL391" s="135" t="str">
        <f aca="false">IF(ISBLANK($C391),"",$BZ391)</f>
        <v/>
      </c>
      <c r="CM391" s="136" t="str">
        <f aca="false">IF(ISBLANK($C391),"",IF($CL391=Constants!$B$7,COUNTA($C$9:$C$508)+2,IF($CL391=Constants!$B$6,COUNTA($C$9:$C$508)+1,IF($CL391=Constants!$B$5,COUNTA($C$9:$C$508),$CL391))))</f>
        <v/>
      </c>
      <c r="CN391" s="8"/>
      <c r="CO391" s="137" t="n">
        <f aca="false">IF(OR(ISNUMBER($CL391),$CL391=Constants!$B$7,$CL391=Constants!$B$5,$CL391=Constants!$B$6),1,0)</f>
        <v>0</v>
      </c>
      <c r="CP391" s="137" t="n">
        <v>383</v>
      </c>
      <c r="CQ391" s="137" t="str">
        <f aca="false">IF(ISBLANK($C391),"",IF(ISNUMBER($CM391),$CM391+ROW($B391)/1000,""))</f>
        <v/>
      </c>
      <c r="CR391" s="137" t="str">
        <f aca="false">IF(ISNUMBER($CQ391),RANK($CQ391,$CQ$9:$CQ$508,1),"")</f>
        <v/>
      </c>
      <c r="CS391" s="137" t="str">
        <f aca="false">IF(ISBLANK($C391),"",$B391)</f>
        <v/>
      </c>
      <c r="CT391" s="137" t="str">
        <f aca="false">IF(ISBLANK($C391),"",$C391)</f>
        <v/>
      </c>
      <c r="CU391" s="137" t="str">
        <f aca="false">IF(ISBLANK($C391),"",$D391)</f>
        <v/>
      </c>
      <c r="CV391" s="138" t="str">
        <f aca="false">$CJ391</f>
        <v/>
      </c>
      <c r="CW391" s="139" t="str">
        <f aca="false">$CI391</f>
        <v/>
      </c>
      <c r="CX391" s="137" t="str">
        <f aca="false">IF(ISBLANK($C391),"",$CL391)</f>
        <v/>
      </c>
      <c r="CY391" s="140" t="str">
        <f aca="false">IF($CP391&gt;$CO$8,"",VLOOKUP($CP391,$CR$9:$CX$508,7,FALSE()))</f>
        <v/>
      </c>
      <c r="CZ391" s="141" t="str">
        <f aca="false">IF($CP391&gt;$CO$8,"",VLOOKUP($CP391,$CR$9:$CX$508,2,FALSE()))</f>
        <v/>
      </c>
      <c r="DA391" s="141" t="str">
        <f aca="false">IF($CP391&gt;$CO$8,"",VLOOKUP($CP391,$CR$9:$CX$508,3,FALSE()))</f>
        <v/>
      </c>
      <c r="DB391" s="141" t="str">
        <f aca="false">IF($CP391&gt;$CO$8,"",VLOOKUP($CP391,$CR$9:$CX$508,4,FALSE()))</f>
        <v/>
      </c>
      <c r="DC391" s="141" t="str">
        <f aca="false">IF($CP391&gt;$CO$8,"",VLOOKUP($CP391,$CR$9:$CX$508,5,FALSE()))</f>
        <v/>
      </c>
      <c r="DD391" s="142" t="str">
        <f aca="false">IF($CP391&gt;$CO$8,"",VLOOKUP($CP391,$CR$9:$CX$508,6,FALSE()))</f>
        <v/>
      </c>
      <c r="DE391" s="70"/>
    </row>
    <row r="392" customFormat="false" ht="15.75" hidden="false" customHeight="false" outlineLevel="0" collapsed="false">
      <c r="A392" s="8"/>
      <c r="B392" s="146"/>
      <c r="C392" s="147"/>
      <c r="D392" s="148"/>
      <c r="E392" s="164"/>
      <c r="F392" s="150"/>
      <c r="G392" s="115"/>
      <c r="H392" s="115"/>
      <c r="I392" s="115"/>
      <c r="J392" s="165"/>
      <c r="K392" s="154"/>
      <c r="L392" s="154"/>
      <c r="M392" s="118"/>
      <c r="N392" s="154"/>
      <c r="O392" s="153"/>
      <c r="P392" s="154"/>
      <c r="Q392" s="154"/>
      <c r="R392" s="154"/>
      <c r="S392" s="115"/>
      <c r="T392" s="154"/>
      <c r="U392" s="153"/>
      <c r="V392" s="154"/>
      <c r="W392" s="123"/>
      <c r="X392" s="124" t="str">
        <f aca="false">IF(ISBLANK($C392),"",IF($E392=Constants!$B$2,TRUE(),IF($E392=Constants!$B$3,FALSE(),TRUE())))</f>
        <v/>
      </c>
      <c r="Y392" s="124" t="str">
        <f aca="false">IF(ISBLANK($C392),"",IF($F392=Constants!$B$2,TRUE(),IF($F392=Constants!$B$3,FALSE(),TRUE())))</f>
        <v/>
      </c>
      <c r="Z392" s="125" t="str">
        <f aca="false">IF(ISBLANK($C392),"",IF(ISNUMBER($G392),IF($G392&gt;=0,$G392,""),""))</f>
        <v/>
      </c>
      <c r="AA392" s="125" t="str">
        <f aca="false">IF(ISBLANK($C392),"",IF(ISNUMBER($H392),IF($H392&gt;=0,$H392,""),""))</f>
        <v/>
      </c>
      <c r="AB392" s="125" t="str">
        <f aca="false">IF(ISBLANK($C392),"",IF(ISNUMBER($I392),IF($I392&gt;=0,$I392,""),""))</f>
        <v/>
      </c>
      <c r="AC392" s="124" t="str">
        <f aca="false">IF(ISBLANK($C392),"",IF($J392=Constants!$B$2,TRUE(),IF($J392=Constants!$B$3,FALSE(),TRUE())))</f>
        <v/>
      </c>
      <c r="AD392" s="124" t="str">
        <f aca="false">IF(ISBLANK($C392),"",IF($K392=Constants!$B$2,TRUE(),IF($K392=Constants!$B$3,FALSE(),TRUE())))</f>
        <v/>
      </c>
      <c r="AE392" s="124" t="str">
        <f aca="false">IF(ISBLANK($C392),"",IF($L392=Constants!$B$2,TRUE(),IF($L392=Constants!$B$3,FALSE(),TRUE())))</f>
        <v/>
      </c>
      <c r="AF392" s="126" t="str">
        <f aca="false">IF(ISBLANK($C392),"",IF(ISNUMBER($M392),IF($M392&gt;=0,$M392,""),""))</f>
        <v/>
      </c>
      <c r="AG392" s="124" t="str">
        <f aca="false">IF(ISBLANK($C392),"",IF(ISBLANK($N392),0,IF(ISNUMBER($N392),IF(AND($N392&gt;=0,$N392&lt;=Constants!$B$17,$N392=INT($N392)),$N392,""),"")))</f>
        <v/>
      </c>
      <c r="AH392" s="125" t="str">
        <f aca="false">IF(ISBLANK($C392),"",IF(ISBLANK($O392),0,IF(ISNUMBER($O392),IF($O392&gt;=0,$O392,""),"")))</f>
        <v/>
      </c>
      <c r="AI392" s="124" t="str">
        <f aca="false">IF(ISBLANK($C392),"",IF($P392=Constants!$B$2,TRUE(),IF($P392=Constants!$B$3,FALSE(),TRUE())))</f>
        <v/>
      </c>
      <c r="AJ392" s="124" t="str">
        <f aca="false">IF(ISBLANK($C392),"",IF($Q392=Constants!$B$2,TRUE(),IF($Q392=Constants!$B$3,FALSE(),TRUE())))</f>
        <v/>
      </c>
      <c r="AK392" s="124" t="str">
        <f aca="false">IF(ISBLANK($C392),"",IF($R392=Constants!$B$2,TRUE(),IF($R392=Constants!$B$3,FALSE(),TRUE())))</f>
        <v/>
      </c>
      <c r="AL392" s="126" t="str">
        <f aca="false">IF(ISBLANK($C392),"",IF(ISNUMBER($S392),IF($S392&gt;=0,$S392,""),""))</f>
        <v/>
      </c>
      <c r="AM392" s="124" t="str">
        <f aca="false">IF(ISBLANK($C392),"",IF(ISBLANK($T392),0,IF(ISNUMBER($T392),IF(AND($T392&gt;=0,$T392&lt;=Constants!$B$17,$T392=INT($T392)),$T392,""),"")))</f>
        <v/>
      </c>
      <c r="AN392" s="125" t="str">
        <f aca="false">IF(ISBLANK($C392),"",IF(ISBLANK($U392),0,IF(ISNUMBER($U392),IF($U392&gt;=0,$U392,""),"")))</f>
        <v/>
      </c>
      <c r="AO392" s="124" t="str">
        <f aca="false">IF(ISBLANK($C392),"",IF($V392=Constants!$B$2,TRUE(),IF($V392=Constants!$B$3,FALSE(),FALSE())))</f>
        <v/>
      </c>
      <c r="AP392" s="124"/>
      <c r="AQ392" s="123" t="str">
        <f aca="false">IF(ISBLANK($C392),"",AND($Y392,OR($AS392,$BC392),OR($Z392="",$AA392="",$AB392="")))</f>
        <v/>
      </c>
      <c r="AR392" s="123" t="str">
        <f aca="false">IF(ISBLANK($C392),"",IF(OR(NOT($Y392),NOT(OR($AS392,$BC392))),"",IF(ISBLANK($D$7),$AR$5,IF($AP$9="",$AR$6,""))))</f>
        <v/>
      </c>
      <c r="AS392" s="123" t="str">
        <f aca="false">IF(ISBLANK($C392),"",COUNTA($J392:$O392)&gt;0)</f>
        <v/>
      </c>
      <c r="AT392" s="123" t="str">
        <f aca="false">IF(ISBLANK($C392),"",AND($AS392,OR(AND($AF392="",OR($AE392,NOT(ISBLANK($M392)))),$AG392="",$AH392="")))</f>
        <v/>
      </c>
      <c r="AU392" s="125" t="str">
        <f aca="false">IF($BL392&lt;&gt;Constants!$B$4,"",IF(NOT($AS392),"",ROUND((Constants!$B$12-$AB392)+(Constants!$B$13-$Z392)+(Constants!$B$14-$AA392),1)))</f>
        <v/>
      </c>
      <c r="AV392" s="127" t="str">
        <f aca="false">IF($BL392&lt;&gt;Constants!$B$4,"",IF(NOT($AS392),"",IF(NOT($AE392),0,Constants!$B$15*(INT(ROUND(MIN($AF392,$AP$9),6))-INT(ROUND(MAX(0,MIN($AF392,2*$AP$9)-$AP$9),6))))))</f>
        <v/>
      </c>
      <c r="AW392" s="127" t="str">
        <f aca="false">IF($BL392&lt;&gt;Constants!$B$4,"",IF(NOT($AS392),"",Constants!$B$16*$AG392))</f>
        <v/>
      </c>
      <c r="AX392" s="127" t="str">
        <f aca="false">IF($BL392&lt;&gt;Constants!$B$4,"",IF(NOT($AS392),"",Constants!$B$18*INT(ROUND($AH392,6))))</f>
        <v/>
      </c>
      <c r="AY392" s="123" t="str">
        <f aca="false">IF($BL392&lt;&gt;Constants!$B$4,"",IF(NOT($AS392),"",IF(NOT($X392),Constants!$B$11,IF(OR(NOT($AC392),NOT($AD392),ROUND($AB392,1)&gt;Constants!$B$12,ROUND($Z392,1)&gt;Constants!$B$13,ROUND($AA392,1)&gt;Constants!$B$14),Constants!$B$10,Constants!$B$9))))</f>
        <v/>
      </c>
      <c r="AZ392" s="128" t="str">
        <f aca="false">IF($BL392&lt;&gt;Constants!$B$4,"",IF(NOT($AS392),"",ROUND($AU392+$AV392+$AW392+$AX392,1)))</f>
        <v/>
      </c>
      <c r="BA392" s="129" t="str">
        <f aca="false">IF($BL392&lt;&gt;Constants!$B$4,"",IF(NOT($AS392),"",IF(ISNUMBER($AF392),$AF392,0)))</f>
        <v/>
      </c>
      <c r="BB392" s="124" t="str">
        <f aca="false">IF($BL392&lt;&gt;Constants!$B$4,"",IF(NOT($BC392),"&lt;-",IF(NOT($AS392),"-&gt;",IF(OR($BI392&lt;$AY392,AND($BI392=$AY392,OR($BJ392&gt;$AZ392,AND($BJ392=$AZ392,OR($BH392&gt;$AX392,AND($BH392=$AX392,OR($BE392&gt;$AU392,AND($BE392=$AU392,OR($BF392&gt;$AV392,AND($BF392=$AV392,$BK392&gt;$BA392)))))))))),"-&gt;","&lt;-"))))</f>
        <v/>
      </c>
      <c r="BC392" s="123" t="str">
        <f aca="false">IF(ISBLANK($C392),"",COUNTA($P392:$U392)&gt;0)</f>
        <v/>
      </c>
      <c r="BD392" s="123" t="str">
        <f aca="false">IF(ISBLANK($C392),"",AND($BC392,OR(AND($AL392="",OR($AK392,NOT(ISBLANK($S392)))),$AM392="",$AN392="")))</f>
        <v/>
      </c>
      <c r="BE392" s="125" t="str">
        <f aca="false">IF($BL392&lt;&gt;Constants!$B$4,"",IF(NOT($BC392),"",ROUND((Constants!$B$12-$AB392)+(Constants!$B$13-$Z392)+(Constants!$B$14-$AA392),1)))</f>
        <v/>
      </c>
      <c r="BF392" s="127" t="str">
        <f aca="false">IF($BL392&lt;&gt;Constants!$B$4,"",IF(NOT($BC392),"",IF(NOT($AK392),0,Constants!$B$15*(INT(ROUND(MIN($AL392,$AP$9),6))-INT(ROUND(MAX(0,MIN($AL392,2*$AP$9)-$AP$9),6))))))</f>
        <v/>
      </c>
      <c r="BG392" s="127" t="str">
        <f aca="false">IF($BL392&lt;&gt;Constants!$B$4,"",IF(NOT($BC392),"",Constants!$B$16*$AM392))</f>
        <v/>
      </c>
      <c r="BH392" s="127" t="str">
        <f aca="false">IF($BL392&lt;&gt;Constants!$B$4,"",IF(NOT($BC392),"",Constants!$B$18*INT(ROUND($AN392,6))))</f>
        <v/>
      </c>
      <c r="BI392" s="123" t="str">
        <f aca="false">IF($BL392&lt;&gt;Constants!$B$4,"",IF(NOT($BC392),"",IF(NOT($X392),Constants!$B$11,IF(OR(NOT($AI392),NOT($AJ392),ROUND($AB392,1)&gt;Constants!$B$12,ROUND($Z392,1)&gt;Constants!$B$13,ROUND($AA392,1)&gt;Constants!$B$14),Constants!$B$10,Constants!$B$9))))</f>
        <v/>
      </c>
      <c r="BJ392" s="128" t="str">
        <f aca="false">IF($BL392&lt;&gt;Constants!$B$4,"",IF(NOT($BC392),"",ROUND($BE392+$BF392+$BG392+$BH392,1)))</f>
        <v/>
      </c>
      <c r="BK392" s="129" t="str">
        <f aca="false">IF($BL392&lt;&gt;Constants!$B$4,"",IF(NOT($BC392),"",IF(ISNUMBER($AL392),$AL392,0)))</f>
        <v/>
      </c>
      <c r="BL392" s="124" t="str">
        <f aca="false">IF(ISBLANK($C392),"",IF($AO392,Constants!$B$7,IF(COUNTA($E392:$V392)=0,Constants!$B$6,IF(NOT($Y392),Constants!$B$5,IF(NOT(OR($AS392,$BC392)),Constants!$B$5,IF(OR($AT392,$BD392,$AQ392,$AR392&lt;&gt;""),Constants!$B$8,Constants!$B$4))))))</f>
        <v/>
      </c>
      <c r="BM392" s="124" t="str">
        <f aca="false">IF(ISBLANK($C392),"",IF($BL392&lt;&gt;Constants!$B$4,$BL392,IF($BB392="-&gt;",$BI392,$AY392)))</f>
        <v/>
      </c>
      <c r="BN392" s="127" t="str">
        <f aca="false">IF($BL392&lt;&gt;Constants!$B$4,"",IF($BB392="-&gt;",$BJ392,$AZ392))</f>
        <v/>
      </c>
      <c r="BO392" s="127" t="str">
        <f aca="false">IF(ISBLANK($C392),"",IF($BL392&lt;&gt;Constants!$B$4,$BL392,$BN392))</f>
        <v/>
      </c>
      <c r="BP392" s="124" t="str">
        <f aca="false">IF(ISBLANK($C392),"",IF($BL392&lt;&gt;Constants!$B$4,$BL392,RANK($BO392,$BO$9:$BO$508,0)))</f>
        <v/>
      </c>
      <c r="BQ392" s="124" t="str">
        <f aca="false">IF(ISBLANK($C392),"",IF($BL392&lt;&gt;Constants!$B$4,$BL392,COUNTIFS($BM$9:$BM$508,"&lt;"&amp;$BM392)+COUNTIFS($BM$9:$BM$508,$BM392,$BP$9:$BP$508,"&lt;"&amp;$BP392)+1))</f>
        <v/>
      </c>
      <c r="BR392" s="127" t="str">
        <f aca="false">IF($BL392&lt;&gt;Constants!$B$4,"",IF($BB392="-&gt;",$BH392,$AX392))</f>
        <v/>
      </c>
      <c r="BS392" s="124" t="str">
        <f aca="false">IF(ISBLANK($C392),"",IF($BL392&lt;&gt;Constants!$B$4,$BL392,IF(ISNUMBER($BR392),RANK($BR392,$BR$9:$BR$508,0),COUNT($BR$9:$BR$508)+1)))</f>
        <v/>
      </c>
      <c r="BT392" s="127" t="str">
        <f aca="false">IF($BL392&lt;&gt;Constants!$B$4,"",IF($BB392="-&gt;",$BE392,$AU392))</f>
        <v/>
      </c>
      <c r="BU392" s="124" t="str">
        <f aca="false">IF(ISBLANK($C392),"",IF($BL392&lt;&gt;Constants!$B$4,$BL392,IF(ISNUMBER($BT392),RANK($BT392,$BT$9:$BT$508,0),COUNT($BT$9:$BT$508)+1)))</f>
        <v/>
      </c>
      <c r="BV392" s="127" t="str">
        <f aca="false">IF($BL392&lt;&gt;Constants!$B$4,"",IF($BB392="-&gt;",$BF392,$AV392))</f>
        <v/>
      </c>
      <c r="BW392" s="124" t="str">
        <f aca="false">IF(ISBLANK($C392),"",IF($BL392&lt;&gt;Constants!$B$4,$BL392,IF(ISNUMBER($BV392),RANK($BV392,$BV$9:$BV$508,0),COUNT($BV$9:$BV$508)+1)))</f>
        <v/>
      </c>
      <c r="BX392" s="127" t="str">
        <f aca="false">IF($BL392&lt;&gt;Constants!$B$4,"",IF($BB392="-&gt;",$BK392,$BA392))</f>
        <v/>
      </c>
      <c r="BY392" s="124" t="str">
        <f aca="false">IF(ISBLANK($C392),"",IF($BL392&lt;&gt;Constants!$B$4,$BL392,IF(ISNUMBER($BX392),RANK($BX392,$BX$9:$BX$508,0),COUNT($BX$9:$BX$508)+1)))</f>
        <v/>
      </c>
      <c r="BZ392" s="124" t="str">
        <f aca="false">IF(ISBLANK($C392),"",IF($BL392&lt;&gt;Constants!$B$4,$BL392,COUNTIFS($BM$9:$BM$508,"&lt;"&amp;$BM392)+COUNTIFS($BM$9:$BM$508,$BM392,$BP$9:$BP$508,"&lt;"&amp;$BP392)+COUNTIFS($BM$9:$BM$508,$BM392,$BP$9:$BP$508,$BP392,$BS$9:$BS$508,"&lt;"&amp;$BS392)+COUNTIFS($BM$9:$BM$508,$BM392,$BP$9:$BP$508,$BP392,$BS$9:$BS$508,$BS392,$BU$9:$BU$508,"&lt;"&amp;$BU392)+COUNTIFS($BM$9:$BM$508,$BM392,$BP$9:$BP$508,$BP392,$BS$9:$BS$508,$BS392,$BU$9:$BU$508,$BU392,$BW$9:$BW$508,"&lt;"&amp;$BW392)+COUNTIFS($BM$9:$BM$508,$BM392,$BP$9:$BP$508,$BP392,$BS$9:$BS$508,$BS392,$BU$9:$BU$508,$BU392,$BW$9:$BW$508,$BW392,$BY$9:$BY$508,"&lt;"&amp;$BY392)+1))</f>
        <v/>
      </c>
      <c r="CA392" s="124" t="str">
        <f aca="false">IF(ISBLANK($C392),"",IF($BL392&lt;&gt;Constants!$B$4,$BL392,$BQ392-$BZ392))</f>
        <v/>
      </c>
      <c r="CB392" s="130"/>
      <c r="CC392" s="131" t="str">
        <f aca="false">IF(ISBLANK($C392),"",IF($BL392=Constants!$B$8,$AR392,""))</f>
        <v/>
      </c>
      <c r="CD392" s="131" t="str">
        <f aca="false">IF(ISBLANK($C392),"",IF($BL392&lt;&gt;Constants!$B$4,"",IF($BB392="-&gt;",2,1)))</f>
        <v/>
      </c>
      <c r="CE392" s="132" t="str">
        <f aca="false">IF(ISBLANK($C392),"",IF($BL392&lt;&gt;Constants!$B$4,"",IF($BB392="-&gt;",$BE392,$AU392)))</f>
        <v/>
      </c>
      <c r="CF392" s="132" t="str">
        <f aca="false">IF(ISBLANK($C392),"",IF($BL392&lt;&gt;Constants!$B$4,"",IF($BB392="-&gt;",$BF392,$AV392)))</f>
        <v/>
      </c>
      <c r="CG392" s="132" t="str">
        <f aca="false">IF(ISBLANK($C392),"",IF($BL392&lt;&gt;Constants!$B$4,"",IF($BB392="-&gt;",$BG392,$AW392)))</f>
        <v/>
      </c>
      <c r="CH392" s="132" t="str">
        <f aca="false">IF(ISBLANK($C392),"",IF($BL392&lt;&gt;Constants!$B$4,"",IF($BB392="-&gt;",$BH392,$AX392)))</f>
        <v/>
      </c>
      <c r="CI392" s="133" t="str">
        <f aca="false">IF(ISBLANK($C392),"",$BO392)</f>
        <v/>
      </c>
      <c r="CJ392" s="134" t="str">
        <f aca="false">IF(ISBLANK($C392),"",$BM392)</f>
        <v/>
      </c>
      <c r="CK392" s="135" t="str">
        <f aca="false">IF(ISBLANK($C392),"",$CA392)</f>
        <v/>
      </c>
      <c r="CL392" s="135" t="str">
        <f aca="false">IF(ISBLANK($C392),"",$BZ392)</f>
        <v/>
      </c>
      <c r="CM392" s="136" t="str">
        <f aca="false">IF(ISBLANK($C392),"",IF($CL392=Constants!$B$7,COUNTA($C$9:$C$508)+2,IF($CL392=Constants!$B$6,COUNTA($C$9:$C$508)+1,IF($CL392=Constants!$B$5,COUNTA($C$9:$C$508),$CL392))))</f>
        <v/>
      </c>
      <c r="CN392" s="8"/>
      <c r="CO392" s="137" t="n">
        <f aca="false">IF(OR(ISNUMBER($CL392),$CL392=Constants!$B$7,$CL392=Constants!$B$5,$CL392=Constants!$B$6),1,0)</f>
        <v>0</v>
      </c>
      <c r="CP392" s="137" t="n">
        <v>384</v>
      </c>
      <c r="CQ392" s="137" t="str">
        <f aca="false">IF(ISBLANK($C392),"",IF(ISNUMBER($CM392),$CM392+ROW($B392)/1000,""))</f>
        <v/>
      </c>
      <c r="CR392" s="137" t="str">
        <f aca="false">IF(ISNUMBER($CQ392),RANK($CQ392,$CQ$9:$CQ$508,1),"")</f>
        <v/>
      </c>
      <c r="CS392" s="137" t="str">
        <f aca="false">IF(ISBLANK($C392),"",$B392)</f>
        <v/>
      </c>
      <c r="CT392" s="137" t="str">
        <f aca="false">IF(ISBLANK($C392),"",$C392)</f>
        <v/>
      </c>
      <c r="CU392" s="137" t="str">
        <f aca="false">IF(ISBLANK($C392),"",$D392)</f>
        <v/>
      </c>
      <c r="CV392" s="138" t="str">
        <f aca="false">$CJ392</f>
        <v/>
      </c>
      <c r="CW392" s="139" t="str">
        <f aca="false">$CI392</f>
        <v/>
      </c>
      <c r="CX392" s="137" t="str">
        <f aca="false">IF(ISBLANK($C392),"",$CL392)</f>
        <v/>
      </c>
      <c r="CY392" s="140" t="str">
        <f aca="false">IF($CP392&gt;$CO$8,"",VLOOKUP($CP392,$CR$9:$CX$508,7,FALSE()))</f>
        <v/>
      </c>
      <c r="CZ392" s="141" t="str">
        <f aca="false">IF($CP392&gt;$CO$8,"",VLOOKUP($CP392,$CR$9:$CX$508,2,FALSE()))</f>
        <v/>
      </c>
      <c r="DA392" s="141" t="str">
        <f aca="false">IF($CP392&gt;$CO$8,"",VLOOKUP($CP392,$CR$9:$CX$508,3,FALSE()))</f>
        <v/>
      </c>
      <c r="DB392" s="141" t="str">
        <f aca="false">IF($CP392&gt;$CO$8,"",VLOOKUP($CP392,$CR$9:$CX$508,4,FALSE()))</f>
        <v/>
      </c>
      <c r="DC392" s="141" t="str">
        <f aca="false">IF($CP392&gt;$CO$8,"",VLOOKUP($CP392,$CR$9:$CX$508,5,FALSE()))</f>
        <v/>
      </c>
      <c r="DD392" s="142" t="str">
        <f aca="false">IF($CP392&gt;$CO$8,"",VLOOKUP($CP392,$CR$9:$CX$508,6,FALSE()))</f>
        <v/>
      </c>
      <c r="DE392" s="70"/>
    </row>
    <row r="393" customFormat="false" ht="15.75" hidden="false" customHeight="false" outlineLevel="0" collapsed="false">
      <c r="A393" s="8"/>
      <c r="B393" s="72"/>
      <c r="C393" s="73"/>
      <c r="D393" s="155"/>
      <c r="E393" s="162"/>
      <c r="F393" s="157"/>
      <c r="G393" s="77"/>
      <c r="H393" s="77"/>
      <c r="I393" s="77"/>
      <c r="J393" s="163"/>
      <c r="K393" s="161"/>
      <c r="L393" s="161"/>
      <c r="M393" s="80"/>
      <c r="N393" s="161"/>
      <c r="O393" s="160"/>
      <c r="P393" s="161"/>
      <c r="Q393" s="161"/>
      <c r="R393" s="161"/>
      <c r="S393" s="77"/>
      <c r="T393" s="161"/>
      <c r="U393" s="160"/>
      <c r="V393" s="161"/>
      <c r="W393" s="85"/>
      <c r="X393" s="86" t="str">
        <f aca="false">IF(ISBLANK($C393),"",IF($E393=Constants!$B$2,TRUE(),IF($E393=Constants!$B$3,FALSE(),TRUE())))</f>
        <v/>
      </c>
      <c r="Y393" s="86" t="str">
        <f aca="false">IF(ISBLANK($C393),"",IF($F393=Constants!$B$2,TRUE(),IF($F393=Constants!$B$3,FALSE(),TRUE())))</f>
        <v/>
      </c>
      <c r="Z393" s="87" t="str">
        <f aca="false">IF(ISBLANK($C393),"",IF(ISNUMBER($G393),IF($G393&gt;=0,$G393,""),""))</f>
        <v/>
      </c>
      <c r="AA393" s="87" t="str">
        <f aca="false">IF(ISBLANK($C393),"",IF(ISNUMBER($H393),IF($H393&gt;=0,$H393,""),""))</f>
        <v/>
      </c>
      <c r="AB393" s="87" t="str">
        <f aca="false">IF(ISBLANK($C393),"",IF(ISNUMBER($I393),IF($I393&gt;=0,$I393,""),""))</f>
        <v/>
      </c>
      <c r="AC393" s="86" t="str">
        <f aca="false">IF(ISBLANK($C393),"",IF($J393=Constants!$B$2,TRUE(),IF($J393=Constants!$B$3,FALSE(),TRUE())))</f>
        <v/>
      </c>
      <c r="AD393" s="86" t="str">
        <f aca="false">IF(ISBLANK($C393),"",IF($K393=Constants!$B$2,TRUE(),IF($K393=Constants!$B$3,FALSE(),TRUE())))</f>
        <v/>
      </c>
      <c r="AE393" s="86" t="str">
        <f aca="false">IF(ISBLANK($C393),"",IF($L393=Constants!$B$2,TRUE(),IF($L393=Constants!$B$3,FALSE(),TRUE())))</f>
        <v/>
      </c>
      <c r="AF393" s="88" t="str">
        <f aca="false">IF(ISBLANK($C393),"",IF(ISNUMBER($M393),IF($M393&gt;=0,$M393,""),""))</f>
        <v/>
      </c>
      <c r="AG393" s="86" t="str">
        <f aca="false">IF(ISBLANK($C393),"",IF(ISBLANK($N393),0,IF(ISNUMBER($N393),IF(AND($N393&gt;=0,$N393&lt;=Constants!$B$17,$N393=INT($N393)),$N393,""),"")))</f>
        <v/>
      </c>
      <c r="AH393" s="87" t="str">
        <f aca="false">IF(ISBLANK($C393),"",IF(ISBLANK($O393),0,IF(ISNUMBER($O393),IF($O393&gt;=0,$O393,""),"")))</f>
        <v/>
      </c>
      <c r="AI393" s="86" t="str">
        <f aca="false">IF(ISBLANK($C393),"",IF($P393=Constants!$B$2,TRUE(),IF($P393=Constants!$B$3,FALSE(),TRUE())))</f>
        <v/>
      </c>
      <c r="AJ393" s="86" t="str">
        <f aca="false">IF(ISBLANK($C393),"",IF($Q393=Constants!$B$2,TRUE(),IF($Q393=Constants!$B$3,FALSE(),TRUE())))</f>
        <v/>
      </c>
      <c r="AK393" s="86" t="str">
        <f aca="false">IF(ISBLANK($C393),"",IF($R393=Constants!$B$2,TRUE(),IF($R393=Constants!$B$3,FALSE(),TRUE())))</f>
        <v/>
      </c>
      <c r="AL393" s="88" t="str">
        <f aca="false">IF(ISBLANK($C393),"",IF(ISNUMBER($S393),IF($S393&gt;=0,$S393,""),""))</f>
        <v/>
      </c>
      <c r="AM393" s="86" t="str">
        <f aca="false">IF(ISBLANK($C393),"",IF(ISBLANK($T393),0,IF(ISNUMBER($T393),IF(AND($T393&gt;=0,$T393&lt;=Constants!$B$17,$T393=INT($T393)),$T393,""),"")))</f>
        <v/>
      </c>
      <c r="AN393" s="87" t="str">
        <f aca="false">IF(ISBLANK($C393),"",IF(ISBLANK($U393),0,IF(ISNUMBER($U393),IF($U393&gt;=0,$U393,""),"")))</f>
        <v/>
      </c>
      <c r="AO393" s="86" t="str">
        <f aca="false">IF(ISBLANK($C393),"",IF($V393=Constants!$B$2,TRUE(),IF($V393=Constants!$B$3,FALSE(),FALSE())))</f>
        <v/>
      </c>
      <c r="AP393" s="86"/>
      <c r="AQ393" s="85" t="str">
        <f aca="false">IF(ISBLANK($C393),"",AND($Y393,OR($AS393,$BC393),OR($Z393="",$AA393="",$AB393="")))</f>
        <v/>
      </c>
      <c r="AR393" s="85" t="str">
        <f aca="false">IF(ISBLANK($C393),"",IF(OR(NOT($Y393),NOT(OR($AS393,$BC393))),"",IF(ISBLANK($D$7),$AR$5,IF($AP$9="",$AR$6,""))))</f>
        <v/>
      </c>
      <c r="AS393" s="85" t="str">
        <f aca="false">IF(ISBLANK($C393),"",COUNTA($J393:$O393)&gt;0)</f>
        <v/>
      </c>
      <c r="AT393" s="85" t="str">
        <f aca="false">IF(ISBLANK($C393),"",AND($AS393,OR(AND($AF393="",OR($AE393,NOT(ISBLANK($M393)))),$AG393="",$AH393="")))</f>
        <v/>
      </c>
      <c r="AU393" s="87" t="str">
        <f aca="false">IF($BL393&lt;&gt;Constants!$B$4,"",IF(NOT($AS393),"",ROUND((Constants!$B$12-$AB393)+(Constants!$B$13-$Z393)+(Constants!$B$14-$AA393),1)))</f>
        <v/>
      </c>
      <c r="AV393" s="90" t="str">
        <f aca="false">IF($BL393&lt;&gt;Constants!$B$4,"",IF(NOT($AS393),"",IF(NOT($AE393),0,Constants!$B$15*(INT(ROUND(MIN($AF393,$AP$9),6))-INT(ROUND(MAX(0,MIN($AF393,2*$AP$9)-$AP$9),6))))))</f>
        <v/>
      </c>
      <c r="AW393" s="90" t="str">
        <f aca="false">IF($BL393&lt;&gt;Constants!$B$4,"",IF(NOT($AS393),"",Constants!$B$16*$AG393))</f>
        <v/>
      </c>
      <c r="AX393" s="90" t="str">
        <f aca="false">IF($BL393&lt;&gt;Constants!$B$4,"",IF(NOT($AS393),"",Constants!$B$18*INT(ROUND($AH393,6))))</f>
        <v/>
      </c>
      <c r="AY393" s="85" t="str">
        <f aca="false">IF($BL393&lt;&gt;Constants!$B$4,"",IF(NOT($AS393),"",IF(NOT($X393),Constants!$B$11,IF(OR(NOT($AC393),NOT($AD393),ROUND($AB393,1)&gt;Constants!$B$12,ROUND($Z393,1)&gt;Constants!$B$13,ROUND($AA393,1)&gt;Constants!$B$14),Constants!$B$10,Constants!$B$9))))</f>
        <v/>
      </c>
      <c r="AZ393" s="91" t="str">
        <f aca="false">IF($BL393&lt;&gt;Constants!$B$4,"",IF(NOT($AS393),"",ROUND($AU393+$AV393+$AW393+$AX393,1)))</f>
        <v/>
      </c>
      <c r="BA393" s="92" t="str">
        <f aca="false">IF($BL393&lt;&gt;Constants!$B$4,"",IF(NOT($AS393),"",IF(ISNUMBER($AF393),$AF393,0)))</f>
        <v/>
      </c>
      <c r="BB393" s="86" t="str">
        <f aca="false">IF($BL393&lt;&gt;Constants!$B$4,"",IF(NOT($BC393),"&lt;-",IF(NOT($AS393),"-&gt;",IF(OR($BI393&lt;$AY393,AND($BI393=$AY393,OR($BJ393&gt;$AZ393,AND($BJ393=$AZ393,OR($BH393&gt;$AX393,AND($BH393=$AX393,OR($BE393&gt;$AU393,AND($BE393=$AU393,OR($BF393&gt;$AV393,AND($BF393=$AV393,$BK393&gt;$BA393)))))))))),"-&gt;","&lt;-"))))</f>
        <v/>
      </c>
      <c r="BC393" s="85" t="str">
        <f aca="false">IF(ISBLANK($C393),"",COUNTA($P393:$U393)&gt;0)</f>
        <v/>
      </c>
      <c r="BD393" s="85" t="str">
        <f aca="false">IF(ISBLANK($C393),"",AND($BC393,OR(AND($AL393="",OR($AK393,NOT(ISBLANK($S393)))),$AM393="",$AN393="")))</f>
        <v/>
      </c>
      <c r="BE393" s="87" t="str">
        <f aca="false">IF($BL393&lt;&gt;Constants!$B$4,"",IF(NOT($BC393),"",ROUND((Constants!$B$12-$AB393)+(Constants!$B$13-$Z393)+(Constants!$B$14-$AA393),1)))</f>
        <v/>
      </c>
      <c r="BF393" s="90" t="str">
        <f aca="false">IF($BL393&lt;&gt;Constants!$B$4,"",IF(NOT($BC393),"",IF(NOT($AK393),0,Constants!$B$15*(INT(ROUND(MIN($AL393,$AP$9),6))-INT(ROUND(MAX(0,MIN($AL393,2*$AP$9)-$AP$9),6))))))</f>
        <v/>
      </c>
      <c r="BG393" s="90" t="str">
        <f aca="false">IF($BL393&lt;&gt;Constants!$B$4,"",IF(NOT($BC393),"",Constants!$B$16*$AM393))</f>
        <v/>
      </c>
      <c r="BH393" s="90" t="str">
        <f aca="false">IF($BL393&lt;&gt;Constants!$B$4,"",IF(NOT($BC393),"",Constants!$B$18*INT(ROUND($AN393,6))))</f>
        <v/>
      </c>
      <c r="BI393" s="85" t="str">
        <f aca="false">IF($BL393&lt;&gt;Constants!$B$4,"",IF(NOT($BC393),"",IF(NOT($X393),Constants!$B$11,IF(OR(NOT($AI393),NOT($AJ393),ROUND($AB393,1)&gt;Constants!$B$12,ROUND($Z393,1)&gt;Constants!$B$13,ROUND($AA393,1)&gt;Constants!$B$14),Constants!$B$10,Constants!$B$9))))</f>
        <v/>
      </c>
      <c r="BJ393" s="91" t="str">
        <f aca="false">IF($BL393&lt;&gt;Constants!$B$4,"",IF(NOT($BC393),"",ROUND($BE393+$BF393+$BG393+$BH393,1)))</f>
        <v/>
      </c>
      <c r="BK393" s="92" t="str">
        <f aca="false">IF($BL393&lt;&gt;Constants!$B$4,"",IF(NOT($BC393),"",IF(ISNUMBER($AL393),$AL393,0)))</f>
        <v/>
      </c>
      <c r="BL393" s="86" t="str">
        <f aca="false">IF(ISBLANK($C393),"",IF($AO393,Constants!$B$7,IF(COUNTA($E393:$V393)=0,Constants!$B$6,IF(NOT($Y393),Constants!$B$5,IF(NOT(OR($AS393,$BC393)),Constants!$B$5,IF(OR($AT393,$BD393,$AQ393,$AR393&lt;&gt;""),Constants!$B$8,Constants!$B$4))))))</f>
        <v/>
      </c>
      <c r="BM393" s="86" t="str">
        <f aca="false">IF(ISBLANK($C393),"",IF($BL393&lt;&gt;Constants!$B$4,$BL393,IF($BB393="-&gt;",$BI393,$AY393)))</f>
        <v/>
      </c>
      <c r="BN393" s="90" t="str">
        <f aca="false">IF($BL393&lt;&gt;Constants!$B$4,"",IF($BB393="-&gt;",$BJ393,$AZ393))</f>
        <v/>
      </c>
      <c r="BO393" s="90" t="str">
        <f aca="false">IF(ISBLANK($C393),"",IF($BL393&lt;&gt;Constants!$B$4,$BL393,$BN393))</f>
        <v/>
      </c>
      <c r="BP393" s="86" t="str">
        <f aca="false">IF(ISBLANK($C393),"",IF($BL393&lt;&gt;Constants!$B$4,$BL393,RANK($BO393,$BO$9:$BO$508,0)))</f>
        <v/>
      </c>
      <c r="BQ393" s="86" t="str">
        <f aca="false">IF(ISBLANK($C393),"",IF($BL393&lt;&gt;Constants!$B$4,$BL393,COUNTIFS($BM$9:$BM$508,"&lt;"&amp;$BM393)+COUNTIFS($BM$9:$BM$508,$BM393,$BP$9:$BP$508,"&lt;"&amp;$BP393)+1))</f>
        <v/>
      </c>
      <c r="BR393" s="90" t="str">
        <f aca="false">IF($BL393&lt;&gt;Constants!$B$4,"",IF($BB393="-&gt;",$BH393,$AX393))</f>
        <v/>
      </c>
      <c r="BS393" s="86" t="str">
        <f aca="false">IF(ISBLANK($C393),"",IF($BL393&lt;&gt;Constants!$B$4,$BL393,IF(ISNUMBER($BR393),RANK($BR393,$BR$9:$BR$508,0),COUNT($BR$9:$BR$508)+1)))</f>
        <v/>
      </c>
      <c r="BT393" s="90" t="str">
        <f aca="false">IF($BL393&lt;&gt;Constants!$B$4,"",IF($BB393="-&gt;",$BE393,$AU393))</f>
        <v/>
      </c>
      <c r="BU393" s="86" t="str">
        <f aca="false">IF(ISBLANK($C393),"",IF($BL393&lt;&gt;Constants!$B$4,$BL393,IF(ISNUMBER($BT393),RANK($BT393,$BT$9:$BT$508,0),COUNT($BT$9:$BT$508)+1)))</f>
        <v/>
      </c>
      <c r="BV393" s="90" t="str">
        <f aca="false">IF($BL393&lt;&gt;Constants!$B$4,"",IF($BB393="-&gt;",$BF393,$AV393))</f>
        <v/>
      </c>
      <c r="BW393" s="86" t="str">
        <f aca="false">IF(ISBLANK($C393),"",IF($BL393&lt;&gt;Constants!$B$4,$BL393,IF(ISNUMBER($BV393),RANK($BV393,$BV$9:$BV$508,0),COUNT($BV$9:$BV$508)+1)))</f>
        <v/>
      </c>
      <c r="BX393" s="90" t="str">
        <f aca="false">IF($BL393&lt;&gt;Constants!$B$4,"",IF($BB393="-&gt;",$BK393,$BA393))</f>
        <v/>
      </c>
      <c r="BY393" s="86" t="str">
        <f aca="false">IF(ISBLANK($C393),"",IF($BL393&lt;&gt;Constants!$B$4,$BL393,IF(ISNUMBER($BX393),RANK($BX393,$BX$9:$BX$508,0),COUNT($BX$9:$BX$508)+1)))</f>
        <v/>
      </c>
      <c r="BZ393" s="86" t="str">
        <f aca="false">IF(ISBLANK($C393),"",IF($BL393&lt;&gt;Constants!$B$4,$BL393,COUNTIFS($BM$9:$BM$508,"&lt;"&amp;$BM393)+COUNTIFS($BM$9:$BM$508,$BM393,$BP$9:$BP$508,"&lt;"&amp;$BP393)+COUNTIFS($BM$9:$BM$508,$BM393,$BP$9:$BP$508,$BP393,$BS$9:$BS$508,"&lt;"&amp;$BS393)+COUNTIFS($BM$9:$BM$508,$BM393,$BP$9:$BP$508,$BP393,$BS$9:$BS$508,$BS393,$BU$9:$BU$508,"&lt;"&amp;$BU393)+COUNTIFS($BM$9:$BM$508,$BM393,$BP$9:$BP$508,$BP393,$BS$9:$BS$508,$BS393,$BU$9:$BU$508,$BU393,$BW$9:$BW$508,"&lt;"&amp;$BW393)+COUNTIFS($BM$9:$BM$508,$BM393,$BP$9:$BP$508,$BP393,$BS$9:$BS$508,$BS393,$BU$9:$BU$508,$BU393,$BW$9:$BW$508,$BW393,$BY$9:$BY$508,"&lt;"&amp;$BY393)+1))</f>
        <v/>
      </c>
      <c r="CA393" s="86" t="str">
        <f aca="false">IF(ISBLANK($C393),"",IF($BL393&lt;&gt;Constants!$B$4,$BL393,$BQ393-$BZ393))</f>
        <v/>
      </c>
      <c r="CB393" s="93"/>
      <c r="CC393" s="94" t="str">
        <f aca="false">IF(ISBLANK($C393),"",IF($BL393=Constants!$B$8,$AR393,""))</f>
        <v/>
      </c>
      <c r="CD393" s="94" t="str">
        <f aca="false">IF(ISBLANK($C393),"",IF($BL393&lt;&gt;Constants!$B$4,"",IF($BB393="-&gt;",2,1)))</f>
        <v/>
      </c>
      <c r="CE393" s="95" t="str">
        <f aca="false">IF(ISBLANK($C393),"",IF($BL393&lt;&gt;Constants!$B$4,"",IF($BB393="-&gt;",$BE393,$AU393)))</f>
        <v/>
      </c>
      <c r="CF393" s="95" t="str">
        <f aca="false">IF(ISBLANK($C393),"",IF($BL393&lt;&gt;Constants!$B$4,"",IF($BB393="-&gt;",$BF393,$AV393)))</f>
        <v/>
      </c>
      <c r="CG393" s="95" t="str">
        <f aca="false">IF(ISBLANK($C393),"",IF($BL393&lt;&gt;Constants!$B$4,"",IF($BB393="-&gt;",$BG393,$AW393)))</f>
        <v/>
      </c>
      <c r="CH393" s="95" t="str">
        <f aca="false">IF(ISBLANK($C393),"",IF($BL393&lt;&gt;Constants!$B$4,"",IF($BB393="-&gt;",$BH393,$AX393)))</f>
        <v/>
      </c>
      <c r="CI393" s="96" t="str">
        <f aca="false">IF(ISBLANK($C393),"",$BO393)</f>
        <v/>
      </c>
      <c r="CJ393" s="97" t="str">
        <f aca="false">IF(ISBLANK($C393),"",$BM393)</f>
        <v/>
      </c>
      <c r="CK393" s="98" t="str">
        <f aca="false">IF(ISBLANK($C393),"",$CA393)</f>
        <v/>
      </c>
      <c r="CL393" s="98" t="str">
        <f aca="false">IF(ISBLANK($C393),"",$BZ393)</f>
        <v/>
      </c>
      <c r="CM393" s="99" t="str">
        <f aca="false">IF(ISBLANK($C393),"",IF($CL393=Constants!$B$7,COUNTA($C$9:$C$508)+2,IF($CL393=Constants!$B$6,COUNTA($C$9:$C$508)+1,IF($CL393=Constants!$B$5,COUNTA($C$9:$C$508),$CL393))))</f>
        <v/>
      </c>
      <c r="CN393" s="8"/>
      <c r="CO393" s="100" t="n">
        <f aca="false">IF(OR(ISNUMBER($CL393),$CL393=Constants!$B$7,$CL393=Constants!$B$5,$CL393=Constants!$B$6),1,0)</f>
        <v>0</v>
      </c>
      <c r="CP393" s="100" t="n">
        <v>385</v>
      </c>
      <c r="CQ393" s="100" t="str">
        <f aca="false">IF(ISBLANK($C393),"",IF(ISNUMBER($CM393),$CM393+ROW($B393)/1000,""))</f>
        <v/>
      </c>
      <c r="CR393" s="100" t="str">
        <f aca="false">IF(ISNUMBER($CQ393),RANK($CQ393,$CQ$9:$CQ$508,1),"")</f>
        <v/>
      </c>
      <c r="CS393" s="100" t="str">
        <f aca="false">IF(ISBLANK($C393),"",$B393)</f>
        <v/>
      </c>
      <c r="CT393" s="100" t="str">
        <f aca="false">IF(ISBLANK($C393),"",$C393)</f>
        <v/>
      </c>
      <c r="CU393" s="100" t="str">
        <f aca="false">IF(ISBLANK($C393),"",$D393)</f>
        <v/>
      </c>
      <c r="CV393" s="101" t="str">
        <f aca="false">$CJ393</f>
        <v/>
      </c>
      <c r="CW393" s="102" t="str">
        <f aca="false">$CI393</f>
        <v/>
      </c>
      <c r="CX393" s="100" t="str">
        <f aca="false">IF(ISBLANK($C393),"",$CL393)</f>
        <v/>
      </c>
      <c r="CY393" s="103" t="str">
        <f aca="false">IF($CP393&gt;$CO$8,"",VLOOKUP($CP393,$CR$9:$CX$508,7,FALSE()))</f>
        <v/>
      </c>
      <c r="CZ393" s="104" t="str">
        <f aca="false">IF($CP393&gt;$CO$8,"",VLOOKUP($CP393,$CR$9:$CX$508,2,FALSE()))</f>
        <v/>
      </c>
      <c r="DA393" s="104" t="str">
        <f aca="false">IF($CP393&gt;$CO$8,"",VLOOKUP($CP393,$CR$9:$CX$508,3,FALSE()))</f>
        <v/>
      </c>
      <c r="DB393" s="104" t="str">
        <f aca="false">IF($CP393&gt;$CO$8,"",VLOOKUP($CP393,$CR$9:$CX$508,4,FALSE()))</f>
        <v/>
      </c>
      <c r="DC393" s="104" t="str">
        <f aca="false">IF($CP393&gt;$CO$8,"",VLOOKUP($CP393,$CR$9:$CX$508,5,FALSE()))</f>
        <v/>
      </c>
      <c r="DD393" s="105" t="str">
        <f aca="false">IF($CP393&gt;$CO$8,"",VLOOKUP($CP393,$CR$9:$CX$508,6,FALSE()))</f>
        <v/>
      </c>
      <c r="DE393" s="70"/>
    </row>
    <row r="394" customFormat="false" ht="15.75" hidden="false" customHeight="false" outlineLevel="0" collapsed="false">
      <c r="A394" s="8"/>
      <c r="B394" s="72"/>
      <c r="C394" s="73"/>
      <c r="D394" s="155"/>
      <c r="E394" s="162"/>
      <c r="F394" s="157"/>
      <c r="G394" s="77"/>
      <c r="H394" s="77"/>
      <c r="I394" s="77"/>
      <c r="J394" s="163"/>
      <c r="K394" s="161"/>
      <c r="L394" s="161"/>
      <c r="M394" s="80"/>
      <c r="N394" s="161"/>
      <c r="O394" s="160"/>
      <c r="P394" s="161"/>
      <c r="Q394" s="161"/>
      <c r="R394" s="161"/>
      <c r="S394" s="77"/>
      <c r="T394" s="161"/>
      <c r="U394" s="160"/>
      <c r="V394" s="161"/>
      <c r="W394" s="85"/>
      <c r="X394" s="86" t="str">
        <f aca="false">IF(ISBLANK($C394),"",IF($E394=Constants!$B$2,TRUE(),IF($E394=Constants!$B$3,FALSE(),TRUE())))</f>
        <v/>
      </c>
      <c r="Y394" s="86" t="str">
        <f aca="false">IF(ISBLANK($C394),"",IF($F394=Constants!$B$2,TRUE(),IF($F394=Constants!$B$3,FALSE(),TRUE())))</f>
        <v/>
      </c>
      <c r="Z394" s="87" t="str">
        <f aca="false">IF(ISBLANK($C394),"",IF(ISNUMBER($G394),IF($G394&gt;=0,$G394,""),""))</f>
        <v/>
      </c>
      <c r="AA394" s="87" t="str">
        <f aca="false">IF(ISBLANK($C394),"",IF(ISNUMBER($H394),IF($H394&gt;=0,$H394,""),""))</f>
        <v/>
      </c>
      <c r="AB394" s="87" t="str">
        <f aca="false">IF(ISBLANK($C394),"",IF(ISNUMBER($I394),IF($I394&gt;=0,$I394,""),""))</f>
        <v/>
      </c>
      <c r="AC394" s="86" t="str">
        <f aca="false">IF(ISBLANK($C394),"",IF($J394=Constants!$B$2,TRUE(),IF($J394=Constants!$B$3,FALSE(),TRUE())))</f>
        <v/>
      </c>
      <c r="AD394" s="86" t="str">
        <f aca="false">IF(ISBLANK($C394),"",IF($K394=Constants!$B$2,TRUE(),IF($K394=Constants!$B$3,FALSE(),TRUE())))</f>
        <v/>
      </c>
      <c r="AE394" s="86" t="str">
        <f aca="false">IF(ISBLANK($C394),"",IF($L394=Constants!$B$2,TRUE(),IF($L394=Constants!$B$3,FALSE(),TRUE())))</f>
        <v/>
      </c>
      <c r="AF394" s="88" t="str">
        <f aca="false">IF(ISBLANK($C394),"",IF(ISNUMBER($M394),IF($M394&gt;=0,$M394,""),""))</f>
        <v/>
      </c>
      <c r="AG394" s="86" t="str">
        <f aca="false">IF(ISBLANK($C394),"",IF(ISBLANK($N394),0,IF(ISNUMBER($N394),IF(AND($N394&gt;=0,$N394&lt;=Constants!$B$17,$N394=INT($N394)),$N394,""),"")))</f>
        <v/>
      </c>
      <c r="AH394" s="87" t="str">
        <f aca="false">IF(ISBLANK($C394),"",IF(ISBLANK($O394),0,IF(ISNUMBER($O394),IF($O394&gt;=0,$O394,""),"")))</f>
        <v/>
      </c>
      <c r="AI394" s="86" t="str">
        <f aca="false">IF(ISBLANK($C394),"",IF($P394=Constants!$B$2,TRUE(),IF($P394=Constants!$B$3,FALSE(),TRUE())))</f>
        <v/>
      </c>
      <c r="AJ394" s="86" t="str">
        <f aca="false">IF(ISBLANK($C394),"",IF($Q394=Constants!$B$2,TRUE(),IF($Q394=Constants!$B$3,FALSE(),TRUE())))</f>
        <v/>
      </c>
      <c r="AK394" s="86" t="str">
        <f aca="false">IF(ISBLANK($C394),"",IF($R394=Constants!$B$2,TRUE(),IF($R394=Constants!$B$3,FALSE(),TRUE())))</f>
        <v/>
      </c>
      <c r="AL394" s="88" t="str">
        <f aca="false">IF(ISBLANK($C394),"",IF(ISNUMBER($S394),IF($S394&gt;=0,$S394,""),""))</f>
        <v/>
      </c>
      <c r="AM394" s="86" t="str">
        <f aca="false">IF(ISBLANK($C394),"",IF(ISBLANK($T394),0,IF(ISNUMBER($T394),IF(AND($T394&gt;=0,$T394&lt;=Constants!$B$17,$T394=INT($T394)),$T394,""),"")))</f>
        <v/>
      </c>
      <c r="AN394" s="87" t="str">
        <f aca="false">IF(ISBLANK($C394),"",IF(ISBLANK($U394),0,IF(ISNUMBER($U394),IF($U394&gt;=0,$U394,""),"")))</f>
        <v/>
      </c>
      <c r="AO394" s="86" t="str">
        <f aca="false">IF(ISBLANK($C394),"",IF($V394=Constants!$B$2,TRUE(),IF($V394=Constants!$B$3,FALSE(),FALSE())))</f>
        <v/>
      </c>
      <c r="AP394" s="86"/>
      <c r="AQ394" s="85" t="str">
        <f aca="false">IF(ISBLANK($C394),"",AND($Y394,OR($AS394,$BC394),OR($Z394="",$AA394="",$AB394="")))</f>
        <v/>
      </c>
      <c r="AR394" s="85" t="str">
        <f aca="false">IF(ISBLANK($C394),"",IF(OR(NOT($Y394),NOT(OR($AS394,$BC394))),"",IF(ISBLANK($D$7),$AR$5,IF($AP$9="",$AR$6,""))))</f>
        <v/>
      </c>
      <c r="AS394" s="85" t="str">
        <f aca="false">IF(ISBLANK($C394),"",COUNTA($J394:$O394)&gt;0)</f>
        <v/>
      </c>
      <c r="AT394" s="85" t="str">
        <f aca="false">IF(ISBLANK($C394),"",AND($AS394,OR(AND($AF394="",OR($AE394,NOT(ISBLANK($M394)))),$AG394="",$AH394="")))</f>
        <v/>
      </c>
      <c r="AU394" s="87" t="str">
        <f aca="false">IF($BL394&lt;&gt;Constants!$B$4,"",IF(NOT($AS394),"",ROUND((Constants!$B$12-$AB394)+(Constants!$B$13-$Z394)+(Constants!$B$14-$AA394),1)))</f>
        <v/>
      </c>
      <c r="AV394" s="90" t="str">
        <f aca="false">IF($BL394&lt;&gt;Constants!$B$4,"",IF(NOT($AS394),"",IF(NOT($AE394),0,Constants!$B$15*(INT(ROUND(MIN($AF394,$AP$9),6))-INT(ROUND(MAX(0,MIN($AF394,2*$AP$9)-$AP$9),6))))))</f>
        <v/>
      </c>
      <c r="AW394" s="90" t="str">
        <f aca="false">IF($BL394&lt;&gt;Constants!$B$4,"",IF(NOT($AS394),"",Constants!$B$16*$AG394))</f>
        <v/>
      </c>
      <c r="AX394" s="90" t="str">
        <f aca="false">IF($BL394&lt;&gt;Constants!$B$4,"",IF(NOT($AS394),"",Constants!$B$18*INT(ROUND($AH394,6))))</f>
        <v/>
      </c>
      <c r="AY394" s="85" t="str">
        <f aca="false">IF($BL394&lt;&gt;Constants!$B$4,"",IF(NOT($AS394),"",IF(NOT($X394),Constants!$B$11,IF(OR(NOT($AC394),NOT($AD394),ROUND($AB394,1)&gt;Constants!$B$12,ROUND($Z394,1)&gt;Constants!$B$13,ROUND($AA394,1)&gt;Constants!$B$14),Constants!$B$10,Constants!$B$9))))</f>
        <v/>
      </c>
      <c r="AZ394" s="91" t="str">
        <f aca="false">IF($BL394&lt;&gt;Constants!$B$4,"",IF(NOT($AS394),"",ROUND($AU394+$AV394+$AW394+$AX394,1)))</f>
        <v/>
      </c>
      <c r="BA394" s="92" t="str">
        <f aca="false">IF($BL394&lt;&gt;Constants!$B$4,"",IF(NOT($AS394),"",IF(ISNUMBER($AF394),$AF394,0)))</f>
        <v/>
      </c>
      <c r="BB394" s="86" t="str">
        <f aca="false">IF($BL394&lt;&gt;Constants!$B$4,"",IF(NOT($BC394),"&lt;-",IF(NOT($AS394),"-&gt;",IF(OR($BI394&lt;$AY394,AND($BI394=$AY394,OR($BJ394&gt;$AZ394,AND($BJ394=$AZ394,OR($BH394&gt;$AX394,AND($BH394=$AX394,OR($BE394&gt;$AU394,AND($BE394=$AU394,OR($BF394&gt;$AV394,AND($BF394=$AV394,$BK394&gt;$BA394)))))))))),"-&gt;","&lt;-"))))</f>
        <v/>
      </c>
      <c r="BC394" s="85" t="str">
        <f aca="false">IF(ISBLANK($C394),"",COUNTA($P394:$U394)&gt;0)</f>
        <v/>
      </c>
      <c r="BD394" s="85" t="str">
        <f aca="false">IF(ISBLANK($C394),"",AND($BC394,OR(AND($AL394="",OR($AK394,NOT(ISBLANK($S394)))),$AM394="",$AN394="")))</f>
        <v/>
      </c>
      <c r="BE394" s="87" t="str">
        <f aca="false">IF($BL394&lt;&gt;Constants!$B$4,"",IF(NOT($BC394),"",ROUND((Constants!$B$12-$AB394)+(Constants!$B$13-$Z394)+(Constants!$B$14-$AA394),1)))</f>
        <v/>
      </c>
      <c r="BF394" s="90" t="str">
        <f aca="false">IF($BL394&lt;&gt;Constants!$B$4,"",IF(NOT($BC394),"",IF(NOT($AK394),0,Constants!$B$15*(INT(ROUND(MIN($AL394,$AP$9),6))-INT(ROUND(MAX(0,MIN($AL394,2*$AP$9)-$AP$9),6))))))</f>
        <v/>
      </c>
      <c r="BG394" s="90" t="str">
        <f aca="false">IF($BL394&lt;&gt;Constants!$B$4,"",IF(NOT($BC394),"",Constants!$B$16*$AM394))</f>
        <v/>
      </c>
      <c r="BH394" s="90" t="str">
        <f aca="false">IF($BL394&lt;&gt;Constants!$B$4,"",IF(NOT($BC394),"",Constants!$B$18*INT(ROUND($AN394,6))))</f>
        <v/>
      </c>
      <c r="BI394" s="85" t="str">
        <f aca="false">IF($BL394&lt;&gt;Constants!$B$4,"",IF(NOT($BC394),"",IF(NOT($X394),Constants!$B$11,IF(OR(NOT($AI394),NOT($AJ394),ROUND($AB394,1)&gt;Constants!$B$12,ROUND($Z394,1)&gt;Constants!$B$13,ROUND($AA394,1)&gt;Constants!$B$14),Constants!$B$10,Constants!$B$9))))</f>
        <v/>
      </c>
      <c r="BJ394" s="91" t="str">
        <f aca="false">IF($BL394&lt;&gt;Constants!$B$4,"",IF(NOT($BC394),"",ROUND($BE394+$BF394+$BG394+$BH394,1)))</f>
        <v/>
      </c>
      <c r="BK394" s="92" t="str">
        <f aca="false">IF($BL394&lt;&gt;Constants!$B$4,"",IF(NOT($BC394),"",IF(ISNUMBER($AL394),$AL394,0)))</f>
        <v/>
      </c>
      <c r="BL394" s="86" t="str">
        <f aca="false">IF(ISBLANK($C394),"",IF($AO394,Constants!$B$7,IF(COUNTA($E394:$V394)=0,Constants!$B$6,IF(NOT($Y394),Constants!$B$5,IF(NOT(OR($AS394,$BC394)),Constants!$B$5,IF(OR($AT394,$BD394,$AQ394,$AR394&lt;&gt;""),Constants!$B$8,Constants!$B$4))))))</f>
        <v/>
      </c>
      <c r="BM394" s="86" t="str">
        <f aca="false">IF(ISBLANK($C394),"",IF($BL394&lt;&gt;Constants!$B$4,$BL394,IF($BB394="-&gt;",$BI394,$AY394)))</f>
        <v/>
      </c>
      <c r="BN394" s="90" t="str">
        <f aca="false">IF($BL394&lt;&gt;Constants!$B$4,"",IF($BB394="-&gt;",$BJ394,$AZ394))</f>
        <v/>
      </c>
      <c r="BO394" s="90" t="str">
        <f aca="false">IF(ISBLANK($C394),"",IF($BL394&lt;&gt;Constants!$B$4,$BL394,$BN394))</f>
        <v/>
      </c>
      <c r="BP394" s="86" t="str">
        <f aca="false">IF(ISBLANK($C394),"",IF($BL394&lt;&gt;Constants!$B$4,$BL394,RANK($BO394,$BO$9:$BO$508,0)))</f>
        <v/>
      </c>
      <c r="BQ394" s="86" t="str">
        <f aca="false">IF(ISBLANK($C394),"",IF($BL394&lt;&gt;Constants!$B$4,$BL394,COUNTIFS($BM$9:$BM$508,"&lt;"&amp;$BM394)+COUNTIFS($BM$9:$BM$508,$BM394,$BP$9:$BP$508,"&lt;"&amp;$BP394)+1))</f>
        <v/>
      </c>
      <c r="BR394" s="90" t="str">
        <f aca="false">IF($BL394&lt;&gt;Constants!$B$4,"",IF($BB394="-&gt;",$BH394,$AX394))</f>
        <v/>
      </c>
      <c r="BS394" s="86" t="str">
        <f aca="false">IF(ISBLANK($C394),"",IF($BL394&lt;&gt;Constants!$B$4,$BL394,IF(ISNUMBER($BR394),RANK($BR394,$BR$9:$BR$508,0),COUNT($BR$9:$BR$508)+1)))</f>
        <v/>
      </c>
      <c r="BT394" s="90" t="str">
        <f aca="false">IF($BL394&lt;&gt;Constants!$B$4,"",IF($BB394="-&gt;",$BE394,$AU394))</f>
        <v/>
      </c>
      <c r="BU394" s="86" t="str">
        <f aca="false">IF(ISBLANK($C394),"",IF($BL394&lt;&gt;Constants!$B$4,$BL394,IF(ISNUMBER($BT394),RANK($BT394,$BT$9:$BT$508,0),COUNT($BT$9:$BT$508)+1)))</f>
        <v/>
      </c>
      <c r="BV394" s="90" t="str">
        <f aca="false">IF($BL394&lt;&gt;Constants!$B$4,"",IF($BB394="-&gt;",$BF394,$AV394))</f>
        <v/>
      </c>
      <c r="BW394" s="86" t="str">
        <f aca="false">IF(ISBLANK($C394),"",IF($BL394&lt;&gt;Constants!$B$4,$BL394,IF(ISNUMBER($BV394),RANK($BV394,$BV$9:$BV$508,0),COUNT($BV$9:$BV$508)+1)))</f>
        <v/>
      </c>
      <c r="BX394" s="90" t="str">
        <f aca="false">IF($BL394&lt;&gt;Constants!$B$4,"",IF($BB394="-&gt;",$BK394,$BA394))</f>
        <v/>
      </c>
      <c r="BY394" s="86" t="str">
        <f aca="false">IF(ISBLANK($C394),"",IF($BL394&lt;&gt;Constants!$B$4,$BL394,IF(ISNUMBER($BX394),RANK($BX394,$BX$9:$BX$508,0),COUNT($BX$9:$BX$508)+1)))</f>
        <v/>
      </c>
      <c r="BZ394" s="86" t="str">
        <f aca="false">IF(ISBLANK($C394),"",IF($BL394&lt;&gt;Constants!$B$4,$BL394,COUNTIFS($BM$9:$BM$508,"&lt;"&amp;$BM394)+COUNTIFS($BM$9:$BM$508,$BM394,$BP$9:$BP$508,"&lt;"&amp;$BP394)+COUNTIFS($BM$9:$BM$508,$BM394,$BP$9:$BP$508,$BP394,$BS$9:$BS$508,"&lt;"&amp;$BS394)+COUNTIFS($BM$9:$BM$508,$BM394,$BP$9:$BP$508,$BP394,$BS$9:$BS$508,$BS394,$BU$9:$BU$508,"&lt;"&amp;$BU394)+COUNTIFS($BM$9:$BM$508,$BM394,$BP$9:$BP$508,$BP394,$BS$9:$BS$508,$BS394,$BU$9:$BU$508,$BU394,$BW$9:$BW$508,"&lt;"&amp;$BW394)+COUNTIFS($BM$9:$BM$508,$BM394,$BP$9:$BP$508,$BP394,$BS$9:$BS$508,$BS394,$BU$9:$BU$508,$BU394,$BW$9:$BW$508,$BW394,$BY$9:$BY$508,"&lt;"&amp;$BY394)+1))</f>
        <v/>
      </c>
      <c r="CA394" s="86" t="str">
        <f aca="false">IF(ISBLANK($C394),"",IF($BL394&lt;&gt;Constants!$B$4,$BL394,$BQ394-$BZ394))</f>
        <v/>
      </c>
      <c r="CB394" s="93"/>
      <c r="CC394" s="94" t="str">
        <f aca="false">IF(ISBLANK($C394),"",IF($BL394=Constants!$B$8,$AR394,""))</f>
        <v/>
      </c>
      <c r="CD394" s="94" t="str">
        <f aca="false">IF(ISBLANK($C394),"",IF($BL394&lt;&gt;Constants!$B$4,"",IF($BB394="-&gt;",2,1)))</f>
        <v/>
      </c>
      <c r="CE394" s="95" t="str">
        <f aca="false">IF(ISBLANK($C394),"",IF($BL394&lt;&gt;Constants!$B$4,"",IF($BB394="-&gt;",$BE394,$AU394)))</f>
        <v/>
      </c>
      <c r="CF394" s="95" t="str">
        <f aca="false">IF(ISBLANK($C394),"",IF($BL394&lt;&gt;Constants!$B$4,"",IF($BB394="-&gt;",$BF394,$AV394)))</f>
        <v/>
      </c>
      <c r="CG394" s="95" t="str">
        <f aca="false">IF(ISBLANK($C394),"",IF($BL394&lt;&gt;Constants!$B$4,"",IF($BB394="-&gt;",$BG394,$AW394)))</f>
        <v/>
      </c>
      <c r="CH394" s="95" t="str">
        <f aca="false">IF(ISBLANK($C394),"",IF($BL394&lt;&gt;Constants!$B$4,"",IF($BB394="-&gt;",$BH394,$AX394)))</f>
        <v/>
      </c>
      <c r="CI394" s="96" t="str">
        <f aca="false">IF(ISBLANK($C394),"",$BO394)</f>
        <v/>
      </c>
      <c r="CJ394" s="97" t="str">
        <f aca="false">IF(ISBLANK($C394),"",$BM394)</f>
        <v/>
      </c>
      <c r="CK394" s="98" t="str">
        <f aca="false">IF(ISBLANK($C394),"",$CA394)</f>
        <v/>
      </c>
      <c r="CL394" s="98" t="str">
        <f aca="false">IF(ISBLANK($C394),"",$BZ394)</f>
        <v/>
      </c>
      <c r="CM394" s="99" t="str">
        <f aca="false">IF(ISBLANK($C394),"",IF($CL394=Constants!$B$7,COUNTA($C$9:$C$508)+2,IF($CL394=Constants!$B$6,COUNTA($C$9:$C$508)+1,IF($CL394=Constants!$B$5,COUNTA($C$9:$C$508),$CL394))))</f>
        <v/>
      </c>
      <c r="CN394" s="8"/>
      <c r="CO394" s="100" t="n">
        <f aca="false">IF(OR(ISNUMBER($CL394),$CL394=Constants!$B$7,$CL394=Constants!$B$5,$CL394=Constants!$B$6),1,0)</f>
        <v>0</v>
      </c>
      <c r="CP394" s="100" t="n">
        <v>386</v>
      </c>
      <c r="CQ394" s="100" t="str">
        <f aca="false">IF(ISBLANK($C394),"",IF(ISNUMBER($CM394),$CM394+ROW($B394)/1000,""))</f>
        <v/>
      </c>
      <c r="CR394" s="100" t="str">
        <f aca="false">IF(ISNUMBER($CQ394),RANK($CQ394,$CQ$9:$CQ$508,1),"")</f>
        <v/>
      </c>
      <c r="CS394" s="100" t="str">
        <f aca="false">IF(ISBLANK($C394),"",$B394)</f>
        <v/>
      </c>
      <c r="CT394" s="100" t="str">
        <f aca="false">IF(ISBLANK($C394),"",$C394)</f>
        <v/>
      </c>
      <c r="CU394" s="100" t="str">
        <f aca="false">IF(ISBLANK($C394),"",$D394)</f>
        <v/>
      </c>
      <c r="CV394" s="101" t="str">
        <f aca="false">$CJ394</f>
        <v/>
      </c>
      <c r="CW394" s="102" t="str">
        <f aca="false">$CI394</f>
        <v/>
      </c>
      <c r="CX394" s="100" t="str">
        <f aca="false">IF(ISBLANK($C394),"",$CL394)</f>
        <v/>
      </c>
      <c r="CY394" s="103" t="str">
        <f aca="false">IF($CP394&gt;$CO$8,"",VLOOKUP($CP394,$CR$9:$CX$508,7,FALSE()))</f>
        <v/>
      </c>
      <c r="CZ394" s="104" t="str">
        <f aca="false">IF($CP394&gt;$CO$8,"",VLOOKUP($CP394,$CR$9:$CX$508,2,FALSE()))</f>
        <v/>
      </c>
      <c r="DA394" s="104" t="str">
        <f aca="false">IF($CP394&gt;$CO$8,"",VLOOKUP($CP394,$CR$9:$CX$508,3,FALSE()))</f>
        <v/>
      </c>
      <c r="DB394" s="104" t="str">
        <f aca="false">IF($CP394&gt;$CO$8,"",VLOOKUP($CP394,$CR$9:$CX$508,4,FALSE()))</f>
        <v/>
      </c>
      <c r="DC394" s="104" t="str">
        <f aca="false">IF($CP394&gt;$CO$8,"",VLOOKUP($CP394,$CR$9:$CX$508,5,FALSE()))</f>
        <v/>
      </c>
      <c r="DD394" s="105" t="str">
        <f aca="false">IF($CP394&gt;$CO$8,"",VLOOKUP($CP394,$CR$9:$CX$508,6,FALSE()))</f>
        <v/>
      </c>
      <c r="DE394" s="70"/>
    </row>
    <row r="395" customFormat="false" ht="15.75" hidden="false" customHeight="false" outlineLevel="0" collapsed="false">
      <c r="A395" s="8"/>
      <c r="B395" s="72"/>
      <c r="C395" s="73"/>
      <c r="D395" s="155"/>
      <c r="E395" s="162"/>
      <c r="F395" s="157"/>
      <c r="G395" s="77"/>
      <c r="H395" s="77"/>
      <c r="I395" s="77"/>
      <c r="J395" s="163"/>
      <c r="K395" s="161"/>
      <c r="L395" s="161"/>
      <c r="M395" s="80"/>
      <c r="N395" s="161"/>
      <c r="O395" s="160"/>
      <c r="P395" s="161"/>
      <c r="Q395" s="161"/>
      <c r="R395" s="161"/>
      <c r="S395" s="77"/>
      <c r="T395" s="161"/>
      <c r="U395" s="160"/>
      <c r="V395" s="161"/>
      <c r="W395" s="85"/>
      <c r="X395" s="86" t="str">
        <f aca="false">IF(ISBLANK($C395),"",IF($E395=Constants!$B$2,TRUE(),IF($E395=Constants!$B$3,FALSE(),TRUE())))</f>
        <v/>
      </c>
      <c r="Y395" s="86" t="str">
        <f aca="false">IF(ISBLANK($C395),"",IF($F395=Constants!$B$2,TRUE(),IF($F395=Constants!$B$3,FALSE(),TRUE())))</f>
        <v/>
      </c>
      <c r="Z395" s="87" t="str">
        <f aca="false">IF(ISBLANK($C395),"",IF(ISNUMBER($G395),IF($G395&gt;=0,$G395,""),""))</f>
        <v/>
      </c>
      <c r="AA395" s="87" t="str">
        <f aca="false">IF(ISBLANK($C395),"",IF(ISNUMBER($H395),IF($H395&gt;=0,$H395,""),""))</f>
        <v/>
      </c>
      <c r="AB395" s="87" t="str">
        <f aca="false">IF(ISBLANK($C395),"",IF(ISNUMBER($I395),IF($I395&gt;=0,$I395,""),""))</f>
        <v/>
      </c>
      <c r="AC395" s="86" t="str">
        <f aca="false">IF(ISBLANK($C395),"",IF($J395=Constants!$B$2,TRUE(),IF($J395=Constants!$B$3,FALSE(),TRUE())))</f>
        <v/>
      </c>
      <c r="AD395" s="86" t="str">
        <f aca="false">IF(ISBLANK($C395),"",IF($K395=Constants!$B$2,TRUE(),IF($K395=Constants!$B$3,FALSE(),TRUE())))</f>
        <v/>
      </c>
      <c r="AE395" s="86" t="str">
        <f aca="false">IF(ISBLANK($C395),"",IF($L395=Constants!$B$2,TRUE(),IF($L395=Constants!$B$3,FALSE(),TRUE())))</f>
        <v/>
      </c>
      <c r="AF395" s="88" t="str">
        <f aca="false">IF(ISBLANK($C395),"",IF(ISNUMBER($M395),IF($M395&gt;=0,$M395,""),""))</f>
        <v/>
      </c>
      <c r="AG395" s="86" t="str">
        <f aca="false">IF(ISBLANK($C395),"",IF(ISBLANK($N395),0,IF(ISNUMBER($N395),IF(AND($N395&gt;=0,$N395&lt;=Constants!$B$17,$N395=INT($N395)),$N395,""),"")))</f>
        <v/>
      </c>
      <c r="AH395" s="87" t="str">
        <f aca="false">IF(ISBLANK($C395),"",IF(ISBLANK($O395),0,IF(ISNUMBER($O395),IF($O395&gt;=0,$O395,""),"")))</f>
        <v/>
      </c>
      <c r="AI395" s="86" t="str">
        <f aca="false">IF(ISBLANK($C395),"",IF($P395=Constants!$B$2,TRUE(),IF($P395=Constants!$B$3,FALSE(),TRUE())))</f>
        <v/>
      </c>
      <c r="AJ395" s="86" t="str">
        <f aca="false">IF(ISBLANK($C395),"",IF($Q395=Constants!$B$2,TRUE(),IF($Q395=Constants!$B$3,FALSE(),TRUE())))</f>
        <v/>
      </c>
      <c r="AK395" s="86" t="str">
        <f aca="false">IF(ISBLANK($C395),"",IF($R395=Constants!$B$2,TRUE(),IF($R395=Constants!$B$3,FALSE(),TRUE())))</f>
        <v/>
      </c>
      <c r="AL395" s="88" t="str">
        <f aca="false">IF(ISBLANK($C395),"",IF(ISNUMBER($S395),IF($S395&gt;=0,$S395,""),""))</f>
        <v/>
      </c>
      <c r="AM395" s="86" t="str">
        <f aca="false">IF(ISBLANK($C395),"",IF(ISBLANK($T395),0,IF(ISNUMBER($T395),IF(AND($T395&gt;=0,$T395&lt;=Constants!$B$17,$T395=INT($T395)),$T395,""),"")))</f>
        <v/>
      </c>
      <c r="AN395" s="87" t="str">
        <f aca="false">IF(ISBLANK($C395),"",IF(ISBLANK($U395),0,IF(ISNUMBER($U395),IF($U395&gt;=0,$U395,""),"")))</f>
        <v/>
      </c>
      <c r="AO395" s="86" t="str">
        <f aca="false">IF(ISBLANK($C395),"",IF($V395=Constants!$B$2,TRUE(),IF($V395=Constants!$B$3,FALSE(),FALSE())))</f>
        <v/>
      </c>
      <c r="AP395" s="86"/>
      <c r="AQ395" s="85" t="str">
        <f aca="false">IF(ISBLANK($C395),"",AND($Y395,OR($AS395,$BC395),OR($Z395="",$AA395="",$AB395="")))</f>
        <v/>
      </c>
      <c r="AR395" s="85" t="str">
        <f aca="false">IF(ISBLANK($C395),"",IF(OR(NOT($Y395),NOT(OR($AS395,$BC395))),"",IF(ISBLANK($D$7),$AR$5,IF($AP$9="",$AR$6,""))))</f>
        <v/>
      </c>
      <c r="AS395" s="85" t="str">
        <f aca="false">IF(ISBLANK($C395),"",COUNTA($J395:$O395)&gt;0)</f>
        <v/>
      </c>
      <c r="AT395" s="85" t="str">
        <f aca="false">IF(ISBLANK($C395),"",AND($AS395,OR(AND($AF395="",OR($AE395,NOT(ISBLANK($M395)))),$AG395="",$AH395="")))</f>
        <v/>
      </c>
      <c r="AU395" s="87" t="str">
        <f aca="false">IF($BL395&lt;&gt;Constants!$B$4,"",IF(NOT($AS395),"",ROUND((Constants!$B$12-$AB395)+(Constants!$B$13-$Z395)+(Constants!$B$14-$AA395),1)))</f>
        <v/>
      </c>
      <c r="AV395" s="90" t="str">
        <f aca="false">IF($BL395&lt;&gt;Constants!$B$4,"",IF(NOT($AS395),"",IF(NOT($AE395),0,Constants!$B$15*(INT(ROUND(MIN($AF395,$AP$9),6))-INT(ROUND(MAX(0,MIN($AF395,2*$AP$9)-$AP$9),6))))))</f>
        <v/>
      </c>
      <c r="AW395" s="90" t="str">
        <f aca="false">IF($BL395&lt;&gt;Constants!$B$4,"",IF(NOT($AS395),"",Constants!$B$16*$AG395))</f>
        <v/>
      </c>
      <c r="AX395" s="90" t="str">
        <f aca="false">IF($BL395&lt;&gt;Constants!$B$4,"",IF(NOT($AS395),"",Constants!$B$18*INT(ROUND($AH395,6))))</f>
        <v/>
      </c>
      <c r="AY395" s="85" t="str">
        <f aca="false">IF($BL395&lt;&gt;Constants!$B$4,"",IF(NOT($AS395),"",IF(NOT($X395),Constants!$B$11,IF(OR(NOT($AC395),NOT($AD395),ROUND($AB395,1)&gt;Constants!$B$12,ROUND($Z395,1)&gt;Constants!$B$13,ROUND($AA395,1)&gt;Constants!$B$14),Constants!$B$10,Constants!$B$9))))</f>
        <v/>
      </c>
      <c r="AZ395" s="91" t="str">
        <f aca="false">IF($BL395&lt;&gt;Constants!$B$4,"",IF(NOT($AS395),"",ROUND($AU395+$AV395+$AW395+$AX395,1)))</f>
        <v/>
      </c>
      <c r="BA395" s="92" t="str">
        <f aca="false">IF($BL395&lt;&gt;Constants!$B$4,"",IF(NOT($AS395),"",IF(ISNUMBER($AF395),$AF395,0)))</f>
        <v/>
      </c>
      <c r="BB395" s="86" t="str">
        <f aca="false">IF($BL395&lt;&gt;Constants!$B$4,"",IF(NOT($BC395),"&lt;-",IF(NOT($AS395),"-&gt;",IF(OR($BI395&lt;$AY395,AND($BI395=$AY395,OR($BJ395&gt;$AZ395,AND($BJ395=$AZ395,OR($BH395&gt;$AX395,AND($BH395=$AX395,OR($BE395&gt;$AU395,AND($BE395=$AU395,OR($BF395&gt;$AV395,AND($BF395=$AV395,$BK395&gt;$BA395)))))))))),"-&gt;","&lt;-"))))</f>
        <v/>
      </c>
      <c r="BC395" s="85" t="str">
        <f aca="false">IF(ISBLANK($C395),"",COUNTA($P395:$U395)&gt;0)</f>
        <v/>
      </c>
      <c r="BD395" s="85" t="str">
        <f aca="false">IF(ISBLANK($C395),"",AND($BC395,OR(AND($AL395="",OR($AK395,NOT(ISBLANK($S395)))),$AM395="",$AN395="")))</f>
        <v/>
      </c>
      <c r="BE395" s="87" t="str">
        <f aca="false">IF($BL395&lt;&gt;Constants!$B$4,"",IF(NOT($BC395),"",ROUND((Constants!$B$12-$AB395)+(Constants!$B$13-$Z395)+(Constants!$B$14-$AA395),1)))</f>
        <v/>
      </c>
      <c r="BF395" s="90" t="str">
        <f aca="false">IF($BL395&lt;&gt;Constants!$B$4,"",IF(NOT($BC395),"",IF(NOT($AK395),0,Constants!$B$15*(INT(ROUND(MIN($AL395,$AP$9),6))-INT(ROUND(MAX(0,MIN($AL395,2*$AP$9)-$AP$9),6))))))</f>
        <v/>
      </c>
      <c r="BG395" s="90" t="str">
        <f aca="false">IF($BL395&lt;&gt;Constants!$B$4,"",IF(NOT($BC395),"",Constants!$B$16*$AM395))</f>
        <v/>
      </c>
      <c r="BH395" s="90" t="str">
        <f aca="false">IF($BL395&lt;&gt;Constants!$B$4,"",IF(NOT($BC395),"",Constants!$B$18*INT(ROUND($AN395,6))))</f>
        <v/>
      </c>
      <c r="BI395" s="85" t="str">
        <f aca="false">IF($BL395&lt;&gt;Constants!$B$4,"",IF(NOT($BC395),"",IF(NOT($X395),Constants!$B$11,IF(OR(NOT($AI395),NOT($AJ395),ROUND($AB395,1)&gt;Constants!$B$12,ROUND($Z395,1)&gt;Constants!$B$13,ROUND($AA395,1)&gt;Constants!$B$14),Constants!$B$10,Constants!$B$9))))</f>
        <v/>
      </c>
      <c r="BJ395" s="91" t="str">
        <f aca="false">IF($BL395&lt;&gt;Constants!$B$4,"",IF(NOT($BC395),"",ROUND($BE395+$BF395+$BG395+$BH395,1)))</f>
        <v/>
      </c>
      <c r="BK395" s="92" t="str">
        <f aca="false">IF($BL395&lt;&gt;Constants!$B$4,"",IF(NOT($BC395),"",IF(ISNUMBER($AL395),$AL395,0)))</f>
        <v/>
      </c>
      <c r="BL395" s="86" t="str">
        <f aca="false">IF(ISBLANK($C395),"",IF($AO395,Constants!$B$7,IF(COUNTA($E395:$V395)=0,Constants!$B$6,IF(NOT($Y395),Constants!$B$5,IF(NOT(OR($AS395,$BC395)),Constants!$B$5,IF(OR($AT395,$BD395,$AQ395,$AR395&lt;&gt;""),Constants!$B$8,Constants!$B$4))))))</f>
        <v/>
      </c>
      <c r="BM395" s="86" t="str">
        <f aca="false">IF(ISBLANK($C395),"",IF($BL395&lt;&gt;Constants!$B$4,$BL395,IF($BB395="-&gt;",$BI395,$AY395)))</f>
        <v/>
      </c>
      <c r="BN395" s="90" t="str">
        <f aca="false">IF($BL395&lt;&gt;Constants!$B$4,"",IF($BB395="-&gt;",$BJ395,$AZ395))</f>
        <v/>
      </c>
      <c r="BO395" s="90" t="str">
        <f aca="false">IF(ISBLANK($C395),"",IF($BL395&lt;&gt;Constants!$B$4,$BL395,$BN395))</f>
        <v/>
      </c>
      <c r="BP395" s="86" t="str">
        <f aca="false">IF(ISBLANK($C395),"",IF($BL395&lt;&gt;Constants!$B$4,$BL395,RANK($BO395,$BO$9:$BO$508,0)))</f>
        <v/>
      </c>
      <c r="BQ395" s="86" t="str">
        <f aca="false">IF(ISBLANK($C395),"",IF($BL395&lt;&gt;Constants!$B$4,$BL395,COUNTIFS($BM$9:$BM$508,"&lt;"&amp;$BM395)+COUNTIFS($BM$9:$BM$508,$BM395,$BP$9:$BP$508,"&lt;"&amp;$BP395)+1))</f>
        <v/>
      </c>
      <c r="BR395" s="90" t="str">
        <f aca="false">IF($BL395&lt;&gt;Constants!$B$4,"",IF($BB395="-&gt;",$BH395,$AX395))</f>
        <v/>
      </c>
      <c r="BS395" s="86" t="str">
        <f aca="false">IF(ISBLANK($C395),"",IF($BL395&lt;&gt;Constants!$B$4,$BL395,IF(ISNUMBER($BR395),RANK($BR395,$BR$9:$BR$508,0),COUNT($BR$9:$BR$508)+1)))</f>
        <v/>
      </c>
      <c r="BT395" s="90" t="str">
        <f aca="false">IF($BL395&lt;&gt;Constants!$B$4,"",IF($BB395="-&gt;",$BE395,$AU395))</f>
        <v/>
      </c>
      <c r="BU395" s="86" t="str">
        <f aca="false">IF(ISBLANK($C395),"",IF($BL395&lt;&gt;Constants!$B$4,$BL395,IF(ISNUMBER($BT395),RANK($BT395,$BT$9:$BT$508,0),COUNT($BT$9:$BT$508)+1)))</f>
        <v/>
      </c>
      <c r="BV395" s="90" t="str">
        <f aca="false">IF($BL395&lt;&gt;Constants!$B$4,"",IF($BB395="-&gt;",$BF395,$AV395))</f>
        <v/>
      </c>
      <c r="BW395" s="86" t="str">
        <f aca="false">IF(ISBLANK($C395),"",IF($BL395&lt;&gt;Constants!$B$4,$BL395,IF(ISNUMBER($BV395),RANK($BV395,$BV$9:$BV$508,0),COUNT($BV$9:$BV$508)+1)))</f>
        <v/>
      </c>
      <c r="BX395" s="90" t="str">
        <f aca="false">IF($BL395&lt;&gt;Constants!$B$4,"",IF($BB395="-&gt;",$BK395,$BA395))</f>
        <v/>
      </c>
      <c r="BY395" s="86" t="str">
        <f aca="false">IF(ISBLANK($C395),"",IF($BL395&lt;&gt;Constants!$B$4,$BL395,IF(ISNUMBER($BX395),RANK($BX395,$BX$9:$BX$508,0),COUNT($BX$9:$BX$508)+1)))</f>
        <v/>
      </c>
      <c r="BZ395" s="86" t="str">
        <f aca="false">IF(ISBLANK($C395),"",IF($BL395&lt;&gt;Constants!$B$4,$BL395,COUNTIFS($BM$9:$BM$508,"&lt;"&amp;$BM395)+COUNTIFS($BM$9:$BM$508,$BM395,$BP$9:$BP$508,"&lt;"&amp;$BP395)+COUNTIFS($BM$9:$BM$508,$BM395,$BP$9:$BP$508,$BP395,$BS$9:$BS$508,"&lt;"&amp;$BS395)+COUNTIFS($BM$9:$BM$508,$BM395,$BP$9:$BP$508,$BP395,$BS$9:$BS$508,$BS395,$BU$9:$BU$508,"&lt;"&amp;$BU395)+COUNTIFS($BM$9:$BM$508,$BM395,$BP$9:$BP$508,$BP395,$BS$9:$BS$508,$BS395,$BU$9:$BU$508,$BU395,$BW$9:$BW$508,"&lt;"&amp;$BW395)+COUNTIFS($BM$9:$BM$508,$BM395,$BP$9:$BP$508,$BP395,$BS$9:$BS$508,$BS395,$BU$9:$BU$508,$BU395,$BW$9:$BW$508,$BW395,$BY$9:$BY$508,"&lt;"&amp;$BY395)+1))</f>
        <v/>
      </c>
      <c r="CA395" s="86" t="str">
        <f aca="false">IF(ISBLANK($C395),"",IF($BL395&lt;&gt;Constants!$B$4,$BL395,$BQ395-$BZ395))</f>
        <v/>
      </c>
      <c r="CB395" s="93"/>
      <c r="CC395" s="94" t="str">
        <f aca="false">IF(ISBLANK($C395),"",IF($BL395=Constants!$B$8,$AR395,""))</f>
        <v/>
      </c>
      <c r="CD395" s="94" t="str">
        <f aca="false">IF(ISBLANK($C395),"",IF($BL395&lt;&gt;Constants!$B$4,"",IF($BB395="-&gt;",2,1)))</f>
        <v/>
      </c>
      <c r="CE395" s="95" t="str">
        <f aca="false">IF(ISBLANK($C395),"",IF($BL395&lt;&gt;Constants!$B$4,"",IF($BB395="-&gt;",$BE395,$AU395)))</f>
        <v/>
      </c>
      <c r="CF395" s="95" t="str">
        <f aca="false">IF(ISBLANK($C395),"",IF($BL395&lt;&gt;Constants!$B$4,"",IF($BB395="-&gt;",$BF395,$AV395)))</f>
        <v/>
      </c>
      <c r="CG395" s="95" t="str">
        <f aca="false">IF(ISBLANK($C395),"",IF($BL395&lt;&gt;Constants!$B$4,"",IF($BB395="-&gt;",$BG395,$AW395)))</f>
        <v/>
      </c>
      <c r="CH395" s="95" t="str">
        <f aca="false">IF(ISBLANK($C395),"",IF($BL395&lt;&gt;Constants!$B$4,"",IF($BB395="-&gt;",$BH395,$AX395)))</f>
        <v/>
      </c>
      <c r="CI395" s="96" t="str">
        <f aca="false">IF(ISBLANK($C395),"",$BO395)</f>
        <v/>
      </c>
      <c r="CJ395" s="97" t="str">
        <f aca="false">IF(ISBLANK($C395),"",$BM395)</f>
        <v/>
      </c>
      <c r="CK395" s="98" t="str">
        <f aca="false">IF(ISBLANK($C395),"",$CA395)</f>
        <v/>
      </c>
      <c r="CL395" s="98" t="str">
        <f aca="false">IF(ISBLANK($C395),"",$BZ395)</f>
        <v/>
      </c>
      <c r="CM395" s="99" t="str">
        <f aca="false">IF(ISBLANK($C395),"",IF($CL395=Constants!$B$7,COUNTA($C$9:$C$508)+2,IF($CL395=Constants!$B$6,COUNTA($C$9:$C$508)+1,IF($CL395=Constants!$B$5,COUNTA($C$9:$C$508),$CL395))))</f>
        <v/>
      </c>
      <c r="CN395" s="8"/>
      <c r="CO395" s="100" t="n">
        <f aca="false">IF(OR(ISNUMBER($CL395),$CL395=Constants!$B$7,$CL395=Constants!$B$5,$CL395=Constants!$B$6),1,0)</f>
        <v>0</v>
      </c>
      <c r="CP395" s="100" t="n">
        <v>387</v>
      </c>
      <c r="CQ395" s="100" t="str">
        <f aca="false">IF(ISBLANK($C395),"",IF(ISNUMBER($CM395),$CM395+ROW($B395)/1000,""))</f>
        <v/>
      </c>
      <c r="CR395" s="100" t="str">
        <f aca="false">IF(ISNUMBER($CQ395),RANK($CQ395,$CQ$9:$CQ$508,1),"")</f>
        <v/>
      </c>
      <c r="CS395" s="100" t="str">
        <f aca="false">IF(ISBLANK($C395),"",$B395)</f>
        <v/>
      </c>
      <c r="CT395" s="100" t="str">
        <f aca="false">IF(ISBLANK($C395),"",$C395)</f>
        <v/>
      </c>
      <c r="CU395" s="100" t="str">
        <f aca="false">IF(ISBLANK($C395),"",$D395)</f>
        <v/>
      </c>
      <c r="CV395" s="101" t="str">
        <f aca="false">$CJ395</f>
        <v/>
      </c>
      <c r="CW395" s="102" t="str">
        <f aca="false">$CI395</f>
        <v/>
      </c>
      <c r="CX395" s="100" t="str">
        <f aca="false">IF(ISBLANK($C395),"",$CL395)</f>
        <v/>
      </c>
      <c r="CY395" s="103" t="str">
        <f aca="false">IF($CP395&gt;$CO$8,"",VLOOKUP($CP395,$CR$9:$CX$508,7,FALSE()))</f>
        <v/>
      </c>
      <c r="CZ395" s="104" t="str">
        <f aca="false">IF($CP395&gt;$CO$8,"",VLOOKUP($CP395,$CR$9:$CX$508,2,FALSE()))</f>
        <v/>
      </c>
      <c r="DA395" s="104" t="str">
        <f aca="false">IF($CP395&gt;$CO$8,"",VLOOKUP($CP395,$CR$9:$CX$508,3,FALSE()))</f>
        <v/>
      </c>
      <c r="DB395" s="104" t="str">
        <f aca="false">IF($CP395&gt;$CO$8,"",VLOOKUP($CP395,$CR$9:$CX$508,4,FALSE()))</f>
        <v/>
      </c>
      <c r="DC395" s="104" t="str">
        <f aca="false">IF($CP395&gt;$CO$8,"",VLOOKUP($CP395,$CR$9:$CX$508,5,FALSE()))</f>
        <v/>
      </c>
      <c r="DD395" s="105" t="str">
        <f aca="false">IF($CP395&gt;$CO$8,"",VLOOKUP($CP395,$CR$9:$CX$508,6,FALSE()))</f>
        <v/>
      </c>
      <c r="DE395" s="70"/>
    </row>
    <row r="396" customFormat="false" ht="15.75" hidden="false" customHeight="false" outlineLevel="0" collapsed="false">
      <c r="A396" s="8"/>
      <c r="B396" s="146"/>
      <c r="C396" s="147"/>
      <c r="D396" s="148"/>
      <c r="E396" s="164"/>
      <c r="F396" s="150"/>
      <c r="G396" s="115"/>
      <c r="H396" s="115"/>
      <c r="I396" s="115"/>
      <c r="J396" s="165"/>
      <c r="K396" s="154"/>
      <c r="L396" s="154"/>
      <c r="M396" s="118"/>
      <c r="N396" s="154"/>
      <c r="O396" s="153"/>
      <c r="P396" s="154"/>
      <c r="Q396" s="154"/>
      <c r="R396" s="154"/>
      <c r="S396" s="115"/>
      <c r="T396" s="154"/>
      <c r="U396" s="153"/>
      <c r="V396" s="154"/>
      <c r="W396" s="123"/>
      <c r="X396" s="124" t="str">
        <f aca="false">IF(ISBLANK($C396),"",IF($E396=Constants!$B$2,TRUE(),IF($E396=Constants!$B$3,FALSE(),TRUE())))</f>
        <v/>
      </c>
      <c r="Y396" s="124" t="str">
        <f aca="false">IF(ISBLANK($C396),"",IF($F396=Constants!$B$2,TRUE(),IF($F396=Constants!$B$3,FALSE(),TRUE())))</f>
        <v/>
      </c>
      <c r="Z396" s="125" t="str">
        <f aca="false">IF(ISBLANK($C396),"",IF(ISNUMBER($G396),IF($G396&gt;=0,$G396,""),""))</f>
        <v/>
      </c>
      <c r="AA396" s="125" t="str">
        <f aca="false">IF(ISBLANK($C396),"",IF(ISNUMBER($H396),IF($H396&gt;=0,$H396,""),""))</f>
        <v/>
      </c>
      <c r="AB396" s="125" t="str">
        <f aca="false">IF(ISBLANK($C396),"",IF(ISNUMBER($I396),IF($I396&gt;=0,$I396,""),""))</f>
        <v/>
      </c>
      <c r="AC396" s="124" t="str">
        <f aca="false">IF(ISBLANK($C396),"",IF($J396=Constants!$B$2,TRUE(),IF($J396=Constants!$B$3,FALSE(),TRUE())))</f>
        <v/>
      </c>
      <c r="AD396" s="124" t="str">
        <f aca="false">IF(ISBLANK($C396),"",IF($K396=Constants!$B$2,TRUE(),IF($K396=Constants!$B$3,FALSE(),TRUE())))</f>
        <v/>
      </c>
      <c r="AE396" s="124" t="str">
        <f aca="false">IF(ISBLANK($C396),"",IF($L396=Constants!$B$2,TRUE(),IF($L396=Constants!$B$3,FALSE(),TRUE())))</f>
        <v/>
      </c>
      <c r="AF396" s="126" t="str">
        <f aca="false">IF(ISBLANK($C396),"",IF(ISNUMBER($M396),IF($M396&gt;=0,$M396,""),""))</f>
        <v/>
      </c>
      <c r="AG396" s="124" t="str">
        <f aca="false">IF(ISBLANK($C396),"",IF(ISBLANK($N396),0,IF(ISNUMBER($N396),IF(AND($N396&gt;=0,$N396&lt;=Constants!$B$17,$N396=INT($N396)),$N396,""),"")))</f>
        <v/>
      </c>
      <c r="AH396" s="125" t="str">
        <f aca="false">IF(ISBLANK($C396),"",IF(ISBLANK($O396),0,IF(ISNUMBER($O396),IF($O396&gt;=0,$O396,""),"")))</f>
        <v/>
      </c>
      <c r="AI396" s="124" t="str">
        <f aca="false">IF(ISBLANK($C396),"",IF($P396=Constants!$B$2,TRUE(),IF($P396=Constants!$B$3,FALSE(),TRUE())))</f>
        <v/>
      </c>
      <c r="AJ396" s="124" t="str">
        <f aca="false">IF(ISBLANK($C396),"",IF($Q396=Constants!$B$2,TRUE(),IF($Q396=Constants!$B$3,FALSE(),TRUE())))</f>
        <v/>
      </c>
      <c r="AK396" s="124" t="str">
        <f aca="false">IF(ISBLANK($C396),"",IF($R396=Constants!$B$2,TRUE(),IF($R396=Constants!$B$3,FALSE(),TRUE())))</f>
        <v/>
      </c>
      <c r="AL396" s="126" t="str">
        <f aca="false">IF(ISBLANK($C396),"",IF(ISNUMBER($S396),IF($S396&gt;=0,$S396,""),""))</f>
        <v/>
      </c>
      <c r="AM396" s="124" t="str">
        <f aca="false">IF(ISBLANK($C396),"",IF(ISBLANK($T396),0,IF(ISNUMBER($T396),IF(AND($T396&gt;=0,$T396&lt;=Constants!$B$17,$T396=INT($T396)),$T396,""),"")))</f>
        <v/>
      </c>
      <c r="AN396" s="125" t="str">
        <f aca="false">IF(ISBLANK($C396),"",IF(ISBLANK($U396),0,IF(ISNUMBER($U396),IF($U396&gt;=0,$U396,""),"")))</f>
        <v/>
      </c>
      <c r="AO396" s="124" t="str">
        <f aca="false">IF(ISBLANK($C396),"",IF($V396=Constants!$B$2,TRUE(),IF($V396=Constants!$B$3,FALSE(),FALSE())))</f>
        <v/>
      </c>
      <c r="AP396" s="124"/>
      <c r="AQ396" s="123" t="str">
        <f aca="false">IF(ISBLANK($C396),"",AND($Y396,OR($AS396,$BC396),OR($Z396="",$AA396="",$AB396="")))</f>
        <v/>
      </c>
      <c r="AR396" s="123" t="str">
        <f aca="false">IF(ISBLANK($C396),"",IF(OR(NOT($Y396),NOT(OR($AS396,$BC396))),"",IF(ISBLANK($D$7),$AR$5,IF($AP$9="",$AR$6,""))))</f>
        <v/>
      </c>
      <c r="AS396" s="123" t="str">
        <f aca="false">IF(ISBLANK($C396),"",COUNTA($J396:$O396)&gt;0)</f>
        <v/>
      </c>
      <c r="AT396" s="123" t="str">
        <f aca="false">IF(ISBLANK($C396),"",AND($AS396,OR(AND($AF396="",OR($AE396,NOT(ISBLANK($M396)))),$AG396="",$AH396="")))</f>
        <v/>
      </c>
      <c r="AU396" s="125" t="str">
        <f aca="false">IF($BL396&lt;&gt;Constants!$B$4,"",IF(NOT($AS396),"",ROUND((Constants!$B$12-$AB396)+(Constants!$B$13-$Z396)+(Constants!$B$14-$AA396),1)))</f>
        <v/>
      </c>
      <c r="AV396" s="127" t="str">
        <f aca="false">IF($BL396&lt;&gt;Constants!$B$4,"",IF(NOT($AS396),"",IF(NOT($AE396),0,Constants!$B$15*(INT(ROUND(MIN($AF396,$AP$9),6))-INT(ROUND(MAX(0,MIN($AF396,2*$AP$9)-$AP$9),6))))))</f>
        <v/>
      </c>
      <c r="AW396" s="127" t="str">
        <f aca="false">IF($BL396&lt;&gt;Constants!$B$4,"",IF(NOT($AS396),"",Constants!$B$16*$AG396))</f>
        <v/>
      </c>
      <c r="AX396" s="127" t="str">
        <f aca="false">IF($BL396&lt;&gt;Constants!$B$4,"",IF(NOT($AS396),"",Constants!$B$18*INT(ROUND($AH396,6))))</f>
        <v/>
      </c>
      <c r="AY396" s="123" t="str">
        <f aca="false">IF($BL396&lt;&gt;Constants!$B$4,"",IF(NOT($AS396),"",IF(NOT($X396),Constants!$B$11,IF(OR(NOT($AC396),NOT($AD396),ROUND($AB396,1)&gt;Constants!$B$12,ROUND($Z396,1)&gt;Constants!$B$13,ROUND($AA396,1)&gt;Constants!$B$14),Constants!$B$10,Constants!$B$9))))</f>
        <v/>
      </c>
      <c r="AZ396" s="128" t="str">
        <f aca="false">IF($BL396&lt;&gt;Constants!$B$4,"",IF(NOT($AS396),"",ROUND($AU396+$AV396+$AW396+$AX396,1)))</f>
        <v/>
      </c>
      <c r="BA396" s="129" t="str">
        <f aca="false">IF($BL396&lt;&gt;Constants!$B$4,"",IF(NOT($AS396),"",IF(ISNUMBER($AF396),$AF396,0)))</f>
        <v/>
      </c>
      <c r="BB396" s="124" t="str">
        <f aca="false">IF($BL396&lt;&gt;Constants!$B$4,"",IF(NOT($BC396),"&lt;-",IF(NOT($AS396),"-&gt;",IF(OR($BI396&lt;$AY396,AND($BI396=$AY396,OR($BJ396&gt;$AZ396,AND($BJ396=$AZ396,OR($BH396&gt;$AX396,AND($BH396=$AX396,OR($BE396&gt;$AU396,AND($BE396=$AU396,OR($BF396&gt;$AV396,AND($BF396=$AV396,$BK396&gt;$BA396)))))))))),"-&gt;","&lt;-"))))</f>
        <v/>
      </c>
      <c r="BC396" s="123" t="str">
        <f aca="false">IF(ISBLANK($C396),"",COUNTA($P396:$U396)&gt;0)</f>
        <v/>
      </c>
      <c r="BD396" s="123" t="str">
        <f aca="false">IF(ISBLANK($C396),"",AND($BC396,OR(AND($AL396="",OR($AK396,NOT(ISBLANK($S396)))),$AM396="",$AN396="")))</f>
        <v/>
      </c>
      <c r="BE396" s="125" t="str">
        <f aca="false">IF($BL396&lt;&gt;Constants!$B$4,"",IF(NOT($BC396),"",ROUND((Constants!$B$12-$AB396)+(Constants!$B$13-$Z396)+(Constants!$B$14-$AA396),1)))</f>
        <v/>
      </c>
      <c r="BF396" s="127" t="str">
        <f aca="false">IF($BL396&lt;&gt;Constants!$B$4,"",IF(NOT($BC396),"",IF(NOT($AK396),0,Constants!$B$15*(INT(ROUND(MIN($AL396,$AP$9),6))-INT(ROUND(MAX(0,MIN($AL396,2*$AP$9)-$AP$9),6))))))</f>
        <v/>
      </c>
      <c r="BG396" s="127" t="str">
        <f aca="false">IF($BL396&lt;&gt;Constants!$B$4,"",IF(NOT($BC396),"",Constants!$B$16*$AM396))</f>
        <v/>
      </c>
      <c r="BH396" s="127" t="str">
        <f aca="false">IF($BL396&lt;&gt;Constants!$B$4,"",IF(NOT($BC396),"",Constants!$B$18*INT(ROUND($AN396,6))))</f>
        <v/>
      </c>
      <c r="BI396" s="123" t="str">
        <f aca="false">IF($BL396&lt;&gt;Constants!$B$4,"",IF(NOT($BC396),"",IF(NOT($X396),Constants!$B$11,IF(OR(NOT($AI396),NOT($AJ396),ROUND($AB396,1)&gt;Constants!$B$12,ROUND($Z396,1)&gt;Constants!$B$13,ROUND($AA396,1)&gt;Constants!$B$14),Constants!$B$10,Constants!$B$9))))</f>
        <v/>
      </c>
      <c r="BJ396" s="128" t="str">
        <f aca="false">IF($BL396&lt;&gt;Constants!$B$4,"",IF(NOT($BC396),"",ROUND($BE396+$BF396+$BG396+$BH396,1)))</f>
        <v/>
      </c>
      <c r="BK396" s="129" t="str">
        <f aca="false">IF($BL396&lt;&gt;Constants!$B$4,"",IF(NOT($BC396),"",IF(ISNUMBER($AL396),$AL396,0)))</f>
        <v/>
      </c>
      <c r="BL396" s="124" t="str">
        <f aca="false">IF(ISBLANK($C396),"",IF($AO396,Constants!$B$7,IF(COUNTA($E396:$V396)=0,Constants!$B$6,IF(NOT($Y396),Constants!$B$5,IF(NOT(OR($AS396,$BC396)),Constants!$B$5,IF(OR($AT396,$BD396,$AQ396,$AR396&lt;&gt;""),Constants!$B$8,Constants!$B$4))))))</f>
        <v/>
      </c>
      <c r="BM396" s="124" t="str">
        <f aca="false">IF(ISBLANK($C396),"",IF($BL396&lt;&gt;Constants!$B$4,$BL396,IF($BB396="-&gt;",$BI396,$AY396)))</f>
        <v/>
      </c>
      <c r="BN396" s="127" t="str">
        <f aca="false">IF($BL396&lt;&gt;Constants!$B$4,"",IF($BB396="-&gt;",$BJ396,$AZ396))</f>
        <v/>
      </c>
      <c r="BO396" s="127" t="str">
        <f aca="false">IF(ISBLANK($C396),"",IF($BL396&lt;&gt;Constants!$B$4,$BL396,$BN396))</f>
        <v/>
      </c>
      <c r="BP396" s="124" t="str">
        <f aca="false">IF(ISBLANK($C396),"",IF($BL396&lt;&gt;Constants!$B$4,$BL396,RANK($BO396,$BO$9:$BO$508,0)))</f>
        <v/>
      </c>
      <c r="BQ396" s="124" t="str">
        <f aca="false">IF(ISBLANK($C396),"",IF($BL396&lt;&gt;Constants!$B$4,$BL396,COUNTIFS($BM$9:$BM$508,"&lt;"&amp;$BM396)+COUNTIFS($BM$9:$BM$508,$BM396,$BP$9:$BP$508,"&lt;"&amp;$BP396)+1))</f>
        <v/>
      </c>
      <c r="BR396" s="127" t="str">
        <f aca="false">IF($BL396&lt;&gt;Constants!$B$4,"",IF($BB396="-&gt;",$BH396,$AX396))</f>
        <v/>
      </c>
      <c r="BS396" s="124" t="str">
        <f aca="false">IF(ISBLANK($C396),"",IF($BL396&lt;&gt;Constants!$B$4,$BL396,IF(ISNUMBER($BR396),RANK($BR396,$BR$9:$BR$508,0),COUNT($BR$9:$BR$508)+1)))</f>
        <v/>
      </c>
      <c r="BT396" s="127" t="str">
        <f aca="false">IF($BL396&lt;&gt;Constants!$B$4,"",IF($BB396="-&gt;",$BE396,$AU396))</f>
        <v/>
      </c>
      <c r="BU396" s="124" t="str">
        <f aca="false">IF(ISBLANK($C396),"",IF($BL396&lt;&gt;Constants!$B$4,$BL396,IF(ISNUMBER($BT396),RANK($BT396,$BT$9:$BT$508,0),COUNT($BT$9:$BT$508)+1)))</f>
        <v/>
      </c>
      <c r="BV396" s="127" t="str">
        <f aca="false">IF($BL396&lt;&gt;Constants!$B$4,"",IF($BB396="-&gt;",$BF396,$AV396))</f>
        <v/>
      </c>
      <c r="BW396" s="124" t="str">
        <f aca="false">IF(ISBLANK($C396),"",IF($BL396&lt;&gt;Constants!$B$4,$BL396,IF(ISNUMBER($BV396),RANK($BV396,$BV$9:$BV$508,0),COUNT($BV$9:$BV$508)+1)))</f>
        <v/>
      </c>
      <c r="BX396" s="127" t="str">
        <f aca="false">IF($BL396&lt;&gt;Constants!$B$4,"",IF($BB396="-&gt;",$BK396,$BA396))</f>
        <v/>
      </c>
      <c r="BY396" s="124" t="str">
        <f aca="false">IF(ISBLANK($C396),"",IF($BL396&lt;&gt;Constants!$B$4,$BL396,IF(ISNUMBER($BX396),RANK($BX396,$BX$9:$BX$508,0),COUNT($BX$9:$BX$508)+1)))</f>
        <v/>
      </c>
      <c r="BZ396" s="124" t="str">
        <f aca="false">IF(ISBLANK($C396),"",IF($BL396&lt;&gt;Constants!$B$4,$BL396,COUNTIFS($BM$9:$BM$508,"&lt;"&amp;$BM396)+COUNTIFS($BM$9:$BM$508,$BM396,$BP$9:$BP$508,"&lt;"&amp;$BP396)+COUNTIFS($BM$9:$BM$508,$BM396,$BP$9:$BP$508,$BP396,$BS$9:$BS$508,"&lt;"&amp;$BS396)+COUNTIFS($BM$9:$BM$508,$BM396,$BP$9:$BP$508,$BP396,$BS$9:$BS$508,$BS396,$BU$9:$BU$508,"&lt;"&amp;$BU396)+COUNTIFS($BM$9:$BM$508,$BM396,$BP$9:$BP$508,$BP396,$BS$9:$BS$508,$BS396,$BU$9:$BU$508,$BU396,$BW$9:$BW$508,"&lt;"&amp;$BW396)+COUNTIFS($BM$9:$BM$508,$BM396,$BP$9:$BP$508,$BP396,$BS$9:$BS$508,$BS396,$BU$9:$BU$508,$BU396,$BW$9:$BW$508,$BW396,$BY$9:$BY$508,"&lt;"&amp;$BY396)+1))</f>
        <v/>
      </c>
      <c r="CA396" s="124" t="str">
        <f aca="false">IF(ISBLANK($C396),"",IF($BL396&lt;&gt;Constants!$B$4,$BL396,$BQ396-$BZ396))</f>
        <v/>
      </c>
      <c r="CB396" s="130"/>
      <c r="CC396" s="131" t="str">
        <f aca="false">IF(ISBLANK($C396),"",IF($BL396=Constants!$B$8,$AR396,""))</f>
        <v/>
      </c>
      <c r="CD396" s="131" t="str">
        <f aca="false">IF(ISBLANK($C396),"",IF($BL396&lt;&gt;Constants!$B$4,"",IF($BB396="-&gt;",2,1)))</f>
        <v/>
      </c>
      <c r="CE396" s="132" t="str">
        <f aca="false">IF(ISBLANK($C396),"",IF($BL396&lt;&gt;Constants!$B$4,"",IF($BB396="-&gt;",$BE396,$AU396)))</f>
        <v/>
      </c>
      <c r="CF396" s="132" t="str">
        <f aca="false">IF(ISBLANK($C396),"",IF($BL396&lt;&gt;Constants!$B$4,"",IF($BB396="-&gt;",$BF396,$AV396)))</f>
        <v/>
      </c>
      <c r="CG396" s="132" t="str">
        <f aca="false">IF(ISBLANK($C396),"",IF($BL396&lt;&gt;Constants!$B$4,"",IF($BB396="-&gt;",$BG396,$AW396)))</f>
        <v/>
      </c>
      <c r="CH396" s="132" t="str">
        <f aca="false">IF(ISBLANK($C396),"",IF($BL396&lt;&gt;Constants!$B$4,"",IF($BB396="-&gt;",$BH396,$AX396)))</f>
        <v/>
      </c>
      <c r="CI396" s="133" t="str">
        <f aca="false">IF(ISBLANK($C396),"",$BO396)</f>
        <v/>
      </c>
      <c r="CJ396" s="134" t="str">
        <f aca="false">IF(ISBLANK($C396),"",$BM396)</f>
        <v/>
      </c>
      <c r="CK396" s="135" t="str">
        <f aca="false">IF(ISBLANK($C396),"",$CA396)</f>
        <v/>
      </c>
      <c r="CL396" s="135" t="str">
        <f aca="false">IF(ISBLANK($C396),"",$BZ396)</f>
        <v/>
      </c>
      <c r="CM396" s="136" t="str">
        <f aca="false">IF(ISBLANK($C396),"",IF($CL396=Constants!$B$7,COUNTA($C$9:$C$508)+2,IF($CL396=Constants!$B$6,COUNTA($C$9:$C$508)+1,IF($CL396=Constants!$B$5,COUNTA($C$9:$C$508),$CL396))))</f>
        <v/>
      </c>
      <c r="CN396" s="8"/>
      <c r="CO396" s="137" t="n">
        <f aca="false">IF(OR(ISNUMBER($CL396),$CL396=Constants!$B$7,$CL396=Constants!$B$5,$CL396=Constants!$B$6),1,0)</f>
        <v>0</v>
      </c>
      <c r="CP396" s="137" t="n">
        <v>388</v>
      </c>
      <c r="CQ396" s="137" t="str">
        <f aca="false">IF(ISBLANK($C396),"",IF(ISNUMBER($CM396),$CM396+ROW($B396)/1000,""))</f>
        <v/>
      </c>
      <c r="CR396" s="137" t="str">
        <f aca="false">IF(ISNUMBER($CQ396),RANK($CQ396,$CQ$9:$CQ$508,1),"")</f>
        <v/>
      </c>
      <c r="CS396" s="137" t="str">
        <f aca="false">IF(ISBLANK($C396),"",$B396)</f>
        <v/>
      </c>
      <c r="CT396" s="137" t="str">
        <f aca="false">IF(ISBLANK($C396),"",$C396)</f>
        <v/>
      </c>
      <c r="CU396" s="137" t="str">
        <f aca="false">IF(ISBLANK($C396),"",$D396)</f>
        <v/>
      </c>
      <c r="CV396" s="138" t="str">
        <f aca="false">$CJ396</f>
        <v/>
      </c>
      <c r="CW396" s="139" t="str">
        <f aca="false">$CI396</f>
        <v/>
      </c>
      <c r="CX396" s="137" t="str">
        <f aca="false">IF(ISBLANK($C396),"",$CL396)</f>
        <v/>
      </c>
      <c r="CY396" s="140" t="str">
        <f aca="false">IF($CP396&gt;$CO$8,"",VLOOKUP($CP396,$CR$9:$CX$508,7,FALSE()))</f>
        <v/>
      </c>
      <c r="CZ396" s="141" t="str">
        <f aca="false">IF($CP396&gt;$CO$8,"",VLOOKUP($CP396,$CR$9:$CX$508,2,FALSE()))</f>
        <v/>
      </c>
      <c r="DA396" s="141" t="str">
        <f aca="false">IF($CP396&gt;$CO$8,"",VLOOKUP($CP396,$CR$9:$CX$508,3,FALSE()))</f>
        <v/>
      </c>
      <c r="DB396" s="141" t="str">
        <f aca="false">IF($CP396&gt;$CO$8,"",VLOOKUP($CP396,$CR$9:$CX$508,4,FALSE()))</f>
        <v/>
      </c>
      <c r="DC396" s="141" t="str">
        <f aca="false">IF($CP396&gt;$CO$8,"",VLOOKUP($CP396,$CR$9:$CX$508,5,FALSE()))</f>
        <v/>
      </c>
      <c r="DD396" s="142" t="str">
        <f aca="false">IF($CP396&gt;$CO$8,"",VLOOKUP($CP396,$CR$9:$CX$508,6,FALSE()))</f>
        <v/>
      </c>
      <c r="DE396" s="70"/>
    </row>
    <row r="397" customFormat="false" ht="15.75" hidden="false" customHeight="false" outlineLevel="0" collapsed="false">
      <c r="A397" s="8"/>
      <c r="B397" s="146"/>
      <c r="C397" s="147"/>
      <c r="D397" s="148"/>
      <c r="E397" s="164"/>
      <c r="F397" s="150"/>
      <c r="G397" s="115"/>
      <c r="H397" s="115"/>
      <c r="I397" s="115"/>
      <c r="J397" s="165"/>
      <c r="K397" s="154"/>
      <c r="L397" s="154"/>
      <c r="M397" s="118"/>
      <c r="N397" s="154"/>
      <c r="O397" s="153"/>
      <c r="P397" s="154"/>
      <c r="Q397" s="154"/>
      <c r="R397" s="154"/>
      <c r="S397" s="115"/>
      <c r="T397" s="154"/>
      <c r="U397" s="153"/>
      <c r="V397" s="154"/>
      <c r="W397" s="123"/>
      <c r="X397" s="124" t="str">
        <f aca="false">IF(ISBLANK($C397),"",IF($E397=Constants!$B$2,TRUE(),IF($E397=Constants!$B$3,FALSE(),TRUE())))</f>
        <v/>
      </c>
      <c r="Y397" s="124" t="str">
        <f aca="false">IF(ISBLANK($C397),"",IF($F397=Constants!$B$2,TRUE(),IF($F397=Constants!$B$3,FALSE(),TRUE())))</f>
        <v/>
      </c>
      <c r="Z397" s="125" t="str">
        <f aca="false">IF(ISBLANK($C397),"",IF(ISNUMBER($G397),IF($G397&gt;=0,$G397,""),""))</f>
        <v/>
      </c>
      <c r="AA397" s="125" t="str">
        <f aca="false">IF(ISBLANK($C397),"",IF(ISNUMBER($H397),IF($H397&gt;=0,$H397,""),""))</f>
        <v/>
      </c>
      <c r="AB397" s="125" t="str">
        <f aca="false">IF(ISBLANK($C397),"",IF(ISNUMBER($I397),IF($I397&gt;=0,$I397,""),""))</f>
        <v/>
      </c>
      <c r="AC397" s="124" t="str">
        <f aca="false">IF(ISBLANK($C397),"",IF($J397=Constants!$B$2,TRUE(),IF($J397=Constants!$B$3,FALSE(),TRUE())))</f>
        <v/>
      </c>
      <c r="AD397" s="124" t="str">
        <f aca="false">IF(ISBLANK($C397),"",IF($K397=Constants!$B$2,TRUE(),IF($K397=Constants!$B$3,FALSE(),TRUE())))</f>
        <v/>
      </c>
      <c r="AE397" s="124" t="str">
        <f aca="false">IF(ISBLANK($C397),"",IF($L397=Constants!$B$2,TRUE(),IF($L397=Constants!$B$3,FALSE(),TRUE())))</f>
        <v/>
      </c>
      <c r="AF397" s="126" t="str">
        <f aca="false">IF(ISBLANK($C397),"",IF(ISNUMBER($M397),IF($M397&gt;=0,$M397,""),""))</f>
        <v/>
      </c>
      <c r="AG397" s="124" t="str">
        <f aca="false">IF(ISBLANK($C397),"",IF(ISBLANK($N397),0,IF(ISNUMBER($N397),IF(AND($N397&gt;=0,$N397&lt;=Constants!$B$17,$N397=INT($N397)),$N397,""),"")))</f>
        <v/>
      </c>
      <c r="AH397" s="125" t="str">
        <f aca="false">IF(ISBLANK($C397),"",IF(ISBLANK($O397),0,IF(ISNUMBER($O397),IF($O397&gt;=0,$O397,""),"")))</f>
        <v/>
      </c>
      <c r="AI397" s="124" t="str">
        <f aca="false">IF(ISBLANK($C397),"",IF($P397=Constants!$B$2,TRUE(),IF($P397=Constants!$B$3,FALSE(),TRUE())))</f>
        <v/>
      </c>
      <c r="AJ397" s="124" t="str">
        <f aca="false">IF(ISBLANK($C397),"",IF($Q397=Constants!$B$2,TRUE(),IF($Q397=Constants!$B$3,FALSE(),TRUE())))</f>
        <v/>
      </c>
      <c r="AK397" s="124" t="str">
        <f aca="false">IF(ISBLANK($C397),"",IF($R397=Constants!$B$2,TRUE(),IF($R397=Constants!$B$3,FALSE(),TRUE())))</f>
        <v/>
      </c>
      <c r="AL397" s="126" t="str">
        <f aca="false">IF(ISBLANK($C397),"",IF(ISNUMBER($S397),IF($S397&gt;=0,$S397,""),""))</f>
        <v/>
      </c>
      <c r="AM397" s="124" t="str">
        <f aca="false">IF(ISBLANK($C397),"",IF(ISBLANK($T397),0,IF(ISNUMBER($T397),IF(AND($T397&gt;=0,$T397&lt;=Constants!$B$17,$T397=INT($T397)),$T397,""),"")))</f>
        <v/>
      </c>
      <c r="AN397" s="125" t="str">
        <f aca="false">IF(ISBLANK($C397),"",IF(ISBLANK($U397),0,IF(ISNUMBER($U397),IF($U397&gt;=0,$U397,""),"")))</f>
        <v/>
      </c>
      <c r="AO397" s="124" t="str">
        <f aca="false">IF(ISBLANK($C397),"",IF($V397=Constants!$B$2,TRUE(),IF($V397=Constants!$B$3,FALSE(),FALSE())))</f>
        <v/>
      </c>
      <c r="AP397" s="124"/>
      <c r="AQ397" s="123" t="str">
        <f aca="false">IF(ISBLANK($C397),"",AND($Y397,OR($AS397,$BC397),OR($Z397="",$AA397="",$AB397="")))</f>
        <v/>
      </c>
      <c r="AR397" s="123" t="str">
        <f aca="false">IF(ISBLANK($C397),"",IF(OR(NOT($Y397),NOT(OR($AS397,$BC397))),"",IF(ISBLANK($D$7),$AR$5,IF($AP$9="",$AR$6,""))))</f>
        <v/>
      </c>
      <c r="AS397" s="123" t="str">
        <f aca="false">IF(ISBLANK($C397),"",COUNTA($J397:$O397)&gt;0)</f>
        <v/>
      </c>
      <c r="AT397" s="123" t="str">
        <f aca="false">IF(ISBLANK($C397),"",AND($AS397,OR(AND($AF397="",OR($AE397,NOT(ISBLANK($M397)))),$AG397="",$AH397="")))</f>
        <v/>
      </c>
      <c r="AU397" s="125" t="str">
        <f aca="false">IF($BL397&lt;&gt;Constants!$B$4,"",IF(NOT($AS397),"",ROUND((Constants!$B$12-$AB397)+(Constants!$B$13-$Z397)+(Constants!$B$14-$AA397),1)))</f>
        <v/>
      </c>
      <c r="AV397" s="127" t="str">
        <f aca="false">IF($BL397&lt;&gt;Constants!$B$4,"",IF(NOT($AS397),"",IF(NOT($AE397),0,Constants!$B$15*(INT(ROUND(MIN($AF397,$AP$9),6))-INT(ROUND(MAX(0,MIN($AF397,2*$AP$9)-$AP$9),6))))))</f>
        <v/>
      </c>
      <c r="AW397" s="127" t="str">
        <f aca="false">IF($BL397&lt;&gt;Constants!$B$4,"",IF(NOT($AS397),"",Constants!$B$16*$AG397))</f>
        <v/>
      </c>
      <c r="AX397" s="127" t="str">
        <f aca="false">IF($BL397&lt;&gt;Constants!$B$4,"",IF(NOT($AS397),"",Constants!$B$18*INT(ROUND($AH397,6))))</f>
        <v/>
      </c>
      <c r="AY397" s="123" t="str">
        <f aca="false">IF($BL397&lt;&gt;Constants!$B$4,"",IF(NOT($AS397),"",IF(NOT($X397),Constants!$B$11,IF(OR(NOT($AC397),NOT($AD397),ROUND($AB397,1)&gt;Constants!$B$12,ROUND($Z397,1)&gt;Constants!$B$13,ROUND($AA397,1)&gt;Constants!$B$14),Constants!$B$10,Constants!$B$9))))</f>
        <v/>
      </c>
      <c r="AZ397" s="128" t="str">
        <f aca="false">IF($BL397&lt;&gt;Constants!$B$4,"",IF(NOT($AS397),"",ROUND($AU397+$AV397+$AW397+$AX397,1)))</f>
        <v/>
      </c>
      <c r="BA397" s="129" t="str">
        <f aca="false">IF($BL397&lt;&gt;Constants!$B$4,"",IF(NOT($AS397),"",IF(ISNUMBER($AF397),$AF397,0)))</f>
        <v/>
      </c>
      <c r="BB397" s="124" t="str">
        <f aca="false">IF($BL397&lt;&gt;Constants!$B$4,"",IF(NOT($BC397),"&lt;-",IF(NOT($AS397),"-&gt;",IF(OR($BI397&lt;$AY397,AND($BI397=$AY397,OR($BJ397&gt;$AZ397,AND($BJ397=$AZ397,OR($BH397&gt;$AX397,AND($BH397=$AX397,OR($BE397&gt;$AU397,AND($BE397=$AU397,OR($BF397&gt;$AV397,AND($BF397=$AV397,$BK397&gt;$BA397)))))))))),"-&gt;","&lt;-"))))</f>
        <v/>
      </c>
      <c r="BC397" s="123" t="str">
        <f aca="false">IF(ISBLANK($C397),"",COUNTA($P397:$U397)&gt;0)</f>
        <v/>
      </c>
      <c r="BD397" s="123" t="str">
        <f aca="false">IF(ISBLANK($C397),"",AND($BC397,OR(AND($AL397="",OR($AK397,NOT(ISBLANK($S397)))),$AM397="",$AN397="")))</f>
        <v/>
      </c>
      <c r="BE397" s="125" t="str">
        <f aca="false">IF($BL397&lt;&gt;Constants!$B$4,"",IF(NOT($BC397),"",ROUND((Constants!$B$12-$AB397)+(Constants!$B$13-$Z397)+(Constants!$B$14-$AA397),1)))</f>
        <v/>
      </c>
      <c r="BF397" s="127" t="str">
        <f aca="false">IF($BL397&lt;&gt;Constants!$B$4,"",IF(NOT($BC397),"",IF(NOT($AK397),0,Constants!$B$15*(INT(ROUND(MIN($AL397,$AP$9),6))-INT(ROUND(MAX(0,MIN($AL397,2*$AP$9)-$AP$9),6))))))</f>
        <v/>
      </c>
      <c r="BG397" s="127" t="str">
        <f aca="false">IF($BL397&lt;&gt;Constants!$B$4,"",IF(NOT($BC397),"",Constants!$B$16*$AM397))</f>
        <v/>
      </c>
      <c r="BH397" s="127" t="str">
        <f aca="false">IF($BL397&lt;&gt;Constants!$B$4,"",IF(NOT($BC397),"",Constants!$B$18*INT(ROUND($AN397,6))))</f>
        <v/>
      </c>
      <c r="BI397" s="123" t="str">
        <f aca="false">IF($BL397&lt;&gt;Constants!$B$4,"",IF(NOT($BC397),"",IF(NOT($X397),Constants!$B$11,IF(OR(NOT($AI397),NOT($AJ397),ROUND($AB397,1)&gt;Constants!$B$12,ROUND($Z397,1)&gt;Constants!$B$13,ROUND($AA397,1)&gt;Constants!$B$14),Constants!$B$10,Constants!$B$9))))</f>
        <v/>
      </c>
      <c r="BJ397" s="128" t="str">
        <f aca="false">IF($BL397&lt;&gt;Constants!$B$4,"",IF(NOT($BC397),"",ROUND($BE397+$BF397+$BG397+$BH397,1)))</f>
        <v/>
      </c>
      <c r="BK397" s="129" t="str">
        <f aca="false">IF($BL397&lt;&gt;Constants!$B$4,"",IF(NOT($BC397),"",IF(ISNUMBER($AL397),$AL397,0)))</f>
        <v/>
      </c>
      <c r="BL397" s="124" t="str">
        <f aca="false">IF(ISBLANK($C397),"",IF($AO397,Constants!$B$7,IF(COUNTA($E397:$V397)=0,Constants!$B$6,IF(NOT($Y397),Constants!$B$5,IF(NOT(OR($AS397,$BC397)),Constants!$B$5,IF(OR($AT397,$BD397,$AQ397,$AR397&lt;&gt;""),Constants!$B$8,Constants!$B$4))))))</f>
        <v/>
      </c>
      <c r="BM397" s="124" t="str">
        <f aca="false">IF(ISBLANK($C397),"",IF($BL397&lt;&gt;Constants!$B$4,$BL397,IF($BB397="-&gt;",$BI397,$AY397)))</f>
        <v/>
      </c>
      <c r="BN397" s="127" t="str">
        <f aca="false">IF($BL397&lt;&gt;Constants!$B$4,"",IF($BB397="-&gt;",$BJ397,$AZ397))</f>
        <v/>
      </c>
      <c r="BO397" s="127" t="str">
        <f aca="false">IF(ISBLANK($C397),"",IF($BL397&lt;&gt;Constants!$B$4,$BL397,$BN397))</f>
        <v/>
      </c>
      <c r="BP397" s="124" t="str">
        <f aca="false">IF(ISBLANK($C397),"",IF($BL397&lt;&gt;Constants!$B$4,$BL397,RANK($BO397,$BO$9:$BO$508,0)))</f>
        <v/>
      </c>
      <c r="BQ397" s="124" t="str">
        <f aca="false">IF(ISBLANK($C397),"",IF($BL397&lt;&gt;Constants!$B$4,$BL397,COUNTIFS($BM$9:$BM$508,"&lt;"&amp;$BM397)+COUNTIFS($BM$9:$BM$508,$BM397,$BP$9:$BP$508,"&lt;"&amp;$BP397)+1))</f>
        <v/>
      </c>
      <c r="BR397" s="127" t="str">
        <f aca="false">IF($BL397&lt;&gt;Constants!$B$4,"",IF($BB397="-&gt;",$BH397,$AX397))</f>
        <v/>
      </c>
      <c r="BS397" s="124" t="str">
        <f aca="false">IF(ISBLANK($C397),"",IF($BL397&lt;&gt;Constants!$B$4,$BL397,IF(ISNUMBER($BR397),RANK($BR397,$BR$9:$BR$508,0),COUNT($BR$9:$BR$508)+1)))</f>
        <v/>
      </c>
      <c r="BT397" s="127" t="str">
        <f aca="false">IF($BL397&lt;&gt;Constants!$B$4,"",IF($BB397="-&gt;",$BE397,$AU397))</f>
        <v/>
      </c>
      <c r="BU397" s="124" t="str">
        <f aca="false">IF(ISBLANK($C397),"",IF($BL397&lt;&gt;Constants!$B$4,$BL397,IF(ISNUMBER($BT397),RANK($BT397,$BT$9:$BT$508,0),COUNT($BT$9:$BT$508)+1)))</f>
        <v/>
      </c>
      <c r="BV397" s="127" t="str">
        <f aca="false">IF($BL397&lt;&gt;Constants!$B$4,"",IF($BB397="-&gt;",$BF397,$AV397))</f>
        <v/>
      </c>
      <c r="BW397" s="124" t="str">
        <f aca="false">IF(ISBLANK($C397),"",IF($BL397&lt;&gt;Constants!$B$4,$BL397,IF(ISNUMBER($BV397),RANK($BV397,$BV$9:$BV$508,0),COUNT($BV$9:$BV$508)+1)))</f>
        <v/>
      </c>
      <c r="BX397" s="127" t="str">
        <f aca="false">IF($BL397&lt;&gt;Constants!$B$4,"",IF($BB397="-&gt;",$BK397,$BA397))</f>
        <v/>
      </c>
      <c r="BY397" s="124" t="str">
        <f aca="false">IF(ISBLANK($C397),"",IF($BL397&lt;&gt;Constants!$B$4,$BL397,IF(ISNUMBER($BX397),RANK($BX397,$BX$9:$BX$508,0),COUNT($BX$9:$BX$508)+1)))</f>
        <v/>
      </c>
      <c r="BZ397" s="124" t="str">
        <f aca="false">IF(ISBLANK($C397),"",IF($BL397&lt;&gt;Constants!$B$4,$BL397,COUNTIFS($BM$9:$BM$508,"&lt;"&amp;$BM397)+COUNTIFS($BM$9:$BM$508,$BM397,$BP$9:$BP$508,"&lt;"&amp;$BP397)+COUNTIFS($BM$9:$BM$508,$BM397,$BP$9:$BP$508,$BP397,$BS$9:$BS$508,"&lt;"&amp;$BS397)+COUNTIFS($BM$9:$BM$508,$BM397,$BP$9:$BP$508,$BP397,$BS$9:$BS$508,$BS397,$BU$9:$BU$508,"&lt;"&amp;$BU397)+COUNTIFS($BM$9:$BM$508,$BM397,$BP$9:$BP$508,$BP397,$BS$9:$BS$508,$BS397,$BU$9:$BU$508,$BU397,$BW$9:$BW$508,"&lt;"&amp;$BW397)+COUNTIFS($BM$9:$BM$508,$BM397,$BP$9:$BP$508,$BP397,$BS$9:$BS$508,$BS397,$BU$9:$BU$508,$BU397,$BW$9:$BW$508,$BW397,$BY$9:$BY$508,"&lt;"&amp;$BY397)+1))</f>
        <v/>
      </c>
      <c r="CA397" s="124" t="str">
        <f aca="false">IF(ISBLANK($C397),"",IF($BL397&lt;&gt;Constants!$B$4,$BL397,$BQ397-$BZ397))</f>
        <v/>
      </c>
      <c r="CB397" s="130"/>
      <c r="CC397" s="131" t="str">
        <f aca="false">IF(ISBLANK($C397),"",IF($BL397=Constants!$B$8,$AR397,""))</f>
        <v/>
      </c>
      <c r="CD397" s="131" t="str">
        <f aca="false">IF(ISBLANK($C397),"",IF($BL397&lt;&gt;Constants!$B$4,"",IF($BB397="-&gt;",2,1)))</f>
        <v/>
      </c>
      <c r="CE397" s="132" t="str">
        <f aca="false">IF(ISBLANK($C397),"",IF($BL397&lt;&gt;Constants!$B$4,"",IF($BB397="-&gt;",$BE397,$AU397)))</f>
        <v/>
      </c>
      <c r="CF397" s="132" t="str">
        <f aca="false">IF(ISBLANK($C397),"",IF($BL397&lt;&gt;Constants!$B$4,"",IF($BB397="-&gt;",$BF397,$AV397)))</f>
        <v/>
      </c>
      <c r="CG397" s="132" t="str">
        <f aca="false">IF(ISBLANK($C397),"",IF($BL397&lt;&gt;Constants!$B$4,"",IF($BB397="-&gt;",$BG397,$AW397)))</f>
        <v/>
      </c>
      <c r="CH397" s="132" t="str">
        <f aca="false">IF(ISBLANK($C397),"",IF($BL397&lt;&gt;Constants!$B$4,"",IF($BB397="-&gt;",$BH397,$AX397)))</f>
        <v/>
      </c>
      <c r="CI397" s="133" t="str">
        <f aca="false">IF(ISBLANK($C397),"",$BO397)</f>
        <v/>
      </c>
      <c r="CJ397" s="134" t="str">
        <f aca="false">IF(ISBLANK($C397),"",$BM397)</f>
        <v/>
      </c>
      <c r="CK397" s="135" t="str">
        <f aca="false">IF(ISBLANK($C397),"",$CA397)</f>
        <v/>
      </c>
      <c r="CL397" s="135" t="str">
        <f aca="false">IF(ISBLANK($C397),"",$BZ397)</f>
        <v/>
      </c>
      <c r="CM397" s="136" t="str">
        <f aca="false">IF(ISBLANK($C397),"",IF($CL397=Constants!$B$7,COUNTA($C$9:$C$508)+2,IF($CL397=Constants!$B$6,COUNTA($C$9:$C$508)+1,IF($CL397=Constants!$B$5,COUNTA($C$9:$C$508),$CL397))))</f>
        <v/>
      </c>
      <c r="CN397" s="8"/>
      <c r="CO397" s="137" t="n">
        <f aca="false">IF(OR(ISNUMBER($CL397),$CL397=Constants!$B$7,$CL397=Constants!$B$5,$CL397=Constants!$B$6),1,0)</f>
        <v>0</v>
      </c>
      <c r="CP397" s="137" t="n">
        <v>389</v>
      </c>
      <c r="CQ397" s="137" t="str">
        <f aca="false">IF(ISBLANK($C397),"",IF(ISNUMBER($CM397),$CM397+ROW($B397)/1000,""))</f>
        <v/>
      </c>
      <c r="CR397" s="137" t="str">
        <f aca="false">IF(ISNUMBER($CQ397),RANK($CQ397,$CQ$9:$CQ$508,1),"")</f>
        <v/>
      </c>
      <c r="CS397" s="137" t="str">
        <f aca="false">IF(ISBLANK($C397),"",$B397)</f>
        <v/>
      </c>
      <c r="CT397" s="137" t="str">
        <f aca="false">IF(ISBLANK($C397),"",$C397)</f>
        <v/>
      </c>
      <c r="CU397" s="137" t="str">
        <f aca="false">IF(ISBLANK($C397),"",$D397)</f>
        <v/>
      </c>
      <c r="CV397" s="138" t="str">
        <f aca="false">$CJ397</f>
        <v/>
      </c>
      <c r="CW397" s="139" t="str">
        <f aca="false">$CI397</f>
        <v/>
      </c>
      <c r="CX397" s="137" t="str">
        <f aca="false">IF(ISBLANK($C397),"",$CL397)</f>
        <v/>
      </c>
      <c r="CY397" s="140" t="str">
        <f aca="false">IF($CP397&gt;$CO$8,"",VLOOKUP($CP397,$CR$9:$CX$508,7,FALSE()))</f>
        <v/>
      </c>
      <c r="CZ397" s="141" t="str">
        <f aca="false">IF($CP397&gt;$CO$8,"",VLOOKUP($CP397,$CR$9:$CX$508,2,FALSE()))</f>
        <v/>
      </c>
      <c r="DA397" s="141" t="str">
        <f aca="false">IF($CP397&gt;$CO$8,"",VLOOKUP($CP397,$CR$9:$CX$508,3,FALSE()))</f>
        <v/>
      </c>
      <c r="DB397" s="141" t="str">
        <f aca="false">IF($CP397&gt;$CO$8,"",VLOOKUP($CP397,$CR$9:$CX$508,4,FALSE()))</f>
        <v/>
      </c>
      <c r="DC397" s="141" t="str">
        <f aca="false">IF($CP397&gt;$CO$8,"",VLOOKUP($CP397,$CR$9:$CX$508,5,FALSE()))</f>
        <v/>
      </c>
      <c r="DD397" s="142" t="str">
        <f aca="false">IF($CP397&gt;$CO$8,"",VLOOKUP($CP397,$CR$9:$CX$508,6,FALSE()))</f>
        <v/>
      </c>
      <c r="DE397" s="70"/>
    </row>
    <row r="398" customFormat="false" ht="15.75" hidden="false" customHeight="false" outlineLevel="0" collapsed="false">
      <c r="A398" s="8"/>
      <c r="B398" s="146"/>
      <c r="C398" s="147"/>
      <c r="D398" s="148"/>
      <c r="E398" s="164"/>
      <c r="F398" s="150"/>
      <c r="G398" s="115"/>
      <c r="H398" s="115"/>
      <c r="I398" s="115"/>
      <c r="J398" s="165"/>
      <c r="K398" s="154"/>
      <c r="L398" s="154"/>
      <c r="M398" s="118"/>
      <c r="N398" s="154"/>
      <c r="O398" s="153"/>
      <c r="P398" s="154"/>
      <c r="Q398" s="154"/>
      <c r="R398" s="154"/>
      <c r="S398" s="115"/>
      <c r="T398" s="154"/>
      <c r="U398" s="153"/>
      <c r="V398" s="154"/>
      <c r="W398" s="123"/>
      <c r="X398" s="124" t="str">
        <f aca="false">IF(ISBLANK($C398),"",IF($E398=Constants!$B$2,TRUE(),IF($E398=Constants!$B$3,FALSE(),TRUE())))</f>
        <v/>
      </c>
      <c r="Y398" s="124" t="str">
        <f aca="false">IF(ISBLANK($C398),"",IF($F398=Constants!$B$2,TRUE(),IF($F398=Constants!$B$3,FALSE(),TRUE())))</f>
        <v/>
      </c>
      <c r="Z398" s="125" t="str">
        <f aca="false">IF(ISBLANK($C398),"",IF(ISNUMBER($G398),IF($G398&gt;=0,$G398,""),""))</f>
        <v/>
      </c>
      <c r="AA398" s="125" t="str">
        <f aca="false">IF(ISBLANK($C398),"",IF(ISNUMBER($H398),IF($H398&gt;=0,$H398,""),""))</f>
        <v/>
      </c>
      <c r="AB398" s="125" t="str">
        <f aca="false">IF(ISBLANK($C398),"",IF(ISNUMBER($I398),IF($I398&gt;=0,$I398,""),""))</f>
        <v/>
      </c>
      <c r="AC398" s="124" t="str">
        <f aca="false">IF(ISBLANK($C398),"",IF($J398=Constants!$B$2,TRUE(),IF($J398=Constants!$B$3,FALSE(),TRUE())))</f>
        <v/>
      </c>
      <c r="AD398" s="124" t="str">
        <f aca="false">IF(ISBLANK($C398),"",IF($K398=Constants!$B$2,TRUE(),IF($K398=Constants!$B$3,FALSE(),TRUE())))</f>
        <v/>
      </c>
      <c r="AE398" s="124" t="str">
        <f aca="false">IF(ISBLANK($C398),"",IF($L398=Constants!$B$2,TRUE(),IF($L398=Constants!$B$3,FALSE(),TRUE())))</f>
        <v/>
      </c>
      <c r="AF398" s="126" t="str">
        <f aca="false">IF(ISBLANK($C398),"",IF(ISNUMBER($M398),IF($M398&gt;=0,$M398,""),""))</f>
        <v/>
      </c>
      <c r="AG398" s="124" t="str">
        <f aca="false">IF(ISBLANK($C398),"",IF(ISBLANK($N398),0,IF(ISNUMBER($N398),IF(AND($N398&gt;=0,$N398&lt;=Constants!$B$17,$N398=INT($N398)),$N398,""),"")))</f>
        <v/>
      </c>
      <c r="AH398" s="125" t="str">
        <f aca="false">IF(ISBLANK($C398),"",IF(ISBLANK($O398),0,IF(ISNUMBER($O398),IF($O398&gt;=0,$O398,""),"")))</f>
        <v/>
      </c>
      <c r="AI398" s="124" t="str">
        <f aca="false">IF(ISBLANK($C398),"",IF($P398=Constants!$B$2,TRUE(),IF($P398=Constants!$B$3,FALSE(),TRUE())))</f>
        <v/>
      </c>
      <c r="AJ398" s="124" t="str">
        <f aca="false">IF(ISBLANK($C398),"",IF($Q398=Constants!$B$2,TRUE(),IF($Q398=Constants!$B$3,FALSE(),TRUE())))</f>
        <v/>
      </c>
      <c r="AK398" s="124" t="str">
        <f aca="false">IF(ISBLANK($C398),"",IF($R398=Constants!$B$2,TRUE(),IF($R398=Constants!$B$3,FALSE(),TRUE())))</f>
        <v/>
      </c>
      <c r="AL398" s="126" t="str">
        <f aca="false">IF(ISBLANK($C398),"",IF(ISNUMBER($S398),IF($S398&gt;=0,$S398,""),""))</f>
        <v/>
      </c>
      <c r="AM398" s="124" t="str">
        <f aca="false">IF(ISBLANK($C398),"",IF(ISBLANK($T398),0,IF(ISNUMBER($T398),IF(AND($T398&gt;=0,$T398&lt;=Constants!$B$17,$T398=INT($T398)),$T398,""),"")))</f>
        <v/>
      </c>
      <c r="AN398" s="125" t="str">
        <f aca="false">IF(ISBLANK($C398),"",IF(ISBLANK($U398),0,IF(ISNUMBER($U398),IF($U398&gt;=0,$U398,""),"")))</f>
        <v/>
      </c>
      <c r="AO398" s="124" t="str">
        <f aca="false">IF(ISBLANK($C398),"",IF($V398=Constants!$B$2,TRUE(),IF($V398=Constants!$B$3,FALSE(),FALSE())))</f>
        <v/>
      </c>
      <c r="AP398" s="124"/>
      <c r="AQ398" s="123" t="str">
        <f aca="false">IF(ISBLANK($C398),"",AND($Y398,OR($AS398,$BC398),OR($Z398="",$AA398="",$AB398="")))</f>
        <v/>
      </c>
      <c r="AR398" s="123" t="str">
        <f aca="false">IF(ISBLANK($C398),"",IF(OR(NOT($Y398),NOT(OR($AS398,$BC398))),"",IF(ISBLANK($D$7),$AR$5,IF($AP$9="",$AR$6,""))))</f>
        <v/>
      </c>
      <c r="AS398" s="123" t="str">
        <f aca="false">IF(ISBLANK($C398),"",COUNTA($J398:$O398)&gt;0)</f>
        <v/>
      </c>
      <c r="AT398" s="123" t="str">
        <f aca="false">IF(ISBLANK($C398),"",AND($AS398,OR(AND($AF398="",OR($AE398,NOT(ISBLANK($M398)))),$AG398="",$AH398="")))</f>
        <v/>
      </c>
      <c r="AU398" s="125" t="str">
        <f aca="false">IF($BL398&lt;&gt;Constants!$B$4,"",IF(NOT($AS398),"",ROUND((Constants!$B$12-$AB398)+(Constants!$B$13-$Z398)+(Constants!$B$14-$AA398),1)))</f>
        <v/>
      </c>
      <c r="AV398" s="127" t="str">
        <f aca="false">IF($BL398&lt;&gt;Constants!$B$4,"",IF(NOT($AS398),"",IF(NOT($AE398),0,Constants!$B$15*(INT(ROUND(MIN($AF398,$AP$9),6))-INT(ROUND(MAX(0,MIN($AF398,2*$AP$9)-$AP$9),6))))))</f>
        <v/>
      </c>
      <c r="AW398" s="127" t="str">
        <f aca="false">IF($BL398&lt;&gt;Constants!$B$4,"",IF(NOT($AS398),"",Constants!$B$16*$AG398))</f>
        <v/>
      </c>
      <c r="AX398" s="127" t="str">
        <f aca="false">IF($BL398&lt;&gt;Constants!$B$4,"",IF(NOT($AS398),"",Constants!$B$18*INT(ROUND($AH398,6))))</f>
        <v/>
      </c>
      <c r="AY398" s="123" t="str">
        <f aca="false">IF($BL398&lt;&gt;Constants!$B$4,"",IF(NOT($AS398),"",IF(NOT($X398),Constants!$B$11,IF(OR(NOT($AC398),NOT($AD398),ROUND($AB398,1)&gt;Constants!$B$12,ROUND($Z398,1)&gt;Constants!$B$13,ROUND($AA398,1)&gt;Constants!$B$14),Constants!$B$10,Constants!$B$9))))</f>
        <v/>
      </c>
      <c r="AZ398" s="128" t="str">
        <f aca="false">IF($BL398&lt;&gt;Constants!$B$4,"",IF(NOT($AS398),"",ROUND($AU398+$AV398+$AW398+$AX398,1)))</f>
        <v/>
      </c>
      <c r="BA398" s="129" t="str">
        <f aca="false">IF($BL398&lt;&gt;Constants!$B$4,"",IF(NOT($AS398),"",IF(ISNUMBER($AF398),$AF398,0)))</f>
        <v/>
      </c>
      <c r="BB398" s="124" t="str">
        <f aca="false">IF($BL398&lt;&gt;Constants!$B$4,"",IF(NOT($BC398),"&lt;-",IF(NOT($AS398),"-&gt;",IF(OR($BI398&lt;$AY398,AND($BI398=$AY398,OR($BJ398&gt;$AZ398,AND($BJ398=$AZ398,OR($BH398&gt;$AX398,AND($BH398=$AX398,OR($BE398&gt;$AU398,AND($BE398=$AU398,OR($BF398&gt;$AV398,AND($BF398=$AV398,$BK398&gt;$BA398)))))))))),"-&gt;","&lt;-"))))</f>
        <v/>
      </c>
      <c r="BC398" s="123" t="str">
        <f aca="false">IF(ISBLANK($C398),"",COUNTA($P398:$U398)&gt;0)</f>
        <v/>
      </c>
      <c r="BD398" s="123" t="str">
        <f aca="false">IF(ISBLANK($C398),"",AND($BC398,OR(AND($AL398="",OR($AK398,NOT(ISBLANK($S398)))),$AM398="",$AN398="")))</f>
        <v/>
      </c>
      <c r="BE398" s="125" t="str">
        <f aca="false">IF($BL398&lt;&gt;Constants!$B$4,"",IF(NOT($BC398),"",ROUND((Constants!$B$12-$AB398)+(Constants!$B$13-$Z398)+(Constants!$B$14-$AA398),1)))</f>
        <v/>
      </c>
      <c r="BF398" s="127" t="str">
        <f aca="false">IF($BL398&lt;&gt;Constants!$B$4,"",IF(NOT($BC398),"",IF(NOT($AK398),0,Constants!$B$15*(INT(ROUND(MIN($AL398,$AP$9),6))-INT(ROUND(MAX(0,MIN($AL398,2*$AP$9)-$AP$9),6))))))</f>
        <v/>
      </c>
      <c r="BG398" s="127" t="str">
        <f aca="false">IF($BL398&lt;&gt;Constants!$B$4,"",IF(NOT($BC398),"",Constants!$B$16*$AM398))</f>
        <v/>
      </c>
      <c r="BH398" s="127" t="str">
        <f aca="false">IF($BL398&lt;&gt;Constants!$B$4,"",IF(NOT($BC398),"",Constants!$B$18*INT(ROUND($AN398,6))))</f>
        <v/>
      </c>
      <c r="BI398" s="123" t="str">
        <f aca="false">IF($BL398&lt;&gt;Constants!$B$4,"",IF(NOT($BC398),"",IF(NOT($X398),Constants!$B$11,IF(OR(NOT($AI398),NOT($AJ398),ROUND($AB398,1)&gt;Constants!$B$12,ROUND($Z398,1)&gt;Constants!$B$13,ROUND($AA398,1)&gt;Constants!$B$14),Constants!$B$10,Constants!$B$9))))</f>
        <v/>
      </c>
      <c r="BJ398" s="128" t="str">
        <f aca="false">IF($BL398&lt;&gt;Constants!$B$4,"",IF(NOT($BC398),"",ROUND($BE398+$BF398+$BG398+$BH398,1)))</f>
        <v/>
      </c>
      <c r="BK398" s="129" t="str">
        <f aca="false">IF($BL398&lt;&gt;Constants!$B$4,"",IF(NOT($BC398),"",IF(ISNUMBER($AL398),$AL398,0)))</f>
        <v/>
      </c>
      <c r="BL398" s="124" t="str">
        <f aca="false">IF(ISBLANK($C398),"",IF($AO398,Constants!$B$7,IF(COUNTA($E398:$V398)=0,Constants!$B$6,IF(NOT($Y398),Constants!$B$5,IF(NOT(OR($AS398,$BC398)),Constants!$B$5,IF(OR($AT398,$BD398,$AQ398,$AR398&lt;&gt;""),Constants!$B$8,Constants!$B$4))))))</f>
        <v/>
      </c>
      <c r="BM398" s="124" t="str">
        <f aca="false">IF(ISBLANK($C398),"",IF($BL398&lt;&gt;Constants!$B$4,$BL398,IF($BB398="-&gt;",$BI398,$AY398)))</f>
        <v/>
      </c>
      <c r="BN398" s="127" t="str">
        <f aca="false">IF($BL398&lt;&gt;Constants!$B$4,"",IF($BB398="-&gt;",$BJ398,$AZ398))</f>
        <v/>
      </c>
      <c r="BO398" s="127" t="str">
        <f aca="false">IF(ISBLANK($C398),"",IF($BL398&lt;&gt;Constants!$B$4,$BL398,$BN398))</f>
        <v/>
      </c>
      <c r="BP398" s="124" t="str">
        <f aca="false">IF(ISBLANK($C398),"",IF($BL398&lt;&gt;Constants!$B$4,$BL398,RANK($BO398,$BO$9:$BO$508,0)))</f>
        <v/>
      </c>
      <c r="BQ398" s="124" t="str">
        <f aca="false">IF(ISBLANK($C398),"",IF($BL398&lt;&gt;Constants!$B$4,$BL398,COUNTIFS($BM$9:$BM$508,"&lt;"&amp;$BM398)+COUNTIFS($BM$9:$BM$508,$BM398,$BP$9:$BP$508,"&lt;"&amp;$BP398)+1))</f>
        <v/>
      </c>
      <c r="BR398" s="127" t="str">
        <f aca="false">IF($BL398&lt;&gt;Constants!$B$4,"",IF($BB398="-&gt;",$BH398,$AX398))</f>
        <v/>
      </c>
      <c r="BS398" s="124" t="str">
        <f aca="false">IF(ISBLANK($C398),"",IF($BL398&lt;&gt;Constants!$B$4,$BL398,IF(ISNUMBER($BR398),RANK($BR398,$BR$9:$BR$508,0),COUNT($BR$9:$BR$508)+1)))</f>
        <v/>
      </c>
      <c r="BT398" s="127" t="str">
        <f aca="false">IF($BL398&lt;&gt;Constants!$B$4,"",IF($BB398="-&gt;",$BE398,$AU398))</f>
        <v/>
      </c>
      <c r="BU398" s="124" t="str">
        <f aca="false">IF(ISBLANK($C398),"",IF($BL398&lt;&gt;Constants!$B$4,$BL398,IF(ISNUMBER($BT398),RANK($BT398,$BT$9:$BT$508,0),COUNT($BT$9:$BT$508)+1)))</f>
        <v/>
      </c>
      <c r="BV398" s="127" t="str">
        <f aca="false">IF($BL398&lt;&gt;Constants!$B$4,"",IF($BB398="-&gt;",$BF398,$AV398))</f>
        <v/>
      </c>
      <c r="BW398" s="124" t="str">
        <f aca="false">IF(ISBLANK($C398),"",IF($BL398&lt;&gt;Constants!$B$4,$BL398,IF(ISNUMBER($BV398),RANK($BV398,$BV$9:$BV$508,0),COUNT($BV$9:$BV$508)+1)))</f>
        <v/>
      </c>
      <c r="BX398" s="127" t="str">
        <f aca="false">IF($BL398&lt;&gt;Constants!$B$4,"",IF($BB398="-&gt;",$BK398,$BA398))</f>
        <v/>
      </c>
      <c r="BY398" s="124" t="str">
        <f aca="false">IF(ISBLANK($C398),"",IF($BL398&lt;&gt;Constants!$B$4,$BL398,IF(ISNUMBER($BX398),RANK($BX398,$BX$9:$BX$508,0),COUNT($BX$9:$BX$508)+1)))</f>
        <v/>
      </c>
      <c r="BZ398" s="124" t="str">
        <f aca="false">IF(ISBLANK($C398),"",IF($BL398&lt;&gt;Constants!$B$4,$BL398,COUNTIFS($BM$9:$BM$508,"&lt;"&amp;$BM398)+COUNTIFS($BM$9:$BM$508,$BM398,$BP$9:$BP$508,"&lt;"&amp;$BP398)+COUNTIFS($BM$9:$BM$508,$BM398,$BP$9:$BP$508,$BP398,$BS$9:$BS$508,"&lt;"&amp;$BS398)+COUNTIFS($BM$9:$BM$508,$BM398,$BP$9:$BP$508,$BP398,$BS$9:$BS$508,$BS398,$BU$9:$BU$508,"&lt;"&amp;$BU398)+COUNTIFS($BM$9:$BM$508,$BM398,$BP$9:$BP$508,$BP398,$BS$9:$BS$508,$BS398,$BU$9:$BU$508,$BU398,$BW$9:$BW$508,"&lt;"&amp;$BW398)+COUNTIFS($BM$9:$BM$508,$BM398,$BP$9:$BP$508,$BP398,$BS$9:$BS$508,$BS398,$BU$9:$BU$508,$BU398,$BW$9:$BW$508,$BW398,$BY$9:$BY$508,"&lt;"&amp;$BY398)+1))</f>
        <v/>
      </c>
      <c r="CA398" s="124" t="str">
        <f aca="false">IF(ISBLANK($C398),"",IF($BL398&lt;&gt;Constants!$B$4,$BL398,$BQ398-$BZ398))</f>
        <v/>
      </c>
      <c r="CB398" s="130"/>
      <c r="CC398" s="131" t="str">
        <f aca="false">IF(ISBLANK($C398),"",IF($BL398=Constants!$B$8,$AR398,""))</f>
        <v/>
      </c>
      <c r="CD398" s="131" t="str">
        <f aca="false">IF(ISBLANK($C398),"",IF($BL398&lt;&gt;Constants!$B$4,"",IF($BB398="-&gt;",2,1)))</f>
        <v/>
      </c>
      <c r="CE398" s="132" t="str">
        <f aca="false">IF(ISBLANK($C398),"",IF($BL398&lt;&gt;Constants!$B$4,"",IF($BB398="-&gt;",$BE398,$AU398)))</f>
        <v/>
      </c>
      <c r="CF398" s="132" t="str">
        <f aca="false">IF(ISBLANK($C398),"",IF($BL398&lt;&gt;Constants!$B$4,"",IF($BB398="-&gt;",$BF398,$AV398)))</f>
        <v/>
      </c>
      <c r="CG398" s="132" t="str">
        <f aca="false">IF(ISBLANK($C398),"",IF($BL398&lt;&gt;Constants!$B$4,"",IF($BB398="-&gt;",$BG398,$AW398)))</f>
        <v/>
      </c>
      <c r="CH398" s="132" t="str">
        <f aca="false">IF(ISBLANK($C398),"",IF($BL398&lt;&gt;Constants!$B$4,"",IF($BB398="-&gt;",$BH398,$AX398)))</f>
        <v/>
      </c>
      <c r="CI398" s="133" t="str">
        <f aca="false">IF(ISBLANK($C398),"",$BO398)</f>
        <v/>
      </c>
      <c r="CJ398" s="134" t="str">
        <f aca="false">IF(ISBLANK($C398),"",$BM398)</f>
        <v/>
      </c>
      <c r="CK398" s="135" t="str">
        <f aca="false">IF(ISBLANK($C398),"",$CA398)</f>
        <v/>
      </c>
      <c r="CL398" s="135" t="str">
        <f aca="false">IF(ISBLANK($C398),"",$BZ398)</f>
        <v/>
      </c>
      <c r="CM398" s="136" t="str">
        <f aca="false">IF(ISBLANK($C398),"",IF($CL398=Constants!$B$7,COUNTA($C$9:$C$508)+2,IF($CL398=Constants!$B$6,COUNTA($C$9:$C$508)+1,IF($CL398=Constants!$B$5,COUNTA($C$9:$C$508),$CL398))))</f>
        <v/>
      </c>
      <c r="CN398" s="8"/>
      <c r="CO398" s="137" t="n">
        <f aca="false">IF(OR(ISNUMBER($CL398),$CL398=Constants!$B$7,$CL398=Constants!$B$5,$CL398=Constants!$B$6),1,0)</f>
        <v>0</v>
      </c>
      <c r="CP398" s="137" t="n">
        <v>390</v>
      </c>
      <c r="CQ398" s="137" t="str">
        <f aca="false">IF(ISBLANK($C398),"",IF(ISNUMBER($CM398),$CM398+ROW($B398)/1000,""))</f>
        <v/>
      </c>
      <c r="CR398" s="137" t="str">
        <f aca="false">IF(ISNUMBER($CQ398),RANK($CQ398,$CQ$9:$CQ$508,1),"")</f>
        <v/>
      </c>
      <c r="CS398" s="137" t="str">
        <f aca="false">IF(ISBLANK($C398),"",$B398)</f>
        <v/>
      </c>
      <c r="CT398" s="137" t="str">
        <f aca="false">IF(ISBLANK($C398),"",$C398)</f>
        <v/>
      </c>
      <c r="CU398" s="137" t="str">
        <f aca="false">IF(ISBLANK($C398),"",$D398)</f>
        <v/>
      </c>
      <c r="CV398" s="138" t="str">
        <f aca="false">$CJ398</f>
        <v/>
      </c>
      <c r="CW398" s="139" t="str">
        <f aca="false">$CI398</f>
        <v/>
      </c>
      <c r="CX398" s="137" t="str">
        <f aca="false">IF(ISBLANK($C398),"",$CL398)</f>
        <v/>
      </c>
      <c r="CY398" s="140" t="str">
        <f aca="false">IF($CP398&gt;$CO$8,"",VLOOKUP($CP398,$CR$9:$CX$508,7,FALSE()))</f>
        <v/>
      </c>
      <c r="CZ398" s="141" t="str">
        <f aca="false">IF($CP398&gt;$CO$8,"",VLOOKUP($CP398,$CR$9:$CX$508,2,FALSE()))</f>
        <v/>
      </c>
      <c r="DA398" s="141" t="str">
        <f aca="false">IF($CP398&gt;$CO$8,"",VLOOKUP($CP398,$CR$9:$CX$508,3,FALSE()))</f>
        <v/>
      </c>
      <c r="DB398" s="141" t="str">
        <f aca="false">IF($CP398&gt;$CO$8,"",VLOOKUP($CP398,$CR$9:$CX$508,4,FALSE()))</f>
        <v/>
      </c>
      <c r="DC398" s="141" t="str">
        <f aca="false">IF($CP398&gt;$CO$8,"",VLOOKUP($CP398,$CR$9:$CX$508,5,FALSE()))</f>
        <v/>
      </c>
      <c r="DD398" s="142" t="str">
        <f aca="false">IF($CP398&gt;$CO$8,"",VLOOKUP($CP398,$CR$9:$CX$508,6,FALSE()))</f>
        <v/>
      </c>
      <c r="DE398" s="70"/>
    </row>
    <row r="399" customFormat="false" ht="15.75" hidden="false" customHeight="false" outlineLevel="0" collapsed="false">
      <c r="A399" s="8"/>
      <c r="B399" s="72"/>
      <c r="C399" s="73"/>
      <c r="D399" s="155"/>
      <c r="E399" s="162"/>
      <c r="F399" s="157"/>
      <c r="G399" s="77"/>
      <c r="H399" s="77"/>
      <c r="I399" s="77"/>
      <c r="J399" s="163"/>
      <c r="K399" s="161"/>
      <c r="L399" s="161"/>
      <c r="M399" s="80"/>
      <c r="N399" s="161"/>
      <c r="O399" s="160"/>
      <c r="P399" s="161"/>
      <c r="Q399" s="161"/>
      <c r="R399" s="161"/>
      <c r="S399" s="77"/>
      <c r="T399" s="161"/>
      <c r="U399" s="160"/>
      <c r="V399" s="161"/>
      <c r="W399" s="85"/>
      <c r="X399" s="86" t="str">
        <f aca="false">IF(ISBLANK($C399),"",IF($E399=Constants!$B$2,TRUE(),IF($E399=Constants!$B$3,FALSE(),TRUE())))</f>
        <v/>
      </c>
      <c r="Y399" s="86" t="str">
        <f aca="false">IF(ISBLANK($C399),"",IF($F399=Constants!$B$2,TRUE(),IF($F399=Constants!$B$3,FALSE(),TRUE())))</f>
        <v/>
      </c>
      <c r="Z399" s="87" t="str">
        <f aca="false">IF(ISBLANK($C399),"",IF(ISNUMBER($G399),IF($G399&gt;=0,$G399,""),""))</f>
        <v/>
      </c>
      <c r="AA399" s="87" t="str">
        <f aca="false">IF(ISBLANK($C399),"",IF(ISNUMBER($H399),IF($H399&gt;=0,$H399,""),""))</f>
        <v/>
      </c>
      <c r="AB399" s="87" t="str">
        <f aca="false">IF(ISBLANK($C399),"",IF(ISNUMBER($I399),IF($I399&gt;=0,$I399,""),""))</f>
        <v/>
      </c>
      <c r="AC399" s="86" t="str">
        <f aca="false">IF(ISBLANK($C399),"",IF($J399=Constants!$B$2,TRUE(),IF($J399=Constants!$B$3,FALSE(),TRUE())))</f>
        <v/>
      </c>
      <c r="AD399" s="86" t="str">
        <f aca="false">IF(ISBLANK($C399),"",IF($K399=Constants!$B$2,TRUE(),IF($K399=Constants!$B$3,FALSE(),TRUE())))</f>
        <v/>
      </c>
      <c r="AE399" s="86" t="str">
        <f aca="false">IF(ISBLANK($C399),"",IF($L399=Constants!$B$2,TRUE(),IF($L399=Constants!$B$3,FALSE(),TRUE())))</f>
        <v/>
      </c>
      <c r="AF399" s="88" t="str">
        <f aca="false">IF(ISBLANK($C399),"",IF(ISNUMBER($M399),IF($M399&gt;=0,$M399,""),""))</f>
        <v/>
      </c>
      <c r="AG399" s="86" t="str">
        <f aca="false">IF(ISBLANK($C399),"",IF(ISBLANK($N399),0,IF(ISNUMBER($N399),IF(AND($N399&gt;=0,$N399&lt;=Constants!$B$17,$N399=INT($N399)),$N399,""),"")))</f>
        <v/>
      </c>
      <c r="AH399" s="87" t="str">
        <f aca="false">IF(ISBLANK($C399),"",IF(ISBLANK($O399),0,IF(ISNUMBER($O399),IF($O399&gt;=0,$O399,""),"")))</f>
        <v/>
      </c>
      <c r="AI399" s="86" t="str">
        <f aca="false">IF(ISBLANK($C399),"",IF($P399=Constants!$B$2,TRUE(),IF($P399=Constants!$B$3,FALSE(),TRUE())))</f>
        <v/>
      </c>
      <c r="AJ399" s="86" t="str">
        <f aca="false">IF(ISBLANK($C399),"",IF($Q399=Constants!$B$2,TRUE(),IF($Q399=Constants!$B$3,FALSE(),TRUE())))</f>
        <v/>
      </c>
      <c r="AK399" s="86" t="str">
        <f aca="false">IF(ISBLANK($C399),"",IF($R399=Constants!$B$2,TRUE(),IF($R399=Constants!$B$3,FALSE(),TRUE())))</f>
        <v/>
      </c>
      <c r="AL399" s="88" t="str">
        <f aca="false">IF(ISBLANK($C399),"",IF(ISNUMBER($S399),IF($S399&gt;=0,$S399,""),""))</f>
        <v/>
      </c>
      <c r="AM399" s="86" t="str">
        <f aca="false">IF(ISBLANK($C399),"",IF(ISBLANK($T399),0,IF(ISNUMBER($T399),IF(AND($T399&gt;=0,$T399&lt;=Constants!$B$17,$T399=INT($T399)),$T399,""),"")))</f>
        <v/>
      </c>
      <c r="AN399" s="87" t="str">
        <f aca="false">IF(ISBLANK($C399),"",IF(ISBLANK($U399),0,IF(ISNUMBER($U399),IF($U399&gt;=0,$U399,""),"")))</f>
        <v/>
      </c>
      <c r="AO399" s="86" t="str">
        <f aca="false">IF(ISBLANK($C399),"",IF($V399=Constants!$B$2,TRUE(),IF($V399=Constants!$B$3,FALSE(),FALSE())))</f>
        <v/>
      </c>
      <c r="AP399" s="86"/>
      <c r="AQ399" s="85" t="str">
        <f aca="false">IF(ISBLANK($C399),"",AND($Y399,OR($AS399,$BC399),OR($Z399="",$AA399="",$AB399="")))</f>
        <v/>
      </c>
      <c r="AR399" s="85" t="str">
        <f aca="false">IF(ISBLANK($C399),"",IF(OR(NOT($Y399),NOT(OR($AS399,$BC399))),"",IF(ISBLANK($D$7),$AR$5,IF($AP$9="",$AR$6,""))))</f>
        <v/>
      </c>
      <c r="AS399" s="85" t="str">
        <f aca="false">IF(ISBLANK($C399),"",COUNTA($J399:$O399)&gt;0)</f>
        <v/>
      </c>
      <c r="AT399" s="85" t="str">
        <f aca="false">IF(ISBLANK($C399),"",AND($AS399,OR(AND($AF399="",OR($AE399,NOT(ISBLANK($M399)))),$AG399="",$AH399="")))</f>
        <v/>
      </c>
      <c r="AU399" s="87" t="str">
        <f aca="false">IF($BL399&lt;&gt;Constants!$B$4,"",IF(NOT($AS399),"",ROUND((Constants!$B$12-$AB399)+(Constants!$B$13-$Z399)+(Constants!$B$14-$AA399),1)))</f>
        <v/>
      </c>
      <c r="AV399" s="90" t="str">
        <f aca="false">IF($BL399&lt;&gt;Constants!$B$4,"",IF(NOT($AS399),"",IF(NOT($AE399),0,Constants!$B$15*(INT(ROUND(MIN($AF399,$AP$9),6))-INT(ROUND(MAX(0,MIN($AF399,2*$AP$9)-$AP$9),6))))))</f>
        <v/>
      </c>
      <c r="AW399" s="90" t="str">
        <f aca="false">IF($BL399&lt;&gt;Constants!$B$4,"",IF(NOT($AS399),"",Constants!$B$16*$AG399))</f>
        <v/>
      </c>
      <c r="AX399" s="90" t="str">
        <f aca="false">IF($BL399&lt;&gt;Constants!$B$4,"",IF(NOT($AS399),"",Constants!$B$18*INT(ROUND($AH399,6))))</f>
        <v/>
      </c>
      <c r="AY399" s="85" t="str">
        <f aca="false">IF($BL399&lt;&gt;Constants!$B$4,"",IF(NOT($AS399),"",IF(NOT($X399),Constants!$B$11,IF(OR(NOT($AC399),NOT($AD399),ROUND($AB399,1)&gt;Constants!$B$12,ROUND($Z399,1)&gt;Constants!$B$13,ROUND($AA399,1)&gt;Constants!$B$14),Constants!$B$10,Constants!$B$9))))</f>
        <v/>
      </c>
      <c r="AZ399" s="91" t="str">
        <f aca="false">IF($BL399&lt;&gt;Constants!$B$4,"",IF(NOT($AS399),"",ROUND($AU399+$AV399+$AW399+$AX399,1)))</f>
        <v/>
      </c>
      <c r="BA399" s="92" t="str">
        <f aca="false">IF($BL399&lt;&gt;Constants!$B$4,"",IF(NOT($AS399),"",IF(ISNUMBER($AF399),$AF399,0)))</f>
        <v/>
      </c>
      <c r="BB399" s="86" t="str">
        <f aca="false">IF($BL399&lt;&gt;Constants!$B$4,"",IF(NOT($BC399),"&lt;-",IF(NOT($AS399),"-&gt;",IF(OR($BI399&lt;$AY399,AND($BI399=$AY399,OR($BJ399&gt;$AZ399,AND($BJ399=$AZ399,OR($BH399&gt;$AX399,AND($BH399=$AX399,OR($BE399&gt;$AU399,AND($BE399=$AU399,OR($BF399&gt;$AV399,AND($BF399=$AV399,$BK399&gt;$BA399)))))))))),"-&gt;","&lt;-"))))</f>
        <v/>
      </c>
      <c r="BC399" s="85" t="str">
        <f aca="false">IF(ISBLANK($C399),"",COUNTA($P399:$U399)&gt;0)</f>
        <v/>
      </c>
      <c r="BD399" s="85" t="str">
        <f aca="false">IF(ISBLANK($C399),"",AND($BC399,OR(AND($AL399="",OR($AK399,NOT(ISBLANK($S399)))),$AM399="",$AN399="")))</f>
        <v/>
      </c>
      <c r="BE399" s="87" t="str">
        <f aca="false">IF($BL399&lt;&gt;Constants!$B$4,"",IF(NOT($BC399),"",ROUND((Constants!$B$12-$AB399)+(Constants!$B$13-$Z399)+(Constants!$B$14-$AA399),1)))</f>
        <v/>
      </c>
      <c r="BF399" s="90" t="str">
        <f aca="false">IF($BL399&lt;&gt;Constants!$B$4,"",IF(NOT($BC399),"",IF(NOT($AK399),0,Constants!$B$15*(INT(ROUND(MIN($AL399,$AP$9),6))-INT(ROUND(MAX(0,MIN($AL399,2*$AP$9)-$AP$9),6))))))</f>
        <v/>
      </c>
      <c r="BG399" s="90" t="str">
        <f aca="false">IF($BL399&lt;&gt;Constants!$B$4,"",IF(NOT($BC399),"",Constants!$B$16*$AM399))</f>
        <v/>
      </c>
      <c r="BH399" s="90" t="str">
        <f aca="false">IF($BL399&lt;&gt;Constants!$B$4,"",IF(NOT($BC399),"",Constants!$B$18*INT(ROUND($AN399,6))))</f>
        <v/>
      </c>
      <c r="BI399" s="85" t="str">
        <f aca="false">IF($BL399&lt;&gt;Constants!$B$4,"",IF(NOT($BC399),"",IF(NOT($X399),Constants!$B$11,IF(OR(NOT($AI399),NOT($AJ399),ROUND($AB399,1)&gt;Constants!$B$12,ROUND($Z399,1)&gt;Constants!$B$13,ROUND($AA399,1)&gt;Constants!$B$14),Constants!$B$10,Constants!$B$9))))</f>
        <v/>
      </c>
      <c r="BJ399" s="91" t="str">
        <f aca="false">IF($BL399&lt;&gt;Constants!$B$4,"",IF(NOT($BC399),"",ROUND($BE399+$BF399+$BG399+$BH399,1)))</f>
        <v/>
      </c>
      <c r="BK399" s="92" t="str">
        <f aca="false">IF($BL399&lt;&gt;Constants!$B$4,"",IF(NOT($BC399),"",IF(ISNUMBER($AL399),$AL399,0)))</f>
        <v/>
      </c>
      <c r="BL399" s="86" t="str">
        <f aca="false">IF(ISBLANK($C399),"",IF($AO399,Constants!$B$7,IF(COUNTA($E399:$V399)=0,Constants!$B$6,IF(NOT($Y399),Constants!$B$5,IF(NOT(OR($AS399,$BC399)),Constants!$B$5,IF(OR($AT399,$BD399,$AQ399,$AR399&lt;&gt;""),Constants!$B$8,Constants!$B$4))))))</f>
        <v/>
      </c>
      <c r="BM399" s="86" t="str">
        <f aca="false">IF(ISBLANK($C399),"",IF($BL399&lt;&gt;Constants!$B$4,$BL399,IF($BB399="-&gt;",$BI399,$AY399)))</f>
        <v/>
      </c>
      <c r="BN399" s="90" t="str">
        <f aca="false">IF($BL399&lt;&gt;Constants!$B$4,"",IF($BB399="-&gt;",$BJ399,$AZ399))</f>
        <v/>
      </c>
      <c r="BO399" s="90" t="str">
        <f aca="false">IF(ISBLANK($C399),"",IF($BL399&lt;&gt;Constants!$B$4,$BL399,$BN399))</f>
        <v/>
      </c>
      <c r="BP399" s="86" t="str">
        <f aca="false">IF(ISBLANK($C399),"",IF($BL399&lt;&gt;Constants!$B$4,$BL399,RANK($BO399,$BO$9:$BO$508,0)))</f>
        <v/>
      </c>
      <c r="BQ399" s="86" t="str">
        <f aca="false">IF(ISBLANK($C399),"",IF($BL399&lt;&gt;Constants!$B$4,$BL399,COUNTIFS($BM$9:$BM$508,"&lt;"&amp;$BM399)+COUNTIFS($BM$9:$BM$508,$BM399,$BP$9:$BP$508,"&lt;"&amp;$BP399)+1))</f>
        <v/>
      </c>
      <c r="BR399" s="90" t="str">
        <f aca="false">IF($BL399&lt;&gt;Constants!$B$4,"",IF($BB399="-&gt;",$BH399,$AX399))</f>
        <v/>
      </c>
      <c r="BS399" s="86" t="str">
        <f aca="false">IF(ISBLANK($C399),"",IF($BL399&lt;&gt;Constants!$B$4,$BL399,IF(ISNUMBER($BR399),RANK($BR399,$BR$9:$BR$508,0),COUNT($BR$9:$BR$508)+1)))</f>
        <v/>
      </c>
      <c r="BT399" s="90" t="str">
        <f aca="false">IF($BL399&lt;&gt;Constants!$B$4,"",IF($BB399="-&gt;",$BE399,$AU399))</f>
        <v/>
      </c>
      <c r="BU399" s="86" t="str">
        <f aca="false">IF(ISBLANK($C399),"",IF($BL399&lt;&gt;Constants!$B$4,$BL399,IF(ISNUMBER($BT399),RANK($BT399,$BT$9:$BT$508,0),COUNT($BT$9:$BT$508)+1)))</f>
        <v/>
      </c>
      <c r="BV399" s="90" t="str">
        <f aca="false">IF($BL399&lt;&gt;Constants!$B$4,"",IF($BB399="-&gt;",$BF399,$AV399))</f>
        <v/>
      </c>
      <c r="BW399" s="86" t="str">
        <f aca="false">IF(ISBLANK($C399),"",IF($BL399&lt;&gt;Constants!$B$4,$BL399,IF(ISNUMBER($BV399),RANK($BV399,$BV$9:$BV$508,0),COUNT($BV$9:$BV$508)+1)))</f>
        <v/>
      </c>
      <c r="BX399" s="90" t="str">
        <f aca="false">IF($BL399&lt;&gt;Constants!$B$4,"",IF($BB399="-&gt;",$BK399,$BA399))</f>
        <v/>
      </c>
      <c r="BY399" s="86" t="str">
        <f aca="false">IF(ISBLANK($C399),"",IF($BL399&lt;&gt;Constants!$B$4,$BL399,IF(ISNUMBER($BX399),RANK($BX399,$BX$9:$BX$508,0),COUNT($BX$9:$BX$508)+1)))</f>
        <v/>
      </c>
      <c r="BZ399" s="86" t="str">
        <f aca="false">IF(ISBLANK($C399),"",IF($BL399&lt;&gt;Constants!$B$4,$BL399,COUNTIFS($BM$9:$BM$508,"&lt;"&amp;$BM399)+COUNTIFS($BM$9:$BM$508,$BM399,$BP$9:$BP$508,"&lt;"&amp;$BP399)+COUNTIFS($BM$9:$BM$508,$BM399,$BP$9:$BP$508,$BP399,$BS$9:$BS$508,"&lt;"&amp;$BS399)+COUNTIFS($BM$9:$BM$508,$BM399,$BP$9:$BP$508,$BP399,$BS$9:$BS$508,$BS399,$BU$9:$BU$508,"&lt;"&amp;$BU399)+COUNTIFS($BM$9:$BM$508,$BM399,$BP$9:$BP$508,$BP399,$BS$9:$BS$508,$BS399,$BU$9:$BU$508,$BU399,$BW$9:$BW$508,"&lt;"&amp;$BW399)+COUNTIFS($BM$9:$BM$508,$BM399,$BP$9:$BP$508,$BP399,$BS$9:$BS$508,$BS399,$BU$9:$BU$508,$BU399,$BW$9:$BW$508,$BW399,$BY$9:$BY$508,"&lt;"&amp;$BY399)+1))</f>
        <v/>
      </c>
      <c r="CA399" s="86" t="str">
        <f aca="false">IF(ISBLANK($C399),"",IF($BL399&lt;&gt;Constants!$B$4,$BL399,$BQ399-$BZ399))</f>
        <v/>
      </c>
      <c r="CB399" s="93"/>
      <c r="CC399" s="94" t="str">
        <f aca="false">IF(ISBLANK($C399),"",IF($BL399=Constants!$B$8,$AR399,""))</f>
        <v/>
      </c>
      <c r="CD399" s="94" t="str">
        <f aca="false">IF(ISBLANK($C399),"",IF($BL399&lt;&gt;Constants!$B$4,"",IF($BB399="-&gt;",2,1)))</f>
        <v/>
      </c>
      <c r="CE399" s="95" t="str">
        <f aca="false">IF(ISBLANK($C399),"",IF($BL399&lt;&gt;Constants!$B$4,"",IF($BB399="-&gt;",$BE399,$AU399)))</f>
        <v/>
      </c>
      <c r="CF399" s="95" t="str">
        <f aca="false">IF(ISBLANK($C399),"",IF($BL399&lt;&gt;Constants!$B$4,"",IF($BB399="-&gt;",$BF399,$AV399)))</f>
        <v/>
      </c>
      <c r="CG399" s="95" t="str">
        <f aca="false">IF(ISBLANK($C399),"",IF($BL399&lt;&gt;Constants!$B$4,"",IF($BB399="-&gt;",$BG399,$AW399)))</f>
        <v/>
      </c>
      <c r="CH399" s="95" t="str">
        <f aca="false">IF(ISBLANK($C399),"",IF($BL399&lt;&gt;Constants!$B$4,"",IF($BB399="-&gt;",$BH399,$AX399)))</f>
        <v/>
      </c>
      <c r="CI399" s="96" t="str">
        <f aca="false">IF(ISBLANK($C399),"",$BO399)</f>
        <v/>
      </c>
      <c r="CJ399" s="97" t="str">
        <f aca="false">IF(ISBLANK($C399),"",$BM399)</f>
        <v/>
      </c>
      <c r="CK399" s="98" t="str">
        <f aca="false">IF(ISBLANK($C399),"",$CA399)</f>
        <v/>
      </c>
      <c r="CL399" s="98" t="str">
        <f aca="false">IF(ISBLANK($C399),"",$BZ399)</f>
        <v/>
      </c>
      <c r="CM399" s="99" t="str">
        <f aca="false">IF(ISBLANK($C399),"",IF($CL399=Constants!$B$7,COUNTA($C$9:$C$508)+2,IF($CL399=Constants!$B$6,COUNTA($C$9:$C$508)+1,IF($CL399=Constants!$B$5,COUNTA($C$9:$C$508),$CL399))))</f>
        <v/>
      </c>
      <c r="CN399" s="8"/>
      <c r="CO399" s="100" t="n">
        <f aca="false">IF(OR(ISNUMBER($CL399),$CL399=Constants!$B$7,$CL399=Constants!$B$5,$CL399=Constants!$B$6),1,0)</f>
        <v>0</v>
      </c>
      <c r="CP399" s="100" t="n">
        <v>391</v>
      </c>
      <c r="CQ399" s="100" t="str">
        <f aca="false">IF(ISBLANK($C399),"",IF(ISNUMBER($CM399),$CM399+ROW($B399)/1000,""))</f>
        <v/>
      </c>
      <c r="CR399" s="100" t="str">
        <f aca="false">IF(ISNUMBER($CQ399),RANK($CQ399,$CQ$9:$CQ$508,1),"")</f>
        <v/>
      </c>
      <c r="CS399" s="100" t="str">
        <f aca="false">IF(ISBLANK($C399),"",$B399)</f>
        <v/>
      </c>
      <c r="CT399" s="100" t="str">
        <f aca="false">IF(ISBLANK($C399),"",$C399)</f>
        <v/>
      </c>
      <c r="CU399" s="100" t="str">
        <f aca="false">IF(ISBLANK($C399),"",$D399)</f>
        <v/>
      </c>
      <c r="CV399" s="101" t="str">
        <f aca="false">$CJ399</f>
        <v/>
      </c>
      <c r="CW399" s="102" t="str">
        <f aca="false">$CI399</f>
        <v/>
      </c>
      <c r="CX399" s="100" t="str">
        <f aca="false">IF(ISBLANK($C399),"",$CL399)</f>
        <v/>
      </c>
      <c r="CY399" s="103" t="str">
        <f aca="false">IF($CP399&gt;$CO$8,"",VLOOKUP($CP399,$CR$9:$CX$508,7,FALSE()))</f>
        <v/>
      </c>
      <c r="CZ399" s="104" t="str">
        <f aca="false">IF($CP399&gt;$CO$8,"",VLOOKUP($CP399,$CR$9:$CX$508,2,FALSE()))</f>
        <v/>
      </c>
      <c r="DA399" s="104" t="str">
        <f aca="false">IF($CP399&gt;$CO$8,"",VLOOKUP($CP399,$CR$9:$CX$508,3,FALSE()))</f>
        <v/>
      </c>
      <c r="DB399" s="104" t="str">
        <f aca="false">IF($CP399&gt;$CO$8,"",VLOOKUP($CP399,$CR$9:$CX$508,4,FALSE()))</f>
        <v/>
      </c>
      <c r="DC399" s="104" t="str">
        <f aca="false">IF($CP399&gt;$CO$8,"",VLOOKUP($CP399,$CR$9:$CX$508,5,FALSE()))</f>
        <v/>
      </c>
      <c r="DD399" s="105" t="str">
        <f aca="false">IF($CP399&gt;$CO$8,"",VLOOKUP($CP399,$CR$9:$CX$508,6,FALSE()))</f>
        <v/>
      </c>
      <c r="DE399" s="70"/>
    </row>
    <row r="400" customFormat="false" ht="15.75" hidden="false" customHeight="false" outlineLevel="0" collapsed="false">
      <c r="A400" s="8"/>
      <c r="B400" s="72"/>
      <c r="C400" s="73"/>
      <c r="D400" s="155"/>
      <c r="E400" s="162"/>
      <c r="F400" s="157"/>
      <c r="G400" s="77"/>
      <c r="H400" s="77"/>
      <c r="I400" s="77"/>
      <c r="J400" s="163"/>
      <c r="K400" s="161"/>
      <c r="L400" s="161"/>
      <c r="M400" s="80"/>
      <c r="N400" s="161"/>
      <c r="O400" s="160"/>
      <c r="P400" s="161"/>
      <c r="Q400" s="161"/>
      <c r="R400" s="161"/>
      <c r="S400" s="77"/>
      <c r="T400" s="161"/>
      <c r="U400" s="160"/>
      <c r="V400" s="161"/>
      <c r="W400" s="85"/>
      <c r="X400" s="86" t="str">
        <f aca="false">IF(ISBLANK($C400),"",IF($E400=Constants!$B$2,TRUE(),IF($E400=Constants!$B$3,FALSE(),TRUE())))</f>
        <v/>
      </c>
      <c r="Y400" s="86" t="str">
        <f aca="false">IF(ISBLANK($C400),"",IF($F400=Constants!$B$2,TRUE(),IF($F400=Constants!$B$3,FALSE(),TRUE())))</f>
        <v/>
      </c>
      <c r="Z400" s="87" t="str">
        <f aca="false">IF(ISBLANK($C400),"",IF(ISNUMBER($G400),IF($G400&gt;=0,$G400,""),""))</f>
        <v/>
      </c>
      <c r="AA400" s="87" t="str">
        <f aca="false">IF(ISBLANK($C400),"",IF(ISNUMBER($H400),IF($H400&gt;=0,$H400,""),""))</f>
        <v/>
      </c>
      <c r="AB400" s="87" t="str">
        <f aca="false">IF(ISBLANK($C400),"",IF(ISNUMBER($I400),IF($I400&gt;=0,$I400,""),""))</f>
        <v/>
      </c>
      <c r="AC400" s="86" t="str">
        <f aca="false">IF(ISBLANK($C400),"",IF($J400=Constants!$B$2,TRUE(),IF($J400=Constants!$B$3,FALSE(),TRUE())))</f>
        <v/>
      </c>
      <c r="AD400" s="86" t="str">
        <f aca="false">IF(ISBLANK($C400),"",IF($K400=Constants!$B$2,TRUE(),IF($K400=Constants!$B$3,FALSE(),TRUE())))</f>
        <v/>
      </c>
      <c r="AE400" s="86" t="str">
        <f aca="false">IF(ISBLANK($C400),"",IF($L400=Constants!$B$2,TRUE(),IF($L400=Constants!$B$3,FALSE(),TRUE())))</f>
        <v/>
      </c>
      <c r="AF400" s="88" t="str">
        <f aca="false">IF(ISBLANK($C400),"",IF(ISNUMBER($M400),IF($M400&gt;=0,$M400,""),""))</f>
        <v/>
      </c>
      <c r="AG400" s="86" t="str">
        <f aca="false">IF(ISBLANK($C400),"",IF(ISBLANK($N400),0,IF(ISNUMBER($N400),IF(AND($N400&gt;=0,$N400&lt;=Constants!$B$17,$N400=INT($N400)),$N400,""),"")))</f>
        <v/>
      </c>
      <c r="AH400" s="87" t="str">
        <f aca="false">IF(ISBLANK($C400),"",IF(ISBLANK($O400),0,IF(ISNUMBER($O400),IF($O400&gt;=0,$O400,""),"")))</f>
        <v/>
      </c>
      <c r="AI400" s="86" t="str">
        <f aca="false">IF(ISBLANK($C400),"",IF($P400=Constants!$B$2,TRUE(),IF($P400=Constants!$B$3,FALSE(),TRUE())))</f>
        <v/>
      </c>
      <c r="AJ400" s="86" t="str">
        <f aca="false">IF(ISBLANK($C400),"",IF($Q400=Constants!$B$2,TRUE(),IF($Q400=Constants!$B$3,FALSE(),TRUE())))</f>
        <v/>
      </c>
      <c r="AK400" s="86" t="str">
        <f aca="false">IF(ISBLANK($C400),"",IF($R400=Constants!$B$2,TRUE(),IF($R400=Constants!$B$3,FALSE(),TRUE())))</f>
        <v/>
      </c>
      <c r="AL400" s="88" t="str">
        <f aca="false">IF(ISBLANK($C400),"",IF(ISNUMBER($S400),IF($S400&gt;=0,$S400,""),""))</f>
        <v/>
      </c>
      <c r="AM400" s="86" t="str">
        <f aca="false">IF(ISBLANK($C400),"",IF(ISBLANK($T400),0,IF(ISNUMBER($T400),IF(AND($T400&gt;=0,$T400&lt;=Constants!$B$17,$T400=INT($T400)),$T400,""),"")))</f>
        <v/>
      </c>
      <c r="AN400" s="87" t="str">
        <f aca="false">IF(ISBLANK($C400),"",IF(ISBLANK($U400),0,IF(ISNUMBER($U400),IF($U400&gt;=0,$U400,""),"")))</f>
        <v/>
      </c>
      <c r="AO400" s="86" t="str">
        <f aca="false">IF(ISBLANK($C400),"",IF($V400=Constants!$B$2,TRUE(),IF($V400=Constants!$B$3,FALSE(),FALSE())))</f>
        <v/>
      </c>
      <c r="AP400" s="86"/>
      <c r="AQ400" s="85" t="str">
        <f aca="false">IF(ISBLANK($C400),"",AND($Y400,OR($AS400,$BC400),OR($Z400="",$AA400="",$AB400="")))</f>
        <v/>
      </c>
      <c r="AR400" s="85" t="str">
        <f aca="false">IF(ISBLANK($C400),"",IF(OR(NOT($Y400),NOT(OR($AS400,$BC400))),"",IF(ISBLANK($D$7),$AR$5,IF($AP$9="",$AR$6,""))))</f>
        <v/>
      </c>
      <c r="AS400" s="85" t="str">
        <f aca="false">IF(ISBLANK($C400),"",COUNTA($J400:$O400)&gt;0)</f>
        <v/>
      </c>
      <c r="AT400" s="85" t="str">
        <f aca="false">IF(ISBLANK($C400),"",AND($AS400,OR(AND($AF400="",OR($AE400,NOT(ISBLANK($M400)))),$AG400="",$AH400="")))</f>
        <v/>
      </c>
      <c r="AU400" s="87" t="str">
        <f aca="false">IF($BL400&lt;&gt;Constants!$B$4,"",IF(NOT($AS400),"",ROUND((Constants!$B$12-$AB400)+(Constants!$B$13-$Z400)+(Constants!$B$14-$AA400),1)))</f>
        <v/>
      </c>
      <c r="AV400" s="90" t="str">
        <f aca="false">IF($BL400&lt;&gt;Constants!$B$4,"",IF(NOT($AS400),"",IF(NOT($AE400),0,Constants!$B$15*(INT(ROUND(MIN($AF400,$AP$9),6))-INT(ROUND(MAX(0,MIN($AF400,2*$AP$9)-$AP$9),6))))))</f>
        <v/>
      </c>
      <c r="AW400" s="90" t="str">
        <f aca="false">IF($BL400&lt;&gt;Constants!$B$4,"",IF(NOT($AS400),"",Constants!$B$16*$AG400))</f>
        <v/>
      </c>
      <c r="AX400" s="90" t="str">
        <f aca="false">IF($BL400&lt;&gt;Constants!$B$4,"",IF(NOT($AS400),"",Constants!$B$18*INT(ROUND($AH400,6))))</f>
        <v/>
      </c>
      <c r="AY400" s="85" t="str">
        <f aca="false">IF($BL400&lt;&gt;Constants!$B$4,"",IF(NOT($AS400),"",IF(NOT($X400),Constants!$B$11,IF(OR(NOT($AC400),NOT($AD400),ROUND($AB400,1)&gt;Constants!$B$12,ROUND($Z400,1)&gt;Constants!$B$13,ROUND($AA400,1)&gt;Constants!$B$14),Constants!$B$10,Constants!$B$9))))</f>
        <v/>
      </c>
      <c r="AZ400" s="91" t="str">
        <f aca="false">IF($BL400&lt;&gt;Constants!$B$4,"",IF(NOT($AS400),"",ROUND($AU400+$AV400+$AW400+$AX400,1)))</f>
        <v/>
      </c>
      <c r="BA400" s="92" t="str">
        <f aca="false">IF($BL400&lt;&gt;Constants!$B$4,"",IF(NOT($AS400),"",IF(ISNUMBER($AF400),$AF400,0)))</f>
        <v/>
      </c>
      <c r="BB400" s="86" t="str">
        <f aca="false">IF($BL400&lt;&gt;Constants!$B$4,"",IF(NOT($BC400),"&lt;-",IF(NOT($AS400),"-&gt;",IF(OR($BI400&lt;$AY400,AND($BI400=$AY400,OR($BJ400&gt;$AZ400,AND($BJ400=$AZ400,OR($BH400&gt;$AX400,AND($BH400=$AX400,OR($BE400&gt;$AU400,AND($BE400=$AU400,OR($BF400&gt;$AV400,AND($BF400=$AV400,$BK400&gt;$BA400)))))))))),"-&gt;","&lt;-"))))</f>
        <v/>
      </c>
      <c r="BC400" s="85" t="str">
        <f aca="false">IF(ISBLANK($C400),"",COUNTA($P400:$U400)&gt;0)</f>
        <v/>
      </c>
      <c r="BD400" s="85" t="str">
        <f aca="false">IF(ISBLANK($C400),"",AND($BC400,OR(AND($AL400="",OR($AK400,NOT(ISBLANK($S400)))),$AM400="",$AN400="")))</f>
        <v/>
      </c>
      <c r="BE400" s="87" t="str">
        <f aca="false">IF($BL400&lt;&gt;Constants!$B$4,"",IF(NOT($BC400),"",ROUND((Constants!$B$12-$AB400)+(Constants!$B$13-$Z400)+(Constants!$B$14-$AA400),1)))</f>
        <v/>
      </c>
      <c r="BF400" s="90" t="str">
        <f aca="false">IF($BL400&lt;&gt;Constants!$B$4,"",IF(NOT($BC400),"",IF(NOT($AK400),0,Constants!$B$15*(INT(ROUND(MIN($AL400,$AP$9),6))-INT(ROUND(MAX(0,MIN($AL400,2*$AP$9)-$AP$9),6))))))</f>
        <v/>
      </c>
      <c r="BG400" s="90" t="str">
        <f aca="false">IF($BL400&lt;&gt;Constants!$B$4,"",IF(NOT($BC400),"",Constants!$B$16*$AM400))</f>
        <v/>
      </c>
      <c r="BH400" s="90" t="str">
        <f aca="false">IF($BL400&lt;&gt;Constants!$B$4,"",IF(NOT($BC400),"",Constants!$B$18*INT(ROUND($AN400,6))))</f>
        <v/>
      </c>
      <c r="BI400" s="85" t="str">
        <f aca="false">IF($BL400&lt;&gt;Constants!$B$4,"",IF(NOT($BC400),"",IF(NOT($X400),Constants!$B$11,IF(OR(NOT($AI400),NOT($AJ400),ROUND($AB400,1)&gt;Constants!$B$12,ROUND($Z400,1)&gt;Constants!$B$13,ROUND($AA400,1)&gt;Constants!$B$14),Constants!$B$10,Constants!$B$9))))</f>
        <v/>
      </c>
      <c r="BJ400" s="91" t="str">
        <f aca="false">IF($BL400&lt;&gt;Constants!$B$4,"",IF(NOT($BC400),"",ROUND($BE400+$BF400+$BG400+$BH400,1)))</f>
        <v/>
      </c>
      <c r="BK400" s="92" t="str">
        <f aca="false">IF($BL400&lt;&gt;Constants!$B$4,"",IF(NOT($BC400),"",IF(ISNUMBER($AL400),$AL400,0)))</f>
        <v/>
      </c>
      <c r="BL400" s="86" t="str">
        <f aca="false">IF(ISBLANK($C400),"",IF($AO400,Constants!$B$7,IF(COUNTA($E400:$V400)=0,Constants!$B$6,IF(NOT($Y400),Constants!$B$5,IF(NOT(OR($AS400,$BC400)),Constants!$B$5,IF(OR($AT400,$BD400,$AQ400,$AR400&lt;&gt;""),Constants!$B$8,Constants!$B$4))))))</f>
        <v/>
      </c>
      <c r="BM400" s="86" t="str">
        <f aca="false">IF(ISBLANK($C400),"",IF($BL400&lt;&gt;Constants!$B$4,$BL400,IF($BB400="-&gt;",$BI400,$AY400)))</f>
        <v/>
      </c>
      <c r="BN400" s="90" t="str">
        <f aca="false">IF($BL400&lt;&gt;Constants!$B$4,"",IF($BB400="-&gt;",$BJ400,$AZ400))</f>
        <v/>
      </c>
      <c r="BO400" s="90" t="str">
        <f aca="false">IF(ISBLANK($C400),"",IF($BL400&lt;&gt;Constants!$B$4,$BL400,$BN400))</f>
        <v/>
      </c>
      <c r="BP400" s="86" t="str">
        <f aca="false">IF(ISBLANK($C400),"",IF($BL400&lt;&gt;Constants!$B$4,$BL400,RANK($BO400,$BO$9:$BO$508,0)))</f>
        <v/>
      </c>
      <c r="BQ400" s="86" t="str">
        <f aca="false">IF(ISBLANK($C400),"",IF($BL400&lt;&gt;Constants!$B$4,$BL400,COUNTIFS($BM$9:$BM$508,"&lt;"&amp;$BM400)+COUNTIFS($BM$9:$BM$508,$BM400,$BP$9:$BP$508,"&lt;"&amp;$BP400)+1))</f>
        <v/>
      </c>
      <c r="BR400" s="90" t="str">
        <f aca="false">IF($BL400&lt;&gt;Constants!$B$4,"",IF($BB400="-&gt;",$BH400,$AX400))</f>
        <v/>
      </c>
      <c r="BS400" s="86" t="str">
        <f aca="false">IF(ISBLANK($C400),"",IF($BL400&lt;&gt;Constants!$B$4,$BL400,IF(ISNUMBER($BR400),RANK($BR400,$BR$9:$BR$508,0),COUNT($BR$9:$BR$508)+1)))</f>
        <v/>
      </c>
      <c r="BT400" s="90" t="str">
        <f aca="false">IF($BL400&lt;&gt;Constants!$B$4,"",IF($BB400="-&gt;",$BE400,$AU400))</f>
        <v/>
      </c>
      <c r="BU400" s="86" t="str">
        <f aca="false">IF(ISBLANK($C400),"",IF($BL400&lt;&gt;Constants!$B$4,$BL400,IF(ISNUMBER($BT400),RANK($BT400,$BT$9:$BT$508,0),COUNT($BT$9:$BT$508)+1)))</f>
        <v/>
      </c>
      <c r="BV400" s="90" t="str">
        <f aca="false">IF($BL400&lt;&gt;Constants!$B$4,"",IF($BB400="-&gt;",$BF400,$AV400))</f>
        <v/>
      </c>
      <c r="BW400" s="86" t="str">
        <f aca="false">IF(ISBLANK($C400),"",IF($BL400&lt;&gt;Constants!$B$4,$BL400,IF(ISNUMBER($BV400),RANK($BV400,$BV$9:$BV$508,0),COUNT($BV$9:$BV$508)+1)))</f>
        <v/>
      </c>
      <c r="BX400" s="90" t="str">
        <f aca="false">IF($BL400&lt;&gt;Constants!$B$4,"",IF($BB400="-&gt;",$BK400,$BA400))</f>
        <v/>
      </c>
      <c r="BY400" s="86" t="str">
        <f aca="false">IF(ISBLANK($C400),"",IF($BL400&lt;&gt;Constants!$B$4,$BL400,IF(ISNUMBER($BX400),RANK($BX400,$BX$9:$BX$508,0),COUNT($BX$9:$BX$508)+1)))</f>
        <v/>
      </c>
      <c r="BZ400" s="86" t="str">
        <f aca="false">IF(ISBLANK($C400),"",IF($BL400&lt;&gt;Constants!$B$4,$BL400,COUNTIFS($BM$9:$BM$508,"&lt;"&amp;$BM400)+COUNTIFS($BM$9:$BM$508,$BM400,$BP$9:$BP$508,"&lt;"&amp;$BP400)+COUNTIFS($BM$9:$BM$508,$BM400,$BP$9:$BP$508,$BP400,$BS$9:$BS$508,"&lt;"&amp;$BS400)+COUNTIFS($BM$9:$BM$508,$BM400,$BP$9:$BP$508,$BP400,$BS$9:$BS$508,$BS400,$BU$9:$BU$508,"&lt;"&amp;$BU400)+COUNTIFS($BM$9:$BM$508,$BM400,$BP$9:$BP$508,$BP400,$BS$9:$BS$508,$BS400,$BU$9:$BU$508,$BU400,$BW$9:$BW$508,"&lt;"&amp;$BW400)+COUNTIFS($BM$9:$BM$508,$BM400,$BP$9:$BP$508,$BP400,$BS$9:$BS$508,$BS400,$BU$9:$BU$508,$BU400,$BW$9:$BW$508,$BW400,$BY$9:$BY$508,"&lt;"&amp;$BY400)+1))</f>
        <v/>
      </c>
      <c r="CA400" s="86" t="str">
        <f aca="false">IF(ISBLANK($C400),"",IF($BL400&lt;&gt;Constants!$B$4,$BL400,$BQ400-$BZ400))</f>
        <v/>
      </c>
      <c r="CB400" s="93"/>
      <c r="CC400" s="94" t="str">
        <f aca="false">IF(ISBLANK($C400),"",IF($BL400=Constants!$B$8,$AR400,""))</f>
        <v/>
      </c>
      <c r="CD400" s="94" t="str">
        <f aca="false">IF(ISBLANK($C400),"",IF($BL400&lt;&gt;Constants!$B$4,"",IF($BB400="-&gt;",2,1)))</f>
        <v/>
      </c>
      <c r="CE400" s="95" t="str">
        <f aca="false">IF(ISBLANK($C400),"",IF($BL400&lt;&gt;Constants!$B$4,"",IF($BB400="-&gt;",$BE400,$AU400)))</f>
        <v/>
      </c>
      <c r="CF400" s="95" t="str">
        <f aca="false">IF(ISBLANK($C400),"",IF($BL400&lt;&gt;Constants!$B$4,"",IF($BB400="-&gt;",$BF400,$AV400)))</f>
        <v/>
      </c>
      <c r="CG400" s="95" t="str">
        <f aca="false">IF(ISBLANK($C400),"",IF($BL400&lt;&gt;Constants!$B$4,"",IF($BB400="-&gt;",$BG400,$AW400)))</f>
        <v/>
      </c>
      <c r="CH400" s="95" t="str">
        <f aca="false">IF(ISBLANK($C400),"",IF($BL400&lt;&gt;Constants!$B$4,"",IF($BB400="-&gt;",$BH400,$AX400)))</f>
        <v/>
      </c>
      <c r="CI400" s="96" t="str">
        <f aca="false">IF(ISBLANK($C400),"",$BO400)</f>
        <v/>
      </c>
      <c r="CJ400" s="97" t="str">
        <f aca="false">IF(ISBLANK($C400),"",$BM400)</f>
        <v/>
      </c>
      <c r="CK400" s="98" t="str">
        <f aca="false">IF(ISBLANK($C400),"",$CA400)</f>
        <v/>
      </c>
      <c r="CL400" s="98" t="str">
        <f aca="false">IF(ISBLANK($C400),"",$BZ400)</f>
        <v/>
      </c>
      <c r="CM400" s="99" t="str">
        <f aca="false">IF(ISBLANK($C400),"",IF($CL400=Constants!$B$7,COUNTA($C$9:$C$508)+2,IF($CL400=Constants!$B$6,COUNTA($C$9:$C$508)+1,IF($CL400=Constants!$B$5,COUNTA($C$9:$C$508),$CL400))))</f>
        <v/>
      </c>
      <c r="CN400" s="8"/>
      <c r="CO400" s="100" t="n">
        <f aca="false">IF(OR(ISNUMBER($CL400),$CL400=Constants!$B$7,$CL400=Constants!$B$5,$CL400=Constants!$B$6),1,0)</f>
        <v>0</v>
      </c>
      <c r="CP400" s="100" t="n">
        <v>392</v>
      </c>
      <c r="CQ400" s="100" t="str">
        <f aca="false">IF(ISBLANK($C400),"",IF(ISNUMBER($CM400),$CM400+ROW($B400)/1000,""))</f>
        <v/>
      </c>
      <c r="CR400" s="100" t="str">
        <f aca="false">IF(ISNUMBER($CQ400),RANK($CQ400,$CQ$9:$CQ$508,1),"")</f>
        <v/>
      </c>
      <c r="CS400" s="100" t="str">
        <f aca="false">IF(ISBLANK($C400),"",$B400)</f>
        <v/>
      </c>
      <c r="CT400" s="100" t="str">
        <f aca="false">IF(ISBLANK($C400),"",$C400)</f>
        <v/>
      </c>
      <c r="CU400" s="100" t="str">
        <f aca="false">IF(ISBLANK($C400),"",$D400)</f>
        <v/>
      </c>
      <c r="CV400" s="101" t="str">
        <f aca="false">$CJ400</f>
        <v/>
      </c>
      <c r="CW400" s="102" t="str">
        <f aca="false">$CI400</f>
        <v/>
      </c>
      <c r="CX400" s="100" t="str">
        <f aca="false">IF(ISBLANK($C400),"",$CL400)</f>
        <v/>
      </c>
      <c r="CY400" s="103" t="str">
        <f aca="false">IF($CP400&gt;$CO$8,"",VLOOKUP($CP400,$CR$9:$CX$508,7,FALSE()))</f>
        <v/>
      </c>
      <c r="CZ400" s="104" t="str">
        <f aca="false">IF($CP400&gt;$CO$8,"",VLOOKUP($CP400,$CR$9:$CX$508,2,FALSE()))</f>
        <v/>
      </c>
      <c r="DA400" s="104" t="str">
        <f aca="false">IF($CP400&gt;$CO$8,"",VLOOKUP($CP400,$CR$9:$CX$508,3,FALSE()))</f>
        <v/>
      </c>
      <c r="DB400" s="104" t="str">
        <f aca="false">IF($CP400&gt;$CO$8,"",VLOOKUP($CP400,$CR$9:$CX$508,4,FALSE()))</f>
        <v/>
      </c>
      <c r="DC400" s="104" t="str">
        <f aca="false">IF($CP400&gt;$CO$8,"",VLOOKUP($CP400,$CR$9:$CX$508,5,FALSE()))</f>
        <v/>
      </c>
      <c r="DD400" s="105" t="str">
        <f aca="false">IF($CP400&gt;$CO$8,"",VLOOKUP($CP400,$CR$9:$CX$508,6,FALSE()))</f>
        <v/>
      </c>
      <c r="DE400" s="70"/>
    </row>
    <row r="401" customFormat="false" ht="15.75" hidden="false" customHeight="false" outlineLevel="0" collapsed="false">
      <c r="A401" s="8"/>
      <c r="B401" s="72"/>
      <c r="C401" s="73"/>
      <c r="D401" s="155"/>
      <c r="E401" s="162"/>
      <c r="F401" s="157"/>
      <c r="G401" s="77"/>
      <c r="H401" s="77"/>
      <c r="I401" s="77"/>
      <c r="J401" s="163"/>
      <c r="K401" s="161"/>
      <c r="L401" s="161"/>
      <c r="M401" s="80"/>
      <c r="N401" s="161"/>
      <c r="O401" s="160"/>
      <c r="P401" s="161"/>
      <c r="Q401" s="161"/>
      <c r="R401" s="161"/>
      <c r="S401" s="77"/>
      <c r="T401" s="161"/>
      <c r="U401" s="160"/>
      <c r="V401" s="161"/>
      <c r="W401" s="85"/>
      <c r="X401" s="86" t="str">
        <f aca="false">IF(ISBLANK($C401),"",IF($E401=Constants!$B$2,TRUE(),IF($E401=Constants!$B$3,FALSE(),TRUE())))</f>
        <v/>
      </c>
      <c r="Y401" s="86" t="str">
        <f aca="false">IF(ISBLANK($C401),"",IF($F401=Constants!$B$2,TRUE(),IF($F401=Constants!$B$3,FALSE(),TRUE())))</f>
        <v/>
      </c>
      <c r="Z401" s="87" t="str">
        <f aca="false">IF(ISBLANK($C401),"",IF(ISNUMBER($G401),IF($G401&gt;=0,$G401,""),""))</f>
        <v/>
      </c>
      <c r="AA401" s="87" t="str">
        <f aca="false">IF(ISBLANK($C401),"",IF(ISNUMBER($H401),IF($H401&gt;=0,$H401,""),""))</f>
        <v/>
      </c>
      <c r="AB401" s="87" t="str">
        <f aca="false">IF(ISBLANK($C401),"",IF(ISNUMBER($I401),IF($I401&gt;=0,$I401,""),""))</f>
        <v/>
      </c>
      <c r="AC401" s="86" t="str">
        <f aca="false">IF(ISBLANK($C401),"",IF($J401=Constants!$B$2,TRUE(),IF($J401=Constants!$B$3,FALSE(),TRUE())))</f>
        <v/>
      </c>
      <c r="AD401" s="86" t="str">
        <f aca="false">IF(ISBLANK($C401),"",IF($K401=Constants!$B$2,TRUE(),IF($K401=Constants!$B$3,FALSE(),TRUE())))</f>
        <v/>
      </c>
      <c r="AE401" s="86" t="str">
        <f aca="false">IF(ISBLANK($C401),"",IF($L401=Constants!$B$2,TRUE(),IF($L401=Constants!$B$3,FALSE(),TRUE())))</f>
        <v/>
      </c>
      <c r="AF401" s="88" t="str">
        <f aca="false">IF(ISBLANK($C401),"",IF(ISNUMBER($M401),IF($M401&gt;=0,$M401,""),""))</f>
        <v/>
      </c>
      <c r="AG401" s="86" t="str">
        <f aca="false">IF(ISBLANK($C401),"",IF(ISBLANK($N401),0,IF(ISNUMBER($N401),IF(AND($N401&gt;=0,$N401&lt;=Constants!$B$17,$N401=INT($N401)),$N401,""),"")))</f>
        <v/>
      </c>
      <c r="AH401" s="87" t="str">
        <f aca="false">IF(ISBLANK($C401),"",IF(ISBLANK($O401),0,IF(ISNUMBER($O401),IF($O401&gt;=0,$O401,""),"")))</f>
        <v/>
      </c>
      <c r="AI401" s="86" t="str">
        <f aca="false">IF(ISBLANK($C401),"",IF($P401=Constants!$B$2,TRUE(),IF($P401=Constants!$B$3,FALSE(),TRUE())))</f>
        <v/>
      </c>
      <c r="AJ401" s="86" t="str">
        <f aca="false">IF(ISBLANK($C401),"",IF($Q401=Constants!$B$2,TRUE(),IF($Q401=Constants!$B$3,FALSE(),TRUE())))</f>
        <v/>
      </c>
      <c r="AK401" s="86" t="str">
        <f aca="false">IF(ISBLANK($C401),"",IF($R401=Constants!$B$2,TRUE(),IF($R401=Constants!$B$3,FALSE(),TRUE())))</f>
        <v/>
      </c>
      <c r="AL401" s="88" t="str">
        <f aca="false">IF(ISBLANK($C401),"",IF(ISNUMBER($S401),IF($S401&gt;=0,$S401,""),""))</f>
        <v/>
      </c>
      <c r="AM401" s="86" t="str">
        <f aca="false">IF(ISBLANK($C401),"",IF(ISBLANK($T401),0,IF(ISNUMBER($T401),IF(AND($T401&gt;=0,$T401&lt;=Constants!$B$17,$T401=INT($T401)),$T401,""),"")))</f>
        <v/>
      </c>
      <c r="AN401" s="87" t="str">
        <f aca="false">IF(ISBLANK($C401),"",IF(ISBLANK($U401),0,IF(ISNUMBER($U401),IF($U401&gt;=0,$U401,""),"")))</f>
        <v/>
      </c>
      <c r="AO401" s="86" t="str">
        <f aca="false">IF(ISBLANK($C401),"",IF($V401=Constants!$B$2,TRUE(),IF($V401=Constants!$B$3,FALSE(),FALSE())))</f>
        <v/>
      </c>
      <c r="AP401" s="86"/>
      <c r="AQ401" s="85" t="str">
        <f aca="false">IF(ISBLANK($C401),"",AND($Y401,OR($AS401,$BC401),OR($Z401="",$AA401="",$AB401="")))</f>
        <v/>
      </c>
      <c r="AR401" s="85" t="str">
        <f aca="false">IF(ISBLANK($C401),"",IF(OR(NOT($Y401),NOT(OR($AS401,$BC401))),"",IF(ISBLANK($D$7),$AR$5,IF($AP$9="",$AR$6,""))))</f>
        <v/>
      </c>
      <c r="AS401" s="85" t="str">
        <f aca="false">IF(ISBLANK($C401),"",COUNTA($J401:$O401)&gt;0)</f>
        <v/>
      </c>
      <c r="AT401" s="85" t="str">
        <f aca="false">IF(ISBLANK($C401),"",AND($AS401,OR(AND($AF401="",OR($AE401,NOT(ISBLANK($M401)))),$AG401="",$AH401="")))</f>
        <v/>
      </c>
      <c r="AU401" s="87" t="str">
        <f aca="false">IF($BL401&lt;&gt;Constants!$B$4,"",IF(NOT($AS401),"",ROUND((Constants!$B$12-$AB401)+(Constants!$B$13-$Z401)+(Constants!$B$14-$AA401),1)))</f>
        <v/>
      </c>
      <c r="AV401" s="90" t="str">
        <f aca="false">IF($BL401&lt;&gt;Constants!$B$4,"",IF(NOT($AS401),"",IF(NOT($AE401),0,Constants!$B$15*(INT(ROUND(MIN($AF401,$AP$9),6))-INT(ROUND(MAX(0,MIN($AF401,2*$AP$9)-$AP$9),6))))))</f>
        <v/>
      </c>
      <c r="AW401" s="90" t="str">
        <f aca="false">IF($BL401&lt;&gt;Constants!$B$4,"",IF(NOT($AS401),"",Constants!$B$16*$AG401))</f>
        <v/>
      </c>
      <c r="AX401" s="90" t="str">
        <f aca="false">IF($BL401&lt;&gt;Constants!$B$4,"",IF(NOT($AS401),"",Constants!$B$18*INT(ROUND($AH401,6))))</f>
        <v/>
      </c>
      <c r="AY401" s="85" t="str">
        <f aca="false">IF($BL401&lt;&gt;Constants!$B$4,"",IF(NOT($AS401),"",IF(NOT($X401),Constants!$B$11,IF(OR(NOT($AC401),NOT($AD401),ROUND($AB401,1)&gt;Constants!$B$12,ROUND($Z401,1)&gt;Constants!$B$13,ROUND($AA401,1)&gt;Constants!$B$14),Constants!$B$10,Constants!$B$9))))</f>
        <v/>
      </c>
      <c r="AZ401" s="91" t="str">
        <f aca="false">IF($BL401&lt;&gt;Constants!$B$4,"",IF(NOT($AS401),"",ROUND($AU401+$AV401+$AW401+$AX401,1)))</f>
        <v/>
      </c>
      <c r="BA401" s="92" t="str">
        <f aca="false">IF($BL401&lt;&gt;Constants!$B$4,"",IF(NOT($AS401),"",IF(ISNUMBER($AF401),$AF401,0)))</f>
        <v/>
      </c>
      <c r="BB401" s="86" t="str">
        <f aca="false">IF($BL401&lt;&gt;Constants!$B$4,"",IF(NOT($BC401),"&lt;-",IF(NOT($AS401),"-&gt;",IF(OR($BI401&lt;$AY401,AND($BI401=$AY401,OR($BJ401&gt;$AZ401,AND($BJ401=$AZ401,OR($BH401&gt;$AX401,AND($BH401=$AX401,OR($BE401&gt;$AU401,AND($BE401=$AU401,OR($BF401&gt;$AV401,AND($BF401=$AV401,$BK401&gt;$BA401)))))))))),"-&gt;","&lt;-"))))</f>
        <v/>
      </c>
      <c r="BC401" s="85" t="str">
        <f aca="false">IF(ISBLANK($C401),"",COUNTA($P401:$U401)&gt;0)</f>
        <v/>
      </c>
      <c r="BD401" s="85" t="str">
        <f aca="false">IF(ISBLANK($C401),"",AND($BC401,OR(AND($AL401="",OR($AK401,NOT(ISBLANK($S401)))),$AM401="",$AN401="")))</f>
        <v/>
      </c>
      <c r="BE401" s="87" t="str">
        <f aca="false">IF($BL401&lt;&gt;Constants!$B$4,"",IF(NOT($BC401),"",ROUND((Constants!$B$12-$AB401)+(Constants!$B$13-$Z401)+(Constants!$B$14-$AA401),1)))</f>
        <v/>
      </c>
      <c r="BF401" s="90" t="str">
        <f aca="false">IF($BL401&lt;&gt;Constants!$B$4,"",IF(NOT($BC401),"",IF(NOT($AK401),0,Constants!$B$15*(INT(ROUND(MIN($AL401,$AP$9),6))-INT(ROUND(MAX(0,MIN($AL401,2*$AP$9)-$AP$9),6))))))</f>
        <v/>
      </c>
      <c r="BG401" s="90" t="str">
        <f aca="false">IF($BL401&lt;&gt;Constants!$B$4,"",IF(NOT($BC401),"",Constants!$B$16*$AM401))</f>
        <v/>
      </c>
      <c r="BH401" s="90" t="str">
        <f aca="false">IF($BL401&lt;&gt;Constants!$B$4,"",IF(NOT($BC401),"",Constants!$B$18*INT(ROUND($AN401,6))))</f>
        <v/>
      </c>
      <c r="BI401" s="85" t="str">
        <f aca="false">IF($BL401&lt;&gt;Constants!$B$4,"",IF(NOT($BC401),"",IF(NOT($X401),Constants!$B$11,IF(OR(NOT($AI401),NOT($AJ401),ROUND($AB401,1)&gt;Constants!$B$12,ROUND($Z401,1)&gt;Constants!$B$13,ROUND($AA401,1)&gt;Constants!$B$14),Constants!$B$10,Constants!$B$9))))</f>
        <v/>
      </c>
      <c r="BJ401" s="91" t="str">
        <f aca="false">IF($BL401&lt;&gt;Constants!$B$4,"",IF(NOT($BC401),"",ROUND($BE401+$BF401+$BG401+$BH401,1)))</f>
        <v/>
      </c>
      <c r="BK401" s="92" t="str">
        <f aca="false">IF($BL401&lt;&gt;Constants!$B$4,"",IF(NOT($BC401),"",IF(ISNUMBER($AL401),$AL401,0)))</f>
        <v/>
      </c>
      <c r="BL401" s="86" t="str">
        <f aca="false">IF(ISBLANK($C401),"",IF($AO401,Constants!$B$7,IF(COUNTA($E401:$V401)=0,Constants!$B$6,IF(NOT($Y401),Constants!$B$5,IF(NOT(OR($AS401,$BC401)),Constants!$B$5,IF(OR($AT401,$BD401,$AQ401,$AR401&lt;&gt;""),Constants!$B$8,Constants!$B$4))))))</f>
        <v/>
      </c>
      <c r="BM401" s="86" t="str">
        <f aca="false">IF(ISBLANK($C401),"",IF($BL401&lt;&gt;Constants!$B$4,$BL401,IF($BB401="-&gt;",$BI401,$AY401)))</f>
        <v/>
      </c>
      <c r="BN401" s="90" t="str">
        <f aca="false">IF($BL401&lt;&gt;Constants!$B$4,"",IF($BB401="-&gt;",$BJ401,$AZ401))</f>
        <v/>
      </c>
      <c r="BO401" s="90" t="str">
        <f aca="false">IF(ISBLANK($C401),"",IF($BL401&lt;&gt;Constants!$B$4,$BL401,$BN401))</f>
        <v/>
      </c>
      <c r="BP401" s="86" t="str">
        <f aca="false">IF(ISBLANK($C401),"",IF($BL401&lt;&gt;Constants!$B$4,$BL401,RANK($BO401,$BO$9:$BO$508,0)))</f>
        <v/>
      </c>
      <c r="BQ401" s="86" t="str">
        <f aca="false">IF(ISBLANK($C401),"",IF($BL401&lt;&gt;Constants!$B$4,$BL401,COUNTIFS($BM$9:$BM$508,"&lt;"&amp;$BM401)+COUNTIFS($BM$9:$BM$508,$BM401,$BP$9:$BP$508,"&lt;"&amp;$BP401)+1))</f>
        <v/>
      </c>
      <c r="BR401" s="90" t="str">
        <f aca="false">IF($BL401&lt;&gt;Constants!$B$4,"",IF($BB401="-&gt;",$BH401,$AX401))</f>
        <v/>
      </c>
      <c r="BS401" s="86" t="str">
        <f aca="false">IF(ISBLANK($C401),"",IF($BL401&lt;&gt;Constants!$B$4,$BL401,IF(ISNUMBER($BR401),RANK($BR401,$BR$9:$BR$508,0),COUNT($BR$9:$BR$508)+1)))</f>
        <v/>
      </c>
      <c r="BT401" s="90" t="str">
        <f aca="false">IF($BL401&lt;&gt;Constants!$B$4,"",IF($BB401="-&gt;",$BE401,$AU401))</f>
        <v/>
      </c>
      <c r="BU401" s="86" t="str">
        <f aca="false">IF(ISBLANK($C401),"",IF($BL401&lt;&gt;Constants!$B$4,$BL401,IF(ISNUMBER($BT401),RANK($BT401,$BT$9:$BT$508,0),COUNT($BT$9:$BT$508)+1)))</f>
        <v/>
      </c>
      <c r="BV401" s="90" t="str">
        <f aca="false">IF($BL401&lt;&gt;Constants!$B$4,"",IF($BB401="-&gt;",$BF401,$AV401))</f>
        <v/>
      </c>
      <c r="BW401" s="86" t="str">
        <f aca="false">IF(ISBLANK($C401),"",IF($BL401&lt;&gt;Constants!$B$4,$BL401,IF(ISNUMBER($BV401),RANK($BV401,$BV$9:$BV$508,0),COUNT($BV$9:$BV$508)+1)))</f>
        <v/>
      </c>
      <c r="BX401" s="90" t="str">
        <f aca="false">IF($BL401&lt;&gt;Constants!$B$4,"",IF($BB401="-&gt;",$BK401,$BA401))</f>
        <v/>
      </c>
      <c r="BY401" s="86" t="str">
        <f aca="false">IF(ISBLANK($C401),"",IF($BL401&lt;&gt;Constants!$B$4,$BL401,IF(ISNUMBER($BX401),RANK($BX401,$BX$9:$BX$508,0),COUNT($BX$9:$BX$508)+1)))</f>
        <v/>
      </c>
      <c r="BZ401" s="86" t="str">
        <f aca="false">IF(ISBLANK($C401),"",IF($BL401&lt;&gt;Constants!$B$4,$BL401,COUNTIFS($BM$9:$BM$508,"&lt;"&amp;$BM401)+COUNTIFS($BM$9:$BM$508,$BM401,$BP$9:$BP$508,"&lt;"&amp;$BP401)+COUNTIFS($BM$9:$BM$508,$BM401,$BP$9:$BP$508,$BP401,$BS$9:$BS$508,"&lt;"&amp;$BS401)+COUNTIFS($BM$9:$BM$508,$BM401,$BP$9:$BP$508,$BP401,$BS$9:$BS$508,$BS401,$BU$9:$BU$508,"&lt;"&amp;$BU401)+COUNTIFS($BM$9:$BM$508,$BM401,$BP$9:$BP$508,$BP401,$BS$9:$BS$508,$BS401,$BU$9:$BU$508,$BU401,$BW$9:$BW$508,"&lt;"&amp;$BW401)+COUNTIFS($BM$9:$BM$508,$BM401,$BP$9:$BP$508,$BP401,$BS$9:$BS$508,$BS401,$BU$9:$BU$508,$BU401,$BW$9:$BW$508,$BW401,$BY$9:$BY$508,"&lt;"&amp;$BY401)+1))</f>
        <v/>
      </c>
      <c r="CA401" s="86" t="str">
        <f aca="false">IF(ISBLANK($C401),"",IF($BL401&lt;&gt;Constants!$B$4,$BL401,$BQ401-$BZ401))</f>
        <v/>
      </c>
      <c r="CB401" s="93"/>
      <c r="CC401" s="94" t="str">
        <f aca="false">IF(ISBLANK($C401),"",IF($BL401=Constants!$B$8,$AR401,""))</f>
        <v/>
      </c>
      <c r="CD401" s="94" t="str">
        <f aca="false">IF(ISBLANK($C401),"",IF($BL401&lt;&gt;Constants!$B$4,"",IF($BB401="-&gt;",2,1)))</f>
        <v/>
      </c>
      <c r="CE401" s="95" t="str">
        <f aca="false">IF(ISBLANK($C401),"",IF($BL401&lt;&gt;Constants!$B$4,"",IF($BB401="-&gt;",$BE401,$AU401)))</f>
        <v/>
      </c>
      <c r="CF401" s="95" t="str">
        <f aca="false">IF(ISBLANK($C401),"",IF($BL401&lt;&gt;Constants!$B$4,"",IF($BB401="-&gt;",$BF401,$AV401)))</f>
        <v/>
      </c>
      <c r="CG401" s="95" t="str">
        <f aca="false">IF(ISBLANK($C401),"",IF($BL401&lt;&gt;Constants!$B$4,"",IF($BB401="-&gt;",$BG401,$AW401)))</f>
        <v/>
      </c>
      <c r="CH401" s="95" t="str">
        <f aca="false">IF(ISBLANK($C401),"",IF($BL401&lt;&gt;Constants!$B$4,"",IF($BB401="-&gt;",$BH401,$AX401)))</f>
        <v/>
      </c>
      <c r="CI401" s="96" t="str">
        <f aca="false">IF(ISBLANK($C401),"",$BO401)</f>
        <v/>
      </c>
      <c r="CJ401" s="97" t="str">
        <f aca="false">IF(ISBLANK($C401),"",$BM401)</f>
        <v/>
      </c>
      <c r="CK401" s="98" t="str">
        <f aca="false">IF(ISBLANK($C401),"",$CA401)</f>
        <v/>
      </c>
      <c r="CL401" s="98" t="str">
        <f aca="false">IF(ISBLANK($C401),"",$BZ401)</f>
        <v/>
      </c>
      <c r="CM401" s="99" t="str">
        <f aca="false">IF(ISBLANK($C401),"",IF($CL401=Constants!$B$7,COUNTA($C$9:$C$508)+2,IF($CL401=Constants!$B$6,COUNTA($C$9:$C$508)+1,IF($CL401=Constants!$B$5,COUNTA($C$9:$C$508),$CL401))))</f>
        <v/>
      </c>
      <c r="CN401" s="8"/>
      <c r="CO401" s="100" t="n">
        <f aca="false">IF(OR(ISNUMBER($CL401),$CL401=Constants!$B$7,$CL401=Constants!$B$5,$CL401=Constants!$B$6),1,0)</f>
        <v>0</v>
      </c>
      <c r="CP401" s="100" t="n">
        <v>393</v>
      </c>
      <c r="CQ401" s="100" t="str">
        <f aca="false">IF(ISBLANK($C401),"",IF(ISNUMBER($CM401),$CM401+ROW($B401)/1000,""))</f>
        <v/>
      </c>
      <c r="CR401" s="100" t="str">
        <f aca="false">IF(ISNUMBER($CQ401),RANK($CQ401,$CQ$9:$CQ$508,1),"")</f>
        <v/>
      </c>
      <c r="CS401" s="100" t="str">
        <f aca="false">IF(ISBLANK($C401),"",$B401)</f>
        <v/>
      </c>
      <c r="CT401" s="100" t="str">
        <f aca="false">IF(ISBLANK($C401),"",$C401)</f>
        <v/>
      </c>
      <c r="CU401" s="100" t="str">
        <f aca="false">IF(ISBLANK($C401),"",$D401)</f>
        <v/>
      </c>
      <c r="CV401" s="101" t="str">
        <f aca="false">$CJ401</f>
        <v/>
      </c>
      <c r="CW401" s="102" t="str">
        <f aca="false">$CI401</f>
        <v/>
      </c>
      <c r="CX401" s="100" t="str">
        <f aca="false">IF(ISBLANK($C401),"",$CL401)</f>
        <v/>
      </c>
      <c r="CY401" s="103" t="str">
        <f aca="false">IF($CP401&gt;$CO$8,"",VLOOKUP($CP401,$CR$9:$CX$508,7,FALSE()))</f>
        <v/>
      </c>
      <c r="CZ401" s="104" t="str">
        <f aca="false">IF($CP401&gt;$CO$8,"",VLOOKUP($CP401,$CR$9:$CX$508,2,FALSE()))</f>
        <v/>
      </c>
      <c r="DA401" s="104" t="str">
        <f aca="false">IF($CP401&gt;$CO$8,"",VLOOKUP($CP401,$CR$9:$CX$508,3,FALSE()))</f>
        <v/>
      </c>
      <c r="DB401" s="104" t="str">
        <f aca="false">IF($CP401&gt;$CO$8,"",VLOOKUP($CP401,$CR$9:$CX$508,4,FALSE()))</f>
        <v/>
      </c>
      <c r="DC401" s="104" t="str">
        <f aca="false">IF($CP401&gt;$CO$8,"",VLOOKUP($CP401,$CR$9:$CX$508,5,FALSE()))</f>
        <v/>
      </c>
      <c r="DD401" s="105" t="str">
        <f aca="false">IF($CP401&gt;$CO$8,"",VLOOKUP($CP401,$CR$9:$CX$508,6,FALSE()))</f>
        <v/>
      </c>
      <c r="DE401" s="70"/>
    </row>
    <row r="402" customFormat="false" ht="15.75" hidden="false" customHeight="false" outlineLevel="0" collapsed="false">
      <c r="A402" s="8"/>
      <c r="B402" s="146"/>
      <c r="C402" s="147"/>
      <c r="D402" s="148"/>
      <c r="E402" s="164"/>
      <c r="F402" s="150"/>
      <c r="G402" s="115"/>
      <c r="H402" s="115"/>
      <c r="I402" s="115"/>
      <c r="J402" s="165"/>
      <c r="K402" s="154"/>
      <c r="L402" s="154"/>
      <c r="M402" s="118"/>
      <c r="N402" s="154"/>
      <c r="O402" s="153"/>
      <c r="P402" s="154"/>
      <c r="Q402" s="154"/>
      <c r="R402" s="154"/>
      <c r="S402" s="115"/>
      <c r="T402" s="154"/>
      <c r="U402" s="153"/>
      <c r="V402" s="154"/>
      <c r="W402" s="123"/>
      <c r="X402" s="124" t="str">
        <f aca="false">IF(ISBLANK($C402),"",IF($E402=Constants!$B$2,TRUE(),IF($E402=Constants!$B$3,FALSE(),TRUE())))</f>
        <v/>
      </c>
      <c r="Y402" s="124" t="str">
        <f aca="false">IF(ISBLANK($C402),"",IF($F402=Constants!$B$2,TRUE(),IF($F402=Constants!$B$3,FALSE(),TRUE())))</f>
        <v/>
      </c>
      <c r="Z402" s="125" t="str">
        <f aca="false">IF(ISBLANK($C402),"",IF(ISNUMBER($G402),IF($G402&gt;=0,$G402,""),""))</f>
        <v/>
      </c>
      <c r="AA402" s="125" t="str">
        <f aca="false">IF(ISBLANK($C402),"",IF(ISNUMBER($H402),IF($H402&gt;=0,$H402,""),""))</f>
        <v/>
      </c>
      <c r="AB402" s="125" t="str">
        <f aca="false">IF(ISBLANK($C402),"",IF(ISNUMBER($I402),IF($I402&gt;=0,$I402,""),""))</f>
        <v/>
      </c>
      <c r="AC402" s="124" t="str">
        <f aca="false">IF(ISBLANK($C402),"",IF($J402=Constants!$B$2,TRUE(),IF($J402=Constants!$B$3,FALSE(),TRUE())))</f>
        <v/>
      </c>
      <c r="AD402" s="124" t="str">
        <f aca="false">IF(ISBLANK($C402),"",IF($K402=Constants!$B$2,TRUE(),IF($K402=Constants!$B$3,FALSE(),TRUE())))</f>
        <v/>
      </c>
      <c r="AE402" s="124" t="str">
        <f aca="false">IF(ISBLANK($C402),"",IF($L402=Constants!$B$2,TRUE(),IF($L402=Constants!$B$3,FALSE(),TRUE())))</f>
        <v/>
      </c>
      <c r="AF402" s="126" t="str">
        <f aca="false">IF(ISBLANK($C402),"",IF(ISNUMBER($M402),IF($M402&gt;=0,$M402,""),""))</f>
        <v/>
      </c>
      <c r="AG402" s="124" t="str">
        <f aca="false">IF(ISBLANK($C402),"",IF(ISBLANK($N402),0,IF(ISNUMBER($N402),IF(AND($N402&gt;=0,$N402&lt;=Constants!$B$17,$N402=INT($N402)),$N402,""),"")))</f>
        <v/>
      </c>
      <c r="AH402" s="125" t="str">
        <f aca="false">IF(ISBLANK($C402),"",IF(ISBLANK($O402),0,IF(ISNUMBER($O402),IF($O402&gt;=0,$O402,""),"")))</f>
        <v/>
      </c>
      <c r="AI402" s="124" t="str">
        <f aca="false">IF(ISBLANK($C402),"",IF($P402=Constants!$B$2,TRUE(),IF($P402=Constants!$B$3,FALSE(),TRUE())))</f>
        <v/>
      </c>
      <c r="AJ402" s="124" t="str">
        <f aca="false">IF(ISBLANK($C402),"",IF($Q402=Constants!$B$2,TRUE(),IF($Q402=Constants!$B$3,FALSE(),TRUE())))</f>
        <v/>
      </c>
      <c r="AK402" s="124" t="str">
        <f aca="false">IF(ISBLANK($C402),"",IF($R402=Constants!$B$2,TRUE(),IF($R402=Constants!$B$3,FALSE(),TRUE())))</f>
        <v/>
      </c>
      <c r="AL402" s="126" t="str">
        <f aca="false">IF(ISBLANK($C402),"",IF(ISNUMBER($S402),IF($S402&gt;=0,$S402,""),""))</f>
        <v/>
      </c>
      <c r="AM402" s="124" t="str">
        <f aca="false">IF(ISBLANK($C402),"",IF(ISBLANK($T402),0,IF(ISNUMBER($T402),IF(AND($T402&gt;=0,$T402&lt;=Constants!$B$17,$T402=INT($T402)),$T402,""),"")))</f>
        <v/>
      </c>
      <c r="AN402" s="125" t="str">
        <f aca="false">IF(ISBLANK($C402),"",IF(ISBLANK($U402),0,IF(ISNUMBER($U402),IF($U402&gt;=0,$U402,""),"")))</f>
        <v/>
      </c>
      <c r="AO402" s="124" t="str">
        <f aca="false">IF(ISBLANK($C402),"",IF($V402=Constants!$B$2,TRUE(),IF($V402=Constants!$B$3,FALSE(),FALSE())))</f>
        <v/>
      </c>
      <c r="AP402" s="124"/>
      <c r="AQ402" s="123" t="str">
        <f aca="false">IF(ISBLANK($C402),"",AND($Y402,OR($AS402,$BC402),OR($Z402="",$AA402="",$AB402="")))</f>
        <v/>
      </c>
      <c r="AR402" s="123" t="str">
        <f aca="false">IF(ISBLANK($C402),"",IF(OR(NOT($Y402),NOT(OR($AS402,$BC402))),"",IF(ISBLANK($D$7),$AR$5,IF($AP$9="",$AR$6,""))))</f>
        <v/>
      </c>
      <c r="AS402" s="123" t="str">
        <f aca="false">IF(ISBLANK($C402),"",COUNTA($J402:$O402)&gt;0)</f>
        <v/>
      </c>
      <c r="AT402" s="123" t="str">
        <f aca="false">IF(ISBLANK($C402),"",AND($AS402,OR(AND($AF402="",OR($AE402,NOT(ISBLANK($M402)))),$AG402="",$AH402="")))</f>
        <v/>
      </c>
      <c r="AU402" s="125" t="str">
        <f aca="false">IF($BL402&lt;&gt;Constants!$B$4,"",IF(NOT($AS402),"",ROUND((Constants!$B$12-$AB402)+(Constants!$B$13-$Z402)+(Constants!$B$14-$AA402),1)))</f>
        <v/>
      </c>
      <c r="AV402" s="127" t="str">
        <f aca="false">IF($BL402&lt;&gt;Constants!$B$4,"",IF(NOT($AS402),"",IF(NOT($AE402),0,Constants!$B$15*(INT(ROUND(MIN($AF402,$AP$9),6))-INT(ROUND(MAX(0,MIN($AF402,2*$AP$9)-$AP$9),6))))))</f>
        <v/>
      </c>
      <c r="AW402" s="127" t="str">
        <f aca="false">IF($BL402&lt;&gt;Constants!$B$4,"",IF(NOT($AS402),"",Constants!$B$16*$AG402))</f>
        <v/>
      </c>
      <c r="AX402" s="127" t="str">
        <f aca="false">IF($BL402&lt;&gt;Constants!$B$4,"",IF(NOT($AS402),"",Constants!$B$18*INT(ROUND($AH402,6))))</f>
        <v/>
      </c>
      <c r="AY402" s="123" t="str">
        <f aca="false">IF($BL402&lt;&gt;Constants!$B$4,"",IF(NOT($AS402),"",IF(NOT($X402),Constants!$B$11,IF(OR(NOT($AC402),NOT($AD402),ROUND($AB402,1)&gt;Constants!$B$12,ROUND($Z402,1)&gt;Constants!$B$13,ROUND($AA402,1)&gt;Constants!$B$14),Constants!$B$10,Constants!$B$9))))</f>
        <v/>
      </c>
      <c r="AZ402" s="128" t="str">
        <f aca="false">IF($BL402&lt;&gt;Constants!$B$4,"",IF(NOT($AS402),"",ROUND($AU402+$AV402+$AW402+$AX402,1)))</f>
        <v/>
      </c>
      <c r="BA402" s="129" t="str">
        <f aca="false">IF($BL402&lt;&gt;Constants!$B$4,"",IF(NOT($AS402),"",IF(ISNUMBER($AF402),$AF402,0)))</f>
        <v/>
      </c>
      <c r="BB402" s="124" t="str">
        <f aca="false">IF($BL402&lt;&gt;Constants!$B$4,"",IF(NOT($BC402),"&lt;-",IF(NOT($AS402),"-&gt;",IF(OR($BI402&lt;$AY402,AND($BI402=$AY402,OR($BJ402&gt;$AZ402,AND($BJ402=$AZ402,OR($BH402&gt;$AX402,AND($BH402=$AX402,OR($BE402&gt;$AU402,AND($BE402=$AU402,OR($BF402&gt;$AV402,AND($BF402=$AV402,$BK402&gt;$BA402)))))))))),"-&gt;","&lt;-"))))</f>
        <v/>
      </c>
      <c r="BC402" s="123" t="str">
        <f aca="false">IF(ISBLANK($C402),"",COUNTA($P402:$U402)&gt;0)</f>
        <v/>
      </c>
      <c r="BD402" s="123" t="str">
        <f aca="false">IF(ISBLANK($C402),"",AND($BC402,OR(AND($AL402="",OR($AK402,NOT(ISBLANK($S402)))),$AM402="",$AN402="")))</f>
        <v/>
      </c>
      <c r="BE402" s="125" t="str">
        <f aca="false">IF($BL402&lt;&gt;Constants!$B$4,"",IF(NOT($BC402),"",ROUND((Constants!$B$12-$AB402)+(Constants!$B$13-$Z402)+(Constants!$B$14-$AA402),1)))</f>
        <v/>
      </c>
      <c r="BF402" s="127" t="str">
        <f aca="false">IF($BL402&lt;&gt;Constants!$B$4,"",IF(NOT($BC402),"",IF(NOT($AK402),0,Constants!$B$15*(INT(ROUND(MIN($AL402,$AP$9),6))-INT(ROUND(MAX(0,MIN($AL402,2*$AP$9)-$AP$9),6))))))</f>
        <v/>
      </c>
      <c r="BG402" s="127" t="str">
        <f aca="false">IF($BL402&lt;&gt;Constants!$B$4,"",IF(NOT($BC402),"",Constants!$B$16*$AM402))</f>
        <v/>
      </c>
      <c r="BH402" s="127" t="str">
        <f aca="false">IF($BL402&lt;&gt;Constants!$B$4,"",IF(NOT($BC402),"",Constants!$B$18*INT(ROUND($AN402,6))))</f>
        <v/>
      </c>
      <c r="BI402" s="123" t="str">
        <f aca="false">IF($BL402&lt;&gt;Constants!$B$4,"",IF(NOT($BC402),"",IF(NOT($X402),Constants!$B$11,IF(OR(NOT($AI402),NOT($AJ402),ROUND($AB402,1)&gt;Constants!$B$12,ROUND($Z402,1)&gt;Constants!$B$13,ROUND($AA402,1)&gt;Constants!$B$14),Constants!$B$10,Constants!$B$9))))</f>
        <v/>
      </c>
      <c r="BJ402" s="128" t="str">
        <f aca="false">IF($BL402&lt;&gt;Constants!$B$4,"",IF(NOT($BC402),"",ROUND($BE402+$BF402+$BG402+$BH402,1)))</f>
        <v/>
      </c>
      <c r="BK402" s="129" t="str">
        <f aca="false">IF($BL402&lt;&gt;Constants!$B$4,"",IF(NOT($BC402),"",IF(ISNUMBER($AL402),$AL402,0)))</f>
        <v/>
      </c>
      <c r="BL402" s="124" t="str">
        <f aca="false">IF(ISBLANK($C402),"",IF($AO402,Constants!$B$7,IF(COUNTA($E402:$V402)=0,Constants!$B$6,IF(NOT($Y402),Constants!$B$5,IF(NOT(OR($AS402,$BC402)),Constants!$B$5,IF(OR($AT402,$BD402,$AQ402,$AR402&lt;&gt;""),Constants!$B$8,Constants!$B$4))))))</f>
        <v/>
      </c>
      <c r="BM402" s="124" t="str">
        <f aca="false">IF(ISBLANK($C402),"",IF($BL402&lt;&gt;Constants!$B$4,$BL402,IF($BB402="-&gt;",$BI402,$AY402)))</f>
        <v/>
      </c>
      <c r="BN402" s="127" t="str">
        <f aca="false">IF($BL402&lt;&gt;Constants!$B$4,"",IF($BB402="-&gt;",$BJ402,$AZ402))</f>
        <v/>
      </c>
      <c r="BO402" s="127" t="str">
        <f aca="false">IF(ISBLANK($C402),"",IF($BL402&lt;&gt;Constants!$B$4,$BL402,$BN402))</f>
        <v/>
      </c>
      <c r="BP402" s="124" t="str">
        <f aca="false">IF(ISBLANK($C402),"",IF($BL402&lt;&gt;Constants!$B$4,$BL402,RANK($BO402,$BO$9:$BO$508,0)))</f>
        <v/>
      </c>
      <c r="BQ402" s="124" t="str">
        <f aca="false">IF(ISBLANK($C402),"",IF($BL402&lt;&gt;Constants!$B$4,$BL402,COUNTIFS($BM$9:$BM$508,"&lt;"&amp;$BM402)+COUNTIFS($BM$9:$BM$508,$BM402,$BP$9:$BP$508,"&lt;"&amp;$BP402)+1))</f>
        <v/>
      </c>
      <c r="BR402" s="127" t="str">
        <f aca="false">IF($BL402&lt;&gt;Constants!$B$4,"",IF($BB402="-&gt;",$BH402,$AX402))</f>
        <v/>
      </c>
      <c r="BS402" s="124" t="str">
        <f aca="false">IF(ISBLANK($C402),"",IF($BL402&lt;&gt;Constants!$B$4,$BL402,IF(ISNUMBER($BR402),RANK($BR402,$BR$9:$BR$508,0),COUNT($BR$9:$BR$508)+1)))</f>
        <v/>
      </c>
      <c r="BT402" s="127" t="str">
        <f aca="false">IF($BL402&lt;&gt;Constants!$B$4,"",IF($BB402="-&gt;",$BE402,$AU402))</f>
        <v/>
      </c>
      <c r="BU402" s="124" t="str">
        <f aca="false">IF(ISBLANK($C402),"",IF($BL402&lt;&gt;Constants!$B$4,$BL402,IF(ISNUMBER($BT402),RANK($BT402,$BT$9:$BT$508,0),COUNT($BT$9:$BT$508)+1)))</f>
        <v/>
      </c>
      <c r="BV402" s="127" t="str">
        <f aca="false">IF($BL402&lt;&gt;Constants!$B$4,"",IF($BB402="-&gt;",$BF402,$AV402))</f>
        <v/>
      </c>
      <c r="BW402" s="124" t="str">
        <f aca="false">IF(ISBLANK($C402),"",IF($BL402&lt;&gt;Constants!$B$4,$BL402,IF(ISNUMBER($BV402),RANK($BV402,$BV$9:$BV$508,0),COUNT($BV$9:$BV$508)+1)))</f>
        <v/>
      </c>
      <c r="BX402" s="127" t="str">
        <f aca="false">IF($BL402&lt;&gt;Constants!$B$4,"",IF($BB402="-&gt;",$BK402,$BA402))</f>
        <v/>
      </c>
      <c r="BY402" s="124" t="str">
        <f aca="false">IF(ISBLANK($C402),"",IF($BL402&lt;&gt;Constants!$B$4,$BL402,IF(ISNUMBER($BX402),RANK($BX402,$BX$9:$BX$508,0),COUNT($BX$9:$BX$508)+1)))</f>
        <v/>
      </c>
      <c r="BZ402" s="124" t="str">
        <f aca="false">IF(ISBLANK($C402),"",IF($BL402&lt;&gt;Constants!$B$4,$BL402,COUNTIFS($BM$9:$BM$508,"&lt;"&amp;$BM402)+COUNTIFS($BM$9:$BM$508,$BM402,$BP$9:$BP$508,"&lt;"&amp;$BP402)+COUNTIFS($BM$9:$BM$508,$BM402,$BP$9:$BP$508,$BP402,$BS$9:$BS$508,"&lt;"&amp;$BS402)+COUNTIFS($BM$9:$BM$508,$BM402,$BP$9:$BP$508,$BP402,$BS$9:$BS$508,$BS402,$BU$9:$BU$508,"&lt;"&amp;$BU402)+COUNTIFS($BM$9:$BM$508,$BM402,$BP$9:$BP$508,$BP402,$BS$9:$BS$508,$BS402,$BU$9:$BU$508,$BU402,$BW$9:$BW$508,"&lt;"&amp;$BW402)+COUNTIFS($BM$9:$BM$508,$BM402,$BP$9:$BP$508,$BP402,$BS$9:$BS$508,$BS402,$BU$9:$BU$508,$BU402,$BW$9:$BW$508,$BW402,$BY$9:$BY$508,"&lt;"&amp;$BY402)+1))</f>
        <v/>
      </c>
      <c r="CA402" s="124" t="str">
        <f aca="false">IF(ISBLANK($C402),"",IF($BL402&lt;&gt;Constants!$B$4,$BL402,$BQ402-$BZ402))</f>
        <v/>
      </c>
      <c r="CB402" s="130"/>
      <c r="CC402" s="131" t="str">
        <f aca="false">IF(ISBLANK($C402),"",IF($BL402=Constants!$B$8,$AR402,""))</f>
        <v/>
      </c>
      <c r="CD402" s="131" t="str">
        <f aca="false">IF(ISBLANK($C402),"",IF($BL402&lt;&gt;Constants!$B$4,"",IF($BB402="-&gt;",2,1)))</f>
        <v/>
      </c>
      <c r="CE402" s="132" t="str">
        <f aca="false">IF(ISBLANK($C402),"",IF($BL402&lt;&gt;Constants!$B$4,"",IF($BB402="-&gt;",$BE402,$AU402)))</f>
        <v/>
      </c>
      <c r="CF402" s="132" t="str">
        <f aca="false">IF(ISBLANK($C402),"",IF($BL402&lt;&gt;Constants!$B$4,"",IF($BB402="-&gt;",$BF402,$AV402)))</f>
        <v/>
      </c>
      <c r="CG402" s="132" t="str">
        <f aca="false">IF(ISBLANK($C402),"",IF($BL402&lt;&gt;Constants!$B$4,"",IF($BB402="-&gt;",$BG402,$AW402)))</f>
        <v/>
      </c>
      <c r="CH402" s="132" t="str">
        <f aca="false">IF(ISBLANK($C402),"",IF($BL402&lt;&gt;Constants!$B$4,"",IF($BB402="-&gt;",$BH402,$AX402)))</f>
        <v/>
      </c>
      <c r="CI402" s="133" t="str">
        <f aca="false">IF(ISBLANK($C402),"",$BO402)</f>
        <v/>
      </c>
      <c r="CJ402" s="134" t="str">
        <f aca="false">IF(ISBLANK($C402),"",$BM402)</f>
        <v/>
      </c>
      <c r="CK402" s="135" t="str">
        <f aca="false">IF(ISBLANK($C402),"",$CA402)</f>
        <v/>
      </c>
      <c r="CL402" s="135" t="str">
        <f aca="false">IF(ISBLANK($C402),"",$BZ402)</f>
        <v/>
      </c>
      <c r="CM402" s="136" t="str">
        <f aca="false">IF(ISBLANK($C402),"",IF($CL402=Constants!$B$7,COUNTA($C$9:$C$508)+2,IF($CL402=Constants!$B$6,COUNTA($C$9:$C$508)+1,IF($CL402=Constants!$B$5,COUNTA($C$9:$C$508),$CL402))))</f>
        <v/>
      </c>
      <c r="CN402" s="8"/>
      <c r="CO402" s="137" t="n">
        <f aca="false">IF(OR(ISNUMBER($CL402),$CL402=Constants!$B$7,$CL402=Constants!$B$5,$CL402=Constants!$B$6),1,0)</f>
        <v>0</v>
      </c>
      <c r="CP402" s="137" t="n">
        <v>394</v>
      </c>
      <c r="CQ402" s="137" t="str">
        <f aca="false">IF(ISBLANK($C402),"",IF(ISNUMBER($CM402),$CM402+ROW($B402)/1000,""))</f>
        <v/>
      </c>
      <c r="CR402" s="137" t="str">
        <f aca="false">IF(ISNUMBER($CQ402),RANK($CQ402,$CQ$9:$CQ$508,1),"")</f>
        <v/>
      </c>
      <c r="CS402" s="137" t="str">
        <f aca="false">IF(ISBLANK($C402),"",$B402)</f>
        <v/>
      </c>
      <c r="CT402" s="137" t="str">
        <f aca="false">IF(ISBLANK($C402),"",$C402)</f>
        <v/>
      </c>
      <c r="CU402" s="137" t="str">
        <f aca="false">IF(ISBLANK($C402),"",$D402)</f>
        <v/>
      </c>
      <c r="CV402" s="138" t="str">
        <f aca="false">$CJ402</f>
        <v/>
      </c>
      <c r="CW402" s="139" t="str">
        <f aca="false">$CI402</f>
        <v/>
      </c>
      <c r="CX402" s="137" t="str">
        <f aca="false">IF(ISBLANK($C402),"",$CL402)</f>
        <v/>
      </c>
      <c r="CY402" s="140" t="str">
        <f aca="false">IF($CP402&gt;$CO$8,"",VLOOKUP($CP402,$CR$9:$CX$508,7,FALSE()))</f>
        <v/>
      </c>
      <c r="CZ402" s="141" t="str">
        <f aca="false">IF($CP402&gt;$CO$8,"",VLOOKUP($CP402,$CR$9:$CX$508,2,FALSE()))</f>
        <v/>
      </c>
      <c r="DA402" s="141" t="str">
        <f aca="false">IF($CP402&gt;$CO$8,"",VLOOKUP($CP402,$CR$9:$CX$508,3,FALSE()))</f>
        <v/>
      </c>
      <c r="DB402" s="141" t="str">
        <f aca="false">IF($CP402&gt;$CO$8,"",VLOOKUP($CP402,$CR$9:$CX$508,4,FALSE()))</f>
        <v/>
      </c>
      <c r="DC402" s="141" t="str">
        <f aca="false">IF($CP402&gt;$CO$8,"",VLOOKUP($CP402,$CR$9:$CX$508,5,FALSE()))</f>
        <v/>
      </c>
      <c r="DD402" s="142" t="str">
        <f aca="false">IF($CP402&gt;$CO$8,"",VLOOKUP($CP402,$CR$9:$CX$508,6,FALSE()))</f>
        <v/>
      </c>
      <c r="DE402" s="70"/>
    </row>
    <row r="403" customFormat="false" ht="15.75" hidden="false" customHeight="false" outlineLevel="0" collapsed="false">
      <c r="A403" s="8"/>
      <c r="B403" s="146"/>
      <c r="C403" s="147"/>
      <c r="D403" s="148"/>
      <c r="E403" s="164"/>
      <c r="F403" s="150"/>
      <c r="G403" s="115"/>
      <c r="H403" s="115"/>
      <c r="I403" s="115"/>
      <c r="J403" s="165"/>
      <c r="K403" s="154"/>
      <c r="L403" s="154"/>
      <c r="M403" s="118"/>
      <c r="N403" s="154"/>
      <c r="O403" s="153"/>
      <c r="P403" s="154"/>
      <c r="Q403" s="154"/>
      <c r="R403" s="154"/>
      <c r="S403" s="115"/>
      <c r="T403" s="154"/>
      <c r="U403" s="153"/>
      <c r="V403" s="154"/>
      <c r="W403" s="123"/>
      <c r="X403" s="124" t="str">
        <f aca="false">IF(ISBLANK($C403),"",IF($E403=Constants!$B$2,TRUE(),IF($E403=Constants!$B$3,FALSE(),TRUE())))</f>
        <v/>
      </c>
      <c r="Y403" s="124" t="str">
        <f aca="false">IF(ISBLANK($C403),"",IF($F403=Constants!$B$2,TRUE(),IF($F403=Constants!$B$3,FALSE(),TRUE())))</f>
        <v/>
      </c>
      <c r="Z403" s="125" t="str">
        <f aca="false">IF(ISBLANK($C403),"",IF(ISNUMBER($G403),IF($G403&gt;=0,$G403,""),""))</f>
        <v/>
      </c>
      <c r="AA403" s="125" t="str">
        <f aca="false">IF(ISBLANK($C403),"",IF(ISNUMBER($H403),IF($H403&gt;=0,$H403,""),""))</f>
        <v/>
      </c>
      <c r="AB403" s="125" t="str">
        <f aca="false">IF(ISBLANK($C403),"",IF(ISNUMBER($I403),IF($I403&gt;=0,$I403,""),""))</f>
        <v/>
      </c>
      <c r="AC403" s="124" t="str">
        <f aca="false">IF(ISBLANK($C403),"",IF($J403=Constants!$B$2,TRUE(),IF($J403=Constants!$B$3,FALSE(),TRUE())))</f>
        <v/>
      </c>
      <c r="AD403" s="124" t="str">
        <f aca="false">IF(ISBLANK($C403),"",IF($K403=Constants!$B$2,TRUE(),IF($K403=Constants!$B$3,FALSE(),TRUE())))</f>
        <v/>
      </c>
      <c r="AE403" s="124" t="str">
        <f aca="false">IF(ISBLANK($C403),"",IF($L403=Constants!$B$2,TRUE(),IF($L403=Constants!$B$3,FALSE(),TRUE())))</f>
        <v/>
      </c>
      <c r="AF403" s="126" t="str">
        <f aca="false">IF(ISBLANK($C403),"",IF(ISNUMBER($M403),IF($M403&gt;=0,$M403,""),""))</f>
        <v/>
      </c>
      <c r="AG403" s="124" t="str">
        <f aca="false">IF(ISBLANK($C403),"",IF(ISBLANK($N403),0,IF(ISNUMBER($N403),IF(AND($N403&gt;=0,$N403&lt;=Constants!$B$17,$N403=INT($N403)),$N403,""),"")))</f>
        <v/>
      </c>
      <c r="AH403" s="125" t="str">
        <f aca="false">IF(ISBLANK($C403),"",IF(ISBLANK($O403),0,IF(ISNUMBER($O403),IF($O403&gt;=0,$O403,""),"")))</f>
        <v/>
      </c>
      <c r="AI403" s="124" t="str">
        <f aca="false">IF(ISBLANK($C403),"",IF($P403=Constants!$B$2,TRUE(),IF($P403=Constants!$B$3,FALSE(),TRUE())))</f>
        <v/>
      </c>
      <c r="AJ403" s="124" t="str">
        <f aca="false">IF(ISBLANK($C403),"",IF($Q403=Constants!$B$2,TRUE(),IF($Q403=Constants!$B$3,FALSE(),TRUE())))</f>
        <v/>
      </c>
      <c r="AK403" s="124" t="str">
        <f aca="false">IF(ISBLANK($C403),"",IF($R403=Constants!$B$2,TRUE(),IF($R403=Constants!$B$3,FALSE(),TRUE())))</f>
        <v/>
      </c>
      <c r="AL403" s="126" t="str">
        <f aca="false">IF(ISBLANK($C403),"",IF(ISNUMBER($S403),IF($S403&gt;=0,$S403,""),""))</f>
        <v/>
      </c>
      <c r="AM403" s="124" t="str">
        <f aca="false">IF(ISBLANK($C403),"",IF(ISBLANK($T403),0,IF(ISNUMBER($T403),IF(AND($T403&gt;=0,$T403&lt;=Constants!$B$17,$T403=INT($T403)),$T403,""),"")))</f>
        <v/>
      </c>
      <c r="AN403" s="125" t="str">
        <f aca="false">IF(ISBLANK($C403),"",IF(ISBLANK($U403),0,IF(ISNUMBER($U403),IF($U403&gt;=0,$U403,""),"")))</f>
        <v/>
      </c>
      <c r="AO403" s="124" t="str">
        <f aca="false">IF(ISBLANK($C403),"",IF($V403=Constants!$B$2,TRUE(),IF($V403=Constants!$B$3,FALSE(),FALSE())))</f>
        <v/>
      </c>
      <c r="AP403" s="124"/>
      <c r="AQ403" s="123" t="str">
        <f aca="false">IF(ISBLANK($C403),"",AND($Y403,OR($AS403,$BC403),OR($Z403="",$AA403="",$AB403="")))</f>
        <v/>
      </c>
      <c r="AR403" s="123" t="str">
        <f aca="false">IF(ISBLANK($C403),"",IF(OR(NOT($Y403),NOT(OR($AS403,$BC403))),"",IF(ISBLANK($D$7),$AR$5,IF($AP$9="",$AR$6,""))))</f>
        <v/>
      </c>
      <c r="AS403" s="123" t="str">
        <f aca="false">IF(ISBLANK($C403),"",COUNTA($J403:$O403)&gt;0)</f>
        <v/>
      </c>
      <c r="AT403" s="123" t="str">
        <f aca="false">IF(ISBLANK($C403),"",AND($AS403,OR(AND($AF403="",OR($AE403,NOT(ISBLANK($M403)))),$AG403="",$AH403="")))</f>
        <v/>
      </c>
      <c r="AU403" s="125" t="str">
        <f aca="false">IF($BL403&lt;&gt;Constants!$B$4,"",IF(NOT($AS403),"",ROUND((Constants!$B$12-$AB403)+(Constants!$B$13-$Z403)+(Constants!$B$14-$AA403),1)))</f>
        <v/>
      </c>
      <c r="AV403" s="127" t="str">
        <f aca="false">IF($BL403&lt;&gt;Constants!$B$4,"",IF(NOT($AS403),"",IF(NOT($AE403),0,Constants!$B$15*(INT(ROUND(MIN($AF403,$AP$9),6))-INT(ROUND(MAX(0,MIN($AF403,2*$AP$9)-$AP$9),6))))))</f>
        <v/>
      </c>
      <c r="AW403" s="127" t="str">
        <f aca="false">IF($BL403&lt;&gt;Constants!$B$4,"",IF(NOT($AS403),"",Constants!$B$16*$AG403))</f>
        <v/>
      </c>
      <c r="AX403" s="127" t="str">
        <f aca="false">IF($BL403&lt;&gt;Constants!$B$4,"",IF(NOT($AS403),"",Constants!$B$18*INT(ROUND($AH403,6))))</f>
        <v/>
      </c>
      <c r="AY403" s="123" t="str">
        <f aca="false">IF($BL403&lt;&gt;Constants!$B$4,"",IF(NOT($AS403),"",IF(NOT($X403),Constants!$B$11,IF(OR(NOT($AC403),NOT($AD403),ROUND($AB403,1)&gt;Constants!$B$12,ROUND($Z403,1)&gt;Constants!$B$13,ROUND($AA403,1)&gt;Constants!$B$14),Constants!$B$10,Constants!$B$9))))</f>
        <v/>
      </c>
      <c r="AZ403" s="128" t="str">
        <f aca="false">IF($BL403&lt;&gt;Constants!$B$4,"",IF(NOT($AS403),"",ROUND($AU403+$AV403+$AW403+$AX403,1)))</f>
        <v/>
      </c>
      <c r="BA403" s="129" t="str">
        <f aca="false">IF($BL403&lt;&gt;Constants!$B$4,"",IF(NOT($AS403),"",IF(ISNUMBER($AF403),$AF403,0)))</f>
        <v/>
      </c>
      <c r="BB403" s="124" t="str">
        <f aca="false">IF($BL403&lt;&gt;Constants!$B$4,"",IF(NOT($BC403),"&lt;-",IF(NOT($AS403),"-&gt;",IF(OR($BI403&lt;$AY403,AND($BI403=$AY403,OR($BJ403&gt;$AZ403,AND($BJ403=$AZ403,OR($BH403&gt;$AX403,AND($BH403=$AX403,OR($BE403&gt;$AU403,AND($BE403=$AU403,OR($BF403&gt;$AV403,AND($BF403=$AV403,$BK403&gt;$BA403)))))))))),"-&gt;","&lt;-"))))</f>
        <v/>
      </c>
      <c r="BC403" s="123" t="str">
        <f aca="false">IF(ISBLANK($C403),"",COUNTA($P403:$U403)&gt;0)</f>
        <v/>
      </c>
      <c r="BD403" s="123" t="str">
        <f aca="false">IF(ISBLANK($C403),"",AND($BC403,OR(AND($AL403="",OR($AK403,NOT(ISBLANK($S403)))),$AM403="",$AN403="")))</f>
        <v/>
      </c>
      <c r="BE403" s="125" t="str">
        <f aca="false">IF($BL403&lt;&gt;Constants!$B$4,"",IF(NOT($BC403),"",ROUND((Constants!$B$12-$AB403)+(Constants!$B$13-$Z403)+(Constants!$B$14-$AA403),1)))</f>
        <v/>
      </c>
      <c r="BF403" s="127" t="str">
        <f aca="false">IF($BL403&lt;&gt;Constants!$B$4,"",IF(NOT($BC403),"",IF(NOT($AK403),0,Constants!$B$15*(INT(ROUND(MIN($AL403,$AP$9),6))-INT(ROUND(MAX(0,MIN($AL403,2*$AP$9)-$AP$9),6))))))</f>
        <v/>
      </c>
      <c r="BG403" s="127" t="str">
        <f aca="false">IF($BL403&lt;&gt;Constants!$B$4,"",IF(NOT($BC403),"",Constants!$B$16*$AM403))</f>
        <v/>
      </c>
      <c r="BH403" s="127" t="str">
        <f aca="false">IF($BL403&lt;&gt;Constants!$B$4,"",IF(NOT($BC403),"",Constants!$B$18*INT(ROUND($AN403,6))))</f>
        <v/>
      </c>
      <c r="BI403" s="123" t="str">
        <f aca="false">IF($BL403&lt;&gt;Constants!$B$4,"",IF(NOT($BC403),"",IF(NOT($X403),Constants!$B$11,IF(OR(NOT($AI403),NOT($AJ403),ROUND($AB403,1)&gt;Constants!$B$12,ROUND($Z403,1)&gt;Constants!$B$13,ROUND($AA403,1)&gt;Constants!$B$14),Constants!$B$10,Constants!$B$9))))</f>
        <v/>
      </c>
      <c r="BJ403" s="128" t="str">
        <f aca="false">IF($BL403&lt;&gt;Constants!$B$4,"",IF(NOT($BC403),"",ROUND($BE403+$BF403+$BG403+$BH403,1)))</f>
        <v/>
      </c>
      <c r="BK403" s="129" t="str">
        <f aca="false">IF($BL403&lt;&gt;Constants!$B$4,"",IF(NOT($BC403),"",IF(ISNUMBER($AL403),$AL403,0)))</f>
        <v/>
      </c>
      <c r="BL403" s="124" t="str">
        <f aca="false">IF(ISBLANK($C403),"",IF($AO403,Constants!$B$7,IF(COUNTA($E403:$V403)=0,Constants!$B$6,IF(NOT($Y403),Constants!$B$5,IF(NOT(OR($AS403,$BC403)),Constants!$B$5,IF(OR($AT403,$BD403,$AQ403,$AR403&lt;&gt;""),Constants!$B$8,Constants!$B$4))))))</f>
        <v/>
      </c>
      <c r="BM403" s="124" t="str">
        <f aca="false">IF(ISBLANK($C403),"",IF($BL403&lt;&gt;Constants!$B$4,$BL403,IF($BB403="-&gt;",$BI403,$AY403)))</f>
        <v/>
      </c>
      <c r="BN403" s="127" t="str">
        <f aca="false">IF($BL403&lt;&gt;Constants!$B$4,"",IF($BB403="-&gt;",$BJ403,$AZ403))</f>
        <v/>
      </c>
      <c r="BO403" s="127" t="str">
        <f aca="false">IF(ISBLANK($C403),"",IF($BL403&lt;&gt;Constants!$B$4,$BL403,$BN403))</f>
        <v/>
      </c>
      <c r="BP403" s="124" t="str">
        <f aca="false">IF(ISBLANK($C403),"",IF($BL403&lt;&gt;Constants!$B$4,$BL403,RANK($BO403,$BO$9:$BO$508,0)))</f>
        <v/>
      </c>
      <c r="BQ403" s="124" t="str">
        <f aca="false">IF(ISBLANK($C403),"",IF($BL403&lt;&gt;Constants!$B$4,$BL403,COUNTIFS($BM$9:$BM$508,"&lt;"&amp;$BM403)+COUNTIFS($BM$9:$BM$508,$BM403,$BP$9:$BP$508,"&lt;"&amp;$BP403)+1))</f>
        <v/>
      </c>
      <c r="BR403" s="127" t="str">
        <f aca="false">IF($BL403&lt;&gt;Constants!$B$4,"",IF($BB403="-&gt;",$BH403,$AX403))</f>
        <v/>
      </c>
      <c r="BS403" s="124" t="str">
        <f aca="false">IF(ISBLANK($C403),"",IF($BL403&lt;&gt;Constants!$B$4,$BL403,IF(ISNUMBER($BR403),RANK($BR403,$BR$9:$BR$508,0),COUNT($BR$9:$BR$508)+1)))</f>
        <v/>
      </c>
      <c r="BT403" s="127" t="str">
        <f aca="false">IF($BL403&lt;&gt;Constants!$B$4,"",IF($BB403="-&gt;",$BE403,$AU403))</f>
        <v/>
      </c>
      <c r="BU403" s="124" t="str">
        <f aca="false">IF(ISBLANK($C403),"",IF($BL403&lt;&gt;Constants!$B$4,$BL403,IF(ISNUMBER($BT403),RANK($BT403,$BT$9:$BT$508,0),COUNT($BT$9:$BT$508)+1)))</f>
        <v/>
      </c>
      <c r="BV403" s="127" t="str">
        <f aca="false">IF($BL403&lt;&gt;Constants!$B$4,"",IF($BB403="-&gt;",$BF403,$AV403))</f>
        <v/>
      </c>
      <c r="BW403" s="124" t="str">
        <f aca="false">IF(ISBLANK($C403),"",IF($BL403&lt;&gt;Constants!$B$4,$BL403,IF(ISNUMBER($BV403),RANK($BV403,$BV$9:$BV$508,0),COUNT($BV$9:$BV$508)+1)))</f>
        <v/>
      </c>
      <c r="BX403" s="127" t="str">
        <f aca="false">IF($BL403&lt;&gt;Constants!$B$4,"",IF($BB403="-&gt;",$BK403,$BA403))</f>
        <v/>
      </c>
      <c r="BY403" s="124" t="str">
        <f aca="false">IF(ISBLANK($C403),"",IF($BL403&lt;&gt;Constants!$B$4,$BL403,IF(ISNUMBER($BX403),RANK($BX403,$BX$9:$BX$508,0),COUNT($BX$9:$BX$508)+1)))</f>
        <v/>
      </c>
      <c r="BZ403" s="124" t="str">
        <f aca="false">IF(ISBLANK($C403),"",IF($BL403&lt;&gt;Constants!$B$4,$BL403,COUNTIFS($BM$9:$BM$508,"&lt;"&amp;$BM403)+COUNTIFS($BM$9:$BM$508,$BM403,$BP$9:$BP$508,"&lt;"&amp;$BP403)+COUNTIFS($BM$9:$BM$508,$BM403,$BP$9:$BP$508,$BP403,$BS$9:$BS$508,"&lt;"&amp;$BS403)+COUNTIFS($BM$9:$BM$508,$BM403,$BP$9:$BP$508,$BP403,$BS$9:$BS$508,$BS403,$BU$9:$BU$508,"&lt;"&amp;$BU403)+COUNTIFS($BM$9:$BM$508,$BM403,$BP$9:$BP$508,$BP403,$BS$9:$BS$508,$BS403,$BU$9:$BU$508,$BU403,$BW$9:$BW$508,"&lt;"&amp;$BW403)+COUNTIFS($BM$9:$BM$508,$BM403,$BP$9:$BP$508,$BP403,$BS$9:$BS$508,$BS403,$BU$9:$BU$508,$BU403,$BW$9:$BW$508,$BW403,$BY$9:$BY$508,"&lt;"&amp;$BY403)+1))</f>
        <v/>
      </c>
      <c r="CA403" s="124" t="str">
        <f aca="false">IF(ISBLANK($C403),"",IF($BL403&lt;&gt;Constants!$B$4,$BL403,$BQ403-$BZ403))</f>
        <v/>
      </c>
      <c r="CB403" s="130"/>
      <c r="CC403" s="131" t="str">
        <f aca="false">IF(ISBLANK($C403),"",IF($BL403=Constants!$B$8,$AR403,""))</f>
        <v/>
      </c>
      <c r="CD403" s="131" t="str">
        <f aca="false">IF(ISBLANK($C403),"",IF($BL403&lt;&gt;Constants!$B$4,"",IF($BB403="-&gt;",2,1)))</f>
        <v/>
      </c>
      <c r="CE403" s="132" t="str">
        <f aca="false">IF(ISBLANK($C403),"",IF($BL403&lt;&gt;Constants!$B$4,"",IF($BB403="-&gt;",$BE403,$AU403)))</f>
        <v/>
      </c>
      <c r="CF403" s="132" t="str">
        <f aca="false">IF(ISBLANK($C403),"",IF($BL403&lt;&gt;Constants!$B$4,"",IF($BB403="-&gt;",$BF403,$AV403)))</f>
        <v/>
      </c>
      <c r="CG403" s="132" t="str">
        <f aca="false">IF(ISBLANK($C403),"",IF($BL403&lt;&gt;Constants!$B$4,"",IF($BB403="-&gt;",$BG403,$AW403)))</f>
        <v/>
      </c>
      <c r="CH403" s="132" t="str">
        <f aca="false">IF(ISBLANK($C403),"",IF($BL403&lt;&gt;Constants!$B$4,"",IF($BB403="-&gt;",$BH403,$AX403)))</f>
        <v/>
      </c>
      <c r="CI403" s="133" t="str">
        <f aca="false">IF(ISBLANK($C403),"",$BO403)</f>
        <v/>
      </c>
      <c r="CJ403" s="134" t="str">
        <f aca="false">IF(ISBLANK($C403),"",$BM403)</f>
        <v/>
      </c>
      <c r="CK403" s="135" t="str">
        <f aca="false">IF(ISBLANK($C403),"",$CA403)</f>
        <v/>
      </c>
      <c r="CL403" s="135" t="str">
        <f aca="false">IF(ISBLANK($C403),"",$BZ403)</f>
        <v/>
      </c>
      <c r="CM403" s="136" t="str">
        <f aca="false">IF(ISBLANK($C403),"",IF($CL403=Constants!$B$7,COUNTA($C$9:$C$508)+2,IF($CL403=Constants!$B$6,COUNTA($C$9:$C$508)+1,IF($CL403=Constants!$B$5,COUNTA($C$9:$C$508),$CL403))))</f>
        <v/>
      </c>
      <c r="CN403" s="8"/>
      <c r="CO403" s="137" t="n">
        <f aca="false">IF(OR(ISNUMBER($CL403),$CL403=Constants!$B$7,$CL403=Constants!$B$5,$CL403=Constants!$B$6),1,0)</f>
        <v>0</v>
      </c>
      <c r="CP403" s="137" t="n">
        <v>395</v>
      </c>
      <c r="CQ403" s="137" t="str">
        <f aca="false">IF(ISBLANK($C403),"",IF(ISNUMBER($CM403),$CM403+ROW($B403)/1000,""))</f>
        <v/>
      </c>
      <c r="CR403" s="137" t="str">
        <f aca="false">IF(ISNUMBER($CQ403),RANK($CQ403,$CQ$9:$CQ$508,1),"")</f>
        <v/>
      </c>
      <c r="CS403" s="137" t="str">
        <f aca="false">IF(ISBLANK($C403),"",$B403)</f>
        <v/>
      </c>
      <c r="CT403" s="137" t="str">
        <f aca="false">IF(ISBLANK($C403),"",$C403)</f>
        <v/>
      </c>
      <c r="CU403" s="137" t="str">
        <f aca="false">IF(ISBLANK($C403),"",$D403)</f>
        <v/>
      </c>
      <c r="CV403" s="138" t="str">
        <f aca="false">$CJ403</f>
        <v/>
      </c>
      <c r="CW403" s="139" t="str">
        <f aca="false">$CI403</f>
        <v/>
      </c>
      <c r="CX403" s="137" t="str">
        <f aca="false">IF(ISBLANK($C403),"",$CL403)</f>
        <v/>
      </c>
      <c r="CY403" s="140" t="str">
        <f aca="false">IF($CP403&gt;$CO$8,"",VLOOKUP($CP403,$CR$9:$CX$508,7,FALSE()))</f>
        <v/>
      </c>
      <c r="CZ403" s="141" t="str">
        <f aca="false">IF($CP403&gt;$CO$8,"",VLOOKUP($CP403,$CR$9:$CX$508,2,FALSE()))</f>
        <v/>
      </c>
      <c r="DA403" s="141" t="str">
        <f aca="false">IF($CP403&gt;$CO$8,"",VLOOKUP($CP403,$CR$9:$CX$508,3,FALSE()))</f>
        <v/>
      </c>
      <c r="DB403" s="141" t="str">
        <f aca="false">IF($CP403&gt;$CO$8,"",VLOOKUP($CP403,$CR$9:$CX$508,4,FALSE()))</f>
        <v/>
      </c>
      <c r="DC403" s="141" t="str">
        <f aca="false">IF($CP403&gt;$CO$8,"",VLOOKUP($CP403,$CR$9:$CX$508,5,FALSE()))</f>
        <v/>
      </c>
      <c r="DD403" s="142" t="str">
        <f aca="false">IF($CP403&gt;$CO$8,"",VLOOKUP($CP403,$CR$9:$CX$508,6,FALSE()))</f>
        <v/>
      </c>
      <c r="DE403" s="70"/>
    </row>
    <row r="404" customFormat="false" ht="15.75" hidden="false" customHeight="false" outlineLevel="0" collapsed="false">
      <c r="A404" s="8"/>
      <c r="B404" s="146"/>
      <c r="C404" s="147"/>
      <c r="D404" s="148"/>
      <c r="E404" s="164"/>
      <c r="F404" s="150"/>
      <c r="G404" s="115"/>
      <c r="H404" s="115"/>
      <c r="I404" s="115"/>
      <c r="J404" s="165"/>
      <c r="K404" s="154"/>
      <c r="L404" s="154"/>
      <c r="M404" s="118"/>
      <c r="N404" s="154"/>
      <c r="O404" s="153"/>
      <c r="P404" s="154"/>
      <c r="Q404" s="154"/>
      <c r="R404" s="154"/>
      <c r="S404" s="115"/>
      <c r="T404" s="154"/>
      <c r="U404" s="153"/>
      <c r="V404" s="154"/>
      <c r="W404" s="123"/>
      <c r="X404" s="124" t="str">
        <f aca="false">IF(ISBLANK($C404),"",IF($E404=Constants!$B$2,TRUE(),IF($E404=Constants!$B$3,FALSE(),TRUE())))</f>
        <v/>
      </c>
      <c r="Y404" s="124" t="str">
        <f aca="false">IF(ISBLANK($C404),"",IF($F404=Constants!$B$2,TRUE(),IF($F404=Constants!$B$3,FALSE(),TRUE())))</f>
        <v/>
      </c>
      <c r="Z404" s="125" t="str">
        <f aca="false">IF(ISBLANK($C404),"",IF(ISNUMBER($G404),IF($G404&gt;=0,$G404,""),""))</f>
        <v/>
      </c>
      <c r="AA404" s="125" t="str">
        <f aca="false">IF(ISBLANK($C404),"",IF(ISNUMBER($H404),IF($H404&gt;=0,$H404,""),""))</f>
        <v/>
      </c>
      <c r="AB404" s="125" t="str">
        <f aca="false">IF(ISBLANK($C404),"",IF(ISNUMBER($I404),IF($I404&gt;=0,$I404,""),""))</f>
        <v/>
      </c>
      <c r="AC404" s="124" t="str">
        <f aca="false">IF(ISBLANK($C404),"",IF($J404=Constants!$B$2,TRUE(),IF($J404=Constants!$B$3,FALSE(),TRUE())))</f>
        <v/>
      </c>
      <c r="AD404" s="124" t="str">
        <f aca="false">IF(ISBLANK($C404),"",IF($K404=Constants!$B$2,TRUE(),IF($K404=Constants!$B$3,FALSE(),TRUE())))</f>
        <v/>
      </c>
      <c r="AE404" s="124" t="str">
        <f aca="false">IF(ISBLANK($C404),"",IF($L404=Constants!$B$2,TRUE(),IF($L404=Constants!$B$3,FALSE(),TRUE())))</f>
        <v/>
      </c>
      <c r="AF404" s="126" t="str">
        <f aca="false">IF(ISBLANK($C404),"",IF(ISNUMBER($M404),IF($M404&gt;=0,$M404,""),""))</f>
        <v/>
      </c>
      <c r="AG404" s="124" t="str">
        <f aca="false">IF(ISBLANK($C404),"",IF(ISBLANK($N404),0,IF(ISNUMBER($N404),IF(AND($N404&gt;=0,$N404&lt;=Constants!$B$17,$N404=INT($N404)),$N404,""),"")))</f>
        <v/>
      </c>
      <c r="AH404" s="125" t="str">
        <f aca="false">IF(ISBLANK($C404),"",IF(ISBLANK($O404),0,IF(ISNUMBER($O404),IF($O404&gt;=0,$O404,""),"")))</f>
        <v/>
      </c>
      <c r="AI404" s="124" t="str">
        <f aca="false">IF(ISBLANK($C404),"",IF($P404=Constants!$B$2,TRUE(),IF($P404=Constants!$B$3,FALSE(),TRUE())))</f>
        <v/>
      </c>
      <c r="AJ404" s="124" t="str">
        <f aca="false">IF(ISBLANK($C404),"",IF($Q404=Constants!$B$2,TRUE(),IF($Q404=Constants!$B$3,FALSE(),TRUE())))</f>
        <v/>
      </c>
      <c r="AK404" s="124" t="str">
        <f aca="false">IF(ISBLANK($C404),"",IF($R404=Constants!$B$2,TRUE(),IF($R404=Constants!$B$3,FALSE(),TRUE())))</f>
        <v/>
      </c>
      <c r="AL404" s="126" t="str">
        <f aca="false">IF(ISBLANK($C404),"",IF(ISNUMBER($S404),IF($S404&gt;=0,$S404,""),""))</f>
        <v/>
      </c>
      <c r="AM404" s="124" t="str">
        <f aca="false">IF(ISBLANK($C404),"",IF(ISBLANK($T404),0,IF(ISNUMBER($T404),IF(AND($T404&gt;=0,$T404&lt;=Constants!$B$17,$T404=INT($T404)),$T404,""),"")))</f>
        <v/>
      </c>
      <c r="AN404" s="125" t="str">
        <f aca="false">IF(ISBLANK($C404),"",IF(ISBLANK($U404),0,IF(ISNUMBER($U404),IF($U404&gt;=0,$U404,""),"")))</f>
        <v/>
      </c>
      <c r="AO404" s="124" t="str">
        <f aca="false">IF(ISBLANK($C404),"",IF($V404=Constants!$B$2,TRUE(),IF($V404=Constants!$B$3,FALSE(),FALSE())))</f>
        <v/>
      </c>
      <c r="AP404" s="124"/>
      <c r="AQ404" s="123" t="str">
        <f aca="false">IF(ISBLANK($C404),"",AND($Y404,OR($AS404,$BC404),OR($Z404="",$AA404="",$AB404="")))</f>
        <v/>
      </c>
      <c r="AR404" s="123" t="str">
        <f aca="false">IF(ISBLANK($C404),"",IF(OR(NOT($Y404),NOT(OR($AS404,$BC404))),"",IF(ISBLANK($D$7),$AR$5,IF($AP$9="",$AR$6,""))))</f>
        <v/>
      </c>
      <c r="AS404" s="123" t="str">
        <f aca="false">IF(ISBLANK($C404),"",COUNTA($J404:$O404)&gt;0)</f>
        <v/>
      </c>
      <c r="AT404" s="123" t="str">
        <f aca="false">IF(ISBLANK($C404),"",AND($AS404,OR(AND($AF404="",OR($AE404,NOT(ISBLANK($M404)))),$AG404="",$AH404="")))</f>
        <v/>
      </c>
      <c r="AU404" s="125" t="str">
        <f aca="false">IF($BL404&lt;&gt;Constants!$B$4,"",IF(NOT($AS404),"",ROUND((Constants!$B$12-$AB404)+(Constants!$B$13-$Z404)+(Constants!$B$14-$AA404),1)))</f>
        <v/>
      </c>
      <c r="AV404" s="127" t="str">
        <f aca="false">IF($BL404&lt;&gt;Constants!$B$4,"",IF(NOT($AS404),"",IF(NOT($AE404),0,Constants!$B$15*(INT(ROUND(MIN($AF404,$AP$9),6))-INT(ROUND(MAX(0,MIN($AF404,2*$AP$9)-$AP$9),6))))))</f>
        <v/>
      </c>
      <c r="AW404" s="127" t="str">
        <f aca="false">IF($BL404&lt;&gt;Constants!$B$4,"",IF(NOT($AS404),"",Constants!$B$16*$AG404))</f>
        <v/>
      </c>
      <c r="AX404" s="127" t="str">
        <f aca="false">IF($BL404&lt;&gt;Constants!$B$4,"",IF(NOT($AS404),"",Constants!$B$18*INT(ROUND($AH404,6))))</f>
        <v/>
      </c>
      <c r="AY404" s="123" t="str">
        <f aca="false">IF($BL404&lt;&gt;Constants!$B$4,"",IF(NOT($AS404),"",IF(NOT($X404),Constants!$B$11,IF(OR(NOT($AC404),NOT($AD404),ROUND($AB404,1)&gt;Constants!$B$12,ROUND($Z404,1)&gt;Constants!$B$13,ROUND($AA404,1)&gt;Constants!$B$14),Constants!$B$10,Constants!$B$9))))</f>
        <v/>
      </c>
      <c r="AZ404" s="128" t="str">
        <f aca="false">IF($BL404&lt;&gt;Constants!$B$4,"",IF(NOT($AS404),"",ROUND($AU404+$AV404+$AW404+$AX404,1)))</f>
        <v/>
      </c>
      <c r="BA404" s="129" t="str">
        <f aca="false">IF($BL404&lt;&gt;Constants!$B$4,"",IF(NOT($AS404),"",IF(ISNUMBER($AF404),$AF404,0)))</f>
        <v/>
      </c>
      <c r="BB404" s="124" t="str">
        <f aca="false">IF($BL404&lt;&gt;Constants!$B$4,"",IF(NOT($BC404),"&lt;-",IF(NOT($AS404),"-&gt;",IF(OR($BI404&lt;$AY404,AND($BI404=$AY404,OR($BJ404&gt;$AZ404,AND($BJ404=$AZ404,OR($BH404&gt;$AX404,AND($BH404=$AX404,OR($BE404&gt;$AU404,AND($BE404=$AU404,OR($BF404&gt;$AV404,AND($BF404=$AV404,$BK404&gt;$BA404)))))))))),"-&gt;","&lt;-"))))</f>
        <v/>
      </c>
      <c r="BC404" s="123" t="str">
        <f aca="false">IF(ISBLANK($C404),"",COUNTA($P404:$U404)&gt;0)</f>
        <v/>
      </c>
      <c r="BD404" s="123" t="str">
        <f aca="false">IF(ISBLANK($C404),"",AND($BC404,OR(AND($AL404="",OR($AK404,NOT(ISBLANK($S404)))),$AM404="",$AN404="")))</f>
        <v/>
      </c>
      <c r="BE404" s="125" t="str">
        <f aca="false">IF($BL404&lt;&gt;Constants!$B$4,"",IF(NOT($BC404),"",ROUND((Constants!$B$12-$AB404)+(Constants!$B$13-$Z404)+(Constants!$B$14-$AA404),1)))</f>
        <v/>
      </c>
      <c r="BF404" s="127" t="str">
        <f aca="false">IF($BL404&lt;&gt;Constants!$B$4,"",IF(NOT($BC404),"",IF(NOT($AK404),0,Constants!$B$15*(INT(ROUND(MIN($AL404,$AP$9),6))-INT(ROUND(MAX(0,MIN($AL404,2*$AP$9)-$AP$9),6))))))</f>
        <v/>
      </c>
      <c r="BG404" s="127" t="str">
        <f aca="false">IF($BL404&lt;&gt;Constants!$B$4,"",IF(NOT($BC404),"",Constants!$B$16*$AM404))</f>
        <v/>
      </c>
      <c r="BH404" s="127" t="str">
        <f aca="false">IF($BL404&lt;&gt;Constants!$B$4,"",IF(NOT($BC404),"",Constants!$B$18*INT(ROUND($AN404,6))))</f>
        <v/>
      </c>
      <c r="BI404" s="123" t="str">
        <f aca="false">IF($BL404&lt;&gt;Constants!$B$4,"",IF(NOT($BC404),"",IF(NOT($X404),Constants!$B$11,IF(OR(NOT($AI404),NOT($AJ404),ROUND($AB404,1)&gt;Constants!$B$12,ROUND($Z404,1)&gt;Constants!$B$13,ROUND($AA404,1)&gt;Constants!$B$14),Constants!$B$10,Constants!$B$9))))</f>
        <v/>
      </c>
      <c r="BJ404" s="128" t="str">
        <f aca="false">IF($BL404&lt;&gt;Constants!$B$4,"",IF(NOT($BC404),"",ROUND($BE404+$BF404+$BG404+$BH404,1)))</f>
        <v/>
      </c>
      <c r="BK404" s="129" t="str">
        <f aca="false">IF($BL404&lt;&gt;Constants!$B$4,"",IF(NOT($BC404),"",IF(ISNUMBER($AL404),$AL404,0)))</f>
        <v/>
      </c>
      <c r="BL404" s="124" t="str">
        <f aca="false">IF(ISBLANK($C404),"",IF($AO404,Constants!$B$7,IF(COUNTA($E404:$V404)=0,Constants!$B$6,IF(NOT($Y404),Constants!$B$5,IF(NOT(OR($AS404,$BC404)),Constants!$B$5,IF(OR($AT404,$BD404,$AQ404,$AR404&lt;&gt;""),Constants!$B$8,Constants!$B$4))))))</f>
        <v/>
      </c>
      <c r="BM404" s="124" t="str">
        <f aca="false">IF(ISBLANK($C404),"",IF($BL404&lt;&gt;Constants!$B$4,$BL404,IF($BB404="-&gt;",$BI404,$AY404)))</f>
        <v/>
      </c>
      <c r="BN404" s="127" t="str">
        <f aca="false">IF($BL404&lt;&gt;Constants!$B$4,"",IF($BB404="-&gt;",$BJ404,$AZ404))</f>
        <v/>
      </c>
      <c r="BO404" s="127" t="str">
        <f aca="false">IF(ISBLANK($C404),"",IF($BL404&lt;&gt;Constants!$B$4,$BL404,$BN404))</f>
        <v/>
      </c>
      <c r="BP404" s="124" t="str">
        <f aca="false">IF(ISBLANK($C404),"",IF($BL404&lt;&gt;Constants!$B$4,$BL404,RANK($BO404,$BO$9:$BO$508,0)))</f>
        <v/>
      </c>
      <c r="BQ404" s="124" t="str">
        <f aca="false">IF(ISBLANK($C404),"",IF($BL404&lt;&gt;Constants!$B$4,$BL404,COUNTIFS($BM$9:$BM$508,"&lt;"&amp;$BM404)+COUNTIFS($BM$9:$BM$508,$BM404,$BP$9:$BP$508,"&lt;"&amp;$BP404)+1))</f>
        <v/>
      </c>
      <c r="BR404" s="127" t="str">
        <f aca="false">IF($BL404&lt;&gt;Constants!$B$4,"",IF($BB404="-&gt;",$BH404,$AX404))</f>
        <v/>
      </c>
      <c r="BS404" s="124" t="str">
        <f aca="false">IF(ISBLANK($C404),"",IF($BL404&lt;&gt;Constants!$B$4,$BL404,IF(ISNUMBER($BR404),RANK($BR404,$BR$9:$BR$508,0),COUNT($BR$9:$BR$508)+1)))</f>
        <v/>
      </c>
      <c r="BT404" s="127" t="str">
        <f aca="false">IF($BL404&lt;&gt;Constants!$B$4,"",IF($BB404="-&gt;",$BE404,$AU404))</f>
        <v/>
      </c>
      <c r="BU404" s="124" t="str">
        <f aca="false">IF(ISBLANK($C404),"",IF($BL404&lt;&gt;Constants!$B$4,$BL404,IF(ISNUMBER($BT404),RANK($BT404,$BT$9:$BT$508,0),COUNT($BT$9:$BT$508)+1)))</f>
        <v/>
      </c>
      <c r="BV404" s="127" t="str">
        <f aca="false">IF($BL404&lt;&gt;Constants!$B$4,"",IF($BB404="-&gt;",$BF404,$AV404))</f>
        <v/>
      </c>
      <c r="BW404" s="124" t="str">
        <f aca="false">IF(ISBLANK($C404),"",IF($BL404&lt;&gt;Constants!$B$4,$BL404,IF(ISNUMBER($BV404),RANK($BV404,$BV$9:$BV$508,0),COUNT($BV$9:$BV$508)+1)))</f>
        <v/>
      </c>
      <c r="BX404" s="127" t="str">
        <f aca="false">IF($BL404&lt;&gt;Constants!$B$4,"",IF($BB404="-&gt;",$BK404,$BA404))</f>
        <v/>
      </c>
      <c r="BY404" s="124" t="str">
        <f aca="false">IF(ISBLANK($C404),"",IF($BL404&lt;&gt;Constants!$B$4,$BL404,IF(ISNUMBER($BX404),RANK($BX404,$BX$9:$BX$508,0),COUNT($BX$9:$BX$508)+1)))</f>
        <v/>
      </c>
      <c r="BZ404" s="124" t="str">
        <f aca="false">IF(ISBLANK($C404),"",IF($BL404&lt;&gt;Constants!$B$4,$BL404,COUNTIFS($BM$9:$BM$508,"&lt;"&amp;$BM404)+COUNTIFS($BM$9:$BM$508,$BM404,$BP$9:$BP$508,"&lt;"&amp;$BP404)+COUNTIFS($BM$9:$BM$508,$BM404,$BP$9:$BP$508,$BP404,$BS$9:$BS$508,"&lt;"&amp;$BS404)+COUNTIFS($BM$9:$BM$508,$BM404,$BP$9:$BP$508,$BP404,$BS$9:$BS$508,$BS404,$BU$9:$BU$508,"&lt;"&amp;$BU404)+COUNTIFS($BM$9:$BM$508,$BM404,$BP$9:$BP$508,$BP404,$BS$9:$BS$508,$BS404,$BU$9:$BU$508,$BU404,$BW$9:$BW$508,"&lt;"&amp;$BW404)+COUNTIFS($BM$9:$BM$508,$BM404,$BP$9:$BP$508,$BP404,$BS$9:$BS$508,$BS404,$BU$9:$BU$508,$BU404,$BW$9:$BW$508,$BW404,$BY$9:$BY$508,"&lt;"&amp;$BY404)+1))</f>
        <v/>
      </c>
      <c r="CA404" s="124" t="str">
        <f aca="false">IF(ISBLANK($C404),"",IF($BL404&lt;&gt;Constants!$B$4,$BL404,$BQ404-$BZ404))</f>
        <v/>
      </c>
      <c r="CB404" s="130"/>
      <c r="CC404" s="131" t="str">
        <f aca="false">IF(ISBLANK($C404),"",IF($BL404=Constants!$B$8,$AR404,""))</f>
        <v/>
      </c>
      <c r="CD404" s="131" t="str">
        <f aca="false">IF(ISBLANK($C404),"",IF($BL404&lt;&gt;Constants!$B$4,"",IF($BB404="-&gt;",2,1)))</f>
        <v/>
      </c>
      <c r="CE404" s="132" t="str">
        <f aca="false">IF(ISBLANK($C404),"",IF($BL404&lt;&gt;Constants!$B$4,"",IF($BB404="-&gt;",$BE404,$AU404)))</f>
        <v/>
      </c>
      <c r="CF404" s="132" t="str">
        <f aca="false">IF(ISBLANK($C404),"",IF($BL404&lt;&gt;Constants!$B$4,"",IF($BB404="-&gt;",$BF404,$AV404)))</f>
        <v/>
      </c>
      <c r="CG404" s="132" t="str">
        <f aca="false">IF(ISBLANK($C404),"",IF($BL404&lt;&gt;Constants!$B$4,"",IF($BB404="-&gt;",$BG404,$AW404)))</f>
        <v/>
      </c>
      <c r="CH404" s="132" t="str">
        <f aca="false">IF(ISBLANK($C404),"",IF($BL404&lt;&gt;Constants!$B$4,"",IF($BB404="-&gt;",$BH404,$AX404)))</f>
        <v/>
      </c>
      <c r="CI404" s="133" t="str">
        <f aca="false">IF(ISBLANK($C404),"",$BO404)</f>
        <v/>
      </c>
      <c r="CJ404" s="134" t="str">
        <f aca="false">IF(ISBLANK($C404),"",$BM404)</f>
        <v/>
      </c>
      <c r="CK404" s="135" t="str">
        <f aca="false">IF(ISBLANK($C404),"",$CA404)</f>
        <v/>
      </c>
      <c r="CL404" s="135" t="str">
        <f aca="false">IF(ISBLANK($C404),"",$BZ404)</f>
        <v/>
      </c>
      <c r="CM404" s="136" t="str">
        <f aca="false">IF(ISBLANK($C404),"",IF($CL404=Constants!$B$7,COUNTA($C$9:$C$508)+2,IF($CL404=Constants!$B$6,COUNTA($C$9:$C$508)+1,IF($CL404=Constants!$B$5,COUNTA($C$9:$C$508),$CL404))))</f>
        <v/>
      </c>
      <c r="CN404" s="8"/>
      <c r="CO404" s="137" t="n">
        <f aca="false">IF(OR(ISNUMBER($CL404),$CL404=Constants!$B$7,$CL404=Constants!$B$5,$CL404=Constants!$B$6),1,0)</f>
        <v>0</v>
      </c>
      <c r="CP404" s="137" t="n">
        <v>396</v>
      </c>
      <c r="CQ404" s="137" t="str">
        <f aca="false">IF(ISBLANK($C404),"",IF(ISNUMBER($CM404),$CM404+ROW($B404)/1000,""))</f>
        <v/>
      </c>
      <c r="CR404" s="137" t="str">
        <f aca="false">IF(ISNUMBER($CQ404),RANK($CQ404,$CQ$9:$CQ$508,1),"")</f>
        <v/>
      </c>
      <c r="CS404" s="137" t="str">
        <f aca="false">IF(ISBLANK($C404),"",$B404)</f>
        <v/>
      </c>
      <c r="CT404" s="137" t="str">
        <f aca="false">IF(ISBLANK($C404),"",$C404)</f>
        <v/>
      </c>
      <c r="CU404" s="137" t="str">
        <f aca="false">IF(ISBLANK($C404),"",$D404)</f>
        <v/>
      </c>
      <c r="CV404" s="138" t="str">
        <f aca="false">$CJ404</f>
        <v/>
      </c>
      <c r="CW404" s="139" t="str">
        <f aca="false">$CI404</f>
        <v/>
      </c>
      <c r="CX404" s="137" t="str">
        <f aca="false">IF(ISBLANK($C404),"",$CL404)</f>
        <v/>
      </c>
      <c r="CY404" s="140" t="str">
        <f aca="false">IF($CP404&gt;$CO$8,"",VLOOKUP($CP404,$CR$9:$CX$508,7,FALSE()))</f>
        <v/>
      </c>
      <c r="CZ404" s="141" t="str">
        <f aca="false">IF($CP404&gt;$CO$8,"",VLOOKUP($CP404,$CR$9:$CX$508,2,FALSE()))</f>
        <v/>
      </c>
      <c r="DA404" s="141" t="str">
        <f aca="false">IF($CP404&gt;$CO$8,"",VLOOKUP($CP404,$CR$9:$CX$508,3,FALSE()))</f>
        <v/>
      </c>
      <c r="DB404" s="141" t="str">
        <f aca="false">IF($CP404&gt;$CO$8,"",VLOOKUP($CP404,$CR$9:$CX$508,4,FALSE()))</f>
        <v/>
      </c>
      <c r="DC404" s="141" t="str">
        <f aca="false">IF($CP404&gt;$CO$8,"",VLOOKUP($CP404,$CR$9:$CX$508,5,FALSE()))</f>
        <v/>
      </c>
      <c r="DD404" s="142" t="str">
        <f aca="false">IF($CP404&gt;$CO$8,"",VLOOKUP($CP404,$CR$9:$CX$508,6,FALSE()))</f>
        <v/>
      </c>
      <c r="DE404" s="70"/>
    </row>
    <row r="405" customFormat="false" ht="15.75" hidden="false" customHeight="false" outlineLevel="0" collapsed="false">
      <c r="A405" s="8"/>
      <c r="B405" s="72"/>
      <c r="C405" s="73"/>
      <c r="D405" s="155"/>
      <c r="E405" s="162"/>
      <c r="F405" s="157"/>
      <c r="G405" s="77"/>
      <c r="H405" s="77"/>
      <c r="I405" s="77"/>
      <c r="J405" s="163"/>
      <c r="K405" s="161"/>
      <c r="L405" s="161"/>
      <c r="M405" s="80"/>
      <c r="N405" s="161"/>
      <c r="O405" s="160"/>
      <c r="P405" s="161"/>
      <c r="Q405" s="161"/>
      <c r="R405" s="161"/>
      <c r="S405" s="77"/>
      <c r="T405" s="161"/>
      <c r="U405" s="160"/>
      <c r="V405" s="161"/>
      <c r="W405" s="85"/>
      <c r="X405" s="86" t="str">
        <f aca="false">IF(ISBLANK($C405),"",IF($E405=Constants!$B$2,TRUE(),IF($E405=Constants!$B$3,FALSE(),TRUE())))</f>
        <v/>
      </c>
      <c r="Y405" s="86" t="str">
        <f aca="false">IF(ISBLANK($C405),"",IF($F405=Constants!$B$2,TRUE(),IF($F405=Constants!$B$3,FALSE(),TRUE())))</f>
        <v/>
      </c>
      <c r="Z405" s="87" t="str">
        <f aca="false">IF(ISBLANK($C405),"",IF(ISNUMBER($G405),IF($G405&gt;=0,$G405,""),""))</f>
        <v/>
      </c>
      <c r="AA405" s="87" t="str">
        <f aca="false">IF(ISBLANK($C405),"",IF(ISNUMBER($H405),IF($H405&gt;=0,$H405,""),""))</f>
        <v/>
      </c>
      <c r="AB405" s="87" t="str">
        <f aca="false">IF(ISBLANK($C405),"",IF(ISNUMBER($I405),IF($I405&gt;=0,$I405,""),""))</f>
        <v/>
      </c>
      <c r="AC405" s="86" t="str">
        <f aca="false">IF(ISBLANK($C405),"",IF($J405=Constants!$B$2,TRUE(),IF($J405=Constants!$B$3,FALSE(),TRUE())))</f>
        <v/>
      </c>
      <c r="AD405" s="86" t="str">
        <f aca="false">IF(ISBLANK($C405),"",IF($K405=Constants!$B$2,TRUE(),IF($K405=Constants!$B$3,FALSE(),TRUE())))</f>
        <v/>
      </c>
      <c r="AE405" s="86" t="str">
        <f aca="false">IF(ISBLANK($C405),"",IF($L405=Constants!$B$2,TRUE(),IF($L405=Constants!$B$3,FALSE(),TRUE())))</f>
        <v/>
      </c>
      <c r="AF405" s="88" t="str">
        <f aca="false">IF(ISBLANK($C405),"",IF(ISNUMBER($M405),IF($M405&gt;=0,$M405,""),""))</f>
        <v/>
      </c>
      <c r="AG405" s="86" t="str">
        <f aca="false">IF(ISBLANK($C405),"",IF(ISBLANK($N405),0,IF(ISNUMBER($N405),IF(AND($N405&gt;=0,$N405&lt;=Constants!$B$17,$N405=INT($N405)),$N405,""),"")))</f>
        <v/>
      </c>
      <c r="AH405" s="87" t="str">
        <f aca="false">IF(ISBLANK($C405),"",IF(ISBLANK($O405),0,IF(ISNUMBER($O405),IF($O405&gt;=0,$O405,""),"")))</f>
        <v/>
      </c>
      <c r="AI405" s="86" t="str">
        <f aca="false">IF(ISBLANK($C405),"",IF($P405=Constants!$B$2,TRUE(),IF($P405=Constants!$B$3,FALSE(),TRUE())))</f>
        <v/>
      </c>
      <c r="AJ405" s="86" t="str">
        <f aca="false">IF(ISBLANK($C405),"",IF($Q405=Constants!$B$2,TRUE(),IF($Q405=Constants!$B$3,FALSE(),TRUE())))</f>
        <v/>
      </c>
      <c r="AK405" s="86" t="str">
        <f aca="false">IF(ISBLANK($C405),"",IF($R405=Constants!$B$2,TRUE(),IF($R405=Constants!$B$3,FALSE(),TRUE())))</f>
        <v/>
      </c>
      <c r="AL405" s="88" t="str">
        <f aca="false">IF(ISBLANK($C405),"",IF(ISNUMBER($S405),IF($S405&gt;=0,$S405,""),""))</f>
        <v/>
      </c>
      <c r="AM405" s="86" t="str">
        <f aca="false">IF(ISBLANK($C405),"",IF(ISBLANK($T405),0,IF(ISNUMBER($T405),IF(AND($T405&gt;=0,$T405&lt;=Constants!$B$17,$T405=INT($T405)),$T405,""),"")))</f>
        <v/>
      </c>
      <c r="AN405" s="87" t="str">
        <f aca="false">IF(ISBLANK($C405),"",IF(ISBLANK($U405),0,IF(ISNUMBER($U405),IF($U405&gt;=0,$U405,""),"")))</f>
        <v/>
      </c>
      <c r="AO405" s="86" t="str">
        <f aca="false">IF(ISBLANK($C405),"",IF($V405=Constants!$B$2,TRUE(),IF($V405=Constants!$B$3,FALSE(),FALSE())))</f>
        <v/>
      </c>
      <c r="AP405" s="86"/>
      <c r="AQ405" s="85" t="str">
        <f aca="false">IF(ISBLANK($C405),"",AND($Y405,OR($AS405,$BC405),OR($Z405="",$AA405="",$AB405="")))</f>
        <v/>
      </c>
      <c r="AR405" s="85" t="str">
        <f aca="false">IF(ISBLANK($C405),"",IF(OR(NOT($Y405),NOT(OR($AS405,$BC405))),"",IF(ISBLANK($D$7),$AR$5,IF($AP$9="",$AR$6,""))))</f>
        <v/>
      </c>
      <c r="AS405" s="85" t="str">
        <f aca="false">IF(ISBLANK($C405),"",COUNTA($J405:$O405)&gt;0)</f>
        <v/>
      </c>
      <c r="AT405" s="85" t="str">
        <f aca="false">IF(ISBLANK($C405),"",AND($AS405,OR(AND($AF405="",OR($AE405,NOT(ISBLANK($M405)))),$AG405="",$AH405="")))</f>
        <v/>
      </c>
      <c r="AU405" s="87" t="str">
        <f aca="false">IF($BL405&lt;&gt;Constants!$B$4,"",IF(NOT($AS405),"",ROUND((Constants!$B$12-$AB405)+(Constants!$B$13-$Z405)+(Constants!$B$14-$AA405),1)))</f>
        <v/>
      </c>
      <c r="AV405" s="90" t="str">
        <f aca="false">IF($BL405&lt;&gt;Constants!$B$4,"",IF(NOT($AS405),"",IF(NOT($AE405),0,Constants!$B$15*(INT(ROUND(MIN($AF405,$AP$9),6))-INT(ROUND(MAX(0,MIN($AF405,2*$AP$9)-$AP$9),6))))))</f>
        <v/>
      </c>
      <c r="AW405" s="90" t="str">
        <f aca="false">IF($BL405&lt;&gt;Constants!$B$4,"",IF(NOT($AS405),"",Constants!$B$16*$AG405))</f>
        <v/>
      </c>
      <c r="AX405" s="90" t="str">
        <f aca="false">IF($BL405&lt;&gt;Constants!$B$4,"",IF(NOT($AS405),"",Constants!$B$18*INT(ROUND($AH405,6))))</f>
        <v/>
      </c>
      <c r="AY405" s="85" t="str">
        <f aca="false">IF($BL405&lt;&gt;Constants!$B$4,"",IF(NOT($AS405),"",IF(NOT($X405),Constants!$B$11,IF(OR(NOT($AC405),NOT($AD405),ROUND($AB405,1)&gt;Constants!$B$12,ROUND($Z405,1)&gt;Constants!$B$13,ROUND($AA405,1)&gt;Constants!$B$14),Constants!$B$10,Constants!$B$9))))</f>
        <v/>
      </c>
      <c r="AZ405" s="91" t="str">
        <f aca="false">IF($BL405&lt;&gt;Constants!$B$4,"",IF(NOT($AS405),"",ROUND($AU405+$AV405+$AW405+$AX405,1)))</f>
        <v/>
      </c>
      <c r="BA405" s="92" t="str">
        <f aca="false">IF($BL405&lt;&gt;Constants!$B$4,"",IF(NOT($AS405),"",IF(ISNUMBER($AF405),$AF405,0)))</f>
        <v/>
      </c>
      <c r="BB405" s="86" t="str">
        <f aca="false">IF($BL405&lt;&gt;Constants!$B$4,"",IF(NOT($BC405),"&lt;-",IF(NOT($AS405),"-&gt;",IF(OR($BI405&lt;$AY405,AND($BI405=$AY405,OR($BJ405&gt;$AZ405,AND($BJ405=$AZ405,OR($BH405&gt;$AX405,AND($BH405=$AX405,OR($BE405&gt;$AU405,AND($BE405=$AU405,OR($BF405&gt;$AV405,AND($BF405=$AV405,$BK405&gt;$BA405)))))))))),"-&gt;","&lt;-"))))</f>
        <v/>
      </c>
      <c r="BC405" s="85" t="str">
        <f aca="false">IF(ISBLANK($C405),"",COUNTA($P405:$U405)&gt;0)</f>
        <v/>
      </c>
      <c r="BD405" s="85" t="str">
        <f aca="false">IF(ISBLANK($C405),"",AND($BC405,OR(AND($AL405="",OR($AK405,NOT(ISBLANK($S405)))),$AM405="",$AN405="")))</f>
        <v/>
      </c>
      <c r="BE405" s="87" t="str">
        <f aca="false">IF($BL405&lt;&gt;Constants!$B$4,"",IF(NOT($BC405),"",ROUND((Constants!$B$12-$AB405)+(Constants!$B$13-$Z405)+(Constants!$B$14-$AA405),1)))</f>
        <v/>
      </c>
      <c r="BF405" s="90" t="str">
        <f aca="false">IF($BL405&lt;&gt;Constants!$B$4,"",IF(NOT($BC405),"",IF(NOT($AK405),0,Constants!$B$15*(INT(ROUND(MIN($AL405,$AP$9),6))-INT(ROUND(MAX(0,MIN($AL405,2*$AP$9)-$AP$9),6))))))</f>
        <v/>
      </c>
      <c r="BG405" s="90" t="str">
        <f aca="false">IF($BL405&lt;&gt;Constants!$B$4,"",IF(NOT($BC405),"",Constants!$B$16*$AM405))</f>
        <v/>
      </c>
      <c r="BH405" s="90" t="str">
        <f aca="false">IF($BL405&lt;&gt;Constants!$B$4,"",IF(NOT($BC405),"",Constants!$B$18*INT(ROUND($AN405,6))))</f>
        <v/>
      </c>
      <c r="BI405" s="85" t="str">
        <f aca="false">IF($BL405&lt;&gt;Constants!$B$4,"",IF(NOT($BC405),"",IF(NOT($X405),Constants!$B$11,IF(OR(NOT($AI405),NOT($AJ405),ROUND($AB405,1)&gt;Constants!$B$12,ROUND($Z405,1)&gt;Constants!$B$13,ROUND($AA405,1)&gt;Constants!$B$14),Constants!$B$10,Constants!$B$9))))</f>
        <v/>
      </c>
      <c r="BJ405" s="91" t="str">
        <f aca="false">IF($BL405&lt;&gt;Constants!$B$4,"",IF(NOT($BC405),"",ROUND($BE405+$BF405+$BG405+$BH405,1)))</f>
        <v/>
      </c>
      <c r="BK405" s="92" t="str">
        <f aca="false">IF($BL405&lt;&gt;Constants!$B$4,"",IF(NOT($BC405),"",IF(ISNUMBER($AL405),$AL405,0)))</f>
        <v/>
      </c>
      <c r="BL405" s="86" t="str">
        <f aca="false">IF(ISBLANK($C405),"",IF($AO405,Constants!$B$7,IF(COUNTA($E405:$V405)=0,Constants!$B$6,IF(NOT($Y405),Constants!$B$5,IF(NOT(OR($AS405,$BC405)),Constants!$B$5,IF(OR($AT405,$BD405,$AQ405,$AR405&lt;&gt;""),Constants!$B$8,Constants!$B$4))))))</f>
        <v/>
      </c>
      <c r="BM405" s="86" t="str">
        <f aca="false">IF(ISBLANK($C405),"",IF($BL405&lt;&gt;Constants!$B$4,$BL405,IF($BB405="-&gt;",$BI405,$AY405)))</f>
        <v/>
      </c>
      <c r="BN405" s="90" t="str">
        <f aca="false">IF($BL405&lt;&gt;Constants!$B$4,"",IF($BB405="-&gt;",$BJ405,$AZ405))</f>
        <v/>
      </c>
      <c r="BO405" s="90" t="str">
        <f aca="false">IF(ISBLANK($C405),"",IF($BL405&lt;&gt;Constants!$B$4,$BL405,$BN405))</f>
        <v/>
      </c>
      <c r="BP405" s="86" t="str">
        <f aca="false">IF(ISBLANK($C405),"",IF($BL405&lt;&gt;Constants!$B$4,$BL405,RANK($BO405,$BO$9:$BO$508,0)))</f>
        <v/>
      </c>
      <c r="BQ405" s="86" t="str">
        <f aca="false">IF(ISBLANK($C405),"",IF($BL405&lt;&gt;Constants!$B$4,$BL405,COUNTIFS($BM$9:$BM$508,"&lt;"&amp;$BM405)+COUNTIFS($BM$9:$BM$508,$BM405,$BP$9:$BP$508,"&lt;"&amp;$BP405)+1))</f>
        <v/>
      </c>
      <c r="BR405" s="90" t="str">
        <f aca="false">IF($BL405&lt;&gt;Constants!$B$4,"",IF($BB405="-&gt;",$BH405,$AX405))</f>
        <v/>
      </c>
      <c r="BS405" s="86" t="str">
        <f aca="false">IF(ISBLANK($C405),"",IF($BL405&lt;&gt;Constants!$B$4,$BL405,IF(ISNUMBER($BR405),RANK($BR405,$BR$9:$BR$508,0),COUNT($BR$9:$BR$508)+1)))</f>
        <v/>
      </c>
      <c r="BT405" s="90" t="str">
        <f aca="false">IF($BL405&lt;&gt;Constants!$B$4,"",IF($BB405="-&gt;",$BE405,$AU405))</f>
        <v/>
      </c>
      <c r="BU405" s="86" t="str">
        <f aca="false">IF(ISBLANK($C405),"",IF($BL405&lt;&gt;Constants!$B$4,$BL405,IF(ISNUMBER($BT405),RANK($BT405,$BT$9:$BT$508,0),COUNT($BT$9:$BT$508)+1)))</f>
        <v/>
      </c>
      <c r="BV405" s="90" t="str">
        <f aca="false">IF($BL405&lt;&gt;Constants!$B$4,"",IF($BB405="-&gt;",$BF405,$AV405))</f>
        <v/>
      </c>
      <c r="BW405" s="86" t="str">
        <f aca="false">IF(ISBLANK($C405),"",IF($BL405&lt;&gt;Constants!$B$4,$BL405,IF(ISNUMBER($BV405),RANK($BV405,$BV$9:$BV$508,0),COUNT($BV$9:$BV$508)+1)))</f>
        <v/>
      </c>
      <c r="BX405" s="90" t="str">
        <f aca="false">IF($BL405&lt;&gt;Constants!$B$4,"",IF($BB405="-&gt;",$BK405,$BA405))</f>
        <v/>
      </c>
      <c r="BY405" s="86" t="str">
        <f aca="false">IF(ISBLANK($C405),"",IF($BL405&lt;&gt;Constants!$B$4,$BL405,IF(ISNUMBER($BX405),RANK($BX405,$BX$9:$BX$508,0),COUNT($BX$9:$BX$508)+1)))</f>
        <v/>
      </c>
      <c r="BZ405" s="86" t="str">
        <f aca="false">IF(ISBLANK($C405),"",IF($BL405&lt;&gt;Constants!$B$4,$BL405,COUNTIFS($BM$9:$BM$508,"&lt;"&amp;$BM405)+COUNTIFS($BM$9:$BM$508,$BM405,$BP$9:$BP$508,"&lt;"&amp;$BP405)+COUNTIFS($BM$9:$BM$508,$BM405,$BP$9:$BP$508,$BP405,$BS$9:$BS$508,"&lt;"&amp;$BS405)+COUNTIFS($BM$9:$BM$508,$BM405,$BP$9:$BP$508,$BP405,$BS$9:$BS$508,$BS405,$BU$9:$BU$508,"&lt;"&amp;$BU405)+COUNTIFS($BM$9:$BM$508,$BM405,$BP$9:$BP$508,$BP405,$BS$9:$BS$508,$BS405,$BU$9:$BU$508,$BU405,$BW$9:$BW$508,"&lt;"&amp;$BW405)+COUNTIFS($BM$9:$BM$508,$BM405,$BP$9:$BP$508,$BP405,$BS$9:$BS$508,$BS405,$BU$9:$BU$508,$BU405,$BW$9:$BW$508,$BW405,$BY$9:$BY$508,"&lt;"&amp;$BY405)+1))</f>
        <v/>
      </c>
      <c r="CA405" s="86" t="str">
        <f aca="false">IF(ISBLANK($C405),"",IF($BL405&lt;&gt;Constants!$B$4,$BL405,$BQ405-$BZ405))</f>
        <v/>
      </c>
      <c r="CB405" s="93"/>
      <c r="CC405" s="94" t="str">
        <f aca="false">IF(ISBLANK($C405),"",IF($BL405=Constants!$B$8,$AR405,""))</f>
        <v/>
      </c>
      <c r="CD405" s="94" t="str">
        <f aca="false">IF(ISBLANK($C405),"",IF($BL405&lt;&gt;Constants!$B$4,"",IF($BB405="-&gt;",2,1)))</f>
        <v/>
      </c>
      <c r="CE405" s="95" t="str">
        <f aca="false">IF(ISBLANK($C405),"",IF($BL405&lt;&gt;Constants!$B$4,"",IF($BB405="-&gt;",$BE405,$AU405)))</f>
        <v/>
      </c>
      <c r="CF405" s="95" t="str">
        <f aca="false">IF(ISBLANK($C405),"",IF($BL405&lt;&gt;Constants!$B$4,"",IF($BB405="-&gt;",$BF405,$AV405)))</f>
        <v/>
      </c>
      <c r="CG405" s="95" t="str">
        <f aca="false">IF(ISBLANK($C405),"",IF($BL405&lt;&gt;Constants!$B$4,"",IF($BB405="-&gt;",$BG405,$AW405)))</f>
        <v/>
      </c>
      <c r="CH405" s="95" t="str">
        <f aca="false">IF(ISBLANK($C405),"",IF($BL405&lt;&gt;Constants!$B$4,"",IF($BB405="-&gt;",$BH405,$AX405)))</f>
        <v/>
      </c>
      <c r="CI405" s="96" t="str">
        <f aca="false">IF(ISBLANK($C405),"",$BO405)</f>
        <v/>
      </c>
      <c r="CJ405" s="97" t="str">
        <f aca="false">IF(ISBLANK($C405),"",$BM405)</f>
        <v/>
      </c>
      <c r="CK405" s="98" t="str">
        <f aca="false">IF(ISBLANK($C405),"",$CA405)</f>
        <v/>
      </c>
      <c r="CL405" s="98" t="str">
        <f aca="false">IF(ISBLANK($C405),"",$BZ405)</f>
        <v/>
      </c>
      <c r="CM405" s="99" t="str">
        <f aca="false">IF(ISBLANK($C405),"",IF($CL405=Constants!$B$7,COUNTA($C$9:$C$508)+2,IF($CL405=Constants!$B$6,COUNTA($C$9:$C$508)+1,IF($CL405=Constants!$B$5,COUNTA($C$9:$C$508),$CL405))))</f>
        <v/>
      </c>
      <c r="CN405" s="8"/>
      <c r="CO405" s="100" t="n">
        <f aca="false">IF(OR(ISNUMBER($CL405),$CL405=Constants!$B$7,$CL405=Constants!$B$5,$CL405=Constants!$B$6),1,0)</f>
        <v>0</v>
      </c>
      <c r="CP405" s="100" t="n">
        <v>397</v>
      </c>
      <c r="CQ405" s="100" t="str">
        <f aca="false">IF(ISBLANK($C405),"",IF(ISNUMBER($CM405),$CM405+ROW($B405)/1000,""))</f>
        <v/>
      </c>
      <c r="CR405" s="100" t="str">
        <f aca="false">IF(ISNUMBER($CQ405),RANK($CQ405,$CQ$9:$CQ$508,1),"")</f>
        <v/>
      </c>
      <c r="CS405" s="100" t="str">
        <f aca="false">IF(ISBLANK($C405),"",$B405)</f>
        <v/>
      </c>
      <c r="CT405" s="100" t="str">
        <f aca="false">IF(ISBLANK($C405),"",$C405)</f>
        <v/>
      </c>
      <c r="CU405" s="100" t="str">
        <f aca="false">IF(ISBLANK($C405),"",$D405)</f>
        <v/>
      </c>
      <c r="CV405" s="101" t="str">
        <f aca="false">$CJ405</f>
        <v/>
      </c>
      <c r="CW405" s="102" t="str">
        <f aca="false">$CI405</f>
        <v/>
      </c>
      <c r="CX405" s="100" t="str">
        <f aca="false">IF(ISBLANK($C405),"",$CL405)</f>
        <v/>
      </c>
      <c r="CY405" s="103" t="str">
        <f aca="false">IF($CP405&gt;$CO$8,"",VLOOKUP($CP405,$CR$9:$CX$508,7,FALSE()))</f>
        <v/>
      </c>
      <c r="CZ405" s="104" t="str">
        <f aca="false">IF($CP405&gt;$CO$8,"",VLOOKUP($CP405,$CR$9:$CX$508,2,FALSE()))</f>
        <v/>
      </c>
      <c r="DA405" s="104" t="str">
        <f aca="false">IF($CP405&gt;$CO$8,"",VLOOKUP($CP405,$CR$9:$CX$508,3,FALSE()))</f>
        <v/>
      </c>
      <c r="DB405" s="104" t="str">
        <f aca="false">IF($CP405&gt;$CO$8,"",VLOOKUP($CP405,$CR$9:$CX$508,4,FALSE()))</f>
        <v/>
      </c>
      <c r="DC405" s="104" t="str">
        <f aca="false">IF($CP405&gt;$CO$8,"",VLOOKUP($CP405,$CR$9:$CX$508,5,FALSE()))</f>
        <v/>
      </c>
      <c r="DD405" s="105" t="str">
        <f aca="false">IF($CP405&gt;$CO$8,"",VLOOKUP($CP405,$CR$9:$CX$508,6,FALSE()))</f>
        <v/>
      </c>
      <c r="DE405" s="70"/>
    </row>
    <row r="406" customFormat="false" ht="15.75" hidden="false" customHeight="false" outlineLevel="0" collapsed="false">
      <c r="A406" s="8"/>
      <c r="B406" s="72"/>
      <c r="C406" s="73"/>
      <c r="D406" s="155"/>
      <c r="E406" s="162"/>
      <c r="F406" s="157"/>
      <c r="G406" s="77"/>
      <c r="H406" s="77"/>
      <c r="I406" s="77"/>
      <c r="J406" s="163"/>
      <c r="K406" s="161"/>
      <c r="L406" s="161"/>
      <c r="M406" s="80"/>
      <c r="N406" s="161"/>
      <c r="O406" s="160"/>
      <c r="P406" s="161"/>
      <c r="Q406" s="161"/>
      <c r="R406" s="161"/>
      <c r="S406" s="77"/>
      <c r="T406" s="161"/>
      <c r="U406" s="160"/>
      <c r="V406" s="161"/>
      <c r="W406" s="85"/>
      <c r="X406" s="86" t="str">
        <f aca="false">IF(ISBLANK($C406),"",IF($E406=Constants!$B$2,TRUE(),IF($E406=Constants!$B$3,FALSE(),TRUE())))</f>
        <v/>
      </c>
      <c r="Y406" s="86" t="str">
        <f aca="false">IF(ISBLANK($C406),"",IF($F406=Constants!$B$2,TRUE(),IF($F406=Constants!$B$3,FALSE(),TRUE())))</f>
        <v/>
      </c>
      <c r="Z406" s="87" t="str">
        <f aca="false">IF(ISBLANK($C406),"",IF(ISNUMBER($G406),IF($G406&gt;=0,$G406,""),""))</f>
        <v/>
      </c>
      <c r="AA406" s="87" t="str">
        <f aca="false">IF(ISBLANK($C406),"",IF(ISNUMBER($H406),IF($H406&gt;=0,$H406,""),""))</f>
        <v/>
      </c>
      <c r="AB406" s="87" t="str">
        <f aca="false">IF(ISBLANK($C406),"",IF(ISNUMBER($I406),IF($I406&gt;=0,$I406,""),""))</f>
        <v/>
      </c>
      <c r="AC406" s="86" t="str">
        <f aca="false">IF(ISBLANK($C406),"",IF($J406=Constants!$B$2,TRUE(),IF($J406=Constants!$B$3,FALSE(),TRUE())))</f>
        <v/>
      </c>
      <c r="AD406" s="86" t="str">
        <f aca="false">IF(ISBLANK($C406),"",IF($K406=Constants!$B$2,TRUE(),IF($K406=Constants!$B$3,FALSE(),TRUE())))</f>
        <v/>
      </c>
      <c r="AE406" s="86" t="str">
        <f aca="false">IF(ISBLANK($C406),"",IF($L406=Constants!$B$2,TRUE(),IF($L406=Constants!$B$3,FALSE(),TRUE())))</f>
        <v/>
      </c>
      <c r="AF406" s="88" t="str">
        <f aca="false">IF(ISBLANK($C406),"",IF(ISNUMBER($M406),IF($M406&gt;=0,$M406,""),""))</f>
        <v/>
      </c>
      <c r="AG406" s="86" t="str">
        <f aca="false">IF(ISBLANK($C406),"",IF(ISBLANK($N406),0,IF(ISNUMBER($N406),IF(AND($N406&gt;=0,$N406&lt;=Constants!$B$17,$N406=INT($N406)),$N406,""),"")))</f>
        <v/>
      </c>
      <c r="AH406" s="87" t="str">
        <f aca="false">IF(ISBLANK($C406),"",IF(ISBLANK($O406),0,IF(ISNUMBER($O406),IF($O406&gt;=0,$O406,""),"")))</f>
        <v/>
      </c>
      <c r="AI406" s="86" t="str">
        <f aca="false">IF(ISBLANK($C406),"",IF($P406=Constants!$B$2,TRUE(),IF($P406=Constants!$B$3,FALSE(),TRUE())))</f>
        <v/>
      </c>
      <c r="AJ406" s="86" t="str">
        <f aca="false">IF(ISBLANK($C406),"",IF($Q406=Constants!$B$2,TRUE(),IF($Q406=Constants!$B$3,FALSE(),TRUE())))</f>
        <v/>
      </c>
      <c r="AK406" s="86" t="str">
        <f aca="false">IF(ISBLANK($C406),"",IF($R406=Constants!$B$2,TRUE(),IF($R406=Constants!$B$3,FALSE(),TRUE())))</f>
        <v/>
      </c>
      <c r="AL406" s="88" t="str">
        <f aca="false">IF(ISBLANK($C406),"",IF(ISNUMBER($S406),IF($S406&gt;=0,$S406,""),""))</f>
        <v/>
      </c>
      <c r="AM406" s="86" t="str">
        <f aca="false">IF(ISBLANK($C406),"",IF(ISBLANK($T406),0,IF(ISNUMBER($T406),IF(AND($T406&gt;=0,$T406&lt;=Constants!$B$17,$T406=INT($T406)),$T406,""),"")))</f>
        <v/>
      </c>
      <c r="AN406" s="87" t="str">
        <f aca="false">IF(ISBLANK($C406),"",IF(ISBLANK($U406),0,IF(ISNUMBER($U406),IF($U406&gt;=0,$U406,""),"")))</f>
        <v/>
      </c>
      <c r="AO406" s="86" t="str">
        <f aca="false">IF(ISBLANK($C406),"",IF($V406=Constants!$B$2,TRUE(),IF($V406=Constants!$B$3,FALSE(),FALSE())))</f>
        <v/>
      </c>
      <c r="AP406" s="86"/>
      <c r="AQ406" s="85" t="str">
        <f aca="false">IF(ISBLANK($C406),"",AND($Y406,OR($AS406,$BC406),OR($Z406="",$AA406="",$AB406="")))</f>
        <v/>
      </c>
      <c r="AR406" s="85" t="str">
        <f aca="false">IF(ISBLANK($C406),"",IF(OR(NOT($Y406),NOT(OR($AS406,$BC406))),"",IF(ISBLANK($D$7),$AR$5,IF($AP$9="",$AR$6,""))))</f>
        <v/>
      </c>
      <c r="AS406" s="85" t="str">
        <f aca="false">IF(ISBLANK($C406),"",COUNTA($J406:$O406)&gt;0)</f>
        <v/>
      </c>
      <c r="AT406" s="85" t="str">
        <f aca="false">IF(ISBLANK($C406),"",AND($AS406,OR(AND($AF406="",OR($AE406,NOT(ISBLANK($M406)))),$AG406="",$AH406="")))</f>
        <v/>
      </c>
      <c r="AU406" s="87" t="str">
        <f aca="false">IF($BL406&lt;&gt;Constants!$B$4,"",IF(NOT($AS406),"",ROUND((Constants!$B$12-$AB406)+(Constants!$B$13-$Z406)+(Constants!$B$14-$AA406),1)))</f>
        <v/>
      </c>
      <c r="AV406" s="90" t="str">
        <f aca="false">IF($BL406&lt;&gt;Constants!$B$4,"",IF(NOT($AS406),"",IF(NOT($AE406),0,Constants!$B$15*(INT(ROUND(MIN($AF406,$AP$9),6))-INT(ROUND(MAX(0,MIN($AF406,2*$AP$9)-$AP$9),6))))))</f>
        <v/>
      </c>
      <c r="AW406" s="90" t="str">
        <f aca="false">IF($BL406&lt;&gt;Constants!$B$4,"",IF(NOT($AS406),"",Constants!$B$16*$AG406))</f>
        <v/>
      </c>
      <c r="AX406" s="90" t="str">
        <f aca="false">IF($BL406&lt;&gt;Constants!$B$4,"",IF(NOT($AS406),"",Constants!$B$18*INT(ROUND($AH406,6))))</f>
        <v/>
      </c>
      <c r="AY406" s="85" t="str">
        <f aca="false">IF($BL406&lt;&gt;Constants!$B$4,"",IF(NOT($AS406),"",IF(NOT($X406),Constants!$B$11,IF(OR(NOT($AC406),NOT($AD406),ROUND($AB406,1)&gt;Constants!$B$12,ROUND($Z406,1)&gt;Constants!$B$13,ROUND($AA406,1)&gt;Constants!$B$14),Constants!$B$10,Constants!$B$9))))</f>
        <v/>
      </c>
      <c r="AZ406" s="91" t="str">
        <f aca="false">IF($BL406&lt;&gt;Constants!$B$4,"",IF(NOT($AS406),"",ROUND($AU406+$AV406+$AW406+$AX406,1)))</f>
        <v/>
      </c>
      <c r="BA406" s="92" t="str">
        <f aca="false">IF($BL406&lt;&gt;Constants!$B$4,"",IF(NOT($AS406),"",IF(ISNUMBER($AF406),$AF406,0)))</f>
        <v/>
      </c>
      <c r="BB406" s="86" t="str">
        <f aca="false">IF($BL406&lt;&gt;Constants!$B$4,"",IF(NOT($BC406),"&lt;-",IF(NOT($AS406),"-&gt;",IF(OR($BI406&lt;$AY406,AND($BI406=$AY406,OR($BJ406&gt;$AZ406,AND($BJ406=$AZ406,OR($BH406&gt;$AX406,AND($BH406=$AX406,OR($BE406&gt;$AU406,AND($BE406=$AU406,OR($BF406&gt;$AV406,AND($BF406=$AV406,$BK406&gt;$BA406)))))))))),"-&gt;","&lt;-"))))</f>
        <v/>
      </c>
      <c r="BC406" s="85" t="str">
        <f aca="false">IF(ISBLANK($C406),"",COUNTA($P406:$U406)&gt;0)</f>
        <v/>
      </c>
      <c r="BD406" s="85" t="str">
        <f aca="false">IF(ISBLANK($C406),"",AND($BC406,OR(AND($AL406="",OR($AK406,NOT(ISBLANK($S406)))),$AM406="",$AN406="")))</f>
        <v/>
      </c>
      <c r="BE406" s="87" t="str">
        <f aca="false">IF($BL406&lt;&gt;Constants!$B$4,"",IF(NOT($BC406),"",ROUND((Constants!$B$12-$AB406)+(Constants!$B$13-$Z406)+(Constants!$B$14-$AA406),1)))</f>
        <v/>
      </c>
      <c r="BF406" s="90" t="str">
        <f aca="false">IF($BL406&lt;&gt;Constants!$B$4,"",IF(NOT($BC406),"",IF(NOT($AK406),0,Constants!$B$15*(INT(ROUND(MIN($AL406,$AP$9),6))-INT(ROUND(MAX(0,MIN($AL406,2*$AP$9)-$AP$9),6))))))</f>
        <v/>
      </c>
      <c r="BG406" s="90" t="str">
        <f aca="false">IF($BL406&lt;&gt;Constants!$B$4,"",IF(NOT($BC406),"",Constants!$B$16*$AM406))</f>
        <v/>
      </c>
      <c r="BH406" s="90" t="str">
        <f aca="false">IF($BL406&lt;&gt;Constants!$B$4,"",IF(NOT($BC406),"",Constants!$B$18*INT(ROUND($AN406,6))))</f>
        <v/>
      </c>
      <c r="BI406" s="85" t="str">
        <f aca="false">IF($BL406&lt;&gt;Constants!$B$4,"",IF(NOT($BC406),"",IF(NOT($X406),Constants!$B$11,IF(OR(NOT($AI406),NOT($AJ406),ROUND($AB406,1)&gt;Constants!$B$12,ROUND($Z406,1)&gt;Constants!$B$13,ROUND($AA406,1)&gt;Constants!$B$14),Constants!$B$10,Constants!$B$9))))</f>
        <v/>
      </c>
      <c r="BJ406" s="91" t="str">
        <f aca="false">IF($BL406&lt;&gt;Constants!$B$4,"",IF(NOT($BC406),"",ROUND($BE406+$BF406+$BG406+$BH406,1)))</f>
        <v/>
      </c>
      <c r="BK406" s="92" t="str">
        <f aca="false">IF($BL406&lt;&gt;Constants!$B$4,"",IF(NOT($BC406),"",IF(ISNUMBER($AL406),$AL406,0)))</f>
        <v/>
      </c>
      <c r="BL406" s="86" t="str">
        <f aca="false">IF(ISBLANK($C406),"",IF($AO406,Constants!$B$7,IF(COUNTA($E406:$V406)=0,Constants!$B$6,IF(NOT($Y406),Constants!$B$5,IF(NOT(OR($AS406,$BC406)),Constants!$B$5,IF(OR($AT406,$BD406,$AQ406,$AR406&lt;&gt;""),Constants!$B$8,Constants!$B$4))))))</f>
        <v/>
      </c>
      <c r="BM406" s="86" t="str">
        <f aca="false">IF(ISBLANK($C406),"",IF($BL406&lt;&gt;Constants!$B$4,$BL406,IF($BB406="-&gt;",$BI406,$AY406)))</f>
        <v/>
      </c>
      <c r="BN406" s="90" t="str">
        <f aca="false">IF($BL406&lt;&gt;Constants!$B$4,"",IF($BB406="-&gt;",$BJ406,$AZ406))</f>
        <v/>
      </c>
      <c r="BO406" s="90" t="str">
        <f aca="false">IF(ISBLANK($C406),"",IF($BL406&lt;&gt;Constants!$B$4,$BL406,$BN406))</f>
        <v/>
      </c>
      <c r="BP406" s="86" t="str">
        <f aca="false">IF(ISBLANK($C406),"",IF($BL406&lt;&gt;Constants!$B$4,$BL406,RANK($BO406,$BO$9:$BO$508,0)))</f>
        <v/>
      </c>
      <c r="BQ406" s="86" t="str">
        <f aca="false">IF(ISBLANK($C406),"",IF($BL406&lt;&gt;Constants!$B$4,$BL406,COUNTIFS($BM$9:$BM$508,"&lt;"&amp;$BM406)+COUNTIFS($BM$9:$BM$508,$BM406,$BP$9:$BP$508,"&lt;"&amp;$BP406)+1))</f>
        <v/>
      </c>
      <c r="BR406" s="90" t="str">
        <f aca="false">IF($BL406&lt;&gt;Constants!$B$4,"",IF($BB406="-&gt;",$BH406,$AX406))</f>
        <v/>
      </c>
      <c r="BS406" s="86" t="str">
        <f aca="false">IF(ISBLANK($C406),"",IF($BL406&lt;&gt;Constants!$B$4,$BL406,IF(ISNUMBER($BR406),RANK($BR406,$BR$9:$BR$508,0),COUNT($BR$9:$BR$508)+1)))</f>
        <v/>
      </c>
      <c r="BT406" s="90" t="str">
        <f aca="false">IF($BL406&lt;&gt;Constants!$B$4,"",IF($BB406="-&gt;",$BE406,$AU406))</f>
        <v/>
      </c>
      <c r="BU406" s="86" t="str">
        <f aca="false">IF(ISBLANK($C406),"",IF($BL406&lt;&gt;Constants!$B$4,$BL406,IF(ISNUMBER($BT406),RANK($BT406,$BT$9:$BT$508,0),COUNT($BT$9:$BT$508)+1)))</f>
        <v/>
      </c>
      <c r="BV406" s="90" t="str">
        <f aca="false">IF($BL406&lt;&gt;Constants!$B$4,"",IF($BB406="-&gt;",$BF406,$AV406))</f>
        <v/>
      </c>
      <c r="BW406" s="86" t="str">
        <f aca="false">IF(ISBLANK($C406),"",IF($BL406&lt;&gt;Constants!$B$4,$BL406,IF(ISNUMBER($BV406),RANK($BV406,$BV$9:$BV$508,0),COUNT($BV$9:$BV$508)+1)))</f>
        <v/>
      </c>
      <c r="BX406" s="90" t="str">
        <f aca="false">IF($BL406&lt;&gt;Constants!$B$4,"",IF($BB406="-&gt;",$BK406,$BA406))</f>
        <v/>
      </c>
      <c r="BY406" s="86" t="str">
        <f aca="false">IF(ISBLANK($C406),"",IF($BL406&lt;&gt;Constants!$B$4,$BL406,IF(ISNUMBER($BX406),RANK($BX406,$BX$9:$BX$508,0),COUNT($BX$9:$BX$508)+1)))</f>
        <v/>
      </c>
      <c r="BZ406" s="86" t="str">
        <f aca="false">IF(ISBLANK($C406),"",IF($BL406&lt;&gt;Constants!$B$4,$BL406,COUNTIFS($BM$9:$BM$508,"&lt;"&amp;$BM406)+COUNTIFS($BM$9:$BM$508,$BM406,$BP$9:$BP$508,"&lt;"&amp;$BP406)+COUNTIFS($BM$9:$BM$508,$BM406,$BP$9:$BP$508,$BP406,$BS$9:$BS$508,"&lt;"&amp;$BS406)+COUNTIFS($BM$9:$BM$508,$BM406,$BP$9:$BP$508,$BP406,$BS$9:$BS$508,$BS406,$BU$9:$BU$508,"&lt;"&amp;$BU406)+COUNTIFS($BM$9:$BM$508,$BM406,$BP$9:$BP$508,$BP406,$BS$9:$BS$508,$BS406,$BU$9:$BU$508,$BU406,$BW$9:$BW$508,"&lt;"&amp;$BW406)+COUNTIFS($BM$9:$BM$508,$BM406,$BP$9:$BP$508,$BP406,$BS$9:$BS$508,$BS406,$BU$9:$BU$508,$BU406,$BW$9:$BW$508,$BW406,$BY$9:$BY$508,"&lt;"&amp;$BY406)+1))</f>
        <v/>
      </c>
      <c r="CA406" s="86" t="str">
        <f aca="false">IF(ISBLANK($C406),"",IF($BL406&lt;&gt;Constants!$B$4,$BL406,$BQ406-$BZ406))</f>
        <v/>
      </c>
      <c r="CB406" s="93"/>
      <c r="CC406" s="94" t="str">
        <f aca="false">IF(ISBLANK($C406),"",IF($BL406=Constants!$B$8,$AR406,""))</f>
        <v/>
      </c>
      <c r="CD406" s="94" t="str">
        <f aca="false">IF(ISBLANK($C406),"",IF($BL406&lt;&gt;Constants!$B$4,"",IF($BB406="-&gt;",2,1)))</f>
        <v/>
      </c>
      <c r="CE406" s="95" t="str">
        <f aca="false">IF(ISBLANK($C406),"",IF($BL406&lt;&gt;Constants!$B$4,"",IF($BB406="-&gt;",$BE406,$AU406)))</f>
        <v/>
      </c>
      <c r="CF406" s="95" t="str">
        <f aca="false">IF(ISBLANK($C406),"",IF($BL406&lt;&gt;Constants!$B$4,"",IF($BB406="-&gt;",$BF406,$AV406)))</f>
        <v/>
      </c>
      <c r="CG406" s="95" t="str">
        <f aca="false">IF(ISBLANK($C406),"",IF($BL406&lt;&gt;Constants!$B$4,"",IF($BB406="-&gt;",$BG406,$AW406)))</f>
        <v/>
      </c>
      <c r="CH406" s="95" t="str">
        <f aca="false">IF(ISBLANK($C406),"",IF($BL406&lt;&gt;Constants!$B$4,"",IF($BB406="-&gt;",$BH406,$AX406)))</f>
        <v/>
      </c>
      <c r="CI406" s="96" t="str">
        <f aca="false">IF(ISBLANK($C406),"",$BO406)</f>
        <v/>
      </c>
      <c r="CJ406" s="97" t="str">
        <f aca="false">IF(ISBLANK($C406),"",$BM406)</f>
        <v/>
      </c>
      <c r="CK406" s="98" t="str">
        <f aca="false">IF(ISBLANK($C406),"",$CA406)</f>
        <v/>
      </c>
      <c r="CL406" s="98" t="str">
        <f aca="false">IF(ISBLANK($C406),"",$BZ406)</f>
        <v/>
      </c>
      <c r="CM406" s="99" t="str">
        <f aca="false">IF(ISBLANK($C406),"",IF($CL406=Constants!$B$7,COUNTA($C$9:$C$508)+2,IF($CL406=Constants!$B$6,COUNTA($C$9:$C$508)+1,IF($CL406=Constants!$B$5,COUNTA($C$9:$C$508),$CL406))))</f>
        <v/>
      </c>
      <c r="CN406" s="8"/>
      <c r="CO406" s="100" t="n">
        <f aca="false">IF(OR(ISNUMBER($CL406),$CL406=Constants!$B$7,$CL406=Constants!$B$5,$CL406=Constants!$B$6),1,0)</f>
        <v>0</v>
      </c>
      <c r="CP406" s="100" t="n">
        <v>398</v>
      </c>
      <c r="CQ406" s="100" t="str">
        <f aca="false">IF(ISBLANK($C406),"",IF(ISNUMBER($CM406),$CM406+ROW($B406)/1000,""))</f>
        <v/>
      </c>
      <c r="CR406" s="100" t="str">
        <f aca="false">IF(ISNUMBER($CQ406),RANK($CQ406,$CQ$9:$CQ$508,1),"")</f>
        <v/>
      </c>
      <c r="CS406" s="100" t="str">
        <f aca="false">IF(ISBLANK($C406),"",$B406)</f>
        <v/>
      </c>
      <c r="CT406" s="100" t="str">
        <f aca="false">IF(ISBLANK($C406),"",$C406)</f>
        <v/>
      </c>
      <c r="CU406" s="100" t="str">
        <f aca="false">IF(ISBLANK($C406),"",$D406)</f>
        <v/>
      </c>
      <c r="CV406" s="101" t="str">
        <f aca="false">$CJ406</f>
        <v/>
      </c>
      <c r="CW406" s="102" t="str">
        <f aca="false">$CI406</f>
        <v/>
      </c>
      <c r="CX406" s="100" t="str">
        <f aca="false">IF(ISBLANK($C406),"",$CL406)</f>
        <v/>
      </c>
      <c r="CY406" s="103" t="str">
        <f aca="false">IF($CP406&gt;$CO$8,"",VLOOKUP($CP406,$CR$9:$CX$508,7,FALSE()))</f>
        <v/>
      </c>
      <c r="CZ406" s="104" t="str">
        <f aca="false">IF($CP406&gt;$CO$8,"",VLOOKUP($CP406,$CR$9:$CX$508,2,FALSE()))</f>
        <v/>
      </c>
      <c r="DA406" s="104" t="str">
        <f aca="false">IF($CP406&gt;$CO$8,"",VLOOKUP($CP406,$CR$9:$CX$508,3,FALSE()))</f>
        <v/>
      </c>
      <c r="DB406" s="104" t="str">
        <f aca="false">IF($CP406&gt;$CO$8,"",VLOOKUP($CP406,$CR$9:$CX$508,4,FALSE()))</f>
        <v/>
      </c>
      <c r="DC406" s="104" t="str">
        <f aca="false">IF($CP406&gt;$CO$8,"",VLOOKUP($CP406,$CR$9:$CX$508,5,FALSE()))</f>
        <v/>
      </c>
      <c r="DD406" s="105" t="str">
        <f aca="false">IF($CP406&gt;$CO$8,"",VLOOKUP($CP406,$CR$9:$CX$508,6,FALSE()))</f>
        <v/>
      </c>
      <c r="DE406" s="70"/>
    </row>
    <row r="407" customFormat="false" ht="15.75" hidden="false" customHeight="false" outlineLevel="0" collapsed="false">
      <c r="A407" s="8"/>
      <c r="B407" s="72"/>
      <c r="C407" s="73"/>
      <c r="D407" s="155"/>
      <c r="E407" s="162"/>
      <c r="F407" s="157"/>
      <c r="G407" s="77"/>
      <c r="H407" s="77"/>
      <c r="I407" s="77"/>
      <c r="J407" s="163"/>
      <c r="K407" s="161"/>
      <c r="L407" s="161"/>
      <c r="M407" s="80"/>
      <c r="N407" s="161"/>
      <c r="O407" s="160"/>
      <c r="P407" s="161"/>
      <c r="Q407" s="161"/>
      <c r="R407" s="161"/>
      <c r="S407" s="77"/>
      <c r="T407" s="161"/>
      <c r="U407" s="160"/>
      <c r="V407" s="161"/>
      <c r="W407" s="85"/>
      <c r="X407" s="86" t="str">
        <f aca="false">IF(ISBLANK($C407),"",IF($E407=Constants!$B$2,TRUE(),IF($E407=Constants!$B$3,FALSE(),TRUE())))</f>
        <v/>
      </c>
      <c r="Y407" s="86" t="str">
        <f aca="false">IF(ISBLANK($C407),"",IF($F407=Constants!$B$2,TRUE(),IF($F407=Constants!$B$3,FALSE(),TRUE())))</f>
        <v/>
      </c>
      <c r="Z407" s="87" t="str">
        <f aca="false">IF(ISBLANK($C407),"",IF(ISNUMBER($G407),IF($G407&gt;=0,$G407,""),""))</f>
        <v/>
      </c>
      <c r="AA407" s="87" t="str">
        <f aca="false">IF(ISBLANK($C407),"",IF(ISNUMBER($H407),IF($H407&gt;=0,$H407,""),""))</f>
        <v/>
      </c>
      <c r="AB407" s="87" t="str">
        <f aca="false">IF(ISBLANK($C407),"",IF(ISNUMBER($I407),IF($I407&gt;=0,$I407,""),""))</f>
        <v/>
      </c>
      <c r="AC407" s="86" t="str">
        <f aca="false">IF(ISBLANK($C407),"",IF($J407=Constants!$B$2,TRUE(),IF($J407=Constants!$B$3,FALSE(),TRUE())))</f>
        <v/>
      </c>
      <c r="AD407" s="86" t="str">
        <f aca="false">IF(ISBLANK($C407),"",IF($K407=Constants!$B$2,TRUE(),IF($K407=Constants!$B$3,FALSE(),TRUE())))</f>
        <v/>
      </c>
      <c r="AE407" s="86" t="str">
        <f aca="false">IF(ISBLANK($C407),"",IF($L407=Constants!$B$2,TRUE(),IF($L407=Constants!$B$3,FALSE(),TRUE())))</f>
        <v/>
      </c>
      <c r="AF407" s="88" t="str">
        <f aca="false">IF(ISBLANK($C407),"",IF(ISNUMBER($M407),IF($M407&gt;=0,$M407,""),""))</f>
        <v/>
      </c>
      <c r="AG407" s="86" t="str">
        <f aca="false">IF(ISBLANK($C407),"",IF(ISBLANK($N407),0,IF(ISNUMBER($N407),IF(AND($N407&gt;=0,$N407&lt;=Constants!$B$17,$N407=INT($N407)),$N407,""),"")))</f>
        <v/>
      </c>
      <c r="AH407" s="87" t="str">
        <f aca="false">IF(ISBLANK($C407),"",IF(ISBLANK($O407),0,IF(ISNUMBER($O407),IF($O407&gt;=0,$O407,""),"")))</f>
        <v/>
      </c>
      <c r="AI407" s="86" t="str">
        <f aca="false">IF(ISBLANK($C407),"",IF($P407=Constants!$B$2,TRUE(),IF($P407=Constants!$B$3,FALSE(),TRUE())))</f>
        <v/>
      </c>
      <c r="AJ407" s="86" t="str">
        <f aca="false">IF(ISBLANK($C407),"",IF($Q407=Constants!$B$2,TRUE(),IF($Q407=Constants!$B$3,FALSE(),TRUE())))</f>
        <v/>
      </c>
      <c r="AK407" s="86" t="str">
        <f aca="false">IF(ISBLANK($C407),"",IF($R407=Constants!$B$2,TRUE(),IF($R407=Constants!$B$3,FALSE(),TRUE())))</f>
        <v/>
      </c>
      <c r="AL407" s="88" t="str">
        <f aca="false">IF(ISBLANK($C407),"",IF(ISNUMBER($S407),IF($S407&gt;=0,$S407,""),""))</f>
        <v/>
      </c>
      <c r="AM407" s="86" t="str">
        <f aca="false">IF(ISBLANK($C407),"",IF(ISBLANK($T407),0,IF(ISNUMBER($T407),IF(AND($T407&gt;=0,$T407&lt;=Constants!$B$17,$T407=INT($T407)),$T407,""),"")))</f>
        <v/>
      </c>
      <c r="AN407" s="87" t="str">
        <f aca="false">IF(ISBLANK($C407),"",IF(ISBLANK($U407),0,IF(ISNUMBER($U407),IF($U407&gt;=0,$U407,""),"")))</f>
        <v/>
      </c>
      <c r="AO407" s="86" t="str">
        <f aca="false">IF(ISBLANK($C407),"",IF($V407=Constants!$B$2,TRUE(),IF($V407=Constants!$B$3,FALSE(),FALSE())))</f>
        <v/>
      </c>
      <c r="AP407" s="86"/>
      <c r="AQ407" s="85" t="str">
        <f aca="false">IF(ISBLANK($C407),"",AND($Y407,OR($AS407,$BC407),OR($Z407="",$AA407="",$AB407="")))</f>
        <v/>
      </c>
      <c r="AR407" s="85" t="str">
        <f aca="false">IF(ISBLANK($C407),"",IF(OR(NOT($Y407),NOT(OR($AS407,$BC407))),"",IF(ISBLANK($D$7),$AR$5,IF($AP$9="",$AR$6,""))))</f>
        <v/>
      </c>
      <c r="AS407" s="85" t="str">
        <f aca="false">IF(ISBLANK($C407),"",COUNTA($J407:$O407)&gt;0)</f>
        <v/>
      </c>
      <c r="AT407" s="85" t="str">
        <f aca="false">IF(ISBLANK($C407),"",AND($AS407,OR(AND($AF407="",OR($AE407,NOT(ISBLANK($M407)))),$AG407="",$AH407="")))</f>
        <v/>
      </c>
      <c r="AU407" s="87" t="str">
        <f aca="false">IF($BL407&lt;&gt;Constants!$B$4,"",IF(NOT($AS407),"",ROUND((Constants!$B$12-$AB407)+(Constants!$B$13-$Z407)+(Constants!$B$14-$AA407),1)))</f>
        <v/>
      </c>
      <c r="AV407" s="90" t="str">
        <f aca="false">IF($BL407&lt;&gt;Constants!$B$4,"",IF(NOT($AS407),"",IF(NOT($AE407),0,Constants!$B$15*(INT(ROUND(MIN($AF407,$AP$9),6))-INT(ROUND(MAX(0,MIN($AF407,2*$AP$9)-$AP$9),6))))))</f>
        <v/>
      </c>
      <c r="AW407" s="90" t="str">
        <f aca="false">IF($BL407&lt;&gt;Constants!$B$4,"",IF(NOT($AS407),"",Constants!$B$16*$AG407))</f>
        <v/>
      </c>
      <c r="AX407" s="90" t="str">
        <f aca="false">IF($BL407&lt;&gt;Constants!$B$4,"",IF(NOT($AS407),"",Constants!$B$18*INT(ROUND($AH407,6))))</f>
        <v/>
      </c>
      <c r="AY407" s="85" t="str">
        <f aca="false">IF($BL407&lt;&gt;Constants!$B$4,"",IF(NOT($AS407),"",IF(NOT($X407),Constants!$B$11,IF(OR(NOT($AC407),NOT($AD407),ROUND($AB407,1)&gt;Constants!$B$12,ROUND($Z407,1)&gt;Constants!$B$13,ROUND($AA407,1)&gt;Constants!$B$14),Constants!$B$10,Constants!$B$9))))</f>
        <v/>
      </c>
      <c r="AZ407" s="91" t="str">
        <f aca="false">IF($BL407&lt;&gt;Constants!$B$4,"",IF(NOT($AS407),"",ROUND($AU407+$AV407+$AW407+$AX407,1)))</f>
        <v/>
      </c>
      <c r="BA407" s="92" t="str">
        <f aca="false">IF($BL407&lt;&gt;Constants!$B$4,"",IF(NOT($AS407),"",IF(ISNUMBER($AF407),$AF407,0)))</f>
        <v/>
      </c>
      <c r="BB407" s="86" t="str">
        <f aca="false">IF($BL407&lt;&gt;Constants!$B$4,"",IF(NOT($BC407),"&lt;-",IF(NOT($AS407),"-&gt;",IF(OR($BI407&lt;$AY407,AND($BI407=$AY407,OR($BJ407&gt;$AZ407,AND($BJ407=$AZ407,OR($BH407&gt;$AX407,AND($BH407=$AX407,OR($BE407&gt;$AU407,AND($BE407=$AU407,OR($BF407&gt;$AV407,AND($BF407=$AV407,$BK407&gt;$BA407)))))))))),"-&gt;","&lt;-"))))</f>
        <v/>
      </c>
      <c r="BC407" s="85" t="str">
        <f aca="false">IF(ISBLANK($C407),"",COUNTA($P407:$U407)&gt;0)</f>
        <v/>
      </c>
      <c r="BD407" s="85" t="str">
        <f aca="false">IF(ISBLANK($C407),"",AND($BC407,OR(AND($AL407="",OR($AK407,NOT(ISBLANK($S407)))),$AM407="",$AN407="")))</f>
        <v/>
      </c>
      <c r="BE407" s="87" t="str">
        <f aca="false">IF($BL407&lt;&gt;Constants!$B$4,"",IF(NOT($BC407),"",ROUND((Constants!$B$12-$AB407)+(Constants!$B$13-$Z407)+(Constants!$B$14-$AA407),1)))</f>
        <v/>
      </c>
      <c r="BF407" s="90" t="str">
        <f aca="false">IF($BL407&lt;&gt;Constants!$B$4,"",IF(NOT($BC407),"",IF(NOT($AK407),0,Constants!$B$15*(INT(ROUND(MIN($AL407,$AP$9),6))-INT(ROUND(MAX(0,MIN($AL407,2*$AP$9)-$AP$9),6))))))</f>
        <v/>
      </c>
      <c r="BG407" s="90" t="str">
        <f aca="false">IF($BL407&lt;&gt;Constants!$B$4,"",IF(NOT($BC407),"",Constants!$B$16*$AM407))</f>
        <v/>
      </c>
      <c r="BH407" s="90" t="str">
        <f aca="false">IF($BL407&lt;&gt;Constants!$B$4,"",IF(NOT($BC407),"",Constants!$B$18*INT(ROUND($AN407,6))))</f>
        <v/>
      </c>
      <c r="BI407" s="85" t="str">
        <f aca="false">IF($BL407&lt;&gt;Constants!$B$4,"",IF(NOT($BC407),"",IF(NOT($X407),Constants!$B$11,IF(OR(NOT($AI407),NOT($AJ407),ROUND($AB407,1)&gt;Constants!$B$12,ROUND($Z407,1)&gt;Constants!$B$13,ROUND($AA407,1)&gt;Constants!$B$14),Constants!$B$10,Constants!$B$9))))</f>
        <v/>
      </c>
      <c r="BJ407" s="91" t="str">
        <f aca="false">IF($BL407&lt;&gt;Constants!$B$4,"",IF(NOT($BC407),"",ROUND($BE407+$BF407+$BG407+$BH407,1)))</f>
        <v/>
      </c>
      <c r="BK407" s="92" t="str">
        <f aca="false">IF($BL407&lt;&gt;Constants!$B$4,"",IF(NOT($BC407),"",IF(ISNUMBER($AL407),$AL407,0)))</f>
        <v/>
      </c>
      <c r="BL407" s="86" t="str">
        <f aca="false">IF(ISBLANK($C407),"",IF($AO407,Constants!$B$7,IF(COUNTA($E407:$V407)=0,Constants!$B$6,IF(NOT($Y407),Constants!$B$5,IF(NOT(OR($AS407,$BC407)),Constants!$B$5,IF(OR($AT407,$BD407,$AQ407,$AR407&lt;&gt;""),Constants!$B$8,Constants!$B$4))))))</f>
        <v/>
      </c>
      <c r="BM407" s="86" t="str">
        <f aca="false">IF(ISBLANK($C407),"",IF($BL407&lt;&gt;Constants!$B$4,$BL407,IF($BB407="-&gt;",$BI407,$AY407)))</f>
        <v/>
      </c>
      <c r="BN407" s="90" t="str">
        <f aca="false">IF($BL407&lt;&gt;Constants!$B$4,"",IF($BB407="-&gt;",$BJ407,$AZ407))</f>
        <v/>
      </c>
      <c r="BO407" s="90" t="str">
        <f aca="false">IF(ISBLANK($C407),"",IF($BL407&lt;&gt;Constants!$B$4,$BL407,$BN407))</f>
        <v/>
      </c>
      <c r="BP407" s="86" t="str">
        <f aca="false">IF(ISBLANK($C407),"",IF($BL407&lt;&gt;Constants!$B$4,$BL407,RANK($BO407,$BO$9:$BO$508,0)))</f>
        <v/>
      </c>
      <c r="BQ407" s="86" t="str">
        <f aca="false">IF(ISBLANK($C407),"",IF($BL407&lt;&gt;Constants!$B$4,$BL407,COUNTIFS($BM$9:$BM$508,"&lt;"&amp;$BM407)+COUNTIFS($BM$9:$BM$508,$BM407,$BP$9:$BP$508,"&lt;"&amp;$BP407)+1))</f>
        <v/>
      </c>
      <c r="BR407" s="90" t="str">
        <f aca="false">IF($BL407&lt;&gt;Constants!$B$4,"",IF($BB407="-&gt;",$BH407,$AX407))</f>
        <v/>
      </c>
      <c r="BS407" s="86" t="str">
        <f aca="false">IF(ISBLANK($C407),"",IF($BL407&lt;&gt;Constants!$B$4,$BL407,IF(ISNUMBER($BR407),RANK($BR407,$BR$9:$BR$508,0),COUNT($BR$9:$BR$508)+1)))</f>
        <v/>
      </c>
      <c r="BT407" s="90" t="str">
        <f aca="false">IF($BL407&lt;&gt;Constants!$B$4,"",IF($BB407="-&gt;",$BE407,$AU407))</f>
        <v/>
      </c>
      <c r="BU407" s="86" t="str">
        <f aca="false">IF(ISBLANK($C407),"",IF($BL407&lt;&gt;Constants!$B$4,$BL407,IF(ISNUMBER($BT407),RANK($BT407,$BT$9:$BT$508,0),COUNT($BT$9:$BT$508)+1)))</f>
        <v/>
      </c>
      <c r="BV407" s="90" t="str">
        <f aca="false">IF($BL407&lt;&gt;Constants!$B$4,"",IF($BB407="-&gt;",$BF407,$AV407))</f>
        <v/>
      </c>
      <c r="BW407" s="86" t="str">
        <f aca="false">IF(ISBLANK($C407),"",IF($BL407&lt;&gt;Constants!$B$4,$BL407,IF(ISNUMBER($BV407),RANK($BV407,$BV$9:$BV$508,0),COUNT($BV$9:$BV$508)+1)))</f>
        <v/>
      </c>
      <c r="BX407" s="90" t="str">
        <f aca="false">IF($BL407&lt;&gt;Constants!$B$4,"",IF($BB407="-&gt;",$BK407,$BA407))</f>
        <v/>
      </c>
      <c r="BY407" s="86" t="str">
        <f aca="false">IF(ISBLANK($C407),"",IF($BL407&lt;&gt;Constants!$B$4,$BL407,IF(ISNUMBER($BX407),RANK($BX407,$BX$9:$BX$508,0),COUNT($BX$9:$BX$508)+1)))</f>
        <v/>
      </c>
      <c r="BZ407" s="86" t="str">
        <f aca="false">IF(ISBLANK($C407),"",IF($BL407&lt;&gt;Constants!$B$4,$BL407,COUNTIFS($BM$9:$BM$508,"&lt;"&amp;$BM407)+COUNTIFS($BM$9:$BM$508,$BM407,$BP$9:$BP$508,"&lt;"&amp;$BP407)+COUNTIFS($BM$9:$BM$508,$BM407,$BP$9:$BP$508,$BP407,$BS$9:$BS$508,"&lt;"&amp;$BS407)+COUNTIFS($BM$9:$BM$508,$BM407,$BP$9:$BP$508,$BP407,$BS$9:$BS$508,$BS407,$BU$9:$BU$508,"&lt;"&amp;$BU407)+COUNTIFS($BM$9:$BM$508,$BM407,$BP$9:$BP$508,$BP407,$BS$9:$BS$508,$BS407,$BU$9:$BU$508,$BU407,$BW$9:$BW$508,"&lt;"&amp;$BW407)+COUNTIFS($BM$9:$BM$508,$BM407,$BP$9:$BP$508,$BP407,$BS$9:$BS$508,$BS407,$BU$9:$BU$508,$BU407,$BW$9:$BW$508,$BW407,$BY$9:$BY$508,"&lt;"&amp;$BY407)+1))</f>
        <v/>
      </c>
      <c r="CA407" s="86" t="str">
        <f aca="false">IF(ISBLANK($C407),"",IF($BL407&lt;&gt;Constants!$B$4,$BL407,$BQ407-$BZ407))</f>
        <v/>
      </c>
      <c r="CB407" s="93"/>
      <c r="CC407" s="94" t="str">
        <f aca="false">IF(ISBLANK($C407),"",IF($BL407=Constants!$B$8,$AR407,""))</f>
        <v/>
      </c>
      <c r="CD407" s="94" t="str">
        <f aca="false">IF(ISBLANK($C407),"",IF($BL407&lt;&gt;Constants!$B$4,"",IF($BB407="-&gt;",2,1)))</f>
        <v/>
      </c>
      <c r="CE407" s="95" t="str">
        <f aca="false">IF(ISBLANK($C407),"",IF($BL407&lt;&gt;Constants!$B$4,"",IF($BB407="-&gt;",$BE407,$AU407)))</f>
        <v/>
      </c>
      <c r="CF407" s="95" t="str">
        <f aca="false">IF(ISBLANK($C407),"",IF($BL407&lt;&gt;Constants!$B$4,"",IF($BB407="-&gt;",$BF407,$AV407)))</f>
        <v/>
      </c>
      <c r="CG407" s="95" t="str">
        <f aca="false">IF(ISBLANK($C407),"",IF($BL407&lt;&gt;Constants!$B$4,"",IF($BB407="-&gt;",$BG407,$AW407)))</f>
        <v/>
      </c>
      <c r="CH407" s="95" t="str">
        <f aca="false">IF(ISBLANK($C407),"",IF($BL407&lt;&gt;Constants!$B$4,"",IF($BB407="-&gt;",$BH407,$AX407)))</f>
        <v/>
      </c>
      <c r="CI407" s="96" t="str">
        <f aca="false">IF(ISBLANK($C407),"",$BO407)</f>
        <v/>
      </c>
      <c r="CJ407" s="97" t="str">
        <f aca="false">IF(ISBLANK($C407),"",$BM407)</f>
        <v/>
      </c>
      <c r="CK407" s="98" t="str">
        <f aca="false">IF(ISBLANK($C407),"",$CA407)</f>
        <v/>
      </c>
      <c r="CL407" s="98" t="str">
        <f aca="false">IF(ISBLANK($C407),"",$BZ407)</f>
        <v/>
      </c>
      <c r="CM407" s="99" t="str">
        <f aca="false">IF(ISBLANK($C407),"",IF($CL407=Constants!$B$7,COUNTA($C$9:$C$508)+2,IF($CL407=Constants!$B$6,COUNTA($C$9:$C$508)+1,IF($CL407=Constants!$B$5,COUNTA($C$9:$C$508),$CL407))))</f>
        <v/>
      </c>
      <c r="CN407" s="8"/>
      <c r="CO407" s="100" t="n">
        <f aca="false">IF(OR(ISNUMBER($CL407),$CL407=Constants!$B$7,$CL407=Constants!$B$5,$CL407=Constants!$B$6),1,0)</f>
        <v>0</v>
      </c>
      <c r="CP407" s="100" t="n">
        <v>399</v>
      </c>
      <c r="CQ407" s="100" t="str">
        <f aca="false">IF(ISBLANK($C407),"",IF(ISNUMBER($CM407),$CM407+ROW($B407)/1000,""))</f>
        <v/>
      </c>
      <c r="CR407" s="100" t="str">
        <f aca="false">IF(ISNUMBER($CQ407),RANK($CQ407,$CQ$9:$CQ$508,1),"")</f>
        <v/>
      </c>
      <c r="CS407" s="100" t="str">
        <f aca="false">IF(ISBLANK($C407),"",$B407)</f>
        <v/>
      </c>
      <c r="CT407" s="100" t="str">
        <f aca="false">IF(ISBLANK($C407),"",$C407)</f>
        <v/>
      </c>
      <c r="CU407" s="100" t="str">
        <f aca="false">IF(ISBLANK($C407),"",$D407)</f>
        <v/>
      </c>
      <c r="CV407" s="101" t="str">
        <f aca="false">$CJ407</f>
        <v/>
      </c>
      <c r="CW407" s="102" t="str">
        <f aca="false">$CI407</f>
        <v/>
      </c>
      <c r="CX407" s="100" t="str">
        <f aca="false">IF(ISBLANK($C407),"",$CL407)</f>
        <v/>
      </c>
      <c r="CY407" s="103" t="str">
        <f aca="false">IF($CP407&gt;$CO$8,"",VLOOKUP($CP407,$CR$9:$CX$508,7,FALSE()))</f>
        <v/>
      </c>
      <c r="CZ407" s="104" t="str">
        <f aca="false">IF($CP407&gt;$CO$8,"",VLOOKUP($CP407,$CR$9:$CX$508,2,FALSE()))</f>
        <v/>
      </c>
      <c r="DA407" s="104" t="str">
        <f aca="false">IF($CP407&gt;$CO$8,"",VLOOKUP($CP407,$CR$9:$CX$508,3,FALSE()))</f>
        <v/>
      </c>
      <c r="DB407" s="104" t="str">
        <f aca="false">IF($CP407&gt;$CO$8,"",VLOOKUP($CP407,$CR$9:$CX$508,4,FALSE()))</f>
        <v/>
      </c>
      <c r="DC407" s="104" t="str">
        <f aca="false">IF($CP407&gt;$CO$8,"",VLOOKUP($CP407,$CR$9:$CX$508,5,FALSE()))</f>
        <v/>
      </c>
      <c r="DD407" s="105" t="str">
        <f aca="false">IF($CP407&gt;$CO$8,"",VLOOKUP($CP407,$CR$9:$CX$508,6,FALSE()))</f>
        <v/>
      </c>
      <c r="DE407" s="70"/>
    </row>
    <row r="408" customFormat="false" ht="15.75" hidden="false" customHeight="false" outlineLevel="0" collapsed="false">
      <c r="A408" s="8"/>
      <c r="B408" s="146"/>
      <c r="C408" s="147"/>
      <c r="D408" s="148"/>
      <c r="E408" s="164"/>
      <c r="F408" s="150"/>
      <c r="G408" s="115"/>
      <c r="H408" s="115"/>
      <c r="I408" s="115"/>
      <c r="J408" s="165"/>
      <c r="K408" s="154"/>
      <c r="L408" s="154"/>
      <c r="M408" s="118"/>
      <c r="N408" s="154"/>
      <c r="O408" s="153"/>
      <c r="P408" s="154"/>
      <c r="Q408" s="154"/>
      <c r="R408" s="154"/>
      <c r="S408" s="115"/>
      <c r="T408" s="154"/>
      <c r="U408" s="153"/>
      <c r="V408" s="154"/>
      <c r="W408" s="123"/>
      <c r="X408" s="124" t="str">
        <f aca="false">IF(ISBLANK($C408),"",IF($E408=Constants!$B$2,TRUE(),IF($E408=Constants!$B$3,FALSE(),TRUE())))</f>
        <v/>
      </c>
      <c r="Y408" s="124" t="str">
        <f aca="false">IF(ISBLANK($C408),"",IF($F408=Constants!$B$2,TRUE(),IF($F408=Constants!$B$3,FALSE(),TRUE())))</f>
        <v/>
      </c>
      <c r="Z408" s="125" t="str">
        <f aca="false">IF(ISBLANK($C408),"",IF(ISNUMBER($G408),IF($G408&gt;=0,$G408,""),""))</f>
        <v/>
      </c>
      <c r="AA408" s="125" t="str">
        <f aca="false">IF(ISBLANK($C408),"",IF(ISNUMBER($H408),IF($H408&gt;=0,$H408,""),""))</f>
        <v/>
      </c>
      <c r="AB408" s="125" t="str">
        <f aca="false">IF(ISBLANK($C408),"",IF(ISNUMBER($I408),IF($I408&gt;=0,$I408,""),""))</f>
        <v/>
      </c>
      <c r="AC408" s="124" t="str">
        <f aca="false">IF(ISBLANK($C408),"",IF($J408=Constants!$B$2,TRUE(),IF($J408=Constants!$B$3,FALSE(),TRUE())))</f>
        <v/>
      </c>
      <c r="AD408" s="124" t="str">
        <f aca="false">IF(ISBLANK($C408),"",IF($K408=Constants!$B$2,TRUE(),IF($K408=Constants!$B$3,FALSE(),TRUE())))</f>
        <v/>
      </c>
      <c r="AE408" s="124" t="str">
        <f aca="false">IF(ISBLANK($C408),"",IF($L408=Constants!$B$2,TRUE(),IF($L408=Constants!$B$3,FALSE(),TRUE())))</f>
        <v/>
      </c>
      <c r="AF408" s="126" t="str">
        <f aca="false">IF(ISBLANK($C408),"",IF(ISNUMBER($M408),IF($M408&gt;=0,$M408,""),""))</f>
        <v/>
      </c>
      <c r="AG408" s="124" t="str">
        <f aca="false">IF(ISBLANK($C408),"",IF(ISBLANK($N408),0,IF(ISNUMBER($N408),IF(AND($N408&gt;=0,$N408&lt;=Constants!$B$17,$N408=INT($N408)),$N408,""),"")))</f>
        <v/>
      </c>
      <c r="AH408" s="125" t="str">
        <f aca="false">IF(ISBLANK($C408),"",IF(ISBLANK($O408),0,IF(ISNUMBER($O408),IF($O408&gt;=0,$O408,""),"")))</f>
        <v/>
      </c>
      <c r="AI408" s="124" t="str">
        <f aca="false">IF(ISBLANK($C408),"",IF($P408=Constants!$B$2,TRUE(),IF($P408=Constants!$B$3,FALSE(),TRUE())))</f>
        <v/>
      </c>
      <c r="AJ408" s="124" t="str">
        <f aca="false">IF(ISBLANK($C408),"",IF($Q408=Constants!$B$2,TRUE(),IF($Q408=Constants!$B$3,FALSE(),TRUE())))</f>
        <v/>
      </c>
      <c r="AK408" s="124" t="str">
        <f aca="false">IF(ISBLANK($C408),"",IF($R408=Constants!$B$2,TRUE(),IF($R408=Constants!$B$3,FALSE(),TRUE())))</f>
        <v/>
      </c>
      <c r="AL408" s="126" t="str">
        <f aca="false">IF(ISBLANK($C408),"",IF(ISNUMBER($S408),IF($S408&gt;=0,$S408,""),""))</f>
        <v/>
      </c>
      <c r="AM408" s="124" t="str">
        <f aca="false">IF(ISBLANK($C408),"",IF(ISBLANK($T408),0,IF(ISNUMBER($T408),IF(AND($T408&gt;=0,$T408&lt;=Constants!$B$17,$T408=INT($T408)),$T408,""),"")))</f>
        <v/>
      </c>
      <c r="AN408" s="125" t="str">
        <f aca="false">IF(ISBLANK($C408),"",IF(ISBLANK($U408),0,IF(ISNUMBER($U408),IF($U408&gt;=0,$U408,""),"")))</f>
        <v/>
      </c>
      <c r="AO408" s="124" t="str">
        <f aca="false">IF(ISBLANK($C408),"",IF($V408=Constants!$B$2,TRUE(),IF($V408=Constants!$B$3,FALSE(),FALSE())))</f>
        <v/>
      </c>
      <c r="AP408" s="124"/>
      <c r="AQ408" s="123" t="str">
        <f aca="false">IF(ISBLANK($C408),"",AND($Y408,OR($AS408,$BC408),OR($Z408="",$AA408="",$AB408="")))</f>
        <v/>
      </c>
      <c r="AR408" s="123" t="str">
        <f aca="false">IF(ISBLANK($C408),"",IF(OR(NOT($Y408),NOT(OR($AS408,$BC408))),"",IF(ISBLANK($D$7),$AR$5,IF($AP$9="",$AR$6,""))))</f>
        <v/>
      </c>
      <c r="AS408" s="123" t="str">
        <f aca="false">IF(ISBLANK($C408),"",COUNTA($J408:$O408)&gt;0)</f>
        <v/>
      </c>
      <c r="AT408" s="123" t="str">
        <f aca="false">IF(ISBLANK($C408),"",AND($AS408,OR(AND($AF408="",OR($AE408,NOT(ISBLANK($M408)))),$AG408="",$AH408="")))</f>
        <v/>
      </c>
      <c r="AU408" s="125" t="str">
        <f aca="false">IF($BL408&lt;&gt;Constants!$B$4,"",IF(NOT($AS408),"",ROUND((Constants!$B$12-$AB408)+(Constants!$B$13-$Z408)+(Constants!$B$14-$AA408),1)))</f>
        <v/>
      </c>
      <c r="AV408" s="127" t="str">
        <f aca="false">IF($BL408&lt;&gt;Constants!$B$4,"",IF(NOT($AS408),"",IF(NOT($AE408),0,Constants!$B$15*(INT(ROUND(MIN($AF408,$AP$9),6))-INT(ROUND(MAX(0,MIN($AF408,2*$AP$9)-$AP$9),6))))))</f>
        <v/>
      </c>
      <c r="AW408" s="127" t="str">
        <f aca="false">IF($BL408&lt;&gt;Constants!$B$4,"",IF(NOT($AS408),"",Constants!$B$16*$AG408))</f>
        <v/>
      </c>
      <c r="AX408" s="127" t="str">
        <f aca="false">IF($BL408&lt;&gt;Constants!$B$4,"",IF(NOT($AS408),"",Constants!$B$18*INT(ROUND($AH408,6))))</f>
        <v/>
      </c>
      <c r="AY408" s="123" t="str">
        <f aca="false">IF($BL408&lt;&gt;Constants!$B$4,"",IF(NOT($AS408),"",IF(NOT($X408),Constants!$B$11,IF(OR(NOT($AC408),NOT($AD408),ROUND($AB408,1)&gt;Constants!$B$12,ROUND($Z408,1)&gt;Constants!$B$13,ROUND($AA408,1)&gt;Constants!$B$14),Constants!$B$10,Constants!$B$9))))</f>
        <v/>
      </c>
      <c r="AZ408" s="128" t="str">
        <f aca="false">IF($BL408&lt;&gt;Constants!$B$4,"",IF(NOT($AS408),"",ROUND($AU408+$AV408+$AW408+$AX408,1)))</f>
        <v/>
      </c>
      <c r="BA408" s="129" t="str">
        <f aca="false">IF($BL408&lt;&gt;Constants!$B$4,"",IF(NOT($AS408),"",IF(ISNUMBER($AF408),$AF408,0)))</f>
        <v/>
      </c>
      <c r="BB408" s="124" t="str">
        <f aca="false">IF($BL408&lt;&gt;Constants!$B$4,"",IF(NOT($BC408),"&lt;-",IF(NOT($AS408),"-&gt;",IF(OR($BI408&lt;$AY408,AND($BI408=$AY408,OR($BJ408&gt;$AZ408,AND($BJ408=$AZ408,OR($BH408&gt;$AX408,AND($BH408=$AX408,OR($BE408&gt;$AU408,AND($BE408=$AU408,OR($BF408&gt;$AV408,AND($BF408=$AV408,$BK408&gt;$BA408)))))))))),"-&gt;","&lt;-"))))</f>
        <v/>
      </c>
      <c r="BC408" s="123" t="str">
        <f aca="false">IF(ISBLANK($C408),"",COUNTA($P408:$U408)&gt;0)</f>
        <v/>
      </c>
      <c r="BD408" s="123" t="str">
        <f aca="false">IF(ISBLANK($C408),"",AND($BC408,OR(AND($AL408="",OR($AK408,NOT(ISBLANK($S408)))),$AM408="",$AN408="")))</f>
        <v/>
      </c>
      <c r="BE408" s="125" t="str">
        <f aca="false">IF($BL408&lt;&gt;Constants!$B$4,"",IF(NOT($BC408),"",ROUND((Constants!$B$12-$AB408)+(Constants!$B$13-$Z408)+(Constants!$B$14-$AA408),1)))</f>
        <v/>
      </c>
      <c r="BF408" s="127" t="str">
        <f aca="false">IF($BL408&lt;&gt;Constants!$B$4,"",IF(NOT($BC408),"",IF(NOT($AK408),0,Constants!$B$15*(INT(ROUND(MIN($AL408,$AP$9),6))-INT(ROUND(MAX(0,MIN($AL408,2*$AP$9)-$AP$9),6))))))</f>
        <v/>
      </c>
      <c r="BG408" s="127" t="str">
        <f aca="false">IF($BL408&lt;&gt;Constants!$B$4,"",IF(NOT($BC408),"",Constants!$B$16*$AM408))</f>
        <v/>
      </c>
      <c r="BH408" s="127" t="str">
        <f aca="false">IF($BL408&lt;&gt;Constants!$B$4,"",IF(NOT($BC408),"",Constants!$B$18*INT(ROUND($AN408,6))))</f>
        <v/>
      </c>
      <c r="BI408" s="123" t="str">
        <f aca="false">IF($BL408&lt;&gt;Constants!$B$4,"",IF(NOT($BC408),"",IF(NOT($X408),Constants!$B$11,IF(OR(NOT($AI408),NOT($AJ408),ROUND($AB408,1)&gt;Constants!$B$12,ROUND($Z408,1)&gt;Constants!$B$13,ROUND($AA408,1)&gt;Constants!$B$14),Constants!$B$10,Constants!$B$9))))</f>
        <v/>
      </c>
      <c r="BJ408" s="128" t="str">
        <f aca="false">IF($BL408&lt;&gt;Constants!$B$4,"",IF(NOT($BC408),"",ROUND($BE408+$BF408+$BG408+$BH408,1)))</f>
        <v/>
      </c>
      <c r="BK408" s="129" t="str">
        <f aca="false">IF($BL408&lt;&gt;Constants!$B$4,"",IF(NOT($BC408),"",IF(ISNUMBER($AL408),$AL408,0)))</f>
        <v/>
      </c>
      <c r="BL408" s="124" t="str">
        <f aca="false">IF(ISBLANK($C408),"",IF($AO408,Constants!$B$7,IF(COUNTA($E408:$V408)=0,Constants!$B$6,IF(NOT($Y408),Constants!$B$5,IF(NOT(OR($AS408,$BC408)),Constants!$B$5,IF(OR($AT408,$BD408,$AQ408,$AR408&lt;&gt;""),Constants!$B$8,Constants!$B$4))))))</f>
        <v/>
      </c>
      <c r="BM408" s="124" t="str">
        <f aca="false">IF(ISBLANK($C408),"",IF($BL408&lt;&gt;Constants!$B$4,$BL408,IF($BB408="-&gt;",$BI408,$AY408)))</f>
        <v/>
      </c>
      <c r="BN408" s="127" t="str">
        <f aca="false">IF($BL408&lt;&gt;Constants!$B$4,"",IF($BB408="-&gt;",$BJ408,$AZ408))</f>
        <v/>
      </c>
      <c r="BO408" s="127" t="str">
        <f aca="false">IF(ISBLANK($C408),"",IF($BL408&lt;&gt;Constants!$B$4,$BL408,$BN408))</f>
        <v/>
      </c>
      <c r="BP408" s="124" t="str">
        <f aca="false">IF(ISBLANK($C408),"",IF($BL408&lt;&gt;Constants!$B$4,$BL408,RANK($BO408,$BO$9:$BO$508,0)))</f>
        <v/>
      </c>
      <c r="BQ408" s="124" t="str">
        <f aca="false">IF(ISBLANK($C408),"",IF($BL408&lt;&gt;Constants!$B$4,$BL408,COUNTIFS($BM$9:$BM$508,"&lt;"&amp;$BM408)+COUNTIFS($BM$9:$BM$508,$BM408,$BP$9:$BP$508,"&lt;"&amp;$BP408)+1))</f>
        <v/>
      </c>
      <c r="BR408" s="127" t="str">
        <f aca="false">IF($BL408&lt;&gt;Constants!$B$4,"",IF($BB408="-&gt;",$BH408,$AX408))</f>
        <v/>
      </c>
      <c r="BS408" s="124" t="str">
        <f aca="false">IF(ISBLANK($C408),"",IF($BL408&lt;&gt;Constants!$B$4,$BL408,IF(ISNUMBER($BR408),RANK($BR408,$BR$9:$BR$508,0),COUNT($BR$9:$BR$508)+1)))</f>
        <v/>
      </c>
      <c r="BT408" s="127" t="str">
        <f aca="false">IF($BL408&lt;&gt;Constants!$B$4,"",IF($BB408="-&gt;",$BE408,$AU408))</f>
        <v/>
      </c>
      <c r="BU408" s="124" t="str">
        <f aca="false">IF(ISBLANK($C408),"",IF($BL408&lt;&gt;Constants!$B$4,$BL408,IF(ISNUMBER($BT408),RANK($BT408,$BT$9:$BT$508,0),COUNT($BT$9:$BT$508)+1)))</f>
        <v/>
      </c>
      <c r="BV408" s="127" t="str">
        <f aca="false">IF($BL408&lt;&gt;Constants!$B$4,"",IF($BB408="-&gt;",$BF408,$AV408))</f>
        <v/>
      </c>
      <c r="BW408" s="124" t="str">
        <f aca="false">IF(ISBLANK($C408),"",IF($BL408&lt;&gt;Constants!$B$4,$BL408,IF(ISNUMBER($BV408),RANK($BV408,$BV$9:$BV$508,0),COUNT($BV$9:$BV$508)+1)))</f>
        <v/>
      </c>
      <c r="BX408" s="127" t="str">
        <f aca="false">IF($BL408&lt;&gt;Constants!$B$4,"",IF($BB408="-&gt;",$BK408,$BA408))</f>
        <v/>
      </c>
      <c r="BY408" s="124" t="str">
        <f aca="false">IF(ISBLANK($C408),"",IF($BL408&lt;&gt;Constants!$B$4,$BL408,IF(ISNUMBER($BX408),RANK($BX408,$BX$9:$BX$508,0),COUNT($BX$9:$BX$508)+1)))</f>
        <v/>
      </c>
      <c r="BZ408" s="124" t="str">
        <f aca="false">IF(ISBLANK($C408),"",IF($BL408&lt;&gt;Constants!$B$4,$BL408,COUNTIFS($BM$9:$BM$508,"&lt;"&amp;$BM408)+COUNTIFS($BM$9:$BM$508,$BM408,$BP$9:$BP$508,"&lt;"&amp;$BP408)+COUNTIFS($BM$9:$BM$508,$BM408,$BP$9:$BP$508,$BP408,$BS$9:$BS$508,"&lt;"&amp;$BS408)+COUNTIFS($BM$9:$BM$508,$BM408,$BP$9:$BP$508,$BP408,$BS$9:$BS$508,$BS408,$BU$9:$BU$508,"&lt;"&amp;$BU408)+COUNTIFS($BM$9:$BM$508,$BM408,$BP$9:$BP$508,$BP408,$BS$9:$BS$508,$BS408,$BU$9:$BU$508,$BU408,$BW$9:$BW$508,"&lt;"&amp;$BW408)+COUNTIFS($BM$9:$BM$508,$BM408,$BP$9:$BP$508,$BP408,$BS$9:$BS$508,$BS408,$BU$9:$BU$508,$BU408,$BW$9:$BW$508,$BW408,$BY$9:$BY$508,"&lt;"&amp;$BY408)+1))</f>
        <v/>
      </c>
      <c r="CA408" s="124" t="str">
        <f aca="false">IF(ISBLANK($C408),"",IF($BL408&lt;&gt;Constants!$B$4,$BL408,$BQ408-$BZ408))</f>
        <v/>
      </c>
      <c r="CB408" s="130"/>
      <c r="CC408" s="131" t="str">
        <f aca="false">IF(ISBLANK($C408),"",IF($BL408=Constants!$B$8,$AR408,""))</f>
        <v/>
      </c>
      <c r="CD408" s="131" t="str">
        <f aca="false">IF(ISBLANK($C408),"",IF($BL408&lt;&gt;Constants!$B$4,"",IF($BB408="-&gt;",2,1)))</f>
        <v/>
      </c>
      <c r="CE408" s="132" t="str">
        <f aca="false">IF(ISBLANK($C408),"",IF($BL408&lt;&gt;Constants!$B$4,"",IF($BB408="-&gt;",$BE408,$AU408)))</f>
        <v/>
      </c>
      <c r="CF408" s="132" t="str">
        <f aca="false">IF(ISBLANK($C408),"",IF($BL408&lt;&gt;Constants!$B$4,"",IF($BB408="-&gt;",$BF408,$AV408)))</f>
        <v/>
      </c>
      <c r="CG408" s="132" t="str">
        <f aca="false">IF(ISBLANK($C408),"",IF($BL408&lt;&gt;Constants!$B$4,"",IF($BB408="-&gt;",$BG408,$AW408)))</f>
        <v/>
      </c>
      <c r="CH408" s="132" t="str">
        <f aca="false">IF(ISBLANK($C408),"",IF($BL408&lt;&gt;Constants!$B$4,"",IF($BB408="-&gt;",$BH408,$AX408)))</f>
        <v/>
      </c>
      <c r="CI408" s="133" t="str">
        <f aca="false">IF(ISBLANK($C408),"",$BO408)</f>
        <v/>
      </c>
      <c r="CJ408" s="134" t="str">
        <f aca="false">IF(ISBLANK($C408),"",$BM408)</f>
        <v/>
      </c>
      <c r="CK408" s="135" t="str">
        <f aca="false">IF(ISBLANK($C408),"",$CA408)</f>
        <v/>
      </c>
      <c r="CL408" s="135" t="str">
        <f aca="false">IF(ISBLANK($C408),"",$BZ408)</f>
        <v/>
      </c>
      <c r="CM408" s="136" t="str">
        <f aca="false">IF(ISBLANK($C408),"",IF($CL408=Constants!$B$7,COUNTA($C$9:$C$508)+2,IF($CL408=Constants!$B$6,COUNTA($C$9:$C$508)+1,IF($CL408=Constants!$B$5,COUNTA($C$9:$C$508),$CL408))))</f>
        <v/>
      </c>
      <c r="CN408" s="8"/>
      <c r="CO408" s="137" t="n">
        <f aca="false">IF(OR(ISNUMBER($CL408),$CL408=Constants!$B$7,$CL408=Constants!$B$5,$CL408=Constants!$B$6),1,0)</f>
        <v>0</v>
      </c>
      <c r="CP408" s="137" t="n">
        <v>400</v>
      </c>
      <c r="CQ408" s="137" t="str">
        <f aca="false">IF(ISBLANK($C408),"",IF(ISNUMBER($CM408),$CM408+ROW($B408)/1000,""))</f>
        <v/>
      </c>
      <c r="CR408" s="137" t="str">
        <f aca="false">IF(ISNUMBER($CQ408),RANK($CQ408,$CQ$9:$CQ$508,1),"")</f>
        <v/>
      </c>
      <c r="CS408" s="137" t="str">
        <f aca="false">IF(ISBLANK($C408),"",$B408)</f>
        <v/>
      </c>
      <c r="CT408" s="137" t="str">
        <f aca="false">IF(ISBLANK($C408),"",$C408)</f>
        <v/>
      </c>
      <c r="CU408" s="137" t="str">
        <f aca="false">IF(ISBLANK($C408),"",$D408)</f>
        <v/>
      </c>
      <c r="CV408" s="138" t="str">
        <f aca="false">$CJ408</f>
        <v/>
      </c>
      <c r="CW408" s="139" t="str">
        <f aca="false">$CI408</f>
        <v/>
      </c>
      <c r="CX408" s="137" t="str">
        <f aca="false">IF(ISBLANK($C408),"",$CL408)</f>
        <v/>
      </c>
      <c r="CY408" s="140" t="str">
        <f aca="false">IF($CP408&gt;$CO$8,"",VLOOKUP($CP408,$CR$9:$CX$508,7,FALSE()))</f>
        <v/>
      </c>
      <c r="CZ408" s="141" t="str">
        <f aca="false">IF($CP408&gt;$CO$8,"",VLOOKUP($CP408,$CR$9:$CX$508,2,FALSE()))</f>
        <v/>
      </c>
      <c r="DA408" s="141" t="str">
        <f aca="false">IF($CP408&gt;$CO$8,"",VLOOKUP($CP408,$CR$9:$CX$508,3,FALSE()))</f>
        <v/>
      </c>
      <c r="DB408" s="141" t="str">
        <f aca="false">IF($CP408&gt;$CO$8,"",VLOOKUP($CP408,$CR$9:$CX$508,4,FALSE()))</f>
        <v/>
      </c>
      <c r="DC408" s="141" t="str">
        <f aca="false">IF($CP408&gt;$CO$8,"",VLOOKUP($CP408,$CR$9:$CX$508,5,FALSE()))</f>
        <v/>
      </c>
      <c r="DD408" s="142" t="str">
        <f aca="false">IF($CP408&gt;$CO$8,"",VLOOKUP($CP408,$CR$9:$CX$508,6,FALSE()))</f>
        <v/>
      </c>
      <c r="DE408" s="70"/>
    </row>
    <row r="409" customFormat="false" ht="15.75" hidden="false" customHeight="false" outlineLevel="0" collapsed="false">
      <c r="A409" s="8"/>
      <c r="B409" s="146"/>
      <c r="C409" s="147"/>
      <c r="D409" s="148"/>
      <c r="E409" s="164"/>
      <c r="F409" s="150"/>
      <c r="G409" s="115"/>
      <c r="H409" s="115"/>
      <c r="I409" s="115"/>
      <c r="J409" s="165"/>
      <c r="K409" s="154"/>
      <c r="L409" s="154"/>
      <c r="M409" s="118"/>
      <c r="N409" s="154"/>
      <c r="O409" s="153"/>
      <c r="P409" s="154"/>
      <c r="Q409" s="154"/>
      <c r="R409" s="154"/>
      <c r="S409" s="115"/>
      <c r="T409" s="154"/>
      <c r="U409" s="153"/>
      <c r="V409" s="154"/>
      <c r="W409" s="123"/>
      <c r="X409" s="124" t="str">
        <f aca="false">IF(ISBLANK($C409),"",IF($E409=Constants!$B$2,TRUE(),IF($E409=Constants!$B$3,FALSE(),TRUE())))</f>
        <v/>
      </c>
      <c r="Y409" s="124" t="str">
        <f aca="false">IF(ISBLANK($C409),"",IF($F409=Constants!$B$2,TRUE(),IF($F409=Constants!$B$3,FALSE(),TRUE())))</f>
        <v/>
      </c>
      <c r="Z409" s="125" t="str">
        <f aca="false">IF(ISBLANK($C409),"",IF(ISNUMBER($G409),IF($G409&gt;=0,$G409,""),""))</f>
        <v/>
      </c>
      <c r="AA409" s="125" t="str">
        <f aca="false">IF(ISBLANK($C409),"",IF(ISNUMBER($H409),IF($H409&gt;=0,$H409,""),""))</f>
        <v/>
      </c>
      <c r="AB409" s="125" t="str">
        <f aca="false">IF(ISBLANK($C409),"",IF(ISNUMBER($I409),IF($I409&gt;=0,$I409,""),""))</f>
        <v/>
      </c>
      <c r="AC409" s="124" t="str">
        <f aca="false">IF(ISBLANK($C409),"",IF($J409=Constants!$B$2,TRUE(),IF($J409=Constants!$B$3,FALSE(),TRUE())))</f>
        <v/>
      </c>
      <c r="AD409" s="124" t="str">
        <f aca="false">IF(ISBLANK($C409),"",IF($K409=Constants!$B$2,TRUE(),IF($K409=Constants!$B$3,FALSE(),TRUE())))</f>
        <v/>
      </c>
      <c r="AE409" s="124" t="str">
        <f aca="false">IF(ISBLANK($C409),"",IF($L409=Constants!$B$2,TRUE(),IF($L409=Constants!$B$3,FALSE(),TRUE())))</f>
        <v/>
      </c>
      <c r="AF409" s="126" t="str">
        <f aca="false">IF(ISBLANK($C409),"",IF(ISNUMBER($M409),IF($M409&gt;=0,$M409,""),""))</f>
        <v/>
      </c>
      <c r="AG409" s="124" t="str">
        <f aca="false">IF(ISBLANK($C409),"",IF(ISBLANK($N409),0,IF(ISNUMBER($N409),IF(AND($N409&gt;=0,$N409&lt;=Constants!$B$17,$N409=INT($N409)),$N409,""),"")))</f>
        <v/>
      </c>
      <c r="AH409" s="125" t="str">
        <f aca="false">IF(ISBLANK($C409),"",IF(ISBLANK($O409),0,IF(ISNUMBER($O409),IF($O409&gt;=0,$O409,""),"")))</f>
        <v/>
      </c>
      <c r="AI409" s="124" t="str">
        <f aca="false">IF(ISBLANK($C409),"",IF($P409=Constants!$B$2,TRUE(),IF($P409=Constants!$B$3,FALSE(),TRUE())))</f>
        <v/>
      </c>
      <c r="AJ409" s="124" t="str">
        <f aca="false">IF(ISBLANK($C409),"",IF($Q409=Constants!$B$2,TRUE(),IF($Q409=Constants!$B$3,FALSE(),TRUE())))</f>
        <v/>
      </c>
      <c r="AK409" s="124" t="str">
        <f aca="false">IF(ISBLANK($C409),"",IF($R409=Constants!$B$2,TRUE(),IF($R409=Constants!$B$3,FALSE(),TRUE())))</f>
        <v/>
      </c>
      <c r="AL409" s="126" t="str">
        <f aca="false">IF(ISBLANK($C409),"",IF(ISNUMBER($S409),IF($S409&gt;=0,$S409,""),""))</f>
        <v/>
      </c>
      <c r="AM409" s="124" t="str">
        <f aca="false">IF(ISBLANK($C409),"",IF(ISBLANK($T409),0,IF(ISNUMBER($T409),IF(AND($T409&gt;=0,$T409&lt;=Constants!$B$17,$T409=INT($T409)),$T409,""),"")))</f>
        <v/>
      </c>
      <c r="AN409" s="125" t="str">
        <f aca="false">IF(ISBLANK($C409),"",IF(ISBLANK($U409),0,IF(ISNUMBER($U409),IF($U409&gt;=0,$U409,""),"")))</f>
        <v/>
      </c>
      <c r="AO409" s="124" t="str">
        <f aca="false">IF(ISBLANK($C409),"",IF($V409=Constants!$B$2,TRUE(),IF($V409=Constants!$B$3,FALSE(),FALSE())))</f>
        <v/>
      </c>
      <c r="AP409" s="124"/>
      <c r="AQ409" s="123" t="str">
        <f aca="false">IF(ISBLANK($C409),"",AND($Y409,OR($AS409,$BC409),OR($Z409="",$AA409="",$AB409="")))</f>
        <v/>
      </c>
      <c r="AR409" s="123" t="str">
        <f aca="false">IF(ISBLANK($C409),"",IF(OR(NOT($Y409),NOT(OR($AS409,$BC409))),"",IF(ISBLANK($D$7),$AR$5,IF($AP$9="",$AR$6,""))))</f>
        <v/>
      </c>
      <c r="AS409" s="123" t="str">
        <f aca="false">IF(ISBLANK($C409),"",COUNTA($J409:$O409)&gt;0)</f>
        <v/>
      </c>
      <c r="AT409" s="123" t="str">
        <f aca="false">IF(ISBLANK($C409),"",AND($AS409,OR(AND($AF409="",OR($AE409,NOT(ISBLANK($M409)))),$AG409="",$AH409="")))</f>
        <v/>
      </c>
      <c r="AU409" s="125" t="str">
        <f aca="false">IF($BL409&lt;&gt;Constants!$B$4,"",IF(NOT($AS409),"",ROUND((Constants!$B$12-$AB409)+(Constants!$B$13-$Z409)+(Constants!$B$14-$AA409),1)))</f>
        <v/>
      </c>
      <c r="AV409" s="127" t="str">
        <f aca="false">IF($BL409&lt;&gt;Constants!$B$4,"",IF(NOT($AS409),"",IF(NOT($AE409),0,Constants!$B$15*(INT(ROUND(MIN($AF409,$AP$9),6))-INT(ROUND(MAX(0,MIN($AF409,2*$AP$9)-$AP$9),6))))))</f>
        <v/>
      </c>
      <c r="AW409" s="127" t="str">
        <f aca="false">IF($BL409&lt;&gt;Constants!$B$4,"",IF(NOT($AS409),"",Constants!$B$16*$AG409))</f>
        <v/>
      </c>
      <c r="AX409" s="127" t="str">
        <f aca="false">IF($BL409&lt;&gt;Constants!$B$4,"",IF(NOT($AS409),"",Constants!$B$18*INT(ROUND($AH409,6))))</f>
        <v/>
      </c>
      <c r="AY409" s="123" t="str">
        <f aca="false">IF($BL409&lt;&gt;Constants!$B$4,"",IF(NOT($AS409),"",IF(NOT($X409),Constants!$B$11,IF(OR(NOT($AC409),NOT($AD409),ROUND($AB409,1)&gt;Constants!$B$12,ROUND($Z409,1)&gt;Constants!$B$13,ROUND($AA409,1)&gt;Constants!$B$14),Constants!$B$10,Constants!$B$9))))</f>
        <v/>
      </c>
      <c r="AZ409" s="128" t="str">
        <f aca="false">IF($BL409&lt;&gt;Constants!$B$4,"",IF(NOT($AS409),"",ROUND($AU409+$AV409+$AW409+$AX409,1)))</f>
        <v/>
      </c>
      <c r="BA409" s="129" t="str">
        <f aca="false">IF($BL409&lt;&gt;Constants!$B$4,"",IF(NOT($AS409),"",IF(ISNUMBER($AF409),$AF409,0)))</f>
        <v/>
      </c>
      <c r="BB409" s="124" t="str">
        <f aca="false">IF($BL409&lt;&gt;Constants!$B$4,"",IF(NOT($BC409),"&lt;-",IF(NOT($AS409),"-&gt;",IF(OR($BI409&lt;$AY409,AND($BI409=$AY409,OR($BJ409&gt;$AZ409,AND($BJ409=$AZ409,OR($BH409&gt;$AX409,AND($BH409=$AX409,OR($BE409&gt;$AU409,AND($BE409=$AU409,OR($BF409&gt;$AV409,AND($BF409=$AV409,$BK409&gt;$BA409)))))))))),"-&gt;","&lt;-"))))</f>
        <v/>
      </c>
      <c r="BC409" s="123" t="str">
        <f aca="false">IF(ISBLANK($C409),"",COUNTA($P409:$U409)&gt;0)</f>
        <v/>
      </c>
      <c r="BD409" s="123" t="str">
        <f aca="false">IF(ISBLANK($C409),"",AND($BC409,OR(AND($AL409="",OR($AK409,NOT(ISBLANK($S409)))),$AM409="",$AN409="")))</f>
        <v/>
      </c>
      <c r="BE409" s="125" t="str">
        <f aca="false">IF($BL409&lt;&gt;Constants!$B$4,"",IF(NOT($BC409),"",ROUND((Constants!$B$12-$AB409)+(Constants!$B$13-$Z409)+(Constants!$B$14-$AA409),1)))</f>
        <v/>
      </c>
      <c r="BF409" s="127" t="str">
        <f aca="false">IF($BL409&lt;&gt;Constants!$B$4,"",IF(NOT($BC409),"",IF(NOT($AK409),0,Constants!$B$15*(INT(ROUND(MIN($AL409,$AP$9),6))-INT(ROUND(MAX(0,MIN($AL409,2*$AP$9)-$AP$9),6))))))</f>
        <v/>
      </c>
      <c r="BG409" s="127" t="str">
        <f aca="false">IF($BL409&lt;&gt;Constants!$B$4,"",IF(NOT($BC409),"",Constants!$B$16*$AM409))</f>
        <v/>
      </c>
      <c r="BH409" s="127" t="str">
        <f aca="false">IF($BL409&lt;&gt;Constants!$B$4,"",IF(NOT($BC409),"",Constants!$B$18*INT(ROUND($AN409,6))))</f>
        <v/>
      </c>
      <c r="BI409" s="123" t="str">
        <f aca="false">IF($BL409&lt;&gt;Constants!$B$4,"",IF(NOT($BC409),"",IF(NOT($X409),Constants!$B$11,IF(OR(NOT($AI409),NOT($AJ409),ROUND($AB409,1)&gt;Constants!$B$12,ROUND($Z409,1)&gt;Constants!$B$13,ROUND($AA409,1)&gt;Constants!$B$14),Constants!$B$10,Constants!$B$9))))</f>
        <v/>
      </c>
      <c r="BJ409" s="128" t="str">
        <f aca="false">IF($BL409&lt;&gt;Constants!$B$4,"",IF(NOT($BC409),"",ROUND($BE409+$BF409+$BG409+$BH409,1)))</f>
        <v/>
      </c>
      <c r="BK409" s="129" t="str">
        <f aca="false">IF($BL409&lt;&gt;Constants!$B$4,"",IF(NOT($BC409),"",IF(ISNUMBER($AL409),$AL409,0)))</f>
        <v/>
      </c>
      <c r="BL409" s="124" t="str">
        <f aca="false">IF(ISBLANK($C409),"",IF($AO409,Constants!$B$7,IF(COUNTA($E409:$V409)=0,Constants!$B$6,IF(NOT($Y409),Constants!$B$5,IF(NOT(OR($AS409,$BC409)),Constants!$B$5,IF(OR($AT409,$BD409,$AQ409,$AR409&lt;&gt;""),Constants!$B$8,Constants!$B$4))))))</f>
        <v/>
      </c>
      <c r="BM409" s="124" t="str">
        <f aca="false">IF(ISBLANK($C409),"",IF($BL409&lt;&gt;Constants!$B$4,$BL409,IF($BB409="-&gt;",$BI409,$AY409)))</f>
        <v/>
      </c>
      <c r="BN409" s="127" t="str">
        <f aca="false">IF($BL409&lt;&gt;Constants!$B$4,"",IF($BB409="-&gt;",$BJ409,$AZ409))</f>
        <v/>
      </c>
      <c r="BO409" s="127" t="str">
        <f aca="false">IF(ISBLANK($C409),"",IF($BL409&lt;&gt;Constants!$B$4,$BL409,$BN409))</f>
        <v/>
      </c>
      <c r="BP409" s="124" t="str">
        <f aca="false">IF(ISBLANK($C409),"",IF($BL409&lt;&gt;Constants!$B$4,$BL409,RANK($BO409,$BO$9:$BO$508,0)))</f>
        <v/>
      </c>
      <c r="BQ409" s="124" t="str">
        <f aca="false">IF(ISBLANK($C409),"",IF($BL409&lt;&gt;Constants!$B$4,$BL409,COUNTIFS($BM$9:$BM$508,"&lt;"&amp;$BM409)+COUNTIFS($BM$9:$BM$508,$BM409,$BP$9:$BP$508,"&lt;"&amp;$BP409)+1))</f>
        <v/>
      </c>
      <c r="BR409" s="127" t="str">
        <f aca="false">IF($BL409&lt;&gt;Constants!$B$4,"",IF($BB409="-&gt;",$BH409,$AX409))</f>
        <v/>
      </c>
      <c r="BS409" s="124" t="str">
        <f aca="false">IF(ISBLANK($C409),"",IF($BL409&lt;&gt;Constants!$B$4,$BL409,IF(ISNUMBER($BR409),RANK($BR409,$BR$9:$BR$508,0),COUNT($BR$9:$BR$508)+1)))</f>
        <v/>
      </c>
      <c r="BT409" s="127" t="str">
        <f aca="false">IF($BL409&lt;&gt;Constants!$B$4,"",IF($BB409="-&gt;",$BE409,$AU409))</f>
        <v/>
      </c>
      <c r="BU409" s="124" t="str">
        <f aca="false">IF(ISBLANK($C409),"",IF($BL409&lt;&gt;Constants!$B$4,$BL409,IF(ISNUMBER($BT409),RANK($BT409,$BT$9:$BT$508,0),COUNT($BT$9:$BT$508)+1)))</f>
        <v/>
      </c>
      <c r="BV409" s="127" t="str">
        <f aca="false">IF($BL409&lt;&gt;Constants!$B$4,"",IF($BB409="-&gt;",$BF409,$AV409))</f>
        <v/>
      </c>
      <c r="BW409" s="124" t="str">
        <f aca="false">IF(ISBLANK($C409),"",IF($BL409&lt;&gt;Constants!$B$4,$BL409,IF(ISNUMBER($BV409),RANK($BV409,$BV$9:$BV$508,0),COUNT($BV$9:$BV$508)+1)))</f>
        <v/>
      </c>
      <c r="BX409" s="127" t="str">
        <f aca="false">IF($BL409&lt;&gt;Constants!$B$4,"",IF($BB409="-&gt;",$BK409,$BA409))</f>
        <v/>
      </c>
      <c r="BY409" s="124" t="str">
        <f aca="false">IF(ISBLANK($C409),"",IF($BL409&lt;&gt;Constants!$B$4,$BL409,IF(ISNUMBER($BX409),RANK($BX409,$BX$9:$BX$508,0),COUNT($BX$9:$BX$508)+1)))</f>
        <v/>
      </c>
      <c r="BZ409" s="124" t="str">
        <f aca="false">IF(ISBLANK($C409),"",IF($BL409&lt;&gt;Constants!$B$4,$BL409,COUNTIFS($BM$9:$BM$508,"&lt;"&amp;$BM409)+COUNTIFS($BM$9:$BM$508,$BM409,$BP$9:$BP$508,"&lt;"&amp;$BP409)+COUNTIFS($BM$9:$BM$508,$BM409,$BP$9:$BP$508,$BP409,$BS$9:$BS$508,"&lt;"&amp;$BS409)+COUNTIFS($BM$9:$BM$508,$BM409,$BP$9:$BP$508,$BP409,$BS$9:$BS$508,$BS409,$BU$9:$BU$508,"&lt;"&amp;$BU409)+COUNTIFS($BM$9:$BM$508,$BM409,$BP$9:$BP$508,$BP409,$BS$9:$BS$508,$BS409,$BU$9:$BU$508,$BU409,$BW$9:$BW$508,"&lt;"&amp;$BW409)+COUNTIFS($BM$9:$BM$508,$BM409,$BP$9:$BP$508,$BP409,$BS$9:$BS$508,$BS409,$BU$9:$BU$508,$BU409,$BW$9:$BW$508,$BW409,$BY$9:$BY$508,"&lt;"&amp;$BY409)+1))</f>
        <v/>
      </c>
      <c r="CA409" s="124" t="str">
        <f aca="false">IF(ISBLANK($C409),"",IF($BL409&lt;&gt;Constants!$B$4,$BL409,$BQ409-$BZ409))</f>
        <v/>
      </c>
      <c r="CB409" s="130"/>
      <c r="CC409" s="131" t="str">
        <f aca="false">IF(ISBLANK($C409),"",IF($BL409=Constants!$B$8,$AR409,""))</f>
        <v/>
      </c>
      <c r="CD409" s="131" t="str">
        <f aca="false">IF(ISBLANK($C409),"",IF($BL409&lt;&gt;Constants!$B$4,"",IF($BB409="-&gt;",2,1)))</f>
        <v/>
      </c>
      <c r="CE409" s="132" t="str">
        <f aca="false">IF(ISBLANK($C409),"",IF($BL409&lt;&gt;Constants!$B$4,"",IF($BB409="-&gt;",$BE409,$AU409)))</f>
        <v/>
      </c>
      <c r="CF409" s="132" t="str">
        <f aca="false">IF(ISBLANK($C409),"",IF($BL409&lt;&gt;Constants!$B$4,"",IF($BB409="-&gt;",$BF409,$AV409)))</f>
        <v/>
      </c>
      <c r="CG409" s="132" t="str">
        <f aca="false">IF(ISBLANK($C409),"",IF($BL409&lt;&gt;Constants!$B$4,"",IF($BB409="-&gt;",$BG409,$AW409)))</f>
        <v/>
      </c>
      <c r="CH409" s="132" t="str">
        <f aca="false">IF(ISBLANK($C409),"",IF($BL409&lt;&gt;Constants!$B$4,"",IF($BB409="-&gt;",$BH409,$AX409)))</f>
        <v/>
      </c>
      <c r="CI409" s="133" t="str">
        <f aca="false">IF(ISBLANK($C409),"",$BO409)</f>
        <v/>
      </c>
      <c r="CJ409" s="134" t="str">
        <f aca="false">IF(ISBLANK($C409),"",$BM409)</f>
        <v/>
      </c>
      <c r="CK409" s="135" t="str">
        <f aca="false">IF(ISBLANK($C409),"",$CA409)</f>
        <v/>
      </c>
      <c r="CL409" s="135" t="str">
        <f aca="false">IF(ISBLANK($C409),"",$BZ409)</f>
        <v/>
      </c>
      <c r="CM409" s="136" t="str">
        <f aca="false">IF(ISBLANK($C409),"",IF($CL409=Constants!$B$7,COUNTA($C$9:$C$508)+2,IF($CL409=Constants!$B$6,COUNTA($C$9:$C$508)+1,IF($CL409=Constants!$B$5,COUNTA($C$9:$C$508),$CL409))))</f>
        <v/>
      </c>
      <c r="CN409" s="8"/>
      <c r="CO409" s="137" t="n">
        <f aca="false">IF(OR(ISNUMBER($CL409),$CL409=Constants!$B$7,$CL409=Constants!$B$5,$CL409=Constants!$B$6),1,0)</f>
        <v>0</v>
      </c>
      <c r="CP409" s="137" t="n">
        <v>401</v>
      </c>
      <c r="CQ409" s="137" t="str">
        <f aca="false">IF(ISBLANK($C409),"",IF(ISNUMBER($CM409),$CM409+ROW($B409)/1000,""))</f>
        <v/>
      </c>
      <c r="CR409" s="137" t="str">
        <f aca="false">IF(ISNUMBER($CQ409),RANK($CQ409,$CQ$9:$CQ$508,1),"")</f>
        <v/>
      </c>
      <c r="CS409" s="137" t="str">
        <f aca="false">IF(ISBLANK($C409),"",$B409)</f>
        <v/>
      </c>
      <c r="CT409" s="137" t="str">
        <f aca="false">IF(ISBLANK($C409),"",$C409)</f>
        <v/>
      </c>
      <c r="CU409" s="137" t="str">
        <f aca="false">IF(ISBLANK($C409),"",$D409)</f>
        <v/>
      </c>
      <c r="CV409" s="138" t="str">
        <f aca="false">$CJ409</f>
        <v/>
      </c>
      <c r="CW409" s="139" t="str">
        <f aca="false">$CI409</f>
        <v/>
      </c>
      <c r="CX409" s="137" t="str">
        <f aca="false">IF(ISBLANK($C409),"",$CL409)</f>
        <v/>
      </c>
      <c r="CY409" s="140" t="str">
        <f aca="false">IF($CP409&gt;$CO$8,"",VLOOKUP($CP409,$CR$9:$CX$508,7,FALSE()))</f>
        <v/>
      </c>
      <c r="CZ409" s="141" t="str">
        <f aca="false">IF($CP409&gt;$CO$8,"",VLOOKUP($CP409,$CR$9:$CX$508,2,FALSE()))</f>
        <v/>
      </c>
      <c r="DA409" s="141" t="str">
        <f aca="false">IF($CP409&gt;$CO$8,"",VLOOKUP($CP409,$CR$9:$CX$508,3,FALSE()))</f>
        <v/>
      </c>
      <c r="DB409" s="141" t="str">
        <f aca="false">IF($CP409&gt;$CO$8,"",VLOOKUP($CP409,$CR$9:$CX$508,4,FALSE()))</f>
        <v/>
      </c>
      <c r="DC409" s="141" t="str">
        <f aca="false">IF($CP409&gt;$CO$8,"",VLOOKUP($CP409,$CR$9:$CX$508,5,FALSE()))</f>
        <v/>
      </c>
      <c r="DD409" s="142" t="str">
        <f aca="false">IF($CP409&gt;$CO$8,"",VLOOKUP($CP409,$CR$9:$CX$508,6,FALSE()))</f>
        <v/>
      </c>
      <c r="DE409" s="70"/>
    </row>
    <row r="410" customFormat="false" ht="15.75" hidden="false" customHeight="false" outlineLevel="0" collapsed="false">
      <c r="A410" s="8"/>
      <c r="B410" s="146"/>
      <c r="C410" s="147"/>
      <c r="D410" s="148"/>
      <c r="E410" s="164"/>
      <c r="F410" s="150"/>
      <c r="G410" s="115"/>
      <c r="H410" s="115"/>
      <c r="I410" s="115"/>
      <c r="J410" s="165"/>
      <c r="K410" s="154"/>
      <c r="L410" s="154"/>
      <c r="M410" s="118"/>
      <c r="N410" s="154"/>
      <c r="O410" s="153"/>
      <c r="P410" s="154"/>
      <c r="Q410" s="154"/>
      <c r="R410" s="154"/>
      <c r="S410" s="115"/>
      <c r="T410" s="154"/>
      <c r="U410" s="153"/>
      <c r="V410" s="154"/>
      <c r="W410" s="123"/>
      <c r="X410" s="124" t="str">
        <f aca="false">IF(ISBLANK($C410),"",IF($E410=Constants!$B$2,TRUE(),IF($E410=Constants!$B$3,FALSE(),TRUE())))</f>
        <v/>
      </c>
      <c r="Y410" s="124" t="str">
        <f aca="false">IF(ISBLANK($C410),"",IF($F410=Constants!$B$2,TRUE(),IF($F410=Constants!$B$3,FALSE(),TRUE())))</f>
        <v/>
      </c>
      <c r="Z410" s="125" t="str">
        <f aca="false">IF(ISBLANK($C410),"",IF(ISNUMBER($G410),IF($G410&gt;=0,$G410,""),""))</f>
        <v/>
      </c>
      <c r="AA410" s="125" t="str">
        <f aca="false">IF(ISBLANK($C410),"",IF(ISNUMBER($H410),IF($H410&gt;=0,$H410,""),""))</f>
        <v/>
      </c>
      <c r="AB410" s="125" t="str">
        <f aca="false">IF(ISBLANK($C410),"",IF(ISNUMBER($I410),IF($I410&gt;=0,$I410,""),""))</f>
        <v/>
      </c>
      <c r="AC410" s="124" t="str">
        <f aca="false">IF(ISBLANK($C410),"",IF($J410=Constants!$B$2,TRUE(),IF($J410=Constants!$B$3,FALSE(),TRUE())))</f>
        <v/>
      </c>
      <c r="AD410" s="124" t="str">
        <f aca="false">IF(ISBLANK($C410),"",IF($K410=Constants!$B$2,TRUE(),IF($K410=Constants!$B$3,FALSE(),TRUE())))</f>
        <v/>
      </c>
      <c r="AE410" s="124" t="str">
        <f aca="false">IF(ISBLANK($C410),"",IF($L410=Constants!$B$2,TRUE(),IF($L410=Constants!$B$3,FALSE(),TRUE())))</f>
        <v/>
      </c>
      <c r="AF410" s="126" t="str">
        <f aca="false">IF(ISBLANK($C410),"",IF(ISNUMBER($M410),IF($M410&gt;=0,$M410,""),""))</f>
        <v/>
      </c>
      <c r="AG410" s="124" t="str">
        <f aca="false">IF(ISBLANK($C410),"",IF(ISBLANK($N410),0,IF(ISNUMBER($N410),IF(AND($N410&gt;=0,$N410&lt;=Constants!$B$17,$N410=INT($N410)),$N410,""),"")))</f>
        <v/>
      </c>
      <c r="AH410" s="125" t="str">
        <f aca="false">IF(ISBLANK($C410),"",IF(ISBLANK($O410),0,IF(ISNUMBER($O410),IF($O410&gt;=0,$O410,""),"")))</f>
        <v/>
      </c>
      <c r="AI410" s="124" t="str">
        <f aca="false">IF(ISBLANK($C410),"",IF($P410=Constants!$B$2,TRUE(),IF($P410=Constants!$B$3,FALSE(),TRUE())))</f>
        <v/>
      </c>
      <c r="AJ410" s="124" t="str">
        <f aca="false">IF(ISBLANK($C410),"",IF($Q410=Constants!$B$2,TRUE(),IF($Q410=Constants!$B$3,FALSE(),TRUE())))</f>
        <v/>
      </c>
      <c r="AK410" s="124" t="str">
        <f aca="false">IF(ISBLANK($C410),"",IF($R410=Constants!$B$2,TRUE(),IF($R410=Constants!$B$3,FALSE(),TRUE())))</f>
        <v/>
      </c>
      <c r="AL410" s="126" t="str">
        <f aca="false">IF(ISBLANK($C410),"",IF(ISNUMBER($S410),IF($S410&gt;=0,$S410,""),""))</f>
        <v/>
      </c>
      <c r="AM410" s="124" t="str">
        <f aca="false">IF(ISBLANK($C410),"",IF(ISBLANK($T410),0,IF(ISNUMBER($T410),IF(AND($T410&gt;=0,$T410&lt;=Constants!$B$17,$T410=INT($T410)),$T410,""),"")))</f>
        <v/>
      </c>
      <c r="AN410" s="125" t="str">
        <f aca="false">IF(ISBLANK($C410),"",IF(ISBLANK($U410),0,IF(ISNUMBER($U410),IF($U410&gt;=0,$U410,""),"")))</f>
        <v/>
      </c>
      <c r="AO410" s="124" t="str">
        <f aca="false">IF(ISBLANK($C410),"",IF($V410=Constants!$B$2,TRUE(),IF($V410=Constants!$B$3,FALSE(),FALSE())))</f>
        <v/>
      </c>
      <c r="AP410" s="124"/>
      <c r="AQ410" s="123" t="str">
        <f aca="false">IF(ISBLANK($C410),"",AND($Y410,OR($AS410,$BC410),OR($Z410="",$AA410="",$AB410="")))</f>
        <v/>
      </c>
      <c r="AR410" s="123" t="str">
        <f aca="false">IF(ISBLANK($C410),"",IF(OR(NOT($Y410),NOT(OR($AS410,$BC410))),"",IF(ISBLANK($D$7),$AR$5,IF($AP$9="",$AR$6,""))))</f>
        <v/>
      </c>
      <c r="AS410" s="123" t="str">
        <f aca="false">IF(ISBLANK($C410),"",COUNTA($J410:$O410)&gt;0)</f>
        <v/>
      </c>
      <c r="AT410" s="123" t="str">
        <f aca="false">IF(ISBLANK($C410),"",AND($AS410,OR(AND($AF410="",OR($AE410,NOT(ISBLANK($M410)))),$AG410="",$AH410="")))</f>
        <v/>
      </c>
      <c r="AU410" s="125" t="str">
        <f aca="false">IF($BL410&lt;&gt;Constants!$B$4,"",IF(NOT($AS410),"",ROUND((Constants!$B$12-$AB410)+(Constants!$B$13-$Z410)+(Constants!$B$14-$AA410),1)))</f>
        <v/>
      </c>
      <c r="AV410" s="127" t="str">
        <f aca="false">IF($BL410&lt;&gt;Constants!$B$4,"",IF(NOT($AS410),"",IF(NOT($AE410),0,Constants!$B$15*(INT(ROUND(MIN($AF410,$AP$9),6))-INT(ROUND(MAX(0,MIN($AF410,2*$AP$9)-$AP$9),6))))))</f>
        <v/>
      </c>
      <c r="AW410" s="127" t="str">
        <f aca="false">IF($BL410&lt;&gt;Constants!$B$4,"",IF(NOT($AS410),"",Constants!$B$16*$AG410))</f>
        <v/>
      </c>
      <c r="AX410" s="127" t="str">
        <f aca="false">IF($BL410&lt;&gt;Constants!$B$4,"",IF(NOT($AS410),"",Constants!$B$18*INT(ROUND($AH410,6))))</f>
        <v/>
      </c>
      <c r="AY410" s="123" t="str">
        <f aca="false">IF($BL410&lt;&gt;Constants!$B$4,"",IF(NOT($AS410),"",IF(NOT($X410),Constants!$B$11,IF(OR(NOT($AC410),NOT($AD410),ROUND($AB410,1)&gt;Constants!$B$12,ROUND($Z410,1)&gt;Constants!$B$13,ROUND($AA410,1)&gt;Constants!$B$14),Constants!$B$10,Constants!$B$9))))</f>
        <v/>
      </c>
      <c r="AZ410" s="128" t="str">
        <f aca="false">IF($BL410&lt;&gt;Constants!$B$4,"",IF(NOT($AS410),"",ROUND($AU410+$AV410+$AW410+$AX410,1)))</f>
        <v/>
      </c>
      <c r="BA410" s="129" t="str">
        <f aca="false">IF($BL410&lt;&gt;Constants!$B$4,"",IF(NOT($AS410),"",IF(ISNUMBER($AF410),$AF410,0)))</f>
        <v/>
      </c>
      <c r="BB410" s="124" t="str">
        <f aca="false">IF($BL410&lt;&gt;Constants!$B$4,"",IF(NOT($BC410),"&lt;-",IF(NOT($AS410),"-&gt;",IF(OR($BI410&lt;$AY410,AND($BI410=$AY410,OR($BJ410&gt;$AZ410,AND($BJ410=$AZ410,OR($BH410&gt;$AX410,AND($BH410=$AX410,OR($BE410&gt;$AU410,AND($BE410=$AU410,OR($BF410&gt;$AV410,AND($BF410=$AV410,$BK410&gt;$BA410)))))))))),"-&gt;","&lt;-"))))</f>
        <v/>
      </c>
      <c r="BC410" s="123" t="str">
        <f aca="false">IF(ISBLANK($C410),"",COUNTA($P410:$U410)&gt;0)</f>
        <v/>
      </c>
      <c r="BD410" s="123" t="str">
        <f aca="false">IF(ISBLANK($C410),"",AND($BC410,OR(AND($AL410="",OR($AK410,NOT(ISBLANK($S410)))),$AM410="",$AN410="")))</f>
        <v/>
      </c>
      <c r="BE410" s="125" t="str">
        <f aca="false">IF($BL410&lt;&gt;Constants!$B$4,"",IF(NOT($BC410),"",ROUND((Constants!$B$12-$AB410)+(Constants!$B$13-$Z410)+(Constants!$B$14-$AA410),1)))</f>
        <v/>
      </c>
      <c r="BF410" s="127" t="str">
        <f aca="false">IF($BL410&lt;&gt;Constants!$B$4,"",IF(NOT($BC410),"",IF(NOT($AK410),0,Constants!$B$15*(INT(ROUND(MIN($AL410,$AP$9),6))-INT(ROUND(MAX(0,MIN($AL410,2*$AP$9)-$AP$9),6))))))</f>
        <v/>
      </c>
      <c r="BG410" s="127" t="str">
        <f aca="false">IF($BL410&lt;&gt;Constants!$B$4,"",IF(NOT($BC410),"",Constants!$B$16*$AM410))</f>
        <v/>
      </c>
      <c r="BH410" s="127" t="str">
        <f aca="false">IF($BL410&lt;&gt;Constants!$B$4,"",IF(NOT($BC410),"",Constants!$B$18*INT(ROUND($AN410,6))))</f>
        <v/>
      </c>
      <c r="BI410" s="123" t="str">
        <f aca="false">IF($BL410&lt;&gt;Constants!$B$4,"",IF(NOT($BC410),"",IF(NOT($X410),Constants!$B$11,IF(OR(NOT($AI410),NOT($AJ410),ROUND($AB410,1)&gt;Constants!$B$12,ROUND($Z410,1)&gt;Constants!$B$13,ROUND($AA410,1)&gt;Constants!$B$14),Constants!$B$10,Constants!$B$9))))</f>
        <v/>
      </c>
      <c r="BJ410" s="128" t="str">
        <f aca="false">IF($BL410&lt;&gt;Constants!$B$4,"",IF(NOT($BC410),"",ROUND($BE410+$BF410+$BG410+$BH410,1)))</f>
        <v/>
      </c>
      <c r="BK410" s="129" t="str">
        <f aca="false">IF($BL410&lt;&gt;Constants!$B$4,"",IF(NOT($BC410),"",IF(ISNUMBER($AL410),$AL410,0)))</f>
        <v/>
      </c>
      <c r="BL410" s="124" t="str">
        <f aca="false">IF(ISBLANK($C410),"",IF($AO410,Constants!$B$7,IF(COUNTA($E410:$V410)=0,Constants!$B$6,IF(NOT($Y410),Constants!$B$5,IF(NOT(OR($AS410,$BC410)),Constants!$B$5,IF(OR($AT410,$BD410,$AQ410,$AR410&lt;&gt;""),Constants!$B$8,Constants!$B$4))))))</f>
        <v/>
      </c>
      <c r="BM410" s="124" t="str">
        <f aca="false">IF(ISBLANK($C410),"",IF($BL410&lt;&gt;Constants!$B$4,$BL410,IF($BB410="-&gt;",$BI410,$AY410)))</f>
        <v/>
      </c>
      <c r="BN410" s="127" t="str">
        <f aca="false">IF($BL410&lt;&gt;Constants!$B$4,"",IF($BB410="-&gt;",$BJ410,$AZ410))</f>
        <v/>
      </c>
      <c r="BO410" s="127" t="str">
        <f aca="false">IF(ISBLANK($C410),"",IF($BL410&lt;&gt;Constants!$B$4,$BL410,$BN410))</f>
        <v/>
      </c>
      <c r="BP410" s="124" t="str">
        <f aca="false">IF(ISBLANK($C410),"",IF($BL410&lt;&gt;Constants!$B$4,$BL410,RANK($BO410,$BO$9:$BO$508,0)))</f>
        <v/>
      </c>
      <c r="BQ410" s="124" t="str">
        <f aca="false">IF(ISBLANK($C410),"",IF($BL410&lt;&gt;Constants!$B$4,$BL410,COUNTIFS($BM$9:$BM$508,"&lt;"&amp;$BM410)+COUNTIFS($BM$9:$BM$508,$BM410,$BP$9:$BP$508,"&lt;"&amp;$BP410)+1))</f>
        <v/>
      </c>
      <c r="BR410" s="127" t="str">
        <f aca="false">IF($BL410&lt;&gt;Constants!$B$4,"",IF($BB410="-&gt;",$BH410,$AX410))</f>
        <v/>
      </c>
      <c r="BS410" s="124" t="str">
        <f aca="false">IF(ISBLANK($C410),"",IF($BL410&lt;&gt;Constants!$B$4,$BL410,IF(ISNUMBER($BR410),RANK($BR410,$BR$9:$BR$508,0),COUNT($BR$9:$BR$508)+1)))</f>
        <v/>
      </c>
      <c r="BT410" s="127" t="str">
        <f aca="false">IF($BL410&lt;&gt;Constants!$B$4,"",IF($BB410="-&gt;",$BE410,$AU410))</f>
        <v/>
      </c>
      <c r="BU410" s="124" t="str">
        <f aca="false">IF(ISBLANK($C410),"",IF($BL410&lt;&gt;Constants!$B$4,$BL410,IF(ISNUMBER($BT410),RANK($BT410,$BT$9:$BT$508,0),COUNT($BT$9:$BT$508)+1)))</f>
        <v/>
      </c>
      <c r="BV410" s="127" t="str">
        <f aca="false">IF($BL410&lt;&gt;Constants!$B$4,"",IF($BB410="-&gt;",$BF410,$AV410))</f>
        <v/>
      </c>
      <c r="BW410" s="124" t="str">
        <f aca="false">IF(ISBLANK($C410),"",IF($BL410&lt;&gt;Constants!$B$4,$BL410,IF(ISNUMBER($BV410),RANK($BV410,$BV$9:$BV$508,0),COUNT($BV$9:$BV$508)+1)))</f>
        <v/>
      </c>
      <c r="BX410" s="127" t="str">
        <f aca="false">IF($BL410&lt;&gt;Constants!$B$4,"",IF($BB410="-&gt;",$BK410,$BA410))</f>
        <v/>
      </c>
      <c r="BY410" s="124" t="str">
        <f aca="false">IF(ISBLANK($C410),"",IF($BL410&lt;&gt;Constants!$B$4,$BL410,IF(ISNUMBER($BX410),RANK($BX410,$BX$9:$BX$508,0),COUNT($BX$9:$BX$508)+1)))</f>
        <v/>
      </c>
      <c r="BZ410" s="124" t="str">
        <f aca="false">IF(ISBLANK($C410),"",IF($BL410&lt;&gt;Constants!$B$4,$BL410,COUNTIFS($BM$9:$BM$508,"&lt;"&amp;$BM410)+COUNTIFS($BM$9:$BM$508,$BM410,$BP$9:$BP$508,"&lt;"&amp;$BP410)+COUNTIFS($BM$9:$BM$508,$BM410,$BP$9:$BP$508,$BP410,$BS$9:$BS$508,"&lt;"&amp;$BS410)+COUNTIFS($BM$9:$BM$508,$BM410,$BP$9:$BP$508,$BP410,$BS$9:$BS$508,$BS410,$BU$9:$BU$508,"&lt;"&amp;$BU410)+COUNTIFS($BM$9:$BM$508,$BM410,$BP$9:$BP$508,$BP410,$BS$9:$BS$508,$BS410,$BU$9:$BU$508,$BU410,$BW$9:$BW$508,"&lt;"&amp;$BW410)+COUNTIFS($BM$9:$BM$508,$BM410,$BP$9:$BP$508,$BP410,$BS$9:$BS$508,$BS410,$BU$9:$BU$508,$BU410,$BW$9:$BW$508,$BW410,$BY$9:$BY$508,"&lt;"&amp;$BY410)+1))</f>
        <v/>
      </c>
      <c r="CA410" s="124" t="str">
        <f aca="false">IF(ISBLANK($C410),"",IF($BL410&lt;&gt;Constants!$B$4,$BL410,$BQ410-$BZ410))</f>
        <v/>
      </c>
      <c r="CB410" s="130"/>
      <c r="CC410" s="131" t="str">
        <f aca="false">IF(ISBLANK($C410),"",IF($BL410=Constants!$B$8,$AR410,""))</f>
        <v/>
      </c>
      <c r="CD410" s="131" t="str">
        <f aca="false">IF(ISBLANK($C410),"",IF($BL410&lt;&gt;Constants!$B$4,"",IF($BB410="-&gt;",2,1)))</f>
        <v/>
      </c>
      <c r="CE410" s="132" t="str">
        <f aca="false">IF(ISBLANK($C410),"",IF($BL410&lt;&gt;Constants!$B$4,"",IF($BB410="-&gt;",$BE410,$AU410)))</f>
        <v/>
      </c>
      <c r="CF410" s="132" t="str">
        <f aca="false">IF(ISBLANK($C410),"",IF($BL410&lt;&gt;Constants!$B$4,"",IF($BB410="-&gt;",$BF410,$AV410)))</f>
        <v/>
      </c>
      <c r="CG410" s="132" t="str">
        <f aca="false">IF(ISBLANK($C410),"",IF($BL410&lt;&gt;Constants!$B$4,"",IF($BB410="-&gt;",$BG410,$AW410)))</f>
        <v/>
      </c>
      <c r="CH410" s="132" t="str">
        <f aca="false">IF(ISBLANK($C410),"",IF($BL410&lt;&gt;Constants!$B$4,"",IF($BB410="-&gt;",$BH410,$AX410)))</f>
        <v/>
      </c>
      <c r="CI410" s="133" t="str">
        <f aca="false">IF(ISBLANK($C410),"",$BO410)</f>
        <v/>
      </c>
      <c r="CJ410" s="134" t="str">
        <f aca="false">IF(ISBLANK($C410),"",$BM410)</f>
        <v/>
      </c>
      <c r="CK410" s="135" t="str">
        <f aca="false">IF(ISBLANK($C410),"",$CA410)</f>
        <v/>
      </c>
      <c r="CL410" s="135" t="str">
        <f aca="false">IF(ISBLANK($C410),"",$BZ410)</f>
        <v/>
      </c>
      <c r="CM410" s="136" t="str">
        <f aca="false">IF(ISBLANK($C410),"",IF($CL410=Constants!$B$7,COUNTA($C$9:$C$508)+2,IF($CL410=Constants!$B$6,COUNTA($C$9:$C$508)+1,IF($CL410=Constants!$B$5,COUNTA($C$9:$C$508),$CL410))))</f>
        <v/>
      </c>
      <c r="CN410" s="8"/>
      <c r="CO410" s="137" t="n">
        <f aca="false">IF(OR(ISNUMBER($CL410),$CL410=Constants!$B$7,$CL410=Constants!$B$5,$CL410=Constants!$B$6),1,0)</f>
        <v>0</v>
      </c>
      <c r="CP410" s="137" t="n">
        <v>402</v>
      </c>
      <c r="CQ410" s="137" t="str">
        <f aca="false">IF(ISBLANK($C410),"",IF(ISNUMBER($CM410),$CM410+ROW($B410)/1000,""))</f>
        <v/>
      </c>
      <c r="CR410" s="137" t="str">
        <f aca="false">IF(ISNUMBER($CQ410),RANK($CQ410,$CQ$9:$CQ$508,1),"")</f>
        <v/>
      </c>
      <c r="CS410" s="137" t="str">
        <f aca="false">IF(ISBLANK($C410),"",$B410)</f>
        <v/>
      </c>
      <c r="CT410" s="137" t="str">
        <f aca="false">IF(ISBLANK($C410),"",$C410)</f>
        <v/>
      </c>
      <c r="CU410" s="137" t="str">
        <f aca="false">IF(ISBLANK($C410),"",$D410)</f>
        <v/>
      </c>
      <c r="CV410" s="138" t="str">
        <f aca="false">$CJ410</f>
        <v/>
      </c>
      <c r="CW410" s="139" t="str">
        <f aca="false">$CI410</f>
        <v/>
      </c>
      <c r="CX410" s="137" t="str">
        <f aca="false">IF(ISBLANK($C410),"",$CL410)</f>
        <v/>
      </c>
      <c r="CY410" s="140" t="str">
        <f aca="false">IF($CP410&gt;$CO$8,"",VLOOKUP($CP410,$CR$9:$CX$508,7,FALSE()))</f>
        <v/>
      </c>
      <c r="CZ410" s="141" t="str">
        <f aca="false">IF($CP410&gt;$CO$8,"",VLOOKUP($CP410,$CR$9:$CX$508,2,FALSE()))</f>
        <v/>
      </c>
      <c r="DA410" s="141" t="str">
        <f aca="false">IF($CP410&gt;$CO$8,"",VLOOKUP($CP410,$CR$9:$CX$508,3,FALSE()))</f>
        <v/>
      </c>
      <c r="DB410" s="141" t="str">
        <f aca="false">IF($CP410&gt;$CO$8,"",VLOOKUP($CP410,$CR$9:$CX$508,4,FALSE()))</f>
        <v/>
      </c>
      <c r="DC410" s="141" t="str">
        <f aca="false">IF($CP410&gt;$CO$8,"",VLOOKUP($CP410,$CR$9:$CX$508,5,FALSE()))</f>
        <v/>
      </c>
      <c r="DD410" s="142" t="str">
        <f aca="false">IF($CP410&gt;$CO$8,"",VLOOKUP($CP410,$CR$9:$CX$508,6,FALSE()))</f>
        <v/>
      </c>
      <c r="DE410" s="70"/>
    </row>
    <row r="411" customFormat="false" ht="15.75" hidden="false" customHeight="false" outlineLevel="0" collapsed="false">
      <c r="A411" s="8"/>
      <c r="B411" s="72"/>
      <c r="C411" s="73"/>
      <c r="D411" s="155"/>
      <c r="E411" s="162"/>
      <c r="F411" s="157"/>
      <c r="G411" s="77"/>
      <c r="H411" s="77"/>
      <c r="I411" s="77"/>
      <c r="J411" s="163"/>
      <c r="K411" s="161"/>
      <c r="L411" s="161"/>
      <c r="M411" s="80"/>
      <c r="N411" s="161"/>
      <c r="O411" s="160"/>
      <c r="P411" s="161"/>
      <c r="Q411" s="161"/>
      <c r="R411" s="161"/>
      <c r="S411" s="77"/>
      <c r="T411" s="161"/>
      <c r="U411" s="160"/>
      <c r="V411" s="161"/>
      <c r="W411" s="85"/>
      <c r="X411" s="86" t="str">
        <f aca="false">IF(ISBLANK($C411),"",IF($E411=Constants!$B$2,TRUE(),IF($E411=Constants!$B$3,FALSE(),TRUE())))</f>
        <v/>
      </c>
      <c r="Y411" s="86" t="str">
        <f aca="false">IF(ISBLANK($C411),"",IF($F411=Constants!$B$2,TRUE(),IF($F411=Constants!$B$3,FALSE(),TRUE())))</f>
        <v/>
      </c>
      <c r="Z411" s="87" t="str">
        <f aca="false">IF(ISBLANK($C411),"",IF(ISNUMBER($G411),IF($G411&gt;=0,$G411,""),""))</f>
        <v/>
      </c>
      <c r="AA411" s="87" t="str">
        <f aca="false">IF(ISBLANK($C411),"",IF(ISNUMBER($H411),IF($H411&gt;=0,$H411,""),""))</f>
        <v/>
      </c>
      <c r="AB411" s="87" t="str">
        <f aca="false">IF(ISBLANK($C411),"",IF(ISNUMBER($I411),IF($I411&gt;=0,$I411,""),""))</f>
        <v/>
      </c>
      <c r="AC411" s="86" t="str">
        <f aca="false">IF(ISBLANK($C411),"",IF($J411=Constants!$B$2,TRUE(),IF($J411=Constants!$B$3,FALSE(),TRUE())))</f>
        <v/>
      </c>
      <c r="AD411" s="86" t="str">
        <f aca="false">IF(ISBLANK($C411),"",IF($K411=Constants!$B$2,TRUE(),IF($K411=Constants!$B$3,FALSE(),TRUE())))</f>
        <v/>
      </c>
      <c r="AE411" s="86" t="str">
        <f aca="false">IF(ISBLANK($C411),"",IF($L411=Constants!$B$2,TRUE(),IF($L411=Constants!$B$3,FALSE(),TRUE())))</f>
        <v/>
      </c>
      <c r="AF411" s="88" t="str">
        <f aca="false">IF(ISBLANK($C411),"",IF(ISNUMBER($M411),IF($M411&gt;=0,$M411,""),""))</f>
        <v/>
      </c>
      <c r="AG411" s="86" t="str">
        <f aca="false">IF(ISBLANK($C411),"",IF(ISBLANK($N411),0,IF(ISNUMBER($N411),IF(AND($N411&gt;=0,$N411&lt;=Constants!$B$17,$N411=INT($N411)),$N411,""),"")))</f>
        <v/>
      </c>
      <c r="AH411" s="87" t="str">
        <f aca="false">IF(ISBLANK($C411),"",IF(ISBLANK($O411),0,IF(ISNUMBER($O411),IF($O411&gt;=0,$O411,""),"")))</f>
        <v/>
      </c>
      <c r="AI411" s="86" t="str">
        <f aca="false">IF(ISBLANK($C411),"",IF($P411=Constants!$B$2,TRUE(),IF($P411=Constants!$B$3,FALSE(),TRUE())))</f>
        <v/>
      </c>
      <c r="AJ411" s="86" t="str">
        <f aca="false">IF(ISBLANK($C411),"",IF($Q411=Constants!$B$2,TRUE(),IF($Q411=Constants!$B$3,FALSE(),TRUE())))</f>
        <v/>
      </c>
      <c r="AK411" s="86" t="str">
        <f aca="false">IF(ISBLANK($C411),"",IF($R411=Constants!$B$2,TRUE(),IF($R411=Constants!$B$3,FALSE(),TRUE())))</f>
        <v/>
      </c>
      <c r="AL411" s="88" t="str">
        <f aca="false">IF(ISBLANK($C411),"",IF(ISNUMBER($S411),IF($S411&gt;=0,$S411,""),""))</f>
        <v/>
      </c>
      <c r="AM411" s="86" t="str">
        <f aca="false">IF(ISBLANK($C411),"",IF(ISBLANK($T411),0,IF(ISNUMBER($T411),IF(AND($T411&gt;=0,$T411&lt;=Constants!$B$17,$T411=INT($T411)),$T411,""),"")))</f>
        <v/>
      </c>
      <c r="AN411" s="87" t="str">
        <f aca="false">IF(ISBLANK($C411),"",IF(ISBLANK($U411),0,IF(ISNUMBER($U411),IF($U411&gt;=0,$U411,""),"")))</f>
        <v/>
      </c>
      <c r="AO411" s="86" t="str">
        <f aca="false">IF(ISBLANK($C411),"",IF($V411=Constants!$B$2,TRUE(),IF($V411=Constants!$B$3,FALSE(),FALSE())))</f>
        <v/>
      </c>
      <c r="AP411" s="86"/>
      <c r="AQ411" s="85" t="str">
        <f aca="false">IF(ISBLANK($C411),"",AND($Y411,OR($AS411,$BC411),OR($Z411="",$AA411="",$AB411="")))</f>
        <v/>
      </c>
      <c r="AR411" s="85" t="str">
        <f aca="false">IF(ISBLANK($C411),"",IF(OR(NOT($Y411),NOT(OR($AS411,$BC411))),"",IF(ISBLANK($D$7),$AR$5,IF($AP$9="",$AR$6,""))))</f>
        <v/>
      </c>
      <c r="AS411" s="85" t="str">
        <f aca="false">IF(ISBLANK($C411),"",COUNTA($J411:$O411)&gt;0)</f>
        <v/>
      </c>
      <c r="AT411" s="85" t="str">
        <f aca="false">IF(ISBLANK($C411),"",AND($AS411,OR(AND($AF411="",OR($AE411,NOT(ISBLANK($M411)))),$AG411="",$AH411="")))</f>
        <v/>
      </c>
      <c r="AU411" s="87" t="str">
        <f aca="false">IF($BL411&lt;&gt;Constants!$B$4,"",IF(NOT($AS411),"",ROUND((Constants!$B$12-$AB411)+(Constants!$B$13-$Z411)+(Constants!$B$14-$AA411),1)))</f>
        <v/>
      </c>
      <c r="AV411" s="90" t="str">
        <f aca="false">IF($BL411&lt;&gt;Constants!$B$4,"",IF(NOT($AS411),"",IF(NOT($AE411),0,Constants!$B$15*(INT(ROUND(MIN($AF411,$AP$9),6))-INT(ROUND(MAX(0,MIN($AF411,2*$AP$9)-$AP$9),6))))))</f>
        <v/>
      </c>
      <c r="AW411" s="90" t="str">
        <f aca="false">IF($BL411&lt;&gt;Constants!$B$4,"",IF(NOT($AS411),"",Constants!$B$16*$AG411))</f>
        <v/>
      </c>
      <c r="AX411" s="90" t="str">
        <f aca="false">IF($BL411&lt;&gt;Constants!$B$4,"",IF(NOT($AS411),"",Constants!$B$18*INT(ROUND($AH411,6))))</f>
        <v/>
      </c>
      <c r="AY411" s="85" t="str">
        <f aca="false">IF($BL411&lt;&gt;Constants!$B$4,"",IF(NOT($AS411),"",IF(NOT($X411),Constants!$B$11,IF(OR(NOT($AC411),NOT($AD411),ROUND($AB411,1)&gt;Constants!$B$12,ROUND($Z411,1)&gt;Constants!$B$13,ROUND($AA411,1)&gt;Constants!$B$14),Constants!$B$10,Constants!$B$9))))</f>
        <v/>
      </c>
      <c r="AZ411" s="91" t="str">
        <f aca="false">IF($BL411&lt;&gt;Constants!$B$4,"",IF(NOT($AS411),"",ROUND($AU411+$AV411+$AW411+$AX411,1)))</f>
        <v/>
      </c>
      <c r="BA411" s="92" t="str">
        <f aca="false">IF($BL411&lt;&gt;Constants!$B$4,"",IF(NOT($AS411),"",IF(ISNUMBER($AF411),$AF411,0)))</f>
        <v/>
      </c>
      <c r="BB411" s="86" t="str">
        <f aca="false">IF($BL411&lt;&gt;Constants!$B$4,"",IF(NOT($BC411),"&lt;-",IF(NOT($AS411),"-&gt;",IF(OR($BI411&lt;$AY411,AND($BI411=$AY411,OR($BJ411&gt;$AZ411,AND($BJ411=$AZ411,OR($BH411&gt;$AX411,AND($BH411=$AX411,OR($BE411&gt;$AU411,AND($BE411=$AU411,OR($BF411&gt;$AV411,AND($BF411=$AV411,$BK411&gt;$BA411)))))))))),"-&gt;","&lt;-"))))</f>
        <v/>
      </c>
      <c r="BC411" s="85" t="str">
        <f aca="false">IF(ISBLANK($C411),"",COUNTA($P411:$U411)&gt;0)</f>
        <v/>
      </c>
      <c r="BD411" s="85" t="str">
        <f aca="false">IF(ISBLANK($C411),"",AND($BC411,OR(AND($AL411="",OR($AK411,NOT(ISBLANK($S411)))),$AM411="",$AN411="")))</f>
        <v/>
      </c>
      <c r="BE411" s="87" t="str">
        <f aca="false">IF($BL411&lt;&gt;Constants!$B$4,"",IF(NOT($BC411),"",ROUND((Constants!$B$12-$AB411)+(Constants!$B$13-$Z411)+(Constants!$B$14-$AA411),1)))</f>
        <v/>
      </c>
      <c r="BF411" s="90" t="str">
        <f aca="false">IF($BL411&lt;&gt;Constants!$B$4,"",IF(NOT($BC411),"",IF(NOT($AK411),0,Constants!$B$15*(INT(ROUND(MIN($AL411,$AP$9),6))-INT(ROUND(MAX(0,MIN($AL411,2*$AP$9)-$AP$9),6))))))</f>
        <v/>
      </c>
      <c r="BG411" s="90" t="str">
        <f aca="false">IF($BL411&lt;&gt;Constants!$B$4,"",IF(NOT($BC411),"",Constants!$B$16*$AM411))</f>
        <v/>
      </c>
      <c r="BH411" s="90" t="str">
        <f aca="false">IF($BL411&lt;&gt;Constants!$B$4,"",IF(NOT($BC411),"",Constants!$B$18*INT(ROUND($AN411,6))))</f>
        <v/>
      </c>
      <c r="BI411" s="85" t="str">
        <f aca="false">IF($BL411&lt;&gt;Constants!$B$4,"",IF(NOT($BC411),"",IF(NOT($X411),Constants!$B$11,IF(OR(NOT($AI411),NOT($AJ411),ROUND($AB411,1)&gt;Constants!$B$12,ROUND($Z411,1)&gt;Constants!$B$13,ROUND($AA411,1)&gt;Constants!$B$14),Constants!$B$10,Constants!$B$9))))</f>
        <v/>
      </c>
      <c r="BJ411" s="91" t="str">
        <f aca="false">IF($BL411&lt;&gt;Constants!$B$4,"",IF(NOT($BC411),"",ROUND($BE411+$BF411+$BG411+$BH411,1)))</f>
        <v/>
      </c>
      <c r="BK411" s="92" t="str">
        <f aca="false">IF($BL411&lt;&gt;Constants!$B$4,"",IF(NOT($BC411),"",IF(ISNUMBER($AL411),$AL411,0)))</f>
        <v/>
      </c>
      <c r="BL411" s="86" t="str">
        <f aca="false">IF(ISBLANK($C411),"",IF($AO411,Constants!$B$7,IF(COUNTA($E411:$V411)=0,Constants!$B$6,IF(NOT($Y411),Constants!$B$5,IF(NOT(OR($AS411,$BC411)),Constants!$B$5,IF(OR($AT411,$BD411,$AQ411,$AR411&lt;&gt;""),Constants!$B$8,Constants!$B$4))))))</f>
        <v/>
      </c>
      <c r="BM411" s="86" t="str">
        <f aca="false">IF(ISBLANK($C411),"",IF($BL411&lt;&gt;Constants!$B$4,$BL411,IF($BB411="-&gt;",$BI411,$AY411)))</f>
        <v/>
      </c>
      <c r="BN411" s="90" t="str">
        <f aca="false">IF($BL411&lt;&gt;Constants!$B$4,"",IF($BB411="-&gt;",$BJ411,$AZ411))</f>
        <v/>
      </c>
      <c r="BO411" s="90" t="str">
        <f aca="false">IF(ISBLANK($C411),"",IF($BL411&lt;&gt;Constants!$B$4,$BL411,$BN411))</f>
        <v/>
      </c>
      <c r="BP411" s="86" t="str">
        <f aca="false">IF(ISBLANK($C411),"",IF($BL411&lt;&gt;Constants!$B$4,$BL411,RANK($BO411,$BO$9:$BO$508,0)))</f>
        <v/>
      </c>
      <c r="BQ411" s="86" t="str">
        <f aca="false">IF(ISBLANK($C411),"",IF($BL411&lt;&gt;Constants!$B$4,$BL411,COUNTIFS($BM$9:$BM$508,"&lt;"&amp;$BM411)+COUNTIFS($BM$9:$BM$508,$BM411,$BP$9:$BP$508,"&lt;"&amp;$BP411)+1))</f>
        <v/>
      </c>
      <c r="BR411" s="90" t="str">
        <f aca="false">IF($BL411&lt;&gt;Constants!$B$4,"",IF($BB411="-&gt;",$BH411,$AX411))</f>
        <v/>
      </c>
      <c r="BS411" s="86" t="str">
        <f aca="false">IF(ISBLANK($C411),"",IF($BL411&lt;&gt;Constants!$B$4,$BL411,IF(ISNUMBER($BR411),RANK($BR411,$BR$9:$BR$508,0),COUNT($BR$9:$BR$508)+1)))</f>
        <v/>
      </c>
      <c r="BT411" s="90" t="str">
        <f aca="false">IF($BL411&lt;&gt;Constants!$B$4,"",IF($BB411="-&gt;",$BE411,$AU411))</f>
        <v/>
      </c>
      <c r="BU411" s="86" t="str">
        <f aca="false">IF(ISBLANK($C411),"",IF($BL411&lt;&gt;Constants!$B$4,$BL411,IF(ISNUMBER($BT411),RANK($BT411,$BT$9:$BT$508,0),COUNT($BT$9:$BT$508)+1)))</f>
        <v/>
      </c>
      <c r="BV411" s="90" t="str">
        <f aca="false">IF($BL411&lt;&gt;Constants!$B$4,"",IF($BB411="-&gt;",$BF411,$AV411))</f>
        <v/>
      </c>
      <c r="BW411" s="86" t="str">
        <f aca="false">IF(ISBLANK($C411),"",IF($BL411&lt;&gt;Constants!$B$4,$BL411,IF(ISNUMBER($BV411),RANK($BV411,$BV$9:$BV$508,0),COUNT($BV$9:$BV$508)+1)))</f>
        <v/>
      </c>
      <c r="BX411" s="90" t="str">
        <f aca="false">IF($BL411&lt;&gt;Constants!$B$4,"",IF($BB411="-&gt;",$BK411,$BA411))</f>
        <v/>
      </c>
      <c r="BY411" s="86" t="str">
        <f aca="false">IF(ISBLANK($C411),"",IF($BL411&lt;&gt;Constants!$B$4,$BL411,IF(ISNUMBER($BX411),RANK($BX411,$BX$9:$BX$508,0),COUNT($BX$9:$BX$508)+1)))</f>
        <v/>
      </c>
      <c r="BZ411" s="86" t="str">
        <f aca="false">IF(ISBLANK($C411),"",IF($BL411&lt;&gt;Constants!$B$4,$BL411,COUNTIFS($BM$9:$BM$508,"&lt;"&amp;$BM411)+COUNTIFS($BM$9:$BM$508,$BM411,$BP$9:$BP$508,"&lt;"&amp;$BP411)+COUNTIFS($BM$9:$BM$508,$BM411,$BP$9:$BP$508,$BP411,$BS$9:$BS$508,"&lt;"&amp;$BS411)+COUNTIFS($BM$9:$BM$508,$BM411,$BP$9:$BP$508,$BP411,$BS$9:$BS$508,$BS411,$BU$9:$BU$508,"&lt;"&amp;$BU411)+COUNTIFS($BM$9:$BM$508,$BM411,$BP$9:$BP$508,$BP411,$BS$9:$BS$508,$BS411,$BU$9:$BU$508,$BU411,$BW$9:$BW$508,"&lt;"&amp;$BW411)+COUNTIFS($BM$9:$BM$508,$BM411,$BP$9:$BP$508,$BP411,$BS$9:$BS$508,$BS411,$BU$9:$BU$508,$BU411,$BW$9:$BW$508,$BW411,$BY$9:$BY$508,"&lt;"&amp;$BY411)+1))</f>
        <v/>
      </c>
      <c r="CA411" s="86" t="str">
        <f aca="false">IF(ISBLANK($C411),"",IF($BL411&lt;&gt;Constants!$B$4,$BL411,$BQ411-$BZ411))</f>
        <v/>
      </c>
      <c r="CB411" s="93"/>
      <c r="CC411" s="94" t="str">
        <f aca="false">IF(ISBLANK($C411),"",IF($BL411=Constants!$B$8,$AR411,""))</f>
        <v/>
      </c>
      <c r="CD411" s="94" t="str">
        <f aca="false">IF(ISBLANK($C411),"",IF($BL411&lt;&gt;Constants!$B$4,"",IF($BB411="-&gt;",2,1)))</f>
        <v/>
      </c>
      <c r="CE411" s="95" t="str">
        <f aca="false">IF(ISBLANK($C411),"",IF($BL411&lt;&gt;Constants!$B$4,"",IF($BB411="-&gt;",$BE411,$AU411)))</f>
        <v/>
      </c>
      <c r="CF411" s="95" t="str">
        <f aca="false">IF(ISBLANK($C411),"",IF($BL411&lt;&gt;Constants!$B$4,"",IF($BB411="-&gt;",$BF411,$AV411)))</f>
        <v/>
      </c>
      <c r="CG411" s="95" t="str">
        <f aca="false">IF(ISBLANK($C411),"",IF($BL411&lt;&gt;Constants!$B$4,"",IF($BB411="-&gt;",$BG411,$AW411)))</f>
        <v/>
      </c>
      <c r="CH411" s="95" t="str">
        <f aca="false">IF(ISBLANK($C411),"",IF($BL411&lt;&gt;Constants!$B$4,"",IF($BB411="-&gt;",$BH411,$AX411)))</f>
        <v/>
      </c>
      <c r="CI411" s="96" t="str">
        <f aca="false">IF(ISBLANK($C411),"",$BO411)</f>
        <v/>
      </c>
      <c r="CJ411" s="97" t="str">
        <f aca="false">IF(ISBLANK($C411),"",$BM411)</f>
        <v/>
      </c>
      <c r="CK411" s="98" t="str">
        <f aca="false">IF(ISBLANK($C411),"",$CA411)</f>
        <v/>
      </c>
      <c r="CL411" s="98" t="str">
        <f aca="false">IF(ISBLANK($C411),"",$BZ411)</f>
        <v/>
      </c>
      <c r="CM411" s="99" t="str">
        <f aca="false">IF(ISBLANK($C411),"",IF($CL411=Constants!$B$7,COUNTA($C$9:$C$508)+2,IF($CL411=Constants!$B$6,COUNTA($C$9:$C$508)+1,IF($CL411=Constants!$B$5,COUNTA($C$9:$C$508),$CL411))))</f>
        <v/>
      </c>
      <c r="CN411" s="8"/>
      <c r="CO411" s="100" t="n">
        <f aca="false">IF(OR(ISNUMBER($CL411),$CL411=Constants!$B$7,$CL411=Constants!$B$5,$CL411=Constants!$B$6),1,0)</f>
        <v>0</v>
      </c>
      <c r="CP411" s="100" t="n">
        <v>403</v>
      </c>
      <c r="CQ411" s="100" t="str">
        <f aca="false">IF(ISBLANK($C411),"",IF(ISNUMBER($CM411),$CM411+ROW($B411)/1000,""))</f>
        <v/>
      </c>
      <c r="CR411" s="100" t="str">
        <f aca="false">IF(ISNUMBER($CQ411),RANK($CQ411,$CQ$9:$CQ$508,1),"")</f>
        <v/>
      </c>
      <c r="CS411" s="100" t="str">
        <f aca="false">IF(ISBLANK($C411),"",$B411)</f>
        <v/>
      </c>
      <c r="CT411" s="100" t="str">
        <f aca="false">IF(ISBLANK($C411),"",$C411)</f>
        <v/>
      </c>
      <c r="CU411" s="100" t="str">
        <f aca="false">IF(ISBLANK($C411),"",$D411)</f>
        <v/>
      </c>
      <c r="CV411" s="101" t="str">
        <f aca="false">$CJ411</f>
        <v/>
      </c>
      <c r="CW411" s="102" t="str">
        <f aca="false">$CI411</f>
        <v/>
      </c>
      <c r="CX411" s="100" t="str">
        <f aca="false">IF(ISBLANK($C411),"",$CL411)</f>
        <v/>
      </c>
      <c r="CY411" s="103" t="str">
        <f aca="false">IF($CP411&gt;$CO$8,"",VLOOKUP($CP411,$CR$9:$CX$508,7,FALSE()))</f>
        <v/>
      </c>
      <c r="CZ411" s="104" t="str">
        <f aca="false">IF($CP411&gt;$CO$8,"",VLOOKUP($CP411,$CR$9:$CX$508,2,FALSE()))</f>
        <v/>
      </c>
      <c r="DA411" s="104" t="str">
        <f aca="false">IF($CP411&gt;$CO$8,"",VLOOKUP($CP411,$CR$9:$CX$508,3,FALSE()))</f>
        <v/>
      </c>
      <c r="DB411" s="104" t="str">
        <f aca="false">IF($CP411&gt;$CO$8,"",VLOOKUP($CP411,$CR$9:$CX$508,4,FALSE()))</f>
        <v/>
      </c>
      <c r="DC411" s="104" t="str">
        <f aca="false">IF($CP411&gt;$CO$8,"",VLOOKUP($CP411,$CR$9:$CX$508,5,FALSE()))</f>
        <v/>
      </c>
      <c r="DD411" s="105" t="str">
        <f aca="false">IF($CP411&gt;$CO$8,"",VLOOKUP($CP411,$CR$9:$CX$508,6,FALSE()))</f>
        <v/>
      </c>
      <c r="DE411" s="70"/>
    </row>
    <row r="412" customFormat="false" ht="15.75" hidden="false" customHeight="false" outlineLevel="0" collapsed="false">
      <c r="A412" s="8"/>
      <c r="B412" s="72"/>
      <c r="C412" s="73"/>
      <c r="D412" s="155"/>
      <c r="E412" s="162"/>
      <c r="F412" s="157"/>
      <c r="G412" s="77"/>
      <c r="H412" s="77"/>
      <c r="I412" s="77"/>
      <c r="J412" s="163"/>
      <c r="K412" s="161"/>
      <c r="L412" s="161"/>
      <c r="M412" s="80"/>
      <c r="N412" s="161"/>
      <c r="O412" s="160"/>
      <c r="P412" s="161"/>
      <c r="Q412" s="161"/>
      <c r="R412" s="161"/>
      <c r="S412" s="77"/>
      <c r="T412" s="161"/>
      <c r="U412" s="160"/>
      <c r="V412" s="161"/>
      <c r="W412" s="85"/>
      <c r="X412" s="86" t="str">
        <f aca="false">IF(ISBLANK($C412),"",IF($E412=Constants!$B$2,TRUE(),IF($E412=Constants!$B$3,FALSE(),TRUE())))</f>
        <v/>
      </c>
      <c r="Y412" s="86" t="str">
        <f aca="false">IF(ISBLANK($C412),"",IF($F412=Constants!$B$2,TRUE(),IF($F412=Constants!$B$3,FALSE(),TRUE())))</f>
        <v/>
      </c>
      <c r="Z412" s="87" t="str">
        <f aca="false">IF(ISBLANK($C412),"",IF(ISNUMBER($G412),IF($G412&gt;=0,$G412,""),""))</f>
        <v/>
      </c>
      <c r="AA412" s="87" t="str">
        <f aca="false">IF(ISBLANK($C412),"",IF(ISNUMBER($H412),IF($H412&gt;=0,$H412,""),""))</f>
        <v/>
      </c>
      <c r="AB412" s="87" t="str">
        <f aca="false">IF(ISBLANK($C412),"",IF(ISNUMBER($I412),IF($I412&gt;=0,$I412,""),""))</f>
        <v/>
      </c>
      <c r="AC412" s="86" t="str">
        <f aca="false">IF(ISBLANK($C412),"",IF($J412=Constants!$B$2,TRUE(),IF($J412=Constants!$B$3,FALSE(),TRUE())))</f>
        <v/>
      </c>
      <c r="AD412" s="86" t="str">
        <f aca="false">IF(ISBLANK($C412),"",IF($K412=Constants!$B$2,TRUE(),IF($K412=Constants!$B$3,FALSE(),TRUE())))</f>
        <v/>
      </c>
      <c r="AE412" s="86" t="str">
        <f aca="false">IF(ISBLANK($C412),"",IF($L412=Constants!$B$2,TRUE(),IF($L412=Constants!$B$3,FALSE(),TRUE())))</f>
        <v/>
      </c>
      <c r="AF412" s="88" t="str">
        <f aca="false">IF(ISBLANK($C412),"",IF(ISNUMBER($M412),IF($M412&gt;=0,$M412,""),""))</f>
        <v/>
      </c>
      <c r="AG412" s="86" t="str">
        <f aca="false">IF(ISBLANK($C412),"",IF(ISBLANK($N412),0,IF(ISNUMBER($N412),IF(AND($N412&gt;=0,$N412&lt;=Constants!$B$17,$N412=INT($N412)),$N412,""),"")))</f>
        <v/>
      </c>
      <c r="AH412" s="87" t="str">
        <f aca="false">IF(ISBLANK($C412),"",IF(ISBLANK($O412),0,IF(ISNUMBER($O412),IF($O412&gt;=0,$O412,""),"")))</f>
        <v/>
      </c>
      <c r="AI412" s="86" t="str">
        <f aca="false">IF(ISBLANK($C412),"",IF($P412=Constants!$B$2,TRUE(),IF($P412=Constants!$B$3,FALSE(),TRUE())))</f>
        <v/>
      </c>
      <c r="AJ412" s="86" t="str">
        <f aca="false">IF(ISBLANK($C412),"",IF($Q412=Constants!$B$2,TRUE(),IF($Q412=Constants!$B$3,FALSE(),TRUE())))</f>
        <v/>
      </c>
      <c r="AK412" s="86" t="str">
        <f aca="false">IF(ISBLANK($C412),"",IF($R412=Constants!$B$2,TRUE(),IF($R412=Constants!$B$3,FALSE(),TRUE())))</f>
        <v/>
      </c>
      <c r="AL412" s="88" t="str">
        <f aca="false">IF(ISBLANK($C412),"",IF(ISNUMBER($S412),IF($S412&gt;=0,$S412,""),""))</f>
        <v/>
      </c>
      <c r="AM412" s="86" t="str">
        <f aca="false">IF(ISBLANK($C412),"",IF(ISBLANK($T412),0,IF(ISNUMBER($T412),IF(AND($T412&gt;=0,$T412&lt;=Constants!$B$17,$T412=INT($T412)),$T412,""),"")))</f>
        <v/>
      </c>
      <c r="AN412" s="87" t="str">
        <f aca="false">IF(ISBLANK($C412),"",IF(ISBLANK($U412),0,IF(ISNUMBER($U412),IF($U412&gt;=0,$U412,""),"")))</f>
        <v/>
      </c>
      <c r="AO412" s="86" t="str">
        <f aca="false">IF(ISBLANK($C412),"",IF($V412=Constants!$B$2,TRUE(),IF($V412=Constants!$B$3,FALSE(),FALSE())))</f>
        <v/>
      </c>
      <c r="AP412" s="86"/>
      <c r="AQ412" s="85" t="str">
        <f aca="false">IF(ISBLANK($C412),"",AND($Y412,OR($AS412,$BC412),OR($Z412="",$AA412="",$AB412="")))</f>
        <v/>
      </c>
      <c r="AR412" s="85" t="str">
        <f aca="false">IF(ISBLANK($C412),"",IF(OR(NOT($Y412),NOT(OR($AS412,$BC412))),"",IF(ISBLANK($D$7),$AR$5,IF($AP$9="",$AR$6,""))))</f>
        <v/>
      </c>
      <c r="AS412" s="85" t="str">
        <f aca="false">IF(ISBLANK($C412),"",COUNTA($J412:$O412)&gt;0)</f>
        <v/>
      </c>
      <c r="AT412" s="85" t="str">
        <f aca="false">IF(ISBLANK($C412),"",AND($AS412,OR(AND($AF412="",OR($AE412,NOT(ISBLANK($M412)))),$AG412="",$AH412="")))</f>
        <v/>
      </c>
      <c r="AU412" s="87" t="str">
        <f aca="false">IF($BL412&lt;&gt;Constants!$B$4,"",IF(NOT($AS412),"",ROUND((Constants!$B$12-$AB412)+(Constants!$B$13-$Z412)+(Constants!$B$14-$AA412),1)))</f>
        <v/>
      </c>
      <c r="AV412" s="90" t="str">
        <f aca="false">IF($BL412&lt;&gt;Constants!$B$4,"",IF(NOT($AS412),"",IF(NOT($AE412),0,Constants!$B$15*(INT(ROUND(MIN($AF412,$AP$9),6))-INT(ROUND(MAX(0,MIN($AF412,2*$AP$9)-$AP$9),6))))))</f>
        <v/>
      </c>
      <c r="AW412" s="90" t="str">
        <f aca="false">IF($BL412&lt;&gt;Constants!$B$4,"",IF(NOT($AS412),"",Constants!$B$16*$AG412))</f>
        <v/>
      </c>
      <c r="AX412" s="90" t="str">
        <f aca="false">IF($BL412&lt;&gt;Constants!$B$4,"",IF(NOT($AS412),"",Constants!$B$18*INT(ROUND($AH412,6))))</f>
        <v/>
      </c>
      <c r="AY412" s="85" t="str">
        <f aca="false">IF($BL412&lt;&gt;Constants!$B$4,"",IF(NOT($AS412),"",IF(NOT($X412),Constants!$B$11,IF(OR(NOT($AC412),NOT($AD412),ROUND($AB412,1)&gt;Constants!$B$12,ROUND($Z412,1)&gt;Constants!$B$13,ROUND($AA412,1)&gt;Constants!$B$14),Constants!$B$10,Constants!$B$9))))</f>
        <v/>
      </c>
      <c r="AZ412" s="91" t="str">
        <f aca="false">IF($BL412&lt;&gt;Constants!$B$4,"",IF(NOT($AS412),"",ROUND($AU412+$AV412+$AW412+$AX412,1)))</f>
        <v/>
      </c>
      <c r="BA412" s="92" t="str">
        <f aca="false">IF($BL412&lt;&gt;Constants!$B$4,"",IF(NOT($AS412),"",IF(ISNUMBER($AF412),$AF412,0)))</f>
        <v/>
      </c>
      <c r="BB412" s="86" t="str">
        <f aca="false">IF($BL412&lt;&gt;Constants!$B$4,"",IF(NOT($BC412),"&lt;-",IF(NOT($AS412),"-&gt;",IF(OR($BI412&lt;$AY412,AND($BI412=$AY412,OR($BJ412&gt;$AZ412,AND($BJ412=$AZ412,OR($BH412&gt;$AX412,AND($BH412=$AX412,OR($BE412&gt;$AU412,AND($BE412=$AU412,OR($BF412&gt;$AV412,AND($BF412=$AV412,$BK412&gt;$BA412)))))))))),"-&gt;","&lt;-"))))</f>
        <v/>
      </c>
      <c r="BC412" s="85" t="str">
        <f aca="false">IF(ISBLANK($C412),"",COUNTA($P412:$U412)&gt;0)</f>
        <v/>
      </c>
      <c r="BD412" s="85" t="str">
        <f aca="false">IF(ISBLANK($C412),"",AND($BC412,OR(AND($AL412="",OR($AK412,NOT(ISBLANK($S412)))),$AM412="",$AN412="")))</f>
        <v/>
      </c>
      <c r="BE412" s="87" t="str">
        <f aca="false">IF($BL412&lt;&gt;Constants!$B$4,"",IF(NOT($BC412),"",ROUND((Constants!$B$12-$AB412)+(Constants!$B$13-$Z412)+(Constants!$B$14-$AA412),1)))</f>
        <v/>
      </c>
      <c r="BF412" s="90" t="str">
        <f aca="false">IF($BL412&lt;&gt;Constants!$B$4,"",IF(NOT($BC412),"",IF(NOT($AK412),0,Constants!$B$15*(INT(ROUND(MIN($AL412,$AP$9),6))-INT(ROUND(MAX(0,MIN($AL412,2*$AP$9)-$AP$9),6))))))</f>
        <v/>
      </c>
      <c r="BG412" s="90" t="str">
        <f aca="false">IF($BL412&lt;&gt;Constants!$B$4,"",IF(NOT($BC412),"",Constants!$B$16*$AM412))</f>
        <v/>
      </c>
      <c r="BH412" s="90" t="str">
        <f aca="false">IF($BL412&lt;&gt;Constants!$B$4,"",IF(NOT($BC412),"",Constants!$B$18*INT(ROUND($AN412,6))))</f>
        <v/>
      </c>
      <c r="BI412" s="85" t="str">
        <f aca="false">IF($BL412&lt;&gt;Constants!$B$4,"",IF(NOT($BC412),"",IF(NOT($X412),Constants!$B$11,IF(OR(NOT($AI412),NOT($AJ412),ROUND($AB412,1)&gt;Constants!$B$12,ROUND($Z412,1)&gt;Constants!$B$13,ROUND($AA412,1)&gt;Constants!$B$14),Constants!$B$10,Constants!$B$9))))</f>
        <v/>
      </c>
      <c r="BJ412" s="91" t="str">
        <f aca="false">IF($BL412&lt;&gt;Constants!$B$4,"",IF(NOT($BC412),"",ROUND($BE412+$BF412+$BG412+$BH412,1)))</f>
        <v/>
      </c>
      <c r="BK412" s="92" t="str">
        <f aca="false">IF($BL412&lt;&gt;Constants!$B$4,"",IF(NOT($BC412),"",IF(ISNUMBER($AL412),$AL412,0)))</f>
        <v/>
      </c>
      <c r="BL412" s="86" t="str">
        <f aca="false">IF(ISBLANK($C412),"",IF($AO412,Constants!$B$7,IF(COUNTA($E412:$V412)=0,Constants!$B$6,IF(NOT($Y412),Constants!$B$5,IF(NOT(OR($AS412,$BC412)),Constants!$B$5,IF(OR($AT412,$BD412,$AQ412,$AR412&lt;&gt;""),Constants!$B$8,Constants!$B$4))))))</f>
        <v/>
      </c>
      <c r="BM412" s="86" t="str">
        <f aca="false">IF(ISBLANK($C412),"",IF($BL412&lt;&gt;Constants!$B$4,$BL412,IF($BB412="-&gt;",$BI412,$AY412)))</f>
        <v/>
      </c>
      <c r="BN412" s="90" t="str">
        <f aca="false">IF($BL412&lt;&gt;Constants!$B$4,"",IF($BB412="-&gt;",$BJ412,$AZ412))</f>
        <v/>
      </c>
      <c r="BO412" s="90" t="str">
        <f aca="false">IF(ISBLANK($C412),"",IF($BL412&lt;&gt;Constants!$B$4,$BL412,$BN412))</f>
        <v/>
      </c>
      <c r="BP412" s="86" t="str">
        <f aca="false">IF(ISBLANK($C412),"",IF($BL412&lt;&gt;Constants!$B$4,$BL412,RANK($BO412,$BO$9:$BO$508,0)))</f>
        <v/>
      </c>
      <c r="BQ412" s="86" t="str">
        <f aca="false">IF(ISBLANK($C412),"",IF($BL412&lt;&gt;Constants!$B$4,$BL412,COUNTIFS($BM$9:$BM$508,"&lt;"&amp;$BM412)+COUNTIFS($BM$9:$BM$508,$BM412,$BP$9:$BP$508,"&lt;"&amp;$BP412)+1))</f>
        <v/>
      </c>
      <c r="BR412" s="90" t="str">
        <f aca="false">IF($BL412&lt;&gt;Constants!$B$4,"",IF($BB412="-&gt;",$BH412,$AX412))</f>
        <v/>
      </c>
      <c r="BS412" s="86" t="str">
        <f aca="false">IF(ISBLANK($C412),"",IF($BL412&lt;&gt;Constants!$B$4,$BL412,IF(ISNUMBER($BR412),RANK($BR412,$BR$9:$BR$508,0),COUNT($BR$9:$BR$508)+1)))</f>
        <v/>
      </c>
      <c r="BT412" s="90" t="str">
        <f aca="false">IF($BL412&lt;&gt;Constants!$B$4,"",IF($BB412="-&gt;",$BE412,$AU412))</f>
        <v/>
      </c>
      <c r="BU412" s="86" t="str">
        <f aca="false">IF(ISBLANK($C412),"",IF($BL412&lt;&gt;Constants!$B$4,$BL412,IF(ISNUMBER($BT412),RANK($BT412,$BT$9:$BT$508,0),COUNT($BT$9:$BT$508)+1)))</f>
        <v/>
      </c>
      <c r="BV412" s="90" t="str">
        <f aca="false">IF($BL412&lt;&gt;Constants!$B$4,"",IF($BB412="-&gt;",$BF412,$AV412))</f>
        <v/>
      </c>
      <c r="BW412" s="86" t="str">
        <f aca="false">IF(ISBLANK($C412),"",IF($BL412&lt;&gt;Constants!$B$4,$BL412,IF(ISNUMBER($BV412),RANK($BV412,$BV$9:$BV$508,0),COUNT($BV$9:$BV$508)+1)))</f>
        <v/>
      </c>
      <c r="BX412" s="90" t="str">
        <f aca="false">IF($BL412&lt;&gt;Constants!$B$4,"",IF($BB412="-&gt;",$BK412,$BA412))</f>
        <v/>
      </c>
      <c r="BY412" s="86" t="str">
        <f aca="false">IF(ISBLANK($C412),"",IF($BL412&lt;&gt;Constants!$B$4,$BL412,IF(ISNUMBER($BX412),RANK($BX412,$BX$9:$BX$508,0),COUNT($BX$9:$BX$508)+1)))</f>
        <v/>
      </c>
      <c r="BZ412" s="86" t="str">
        <f aca="false">IF(ISBLANK($C412),"",IF($BL412&lt;&gt;Constants!$B$4,$BL412,COUNTIFS($BM$9:$BM$508,"&lt;"&amp;$BM412)+COUNTIFS($BM$9:$BM$508,$BM412,$BP$9:$BP$508,"&lt;"&amp;$BP412)+COUNTIFS($BM$9:$BM$508,$BM412,$BP$9:$BP$508,$BP412,$BS$9:$BS$508,"&lt;"&amp;$BS412)+COUNTIFS($BM$9:$BM$508,$BM412,$BP$9:$BP$508,$BP412,$BS$9:$BS$508,$BS412,$BU$9:$BU$508,"&lt;"&amp;$BU412)+COUNTIFS($BM$9:$BM$508,$BM412,$BP$9:$BP$508,$BP412,$BS$9:$BS$508,$BS412,$BU$9:$BU$508,$BU412,$BW$9:$BW$508,"&lt;"&amp;$BW412)+COUNTIFS($BM$9:$BM$508,$BM412,$BP$9:$BP$508,$BP412,$BS$9:$BS$508,$BS412,$BU$9:$BU$508,$BU412,$BW$9:$BW$508,$BW412,$BY$9:$BY$508,"&lt;"&amp;$BY412)+1))</f>
        <v/>
      </c>
      <c r="CA412" s="86" t="str">
        <f aca="false">IF(ISBLANK($C412),"",IF($BL412&lt;&gt;Constants!$B$4,$BL412,$BQ412-$BZ412))</f>
        <v/>
      </c>
      <c r="CB412" s="93"/>
      <c r="CC412" s="94" t="str">
        <f aca="false">IF(ISBLANK($C412),"",IF($BL412=Constants!$B$8,$AR412,""))</f>
        <v/>
      </c>
      <c r="CD412" s="94" t="str">
        <f aca="false">IF(ISBLANK($C412),"",IF($BL412&lt;&gt;Constants!$B$4,"",IF($BB412="-&gt;",2,1)))</f>
        <v/>
      </c>
      <c r="CE412" s="95" t="str">
        <f aca="false">IF(ISBLANK($C412),"",IF($BL412&lt;&gt;Constants!$B$4,"",IF($BB412="-&gt;",$BE412,$AU412)))</f>
        <v/>
      </c>
      <c r="CF412" s="95" t="str">
        <f aca="false">IF(ISBLANK($C412),"",IF($BL412&lt;&gt;Constants!$B$4,"",IF($BB412="-&gt;",$BF412,$AV412)))</f>
        <v/>
      </c>
      <c r="CG412" s="95" t="str">
        <f aca="false">IF(ISBLANK($C412),"",IF($BL412&lt;&gt;Constants!$B$4,"",IF($BB412="-&gt;",$BG412,$AW412)))</f>
        <v/>
      </c>
      <c r="CH412" s="95" t="str">
        <f aca="false">IF(ISBLANK($C412),"",IF($BL412&lt;&gt;Constants!$B$4,"",IF($BB412="-&gt;",$BH412,$AX412)))</f>
        <v/>
      </c>
      <c r="CI412" s="96" t="str">
        <f aca="false">IF(ISBLANK($C412),"",$BO412)</f>
        <v/>
      </c>
      <c r="CJ412" s="97" t="str">
        <f aca="false">IF(ISBLANK($C412),"",$BM412)</f>
        <v/>
      </c>
      <c r="CK412" s="98" t="str">
        <f aca="false">IF(ISBLANK($C412),"",$CA412)</f>
        <v/>
      </c>
      <c r="CL412" s="98" t="str">
        <f aca="false">IF(ISBLANK($C412),"",$BZ412)</f>
        <v/>
      </c>
      <c r="CM412" s="99" t="str">
        <f aca="false">IF(ISBLANK($C412),"",IF($CL412=Constants!$B$7,COUNTA($C$9:$C$508)+2,IF($CL412=Constants!$B$6,COUNTA($C$9:$C$508)+1,IF($CL412=Constants!$B$5,COUNTA($C$9:$C$508),$CL412))))</f>
        <v/>
      </c>
      <c r="CN412" s="8"/>
      <c r="CO412" s="100" t="n">
        <f aca="false">IF(OR(ISNUMBER($CL412),$CL412=Constants!$B$7,$CL412=Constants!$B$5,$CL412=Constants!$B$6),1,0)</f>
        <v>0</v>
      </c>
      <c r="CP412" s="100" t="n">
        <v>404</v>
      </c>
      <c r="CQ412" s="100" t="str">
        <f aca="false">IF(ISBLANK($C412),"",IF(ISNUMBER($CM412),$CM412+ROW($B412)/1000,""))</f>
        <v/>
      </c>
      <c r="CR412" s="100" t="str">
        <f aca="false">IF(ISNUMBER($CQ412),RANK($CQ412,$CQ$9:$CQ$508,1),"")</f>
        <v/>
      </c>
      <c r="CS412" s="100" t="str">
        <f aca="false">IF(ISBLANK($C412),"",$B412)</f>
        <v/>
      </c>
      <c r="CT412" s="100" t="str">
        <f aca="false">IF(ISBLANK($C412),"",$C412)</f>
        <v/>
      </c>
      <c r="CU412" s="100" t="str">
        <f aca="false">IF(ISBLANK($C412),"",$D412)</f>
        <v/>
      </c>
      <c r="CV412" s="101" t="str">
        <f aca="false">$CJ412</f>
        <v/>
      </c>
      <c r="CW412" s="102" t="str">
        <f aca="false">$CI412</f>
        <v/>
      </c>
      <c r="CX412" s="100" t="str">
        <f aca="false">IF(ISBLANK($C412),"",$CL412)</f>
        <v/>
      </c>
      <c r="CY412" s="103" t="str">
        <f aca="false">IF($CP412&gt;$CO$8,"",VLOOKUP($CP412,$CR$9:$CX$508,7,FALSE()))</f>
        <v/>
      </c>
      <c r="CZ412" s="104" t="str">
        <f aca="false">IF($CP412&gt;$CO$8,"",VLOOKUP($CP412,$CR$9:$CX$508,2,FALSE()))</f>
        <v/>
      </c>
      <c r="DA412" s="104" t="str">
        <f aca="false">IF($CP412&gt;$CO$8,"",VLOOKUP($CP412,$CR$9:$CX$508,3,FALSE()))</f>
        <v/>
      </c>
      <c r="DB412" s="104" t="str">
        <f aca="false">IF($CP412&gt;$CO$8,"",VLOOKUP($CP412,$CR$9:$CX$508,4,FALSE()))</f>
        <v/>
      </c>
      <c r="DC412" s="104" t="str">
        <f aca="false">IF($CP412&gt;$CO$8,"",VLOOKUP($CP412,$CR$9:$CX$508,5,FALSE()))</f>
        <v/>
      </c>
      <c r="DD412" s="105" t="str">
        <f aca="false">IF($CP412&gt;$CO$8,"",VLOOKUP($CP412,$CR$9:$CX$508,6,FALSE()))</f>
        <v/>
      </c>
      <c r="DE412" s="70"/>
    </row>
    <row r="413" customFormat="false" ht="15.75" hidden="false" customHeight="false" outlineLevel="0" collapsed="false">
      <c r="A413" s="8"/>
      <c r="B413" s="72"/>
      <c r="C413" s="73"/>
      <c r="D413" s="155"/>
      <c r="E413" s="162"/>
      <c r="F413" s="157"/>
      <c r="G413" s="77"/>
      <c r="H413" s="77"/>
      <c r="I413" s="77"/>
      <c r="J413" s="163"/>
      <c r="K413" s="161"/>
      <c r="L413" s="161"/>
      <c r="M413" s="80"/>
      <c r="N413" s="161"/>
      <c r="O413" s="160"/>
      <c r="P413" s="161"/>
      <c r="Q413" s="161"/>
      <c r="R413" s="161"/>
      <c r="S413" s="77"/>
      <c r="T413" s="161"/>
      <c r="U413" s="160"/>
      <c r="V413" s="161"/>
      <c r="W413" s="85"/>
      <c r="X413" s="86" t="str">
        <f aca="false">IF(ISBLANK($C413),"",IF($E413=Constants!$B$2,TRUE(),IF($E413=Constants!$B$3,FALSE(),TRUE())))</f>
        <v/>
      </c>
      <c r="Y413" s="86" t="str">
        <f aca="false">IF(ISBLANK($C413),"",IF($F413=Constants!$B$2,TRUE(),IF($F413=Constants!$B$3,FALSE(),TRUE())))</f>
        <v/>
      </c>
      <c r="Z413" s="87" t="str">
        <f aca="false">IF(ISBLANK($C413),"",IF(ISNUMBER($G413),IF($G413&gt;=0,$G413,""),""))</f>
        <v/>
      </c>
      <c r="AA413" s="87" t="str">
        <f aca="false">IF(ISBLANK($C413),"",IF(ISNUMBER($H413),IF($H413&gt;=0,$H413,""),""))</f>
        <v/>
      </c>
      <c r="AB413" s="87" t="str">
        <f aca="false">IF(ISBLANK($C413),"",IF(ISNUMBER($I413),IF($I413&gt;=0,$I413,""),""))</f>
        <v/>
      </c>
      <c r="AC413" s="86" t="str">
        <f aca="false">IF(ISBLANK($C413),"",IF($J413=Constants!$B$2,TRUE(),IF($J413=Constants!$B$3,FALSE(),TRUE())))</f>
        <v/>
      </c>
      <c r="AD413" s="86" t="str">
        <f aca="false">IF(ISBLANK($C413),"",IF($K413=Constants!$B$2,TRUE(),IF($K413=Constants!$B$3,FALSE(),TRUE())))</f>
        <v/>
      </c>
      <c r="AE413" s="86" t="str">
        <f aca="false">IF(ISBLANK($C413),"",IF($L413=Constants!$B$2,TRUE(),IF($L413=Constants!$B$3,FALSE(),TRUE())))</f>
        <v/>
      </c>
      <c r="AF413" s="88" t="str">
        <f aca="false">IF(ISBLANK($C413),"",IF(ISNUMBER($M413),IF($M413&gt;=0,$M413,""),""))</f>
        <v/>
      </c>
      <c r="AG413" s="86" t="str">
        <f aca="false">IF(ISBLANK($C413),"",IF(ISBLANK($N413),0,IF(ISNUMBER($N413),IF(AND($N413&gt;=0,$N413&lt;=Constants!$B$17,$N413=INT($N413)),$N413,""),"")))</f>
        <v/>
      </c>
      <c r="AH413" s="87" t="str">
        <f aca="false">IF(ISBLANK($C413),"",IF(ISBLANK($O413),0,IF(ISNUMBER($O413),IF($O413&gt;=0,$O413,""),"")))</f>
        <v/>
      </c>
      <c r="AI413" s="86" t="str">
        <f aca="false">IF(ISBLANK($C413),"",IF($P413=Constants!$B$2,TRUE(),IF($P413=Constants!$B$3,FALSE(),TRUE())))</f>
        <v/>
      </c>
      <c r="AJ413" s="86" t="str">
        <f aca="false">IF(ISBLANK($C413),"",IF($Q413=Constants!$B$2,TRUE(),IF($Q413=Constants!$B$3,FALSE(),TRUE())))</f>
        <v/>
      </c>
      <c r="AK413" s="86" t="str">
        <f aca="false">IF(ISBLANK($C413),"",IF($R413=Constants!$B$2,TRUE(),IF($R413=Constants!$B$3,FALSE(),TRUE())))</f>
        <v/>
      </c>
      <c r="AL413" s="88" t="str">
        <f aca="false">IF(ISBLANK($C413),"",IF(ISNUMBER($S413),IF($S413&gt;=0,$S413,""),""))</f>
        <v/>
      </c>
      <c r="AM413" s="86" t="str">
        <f aca="false">IF(ISBLANK($C413),"",IF(ISBLANK($T413),0,IF(ISNUMBER($T413),IF(AND($T413&gt;=0,$T413&lt;=Constants!$B$17,$T413=INT($T413)),$T413,""),"")))</f>
        <v/>
      </c>
      <c r="AN413" s="87" t="str">
        <f aca="false">IF(ISBLANK($C413),"",IF(ISBLANK($U413),0,IF(ISNUMBER($U413),IF($U413&gt;=0,$U413,""),"")))</f>
        <v/>
      </c>
      <c r="AO413" s="86" t="str">
        <f aca="false">IF(ISBLANK($C413),"",IF($V413=Constants!$B$2,TRUE(),IF($V413=Constants!$B$3,FALSE(),FALSE())))</f>
        <v/>
      </c>
      <c r="AP413" s="86"/>
      <c r="AQ413" s="85" t="str">
        <f aca="false">IF(ISBLANK($C413),"",AND($Y413,OR($AS413,$BC413),OR($Z413="",$AA413="",$AB413="")))</f>
        <v/>
      </c>
      <c r="AR413" s="85" t="str">
        <f aca="false">IF(ISBLANK($C413),"",IF(OR(NOT($Y413),NOT(OR($AS413,$BC413))),"",IF(ISBLANK($D$7),$AR$5,IF($AP$9="",$AR$6,""))))</f>
        <v/>
      </c>
      <c r="AS413" s="85" t="str">
        <f aca="false">IF(ISBLANK($C413),"",COUNTA($J413:$O413)&gt;0)</f>
        <v/>
      </c>
      <c r="AT413" s="85" t="str">
        <f aca="false">IF(ISBLANK($C413),"",AND($AS413,OR(AND($AF413="",OR($AE413,NOT(ISBLANK($M413)))),$AG413="",$AH413="")))</f>
        <v/>
      </c>
      <c r="AU413" s="87" t="str">
        <f aca="false">IF($BL413&lt;&gt;Constants!$B$4,"",IF(NOT($AS413),"",ROUND((Constants!$B$12-$AB413)+(Constants!$B$13-$Z413)+(Constants!$B$14-$AA413),1)))</f>
        <v/>
      </c>
      <c r="AV413" s="90" t="str">
        <f aca="false">IF($BL413&lt;&gt;Constants!$B$4,"",IF(NOT($AS413),"",IF(NOT($AE413),0,Constants!$B$15*(INT(ROUND(MIN($AF413,$AP$9),6))-INT(ROUND(MAX(0,MIN($AF413,2*$AP$9)-$AP$9),6))))))</f>
        <v/>
      </c>
      <c r="AW413" s="90" t="str">
        <f aca="false">IF($BL413&lt;&gt;Constants!$B$4,"",IF(NOT($AS413),"",Constants!$B$16*$AG413))</f>
        <v/>
      </c>
      <c r="AX413" s="90" t="str">
        <f aca="false">IF($BL413&lt;&gt;Constants!$B$4,"",IF(NOT($AS413),"",Constants!$B$18*INT(ROUND($AH413,6))))</f>
        <v/>
      </c>
      <c r="AY413" s="85" t="str">
        <f aca="false">IF($BL413&lt;&gt;Constants!$B$4,"",IF(NOT($AS413),"",IF(NOT($X413),Constants!$B$11,IF(OR(NOT($AC413),NOT($AD413),ROUND($AB413,1)&gt;Constants!$B$12,ROUND($Z413,1)&gt;Constants!$B$13,ROUND($AA413,1)&gt;Constants!$B$14),Constants!$B$10,Constants!$B$9))))</f>
        <v/>
      </c>
      <c r="AZ413" s="91" t="str">
        <f aca="false">IF($BL413&lt;&gt;Constants!$B$4,"",IF(NOT($AS413),"",ROUND($AU413+$AV413+$AW413+$AX413,1)))</f>
        <v/>
      </c>
      <c r="BA413" s="92" t="str">
        <f aca="false">IF($BL413&lt;&gt;Constants!$B$4,"",IF(NOT($AS413),"",IF(ISNUMBER($AF413),$AF413,0)))</f>
        <v/>
      </c>
      <c r="BB413" s="86" t="str">
        <f aca="false">IF($BL413&lt;&gt;Constants!$B$4,"",IF(NOT($BC413),"&lt;-",IF(NOT($AS413),"-&gt;",IF(OR($BI413&lt;$AY413,AND($BI413=$AY413,OR($BJ413&gt;$AZ413,AND($BJ413=$AZ413,OR($BH413&gt;$AX413,AND($BH413=$AX413,OR($BE413&gt;$AU413,AND($BE413=$AU413,OR($BF413&gt;$AV413,AND($BF413=$AV413,$BK413&gt;$BA413)))))))))),"-&gt;","&lt;-"))))</f>
        <v/>
      </c>
      <c r="BC413" s="85" t="str">
        <f aca="false">IF(ISBLANK($C413),"",COUNTA($P413:$U413)&gt;0)</f>
        <v/>
      </c>
      <c r="BD413" s="85" t="str">
        <f aca="false">IF(ISBLANK($C413),"",AND($BC413,OR(AND($AL413="",OR($AK413,NOT(ISBLANK($S413)))),$AM413="",$AN413="")))</f>
        <v/>
      </c>
      <c r="BE413" s="87" t="str">
        <f aca="false">IF($BL413&lt;&gt;Constants!$B$4,"",IF(NOT($BC413),"",ROUND((Constants!$B$12-$AB413)+(Constants!$B$13-$Z413)+(Constants!$B$14-$AA413),1)))</f>
        <v/>
      </c>
      <c r="BF413" s="90" t="str">
        <f aca="false">IF($BL413&lt;&gt;Constants!$B$4,"",IF(NOT($BC413),"",IF(NOT($AK413),0,Constants!$B$15*(INT(ROUND(MIN($AL413,$AP$9),6))-INT(ROUND(MAX(0,MIN($AL413,2*$AP$9)-$AP$9),6))))))</f>
        <v/>
      </c>
      <c r="BG413" s="90" t="str">
        <f aca="false">IF($BL413&lt;&gt;Constants!$B$4,"",IF(NOT($BC413),"",Constants!$B$16*$AM413))</f>
        <v/>
      </c>
      <c r="BH413" s="90" t="str">
        <f aca="false">IF($BL413&lt;&gt;Constants!$B$4,"",IF(NOT($BC413),"",Constants!$B$18*INT(ROUND($AN413,6))))</f>
        <v/>
      </c>
      <c r="BI413" s="85" t="str">
        <f aca="false">IF($BL413&lt;&gt;Constants!$B$4,"",IF(NOT($BC413),"",IF(NOT($X413),Constants!$B$11,IF(OR(NOT($AI413),NOT($AJ413),ROUND($AB413,1)&gt;Constants!$B$12,ROUND($Z413,1)&gt;Constants!$B$13,ROUND($AA413,1)&gt;Constants!$B$14),Constants!$B$10,Constants!$B$9))))</f>
        <v/>
      </c>
      <c r="BJ413" s="91" t="str">
        <f aca="false">IF($BL413&lt;&gt;Constants!$B$4,"",IF(NOT($BC413),"",ROUND($BE413+$BF413+$BG413+$BH413,1)))</f>
        <v/>
      </c>
      <c r="BK413" s="92" t="str">
        <f aca="false">IF($BL413&lt;&gt;Constants!$B$4,"",IF(NOT($BC413),"",IF(ISNUMBER($AL413),$AL413,0)))</f>
        <v/>
      </c>
      <c r="BL413" s="86" t="str">
        <f aca="false">IF(ISBLANK($C413),"",IF($AO413,Constants!$B$7,IF(COUNTA($E413:$V413)=0,Constants!$B$6,IF(NOT($Y413),Constants!$B$5,IF(NOT(OR($AS413,$BC413)),Constants!$B$5,IF(OR($AT413,$BD413,$AQ413,$AR413&lt;&gt;""),Constants!$B$8,Constants!$B$4))))))</f>
        <v/>
      </c>
      <c r="BM413" s="86" t="str">
        <f aca="false">IF(ISBLANK($C413),"",IF($BL413&lt;&gt;Constants!$B$4,$BL413,IF($BB413="-&gt;",$BI413,$AY413)))</f>
        <v/>
      </c>
      <c r="BN413" s="90" t="str">
        <f aca="false">IF($BL413&lt;&gt;Constants!$B$4,"",IF($BB413="-&gt;",$BJ413,$AZ413))</f>
        <v/>
      </c>
      <c r="BO413" s="90" t="str">
        <f aca="false">IF(ISBLANK($C413),"",IF($BL413&lt;&gt;Constants!$B$4,$BL413,$BN413))</f>
        <v/>
      </c>
      <c r="BP413" s="86" t="str">
        <f aca="false">IF(ISBLANK($C413),"",IF($BL413&lt;&gt;Constants!$B$4,$BL413,RANK($BO413,$BO$9:$BO$508,0)))</f>
        <v/>
      </c>
      <c r="BQ413" s="86" t="str">
        <f aca="false">IF(ISBLANK($C413),"",IF($BL413&lt;&gt;Constants!$B$4,$BL413,COUNTIFS($BM$9:$BM$508,"&lt;"&amp;$BM413)+COUNTIFS($BM$9:$BM$508,$BM413,$BP$9:$BP$508,"&lt;"&amp;$BP413)+1))</f>
        <v/>
      </c>
      <c r="BR413" s="90" t="str">
        <f aca="false">IF($BL413&lt;&gt;Constants!$B$4,"",IF($BB413="-&gt;",$BH413,$AX413))</f>
        <v/>
      </c>
      <c r="BS413" s="86" t="str">
        <f aca="false">IF(ISBLANK($C413),"",IF($BL413&lt;&gt;Constants!$B$4,$BL413,IF(ISNUMBER($BR413),RANK($BR413,$BR$9:$BR$508,0),COUNT($BR$9:$BR$508)+1)))</f>
        <v/>
      </c>
      <c r="BT413" s="90" t="str">
        <f aca="false">IF($BL413&lt;&gt;Constants!$B$4,"",IF($BB413="-&gt;",$BE413,$AU413))</f>
        <v/>
      </c>
      <c r="BU413" s="86" t="str">
        <f aca="false">IF(ISBLANK($C413),"",IF($BL413&lt;&gt;Constants!$B$4,$BL413,IF(ISNUMBER($BT413),RANK($BT413,$BT$9:$BT$508,0),COUNT($BT$9:$BT$508)+1)))</f>
        <v/>
      </c>
      <c r="BV413" s="90" t="str">
        <f aca="false">IF($BL413&lt;&gt;Constants!$B$4,"",IF($BB413="-&gt;",$BF413,$AV413))</f>
        <v/>
      </c>
      <c r="BW413" s="86" t="str">
        <f aca="false">IF(ISBLANK($C413),"",IF($BL413&lt;&gt;Constants!$B$4,$BL413,IF(ISNUMBER($BV413),RANK($BV413,$BV$9:$BV$508,0),COUNT($BV$9:$BV$508)+1)))</f>
        <v/>
      </c>
      <c r="BX413" s="90" t="str">
        <f aca="false">IF($BL413&lt;&gt;Constants!$B$4,"",IF($BB413="-&gt;",$BK413,$BA413))</f>
        <v/>
      </c>
      <c r="BY413" s="86" t="str">
        <f aca="false">IF(ISBLANK($C413),"",IF($BL413&lt;&gt;Constants!$B$4,$BL413,IF(ISNUMBER($BX413),RANK($BX413,$BX$9:$BX$508,0),COUNT($BX$9:$BX$508)+1)))</f>
        <v/>
      </c>
      <c r="BZ413" s="86" t="str">
        <f aca="false">IF(ISBLANK($C413),"",IF($BL413&lt;&gt;Constants!$B$4,$BL413,COUNTIFS($BM$9:$BM$508,"&lt;"&amp;$BM413)+COUNTIFS($BM$9:$BM$508,$BM413,$BP$9:$BP$508,"&lt;"&amp;$BP413)+COUNTIFS($BM$9:$BM$508,$BM413,$BP$9:$BP$508,$BP413,$BS$9:$BS$508,"&lt;"&amp;$BS413)+COUNTIFS($BM$9:$BM$508,$BM413,$BP$9:$BP$508,$BP413,$BS$9:$BS$508,$BS413,$BU$9:$BU$508,"&lt;"&amp;$BU413)+COUNTIFS($BM$9:$BM$508,$BM413,$BP$9:$BP$508,$BP413,$BS$9:$BS$508,$BS413,$BU$9:$BU$508,$BU413,$BW$9:$BW$508,"&lt;"&amp;$BW413)+COUNTIFS($BM$9:$BM$508,$BM413,$BP$9:$BP$508,$BP413,$BS$9:$BS$508,$BS413,$BU$9:$BU$508,$BU413,$BW$9:$BW$508,$BW413,$BY$9:$BY$508,"&lt;"&amp;$BY413)+1))</f>
        <v/>
      </c>
      <c r="CA413" s="86" t="str">
        <f aca="false">IF(ISBLANK($C413),"",IF($BL413&lt;&gt;Constants!$B$4,$BL413,$BQ413-$BZ413))</f>
        <v/>
      </c>
      <c r="CB413" s="93"/>
      <c r="CC413" s="94" t="str">
        <f aca="false">IF(ISBLANK($C413),"",IF($BL413=Constants!$B$8,$AR413,""))</f>
        <v/>
      </c>
      <c r="CD413" s="94" t="str">
        <f aca="false">IF(ISBLANK($C413),"",IF($BL413&lt;&gt;Constants!$B$4,"",IF($BB413="-&gt;",2,1)))</f>
        <v/>
      </c>
      <c r="CE413" s="95" t="str">
        <f aca="false">IF(ISBLANK($C413),"",IF($BL413&lt;&gt;Constants!$B$4,"",IF($BB413="-&gt;",$BE413,$AU413)))</f>
        <v/>
      </c>
      <c r="CF413" s="95" t="str">
        <f aca="false">IF(ISBLANK($C413),"",IF($BL413&lt;&gt;Constants!$B$4,"",IF($BB413="-&gt;",$BF413,$AV413)))</f>
        <v/>
      </c>
      <c r="CG413" s="95" t="str">
        <f aca="false">IF(ISBLANK($C413),"",IF($BL413&lt;&gt;Constants!$B$4,"",IF($BB413="-&gt;",$BG413,$AW413)))</f>
        <v/>
      </c>
      <c r="CH413" s="95" t="str">
        <f aca="false">IF(ISBLANK($C413),"",IF($BL413&lt;&gt;Constants!$B$4,"",IF($BB413="-&gt;",$BH413,$AX413)))</f>
        <v/>
      </c>
      <c r="CI413" s="96" t="str">
        <f aca="false">IF(ISBLANK($C413),"",$BO413)</f>
        <v/>
      </c>
      <c r="CJ413" s="97" t="str">
        <f aca="false">IF(ISBLANK($C413),"",$BM413)</f>
        <v/>
      </c>
      <c r="CK413" s="98" t="str">
        <f aca="false">IF(ISBLANK($C413),"",$CA413)</f>
        <v/>
      </c>
      <c r="CL413" s="98" t="str">
        <f aca="false">IF(ISBLANK($C413),"",$BZ413)</f>
        <v/>
      </c>
      <c r="CM413" s="99" t="str">
        <f aca="false">IF(ISBLANK($C413),"",IF($CL413=Constants!$B$7,COUNTA($C$9:$C$508)+2,IF($CL413=Constants!$B$6,COUNTA($C$9:$C$508)+1,IF($CL413=Constants!$B$5,COUNTA($C$9:$C$508),$CL413))))</f>
        <v/>
      </c>
      <c r="CN413" s="8"/>
      <c r="CO413" s="100" t="n">
        <f aca="false">IF(OR(ISNUMBER($CL413),$CL413=Constants!$B$7,$CL413=Constants!$B$5,$CL413=Constants!$B$6),1,0)</f>
        <v>0</v>
      </c>
      <c r="CP413" s="100" t="n">
        <v>405</v>
      </c>
      <c r="CQ413" s="100" t="str">
        <f aca="false">IF(ISBLANK($C413),"",IF(ISNUMBER($CM413),$CM413+ROW($B413)/1000,""))</f>
        <v/>
      </c>
      <c r="CR413" s="100" t="str">
        <f aca="false">IF(ISNUMBER($CQ413),RANK($CQ413,$CQ$9:$CQ$508,1),"")</f>
        <v/>
      </c>
      <c r="CS413" s="100" t="str">
        <f aca="false">IF(ISBLANK($C413),"",$B413)</f>
        <v/>
      </c>
      <c r="CT413" s="100" t="str">
        <f aca="false">IF(ISBLANK($C413),"",$C413)</f>
        <v/>
      </c>
      <c r="CU413" s="100" t="str">
        <f aca="false">IF(ISBLANK($C413),"",$D413)</f>
        <v/>
      </c>
      <c r="CV413" s="101" t="str">
        <f aca="false">$CJ413</f>
        <v/>
      </c>
      <c r="CW413" s="102" t="str">
        <f aca="false">$CI413</f>
        <v/>
      </c>
      <c r="CX413" s="100" t="str">
        <f aca="false">IF(ISBLANK($C413),"",$CL413)</f>
        <v/>
      </c>
      <c r="CY413" s="103" t="str">
        <f aca="false">IF($CP413&gt;$CO$8,"",VLOOKUP($CP413,$CR$9:$CX$508,7,FALSE()))</f>
        <v/>
      </c>
      <c r="CZ413" s="104" t="str">
        <f aca="false">IF($CP413&gt;$CO$8,"",VLOOKUP($CP413,$CR$9:$CX$508,2,FALSE()))</f>
        <v/>
      </c>
      <c r="DA413" s="104" t="str">
        <f aca="false">IF($CP413&gt;$CO$8,"",VLOOKUP($CP413,$CR$9:$CX$508,3,FALSE()))</f>
        <v/>
      </c>
      <c r="DB413" s="104" t="str">
        <f aca="false">IF($CP413&gt;$CO$8,"",VLOOKUP($CP413,$CR$9:$CX$508,4,FALSE()))</f>
        <v/>
      </c>
      <c r="DC413" s="104" t="str">
        <f aca="false">IF($CP413&gt;$CO$8,"",VLOOKUP($CP413,$CR$9:$CX$508,5,FALSE()))</f>
        <v/>
      </c>
      <c r="DD413" s="105" t="str">
        <f aca="false">IF($CP413&gt;$CO$8,"",VLOOKUP($CP413,$CR$9:$CX$508,6,FALSE()))</f>
        <v/>
      </c>
      <c r="DE413" s="70"/>
    </row>
    <row r="414" customFormat="false" ht="15.75" hidden="false" customHeight="false" outlineLevel="0" collapsed="false">
      <c r="A414" s="8"/>
      <c r="B414" s="146"/>
      <c r="C414" s="147"/>
      <c r="D414" s="148"/>
      <c r="E414" s="164"/>
      <c r="F414" s="150"/>
      <c r="G414" s="115"/>
      <c r="H414" s="115"/>
      <c r="I414" s="115"/>
      <c r="J414" s="165"/>
      <c r="K414" s="154"/>
      <c r="L414" s="154"/>
      <c r="M414" s="118"/>
      <c r="N414" s="154"/>
      <c r="O414" s="153"/>
      <c r="P414" s="154"/>
      <c r="Q414" s="154"/>
      <c r="R414" s="154"/>
      <c r="S414" s="115"/>
      <c r="T414" s="154"/>
      <c r="U414" s="153"/>
      <c r="V414" s="154"/>
      <c r="W414" s="123"/>
      <c r="X414" s="124" t="str">
        <f aca="false">IF(ISBLANK($C414),"",IF($E414=Constants!$B$2,TRUE(),IF($E414=Constants!$B$3,FALSE(),TRUE())))</f>
        <v/>
      </c>
      <c r="Y414" s="124" t="str">
        <f aca="false">IF(ISBLANK($C414),"",IF($F414=Constants!$B$2,TRUE(),IF($F414=Constants!$B$3,FALSE(),TRUE())))</f>
        <v/>
      </c>
      <c r="Z414" s="125" t="str">
        <f aca="false">IF(ISBLANK($C414),"",IF(ISNUMBER($G414),IF($G414&gt;=0,$G414,""),""))</f>
        <v/>
      </c>
      <c r="AA414" s="125" t="str">
        <f aca="false">IF(ISBLANK($C414),"",IF(ISNUMBER($H414),IF($H414&gt;=0,$H414,""),""))</f>
        <v/>
      </c>
      <c r="AB414" s="125" t="str">
        <f aca="false">IF(ISBLANK($C414),"",IF(ISNUMBER($I414),IF($I414&gt;=0,$I414,""),""))</f>
        <v/>
      </c>
      <c r="AC414" s="124" t="str">
        <f aca="false">IF(ISBLANK($C414),"",IF($J414=Constants!$B$2,TRUE(),IF($J414=Constants!$B$3,FALSE(),TRUE())))</f>
        <v/>
      </c>
      <c r="AD414" s="124" t="str">
        <f aca="false">IF(ISBLANK($C414),"",IF($K414=Constants!$B$2,TRUE(),IF($K414=Constants!$B$3,FALSE(),TRUE())))</f>
        <v/>
      </c>
      <c r="AE414" s="124" t="str">
        <f aca="false">IF(ISBLANK($C414),"",IF($L414=Constants!$B$2,TRUE(),IF($L414=Constants!$B$3,FALSE(),TRUE())))</f>
        <v/>
      </c>
      <c r="AF414" s="126" t="str">
        <f aca="false">IF(ISBLANK($C414),"",IF(ISNUMBER($M414),IF($M414&gt;=0,$M414,""),""))</f>
        <v/>
      </c>
      <c r="AG414" s="124" t="str">
        <f aca="false">IF(ISBLANK($C414),"",IF(ISBLANK($N414),0,IF(ISNUMBER($N414),IF(AND($N414&gt;=0,$N414&lt;=Constants!$B$17,$N414=INT($N414)),$N414,""),"")))</f>
        <v/>
      </c>
      <c r="AH414" s="125" t="str">
        <f aca="false">IF(ISBLANK($C414),"",IF(ISBLANK($O414),0,IF(ISNUMBER($O414),IF($O414&gt;=0,$O414,""),"")))</f>
        <v/>
      </c>
      <c r="AI414" s="124" t="str">
        <f aca="false">IF(ISBLANK($C414),"",IF($P414=Constants!$B$2,TRUE(),IF($P414=Constants!$B$3,FALSE(),TRUE())))</f>
        <v/>
      </c>
      <c r="AJ414" s="124" t="str">
        <f aca="false">IF(ISBLANK($C414),"",IF($Q414=Constants!$B$2,TRUE(),IF($Q414=Constants!$B$3,FALSE(),TRUE())))</f>
        <v/>
      </c>
      <c r="AK414" s="124" t="str">
        <f aca="false">IF(ISBLANK($C414),"",IF($R414=Constants!$B$2,TRUE(),IF($R414=Constants!$B$3,FALSE(),TRUE())))</f>
        <v/>
      </c>
      <c r="AL414" s="126" t="str">
        <f aca="false">IF(ISBLANK($C414),"",IF(ISNUMBER($S414),IF($S414&gt;=0,$S414,""),""))</f>
        <v/>
      </c>
      <c r="AM414" s="124" t="str">
        <f aca="false">IF(ISBLANK($C414),"",IF(ISBLANK($T414),0,IF(ISNUMBER($T414),IF(AND($T414&gt;=0,$T414&lt;=Constants!$B$17,$T414=INT($T414)),$T414,""),"")))</f>
        <v/>
      </c>
      <c r="AN414" s="125" t="str">
        <f aca="false">IF(ISBLANK($C414),"",IF(ISBLANK($U414),0,IF(ISNUMBER($U414),IF($U414&gt;=0,$U414,""),"")))</f>
        <v/>
      </c>
      <c r="AO414" s="124" t="str">
        <f aca="false">IF(ISBLANK($C414),"",IF($V414=Constants!$B$2,TRUE(),IF($V414=Constants!$B$3,FALSE(),FALSE())))</f>
        <v/>
      </c>
      <c r="AP414" s="124"/>
      <c r="AQ414" s="123" t="str">
        <f aca="false">IF(ISBLANK($C414),"",AND($Y414,OR($AS414,$BC414),OR($Z414="",$AA414="",$AB414="")))</f>
        <v/>
      </c>
      <c r="AR414" s="123" t="str">
        <f aca="false">IF(ISBLANK($C414),"",IF(OR(NOT($Y414),NOT(OR($AS414,$BC414))),"",IF(ISBLANK($D$7),$AR$5,IF($AP$9="",$AR$6,""))))</f>
        <v/>
      </c>
      <c r="AS414" s="123" t="str">
        <f aca="false">IF(ISBLANK($C414),"",COUNTA($J414:$O414)&gt;0)</f>
        <v/>
      </c>
      <c r="AT414" s="123" t="str">
        <f aca="false">IF(ISBLANK($C414),"",AND($AS414,OR(AND($AF414="",OR($AE414,NOT(ISBLANK($M414)))),$AG414="",$AH414="")))</f>
        <v/>
      </c>
      <c r="AU414" s="125" t="str">
        <f aca="false">IF($BL414&lt;&gt;Constants!$B$4,"",IF(NOT($AS414),"",ROUND((Constants!$B$12-$AB414)+(Constants!$B$13-$Z414)+(Constants!$B$14-$AA414),1)))</f>
        <v/>
      </c>
      <c r="AV414" s="127" t="str">
        <f aca="false">IF($BL414&lt;&gt;Constants!$B$4,"",IF(NOT($AS414),"",IF(NOT($AE414),0,Constants!$B$15*(INT(ROUND(MIN($AF414,$AP$9),6))-INT(ROUND(MAX(0,MIN($AF414,2*$AP$9)-$AP$9),6))))))</f>
        <v/>
      </c>
      <c r="AW414" s="127" t="str">
        <f aca="false">IF($BL414&lt;&gt;Constants!$B$4,"",IF(NOT($AS414),"",Constants!$B$16*$AG414))</f>
        <v/>
      </c>
      <c r="AX414" s="127" t="str">
        <f aca="false">IF($BL414&lt;&gt;Constants!$B$4,"",IF(NOT($AS414),"",Constants!$B$18*INT(ROUND($AH414,6))))</f>
        <v/>
      </c>
      <c r="AY414" s="123" t="str">
        <f aca="false">IF($BL414&lt;&gt;Constants!$B$4,"",IF(NOT($AS414),"",IF(NOT($X414),Constants!$B$11,IF(OR(NOT($AC414),NOT($AD414),ROUND($AB414,1)&gt;Constants!$B$12,ROUND($Z414,1)&gt;Constants!$B$13,ROUND($AA414,1)&gt;Constants!$B$14),Constants!$B$10,Constants!$B$9))))</f>
        <v/>
      </c>
      <c r="AZ414" s="128" t="str">
        <f aca="false">IF($BL414&lt;&gt;Constants!$B$4,"",IF(NOT($AS414),"",ROUND($AU414+$AV414+$AW414+$AX414,1)))</f>
        <v/>
      </c>
      <c r="BA414" s="129" t="str">
        <f aca="false">IF($BL414&lt;&gt;Constants!$B$4,"",IF(NOT($AS414),"",IF(ISNUMBER($AF414),$AF414,0)))</f>
        <v/>
      </c>
      <c r="BB414" s="124" t="str">
        <f aca="false">IF($BL414&lt;&gt;Constants!$B$4,"",IF(NOT($BC414),"&lt;-",IF(NOT($AS414),"-&gt;",IF(OR($BI414&lt;$AY414,AND($BI414=$AY414,OR($BJ414&gt;$AZ414,AND($BJ414=$AZ414,OR($BH414&gt;$AX414,AND($BH414=$AX414,OR($BE414&gt;$AU414,AND($BE414=$AU414,OR($BF414&gt;$AV414,AND($BF414=$AV414,$BK414&gt;$BA414)))))))))),"-&gt;","&lt;-"))))</f>
        <v/>
      </c>
      <c r="BC414" s="123" t="str">
        <f aca="false">IF(ISBLANK($C414),"",COUNTA($P414:$U414)&gt;0)</f>
        <v/>
      </c>
      <c r="BD414" s="123" t="str">
        <f aca="false">IF(ISBLANK($C414),"",AND($BC414,OR(AND($AL414="",OR($AK414,NOT(ISBLANK($S414)))),$AM414="",$AN414="")))</f>
        <v/>
      </c>
      <c r="BE414" s="125" t="str">
        <f aca="false">IF($BL414&lt;&gt;Constants!$B$4,"",IF(NOT($BC414),"",ROUND((Constants!$B$12-$AB414)+(Constants!$B$13-$Z414)+(Constants!$B$14-$AA414),1)))</f>
        <v/>
      </c>
      <c r="BF414" s="127" t="str">
        <f aca="false">IF($BL414&lt;&gt;Constants!$B$4,"",IF(NOT($BC414),"",IF(NOT($AK414),0,Constants!$B$15*(INT(ROUND(MIN($AL414,$AP$9),6))-INT(ROUND(MAX(0,MIN($AL414,2*$AP$9)-$AP$9),6))))))</f>
        <v/>
      </c>
      <c r="BG414" s="127" t="str">
        <f aca="false">IF($BL414&lt;&gt;Constants!$B$4,"",IF(NOT($BC414),"",Constants!$B$16*$AM414))</f>
        <v/>
      </c>
      <c r="BH414" s="127" t="str">
        <f aca="false">IF($BL414&lt;&gt;Constants!$B$4,"",IF(NOT($BC414),"",Constants!$B$18*INT(ROUND($AN414,6))))</f>
        <v/>
      </c>
      <c r="BI414" s="123" t="str">
        <f aca="false">IF($BL414&lt;&gt;Constants!$B$4,"",IF(NOT($BC414),"",IF(NOT($X414),Constants!$B$11,IF(OR(NOT($AI414),NOT($AJ414),ROUND($AB414,1)&gt;Constants!$B$12,ROUND($Z414,1)&gt;Constants!$B$13,ROUND($AA414,1)&gt;Constants!$B$14),Constants!$B$10,Constants!$B$9))))</f>
        <v/>
      </c>
      <c r="BJ414" s="128" t="str">
        <f aca="false">IF($BL414&lt;&gt;Constants!$B$4,"",IF(NOT($BC414),"",ROUND($BE414+$BF414+$BG414+$BH414,1)))</f>
        <v/>
      </c>
      <c r="BK414" s="129" t="str">
        <f aca="false">IF($BL414&lt;&gt;Constants!$B$4,"",IF(NOT($BC414),"",IF(ISNUMBER($AL414),$AL414,0)))</f>
        <v/>
      </c>
      <c r="BL414" s="124" t="str">
        <f aca="false">IF(ISBLANK($C414),"",IF($AO414,Constants!$B$7,IF(COUNTA($E414:$V414)=0,Constants!$B$6,IF(NOT($Y414),Constants!$B$5,IF(NOT(OR($AS414,$BC414)),Constants!$B$5,IF(OR($AT414,$BD414,$AQ414,$AR414&lt;&gt;""),Constants!$B$8,Constants!$B$4))))))</f>
        <v/>
      </c>
      <c r="BM414" s="124" t="str">
        <f aca="false">IF(ISBLANK($C414),"",IF($BL414&lt;&gt;Constants!$B$4,$BL414,IF($BB414="-&gt;",$BI414,$AY414)))</f>
        <v/>
      </c>
      <c r="BN414" s="127" t="str">
        <f aca="false">IF($BL414&lt;&gt;Constants!$B$4,"",IF($BB414="-&gt;",$BJ414,$AZ414))</f>
        <v/>
      </c>
      <c r="BO414" s="127" t="str">
        <f aca="false">IF(ISBLANK($C414),"",IF($BL414&lt;&gt;Constants!$B$4,$BL414,$BN414))</f>
        <v/>
      </c>
      <c r="BP414" s="124" t="str">
        <f aca="false">IF(ISBLANK($C414),"",IF($BL414&lt;&gt;Constants!$B$4,$BL414,RANK($BO414,$BO$9:$BO$508,0)))</f>
        <v/>
      </c>
      <c r="BQ414" s="124" t="str">
        <f aca="false">IF(ISBLANK($C414),"",IF($BL414&lt;&gt;Constants!$B$4,$BL414,COUNTIFS($BM$9:$BM$508,"&lt;"&amp;$BM414)+COUNTIFS($BM$9:$BM$508,$BM414,$BP$9:$BP$508,"&lt;"&amp;$BP414)+1))</f>
        <v/>
      </c>
      <c r="BR414" s="127" t="str">
        <f aca="false">IF($BL414&lt;&gt;Constants!$B$4,"",IF($BB414="-&gt;",$BH414,$AX414))</f>
        <v/>
      </c>
      <c r="BS414" s="124" t="str">
        <f aca="false">IF(ISBLANK($C414),"",IF($BL414&lt;&gt;Constants!$B$4,$BL414,IF(ISNUMBER($BR414),RANK($BR414,$BR$9:$BR$508,0),COUNT($BR$9:$BR$508)+1)))</f>
        <v/>
      </c>
      <c r="BT414" s="127" t="str">
        <f aca="false">IF($BL414&lt;&gt;Constants!$B$4,"",IF($BB414="-&gt;",$BE414,$AU414))</f>
        <v/>
      </c>
      <c r="BU414" s="124" t="str">
        <f aca="false">IF(ISBLANK($C414),"",IF($BL414&lt;&gt;Constants!$B$4,$BL414,IF(ISNUMBER($BT414),RANK($BT414,$BT$9:$BT$508,0),COUNT($BT$9:$BT$508)+1)))</f>
        <v/>
      </c>
      <c r="BV414" s="127" t="str">
        <f aca="false">IF($BL414&lt;&gt;Constants!$B$4,"",IF($BB414="-&gt;",$BF414,$AV414))</f>
        <v/>
      </c>
      <c r="BW414" s="124" t="str">
        <f aca="false">IF(ISBLANK($C414),"",IF($BL414&lt;&gt;Constants!$B$4,$BL414,IF(ISNUMBER($BV414),RANK($BV414,$BV$9:$BV$508,0),COUNT($BV$9:$BV$508)+1)))</f>
        <v/>
      </c>
      <c r="BX414" s="127" t="str">
        <f aca="false">IF($BL414&lt;&gt;Constants!$B$4,"",IF($BB414="-&gt;",$BK414,$BA414))</f>
        <v/>
      </c>
      <c r="BY414" s="124" t="str">
        <f aca="false">IF(ISBLANK($C414),"",IF($BL414&lt;&gt;Constants!$B$4,$BL414,IF(ISNUMBER($BX414),RANK($BX414,$BX$9:$BX$508,0),COUNT($BX$9:$BX$508)+1)))</f>
        <v/>
      </c>
      <c r="BZ414" s="124" t="str">
        <f aca="false">IF(ISBLANK($C414),"",IF($BL414&lt;&gt;Constants!$B$4,$BL414,COUNTIFS($BM$9:$BM$508,"&lt;"&amp;$BM414)+COUNTIFS($BM$9:$BM$508,$BM414,$BP$9:$BP$508,"&lt;"&amp;$BP414)+COUNTIFS($BM$9:$BM$508,$BM414,$BP$9:$BP$508,$BP414,$BS$9:$BS$508,"&lt;"&amp;$BS414)+COUNTIFS($BM$9:$BM$508,$BM414,$BP$9:$BP$508,$BP414,$BS$9:$BS$508,$BS414,$BU$9:$BU$508,"&lt;"&amp;$BU414)+COUNTIFS($BM$9:$BM$508,$BM414,$BP$9:$BP$508,$BP414,$BS$9:$BS$508,$BS414,$BU$9:$BU$508,$BU414,$BW$9:$BW$508,"&lt;"&amp;$BW414)+COUNTIFS($BM$9:$BM$508,$BM414,$BP$9:$BP$508,$BP414,$BS$9:$BS$508,$BS414,$BU$9:$BU$508,$BU414,$BW$9:$BW$508,$BW414,$BY$9:$BY$508,"&lt;"&amp;$BY414)+1))</f>
        <v/>
      </c>
      <c r="CA414" s="124" t="str">
        <f aca="false">IF(ISBLANK($C414),"",IF($BL414&lt;&gt;Constants!$B$4,$BL414,$BQ414-$BZ414))</f>
        <v/>
      </c>
      <c r="CB414" s="130"/>
      <c r="CC414" s="131" t="str">
        <f aca="false">IF(ISBLANK($C414),"",IF($BL414=Constants!$B$8,$AR414,""))</f>
        <v/>
      </c>
      <c r="CD414" s="131" t="str">
        <f aca="false">IF(ISBLANK($C414),"",IF($BL414&lt;&gt;Constants!$B$4,"",IF($BB414="-&gt;",2,1)))</f>
        <v/>
      </c>
      <c r="CE414" s="132" t="str">
        <f aca="false">IF(ISBLANK($C414),"",IF($BL414&lt;&gt;Constants!$B$4,"",IF($BB414="-&gt;",$BE414,$AU414)))</f>
        <v/>
      </c>
      <c r="CF414" s="132" t="str">
        <f aca="false">IF(ISBLANK($C414),"",IF($BL414&lt;&gt;Constants!$B$4,"",IF($BB414="-&gt;",$BF414,$AV414)))</f>
        <v/>
      </c>
      <c r="CG414" s="132" t="str">
        <f aca="false">IF(ISBLANK($C414),"",IF($BL414&lt;&gt;Constants!$B$4,"",IF($BB414="-&gt;",$BG414,$AW414)))</f>
        <v/>
      </c>
      <c r="CH414" s="132" t="str">
        <f aca="false">IF(ISBLANK($C414),"",IF($BL414&lt;&gt;Constants!$B$4,"",IF($BB414="-&gt;",$BH414,$AX414)))</f>
        <v/>
      </c>
      <c r="CI414" s="133" t="str">
        <f aca="false">IF(ISBLANK($C414),"",$BO414)</f>
        <v/>
      </c>
      <c r="CJ414" s="134" t="str">
        <f aca="false">IF(ISBLANK($C414),"",$BM414)</f>
        <v/>
      </c>
      <c r="CK414" s="135" t="str">
        <f aca="false">IF(ISBLANK($C414),"",$CA414)</f>
        <v/>
      </c>
      <c r="CL414" s="135" t="str">
        <f aca="false">IF(ISBLANK($C414),"",$BZ414)</f>
        <v/>
      </c>
      <c r="CM414" s="136" t="str">
        <f aca="false">IF(ISBLANK($C414),"",IF($CL414=Constants!$B$7,COUNTA($C$9:$C$508)+2,IF($CL414=Constants!$B$6,COUNTA($C$9:$C$508)+1,IF($CL414=Constants!$B$5,COUNTA($C$9:$C$508),$CL414))))</f>
        <v/>
      </c>
      <c r="CN414" s="8"/>
      <c r="CO414" s="137" t="n">
        <f aca="false">IF(OR(ISNUMBER($CL414),$CL414=Constants!$B$7,$CL414=Constants!$B$5,$CL414=Constants!$B$6),1,0)</f>
        <v>0</v>
      </c>
      <c r="CP414" s="137" t="n">
        <v>406</v>
      </c>
      <c r="CQ414" s="137" t="str">
        <f aca="false">IF(ISBLANK($C414),"",IF(ISNUMBER($CM414),$CM414+ROW($B414)/1000,""))</f>
        <v/>
      </c>
      <c r="CR414" s="137" t="str">
        <f aca="false">IF(ISNUMBER($CQ414),RANK($CQ414,$CQ$9:$CQ$508,1),"")</f>
        <v/>
      </c>
      <c r="CS414" s="137" t="str">
        <f aca="false">IF(ISBLANK($C414),"",$B414)</f>
        <v/>
      </c>
      <c r="CT414" s="137" t="str">
        <f aca="false">IF(ISBLANK($C414),"",$C414)</f>
        <v/>
      </c>
      <c r="CU414" s="137" t="str">
        <f aca="false">IF(ISBLANK($C414),"",$D414)</f>
        <v/>
      </c>
      <c r="CV414" s="138" t="str">
        <f aca="false">$CJ414</f>
        <v/>
      </c>
      <c r="CW414" s="139" t="str">
        <f aca="false">$CI414</f>
        <v/>
      </c>
      <c r="CX414" s="137" t="str">
        <f aca="false">IF(ISBLANK($C414),"",$CL414)</f>
        <v/>
      </c>
      <c r="CY414" s="140" t="str">
        <f aca="false">IF($CP414&gt;$CO$8,"",VLOOKUP($CP414,$CR$9:$CX$508,7,FALSE()))</f>
        <v/>
      </c>
      <c r="CZ414" s="141" t="str">
        <f aca="false">IF($CP414&gt;$CO$8,"",VLOOKUP($CP414,$CR$9:$CX$508,2,FALSE()))</f>
        <v/>
      </c>
      <c r="DA414" s="141" t="str">
        <f aca="false">IF($CP414&gt;$CO$8,"",VLOOKUP($CP414,$CR$9:$CX$508,3,FALSE()))</f>
        <v/>
      </c>
      <c r="DB414" s="141" t="str">
        <f aca="false">IF($CP414&gt;$CO$8,"",VLOOKUP($CP414,$CR$9:$CX$508,4,FALSE()))</f>
        <v/>
      </c>
      <c r="DC414" s="141" t="str">
        <f aca="false">IF($CP414&gt;$CO$8,"",VLOOKUP($CP414,$CR$9:$CX$508,5,FALSE()))</f>
        <v/>
      </c>
      <c r="DD414" s="142" t="str">
        <f aca="false">IF($CP414&gt;$CO$8,"",VLOOKUP($CP414,$CR$9:$CX$508,6,FALSE()))</f>
        <v/>
      </c>
      <c r="DE414" s="70"/>
    </row>
    <row r="415" customFormat="false" ht="15.75" hidden="false" customHeight="false" outlineLevel="0" collapsed="false">
      <c r="A415" s="8"/>
      <c r="B415" s="146"/>
      <c r="C415" s="147"/>
      <c r="D415" s="148"/>
      <c r="E415" s="164"/>
      <c r="F415" s="150"/>
      <c r="G415" s="115"/>
      <c r="H415" s="115"/>
      <c r="I415" s="115"/>
      <c r="J415" s="165"/>
      <c r="K415" s="154"/>
      <c r="L415" s="154"/>
      <c r="M415" s="118"/>
      <c r="N415" s="154"/>
      <c r="O415" s="153"/>
      <c r="P415" s="154"/>
      <c r="Q415" s="154"/>
      <c r="R415" s="154"/>
      <c r="S415" s="115"/>
      <c r="T415" s="154"/>
      <c r="U415" s="153"/>
      <c r="V415" s="154"/>
      <c r="W415" s="123"/>
      <c r="X415" s="124" t="str">
        <f aca="false">IF(ISBLANK($C415),"",IF($E415=Constants!$B$2,TRUE(),IF($E415=Constants!$B$3,FALSE(),TRUE())))</f>
        <v/>
      </c>
      <c r="Y415" s="124" t="str">
        <f aca="false">IF(ISBLANK($C415),"",IF($F415=Constants!$B$2,TRUE(),IF($F415=Constants!$B$3,FALSE(),TRUE())))</f>
        <v/>
      </c>
      <c r="Z415" s="125" t="str">
        <f aca="false">IF(ISBLANK($C415),"",IF(ISNUMBER($G415),IF($G415&gt;=0,$G415,""),""))</f>
        <v/>
      </c>
      <c r="AA415" s="125" t="str">
        <f aca="false">IF(ISBLANK($C415),"",IF(ISNUMBER($H415),IF($H415&gt;=0,$H415,""),""))</f>
        <v/>
      </c>
      <c r="AB415" s="125" t="str">
        <f aca="false">IF(ISBLANK($C415),"",IF(ISNUMBER($I415),IF($I415&gt;=0,$I415,""),""))</f>
        <v/>
      </c>
      <c r="AC415" s="124" t="str">
        <f aca="false">IF(ISBLANK($C415),"",IF($J415=Constants!$B$2,TRUE(),IF($J415=Constants!$B$3,FALSE(),TRUE())))</f>
        <v/>
      </c>
      <c r="AD415" s="124" t="str">
        <f aca="false">IF(ISBLANK($C415),"",IF($K415=Constants!$B$2,TRUE(),IF($K415=Constants!$B$3,FALSE(),TRUE())))</f>
        <v/>
      </c>
      <c r="AE415" s="124" t="str">
        <f aca="false">IF(ISBLANK($C415),"",IF($L415=Constants!$B$2,TRUE(),IF($L415=Constants!$B$3,FALSE(),TRUE())))</f>
        <v/>
      </c>
      <c r="AF415" s="126" t="str">
        <f aca="false">IF(ISBLANK($C415),"",IF(ISNUMBER($M415),IF($M415&gt;=0,$M415,""),""))</f>
        <v/>
      </c>
      <c r="AG415" s="124" t="str">
        <f aca="false">IF(ISBLANK($C415),"",IF(ISBLANK($N415),0,IF(ISNUMBER($N415),IF(AND($N415&gt;=0,$N415&lt;=Constants!$B$17,$N415=INT($N415)),$N415,""),"")))</f>
        <v/>
      </c>
      <c r="AH415" s="125" t="str">
        <f aca="false">IF(ISBLANK($C415),"",IF(ISBLANK($O415),0,IF(ISNUMBER($O415),IF($O415&gt;=0,$O415,""),"")))</f>
        <v/>
      </c>
      <c r="AI415" s="124" t="str">
        <f aca="false">IF(ISBLANK($C415),"",IF($P415=Constants!$B$2,TRUE(),IF($P415=Constants!$B$3,FALSE(),TRUE())))</f>
        <v/>
      </c>
      <c r="AJ415" s="124" t="str">
        <f aca="false">IF(ISBLANK($C415),"",IF($Q415=Constants!$B$2,TRUE(),IF($Q415=Constants!$B$3,FALSE(),TRUE())))</f>
        <v/>
      </c>
      <c r="AK415" s="124" t="str">
        <f aca="false">IF(ISBLANK($C415),"",IF($R415=Constants!$B$2,TRUE(),IF($R415=Constants!$B$3,FALSE(),TRUE())))</f>
        <v/>
      </c>
      <c r="AL415" s="126" t="str">
        <f aca="false">IF(ISBLANK($C415),"",IF(ISNUMBER($S415),IF($S415&gt;=0,$S415,""),""))</f>
        <v/>
      </c>
      <c r="AM415" s="124" t="str">
        <f aca="false">IF(ISBLANK($C415),"",IF(ISBLANK($T415),0,IF(ISNUMBER($T415),IF(AND($T415&gt;=0,$T415&lt;=Constants!$B$17,$T415=INT($T415)),$T415,""),"")))</f>
        <v/>
      </c>
      <c r="AN415" s="125" t="str">
        <f aca="false">IF(ISBLANK($C415),"",IF(ISBLANK($U415),0,IF(ISNUMBER($U415),IF($U415&gt;=0,$U415,""),"")))</f>
        <v/>
      </c>
      <c r="AO415" s="124" t="str">
        <f aca="false">IF(ISBLANK($C415),"",IF($V415=Constants!$B$2,TRUE(),IF($V415=Constants!$B$3,FALSE(),FALSE())))</f>
        <v/>
      </c>
      <c r="AP415" s="124"/>
      <c r="AQ415" s="123" t="str">
        <f aca="false">IF(ISBLANK($C415),"",AND($Y415,OR($AS415,$BC415),OR($Z415="",$AA415="",$AB415="")))</f>
        <v/>
      </c>
      <c r="AR415" s="123" t="str">
        <f aca="false">IF(ISBLANK($C415),"",IF(OR(NOT($Y415),NOT(OR($AS415,$BC415))),"",IF(ISBLANK($D$7),$AR$5,IF($AP$9="",$AR$6,""))))</f>
        <v/>
      </c>
      <c r="AS415" s="123" t="str">
        <f aca="false">IF(ISBLANK($C415),"",COUNTA($J415:$O415)&gt;0)</f>
        <v/>
      </c>
      <c r="AT415" s="123" t="str">
        <f aca="false">IF(ISBLANK($C415),"",AND($AS415,OR(AND($AF415="",OR($AE415,NOT(ISBLANK($M415)))),$AG415="",$AH415="")))</f>
        <v/>
      </c>
      <c r="AU415" s="125" t="str">
        <f aca="false">IF($BL415&lt;&gt;Constants!$B$4,"",IF(NOT($AS415),"",ROUND((Constants!$B$12-$AB415)+(Constants!$B$13-$Z415)+(Constants!$B$14-$AA415),1)))</f>
        <v/>
      </c>
      <c r="AV415" s="127" t="str">
        <f aca="false">IF($BL415&lt;&gt;Constants!$B$4,"",IF(NOT($AS415),"",IF(NOT($AE415),0,Constants!$B$15*(INT(ROUND(MIN($AF415,$AP$9),6))-INT(ROUND(MAX(0,MIN($AF415,2*$AP$9)-$AP$9),6))))))</f>
        <v/>
      </c>
      <c r="AW415" s="127" t="str">
        <f aca="false">IF($BL415&lt;&gt;Constants!$B$4,"",IF(NOT($AS415),"",Constants!$B$16*$AG415))</f>
        <v/>
      </c>
      <c r="AX415" s="127" t="str">
        <f aca="false">IF($BL415&lt;&gt;Constants!$B$4,"",IF(NOT($AS415),"",Constants!$B$18*INT(ROUND($AH415,6))))</f>
        <v/>
      </c>
      <c r="AY415" s="123" t="str">
        <f aca="false">IF($BL415&lt;&gt;Constants!$B$4,"",IF(NOT($AS415),"",IF(NOT($X415),Constants!$B$11,IF(OR(NOT($AC415),NOT($AD415),ROUND($AB415,1)&gt;Constants!$B$12,ROUND($Z415,1)&gt;Constants!$B$13,ROUND($AA415,1)&gt;Constants!$B$14),Constants!$B$10,Constants!$B$9))))</f>
        <v/>
      </c>
      <c r="AZ415" s="128" t="str">
        <f aca="false">IF($BL415&lt;&gt;Constants!$B$4,"",IF(NOT($AS415),"",ROUND($AU415+$AV415+$AW415+$AX415,1)))</f>
        <v/>
      </c>
      <c r="BA415" s="129" t="str">
        <f aca="false">IF($BL415&lt;&gt;Constants!$B$4,"",IF(NOT($AS415),"",IF(ISNUMBER($AF415),$AF415,0)))</f>
        <v/>
      </c>
      <c r="BB415" s="124" t="str">
        <f aca="false">IF($BL415&lt;&gt;Constants!$B$4,"",IF(NOT($BC415),"&lt;-",IF(NOT($AS415),"-&gt;",IF(OR($BI415&lt;$AY415,AND($BI415=$AY415,OR($BJ415&gt;$AZ415,AND($BJ415=$AZ415,OR($BH415&gt;$AX415,AND($BH415=$AX415,OR($BE415&gt;$AU415,AND($BE415=$AU415,OR($BF415&gt;$AV415,AND($BF415=$AV415,$BK415&gt;$BA415)))))))))),"-&gt;","&lt;-"))))</f>
        <v/>
      </c>
      <c r="BC415" s="123" t="str">
        <f aca="false">IF(ISBLANK($C415),"",COUNTA($P415:$U415)&gt;0)</f>
        <v/>
      </c>
      <c r="BD415" s="123" t="str">
        <f aca="false">IF(ISBLANK($C415),"",AND($BC415,OR(AND($AL415="",OR($AK415,NOT(ISBLANK($S415)))),$AM415="",$AN415="")))</f>
        <v/>
      </c>
      <c r="BE415" s="125" t="str">
        <f aca="false">IF($BL415&lt;&gt;Constants!$B$4,"",IF(NOT($BC415),"",ROUND((Constants!$B$12-$AB415)+(Constants!$B$13-$Z415)+(Constants!$B$14-$AA415),1)))</f>
        <v/>
      </c>
      <c r="BF415" s="127" t="str">
        <f aca="false">IF($BL415&lt;&gt;Constants!$B$4,"",IF(NOT($BC415),"",IF(NOT($AK415),0,Constants!$B$15*(INT(ROUND(MIN($AL415,$AP$9),6))-INT(ROUND(MAX(0,MIN($AL415,2*$AP$9)-$AP$9),6))))))</f>
        <v/>
      </c>
      <c r="BG415" s="127" t="str">
        <f aca="false">IF($BL415&lt;&gt;Constants!$B$4,"",IF(NOT($BC415),"",Constants!$B$16*$AM415))</f>
        <v/>
      </c>
      <c r="BH415" s="127" t="str">
        <f aca="false">IF($BL415&lt;&gt;Constants!$B$4,"",IF(NOT($BC415),"",Constants!$B$18*INT(ROUND($AN415,6))))</f>
        <v/>
      </c>
      <c r="BI415" s="123" t="str">
        <f aca="false">IF($BL415&lt;&gt;Constants!$B$4,"",IF(NOT($BC415),"",IF(NOT($X415),Constants!$B$11,IF(OR(NOT($AI415),NOT($AJ415),ROUND($AB415,1)&gt;Constants!$B$12,ROUND($Z415,1)&gt;Constants!$B$13,ROUND($AA415,1)&gt;Constants!$B$14),Constants!$B$10,Constants!$B$9))))</f>
        <v/>
      </c>
      <c r="BJ415" s="128" t="str">
        <f aca="false">IF($BL415&lt;&gt;Constants!$B$4,"",IF(NOT($BC415),"",ROUND($BE415+$BF415+$BG415+$BH415,1)))</f>
        <v/>
      </c>
      <c r="BK415" s="129" t="str">
        <f aca="false">IF($BL415&lt;&gt;Constants!$B$4,"",IF(NOT($BC415),"",IF(ISNUMBER($AL415),$AL415,0)))</f>
        <v/>
      </c>
      <c r="BL415" s="124" t="str">
        <f aca="false">IF(ISBLANK($C415),"",IF($AO415,Constants!$B$7,IF(COUNTA($E415:$V415)=0,Constants!$B$6,IF(NOT($Y415),Constants!$B$5,IF(NOT(OR($AS415,$BC415)),Constants!$B$5,IF(OR($AT415,$BD415,$AQ415,$AR415&lt;&gt;""),Constants!$B$8,Constants!$B$4))))))</f>
        <v/>
      </c>
      <c r="BM415" s="124" t="str">
        <f aca="false">IF(ISBLANK($C415),"",IF($BL415&lt;&gt;Constants!$B$4,$BL415,IF($BB415="-&gt;",$BI415,$AY415)))</f>
        <v/>
      </c>
      <c r="BN415" s="127" t="str">
        <f aca="false">IF($BL415&lt;&gt;Constants!$B$4,"",IF($BB415="-&gt;",$BJ415,$AZ415))</f>
        <v/>
      </c>
      <c r="BO415" s="127" t="str">
        <f aca="false">IF(ISBLANK($C415),"",IF($BL415&lt;&gt;Constants!$B$4,$BL415,$BN415))</f>
        <v/>
      </c>
      <c r="BP415" s="124" t="str">
        <f aca="false">IF(ISBLANK($C415),"",IF($BL415&lt;&gt;Constants!$B$4,$BL415,RANK($BO415,$BO$9:$BO$508,0)))</f>
        <v/>
      </c>
      <c r="BQ415" s="124" t="str">
        <f aca="false">IF(ISBLANK($C415),"",IF($BL415&lt;&gt;Constants!$B$4,$BL415,COUNTIFS($BM$9:$BM$508,"&lt;"&amp;$BM415)+COUNTIFS($BM$9:$BM$508,$BM415,$BP$9:$BP$508,"&lt;"&amp;$BP415)+1))</f>
        <v/>
      </c>
      <c r="BR415" s="127" t="str">
        <f aca="false">IF($BL415&lt;&gt;Constants!$B$4,"",IF($BB415="-&gt;",$BH415,$AX415))</f>
        <v/>
      </c>
      <c r="BS415" s="124" t="str">
        <f aca="false">IF(ISBLANK($C415),"",IF($BL415&lt;&gt;Constants!$B$4,$BL415,IF(ISNUMBER($BR415),RANK($BR415,$BR$9:$BR$508,0),COUNT($BR$9:$BR$508)+1)))</f>
        <v/>
      </c>
      <c r="BT415" s="127" t="str">
        <f aca="false">IF($BL415&lt;&gt;Constants!$B$4,"",IF($BB415="-&gt;",$BE415,$AU415))</f>
        <v/>
      </c>
      <c r="BU415" s="124" t="str">
        <f aca="false">IF(ISBLANK($C415),"",IF($BL415&lt;&gt;Constants!$B$4,$BL415,IF(ISNUMBER($BT415),RANK($BT415,$BT$9:$BT$508,0),COUNT($BT$9:$BT$508)+1)))</f>
        <v/>
      </c>
      <c r="BV415" s="127" t="str">
        <f aca="false">IF($BL415&lt;&gt;Constants!$B$4,"",IF($BB415="-&gt;",$BF415,$AV415))</f>
        <v/>
      </c>
      <c r="BW415" s="124" t="str">
        <f aca="false">IF(ISBLANK($C415),"",IF($BL415&lt;&gt;Constants!$B$4,$BL415,IF(ISNUMBER($BV415),RANK($BV415,$BV$9:$BV$508,0),COUNT($BV$9:$BV$508)+1)))</f>
        <v/>
      </c>
      <c r="BX415" s="127" t="str">
        <f aca="false">IF($BL415&lt;&gt;Constants!$B$4,"",IF($BB415="-&gt;",$BK415,$BA415))</f>
        <v/>
      </c>
      <c r="BY415" s="124" t="str">
        <f aca="false">IF(ISBLANK($C415),"",IF($BL415&lt;&gt;Constants!$B$4,$BL415,IF(ISNUMBER($BX415),RANK($BX415,$BX$9:$BX$508,0),COUNT($BX$9:$BX$508)+1)))</f>
        <v/>
      </c>
      <c r="BZ415" s="124" t="str">
        <f aca="false">IF(ISBLANK($C415),"",IF($BL415&lt;&gt;Constants!$B$4,$BL415,COUNTIFS($BM$9:$BM$508,"&lt;"&amp;$BM415)+COUNTIFS($BM$9:$BM$508,$BM415,$BP$9:$BP$508,"&lt;"&amp;$BP415)+COUNTIFS($BM$9:$BM$508,$BM415,$BP$9:$BP$508,$BP415,$BS$9:$BS$508,"&lt;"&amp;$BS415)+COUNTIFS($BM$9:$BM$508,$BM415,$BP$9:$BP$508,$BP415,$BS$9:$BS$508,$BS415,$BU$9:$BU$508,"&lt;"&amp;$BU415)+COUNTIFS($BM$9:$BM$508,$BM415,$BP$9:$BP$508,$BP415,$BS$9:$BS$508,$BS415,$BU$9:$BU$508,$BU415,$BW$9:$BW$508,"&lt;"&amp;$BW415)+COUNTIFS($BM$9:$BM$508,$BM415,$BP$9:$BP$508,$BP415,$BS$9:$BS$508,$BS415,$BU$9:$BU$508,$BU415,$BW$9:$BW$508,$BW415,$BY$9:$BY$508,"&lt;"&amp;$BY415)+1))</f>
        <v/>
      </c>
      <c r="CA415" s="124" t="str">
        <f aca="false">IF(ISBLANK($C415),"",IF($BL415&lt;&gt;Constants!$B$4,$BL415,$BQ415-$BZ415))</f>
        <v/>
      </c>
      <c r="CB415" s="130"/>
      <c r="CC415" s="131" t="str">
        <f aca="false">IF(ISBLANK($C415),"",IF($BL415=Constants!$B$8,$AR415,""))</f>
        <v/>
      </c>
      <c r="CD415" s="131" t="str">
        <f aca="false">IF(ISBLANK($C415),"",IF($BL415&lt;&gt;Constants!$B$4,"",IF($BB415="-&gt;",2,1)))</f>
        <v/>
      </c>
      <c r="CE415" s="132" t="str">
        <f aca="false">IF(ISBLANK($C415),"",IF($BL415&lt;&gt;Constants!$B$4,"",IF($BB415="-&gt;",$BE415,$AU415)))</f>
        <v/>
      </c>
      <c r="CF415" s="132" t="str">
        <f aca="false">IF(ISBLANK($C415),"",IF($BL415&lt;&gt;Constants!$B$4,"",IF($BB415="-&gt;",$BF415,$AV415)))</f>
        <v/>
      </c>
      <c r="CG415" s="132" t="str">
        <f aca="false">IF(ISBLANK($C415),"",IF($BL415&lt;&gt;Constants!$B$4,"",IF($BB415="-&gt;",$BG415,$AW415)))</f>
        <v/>
      </c>
      <c r="CH415" s="132" t="str">
        <f aca="false">IF(ISBLANK($C415),"",IF($BL415&lt;&gt;Constants!$B$4,"",IF($BB415="-&gt;",$BH415,$AX415)))</f>
        <v/>
      </c>
      <c r="CI415" s="133" t="str">
        <f aca="false">IF(ISBLANK($C415),"",$BO415)</f>
        <v/>
      </c>
      <c r="CJ415" s="134" t="str">
        <f aca="false">IF(ISBLANK($C415),"",$BM415)</f>
        <v/>
      </c>
      <c r="CK415" s="135" t="str">
        <f aca="false">IF(ISBLANK($C415),"",$CA415)</f>
        <v/>
      </c>
      <c r="CL415" s="135" t="str">
        <f aca="false">IF(ISBLANK($C415),"",$BZ415)</f>
        <v/>
      </c>
      <c r="CM415" s="136" t="str">
        <f aca="false">IF(ISBLANK($C415),"",IF($CL415=Constants!$B$7,COUNTA($C$9:$C$508)+2,IF($CL415=Constants!$B$6,COUNTA($C$9:$C$508)+1,IF($CL415=Constants!$B$5,COUNTA($C$9:$C$508),$CL415))))</f>
        <v/>
      </c>
      <c r="CN415" s="8"/>
      <c r="CO415" s="137" t="n">
        <f aca="false">IF(OR(ISNUMBER($CL415),$CL415=Constants!$B$7,$CL415=Constants!$B$5,$CL415=Constants!$B$6),1,0)</f>
        <v>0</v>
      </c>
      <c r="CP415" s="137" t="n">
        <v>407</v>
      </c>
      <c r="CQ415" s="137" t="str">
        <f aca="false">IF(ISBLANK($C415),"",IF(ISNUMBER($CM415),$CM415+ROW($B415)/1000,""))</f>
        <v/>
      </c>
      <c r="CR415" s="137" t="str">
        <f aca="false">IF(ISNUMBER($CQ415),RANK($CQ415,$CQ$9:$CQ$508,1),"")</f>
        <v/>
      </c>
      <c r="CS415" s="137" t="str">
        <f aca="false">IF(ISBLANK($C415),"",$B415)</f>
        <v/>
      </c>
      <c r="CT415" s="137" t="str">
        <f aca="false">IF(ISBLANK($C415),"",$C415)</f>
        <v/>
      </c>
      <c r="CU415" s="137" t="str">
        <f aca="false">IF(ISBLANK($C415),"",$D415)</f>
        <v/>
      </c>
      <c r="CV415" s="138" t="str">
        <f aca="false">$CJ415</f>
        <v/>
      </c>
      <c r="CW415" s="139" t="str">
        <f aca="false">$CI415</f>
        <v/>
      </c>
      <c r="CX415" s="137" t="str">
        <f aca="false">IF(ISBLANK($C415),"",$CL415)</f>
        <v/>
      </c>
      <c r="CY415" s="140" t="str">
        <f aca="false">IF($CP415&gt;$CO$8,"",VLOOKUP($CP415,$CR$9:$CX$508,7,FALSE()))</f>
        <v/>
      </c>
      <c r="CZ415" s="141" t="str">
        <f aca="false">IF($CP415&gt;$CO$8,"",VLOOKUP($CP415,$CR$9:$CX$508,2,FALSE()))</f>
        <v/>
      </c>
      <c r="DA415" s="141" t="str">
        <f aca="false">IF($CP415&gt;$CO$8,"",VLOOKUP($CP415,$CR$9:$CX$508,3,FALSE()))</f>
        <v/>
      </c>
      <c r="DB415" s="141" t="str">
        <f aca="false">IF($CP415&gt;$CO$8,"",VLOOKUP($CP415,$CR$9:$CX$508,4,FALSE()))</f>
        <v/>
      </c>
      <c r="DC415" s="141" t="str">
        <f aca="false">IF($CP415&gt;$CO$8,"",VLOOKUP($CP415,$CR$9:$CX$508,5,FALSE()))</f>
        <v/>
      </c>
      <c r="DD415" s="142" t="str">
        <f aca="false">IF($CP415&gt;$CO$8,"",VLOOKUP($CP415,$CR$9:$CX$508,6,FALSE()))</f>
        <v/>
      </c>
      <c r="DE415" s="70"/>
    </row>
    <row r="416" customFormat="false" ht="15.75" hidden="false" customHeight="false" outlineLevel="0" collapsed="false">
      <c r="A416" s="8"/>
      <c r="B416" s="146"/>
      <c r="C416" s="147"/>
      <c r="D416" s="148"/>
      <c r="E416" s="164"/>
      <c r="F416" s="150"/>
      <c r="G416" s="115"/>
      <c r="H416" s="115"/>
      <c r="I416" s="115"/>
      <c r="J416" s="165"/>
      <c r="K416" s="154"/>
      <c r="L416" s="154"/>
      <c r="M416" s="118"/>
      <c r="N416" s="154"/>
      <c r="O416" s="153"/>
      <c r="P416" s="154"/>
      <c r="Q416" s="154"/>
      <c r="R416" s="154"/>
      <c r="S416" s="115"/>
      <c r="T416" s="154"/>
      <c r="U416" s="153"/>
      <c r="V416" s="154"/>
      <c r="W416" s="123"/>
      <c r="X416" s="124" t="str">
        <f aca="false">IF(ISBLANK($C416),"",IF($E416=Constants!$B$2,TRUE(),IF($E416=Constants!$B$3,FALSE(),TRUE())))</f>
        <v/>
      </c>
      <c r="Y416" s="124" t="str">
        <f aca="false">IF(ISBLANK($C416),"",IF($F416=Constants!$B$2,TRUE(),IF($F416=Constants!$B$3,FALSE(),TRUE())))</f>
        <v/>
      </c>
      <c r="Z416" s="125" t="str">
        <f aca="false">IF(ISBLANK($C416),"",IF(ISNUMBER($G416),IF($G416&gt;=0,$G416,""),""))</f>
        <v/>
      </c>
      <c r="AA416" s="125" t="str">
        <f aca="false">IF(ISBLANK($C416),"",IF(ISNUMBER($H416),IF($H416&gt;=0,$H416,""),""))</f>
        <v/>
      </c>
      <c r="AB416" s="125" t="str">
        <f aca="false">IF(ISBLANK($C416),"",IF(ISNUMBER($I416),IF($I416&gt;=0,$I416,""),""))</f>
        <v/>
      </c>
      <c r="AC416" s="124" t="str">
        <f aca="false">IF(ISBLANK($C416),"",IF($J416=Constants!$B$2,TRUE(),IF($J416=Constants!$B$3,FALSE(),TRUE())))</f>
        <v/>
      </c>
      <c r="AD416" s="124" t="str">
        <f aca="false">IF(ISBLANK($C416),"",IF($K416=Constants!$B$2,TRUE(),IF($K416=Constants!$B$3,FALSE(),TRUE())))</f>
        <v/>
      </c>
      <c r="AE416" s="124" t="str">
        <f aca="false">IF(ISBLANK($C416),"",IF($L416=Constants!$B$2,TRUE(),IF($L416=Constants!$B$3,FALSE(),TRUE())))</f>
        <v/>
      </c>
      <c r="AF416" s="126" t="str">
        <f aca="false">IF(ISBLANK($C416),"",IF(ISNUMBER($M416),IF($M416&gt;=0,$M416,""),""))</f>
        <v/>
      </c>
      <c r="AG416" s="124" t="str">
        <f aca="false">IF(ISBLANK($C416),"",IF(ISBLANK($N416),0,IF(ISNUMBER($N416),IF(AND($N416&gt;=0,$N416&lt;=Constants!$B$17,$N416=INT($N416)),$N416,""),"")))</f>
        <v/>
      </c>
      <c r="AH416" s="125" t="str">
        <f aca="false">IF(ISBLANK($C416),"",IF(ISBLANK($O416),0,IF(ISNUMBER($O416),IF($O416&gt;=0,$O416,""),"")))</f>
        <v/>
      </c>
      <c r="AI416" s="124" t="str">
        <f aca="false">IF(ISBLANK($C416),"",IF($P416=Constants!$B$2,TRUE(),IF($P416=Constants!$B$3,FALSE(),TRUE())))</f>
        <v/>
      </c>
      <c r="AJ416" s="124" t="str">
        <f aca="false">IF(ISBLANK($C416),"",IF($Q416=Constants!$B$2,TRUE(),IF($Q416=Constants!$B$3,FALSE(),TRUE())))</f>
        <v/>
      </c>
      <c r="AK416" s="124" t="str">
        <f aca="false">IF(ISBLANK($C416),"",IF($R416=Constants!$B$2,TRUE(),IF($R416=Constants!$B$3,FALSE(),TRUE())))</f>
        <v/>
      </c>
      <c r="AL416" s="126" t="str">
        <f aca="false">IF(ISBLANK($C416),"",IF(ISNUMBER($S416),IF($S416&gt;=0,$S416,""),""))</f>
        <v/>
      </c>
      <c r="AM416" s="124" t="str">
        <f aca="false">IF(ISBLANK($C416),"",IF(ISBLANK($T416),0,IF(ISNUMBER($T416),IF(AND($T416&gt;=0,$T416&lt;=Constants!$B$17,$T416=INT($T416)),$T416,""),"")))</f>
        <v/>
      </c>
      <c r="AN416" s="125" t="str">
        <f aca="false">IF(ISBLANK($C416),"",IF(ISBLANK($U416),0,IF(ISNUMBER($U416),IF($U416&gt;=0,$U416,""),"")))</f>
        <v/>
      </c>
      <c r="AO416" s="124" t="str">
        <f aca="false">IF(ISBLANK($C416),"",IF($V416=Constants!$B$2,TRUE(),IF($V416=Constants!$B$3,FALSE(),FALSE())))</f>
        <v/>
      </c>
      <c r="AP416" s="124"/>
      <c r="AQ416" s="123" t="str">
        <f aca="false">IF(ISBLANK($C416),"",AND($Y416,OR($AS416,$BC416),OR($Z416="",$AA416="",$AB416="")))</f>
        <v/>
      </c>
      <c r="AR416" s="123" t="str">
        <f aca="false">IF(ISBLANK($C416),"",IF(OR(NOT($Y416),NOT(OR($AS416,$BC416))),"",IF(ISBLANK($D$7),$AR$5,IF($AP$9="",$AR$6,""))))</f>
        <v/>
      </c>
      <c r="AS416" s="123" t="str">
        <f aca="false">IF(ISBLANK($C416),"",COUNTA($J416:$O416)&gt;0)</f>
        <v/>
      </c>
      <c r="AT416" s="123" t="str">
        <f aca="false">IF(ISBLANK($C416),"",AND($AS416,OR(AND($AF416="",OR($AE416,NOT(ISBLANK($M416)))),$AG416="",$AH416="")))</f>
        <v/>
      </c>
      <c r="AU416" s="125" t="str">
        <f aca="false">IF($BL416&lt;&gt;Constants!$B$4,"",IF(NOT($AS416),"",ROUND((Constants!$B$12-$AB416)+(Constants!$B$13-$Z416)+(Constants!$B$14-$AA416),1)))</f>
        <v/>
      </c>
      <c r="AV416" s="127" t="str">
        <f aca="false">IF($BL416&lt;&gt;Constants!$B$4,"",IF(NOT($AS416),"",IF(NOT($AE416),0,Constants!$B$15*(INT(ROUND(MIN($AF416,$AP$9),6))-INT(ROUND(MAX(0,MIN($AF416,2*$AP$9)-$AP$9),6))))))</f>
        <v/>
      </c>
      <c r="AW416" s="127" t="str">
        <f aca="false">IF($BL416&lt;&gt;Constants!$B$4,"",IF(NOT($AS416),"",Constants!$B$16*$AG416))</f>
        <v/>
      </c>
      <c r="AX416" s="127" t="str">
        <f aca="false">IF($BL416&lt;&gt;Constants!$B$4,"",IF(NOT($AS416),"",Constants!$B$18*INT(ROUND($AH416,6))))</f>
        <v/>
      </c>
      <c r="AY416" s="123" t="str">
        <f aca="false">IF($BL416&lt;&gt;Constants!$B$4,"",IF(NOT($AS416),"",IF(NOT($X416),Constants!$B$11,IF(OR(NOT($AC416),NOT($AD416),ROUND($AB416,1)&gt;Constants!$B$12,ROUND($Z416,1)&gt;Constants!$B$13,ROUND($AA416,1)&gt;Constants!$B$14),Constants!$B$10,Constants!$B$9))))</f>
        <v/>
      </c>
      <c r="AZ416" s="128" t="str">
        <f aca="false">IF($BL416&lt;&gt;Constants!$B$4,"",IF(NOT($AS416),"",ROUND($AU416+$AV416+$AW416+$AX416,1)))</f>
        <v/>
      </c>
      <c r="BA416" s="129" t="str">
        <f aca="false">IF($BL416&lt;&gt;Constants!$B$4,"",IF(NOT($AS416),"",IF(ISNUMBER($AF416),$AF416,0)))</f>
        <v/>
      </c>
      <c r="BB416" s="124" t="str">
        <f aca="false">IF($BL416&lt;&gt;Constants!$B$4,"",IF(NOT($BC416),"&lt;-",IF(NOT($AS416),"-&gt;",IF(OR($BI416&lt;$AY416,AND($BI416=$AY416,OR($BJ416&gt;$AZ416,AND($BJ416=$AZ416,OR($BH416&gt;$AX416,AND($BH416=$AX416,OR($BE416&gt;$AU416,AND($BE416=$AU416,OR($BF416&gt;$AV416,AND($BF416=$AV416,$BK416&gt;$BA416)))))))))),"-&gt;","&lt;-"))))</f>
        <v/>
      </c>
      <c r="BC416" s="123" t="str">
        <f aca="false">IF(ISBLANK($C416),"",COUNTA($P416:$U416)&gt;0)</f>
        <v/>
      </c>
      <c r="BD416" s="123" t="str">
        <f aca="false">IF(ISBLANK($C416),"",AND($BC416,OR(AND($AL416="",OR($AK416,NOT(ISBLANK($S416)))),$AM416="",$AN416="")))</f>
        <v/>
      </c>
      <c r="BE416" s="125" t="str">
        <f aca="false">IF($BL416&lt;&gt;Constants!$B$4,"",IF(NOT($BC416),"",ROUND((Constants!$B$12-$AB416)+(Constants!$B$13-$Z416)+(Constants!$B$14-$AA416),1)))</f>
        <v/>
      </c>
      <c r="BF416" s="127" t="str">
        <f aca="false">IF($BL416&lt;&gt;Constants!$B$4,"",IF(NOT($BC416),"",IF(NOT($AK416),0,Constants!$B$15*(INT(ROUND(MIN($AL416,$AP$9),6))-INT(ROUND(MAX(0,MIN($AL416,2*$AP$9)-$AP$9),6))))))</f>
        <v/>
      </c>
      <c r="BG416" s="127" t="str">
        <f aca="false">IF($BL416&lt;&gt;Constants!$B$4,"",IF(NOT($BC416),"",Constants!$B$16*$AM416))</f>
        <v/>
      </c>
      <c r="BH416" s="127" t="str">
        <f aca="false">IF($BL416&lt;&gt;Constants!$B$4,"",IF(NOT($BC416),"",Constants!$B$18*INT(ROUND($AN416,6))))</f>
        <v/>
      </c>
      <c r="BI416" s="123" t="str">
        <f aca="false">IF($BL416&lt;&gt;Constants!$B$4,"",IF(NOT($BC416),"",IF(NOT($X416),Constants!$B$11,IF(OR(NOT($AI416),NOT($AJ416),ROUND($AB416,1)&gt;Constants!$B$12,ROUND($Z416,1)&gt;Constants!$B$13,ROUND($AA416,1)&gt;Constants!$B$14),Constants!$B$10,Constants!$B$9))))</f>
        <v/>
      </c>
      <c r="BJ416" s="128" t="str">
        <f aca="false">IF($BL416&lt;&gt;Constants!$B$4,"",IF(NOT($BC416),"",ROUND($BE416+$BF416+$BG416+$BH416,1)))</f>
        <v/>
      </c>
      <c r="BK416" s="129" t="str">
        <f aca="false">IF($BL416&lt;&gt;Constants!$B$4,"",IF(NOT($BC416),"",IF(ISNUMBER($AL416),$AL416,0)))</f>
        <v/>
      </c>
      <c r="BL416" s="124" t="str">
        <f aca="false">IF(ISBLANK($C416),"",IF($AO416,Constants!$B$7,IF(COUNTA($E416:$V416)=0,Constants!$B$6,IF(NOT($Y416),Constants!$B$5,IF(NOT(OR($AS416,$BC416)),Constants!$B$5,IF(OR($AT416,$BD416,$AQ416,$AR416&lt;&gt;""),Constants!$B$8,Constants!$B$4))))))</f>
        <v/>
      </c>
      <c r="BM416" s="124" t="str">
        <f aca="false">IF(ISBLANK($C416),"",IF($BL416&lt;&gt;Constants!$B$4,$BL416,IF($BB416="-&gt;",$BI416,$AY416)))</f>
        <v/>
      </c>
      <c r="BN416" s="127" t="str">
        <f aca="false">IF($BL416&lt;&gt;Constants!$B$4,"",IF($BB416="-&gt;",$BJ416,$AZ416))</f>
        <v/>
      </c>
      <c r="BO416" s="127" t="str">
        <f aca="false">IF(ISBLANK($C416),"",IF($BL416&lt;&gt;Constants!$B$4,$BL416,$BN416))</f>
        <v/>
      </c>
      <c r="BP416" s="124" t="str">
        <f aca="false">IF(ISBLANK($C416),"",IF($BL416&lt;&gt;Constants!$B$4,$BL416,RANK($BO416,$BO$9:$BO$508,0)))</f>
        <v/>
      </c>
      <c r="BQ416" s="124" t="str">
        <f aca="false">IF(ISBLANK($C416),"",IF($BL416&lt;&gt;Constants!$B$4,$BL416,COUNTIFS($BM$9:$BM$508,"&lt;"&amp;$BM416)+COUNTIFS($BM$9:$BM$508,$BM416,$BP$9:$BP$508,"&lt;"&amp;$BP416)+1))</f>
        <v/>
      </c>
      <c r="BR416" s="127" t="str">
        <f aca="false">IF($BL416&lt;&gt;Constants!$B$4,"",IF($BB416="-&gt;",$BH416,$AX416))</f>
        <v/>
      </c>
      <c r="BS416" s="124" t="str">
        <f aca="false">IF(ISBLANK($C416),"",IF($BL416&lt;&gt;Constants!$B$4,$BL416,IF(ISNUMBER($BR416),RANK($BR416,$BR$9:$BR$508,0),COUNT($BR$9:$BR$508)+1)))</f>
        <v/>
      </c>
      <c r="BT416" s="127" t="str">
        <f aca="false">IF($BL416&lt;&gt;Constants!$B$4,"",IF($BB416="-&gt;",$BE416,$AU416))</f>
        <v/>
      </c>
      <c r="BU416" s="124" t="str">
        <f aca="false">IF(ISBLANK($C416),"",IF($BL416&lt;&gt;Constants!$B$4,$BL416,IF(ISNUMBER($BT416),RANK($BT416,$BT$9:$BT$508,0),COUNT($BT$9:$BT$508)+1)))</f>
        <v/>
      </c>
      <c r="BV416" s="127" t="str">
        <f aca="false">IF($BL416&lt;&gt;Constants!$B$4,"",IF($BB416="-&gt;",$BF416,$AV416))</f>
        <v/>
      </c>
      <c r="BW416" s="124" t="str">
        <f aca="false">IF(ISBLANK($C416),"",IF($BL416&lt;&gt;Constants!$B$4,$BL416,IF(ISNUMBER($BV416),RANK($BV416,$BV$9:$BV$508,0),COUNT($BV$9:$BV$508)+1)))</f>
        <v/>
      </c>
      <c r="BX416" s="127" t="str">
        <f aca="false">IF($BL416&lt;&gt;Constants!$B$4,"",IF($BB416="-&gt;",$BK416,$BA416))</f>
        <v/>
      </c>
      <c r="BY416" s="124" t="str">
        <f aca="false">IF(ISBLANK($C416),"",IF($BL416&lt;&gt;Constants!$B$4,$BL416,IF(ISNUMBER($BX416),RANK($BX416,$BX$9:$BX$508,0),COUNT($BX$9:$BX$508)+1)))</f>
        <v/>
      </c>
      <c r="BZ416" s="124" t="str">
        <f aca="false">IF(ISBLANK($C416),"",IF($BL416&lt;&gt;Constants!$B$4,$BL416,COUNTIFS($BM$9:$BM$508,"&lt;"&amp;$BM416)+COUNTIFS($BM$9:$BM$508,$BM416,$BP$9:$BP$508,"&lt;"&amp;$BP416)+COUNTIFS($BM$9:$BM$508,$BM416,$BP$9:$BP$508,$BP416,$BS$9:$BS$508,"&lt;"&amp;$BS416)+COUNTIFS($BM$9:$BM$508,$BM416,$BP$9:$BP$508,$BP416,$BS$9:$BS$508,$BS416,$BU$9:$BU$508,"&lt;"&amp;$BU416)+COUNTIFS($BM$9:$BM$508,$BM416,$BP$9:$BP$508,$BP416,$BS$9:$BS$508,$BS416,$BU$9:$BU$508,$BU416,$BW$9:$BW$508,"&lt;"&amp;$BW416)+COUNTIFS($BM$9:$BM$508,$BM416,$BP$9:$BP$508,$BP416,$BS$9:$BS$508,$BS416,$BU$9:$BU$508,$BU416,$BW$9:$BW$508,$BW416,$BY$9:$BY$508,"&lt;"&amp;$BY416)+1))</f>
        <v/>
      </c>
      <c r="CA416" s="124" t="str">
        <f aca="false">IF(ISBLANK($C416),"",IF($BL416&lt;&gt;Constants!$B$4,$BL416,$BQ416-$BZ416))</f>
        <v/>
      </c>
      <c r="CB416" s="130"/>
      <c r="CC416" s="131" t="str">
        <f aca="false">IF(ISBLANK($C416),"",IF($BL416=Constants!$B$8,$AR416,""))</f>
        <v/>
      </c>
      <c r="CD416" s="131" t="str">
        <f aca="false">IF(ISBLANK($C416),"",IF($BL416&lt;&gt;Constants!$B$4,"",IF($BB416="-&gt;",2,1)))</f>
        <v/>
      </c>
      <c r="CE416" s="132" t="str">
        <f aca="false">IF(ISBLANK($C416),"",IF($BL416&lt;&gt;Constants!$B$4,"",IF($BB416="-&gt;",$BE416,$AU416)))</f>
        <v/>
      </c>
      <c r="CF416" s="132" t="str">
        <f aca="false">IF(ISBLANK($C416),"",IF($BL416&lt;&gt;Constants!$B$4,"",IF($BB416="-&gt;",$BF416,$AV416)))</f>
        <v/>
      </c>
      <c r="CG416" s="132" t="str">
        <f aca="false">IF(ISBLANK($C416),"",IF($BL416&lt;&gt;Constants!$B$4,"",IF($BB416="-&gt;",$BG416,$AW416)))</f>
        <v/>
      </c>
      <c r="CH416" s="132" t="str">
        <f aca="false">IF(ISBLANK($C416),"",IF($BL416&lt;&gt;Constants!$B$4,"",IF($BB416="-&gt;",$BH416,$AX416)))</f>
        <v/>
      </c>
      <c r="CI416" s="133" t="str">
        <f aca="false">IF(ISBLANK($C416),"",$BO416)</f>
        <v/>
      </c>
      <c r="CJ416" s="134" t="str">
        <f aca="false">IF(ISBLANK($C416),"",$BM416)</f>
        <v/>
      </c>
      <c r="CK416" s="135" t="str">
        <f aca="false">IF(ISBLANK($C416),"",$CA416)</f>
        <v/>
      </c>
      <c r="CL416" s="135" t="str">
        <f aca="false">IF(ISBLANK($C416),"",$BZ416)</f>
        <v/>
      </c>
      <c r="CM416" s="136" t="str">
        <f aca="false">IF(ISBLANK($C416),"",IF($CL416=Constants!$B$7,COUNTA($C$9:$C$508)+2,IF($CL416=Constants!$B$6,COUNTA($C$9:$C$508)+1,IF($CL416=Constants!$B$5,COUNTA($C$9:$C$508),$CL416))))</f>
        <v/>
      </c>
      <c r="CN416" s="8"/>
      <c r="CO416" s="137" t="n">
        <f aca="false">IF(OR(ISNUMBER($CL416),$CL416=Constants!$B$7,$CL416=Constants!$B$5,$CL416=Constants!$B$6),1,0)</f>
        <v>0</v>
      </c>
      <c r="CP416" s="137" t="n">
        <v>408</v>
      </c>
      <c r="CQ416" s="137" t="str">
        <f aca="false">IF(ISBLANK($C416),"",IF(ISNUMBER($CM416),$CM416+ROW($B416)/1000,""))</f>
        <v/>
      </c>
      <c r="CR416" s="137" t="str">
        <f aca="false">IF(ISNUMBER($CQ416),RANK($CQ416,$CQ$9:$CQ$508,1),"")</f>
        <v/>
      </c>
      <c r="CS416" s="137" t="str">
        <f aca="false">IF(ISBLANK($C416),"",$B416)</f>
        <v/>
      </c>
      <c r="CT416" s="137" t="str">
        <f aca="false">IF(ISBLANK($C416),"",$C416)</f>
        <v/>
      </c>
      <c r="CU416" s="137" t="str">
        <f aca="false">IF(ISBLANK($C416),"",$D416)</f>
        <v/>
      </c>
      <c r="CV416" s="138" t="str">
        <f aca="false">$CJ416</f>
        <v/>
      </c>
      <c r="CW416" s="139" t="str">
        <f aca="false">$CI416</f>
        <v/>
      </c>
      <c r="CX416" s="137" t="str">
        <f aca="false">IF(ISBLANK($C416),"",$CL416)</f>
        <v/>
      </c>
      <c r="CY416" s="140" t="str">
        <f aca="false">IF($CP416&gt;$CO$8,"",VLOOKUP($CP416,$CR$9:$CX$508,7,FALSE()))</f>
        <v/>
      </c>
      <c r="CZ416" s="141" t="str">
        <f aca="false">IF($CP416&gt;$CO$8,"",VLOOKUP($CP416,$CR$9:$CX$508,2,FALSE()))</f>
        <v/>
      </c>
      <c r="DA416" s="141" t="str">
        <f aca="false">IF($CP416&gt;$CO$8,"",VLOOKUP($CP416,$CR$9:$CX$508,3,FALSE()))</f>
        <v/>
      </c>
      <c r="DB416" s="141" t="str">
        <f aca="false">IF($CP416&gt;$CO$8,"",VLOOKUP($CP416,$CR$9:$CX$508,4,FALSE()))</f>
        <v/>
      </c>
      <c r="DC416" s="141" t="str">
        <f aca="false">IF($CP416&gt;$CO$8,"",VLOOKUP($CP416,$CR$9:$CX$508,5,FALSE()))</f>
        <v/>
      </c>
      <c r="DD416" s="142" t="str">
        <f aca="false">IF($CP416&gt;$CO$8,"",VLOOKUP($CP416,$CR$9:$CX$508,6,FALSE()))</f>
        <v/>
      </c>
      <c r="DE416" s="70"/>
    </row>
    <row r="417" customFormat="false" ht="15.75" hidden="false" customHeight="false" outlineLevel="0" collapsed="false">
      <c r="A417" s="8"/>
      <c r="B417" s="72"/>
      <c r="C417" s="73"/>
      <c r="D417" s="155"/>
      <c r="E417" s="162"/>
      <c r="F417" s="157"/>
      <c r="G417" s="77"/>
      <c r="H417" s="77"/>
      <c r="I417" s="77"/>
      <c r="J417" s="163"/>
      <c r="K417" s="161"/>
      <c r="L417" s="161"/>
      <c r="M417" s="80"/>
      <c r="N417" s="161"/>
      <c r="O417" s="160"/>
      <c r="P417" s="161"/>
      <c r="Q417" s="161"/>
      <c r="R417" s="161"/>
      <c r="S417" s="77"/>
      <c r="T417" s="161"/>
      <c r="U417" s="160"/>
      <c r="V417" s="161"/>
      <c r="W417" s="85"/>
      <c r="X417" s="86" t="str">
        <f aca="false">IF(ISBLANK($C417),"",IF($E417=Constants!$B$2,TRUE(),IF($E417=Constants!$B$3,FALSE(),TRUE())))</f>
        <v/>
      </c>
      <c r="Y417" s="86" t="str">
        <f aca="false">IF(ISBLANK($C417),"",IF($F417=Constants!$B$2,TRUE(),IF($F417=Constants!$B$3,FALSE(),TRUE())))</f>
        <v/>
      </c>
      <c r="Z417" s="87" t="str">
        <f aca="false">IF(ISBLANK($C417),"",IF(ISNUMBER($G417),IF($G417&gt;=0,$G417,""),""))</f>
        <v/>
      </c>
      <c r="AA417" s="87" t="str">
        <f aca="false">IF(ISBLANK($C417),"",IF(ISNUMBER($H417),IF($H417&gt;=0,$H417,""),""))</f>
        <v/>
      </c>
      <c r="AB417" s="87" t="str">
        <f aca="false">IF(ISBLANK($C417),"",IF(ISNUMBER($I417),IF($I417&gt;=0,$I417,""),""))</f>
        <v/>
      </c>
      <c r="AC417" s="86" t="str">
        <f aca="false">IF(ISBLANK($C417),"",IF($J417=Constants!$B$2,TRUE(),IF($J417=Constants!$B$3,FALSE(),TRUE())))</f>
        <v/>
      </c>
      <c r="AD417" s="86" t="str">
        <f aca="false">IF(ISBLANK($C417),"",IF($K417=Constants!$B$2,TRUE(),IF($K417=Constants!$B$3,FALSE(),TRUE())))</f>
        <v/>
      </c>
      <c r="AE417" s="86" t="str">
        <f aca="false">IF(ISBLANK($C417),"",IF($L417=Constants!$B$2,TRUE(),IF($L417=Constants!$B$3,FALSE(),TRUE())))</f>
        <v/>
      </c>
      <c r="AF417" s="88" t="str">
        <f aca="false">IF(ISBLANK($C417),"",IF(ISNUMBER($M417),IF($M417&gt;=0,$M417,""),""))</f>
        <v/>
      </c>
      <c r="AG417" s="86" t="str">
        <f aca="false">IF(ISBLANK($C417),"",IF(ISBLANK($N417),0,IF(ISNUMBER($N417),IF(AND($N417&gt;=0,$N417&lt;=Constants!$B$17,$N417=INT($N417)),$N417,""),"")))</f>
        <v/>
      </c>
      <c r="AH417" s="87" t="str">
        <f aca="false">IF(ISBLANK($C417),"",IF(ISBLANK($O417),0,IF(ISNUMBER($O417),IF($O417&gt;=0,$O417,""),"")))</f>
        <v/>
      </c>
      <c r="AI417" s="86" t="str">
        <f aca="false">IF(ISBLANK($C417),"",IF($P417=Constants!$B$2,TRUE(),IF($P417=Constants!$B$3,FALSE(),TRUE())))</f>
        <v/>
      </c>
      <c r="AJ417" s="86" t="str">
        <f aca="false">IF(ISBLANK($C417),"",IF($Q417=Constants!$B$2,TRUE(),IF($Q417=Constants!$B$3,FALSE(),TRUE())))</f>
        <v/>
      </c>
      <c r="AK417" s="86" t="str">
        <f aca="false">IF(ISBLANK($C417),"",IF($R417=Constants!$B$2,TRUE(),IF($R417=Constants!$B$3,FALSE(),TRUE())))</f>
        <v/>
      </c>
      <c r="AL417" s="88" t="str">
        <f aca="false">IF(ISBLANK($C417),"",IF(ISNUMBER($S417),IF($S417&gt;=0,$S417,""),""))</f>
        <v/>
      </c>
      <c r="AM417" s="86" t="str">
        <f aca="false">IF(ISBLANK($C417),"",IF(ISBLANK($T417),0,IF(ISNUMBER($T417),IF(AND($T417&gt;=0,$T417&lt;=Constants!$B$17,$T417=INT($T417)),$T417,""),"")))</f>
        <v/>
      </c>
      <c r="AN417" s="87" t="str">
        <f aca="false">IF(ISBLANK($C417),"",IF(ISBLANK($U417),0,IF(ISNUMBER($U417),IF($U417&gt;=0,$U417,""),"")))</f>
        <v/>
      </c>
      <c r="AO417" s="86" t="str">
        <f aca="false">IF(ISBLANK($C417),"",IF($V417=Constants!$B$2,TRUE(),IF($V417=Constants!$B$3,FALSE(),FALSE())))</f>
        <v/>
      </c>
      <c r="AP417" s="86"/>
      <c r="AQ417" s="85" t="str">
        <f aca="false">IF(ISBLANK($C417),"",AND($Y417,OR($AS417,$BC417),OR($Z417="",$AA417="",$AB417="")))</f>
        <v/>
      </c>
      <c r="AR417" s="85" t="str">
        <f aca="false">IF(ISBLANK($C417),"",IF(OR(NOT($Y417),NOT(OR($AS417,$BC417))),"",IF(ISBLANK($D$7),$AR$5,IF($AP$9="",$AR$6,""))))</f>
        <v/>
      </c>
      <c r="AS417" s="85" t="str">
        <f aca="false">IF(ISBLANK($C417),"",COUNTA($J417:$O417)&gt;0)</f>
        <v/>
      </c>
      <c r="AT417" s="85" t="str">
        <f aca="false">IF(ISBLANK($C417),"",AND($AS417,OR(AND($AF417="",OR($AE417,NOT(ISBLANK($M417)))),$AG417="",$AH417="")))</f>
        <v/>
      </c>
      <c r="AU417" s="87" t="str">
        <f aca="false">IF($BL417&lt;&gt;Constants!$B$4,"",IF(NOT($AS417),"",ROUND((Constants!$B$12-$AB417)+(Constants!$B$13-$Z417)+(Constants!$B$14-$AA417),1)))</f>
        <v/>
      </c>
      <c r="AV417" s="90" t="str">
        <f aca="false">IF($BL417&lt;&gt;Constants!$B$4,"",IF(NOT($AS417),"",IF(NOT($AE417),0,Constants!$B$15*(INT(ROUND(MIN($AF417,$AP$9),6))-INT(ROUND(MAX(0,MIN($AF417,2*$AP$9)-$AP$9),6))))))</f>
        <v/>
      </c>
      <c r="AW417" s="90" t="str">
        <f aca="false">IF($BL417&lt;&gt;Constants!$B$4,"",IF(NOT($AS417),"",Constants!$B$16*$AG417))</f>
        <v/>
      </c>
      <c r="AX417" s="90" t="str">
        <f aca="false">IF($BL417&lt;&gt;Constants!$B$4,"",IF(NOT($AS417),"",Constants!$B$18*INT(ROUND($AH417,6))))</f>
        <v/>
      </c>
      <c r="AY417" s="85" t="str">
        <f aca="false">IF($BL417&lt;&gt;Constants!$B$4,"",IF(NOT($AS417),"",IF(NOT($X417),Constants!$B$11,IF(OR(NOT($AC417),NOT($AD417),ROUND($AB417,1)&gt;Constants!$B$12,ROUND($Z417,1)&gt;Constants!$B$13,ROUND($AA417,1)&gt;Constants!$B$14),Constants!$B$10,Constants!$B$9))))</f>
        <v/>
      </c>
      <c r="AZ417" s="91" t="str">
        <f aca="false">IF($BL417&lt;&gt;Constants!$B$4,"",IF(NOT($AS417),"",ROUND($AU417+$AV417+$AW417+$AX417,1)))</f>
        <v/>
      </c>
      <c r="BA417" s="92" t="str">
        <f aca="false">IF($BL417&lt;&gt;Constants!$B$4,"",IF(NOT($AS417),"",IF(ISNUMBER($AF417),$AF417,0)))</f>
        <v/>
      </c>
      <c r="BB417" s="86" t="str">
        <f aca="false">IF($BL417&lt;&gt;Constants!$B$4,"",IF(NOT($BC417),"&lt;-",IF(NOT($AS417),"-&gt;",IF(OR($BI417&lt;$AY417,AND($BI417=$AY417,OR($BJ417&gt;$AZ417,AND($BJ417=$AZ417,OR($BH417&gt;$AX417,AND($BH417=$AX417,OR($BE417&gt;$AU417,AND($BE417=$AU417,OR($BF417&gt;$AV417,AND($BF417=$AV417,$BK417&gt;$BA417)))))))))),"-&gt;","&lt;-"))))</f>
        <v/>
      </c>
      <c r="BC417" s="85" t="str">
        <f aca="false">IF(ISBLANK($C417),"",COUNTA($P417:$U417)&gt;0)</f>
        <v/>
      </c>
      <c r="BD417" s="85" t="str">
        <f aca="false">IF(ISBLANK($C417),"",AND($BC417,OR(AND($AL417="",OR($AK417,NOT(ISBLANK($S417)))),$AM417="",$AN417="")))</f>
        <v/>
      </c>
      <c r="BE417" s="87" t="str">
        <f aca="false">IF($BL417&lt;&gt;Constants!$B$4,"",IF(NOT($BC417),"",ROUND((Constants!$B$12-$AB417)+(Constants!$B$13-$Z417)+(Constants!$B$14-$AA417),1)))</f>
        <v/>
      </c>
      <c r="BF417" s="90" t="str">
        <f aca="false">IF($BL417&lt;&gt;Constants!$B$4,"",IF(NOT($BC417),"",IF(NOT($AK417),0,Constants!$B$15*(INT(ROUND(MIN($AL417,$AP$9),6))-INT(ROUND(MAX(0,MIN($AL417,2*$AP$9)-$AP$9),6))))))</f>
        <v/>
      </c>
      <c r="BG417" s="90" t="str">
        <f aca="false">IF($BL417&lt;&gt;Constants!$B$4,"",IF(NOT($BC417),"",Constants!$B$16*$AM417))</f>
        <v/>
      </c>
      <c r="BH417" s="90" t="str">
        <f aca="false">IF($BL417&lt;&gt;Constants!$B$4,"",IF(NOT($BC417),"",Constants!$B$18*INT(ROUND($AN417,6))))</f>
        <v/>
      </c>
      <c r="BI417" s="85" t="str">
        <f aca="false">IF($BL417&lt;&gt;Constants!$B$4,"",IF(NOT($BC417),"",IF(NOT($X417),Constants!$B$11,IF(OR(NOT($AI417),NOT($AJ417),ROUND($AB417,1)&gt;Constants!$B$12,ROUND($Z417,1)&gt;Constants!$B$13,ROUND($AA417,1)&gt;Constants!$B$14),Constants!$B$10,Constants!$B$9))))</f>
        <v/>
      </c>
      <c r="BJ417" s="91" t="str">
        <f aca="false">IF($BL417&lt;&gt;Constants!$B$4,"",IF(NOT($BC417),"",ROUND($BE417+$BF417+$BG417+$BH417,1)))</f>
        <v/>
      </c>
      <c r="BK417" s="92" t="str">
        <f aca="false">IF($BL417&lt;&gt;Constants!$B$4,"",IF(NOT($BC417),"",IF(ISNUMBER($AL417),$AL417,0)))</f>
        <v/>
      </c>
      <c r="BL417" s="86" t="str">
        <f aca="false">IF(ISBLANK($C417),"",IF($AO417,Constants!$B$7,IF(COUNTA($E417:$V417)=0,Constants!$B$6,IF(NOT($Y417),Constants!$B$5,IF(NOT(OR($AS417,$BC417)),Constants!$B$5,IF(OR($AT417,$BD417,$AQ417,$AR417&lt;&gt;""),Constants!$B$8,Constants!$B$4))))))</f>
        <v/>
      </c>
      <c r="BM417" s="86" t="str">
        <f aca="false">IF(ISBLANK($C417),"",IF($BL417&lt;&gt;Constants!$B$4,$BL417,IF($BB417="-&gt;",$BI417,$AY417)))</f>
        <v/>
      </c>
      <c r="BN417" s="90" t="str">
        <f aca="false">IF($BL417&lt;&gt;Constants!$B$4,"",IF($BB417="-&gt;",$BJ417,$AZ417))</f>
        <v/>
      </c>
      <c r="BO417" s="90" t="str">
        <f aca="false">IF(ISBLANK($C417),"",IF($BL417&lt;&gt;Constants!$B$4,$BL417,$BN417))</f>
        <v/>
      </c>
      <c r="BP417" s="86" t="str">
        <f aca="false">IF(ISBLANK($C417),"",IF($BL417&lt;&gt;Constants!$B$4,$BL417,RANK($BO417,$BO$9:$BO$508,0)))</f>
        <v/>
      </c>
      <c r="BQ417" s="86" t="str">
        <f aca="false">IF(ISBLANK($C417),"",IF($BL417&lt;&gt;Constants!$B$4,$BL417,COUNTIFS($BM$9:$BM$508,"&lt;"&amp;$BM417)+COUNTIFS($BM$9:$BM$508,$BM417,$BP$9:$BP$508,"&lt;"&amp;$BP417)+1))</f>
        <v/>
      </c>
      <c r="BR417" s="90" t="str">
        <f aca="false">IF($BL417&lt;&gt;Constants!$B$4,"",IF($BB417="-&gt;",$BH417,$AX417))</f>
        <v/>
      </c>
      <c r="BS417" s="86" t="str">
        <f aca="false">IF(ISBLANK($C417),"",IF($BL417&lt;&gt;Constants!$B$4,$BL417,IF(ISNUMBER($BR417),RANK($BR417,$BR$9:$BR$508,0),COUNT($BR$9:$BR$508)+1)))</f>
        <v/>
      </c>
      <c r="BT417" s="90" t="str">
        <f aca="false">IF($BL417&lt;&gt;Constants!$B$4,"",IF($BB417="-&gt;",$BE417,$AU417))</f>
        <v/>
      </c>
      <c r="BU417" s="86" t="str">
        <f aca="false">IF(ISBLANK($C417),"",IF($BL417&lt;&gt;Constants!$B$4,$BL417,IF(ISNUMBER($BT417),RANK($BT417,$BT$9:$BT$508,0),COUNT($BT$9:$BT$508)+1)))</f>
        <v/>
      </c>
      <c r="BV417" s="90" t="str">
        <f aca="false">IF($BL417&lt;&gt;Constants!$B$4,"",IF($BB417="-&gt;",$BF417,$AV417))</f>
        <v/>
      </c>
      <c r="BW417" s="86" t="str">
        <f aca="false">IF(ISBLANK($C417),"",IF($BL417&lt;&gt;Constants!$B$4,$BL417,IF(ISNUMBER($BV417),RANK($BV417,$BV$9:$BV$508,0),COUNT($BV$9:$BV$508)+1)))</f>
        <v/>
      </c>
      <c r="BX417" s="90" t="str">
        <f aca="false">IF($BL417&lt;&gt;Constants!$B$4,"",IF($BB417="-&gt;",$BK417,$BA417))</f>
        <v/>
      </c>
      <c r="BY417" s="86" t="str">
        <f aca="false">IF(ISBLANK($C417),"",IF($BL417&lt;&gt;Constants!$B$4,$BL417,IF(ISNUMBER($BX417),RANK($BX417,$BX$9:$BX$508,0),COUNT($BX$9:$BX$508)+1)))</f>
        <v/>
      </c>
      <c r="BZ417" s="86" t="str">
        <f aca="false">IF(ISBLANK($C417),"",IF($BL417&lt;&gt;Constants!$B$4,$BL417,COUNTIFS($BM$9:$BM$508,"&lt;"&amp;$BM417)+COUNTIFS($BM$9:$BM$508,$BM417,$BP$9:$BP$508,"&lt;"&amp;$BP417)+COUNTIFS($BM$9:$BM$508,$BM417,$BP$9:$BP$508,$BP417,$BS$9:$BS$508,"&lt;"&amp;$BS417)+COUNTIFS($BM$9:$BM$508,$BM417,$BP$9:$BP$508,$BP417,$BS$9:$BS$508,$BS417,$BU$9:$BU$508,"&lt;"&amp;$BU417)+COUNTIFS($BM$9:$BM$508,$BM417,$BP$9:$BP$508,$BP417,$BS$9:$BS$508,$BS417,$BU$9:$BU$508,$BU417,$BW$9:$BW$508,"&lt;"&amp;$BW417)+COUNTIFS($BM$9:$BM$508,$BM417,$BP$9:$BP$508,$BP417,$BS$9:$BS$508,$BS417,$BU$9:$BU$508,$BU417,$BW$9:$BW$508,$BW417,$BY$9:$BY$508,"&lt;"&amp;$BY417)+1))</f>
        <v/>
      </c>
      <c r="CA417" s="86" t="str">
        <f aca="false">IF(ISBLANK($C417),"",IF($BL417&lt;&gt;Constants!$B$4,$BL417,$BQ417-$BZ417))</f>
        <v/>
      </c>
      <c r="CB417" s="93"/>
      <c r="CC417" s="94" t="str">
        <f aca="false">IF(ISBLANK($C417),"",IF($BL417=Constants!$B$8,$AR417,""))</f>
        <v/>
      </c>
      <c r="CD417" s="94" t="str">
        <f aca="false">IF(ISBLANK($C417),"",IF($BL417&lt;&gt;Constants!$B$4,"",IF($BB417="-&gt;",2,1)))</f>
        <v/>
      </c>
      <c r="CE417" s="95" t="str">
        <f aca="false">IF(ISBLANK($C417),"",IF($BL417&lt;&gt;Constants!$B$4,"",IF($BB417="-&gt;",$BE417,$AU417)))</f>
        <v/>
      </c>
      <c r="CF417" s="95" t="str">
        <f aca="false">IF(ISBLANK($C417),"",IF($BL417&lt;&gt;Constants!$B$4,"",IF($BB417="-&gt;",$BF417,$AV417)))</f>
        <v/>
      </c>
      <c r="CG417" s="95" t="str">
        <f aca="false">IF(ISBLANK($C417),"",IF($BL417&lt;&gt;Constants!$B$4,"",IF($BB417="-&gt;",$BG417,$AW417)))</f>
        <v/>
      </c>
      <c r="CH417" s="95" t="str">
        <f aca="false">IF(ISBLANK($C417),"",IF($BL417&lt;&gt;Constants!$B$4,"",IF($BB417="-&gt;",$BH417,$AX417)))</f>
        <v/>
      </c>
      <c r="CI417" s="96" t="str">
        <f aca="false">IF(ISBLANK($C417),"",$BO417)</f>
        <v/>
      </c>
      <c r="CJ417" s="97" t="str">
        <f aca="false">IF(ISBLANK($C417),"",$BM417)</f>
        <v/>
      </c>
      <c r="CK417" s="98" t="str">
        <f aca="false">IF(ISBLANK($C417),"",$CA417)</f>
        <v/>
      </c>
      <c r="CL417" s="98" t="str">
        <f aca="false">IF(ISBLANK($C417),"",$BZ417)</f>
        <v/>
      </c>
      <c r="CM417" s="99" t="str">
        <f aca="false">IF(ISBLANK($C417),"",IF($CL417=Constants!$B$7,COUNTA($C$9:$C$508)+2,IF($CL417=Constants!$B$6,COUNTA($C$9:$C$508)+1,IF($CL417=Constants!$B$5,COUNTA($C$9:$C$508),$CL417))))</f>
        <v/>
      </c>
      <c r="CN417" s="8"/>
      <c r="CO417" s="100" t="n">
        <f aca="false">IF(OR(ISNUMBER($CL417),$CL417=Constants!$B$7,$CL417=Constants!$B$5,$CL417=Constants!$B$6),1,0)</f>
        <v>0</v>
      </c>
      <c r="CP417" s="100" t="n">
        <v>409</v>
      </c>
      <c r="CQ417" s="100" t="str">
        <f aca="false">IF(ISBLANK($C417),"",IF(ISNUMBER($CM417),$CM417+ROW($B417)/1000,""))</f>
        <v/>
      </c>
      <c r="CR417" s="100" t="str">
        <f aca="false">IF(ISNUMBER($CQ417),RANK($CQ417,$CQ$9:$CQ$508,1),"")</f>
        <v/>
      </c>
      <c r="CS417" s="100" t="str">
        <f aca="false">IF(ISBLANK($C417),"",$B417)</f>
        <v/>
      </c>
      <c r="CT417" s="100" t="str">
        <f aca="false">IF(ISBLANK($C417),"",$C417)</f>
        <v/>
      </c>
      <c r="CU417" s="100" t="str">
        <f aca="false">IF(ISBLANK($C417),"",$D417)</f>
        <v/>
      </c>
      <c r="CV417" s="101" t="str">
        <f aca="false">$CJ417</f>
        <v/>
      </c>
      <c r="CW417" s="102" t="str">
        <f aca="false">$CI417</f>
        <v/>
      </c>
      <c r="CX417" s="100" t="str">
        <f aca="false">IF(ISBLANK($C417),"",$CL417)</f>
        <v/>
      </c>
      <c r="CY417" s="103" t="str">
        <f aca="false">IF($CP417&gt;$CO$8,"",VLOOKUP($CP417,$CR$9:$CX$508,7,FALSE()))</f>
        <v/>
      </c>
      <c r="CZ417" s="104" t="str">
        <f aca="false">IF($CP417&gt;$CO$8,"",VLOOKUP($CP417,$CR$9:$CX$508,2,FALSE()))</f>
        <v/>
      </c>
      <c r="DA417" s="104" t="str">
        <f aca="false">IF($CP417&gt;$CO$8,"",VLOOKUP($CP417,$CR$9:$CX$508,3,FALSE()))</f>
        <v/>
      </c>
      <c r="DB417" s="104" t="str">
        <f aca="false">IF($CP417&gt;$CO$8,"",VLOOKUP($CP417,$CR$9:$CX$508,4,FALSE()))</f>
        <v/>
      </c>
      <c r="DC417" s="104" t="str">
        <f aca="false">IF($CP417&gt;$CO$8,"",VLOOKUP($CP417,$CR$9:$CX$508,5,FALSE()))</f>
        <v/>
      </c>
      <c r="DD417" s="105" t="str">
        <f aca="false">IF($CP417&gt;$CO$8,"",VLOOKUP($CP417,$CR$9:$CX$508,6,FALSE()))</f>
        <v/>
      </c>
      <c r="DE417" s="70"/>
    </row>
    <row r="418" customFormat="false" ht="15.75" hidden="false" customHeight="false" outlineLevel="0" collapsed="false">
      <c r="A418" s="8"/>
      <c r="B418" s="72"/>
      <c r="C418" s="73"/>
      <c r="D418" s="155"/>
      <c r="E418" s="162"/>
      <c r="F418" s="157"/>
      <c r="G418" s="77"/>
      <c r="H418" s="77"/>
      <c r="I418" s="77"/>
      <c r="J418" s="163"/>
      <c r="K418" s="161"/>
      <c r="L418" s="161"/>
      <c r="M418" s="80"/>
      <c r="N418" s="161"/>
      <c r="O418" s="160"/>
      <c r="P418" s="161"/>
      <c r="Q418" s="161"/>
      <c r="R418" s="161"/>
      <c r="S418" s="77"/>
      <c r="T418" s="161"/>
      <c r="U418" s="160"/>
      <c r="V418" s="161"/>
      <c r="W418" s="85"/>
      <c r="X418" s="86" t="str">
        <f aca="false">IF(ISBLANK($C418),"",IF($E418=Constants!$B$2,TRUE(),IF($E418=Constants!$B$3,FALSE(),TRUE())))</f>
        <v/>
      </c>
      <c r="Y418" s="86" t="str">
        <f aca="false">IF(ISBLANK($C418),"",IF($F418=Constants!$B$2,TRUE(),IF($F418=Constants!$B$3,FALSE(),TRUE())))</f>
        <v/>
      </c>
      <c r="Z418" s="87" t="str">
        <f aca="false">IF(ISBLANK($C418),"",IF(ISNUMBER($G418),IF($G418&gt;=0,$G418,""),""))</f>
        <v/>
      </c>
      <c r="AA418" s="87" t="str">
        <f aca="false">IF(ISBLANK($C418),"",IF(ISNUMBER($H418),IF($H418&gt;=0,$H418,""),""))</f>
        <v/>
      </c>
      <c r="AB418" s="87" t="str">
        <f aca="false">IF(ISBLANK($C418),"",IF(ISNUMBER($I418),IF($I418&gt;=0,$I418,""),""))</f>
        <v/>
      </c>
      <c r="AC418" s="86" t="str">
        <f aca="false">IF(ISBLANK($C418),"",IF($J418=Constants!$B$2,TRUE(),IF($J418=Constants!$B$3,FALSE(),TRUE())))</f>
        <v/>
      </c>
      <c r="AD418" s="86" t="str">
        <f aca="false">IF(ISBLANK($C418),"",IF($K418=Constants!$B$2,TRUE(),IF($K418=Constants!$B$3,FALSE(),TRUE())))</f>
        <v/>
      </c>
      <c r="AE418" s="86" t="str">
        <f aca="false">IF(ISBLANK($C418),"",IF($L418=Constants!$B$2,TRUE(),IF($L418=Constants!$B$3,FALSE(),TRUE())))</f>
        <v/>
      </c>
      <c r="AF418" s="88" t="str">
        <f aca="false">IF(ISBLANK($C418),"",IF(ISNUMBER($M418),IF($M418&gt;=0,$M418,""),""))</f>
        <v/>
      </c>
      <c r="AG418" s="86" t="str">
        <f aca="false">IF(ISBLANK($C418),"",IF(ISBLANK($N418),0,IF(ISNUMBER($N418),IF(AND($N418&gt;=0,$N418&lt;=Constants!$B$17,$N418=INT($N418)),$N418,""),"")))</f>
        <v/>
      </c>
      <c r="AH418" s="87" t="str">
        <f aca="false">IF(ISBLANK($C418),"",IF(ISBLANK($O418),0,IF(ISNUMBER($O418),IF($O418&gt;=0,$O418,""),"")))</f>
        <v/>
      </c>
      <c r="AI418" s="86" t="str">
        <f aca="false">IF(ISBLANK($C418),"",IF($P418=Constants!$B$2,TRUE(),IF($P418=Constants!$B$3,FALSE(),TRUE())))</f>
        <v/>
      </c>
      <c r="AJ418" s="86" t="str">
        <f aca="false">IF(ISBLANK($C418),"",IF($Q418=Constants!$B$2,TRUE(),IF($Q418=Constants!$B$3,FALSE(),TRUE())))</f>
        <v/>
      </c>
      <c r="AK418" s="86" t="str">
        <f aca="false">IF(ISBLANK($C418),"",IF($R418=Constants!$B$2,TRUE(),IF($R418=Constants!$B$3,FALSE(),TRUE())))</f>
        <v/>
      </c>
      <c r="AL418" s="88" t="str">
        <f aca="false">IF(ISBLANK($C418),"",IF(ISNUMBER($S418),IF($S418&gt;=0,$S418,""),""))</f>
        <v/>
      </c>
      <c r="AM418" s="86" t="str">
        <f aca="false">IF(ISBLANK($C418),"",IF(ISBLANK($T418),0,IF(ISNUMBER($T418),IF(AND($T418&gt;=0,$T418&lt;=Constants!$B$17,$T418=INT($T418)),$T418,""),"")))</f>
        <v/>
      </c>
      <c r="AN418" s="87" t="str">
        <f aca="false">IF(ISBLANK($C418),"",IF(ISBLANK($U418),0,IF(ISNUMBER($U418),IF($U418&gt;=0,$U418,""),"")))</f>
        <v/>
      </c>
      <c r="AO418" s="86" t="str">
        <f aca="false">IF(ISBLANK($C418),"",IF($V418=Constants!$B$2,TRUE(),IF($V418=Constants!$B$3,FALSE(),FALSE())))</f>
        <v/>
      </c>
      <c r="AP418" s="86"/>
      <c r="AQ418" s="85" t="str">
        <f aca="false">IF(ISBLANK($C418),"",AND($Y418,OR($AS418,$BC418),OR($Z418="",$AA418="",$AB418="")))</f>
        <v/>
      </c>
      <c r="AR418" s="85" t="str">
        <f aca="false">IF(ISBLANK($C418),"",IF(OR(NOT($Y418),NOT(OR($AS418,$BC418))),"",IF(ISBLANK($D$7),$AR$5,IF($AP$9="",$AR$6,""))))</f>
        <v/>
      </c>
      <c r="AS418" s="85" t="str">
        <f aca="false">IF(ISBLANK($C418),"",COUNTA($J418:$O418)&gt;0)</f>
        <v/>
      </c>
      <c r="AT418" s="85" t="str">
        <f aca="false">IF(ISBLANK($C418),"",AND($AS418,OR(AND($AF418="",OR($AE418,NOT(ISBLANK($M418)))),$AG418="",$AH418="")))</f>
        <v/>
      </c>
      <c r="AU418" s="87" t="str">
        <f aca="false">IF($BL418&lt;&gt;Constants!$B$4,"",IF(NOT($AS418),"",ROUND((Constants!$B$12-$AB418)+(Constants!$B$13-$Z418)+(Constants!$B$14-$AA418),1)))</f>
        <v/>
      </c>
      <c r="AV418" s="90" t="str">
        <f aca="false">IF($BL418&lt;&gt;Constants!$B$4,"",IF(NOT($AS418),"",IF(NOT($AE418),0,Constants!$B$15*(INT(ROUND(MIN($AF418,$AP$9),6))-INT(ROUND(MAX(0,MIN($AF418,2*$AP$9)-$AP$9),6))))))</f>
        <v/>
      </c>
      <c r="AW418" s="90" t="str">
        <f aca="false">IF($BL418&lt;&gt;Constants!$B$4,"",IF(NOT($AS418),"",Constants!$B$16*$AG418))</f>
        <v/>
      </c>
      <c r="AX418" s="90" t="str">
        <f aca="false">IF($BL418&lt;&gt;Constants!$B$4,"",IF(NOT($AS418),"",Constants!$B$18*INT(ROUND($AH418,6))))</f>
        <v/>
      </c>
      <c r="AY418" s="85" t="str">
        <f aca="false">IF($BL418&lt;&gt;Constants!$B$4,"",IF(NOT($AS418),"",IF(NOT($X418),Constants!$B$11,IF(OR(NOT($AC418),NOT($AD418),ROUND($AB418,1)&gt;Constants!$B$12,ROUND($Z418,1)&gt;Constants!$B$13,ROUND($AA418,1)&gt;Constants!$B$14),Constants!$B$10,Constants!$B$9))))</f>
        <v/>
      </c>
      <c r="AZ418" s="91" t="str">
        <f aca="false">IF($BL418&lt;&gt;Constants!$B$4,"",IF(NOT($AS418),"",ROUND($AU418+$AV418+$AW418+$AX418,1)))</f>
        <v/>
      </c>
      <c r="BA418" s="92" t="str">
        <f aca="false">IF($BL418&lt;&gt;Constants!$B$4,"",IF(NOT($AS418),"",IF(ISNUMBER($AF418),$AF418,0)))</f>
        <v/>
      </c>
      <c r="BB418" s="86" t="str">
        <f aca="false">IF($BL418&lt;&gt;Constants!$B$4,"",IF(NOT($BC418),"&lt;-",IF(NOT($AS418),"-&gt;",IF(OR($BI418&lt;$AY418,AND($BI418=$AY418,OR($BJ418&gt;$AZ418,AND($BJ418=$AZ418,OR($BH418&gt;$AX418,AND($BH418=$AX418,OR($BE418&gt;$AU418,AND($BE418=$AU418,OR($BF418&gt;$AV418,AND($BF418=$AV418,$BK418&gt;$BA418)))))))))),"-&gt;","&lt;-"))))</f>
        <v/>
      </c>
      <c r="BC418" s="85" t="str">
        <f aca="false">IF(ISBLANK($C418),"",COUNTA($P418:$U418)&gt;0)</f>
        <v/>
      </c>
      <c r="BD418" s="85" t="str">
        <f aca="false">IF(ISBLANK($C418),"",AND($BC418,OR(AND($AL418="",OR($AK418,NOT(ISBLANK($S418)))),$AM418="",$AN418="")))</f>
        <v/>
      </c>
      <c r="BE418" s="87" t="str">
        <f aca="false">IF($BL418&lt;&gt;Constants!$B$4,"",IF(NOT($BC418),"",ROUND((Constants!$B$12-$AB418)+(Constants!$B$13-$Z418)+(Constants!$B$14-$AA418),1)))</f>
        <v/>
      </c>
      <c r="BF418" s="90" t="str">
        <f aca="false">IF($BL418&lt;&gt;Constants!$B$4,"",IF(NOT($BC418),"",IF(NOT($AK418),0,Constants!$B$15*(INT(ROUND(MIN($AL418,$AP$9),6))-INT(ROUND(MAX(0,MIN($AL418,2*$AP$9)-$AP$9),6))))))</f>
        <v/>
      </c>
      <c r="BG418" s="90" t="str">
        <f aca="false">IF($BL418&lt;&gt;Constants!$B$4,"",IF(NOT($BC418),"",Constants!$B$16*$AM418))</f>
        <v/>
      </c>
      <c r="BH418" s="90" t="str">
        <f aca="false">IF($BL418&lt;&gt;Constants!$B$4,"",IF(NOT($BC418),"",Constants!$B$18*INT(ROUND($AN418,6))))</f>
        <v/>
      </c>
      <c r="BI418" s="85" t="str">
        <f aca="false">IF($BL418&lt;&gt;Constants!$B$4,"",IF(NOT($BC418),"",IF(NOT($X418),Constants!$B$11,IF(OR(NOT($AI418),NOT($AJ418),ROUND($AB418,1)&gt;Constants!$B$12,ROUND($Z418,1)&gt;Constants!$B$13,ROUND($AA418,1)&gt;Constants!$B$14),Constants!$B$10,Constants!$B$9))))</f>
        <v/>
      </c>
      <c r="BJ418" s="91" t="str">
        <f aca="false">IF($BL418&lt;&gt;Constants!$B$4,"",IF(NOT($BC418),"",ROUND($BE418+$BF418+$BG418+$BH418,1)))</f>
        <v/>
      </c>
      <c r="BK418" s="92" t="str">
        <f aca="false">IF($BL418&lt;&gt;Constants!$B$4,"",IF(NOT($BC418),"",IF(ISNUMBER($AL418),$AL418,0)))</f>
        <v/>
      </c>
      <c r="BL418" s="86" t="str">
        <f aca="false">IF(ISBLANK($C418),"",IF($AO418,Constants!$B$7,IF(COUNTA($E418:$V418)=0,Constants!$B$6,IF(NOT($Y418),Constants!$B$5,IF(NOT(OR($AS418,$BC418)),Constants!$B$5,IF(OR($AT418,$BD418,$AQ418,$AR418&lt;&gt;""),Constants!$B$8,Constants!$B$4))))))</f>
        <v/>
      </c>
      <c r="BM418" s="86" t="str">
        <f aca="false">IF(ISBLANK($C418),"",IF($BL418&lt;&gt;Constants!$B$4,$BL418,IF($BB418="-&gt;",$BI418,$AY418)))</f>
        <v/>
      </c>
      <c r="BN418" s="90" t="str">
        <f aca="false">IF($BL418&lt;&gt;Constants!$B$4,"",IF($BB418="-&gt;",$BJ418,$AZ418))</f>
        <v/>
      </c>
      <c r="BO418" s="90" t="str">
        <f aca="false">IF(ISBLANK($C418),"",IF($BL418&lt;&gt;Constants!$B$4,$BL418,$BN418))</f>
        <v/>
      </c>
      <c r="BP418" s="86" t="str">
        <f aca="false">IF(ISBLANK($C418),"",IF($BL418&lt;&gt;Constants!$B$4,$BL418,RANK($BO418,$BO$9:$BO$508,0)))</f>
        <v/>
      </c>
      <c r="BQ418" s="86" t="str">
        <f aca="false">IF(ISBLANK($C418),"",IF($BL418&lt;&gt;Constants!$B$4,$BL418,COUNTIFS($BM$9:$BM$508,"&lt;"&amp;$BM418)+COUNTIFS($BM$9:$BM$508,$BM418,$BP$9:$BP$508,"&lt;"&amp;$BP418)+1))</f>
        <v/>
      </c>
      <c r="BR418" s="90" t="str">
        <f aca="false">IF($BL418&lt;&gt;Constants!$B$4,"",IF($BB418="-&gt;",$BH418,$AX418))</f>
        <v/>
      </c>
      <c r="BS418" s="86" t="str">
        <f aca="false">IF(ISBLANK($C418),"",IF($BL418&lt;&gt;Constants!$B$4,$BL418,IF(ISNUMBER($BR418),RANK($BR418,$BR$9:$BR$508,0),COUNT($BR$9:$BR$508)+1)))</f>
        <v/>
      </c>
      <c r="BT418" s="90" t="str">
        <f aca="false">IF($BL418&lt;&gt;Constants!$B$4,"",IF($BB418="-&gt;",$BE418,$AU418))</f>
        <v/>
      </c>
      <c r="BU418" s="86" t="str">
        <f aca="false">IF(ISBLANK($C418),"",IF($BL418&lt;&gt;Constants!$B$4,$BL418,IF(ISNUMBER($BT418),RANK($BT418,$BT$9:$BT$508,0),COUNT($BT$9:$BT$508)+1)))</f>
        <v/>
      </c>
      <c r="BV418" s="90" t="str">
        <f aca="false">IF($BL418&lt;&gt;Constants!$B$4,"",IF($BB418="-&gt;",$BF418,$AV418))</f>
        <v/>
      </c>
      <c r="BW418" s="86" t="str">
        <f aca="false">IF(ISBLANK($C418),"",IF($BL418&lt;&gt;Constants!$B$4,$BL418,IF(ISNUMBER($BV418),RANK($BV418,$BV$9:$BV$508,0),COUNT($BV$9:$BV$508)+1)))</f>
        <v/>
      </c>
      <c r="BX418" s="90" t="str">
        <f aca="false">IF($BL418&lt;&gt;Constants!$B$4,"",IF($BB418="-&gt;",$BK418,$BA418))</f>
        <v/>
      </c>
      <c r="BY418" s="86" t="str">
        <f aca="false">IF(ISBLANK($C418),"",IF($BL418&lt;&gt;Constants!$B$4,$BL418,IF(ISNUMBER($BX418),RANK($BX418,$BX$9:$BX$508,0),COUNT($BX$9:$BX$508)+1)))</f>
        <v/>
      </c>
      <c r="BZ418" s="86" t="str">
        <f aca="false">IF(ISBLANK($C418),"",IF($BL418&lt;&gt;Constants!$B$4,$BL418,COUNTIFS($BM$9:$BM$508,"&lt;"&amp;$BM418)+COUNTIFS($BM$9:$BM$508,$BM418,$BP$9:$BP$508,"&lt;"&amp;$BP418)+COUNTIFS($BM$9:$BM$508,$BM418,$BP$9:$BP$508,$BP418,$BS$9:$BS$508,"&lt;"&amp;$BS418)+COUNTIFS($BM$9:$BM$508,$BM418,$BP$9:$BP$508,$BP418,$BS$9:$BS$508,$BS418,$BU$9:$BU$508,"&lt;"&amp;$BU418)+COUNTIFS($BM$9:$BM$508,$BM418,$BP$9:$BP$508,$BP418,$BS$9:$BS$508,$BS418,$BU$9:$BU$508,$BU418,$BW$9:$BW$508,"&lt;"&amp;$BW418)+COUNTIFS($BM$9:$BM$508,$BM418,$BP$9:$BP$508,$BP418,$BS$9:$BS$508,$BS418,$BU$9:$BU$508,$BU418,$BW$9:$BW$508,$BW418,$BY$9:$BY$508,"&lt;"&amp;$BY418)+1))</f>
        <v/>
      </c>
      <c r="CA418" s="86" t="str">
        <f aca="false">IF(ISBLANK($C418),"",IF($BL418&lt;&gt;Constants!$B$4,$BL418,$BQ418-$BZ418))</f>
        <v/>
      </c>
      <c r="CB418" s="93"/>
      <c r="CC418" s="94" t="str">
        <f aca="false">IF(ISBLANK($C418),"",IF($BL418=Constants!$B$8,$AR418,""))</f>
        <v/>
      </c>
      <c r="CD418" s="94" t="str">
        <f aca="false">IF(ISBLANK($C418),"",IF($BL418&lt;&gt;Constants!$B$4,"",IF($BB418="-&gt;",2,1)))</f>
        <v/>
      </c>
      <c r="CE418" s="95" t="str">
        <f aca="false">IF(ISBLANK($C418),"",IF($BL418&lt;&gt;Constants!$B$4,"",IF($BB418="-&gt;",$BE418,$AU418)))</f>
        <v/>
      </c>
      <c r="CF418" s="95" t="str">
        <f aca="false">IF(ISBLANK($C418),"",IF($BL418&lt;&gt;Constants!$B$4,"",IF($BB418="-&gt;",$BF418,$AV418)))</f>
        <v/>
      </c>
      <c r="CG418" s="95" t="str">
        <f aca="false">IF(ISBLANK($C418),"",IF($BL418&lt;&gt;Constants!$B$4,"",IF($BB418="-&gt;",$BG418,$AW418)))</f>
        <v/>
      </c>
      <c r="CH418" s="95" t="str">
        <f aca="false">IF(ISBLANK($C418),"",IF($BL418&lt;&gt;Constants!$B$4,"",IF($BB418="-&gt;",$BH418,$AX418)))</f>
        <v/>
      </c>
      <c r="CI418" s="96" t="str">
        <f aca="false">IF(ISBLANK($C418),"",$BO418)</f>
        <v/>
      </c>
      <c r="CJ418" s="97" t="str">
        <f aca="false">IF(ISBLANK($C418),"",$BM418)</f>
        <v/>
      </c>
      <c r="CK418" s="98" t="str">
        <f aca="false">IF(ISBLANK($C418),"",$CA418)</f>
        <v/>
      </c>
      <c r="CL418" s="98" t="str">
        <f aca="false">IF(ISBLANK($C418),"",$BZ418)</f>
        <v/>
      </c>
      <c r="CM418" s="99" t="str">
        <f aca="false">IF(ISBLANK($C418),"",IF($CL418=Constants!$B$7,COUNTA($C$9:$C$508)+2,IF($CL418=Constants!$B$6,COUNTA($C$9:$C$508)+1,IF($CL418=Constants!$B$5,COUNTA($C$9:$C$508),$CL418))))</f>
        <v/>
      </c>
      <c r="CN418" s="8"/>
      <c r="CO418" s="100" t="n">
        <f aca="false">IF(OR(ISNUMBER($CL418),$CL418=Constants!$B$7,$CL418=Constants!$B$5,$CL418=Constants!$B$6),1,0)</f>
        <v>0</v>
      </c>
      <c r="CP418" s="100" t="n">
        <v>410</v>
      </c>
      <c r="CQ418" s="100" t="str">
        <f aca="false">IF(ISBLANK($C418),"",IF(ISNUMBER($CM418),$CM418+ROW($B418)/1000,""))</f>
        <v/>
      </c>
      <c r="CR418" s="100" t="str">
        <f aca="false">IF(ISNUMBER($CQ418),RANK($CQ418,$CQ$9:$CQ$508,1),"")</f>
        <v/>
      </c>
      <c r="CS418" s="100" t="str">
        <f aca="false">IF(ISBLANK($C418),"",$B418)</f>
        <v/>
      </c>
      <c r="CT418" s="100" t="str">
        <f aca="false">IF(ISBLANK($C418),"",$C418)</f>
        <v/>
      </c>
      <c r="CU418" s="100" t="str">
        <f aca="false">IF(ISBLANK($C418),"",$D418)</f>
        <v/>
      </c>
      <c r="CV418" s="101" t="str">
        <f aca="false">$CJ418</f>
        <v/>
      </c>
      <c r="CW418" s="102" t="str">
        <f aca="false">$CI418</f>
        <v/>
      </c>
      <c r="CX418" s="100" t="str">
        <f aca="false">IF(ISBLANK($C418),"",$CL418)</f>
        <v/>
      </c>
      <c r="CY418" s="103" t="str">
        <f aca="false">IF($CP418&gt;$CO$8,"",VLOOKUP($CP418,$CR$9:$CX$508,7,FALSE()))</f>
        <v/>
      </c>
      <c r="CZ418" s="104" t="str">
        <f aca="false">IF($CP418&gt;$CO$8,"",VLOOKUP($CP418,$CR$9:$CX$508,2,FALSE()))</f>
        <v/>
      </c>
      <c r="DA418" s="104" t="str">
        <f aca="false">IF($CP418&gt;$CO$8,"",VLOOKUP($CP418,$CR$9:$CX$508,3,FALSE()))</f>
        <v/>
      </c>
      <c r="DB418" s="104" t="str">
        <f aca="false">IF($CP418&gt;$CO$8,"",VLOOKUP($CP418,$CR$9:$CX$508,4,FALSE()))</f>
        <v/>
      </c>
      <c r="DC418" s="104" t="str">
        <f aca="false">IF($CP418&gt;$CO$8,"",VLOOKUP($CP418,$CR$9:$CX$508,5,FALSE()))</f>
        <v/>
      </c>
      <c r="DD418" s="105" t="str">
        <f aca="false">IF($CP418&gt;$CO$8,"",VLOOKUP($CP418,$CR$9:$CX$508,6,FALSE()))</f>
        <v/>
      </c>
      <c r="DE418" s="70"/>
    </row>
    <row r="419" customFormat="false" ht="15.75" hidden="false" customHeight="false" outlineLevel="0" collapsed="false">
      <c r="A419" s="8"/>
      <c r="B419" s="72"/>
      <c r="C419" s="73"/>
      <c r="D419" s="155"/>
      <c r="E419" s="162"/>
      <c r="F419" s="157"/>
      <c r="G419" s="77"/>
      <c r="H419" s="77"/>
      <c r="I419" s="77"/>
      <c r="J419" s="163"/>
      <c r="K419" s="161"/>
      <c r="L419" s="161"/>
      <c r="M419" s="80"/>
      <c r="N419" s="161"/>
      <c r="O419" s="160"/>
      <c r="P419" s="161"/>
      <c r="Q419" s="161"/>
      <c r="R419" s="161"/>
      <c r="S419" s="77"/>
      <c r="T419" s="161"/>
      <c r="U419" s="160"/>
      <c r="V419" s="161"/>
      <c r="W419" s="85"/>
      <c r="X419" s="86" t="str">
        <f aca="false">IF(ISBLANK($C419),"",IF($E419=Constants!$B$2,TRUE(),IF($E419=Constants!$B$3,FALSE(),TRUE())))</f>
        <v/>
      </c>
      <c r="Y419" s="86" t="str">
        <f aca="false">IF(ISBLANK($C419),"",IF($F419=Constants!$B$2,TRUE(),IF($F419=Constants!$B$3,FALSE(),TRUE())))</f>
        <v/>
      </c>
      <c r="Z419" s="87" t="str">
        <f aca="false">IF(ISBLANK($C419),"",IF(ISNUMBER($G419),IF($G419&gt;=0,$G419,""),""))</f>
        <v/>
      </c>
      <c r="AA419" s="87" t="str">
        <f aca="false">IF(ISBLANK($C419),"",IF(ISNUMBER($H419),IF($H419&gt;=0,$H419,""),""))</f>
        <v/>
      </c>
      <c r="AB419" s="87" t="str">
        <f aca="false">IF(ISBLANK($C419),"",IF(ISNUMBER($I419),IF($I419&gt;=0,$I419,""),""))</f>
        <v/>
      </c>
      <c r="AC419" s="86" t="str">
        <f aca="false">IF(ISBLANK($C419),"",IF($J419=Constants!$B$2,TRUE(),IF($J419=Constants!$B$3,FALSE(),TRUE())))</f>
        <v/>
      </c>
      <c r="AD419" s="86" t="str">
        <f aca="false">IF(ISBLANK($C419),"",IF($K419=Constants!$B$2,TRUE(),IF($K419=Constants!$B$3,FALSE(),TRUE())))</f>
        <v/>
      </c>
      <c r="AE419" s="86" t="str">
        <f aca="false">IF(ISBLANK($C419),"",IF($L419=Constants!$B$2,TRUE(),IF($L419=Constants!$B$3,FALSE(),TRUE())))</f>
        <v/>
      </c>
      <c r="AF419" s="88" t="str">
        <f aca="false">IF(ISBLANK($C419),"",IF(ISNUMBER($M419),IF($M419&gt;=0,$M419,""),""))</f>
        <v/>
      </c>
      <c r="AG419" s="86" t="str">
        <f aca="false">IF(ISBLANK($C419),"",IF(ISBLANK($N419),0,IF(ISNUMBER($N419),IF(AND($N419&gt;=0,$N419&lt;=Constants!$B$17,$N419=INT($N419)),$N419,""),"")))</f>
        <v/>
      </c>
      <c r="AH419" s="87" t="str">
        <f aca="false">IF(ISBLANK($C419),"",IF(ISBLANK($O419),0,IF(ISNUMBER($O419),IF($O419&gt;=0,$O419,""),"")))</f>
        <v/>
      </c>
      <c r="AI419" s="86" t="str">
        <f aca="false">IF(ISBLANK($C419),"",IF($P419=Constants!$B$2,TRUE(),IF($P419=Constants!$B$3,FALSE(),TRUE())))</f>
        <v/>
      </c>
      <c r="AJ419" s="86" t="str">
        <f aca="false">IF(ISBLANK($C419),"",IF($Q419=Constants!$B$2,TRUE(),IF($Q419=Constants!$B$3,FALSE(),TRUE())))</f>
        <v/>
      </c>
      <c r="AK419" s="86" t="str">
        <f aca="false">IF(ISBLANK($C419),"",IF($R419=Constants!$B$2,TRUE(),IF($R419=Constants!$B$3,FALSE(),TRUE())))</f>
        <v/>
      </c>
      <c r="AL419" s="88" t="str">
        <f aca="false">IF(ISBLANK($C419),"",IF(ISNUMBER($S419),IF($S419&gt;=0,$S419,""),""))</f>
        <v/>
      </c>
      <c r="AM419" s="86" t="str">
        <f aca="false">IF(ISBLANK($C419),"",IF(ISBLANK($T419),0,IF(ISNUMBER($T419),IF(AND($T419&gt;=0,$T419&lt;=Constants!$B$17,$T419=INT($T419)),$T419,""),"")))</f>
        <v/>
      </c>
      <c r="AN419" s="87" t="str">
        <f aca="false">IF(ISBLANK($C419),"",IF(ISBLANK($U419),0,IF(ISNUMBER($U419),IF($U419&gt;=0,$U419,""),"")))</f>
        <v/>
      </c>
      <c r="AO419" s="86" t="str">
        <f aca="false">IF(ISBLANK($C419),"",IF($V419=Constants!$B$2,TRUE(),IF($V419=Constants!$B$3,FALSE(),FALSE())))</f>
        <v/>
      </c>
      <c r="AP419" s="86"/>
      <c r="AQ419" s="85" t="str">
        <f aca="false">IF(ISBLANK($C419),"",AND($Y419,OR($AS419,$BC419),OR($Z419="",$AA419="",$AB419="")))</f>
        <v/>
      </c>
      <c r="AR419" s="85" t="str">
        <f aca="false">IF(ISBLANK($C419),"",IF(OR(NOT($Y419),NOT(OR($AS419,$BC419))),"",IF(ISBLANK($D$7),$AR$5,IF($AP$9="",$AR$6,""))))</f>
        <v/>
      </c>
      <c r="AS419" s="85" t="str">
        <f aca="false">IF(ISBLANK($C419),"",COUNTA($J419:$O419)&gt;0)</f>
        <v/>
      </c>
      <c r="AT419" s="85" t="str">
        <f aca="false">IF(ISBLANK($C419),"",AND($AS419,OR(AND($AF419="",OR($AE419,NOT(ISBLANK($M419)))),$AG419="",$AH419="")))</f>
        <v/>
      </c>
      <c r="AU419" s="87" t="str">
        <f aca="false">IF($BL419&lt;&gt;Constants!$B$4,"",IF(NOT($AS419),"",ROUND((Constants!$B$12-$AB419)+(Constants!$B$13-$Z419)+(Constants!$B$14-$AA419),1)))</f>
        <v/>
      </c>
      <c r="AV419" s="90" t="str">
        <f aca="false">IF($BL419&lt;&gt;Constants!$B$4,"",IF(NOT($AS419),"",IF(NOT($AE419),0,Constants!$B$15*(INT(ROUND(MIN($AF419,$AP$9),6))-INT(ROUND(MAX(0,MIN($AF419,2*$AP$9)-$AP$9),6))))))</f>
        <v/>
      </c>
      <c r="AW419" s="90" t="str">
        <f aca="false">IF($BL419&lt;&gt;Constants!$B$4,"",IF(NOT($AS419),"",Constants!$B$16*$AG419))</f>
        <v/>
      </c>
      <c r="AX419" s="90" t="str">
        <f aca="false">IF($BL419&lt;&gt;Constants!$B$4,"",IF(NOT($AS419),"",Constants!$B$18*INT(ROUND($AH419,6))))</f>
        <v/>
      </c>
      <c r="AY419" s="85" t="str">
        <f aca="false">IF($BL419&lt;&gt;Constants!$B$4,"",IF(NOT($AS419),"",IF(NOT($X419),Constants!$B$11,IF(OR(NOT($AC419),NOT($AD419),ROUND($AB419,1)&gt;Constants!$B$12,ROUND($Z419,1)&gt;Constants!$B$13,ROUND($AA419,1)&gt;Constants!$B$14),Constants!$B$10,Constants!$B$9))))</f>
        <v/>
      </c>
      <c r="AZ419" s="91" t="str">
        <f aca="false">IF($BL419&lt;&gt;Constants!$B$4,"",IF(NOT($AS419),"",ROUND($AU419+$AV419+$AW419+$AX419,1)))</f>
        <v/>
      </c>
      <c r="BA419" s="92" t="str">
        <f aca="false">IF($BL419&lt;&gt;Constants!$B$4,"",IF(NOT($AS419),"",IF(ISNUMBER($AF419),$AF419,0)))</f>
        <v/>
      </c>
      <c r="BB419" s="86" t="str">
        <f aca="false">IF($BL419&lt;&gt;Constants!$B$4,"",IF(NOT($BC419),"&lt;-",IF(NOT($AS419),"-&gt;",IF(OR($BI419&lt;$AY419,AND($BI419=$AY419,OR($BJ419&gt;$AZ419,AND($BJ419=$AZ419,OR($BH419&gt;$AX419,AND($BH419=$AX419,OR($BE419&gt;$AU419,AND($BE419=$AU419,OR($BF419&gt;$AV419,AND($BF419=$AV419,$BK419&gt;$BA419)))))))))),"-&gt;","&lt;-"))))</f>
        <v/>
      </c>
      <c r="BC419" s="85" t="str">
        <f aca="false">IF(ISBLANK($C419),"",COUNTA($P419:$U419)&gt;0)</f>
        <v/>
      </c>
      <c r="BD419" s="85" t="str">
        <f aca="false">IF(ISBLANK($C419),"",AND($BC419,OR(AND($AL419="",OR($AK419,NOT(ISBLANK($S419)))),$AM419="",$AN419="")))</f>
        <v/>
      </c>
      <c r="BE419" s="87" t="str">
        <f aca="false">IF($BL419&lt;&gt;Constants!$B$4,"",IF(NOT($BC419),"",ROUND((Constants!$B$12-$AB419)+(Constants!$B$13-$Z419)+(Constants!$B$14-$AA419),1)))</f>
        <v/>
      </c>
      <c r="BF419" s="90" t="str">
        <f aca="false">IF($BL419&lt;&gt;Constants!$B$4,"",IF(NOT($BC419),"",IF(NOT($AK419),0,Constants!$B$15*(INT(ROUND(MIN($AL419,$AP$9),6))-INT(ROUND(MAX(0,MIN($AL419,2*$AP$9)-$AP$9),6))))))</f>
        <v/>
      </c>
      <c r="BG419" s="90" t="str">
        <f aca="false">IF($BL419&lt;&gt;Constants!$B$4,"",IF(NOT($BC419),"",Constants!$B$16*$AM419))</f>
        <v/>
      </c>
      <c r="BH419" s="90" t="str">
        <f aca="false">IF($BL419&lt;&gt;Constants!$B$4,"",IF(NOT($BC419),"",Constants!$B$18*INT(ROUND($AN419,6))))</f>
        <v/>
      </c>
      <c r="BI419" s="85" t="str">
        <f aca="false">IF($BL419&lt;&gt;Constants!$B$4,"",IF(NOT($BC419),"",IF(NOT($X419),Constants!$B$11,IF(OR(NOT($AI419),NOT($AJ419),ROUND($AB419,1)&gt;Constants!$B$12,ROUND($Z419,1)&gt;Constants!$B$13,ROUND($AA419,1)&gt;Constants!$B$14),Constants!$B$10,Constants!$B$9))))</f>
        <v/>
      </c>
      <c r="BJ419" s="91" t="str">
        <f aca="false">IF($BL419&lt;&gt;Constants!$B$4,"",IF(NOT($BC419),"",ROUND($BE419+$BF419+$BG419+$BH419,1)))</f>
        <v/>
      </c>
      <c r="BK419" s="92" t="str">
        <f aca="false">IF($BL419&lt;&gt;Constants!$B$4,"",IF(NOT($BC419),"",IF(ISNUMBER($AL419),$AL419,0)))</f>
        <v/>
      </c>
      <c r="BL419" s="86" t="str">
        <f aca="false">IF(ISBLANK($C419),"",IF($AO419,Constants!$B$7,IF(COUNTA($E419:$V419)=0,Constants!$B$6,IF(NOT($Y419),Constants!$B$5,IF(NOT(OR($AS419,$BC419)),Constants!$B$5,IF(OR($AT419,$BD419,$AQ419,$AR419&lt;&gt;""),Constants!$B$8,Constants!$B$4))))))</f>
        <v/>
      </c>
      <c r="BM419" s="86" t="str">
        <f aca="false">IF(ISBLANK($C419),"",IF($BL419&lt;&gt;Constants!$B$4,$BL419,IF($BB419="-&gt;",$BI419,$AY419)))</f>
        <v/>
      </c>
      <c r="BN419" s="90" t="str">
        <f aca="false">IF($BL419&lt;&gt;Constants!$B$4,"",IF($BB419="-&gt;",$BJ419,$AZ419))</f>
        <v/>
      </c>
      <c r="BO419" s="90" t="str">
        <f aca="false">IF(ISBLANK($C419),"",IF($BL419&lt;&gt;Constants!$B$4,$BL419,$BN419))</f>
        <v/>
      </c>
      <c r="BP419" s="86" t="str">
        <f aca="false">IF(ISBLANK($C419),"",IF($BL419&lt;&gt;Constants!$B$4,$BL419,RANK($BO419,$BO$9:$BO$508,0)))</f>
        <v/>
      </c>
      <c r="BQ419" s="86" t="str">
        <f aca="false">IF(ISBLANK($C419),"",IF($BL419&lt;&gt;Constants!$B$4,$BL419,COUNTIFS($BM$9:$BM$508,"&lt;"&amp;$BM419)+COUNTIFS($BM$9:$BM$508,$BM419,$BP$9:$BP$508,"&lt;"&amp;$BP419)+1))</f>
        <v/>
      </c>
      <c r="BR419" s="90" t="str">
        <f aca="false">IF($BL419&lt;&gt;Constants!$B$4,"",IF($BB419="-&gt;",$BH419,$AX419))</f>
        <v/>
      </c>
      <c r="BS419" s="86" t="str">
        <f aca="false">IF(ISBLANK($C419),"",IF($BL419&lt;&gt;Constants!$B$4,$BL419,IF(ISNUMBER($BR419),RANK($BR419,$BR$9:$BR$508,0),COUNT($BR$9:$BR$508)+1)))</f>
        <v/>
      </c>
      <c r="BT419" s="90" t="str">
        <f aca="false">IF($BL419&lt;&gt;Constants!$B$4,"",IF($BB419="-&gt;",$BE419,$AU419))</f>
        <v/>
      </c>
      <c r="BU419" s="86" t="str">
        <f aca="false">IF(ISBLANK($C419),"",IF($BL419&lt;&gt;Constants!$B$4,$BL419,IF(ISNUMBER($BT419),RANK($BT419,$BT$9:$BT$508,0),COUNT($BT$9:$BT$508)+1)))</f>
        <v/>
      </c>
      <c r="BV419" s="90" t="str">
        <f aca="false">IF($BL419&lt;&gt;Constants!$B$4,"",IF($BB419="-&gt;",$BF419,$AV419))</f>
        <v/>
      </c>
      <c r="BW419" s="86" t="str">
        <f aca="false">IF(ISBLANK($C419),"",IF($BL419&lt;&gt;Constants!$B$4,$BL419,IF(ISNUMBER($BV419),RANK($BV419,$BV$9:$BV$508,0),COUNT($BV$9:$BV$508)+1)))</f>
        <v/>
      </c>
      <c r="BX419" s="90" t="str">
        <f aca="false">IF($BL419&lt;&gt;Constants!$B$4,"",IF($BB419="-&gt;",$BK419,$BA419))</f>
        <v/>
      </c>
      <c r="BY419" s="86" t="str">
        <f aca="false">IF(ISBLANK($C419),"",IF($BL419&lt;&gt;Constants!$B$4,$BL419,IF(ISNUMBER($BX419),RANK($BX419,$BX$9:$BX$508,0),COUNT($BX$9:$BX$508)+1)))</f>
        <v/>
      </c>
      <c r="BZ419" s="86" t="str">
        <f aca="false">IF(ISBLANK($C419),"",IF($BL419&lt;&gt;Constants!$B$4,$BL419,COUNTIFS($BM$9:$BM$508,"&lt;"&amp;$BM419)+COUNTIFS($BM$9:$BM$508,$BM419,$BP$9:$BP$508,"&lt;"&amp;$BP419)+COUNTIFS($BM$9:$BM$508,$BM419,$BP$9:$BP$508,$BP419,$BS$9:$BS$508,"&lt;"&amp;$BS419)+COUNTIFS($BM$9:$BM$508,$BM419,$BP$9:$BP$508,$BP419,$BS$9:$BS$508,$BS419,$BU$9:$BU$508,"&lt;"&amp;$BU419)+COUNTIFS($BM$9:$BM$508,$BM419,$BP$9:$BP$508,$BP419,$BS$9:$BS$508,$BS419,$BU$9:$BU$508,$BU419,$BW$9:$BW$508,"&lt;"&amp;$BW419)+COUNTIFS($BM$9:$BM$508,$BM419,$BP$9:$BP$508,$BP419,$BS$9:$BS$508,$BS419,$BU$9:$BU$508,$BU419,$BW$9:$BW$508,$BW419,$BY$9:$BY$508,"&lt;"&amp;$BY419)+1))</f>
        <v/>
      </c>
      <c r="CA419" s="86" t="str">
        <f aca="false">IF(ISBLANK($C419),"",IF($BL419&lt;&gt;Constants!$B$4,$BL419,$BQ419-$BZ419))</f>
        <v/>
      </c>
      <c r="CB419" s="93"/>
      <c r="CC419" s="94" t="str">
        <f aca="false">IF(ISBLANK($C419),"",IF($BL419=Constants!$B$8,$AR419,""))</f>
        <v/>
      </c>
      <c r="CD419" s="94" t="str">
        <f aca="false">IF(ISBLANK($C419),"",IF($BL419&lt;&gt;Constants!$B$4,"",IF($BB419="-&gt;",2,1)))</f>
        <v/>
      </c>
      <c r="CE419" s="95" t="str">
        <f aca="false">IF(ISBLANK($C419),"",IF($BL419&lt;&gt;Constants!$B$4,"",IF($BB419="-&gt;",$BE419,$AU419)))</f>
        <v/>
      </c>
      <c r="CF419" s="95" t="str">
        <f aca="false">IF(ISBLANK($C419),"",IF($BL419&lt;&gt;Constants!$B$4,"",IF($BB419="-&gt;",$BF419,$AV419)))</f>
        <v/>
      </c>
      <c r="CG419" s="95" t="str">
        <f aca="false">IF(ISBLANK($C419),"",IF($BL419&lt;&gt;Constants!$B$4,"",IF($BB419="-&gt;",$BG419,$AW419)))</f>
        <v/>
      </c>
      <c r="CH419" s="95" t="str">
        <f aca="false">IF(ISBLANK($C419),"",IF($BL419&lt;&gt;Constants!$B$4,"",IF($BB419="-&gt;",$BH419,$AX419)))</f>
        <v/>
      </c>
      <c r="CI419" s="96" t="str">
        <f aca="false">IF(ISBLANK($C419),"",$BO419)</f>
        <v/>
      </c>
      <c r="CJ419" s="97" t="str">
        <f aca="false">IF(ISBLANK($C419),"",$BM419)</f>
        <v/>
      </c>
      <c r="CK419" s="98" t="str">
        <f aca="false">IF(ISBLANK($C419),"",$CA419)</f>
        <v/>
      </c>
      <c r="CL419" s="98" t="str">
        <f aca="false">IF(ISBLANK($C419),"",$BZ419)</f>
        <v/>
      </c>
      <c r="CM419" s="99" t="str">
        <f aca="false">IF(ISBLANK($C419),"",IF($CL419=Constants!$B$7,COUNTA($C$9:$C$508)+2,IF($CL419=Constants!$B$6,COUNTA($C$9:$C$508)+1,IF($CL419=Constants!$B$5,COUNTA($C$9:$C$508),$CL419))))</f>
        <v/>
      </c>
      <c r="CN419" s="8"/>
      <c r="CO419" s="100" t="n">
        <f aca="false">IF(OR(ISNUMBER($CL419),$CL419=Constants!$B$7,$CL419=Constants!$B$5,$CL419=Constants!$B$6),1,0)</f>
        <v>0</v>
      </c>
      <c r="CP419" s="100" t="n">
        <v>411</v>
      </c>
      <c r="CQ419" s="100" t="str">
        <f aca="false">IF(ISBLANK($C419),"",IF(ISNUMBER($CM419),$CM419+ROW($B419)/1000,""))</f>
        <v/>
      </c>
      <c r="CR419" s="100" t="str">
        <f aca="false">IF(ISNUMBER($CQ419),RANK($CQ419,$CQ$9:$CQ$508,1),"")</f>
        <v/>
      </c>
      <c r="CS419" s="100" t="str">
        <f aca="false">IF(ISBLANK($C419),"",$B419)</f>
        <v/>
      </c>
      <c r="CT419" s="100" t="str">
        <f aca="false">IF(ISBLANK($C419),"",$C419)</f>
        <v/>
      </c>
      <c r="CU419" s="100" t="str">
        <f aca="false">IF(ISBLANK($C419),"",$D419)</f>
        <v/>
      </c>
      <c r="CV419" s="101" t="str">
        <f aca="false">$CJ419</f>
        <v/>
      </c>
      <c r="CW419" s="102" t="str">
        <f aca="false">$CI419</f>
        <v/>
      </c>
      <c r="CX419" s="100" t="str">
        <f aca="false">IF(ISBLANK($C419),"",$CL419)</f>
        <v/>
      </c>
      <c r="CY419" s="103" t="str">
        <f aca="false">IF($CP419&gt;$CO$8,"",VLOOKUP($CP419,$CR$9:$CX$508,7,FALSE()))</f>
        <v/>
      </c>
      <c r="CZ419" s="104" t="str">
        <f aca="false">IF($CP419&gt;$CO$8,"",VLOOKUP($CP419,$CR$9:$CX$508,2,FALSE()))</f>
        <v/>
      </c>
      <c r="DA419" s="104" t="str">
        <f aca="false">IF($CP419&gt;$CO$8,"",VLOOKUP($CP419,$CR$9:$CX$508,3,FALSE()))</f>
        <v/>
      </c>
      <c r="DB419" s="104" t="str">
        <f aca="false">IF($CP419&gt;$CO$8,"",VLOOKUP($CP419,$CR$9:$CX$508,4,FALSE()))</f>
        <v/>
      </c>
      <c r="DC419" s="104" t="str">
        <f aca="false">IF($CP419&gt;$CO$8,"",VLOOKUP($CP419,$CR$9:$CX$508,5,FALSE()))</f>
        <v/>
      </c>
      <c r="DD419" s="105" t="str">
        <f aca="false">IF($CP419&gt;$CO$8,"",VLOOKUP($CP419,$CR$9:$CX$508,6,FALSE()))</f>
        <v/>
      </c>
      <c r="DE419" s="70"/>
    </row>
    <row r="420" customFormat="false" ht="15.75" hidden="false" customHeight="false" outlineLevel="0" collapsed="false">
      <c r="A420" s="8"/>
      <c r="B420" s="146"/>
      <c r="C420" s="147"/>
      <c r="D420" s="148"/>
      <c r="E420" s="164"/>
      <c r="F420" s="150"/>
      <c r="G420" s="115"/>
      <c r="H420" s="115"/>
      <c r="I420" s="115"/>
      <c r="J420" s="165"/>
      <c r="K420" s="154"/>
      <c r="L420" s="154"/>
      <c r="M420" s="118"/>
      <c r="N420" s="154"/>
      <c r="O420" s="153"/>
      <c r="P420" s="154"/>
      <c r="Q420" s="154"/>
      <c r="R420" s="154"/>
      <c r="S420" s="115"/>
      <c r="T420" s="154"/>
      <c r="U420" s="153"/>
      <c r="V420" s="154"/>
      <c r="W420" s="123"/>
      <c r="X420" s="124" t="str">
        <f aca="false">IF(ISBLANK($C420),"",IF($E420=Constants!$B$2,TRUE(),IF($E420=Constants!$B$3,FALSE(),TRUE())))</f>
        <v/>
      </c>
      <c r="Y420" s="124" t="str">
        <f aca="false">IF(ISBLANK($C420),"",IF($F420=Constants!$B$2,TRUE(),IF($F420=Constants!$B$3,FALSE(),TRUE())))</f>
        <v/>
      </c>
      <c r="Z420" s="125" t="str">
        <f aca="false">IF(ISBLANK($C420),"",IF(ISNUMBER($G420),IF($G420&gt;=0,$G420,""),""))</f>
        <v/>
      </c>
      <c r="AA420" s="125" t="str">
        <f aca="false">IF(ISBLANK($C420),"",IF(ISNUMBER($H420),IF($H420&gt;=0,$H420,""),""))</f>
        <v/>
      </c>
      <c r="AB420" s="125" t="str">
        <f aca="false">IF(ISBLANK($C420),"",IF(ISNUMBER($I420),IF($I420&gt;=0,$I420,""),""))</f>
        <v/>
      </c>
      <c r="AC420" s="124" t="str">
        <f aca="false">IF(ISBLANK($C420),"",IF($J420=Constants!$B$2,TRUE(),IF($J420=Constants!$B$3,FALSE(),TRUE())))</f>
        <v/>
      </c>
      <c r="AD420" s="124" t="str">
        <f aca="false">IF(ISBLANK($C420),"",IF($K420=Constants!$B$2,TRUE(),IF($K420=Constants!$B$3,FALSE(),TRUE())))</f>
        <v/>
      </c>
      <c r="AE420" s="124" t="str">
        <f aca="false">IF(ISBLANK($C420),"",IF($L420=Constants!$B$2,TRUE(),IF($L420=Constants!$B$3,FALSE(),TRUE())))</f>
        <v/>
      </c>
      <c r="AF420" s="126" t="str">
        <f aca="false">IF(ISBLANK($C420),"",IF(ISNUMBER($M420),IF($M420&gt;=0,$M420,""),""))</f>
        <v/>
      </c>
      <c r="AG420" s="124" t="str">
        <f aca="false">IF(ISBLANK($C420),"",IF(ISBLANK($N420),0,IF(ISNUMBER($N420),IF(AND($N420&gt;=0,$N420&lt;=Constants!$B$17,$N420=INT($N420)),$N420,""),"")))</f>
        <v/>
      </c>
      <c r="AH420" s="125" t="str">
        <f aca="false">IF(ISBLANK($C420),"",IF(ISBLANK($O420),0,IF(ISNUMBER($O420),IF($O420&gt;=0,$O420,""),"")))</f>
        <v/>
      </c>
      <c r="AI420" s="124" t="str">
        <f aca="false">IF(ISBLANK($C420),"",IF($P420=Constants!$B$2,TRUE(),IF($P420=Constants!$B$3,FALSE(),TRUE())))</f>
        <v/>
      </c>
      <c r="AJ420" s="124" t="str">
        <f aca="false">IF(ISBLANK($C420),"",IF($Q420=Constants!$B$2,TRUE(),IF($Q420=Constants!$B$3,FALSE(),TRUE())))</f>
        <v/>
      </c>
      <c r="AK420" s="124" t="str">
        <f aca="false">IF(ISBLANK($C420),"",IF($R420=Constants!$B$2,TRUE(),IF($R420=Constants!$B$3,FALSE(),TRUE())))</f>
        <v/>
      </c>
      <c r="AL420" s="126" t="str">
        <f aca="false">IF(ISBLANK($C420),"",IF(ISNUMBER($S420),IF($S420&gt;=0,$S420,""),""))</f>
        <v/>
      </c>
      <c r="AM420" s="124" t="str">
        <f aca="false">IF(ISBLANK($C420),"",IF(ISBLANK($T420),0,IF(ISNUMBER($T420),IF(AND($T420&gt;=0,$T420&lt;=Constants!$B$17,$T420=INT($T420)),$T420,""),"")))</f>
        <v/>
      </c>
      <c r="AN420" s="125" t="str">
        <f aca="false">IF(ISBLANK($C420),"",IF(ISBLANK($U420),0,IF(ISNUMBER($U420),IF($U420&gt;=0,$U420,""),"")))</f>
        <v/>
      </c>
      <c r="AO420" s="124" t="str">
        <f aca="false">IF(ISBLANK($C420),"",IF($V420=Constants!$B$2,TRUE(),IF($V420=Constants!$B$3,FALSE(),FALSE())))</f>
        <v/>
      </c>
      <c r="AP420" s="124"/>
      <c r="AQ420" s="123" t="str">
        <f aca="false">IF(ISBLANK($C420),"",AND($Y420,OR($AS420,$BC420),OR($Z420="",$AA420="",$AB420="")))</f>
        <v/>
      </c>
      <c r="AR420" s="123" t="str">
        <f aca="false">IF(ISBLANK($C420),"",IF(OR(NOT($Y420),NOT(OR($AS420,$BC420))),"",IF(ISBLANK($D$7),$AR$5,IF($AP$9="",$AR$6,""))))</f>
        <v/>
      </c>
      <c r="AS420" s="123" t="str">
        <f aca="false">IF(ISBLANK($C420),"",COUNTA($J420:$O420)&gt;0)</f>
        <v/>
      </c>
      <c r="AT420" s="123" t="str">
        <f aca="false">IF(ISBLANK($C420),"",AND($AS420,OR(AND($AF420="",OR($AE420,NOT(ISBLANK($M420)))),$AG420="",$AH420="")))</f>
        <v/>
      </c>
      <c r="AU420" s="125" t="str">
        <f aca="false">IF($BL420&lt;&gt;Constants!$B$4,"",IF(NOT($AS420),"",ROUND((Constants!$B$12-$AB420)+(Constants!$B$13-$Z420)+(Constants!$B$14-$AA420),1)))</f>
        <v/>
      </c>
      <c r="AV420" s="127" t="str">
        <f aca="false">IF($BL420&lt;&gt;Constants!$B$4,"",IF(NOT($AS420),"",IF(NOT($AE420),0,Constants!$B$15*(INT(ROUND(MIN($AF420,$AP$9),6))-INT(ROUND(MAX(0,MIN($AF420,2*$AP$9)-$AP$9),6))))))</f>
        <v/>
      </c>
      <c r="AW420" s="127" t="str">
        <f aca="false">IF($BL420&lt;&gt;Constants!$B$4,"",IF(NOT($AS420),"",Constants!$B$16*$AG420))</f>
        <v/>
      </c>
      <c r="AX420" s="127" t="str">
        <f aca="false">IF($BL420&lt;&gt;Constants!$B$4,"",IF(NOT($AS420),"",Constants!$B$18*INT(ROUND($AH420,6))))</f>
        <v/>
      </c>
      <c r="AY420" s="123" t="str">
        <f aca="false">IF($BL420&lt;&gt;Constants!$B$4,"",IF(NOT($AS420),"",IF(NOT($X420),Constants!$B$11,IF(OR(NOT($AC420),NOT($AD420),ROUND($AB420,1)&gt;Constants!$B$12,ROUND($Z420,1)&gt;Constants!$B$13,ROUND($AA420,1)&gt;Constants!$B$14),Constants!$B$10,Constants!$B$9))))</f>
        <v/>
      </c>
      <c r="AZ420" s="128" t="str">
        <f aca="false">IF($BL420&lt;&gt;Constants!$B$4,"",IF(NOT($AS420),"",ROUND($AU420+$AV420+$AW420+$AX420,1)))</f>
        <v/>
      </c>
      <c r="BA420" s="129" t="str">
        <f aca="false">IF($BL420&lt;&gt;Constants!$B$4,"",IF(NOT($AS420),"",IF(ISNUMBER($AF420),$AF420,0)))</f>
        <v/>
      </c>
      <c r="BB420" s="124" t="str">
        <f aca="false">IF($BL420&lt;&gt;Constants!$B$4,"",IF(NOT($BC420),"&lt;-",IF(NOT($AS420),"-&gt;",IF(OR($BI420&lt;$AY420,AND($BI420=$AY420,OR($BJ420&gt;$AZ420,AND($BJ420=$AZ420,OR($BH420&gt;$AX420,AND($BH420=$AX420,OR($BE420&gt;$AU420,AND($BE420=$AU420,OR($BF420&gt;$AV420,AND($BF420=$AV420,$BK420&gt;$BA420)))))))))),"-&gt;","&lt;-"))))</f>
        <v/>
      </c>
      <c r="BC420" s="123" t="str">
        <f aca="false">IF(ISBLANK($C420),"",COUNTA($P420:$U420)&gt;0)</f>
        <v/>
      </c>
      <c r="BD420" s="123" t="str">
        <f aca="false">IF(ISBLANK($C420),"",AND($BC420,OR(AND($AL420="",OR($AK420,NOT(ISBLANK($S420)))),$AM420="",$AN420="")))</f>
        <v/>
      </c>
      <c r="BE420" s="125" t="str">
        <f aca="false">IF($BL420&lt;&gt;Constants!$B$4,"",IF(NOT($BC420),"",ROUND((Constants!$B$12-$AB420)+(Constants!$B$13-$Z420)+(Constants!$B$14-$AA420),1)))</f>
        <v/>
      </c>
      <c r="BF420" s="127" t="str">
        <f aca="false">IF($BL420&lt;&gt;Constants!$B$4,"",IF(NOT($BC420),"",IF(NOT($AK420),0,Constants!$B$15*(INT(ROUND(MIN($AL420,$AP$9),6))-INT(ROUND(MAX(0,MIN($AL420,2*$AP$9)-$AP$9),6))))))</f>
        <v/>
      </c>
      <c r="BG420" s="127" t="str">
        <f aca="false">IF($BL420&lt;&gt;Constants!$B$4,"",IF(NOT($BC420),"",Constants!$B$16*$AM420))</f>
        <v/>
      </c>
      <c r="BH420" s="127" t="str">
        <f aca="false">IF($BL420&lt;&gt;Constants!$B$4,"",IF(NOT($BC420),"",Constants!$B$18*INT(ROUND($AN420,6))))</f>
        <v/>
      </c>
      <c r="BI420" s="123" t="str">
        <f aca="false">IF($BL420&lt;&gt;Constants!$B$4,"",IF(NOT($BC420),"",IF(NOT($X420),Constants!$B$11,IF(OR(NOT($AI420),NOT($AJ420),ROUND($AB420,1)&gt;Constants!$B$12,ROUND($Z420,1)&gt;Constants!$B$13,ROUND($AA420,1)&gt;Constants!$B$14),Constants!$B$10,Constants!$B$9))))</f>
        <v/>
      </c>
      <c r="BJ420" s="128" t="str">
        <f aca="false">IF($BL420&lt;&gt;Constants!$B$4,"",IF(NOT($BC420),"",ROUND($BE420+$BF420+$BG420+$BH420,1)))</f>
        <v/>
      </c>
      <c r="BK420" s="129" t="str">
        <f aca="false">IF($BL420&lt;&gt;Constants!$B$4,"",IF(NOT($BC420),"",IF(ISNUMBER($AL420),$AL420,0)))</f>
        <v/>
      </c>
      <c r="BL420" s="124" t="str">
        <f aca="false">IF(ISBLANK($C420),"",IF($AO420,Constants!$B$7,IF(COUNTA($E420:$V420)=0,Constants!$B$6,IF(NOT($Y420),Constants!$B$5,IF(NOT(OR($AS420,$BC420)),Constants!$B$5,IF(OR($AT420,$BD420,$AQ420,$AR420&lt;&gt;""),Constants!$B$8,Constants!$B$4))))))</f>
        <v/>
      </c>
      <c r="BM420" s="124" t="str">
        <f aca="false">IF(ISBLANK($C420),"",IF($BL420&lt;&gt;Constants!$B$4,$BL420,IF($BB420="-&gt;",$BI420,$AY420)))</f>
        <v/>
      </c>
      <c r="BN420" s="127" t="str">
        <f aca="false">IF($BL420&lt;&gt;Constants!$B$4,"",IF($BB420="-&gt;",$BJ420,$AZ420))</f>
        <v/>
      </c>
      <c r="BO420" s="127" t="str">
        <f aca="false">IF(ISBLANK($C420),"",IF($BL420&lt;&gt;Constants!$B$4,$BL420,$BN420))</f>
        <v/>
      </c>
      <c r="BP420" s="124" t="str">
        <f aca="false">IF(ISBLANK($C420),"",IF($BL420&lt;&gt;Constants!$B$4,$BL420,RANK($BO420,$BO$9:$BO$508,0)))</f>
        <v/>
      </c>
      <c r="BQ420" s="124" t="str">
        <f aca="false">IF(ISBLANK($C420),"",IF($BL420&lt;&gt;Constants!$B$4,$BL420,COUNTIFS($BM$9:$BM$508,"&lt;"&amp;$BM420)+COUNTIFS($BM$9:$BM$508,$BM420,$BP$9:$BP$508,"&lt;"&amp;$BP420)+1))</f>
        <v/>
      </c>
      <c r="BR420" s="127" t="str">
        <f aca="false">IF($BL420&lt;&gt;Constants!$B$4,"",IF($BB420="-&gt;",$BH420,$AX420))</f>
        <v/>
      </c>
      <c r="BS420" s="124" t="str">
        <f aca="false">IF(ISBLANK($C420),"",IF($BL420&lt;&gt;Constants!$B$4,$BL420,IF(ISNUMBER($BR420),RANK($BR420,$BR$9:$BR$508,0),COUNT($BR$9:$BR$508)+1)))</f>
        <v/>
      </c>
      <c r="BT420" s="127" t="str">
        <f aca="false">IF($BL420&lt;&gt;Constants!$B$4,"",IF($BB420="-&gt;",$BE420,$AU420))</f>
        <v/>
      </c>
      <c r="BU420" s="124" t="str">
        <f aca="false">IF(ISBLANK($C420),"",IF($BL420&lt;&gt;Constants!$B$4,$BL420,IF(ISNUMBER($BT420),RANK($BT420,$BT$9:$BT$508,0),COUNT($BT$9:$BT$508)+1)))</f>
        <v/>
      </c>
      <c r="BV420" s="127" t="str">
        <f aca="false">IF($BL420&lt;&gt;Constants!$B$4,"",IF($BB420="-&gt;",$BF420,$AV420))</f>
        <v/>
      </c>
      <c r="BW420" s="124" t="str">
        <f aca="false">IF(ISBLANK($C420),"",IF($BL420&lt;&gt;Constants!$B$4,$BL420,IF(ISNUMBER($BV420),RANK($BV420,$BV$9:$BV$508,0),COUNT($BV$9:$BV$508)+1)))</f>
        <v/>
      </c>
      <c r="BX420" s="127" t="str">
        <f aca="false">IF($BL420&lt;&gt;Constants!$B$4,"",IF($BB420="-&gt;",$BK420,$BA420))</f>
        <v/>
      </c>
      <c r="BY420" s="124" t="str">
        <f aca="false">IF(ISBLANK($C420),"",IF($BL420&lt;&gt;Constants!$B$4,$BL420,IF(ISNUMBER($BX420),RANK($BX420,$BX$9:$BX$508,0),COUNT($BX$9:$BX$508)+1)))</f>
        <v/>
      </c>
      <c r="BZ420" s="124" t="str">
        <f aca="false">IF(ISBLANK($C420),"",IF($BL420&lt;&gt;Constants!$B$4,$BL420,COUNTIFS($BM$9:$BM$508,"&lt;"&amp;$BM420)+COUNTIFS($BM$9:$BM$508,$BM420,$BP$9:$BP$508,"&lt;"&amp;$BP420)+COUNTIFS($BM$9:$BM$508,$BM420,$BP$9:$BP$508,$BP420,$BS$9:$BS$508,"&lt;"&amp;$BS420)+COUNTIFS($BM$9:$BM$508,$BM420,$BP$9:$BP$508,$BP420,$BS$9:$BS$508,$BS420,$BU$9:$BU$508,"&lt;"&amp;$BU420)+COUNTIFS($BM$9:$BM$508,$BM420,$BP$9:$BP$508,$BP420,$BS$9:$BS$508,$BS420,$BU$9:$BU$508,$BU420,$BW$9:$BW$508,"&lt;"&amp;$BW420)+COUNTIFS($BM$9:$BM$508,$BM420,$BP$9:$BP$508,$BP420,$BS$9:$BS$508,$BS420,$BU$9:$BU$508,$BU420,$BW$9:$BW$508,$BW420,$BY$9:$BY$508,"&lt;"&amp;$BY420)+1))</f>
        <v/>
      </c>
      <c r="CA420" s="124" t="str">
        <f aca="false">IF(ISBLANK($C420),"",IF($BL420&lt;&gt;Constants!$B$4,$BL420,$BQ420-$BZ420))</f>
        <v/>
      </c>
      <c r="CB420" s="130"/>
      <c r="CC420" s="131" t="str">
        <f aca="false">IF(ISBLANK($C420),"",IF($BL420=Constants!$B$8,$AR420,""))</f>
        <v/>
      </c>
      <c r="CD420" s="131" t="str">
        <f aca="false">IF(ISBLANK($C420),"",IF($BL420&lt;&gt;Constants!$B$4,"",IF($BB420="-&gt;",2,1)))</f>
        <v/>
      </c>
      <c r="CE420" s="132" t="str">
        <f aca="false">IF(ISBLANK($C420),"",IF($BL420&lt;&gt;Constants!$B$4,"",IF($BB420="-&gt;",$BE420,$AU420)))</f>
        <v/>
      </c>
      <c r="CF420" s="132" t="str">
        <f aca="false">IF(ISBLANK($C420),"",IF($BL420&lt;&gt;Constants!$B$4,"",IF($BB420="-&gt;",$BF420,$AV420)))</f>
        <v/>
      </c>
      <c r="CG420" s="132" t="str">
        <f aca="false">IF(ISBLANK($C420),"",IF($BL420&lt;&gt;Constants!$B$4,"",IF($BB420="-&gt;",$BG420,$AW420)))</f>
        <v/>
      </c>
      <c r="CH420" s="132" t="str">
        <f aca="false">IF(ISBLANK($C420),"",IF($BL420&lt;&gt;Constants!$B$4,"",IF($BB420="-&gt;",$BH420,$AX420)))</f>
        <v/>
      </c>
      <c r="CI420" s="133" t="str">
        <f aca="false">IF(ISBLANK($C420),"",$BO420)</f>
        <v/>
      </c>
      <c r="CJ420" s="134" t="str">
        <f aca="false">IF(ISBLANK($C420),"",$BM420)</f>
        <v/>
      </c>
      <c r="CK420" s="135" t="str">
        <f aca="false">IF(ISBLANK($C420),"",$CA420)</f>
        <v/>
      </c>
      <c r="CL420" s="135" t="str">
        <f aca="false">IF(ISBLANK($C420),"",$BZ420)</f>
        <v/>
      </c>
      <c r="CM420" s="136" t="str">
        <f aca="false">IF(ISBLANK($C420),"",IF($CL420=Constants!$B$7,COUNTA($C$9:$C$508)+2,IF($CL420=Constants!$B$6,COUNTA($C$9:$C$508)+1,IF($CL420=Constants!$B$5,COUNTA($C$9:$C$508),$CL420))))</f>
        <v/>
      </c>
      <c r="CN420" s="8"/>
      <c r="CO420" s="137" t="n">
        <f aca="false">IF(OR(ISNUMBER($CL420),$CL420=Constants!$B$7,$CL420=Constants!$B$5,$CL420=Constants!$B$6),1,0)</f>
        <v>0</v>
      </c>
      <c r="CP420" s="137" t="n">
        <v>412</v>
      </c>
      <c r="CQ420" s="137" t="str">
        <f aca="false">IF(ISBLANK($C420),"",IF(ISNUMBER($CM420),$CM420+ROW($B420)/1000,""))</f>
        <v/>
      </c>
      <c r="CR420" s="137" t="str">
        <f aca="false">IF(ISNUMBER($CQ420),RANK($CQ420,$CQ$9:$CQ$508,1),"")</f>
        <v/>
      </c>
      <c r="CS420" s="137" t="str">
        <f aca="false">IF(ISBLANK($C420),"",$B420)</f>
        <v/>
      </c>
      <c r="CT420" s="137" t="str">
        <f aca="false">IF(ISBLANK($C420),"",$C420)</f>
        <v/>
      </c>
      <c r="CU420" s="137" t="str">
        <f aca="false">IF(ISBLANK($C420),"",$D420)</f>
        <v/>
      </c>
      <c r="CV420" s="138" t="str">
        <f aca="false">$CJ420</f>
        <v/>
      </c>
      <c r="CW420" s="139" t="str">
        <f aca="false">$CI420</f>
        <v/>
      </c>
      <c r="CX420" s="137" t="str">
        <f aca="false">IF(ISBLANK($C420),"",$CL420)</f>
        <v/>
      </c>
      <c r="CY420" s="140" t="str">
        <f aca="false">IF($CP420&gt;$CO$8,"",VLOOKUP($CP420,$CR$9:$CX$508,7,FALSE()))</f>
        <v/>
      </c>
      <c r="CZ420" s="141" t="str">
        <f aca="false">IF($CP420&gt;$CO$8,"",VLOOKUP($CP420,$CR$9:$CX$508,2,FALSE()))</f>
        <v/>
      </c>
      <c r="DA420" s="141" t="str">
        <f aca="false">IF($CP420&gt;$CO$8,"",VLOOKUP($CP420,$CR$9:$CX$508,3,FALSE()))</f>
        <v/>
      </c>
      <c r="DB420" s="141" t="str">
        <f aca="false">IF($CP420&gt;$CO$8,"",VLOOKUP($CP420,$CR$9:$CX$508,4,FALSE()))</f>
        <v/>
      </c>
      <c r="DC420" s="141" t="str">
        <f aca="false">IF($CP420&gt;$CO$8,"",VLOOKUP($CP420,$CR$9:$CX$508,5,FALSE()))</f>
        <v/>
      </c>
      <c r="DD420" s="142" t="str">
        <f aca="false">IF($CP420&gt;$CO$8,"",VLOOKUP($CP420,$CR$9:$CX$508,6,FALSE()))</f>
        <v/>
      </c>
      <c r="DE420" s="70"/>
    </row>
    <row r="421" customFormat="false" ht="15.75" hidden="false" customHeight="false" outlineLevel="0" collapsed="false">
      <c r="A421" s="8"/>
      <c r="B421" s="146"/>
      <c r="C421" s="147"/>
      <c r="D421" s="148"/>
      <c r="E421" s="164"/>
      <c r="F421" s="150"/>
      <c r="G421" s="115"/>
      <c r="H421" s="115"/>
      <c r="I421" s="115"/>
      <c r="J421" s="165"/>
      <c r="K421" s="154"/>
      <c r="L421" s="154"/>
      <c r="M421" s="118"/>
      <c r="N421" s="154"/>
      <c r="O421" s="153"/>
      <c r="P421" s="154"/>
      <c r="Q421" s="154"/>
      <c r="R421" s="154"/>
      <c r="S421" s="115"/>
      <c r="T421" s="154"/>
      <c r="U421" s="153"/>
      <c r="V421" s="154"/>
      <c r="W421" s="123"/>
      <c r="X421" s="124" t="str">
        <f aca="false">IF(ISBLANK($C421),"",IF($E421=Constants!$B$2,TRUE(),IF($E421=Constants!$B$3,FALSE(),TRUE())))</f>
        <v/>
      </c>
      <c r="Y421" s="124" t="str">
        <f aca="false">IF(ISBLANK($C421),"",IF($F421=Constants!$B$2,TRUE(),IF($F421=Constants!$B$3,FALSE(),TRUE())))</f>
        <v/>
      </c>
      <c r="Z421" s="125" t="str">
        <f aca="false">IF(ISBLANK($C421),"",IF(ISNUMBER($G421),IF($G421&gt;=0,$G421,""),""))</f>
        <v/>
      </c>
      <c r="AA421" s="125" t="str">
        <f aca="false">IF(ISBLANK($C421),"",IF(ISNUMBER($H421),IF($H421&gt;=0,$H421,""),""))</f>
        <v/>
      </c>
      <c r="AB421" s="125" t="str">
        <f aca="false">IF(ISBLANK($C421),"",IF(ISNUMBER($I421),IF($I421&gt;=0,$I421,""),""))</f>
        <v/>
      </c>
      <c r="AC421" s="124" t="str">
        <f aca="false">IF(ISBLANK($C421),"",IF($J421=Constants!$B$2,TRUE(),IF($J421=Constants!$B$3,FALSE(),TRUE())))</f>
        <v/>
      </c>
      <c r="AD421" s="124" t="str">
        <f aca="false">IF(ISBLANK($C421),"",IF($K421=Constants!$B$2,TRUE(),IF($K421=Constants!$B$3,FALSE(),TRUE())))</f>
        <v/>
      </c>
      <c r="AE421" s="124" t="str">
        <f aca="false">IF(ISBLANK($C421),"",IF($L421=Constants!$B$2,TRUE(),IF($L421=Constants!$B$3,FALSE(),TRUE())))</f>
        <v/>
      </c>
      <c r="AF421" s="126" t="str">
        <f aca="false">IF(ISBLANK($C421),"",IF(ISNUMBER($M421),IF($M421&gt;=0,$M421,""),""))</f>
        <v/>
      </c>
      <c r="AG421" s="124" t="str">
        <f aca="false">IF(ISBLANK($C421),"",IF(ISBLANK($N421),0,IF(ISNUMBER($N421),IF(AND($N421&gt;=0,$N421&lt;=Constants!$B$17,$N421=INT($N421)),$N421,""),"")))</f>
        <v/>
      </c>
      <c r="AH421" s="125" t="str">
        <f aca="false">IF(ISBLANK($C421),"",IF(ISBLANK($O421),0,IF(ISNUMBER($O421),IF($O421&gt;=0,$O421,""),"")))</f>
        <v/>
      </c>
      <c r="AI421" s="124" t="str">
        <f aca="false">IF(ISBLANK($C421),"",IF($P421=Constants!$B$2,TRUE(),IF($P421=Constants!$B$3,FALSE(),TRUE())))</f>
        <v/>
      </c>
      <c r="AJ421" s="124" t="str">
        <f aca="false">IF(ISBLANK($C421),"",IF($Q421=Constants!$B$2,TRUE(),IF($Q421=Constants!$B$3,FALSE(),TRUE())))</f>
        <v/>
      </c>
      <c r="AK421" s="124" t="str">
        <f aca="false">IF(ISBLANK($C421),"",IF($R421=Constants!$B$2,TRUE(),IF($R421=Constants!$B$3,FALSE(),TRUE())))</f>
        <v/>
      </c>
      <c r="AL421" s="126" t="str">
        <f aca="false">IF(ISBLANK($C421),"",IF(ISNUMBER($S421),IF($S421&gt;=0,$S421,""),""))</f>
        <v/>
      </c>
      <c r="AM421" s="124" t="str">
        <f aca="false">IF(ISBLANK($C421),"",IF(ISBLANK($T421),0,IF(ISNUMBER($T421),IF(AND($T421&gt;=0,$T421&lt;=Constants!$B$17,$T421=INT($T421)),$T421,""),"")))</f>
        <v/>
      </c>
      <c r="AN421" s="125" t="str">
        <f aca="false">IF(ISBLANK($C421),"",IF(ISBLANK($U421),0,IF(ISNUMBER($U421),IF($U421&gt;=0,$U421,""),"")))</f>
        <v/>
      </c>
      <c r="AO421" s="124" t="str">
        <f aca="false">IF(ISBLANK($C421),"",IF($V421=Constants!$B$2,TRUE(),IF($V421=Constants!$B$3,FALSE(),FALSE())))</f>
        <v/>
      </c>
      <c r="AP421" s="124"/>
      <c r="AQ421" s="123" t="str">
        <f aca="false">IF(ISBLANK($C421),"",AND($Y421,OR($AS421,$BC421),OR($Z421="",$AA421="",$AB421="")))</f>
        <v/>
      </c>
      <c r="AR421" s="123" t="str">
        <f aca="false">IF(ISBLANK($C421),"",IF(OR(NOT($Y421),NOT(OR($AS421,$BC421))),"",IF(ISBLANK($D$7),$AR$5,IF($AP$9="",$AR$6,""))))</f>
        <v/>
      </c>
      <c r="AS421" s="123" t="str">
        <f aca="false">IF(ISBLANK($C421),"",COUNTA($J421:$O421)&gt;0)</f>
        <v/>
      </c>
      <c r="AT421" s="123" t="str">
        <f aca="false">IF(ISBLANK($C421),"",AND($AS421,OR(AND($AF421="",OR($AE421,NOT(ISBLANK($M421)))),$AG421="",$AH421="")))</f>
        <v/>
      </c>
      <c r="AU421" s="125" t="str">
        <f aca="false">IF($BL421&lt;&gt;Constants!$B$4,"",IF(NOT($AS421),"",ROUND((Constants!$B$12-$AB421)+(Constants!$B$13-$Z421)+(Constants!$B$14-$AA421),1)))</f>
        <v/>
      </c>
      <c r="AV421" s="127" t="str">
        <f aca="false">IF($BL421&lt;&gt;Constants!$B$4,"",IF(NOT($AS421),"",IF(NOT($AE421),0,Constants!$B$15*(INT(ROUND(MIN($AF421,$AP$9),6))-INT(ROUND(MAX(0,MIN($AF421,2*$AP$9)-$AP$9),6))))))</f>
        <v/>
      </c>
      <c r="AW421" s="127" t="str">
        <f aca="false">IF($BL421&lt;&gt;Constants!$B$4,"",IF(NOT($AS421),"",Constants!$B$16*$AG421))</f>
        <v/>
      </c>
      <c r="AX421" s="127" t="str">
        <f aca="false">IF($BL421&lt;&gt;Constants!$B$4,"",IF(NOT($AS421),"",Constants!$B$18*INT(ROUND($AH421,6))))</f>
        <v/>
      </c>
      <c r="AY421" s="123" t="str">
        <f aca="false">IF($BL421&lt;&gt;Constants!$B$4,"",IF(NOT($AS421),"",IF(NOT($X421),Constants!$B$11,IF(OR(NOT($AC421),NOT($AD421),ROUND($AB421,1)&gt;Constants!$B$12,ROUND($Z421,1)&gt;Constants!$B$13,ROUND($AA421,1)&gt;Constants!$B$14),Constants!$B$10,Constants!$B$9))))</f>
        <v/>
      </c>
      <c r="AZ421" s="128" t="str">
        <f aca="false">IF($BL421&lt;&gt;Constants!$B$4,"",IF(NOT($AS421),"",ROUND($AU421+$AV421+$AW421+$AX421,1)))</f>
        <v/>
      </c>
      <c r="BA421" s="129" t="str">
        <f aca="false">IF($BL421&lt;&gt;Constants!$B$4,"",IF(NOT($AS421),"",IF(ISNUMBER($AF421),$AF421,0)))</f>
        <v/>
      </c>
      <c r="BB421" s="124" t="str">
        <f aca="false">IF($BL421&lt;&gt;Constants!$B$4,"",IF(NOT($BC421),"&lt;-",IF(NOT($AS421),"-&gt;",IF(OR($BI421&lt;$AY421,AND($BI421=$AY421,OR($BJ421&gt;$AZ421,AND($BJ421=$AZ421,OR($BH421&gt;$AX421,AND($BH421=$AX421,OR($BE421&gt;$AU421,AND($BE421=$AU421,OR($BF421&gt;$AV421,AND($BF421=$AV421,$BK421&gt;$BA421)))))))))),"-&gt;","&lt;-"))))</f>
        <v/>
      </c>
      <c r="BC421" s="123" t="str">
        <f aca="false">IF(ISBLANK($C421),"",COUNTA($P421:$U421)&gt;0)</f>
        <v/>
      </c>
      <c r="BD421" s="123" t="str">
        <f aca="false">IF(ISBLANK($C421),"",AND($BC421,OR(AND($AL421="",OR($AK421,NOT(ISBLANK($S421)))),$AM421="",$AN421="")))</f>
        <v/>
      </c>
      <c r="BE421" s="125" t="str">
        <f aca="false">IF($BL421&lt;&gt;Constants!$B$4,"",IF(NOT($BC421),"",ROUND((Constants!$B$12-$AB421)+(Constants!$B$13-$Z421)+(Constants!$B$14-$AA421),1)))</f>
        <v/>
      </c>
      <c r="BF421" s="127" t="str">
        <f aca="false">IF($BL421&lt;&gt;Constants!$B$4,"",IF(NOT($BC421),"",IF(NOT($AK421),0,Constants!$B$15*(INT(ROUND(MIN($AL421,$AP$9),6))-INT(ROUND(MAX(0,MIN($AL421,2*$AP$9)-$AP$9),6))))))</f>
        <v/>
      </c>
      <c r="BG421" s="127" t="str">
        <f aca="false">IF($BL421&lt;&gt;Constants!$B$4,"",IF(NOT($BC421),"",Constants!$B$16*$AM421))</f>
        <v/>
      </c>
      <c r="BH421" s="127" t="str">
        <f aca="false">IF($BL421&lt;&gt;Constants!$B$4,"",IF(NOT($BC421),"",Constants!$B$18*INT(ROUND($AN421,6))))</f>
        <v/>
      </c>
      <c r="BI421" s="123" t="str">
        <f aca="false">IF($BL421&lt;&gt;Constants!$B$4,"",IF(NOT($BC421),"",IF(NOT($X421),Constants!$B$11,IF(OR(NOT($AI421),NOT($AJ421),ROUND($AB421,1)&gt;Constants!$B$12,ROUND($Z421,1)&gt;Constants!$B$13,ROUND($AA421,1)&gt;Constants!$B$14),Constants!$B$10,Constants!$B$9))))</f>
        <v/>
      </c>
      <c r="BJ421" s="128" t="str">
        <f aca="false">IF($BL421&lt;&gt;Constants!$B$4,"",IF(NOT($BC421),"",ROUND($BE421+$BF421+$BG421+$BH421,1)))</f>
        <v/>
      </c>
      <c r="BK421" s="129" t="str">
        <f aca="false">IF($BL421&lt;&gt;Constants!$B$4,"",IF(NOT($BC421),"",IF(ISNUMBER($AL421),$AL421,0)))</f>
        <v/>
      </c>
      <c r="BL421" s="124" t="str">
        <f aca="false">IF(ISBLANK($C421),"",IF($AO421,Constants!$B$7,IF(COUNTA($E421:$V421)=0,Constants!$B$6,IF(NOT($Y421),Constants!$B$5,IF(NOT(OR($AS421,$BC421)),Constants!$B$5,IF(OR($AT421,$BD421,$AQ421,$AR421&lt;&gt;""),Constants!$B$8,Constants!$B$4))))))</f>
        <v/>
      </c>
      <c r="BM421" s="124" t="str">
        <f aca="false">IF(ISBLANK($C421),"",IF($BL421&lt;&gt;Constants!$B$4,$BL421,IF($BB421="-&gt;",$BI421,$AY421)))</f>
        <v/>
      </c>
      <c r="BN421" s="127" t="str">
        <f aca="false">IF($BL421&lt;&gt;Constants!$B$4,"",IF($BB421="-&gt;",$BJ421,$AZ421))</f>
        <v/>
      </c>
      <c r="BO421" s="127" t="str">
        <f aca="false">IF(ISBLANK($C421),"",IF($BL421&lt;&gt;Constants!$B$4,$BL421,$BN421))</f>
        <v/>
      </c>
      <c r="BP421" s="124" t="str">
        <f aca="false">IF(ISBLANK($C421),"",IF($BL421&lt;&gt;Constants!$B$4,$BL421,RANK($BO421,$BO$9:$BO$508,0)))</f>
        <v/>
      </c>
      <c r="BQ421" s="124" t="str">
        <f aca="false">IF(ISBLANK($C421),"",IF($BL421&lt;&gt;Constants!$B$4,$BL421,COUNTIFS($BM$9:$BM$508,"&lt;"&amp;$BM421)+COUNTIFS($BM$9:$BM$508,$BM421,$BP$9:$BP$508,"&lt;"&amp;$BP421)+1))</f>
        <v/>
      </c>
      <c r="BR421" s="127" t="str">
        <f aca="false">IF($BL421&lt;&gt;Constants!$B$4,"",IF($BB421="-&gt;",$BH421,$AX421))</f>
        <v/>
      </c>
      <c r="BS421" s="124" t="str">
        <f aca="false">IF(ISBLANK($C421),"",IF($BL421&lt;&gt;Constants!$B$4,$BL421,IF(ISNUMBER($BR421),RANK($BR421,$BR$9:$BR$508,0),COUNT($BR$9:$BR$508)+1)))</f>
        <v/>
      </c>
      <c r="BT421" s="127" t="str">
        <f aca="false">IF($BL421&lt;&gt;Constants!$B$4,"",IF($BB421="-&gt;",$BE421,$AU421))</f>
        <v/>
      </c>
      <c r="BU421" s="124" t="str">
        <f aca="false">IF(ISBLANK($C421),"",IF($BL421&lt;&gt;Constants!$B$4,$BL421,IF(ISNUMBER($BT421),RANK($BT421,$BT$9:$BT$508,0),COUNT($BT$9:$BT$508)+1)))</f>
        <v/>
      </c>
      <c r="BV421" s="127" t="str">
        <f aca="false">IF($BL421&lt;&gt;Constants!$B$4,"",IF($BB421="-&gt;",$BF421,$AV421))</f>
        <v/>
      </c>
      <c r="BW421" s="124" t="str">
        <f aca="false">IF(ISBLANK($C421),"",IF($BL421&lt;&gt;Constants!$B$4,$BL421,IF(ISNUMBER($BV421),RANK($BV421,$BV$9:$BV$508,0),COUNT($BV$9:$BV$508)+1)))</f>
        <v/>
      </c>
      <c r="BX421" s="127" t="str">
        <f aca="false">IF($BL421&lt;&gt;Constants!$B$4,"",IF($BB421="-&gt;",$BK421,$BA421))</f>
        <v/>
      </c>
      <c r="BY421" s="124" t="str">
        <f aca="false">IF(ISBLANK($C421),"",IF($BL421&lt;&gt;Constants!$B$4,$BL421,IF(ISNUMBER($BX421),RANK($BX421,$BX$9:$BX$508,0),COUNT($BX$9:$BX$508)+1)))</f>
        <v/>
      </c>
      <c r="BZ421" s="124" t="str">
        <f aca="false">IF(ISBLANK($C421),"",IF($BL421&lt;&gt;Constants!$B$4,$BL421,COUNTIFS($BM$9:$BM$508,"&lt;"&amp;$BM421)+COUNTIFS($BM$9:$BM$508,$BM421,$BP$9:$BP$508,"&lt;"&amp;$BP421)+COUNTIFS($BM$9:$BM$508,$BM421,$BP$9:$BP$508,$BP421,$BS$9:$BS$508,"&lt;"&amp;$BS421)+COUNTIFS($BM$9:$BM$508,$BM421,$BP$9:$BP$508,$BP421,$BS$9:$BS$508,$BS421,$BU$9:$BU$508,"&lt;"&amp;$BU421)+COUNTIFS($BM$9:$BM$508,$BM421,$BP$9:$BP$508,$BP421,$BS$9:$BS$508,$BS421,$BU$9:$BU$508,$BU421,$BW$9:$BW$508,"&lt;"&amp;$BW421)+COUNTIFS($BM$9:$BM$508,$BM421,$BP$9:$BP$508,$BP421,$BS$9:$BS$508,$BS421,$BU$9:$BU$508,$BU421,$BW$9:$BW$508,$BW421,$BY$9:$BY$508,"&lt;"&amp;$BY421)+1))</f>
        <v/>
      </c>
      <c r="CA421" s="124" t="str">
        <f aca="false">IF(ISBLANK($C421),"",IF($BL421&lt;&gt;Constants!$B$4,$BL421,$BQ421-$BZ421))</f>
        <v/>
      </c>
      <c r="CB421" s="130"/>
      <c r="CC421" s="131" t="str">
        <f aca="false">IF(ISBLANK($C421),"",IF($BL421=Constants!$B$8,$AR421,""))</f>
        <v/>
      </c>
      <c r="CD421" s="131" t="str">
        <f aca="false">IF(ISBLANK($C421),"",IF($BL421&lt;&gt;Constants!$B$4,"",IF($BB421="-&gt;",2,1)))</f>
        <v/>
      </c>
      <c r="CE421" s="132" t="str">
        <f aca="false">IF(ISBLANK($C421),"",IF($BL421&lt;&gt;Constants!$B$4,"",IF($BB421="-&gt;",$BE421,$AU421)))</f>
        <v/>
      </c>
      <c r="CF421" s="132" t="str">
        <f aca="false">IF(ISBLANK($C421),"",IF($BL421&lt;&gt;Constants!$B$4,"",IF($BB421="-&gt;",$BF421,$AV421)))</f>
        <v/>
      </c>
      <c r="CG421" s="132" t="str">
        <f aca="false">IF(ISBLANK($C421),"",IF($BL421&lt;&gt;Constants!$B$4,"",IF($BB421="-&gt;",$BG421,$AW421)))</f>
        <v/>
      </c>
      <c r="CH421" s="132" t="str">
        <f aca="false">IF(ISBLANK($C421),"",IF($BL421&lt;&gt;Constants!$B$4,"",IF($BB421="-&gt;",$BH421,$AX421)))</f>
        <v/>
      </c>
      <c r="CI421" s="133" t="str">
        <f aca="false">IF(ISBLANK($C421),"",$BO421)</f>
        <v/>
      </c>
      <c r="CJ421" s="134" t="str">
        <f aca="false">IF(ISBLANK($C421),"",$BM421)</f>
        <v/>
      </c>
      <c r="CK421" s="135" t="str">
        <f aca="false">IF(ISBLANK($C421),"",$CA421)</f>
        <v/>
      </c>
      <c r="CL421" s="135" t="str">
        <f aca="false">IF(ISBLANK($C421),"",$BZ421)</f>
        <v/>
      </c>
      <c r="CM421" s="136" t="str">
        <f aca="false">IF(ISBLANK($C421),"",IF($CL421=Constants!$B$7,COUNTA($C$9:$C$508)+2,IF($CL421=Constants!$B$6,COUNTA($C$9:$C$508)+1,IF($CL421=Constants!$B$5,COUNTA($C$9:$C$508),$CL421))))</f>
        <v/>
      </c>
      <c r="CN421" s="8"/>
      <c r="CO421" s="137" t="n">
        <f aca="false">IF(OR(ISNUMBER($CL421),$CL421=Constants!$B$7,$CL421=Constants!$B$5,$CL421=Constants!$B$6),1,0)</f>
        <v>0</v>
      </c>
      <c r="CP421" s="137" t="n">
        <v>413</v>
      </c>
      <c r="CQ421" s="137" t="str">
        <f aca="false">IF(ISBLANK($C421),"",IF(ISNUMBER($CM421),$CM421+ROW($B421)/1000,""))</f>
        <v/>
      </c>
      <c r="CR421" s="137" t="str">
        <f aca="false">IF(ISNUMBER($CQ421),RANK($CQ421,$CQ$9:$CQ$508,1),"")</f>
        <v/>
      </c>
      <c r="CS421" s="137" t="str">
        <f aca="false">IF(ISBLANK($C421),"",$B421)</f>
        <v/>
      </c>
      <c r="CT421" s="137" t="str">
        <f aca="false">IF(ISBLANK($C421),"",$C421)</f>
        <v/>
      </c>
      <c r="CU421" s="137" t="str">
        <f aca="false">IF(ISBLANK($C421),"",$D421)</f>
        <v/>
      </c>
      <c r="CV421" s="138" t="str">
        <f aca="false">$CJ421</f>
        <v/>
      </c>
      <c r="CW421" s="139" t="str">
        <f aca="false">$CI421</f>
        <v/>
      </c>
      <c r="CX421" s="137" t="str">
        <f aca="false">IF(ISBLANK($C421),"",$CL421)</f>
        <v/>
      </c>
      <c r="CY421" s="140" t="str">
        <f aca="false">IF($CP421&gt;$CO$8,"",VLOOKUP($CP421,$CR$9:$CX$508,7,FALSE()))</f>
        <v/>
      </c>
      <c r="CZ421" s="141" t="str">
        <f aca="false">IF($CP421&gt;$CO$8,"",VLOOKUP($CP421,$CR$9:$CX$508,2,FALSE()))</f>
        <v/>
      </c>
      <c r="DA421" s="141" t="str">
        <f aca="false">IF($CP421&gt;$CO$8,"",VLOOKUP($CP421,$CR$9:$CX$508,3,FALSE()))</f>
        <v/>
      </c>
      <c r="DB421" s="141" t="str">
        <f aca="false">IF($CP421&gt;$CO$8,"",VLOOKUP($CP421,$CR$9:$CX$508,4,FALSE()))</f>
        <v/>
      </c>
      <c r="DC421" s="141" t="str">
        <f aca="false">IF($CP421&gt;$CO$8,"",VLOOKUP($CP421,$CR$9:$CX$508,5,FALSE()))</f>
        <v/>
      </c>
      <c r="DD421" s="142" t="str">
        <f aca="false">IF($CP421&gt;$CO$8,"",VLOOKUP($CP421,$CR$9:$CX$508,6,FALSE()))</f>
        <v/>
      </c>
      <c r="DE421" s="70"/>
    </row>
    <row r="422" customFormat="false" ht="15.75" hidden="false" customHeight="false" outlineLevel="0" collapsed="false">
      <c r="A422" s="8"/>
      <c r="B422" s="146"/>
      <c r="C422" s="147"/>
      <c r="D422" s="148"/>
      <c r="E422" s="164"/>
      <c r="F422" s="150"/>
      <c r="G422" s="115"/>
      <c r="H422" s="115"/>
      <c r="I422" s="115"/>
      <c r="J422" s="165"/>
      <c r="K422" s="154"/>
      <c r="L422" s="154"/>
      <c r="M422" s="118"/>
      <c r="N422" s="154"/>
      <c r="O422" s="153"/>
      <c r="P422" s="154"/>
      <c r="Q422" s="154"/>
      <c r="R422" s="154"/>
      <c r="S422" s="115"/>
      <c r="T422" s="154"/>
      <c r="U422" s="153"/>
      <c r="V422" s="154"/>
      <c r="W422" s="123"/>
      <c r="X422" s="124" t="str">
        <f aca="false">IF(ISBLANK($C422),"",IF($E422=Constants!$B$2,TRUE(),IF($E422=Constants!$B$3,FALSE(),TRUE())))</f>
        <v/>
      </c>
      <c r="Y422" s="124" t="str">
        <f aca="false">IF(ISBLANK($C422),"",IF($F422=Constants!$B$2,TRUE(),IF($F422=Constants!$B$3,FALSE(),TRUE())))</f>
        <v/>
      </c>
      <c r="Z422" s="125" t="str">
        <f aca="false">IF(ISBLANK($C422),"",IF(ISNUMBER($G422),IF($G422&gt;=0,$G422,""),""))</f>
        <v/>
      </c>
      <c r="AA422" s="125" t="str">
        <f aca="false">IF(ISBLANK($C422),"",IF(ISNUMBER($H422),IF($H422&gt;=0,$H422,""),""))</f>
        <v/>
      </c>
      <c r="AB422" s="125" t="str">
        <f aca="false">IF(ISBLANK($C422),"",IF(ISNUMBER($I422),IF($I422&gt;=0,$I422,""),""))</f>
        <v/>
      </c>
      <c r="AC422" s="124" t="str">
        <f aca="false">IF(ISBLANK($C422),"",IF($J422=Constants!$B$2,TRUE(),IF($J422=Constants!$B$3,FALSE(),TRUE())))</f>
        <v/>
      </c>
      <c r="AD422" s="124" t="str">
        <f aca="false">IF(ISBLANK($C422),"",IF($K422=Constants!$B$2,TRUE(),IF($K422=Constants!$B$3,FALSE(),TRUE())))</f>
        <v/>
      </c>
      <c r="AE422" s="124" t="str">
        <f aca="false">IF(ISBLANK($C422),"",IF($L422=Constants!$B$2,TRUE(),IF($L422=Constants!$B$3,FALSE(),TRUE())))</f>
        <v/>
      </c>
      <c r="AF422" s="126" t="str">
        <f aca="false">IF(ISBLANK($C422),"",IF(ISNUMBER($M422),IF($M422&gt;=0,$M422,""),""))</f>
        <v/>
      </c>
      <c r="AG422" s="124" t="str">
        <f aca="false">IF(ISBLANK($C422),"",IF(ISBLANK($N422),0,IF(ISNUMBER($N422),IF(AND($N422&gt;=0,$N422&lt;=Constants!$B$17,$N422=INT($N422)),$N422,""),"")))</f>
        <v/>
      </c>
      <c r="AH422" s="125" t="str">
        <f aca="false">IF(ISBLANK($C422),"",IF(ISBLANK($O422),0,IF(ISNUMBER($O422),IF($O422&gt;=0,$O422,""),"")))</f>
        <v/>
      </c>
      <c r="AI422" s="124" t="str">
        <f aca="false">IF(ISBLANK($C422),"",IF($P422=Constants!$B$2,TRUE(),IF($P422=Constants!$B$3,FALSE(),TRUE())))</f>
        <v/>
      </c>
      <c r="AJ422" s="124" t="str">
        <f aca="false">IF(ISBLANK($C422),"",IF($Q422=Constants!$B$2,TRUE(),IF($Q422=Constants!$B$3,FALSE(),TRUE())))</f>
        <v/>
      </c>
      <c r="AK422" s="124" t="str">
        <f aca="false">IF(ISBLANK($C422),"",IF($R422=Constants!$B$2,TRUE(),IF($R422=Constants!$B$3,FALSE(),TRUE())))</f>
        <v/>
      </c>
      <c r="AL422" s="126" t="str">
        <f aca="false">IF(ISBLANK($C422),"",IF(ISNUMBER($S422),IF($S422&gt;=0,$S422,""),""))</f>
        <v/>
      </c>
      <c r="AM422" s="124" t="str">
        <f aca="false">IF(ISBLANK($C422),"",IF(ISBLANK($T422),0,IF(ISNUMBER($T422),IF(AND($T422&gt;=0,$T422&lt;=Constants!$B$17,$T422=INT($T422)),$T422,""),"")))</f>
        <v/>
      </c>
      <c r="AN422" s="125" t="str">
        <f aca="false">IF(ISBLANK($C422),"",IF(ISBLANK($U422),0,IF(ISNUMBER($U422),IF($U422&gt;=0,$U422,""),"")))</f>
        <v/>
      </c>
      <c r="AO422" s="124" t="str">
        <f aca="false">IF(ISBLANK($C422),"",IF($V422=Constants!$B$2,TRUE(),IF($V422=Constants!$B$3,FALSE(),FALSE())))</f>
        <v/>
      </c>
      <c r="AP422" s="124"/>
      <c r="AQ422" s="123" t="str">
        <f aca="false">IF(ISBLANK($C422),"",AND($Y422,OR($AS422,$BC422),OR($Z422="",$AA422="",$AB422="")))</f>
        <v/>
      </c>
      <c r="AR422" s="123" t="str">
        <f aca="false">IF(ISBLANK($C422),"",IF(OR(NOT($Y422),NOT(OR($AS422,$BC422))),"",IF(ISBLANK($D$7),$AR$5,IF($AP$9="",$AR$6,""))))</f>
        <v/>
      </c>
      <c r="AS422" s="123" t="str">
        <f aca="false">IF(ISBLANK($C422),"",COUNTA($J422:$O422)&gt;0)</f>
        <v/>
      </c>
      <c r="AT422" s="123" t="str">
        <f aca="false">IF(ISBLANK($C422),"",AND($AS422,OR(AND($AF422="",OR($AE422,NOT(ISBLANK($M422)))),$AG422="",$AH422="")))</f>
        <v/>
      </c>
      <c r="AU422" s="125" t="str">
        <f aca="false">IF($BL422&lt;&gt;Constants!$B$4,"",IF(NOT($AS422),"",ROUND((Constants!$B$12-$AB422)+(Constants!$B$13-$Z422)+(Constants!$B$14-$AA422),1)))</f>
        <v/>
      </c>
      <c r="AV422" s="127" t="str">
        <f aca="false">IF($BL422&lt;&gt;Constants!$B$4,"",IF(NOT($AS422),"",IF(NOT($AE422),0,Constants!$B$15*(INT(ROUND(MIN($AF422,$AP$9),6))-INT(ROUND(MAX(0,MIN($AF422,2*$AP$9)-$AP$9),6))))))</f>
        <v/>
      </c>
      <c r="AW422" s="127" t="str">
        <f aca="false">IF($BL422&lt;&gt;Constants!$B$4,"",IF(NOT($AS422),"",Constants!$B$16*$AG422))</f>
        <v/>
      </c>
      <c r="AX422" s="127" t="str">
        <f aca="false">IF($BL422&lt;&gt;Constants!$B$4,"",IF(NOT($AS422),"",Constants!$B$18*INT(ROUND($AH422,6))))</f>
        <v/>
      </c>
      <c r="AY422" s="123" t="str">
        <f aca="false">IF($BL422&lt;&gt;Constants!$B$4,"",IF(NOT($AS422),"",IF(NOT($X422),Constants!$B$11,IF(OR(NOT($AC422),NOT($AD422),ROUND($AB422,1)&gt;Constants!$B$12,ROUND($Z422,1)&gt;Constants!$B$13,ROUND($AA422,1)&gt;Constants!$B$14),Constants!$B$10,Constants!$B$9))))</f>
        <v/>
      </c>
      <c r="AZ422" s="128" t="str">
        <f aca="false">IF($BL422&lt;&gt;Constants!$B$4,"",IF(NOT($AS422),"",ROUND($AU422+$AV422+$AW422+$AX422,1)))</f>
        <v/>
      </c>
      <c r="BA422" s="129" t="str">
        <f aca="false">IF($BL422&lt;&gt;Constants!$B$4,"",IF(NOT($AS422),"",IF(ISNUMBER($AF422),$AF422,0)))</f>
        <v/>
      </c>
      <c r="BB422" s="124" t="str">
        <f aca="false">IF($BL422&lt;&gt;Constants!$B$4,"",IF(NOT($BC422),"&lt;-",IF(NOT($AS422),"-&gt;",IF(OR($BI422&lt;$AY422,AND($BI422=$AY422,OR($BJ422&gt;$AZ422,AND($BJ422=$AZ422,OR($BH422&gt;$AX422,AND($BH422=$AX422,OR($BE422&gt;$AU422,AND($BE422=$AU422,OR($BF422&gt;$AV422,AND($BF422=$AV422,$BK422&gt;$BA422)))))))))),"-&gt;","&lt;-"))))</f>
        <v/>
      </c>
      <c r="BC422" s="123" t="str">
        <f aca="false">IF(ISBLANK($C422),"",COUNTA($P422:$U422)&gt;0)</f>
        <v/>
      </c>
      <c r="BD422" s="123" t="str">
        <f aca="false">IF(ISBLANK($C422),"",AND($BC422,OR(AND($AL422="",OR($AK422,NOT(ISBLANK($S422)))),$AM422="",$AN422="")))</f>
        <v/>
      </c>
      <c r="BE422" s="125" t="str">
        <f aca="false">IF($BL422&lt;&gt;Constants!$B$4,"",IF(NOT($BC422),"",ROUND((Constants!$B$12-$AB422)+(Constants!$B$13-$Z422)+(Constants!$B$14-$AA422),1)))</f>
        <v/>
      </c>
      <c r="BF422" s="127" t="str">
        <f aca="false">IF($BL422&lt;&gt;Constants!$B$4,"",IF(NOT($BC422),"",IF(NOT($AK422),0,Constants!$B$15*(INT(ROUND(MIN($AL422,$AP$9),6))-INT(ROUND(MAX(0,MIN($AL422,2*$AP$9)-$AP$9),6))))))</f>
        <v/>
      </c>
      <c r="BG422" s="127" t="str">
        <f aca="false">IF($BL422&lt;&gt;Constants!$B$4,"",IF(NOT($BC422),"",Constants!$B$16*$AM422))</f>
        <v/>
      </c>
      <c r="BH422" s="127" t="str">
        <f aca="false">IF($BL422&lt;&gt;Constants!$B$4,"",IF(NOT($BC422),"",Constants!$B$18*INT(ROUND($AN422,6))))</f>
        <v/>
      </c>
      <c r="BI422" s="123" t="str">
        <f aca="false">IF($BL422&lt;&gt;Constants!$B$4,"",IF(NOT($BC422),"",IF(NOT($X422),Constants!$B$11,IF(OR(NOT($AI422),NOT($AJ422),ROUND($AB422,1)&gt;Constants!$B$12,ROUND($Z422,1)&gt;Constants!$B$13,ROUND($AA422,1)&gt;Constants!$B$14),Constants!$B$10,Constants!$B$9))))</f>
        <v/>
      </c>
      <c r="BJ422" s="128" t="str">
        <f aca="false">IF($BL422&lt;&gt;Constants!$B$4,"",IF(NOT($BC422),"",ROUND($BE422+$BF422+$BG422+$BH422,1)))</f>
        <v/>
      </c>
      <c r="BK422" s="129" t="str">
        <f aca="false">IF($BL422&lt;&gt;Constants!$B$4,"",IF(NOT($BC422),"",IF(ISNUMBER($AL422),$AL422,0)))</f>
        <v/>
      </c>
      <c r="BL422" s="124" t="str">
        <f aca="false">IF(ISBLANK($C422),"",IF($AO422,Constants!$B$7,IF(COUNTA($E422:$V422)=0,Constants!$B$6,IF(NOT($Y422),Constants!$B$5,IF(NOT(OR($AS422,$BC422)),Constants!$B$5,IF(OR($AT422,$BD422,$AQ422,$AR422&lt;&gt;""),Constants!$B$8,Constants!$B$4))))))</f>
        <v/>
      </c>
      <c r="BM422" s="124" t="str">
        <f aca="false">IF(ISBLANK($C422),"",IF($BL422&lt;&gt;Constants!$B$4,$BL422,IF($BB422="-&gt;",$BI422,$AY422)))</f>
        <v/>
      </c>
      <c r="BN422" s="127" t="str">
        <f aca="false">IF($BL422&lt;&gt;Constants!$B$4,"",IF($BB422="-&gt;",$BJ422,$AZ422))</f>
        <v/>
      </c>
      <c r="BO422" s="127" t="str">
        <f aca="false">IF(ISBLANK($C422),"",IF($BL422&lt;&gt;Constants!$B$4,$BL422,$BN422))</f>
        <v/>
      </c>
      <c r="BP422" s="124" t="str">
        <f aca="false">IF(ISBLANK($C422),"",IF($BL422&lt;&gt;Constants!$B$4,$BL422,RANK($BO422,$BO$9:$BO$508,0)))</f>
        <v/>
      </c>
      <c r="BQ422" s="124" t="str">
        <f aca="false">IF(ISBLANK($C422),"",IF($BL422&lt;&gt;Constants!$B$4,$BL422,COUNTIFS($BM$9:$BM$508,"&lt;"&amp;$BM422)+COUNTIFS($BM$9:$BM$508,$BM422,$BP$9:$BP$508,"&lt;"&amp;$BP422)+1))</f>
        <v/>
      </c>
      <c r="BR422" s="127" t="str">
        <f aca="false">IF($BL422&lt;&gt;Constants!$B$4,"",IF($BB422="-&gt;",$BH422,$AX422))</f>
        <v/>
      </c>
      <c r="BS422" s="124" t="str">
        <f aca="false">IF(ISBLANK($C422),"",IF($BL422&lt;&gt;Constants!$B$4,$BL422,IF(ISNUMBER($BR422),RANK($BR422,$BR$9:$BR$508,0),COUNT($BR$9:$BR$508)+1)))</f>
        <v/>
      </c>
      <c r="BT422" s="127" t="str">
        <f aca="false">IF($BL422&lt;&gt;Constants!$B$4,"",IF($BB422="-&gt;",$BE422,$AU422))</f>
        <v/>
      </c>
      <c r="BU422" s="124" t="str">
        <f aca="false">IF(ISBLANK($C422),"",IF($BL422&lt;&gt;Constants!$B$4,$BL422,IF(ISNUMBER($BT422),RANK($BT422,$BT$9:$BT$508,0),COUNT($BT$9:$BT$508)+1)))</f>
        <v/>
      </c>
      <c r="BV422" s="127" t="str">
        <f aca="false">IF($BL422&lt;&gt;Constants!$B$4,"",IF($BB422="-&gt;",$BF422,$AV422))</f>
        <v/>
      </c>
      <c r="BW422" s="124" t="str">
        <f aca="false">IF(ISBLANK($C422),"",IF($BL422&lt;&gt;Constants!$B$4,$BL422,IF(ISNUMBER($BV422),RANK($BV422,$BV$9:$BV$508,0),COUNT($BV$9:$BV$508)+1)))</f>
        <v/>
      </c>
      <c r="BX422" s="127" t="str">
        <f aca="false">IF($BL422&lt;&gt;Constants!$B$4,"",IF($BB422="-&gt;",$BK422,$BA422))</f>
        <v/>
      </c>
      <c r="BY422" s="124" t="str">
        <f aca="false">IF(ISBLANK($C422),"",IF($BL422&lt;&gt;Constants!$B$4,$BL422,IF(ISNUMBER($BX422),RANK($BX422,$BX$9:$BX$508,0),COUNT($BX$9:$BX$508)+1)))</f>
        <v/>
      </c>
      <c r="BZ422" s="124" t="str">
        <f aca="false">IF(ISBLANK($C422),"",IF($BL422&lt;&gt;Constants!$B$4,$BL422,COUNTIFS($BM$9:$BM$508,"&lt;"&amp;$BM422)+COUNTIFS($BM$9:$BM$508,$BM422,$BP$9:$BP$508,"&lt;"&amp;$BP422)+COUNTIFS($BM$9:$BM$508,$BM422,$BP$9:$BP$508,$BP422,$BS$9:$BS$508,"&lt;"&amp;$BS422)+COUNTIFS($BM$9:$BM$508,$BM422,$BP$9:$BP$508,$BP422,$BS$9:$BS$508,$BS422,$BU$9:$BU$508,"&lt;"&amp;$BU422)+COUNTIFS($BM$9:$BM$508,$BM422,$BP$9:$BP$508,$BP422,$BS$9:$BS$508,$BS422,$BU$9:$BU$508,$BU422,$BW$9:$BW$508,"&lt;"&amp;$BW422)+COUNTIFS($BM$9:$BM$508,$BM422,$BP$9:$BP$508,$BP422,$BS$9:$BS$508,$BS422,$BU$9:$BU$508,$BU422,$BW$9:$BW$508,$BW422,$BY$9:$BY$508,"&lt;"&amp;$BY422)+1))</f>
        <v/>
      </c>
      <c r="CA422" s="124" t="str">
        <f aca="false">IF(ISBLANK($C422),"",IF($BL422&lt;&gt;Constants!$B$4,$BL422,$BQ422-$BZ422))</f>
        <v/>
      </c>
      <c r="CB422" s="130"/>
      <c r="CC422" s="131" t="str">
        <f aca="false">IF(ISBLANK($C422),"",IF($BL422=Constants!$B$8,$AR422,""))</f>
        <v/>
      </c>
      <c r="CD422" s="131" t="str">
        <f aca="false">IF(ISBLANK($C422),"",IF($BL422&lt;&gt;Constants!$B$4,"",IF($BB422="-&gt;",2,1)))</f>
        <v/>
      </c>
      <c r="CE422" s="132" t="str">
        <f aca="false">IF(ISBLANK($C422),"",IF($BL422&lt;&gt;Constants!$B$4,"",IF($BB422="-&gt;",$BE422,$AU422)))</f>
        <v/>
      </c>
      <c r="CF422" s="132" t="str">
        <f aca="false">IF(ISBLANK($C422),"",IF($BL422&lt;&gt;Constants!$B$4,"",IF($BB422="-&gt;",$BF422,$AV422)))</f>
        <v/>
      </c>
      <c r="CG422" s="132" t="str">
        <f aca="false">IF(ISBLANK($C422),"",IF($BL422&lt;&gt;Constants!$B$4,"",IF($BB422="-&gt;",$BG422,$AW422)))</f>
        <v/>
      </c>
      <c r="CH422" s="132" t="str">
        <f aca="false">IF(ISBLANK($C422),"",IF($BL422&lt;&gt;Constants!$B$4,"",IF($BB422="-&gt;",$BH422,$AX422)))</f>
        <v/>
      </c>
      <c r="CI422" s="133" t="str">
        <f aca="false">IF(ISBLANK($C422),"",$BO422)</f>
        <v/>
      </c>
      <c r="CJ422" s="134" t="str">
        <f aca="false">IF(ISBLANK($C422),"",$BM422)</f>
        <v/>
      </c>
      <c r="CK422" s="135" t="str">
        <f aca="false">IF(ISBLANK($C422),"",$CA422)</f>
        <v/>
      </c>
      <c r="CL422" s="135" t="str">
        <f aca="false">IF(ISBLANK($C422),"",$BZ422)</f>
        <v/>
      </c>
      <c r="CM422" s="136" t="str">
        <f aca="false">IF(ISBLANK($C422),"",IF($CL422=Constants!$B$7,COUNTA($C$9:$C$508)+2,IF($CL422=Constants!$B$6,COUNTA($C$9:$C$508)+1,IF($CL422=Constants!$B$5,COUNTA($C$9:$C$508),$CL422))))</f>
        <v/>
      </c>
      <c r="CN422" s="8"/>
      <c r="CO422" s="137" t="n">
        <f aca="false">IF(OR(ISNUMBER($CL422),$CL422=Constants!$B$7,$CL422=Constants!$B$5,$CL422=Constants!$B$6),1,0)</f>
        <v>0</v>
      </c>
      <c r="CP422" s="137" t="n">
        <v>414</v>
      </c>
      <c r="CQ422" s="137" t="str">
        <f aca="false">IF(ISBLANK($C422),"",IF(ISNUMBER($CM422),$CM422+ROW($B422)/1000,""))</f>
        <v/>
      </c>
      <c r="CR422" s="137" t="str">
        <f aca="false">IF(ISNUMBER($CQ422),RANK($CQ422,$CQ$9:$CQ$508,1),"")</f>
        <v/>
      </c>
      <c r="CS422" s="137" t="str">
        <f aca="false">IF(ISBLANK($C422),"",$B422)</f>
        <v/>
      </c>
      <c r="CT422" s="137" t="str">
        <f aca="false">IF(ISBLANK($C422),"",$C422)</f>
        <v/>
      </c>
      <c r="CU422" s="137" t="str">
        <f aca="false">IF(ISBLANK($C422),"",$D422)</f>
        <v/>
      </c>
      <c r="CV422" s="138" t="str">
        <f aca="false">$CJ422</f>
        <v/>
      </c>
      <c r="CW422" s="139" t="str">
        <f aca="false">$CI422</f>
        <v/>
      </c>
      <c r="CX422" s="137" t="str">
        <f aca="false">IF(ISBLANK($C422),"",$CL422)</f>
        <v/>
      </c>
      <c r="CY422" s="140" t="str">
        <f aca="false">IF($CP422&gt;$CO$8,"",VLOOKUP($CP422,$CR$9:$CX$508,7,FALSE()))</f>
        <v/>
      </c>
      <c r="CZ422" s="141" t="str">
        <f aca="false">IF($CP422&gt;$CO$8,"",VLOOKUP($CP422,$CR$9:$CX$508,2,FALSE()))</f>
        <v/>
      </c>
      <c r="DA422" s="141" t="str">
        <f aca="false">IF($CP422&gt;$CO$8,"",VLOOKUP($CP422,$CR$9:$CX$508,3,FALSE()))</f>
        <v/>
      </c>
      <c r="DB422" s="141" t="str">
        <f aca="false">IF($CP422&gt;$CO$8,"",VLOOKUP($CP422,$CR$9:$CX$508,4,FALSE()))</f>
        <v/>
      </c>
      <c r="DC422" s="141" t="str">
        <f aca="false">IF($CP422&gt;$CO$8,"",VLOOKUP($CP422,$CR$9:$CX$508,5,FALSE()))</f>
        <v/>
      </c>
      <c r="DD422" s="142" t="str">
        <f aca="false">IF($CP422&gt;$CO$8,"",VLOOKUP($CP422,$CR$9:$CX$508,6,FALSE()))</f>
        <v/>
      </c>
      <c r="DE422" s="70"/>
    </row>
    <row r="423" customFormat="false" ht="15.75" hidden="false" customHeight="false" outlineLevel="0" collapsed="false">
      <c r="A423" s="8"/>
      <c r="B423" s="72"/>
      <c r="C423" s="73"/>
      <c r="D423" s="155"/>
      <c r="E423" s="162"/>
      <c r="F423" s="157"/>
      <c r="G423" s="77"/>
      <c r="H423" s="77"/>
      <c r="I423" s="77"/>
      <c r="J423" s="163"/>
      <c r="K423" s="161"/>
      <c r="L423" s="161"/>
      <c r="M423" s="80"/>
      <c r="N423" s="161"/>
      <c r="O423" s="160"/>
      <c r="P423" s="161"/>
      <c r="Q423" s="161"/>
      <c r="R423" s="161"/>
      <c r="S423" s="77"/>
      <c r="T423" s="161"/>
      <c r="U423" s="160"/>
      <c r="V423" s="161"/>
      <c r="W423" s="85"/>
      <c r="X423" s="86" t="str">
        <f aca="false">IF(ISBLANK($C423),"",IF($E423=Constants!$B$2,TRUE(),IF($E423=Constants!$B$3,FALSE(),TRUE())))</f>
        <v/>
      </c>
      <c r="Y423" s="86" t="str">
        <f aca="false">IF(ISBLANK($C423),"",IF($F423=Constants!$B$2,TRUE(),IF($F423=Constants!$B$3,FALSE(),TRUE())))</f>
        <v/>
      </c>
      <c r="Z423" s="87" t="str">
        <f aca="false">IF(ISBLANK($C423),"",IF(ISNUMBER($G423),IF($G423&gt;=0,$G423,""),""))</f>
        <v/>
      </c>
      <c r="AA423" s="87" t="str">
        <f aca="false">IF(ISBLANK($C423),"",IF(ISNUMBER($H423),IF($H423&gt;=0,$H423,""),""))</f>
        <v/>
      </c>
      <c r="AB423" s="87" t="str">
        <f aca="false">IF(ISBLANK($C423),"",IF(ISNUMBER($I423),IF($I423&gt;=0,$I423,""),""))</f>
        <v/>
      </c>
      <c r="AC423" s="86" t="str">
        <f aca="false">IF(ISBLANK($C423),"",IF($J423=Constants!$B$2,TRUE(),IF($J423=Constants!$B$3,FALSE(),TRUE())))</f>
        <v/>
      </c>
      <c r="AD423" s="86" t="str">
        <f aca="false">IF(ISBLANK($C423),"",IF($K423=Constants!$B$2,TRUE(),IF($K423=Constants!$B$3,FALSE(),TRUE())))</f>
        <v/>
      </c>
      <c r="AE423" s="86" t="str">
        <f aca="false">IF(ISBLANK($C423),"",IF($L423=Constants!$B$2,TRUE(),IF($L423=Constants!$B$3,FALSE(),TRUE())))</f>
        <v/>
      </c>
      <c r="AF423" s="88" t="str">
        <f aca="false">IF(ISBLANK($C423),"",IF(ISNUMBER($M423),IF($M423&gt;=0,$M423,""),""))</f>
        <v/>
      </c>
      <c r="AG423" s="86" t="str">
        <f aca="false">IF(ISBLANK($C423),"",IF(ISBLANK($N423),0,IF(ISNUMBER($N423),IF(AND($N423&gt;=0,$N423&lt;=Constants!$B$17,$N423=INT($N423)),$N423,""),"")))</f>
        <v/>
      </c>
      <c r="AH423" s="87" t="str">
        <f aca="false">IF(ISBLANK($C423),"",IF(ISBLANK($O423),0,IF(ISNUMBER($O423),IF($O423&gt;=0,$O423,""),"")))</f>
        <v/>
      </c>
      <c r="AI423" s="86" t="str">
        <f aca="false">IF(ISBLANK($C423),"",IF($P423=Constants!$B$2,TRUE(),IF($P423=Constants!$B$3,FALSE(),TRUE())))</f>
        <v/>
      </c>
      <c r="AJ423" s="86" t="str">
        <f aca="false">IF(ISBLANK($C423),"",IF($Q423=Constants!$B$2,TRUE(),IF($Q423=Constants!$B$3,FALSE(),TRUE())))</f>
        <v/>
      </c>
      <c r="AK423" s="86" t="str">
        <f aca="false">IF(ISBLANK($C423),"",IF($R423=Constants!$B$2,TRUE(),IF($R423=Constants!$B$3,FALSE(),TRUE())))</f>
        <v/>
      </c>
      <c r="AL423" s="88" t="str">
        <f aca="false">IF(ISBLANK($C423),"",IF(ISNUMBER($S423),IF($S423&gt;=0,$S423,""),""))</f>
        <v/>
      </c>
      <c r="AM423" s="86" t="str">
        <f aca="false">IF(ISBLANK($C423),"",IF(ISBLANK($T423),0,IF(ISNUMBER($T423),IF(AND($T423&gt;=0,$T423&lt;=Constants!$B$17,$T423=INT($T423)),$T423,""),"")))</f>
        <v/>
      </c>
      <c r="AN423" s="87" t="str">
        <f aca="false">IF(ISBLANK($C423),"",IF(ISBLANK($U423),0,IF(ISNUMBER($U423),IF($U423&gt;=0,$U423,""),"")))</f>
        <v/>
      </c>
      <c r="AO423" s="86" t="str">
        <f aca="false">IF(ISBLANK($C423),"",IF($V423=Constants!$B$2,TRUE(),IF($V423=Constants!$B$3,FALSE(),FALSE())))</f>
        <v/>
      </c>
      <c r="AP423" s="86"/>
      <c r="AQ423" s="85" t="str">
        <f aca="false">IF(ISBLANK($C423),"",AND($Y423,OR($AS423,$BC423),OR($Z423="",$AA423="",$AB423="")))</f>
        <v/>
      </c>
      <c r="AR423" s="85" t="str">
        <f aca="false">IF(ISBLANK($C423),"",IF(OR(NOT($Y423),NOT(OR($AS423,$BC423))),"",IF(ISBLANK($D$7),$AR$5,IF($AP$9="",$AR$6,""))))</f>
        <v/>
      </c>
      <c r="AS423" s="85" t="str">
        <f aca="false">IF(ISBLANK($C423),"",COUNTA($J423:$O423)&gt;0)</f>
        <v/>
      </c>
      <c r="AT423" s="85" t="str">
        <f aca="false">IF(ISBLANK($C423),"",AND($AS423,OR(AND($AF423="",OR($AE423,NOT(ISBLANK($M423)))),$AG423="",$AH423="")))</f>
        <v/>
      </c>
      <c r="AU423" s="87" t="str">
        <f aca="false">IF($BL423&lt;&gt;Constants!$B$4,"",IF(NOT($AS423),"",ROUND((Constants!$B$12-$AB423)+(Constants!$B$13-$Z423)+(Constants!$B$14-$AA423),1)))</f>
        <v/>
      </c>
      <c r="AV423" s="90" t="str">
        <f aca="false">IF($BL423&lt;&gt;Constants!$B$4,"",IF(NOT($AS423),"",IF(NOT($AE423),0,Constants!$B$15*(INT(ROUND(MIN($AF423,$AP$9),6))-INT(ROUND(MAX(0,MIN($AF423,2*$AP$9)-$AP$9),6))))))</f>
        <v/>
      </c>
      <c r="AW423" s="90" t="str">
        <f aca="false">IF($BL423&lt;&gt;Constants!$B$4,"",IF(NOT($AS423),"",Constants!$B$16*$AG423))</f>
        <v/>
      </c>
      <c r="AX423" s="90" t="str">
        <f aca="false">IF($BL423&lt;&gt;Constants!$B$4,"",IF(NOT($AS423),"",Constants!$B$18*INT(ROUND($AH423,6))))</f>
        <v/>
      </c>
      <c r="AY423" s="85" t="str">
        <f aca="false">IF($BL423&lt;&gt;Constants!$B$4,"",IF(NOT($AS423),"",IF(NOT($X423),Constants!$B$11,IF(OR(NOT($AC423),NOT($AD423),ROUND($AB423,1)&gt;Constants!$B$12,ROUND($Z423,1)&gt;Constants!$B$13,ROUND($AA423,1)&gt;Constants!$B$14),Constants!$B$10,Constants!$B$9))))</f>
        <v/>
      </c>
      <c r="AZ423" s="91" t="str">
        <f aca="false">IF($BL423&lt;&gt;Constants!$B$4,"",IF(NOT($AS423),"",ROUND($AU423+$AV423+$AW423+$AX423,1)))</f>
        <v/>
      </c>
      <c r="BA423" s="92" t="str">
        <f aca="false">IF($BL423&lt;&gt;Constants!$B$4,"",IF(NOT($AS423),"",IF(ISNUMBER($AF423),$AF423,0)))</f>
        <v/>
      </c>
      <c r="BB423" s="86" t="str">
        <f aca="false">IF($BL423&lt;&gt;Constants!$B$4,"",IF(NOT($BC423),"&lt;-",IF(NOT($AS423),"-&gt;",IF(OR($BI423&lt;$AY423,AND($BI423=$AY423,OR($BJ423&gt;$AZ423,AND($BJ423=$AZ423,OR($BH423&gt;$AX423,AND($BH423=$AX423,OR($BE423&gt;$AU423,AND($BE423=$AU423,OR($BF423&gt;$AV423,AND($BF423=$AV423,$BK423&gt;$BA423)))))))))),"-&gt;","&lt;-"))))</f>
        <v/>
      </c>
      <c r="BC423" s="85" t="str">
        <f aca="false">IF(ISBLANK($C423),"",COUNTA($P423:$U423)&gt;0)</f>
        <v/>
      </c>
      <c r="BD423" s="85" t="str">
        <f aca="false">IF(ISBLANK($C423),"",AND($BC423,OR(AND($AL423="",OR($AK423,NOT(ISBLANK($S423)))),$AM423="",$AN423="")))</f>
        <v/>
      </c>
      <c r="BE423" s="87" t="str">
        <f aca="false">IF($BL423&lt;&gt;Constants!$B$4,"",IF(NOT($BC423),"",ROUND((Constants!$B$12-$AB423)+(Constants!$B$13-$Z423)+(Constants!$B$14-$AA423),1)))</f>
        <v/>
      </c>
      <c r="BF423" s="90" t="str">
        <f aca="false">IF($BL423&lt;&gt;Constants!$B$4,"",IF(NOT($BC423),"",IF(NOT($AK423),0,Constants!$B$15*(INT(ROUND(MIN($AL423,$AP$9),6))-INT(ROUND(MAX(0,MIN($AL423,2*$AP$9)-$AP$9),6))))))</f>
        <v/>
      </c>
      <c r="BG423" s="90" t="str">
        <f aca="false">IF($BL423&lt;&gt;Constants!$B$4,"",IF(NOT($BC423),"",Constants!$B$16*$AM423))</f>
        <v/>
      </c>
      <c r="BH423" s="90" t="str">
        <f aca="false">IF($BL423&lt;&gt;Constants!$B$4,"",IF(NOT($BC423),"",Constants!$B$18*INT(ROUND($AN423,6))))</f>
        <v/>
      </c>
      <c r="BI423" s="85" t="str">
        <f aca="false">IF($BL423&lt;&gt;Constants!$B$4,"",IF(NOT($BC423),"",IF(NOT($X423),Constants!$B$11,IF(OR(NOT($AI423),NOT($AJ423),ROUND($AB423,1)&gt;Constants!$B$12,ROUND($Z423,1)&gt;Constants!$B$13,ROUND($AA423,1)&gt;Constants!$B$14),Constants!$B$10,Constants!$B$9))))</f>
        <v/>
      </c>
      <c r="BJ423" s="91" t="str">
        <f aca="false">IF($BL423&lt;&gt;Constants!$B$4,"",IF(NOT($BC423),"",ROUND($BE423+$BF423+$BG423+$BH423,1)))</f>
        <v/>
      </c>
      <c r="BK423" s="92" t="str">
        <f aca="false">IF($BL423&lt;&gt;Constants!$B$4,"",IF(NOT($BC423),"",IF(ISNUMBER($AL423),$AL423,0)))</f>
        <v/>
      </c>
      <c r="BL423" s="86" t="str">
        <f aca="false">IF(ISBLANK($C423),"",IF($AO423,Constants!$B$7,IF(COUNTA($E423:$V423)=0,Constants!$B$6,IF(NOT($Y423),Constants!$B$5,IF(NOT(OR($AS423,$BC423)),Constants!$B$5,IF(OR($AT423,$BD423,$AQ423,$AR423&lt;&gt;""),Constants!$B$8,Constants!$B$4))))))</f>
        <v/>
      </c>
      <c r="BM423" s="86" t="str">
        <f aca="false">IF(ISBLANK($C423),"",IF($BL423&lt;&gt;Constants!$B$4,$BL423,IF($BB423="-&gt;",$BI423,$AY423)))</f>
        <v/>
      </c>
      <c r="BN423" s="90" t="str">
        <f aca="false">IF($BL423&lt;&gt;Constants!$B$4,"",IF($BB423="-&gt;",$BJ423,$AZ423))</f>
        <v/>
      </c>
      <c r="BO423" s="90" t="str">
        <f aca="false">IF(ISBLANK($C423),"",IF($BL423&lt;&gt;Constants!$B$4,$BL423,$BN423))</f>
        <v/>
      </c>
      <c r="BP423" s="86" t="str">
        <f aca="false">IF(ISBLANK($C423),"",IF($BL423&lt;&gt;Constants!$B$4,$BL423,RANK($BO423,$BO$9:$BO$508,0)))</f>
        <v/>
      </c>
      <c r="BQ423" s="86" t="str">
        <f aca="false">IF(ISBLANK($C423),"",IF($BL423&lt;&gt;Constants!$B$4,$BL423,COUNTIFS($BM$9:$BM$508,"&lt;"&amp;$BM423)+COUNTIFS($BM$9:$BM$508,$BM423,$BP$9:$BP$508,"&lt;"&amp;$BP423)+1))</f>
        <v/>
      </c>
      <c r="BR423" s="90" t="str">
        <f aca="false">IF($BL423&lt;&gt;Constants!$B$4,"",IF($BB423="-&gt;",$BH423,$AX423))</f>
        <v/>
      </c>
      <c r="BS423" s="86" t="str">
        <f aca="false">IF(ISBLANK($C423),"",IF($BL423&lt;&gt;Constants!$B$4,$BL423,IF(ISNUMBER($BR423),RANK($BR423,$BR$9:$BR$508,0),COUNT($BR$9:$BR$508)+1)))</f>
        <v/>
      </c>
      <c r="BT423" s="90" t="str">
        <f aca="false">IF($BL423&lt;&gt;Constants!$B$4,"",IF($BB423="-&gt;",$BE423,$AU423))</f>
        <v/>
      </c>
      <c r="BU423" s="86" t="str">
        <f aca="false">IF(ISBLANK($C423),"",IF($BL423&lt;&gt;Constants!$B$4,$BL423,IF(ISNUMBER($BT423),RANK($BT423,$BT$9:$BT$508,0),COUNT($BT$9:$BT$508)+1)))</f>
        <v/>
      </c>
      <c r="BV423" s="90" t="str">
        <f aca="false">IF($BL423&lt;&gt;Constants!$B$4,"",IF($BB423="-&gt;",$BF423,$AV423))</f>
        <v/>
      </c>
      <c r="BW423" s="86" t="str">
        <f aca="false">IF(ISBLANK($C423),"",IF($BL423&lt;&gt;Constants!$B$4,$BL423,IF(ISNUMBER($BV423),RANK($BV423,$BV$9:$BV$508,0),COUNT($BV$9:$BV$508)+1)))</f>
        <v/>
      </c>
      <c r="BX423" s="90" t="str">
        <f aca="false">IF($BL423&lt;&gt;Constants!$B$4,"",IF($BB423="-&gt;",$BK423,$BA423))</f>
        <v/>
      </c>
      <c r="BY423" s="86" t="str">
        <f aca="false">IF(ISBLANK($C423),"",IF($BL423&lt;&gt;Constants!$B$4,$BL423,IF(ISNUMBER($BX423),RANK($BX423,$BX$9:$BX$508,0),COUNT($BX$9:$BX$508)+1)))</f>
        <v/>
      </c>
      <c r="BZ423" s="86" t="str">
        <f aca="false">IF(ISBLANK($C423),"",IF($BL423&lt;&gt;Constants!$B$4,$BL423,COUNTIFS($BM$9:$BM$508,"&lt;"&amp;$BM423)+COUNTIFS($BM$9:$BM$508,$BM423,$BP$9:$BP$508,"&lt;"&amp;$BP423)+COUNTIFS($BM$9:$BM$508,$BM423,$BP$9:$BP$508,$BP423,$BS$9:$BS$508,"&lt;"&amp;$BS423)+COUNTIFS($BM$9:$BM$508,$BM423,$BP$9:$BP$508,$BP423,$BS$9:$BS$508,$BS423,$BU$9:$BU$508,"&lt;"&amp;$BU423)+COUNTIFS($BM$9:$BM$508,$BM423,$BP$9:$BP$508,$BP423,$BS$9:$BS$508,$BS423,$BU$9:$BU$508,$BU423,$BW$9:$BW$508,"&lt;"&amp;$BW423)+COUNTIFS($BM$9:$BM$508,$BM423,$BP$9:$BP$508,$BP423,$BS$9:$BS$508,$BS423,$BU$9:$BU$508,$BU423,$BW$9:$BW$508,$BW423,$BY$9:$BY$508,"&lt;"&amp;$BY423)+1))</f>
        <v/>
      </c>
      <c r="CA423" s="86" t="str">
        <f aca="false">IF(ISBLANK($C423),"",IF($BL423&lt;&gt;Constants!$B$4,$BL423,$BQ423-$BZ423))</f>
        <v/>
      </c>
      <c r="CB423" s="93"/>
      <c r="CC423" s="94" t="str">
        <f aca="false">IF(ISBLANK($C423),"",IF($BL423=Constants!$B$8,$AR423,""))</f>
        <v/>
      </c>
      <c r="CD423" s="94" t="str">
        <f aca="false">IF(ISBLANK($C423),"",IF($BL423&lt;&gt;Constants!$B$4,"",IF($BB423="-&gt;",2,1)))</f>
        <v/>
      </c>
      <c r="CE423" s="95" t="str">
        <f aca="false">IF(ISBLANK($C423),"",IF($BL423&lt;&gt;Constants!$B$4,"",IF($BB423="-&gt;",$BE423,$AU423)))</f>
        <v/>
      </c>
      <c r="CF423" s="95" t="str">
        <f aca="false">IF(ISBLANK($C423),"",IF($BL423&lt;&gt;Constants!$B$4,"",IF($BB423="-&gt;",$BF423,$AV423)))</f>
        <v/>
      </c>
      <c r="CG423" s="95" t="str">
        <f aca="false">IF(ISBLANK($C423),"",IF($BL423&lt;&gt;Constants!$B$4,"",IF($BB423="-&gt;",$BG423,$AW423)))</f>
        <v/>
      </c>
      <c r="CH423" s="95" t="str">
        <f aca="false">IF(ISBLANK($C423),"",IF($BL423&lt;&gt;Constants!$B$4,"",IF($BB423="-&gt;",$BH423,$AX423)))</f>
        <v/>
      </c>
      <c r="CI423" s="96" t="str">
        <f aca="false">IF(ISBLANK($C423),"",$BO423)</f>
        <v/>
      </c>
      <c r="CJ423" s="97" t="str">
        <f aca="false">IF(ISBLANK($C423),"",$BM423)</f>
        <v/>
      </c>
      <c r="CK423" s="98" t="str">
        <f aca="false">IF(ISBLANK($C423),"",$CA423)</f>
        <v/>
      </c>
      <c r="CL423" s="98" t="str">
        <f aca="false">IF(ISBLANK($C423),"",$BZ423)</f>
        <v/>
      </c>
      <c r="CM423" s="99" t="str">
        <f aca="false">IF(ISBLANK($C423),"",IF($CL423=Constants!$B$7,COUNTA($C$9:$C$508)+2,IF($CL423=Constants!$B$6,COUNTA($C$9:$C$508)+1,IF($CL423=Constants!$B$5,COUNTA($C$9:$C$508),$CL423))))</f>
        <v/>
      </c>
      <c r="CN423" s="8"/>
      <c r="CO423" s="100" t="n">
        <f aca="false">IF(OR(ISNUMBER($CL423),$CL423=Constants!$B$7,$CL423=Constants!$B$5,$CL423=Constants!$B$6),1,0)</f>
        <v>0</v>
      </c>
      <c r="CP423" s="100" t="n">
        <v>415</v>
      </c>
      <c r="CQ423" s="100" t="str">
        <f aca="false">IF(ISBLANK($C423),"",IF(ISNUMBER($CM423),$CM423+ROW($B423)/1000,""))</f>
        <v/>
      </c>
      <c r="CR423" s="100" t="str">
        <f aca="false">IF(ISNUMBER($CQ423),RANK($CQ423,$CQ$9:$CQ$508,1),"")</f>
        <v/>
      </c>
      <c r="CS423" s="100" t="str">
        <f aca="false">IF(ISBLANK($C423),"",$B423)</f>
        <v/>
      </c>
      <c r="CT423" s="100" t="str">
        <f aca="false">IF(ISBLANK($C423),"",$C423)</f>
        <v/>
      </c>
      <c r="CU423" s="100" t="str">
        <f aca="false">IF(ISBLANK($C423),"",$D423)</f>
        <v/>
      </c>
      <c r="CV423" s="101" t="str">
        <f aca="false">$CJ423</f>
        <v/>
      </c>
      <c r="CW423" s="102" t="str">
        <f aca="false">$CI423</f>
        <v/>
      </c>
      <c r="CX423" s="100" t="str">
        <f aca="false">IF(ISBLANK($C423),"",$CL423)</f>
        <v/>
      </c>
      <c r="CY423" s="103" t="str">
        <f aca="false">IF($CP423&gt;$CO$8,"",VLOOKUP($CP423,$CR$9:$CX$508,7,FALSE()))</f>
        <v/>
      </c>
      <c r="CZ423" s="104" t="str">
        <f aca="false">IF($CP423&gt;$CO$8,"",VLOOKUP($CP423,$CR$9:$CX$508,2,FALSE()))</f>
        <v/>
      </c>
      <c r="DA423" s="104" t="str">
        <f aca="false">IF($CP423&gt;$CO$8,"",VLOOKUP($CP423,$CR$9:$CX$508,3,FALSE()))</f>
        <v/>
      </c>
      <c r="DB423" s="104" t="str">
        <f aca="false">IF($CP423&gt;$CO$8,"",VLOOKUP($CP423,$CR$9:$CX$508,4,FALSE()))</f>
        <v/>
      </c>
      <c r="DC423" s="104" t="str">
        <f aca="false">IF($CP423&gt;$CO$8,"",VLOOKUP($CP423,$CR$9:$CX$508,5,FALSE()))</f>
        <v/>
      </c>
      <c r="DD423" s="105" t="str">
        <f aca="false">IF($CP423&gt;$CO$8,"",VLOOKUP($CP423,$CR$9:$CX$508,6,FALSE()))</f>
        <v/>
      </c>
      <c r="DE423" s="70"/>
    </row>
    <row r="424" customFormat="false" ht="15.75" hidden="false" customHeight="false" outlineLevel="0" collapsed="false">
      <c r="A424" s="8"/>
      <c r="B424" s="72"/>
      <c r="C424" s="73"/>
      <c r="D424" s="155"/>
      <c r="E424" s="162"/>
      <c r="F424" s="157"/>
      <c r="G424" s="77"/>
      <c r="H424" s="77"/>
      <c r="I424" s="77"/>
      <c r="J424" s="163"/>
      <c r="K424" s="161"/>
      <c r="L424" s="161"/>
      <c r="M424" s="80"/>
      <c r="N424" s="161"/>
      <c r="O424" s="160"/>
      <c r="P424" s="161"/>
      <c r="Q424" s="161"/>
      <c r="R424" s="161"/>
      <c r="S424" s="77"/>
      <c r="T424" s="161"/>
      <c r="U424" s="160"/>
      <c r="V424" s="161"/>
      <c r="W424" s="85"/>
      <c r="X424" s="86" t="str">
        <f aca="false">IF(ISBLANK($C424),"",IF($E424=Constants!$B$2,TRUE(),IF($E424=Constants!$B$3,FALSE(),TRUE())))</f>
        <v/>
      </c>
      <c r="Y424" s="86" t="str">
        <f aca="false">IF(ISBLANK($C424),"",IF($F424=Constants!$B$2,TRUE(),IF($F424=Constants!$B$3,FALSE(),TRUE())))</f>
        <v/>
      </c>
      <c r="Z424" s="87" t="str">
        <f aca="false">IF(ISBLANK($C424),"",IF(ISNUMBER($G424),IF($G424&gt;=0,$G424,""),""))</f>
        <v/>
      </c>
      <c r="AA424" s="87" t="str">
        <f aca="false">IF(ISBLANK($C424),"",IF(ISNUMBER($H424),IF($H424&gt;=0,$H424,""),""))</f>
        <v/>
      </c>
      <c r="AB424" s="87" t="str">
        <f aca="false">IF(ISBLANK($C424),"",IF(ISNUMBER($I424),IF($I424&gt;=0,$I424,""),""))</f>
        <v/>
      </c>
      <c r="AC424" s="86" t="str">
        <f aca="false">IF(ISBLANK($C424),"",IF($J424=Constants!$B$2,TRUE(),IF($J424=Constants!$B$3,FALSE(),TRUE())))</f>
        <v/>
      </c>
      <c r="AD424" s="86" t="str">
        <f aca="false">IF(ISBLANK($C424),"",IF($K424=Constants!$B$2,TRUE(),IF($K424=Constants!$B$3,FALSE(),TRUE())))</f>
        <v/>
      </c>
      <c r="AE424" s="86" t="str">
        <f aca="false">IF(ISBLANK($C424),"",IF($L424=Constants!$B$2,TRUE(),IF($L424=Constants!$B$3,FALSE(),TRUE())))</f>
        <v/>
      </c>
      <c r="AF424" s="88" t="str">
        <f aca="false">IF(ISBLANK($C424),"",IF(ISNUMBER($M424),IF($M424&gt;=0,$M424,""),""))</f>
        <v/>
      </c>
      <c r="AG424" s="86" t="str">
        <f aca="false">IF(ISBLANK($C424),"",IF(ISBLANK($N424),0,IF(ISNUMBER($N424),IF(AND($N424&gt;=0,$N424&lt;=Constants!$B$17,$N424=INT($N424)),$N424,""),"")))</f>
        <v/>
      </c>
      <c r="AH424" s="87" t="str">
        <f aca="false">IF(ISBLANK($C424),"",IF(ISBLANK($O424),0,IF(ISNUMBER($O424),IF($O424&gt;=0,$O424,""),"")))</f>
        <v/>
      </c>
      <c r="AI424" s="86" t="str">
        <f aca="false">IF(ISBLANK($C424),"",IF($P424=Constants!$B$2,TRUE(),IF($P424=Constants!$B$3,FALSE(),TRUE())))</f>
        <v/>
      </c>
      <c r="AJ424" s="86" t="str">
        <f aca="false">IF(ISBLANK($C424),"",IF($Q424=Constants!$B$2,TRUE(),IF($Q424=Constants!$B$3,FALSE(),TRUE())))</f>
        <v/>
      </c>
      <c r="AK424" s="86" t="str">
        <f aca="false">IF(ISBLANK($C424),"",IF($R424=Constants!$B$2,TRUE(),IF($R424=Constants!$B$3,FALSE(),TRUE())))</f>
        <v/>
      </c>
      <c r="AL424" s="88" t="str">
        <f aca="false">IF(ISBLANK($C424),"",IF(ISNUMBER($S424),IF($S424&gt;=0,$S424,""),""))</f>
        <v/>
      </c>
      <c r="AM424" s="86" t="str">
        <f aca="false">IF(ISBLANK($C424),"",IF(ISBLANK($T424),0,IF(ISNUMBER($T424),IF(AND($T424&gt;=0,$T424&lt;=Constants!$B$17,$T424=INT($T424)),$T424,""),"")))</f>
        <v/>
      </c>
      <c r="AN424" s="87" t="str">
        <f aca="false">IF(ISBLANK($C424),"",IF(ISBLANK($U424),0,IF(ISNUMBER($U424),IF($U424&gt;=0,$U424,""),"")))</f>
        <v/>
      </c>
      <c r="AO424" s="86" t="str">
        <f aca="false">IF(ISBLANK($C424),"",IF($V424=Constants!$B$2,TRUE(),IF($V424=Constants!$B$3,FALSE(),FALSE())))</f>
        <v/>
      </c>
      <c r="AP424" s="86"/>
      <c r="AQ424" s="85" t="str">
        <f aca="false">IF(ISBLANK($C424),"",AND($Y424,OR($AS424,$BC424),OR($Z424="",$AA424="",$AB424="")))</f>
        <v/>
      </c>
      <c r="AR424" s="85" t="str">
        <f aca="false">IF(ISBLANK($C424),"",IF(OR(NOT($Y424),NOT(OR($AS424,$BC424))),"",IF(ISBLANK($D$7),$AR$5,IF($AP$9="",$AR$6,""))))</f>
        <v/>
      </c>
      <c r="AS424" s="85" t="str">
        <f aca="false">IF(ISBLANK($C424),"",COUNTA($J424:$O424)&gt;0)</f>
        <v/>
      </c>
      <c r="AT424" s="85" t="str">
        <f aca="false">IF(ISBLANK($C424),"",AND($AS424,OR(AND($AF424="",OR($AE424,NOT(ISBLANK($M424)))),$AG424="",$AH424="")))</f>
        <v/>
      </c>
      <c r="AU424" s="87" t="str">
        <f aca="false">IF($BL424&lt;&gt;Constants!$B$4,"",IF(NOT($AS424),"",ROUND((Constants!$B$12-$AB424)+(Constants!$B$13-$Z424)+(Constants!$B$14-$AA424),1)))</f>
        <v/>
      </c>
      <c r="AV424" s="90" t="str">
        <f aca="false">IF($BL424&lt;&gt;Constants!$B$4,"",IF(NOT($AS424),"",IF(NOT($AE424),0,Constants!$B$15*(INT(ROUND(MIN($AF424,$AP$9),6))-INT(ROUND(MAX(0,MIN($AF424,2*$AP$9)-$AP$9),6))))))</f>
        <v/>
      </c>
      <c r="AW424" s="90" t="str">
        <f aca="false">IF($BL424&lt;&gt;Constants!$B$4,"",IF(NOT($AS424),"",Constants!$B$16*$AG424))</f>
        <v/>
      </c>
      <c r="AX424" s="90" t="str">
        <f aca="false">IF($BL424&lt;&gt;Constants!$B$4,"",IF(NOT($AS424),"",Constants!$B$18*INT(ROUND($AH424,6))))</f>
        <v/>
      </c>
      <c r="AY424" s="85" t="str">
        <f aca="false">IF($BL424&lt;&gt;Constants!$B$4,"",IF(NOT($AS424),"",IF(NOT($X424),Constants!$B$11,IF(OR(NOT($AC424),NOT($AD424),ROUND($AB424,1)&gt;Constants!$B$12,ROUND($Z424,1)&gt;Constants!$B$13,ROUND($AA424,1)&gt;Constants!$B$14),Constants!$B$10,Constants!$B$9))))</f>
        <v/>
      </c>
      <c r="AZ424" s="91" t="str">
        <f aca="false">IF($BL424&lt;&gt;Constants!$B$4,"",IF(NOT($AS424),"",ROUND($AU424+$AV424+$AW424+$AX424,1)))</f>
        <v/>
      </c>
      <c r="BA424" s="92" t="str">
        <f aca="false">IF($BL424&lt;&gt;Constants!$B$4,"",IF(NOT($AS424),"",IF(ISNUMBER($AF424),$AF424,0)))</f>
        <v/>
      </c>
      <c r="BB424" s="86" t="str">
        <f aca="false">IF($BL424&lt;&gt;Constants!$B$4,"",IF(NOT($BC424),"&lt;-",IF(NOT($AS424),"-&gt;",IF(OR($BI424&lt;$AY424,AND($BI424=$AY424,OR($BJ424&gt;$AZ424,AND($BJ424=$AZ424,OR($BH424&gt;$AX424,AND($BH424=$AX424,OR($BE424&gt;$AU424,AND($BE424=$AU424,OR($BF424&gt;$AV424,AND($BF424=$AV424,$BK424&gt;$BA424)))))))))),"-&gt;","&lt;-"))))</f>
        <v/>
      </c>
      <c r="BC424" s="85" t="str">
        <f aca="false">IF(ISBLANK($C424),"",COUNTA($P424:$U424)&gt;0)</f>
        <v/>
      </c>
      <c r="BD424" s="85" t="str">
        <f aca="false">IF(ISBLANK($C424),"",AND($BC424,OR(AND($AL424="",OR($AK424,NOT(ISBLANK($S424)))),$AM424="",$AN424="")))</f>
        <v/>
      </c>
      <c r="BE424" s="87" t="str">
        <f aca="false">IF($BL424&lt;&gt;Constants!$B$4,"",IF(NOT($BC424),"",ROUND((Constants!$B$12-$AB424)+(Constants!$B$13-$Z424)+(Constants!$B$14-$AA424),1)))</f>
        <v/>
      </c>
      <c r="BF424" s="90" t="str">
        <f aca="false">IF($BL424&lt;&gt;Constants!$B$4,"",IF(NOT($BC424),"",IF(NOT($AK424),0,Constants!$B$15*(INT(ROUND(MIN($AL424,$AP$9),6))-INT(ROUND(MAX(0,MIN($AL424,2*$AP$9)-$AP$9),6))))))</f>
        <v/>
      </c>
      <c r="BG424" s="90" t="str">
        <f aca="false">IF($BL424&lt;&gt;Constants!$B$4,"",IF(NOT($BC424),"",Constants!$B$16*$AM424))</f>
        <v/>
      </c>
      <c r="BH424" s="90" t="str">
        <f aca="false">IF($BL424&lt;&gt;Constants!$B$4,"",IF(NOT($BC424),"",Constants!$B$18*INT(ROUND($AN424,6))))</f>
        <v/>
      </c>
      <c r="BI424" s="85" t="str">
        <f aca="false">IF($BL424&lt;&gt;Constants!$B$4,"",IF(NOT($BC424),"",IF(NOT($X424),Constants!$B$11,IF(OR(NOT($AI424),NOT($AJ424),ROUND($AB424,1)&gt;Constants!$B$12,ROUND($Z424,1)&gt;Constants!$B$13,ROUND($AA424,1)&gt;Constants!$B$14),Constants!$B$10,Constants!$B$9))))</f>
        <v/>
      </c>
      <c r="BJ424" s="91" t="str">
        <f aca="false">IF($BL424&lt;&gt;Constants!$B$4,"",IF(NOT($BC424),"",ROUND($BE424+$BF424+$BG424+$BH424,1)))</f>
        <v/>
      </c>
      <c r="BK424" s="92" t="str">
        <f aca="false">IF($BL424&lt;&gt;Constants!$B$4,"",IF(NOT($BC424),"",IF(ISNUMBER($AL424),$AL424,0)))</f>
        <v/>
      </c>
      <c r="BL424" s="86" t="str">
        <f aca="false">IF(ISBLANK($C424),"",IF($AO424,Constants!$B$7,IF(COUNTA($E424:$V424)=0,Constants!$B$6,IF(NOT($Y424),Constants!$B$5,IF(NOT(OR($AS424,$BC424)),Constants!$B$5,IF(OR($AT424,$BD424,$AQ424,$AR424&lt;&gt;""),Constants!$B$8,Constants!$B$4))))))</f>
        <v/>
      </c>
      <c r="BM424" s="86" t="str">
        <f aca="false">IF(ISBLANK($C424),"",IF($BL424&lt;&gt;Constants!$B$4,$BL424,IF($BB424="-&gt;",$BI424,$AY424)))</f>
        <v/>
      </c>
      <c r="BN424" s="90" t="str">
        <f aca="false">IF($BL424&lt;&gt;Constants!$B$4,"",IF($BB424="-&gt;",$BJ424,$AZ424))</f>
        <v/>
      </c>
      <c r="BO424" s="90" t="str">
        <f aca="false">IF(ISBLANK($C424),"",IF($BL424&lt;&gt;Constants!$B$4,$BL424,$BN424))</f>
        <v/>
      </c>
      <c r="BP424" s="86" t="str">
        <f aca="false">IF(ISBLANK($C424),"",IF($BL424&lt;&gt;Constants!$B$4,$BL424,RANK($BO424,$BO$9:$BO$508,0)))</f>
        <v/>
      </c>
      <c r="BQ424" s="86" t="str">
        <f aca="false">IF(ISBLANK($C424),"",IF($BL424&lt;&gt;Constants!$B$4,$BL424,COUNTIFS($BM$9:$BM$508,"&lt;"&amp;$BM424)+COUNTIFS($BM$9:$BM$508,$BM424,$BP$9:$BP$508,"&lt;"&amp;$BP424)+1))</f>
        <v/>
      </c>
      <c r="BR424" s="90" t="str">
        <f aca="false">IF($BL424&lt;&gt;Constants!$B$4,"",IF($BB424="-&gt;",$BH424,$AX424))</f>
        <v/>
      </c>
      <c r="BS424" s="86" t="str">
        <f aca="false">IF(ISBLANK($C424),"",IF($BL424&lt;&gt;Constants!$B$4,$BL424,IF(ISNUMBER($BR424),RANK($BR424,$BR$9:$BR$508,0),COUNT($BR$9:$BR$508)+1)))</f>
        <v/>
      </c>
      <c r="BT424" s="90" t="str">
        <f aca="false">IF($BL424&lt;&gt;Constants!$B$4,"",IF($BB424="-&gt;",$BE424,$AU424))</f>
        <v/>
      </c>
      <c r="BU424" s="86" t="str">
        <f aca="false">IF(ISBLANK($C424),"",IF($BL424&lt;&gt;Constants!$B$4,$BL424,IF(ISNUMBER($BT424),RANK($BT424,$BT$9:$BT$508,0),COUNT($BT$9:$BT$508)+1)))</f>
        <v/>
      </c>
      <c r="BV424" s="90" t="str">
        <f aca="false">IF($BL424&lt;&gt;Constants!$B$4,"",IF($BB424="-&gt;",$BF424,$AV424))</f>
        <v/>
      </c>
      <c r="BW424" s="86" t="str">
        <f aca="false">IF(ISBLANK($C424),"",IF($BL424&lt;&gt;Constants!$B$4,$BL424,IF(ISNUMBER($BV424),RANK($BV424,$BV$9:$BV$508,0),COUNT($BV$9:$BV$508)+1)))</f>
        <v/>
      </c>
      <c r="BX424" s="90" t="str">
        <f aca="false">IF($BL424&lt;&gt;Constants!$B$4,"",IF($BB424="-&gt;",$BK424,$BA424))</f>
        <v/>
      </c>
      <c r="BY424" s="86" t="str">
        <f aca="false">IF(ISBLANK($C424),"",IF($BL424&lt;&gt;Constants!$B$4,$BL424,IF(ISNUMBER($BX424),RANK($BX424,$BX$9:$BX$508,0),COUNT($BX$9:$BX$508)+1)))</f>
        <v/>
      </c>
      <c r="BZ424" s="86" t="str">
        <f aca="false">IF(ISBLANK($C424),"",IF($BL424&lt;&gt;Constants!$B$4,$BL424,COUNTIFS($BM$9:$BM$508,"&lt;"&amp;$BM424)+COUNTIFS($BM$9:$BM$508,$BM424,$BP$9:$BP$508,"&lt;"&amp;$BP424)+COUNTIFS($BM$9:$BM$508,$BM424,$BP$9:$BP$508,$BP424,$BS$9:$BS$508,"&lt;"&amp;$BS424)+COUNTIFS($BM$9:$BM$508,$BM424,$BP$9:$BP$508,$BP424,$BS$9:$BS$508,$BS424,$BU$9:$BU$508,"&lt;"&amp;$BU424)+COUNTIFS($BM$9:$BM$508,$BM424,$BP$9:$BP$508,$BP424,$BS$9:$BS$508,$BS424,$BU$9:$BU$508,$BU424,$BW$9:$BW$508,"&lt;"&amp;$BW424)+COUNTIFS($BM$9:$BM$508,$BM424,$BP$9:$BP$508,$BP424,$BS$9:$BS$508,$BS424,$BU$9:$BU$508,$BU424,$BW$9:$BW$508,$BW424,$BY$9:$BY$508,"&lt;"&amp;$BY424)+1))</f>
        <v/>
      </c>
      <c r="CA424" s="86" t="str">
        <f aca="false">IF(ISBLANK($C424),"",IF($BL424&lt;&gt;Constants!$B$4,$BL424,$BQ424-$BZ424))</f>
        <v/>
      </c>
      <c r="CB424" s="93"/>
      <c r="CC424" s="94" t="str">
        <f aca="false">IF(ISBLANK($C424),"",IF($BL424=Constants!$B$8,$AR424,""))</f>
        <v/>
      </c>
      <c r="CD424" s="94" t="str">
        <f aca="false">IF(ISBLANK($C424),"",IF($BL424&lt;&gt;Constants!$B$4,"",IF($BB424="-&gt;",2,1)))</f>
        <v/>
      </c>
      <c r="CE424" s="95" t="str">
        <f aca="false">IF(ISBLANK($C424),"",IF($BL424&lt;&gt;Constants!$B$4,"",IF($BB424="-&gt;",$BE424,$AU424)))</f>
        <v/>
      </c>
      <c r="CF424" s="95" t="str">
        <f aca="false">IF(ISBLANK($C424),"",IF($BL424&lt;&gt;Constants!$B$4,"",IF($BB424="-&gt;",$BF424,$AV424)))</f>
        <v/>
      </c>
      <c r="CG424" s="95" t="str">
        <f aca="false">IF(ISBLANK($C424),"",IF($BL424&lt;&gt;Constants!$B$4,"",IF($BB424="-&gt;",$BG424,$AW424)))</f>
        <v/>
      </c>
      <c r="CH424" s="95" t="str">
        <f aca="false">IF(ISBLANK($C424),"",IF($BL424&lt;&gt;Constants!$B$4,"",IF($BB424="-&gt;",$BH424,$AX424)))</f>
        <v/>
      </c>
      <c r="CI424" s="96" t="str">
        <f aca="false">IF(ISBLANK($C424),"",$BO424)</f>
        <v/>
      </c>
      <c r="CJ424" s="97" t="str">
        <f aca="false">IF(ISBLANK($C424),"",$BM424)</f>
        <v/>
      </c>
      <c r="CK424" s="98" t="str">
        <f aca="false">IF(ISBLANK($C424),"",$CA424)</f>
        <v/>
      </c>
      <c r="CL424" s="98" t="str">
        <f aca="false">IF(ISBLANK($C424),"",$BZ424)</f>
        <v/>
      </c>
      <c r="CM424" s="99" t="str">
        <f aca="false">IF(ISBLANK($C424),"",IF($CL424=Constants!$B$7,COUNTA($C$9:$C$508)+2,IF($CL424=Constants!$B$6,COUNTA($C$9:$C$508)+1,IF($CL424=Constants!$B$5,COUNTA($C$9:$C$508),$CL424))))</f>
        <v/>
      </c>
      <c r="CN424" s="8"/>
      <c r="CO424" s="100" t="n">
        <f aca="false">IF(OR(ISNUMBER($CL424),$CL424=Constants!$B$7,$CL424=Constants!$B$5,$CL424=Constants!$B$6),1,0)</f>
        <v>0</v>
      </c>
      <c r="CP424" s="100" t="n">
        <v>416</v>
      </c>
      <c r="CQ424" s="100" t="str">
        <f aca="false">IF(ISBLANK($C424),"",IF(ISNUMBER($CM424),$CM424+ROW($B424)/1000,""))</f>
        <v/>
      </c>
      <c r="CR424" s="100" t="str">
        <f aca="false">IF(ISNUMBER($CQ424),RANK($CQ424,$CQ$9:$CQ$508,1),"")</f>
        <v/>
      </c>
      <c r="CS424" s="100" t="str">
        <f aca="false">IF(ISBLANK($C424),"",$B424)</f>
        <v/>
      </c>
      <c r="CT424" s="100" t="str">
        <f aca="false">IF(ISBLANK($C424),"",$C424)</f>
        <v/>
      </c>
      <c r="CU424" s="100" t="str">
        <f aca="false">IF(ISBLANK($C424),"",$D424)</f>
        <v/>
      </c>
      <c r="CV424" s="101" t="str">
        <f aca="false">$CJ424</f>
        <v/>
      </c>
      <c r="CW424" s="102" t="str">
        <f aca="false">$CI424</f>
        <v/>
      </c>
      <c r="CX424" s="100" t="str">
        <f aca="false">IF(ISBLANK($C424),"",$CL424)</f>
        <v/>
      </c>
      <c r="CY424" s="103" t="str">
        <f aca="false">IF($CP424&gt;$CO$8,"",VLOOKUP($CP424,$CR$9:$CX$508,7,FALSE()))</f>
        <v/>
      </c>
      <c r="CZ424" s="104" t="str">
        <f aca="false">IF($CP424&gt;$CO$8,"",VLOOKUP($CP424,$CR$9:$CX$508,2,FALSE()))</f>
        <v/>
      </c>
      <c r="DA424" s="104" t="str">
        <f aca="false">IF($CP424&gt;$CO$8,"",VLOOKUP($CP424,$CR$9:$CX$508,3,FALSE()))</f>
        <v/>
      </c>
      <c r="DB424" s="104" t="str">
        <f aca="false">IF($CP424&gt;$CO$8,"",VLOOKUP($CP424,$CR$9:$CX$508,4,FALSE()))</f>
        <v/>
      </c>
      <c r="DC424" s="104" t="str">
        <f aca="false">IF($CP424&gt;$CO$8,"",VLOOKUP($CP424,$CR$9:$CX$508,5,FALSE()))</f>
        <v/>
      </c>
      <c r="DD424" s="105" t="str">
        <f aca="false">IF($CP424&gt;$CO$8,"",VLOOKUP($CP424,$CR$9:$CX$508,6,FALSE()))</f>
        <v/>
      </c>
      <c r="DE424" s="70"/>
    </row>
    <row r="425" customFormat="false" ht="15.75" hidden="false" customHeight="false" outlineLevel="0" collapsed="false">
      <c r="A425" s="8"/>
      <c r="B425" s="72"/>
      <c r="C425" s="73"/>
      <c r="D425" s="155"/>
      <c r="E425" s="162"/>
      <c r="F425" s="157"/>
      <c r="G425" s="77"/>
      <c r="H425" s="77"/>
      <c r="I425" s="77"/>
      <c r="J425" s="163"/>
      <c r="K425" s="161"/>
      <c r="L425" s="161"/>
      <c r="M425" s="80"/>
      <c r="N425" s="161"/>
      <c r="O425" s="160"/>
      <c r="P425" s="161"/>
      <c r="Q425" s="161"/>
      <c r="R425" s="161"/>
      <c r="S425" s="77"/>
      <c r="T425" s="161"/>
      <c r="U425" s="160"/>
      <c r="V425" s="161"/>
      <c r="W425" s="85"/>
      <c r="X425" s="86" t="str">
        <f aca="false">IF(ISBLANK($C425),"",IF($E425=Constants!$B$2,TRUE(),IF($E425=Constants!$B$3,FALSE(),TRUE())))</f>
        <v/>
      </c>
      <c r="Y425" s="86" t="str">
        <f aca="false">IF(ISBLANK($C425),"",IF($F425=Constants!$B$2,TRUE(),IF($F425=Constants!$B$3,FALSE(),TRUE())))</f>
        <v/>
      </c>
      <c r="Z425" s="87" t="str">
        <f aca="false">IF(ISBLANK($C425),"",IF(ISNUMBER($G425),IF($G425&gt;=0,$G425,""),""))</f>
        <v/>
      </c>
      <c r="AA425" s="87" t="str">
        <f aca="false">IF(ISBLANK($C425),"",IF(ISNUMBER($H425),IF($H425&gt;=0,$H425,""),""))</f>
        <v/>
      </c>
      <c r="AB425" s="87" t="str">
        <f aca="false">IF(ISBLANK($C425),"",IF(ISNUMBER($I425),IF($I425&gt;=0,$I425,""),""))</f>
        <v/>
      </c>
      <c r="AC425" s="86" t="str">
        <f aca="false">IF(ISBLANK($C425),"",IF($J425=Constants!$B$2,TRUE(),IF($J425=Constants!$B$3,FALSE(),TRUE())))</f>
        <v/>
      </c>
      <c r="AD425" s="86" t="str">
        <f aca="false">IF(ISBLANK($C425),"",IF($K425=Constants!$B$2,TRUE(),IF($K425=Constants!$B$3,FALSE(),TRUE())))</f>
        <v/>
      </c>
      <c r="AE425" s="86" t="str">
        <f aca="false">IF(ISBLANK($C425),"",IF($L425=Constants!$B$2,TRUE(),IF($L425=Constants!$B$3,FALSE(),TRUE())))</f>
        <v/>
      </c>
      <c r="AF425" s="88" t="str">
        <f aca="false">IF(ISBLANK($C425),"",IF(ISNUMBER($M425),IF($M425&gt;=0,$M425,""),""))</f>
        <v/>
      </c>
      <c r="AG425" s="86" t="str">
        <f aca="false">IF(ISBLANK($C425),"",IF(ISBLANK($N425),0,IF(ISNUMBER($N425),IF(AND($N425&gt;=0,$N425&lt;=Constants!$B$17,$N425=INT($N425)),$N425,""),"")))</f>
        <v/>
      </c>
      <c r="AH425" s="87" t="str">
        <f aca="false">IF(ISBLANK($C425),"",IF(ISBLANK($O425),0,IF(ISNUMBER($O425),IF($O425&gt;=0,$O425,""),"")))</f>
        <v/>
      </c>
      <c r="AI425" s="86" t="str">
        <f aca="false">IF(ISBLANK($C425),"",IF($P425=Constants!$B$2,TRUE(),IF($P425=Constants!$B$3,FALSE(),TRUE())))</f>
        <v/>
      </c>
      <c r="AJ425" s="86" t="str">
        <f aca="false">IF(ISBLANK($C425),"",IF($Q425=Constants!$B$2,TRUE(),IF($Q425=Constants!$B$3,FALSE(),TRUE())))</f>
        <v/>
      </c>
      <c r="AK425" s="86" t="str">
        <f aca="false">IF(ISBLANK($C425),"",IF($R425=Constants!$B$2,TRUE(),IF($R425=Constants!$B$3,FALSE(),TRUE())))</f>
        <v/>
      </c>
      <c r="AL425" s="88" t="str">
        <f aca="false">IF(ISBLANK($C425),"",IF(ISNUMBER($S425),IF($S425&gt;=0,$S425,""),""))</f>
        <v/>
      </c>
      <c r="AM425" s="86" t="str">
        <f aca="false">IF(ISBLANK($C425),"",IF(ISBLANK($T425),0,IF(ISNUMBER($T425),IF(AND($T425&gt;=0,$T425&lt;=Constants!$B$17,$T425=INT($T425)),$T425,""),"")))</f>
        <v/>
      </c>
      <c r="AN425" s="87" t="str">
        <f aca="false">IF(ISBLANK($C425),"",IF(ISBLANK($U425),0,IF(ISNUMBER($U425),IF($U425&gt;=0,$U425,""),"")))</f>
        <v/>
      </c>
      <c r="AO425" s="86" t="str">
        <f aca="false">IF(ISBLANK($C425),"",IF($V425=Constants!$B$2,TRUE(),IF($V425=Constants!$B$3,FALSE(),FALSE())))</f>
        <v/>
      </c>
      <c r="AP425" s="86"/>
      <c r="AQ425" s="85" t="str">
        <f aca="false">IF(ISBLANK($C425),"",AND($Y425,OR($AS425,$BC425),OR($Z425="",$AA425="",$AB425="")))</f>
        <v/>
      </c>
      <c r="AR425" s="85" t="str">
        <f aca="false">IF(ISBLANK($C425),"",IF(OR(NOT($Y425),NOT(OR($AS425,$BC425))),"",IF(ISBLANK($D$7),$AR$5,IF($AP$9="",$AR$6,""))))</f>
        <v/>
      </c>
      <c r="AS425" s="85" t="str">
        <f aca="false">IF(ISBLANK($C425),"",COUNTA($J425:$O425)&gt;0)</f>
        <v/>
      </c>
      <c r="AT425" s="85" t="str">
        <f aca="false">IF(ISBLANK($C425),"",AND($AS425,OR(AND($AF425="",OR($AE425,NOT(ISBLANK($M425)))),$AG425="",$AH425="")))</f>
        <v/>
      </c>
      <c r="AU425" s="87" t="str">
        <f aca="false">IF($BL425&lt;&gt;Constants!$B$4,"",IF(NOT($AS425),"",ROUND((Constants!$B$12-$AB425)+(Constants!$B$13-$Z425)+(Constants!$B$14-$AA425),1)))</f>
        <v/>
      </c>
      <c r="AV425" s="90" t="str">
        <f aca="false">IF($BL425&lt;&gt;Constants!$B$4,"",IF(NOT($AS425),"",IF(NOT($AE425),0,Constants!$B$15*(INT(ROUND(MIN($AF425,$AP$9),6))-INT(ROUND(MAX(0,MIN($AF425,2*$AP$9)-$AP$9),6))))))</f>
        <v/>
      </c>
      <c r="AW425" s="90" t="str">
        <f aca="false">IF($BL425&lt;&gt;Constants!$B$4,"",IF(NOT($AS425),"",Constants!$B$16*$AG425))</f>
        <v/>
      </c>
      <c r="AX425" s="90" t="str">
        <f aca="false">IF($BL425&lt;&gt;Constants!$B$4,"",IF(NOT($AS425),"",Constants!$B$18*INT(ROUND($AH425,6))))</f>
        <v/>
      </c>
      <c r="AY425" s="85" t="str">
        <f aca="false">IF($BL425&lt;&gt;Constants!$B$4,"",IF(NOT($AS425),"",IF(NOT($X425),Constants!$B$11,IF(OR(NOT($AC425),NOT($AD425),ROUND($AB425,1)&gt;Constants!$B$12,ROUND($Z425,1)&gt;Constants!$B$13,ROUND($AA425,1)&gt;Constants!$B$14),Constants!$B$10,Constants!$B$9))))</f>
        <v/>
      </c>
      <c r="AZ425" s="91" t="str">
        <f aca="false">IF($BL425&lt;&gt;Constants!$B$4,"",IF(NOT($AS425),"",ROUND($AU425+$AV425+$AW425+$AX425,1)))</f>
        <v/>
      </c>
      <c r="BA425" s="92" t="str">
        <f aca="false">IF($BL425&lt;&gt;Constants!$B$4,"",IF(NOT($AS425),"",IF(ISNUMBER($AF425),$AF425,0)))</f>
        <v/>
      </c>
      <c r="BB425" s="86" t="str">
        <f aca="false">IF($BL425&lt;&gt;Constants!$B$4,"",IF(NOT($BC425),"&lt;-",IF(NOT($AS425),"-&gt;",IF(OR($BI425&lt;$AY425,AND($BI425=$AY425,OR($BJ425&gt;$AZ425,AND($BJ425=$AZ425,OR($BH425&gt;$AX425,AND($BH425=$AX425,OR($BE425&gt;$AU425,AND($BE425=$AU425,OR($BF425&gt;$AV425,AND($BF425=$AV425,$BK425&gt;$BA425)))))))))),"-&gt;","&lt;-"))))</f>
        <v/>
      </c>
      <c r="BC425" s="85" t="str">
        <f aca="false">IF(ISBLANK($C425),"",COUNTA($P425:$U425)&gt;0)</f>
        <v/>
      </c>
      <c r="BD425" s="85" t="str">
        <f aca="false">IF(ISBLANK($C425),"",AND($BC425,OR(AND($AL425="",OR($AK425,NOT(ISBLANK($S425)))),$AM425="",$AN425="")))</f>
        <v/>
      </c>
      <c r="BE425" s="87" t="str">
        <f aca="false">IF($BL425&lt;&gt;Constants!$B$4,"",IF(NOT($BC425),"",ROUND((Constants!$B$12-$AB425)+(Constants!$B$13-$Z425)+(Constants!$B$14-$AA425),1)))</f>
        <v/>
      </c>
      <c r="BF425" s="90" t="str">
        <f aca="false">IF($BL425&lt;&gt;Constants!$B$4,"",IF(NOT($BC425),"",IF(NOT($AK425),0,Constants!$B$15*(INT(ROUND(MIN($AL425,$AP$9),6))-INT(ROUND(MAX(0,MIN($AL425,2*$AP$9)-$AP$9),6))))))</f>
        <v/>
      </c>
      <c r="BG425" s="90" t="str">
        <f aca="false">IF($BL425&lt;&gt;Constants!$B$4,"",IF(NOT($BC425),"",Constants!$B$16*$AM425))</f>
        <v/>
      </c>
      <c r="BH425" s="90" t="str">
        <f aca="false">IF($BL425&lt;&gt;Constants!$B$4,"",IF(NOT($BC425),"",Constants!$B$18*INT(ROUND($AN425,6))))</f>
        <v/>
      </c>
      <c r="BI425" s="85" t="str">
        <f aca="false">IF($BL425&lt;&gt;Constants!$B$4,"",IF(NOT($BC425),"",IF(NOT($X425),Constants!$B$11,IF(OR(NOT($AI425),NOT($AJ425),ROUND($AB425,1)&gt;Constants!$B$12,ROUND($Z425,1)&gt;Constants!$B$13,ROUND($AA425,1)&gt;Constants!$B$14),Constants!$B$10,Constants!$B$9))))</f>
        <v/>
      </c>
      <c r="BJ425" s="91" t="str">
        <f aca="false">IF($BL425&lt;&gt;Constants!$B$4,"",IF(NOT($BC425),"",ROUND($BE425+$BF425+$BG425+$BH425,1)))</f>
        <v/>
      </c>
      <c r="BK425" s="92" t="str">
        <f aca="false">IF($BL425&lt;&gt;Constants!$B$4,"",IF(NOT($BC425),"",IF(ISNUMBER($AL425),$AL425,0)))</f>
        <v/>
      </c>
      <c r="BL425" s="86" t="str">
        <f aca="false">IF(ISBLANK($C425),"",IF($AO425,Constants!$B$7,IF(COUNTA($E425:$V425)=0,Constants!$B$6,IF(NOT($Y425),Constants!$B$5,IF(NOT(OR($AS425,$BC425)),Constants!$B$5,IF(OR($AT425,$BD425,$AQ425,$AR425&lt;&gt;""),Constants!$B$8,Constants!$B$4))))))</f>
        <v/>
      </c>
      <c r="BM425" s="86" t="str">
        <f aca="false">IF(ISBLANK($C425),"",IF($BL425&lt;&gt;Constants!$B$4,$BL425,IF($BB425="-&gt;",$BI425,$AY425)))</f>
        <v/>
      </c>
      <c r="BN425" s="90" t="str">
        <f aca="false">IF($BL425&lt;&gt;Constants!$B$4,"",IF($BB425="-&gt;",$BJ425,$AZ425))</f>
        <v/>
      </c>
      <c r="BO425" s="90" t="str">
        <f aca="false">IF(ISBLANK($C425),"",IF($BL425&lt;&gt;Constants!$B$4,$BL425,$BN425))</f>
        <v/>
      </c>
      <c r="BP425" s="86" t="str">
        <f aca="false">IF(ISBLANK($C425),"",IF($BL425&lt;&gt;Constants!$B$4,$BL425,RANK($BO425,$BO$9:$BO$508,0)))</f>
        <v/>
      </c>
      <c r="BQ425" s="86" t="str">
        <f aca="false">IF(ISBLANK($C425),"",IF($BL425&lt;&gt;Constants!$B$4,$BL425,COUNTIFS($BM$9:$BM$508,"&lt;"&amp;$BM425)+COUNTIFS($BM$9:$BM$508,$BM425,$BP$9:$BP$508,"&lt;"&amp;$BP425)+1))</f>
        <v/>
      </c>
      <c r="BR425" s="90" t="str">
        <f aca="false">IF($BL425&lt;&gt;Constants!$B$4,"",IF($BB425="-&gt;",$BH425,$AX425))</f>
        <v/>
      </c>
      <c r="BS425" s="86" t="str">
        <f aca="false">IF(ISBLANK($C425),"",IF($BL425&lt;&gt;Constants!$B$4,$BL425,IF(ISNUMBER($BR425),RANK($BR425,$BR$9:$BR$508,0),COUNT($BR$9:$BR$508)+1)))</f>
        <v/>
      </c>
      <c r="BT425" s="90" t="str">
        <f aca="false">IF($BL425&lt;&gt;Constants!$B$4,"",IF($BB425="-&gt;",$BE425,$AU425))</f>
        <v/>
      </c>
      <c r="BU425" s="86" t="str">
        <f aca="false">IF(ISBLANK($C425),"",IF($BL425&lt;&gt;Constants!$B$4,$BL425,IF(ISNUMBER($BT425),RANK($BT425,$BT$9:$BT$508,0),COUNT($BT$9:$BT$508)+1)))</f>
        <v/>
      </c>
      <c r="BV425" s="90" t="str">
        <f aca="false">IF($BL425&lt;&gt;Constants!$B$4,"",IF($BB425="-&gt;",$BF425,$AV425))</f>
        <v/>
      </c>
      <c r="BW425" s="86" t="str">
        <f aca="false">IF(ISBLANK($C425),"",IF($BL425&lt;&gt;Constants!$B$4,$BL425,IF(ISNUMBER($BV425),RANK($BV425,$BV$9:$BV$508,0),COUNT($BV$9:$BV$508)+1)))</f>
        <v/>
      </c>
      <c r="BX425" s="90" t="str">
        <f aca="false">IF($BL425&lt;&gt;Constants!$B$4,"",IF($BB425="-&gt;",$BK425,$BA425))</f>
        <v/>
      </c>
      <c r="BY425" s="86" t="str">
        <f aca="false">IF(ISBLANK($C425),"",IF($BL425&lt;&gt;Constants!$B$4,$BL425,IF(ISNUMBER($BX425),RANK($BX425,$BX$9:$BX$508,0),COUNT($BX$9:$BX$508)+1)))</f>
        <v/>
      </c>
      <c r="BZ425" s="86" t="str">
        <f aca="false">IF(ISBLANK($C425),"",IF($BL425&lt;&gt;Constants!$B$4,$BL425,COUNTIFS($BM$9:$BM$508,"&lt;"&amp;$BM425)+COUNTIFS($BM$9:$BM$508,$BM425,$BP$9:$BP$508,"&lt;"&amp;$BP425)+COUNTIFS($BM$9:$BM$508,$BM425,$BP$9:$BP$508,$BP425,$BS$9:$BS$508,"&lt;"&amp;$BS425)+COUNTIFS($BM$9:$BM$508,$BM425,$BP$9:$BP$508,$BP425,$BS$9:$BS$508,$BS425,$BU$9:$BU$508,"&lt;"&amp;$BU425)+COUNTIFS($BM$9:$BM$508,$BM425,$BP$9:$BP$508,$BP425,$BS$9:$BS$508,$BS425,$BU$9:$BU$508,$BU425,$BW$9:$BW$508,"&lt;"&amp;$BW425)+COUNTIFS($BM$9:$BM$508,$BM425,$BP$9:$BP$508,$BP425,$BS$9:$BS$508,$BS425,$BU$9:$BU$508,$BU425,$BW$9:$BW$508,$BW425,$BY$9:$BY$508,"&lt;"&amp;$BY425)+1))</f>
        <v/>
      </c>
      <c r="CA425" s="86" t="str">
        <f aca="false">IF(ISBLANK($C425),"",IF($BL425&lt;&gt;Constants!$B$4,$BL425,$BQ425-$BZ425))</f>
        <v/>
      </c>
      <c r="CB425" s="93"/>
      <c r="CC425" s="94" t="str">
        <f aca="false">IF(ISBLANK($C425),"",IF($BL425=Constants!$B$8,$AR425,""))</f>
        <v/>
      </c>
      <c r="CD425" s="94" t="str">
        <f aca="false">IF(ISBLANK($C425),"",IF($BL425&lt;&gt;Constants!$B$4,"",IF($BB425="-&gt;",2,1)))</f>
        <v/>
      </c>
      <c r="CE425" s="95" t="str">
        <f aca="false">IF(ISBLANK($C425),"",IF($BL425&lt;&gt;Constants!$B$4,"",IF($BB425="-&gt;",$BE425,$AU425)))</f>
        <v/>
      </c>
      <c r="CF425" s="95" t="str">
        <f aca="false">IF(ISBLANK($C425),"",IF($BL425&lt;&gt;Constants!$B$4,"",IF($BB425="-&gt;",$BF425,$AV425)))</f>
        <v/>
      </c>
      <c r="CG425" s="95" t="str">
        <f aca="false">IF(ISBLANK($C425),"",IF($BL425&lt;&gt;Constants!$B$4,"",IF($BB425="-&gt;",$BG425,$AW425)))</f>
        <v/>
      </c>
      <c r="CH425" s="95" t="str">
        <f aca="false">IF(ISBLANK($C425),"",IF($BL425&lt;&gt;Constants!$B$4,"",IF($BB425="-&gt;",$BH425,$AX425)))</f>
        <v/>
      </c>
      <c r="CI425" s="96" t="str">
        <f aca="false">IF(ISBLANK($C425),"",$BO425)</f>
        <v/>
      </c>
      <c r="CJ425" s="97" t="str">
        <f aca="false">IF(ISBLANK($C425),"",$BM425)</f>
        <v/>
      </c>
      <c r="CK425" s="98" t="str">
        <f aca="false">IF(ISBLANK($C425),"",$CA425)</f>
        <v/>
      </c>
      <c r="CL425" s="98" t="str">
        <f aca="false">IF(ISBLANK($C425),"",$BZ425)</f>
        <v/>
      </c>
      <c r="CM425" s="99" t="str">
        <f aca="false">IF(ISBLANK($C425),"",IF($CL425=Constants!$B$7,COUNTA($C$9:$C$508)+2,IF($CL425=Constants!$B$6,COUNTA($C$9:$C$508)+1,IF($CL425=Constants!$B$5,COUNTA($C$9:$C$508),$CL425))))</f>
        <v/>
      </c>
      <c r="CN425" s="8"/>
      <c r="CO425" s="100" t="n">
        <f aca="false">IF(OR(ISNUMBER($CL425),$CL425=Constants!$B$7,$CL425=Constants!$B$5,$CL425=Constants!$B$6),1,0)</f>
        <v>0</v>
      </c>
      <c r="CP425" s="100" t="n">
        <v>417</v>
      </c>
      <c r="CQ425" s="100" t="str">
        <f aca="false">IF(ISBLANK($C425),"",IF(ISNUMBER($CM425),$CM425+ROW($B425)/1000,""))</f>
        <v/>
      </c>
      <c r="CR425" s="100" t="str">
        <f aca="false">IF(ISNUMBER($CQ425),RANK($CQ425,$CQ$9:$CQ$508,1),"")</f>
        <v/>
      </c>
      <c r="CS425" s="100" t="str">
        <f aca="false">IF(ISBLANK($C425),"",$B425)</f>
        <v/>
      </c>
      <c r="CT425" s="100" t="str">
        <f aca="false">IF(ISBLANK($C425),"",$C425)</f>
        <v/>
      </c>
      <c r="CU425" s="100" t="str">
        <f aca="false">IF(ISBLANK($C425),"",$D425)</f>
        <v/>
      </c>
      <c r="CV425" s="101" t="str">
        <f aca="false">$CJ425</f>
        <v/>
      </c>
      <c r="CW425" s="102" t="str">
        <f aca="false">$CI425</f>
        <v/>
      </c>
      <c r="CX425" s="100" t="str">
        <f aca="false">IF(ISBLANK($C425),"",$CL425)</f>
        <v/>
      </c>
      <c r="CY425" s="103" t="str">
        <f aca="false">IF($CP425&gt;$CO$8,"",VLOOKUP($CP425,$CR$9:$CX$508,7,FALSE()))</f>
        <v/>
      </c>
      <c r="CZ425" s="104" t="str">
        <f aca="false">IF($CP425&gt;$CO$8,"",VLOOKUP($CP425,$CR$9:$CX$508,2,FALSE()))</f>
        <v/>
      </c>
      <c r="DA425" s="104" t="str">
        <f aca="false">IF($CP425&gt;$CO$8,"",VLOOKUP($CP425,$CR$9:$CX$508,3,FALSE()))</f>
        <v/>
      </c>
      <c r="DB425" s="104" t="str">
        <f aca="false">IF($CP425&gt;$CO$8,"",VLOOKUP($CP425,$CR$9:$CX$508,4,FALSE()))</f>
        <v/>
      </c>
      <c r="DC425" s="104" t="str">
        <f aca="false">IF($CP425&gt;$CO$8,"",VLOOKUP($CP425,$CR$9:$CX$508,5,FALSE()))</f>
        <v/>
      </c>
      <c r="DD425" s="105" t="str">
        <f aca="false">IF($CP425&gt;$CO$8,"",VLOOKUP($CP425,$CR$9:$CX$508,6,FALSE()))</f>
        <v/>
      </c>
      <c r="DE425" s="70"/>
    </row>
    <row r="426" customFormat="false" ht="15.75" hidden="false" customHeight="false" outlineLevel="0" collapsed="false">
      <c r="A426" s="8"/>
      <c r="B426" s="146"/>
      <c r="C426" s="147"/>
      <c r="D426" s="148"/>
      <c r="E426" s="164"/>
      <c r="F426" s="150"/>
      <c r="G426" s="115"/>
      <c r="H426" s="115"/>
      <c r="I426" s="115"/>
      <c r="J426" s="165"/>
      <c r="K426" s="154"/>
      <c r="L426" s="154"/>
      <c r="M426" s="118"/>
      <c r="N426" s="154"/>
      <c r="O426" s="153"/>
      <c r="P426" s="154"/>
      <c r="Q426" s="154"/>
      <c r="R426" s="154"/>
      <c r="S426" s="115"/>
      <c r="T426" s="154"/>
      <c r="U426" s="153"/>
      <c r="V426" s="154"/>
      <c r="W426" s="123"/>
      <c r="X426" s="124" t="str">
        <f aca="false">IF(ISBLANK($C426),"",IF($E426=Constants!$B$2,TRUE(),IF($E426=Constants!$B$3,FALSE(),TRUE())))</f>
        <v/>
      </c>
      <c r="Y426" s="124" t="str">
        <f aca="false">IF(ISBLANK($C426),"",IF($F426=Constants!$B$2,TRUE(),IF($F426=Constants!$B$3,FALSE(),TRUE())))</f>
        <v/>
      </c>
      <c r="Z426" s="125" t="str">
        <f aca="false">IF(ISBLANK($C426),"",IF(ISNUMBER($G426),IF($G426&gt;=0,$G426,""),""))</f>
        <v/>
      </c>
      <c r="AA426" s="125" t="str">
        <f aca="false">IF(ISBLANK($C426),"",IF(ISNUMBER($H426),IF($H426&gt;=0,$H426,""),""))</f>
        <v/>
      </c>
      <c r="AB426" s="125" t="str">
        <f aca="false">IF(ISBLANK($C426),"",IF(ISNUMBER($I426),IF($I426&gt;=0,$I426,""),""))</f>
        <v/>
      </c>
      <c r="AC426" s="124" t="str">
        <f aca="false">IF(ISBLANK($C426),"",IF($J426=Constants!$B$2,TRUE(),IF($J426=Constants!$B$3,FALSE(),TRUE())))</f>
        <v/>
      </c>
      <c r="AD426" s="124" t="str">
        <f aca="false">IF(ISBLANK($C426),"",IF($K426=Constants!$B$2,TRUE(),IF($K426=Constants!$B$3,FALSE(),TRUE())))</f>
        <v/>
      </c>
      <c r="AE426" s="124" t="str">
        <f aca="false">IF(ISBLANK($C426),"",IF($L426=Constants!$B$2,TRUE(),IF($L426=Constants!$B$3,FALSE(),TRUE())))</f>
        <v/>
      </c>
      <c r="AF426" s="126" t="str">
        <f aca="false">IF(ISBLANK($C426),"",IF(ISNUMBER($M426),IF($M426&gt;=0,$M426,""),""))</f>
        <v/>
      </c>
      <c r="AG426" s="124" t="str">
        <f aca="false">IF(ISBLANK($C426),"",IF(ISBLANK($N426),0,IF(ISNUMBER($N426),IF(AND($N426&gt;=0,$N426&lt;=Constants!$B$17,$N426=INT($N426)),$N426,""),"")))</f>
        <v/>
      </c>
      <c r="AH426" s="125" t="str">
        <f aca="false">IF(ISBLANK($C426),"",IF(ISBLANK($O426),0,IF(ISNUMBER($O426),IF($O426&gt;=0,$O426,""),"")))</f>
        <v/>
      </c>
      <c r="AI426" s="124" t="str">
        <f aca="false">IF(ISBLANK($C426),"",IF($P426=Constants!$B$2,TRUE(),IF($P426=Constants!$B$3,FALSE(),TRUE())))</f>
        <v/>
      </c>
      <c r="AJ426" s="124" t="str">
        <f aca="false">IF(ISBLANK($C426),"",IF($Q426=Constants!$B$2,TRUE(),IF($Q426=Constants!$B$3,FALSE(),TRUE())))</f>
        <v/>
      </c>
      <c r="AK426" s="124" t="str">
        <f aca="false">IF(ISBLANK($C426),"",IF($R426=Constants!$B$2,TRUE(),IF($R426=Constants!$B$3,FALSE(),TRUE())))</f>
        <v/>
      </c>
      <c r="AL426" s="126" t="str">
        <f aca="false">IF(ISBLANK($C426),"",IF(ISNUMBER($S426),IF($S426&gt;=0,$S426,""),""))</f>
        <v/>
      </c>
      <c r="AM426" s="124" t="str">
        <f aca="false">IF(ISBLANK($C426),"",IF(ISBLANK($T426),0,IF(ISNUMBER($T426),IF(AND($T426&gt;=0,$T426&lt;=Constants!$B$17,$T426=INT($T426)),$T426,""),"")))</f>
        <v/>
      </c>
      <c r="AN426" s="125" t="str">
        <f aca="false">IF(ISBLANK($C426),"",IF(ISBLANK($U426),0,IF(ISNUMBER($U426),IF($U426&gt;=0,$U426,""),"")))</f>
        <v/>
      </c>
      <c r="AO426" s="124" t="str">
        <f aca="false">IF(ISBLANK($C426),"",IF($V426=Constants!$B$2,TRUE(),IF($V426=Constants!$B$3,FALSE(),FALSE())))</f>
        <v/>
      </c>
      <c r="AP426" s="124"/>
      <c r="AQ426" s="123" t="str">
        <f aca="false">IF(ISBLANK($C426),"",AND($Y426,OR($AS426,$BC426),OR($Z426="",$AA426="",$AB426="")))</f>
        <v/>
      </c>
      <c r="AR426" s="123" t="str">
        <f aca="false">IF(ISBLANK($C426),"",IF(OR(NOT($Y426),NOT(OR($AS426,$BC426))),"",IF(ISBLANK($D$7),$AR$5,IF($AP$9="",$AR$6,""))))</f>
        <v/>
      </c>
      <c r="AS426" s="123" t="str">
        <f aca="false">IF(ISBLANK($C426),"",COUNTA($J426:$O426)&gt;0)</f>
        <v/>
      </c>
      <c r="AT426" s="123" t="str">
        <f aca="false">IF(ISBLANK($C426),"",AND($AS426,OR(AND($AF426="",OR($AE426,NOT(ISBLANK($M426)))),$AG426="",$AH426="")))</f>
        <v/>
      </c>
      <c r="AU426" s="125" t="str">
        <f aca="false">IF($BL426&lt;&gt;Constants!$B$4,"",IF(NOT($AS426),"",ROUND((Constants!$B$12-$AB426)+(Constants!$B$13-$Z426)+(Constants!$B$14-$AA426),1)))</f>
        <v/>
      </c>
      <c r="AV426" s="127" t="str">
        <f aca="false">IF($BL426&lt;&gt;Constants!$B$4,"",IF(NOT($AS426),"",IF(NOT($AE426),0,Constants!$B$15*(INT(ROUND(MIN($AF426,$AP$9),6))-INT(ROUND(MAX(0,MIN($AF426,2*$AP$9)-$AP$9),6))))))</f>
        <v/>
      </c>
      <c r="AW426" s="127" t="str">
        <f aca="false">IF($BL426&lt;&gt;Constants!$B$4,"",IF(NOT($AS426),"",Constants!$B$16*$AG426))</f>
        <v/>
      </c>
      <c r="AX426" s="127" t="str">
        <f aca="false">IF($BL426&lt;&gt;Constants!$B$4,"",IF(NOT($AS426),"",Constants!$B$18*INT(ROUND($AH426,6))))</f>
        <v/>
      </c>
      <c r="AY426" s="123" t="str">
        <f aca="false">IF($BL426&lt;&gt;Constants!$B$4,"",IF(NOT($AS426),"",IF(NOT($X426),Constants!$B$11,IF(OR(NOT($AC426),NOT($AD426),ROUND($AB426,1)&gt;Constants!$B$12,ROUND($Z426,1)&gt;Constants!$B$13,ROUND($AA426,1)&gt;Constants!$B$14),Constants!$B$10,Constants!$B$9))))</f>
        <v/>
      </c>
      <c r="AZ426" s="128" t="str">
        <f aca="false">IF($BL426&lt;&gt;Constants!$B$4,"",IF(NOT($AS426),"",ROUND($AU426+$AV426+$AW426+$AX426,1)))</f>
        <v/>
      </c>
      <c r="BA426" s="129" t="str">
        <f aca="false">IF($BL426&lt;&gt;Constants!$B$4,"",IF(NOT($AS426),"",IF(ISNUMBER($AF426),$AF426,0)))</f>
        <v/>
      </c>
      <c r="BB426" s="124" t="str">
        <f aca="false">IF($BL426&lt;&gt;Constants!$B$4,"",IF(NOT($BC426),"&lt;-",IF(NOT($AS426),"-&gt;",IF(OR($BI426&lt;$AY426,AND($BI426=$AY426,OR($BJ426&gt;$AZ426,AND($BJ426=$AZ426,OR($BH426&gt;$AX426,AND($BH426=$AX426,OR($BE426&gt;$AU426,AND($BE426=$AU426,OR($BF426&gt;$AV426,AND($BF426=$AV426,$BK426&gt;$BA426)))))))))),"-&gt;","&lt;-"))))</f>
        <v/>
      </c>
      <c r="BC426" s="123" t="str">
        <f aca="false">IF(ISBLANK($C426),"",COUNTA($P426:$U426)&gt;0)</f>
        <v/>
      </c>
      <c r="BD426" s="123" t="str">
        <f aca="false">IF(ISBLANK($C426),"",AND($BC426,OR(AND($AL426="",OR($AK426,NOT(ISBLANK($S426)))),$AM426="",$AN426="")))</f>
        <v/>
      </c>
      <c r="BE426" s="125" t="str">
        <f aca="false">IF($BL426&lt;&gt;Constants!$B$4,"",IF(NOT($BC426),"",ROUND((Constants!$B$12-$AB426)+(Constants!$B$13-$Z426)+(Constants!$B$14-$AA426),1)))</f>
        <v/>
      </c>
      <c r="BF426" s="127" t="str">
        <f aca="false">IF($BL426&lt;&gt;Constants!$B$4,"",IF(NOT($BC426),"",IF(NOT($AK426),0,Constants!$B$15*(INT(ROUND(MIN($AL426,$AP$9),6))-INT(ROUND(MAX(0,MIN($AL426,2*$AP$9)-$AP$9),6))))))</f>
        <v/>
      </c>
      <c r="BG426" s="127" t="str">
        <f aca="false">IF($BL426&lt;&gt;Constants!$B$4,"",IF(NOT($BC426),"",Constants!$B$16*$AM426))</f>
        <v/>
      </c>
      <c r="BH426" s="127" t="str">
        <f aca="false">IF($BL426&lt;&gt;Constants!$B$4,"",IF(NOT($BC426),"",Constants!$B$18*INT(ROUND($AN426,6))))</f>
        <v/>
      </c>
      <c r="BI426" s="123" t="str">
        <f aca="false">IF($BL426&lt;&gt;Constants!$B$4,"",IF(NOT($BC426),"",IF(NOT($X426),Constants!$B$11,IF(OR(NOT($AI426),NOT($AJ426),ROUND($AB426,1)&gt;Constants!$B$12,ROUND($Z426,1)&gt;Constants!$B$13,ROUND($AA426,1)&gt;Constants!$B$14),Constants!$B$10,Constants!$B$9))))</f>
        <v/>
      </c>
      <c r="BJ426" s="128" t="str">
        <f aca="false">IF($BL426&lt;&gt;Constants!$B$4,"",IF(NOT($BC426),"",ROUND($BE426+$BF426+$BG426+$BH426,1)))</f>
        <v/>
      </c>
      <c r="BK426" s="129" t="str">
        <f aca="false">IF($BL426&lt;&gt;Constants!$B$4,"",IF(NOT($BC426),"",IF(ISNUMBER($AL426),$AL426,0)))</f>
        <v/>
      </c>
      <c r="BL426" s="124" t="str">
        <f aca="false">IF(ISBLANK($C426),"",IF($AO426,Constants!$B$7,IF(COUNTA($E426:$V426)=0,Constants!$B$6,IF(NOT($Y426),Constants!$B$5,IF(NOT(OR($AS426,$BC426)),Constants!$B$5,IF(OR($AT426,$BD426,$AQ426,$AR426&lt;&gt;""),Constants!$B$8,Constants!$B$4))))))</f>
        <v/>
      </c>
      <c r="BM426" s="124" t="str">
        <f aca="false">IF(ISBLANK($C426),"",IF($BL426&lt;&gt;Constants!$B$4,$BL426,IF($BB426="-&gt;",$BI426,$AY426)))</f>
        <v/>
      </c>
      <c r="BN426" s="127" t="str">
        <f aca="false">IF($BL426&lt;&gt;Constants!$B$4,"",IF($BB426="-&gt;",$BJ426,$AZ426))</f>
        <v/>
      </c>
      <c r="BO426" s="127" t="str">
        <f aca="false">IF(ISBLANK($C426),"",IF($BL426&lt;&gt;Constants!$B$4,$BL426,$BN426))</f>
        <v/>
      </c>
      <c r="BP426" s="124" t="str">
        <f aca="false">IF(ISBLANK($C426),"",IF($BL426&lt;&gt;Constants!$B$4,$BL426,RANK($BO426,$BO$9:$BO$508,0)))</f>
        <v/>
      </c>
      <c r="BQ426" s="124" t="str">
        <f aca="false">IF(ISBLANK($C426),"",IF($BL426&lt;&gt;Constants!$B$4,$BL426,COUNTIFS($BM$9:$BM$508,"&lt;"&amp;$BM426)+COUNTIFS($BM$9:$BM$508,$BM426,$BP$9:$BP$508,"&lt;"&amp;$BP426)+1))</f>
        <v/>
      </c>
      <c r="BR426" s="127" t="str">
        <f aca="false">IF($BL426&lt;&gt;Constants!$B$4,"",IF($BB426="-&gt;",$BH426,$AX426))</f>
        <v/>
      </c>
      <c r="BS426" s="124" t="str">
        <f aca="false">IF(ISBLANK($C426),"",IF($BL426&lt;&gt;Constants!$B$4,$BL426,IF(ISNUMBER($BR426),RANK($BR426,$BR$9:$BR$508,0),COUNT($BR$9:$BR$508)+1)))</f>
        <v/>
      </c>
      <c r="BT426" s="127" t="str">
        <f aca="false">IF($BL426&lt;&gt;Constants!$B$4,"",IF($BB426="-&gt;",$BE426,$AU426))</f>
        <v/>
      </c>
      <c r="BU426" s="124" t="str">
        <f aca="false">IF(ISBLANK($C426),"",IF($BL426&lt;&gt;Constants!$B$4,$BL426,IF(ISNUMBER($BT426),RANK($BT426,$BT$9:$BT$508,0),COUNT($BT$9:$BT$508)+1)))</f>
        <v/>
      </c>
      <c r="BV426" s="127" t="str">
        <f aca="false">IF($BL426&lt;&gt;Constants!$B$4,"",IF($BB426="-&gt;",$BF426,$AV426))</f>
        <v/>
      </c>
      <c r="BW426" s="124" t="str">
        <f aca="false">IF(ISBLANK($C426),"",IF($BL426&lt;&gt;Constants!$B$4,$BL426,IF(ISNUMBER($BV426),RANK($BV426,$BV$9:$BV$508,0),COUNT($BV$9:$BV$508)+1)))</f>
        <v/>
      </c>
      <c r="BX426" s="127" t="str">
        <f aca="false">IF($BL426&lt;&gt;Constants!$B$4,"",IF($BB426="-&gt;",$BK426,$BA426))</f>
        <v/>
      </c>
      <c r="BY426" s="124" t="str">
        <f aca="false">IF(ISBLANK($C426),"",IF($BL426&lt;&gt;Constants!$B$4,$BL426,IF(ISNUMBER($BX426),RANK($BX426,$BX$9:$BX$508,0),COUNT($BX$9:$BX$508)+1)))</f>
        <v/>
      </c>
      <c r="BZ426" s="124" t="str">
        <f aca="false">IF(ISBLANK($C426),"",IF($BL426&lt;&gt;Constants!$B$4,$BL426,COUNTIFS($BM$9:$BM$508,"&lt;"&amp;$BM426)+COUNTIFS($BM$9:$BM$508,$BM426,$BP$9:$BP$508,"&lt;"&amp;$BP426)+COUNTIFS($BM$9:$BM$508,$BM426,$BP$9:$BP$508,$BP426,$BS$9:$BS$508,"&lt;"&amp;$BS426)+COUNTIFS($BM$9:$BM$508,$BM426,$BP$9:$BP$508,$BP426,$BS$9:$BS$508,$BS426,$BU$9:$BU$508,"&lt;"&amp;$BU426)+COUNTIFS($BM$9:$BM$508,$BM426,$BP$9:$BP$508,$BP426,$BS$9:$BS$508,$BS426,$BU$9:$BU$508,$BU426,$BW$9:$BW$508,"&lt;"&amp;$BW426)+COUNTIFS($BM$9:$BM$508,$BM426,$BP$9:$BP$508,$BP426,$BS$9:$BS$508,$BS426,$BU$9:$BU$508,$BU426,$BW$9:$BW$508,$BW426,$BY$9:$BY$508,"&lt;"&amp;$BY426)+1))</f>
        <v/>
      </c>
      <c r="CA426" s="124" t="str">
        <f aca="false">IF(ISBLANK($C426),"",IF($BL426&lt;&gt;Constants!$B$4,$BL426,$BQ426-$BZ426))</f>
        <v/>
      </c>
      <c r="CB426" s="130"/>
      <c r="CC426" s="131" t="str">
        <f aca="false">IF(ISBLANK($C426),"",IF($BL426=Constants!$B$8,$AR426,""))</f>
        <v/>
      </c>
      <c r="CD426" s="131" t="str">
        <f aca="false">IF(ISBLANK($C426),"",IF($BL426&lt;&gt;Constants!$B$4,"",IF($BB426="-&gt;",2,1)))</f>
        <v/>
      </c>
      <c r="CE426" s="132" t="str">
        <f aca="false">IF(ISBLANK($C426),"",IF($BL426&lt;&gt;Constants!$B$4,"",IF($BB426="-&gt;",$BE426,$AU426)))</f>
        <v/>
      </c>
      <c r="CF426" s="132" t="str">
        <f aca="false">IF(ISBLANK($C426),"",IF($BL426&lt;&gt;Constants!$B$4,"",IF($BB426="-&gt;",$BF426,$AV426)))</f>
        <v/>
      </c>
      <c r="CG426" s="132" t="str">
        <f aca="false">IF(ISBLANK($C426),"",IF($BL426&lt;&gt;Constants!$B$4,"",IF($BB426="-&gt;",$BG426,$AW426)))</f>
        <v/>
      </c>
      <c r="CH426" s="132" t="str">
        <f aca="false">IF(ISBLANK($C426),"",IF($BL426&lt;&gt;Constants!$B$4,"",IF($BB426="-&gt;",$BH426,$AX426)))</f>
        <v/>
      </c>
      <c r="CI426" s="133" t="str">
        <f aca="false">IF(ISBLANK($C426),"",$BO426)</f>
        <v/>
      </c>
      <c r="CJ426" s="134" t="str">
        <f aca="false">IF(ISBLANK($C426),"",$BM426)</f>
        <v/>
      </c>
      <c r="CK426" s="135" t="str">
        <f aca="false">IF(ISBLANK($C426),"",$CA426)</f>
        <v/>
      </c>
      <c r="CL426" s="135" t="str">
        <f aca="false">IF(ISBLANK($C426),"",$BZ426)</f>
        <v/>
      </c>
      <c r="CM426" s="136" t="str">
        <f aca="false">IF(ISBLANK($C426),"",IF($CL426=Constants!$B$7,COUNTA($C$9:$C$508)+2,IF($CL426=Constants!$B$6,COUNTA($C$9:$C$508)+1,IF($CL426=Constants!$B$5,COUNTA($C$9:$C$508),$CL426))))</f>
        <v/>
      </c>
      <c r="CN426" s="8"/>
      <c r="CO426" s="137" t="n">
        <f aca="false">IF(OR(ISNUMBER($CL426),$CL426=Constants!$B$7,$CL426=Constants!$B$5,$CL426=Constants!$B$6),1,0)</f>
        <v>0</v>
      </c>
      <c r="CP426" s="137" t="n">
        <v>418</v>
      </c>
      <c r="CQ426" s="137" t="str">
        <f aca="false">IF(ISBLANK($C426),"",IF(ISNUMBER($CM426),$CM426+ROW($B426)/1000,""))</f>
        <v/>
      </c>
      <c r="CR426" s="137" t="str">
        <f aca="false">IF(ISNUMBER($CQ426),RANK($CQ426,$CQ$9:$CQ$508,1),"")</f>
        <v/>
      </c>
      <c r="CS426" s="137" t="str">
        <f aca="false">IF(ISBLANK($C426),"",$B426)</f>
        <v/>
      </c>
      <c r="CT426" s="137" t="str">
        <f aca="false">IF(ISBLANK($C426),"",$C426)</f>
        <v/>
      </c>
      <c r="CU426" s="137" t="str">
        <f aca="false">IF(ISBLANK($C426),"",$D426)</f>
        <v/>
      </c>
      <c r="CV426" s="138" t="str">
        <f aca="false">$CJ426</f>
        <v/>
      </c>
      <c r="CW426" s="139" t="str">
        <f aca="false">$CI426</f>
        <v/>
      </c>
      <c r="CX426" s="137" t="str">
        <f aca="false">IF(ISBLANK($C426),"",$CL426)</f>
        <v/>
      </c>
      <c r="CY426" s="140" t="str">
        <f aca="false">IF($CP426&gt;$CO$8,"",VLOOKUP($CP426,$CR$9:$CX$508,7,FALSE()))</f>
        <v/>
      </c>
      <c r="CZ426" s="141" t="str">
        <f aca="false">IF($CP426&gt;$CO$8,"",VLOOKUP($CP426,$CR$9:$CX$508,2,FALSE()))</f>
        <v/>
      </c>
      <c r="DA426" s="141" t="str">
        <f aca="false">IF($CP426&gt;$CO$8,"",VLOOKUP($CP426,$CR$9:$CX$508,3,FALSE()))</f>
        <v/>
      </c>
      <c r="DB426" s="141" t="str">
        <f aca="false">IF($CP426&gt;$CO$8,"",VLOOKUP($CP426,$CR$9:$CX$508,4,FALSE()))</f>
        <v/>
      </c>
      <c r="DC426" s="141" t="str">
        <f aca="false">IF($CP426&gt;$CO$8,"",VLOOKUP($CP426,$CR$9:$CX$508,5,FALSE()))</f>
        <v/>
      </c>
      <c r="DD426" s="142" t="str">
        <f aca="false">IF($CP426&gt;$CO$8,"",VLOOKUP($CP426,$CR$9:$CX$508,6,FALSE()))</f>
        <v/>
      </c>
      <c r="DE426" s="70"/>
    </row>
    <row r="427" customFormat="false" ht="15.75" hidden="false" customHeight="false" outlineLevel="0" collapsed="false">
      <c r="A427" s="8"/>
      <c r="B427" s="146"/>
      <c r="C427" s="147"/>
      <c r="D427" s="148"/>
      <c r="E427" s="164"/>
      <c r="F427" s="150"/>
      <c r="G427" s="115"/>
      <c r="H427" s="115"/>
      <c r="I427" s="115"/>
      <c r="J427" s="165"/>
      <c r="K427" s="154"/>
      <c r="L427" s="154"/>
      <c r="M427" s="118"/>
      <c r="N427" s="154"/>
      <c r="O427" s="153"/>
      <c r="P427" s="154"/>
      <c r="Q427" s="154"/>
      <c r="R427" s="154"/>
      <c r="S427" s="115"/>
      <c r="T427" s="154"/>
      <c r="U427" s="153"/>
      <c r="V427" s="154"/>
      <c r="W427" s="123"/>
      <c r="X427" s="124" t="str">
        <f aca="false">IF(ISBLANK($C427),"",IF($E427=Constants!$B$2,TRUE(),IF($E427=Constants!$B$3,FALSE(),TRUE())))</f>
        <v/>
      </c>
      <c r="Y427" s="124" t="str">
        <f aca="false">IF(ISBLANK($C427),"",IF($F427=Constants!$B$2,TRUE(),IF($F427=Constants!$B$3,FALSE(),TRUE())))</f>
        <v/>
      </c>
      <c r="Z427" s="125" t="str">
        <f aca="false">IF(ISBLANK($C427),"",IF(ISNUMBER($G427),IF($G427&gt;=0,$G427,""),""))</f>
        <v/>
      </c>
      <c r="AA427" s="125" t="str">
        <f aca="false">IF(ISBLANK($C427),"",IF(ISNUMBER($H427),IF($H427&gt;=0,$H427,""),""))</f>
        <v/>
      </c>
      <c r="AB427" s="125" t="str">
        <f aca="false">IF(ISBLANK($C427),"",IF(ISNUMBER($I427),IF($I427&gt;=0,$I427,""),""))</f>
        <v/>
      </c>
      <c r="AC427" s="124" t="str">
        <f aca="false">IF(ISBLANK($C427),"",IF($J427=Constants!$B$2,TRUE(),IF($J427=Constants!$B$3,FALSE(),TRUE())))</f>
        <v/>
      </c>
      <c r="AD427" s="124" t="str">
        <f aca="false">IF(ISBLANK($C427),"",IF($K427=Constants!$B$2,TRUE(),IF($K427=Constants!$B$3,FALSE(),TRUE())))</f>
        <v/>
      </c>
      <c r="AE427" s="124" t="str">
        <f aca="false">IF(ISBLANK($C427),"",IF($L427=Constants!$B$2,TRUE(),IF($L427=Constants!$B$3,FALSE(),TRUE())))</f>
        <v/>
      </c>
      <c r="AF427" s="126" t="str">
        <f aca="false">IF(ISBLANK($C427),"",IF(ISNUMBER($M427),IF($M427&gt;=0,$M427,""),""))</f>
        <v/>
      </c>
      <c r="AG427" s="124" t="str">
        <f aca="false">IF(ISBLANK($C427),"",IF(ISBLANK($N427),0,IF(ISNUMBER($N427),IF(AND($N427&gt;=0,$N427&lt;=Constants!$B$17,$N427=INT($N427)),$N427,""),"")))</f>
        <v/>
      </c>
      <c r="AH427" s="125" t="str">
        <f aca="false">IF(ISBLANK($C427),"",IF(ISBLANK($O427),0,IF(ISNUMBER($O427),IF($O427&gt;=0,$O427,""),"")))</f>
        <v/>
      </c>
      <c r="AI427" s="124" t="str">
        <f aca="false">IF(ISBLANK($C427),"",IF($P427=Constants!$B$2,TRUE(),IF($P427=Constants!$B$3,FALSE(),TRUE())))</f>
        <v/>
      </c>
      <c r="AJ427" s="124" t="str">
        <f aca="false">IF(ISBLANK($C427),"",IF($Q427=Constants!$B$2,TRUE(),IF($Q427=Constants!$B$3,FALSE(),TRUE())))</f>
        <v/>
      </c>
      <c r="AK427" s="124" t="str">
        <f aca="false">IF(ISBLANK($C427),"",IF($R427=Constants!$B$2,TRUE(),IF($R427=Constants!$B$3,FALSE(),TRUE())))</f>
        <v/>
      </c>
      <c r="AL427" s="126" t="str">
        <f aca="false">IF(ISBLANK($C427),"",IF(ISNUMBER($S427),IF($S427&gt;=0,$S427,""),""))</f>
        <v/>
      </c>
      <c r="AM427" s="124" t="str">
        <f aca="false">IF(ISBLANK($C427),"",IF(ISBLANK($T427),0,IF(ISNUMBER($T427),IF(AND($T427&gt;=0,$T427&lt;=Constants!$B$17,$T427=INT($T427)),$T427,""),"")))</f>
        <v/>
      </c>
      <c r="AN427" s="125" t="str">
        <f aca="false">IF(ISBLANK($C427),"",IF(ISBLANK($U427),0,IF(ISNUMBER($U427),IF($U427&gt;=0,$U427,""),"")))</f>
        <v/>
      </c>
      <c r="AO427" s="124" t="str">
        <f aca="false">IF(ISBLANK($C427),"",IF($V427=Constants!$B$2,TRUE(),IF($V427=Constants!$B$3,FALSE(),FALSE())))</f>
        <v/>
      </c>
      <c r="AP427" s="124"/>
      <c r="AQ427" s="123" t="str">
        <f aca="false">IF(ISBLANK($C427),"",AND($Y427,OR($AS427,$BC427),OR($Z427="",$AA427="",$AB427="")))</f>
        <v/>
      </c>
      <c r="AR427" s="123" t="str">
        <f aca="false">IF(ISBLANK($C427),"",IF(OR(NOT($Y427),NOT(OR($AS427,$BC427))),"",IF(ISBLANK($D$7),$AR$5,IF($AP$9="",$AR$6,""))))</f>
        <v/>
      </c>
      <c r="AS427" s="123" t="str">
        <f aca="false">IF(ISBLANK($C427),"",COUNTA($J427:$O427)&gt;0)</f>
        <v/>
      </c>
      <c r="AT427" s="123" t="str">
        <f aca="false">IF(ISBLANK($C427),"",AND($AS427,OR(AND($AF427="",OR($AE427,NOT(ISBLANK($M427)))),$AG427="",$AH427="")))</f>
        <v/>
      </c>
      <c r="AU427" s="125" t="str">
        <f aca="false">IF($BL427&lt;&gt;Constants!$B$4,"",IF(NOT($AS427),"",ROUND((Constants!$B$12-$AB427)+(Constants!$B$13-$Z427)+(Constants!$B$14-$AA427),1)))</f>
        <v/>
      </c>
      <c r="AV427" s="127" t="str">
        <f aca="false">IF($BL427&lt;&gt;Constants!$B$4,"",IF(NOT($AS427),"",IF(NOT($AE427),0,Constants!$B$15*(INT(ROUND(MIN($AF427,$AP$9),6))-INT(ROUND(MAX(0,MIN($AF427,2*$AP$9)-$AP$9),6))))))</f>
        <v/>
      </c>
      <c r="AW427" s="127" t="str">
        <f aca="false">IF($BL427&lt;&gt;Constants!$B$4,"",IF(NOT($AS427),"",Constants!$B$16*$AG427))</f>
        <v/>
      </c>
      <c r="AX427" s="127" t="str">
        <f aca="false">IF($BL427&lt;&gt;Constants!$B$4,"",IF(NOT($AS427),"",Constants!$B$18*INT(ROUND($AH427,6))))</f>
        <v/>
      </c>
      <c r="AY427" s="123" t="str">
        <f aca="false">IF($BL427&lt;&gt;Constants!$B$4,"",IF(NOT($AS427),"",IF(NOT($X427),Constants!$B$11,IF(OR(NOT($AC427),NOT($AD427),ROUND($AB427,1)&gt;Constants!$B$12,ROUND($Z427,1)&gt;Constants!$B$13,ROUND($AA427,1)&gt;Constants!$B$14),Constants!$B$10,Constants!$B$9))))</f>
        <v/>
      </c>
      <c r="AZ427" s="128" t="str">
        <f aca="false">IF($BL427&lt;&gt;Constants!$B$4,"",IF(NOT($AS427),"",ROUND($AU427+$AV427+$AW427+$AX427,1)))</f>
        <v/>
      </c>
      <c r="BA427" s="129" t="str">
        <f aca="false">IF($BL427&lt;&gt;Constants!$B$4,"",IF(NOT($AS427),"",IF(ISNUMBER($AF427),$AF427,0)))</f>
        <v/>
      </c>
      <c r="BB427" s="124" t="str">
        <f aca="false">IF($BL427&lt;&gt;Constants!$B$4,"",IF(NOT($BC427),"&lt;-",IF(NOT($AS427),"-&gt;",IF(OR($BI427&lt;$AY427,AND($BI427=$AY427,OR($BJ427&gt;$AZ427,AND($BJ427=$AZ427,OR($BH427&gt;$AX427,AND($BH427=$AX427,OR($BE427&gt;$AU427,AND($BE427=$AU427,OR($BF427&gt;$AV427,AND($BF427=$AV427,$BK427&gt;$BA427)))))))))),"-&gt;","&lt;-"))))</f>
        <v/>
      </c>
      <c r="BC427" s="123" t="str">
        <f aca="false">IF(ISBLANK($C427),"",COUNTA($P427:$U427)&gt;0)</f>
        <v/>
      </c>
      <c r="BD427" s="123" t="str">
        <f aca="false">IF(ISBLANK($C427),"",AND($BC427,OR(AND($AL427="",OR($AK427,NOT(ISBLANK($S427)))),$AM427="",$AN427="")))</f>
        <v/>
      </c>
      <c r="BE427" s="125" t="str">
        <f aca="false">IF($BL427&lt;&gt;Constants!$B$4,"",IF(NOT($BC427),"",ROUND((Constants!$B$12-$AB427)+(Constants!$B$13-$Z427)+(Constants!$B$14-$AA427),1)))</f>
        <v/>
      </c>
      <c r="BF427" s="127" t="str">
        <f aca="false">IF($BL427&lt;&gt;Constants!$B$4,"",IF(NOT($BC427),"",IF(NOT($AK427),0,Constants!$B$15*(INT(ROUND(MIN($AL427,$AP$9),6))-INT(ROUND(MAX(0,MIN($AL427,2*$AP$9)-$AP$9),6))))))</f>
        <v/>
      </c>
      <c r="BG427" s="127" t="str">
        <f aca="false">IF($BL427&lt;&gt;Constants!$B$4,"",IF(NOT($BC427),"",Constants!$B$16*$AM427))</f>
        <v/>
      </c>
      <c r="BH427" s="127" t="str">
        <f aca="false">IF($BL427&lt;&gt;Constants!$B$4,"",IF(NOT($BC427),"",Constants!$B$18*INT(ROUND($AN427,6))))</f>
        <v/>
      </c>
      <c r="BI427" s="123" t="str">
        <f aca="false">IF($BL427&lt;&gt;Constants!$B$4,"",IF(NOT($BC427),"",IF(NOT($X427),Constants!$B$11,IF(OR(NOT($AI427),NOT($AJ427),ROUND($AB427,1)&gt;Constants!$B$12,ROUND($Z427,1)&gt;Constants!$B$13,ROUND($AA427,1)&gt;Constants!$B$14),Constants!$B$10,Constants!$B$9))))</f>
        <v/>
      </c>
      <c r="BJ427" s="128" t="str">
        <f aca="false">IF($BL427&lt;&gt;Constants!$B$4,"",IF(NOT($BC427),"",ROUND($BE427+$BF427+$BG427+$BH427,1)))</f>
        <v/>
      </c>
      <c r="BK427" s="129" t="str">
        <f aca="false">IF($BL427&lt;&gt;Constants!$B$4,"",IF(NOT($BC427),"",IF(ISNUMBER($AL427),$AL427,0)))</f>
        <v/>
      </c>
      <c r="BL427" s="124" t="str">
        <f aca="false">IF(ISBLANK($C427),"",IF($AO427,Constants!$B$7,IF(COUNTA($E427:$V427)=0,Constants!$B$6,IF(NOT($Y427),Constants!$B$5,IF(NOT(OR($AS427,$BC427)),Constants!$B$5,IF(OR($AT427,$BD427,$AQ427,$AR427&lt;&gt;""),Constants!$B$8,Constants!$B$4))))))</f>
        <v/>
      </c>
      <c r="BM427" s="124" t="str">
        <f aca="false">IF(ISBLANK($C427),"",IF($BL427&lt;&gt;Constants!$B$4,$BL427,IF($BB427="-&gt;",$BI427,$AY427)))</f>
        <v/>
      </c>
      <c r="BN427" s="127" t="str">
        <f aca="false">IF($BL427&lt;&gt;Constants!$B$4,"",IF($BB427="-&gt;",$BJ427,$AZ427))</f>
        <v/>
      </c>
      <c r="BO427" s="127" t="str">
        <f aca="false">IF(ISBLANK($C427),"",IF($BL427&lt;&gt;Constants!$B$4,$BL427,$BN427))</f>
        <v/>
      </c>
      <c r="BP427" s="124" t="str">
        <f aca="false">IF(ISBLANK($C427),"",IF($BL427&lt;&gt;Constants!$B$4,$BL427,RANK($BO427,$BO$9:$BO$508,0)))</f>
        <v/>
      </c>
      <c r="BQ427" s="124" t="str">
        <f aca="false">IF(ISBLANK($C427),"",IF($BL427&lt;&gt;Constants!$B$4,$BL427,COUNTIFS($BM$9:$BM$508,"&lt;"&amp;$BM427)+COUNTIFS($BM$9:$BM$508,$BM427,$BP$9:$BP$508,"&lt;"&amp;$BP427)+1))</f>
        <v/>
      </c>
      <c r="BR427" s="127" t="str">
        <f aca="false">IF($BL427&lt;&gt;Constants!$B$4,"",IF($BB427="-&gt;",$BH427,$AX427))</f>
        <v/>
      </c>
      <c r="BS427" s="124" t="str">
        <f aca="false">IF(ISBLANK($C427),"",IF($BL427&lt;&gt;Constants!$B$4,$BL427,IF(ISNUMBER($BR427),RANK($BR427,$BR$9:$BR$508,0),COUNT($BR$9:$BR$508)+1)))</f>
        <v/>
      </c>
      <c r="BT427" s="127" t="str">
        <f aca="false">IF($BL427&lt;&gt;Constants!$B$4,"",IF($BB427="-&gt;",$BE427,$AU427))</f>
        <v/>
      </c>
      <c r="BU427" s="124" t="str">
        <f aca="false">IF(ISBLANK($C427),"",IF($BL427&lt;&gt;Constants!$B$4,$BL427,IF(ISNUMBER($BT427),RANK($BT427,$BT$9:$BT$508,0),COUNT($BT$9:$BT$508)+1)))</f>
        <v/>
      </c>
      <c r="BV427" s="127" t="str">
        <f aca="false">IF($BL427&lt;&gt;Constants!$B$4,"",IF($BB427="-&gt;",$BF427,$AV427))</f>
        <v/>
      </c>
      <c r="BW427" s="124" t="str">
        <f aca="false">IF(ISBLANK($C427),"",IF($BL427&lt;&gt;Constants!$B$4,$BL427,IF(ISNUMBER($BV427),RANK($BV427,$BV$9:$BV$508,0),COUNT($BV$9:$BV$508)+1)))</f>
        <v/>
      </c>
      <c r="BX427" s="127" t="str">
        <f aca="false">IF($BL427&lt;&gt;Constants!$B$4,"",IF($BB427="-&gt;",$BK427,$BA427))</f>
        <v/>
      </c>
      <c r="BY427" s="124" t="str">
        <f aca="false">IF(ISBLANK($C427),"",IF($BL427&lt;&gt;Constants!$B$4,$BL427,IF(ISNUMBER($BX427),RANK($BX427,$BX$9:$BX$508,0),COUNT($BX$9:$BX$508)+1)))</f>
        <v/>
      </c>
      <c r="BZ427" s="124" t="str">
        <f aca="false">IF(ISBLANK($C427),"",IF($BL427&lt;&gt;Constants!$B$4,$BL427,COUNTIFS($BM$9:$BM$508,"&lt;"&amp;$BM427)+COUNTIFS($BM$9:$BM$508,$BM427,$BP$9:$BP$508,"&lt;"&amp;$BP427)+COUNTIFS($BM$9:$BM$508,$BM427,$BP$9:$BP$508,$BP427,$BS$9:$BS$508,"&lt;"&amp;$BS427)+COUNTIFS($BM$9:$BM$508,$BM427,$BP$9:$BP$508,$BP427,$BS$9:$BS$508,$BS427,$BU$9:$BU$508,"&lt;"&amp;$BU427)+COUNTIFS($BM$9:$BM$508,$BM427,$BP$9:$BP$508,$BP427,$BS$9:$BS$508,$BS427,$BU$9:$BU$508,$BU427,$BW$9:$BW$508,"&lt;"&amp;$BW427)+COUNTIFS($BM$9:$BM$508,$BM427,$BP$9:$BP$508,$BP427,$BS$9:$BS$508,$BS427,$BU$9:$BU$508,$BU427,$BW$9:$BW$508,$BW427,$BY$9:$BY$508,"&lt;"&amp;$BY427)+1))</f>
        <v/>
      </c>
      <c r="CA427" s="124" t="str">
        <f aca="false">IF(ISBLANK($C427),"",IF($BL427&lt;&gt;Constants!$B$4,$BL427,$BQ427-$BZ427))</f>
        <v/>
      </c>
      <c r="CB427" s="130"/>
      <c r="CC427" s="131" t="str">
        <f aca="false">IF(ISBLANK($C427),"",IF($BL427=Constants!$B$8,$AR427,""))</f>
        <v/>
      </c>
      <c r="CD427" s="131" t="str">
        <f aca="false">IF(ISBLANK($C427),"",IF($BL427&lt;&gt;Constants!$B$4,"",IF($BB427="-&gt;",2,1)))</f>
        <v/>
      </c>
      <c r="CE427" s="132" t="str">
        <f aca="false">IF(ISBLANK($C427),"",IF($BL427&lt;&gt;Constants!$B$4,"",IF($BB427="-&gt;",$BE427,$AU427)))</f>
        <v/>
      </c>
      <c r="CF427" s="132" t="str">
        <f aca="false">IF(ISBLANK($C427),"",IF($BL427&lt;&gt;Constants!$B$4,"",IF($BB427="-&gt;",$BF427,$AV427)))</f>
        <v/>
      </c>
      <c r="CG427" s="132" t="str">
        <f aca="false">IF(ISBLANK($C427),"",IF($BL427&lt;&gt;Constants!$B$4,"",IF($BB427="-&gt;",$BG427,$AW427)))</f>
        <v/>
      </c>
      <c r="CH427" s="132" t="str">
        <f aca="false">IF(ISBLANK($C427),"",IF($BL427&lt;&gt;Constants!$B$4,"",IF($BB427="-&gt;",$BH427,$AX427)))</f>
        <v/>
      </c>
      <c r="CI427" s="133" t="str">
        <f aca="false">IF(ISBLANK($C427),"",$BO427)</f>
        <v/>
      </c>
      <c r="CJ427" s="134" t="str">
        <f aca="false">IF(ISBLANK($C427),"",$BM427)</f>
        <v/>
      </c>
      <c r="CK427" s="135" t="str">
        <f aca="false">IF(ISBLANK($C427),"",$CA427)</f>
        <v/>
      </c>
      <c r="CL427" s="135" t="str">
        <f aca="false">IF(ISBLANK($C427),"",$BZ427)</f>
        <v/>
      </c>
      <c r="CM427" s="136" t="str">
        <f aca="false">IF(ISBLANK($C427),"",IF($CL427=Constants!$B$7,COUNTA($C$9:$C$508)+2,IF($CL427=Constants!$B$6,COUNTA($C$9:$C$508)+1,IF($CL427=Constants!$B$5,COUNTA($C$9:$C$508),$CL427))))</f>
        <v/>
      </c>
      <c r="CN427" s="8"/>
      <c r="CO427" s="137" t="n">
        <f aca="false">IF(OR(ISNUMBER($CL427),$CL427=Constants!$B$7,$CL427=Constants!$B$5,$CL427=Constants!$B$6),1,0)</f>
        <v>0</v>
      </c>
      <c r="CP427" s="137" t="n">
        <v>419</v>
      </c>
      <c r="CQ427" s="137" t="str">
        <f aca="false">IF(ISBLANK($C427),"",IF(ISNUMBER($CM427),$CM427+ROW($B427)/1000,""))</f>
        <v/>
      </c>
      <c r="CR427" s="137" t="str">
        <f aca="false">IF(ISNUMBER($CQ427),RANK($CQ427,$CQ$9:$CQ$508,1),"")</f>
        <v/>
      </c>
      <c r="CS427" s="137" t="str">
        <f aca="false">IF(ISBLANK($C427),"",$B427)</f>
        <v/>
      </c>
      <c r="CT427" s="137" t="str">
        <f aca="false">IF(ISBLANK($C427),"",$C427)</f>
        <v/>
      </c>
      <c r="CU427" s="137" t="str">
        <f aca="false">IF(ISBLANK($C427),"",$D427)</f>
        <v/>
      </c>
      <c r="CV427" s="138" t="str">
        <f aca="false">$CJ427</f>
        <v/>
      </c>
      <c r="CW427" s="139" t="str">
        <f aca="false">$CI427</f>
        <v/>
      </c>
      <c r="CX427" s="137" t="str">
        <f aca="false">IF(ISBLANK($C427),"",$CL427)</f>
        <v/>
      </c>
      <c r="CY427" s="140" t="str">
        <f aca="false">IF($CP427&gt;$CO$8,"",VLOOKUP($CP427,$CR$9:$CX$508,7,FALSE()))</f>
        <v/>
      </c>
      <c r="CZ427" s="141" t="str">
        <f aca="false">IF($CP427&gt;$CO$8,"",VLOOKUP($CP427,$CR$9:$CX$508,2,FALSE()))</f>
        <v/>
      </c>
      <c r="DA427" s="141" t="str">
        <f aca="false">IF($CP427&gt;$CO$8,"",VLOOKUP($CP427,$CR$9:$CX$508,3,FALSE()))</f>
        <v/>
      </c>
      <c r="DB427" s="141" t="str">
        <f aca="false">IF($CP427&gt;$CO$8,"",VLOOKUP($CP427,$CR$9:$CX$508,4,FALSE()))</f>
        <v/>
      </c>
      <c r="DC427" s="141" t="str">
        <f aca="false">IF($CP427&gt;$CO$8,"",VLOOKUP($CP427,$CR$9:$CX$508,5,FALSE()))</f>
        <v/>
      </c>
      <c r="DD427" s="142" t="str">
        <f aca="false">IF($CP427&gt;$CO$8,"",VLOOKUP($CP427,$CR$9:$CX$508,6,FALSE()))</f>
        <v/>
      </c>
      <c r="DE427" s="70"/>
    </row>
    <row r="428" customFormat="false" ht="15.75" hidden="false" customHeight="false" outlineLevel="0" collapsed="false">
      <c r="A428" s="8"/>
      <c r="B428" s="146"/>
      <c r="C428" s="147"/>
      <c r="D428" s="148"/>
      <c r="E428" s="164"/>
      <c r="F428" s="150"/>
      <c r="G428" s="115"/>
      <c r="H428" s="115"/>
      <c r="I428" s="115"/>
      <c r="J428" s="165"/>
      <c r="K428" s="154"/>
      <c r="L428" s="154"/>
      <c r="M428" s="118"/>
      <c r="N428" s="154"/>
      <c r="O428" s="153"/>
      <c r="P428" s="154"/>
      <c r="Q428" s="154"/>
      <c r="R428" s="154"/>
      <c r="S428" s="115"/>
      <c r="T428" s="154"/>
      <c r="U428" s="153"/>
      <c r="V428" s="154"/>
      <c r="W428" s="123"/>
      <c r="X428" s="124" t="str">
        <f aca="false">IF(ISBLANK($C428),"",IF($E428=Constants!$B$2,TRUE(),IF($E428=Constants!$B$3,FALSE(),TRUE())))</f>
        <v/>
      </c>
      <c r="Y428" s="124" t="str">
        <f aca="false">IF(ISBLANK($C428),"",IF($F428=Constants!$B$2,TRUE(),IF($F428=Constants!$B$3,FALSE(),TRUE())))</f>
        <v/>
      </c>
      <c r="Z428" s="125" t="str">
        <f aca="false">IF(ISBLANK($C428),"",IF(ISNUMBER($G428),IF($G428&gt;=0,$G428,""),""))</f>
        <v/>
      </c>
      <c r="AA428" s="125" t="str">
        <f aca="false">IF(ISBLANK($C428),"",IF(ISNUMBER($H428),IF($H428&gt;=0,$H428,""),""))</f>
        <v/>
      </c>
      <c r="AB428" s="125" t="str">
        <f aca="false">IF(ISBLANK($C428),"",IF(ISNUMBER($I428),IF($I428&gt;=0,$I428,""),""))</f>
        <v/>
      </c>
      <c r="AC428" s="124" t="str">
        <f aca="false">IF(ISBLANK($C428),"",IF($J428=Constants!$B$2,TRUE(),IF($J428=Constants!$B$3,FALSE(),TRUE())))</f>
        <v/>
      </c>
      <c r="AD428" s="124" t="str">
        <f aca="false">IF(ISBLANK($C428),"",IF($K428=Constants!$B$2,TRUE(),IF($K428=Constants!$B$3,FALSE(),TRUE())))</f>
        <v/>
      </c>
      <c r="AE428" s="124" t="str">
        <f aca="false">IF(ISBLANK($C428),"",IF($L428=Constants!$B$2,TRUE(),IF($L428=Constants!$B$3,FALSE(),TRUE())))</f>
        <v/>
      </c>
      <c r="AF428" s="126" t="str">
        <f aca="false">IF(ISBLANK($C428),"",IF(ISNUMBER($M428),IF($M428&gt;=0,$M428,""),""))</f>
        <v/>
      </c>
      <c r="AG428" s="124" t="str">
        <f aca="false">IF(ISBLANK($C428),"",IF(ISBLANK($N428),0,IF(ISNUMBER($N428),IF(AND($N428&gt;=0,$N428&lt;=Constants!$B$17,$N428=INT($N428)),$N428,""),"")))</f>
        <v/>
      </c>
      <c r="AH428" s="125" t="str">
        <f aca="false">IF(ISBLANK($C428),"",IF(ISBLANK($O428),0,IF(ISNUMBER($O428),IF($O428&gt;=0,$O428,""),"")))</f>
        <v/>
      </c>
      <c r="AI428" s="124" t="str">
        <f aca="false">IF(ISBLANK($C428),"",IF($P428=Constants!$B$2,TRUE(),IF($P428=Constants!$B$3,FALSE(),TRUE())))</f>
        <v/>
      </c>
      <c r="AJ428" s="124" t="str">
        <f aca="false">IF(ISBLANK($C428),"",IF($Q428=Constants!$B$2,TRUE(),IF($Q428=Constants!$B$3,FALSE(),TRUE())))</f>
        <v/>
      </c>
      <c r="AK428" s="124" t="str">
        <f aca="false">IF(ISBLANK($C428),"",IF($R428=Constants!$B$2,TRUE(),IF($R428=Constants!$B$3,FALSE(),TRUE())))</f>
        <v/>
      </c>
      <c r="AL428" s="126" t="str">
        <f aca="false">IF(ISBLANK($C428),"",IF(ISNUMBER($S428),IF($S428&gt;=0,$S428,""),""))</f>
        <v/>
      </c>
      <c r="AM428" s="124" t="str">
        <f aca="false">IF(ISBLANK($C428),"",IF(ISBLANK($T428),0,IF(ISNUMBER($T428),IF(AND($T428&gt;=0,$T428&lt;=Constants!$B$17,$T428=INT($T428)),$T428,""),"")))</f>
        <v/>
      </c>
      <c r="AN428" s="125" t="str">
        <f aca="false">IF(ISBLANK($C428),"",IF(ISBLANK($U428),0,IF(ISNUMBER($U428),IF($U428&gt;=0,$U428,""),"")))</f>
        <v/>
      </c>
      <c r="AO428" s="124" t="str">
        <f aca="false">IF(ISBLANK($C428),"",IF($V428=Constants!$B$2,TRUE(),IF($V428=Constants!$B$3,FALSE(),FALSE())))</f>
        <v/>
      </c>
      <c r="AP428" s="124"/>
      <c r="AQ428" s="123" t="str">
        <f aca="false">IF(ISBLANK($C428),"",AND($Y428,OR($AS428,$BC428),OR($Z428="",$AA428="",$AB428="")))</f>
        <v/>
      </c>
      <c r="AR428" s="123" t="str">
        <f aca="false">IF(ISBLANK($C428),"",IF(OR(NOT($Y428),NOT(OR($AS428,$BC428))),"",IF(ISBLANK($D$7),$AR$5,IF($AP$9="",$AR$6,""))))</f>
        <v/>
      </c>
      <c r="AS428" s="123" t="str">
        <f aca="false">IF(ISBLANK($C428),"",COUNTA($J428:$O428)&gt;0)</f>
        <v/>
      </c>
      <c r="AT428" s="123" t="str">
        <f aca="false">IF(ISBLANK($C428),"",AND($AS428,OR(AND($AF428="",OR($AE428,NOT(ISBLANK($M428)))),$AG428="",$AH428="")))</f>
        <v/>
      </c>
      <c r="AU428" s="125" t="str">
        <f aca="false">IF($BL428&lt;&gt;Constants!$B$4,"",IF(NOT($AS428),"",ROUND((Constants!$B$12-$AB428)+(Constants!$B$13-$Z428)+(Constants!$B$14-$AA428),1)))</f>
        <v/>
      </c>
      <c r="AV428" s="127" t="str">
        <f aca="false">IF($BL428&lt;&gt;Constants!$B$4,"",IF(NOT($AS428),"",IF(NOT($AE428),0,Constants!$B$15*(INT(ROUND(MIN($AF428,$AP$9),6))-INT(ROUND(MAX(0,MIN($AF428,2*$AP$9)-$AP$9),6))))))</f>
        <v/>
      </c>
      <c r="AW428" s="127" t="str">
        <f aca="false">IF($BL428&lt;&gt;Constants!$B$4,"",IF(NOT($AS428),"",Constants!$B$16*$AG428))</f>
        <v/>
      </c>
      <c r="AX428" s="127" t="str">
        <f aca="false">IF($BL428&lt;&gt;Constants!$B$4,"",IF(NOT($AS428),"",Constants!$B$18*INT(ROUND($AH428,6))))</f>
        <v/>
      </c>
      <c r="AY428" s="123" t="str">
        <f aca="false">IF($BL428&lt;&gt;Constants!$B$4,"",IF(NOT($AS428),"",IF(NOT($X428),Constants!$B$11,IF(OR(NOT($AC428),NOT($AD428),ROUND($AB428,1)&gt;Constants!$B$12,ROUND($Z428,1)&gt;Constants!$B$13,ROUND($AA428,1)&gt;Constants!$B$14),Constants!$B$10,Constants!$B$9))))</f>
        <v/>
      </c>
      <c r="AZ428" s="128" t="str">
        <f aca="false">IF($BL428&lt;&gt;Constants!$B$4,"",IF(NOT($AS428),"",ROUND($AU428+$AV428+$AW428+$AX428,1)))</f>
        <v/>
      </c>
      <c r="BA428" s="129" t="str">
        <f aca="false">IF($BL428&lt;&gt;Constants!$B$4,"",IF(NOT($AS428),"",IF(ISNUMBER($AF428),$AF428,0)))</f>
        <v/>
      </c>
      <c r="BB428" s="124" t="str">
        <f aca="false">IF($BL428&lt;&gt;Constants!$B$4,"",IF(NOT($BC428),"&lt;-",IF(NOT($AS428),"-&gt;",IF(OR($BI428&lt;$AY428,AND($BI428=$AY428,OR($BJ428&gt;$AZ428,AND($BJ428=$AZ428,OR($BH428&gt;$AX428,AND($BH428=$AX428,OR($BE428&gt;$AU428,AND($BE428=$AU428,OR($BF428&gt;$AV428,AND($BF428=$AV428,$BK428&gt;$BA428)))))))))),"-&gt;","&lt;-"))))</f>
        <v/>
      </c>
      <c r="BC428" s="123" t="str">
        <f aca="false">IF(ISBLANK($C428),"",COUNTA($P428:$U428)&gt;0)</f>
        <v/>
      </c>
      <c r="BD428" s="123" t="str">
        <f aca="false">IF(ISBLANK($C428),"",AND($BC428,OR(AND($AL428="",OR($AK428,NOT(ISBLANK($S428)))),$AM428="",$AN428="")))</f>
        <v/>
      </c>
      <c r="BE428" s="125" t="str">
        <f aca="false">IF($BL428&lt;&gt;Constants!$B$4,"",IF(NOT($BC428),"",ROUND((Constants!$B$12-$AB428)+(Constants!$B$13-$Z428)+(Constants!$B$14-$AA428),1)))</f>
        <v/>
      </c>
      <c r="BF428" s="127" t="str">
        <f aca="false">IF($BL428&lt;&gt;Constants!$B$4,"",IF(NOT($BC428),"",IF(NOT($AK428),0,Constants!$B$15*(INT(ROUND(MIN($AL428,$AP$9),6))-INT(ROUND(MAX(0,MIN($AL428,2*$AP$9)-$AP$9),6))))))</f>
        <v/>
      </c>
      <c r="BG428" s="127" t="str">
        <f aca="false">IF($BL428&lt;&gt;Constants!$B$4,"",IF(NOT($BC428),"",Constants!$B$16*$AM428))</f>
        <v/>
      </c>
      <c r="BH428" s="127" t="str">
        <f aca="false">IF($BL428&lt;&gt;Constants!$B$4,"",IF(NOT($BC428),"",Constants!$B$18*INT(ROUND($AN428,6))))</f>
        <v/>
      </c>
      <c r="BI428" s="123" t="str">
        <f aca="false">IF($BL428&lt;&gt;Constants!$B$4,"",IF(NOT($BC428),"",IF(NOT($X428),Constants!$B$11,IF(OR(NOT($AI428),NOT($AJ428),ROUND($AB428,1)&gt;Constants!$B$12,ROUND($Z428,1)&gt;Constants!$B$13,ROUND($AA428,1)&gt;Constants!$B$14),Constants!$B$10,Constants!$B$9))))</f>
        <v/>
      </c>
      <c r="BJ428" s="128" t="str">
        <f aca="false">IF($BL428&lt;&gt;Constants!$B$4,"",IF(NOT($BC428),"",ROUND($BE428+$BF428+$BG428+$BH428,1)))</f>
        <v/>
      </c>
      <c r="BK428" s="129" t="str">
        <f aca="false">IF($BL428&lt;&gt;Constants!$B$4,"",IF(NOT($BC428),"",IF(ISNUMBER($AL428),$AL428,0)))</f>
        <v/>
      </c>
      <c r="BL428" s="124" t="str">
        <f aca="false">IF(ISBLANK($C428),"",IF($AO428,Constants!$B$7,IF(COUNTA($E428:$V428)=0,Constants!$B$6,IF(NOT($Y428),Constants!$B$5,IF(NOT(OR($AS428,$BC428)),Constants!$B$5,IF(OR($AT428,$BD428,$AQ428,$AR428&lt;&gt;""),Constants!$B$8,Constants!$B$4))))))</f>
        <v/>
      </c>
      <c r="BM428" s="124" t="str">
        <f aca="false">IF(ISBLANK($C428),"",IF($BL428&lt;&gt;Constants!$B$4,$BL428,IF($BB428="-&gt;",$BI428,$AY428)))</f>
        <v/>
      </c>
      <c r="BN428" s="127" t="str">
        <f aca="false">IF($BL428&lt;&gt;Constants!$B$4,"",IF($BB428="-&gt;",$BJ428,$AZ428))</f>
        <v/>
      </c>
      <c r="BO428" s="127" t="str">
        <f aca="false">IF(ISBLANK($C428),"",IF($BL428&lt;&gt;Constants!$B$4,$BL428,$BN428))</f>
        <v/>
      </c>
      <c r="BP428" s="124" t="str">
        <f aca="false">IF(ISBLANK($C428),"",IF($BL428&lt;&gt;Constants!$B$4,$BL428,RANK($BO428,$BO$9:$BO$508,0)))</f>
        <v/>
      </c>
      <c r="BQ428" s="124" t="str">
        <f aca="false">IF(ISBLANK($C428),"",IF($BL428&lt;&gt;Constants!$B$4,$BL428,COUNTIFS($BM$9:$BM$508,"&lt;"&amp;$BM428)+COUNTIFS($BM$9:$BM$508,$BM428,$BP$9:$BP$508,"&lt;"&amp;$BP428)+1))</f>
        <v/>
      </c>
      <c r="BR428" s="127" t="str">
        <f aca="false">IF($BL428&lt;&gt;Constants!$B$4,"",IF($BB428="-&gt;",$BH428,$AX428))</f>
        <v/>
      </c>
      <c r="BS428" s="124" t="str">
        <f aca="false">IF(ISBLANK($C428),"",IF($BL428&lt;&gt;Constants!$B$4,$BL428,IF(ISNUMBER($BR428),RANK($BR428,$BR$9:$BR$508,0),COUNT($BR$9:$BR$508)+1)))</f>
        <v/>
      </c>
      <c r="BT428" s="127" t="str">
        <f aca="false">IF($BL428&lt;&gt;Constants!$B$4,"",IF($BB428="-&gt;",$BE428,$AU428))</f>
        <v/>
      </c>
      <c r="BU428" s="124" t="str">
        <f aca="false">IF(ISBLANK($C428),"",IF($BL428&lt;&gt;Constants!$B$4,$BL428,IF(ISNUMBER($BT428),RANK($BT428,$BT$9:$BT$508,0),COUNT($BT$9:$BT$508)+1)))</f>
        <v/>
      </c>
      <c r="BV428" s="127" t="str">
        <f aca="false">IF($BL428&lt;&gt;Constants!$B$4,"",IF($BB428="-&gt;",$BF428,$AV428))</f>
        <v/>
      </c>
      <c r="BW428" s="124" t="str">
        <f aca="false">IF(ISBLANK($C428),"",IF($BL428&lt;&gt;Constants!$B$4,$BL428,IF(ISNUMBER($BV428),RANK($BV428,$BV$9:$BV$508,0),COUNT($BV$9:$BV$508)+1)))</f>
        <v/>
      </c>
      <c r="BX428" s="127" t="str">
        <f aca="false">IF($BL428&lt;&gt;Constants!$B$4,"",IF($BB428="-&gt;",$BK428,$BA428))</f>
        <v/>
      </c>
      <c r="BY428" s="124" t="str">
        <f aca="false">IF(ISBLANK($C428),"",IF($BL428&lt;&gt;Constants!$B$4,$BL428,IF(ISNUMBER($BX428),RANK($BX428,$BX$9:$BX$508,0),COUNT($BX$9:$BX$508)+1)))</f>
        <v/>
      </c>
      <c r="BZ428" s="124" t="str">
        <f aca="false">IF(ISBLANK($C428),"",IF($BL428&lt;&gt;Constants!$B$4,$BL428,COUNTIFS($BM$9:$BM$508,"&lt;"&amp;$BM428)+COUNTIFS($BM$9:$BM$508,$BM428,$BP$9:$BP$508,"&lt;"&amp;$BP428)+COUNTIFS($BM$9:$BM$508,$BM428,$BP$9:$BP$508,$BP428,$BS$9:$BS$508,"&lt;"&amp;$BS428)+COUNTIFS($BM$9:$BM$508,$BM428,$BP$9:$BP$508,$BP428,$BS$9:$BS$508,$BS428,$BU$9:$BU$508,"&lt;"&amp;$BU428)+COUNTIFS($BM$9:$BM$508,$BM428,$BP$9:$BP$508,$BP428,$BS$9:$BS$508,$BS428,$BU$9:$BU$508,$BU428,$BW$9:$BW$508,"&lt;"&amp;$BW428)+COUNTIFS($BM$9:$BM$508,$BM428,$BP$9:$BP$508,$BP428,$BS$9:$BS$508,$BS428,$BU$9:$BU$508,$BU428,$BW$9:$BW$508,$BW428,$BY$9:$BY$508,"&lt;"&amp;$BY428)+1))</f>
        <v/>
      </c>
      <c r="CA428" s="124" t="str">
        <f aca="false">IF(ISBLANK($C428),"",IF($BL428&lt;&gt;Constants!$B$4,$BL428,$BQ428-$BZ428))</f>
        <v/>
      </c>
      <c r="CB428" s="130"/>
      <c r="CC428" s="131" t="str">
        <f aca="false">IF(ISBLANK($C428),"",IF($BL428=Constants!$B$8,$AR428,""))</f>
        <v/>
      </c>
      <c r="CD428" s="131" t="str">
        <f aca="false">IF(ISBLANK($C428),"",IF($BL428&lt;&gt;Constants!$B$4,"",IF($BB428="-&gt;",2,1)))</f>
        <v/>
      </c>
      <c r="CE428" s="132" t="str">
        <f aca="false">IF(ISBLANK($C428),"",IF($BL428&lt;&gt;Constants!$B$4,"",IF($BB428="-&gt;",$BE428,$AU428)))</f>
        <v/>
      </c>
      <c r="CF428" s="132" t="str">
        <f aca="false">IF(ISBLANK($C428),"",IF($BL428&lt;&gt;Constants!$B$4,"",IF($BB428="-&gt;",$BF428,$AV428)))</f>
        <v/>
      </c>
      <c r="CG428" s="132" t="str">
        <f aca="false">IF(ISBLANK($C428),"",IF($BL428&lt;&gt;Constants!$B$4,"",IF($BB428="-&gt;",$BG428,$AW428)))</f>
        <v/>
      </c>
      <c r="CH428" s="132" t="str">
        <f aca="false">IF(ISBLANK($C428),"",IF($BL428&lt;&gt;Constants!$B$4,"",IF($BB428="-&gt;",$BH428,$AX428)))</f>
        <v/>
      </c>
      <c r="CI428" s="133" t="str">
        <f aca="false">IF(ISBLANK($C428),"",$BO428)</f>
        <v/>
      </c>
      <c r="CJ428" s="134" t="str">
        <f aca="false">IF(ISBLANK($C428),"",$BM428)</f>
        <v/>
      </c>
      <c r="CK428" s="135" t="str">
        <f aca="false">IF(ISBLANK($C428),"",$CA428)</f>
        <v/>
      </c>
      <c r="CL428" s="135" t="str">
        <f aca="false">IF(ISBLANK($C428),"",$BZ428)</f>
        <v/>
      </c>
      <c r="CM428" s="136" t="str">
        <f aca="false">IF(ISBLANK($C428),"",IF($CL428=Constants!$B$7,COUNTA($C$9:$C$508)+2,IF($CL428=Constants!$B$6,COUNTA($C$9:$C$508)+1,IF($CL428=Constants!$B$5,COUNTA($C$9:$C$508),$CL428))))</f>
        <v/>
      </c>
      <c r="CN428" s="8"/>
      <c r="CO428" s="137" t="n">
        <f aca="false">IF(OR(ISNUMBER($CL428),$CL428=Constants!$B$7,$CL428=Constants!$B$5,$CL428=Constants!$B$6),1,0)</f>
        <v>0</v>
      </c>
      <c r="CP428" s="137" t="n">
        <v>420</v>
      </c>
      <c r="CQ428" s="137" t="str">
        <f aca="false">IF(ISBLANK($C428),"",IF(ISNUMBER($CM428),$CM428+ROW($B428)/1000,""))</f>
        <v/>
      </c>
      <c r="CR428" s="137" t="str">
        <f aca="false">IF(ISNUMBER($CQ428),RANK($CQ428,$CQ$9:$CQ$508,1),"")</f>
        <v/>
      </c>
      <c r="CS428" s="137" t="str">
        <f aca="false">IF(ISBLANK($C428),"",$B428)</f>
        <v/>
      </c>
      <c r="CT428" s="137" t="str">
        <f aca="false">IF(ISBLANK($C428),"",$C428)</f>
        <v/>
      </c>
      <c r="CU428" s="137" t="str">
        <f aca="false">IF(ISBLANK($C428),"",$D428)</f>
        <v/>
      </c>
      <c r="CV428" s="138" t="str">
        <f aca="false">$CJ428</f>
        <v/>
      </c>
      <c r="CW428" s="139" t="str">
        <f aca="false">$CI428</f>
        <v/>
      </c>
      <c r="CX428" s="137" t="str">
        <f aca="false">IF(ISBLANK($C428),"",$CL428)</f>
        <v/>
      </c>
      <c r="CY428" s="140" t="str">
        <f aca="false">IF($CP428&gt;$CO$8,"",VLOOKUP($CP428,$CR$9:$CX$508,7,FALSE()))</f>
        <v/>
      </c>
      <c r="CZ428" s="141" t="str">
        <f aca="false">IF($CP428&gt;$CO$8,"",VLOOKUP($CP428,$CR$9:$CX$508,2,FALSE()))</f>
        <v/>
      </c>
      <c r="DA428" s="141" t="str">
        <f aca="false">IF($CP428&gt;$CO$8,"",VLOOKUP($CP428,$CR$9:$CX$508,3,FALSE()))</f>
        <v/>
      </c>
      <c r="DB428" s="141" t="str">
        <f aca="false">IF($CP428&gt;$CO$8,"",VLOOKUP($CP428,$CR$9:$CX$508,4,FALSE()))</f>
        <v/>
      </c>
      <c r="DC428" s="141" t="str">
        <f aca="false">IF($CP428&gt;$CO$8,"",VLOOKUP($CP428,$CR$9:$CX$508,5,FALSE()))</f>
        <v/>
      </c>
      <c r="DD428" s="142" t="str">
        <f aca="false">IF($CP428&gt;$CO$8,"",VLOOKUP($CP428,$CR$9:$CX$508,6,FALSE()))</f>
        <v/>
      </c>
      <c r="DE428" s="70"/>
    </row>
    <row r="429" customFormat="false" ht="15.75" hidden="false" customHeight="false" outlineLevel="0" collapsed="false">
      <c r="A429" s="8"/>
      <c r="B429" s="72"/>
      <c r="C429" s="73"/>
      <c r="D429" s="155"/>
      <c r="E429" s="162"/>
      <c r="F429" s="157"/>
      <c r="G429" s="77"/>
      <c r="H429" s="77"/>
      <c r="I429" s="77"/>
      <c r="J429" s="163"/>
      <c r="K429" s="161"/>
      <c r="L429" s="161"/>
      <c r="M429" s="80"/>
      <c r="N429" s="161"/>
      <c r="O429" s="160"/>
      <c r="P429" s="161"/>
      <c r="Q429" s="161"/>
      <c r="R429" s="161"/>
      <c r="S429" s="77"/>
      <c r="T429" s="161"/>
      <c r="U429" s="160"/>
      <c r="V429" s="161"/>
      <c r="W429" s="85"/>
      <c r="X429" s="86" t="str">
        <f aca="false">IF(ISBLANK($C429),"",IF($E429=Constants!$B$2,TRUE(),IF($E429=Constants!$B$3,FALSE(),TRUE())))</f>
        <v/>
      </c>
      <c r="Y429" s="86" t="str">
        <f aca="false">IF(ISBLANK($C429),"",IF($F429=Constants!$B$2,TRUE(),IF($F429=Constants!$B$3,FALSE(),TRUE())))</f>
        <v/>
      </c>
      <c r="Z429" s="87" t="str">
        <f aca="false">IF(ISBLANK($C429),"",IF(ISNUMBER($G429),IF($G429&gt;=0,$G429,""),""))</f>
        <v/>
      </c>
      <c r="AA429" s="87" t="str">
        <f aca="false">IF(ISBLANK($C429),"",IF(ISNUMBER($H429),IF($H429&gt;=0,$H429,""),""))</f>
        <v/>
      </c>
      <c r="AB429" s="87" t="str">
        <f aca="false">IF(ISBLANK($C429),"",IF(ISNUMBER($I429),IF($I429&gt;=0,$I429,""),""))</f>
        <v/>
      </c>
      <c r="AC429" s="86" t="str">
        <f aca="false">IF(ISBLANK($C429),"",IF($J429=Constants!$B$2,TRUE(),IF($J429=Constants!$B$3,FALSE(),TRUE())))</f>
        <v/>
      </c>
      <c r="AD429" s="86" t="str">
        <f aca="false">IF(ISBLANK($C429),"",IF($K429=Constants!$B$2,TRUE(),IF($K429=Constants!$B$3,FALSE(),TRUE())))</f>
        <v/>
      </c>
      <c r="AE429" s="86" t="str">
        <f aca="false">IF(ISBLANK($C429),"",IF($L429=Constants!$B$2,TRUE(),IF($L429=Constants!$B$3,FALSE(),TRUE())))</f>
        <v/>
      </c>
      <c r="AF429" s="88" t="str">
        <f aca="false">IF(ISBLANK($C429),"",IF(ISNUMBER($M429),IF($M429&gt;=0,$M429,""),""))</f>
        <v/>
      </c>
      <c r="AG429" s="86" t="str">
        <f aca="false">IF(ISBLANK($C429),"",IF(ISBLANK($N429),0,IF(ISNUMBER($N429),IF(AND($N429&gt;=0,$N429&lt;=Constants!$B$17,$N429=INT($N429)),$N429,""),"")))</f>
        <v/>
      </c>
      <c r="AH429" s="87" t="str">
        <f aca="false">IF(ISBLANK($C429),"",IF(ISBLANK($O429),0,IF(ISNUMBER($O429),IF($O429&gt;=0,$O429,""),"")))</f>
        <v/>
      </c>
      <c r="AI429" s="86" t="str">
        <f aca="false">IF(ISBLANK($C429),"",IF($P429=Constants!$B$2,TRUE(),IF($P429=Constants!$B$3,FALSE(),TRUE())))</f>
        <v/>
      </c>
      <c r="AJ429" s="86" t="str">
        <f aca="false">IF(ISBLANK($C429),"",IF($Q429=Constants!$B$2,TRUE(),IF($Q429=Constants!$B$3,FALSE(),TRUE())))</f>
        <v/>
      </c>
      <c r="AK429" s="86" t="str">
        <f aca="false">IF(ISBLANK($C429),"",IF($R429=Constants!$B$2,TRUE(),IF($R429=Constants!$B$3,FALSE(),TRUE())))</f>
        <v/>
      </c>
      <c r="AL429" s="88" t="str">
        <f aca="false">IF(ISBLANK($C429),"",IF(ISNUMBER($S429),IF($S429&gt;=0,$S429,""),""))</f>
        <v/>
      </c>
      <c r="AM429" s="86" t="str">
        <f aca="false">IF(ISBLANK($C429),"",IF(ISBLANK($T429),0,IF(ISNUMBER($T429),IF(AND($T429&gt;=0,$T429&lt;=Constants!$B$17,$T429=INT($T429)),$T429,""),"")))</f>
        <v/>
      </c>
      <c r="AN429" s="87" t="str">
        <f aca="false">IF(ISBLANK($C429),"",IF(ISBLANK($U429),0,IF(ISNUMBER($U429),IF($U429&gt;=0,$U429,""),"")))</f>
        <v/>
      </c>
      <c r="AO429" s="86" t="str">
        <f aca="false">IF(ISBLANK($C429),"",IF($V429=Constants!$B$2,TRUE(),IF($V429=Constants!$B$3,FALSE(),FALSE())))</f>
        <v/>
      </c>
      <c r="AP429" s="86"/>
      <c r="AQ429" s="85" t="str">
        <f aca="false">IF(ISBLANK($C429),"",AND($Y429,OR($AS429,$BC429),OR($Z429="",$AA429="",$AB429="")))</f>
        <v/>
      </c>
      <c r="AR429" s="85" t="str">
        <f aca="false">IF(ISBLANK($C429),"",IF(OR(NOT($Y429),NOT(OR($AS429,$BC429))),"",IF(ISBLANK($D$7),$AR$5,IF($AP$9="",$AR$6,""))))</f>
        <v/>
      </c>
      <c r="AS429" s="85" t="str">
        <f aca="false">IF(ISBLANK($C429),"",COUNTA($J429:$O429)&gt;0)</f>
        <v/>
      </c>
      <c r="AT429" s="85" t="str">
        <f aca="false">IF(ISBLANK($C429),"",AND($AS429,OR(AND($AF429="",OR($AE429,NOT(ISBLANK($M429)))),$AG429="",$AH429="")))</f>
        <v/>
      </c>
      <c r="AU429" s="87" t="str">
        <f aca="false">IF($BL429&lt;&gt;Constants!$B$4,"",IF(NOT($AS429),"",ROUND((Constants!$B$12-$AB429)+(Constants!$B$13-$Z429)+(Constants!$B$14-$AA429),1)))</f>
        <v/>
      </c>
      <c r="AV429" s="90" t="str">
        <f aca="false">IF($BL429&lt;&gt;Constants!$B$4,"",IF(NOT($AS429),"",IF(NOT($AE429),0,Constants!$B$15*(INT(ROUND(MIN($AF429,$AP$9),6))-INT(ROUND(MAX(0,MIN($AF429,2*$AP$9)-$AP$9),6))))))</f>
        <v/>
      </c>
      <c r="AW429" s="90" t="str">
        <f aca="false">IF($BL429&lt;&gt;Constants!$B$4,"",IF(NOT($AS429),"",Constants!$B$16*$AG429))</f>
        <v/>
      </c>
      <c r="AX429" s="90" t="str">
        <f aca="false">IF($BL429&lt;&gt;Constants!$B$4,"",IF(NOT($AS429),"",Constants!$B$18*INT(ROUND($AH429,6))))</f>
        <v/>
      </c>
      <c r="AY429" s="85" t="str">
        <f aca="false">IF($BL429&lt;&gt;Constants!$B$4,"",IF(NOT($AS429),"",IF(NOT($X429),Constants!$B$11,IF(OR(NOT($AC429),NOT($AD429),ROUND($AB429,1)&gt;Constants!$B$12,ROUND($Z429,1)&gt;Constants!$B$13,ROUND($AA429,1)&gt;Constants!$B$14),Constants!$B$10,Constants!$B$9))))</f>
        <v/>
      </c>
      <c r="AZ429" s="91" t="str">
        <f aca="false">IF($BL429&lt;&gt;Constants!$B$4,"",IF(NOT($AS429),"",ROUND($AU429+$AV429+$AW429+$AX429,1)))</f>
        <v/>
      </c>
      <c r="BA429" s="92" t="str">
        <f aca="false">IF($BL429&lt;&gt;Constants!$B$4,"",IF(NOT($AS429),"",IF(ISNUMBER($AF429),$AF429,0)))</f>
        <v/>
      </c>
      <c r="BB429" s="86" t="str">
        <f aca="false">IF($BL429&lt;&gt;Constants!$B$4,"",IF(NOT($BC429),"&lt;-",IF(NOT($AS429),"-&gt;",IF(OR($BI429&lt;$AY429,AND($BI429=$AY429,OR($BJ429&gt;$AZ429,AND($BJ429=$AZ429,OR($BH429&gt;$AX429,AND($BH429=$AX429,OR($BE429&gt;$AU429,AND($BE429=$AU429,OR($BF429&gt;$AV429,AND($BF429=$AV429,$BK429&gt;$BA429)))))))))),"-&gt;","&lt;-"))))</f>
        <v/>
      </c>
      <c r="BC429" s="85" t="str">
        <f aca="false">IF(ISBLANK($C429),"",COUNTA($P429:$U429)&gt;0)</f>
        <v/>
      </c>
      <c r="BD429" s="85" t="str">
        <f aca="false">IF(ISBLANK($C429),"",AND($BC429,OR(AND($AL429="",OR($AK429,NOT(ISBLANK($S429)))),$AM429="",$AN429="")))</f>
        <v/>
      </c>
      <c r="BE429" s="87" t="str">
        <f aca="false">IF($BL429&lt;&gt;Constants!$B$4,"",IF(NOT($BC429),"",ROUND((Constants!$B$12-$AB429)+(Constants!$B$13-$Z429)+(Constants!$B$14-$AA429),1)))</f>
        <v/>
      </c>
      <c r="BF429" s="90" t="str">
        <f aca="false">IF($BL429&lt;&gt;Constants!$B$4,"",IF(NOT($BC429),"",IF(NOT($AK429),0,Constants!$B$15*(INT(ROUND(MIN($AL429,$AP$9),6))-INT(ROUND(MAX(0,MIN($AL429,2*$AP$9)-$AP$9),6))))))</f>
        <v/>
      </c>
      <c r="BG429" s="90" t="str">
        <f aca="false">IF($BL429&lt;&gt;Constants!$B$4,"",IF(NOT($BC429),"",Constants!$B$16*$AM429))</f>
        <v/>
      </c>
      <c r="BH429" s="90" t="str">
        <f aca="false">IF($BL429&lt;&gt;Constants!$B$4,"",IF(NOT($BC429),"",Constants!$B$18*INT(ROUND($AN429,6))))</f>
        <v/>
      </c>
      <c r="BI429" s="85" t="str">
        <f aca="false">IF($BL429&lt;&gt;Constants!$B$4,"",IF(NOT($BC429),"",IF(NOT($X429),Constants!$B$11,IF(OR(NOT($AI429),NOT($AJ429),ROUND($AB429,1)&gt;Constants!$B$12,ROUND($Z429,1)&gt;Constants!$B$13,ROUND($AA429,1)&gt;Constants!$B$14),Constants!$B$10,Constants!$B$9))))</f>
        <v/>
      </c>
      <c r="BJ429" s="91" t="str">
        <f aca="false">IF($BL429&lt;&gt;Constants!$B$4,"",IF(NOT($BC429),"",ROUND($BE429+$BF429+$BG429+$BH429,1)))</f>
        <v/>
      </c>
      <c r="BK429" s="92" t="str">
        <f aca="false">IF($BL429&lt;&gt;Constants!$B$4,"",IF(NOT($BC429),"",IF(ISNUMBER($AL429),$AL429,0)))</f>
        <v/>
      </c>
      <c r="BL429" s="86" t="str">
        <f aca="false">IF(ISBLANK($C429),"",IF($AO429,Constants!$B$7,IF(COUNTA($E429:$V429)=0,Constants!$B$6,IF(NOT($Y429),Constants!$B$5,IF(NOT(OR($AS429,$BC429)),Constants!$B$5,IF(OR($AT429,$BD429,$AQ429,$AR429&lt;&gt;""),Constants!$B$8,Constants!$B$4))))))</f>
        <v/>
      </c>
      <c r="BM429" s="86" t="str">
        <f aca="false">IF(ISBLANK($C429),"",IF($BL429&lt;&gt;Constants!$B$4,$BL429,IF($BB429="-&gt;",$BI429,$AY429)))</f>
        <v/>
      </c>
      <c r="BN429" s="90" t="str">
        <f aca="false">IF($BL429&lt;&gt;Constants!$B$4,"",IF($BB429="-&gt;",$BJ429,$AZ429))</f>
        <v/>
      </c>
      <c r="BO429" s="90" t="str">
        <f aca="false">IF(ISBLANK($C429),"",IF($BL429&lt;&gt;Constants!$B$4,$BL429,$BN429))</f>
        <v/>
      </c>
      <c r="BP429" s="86" t="str">
        <f aca="false">IF(ISBLANK($C429),"",IF($BL429&lt;&gt;Constants!$B$4,$BL429,RANK($BO429,$BO$9:$BO$508,0)))</f>
        <v/>
      </c>
      <c r="BQ429" s="86" t="str">
        <f aca="false">IF(ISBLANK($C429),"",IF($BL429&lt;&gt;Constants!$B$4,$BL429,COUNTIFS($BM$9:$BM$508,"&lt;"&amp;$BM429)+COUNTIFS($BM$9:$BM$508,$BM429,$BP$9:$BP$508,"&lt;"&amp;$BP429)+1))</f>
        <v/>
      </c>
      <c r="BR429" s="90" t="str">
        <f aca="false">IF($BL429&lt;&gt;Constants!$B$4,"",IF($BB429="-&gt;",$BH429,$AX429))</f>
        <v/>
      </c>
      <c r="BS429" s="86" t="str">
        <f aca="false">IF(ISBLANK($C429),"",IF($BL429&lt;&gt;Constants!$B$4,$BL429,IF(ISNUMBER($BR429),RANK($BR429,$BR$9:$BR$508,0),COUNT($BR$9:$BR$508)+1)))</f>
        <v/>
      </c>
      <c r="BT429" s="90" t="str">
        <f aca="false">IF($BL429&lt;&gt;Constants!$B$4,"",IF($BB429="-&gt;",$BE429,$AU429))</f>
        <v/>
      </c>
      <c r="BU429" s="86" t="str">
        <f aca="false">IF(ISBLANK($C429),"",IF($BL429&lt;&gt;Constants!$B$4,$BL429,IF(ISNUMBER($BT429),RANK($BT429,$BT$9:$BT$508,0),COUNT($BT$9:$BT$508)+1)))</f>
        <v/>
      </c>
      <c r="BV429" s="90" t="str">
        <f aca="false">IF($BL429&lt;&gt;Constants!$B$4,"",IF($BB429="-&gt;",$BF429,$AV429))</f>
        <v/>
      </c>
      <c r="BW429" s="86" t="str">
        <f aca="false">IF(ISBLANK($C429),"",IF($BL429&lt;&gt;Constants!$B$4,$BL429,IF(ISNUMBER($BV429),RANK($BV429,$BV$9:$BV$508,0),COUNT($BV$9:$BV$508)+1)))</f>
        <v/>
      </c>
      <c r="BX429" s="90" t="str">
        <f aca="false">IF($BL429&lt;&gt;Constants!$B$4,"",IF($BB429="-&gt;",$BK429,$BA429))</f>
        <v/>
      </c>
      <c r="BY429" s="86" t="str">
        <f aca="false">IF(ISBLANK($C429),"",IF($BL429&lt;&gt;Constants!$B$4,$BL429,IF(ISNUMBER($BX429),RANK($BX429,$BX$9:$BX$508,0),COUNT($BX$9:$BX$508)+1)))</f>
        <v/>
      </c>
      <c r="BZ429" s="86" t="str">
        <f aca="false">IF(ISBLANK($C429),"",IF($BL429&lt;&gt;Constants!$B$4,$BL429,COUNTIFS($BM$9:$BM$508,"&lt;"&amp;$BM429)+COUNTIFS($BM$9:$BM$508,$BM429,$BP$9:$BP$508,"&lt;"&amp;$BP429)+COUNTIFS($BM$9:$BM$508,$BM429,$BP$9:$BP$508,$BP429,$BS$9:$BS$508,"&lt;"&amp;$BS429)+COUNTIFS($BM$9:$BM$508,$BM429,$BP$9:$BP$508,$BP429,$BS$9:$BS$508,$BS429,$BU$9:$BU$508,"&lt;"&amp;$BU429)+COUNTIFS($BM$9:$BM$508,$BM429,$BP$9:$BP$508,$BP429,$BS$9:$BS$508,$BS429,$BU$9:$BU$508,$BU429,$BW$9:$BW$508,"&lt;"&amp;$BW429)+COUNTIFS($BM$9:$BM$508,$BM429,$BP$9:$BP$508,$BP429,$BS$9:$BS$508,$BS429,$BU$9:$BU$508,$BU429,$BW$9:$BW$508,$BW429,$BY$9:$BY$508,"&lt;"&amp;$BY429)+1))</f>
        <v/>
      </c>
      <c r="CA429" s="86" t="str">
        <f aca="false">IF(ISBLANK($C429),"",IF($BL429&lt;&gt;Constants!$B$4,$BL429,$BQ429-$BZ429))</f>
        <v/>
      </c>
      <c r="CB429" s="93"/>
      <c r="CC429" s="94" t="str">
        <f aca="false">IF(ISBLANK($C429),"",IF($BL429=Constants!$B$8,$AR429,""))</f>
        <v/>
      </c>
      <c r="CD429" s="94" t="str">
        <f aca="false">IF(ISBLANK($C429),"",IF($BL429&lt;&gt;Constants!$B$4,"",IF($BB429="-&gt;",2,1)))</f>
        <v/>
      </c>
      <c r="CE429" s="95" t="str">
        <f aca="false">IF(ISBLANK($C429),"",IF($BL429&lt;&gt;Constants!$B$4,"",IF($BB429="-&gt;",$BE429,$AU429)))</f>
        <v/>
      </c>
      <c r="CF429" s="95" t="str">
        <f aca="false">IF(ISBLANK($C429),"",IF($BL429&lt;&gt;Constants!$B$4,"",IF($BB429="-&gt;",$BF429,$AV429)))</f>
        <v/>
      </c>
      <c r="CG429" s="95" t="str">
        <f aca="false">IF(ISBLANK($C429),"",IF($BL429&lt;&gt;Constants!$B$4,"",IF($BB429="-&gt;",$BG429,$AW429)))</f>
        <v/>
      </c>
      <c r="CH429" s="95" t="str">
        <f aca="false">IF(ISBLANK($C429),"",IF($BL429&lt;&gt;Constants!$B$4,"",IF($BB429="-&gt;",$BH429,$AX429)))</f>
        <v/>
      </c>
      <c r="CI429" s="96" t="str">
        <f aca="false">IF(ISBLANK($C429),"",$BO429)</f>
        <v/>
      </c>
      <c r="CJ429" s="97" t="str">
        <f aca="false">IF(ISBLANK($C429),"",$BM429)</f>
        <v/>
      </c>
      <c r="CK429" s="98" t="str">
        <f aca="false">IF(ISBLANK($C429),"",$CA429)</f>
        <v/>
      </c>
      <c r="CL429" s="98" t="str">
        <f aca="false">IF(ISBLANK($C429),"",$BZ429)</f>
        <v/>
      </c>
      <c r="CM429" s="99" t="str">
        <f aca="false">IF(ISBLANK($C429),"",IF($CL429=Constants!$B$7,COUNTA($C$9:$C$508)+2,IF($CL429=Constants!$B$6,COUNTA($C$9:$C$508)+1,IF($CL429=Constants!$B$5,COUNTA($C$9:$C$508),$CL429))))</f>
        <v/>
      </c>
      <c r="CN429" s="8"/>
      <c r="CO429" s="100" t="n">
        <f aca="false">IF(OR(ISNUMBER($CL429),$CL429=Constants!$B$7,$CL429=Constants!$B$5,$CL429=Constants!$B$6),1,0)</f>
        <v>0</v>
      </c>
      <c r="CP429" s="100" t="n">
        <v>421</v>
      </c>
      <c r="CQ429" s="100" t="str">
        <f aca="false">IF(ISBLANK($C429),"",IF(ISNUMBER($CM429),$CM429+ROW($B429)/1000,""))</f>
        <v/>
      </c>
      <c r="CR429" s="100" t="str">
        <f aca="false">IF(ISNUMBER($CQ429),RANK($CQ429,$CQ$9:$CQ$508,1),"")</f>
        <v/>
      </c>
      <c r="CS429" s="100" t="str">
        <f aca="false">IF(ISBLANK($C429),"",$B429)</f>
        <v/>
      </c>
      <c r="CT429" s="100" t="str">
        <f aca="false">IF(ISBLANK($C429),"",$C429)</f>
        <v/>
      </c>
      <c r="CU429" s="100" t="str">
        <f aca="false">IF(ISBLANK($C429),"",$D429)</f>
        <v/>
      </c>
      <c r="CV429" s="101" t="str">
        <f aca="false">$CJ429</f>
        <v/>
      </c>
      <c r="CW429" s="102" t="str">
        <f aca="false">$CI429</f>
        <v/>
      </c>
      <c r="CX429" s="100" t="str">
        <f aca="false">IF(ISBLANK($C429),"",$CL429)</f>
        <v/>
      </c>
      <c r="CY429" s="103" t="str">
        <f aca="false">IF($CP429&gt;$CO$8,"",VLOOKUP($CP429,$CR$9:$CX$508,7,FALSE()))</f>
        <v/>
      </c>
      <c r="CZ429" s="104" t="str">
        <f aca="false">IF($CP429&gt;$CO$8,"",VLOOKUP($CP429,$CR$9:$CX$508,2,FALSE()))</f>
        <v/>
      </c>
      <c r="DA429" s="104" t="str">
        <f aca="false">IF($CP429&gt;$CO$8,"",VLOOKUP($CP429,$CR$9:$CX$508,3,FALSE()))</f>
        <v/>
      </c>
      <c r="DB429" s="104" t="str">
        <f aca="false">IF($CP429&gt;$CO$8,"",VLOOKUP($CP429,$CR$9:$CX$508,4,FALSE()))</f>
        <v/>
      </c>
      <c r="DC429" s="104" t="str">
        <f aca="false">IF($CP429&gt;$CO$8,"",VLOOKUP($CP429,$CR$9:$CX$508,5,FALSE()))</f>
        <v/>
      </c>
      <c r="DD429" s="105" t="str">
        <f aca="false">IF($CP429&gt;$CO$8,"",VLOOKUP($CP429,$CR$9:$CX$508,6,FALSE()))</f>
        <v/>
      </c>
      <c r="DE429" s="70"/>
    </row>
    <row r="430" customFormat="false" ht="15.75" hidden="false" customHeight="false" outlineLevel="0" collapsed="false">
      <c r="A430" s="8"/>
      <c r="B430" s="72"/>
      <c r="C430" s="73"/>
      <c r="D430" s="155"/>
      <c r="E430" s="162"/>
      <c r="F430" s="157"/>
      <c r="G430" s="77"/>
      <c r="H430" s="77"/>
      <c r="I430" s="77"/>
      <c r="J430" s="163"/>
      <c r="K430" s="161"/>
      <c r="L430" s="161"/>
      <c r="M430" s="80"/>
      <c r="N430" s="161"/>
      <c r="O430" s="160"/>
      <c r="P430" s="161"/>
      <c r="Q430" s="161"/>
      <c r="R430" s="161"/>
      <c r="S430" s="77"/>
      <c r="T430" s="161"/>
      <c r="U430" s="160"/>
      <c r="V430" s="161"/>
      <c r="W430" s="85"/>
      <c r="X430" s="86" t="str">
        <f aca="false">IF(ISBLANK($C430),"",IF($E430=Constants!$B$2,TRUE(),IF($E430=Constants!$B$3,FALSE(),TRUE())))</f>
        <v/>
      </c>
      <c r="Y430" s="86" t="str">
        <f aca="false">IF(ISBLANK($C430),"",IF($F430=Constants!$B$2,TRUE(),IF($F430=Constants!$B$3,FALSE(),TRUE())))</f>
        <v/>
      </c>
      <c r="Z430" s="87" t="str">
        <f aca="false">IF(ISBLANK($C430),"",IF(ISNUMBER($G430),IF($G430&gt;=0,$G430,""),""))</f>
        <v/>
      </c>
      <c r="AA430" s="87" t="str">
        <f aca="false">IF(ISBLANK($C430),"",IF(ISNUMBER($H430),IF($H430&gt;=0,$H430,""),""))</f>
        <v/>
      </c>
      <c r="AB430" s="87" t="str">
        <f aca="false">IF(ISBLANK($C430),"",IF(ISNUMBER($I430),IF($I430&gt;=0,$I430,""),""))</f>
        <v/>
      </c>
      <c r="AC430" s="86" t="str">
        <f aca="false">IF(ISBLANK($C430),"",IF($J430=Constants!$B$2,TRUE(),IF($J430=Constants!$B$3,FALSE(),TRUE())))</f>
        <v/>
      </c>
      <c r="AD430" s="86" t="str">
        <f aca="false">IF(ISBLANK($C430),"",IF($K430=Constants!$B$2,TRUE(),IF($K430=Constants!$B$3,FALSE(),TRUE())))</f>
        <v/>
      </c>
      <c r="AE430" s="86" t="str">
        <f aca="false">IF(ISBLANK($C430),"",IF($L430=Constants!$B$2,TRUE(),IF($L430=Constants!$B$3,FALSE(),TRUE())))</f>
        <v/>
      </c>
      <c r="AF430" s="88" t="str">
        <f aca="false">IF(ISBLANK($C430),"",IF(ISNUMBER($M430),IF($M430&gt;=0,$M430,""),""))</f>
        <v/>
      </c>
      <c r="AG430" s="86" t="str">
        <f aca="false">IF(ISBLANK($C430),"",IF(ISBLANK($N430),0,IF(ISNUMBER($N430),IF(AND($N430&gt;=0,$N430&lt;=Constants!$B$17,$N430=INT($N430)),$N430,""),"")))</f>
        <v/>
      </c>
      <c r="AH430" s="87" t="str">
        <f aca="false">IF(ISBLANK($C430),"",IF(ISBLANK($O430),0,IF(ISNUMBER($O430),IF($O430&gt;=0,$O430,""),"")))</f>
        <v/>
      </c>
      <c r="AI430" s="86" t="str">
        <f aca="false">IF(ISBLANK($C430),"",IF($P430=Constants!$B$2,TRUE(),IF($P430=Constants!$B$3,FALSE(),TRUE())))</f>
        <v/>
      </c>
      <c r="AJ430" s="86" t="str">
        <f aca="false">IF(ISBLANK($C430),"",IF($Q430=Constants!$B$2,TRUE(),IF($Q430=Constants!$B$3,FALSE(),TRUE())))</f>
        <v/>
      </c>
      <c r="AK430" s="86" t="str">
        <f aca="false">IF(ISBLANK($C430),"",IF($R430=Constants!$B$2,TRUE(),IF($R430=Constants!$B$3,FALSE(),TRUE())))</f>
        <v/>
      </c>
      <c r="AL430" s="88" t="str">
        <f aca="false">IF(ISBLANK($C430),"",IF(ISNUMBER($S430),IF($S430&gt;=0,$S430,""),""))</f>
        <v/>
      </c>
      <c r="AM430" s="86" t="str">
        <f aca="false">IF(ISBLANK($C430),"",IF(ISBLANK($T430),0,IF(ISNUMBER($T430),IF(AND($T430&gt;=0,$T430&lt;=Constants!$B$17,$T430=INT($T430)),$T430,""),"")))</f>
        <v/>
      </c>
      <c r="AN430" s="87" t="str">
        <f aca="false">IF(ISBLANK($C430),"",IF(ISBLANK($U430),0,IF(ISNUMBER($U430),IF($U430&gt;=0,$U430,""),"")))</f>
        <v/>
      </c>
      <c r="AO430" s="86" t="str">
        <f aca="false">IF(ISBLANK($C430),"",IF($V430=Constants!$B$2,TRUE(),IF($V430=Constants!$B$3,FALSE(),FALSE())))</f>
        <v/>
      </c>
      <c r="AP430" s="86"/>
      <c r="AQ430" s="85" t="str">
        <f aca="false">IF(ISBLANK($C430),"",AND($Y430,OR($AS430,$BC430),OR($Z430="",$AA430="",$AB430="")))</f>
        <v/>
      </c>
      <c r="AR430" s="85" t="str">
        <f aca="false">IF(ISBLANK($C430),"",IF(OR(NOT($Y430),NOT(OR($AS430,$BC430))),"",IF(ISBLANK($D$7),$AR$5,IF($AP$9="",$AR$6,""))))</f>
        <v/>
      </c>
      <c r="AS430" s="85" t="str">
        <f aca="false">IF(ISBLANK($C430),"",COUNTA($J430:$O430)&gt;0)</f>
        <v/>
      </c>
      <c r="AT430" s="85" t="str">
        <f aca="false">IF(ISBLANK($C430),"",AND($AS430,OR(AND($AF430="",OR($AE430,NOT(ISBLANK($M430)))),$AG430="",$AH430="")))</f>
        <v/>
      </c>
      <c r="AU430" s="87" t="str">
        <f aca="false">IF($BL430&lt;&gt;Constants!$B$4,"",IF(NOT($AS430),"",ROUND((Constants!$B$12-$AB430)+(Constants!$B$13-$Z430)+(Constants!$B$14-$AA430),1)))</f>
        <v/>
      </c>
      <c r="AV430" s="90" t="str">
        <f aca="false">IF($BL430&lt;&gt;Constants!$B$4,"",IF(NOT($AS430),"",IF(NOT($AE430),0,Constants!$B$15*(INT(ROUND(MIN($AF430,$AP$9),6))-INT(ROUND(MAX(0,MIN($AF430,2*$AP$9)-$AP$9),6))))))</f>
        <v/>
      </c>
      <c r="AW430" s="90" t="str">
        <f aca="false">IF($BL430&lt;&gt;Constants!$B$4,"",IF(NOT($AS430),"",Constants!$B$16*$AG430))</f>
        <v/>
      </c>
      <c r="AX430" s="90" t="str">
        <f aca="false">IF($BL430&lt;&gt;Constants!$B$4,"",IF(NOT($AS430),"",Constants!$B$18*INT(ROUND($AH430,6))))</f>
        <v/>
      </c>
      <c r="AY430" s="85" t="str">
        <f aca="false">IF($BL430&lt;&gt;Constants!$B$4,"",IF(NOT($AS430),"",IF(NOT($X430),Constants!$B$11,IF(OR(NOT($AC430),NOT($AD430),ROUND($AB430,1)&gt;Constants!$B$12,ROUND($Z430,1)&gt;Constants!$B$13,ROUND($AA430,1)&gt;Constants!$B$14),Constants!$B$10,Constants!$B$9))))</f>
        <v/>
      </c>
      <c r="AZ430" s="91" t="str">
        <f aca="false">IF($BL430&lt;&gt;Constants!$B$4,"",IF(NOT($AS430),"",ROUND($AU430+$AV430+$AW430+$AX430,1)))</f>
        <v/>
      </c>
      <c r="BA430" s="92" t="str">
        <f aca="false">IF($BL430&lt;&gt;Constants!$B$4,"",IF(NOT($AS430),"",IF(ISNUMBER($AF430),$AF430,0)))</f>
        <v/>
      </c>
      <c r="BB430" s="86" t="str">
        <f aca="false">IF($BL430&lt;&gt;Constants!$B$4,"",IF(NOT($BC430),"&lt;-",IF(NOT($AS430),"-&gt;",IF(OR($BI430&lt;$AY430,AND($BI430=$AY430,OR($BJ430&gt;$AZ430,AND($BJ430=$AZ430,OR($BH430&gt;$AX430,AND($BH430=$AX430,OR($BE430&gt;$AU430,AND($BE430=$AU430,OR($BF430&gt;$AV430,AND($BF430=$AV430,$BK430&gt;$BA430)))))))))),"-&gt;","&lt;-"))))</f>
        <v/>
      </c>
      <c r="BC430" s="85" t="str">
        <f aca="false">IF(ISBLANK($C430),"",COUNTA($P430:$U430)&gt;0)</f>
        <v/>
      </c>
      <c r="BD430" s="85" t="str">
        <f aca="false">IF(ISBLANK($C430),"",AND($BC430,OR(AND($AL430="",OR($AK430,NOT(ISBLANK($S430)))),$AM430="",$AN430="")))</f>
        <v/>
      </c>
      <c r="BE430" s="87" t="str">
        <f aca="false">IF($BL430&lt;&gt;Constants!$B$4,"",IF(NOT($BC430),"",ROUND((Constants!$B$12-$AB430)+(Constants!$B$13-$Z430)+(Constants!$B$14-$AA430),1)))</f>
        <v/>
      </c>
      <c r="BF430" s="90" t="str">
        <f aca="false">IF($BL430&lt;&gt;Constants!$B$4,"",IF(NOT($BC430),"",IF(NOT($AK430),0,Constants!$B$15*(INT(ROUND(MIN($AL430,$AP$9),6))-INT(ROUND(MAX(0,MIN($AL430,2*$AP$9)-$AP$9),6))))))</f>
        <v/>
      </c>
      <c r="BG430" s="90" t="str">
        <f aca="false">IF($BL430&lt;&gt;Constants!$B$4,"",IF(NOT($BC430),"",Constants!$B$16*$AM430))</f>
        <v/>
      </c>
      <c r="BH430" s="90" t="str">
        <f aca="false">IF($BL430&lt;&gt;Constants!$B$4,"",IF(NOT($BC430),"",Constants!$B$18*INT(ROUND($AN430,6))))</f>
        <v/>
      </c>
      <c r="BI430" s="85" t="str">
        <f aca="false">IF($BL430&lt;&gt;Constants!$B$4,"",IF(NOT($BC430),"",IF(NOT($X430),Constants!$B$11,IF(OR(NOT($AI430),NOT($AJ430),ROUND($AB430,1)&gt;Constants!$B$12,ROUND($Z430,1)&gt;Constants!$B$13,ROUND($AA430,1)&gt;Constants!$B$14),Constants!$B$10,Constants!$B$9))))</f>
        <v/>
      </c>
      <c r="BJ430" s="91" t="str">
        <f aca="false">IF($BL430&lt;&gt;Constants!$B$4,"",IF(NOT($BC430),"",ROUND($BE430+$BF430+$BG430+$BH430,1)))</f>
        <v/>
      </c>
      <c r="BK430" s="92" t="str">
        <f aca="false">IF($BL430&lt;&gt;Constants!$B$4,"",IF(NOT($BC430),"",IF(ISNUMBER($AL430),$AL430,0)))</f>
        <v/>
      </c>
      <c r="BL430" s="86" t="str">
        <f aca="false">IF(ISBLANK($C430),"",IF($AO430,Constants!$B$7,IF(COUNTA($E430:$V430)=0,Constants!$B$6,IF(NOT($Y430),Constants!$B$5,IF(NOT(OR($AS430,$BC430)),Constants!$B$5,IF(OR($AT430,$BD430,$AQ430,$AR430&lt;&gt;""),Constants!$B$8,Constants!$B$4))))))</f>
        <v/>
      </c>
      <c r="BM430" s="86" t="str">
        <f aca="false">IF(ISBLANK($C430),"",IF($BL430&lt;&gt;Constants!$B$4,$BL430,IF($BB430="-&gt;",$BI430,$AY430)))</f>
        <v/>
      </c>
      <c r="BN430" s="90" t="str">
        <f aca="false">IF($BL430&lt;&gt;Constants!$B$4,"",IF($BB430="-&gt;",$BJ430,$AZ430))</f>
        <v/>
      </c>
      <c r="BO430" s="90" t="str">
        <f aca="false">IF(ISBLANK($C430),"",IF($BL430&lt;&gt;Constants!$B$4,$BL430,$BN430))</f>
        <v/>
      </c>
      <c r="BP430" s="86" t="str">
        <f aca="false">IF(ISBLANK($C430),"",IF($BL430&lt;&gt;Constants!$B$4,$BL430,RANK($BO430,$BO$9:$BO$508,0)))</f>
        <v/>
      </c>
      <c r="BQ430" s="86" t="str">
        <f aca="false">IF(ISBLANK($C430),"",IF($BL430&lt;&gt;Constants!$B$4,$BL430,COUNTIFS($BM$9:$BM$508,"&lt;"&amp;$BM430)+COUNTIFS($BM$9:$BM$508,$BM430,$BP$9:$BP$508,"&lt;"&amp;$BP430)+1))</f>
        <v/>
      </c>
      <c r="BR430" s="90" t="str">
        <f aca="false">IF($BL430&lt;&gt;Constants!$B$4,"",IF($BB430="-&gt;",$BH430,$AX430))</f>
        <v/>
      </c>
      <c r="BS430" s="86" t="str">
        <f aca="false">IF(ISBLANK($C430),"",IF($BL430&lt;&gt;Constants!$B$4,$BL430,IF(ISNUMBER($BR430),RANK($BR430,$BR$9:$BR$508,0),COUNT($BR$9:$BR$508)+1)))</f>
        <v/>
      </c>
      <c r="BT430" s="90" t="str">
        <f aca="false">IF($BL430&lt;&gt;Constants!$B$4,"",IF($BB430="-&gt;",$BE430,$AU430))</f>
        <v/>
      </c>
      <c r="BU430" s="86" t="str">
        <f aca="false">IF(ISBLANK($C430),"",IF($BL430&lt;&gt;Constants!$B$4,$BL430,IF(ISNUMBER($BT430),RANK($BT430,$BT$9:$BT$508,0),COUNT($BT$9:$BT$508)+1)))</f>
        <v/>
      </c>
      <c r="BV430" s="90" t="str">
        <f aca="false">IF($BL430&lt;&gt;Constants!$B$4,"",IF($BB430="-&gt;",$BF430,$AV430))</f>
        <v/>
      </c>
      <c r="BW430" s="86" t="str">
        <f aca="false">IF(ISBLANK($C430),"",IF($BL430&lt;&gt;Constants!$B$4,$BL430,IF(ISNUMBER($BV430),RANK($BV430,$BV$9:$BV$508,0),COUNT($BV$9:$BV$508)+1)))</f>
        <v/>
      </c>
      <c r="BX430" s="90" t="str">
        <f aca="false">IF($BL430&lt;&gt;Constants!$B$4,"",IF($BB430="-&gt;",$BK430,$BA430))</f>
        <v/>
      </c>
      <c r="BY430" s="86" t="str">
        <f aca="false">IF(ISBLANK($C430),"",IF($BL430&lt;&gt;Constants!$B$4,$BL430,IF(ISNUMBER($BX430),RANK($BX430,$BX$9:$BX$508,0),COUNT($BX$9:$BX$508)+1)))</f>
        <v/>
      </c>
      <c r="BZ430" s="86" t="str">
        <f aca="false">IF(ISBLANK($C430),"",IF($BL430&lt;&gt;Constants!$B$4,$BL430,COUNTIFS($BM$9:$BM$508,"&lt;"&amp;$BM430)+COUNTIFS($BM$9:$BM$508,$BM430,$BP$9:$BP$508,"&lt;"&amp;$BP430)+COUNTIFS($BM$9:$BM$508,$BM430,$BP$9:$BP$508,$BP430,$BS$9:$BS$508,"&lt;"&amp;$BS430)+COUNTIFS($BM$9:$BM$508,$BM430,$BP$9:$BP$508,$BP430,$BS$9:$BS$508,$BS430,$BU$9:$BU$508,"&lt;"&amp;$BU430)+COUNTIFS($BM$9:$BM$508,$BM430,$BP$9:$BP$508,$BP430,$BS$9:$BS$508,$BS430,$BU$9:$BU$508,$BU430,$BW$9:$BW$508,"&lt;"&amp;$BW430)+COUNTIFS($BM$9:$BM$508,$BM430,$BP$9:$BP$508,$BP430,$BS$9:$BS$508,$BS430,$BU$9:$BU$508,$BU430,$BW$9:$BW$508,$BW430,$BY$9:$BY$508,"&lt;"&amp;$BY430)+1))</f>
        <v/>
      </c>
      <c r="CA430" s="86" t="str">
        <f aca="false">IF(ISBLANK($C430),"",IF($BL430&lt;&gt;Constants!$B$4,$BL430,$BQ430-$BZ430))</f>
        <v/>
      </c>
      <c r="CB430" s="93"/>
      <c r="CC430" s="94" t="str">
        <f aca="false">IF(ISBLANK($C430),"",IF($BL430=Constants!$B$8,$AR430,""))</f>
        <v/>
      </c>
      <c r="CD430" s="94" t="str">
        <f aca="false">IF(ISBLANK($C430),"",IF($BL430&lt;&gt;Constants!$B$4,"",IF($BB430="-&gt;",2,1)))</f>
        <v/>
      </c>
      <c r="CE430" s="95" t="str">
        <f aca="false">IF(ISBLANK($C430),"",IF($BL430&lt;&gt;Constants!$B$4,"",IF($BB430="-&gt;",$BE430,$AU430)))</f>
        <v/>
      </c>
      <c r="CF430" s="95" t="str">
        <f aca="false">IF(ISBLANK($C430),"",IF($BL430&lt;&gt;Constants!$B$4,"",IF($BB430="-&gt;",$BF430,$AV430)))</f>
        <v/>
      </c>
      <c r="CG430" s="95" t="str">
        <f aca="false">IF(ISBLANK($C430),"",IF($BL430&lt;&gt;Constants!$B$4,"",IF($BB430="-&gt;",$BG430,$AW430)))</f>
        <v/>
      </c>
      <c r="CH430" s="95" t="str">
        <f aca="false">IF(ISBLANK($C430),"",IF($BL430&lt;&gt;Constants!$B$4,"",IF($BB430="-&gt;",$BH430,$AX430)))</f>
        <v/>
      </c>
      <c r="CI430" s="96" t="str">
        <f aca="false">IF(ISBLANK($C430),"",$BO430)</f>
        <v/>
      </c>
      <c r="CJ430" s="97" t="str">
        <f aca="false">IF(ISBLANK($C430),"",$BM430)</f>
        <v/>
      </c>
      <c r="CK430" s="98" t="str">
        <f aca="false">IF(ISBLANK($C430),"",$CA430)</f>
        <v/>
      </c>
      <c r="CL430" s="98" t="str">
        <f aca="false">IF(ISBLANK($C430),"",$BZ430)</f>
        <v/>
      </c>
      <c r="CM430" s="99" t="str">
        <f aca="false">IF(ISBLANK($C430),"",IF($CL430=Constants!$B$7,COUNTA($C$9:$C$508)+2,IF($CL430=Constants!$B$6,COUNTA($C$9:$C$508)+1,IF($CL430=Constants!$B$5,COUNTA($C$9:$C$508),$CL430))))</f>
        <v/>
      </c>
      <c r="CN430" s="8"/>
      <c r="CO430" s="100" t="n">
        <f aca="false">IF(OR(ISNUMBER($CL430),$CL430=Constants!$B$7,$CL430=Constants!$B$5,$CL430=Constants!$B$6),1,0)</f>
        <v>0</v>
      </c>
      <c r="CP430" s="100" t="n">
        <v>422</v>
      </c>
      <c r="CQ430" s="100" t="str">
        <f aca="false">IF(ISBLANK($C430),"",IF(ISNUMBER($CM430),$CM430+ROW($B430)/1000,""))</f>
        <v/>
      </c>
      <c r="CR430" s="100" t="str">
        <f aca="false">IF(ISNUMBER($CQ430),RANK($CQ430,$CQ$9:$CQ$508,1),"")</f>
        <v/>
      </c>
      <c r="CS430" s="100" t="str">
        <f aca="false">IF(ISBLANK($C430),"",$B430)</f>
        <v/>
      </c>
      <c r="CT430" s="100" t="str">
        <f aca="false">IF(ISBLANK($C430),"",$C430)</f>
        <v/>
      </c>
      <c r="CU430" s="100" t="str">
        <f aca="false">IF(ISBLANK($C430),"",$D430)</f>
        <v/>
      </c>
      <c r="CV430" s="101" t="str">
        <f aca="false">$CJ430</f>
        <v/>
      </c>
      <c r="CW430" s="102" t="str">
        <f aca="false">$CI430</f>
        <v/>
      </c>
      <c r="CX430" s="100" t="str">
        <f aca="false">IF(ISBLANK($C430),"",$CL430)</f>
        <v/>
      </c>
      <c r="CY430" s="103" t="str">
        <f aca="false">IF($CP430&gt;$CO$8,"",VLOOKUP($CP430,$CR$9:$CX$508,7,FALSE()))</f>
        <v/>
      </c>
      <c r="CZ430" s="104" t="str">
        <f aca="false">IF($CP430&gt;$CO$8,"",VLOOKUP($CP430,$CR$9:$CX$508,2,FALSE()))</f>
        <v/>
      </c>
      <c r="DA430" s="104" t="str">
        <f aca="false">IF($CP430&gt;$CO$8,"",VLOOKUP($CP430,$CR$9:$CX$508,3,FALSE()))</f>
        <v/>
      </c>
      <c r="DB430" s="104" t="str">
        <f aca="false">IF($CP430&gt;$CO$8,"",VLOOKUP($CP430,$CR$9:$CX$508,4,FALSE()))</f>
        <v/>
      </c>
      <c r="DC430" s="104" t="str">
        <f aca="false">IF($CP430&gt;$CO$8,"",VLOOKUP($CP430,$CR$9:$CX$508,5,FALSE()))</f>
        <v/>
      </c>
      <c r="DD430" s="105" t="str">
        <f aca="false">IF($CP430&gt;$CO$8,"",VLOOKUP($CP430,$CR$9:$CX$508,6,FALSE()))</f>
        <v/>
      </c>
      <c r="DE430" s="70"/>
    </row>
    <row r="431" customFormat="false" ht="15.75" hidden="false" customHeight="false" outlineLevel="0" collapsed="false">
      <c r="A431" s="8"/>
      <c r="B431" s="72"/>
      <c r="C431" s="73"/>
      <c r="D431" s="155"/>
      <c r="E431" s="162"/>
      <c r="F431" s="157"/>
      <c r="G431" s="77"/>
      <c r="H431" s="77"/>
      <c r="I431" s="77"/>
      <c r="J431" s="163"/>
      <c r="K431" s="161"/>
      <c r="L431" s="161"/>
      <c r="M431" s="80"/>
      <c r="N431" s="161"/>
      <c r="O431" s="160"/>
      <c r="P431" s="161"/>
      <c r="Q431" s="161"/>
      <c r="R431" s="161"/>
      <c r="S431" s="77"/>
      <c r="T431" s="161"/>
      <c r="U431" s="160"/>
      <c r="V431" s="161"/>
      <c r="W431" s="85"/>
      <c r="X431" s="86" t="str">
        <f aca="false">IF(ISBLANK($C431),"",IF($E431=Constants!$B$2,TRUE(),IF($E431=Constants!$B$3,FALSE(),TRUE())))</f>
        <v/>
      </c>
      <c r="Y431" s="86" t="str">
        <f aca="false">IF(ISBLANK($C431),"",IF($F431=Constants!$B$2,TRUE(),IF($F431=Constants!$B$3,FALSE(),TRUE())))</f>
        <v/>
      </c>
      <c r="Z431" s="87" t="str">
        <f aca="false">IF(ISBLANK($C431),"",IF(ISNUMBER($G431),IF($G431&gt;=0,$G431,""),""))</f>
        <v/>
      </c>
      <c r="AA431" s="87" t="str">
        <f aca="false">IF(ISBLANK($C431),"",IF(ISNUMBER($H431),IF($H431&gt;=0,$H431,""),""))</f>
        <v/>
      </c>
      <c r="AB431" s="87" t="str">
        <f aca="false">IF(ISBLANK($C431),"",IF(ISNUMBER($I431),IF($I431&gt;=0,$I431,""),""))</f>
        <v/>
      </c>
      <c r="AC431" s="86" t="str">
        <f aca="false">IF(ISBLANK($C431),"",IF($J431=Constants!$B$2,TRUE(),IF($J431=Constants!$B$3,FALSE(),TRUE())))</f>
        <v/>
      </c>
      <c r="AD431" s="86" t="str">
        <f aca="false">IF(ISBLANK($C431),"",IF($K431=Constants!$B$2,TRUE(),IF($K431=Constants!$B$3,FALSE(),TRUE())))</f>
        <v/>
      </c>
      <c r="AE431" s="86" t="str">
        <f aca="false">IF(ISBLANK($C431),"",IF($L431=Constants!$B$2,TRUE(),IF($L431=Constants!$B$3,FALSE(),TRUE())))</f>
        <v/>
      </c>
      <c r="AF431" s="88" t="str">
        <f aca="false">IF(ISBLANK($C431),"",IF(ISNUMBER($M431),IF($M431&gt;=0,$M431,""),""))</f>
        <v/>
      </c>
      <c r="AG431" s="86" t="str">
        <f aca="false">IF(ISBLANK($C431),"",IF(ISBLANK($N431),0,IF(ISNUMBER($N431),IF(AND($N431&gt;=0,$N431&lt;=Constants!$B$17,$N431=INT($N431)),$N431,""),"")))</f>
        <v/>
      </c>
      <c r="AH431" s="87" t="str">
        <f aca="false">IF(ISBLANK($C431),"",IF(ISBLANK($O431),0,IF(ISNUMBER($O431),IF($O431&gt;=0,$O431,""),"")))</f>
        <v/>
      </c>
      <c r="AI431" s="86" t="str">
        <f aca="false">IF(ISBLANK($C431),"",IF($P431=Constants!$B$2,TRUE(),IF($P431=Constants!$B$3,FALSE(),TRUE())))</f>
        <v/>
      </c>
      <c r="AJ431" s="86" t="str">
        <f aca="false">IF(ISBLANK($C431),"",IF($Q431=Constants!$B$2,TRUE(),IF($Q431=Constants!$B$3,FALSE(),TRUE())))</f>
        <v/>
      </c>
      <c r="AK431" s="86" t="str">
        <f aca="false">IF(ISBLANK($C431),"",IF($R431=Constants!$B$2,TRUE(),IF($R431=Constants!$B$3,FALSE(),TRUE())))</f>
        <v/>
      </c>
      <c r="AL431" s="88" t="str">
        <f aca="false">IF(ISBLANK($C431),"",IF(ISNUMBER($S431),IF($S431&gt;=0,$S431,""),""))</f>
        <v/>
      </c>
      <c r="AM431" s="86" t="str">
        <f aca="false">IF(ISBLANK($C431),"",IF(ISBLANK($T431),0,IF(ISNUMBER($T431),IF(AND($T431&gt;=0,$T431&lt;=Constants!$B$17,$T431=INT($T431)),$T431,""),"")))</f>
        <v/>
      </c>
      <c r="AN431" s="87" t="str">
        <f aca="false">IF(ISBLANK($C431),"",IF(ISBLANK($U431),0,IF(ISNUMBER($U431),IF($U431&gt;=0,$U431,""),"")))</f>
        <v/>
      </c>
      <c r="AO431" s="86" t="str">
        <f aca="false">IF(ISBLANK($C431),"",IF($V431=Constants!$B$2,TRUE(),IF($V431=Constants!$B$3,FALSE(),FALSE())))</f>
        <v/>
      </c>
      <c r="AP431" s="86"/>
      <c r="AQ431" s="85" t="str">
        <f aca="false">IF(ISBLANK($C431),"",AND($Y431,OR($AS431,$BC431),OR($Z431="",$AA431="",$AB431="")))</f>
        <v/>
      </c>
      <c r="AR431" s="85" t="str">
        <f aca="false">IF(ISBLANK($C431),"",IF(OR(NOT($Y431),NOT(OR($AS431,$BC431))),"",IF(ISBLANK($D$7),$AR$5,IF($AP$9="",$AR$6,""))))</f>
        <v/>
      </c>
      <c r="AS431" s="85" t="str">
        <f aca="false">IF(ISBLANK($C431),"",COUNTA($J431:$O431)&gt;0)</f>
        <v/>
      </c>
      <c r="AT431" s="85" t="str">
        <f aca="false">IF(ISBLANK($C431),"",AND($AS431,OR(AND($AF431="",OR($AE431,NOT(ISBLANK($M431)))),$AG431="",$AH431="")))</f>
        <v/>
      </c>
      <c r="AU431" s="87" t="str">
        <f aca="false">IF($BL431&lt;&gt;Constants!$B$4,"",IF(NOT($AS431),"",ROUND((Constants!$B$12-$AB431)+(Constants!$B$13-$Z431)+(Constants!$B$14-$AA431),1)))</f>
        <v/>
      </c>
      <c r="AV431" s="90" t="str">
        <f aca="false">IF($BL431&lt;&gt;Constants!$B$4,"",IF(NOT($AS431),"",IF(NOT($AE431),0,Constants!$B$15*(INT(ROUND(MIN($AF431,$AP$9),6))-INT(ROUND(MAX(0,MIN($AF431,2*$AP$9)-$AP$9),6))))))</f>
        <v/>
      </c>
      <c r="AW431" s="90" t="str">
        <f aca="false">IF($BL431&lt;&gt;Constants!$B$4,"",IF(NOT($AS431),"",Constants!$B$16*$AG431))</f>
        <v/>
      </c>
      <c r="AX431" s="90" t="str">
        <f aca="false">IF($BL431&lt;&gt;Constants!$B$4,"",IF(NOT($AS431),"",Constants!$B$18*INT(ROUND($AH431,6))))</f>
        <v/>
      </c>
      <c r="AY431" s="85" t="str">
        <f aca="false">IF($BL431&lt;&gt;Constants!$B$4,"",IF(NOT($AS431),"",IF(NOT($X431),Constants!$B$11,IF(OR(NOT($AC431),NOT($AD431),ROUND($AB431,1)&gt;Constants!$B$12,ROUND($Z431,1)&gt;Constants!$B$13,ROUND($AA431,1)&gt;Constants!$B$14),Constants!$B$10,Constants!$B$9))))</f>
        <v/>
      </c>
      <c r="AZ431" s="91" t="str">
        <f aca="false">IF($BL431&lt;&gt;Constants!$B$4,"",IF(NOT($AS431),"",ROUND($AU431+$AV431+$AW431+$AX431,1)))</f>
        <v/>
      </c>
      <c r="BA431" s="92" t="str">
        <f aca="false">IF($BL431&lt;&gt;Constants!$B$4,"",IF(NOT($AS431),"",IF(ISNUMBER($AF431),$AF431,0)))</f>
        <v/>
      </c>
      <c r="BB431" s="86" t="str">
        <f aca="false">IF($BL431&lt;&gt;Constants!$B$4,"",IF(NOT($BC431),"&lt;-",IF(NOT($AS431),"-&gt;",IF(OR($BI431&lt;$AY431,AND($BI431=$AY431,OR($BJ431&gt;$AZ431,AND($BJ431=$AZ431,OR($BH431&gt;$AX431,AND($BH431=$AX431,OR($BE431&gt;$AU431,AND($BE431=$AU431,OR($BF431&gt;$AV431,AND($BF431=$AV431,$BK431&gt;$BA431)))))))))),"-&gt;","&lt;-"))))</f>
        <v/>
      </c>
      <c r="BC431" s="85" t="str">
        <f aca="false">IF(ISBLANK($C431),"",COUNTA($P431:$U431)&gt;0)</f>
        <v/>
      </c>
      <c r="BD431" s="85" t="str">
        <f aca="false">IF(ISBLANK($C431),"",AND($BC431,OR(AND($AL431="",OR($AK431,NOT(ISBLANK($S431)))),$AM431="",$AN431="")))</f>
        <v/>
      </c>
      <c r="BE431" s="87" t="str">
        <f aca="false">IF($BL431&lt;&gt;Constants!$B$4,"",IF(NOT($BC431),"",ROUND((Constants!$B$12-$AB431)+(Constants!$B$13-$Z431)+(Constants!$B$14-$AA431),1)))</f>
        <v/>
      </c>
      <c r="BF431" s="90" t="str">
        <f aca="false">IF($BL431&lt;&gt;Constants!$B$4,"",IF(NOT($BC431),"",IF(NOT($AK431),0,Constants!$B$15*(INT(ROUND(MIN($AL431,$AP$9),6))-INT(ROUND(MAX(0,MIN($AL431,2*$AP$9)-$AP$9),6))))))</f>
        <v/>
      </c>
      <c r="BG431" s="90" t="str">
        <f aca="false">IF($BL431&lt;&gt;Constants!$B$4,"",IF(NOT($BC431),"",Constants!$B$16*$AM431))</f>
        <v/>
      </c>
      <c r="BH431" s="90" t="str">
        <f aca="false">IF($BL431&lt;&gt;Constants!$B$4,"",IF(NOT($BC431),"",Constants!$B$18*INT(ROUND($AN431,6))))</f>
        <v/>
      </c>
      <c r="BI431" s="85" t="str">
        <f aca="false">IF($BL431&lt;&gt;Constants!$B$4,"",IF(NOT($BC431),"",IF(NOT($X431),Constants!$B$11,IF(OR(NOT($AI431),NOT($AJ431),ROUND($AB431,1)&gt;Constants!$B$12,ROUND($Z431,1)&gt;Constants!$B$13,ROUND($AA431,1)&gt;Constants!$B$14),Constants!$B$10,Constants!$B$9))))</f>
        <v/>
      </c>
      <c r="BJ431" s="91" t="str">
        <f aca="false">IF($BL431&lt;&gt;Constants!$B$4,"",IF(NOT($BC431),"",ROUND($BE431+$BF431+$BG431+$BH431,1)))</f>
        <v/>
      </c>
      <c r="BK431" s="92" t="str">
        <f aca="false">IF($BL431&lt;&gt;Constants!$B$4,"",IF(NOT($BC431),"",IF(ISNUMBER($AL431),$AL431,0)))</f>
        <v/>
      </c>
      <c r="BL431" s="86" t="str">
        <f aca="false">IF(ISBLANK($C431),"",IF($AO431,Constants!$B$7,IF(COUNTA($E431:$V431)=0,Constants!$B$6,IF(NOT($Y431),Constants!$B$5,IF(NOT(OR($AS431,$BC431)),Constants!$B$5,IF(OR($AT431,$BD431,$AQ431,$AR431&lt;&gt;""),Constants!$B$8,Constants!$B$4))))))</f>
        <v/>
      </c>
      <c r="BM431" s="86" t="str">
        <f aca="false">IF(ISBLANK($C431),"",IF($BL431&lt;&gt;Constants!$B$4,$BL431,IF($BB431="-&gt;",$BI431,$AY431)))</f>
        <v/>
      </c>
      <c r="BN431" s="90" t="str">
        <f aca="false">IF($BL431&lt;&gt;Constants!$B$4,"",IF($BB431="-&gt;",$BJ431,$AZ431))</f>
        <v/>
      </c>
      <c r="BO431" s="90" t="str">
        <f aca="false">IF(ISBLANK($C431),"",IF($BL431&lt;&gt;Constants!$B$4,$BL431,$BN431))</f>
        <v/>
      </c>
      <c r="BP431" s="86" t="str">
        <f aca="false">IF(ISBLANK($C431),"",IF($BL431&lt;&gt;Constants!$B$4,$BL431,RANK($BO431,$BO$9:$BO$508,0)))</f>
        <v/>
      </c>
      <c r="BQ431" s="86" t="str">
        <f aca="false">IF(ISBLANK($C431),"",IF($BL431&lt;&gt;Constants!$B$4,$BL431,COUNTIFS($BM$9:$BM$508,"&lt;"&amp;$BM431)+COUNTIFS($BM$9:$BM$508,$BM431,$BP$9:$BP$508,"&lt;"&amp;$BP431)+1))</f>
        <v/>
      </c>
      <c r="BR431" s="90" t="str">
        <f aca="false">IF($BL431&lt;&gt;Constants!$B$4,"",IF($BB431="-&gt;",$BH431,$AX431))</f>
        <v/>
      </c>
      <c r="BS431" s="86" t="str">
        <f aca="false">IF(ISBLANK($C431),"",IF($BL431&lt;&gt;Constants!$B$4,$BL431,IF(ISNUMBER($BR431),RANK($BR431,$BR$9:$BR$508,0),COUNT($BR$9:$BR$508)+1)))</f>
        <v/>
      </c>
      <c r="BT431" s="90" t="str">
        <f aca="false">IF($BL431&lt;&gt;Constants!$B$4,"",IF($BB431="-&gt;",$BE431,$AU431))</f>
        <v/>
      </c>
      <c r="BU431" s="86" t="str">
        <f aca="false">IF(ISBLANK($C431),"",IF($BL431&lt;&gt;Constants!$B$4,$BL431,IF(ISNUMBER($BT431),RANK($BT431,$BT$9:$BT$508,0),COUNT($BT$9:$BT$508)+1)))</f>
        <v/>
      </c>
      <c r="BV431" s="90" t="str">
        <f aca="false">IF($BL431&lt;&gt;Constants!$B$4,"",IF($BB431="-&gt;",$BF431,$AV431))</f>
        <v/>
      </c>
      <c r="BW431" s="86" t="str">
        <f aca="false">IF(ISBLANK($C431),"",IF($BL431&lt;&gt;Constants!$B$4,$BL431,IF(ISNUMBER($BV431),RANK($BV431,$BV$9:$BV$508,0),COUNT($BV$9:$BV$508)+1)))</f>
        <v/>
      </c>
      <c r="BX431" s="90" t="str">
        <f aca="false">IF($BL431&lt;&gt;Constants!$B$4,"",IF($BB431="-&gt;",$BK431,$BA431))</f>
        <v/>
      </c>
      <c r="BY431" s="86" t="str">
        <f aca="false">IF(ISBLANK($C431),"",IF($BL431&lt;&gt;Constants!$B$4,$BL431,IF(ISNUMBER($BX431),RANK($BX431,$BX$9:$BX$508,0),COUNT($BX$9:$BX$508)+1)))</f>
        <v/>
      </c>
      <c r="BZ431" s="86" t="str">
        <f aca="false">IF(ISBLANK($C431),"",IF($BL431&lt;&gt;Constants!$B$4,$BL431,COUNTIFS($BM$9:$BM$508,"&lt;"&amp;$BM431)+COUNTIFS($BM$9:$BM$508,$BM431,$BP$9:$BP$508,"&lt;"&amp;$BP431)+COUNTIFS($BM$9:$BM$508,$BM431,$BP$9:$BP$508,$BP431,$BS$9:$BS$508,"&lt;"&amp;$BS431)+COUNTIFS($BM$9:$BM$508,$BM431,$BP$9:$BP$508,$BP431,$BS$9:$BS$508,$BS431,$BU$9:$BU$508,"&lt;"&amp;$BU431)+COUNTIFS($BM$9:$BM$508,$BM431,$BP$9:$BP$508,$BP431,$BS$9:$BS$508,$BS431,$BU$9:$BU$508,$BU431,$BW$9:$BW$508,"&lt;"&amp;$BW431)+COUNTIFS($BM$9:$BM$508,$BM431,$BP$9:$BP$508,$BP431,$BS$9:$BS$508,$BS431,$BU$9:$BU$508,$BU431,$BW$9:$BW$508,$BW431,$BY$9:$BY$508,"&lt;"&amp;$BY431)+1))</f>
        <v/>
      </c>
      <c r="CA431" s="86" t="str">
        <f aca="false">IF(ISBLANK($C431),"",IF($BL431&lt;&gt;Constants!$B$4,$BL431,$BQ431-$BZ431))</f>
        <v/>
      </c>
      <c r="CB431" s="93"/>
      <c r="CC431" s="94" t="str">
        <f aca="false">IF(ISBLANK($C431),"",IF($BL431=Constants!$B$8,$AR431,""))</f>
        <v/>
      </c>
      <c r="CD431" s="94" t="str">
        <f aca="false">IF(ISBLANK($C431),"",IF($BL431&lt;&gt;Constants!$B$4,"",IF($BB431="-&gt;",2,1)))</f>
        <v/>
      </c>
      <c r="CE431" s="95" t="str">
        <f aca="false">IF(ISBLANK($C431),"",IF($BL431&lt;&gt;Constants!$B$4,"",IF($BB431="-&gt;",$BE431,$AU431)))</f>
        <v/>
      </c>
      <c r="CF431" s="95" t="str">
        <f aca="false">IF(ISBLANK($C431),"",IF($BL431&lt;&gt;Constants!$B$4,"",IF($BB431="-&gt;",$BF431,$AV431)))</f>
        <v/>
      </c>
      <c r="CG431" s="95" t="str">
        <f aca="false">IF(ISBLANK($C431),"",IF($BL431&lt;&gt;Constants!$B$4,"",IF($BB431="-&gt;",$BG431,$AW431)))</f>
        <v/>
      </c>
      <c r="CH431" s="95" t="str">
        <f aca="false">IF(ISBLANK($C431),"",IF($BL431&lt;&gt;Constants!$B$4,"",IF($BB431="-&gt;",$BH431,$AX431)))</f>
        <v/>
      </c>
      <c r="CI431" s="96" t="str">
        <f aca="false">IF(ISBLANK($C431),"",$BO431)</f>
        <v/>
      </c>
      <c r="CJ431" s="97" t="str">
        <f aca="false">IF(ISBLANK($C431),"",$BM431)</f>
        <v/>
      </c>
      <c r="CK431" s="98" t="str">
        <f aca="false">IF(ISBLANK($C431),"",$CA431)</f>
        <v/>
      </c>
      <c r="CL431" s="98" t="str">
        <f aca="false">IF(ISBLANK($C431),"",$BZ431)</f>
        <v/>
      </c>
      <c r="CM431" s="99" t="str">
        <f aca="false">IF(ISBLANK($C431),"",IF($CL431=Constants!$B$7,COUNTA($C$9:$C$508)+2,IF($CL431=Constants!$B$6,COUNTA($C$9:$C$508)+1,IF($CL431=Constants!$B$5,COUNTA($C$9:$C$508),$CL431))))</f>
        <v/>
      </c>
      <c r="CN431" s="8"/>
      <c r="CO431" s="100" t="n">
        <f aca="false">IF(OR(ISNUMBER($CL431),$CL431=Constants!$B$7,$CL431=Constants!$B$5,$CL431=Constants!$B$6),1,0)</f>
        <v>0</v>
      </c>
      <c r="CP431" s="100" t="n">
        <v>423</v>
      </c>
      <c r="CQ431" s="100" t="str">
        <f aca="false">IF(ISBLANK($C431),"",IF(ISNUMBER($CM431),$CM431+ROW($B431)/1000,""))</f>
        <v/>
      </c>
      <c r="CR431" s="100" t="str">
        <f aca="false">IF(ISNUMBER($CQ431),RANK($CQ431,$CQ$9:$CQ$508,1),"")</f>
        <v/>
      </c>
      <c r="CS431" s="100" t="str">
        <f aca="false">IF(ISBLANK($C431),"",$B431)</f>
        <v/>
      </c>
      <c r="CT431" s="100" t="str">
        <f aca="false">IF(ISBLANK($C431),"",$C431)</f>
        <v/>
      </c>
      <c r="CU431" s="100" t="str">
        <f aca="false">IF(ISBLANK($C431),"",$D431)</f>
        <v/>
      </c>
      <c r="CV431" s="101" t="str">
        <f aca="false">$CJ431</f>
        <v/>
      </c>
      <c r="CW431" s="102" t="str">
        <f aca="false">$CI431</f>
        <v/>
      </c>
      <c r="CX431" s="100" t="str">
        <f aca="false">IF(ISBLANK($C431),"",$CL431)</f>
        <v/>
      </c>
      <c r="CY431" s="103" t="str">
        <f aca="false">IF($CP431&gt;$CO$8,"",VLOOKUP($CP431,$CR$9:$CX$508,7,FALSE()))</f>
        <v/>
      </c>
      <c r="CZ431" s="104" t="str">
        <f aca="false">IF($CP431&gt;$CO$8,"",VLOOKUP($CP431,$CR$9:$CX$508,2,FALSE()))</f>
        <v/>
      </c>
      <c r="DA431" s="104" t="str">
        <f aca="false">IF($CP431&gt;$CO$8,"",VLOOKUP($CP431,$CR$9:$CX$508,3,FALSE()))</f>
        <v/>
      </c>
      <c r="DB431" s="104" t="str">
        <f aca="false">IF($CP431&gt;$CO$8,"",VLOOKUP($CP431,$CR$9:$CX$508,4,FALSE()))</f>
        <v/>
      </c>
      <c r="DC431" s="104" t="str">
        <f aca="false">IF($CP431&gt;$CO$8,"",VLOOKUP($CP431,$CR$9:$CX$508,5,FALSE()))</f>
        <v/>
      </c>
      <c r="DD431" s="105" t="str">
        <f aca="false">IF($CP431&gt;$CO$8,"",VLOOKUP($CP431,$CR$9:$CX$508,6,FALSE()))</f>
        <v/>
      </c>
      <c r="DE431" s="70"/>
    </row>
    <row r="432" customFormat="false" ht="15.75" hidden="false" customHeight="false" outlineLevel="0" collapsed="false">
      <c r="A432" s="8"/>
      <c r="B432" s="146"/>
      <c r="C432" s="147"/>
      <c r="D432" s="148"/>
      <c r="E432" s="164"/>
      <c r="F432" s="150"/>
      <c r="G432" s="115"/>
      <c r="H432" s="115"/>
      <c r="I432" s="115"/>
      <c r="J432" s="165"/>
      <c r="K432" s="154"/>
      <c r="L432" s="154"/>
      <c r="M432" s="118"/>
      <c r="N432" s="154"/>
      <c r="O432" s="153"/>
      <c r="P432" s="154"/>
      <c r="Q432" s="154"/>
      <c r="R432" s="154"/>
      <c r="S432" s="115"/>
      <c r="T432" s="154"/>
      <c r="U432" s="153"/>
      <c r="V432" s="154"/>
      <c r="W432" s="123"/>
      <c r="X432" s="124" t="str">
        <f aca="false">IF(ISBLANK($C432),"",IF($E432=Constants!$B$2,TRUE(),IF($E432=Constants!$B$3,FALSE(),TRUE())))</f>
        <v/>
      </c>
      <c r="Y432" s="124" t="str">
        <f aca="false">IF(ISBLANK($C432),"",IF($F432=Constants!$B$2,TRUE(),IF($F432=Constants!$B$3,FALSE(),TRUE())))</f>
        <v/>
      </c>
      <c r="Z432" s="125" t="str">
        <f aca="false">IF(ISBLANK($C432),"",IF(ISNUMBER($G432),IF($G432&gt;=0,$G432,""),""))</f>
        <v/>
      </c>
      <c r="AA432" s="125" t="str">
        <f aca="false">IF(ISBLANK($C432),"",IF(ISNUMBER($H432),IF($H432&gt;=0,$H432,""),""))</f>
        <v/>
      </c>
      <c r="AB432" s="125" t="str">
        <f aca="false">IF(ISBLANK($C432),"",IF(ISNUMBER($I432),IF($I432&gt;=0,$I432,""),""))</f>
        <v/>
      </c>
      <c r="AC432" s="124" t="str">
        <f aca="false">IF(ISBLANK($C432),"",IF($J432=Constants!$B$2,TRUE(),IF($J432=Constants!$B$3,FALSE(),TRUE())))</f>
        <v/>
      </c>
      <c r="AD432" s="124" t="str">
        <f aca="false">IF(ISBLANK($C432),"",IF($K432=Constants!$B$2,TRUE(),IF($K432=Constants!$B$3,FALSE(),TRUE())))</f>
        <v/>
      </c>
      <c r="AE432" s="124" t="str">
        <f aca="false">IF(ISBLANK($C432),"",IF($L432=Constants!$B$2,TRUE(),IF($L432=Constants!$B$3,FALSE(),TRUE())))</f>
        <v/>
      </c>
      <c r="AF432" s="126" t="str">
        <f aca="false">IF(ISBLANK($C432),"",IF(ISNUMBER($M432),IF($M432&gt;=0,$M432,""),""))</f>
        <v/>
      </c>
      <c r="AG432" s="124" t="str">
        <f aca="false">IF(ISBLANK($C432),"",IF(ISBLANK($N432),0,IF(ISNUMBER($N432),IF(AND($N432&gt;=0,$N432&lt;=Constants!$B$17,$N432=INT($N432)),$N432,""),"")))</f>
        <v/>
      </c>
      <c r="AH432" s="125" t="str">
        <f aca="false">IF(ISBLANK($C432),"",IF(ISBLANK($O432),0,IF(ISNUMBER($O432),IF($O432&gt;=0,$O432,""),"")))</f>
        <v/>
      </c>
      <c r="AI432" s="124" t="str">
        <f aca="false">IF(ISBLANK($C432),"",IF($P432=Constants!$B$2,TRUE(),IF($P432=Constants!$B$3,FALSE(),TRUE())))</f>
        <v/>
      </c>
      <c r="AJ432" s="124" t="str">
        <f aca="false">IF(ISBLANK($C432),"",IF($Q432=Constants!$B$2,TRUE(),IF($Q432=Constants!$B$3,FALSE(),TRUE())))</f>
        <v/>
      </c>
      <c r="AK432" s="124" t="str">
        <f aca="false">IF(ISBLANK($C432),"",IF($R432=Constants!$B$2,TRUE(),IF($R432=Constants!$B$3,FALSE(),TRUE())))</f>
        <v/>
      </c>
      <c r="AL432" s="126" t="str">
        <f aca="false">IF(ISBLANK($C432),"",IF(ISNUMBER($S432),IF($S432&gt;=0,$S432,""),""))</f>
        <v/>
      </c>
      <c r="AM432" s="124" t="str">
        <f aca="false">IF(ISBLANK($C432),"",IF(ISBLANK($T432),0,IF(ISNUMBER($T432),IF(AND($T432&gt;=0,$T432&lt;=Constants!$B$17,$T432=INT($T432)),$T432,""),"")))</f>
        <v/>
      </c>
      <c r="AN432" s="125" t="str">
        <f aca="false">IF(ISBLANK($C432),"",IF(ISBLANK($U432),0,IF(ISNUMBER($U432),IF($U432&gt;=0,$U432,""),"")))</f>
        <v/>
      </c>
      <c r="AO432" s="124" t="str">
        <f aca="false">IF(ISBLANK($C432),"",IF($V432=Constants!$B$2,TRUE(),IF($V432=Constants!$B$3,FALSE(),FALSE())))</f>
        <v/>
      </c>
      <c r="AP432" s="124"/>
      <c r="AQ432" s="123" t="str">
        <f aca="false">IF(ISBLANK($C432),"",AND($Y432,OR($AS432,$BC432),OR($Z432="",$AA432="",$AB432="")))</f>
        <v/>
      </c>
      <c r="AR432" s="123" t="str">
        <f aca="false">IF(ISBLANK($C432),"",IF(OR(NOT($Y432),NOT(OR($AS432,$BC432))),"",IF(ISBLANK($D$7),$AR$5,IF($AP$9="",$AR$6,""))))</f>
        <v/>
      </c>
      <c r="AS432" s="123" t="str">
        <f aca="false">IF(ISBLANK($C432),"",COUNTA($J432:$O432)&gt;0)</f>
        <v/>
      </c>
      <c r="AT432" s="123" t="str">
        <f aca="false">IF(ISBLANK($C432),"",AND($AS432,OR(AND($AF432="",OR($AE432,NOT(ISBLANK($M432)))),$AG432="",$AH432="")))</f>
        <v/>
      </c>
      <c r="AU432" s="125" t="str">
        <f aca="false">IF($BL432&lt;&gt;Constants!$B$4,"",IF(NOT($AS432),"",ROUND((Constants!$B$12-$AB432)+(Constants!$B$13-$Z432)+(Constants!$B$14-$AA432),1)))</f>
        <v/>
      </c>
      <c r="AV432" s="127" t="str">
        <f aca="false">IF($BL432&lt;&gt;Constants!$B$4,"",IF(NOT($AS432),"",IF(NOT($AE432),0,Constants!$B$15*(INT(ROUND(MIN($AF432,$AP$9),6))-INT(ROUND(MAX(0,MIN($AF432,2*$AP$9)-$AP$9),6))))))</f>
        <v/>
      </c>
      <c r="AW432" s="127" t="str">
        <f aca="false">IF($BL432&lt;&gt;Constants!$B$4,"",IF(NOT($AS432),"",Constants!$B$16*$AG432))</f>
        <v/>
      </c>
      <c r="AX432" s="127" t="str">
        <f aca="false">IF($BL432&lt;&gt;Constants!$B$4,"",IF(NOT($AS432),"",Constants!$B$18*INT(ROUND($AH432,6))))</f>
        <v/>
      </c>
      <c r="AY432" s="123" t="str">
        <f aca="false">IF($BL432&lt;&gt;Constants!$B$4,"",IF(NOT($AS432),"",IF(NOT($X432),Constants!$B$11,IF(OR(NOT($AC432),NOT($AD432),ROUND($AB432,1)&gt;Constants!$B$12,ROUND($Z432,1)&gt;Constants!$B$13,ROUND($AA432,1)&gt;Constants!$B$14),Constants!$B$10,Constants!$B$9))))</f>
        <v/>
      </c>
      <c r="AZ432" s="128" t="str">
        <f aca="false">IF($BL432&lt;&gt;Constants!$B$4,"",IF(NOT($AS432),"",ROUND($AU432+$AV432+$AW432+$AX432,1)))</f>
        <v/>
      </c>
      <c r="BA432" s="129" t="str">
        <f aca="false">IF($BL432&lt;&gt;Constants!$B$4,"",IF(NOT($AS432),"",IF(ISNUMBER($AF432),$AF432,0)))</f>
        <v/>
      </c>
      <c r="BB432" s="124" t="str">
        <f aca="false">IF($BL432&lt;&gt;Constants!$B$4,"",IF(NOT($BC432),"&lt;-",IF(NOT($AS432),"-&gt;",IF(OR($BI432&lt;$AY432,AND($BI432=$AY432,OR($BJ432&gt;$AZ432,AND($BJ432=$AZ432,OR($BH432&gt;$AX432,AND($BH432=$AX432,OR($BE432&gt;$AU432,AND($BE432=$AU432,OR($BF432&gt;$AV432,AND($BF432=$AV432,$BK432&gt;$BA432)))))))))),"-&gt;","&lt;-"))))</f>
        <v/>
      </c>
      <c r="BC432" s="123" t="str">
        <f aca="false">IF(ISBLANK($C432),"",COUNTA($P432:$U432)&gt;0)</f>
        <v/>
      </c>
      <c r="BD432" s="123" t="str">
        <f aca="false">IF(ISBLANK($C432),"",AND($BC432,OR(AND($AL432="",OR($AK432,NOT(ISBLANK($S432)))),$AM432="",$AN432="")))</f>
        <v/>
      </c>
      <c r="BE432" s="125" t="str">
        <f aca="false">IF($BL432&lt;&gt;Constants!$B$4,"",IF(NOT($BC432),"",ROUND((Constants!$B$12-$AB432)+(Constants!$B$13-$Z432)+(Constants!$B$14-$AA432),1)))</f>
        <v/>
      </c>
      <c r="BF432" s="127" t="str">
        <f aca="false">IF($BL432&lt;&gt;Constants!$B$4,"",IF(NOT($BC432),"",IF(NOT($AK432),0,Constants!$B$15*(INT(ROUND(MIN($AL432,$AP$9),6))-INT(ROUND(MAX(0,MIN($AL432,2*$AP$9)-$AP$9),6))))))</f>
        <v/>
      </c>
      <c r="BG432" s="127" t="str">
        <f aca="false">IF($BL432&lt;&gt;Constants!$B$4,"",IF(NOT($BC432),"",Constants!$B$16*$AM432))</f>
        <v/>
      </c>
      <c r="BH432" s="127" t="str">
        <f aca="false">IF($BL432&lt;&gt;Constants!$B$4,"",IF(NOT($BC432),"",Constants!$B$18*INT(ROUND($AN432,6))))</f>
        <v/>
      </c>
      <c r="BI432" s="123" t="str">
        <f aca="false">IF($BL432&lt;&gt;Constants!$B$4,"",IF(NOT($BC432),"",IF(NOT($X432),Constants!$B$11,IF(OR(NOT($AI432),NOT($AJ432),ROUND($AB432,1)&gt;Constants!$B$12,ROUND($Z432,1)&gt;Constants!$B$13,ROUND($AA432,1)&gt;Constants!$B$14),Constants!$B$10,Constants!$B$9))))</f>
        <v/>
      </c>
      <c r="BJ432" s="128" t="str">
        <f aca="false">IF($BL432&lt;&gt;Constants!$B$4,"",IF(NOT($BC432),"",ROUND($BE432+$BF432+$BG432+$BH432,1)))</f>
        <v/>
      </c>
      <c r="BK432" s="129" t="str">
        <f aca="false">IF($BL432&lt;&gt;Constants!$B$4,"",IF(NOT($BC432),"",IF(ISNUMBER($AL432),$AL432,0)))</f>
        <v/>
      </c>
      <c r="BL432" s="124" t="str">
        <f aca="false">IF(ISBLANK($C432),"",IF($AO432,Constants!$B$7,IF(COUNTA($E432:$V432)=0,Constants!$B$6,IF(NOT($Y432),Constants!$B$5,IF(NOT(OR($AS432,$BC432)),Constants!$B$5,IF(OR($AT432,$BD432,$AQ432,$AR432&lt;&gt;""),Constants!$B$8,Constants!$B$4))))))</f>
        <v/>
      </c>
      <c r="BM432" s="124" t="str">
        <f aca="false">IF(ISBLANK($C432),"",IF($BL432&lt;&gt;Constants!$B$4,$BL432,IF($BB432="-&gt;",$BI432,$AY432)))</f>
        <v/>
      </c>
      <c r="BN432" s="127" t="str">
        <f aca="false">IF($BL432&lt;&gt;Constants!$B$4,"",IF($BB432="-&gt;",$BJ432,$AZ432))</f>
        <v/>
      </c>
      <c r="BO432" s="127" t="str">
        <f aca="false">IF(ISBLANK($C432),"",IF($BL432&lt;&gt;Constants!$B$4,$BL432,$BN432))</f>
        <v/>
      </c>
      <c r="BP432" s="124" t="str">
        <f aca="false">IF(ISBLANK($C432),"",IF($BL432&lt;&gt;Constants!$B$4,$BL432,RANK($BO432,$BO$9:$BO$508,0)))</f>
        <v/>
      </c>
      <c r="BQ432" s="124" t="str">
        <f aca="false">IF(ISBLANK($C432),"",IF($BL432&lt;&gt;Constants!$B$4,$BL432,COUNTIFS($BM$9:$BM$508,"&lt;"&amp;$BM432)+COUNTIFS($BM$9:$BM$508,$BM432,$BP$9:$BP$508,"&lt;"&amp;$BP432)+1))</f>
        <v/>
      </c>
      <c r="BR432" s="127" t="str">
        <f aca="false">IF($BL432&lt;&gt;Constants!$B$4,"",IF($BB432="-&gt;",$BH432,$AX432))</f>
        <v/>
      </c>
      <c r="BS432" s="124" t="str">
        <f aca="false">IF(ISBLANK($C432),"",IF($BL432&lt;&gt;Constants!$B$4,$BL432,IF(ISNUMBER($BR432),RANK($BR432,$BR$9:$BR$508,0),COUNT($BR$9:$BR$508)+1)))</f>
        <v/>
      </c>
      <c r="BT432" s="127" t="str">
        <f aca="false">IF($BL432&lt;&gt;Constants!$B$4,"",IF($BB432="-&gt;",$BE432,$AU432))</f>
        <v/>
      </c>
      <c r="BU432" s="124" t="str">
        <f aca="false">IF(ISBLANK($C432),"",IF($BL432&lt;&gt;Constants!$B$4,$BL432,IF(ISNUMBER($BT432),RANK($BT432,$BT$9:$BT$508,0),COUNT($BT$9:$BT$508)+1)))</f>
        <v/>
      </c>
      <c r="BV432" s="127" t="str">
        <f aca="false">IF($BL432&lt;&gt;Constants!$B$4,"",IF($BB432="-&gt;",$BF432,$AV432))</f>
        <v/>
      </c>
      <c r="BW432" s="124" t="str">
        <f aca="false">IF(ISBLANK($C432),"",IF($BL432&lt;&gt;Constants!$B$4,$BL432,IF(ISNUMBER($BV432),RANK($BV432,$BV$9:$BV$508,0),COUNT($BV$9:$BV$508)+1)))</f>
        <v/>
      </c>
      <c r="BX432" s="127" t="str">
        <f aca="false">IF($BL432&lt;&gt;Constants!$B$4,"",IF($BB432="-&gt;",$BK432,$BA432))</f>
        <v/>
      </c>
      <c r="BY432" s="124" t="str">
        <f aca="false">IF(ISBLANK($C432),"",IF($BL432&lt;&gt;Constants!$B$4,$BL432,IF(ISNUMBER($BX432),RANK($BX432,$BX$9:$BX$508,0),COUNT($BX$9:$BX$508)+1)))</f>
        <v/>
      </c>
      <c r="BZ432" s="124" t="str">
        <f aca="false">IF(ISBLANK($C432),"",IF($BL432&lt;&gt;Constants!$B$4,$BL432,COUNTIFS($BM$9:$BM$508,"&lt;"&amp;$BM432)+COUNTIFS($BM$9:$BM$508,$BM432,$BP$9:$BP$508,"&lt;"&amp;$BP432)+COUNTIFS($BM$9:$BM$508,$BM432,$BP$9:$BP$508,$BP432,$BS$9:$BS$508,"&lt;"&amp;$BS432)+COUNTIFS($BM$9:$BM$508,$BM432,$BP$9:$BP$508,$BP432,$BS$9:$BS$508,$BS432,$BU$9:$BU$508,"&lt;"&amp;$BU432)+COUNTIFS($BM$9:$BM$508,$BM432,$BP$9:$BP$508,$BP432,$BS$9:$BS$508,$BS432,$BU$9:$BU$508,$BU432,$BW$9:$BW$508,"&lt;"&amp;$BW432)+COUNTIFS($BM$9:$BM$508,$BM432,$BP$9:$BP$508,$BP432,$BS$9:$BS$508,$BS432,$BU$9:$BU$508,$BU432,$BW$9:$BW$508,$BW432,$BY$9:$BY$508,"&lt;"&amp;$BY432)+1))</f>
        <v/>
      </c>
      <c r="CA432" s="124" t="str">
        <f aca="false">IF(ISBLANK($C432),"",IF($BL432&lt;&gt;Constants!$B$4,$BL432,$BQ432-$BZ432))</f>
        <v/>
      </c>
      <c r="CB432" s="130"/>
      <c r="CC432" s="131" t="str">
        <f aca="false">IF(ISBLANK($C432),"",IF($BL432=Constants!$B$8,$AR432,""))</f>
        <v/>
      </c>
      <c r="CD432" s="131" t="str">
        <f aca="false">IF(ISBLANK($C432),"",IF($BL432&lt;&gt;Constants!$B$4,"",IF($BB432="-&gt;",2,1)))</f>
        <v/>
      </c>
      <c r="CE432" s="132" t="str">
        <f aca="false">IF(ISBLANK($C432),"",IF($BL432&lt;&gt;Constants!$B$4,"",IF($BB432="-&gt;",$BE432,$AU432)))</f>
        <v/>
      </c>
      <c r="CF432" s="132" t="str">
        <f aca="false">IF(ISBLANK($C432),"",IF($BL432&lt;&gt;Constants!$B$4,"",IF($BB432="-&gt;",$BF432,$AV432)))</f>
        <v/>
      </c>
      <c r="CG432" s="132" t="str">
        <f aca="false">IF(ISBLANK($C432),"",IF($BL432&lt;&gt;Constants!$B$4,"",IF($BB432="-&gt;",$BG432,$AW432)))</f>
        <v/>
      </c>
      <c r="CH432" s="132" t="str">
        <f aca="false">IF(ISBLANK($C432),"",IF($BL432&lt;&gt;Constants!$B$4,"",IF($BB432="-&gt;",$BH432,$AX432)))</f>
        <v/>
      </c>
      <c r="CI432" s="133" t="str">
        <f aca="false">IF(ISBLANK($C432),"",$BO432)</f>
        <v/>
      </c>
      <c r="CJ432" s="134" t="str">
        <f aca="false">IF(ISBLANK($C432),"",$BM432)</f>
        <v/>
      </c>
      <c r="CK432" s="135" t="str">
        <f aca="false">IF(ISBLANK($C432),"",$CA432)</f>
        <v/>
      </c>
      <c r="CL432" s="135" t="str">
        <f aca="false">IF(ISBLANK($C432),"",$BZ432)</f>
        <v/>
      </c>
      <c r="CM432" s="136" t="str">
        <f aca="false">IF(ISBLANK($C432),"",IF($CL432=Constants!$B$7,COUNTA($C$9:$C$508)+2,IF($CL432=Constants!$B$6,COUNTA($C$9:$C$508)+1,IF($CL432=Constants!$B$5,COUNTA($C$9:$C$508),$CL432))))</f>
        <v/>
      </c>
      <c r="CN432" s="8"/>
      <c r="CO432" s="137" t="n">
        <f aca="false">IF(OR(ISNUMBER($CL432),$CL432=Constants!$B$7,$CL432=Constants!$B$5,$CL432=Constants!$B$6),1,0)</f>
        <v>0</v>
      </c>
      <c r="CP432" s="137" t="n">
        <v>424</v>
      </c>
      <c r="CQ432" s="137" t="str">
        <f aca="false">IF(ISBLANK($C432),"",IF(ISNUMBER($CM432),$CM432+ROW($B432)/1000,""))</f>
        <v/>
      </c>
      <c r="CR432" s="137" t="str">
        <f aca="false">IF(ISNUMBER($CQ432),RANK($CQ432,$CQ$9:$CQ$508,1),"")</f>
        <v/>
      </c>
      <c r="CS432" s="137" t="str">
        <f aca="false">IF(ISBLANK($C432),"",$B432)</f>
        <v/>
      </c>
      <c r="CT432" s="137" t="str">
        <f aca="false">IF(ISBLANK($C432),"",$C432)</f>
        <v/>
      </c>
      <c r="CU432" s="137" t="str">
        <f aca="false">IF(ISBLANK($C432),"",$D432)</f>
        <v/>
      </c>
      <c r="CV432" s="138" t="str">
        <f aca="false">$CJ432</f>
        <v/>
      </c>
      <c r="CW432" s="139" t="str">
        <f aca="false">$CI432</f>
        <v/>
      </c>
      <c r="CX432" s="137" t="str">
        <f aca="false">IF(ISBLANK($C432),"",$CL432)</f>
        <v/>
      </c>
      <c r="CY432" s="140" t="str">
        <f aca="false">IF($CP432&gt;$CO$8,"",VLOOKUP($CP432,$CR$9:$CX$508,7,FALSE()))</f>
        <v/>
      </c>
      <c r="CZ432" s="141" t="str">
        <f aca="false">IF($CP432&gt;$CO$8,"",VLOOKUP($CP432,$CR$9:$CX$508,2,FALSE()))</f>
        <v/>
      </c>
      <c r="DA432" s="141" t="str">
        <f aca="false">IF($CP432&gt;$CO$8,"",VLOOKUP($CP432,$CR$9:$CX$508,3,FALSE()))</f>
        <v/>
      </c>
      <c r="DB432" s="141" t="str">
        <f aca="false">IF($CP432&gt;$CO$8,"",VLOOKUP($CP432,$CR$9:$CX$508,4,FALSE()))</f>
        <v/>
      </c>
      <c r="DC432" s="141" t="str">
        <f aca="false">IF($CP432&gt;$CO$8,"",VLOOKUP($CP432,$CR$9:$CX$508,5,FALSE()))</f>
        <v/>
      </c>
      <c r="DD432" s="142" t="str">
        <f aca="false">IF($CP432&gt;$CO$8,"",VLOOKUP($CP432,$CR$9:$CX$508,6,FALSE()))</f>
        <v/>
      </c>
      <c r="DE432" s="70"/>
    </row>
    <row r="433" customFormat="false" ht="15.75" hidden="false" customHeight="false" outlineLevel="0" collapsed="false">
      <c r="A433" s="8"/>
      <c r="B433" s="146"/>
      <c r="C433" s="147"/>
      <c r="D433" s="148"/>
      <c r="E433" s="164"/>
      <c r="F433" s="150"/>
      <c r="G433" s="115"/>
      <c r="H433" s="115"/>
      <c r="I433" s="115"/>
      <c r="J433" s="165"/>
      <c r="K433" s="154"/>
      <c r="L433" s="154"/>
      <c r="M433" s="118"/>
      <c r="N433" s="154"/>
      <c r="O433" s="153"/>
      <c r="P433" s="154"/>
      <c r="Q433" s="154"/>
      <c r="R433" s="154"/>
      <c r="S433" s="115"/>
      <c r="T433" s="154"/>
      <c r="U433" s="153"/>
      <c r="V433" s="154"/>
      <c r="W433" s="123"/>
      <c r="X433" s="124" t="str">
        <f aca="false">IF(ISBLANK($C433),"",IF($E433=Constants!$B$2,TRUE(),IF($E433=Constants!$B$3,FALSE(),TRUE())))</f>
        <v/>
      </c>
      <c r="Y433" s="124" t="str">
        <f aca="false">IF(ISBLANK($C433),"",IF($F433=Constants!$B$2,TRUE(),IF($F433=Constants!$B$3,FALSE(),TRUE())))</f>
        <v/>
      </c>
      <c r="Z433" s="125" t="str">
        <f aca="false">IF(ISBLANK($C433),"",IF(ISNUMBER($G433),IF($G433&gt;=0,$G433,""),""))</f>
        <v/>
      </c>
      <c r="AA433" s="125" t="str">
        <f aca="false">IF(ISBLANK($C433),"",IF(ISNUMBER($H433),IF($H433&gt;=0,$H433,""),""))</f>
        <v/>
      </c>
      <c r="AB433" s="125" t="str">
        <f aca="false">IF(ISBLANK($C433),"",IF(ISNUMBER($I433),IF($I433&gt;=0,$I433,""),""))</f>
        <v/>
      </c>
      <c r="AC433" s="124" t="str">
        <f aca="false">IF(ISBLANK($C433),"",IF($J433=Constants!$B$2,TRUE(),IF($J433=Constants!$B$3,FALSE(),TRUE())))</f>
        <v/>
      </c>
      <c r="AD433" s="124" t="str">
        <f aca="false">IF(ISBLANK($C433),"",IF($K433=Constants!$B$2,TRUE(),IF($K433=Constants!$B$3,FALSE(),TRUE())))</f>
        <v/>
      </c>
      <c r="AE433" s="124" t="str">
        <f aca="false">IF(ISBLANK($C433),"",IF($L433=Constants!$B$2,TRUE(),IF($L433=Constants!$B$3,FALSE(),TRUE())))</f>
        <v/>
      </c>
      <c r="AF433" s="126" t="str">
        <f aca="false">IF(ISBLANK($C433),"",IF(ISNUMBER($M433),IF($M433&gt;=0,$M433,""),""))</f>
        <v/>
      </c>
      <c r="AG433" s="124" t="str">
        <f aca="false">IF(ISBLANK($C433),"",IF(ISBLANK($N433),0,IF(ISNUMBER($N433),IF(AND($N433&gt;=0,$N433&lt;=Constants!$B$17,$N433=INT($N433)),$N433,""),"")))</f>
        <v/>
      </c>
      <c r="AH433" s="125" t="str">
        <f aca="false">IF(ISBLANK($C433),"",IF(ISBLANK($O433),0,IF(ISNUMBER($O433),IF($O433&gt;=0,$O433,""),"")))</f>
        <v/>
      </c>
      <c r="AI433" s="124" t="str">
        <f aca="false">IF(ISBLANK($C433),"",IF($P433=Constants!$B$2,TRUE(),IF($P433=Constants!$B$3,FALSE(),TRUE())))</f>
        <v/>
      </c>
      <c r="AJ433" s="124" t="str">
        <f aca="false">IF(ISBLANK($C433),"",IF($Q433=Constants!$B$2,TRUE(),IF($Q433=Constants!$B$3,FALSE(),TRUE())))</f>
        <v/>
      </c>
      <c r="AK433" s="124" t="str">
        <f aca="false">IF(ISBLANK($C433),"",IF($R433=Constants!$B$2,TRUE(),IF($R433=Constants!$B$3,FALSE(),TRUE())))</f>
        <v/>
      </c>
      <c r="AL433" s="126" t="str">
        <f aca="false">IF(ISBLANK($C433),"",IF(ISNUMBER($S433),IF($S433&gt;=0,$S433,""),""))</f>
        <v/>
      </c>
      <c r="AM433" s="124" t="str">
        <f aca="false">IF(ISBLANK($C433),"",IF(ISBLANK($T433),0,IF(ISNUMBER($T433),IF(AND($T433&gt;=0,$T433&lt;=Constants!$B$17,$T433=INT($T433)),$T433,""),"")))</f>
        <v/>
      </c>
      <c r="AN433" s="125" t="str">
        <f aca="false">IF(ISBLANK($C433),"",IF(ISBLANK($U433),0,IF(ISNUMBER($U433),IF($U433&gt;=0,$U433,""),"")))</f>
        <v/>
      </c>
      <c r="AO433" s="124" t="str">
        <f aca="false">IF(ISBLANK($C433),"",IF($V433=Constants!$B$2,TRUE(),IF($V433=Constants!$B$3,FALSE(),FALSE())))</f>
        <v/>
      </c>
      <c r="AP433" s="124"/>
      <c r="AQ433" s="123" t="str">
        <f aca="false">IF(ISBLANK($C433),"",AND($Y433,OR($AS433,$BC433),OR($Z433="",$AA433="",$AB433="")))</f>
        <v/>
      </c>
      <c r="AR433" s="123" t="str">
        <f aca="false">IF(ISBLANK($C433),"",IF(OR(NOT($Y433),NOT(OR($AS433,$BC433))),"",IF(ISBLANK($D$7),$AR$5,IF($AP$9="",$AR$6,""))))</f>
        <v/>
      </c>
      <c r="AS433" s="123" t="str">
        <f aca="false">IF(ISBLANK($C433),"",COUNTA($J433:$O433)&gt;0)</f>
        <v/>
      </c>
      <c r="AT433" s="123" t="str">
        <f aca="false">IF(ISBLANK($C433),"",AND($AS433,OR(AND($AF433="",OR($AE433,NOT(ISBLANK($M433)))),$AG433="",$AH433="")))</f>
        <v/>
      </c>
      <c r="AU433" s="125" t="str">
        <f aca="false">IF($BL433&lt;&gt;Constants!$B$4,"",IF(NOT($AS433),"",ROUND((Constants!$B$12-$AB433)+(Constants!$B$13-$Z433)+(Constants!$B$14-$AA433),1)))</f>
        <v/>
      </c>
      <c r="AV433" s="127" t="str">
        <f aca="false">IF($BL433&lt;&gt;Constants!$B$4,"",IF(NOT($AS433),"",IF(NOT($AE433),0,Constants!$B$15*(INT(ROUND(MIN($AF433,$AP$9),6))-INT(ROUND(MAX(0,MIN($AF433,2*$AP$9)-$AP$9),6))))))</f>
        <v/>
      </c>
      <c r="AW433" s="127" t="str">
        <f aca="false">IF($BL433&lt;&gt;Constants!$B$4,"",IF(NOT($AS433),"",Constants!$B$16*$AG433))</f>
        <v/>
      </c>
      <c r="AX433" s="127" t="str">
        <f aca="false">IF($BL433&lt;&gt;Constants!$B$4,"",IF(NOT($AS433),"",Constants!$B$18*INT(ROUND($AH433,6))))</f>
        <v/>
      </c>
      <c r="AY433" s="123" t="str">
        <f aca="false">IF($BL433&lt;&gt;Constants!$B$4,"",IF(NOT($AS433),"",IF(NOT($X433),Constants!$B$11,IF(OR(NOT($AC433),NOT($AD433),ROUND($AB433,1)&gt;Constants!$B$12,ROUND($Z433,1)&gt;Constants!$B$13,ROUND($AA433,1)&gt;Constants!$B$14),Constants!$B$10,Constants!$B$9))))</f>
        <v/>
      </c>
      <c r="AZ433" s="128" t="str">
        <f aca="false">IF($BL433&lt;&gt;Constants!$B$4,"",IF(NOT($AS433),"",ROUND($AU433+$AV433+$AW433+$AX433,1)))</f>
        <v/>
      </c>
      <c r="BA433" s="129" t="str">
        <f aca="false">IF($BL433&lt;&gt;Constants!$B$4,"",IF(NOT($AS433),"",IF(ISNUMBER($AF433),$AF433,0)))</f>
        <v/>
      </c>
      <c r="BB433" s="124" t="str">
        <f aca="false">IF($BL433&lt;&gt;Constants!$B$4,"",IF(NOT($BC433),"&lt;-",IF(NOT($AS433),"-&gt;",IF(OR($BI433&lt;$AY433,AND($BI433=$AY433,OR($BJ433&gt;$AZ433,AND($BJ433=$AZ433,OR($BH433&gt;$AX433,AND($BH433=$AX433,OR($BE433&gt;$AU433,AND($BE433=$AU433,OR($BF433&gt;$AV433,AND($BF433=$AV433,$BK433&gt;$BA433)))))))))),"-&gt;","&lt;-"))))</f>
        <v/>
      </c>
      <c r="BC433" s="123" t="str">
        <f aca="false">IF(ISBLANK($C433),"",COUNTA($P433:$U433)&gt;0)</f>
        <v/>
      </c>
      <c r="BD433" s="123" t="str">
        <f aca="false">IF(ISBLANK($C433),"",AND($BC433,OR(AND($AL433="",OR($AK433,NOT(ISBLANK($S433)))),$AM433="",$AN433="")))</f>
        <v/>
      </c>
      <c r="BE433" s="125" t="str">
        <f aca="false">IF($BL433&lt;&gt;Constants!$B$4,"",IF(NOT($BC433),"",ROUND((Constants!$B$12-$AB433)+(Constants!$B$13-$Z433)+(Constants!$B$14-$AA433),1)))</f>
        <v/>
      </c>
      <c r="BF433" s="127" t="str">
        <f aca="false">IF($BL433&lt;&gt;Constants!$B$4,"",IF(NOT($BC433),"",IF(NOT($AK433),0,Constants!$B$15*(INT(ROUND(MIN($AL433,$AP$9),6))-INT(ROUND(MAX(0,MIN($AL433,2*$AP$9)-$AP$9),6))))))</f>
        <v/>
      </c>
      <c r="BG433" s="127" t="str">
        <f aca="false">IF($BL433&lt;&gt;Constants!$B$4,"",IF(NOT($BC433),"",Constants!$B$16*$AM433))</f>
        <v/>
      </c>
      <c r="BH433" s="127" t="str">
        <f aca="false">IF($BL433&lt;&gt;Constants!$B$4,"",IF(NOT($BC433),"",Constants!$B$18*INT(ROUND($AN433,6))))</f>
        <v/>
      </c>
      <c r="BI433" s="123" t="str">
        <f aca="false">IF($BL433&lt;&gt;Constants!$B$4,"",IF(NOT($BC433),"",IF(NOT($X433),Constants!$B$11,IF(OR(NOT($AI433),NOT($AJ433),ROUND($AB433,1)&gt;Constants!$B$12,ROUND($Z433,1)&gt;Constants!$B$13,ROUND($AA433,1)&gt;Constants!$B$14),Constants!$B$10,Constants!$B$9))))</f>
        <v/>
      </c>
      <c r="BJ433" s="128" t="str">
        <f aca="false">IF($BL433&lt;&gt;Constants!$B$4,"",IF(NOT($BC433),"",ROUND($BE433+$BF433+$BG433+$BH433,1)))</f>
        <v/>
      </c>
      <c r="BK433" s="129" t="str">
        <f aca="false">IF($BL433&lt;&gt;Constants!$B$4,"",IF(NOT($BC433),"",IF(ISNUMBER($AL433),$AL433,0)))</f>
        <v/>
      </c>
      <c r="BL433" s="124" t="str">
        <f aca="false">IF(ISBLANK($C433),"",IF($AO433,Constants!$B$7,IF(COUNTA($E433:$V433)=0,Constants!$B$6,IF(NOT($Y433),Constants!$B$5,IF(NOT(OR($AS433,$BC433)),Constants!$B$5,IF(OR($AT433,$BD433,$AQ433,$AR433&lt;&gt;""),Constants!$B$8,Constants!$B$4))))))</f>
        <v/>
      </c>
      <c r="BM433" s="124" t="str">
        <f aca="false">IF(ISBLANK($C433),"",IF($BL433&lt;&gt;Constants!$B$4,$BL433,IF($BB433="-&gt;",$BI433,$AY433)))</f>
        <v/>
      </c>
      <c r="BN433" s="127" t="str">
        <f aca="false">IF($BL433&lt;&gt;Constants!$B$4,"",IF($BB433="-&gt;",$BJ433,$AZ433))</f>
        <v/>
      </c>
      <c r="BO433" s="127" t="str">
        <f aca="false">IF(ISBLANK($C433),"",IF($BL433&lt;&gt;Constants!$B$4,$BL433,$BN433))</f>
        <v/>
      </c>
      <c r="BP433" s="124" t="str">
        <f aca="false">IF(ISBLANK($C433),"",IF($BL433&lt;&gt;Constants!$B$4,$BL433,RANK($BO433,$BO$9:$BO$508,0)))</f>
        <v/>
      </c>
      <c r="BQ433" s="124" t="str">
        <f aca="false">IF(ISBLANK($C433),"",IF($BL433&lt;&gt;Constants!$B$4,$BL433,COUNTIFS($BM$9:$BM$508,"&lt;"&amp;$BM433)+COUNTIFS($BM$9:$BM$508,$BM433,$BP$9:$BP$508,"&lt;"&amp;$BP433)+1))</f>
        <v/>
      </c>
      <c r="BR433" s="127" t="str">
        <f aca="false">IF($BL433&lt;&gt;Constants!$B$4,"",IF($BB433="-&gt;",$BH433,$AX433))</f>
        <v/>
      </c>
      <c r="BS433" s="124" t="str">
        <f aca="false">IF(ISBLANK($C433),"",IF($BL433&lt;&gt;Constants!$B$4,$BL433,IF(ISNUMBER($BR433),RANK($BR433,$BR$9:$BR$508,0),COUNT($BR$9:$BR$508)+1)))</f>
        <v/>
      </c>
      <c r="BT433" s="127" t="str">
        <f aca="false">IF($BL433&lt;&gt;Constants!$B$4,"",IF($BB433="-&gt;",$BE433,$AU433))</f>
        <v/>
      </c>
      <c r="BU433" s="124" t="str">
        <f aca="false">IF(ISBLANK($C433),"",IF($BL433&lt;&gt;Constants!$B$4,$BL433,IF(ISNUMBER($BT433),RANK($BT433,$BT$9:$BT$508,0),COUNT($BT$9:$BT$508)+1)))</f>
        <v/>
      </c>
      <c r="BV433" s="127" t="str">
        <f aca="false">IF($BL433&lt;&gt;Constants!$B$4,"",IF($BB433="-&gt;",$BF433,$AV433))</f>
        <v/>
      </c>
      <c r="BW433" s="124" t="str">
        <f aca="false">IF(ISBLANK($C433),"",IF($BL433&lt;&gt;Constants!$B$4,$BL433,IF(ISNUMBER($BV433),RANK($BV433,$BV$9:$BV$508,0),COUNT($BV$9:$BV$508)+1)))</f>
        <v/>
      </c>
      <c r="BX433" s="127" t="str">
        <f aca="false">IF($BL433&lt;&gt;Constants!$B$4,"",IF($BB433="-&gt;",$BK433,$BA433))</f>
        <v/>
      </c>
      <c r="BY433" s="124" t="str">
        <f aca="false">IF(ISBLANK($C433),"",IF($BL433&lt;&gt;Constants!$B$4,$BL433,IF(ISNUMBER($BX433),RANK($BX433,$BX$9:$BX$508,0),COUNT($BX$9:$BX$508)+1)))</f>
        <v/>
      </c>
      <c r="BZ433" s="124" t="str">
        <f aca="false">IF(ISBLANK($C433),"",IF($BL433&lt;&gt;Constants!$B$4,$BL433,COUNTIFS($BM$9:$BM$508,"&lt;"&amp;$BM433)+COUNTIFS($BM$9:$BM$508,$BM433,$BP$9:$BP$508,"&lt;"&amp;$BP433)+COUNTIFS($BM$9:$BM$508,$BM433,$BP$9:$BP$508,$BP433,$BS$9:$BS$508,"&lt;"&amp;$BS433)+COUNTIFS($BM$9:$BM$508,$BM433,$BP$9:$BP$508,$BP433,$BS$9:$BS$508,$BS433,$BU$9:$BU$508,"&lt;"&amp;$BU433)+COUNTIFS($BM$9:$BM$508,$BM433,$BP$9:$BP$508,$BP433,$BS$9:$BS$508,$BS433,$BU$9:$BU$508,$BU433,$BW$9:$BW$508,"&lt;"&amp;$BW433)+COUNTIFS($BM$9:$BM$508,$BM433,$BP$9:$BP$508,$BP433,$BS$9:$BS$508,$BS433,$BU$9:$BU$508,$BU433,$BW$9:$BW$508,$BW433,$BY$9:$BY$508,"&lt;"&amp;$BY433)+1))</f>
        <v/>
      </c>
      <c r="CA433" s="124" t="str">
        <f aca="false">IF(ISBLANK($C433),"",IF($BL433&lt;&gt;Constants!$B$4,$BL433,$BQ433-$BZ433))</f>
        <v/>
      </c>
      <c r="CB433" s="130"/>
      <c r="CC433" s="131" t="str">
        <f aca="false">IF(ISBLANK($C433),"",IF($BL433=Constants!$B$8,$AR433,""))</f>
        <v/>
      </c>
      <c r="CD433" s="131" t="str">
        <f aca="false">IF(ISBLANK($C433),"",IF($BL433&lt;&gt;Constants!$B$4,"",IF($BB433="-&gt;",2,1)))</f>
        <v/>
      </c>
      <c r="CE433" s="132" t="str">
        <f aca="false">IF(ISBLANK($C433),"",IF($BL433&lt;&gt;Constants!$B$4,"",IF($BB433="-&gt;",$BE433,$AU433)))</f>
        <v/>
      </c>
      <c r="CF433" s="132" t="str">
        <f aca="false">IF(ISBLANK($C433),"",IF($BL433&lt;&gt;Constants!$B$4,"",IF($BB433="-&gt;",$BF433,$AV433)))</f>
        <v/>
      </c>
      <c r="CG433" s="132" t="str">
        <f aca="false">IF(ISBLANK($C433),"",IF($BL433&lt;&gt;Constants!$B$4,"",IF($BB433="-&gt;",$BG433,$AW433)))</f>
        <v/>
      </c>
      <c r="CH433" s="132" t="str">
        <f aca="false">IF(ISBLANK($C433),"",IF($BL433&lt;&gt;Constants!$B$4,"",IF($BB433="-&gt;",$BH433,$AX433)))</f>
        <v/>
      </c>
      <c r="CI433" s="133" t="str">
        <f aca="false">IF(ISBLANK($C433),"",$BO433)</f>
        <v/>
      </c>
      <c r="CJ433" s="134" t="str">
        <f aca="false">IF(ISBLANK($C433),"",$BM433)</f>
        <v/>
      </c>
      <c r="CK433" s="135" t="str">
        <f aca="false">IF(ISBLANK($C433),"",$CA433)</f>
        <v/>
      </c>
      <c r="CL433" s="135" t="str">
        <f aca="false">IF(ISBLANK($C433),"",$BZ433)</f>
        <v/>
      </c>
      <c r="CM433" s="136" t="str">
        <f aca="false">IF(ISBLANK($C433),"",IF($CL433=Constants!$B$7,COUNTA($C$9:$C$508)+2,IF($CL433=Constants!$B$6,COUNTA($C$9:$C$508)+1,IF($CL433=Constants!$B$5,COUNTA($C$9:$C$508),$CL433))))</f>
        <v/>
      </c>
      <c r="CN433" s="8"/>
      <c r="CO433" s="137" t="n">
        <f aca="false">IF(OR(ISNUMBER($CL433),$CL433=Constants!$B$7,$CL433=Constants!$B$5,$CL433=Constants!$B$6),1,0)</f>
        <v>0</v>
      </c>
      <c r="CP433" s="137" t="n">
        <v>425</v>
      </c>
      <c r="CQ433" s="137" t="str">
        <f aca="false">IF(ISBLANK($C433),"",IF(ISNUMBER($CM433),$CM433+ROW($B433)/1000,""))</f>
        <v/>
      </c>
      <c r="CR433" s="137" t="str">
        <f aca="false">IF(ISNUMBER($CQ433),RANK($CQ433,$CQ$9:$CQ$508,1),"")</f>
        <v/>
      </c>
      <c r="CS433" s="137" t="str">
        <f aca="false">IF(ISBLANK($C433),"",$B433)</f>
        <v/>
      </c>
      <c r="CT433" s="137" t="str">
        <f aca="false">IF(ISBLANK($C433),"",$C433)</f>
        <v/>
      </c>
      <c r="CU433" s="137" t="str">
        <f aca="false">IF(ISBLANK($C433),"",$D433)</f>
        <v/>
      </c>
      <c r="CV433" s="138" t="str">
        <f aca="false">$CJ433</f>
        <v/>
      </c>
      <c r="CW433" s="139" t="str">
        <f aca="false">$CI433</f>
        <v/>
      </c>
      <c r="CX433" s="137" t="str">
        <f aca="false">IF(ISBLANK($C433),"",$CL433)</f>
        <v/>
      </c>
      <c r="CY433" s="140" t="str">
        <f aca="false">IF($CP433&gt;$CO$8,"",VLOOKUP($CP433,$CR$9:$CX$508,7,FALSE()))</f>
        <v/>
      </c>
      <c r="CZ433" s="141" t="str">
        <f aca="false">IF($CP433&gt;$CO$8,"",VLOOKUP($CP433,$CR$9:$CX$508,2,FALSE()))</f>
        <v/>
      </c>
      <c r="DA433" s="141" t="str">
        <f aca="false">IF($CP433&gt;$CO$8,"",VLOOKUP($CP433,$CR$9:$CX$508,3,FALSE()))</f>
        <v/>
      </c>
      <c r="DB433" s="141" t="str">
        <f aca="false">IF($CP433&gt;$CO$8,"",VLOOKUP($CP433,$CR$9:$CX$508,4,FALSE()))</f>
        <v/>
      </c>
      <c r="DC433" s="141" t="str">
        <f aca="false">IF($CP433&gt;$CO$8,"",VLOOKUP($CP433,$CR$9:$CX$508,5,FALSE()))</f>
        <v/>
      </c>
      <c r="DD433" s="142" t="str">
        <f aca="false">IF($CP433&gt;$CO$8,"",VLOOKUP($CP433,$CR$9:$CX$508,6,FALSE()))</f>
        <v/>
      </c>
      <c r="DE433" s="70"/>
    </row>
    <row r="434" customFormat="false" ht="15.75" hidden="false" customHeight="false" outlineLevel="0" collapsed="false">
      <c r="A434" s="8"/>
      <c r="B434" s="146"/>
      <c r="C434" s="147"/>
      <c r="D434" s="148"/>
      <c r="E434" s="164"/>
      <c r="F434" s="150"/>
      <c r="G434" s="115"/>
      <c r="H434" s="115"/>
      <c r="I434" s="115"/>
      <c r="J434" s="165"/>
      <c r="K434" s="154"/>
      <c r="L434" s="154"/>
      <c r="M434" s="118"/>
      <c r="N434" s="154"/>
      <c r="O434" s="153"/>
      <c r="P434" s="154"/>
      <c r="Q434" s="154"/>
      <c r="R434" s="154"/>
      <c r="S434" s="115"/>
      <c r="T434" s="154"/>
      <c r="U434" s="153"/>
      <c r="V434" s="154"/>
      <c r="W434" s="123"/>
      <c r="X434" s="124" t="str">
        <f aca="false">IF(ISBLANK($C434),"",IF($E434=Constants!$B$2,TRUE(),IF($E434=Constants!$B$3,FALSE(),TRUE())))</f>
        <v/>
      </c>
      <c r="Y434" s="124" t="str">
        <f aca="false">IF(ISBLANK($C434),"",IF($F434=Constants!$B$2,TRUE(),IF($F434=Constants!$B$3,FALSE(),TRUE())))</f>
        <v/>
      </c>
      <c r="Z434" s="125" t="str">
        <f aca="false">IF(ISBLANK($C434),"",IF(ISNUMBER($G434),IF($G434&gt;=0,$G434,""),""))</f>
        <v/>
      </c>
      <c r="AA434" s="125" t="str">
        <f aca="false">IF(ISBLANK($C434),"",IF(ISNUMBER($H434),IF($H434&gt;=0,$H434,""),""))</f>
        <v/>
      </c>
      <c r="AB434" s="125" t="str">
        <f aca="false">IF(ISBLANK($C434),"",IF(ISNUMBER($I434),IF($I434&gt;=0,$I434,""),""))</f>
        <v/>
      </c>
      <c r="AC434" s="124" t="str">
        <f aca="false">IF(ISBLANK($C434),"",IF($J434=Constants!$B$2,TRUE(),IF($J434=Constants!$B$3,FALSE(),TRUE())))</f>
        <v/>
      </c>
      <c r="AD434" s="124" t="str">
        <f aca="false">IF(ISBLANK($C434),"",IF($K434=Constants!$B$2,TRUE(),IF($K434=Constants!$B$3,FALSE(),TRUE())))</f>
        <v/>
      </c>
      <c r="AE434" s="124" t="str">
        <f aca="false">IF(ISBLANK($C434),"",IF($L434=Constants!$B$2,TRUE(),IF($L434=Constants!$B$3,FALSE(),TRUE())))</f>
        <v/>
      </c>
      <c r="AF434" s="126" t="str">
        <f aca="false">IF(ISBLANK($C434),"",IF(ISNUMBER($M434),IF($M434&gt;=0,$M434,""),""))</f>
        <v/>
      </c>
      <c r="AG434" s="124" t="str">
        <f aca="false">IF(ISBLANK($C434),"",IF(ISBLANK($N434),0,IF(ISNUMBER($N434),IF(AND($N434&gt;=0,$N434&lt;=Constants!$B$17,$N434=INT($N434)),$N434,""),"")))</f>
        <v/>
      </c>
      <c r="AH434" s="125" t="str">
        <f aca="false">IF(ISBLANK($C434),"",IF(ISBLANK($O434),0,IF(ISNUMBER($O434),IF($O434&gt;=0,$O434,""),"")))</f>
        <v/>
      </c>
      <c r="AI434" s="124" t="str">
        <f aca="false">IF(ISBLANK($C434),"",IF($P434=Constants!$B$2,TRUE(),IF($P434=Constants!$B$3,FALSE(),TRUE())))</f>
        <v/>
      </c>
      <c r="AJ434" s="124" t="str">
        <f aca="false">IF(ISBLANK($C434),"",IF($Q434=Constants!$B$2,TRUE(),IF($Q434=Constants!$B$3,FALSE(),TRUE())))</f>
        <v/>
      </c>
      <c r="AK434" s="124" t="str">
        <f aca="false">IF(ISBLANK($C434),"",IF($R434=Constants!$B$2,TRUE(),IF($R434=Constants!$B$3,FALSE(),TRUE())))</f>
        <v/>
      </c>
      <c r="AL434" s="126" t="str">
        <f aca="false">IF(ISBLANK($C434),"",IF(ISNUMBER($S434),IF($S434&gt;=0,$S434,""),""))</f>
        <v/>
      </c>
      <c r="AM434" s="124" t="str">
        <f aca="false">IF(ISBLANK($C434),"",IF(ISBLANK($T434),0,IF(ISNUMBER($T434),IF(AND($T434&gt;=0,$T434&lt;=Constants!$B$17,$T434=INT($T434)),$T434,""),"")))</f>
        <v/>
      </c>
      <c r="AN434" s="125" t="str">
        <f aca="false">IF(ISBLANK($C434),"",IF(ISBLANK($U434),0,IF(ISNUMBER($U434),IF($U434&gt;=0,$U434,""),"")))</f>
        <v/>
      </c>
      <c r="AO434" s="124" t="str">
        <f aca="false">IF(ISBLANK($C434),"",IF($V434=Constants!$B$2,TRUE(),IF($V434=Constants!$B$3,FALSE(),FALSE())))</f>
        <v/>
      </c>
      <c r="AP434" s="124"/>
      <c r="AQ434" s="123" t="str">
        <f aca="false">IF(ISBLANK($C434),"",AND($Y434,OR($AS434,$BC434),OR($Z434="",$AA434="",$AB434="")))</f>
        <v/>
      </c>
      <c r="AR434" s="123" t="str">
        <f aca="false">IF(ISBLANK($C434),"",IF(OR(NOT($Y434),NOT(OR($AS434,$BC434))),"",IF(ISBLANK($D$7),$AR$5,IF($AP$9="",$AR$6,""))))</f>
        <v/>
      </c>
      <c r="AS434" s="123" t="str">
        <f aca="false">IF(ISBLANK($C434),"",COUNTA($J434:$O434)&gt;0)</f>
        <v/>
      </c>
      <c r="AT434" s="123" t="str">
        <f aca="false">IF(ISBLANK($C434),"",AND($AS434,OR(AND($AF434="",OR($AE434,NOT(ISBLANK($M434)))),$AG434="",$AH434="")))</f>
        <v/>
      </c>
      <c r="AU434" s="125" t="str">
        <f aca="false">IF($BL434&lt;&gt;Constants!$B$4,"",IF(NOT($AS434),"",ROUND((Constants!$B$12-$AB434)+(Constants!$B$13-$Z434)+(Constants!$B$14-$AA434),1)))</f>
        <v/>
      </c>
      <c r="AV434" s="127" t="str">
        <f aca="false">IF($BL434&lt;&gt;Constants!$B$4,"",IF(NOT($AS434),"",IF(NOT($AE434),0,Constants!$B$15*(INT(ROUND(MIN($AF434,$AP$9),6))-INT(ROUND(MAX(0,MIN($AF434,2*$AP$9)-$AP$9),6))))))</f>
        <v/>
      </c>
      <c r="AW434" s="127" t="str">
        <f aca="false">IF($BL434&lt;&gt;Constants!$B$4,"",IF(NOT($AS434),"",Constants!$B$16*$AG434))</f>
        <v/>
      </c>
      <c r="AX434" s="127" t="str">
        <f aca="false">IF($BL434&lt;&gt;Constants!$B$4,"",IF(NOT($AS434),"",Constants!$B$18*INT(ROUND($AH434,6))))</f>
        <v/>
      </c>
      <c r="AY434" s="123" t="str">
        <f aca="false">IF($BL434&lt;&gt;Constants!$B$4,"",IF(NOT($AS434),"",IF(NOT($X434),Constants!$B$11,IF(OR(NOT($AC434),NOT($AD434),ROUND($AB434,1)&gt;Constants!$B$12,ROUND($Z434,1)&gt;Constants!$B$13,ROUND($AA434,1)&gt;Constants!$B$14),Constants!$B$10,Constants!$B$9))))</f>
        <v/>
      </c>
      <c r="AZ434" s="128" t="str">
        <f aca="false">IF($BL434&lt;&gt;Constants!$B$4,"",IF(NOT($AS434),"",ROUND($AU434+$AV434+$AW434+$AX434,1)))</f>
        <v/>
      </c>
      <c r="BA434" s="129" t="str">
        <f aca="false">IF($BL434&lt;&gt;Constants!$B$4,"",IF(NOT($AS434),"",IF(ISNUMBER($AF434),$AF434,0)))</f>
        <v/>
      </c>
      <c r="BB434" s="124" t="str">
        <f aca="false">IF($BL434&lt;&gt;Constants!$B$4,"",IF(NOT($BC434),"&lt;-",IF(NOT($AS434),"-&gt;",IF(OR($BI434&lt;$AY434,AND($BI434=$AY434,OR($BJ434&gt;$AZ434,AND($BJ434=$AZ434,OR($BH434&gt;$AX434,AND($BH434=$AX434,OR($BE434&gt;$AU434,AND($BE434=$AU434,OR($BF434&gt;$AV434,AND($BF434=$AV434,$BK434&gt;$BA434)))))))))),"-&gt;","&lt;-"))))</f>
        <v/>
      </c>
      <c r="BC434" s="123" t="str">
        <f aca="false">IF(ISBLANK($C434),"",COUNTA($P434:$U434)&gt;0)</f>
        <v/>
      </c>
      <c r="BD434" s="123" t="str">
        <f aca="false">IF(ISBLANK($C434),"",AND($BC434,OR(AND($AL434="",OR($AK434,NOT(ISBLANK($S434)))),$AM434="",$AN434="")))</f>
        <v/>
      </c>
      <c r="BE434" s="125" t="str">
        <f aca="false">IF($BL434&lt;&gt;Constants!$B$4,"",IF(NOT($BC434),"",ROUND((Constants!$B$12-$AB434)+(Constants!$B$13-$Z434)+(Constants!$B$14-$AA434),1)))</f>
        <v/>
      </c>
      <c r="BF434" s="127" t="str">
        <f aca="false">IF($BL434&lt;&gt;Constants!$B$4,"",IF(NOT($BC434),"",IF(NOT($AK434),0,Constants!$B$15*(INT(ROUND(MIN($AL434,$AP$9),6))-INT(ROUND(MAX(0,MIN($AL434,2*$AP$9)-$AP$9),6))))))</f>
        <v/>
      </c>
      <c r="BG434" s="127" t="str">
        <f aca="false">IF($BL434&lt;&gt;Constants!$B$4,"",IF(NOT($BC434),"",Constants!$B$16*$AM434))</f>
        <v/>
      </c>
      <c r="BH434" s="127" t="str">
        <f aca="false">IF($BL434&lt;&gt;Constants!$B$4,"",IF(NOT($BC434),"",Constants!$B$18*INT(ROUND($AN434,6))))</f>
        <v/>
      </c>
      <c r="BI434" s="123" t="str">
        <f aca="false">IF($BL434&lt;&gt;Constants!$B$4,"",IF(NOT($BC434),"",IF(NOT($X434),Constants!$B$11,IF(OR(NOT($AI434),NOT($AJ434),ROUND($AB434,1)&gt;Constants!$B$12,ROUND($Z434,1)&gt;Constants!$B$13,ROUND($AA434,1)&gt;Constants!$B$14),Constants!$B$10,Constants!$B$9))))</f>
        <v/>
      </c>
      <c r="BJ434" s="128" t="str">
        <f aca="false">IF($BL434&lt;&gt;Constants!$B$4,"",IF(NOT($BC434),"",ROUND($BE434+$BF434+$BG434+$BH434,1)))</f>
        <v/>
      </c>
      <c r="BK434" s="129" t="str">
        <f aca="false">IF($BL434&lt;&gt;Constants!$B$4,"",IF(NOT($BC434),"",IF(ISNUMBER($AL434),$AL434,0)))</f>
        <v/>
      </c>
      <c r="BL434" s="124" t="str">
        <f aca="false">IF(ISBLANK($C434),"",IF($AO434,Constants!$B$7,IF(COUNTA($E434:$V434)=0,Constants!$B$6,IF(NOT($Y434),Constants!$B$5,IF(NOT(OR($AS434,$BC434)),Constants!$B$5,IF(OR($AT434,$BD434,$AQ434,$AR434&lt;&gt;""),Constants!$B$8,Constants!$B$4))))))</f>
        <v/>
      </c>
      <c r="BM434" s="124" t="str">
        <f aca="false">IF(ISBLANK($C434),"",IF($BL434&lt;&gt;Constants!$B$4,$BL434,IF($BB434="-&gt;",$BI434,$AY434)))</f>
        <v/>
      </c>
      <c r="BN434" s="127" t="str">
        <f aca="false">IF($BL434&lt;&gt;Constants!$B$4,"",IF($BB434="-&gt;",$BJ434,$AZ434))</f>
        <v/>
      </c>
      <c r="BO434" s="127" t="str">
        <f aca="false">IF(ISBLANK($C434),"",IF($BL434&lt;&gt;Constants!$B$4,$BL434,$BN434))</f>
        <v/>
      </c>
      <c r="BP434" s="124" t="str">
        <f aca="false">IF(ISBLANK($C434),"",IF($BL434&lt;&gt;Constants!$B$4,$BL434,RANK($BO434,$BO$9:$BO$508,0)))</f>
        <v/>
      </c>
      <c r="BQ434" s="124" t="str">
        <f aca="false">IF(ISBLANK($C434),"",IF($BL434&lt;&gt;Constants!$B$4,$BL434,COUNTIFS($BM$9:$BM$508,"&lt;"&amp;$BM434)+COUNTIFS($BM$9:$BM$508,$BM434,$BP$9:$BP$508,"&lt;"&amp;$BP434)+1))</f>
        <v/>
      </c>
      <c r="BR434" s="127" t="str">
        <f aca="false">IF($BL434&lt;&gt;Constants!$B$4,"",IF($BB434="-&gt;",$BH434,$AX434))</f>
        <v/>
      </c>
      <c r="BS434" s="124" t="str">
        <f aca="false">IF(ISBLANK($C434),"",IF($BL434&lt;&gt;Constants!$B$4,$BL434,IF(ISNUMBER($BR434),RANK($BR434,$BR$9:$BR$508,0),COUNT($BR$9:$BR$508)+1)))</f>
        <v/>
      </c>
      <c r="BT434" s="127" t="str">
        <f aca="false">IF($BL434&lt;&gt;Constants!$B$4,"",IF($BB434="-&gt;",$BE434,$AU434))</f>
        <v/>
      </c>
      <c r="BU434" s="124" t="str">
        <f aca="false">IF(ISBLANK($C434),"",IF($BL434&lt;&gt;Constants!$B$4,$BL434,IF(ISNUMBER($BT434),RANK($BT434,$BT$9:$BT$508,0),COUNT($BT$9:$BT$508)+1)))</f>
        <v/>
      </c>
      <c r="BV434" s="127" t="str">
        <f aca="false">IF($BL434&lt;&gt;Constants!$B$4,"",IF($BB434="-&gt;",$BF434,$AV434))</f>
        <v/>
      </c>
      <c r="BW434" s="124" t="str">
        <f aca="false">IF(ISBLANK($C434),"",IF($BL434&lt;&gt;Constants!$B$4,$BL434,IF(ISNUMBER($BV434),RANK($BV434,$BV$9:$BV$508,0),COUNT($BV$9:$BV$508)+1)))</f>
        <v/>
      </c>
      <c r="BX434" s="127" t="str">
        <f aca="false">IF($BL434&lt;&gt;Constants!$B$4,"",IF($BB434="-&gt;",$BK434,$BA434))</f>
        <v/>
      </c>
      <c r="BY434" s="124" t="str">
        <f aca="false">IF(ISBLANK($C434),"",IF($BL434&lt;&gt;Constants!$B$4,$BL434,IF(ISNUMBER($BX434),RANK($BX434,$BX$9:$BX$508,0),COUNT($BX$9:$BX$508)+1)))</f>
        <v/>
      </c>
      <c r="BZ434" s="124" t="str">
        <f aca="false">IF(ISBLANK($C434),"",IF($BL434&lt;&gt;Constants!$B$4,$BL434,COUNTIFS($BM$9:$BM$508,"&lt;"&amp;$BM434)+COUNTIFS($BM$9:$BM$508,$BM434,$BP$9:$BP$508,"&lt;"&amp;$BP434)+COUNTIFS($BM$9:$BM$508,$BM434,$BP$9:$BP$508,$BP434,$BS$9:$BS$508,"&lt;"&amp;$BS434)+COUNTIFS($BM$9:$BM$508,$BM434,$BP$9:$BP$508,$BP434,$BS$9:$BS$508,$BS434,$BU$9:$BU$508,"&lt;"&amp;$BU434)+COUNTIFS($BM$9:$BM$508,$BM434,$BP$9:$BP$508,$BP434,$BS$9:$BS$508,$BS434,$BU$9:$BU$508,$BU434,$BW$9:$BW$508,"&lt;"&amp;$BW434)+COUNTIFS($BM$9:$BM$508,$BM434,$BP$9:$BP$508,$BP434,$BS$9:$BS$508,$BS434,$BU$9:$BU$508,$BU434,$BW$9:$BW$508,$BW434,$BY$9:$BY$508,"&lt;"&amp;$BY434)+1))</f>
        <v/>
      </c>
      <c r="CA434" s="124" t="str">
        <f aca="false">IF(ISBLANK($C434),"",IF($BL434&lt;&gt;Constants!$B$4,$BL434,$BQ434-$BZ434))</f>
        <v/>
      </c>
      <c r="CB434" s="130"/>
      <c r="CC434" s="131" t="str">
        <f aca="false">IF(ISBLANK($C434),"",IF($BL434=Constants!$B$8,$AR434,""))</f>
        <v/>
      </c>
      <c r="CD434" s="131" t="str">
        <f aca="false">IF(ISBLANK($C434),"",IF($BL434&lt;&gt;Constants!$B$4,"",IF($BB434="-&gt;",2,1)))</f>
        <v/>
      </c>
      <c r="CE434" s="132" t="str">
        <f aca="false">IF(ISBLANK($C434),"",IF($BL434&lt;&gt;Constants!$B$4,"",IF($BB434="-&gt;",$BE434,$AU434)))</f>
        <v/>
      </c>
      <c r="CF434" s="132" t="str">
        <f aca="false">IF(ISBLANK($C434),"",IF($BL434&lt;&gt;Constants!$B$4,"",IF($BB434="-&gt;",$BF434,$AV434)))</f>
        <v/>
      </c>
      <c r="CG434" s="132" t="str">
        <f aca="false">IF(ISBLANK($C434),"",IF($BL434&lt;&gt;Constants!$B$4,"",IF($BB434="-&gt;",$BG434,$AW434)))</f>
        <v/>
      </c>
      <c r="CH434" s="132" t="str">
        <f aca="false">IF(ISBLANK($C434),"",IF($BL434&lt;&gt;Constants!$B$4,"",IF($BB434="-&gt;",$BH434,$AX434)))</f>
        <v/>
      </c>
      <c r="CI434" s="133" t="str">
        <f aca="false">IF(ISBLANK($C434),"",$BO434)</f>
        <v/>
      </c>
      <c r="CJ434" s="134" t="str">
        <f aca="false">IF(ISBLANK($C434),"",$BM434)</f>
        <v/>
      </c>
      <c r="CK434" s="135" t="str">
        <f aca="false">IF(ISBLANK($C434),"",$CA434)</f>
        <v/>
      </c>
      <c r="CL434" s="135" t="str">
        <f aca="false">IF(ISBLANK($C434),"",$BZ434)</f>
        <v/>
      </c>
      <c r="CM434" s="136" t="str">
        <f aca="false">IF(ISBLANK($C434),"",IF($CL434=Constants!$B$7,COUNTA($C$9:$C$508)+2,IF($CL434=Constants!$B$6,COUNTA($C$9:$C$508)+1,IF($CL434=Constants!$B$5,COUNTA($C$9:$C$508),$CL434))))</f>
        <v/>
      </c>
      <c r="CN434" s="8"/>
      <c r="CO434" s="137" t="n">
        <f aca="false">IF(OR(ISNUMBER($CL434),$CL434=Constants!$B$7,$CL434=Constants!$B$5,$CL434=Constants!$B$6),1,0)</f>
        <v>0</v>
      </c>
      <c r="CP434" s="137" t="n">
        <v>426</v>
      </c>
      <c r="CQ434" s="137" t="str">
        <f aca="false">IF(ISBLANK($C434),"",IF(ISNUMBER($CM434),$CM434+ROW($B434)/1000,""))</f>
        <v/>
      </c>
      <c r="CR434" s="137" t="str">
        <f aca="false">IF(ISNUMBER($CQ434),RANK($CQ434,$CQ$9:$CQ$508,1),"")</f>
        <v/>
      </c>
      <c r="CS434" s="137" t="str">
        <f aca="false">IF(ISBLANK($C434),"",$B434)</f>
        <v/>
      </c>
      <c r="CT434" s="137" t="str">
        <f aca="false">IF(ISBLANK($C434),"",$C434)</f>
        <v/>
      </c>
      <c r="CU434" s="137" t="str">
        <f aca="false">IF(ISBLANK($C434),"",$D434)</f>
        <v/>
      </c>
      <c r="CV434" s="138" t="str">
        <f aca="false">$CJ434</f>
        <v/>
      </c>
      <c r="CW434" s="139" t="str">
        <f aca="false">$CI434</f>
        <v/>
      </c>
      <c r="CX434" s="137" t="str">
        <f aca="false">IF(ISBLANK($C434),"",$CL434)</f>
        <v/>
      </c>
      <c r="CY434" s="140" t="str">
        <f aca="false">IF($CP434&gt;$CO$8,"",VLOOKUP($CP434,$CR$9:$CX$508,7,FALSE()))</f>
        <v/>
      </c>
      <c r="CZ434" s="141" t="str">
        <f aca="false">IF($CP434&gt;$CO$8,"",VLOOKUP($CP434,$CR$9:$CX$508,2,FALSE()))</f>
        <v/>
      </c>
      <c r="DA434" s="141" t="str">
        <f aca="false">IF($CP434&gt;$CO$8,"",VLOOKUP($CP434,$CR$9:$CX$508,3,FALSE()))</f>
        <v/>
      </c>
      <c r="DB434" s="141" t="str">
        <f aca="false">IF($CP434&gt;$CO$8,"",VLOOKUP($CP434,$CR$9:$CX$508,4,FALSE()))</f>
        <v/>
      </c>
      <c r="DC434" s="141" t="str">
        <f aca="false">IF($CP434&gt;$CO$8,"",VLOOKUP($CP434,$CR$9:$CX$508,5,FALSE()))</f>
        <v/>
      </c>
      <c r="DD434" s="142" t="str">
        <f aca="false">IF($CP434&gt;$CO$8,"",VLOOKUP($CP434,$CR$9:$CX$508,6,FALSE()))</f>
        <v/>
      </c>
      <c r="DE434" s="70"/>
    </row>
    <row r="435" customFormat="false" ht="15.75" hidden="false" customHeight="false" outlineLevel="0" collapsed="false">
      <c r="A435" s="8"/>
      <c r="B435" s="72"/>
      <c r="C435" s="73"/>
      <c r="D435" s="155"/>
      <c r="E435" s="162"/>
      <c r="F435" s="157"/>
      <c r="G435" s="77"/>
      <c r="H435" s="77"/>
      <c r="I435" s="77"/>
      <c r="J435" s="163"/>
      <c r="K435" s="161"/>
      <c r="L435" s="161"/>
      <c r="M435" s="80"/>
      <c r="N435" s="161"/>
      <c r="O435" s="160"/>
      <c r="P435" s="161"/>
      <c r="Q435" s="161"/>
      <c r="R435" s="161"/>
      <c r="S435" s="77"/>
      <c r="T435" s="161"/>
      <c r="U435" s="160"/>
      <c r="V435" s="161"/>
      <c r="W435" s="85"/>
      <c r="X435" s="86" t="str">
        <f aca="false">IF(ISBLANK($C435),"",IF($E435=Constants!$B$2,TRUE(),IF($E435=Constants!$B$3,FALSE(),TRUE())))</f>
        <v/>
      </c>
      <c r="Y435" s="86" t="str">
        <f aca="false">IF(ISBLANK($C435),"",IF($F435=Constants!$B$2,TRUE(),IF($F435=Constants!$B$3,FALSE(),TRUE())))</f>
        <v/>
      </c>
      <c r="Z435" s="87" t="str">
        <f aca="false">IF(ISBLANK($C435),"",IF(ISNUMBER($G435),IF($G435&gt;=0,$G435,""),""))</f>
        <v/>
      </c>
      <c r="AA435" s="87" t="str">
        <f aca="false">IF(ISBLANK($C435),"",IF(ISNUMBER($H435),IF($H435&gt;=0,$H435,""),""))</f>
        <v/>
      </c>
      <c r="AB435" s="87" t="str">
        <f aca="false">IF(ISBLANK($C435),"",IF(ISNUMBER($I435),IF($I435&gt;=0,$I435,""),""))</f>
        <v/>
      </c>
      <c r="AC435" s="86" t="str">
        <f aca="false">IF(ISBLANK($C435),"",IF($J435=Constants!$B$2,TRUE(),IF($J435=Constants!$B$3,FALSE(),TRUE())))</f>
        <v/>
      </c>
      <c r="AD435" s="86" t="str">
        <f aca="false">IF(ISBLANK($C435),"",IF($K435=Constants!$B$2,TRUE(),IF($K435=Constants!$B$3,FALSE(),TRUE())))</f>
        <v/>
      </c>
      <c r="AE435" s="86" t="str">
        <f aca="false">IF(ISBLANK($C435),"",IF($L435=Constants!$B$2,TRUE(),IF($L435=Constants!$B$3,FALSE(),TRUE())))</f>
        <v/>
      </c>
      <c r="AF435" s="88" t="str">
        <f aca="false">IF(ISBLANK($C435),"",IF(ISNUMBER($M435),IF($M435&gt;=0,$M435,""),""))</f>
        <v/>
      </c>
      <c r="AG435" s="86" t="str">
        <f aca="false">IF(ISBLANK($C435),"",IF(ISBLANK($N435),0,IF(ISNUMBER($N435),IF(AND($N435&gt;=0,$N435&lt;=Constants!$B$17,$N435=INT($N435)),$N435,""),"")))</f>
        <v/>
      </c>
      <c r="AH435" s="87" t="str">
        <f aca="false">IF(ISBLANK($C435),"",IF(ISBLANK($O435),0,IF(ISNUMBER($O435),IF($O435&gt;=0,$O435,""),"")))</f>
        <v/>
      </c>
      <c r="AI435" s="86" t="str">
        <f aca="false">IF(ISBLANK($C435),"",IF($P435=Constants!$B$2,TRUE(),IF($P435=Constants!$B$3,FALSE(),TRUE())))</f>
        <v/>
      </c>
      <c r="AJ435" s="86" t="str">
        <f aca="false">IF(ISBLANK($C435),"",IF($Q435=Constants!$B$2,TRUE(),IF($Q435=Constants!$B$3,FALSE(),TRUE())))</f>
        <v/>
      </c>
      <c r="AK435" s="86" t="str">
        <f aca="false">IF(ISBLANK($C435),"",IF($R435=Constants!$B$2,TRUE(),IF($R435=Constants!$B$3,FALSE(),TRUE())))</f>
        <v/>
      </c>
      <c r="AL435" s="88" t="str">
        <f aca="false">IF(ISBLANK($C435),"",IF(ISNUMBER($S435),IF($S435&gt;=0,$S435,""),""))</f>
        <v/>
      </c>
      <c r="AM435" s="86" t="str">
        <f aca="false">IF(ISBLANK($C435),"",IF(ISBLANK($T435),0,IF(ISNUMBER($T435),IF(AND($T435&gt;=0,$T435&lt;=Constants!$B$17,$T435=INT($T435)),$T435,""),"")))</f>
        <v/>
      </c>
      <c r="AN435" s="87" t="str">
        <f aca="false">IF(ISBLANK($C435),"",IF(ISBLANK($U435),0,IF(ISNUMBER($U435),IF($U435&gt;=0,$U435,""),"")))</f>
        <v/>
      </c>
      <c r="AO435" s="86" t="str">
        <f aca="false">IF(ISBLANK($C435),"",IF($V435=Constants!$B$2,TRUE(),IF($V435=Constants!$B$3,FALSE(),FALSE())))</f>
        <v/>
      </c>
      <c r="AP435" s="86"/>
      <c r="AQ435" s="85" t="str">
        <f aca="false">IF(ISBLANK($C435),"",AND($Y435,OR($AS435,$BC435),OR($Z435="",$AA435="",$AB435="")))</f>
        <v/>
      </c>
      <c r="AR435" s="85" t="str">
        <f aca="false">IF(ISBLANK($C435),"",IF(OR(NOT($Y435),NOT(OR($AS435,$BC435))),"",IF(ISBLANK($D$7),$AR$5,IF($AP$9="",$AR$6,""))))</f>
        <v/>
      </c>
      <c r="AS435" s="85" t="str">
        <f aca="false">IF(ISBLANK($C435),"",COUNTA($J435:$O435)&gt;0)</f>
        <v/>
      </c>
      <c r="AT435" s="85" t="str">
        <f aca="false">IF(ISBLANK($C435),"",AND($AS435,OR(AND($AF435="",OR($AE435,NOT(ISBLANK($M435)))),$AG435="",$AH435="")))</f>
        <v/>
      </c>
      <c r="AU435" s="87" t="str">
        <f aca="false">IF($BL435&lt;&gt;Constants!$B$4,"",IF(NOT($AS435),"",ROUND((Constants!$B$12-$AB435)+(Constants!$B$13-$Z435)+(Constants!$B$14-$AA435),1)))</f>
        <v/>
      </c>
      <c r="AV435" s="90" t="str">
        <f aca="false">IF($BL435&lt;&gt;Constants!$B$4,"",IF(NOT($AS435),"",IF(NOT($AE435),0,Constants!$B$15*(INT(ROUND(MIN($AF435,$AP$9),6))-INT(ROUND(MAX(0,MIN($AF435,2*$AP$9)-$AP$9),6))))))</f>
        <v/>
      </c>
      <c r="AW435" s="90" t="str">
        <f aca="false">IF($BL435&lt;&gt;Constants!$B$4,"",IF(NOT($AS435),"",Constants!$B$16*$AG435))</f>
        <v/>
      </c>
      <c r="AX435" s="90" t="str">
        <f aca="false">IF($BL435&lt;&gt;Constants!$B$4,"",IF(NOT($AS435),"",Constants!$B$18*INT(ROUND($AH435,6))))</f>
        <v/>
      </c>
      <c r="AY435" s="85" t="str">
        <f aca="false">IF($BL435&lt;&gt;Constants!$B$4,"",IF(NOT($AS435),"",IF(NOT($X435),Constants!$B$11,IF(OR(NOT($AC435),NOT($AD435),ROUND($AB435,1)&gt;Constants!$B$12,ROUND($Z435,1)&gt;Constants!$B$13,ROUND($AA435,1)&gt;Constants!$B$14),Constants!$B$10,Constants!$B$9))))</f>
        <v/>
      </c>
      <c r="AZ435" s="91" t="str">
        <f aca="false">IF($BL435&lt;&gt;Constants!$B$4,"",IF(NOT($AS435),"",ROUND($AU435+$AV435+$AW435+$AX435,1)))</f>
        <v/>
      </c>
      <c r="BA435" s="92" t="str">
        <f aca="false">IF($BL435&lt;&gt;Constants!$B$4,"",IF(NOT($AS435),"",IF(ISNUMBER($AF435),$AF435,0)))</f>
        <v/>
      </c>
      <c r="BB435" s="86" t="str">
        <f aca="false">IF($BL435&lt;&gt;Constants!$B$4,"",IF(NOT($BC435),"&lt;-",IF(NOT($AS435),"-&gt;",IF(OR($BI435&lt;$AY435,AND($BI435=$AY435,OR($BJ435&gt;$AZ435,AND($BJ435=$AZ435,OR($BH435&gt;$AX435,AND($BH435=$AX435,OR($BE435&gt;$AU435,AND($BE435=$AU435,OR($BF435&gt;$AV435,AND($BF435=$AV435,$BK435&gt;$BA435)))))))))),"-&gt;","&lt;-"))))</f>
        <v/>
      </c>
      <c r="BC435" s="85" t="str">
        <f aca="false">IF(ISBLANK($C435),"",COUNTA($P435:$U435)&gt;0)</f>
        <v/>
      </c>
      <c r="BD435" s="85" t="str">
        <f aca="false">IF(ISBLANK($C435),"",AND($BC435,OR(AND($AL435="",OR($AK435,NOT(ISBLANK($S435)))),$AM435="",$AN435="")))</f>
        <v/>
      </c>
      <c r="BE435" s="87" t="str">
        <f aca="false">IF($BL435&lt;&gt;Constants!$B$4,"",IF(NOT($BC435),"",ROUND((Constants!$B$12-$AB435)+(Constants!$B$13-$Z435)+(Constants!$B$14-$AA435),1)))</f>
        <v/>
      </c>
      <c r="BF435" s="90" t="str">
        <f aca="false">IF($BL435&lt;&gt;Constants!$B$4,"",IF(NOT($BC435),"",IF(NOT($AK435),0,Constants!$B$15*(INT(ROUND(MIN($AL435,$AP$9),6))-INT(ROUND(MAX(0,MIN($AL435,2*$AP$9)-$AP$9),6))))))</f>
        <v/>
      </c>
      <c r="BG435" s="90" t="str">
        <f aca="false">IF($BL435&lt;&gt;Constants!$B$4,"",IF(NOT($BC435),"",Constants!$B$16*$AM435))</f>
        <v/>
      </c>
      <c r="BH435" s="90" t="str">
        <f aca="false">IF($BL435&lt;&gt;Constants!$B$4,"",IF(NOT($BC435),"",Constants!$B$18*INT(ROUND($AN435,6))))</f>
        <v/>
      </c>
      <c r="BI435" s="85" t="str">
        <f aca="false">IF($BL435&lt;&gt;Constants!$B$4,"",IF(NOT($BC435),"",IF(NOT($X435),Constants!$B$11,IF(OR(NOT($AI435),NOT($AJ435),ROUND($AB435,1)&gt;Constants!$B$12,ROUND($Z435,1)&gt;Constants!$B$13,ROUND($AA435,1)&gt;Constants!$B$14),Constants!$B$10,Constants!$B$9))))</f>
        <v/>
      </c>
      <c r="BJ435" s="91" t="str">
        <f aca="false">IF($BL435&lt;&gt;Constants!$B$4,"",IF(NOT($BC435),"",ROUND($BE435+$BF435+$BG435+$BH435,1)))</f>
        <v/>
      </c>
      <c r="BK435" s="92" t="str">
        <f aca="false">IF($BL435&lt;&gt;Constants!$B$4,"",IF(NOT($BC435),"",IF(ISNUMBER($AL435),$AL435,0)))</f>
        <v/>
      </c>
      <c r="BL435" s="86" t="str">
        <f aca="false">IF(ISBLANK($C435),"",IF($AO435,Constants!$B$7,IF(COUNTA($E435:$V435)=0,Constants!$B$6,IF(NOT($Y435),Constants!$B$5,IF(NOT(OR($AS435,$BC435)),Constants!$B$5,IF(OR($AT435,$BD435,$AQ435,$AR435&lt;&gt;""),Constants!$B$8,Constants!$B$4))))))</f>
        <v/>
      </c>
      <c r="BM435" s="86" t="str">
        <f aca="false">IF(ISBLANK($C435),"",IF($BL435&lt;&gt;Constants!$B$4,$BL435,IF($BB435="-&gt;",$BI435,$AY435)))</f>
        <v/>
      </c>
      <c r="BN435" s="90" t="str">
        <f aca="false">IF($BL435&lt;&gt;Constants!$B$4,"",IF($BB435="-&gt;",$BJ435,$AZ435))</f>
        <v/>
      </c>
      <c r="BO435" s="90" t="str">
        <f aca="false">IF(ISBLANK($C435),"",IF($BL435&lt;&gt;Constants!$B$4,$BL435,$BN435))</f>
        <v/>
      </c>
      <c r="BP435" s="86" t="str">
        <f aca="false">IF(ISBLANK($C435),"",IF($BL435&lt;&gt;Constants!$B$4,$BL435,RANK($BO435,$BO$9:$BO$508,0)))</f>
        <v/>
      </c>
      <c r="BQ435" s="86" t="str">
        <f aca="false">IF(ISBLANK($C435),"",IF($BL435&lt;&gt;Constants!$B$4,$BL435,COUNTIFS($BM$9:$BM$508,"&lt;"&amp;$BM435)+COUNTIFS($BM$9:$BM$508,$BM435,$BP$9:$BP$508,"&lt;"&amp;$BP435)+1))</f>
        <v/>
      </c>
      <c r="BR435" s="90" t="str">
        <f aca="false">IF($BL435&lt;&gt;Constants!$B$4,"",IF($BB435="-&gt;",$BH435,$AX435))</f>
        <v/>
      </c>
      <c r="BS435" s="86" t="str">
        <f aca="false">IF(ISBLANK($C435),"",IF($BL435&lt;&gt;Constants!$B$4,$BL435,IF(ISNUMBER($BR435),RANK($BR435,$BR$9:$BR$508,0),COUNT($BR$9:$BR$508)+1)))</f>
        <v/>
      </c>
      <c r="BT435" s="90" t="str">
        <f aca="false">IF($BL435&lt;&gt;Constants!$B$4,"",IF($BB435="-&gt;",$BE435,$AU435))</f>
        <v/>
      </c>
      <c r="BU435" s="86" t="str">
        <f aca="false">IF(ISBLANK($C435),"",IF($BL435&lt;&gt;Constants!$B$4,$BL435,IF(ISNUMBER($BT435),RANK($BT435,$BT$9:$BT$508,0),COUNT($BT$9:$BT$508)+1)))</f>
        <v/>
      </c>
      <c r="BV435" s="90" t="str">
        <f aca="false">IF($BL435&lt;&gt;Constants!$B$4,"",IF($BB435="-&gt;",$BF435,$AV435))</f>
        <v/>
      </c>
      <c r="BW435" s="86" t="str">
        <f aca="false">IF(ISBLANK($C435),"",IF($BL435&lt;&gt;Constants!$B$4,$BL435,IF(ISNUMBER($BV435),RANK($BV435,$BV$9:$BV$508,0),COUNT($BV$9:$BV$508)+1)))</f>
        <v/>
      </c>
      <c r="BX435" s="90" t="str">
        <f aca="false">IF($BL435&lt;&gt;Constants!$B$4,"",IF($BB435="-&gt;",$BK435,$BA435))</f>
        <v/>
      </c>
      <c r="BY435" s="86" t="str">
        <f aca="false">IF(ISBLANK($C435),"",IF($BL435&lt;&gt;Constants!$B$4,$BL435,IF(ISNUMBER($BX435),RANK($BX435,$BX$9:$BX$508,0),COUNT($BX$9:$BX$508)+1)))</f>
        <v/>
      </c>
      <c r="BZ435" s="86" t="str">
        <f aca="false">IF(ISBLANK($C435),"",IF($BL435&lt;&gt;Constants!$B$4,$BL435,COUNTIFS($BM$9:$BM$508,"&lt;"&amp;$BM435)+COUNTIFS($BM$9:$BM$508,$BM435,$BP$9:$BP$508,"&lt;"&amp;$BP435)+COUNTIFS($BM$9:$BM$508,$BM435,$BP$9:$BP$508,$BP435,$BS$9:$BS$508,"&lt;"&amp;$BS435)+COUNTIFS($BM$9:$BM$508,$BM435,$BP$9:$BP$508,$BP435,$BS$9:$BS$508,$BS435,$BU$9:$BU$508,"&lt;"&amp;$BU435)+COUNTIFS($BM$9:$BM$508,$BM435,$BP$9:$BP$508,$BP435,$BS$9:$BS$508,$BS435,$BU$9:$BU$508,$BU435,$BW$9:$BW$508,"&lt;"&amp;$BW435)+COUNTIFS($BM$9:$BM$508,$BM435,$BP$9:$BP$508,$BP435,$BS$9:$BS$508,$BS435,$BU$9:$BU$508,$BU435,$BW$9:$BW$508,$BW435,$BY$9:$BY$508,"&lt;"&amp;$BY435)+1))</f>
        <v/>
      </c>
      <c r="CA435" s="86" t="str">
        <f aca="false">IF(ISBLANK($C435),"",IF($BL435&lt;&gt;Constants!$B$4,$BL435,$BQ435-$BZ435))</f>
        <v/>
      </c>
      <c r="CB435" s="93"/>
      <c r="CC435" s="94" t="str">
        <f aca="false">IF(ISBLANK($C435),"",IF($BL435=Constants!$B$8,$AR435,""))</f>
        <v/>
      </c>
      <c r="CD435" s="94" t="str">
        <f aca="false">IF(ISBLANK($C435),"",IF($BL435&lt;&gt;Constants!$B$4,"",IF($BB435="-&gt;",2,1)))</f>
        <v/>
      </c>
      <c r="CE435" s="95" t="str">
        <f aca="false">IF(ISBLANK($C435),"",IF($BL435&lt;&gt;Constants!$B$4,"",IF($BB435="-&gt;",$BE435,$AU435)))</f>
        <v/>
      </c>
      <c r="CF435" s="95" t="str">
        <f aca="false">IF(ISBLANK($C435),"",IF($BL435&lt;&gt;Constants!$B$4,"",IF($BB435="-&gt;",$BF435,$AV435)))</f>
        <v/>
      </c>
      <c r="CG435" s="95" t="str">
        <f aca="false">IF(ISBLANK($C435),"",IF($BL435&lt;&gt;Constants!$B$4,"",IF($BB435="-&gt;",$BG435,$AW435)))</f>
        <v/>
      </c>
      <c r="CH435" s="95" t="str">
        <f aca="false">IF(ISBLANK($C435),"",IF($BL435&lt;&gt;Constants!$B$4,"",IF($BB435="-&gt;",$BH435,$AX435)))</f>
        <v/>
      </c>
      <c r="CI435" s="96" t="str">
        <f aca="false">IF(ISBLANK($C435),"",$BO435)</f>
        <v/>
      </c>
      <c r="CJ435" s="97" t="str">
        <f aca="false">IF(ISBLANK($C435),"",$BM435)</f>
        <v/>
      </c>
      <c r="CK435" s="98" t="str">
        <f aca="false">IF(ISBLANK($C435),"",$CA435)</f>
        <v/>
      </c>
      <c r="CL435" s="98" t="str">
        <f aca="false">IF(ISBLANK($C435),"",$BZ435)</f>
        <v/>
      </c>
      <c r="CM435" s="99" t="str">
        <f aca="false">IF(ISBLANK($C435),"",IF($CL435=Constants!$B$7,COUNTA($C$9:$C$508)+2,IF($CL435=Constants!$B$6,COUNTA($C$9:$C$508)+1,IF($CL435=Constants!$B$5,COUNTA($C$9:$C$508),$CL435))))</f>
        <v/>
      </c>
      <c r="CN435" s="8"/>
      <c r="CO435" s="100" t="n">
        <f aca="false">IF(OR(ISNUMBER($CL435),$CL435=Constants!$B$7,$CL435=Constants!$B$5,$CL435=Constants!$B$6),1,0)</f>
        <v>0</v>
      </c>
      <c r="CP435" s="100" t="n">
        <v>427</v>
      </c>
      <c r="CQ435" s="100" t="str">
        <f aca="false">IF(ISBLANK($C435),"",IF(ISNUMBER($CM435),$CM435+ROW($B435)/1000,""))</f>
        <v/>
      </c>
      <c r="CR435" s="100" t="str">
        <f aca="false">IF(ISNUMBER($CQ435),RANK($CQ435,$CQ$9:$CQ$508,1),"")</f>
        <v/>
      </c>
      <c r="CS435" s="100" t="str">
        <f aca="false">IF(ISBLANK($C435),"",$B435)</f>
        <v/>
      </c>
      <c r="CT435" s="100" t="str">
        <f aca="false">IF(ISBLANK($C435),"",$C435)</f>
        <v/>
      </c>
      <c r="CU435" s="100" t="str">
        <f aca="false">IF(ISBLANK($C435),"",$D435)</f>
        <v/>
      </c>
      <c r="CV435" s="101" t="str">
        <f aca="false">$CJ435</f>
        <v/>
      </c>
      <c r="CW435" s="102" t="str">
        <f aca="false">$CI435</f>
        <v/>
      </c>
      <c r="CX435" s="100" t="str">
        <f aca="false">IF(ISBLANK($C435),"",$CL435)</f>
        <v/>
      </c>
      <c r="CY435" s="103" t="str">
        <f aca="false">IF($CP435&gt;$CO$8,"",VLOOKUP($CP435,$CR$9:$CX$508,7,FALSE()))</f>
        <v/>
      </c>
      <c r="CZ435" s="104" t="str">
        <f aca="false">IF($CP435&gt;$CO$8,"",VLOOKUP($CP435,$CR$9:$CX$508,2,FALSE()))</f>
        <v/>
      </c>
      <c r="DA435" s="104" t="str">
        <f aca="false">IF($CP435&gt;$CO$8,"",VLOOKUP($CP435,$CR$9:$CX$508,3,FALSE()))</f>
        <v/>
      </c>
      <c r="DB435" s="104" t="str">
        <f aca="false">IF($CP435&gt;$CO$8,"",VLOOKUP($CP435,$CR$9:$CX$508,4,FALSE()))</f>
        <v/>
      </c>
      <c r="DC435" s="104" t="str">
        <f aca="false">IF($CP435&gt;$CO$8,"",VLOOKUP($CP435,$CR$9:$CX$508,5,FALSE()))</f>
        <v/>
      </c>
      <c r="DD435" s="105" t="str">
        <f aca="false">IF($CP435&gt;$CO$8,"",VLOOKUP($CP435,$CR$9:$CX$508,6,FALSE()))</f>
        <v/>
      </c>
      <c r="DE435" s="70"/>
    </row>
    <row r="436" customFormat="false" ht="15.75" hidden="false" customHeight="false" outlineLevel="0" collapsed="false">
      <c r="A436" s="8"/>
      <c r="B436" s="72"/>
      <c r="C436" s="73"/>
      <c r="D436" s="155"/>
      <c r="E436" s="162"/>
      <c r="F436" s="157"/>
      <c r="G436" s="77"/>
      <c r="H436" s="77"/>
      <c r="I436" s="77"/>
      <c r="J436" s="163"/>
      <c r="K436" s="161"/>
      <c r="L436" s="161"/>
      <c r="M436" s="80"/>
      <c r="N436" s="161"/>
      <c r="O436" s="160"/>
      <c r="P436" s="161"/>
      <c r="Q436" s="161"/>
      <c r="R436" s="161"/>
      <c r="S436" s="77"/>
      <c r="T436" s="161"/>
      <c r="U436" s="160"/>
      <c r="V436" s="161"/>
      <c r="W436" s="85"/>
      <c r="X436" s="86" t="str">
        <f aca="false">IF(ISBLANK($C436),"",IF($E436=Constants!$B$2,TRUE(),IF($E436=Constants!$B$3,FALSE(),TRUE())))</f>
        <v/>
      </c>
      <c r="Y436" s="86" t="str">
        <f aca="false">IF(ISBLANK($C436),"",IF($F436=Constants!$B$2,TRUE(),IF($F436=Constants!$B$3,FALSE(),TRUE())))</f>
        <v/>
      </c>
      <c r="Z436" s="87" t="str">
        <f aca="false">IF(ISBLANK($C436),"",IF(ISNUMBER($G436),IF($G436&gt;=0,$G436,""),""))</f>
        <v/>
      </c>
      <c r="AA436" s="87" t="str">
        <f aca="false">IF(ISBLANK($C436),"",IF(ISNUMBER($H436),IF($H436&gt;=0,$H436,""),""))</f>
        <v/>
      </c>
      <c r="AB436" s="87" t="str">
        <f aca="false">IF(ISBLANK($C436),"",IF(ISNUMBER($I436),IF($I436&gt;=0,$I436,""),""))</f>
        <v/>
      </c>
      <c r="AC436" s="86" t="str">
        <f aca="false">IF(ISBLANK($C436),"",IF($J436=Constants!$B$2,TRUE(),IF($J436=Constants!$B$3,FALSE(),TRUE())))</f>
        <v/>
      </c>
      <c r="AD436" s="86" t="str">
        <f aca="false">IF(ISBLANK($C436),"",IF($K436=Constants!$B$2,TRUE(),IF($K436=Constants!$B$3,FALSE(),TRUE())))</f>
        <v/>
      </c>
      <c r="AE436" s="86" t="str">
        <f aca="false">IF(ISBLANK($C436),"",IF($L436=Constants!$B$2,TRUE(),IF($L436=Constants!$B$3,FALSE(),TRUE())))</f>
        <v/>
      </c>
      <c r="AF436" s="88" t="str">
        <f aca="false">IF(ISBLANK($C436),"",IF(ISNUMBER($M436),IF($M436&gt;=0,$M436,""),""))</f>
        <v/>
      </c>
      <c r="AG436" s="86" t="str">
        <f aca="false">IF(ISBLANK($C436),"",IF(ISBLANK($N436),0,IF(ISNUMBER($N436),IF(AND($N436&gt;=0,$N436&lt;=Constants!$B$17,$N436=INT($N436)),$N436,""),"")))</f>
        <v/>
      </c>
      <c r="AH436" s="87" t="str">
        <f aca="false">IF(ISBLANK($C436),"",IF(ISBLANK($O436),0,IF(ISNUMBER($O436),IF($O436&gt;=0,$O436,""),"")))</f>
        <v/>
      </c>
      <c r="AI436" s="86" t="str">
        <f aca="false">IF(ISBLANK($C436),"",IF($P436=Constants!$B$2,TRUE(),IF($P436=Constants!$B$3,FALSE(),TRUE())))</f>
        <v/>
      </c>
      <c r="AJ436" s="86" t="str">
        <f aca="false">IF(ISBLANK($C436),"",IF($Q436=Constants!$B$2,TRUE(),IF($Q436=Constants!$B$3,FALSE(),TRUE())))</f>
        <v/>
      </c>
      <c r="AK436" s="86" t="str">
        <f aca="false">IF(ISBLANK($C436),"",IF($R436=Constants!$B$2,TRUE(),IF($R436=Constants!$B$3,FALSE(),TRUE())))</f>
        <v/>
      </c>
      <c r="AL436" s="88" t="str">
        <f aca="false">IF(ISBLANK($C436),"",IF(ISNUMBER($S436),IF($S436&gt;=0,$S436,""),""))</f>
        <v/>
      </c>
      <c r="AM436" s="86" t="str">
        <f aca="false">IF(ISBLANK($C436),"",IF(ISBLANK($T436),0,IF(ISNUMBER($T436),IF(AND($T436&gt;=0,$T436&lt;=Constants!$B$17,$T436=INT($T436)),$T436,""),"")))</f>
        <v/>
      </c>
      <c r="AN436" s="87" t="str">
        <f aca="false">IF(ISBLANK($C436),"",IF(ISBLANK($U436),0,IF(ISNUMBER($U436),IF($U436&gt;=0,$U436,""),"")))</f>
        <v/>
      </c>
      <c r="AO436" s="86" t="str">
        <f aca="false">IF(ISBLANK($C436),"",IF($V436=Constants!$B$2,TRUE(),IF($V436=Constants!$B$3,FALSE(),FALSE())))</f>
        <v/>
      </c>
      <c r="AP436" s="86"/>
      <c r="AQ436" s="85" t="str">
        <f aca="false">IF(ISBLANK($C436),"",AND($Y436,OR($AS436,$BC436),OR($Z436="",$AA436="",$AB436="")))</f>
        <v/>
      </c>
      <c r="AR436" s="85" t="str">
        <f aca="false">IF(ISBLANK($C436),"",IF(OR(NOT($Y436),NOT(OR($AS436,$BC436))),"",IF(ISBLANK($D$7),$AR$5,IF($AP$9="",$AR$6,""))))</f>
        <v/>
      </c>
      <c r="AS436" s="85" t="str">
        <f aca="false">IF(ISBLANK($C436),"",COUNTA($J436:$O436)&gt;0)</f>
        <v/>
      </c>
      <c r="AT436" s="85" t="str">
        <f aca="false">IF(ISBLANK($C436),"",AND($AS436,OR(AND($AF436="",OR($AE436,NOT(ISBLANK($M436)))),$AG436="",$AH436="")))</f>
        <v/>
      </c>
      <c r="AU436" s="87" t="str">
        <f aca="false">IF($BL436&lt;&gt;Constants!$B$4,"",IF(NOT($AS436),"",ROUND((Constants!$B$12-$AB436)+(Constants!$B$13-$Z436)+(Constants!$B$14-$AA436),1)))</f>
        <v/>
      </c>
      <c r="AV436" s="90" t="str">
        <f aca="false">IF($BL436&lt;&gt;Constants!$B$4,"",IF(NOT($AS436),"",IF(NOT($AE436),0,Constants!$B$15*(INT(ROUND(MIN($AF436,$AP$9),6))-INT(ROUND(MAX(0,MIN($AF436,2*$AP$9)-$AP$9),6))))))</f>
        <v/>
      </c>
      <c r="AW436" s="90" t="str">
        <f aca="false">IF($BL436&lt;&gt;Constants!$B$4,"",IF(NOT($AS436),"",Constants!$B$16*$AG436))</f>
        <v/>
      </c>
      <c r="AX436" s="90" t="str">
        <f aca="false">IF($BL436&lt;&gt;Constants!$B$4,"",IF(NOT($AS436),"",Constants!$B$18*INT(ROUND($AH436,6))))</f>
        <v/>
      </c>
      <c r="AY436" s="85" t="str">
        <f aca="false">IF($BL436&lt;&gt;Constants!$B$4,"",IF(NOT($AS436),"",IF(NOT($X436),Constants!$B$11,IF(OR(NOT($AC436),NOT($AD436),ROUND($AB436,1)&gt;Constants!$B$12,ROUND($Z436,1)&gt;Constants!$B$13,ROUND($AA436,1)&gt;Constants!$B$14),Constants!$B$10,Constants!$B$9))))</f>
        <v/>
      </c>
      <c r="AZ436" s="91" t="str">
        <f aca="false">IF($BL436&lt;&gt;Constants!$B$4,"",IF(NOT($AS436),"",ROUND($AU436+$AV436+$AW436+$AX436,1)))</f>
        <v/>
      </c>
      <c r="BA436" s="92" t="str">
        <f aca="false">IF($BL436&lt;&gt;Constants!$B$4,"",IF(NOT($AS436),"",IF(ISNUMBER($AF436),$AF436,0)))</f>
        <v/>
      </c>
      <c r="BB436" s="86" t="str">
        <f aca="false">IF($BL436&lt;&gt;Constants!$B$4,"",IF(NOT($BC436),"&lt;-",IF(NOT($AS436),"-&gt;",IF(OR($BI436&lt;$AY436,AND($BI436=$AY436,OR($BJ436&gt;$AZ436,AND($BJ436=$AZ436,OR($BH436&gt;$AX436,AND($BH436=$AX436,OR($BE436&gt;$AU436,AND($BE436=$AU436,OR($BF436&gt;$AV436,AND($BF436=$AV436,$BK436&gt;$BA436)))))))))),"-&gt;","&lt;-"))))</f>
        <v/>
      </c>
      <c r="BC436" s="85" t="str">
        <f aca="false">IF(ISBLANK($C436),"",COUNTA($P436:$U436)&gt;0)</f>
        <v/>
      </c>
      <c r="BD436" s="85" t="str">
        <f aca="false">IF(ISBLANK($C436),"",AND($BC436,OR(AND($AL436="",OR($AK436,NOT(ISBLANK($S436)))),$AM436="",$AN436="")))</f>
        <v/>
      </c>
      <c r="BE436" s="87" t="str">
        <f aca="false">IF($BL436&lt;&gt;Constants!$B$4,"",IF(NOT($BC436),"",ROUND((Constants!$B$12-$AB436)+(Constants!$B$13-$Z436)+(Constants!$B$14-$AA436),1)))</f>
        <v/>
      </c>
      <c r="BF436" s="90" t="str">
        <f aca="false">IF($BL436&lt;&gt;Constants!$B$4,"",IF(NOT($BC436),"",IF(NOT($AK436),0,Constants!$B$15*(INT(ROUND(MIN($AL436,$AP$9),6))-INT(ROUND(MAX(0,MIN($AL436,2*$AP$9)-$AP$9),6))))))</f>
        <v/>
      </c>
      <c r="BG436" s="90" t="str">
        <f aca="false">IF($BL436&lt;&gt;Constants!$B$4,"",IF(NOT($BC436),"",Constants!$B$16*$AM436))</f>
        <v/>
      </c>
      <c r="BH436" s="90" t="str">
        <f aca="false">IF($BL436&lt;&gt;Constants!$B$4,"",IF(NOT($BC436),"",Constants!$B$18*INT(ROUND($AN436,6))))</f>
        <v/>
      </c>
      <c r="BI436" s="85" t="str">
        <f aca="false">IF($BL436&lt;&gt;Constants!$B$4,"",IF(NOT($BC436),"",IF(NOT($X436),Constants!$B$11,IF(OR(NOT($AI436),NOT($AJ436),ROUND($AB436,1)&gt;Constants!$B$12,ROUND($Z436,1)&gt;Constants!$B$13,ROUND($AA436,1)&gt;Constants!$B$14),Constants!$B$10,Constants!$B$9))))</f>
        <v/>
      </c>
      <c r="BJ436" s="91" t="str">
        <f aca="false">IF($BL436&lt;&gt;Constants!$B$4,"",IF(NOT($BC436),"",ROUND($BE436+$BF436+$BG436+$BH436,1)))</f>
        <v/>
      </c>
      <c r="BK436" s="92" t="str">
        <f aca="false">IF($BL436&lt;&gt;Constants!$B$4,"",IF(NOT($BC436),"",IF(ISNUMBER($AL436),$AL436,0)))</f>
        <v/>
      </c>
      <c r="BL436" s="86" t="str">
        <f aca="false">IF(ISBLANK($C436),"",IF($AO436,Constants!$B$7,IF(COUNTA($E436:$V436)=0,Constants!$B$6,IF(NOT($Y436),Constants!$B$5,IF(NOT(OR($AS436,$BC436)),Constants!$B$5,IF(OR($AT436,$BD436,$AQ436,$AR436&lt;&gt;""),Constants!$B$8,Constants!$B$4))))))</f>
        <v/>
      </c>
      <c r="BM436" s="86" t="str">
        <f aca="false">IF(ISBLANK($C436),"",IF($BL436&lt;&gt;Constants!$B$4,$BL436,IF($BB436="-&gt;",$BI436,$AY436)))</f>
        <v/>
      </c>
      <c r="BN436" s="90" t="str">
        <f aca="false">IF($BL436&lt;&gt;Constants!$B$4,"",IF($BB436="-&gt;",$BJ436,$AZ436))</f>
        <v/>
      </c>
      <c r="BO436" s="90" t="str">
        <f aca="false">IF(ISBLANK($C436),"",IF($BL436&lt;&gt;Constants!$B$4,$BL436,$BN436))</f>
        <v/>
      </c>
      <c r="BP436" s="86" t="str">
        <f aca="false">IF(ISBLANK($C436),"",IF($BL436&lt;&gt;Constants!$B$4,$BL436,RANK($BO436,$BO$9:$BO$508,0)))</f>
        <v/>
      </c>
      <c r="BQ436" s="86" t="str">
        <f aca="false">IF(ISBLANK($C436),"",IF($BL436&lt;&gt;Constants!$B$4,$BL436,COUNTIFS($BM$9:$BM$508,"&lt;"&amp;$BM436)+COUNTIFS($BM$9:$BM$508,$BM436,$BP$9:$BP$508,"&lt;"&amp;$BP436)+1))</f>
        <v/>
      </c>
      <c r="BR436" s="90" t="str">
        <f aca="false">IF($BL436&lt;&gt;Constants!$B$4,"",IF($BB436="-&gt;",$BH436,$AX436))</f>
        <v/>
      </c>
      <c r="BS436" s="86" t="str">
        <f aca="false">IF(ISBLANK($C436),"",IF($BL436&lt;&gt;Constants!$B$4,$BL436,IF(ISNUMBER($BR436),RANK($BR436,$BR$9:$BR$508,0),COUNT($BR$9:$BR$508)+1)))</f>
        <v/>
      </c>
      <c r="BT436" s="90" t="str">
        <f aca="false">IF($BL436&lt;&gt;Constants!$B$4,"",IF($BB436="-&gt;",$BE436,$AU436))</f>
        <v/>
      </c>
      <c r="BU436" s="86" t="str">
        <f aca="false">IF(ISBLANK($C436),"",IF($BL436&lt;&gt;Constants!$B$4,$BL436,IF(ISNUMBER($BT436),RANK($BT436,$BT$9:$BT$508,0),COUNT($BT$9:$BT$508)+1)))</f>
        <v/>
      </c>
      <c r="BV436" s="90" t="str">
        <f aca="false">IF($BL436&lt;&gt;Constants!$B$4,"",IF($BB436="-&gt;",$BF436,$AV436))</f>
        <v/>
      </c>
      <c r="BW436" s="86" t="str">
        <f aca="false">IF(ISBLANK($C436),"",IF($BL436&lt;&gt;Constants!$B$4,$BL436,IF(ISNUMBER($BV436),RANK($BV436,$BV$9:$BV$508,0),COUNT($BV$9:$BV$508)+1)))</f>
        <v/>
      </c>
      <c r="BX436" s="90" t="str">
        <f aca="false">IF($BL436&lt;&gt;Constants!$B$4,"",IF($BB436="-&gt;",$BK436,$BA436))</f>
        <v/>
      </c>
      <c r="BY436" s="86" t="str">
        <f aca="false">IF(ISBLANK($C436),"",IF($BL436&lt;&gt;Constants!$B$4,$BL436,IF(ISNUMBER($BX436),RANK($BX436,$BX$9:$BX$508,0),COUNT($BX$9:$BX$508)+1)))</f>
        <v/>
      </c>
      <c r="BZ436" s="86" t="str">
        <f aca="false">IF(ISBLANK($C436),"",IF($BL436&lt;&gt;Constants!$B$4,$BL436,COUNTIFS($BM$9:$BM$508,"&lt;"&amp;$BM436)+COUNTIFS($BM$9:$BM$508,$BM436,$BP$9:$BP$508,"&lt;"&amp;$BP436)+COUNTIFS($BM$9:$BM$508,$BM436,$BP$9:$BP$508,$BP436,$BS$9:$BS$508,"&lt;"&amp;$BS436)+COUNTIFS($BM$9:$BM$508,$BM436,$BP$9:$BP$508,$BP436,$BS$9:$BS$508,$BS436,$BU$9:$BU$508,"&lt;"&amp;$BU436)+COUNTIFS($BM$9:$BM$508,$BM436,$BP$9:$BP$508,$BP436,$BS$9:$BS$508,$BS436,$BU$9:$BU$508,$BU436,$BW$9:$BW$508,"&lt;"&amp;$BW436)+COUNTIFS($BM$9:$BM$508,$BM436,$BP$9:$BP$508,$BP436,$BS$9:$BS$508,$BS436,$BU$9:$BU$508,$BU436,$BW$9:$BW$508,$BW436,$BY$9:$BY$508,"&lt;"&amp;$BY436)+1))</f>
        <v/>
      </c>
      <c r="CA436" s="86" t="str">
        <f aca="false">IF(ISBLANK($C436),"",IF($BL436&lt;&gt;Constants!$B$4,$BL436,$BQ436-$BZ436))</f>
        <v/>
      </c>
      <c r="CB436" s="93"/>
      <c r="CC436" s="94" t="str">
        <f aca="false">IF(ISBLANK($C436),"",IF($BL436=Constants!$B$8,$AR436,""))</f>
        <v/>
      </c>
      <c r="CD436" s="94" t="str">
        <f aca="false">IF(ISBLANK($C436),"",IF($BL436&lt;&gt;Constants!$B$4,"",IF($BB436="-&gt;",2,1)))</f>
        <v/>
      </c>
      <c r="CE436" s="95" t="str">
        <f aca="false">IF(ISBLANK($C436),"",IF($BL436&lt;&gt;Constants!$B$4,"",IF($BB436="-&gt;",$BE436,$AU436)))</f>
        <v/>
      </c>
      <c r="CF436" s="95" t="str">
        <f aca="false">IF(ISBLANK($C436),"",IF($BL436&lt;&gt;Constants!$B$4,"",IF($BB436="-&gt;",$BF436,$AV436)))</f>
        <v/>
      </c>
      <c r="CG436" s="95" t="str">
        <f aca="false">IF(ISBLANK($C436),"",IF($BL436&lt;&gt;Constants!$B$4,"",IF($BB436="-&gt;",$BG436,$AW436)))</f>
        <v/>
      </c>
      <c r="CH436" s="95" t="str">
        <f aca="false">IF(ISBLANK($C436),"",IF($BL436&lt;&gt;Constants!$B$4,"",IF($BB436="-&gt;",$BH436,$AX436)))</f>
        <v/>
      </c>
      <c r="CI436" s="96" t="str">
        <f aca="false">IF(ISBLANK($C436),"",$BO436)</f>
        <v/>
      </c>
      <c r="CJ436" s="97" t="str">
        <f aca="false">IF(ISBLANK($C436),"",$BM436)</f>
        <v/>
      </c>
      <c r="CK436" s="98" t="str">
        <f aca="false">IF(ISBLANK($C436),"",$CA436)</f>
        <v/>
      </c>
      <c r="CL436" s="98" t="str">
        <f aca="false">IF(ISBLANK($C436),"",$BZ436)</f>
        <v/>
      </c>
      <c r="CM436" s="99" t="str">
        <f aca="false">IF(ISBLANK($C436),"",IF($CL436=Constants!$B$7,COUNTA($C$9:$C$508)+2,IF($CL436=Constants!$B$6,COUNTA($C$9:$C$508)+1,IF($CL436=Constants!$B$5,COUNTA($C$9:$C$508),$CL436))))</f>
        <v/>
      </c>
      <c r="CN436" s="8"/>
      <c r="CO436" s="100" t="n">
        <f aca="false">IF(OR(ISNUMBER($CL436),$CL436=Constants!$B$7,$CL436=Constants!$B$5,$CL436=Constants!$B$6),1,0)</f>
        <v>0</v>
      </c>
      <c r="CP436" s="100" t="n">
        <v>428</v>
      </c>
      <c r="CQ436" s="100" t="str">
        <f aca="false">IF(ISBLANK($C436),"",IF(ISNUMBER($CM436),$CM436+ROW($B436)/1000,""))</f>
        <v/>
      </c>
      <c r="CR436" s="100" t="str">
        <f aca="false">IF(ISNUMBER($CQ436),RANK($CQ436,$CQ$9:$CQ$508,1),"")</f>
        <v/>
      </c>
      <c r="CS436" s="100" t="str">
        <f aca="false">IF(ISBLANK($C436),"",$B436)</f>
        <v/>
      </c>
      <c r="CT436" s="100" t="str">
        <f aca="false">IF(ISBLANK($C436),"",$C436)</f>
        <v/>
      </c>
      <c r="CU436" s="100" t="str">
        <f aca="false">IF(ISBLANK($C436),"",$D436)</f>
        <v/>
      </c>
      <c r="CV436" s="101" t="str">
        <f aca="false">$CJ436</f>
        <v/>
      </c>
      <c r="CW436" s="102" t="str">
        <f aca="false">$CI436</f>
        <v/>
      </c>
      <c r="CX436" s="100" t="str">
        <f aca="false">IF(ISBLANK($C436),"",$CL436)</f>
        <v/>
      </c>
      <c r="CY436" s="103" t="str">
        <f aca="false">IF($CP436&gt;$CO$8,"",VLOOKUP($CP436,$CR$9:$CX$508,7,FALSE()))</f>
        <v/>
      </c>
      <c r="CZ436" s="104" t="str">
        <f aca="false">IF($CP436&gt;$CO$8,"",VLOOKUP($CP436,$CR$9:$CX$508,2,FALSE()))</f>
        <v/>
      </c>
      <c r="DA436" s="104" t="str">
        <f aca="false">IF($CP436&gt;$CO$8,"",VLOOKUP($CP436,$CR$9:$CX$508,3,FALSE()))</f>
        <v/>
      </c>
      <c r="DB436" s="104" t="str">
        <f aca="false">IF($CP436&gt;$CO$8,"",VLOOKUP($CP436,$CR$9:$CX$508,4,FALSE()))</f>
        <v/>
      </c>
      <c r="DC436" s="104" t="str">
        <f aca="false">IF($CP436&gt;$CO$8,"",VLOOKUP($CP436,$CR$9:$CX$508,5,FALSE()))</f>
        <v/>
      </c>
      <c r="DD436" s="105" t="str">
        <f aca="false">IF($CP436&gt;$CO$8,"",VLOOKUP($CP436,$CR$9:$CX$508,6,FALSE()))</f>
        <v/>
      </c>
      <c r="DE436" s="70"/>
    </row>
    <row r="437" customFormat="false" ht="15.75" hidden="false" customHeight="false" outlineLevel="0" collapsed="false">
      <c r="A437" s="8"/>
      <c r="B437" s="72"/>
      <c r="C437" s="73"/>
      <c r="D437" s="155"/>
      <c r="E437" s="162"/>
      <c r="F437" s="157"/>
      <c r="G437" s="77"/>
      <c r="H437" s="77"/>
      <c r="I437" s="77"/>
      <c r="J437" s="163"/>
      <c r="K437" s="161"/>
      <c r="L437" s="161"/>
      <c r="M437" s="80"/>
      <c r="N437" s="161"/>
      <c r="O437" s="160"/>
      <c r="P437" s="161"/>
      <c r="Q437" s="161"/>
      <c r="R437" s="161"/>
      <c r="S437" s="77"/>
      <c r="T437" s="161"/>
      <c r="U437" s="160"/>
      <c r="V437" s="161"/>
      <c r="W437" s="85"/>
      <c r="X437" s="86" t="str">
        <f aca="false">IF(ISBLANK($C437),"",IF($E437=Constants!$B$2,TRUE(),IF($E437=Constants!$B$3,FALSE(),TRUE())))</f>
        <v/>
      </c>
      <c r="Y437" s="86" t="str">
        <f aca="false">IF(ISBLANK($C437),"",IF($F437=Constants!$B$2,TRUE(),IF($F437=Constants!$B$3,FALSE(),TRUE())))</f>
        <v/>
      </c>
      <c r="Z437" s="87" t="str">
        <f aca="false">IF(ISBLANK($C437),"",IF(ISNUMBER($G437),IF($G437&gt;=0,$G437,""),""))</f>
        <v/>
      </c>
      <c r="AA437" s="87" t="str">
        <f aca="false">IF(ISBLANK($C437),"",IF(ISNUMBER($H437),IF($H437&gt;=0,$H437,""),""))</f>
        <v/>
      </c>
      <c r="AB437" s="87" t="str">
        <f aca="false">IF(ISBLANK($C437),"",IF(ISNUMBER($I437),IF($I437&gt;=0,$I437,""),""))</f>
        <v/>
      </c>
      <c r="AC437" s="86" t="str">
        <f aca="false">IF(ISBLANK($C437),"",IF($J437=Constants!$B$2,TRUE(),IF($J437=Constants!$B$3,FALSE(),TRUE())))</f>
        <v/>
      </c>
      <c r="AD437" s="86" t="str">
        <f aca="false">IF(ISBLANK($C437),"",IF($K437=Constants!$B$2,TRUE(),IF($K437=Constants!$B$3,FALSE(),TRUE())))</f>
        <v/>
      </c>
      <c r="AE437" s="86" t="str">
        <f aca="false">IF(ISBLANK($C437),"",IF($L437=Constants!$B$2,TRUE(),IF($L437=Constants!$B$3,FALSE(),TRUE())))</f>
        <v/>
      </c>
      <c r="AF437" s="88" t="str">
        <f aca="false">IF(ISBLANK($C437),"",IF(ISNUMBER($M437),IF($M437&gt;=0,$M437,""),""))</f>
        <v/>
      </c>
      <c r="AG437" s="86" t="str">
        <f aca="false">IF(ISBLANK($C437),"",IF(ISBLANK($N437),0,IF(ISNUMBER($N437),IF(AND($N437&gt;=0,$N437&lt;=Constants!$B$17,$N437=INT($N437)),$N437,""),"")))</f>
        <v/>
      </c>
      <c r="AH437" s="87" t="str">
        <f aca="false">IF(ISBLANK($C437),"",IF(ISBLANK($O437),0,IF(ISNUMBER($O437),IF($O437&gt;=0,$O437,""),"")))</f>
        <v/>
      </c>
      <c r="AI437" s="86" t="str">
        <f aca="false">IF(ISBLANK($C437),"",IF($P437=Constants!$B$2,TRUE(),IF($P437=Constants!$B$3,FALSE(),TRUE())))</f>
        <v/>
      </c>
      <c r="AJ437" s="86" t="str">
        <f aca="false">IF(ISBLANK($C437),"",IF($Q437=Constants!$B$2,TRUE(),IF($Q437=Constants!$B$3,FALSE(),TRUE())))</f>
        <v/>
      </c>
      <c r="AK437" s="86" t="str">
        <f aca="false">IF(ISBLANK($C437),"",IF($R437=Constants!$B$2,TRUE(),IF($R437=Constants!$B$3,FALSE(),TRUE())))</f>
        <v/>
      </c>
      <c r="AL437" s="88" t="str">
        <f aca="false">IF(ISBLANK($C437),"",IF(ISNUMBER($S437),IF($S437&gt;=0,$S437,""),""))</f>
        <v/>
      </c>
      <c r="AM437" s="86" t="str">
        <f aca="false">IF(ISBLANK($C437),"",IF(ISBLANK($T437),0,IF(ISNUMBER($T437),IF(AND($T437&gt;=0,$T437&lt;=Constants!$B$17,$T437=INT($T437)),$T437,""),"")))</f>
        <v/>
      </c>
      <c r="AN437" s="87" t="str">
        <f aca="false">IF(ISBLANK($C437),"",IF(ISBLANK($U437),0,IF(ISNUMBER($U437),IF($U437&gt;=0,$U437,""),"")))</f>
        <v/>
      </c>
      <c r="AO437" s="86" t="str">
        <f aca="false">IF(ISBLANK($C437),"",IF($V437=Constants!$B$2,TRUE(),IF($V437=Constants!$B$3,FALSE(),FALSE())))</f>
        <v/>
      </c>
      <c r="AP437" s="86"/>
      <c r="AQ437" s="85" t="str">
        <f aca="false">IF(ISBLANK($C437),"",AND($Y437,OR($AS437,$BC437),OR($Z437="",$AA437="",$AB437="")))</f>
        <v/>
      </c>
      <c r="AR437" s="85" t="str">
        <f aca="false">IF(ISBLANK($C437),"",IF(OR(NOT($Y437),NOT(OR($AS437,$BC437))),"",IF(ISBLANK($D$7),$AR$5,IF($AP$9="",$AR$6,""))))</f>
        <v/>
      </c>
      <c r="AS437" s="85" t="str">
        <f aca="false">IF(ISBLANK($C437),"",COUNTA($J437:$O437)&gt;0)</f>
        <v/>
      </c>
      <c r="AT437" s="85" t="str">
        <f aca="false">IF(ISBLANK($C437),"",AND($AS437,OR(AND($AF437="",OR($AE437,NOT(ISBLANK($M437)))),$AG437="",$AH437="")))</f>
        <v/>
      </c>
      <c r="AU437" s="87" t="str">
        <f aca="false">IF($BL437&lt;&gt;Constants!$B$4,"",IF(NOT($AS437),"",ROUND((Constants!$B$12-$AB437)+(Constants!$B$13-$Z437)+(Constants!$B$14-$AA437),1)))</f>
        <v/>
      </c>
      <c r="AV437" s="90" t="str">
        <f aca="false">IF($BL437&lt;&gt;Constants!$B$4,"",IF(NOT($AS437),"",IF(NOT($AE437),0,Constants!$B$15*(INT(ROUND(MIN($AF437,$AP$9),6))-INT(ROUND(MAX(0,MIN($AF437,2*$AP$9)-$AP$9),6))))))</f>
        <v/>
      </c>
      <c r="AW437" s="90" t="str">
        <f aca="false">IF($BL437&lt;&gt;Constants!$B$4,"",IF(NOT($AS437),"",Constants!$B$16*$AG437))</f>
        <v/>
      </c>
      <c r="AX437" s="90" t="str">
        <f aca="false">IF($BL437&lt;&gt;Constants!$B$4,"",IF(NOT($AS437),"",Constants!$B$18*INT(ROUND($AH437,6))))</f>
        <v/>
      </c>
      <c r="AY437" s="85" t="str">
        <f aca="false">IF($BL437&lt;&gt;Constants!$B$4,"",IF(NOT($AS437),"",IF(NOT($X437),Constants!$B$11,IF(OR(NOT($AC437),NOT($AD437),ROUND($AB437,1)&gt;Constants!$B$12,ROUND($Z437,1)&gt;Constants!$B$13,ROUND($AA437,1)&gt;Constants!$B$14),Constants!$B$10,Constants!$B$9))))</f>
        <v/>
      </c>
      <c r="AZ437" s="91" t="str">
        <f aca="false">IF($BL437&lt;&gt;Constants!$B$4,"",IF(NOT($AS437),"",ROUND($AU437+$AV437+$AW437+$AX437,1)))</f>
        <v/>
      </c>
      <c r="BA437" s="92" t="str">
        <f aca="false">IF($BL437&lt;&gt;Constants!$B$4,"",IF(NOT($AS437),"",IF(ISNUMBER($AF437),$AF437,0)))</f>
        <v/>
      </c>
      <c r="BB437" s="86" t="str">
        <f aca="false">IF($BL437&lt;&gt;Constants!$B$4,"",IF(NOT($BC437),"&lt;-",IF(NOT($AS437),"-&gt;",IF(OR($BI437&lt;$AY437,AND($BI437=$AY437,OR($BJ437&gt;$AZ437,AND($BJ437=$AZ437,OR($BH437&gt;$AX437,AND($BH437=$AX437,OR($BE437&gt;$AU437,AND($BE437=$AU437,OR($BF437&gt;$AV437,AND($BF437=$AV437,$BK437&gt;$BA437)))))))))),"-&gt;","&lt;-"))))</f>
        <v/>
      </c>
      <c r="BC437" s="85" t="str">
        <f aca="false">IF(ISBLANK($C437),"",COUNTA($P437:$U437)&gt;0)</f>
        <v/>
      </c>
      <c r="BD437" s="85" t="str">
        <f aca="false">IF(ISBLANK($C437),"",AND($BC437,OR(AND($AL437="",OR($AK437,NOT(ISBLANK($S437)))),$AM437="",$AN437="")))</f>
        <v/>
      </c>
      <c r="BE437" s="87" t="str">
        <f aca="false">IF($BL437&lt;&gt;Constants!$B$4,"",IF(NOT($BC437),"",ROUND((Constants!$B$12-$AB437)+(Constants!$B$13-$Z437)+(Constants!$B$14-$AA437),1)))</f>
        <v/>
      </c>
      <c r="BF437" s="90" t="str">
        <f aca="false">IF($BL437&lt;&gt;Constants!$B$4,"",IF(NOT($BC437),"",IF(NOT($AK437),0,Constants!$B$15*(INT(ROUND(MIN($AL437,$AP$9),6))-INT(ROUND(MAX(0,MIN($AL437,2*$AP$9)-$AP$9),6))))))</f>
        <v/>
      </c>
      <c r="BG437" s="90" t="str">
        <f aca="false">IF($BL437&lt;&gt;Constants!$B$4,"",IF(NOT($BC437),"",Constants!$B$16*$AM437))</f>
        <v/>
      </c>
      <c r="BH437" s="90" t="str">
        <f aca="false">IF($BL437&lt;&gt;Constants!$B$4,"",IF(NOT($BC437),"",Constants!$B$18*INT(ROUND($AN437,6))))</f>
        <v/>
      </c>
      <c r="BI437" s="85" t="str">
        <f aca="false">IF($BL437&lt;&gt;Constants!$B$4,"",IF(NOT($BC437),"",IF(NOT($X437),Constants!$B$11,IF(OR(NOT($AI437),NOT($AJ437),ROUND($AB437,1)&gt;Constants!$B$12,ROUND($Z437,1)&gt;Constants!$B$13,ROUND($AA437,1)&gt;Constants!$B$14),Constants!$B$10,Constants!$B$9))))</f>
        <v/>
      </c>
      <c r="BJ437" s="91" t="str">
        <f aca="false">IF($BL437&lt;&gt;Constants!$B$4,"",IF(NOT($BC437),"",ROUND($BE437+$BF437+$BG437+$BH437,1)))</f>
        <v/>
      </c>
      <c r="BK437" s="92" t="str">
        <f aca="false">IF($BL437&lt;&gt;Constants!$B$4,"",IF(NOT($BC437),"",IF(ISNUMBER($AL437),$AL437,0)))</f>
        <v/>
      </c>
      <c r="BL437" s="86" t="str">
        <f aca="false">IF(ISBLANK($C437),"",IF($AO437,Constants!$B$7,IF(COUNTA($E437:$V437)=0,Constants!$B$6,IF(NOT($Y437),Constants!$B$5,IF(NOT(OR($AS437,$BC437)),Constants!$B$5,IF(OR($AT437,$BD437,$AQ437,$AR437&lt;&gt;""),Constants!$B$8,Constants!$B$4))))))</f>
        <v/>
      </c>
      <c r="BM437" s="86" t="str">
        <f aca="false">IF(ISBLANK($C437),"",IF($BL437&lt;&gt;Constants!$B$4,$BL437,IF($BB437="-&gt;",$BI437,$AY437)))</f>
        <v/>
      </c>
      <c r="BN437" s="90" t="str">
        <f aca="false">IF($BL437&lt;&gt;Constants!$B$4,"",IF($BB437="-&gt;",$BJ437,$AZ437))</f>
        <v/>
      </c>
      <c r="BO437" s="90" t="str">
        <f aca="false">IF(ISBLANK($C437),"",IF($BL437&lt;&gt;Constants!$B$4,$BL437,$BN437))</f>
        <v/>
      </c>
      <c r="BP437" s="86" t="str">
        <f aca="false">IF(ISBLANK($C437),"",IF($BL437&lt;&gt;Constants!$B$4,$BL437,RANK($BO437,$BO$9:$BO$508,0)))</f>
        <v/>
      </c>
      <c r="BQ437" s="86" t="str">
        <f aca="false">IF(ISBLANK($C437),"",IF($BL437&lt;&gt;Constants!$B$4,$BL437,COUNTIFS($BM$9:$BM$508,"&lt;"&amp;$BM437)+COUNTIFS($BM$9:$BM$508,$BM437,$BP$9:$BP$508,"&lt;"&amp;$BP437)+1))</f>
        <v/>
      </c>
      <c r="BR437" s="90" t="str">
        <f aca="false">IF($BL437&lt;&gt;Constants!$B$4,"",IF($BB437="-&gt;",$BH437,$AX437))</f>
        <v/>
      </c>
      <c r="BS437" s="86" t="str">
        <f aca="false">IF(ISBLANK($C437),"",IF($BL437&lt;&gt;Constants!$B$4,$BL437,IF(ISNUMBER($BR437),RANK($BR437,$BR$9:$BR$508,0),COUNT($BR$9:$BR$508)+1)))</f>
        <v/>
      </c>
      <c r="BT437" s="90" t="str">
        <f aca="false">IF($BL437&lt;&gt;Constants!$B$4,"",IF($BB437="-&gt;",$BE437,$AU437))</f>
        <v/>
      </c>
      <c r="BU437" s="86" t="str">
        <f aca="false">IF(ISBLANK($C437),"",IF($BL437&lt;&gt;Constants!$B$4,$BL437,IF(ISNUMBER($BT437),RANK($BT437,$BT$9:$BT$508,0),COUNT($BT$9:$BT$508)+1)))</f>
        <v/>
      </c>
      <c r="BV437" s="90" t="str">
        <f aca="false">IF($BL437&lt;&gt;Constants!$B$4,"",IF($BB437="-&gt;",$BF437,$AV437))</f>
        <v/>
      </c>
      <c r="BW437" s="86" t="str">
        <f aca="false">IF(ISBLANK($C437),"",IF($BL437&lt;&gt;Constants!$B$4,$BL437,IF(ISNUMBER($BV437),RANK($BV437,$BV$9:$BV$508,0),COUNT($BV$9:$BV$508)+1)))</f>
        <v/>
      </c>
      <c r="BX437" s="90" t="str">
        <f aca="false">IF($BL437&lt;&gt;Constants!$B$4,"",IF($BB437="-&gt;",$BK437,$BA437))</f>
        <v/>
      </c>
      <c r="BY437" s="86" t="str">
        <f aca="false">IF(ISBLANK($C437),"",IF($BL437&lt;&gt;Constants!$B$4,$BL437,IF(ISNUMBER($BX437),RANK($BX437,$BX$9:$BX$508,0),COUNT($BX$9:$BX$508)+1)))</f>
        <v/>
      </c>
      <c r="BZ437" s="86" t="str">
        <f aca="false">IF(ISBLANK($C437),"",IF($BL437&lt;&gt;Constants!$B$4,$BL437,COUNTIFS($BM$9:$BM$508,"&lt;"&amp;$BM437)+COUNTIFS($BM$9:$BM$508,$BM437,$BP$9:$BP$508,"&lt;"&amp;$BP437)+COUNTIFS($BM$9:$BM$508,$BM437,$BP$9:$BP$508,$BP437,$BS$9:$BS$508,"&lt;"&amp;$BS437)+COUNTIFS($BM$9:$BM$508,$BM437,$BP$9:$BP$508,$BP437,$BS$9:$BS$508,$BS437,$BU$9:$BU$508,"&lt;"&amp;$BU437)+COUNTIFS($BM$9:$BM$508,$BM437,$BP$9:$BP$508,$BP437,$BS$9:$BS$508,$BS437,$BU$9:$BU$508,$BU437,$BW$9:$BW$508,"&lt;"&amp;$BW437)+COUNTIFS($BM$9:$BM$508,$BM437,$BP$9:$BP$508,$BP437,$BS$9:$BS$508,$BS437,$BU$9:$BU$508,$BU437,$BW$9:$BW$508,$BW437,$BY$9:$BY$508,"&lt;"&amp;$BY437)+1))</f>
        <v/>
      </c>
      <c r="CA437" s="86" t="str">
        <f aca="false">IF(ISBLANK($C437),"",IF($BL437&lt;&gt;Constants!$B$4,$BL437,$BQ437-$BZ437))</f>
        <v/>
      </c>
      <c r="CB437" s="93"/>
      <c r="CC437" s="94" t="str">
        <f aca="false">IF(ISBLANK($C437),"",IF($BL437=Constants!$B$8,$AR437,""))</f>
        <v/>
      </c>
      <c r="CD437" s="94" t="str">
        <f aca="false">IF(ISBLANK($C437),"",IF($BL437&lt;&gt;Constants!$B$4,"",IF($BB437="-&gt;",2,1)))</f>
        <v/>
      </c>
      <c r="CE437" s="95" t="str">
        <f aca="false">IF(ISBLANK($C437),"",IF($BL437&lt;&gt;Constants!$B$4,"",IF($BB437="-&gt;",$BE437,$AU437)))</f>
        <v/>
      </c>
      <c r="CF437" s="95" t="str">
        <f aca="false">IF(ISBLANK($C437),"",IF($BL437&lt;&gt;Constants!$B$4,"",IF($BB437="-&gt;",$BF437,$AV437)))</f>
        <v/>
      </c>
      <c r="CG437" s="95" t="str">
        <f aca="false">IF(ISBLANK($C437),"",IF($BL437&lt;&gt;Constants!$B$4,"",IF($BB437="-&gt;",$BG437,$AW437)))</f>
        <v/>
      </c>
      <c r="CH437" s="95" t="str">
        <f aca="false">IF(ISBLANK($C437),"",IF($BL437&lt;&gt;Constants!$B$4,"",IF($BB437="-&gt;",$BH437,$AX437)))</f>
        <v/>
      </c>
      <c r="CI437" s="96" t="str">
        <f aca="false">IF(ISBLANK($C437),"",$BO437)</f>
        <v/>
      </c>
      <c r="CJ437" s="97" t="str">
        <f aca="false">IF(ISBLANK($C437),"",$BM437)</f>
        <v/>
      </c>
      <c r="CK437" s="98" t="str">
        <f aca="false">IF(ISBLANK($C437),"",$CA437)</f>
        <v/>
      </c>
      <c r="CL437" s="98" t="str">
        <f aca="false">IF(ISBLANK($C437),"",$BZ437)</f>
        <v/>
      </c>
      <c r="CM437" s="99" t="str">
        <f aca="false">IF(ISBLANK($C437),"",IF($CL437=Constants!$B$7,COUNTA($C$9:$C$508)+2,IF($CL437=Constants!$B$6,COUNTA($C$9:$C$508)+1,IF($CL437=Constants!$B$5,COUNTA($C$9:$C$508),$CL437))))</f>
        <v/>
      </c>
      <c r="CN437" s="8"/>
      <c r="CO437" s="100" t="n">
        <f aca="false">IF(OR(ISNUMBER($CL437),$CL437=Constants!$B$7,$CL437=Constants!$B$5,$CL437=Constants!$B$6),1,0)</f>
        <v>0</v>
      </c>
      <c r="CP437" s="100" t="n">
        <v>429</v>
      </c>
      <c r="CQ437" s="100" t="str">
        <f aca="false">IF(ISBLANK($C437),"",IF(ISNUMBER($CM437),$CM437+ROW($B437)/1000,""))</f>
        <v/>
      </c>
      <c r="CR437" s="100" t="str">
        <f aca="false">IF(ISNUMBER($CQ437),RANK($CQ437,$CQ$9:$CQ$508,1),"")</f>
        <v/>
      </c>
      <c r="CS437" s="100" t="str">
        <f aca="false">IF(ISBLANK($C437),"",$B437)</f>
        <v/>
      </c>
      <c r="CT437" s="100" t="str">
        <f aca="false">IF(ISBLANK($C437),"",$C437)</f>
        <v/>
      </c>
      <c r="CU437" s="100" t="str">
        <f aca="false">IF(ISBLANK($C437),"",$D437)</f>
        <v/>
      </c>
      <c r="CV437" s="101" t="str">
        <f aca="false">$CJ437</f>
        <v/>
      </c>
      <c r="CW437" s="102" t="str">
        <f aca="false">$CI437</f>
        <v/>
      </c>
      <c r="CX437" s="100" t="str">
        <f aca="false">IF(ISBLANK($C437),"",$CL437)</f>
        <v/>
      </c>
      <c r="CY437" s="103" t="str">
        <f aca="false">IF($CP437&gt;$CO$8,"",VLOOKUP($CP437,$CR$9:$CX$508,7,FALSE()))</f>
        <v/>
      </c>
      <c r="CZ437" s="104" t="str">
        <f aca="false">IF($CP437&gt;$CO$8,"",VLOOKUP($CP437,$CR$9:$CX$508,2,FALSE()))</f>
        <v/>
      </c>
      <c r="DA437" s="104" t="str">
        <f aca="false">IF($CP437&gt;$CO$8,"",VLOOKUP($CP437,$CR$9:$CX$508,3,FALSE()))</f>
        <v/>
      </c>
      <c r="DB437" s="104" t="str">
        <f aca="false">IF($CP437&gt;$CO$8,"",VLOOKUP($CP437,$CR$9:$CX$508,4,FALSE()))</f>
        <v/>
      </c>
      <c r="DC437" s="104" t="str">
        <f aca="false">IF($CP437&gt;$CO$8,"",VLOOKUP($CP437,$CR$9:$CX$508,5,FALSE()))</f>
        <v/>
      </c>
      <c r="DD437" s="105" t="str">
        <f aca="false">IF($CP437&gt;$CO$8,"",VLOOKUP($CP437,$CR$9:$CX$508,6,FALSE()))</f>
        <v/>
      </c>
      <c r="DE437" s="70"/>
    </row>
    <row r="438" customFormat="false" ht="15.75" hidden="false" customHeight="false" outlineLevel="0" collapsed="false">
      <c r="A438" s="8"/>
      <c r="B438" s="146"/>
      <c r="C438" s="147"/>
      <c r="D438" s="148"/>
      <c r="E438" s="164"/>
      <c r="F438" s="150"/>
      <c r="G438" s="115"/>
      <c r="H438" s="115"/>
      <c r="I438" s="115"/>
      <c r="J438" s="165"/>
      <c r="K438" s="154"/>
      <c r="L438" s="154"/>
      <c r="M438" s="118"/>
      <c r="N438" s="154"/>
      <c r="O438" s="153"/>
      <c r="P438" s="154"/>
      <c r="Q438" s="154"/>
      <c r="R438" s="154"/>
      <c r="S438" s="115"/>
      <c r="T438" s="154"/>
      <c r="U438" s="153"/>
      <c r="V438" s="154"/>
      <c r="W438" s="123"/>
      <c r="X438" s="124" t="str">
        <f aca="false">IF(ISBLANK($C438),"",IF($E438=Constants!$B$2,TRUE(),IF($E438=Constants!$B$3,FALSE(),TRUE())))</f>
        <v/>
      </c>
      <c r="Y438" s="124" t="str">
        <f aca="false">IF(ISBLANK($C438),"",IF($F438=Constants!$B$2,TRUE(),IF($F438=Constants!$B$3,FALSE(),TRUE())))</f>
        <v/>
      </c>
      <c r="Z438" s="125" t="str">
        <f aca="false">IF(ISBLANK($C438),"",IF(ISNUMBER($G438),IF($G438&gt;=0,$G438,""),""))</f>
        <v/>
      </c>
      <c r="AA438" s="125" t="str">
        <f aca="false">IF(ISBLANK($C438),"",IF(ISNUMBER($H438),IF($H438&gt;=0,$H438,""),""))</f>
        <v/>
      </c>
      <c r="AB438" s="125" t="str">
        <f aca="false">IF(ISBLANK($C438),"",IF(ISNUMBER($I438),IF($I438&gt;=0,$I438,""),""))</f>
        <v/>
      </c>
      <c r="AC438" s="124" t="str">
        <f aca="false">IF(ISBLANK($C438),"",IF($J438=Constants!$B$2,TRUE(),IF($J438=Constants!$B$3,FALSE(),TRUE())))</f>
        <v/>
      </c>
      <c r="AD438" s="124" t="str">
        <f aca="false">IF(ISBLANK($C438),"",IF($K438=Constants!$B$2,TRUE(),IF($K438=Constants!$B$3,FALSE(),TRUE())))</f>
        <v/>
      </c>
      <c r="AE438" s="124" t="str">
        <f aca="false">IF(ISBLANK($C438),"",IF($L438=Constants!$B$2,TRUE(),IF($L438=Constants!$B$3,FALSE(),TRUE())))</f>
        <v/>
      </c>
      <c r="AF438" s="126" t="str">
        <f aca="false">IF(ISBLANK($C438),"",IF(ISNUMBER($M438),IF($M438&gt;=0,$M438,""),""))</f>
        <v/>
      </c>
      <c r="AG438" s="124" t="str">
        <f aca="false">IF(ISBLANK($C438),"",IF(ISBLANK($N438),0,IF(ISNUMBER($N438),IF(AND($N438&gt;=0,$N438&lt;=Constants!$B$17,$N438=INT($N438)),$N438,""),"")))</f>
        <v/>
      </c>
      <c r="AH438" s="125" t="str">
        <f aca="false">IF(ISBLANK($C438),"",IF(ISBLANK($O438),0,IF(ISNUMBER($O438),IF($O438&gt;=0,$O438,""),"")))</f>
        <v/>
      </c>
      <c r="AI438" s="124" t="str">
        <f aca="false">IF(ISBLANK($C438),"",IF($P438=Constants!$B$2,TRUE(),IF($P438=Constants!$B$3,FALSE(),TRUE())))</f>
        <v/>
      </c>
      <c r="AJ438" s="124" t="str">
        <f aca="false">IF(ISBLANK($C438),"",IF($Q438=Constants!$B$2,TRUE(),IF($Q438=Constants!$B$3,FALSE(),TRUE())))</f>
        <v/>
      </c>
      <c r="AK438" s="124" t="str">
        <f aca="false">IF(ISBLANK($C438),"",IF($R438=Constants!$B$2,TRUE(),IF($R438=Constants!$B$3,FALSE(),TRUE())))</f>
        <v/>
      </c>
      <c r="AL438" s="126" t="str">
        <f aca="false">IF(ISBLANK($C438),"",IF(ISNUMBER($S438),IF($S438&gt;=0,$S438,""),""))</f>
        <v/>
      </c>
      <c r="AM438" s="124" t="str">
        <f aca="false">IF(ISBLANK($C438),"",IF(ISBLANK($T438),0,IF(ISNUMBER($T438),IF(AND($T438&gt;=0,$T438&lt;=Constants!$B$17,$T438=INT($T438)),$T438,""),"")))</f>
        <v/>
      </c>
      <c r="AN438" s="125" t="str">
        <f aca="false">IF(ISBLANK($C438),"",IF(ISBLANK($U438),0,IF(ISNUMBER($U438),IF($U438&gt;=0,$U438,""),"")))</f>
        <v/>
      </c>
      <c r="AO438" s="124" t="str">
        <f aca="false">IF(ISBLANK($C438),"",IF($V438=Constants!$B$2,TRUE(),IF($V438=Constants!$B$3,FALSE(),FALSE())))</f>
        <v/>
      </c>
      <c r="AP438" s="124"/>
      <c r="AQ438" s="123" t="str">
        <f aca="false">IF(ISBLANK($C438),"",AND($Y438,OR($AS438,$BC438),OR($Z438="",$AA438="",$AB438="")))</f>
        <v/>
      </c>
      <c r="AR438" s="123" t="str">
        <f aca="false">IF(ISBLANK($C438),"",IF(OR(NOT($Y438),NOT(OR($AS438,$BC438))),"",IF(ISBLANK($D$7),$AR$5,IF($AP$9="",$AR$6,""))))</f>
        <v/>
      </c>
      <c r="AS438" s="123" t="str">
        <f aca="false">IF(ISBLANK($C438),"",COUNTA($J438:$O438)&gt;0)</f>
        <v/>
      </c>
      <c r="AT438" s="123" t="str">
        <f aca="false">IF(ISBLANK($C438),"",AND($AS438,OR(AND($AF438="",OR($AE438,NOT(ISBLANK($M438)))),$AG438="",$AH438="")))</f>
        <v/>
      </c>
      <c r="AU438" s="125" t="str">
        <f aca="false">IF($BL438&lt;&gt;Constants!$B$4,"",IF(NOT($AS438),"",ROUND((Constants!$B$12-$AB438)+(Constants!$B$13-$Z438)+(Constants!$B$14-$AA438),1)))</f>
        <v/>
      </c>
      <c r="AV438" s="127" t="str">
        <f aca="false">IF($BL438&lt;&gt;Constants!$B$4,"",IF(NOT($AS438),"",IF(NOT($AE438),0,Constants!$B$15*(INT(ROUND(MIN($AF438,$AP$9),6))-INT(ROUND(MAX(0,MIN($AF438,2*$AP$9)-$AP$9),6))))))</f>
        <v/>
      </c>
      <c r="AW438" s="127" t="str">
        <f aca="false">IF($BL438&lt;&gt;Constants!$B$4,"",IF(NOT($AS438),"",Constants!$B$16*$AG438))</f>
        <v/>
      </c>
      <c r="AX438" s="127" t="str">
        <f aca="false">IF($BL438&lt;&gt;Constants!$B$4,"",IF(NOT($AS438),"",Constants!$B$18*INT(ROUND($AH438,6))))</f>
        <v/>
      </c>
      <c r="AY438" s="123" t="str">
        <f aca="false">IF($BL438&lt;&gt;Constants!$B$4,"",IF(NOT($AS438),"",IF(NOT($X438),Constants!$B$11,IF(OR(NOT($AC438),NOT($AD438),ROUND($AB438,1)&gt;Constants!$B$12,ROUND($Z438,1)&gt;Constants!$B$13,ROUND($AA438,1)&gt;Constants!$B$14),Constants!$B$10,Constants!$B$9))))</f>
        <v/>
      </c>
      <c r="AZ438" s="128" t="str">
        <f aca="false">IF($BL438&lt;&gt;Constants!$B$4,"",IF(NOT($AS438),"",ROUND($AU438+$AV438+$AW438+$AX438,1)))</f>
        <v/>
      </c>
      <c r="BA438" s="129" t="str">
        <f aca="false">IF($BL438&lt;&gt;Constants!$B$4,"",IF(NOT($AS438),"",IF(ISNUMBER($AF438),$AF438,0)))</f>
        <v/>
      </c>
      <c r="BB438" s="124" t="str">
        <f aca="false">IF($BL438&lt;&gt;Constants!$B$4,"",IF(NOT($BC438),"&lt;-",IF(NOT($AS438),"-&gt;",IF(OR($BI438&lt;$AY438,AND($BI438=$AY438,OR($BJ438&gt;$AZ438,AND($BJ438=$AZ438,OR($BH438&gt;$AX438,AND($BH438=$AX438,OR($BE438&gt;$AU438,AND($BE438=$AU438,OR($BF438&gt;$AV438,AND($BF438=$AV438,$BK438&gt;$BA438)))))))))),"-&gt;","&lt;-"))))</f>
        <v/>
      </c>
      <c r="BC438" s="123" t="str">
        <f aca="false">IF(ISBLANK($C438),"",COUNTA($P438:$U438)&gt;0)</f>
        <v/>
      </c>
      <c r="BD438" s="123" t="str">
        <f aca="false">IF(ISBLANK($C438),"",AND($BC438,OR(AND($AL438="",OR($AK438,NOT(ISBLANK($S438)))),$AM438="",$AN438="")))</f>
        <v/>
      </c>
      <c r="BE438" s="125" t="str">
        <f aca="false">IF($BL438&lt;&gt;Constants!$B$4,"",IF(NOT($BC438),"",ROUND((Constants!$B$12-$AB438)+(Constants!$B$13-$Z438)+(Constants!$B$14-$AA438),1)))</f>
        <v/>
      </c>
      <c r="BF438" s="127" t="str">
        <f aca="false">IF($BL438&lt;&gt;Constants!$B$4,"",IF(NOT($BC438),"",IF(NOT($AK438),0,Constants!$B$15*(INT(ROUND(MIN($AL438,$AP$9),6))-INT(ROUND(MAX(0,MIN($AL438,2*$AP$9)-$AP$9),6))))))</f>
        <v/>
      </c>
      <c r="BG438" s="127" t="str">
        <f aca="false">IF($BL438&lt;&gt;Constants!$B$4,"",IF(NOT($BC438),"",Constants!$B$16*$AM438))</f>
        <v/>
      </c>
      <c r="BH438" s="127" t="str">
        <f aca="false">IF($BL438&lt;&gt;Constants!$B$4,"",IF(NOT($BC438),"",Constants!$B$18*INT(ROUND($AN438,6))))</f>
        <v/>
      </c>
      <c r="BI438" s="123" t="str">
        <f aca="false">IF($BL438&lt;&gt;Constants!$B$4,"",IF(NOT($BC438),"",IF(NOT($X438),Constants!$B$11,IF(OR(NOT($AI438),NOT($AJ438),ROUND($AB438,1)&gt;Constants!$B$12,ROUND($Z438,1)&gt;Constants!$B$13,ROUND($AA438,1)&gt;Constants!$B$14),Constants!$B$10,Constants!$B$9))))</f>
        <v/>
      </c>
      <c r="BJ438" s="128" t="str">
        <f aca="false">IF($BL438&lt;&gt;Constants!$B$4,"",IF(NOT($BC438),"",ROUND($BE438+$BF438+$BG438+$BH438,1)))</f>
        <v/>
      </c>
      <c r="BK438" s="129" t="str">
        <f aca="false">IF($BL438&lt;&gt;Constants!$B$4,"",IF(NOT($BC438),"",IF(ISNUMBER($AL438),$AL438,0)))</f>
        <v/>
      </c>
      <c r="BL438" s="124" t="str">
        <f aca="false">IF(ISBLANK($C438),"",IF($AO438,Constants!$B$7,IF(COUNTA($E438:$V438)=0,Constants!$B$6,IF(NOT($Y438),Constants!$B$5,IF(NOT(OR($AS438,$BC438)),Constants!$B$5,IF(OR($AT438,$BD438,$AQ438,$AR438&lt;&gt;""),Constants!$B$8,Constants!$B$4))))))</f>
        <v/>
      </c>
      <c r="BM438" s="124" t="str">
        <f aca="false">IF(ISBLANK($C438),"",IF($BL438&lt;&gt;Constants!$B$4,$BL438,IF($BB438="-&gt;",$BI438,$AY438)))</f>
        <v/>
      </c>
      <c r="BN438" s="127" t="str">
        <f aca="false">IF($BL438&lt;&gt;Constants!$B$4,"",IF($BB438="-&gt;",$BJ438,$AZ438))</f>
        <v/>
      </c>
      <c r="BO438" s="127" t="str">
        <f aca="false">IF(ISBLANK($C438),"",IF($BL438&lt;&gt;Constants!$B$4,$BL438,$BN438))</f>
        <v/>
      </c>
      <c r="BP438" s="124" t="str">
        <f aca="false">IF(ISBLANK($C438),"",IF($BL438&lt;&gt;Constants!$B$4,$BL438,RANK($BO438,$BO$9:$BO$508,0)))</f>
        <v/>
      </c>
      <c r="BQ438" s="124" t="str">
        <f aca="false">IF(ISBLANK($C438),"",IF($BL438&lt;&gt;Constants!$B$4,$BL438,COUNTIFS($BM$9:$BM$508,"&lt;"&amp;$BM438)+COUNTIFS($BM$9:$BM$508,$BM438,$BP$9:$BP$508,"&lt;"&amp;$BP438)+1))</f>
        <v/>
      </c>
      <c r="BR438" s="127" t="str">
        <f aca="false">IF($BL438&lt;&gt;Constants!$B$4,"",IF($BB438="-&gt;",$BH438,$AX438))</f>
        <v/>
      </c>
      <c r="BS438" s="124" t="str">
        <f aca="false">IF(ISBLANK($C438),"",IF($BL438&lt;&gt;Constants!$B$4,$BL438,IF(ISNUMBER($BR438),RANK($BR438,$BR$9:$BR$508,0),COUNT($BR$9:$BR$508)+1)))</f>
        <v/>
      </c>
      <c r="BT438" s="127" t="str">
        <f aca="false">IF($BL438&lt;&gt;Constants!$B$4,"",IF($BB438="-&gt;",$BE438,$AU438))</f>
        <v/>
      </c>
      <c r="BU438" s="124" t="str">
        <f aca="false">IF(ISBLANK($C438),"",IF($BL438&lt;&gt;Constants!$B$4,$BL438,IF(ISNUMBER($BT438),RANK($BT438,$BT$9:$BT$508,0),COUNT($BT$9:$BT$508)+1)))</f>
        <v/>
      </c>
      <c r="BV438" s="127" t="str">
        <f aca="false">IF($BL438&lt;&gt;Constants!$B$4,"",IF($BB438="-&gt;",$BF438,$AV438))</f>
        <v/>
      </c>
      <c r="BW438" s="124" t="str">
        <f aca="false">IF(ISBLANK($C438),"",IF($BL438&lt;&gt;Constants!$B$4,$BL438,IF(ISNUMBER($BV438),RANK($BV438,$BV$9:$BV$508,0),COUNT($BV$9:$BV$508)+1)))</f>
        <v/>
      </c>
      <c r="BX438" s="127" t="str">
        <f aca="false">IF($BL438&lt;&gt;Constants!$B$4,"",IF($BB438="-&gt;",$BK438,$BA438))</f>
        <v/>
      </c>
      <c r="BY438" s="124" t="str">
        <f aca="false">IF(ISBLANK($C438),"",IF($BL438&lt;&gt;Constants!$B$4,$BL438,IF(ISNUMBER($BX438),RANK($BX438,$BX$9:$BX$508,0),COUNT($BX$9:$BX$508)+1)))</f>
        <v/>
      </c>
      <c r="BZ438" s="124" t="str">
        <f aca="false">IF(ISBLANK($C438),"",IF($BL438&lt;&gt;Constants!$B$4,$BL438,COUNTIFS($BM$9:$BM$508,"&lt;"&amp;$BM438)+COUNTIFS($BM$9:$BM$508,$BM438,$BP$9:$BP$508,"&lt;"&amp;$BP438)+COUNTIFS($BM$9:$BM$508,$BM438,$BP$9:$BP$508,$BP438,$BS$9:$BS$508,"&lt;"&amp;$BS438)+COUNTIFS($BM$9:$BM$508,$BM438,$BP$9:$BP$508,$BP438,$BS$9:$BS$508,$BS438,$BU$9:$BU$508,"&lt;"&amp;$BU438)+COUNTIFS($BM$9:$BM$508,$BM438,$BP$9:$BP$508,$BP438,$BS$9:$BS$508,$BS438,$BU$9:$BU$508,$BU438,$BW$9:$BW$508,"&lt;"&amp;$BW438)+COUNTIFS($BM$9:$BM$508,$BM438,$BP$9:$BP$508,$BP438,$BS$9:$BS$508,$BS438,$BU$9:$BU$508,$BU438,$BW$9:$BW$508,$BW438,$BY$9:$BY$508,"&lt;"&amp;$BY438)+1))</f>
        <v/>
      </c>
      <c r="CA438" s="124" t="str">
        <f aca="false">IF(ISBLANK($C438),"",IF($BL438&lt;&gt;Constants!$B$4,$BL438,$BQ438-$BZ438))</f>
        <v/>
      </c>
      <c r="CB438" s="130"/>
      <c r="CC438" s="131" t="str">
        <f aca="false">IF(ISBLANK($C438),"",IF($BL438=Constants!$B$8,$AR438,""))</f>
        <v/>
      </c>
      <c r="CD438" s="131" t="str">
        <f aca="false">IF(ISBLANK($C438),"",IF($BL438&lt;&gt;Constants!$B$4,"",IF($BB438="-&gt;",2,1)))</f>
        <v/>
      </c>
      <c r="CE438" s="132" t="str">
        <f aca="false">IF(ISBLANK($C438),"",IF($BL438&lt;&gt;Constants!$B$4,"",IF($BB438="-&gt;",$BE438,$AU438)))</f>
        <v/>
      </c>
      <c r="CF438" s="132" t="str">
        <f aca="false">IF(ISBLANK($C438),"",IF($BL438&lt;&gt;Constants!$B$4,"",IF($BB438="-&gt;",$BF438,$AV438)))</f>
        <v/>
      </c>
      <c r="CG438" s="132" t="str">
        <f aca="false">IF(ISBLANK($C438),"",IF($BL438&lt;&gt;Constants!$B$4,"",IF($BB438="-&gt;",$BG438,$AW438)))</f>
        <v/>
      </c>
      <c r="CH438" s="132" t="str">
        <f aca="false">IF(ISBLANK($C438),"",IF($BL438&lt;&gt;Constants!$B$4,"",IF($BB438="-&gt;",$BH438,$AX438)))</f>
        <v/>
      </c>
      <c r="CI438" s="133" t="str">
        <f aca="false">IF(ISBLANK($C438),"",$BO438)</f>
        <v/>
      </c>
      <c r="CJ438" s="134" t="str">
        <f aca="false">IF(ISBLANK($C438),"",$BM438)</f>
        <v/>
      </c>
      <c r="CK438" s="135" t="str">
        <f aca="false">IF(ISBLANK($C438),"",$CA438)</f>
        <v/>
      </c>
      <c r="CL438" s="135" t="str">
        <f aca="false">IF(ISBLANK($C438),"",$BZ438)</f>
        <v/>
      </c>
      <c r="CM438" s="136" t="str">
        <f aca="false">IF(ISBLANK($C438),"",IF($CL438=Constants!$B$7,COUNTA($C$9:$C$508)+2,IF($CL438=Constants!$B$6,COUNTA($C$9:$C$508)+1,IF($CL438=Constants!$B$5,COUNTA($C$9:$C$508),$CL438))))</f>
        <v/>
      </c>
      <c r="CN438" s="8"/>
      <c r="CO438" s="137" t="n">
        <f aca="false">IF(OR(ISNUMBER($CL438),$CL438=Constants!$B$7,$CL438=Constants!$B$5,$CL438=Constants!$B$6),1,0)</f>
        <v>0</v>
      </c>
      <c r="CP438" s="137" t="n">
        <v>430</v>
      </c>
      <c r="CQ438" s="137" t="str">
        <f aca="false">IF(ISBLANK($C438),"",IF(ISNUMBER($CM438),$CM438+ROW($B438)/1000,""))</f>
        <v/>
      </c>
      <c r="CR438" s="137" t="str">
        <f aca="false">IF(ISNUMBER($CQ438),RANK($CQ438,$CQ$9:$CQ$508,1),"")</f>
        <v/>
      </c>
      <c r="CS438" s="137" t="str">
        <f aca="false">IF(ISBLANK($C438),"",$B438)</f>
        <v/>
      </c>
      <c r="CT438" s="137" t="str">
        <f aca="false">IF(ISBLANK($C438),"",$C438)</f>
        <v/>
      </c>
      <c r="CU438" s="137" t="str">
        <f aca="false">IF(ISBLANK($C438),"",$D438)</f>
        <v/>
      </c>
      <c r="CV438" s="138" t="str">
        <f aca="false">$CJ438</f>
        <v/>
      </c>
      <c r="CW438" s="139" t="str">
        <f aca="false">$CI438</f>
        <v/>
      </c>
      <c r="CX438" s="137" t="str">
        <f aca="false">IF(ISBLANK($C438),"",$CL438)</f>
        <v/>
      </c>
      <c r="CY438" s="140" t="str">
        <f aca="false">IF($CP438&gt;$CO$8,"",VLOOKUP($CP438,$CR$9:$CX$508,7,FALSE()))</f>
        <v/>
      </c>
      <c r="CZ438" s="141" t="str">
        <f aca="false">IF($CP438&gt;$CO$8,"",VLOOKUP($CP438,$CR$9:$CX$508,2,FALSE()))</f>
        <v/>
      </c>
      <c r="DA438" s="141" t="str">
        <f aca="false">IF($CP438&gt;$CO$8,"",VLOOKUP($CP438,$CR$9:$CX$508,3,FALSE()))</f>
        <v/>
      </c>
      <c r="DB438" s="141" t="str">
        <f aca="false">IF($CP438&gt;$CO$8,"",VLOOKUP($CP438,$CR$9:$CX$508,4,FALSE()))</f>
        <v/>
      </c>
      <c r="DC438" s="141" t="str">
        <f aca="false">IF($CP438&gt;$CO$8,"",VLOOKUP($CP438,$CR$9:$CX$508,5,FALSE()))</f>
        <v/>
      </c>
      <c r="DD438" s="142" t="str">
        <f aca="false">IF($CP438&gt;$CO$8,"",VLOOKUP($CP438,$CR$9:$CX$508,6,FALSE()))</f>
        <v/>
      </c>
      <c r="DE438" s="70"/>
    </row>
    <row r="439" customFormat="false" ht="15.75" hidden="false" customHeight="false" outlineLevel="0" collapsed="false">
      <c r="A439" s="8"/>
      <c r="B439" s="146"/>
      <c r="C439" s="147"/>
      <c r="D439" s="148"/>
      <c r="E439" s="164"/>
      <c r="F439" s="150"/>
      <c r="G439" s="115"/>
      <c r="H439" s="115"/>
      <c r="I439" s="115"/>
      <c r="J439" s="165"/>
      <c r="K439" s="154"/>
      <c r="L439" s="154"/>
      <c r="M439" s="118"/>
      <c r="N439" s="154"/>
      <c r="O439" s="153"/>
      <c r="P439" s="154"/>
      <c r="Q439" s="154"/>
      <c r="R439" s="154"/>
      <c r="S439" s="115"/>
      <c r="T439" s="154"/>
      <c r="U439" s="153"/>
      <c r="V439" s="154"/>
      <c r="W439" s="123"/>
      <c r="X439" s="124" t="str">
        <f aca="false">IF(ISBLANK($C439),"",IF($E439=Constants!$B$2,TRUE(),IF($E439=Constants!$B$3,FALSE(),TRUE())))</f>
        <v/>
      </c>
      <c r="Y439" s="124" t="str">
        <f aca="false">IF(ISBLANK($C439),"",IF($F439=Constants!$B$2,TRUE(),IF($F439=Constants!$B$3,FALSE(),TRUE())))</f>
        <v/>
      </c>
      <c r="Z439" s="125" t="str">
        <f aca="false">IF(ISBLANK($C439),"",IF(ISNUMBER($G439),IF($G439&gt;=0,$G439,""),""))</f>
        <v/>
      </c>
      <c r="AA439" s="125" t="str">
        <f aca="false">IF(ISBLANK($C439),"",IF(ISNUMBER($H439),IF($H439&gt;=0,$H439,""),""))</f>
        <v/>
      </c>
      <c r="AB439" s="125" t="str">
        <f aca="false">IF(ISBLANK($C439),"",IF(ISNUMBER($I439),IF($I439&gt;=0,$I439,""),""))</f>
        <v/>
      </c>
      <c r="AC439" s="124" t="str">
        <f aca="false">IF(ISBLANK($C439),"",IF($J439=Constants!$B$2,TRUE(),IF($J439=Constants!$B$3,FALSE(),TRUE())))</f>
        <v/>
      </c>
      <c r="AD439" s="124" t="str">
        <f aca="false">IF(ISBLANK($C439),"",IF($K439=Constants!$B$2,TRUE(),IF($K439=Constants!$B$3,FALSE(),TRUE())))</f>
        <v/>
      </c>
      <c r="AE439" s="124" t="str">
        <f aca="false">IF(ISBLANK($C439),"",IF($L439=Constants!$B$2,TRUE(),IF($L439=Constants!$B$3,FALSE(),TRUE())))</f>
        <v/>
      </c>
      <c r="AF439" s="126" t="str">
        <f aca="false">IF(ISBLANK($C439),"",IF(ISNUMBER($M439),IF($M439&gt;=0,$M439,""),""))</f>
        <v/>
      </c>
      <c r="AG439" s="124" t="str">
        <f aca="false">IF(ISBLANK($C439),"",IF(ISBLANK($N439),0,IF(ISNUMBER($N439),IF(AND($N439&gt;=0,$N439&lt;=Constants!$B$17,$N439=INT($N439)),$N439,""),"")))</f>
        <v/>
      </c>
      <c r="AH439" s="125" t="str">
        <f aca="false">IF(ISBLANK($C439),"",IF(ISBLANK($O439),0,IF(ISNUMBER($O439),IF($O439&gt;=0,$O439,""),"")))</f>
        <v/>
      </c>
      <c r="AI439" s="124" t="str">
        <f aca="false">IF(ISBLANK($C439),"",IF($P439=Constants!$B$2,TRUE(),IF($P439=Constants!$B$3,FALSE(),TRUE())))</f>
        <v/>
      </c>
      <c r="AJ439" s="124" t="str">
        <f aca="false">IF(ISBLANK($C439),"",IF($Q439=Constants!$B$2,TRUE(),IF($Q439=Constants!$B$3,FALSE(),TRUE())))</f>
        <v/>
      </c>
      <c r="AK439" s="124" t="str">
        <f aca="false">IF(ISBLANK($C439),"",IF($R439=Constants!$B$2,TRUE(),IF($R439=Constants!$B$3,FALSE(),TRUE())))</f>
        <v/>
      </c>
      <c r="AL439" s="126" t="str">
        <f aca="false">IF(ISBLANK($C439),"",IF(ISNUMBER($S439),IF($S439&gt;=0,$S439,""),""))</f>
        <v/>
      </c>
      <c r="AM439" s="124" t="str">
        <f aca="false">IF(ISBLANK($C439),"",IF(ISBLANK($T439),0,IF(ISNUMBER($T439),IF(AND($T439&gt;=0,$T439&lt;=Constants!$B$17,$T439=INT($T439)),$T439,""),"")))</f>
        <v/>
      </c>
      <c r="AN439" s="125" t="str">
        <f aca="false">IF(ISBLANK($C439),"",IF(ISBLANK($U439),0,IF(ISNUMBER($U439),IF($U439&gt;=0,$U439,""),"")))</f>
        <v/>
      </c>
      <c r="AO439" s="124" t="str">
        <f aca="false">IF(ISBLANK($C439),"",IF($V439=Constants!$B$2,TRUE(),IF($V439=Constants!$B$3,FALSE(),FALSE())))</f>
        <v/>
      </c>
      <c r="AP439" s="124"/>
      <c r="AQ439" s="123" t="str">
        <f aca="false">IF(ISBLANK($C439),"",AND($Y439,OR($AS439,$BC439),OR($Z439="",$AA439="",$AB439="")))</f>
        <v/>
      </c>
      <c r="AR439" s="123" t="str">
        <f aca="false">IF(ISBLANK($C439),"",IF(OR(NOT($Y439),NOT(OR($AS439,$BC439))),"",IF(ISBLANK($D$7),$AR$5,IF($AP$9="",$AR$6,""))))</f>
        <v/>
      </c>
      <c r="AS439" s="123" t="str">
        <f aca="false">IF(ISBLANK($C439),"",COUNTA($J439:$O439)&gt;0)</f>
        <v/>
      </c>
      <c r="AT439" s="123" t="str">
        <f aca="false">IF(ISBLANK($C439),"",AND($AS439,OR(AND($AF439="",OR($AE439,NOT(ISBLANK($M439)))),$AG439="",$AH439="")))</f>
        <v/>
      </c>
      <c r="AU439" s="125" t="str">
        <f aca="false">IF($BL439&lt;&gt;Constants!$B$4,"",IF(NOT($AS439),"",ROUND((Constants!$B$12-$AB439)+(Constants!$B$13-$Z439)+(Constants!$B$14-$AA439),1)))</f>
        <v/>
      </c>
      <c r="AV439" s="127" t="str">
        <f aca="false">IF($BL439&lt;&gt;Constants!$B$4,"",IF(NOT($AS439),"",IF(NOT($AE439),0,Constants!$B$15*(INT(ROUND(MIN($AF439,$AP$9),6))-INT(ROUND(MAX(0,MIN($AF439,2*$AP$9)-$AP$9),6))))))</f>
        <v/>
      </c>
      <c r="AW439" s="127" t="str">
        <f aca="false">IF($BL439&lt;&gt;Constants!$B$4,"",IF(NOT($AS439),"",Constants!$B$16*$AG439))</f>
        <v/>
      </c>
      <c r="AX439" s="127" t="str">
        <f aca="false">IF($BL439&lt;&gt;Constants!$B$4,"",IF(NOT($AS439),"",Constants!$B$18*INT(ROUND($AH439,6))))</f>
        <v/>
      </c>
      <c r="AY439" s="123" t="str">
        <f aca="false">IF($BL439&lt;&gt;Constants!$B$4,"",IF(NOT($AS439),"",IF(NOT($X439),Constants!$B$11,IF(OR(NOT($AC439),NOT($AD439),ROUND($AB439,1)&gt;Constants!$B$12,ROUND($Z439,1)&gt;Constants!$B$13,ROUND($AA439,1)&gt;Constants!$B$14),Constants!$B$10,Constants!$B$9))))</f>
        <v/>
      </c>
      <c r="AZ439" s="128" t="str">
        <f aca="false">IF($BL439&lt;&gt;Constants!$B$4,"",IF(NOT($AS439),"",ROUND($AU439+$AV439+$AW439+$AX439,1)))</f>
        <v/>
      </c>
      <c r="BA439" s="129" t="str">
        <f aca="false">IF($BL439&lt;&gt;Constants!$B$4,"",IF(NOT($AS439),"",IF(ISNUMBER($AF439),$AF439,0)))</f>
        <v/>
      </c>
      <c r="BB439" s="124" t="str">
        <f aca="false">IF($BL439&lt;&gt;Constants!$B$4,"",IF(NOT($BC439),"&lt;-",IF(NOT($AS439),"-&gt;",IF(OR($BI439&lt;$AY439,AND($BI439=$AY439,OR($BJ439&gt;$AZ439,AND($BJ439=$AZ439,OR($BH439&gt;$AX439,AND($BH439=$AX439,OR($BE439&gt;$AU439,AND($BE439=$AU439,OR($BF439&gt;$AV439,AND($BF439=$AV439,$BK439&gt;$BA439)))))))))),"-&gt;","&lt;-"))))</f>
        <v/>
      </c>
      <c r="BC439" s="123" t="str">
        <f aca="false">IF(ISBLANK($C439),"",COUNTA($P439:$U439)&gt;0)</f>
        <v/>
      </c>
      <c r="BD439" s="123" t="str">
        <f aca="false">IF(ISBLANK($C439),"",AND($BC439,OR(AND($AL439="",OR($AK439,NOT(ISBLANK($S439)))),$AM439="",$AN439="")))</f>
        <v/>
      </c>
      <c r="BE439" s="125" t="str">
        <f aca="false">IF($BL439&lt;&gt;Constants!$B$4,"",IF(NOT($BC439),"",ROUND((Constants!$B$12-$AB439)+(Constants!$B$13-$Z439)+(Constants!$B$14-$AA439),1)))</f>
        <v/>
      </c>
      <c r="BF439" s="127" t="str">
        <f aca="false">IF($BL439&lt;&gt;Constants!$B$4,"",IF(NOT($BC439),"",IF(NOT($AK439),0,Constants!$B$15*(INT(ROUND(MIN($AL439,$AP$9),6))-INT(ROUND(MAX(0,MIN($AL439,2*$AP$9)-$AP$9),6))))))</f>
        <v/>
      </c>
      <c r="BG439" s="127" t="str">
        <f aca="false">IF($BL439&lt;&gt;Constants!$B$4,"",IF(NOT($BC439),"",Constants!$B$16*$AM439))</f>
        <v/>
      </c>
      <c r="BH439" s="127" t="str">
        <f aca="false">IF($BL439&lt;&gt;Constants!$B$4,"",IF(NOT($BC439),"",Constants!$B$18*INT(ROUND($AN439,6))))</f>
        <v/>
      </c>
      <c r="BI439" s="123" t="str">
        <f aca="false">IF($BL439&lt;&gt;Constants!$B$4,"",IF(NOT($BC439),"",IF(NOT($X439),Constants!$B$11,IF(OR(NOT($AI439),NOT($AJ439),ROUND($AB439,1)&gt;Constants!$B$12,ROUND($Z439,1)&gt;Constants!$B$13,ROUND($AA439,1)&gt;Constants!$B$14),Constants!$B$10,Constants!$B$9))))</f>
        <v/>
      </c>
      <c r="BJ439" s="128" t="str">
        <f aca="false">IF($BL439&lt;&gt;Constants!$B$4,"",IF(NOT($BC439),"",ROUND($BE439+$BF439+$BG439+$BH439,1)))</f>
        <v/>
      </c>
      <c r="BK439" s="129" t="str">
        <f aca="false">IF($BL439&lt;&gt;Constants!$B$4,"",IF(NOT($BC439),"",IF(ISNUMBER($AL439),$AL439,0)))</f>
        <v/>
      </c>
      <c r="BL439" s="124" t="str">
        <f aca="false">IF(ISBLANK($C439),"",IF($AO439,Constants!$B$7,IF(COUNTA($E439:$V439)=0,Constants!$B$6,IF(NOT($Y439),Constants!$B$5,IF(NOT(OR($AS439,$BC439)),Constants!$B$5,IF(OR($AT439,$BD439,$AQ439,$AR439&lt;&gt;""),Constants!$B$8,Constants!$B$4))))))</f>
        <v/>
      </c>
      <c r="BM439" s="124" t="str">
        <f aca="false">IF(ISBLANK($C439),"",IF($BL439&lt;&gt;Constants!$B$4,$BL439,IF($BB439="-&gt;",$BI439,$AY439)))</f>
        <v/>
      </c>
      <c r="BN439" s="127" t="str">
        <f aca="false">IF($BL439&lt;&gt;Constants!$B$4,"",IF($BB439="-&gt;",$BJ439,$AZ439))</f>
        <v/>
      </c>
      <c r="BO439" s="127" t="str">
        <f aca="false">IF(ISBLANK($C439),"",IF($BL439&lt;&gt;Constants!$B$4,$BL439,$BN439))</f>
        <v/>
      </c>
      <c r="BP439" s="124" t="str">
        <f aca="false">IF(ISBLANK($C439),"",IF($BL439&lt;&gt;Constants!$B$4,$BL439,RANK($BO439,$BO$9:$BO$508,0)))</f>
        <v/>
      </c>
      <c r="BQ439" s="124" t="str">
        <f aca="false">IF(ISBLANK($C439),"",IF($BL439&lt;&gt;Constants!$B$4,$BL439,COUNTIFS($BM$9:$BM$508,"&lt;"&amp;$BM439)+COUNTIFS($BM$9:$BM$508,$BM439,$BP$9:$BP$508,"&lt;"&amp;$BP439)+1))</f>
        <v/>
      </c>
      <c r="BR439" s="127" t="str">
        <f aca="false">IF($BL439&lt;&gt;Constants!$B$4,"",IF($BB439="-&gt;",$BH439,$AX439))</f>
        <v/>
      </c>
      <c r="BS439" s="124" t="str">
        <f aca="false">IF(ISBLANK($C439),"",IF($BL439&lt;&gt;Constants!$B$4,$BL439,IF(ISNUMBER($BR439),RANK($BR439,$BR$9:$BR$508,0),COUNT($BR$9:$BR$508)+1)))</f>
        <v/>
      </c>
      <c r="BT439" s="127" t="str">
        <f aca="false">IF($BL439&lt;&gt;Constants!$B$4,"",IF($BB439="-&gt;",$BE439,$AU439))</f>
        <v/>
      </c>
      <c r="BU439" s="124" t="str">
        <f aca="false">IF(ISBLANK($C439),"",IF($BL439&lt;&gt;Constants!$B$4,$BL439,IF(ISNUMBER($BT439),RANK($BT439,$BT$9:$BT$508,0),COUNT($BT$9:$BT$508)+1)))</f>
        <v/>
      </c>
      <c r="BV439" s="127" t="str">
        <f aca="false">IF($BL439&lt;&gt;Constants!$B$4,"",IF($BB439="-&gt;",$BF439,$AV439))</f>
        <v/>
      </c>
      <c r="BW439" s="124" t="str">
        <f aca="false">IF(ISBLANK($C439),"",IF($BL439&lt;&gt;Constants!$B$4,$BL439,IF(ISNUMBER($BV439),RANK($BV439,$BV$9:$BV$508,0),COUNT($BV$9:$BV$508)+1)))</f>
        <v/>
      </c>
      <c r="BX439" s="127" t="str">
        <f aca="false">IF($BL439&lt;&gt;Constants!$B$4,"",IF($BB439="-&gt;",$BK439,$BA439))</f>
        <v/>
      </c>
      <c r="BY439" s="124" t="str">
        <f aca="false">IF(ISBLANK($C439),"",IF($BL439&lt;&gt;Constants!$B$4,$BL439,IF(ISNUMBER($BX439),RANK($BX439,$BX$9:$BX$508,0),COUNT($BX$9:$BX$508)+1)))</f>
        <v/>
      </c>
      <c r="BZ439" s="124" t="str">
        <f aca="false">IF(ISBLANK($C439),"",IF($BL439&lt;&gt;Constants!$B$4,$BL439,COUNTIFS($BM$9:$BM$508,"&lt;"&amp;$BM439)+COUNTIFS($BM$9:$BM$508,$BM439,$BP$9:$BP$508,"&lt;"&amp;$BP439)+COUNTIFS($BM$9:$BM$508,$BM439,$BP$9:$BP$508,$BP439,$BS$9:$BS$508,"&lt;"&amp;$BS439)+COUNTIFS($BM$9:$BM$508,$BM439,$BP$9:$BP$508,$BP439,$BS$9:$BS$508,$BS439,$BU$9:$BU$508,"&lt;"&amp;$BU439)+COUNTIFS($BM$9:$BM$508,$BM439,$BP$9:$BP$508,$BP439,$BS$9:$BS$508,$BS439,$BU$9:$BU$508,$BU439,$BW$9:$BW$508,"&lt;"&amp;$BW439)+COUNTIFS($BM$9:$BM$508,$BM439,$BP$9:$BP$508,$BP439,$BS$9:$BS$508,$BS439,$BU$9:$BU$508,$BU439,$BW$9:$BW$508,$BW439,$BY$9:$BY$508,"&lt;"&amp;$BY439)+1))</f>
        <v/>
      </c>
      <c r="CA439" s="124" t="str">
        <f aca="false">IF(ISBLANK($C439),"",IF($BL439&lt;&gt;Constants!$B$4,$BL439,$BQ439-$BZ439))</f>
        <v/>
      </c>
      <c r="CB439" s="130"/>
      <c r="CC439" s="131" t="str">
        <f aca="false">IF(ISBLANK($C439),"",IF($BL439=Constants!$B$8,$AR439,""))</f>
        <v/>
      </c>
      <c r="CD439" s="131" t="str">
        <f aca="false">IF(ISBLANK($C439),"",IF($BL439&lt;&gt;Constants!$B$4,"",IF($BB439="-&gt;",2,1)))</f>
        <v/>
      </c>
      <c r="CE439" s="132" t="str">
        <f aca="false">IF(ISBLANK($C439),"",IF($BL439&lt;&gt;Constants!$B$4,"",IF($BB439="-&gt;",$BE439,$AU439)))</f>
        <v/>
      </c>
      <c r="CF439" s="132" t="str">
        <f aca="false">IF(ISBLANK($C439),"",IF($BL439&lt;&gt;Constants!$B$4,"",IF($BB439="-&gt;",$BF439,$AV439)))</f>
        <v/>
      </c>
      <c r="CG439" s="132" t="str">
        <f aca="false">IF(ISBLANK($C439),"",IF($BL439&lt;&gt;Constants!$B$4,"",IF($BB439="-&gt;",$BG439,$AW439)))</f>
        <v/>
      </c>
      <c r="CH439" s="132" t="str">
        <f aca="false">IF(ISBLANK($C439),"",IF($BL439&lt;&gt;Constants!$B$4,"",IF($BB439="-&gt;",$BH439,$AX439)))</f>
        <v/>
      </c>
      <c r="CI439" s="133" t="str">
        <f aca="false">IF(ISBLANK($C439),"",$BO439)</f>
        <v/>
      </c>
      <c r="CJ439" s="134" t="str">
        <f aca="false">IF(ISBLANK($C439),"",$BM439)</f>
        <v/>
      </c>
      <c r="CK439" s="135" t="str">
        <f aca="false">IF(ISBLANK($C439),"",$CA439)</f>
        <v/>
      </c>
      <c r="CL439" s="135" t="str">
        <f aca="false">IF(ISBLANK($C439),"",$BZ439)</f>
        <v/>
      </c>
      <c r="CM439" s="136" t="str">
        <f aca="false">IF(ISBLANK($C439),"",IF($CL439=Constants!$B$7,COUNTA($C$9:$C$508)+2,IF($CL439=Constants!$B$6,COUNTA($C$9:$C$508)+1,IF($CL439=Constants!$B$5,COUNTA($C$9:$C$508),$CL439))))</f>
        <v/>
      </c>
      <c r="CN439" s="8"/>
      <c r="CO439" s="137" t="n">
        <f aca="false">IF(OR(ISNUMBER($CL439),$CL439=Constants!$B$7,$CL439=Constants!$B$5,$CL439=Constants!$B$6),1,0)</f>
        <v>0</v>
      </c>
      <c r="CP439" s="137" t="n">
        <v>431</v>
      </c>
      <c r="CQ439" s="137" t="str">
        <f aca="false">IF(ISBLANK($C439),"",IF(ISNUMBER($CM439),$CM439+ROW($B439)/1000,""))</f>
        <v/>
      </c>
      <c r="CR439" s="137" t="str">
        <f aca="false">IF(ISNUMBER($CQ439),RANK($CQ439,$CQ$9:$CQ$508,1),"")</f>
        <v/>
      </c>
      <c r="CS439" s="137" t="str">
        <f aca="false">IF(ISBLANK($C439),"",$B439)</f>
        <v/>
      </c>
      <c r="CT439" s="137" t="str">
        <f aca="false">IF(ISBLANK($C439),"",$C439)</f>
        <v/>
      </c>
      <c r="CU439" s="137" t="str">
        <f aca="false">IF(ISBLANK($C439),"",$D439)</f>
        <v/>
      </c>
      <c r="CV439" s="138" t="str">
        <f aca="false">$CJ439</f>
        <v/>
      </c>
      <c r="CW439" s="139" t="str">
        <f aca="false">$CI439</f>
        <v/>
      </c>
      <c r="CX439" s="137" t="str">
        <f aca="false">IF(ISBLANK($C439),"",$CL439)</f>
        <v/>
      </c>
      <c r="CY439" s="140" t="str">
        <f aca="false">IF($CP439&gt;$CO$8,"",VLOOKUP($CP439,$CR$9:$CX$508,7,FALSE()))</f>
        <v/>
      </c>
      <c r="CZ439" s="141" t="str">
        <f aca="false">IF($CP439&gt;$CO$8,"",VLOOKUP($CP439,$CR$9:$CX$508,2,FALSE()))</f>
        <v/>
      </c>
      <c r="DA439" s="141" t="str">
        <f aca="false">IF($CP439&gt;$CO$8,"",VLOOKUP($CP439,$CR$9:$CX$508,3,FALSE()))</f>
        <v/>
      </c>
      <c r="DB439" s="141" t="str">
        <f aca="false">IF($CP439&gt;$CO$8,"",VLOOKUP($CP439,$CR$9:$CX$508,4,FALSE()))</f>
        <v/>
      </c>
      <c r="DC439" s="141" t="str">
        <f aca="false">IF($CP439&gt;$CO$8,"",VLOOKUP($CP439,$CR$9:$CX$508,5,FALSE()))</f>
        <v/>
      </c>
      <c r="DD439" s="142" t="str">
        <f aca="false">IF($CP439&gt;$CO$8,"",VLOOKUP($CP439,$CR$9:$CX$508,6,FALSE()))</f>
        <v/>
      </c>
      <c r="DE439" s="70"/>
    </row>
    <row r="440" customFormat="false" ht="15.75" hidden="false" customHeight="false" outlineLevel="0" collapsed="false">
      <c r="A440" s="8"/>
      <c r="B440" s="146"/>
      <c r="C440" s="147"/>
      <c r="D440" s="148"/>
      <c r="E440" s="164"/>
      <c r="F440" s="150"/>
      <c r="G440" s="115"/>
      <c r="H440" s="115"/>
      <c r="I440" s="115"/>
      <c r="J440" s="165"/>
      <c r="K440" s="154"/>
      <c r="L440" s="154"/>
      <c r="M440" s="118"/>
      <c r="N440" s="154"/>
      <c r="O440" s="153"/>
      <c r="P440" s="154"/>
      <c r="Q440" s="154"/>
      <c r="R440" s="154"/>
      <c r="S440" s="115"/>
      <c r="T440" s="154"/>
      <c r="U440" s="153"/>
      <c r="V440" s="154"/>
      <c r="W440" s="123"/>
      <c r="X440" s="124" t="str">
        <f aca="false">IF(ISBLANK($C440),"",IF($E440=Constants!$B$2,TRUE(),IF($E440=Constants!$B$3,FALSE(),TRUE())))</f>
        <v/>
      </c>
      <c r="Y440" s="124" t="str">
        <f aca="false">IF(ISBLANK($C440),"",IF($F440=Constants!$B$2,TRUE(),IF($F440=Constants!$B$3,FALSE(),TRUE())))</f>
        <v/>
      </c>
      <c r="Z440" s="125" t="str">
        <f aca="false">IF(ISBLANK($C440),"",IF(ISNUMBER($G440),IF($G440&gt;=0,$G440,""),""))</f>
        <v/>
      </c>
      <c r="AA440" s="125" t="str">
        <f aca="false">IF(ISBLANK($C440),"",IF(ISNUMBER($H440),IF($H440&gt;=0,$H440,""),""))</f>
        <v/>
      </c>
      <c r="AB440" s="125" t="str">
        <f aca="false">IF(ISBLANK($C440),"",IF(ISNUMBER($I440),IF($I440&gt;=0,$I440,""),""))</f>
        <v/>
      </c>
      <c r="AC440" s="124" t="str">
        <f aca="false">IF(ISBLANK($C440),"",IF($J440=Constants!$B$2,TRUE(),IF($J440=Constants!$B$3,FALSE(),TRUE())))</f>
        <v/>
      </c>
      <c r="AD440" s="124" t="str">
        <f aca="false">IF(ISBLANK($C440),"",IF($K440=Constants!$B$2,TRUE(),IF($K440=Constants!$B$3,FALSE(),TRUE())))</f>
        <v/>
      </c>
      <c r="AE440" s="124" t="str">
        <f aca="false">IF(ISBLANK($C440),"",IF($L440=Constants!$B$2,TRUE(),IF($L440=Constants!$B$3,FALSE(),TRUE())))</f>
        <v/>
      </c>
      <c r="AF440" s="126" t="str">
        <f aca="false">IF(ISBLANK($C440),"",IF(ISNUMBER($M440),IF($M440&gt;=0,$M440,""),""))</f>
        <v/>
      </c>
      <c r="AG440" s="124" t="str">
        <f aca="false">IF(ISBLANK($C440),"",IF(ISBLANK($N440),0,IF(ISNUMBER($N440),IF(AND($N440&gt;=0,$N440&lt;=Constants!$B$17,$N440=INT($N440)),$N440,""),"")))</f>
        <v/>
      </c>
      <c r="AH440" s="125" t="str">
        <f aca="false">IF(ISBLANK($C440),"",IF(ISBLANK($O440),0,IF(ISNUMBER($O440),IF($O440&gt;=0,$O440,""),"")))</f>
        <v/>
      </c>
      <c r="AI440" s="124" t="str">
        <f aca="false">IF(ISBLANK($C440),"",IF($P440=Constants!$B$2,TRUE(),IF($P440=Constants!$B$3,FALSE(),TRUE())))</f>
        <v/>
      </c>
      <c r="AJ440" s="124" t="str">
        <f aca="false">IF(ISBLANK($C440),"",IF($Q440=Constants!$B$2,TRUE(),IF($Q440=Constants!$B$3,FALSE(),TRUE())))</f>
        <v/>
      </c>
      <c r="AK440" s="124" t="str">
        <f aca="false">IF(ISBLANK($C440),"",IF($R440=Constants!$B$2,TRUE(),IF($R440=Constants!$B$3,FALSE(),TRUE())))</f>
        <v/>
      </c>
      <c r="AL440" s="126" t="str">
        <f aca="false">IF(ISBLANK($C440),"",IF(ISNUMBER($S440),IF($S440&gt;=0,$S440,""),""))</f>
        <v/>
      </c>
      <c r="AM440" s="124" t="str">
        <f aca="false">IF(ISBLANK($C440),"",IF(ISBLANK($T440),0,IF(ISNUMBER($T440),IF(AND($T440&gt;=0,$T440&lt;=Constants!$B$17,$T440=INT($T440)),$T440,""),"")))</f>
        <v/>
      </c>
      <c r="AN440" s="125" t="str">
        <f aca="false">IF(ISBLANK($C440),"",IF(ISBLANK($U440),0,IF(ISNUMBER($U440),IF($U440&gt;=0,$U440,""),"")))</f>
        <v/>
      </c>
      <c r="AO440" s="124" t="str">
        <f aca="false">IF(ISBLANK($C440),"",IF($V440=Constants!$B$2,TRUE(),IF($V440=Constants!$B$3,FALSE(),FALSE())))</f>
        <v/>
      </c>
      <c r="AP440" s="124"/>
      <c r="AQ440" s="123" t="str">
        <f aca="false">IF(ISBLANK($C440),"",AND($Y440,OR($AS440,$BC440),OR($Z440="",$AA440="",$AB440="")))</f>
        <v/>
      </c>
      <c r="AR440" s="123" t="str">
        <f aca="false">IF(ISBLANK($C440),"",IF(OR(NOT($Y440),NOT(OR($AS440,$BC440))),"",IF(ISBLANK($D$7),$AR$5,IF($AP$9="",$AR$6,""))))</f>
        <v/>
      </c>
      <c r="AS440" s="123" t="str">
        <f aca="false">IF(ISBLANK($C440),"",COUNTA($J440:$O440)&gt;0)</f>
        <v/>
      </c>
      <c r="AT440" s="123" t="str">
        <f aca="false">IF(ISBLANK($C440),"",AND($AS440,OR(AND($AF440="",OR($AE440,NOT(ISBLANK($M440)))),$AG440="",$AH440="")))</f>
        <v/>
      </c>
      <c r="AU440" s="125" t="str">
        <f aca="false">IF($BL440&lt;&gt;Constants!$B$4,"",IF(NOT($AS440),"",ROUND((Constants!$B$12-$AB440)+(Constants!$B$13-$Z440)+(Constants!$B$14-$AA440),1)))</f>
        <v/>
      </c>
      <c r="AV440" s="127" t="str">
        <f aca="false">IF($BL440&lt;&gt;Constants!$B$4,"",IF(NOT($AS440),"",IF(NOT($AE440),0,Constants!$B$15*(INT(ROUND(MIN($AF440,$AP$9),6))-INT(ROUND(MAX(0,MIN($AF440,2*$AP$9)-$AP$9),6))))))</f>
        <v/>
      </c>
      <c r="AW440" s="127" t="str">
        <f aca="false">IF($BL440&lt;&gt;Constants!$B$4,"",IF(NOT($AS440),"",Constants!$B$16*$AG440))</f>
        <v/>
      </c>
      <c r="AX440" s="127" t="str">
        <f aca="false">IF($BL440&lt;&gt;Constants!$B$4,"",IF(NOT($AS440),"",Constants!$B$18*INT(ROUND($AH440,6))))</f>
        <v/>
      </c>
      <c r="AY440" s="123" t="str">
        <f aca="false">IF($BL440&lt;&gt;Constants!$B$4,"",IF(NOT($AS440),"",IF(NOT($X440),Constants!$B$11,IF(OR(NOT($AC440),NOT($AD440),ROUND($AB440,1)&gt;Constants!$B$12,ROUND($Z440,1)&gt;Constants!$B$13,ROUND($AA440,1)&gt;Constants!$B$14),Constants!$B$10,Constants!$B$9))))</f>
        <v/>
      </c>
      <c r="AZ440" s="128" t="str">
        <f aca="false">IF($BL440&lt;&gt;Constants!$B$4,"",IF(NOT($AS440),"",ROUND($AU440+$AV440+$AW440+$AX440,1)))</f>
        <v/>
      </c>
      <c r="BA440" s="129" t="str">
        <f aca="false">IF($BL440&lt;&gt;Constants!$B$4,"",IF(NOT($AS440),"",IF(ISNUMBER($AF440),$AF440,0)))</f>
        <v/>
      </c>
      <c r="BB440" s="124" t="str">
        <f aca="false">IF($BL440&lt;&gt;Constants!$B$4,"",IF(NOT($BC440),"&lt;-",IF(NOT($AS440),"-&gt;",IF(OR($BI440&lt;$AY440,AND($BI440=$AY440,OR($BJ440&gt;$AZ440,AND($BJ440=$AZ440,OR($BH440&gt;$AX440,AND($BH440=$AX440,OR($BE440&gt;$AU440,AND($BE440=$AU440,OR($BF440&gt;$AV440,AND($BF440=$AV440,$BK440&gt;$BA440)))))))))),"-&gt;","&lt;-"))))</f>
        <v/>
      </c>
      <c r="BC440" s="123" t="str">
        <f aca="false">IF(ISBLANK($C440),"",COUNTA($P440:$U440)&gt;0)</f>
        <v/>
      </c>
      <c r="BD440" s="123" t="str">
        <f aca="false">IF(ISBLANK($C440),"",AND($BC440,OR(AND($AL440="",OR($AK440,NOT(ISBLANK($S440)))),$AM440="",$AN440="")))</f>
        <v/>
      </c>
      <c r="BE440" s="125" t="str">
        <f aca="false">IF($BL440&lt;&gt;Constants!$B$4,"",IF(NOT($BC440),"",ROUND((Constants!$B$12-$AB440)+(Constants!$B$13-$Z440)+(Constants!$B$14-$AA440),1)))</f>
        <v/>
      </c>
      <c r="BF440" s="127" t="str">
        <f aca="false">IF($BL440&lt;&gt;Constants!$B$4,"",IF(NOT($BC440),"",IF(NOT($AK440),0,Constants!$B$15*(INT(ROUND(MIN($AL440,$AP$9),6))-INT(ROUND(MAX(0,MIN($AL440,2*$AP$9)-$AP$9),6))))))</f>
        <v/>
      </c>
      <c r="BG440" s="127" t="str">
        <f aca="false">IF($BL440&lt;&gt;Constants!$B$4,"",IF(NOT($BC440),"",Constants!$B$16*$AM440))</f>
        <v/>
      </c>
      <c r="BH440" s="127" t="str">
        <f aca="false">IF($BL440&lt;&gt;Constants!$B$4,"",IF(NOT($BC440),"",Constants!$B$18*INT(ROUND($AN440,6))))</f>
        <v/>
      </c>
      <c r="BI440" s="123" t="str">
        <f aca="false">IF($BL440&lt;&gt;Constants!$B$4,"",IF(NOT($BC440),"",IF(NOT($X440),Constants!$B$11,IF(OR(NOT($AI440),NOT($AJ440),ROUND($AB440,1)&gt;Constants!$B$12,ROUND($Z440,1)&gt;Constants!$B$13,ROUND($AA440,1)&gt;Constants!$B$14),Constants!$B$10,Constants!$B$9))))</f>
        <v/>
      </c>
      <c r="BJ440" s="128" t="str">
        <f aca="false">IF($BL440&lt;&gt;Constants!$B$4,"",IF(NOT($BC440),"",ROUND($BE440+$BF440+$BG440+$BH440,1)))</f>
        <v/>
      </c>
      <c r="BK440" s="129" t="str">
        <f aca="false">IF($BL440&lt;&gt;Constants!$B$4,"",IF(NOT($BC440),"",IF(ISNUMBER($AL440),$AL440,0)))</f>
        <v/>
      </c>
      <c r="BL440" s="124" t="str">
        <f aca="false">IF(ISBLANK($C440),"",IF($AO440,Constants!$B$7,IF(COUNTA($E440:$V440)=0,Constants!$B$6,IF(NOT($Y440),Constants!$B$5,IF(NOT(OR($AS440,$BC440)),Constants!$B$5,IF(OR($AT440,$BD440,$AQ440,$AR440&lt;&gt;""),Constants!$B$8,Constants!$B$4))))))</f>
        <v/>
      </c>
      <c r="BM440" s="124" t="str">
        <f aca="false">IF(ISBLANK($C440),"",IF($BL440&lt;&gt;Constants!$B$4,$BL440,IF($BB440="-&gt;",$BI440,$AY440)))</f>
        <v/>
      </c>
      <c r="BN440" s="127" t="str">
        <f aca="false">IF($BL440&lt;&gt;Constants!$B$4,"",IF($BB440="-&gt;",$BJ440,$AZ440))</f>
        <v/>
      </c>
      <c r="BO440" s="127" t="str">
        <f aca="false">IF(ISBLANK($C440),"",IF($BL440&lt;&gt;Constants!$B$4,$BL440,$BN440))</f>
        <v/>
      </c>
      <c r="BP440" s="124" t="str">
        <f aca="false">IF(ISBLANK($C440),"",IF($BL440&lt;&gt;Constants!$B$4,$BL440,RANK($BO440,$BO$9:$BO$508,0)))</f>
        <v/>
      </c>
      <c r="BQ440" s="124" t="str">
        <f aca="false">IF(ISBLANK($C440),"",IF($BL440&lt;&gt;Constants!$B$4,$BL440,COUNTIFS($BM$9:$BM$508,"&lt;"&amp;$BM440)+COUNTIFS($BM$9:$BM$508,$BM440,$BP$9:$BP$508,"&lt;"&amp;$BP440)+1))</f>
        <v/>
      </c>
      <c r="BR440" s="127" t="str">
        <f aca="false">IF($BL440&lt;&gt;Constants!$B$4,"",IF($BB440="-&gt;",$BH440,$AX440))</f>
        <v/>
      </c>
      <c r="BS440" s="124" t="str">
        <f aca="false">IF(ISBLANK($C440),"",IF($BL440&lt;&gt;Constants!$B$4,$BL440,IF(ISNUMBER($BR440),RANK($BR440,$BR$9:$BR$508,0),COUNT($BR$9:$BR$508)+1)))</f>
        <v/>
      </c>
      <c r="BT440" s="127" t="str">
        <f aca="false">IF($BL440&lt;&gt;Constants!$B$4,"",IF($BB440="-&gt;",$BE440,$AU440))</f>
        <v/>
      </c>
      <c r="BU440" s="124" t="str">
        <f aca="false">IF(ISBLANK($C440),"",IF($BL440&lt;&gt;Constants!$B$4,$BL440,IF(ISNUMBER($BT440),RANK($BT440,$BT$9:$BT$508,0),COUNT($BT$9:$BT$508)+1)))</f>
        <v/>
      </c>
      <c r="BV440" s="127" t="str">
        <f aca="false">IF($BL440&lt;&gt;Constants!$B$4,"",IF($BB440="-&gt;",$BF440,$AV440))</f>
        <v/>
      </c>
      <c r="BW440" s="124" t="str">
        <f aca="false">IF(ISBLANK($C440),"",IF($BL440&lt;&gt;Constants!$B$4,$BL440,IF(ISNUMBER($BV440),RANK($BV440,$BV$9:$BV$508,0),COUNT($BV$9:$BV$508)+1)))</f>
        <v/>
      </c>
      <c r="BX440" s="127" t="str">
        <f aca="false">IF($BL440&lt;&gt;Constants!$B$4,"",IF($BB440="-&gt;",$BK440,$BA440))</f>
        <v/>
      </c>
      <c r="BY440" s="124" t="str">
        <f aca="false">IF(ISBLANK($C440),"",IF($BL440&lt;&gt;Constants!$B$4,$BL440,IF(ISNUMBER($BX440),RANK($BX440,$BX$9:$BX$508,0),COUNT($BX$9:$BX$508)+1)))</f>
        <v/>
      </c>
      <c r="BZ440" s="124" t="str">
        <f aca="false">IF(ISBLANK($C440),"",IF($BL440&lt;&gt;Constants!$B$4,$BL440,COUNTIFS($BM$9:$BM$508,"&lt;"&amp;$BM440)+COUNTIFS($BM$9:$BM$508,$BM440,$BP$9:$BP$508,"&lt;"&amp;$BP440)+COUNTIFS($BM$9:$BM$508,$BM440,$BP$9:$BP$508,$BP440,$BS$9:$BS$508,"&lt;"&amp;$BS440)+COUNTIFS($BM$9:$BM$508,$BM440,$BP$9:$BP$508,$BP440,$BS$9:$BS$508,$BS440,$BU$9:$BU$508,"&lt;"&amp;$BU440)+COUNTIFS($BM$9:$BM$508,$BM440,$BP$9:$BP$508,$BP440,$BS$9:$BS$508,$BS440,$BU$9:$BU$508,$BU440,$BW$9:$BW$508,"&lt;"&amp;$BW440)+COUNTIFS($BM$9:$BM$508,$BM440,$BP$9:$BP$508,$BP440,$BS$9:$BS$508,$BS440,$BU$9:$BU$508,$BU440,$BW$9:$BW$508,$BW440,$BY$9:$BY$508,"&lt;"&amp;$BY440)+1))</f>
        <v/>
      </c>
      <c r="CA440" s="124" t="str">
        <f aca="false">IF(ISBLANK($C440),"",IF($BL440&lt;&gt;Constants!$B$4,$BL440,$BQ440-$BZ440))</f>
        <v/>
      </c>
      <c r="CB440" s="130"/>
      <c r="CC440" s="131" t="str">
        <f aca="false">IF(ISBLANK($C440),"",IF($BL440=Constants!$B$8,$AR440,""))</f>
        <v/>
      </c>
      <c r="CD440" s="131" t="str">
        <f aca="false">IF(ISBLANK($C440),"",IF($BL440&lt;&gt;Constants!$B$4,"",IF($BB440="-&gt;",2,1)))</f>
        <v/>
      </c>
      <c r="CE440" s="132" t="str">
        <f aca="false">IF(ISBLANK($C440),"",IF($BL440&lt;&gt;Constants!$B$4,"",IF($BB440="-&gt;",$BE440,$AU440)))</f>
        <v/>
      </c>
      <c r="CF440" s="132" t="str">
        <f aca="false">IF(ISBLANK($C440),"",IF($BL440&lt;&gt;Constants!$B$4,"",IF($BB440="-&gt;",$BF440,$AV440)))</f>
        <v/>
      </c>
      <c r="CG440" s="132" t="str">
        <f aca="false">IF(ISBLANK($C440),"",IF($BL440&lt;&gt;Constants!$B$4,"",IF($BB440="-&gt;",$BG440,$AW440)))</f>
        <v/>
      </c>
      <c r="CH440" s="132" t="str">
        <f aca="false">IF(ISBLANK($C440),"",IF($BL440&lt;&gt;Constants!$B$4,"",IF($BB440="-&gt;",$BH440,$AX440)))</f>
        <v/>
      </c>
      <c r="CI440" s="133" t="str">
        <f aca="false">IF(ISBLANK($C440),"",$BO440)</f>
        <v/>
      </c>
      <c r="CJ440" s="134" t="str">
        <f aca="false">IF(ISBLANK($C440),"",$BM440)</f>
        <v/>
      </c>
      <c r="CK440" s="135" t="str">
        <f aca="false">IF(ISBLANK($C440),"",$CA440)</f>
        <v/>
      </c>
      <c r="CL440" s="135" t="str">
        <f aca="false">IF(ISBLANK($C440),"",$BZ440)</f>
        <v/>
      </c>
      <c r="CM440" s="136" t="str">
        <f aca="false">IF(ISBLANK($C440),"",IF($CL440=Constants!$B$7,COUNTA($C$9:$C$508)+2,IF($CL440=Constants!$B$6,COUNTA($C$9:$C$508)+1,IF($CL440=Constants!$B$5,COUNTA($C$9:$C$508),$CL440))))</f>
        <v/>
      </c>
      <c r="CN440" s="8"/>
      <c r="CO440" s="137" t="n">
        <f aca="false">IF(OR(ISNUMBER($CL440),$CL440=Constants!$B$7,$CL440=Constants!$B$5,$CL440=Constants!$B$6),1,0)</f>
        <v>0</v>
      </c>
      <c r="CP440" s="137" t="n">
        <v>432</v>
      </c>
      <c r="CQ440" s="137" t="str">
        <f aca="false">IF(ISBLANK($C440),"",IF(ISNUMBER($CM440),$CM440+ROW($B440)/1000,""))</f>
        <v/>
      </c>
      <c r="CR440" s="137" t="str">
        <f aca="false">IF(ISNUMBER($CQ440),RANK($CQ440,$CQ$9:$CQ$508,1),"")</f>
        <v/>
      </c>
      <c r="CS440" s="137" t="str">
        <f aca="false">IF(ISBLANK($C440),"",$B440)</f>
        <v/>
      </c>
      <c r="CT440" s="137" t="str">
        <f aca="false">IF(ISBLANK($C440),"",$C440)</f>
        <v/>
      </c>
      <c r="CU440" s="137" t="str">
        <f aca="false">IF(ISBLANK($C440),"",$D440)</f>
        <v/>
      </c>
      <c r="CV440" s="138" t="str">
        <f aca="false">$CJ440</f>
        <v/>
      </c>
      <c r="CW440" s="139" t="str">
        <f aca="false">$CI440</f>
        <v/>
      </c>
      <c r="CX440" s="137" t="str">
        <f aca="false">IF(ISBLANK($C440),"",$CL440)</f>
        <v/>
      </c>
      <c r="CY440" s="140" t="str">
        <f aca="false">IF($CP440&gt;$CO$8,"",VLOOKUP($CP440,$CR$9:$CX$508,7,FALSE()))</f>
        <v/>
      </c>
      <c r="CZ440" s="141" t="str">
        <f aca="false">IF($CP440&gt;$CO$8,"",VLOOKUP($CP440,$CR$9:$CX$508,2,FALSE()))</f>
        <v/>
      </c>
      <c r="DA440" s="141" t="str">
        <f aca="false">IF($CP440&gt;$CO$8,"",VLOOKUP($CP440,$CR$9:$CX$508,3,FALSE()))</f>
        <v/>
      </c>
      <c r="DB440" s="141" t="str">
        <f aca="false">IF($CP440&gt;$CO$8,"",VLOOKUP($CP440,$CR$9:$CX$508,4,FALSE()))</f>
        <v/>
      </c>
      <c r="DC440" s="141" t="str">
        <f aca="false">IF($CP440&gt;$CO$8,"",VLOOKUP($CP440,$CR$9:$CX$508,5,FALSE()))</f>
        <v/>
      </c>
      <c r="DD440" s="142" t="str">
        <f aca="false">IF($CP440&gt;$CO$8,"",VLOOKUP($CP440,$CR$9:$CX$508,6,FALSE()))</f>
        <v/>
      </c>
      <c r="DE440" s="70"/>
    </row>
    <row r="441" customFormat="false" ht="15.75" hidden="false" customHeight="false" outlineLevel="0" collapsed="false">
      <c r="A441" s="8"/>
      <c r="B441" s="72"/>
      <c r="C441" s="73"/>
      <c r="D441" s="155"/>
      <c r="E441" s="162"/>
      <c r="F441" s="157"/>
      <c r="G441" s="77"/>
      <c r="H441" s="77"/>
      <c r="I441" s="77"/>
      <c r="J441" s="163"/>
      <c r="K441" s="161"/>
      <c r="L441" s="161"/>
      <c r="M441" s="80"/>
      <c r="N441" s="161"/>
      <c r="O441" s="160"/>
      <c r="P441" s="161"/>
      <c r="Q441" s="161"/>
      <c r="R441" s="161"/>
      <c r="S441" s="77"/>
      <c r="T441" s="161"/>
      <c r="U441" s="160"/>
      <c r="V441" s="161"/>
      <c r="W441" s="85"/>
      <c r="X441" s="86" t="str">
        <f aca="false">IF(ISBLANK($C441),"",IF($E441=Constants!$B$2,TRUE(),IF($E441=Constants!$B$3,FALSE(),TRUE())))</f>
        <v/>
      </c>
      <c r="Y441" s="86" t="str">
        <f aca="false">IF(ISBLANK($C441),"",IF($F441=Constants!$B$2,TRUE(),IF($F441=Constants!$B$3,FALSE(),TRUE())))</f>
        <v/>
      </c>
      <c r="Z441" s="87" t="str">
        <f aca="false">IF(ISBLANK($C441),"",IF(ISNUMBER($G441),IF($G441&gt;=0,$G441,""),""))</f>
        <v/>
      </c>
      <c r="AA441" s="87" t="str">
        <f aca="false">IF(ISBLANK($C441),"",IF(ISNUMBER($H441),IF($H441&gt;=0,$H441,""),""))</f>
        <v/>
      </c>
      <c r="AB441" s="87" t="str">
        <f aca="false">IF(ISBLANK($C441),"",IF(ISNUMBER($I441),IF($I441&gt;=0,$I441,""),""))</f>
        <v/>
      </c>
      <c r="AC441" s="86" t="str">
        <f aca="false">IF(ISBLANK($C441),"",IF($J441=Constants!$B$2,TRUE(),IF($J441=Constants!$B$3,FALSE(),TRUE())))</f>
        <v/>
      </c>
      <c r="AD441" s="86" t="str">
        <f aca="false">IF(ISBLANK($C441),"",IF($K441=Constants!$B$2,TRUE(),IF($K441=Constants!$B$3,FALSE(),TRUE())))</f>
        <v/>
      </c>
      <c r="AE441" s="86" t="str">
        <f aca="false">IF(ISBLANK($C441),"",IF($L441=Constants!$B$2,TRUE(),IF($L441=Constants!$B$3,FALSE(),TRUE())))</f>
        <v/>
      </c>
      <c r="AF441" s="88" t="str">
        <f aca="false">IF(ISBLANK($C441),"",IF(ISNUMBER($M441),IF($M441&gt;=0,$M441,""),""))</f>
        <v/>
      </c>
      <c r="AG441" s="86" t="str">
        <f aca="false">IF(ISBLANK($C441),"",IF(ISBLANK($N441),0,IF(ISNUMBER($N441),IF(AND($N441&gt;=0,$N441&lt;=Constants!$B$17,$N441=INT($N441)),$N441,""),"")))</f>
        <v/>
      </c>
      <c r="AH441" s="87" t="str">
        <f aca="false">IF(ISBLANK($C441),"",IF(ISBLANK($O441),0,IF(ISNUMBER($O441),IF($O441&gt;=0,$O441,""),"")))</f>
        <v/>
      </c>
      <c r="AI441" s="86" t="str">
        <f aca="false">IF(ISBLANK($C441),"",IF($P441=Constants!$B$2,TRUE(),IF($P441=Constants!$B$3,FALSE(),TRUE())))</f>
        <v/>
      </c>
      <c r="AJ441" s="86" t="str">
        <f aca="false">IF(ISBLANK($C441),"",IF($Q441=Constants!$B$2,TRUE(),IF($Q441=Constants!$B$3,FALSE(),TRUE())))</f>
        <v/>
      </c>
      <c r="AK441" s="86" t="str">
        <f aca="false">IF(ISBLANK($C441),"",IF($R441=Constants!$B$2,TRUE(),IF($R441=Constants!$B$3,FALSE(),TRUE())))</f>
        <v/>
      </c>
      <c r="AL441" s="88" t="str">
        <f aca="false">IF(ISBLANK($C441),"",IF(ISNUMBER($S441),IF($S441&gt;=0,$S441,""),""))</f>
        <v/>
      </c>
      <c r="AM441" s="86" t="str">
        <f aca="false">IF(ISBLANK($C441),"",IF(ISBLANK($T441),0,IF(ISNUMBER($T441),IF(AND($T441&gt;=0,$T441&lt;=Constants!$B$17,$T441=INT($T441)),$T441,""),"")))</f>
        <v/>
      </c>
      <c r="AN441" s="87" t="str">
        <f aca="false">IF(ISBLANK($C441),"",IF(ISBLANK($U441),0,IF(ISNUMBER($U441),IF($U441&gt;=0,$U441,""),"")))</f>
        <v/>
      </c>
      <c r="AO441" s="86" t="str">
        <f aca="false">IF(ISBLANK($C441),"",IF($V441=Constants!$B$2,TRUE(),IF($V441=Constants!$B$3,FALSE(),FALSE())))</f>
        <v/>
      </c>
      <c r="AP441" s="86"/>
      <c r="AQ441" s="85" t="str">
        <f aca="false">IF(ISBLANK($C441),"",AND($Y441,OR($AS441,$BC441),OR($Z441="",$AA441="",$AB441="")))</f>
        <v/>
      </c>
      <c r="AR441" s="85" t="str">
        <f aca="false">IF(ISBLANK($C441),"",IF(OR(NOT($Y441),NOT(OR($AS441,$BC441))),"",IF(ISBLANK($D$7),$AR$5,IF($AP$9="",$AR$6,""))))</f>
        <v/>
      </c>
      <c r="AS441" s="85" t="str">
        <f aca="false">IF(ISBLANK($C441),"",COUNTA($J441:$O441)&gt;0)</f>
        <v/>
      </c>
      <c r="AT441" s="85" t="str">
        <f aca="false">IF(ISBLANK($C441),"",AND($AS441,OR(AND($AF441="",OR($AE441,NOT(ISBLANK($M441)))),$AG441="",$AH441="")))</f>
        <v/>
      </c>
      <c r="AU441" s="87" t="str">
        <f aca="false">IF($BL441&lt;&gt;Constants!$B$4,"",IF(NOT($AS441),"",ROUND((Constants!$B$12-$AB441)+(Constants!$B$13-$Z441)+(Constants!$B$14-$AA441),1)))</f>
        <v/>
      </c>
      <c r="AV441" s="90" t="str">
        <f aca="false">IF($BL441&lt;&gt;Constants!$B$4,"",IF(NOT($AS441),"",IF(NOT($AE441),0,Constants!$B$15*(INT(ROUND(MIN($AF441,$AP$9),6))-INT(ROUND(MAX(0,MIN($AF441,2*$AP$9)-$AP$9),6))))))</f>
        <v/>
      </c>
      <c r="AW441" s="90" t="str">
        <f aca="false">IF($BL441&lt;&gt;Constants!$B$4,"",IF(NOT($AS441),"",Constants!$B$16*$AG441))</f>
        <v/>
      </c>
      <c r="AX441" s="90" t="str">
        <f aca="false">IF($BL441&lt;&gt;Constants!$B$4,"",IF(NOT($AS441),"",Constants!$B$18*INT(ROUND($AH441,6))))</f>
        <v/>
      </c>
      <c r="AY441" s="85" t="str">
        <f aca="false">IF($BL441&lt;&gt;Constants!$B$4,"",IF(NOT($AS441),"",IF(NOT($X441),Constants!$B$11,IF(OR(NOT($AC441),NOT($AD441),ROUND($AB441,1)&gt;Constants!$B$12,ROUND($Z441,1)&gt;Constants!$B$13,ROUND($AA441,1)&gt;Constants!$B$14),Constants!$B$10,Constants!$B$9))))</f>
        <v/>
      </c>
      <c r="AZ441" s="91" t="str">
        <f aca="false">IF($BL441&lt;&gt;Constants!$B$4,"",IF(NOT($AS441),"",ROUND($AU441+$AV441+$AW441+$AX441,1)))</f>
        <v/>
      </c>
      <c r="BA441" s="92" t="str">
        <f aca="false">IF($BL441&lt;&gt;Constants!$B$4,"",IF(NOT($AS441),"",IF(ISNUMBER($AF441),$AF441,0)))</f>
        <v/>
      </c>
      <c r="BB441" s="86" t="str">
        <f aca="false">IF($BL441&lt;&gt;Constants!$B$4,"",IF(NOT($BC441),"&lt;-",IF(NOT($AS441),"-&gt;",IF(OR($BI441&lt;$AY441,AND($BI441=$AY441,OR($BJ441&gt;$AZ441,AND($BJ441=$AZ441,OR($BH441&gt;$AX441,AND($BH441=$AX441,OR($BE441&gt;$AU441,AND($BE441=$AU441,OR($BF441&gt;$AV441,AND($BF441=$AV441,$BK441&gt;$BA441)))))))))),"-&gt;","&lt;-"))))</f>
        <v/>
      </c>
      <c r="BC441" s="85" t="str">
        <f aca="false">IF(ISBLANK($C441),"",COUNTA($P441:$U441)&gt;0)</f>
        <v/>
      </c>
      <c r="BD441" s="85" t="str">
        <f aca="false">IF(ISBLANK($C441),"",AND($BC441,OR(AND($AL441="",OR($AK441,NOT(ISBLANK($S441)))),$AM441="",$AN441="")))</f>
        <v/>
      </c>
      <c r="BE441" s="87" t="str">
        <f aca="false">IF($BL441&lt;&gt;Constants!$B$4,"",IF(NOT($BC441),"",ROUND((Constants!$B$12-$AB441)+(Constants!$B$13-$Z441)+(Constants!$B$14-$AA441),1)))</f>
        <v/>
      </c>
      <c r="BF441" s="90" t="str">
        <f aca="false">IF($BL441&lt;&gt;Constants!$B$4,"",IF(NOT($BC441),"",IF(NOT($AK441),0,Constants!$B$15*(INT(ROUND(MIN($AL441,$AP$9),6))-INT(ROUND(MAX(0,MIN($AL441,2*$AP$9)-$AP$9),6))))))</f>
        <v/>
      </c>
      <c r="BG441" s="90" t="str">
        <f aca="false">IF($BL441&lt;&gt;Constants!$B$4,"",IF(NOT($BC441),"",Constants!$B$16*$AM441))</f>
        <v/>
      </c>
      <c r="BH441" s="90" t="str">
        <f aca="false">IF($BL441&lt;&gt;Constants!$B$4,"",IF(NOT($BC441),"",Constants!$B$18*INT(ROUND($AN441,6))))</f>
        <v/>
      </c>
      <c r="BI441" s="85" t="str">
        <f aca="false">IF($BL441&lt;&gt;Constants!$B$4,"",IF(NOT($BC441),"",IF(NOT($X441),Constants!$B$11,IF(OR(NOT($AI441),NOT($AJ441),ROUND($AB441,1)&gt;Constants!$B$12,ROUND($Z441,1)&gt;Constants!$B$13,ROUND($AA441,1)&gt;Constants!$B$14),Constants!$B$10,Constants!$B$9))))</f>
        <v/>
      </c>
      <c r="BJ441" s="91" t="str">
        <f aca="false">IF($BL441&lt;&gt;Constants!$B$4,"",IF(NOT($BC441),"",ROUND($BE441+$BF441+$BG441+$BH441,1)))</f>
        <v/>
      </c>
      <c r="BK441" s="92" t="str">
        <f aca="false">IF($BL441&lt;&gt;Constants!$B$4,"",IF(NOT($BC441),"",IF(ISNUMBER($AL441),$AL441,0)))</f>
        <v/>
      </c>
      <c r="BL441" s="86" t="str">
        <f aca="false">IF(ISBLANK($C441),"",IF($AO441,Constants!$B$7,IF(COUNTA($E441:$V441)=0,Constants!$B$6,IF(NOT($Y441),Constants!$B$5,IF(NOT(OR($AS441,$BC441)),Constants!$B$5,IF(OR($AT441,$BD441,$AQ441,$AR441&lt;&gt;""),Constants!$B$8,Constants!$B$4))))))</f>
        <v/>
      </c>
      <c r="BM441" s="86" t="str">
        <f aca="false">IF(ISBLANK($C441),"",IF($BL441&lt;&gt;Constants!$B$4,$BL441,IF($BB441="-&gt;",$BI441,$AY441)))</f>
        <v/>
      </c>
      <c r="BN441" s="90" t="str">
        <f aca="false">IF($BL441&lt;&gt;Constants!$B$4,"",IF($BB441="-&gt;",$BJ441,$AZ441))</f>
        <v/>
      </c>
      <c r="BO441" s="90" t="str">
        <f aca="false">IF(ISBLANK($C441),"",IF($BL441&lt;&gt;Constants!$B$4,$BL441,$BN441))</f>
        <v/>
      </c>
      <c r="BP441" s="86" t="str">
        <f aca="false">IF(ISBLANK($C441),"",IF($BL441&lt;&gt;Constants!$B$4,$BL441,RANK($BO441,$BO$9:$BO$508,0)))</f>
        <v/>
      </c>
      <c r="BQ441" s="86" t="str">
        <f aca="false">IF(ISBLANK($C441),"",IF($BL441&lt;&gt;Constants!$B$4,$BL441,COUNTIFS($BM$9:$BM$508,"&lt;"&amp;$BM441)+COUNTIFS($BM$9:$BM$508,$BM441,$BP$9:$BP$508,"&lt;"&amp;$BP441)+1))</f>
        <v/>
      </c>
      <c r="BR441" s="90" t="str">
        <f aca="false">IF($BL441&lt;&gt;Constants!$B$4,"",IF($BB441="-&gt;",$BH441,$AX441))</f>
        <v/>
      </c>
      <c r="BS441" s="86" t="str">
        <f aca="false">IF(ISBLANK($C441),"",IF($BL441&lt;&gt;Constants!$B$4,$BL441,IF(ISNUMBER($BR441),RANK($BR441,$BR$9:$BR$508,0),COUNT($BR$9:$BR$508)+1)))</f>
        <v/>
      </c>
      <c r="BT441" s="90" t="str">
        <f aca="false">IF($BL441&lt;&gt;Constants!$B$4,"",IF($BB441="-&gt;",$BE441,$AU441))</f>
        <v/>
      </c>
      <c r="BU441" s="86" t="str">
        <f aca="false">IF(ISBLANK($C441),"",IF($BL441&lt;&gt;Constants!$B$4,$BL441,IF(ISNUMBER($BT441),RANK($BT441,$BT$9:$BT$508,0),COUNT($BT$9:$BT$508)+1)))</f>
        <v/>
      </c>
      <c r="BV441" s="90" t="str">
        <f aca="false">IF($BL441&lt;&gt;Constants!$B$4,"",IF($BB441="-&gt;",$BF441,$AV441))</f>
        <v/>
      </c>
      <c r="BW441" s="86" t="str">
        <f aca="false">IF(ISBLANK($C441),"",IF($BL441&lt;&gt;Constants!$B$4,$BL441,IF(ISNUMBER($BV441),RANK($BV441,$BV$9:$BV$508,0),COUNT($BV$9:$BV$508)+1)))</f>
        <v/>
      </c>
      <c r="BX441" s="90" t="str">
        <f aca="false">IF($BL441&lt;&gt;Constants!$B$4,"",IF($BB441="-&gt;",$BK441,$BA441))</f>
        <v/>
      </c>
      <c r="BY441" s="86" t="str">
        <f aca="false">IF(ISBLANK($C441),"",IF($BL441&lt;&gt;Constants!$B$4,$BL441,IF(ISNUMBER($BX441),RANK($BX441,$BX$9:$BX$508,0),COUNT($BX$9:$BX$508)+1)))</f>
        <v/>
      </c>
      <c r="BZ441" s="86" t="str">
        <f aca="false">IF(ISBLANK($C441),"",IF($BL441&lt;&gt;Constants!$B$4,$BL441,COUNTIFS($BM$9:$BM$508,"&lt;"&amp;$BM441)+COUNTIFS($BM$9:$BM$508,$BM441,$BP$9:$BP$508,"&lt;"&amp;$BP441)+COUNTIFS($BM$9:$BM$508,$BM441,$BP$9:$BP$508,$BP441,$BS$9:$BS$508,"&lt;"&amp;$BS441)+COUNTIFS($BM$9:$BM$508,$BM441,$BP$9:$BP$508,$BP441,$BS$9:$BS$508,$BS441,$BU$9:$BU$508,"&lt;"&amp;$BU441)+COUNTIFS($BM$9:$BM$508,$BM441,$BP$9:$BP$508,$BP441,$BS$9:$BS$508,$BS441,$BU$9:$BU$508,$BU441,$BW$9:$BW$508,"&lt;"&amp;$BW441)+COUNTIFS($BM$9:$BM$508,$BM441,$BP$9:$BP$508,$BP441,$BS$9:$BS$508,$BS441,$BU$9:$BU$508,$BU441,$BW$9:$BW$508,$BW441,$BY$9:$BY$508,"&lt;"&amp;$BY441)+1))</f>
        <v/>
      </c>
      <c r="CA441" s="86" t="str">
        <f aca="false">IF(ISBLANK($C441),"",IF($BL441&lt;&gt;Constants!$B$4,$BL441,$BQ441-$BZ441))</f>
        <v/>
      </c>
      <c r="CB441" s="93"/>
      <c r="CC441" s="94" t="str">
        <f aca="false">IF(ISBLANK($C441),"",IF($BL441=Constants!$B$8,$AR441,""))</f>
        <v/>
      </c>
      <c r="CD441" s="94" t="str">
        <f aca="false">IF(ISBLANK($C441),"",IF($BL441&lt;&gt;Constants!$B$4,"",IF($BB441="-&gt;",2,1)))</f>
        <v/>
      </c>
      <c r="CE441" s="95" t="str">
        <f aca="false">IF(ISBLANK($C441),"",IF($BL441&lt;&gt;Constants!$B$4,"",IF($BB441="-&gt;",$BE441,$AU441)))</f>
        <v/>
      </c>
      <c r="CF441" s="95" t="str">
        <f aca="false">IF(ISBLANK($C441),"",IF($BL441&lt;&gt;Constants!$B$4,"",IF($BB441="-&gt;",$BF441,$AV441)))</f>
        <v/>
      </c>
      <c r="CG441" s="95" t="str">
        <f aca="false">IF(ISBLANK($C441),"",IF($BL441&lt;&gt;Constants!$B$4,"",IF($BB441="-&gt;",$BG441,$AW441)))</f>
        <v/>
      </c>
      <c r="CH441" s="95" t="str">
        <f aca="false">IF(ISBLANK($C441),"",IF($BL441&lt;&gt;Constants!$B$4,"",IF($BB441="-&gt;",$BH441,$AX441)))</f>
        <v/>
      </c>
      <c r="CI441" s="96" t="str">
        <f aca="false">IF(ISBLANK($C441),"",$BO441)</f>
        <v/>
      </c>
      <c r="CJ441" s="97" t="str">
        <f aca="false">IF(ISBLANK($C441),"",$BM441)</f>
        <v/>
      </c>
      <c r="CK441" s="98" t="str">
        <f aca="false">IF(ISBLANK($C441),"",$CA441)</f>
        <v/>
      </c>
      <c r="CL441" s="98" t="str">
        <f aca="false">IF(ISBLANK($C441),"",$BZ441)</f>
        <v/>
      </c>
      <c r="CM441" s="99" t="str">
        <f aca="false">IF(ISBLANK($C441),"",IF($CL441=Constants!$B$7,COUNTA($C$9:$C$508)+2,IF($CL441=Constants!$B$6,COUNTA($C$9:$C$508)+1,IF($CL441=Constants!$B$5,COUNTA($C$9:$C$508),$CL441))))</f>
        <v/>
      </c>
      <c r="CN441" s="8"/>
      <c r="CO441" s="100" t="n">
        <f aca="false">IF(OR(ISNUMBER($CL441),$CL441=Constants!$B$7,$CL441=Constants!$B$5,$CL441=Constants!$B$6),1,0)</f>
        <v>0</v>
      </c>
      <c r="CP441" s="100" t="n">
        <v>433</v>
      </c>
      <c r="CQ441" s="100" t="str">
        <f aca="false">IF(ISBLANK($C441),"",IF(ISNUMBER($CM441),$CM441+ROW($B441)/1000,""))</f>
        <v/>
      </c>
      <c r="CR441" s="100" t="str">
        <f aca="false">IF(ISNUMBER($CQ441),RANK($CQ441,$CQ$9:$CQ$508,1),"")</f>
        <v/>
      </c>
      <c r="CS441" s="100" t="str">
        <f aca="false">IF(ISBLANK($C441),"",$B441)</f>
        <v/>
      </c>
      <c r="CT441" s="100" t="str">
        <f aca="false">IF(ISBLANK($C441),"",$C441)</f>
        <v/>
      </c>
      <c r="CU441" s="100" t="str">
        <f aca="false">IF(ISBLANK($C441),"",$D441)</f>
        <v/>
      </c>
      <c r="CV441" s="101" t="str">
        <f aca="false">$CJ441</f>
        <v/>
      </c>
      <c r="CW441" s="102" t="str">
        <f aca="false">$CI441</f>
        <v/>
      </c>
      <c r="CX441" s="100" t="str">
        <f aca="false">IF(ISBLANK($C441),"",$CL441)</f>
        <v/>
      </c>
      <c r="CY441" s="103" t="str">
        <f aca="false">IF($CP441&gt;$CO$8,"",VLOOKUP($CP441,$CR$9:$CX$508,7,FALSE()))</f>
        <v/>
      </c>
      <c r="CZ441" s="104" t="str">
        <f aca="false">IF($CP441&gt;$CO$8,"",VLOOKUP($CP441,$CR$9:$CX$508,2,FALSE()))</f>
        <v/>
      </c>
      <c r="DA441" s="104" t="str">
        <f aca="false">IF($CP441&gt;$CO$8,"",VLOOKUP($CP441,$CR$9:$CX$508,3,FALSE()))</f>
        <v/>
      </c>
      <c r="DB441" s="104" t="str">
        <f aca="false">IF($CP441&gt;$CO$8,"",VLOOKUP($CP441,$CR$9:$CX$508,4,FALSE()))</f>
        <v/>
      </c>
      <c r="DC441" s="104" t="str">
        <f aca="false">IF($CP441&gt;$CO$8,"",VLOOKUP($CP441,$CR$9:$CX$508,5,FALSE()))</f>
        <v/>
      </c>
      <c r="DD441" s="105" t="str">
        <f aca="false">IF($CP441&gt;$CO$8,"",VLOOKUP($CP441,$CR$9:$CX$508,6,FALSE()))</f>
        <v/>
      </c>
      <c r="DE441" s="70"/>
    </row>
    <row r="442" customFormat="false" ht="15.75" hidden="false" customHeight="false" outlineLevel="0" collapsed="false">
      <c r="A442" s="8"/>
      <c r="B442" s="72"/>
      <c r="C442" s="73"/>
      <c r="D442" s="155"/>
      <c r="E442" s="162"/>
      <c r="F442" s="157"/>
      <c r="G442" s="77"/>
      <c r="H442" s="77"/>
      <c r="I442" s="77"/>
      <c r="J442" s="163"/>
      <c r="K442" s="161"/>
      <c r="L442" s="161"/>
      <c r="M442" s="80"/>
      <c r="N442" s="161"/>
      <c r="O442" s="160"/>
      <c r="P442" s="161"/>
      <c r="Q442" s="161"/>
      <c r="R442" s="161"/>
      <c r="S442" s="77"/>
      <c r="T442" s="161"/>
      <c r="U442" s="160"/>
      <c r="V442" s="161"/>
      <c r="W442" s="85"/>
      <c r="X442" s="86" t="str">
        <f aca="false">IF(ISBLANK($C442),"",IF($E442=Constants!$B$2,TRUE(),IF($E442=Constants!$B$3,FALSE(),TRUE())))</f>
        <v/>
      </c>
      <c r="Y442" s="86" t="str">
        <f aca="false">IF(ISBLANK($C442),"",IF($F442=Constants!$B$2,TRUE(),IF($F442=Constants!$B$3,FALSE(),TRUE())))</f>
        <v/>
      </c>
      <c r="Z442" s="87" t="str">
        <f aca="false">IF(ISBLANK($C442),"",IF(ISNUMBER($G442),IF($G442&gt;=0,$G442,""),""))</f>
        <v/>
      </c>
      <c r="AA442" s="87" t="str">
        <f aca="false">IF(ISBLANK($C442),"",IF(ISNUMBER($H442),IF($H442&gt;=0,$H442,""),""))</f>
        <v/>
      </c>
      <c r="AB442" s="87" t="str">
        <f aca="false">IF(ISBLANK($C442),"",IF(ISNUMBER($I442),IF($I442&gt;=0,$I442,""),""))</f>
        <v/>
      </c>
      <c r="AC442" s="86" t="str">
        <f aca="false">IF(ISBLANK($C442),"",IF($J442=Constants!$B$2,TRUE(),IF($J442=Constants!$B$3,FALSE(),TRUE())))</f>
        <v/>
      </c>
      <c r="AD442" s="86" t="str">
        <f aca="false">IF(ISBLANK($C442),"",IF($K442=Constants!$B$2,TRUE(),IF($K442=Constants!$B$3,FALSE(),TRUE())))</f>
        <v/>
      </c>
      <c r="AE442" s="86" t="str">
        <f aca="false">IF(ISBLANK($C442),"",IF($L442=Constants!$B$2,TRUE(),IF($L442=Constants!$B$3,FALSE(),TRUE())))</f>
        <v/>
      </c>
      <c r="AF442" s="88" t="str">
        <f aca="false">IF(ISBLANK($C442),"",IF(ISNUMBER($M442),IF($M442&gt;=0,$M442,""),""))</f>
        <v/>
      </c>
      <c r="AG442" s="86" t="str">
        <f aca="false">IF(ISBLANK($C442),"",IF(ISBLANK($N442),0,IF(ISNUMBER($N442),IF(AND($N442&gt;=0,$N442&lt;=Constants!$B$17,$N442=INT($N442)),$N442,""),"")))</f>
        <v/>
      </c>
      <c r="AH442" s="87" t="str">
        <f aca="false">IF(ISBLANK($C442),"",IF(ISBLANK($O442),0,IF(ISNUMBER($O442),IF($O442&gt;=0,$O442,""),"")))</f>
        <v/>
      </c>
      <c r="AI442" s="86" t="str">
        <f aca="false">IF(ISBLANK($C442),"",IF($P442=Constants!$B$2,TRUE(),IF($P442=Constants!$B$3,FALSE(),TRUE())))</f>
        <v/>
      </c>
      <c r="AJ442" s="86" t="str">
        <f aca="false">IF(ISBLANK($C442),"",IF($Q442=Constants!$B$2,TRUE(),IF($Q442=Constants!$B$3,FALSE(),TRUE())))</f>
        <v/>
      </c>
      <c r="AK442" s="86" t="str">
        <f aca="false">IF(ISBLANK($C442),"",IF($R442=Constants!$B$2,TRUE(),IF($R442=Constants!$B$3,FALSE(),TRUE())))</f>
        <v/>
      </c>
      <c r="AL442" s="88" t="str">
        <f aca="false">IF(ISBLANK($C442),"",IF(ISNUMBER($S442),IF($S442&gt;=0,$S442,""),""))</f>
        <v/>
      </c>
      <c r="AM442" s="86" t="str">
        <f aca="false">IF(ISBLANK($C442),"",IF(ISBLANK($T442),0,IF(ISNUMBER($T442),IF(AND($T442&gt;=0,$T442&lt;=Constants!$B$17,$T442=INT($T442)),$T442,""),"")))</f>
        <v/>
      </c>
      <c r="AN442" s="87" t="str">
        <f aca="false">IF(ISBLANK($C442),"",IF(ISBLANK($U442),0,IF(ISNUMBER($U442),IF($U442&gt;=0,$U442,""),"")))</f>
        <v/>
      </c>
      <c r="AO442" s="86" t="str">
        <f aca="false">IF(ISBLANK($C442),"",IF($V442=Constants!$B$2,TRUE(),IF($V442=Constants!$B$3,FALSE(),FALSE())))</f>
        <v/>
      </c>
      <c r="AP442" s="86"/>
      <c r="AQ442" s="85" t="str">
        <f aca="false">IF(ISBLANK($C442),"",AND($Y442,OR($AS442,$BC442),OR($Z442="",$AA442="",$AB442="")))</f>
        <v/>
      </c>
      <c r="AR442" s="85" t="str">
        <f aca="false">IF(ISBLANK($C442),"",IF(OR(NOT($Y442),NOT(OR($AS442,$BC442))),"",IF(ISBLANK($D$7),$AR$5,IF($AP$9="",$AR$6,""))))</f>
        <v/>
      </c>
      <c r="AS442" s="85" t="str">
        <f aca="false">IF(ISBLANK($C442),"",COUNTA($J442:$O442)&gt;0)</f>
        <v/>
      </c>
      <c r="AT442" s="85" t="str">
        <f aca="false">IF(ISBLANK($C442),"",AND($AS442,OR(AND($AF442="",OR($AE442,NOT(ISBLANK($M442)))),$AG442="",$AH442="")))</f>
        <v/>
      </c>
      <c r="AU442" s="87" t="str">
        <f aca="false">IF($BL442&lt;&gt;Constants!$B$4,"",IF(NOT($AS442),"",ROUND((Constants!$B$12-$AB442)+(Constants!$B$13-$Z442)+(Constants!$B$14-$AA442),1)))</f>
        <v/>
      </c>
      <c r="AV442" s="90" t="str">
        <f aca="false">IF($BL442&lt;&gt;Constants!$B$4,"",IF(NOT($AS442),"",IF(NOT($AE442),0,Constants!$B$15*(INT(ROUND(MIN($AF442,$AP$9),6))-INT(ROUND(MAX(0,MIN($AF442,2*$AP$9)-$AP$9),6))))))</f>
        <v/>
      </c>
      <c r="AW442" s="90" t="str">
        <f aca="false">IF($BL442&lt;&gt;Constants!$B$4,"",IF(NOT($AS442),"",Constants!$B$16*$AG442))</f>
        <v/>
      </c>
      <c r="AX442" s="90" t="str">
        <f aca="false">IF($BL442&lt;&gt;Constants!$B$4,"",IF(NOT($AS442),"",Constants!$B$18*INT(ROUND($AH442,6))))</f>
        <v/>
      </c>
      <c r="AY442" s="85" t="str">
        <f aca="false">IF($BL442&lt;&gt;Constants!$B$4,"",IF(NOT($AS442),"",IF(NOT($X442),Constants!$B$11,IF(OR(NOT($AC442),NOT($AD442),ROUND($AB442,1)&gt;Constants!$B$12,ROUND($Z442,1)&gt;Constants!$B$13,ROUND($AA442,1)&gt;Constants!$B$14),Constants!$B$10,Constants!$B$9))))</f>
        <v/>
      </c>
      <c r="AZ442" s="91" t="str">
        <f aca="false">IF($BL442&lt;&gt;Constants!$B$4,"",IF(NOT($AS442),"",ROUND($AU442+$AV442+$AW442+$AX442,1)))</f>
        <v/>
      </c>
      <c r="BA442" s="92" t="str">
        <f aca="false">IF($BL442&lt;&gt;Constants!$B$4,"",IF(NOT($AS442),"",IF(ISNUMBER($AF442),$AF442,0)))</f>
        <v/>
      </c>
      <c r="BB442" s="86" t="str">
        <f aca="false">IF($BL442&lt;&gt;Constants!$B$4,"",IF(NOT($BC442),"&lt;-",IF(NOT($AS442),"-&gt;",IF(OR($BI442&lt;$AY442,AND($BI442=$AY442,OR($BJ442&gt;$AZ442,AND($BJ442=$AZ442,OR($BH442&gt;$AX442,AND($BH442=$AX442,OR($BE442&gt;$AU442,AND($BE442=$AU442,OR($BF442&gt;$AV442,AND($BF442=$AV442,$BK442&gt;$BA442)))))))))),"-&gt;","&lt;-"))))</f>
        <v/>
      </c>
      <c r="BC442" s="85" t="str">
        <f aca="false">IF(ISBLANK($C442),"",COUNTA($P442:$U442)&gt;0)</f>
        <v/>
      </c>
      <c r="BD442" s="85" t="str">
        <f aca="false">IF(ISBLANK($C442),"",AND($BC442,OR(AND($AL442="",OR($AK442,NOT(ISBLANK($S442)))),$AM442="",$AN442="")))</f>
        <v/>
      </c>
      <c r="BE442" s="87" t="str">
        <f aca="false">IF($BL442&lt;&gt;Constants!$B$4,"",IF(NOT($BC442),"",ROUND((Constants!$B$12-$AB442)+(Constants!$B$13-$Z442)+(Constants!$B$14-$AA442),1)))</f>
        <v/>
      </c>
      <c r="BF442" s="90" t="str">
        <f aca="false">IF($BL442&lt;&gt;Constants!$B$4,"",IF(NOT($BC442),"",IF(NOT($AK442),0,Constants!$B$15*(INT(ROUND(MIN($AL442,$AP$9),6))-INT(ROUND(MAX(0,MIN($AL442,2*$AP$9)-$AP$9),6))))))</f>
        <v/>
      </c>
      <c r="BG442" s="90" t="str">
        <f aca="false">IF($BL442&lt;&gt;Constants!$B$4,"",IF(NOT($BC442),"",Constants!$B$16*$AM442))</f>
        <v/>
      </c>
      <c r="BH442" s="90" t="str">
        <f aca="false">IF($BL442&lt;&gt;Constants!$B$4,"",IF(NOT($BC442),"",Constants!$B$18*INT(ROUND($AN442,6))))</f>
        <v/>
      </c>
      <c r="BI442" s="85" t="str">
        <f aca="false">IF($BL442&lt;&gt;Constants!$B$4,"",IF(NOT($BC442),"",IF(NOT($X442),Constants!$B$11,IF(OR(NOT($AI442),NOT($AJ442),ROUND($AB442,1)&gt;Constants!$B$12,ROUND($Z442,1)&gt;Constants!$B$13,ROUND($AA442,1)&gt;Constants!$B$14),Constants!$B$10,Constants!$B$9))))</f>
        <v/>
      </c>
      <c r="BJ442" s="91" t="str">
        <f aca="false">IF($BL442&lt;&gt;Constants!$B$4,"",IF(NOT($BC442),"",ROUND($BE442+$BF442+$BG442+$BH442,1)))</f>
        <v/>
      </c>
      <c r="BK442" s="92" t="str">
        <f aca="false">IF($BL442&lt;&gt;Constants!$B$4,"",IF(NOT($BC442),"",IF(ISNUMBER($AL442),$AL442,0)))</f>
        <v/>
      </c>
      <c r="BL442" s="86" t="str">
        <f aca="false">IF(ISBLANK($C442),"",IF($AO442,Constants!$B$7,IF(COUNTA($E442:$V442)=0,Constants!$B$6,IF(NOT($Y442),Constants!$B$5,IF(NOT(OR($AS442,$BC442)),Constants!$B$5,IF(OR($AT442,$BD442,$AQ442,$AR442&lt;&gt;""),Constants!$B$8,Constants!$B$4))))))</f>
        <v/>
      </c>
      <c r="BM442" s="86" t="str">
        <f aca="false">IF(ISBLANK($C442),"",IF($BL442&lt;&gt;Constants!$B$4,$BL442,IF($BB442="-&gt;",$BI442,$AY442)))</f>
        <v/>
      </c>
      <c r="BN442" s="90" t="str">
        <f aca="false">IF($BL442&lt;&gt;Constants!$B$4,"",IF($BB442="-&gt;",$BJ442,$AZ442))</f>
        <v/>
      </c>
      <c r="BO442" s="90" t="str">
        <f aca="false">IF(ISBLANK($C442),"",IF($BL442&lt;&gt;Constants!$B$4,$BL442,$BN442))</f>
        <v/>
      </c>
      <c r="BP442" s="86" t="str">
        <f aca="false">IF(ISBLANK($C442),"",IF($BL442&lt;&gt;Constants!$B$4,$BL442,RANK($BO442,$BO$9:$BO$508,0)))</f>
        <v/>
      </c>
      <c r="BQ442" s="86" t="str">
        <f aca="false">IF(ISBLANK($C442),"",IF($BL442&lt;&gt;Constants!$B$4,$BL442,COUNTIFS($BM$9:$BM$508,"&lt;"&amp;$BM442)+COUNTIFS($BM$9:$BM$508,$BM442,$BP$9:$BP$508,"&lt;"&amp;$BP442)+1))</f>
        <v/>
      </c>
      <c r="BR442" s="90" t="str">
        <f aca="false">IF($BL442&lt;&gt;Constants!$B$4,"",IF($BB442="-&gt;",$BH442,$AX442))</f>
        <v/>
      </c>
      <c r="BS442" s="86" t="str">
        <f aca="false">IF(ISBLANK($C442),"",IF($BL442&lt;&gt;Constants!$B$4,$BL442,IF(ISNUMBER($BR442),RANK($BR442,$BR$9:$BR$508,0),COUNT($BR$9:$BR$508)+1)))</f>
        <v/>
      </c>
      <c r="BT442" s="90" t="str">
        <f aca="false">IF($BL442&lt;&gt;Constants!$B$4,"",IF($BB442="-&gt;",$BE442,$AU442))</f>
        <v/>
      </c>
      <c r="BU442" s="86" t="str">
        <f aca="false">IF(ISBLANK($C442),"",IF($BL442&lt;&gt;Constants!$B$4,$BL442,IF(ISNUMBER($BT442),RANK($BT442,$BT$9:$BT$508,0),COUNT($BT$9:$BT$508)+1)))</f>
        <v/>
      </c>
      <c r="BV442" s="90" t="str">
        <f aca="false">IF($BL442&lt;&gt;Constants!$B$4,"",IF($BB442="-&gt;",$BF442,$AV442))</f>
        <v/>
      </c>
      <c r="BW442" s="86" t="str">
        <f aca="false">IF(ISBLANK($C442),"",IF($BL442&lt;&gt;Constants!$B$4,$BL442,IF(ISNUMBER($BV442),RANK($BV442,$BV$9:$BV$508,0),COUNT($BV$9:$BV$508)+1)))</f>
        <v/>
      </c>
      <c r="BX442" s="90" t="str">
        <f aca="false">IF($BL442&lt;&gt;Constants!$B$4,"",IF($BB442="-&gt;",$BK442,$BA442))</f>
        <v/>
      </c>
      <c r="BY442" s="86" t="str">
        <f aca="false">IF(ISBLANK($C442),"",IF($BL442&lt;&gt;Constants!$B$4,$BL442,IF(ISNUMBER($BX442),RANK($BX442,$BX$9:$BX$508,0),COUNT($BX$9:$BX$508)+1)))</f>
        <v/>
      </c>
      <c r="BZ442" s="86" t="str">
        <f aca="false">IF(ISBLANK($C442),"",IF($BL442&lt;&gt;Constants!$B$4,$BL442,COUNTIFS($BM$9:$BM$508,"&lt;"&amp;$BM442)+COUNTIFS($BM$9:$BM$508,$BM442,$BP$9:$BP$508,"&lt;"&amp;$BP442)+COUNTIFS($BM$9:$BM$508,$BM442,$BP$9:$BP$508,$BP442,$BS$9:$BS$508,"&lt;"&amp;$BS442)+COUNTIFS($BM$9:$BM$508,$BM442,$BP$9:$BP$508,$BP442,$BS$9:$BS$508,$BS442,$BU$9:$BU$508,"&lt;"&amp;$BU442)+COUNTIFS($BM$9:$BM$508,$BM442,$BP$9:$BP$508,$BP442,$BS$9:$BS$508,$BS442,$BU$9:$BU$508,$BU442,$BW$9:$BW$508,"&lt;"&amp;$BW442)+COUNTIFS($BM$9:$BM$508,$BM442,$BP$9:$BP$508,$BP442,$BS$9:$BS$508,$BS442,$BU$9:$BU$508,$BU442,$BW$9:$BW$508,$BW442,$BY$9:$BY$508,"&lt;"&amp;$BY442)+1))</f>
        <v/>
      </c>
      <c r="CA442" s="86" t="str">
        <f aca="false">IF(ISBLANK($C442),"",IF($BL442&lt;&gt;Constants!$B$4,$BL442,$BQ442-$BZ442))</f>
        <v/>
      </c>
      <c r="CB442" s="93"/>
      <c r="CC442" s="94" t="str">
        <f aca="false">IF(ISBLANK($C442),"",IF($BL442=Constants!$B$8,$AR442,""))</f>
        <v/>
      </c>
      <c r="CD442" s="94" t="str">
        <f aca="false">IF(ISBLANK($C442),"",IF($BL442&lt;&gt;Constants!$B$4,"",IF($BB442="-&gt;",2,1)))</f>
        <v/>
      </c>
      <c r="CE442" s="95" t="str">
        <f aca="false">IF(ISBLANK($C442),"",IF($BL442&lt;&gt;Constants!$B$4,"",IF($BB442="-&gt;",$BE442,$AU442)))</f>
        <v/>
      </c>
      <c r="CF442" s="95" t="str">
        <f aca="false">IF(ISBLANK($C442),"",IF($BL442&lt;&gt;Constants!$B$4,"",IF($BB442="-&gt;",$BF442,$AV442)))</f>
        <v/>
      </c>
      <c r="CG442" s="95" t="str">
        <f aca="false">IF(ISBLANK($C442),"",IF($BL442&lt;&gt;Constants!$B$4,"",IF($BB442="-&gt;",$BG442,$AW442)))</f>
        <v/>
      </c>
      <c r="CH442" s="95" t="str">
        <f aca="false">IF(ISBLANK($C442),"",IF($BL442&lt;&gt;Constants!$B$4,"",IF($BB442="-&gt;",$BH442,$AX442)))</f>
        <v/>
      </c>
      <c r="CI442" s="96" t="str">
        <f aca="false">IF(ISBLANK($C442),"",$BO442)</f>
        <v/>
      </c>
      <c r="CJ442" s="97" t="str">
        <f aca="false">IF(ISBLANK($C442),"",$BM442)</f>
        <v/>
      </c>
      <c r="CK442" s="98" t="str">
        <f aca="false">IF(ISBLANK($C442),"",$CA442)</f>
        <v/>
      </c>
      <c r="CL442" s="98" t="str">
        <f aca="false">IF(ISBLANK($C442),"",$BZ442)</f>
        <v/>
      </c>
      <c r="CM442" s="99" t="str">
        <f aca="false">IF(ISBLANK($C442),"",IF($CL442=Constants!$B$7,COUNTA($C$9:$C$508)+2,IF($CL442=Constants!$B$6,COUNTA($C$9:$C$508)+1,IF($CL442=Constants!$B$5,COUNTA($C$9:$C$508),$CL442))))</f>
        <v/>
      </c>
      <c r="CN442" s="8"/>
      <c r="CO442" s="100" t="n">
        <f aca="false">IF(OR(ISNUMBER($CL442),$CL442=Constants!$B$7,$CL442=Constants!$B$5,$CL442=Constants!$B$6),1,0)</f>
        <v>0</v>
      </c>
      <c r="CP442" s="100" t="n">
        <v>434</v>
      </c>
      <c r="CQ442" s="100" t="str">
        <f aca="false">IF(ISBLANK($C442),"",IF(ISNUMBER($CM442),$CM442+ROW($B442)/1000,""))</f>
        <v/>
      </c>
      <c r="CR442" s="100" t="str">
        <f aca="false">IF(ISNUMBER($CQ442),RANK($CQ442,$CQ$9:$CQ$508,1),"")</f>
        <v/>
      </c>
      <c r="CS442" s="100" t="str">
        <f aca="false">IF(ISBLANK($C442),"",$B442)</f>
        <v/>
      </c>
      <c r="CT442" s="100" t="str">
        <f aca="false">IF(ISBLANK($C442),"",$C442)</f>
        <v/>
      </c>
      <c r="CU442" s="100" t="str">
        <f aca="false">IF(ISBLANK($C442),"",$D442)</f>
        <v/>
      </c>
      <c r="CV442" s="101" t="str">
        <f aca="false">$CJ442</f>
        <v/>
      </c>
      <c r="CW442" s="102" t="str">
        <f aca="false">$CI442</f>
        <v/>
      </c>
      <c r="CX442" s="100" t="str">
        <f aca="false">IF(ISBLANK($C442),"",$CL442)</f>
        <v/>
      </c>
      <c r="CY442" s="103" t="str">
        <f aca="false">IF($CP442&gt;$CO$8,"",VLOOKUP($CP442,$CR$9:$CX$508,7,FALSE()))</f>
        <v/>
      </c>
      <c r="CZ442" s="104" t="str">
        <f aca="false">IF($CP442&gt;$CO$8,"",VLOOKUP($CP442,$CR$9:$CX$508,2,FALSE()))</f>
        <v/>
      </c>
      <c r="DA442" s="104" t="str">
        <f aca="false">IF($CP442&gt;$CO$8,"",VLOOKUP($CP442,$CR$9:$CX$508,3,FALSE()))</f>
        <v/>
      </c>
      <c r="DB442" s="104" t="str">
        <f aca="false">IF($CP442&gt;$CO$8,"",VLOOKUP($CP442,$CR$9:$CX$508,4,FALSE()))</f>
        <v/>
      </c>
      <c r="DC442" s="104" t="str">
        <f aca="false">IF($CP442&gt;$CO$8,"",VLOOKUP($CP442,$CR$9:$CX$508,5,FALSE()))</f>
        <v/>
      </c>
      <c r="DD442" s="105" t="str">
        <f aca="false">IF($CP442&gt;$CO$8,"",VLOOKUP($CP442,$CR$9:$CX$508,6,FALSE()))</f>
        <v/>
      </c>
      <c r="DE442" s="70"/>
    </row>
    <row r="443" customFormat="false" ht="15.75" hidden="false" customHeight="false" outlineLevel="0" collapsed="false">
      <c r="A443" s="8"/>
      <c r="B443" s="72"/>
      <c r="C443" s="73"/>
      <c r="D443" s="155"/>
      <c r="E443" s="162"/>
      <c r="F443" s="157"/>
      <c r="G443" s="77"/>
      <c r="H443" s="77"/>
      <c r="I443" s="77"/>
      <c r="J443" s="163"/>
      <c r="K443" s="161"/>
      <c r="L443" s="161"/>
      <c r="M443" s="80"/>
      <c r="N443" s="161"/>
      <c r="O443" s="160"/>
      <c r="P443" s="161"/>
      <c r="Q443" s="161"/>
      <c r="R443" s="161"/>
      <c r="S443" s="77"/>
      <c r="T443" s="161"/>
      <c r="U443" s="160"/>
      <c r="V443" s="161"/>
      <c r="W443" s="85"/>
      <c r="X443" s="86" t="str">
        <f aca="false">IF(ISBLANK($C443),"",IF($E443=Constants!$B$2,TRUE(),IF($E443=Constants!$B$3,FALSE(),TRUE())))</f>
        <v/>
      </c>
      <c r="Y443" s="86" t="str">
        <f aca="false">IF(ISBLANK($C443),"",IF($F443=Constants!$B$2,TRUE(),IF($F443=Constants!$B$3,FALSE(),TRUE())))</f>
        <v/>
      </c>
      <c r="Z443" s="87" t="str">
        <f aca="false">IF(ISBLANK($C443),"",IF(ISNUMBER($G443),IF($G443&gt;=0,$G443,""),""))</f>
        <v/>
      </c>
      <c r="AA443" s="87" t="str">
        <f aca="false">IF(ISBLANK($C443),"",IF(ISNUMBER($H443),IF($H443&gt;=0,$H443,""),""))</f>
        <v/>
      </c>
      <c r="AB443" s="87" t="str">
        <f aca="false">IF(ISBLANK($C443),"",IF(ISNUMBER($I443),IF($I443&gt;=0,$I443,""),""))</f>
        <v/>
      </c>
      <c r="AC443" s="86" t="str">
        <f aca="false">IF(ISBLANK($C443),"",IF($J443=Constants!$B$2,TRUE(),IF($J443=Constants!$B$3,FALSE(),TRUE())))</f>
        <v/>
      </c>
      <c r="AD443" s="86" t="str">
        <f aca="false">IF(ISBLANK($C443),"",IF($K443=Constants!$B$2,TRUE(),IF($K443=Constants!$B$3,FALSE(),TRUE())))</f>
        <v/>
      </c>
      <c r="AE443" s="86" t="str">
        <f aca="false">IF(ISBLANK($C443),"",IF($L443=Constants!$B$2,TRUE(),IF($L443=Constants!$B$3,FALSE(),TRUE())))</f>
        <v/>
      </c>
      <c r="AF443" s="88" t="str">
        <f aca="false">IF(ISBLANK($C443),"",IF(ISNUMBER($M443),IF($M443&gt;=0,$M443,""),""))</f>
        <v/>
      </c>
      <c r="AG443" s="86" t="str">
        <f aca="false">IF(ISBLANK($C443),"",IF(ISBLANK($N443),0,IF(ISNUMBER($N443),IF(AND($N443&gt;=0,$N443&lt;=Constants!$B$17,$N443=INT($N443)),$N443,""),"")))</f>
        <v/>
      </c>
      <c r="AH443" s="87" t="str">
        <f aca="false">IF(ISBLANK($C443),"",IF(ISBLANK($O443),0,IF(ISNUMBER($O443),IF($O443&gt;=0,$O443,""),"")))</f>
        <v/>
      </c>
      <c r="AI443" s="86" t="str">
        <f aca="false">IF(ISBLANK($C443),"",IF($P443=Constants!$B$2,TRUE(),IF($P443=Constants!$B$3,FALSE(),TRUE())))</f>
        <v/>
      </c>
      <c r="AJ443" s="86" t="str">
        <f aca="false">IF(ISBLANK($C443),"",IF($Q443=Constants!$B$2,TRUE(),IF($Q443=Constants!$B$3,FALSE(),TRUE())))</f>
        <v/>
      </c>
      <c r="AK443" s="86" t="str">
        <f aca="false">IF(ISBLANK($C443),"",IF($R443=Constants!$B$2,TRUE(),IF($R443=Constants!$B$3,FALSE(),TRUE())))</f>
        <v/>
      </c>
      <c r="AL443" s="88" t="str">
        <f aca="false">IF(ISBLANK($C443),"",IF(ISNUMBER($S443),IF($S443&gt;=0,$S443,""),""))</f>
        <v/>
      </c>
      <c r="AM443" s="86" t="str">
        <f aca="false">IF(ISBLANK($C443),"",IF(ISBLANK($T443),0,IF(ISNUMBER($T443),IF(AND($T443&gt;=0,$T443&lt;=Constants!$B$17,$T443=INT($T443)),$T443,""),"")))</f>
        <v/>
      </c>
      <c r="AN443" s="87" t="str">
        <f aca="false">IF(ISBLANK($C443),"",IF(ISBLANK($U443),0,IF(ISNUMBER($U443),IF($U443&gt;=0,$U443,""),"")))</f>
        <v/>
      </c>
      <c r="AO443" s="86" t="str">
        <f aca="false">IF(ISBLANK($C443),"",IF($V443=Constants!$B$2,TRUE(),IF($V443=Constants!$B$3,FALSE(),FALSE())))</f>
        <v/>
      </c>
      <c r="AP443" s="86"/>
      <c r="AQ443" s="85" t="str">
        <f aca="false">IF(ISBLANK($C443),"",AND($Y443,OR($AS443,$BC443),OR($Z443="",$AA443="",$AB443="")))</f>
        <v/>
      </c>
      <c r="AR443" s="85" t="str">
        <f aca="false">IF(ISBLANK($C443),"",IF(OR(NOT($Y443),NOT(OR($AS443,$BC443))),"",IF(ISBLANK($D$7),$AR$5,IF($AP$9="",$AR$6,""))))</f>
        <v/>
      </c>
      <c r="AS443" s="85" t="str">
        <f aca="false">IF(ISBLANK($C443),"",COUNTA($J443:$O443)&gt;0)</f>
        <v/>
      </c>
      <c r="AT443" s="85" t="str">
        <f aca="false">IF(ISBLANK($C443),"",AND($AS443,OR(AND($AF443="",OR($AE443,NOT(ISBLANK($M443)))),$AG443="",$AH443="")))</f>
        <v/>
      </c>
      <c r="AU443" s="87" t="str">
        <f aca="false">IF($BL443&lt;&gt;Constants!$B$4,"",IF(NOT($AS443),"",ROUND((Constants!$B$12-$AB443)+(Constants!$B$13-$Z443)+(Constants!$B$14-$AA443),1)))</f>
        <v/>
      </c>
      <c r="AV443" s="90" t="str">
        <f aca="false">IF($BL443&lt;&gt;Constants!$B$4,"",IF(NOT($AS443),"",IF(NOT($AE443),0,Constants!$B$15*(INT(ROUND(MIN($AF443,$AP$9),6))-INT(ROUND(MAX(0,MIN($AF443,2*$AP$9)-$AP$9),6))))))</f>
        <v/>
      </c>
      <c r="AW443" s="90" t="str">
        <f aca="false">IF($BL443&lt;&gt;Constants!$B$4,"",IF(NOT($AS443),"",Constants!$B$16*$AG443))</f>
        <v/>
      </c>
      <c r="AX443" s="90" t="str">
        <f aca="false">IF($BL443&lt;&gt;Constants!$B$4,"",IF(NOT($AS443),"",Constants!$B$18*INT(ROUND($AH443,6))))</f>
        <v/>
      </c>
      <c r="AY443" s="85" t="str">
        <f aca="false">IF($BL443&lt;&gt;Constants!$B$4,"",IF(NOT($AS443),"",IF(NOT($X443),Constants!$B$11,IF(OR(NOT($AC443),NOT($AD443),ROUND($AB443,1)&gt;Constants!$B$12,ROUND($Z443,1)&gt;Constants!$B$13,ROUND($AA443,1)&gt;Constants!$B$14),Constants!$B$10,Constants!$B$9))))</f>
        <v/>
      </c>
      <c r="AZ443" s="91" t="str">
        <f aca="false">IF($BL443&lt;&gt;Constants!$B$4,"",IF(NOT($AS443),"",ROUND($AU443+$AV443+$AW443+$AX443,1)))</f>
        <v/>
      </c>
      <c r="BA443" s="92" t="str">
        <f aca="false">IF($BL443&lt;&gt;Constants!$B$4,"",IF(NOT($AS443),"",IF(ISNUMBER($AF443),$AF443,0)))</f>
        <v/>
      </c>
      <c r="BB443" s="86" t="str">
        <f aca="false">IF($BL443&lt;&gt;Constants!$B$4,"",IF(NOT($BC443),"&lt;-",IF(NOT($AS443),"-&gt;",IF(OR($BI443&lt;$AY443,AND($BI443=$AY443,OR($BJ443&gt;$AZ443,AND($BJ443=$AZ443,OR($BH443&gt;$AX443,AND($BH443=$AX443,OR($BE443&gt;$AU443,AND($BE443=$AU443,OR($BF443&gt;$AV443,AND($BF443=$AV443,$BK443&gt;$BA443)))))))))),"-&gt;","&lt;-"))))</f>
        <v/>
      </c>
      <c r="BC443" s="85" t="str">
        <f aca="false">IF(ISBLANK($C443),"",COUNTA($P443:$U443)&gt;0)</f>
        <v/>
      </c>
      <c r="BD443" s="85" t="str">
        <f aca="false">IF(ISBLANK($C443),"",AND($BC443,OR(AND($AL443="",OR($AK443,NOT(ISBLANK($S443)))),$AM443="",$AN443="")))</f>
        <v/>
      </c>
      <c r="BE443" s="87" t="str">
        <f aca="false">IF($BL443&lt;&gt;Constants!$B$4,"",IF(NOT($BC443),"",ROUND((Constants!$B$12-$AB443)+(Constants!$B$13-$Z443)+(Constants!$B$14-$AA443),1)))</f>
        <v/>
      </c>
      <c r="BF443" s="90" t="str">
        <f aca="false">IF($BL443&lt;&gt;Constants!$B$4,"",IF(NOT($BC443),"",IF(NOT($AK443),0,Constants!$B$15*(INT(ROUND(MIN($AL443,$AP$9),6))-INT(ROUND(MAX(0,MIN($AL443,2*$AP$9)-$AP$9),6))))))</f>
        <v/>
      </c>
      <c r="BG443" s="90" t="str">
        <f aca="false">IF($BL443&lt;&gt;Constants!$B$4,"",IF(NOT($BC443),"",Constants!$B$16*$AM443))</f>
        <v/>
      </c>
      <c r="BH443" s="90" t="str">
        <f aca="false">IF($BL443&lt;&gt;Constants!$B$4,"",IF(NOT($BC443),"",Constants!$B$18*INT(ROUND($AN443,6))))</f>
        <v/>
      </c>
      <c r="BI443" s="85" t="str">
        <f aca="false">IF($BL443&lt;&gt;Constants!$B$4,"",IF(NOT($BC443),"",IF(NOT($X443),Constants!$B$11,IF(OR(NOT($AI443),NOT($AJ443),ROUND($AB443,1)&gt;Constants!$B$12,ROUND($Z443,1)&gt;Constants!$B$13,ROUND($AA443,1)&gt;Constants!$B$14),Constants!$B$10,Constants!$B$9))))</f>
        <v/>
      </c>
      <c r="BJ443" s="91" t="str">
        <f aca="false">IF($BL443&lt;&gt;Constants!$B$4,"",IF(NOT($BC443),"",ROUND($BE443+$BF443+$BG443+$BH443,1)))</f>
        <v/>
      </c>
      <c r="BK443" s="92" t="str">
        <f aca="false">IF($BL443&lt;&gt;Constants!$B$4,"",IF(NOT($BC443),"",IF(ISNUMBER($AL443),$AL443,0)))</f>
        <v/>
      </c>
      <c r="BL443" s="86" t="str">
        <f aca="false">IF(ISBLANK($C443),"",IF($AO443,Constants!$B$7,IF(COUNTA($E443:$V443)=0,Constants!$B$6,IF(NOT($Y443),Constants!$B$5,IF(NOT(OR($AS443,$BC443)),Constants!$B$5,IF(OR($AT443,$BD443,$AQ443,$AR443&lt;&gt;""),Constants!$B$8,Constants!$B$4))))))</f>
        <v/>
      </c>
      <c r="BM443" s="86" t="str">
        <f aca="false">IF(ISBLANK($C443),"",IF($BL443&lt;&gt;Constants!$B$4,$BL443,IF($BB443="-&gt;",$BI443,$AY443)))</f>
        <v/>
      </c>
      <c r="BN443" s="90" t="str">
        <f aca="false">IF($BL443&lt;&gt;Constants!$B$4,"",IF($BB443="-&gt;",$BJ443,$AZ443))</f>
        <v/>
      </c>
      <c r="BO443" s="90" t="str">
        <f aca="false">IF(ISBLANK($C443),"",IF($BL443&lt;&gt;Constants!$B$4,$BL443,$BN443))</f>
        <v/>
      </c>
      <c r="BP443" s="86" t="str">
        <f aca="false">IF(ISBLANK($C443),"",IF($BL443&lt;&gt;Constants!$B$4,$BL443,RANK($BO443,$BO$9:$BO$508,0)))</f>
        <v/>
      </c>
      <c r="BQ443" s="86" t="str">
        <f aca="false">IF(ISBLANK($C443),"",IF($BL443&lt;&gt;Constants!$B$4,$BL443,COUNTIFS($BM$9:$BM$508,"&lt;"&amp;$BM443)+COUNTIFS($BM$9:$BM$508,$BM443,$BP$9:$BP$508,"&lt;"&amp;$BP443)+1))</f>
        <v/>
      </c>
      <c r="BR443" s="90" t="str">
        <f aca="false">IF($BL443&lt;&gt;Constants!$B$4,"",IF($BB443="-&gt;",$BH443,$AX443))</f>
        <v/>
      </c>
      <c r="BS443" s="86" t="str">
        <f aca="false">IF(ISBLANK($C443),"",IF($BL443&lt;&gt;Constants!$B$4,$BL443,IF(ISNUMBER($BR443),RANK($BR443,$BR$9:$BR$508,0),COUNT($BR$9:$BR$508)+1)))</f>
        <v/>
      </c>
      <c r="BT443" s="90" t="str">
        <f aca="false">IF($BL443&lt;&gt;Constants!$B$4,"",IF($BB443="-&gt;",$BE443,$AU443))</f>
        <v/>
      </c>
      <c r="BU443" s="86" t="str">
        <f aca="false">IF(ISBLANK($C443),"",IF($BL443&lt;&gt;Constants!$B$4,$BL443,IF(ISNUMBER($BT443),RANK($BT443,$BT$9:$BT$508,0),COUNT($BT$9:$BT$508)+1)))</f>
        <v/>
      </c>
      <c r="BV443" s="90" t="str">
        <f aca="false">IF($BL443&lt;&gt;Constants!$B$4,"",IF($BB443="-&gt;",$BF443,$AV443))</f>
        <v/>
      </c>
      <c r="BW443" s="86" t="str">
        <f aca="false">IF(ISBLANK($C443),"",IF($BL443&lt;&gt;Constants!$B$4,$BL443,IF(ISNUMBER($BV443),RANK($BV443,$BV$9:$BV$508,0),COUNT($BV$9:$BV$508)+1)))</f>
        <v/>
      </c>
      <c r="BX443" s="90" t="str">
        <f aca="false">IF($BL443&lt;&gt;Constants!$B$4,"",IF($BB443="-&gt;",$BK443,$BA443))</f>
        <v/>
      </c>
      <c r="BY443" s="86" t="str">
        <f aca="false">IF(ISBLANK($C443),"",IF($BL443&lt;&gt;Constants!$B$4,$BL443,IF(ISNUMBER($BX443),RANK($BX443,$BX$9:$BX$508,0),COUNT($BX$9:$BX$508)+1)))</f>
        <v/>
      </c>
      <c r="BZ443" s="86" t="str">
        <f aca="false">IF(ISBLANK($C443),"",IF($BL443&lt;&gt;Constants!$B$4,$BL443,COUNTIFS($BM$9:$BM$508,"&lt;"&amp;$BM443)+COUNTIFS($BM$9:$BM$508,$BM443,$BP$9:$BP$508,"&lt;"&amp;$BP443)+COUNTIFS($BM$9:$BM$508,$BM443,$BP$9:$BP$508,$BP443,$BS$9:$BS$508,"&lt;"&amp;$BS443)+COUNTIFS($BM$9:$BM$508,$BM443,$BP$9:$BP$508,$BP443,$BS$9:$BS$508,$BS443,$BU$9:$BU$508,"&lt;"&amp;$BU443)+COUNTIFS($BM$9:$BM$508,$BM443,$BP$9:$BP$508,$BP443,$BS$9:$BS$508,$BS443,$BU$9:$BU$508,$BU443,$BW$9:$BW$508,"&lt;"&amp;$BW443)+COUNTIFS($BM$9:$BM$508,$BM443,$BP$9:$BP$508,$BP443,$BS$9:$BS$508,$BS443,$BU$9:$BU$508,$BU443,$BW$9:$BW$508,$BW443,$BY$9:$BY$508,"&lt;"&amp;$BY443)+1))</f>
        <v/>
      </c>
      <c r="CA443" s="86" t="str">
        <f aca="false">IF(ISBLANK($C443),"",IF($BL443&lt;&gt;Constants!$B$4,$BL443,$BQ443-$BZ443))</f>
        <v/>
      </c>
      <c r="CB443" s="93"/>
      <c r="CC443" s="94" t="str">
        <f aca="false">IF(ISBLANK($C443),"",IF($BL443=Constants!$B$8,$AR443,""))</f>
        <v/>
      </c>
      <c r="CD443" s="94" t="str">
        <f aca="false">IF(ISBLANK($C443),"",IF($BL443&lt;&gt;Constants!$B$4,"",IF($BB443="-&gt;",2,1)))</f>
        <v/>
      </c>
      <c r="CE443" s="95" t="str">
        <f aca="false">IF(ISBLANK($C443),"",IF($BL443&lt;&gt;Constants!$B$4,"",IF($BB443="-&gt;",$BE443,$AU443)))</f>
        <v/>
      </c>
      <c r="CF443" s="95" t="str">
        <f aca="false">IF(ISBLANK($C443),"",IF($BL443&lt;&gt;Constants!$B$4,"",IF($BB443="-&gt;",$BF443,$AV443)))</f>
        <v/>
      </c>
      <c r="CG443" s="95" t="str">
        <f aca="false">IF(ISBLANK($C443),"",IF($BL443&lt;&gt;Constants!$B$4,"",IF($BB443="-&gt;",$BG443,$AW443)))</f>
        <v/>
      </c>
      <c r="CH443" s="95" t="str">
        <f aca="false">IF(ISBLANK($C443),"",IF($BL443&lt;&gt;Constants!$B$4,"",IF($BB443="-&gt;",$BH443,$AX443)))</f>
        <v/>
      </c>
      <c r="CI443" s="96" t="str">
        <f aca="false">IF(ISBLANK($C443),"",$BO443)</f>
        <v/>
      </c>
      <c r="CJ443" s="97" t="str">
        <f aca="false">IF(ISBLANK($C443),"",$BM443)</f>
        <v/>
      </c>
      <c r="CK443" s="98" t="str">
        <f aca="false">IF(ISBLANK($C443),"",$CA443)</f>
        <v/>
      </c>
      <c r="CL443" s="98" t="str">
        <f aca="false">IF(ISBLANK($C443),"",$BZ443)</f>
        <v/>
      </c>
      <c r="CM443" s="99" t="str">
        <f aca="false">IF(ISBLANK($C443),"",IF($CL443=Constants!$B$7,COUNTA($C$9:$C$508)+2,IF($CL443=Constants!$B$6,COUNTA($C$9:$C$508)+1,IF($CL443=Constants!$B$5,COUNTA($C$9:$C$508),$CL443))))</f>
        <v/>
      </c>
      <c r="CN443" s="8"/>
      <c r="CO443" s="100" t="n">
        <f aca="false">IF(OR(ISNUMBER($CL443),$CL443=Constants!$B$7,$CL443=Constants!$B$5,$CL443=Constants!$B$6),1,0)</f>
        <v>0</v>
      </c>
      <c r="CP443" s="100" t="n">
        <v>435</v>
      </c>
      <c r="CQ443" s="100" t="str">
        <f aca="false">IF(ISBLANK($C443),"",IF(ISNUMBER($CM443),$CM443+ROW($B443)/1000,""))</f>
        <v/>
      </c>
      <c r="CR443" s="100" t="str">
        <f aca="false">IF(ISNUMBER($CQ443),RANK($CQ443,$CQ$9:$CQ$508,1),"")</f>
        <v/>
      </c>
      <c r="CS443" s="100" t="str">
        <f aca="false">IF(ISBLANK($C443),"",$B443)</f>
        <v/>
      </c>
      <c r="CT443" s="100" t="str">
        <f aca="false">IF(ISBLANK($C443),"",$C443)</f>
        <v/>
      </c>
      <c r="CU443" s="100" t="str">
        <f aca="false">IF(ISBLANK($C443),"",$D443)</f>
        <v/>
      </c>
      <c r="CV443" s="101" t="str">
        <f aca="false">$CJ443</f>
        <v/>
      </c>
      <c r="CW443" s="102" t="str">
        <f aca="false">$CI443</f>
        <v/>
      </c>
      <c r="CX443" s="100" t="str">
        <f aca="false">IF(ISBLANK($C443),"",$CL443)</f>
        <v/>
      </c>
      <c r="CY443" s="103" t="str">
        <f aca="false">IF($CP443&gt;$CO$8,"",VLOOKUP($CP443,$CR$9:$CX$508,7,FALSE()))</f>
        <v/>
      </c>
      <c r="CZ443" s="104" t="str">
        <f aca="false">IF($CP443&gt;$CO$8,"",VLOOKUP($CP443,$CR$9:$CX$508,2,FALSE()))</f>
        <v/>
      </c>
      <c r="DA443" s="104" t="str">
        <f aca="false">IF($CP443&gt;$CO$8,"",VLOOKUP($CP443,$CR$9:$CX$508,3,FALSE()))</f>
        <v/>
      </c>
      <c r="DB443" s="104" t="str">
        <f aca="false">IF($CP443&gt;$CO$8,"",VLOOKUP($CP443,$CR$9:$CX$508,4,FALSE()))</f>
        <v/>
      </c>
      <c r="DC443" s="104" t="str">
        <f aca="false">IF($CP443&gt;$CO$8,"",VLOOKUP($CP443,$CR$9:$CX$508,5,FALSE()))</f>
        <v/>
      </c>
      <c r="DD443" s="105" t="str">
        <f aca="false">IF($CP443&gt;$CO$8,"",VLOOKUP($CP443,$CR$9:$CX$508,6,FALSE()))</f>
        <v/>
      </c>
      <c r="DE443" s="70"/>
    </row>
    <row r="444" customFormat="false" ht="15.75" hidden="false" customHeight="false" outlineLevel="0" collapsed="false">
      <c r="A444" s="8"/>
      <c r="B444" s="146"/>
      <c r="C444" s="147"/>
      <c r="D444" s="148"/>
      <c r="E444" s="164"/>
      <c r="F444" s="150"/>
      <c r="G444" s="115"/>
      <c r="H444" s="115"/>
      <c r="I444" s="115"/>
      <c r="J444" s="165"/>
      <c r="K444" s="154"/>
      <c r="L444" s="154"/>
      <c r="M444" s="118"/>
      <c r="N444" s="154"/>
      <c r="O444" s="153"/>
      <c r="P444" s="154"/>
      <c r="Q444" s="154"/>
      <c r="R444" s="154"/>
      <c r="S444" s="115"/>
      <c r="T444" s="154"/>
      <c r="U444" s="153"/>
      <c r="V444" s="154"/>
      <c r="W444" s="123"/>
      <c r="X444" s="124" t="str">
        <f aca="false">IF(ISBLANK($C444),"",IF($E444=Constants!$B$2,TRUE(),IF($E444=Constants!$B$3,FALSE(),TRUE())))</f>
        <v/>
      </c>
      <c r="Y444" s="124" t="str">
        <f aca="false">IF(ISBLANK($C444),"",IF($F444=Constants!$B$2,TRUE(),IF($F444=Constants!$B$3,FALSE(),TRUE())))</f>
        <v/>
      </c>
      <c r="Z444" s="125" t="str">
        <f aca="false">IF(ISBLANK($C444),"",IF(ISNUMBER($G444),IF($G444&gt;=0,$G444,""),""))</f>
        <v/>
      </c>
      <c r="AA444" s="125" t="str">
        <f aca="false">IF(ISBLANK($C444),"",IF(ISNUMBER($H444),IF($H444&gt;=0,$H444,""),""))</f>
        <v/>
      </c>
      <c r="AB444" s="125" t="str">
        <f aca="false">IF(ISBLANK($C444),"",IF(ISNUMBER($I444),IF($I444&gt;=0,$I444,""),""))</f>
        <v/>
      </c>
      <c r="AC444" s="124" t="str">
        <f aca="false">IF(ISBLANK($C444),"",IF($J444=Constants!$B$2,TRUE(),IF($J444=Constants!$B$3,FALSE(),TRUE())))</f>
        <v/>
      </c>
      <c r="AD444" s="124" t="str">
        <f aca="false">IF(ISBLANK($C444),"",IF($K444=Constants!$B$2,TRUE(),IF($K444=Constants!$B$3,FALSE(),TRUE())))</f>
        <v/>
      </c>
      <c r="AE444" s="124" t="str">
        <f aca="false">IF(ISBLANK($C444),"",IF($L444=Constants!$B$2,TRUE(),IF($L444=Constants!$B$3,FALSE(),TRUE())))</f>
        <v/>
      </c>
      <c r="AF444" s="126" t="str">
        <f aca="false">IF(ISBLANK($C444),"",IF(ISNUMBER($M444),IF($M444&gt;=0,$M444,""),""))</f>
        <v/>
      </c>
      <c r="AG444" s="124" t="str">
        <f aca="false">IF(ISBLANK($C444),"",IF(ISBLANK($N444),0,IF(ISNUMBER($N444),IF(AND($N444&gt;=0,$N444&lt;=Constants!$B$17,$N444=INT($N444)),$N444,""),"")))</f>
        <v/>
      </c>
      <c r="AH444" s="125" t="str">
        <f aca="false">IF(ISBLANK($C444),"",IF(ISBLANK($O444),0,IF(ISNUMBER($O444),IF($O444&gt;=0,$O444,""),"")))</f>
        <v/>
      </c>
      <c r="AI444" s="124" t="str">
        <f aca="false">IF(ISBLANK($C444),"",IF($P444=Constants!$B$2,TRUE(),IF($P444=Constants!$B$3,FALSE(),TRUE())))</f>
        <v/>
      </c>
      <c r="AJ444" s="124" t="str">
        <f aca="false">IF(ISBLANK($C444),"",IF($Q444=Constants!$B$2,TRUE(),IF($Q444=Constants!$B$3,FALSE(),TRUE())))</f>
        <v/>
      </c>
      <c r="AK444" s="124" t="str">
        <f aca="false">IF(ISBLANK($C444),"",IF($R444=Constants!$B$2,TRUE(),IF($R444=Constants!$B$3,FALSE(),TRUE())))</f>
        <v/>
      </c>
      <c r="AL444" s="126" t="str">
        <f aca="false">IF(ISBLANK($C444),"",IF(ISNUMBER($S444),IF($S444&gt;=0,$S444,""),""))</f>
        <v/>
      </c>
      <c r="AM444" s="124" t="str">
        <f aca="false">IF(ISBLANK($C444),"",IF(ISBLANK($T444),0,IF(ISNUMBER($T444),IF(AND($T444&gt;=0,$T444&lt;=Constants!$B$17,$T444=INT($T444)),$T444,""),"")))</f>
        <v/>
      </c>
      <c r="AN444" s="125" t="str">
        <f aca="false">IF(ISBLANK($C444),"",IF(ISBLANK($U444),0,IF(ISNUMBER($U444),IF($U444&gt;=0,$U444,""),"")))</f>
        <v/>
      </c>
      <c r="AO444" s="124" t="str">
        <f aca="false">IF(ISBLANK($C444),"",IF($V444=Constants!$B$2,TRUE(),IF($V444=Constants!$B$3,FALSE(),FALSE())))</f>
        <v/>
      </c>
      <c r="AP444" s="124"/>
      <c r="AQ444" s="123" t="str">
        <f aca="false">IF(ISBLANK($C444),"",AND($Y444,OR($AS444,$BC444),OR($Z444="",$AA444="",$AB444="")))</f>
        <v/>
      </c>
      <c r="AR444" s="123" t="str">
        <f aca="false">IF(ISBLANK($C444),"",IF(OR(NOT($Y444),NOT(OR($AS444,$BC444))),"",IF(ISBLANK($D$7),$AR$5,IF($AP$9="",$AR$6,""))))</f>
        <v/>
      </c>
      <c r="AS444" s="123" t="str">
        <f aca="false">IF(ISBLANK($C444),"",COUNTA($J444:$O444)&gt;0)</f>
        <v/>
      </c>
      <c r="AT444" s="123" t="str">
        <f aca="false">IF(ISBLANK($C444),"",AND($AS444,OR(AND($AF444="",OR($AE444,NOT(ISBLANK($M444)))),$AG444="",$AH444="")))</f>
        <v/>
      </c>
      <c r="AU444" s="125" t="str">
        <f aca="false">IF($BL444&lt;&gt;Constants!$B$4,"",IF(NOT($AS444),"",ROUND((Constants!$B$12-$AB444)+(Constants!$B$13-$Z444)+(Constants!$B$14-$AA444),1)))</f>
        <v/>
      </c>
      <c r="AV444" s="127" t="str">
        <f aca="false">IF($BL444&lt;&gt;Constants!$B$4,"",IF(NOT($AS444),"",IF(NOT($AE444),0,Constants!$B$15*(INT(ROUND(MIN($AF444,$AP$9),6))-INT(ROUND(MAX(0,MIN($AF444,2*$AP$9)-$AP$9),6))))))</f>
        <v/>
      </c>
      <c r="AW444" s="127" t="str">
        <f aca="false">IF($BL444&lt;&gt;Constants!$B$4,"",IF(NOT($AS444),"",Constants!$B$16*$AG444))</f>
        <v/>
      </c>
      <c r="AX444" s="127" t="str">
        <f aca="false">IF($BL444&lt;&gt;Constants!$B$4,"",IF(NOT($AS444),"",Constants!$B$18*INT(ROUND($AH444,6))))</f>
        <v/>
      </c>
      <c r="AY444" s="123" t="str">
        <f aca="false">IF($BL444&lt;&gt;Constants!$B$4,"",IF(NOT($AS444),"",IF(NOT($X444),Constants!$B$11,IF(OR(NOT($AC444),NOT($AD444),ROUND($AB444,1)&gt;Constants!$B$12,ROUND($Z444,1)&gt;Constants!$B$13,ROUND($AA444,1)&gt;Constants!$B$14),Constants!$B$10,Constants!$B$9))))</f>
        <v/>
      </c>
      <c r="AZ444" s="128" t="str">
        <f aca="false">IF($BL444&lt;&gt;Constants!$B$4,"",IF(NOT($AS444),"",ROUND($AU444+$AV444+$AW444+$AX444,1)))</f>
        <v/>
      </c>
      <c r="BA444" s="129" t="str">
        <f aca="false">IF($BL444&lt;&gt;Constants!$B$4,"",IF(NOT($AS444),"",IF(ISNUMBER($AF444),$AF444,0)))</f>
        <v/>
      </c>
      <c r="BB444" s="124" t="str">
        <f aca="false">IF($BL444&lt;&gt;Constants!$B$4,"",IF(NOT($BC444),"&lt;-",IF(NOT($AS444),"-&gt;",IF(OR($BI444&lt;$AY444,AND($BI444=$AY444,OR($BJ444&gt;$AZ444,AND($BJ444=$AZ444,OR($BH444&gt;$AX444,AND($BH444=$AX444,OR($BE444&gt;$AU444,AND($BE444=$AU444,OR($BF444&gt;$AV444,AND($BF444=$AV444,$BK444&gt;$BA444)))))))))),"-&gt;","&lt;-"))))</f>
        <v/>
      </c>
      <c r="BC444" s="123" t="str">
        <f aca="false">IF(ISBLANK($C444),"",COUNTA($P444:$U444)&gt;0)</f>
        <v/>
      </c>
      <c r="BD444" s="123" t="str">
        <f aca="false">IF(ISBLANK($C444),"",AND($BC444,OR(AND($AL444="",OR($AK444,NOT(ISBLANK($S444)))),$AM444="",$AN444="")))</f>
        <v/>
      </c>
      <c r="BE444" s="125" t="str">
        <f aca="false">IF($BL444&lt;&gt;Constants!$B$4,"",IF(NOT($BC444),"",ROUND((Constants!$B$12-$AB444)+(Constants!$B$13-$Z444)+(Constants!$B$14-$AA444),1)))</f>
        <v/>
      </c>
      <c r="BF444" s="127" t="str">
        <f aca="false">IF($BL444&lt;&gt;Constants!$B$4,"",IF(NOT($BC444),"",IF(NOT($AK444),0,Constants!$B$15*(INT(ROUND(MIN($AL444,$AP$9),6))-INT(ROUND(MAX(0,MIN($AL444,2*$AP$9)-$AP$9),6))))))</f>
        <v/>
      </c>
      <c r="BG444" s="127" t="str">
        <f aca="false">IF($BL444&lt;&gt;Constants!$B$4,"",IF(NOT($BC444),"",Constants!$B$16*$AM444))</f>
        <v/>
      </c>
      <c r="BH444" s="127" t="str">
        <f aca="false">IF($BL444&lt;&gt;Constants!$B$4,"",IF(NOT($BC444),"",Constants!$B$18*INT(ROUND($AN444,6))))</f>
        <v/>
      </c>
      <c r="BI444" s="123" t="str">
        <f aca="false">IF($BL444&lt;&gt;Constants!$B$4,"",IF(NOT($BC444),"",IF(NOT($X444),Constants!$B$11,IF(OR(NOT($AI444),NOT($AJ444),ROUND($AB444,1)&gt;Constants!$B$12,ROUND($Z444,1)&gt;Constants!$B$13,ROUND($AA444,1)&gt;Constants!$B$14),Constants!$B$10,Constants!$B$9))))</f>
        <v/>
      </c>
      <c r="BJ444" s="128" t="str">
        <f aca="false">IF($BL444&lt;&gt;Constants!$B$4,"",IF(NOT($BC444),"",ROUND($BE444+$BF444+$BG444+$BH444,1)))</f>
        <v/>
      </c>
      <c r="BK444" s="129" t="str">
        <f aca="false">IF($BL444&lt;&gt;Constants!$B$4,"",IF(NOT($BC444),"",IF(ISNUMBER($AL444),$AL444,0)))</f>
        <v/>
      </c>
      <c r="BL444" s="124" t="str">
        <f aca="false">IF(ISBLANK($C444),"",IF($AO444,Constants!$B$7,IF(COUNTA($E444:$V444)=0,Constants!$B$6,IF(NOT($Y444),Constants!$B$5,IF(NOT(OR($AS444,$BC444)),Constants!$B$5,IF(OR($AT444,$BD444,$AQ444,$AR444&lt;&gt;""),Constants!$B$8,Constants!$B$4))))))</f>
        <v/>
      </c>
      <c r="BM444" s="124" t="str">
        <f aca="false">IF(ISBLANK($C444),"",IF($BL444&lt;&gt;Constants!$B$4,$BL444,IF($BB444="-&gt;",$BI444,$AY444)))</f>
        <v/>
      </c>
      <c r="BN444" s="127" t="str">
        <f aca="false">IF($BL444&lt;&gt;Constants!$B$4,"",IF($BB444="-&gt;",$BJ444,$AZ444))</f>
        <v/>
      </c>
      <c r="BO444" s="127" t="str">
        <f aca="false">IF(ISBLANK($C444),"",IF($BL444&lt;&gt;Constants!$B$4,$BL444,$BN444))</f>
        <v/>
      </c>
      <c r="BP444" s="124" t="str">
        <f aca="false">IF(ISBLANK($C444),"",IF($BL444&lt;&gt;Constants!$B$4,$BL444,RANK($BO444,$BO$9:$BO$508,0)))</f>
        <v/>
      </c>
      <c r="BQ444" s="124" t="str">
        <f aca="false">IF(ISBLANK($C444),"",IF($BL444&lt;&gt;Constants!$B$4,$BL444,COUNTIFS($BM$9:$BM$508,"&lt;"&amp;$BM444)+COUNTIFS($BM$9:$BM$508,$BM444,$BP$9:$BP$508,"&lt;"&amp;$BP444)+1))</f>
        <v/>
      </c>
      <c r="BR444" s="127" t="str">
        <f aca="false">IF($BL444&lt;&gt;Constants!$B$4,"",IF($BB444="-&gt;",$BH444,$AX444))</f>
        <v/>
      </c>
      <c r="BS444" s="124" t="str">
        <f aca="false">IF(ISBLANK($C444),"",IF($BL444&lt;&gt;Constants!$B$4,$BL444,IF(ISNUMBER($BR444),RANK($BR444,$BR$9:$BR$508,0),COUNT($BR$9:$BR$508)+1)))</f>
        <v/>
      </c>
      <c r="BT444" s="127" t="str">
        <f aca="false">IF($BL444&lt;&gt;Constants!$B$4,"",IF($BB444="-&gt;",$BE444,$AU444))</f>
        <v/>
      </c>
      <c r="BU444" s="124" t="str">
        <f aca="false">IF(ISBLANK($C444),"",IF($BL444&lt;&gt;Constants!$B$4,$BL444,IF(ISNUMBER($BT444),RANK($BT444,$BT$9:$BT$508,0),COUNT($BT$9:$BT$508)+1)))</f>
        <v/>
      </c>
      <c r="BV444" s="127" t="str">
        <f aca="false">IF($BL444&lt;&gt;Constants!$B$4,"",IF($BB444="-&gt;",$BF444,$AV444))</f>
        <v/>
      </c>
      <c r="BW444" s="124" t="str">
        <f aca="false">IF(ISBLANK($C444),"",IF($BL444&lt;&gt;Constants!$B$4,$BL444,IF(ISNUMBER($BV444),RANK($BV444,$BV$9:$BV$508,0),COUNT($BV$9:$BV$508)+1)))</f>
        <v/>
      </c>
      <c r="BX444" s="127" t="str">
        <f aca="false">IF($BL444&lt;&gt;Constants!$B$4,"",IF($BB444="-&gt;",$BK444,$BA444))</f>
        <v/>
      </c>
      <c r="BY444" s="124" t="str">
        <f aca="false">IF(ISBLANK($C444),"",IF($BL444&lt;&gt;Constants!$B$4,$BL444,IF(ISNUMBER($BX444),RANK($BX444,$BX$9:$BX$508,0),COUNT($BX$9:$BX$508)+1)))</f>
        <v/>
      </c>
      <c r="BZ444" s="124" t="str">
        <f aca="false">IF(ISBLANK($C444),"",IF($BL444&lt;&gt;Constants!$B$4,$BL444,COUNTIFS($BM$9:$BM$508,"&lt;"&amp;$BM444)+COUNTIFS($BM$9:$BM$508,$BM444,$BP$9:$BP$508,"&lt;"&amp;$BP444)+COUNTIFS($BM$9:$BM$508,$BM444,$BP$9:$BP$508,$BP444,$BS$9:$BS$508,"&lt;"&amp;$BS444)+COUNTIFS($BM$9:$BM$508,$BM444,$BP$9:$BP$508,$BP444,$BS$9:$BS$508,$BS444,$BU$9:$BU$508,"&lt;"&amp;$BU444)+COUNTIFS($BM$9:$BM$508,$BM444,$BP$9:$BP$508,$BP444,$BS$9:$BS$508,$BS444,$BU$9:$BU$508,$BU444,$BW$9:$BW$508,"&lt;"&amp;$BW444)+COUNTIFS($BM$9:$BM$508,$BM444,$BP$9:$BP$508,$BP444,$BS$9:$BS$508,$BS444,$BU$9:$BU$508,$BU444,$BW$9:$BW$508,$BW444,$BY$9:$BY$508,"&lt;"&amp;$BY444)+1))</f>
        <v/>
      </c>
      <c r="CA444" s="124" t="str">
        <f aca="false">IF(ISBLANK($C444),"",IF($BL444&lt;&gt;Constants!$B$4,$BL444,$BQ444-$BZ444))</f>
        <v/>
      </c>
      <c r="CB444" s="130"/>
      <c r="CC444" s="131" t="str">
        <f aca="false">IF(ISBLANK($C444),"",IF($BL444=Constants!$B$8,$AR444,""))</f>
        <v/>
      </c>
      <c r="CD444" s="131" t="str">
        <f aca="false">IF(ISBLANK($C444),"",IF($BL444&lt;&gt;Constants!$B$4,"",IF($BB444="-&gt;",2,1)))</f>
        <v/>
      </c>
      <c r="CE444" s="132" t="str">
        <f aca="false">IF(ISBLANK($C444),"",IF($BL444&lt;&gt;Constants!$B$4,"",IF($BB444="-&gt;",$BE444,$AU444)))</f>
        <v/>
      </c>
      <c r="CF444" s="132" t="str">
        <f aca="false">IF(ISBLANK($C444),"",IF($BL444&lt;&gt;Constants!$B$4,"",IF($BB444="-&gt;",$BF444,$AV444)))</f>
        <v/>
      </c>
      <c r="CG444" s="132" t="str">
        <f aca="false">IF(ISBLANK($C444),"",IF($BL444&lt;&gt;Constants!$B$4,"",IF($BB444="-&gt;",$BG444,$AW444)))</f>
        <v/>
      </c>
      <c r="CH444" s="132" t="str">
        <f aca="false">IF(ISBLANK($C444),"",IF($BL444&lt;&gt;Constants!$B$4,"",IF($BB444="-&gt;",$BH444,$AX444)))</f>
        <v/>
      </c>
      <c r="CI444" s="133" t="str">
        <f aca="false">IF(ISBLANK($C444),"",$BO444)</f>
        <v/>
      </c>
      <c r="CJ444" s="134" t="str">
        <f aca="false">IF(ISBLANK($C444),"",$BM444)</f>
        <v/>
      </c>
      <c r="CK444" s="135" t="str">
        <f aca="false">IF(ISBLANK($C444),"",$CA444)</f>
        <v/>
      </c>
      <c r="CL444" s="135" t="str">
        <f aca="false">IF(ISBLANK($C444),"",$BZ444)</f>
        <v/>
      </c>
      <c r="CM444" s="136" t="str">
        <f aca="false">IF(ISBLANK($C444),"",IF($CL444=Constants!$B$7,COUNTA($C$9:$C$508)+2,IF($CL444=Constants!$B$6,COUNTA($C$9:$C$508)+1,IF($CL444=Constants!$B$5,COUNTA($C$9:$C$508),$CL444))))</f>
        <v/>
      </c>
      <c r="CN444" s="8"/>
      <c r="CO444" s="137" t="n">
        <f aca="false">IF(OR(ISNUMBER($CL444),$CL444=Constants!$B$7,$CL444=Constants!$B$5,$CL444=Constants!$B$6),1,0)</f>
        <v>0</v>
      </c>
      <c r="CP444" s="137" t="n">
        <v>436</v>
      </c>
      <c r="CQ444" s="137" t="str">
        <f aca="false">IF(ISBLANK($C444),"",IF(ISNUMBER($CM444),$CM444+ROW($B444)/1000,""))</f>
        <v/>
      </c>
      <c r="CR444" s="137" t="str">
        <f aca="false">IF(ISNUMBER($CQ444),RANK($CQ444,$CQ$9:$CQ$508,1),"")</f>
        <v/>
      </c>
      <c r="CS444" s="137" t="str">
        <f aca="false">IF(ISBLANK($C444),"",$B444)</f>
        <v/>
      </c>
      <c r="CT444" s="137" t="str">
        <f aca="false">IF(ISBLANK($C444),"",$C444)</f>
        <v/>
      </c>
      <c r="CU444" s="137" t="str">
        <f aca="false">IF(ISBLANK($C444),"",$D444)</f>
        <v/>
      </c>
      <c r="CV444" s="138" t="str">
        <f aca="false">$CJ444</f>
        <v/>
      </c>
      <c r="CW444" s="139" t="str">
        <f aca="false">$CI444</f>
        <v/>
      </c>
      <c r="CX444" s="137" t="str">
        <f aca="false">IF(ISBLANK($C444),"",$CL444)</f>
        <v/>
      </c>
      <c r="CY444" s="140" t="str">
        <f aca="false">IF($CP444&gt;$CO$8,"",VLOOKUP($CP444,$CR$9:$CX$508,7,FALSE()))</f>
        <v/>
      </c>
      <c r="CZ444" s="141" t="str">
        <f aca="false">IF($CP444&gt;$CO$8,"",VLOOKUP($CP444,$CR$9:$CX$508,2,FALSE()))</f>
        <v/>
      </c>
      <c r="DA444" s="141" t="str">
        <f aca="false">IF($CP444&gt;$CO$8,"",VLOOKUP($CP444,$CR$9:$CX$508,3,FALSE()))</f>
        <v/>
      </c>
      <c r="DB444" s="141" t="str">
        <f aca="false">IF($CP444&gt;$CO$8,"",VLOOKUP($CP444,$CR$9:$CX$508,4,FALSE()))</f>
        <v/>
      </c>
      <c r="DC444" s="141" t="str">
        <f aca="false">IF($CP444&gt;$CO$8,"",VLOOKUP($CP444,$CR$9:$CX$508,5,FALSE()))</f>
        <v/>
      </c>
      <c r="DD444" s="142" t="str">
        <f aca="false">IF($CP444&gt;$CO$8,"",VLOOKUP($CP444,$CR$9:$CX$508,6,FALSE()))</f>
        <v/>
      </c>
      <c r="DE444" s="70"/>
    </row>
    <row r="445" customFormat="false" ht="15.75" hidden="false" customHeight="false" outlineLevel="0" collapsed="false">
      <c r="A445" s="8"/>
      <c r="B445" s="146"/>
      <c r="C445" s="147"/>
      <c r="D445" s="148"/>
      <c r="E445" s="164"/>
      <c r="F445" s="150"/>
      <c r="G445" s="115"/>
      <c r="H445" s="115"/>
      <c r="I445" s="115"/>
      <c r="J445" s="165"/>
      <c r="K445" s="154"/>
      <c r="L445" s="154"/>
      <c r="M445" s="118"/>
      <c r="N445" s="154"/>
      <c r="O445" s="153"/>
      <c r="P445" s="154"/>
      <c r="Q445" s="154"/>
      <c r="R445" s="154"/>
      <c r="S445" s="115"/>
      <c r="T445" s="154"/>
      <c r="U445" s="153"/>
      <c r="V445" s="154"/>
      <c r="W445" s="123"/>
      <c r="X445" s="124" t="str">
        <f aca="false">IF(ISBLANK($C445),"",IF($E445=Constants!$B$2,TRUE(),IF($E445=Constants!$B$3,FALSE(),TRUE())))</f>
        <v/>
      </c>
      <c r="Y445" s="124" t="str">
        <f aca="false">IF(ISBLANK($C445),"",IF($F445=Constants!$B$2,TRUE(),IF($F445=Constants!$B$3,FALSE(),TRUE())))</f>
        <v/>
      </c>
      <c r="Z445" s="125" t="str">
        <f aca="false">IF(ISBLANK($C445),"",IF(ISNUMBER($G445),IF($G445&gt;=0,$G445,""),""))</f>
        <v/>
      </c>
      <c r="AA445" s="125" t="str">
        <f aca="false">IF(ISBLANK($C445),"",IF(ISNUMBER($H445),IF($H445&gt;=0,$H445,""),""))</f>
        <v/>
      </c>
      <c r="AB445" s="125" t="str">
        <f aca="false">IF(ISBLANK($C445),"",IF(ISNUMBER($I445),IF($I445&gt;=0,$I445,""),""))</f>
        <v/>
      </c>
      <c r="AC445" s="124" t="str">
        <f aca="false">IF(ISBLANK($C445),"",IF($J445=Constants!$B$2,TRUE(),IF($J445=Constants!$B$3,FALSE(),TRUE())))</f>
        <v/>
      </c>
      <c r="AD445" s="124" t="str">
        <f aca="false">IF(ISBLANK($C445),"",IF($K445=Constants!$B$2,TRUE(),IF($K445=Constants!$B$3,FALSE(),TRUE())))</f>
        <v/>
      </c>
      <c r="AE445" s="124" t="str">
        <f aca="false">IF(ISBLANK($C445),"",IF($L445=Constants!$B$2,TRUE(),IF($L445=Constants!$B$3,FALSE(),TRUE())))</f>
        <v/>
      </c>
      <c r="AF445" s="126" t="str">
        <f aca="false">IF(ISBLANK($C445),"",IF(ISNUMBER($M445),IF($M445&gt;=0,$M445,""),""))</f>
        <v/>
      </c>
      <c r="AG445" s="124" t="str">
        <f aca="false">IF(ISBLANK($C445),"",IF(ISBLANK($N445),0,IF(ISNUMBER($N445),IF(AND($N445&gt;=0,$N445&lt;=Constants!$B$17,$N445=INT($N445)),$N445,""),"")))</f>
        <v/>
      </c>
      <c r="AH445" s="125" t="str">
        <f aca="false">IF(ISBLANK($C445),"",IF(ISBLANK($O445),0,IF(ISNUMBER($O445),IF($O445&gt;=0,$O445,""),"")))</f>
        <v/>
      </c>
      <c r="AI445" s="124" t="str">
        <f aca="false">IF(ISBLANK($C445),"",IF($P445=Constants!$B$2,TRUE(),IF($P445=Constants!$B$3,FALSE(),TRUE())))</f>
        <v/>
      </c>
      <c r="AJ445" s="124" t="str">
        <f aca="false">IF(ISBLANK($C445),"",IF($Q445=Constants!$B$2,TRUE(),IF($Q445=Constants!$B$3,FALSE(),TRUE())))</f>
        <v/>
      </c>
      <c r="AK445" s="124" t="str">
        <f aca="false">IF(ISBLANK($C445),"",IF($R445=Constants!$B$2,TRUE(),IF($R445=Constants!$B$3,FALSE(),TRUE())))</f>
        <v/>
      </c>
      <c r="AL445" s="126" t="str">
        <f aca="false">IF(ISBLANK($C445),"",IF(ISNUMBER($S445),IF($S445&gt;=0,$S445,""),""))</f>
        <v/>
      </c>
      <c r="AM445" s="124" t="str">
        <f aca="false">IF(ISBLANK($C445),"",IF(ISBLANK($T445),0,IF(ISNUMBER($T445),IF(AND($T445&gt;=0,$T445&lt;=Constants!$B$17,$T445=INT($T445)),$T445,""),"")))</f>
        <v/>
      </c>
      <c r="AN445" s="125" t="str">
        <f aca="false">IF(ISBLANK($C445),"",IF(ISBLANK($U445),0,IF(ISNUMBER($U445),IF($U445&gt;=0,$U445,""),"")))</f>
        <v/>
      </c>
      <c r="AO445" s="124" t="str">
        <f aca="false">IF(ISBLANK($C445),"",IF($V445=Constants!$B$2,TRUE(),IF($V445=Constants!$B$3,FALSE(),FALSE())))</f>
        <v/>
      </c>
      <c r="AP445" s="124"/>
      <c r="AQ445" s="123" t="str">
        <f aca="false">IF(ISBLANK($C445),"",AND($Y445,OR($AS445,$BC445),OR($Z445="",$AA445="",$AB445="")))</f>
        <v/>
      </c>
      <c r="AR445" s="123" t="str">
        <f aca="false">IF(ISBLANK($C445),"",IF(OR(NOT($Y445),NOT(OR($AS445,$BC445))),"",IF(ISBLANK($D$7),$AR$5,IF($AP$9="",$AR$6,""))))</f>
        <v/>
      </c>
      <c r="AS445" s="123" t="str">
        <f aca="false">IF(ISBLANK($C445),"",COUNTA($J445:$O445)&gt;0)</f>
        <v/>
      </c>
      <c r="AT445" s="123" t="str">
        <f aca="false">IF(ISBLANK($C445),"",AND($AS445,OR(AND($AF445="",OR($AE445,NOT(ISBLANK($M445)))),$AG445="",$AH445="")))</f>
        <v/>
      </c>
      <c r="AU445" s="125" t="str">
        <f aca="false">IF($BL445&lt;&gt;Constants!$B$4,"",IF(NOT($AS445),"",ROUND((Constants!$B$12-$AB445)+(Constants!$B$13-$Z445)+(Constants!$B$14-$AA445),1)))</f>
        <v/>
      </c>
      <c r="AV445" s="127" t="str">
        <f aca="false">IF($BL445&lt;&gt;Constants!$B$4,"",IF(NOT($AS445),"",IF(NOT($AE445),0,Constants!$B$15*(INT(ROUND(MIN($AF445,$AP$9),6))-INT(ROUND(MAX(0,MIN($AF445,2*$AP$9)-$AP$9),6))))))</f>
        <v/>
      </c>
      <c r="AW445" s="127" t="str">
        <f aca="false">IF($BL445&lt;&gt;Constants!$B$4,"",IF(NOT($AS445),"",Constants!$B$16*$AG445))</f>
        <v/>
      </c>
      <c r="AX445" s="127" t="str">
        <f aca="false">IF($BL445&lt;&gt;Constants!$B$4,"",IF(NOT($AS445),"",Constants!$B$18*INT(ROUND($AH445,6))))</f>
        <v/>
      </c>
      <c r="AY445" s="123" t="str">
        <f aca="false">IF($BL445&lt;&gt;Constants!$B$4,"",IF(NOT($AS445),"",IF(NOT($X445),Constants!$B$11,IF(OR(NOT($AC445),NOT($AD445),ROUND($AB445,1)&gt;Constants!$B$12,ROUND($Z445,1)&gt;Constants!$B$13,ROUND($AA445,1)&gt;Constants!$B$14),Constants!$B$10,Constants!$B$9))))</f>
        <v/>
      </c>
      <c r="AZ445" s="128" t="str">
        <f aca="false">IF($BL445&lt;&gt;Constants!$B$4,"",IF(NOT($AS445),"",ROUND($AU445+$AV445+$AW445+$AX445,1)))</f>
        <v/>
      </c>
      <c r="BA445" s="129" t="str">
        <f aca="false">IF($BL445&lt;&gt;Constants!$B$4,"",IF(NOT($AS445),"",IF(ISNUMBER($AF445),$AF445,0)))</f>
        <v/>
      </c>
      <c r="BB445" s="124" t="str">
        <f aca="false">IF($BL445&lt;&gt;Constants!$B$4,"",IF(NOT($BC445),"&lt;-",IF(NOT($AS445),"-&gt;",IF(OR($BI445&lt;$AY445,AND($BI445=$AY445,OR($BJ445&gt;$AZ445,AND($BJ445=$AZ445,OR($BH445&gt;$AX445,AND($BH445=$AX445,OR($BE445&gt;$AU445,AND($BE445=$AU445,OR($BF445&gt;$AV445,AND($BF445=$AV445,$BK445&gt;$BA445)))))))))),"-&gt;","&lt;-"))))</f>
        <v/>
      </c>
      <c r="BC445" s="123" t="str">
        <f aca="false">IF(ISBLANK($C445),"",COUNTA($P445:$U445)&gt;0)</f>
        <v/>
      </c>
      <c r="BD445" s="123" t="str">
        <f aca="false">IF(ISBLANK($C445),"",AND($BC445,OR(AND($AL445="",OR($AK445,NOT(ISBLANK($S445)))),$AM445="",$AN445="")))</f>
        <v/>
      </c>
      <c r="BE445" s="125" t="str">
        <f aca="false">IF($BL445&lt;&gt;Constants!$B$4,"",IF(NOT($BC445),"",ROUND((Constants!$B$12-$AB445)+(Constants!$B$13-$Z445)+(Constants!$B$14-$AA445),1)))</f>
        <v/>
      </c>
      <c r="BF445" s="127" t="str">
        <f aca="false">IF($BL445&lt;&gt;Constants!$B$4,"",IF(NOT($BC445),"",IF(NOT($AK445),0,Constants!$B$15*(INT(ROUND(MIN($AL445,$AP$9),6))-INT(ROUND(MAX(0,MIN($AL445,2*$AP$9)-$AP$9),6))))))</f>
        <v/>
      </c>
      <c r="BG445" s="127" t="str">
        <f aca="false">IF($BL445&lt;&gt;Constants!$B$4,"",IF(NOT($BC445),"",Constants!$B$16*$AM445))</f>
        <v/>
      </c>
      <c r="BH445" s="127" t="str">
        <f aca="false">IF($BL445&lt;&gt;Constants!$B$4,"",IF(NOT($BC445),"",Constants!$B$18*INT(ROUND($AN445,6))))</f>
        <v/>
      </c>
      <c r="BI445" s="123" t="str">
        <f aca="false">IF($BL445&lt;&gt;Constants!$B$4,"",IF(NOT($BC445),"",IF(NOT($X445),Constants!$B$11,IF(OR(NOT($AI445),NOT($AJ445),ROUND($AB445,1)&gt;Constants!$B$12,ROUND($Z445,1)&gt;Constants!$B$13,ROUND($AA445,1)&gt;Constants!$B$14),Constants!$B$10,Constants!$B$9))))</f>
        <v/>
      </c>
      <c r="BJ445" s="128" t="str">
        <f aca="false">IF($BL445&lt;&gt;Constants!$B$4,"",IF(NOT($BC445),"",ROUND($BE445+$BF445+$BG445+$BH445,1)))</f>
        <v/>
      </c>
      <c r="BK445" s="129" t="str">
        <f aca="false">IF($BL445&lt;&gt;Constants!$B$4,"",IF(NOT($BC445),"",IF(ISNUMBER($AL445),$AL445,0)))</f>
        <v/>
      </c>
      <c r="BL445" s="124" t="str">
        <f aca="false">IF(ISBLANK($C445),"",IF($AO445,Constants!$B$7,IF(COUNTA($E445:$V445)=0,Constants!$B$6,IF(NOT($Y445),Constants!$B$5,IF(NOT(OR($AS445,$BC445)),Constants!$B$5,IF(OR($AT445,$BD445,$AQ445,$AR445&lt;&gt;""),Constants!$B$8,Constants!$B$4))))))</f>
        <v/>
      </c>
      <c r="BM445" s="124" t="str">
        <f aca="false">IF(ISBLANK($C445),"",IF($BL445&lt;&gt;Constants!$B$4,$BL445,IF($BB445="-&gt;",$BI445,$AY445)))</f>
        <v/>
      </c>
      <c r="BN445" s="127" t="str">
        <f aca="false">IF($BL445&lt;&gt;Constants!$B$4,"",IF($BB445="-&gt;",$BJ445,$AZ445))</f>
        <v/>
      </c>
      <c r="BO445" s="127" t="str">
        <f aca="false">IF(ISBLANK($C445),"",IF($BL445&lt;&gt;Constants!$B$4,$BL445,$BN445))</f>
        <v/>
      </c>
      <c r="BP445" s="124" t="str">
        <f aca="false">IF(ISBLANK($C445),"",IF($BL445&lt;&gt;Constants!$B$4,$BL445,RANK($BO445,$BO$9:$BO$508,0)))</f>
        <v/>
      </c>
      <c r="BQ445" s="124" t="str">
        <f aca="false">IF(ISBLANK($C445),"",IF($BL445&lt;&gt;Constants!$B$4,$BL445,COUNTIFS($BM$9:$BM$508,"&lt;"&amp;$BM445)+COUNTIFS($BM$9:$BM$508,$BM445,$BP$9:$BP$508,"&lt;"&amp;$BP445)+1))</f>
        <v/>
      </c>
      <c r="BR445" s="127" t="str">
        <f aca="false">IF($BL445&lt;&gt;Constants!$B$4,"",IF($BB445="-&gt;",$BH445,$AX445))</f>
        <v/>
      </c>
      <c r="BS445" s="124" t="str">
        <f aca="false">IF(ISBLANK($C445),"",IF($BL445&lt;&gt;Constants!$B$4,$BL445,IF(ISNUMBER($BR445),RANK($BR445,$BR$9:$BR$508,0),COUNT($BR$9:$BR$508)+1)))</f>
        <v/>
      </c>
      <c r="BT445" s="127" t="str">
        <f aca="false">IF($BL445&lt;&gt;Constants!$B$4,"",IF($BB445="-&gt;",$BE445,$AU445))</f>
        <v/>
      </c>
      <c r="BU445" s="124" t="str">
        <f aca="false">IF(ISBLANK($C445),"",IF($BL445&lt;&gt;Constants!$B$4,$BL445,IF(ISNUMBER($BT445),RANK($BT445,$BT$9:$BT$508,0),COUNT($BT$9:$BT$508)+1)))</f>
        <v/>
      </c>
      <c r="BV445" s="127" t="str">
        <f aca="false">IF($BL445&lt;&gt;Constants!$B$4,"",IF($BB445="-&gt;",$BF445,$AV445))</f>
        <v/>
      </c>
      <c r="BW445" s="124" t="str">
        <f aca="false">IF(ISBLANK($C445),"",IF($BL445&lt;&gt;Constants!$B$4,$BL445,IF(ISNUMBER($BV445),RANK($BV445,$BV$9:$BV$508,0),COUNT($BV$9:$BV$508)+1)))</f>
        <v/>
      </c>
      <c r="BX445" s="127" t="str">
        <f aca="false">IF($BL445&lt;&gt;Constants!$B$4,"",IF($BB445="-&gt;",$BK445,$BA445))</f>
        <v/>
      </c>
      <c r="BY445" s="124" t="str">
        <f aca="false">IF(ISBLANK($C445),"",IF($BL445&lt;&gt;Constants!$B$4,$BL445,IF(ISNUMBER($BX445),RANK($BX445,$BX$9:$BX$508,0),COUNT($BX$9:$BX$508)+1)))</f>
        <v/>
      </c>
      <c r="BZ445" s="124" t="str">
        <f aca="false">IF(ISBLANK($C445),"",IF($BL445&lt;&gt;Constants!$B$4,$BL445,COUNTIFS($BM$9:$BM$508,"&lt;"&amp;$BM445)+COUNTIFS($BM$9:$BM$508,$BM445,$BP$9:$BP$508,"&lt;"&amp;$BP445)+COUNTIFS($BM$9:$BM$508,$BM445,$BP$9:$BP$508,$BP445,$BS$9:$BS$508,"&lt;"&amp;$BS445)+COUNTIFS($BM$9:$BM$508,$BM445,$BP$9:$BP$508,$BP445,$BS$9:$BS$508,$BS445,$BU$9:$BU$508,"&lt;"&amp;$BU445)+COUNTIFS($BM$9:$BM$508,$BM445,$BP$9:$BP$508,$BP445,$BS$9:$BS$508,$BS445,$BU$9:$BU$508,$BU445,$BW$9:$BW$508,"&lt;"&amp;$BW445)+COUNTIFS($BM$9:$BM$508,$BM445,$BP$9:$BP$508,$BP445,$BS$9:$BS$508,$BS445,$BU$9:$BU$508,$BU445,$BW$9:$BW$508,$BW445,$BY$9:$BY$508,"&lt;"&amp;$BY445)+1))</f>
        <v/>
      </c>
      <c r="CA445" s="124" t="str">
        <f aca="false">IF(ISBLANK($C445),"",IF($BL445&lt;&gt;Constants!$B$4,$BL445,$BQ445-$BZ445))</f>
        <v/>
      </c>
      <c r="CB445" s="130"/>
      <c r="CC445" s="131" t="str">
        <f aca="false">IF(ISBLANK($C445),"",IF($BL445=Constants!$B$8,$AR445,""))</f>
        <v/>
      </c>
      <c r="CD445" s="131" t="str">
        <f aca="false">IF(ISBLANK($C445),"",IF($BL445&lt;&gt;Constants!$B$4,"",IF($BB445="-&gt;",2,1)))</f>
        <v/>
      </c>
      <c r="CE445" s="132" t="str">
        <f aca="false">IF(ISBLANK($C445),"",IF($BL445&lt;&gt;Constants!$B$4,"",IF($BB445="-&gt;",$BE445,$AU445)))</f>
        <v/>
      </c>
      <c r="CF445" s="132" t="str">
        <f aca="false">IF(ISBLANK($C445),"",IF($BL445&lt;&gt;Constants!$B$4,"",IF($BB445="-&gt;",$BF445,$AV445)))</f>
        <v/>
      </c>
      <c r="CG445" s="132" t="str">
        <f aca="false">IF(ISBLANK($C445),"",IF($BL445&lt;&gt;Constants!$B$4,"",IF($BB445="-&gt;",$BG445,$AW445)))</f>
        <v/>
      </c>
      <c r="CH445" s="132" t="str">
        <f aca="false">IF(ISBLANK($C445),"",IF($BL445&lt;&gt;Constants!$B$4,"",IF($BB445="-&gt;",$BH445,$AX445)))</f>
        <v/>
      </c>
      <c r="CI445" s="133" t="str">
        <f aca="false">IF(ISBLANK($C445),"",$BO445)</f>
        <v/>
      </c>
      <c r="CJ445" s="134" t="str">
        <f aca="false">IF(ISBLANK($C445),"",$BM445)</f>
        <v/>
      </c>
      <c r="CK445" s="135" t="str">
        <f aca="false">IF(ISBLANK($C445),"",$CA445)</f>
        <v/>
      </c>
      <c r="CL445" s="135" t="str">
        <f aca="false">IF(ISBLANK($C445),"",$BZ445)</f>
        <v/>
      </c>
      <c r="CM445" s="136" t="str">
        <f aca="false">IF(ISBLANK($C445),"",IF($CL445=Constants!$B$7,COUNTA($C$9:$C$508)+2,IF($CL445=Constants!$B$6,COUNTA($C$9:$C$508)+1,IF($CL445=Constants!$B$5,COUNTA($C$9:$C$508),$CL445))))</f>
        <v/>
      </c>
      <c r="CN445" s="8"/>
      <c r="CO445" s="137" t="n">
        <f aca="false">IF(OR(ISNUMBER($CL445),$CL445=Constants!$B$7,$CL445=Constants!$B$5,$CL445=Constants!$B$6),1,0)</f>
        <v>0</v>
      </c>
      <c r="CP445" s="137" t="n">
        <v>437</v>
      </c>
      <c r="CQ445" s="137" t="str">
        <f aca="false">IF(ISBLANK($C445),"",IF(ISNUMBER($CM445),$CM445+ROW($B445)/1000,""))</f>
        <v/>
      </c>
      <c r="CR445" s="137" t="str">
        <f aca="false">IF(ISNUMBER($CQ445),RANK($CQ445,$CQ$9:$CQ$508,1),"")</f>
        <v/>
      </c>
      <c r="CS445" s="137" t="str">
        <f aca="false">IF(ISBLANK($C445),"",$B445)</f>
        <v/>
      </c>
      <c r="CT445" s="137" t="str">
        <f aca="false">IF(ISBLANK($C445),"",$C445)</f>
        <v/>
      </c>
      <c r="CU445" s="137" t="str">
        <f aca="false">IF(ISBLANK($C445),"",$D445)</f>
        <v/>
      </c>
      <c r="CV445" s="138" t="str">
        <f aca="false">$CJ445</f>
        <v/>
      </c>
      <c r="CW445" s="139" t="str">
        <f aca="false">$CI445</f>
        <v/>
      </c>
      <c r="CX445" s="137" t="str">
        <f aca="false">IF(ISBLANK($C445),"",$CL445)</f>
        <v/>
      </c>
      <c r="CY445" s="140" t="str">
        <f aca="false">IF($CP445&gt;$CO$8,"",VLOOKUP($CP445,$CR$9:$CX$508,7,FALSE()))</f>
        <v/>
      </c>
      <c r="CZ445" s="141" t="str">
        <f aca="false">IF($CP445&gt;$CO$8,"",VLOOKUP($CP445,$CR$9:$CX$508,2,FALSE()))</f>
        <v/>
      </c>
      <c r="DA445" s="141" t="str">
        <f aca="false">IF($CP445&gt;$CO$8,"",VLOOKUP($CP445,$CR$9:$CX$508,3,FALSE()))</f>
        <v/>
      </c>
      <c r="DB445" s="141" t="str">
        <f aca="false">IF($CP445&gt;$CO$8,"",VLOOKUP($CP445,$CR$9:$CX$508,4,FALSE()))</f>
        <v/>
      </c>
      <c r="DC445" s="141" t="str">
        <f aca="false">IF($CP445&gt;$CO$8,"",VLOOKUP($CP445,$CR$9:$CX$508,5,FALSE()))</f>
        <v/>
      </c>
      <c r="DD445" s="142" t="str">
        <f aca="false">IF($CP445&gt;$CO$8,"",VLOOKUP($CP445,$CR$9:$CX$508,6,FALSE()))</f>
        <v/>
      </c>
      <c r="DE445" s="70"/>
    </row>
    <row r="446" customFormat="false" ht="15.75" hidden="false" customHeight="false" outlineLevel="0" collapsed="false">
      <c r="A446" s="8"/>
      <c r="B446" s="146"/>
      <c r="C446" s="147"/>
      <c r="D446" s="148"/>
      <c r="E446" s="164"/>
      <c r="F446" s="150"/>
      <c r="G446" s="115"/>
      <c r="H446" s="115"/>
      <c r="I446" s="115"/>
      <c r="J446" s="165"/>
      <c r="K446" s="154"/>
      <c r="L446" s="154"/>
      <c r="M446" s="118"/>
      <c r="N446" s="154"/>
      <c r="O446" s="153"/>
      <c r="P446" s="154"/>
      <c r="Q446" s="154"/>
      <c r="R446" s="154"/>
      <c r="S446" s="115"/>
      <c r="T446" s="154"/>
      <c r="U446" s="153"/>
      <c r="V446" s="154"/>
      <c r="W446" s="123"/>
      <c r="X446" s="124" t="str">
        <f aca="false">IF(ISBLANK($C446),"",IF($E446=Constants!$B$2,TRUE(),IF($E446=Constants!$B$3,FALSE(),TRUE())))</f>
        <v/>
      </c>
      <c r="Y446" s="124" t="str">
        <f aca="false">IF(ISBLANK($C446),"",IF($F446=Constants!$B$2,TRUE(),IF($F446=Constants!$B$3,FALSE(),TRUE())))</f>
        <v/>
      </c>
      <c r="Z446" s="125" t="str">
        <f aca="false">IF(ISBLANK($C446),"",IF(ISNUMBER($G446),IF($G446&gt;=0,$G446,""),""))</f>
        <v/>
      </c>
      <c r="AA446" s="125" t="str">
        <f aca="false">IF(ISBLANK($C446),"",IF(ISNUMBER($H446),IF($H446&gt;=0,$H446,""),""))</f>
        <v/>
      </c>
      <c r="AB446" s="125" t="str">
        <f aca="false">IF(ISBLANK($C446),"",IF(ISNUMBER($I446),IF($I446&gt;=0,$I446,""),""))</f>
        <v/>
      </c>
      <c r="AC446" s="124" t="str">
        <f aca="false">IF(ISBLANK($C446),"",IF($J446=Constants!$B$2,TRUE(),IF($J446=Constants!$B$3,FALSE(),TRUE())))</f>
        <v/>
      </c>
      <c r="AD446" s="124" t="str">
        <f aca="false">IF(ISBLANK($C446),"",IF($K446=Constants!$B$2,TRUE(),IF($K446=Constants!$B$3,FALSE(),TRUE())))</f>
        <v/>
      </c>
      <c r="AE446" s="124" t="str">
        <f aca="false">IF(ISBLANK($C446),"",IF($L446=Constants!$B$2,TRUE(),IF($L446=Constants!$B$3,FALSE(),TRUE())))</f>
        <v/>
      </c>
      <c r="AF446" s="126" t="str">
        <f aca="false">IF(ISBLANK($C446),"",IF(ISNUMBER($M446),IF($M446&gt;=0,$M446,""),""))</f>
        <v/>
      </c>
      <c r="AG446" s="124" t="str">
        <f aca="false">IF(ISBLANK($C446),"",IF(ISBLANK($N446),0,IF(ISNUMBER($N446),IF(AND($N446&gt;=0,$N446&lt;=Constants!$B$17,$N446=INT($N446)),$N446,""),"")))</f>
        <v/>
      </c>
      <c r="AH446" s="125" t="str">
        <f aca="false">IF(ISBLANK($C446),"",IF(ISBLANK($O446),0,IF(ISNUMBER($O446),IF($O446&gt;=0,$O446,""),"")))</f>
        <v/>
      </c>
      <c r="AI446" s="124" t="str">
        <f aca="false">IF(ISBLANK($C446),"",IF($P446=Constants!$B$2,TRUE(),IF($P446=Constants!$B$3,FALSE(),TRUE())))</f>
        <v/>
      </c>
      <c r="AJ446" s="124" t="str">
        <f aca="false">IF(ISBLANK($C446),"",IF($Q446=Constants!$B$2,TRUE(),IF($Q446=Constants!$B$3,FALSE(),TRUE())))</f>
        <v/>
      </c>
      <c r="AK446" s="124" t="str">
        <f aca="false">IF(ISBLANK($C446),"",IF($R446=Constants!$B$2,TRUE(),IF($R446=Constants!$B$3,FALSE(),TRUE())))</f>
        <v/>
      </c>
      <c r="AL446" s="126" t="str">
        <f aca="false">IF(ISBLANK($C446),"",IF(ISNUMBER($S446),IF($S446&gt;=0,$S446,""),""))</f>
        <v/>
      </c>
      <c r="AM446" s="124" t="str">
        <f aca="false">IF(ISBLANK($C446),"",IF(ISBLANK($T446),0,IF(ISNUMBER($T446),IF(AND($T446&gt;=0,$T446&lt;=Constants!$B$17,$T446=INT($T446)),$T446,""),"")))</f>
        <v/>
      </c>
      <c r="AN446" s="125" t="str">
        <f aca="false">IF(ISBLANK($C446),"",IF(ISBLANK($U446),0,IF(ISNUMBER($U446),IF($U446&gt;=0,$U446,""),"")))</f>
        <v/>
      </c>
      <c r="AO446" s="124" t="str">
        <f aca="false">IF(ISBLANK($C446),"",IF($V446=Constants!$B$2,TRUE(),IF($V446=Constants!$B$3,FALSE(),FALSE())))</f>
        <v/>
      </c>
      <c r="AP446" s="124"/>
      <c r="AQ446" s="123" t="str">
        <f aca="false">IF(ISBLANK($C446),"",AND($Y446,OR($AS446,$BC446),OR($Z446="",$AA446="",$AB446="")))</f>
        <v/>
      </c>
      <c r="AR446" s="123" t="str">
        <f aca="false">IF(ISBLANK($C446),"",IF(OR(NOT($Y446),NOT(OR($AS446,$BC446))),"",IF(ISBLANK($D$7),$AR$5,IF($AP$9="",$AR$6,""))))</f>
        <v/>
      </c>
      <c r="AS446" s="123" t="str">
        <f aca="false">IF(ISBLANK($C446),"",COUNTA($J446:$O446)&gt;0)</f>
        <v/>
      </c>
      <c r="AT446" s="123" t="str">
        <f aca="false">IF(ISBLANK($C446),"",AND($AS446,OR(AND($AF446="",OR($AE446,NOT(ISBLANK($M446)))),$AG446="",$AH446="")))</f>
        <v/>
      </c>
      <c r="AU446" s="125" t="str">
        <f aca="false">IF($BL446&lt;&gt;Constants!$B$4,"",IF(NOT($AS446),"",ROUND((Constants!$B$12-$AB446)+(Constants!$B$13-$Z446)+(Constants!$B$14-$AA446),1)))</f>
        <v/>
      </c>
      <c r="AV446" s="127" t="str">
        <f aca="false">IF($BL446&lt;&gt;Constants!$B$4,"",IF(NOT($AS446),"",IF(NOT($AE446),0,Constants!$B$15*(INT(ROUND(MIN($AF446,$AP$9),6))-INT(ROUND(MAX(0,MIN($AF446,2*$AP$9)-$AP$9),6))))))</f>
        <v/>
      </c>
      <c r="AW446" s="127" t="str">
        <f aca="false">IF($BL446&lt;&gt;Constants!$B$4,"",IF(NOT($AS446),"",Constants!$B$16*$AG446))</f>
        <v/>
      </c>
      <c r="AX446" s="127" t="str">
        <f aca="false">IF($BL446&lt;&gt;Constants!$B$4,"",IF(NOT($AS446),"",Constants!$B$18*INT(ROUND($AH446,6))))</f>
        <v/>
      </c>
      <c r="AY446" s="123" t="str">
        <f aca="false">IF($BL446&lt;&gt;Constants!$B$4,"",IF(NOT($AS446),"",IF(NOT($X446),Constants!$B$11,IF(OR(NOT($AC446),NOT($AD446),ROUND($AB446,1)&gt;Constants!$B$12,ROUND($Z446,1)&gt;Constants!$B$13,ROUND($AA446,1)&gt;Constants!$B$14),Constants!$B$10,Constants!$B$9))))</f>
        <v/>
      </c>
      <c r="AZ446" s="128" t="str">
        <f aca="false">IF($BL446&lt;&gt;Constants!$B$4,"",IF(NOT($AS446),"",ROUND($AU446+$AV446+$AW446+$AX446,1)))</f>
        <v/>
      </c>
      <c r="BA446" s="129" t="str">
        <f aca="false">IF($BL446&lt;&gt;Constants!$B$4,"",IF(NOT($AS446),"",IF(ISNUMBER($AF446),$AF446,0)))</f>
        <v/>
      </c>
      <c r="BB446" s="124" t="str">
        <f aca="false">IF($BL446&lt;&gt;Constants!$B$4,"",IF(NOT($BC446),"&lt;-",IF(NOT($AS446),"-&gt;",IF(OR($BI446&lt;$AY446,AND($BI446=$AY446,OR($BJ446&gt;$AZ446,AND($BJ446=$AZ446,OR($BH446&gt;$AX446,AND($BH446=$AX446,OR($BE446&gt;$AU446,AND($BE446=$AU446,OR($BF446&gt;$AV446,AND($BF446=$AV446,$BK446&gt;$BA446)))))))))),"-&gt;","&lt;-"))))</f>
        <v/>
      </c>
      <c r="BC446" s="123" t="str">
        <f aca="false">IF(ISBLANK($C446),"",COUNTA($P446:$U446)&gt;0)</f>
        <v/>
      </c>
      <c r="BD446" s="123" t="str">
        <f aca="false">IF(ISBLANK($C446),"",AND($BC446,OR(AND($AL446="",OR($AK446,NOT(ISBLANK($S446)))),$AM446="",$AN446="")))</f>
        <v/>
      </c>
      <c r="BE446" s="125" t="str">
        <f aca="false">IF($BL446&lt;&gt;Constants!$B$4,"",IF(NOT($BC446),"",ROUND((Constants!$B$12-$AB446)+(Constants!$B$13-$Z446)+(Constants!$B$14-$AA446),1)))</f>
        <v/>
      </c>
      <c r="BF446" s="127" t="str">
        <f aca="false">IF($BL446&lt;&gt;Constants!$B$4,"",IF(NOT($BC446),"",IF(NOT($AK446),0,Constants!$B$15*(INT(ROUND(MIN($AL446,$AP$9),6))-INT(ROUND(MAX(0,MIN($AL446,2*$AP$9)-$AP$9),6))))))</f>
        <v/>
      </c>
      <c r="BG446" s="127" t="str">
        <f aca="false">IF($BL446&lt;&gt;Constants!$B$4,"",IF(NOT($BC446),"",Constants!$B$16*$AM446))</f>
        <v/>
      </c>
      <c r="BH446" s="127" t="str">
        <f aca="false">IF($BL446&lt;&gt;Constants!$B$4,"",IF(NOT($BC446),"",Constants!$B$18*INT(ROUND($AN446,6))))</f>
        <v/>
      </c>
      <c r="BI446" s="123" t="str">
        <f aca="false">IF($BL446&lt;&gt;Constants!$B$4,"",IF(NOT($BC446),"",IF(NOT($X446),Constants!$B$11,IF(OR(NOT($AI446),NOT($AJ446),ROUND($AB446,1)&gt;Constants!$B$12,ROUND($Z446,1)&gt;Constants!$B$13,ROUND($AA446,1)&gt;Constants!$B$14),Constants!$B$10,Constants!$B$9))))</f>
        <v/>
      </c>
      <c r="BJ446" s="128" t="str">
        <f aca="false">IF($BL446&lt;&gt;Constants!$B$4,"",IF(NOT($BC446),"",ROUND($BE446+$BF446+$BG446+$BH446,1)))</f>
        <v/>
      </c>
      <c r="BK446" s="129" t="str">
        <f aca="false">IF($BL446&lt;&gt;Constants!$B$4,"",IF(NOT($BC446),"",IF(ISNUMBER($AL446),$AL446,0)))</f>
        <v/>
      </c>
      <c r="BL446" s="124" t="str">
        <f aca="false">IF(ISBLANK($C446),"",IF($AO446,Constants!$B$7,IF(COUNTA($E446:$V446)=0,Constants!$B$6,IF(NOT($Y446),Constants!$B$5,IF(NOT(OR($AS446,$BC446)),Constants!$B$5,IF(OR($AT446,$BD446,$AQ446,$AR446&lt;&gt;""),Constants!$B$8,Constants!$B$4))))))</f>
        <v/>
      </c>
      <c r="BM446" s="124" t="str">
        <f aca="false">IF(ISBLANK($C446),"",IF($BL446&lt;&gt;Constants!$B$4,$BL446,IF($BB446="-&gt;",$BI446,$AY446)))</f>
        <v/>
      </c>
      <c r="BN446" s="127" t="str">
        <f aca="false">IF($BL446&lt;&gt;Constants!$B$4,"",IF($BB446="-&gt;",$BJ446,$AZ446))</f>
        <v/>
      </c>
      <c r="BO446" s="127" t="str">
        <f aca="false">IF(ISBLANK($C446),"",IF($BL446&lt;&gt;Constants!$B$4,$BL446,$BN446))</f>
        <v/>
      </c>
      <c r="BP446" s="124" t="str">
        <f aca="false">IF(ISBLANK($C446),"",IF($BL446&lt;&gt;Constants!$B$4,$BL446,RANK($BO446,$BO$9:$BO$508,0)))</f>
        <v/>
      </c>
      <c r="BQ446" s="124" t="str">
        <f aca="false">IF(ISBLANK($C446),"",IF($BL446&lt;&gt;Constants!$B$4,$BL446,COUNTIFS($BM$9:$BM$508,"&lt;"&amp;$BM446)+COUNTIFS($BM$9:$BM$508,$BM446,$BP$9:$BP$508,"&lt;"&amp;$BP446)+1))</f>
        <v/>
      </c>
      <c r="BR446" s="127" t="str">
        <f aca="false">IF($BL446&lt;&gt;Constants!$B$4,"",IF($BB446="-&gt;",$BH446,$AX446))</f>
        <v/>
      </c>
      <c r="BS446" s="124" t="str">
        <f aca="false">IF(ISBLANK($C446),"",IF($BL446&lt;&gt;Constants!$B$4,$BL446,IF(ISNUMBER($BR446),RANK($BR446,$BR$9:$BR$508,0),COUNT($BR$9:$BR$508)+1)))</f>
        <v/>
      </c>
      <c r="BT446" s="127" t="str">
        <f aca="false">IF($BL446&lt;&gt;Constants!$B$4,"",IF($BB446="-&gt;",$BE446,$AU446))</f>
        <v/>
      </c>
      <c r="BU446" s="124" t="str">
        <f aca="false">IF(ISBLANK($C446),"",IF($BL446&lt;&gt;Constants!$B$4,$BL446,IF(ISNUMBER($BT446),RANK($BT446,$BT$9:$BT$508,0),COUNT($BT$9:$BT$508)+1)))</f>
        <v/>
      </c>
      <c r="BV446" s="127" t="str">
        <f aca="false">IF($BL446&lt;&gt;Constants!$B$4,"",IF($BB446="-&gt;",$BF446,$AV446))</f>
        <v/>
      </c>
      <c r="BW446" s="124" t="str">
        <f aca="false">IF(ISBLANK($C446),"",IF($BL446&lt;&gt;Constants!$B$4,$BL446,IF(ISNUMBER($BV446),RANK($BV446,$BV$9:$BV$508,0),COUNT($BV$9:$BV$508)+1)))</f>
        <v/>
      </c>
      <c r="BX446" s="127" t="str">
        <f aca="false">IF($BL446&lt;&gt;Constants!$B$4,"",IF($BB446="-&gt;",$BK446,$BA446))</f>
        <v/>
      </c>
      <c r="BY446" s="124" t="str">
        <f aca="false">IF(ISBLANK($C446),"",IF($BL446&lt;&gt;Constants!$B$4,$BL446,IF(ISNUMBER($BX446),RANK($BX446,$BX$9:$BX$508,0),COUNT($BX$9:$BX$508)+1)))</f>
        <v/>
      </c>
      <c r="BZ446" s="124" t="str">
        <f aca="false">IF(ISBLANK($C446),"",IF($BL446&lt;&gt;Constants!$B$4,$BL446,COUNTIFS($BM$9:$BM$508,"&lt;"&amp;$BM446)+COUNTIFS($BM$9:$BM$508,$BM446,$BP$9:$BP$508,"&lt;"&amp;$BP446)+COUNTIFS($BM$9:$BM$508,$BM446,$BP$9:$BP$508,$BP446,$BS$9:$BS$508,"&lt;"&amp;$BS446)+COUNTIFS($BM$9:$BM$508,$BM446,$BP$9:$BP$508,$BP446,$BS$9:$BS$508,$BS446,$BU$9:$BU$508,"&lt;"&amp;$BU446)+COUNTIFS($BM$9:$BM$508,$BM446,$BP$9:$BP$508,$BP446,$BS$9:$BS$508,$BS446,$BU$9:$BU$508,$BU446,$BW$9:$BW$508,"&lt;"&amp;$BW446)+COUNTIFS($BM$9:$BM$508,$BM446,$BP$9:$BP$508,$BP446,$BS$9:$BS$508,$BS446,$BU$9:$BU$508,$BU446,$BW$9:$BW$508,$BW446,$BY$9:$BY$508,"&lt;"&amp;$BY446)+1))</f>
        <v/>
      </c>
      <c r="CA446" s="124" t="str">
        <f aca="false">IF(ISBLANK($C446),"",IF($BL446&lt;&gt;Constants!$B$4,$BL446,$BQ446-$BZ446))</f>
        <v/>
      </c>
      <c r="CB446" s="130"/>
      <c r="CC446" s="131" t="str">
        <f aca="false">IF(ISBLANK($C446),"",IF($BL446=Constants!$B$8,$AR446,""))</f>
        <v/>
      </c>
      <c r="CD446" s="131" t="str">
        <f aca="false">IF(ISBLANK($C446),"",IF($BL446&lt;&gt;Constants!$B$4,"",IF($BB446="-&gt;",2,1)))</f>
        <v/>
      </c>
      <c r="CE446" s="132" t="str">
        <f aca="false">IF(ISBLANK($C446),"",IF($BL446&lt;&gt;Constants!$B$4,"",IF($BB446="-&gt;",$BE446,$AU446)))</f>
        <v/>
      </c>
      <c r="CF446" s="132" t="str">
        <f aca="false">IF(ISBLANK($C446),"",IF($BL446&lt;&gt;Constants!$B$4,"",IF($BB446="-&gt;",$BF446,$AV446)))</f>
        <v/>
      </c>
      <c r="CG446" s="132" t="str">
        <f aca="false">IF(ISBLANK($C446),"",IF($BL446&lt;&gt;Constants!$B$4,"",IF($BB446="-&gt;",$BG446,$AW446)))</f>
        <v/>
      </c>
      <c r="CH446" s="132" t="str">
        <f aca="false">IF(ISBLANK($C446),"",IF($BL446&lt;&gt;Constants!$B$4,"",IF($BB446="-&gt;",$BH446,$AX446)))</f>
        <v/>
      </c>
      <c r="CI446" s="133" t="str">
        <f aca="false">IF(ISBLANK($C446),"",$BO446)</f>
        <v/>
      </c>
      <c r="CJ446" s="134" t="str">
        <f aca="false">IF(ISBLANK($C446),"",$BM446)</f>
        <v/>
      </c>
      <c r="CK446" s="135" t="str">
        <f aca="false">IF(ISBLANK($C446),"",$CA446)</f>
        <v/>
      </c>
      <c r="CL446" s="135" t="str">
        <f aca="false">IF(ISBLANK($C446),"",$BZ446)</f>
        <v/>
      </c>
      <c r="CM446" s="136" t="str">
        <f aca="false">IF(ISBLANK($C446),"",IF($CL446=Constants!$B$7,COUNTA($C$9:$C$508)+2,IF($CL446=Constants!$B$6,COUNTA($C$9:$C$508)+1,IF($CL446=Constants!$B$5,COUNTA($C$9:$C$508),$CL446))))</f>
        <v/>
      </c>
      <c r="CN446" s="8"/>
      <c r="CO446" s="137" t="n">
        <f aca="false">IF(OR(ISNUMBER($CL446),$CL446=Constants!$B$7,$CL446=Constants!$B$5,$CL446=Constants!$B$6),1,0)</f>
        <v>0</v>
      </c>
      <c r="CP446" s="137" t="n">
        <v>438</v>
      </c>
      <c r="CQ446" s="137" t="str">
        <f aca="false">IF(ISBLANK($C446),"",IF(ISNUMBER($CM446),$CM446+ROW($B446)/1000,""))</f>
        <v/>
      </c>
      <c r="CR446" s="137" t="str">
        <f aca="false">IF(ISNUMBER($CQ446),RANK($CQ446,$CQ$9:$CQ$508,1),"")</f>
        <v/>
      </c>
      <c r="CS446" s="137" t="str">
        <f aca="false">IF(ISBLANK($C446),"",$B446)</f>
        <v/>
      </c>
      <c r="CT446" s="137" t="str">
        <f aca="false">IF(ISBLANK($C446),"",$C446)</f>
        <v/>
      </c>
      <c r="CU446" s="137" t="str">
        <f aca="false">IF(ISBLANK($C446),"",$D446)</f>
        <v/>
      </c>
      <c r="CV446" s="138" t="str">
        <f aca="false">$CJ446</f>
        <v/>
      </c>
      <c r="CW446" s="139" t="str">
        <f aca="false">$CI446</f>
        <v/>
      </c>
      <c r="CX446" s="137" t="str">
        <f aca="false">IF(ISBLANK($C446),"",$CL446)</f>
        <v/>
      </c>
      <c r="CY446" s="140" t="str">
        <f aca="false">IF($CP446&gt;$CO$8,"",VLOOKUP($CP446,$CR$9:$CX$508,7,FALSE()))</f>
        <v/>
      </c>
      <c r="CZ446" s="141" t="str">
        <f aca="false">IF($CP446&gt;$CO$8,"",VLOOKUP($CP446,$CR$9:$CX$508,2,FALSE()))</f>
        <v/>
      </c>
      <c r="DA446" s="141" t="str">
        <f aca="false">IF($CP446&gt;$CO$8,"",VLOOKUP($CP446,$CR$9:$CX$508,3,FALSE()))</f>
        <v/>
      </c>
      <c r="DB446" s="141" t="str">
        <f aca="false">IF($CP446&gt;$CO$8,"",VLOOKUP($CP446,$CR$9:$CX$508,4,FALSE()))</f>
        <v/>
      </c>
      <c r="DC446" s="141" t="str">
        <f aca="false">IF($CP446&gt;$CO$8,"",VLOOKUP($CP446,$CR$9:$CX$508,5,FALSE()))</f>
        <v/>
      </c>
      <c r="DD446" s="142" t="str">
        <f aca="false">IF($CP446&gt;$CO$8,"",VLOOKUP($CP446,$CR$9:$CX$508,6,FALSE()))</f>
        <v/>
      </c>
      <c r="DE446" s="70"/>
    </row>
    <row r="447" customFormat="false" ht="15.75" hidden="false" customHeight="false" outlineLevel="0" collapsed="false">
      <c r="A447" s="8"/>
      <c r="B447" s="72"/>
      <c r="C447" s="73"/>
      <c r="D447" s="155"/>
      <c r="E447" s="162"/>
      <c r="F447" s="157"/>
      <c r="G447" s="77"/>
      <c r="H447" s="77"/>
      <c r="I447" s="77"/>
      <c r="J447" s="163"/>
      <c r="K447" s="161"/>
      <c r="L447" s="161"/>
      <c r="M447" s="80"/>
      <c r="N447" s="161"/>
      <c r="O447" s="160"/>
      <c r="P447" s="161"/>
      <c r="Q447" s="161"/>
      <c r="R447" s="161"/>
      <c r="S447" s="77"/>
      <c r="T447" s="161"/>
      <c r="U447" s="160"/>
      <c r="V447" s="161"/>
      <c r="W447" s="85"/>
      <c r="X447" s="86" t="str">
        <f aca="false">IF(ISBLANK($C447),"",IF($E447=Constants!$B$2,TRUE(),IF($E447=Constants!$B$3,FALSE(),TRUE())))</f>
        <v/>
      </c>
      <c r="Y447" s="86" t="str">
        <f aca="false">IF(ISBLANK($C447),"",IF($F447=Constants!$B$2,TRUE(),IF($F447=Constants!$B$3,FALSE(),TRUE())))</f>
        <v/>
      </c>
      <c r="Z447" s="87" t="str">
        <f aca="false">IF(ISBLANK($C447),"",IF(ISNUMBER($G447),IF($G447&gt;=0,$G447,""),""))</f>
        <v/>
      </c>
      <c r="AA447" s="87" t="str">
        <f aca="false">IF(ISBLANK($C447),"",IF(ISNUMBER($H447),IF($H447&gt;=0,$H447,""),""))</f>
        <v/>
      </c>
      <c r="AB447" s="87" t="str">
        <f aca="false">IF(ISBLANK($C447),"",IF(ISNUMBER($I447),IF($I447&gt;=0,$I447,""),""))</f>
        <v/>
      </c>
      <c r="AC447" s="86" t="str">
        <f aca="false">IF(ISBLANK($C447),"",IF($J447=Constants!$B$2,TRUE(),IF($J447=Constants!$B$3,FALSE(),TRUE())))</f>
        <v/>
      </c>
      <c r="AD447" s="86" t="str">
        <f aca="false">IF(ISBLANK($C447),"",IF($K447=Constants!$B$2,TRUE(),IF($K447=Constants!$B$3,FALSE(),TRUE())))</f>
        <v/>
      </c>
      <c r="AE447" s="86" t="str">
        <f aca="false">IF(ISBLANK($C447),"",IF($L447=Constants!$B$2,TRUE(),IF($L447=Constants!$B$3,FALSE(),TRUE())))</f>
        <v/>
      </c>
      <c r="AF447" s="88" t="str">
        <f aca="false">IF(ISBLANK($C447),"",IF(ISNUMBER($M447),IF($M447&gt;=0,$M447,""),""))</f>
        <v/>
      </c>
      <c r="AG447" s="86" t="str">
        <f aca="false">IF(ISBLANK($C447),"",IF(ISBLANK($N447),0,IF(ISNUMBER($N447),IF(AND($N447&gt;=0,$N447&lt;=Constants!$B$17,$N447=INT($N447)),$N447,""),"")))</f>
        <v/>
      </c>
      <c r="AH447" s="87" t="str">
        <f aca="false">IF(ISBLANK($C447),"",IF(ISBLANK($O447),0,IF(ISNUMBER($O447),IF($O447&gt;=0,$O447,""),"")))</f>
        <v/>
      </c>
      <c r="AI447" s="86" t="str">
        <f aca="false">IF(ISBLANK($C447),"",IF($P447=Constants!$B$2,TRUE(),IF($P447=Constants!$B$3,FALSE(),TRUE())))</f>
        <v/>
      </c>
      <c r="AJ447" s="86" t="str">
        <f aca="false">IF(ISBLANK($C447),"",IF($Q447=Constants!$B$2,TRUE(),IF($Q447=Constants!$B$3,FALSE(),TRUE())))</f>
        <v/>
      </c>
      <c r="AK447" s="86" t="str">
        <f aca="false">IF(ISBLANK($C447),"",IF($R447=Constants!$B$2,TRUE(),IF($R447=Constants!$B$3,FALSE(),TRUE())))</f>
        <v/>
      </c>
      <c r="AL447" s="88" t="str">
        <f aca="false">IF(ISBLANK($C447),"",IF(ISNUMBER($S447),IF($S447&gt;=0,$S447,""),""))</f>
        <v/>
      </c>
      <c r="AM447" s="86" t="str">
        <f aca="false">IF(ISBLANK($C447),"",IF(ISBLANK($T447),0,IF(ISNUMBER($T447),IF(AND($T447&gt;=0,$T447&lt;=Constants!$B$17,$T447=INT($T447)),$T447,""),"")))</f>
        <v/>
      </c>
      <c r="AN447" s="87" t="str">
        <f aca="false">IF(ISBLANK($C447),"",IF(ISBLANK($U447),0,IF(ISNUMBER($U447),IF($U447&gt;=0,$U447,""),"")))</f>
        <v/>
      </c>
      <c r="AO447" s="86" t="str">
        <f aca="false">IF(ISBLANK($C447),"",IF($V447=Constants!$B$2,TRUE(),IF($V447=Constants!$B$3,FALSE(),FALSE())))</f>
        <v/>
      </c>
      <c r="AP447" s="86"/>
      <c r="AQ447" s="85" t="str">
        <f aca="false">IF(ISBLANK($C447),"",AND($Y447,OR($AS447,$BC447),OR($Z447="",$AA447="",$AB447="")))</f>
        <v/>
      </c>
      <c r="AR447" s="85" t="str">
        <f aca="false">IF(ISBLANK($C447),"",IF(OR(NOT($Y447),NOT(OR($AS447,$BC447))),"",IF(ISBLANK($D$7),$AR$5,IF($AP$9="",$AR$6,""))))</f>
        <v/>
      </c>
      <c r="AS447" s="85" t="str">
        <f aca="false">IF(ISBLANK($C447),"",COUNTA($J447:$O447)&gt;0)</f>
        <v/>
      </c>
      <c r="AT447" s="85" t="str">
        <f aca="false">IF(ISBLANK($C447),"",AND($AS447,OR(AND($AF447="",OR($AE447,NOT(ISBLANK($M447)))),$AG447="",$AH447="")))</f>
        <v/>
      </c>
      <c r="AU447" s="87" t="str">
        <f aca="false">IF($BL447&lt;&gt;Constants!$B$4,"",IF(NOT($AS447),"",ROUND((Constants!$B$12-$AB447)+(Constants!$B$13-$Z447)+(Constants!$B$14-$AA447),1)))</f>
        <v/>
      </c>
      <c r="AV447" s="90" t="str">
        <f aca="false">IF($BL447&lt;&gt;Constants!$B$4,"",IF(NOT($AS447),"",IF(NOT($AE447),0,Constants!$B$15*(INT(ROUND(MIN($AF447,$AP$9),6))-INT(ROUND(MAX(0,MIN($AF447,2*$AP$9)-$AP$9),6))))))</f>
        <v/>
      </c>
      <c r="AW447" s="90" t="str">
        <f aca="false">IF($BL447&lt;&gt;Constants!$B$4,"",IF(NOT($AS447),"",Constants!$B$16*$AG447))</f>
        <v/>
      </c>
      <c r="AX447" s="90" t="str">
        <f aca="false">IF($BL447&lt;&gt;Constants!$B$4,"",IF(NOT($AS447),"",Constants!$B$18*INT(ROUND($AH447,6))))</f>
        <v/>
      </c>
      <c r="AY447" s="85" t="str">
        <f aca="false">IF($BL447&lt;&gt;Constants!$B$4,"",IF(NOT($AS447),"",IF(NOT($X447),Constants!$B$11,IF(OR(NOT($AC447),NOT($AD447),ROUND($AB447,1)&gt;Constants!$B$12,ROUND($Z447,1)&gt;Constants!$B$13,ROUND($AA447,1)&gt;Constants!$B$14),Constants!$B$10,Constants!$B$9))))</f>
        <v/>
      </c>
      <c r="AZ447" s="91" t="str">
        <f aca="false">IF($BL447&lt;&gt;Constants!$B$4,"",IF(NOT($AS447),"",ROUND($AU447+$AV447+$AW447+$AX447,1)))</f>
        <v/>
      </c>
      <c r="BA447" s="92" t="str">
        <f aca="false">IF($BL447&lt;&gt;Constants!$B$4,"",IF(NOT($AS447),"",IF(ISNUMBER($AF447),$AF447,0)))</f>
        <v/>
      </c>
      <c r="BB447" s="86" t="str">
        <f aca="false">IF($BL447&lt;&gt;Constants!$B$4,"",IF(NOT($BC447),"&lt;-",IF(NOT($AS447),"-&gt;",IF(OR($BI447&lt;$AY447,AND($BI447=$AY447,OR($BJ447&gt;$AZ447,AND($BJ447=$AZ447,OR($BH447&gt;$AX447,AND($BH447=$AX447,OR($BE447&gt;$AU447,AND($BE447=$AU447,OR($BF447&gt;$AV447,AND($BF447=$AV447,$BK447&gt;$BA447)))))))))),"-&gt;","&lt;-"))))</f>
        <v/>
      </c>
      <c r="BC447" s="85" t="str">
        <f aca="false">IF(ISBLANK($C447),"",COUNTA($P447:$U447)&gt;0)</f>
        <v/>
      </c>
      <c r="BD447" s="85" t="str">
        <f aca="false">IF(ISBLANK($C447),"",AND($BC447,OR(AND($AL447="",OR($AK447,NOT(ISBLANK($S447)))),$AM447="",$AN447="")))</f>
        <v/>
      </c>
      <c r="BE447" s="87" t="str">
        <f aca="false">IF($BL447&lt;&gt;Constants!$B$4,"",IF(NOT($BC447),"",ROUND((Constants!$B$12-$AB447)+(Constants!$B$13-$Z447)+(Constants!$B$14-$AA447),1)))</f>
        <v/>
      </c>
      <c r="BF447" s="90" t="str">
        <f aca="false">IF($BL447&lt;&gt;Constants!$B$4,"",IF(NOT($BC447),"",IF(NOT($AK447),0,Constants!$B$15*(INT(ROUND(MIN($AL447,$AP$9),6))-INT(ROUND(MAX(0,MIN($AL447,2*$AP$9)-$AP$9),6))))))</f>
        <v/>
      </c>
      <c r="BG447" s="90" t="str">
        <f aca="false">IF($BL447&lt;&gt;Constants!$B$4,"",IF(NOT($BC447),"",Constants!$B$16*$AM447))</f>
        <v/>
      </c>
      <c r="BH447" s="90" t="str">
        <f aca="false">IF($BL447&lt;&gt;Constants!$B$4,"",IF(NOT($BC447),"",Constants!$B$18*INT(ROUND($AN447,6))))</f>
        <v/>
      </c>
      <c r="BI447" s="85" t="str">
        <f aca="false">IF($BL447&lt;&gt;Constants!$B$4,"",IF(NOT($BC447),"",IF(NOT($X447),Constants!$B$11,IF(OR(NOT($AI447),NOT($AJ447),ROUND($AB447,1)&gt;Constants!$B$12,ROUND($Z447,1)&gt;Constants!$B$13,ROUND($AA447,1)&gt;Constants!$B$14),Constants!$B$10,Constants!$B$9))))</f>
        <v/>
      </c>
      <c r="BJ447" s="91" t="str">
        <f aca="false">IF($BL447&lt;&gt;Constants!$B$4,"",IF(NOT($BC447),"",ROUND($BE447+$BF447+$BG447+$BH447,1)))</f>
        <v/>
      </c>
      <c r="BK447" s="92" t="str">
        <f aca="false">IF($BL447&lt;&gt;Constants!$B$4,"",IF(NOT($BC447),"",IF(ISNUMBER($AL447),$AL447,0)))</f>
        <v/>
      </c>
      <c r="BL447" s="86" t="str">
        <f aca="false">IF(ISBLANK($C447),"",IF($AO447,Constants!$B$7,IF(COUNTA($E447:$V447)=0,Constants!$B$6,IF(NOT($Y447),Constants!$B$5,IF(NOT(OR($AS447,$BC447)),Constants!$B$5,IF(OR($AT447,$BD447,$AQ447,$AR447&lt;&gt;""),Constants!$B$8,Constants!$B$4))))))</f>
        <v/>
      </c>
      <c r="BM447" s="86" t="str">
        <f aca="false">IF(ISBLANK($C447),"",IF($BL447&lt;&gt;Constants!$B$4,$BL447,IF($BB447="-&gt;",$BI447,$AY447)))</f>
        <v/>
      </c>
      <c r="BN447" s="90" t="str">
        <f aca="false">IF($BL447&lt;&gt;Constants!$B$4,"",IF($BB447="-&gt;",$BJ447,$AZ447))</f>
        <v/>
      </c>
      <c r="BO447" s="90" t="str">
        <f aca="false">IF(ISBLANK($C447),"",IF($BL447&lt;&gt;Constants!$B$4,$BL447,$BN447))</f>
        <v/>
      </c>
      <c r="BP447" s="86" t="str">
        <f aca="false">IF(ISBLANK($C447),"",IF($BL447&lt;&gt;Constants!$B$4,$BL447,RANK($BO447,$BO$9:$BO$508,0)))</f>
        <v/>
      </c>
      <c r="BQ447" s="86" t="str">
        <f aca="false">IF(ISBLANK($C447),"",IF($BL447&lt;&gt;Constants!$B$4,$BL447,COUNTIFS($BM$9:$BM$508,"&lt;"&amp;$BM447)+COUNTIFS($BM$9:$BM$508,$BM447,$BP$9:$BP$508,"&lt;"&amp;$BP447)+1))</f>
        <v/>
      </c>
      <c r="BR447" s="90" t="str">
        <f aca="false">IF($BL447&lt;&gt;Constants!$B$4,"",IF($BB447="-&gt;",$BH447,$AX447))</f>
        <v/>
      </c>
      <c r="BS447" s="86" t="str">
        <f aca="false">IF(ISBLANK($C447),"",IF($BL447&lt;&gt;Constants!$B$4,$BL447,IF(ISNUMBER($BR447),RANK($BR447,$BR$9:$BR$508,0),COUNT($BR$9:$BR$508)+1)))</f>
        <v/>
      </c>
      <c r="BT447" s="90" t="str">
        <f aca="false">IF($BL447&lt;&gt;Constants!$B$4,"",IF($BB447="-&gt;",$BE447,$AU447))</f>
        <v/>
      </c>
      <c r="BU447" s="86" t="str">
        <f aca="false">IF(ISBLANK($C447),"",IF($BL447&lt;&gt;Constants!$B$4,$BL447,IF(ISNUMBER($BT447),RANK($BT447,$BT$9:$BT$508,0),COUNT($BT$9:$BT$508)+1)))</f>
        <v/>
      </c>
      <c r="BV447" s="90" t="str">
        <f aca="false">IF($BL447&lt;&gt;Constants!$B$4,"",IF($BB447="-&gt;",$BF447,$AV447))</f>
        <v/>
      </c>
      <c r="BW447" s="86" t="str">
        <f aca="false">IF(ISBLANK($C447),"",IF($BL447&lt;&gt;Constants!$B$4,$BL447,IF(ISNUMBER($BV447),RANK($BV447,$BV$9:$BV$508,0),COUNT($BV$9:$BV$508)+1)))</f>
        <v/>
      </c>
      <c r="BX447" s="90" t="str">
        <f aca="false">IF($BL447&lt;&gt;Constants!$B$4,"",IF($BB447="-&gt;",$BK447,$BA447))</f>
        <v/>
      </c>
      <c r="BY447" s="86" t="str">
        <f aca="false">IF(ISBLANK($C447),"",IF($BL447&lt;&gt;Constants!$B$4,$BL447,IF(ISNUMBER($BX447),RANK($BX447,$BX$9:$BX$508,0),COUNT($BX$9:$BX$508)+1)))</f>
        <v/>
      </c>
      <c r="BZ447" s="86" t="str">
        <f aca="false">IF(ISBLANK($C447),"",IF($BL447&lt;&gt;Constants!$B$4,$BL447,COUNTIFS($BM$9:$BM$508,"&lt;"&amp;$BM447)+COUNTIFS($BM$9:$BM$508,$BM447,$BP$9:$BP$508,"&lt;"&amp;$BP447)+COUNTIFS($BM$9:$BM$508,$BM447,$BP$9:$BP$508,$BP447,$BS$9:$BS$508,"&lt;"&amp;$BS447)+COUNTIFS($BM$9:$BM$508,$BM447,$BP$9:$BP$508,$BP447,$BS$9:$BS$508,$BS447,$BU$9:$BU$508,"&lt;"&amp;$BU447)+COUNTIFS($BM$9:$BM$508,$BM447,$BP$9:$BP$508,$BP447,$BS$9:$BS$508,$BS447,$BU$9:$BU$508,$BU447,$BW$9:$BW$508,"&lt;"&amp;$BW447)+COUNTIFS($BM$9:$BM$508,$BM447,$BP$9:$BP$508,$BP447,$BS$9:$BS$508,$BS447,$BU$9:$BU$508,$BU447,$BW$9:$BW$508,$BW447,$BY$9:$BY$508,"&lt;"&amp;$BY447)+1))</f>
        <v/>
      </c>
      <c r="CA447" s="86" t="str">
        <f aca="false">IF(ISBLANK($C447),"",IF($BL447&lt;&gt;Constants!$B$4,$BL447,$BQ447-$BZ447))</f>
        <v/>
      </c>
      <c r="CB447" s="93"/>
      <c r="CC447" s="94" t="str">
        <f aca="false">IF(ISBLANK($C447),"",IF($BL447=Constants!$B$8,$AR447,""))</f>
        <v/>
      </c>
      <c r="CD447" s="94" t="str">
        <f aca="false">IF(ISBLANK($C447),"",IF($BL447&lt;&gt;Constants!$B$4,"",IF($BB447="-&gt;",2,1)))</f>
        <v/>
      </c>
      <c r="CE447" s="95" t="str">
        <f aca="false">IF(ISBLANK($C447),"",IF($BL447&lt;&gt;Constants!$B$4,"",IF($BB447="-&gt;",$BE447,$AU447)))</f>
        <v/>
      </c>
      <c r="CF447" s="95" t="str">
        <f aca="false">IF(ISBLANK($C447),"",IF($BL447&lt;&gt;Constants!$B$4,"",IF($BB447="-&gt;",$BF447,$AV447)))</f>
        <v/>
      </c>
      <c r="CG447" s="95" t="str">
        <f aca="false">IF(ISBLANK($C447),"",IF($BL447&lt;&gt;Constants!$B$4,"",IF($BB447="-&gt;",$BG447,$AW447)))</f>
        <v/>
      </c>
      <c r="CH447" s="95" t="str">
        <f aca="false">IF(ISBLANK($C447),"",IF($BL447&lt;&gt;Constants!$B$4,"",IF($BB447="-&gt;",$BH447,$AX447)))</f>
        <v/>
      </c>
      <c r="CI447" s="96" t="str">
        <f aca="false">IF(ISBLANK($C447),"",$BO447)</f>
        <v/>
      </c>
      <c r="CJ447" s="97" t="str">
        <f aca="false">IF(ISBLANK($C447),"",$BM447)</f>
        <v/>
      </c>
      <c r="CK447" s="98" t="str">
        <f aca="false">IF(ISBLANK($C447),"",$CA447)</f>
        <v/>
      </c>
      <c r="CL447" s="98" t="str">
        <f aca="false">IF(ISBLANK($C447),"",$BZ447)</f>
        <v/>
      </c>
      <c r="CM447" s="99" t="str">
        <f aca="false">IF(ISBLANK($C447),"",IF($CL447=Constants!$B$7,COUNTA($C$9:$C$508)+2,IF($CL447=Constants!$B$6,COUNTA($C$9:$C$508)+1,IF($CL447=Constants!$B$5,COUNTA($C$9:$C$508),$CL447))))</f>
        <v/>
      </c>
      <c r="CN447" s="8"/>
      <c r="CO447" s="100" t="n">
        <f aca="false">IF(OR(ISNUMBER($CL447),$CL447=Constants!$B$7,$CL447=Constants!$B$5,$CL447=Constants!$B$6),1,0)</f>
        <v>0</v>
      </c>
      <c r="CP447" s="100" t="n">
        <v>439</v>
      </c>
      <c r="CQ447" s="100" t="str">
        <f aca="false">IF(ISBLANK($C447),"",IF(ISNUMBER($CM447),$CM447+ROW($B447)/1000,""))</f>
        <v/>
      </c>
      <c r="CR447" s="100" t="str">
        <f aca="false">IF(ISNUMBER($CQ447),RANK($CQ447,$CQ$9:$CQ$508,1),"")</f>
        <v/>
      </c>
      <c r="CS447" s="100" t="str">
        <f aca="false">IF(ISBLANK($C447),"",$B447)</f>
        <v/>
      </c>
      <c r="CT447" s="100" t="str">
        <f aca="false">IF(ISBLANK($C447),"",$C447)</f>
        <v/>
      </c>
      <c r="CU447" s="100" t="str">
        <f aca="false">IF(ISBLANK($C447),"",$D447)</f>
        <v/>
      </c>
      <c r="CV447" s="101" t="str">
        <f aca="false">$CJ447</f>
        <v/>
      </c>
      <c r="CW447" s="102" t="str">
        <f aca="false">$CI447</f>
        <v/>
      </c>
      <c r="CX447" s="100" t="str">
        <f aca="false">IF(ISBLANK($C447),"",$CL447)</f>
        <v/>
      </c>
      <c r="CY447" s="103" t="str">
        <f aca="false">IF($CP447&gt;$CO$8,"",VLOOKUP($CP447,$CR$9:$CX$508,7,FALSE()))</f>
        <v/>
      </c>
      <c r="CZ447" s="104" t="str">
        <f aca="false">IF($CP447&gt;$CO$8,"",VLOOKUP($CP447,$CR$9:$CX$508,2,FALSE()))</f>
        <v/>
      </c>
      <c r="DA447" s="104" t="str">
        <f aca="false">IF($CP447&gt;$CO$8,"",VLOOKUP($CP447,$CR$9:$CX$508,3,FALSE()))</f>
        <v/>
      </c>
      <c r="DB447" s="104" t="str">
        <f aca="false">IF($CP447&gt;$CO$8,"",VLOOKUP($CP447,$CR$9:$CX$508,4,FALSE()))</f>
        <v/>
      </c>
      <c r="DC447" s="104" t="str">
        <f aca="false">IF($CP447&gt;$CO$8,"",VLOOKUP($CP447,$CR$9:$CX$508,5,FALSE()))</f>
        <v/>
      </c>
      <c r="DD447" s="105" t="str">
        <f aca="false">IF($CP447&gt;$CO$8,"",VLOOKUP($CP447,$CR$9:$CX$508,6,FALSE()))</f>
        <v/>
      </c>
      <c r="DE447" s="70"/>
    </row>
    <row r="448" customFormat="false" ht="15.75" hidden="false" customHeight="false" outlineLevel="0" collapsed="false">
      <c r="A448" s="8"/>
      <c r="B448" s="72"/>
      <c r="C448" s="73"/>
      <c r="D448" s="155"/>
      <c r="E448" s="162"/>
      <c r="F448" s="157"/>
      <c r="G448" s="77"/>
      <c r="H448" s="77"/>
      <c r="I448" s="77"/>
      <c r="J448" s="163"/>
      <c r="K448" s="161"/>
      <c r="L448" s="161"/>
      <c r="M448" s="80"/>
      <c r="N448" s="161"/>
      <c r="O448" s="160"/>
      <c r="P448" s="161"/>
      <c r="Q448" s="161"/>
      <c r="R448" s="161"/>
      <c r="S448" s="77"/>
      <c r="T448" s="161"/>
      <c r="U448" s="160"/>
      <c r="V448" s="161"/>
      <c r="W448" s="85"/>
      <c r="X448" s="86" t="str">
        <f aca="false">IF(ISBLANK($C448),"",IF($E448=Constants!$B$2,TRUE(),IF($E448=Constants!$B$3,FALSE(),TRUE())))</f>
        <v/>
      </c>
      <c r="Y448" s="86" t="str">
        <f aca="false">IF(ISBLANK($C448),"",IF($F448=Constants!$B$2,TRUE(),IF($F448=Constants!$B$3,FALSE(),TRUE())))</f>
        <v/>
      </c>
      <c r="Z448" s="87" t="str">
        <f aca="false">IF(ISBLANK($C448),"",IF(ISNUMBER($G448),IF($G448&gt;=0,$G448,""),""))</f>
        <v/>
      </c>
      <c r="AA448" s="87" t="str">
        <f aca="false">IF(ISBLANK($C448),"",IF(ISNUMBER($H448),IF($H448&gt;=0,$H448,""),""))</f>
        <v/>
      </c>
      <c r="AB448" s="87" t="str">
        <f aca="false">IF(ISBLANK($C448),"",IF(ISNUMBER($I448),IF($I448&gt;=0,$I448,""),""))</f>
        <v/>
      </c>
      <c r="AC448" s="86" t="str">
        <f aca="false">IF(ISBLANK($C448),"",IF($J448=Constants!$B$2,TRUE(),IF($J448=Constants!$B$3,FALSE(),TRUE())))</f>
        <v/>
      </c>
      <c r="AD448" s="86" t="str">
        <f aca="false">IF(ISBLANK($C448),"",IF($K448=Constants!$B$2,TRUE(),IF($K448=Constants!$B$3,FALSE(),TRUE())))</f>
        <v/>
      </c>
      <c r="AE448" s="86" t="str">
        <f aca="false">IF(ISBLANK($C448),"",IF($L448=Constants!$B$2,TRUE(),IF($L448=Constants!$B$3,FALSE(),TRUE())))</f>
        <v/>
      </c>
      <c r="AF448" s="88" t="str">
        <f aca="false">IF(ISBLANK($C448),"",IF(ISNUMBER($M448),IF($M448&gt;=0,$M448,""),""))</f>
        <v/>
      </c>
      <c r="AG448" s="86" t="str">
        <f aca="false">IF(ISBLANK($C448),"",IF(ISBLANK($N448),0,IF(ISNUMBER($N448),IF(AND($N448&gt;=0,$N448&lt;=Constants!$B$17,$N448=INT($N448)),$N448,""),"")))</f>
        <v/>
      </c>
      <c r="AH448" s="87" t="str">
        <f aca="false">IF(ISBLANK($C448),"",IF(ISBLANK($O448),0,IF(ISNUMBER($O448),IF($O448&gt;=0,$O448,""),"")))</f>
        <v/>
      </c>
      <c r="AI448" s="86" t="str">
        <f aca="false">IF(ISBLANK($C448),"",IF($P448=Constants!$B$2,TRUE(),IF($P448=Constants!$B$3,FALSE(),TRUE())))</f>
        <v/>
      </c>
      <c r="AJ448" s="86" t="str">
        <f aca="false">IF(ISBLANK($C448),"",IF($Q448=Constants!$B$2,TRUE(),IF($Q448=Constants!$B$3,FALSE(),TRUE())))</f>
        <v/>
      </c>
      <c r="AK448" s="86" t="str">
        <f aca="false">IF(ISBLANK($C448),"",IF($R448=Constants!$B$2,TRUE(),IF($R448=Constants!$B$3,FALSE(),TRUE())))</f>
        <v/>
      </c>
      <c r="AL448" s="88" t="str">
        <f aca="false">IF(ISBLANK($C448),"",IF(ISNUMBER($S448),IF($S448&gt;=0,$S448,""),""))</f>
        <v/>
      </c>
      <c r="AM448" s="86" t="str">
        <f aca="false">IF(ISBLANK($C448),"",IF(ISBLANK($T448),0,IF(ISNUMBER($T448),IF(AND($T448&gt;=0,$T448&lt;=Constants!$B$17,$T448=INT($T448)),$T448,""),"")))</f>
        <v/>
      </c>
      <c r="AN448" s="87" t="str">
        <f aca="false">IF(ISBLANK($C448),"",IF(ISBLANK($U448),0,IF(ISNUMBER($U448),IF($U448&gt;=0,$U448,""),"")))</f>
        <v/>
      </c>
      <c r="AO448" s="86" t="str">
        <f aca="false">IF(ISBLANK($C448),"",IF($V448=Constants!$B$2,TRUE(),IF($V448=Constants!$B$3,FALSE(),FALSE())))</f>
        <v/>
      </c>
      <c r="AP448" s="86"/>
      <c r="AQ448" s="85" t="str">
        <f aca="false">IF(ISBLANK($C448),"",AND($Y448,OR($AS448,$BC448),OR($Z448="",$AA448="",$AB448="")))</f>
        <v/>
      </c>
      <c r="AR448" s="85" t="str">
        <f aca="false">IF(ISBLANK($C448),"",IF(OR(NOT($Y448),NOT(OR($AS448,$BC448))),"",IF(ISBLANK($D$7),$AR$5,IF($AP$9="",$AR$6,""))))</f>
        <v/>
      </c>
      <c r="AS448" s="85" t="str">
        <f aca="false">IF(ISBLANK($C448),"",COUNTA($J448:$O448)&gt;0)</f>
        <v/>
      </c>
      <c r="AT448" s="85" t="str">
        <f aca="false">IF(ISBLANK($C448),"",AND($AS448,OR(AND($AF448="",OR($AE448,NOT(ISBLANK($M448)))),$AG448="",$AH448="")))</f>
        <v/>
      </c>
      <c r="AU448" s="87" t="str">
        <f aca="false">IF($BL448&lt;&gt;Constants!$B$4,"",IF(NOT($AS448),"",ROUND((Constants!$B$12-$AB448)+(Constants!$B$13-$Z448)+(Constants!$B$14-$AA448),1)))</f>
        <v/>
      </c>
      <c r="AV448" s="90" t="str">
        <f aca="false">IF($BL448&lt;&gt;Constants!$B$4,"",IF(NOT($AS448),"",IF(NOT($AE448),0,Constants!$B$15*(INT(ROUND(MIN($AF448,$AP$9),6))-INT(ROUND(MAX(0,MIN($AF448,2*$AP$9)-$AP$9),6))))))</f>
        <v/>
      </c>
      <c r="AW448" s="90" t="str">
        <f aca="false">IF($BL448&lt;&gt;Constants!$B$4,"",IF(NOT($AS448),"",Constants!$B$16*$AG448))</f>
        <v/>
      </c>
      <c r="AX448" s="90" t="str">
        <f aca="false">IF($BL448&lt;&gt;Constants!$B$4,"",IF(NOT($AS448),"",Constants!$B$18*INT(ROUND($AH448,6))))</f>
        <v/>
      </c>
      <c r="AY448" s="85" t="str">
        <f aca="false">IF($BL448&lt;&gt;Constants!$B$4,"",IF(NOT($AS448),"",IF(NOT($X448),Constants!$B$11,IF(OR(NOT($AC448),NOT($AD448),ROUND($AB448,1)&gt;Constants!$B$12,ROUND($Z448,1)&gt;Constants!$B$13,ROUND($AA448,1)&gt;Constants!$B$14),Constants!$B$10,Constants!$B$9))))</f>
        <v/>
      </c>
      <c r="AZ448" s="91" t="str">
        <f aca="false">IF($BL448&lt;&gt;Constants!$B$4,"",IF(NOT($AS448),"",ROUND($AU448+$AV448+$AW448+$AX448,1)))</f>
        <v/>
      </c>
      <c r="BA448" s="92" t="str">
        <f aca="false">IF($BL448&lt;&gt;Constants!$B$4,"",IF(NOT($AS448),"",IF(ISNUMBER($AF448),$AF448,0)))</f>
        <v/>
      </c>
      <c r="BB448" s="86" t="str">
        <f aca="false">IF($BL448&lt;&gt;Constants!$B$4,"",IF(NOT($BC448),"&lt;-",IF(NOT($AS448),"-&gt;",IF(OR($BI448&lt;$AY448,AND($BI448=$AY448,OR($BJ448&gt;$AZ448,AND($BJ448=$AZ448,OR($BH448&gt;$AX448,AND($BH448=$AX448,OR($BE448&gt;$AU448,AND($BE448=$AU448,OR($BF448&gt;$AV448,AND($BF448=$AV448,$BK448&gt;$BA448)))))))))),"-&gt;","&lt;-"))))</f>
        <v/>
      </c>
      <c r="BC448" s="85" t="str">
        <f aca="false">IF(ISBLANK($C448),"",COUNTA($P448:$U448)&gt;0)</f>
        <v/>
      </c>
      <c r="BD448" s="85" t="str">
        <f aca="false">IF(ISBLANK($C448),"",AND($BC448,OR(AND($AL448="",OR($AK448,NOT(ISBLANK($S448)))),$AM448="",$AN448="")))</f>
        <v/>
      </c>
      <c r="BE448" s="87" t="str">
        <f aca="false">IF($BL448&lt;&gt;Constants!$B$4,"",IF(NOT($BC448),"",ROUND((Constants!$B$12-$AB448)+(Constants!$B$13-$Z448)+(Constants!$B$14-$AA448),1)))</f>
        <v/>
      </c>
      <c r="BF448" s="90" t="str">
        <f aca="false">IF($BL448&lt;&gt;Constants!$B$4,"",IF(NOT($BC448),"",IF(NOT($AK448),0,Constants!$B$15*(INT(ROUND(MIN($AL448,$AP$9),6))-INT(ROUND(MAX(0,MIN($AL448,2*$AP$9)-$AP$9),6))))))</f>
        <v/>
      </c>
      <c r="BG448" s="90" t="str">
        <f aca="false">IF($BL448&lt;&gt;Constants!$B$4,"",IF(NOT($BC448),"",Constants!$B$16*$AM448))</f>
        <v/>
      </c>
      <c r="BH448" s="90" t="str">
        <f aca="false">IF($BL448&lt;&gt;Constants!$B$4,"",IF(NOT($BC448),"",Constants!$B$18*INT(ROUND($AN448,6))))</f>
        <v/>
      </c>
      <c r="BI448" s="85" t="str">
        <f aca="false">IF($BL448&lt;&gt;Constants!$B$4,"",IF(NOT($BC448),"",IF(NOT($X448),Constants!$B$11,IF(OR(NOT($AI448),NOT($AJ448),ROUND($AB448,1)&gt;Constants!$B$12,ROUND($Z448,1)&gt;Constants!$B$13,ROUND($AA448,1)&gt;Constants!$B$14),Constants!$B$10,Constants!$B$9))))</f>
        <v/>
      </c>
      <c r="BJ448" s="91" t="str">
        <f aca="false">IF($BL448&lt;&gt;Constants!$B$4,"",IF(NOT($BC448),"",ROUND($BE448+$BF448+$BG448+$BH448,1)))</f>
        <v/>
      </c>
      <c r="BK448" s="92" t="str">
        <f aca="false">IF($BL448&lt;&gt;Constants!$B$4,"",IF(NOT($BC448),"",IF(ISNUMBER($AL448),$AL448,0)))</f>
        <v/>
      </c>
      <c r="BL448" s="86" t="str">
        <f aca="false">IF(ISBLANK($C448),"",IF($AO448,Constants!$B$7,IF(COUNTA($E448:$V448)=0,Constants!$B$6,IF(NOT($Y448),Constants!$B$5,IF(NOT(OR($AS448,$BC448)),Constants!$B$5,IF(OR($AT448,$BD448,$AQ448,$AR448&lt;&gt;""),Constants!$B$8,Constants!$B$4))))))</f>
        <v/>
      </c>
      <c r="BM448" s="86" t="str">
        <f aca="false">IF(ISBLANK($C448),"",IF($BL448&lt;&gt;Constants!$B$4,$BL448,IF($BB448="-&gt;",$BI448,$AY448)))</f>
        <v/>
      </c>
      <c r="BN448" s="90" t="str">
        <f aca="false">IF($BL448&lt;&gt;Constants!$B$4,"",IF($BB448="-&gt;",$BJ448,$AZ448))</f>
        <v/>
      </c>
      <c r="BO448" s="90" t="str">
        <f aca="false">IF(ISBLANK($C448),"",IF($BL448&lt;&gt;Constants!$B$4,$BL448,$BN448))</f>
        <v/>
      </c>
      <c r="BP448" s="86" t="str">
        <f aca="false">IF(ISBLANK($C448),"",IF($BL448&lt;&gt;Constants!$B$4,$BL448,RANK($BO448,$BO$9:$BO$508,0)))</f>
        <v/>
      </c>
      <c r="BQ448" s="86" t="str">
        <f aca="false">IF(ISBLANK($C448),"",IF($BL448&lt;&gt;Constants!$B$4,$BL448,COUNTIFS($BM$9:$BM$508,"&lt;"&amp;$BM448)+COUNTIFS($BM$9:$BM$508,$BM448,$BP$9:$BP$508,"&lt;"&amp;$BP448)+1))</f>
        <v/>
      </c>
      <c r="BR448" s="90" t="str">
        <f aca="false">IF($BL448&lt;&gt;Constants!$B$4,"",IF($BB448="-&gt;",$BH448,$AX448))</f>
        <v/>
      </c>
      <c r="BS448" s="86" t="str">
        <f aca="false">IF(ISBLANK($C448),"",IF($BL448&lt;&gt;Constants!$B$4,$BL448,IF(ISNUMBER($BR448),RANK($BR448,$BR$9:$BR$508,0),COUNT($BR$9:$BR$508)+1)))</f>
        <v/>
      </c>
      <c r="BT448" s="90" t="str">
        <f aca="false">IF($BL448&lt;&gt;Constants!$B$4,"",IF($BB448="-&gt;",$BE448,$AU448))</f>
        <v/>
      </c>
      <c r="BU448" s="86" t="str">
        <f aca="false">IF(ISBLANK($C448),"",IF($BL448&lt;&gt;Constants!$B$4,$BL448,IF(ISNUMBER($BT448),RANK($BT448,$BT$9:$BT$508,0),COUNT($BT$9:$BT$508)+1)))</f>
        <v/>
      </c>
      <c r="BV448" s="90" t="str">
        <f aca="false">IF($BL448&lt;&gt;Constants!$B$4,"",IF($BB448="-&gt;",$BF448,$AV448))</f>
        <v/>
      </c>
      <c r="BW448" s="86" t="str">
        <f aca="false">IF(ISBLANK($C448),"",IF($BL448&lt;&gt;Constants!$B$4,$BL448,IF(ISNUMBER($BV448),RANK($BV448,$BV$9:$BV$508,0),COUNT($BV$9:$BV$508)+1)))</f>
        <v/>
      </c>
      <c r="BX448" s="90" t="str">
        <f aca="false">IF($BL448&lt;&gt;Constants!$B$4,"",IF($BB448="-&gt;",$BK448,$BA448))</f>
        <v/>
      </c>
      <c r="BY448" s="86" t="str">
        <f aca="false">IF(ISBLANK($C448),"",IF($BL448&lt;&gt;Constants!$B$4,$BL448,IF(ISNUMBER($BX448),RANK($BX448,$BX$9:$BX$508,0),COUNT($BX$9:$BX$508)+1)))</f>
        <v/>
      </c>
      <c r="BZ448" s="86" t="str">
        <f aca="false">IF(ISBLANK($C448),"",IF($BL448&lt;&gt;Constants!$B$4,$BL448,COUNTIFS($BM$9:$BM$508,"&lt;"&amp;$BM448)+COUNTIFS($BM$9:$BM$508,$BM448,$BP$9:$BP$508,"&lt;"&amp;$BP448)+COUNTIFS($BM$9:$BM$508,$BM448,$BP$9:$BP$508,$BP448,$BS$9:$BS$508,"&lt;"&amp;$BS448)+COUNTIFS($BM$9:$BM$508,$BM448,$BP$9:$BP$508,$BP448,$BS$9:$BS$508,$BS448,$BU$9:$BU$508,"&lt;"&amp;$BU448)+COUNTIFS($BM$9:$BM$508,$BM448,$BP$9:$BP$508,$BP448,$BS$9:$BS$508,$BS448,$BU$9:$BU$508,$BU448,$BW$9:$BW$508,"&lt;"&amp;$BW448)+COUNTIFS($BM$9:$BM$508,$BM448,$BP$9:$BP$508,$BP448,$BS$9:$BS$508,$BS448,$BU$9:$BU$508,$BU448,$BW$9:$BW$508,$BW448,$BY$9:$BY$508,"&lt;"&amp;$BY448)+1))</f>
        <v/>
      </c>
      <c r="CA448" s="86" t="str">
        <f aca="false">IF(ISBLANK($C448),"",IF($BL448&lt;&gt;Constants!$B$4,$BL448,$BQ448-$BZ448))</f>
        <v/>
      </c>
      <c r="CB448" s="93"/>
      <c r="CC448" s="94" t="str">
        <f aca="false">IF(ISBLANK($C448),"",IF($BL448=Constants!$B$8,$AR448,""))</f>
        <v/>
      </c>
      <c r="CD448" s="94" t="str">
        <f aca="false">IF(ISBLANK($C448),"",IF($BL448&lt;&gt;Constants!$B$4,"",IF($BB448="-&gt;",2,1)))</f>
        <v/>
      </c>
      <c r="CE448" s="95" t="str">
        <f aca="false">IF(ISBLANK($C448),"",IF($BL448&lt;&gt;Constants!$B$4,"",IF($BB448="-&gt;",$BE448,$AU448)))</f>
        <v/>
      </c>
      <c r="CF448" s="95" t="str">
        <f aca="false">IF(ISBLANK($C448),"",IF($BL448&lt;&gt;Constants!$B$4,"",IF($BB448="-&gt;",$BF448,$AV448)))</f>
        <v/>
      </c>
      <c r="CG448" s="95" t="str">
        <f aca="false">IF(ISBLANK($C448),"",IF($BL448&lt;&gt;Constants!$B$4,"",IF($BB448="-&gt;",$BG448,$AW448)))</f>
        <v/>
      </c>
      <c r="CH448" s="95" t="str">
        <f aca="false">IF(ISBLANK($C448),"",IF($BL448&lt;&gt;Constants!$B$4,"",IF($BB448="-&gt;",$BH448,$AX448)))</f>
        <v/>
      </c>
      <c r="CI448" s="96" t="str">
        <f aca="false">IF(ISBLANK($C448),"",$BO448)</f>
        <v/>
      </c>
      <c r="CJ448" s="97" t="str">
        <f aca="false">IF(ISBLANK($C448),"",$BM448)</f>
        <v/>
      </c>
      <c r="CK448" s="98" t="str">
        <f aca="false">IF(ISBLANK($C448),"",$CA448)</f>
        <v/>
      </c>
      <c r="CL448" s="98" t="str">
        <f aca="false">IF(ISBLANK($C448),"",$BZ448)</f>
        <v/>
      </c>
      <c r="CM448" s="99" t="str">
        <f aca="false">IF(ISBLANK($C448),"",IF($CL448=Constants!$B$7,COUNTA($C$9:$C$508)+2,IF($CL448=Constants!$B$6,COUNTA($C$9:$C$508)+1,IF($CL448=Constants!$B$5,COUNTA($C$9:$C$508),$CL448))))</f>
        <v/>
      </c>
      <c r="CN448" s="8"/>
      <c r="CO448" s="100" t="n">
        <f aca="false">IF(OR(ISNUMBER($CL448),$CL448=Constants!$B$7,$CL448=Constants!$B$5,$CL448=Constants!$B$6),1,0)</f>
        <v>0</v>
      </c>
      <c r="CP448" s="100" t="n">
        <v>440</v>
      </c>
      <c r="CQ448" s="100" t="str">
        <f aca="false">IF(ISBLANK($C448),"",IF(ISNUMBER($CM448),$CM448+ROW($B448)/1000,""))</f>
        <v/>
      </c>
      <c r="CR448" s="100" t="str">
        <f aca="false">IF(ISNUMBER($CQ448),RANK($CQ448,$CQ$9:$CQ$508,1),"")</f>
        <v/>
      </c>
      <c r="CS448" s="100" t="str">
        <f aca="false">IF(ISBLANK($C448),"",$B448)</f>
        <v/>
      </c>
      <c r="CT448" s="100" t="str">
        <f aca="false">IF(ISBLANK($C448),"",$C448)</f>
        <v/>
      </c>
      <c r="CU448" s="100" t="str">
        <f aca="false">IF(ISBLANK($C448),"",$D448)</f>
        <v/>
      </c>
      <c r="CV448" s="101" t="str">
        <f aca="false">$CJ448</f>
        <v/>
      </c>
      <c r="CW448" s="102" t="str">
        <f aca="false">$CI448</f>
        <v/>
      </c>
      <c r="CX448" s="100" t="str">
        <f aca="false">IF(ISBLANK($C448),"",$CL448)</f>
        <v/>
      </c>
      <c r="CY448" s="103" t="str">
        <f aca="false">IF($CP448&gt;$CO$8,"",VLOOKUP($CP448,$CR$9:$CX$508,7,FALSE()))</f>
        <v/>
      </c>
      <c r="CZ448" s="104" t="str">
        <f aca="false">IF($CP448&gt;$CO$8,"",VLOOKUP($CP448,$CR$9:$CX$508,2,FALSE()))</f>
        <v/>
      </c>
      <c r="DA448" s="104" t="str">
        <f aca="false">IF($CP448&gt;$CO$8,"",VLOOKUP($CP448,$CR$9:$CX$508,3,FALSE()))</f>
        <v/>
      </c>
      <c r="DB448" s="104" t="str">
        <f aca="false">IF($CP448&gt;$CO$8,"",VLOOKUP($CP448,$CR$9:$CX$508,4,FALSE()))</f>
        <v/>
      </c>
      <c r="DC448" s="104" t="str">
        <f aca="false">IF($CP448&gt;$CO$8,"",VLOOKUP($CP448,$CR$9:$CX$508,5,FALSE()))</f>
        <v/>
      </c>
      <c r="DD448" s="105" t="str">
        <f aca="false">IF($CP448&gt;$CO$8,"",VLOOKUP($CP448,$CR$9:$CX$508,6,FALSE()))</f>
        <v/>
      </c>
      <c r="DE448" s="70"/>
    </row>
    <row r="449" customFormat="false" ht="15.75" hidden="false" customHeight="false" outlineLevel="0" collapsed="false">
      <c r="A449" s="8"/>
      <c r="B449" s="72"/>
      <c r="C449" s="73"/>
      <c r="D449" s="155"/>
      <c r="E449" s="162"/>
      <c r="F449" s="157"/>
      <c r="G449" s="77"/>
      <c r="H449" s="77"/>
      <c r="I449" s="77"/>
      <c r="J449" s="163"/>
      <c r="K449" s="161"/>
      <c r="L449" s="161"/>
      <c r="M449" s="80"/>
      <c r="N449" s="161"/>
      <c r="O449" s="160"/>
      <c r="P449" s="161"/>
      <c r="Q449" s="161"/>
      <c r="R449" s="161"/>
      <c r="S449" s="77"/>
      <c r="T449" s="161"/>
      <c r="U449" s="160"/>
      <c r="V449" s="161"/>
      <c r="W449" s="85"/>
      <c r="X449" s="86" t="str">
        <f aca="false">IF(ISBLANK($C449),"",IF($E449=Constants!$B$2,TRUE(),IF($E449=Constants!$B$3,FALSE(),TRUE())))</f>
        <v/>
      </c>
      <c r="Y449" s="86" t="str">
        <f aca="false">IF(ISBLANK($C449),"",IF($F449=Constants!$B$2,TRUE(),IF($F449=Constants!$B$3,FALSE(),TRUE())))</f>
        <v/>
      </c>
      <c r="Z449" s="87" t="str">
        <f aca="false">IF(ISBLANK($C449),"",IF(ISNUMBER($G449),IF($G449&gt;=0,$G449,""),""))</f>
        <v/>
      </c>
      <c r="AA449" s="87" t="str">
        <f aca="false">IF(ISBLANK($C449),"",IF(ISNUMBER($H449),IF($H449&gt;=0,$H449,""),""))</f>
        <v/>
      </c>
      <c r="AB449" s="87" t="str">
        <f aca="false">IF(ISBLANK($C449),"",IF(ISNUMBER($I449),IF($I449&gt;=0,$I449,""),""))</f>
        <v/>
      </c>
      <c r="AC449" s="86" t="str">
        <f aca="false">IF(ISBLANK($C449),"",IF($J449=Constants!$B$2,TRUE(),IF($J449=Constants!$B$3,FALSE(),TRUE())))</f>
        <v/>
      </c>
      <c r="AD449" s="86" t="str">
        <f aca="false">IF(ISBLANK($C449),"",IF($K449=Constants!$B$2,TRUE(),IF($K449=Constants!$B$3,FALSE(),TRUE())))</f>
        <v/>
      </c>
      <c r="AE449" s="86" t="str">
        <f aca="false">IF(ISBLANK($C449),"",IF($L449=Constants!$B$2,TRUE(),IF($L449=Constants!$B$3,FALSE(),TRUE())))</f>
        <v/>
      </c>
      <c r="AF449" s="88" t="str">
        <f aca="false">IF(ISBLANK($C449),"",IF(ISNUMBER($M449),IF($M449&gt;=0,$M449,""),""))</f>
        <v/>
      </c>
      <c r="AG449" s="86" t="str">
        <f aca="false">IF(ISBLANK($C449),"",IF(ISBLANK($N449),0,IF(ISNUMBER($N449),IF(AND($N449&gt;=0,$N449&lt;=Constants!$B$17,$N449=INT($N449)),$N449,""),"")))</f>
        <v/>
      </c>
      <c r="AH449" s="87" t="str">
        <f aca="false">IF(ISBLANK($C449),"",IF(ISBLANK($O449),0,IF(ISNUMBER($O449),IF($O449&gt;=0,$O449,""),"")))</f>
        <v/>
      </c>
      <c r="AI449" s="86" t="str">
        <f aca="false">IF(ISBLANK($C449),"",IF($P449=Constants!$B$2,TRUE(),IF($P449=Constants!$B$3,FALSE(),TRUE())))</f>
        <v/>
      </c>
      <c r="AJ449" s="86" t="str">
        <f aca="false">IF(ISBLANK($C449),"",IF($Q449=Constants!$B$2,TRUE(),IF($Q449=Constants!$B$3,FALSE(),TRUE())))</f>
        <v/>
      </c>
      <c r="AK449" s="86" t="str">
        <f aca="false">IF(ISBLANK($C449),"",IF($R449=Constants!$B$2,TRUE(),IF($R449=Constants!$B$3,FALSE(),TRUE())))</f>
        <v/>
      </c>
      <c r="AL449" s="88" t="str">
        <f aca="false">IF(ISBLANK($C449),"",IF(ISNUMBER($S449),IF($S449&gt;=0,$S449,""),""))</f>
        <v/>
      </c>
      <c r="AM449" s="86" t="str">
        <f aca="false">IF(ISBLANK($C449),"",IF(ISBLANK($T449),0,IF(ISNUMBER($T449),IF(AND($T449&gt;=0,$T449&lt;=Constants!$B$17,$T449=INT($T449)),$T449,""),"")))</f>
        <v/>
      </c>
      <c r="AN449" s="87" t="str">
        <f aca="false">IF(ISBLANK($C449),"",IF(ISBLANK($U449),0,IF(ISNUMBER($U449),IF($U449&gt;=0,$U449,""),"")))</f>
        <v/>
      </c>
      <c r="AO449" s="86" t="str">
        <f aca="false">IF(ISBLANK($C449),"",IF($V449=Constants!$B$2,TRUE(),IF($V449=Constants!$B$3,FALSE(),FALSE())))</f>
        <v/>
      </c>
      <c r="AP449" s="86"/>
      <c r="AQ449" s="85" t="str">
        <f aca="false">IF(ISBLANK($C449),"",AND($Y449,OR($AS449,$BC449),OR($Z449="",$AA449="",$AB449="")))</f>
        <v/>
      </c>
      <c r="AR449" s="85" t="str">
        <f aca="false">IF(ISBLANK($C449),"",IF(OR(NOT($Y449),NOT(OR($AS449,$BC449))),"",IF(ISBLANK($D$7),$AR$5,IF($AP$9="",$AR$6,""))))</f>
        <v/>
      </c>
      <c r="AS449" s="85" t="str">
        <f aca="false">IF(ISBLANK($C449),"",COUNTA($J449:$O449)&gt;0)</f>
        <v/>
      </c>
      <c r="AT449" s="85" t="str">
        <f aca="false">IF(ISBLANK($C449),"",AND($AS449,OR(AND($AF449="",OR($AE449,NOT(ISBLANK($M449)))),$AG449="",$AH449="")))</f>
        <v/>
      </c>
      <c r="AU449" s="87" t="str">
        <f aca="false">IF($BL449&lt;&gt;Constants!$B$4,"",IF(NOT($AS449),"",ROUND((Constants!$B$12-$AB449)+(Constants!$B$13-$Z449)+(Constants!$B$14-$AA449),1)))</f>
        <v/>
      </c>
      <c r="AV449" s="90" t="str">
        <f aca="false">IF($BL449&lt;&gt;Constants!$B$4,"",IF(NOT($AS449),"",IF(NOT($AE449),0,Constants!$B$15*(INT(ROUND(MIN($AF449,$AP$9),6))-INT(ROUND(MAX(0,MIN($AF449,2*$AP$9)-$AP$9),6))))))</f>
        <v/>
      </c>
      <c r="AW449" s="90" t="str">
        <f aca="false">IF($BL449&lt;&gt;Constants!$B$4,"",IF(NOT($AS449),"",Constants!$B$16*$AG449))</f>
        <v/>
      </c>
      <c r="AX449" s="90" t="str">
        <f aca="false">IF($BL449&lt;&gt;Constants!$B$4,"",IF(NOT($AS449),"",Constants!$B$18*INT(ROUND($AH449,6))))</f>
        <v/>
      </c>
      <c r="AY449" s="85" t="str">
        <f aca="false">IF($BL449&lt;&gt;Constants!$B$4,"",IF(NOT($AS449),"",IF(NOT($X449),Constants!$B$11,IF(OR(NOT($AC449),NOT($AD449),ROUND($AB449,1)&gt;Constants!$B$12,ROUND($Z449,1)&gt;Constants!$B$13,ROUND($AA449,1)&gt;Constants!$B$14),Constants!$B$10,Constants!$B$9))))</f>
        <v/>
      </c>
      <c r="AZ449" s="91" t="str">
        <f aca="false">IF($BL449&lt;&gt;Constants!$B$4,"",IF(NOT($AS449),"",ROUND($AU449+$AV449+$AW449+$AX449,1)))</f>
        <v/>
      </c>
      <c r="BA449" s="92" t="str">
        <f aca="false">IF($BL449&lt;&gt;Constants!$B$4,"",IF(NOT($AS449),"",IF(ISNUMBER($AF449),$AF449,0)))</f>
        <v/>
      </c>
      <c r="BB449" s="86" t="str">
        <f aca="false">IF($BL449&lt;&gt;Constants!$B$4,"",IF(NOT($BC449),"&lt;-",IF(NOT($AS449),"-&gt;",IF(OR($BI449&lt;$AY449,AND($BI449=$AY449,OR($BJ449&gt;$AZ449,AND($BJ449=$AZ449,OR($BH449&gt;$AX449,AND($BH449=$AX449,OR($BE449&gt;$AU449,AND($BE449=$AU449,OR($BF449&gt;$AV449,AND($BF449=$AV449,$BK449&gt;$BA449)))))))))),"-&gt;","&lt;-"))))</f>
        <v/>
      </c>
      <c r="BC449" s="85" t="str">
        <f aca="false">IF(ISBLANK($C449),"",COUNTA($P449:$U449)&gt;0)</f>
        <v/>
      </c>
      <c r="BD449" s="85" t="str">
        <f aca="false">IF(ISBLANK($C449),"",AND($BC449,OR(AND($AL449="",OR($AK449,NOT(ISBLANK($S449)))),$AM449="",$AN449="")))</f>
        <v/>
      </c>
      <c r="BE449" s="87" t="str">
        <f aca="false">IF($BL449&lt;&gt;Constants!$B$4,"",IF(NOT($BC449),"",ROUND((Constants!$B$12-$AB449)+(Constants!$B$13-$Z449)+(Constants!$B$14-$AA449),1)))</f>
        <v/>
      </c>
      <c r="BF449" s="90" t="str">
        <f aca="false">IF($BL449&lt;&gt;Constants!$B$4,"",IF(NOT($BC449),"",IF(NOT($AK449),0,Constants!$B$15*(INT(ROUND(MIN($AL449,$AP$9),6))-INT(ROUND(MAX(0,MIN($AL449,2*$AP$9)-$AP$9),6))))))</f>
        <v/>
      </c>
      <c r="BG449" s="90" t="str">
        <f aca="false">IF($BL449&lt;&gt;Constants!$B$4,"",IF(NOT($BC449),"",Constants!$B$16*$AM449))</f>
        <v/>
      </c>
      <c r="BH449" s="90" t="str">
        <f aca="false">IF($BL449&lt;&gt;Constants!$B$4,"",IF(NOT($BC449),"",Constants!$B$18*INT(ROUND($AN449,6))))</f>
        <v/>
      </c>
      <c r="BI449" s="85" t="str">
        <f aca="false">IF($BL449&lt;&gt;Constants!$B$4,"",IF(NOT($BC449),"",IF(NOT($X449),Constants!$B$11,IF(OR(NOT($AI449),NOT($AJ449),ROUND($AB449,1)&gt;Constants!$B$12,ROUND($Z449,1)&gt;Constants!$B$13,ROUND($AA449,1)&gt;Constants!$B$14),Constants!$B$10,Constants!$B$9))))</f>
        <v/>
      </c>
      <c r="BJ449" s="91" t="str">
        <f aca="false">IF($BL449&lt;&gt;Constants!$B$4,"",IF(NOT($BC449),"",ROUND($BE449+$BF449+$BG449+$BH449,1)))</f>
        <v/>
      </c>
      <c r="BK449" s="92" t="str">
        <f aca="false">IF($BL449&lt;&gt;Constants!$B$4,"",IF(NOT($BC449),"",IF(ISNUMBER($AL449),$AL449,0)))</f>
        <v/>
      </c>
      <c r="BL449" s="86" t="str">
        <f aca="false">IF(ISBLANK($C449),"",IF($AO449,Constants!$B$7,IF(COUNTA($E449:$V449)=0,Constants!$B$6,IF(NOT($Y449),Constants!$B$5,IF(NOT(OR($AS449,$BC449)),Constants!$B$5,IF(OR($AT449,$BD449,$AQ449,$AR449&lt;&gt;""),Constants!$B$8,Constants!$B$4))))))</f>
        <v/>
      </c>
      <c r="BM449" s="86" t="str">
        <f aca="false">IF(ISBLANK($C449),"",IF($BL449&lt;&gt;Constants!$B$4,$BL449,IF($BB449="-&gt;",$BI449,$AY449)))</f>
        <v/>
      </c>
      <c r="BN449" s="90" t="str">
        <f aca="false">IF($BL449&lt;&gt;Constants!$B$4,"",IF($BB449="-&gt;",$BJ449,$AZ449))</f>
        <v/>
      </c>
      <c r="BO449" s="90" t="str">
        <f aca="false">IF(ISBLANK($C449),"",IF($BL449&lt;&gt;Constants!$B$4,$BL449,$BN449))</f>
        <v/>
      </c>
      <c r="BP449" s="86" t="str">
        <f aca="false">IF(ISBLANK($C449),"",IF($BL449&lt;&gt;Constants!$B$4,$BL449,RANK($BO449,$BO$9:$BO$508,0)))</f>
        <v/>
      </c>
      <c r="BQ449" s="86" t="str">
        <f aca="false">IF(ISBLANK($C449),"",IF($BL449&lt;&gt;Constants!$B$4,$BL449,COUNTIFS($BM$9:$BM$508,"&lt;"&amp;$BM449)+COUNTIFS($BM$9:$BM$508,$BM449,$BP$9:$BP$508,"&lt;"&amp;$BP449)+1))</f>
        <v/>
      </c>
      <c r="BR449" s="90" t="str">
        <f aca="false">IF($BL449&lt;&gt;Constants!$B$4,"",IF($BB449="-&gt;",$BH449,$AX449))</f>
        <v/>
      </c>
      <c r="BS449" s="86" t="str">
        <f aca="false">IF(ISBLANK($C449),"",IF($BL449&lt;&gt;Constants!$B$4,$BL449,IF(ISNUMBER($BR449),RANK($BR449,$BR$9:$BR$508,0),COUNT($BR$9:$BR$508)+1)))</f>
        <v/>
      </c>
      <c r="BT449" s="90" t="str">
        <f aca="false">IF($BL449&lt;&gt;Constants!$B$4,"",IF($BB449="-&gt;",$BE449,$AU449))</f>
        <v/>
      </c>
      <c r="BU449" s="86" t="str">
        <f aca="false">IF(ISBLANK($C449),"",IF($BL449&lt;&gt;Constants!$B$4,$BL449,IF(ISNUMBER($BT449),RANK($BT449,$BT$9:$BT$508,0),COUNT($BT$9:$BT$508)+1)))</f>
        <v/>
      </c>
      <c r="BV449" s="90" t="str">
        <f aca="false">IF($BL449&lt;&gt;Constants!$B$4,"",IF($BB449="-&gt;",$BF449,$AV449))</f>
        <v/>
      </c>
      <c r="BW449" s="86" t="str">
        <f aca="false">IF(ISBLANK($C449),"",IF($BL449&lt;&gt;Constants!$B$4,$BL449,IF(ISNUMBER($BV449),RANK($BV449,$BV$9:$BV$508,0),COUNT($BV$9:$BV$508)+1)))</f>
        <v/>
      </c>
      <c r="BX449" s="90" t="str">
        <f aca="false">IF($BL449&lt;&gt;Constants!$B$4,"",IF($BB449="-&gt;",$BK449,$BA449))</f>
        <v/>
      </c>
      <c r="BY449" s="86" t="str">
        <f aca="false">IF(ISBLANK($C449),"",IF($BL449&lt;&gt;Constants!$B$4,$BL449,IF(ISNUMBER($BX449),RANK($BX449,$BX$9:$BX$508,0),COUNT($BX$9:$BX$508)+1)))</f>
        <v/>
      </c>
      <c r="BZ449" s="86" t="str">
        <f aca="false">IF(ISBLANK($C449),"",IF($BL449&lt;&gt;Constants!$B$4,$BL449,COUNTIFS($BM$9:$BM$508,"&lt;"&amp;$BM449)+COUNTIFS($BM$9:$BM$508,$BM449,$BP$9:$BP$508,"&lt;"&amp;$BP449)+COUNTIFS($BM$9:$BM$508,$BM449,$BP$9:$BP$508,$BP449,$BS$9:$BS$508,"&lt;"&amp;$BS449)+COUNTIFS($BM$9:$BM$508,$BM449,$BP$9:$BP$508,$BP449,$BS$9:$BS$508,$BS449,$BU$9:$BU$508,"&lt;"&amp;$BU449)+COUNTIFS($BM$9:$BM$508,$BM449,$BP$9:$BP$508,$BP449,$BS$9:$BS$508,$BS449,$BU$9:$BU$508,$BU449,$BW$9:$BW$508,"&lt;"&amp;$BW449)+COUNTIFS($BM$9:$BM$508,$BM449,$BP$9:$BP$508,$BP449,$BS$9:$BS$508,$BS449,$BU$9:$BU$508,$BU449,$BW$9:$BW$508,$BW449,$BY$9:$BY$508,"&lt;"&amp;$BY449)+1))</f>
        <v/>
      </c>
      <c r="CA449" s="86" t="str">
        <f aca="false">IF(ISBLANK($C449),"",IF($BL449&lt;&gt;Constants!$B$4,$BL449,$BQ449-$BZ449))</f>
        <v/>
      </c>
      <c r="CB449" s="93"/>
      <c r="CC449" s="94" t="str">
        <f aca="false">IF(ISBLANK($C449),"",IF($BL449=Constants!$B$8,$AR449,""))</f>
        <v/>
      </c>
      <c r="CD449" s="94" t="str">
        <f aca="false">IF(ISBLANK($C449),"",IF($BL449&lt;&gt;Constants!$B$4,"",IF($BB449="-&gt;",2,1)))</f>
        <v/>
      </c>
      <c r="CE449" s="95" t="str">
        <f aca="false">IF(ISBLANK($C449),"",IF($BL449&lt;&gt;Constants!$B$4,"",IF($BB449="-&gt;",$BE449,$AU449)))</f>
        <v/>
      </c>
      <c r="CF449" s="95" t="str">
        <f aca="false">IF(ISBLANK($C449),"",IF($BL449&lt;&gt;Constants!$B$4,"",IF($BB449="-&gt;",$BF449,$AV449)))</f>
        <v/>
      </c>
      <c r="CG449" s="95" t="str">
        <f aca="false">IF(ISBLANK($C449),"",IF($BL449&lt;&gt;Constants!$B$4,"",IF($BB449="-&gt;",$BG449,$AW449)))</f>
        <v/>
      </c>
      <c r="CH449" s="95" t="str">
        <f aca="false">IF(ISBLANK($C449),"",IF($BL449&lt;&gt;Constants!$B$4,"",IF($BB449="-&gt;",$BH449,$AX449)))</f>
        <v/>
      </c>
      <c r="CI449" s="96" t="str">
        <f aca="false">IF(ISBLANK($C449),"",$BO449)</f>
        <v/>
      </c>
      <c r="CJ449" s="97" t="str">
        <f aca="false">IF(ISBLANK($C449),"",$BM449)</f>
        <v/>
      </c>
      <c r="CK449" s="98" t="str">
        <f aca="false">IF(ISBLANK($C449),"",$CA449)</f>
        <v/>
      </c>
      <c r="CL449" s="98" t="str">
        <f aca="false">IF(ISBLANK($C449),"",$BZ449)</f>
        <v/>
      </c>
      <c r="CM449" s="99" t="str">
        <f aca="false">IF(ISBLANK($C449),"",IF($CL449=Constants!$B$7,COUNTA($C$9:$C$508)+2,IF($CL449=Constants!$B$6,COUNTA($C$9:$C$508)+1,IF($CL449=Constants!$B$5,COUNTA($C$9:$C$508),$CL449))))</f>
        <v/>
      </c>
      <c r="CN449" s="8"/>
      <c r="CO449" s="100" t="n">
        <f aca="false">IF(OR(ISNUMBER($CL449),$CL449=Constants!$B$7,$CL449=Constants!$B$5,$CL449=Constants!$B$6),1,0)</f>
        <v>0</v>
      </c>
      <c r="CP449" s="100" t="n">
        <v>441</v>
      </c>
      <c r="CQ449" s="100" t="str">
        <f aca="false">IF(ISBLANK($C449),"",IF(ISNUMBER($CM449),$CM449+ROW($B449)/1000,""))</f>
        <v/>
      </c>
      <c r="CR449" s="100" t="str">
        <f aca="false">IF(ISNUMBER($CQ449),RANK($CQ449,$CQ$9:$CQ$508,1),"")</f>
        <v/>
      </c>
      <c r="CS449" s="100" t="str">
        <f aca="false">IF(ISBLANK($C449),"",$B449)</f>
        <v/>
      </c>
      <c r="CT449" s="100" t="str">
        <f aca="false">IF(ISBLANK($C449),"",$C449)</f>
        <v/>
      </c>
      <c r="CU449" s="100" t="str">
        <f aca="false">IF(ISBLANK($C449),"",$D449)</f>
        <v/>
      </c>
      <c r="CV449" s="101" t="str">
        <f aca="false">$CJ449</f>
        <v/>
      </c>
      <c r="CW449" s="102" t="str">
        <f aca="false">$CI449</f>
        <v/>
      </c>
      <c r="CX449" s="100" t="str">
        <f aca="false">IF(ISBLANK($C449),"",$CL449)</f>
        <v/>
      </c>
      <c r="CY449" s="103" t="str">
        <f aca="false">IF($CP449&gt;$CO$8,"",VLOOKUP($CP449,$CR$9:$CX$508,7,FALSE()))</f>
        <v/>
      </c>
      <c r="CZ449" s="104" t="str">
        <f aca="false">IF($CP449&gt;$CO$8,"",VLOOKUP($CP449,$CR$9:$CX$508,2,FALSE()))</f>
        <v/>
      </c>
      <c r="DA449" s="104" t="str">
        <f aca="false">IF($CP449&gt;$CO$8,"",VLOOKUP($CP449,$CR$9:$CX$508,3,FALSE()))</f>
        <v/>
      </c>
      <c r="DB449" s="104" t="str">
        <f aca="false">IF($CP449&gt;$CO$8,"",VLOOKUP($CP449,$CR$9:$CX$508,4,FALSE()))</f>
        <v/>
      </c>
      <c r="DC449" s="104" t="str">
        <f aca="false">IF($CP449&gt;$CO$8,"",VLOOKUP($CP449,$CR$9:$CX$508,5,FALSE()))</f>
        <v/>
      </c>
      <c r="DD449" s="105" t="str">
        <f aca="false">IF($CP449&gt;$CO$8,"",VLOOKUP($CP449,$CR$9:$CX$508,6,FALSE()))</f>
        <v/>
      </c>
      <c r="DE449" s="70"/>
    </row>
    <row r="450" customFormat="false" ht="15.75" hidden="false" customHeight="false" outlineLevel="0" collapsed="false">
      <c r="A450" s="8"/>
      <c r="B450" s="146"/>
      <c r="C450" s="147"/>
      <c r="D450" s="148"/>
      <c r="E450" s="164"/>
      <c r="F450" s="150"/>
      <c r="G450" s="115"/>
      <c r="H450" s="115"/>
      <c r="I450" s="115"/>
      <c r="J450" s="165"/>
      <c r="K450" s="154"/>
      <c r="L450" s="154"/>
      <c r="M450" s="118"/>
      <c r="N450" s="154"/>
      <c r="O450" s="153"/>
      <c r="P450" s="154"/>
      <c r="Q450" s="154"/>
      <c r="R450" s="154"/>
      <c r="S450" s="115"/>
      <c r="T450" s="154"/>
      <c r="U450" s="153"/>
      <c r="V450" s="154"/>
      <c r="W450" s="123"/>
      <c r="X450" s="124" t="str">
        <f aca="false">IF(ISBLANK($C450),"",IF($E450=Constants!$B$2,TRUE(),IF($E450=Constants!$B$3,FALSE(),TRUE())))</f>
        <v/>
      </c>
      <c r="Y450" s="124" t="str">
        <f aca="false">IF(ISBLANK($C450),"",IF($F450=Constants!$B$2,TRUE(),IF($F450=Constants!$B$3,FALSE(),TRUE())))</f>
        <v/>
      </c>
      <c r="Z450" s="125" t="str">
        <f aca="false">IF(ISBLANK($C450),"",IF(ISNUMBER($G450),IF($G450&gt;=0,$G450,""),""))</f>
        <v/>
      </c>
      <c r="AA450" s="125" t="str">
        <f aca="false">IF(ISBLANK($C450),"",IF(ISNUMBER($H450),IF($H450&gt;=0,$H450,""),""))</f>
        <v/>
      </c>
      <c r="AB450" s="125" t="str">
        <f aca="false">IF(ISBLANK($C450),"",IF(ISNUMBER($I450),IF($I450&gt;=0,$I450,""),""))</f>
        <v/>
      </c>
      <c r="AC450" s="124" t="str">
        <f aca="false">IF(ISBLANK($C450),"",IF($J450=Constants!$B$2,TRUE(),IF($J450=Constants!$B$3,FALSE(),TRUE())))</f>
        <v/>
      </c>
      <c r="AD450" s="124" t="str">
        <f aca="false">IF(ISBLANK($C450),"",IF($K450=Constants!$B$2,TRUE(),IF($K450=Constants!$B$3,FALSE(),TRUE())))</f>
        <v/>
      </c>
      <c r="AE450" s="124" t="str">
        <f aca="false">IF(ISBLANK($C450),"",IF($L450=Constants!$B$2,TRUE(),IF($L450=Constants!$B$3,FALSE(),TRUE())))</f>
        <v/>
      </c>
      <c r="AF450" s="126" t="str">
        <f aca="false">IF(ISBLANK($C450),"",IF(ISNUMBER($M450),IF($M450&gt;=0,$M450,""),""))</f>
        <v/>
      </c>
      <c r="AG450" s="124" t="str">
        <f aca="false">IF(ISBLANK($C450),"",IF(ISBLANK($N450),0,IF(ISNUMBER($N450),IF(AND($N450&gt;=0,$N450&lt;=Constants!$B$17,$N450=INT($N450)),$N450,""),"")))</f>
        <v/>
      </c>
      <c r="AH450" s="125" t="str">
        <f aca="false">IF(ISBLANK($C450),"",IF(ISBLANK($O450),0,IF(ISNUMBER($O450),IF($O450&gt;=0,$O450,""),"")))</f>
        <v/>
      </c>
      <c r="AI450" s="124" t="str">
        <f aca="false">IF(ISBLANK($C450),"",IF($P450=Constants!$B$2,TRUE(),IF($P450=Constants!$B$3,FALSE(),TRUE())))</f>
        <v/>
      </c>
      <c r="AJ450" s="124" t="str">
        <f aca="false">IF(ISBLANK($C450),"",IF($Q450=Constants!$B$2,TRUE(),IF($Q450=Constants!$B$3,FALSE(),TRUE())))</f>
        <v/>
      </c>
      <c r="AK450" s="124" t="str">
        <f aca="false">IF(ISBLANK($C450),"",IF($R450=Constants!$B$2,TRUE(),IF($R450=Constants!$B$3,FALSE(),TRUE())))</f>
        <v/>
      </c>
      <c r="AL450" s="126" t="str">
        <f aca="false">IF(ISBLANK($C450),"",IF(ISNUMBER($S450),IF($S450&gt;=0,$S450,""),""))</f>
        <v/>
      </c>
      <c r="AM450" s="124" t="str">
        <f aca="false">IF(ISBLANK($C450),"",IF(ISBLANK($T450),0,IF(ISNUMBER($T450),IF(AND($T450&gt;=0,$T450&lt;=Constants!$B$17,$T450=INT($T450)),$T450,""),"")))</f>
        <v/>
      </c>
      <c r="AN450" s="125" t="str">
        <f aca="false">IF(ISBLANK($C450),"",IF(ISBLANK($U450),0,IF(ISNUMBER($U450),IF($U450&gt;=0,$U450,""),"")))</f>
        <v/>
      </c>
      <c r="AO450" s="124" t="str">
        <f aca="false">IF(ISBLANK($C450),"",IF($V450=Constants!$B$2,TRUE(),IF($V450=Constants!$B$3,FALSE(),FALSE())))</f>
        <v/>
      </c>
      <c r="AP450" s="124"/>
      <c r="AQ450" s="123" t="str">
        <f aca="false">IF(ISBLANK($C450),"",AND($Y450,OR($AS450,$BC450),OR($Z450="",$AA450="",$AB450="")))</f>
        <v/>
      </c>
      <c r="AR450" s="123" t="str">
        <f aca="false">IF(ISBLANK($C450),"",IF(OR(NOT($Y450),NOT(OR($AS450,$BC450))),"",IF(ISBLANK($D$7),$AR$5,IF($AP$9="",$AR$6,""))))</f>
        <v/>
      </c>
      <c r="AS450" s="123" t="str">
        <f aca="false">IF(ISBLANK($C450),"",COUNTA($J450:$O450)&gt;0)</f>
        <v/>
      </c>
      <c r="AT450" s="123" t="str">
        <f aca="false">IF(ISBLANK($C450),"",AND($AS450,OR(AND($AF450="",OR($AE450,NOT(ISBLANK($M450)))),$AG450="",$AH450="")))</f>
        <v/>
      </c>
      <c r="AU450" s="125" t="str">
        <f aca="false">IF($BL450&lt;&gt;Constants!$B$4,"",IF(NOT($AS450),"",ROUND((Constants!$B$12-$AB450)+(Constants!$B$13-$Z450)+(Constants!$B$14-$AA450),1)))</f>
        <v/>
      </c>
      <c r="AV450" s="127" t="str">
        <f aca="false">IF($BL450&lt;&gt;Constants!$B$4,"",IF(NOT($AS450),"",IF(NOT($AE450),0,Constants!$B$15*(INT(ROUND(MIN($AF450,$AP$9),6))-INT(ROUND(MAX(0,MIN($AF450,2*$AP$9)-$AP$9),6))))))</f>
        <v/>
      </c>
      <c r="AW450" s="127" t="str">
        <f aca="false">IF($BL450&lt;&gt;Constants!$B$4,"",IF(NOT($AS450),"",Constants!$B$16*$AG450))</f>
        <v/>
      </c>
      <c r="AX450" s="127" t="str">
        <f aca="false">IF($BL450&lt;&gt;Constants!$B$4,"",IF(NOT($AS450),"",Constants!$B$18*INT(ROUND($AH450,6))))</f>
        <v/>
      </c>
      <c r="AY450" s="123" t="str">
        <f aca="false">IF($BL450&lt;&gt;Constants!$B$4,"",IF(NOT($AS450),"",IF(NOT($X450),Constants!$B$11,IF(OR(NOT($AC450),NOT($AD450),ROUND($AB450,1)&gt;Constants!$B$12,ROUND($Z450,1)&gt;Constants!$B$13,ROUND($AA450,1)&gt;Constants!$B$14),Constants!$B$10,Constants!$B$9))))</f>
        <v/>
      </c>
      <c r="AZ450" s="128" t="str">
        <f aca="false">IF($BL450&lt;&gt;Constants!$B$4,"",IF(NOT($AS450),"",ROUND($AU450+$AV450+$AW450+$AX450,1)))</f>
        <v/>
      </c>
      <c r="BA450" s="129" t="str">
        <f aca="false">IF($BL450&lt;&gt;Constants!$B$4,"",IF(NOT($AS450),"",IF(ISNUMBER($AF450),$AF450,0)))</f>
        <v/>
      </c>
      <c r="BB450" s="124" t="str">
        <f aca="false">IF($BL450&lt;&gt;Constants!$B$4,"",IF(NOT($BC450),"&lt;-",IF(NOT($AS450),"-&gt;",IF(OR($BI450&lt;$AY450,AND($BI450=$AY450,OR($BJ450&gt;$AZ450,AND($BJ450=$AZ450,OR($BH450&gt;$AX450,AND($BH450=$AX450,OR($BE450&gt;$AU450,AND($BE450=$AU450,OR($BF450&gt;$AV450,AND($BF450=$AV450,$BK450&gt;$BA450)))))))))),"-&gt;","&lt;-"))))</f>
        <v/>
      </c>
      <c r="BC450" s="123" t="str">
        <f aca="false">IF(ISBLANK($C450),"",COUNTA($P450:$U450)&gt;0)</f>
        <v/>
      </c>
      <c r="BD450" s="123" t="str">
        <f aca="false">IF(ISBLANK($C450),"",AND($BC450,OR(AND($AL450="",OR($AK450,NOT(ISBLANK($S450)))),$AM450="",$AN450="")))</f>
        <v/>
      </c>
      <c r="BE450" s="125" t="str">
        <f aca="false">IF($BL450&lt;&gt;Constants!$B$4,"",IF(NOT($BC450),"",ROUND((Constants!$B$12-$AB450)+(Constants!$B$13-$Z450)+(Constants!$B$14-$AA450),1)))</f>
        <v/>
      </c>
      <c r="BF450" s="127" t="str">
        <f aca="false">IF($BL450&lt;&gt;Constants!$B$4,"",IF(NOT($BC450),"",IF(NOT($AK450),0,Constants!$B$15*(INT(ROUND(MIN($AL450,$AP$9),6))-INT(ROUND(MAX(0,MIN($AL450,2*$AP$9)-$AP$9),6))))))</f>
        <v/>
      </c>
      <c r="BG450" s="127" t="str">
        <f aca="false">IF($BL450&lt;&gt;Constants!$B$4,"",IF(NOT($BC450),"",Constants!$B$16*$AM450))</f>
        <v/>
      </c>
      <c r="BH450" s="127" t="str">
        <f aca="false">IF($BL450&lt;&gt;Constants!$B$4,"",IF(NOT($BC450),"",Constants!$B$18*INT(ROUND($AN450,6))))</f>
        <v/>
      </c>
      <c r="BI450" s="123" t="str">
        <f aca="false">IF($BL450&lt;&gt;Constants!$B$4,"",IF(NOT($BC450),"",IF(NOT($X450),Constants!$B$11,IF(OR(NOT($AI450),NOT($AJ450),ROUND($AB450,1)&gt;Constants!$B$12,ROUND($Z450,1)&gt;Constants!$B$13,ROUND($AA450,1)&gt;Constants!$B$14),Constants!$B$10,Constants!$B$9))))</f>
        <v/>
      </c>
      <c r="BJ450" s="128" t="str">
        <f aca="false">IF($BL450&lt;&gt;Constants!$B$4,"",IF(NOT($BC450),"",ROUND($BE450+$BF450+$BG450+$BH450,1)))</f>
        <v/>
      </c>
      <c r="BK450" s="129" t="str">
        <f aca="false">IF($BL450&lt;&gt;Constants!$B$4,"",IF(NOT($BC450),"",IF(ISNUMBER($AL450),$AL450,0)))</f>
        <v/>
      </c>
      <c r="BL450" s="124" t="str">
        <f aca="false">IF(ISBLANK($C450),"",IF($AO450,Constants!$B$7,IF(COUNTA($E450:$V450)=0,Constants!$B$6,IF(NOT($Y450),Constants!$B$5,IF(NOT(OR($AS450,$BC450)),Constants!$B$5,IF(OR($AT450,$BD450,$AQ450,$AR450&lt;&gt;""),Constants!$B$8,Constants!$B$4))))))</f>
        <v/>
      </c>
      <c r="BM450" s="124" t="str">
        <f aca="false">IF(ISBLANK($C450),"",IF($BL450&lt;&gt;Constants!$B$4,$BL450,IF($BB450="-&gt;",$BI450,$AY450)))</f>
        <v/>
      </c>
      <c r="BN450" s="127" t="str">
        <f aca="false">IF($BL450&lt;&gt;Constants!$B$4,"",IF($BB450="-&gt;",$BJ450,$AZ450))</f>
        <v/>
      </c>
      <c r="BO450" s="127" t="str">
        <f aca="false">IF(ISBLANK($C450),"",IF($BL450&lt;&gt;Constants!$B$4,$BL450,$BN450))</f>
        <v/>
      </c>
      <c r="BP450" s="124" t="str">
        <f aca="false">IF(ISBLANK($C450),"",IF($BL450&lt;&gt;Constants!$B$4,$BL450,RANK($BO450,$BO$9:$BO$508,0)))</f>
        <v/>
      </c>
      <c r="BQ450" s="124" t="str">
        <f aca="false">IF(ISBLANK($C450),"",IF($BL450&lt;&gt;Constants!$B$4,$BL450,COUNTIFS($BM$9:$BM$508,"&lt;"&amp;$BM450)+COUNTIFS($BM$9:$BM$508,$BM450,$BP$9:$BP$508,"&lt;"&amp;$BP450)+1))</f>
        <v/>
      </c>
      <c r="BR450" s="127" t="str">
        <f aca="false">IF($BL450&lt;&gt;Constants!$B$4,"",IF($BB450="-&gt;",$BH450,$AX450))</f>
        <v/>
      </c>
      <c r="BS450" s="124" t="str">
        <f aca="false">IF(ISBLANK($C450),"",IF($BL450&lt;&gt;Constants!$B$4,$BL450,IF(ISNUMBER($BR450),RANK($BR450,$BR$9:$BR$508,0),COUNT($BR$9:$BR$508)+1)))</f>
        <v/>
      </c>
      <c r="BT450" s="127" t="str">
        <f aca="false">IF($BL450&lt;&gt;Constants!$B$4,"",IF($BB450="-&gt;",$BE450,$AU450))</f>
        <v/>
      </c>
      <c r="BU450" s="124" t="str">
        <f aca="false">IF(ISBLANK($C450),"",IF($BL450&lt;&gt;Constants!$B$4,$BL450,IF(ISNUMBER($BT450),RANK($BT450,$BT$9:$BT$508,0),COUNT($BT$9:$BT$508)+1)))</f>
        <v/>
      </c>
      <c r="BV450" s="127" t="str">
        <f aca="false">IF($BL450&lt;&gt;Constants!$B$4,"",IF($BB450="-&gt;",$BF450,$AV450))</f>
        <v/>
      </c>
      <c r="BW450" s="124" t="str">
        <f aca="false">IF(ISBLANK($C450),"",IF($BL450&lt;&gt;Constants!$B$4,$BL450,IF(ISNUMBER($BV450),RANK($BV450,$BV$9:$BV$508,0),COUNT($BV$9:$BV$508)+1)))</f>
        <v/>
      </c>
      <c r="BX450" s="127" t="str">
        <f aca="false">IF($BL450&lt;&gt;Constants!$B$4,"",IF($BB450="-&gt;",$BK450,$BA450))</f>
        <v/>
      </c>
      <c r="BY450" s="124" t="str">
        <f aca="false">IF(ISBLANK($C450),"",IF($BL450&lt;&gt;Constants!$B$4,$BL450,IF(ISNUMBER($BX450),RANK($BX450,$BX$9:$BX$508,0),COUNT($BX$9:$BX$508)+1)))</f>
        <v/>
      </c>
      <c r="BZ450" s="124" t="str">
        <f aca="false">IF(ISBLANK($C450),"",IF($BL450&lt;&gt;Constants!$B$4,$BL450,COUNTIFS($BM$9:$BM$508,"&lt;"&amp;$BM450)+COUNTIFS($BM$9:$BM$508,$BM450,$BP$9:$BP$508,"&lt;"&amp;$BP450)+COUNTIFS($BM$9:$BM$508,$BM450,$BP$9:$BP$508,$BP450,$BS$9:$BS$508,"&lt;"&amp;$BS450)+COUNTIFS($BM$9:$BM$508,$BM450,$BP$9:$BP$508,$BP450,$BS$9:$BS$508,$BS450,$BU$9:$BU$508,"&lt;"&amp;$BU450)+COUNTIFS($BM$9:$BM$508,$BM450,$BP$9:$BP$508,$BP450,$BS$9:$BS$508,$BS450,$BU$9:$BU$508,$BU450,$BW$9:$BW$508,"&lt;"&amp;$BW450)+COUNTIFS($BM$9:$BM$508,$BM450,$BP$9:$BP$508,$BP450,$BS$9:$BS$508,$BS450,$BU$9:$BU$508,$BU450,$BW$9:$BW$508,$BW450,$BY$9:$BY$508,"&lt;"&amp;$BY450)+1))</f>
        <v/>
      </c>
      <c r="CA450" s="124" t="str">
        <f aca="false">IF(ISBLANK($C450),"",IF($BL450&lt;&gt;Constants!$B$4,$BL450,$BQ450-$BZ450))</f>
        <v/>
      </c>
      <c r="CB450" s="130"/>
      <c r="CC450" s="131" t="str">
        <f aca="false">IF(ISBLANK($C450),"",IF($BL450=Constants!$B$8,$AR450,""))</f>
        <v/>
      </c>
      <c r="CD450" s="131" t="str">
        <f aca="false">IF(ISBLANK($C450),"",IF($BL450&lt;&gt;Constants!$B$4,"",IF($BB450="-&gt;",2,1)))</f>
        <v/>
      </c>
      <c r="CE450" s="132" t="str">
        <f aca="false">IF(ISBLANK($C450),"",IF($BL450&lt;&gt;Constants!$B$4,"",IF($BB450="-&gt;",$BE450,$AU450)))</f>
        <v/>
      </c>
      <c r="CF450" s="132" t="str">
        <f aca="false">IF(ISBLANK($C450),"",IF($BL450&lt;&gt;Constants!$B$4,"",IF($BB450="-&gt;",$BF450,$AV450)))</f>
        <v/>
      </c>
      <c r="CG450" s="132" t="str">
        <f aca="false">IF(ISBLANK($C450),"",IF($BL450&lt;&gt;Constants!$B$4,"",IF($BB450="-&gt;",$BG450,$AW450)))</f>
        <v/>
      </c>
      <c r="CH450" s="132" t="str">
        <f aca="false">IF(ISBLANK($C450),"",IF($BL450&lt;&gt;Constants!$B$4,"",IF($BB450="-&gt;",$BH450,$AX450)))</f>
        <v/>
      </c>
      <c r="CI450" s="133" t="str">
        <f aca="false">IF(ISBLANK($C450),"",$BO450)</f>
        <v/>
      </c>
      <c r="CJ450" s="134" t="str">
        <f aca="false">IF(ISBLANK($C450),"",$BM450)</f>
        <v/>
      </c>
      <c r="CK450" s="135" t="str">
        <f aca="false">IF(ISBLANK($C450),"",$CA450)</f>
        <v/>
      </c>
      <c r="CL450" s="135" t="str">
        <f aca="false">IF(ISBLANK($C450),"",$BZ450)</f>
        <v/>
      </c>
      <c r="CM450" s="136" t="str">
        <f aca="false">IF(ISBLANK($C450),"",IF($CL450=Constants!$B$7,COUNTA($C$9:$C$508)+2,IF($CL450=Constants!$B$6,COUNTA($C$9:$C$508)+1,IF($CL450=Constants!$B$5,COUNTA($C$9:$C$508),$CL450))))</f>
        <v/>
      </c>
      <c r="CN450" s="8"/>
      <c r="CO450" s="137" t="n">
        <f aca="false">IF(OR(ISNUMBER($CL450),$CL450=Constants!$B$7,$CL450=Constants!$B$5,$CL450=Constants!$B$6),1,0)</f>
        <v>0</v>
      </c>
      <c r="CP450" s="137" t="n">
        <v>442</v>
      </c>
      <c r="CQ450" s="137" t="str">
        <f aca="false">IF(ISBLANK($C450),"",IF(ISNUMBER($CM450),$CM450+ROW($B450)/1000,""))</f>
        <v/>
      </c>
      <c r="CR450" s="137" t="str">
        <f aca="false">IF(ISNUMBER($CQ450),RANK($CQ450,$CQ$9:$CQ$508,1),"")</f>
        <v/>
      </c>
      <c r="CS450" s="137" t="str">
        <f aca="false">IF(ISBLANK($C450),"",$B450)</f>
        <v/>
      </c>
      <c r="CT450" s="137" t="str">
        <f aca="false">IF(ISBLANK($C450),"",$C450)</f>
        <v/>
      </c>
      <c r="CU450" s="137" t="str">
        <f aca="false">IF(ISBLANK($C450),"",$D450)</f>
        <v/>
      </c>
      <c r="CV450" s="138" t="str">
        <f aca="false">$CJ450</f>
        <v/>
      </c>
      <c r="CW450" s="139" t="str">
        <f aca="false">$CI450</f>
        <v/>
      </c>
      <c r="CX450" s="137" t="str">
        <f aca="false">IF(ISBLANK($C450),"",$CL450)</f>
        <v/>
      </c>
      <c r="CY450" s="140" t="str">
        <f aca="false">IF($CP450&gt;$CO$8,"",VLOOKUP($CP450,$CR$9:$CX$508,7,FALSE()))</f>
        <v/>
      </c>
      <c r="CZ450" s="141" t="str">
        <f aca="false">IF($CP450&gt;$CO$8,"",VLOOKUP($CP450,$CR$9:$CX$508,2,FALSE()))</f>
        <v/>
      </c>
      <c r="DA450" s="141" t="str">
        <f aca="false">IF($CP450&gt;$CO$8,"",VLOOKUP($CP450,$CR$9:$CX$508,3,FALSE()))</f>
        <v/>
      </c>
      <c r="DB450" s="141" t="str">
        <f aca="false">IF($CP450&gt;$CO$8,"",VLOOKUP($CP450,$CR$9:$CX$508,4,FALSE()))</f>
        <v/>
      </c>
      <c r="DC450" s="141" t="str">
        <f aca="false">IF($CP450&gt;$CO$8,"",VLOOKUP($CP450,$CR$9:$CX$508,5,FALSE()))</f>
        <v/>
      </c>
      <c r="DD450" s="142" t="str">
        <f aca="false">IF($CP450&gt;$CO$8,"",VLOOKUP($CP450,$CR$9:$CX$508,6,FALSE()))</f>
        <v/>
      </c>
      <c r="DE450" s="70"/>
    </row>
    <row r="451" customFormat="false" ht="15.75" hidden="false" customHeight="false" outlineLevel="0" collapsed="false">
      <c r="A451" s="8"/>
      <c r="B451" s="146"/>
      <c r="C451" s="147"/>
      <c r="D451" s="148"/>
      <c r="E451" s="164"/>
      <c r="F451" s="150"/>
      <c r="G451" s="115"/>
      <c r="H451" s="115"/>
      <c r="I451" s="115"/>
      <c r="J451" s="165"/>
      <c r="K451" s="154"/>
      <c r="L451" s="154"/>
      <c r="M451" s="118"/>
      <c r="N451" s="154"/>
      <c r="O451" s="153"/>
      <c r="P451" s="154"/>
      <c r="Q451" s="154"/>
      <c r="R451" s="154"/>
      <c r="S451" s="115"/>
      <c r="T451" s="154"/>
      <c r="U451" s="153"/>
      <c r="V451" s="154"/>
      <c r="W451" s="123"/>
      <c r="X451" s="124" t="str">
        <f aca="false">IF(ISBLANK($C451),"",IF($E451=Constants!$B$2,TRUE(),IF($E451=Constants!$B$3,FALSE(),TRUE())))</f>
        <v/>
      </c>
      <c r="Y451" s="124" t="str">
        <f aca="false">IF(ISBLANK($C451),"",IF($F451=Constants!$B$2,TRUE(),IF($F451=Constants!$B$3,FALSE(),TRUE())))</f>
        <v/>
      </c>
      <c r="Z451" s="125" t="str">
        <f aca="false">IF(ISBLANK($C451),"",IF(ISNUMBER($G451),IF($G451&gt;=0,$G451,""),""))</f>
        <v/>
      </c>
      <c r="AA451" s="125" t="str">
        <f aca="false">IF(ISBLANK($C451),"",IF(ISNUMBER($H451),IF($H451&gt;=0,$H451,""),""))</f>
        <v/>
      </c>
      <c r="AB451" s="125" t="str">
        <f aca="false">IF(ISBLANK($C451),"",IF(ISNUMBER($I451),IF($I451&gt;=0,$I451,""),""))</f>
        <v/>
      </c>
      <c r="AC451" s="124" t="str">
        <f aca="false">IF(ISBLANK($C451),"",IF($J451=Constants!$B$2,TRUE(),IF($J451=Constants!$B$3,FALSE(),TRUE())))</f>
        <v/>
      </c>
      <c r="AD451" s="124" t="str">
        <f aca="false">IF(ISBLANK($C451),"",IF($K451=Constants!$B$2,TRUE(),IF($K451=Constants!$B$3,FALSE(),TRUE())))</f>
        <v/>
      </c>
      <c r="AE451" s="124" t="str">
        <f aca="false">IF(ISBLANK($C451),"",IF($L451=Constants!$B$2,TRUE(),IF($L451=Constants!$B$3,FALSE(),TRUE())))</f>
        <v/>
      </c>
      <c r="AF451" s="126" t="str">
        <f aca="false">IF(ISBLANK($C451),"",IF(ISNUMBER($M451),IF($M451&gt;=0,$M451,""),""))</f>
        <v/>
      </c>
      <c r="AG451" s="124" t="str">
        <f aca="false">IF(ISBLANK($C451),"",IF(ISBLANK($N451),0,IF(ISNUMBER($N451),IF(AND($N451&gt;=0,$N451&lt;=Constants!$B$17,$N451=INT($N451)),$N451,""),"")))</f>
        <v/>
      </c>
      <c r="AH451" s="125" t="str">
        <f aca="false">IF(ISBLANK($C451),"",IF(ISBLANK($O451),0,IF(ISNUMBER($O451),IF($O451&gt;=0,$O451,""),"")))</f>
        <v/>
      </c>
      <c r="AI451" s="124" t="str">
        <f aca="false">IF(ISBLANK($C451),"",IF($P451=Constants!$B$2,TRUE(),IF($P451=Constants!$B$3,FALSE(),TRUE())))</f>
        <v/>
      </c>
      <c r="AJ451" s="124" t="str">
        <f aca="false">IF(ISBLANK($C451),"",IF($Q451=Constants!$B$2,TRUE(),IF($Q451=Constants!$B$3,FALSE(),TRUE())))</f>
        <v/>
      </c>
      <c r="AK451" s="124" t="str">
        <f aca="false">IF(ISBLANK($C451),"",IF($R451=Constants!$B$2,TRUE(),IF($R451=Constants!$B$3,FALSE(),TRUE())))</f>
        <v/>
      </c>
      <c r="AL451" s="126" t="str">
        <f aca="false">IF(ISBLANK($C451),"",IF(ISNUMBER($S451),IF($S451&gt;=0,$S451,""),""))</f>
        <v/>
      </c>
      <c r="AM451" s="124" t="str">
        <f aca="false">IF(ISBLANK($C451),"",IF(ISBLANK($T451),0,IF(ISNUMBER($T451),IF(AND($T451&gt;=0,$T451&lt;=Constants!$B$17,$T451=INT($T451)),$T451,""),"")))</f>
        <v/>
      </c>
      <c r="AN451" s="125" t="str">
        <f aca="false">IF(ISBLANK($C451),"",IF(ISBLANK($U451),0,IF(ISNUMBER($U451),IF($U451&gt;=0,$U451,""),"")))</f>
        <v/>
      </c>
      <c r="AO451" s="124" t="str">
        <f aca="false">IF(ISBLANK($C451),"",IF($V451=Constants!$B$2,TRUE(),IF($V451=Constants!$B$3,FALSE(),FALSE())))</f>
        <v/>
      </c>
      <c r="AP451" s="124"/>
      <c r="AQ451" s="123" t="str">
        <f aca="false">IF(ISBLANK($C451),"",AND($Y451,OR($AS451,$BC451),OR($Z451="",$AA451="",$AB451="")))</f>
        <v/>
      </c>
      <c r="AR451" s="123" t="str">
        <f aca="false">IF(ISBLANK($C451),"",IF(OR(NOT($Y451),NOT(OR($AS451,$BC451))),"",IF(ISBLANK($D$7),$AR$5,IF($AP$9="",$AR$6,""))))</f>
        <v/>
      </c>
      <c r="AS451" s="123" t="str">
        <f aca="false">IF(ISBLANK($C451),"",COUNTA($J451:$O451)&gt;0)</f>
        <v/>
      </c>
      <c r="AT451" s="123" t="str">
        <f aca="false">IF(ISBLANK($C451),"",AND($AS451,OR(AND($AF451="",OR($AE451,NOT(ISBLANK($M451)))),$AG451="",$AH451="")))</f>
        <v/>
      </c>
      <c r="AU451" s="125" t="str">
        <f aca="false">IF($BL451&lt;&gt;Constants!$B$4,"",IF(NOT($AS451),"",ROUND((Constants!$B$12-$AB451)+(Constants!$B$13-$Z451)+(Constants!$B$14-$AA451),1)))</f>
        <v/>
      </c>
      <c r="AV451" s="127" t="str">
        <f aca="false">IF($BL451&lt;&gt;Constants!$B$4,"",IF(NOT($AS451),"",IF(NOT($AE451),0,Constants!$B$15*(INT(ROUND(MIN($AF451,$AP$9),6))-INT(ROUND(MAX(0,MIN($AF451,2*$AP$9)-$AP$9),6))))))</f>
        <v/>
      </c>
      <c r="AW451" s="127" t="str">
        <f aca="false">IF($BL451&lt;&gt;Constants!$B$4,"",IF(NOT($AS451),"",Constants!$B$16*$AG451))</f>
        <v/>
      </c>
      <c r="AX451" s="127" t="str">
        <f aca="false">IF($BL451&lt;&gt;Constants!$B$4,"",IF(NOT($AS451),"",Constants!$B$18*INT(ROUND($AH451,6))))</f>
        <v/>
      </c>
      <c r="AY451" s="123" t="str">
        <f aca="false">IF($BL451&lt;&gt;Constants!$B$4,"",IF(NOT($AS451),"",IF(NOT($X451),Constants!$B$11,IF(OR(NOT($AC451),NOT($AD451),ROUND($AB451,1)&gt;Constants!$B$12,ROUND($Z451,1)&gt;Constants!$B$13,ROUND($AA451,1)&gt;Constants!$B$14),Constants!$B$10,Constants!$B$9))))</f>
        <v/>
      </c>
      <c r="AZ451" s="128" t="str">
        <f aca="false">IF($BL451&lt;&gt;Constants!$B$4,"",IF(NOT($AS451),"",ROUND($AU451+$AV451+$AW451+$AX451,1)))</f>
        <v/>
      </c>
      <c r="BA451" s="129" t="str">
        <f aca="false">IF($BL451&lt;&gt;Constants!$B$4,"",IF(NOT($AS451),"",IF(ISNUMBER($AF451),$AF451,0)))</f>
        <v/>
      </c>
      <c r="BB451" s="124" t="str">
        <f aca="false">IF($BL451&lt;&gt;Constants!$B$4,"",IF(NOT($BC451),"&lt;-",IF(NOT($AS451),"-&gt;",IF(OR($BI451&lt;$AY451,AND($BI451=$AY451,OR($BJ451&gt;$AZ451,AND($BJ451=$AZ451,OR($BH451&gt;$AX451,AND($BH451=$AX451,OR($BE451&gt;$AU451,AND($BE451=$AU451,OR($BF451&gt;$AV451,AND($BF451=$AV451,$BK451&gt;$BA451)))))))))),"-&gt;","&lt;-"))))</f>
        <v/>
      </c>
      <c r="BC451" s="123" t="str">
        <f aca="false">IF(ISBLANK($C451),"",COUNTA($P451:$U451)&gt;0)</f>
        <v/>
      </c>
      <c r="BD451" s="123" t="str">
        <f aca="false">IF(ISBLANK($C451),"",AND($BC451,OR(AND($AL451="",OR($AK451,NOT(ISBLANK($S451)))),$AM451="",$AN451="")))</f>
        <v/>
      </c>
      <c r="BE451" s="125" t="str">
        <f aca="false">IF($BL451&lt;&gt;Constants!$B$4,"",IF(NOT($BC451),"",ROUND((Constants!$B$12-$AB451)+(Constants!$B$13-$Z451)+(Constants!$B$14-$AA451),1)))</f>
        <v/>
      </c>
      <c r="BF451" s="127" t="str">
        <f aca="false">IF($BL451&lt;&gt;Constants!$B$4,"",IF(NOT($BC451),"",IF(NOT($AK451),0,Constants!$B$15*(INT(ROUND(MIN($AL451,$AP$9),6))-INT(ROUND(MAX(0,MIN($AL451,2*$AP$9)-$AP$9),6))))))</f>
        <v/>
      </c>
      <c r="BG451" s="127" t="str">
        <f aca="false">IF($BL451&lt;&gt;Constants!$B$4,"",IF(NOT($BC451),"",Constants!$B$16*$AM451))</f>
        <v/>
      </c>
      <c r="BH451" s="127" t="str">
        <f aca="false">IF($BL451&lt;&gt;Constants!$B$4,"",IF(NOT($BC451),"",Constants!$B$18*INT(ROUND($AN451,6))))</f>
        <v/>
      </c>
      <c r="BI451" s="123" t="str">
        <f aca="false">IF($BL451&lt;&gt;Constants!$B$4,"",IF(NOT($BC451),"",IF(NOT($X451),Constants!$B$11,IF(OR(NOT($AI451),NOT($AJ451),ROUND($AB451,1)&gt;Constants!$B$12,ROUND($Z451,1)&gt;Constants!$B$13,ROUND($AA451,1)&gt;Constants!$B$14),Constants!$B$10,Constants!$B$9))))</f>
        <v/>
      </c>
      <c r="BJ451" s="128" t="str">
        <f aca="false">IF($BL451&lt;&gt;Constants!$B$4,"",IF(NOT($BC451),"",ROUND($BE451+$BF451+$BG451+$BH451,1)))</f>
        <v/>
      </c>
      <c r="BK451" s="129" t="str">
        <f aca="false">IF($BL451&lt;&gt;Constants!$B$4,"",IF(NOT($BC451),"",IF(ISNUMBER($AL451),$AL451,0)))</f>
        <v/>
      </c>
      <c r="BL451" s="124" t="str">
        <f aca="false">IF(ISBLANK($C451),"",IF($AO451,Constants!$B$7,IF(COUNTA($E451:$V451)=0,Constants!$B$6,IF(NOT($Y451),Constants!$B$5,IF(NOT(OR($AS451,$BC451)),Constants!$B$5,IF(OR($AT451,$BD451,$AQ451,$AR451&lt;&gt;""),Constants!$B$8,Constants!$B$4))))))</f>
        <v/>
      </c>
      <c r="BM451" s="124" t="str">
        <f aca="false">IF(ISBLANK($C451),"",IF($BL451&lt;&gt;Constants!$B$4,$BL451,IF($BB451="-&gt;",$BI451,$AY451)))</f>
        <v/>
      </c>
      <c r="BN451" s="127" t="str">
        <f aca="false">IF($BL451&lt;&gt;Constants!$B$4,"",IF($BB451="-&gt;",$BJ451,$AZ451))</f>
        <v/>
      </c>
      <c r="BO451" s="127" t="str">
        <f aca="false">IF(ISBLANK($C451),"",IF($BL451&lt;&gt;Constants!$B$4,$BL451,$BN451))</f>
        <v/>
      </c>
      <c r="BP451" s="124" t="str">
        <f aca="false">IF(ISBLANK($C451),"",IF($BL451&lt;&gt;Constants!$B$4,$BL451,RANK($BO451,$BO$9:$BO$508,0)))</f>
        <v/>
      </c>
      <c r="BQ451" s="124" t="str">
        <f aca="false">IF(ISBLANK($C451),"",IF($BL451&lt;&gt;Constants!$B$4,$BL451,COUNTIFS($BM$9:$BM$508,"&lt;"&amp;$BM451)+COUNTIFS($BM$9:$BM$508,$BM451,$BP$9:$BP$508,"&lt;"&amp;$BP451)+1))</f>
        <v/>
      </c>
      <c r="BR451" s="127" t="str">
        <f aca="false">IF($BL451&lt;&gt;Constants!$B$4,"",IF($BB451="-&gt;",$BH451,$AX451))</f>
        <v/>
      </c>
      <c r="BS451" s="124" t="str">
        <f aca="false">IF(ISBLANK($C451),"",IF($BL451&lt;&gt;Constants!$B$4,$BL451,IF(ISNUMBER($BR451),RANK($BR451,$BR$9:$BR$508,0),COUNT($BR$9:$BR$508)+1)))</f>
        <v/>
      </c>
      <c r="BT451" s="127" t="str">
        <f aca="false">IF($BL451&lt;&gt;Constants!$B$4,"",IF($BB451="-&gt;",$BE451,$AU451))</f>
        <v/>
      </c>
      <c r="BU451" s="124" t="str">
        <f aca="false">IF(ISBLANK($C451),"",IF($BL451&lt;&gt;Constants!$B$4,$BL451,IF(ISNUMBER($BT451),RANK($BT451,$BT$9:$BT$508,0),COUNT($BT$9:$BT$508)+1)))</f>
        <v/>
      </c>
      <c r="BV451" s="127" t="str">
        <f aca="false">IF($BL451&lt;&gt;Constants!$B$4,"",IF($BB451="-&gt;",$BF451,$AV451))</f>
        <v/>
      </c>
      <c r="BW451" s="124" t="str">
        <f aca="false">IF(ISBLANK($C451),"",IF($BL451&lt;&gt;Constants!$B$4,$BL451,IF(ISNUMBER($BV451),RANK($BV451,$BV$9:$BV$508,0),COUNT($BV$9:$BV$508)+1)))</f>
        <v/>
      </c>
      <c r="BX451" s="127" t="str">
        <f aca="false">IF($BL451&lt;&gt;Constants!$B$4,"",IF($BB451="-&gt;",$BK451,$BA451))</f>
        <v/>
      </c>
      <c r="BY451" s="124" t="str">
        <f aca="false">IF(ISBLANK($C451),"",IF($BL451&lt;&gt;Constants!$B$4,$BL451,IF(ISNUMBER($BX451),RANK($BX451,$BX$9:$BX$508,0),COUNT($BX$9:$BX$508)+1)))</f>
        <v/>
      </c>
      <c r="BZ451" s="124" t="str">
        <f aca="false">IF(ISBLANK($C451),"",IF($BL451&lt;&gt;Constants!$B$4,$BL451,COUNTIFS($BM$9:$BM$508,"&lt;"&amp;$BM451)+COUNTIFS($BM$9:$BM$508,$BM451,$BP$9:$BP$508,"&lt;"&amp;$BP451)+COUNTIFS($BM$9:$BM$508,$BM451,$BP$9:$BP$508,$BP451,$BS$9:$BS$508,"&lt;"&amp;$BS451)+COUNTIFS($BM$9:$BM$508,$BM451,$BP$9:$BP$508,$BP451,$BS$9:$BS$508,$BS451,$BU$9:$BU$508,"&lt;"&amp;$BU451)+COUNTIFS($BM$9:$BM$508,$BM451,$BP$9:$BP$508,$BP451,$BS$9:$BS$508,$BS451,$BU$9:$BU$508,$BU451,$BW$9:$BW$508,"&lt;"&amp;$BW451)+COUNTIFS($BM$9:$BM$508,$BM451,$BP$9:$BP$508,$BP451,$BS$9:$BS$508,$BS451,$BU$9:$BU$508,$BU451,$BW$9:$BW$508,$BW451,$BY$9:$BY$508,"&lt;"&amp;$BY451)+1))</f>
        <v/>
      </c>
      <c r="CA451" s="124" t="str">
        <f aca="false">IF(ISBLANK($C451),"",IF($BL451&lt;&gt;Constants!$B$4,$BL451,$BQ451-$BZ451))</f>
        <v/>
      </c>
      <c r="CB451" s="130"/>
      <c r="CC451" s="131" t="str">
        <f aca="false">IF(ISBLANK($C451),"",IF($BL451=Constants!$B$8,$AR451,""))</f>
        <v/>
      </c>
      <c r="CD451" s="131" t="str">
        <f aca="false">IF(ISBLANK($C451),"",IF($BL451&lt;&gt;Constants!$B$4,"",IF($BB451="-&gt;",2,1)))</f>
        <v/>
      </c>
      <c r="CE451" s="132" t="str">
        <f aca="false">IF(ISBLANK($C451),"",IF($BL451&lt;&gt;Constants!$B$4,"",IF($BB451="-&gt;",$BE451,$AU451)))</f>
        <v/>
      </c>
      <c r="CF451" s="132" t="str">
        <f aca="false">IF(ISBLANK($C451),"",IF($BL451&lt;&gt;Constants!$B$4,"",IF($BB451="-&gt;",$BF451,$AV451)))</f>
        <v/>
      </c>
      <c r="CG451" s="132" t="str">
        <f aca="false">IF(ISBLANK($C451),"",IF($BL451&lt;&gt;Constants!$B$4,"",IF($BB451="-&gt;",$BG451,$AW451)))</f>
        <v/>
      </c>
      <c r="CH451" s="132" t="str">
        <f aca="false">IF(ISBLANK($C451),"",IF($BL451&lt;&gt;Constants!$B$4,"",IF($BB451="-&gt;",$BH451,$AX451)))</f>
        <v/>
      </c>
      <c r="CI451" s="133" t="str">
        <f aca="false">IF(ISBLANK($C451),"",$BO451)</f>
        <v/>
      </c>
      <c r="CJ451" s="134" t="str">
        <f aca="false">IF(ISBLANK($C451),"",$BM451)</f>
        <v/>
      </c>
      <c r="CK451" s="135" t="str">
        <f aca="false">IF(ISBLANK($C451),"",$CA451)</f>
        <v/>
      </c>
      <c r="CL451" s="135" t="str">
        <f aca="false">IF(ISBLANK($C451),"",$BZ451)</f>
        <v/>
      </c>
      <c r="CM451" s="136" t="str">
        <f aca="false">IF(ISBLANK($C451),"",IF($CL451=Constants!$B$7,COUNTA($C$9:$C$508)+2,IF($CL451=Constants!$B$6,COUNTA($C$9:$C$508)+1,IF($CL451=Constants!$B$5,COUNTA($C$9:$C$508),$CL451))))</f>
        <v/>
      </c>
      <c r="CN451" s="8"/>
      <c r="CO451" s="137" t="n">
        <f aca="false">IF(OR(ISNUMBER($CL451),$CL451=Constants!$B$7,$CL451=Constants!$B$5,$CL451=Constants!$B$6),1,0)</f>
        <v>0</v>
      </c>
      <c r="CP451" s="137" t="n">
        <v>443</v>
      </c>
      <c r="CQ451" s="137" t="str">
        <f aca="false">IF(ISBLANK($C451),"",IF(ISNUMBER($CM451),$CM451+ROW($B451)/1000,""))</f>
        <v/>
      </c>
      <c r="CR451" s="137" t="str">
        <f aca="false">IF(ISNUMBER($CQ451),RANK($CQ451,$CQ$9:$CQ$508,1),"")</f>
        <v/>
      </c>
      <c r="CS451" s="137" t="str">
        <f aca="false">IF(ISBLANK($C451),"",$B451)</f>
        <v/>
      </c>
      <c r="CT451" s="137" t="str">
        <f aca="false">IF(ISBLANK($C451),"",$C451)</f>
        <v/>
      </c>
      <c r="CU451" s="137" t="str">
        <f aca="false">IF(ISBLANK($C451),"",$D451)</f>
        <v/>
      </c>
      <c r="CV451" s="138" t="str">
        <f aca="false">$CJ451</f>
        <v/>
      </c>
      <c r="CW451" s="139" t="str">
        <f aca="false">$CI451</f>
        <v/>
      </c>
      <c r="CX451" s="137" t="str">
        <f aca="false">IF(ISBLANK($C451),"",$CL451)</f>
        <v/>
      </c>
      <c r="CY451" s="140" t="str">
        <f aca="false">IF($CP451&gt;$CO$8,"",VLOOKUP($CP451,$CR$9:$CX$508,7,FALSE()))</f>
        <v/>
      </c>
      <c r="CZ451" s="141" t="str">
        <f aca="false">IF($CP451&gt;$CO$8,"",VLOOKUP($CP451,$CR$9:$CX$508,2,FALSE()))</f>
        <v/>
      </c>
      <c r="DA451" s="141" t="str">
        <f aca="false">IF($CP451&gt;$CO$8,"",VLOOKUP($CP451,$CR$9:$CX$508,3,FALSE()))</f>
        <v/>
      </c>
      <c r="DB451" s="141" t="str">
        <f aca="false">IF($CP451&gt;$CO$8,"",VLOOKUP($CP451,$CR$9:$CX$508,4,FALSE()))</f>
        <v/>
      </c>
      <c r="DC451" s="141" t="str">
        <f aca="false">IF($CP451&gt;$CO$8,"",VLOOKUP($CP451,$CR$9:$CX$508,5,FALSE()))</f>
        <v/>
      </c>
      <c r="DD451" s="142" t="str">
        <f aca="false">IF($CP451&gt;$CO$8,"",VLOOKUP($CP451,$CR$9:$CX$508,6,FALSE()))</f>
        <v/>
      </c>
      <c r="DE451" s="70"/>
    </row>
    <row r="452" customFormat="false" ht="15.75" hidden="false" customHeight="false" outlineLevel="0" collapsed="false">
      <c r="A452" s="8"/>
      <c r="B452" s="146"/>
      <c r="C452" s="147"/>
      <c r="D452" s="148"/>
      <c r="E452" s="164"/>
      <c r="F452" s="150"/>
      <c r="G452" s="115"/>
      <c r="H452" s="115"/>
      <c r="I452" s="115"/>
      <c r="J452" s="165"/>
      <c r="K452" s="154"/>
      <c r="L452" s="154"/>
      <c r="M452" s="118"/>
      <c r="N452" s="154"/>
      <c r="O452" s="153"/>
      <c r="P452" s="154"/>
      <c r="Q452" s="154"/>
      <c r="R452" s="154"/>
      <c r="S452" s="115"/>
      <c r="T452" s="154"/>
      <c r="U452" s="153"/>
      <c r="V452" s="154"/>
      <c r="W452" s="123"/>
      <c r="X452" s="124" t="str">
        <f aca="false">IF(ISBLANK($C452),"",IF($E452=Constants!$B$2,TRUE(),IF($E452=Constants!$B$3,FALSE(),TRUE())))</f>
        <v/>
      </c>
      <c r="Y452" s="124" t="str">
        <f aca="false">IF(ISBLANK($C452),"",IF($F452=Constants!$B$2,TRUE(),IF($F452=Constants!$B$3,FALSE(),TRUE())))</f>
        <v/>
      </c>
      <c r="Z452" s="125" t="str">
        <f aca="false">IF(ISBLANK($C452),"",IF(ISNUMBER($G452),IF($G452&gt;=0,$G452,""),""))</f>
        <v/>
      </c>
      <c r="AA452" s="125" t="str">
        <f aca="false">IF(ISBLANK($C452),"",IF(ISNUMBER($H452),IF($H452&gt;=0,$H452,""),""))</f>
        <v/>
      </c>
      <c r="AB452" s="125" t="str">
        <f aca="false">IF(ISBLANK($C452),"",IF(ISNUMBER($I452),IF($I452&gt;=0,$I452,""),""))</f>
        <v/>
      </c>
      <c r="AC452" s="124" t="str">
        <f aca="false">IF(ISBLANK($C452),"",IF($J452=Constants!$B$2,TRUE(),IF($J452=Constants!$B$3,FALSE(),TRUE())))</f>
        <v/>
      </c>
      <c r="AD452" s="124" t="str">
        <f aca="false">IF(ISBLANK($C452),"",IF($K452=Constants!$B$2,TRUE(),IF($K452=Constants!$B$3,FALSE(),TRUE())))</f>
        <v/>
      </c>
      <c r="AE452" s="124" t="str">
        <f aca="false">IF(ISBLANK($C452),"",IF($L452=Constants!$B$2,TRUE(),IF($L452=Constants!$B$3,FALSE(),TRUE())))</f>
        <v/>
      </c>
      <c r="AF452" s="126" t="str">
        <f aca="false">IF(ISBLANK($C452),"",IF(ISNUMBER($M452),IF($M452&gt;=0,$M452,""),""))</f>
        <v/>
      </c>
      <c r="AG452" s="124" t="str">
        <f aca="false">IF(ISBLANK($C452),"",IF(ISBLANK($N452),0,IF(ISNUMBER($N452),IF(AND($N452&gt;=0,$N452&lt;=Constants!$B$17,$N452=INT($N452)),$N452,""),"")))</f>
        <v/>
      </c>
      <c r="AH452" s="125" t="str">
        <f aca="false">IF(ISBLANK($C452),"",IF(ISBLANK($O452),0,IF(ISNUMBER($O452),IF($O452&gt;=0,$O452,""),"")))</f>
        <v/>
      </c>
      <c r="AI452" s="124" t="str">
        <f aca="false">IF(ISBLANK($C452),"",IF($P452=Constants!$B$2,TRUE(),IF($P452=Constants!$B$3,FALSE(),TRUE())))</f>
        <v/>
      </c>
      <c r="AJ452" s="124" t="str">
        <f aca="false">IF(ISBLANK($C452),"",IF($Q452=Constants!$B$2,TRUE(),IF($Q452=Constants!$B$3,FALSE(),TRUE())))</f>
        <v/>
      </c>
      <c r="AK452" s="124" t="str">
        <f aca="false">IF(ISBLANK($C452),"",IF($R452=Constants!$B$2,TRUE(),IF($R452=Constants!$B$3,FALSE(),TRUE())))</f>
        <v/>
      </c>
      <c r="AL452" s="126" t="str">
        <f aca="false">IF(ISBLANK($C452),"",IF(ISNUMBER($S452),IF($S452&gt;=0,$S452,""),""))</f>
        <v/>
      </c>
      <c r="AM452" s="124" t="str">
        <f aca="false">IF(ISBLANK($C452),"",IF(ISBLANK($T452),0,IF(ISNUMBER($T452),IF(AND($T452&gt;=0,$T452&lt;=Constants!$B$17,$T452=INT($T452)),$T452,""),"")))</f>
        <v/>
      </c>
      <c r="AN452" s="125" t="str">
        <f aca="false">IF(ISBLANK($C452),"",IF(ISBLANK($U452),0,IF(ISNUMBER($U452),IF($U452&gt;=0,$U452,""),"")))</f>
        <v/>
      </c>
      <c r="AO452" s="124" t="str">
        <f aca="false">IF(ISBLANK($C452),"",IF($V452=Constants!$B$2,TRUE(),IF($V452=Constants!$B$3,FALSE(),FALSE())))</f>
        <v/>
      </c>
      <c r="AP452" s="124"/>
      <c r="AQ452" s="123" t="str">
        <f aca="false">IF(ISBLANK($C452),"",AND($Y452,OR($AS452,$BC452),OR($Z452="",$AA452="",$AB452="")))</f>
        <v/>
      </c>
      <c r="AR452" s="123" t="str">
        <f aca="false">IF(ISBLANK($C452),"",IF(OR(NOT($Y452),NOT(OR($AS452,$BC452))),"",IF(ISBLANK($D$7),$AR$5,IF($AP$9="",$AR$6,""))))</f>
        <v/>
      </c>
      <c r="AS452" s="123" t="str">
        <f aca="false">IF(ISBLANK($C452),"",COUNTA($J452:$O452)&gt;0)</f>
        <v/>
      </c>
      <c r="AT452" s="123" t="str">
        <f aca="false">IF(ISBLANK($C452),"",AND($AS452,OR(AND($AF452="",OR($AE452,NOT(ISBLANK($M452)))),$AG452="",$AH452="")))</f>
        <v/>
      </c>
      <c r="AU452" s="125" t="str">
        <f aca="false">IF($BL452&lt;&gt;Constants!$B$4,"",IF(NOT($AS452),"",ROUND((Constants!$B$12-$AB452)+(Constants!$B$13-$Z452)+(Constants!$B$14-$AA452),1)))</f>
        <v/>
      </c>
      <c r="AV452" s="127" t="str">
        <f aca="false">IF($BL452&lt;&gt;Constants!$B$4,"",IF(NOT($AS452),"",IF(NOT($AE452),0,Constants!$B$15*(INT(ROUND(MIN($AF452,$AP$9),6))-INT(ROUND(MAX(0,MIN($AF452,2*$AP$9)-$AP$9),6))))))</f>
        <v/>
      </c>
      <c r="AW452" s="127" t="str">
        <f aca="false">IF($BL452&lt;&gt;Constants!$B$4,"",IF(NOT($AS452),"",Constants!$B$16*$AG452))</f>
        <v/>
      </c>
      <c r="AX452" s="127" t="str">
        <f aca="false">IF($BL452&lt;&gt;Constants!$B$4,"",IF(NOT($AS452),"",Constants!$B$18*INT(ROUND($AH452,6))))</f>
        <v/>
      </c>
      <c r="AY452" s="123" t="str">
        <f aca="false">IF($BL452&lt;&gt;Constants!$B$4,"",IF(NOT($AS452),"",IF(NOT($X452),Constants!$B$11,IF(OR(NOT($AC452),NOT($AD452),ROUND($AB452,1)&gt;Constants!$B$12,ROUND($Z452,1)&gt;Constants!$B$13,ROUND($AA452,1)&gt;Constants!$B$14),Constants!$B$10,Constants!$B$9))))</f>
        <v/>
      </c>
      <c r="AZ452" s="128" t="str">
        <f aca="false">IF($BL452&lt;&gt;Constants!$B$4,"",IF(NOT($AS452),"",ROUND($AU452+$AV452+$AW452+$AX452,1)))</f>
        <v/>
      </c>
      <c r="BA452" s="129" t="str">
        <f aca="false">IF($BL452&lt;&gt;Constants!$B$4,"",IF(NOT($AS452),"",IF(ISNUMBER($AF452),$AF452,0)))</f>
        <v/>
      </c>
      <c r="BB452" s="124" t="str">
        <f aca="false">IF($BL452&lt;&gt;Constants!$B$4,"",IF(NOT($BC452),"&lt;-",IF(NOT($AS452),"-&gt;",IF(OR($BI452&lt;$AY452,AND($BI452=$AY452,OR($BJ452&gt;$AZ452,AND($BJ452=$AZ452,OR($BH452&gt;$AX452,AND($BH452=$AX452,OR($BE452&gt;$AU452,AND($BE452=$AU452,OR($BF452&gt;$AV452,AND($BF452=$AV452,$BK452&gt;$BA452)))))))))),"-&gt;","&lt;-"))))</f>
        <v/>
      </c>
      <c r="BC452" s="123" t="str">
        <f aca="false">IF(ISBLANK($C452),"",COUNTA($P452:$U452)&gt;0)</f>
        <v/>
      </c>
      <c r="BD452" s="123" t="str">
        <f aca="false">IF(ISBLANK($C452),"",AND($BC452,OR(AND($AL452="",OR($AK452,NOT(ISBLANK($S452)))),$AM452="",$AN452="")))</f>
        <v/>
      </c>
      <c r="BE452" s="125" t="str">
        <f aca="false">IF($BL452&lt;&gt;Constants!$B$4,"",IF(NOT($BC452),"",ROUND((Constants!$B$12-$AB452)+(Constants!$B$13-$Z452)+(Constants!$B$14-$AA452),1)))</f>
        <v/>
      </c>
      <c r="BF452" s="127" t="str">
        <f aca="false">IF($BL452&lt;&gt;Constants!$B$4,"",IF(NOT($BC452),"",IF(NOT($AK452),0,Constants!$B$15*(INT(ROUND(MIN($AL452,$AP$9),6))-INT(ROUND(MAX(0,MIN($AL452,2*$AP$9)-$AP$9),6))))))</f>
        <v/>
      </c>
      <c r="BG452" s="127" t="str">
        <f aca="false">IF($BL452&lt;&gt;Constants!$B$4,"",IF(NOT($BC452),"",Constants!$B$16*$AM452))</f>
        <v/>
      </c>
      <c r="BH452" s="127" t="str">
        <f aca="false">IF($BL452&lt;&gt;Constants!$B$4,"",IF(NOT($BC452),"",Constants!$B$18*INT(ROUND($AN452,6))))</f>
        <v/>
      </c>
      <c r="BI452" s="123" t="str">
        <f aca="false">IF($BL452&lt;&gt;Constants!$B$4,"",IF(NOT($BC452),"",IF(NOT($X452),Constants!$B$11,IF(OR(NOT($AI452),NOT($AJ452),ROUND($AB452,1)&gt;Constants!$B$12,ROUND($Z452,1)&gt;Constants!$B$13,ROUND($AA452,1)&gt;Constants!$B$14),Constants!$B$10,Constants!$B$9))))</f>
        <v/>
      </c>
      <c r="BJ452" s="128" t="str">
        <f aca="false">IF($BL452&lt;&gt;Constants!$B$4,"",IF(NOT($BC452),"",ROUND($BE452+$BF452+$BG452+$BH452,1)))</f>
        <v/>
      </c>
      <c r="BK452" s="129" t="str">
        <f aca="false">IF($BL452&lt;&gt;Constants!$B$4,"",IF(NOT($BC452),"",IF(ISNUMBER($AL452),$AL452,0)))</f>
        <v/>
      </c>
      <c r="BL452" s="124" t="str">
        <f aca="false">IF(ISBLANK($C452),"",IF($AO452,Constants!$B$7,IF(COUNTA($E452:$V452)=0,Constants!$B$6,IF(NOT($Y452),Constants!$B$5,IF(NOT(OR($AS452,$BC452)),Constants!$B$5,IF(OR($AT452,$BD452,$AQ452,$AR452&lt;&gt;""),Constants!$B$8,Constants!$B$4))))))</f>
        <v/>
      </c>
      <c r="BM452" s="124" t="str">
        <f aca="false">IF(ISBLANK($C452),"",IF($BL452&lt;&gt;Constants!$B$4,$BL452,IF($BB452="-&gt;",$BI452,$AY452)))</f>
        <v/>
      </c>
      <c r="BN452" s="127" t="str">
        <f aca="false">IF($BL452&lt;&gt;Constants!$B$4,"",IF($BB452="-&gt;",$BJ452,$AZ452))</f>
        <v/>
      </c>
      <c r="BO452" s="127" t="str">
        <f aca="false">IF(ISBLANK($C452),"",IF($BL452&lt;&gt;Constants!$B$4,$BL452,$BN452))</f>
        <v/>
      </c>
      <c r="BP452" s="124" t="str">
        <f aca="false">IF(ISBLANK($C452),"",IF($BL452&lt;&gt;Constants!$B$4,$BL452,RANK($BO452,$BO$9:$BO$508,0)))</f>
        <v/>
      </c>
      <c r="BQ452" s="124" t="str">
        <f aca="false">IF(ISBLANK($C452),"",IF($BL452&lt;&gt;Constants!$B$4,$BL452,COUNTIFS($BM$9:$BM$508,"&lt;"&amp;$BM452)+COUNTIFS($BM$9:$BM$508,$BM452,$BP$9:$BP$508,"&lt;"&amp;$BP452)+1))</f>
        <v/>
      </c>
      <c r="BR452" s="127" t="str">
        <f aca="false">IF($BL452&lt;&gt;Constants!$B$4,"",IF($BB452="-&gt;",$BH452,$AX452))</f>
        <v/>
      </c>
      <c r="BS452" s="124" t="str">
        <f aca="false">IF(ISBLANK($C452),"",IF($BL452&lt;&gt;Constants!$B$4,$BL452,IF(ISNUMBER($BR452),RANK($BR452,$BR$9:$BR$508,0),COUNT($BR$9:$BR$508)+1)))</f>
        <v/>
      </c>
      <c r="BT452" s="127" t="str">
        <f aca="false">IF($BL452&lt;&gt;Constants!$B$4,"",IF($BB452="-&gt;",$BE452,$AU452))</f>
        <v/>
      </c>
      <c r="BU452" s="124" t="str">
        <f aca="false">IF(ISBLANK($C452),"",IF($BL452&lt;&gt;Constants!$B$4,$BL452,IF(ISNUMBER($BT452),RANK($BT452,$BT$9:$BT$508,0),COUNT($BT$9:$BT$508)+1)))</f>
        <v/>
      </c>
      <c r="BV452" s="127" t="str">
        <f aca="false">IF($BL452&lt;&gt;Constants!$B$4,"",IF($BB452="-&gt;",$BF452,$AV452))</f>
        <v/>
      </c>
      <c r="BW452" s="124" t="str">
        <f aca="false">IF(ISBLANK($C452),"",IF($BL452&lt;&gt;Constants!$B$4,$BL452,IF(ISNUMBER($BV452),RANK($BV452,$BV$9:$BV$508,0),COUNT($BV$9:$BV$508)+1)))</f>
        <v/>
      </c>
      <c r="BX452" s="127" t="str">
        <f aca="false">IF($BL452&lt;&gt;Constants!$B$4,"",IF($BB452="-&gt;",$BK452,$BA452))</f>
        <v/>
      </c>
      <c r="BY452" s="124" t="str">
        <f aca="false">IF(ISBLANK($C452),"",IF($BL452&lt;&gt;Constants!$B$4,$BL452,IF(ISNUMBER($BX452),RANK($BX452,$BX$9:$BX$508,0),COUNT($BX$9:$BX$508)+1)))</f>
        <v/>
      </c>
      <c r="BZ452" s="124" t="str">
        <f aca="false">IF(ISBLANK($C452),"",IF($BL452&lt;&gt;Constants!$B$4,$BL452,COUNTIFS($BM$9:$BM$508,"&lt;"&amp;$BM452)+COUNTIFS($BM$9:$BM$508,$BM452,$BP$9:$BP$508,"&lt;"&amp;$BP452)+COUNTIFS($BM$9:$BM$508,$BM452,$BP$9:$BP$508,$BP452,$BS$9:$BS$508,"&lt;"&amp;$BS452)+COUNTIFS($BM$9:$BM$508,$BM452,$BP$9:$BP$508,$BP452,$BS$9:$BS$508,$BS452,$BU$9:$BU$508,"&lt;"&amp;$BU452)+COUNTIFS($BM$9:$BM$508,$BM452,$BP$9:$BP$508,$BP452,$BS$9:$BS$508,$BS452,$BU$9:$BU$508,$BU452,$BW$9:$BW$508,"&lt;"&amp;$BW452)+COUNTIFS($BM$9:$BM$508,$BM452,$BP$9:$BP$508,$BP452,$BS$9:$BS$508,$BS452,$BU$9:$BU$508,$BU452,$BW$9:$BW$508,$BW452,$BY$9:$BY$508,"&lt;"&amp;$BY452)+1))</f>
        <v/>
      </c>
      <c r="CA452" s="124" t="str">
        <f aca="false">IF(ISBLANK($C452),"",IF($BL452&lt;&gt;Constants!$B$4,$BL452,$BQ452-$BZ452))</f>
        <v/>
      </c>
      <c r="CB452" s="130"/>
      <c r="CC452" s="131" t="str">
        <f aca="false">IF(ISBLANK($C452),"",IF($BL452=Constants!$B$8,$AR452,""))</f>
        <v/>
      </c>
      <c r="CD452" s="131" t="str">
        <f aca="false">IF(ISBLANK($C452),"",IF($BL452&lt;&gt;Constants!$B$4,"",IF($BB452="-&gt;",2,1)))</f>
        <v/>
      </c>
      <c r="CE452" s="132" t="str">
        <f aca="false">IF(ISBLANK($C452),"",IF($BL452&lt;&gt;Constants!$B$4,"",IF($BB452="-&gt;",$BE452,$AU452)))</f>
        <v/>
      </c>
      <c r="CF452" s="132" t="str">
        <f aca="false">IF(ISBLANK($C452),"",IF($BL452&lt;&gt;Constants!$B$4,"",IF($BB452="-&gt;",$BF452,$AV452)))</f>
        <v/>
      </c>
      <c r="CG452" s="132" t="str">
        <f aca="false">IF(ISBLANK($C452),"",IF($BL452&lt;&gt;Constants!$B$4,"",IF($BB452="-&gt;",$BG452,$AW452)))</f>
        <v/>
      </c>
      <c r="CH452" s="132" t="str">
        <f aca="false">IF(ISBLANK($C452),"",IF($BL452&lt;&gt;Constants!$B$4,"",IF($BB452="-&gt;",$BH452,$AX452)))</f>
        <v/>
      </c>
      <c r="CI452" s="133" t="str">
        <f aca="false">IF(ISBLANK($C452),"",$BO452)</f>
        <v/>
      </c>
      <c r="CJ452" s="134" t="str">
        <f aca="false">IF(ISBLANK($C452),"",$BM452)</f>
        <v/>
      </c>
      <c r="CK452" s="135" t="str">
        <f aca="false">IF(ISBLANK($C452),"",$CA452)</f>
        <v/>
      </c>
      <c r="CL452" s="135" t="str">
        <f aca="false">IF(ISBLANK($C452),"",$BZ452)</f>
        <v/>
      </c>
      <c r="CM452" s="136" t="str">
        <f aca="false">IF(ISBLANK($C452),"",IF($CL452=Constants!$B$7,COUNTA($C$9:$C$508)+2,IF($CL452=Constants!$B$6,COUNTA($C$9:$C$508)+1,IF($CL452=Constants!$B$5,COUNTA($C$9:$C$508),$CL452))))</f>
        <v/>
      </c>
      <c r="CN452" s="8"/>
      <c r="CO452" s="137" t="n">
        <f aca="false">IF(OR(ISNUMBER($CL452),$CL452=Constants!$B$7,$CL452=Constants!$B$5,$CL452=Constants!$B$6),1,0)</f>
        <v>0</v>
      </c>
      <c r="CP452" s="137" t="n">
        <v>444</v>
      </c>
      <c r="CQ452" s="137" t="str">
        <f aca="false">IF(ISBLANK($C452),"",IF(ISNUMBER($CM452),$CM452+ROW($B452)/1000,""))</f>
        <v/>
      </c>
      <c r="CR452" s="137" t="str">
        <f aca="false">IF(ISNUMBER($CQ452),RANK($CQ452,$CQ$9:$CQ$508,1),"")</f>
        <v/>
      </c>
      <c r="CS452" s="137" t="str">
        <f aca="false">IF(ISBLANK($C452),"",$B452)</f>
        <v/>
      </c>
      <c r="CT452" s="137" t="str">
        <f aca="false">IF(ISBLANK($C452),"",$C452)</f>
        <v/>
      </c>
      <c r="CU452" s="137" t="str">
        <f aca="false">IF(ISBLANK($C452),"",$D452)</f>
        <v/>
      </c>
      <c r="CV452" s="138" t="str">
        <f aca="false">$CJ452</f>
        <v/>
      </c>
      <c r="CW452" s="139" t="str">
        <f aca="false">$CI452</f>
        <v/>
      </c>
      <c r="CX452" s="137" t="str">
        <f aca="false">IF(ISBLANK($C452),"",$CL452)</f>
        <v/>
      </c>
      <c r="CY452" s="140" t="str">
        <f aca="false">IF($CP452&gt;$CO$8,"",VLOOKUP($CP452,$CR$9:$CX$508,7,FALSE()))</f>
        <v/>
      </c>
      <c r="CZ452" s="141" t="str">
        <f aca="false">IF($CP452&gt;$CO$8,"",VLOOKUP($CP452,$CR$9:$CX$508,2,FALSE()))</f>
        <v/>
      </c>
      <c r="DA452" s="141" t="str">
        <f aca="false">IF($CP452&gt;$CO$8,"",VLOOKUP($CP452,$CR$9:$CX$508,3,FALSE()))</f>
        <v/>
      </c>
      <c r="DB452" s="141" t="str">
        <f aca="false">IF($CP452&gt;$CO$8,"",VLOOKUP($CP452,$CR$9:$CX$508,4,FALSE()))</f>
        <v/>
      </c>
      <c r="DC452" s="141" t="str">
        <f aca="false">IF($CP452&gt;$CO$8,"",VLOOKUP($CP452,$CR$9:$CX$508,5,FALSE()))</f>
        <v/>
      </c>
      <c r="DD452" s="142" t="str">
        <f aca="false">IF($CP452&gt;$CO$8,"",VLOOKUP($CP452,$CR$9:$CX$508,6,FALSE()))</f>
        <v/>
      </c>
      <c r="DE452" s="70"/>
    </row>
    <row r="453" customFormat="false" ht="15.75" hidden="false" customHeight="false" outlineLevel="0" collapsed="false">
      <c r="A453" s="8"/>
      <c r="B453" s="72"/>
      <c r="C453" s="73"/>
      <c r="D453" s="155"/>
      <c r="E453" s="162"/>
      <c r="F453" s="157"/>
      <c r="G453" s="77"/>
      <c r="H453" s="77"/>
      <c r="I453" s="77"/>
      <c r="J453" s="163"/>
      <c r="K453" s="161"/>
      <c r="L453" s="161"/>
      <c r="M453" s="80"/>
      <c r="N453" s="161"/>
      <c r="O453" s="160"/>
      <c r="P453" s="161"/>
      <c r="Q453" s="161"/>
      <c r="R453" s="161"/>
      <c r="S453" s="77"/>
      <c r="T453" s="161"/>
      <c r="U453" s="160"/>
      <c r="V453" s="161"/>
      <c r="W453" s="85"/>
      <c r="X453" s="86" t="str">
        <f aca="false">IF(ISBLANK($C453),"",IF($E453=Constants!$B$2,TRUE(),IF($E453=Constants!$B$3,FALSE(),TRUE())))</f>
        <v/>
      </c>
      <c r="Y453" s="86" t="str">
        <f aca="false">IF(ISBLANK($C453),"",IF($F453=Constants!$B$2,TRUE(),IF($F453=Constants!$B$3,FALSE(),TRUE())))</f>
        <v/>
      </c>
      <c r="Z453" s="87" t="str">
        <f aca="false">IF(ISBLANK($C453),"",IF(ISNUMBER($G453),IF($G453&gt;=0,$G453,""),""))</f>
        <v/>
      </c>
      <c r="AA453" s="87" t="str">
        <f aca="false">IF(ISBLANK($C453),"",IF(ISNUMBER($H453),IF($H453&gt;=0,$H453,""),""))</f>
        <v/>
      </c>
      <c r="AB453" s="87" t="str">
        <f aca="false">IF(ISBLANK($C453),"",IF(ISNUMBER($I453),IF($I453&gt;=0,$I453,""),""))</f>
        <v/>
      </c>
      <c r="AC453" s="86" t="str">
        <f aca="false">IF(ISBLANK($C453),"",IF($J453=Constants!$B$2,TRUE(),IF($J453=Constants!$B$3,FALSE(),TRUE())))</f>
        <v/>
      </c>
      <c r="AD453" s="86" t="str">
        <f aca="false">IF(ISBLANK($C453),"",IF($K453=Constants!$B$2,TRUE(),IF($K453=Constants!$B$3,FALSE(),TRUE())))</f>
        <v/>
      </c>
      <c r="AE453" s="86" t="str">
        <f aca="false">IF(ISBLANK($C453),"",IF($L453=Constants!$B$2,TRUE(),IF($L453=Constants!$B$3,FALSE(),TRUE())))</f>
        <v/>
      </c>
      <c r="AF453" s="88" t="str">
        <f aca="false">IF(ISBLANK($C453),"",IF(ISNUMBER($M453),IF($M453&gt;=0,$M453,""),""))</f>
        <v/>
      </c>
      <c r="AG453" s="86" t="str">
        <f aca="false">IF(ISBLANK($C453),"",IF(ISBLANK($N453),0,IF(ISNUMBER($N453),IF(AND($N453&gt;=0,$N453&lt;=Constants!$B$17,$N453=INT($N453)),$N453,""),"")))</f>
        <v/>
      </c>
      <c r="AH453" s="87" t="str">
        <f aca="false">IF(ISBLANK($C453),"",IF(ISBLANK($O453),0,IF(ISNUMBER($O453),IF($O453&gt;=0,$O453,""),"")))</f>
        <v/>
      </c>
      <c r="AI453" s="86" t="str">
        <f aca="false">IF(ISBLANK($C453),"",IF($P453=Constants!$B$2,TRUE(),IF($P453=Constants!$B$3,FALSE(),TRUE())))</f>
        <v/>
      </c>
      <c r="AJ453" s="86" t="str">
        <f aca="false">IF(ISBLANK($C453),"",IF($Q453=Constants!$B$2,TRUE(),IF($Q453=Constants!$B$3,FALSE(),TRUE())))</f>
        <v/>
      </c>
      <c r="AK453" s="86" t="str">
        <f aca="false">IF(ISBLANK($C453),"",IF($R453=Constants!$B$2,TRUE(),IF($R453=Constants!$B$3,FALSE(),TRUE())))</f>
        <v/>
      </c>
      <c r="AL453" s="88" t="str">
        <f aca="false">IF(ISBLANK($C453),"",IF(ISNUMBER($S453),IF($S453&gt;=0,$S453,""),""))</f>
        <v/>
      </c>
      <c r="AM453" s="86" t="str">
        <f aca="false">IF(ISBLANK($C453),"",IF(ISBLANK($T453),0,IF(ISNUMBER($T453),IF(AND($T453&gt;=0,$T453&lt;=Constants!$B$17,$T453=INT($T453)),$T453,""),"")))</f>
        <v/>
      </c>
      <c r="AN453" s="87" t="str">
        <f aca="false">IF(ISBLANK($C453),"",IF(ISBLANK($U453),0,IF(ISNUMBER($U453),IF($U453&gt;=0,$U453,""),"")))</f>
        <v/>
      </c>
      <c r="AO453" s="86" t="str">
        <f aca="false">IF(ISBLANK($C453),"",IF($V453=Constants!$B$2,TRUE(),IF($V453=Constants!$B$3,FALSE(),FALSE())))</f>
        <v/>
      </c>
      <c r="AP453" s="86"/>
      <c r="AQ453" s="85" t="str">
        <f aca="false">IF(ISBLANK($C453),"",AND($Y453,OR($AS453,$BC453),OR($Z453="",$AA453="",$AB453="")))</f>
        <v/>
      </c>
      <c r="AR453" s="85" t="str">
        <f aca="false">IF(ISBLANK($C453),"",IF(OR(NOT($Y453),NOT(OR($AS453,$BC453))),"",IF(ISBLANK($D$7),$AR$5,IF($AP$9="",$AR$6,""))))</f>
        <v/>
      </c>
      <c r="AS453" s="85" t="str">
        <f aca="false">IF(ISBLANK($C453),"",COUNTA($J453:$O453)&gt;0)</f>
        <v/>
      </c>
      <c r="AT453" s="85" t="str">
        <f aca="false">IF(ISBLANK($C453),"",AND($AS453,OR(AND($AF453="",OR($AE453,NOT(ISBLANK($M453)))),$AG453="",$AH453="")))</f>
        <v/>
      </c>
      <c r="AU453" s="87" t="str">
        <f aca="false">IF($BL453&lt;&gt;Constants!$B$4,"",IF(NOT($AS453),"",ROUND((Constants!$B$12-$AB453)+(Constants!$B$13-$Z453)+(Constants!$B$14-$AA453),1)))</f>
        <v/>
      </c>
      <c r="AV453" s="90" t="str">
        <f aca="false">IF($BL453&lt;&gt;Constants!$B$4,"",IF(NOT($AS453),"",IF(NOT($AE453),0,Constants!$B$15*(INT(ROUND(MIN($AF453,$AP$9),6))-INT(ROUND(MAX(0,MIN($AF453,2*$AP$9)-$AP$9),6))))))</f>
        <v/>
      </c>
      <c r="AW453" s="90" t="str">
        <f aca="false">IF($BL453&lt;&gt;Constants!$B$4,"",IF(NOT($AS453),"",Constants!$B$16*$AG453))</f>
        <v/>
      </c>
      <c r="AX453" s="90" t="str">
        <f aca="false">IF($BL453&lt;&gt;Constants!$B$4,"",IF(NOT($AS453),"",Constants!$B$18*INT(ROUND($AH453,6))))</f>
        <v/>
      </c>
      <c r="AY453" s="85" t="str">
        <f aca="false">IF($BL453&lt;&gt;Constants!$B$4,"",IF(NOT($AS453),"",IF(NOT($X453),Constants!$B$11,IF(OR(NOT($AC453),NOT($AD453),ROUND($AB453,1)&gt;Constants!$B$12,ROUND($Z453,1)&gt;Constants!$B$13,ROUND($AA453,1)&gt;Constants!$B$14),Constants!$B$10,Constants!$B$9))))</f>
        <v/>
      </c>
      <c r="AZ453" s="91" t="str">
        <f aca="false">IF($BL453&lt;&gt;Constants!$B$4,"",IF(NOT($AS453),"",ROUND($AU453+$AV453+$AW453+$AX453,1)))</f>
        <v/>
      </c>
      <c r="BA453" s="92" t="str">
        <f aca="false">IF($BL453&lt;&gt;Constants!$B$4,"",IF(NOT($AS453),"",IF(ISNUMBER($AF453),$AF453,0)))</f>
        <v/>
      </c>
      <c r="BB453" s="86" t="str">
        <f aca="false">IF($BL453&lt;&gt;Constants!$B$4,"",IF(NOT($BC453),"&lt;-",IF(NOT($AS453),"-&gt;",IF(OR($BI453&lt;$AY453,AND($BI453=$AY453,OR($BJ453&gt;$AZ453,AND($BJ453=$AZ453,OR($BH453&gt;$AX453,AND($BH453=$AX453,OR($BE453&gt;$AU453,AND($BE453=$AU453,OR($BF453&gt;$AV453,AND($BF453=$AV453,$BK453&gt;$BA453)))))))))),"-&gt;","&lt;-"))))</f>
        <v/>
      </c>
      <c r="BC453" s="85" t="str">
        <f aca="false">IF(ISBLANK($C453),"",COUNTA($P453:$U453)&gt;0)</f>
        <v/>
      </c>
      <c r="BD453" s="85" t="str">
        <f aca="false">IF(ISBLANK($C453),"",AND($BC453,OR(AND($AL453="",OR($AK453,NOT(ISBLANK($S453)))),$AM453="",$AN453="")))</f>
        <v/>
      </c>
      <c r="BE453" s="87" t="str">
        <f aca="false">IF($BL453&lt;&gt;Constants!$B$4,"",IF(NOT($BC453),"",ROUND((Constants!$B$12-$AB453)+(Constants!$B$13-$Z453)+(Constants!$B$14-$AA453),1)))</f>
        <v/>
      </c>
      <c r="BF453" s="90" t="str">
        <f aca="false">IF($BL453&lt;&gt;Constants!$B$4,"",IF(NOT($BC453),"",IF(NOT($AK453),0,Constants!$B$15*(INT(ROUND(MIN($AL453,$AP$9),6))-INT(ROUND(MAX(0,MIN($AL453,2*$AP$9)-$AP$9),6))))))</f>
        <v/>
      </c>
      <c r="BG453" s="90" t="str">
        <f aca="false">IF($BL453&lt;&gt;Constants!$B$4,"",IF(NOT($BC453),"",Constants!$B$16*$AM453))</f>
        <v/>
      </c>
      <c r="BH453" s="90" t="str">
        <f aca="false">IF($BL453&lt;&gt;Constants!$B$4,"",IF(NOT($BC453),"",Constants!$B$18*INT(ROUND($AN453,6))))</f>
        <v/>
      </c>
      <c r="BI453" s="85" t="str">
        <f aca="false">IF($BL453&lt;&gt;Constants!$B$4,"",IF(NOT($BC453),"",IF(NOT($X453),Constants!$B$11,IF(OR(NOT($AI453),NOT($AJ453),ROUND($AB453,1)&gt;Constants!$B$12,ROUND($Z453,1)&gt;Constants!$B$13,ROUND($AA453,1)&gt;Constants!$B$14),Constants!$B$10,Constants!$B$9))))</f>
        <v/>
      </c>
      <c r="BJ453" s="91" t="str">
        <f aca="false">IF($BL453&lt;&gt;Constants!$B$4,"",IF(NOT($BC453),"",ROUND($BE453+$BF453+$BG453+$BH453,1)))</f>
        <v/>
      </c>
      <c r="BK453" s="92" t="str">
        <f aca="false">IF($BL453&lt;&gt;Constants!$B$4,"",IF(NOT($BC453),"",IF(ISNUMBER($AL453),$AL453,0)))</f>
        <v/>
      </c>
      <c r="BL453" s="86" t="str">
        <f aca="false">IF(ISBLANK($C453),"",IF($AO453,Constants!$B$7,IF(COUNTA($E453:$V453)=0,Constants!$B$6,IF(NOT($Y453),Constants!$B$5,IF(NOT(OR($AS453,$BC453)),Constants!$B$5,IF(OR($AT453,$BD453,$AQ453,$AR453&lt;&gt;""),Constants!$B$8,Constants!$B$4))))))</f>
        <v/>
      </c>
      <c r="BM453" s="86" t="str">
        <f aca="false">IF(ISBLANK($C453),"",IF($BL453&lt;&gt;Constants!$B$4,$BL453,IF($BB453="-&gt;",$BI453,$AY453)))</f>
        <v/>
      </c>
      <c r="BN453" s="90" t="str">
        <f aca="false">IF($BL453&lt;&gt;Constants!$B$4,"",IF($BB453="-&gt;",$BJ453,$AZ453))</f>
        <v/>
      </c>
      <c r="BO453" s="90" t="str">
        <f aca="false">IF(ISBLANK($C453),"",IF($BL453&lt;&gt;Constants!$B$4,$BL453,$BN453))</f>
        <v/>
      </c>
      <c r="BP453" s="86" t="str">
        <f aca="false">IF(ISBLANK($C453),"",IF($BL453&lt;&gt;Constants!$B$4,$BL453,RANK($BO453,$BO$9:$BO$508,0)))</f>
        <v/>
      </c>
      <c r="BQ453" s="86" t="str">
        <f aca="false">IF(ISBLANK($C453),"",IF($BL453&lt;&gt;Constants!$B$4,$BL453,COUNTIFS($BM$9:$BM$508,"&lt;"&amp;$BM453)+COUNTIFS($BM$9:$BM$508,$BM453,$BP$9:$BP$508,"&lt;"&amp;$BP453)+1))</f>
        <v/>
      </c>
      <c r="BR453" s="90" t="str">
        <f aca="false">IF($BL453&lt;&gt;Constants!$B$4,"",IF($BB453="-&gt;",$BH453,$AX453))</f>
        <v/>
      </c>
      <c r="BS453" s="86" t="str">
        <f aca="false">IF(ISBLANK($C453),"",IF($BL453&lt;&gt;Constants!$B$4,$BL453,IF(ISNUMBER($BR453),RANK($BR453,$BR$9:$BR$508,0),COUNT($BR$9:$BR$508)+1)))</f>
        <v/>
      </c>
      <c r="BT453" s="90" t="str">
        <f aca="false">IF($BL453&lt;&gt;Constants!$B$4,"",IF($BB453="-&gt;",$BE453,$AU453))</f>
        <v/>
      </c>
      <c r="BU453" s="86" t="str">
        <f aca="false">IF(ISBLANK($C453),"",IF($BL453&lt;&gt;Constants!$B$4,$BL453,IF(ISNUMBER($BT453),RANK($BT453,$BT$9:$BT$508,0),COUNT($BT$9:$BT$508)+1)))</f>
        <v/>
      </c>
      <c r="BV453" s="90" t="str">
        <f aca="false">IF($BL453&lt;&gt;Constants!$B$4,"",IF($BB453="-&gt;",$BF453,$AV453))</f>
        <v/>
      </c>
      <c r="BW453" s="86" t="str">
        <f aca="false">IF(ISBLANK($C453),"",IF($BL453&lt;&gt;Constants!$B$4,$BL453,IF(ISNUMBER($BV453),RANK($BV453,$BV$9:$BV$508,0),COUNT($BV$9:$BV$508)+1)))</f>
        <v/>
      </c>
      <c r="BX453" s="90" t="str">
        <f aca="false">IF($BL453&lt;&gt;Constants!$B$4,"",IF($BB453="-&gt;",$BK453,$BA453))</f>
        <v/>
      </c>
      <c r="BY453" s="86" t="str">
        <f aca="false">IF(ISBLANK($C453),"",IF($BL453&lt;&gt;Constants!$B$4,$BL453,IF(ISNUMBER($BX453),RANK($BX453,$BX$9:$BX$508,0),COUNT($BX$9:$BX$508)+1)))</f>
        <v/>
      </c>
      <c r="BZ453" s="86" t="str">
        <f aca="false">IF(ISBLANK($C453),"",IF($BL453&lt;&gt;Constants!$B$4,$BL453,COUNTIFS($BM$9:$BM$508,"&lt;"&amp;$BM453)+COUNTIFS($BM$9:$BM$508,$BM453,$BP$9:$BP$508,"&lt;"&amp;$BP453)+COUNTIFS($BM$9:$BM$508,$BM453,$BP$9:$BP$508,$BP453,$BS$9:$BS$508,"&lt;"&amp;$BS453)+COUNTIFS($BM$9:$BM$508,$BM453,$BP$9:$BP$508,$BP453,$BS$9:$BS$508,$BS453,$BU$9:$BU$508,"&lt;"&amp;$BU453)+COUNTIFS($BM$9:$BM$508,$BM453,$BP$9:$BP$508,$BP453,$BS$9:$BS$508,$BS453,$BU$9:$BU$508,$BU453,$BW$9:$BW$508,"&lt;"&amp;$BW453)+COUNTIFS($BM$9:$BM$508,$BM453,$BP$9:$BP$508,$BP453,$BS$9:$BS$508,$BS453,$BU$9:$BU$508,$BU453,$BW$9:$BW$508,$BW453,$BY$9:$BY$508,"&lt;"&amp;$BY453)+1))</f>
        <v/>
      </c>
      <c r="CA453" s="86" t="str">
        <f aca="false">IF(ISBLANK($C453),"",IF($BL453&lt;&gt;Constants!$B$4,$BL453,$BQ453-$BZ453))</f>
        <v/>
      </c>
      <c r="CB453" s="93"/>
      <c r="CC453" s="94" t="str">
        <f aca="false">IF(ISBLANK($C453),"",IF($BL453=Constants!$B$8,$AR453,""))</f>
        <v/>
      </c>
      <c r="CD453" s="94" t="str">
        <f aca="false">IF(ISBLANK($C453),"",IF($BL453&lt;&gt;Constants!$B$4,"",IF($BB453="-&gt;",2,1)))</f>
        <v/>
      </c>
      <c r="CE453" s="95" t="str">
        <f aca="false">IF(ISBLANK($C453),"",IF($BL453&lt;&gt;Constants!$B$4,"",IF($BB453="-&gt;",$BE453,$AU453)))</f>
        <v/>
      </c>
      <c r="CF453" s="95" t="str">
        <f aca="false">IF(ISBLANK($C453),"",IF($BL453&lt;&gt;Constants!$B$4,"",IF($BB453="-&gt;",$BF453,$AV453)))</f>
        <v/>
      </c>
      <c r="CG453" s="95" t="str">
        <f aca="false">IF(ISBLANK($C453),"",IF($BL453&lt;&gt;Constants!$B$4,"",IF($BB453="-&gt;",$BG453,$AW453)))</f>
        <v/>
      </c>
      <c r="CH453" s="95" t="str">
        <f aca="false">IF(ISBLANK($C453),"",IF($BL453&lt;&gt;Constants!$B$4,"",IF($BB453="-&gt;",$BH453,$AX453)))</f>
        <v/>
      </c>
      <c r="CI453" s="96" t="str">
        <f aca="false">IF(ISBLANK($C453),"",$BO453)</f>
        <v/>
      </c>
      <c r="CJ453" s="97" t="str">
        <f aca="false">IF(ISBLANK($C453),"",$BM453)</f>
        <v/>
      </c>
      <c r="CK453" s="98" t="str">
        <f aca="false">IF(ISBLANK($C453),"",$CA453)</f>
        <v/>
      </c>
      <c r="CL453" s="98" t="str">
        <f aca="false">IF(ISBLANK($C453),"",$BZ453)</f>
        <v/>
      </c>
      <c r="CM453" s="99" t="str">
        <f aca="false">IF(ISBLANK($C453),"",IF($CL453=Constants!$B$7,COUNTA($C$9:$C$508)+2,IF($CL453=Constants!$B$6,COUNTA($C$9:$C$508)+1,IF($CL453=Constants!$B$5,COUNTA($C$9:$C$508),$CL453))))</f>
        <v/>
      </c>
      <c r="CN453" s="8"/>
      <c r="CO453" s="100" t="n">
        <f aca="false">IF(OR(ISNUMBER($CL453),$CL453=Constants!$B$7,$CL453=Constants!$B$5,$CL453=Constants!$B$6),1,0)</f>
        <v>0</v>
      </c>
      <c r="CP453" s="100" t="n">
        <v>445</v>
      </c>
      <c r="CQ453" s="100" t="str">
        <f aca="false">IF(ISBLANK($C453),"",IF(ISNUMBER($CM453),$CM453+ROW($B453)/1000,""))</f>
        <v/>
      </c>
      <c r="CR453" s="100" t="str">
        <f aca="false">IF(ISNUMBER($CQ453),RANK($CQ453,$CQ$9:$CQ$508,1),"")</f>
        <v/>
      </c>
      <c r="CS453" s="100" t="str">
        <f aca="false">IF(ISBLANK($C453),"",$B453)</f>
        <v/>
      </c>
      <c r="CT453" s="100" t="str">
        <f aca="false">IF(ISBLANK($C453),"",$C453)</f>
        <v/>
      </c>
      <c r="CU453" s="100" t="str">
        <f aca="false">IF(ISBLANK($C453),"",$D453)</f>
        <v/>
      </c>
      <c r="CV453" s="101" t="str">
        <f aca="false">$CJ453</f>
        <v/>
      </c>
      <c r="CW453" s="102" t="str">
        <f aca="false">$CI453</f>
        <v/>
      </c>
      <c r="CX453" s="100" t="str">
        <f aca="false">IF(ISBLANK($C453),"",$CL453)</f>
        <v/>
      </c>
      <c r="CY453" s="103" t="str">
        <f aca="false">IF($CP453&gt;$CO$8,"",VLOOKUP($CP453,$CR$9:$CX$508,7,FALSE()))</f>
        <v/>
      </c>
      <c r="CZ453" s="104" t="str">
        <f aca="false">IF($CP453&gt;$CO$8,"",VLOOKUP($CP453,$CR$9:$CX$508,2,FALSE()))</f>
        <v/>
      </c>
      <c r="DA453" s="104" t="str">
        <f aca="false">IF($CP453&gt;$CO$8,"",VLOOKUP($CP453,$CR$9:$CX$508,3,FALSE()))</f>
        <v/>
      </c>
      <c r="DB453" s="104" t="str">
        <f aca="false">IF($CP453&gt;$CO$8,"",VLOOKUP($CP453,$CR$9:$CX$508,4,FALSE()))</f>
        <v/>
      </c>
      <c r="DC453" s="104" t="str">
        <f aca="false">IF($CP453&gt;$CO$8,"",VLOOKUP($CP453,$CR$9:$CX$508,5,FALSE()))</f>
        <v/>
      </c>
      <c r="DD453" s="105" t="str">
        <f aca="false">IF($CP453&gt;$CO$8,"",VLOOKUP($CP453,$CR$9:$CX$508,6,FALSE()))</f>
        <v/>
      </c>
      <c r="DE453" s="70"/>
    </row>
    <row r="454" customFormat="false" ht="15.75" hidden="false" customHeight="false" outlineLevel="0" collapsed="false">
      <c r="A454" s="8"/>
      <c r="B454" s="72"/>
      <c r="C454" s="73"/>
      <c r="D454" s="155"/>
      <c r="E454" s="162"/>
      <c r="F454" s="157"/>
      <c r="G454" s="77"/>
      <c r="H454" s="77"/>
      <c r="I454" s="77"/>
      <c r="J454" s="163"/>
      <c r="K454" s="161"/>
      <c r="L454" s="161"/>
      <c r="M454" s="80"/>
      <c r="N454" s="161"/>
      <c r="O454" s="160"/>
      <c r="P454" s="161"/>
      <c r="Q454" s="161"/>
      <c r="R454" s="161"/>
      <c r="S454" s="77"/>
      <c r="T454" s="161"/>
      <c r="U454" s="160"/>
      <c r="V454" s="161"/>
      <c r="W454" s="85"/>
      <c r="X454" s="86" t="str">
        <f aca="false">IF(ISBLANK($C454),"",IF($E454=Constants!$B$2,TRUE(),IF($E454=Constants!$B$3,FALSE(),TRUE())))</f>
        <v/>
      </c>
      <c r="Y454" s="86" t="str">
        <f aca="false">IF(ISBLANK($C454),"",IF($F454=Constants!$B$2,TRUE(),IF($F454=Constants!$B$3,FALSE(),TRUE())))</f>
        <v/>
      </c>
      <c r="Z454" s="87" t="str">
        <f aca="false">IF(ISBLANK($C454),"",IF(ISNUMBER($G454),IF($G454&gt;=0,$G454,""),""))</f>
        <v/>
      </c>
      <c r="AA454" s="87" t="str">
        <f aca="false">IF(ISBLANK($C454),"",IF(ISNUMBER($H454),IF($H454&gt;=0,$H454,""),""))</f>
        <v/>
      </c>
      <c r="AB454" s="87" t="str">
        <f aca="false">IF(ISBLANK($C454),"",IF(ISNUMBER($I454),IF($I454&gt;=0,$I454,""),""))</f>
        <v/>
      </c>
      <c r="AC454" s="86" t="str">
        <f aca="false">IF(ISBLANK($C454),"",IF($J454=Constants!$B$2,TRUE(),IF($J454=Constants!$B$3,FALSE(),TRUE())))</f>
        <v/>
      </c>
      <c r="AD454" s="86" t="str">
        <f aca="false">IF(ISBLANK($C454),"",IF($K454=Constants!$B$2,TRUE(),IF($K454=Constants!$B$3,FALSE(),TRUE())))</f>
        <v/>
      </c>
      <c r="AE454" s="86" t="str">
        <f aca="false">IF(ISBLANK($C454),"",IF($L454=Constants!$B$2,TRUE(),IF($L454=Constants!$B$3,FALSE(),TRUE())))</f>
        <v/>
      </c>
      <c r="AF454" s="88" t="str">
        <f aca="false">IF(ISBLANK($C454),"",IF(ISNUMBER($M454),IF($M454&gt;=0,$M454,""),""))</f>
        <v/>
      </c>
      <c r="AG454" s="86" t="str">
        <f aca="false">IF(ISBLANK($C454),"",IF(ISBLANK($N454),0,IF(ISNUMBER($N454),IF(AND($N454&gt;=0,$N454&lt;=Constants!$B$17,$N454=INT($N454)),$N454,""),"")))</f>
        <v/>
      </c>
      <c r="AH454" s="87" t="str">
        <f aca="false">IF(ISBLANK($C454),"",IF(ISBLANK($O454),0,IF(ISNUMBER($O454),IF($O454&gt;=0,$O454,""),"")))</f>
        <v/>
      </c>
      <c r="AI454" s="86" t="str">
        <f aca="false">IF(ISBLANK($C454),"",IF($P454=Constants!$B$2,TRUE(),IF($P454=Constants!$B$3,FALSE(),TRUE())))</f>
        <v/>
      </c>
      <c r="AJ454" s="86" t="str">
        <f aca="false">IF(ISBLANK($C454),"",IF($Q454=Constants!$B$2,TRUE(),IF($Q454=Constants!$B$3,FALSE(),TRUE())))</f>
        <v/>
      </c>
      <c r="AK454" s="86" t="str">
        <f aca="false">IF(ISBLANK($C454),"",IF($R454=Constants!$B$2,TRUE(),IF($R454=Constants!$B$3,FALSE(),TRUE())))</f>
        <v/>
      </c>
      <c r="AL454" s="88" t="str">
        <f aca="false">IF(ISBLANK($C454),"",IF(ISNUMBER($S454),IF($S454&gt;=0,$S454,""),""))</f>
        <v/>
      </c>
      <c r="AM454" s="86" t="str">
        <f aca="false">IF(ISBLANK($C454),"",IF(ISBLANK($T454),0,IF(ISNUMBER($T454),IF(AND($T454&gt;=0,$T454&lt;=Constants!$B$17,$T454=INT($T454)),$T454,""),"")))</f>
        <v/>
      </c>
      <c r="AN454" s="87" t="str">
        <f aca="false">IF(ISBLANK($C454),"",IF(ISBLANK($U454),0,IF(ISNUMBER($U454),IF($U454&gt;=0,$U454,""),"")))</f>
        <v/>
      </c>
      <c r="AO454" s="86" t="str">
        <f aca="false">IF(ISBLANK($C454),"",IF($V454=Constants!$B$2,TRUE(),IF($V454=Constants!$B$3,FALSE(),FALSE())))</f>
        <v/>
      </c>
      <c r="AP454" s="86"/>
      <c r="AQ454" s="85" t="str">
        <f aca="false">IF(ISBLANK($C454),"",AND($Y454,OR($AS454,$BC454),OR($Z454="",$AA454="",$AB454="")))</f>
        <v/>
      </c>
      <c r="AR454" s="85" t="str">
        <f aca="false">IF(ISBLANK($C454),"",IF(OR(NOT($Y454),NOT(OR($AS454,$BC454))),"",IF(ISBLANK($D$7),$AR$5,IF($AP$9="",$AR$6,""))))</f>
        <v/>
      </c>
      <c r="AS454" s="85" t="str">
        <f aca="false">IF(ISBLANK($C454),"",COUNTA($J454:$O454)&gt;0)</f>
        <v/>
      </c>
      <c r="AT454" s="85" t="str">
        <f aca="false">IF(ISBLANK($C454),"",AND($AS454,OR(AND($AF454="",OR($AE454,NOT(ISBLANK($M454)))),$AG454="",$AH454="")))</f>
        <v/>
      </c>
      <c r="AU454" s="87" t="str">
        <f aca="false">IF($BL454&lt;&gt;Constants!$B$4,"",IF(NOT($AS454),"",ROUND((Constants!$B$12-$AB454)+(Constants!$B$13-$Z454)+(Constants!$B$14-$AA454),1)))</f>
        <v/>
      </c>
      <c r="AV454" s="90" t="str">
        <f aca="false">IF($BL454&lt;&gt;Constants!$B$4,"",IF(NOT($AS454),"",IF(NOT($AE454),0,Constants!$B$15*(INT(ROUND(MIN($AF454,$AP$9),6))-INT(ROUND(MAX(0,MIN($AF454,2*$AP$9)-$AP$9),6))))))</f>
        <v/>
      </c>
      <c r="AW454" s="90" t="str">
        <f aca="false">IF($BL454&lt;&gt;Constants!$B$4,"",IF(NOT($AS454),"",Constants!$B$16*$AG454))</f>
        <v/>
      </c>
      <c r="AX454" s="90" t="str">
        <f aca="false">IF($BL454&lt;&gt;Constants!$B$4,"",IF(NOT($AS454),"",Constants!$B$18*INT(ROUND($AH454,6))))</f>
        <v/>
      </c>
      <c r="AY454" s="85" t="str">
        <f aca="false">IF($BL454&lt;&gt;Constants!$B$4,"",IF(NOT($AS454),"",IF(NOT($X454),Constants!$B$11,IF(OR(NOT($AC454),NOT($AD454),ROUND($AB454,1)&gt;Constants!$B$12,ROUND($Z454,1)&gt;Constants!$B$13,ROUND($AA454,1)&gt;Constants!$B$14),Constants!$B$10,Constants!$B$9))))</f>
        <v/>
      </c>
      <c r="AZ454" s="91" t="str">
        <f aca="false">IF($BL454&lt;&gt;Constants!$B$4,"",IF(NOT($AS454),"",ROUND($AU454+$AV454+$AW454+$AX454,1)))</f>
        <v/>
      </c>
      <c r="BA454" s="92" t="str">
        <f aca="false">IF($BL454&lt;&gt;Constants!$B$4,"",IF(NOT($AS454),"",IF(ISNUMBER($AF454),$AF454,0)))</f>
        <v/>
      </c>
      <c r="BB454" s="86" t="str">
        <f aca="false">IF($BL454&lt;&gt;Constants!$B$4,"",IF(NOT($BC454),"&lt;-",IF(NOT($AS454),"-&gt;",IF(OR($BI454&lt;$AY454,AND($BI454=$AY454,OR($BJ454&gt;$AZ454,AND($BJ454=$AZ454,OR($BH454&gt;$AX454,AND($BH454=$AX454,OR($BE454&gt;$AU454,AND($BE454=$AU454,OR($BF454&gt;$AV454,AND($BF454=$AV454,$BK454&gt;$BA454)))))))))),"-&gt;","&lt;-"))))</f>
        <v/>
      </c>
      <c r="BC454" s="85" t="str">
        <f aca="false">IF(ISBLANK($C454),"",COUNTA($P454:$U454)&gt;0)</f>
        <v/>
      </c>
      <c r="BD454" s="85" t="str">
        <f aca="false">IF(ISBLANK($C454),"",AND($BC454,OR(AND($AL454="",OR($AK454,NOT(ISBLANK($S454)))),$AM454="",$AN454="")))</f>
        <v/>
      </c>
      <c r="BE454" s="87" t="str">
        <f aca="false">IF($BL454&lt;&gt;Constants!$B$4,"",IF(NOT($BC454),"",ROUND((Constants!$B$12-$AB454)+(Constants!$B$13-$Z454)+(Constants!$B$14-$AA454),1)))</f>
        <v/>
      </c>
      <c r="BF454" s="90" t="str">
        <f aca="false">IF($BL454&lt;&gt;Constants!$B$4,"",IF(NOT($BC454),"",IF(NOT($AK454),0,Constants!$B$15*(INT(ROUND(MIN($AL454,$AP$9),6))-INT(ROUND(MAX(0,MIN($AL454,2*$AP$9)-$AP$9),6))))))</f>
        <v/>
      </c>
      <c r="BG454" s="90" t="str">
        <f aca="false">IF($BL454&lt;&gt;Constants!$B$4,"",IF(NOT($BC454),"",Constants!$B$16*$AM454))</f>
        <v/>
      </c>
      <c r="BH454" s="90" t="str">
        <f aca="false">IF($BL454&lt;&gt;Constants!$B$4,"",IF(NOT($BC454),"",Constants!$B$18*INT(ROUND($AN454,6))))</f>
        <v/>
      </c>
      <c r="BI454" s="85" t="str">
        <f aca="false">IF($BL454&lt;&gt;Constants!$B$4,"",IF(NOT($BC454),"",IF(NOT($X454),Constants!$B$11,IF(OR(NOT($AI454),NOT($AJ454),ROUND($AB454,1)&gt;Constants!$B$12,ROUND($Z454,1)&gt;Constants!$B$13,ROUND($AA454,1)&gt;Constants!$B$14),Constants!$B$10,Constants!$B$9))))</f>
        <v/>
      </c>
      <c r="BJ454" s="91" t="str">
        <f aca="false">IF($BL454&lt;&gt;Constants!$B$4,"",IF(NOT($BC454),"",ROUND($BE454+$BF454+$BG454+$BH454,1)))</f>
        <v/>
      </c>
      <c r="BK454" s="92" t="str">
        <f aca="false">IF($BL454&lt;&gt;Constants!$B$4,"",IF(NOT($BC454),"",IF(ISNUMBER($AL454),$AL454,0)))</f>
        <v/>
      </c>
      <c r="BL454" s="86" t="str">
        <f aca="false">IF(ISBLANK($C454),"",IF($AO454,Constants!$B$7,IF(COUNTA($E454:$V454)=0,Constants!$B$6,IF(NOT($Y454),Constants!$B$5,IF(NOT(OR($AS454,$BC454)),Constants!$B$5,IF(OR($AT454,$BD454,$AQ454,$AR454&lt;&gt;""),Constants!$B$8,Constants!$B$4))))))</f>
        <v/>
      </c>
      <c r="BM454" s="86" t="str">
        <f aca="false">IF(ISBLANK($C454),"",IF($BL454&lt;&gt;Constants!$B$4,$BL454,IF($BB454="-&gt;",$BI454,$AY454)))</f>
        <v/>
      </c>
      <c r="BN454" s="90" t="str">
        <f aca="false">IF($BL454&lt;&gt;Constants!$B$4,"",IF($BB454="-&gt;",$BJ454,$AZ454))</f>
        <v/>
      </c>
      <c r="BO454" s="90" t="str">
        <f aca="false">IF(ISBLANK($C454),"",IF($BL454&lt;&gt;Constants!$B$4,$BL454,$BN454))</f>
        <v/>
      </c>
      <c r="BP454" s="86" t="str">
        <f aca="false">IF(ISBLANK($C454),"",IF($BL454&lt;&gt;Constants!$B$4,$BL454,RANK($BO454,$BO$9:$BO$508,0)))</f>
        <v/>
      </c>
      <c r="BQ454" s="86" t="str">
        <f aca="false">IF(ISBLANK($C454),"",IF($BL454&lt;&gt;Constants!$B$4,$BL454,COUNTIFS($BM$9:$BM$508,"&lt;"&amp;$BM454)+COUNTIFS($BM$9:$BM$508,$BM454,$BP$9:$BP$508,"&lt;"&amp;$BP454)+1))</f>
        <v/>
      </c>
      <c r="BR454" s="90" t="str">
        <f aca="false">IF($BL454&lt;&gt;Constants!$B$4,"",IF($BB454="-&gt;",$BH454,$AX454))</f>
        <v/>
      </c>
      <c r="BS454" s="86" t="str">
        <f aca="false">IF(ISBLANK($C454),"",IF($BL454&lt;&gt;Constants!$B$4,$BL454,IF(ISNUMBER($BR454),RANK($BR454,$BR$9:$BR$508,0),COUNT($BR$9:$BR$508)+1)))</f>
        <v/>
      </c>
      <c r="BT454" s="90" t="str">
        <f aca="false">IF($BL454&lt;&gt;Constants!$B$4,"",IF($BB454="-&gt;",$BE454,$AU454))</f>
        <v/>
      </c>
      <c r="BU454" s="86" t="str">
        <f aca="false">IF(ISBLANK($C454),"",IF($BL454&lt;&gt;Constants!$B$4,$BL454,IF(ISNUMBER($BT454),RANK($BT454,$BT$9:$BT$508,0),COUNT($BT$9:$BT$508)+1)))</f>
        <v/>
      </c>
      <c r="BV454" s="90" t="str">
        <f aca="false">IF($BL454&lt;&gt;Constants!$B$4,"",IF($BB454="-&gt;",$BF454,$AV454))</f>
        <v/>
      </c>
      <c r="BW454" s="86" t="str">
        <f aca="false">IF(ISBLANK($C454),"",IF($BL454&lt;&gt;Constants!$B$4,$BL454,IF(ISNUMBER($BV454),RANK($BV454,$BV$9:$BV$508,0),COUNT($BV$9:$BV$508)+1)))</f>
        <v/>
      </c>
      <c r="BX454" s="90" t="str">
        <f aca="false">IF($BL454&lt;&gt;Constants!$B$4,"",IF($BB454="-&gt;",$BK454,$BA454))</f>
        <v/>
      </c>
      <c r="BY454" s="86" t="str">
        <f aca="false">IF(ISBLANK($C454),"",IF($BL454&lt;&gt;Constants!$B$4,$BL454,IF(ISNUMBER($BX454),RANK($BX454,$BX$9:$BX$508,0),COUNT($BX$9:$BX$508)+1)))</f>
        <v/>
      </c>
      <c r="BZ454" s="86" t="str">
        <f aca="false">IF(ISBLANK($C454),"",IF($BL454&lt;&gt;Constants!$B$4,$BL454,COUNTIFS($BM$9:$BM$508,"&lt;"&amp;$BM454)+COUNTIFS($BM$9:$BM$508,$BM454,$BP$9:$BP$508,"&lt;"&amp;$BP454)+COUNTIFS($BM$9:$BM$508,$BM454,$BP$9:$BP$508,$BP454,$BS$9:$BS$508,"&lt;"&amp;$BS454)+COUNTIFS($BM$9:$BM$508,$BM454,$BP$9:$BP$508,$BP454,$BS$9:$BS$508,$BS454,$BU$9:$BU$508,"&lt;"&amp;$BU454)+COUNTIFS($BM$9:$BM$508,$BM454,$BP$9:$BP$508,$BP454,$BS$9:$BS$508,$BS454,$BU$9:$BU$508,$BU454,$BW$9:$BW$508,"&lt;"&amp;$BW454)+COUNTIFS($BM$9:$BM$508,$BM454,$BP$9:$BP$508,$BP454,$BS$9:$BS$508,$BS454,$BU$9:$BU$508,$BU454,$BW$9:$BW$508,$BW454,$BY$9:$BY$508,"&lt;"&amp;$BY454)+1))</f>
        <v/>
      </c>
      <c r="CA454" s="86" t="str">
        <f aca="false">IF(ISBLANK($C454),"",IF($BL454&lt;&gt;Constants!$B$4,$BL454,$BQ454-$BZ454))</f>
        <v/>
      </c>
      <c r="CB454" s="93"/>
      <c r="CC454" s="94" t="str">
        <f aca="false">IF(ISBLANK($C454),"",IF($BL454=Constants!$B$8,$AR454,""))</f>
        <v/>
      </c>
      <c r="CD454" s="94" t="str">
        <f aca="false">IF(ISBLANK($C454),"",IF($BL454&lt;&gt;Constants!$B$4,"",IF($BB454="-&gt;",2,1)))</f>
        <v/>
      </c>
      <c r="CE454" s="95" t="str">
        <f aca="false">IF(ISBLANK($C454),"",IF($BL454&lt;&gt;Constants!$B$4,"",IF($BB454="-&gt;",$BE454,$AU454)))</f>
        <v/>
      </c>
      <c r="CF454" s="95" t="str">
        <f aca="false">IF(ISBLANK($C454),"",IF($BL454&lt;&gt;Constants!$B$4,"",IF($BB454="-&gt;",$BF454,$AV454)))</f>
        <v/>
      </c>
      <c r="CG454" s="95" t="str">
        <f aca="false">IF(ISBLANK($C454),"",IF($BL454&lt;&gt;Constants!$B$4,"",IF($BB454="-&gt;",$BG454,$AW454)))</f>
        <v/>
      </c>
      <c r="CH454" s="95" t="str">
        <f aca="false">IF(ISBLANK($C454),"",IF($BL454&lt;&gt;Constants!$B$4,"",IF($BB454="-&gt;",$BH454,$AX454)))</f>
        <v/>
      </c>
      <c r="CI454" s="96" t="str">
        <f aca="false">IF(ISBLANK($C454),"",$BO454)</f>
        <v/>
      </c>
      <c r="CJ454" s="97" t="str">
        <f aca="false">IF(ISBLANK($C454),"",$BM454)</f>
        <v/>
      </c>
      <c r="CK454" s="98" t="str">
        <f aca="false">IF(ISBLANK($C454),"",$CA454)</f>
        <v/>
      </c>
      <c r="CL454" s="98" t="str">
        <f aca="false">IF(ISBLANK($C454),"",$BZ454)</f>
        <v/>
      </c>
      <c r="CM454" s="99" t="str">
        <f aca="false">IF(ISBLANK($C454),"",IF($CL454=Constants!$B$7,COUNTA($C$9:$C$508)+2,IF($CL454=Constants!$B$6,COUNTA($C$9:$C$508)+1,IF($CL454=Constants!$B$5,COUNTA($C$9:$C$508),$CL454))))</f>
        <v/>
      </c>
      <c r="CN454" s="8"/>
      <c r="CO454" s="100" t="n">
        <f aca="false">IF(OR(ISNUMBER($CL454),$CL454=Constants!$B$7,$CL454=Constants!$B$5,$CL454=Constants!$B$6),1,0)</f>
        <v>0</v>
      </c>
      <c r="CP454" s="100" t="n">
        <v>446</v>
      </c>
      <c r="CQ454" s="100" t="str">
        <f aca="false">IF(ISBLANK($C454),"",IF(ISNUMBER($CM454),$CM454+ROW($B454)/1000,""))</f>
        <v/>
      </c>
      <c r="CR454" s="100" t="str">
        <f aca="false">IF(ISNUMBER($CQ454),RANK($CQ454,$CQ$9:$CQ$508,1),"")</f>
        <v/>
      </c>
      <c r="CS454" s="100" t="str">
        <f aca="false">IF(ISBLANK($C454),"",$B454)</f>
        <v/>
      </c>
      <c r="CT454" s="100" t="str">
        <f aca="false">IF(ISBLANK($C454),"",$C454)</f>
        <v/>
      </c>
      <c r="CU454" s="100" t="str">
        <f aca="false">IF(ISBLANK($C454),"",$D454)</f>
        <v/>
      </c>
      <c r="CV454" s="101" t="str">
        <f aca="false">$CJ454</f>
        <v/>
      </c>
      <c r="CW454" s="102" t="str">
        <f aca="false">$CI454</f>
        <v/>
      </c>
      <c r="CX454" s="100" t="str">
        <f aca="false">IF(ISBLANK($C454),"",$CL454)</f>
        <v/>
      </c>
      <c r="CY454" s="103" t="str">
        <f aca="false">IF($CP454&gt;$CO$8,"",VLOOKUP($CP454,$CR$9:$CX$508,7,FALSE()))</f>
        <v/>
      </c>
      <c r="CZ454" s="104" t="str">
        <f aca="false">IF($CP454&gt;$CO$8,"",VLOOKUP($CP454,$CR$9:$CX$508,2,FALSE()))</f>
        <v/>
      </c>
      <c r="DA454" s="104" t="str">
        <f aca="false">IF($CP454&gt;$CO$8,"",VLOOKUP($CP454,$CR$9:$CX$508,3,FALSE()))</f>
        <v/>
      </c>
      <c r="DB454" s="104" t="str">
        <f aca="false">IF($CP454&gt;$CO$8,"",VLOOKUP($CP454,$CR$9:$CX$508,4,FALSE()))</f>
        <v/>
      </c>
      <c r="DC454" s="104" t="str">
        <f aca="false">IF($CP454&gt;$CO$8,"",VLOOKUP($CP454,$CR$9:$CX$508,5,FALSE()))</f>
        <v/>
      </c>
      <c r="DD454" s="105" t="str">
        <f aca="false">IF($CP454&gt;$CO$8,"",VLOOKUP($CP454,$CR$9:$CX$508,6,FALSE()))</f>
        <v/>
      </c>
      <c r="DE454" s="70"/>
    </row>
    <row r="455" customFormat="false" ht="15.75" hidden="false" customHeight="false" outlineLevel="0" collapsed="false">
      <c r="A455" s="8"/>
      <c r="B455" s="72"/>
      <c r="C455" s="73"/>
      <c r="D455" s="155"/>
      <c r="E455" s="162"/>
      <c r="F455" s="157"/>
      <c r="G455" s="77"/>
      <c r="H455" s="77"/>
      <c r="I455" s="77"/>
      <c r="J455" s="163"/>
      <c r="K455" s="161"/>
      <c r="L455" s="161"/>
      <c r="M455" s="80"/>
      <c r="N455" s="161"/>
      <c r="O455" s="160"/>
      <c r="P455" s="161"/>
      <c r="Q455" s="161"/>
      <c r="R455" s="161"/>
      <c r="S455" s="77"/>
      <c r="T455" s="161"/>
      <c r="U455" s="160"/>
      <c r="V455" s="161"/>
      <c r="W455" s="85"/>
      <c r="X455" s="86" t="str">
        <f aca="false">IF(ISBLANK($C455),"",IF($E455=Constants!$B$2,TRUE(),IF($E455=Constants!$B$3,FALSE(),TRUE())))</f>
        <v/>
      </c>
      <c r="Y455" s="86" t="str">
        <f aca="false">IF(ISBLANK($C455),"",IF($F455=Constants!$B$2,TRUE(),IF($F455=Constants!$B$3,FALSE(),TRUE())))</f>
        <v/>
      </c>
      <c r="Z455" s="87" t="str">
        <f aca="false">IF(ISBLANK($C455),"",IF(ISNUMBER($G455),IF($G455&gt;=0,$G455,""),""))</f>
        <v/>
      </c>
      <c r="AA455" s="87" t="str">
        <f aca="false">IF(ISBLANK($C455),"",IF(ISNUMBER($H455),IF($H455&gt;=0,$H455,""),""))</f>
        <v/>
      </c>
      <c r="AB455" s="87" t="str">
        <f aca="false">IF(ISBLANK($C455),"",IF(ISNUMBER($I455),IF($I455&gt;=0,$I455,""),""))</f>
        <v/>
      </c>
      <c r="AC455" s="86" t="str">
        <f aca="false">IF(ISBLANK($C455),"",IF($J455=Constants!$B$2,TRUE(),IF($J455=Constants!$B$3,FALSE(),TRUE())))</f>
        <v/>
      </c>
      <c r="AD455" s="86" t="str">
        <f aca="false">IF(ISBLANK($C455),"",IF($K455=Constants!$B$2,TRUE(),IF($K455=Constants!$B$3,FALSE(),TRUE())))</f>
        <v/>
      </c>
      <c r="AE455" s="86" t="str">
        <f aca="false">IF(ISBLANK($C455),"",IF($L455=Constants!$B$2,TRUE(),IF($L455=Constants!$B$3,FALSE(),TRUE())))</f>
        <v/>
      </c>
      <c r="AF455" s="88" t="str">
        <f aca="false">IF(ISBLANK($C455),"",IF(ISNUMBER($M455),IF($M455&gt;=0,$M455,""),""))</f>
        <v/>
      </c>
      <c r="AG455" s="86" t="str">
        <f aca="false">IF(ISBLANK($C455),"",IF(ISBLANK($N455),0,IF(ISNUMBER($N455),IF(AND($N455&gt;=0,$N455&lt;=Constants!$B$17,$N455=INT($N455)),$N455,""),"")))</f>
        <v/>
      </c>
      <c r="AH455" s="87" t="str">
        <f aca="false">IF(ISBLANK($C455),"",IF(ISBLANK($O455),0,IF(ISNUMBER($O455),IF($O455&gt;=0,$O455,""),"")))</f>
        <v/>
      </c>
      <c r="AI455" s="86" t="str">
        <f aca="false">IF(ISBLANK($C455),"",IF($P455=Constants!$B$2,TRUE(),IF($P455=Constants!$B$3,FALSE(),TRUE())))</f>
        <v/>
      </c>
      <c r="AJ455" s="86" t="str">
        <f aca="false">IF(ISBLANK($C455),"",IF($Q455=Constants!$B$2,TRUE(),IF($Q455=Constants!$B$3,FALSE(),TRUE())))</f>
        <v/>
      </c>
      <c r="AK455" s="86" t="str">
        <f aca="false">IF(ISBLANK($C455),"",IF($R455=Constants!$B$2,TRUE(),IF($R455=Constants!$B$3,FALSE(),TRUE())))</f>
        <v/>
      </c>
      <c r="AL455" s="88" t="str">
        <f aca="false">IF(ISBLANK($C455),"",IF(ISNUMBER($S455),IF($S455&gt;=0,$S455,""),""))</f>
        <v/>
      </c>
      <c r="AM455" s="86" t="str">
        <f aca="false">IF(ISBLANK($C455),"",IF(ISBLANK($T455),0,IF(ISNUMBER($T455),IF(AND($T455&gt;=0,$T455&lt;=Constants!$B$17,$T455=INT($T455)),$T455,""),"")))</f>
        <v/>
      </c>
      <c r="AN455" s="87" t="str">
        <f aca="false">IF(ISBLANK($C455),"",IF(ISBLANK($U455),0,IF(ISNUMBER($U455),IF($U455&gt;=0,$U455,""),"")))</f>
        <v/>
      </c>
      <c r="AO455" s="86" t="str">
        <f aca="false">IF(ISBLANK($C455),"",IF($V455=Constants!$B$2,TRUE(),IF($V455=Constants!$B$3,FALSE(),FALSE())))</f>
        <v/>
      </c>
      <c r="AP455" s="86"/>
      <c r="AQ455" s="85" t="str">
        <f aca="false">IF(ISBLANK($C455),"",AND($Y455,OR($AS455,$BC455),OR($Z455="",$AA455="",$AB455="")))</f>
        <v/>
      </c>
      <c r="AR455" s="85" t="str">
        <f aca="false">IF(ISBLANK($C455),"",IF(OR(NOT($Y455),NOT(OR($AS455,$BC455))),"",IF(ISBLANK($D$7),$AR$5,IF($AP$9="",$AR$6,""))))</f>
        <v/>
      </c>
      <c r="AS455" s="85" t="str">
        <f aca="false">IF(ISBLANK($C455),"",COUNTA($J455:$O455)&gt;0)</f>
        <v/>
      </c>
      <c r="AT455" s="85" t="str">
        <f aca="false">IF(ISBLANK($C455),"",AND($AS455,OR(AND($AF455="",OR($AE455,NOT(ISBLANK($M455)))),$AG455="",$AH455="")))</f>
        <v/>
      </c>
      <c r="AU455" s="87" t="str">
        <f aca="false">IF($BL455&lt;&gt;Constants!$B$4,"",IF(NOT($AS455),"",ROUND((Constants!$B$12-$AB455)+(Constants!$B$13-$Z455)+(Constants!$B$14-$AA455),1)))</f>
        <v/>
      </c>
      <c r="AV455" s="90" t="str">
        <f aca="false">IF($BL455&lt;&gt;Constants!$B$4,"",IF(NOT($AS455),"",IF(NOT($AE455),0,Constants!$B$15*(INT(ROUND(MIN($AF455,$AP$9),6))-INT(ROUND(MAX(0,MIN($AF455,2*$AP$9)-$AP$9),6))))))</f>
        <v/>
      </c>
      <c r="AW455" s="90" t="str">
        <f aca="false">IF($BL455&lt;&gt;Constants!$B$4,"",IF(NOT($AS455),"",Constants!$B$16*$AG455))</f>
        <v/>
      </c>
      <c r="AX455" s="90" t="str">
        <f aca="false">IF($BL455&lt;&gt;Constants!$B$4,"",IF(NOT($AS455),"",Constants!$B$18*INT(ROUND($AH455,6))))</f>
        <v/>
      </c>
      <c r="AY455" s="85" t="str">
        <f aca="false">IF($BL455&lt;&gt;Constants!$B$4,"",IF(NOT($AS455),"",IF(NOT($X455),Constants!$B$11,IF(OR(NOT($AC455),NOT($AD455),ROUND($AB455,1)&gt;Constants!$B$12,ROUND($Z455,1)&gt;Constants!$B$13,ROUND($AA455,1)&gt;Constants!$B$14),Constants!$B$10,Constants!$B$9))))</f>
        <v/>
      </c>
      <c r="AZ455" s="91" t="str">
        <f aca="false">IF($BL455&lt;&gt;Constants!$B$4,"",IF(NOT($AS455),"",ROUND($AU455+$AV455+$AW455+$AX455,1)))</f>
        <v/>
      </c>
      <c r="BA455" s="92" t="str">
        <f aca="false">IF($BL455&lt;&gt;Constants!$B$4,"",IF(NOT($AS455),"",IF(ISNUMBER($AF455),$AF455,0)))</f>
        <v/>
      </c>
      <c r="BB455" s="86" t="str">
        <f aca="false">IF($BL455&lt;&gt;Constants!$B$4,"",IF(NOT($BC455),"&lt;-",IF(NOT($AS455),"-&gt;",IF(OR($BI455&lt;$AY455,AND($BI455=$AY455,OR($BJ455&gt;$AZ455,AND($BJ455=$AZ455,OR($BH455&gt;$AX455,AND($BH455=$AX455,OR($BE455&gt;$AU455,AND($BE455=$AU455,OR($BF455&gt;$AV455,AND($BF455=$AV455,$BK455&gt;$BA455)))))))))),"-&gt;","&lt;-"))))</f>
        <v/>
      </c>
      <c r="BC455" s="85" t="str">
        <f aca="false">IF(ISBLANK($C455),"",COUNTA($P455:$U455)&gt;0)</f>
        <v/>
      </c>
      <c r="BD455" s="85" t="str">
        <f aca="false">IF(ISBLANK($C455),"",AND($BC455,OR(AND($AL455="",OR($AK455,NOT(ISBLANK($S455)))),$AM455="",$AN455="")))</f>
        <v/>
      </c>
      <c r="BE455" s="87" t="str">
        <f aca="false">IF($BL455&lt;&gt;Constants!$B$4,"",IF(NOT($BC455),"",ROUND((Constants!$B$12-$AB455)+(Constants!$B$13-$Z455)+(Constants!$B$14-$AA455),1)))</f>
        <v/>
      </c>
      <c r="BF455" s="90" t="str">
        <f aca="false">IF($BL455&lt;&gt;Constants!$B$4,"",IF(NOT($BC455),"",IF(NOT($AK455),0,Constants!$B$15*(INT(ROUND(MIN($AL455,$AP$9),6))-INT(ROUND(MAX(0,MIN($AL455,2*$AP$9)-$AP$9),6))))))</f>
        <v/>
      </c>
      <c r="BG455" s="90" t="str">
        <f aca="false">IF($BL455&lt;&gt;Constants!$B$4,"",IF(NOT($BC455),"",Constants!$B$16*$AM455))</f>
        <v/>
      </c>
      <c r="BH455" s="90" t="str">
        <f aca="false">IF($BL455&lt;&gt;Constants!$B$4,"",IF(NOT($BC455),"",Constants!$B$18*INT(ROUND($AN455,6))))</f>
        <v/>
      </c>
      <c r="BI455" s="85" t="str">
        <f aca="false">IF($BL455&lt;&gt;Constants!$B$4,"",IF(NOT($BC455),"",IF(NOT($X455),Constants!$B$11,IF(OR(NOT($AI455),NOT($AJ455),ROUND($AB455,1)&gt;Constants!$B$12,ROUND($Z455,1)&gt;Constants!$B$13,ROUND($AA455,1)&gt;Constants!$B$14),Constants!$B$10,Constants!$B$9))))</f>
        <v/>
      </c>
      <c r="BJ455" s="91" t="str">
        <f aca="false">IF($BL455&lt;&gt;Constants!$B$4,"",IF(NOT($BC455),"",ROUND($BE455+$BF455+$BG455+$BH455,1)))</f>
        <v/>
      </c>
      <c r="BK455" s="92" t="str">
        <f aca="false">IF($BL455&lt;&gt;Constants!$B$4,"",IF(NOT($BC455),"",IF(ISNUMBER($AL455),$AL455,0)))</f>
        <v/>
      </c>
      <c r="BL455" s="86" t="str">
        <f aca="false">IF(ISBLANK($C455),"",IF($AO455,Constants!$B$7,IF(COUNTA($E455:$V455)=0,Constants!$B$6,IF(NOT($Y455),Constants!$B$5,IF(NOT(OR($AS455,$BC455)),Constants!$B$5,IF(OR($AT455,$BD455,$AQ455,$AR455&lt;&gt;""),Constants!$B$8,Constants!$B$4))))))</f>
        <v/>
      </c>
      <c r="BM455" s="86" t="str">
        <f aca="false">IF(ISBLANK($C455),"",IF($BL455&lt;&gt;Constants!$B$4,$BL455,IF($BB455="-&gt;",$BI455,$AY455)))</f>
        <v/>
      </c>
      <c r="BN455" s="90" t="str">
        <f aca="false">IF($BL455&lt;&gt;Constants!$B$4,"",IF($BB455="-&gt;",$BJ455,$AZ455))</f>
        <v/>
      </c>
      <c r="BO455" s="90" t="str">
        <f aca="false">IF(ISBLANK($C455),"",IF($BL455&lt;&gt;Constants!$B$4,$BL455,$BN455))</f>
        <v/>
      </c>
      <c r="BP455" s="86" t="str">
        <f aca="false">IF(ISBLANK($C455),"",IF($BL455&lt;&gt;Constants!$B$4,$BL455,RANK($BO455,$BO$9:$BO$508,0)))</f>
        <v/>
      </c>
      <c r="BQ455" s="86" t="str">
        <f aca="false">IF(ISBLANK($C455),"",IF($BL455&lt;&gt;Constants!$B$4,$BL455,COUNTIFS($BM$9:$BM$508,"&lt;"&amp;$BM455)+COUNTIFS($BM$9:$BM$508,$BM455,$BP$9:$BP$508,"&lt;"&amp;$BP455)+1))</f>
        <v/>
      </c>
      <c r="BR455" s="90" t="str">
        <f aca="false">IF($BL455&lt;&gt;Constants!$B$4,"",IF($BB455="-&gt;",$BH455,$AX455))</f>
        <v/>
      </c>
      <c r="BS455" s="86" t="str">
        <f aca="false">IF(ISBLANK($C455),"",IF($BL455&lt;&gt;Constants!$B$4,$BL455,IF(ISNUMBER($BR455),RANK($BR455,$BR$9:$BR$508,0),COUNT($BR$9:$BR$508)+1)))</f>
        <v/>
      </c>
      <c r="BT455" s="90" t="str">
        <f aca="false">IF($BL455&lt;&gt;Constants!$B$4,"",IF($BB455="-&gt;",$BE455,$AU455))</f>
        <v/>
      </c>
      <c r="BU455" s="86" t="str">
        <f aca="false">IF(ISBLANK($C455),"",IF($BL455&lt;&gt;Constants!$B$4,$BL455,IF(ISNUMBER($BT455),RANK($BT455,$BT$9:$BT$508,0),COUNT($BT$9:$BT$508)+1)))</f>
        <v/>
      </c>
      <c r="BV455" s="90" t="str">
        <f aca="false">IF($BL455&lt;&gt;Constants!$B$4,"",IF($BB455="-&gt;",$BF455,$AV455))</f>
        <v/>
      </c>
      <c r="BW455" s="86" t="str">
        <f aca="false">IF(ISBLANK($C455),"",IF($BL455&lt;&gt;Constants!$B$4,$BL455,IF(ISNUMBER($BV455),RANK($BV455,$BV$9:$BV$508,0),COUNT($BV$9:$BV$508)+1)))</f>
        <v/>
      </c>
      <c r="BX455" s="90" t="str">
        <f aca="false">IF($BL455&lt;&gt;Constants!$B$4,"",IF($BB455="-&gt;",$BK455,$BA455))</f>
        <v/>
      </c>
      <c r="BY455" s="86" t="str">
        <f aca="false">IF(ISBLANK($C455),"",IF($BL455&lt;&gt;Constants!$B$4,$BL455,IF(ISNUMBER($BX455),RANK($BX455,$BX$9:$BX$508,0),COUNT($BX$9:$BX$508)+1)))</f>
        <v/>
      </c>
      <c r="BZ455" s="86" t="str">
        <f aca="false">IF(ISBLANK($C455),"",IF($BL455&lt;&gt;Constants!$B$4,$BL455,COUNTIFS($BM$9:$BM$508,"&lt;"&amp;$BM455)+COUNTIFS($BM$9:$BM$508,$BM455,$BP$9:$BP$508,"&lt;"&amp;$BP455)+COUNTIFS($BM$9:$BM$508,$BM455,$BP$9:$BP$508,$BP455,$BS$9:$BS$508,"&lt;"&amp;$BS455)+COUNTIFS($BM$9:$BM$508,$BM455,$BP$9:$BP$508,$BP455,$BS$9:$BS$508,$BS455,$BU$9:$BU$508,"&lt;"&amp;$BU455)+COUNTIFS($BM$9:$BM$508,$BM455,$BP$9:$BP$508,$BP455,$BS$9:$BS$508,$BS455,$BU$9:$BU$508,$BU455,$BW$9:$BW$508,"&lt;"&amp;$BW455)+COUNTIFS($BM$9:$BM$508,$BM455,$BP$9:$BP$508,$BP455,$BS$9:$BS$508,$BS455,$BU$9:$BU$508,$BU455,$BW$9:$BW$508,$BW455,$BY$9:$BY$508,"&lt;"&amp;$BY455)+1))</f>
        <v/>
      </c>
      <c r="CA455" s="86" t="str">
        <f aca="false">IF(ISBLANK($C455),"",IF($BL455&lt;&gt;Constants!$B$4,$BL455,$BQ455-$BZ455))</f>
        <v/>
      </c>
      <c r="CB455" s="93"/>
      <c r="CC455" s="94" t="str">
        <f aca="false">IF(ISBLANK($C455),"",IF($BL455=Constants!$B$8,$AR455,""))</f>
        <v/>
      </c>
      <c r="CD455" s="94" t="str">
        <f aca="false">IF(ISBLANK($C455),"",IF($BL455&lt;&gt;Constants!$B$4,"",IF($BB455="-&gt;",2,1)))</f>
        <v/>
      </c>
      <c r="CE455" s="95" t="str">
        <f aca="false">IF(ISBLANK($C455),"",IF($BL455&lt;&gt;Constants!$B$4,"",IF($BB455="-&gt;",$BE455,$AU455)))</f>
        <v/>
      </c>
      <c r="CF455" s="95" t="str">
        <f aca="false">IF(ISBLANK($C455),"",IF($BL455&lt;&gt;Constants!$B$4,"",IF($BB455="-&gt;",$BF455,$AV455)))</f>
        <v/>
      </c>
      <c r="CG455" s="95" t="str">
        <f aca="false">IF(ISBLANK($C455),"",IF($BL455&lt;&gt;Constants!$B$4,"",IF($BB455="-&gt;",$BG455,$AW455)))</f>
        <v/>
      </c>
      <c r="CH455" s="95" t="str">
        <f aca="false">IF(ISBLANK($C455),"",IF($BL455&lt;&gt;Constants!$B$4,"",IF($BB455="-&gt;",$BH455,$AX455)))</f>
        <v/>
      </c>
      <c r="CI455" s="96" t="str">
        <f aca="false">IF(ISBLANK($C455),"",$BO455)</f>
        <v/>
      </c>
      <c r="CJ455" s="97" t="str">
        <f aca="false">IF(ISBLANK($C455),"",$BM455)</f>
        <v/>
      </c>
      <c r="CK455" s="98" t="str">
        <f aca="false">IF(ISBLANK($C455),"",$CA455)</f>
        <v/>
      </c>
      <c r="CL455" s="98" t="str">
        <f aca="false">IF(ISBLANK($C455),"",$BZ455)</f>
        <v/>
      </c>
      <c r="CM455" s="99" t="str">
        <f aca="false">IF(ISBLANK($C455),"",IF($CL455=Constants!$B$7,COUNTA($C$9:$C$508)+2,IF($CL455=Constants!$B$6,COUNTA($C$9:$C$508)+1,IF($CL455=Constants!$B$5,COUNTA($C$9:$C$508),$CL455))))</f>
        <v/>
      </c>
      <c r="CN455" s="8"/>
      <c r="CO455" s="100" t="n">
        <f aca="false">IF(OR(ISNUMBER($CL455),$CL455=Constants!$B$7,$CL455=Constants!$B$5,$CL455=Constants!$B$6),1,0)</f>
        <v>0</v>
      </c>
      <c r="CP455" s="100" t="n">
        <v>447</v>
      </c>
      <c r="CQ455" s="100" t="str">
        <f aca="false">IF(ISBLANK($C455),"",IF(ISNUMBER($CM455),$CM455+ROW($B455)/1000,""))</f>
        <v/>
      </c>
      <c r="CR455" s="100" t="str">
        <f aca="false">IF(ISNUMBER($CQ455),RANK($CQ455,$CQ$9:$CQ$508,1),"")</f>
        <v/>
      </c>
      <c r="CS455" s="100" t="str">
        <f aca="false">IF(ISBLANK($C455),"",$B455)</f>
        <v/>
      </c>
      <c r="CT455" s="100" t="str">
        <f aca="false">IF(ISBLANK($C455),"",$C455)</f>
        <v/>
      </c>
      <c r="CU455" s="100" t="str">
        <f aca="false">IF(ISBLANK($C455),"",$D455)</f>
        <v/>
      </c>
      <c r="CV455" s="101" t="str">
        <f aca="false">$CJ455</f>
        <v/>
      </c>
      <c r="CW455" s="102" t="str">
        <f aca="false">$CI455</f>
        <v/>
      </c>
      <c r="CX455" s="100" t="str">
        <f aca="false">IF(ISBLANK($C455),"",$CL455)</f>
        <v/>
      </c>
      <c r="CY455" s="103" t="str">
        <f aca="false">IF($CP455&gt;$CO$8,"",VLOOKUP($CP455,$CR$9:$CX$508,7,FALSE()))</f>
        <v/>
      </c>
      <c r="CZ455" s="104" t="str">
        <f aca="false">IF($CP455&gt;$CO$8,"",VLOOKUP($CP455,$CR$9:$CX$508,2,FALSE()))</f>
        <v/>
      </c>
      <c r="DA455" s="104" t="str">
        <f aca="false">IF($CP455&gt;$CO$8,"",VLOOKUP($CP455,$CR$9:$CX$508,3,FALSE()))</f>
        <v/>
      </c>
      <c r="DB455" s="104" t="str">
        <f aca="false">IF($CP455&gt;$CO$8,"",VLOOKUP($CP455,$CR$9:$CX$508,4,FALSE()))</f>
        <v/>
      </c>
      <c r="DC455" s="104" t="str">
        <f aca="false">IF($CP455&gt;$CO$8,"",VLOOKUP($CP455,$CR$9:$CX$508,5,FALSE()))</f>
        <v/>
      </c>
      <c r="DD455" s="105" t="str">
        <f aca="false">IF($CP455&gt;$CO$8,"",VLOOKUP($CP455,$CR$9:$CX$508,6,FALSE()))</f>
        <v/>
      </c>
      <c r="DE455" s="70"/>
    </row>
    <row r="456" customFormat="false" ht="15.75" hidden="false" customHeight="false" outlineLevel="0" collapsed="false">
      <c r="A456" s="8"/>
      <c r="B456" s="146"/>
      <c r="C456" s="147"/>
      <c r="D456" s="148"/>
      <c r="E456" s="164"/>
      <c r="F456" s="150"/>
      <c r="G456" s="115"/>
      <c r="H456" s="115"/>
      <c r="I456" s="115"/>
      <c r="J456" s="165"/>
      <c r="K456" s="154"/>
      <c r="L456" s="154"/>
      <c r="M456" s="118"/>
      <c r="N456" s="154"/>
      <c r="O456" s="153"/>
      <c r="P456" s="154"/>
      <c r="Q456" s="154"/>
      <c r="R456" s="154"/>
      <c r="S456" s="115"/>
      <c r="T456" s="154"/>
      <c r="U456" s="153"/>
      <c r="V456" s="154"/>
      <c r="W456" s="123"/>
      <c r="X456" s="124" t="str">
        <f aca="false">IF(ISBLANK($C456),"",IF($E456=Constants!$B$2,TRUE(),IF($E456=Constants!$B$3,FALSE(),TRUE())))</f>
        <v/>
      </c>
      <c r="Y456" s="124" t="str">
        <f aca="false">IF(ISBLANK($C456),"",IF($F456=Constants!$B$2,TRUE(),IF($F456=Constants!$B$3,FALSE(),TRUE())))</f>
        <v/>
      </c>
      <c r="Z456" s="125" t="str">
        <f aca="false">IF(ISBLANK($C456),"",IF(ISNUMBER($G456),IF($G456&gt;=0,$G456,""),""))</f>
        <v/>
      </c>
      <c r="AA456" s="125" t="str">
        <f aca="false">IF(ISBLANK($C456),"",IF(ISNUMBER($H456),IF($H456&gt;=0,$H456,""),""))</f>
        <v/>
      </c>
      <c r="AB456" s="125" t="str">
        <f aca="false">IF(ISBLANK($C456),"",IF(ISNUMBER($I456),IF($I456&gt;=0,$I456,""),""))</f>
        <v/>
      </c>
      <c r="AC456" s="124" t="str">
        <f aca="false">IF(ISBLANK($C456),"",IF($J456=Constants!$B$2,TRUE(),IF($J456=Constants!$B$3,FALSE(),TRUE())))</f>
        <v/>
      </c>
      <c r="AD456" s="124" t="str">
        <f aca="false">IF(ISBLANK($C456),"",IF($K456=Constants!$B$2,TRUE(),IF($K456=Constants!$B$3,FALSE(),TRUE())))</f>
        <v/>
      </c>
      <c r="AE456" s="124" t="str">
        <f aca="false">IF(ISBLANK($C456),"",IF($L456=Constants!$B$2,TRUE(),IF($L456=Constants!$B$3,FALSE(),TRUE())))</f>
        <v/>
      </c>
      <c r="AF456" s="126" t="str">
        <f aca="false">IF(ISBLANK($C456),"",IF(ISNUMBER($M456),IF($M456&gt;=0,$M456,""),""))</f>
        <v/>
      </c>
      <c r="AG456" s="124" t="str">
        <f aca="false">IF(ISBLANK($C456),"",IF(ISBLANK($N456),0,IF(ISNUMBER($N456),IF(AND($N456&gt;=0,$N456&lt;=Constants!$B$17,$N456=INT($N456)),$N456,""),"")))</f>
        <v/>
      </c>
      <c r="AH456" s="125" t="str">
        <f aca="false">IF(ISBLANK($C456),"",IF(ISBLANK($O456),0,IF(ISNUMBER($O456),IF($O456&gt;=0,$O456,""),"")))</f>
        <v/>
      </c>
      <c r="AI456" s="124" t="str">
        <f aca="false">IF(ISBLANK($C456),"",IF($P456=Constants!$B$2,TRUE(),IF($P456=Constants!$B$3,FALSE(),TRUE())))</f>
        <v/>
      </c>
      <c r="AJ456" s="124" t="str">
        <f aca="false">IF(ISBLANK($C456),"",IF($Q456=Constants!$B$2,TRUE(),IF($Q456=Constants!$B$3,FALSE(),TRUE())))</f>
        <v/>
      </c>
      <c r="AK456" s="124" t="str">
        <f aca="false">IF(ISBLANK($C456),"",IF($R456=Constants!$B$2,TRUE(),IF($R456=Constants!$B$3,FALSE(),TRUE())))</f>
        <v/>
      </c>
      <c r="AL456" s="126" t="str">
        <f aca="false">IF(ISBLANK($C456),"",IF(ISNUMBER($S456),IF($S456&gt;=0,$S456,""),""))</f>
        <v/>
      </c>
      <c r="AM456" s="124" t="str">
        <f aca="false">IF(ISBLANK($C456),"",IF(ISBLANK($T456),0,IF(ISNUMBER($T456),IF(AND($T456&gt;=0,$T456&lt;=Constants!$B$17,$T456=INT($T456)),$T456,""),"")))</f>
        <v/>
      </c>
      <c r="AN456" s="125" t="str">
        <f aca="false">IF(ISBLANK($C456),"",IF(ISBLANK($U456),0,IF(ISNUMBER($U456),IF($U456&gt;=0,$U456,""),"")))</f>
        <v/>
      </c>
      <c r="AO456" s="124" t="str">
        <f aca="false">IF(ISBLANK($C456),"",IF($V456=Constants!$B$2,TRUE(),IF($V456=Constants!$B$3,FALSE(),FALSE())))</f>
        <v/>
      </c>
      <c r="AP456" s="124"/>
      <c r="AQ456" s="123" t="str">
        <f aca="false">IF(ISBLANK($C456),"",AND($Y456,OR($AS456,$BC456),OR($Z456="",$AA456="",$AB456="")))</f>
        <v/>
      </c>
      <c r="AR456" s="123" t="str">
        <f aca="false">IF(ISBLANK($C456),"",IF(OR(NOT($Y456),NOT(OR($AS456,$BC456))),"",IF(ISBLANK($D$7),$AR$5,IF($AP$9="",$AR$6,""))))</f>
        <v/>
      </c>
      <c r="AS456" s="123" t="str">
        <f aca="false">IF(ISBLANK($C456),"",COUNTA($J456:$O456)&gt;0)</f>
        <v/>
      </c>
      <c r="AT456" s="123" t="str">
        <f aca="false">IF(ISBLANK($C456),"",AND($AS456,OR(AND($AF456="",OR($AE456,NOT(ISBLANK($M456)))),$AG456="",$AH456="")))</f>
        <v/>
      </c>
      <c r="AU456" s="125" t="str">
        <f aca="false">IF($BL456&lt;&gt;Constants!$B$4,"",IF(NOT($AS456),"",ROUND((Constants!$B$12-$AB456)+(Constants!$B$13-$Z456)+(Constants!$B$14-$AA456),1)))</f>
        <v/>
      </c>
      <c r="AV456" s="127" t="str">
        <f aca="false">IF($BL456&lt;&gt;Constants!$B$4,"",IF(NOT($AS456),"",IF(NOT($AE456),0,Constants!$B$15*(INT(ROUND(MIN($AF456,$AP$9),6))-INT(ROUND(MAX(0,MIN($AF456,2*$AP$9)-$AP$9),6))))))</f>
        <v/>
      </c>
      <c r="AW456" s="127" t="str">
        <f aca="false">IF($BL456&lt;&gt;Constants!$B$4,"",IF(NOT($AS456),"",Constants!$B$16*$AG456))</f>
        <v/>
      </c>
      <c r="AX456" s="127" t="str">
        <f aca="false">IF($BL456&lt;&gt;Constants!$B$4,"",IF(NOT($AS456),"",Constants!$B$18*INT(ROUND($AH456,6))))</f>
        <v/>
      </c>
      <c r="AY456" s="123" t="str">
        <f aca="false">IF($BL456&lt;&gt;Constants!$B$4,"",IF(NOT($AS456),"",IF(NOT($X456),Constants!$B$11,IF(OR(NOT($AC456),NOT($AD456),ROUND($AB456,1)&gt;Constants!$B$12,ROUND($Z456,1)&gt;Constants!$B$13,ROUND($AA456,1)&gt;Constants!$B$14),Constants!$B$10,Constants!$B$9))))</f>
        <v/>
      </c>
      <c r="AZ456" s="128" t="str">
        <f aca="false">IF($BL456&lt;&gt;Constants!$B$4,"",IF(NOT($AS456),"",ROUND($AU456+$AV456+$AW456+$AX456,1)))</f>
        <v/>
      </c>
      <c r="BA456" s="129" t="str">
        <f aca="false">IF($BL456&lt;&gt;Constants!$B$4,"",IF(NOT($AS456),"",IF(ISNUMBER($AF456),$AF456,0)))</f>
        <v/>
      </c>
      <c r="BB456" s="124" t="str">
        <f aca="false">IF($BL456&lt;&gt;Constants!$B$4,"",IF(NOT($BC456),"&lt;-",IF(NOT($AS456),"-&gt;",IF(OR($BI456&lt;$AY456,AND($BI456=$AY456,OR($BJ456&gt;$AZ456,AND($BJ456=$AZ456,OR($BH456&gt;$AX456,AND($BH456=$AX456,OR($BE456&gt;$AU456,AND($BE456=$AU456,OR($BF456&gt;$AV456,AND($BF456=$AV456,$BK456&gt;$BA456)))))))))),"-&gt;","&lt;-"))))</f>
        <v/>
      </c>
      <c r="BC456" s="123" t="str">
        <f aca="false">IF(ISBLANK($C456),"",COUNTA($P456:$U456)&gt;0)</f>
        <v/>
      </c>
      <c r="BD456" s="123" t="str">
        <f aca="false">IF(ISBLANK($C456),"",AND($BC456,OR(AND($AL456="",OR($AK456,NOT(ISBLANK($S456)))),$AM456="",$AN456="")))</f>
        <v/>
      </c>
      <c r="BE456" s="125" t="str">
        <f aca="false">IF($BL456&lt;&gt;Constants!$B$4,"",IF(NOT($BC456),"",ROUND((Constants!$B$12-$AB456)+(Constants!$B$13-$Z456)+(Constants!$B$14-$AA456),1)))</f>
        <v/>
      </c>
      <c r="BF456" s="127" t="str">
        <f aca="false">IF($BL456&lt;&gt;Constants!$B$4,"",IF(NOT($BC456),"",IF(NOT($AK456),0,Constants!$B$15*(INT(ROUND(MIN($AL456,$AP$9),6))-INT(ROUND(MAX(0,MIN($AL456,2*$AP$9)-$AP$9),6))))))</f>
        <v/>
      </c>
      <c r="BG456" s="127" t="str">
        <f aca="false">IF($BL456&lt;&gt;Constants!$B$4,"",IF(NOT($BC456),"",Constants!$B$16*$AM456))</f>
        <v/>
      </c>
      <c r="BH456" s="127" t="str">
        <f aca="false">IF($BL456&lt;&gt;Constants!$B$4,"",IF(NOT($BC456),"",Constants!$B$18*INT(ROUND($AN456,6))))</f>
        <v/>
      </c>
      <c r="BI456" s="123" t="str">
        <f aca="false">IF($BL456&lt;&gt;Constants!$B$4,"",IF(NOT($BC456),"",IF(NOT($X456),Constants!$B$11,IF(OR(NOT($AI456),NOT($AJ456),ROUND($AB456,1)&gt;Constants!$B$12,ROUND($Z456,1)&gt;Constants!$B$13,ROUND($AA456,1)&gt;Constants!$B$14),Constants!$B$10,Constants!$B$9))))</f>
        <v/>
      </c>
      <c r="BJ456" s="128" t="str">
        <f aca="false">IF($BL456&lt;&gt;Constants!$B$4,"",IF(NOT($BC456),"",ROUND($BE456+$BF456+$BG456+$BH456,1)))</f>
        <v/>
      </c>
      <c r="BK456" s="129" t="str">
        <f aca="false">IF($BL456&lt;&gt;Constants!$B$4,"",IF(NOT($BC456),"",IF(ISNUMBER($AL456),$AL456,0)))</f>
        <v/>
      </c>
      <c r="BL456" s="124" t="str">
        <f aca="false">IF(ISBLANK($C456),"",IF($AO456,Constants!$B$7,IF(COUNTA($E456:$V456)=0,Constants!$B$6,IF(NOT($Y456),Constants!$B$5,IF(NOT(OR($AS456,$BC456)),Constants!$B$5,IF(OR($AT456,$BD456,$AQ456,$AR456&lt;&gt;""),Constants!$B$8,Constants!$B$4))))))</f>
        <v/>
      </c>
      <c r="BM456" s="124" t="str">
        <f aca="false">IF(ISBLANK($C456),"",IF($BL456&lt;&gt;Constants!$B$4,$BL456,IF($BB456="-&gt;",$BI456,$AY456)))</f>
        <v/>
      </c>
      <c r="BN456" s="127" t="str">
        <f aca="false">IF($BL456&lt;&gt;Constants!$B$4,"",IF($BB456="-&gt;",$BJ456,$AZ456))</f>
        <v/>
      </c>
      <c r="BO456" s="127" t="str">
        <f aca="false">IF(ISBLANK($C456),"",IF($BL456&lt;&gt;Constants!$B$4,$BL456,$BN456))</f>
        <v/>
      </c>
      <c r="BP456" s="124" t="str">
        <f aca="false">IF(ISBLANK($C456),"",IF($BL456&lt;&gt;Constants!$B$4,$BL456,RANK($BO456,$BO$9:$BO$508,0)))</f>
        <v/>
      </c>
      <c r="BQ456" s="124" t="str">
        <f aca="false">IF(ISBLANK($C456),"",IF($BL456&lt;&gt;Constants!$B$4,$BL456,COUNTIFS($BM$9:$BM$508,"&lt;"&amp;$BM456)+COUNTIFS($BM$9:$BM$508,$BM456,$BP$9:$BP$508,"&lt;"&amp;$BP456)+1))</f>
        <v/>
      </c>
      <c r="BR456" s="127" t="str">
        <f aca="false">IF($BL456&lt;&gt;Constants!$B$4,"",IF($BB456="-&gt;",$BH456,$AX456))</f>
        <v/>
      </c>
      <c r="BS456" s="124" t="str">
        <f aca="false">IF(ISBLANK($C456),"",IF($BL456&lt;&gt;Constants!$B$4,$BL456,IF(ISNUMBER($BR456),RANK($BR456,$BR$9:$BR$508,0),COUNT($BR$9:$BR$508)+1)))</f>
        <v/>
      </c>
      <c r="BT456" s="127" t="str">
        <f aca="false">IF($BL456&lt;&gt;Constants!$B$4,"",IF($BB456="-&gt;",$BE456,$AU456))</f>
        <v/>
      </c>
      <c r="BU456" s="124" t="str">
        <f aca="false">IF(ISBLANK($C456),"",IF($BL456&lt;&gt;Constants!$B$4,$BL456,IF(ISNUMBER($BT456),RANK($BT456,$BT$9:$BT$508,0),COUNT($BT$9:$BT$508)+1)))</f>
        <v/>
      </c>
      <c r="BV456" s="127" t="str">
        <f aca="false">IF($BL456&lt;&gt;Constants!$B$4,"",IF($BB456="-&gt;",$BF456,$AV456))</f>
        <v/>
      </c>
      <c r="BW456" s="124" t="str">
        <f aca="false">IF(ISBLANK($C456),"",IF($BL456&lt;&gt;Constants!$B$4,$BL456,IF(ISNUMBER($BV456),RANK($BV456,$BV$9:$BV$508,0),COUNT($BV$9:$BV$508)+1)))</f>
        <v/>
      </c>
      <c r="BX456" s="127" t="str">
        <f aca="false">IF($BL456&lt;&gt;Constants!$B$4,"",IF($BB456="-&gt;",$BK456,$BA456))</f>
        <v/>
      </c>
      <c r="BY456" s="124" t="str">
        <f aca="false">IF(ISBLANK($C456),"",IF($BL456&lt;&gt;Constants!$B$4,$BL456,IF(ISNUMBER($BX456),RANK($BX456,$BX$9:$BX$508,0),COUNT($BX$9:$BX$508)+1)))</f>
        <v/>
      </c>
      <c r="BZ456" s="124" t="str">
        <f aca="false">IF(ISBLANK($C456),"",IF($BL456&lt;&gt;Constants!$B$4,$BL456,COUNTIFS($BM$9:$BM$508,"&lt;"&amp;$BM456)+COUNTIFS($BM$9:$BM$508,$BM456,$BP$9:$BP$508,"&lt;"&amp;$BP456)+COUNTIFS($BM$9:$BM$508,$BM456,$BP$9:$BP$508,$BP456,$BS$9:$BS$508,"&lt;"&amp;$BS456)+COUNTIFS($BM$9:$BM$508,$BM456,$BP$9:$BP$508,$BP456,$BS$9:$BS$508,$BS456,$BU$9:$BU$508,"&lt;"&amp;$BU456)+COUNTIFS($BM$9:$BM$508,$BM456,$BP$9:$BP$508,$BP456,$BS$9:$BS$508,$BS456,$BU$9:$BU$508,$BU456,$BW$9:$BW$508,"&lt;"&amp;$BW456)+COUNTIFS($BM$9:$BM$508,$BM456,$BP$9:$BP$508,$BP456,$BS$9:$BS$508,$BS456,$BU$9:$BU$508,$BU456,$BW$9:$BW$508,$BW456,$BY$9:$BY$508,"&lt;"&amp;$BY456)+1))</f>
        <v/>
      </c>
      <c r="CA456" s="124" t="str">
        <f aca="false">IF(ISBLANK($C456),"",IF($BL456&lt;&gt;Constants!$B$4,$BL456,$BQ456-$BZ456))</f>
        <v/>
      </c>
      <c r="CB456" s="130"/>
      <c r="CC456" s="131" t="str">
        <f aca="false">IF(ISBLANK($C456),"",IF($BL456=Constants!$B$8,$AR456,""))</f>
        <v/>
      </c>
      <c r="CD456" s="131" t="str">
        <f aca="false">IF(ISBLANK($C456),"",IF($BL456&lt;&gt;Constants!$B$4,"",IF($BB456="-&gt;",2,1)))</f>
        <v/>
      </c>
      <c r="CE456" s="132" t="str">
        <f aca="false">IF(ISBLANK($C456),"",IF($BL456&lt;&gt;Constants!$B$4,"",IF($BB456="-&gt;",$BE456,$AU456)))</f>
        <v/>
      </c>
      <c r="CF456" s="132" t="str">
        <f aca="false">IF(ISBLANK($C456),"",IF($BL456&lt;&gt;Constants!$B$4,"",IF($BB456="-&gt;",$BF456,$AV456)))</f>
        <v/>
      </c>
      <c r="CG456" s="132" t="str">
        <f aca="false">IF(ISBLANK($C456),"",IF($BL456&lt;&gt;Constants!$B$4,"",IF($BB456="-&gt;",$BG456,$AW456)))</f>
        <v/>
      </c>
      <c r="CH456" s="132" t="str">
        <f aca="false">IF(ISBLANK($C456),"",IF($BL456&lt;&gt;Constants!$B$4,"",IF($BB456="-&gt;",$BH456,$AX456)))</f>
        <v/>
      </c>
      <c r="CI456" s="133" t="str">
        <f aca="false">IF(ISBLANK($C456),"",$BO456)</f>
        <v/>
      </c>
      <c r="CJ456" s="134" t="str">
        <f aca="false">IF(ISBLANK($C456),"",$BM456)</f>
        <v/>
      </c>
      <c r="CK456" s="135" t="str">
        <f aca="false">IF(ISBLANK($C456),"",$CA456)</f>
        <v/>
      </c>
      <c r="CL456" s="135" t="str">
        <f aca="false">IF(ISBLANK($C456),"",$BZ456)</f>
        <v/>
      </c>
      <c r="CM456" s="136" t="str">
        <f aca="false">IF(ISBLANK($C456),"",IF($CL456=Constants!$B$7,COUNTA($C$9:$C$508)+2,IF($CL456=Constants!$B$6,COUNTA($C$9:$C$508)+1,IF($CL456=Constants!$B$5,COUNTA($C$9:$C$508),$CL456))))</f>
        <v/>
      </c>
      <c r="CN456" s="8"/>
      <c r="CO456" s="137" t="n">
        <f aca="false">IF(OR(ISNUMBER($CL456),$CL456=Constants!$B$7,$CL456=Constants!$B$5,$CL456=Constants!$B$6),1,0)</f>
        <v>0</v>
      </c>
      <c r="CP456" s="137" t="n">
        <v>448</v>
      </c>
      <c r="CQ456" s="137" t="str">
        <f aca="false">IF(ISBLANK($C456),"",IF(ISNUMBER($CM456),$CM456+ROW($B456)/1000,""))</f>
        <v/>
      </c>
      <c r="CR456" s="137" t="str">
        <f aca="false">IF(ISNUMBER($CQ456),RANK($CQ456,$CQ$9:$CQ$508,1),"")</f>
        <v/>
      </c>
      <c r="CS456" s="137" t="str">
        <f aca="false">IF(ISBLANK($C456),"",$B456)</f>
        <v/>
      </c>
      <c r="CT456" s="137" t="str">
        <f aca="false">IF(ISBLANK($C456),"",$C456)</f>
        <v/>
      </c>
      <c r="CU456" s="137" t="str">
        <f aca="false">IF(ISBLANK($C456),"",$D456)</f>
        <v/>
      </c>
      <c r="CV456" s="138" t="str">
        <f aca="false">$CJ456</f>
        <v/>
      </c>
      <c r="CW456" s="139" t="str">
        <f aca="false">$CI456</f>
        <v/>
      </c>
      <c r="CX456" s="137" t="str">
        <f aca="false">IF(ISBLANK($C456),"",$CL456)</f>
        <v/>
      </c>
      <c r="CY456" s="140" t="str">
        <f aca="false">IF($CP456&gt;$CO$8,"",VLOOKUP($CP456,$CR$9:$CX$508,7,FALSE()))</f>
        <v/>
      </c>
      <c r="CZ456" s="141" t="str">
        <f aca="false">IF($CP456&gt;$CO$8,"",VLOOKUP($CP456,$CR$9:$CX$508,2,FALSE()))</f>
        <v/>
      </c>
      <c r="DA456" s="141" t="str">
        <f aca="false">IF($CP456&gt;$CO$8,"",VLOOKUP($CP456,$CR$9:$CX$508,3,FALSE()))</f>
        <v/>
      </c>
      <c r="DB456" s="141" t="str">
        <f aca="false">IF($CP456&gt;$CO$8,"",VLOOKUP($CP456,$CR$9:$CX$508,4,FALSE()))</f>
        <v/>
      </c>
      <c r="DC456" s="141" t="str">
        <f aca="false">IF($CP456&gt;$CO$8,"",VLOOKUP($CP456,$CR$9:$CX$508,5,FALSE()))</f>
        <v/>
      </c>
      <c r="DD456" s="142" t="str">
        <f aca="false">IF($CP456&gt;$CO$8,"",VLOOKUP($CP456,$CR$9:$CX$508,6,FALSE()))</f>
        <v/>
      </c>
      <c r="DE456" s="70"/>
    </row>
    <row r="457" customFormat="false" ht="15.75" hidden="false" customHeight="false" outlineLevel="0" collapsed="false">
      <c r="A457" s="8"/>
      <c r="B457" s="146"/>
      <c r="C457" s="147"/>
      <c r="D457" s="148"/>
      <c r="E457" s="164"/>
      <c r="F457" s="150"/>
      <c r="G457" s="115"/>
      <c r="H457" s="115"/>
      <c r="I457" s="115"/>
      <c r="J457" s="165"/>
      <c r="K457" s="154"/>
      <c r="L457" s="154"/>
      <c r="M457" s="118"/>
      <c r="N457" s="154"/>
      <c r="O457" s="153"/>
      <c r="P457" s="154"/>
      <c r="Q457" s="154"/>
      <c r="R457" s="154"/>
      <c r="S457" s="115"/>
      <c r="T457" s="154"/>
      <c r="U457" s="153"/>
      <c r="V457" s="154"/>
      <c r="W457" s="123"/>
      <c r="X457" s="124" t="str">
        <f aca="false">IF(ISBLANK($C457),"",IF($E457=Constants!$B$2,TRUE(),IF($E457=Constants!$B$3,FALSE(),TRUE())))</f>
        <v/>
      </c>
      <c r="Y457" s="124" t="str">
        <f aca="false">IF(ISBLANK($C457),"",IF($F457=Constants!$B$2,TRUE(),IF($F457=Constants!$B$3,FALSE(),TRUE())))</f>
        <v/>
      </c>
      <c r="Z457" s="125" t="str">
        <f aca="false">IF(ISBLANK($C457),"",IF(ISNUMBER($G457),IF($G457&gt;=0,$G457,""),""))</f>
        <v/>
      </c>
      <c r="AA457" s="125" t="str">
        <f aca="false">IF(ISBLANK($C457),"",IF(ISNUMBER($H457),IF($H457&gt;=0,$H457,""),""))</f>
        <v/>
      </c>
      <c r="AB457" s="125" t="str">
        <f aca="false">IF(ISBLANK($C457),"",IF(ISNUMBER($I457),IF($I457&gt;=0,$I457,""),""))</f>
        <v/>
      </c>
      <c r="AC457" s="124" t="str">
        <f aca="false">IF(ISBLANK($C457),"",IF($J457=Constants!$B$2,TRUE(),IF($J457=Constants!$B$3,FALSE(),TRUE())))</f>
        <v/>
      </c>
      <c r="AD457" s="124" t="str">
        <f aca="false">IF(ISBLANK($C457),"",IF($K457=Constants!$B$2,TRUE(),IF($K457=Constants!$B$3,FALSE(),TRUE())))</f>
        <v/>
      </c>
      <c r="AE457" s="124" t="str">
        <f aca="false">IF(ISBLANK($C457),"",IF($L457=Constants!$B$2,TRUE(),IF($L457=Constants!$B$3,FALSE(),TRUE())))</f>
        <v/>
      </c>
      <c r="AF457" s="126" t="str">
        <f aca="false">IF(ISBLANK($C457),"",IF(ISNUMBER($M457),IF($M457&gt;=0,$M457,""),""))</f>
        <v/>
      </c>
      <c r="AG457" s="124" t="str">
        <f aca="false">IF(ISBLANK($C457),"",IF(ISBLANK($N457),0,IF(ISNUMBER($N457),IF(AND($N457&gt;=0,$N457&lt;=Constants!$B$17,$N457=INT($N457)),$N457,""),"")))</f>
        <v/>
      </c>
      <c r="AH457" s="125" t="str">
        <f aca="false">IF(ISBLANK($C457),"",IF(ISBLANK($O457),0,IF(ISNUMBER($O457),IF($O457&gt;=0,$O457,""),"")))</f>
        <v/>
      </c>
      <c r="AI457" s="124" t="str">
        <f aca="false">IF(ISBLANK($C457),"",IF($P457=Constants!$B$2,TRUE(),IF($P457=Constants!$B$3,FALSE(),TRUE())))</f>
        <v/>
      </c>
      <c r="AJ457" s="124" t="str">
        <f aca="false">IF(ISBLANK($C457),"",IF($Q457=Constants!$B$2,TRUE(),IF($Q457=Constants!$B$3,FALSE(),TRUE())))</f>
        <v/>
      </c>
      <c r="AK457" s="124" t="str">
        <f aca="false">IF(ISBLANK($C457),"",IF($R457=Constants!$B$2,TRUE(),IF($R457=Constants!$B$3,FALSE(),TRUE())))</f>
        <v/>
      </c>
      <c r="AL457" s="126" t="str">
        <f aca="false">IF(ISBLANK($C457),"",IF(ISNUMBER($S457),IF($S457&gt;=0,$S457,""),""))</f>
        <v/>
      </c>
      <c r="AM457" s="124" t="str">
        <f aca="false">IF(ISBLANK($C457),"",IF(ISBLANK($T457),0,IF(ISNUMBER($T457),IF(AND($T457&gt;=0,$T457&lt;=Constants!$B$17,$T457=INT($T457)),$T457,""),"")))</f>
        <v/>
      </c>
      <c r="AN457" s="125" t="str">
        <f aca="false">IF(ISBLANK($C457),"",IF(ISBLANK($U457),0,IF(ISNUMBER($U457),IF($U457&gt;=0,$U457,""),"")))</f>
        <v/>
      </c>
      <c r="AO457" s="124" t="str">
        <f aca="false">IF(ISBLANK($C457),"",IF($V457=Constants!$B$2,TRUE(),IF($V457=Constants!$B$3,FALSE(),FALSE())))</f>
        <v/>
      </c>
      <c r="AP457" s="124"/>
      <c r="AQ457" s="123" t="str">
        <f aca="false">IF(ISBLANK($C457),"",AND($Y457,OR($AS457,$BC457),OR($Z457="",$AA457="",$AB457="")))</f>
        <v/>
      </c>
      <c r="AR457" s="123" t="str">
        <f aca="false">IF(ISBLANK($C457),"",IF(OR(NOT($Y457),NOT(OR($AS457,$BC457))),"",IF(ISBLANK($D$7),$AR$5,IF($AP$9="",$AR$6,""))))</f>
        <v/>
      </c>
      <c r="AS457" s="123" t="str">
        <f aca="false">IF(ISBLANK($C457),"",COUNTA($J457:$O457)&gt;0)</f>
        <v/>
      </c>
      <c r="AT457" s="123" t="str">
        <f aca="false">IF(ISBLANK($C457),"",AND($AS457,OR(AND($AF457="",OR($AE457,NOT(ISBLANK($M457)))),$AG457="",$AH457="")))</f>
        <v/>
      </c>
      <c r="AU457" s="125" t="str">
        <f aca="false">IF($BL457&lt;&gt;Constants!$B$4,"",IF(NOT($AS457),"",ROUND((Constants!$B$12-$AB457)+(Constants!$B$13-$Z457)+(Constants!$B$14-$AA457),1)))</f>
        <v/>
      </c>
      <c r="AV457" s="127" t="str">
        <f aca="false">IF($BL457&lt;&gt;Constants!$B$4,"",IF(NOT($AS457),"",IF(NOT($AE457),0,Constants!$B$15*(INT(ROUND(MIN($AF457,$AP$9),6))-INT(ROUND(MAX(0,MIN($AF457,2*$AP$9)-$AP$9),6))))))</f>
        <v/>
      </c>
      <c r="AW457" s="127" t="str">
        <f aca="false">IF($BL457&lt;&gt;Constants!$B$4,"",IF(NOT($AS457),"",Constants!$B$16*$AG457))</f>
        <v/>
      </c>
      <c r="AX457" s="127" t="str">
        <f aca="false">IF($BL457&lt;&gt;Constants!$B$4,"",IF(NOT($AS457),"",Constants!$B$18*INT(ROUND($AH457,6))))</f>
        <v/>
      </c>
      <c r="AY457" s="123" t="str">
        <f aca="false">IF($BL457&lt;&gt;Constants!$B$4,"",IF(NOT($AS457),"",IF(NOT($X457),Constants!$B$11,IF(OR(NOT($AC457),NOT($AD457),ROUND($AB457,1)&gt;Constants!$B$12,ROUND($Z457,1)&gt;Constants!$B$13,ROUND($AA457,1)&gt;Constants!$B$14),Constants!$B$10,Constants!$B$9))))</f>
        <v/>
      </c>
      <c r="AZ457" s="128" t="str">
        <f aca="false">IF($BL457&lt;&gt;Constants!$B$4,"",IF(NOT($AS457),"",ROUND($AU457+$AV457+$AW457+$AX457,1)))</f>
        <v/>
      </c>
      <c r="BA457" s="129" t="str">
        <f aca="false">IF($BL457&lt;&gt;Constants!$B$4,"",IF(NOT($AS457),"",IF(ISNUMBER($AF457),$AF457,0)))</f>
        <v/>
      </c>
      <c r="BB457" s="124" t="str">
        <f aca="false">IF($BL457&lt;&gt;Constants!$B$4,"",IF(NOT($BC457),"&lt;-",IF(NOT($AS457),"-&gt;",IF(OR($BI457&lt;$AY457,AND($BI457=$AY457,OR($BJ457&gt;$AZ457,AND($BJ457=$AZ457,OR($BH457&gt;$AX457,AND($BH457=$AX457,OR($BE457&gt;$AU457,AND($BE457=$AU457,OR($BF457&gt;$AV457,AND($BF457=$AV457,$BK457&gt;$BA457)))))))))),"-&gt;","&lt;-"))))</f>
        <v/>
      </c>
      <c r="BC457" s="123" t="str">
        <f aca="false">IF(ISBLANK($C457),"",COUNTA($P457:$U457)&gt;0)</f>
        <v/>
      </c>
      <c r="BD457" s="123" t="str">
        <f aca="false">IF(ISBLANK($C457),"",AND($BC457,OR(AND($AL457="",OR($AK457,NOT(ISBLANK($S457)))),$AM457="",$AN457="")))</f>
        <v/>
      </c>
      <c r="BE457" s="125" t="str">
        <f aca="false">IF($BL457&lt;&gt;Constants!$B$4,"",IF(NOT($BC457),"",ROUND((Constants!$B$12-$AB457)+(Constants!$B$13-$Z457)+(Constants!$B$14-$AA457),1)))</f>
        <v/>
      </c>
      <c r="BF457" s="127" t="str">
        <f aca="false">IF($BL457&lt;&gt;Constants!$B$4,"",IF(NOT($BC457),"",IF(NOT($AK457),0,Constants!$B$15*(INT(ROUND(MIN($AL457,$AP$9),6))-INT(ROUND(MAX(0,MIN($AL457,2*$AP$9)-$AP$9),6))))))</f>
        <v/>
      </c>
      <c r="BG457" s="127" t="str">
        <f aca="false">IF($BL457&lt;&gt;Constants!$B$4,"",IF(NOT($BC457),"",Constants!$B$16*$AM457))</f>
        <v/>
      </c>
      <c r="BH457" s="127" t="str">
        <f aca="false">IF($BL457&lt;&gt;Constants!$B$4,"",IF(NOT($BC457),"",Constants!$B$18*INT(ROUND($AN457,6))))</f>
        <v/>
      </c>
      <c r="BI457" s="123" t="str">
        <f aca="false">IF($BL457&lt;&gt;Constants!$B$4,"",IF(NOT($BC457),"",IF(NOT($X457),Constants!$B$11,IF(OR(NOT($AI457),NOT($AJ457),ROUND($AB457,1)&gt;Constants!$B$12,ROUND($Z457,1)&gt;Constants!$B$13,ROUND($AA457,1)&gt;Constants!$B$14),Constants!$B$10,Constants!$B$9))))</f>
        <v/>
      </c>
      <c r="BJ457" s="128" t="str">
        <f aca="false">IF($BL457&lt;&gt;Constants!$B$4,"",IF(NOT($BC457),"",ROUND($BE457+$BF457+$BG457+$BH457,1)))</f>
        <v/>
      </c>
      <c r="BK457" s="129" t="str">
        <f aca="false">IF($BL457&lt;&gt;Constants!$B$4,"",IF(NOT($BC457),"",IF(ISNUMBER($AL457),$AL457,0)))</f>
        <v/>
      </c>
      <c r="BL457" s="124" t="str">
        <f aca="false">IF(ISBLANK($C457),"",IF($AO457,Constants!$B$7,IF(COUNTA($E457:$V457)=0,Constants!$B$6,IF(NOT($Y457),Constants!$B$5,IF(NOT(OR($AS457,$BC457)),Constants!$B$5,IF(OR($AT457,$BD457,$AQ457,$AR457&lt;&gt;""),Constants!$B$8,Constants!$B$4))))))</f>
        <v/>
      </c>
      <c r="BM457" s="124" t="str">
        <f aca="false">IF(ISBLANK($C457),"",IF($BL457&lt;&gt;Constants!$B$4,$BL457,IF($BB457="-&gt;",$BI457,$AY457)))</f>
        <v/>
      </c>
      <c r="BN457" s="127" t="str">
        <f aca="false">IF($BL457&lt;&gt;Constants!$B$4,"",IF($BB457="-&gt;",$BJ457,$AZ457))</f>
        <v/>
      </c>
      <c r="BO457" s="127" t="str">
        <f aca="false">IF(ISBLANK($C457),"",IF($BL457&lt;&gt;Constants!$B$4,$BL457,$BN457))</f>
        <v/>
      </c>
      <c r="BP457" s="124" t="str">
        <f aca="false">IF(ISBLANK($C457),"",IF($BL457&lt;&gt;Constants!$B$4,$BL457,RANK($BO457,$BO$9:$BO$508,0)))</f>
        <v/>
      </c>
      <c r="BQ457" s="124" t="str">
        <f aca="false">IF(ISBLANK($C457),"",IF($BL457&lt;&gt;Constants!$B$4,$BL457,COUNTIFS($BM$9:$BM$508,"&lt;"&amp;$BM457)+COUNTIFS($BM$9:$BM$508,$BM457,$BP$9:$BP$508,"&lt;"&amp;$BP457)+1))</f>
        <v/>
      </c>
      <c r="BR457" s="127" t="str">
        <f aca="false">IF($BL457&lt;&gt;Constants!$B$4,"",IF($BB457="-&gt;",$BH457,$AX457))</f>
        <v/>
      </c>
      <c r="BS457" s="124" t="str">
        <f aca="false">IF(ISBLANK($C457),"",IF($BL457&lt;&gt;Constants!$B$4,$BL457,IF(ISNUMBER($BR457),RANK($BR457,$BR$9:$BR$508,0),COUNT($BR$9:$BR$508)+1)))</f>
        <v/>
      </c>
      <c r="BT457" s="127" t="str">
        <f aca="false">IF($BL457&lt;&gt;Constants!$B$4,"",IF($BB457="-&gt;",$BE457,$AU457))</f>
        <v/>
      </c>
      <c r="BU457" s="124" t="str">
        <f aca="false">IF(ISBLANK($C457),"",IF($BL457&lt;&gt;Constants!$B$4,$BL457,IF(ISNUMBER($BT457),RANK($BT457,$BT$9:$BT$508,0),COUNT($BT$9:$BT$508)+1)))</f>
        <v/>
      </c>
      <c r="BV457" s="127" t="str">
        <f aca="false">IF($BL457&lt;&gt;Constants!$B$4,"",IF($BB457="-&gt;",$BF457,$AV457))</f>
        <v/>
      </c>
      <c r="BW457" s="124" t="str">
        <f aca="false">IF(ISBLANK($C457),"",IF($BL457&lt;&gt;Constants!$B$4,$BL457,IF(ISNUMBER($BV457),RANK($BV457,$BV$9:$BV$508,0),COUNT($BV$9:$BV$508)+1)))</f>
        <v/>
      </c>
      <c r="BX457" s="127" t="str">
        <f aca="false">IF($BL457&lt;&gt;Constants!$B$4,"",IF($BB457="-&gt;",$BK457,$BA457))</f>
        <v/>
      </c>
      <c r="BY457" s="124" t="str">
        <f aca="false">IF(ISBLANK($C457),"",IF($BL457&lt;&gt;Constants!$B$4,$BL457,IF(ISNUMBER($BX457),RANK($BX457,$BX$9:$BX$508,0),COUNT($BX$9:$BX$508)+1)))</f>
        <v/>
      </c>
      <c r="BZ457" s="124" t="str">
        <f aca="false">IF(ISBLANK($C457),"",IF($BL457&lt;&gt;Constants!$B$4,$BL457,COUNTIFS($BM$9:$BM$508,"&lt;"&amp;$BM457)+COUNTIFS($BM$9:$BM$508,$BM457,$BP$9:$BP$508,"&lt;"&amp;$BP457)+COUNTIFS($BM$9:$BM$508,$BM457,$BP$9:$BP$508,$BP457,$BS$9:$BS$508,"&lt;"&amp;$BS457)+COUNTIFS($BM$9:$BM$508,$BM457,$BP$9:$BP$508,$BP457,$BS$9:$BS$508,$BS457,$BU$9:$BU$508,"&lt;"&amp;$BU457)+COUNTIFS($BM$9:$BM$508,$BM457,$BP$9:$BP$508,$BP457,$BS$9:$BS$508,$BS457,$BU$9:$BU$508,$BU457,$BW$9:$BW$508,"&lt;"&amp;$BW457)+COUNTIFS($BM$9:$BM$508,$BM457,$BP$9:$BP$508,$BP457,$BS$9:$BS$508,$BS457,$BU$9:$BU$508,$BU457,$BW$9:$BW$508,$BW457,$BY$9:$BY$508,"&lt;"&amp;$BY457)+1))</f>
        <v/>
      </c>
      <c r="CA457" s="124" t="str">
        <f aca="false">IF(ISBLANK($C457),"",IF($BL457&lt;&gt;Constants!$B$4,$BL457,$BQ457-$BZ457))</f>
        <v/>
      </c>
      <c r="CB457" s="130"/>
      <c r="CC457" s="131" t="str">
        <f aca="false">IF(ISBLANK($C457),"",IF($BL457=Constants!$B$8,$AR457,""))</f>
        <v/>
      </c>
      <c r="CD457" s="131" t="str">
        <f aca="false">IF(ISBLANK($C457),"",IF($BL457&lt;&gt;Constants!$B$4,"",IF($BB457="-&gt;",2,1)))</f>
        <v/>
      </c>
      <c r="CE457" s="132" t="str">
        <f aca="false">IF(ISBLANK($C457),"",IF($BL457&lt;&gt;Constants!$B$4,"",IF($BB457="-&gt;",$BE457,$AU457)))</f>
        <v/>
      </c>
      <c r="CF457" s="132" t="str">
        <f aca="false">IF(ISBLANK($C457),"",IF($BL457&lt;&gt;Constants!$B$4,"",IF($BB457="-&gt;",$BF457,$AV457)))</f>
        <v/>
      </c>
      <c r="CG457" s="132" t="str">
        <f aca="false">IF(ISBLANK($C457),"",IF($BL457&lt;&gt;Constants!$B$4,"",IF($BB457="-&gt;",$BG457,$AW457)))</f>
        <v/>
      </c>
      <c r="CH457" s="132" t="str">
        <f aca="false">IF(ISBLANK($C457),"",IF($BL457&lt;&gt;Constants!$B$4,"",IF($BB457="-&gt;",$BH457,$AX457)))</f>
        <v/>
      </c>
      <c r="CI457" s="133" t="str">
        <f aca="false">IF(ISBLANK($C457),"",$BO457)</f>
        <v/>
      </c>
      <c r="CJ457" s="134" t="str">
        <f aca="false">IF(ISBLANK($C457),"",$BM457)</f>
        <v/>
      </c>
      <c r="CK457" s="135" t="str">
        <f aca="false">IF(ISBLANK($C457),"",$CA457)</f>
        <v/>
      </c>
      <c r="CL457" s="135" t="str">
        <f aca="false">IF(ISBLANK($C457),"",$BZ457)</f>
        <v/>
      </c>
      <c r="CM457" s="136" t="str">
        <f aca="false">IF(ISBLANK($C457),"",IF($CL457=Constants!$B$7,COUNTA($C$9:$C$508)+2,IF($CL457=Constants!$B$6,COUNTA($C$9:$C$508)+1,IF($CL457=Constants!$B$5,COUNTA($C$9:$C$508),$CL457))))</f>
        <v/>
      </c>
      <c r="CN457" s="8"/>
      <c r="CO457" s="137" t="n">
        <f aca="false">IF(OR(ISNUMBER($CL457),$CL457=Constants!$B$7,$CL457=Constants!$B$5,$CL457=Constants!$B$6),1,0)</f>
        <v>0</v>
      </c>
      <c r="CP457" s="137" t="n">
        <v>449</v>
      </c>
      <c r="CQ457" s="137" t="str">
        <f aca="false">IF(ISBLANK($C457),"",IF(ISNUMBER($CM457),$CM457+ROW($B457)/1000,""))</f>
        <v/>
      </c>
      <c r="CR457" s="137" t="str">
        <f aca="false">IF(ISNUMBER($CQ457),RANK($CQ457,$CQ$9:$CQ$508,1),"")</f>
        <v/>
      </c>
      <c r="CS457" s="137" t="str">
        <f aca="false">IF(ISBLANK($C457),"",$B457)</f>
        <v/>
      </c>
      <c r="CT457" s="137" t="str">
        <f aca="false">IF(ISBLANK($C457),"",$C457)</f>
        <v/>
      </c>
      <c r="CU457" s="137" t="str">
        <f aca="false">IF(ISBLANK($C457),"",$D457)</f>
        <v/>
      </c>
      <c r="CV457" s="138" t="str">
        <f aca="false">$CJ457</f>
        <v/>
      </c>
      <c r="CW457" s="139" t="str">
        <f aca="false">$CI457</f>
        <v/>
      </c>
      <c r="CX457" s="137" t="str">
        <f aca="false">IF(ISBLANK($C457),"",$CL457)</f>
        <v/>
      </c>
      <c r="CY457" s="140" t="str">
        <f aca="false">IF($CP457&gt;$CO$8,"",VLOOKUP($CP457,$CR$9:$CX$508,7,FALSE()))</f>
        <v/>
      </c>
      <c r="CZ457" s="141" t="str">
        <f aca="false">IF($CP457&gt;$CO$8,"",VLOOKUP($CP457,$CR$9:$CX$508,2,FALSE()))</f>
        <v/>
      </c>
      <c r="DA457" s="141" t="str">
        <f aca="false">IF($CP457&gt;$CO$8,"",VLOOKUP($CP457,$CR$9:$CX$508,3,FALSE()))</f>
        <v/>
      </c>
      <c r="DB457" s="141" t="str">
        <f aca="false">IF($CP457&gt;$CO$8,"",VLOOKUP($CP457,$CR$9:$CX$508,4,FALSE()))</f>
        <v/>
      </c>
      <c r="DC457" s="141" t="str">
        <f aca="false">IF($CP457&gt;$CO$8,"",VLOOKUP($CP457,$CR$9:$CX$508,5,FALSE()))</f>
        <v/>
      </c>
      <c r="DD457" s="142" t="str">
        <f aca="false">IF($CP457&gt;$CO$8,"",VLOOKUP($CP457,$CR$9:$CX$508,6,FALSE()))</f>
        <v/>
      </c>
      <c r="DE457" s="70"/>
    </row>
    <row r="458" customFormat="false" ht="15.75" hidden="false" customHeight="false" outlineLevel="0" collapsed="false">
      <c r="A458" s="8"/>
      <c r="B458" s="146"/>
      <c r="C458" s="147"/>
      <c r="D458" s="148"/>
      <c r="E458" s="164"/>
      <c r="F458" s="150"/>
      <c r="G458" s="115"/>
      <c r="H458" s="115"/>
      <c r="I458" s="115"/>
      <c r="J458" s="165"/>
      <c r="K458" s="154"/>
      <c r="L458" s="154"/>
      <c r="M458" s="118"/>
      <c r="N458" s="154"/>
      <c r="O458" s="153"/>
      <c r="P458" s="154"/>
      <c r="Q458" s="154"/>
      <c r="R458" s="154"/>
      <c r="S458" s="115"/>
      <c r="T458" s="154"/>
      <c r="U458" s="153"/>
      <c r="V458" s="154"/>
      <c r="W458" s="123"/>
      <c r="X458" s="124" t="str">
        <f aca="false">IF(ISBLANK($C458),"",IF($E458=Constants!$B$2,TRUE(),IF($E458=Constants!$B$3,FALSE(),TRUE())))</f>
        <v/>
      </c>
      <c r="Y458" s="124" t="str">
        <f aca="false">IF(ISBLANK($C458),"",IF($F458=Constants!$B$2,TRUE(),IF($F458=Constants!$B$3,FALSE(),TRUE())))</f>
        <v/>
      </c>
      <c r="Z458" s="125" t="str">
        <f aca="false">IF(ISBLANK($C458),"",IF(ISNUMBER($G458),IF($G458&gt;=0,$G458,""),""))</f>
        <v/>
      </c>
      <c r="AA458" s="125" t="str">
        <f aca="false">IF(ISBLANK($C458),"",IF(ISNUMBER($H458),IF($H458&gt;=0,$H458,""),""))</f>
        <v/>
      </c>
      <c r="AB458" s="125" t="str">
        <f aca="false">IF(ISBLANK($C458),"",IF(ISNUMBER($I458),IF($I458&gt;=0,$I458,""),""))</f>
        <v/>
      </c>
      <c r="AC458" s="124" t="str">
        <f aca="false">IF(ISBLANK($C458),"",IF($J458=Constants!$B$2,TRUE(),IF($J458=Constants!$B$3,FALSE(),TRUE())))</f>
        <v/>
      </c>
      <c r="AD458" s="124" t="str">
        <f aca="false">IF(ISBLANK($C458),"",IF($K458=Constants!$B$2,TRUE(),IF($K458=Constants!$B$3,FALSE(),TRUE())))</f>
        <v/>
      </c>
      <c r="AE458" s="124" t="str">
        <f aca="false">IF(ISBLANK($C458),"",IF($L458=Constants!$B$2,TRUE(),IF($L458=Constants!$B$3,FALSE(),TRUE())))</f>
        <v/>
      </c>
      <c r="AF458" s="126" t="str">
        <f aca="false">IF(ISBLANK($C458),"",IF(ISNUMBER($M458),IF($M458&gt;=0,$M458,""),""))</f>
        <v/>
      </c>
      <c r="AG458" s="124" t="str">
        <f aca="false">IF(ISBLANK($C458),"",IF(ISBLANK($N458),0,IF(ISNUMBER($N458),IF(AND($N458&gt;=0,$N458&lt;=Constants!$B$17,$N458=INT($N458)),$N458,""),"")))</f>
        <v/>
      </c>
      <c r="AH458" s="125" t="str">
        <f aca="false">IF(ISBLANK($C458),"",IF(ISBLANK($O458),0,IF(ISNUMBER($O458),IF($O458&gt;=0,$O458,""),"")))</f>
        <v/>
      </c>
      <c r="AI458" s="124" t="str">
        <f aca="false">IF(ISBLANK($C458),"",IF($P458=Constants!$B$2,TRUE(),IF($P458=Constants!$B$3,FALSE(),TRUE())))</f>
        <v/>
      </c>
      <c r="AJ458" s="124" t="str">
        <f aca="false">IF(ISBLANK($C458),"",IF($Q458=Constants!$B$2,TRUE(),IF($Q458=Constants!$B$3,FALSE(),TRUE())))</f>
        <v/>
      </c>
      <c r="AK458" s="124" t="str">
        <f aca="false">IF(ISBLANK($C458),"",IF($R458=Constants!$B$2,TRUE(),IF($R458=Constants!$B$3,FALSE(),TRUE())))</f>
        <v/>
      </c>
      <c r="AL458" s="126" t="str">
        <f aca="false">IF(ISBLANK($C458),"",IF(ISNUMBER($S458),IF($S458&gt;=0,$S458,""),""))</f>
        <v/>
      </c>
      <c r="AM458" s="124" t="str">
        <f aca="false">IF(ISBLANK($C458),"",IF(ISBLANK($T458),0,IF(ISNUMBER($T458),IF(AND($T458&gt;=0,$T458&lt;=Constants!$B$17,$T458=INT($T458)),$T458,""),"")))</f>
        <v/>
      </c>
      <c r="AN458" s="125" t="str">
        <f aca="false">IF(ISBLANK($C458),"",IF(ISBLANK($U458),0,IF(ISNUMBER($U458),IF($U458&gt;=0,$U458,""),"")))</f>
        <v/>
      </c>
      <c r="AO458" s="124" t="str">
        <f aca="false">IF(ISBLANK($C458),"",IF($V458=Constants!$B$2,TRUE(),IF($V458=Constants!$B$3,FALSE(),FALSE())))</f>
        <v/>
      </c>
      <c r="AP458" s="124"/>
      <c r="AQ458" s="123" t="str">
        <f aca="false">IF(ISBLANK($C458),"",AND($Y458,OR($AS458,$BC458),OR($Z458="",$AA458="",$AB458="")))</f>
        <v/>
      </c>
      <c r="AR458" s="123" t="str">
        <f aca="false">IF(ISBLANK($C458),"",IF(OR(NOT($Y458),NOT(OR($AS458,$BC458))),"",IF(ISBLANK($D$7),$AR$5,IF($AP$9="",$AR$6,""))))</f>
        <v/>
      </c>
      <c r="AS458" s="123" t="str">
        <f aca="false">IF(ISBLANK($C458),"",COUNTA($J458:$O458)&gt;0)</f>
        <v/>
      </c>
      <c r="AT458" s="123" t="str">
        <f aca="false">IF(ISBLANK($C458),"",AND($AS458,OR(AND($AF458="",OR($AE458,NOT(ISBLANK($M458)))),$AG458="",$AH458="")))</f>
        <v/>
      </c>
      <c r="AU458" s="125" t="str">
        <f aca="false">IF($BL458&lt;&gt;Constants!$B$4,"",IF(NOT($AS458),"",ROUND((Constants!$B$12-$AB458)+(Constants!$B$13-$Z458)+(Constants!$B$14-$AA458),1)))</f>
        <v/>
      </c>
      <c r="AV458" s="127" t="str">
        <f aca="false">IF($BL458&lt;&gt;Constants!$B$4,"",IF(NOT($AS458),"",IF(NOT($AE458),0,Constants!$B$15*(INT(ROUND(MIN($AF458,$AP$9),6))-INT(ROUND(MAX(0,MIN($AF458,2*$AP$9)-$AP$9),6))))))</f>
        <v/>
      </c>
      <c r="AW458" s="127" t="str">
        <f aca="false">IF($BL458&lt;&gt;Constants!$B$4,"",IF(NOT($AS458),"",Constants!$B$16*$AG458))</f>
        <v/>
      </c>
      <c r="AX458" s="127" t="str">
        <f aca="false">IF($BL458&lt;&gt;Constants!$B$4,"",IF(NOT($AS458),"",Constants!$B$18*INT(ROUND($AH458,6))))</f>
        <v/>
      </c>
      <c r="AY458" s="123" t="str">
        <f aca="false">IF($BL458&lt;&gt;Constants!$B$4,"",IF(NOT($AS458),"",IF(NOT($X458),Constants!$B$11,IF(OR(NOT($AC458),NOT($AD458),ROUND($AB458,1)&gt;Constants!$B$12,ROUND($Z458,1)&gt;Constants!$B$13,ROUND($AA458,1)&gt;Constants!$B$14),Constants!$B$10,Constants!$B$9))))</f>
        <v/>
      </c>
      <c r="AZ458" s="128" t="str">
        <f aca="false">IF($BL458&lt;&gt;Constants!$B$4,"",IF(NOT($AS458),"",ROUND($AU458+$AV458+$AW458+$AX458,1)))</f>
        <v/>
      </c>
      <c r="BA458" s="129" t="str">
        <f aca="false">IF($BL458&lt;&gt;Constants!$B$4,"",IF(NOT($AS458),"",IF(ISNUMBER($AF458),$AF458,0)))</f>
        <v/>
      </c>
      <c r="BB458" s="124" t="str">
        <f aca="false">IF($BL458&lt;&gt;Constants!$B$4,"",IF(NOT($BC458),"&lt;-",IF(NOT($AS458),"-&gt;",IF(OR($BI458&lt;$AY458,AND($BI458=$AY458,OR($BJ458&gt;$AZ458,AND($BJ458=$AZ458,OR($BH458&gt;$AX458,AND($BH458=$AX458,OR($BE458&gt;$AU458,AND($BE458=$AU458,OR($BF458&gt;$AV458,AND($BF458=$AV458,$BK458&gt;$BA458)))))))))),"-&gt;","&lt;-"))))</f>
        <v/>
      </c>
      <c r="BC458" s="123" t="str">
        <f aca="false">IF(ISBLANK($C458),"",COUNTA($P458:$U458)&gt;0)</f>
        <v/>
      </c>
      <c r="BD458" s="123" t="str">
        <f aca="false">IF(ISBLANK($C458),"",AND($BC458,OR(AND($AL458="",OR($AK458,NOT(ISBLANK($S458)))),$AM458="",$AN458="")))</f>
        <v/>
      </c>
      <c r="BE458" s="125" t="str">
        <f aca="false">IF($BL458&lt;&gt;Constants!$B$4,"",IF(NOT($BC458),"",ROUND((Constants!$B$12-$AB458)+(Constants!$B$13-$Z458)+(Constants!$B$14-$AA458),1)))</f>
        <v/>
      </c>
      <c r="BF458" s="127" t="str">
        <f aca="false">IF($BL458&lt;&gt;Constants!$B$4,"",IF(NOT($BC458),"",IF(NOT($AK458),0,Constants!$B$15*(INT(ROUND(MIN($AL458,$AP$9),6))-INT(ROUND(MAX(0,MIN($AL458,2*$AP$9)-$AP$9),6))))))</f>
        <v/>
      </c>
      <c r="BG458" s="127" t="str">
        <f aca="false">IF($BL458&lt;&gt;Constants!$B$4,"",IF(NOT($BC458),"",Constants!$B$16*$AM458))</f>
        <v/>
      </c>
      <c r="BH458" s="127" t="str">
        <f aca="false">IF($BL458&lt;&gt;Constants!$B$4,"",IF(NOT($BC458),"",Constants!$B$18*INT(ROUND($AN458,6))))</f>
        <v/>
      </c>
      <c r="BI458" s="123" t="str">
        <f aca="false">IF($BL458&lt;&gt;Constants!$B$4,"",IF(NOT($BC458),"",IF(NOT($X458),Constants!$B$11,IF(OR(NOT($AI458),NOT($AJ458),ROUND($AB458,1)&gt;Constants!$B$12,ROUND($Z458,1)&gt;Constants!$B$13,ROUND($AA458,1)&gt;Constants!$B$14),Constants!$B$10,Constants!$B$9))))</f>
        <v/>
      </c>
      <c r="BJ458" s="128" t="str">
        <f aca="false">IF($BL458&lt;&gt;Constants!$B$4,"",IF(NOT($BC458),"",ROUND($BE458+$BF458+$BG458+$BH458,1)))</f>
        <v/>
      </c>
      <c r="BK458" s="129" t="str">
        <f aca="false">IF($BL458&lt;&gt;Constants!$B$4,"",IF(NOT($BC458),"",IF(ISNUMBER($AL458),$AL458,0)))</f>
        <v/>
      </c>
      <c r="BL458" s="124" t="str">
        <f aca="false">IF(ISBLANK($C458),"",IF($AO458,Constants!$B$7,IF(COUNTA($E458:$V458)=0,Constants!$B$6,IF(NOT($Y458),Constants!$B$5,IF(NOT(OR($AS458,$BC458)),Constants!$B$5,IF(OR($AT458,$BD458,$AQ458,$AR458&lt;&gt;""),Constants!$B$8,Constants!$B$4))))))</f>
        <v/>
      </c>
      <c r="BM458" s="124" t="str">
        <f aca="false">IF(ISBLANK($C458),"",IF($BL458&lt;&gt;Constants!$B$4,$BL458,IF($BB458="-&gt;",$BI458,$AY458)))</f>
        <v/>
      </c>
      <c r="BN458" s="127" t="str">
        <f aca="false">IF($BL458&lt;&gt;Constants!$B$4,"",IF($BB458="-&gt;",$BJ458,$AZ458))</f>
        <v/>
      </c>
      <c r="BO458" s="127" t="str">
        <f aca="false">IF(ISBLANK($C458),"",IF($BL458&lt;&gt;Constants!$B$4,$BL458,$BN458))</f>
        <v/>
      </c>
      <c r="BP458" s="124" t="str">
        <f aca="false">IF(ISBLANK($C458),"",IF($BL458&lt;&gt;Constants!$B$4,$BL458,RANK($BO458,$BO$9:$BO$508,0)))</f>
        <v/>
      </c>
      <c r="BQ458" s="124" t="str">
        <f aca="false">IF(ISBLANK($C458),"",IF($BL458&lt;&gt;Constants!$B$4,$BL458,COUNTIFS($BM$9:$BM$508,"&lt;"&amp;$BM458)+COUNTIFS($BM$9:$BM$508,$BM458,$BP$9:$BP$508,"&lt;"&amp;$BP458)+1))</f>
        <v/>
      </c>
      <c r="BR458" s="127" t="str">
        <f aca="false">IF($BL458&lt;&gt;Constants!$B$4,"",IF($BB458="-&gt;",$BH458,$AX458))</f>
        <v/>
      </c>
      <c r="BS458" s="124" t="str">
        <f aca="false">IF(ISBLANK($C458),"",IF($BL458&lt;&gt;Constants!$B$4,$BL458,IF(ISNUMBER($BR458),RANK($BR458,$BR$9:$BR$508,0),COUNT($BR$9:$BR$508)+1)))</f>
        <v/>
      </c>
      <c r="BT458" s="127" t="str">
        <f aca="false">IF($BL458&lt;&gt;Constants!$B$4,"",IF($BB458="-&gt;",$BE458,$AU458))</f>
        <v/>
      </c>
      <c r="BU458" s="124" t="str">
        <f aca="false">IF(ISBLANK($C458),"",IF($BL458&lt;&gt;Constants!$B$4,$BL458,IF(ISNUMBER($BT458),RANK($BT458,$BT$9:$BT$508,0),COUNT($BT$9:$BT$508)+1)))</f>
        <v/>
      </c>
      <c r="BV458" s="127" t="str">
        <f aca="false">IF($BL458&lt;&gt;Constants!$B$4,"",IF($BB458="-&gt;",$BF458,$AV458))</f>
        <v/>
      </c>
      <c r="BW458" s="124" t="str">
        <f aca="false">IF(ISBLANK($C458),"",IF($BL458&lt;&gt;Constants!$B$4,$BL458,IF(ISNUMBER($BV458),RANK($BV458,$BV$9:$BV$508,0),COUNT($BV$9:$BV$508)+1)))</f>
        <v/>
      </c>
      <c r="BX458" s="127" t="str">
        <f aca="false">IF($BL458&lt;&gt;Constants!$B$4,"",IF($BB458="-&gt;",$BK458,$BA458))</f>
        <v/>
      </c>
      <c r="BY458" s="124" t="str">
        <f aca="false">IF(ISBLANK($C458),"",IF($BL458&lt;&gt;Constants!$B$4,$BL458,IF(ISNUMBER($BX458),RANK($BX458,$BX$9:$BX$508,0),COUNT($BX$9:$BX$508)+1)))</f>
        <v/>
      </c>
      <c r="BZ458" s="124" t="str">
        <f aca="false">IF(ISBLANK($C458),"",IF($BL458&lt;&gt;Constants!$B$4,$BL458,COUNTIFS($BM$9:$BM$508,"&lt;"&amp;$BM458)+COUNTIFS($BM$9:$BM$508,$BM458,$BP$9:$BP$508,"&lt;"&amp;$BP458)+COUNTIFS($BM$9:$BM$508,$BM458,$BP$9:$BP$508,$BP458,$BS$9:$BS$508,"&lt;"&amp;$BS458)+COUNTIFS($BM$9:$BM$508,$BM458,$BP$9:$BP$508,$BP458,$BS$9:$BS$508,$BS458,$BU$9:$BU$508,"&lt;"&amp;$BU458)+COUNTIFS($BM$9:$BM$508,$BM458,$BP$9:$BP$508,$BP458,$BS$9:$BS$508,$BS458,$BU$9:$BU$508,$BU458,$BW$9:$BW$508,"&lt;"&amp;$BW458)+COUNTIFS($BM$9:$BM$508,$BM458,$BP$9:$BP$508,$BP458,$BS$9:$BS$508,$BS458,$BU$9:$BU$508,$BU458,$BW$9:$BW$508,$BW458,$BY$9:$BY$508,"&lt;"&amp;$BY458)+1))</f>
        <v/>
      </c>
      <c r="CA458" s="124" t="str">
        <f aca="false">IF(ISBLANK($C458),"",IF($BL458&lt;&gt;Constants!$B$4,$BL458,$BQ458-$BZ458))</f>
        <v/>
      </c>
      <c r="CB458" s="130"/>
      <c r="CC458" s="131" t="str">
        <f aca="false">IF(ISBLANK($C458),"",IF($BL458=Constants!$B$8,$AR458,""))</f>
        <v/>
      </c>
      <c r="CD458" s="131" t="str">
        <f aca="false">IF(ISBLANK($C458),"",IF($BL458&lt;&gt;Constants!$B$4,"",IF($BB458="-&gt;",2,1)))</f>
        <v/>
      </c>
      <c r="CE458" s="132" t="str">
        <f aca="false">IF(ISBLANK($C458),"",IF($BL458&lt;&gt;Constants!$B$4,"",IF($BB458="-&gt;",$BE458,$AU458)))</f>
        <v/>
      </c>
      <c r="CF458" s="132" t="str">
        <f aca="false">IF(ISBLANK($C458),"",IF($BL458&lt;&gt;Constants!$B$4,"",IF($BB458="-&gt;",$BF458,$AV458)))</f>
        <v/>
      </c>
      <c r="CG458" s="132" t="str">
        <f aca="false">IF(ISBLANK($C458),"",IF($BL458&lt;&gt;Constants!$B$4,"",IF($BB458="-&gt;",$BG458,$AW458)))</f>
        <v/>
      </c>
      <c r="CH458" s="132" t="str">
        <f aca="false">IF(ISBLANK($C458),"",IF($BL458&lt;&gt;Constants!$B$4,"",IF($BB458="-&gt;",$BH458,$AX458)))</f>
        <v/>
      </c>
      <c r="CI458" s="133" t="str">
        <f aca="false">IF(ISBLANK($C458),"",$BO458)</f>
        <v/>
      </c>
      <c r="CJ458" s="134" t="str">
        <f aca="false">IF(ISBLANK($C458),"",$BM458)</f>
        <v/>
      </c>
      <c r="CK458" s="135" t="str">
        <f aca="false">IF(ISBLANK($C458),"",$CA458)</f>
        <v/>
      </c>
      <c r="CL458" s="135" t="str">
        <f aca="false">IF(ISBLANK($C458),"",$BZ458)</f>
        <v/>
      </c>
      <c r="CM458" s="136" t="str">
        <f aca="false">IF(ISBLANK($C458),"",IF($CL458=Constants!$B$7,COUNTA($C$9:$C$508)+2,IF($CL458=Constants!$B$6,COUNTA($C$9:$C$508)+1,IF($CL458=Constants!$B$5,COUNTA($C$9:$C$508),$CL458))))</f>
        <v/>
      </c>
      <c r="CN458" s="8"/>
      <c r="CO458" s="137" t="n">
        <f aca="false">IF(OR(ISNUMBER($CL458),$CL458=Constants!$B$7,$CL458=Constants!$B$5,$CL458=Constants!$B$6),1,0)</f>
        <v>0</v>
      </c>
      <c r="CP458" s="137" t="n">
        <v>450</v>
      </c>
      <c r="CQ458" s="137" t="str">
        <f aca="false">IF(ISBLANK($C458),"",IF(ISNUMBER($CM458),$CM458+ROW($B458)/1000,""))</f>
        <v/>
      </c>
      <c r="CR458" s="137" t="str">
        <f aca="false">IF(ISNUMBER($CQ458),RANK($CQ458,$CQ$9:$CQ$508,1),"")</f>
        <v/>
      </c>
      <c r="CS458" s="137" t="str">
        <f aca="false">IF(ISBLANK($C458),"",$B458)</f>
        <v/>
      </c>
      <c r="CT458" s="137" t="str">
        <f aca="false">IF(ISBLANK($C458),"",$C458)</f>
        <v/>
      </c>
      <c r="CU458" s="137" t="str">
        <f aca="false">IF(ISBLANK($C458),"",$D458)</f>
        <v/>
      </c>
      <c r="CV458" s="138" t="str">
        <f aca="false">$CJ458</f>
        <v/>
      </c>
      <c r="CW458" s="139" t="str">
        <f aca="false">$CI458</f>
        <v/>
      </c>
      <c r="CX458" s="137" t="str">
        <f aca="false">IF(ISBLANK($C458),"",$CL458)</f>
        <v/>
      </c>
      <c r="CY458" s="140" t="str">
        <f aca="false">IF($CP458&gt;$CO$8,"",VLOOKUP($CP458,$CR$9:$CX$508,7,FALSE()))</f>
        <v/>
      </c>
      <c r="CZ458" s="141" t="str">
        <f aca="false">IF($CP458&gt;$CO$8,"",VLOOKUP($CP458,$CR$9:$CX$508,2,FALSE()))</f>
        <v/>
      </c>
      <c r="DA458" s="141" t="str">
        <f aca="false">IF($CP458&gt;$CO$8,"",VLOOKUP($CP458,$CR$9:$CX$508,3,FALSE()))</f>
        <v/>
      </c>
      <c r="DB458" s="141" t="str">
        <f aca="false">IF($CP458&gt;$CO$8,"",VLOOKUP($CP458,$CR$9:$CX$508,4,FALSE()))</f>
        <v/>
      </c>
      <c r="DC458" s="141" t="str">
        <f aca="false">IF($CP458&gt;$CO$8,"",VLOOKUP($CP458,$CR$9:$CX$508,5,FALSE()))</f>
        <v/>
      </c>
      <c r="DD458" s="142" t="str">
        <f aca="false">IF($CP458&gt;$CO$8,"",VLOOKUP($CP458,$CR$9:$CX$508,6,FALSE()))</f>
        <v/>
      </c>
      <c r="DE458" s="70"/>
    </row>
    <row r="459" customFormat="false" ht="15.75" hidden="false" customHeight="false" outlineLevel="0" collapsed="false">
      <c r="A459" s="8"/>
      <c r="B459" s="72"/>
      <c r="C459" s="73"/>
      <c r="D459" s="155"/>
      <c r="E459" s="162"/>
      <c r="F459" s="157"/>
      <c r="G459" s="77"/>
      <c r="H459" s="77"/>
      <c r="I459" s="77"/>
      <c r="J459" s="163"/>
      <c r="K459" s="161"/>
      <c r="L459" s="161"/>
      <c r="M459" s="80"/>
      <c r="N459" s="161"/>
      <c r="O459" s="160"/>
      <c r="P459" s="161"/>
      <c r="Q459" s="161"/>
      <c r="R459" s="161"/>
      <c r="S459" s="77"/>
      <c r="T459" s="161"/>
      <c r="U459" s="160"/>
      <c r="V459" s="161"/>
      <c r="W459" s="85"/>
      <c r="X459" s="86" t="str">
        <f aca="false">IF(ISBLANK($C459),"",IF($E459=Constants!$B$2,TRUE(),IF($E459=Constants!$B$3,FALSE(),TRUE())))</f>
        <v/>
      </c>
      <c r="Y459" s="86" t="str">
        <f aca="false">IF(ISBLANK($C459),"",IF($F459=Constants!$B$2,TRUE(),IF($F459=Constants!$B$3,FALSE(),TRUE())))</f>
        <v/>
      </c>
      <c r="Z459" s="87" t="str">
        <f aca="false">IF(ISBLANK($C459),"",IF(ISNUMBER($G459),IF($G459&gt;=0,$G459,""),""))</f>
        <v/>
      </c>
      <c r="AA459" s="87" t="str">
        <f aca="false">IF(ISBLANK($C459),"",IF(ISNUMBER($H459),IF($H459&gt;=0,$H459,""),""))</f>
        <v/>
      </c>
      <c r="AB459" s="87" t="str">
        <f aca="false">IF(ISBLANK($C459),"",IF(ISNUMBER($I459),IF($I459&gt;=0,$I459,""),""))</f>
        <v/>
      </c>
      <c r="AC459" s="86" t="str">
        <f aca="false">IF(ISBLANK($C459),"",IF($J459=Constants!$B$2,TRUE(),IF($J459=Constants!$B$3,FALSE(),TRUE())))</f>
        <v/>
      </c>
      <c r="AD459" s="86" t="str">
        <f aca="false">IF(ISBLANK($C459),"",IF($K459=Constants!$B$2,TRUE(),IF($K459=Constants!$B$3,FALSE(),TRUE())))</f>
        <v/>
      </c>
      <c r="AE459" s="86" t="str">
        <f aca="false">IF(ISBLANK($C459),"",IF($L459=Constants!$B$2,TRUE(),IF($L459=Constants!$B$3,FALSE(),TRUE())))</f>
        <v/>
      </c>
      <c r="AF459" s="88" t="str">
        <f aca="false">IF(ISBLANK($C459),"",IF(ISNUMBER($M459),IF($M459&gt;=0,$M459,""),""))</f>
        <v/>
      </c>
      <c r="AG459" s="86" t="str">
        <f aca="false">IF(ISBLANK($C459),"",IF(ISBLANK($N459),0,IF(ISNUMBER($N459),IF(AND($N459&gt;=0,$N459&lt;=Constants!$B$17,$N459=INT($N459)),$N459,""),"")))</f>
        <v/>
      </c>
      <c r="AH459" s="87" t="str">
        <f aca="false">IF(ISBLANK($C459),"",IF(ISBLANK($O459),0,IF(ISNUMBER($O459),IF($O459&gt;=0,$O459,""),"")))</f>
        <v/>
      </c>
      <c r="AI459" s="86" t="str">
        <f aca="false">IF(ISBLANK($C459),"",IF($P459=Constants!$B$2,TRUE(),IF($P459=Constants!$B$3,FALSE(),TRUE())))</f>
        <v/>
      </c>
      <c r="AJ459" s="86" t="str">
        <f aca="false">IF(ISBLANK($C459),"",IF($Q459=Constants!$B$2,TRUE(),IF($Q459=Constants!$B$3,FALSE(),TRUE())))</f>
        <v/>
      </c>
      <c r="AK459" s="86" t="str">
        <f aca="false">IF(ISBLANK($C459),"",IF($R459=Constants!$B$2,TRUE(),IF($R459=Constants!$B$3,FALSE(),TRUE())))</f>
        <v/>
      </c>
      <c r="AL459" s="88" t="str">
        <f aca="false">IF(ISBLANK($C459),"",IF(ISNUMBER($S459),IF($S459&gt;=0,$S459,""),""))</f>
        <v/>
      </c>
      <c r="AM459" s="86" t="str">
        <f aca="false">IF(ISBLANK($C459),"",IF(ISBLANK($T459),0,IF(ISNUMBER($T459),IF(AND($T459&gt;=0,$T459&lt;=Constants!$B$17,$T459=INT($T459)),$T459,""),"")))</f>
        <v/>
      </c>
      <c r="AN459" s="87" t="str">
        <f aca="false">IF(ISBLANK($C459),"",IF(ISBLANK($U459),0,IF(ISNUMBER($U459),IF($U459&gt;=0,$U459,""),"")))</f>
        <v/>
      </c>
      <c r="AO459" s="86" t="str">
        <f aca="false">IF(ISBLANK($C459),"",IF($V459=Constants!$B$2,TRUE(),IF($V459=Constants!$B$3,FALSE(),FALSE())))</f>
        <v/>
      </c>
      <c r="AP459" s="86"/>
      <c r="AQ459" s="85" t="str">
        <f aca="false">IF(ISBLANK($C459),"",AND($Y459,OR($AS459,$BC459),OR($Z459="",$AA459="",$AB459="")))</f>
        <v/>
      </c>
      <c r="AR459" s="85" t="str">
        <f aca="false">IF(ISBLANK($C459),"",IF(OR(NOT($Y459),NOT(OR($AS459,$BC459))),"",IF(ISBLANK($D$7),$AR$5,IF($AP$9="",$AR$6,""))))</f>
        <v/>
      </c>
      <c r="AS459" s="85" t="str">
        <f aca="false">IF(ISBLANK($C459),"",COUNTA($J459:$O459)&gt;0)</f>
        <v/>
      </c>
      <c r="AT459" s="85" t="str">
        <f aca="false">IF(ISBLANK($C459),"",AND($AS459,OR(AND($AF459="",OR($AE459,NOT(ISBLANK($M459)))),$AG459="",$AH459="")))</f>
        <v/>
      </c>
      <c r="AU459" s="87" t="str">
        <f aca="false">IF($BL459&lt;&gt;Constants!$B$4,"",IF(NOT($AS459),"",ROUND((Constants!$B$12-$AB459)+(Constants!$B$13-$Z459)+(Constants!$B$14-$AA459),1)))</f>
        <v/>
      </c>
      <c r="AV459" s="90" t="str">
        <f aca="false">IF($BL459&lt;&gt;Constants!$B$4,"",IF(NOT($AS459),"",IF(NOT($AE459),0,Constants!$B$15*(INT(ROUND(MIN($AF459,$AP$9),6))-INT(ROUND(MAX(0,MIN($AF459,2*$AP$9)-$AP$9),6))))))</f>
        <v/>
      </c>
      <c r="AW459" s="90" t="str">
        <f aca="false">IF($BL459&lt;&gt;Constants!$B$4,"",IF(NOT($AS459),"",Constants!$B$16*$AG459))</f>
        <v/>
      </c>
      <c r="AX459" s="90" t="str">
        <f aca="false">IF($BL459&lt;&gt;Constants!$B$4,"",IF(NOT($AS459),"",Constants!$B$18*INT(ROUND($AH459,6))))</f>
        <v/>
      </c>
      <c r="AY459" s="85" t="str">
        <f aca="false">IF($BL459&lt;&gt;Constants!$B$4,"",IF(NOT($AS459),"",IF(NOT($X459),Constants!$B$11,IF(OR(NOT($AC459),NOT($AD459),ROUND($AB459,1)&gt;Constants!$B$12,ROUND($Z459,1)&gt;Constants!$B$13,ROUND($AA459,1)&gt;Constants!$B$14),Constants!$B$10,Constants!$B$9))))</f>
        <v/>
      </c>
      <c r="AZ459" s="91" t="str">
        <f aca="false">IF($BL459&lt;&gt;Constants!$B$4,"",IF(NOT($AS459),"",ROUND($AU459+$AV459+$AW459+$AX459,1)))</f>
        <v/>
      </c>
      <c r="BA459" s="92" t="str">
        <f aca="false">IF($BL459&lt;&gt;Constants!$B$4,"",IF(NOT($AS459),"",IF(ISNUMBER($AF459),$AF459,0)))</f>
        <v/>
      </c>
      <c r="BB459" s="86" t="str">
        <f aca="false">IF($BL459&lt;&gt;Constants!$B$4,"",IF(NOT($BC459),"&lt;-",IF(NOT($AS459),"-&gt;",IF(OR($BI459&lt;$AY459,AND($BI459=$AY459,OR($BJ459&gt;$AZ459,AND($BJ459=$AZ459,OR($BH459&gt;$AX459,AND($BH459=$AX459,OR($BE459&gt;$AU459,AND($BE459=$AU459,OR($BF459&gt;$AV459,AND($BF459=$AV459,$BK459&gt;$BA459)))))))))),"-&gt;","&lt;-"))))</f>
        <v/>
      </c>
      <c r="BC459" s="85" t="str">
        <f aca="false">IF(ISBLANK($C459),"",COUNTA($P459:$U459)&gt;0)</f>
        <v/>
      </c>
      <c r="BD459" s="85" t="str">
        <f aca="false">IF(ISBLANK($C459),"",AND($BC459,OR(AND($AL459="",OR($AK459,NOT(ISBLANK($S459)))),$AM459="",$AN459="")))</f>
        <v/>
      </c>
      <c r="BE459" s="87" t="str">
        <f aca="false">IF($BL459&lt;&gt;Constants!$B$4,"",IF(NOT($BC459),"",ROUND((Constants!$B$12-$AB459)+(Constants!$B$13-$Z459)+(Constants!$B$14-$AA459),1)))</f>
        <v/>
      </c>
      <c r="BF459" s="90" t="str">
        <f aca="false">IF($BL459&lt;&gt;Constants!$B$4,"",IF(NOT($BC459),"",IF(NOT($AK459),0,Constants!$B$15*(INT(ROUND(MIN($AL459,$AP$9),6))-INT(ROUND(MAX(0,MIN($AL459,2*$AP$9)-$AP$9),6))))))</f>
        <v/>
      </c>
      <c r="BG459" s="90" t="str">
        <f aca="false">IF($BL459&lt;&gt;Constants!$B$4,"",IF(NOT($BC459),"",Constants!$B$16*$AM459))</f>
        <v/>
      </c>
      <c r="BH459" s="90" t="str">
        <f aca="false">IF($BL459&lt;&gt;Constants!$B$4,"",IF(NOT($BC459),"",Constants!$B$18*INT(ROUND($AN459,6))))</f>
        <v/>
      </c>
      <c r="BI459" s="85" t="str">
        <f aca="false">IF($BL459&lt;&gt;Constants!$B$4,"",IF(NOT($BC459),"",IF(NOT($X459),Constants!$B$11,IF(OR(NOT($AI459),NOT($AJ459),ROUND($AB459,1)&gt;Constants!$B$12,ROUND($Z459,1)&gt;Constants!$B$13,ROUND($AA459,1)&gt;Constants!$B$14),Constants!$B$10,Constants!$B$9))))</f>
        <v/>
      </c>
      <c r="BJ459" s="91" t="str">
        <f aca="false">IF($BL459&lt;&gt;Constants!$B$4,"",IF(NOT($BC459),"",ROUND($BE459+$BF459+$BG459+$BH459,1)))</f>
        <v/>
      </c>
      <c r="BK459" s="92" t="str">
        <f aca="false">IF($BL459&lt;&gt;Constants!$B$4,"",IF(NOT($BC459),"",IF(ISNUMBER($AL459),$AL459,0)))</f>
        <v/>
      </c>
      <c r="BL459" s="86" t="str">
        <f aca="false">IF(ISBLANK($C459),"",IF($AO459,Constants!$B$7,IF(COUNTA($E459:$V459)=0,Constants!$B$6,IF(NOT($Y459),Constants!$B$5,IF(NOT(OR($AS459,$BC459)),Constants!$B$5,IF(OR($AT459,$BD459,$AQ459,$AR459&lt;&gt;""),Constants!$B$8,Constants!$B$4))))))</f>
        <v/>
      </c>
      <c r="BM459" s="86" t="str">
        <f aca="false">IF(ISBLANK($C459),"",IF($BL459&lt;&gt;Constants!$B$4,$BL459,IF($BB459="-&gt;",$BI459,$AY459)))</f>
        <v/>
      </c>
      <c r="BN459" s="90" t="str">
        <f aca="false">IF($BL459&lt;&gt;Constants!$B$4,"",IF($BB459="-&gt;",$BJ459,$AZ459))</f>
        <v/>
      </c>
      <c r="BO459" s="90" t="str">
        <f aca="false">IF(ISBLANK($C459),"",IF($BL459&lt;&gt;Constants!$B$4,$BL459,$BN459))</f>
        <v/>
      </c>
      <c r="BP459" s="86" t="str">
        <f aca="false">IF(ISBLANK($C459),"",IF($BL459&lt;&gt;Constants!$B$4,$BL459,RANK($BO459,$BO$9:$BO$508,0)))</f>
        <v/>
      </c>
      <c r="BQ459" s="86" t="str">
        <f aca="false">IF(ISBLANK($C459),"",IF($BL459&lt;&gt;Constants!$B$4,$BL459,COUNTIFS($BM$9:$BM$508,"&lt;"&amp;$BM459)+COUNTIFS($BM$9:$BM$508,$BM459,$BP$9:$BP$508,"&lt;"&amp;$BP459)+1))</f>
        <v/>
      </c>
      <c r="BR459" s="90" t="str">
        <f aca="false">IF($BL459&lt;&gt;Constants!$B$4,"",IF($BB459="-&gt;",$BH459,$AX459))</f>
        <v/>
      </c>
      <c r="BS459" s="86" t="str">
        <f aca="false">IF(ISBLANK($C459),"",IF($BL459&lt;&gt;Constants!$B$4,$BL459,IF(ISNUMBER($BR459),RANK($BR459,$BR$9:$BR$508,0),COUNT($BR$9:$BR$508)+1)))</f>
        <v/>
      </c>
      <c r="BT459" s="90" t="str">
        <f aca="false">IF($BL459&lt;&gt;Constants!$B$4,"",IF($BB459="-&gt;",$BE459,$AU459))</f>
        <v/>
      </c>
      <c r="BU459" s="86" t="str">
        <f aca="false">IF(ISBLANK($C459),"",IF($BL459&lt;&gt;Constants!$B$4,$BL459,IF(ISNUMBER($BT459),RANK($BT459,$BT$9:$BT$508,0),COUNT($BT$9:$BT$508)+1)))</f>
        <v/>
      </c>
      <c r="BV459" s="90" t="str">
        <f aca="false">IF($BL459&lt;&gt;Constants!$B$4,"",IF($BB459="-&gt;",$BF459,$AV459))</f>
        <v/>
      </c>
      <c r="BW459" s="86" t="str">
        <f aca="false">IF(ISBLANK($C459),"",IF($BL459&lt;&gt;Constants!$B$4,$BL459,IF(ISNUMBER($BV459),RANK($BV459,$BV$9:$BV$508,0),COUNT($BV$9:$BV$508)+1)))</f>
        <v/>
      </c>
      <c r="BX459" s="90" t="str">
        <f aca="false">IF($BL459&lt;&gt;Constants!$B$4,"",IF($BB459="-&gt;",$BK459,$BA459))</f>
        <v/>
      </c>
      <c r="BY459" s="86" t="str">
        <f aca="false">IF(ISBLANK($C459),"",IF($BL459&lt;&gt;Constants!$B$4,$BL459,IF(ISNUMBER($BX459),RANK($BX459,$BX$9:$BX$508,0),COUNT($BX$9:$BX$508)+1)))</f>
        <v/>
      </c>
      <c r="BZ459" s="86" t="str">
        <f aca="false">IF(ISBLANK($C459),"",IF($BL459&lt;&gt;Constants!$B$4,$BL459,COUNTIFS($BM$9:$BM$508,"&lt;"&amp;$BM459)+COUNTIFS($BM$9:$BM$508,$BM459,$BP$9:$BP$508,"&lt;"&amp;$BP459)+COUNTIFS($BM$9:$BM$508,$BM459,$BP$9:$BP$508,$BP459,$BS$9:$BS$508,"&lt;"&amp;$BS459)+COUNTIFS($BM$9:$BM$508,$BM459,$BP$9:$BP$508,$BP459,$BS$9:$BS$508,$BS459,$BU$9:$BU$508,"&lt;"&amp;$BU459)+COUNTIFS($BM$9:$BM$508,$BM459,$BP$9:$BP$508,$BP459,$BS$9:$BS$508,$BS459,$BU$9:$BU$508,$BU459,$BW$9:$BW$508,"&lt;"&amp;$BW459)+COUNTIFS($BM$9:$BM$508,$BM459,$BP$9:$BP$508,$BP459,$BS$9:$BS$508,$BS459,$BU$9:$BU$508,$BU459,$BW$9:$BW$508,$BW459,$BY$9:$BY$508,"&lt;"&amp;$BY459)+1))</f>
        <v/>
      </c>
      <c r="CA459" s="86" t="str">
        <f aca="false">IF(ISBLANK($C459),"",IF($BL459&lt;&gt;Constants!$B$4,$BL459,$BQ459-$BZ459))</f>
        <v/>
      </c>
      <c r="CB459" s="93"/>
      <c r="CC459" s="94" t="str">
        <f aca="false">IF(ISBLANK($C459),"",IF($BL459=Constants!$B$8,$AR459,""))</f>
        <v/>
      </c>
      <c r="CD459" s="94" t="str">
        <f aca="false">IF(ISBLANK($C459),"",IF($BL459&lt;&gt;Constants!$B$4,"",IF($BB459="-&gt;",2,1)))</f>
        <v/>
      </c>
      <c r="CE459" s="95" t="str">
        <f aca="false">IF(ISBLANK($C459),"",IF($BL459&lt;&gt;Constants!$B$4,"",IF($BB459="-&gt;",$BE459,$AU459)))</f>
        <v/>
      </c>
      <c r="CF459" s="95" t="str">
        <f aca="false">IF(ISBLANK($C459),"",IF($BL459&lt;&gt;Constants!$B$4,"",IF($BB459="-&gt;",$BF459,$AV459)))</f>
        <v/>
      </c>
      <c r="CG459" s="95" t="str">
        <f aca="false">IF(ISBLANK($C459),"",IF($BL459&lt;&gt;Constants!$B$4,"",IF($BB459="-&gt;",$BG459,$AW459)))</f>
        <v/>
      </c>
      <c r="CH459" s="95" t="str">
        <f aca="false">IF(ISBLANK($C459),"",IF($BL459&lt;&gt;Constants!$B$4,"",IF($BB459="-&gt;",$BH459,$AX459)))</f>
        <v/>
      </c>
      <c r="CI459" s="96" t="str">
        <f aca="false">IF(ISBLANK($C459),"",$BO459)</f>
        <v/>
      </c>
      <c r="CJ459" s="97" t="str">
        <f aca="false">IF(ISBLANK($C459),"",$BM459)</f>
        <v/>
      </c>
      <c r="CK459" s="98" t="str">
        <f aca="false">IF(ISBLANK($C459),"",$CA459)</f>
        <v/>
      </c>
      <c r="CL459" s="98" t="str">
        <f aca="false">IF(ISBLANK($C459),"",$BZ459)</f>
        <v/>
      </c>
      <c r="CM459" s="99" t="str">
        <f aca="false">IF(ISBLANK($C459),"",IF($CL459=Constants!$B$7,COUNTA($C$9:$C$508)+2,IF($CL459=Constants!$B$6,COUNTA($C$9:$C$508)+1,IF($CL459=Constants!$B$5,COUNTA($C$9:$C$508),$CL459))))</f>
        <v/>
      </c>
      <c r="CN459" s="8"/>
      <c r="CO459" s="100" t="n">
        <f aca="false">IF(OR(ISNUMBER($CL459),$CL459=Constants!$B$7,$CL459=Constants!$B$5,$CL459=Constants!$B$6),1,0)</f>
        <v>0</v>
      </c>
      <c r="CP459" s="100" t="n">
        <v>451</v>
      </c>
      <c r="CQ459" s="100" t="str">
        <f aca="false">IF(ISBLANK($C459),"",IF(ISNUMBER($CM459),$CM459+ROW($B459)/1000,""))</f>
        <v/>
      </c>
      <c r="CR459" s="100" t="str">
        <f aca="false">IF(ISNUMBER($CQ459),RANK($CQ459,$CQ$9:$CQ$508,1),"")</f>
        <v/>
      </c>
      <c r="CS459" s="100" t="str">
        <f aca="false">IF(ISBLANK($C459),"",$B459)</f>
        <v/>
      </c>
      <c r="CT459" s="100" t="str">
        <f aca="false">IF(ISBLANK($C459),"",$C459)</f>
        <v/>
      </c>
      <c r="CU459" s="100" t="str">
        <f aca="false">IF(ISBLANK($C459),"",$D459)</f>
        <v/>
      </c>
      <c r="CV459" s="101" t="str">
        <f aca="false">$CJ459</f>
        <v/>
      </c>
      <c r="CW459" s="102" t="str">
        <f aca="false">$CI459</f>
        <v/>
      </c>
      <c r="CX459" s="100" t="str">
        <f aca="false">IF(ISBLANK($C459),"",$CL459)</f>
        <v/>
      </c>
      <c r="CY459" s="103" t="str">
        <f aca="false">IF($CP459&gt;$CO$8,"",VLOOKUP($CP459,$CR$9:$CX$508,7,FALSE()))</f>
        <v/>
      </c>
      <c r="CZ459" s="104" t="str">
        <f aca="false">IF($CP459&gt;$CO$8,"",VLOOKUP($CP459,$CR$9:$CX$508,2,FALSE()))</f>
        <v/>
      </c>
      <c r="DA459" s="104" t="str">
        <f aca="false">IF($CP459&gt;$CO$8,"",VLOOKUP($CP459,$CR$9:$CX$508,3,FALSE()))</f>
        <v/>
      </c>
      <c r="DB459" s="104" t="str">
        <f aca="false">IF($CP459&gt;$CO$8,"",VLOOKUP($CP459,$CR$9:$CX$508,4,FALSE()))</f>
        <v/>
      </c>
      <c r="DC459" s="104" t="str">
        <f aca="false">IF($CP459&gt;$CO$8,"",VLOOKUP($CP459,$CR$9:$CX$508,5,FALSE()))</f>
        <v/>
      </c>
      <c r="DD459" s="105" t="str">
        <f aca="false">IF($CP459&gt;$CO$8,"",VLOOKUP($CP459,$CR$9:$CX$508,6,FALSE()))</f>
        <v/>
      </c>
      <c r="DE459" s="70"/>
    </row>
    <row r="460" customFormat="false" ht="15.75" hidden="false" customHeight="false" outlineLevel="0" collapsed="false">
      <c r="A460" s="8"/>
      <c r="B460" s="72"/>
      <c r="C460" s="73"/>
      <c r="D460" s="155"/>
      <c r="E460" s="162"/>
      <c r="F460" s="157"/>
      <c r="G460" s="77"/>
      <c r="H460" s="77"/>
      <c r="I460" s="77"/>
      <c r="J460" s="163"/>
      <c r="K460" s="161"/>
      <c r="L460" s="161"/>
      <c r="M460" s="80"/>
      <c r="N460" s="161"/>
      <c r="O460" s="160"/>
      <c r="P460" s="161"/>
      <c r="Q460" s="161"/>
      <c r="R460" s="161"/>
      <c r="S460" s="77"/>
      <c r="T460" s="161"/>
      <c r="U460" s="160"/>
      <c r="V460" s="161"/>
      <c r="W460" s="85"/>
      <c r="X460" s="86" t="str">
        <f aca="false">IF(ISBLANK($C460),"",IF($E460=Constants!$B$2,TRUE(),IF($E460=Constants!$B$3,FALSE(),TRUE())))</f>
        <v/>
      </c>
      <c r="Y460" s="86" t="str">
        <f aca="false">IF(ISBLANK($C460),"",IF($F460=Constants!$B$2,TRUE(),IF($F460=Constants!$B$3,FALSE(),TRUE())))</f>
        <v/>
      </c>
      <c r="Z460" s="87" t="str">
        <f aca="false">IF(ISBLANK($C460),"",IF(ISNUMBER($G460),IF($G460&gt;=0,$G460,""),""))</f>
        <v/>
      </c>
      <c r="AA460" s="87" t="str">
        <f aca="false">IF(ISBLANK($C460),"",IF(ISNUMBER($H460),IF($H460&gt;=0,$H460,""),""))</f>
        <v/>
      </c>
      <c r="AB460" s="87" t="str">
        <f aca="false">IF(ISBLANK($C460),"",IF(ISNUMBER($I460),IF($I460&gt;=0,$I460,""),""))</f>
        <v/>
      </c>
      <c r="AC460" s="86" t="str">
        <f aca="false">IF(ISBLANK($C460),"",IF($J460=Constants!$B$2,TRUE(),IF($J460=Constants!$B$3,FALSE(),TRUE())))</f>
        <v/>
      </c>
      <c r="AD460" s="86" t="str">
        <f aca="false">IF(ISBLANK($C460),"",IF($K460=Constants!$B$2,TRUE(),IF($K460=Constants!$B$3,FALSE(),TRUE())))</f>
        <v/>
      </c>
      <c r="AE460" s="86" t="str">
        <f aca="false">IF(ISBLANK($C460),"",IF($L460=Constants!$B$2,TRUE(),IF($L460=Constants!$B$3,FALSE(),TRUE())))</f>
        <v/>
      </c>
      <c r="AF460" s="88" t="str">
        <f aca="false">IF(ISBLANK($C460),"",IF(ISNUMBER($M460),IF($M460&gt;=0,$M460,""),""))</f>
        <v/>
      </c>
      <c r="AG460" s="86" t="str">
        <f aca="false">IF(ISBLANK($C460),"",IF(ISBLANK($N460),0,IF(ISNUMBER($N460),IF(AND($N460&gt;=0,$N460&lt;=Constants!$B$17,$N460=INT($N460)),$N460,""),"")))</f>
        <v/>
      </c>
      <c r="AH460" s="87" t="str">
        <f aca="false">IF(ISBLANK($C460),"",IF(ISBLANK($O460),0,IF(ISNUMBER($O460),IF($O460&gt;=0,$O460,""),"")))</f>
        <v/>
      </c>
      <c r="AI460" s="86" t="str">
        <f aca="false">IF(ISBLANK($C460),"",IF($P460=Constants!$B$2,TRUE(),IF($P460=Constants!$B$3,FALSE(),TRUE())))</f>
        <v/>
      </c>
      <c r="AJ460" s="86" t="str">
        <f aca="false">IF(ISBLANK($C460),"",IF($Q460=Constants!$B$2,TRUE(),IF($Q460=Constants!$B$3,FALSE(),TRUE())))</f>
        <v/>
      </c>
      <c r="AK460" s="86" t="str">
        <f aca="false">IF(ISBLANK($C460),"",IF($R460=Constants!$B$2,TRUE(),IF($R460=Constants!$B$3,FALSE(),TRUE())))</f>
        <v/>
      </c>
      <c r="AL460" s="88" t="str">
        <f aca="false">IF(ISBLANK($C460),"",IF(ISNUMBER($S460),IF($S460&gt;=0,$S460,""),""))</f>
        <v/>
      </c>
      <c r="AM460" s="86" t="str">
        <f aca="false">IF(ISBLANK($C460),"",IF(ISBLANK($T460),0,IF(ISNUMBER($T460),IF(AND($T460&gt;=0,$T460&lt;=Constants!$B$17,$T460=INT($T460)),$T460,""),"")))</f>
        <v/>
      </c>
      <c r="AN460" s="87" t="str">
        <f aca="false">IF(ISBLANK($C460),"",IF(ISBLANK($U460),0,IF(ISNUMBER($U460),IF($U460&gt;=0,$U460,""),"")))</f>
        <v/>
      </c>
      <c r="AO460" s="86" t="str">
        <f aca="false">IF(ISBLANK($C460),"",IF($V460=Constants!$B$2,TRUE(),IF($V460=Constants!$B$3,FALSE(),FALSE())))</f>
        <v/>
      </c>
      <c r="AP460" s="86"/>
      <c r="AQ460" s="85" t="str">
        <f aca="false">IF(ISBLANK($C460),"",AND($Y460,OR($AS460,$BC460),OR($Z460="",$AA460="",$AB460="")))</f>
        <v/>
      </c>
      <c r="AR460" s="85" t="str">
        <f aca="false">IF(ISBLANK($C460),"",IF(OR(NOT($Y460),NOT(OR($AS460,$BC460))),"",IF(ISBLANK($D$7),$AR$5,IF($AP$9="",$AR$6,""))))</f>
        <v/>
      </c>
      <c r="AS460" s="85" t="str">
        <f aca="false">IF(ISBLANK($C460),"",COUNTA($J460:$O460)&gt;0)</f>
        <v/>
      </c>
      <c r="AT460" s="85" t="str">
        <f aca="false">IF(ISBLANK($C460),"",AND($AS460,OR(AND($AF460="",OR($AE460,NOT(ISBLANK($M460)))),$AG460="",$AH460="")))</f>
        <v/>
      </c>
      <c r="AU460" s="87" t="str">
        <f aca="false">IF($BL460&lt;&gt;Constants!$B$4,"",IF(NOT($AS460),"",ROUND((Constants!$B$12-$AB460)+(Constants!$B$13-$Z460)+(Constants!$B$14-$AA460),1)))</f>
        <v/>
      </c>
      <c r="AV460" s="90" t="str">
        <f aca="false">IF($BL460&lt;&gt;Constants!$B$4,"",IF(NOT($AS460),"",IF(NOT($AE460),0,Constants!$B$15*(INT(ROUND(MIN($AF460,$AP$9),6))-INT(ROUND(MAX(0,MIN($AF460,2*$AP$9)-$AP$9),6))))))</f>
        <v/>
      </c>
      <c r="AW460" s="90" t="str">
        <f aca="false">IF($BL460&lt;&gt;Constants!$B$4,"",IF(NOT($AS460),"",Constants!$B$16*$AG460))</f>
        <v/>
      </c>
      <c r="AX460" s="90" t="str">
        <f aca="false">IF($BL460&lt;&gt;Constants!$B$4,"",IF(NOT($AS460),"",Constants!$B$18*INT(ROUND($AH460,6))))</f>
        <v/>
      </c>
      <c r="AY460" s="85" t="str">
        <f aca="false">IF($BL460&lt;&gt;Constants!$B$4,"",IF(NOT($AS460),"",IF(NOT($X460),Constants!$B$11,IF(OR(NOT($AC460),NOT($AD460),ROUND($AB460,1)&gt;Constants!$B$12,ROUND($Z460,1)&gt;Constants!$B$13,ROUND($AA460,1)&gt;Constants!$B$14),Constants!$B$10,Constants!$B$9))))</f>
        <v/>
      </c>
      <c r="AZ460" s="91" t="str">
        <f aca="false">IF($BL460&lt;&gt;Constants!$B$4,"",IF(NOT($AS460),"",ROUND($AU460+$AV460+$AW460+$AX460,1)))</f>
        <v/>
      </c>
      <c r="BA460" s="92" t="str">
        <f aca="false">IF($BL460&lt;&gt;Constants!$B$4,"",IF(NOT($AS460),"",IF(ISNUMBER($AF460),$AF460,0)))</f>
        <v/>
      </c>
      <c r="BB460" s="86" t="str">
        <f aca="false">IF($BL460&lt;&gt;Constants!$B$4,"",IF(NOT($BC460),"&lt;-",IF(NOT($AS460),"-&gt;",IF(OR($BI460&lt;$AY460,AND($BI460=$AY460,OR($BJ460&gt;$AZ460,AND($BJ460=$AZ460,OR($BH460&gt;$AX460,AND($BH460=$AX460,OR($BE460&gt;$AU460,AND($BE460=$AU460,OR($BF460&gt;$AV460,AND($BF460=$AV460,$BK460&gt;$BA460)))))))))),"-&gt;","&lt;-"))))</f>
        <v/>
      </c>
      <c r="BC460" s="85" t="str">
        <f aca="false">IF(ISBLANK($C460),"",COUNTA($P460:$U460)&gt;0)</f>
        <v/>
      </c>
      <c r="BD460" s="85" t="str">
        <f aca="false">IF(ISBLANK($C460),"",AND($BC460,OR(AND($AL460="",OR($AK460,NOT(ISBLANK($S460)))),$AM460="",$AN460="")))</f>
        <v/>
      </c>
      <c r="BE460" s="87" t="str">
        <f aca="false">IF($BL460&lt;&gt;Constants!$B$4,"",IF(NOT($BC460),"",ROUND((Constants!$B$12-$AB460)+(Constants!$B$13-$Z460)+(Constants!$B$14-$AA460),1)))</f>
        <v/>
      </c>
      <c r="BF460" s="90" t="str">
        <f aca="false">IF($BL460&lt;&gt;Constants!$B$4,"",IF(NOT($BC460),"",IF(NOT($AK460),0,Constants!$B$15*(INT(ROUND(MIN($AL460,$AP$9),6))-INT(ROUND(MAX(0,MIN($AL460,2*$AP$9)-$AP$9),6))))))</f>
        <v/>
      </c>
      <c r="BG460" s="90" t="str">
        <f aca="false">IF($BL460&lt;&gt;Constants!$B$4,"",IF(NOT($BC460),"",Constants!$B$16*$AM460))</f>
        <v/>
      </c>
      <c r="BH460" s="90" t="str">
        <f aca="false">IF($BL460&lt;&gt;Constants!$B$4,"",IF(NOT($BC460),"",Constants!$B$18*INT(ROUND($AN460,6))))</f>
        <v/>
      </c>
      <c r="BI460" s="85" t="str">
        <f aca="false">IF($BL460&lt;&gt;Constants!$B$4,"",IF(NOT($BC460),"",IF(NOT($X460),Constants!$B$11,IF(OR(NOT($AI460),NOT($AJ460),ROUND($AB460,1)&gt;Constants!$B$12,ROUND($Z460,1)&gt;Constants!$B$13,ROUND($AA460,1)&gt;Constants!$B$14),Constants!$B$10,Constants!$B$9))))</f>
        <v/>
      </c>
      <c r="BJ460" s="91" t="str">
        <f aca="false">IF($BL460&lt;&gt;Constants!$B$4,"",IF(NOT($BC460),"",ROUND($BE460+$BF460+$BG460+$BH460,1)))</f>
        <v/>
      </c>
      <c r="BK460" s="92" t="str">
        <f aca="false">IF($BL460&lt;&gt;Constants!$B$4,"",IF(NOT($BC460),"",IF(ISNUMBER($AL460),$AL460,0)))</f>
        <v/>
      </c>
      <c r="BL460" s="86" t="str">
        <f aca="false">IF(ISBLANK($C460),"",IF($AO460,Constants!$B$7,IF(COUNTA($E460:$V460)=0,Constants!$B$6,IF(NOT($Y460),Constants!$B$5,IF(NOT(OR($AS460,$BC460)),Constants!$B$5,IF(OR($AT460,$BD460,$AQ460,$AR460&lt;&gt;""),Constants!$B$8,Constants!$B$4))))))</f>
        <v/>
      </c>
      <c r="BM460" s="86" t="str">
        <f aca="false">IF(ISBLANK($C460),"",IF($BL460&lt;&gt;Constants!$B$4,$BL460,IF($BB460="-&gt;",$BI460,$AY460)))</f>
        <v/>
      </c>
      <c r="BN460" s="90" t="str">
        <f aca="false">IF($BL460&lt;&gt;Constants!$B$4,"",IF($BB460="-&gt;",$BJ460,$AZ460))</f>
        <v/>
      </c>
      <c r="BO460" s="90" t="str">
        <f aca="false">IF(ISBLANK($C460),"",IF($BL460&lt;&gt;Constants!$B$4,$BL460,$BN460))</f>
        <v/>
      </c>
      <c r="BP460" s="86" t="str">
        <f aca="false">IF(ISBLANK($C460),"",IF($BL460&lt;&gt;Constants!$B$4,$BL460,RANK($BO460,$BO$9:$BO$508,0)))</f>
        <v/>
      </c>
      <c r="BQ460" s="86" t="str">
        <f aca="false">IF(ISBLANK($C460),"",IF($BL460&lt;&gt;Constants!$B$4,$BL460,COUNTIFS($BM$9:$BM$508,"&lt;"&amp;$BM460)+COUNTIFS($BM$9:$BM$508,$BM460,$BP$9:$BP$508,"&lt;"&amp;$BP460)+1))</f>
        <v/>
      </c>
      <c r="BR460" s="90" t="str">
        <f aca="false">IF($BL460&lt;&gt;Constants!$B$4,"",IF($BB460="-&gt;",$BH460,$AX460))</f>
        <v/>
      </c>
      <c r="BS460" s="86" t="str">
        <f aca="false">IF(ISBLANK($C460),"",IF($BL460&lt;&gt;Constants!$B$4,$BL460,IF(ISNUMBER($BR460),RANK($BR460,$BR$9:$BR$508,0),COUNT($BR$9:$BR$508)+1)))</f>
        <v/>
      </c>
      <c r="BT460" s="90" t="str">
        <f aca="false">IF($BL460&lt;&gt;Constants!$B$4,"",IF($BB460="-&gt;",$BE460,$AU460))</f>
        <v/>
      </c>
      <c r="BU460" s="86" t="str">
        <f aca="false">IF(ISBLANK($C460),"",IF($BL460&lt;&gt;Constants!$B$4,$BL460,IF(ISNUMBER($BT460),RANK($BT460,$BT$9:$BT$508,0),COUNT($BT$9:$BT$508)+1)))</f>
        <v/>
      </c>
      <c r="BV460" s="90" t="str">
        <f aca="false">IF($BL460&lt;&gt;Constants!$B$4,"",IF($BB460="-&gt;",$BF460,$AV460))</f>
        <v/>
      </c>
      <c r="BW460" s="86" t="str">
        <f aca="false">IF(ISBLANK($C460),"",IF($BL460&lt;&gt;Constants!$B$4,$BL460,IF(ISNUMBER($BV460),RANK($BV460,$BV$9:$BV$508,0),COUNT($BV$9:$BV$508)+1)))</f>
        <v/>
      </c>
      <c r="BX460" s="90" t="str">
        <f aca="false">IF($BL460&lt;&gt;Constants!$B$4,"",IF($BB460="-&gt;",$BK460,$BA460))</f>
        <v/>
      </c>
      <c r="BY460" s="86" t="str">
        <f aca="false">IF(ISBLANK($C460),"",IF($BL460&lt;&gt;Constants!$B$4,$BL460,IF(ISNUMBER($BX460),RANK($BX460,$BX$9:$BX$508,0),COUNT($BX$9:$BX$508)+1)))</f>
        <v/>
      </c>
      <c r="BZ460" s="86" t="str">
        <f aca="false">IF(ISBLANK($C460),"",IF($BL460&lt;&gt;Constants!$B$4,$BL460,COUNTIFS($BM$9:$BM$508,"&lt;"&amp;$BM460)+COUNTIFS($BM$9:$BM$508,$BM460,$BP$9:$BP$508,"&lt;"&amp;$BP460)+COUNTIFS($BM$9:$BM$508,$BM460,$BP$9:$BP$508,$BP460,$BS$9:$BS$508,"&lt;"&amp;$BS460)+COUNTIFS($BM$9:$BM$508,$BM460,$BP$9:$BP$508,$BP460,$BS$9:$BS$508,$BS460,$BU$9:$BU$508,"&lt;"&amp;$BU460)+COUNTIFS($BM$9:$BM$508,$BM460,$BP$9:$BP$508,$BP460,$BS$9:$BS$508,$BS460,$BU$9:$BU$508,$BU460,$BW$9:$BW$508,"&lt;"&amp;$BW460)+COUNTIFS($BM$9:$BM$508,$BM460,$BP$9:$BP$508,$BP460,$BS$9:$BS$508,$BS460,$BU$9:$BU$508,$BU460,$BW$9:$BW$508,$BW460,$BY$9:$BY$508,"&lt;"&amp;$BY460)+1))</f>
        <v/>
      </c>
      <c r="CA460" s="86" t="str">
        <f aca="false">IF(ISBLANK($C460),"",IF($BL460&lt;&gt;Constants!$B$4,$BL460,$BQ460-$BZ460))</f>
        <v/>
      </c>
      <c r="CB460" s="93"/>
      <c r="CC460" s="94" t="str">
        <f aca="false">IF(ISBLANK($C460),"",IF($BL460=Constants!$B$8,$AR460,""))</f>
        <v/>
      </c>
      <c r="CD460" s="94" t="str">
        <f aca="false">IF(ISBLANK($C460),"",IF($BL460&lt;&gt;Constants!$B$4,"",IF($BB460="-&gt;",2,1)))</f>
        <v/>
      </c>
      <c r="CE460" s="95" t="str">
        <f aca="false">IF(ISBLANK($C460),"",IF($BL460&lt;&gt;Constants!$B$4,"",IF($BB460="-&gt;",$BE460,$AU460)))</f>
        <v/>
      </c>
      <c r="CF460" s="95" t="str">
        <f aca="false">IF(ISBLANK($C460),"",IF($BL460&lt;&gt;Constants!$B$4,"",IF($BB460="-&gt;",$BF460,$AV460)))</f>
        <v/>
      </c>
      <c r="CG460" s="95" t="str">
        <f aca="false">IF(ISBLANK($C460),"",IF($BL460&lt;&gt;Constants!$B$4,"",IF($BB460="-&gt;",$BG460,$AW460)))</f>
        <v/>
      </c>
      <c r="CH460" s="95" t="str">
        <f aca="false">IF(ISBLANK($C460),"",IF($BL460&lt;&gt;Constants!$B$4,"",IF($BB460="-&gt;",$BH460,$AX460)))</f>
        <v/>
      </c>
      <c r="CI460" s="96" t="str">
        <f aca="false">IF(ISBLANK($C460),"",$BO460)</f>
        <v/>
      </c>
      <c r="CJ460" s="97" t="str">
        <f aca="false">IF(ISBLANK($C460),"",$BM460)</f>
        <v/>
      </c>
      <c r="CK460" s="98" t="str">
        <f aca="false">IF(ISBLANK($C460),"",$CA460)</f>
        <v/>
      </c>
      <c r="CL460" s="98" t="str">
        <f aca="false">IF(ISBLANK($C460),"",$BZ460)</f>
        <v/>
      </c>
      <c r="CM460" s="99" t="str">
        <f aca="false">IF(ISBLANK($C460),"",IF($CL460=Constants!$B$7,COUNTA($C$9:$C$508)+2,IF($CL460=Constants!$B$6,COUNTA($C$9:$C$508)+1,IF($CL460=Constants!$B$5,COUNTA($C$9:$C$508),$CL460))))</f>
        <v/>
      </c>
      <c r="CN460" s="8"/>
      <c r="CO460" s="100" t="n">
        <f aca="false">IF(OR(ISNUMBER($CL460),$CL460=Constants!$B$7,$CL460=Constants!$B$5,$CL460=Constants!$B$6),1,0)</f>
        <v>0</v>
      </c>
      <c r="CP460" s="100" t="n">
        <v>452</v>
      </c>
      <c r="CQ460" s="100" t="str">
        <f aca="false">IF(ISBLANK($C460),"",IF(ISNUMBER($CM460),$CM460+ROW($B460)/1000,""))</f>
        <v/>
      </c>
      <c r="CR460" s="100" t="str">
        <f aca="false">IF(ISNUMBER($CQ460),RANK($CQ460,$CQ$9:$CQ$508,1),"")</f>
        <v/>
      </c>
      <c r="CS460" s="100" t="str">
        <f aca="false">IF(ISBLANK($C460),"",$B460)</f>
        <v/>
      </c>
      <c r="CT460" s="100" t="str">
        <f aca="false">IF(ISBLANK($C460),"",$C460)</f>
        <v/>
      </c>
      <c r="CU460" s="100" t="str">
        <f aca="false">IF(ISBLANK($C460),"",$D460)</f>
        <v/>
      </c>
      <c r="CV460" s="101" t="str">
        <f aca="false">$CJ460</f>
        <v/>
      </c>
      <c r="CW460" s="102" t="str">
        <f aca="false">$CI460</f>
        <v/>
      </c>
      <c r="CX460" s="100" t="str">
        <f aca="false">IF(ISBLANK($C460),"",$CL460)</f>
        <v/>
      </c>
      <c r="CY460" s="103" t="str">
        <f aca="false">IF($CP460&gt;$CO$8,"",VLOOKUP($CP460,$CR$9:$CX$508,7,FALSE()))</f>
        <v/>
      </c>
      <c r="CZ460" s="104" t="str">
        <f aca="false">IF($CP460&gt;$CO$8,"",VLOOKUP($CP460,$CR$9:$CX$508,2,FALSE()))</f>
        <v/>
      </c>
      <c r="DA460" s="104" t="str">
        <f aca="false">IF($CP460&gt;$CO$8,"",VLOOKUP($CP460,$CR$9:$CX$508,3,FALSE()))</f>
        <v/>
      </c>
      <c r="DB460" s="104" t="str">
        <f aca="false">IF($CP460&gt;$CO$8,"",VLOOKUP($CP460,$CR$9:$CX$508,4,FALSE()))</f>
        <v/>
      </c>
      <c r="DC460" s="104" t="str">
        <f aca="false">IF($CP460&gt;$CO$8,"",VLOOKUP($CP460,$CR$9:$CX$508,5,FALSE()))</f>
        <v/>
      </c>
      <c r="DD460" s="105" t="str">
        <f aca="false">IF($CP460&gt;$CO$8,"",VLOOKUP($CP460,$CR$9:$CX$508,6,FALSE()))</f>
        <v/>
      </c>
      <c r="DE460" s="70"/>
    </row>
    <row r="461" customFormat="false" ht="15.75" hidden="false" customHeight="false" outlineLevel="0" collapsed="false">
      <c r="A461" s="8"/>
      <c r="B461" s="72"/>
      <c r="C461" s="73"/>
      <c r="D461" s="155"/>
      <c r="E461" s="162"/>
      <c r="F461" s="157"/>
      <c r="G461" s="77"/>
      <c r="H461" s="77"/>
      <c r="I461" s="77"/>
      <c r="J461" s="163"/>
      <c r="K461" s="161"/>
      <c r="L461" s="161"/>
      <c r="M461" s="80"/>
      <c r="N461" s="161"/>
      <c r="O461" s="160"/>
      <c r="P461" s="161"/>
      <c r="Q461" s="161"/>
      <c r="R461" s="161"/>
      <c r="S461" s="77"/>
      <c r="T461" s="161"/>
      <c r="U461" s="160"/>
      <c r="V461" s="161"/>
      <c r="W461" s="85"/>
      <c r="X461" s="86" t="str">
        <f aca="false">IF(ISBLANK($C461),"",IF($E461=Constants!$B$2,TRUE(),IF($E461=Constants!$B$3,FALSE(),TRUE())))</f>
        <v/>
      </c>
      <c r="Y461" s="86" t="str">
        <f aca="false">IF(ISBLANK($C461),"",IF($F461=Constants!$B$2,TRUE(),IF($F461=Constants!$B$3,FALSE(),TRUE())))</f>
        <v/>
      </c>
      <c r="Z461" s="87" t="str">
        <f aca="false">IF(ISBLANK($C461),"",IF(ISNUMBER($G461),IF($G461&gt;=0,$G461,""),""))</f>
        <v/>
      </c>
      <c r="AA461" s="87" t="str">
        <f aca="false">IF(ISBLANK($C461),"",IF(ISNUMBER($H461),IF($H461&gt;=0,$H461,""),""))</f>
        <v/>
      </c>
      <c r="AB461" s="87" t="str">
        <f aca="false">IF(ISBLANK($C461),"",IF(ISNUMBER($I461),IF($I461&gt;=0,$I461,""),""))</f>
        <v/>
      </c>
      <c r="AC461" s="86" t="str">
        <f aca="false">IF(ISBLANK($C461),"",IF($J461=Constants!$B$2,TRUE(),IF($J461=Constants!$B$3,FALSE(),TRUE())))</f>
        <v/>
      </c>
      <c r="AD461" s="86" t="str">
        <f aca="false">IF(ISBLANK($C461),"",IF($K461=Constants!$B$2,TRUE(),IF($K461=Constants!$B$3,FALSE(),TRUE())))</f>
        <v/>
      </c>
      <c r="AE461" s="86" t="str">
        <f aca="false">IF(ISBLANK($C461),"",IF($L461=Constants!$B$2,TRUE(),IF($L461=Constants!$B$3,FALSE(),TRUE())))</f>
        <v/>
      </c>
      <c r="AF461" s="88" t="str">
        <f aca="false">IF(ISBLANK($C461),"",IF(ISNUMBER($M461),IF($M461&gt;=0,$M461,""),""))</f>
        <v/>
      </c>
      <c r="AG461" s="86" t="str">
        <f aca="false">IF(ISBLANK($C461),"",IF(ISBLANK($N461),0,IF(ISNUMBER($N461),IF(AND($N461&gt;=0,$N461&lt;=Constants!$B$17,$N461=INT($N461)),$N461,""),"")))</f>
        <v/>
      </c>
      <c r="AH461" s="87" t="str">
        <f aca="false">IF(ISBLANK($C461),"",IF(ISBLANK($O461),0,IF(ISNUMBER($O461),IF($O461&gt;=0,$O461,""),"")))</f>
        <v/>
      </c>
      <c r="AI461" s="86" t="str">
        <f aca="false">IF(ISBLANK($C461),"",IF($P461=Constants!$B$2,TRUE(),IF($P461=Constants!$B$3,FALSE(),TRUE())))</f>
        <v/>
      </c>
      <c r="AJ461" s="86" t="str">
        <f aca="false">IF(ISBLANK($C461),"",IF($Q461=Constants!$B$2,TRUE(),IF($Q461=Constants!$B$3,FALSE(),TRUE())))</f>
        <v/>
      </c>
      <c r="AK461" s="86" t="str">
        <f aca="false">IF(ISBLANK($C461),"",IF($R461=Constants!$B$2,TRUE(),IF($R461=Constants!$B$3,FALSE(),TRUE())))</f>
        <v/>
      </c>
      <c r="AL461" s="88" t="str">
        <f aca="false">IF(ISBLANK($C461),"",IF(ISNUMBER($S461),IF($S461&gt;=0,$S461,""),""))</f>
        <v/>
      </c>
      <c r="AM461" s="86" t="str">
        <f aca="false">IF(ISBLANK($C461),"",IF(ISBLANK($T461),0,IF(ISNUMBER($T461),IF(AND($T461&gt;=0,$T461&lt;=Constants!$B$17,$T461=INT($T461)),$T461,""),"")))</f>
        <v/>
      </c>
      <c r="AN461" s="87" t="str">
        <f aca="false">IF(ISBLANK($C461),"",IF(ISBLANK($U461),0,IF(ISNUMBER($U461),IF($U461&gt;=0,$U461,""),"")))</f>
        <v/>
      </c>
      <c r="AO461" s="86" t="str">
        <f aca="false">IF(ISBLANK($C461),"",IF($V461=Constants!$B$2,TRUE(),IF($V461=Constants!$B$3,FALSE(),FALSE())))</f>
        <v/>
      </c>
      <c r="AP461" s="86"/>
      <c r="AQ461" s="85" t="str">
        <f aca="false">IF(ISBLANK($C461),"",AND($Y461,OR($AS461,$BC461),OR($Z461="",$AA461="",$AB461="")))</f>
        <v/>
      </c>
      <c r="AR461" s="85" t="str">
        <f aca="false">IF(ISBLANK($C461),"",IF(OR(NOT($Y461),NOT(OR($AS461,$BC461))),"",IF(ISBLANK($D$7),$AR$5,IF($AP$9="",$AR$6,""))))</f>
        <v/>
      </c>
      <c r="AS461" s="85" t="str">
        <f aca="false">IF(ISBLANK($C461),"",COUNTA($J461:$O461)&gt;0)</f>
        <v/>
      </c>
      <c r="AT461" s="85" t="str">
        <f aca="false">IF(ISBLANK($C461),"",AND($AS461,OR(AND($AF461="",OR($AE461,NOT(ISBLANK($M461)))),$AG461="",$AH461="")))</f>
        <v/>
      </c>
      <c r="AU461" s="87" t="str">
        <f aca="false">IF($BL461&lt;&gt;Constants!$B$4,"",IF(NOT($AS461),"",ROUND((Constants!$B$12-$AB461)+(Constants!$B$13-$Z461)+(Constants!$B$14-$AA461),1)))</f>
        <v/>
      </c>
      <c r="AV461" s="90" t="str">
        <f aca="false">IF($BL461&lt;&gt;Constants!$B$4,"",IF(NOT($AS461),"",IF(NOT($AE461),0,Constants!$B$15*(INT(ROUND(MIN($AF461,$AP$9),6))-INT(ROUND(MAX(0,MIN($AF461,2*$AP$9)-$AP$9),6))))))</f>
        <v/>
      </c>
      <c r="AW461" s="90" t="str">
        <f aca="false">IF($BL461&lt;&gt;Constants!$B$4,"",IF(NOT($AS461),"",Constants!$B$16*$AG461))</f>
        <v/>
      </c>
      <c r="AX461" s="90" t="str">
        <f aca="false">IF($BL461&lt;&gt;Constants!$B$4,"",IF(NOT($AS461),"",Constants!$B$18*INT(ROUND($AH461,6))))</f>
        <v/>
      </c>
      <c r="AY461" s="85" t="str">
        <f aca="false">IF($BL461&lt;&gt;Constants!$B$4,"",IF(NOT($AS461),"",IF(NOT($X461),Constants!$B$11,IF(OR(NOT($AC461),NOT($AD461),ROUND($AB461,1)&gt;Constants!$B$12,ROUND($Z461,1)&gt;Constants!$B$13,ROUND($AA461,1)&gt;Constants!$B$14),Constants!$B$10,Constants!$B$9))))</f>
        <v/>
      </c>
      <c r="AZ461" s="91" t="str">
        <f aca="false">IF($BL461&lt;&gt;Constants!$B$4,"",IF(NOT($AS461),"",ROUND($AU461+$AV461+$AW461+$AX461,1)))</f>
        <v/>
      </c>
      <c r="BA461" s="92" t="str">
        <f aca="false">IF($BL461&lt;&gt;Constants!$B$4,"",IF(NOT($AS461),"",IF(ISNUMBER($AF461),$AF461,0)))</f>
        <v/>
      </c>
      <c r="BB461" s="86" t="str">
        <f aca="false">IF($BL461&lt;&gt;Constants!$B$4,"",IF(NOT($BC461),"&lt;-",IF(NOT($AS461),"-&gt;",IF(OR($BI461&lt;$AY461,AND($BI461=$AY461,OR($BJ461&gt;$AZ461,AND($BJ461=$AZ461,OR($BH461&gt;$AX461,AND($BH461=$AX461,OR($BE461&gt;$AU461,AND($BE461=$AU461,OR($BF461&gt;$AV461,AND($BF461=$AV461,$BK461&gt;$BA461)))))))))),"-&gt;","&lt;-"))))</f>
        <v/>
      </c>
      <c r="BC461" s="85" t="str">
        <f aca="false">IF(ISBLANK($C461),"",COUNTA($P461:$U461)&gt;0)</f>
        <v/>
      </c>
      <c r="BD461" s="85" t="str">
        <f aca="false">IF(ISBLANK($C461),"",AND($BC461,OR(AND($AL461="",OR($AK461,NOT(ISBLANK($S461)))),$AM461="",$AN461="")))</f>
        <v/>
      </c>
      <c r="BE461" s="87" t="str">
        <f aca="false">IF($BL461&lt;&gt;Constants!$B$4,"",IF(NOT($BC461),"",ROUND((Constants!$B$12-$AB461)+(Constants!$B$13-$Z461)+(Constants!$B$14-$AA461),1)))</f>
        <v/>
      </c>
      <c r="BF461" s="90" t="str">
        <f aca="false">IF($BL461&lt;&gt;Constants!$B$4,"",IF(NOT($BC461),"",IF(NOT($AK461),0,Constants!$B$15*(INT(ROUND(MIN($AL461,$AP$9),6))-INT(ROUND(MAX(0,MIN($AL461,2*$AP$9)-$AP$9),6))))))</f>
        <v/>
      </c>
      <c r="BG461" s="90" t="str">
        <f aca="false">IF($BL461&lt;&gt;Constants!$B$4,"",IF(NOT($BC461),"",Constants!$B$16*$AM461))</f>
        <v/>
      </c>
      <c r="BH461" s="90" t="str">
        <f aca="false">IF($BL461&lt;&gt;Constants!$B$4,"",IF(NOT($BC461),"",Constants!$B$18*INT(ROUND($AN461,6))))</f>
        <v/>
      </c>
      <c r="BI461" s="85" t="str">
        <f aca="false">IF($BL461&lt;&gt;Constants!$B$4,"",IF(NOT($BC461),"",IF(NOT($X461),Constants!$B$11,IF(OR(NOT($AI461),NOT($AJ461),ROUND($AB461,1)&gt;Constants!$B$12,ROUND($Z461,1)&gt;Constants!$B$13,ROUND($AA461,1)&gt;Constants!$B$14),Constants!$B$10,Constants!$B$9))))</f>
        <v/>
      </c>
      <c r="BJ461" s="91" t="str">
        <f aca="false">IF($BL461&lt;&gt;Constants!$B$4,"",IF(NOT($BC461),"",ROUND($BE461+$BF461+$BG461+$BH461,1)))</f>
        <v/>
      </c>
      <c r="BK461" s="92" t="str">
        <f aca="false">IF($BL461&lt;&gt;Constants!$B$4,"",IF(NOT($BC461),"",IF(ISNUMBER($AL461),$AL461,0)))</f>
        <v/>
      </c>
      <c r="BL461" s="86" t="str">
        <f aca="false">IF(ISBLANK($C461),"",IF($AO461,Constants!$B$7,IF(COUNTA($E461:$V461)=0,Constants!$B$6,IF(NOT($Y461),Constants!$B$5,IF(NOT(OR($AS461,$BC461)),Constants!$B$5,IF(OR($AT461,$BD461,$AQ461,$AR461&lt;&gt;""),Constants!$B$8,Constants!$B$4))))))</f>
        <v/>
      </c>
      <c r="BM461" s="86" t="str">
        <f aca="false">IF(ISBLANK($C461),"",IF($BL461&lt;&gt;Constants!$B$4,$BL461,IF($BB461="-&gt;",$BI461,$AY461)))</f>
        <v/>
      </c>
      <c r="BN461" s="90" t="str">
        <f aca="false">IF($BL461&lt;&gt;Constants!$B$4,"",IF($BB461="-&gt;",$BJ461,$AZ461))</f>
        <v/>
      </c>
      <c r="BO461" s="90" t="str">
        <f aca="false">IF(ISBLANK($C461),"",IF($BL461&lt;&gt;Constants!$B$4,$BL461,$BN461))</f>
        <v/>
      </c>
      <c r="BP461" s="86" t="str">
        <f aca="false">IF(ISBLANK($C461),"",IF($BL461&lt;&gt;Constants!$B$4,$BL461,RANK($BO461,$BO$9:$BO$508,0)))</f>
        <v/>
      </c>
      <c r="BQ461" s="86" t="str">
        <f aca="false">IF(ISBLANK($C461),"",IF($BL461&lt;&gt;Constants!$B$4,$BL461,COUNTIFS($BM$9:$BM$508,"&lt;"&amp;$BM461)+COUNTIFS($BM$9:$BM$508,$BM461,$BP$9:$BP$508,"&lt;"&amp;$BP461)+1))</f>
        <v/>
      </c>
      <c r="BR461" s="90" t="str">
        <f aca="false">IF($BL461&lt;&gt;Constants!$B$4,"",IF($BB461="-&gt;",$BH461,$AX461))</f>
        <v/>
      </c>
      <c r="BS461" s="86" t="str">
        <f aca="false">IF(ISBLANK($C461),"",IF($BL461&lt;&gt;Constants!$B$4,$BL461,IF(ISNUMBER($BR461),RANK($BR461,$BR$9:$BR$508,0),COUNT($BR$9:$BR$508)+1)))</f>
        <v/>
      </c>
      <c r="BT461" s="90" t="str">
        <f aca="false">IF($BL461&lt;&gt;Constants!$B$4,"",IF($BB461="-&gt;",$BE461,$AU461))</f>
        <v/>
      </c>
      <c r="BU461" s="86" t="str">
        <f aca="false">IF(ISBLANK($C461),"",IF($BL461&lt;&gt;Constants!$B$4,$BL461,IF(ISNUMBER($BT461),RANK($BT461,$BT$9:$BT$508,0),COUNT($BT$9:$BT$508)+1)))</f>
        <v/>
      </c>
      <c r="BV461" s="90" t="str">
        <f aca="false">IF($BL461&lt;&gt;Constants!$B$4,"",IF($BB461="-&gt;",$BF461,$AV461))</f>
        <v/>
      </c>
      <c r="BW461" s="86" t="str">
        <f aca="false">IF(ISBLANK($C461),"",IF($BL461&lt;&gt;Constants!$B$4,$BL461,IF(ISNUMBER($BV461),RANK($BV461,$BV$9:$BV$508,0),COUNT($BV$9:$BV$508)+1)))</f>
        <v/>
      </c>
      <c r="BX461" s="90" t="str">
        <f aca="false">IF($BL461&lt;&gt;Constants!$B$4,"",IF($BB461="-&gt;",$BK461,$BA461))</f>
        <v/>
      </c>
      <c r="BY461" s="86" t="str">
        <f aca="false">IF(ISBLANK($C461),"",IF($BL461&lt;&gt;Constants!$B$4,$BL461,IF(ISNUMBER($BX461),RANK($BX461,$BX$9:$BX$508,0),COUNT($BX$9:$BX$508)+1)))</f>
        <v/>
      </c>
      <c r="BZ461" s="86" t="str">
        <f aca="false">IF(ISBLANK($C461),"",IF($BL461&lt;&gt;Constants!$B$4,$BL461,COUNTIFS($BM$9:$BM$508,"&lt;"&amp;$BM461)+COUNTIFS($BM$9:$BM$508,$BM461,$BP$9:$BP$508,"&lt;"&amp;$BP461)+COUNTIFS($BM$9:$BM$508,$BM461,$BP$9:$BP$508,$BP461,$BS$9:$BS$508,"&lt;"&amp;$BS461)+COUNTIFS($BM$9:$BM$508,$BM461,$BP$9:$BP$508,$BP461,$BS$9:$BS$508,$BS461,$BU$9:$BU$508,"&lt;"&amp;$BU461)+COUNTIFS($BM$9:$BM$508,$BM461,$BP$9:$BP$508,$BP461,$BS$9:$BS$508,$BS461,$BU$9:$BU$508,$BU461,$BW$9:$BW$508,"&lt;"&amp;$BW461)+COUNTIFS($BM$9:$BM$508,$BM461,$BP$9:$BP$508,$BP461,$BS$9:$BS$508,$BS461,$BU$9:$BU$508,$BU461,$BW$9:$BW$508,$BW461,$BY$9:$BY$508,"&lt;"&amp;$BY461)+1))</f>
        <v/>
      </c>
      <c r="CA461" s="86" t="str">
        <f aca="false">IF(ISBLANK($C461),"",IF($BL461&lt;&gt;Constants!$B$4,$BL461,$BQ461-$BZ461))</f>
        <v/>
      </c>
      <c r="CB461" s="93"/>
      <c r="CC461" s="94" t="str">
        <f aca="false">IF(ISBLANK($C461),"",IF($BL461=Constants!$B$8,$AR461,""))</f>
        <v/>
      </c>
      <c r="CD461" s="94" t="str">
        <f aca="false">IF(ISBLANK($C461),"",IF($BL461&lt;&gt;Constants!$B$4,"",IF($BB461="-&gt;",2,1)))</f>
        <v/>
      </c>
      <c r="CE461" s="95" t="str">
        <f aca="false">IF(ISBLANK($C461),"",IF($BL461&lt;&gt;Constants!$B$4,"",IF($BB461="-&gt;",$BE461,$AU461)))</f>
        <v/>
      </c>
      <c r="CF461" s="95" t="str">
        <f aca="false">IF(ISBLANK($C461),"",IF($BL461&lt;&gt;Constants!$B$4,"",IF($BB461="-&gt;",$BF461,$AV461)))</f>
        <v/>
      </c>
      <c r="CG461" s="95" t="str">
        <f aca="false">IF(ISBLANK($C461),"",IF($BL461&lt;&gt;Constants!$B$4,"",IF($BB461="-&gt;",$BG461,$AW461)))</f>
        <v/>
      </c>
      <c r="CH461" s="95" t="str">
        <f aca="false">IF(ISBLANK($C461),"",IF($BL461&lt;&gt;Constants!$B$4,"",IF($BB461="-&gt;",$BH461,$AX461)))</f>
        <v/>
      </c>
      <c r="CI461" s="96" t="str">
        <f aca="false">IF(ISBLANK($C461),"",$BO461)</f>
        <v/>
      </c>
      <c r="CJ461" s="97" t="str">
        <f aca="false">IF(ISBLANK($C461),"",$BM461)</f>
        <v/>
      </c>
      <c r="CK461" s="98" t="str">
        <f aca="false">IF(ISBLANK($C461),"",$CA461)</f>
        <v/>
      </c>
      <c r="CL461" s="98" t="str">
        <f aca="false">IF(ISBLANK($C461),"",$BZ461)</f>
        <v/>
      </c>
      <c r="CM461" s="99" t="str">
        <f aca="false">IF(ISBLANK($C461),"",IF($CL461=Constants!$B$7,COUNTA($C$9:$C$508)+2,IF($CL461=Constants!$B$6,COUNTA($C$9:$C$508)+1,IF($CL461=Constants!$B$5,COUNTA($C$9:$C$508),$CL461))))</f>
        <v/>
      </c>
      <c r="CN461" s="8"/>
      <c r="CO461" s="100" t="n">
        <f aca="false">IF(OR(ISNUMBER($CL461),$CL461=Constants!$B$7,$CL461=Constants!$B$5,$CL461=Constants!$B$6),1,0)</f>
        <v>0</v>
      </c>
      <c r="CP461" s="100" t="n">
        <v>453</v>
      </c>
      <c r="CQ461" s="100" t="str">
        <f aca="false">IF(ISBLANK($C461),"",IF(ISNUMBER($CM461),$CM461+ROW($B461)/1000,""))</f>
        <v/>
      </c>
      <c r="CR461" s="100" t="str">
        <f aca="false">IF(ISNUMBER($CQ461),RANK($CQ461,$CQ$9:$CQ$508,1),"")</f>
        <v/>
      </c>
      <c r="CS461" s="100" t="str">
        <f aca="false">IF(ISBLANK($C461),"",$B461)</f>
        <v/>
      </c>
      <c r="CT461" s="100" t="str">
        <f aca="false">IF(ISBLANK($C461),"",$C461)</f>
        <v/>
      </c>
      <c r="CU461" s="100" t="str">
        <f aca="false">IF(ISBLANK($C461),"",$D461)</f>
        <v/>
      </c>
      <c r="CV461" s="101" t="str">
        <f aca="false">$CJ461</f>
        <v/>
      </c>
      <c r="CW461" s="102" t="str">
        <f aca="false">$CI461</f>
        <v/>
      </c>
      <c r="CX461" s="100" t="str">
        <f aca="false">IF(ISBLANK($C461),"",$CL461)</f>
        <v/>
      </c>
      <c r="CY461" s="103" t="str">
        <f aca="false">IF($CP461&gt;$CO$8,"",VLOOKUP($CP461,$CR$9:$CX$508,7,FALSE()))</f>
        <v/>
      </c>
      <c r="CZ461" s="104" t="str">
        <f aca="false">IF($CP461&gt;$CO$8,"",VLOOKUP($CP461,$CR$9:$CX$508,2,FALSE()))</f>
        <v/>
      </c>
      <c r="DA461" s="104" t="str">
        <f aca="false">IF($CP461&gt;$CO$8,"",VLOOKUP($CP461,$CR$9:$CX$508,3,FALSE()))</f>
        <v/>
      </c>
      <c r="DB461" s="104" t="str">
        <f aca="false">IF($CP461&gt;$CO$8,"",VLOOKUP($CP461,$CR$9:$CX$508,4,FALSE()))</f>
        <v/>
      </c>
      <c r="DC461" s="104" t="str">
        <f aca="false">IF($CP461&gt;$CO$8,"",VLOOKUP($CP461,$CR$9:$CX$508,5,FALSE()))</f>
        <v/>
      </c>
      <c r="DD461" s="105" t="str">
        <f aca="false">IF($CP461&gt;$CO$8,"",VLOOKUP($CP461,$CR$9:$CX$508,6,FALSE()))</f>
        <v/>
      </c>
      <c r="DE461" s="70"/>
    </row>
    <row r="462" customFormat="false" ht="15.75" hidden="false" customHeight="false" outlineLevel="0" collapsed="false">
      <c r="A462" s="8"/>
      <c r="B462" s="146"/>
      <c r="C462" s="147"/>
      <c r="D462" s="148"/>
      <c r="E462" s="164"/>
      <c r="F462" s="150"/>
      <c r="G462" s="115"/>
      <c r="H462" s="115"/>
      <c r="I462" s="115"/>
      <c r="J462" s="165"/>
      <c r="K462" s="154"/>
      <c r="L462" s="154"/>
      <c r="M462" s="118"/>
      <c r="N462" s="154"/>
      <c r="O462" s="153"/>
      <c r="P462" s="154"/>
      <c r="Q462" s="154"/>
      <c r="R462" s="154"/>
      <c r="S462" s="115"/>
      <c r="T462" s="154"/>
      <c r="U462" s="153"/>
      <c r="V462" s="154"/>
      <c r="W462" s="123"/>
      <c r="X462" s="124" t="str">
        <f aca="false">IF(ISBLANK($C462),"",IF($E462=Constants!$B$2,TRUE(),IF($E462=Constants!$B$3,FALSE(),TRUE())))</f>
        <v/>
      </c>
      <c r="Y462" s="124" t="str">
        <f aca="false">IF(ISBLANK($C462),"",IF($F462=Constants!$B$2,TRUE(),IF($F462=Constants!$B$3,FALSE(),TRUE())))</f>
        <v/>
      </c>
      <c r="Z462" s="125" t="str">
        <f aca="false">IF(ISBLANK($C462),"",IF(ISNUMBER($G462),IF($G462&gt;=0,$G462,""),""))</f>
        <v/>
      </c>
      <c r="AA462" s="125" t="str">
        <f aca="false">IF(ISBLANK($C462),"",IF(ISNUMBER($H462),IF($H462&gt;=0,$H462,""),""))</f>
        <v/>
      </c>
      <c r="AB462" s="125" t="str">
        <f aca="false">IF(ISBLANK($C462),"",IF(ISNUMBER($I462),IF($I462&gt;=0,$I462,""),""))</f>
        <v/>
      </c>
      <c r="AC462" s="124" t="str">
        <f aca="false">IF(ISBLANK($C462),"",IF($J462=Constants!$B$2,TRUE(),IF($J462=Constants!$B$3,FALSE(),TRUE())))</f>
        <v/>
      </c>
      <c r="AD462" s="124" t="str">
        <f aca="false">IF(ISBLANK($C462),"",IF($K462=Constants!$B$2,TRUE(),IF($K462=Constants!$B$3,FALSE(),TRUE())))</f>
        <v/>
      </c>
      <c r="AE462" s="124" t="str">
        <f aca="false">IF(ISBLANK($C462),"",IF($L462=Constants!$B$2,TRUE(),IF($L462=Constants!$B$3,FALSE(),TRUE())))</f>
        <v/>
      </c>
      <c r="AF462" s="126" t="str">
        <f aca="false">IF(ISBLANK($C462),"",IF(ISNUMBER($M462),IF($M462&gt;=0,$M462,""),""))</f>
        <v/>
      </c>
      <c r="AG462" s="124" t="str">
        <f aca="false">IF(ISBLANK($C462),"",IF(ISBLANK($N462),0,IF(ISNUMBER($N462),IF(AND($N462&gt;=0,$N462&lt;=Constants!$B$17,$N462=INT($N462)),$N462,""),"")))</f>
        <v/>
      </c>
      <c r="AH462" s="125" t="str">
        <f aca="false">IF(ISBLANK($C462),"",IF(ISBLANK($O462),0,IF(ISNUMBER($O462),IF($O462&gt;=0,$O462,""),"")))</f>
        <v/>
      </c>
      <c r="AI462" s="124" t="str">
        <f aca="false">IF(ISBLANK($C462),"",IF($P462=Constants!$B$2,TRUE(),IF($P462=Constants!$B$3,FALSE(),TRUE())))</f>
        <v/>
      </c>
      <c r="AJ462" s="124" t="str">
        <f aca="false">IF(ISBLANK($C462),"",IF($Q462=Constants!$B$2,TRUE(),IF($Q462=Constants!$B$3,FALSE(),TRUE())))</f>
        <v/>
      </c>
      <c r="AK462" s="124" t="str">
        <f aca="false">IF(ISBLANK($C462),"",IF($R462=Constants!$B$2,TRUE(),IF($R462=Constants!$B$3,FALSE(),TRUE())))</f>
        <v/>
      </c>
      <c r="AL462" s="126" t="str">
        <f aca="false">IF(ISBLANK($C462),"",IF(ISNUMBER($S462),IF($S462&gt;=0,$S462,""),""))</f>
        <v/>
      </c>
      <c r="AM462" s="124" t="str">
        <f aca="false">IF(ISBLANK($C462),"",IF(ISBLANK($T462),0,IF(ISNUMBER($T462),IF(AND($T462&gt;=0,$T462&lt;=Constants!$B$17,$T462=INT($T462)),$T462,""),"")))</f>
        <v/>
      </c>
      <c r="AN462" s="125" t="str">
        <f aca="false">IF(ISBLANK($C462),"",IF(ISBLANK($U462),0,IF(ISNUMBER($U462),IF($U462&gt;=0,$U462,""),"")))</f>
        <v/>
      </c>
      <c r="AO462" s="124" t="str">
        <f aca="false">IF(ISBLANK($C462),"",IF($V462=Constants!$B$2,TRUE(),IF($V462=Constants!$B$3,FALSE(),FALSE())))</f>
        <v/>
      </c>
      <c r="AP462" s="124"/>
      <c r="AQ462" s="123" t="str">
        <f aca="false">IF(ISBLANK($C462),"",AND($Y462,OR($AS462,$BC462),OR($Z462="",$AA462="",$AB462="")))</f>
        <v/>
      </c>
      <c r="AR462" s="123" t="str">
        <f aca="false">IF(ISBLANK($C462),"",IF(OR(NOT($Y462),NOT(OR($AS462,$BC462))),"",IF(ISBLANK($D$7),$AR$5,IF($AP$9="",$AR$6,""))))</f>
        <v/>
      </c>
      <c r="AS462" s="123" t="str">
        <f aca="false">IF(ISBLANK($C462),"",COUNTA($J462:$O462)&gt;0)</f>
        <v/>
      </c>
      <c r="AT462" s="123" t="str">
        <f aca="false">IF(ISBLANK($C462),"",AND($AS462,OR(AND($AF462="",OR($AE462,NOT(ISBLANK($M462)))),$AG462="",$AH462="")))</f>
        <v/>
      </c>
      <c r="AU462" s="125" t="str">
        <f aca="false">IF($BL462&lt;&gt;Constants!$B$4,"",IF(NOT($AS462),"",ROUND((Constants!$B$12-$AB462)+(Constants!$B$13-$Z462)+(Constants!$B$14-$AA462),1)))</f>
        <v/>
      </c>
      <c r="AV462" s="127" t="str">
        <f aca="false">IF($BL462&lt;&gt;Constants!$B$4,"",IF(NOT($AS462),"",IF(NOT($AE462),0,Constants!$B$15*(INT(ROUND(MIN($AF462,$AP$9),6))-INT(ROUND(MAX(0,MIN($AF462,2*$AP$9)-$AP$9),6))))))</f>
        <v/>
      </c>
      <c r="AW462" s="127" t="str">
        <f aca="false">IF($BL462&lt;&gt;Constants!$B$4,"",IF(NOT($AS462),"",Constants!$B$16*$AG462))</f>
        <v/>
      </c>
      <c r="AX462" s="127" t="str">
        <f aca="false">IF($BL462&lt;&gt;Constants!$B$4,"",IF(NOT($AS462),"",Constants!$B$18*INT(ROUND($AH462,6))))</f>
        <v/>
      </c>
      <c r="AY462" s="123" t="str">
        <f aca="false">IF($BL462&lt;&gt;Constants!$B$4,"",IF(NOT($AS462),"",IF(NOT($X462),Constants!$B$11,IF(OR(NOT($AC462),NOT($AD462),ROUND($AB462,1)&gt;Constants!$B$12,ROUND($Z462,1)&gt;Constants!$B$13,ROUND($AA462,1)&gt;Constants!$B$14),Constants!$B$10,Constants!$B$9))))</f>
        <v/>
      </c>
      <c r="AZ462" s="128" t="str">
        <f aca="false">IF($BL462&lt;&gt;Constants!$B$4,"",IF(NOT($AS462),"",ROUND($AU462+$AV462+$AW462+$AX462,1)))</f>
        <v/>
      </c>
      <c r="BA462" s="129" t="str">
        <f aca="false">IF($BL462&lt;&gt;Constants!$B$4,"",IF(NOT($AS462),"",IF(ISNUMBER($AF462),$AF462,0)))</f>
        <v/>
      </c>
      <c r="BB462" s="124" t="str">
        <f aca="false">IF($BL462&lt;&gt;Constants!$B$4,"",IF(NOT($BC462),"&lt;-",IF(NOT($AS462),"-&gt;",IF(OR($BI462&lt;$AY462,AND($BI462=$AY462,OR($BJ462&gt;$AZ462,AND($BJ462=$AZ462,OR($BH462&gt;$AX462,AND($BH462=$AX462,OR($BE462&gt;$AU462,AND($BE462=$AU462,OR($BF462&gt;$AV462,AND($BF462=$AV462,$BK462&gt;$BA462)))))))))),"-&gt;","&lt;-"))))</f>
        <v/>
      </c>
      <c r="BC462" s="123" t="str">
        <f aca="false">IF(ISBLANK($C462),"",COUNTA($P462:$U462)&gt;0)</f>
        <v/>
      </c>
      <c r="BD462" s="123" t="str">
        <f aca="false">IF(ISBLANK($C462),"",AND($BC462,OR(AND($AL462="",OR($AK462,NOT(ISBLANK($S462)))),$AM462="",$AN462="")))</f>
        <v/>
      </c>
      <c r="BE462" s="125" t="str">
        <f aca="false">IF($BL462&lt;&gt;Constants!$B$4,"",IF(NOT($BC462),"",ROUND((Constants!$B$12-$AB462)+(Constants!$B$13-$Z462)+(Constants!$B$14-$AA462),1)))</f>
        <v/>
      </c>
      <c r="BF462" s="127" t="str">
        <f aca="false">IF($BL462&lt;&gt;Constants!$B$4,"",IF(NOT($BC462),"",IF(NOT($AK462),0,Constants!$B$15*(INT(ROUND(MIN($AL462,$AP$9),6))-INT(ROUND(MAX(0,MIN($AL462,2*$AP$9)-$AP$9),6))))))</f>
        <v/>
      </c>
      <c r="BG462" s="127" t="str">
        <f aca="false">IF($BL462&lt;&gt;Constants!$B$4,"",IF(NOT($BC462),"",Constants!$B$16*$AM462))</f>
        <v/>
      </c>
      <c r="BH462" s="127" t="str">
        <f aca="false">IF($BL462&lt;&gt;Constants!$B$4,"",IF(NOT($BC462),"",Constants!$B$18*INT(ROUND($AN462,6))))</f>
        <v/>
      </c>
      <c r="BI462" s="123" t="str">
        <f aca="false">IF($BL462&lt;&gt;Constants!$B$4,"",IF(NOT($BC462),"",IF(NOT($X462),Constants!$B$11,IF(OR(NOT($AI462),NOT($AJ462),ROUND($AB462,1)&gt;Constants!$B$12,ROUND($Z462,1)&gt;Constants!$B$13,ROUND($AA462,1)&gt;Constants!$B$14),Constants!$B$10,Constants!$B$9))))</f>
        <v/>
      </c>
      <c r="BJ462" s="128" t="str">
        <f aca="false">IF($BL462&lt;&gt;Constants!$B$4,"",IF(NOT($BC462),"",ROUND($BE462+$BF462+$BG462+$BH462,1)))</f>
        <v/>
      </c>
      <c r="BK462" s="129" t="str">
        <f aca="false">IF($BL462&lt;&gt;Constants!$B$4,"",IF(NOT($BC462),"",IF(ISNUMBER($AL462),$AL462,0)))</f>
        <v/>
      </c>
      <c r="BL462" s="124" t="str">
        <f aca="false">IF(ISBLANK($C462),"",IF($AO462,Constants!$B$7,IF(COUNTA($E462:$V462)=0,Constants!$B$6,IF(NOT($Y462),Constants!$B$5,IF(NOT(OR($AS462,$BC462)),Constants!$B$5,IF(OR($AT462,$BD462,$AQ462,$AR462&lt;&gt;""),Constants!$B$8,Constants!$B$4))))))</f>
        <v/>
      </c>
      <c r="BM462" s="124" t="str">
        <f aca="false">IF(ISBLANK($C462),"",IF($BL462&lt;&gt;Constants!$B$4,$BL462,IF($BB462="-&gt;",$BI462,$AY462)))</f>
        <v/>
      </c>
      <c r="BN462" s="127" t="str">
        <f aca="false">IF($BL462&lt;&gt;Constants!$B$4,"",IF($BB462="-&gt;",$BJ462,$AZ462))</f>
        <v/>
      </c>
      <c r="BO462" s="127" t="str">
        <f aca="false">IF(ISBLANK($C462),"",IF($BL462&lt;&gt;Constants!$B$4,$BL462,$BN462))</f>
        <v/>
      </c>
      <c r="BP462" s="124" t="str">
        <f aca="false">IF(ISBLANK($C462),"",IF($BL462&lt;&gt;Constants!$B$4,$BL462,RANK($BO462,$BO$9:$BO$508,0)))</f>
        <v/>
      </c>
      <c r="BQ462" s="124" t="str">
        <f aca="false">IF(ISBLANK($C462),"",IF($BL462&lt;&gt;Constants!$B$4,$BL462,COUNTIFS($BM$9:$BM$508,"&lt;"&amp;$BM462)+COUNTIFS($BM$9:$BM$508,$BM462,$BP$9:$BP$508,"&lt;"&amp;$BP462)+1))</f>
        <v/>
      </c>
      <c r="BR462" s="127" t="str">
        <f aca="false">IF($BL462&lt;&gt;Constants!$B$4,"",IF($BB462="-&gt;",$BH462,$AX462))</f>
        <v/>
      </c>
      <c r="BS462" s="124" t="str">
        <f aca="false">IF(ISBLANK($C462),"",IF($BL462&lt;&gt;Constants!$B$4,$BL462,IF(ISNUMBER($BR462),RANK($BR462,$BR$9:$BR$508,0),COUNT($BR$9:$BR$508)+1)))</f>
        <v/>
      </c>
      <c r="BT462" s="127" t="str">
        <f aca="false">IF($BL462&lt;&gt;Constants!$B$4,"",IF($BB462="-&gt;",$BE462,$AU462))</f>
        <v/>
      </c>
      <c r="BU462" s="124" t="str">
        <f aca="false">IF(ISBLANK($C462),"",IF($BL462&lt;&gt;Constants!$B$4,$BL462,IF(ISNUMBER($BT462),RANK($BT462,$BT$9:$BT$508,0),COUNT($BT$9:$BT$508)+1)))</f>
        <v/>
      </c>
      <c r="BV462" s="127" t="str">
        <f aca="false">IF($BL462&lt;&gt;Constants!$B$4,"",IF($BB462="-&gt;",$BF462,$AV462))</f>
        <v/>
      </c>
      <c r="BW462" s="124" t="str">
        <f aca="false">IF(ISBLANK($C462),"",IF($BL462&lt;&gt;Constants!$B$4,$BL462,IF(ISNUMBER($BV462),RANK($BV462,$BV$9:$BV$508,0),COUNT($BV$9:$BV$508)+1)))</f>
        <v/>
      </c>
      <c r="BX462" s="127" t="str">
        <f aca="false">IF($BL462&lt;&gt;Constants!$B$4,"",IF($BB462="-&gt;",$BK462,$BA462))</f>
        <v/>
      </c>
      <c r="BY462" s="124" t="str">
        <f aca="false">IF(ISBLANK($C462),"",IF($BL462&lt;&gt;Constants!$B$4,$BL462,IF(ISNUMBER($BX462),RANK($BX462,$BX$9:$BX$508,0),COUNT($BX$9:$BX$508)+1)))</f>
        <v/>
      </c>
      <c r="BZ462" s="124" t="str">
        <f aca="false">IF(ISBLANK($C462),"",IF($BL462&lt;&gt;Constants!$B$4,$BL462,COUNTIFS($BM$9:$BM$508,"&lt;"&amp;$BM462)+COUNTIFS($BM$9:$BM$508,$BM462,$BP$9:$BP$508,"&lt;"&amp;$BP462)+COUNTIFS($BM$9:$BM$508,$BM462,$BP$9:$BP$508,$BP462,$BS$9:$BS$508,"&lt;"&amp;$BS462)+COUNTIFS($BM$9:$BM$508,$BM462,$BP$9:$BP$508,$BP462,$BS$9:$BS$508,$BS462,$BU$9:$BU$508,"&lt;"&amp;$BU462)+COUNTIFS($BM$9:$BM$508,$BM462,$BP$9:$BP$508,$BP462,$BS$9:$BS$508,$BS462,$BU$9:$BU$508,$BU462,$BW$9:$BW$508,"&lt;"&amp;$BW462)+COUNTIFS($BM$9:$BM$508,$BM462,$BP$9:$BP$508,$BP462,$BS$9:$BS$508,$BS462,$BU$9:$BU$508,$BU462,$BW$9:$BW$508,$BW462,$BY$9:$BY$508,"&lt;"&amp;$BY462)+1))</f>
        <v/>
      </c>
      <c r="CA462" s="124" t="str">
        <f aca="false">IF(ISBLANK($C462),"",IF($BL462&lt;&gt;Constants!$B$4,$BL462,$BQ462-$BZ462))</f>
        <v/>
      </c>
      <c r="CB462" s="130"/>
      <c r="CC462" s="131" t="str">
        <f aca="false">IF(ISBLANK($C462),"",IF($BL462=Constants!$B$8,$AR462,""))</f>
        <v/>
      </c>
      <c r="CD462" s="131" t="str">
        <f aca="false">IF(ISBLANK($C462),"",IF($BL462&lt;&gt;Constants!$B$4,"",IF($BB462="-&gt;",2,1)))</f>
        <v/>
      </c>
      <c r="CE462" s="132" t="str">
        <f aca="false">IF(ISBLANK($C462),"",IF($BL462&lt;&gt;Constants!$B$4,"",IF($BB462="-&gt;",$BE462,$AU462)))</f>
        <v/>
      </c>
      <c r="CF462" s="132" t="str">
        <f aca="false">IF(ISBLANK($C462),"",IF($BL462&lt;&gt;Constants!$B$4,"",IF($BB462="-&gt;",$BF462,$AV462)))</f>
        <v/>
      </c>
      <c r="CG462" s="132" t="str">
        <f aca="false">IF(ISBLANK($C462),"",IF($BL462&lt;&gt;Constants!$B$4,"",IF($BB462="-&gt;",$BG462,$AW462)))</f>
        <v/>
      </c>
      <c r="CH462" s="132" t="str">
        <f aca="false">IF(ISBLANK($C462),"",IF($BL462&lt;&gt;Constants!$B$4,"",IF($BB462="-&gt;",$BH462,$AX462)))</f>
        <v/>
      </c>
      <c r="CI462" s="133" t="str">
        <f aca="false">IF(ISBLANK($C462),"",$BO462)</f>
        <v/>
      </c>
      <c r="CJ462" s="134" t="str">
        <f aca="false">IF(ISBLANK($C462),"",$BM462)</f>
        <v/>
      </c>
      <c r="CK462" s="135" t="str">
        <f aca="false">IF(ISBLANK($C462),"",$CA462)</f>
        <v/>
      </c>
      <c r="CL462" s="135" t="str">
        <f aca="false">IF(ISBLANK($C462),"",$BZ462)</f>
        <v/>
      </c>
      <c r="CM462" s="136" t="str">
        <f aca="false">IF(ISBLANK($C462),"",IF($CL462=Constants!$B$7,COUNTA($C$9:$C$508)+2,IF($CL462=Constants!$B$6,COUNTA($C$9:$C$508)+1,IF($CL462=Constants!$B$5,COUNTA($C$9:$C$508),$CL462))))</f>
        <v/>
      </c>
      <c r="CN462" s="8"/>
      <c r="CO462" s="137" t="n">
        <f aca="false">IF(OR(ISNUMBER($CL462),$CL462=Constants!$B$7,$CL462=Constants!$B$5,$CL462=Constants!$B$6),1,0)</f>
        <v>0</v>
      </c>
      <c r="CP462" s="137" t="n">
        <v>454</v>
      </c>
      <c r="CQ462" s="137" t="str">
        <f aca="false">IF(ISBLANK($C462),"",IF(ISNUMBER($CM462),$CM462+ROW($B462)/1000,""))</f>
        <v/>
      </c>
      <c r="CR462" s="137" t="str">
        <f aca="false">IF(ISNUMBER($CQ462),RANK($CQ462,$CQ$9:$CQ$508,1),"")</f>
        <v/>
      </c>
      <c r="CS462" s="137" t="str">
        <f aca="false">IF(ISBLANK($C462),"",$B462)</f>
        <v/>
      </c>
      <c r="CT462" s="137" t="str">
        <f aca="false">IF(ISBLANK($C462),"",$C462)</f>
        <v/>
      </c>
      <c r="CU462" s="137" t="str">
        <f aca="false">IF(ISBLANK($C462),"",$D462)</f>
        <v/>
      </c>
      <c r="CV462" s="138" t="str">
        <f aca="false">$CJ462</f>
        <v/>
      </c>
      <c r="CW462" s="139" t="str">
        <f aca="false">$CI462</f>
        <v/>
      </c>
      <c r="CX462" s="137" t="str">
        <f aca="false">IF(ISBLANK($C462),"",$CL462)</f>
        <v/>
      </c>
      <c r="CY462" s="140" t="str">
        <f aca="false">IF($CP462&gt;$CO$8,"",VLOOKUP($CP462,$CR$9:$CX$508,7,FALSE()))</f>
        <v/>
      </c>
      <c r="CZ462" s="141" t="str">
        <f aca="false">IF($CP462&gt;$CO$8,"",VLOOKUP($CP462,$CR$9:$CX$508,2,FALSE()))</f>
        <v/>
      </c>
      <c r="DA462" s="141" t="str">
        <f aca="false">IF($CP462&gt;$CO$8,"",VLOOKUP($CP462,$CR$9:$CX$508,3,FALSE()))</f>
        <v/>
      </c>
      <c r="DB462" s="141" t="str">
        <f aca="false">IF($CP462&gt;$CO$8,"",VLOOKUP($CP462,$CR$9:$CX$508,4,FALSE()))</f>
        <v/>
      </c>
      <c r="DC462" s="141" t="str">
        <f aca="false">IF($CP462&gt;$CO$8,"",VLOOKUP($CP462,$CR$9:$CX$508,5,FALSE()))</f>
        <v/>
      </c>
      <c r="DD462" s="142" t="str">
        <f aca="false">IF($CP462&gt;$CO$8,"",VLOOKUP($CP462,$CR$9:$CX$508,6,FALSE()))</f>
        <v/>
      </c>
      <c r="DE462" s="70"/>
    </row>
    <row r="463" customFormat="false" ht="15.75" hidden="false" customHeight="false" outlineLevel="0" collapsed="false">
      <c r="A463" s="8"/>
      <c r="B463" s="146"/>
      <c r="C463" s="147"/>
      <c r="D463" s="148"/>
      <c r="E463" s="164"/>
      <c r="F463" s="150"/>
      <c r="G463" s="115"/>
      <c r="H463" s="115"/>
      <c r="I463" s="115"/>
      <c r="J463" s="165"/>
      <c r="K463" s="154"/>
      <c r="L463" s="154"/>
      <c r="M463" s="118"/>
      <c r="N463" s="154"/>
      <c r="O463" s="153"/>
      <c r="P463" s="154"/>
      <c r="Q463" s="154"/>
      <c r="R463" s="154"/>
      <c r="S463" s="115"/>
      <c r="T463" s="154"/>
      <c r="U463" s="153"/>
      <c r="V463" s="154"/>
      <c r="W463" s="123"/>
      <c r="X463" s="124" t="str">
        <f aca="false">IF(ISBLANK($C463),"",IF($E463=Constants!$B$2,TRUE(),IF($E463=Constants!$B$3,FALSE(),TRUE())))</f>
        <v/>
      </c>
      <c r="Y463" s="124" t="str">
        <f aca="false">IF(ISBLANK($C463),"",IF($F463=Constants!$B$2,TRUE(),IF($F463=Constants!$B$3,FALSE(),TRUE())))</f>
        <v/>
      </c>
      <c r="Z463" s="125" t="str">
        <f aca="false">IF(ISBLANK($C463),"",IF(ISNUMBER($G463),IF($G463&gt;=0,$G463,""),""))</f>
        <v/>
      </c>
      <c r="AA463" s="125" t="str">
        <f aca="false">IF(ISBLANK($C463),"",IF(ISNUMBER($H463),IF($H463&gt;=0,$H463,""),""))</f>
        <v/>
      </c>
      <c r="AB463" s="125" t="str">
        <f aca="false">IF(ISBLANK($C463),"",IF(ISNUMBER($I463),IF($I463&gt;=0,$I463,""),""))</f>
        <v/>
      </c>
      <c r="AC463" s="124" t="str">
        <f aca="false">IF(ISBLANK($C463),"",IF($J463=Constants!$B$2,TRUE(),IF($J463=Constants!$B$3,FALSE(),TRUE())))</f>
        <v/>
      </c>
      <c r="AD463" s="124" t="str">
        <f aca="false">IF(ISBLANK($C463),"",IF($K463=Constants!$B$2,TRUE(),IF($K463=Constants!$B$3,FALSE(),TRUE())))</f>
        <v/>
      </c>
      <c r="AE463" s="124" t="str">
        <f aca="false">IF(ISBLANK($C463),"",IF($L463=Constants!$B$2,TRUE(),IF($L463=Constants!$B$3,FALSE(),TRUE())))</f>
        <v/>
      </c>
      <c r="AF463" s="126" t="str">
        <f aca="false">IF(ISBLANK($C463),"",IF(ISNUMBER($M463),IF($M463&gt;=0,$M463,""),""))</f>
        <v/>
      </c>
      <c r="AG463" s="124" t="str">
        <f aca="false">IF(ISBLANK($C463),"",IF(ISBLANK($N463),0,IF(ISNUMBER($N463),IF(AND($N463&gt;=0,$N463&lt;=Constants!$B$17,$N463=INT($N463)),$N463,""),"")))</f>
        <v/>
      </c>
      <c r="AH463" s="125" t="str">
        <f aca="false">IF(ISBLANK($C463),"",IF(ISBLANK($O463),0,IF(ISNUMBER($O463),IF($O463&gt;=0,$O463,""),"")))</f>
        <v/>
      </c>
      <c r="AI463" s="124" t="str">
        <f aca="false">IF(ISBLANK($C463),"",IF($P463=Constants!$B$2,TRUE(),IF($P463=Constants!$B$3,FALSE(),TRUE())))</f>
        <v/>
      </c>
      <c r="AJ463" s="124" t="str">
        <f aca="false">IF(ISBLANK($C463),"",IF($Q463=Constants!$B$2,TRUE(),IF($Q463=Constants!$B$3,FALSE(),TRUE())))</f>
        <v/>
      </c>
      <c r="AK463" s="124" t="str">
        <f aca="false">IF(ISBLANK($C463),"",IF($R463=Constants!$B$2,TRUE(),IF($R463=Constants!$B$3,FALSE(),TRUE())))</f>
        <v/>
      </c>
      <c r="AL463" s="126" t="str">
        <f aca="false">IF(ISBLANK($C463),"",IF(ISNUMBER($S463),IF($S463&gt;=0,$S463,""),""))</f>
        <v/>
      </c>
      <c r="AM463" s="124" t="str">
        <f aca="false">IF(ISBLANK($C463),"",IF(ISBLANK($T463),0,IF(ISNUMBER($T463),IF(AND($T463&gt;=0,$T463&lt;=Constants!$B$17,$T463=INT($T463)),$T463,""),"")))</f>
        <v/>
      </c>
      <c r="AN463" s="125" t="str">
        <f aca="false">IF(ISBLANK($C463),"",IF(ISBLANK($U463),0,IF(ISNUMBER($U463),IF($U463&gt;=0,$U463,""),"")))</f>
        <v/>
      </c>
      <c r="AO463" s="124" t="str">
        <f aca="false">IF(ISBLANK($C463),"",IF($V463=Constants!$B$2,TRUE(),IF($V463=Constants!$B$3,FALSE(),FALSE())))</f>
        <v/>
      </c>
      <c r="AP463" s="124"/>
      <c r="AQ463" s="123" t="str">
        <f aca="false">IF(ISBLANK($C463),"",AND($Y463,OR($AS463,$BC463),OR($Z463="",$AA463="",$AB463="")))</f>
        <v/>
      </c>
      <c r="AR463" s="123" t="str">
        <f aca="false">IF(ISBLANK($C463),"",IF(OR(NOT($Y463),NOT(OR($AS463,$BC463))),"",IF(ISBLANK($D$7),$AR$5,IF($AP$9="",$AR$6,""))))</f>
        <v/>
      </c>
      <c r="AS463" s="123" t="str">
        <f aca="false">IF(ISBLANK($C463),"",COUNTA($J463:$O463)&gt;0)</f>
        <v/>
      </c>
      <c r="AT463" s="123" t="str">
        <f aca="false">IF(ISBLANK($C463),"",AND($AS463,OR(AND($AF463="",OR($AE463,NOT(ISBLANK($M463)))),$AG463="",$AH463="")))</f>
        <v/>
      </c>
      <c r="AU463" s="125" t="str">
        <f aca="false">IF($BL463&lt;&gt;Constants!$B$4,"",IF(NOT($AS463),"",ROUND((Constants!$B$12-$AB463)+(Constants!$B$13-$Z463)+(Constants!$B$14-$AA463),1)))</f>
        <v/>
      </c>
      <c r="AV463" s="127" t="str">
        <f aca="false">IF($BL463&lt;&gt;Constants!$B$4,"",IF(NOT($AS463),"",IF(NOT($AE463),0,Constants!$B$15*(INT(ROUND(MIN($AF463,$AP$9),6))-INT(ROUND(MAX(0,MIN($AF463,2*$AP$9)-$AP$9),6))))))</f>
        <v/>
      </c>
      <c r="AW463" s="127" t="str">
        <f aca="false">IF($BL463&lt;&gt;Constants!$B$4,"",IF(NOT($AS463),"",Constants!$B$16*$AG463))</f>
        <v/>
      </c>
      <c r="AX463" s="127" t="str">
        <f aca="false">IF($BL463&lt;&gt;Constants!$B$4,"",IF(NOT($AS463),"",Constants!$B$18*INT(ROUND($AH463,6))))</f>
        <v/>
      </c>
      <c r="AY463" s="123" t="str">
        <f aca="false">IF($BL463&lt;&gt;Constants!$B$4,"",IF(NOT($AS463),"",IF(NOT($X463),Constants!$B$11,IF(OR(NOT($AC463),NOT($AD463),ROUND($AB463,1)&gt;Constants!$B$12,ROUND($Z463,1)&gt;Constants!$B$13,ROUND($AA463,1)&gt;Constants!$B$14),Constants!$B$10,Constants!$B$9))))</f>
        <v/>
      </c>
      <c r="AZ463" s="128" t="str">
        <f aca="false">IF($BL463&lt;&gt;Constants!$B$4,"",IF(NOT($AS463),"",ROUND($AU463+$AV463+$AW463+$AX463,1)))</f>
        <v/>
      </c>
      <c r="BA463" s="129" t="str">
        <f aca="false">IF($BL463&lt;&gt;Constants!$B$4,"",IF(NOT($AS463),"",IF(ISNUMBER($AF463),$AF463,0)))</f>
        <v/>
      </c>
      <c r="BB463" s="124" t="str">
        <f aca="false">IF($BL463&lt;&gt;Constants!$B$4,"",IF(NOT($BC463),"&lt;-",IF(NOT($AS463),"-&gt;",IF(OR($BI463&lt;$AY463,AND($BI463=$AY463,OR($BJ463&gt;$AZ463,AND($BJ463=$AZ463,OR($BH463&gt;$AX463,AND($BH463=$AX463,OR($BE463&gt;$AU463,AND($BE463=$AU463,OR($BF463&gt;$AV463,AND($BF463=$AV463,$BK463&gt;$BA463)))))))))),"-&gt;","&lt;-"))))</f>
        <v/>
      </c>
      <c r="BC463" s="123" t="str">
        <f aca="false">IF(ISBLANK($C463),"",COUNTA($P463:$U463)&gt;0)</f>
        <v/>
      </c>
      <c r="BD463" s="123" t="str">
        <f aca="false">IF(ISBLANK($C463),"",AND($BC463,OR(AND($AL463="",OR($AK463,NOT(ISBLANK($S463)))),$AM463="",$AN463="")))</f>
        <v/>
      </c>
      <c r="BE463" s="125" t="str">
        <f aca="false">IF($BL463&lt;&gt;Constants!$B$4,"",IF(NOT($BC463),"",ROUND((Constants!$B$12-$AB463)+(Constants!$B$13-$Z463)+(Constants!$B$14-$AA463),1)))</f>
        <v/>
      </c>
      <c r="BF463" s="127" t="str">
        <f aca="false">IF($BL463&lt;&gt;Constants!$B$4,"",IF(NOT($BC463),"",IF(NOT($AK463),0,Constants!$B$15*(INT(ROUND(MIN($AL463,$AP$9),6))-INT(ROUND(MAX(0,MIN($AL463,2*$AP$9)-$AP$9),6))))))</f>
        <v/>
      </c>
      <c r="BG463" s="127" t="str">
        <f aca="false">IF($BL463&lt;&gt;Constants!$B$4,"",IF(NOT($BC463),"",Constants!$B$16*$AM463))</f>
        <v/>
      </c>
      <c r="BH463" s="127" t="str">
        <f aca="false">IF($BL463&lt;&gt;Constants!$B$4,"",IF(NOT($BC463),"",Constants!$B$18*INT(ROUND($AN463,6))))</f>
        <v/>
      </c>
      <c r="BI463" s="123" t="str">
        <f aca="false">IF($BL463&lt;&gt;Constants!$B$4,"",IF(NOT($BC463),"",IF(NOT($X463),Constants!$B$11,IF(OR(NOT($AI463),NOT($AJ463),ROUND($AB463,1)&gt;Constants!$B$12,ROUND($Z463,1)&gt;Constants!$B$13,ROUND($AA463,1)&gt;Constants!$B$14),Constants!$B$10,Constants!$B$9))))</f>
        <v/>
      </c>
      <c r="BJ463" s="128" t="str">
        <f aca="false">IF($BL463&lt;&gt;Constants!$B$4,"",IF(NOT($BC463),"",ROUND($BE463+$BF463+$BG463+$BH463,1)))</f>
        <v/>
      </c>
      <c r="BK463" s="129" t="str">
        <f aca="false">IF($BL463&lt;&gt;Constants!$B$4,"",IF(NOT($BC463),"",IF(ISNUMBER($AL463),$AL463,0)))</f>
        <v/>
      </c>
      <c r="BL463" s="124" t="str">
        <f aca="false">IF(ISBLANK($C463),"",IF($AO463,Constants!$B$7,IF(COUNTA($E463:$V463)=0,Constants!$B$6,IF(NOT($Y463),Constants!$B$5,IF(NOT(OR($AS463,$BC463)),Constants!$B$5,IF(OR($AT463,$BD463,$AQ463,$AR463&lt;&gt;""),Constants!$B$8,Constants!$B$4))))))</f>
        <v/>
      </c>
      <c r="BM463" s="124" t="str">
        <f aca="false">IF(ISBLANK($C463),"",IF($BL463&lt;&gt;Constants!$B$4,$BL463,IF($BB463="-&gt;",$BI463,$AY463)))</f>
        <v/>
      </c>
      <c r="BN463" s="127" t="str">
        <f aca="false">IF($BL463&lt;&gt;Constants!$B$4,"",IF($BB463="-&gt;",$BJ463,$AZ463))</f>
        <v/>
      </c>
      <c r="BO463" s="127" t="str">
        <f aca="false">IF(ISBLANK($C463),"",IF($BL463&lt;&gt;Constants!$B$4,$BL463,$BN463))</f>
        <v/>
      </c>
      <c r="BP463" s="124" t="str">
        <f aca="false">IF(ISBLANK($C463),"",IF($BL463&lt;&gt;Constants!$B$4,$BL463,RANK($BO463,$BO$9:$BO$508,0)))</f>
        <v/>
      </c>
      <c r="BQ463" s="124" t="str">
        <f aca="false">IF(ISBLANK($C463),"",IF($BL463&lt;&gt;Constants!$B$4,$BL463,COUNTIFS($BM$9:$BM$508,"&lt;"&amp;$BM463)+COUNTIFS($BM$9:$BM$508,$BM463,$BP$9:$BP$508,"&lt;"&amp;$BP463)+1))</f>
        <v/>
      </c>
      <c r="BR463" s="127" t="str">
        <f aca="false">IF($BL463&lt;&gt;Constants!$B$4,"",IF($BB463="-&gt;",$BH463,$AX463))</f>
        <v/>
      </c>
      <c r="BS463" s="124" t="str">
        <f aca="false">IF(ISBLANK($C463),"",IF($BL463&lt;&gt;Constants!$B$4,$BL463,IF(ISNUMBER($BR463),RANK($BR463,$BR$9:$BR$508,0),COUNT($BR$9:$BR$508)+1)))</f>
        <v/>
      </c>
      <c r="BT463" s="127" t="str">
        <f aca="false">IF($BL463&lt;&gt;Constants!$B$4,"",IF($BB463="-&gt;",$BE463,$AU463))</f>
        <v/>
      </c>
      <c r="BU463" s="124" t="str">
        <f aca="false">IF(ISBLANK($C463),"",IF($BL463&lt;&gt;Constants!$B$4,$BL463,IF(ISNUMBER($BT463),RANK($BT463,$BT$9:$BT$508,0),COUNT($BT$9:$BT$508)+1)))</f>
        <v/>
      </c>
      <c r="BV463" s="127" t="str">
        <f aca="false">IF($BL463&lt;&gt;Constants!$B$4,"",IF($BB463="-&gt;",$BF463,$AV463))</f>
        <v/>
      </c>
      <c r="BW463" s="124" t="str">
        <f aca="false">IF(ISBLANK($C463),"",IF($BL463&lt;&gt;Constants!$B$4,$BL463,IF(ISNUMBER($BV463),RANK($BV463,$BV$9:$BV$508,0),COUNT($BV$9:$BV$508)+1)))</f>
        <v/>
      </c>
      <c r="BX463" s="127" t="str">
        <f aca="false">IF($BL463&lt;&gt;Constants!$B$4,"",IF($BB463="-&gt;",$BK463,$BA463))</f>
        <v/>
      </c>
      <c r="BY463" s="124" t="str">
        <f aca="false">IF(ISBLANK($C463),"",IF($BL463&lt;&gt;Constants!$B$4,$BL463,IF(ISNUMBER($BX463),RANK($BX463,$BX$9:$BX$508,0),COUNT($BX$9:$BX$508)+1)))</f>
        <v/>
      </c>
      <c r="BZ463" s="124" t="str">
        <f aca="false">IF(ISBLANK($C463),"",IF($BL463&lt;&gt;Constants!$B$4,$BL463,COUNTIFS($BM$9:$BM$508,"&lt;"&amp;$BM463)+COUNTIFS($BM$9:$BM$508,$BM463,$BP$9:$BP$508,"&lt;"&amp;$BP463)+COUNTIFS($BM$9:$BM$508,$BM463,$BP$9:$BP$508,$BP463,$BS$9:$BS$508,"&lt;"&amp;$BS463)+COUNTIFS($BM$9:$BM$508,$BM463,$BP$9:$BP$508,$BP463,$BS$9:$BS$508,$BS463,$BU$9:$BU$508,"&lt;"&amp;$BU463)+COUNTIFS($BM$9:$BM$508,$BM463,$BP$9:$BP$508,$BP463,$BS$9:$BS$508,$BS463,$BU$9:$BU$508,$BU463,$BW$9:$BW$508,"&lt;"&amp;$BW463)+COUNTIFS($BM$9:$BM$508,$BM463,$BP$9:$BP$508,$BP463,$BS$9:$BS$508,$BS463,$BU$9:$BU$508,$BU463,$BW$9:$BW$508,$BW463,$BY$9:$BY$508,"&lt;"&amp;$BY463)+1))</f>
        <v/>
      </c>
      <c r="CA463" s="124" t="str">
        <f aca="false">IF(ISBLANK($C463),"",IF($BL463&lt;&gt;Constants!$B$4,$BL463,$BQ463-$BZ463))</f>
        <v/>
      </c>
      <c r="CB463" s="130"/>
      <c r="CC463" s="131" t="str">
        <f aca="false">IF(ISBLANK($C463),"",IF($BL463=Constants!$B$8,$AR463,""))</f>
        <v/>
      </c>
      <c r="CD463" s="131" t="str">
        <f aca="false">IF(ISBLANK($C463),"",IF($BL463&lt;&gt;Constants!$B$4,"",IF($BB463="-&gt;",2,1)))</f>
        <v/>
      </c>
      <c r="CE463" s="132" t="str">
        <f aca="false">IF(ISBLANK($C463),"",IF($BL463&lt;&gt;Constants!$B$4,"",IF($BB463="-&gt;",$BE463,$AU463)))</f>
        <v/>
      </c>
      <c r="CF463" s="132" t="str">
        <f aca="false">IF(ISBLANK($C463),"",IF($BL463&lt;&gt;Constants!$B$4,"",IF($BB463="-&gt;",$BF463,$AV463)))</f>
        <v/>
      </c>
      <c r="CG463" s="132" t="str">
        <f aca="false">IF(ISBLANK($C463),"",IF($BL463&lt;&gt;Constants!$B$4,"",IF($BB463="-&gt;",$BG463,$AW463)))</f>
        <v/>
      </c>
      <c r="CH463" s="132" t="str">
        <f aca="false">IF(ISBLANK($C463),"",IF($BL463&lt;&gt;Constants!$B$4,"",IF($BB463="-&gt;",$BH463,$AX463)))</f>
        <v/>
      </c>
      <c r="CI463" s="133" t="str">
        <f aca="false">IF(ISBLANK($C463),"",$BO463)</f>
        <v/>
      </c>
      <c r="CJ463" s="134" t="str">
        <f aca="false">IF(ISBLANK($C463),"",$BM463)</f>
        <v/>
      </c>
      <c r="CK463" s="135" t="str">
        <f aca="false">IF(ISBLANK($C463),"",$CA463)</f>
        <v/>
      </c>
      <c r="CL463" s="135" t="str">
        <f aca="false">IF(ISBLANK($C463),"",$BZ463)</f>
        <v/>
      </c>
      <c r="CM463" s="136" t="str">
        <f aca="false">IF(ISBLANK($C463),"",IF($CL463=Constants!$B$7,COUNTA($C$9:$C$508)+2,IF($CL463=Constants!$B$6,COUNTA($C$9:$C$508)+1,IF($CL463=Constants!$B$5,COUNTA($C$9:$C$508),$CL463))))</f>
        <v/>
      </c>
      <c r="CN463" s="8"/>
      <c r="CO463" s="137" t="n">
        <f aca="false">IF(OR(ISNUMBER($CL463),$CL463=Constants!$B$7,$CL463=Constants!$B$5,$CL463=Constants!$B$6),1,0)</f>
        <v>0</v>
      </c>
      <c r="CP463" s="137" t="n">
        <v>455</v>
      </c>
      <c r="CQ463" s="137" t="str">
        <f aca="false">IF(ISBLANK($C463),"",IF(ISNUMBER($CM463),$CM463+ROW($B463)/1000,""))</f>
        <v/>
      </c>
      <c r="CR463" s="137" t="str">
        <f aca="false">IF(ISNUMBER($CQ463),RANK($CQ463,$CQ$9:$CQ$508,1),"")</f>
        <v/>
      </c>
      <c r="CS463" s="137" t="str">
        <f aca="false">IF(ISBLANK($C463),"",$B463)</f>
        <v/>
      </c>
      <c r="CT463" s="137" t="str">
        <f aca="false">IF(ISBLANK($C463),"",$C463)</f>
        <v/>
      </c>
      <c r="CU463" s="137" t="str">
        <f aca="false">IF(ISBLANK($C463),"",$D463)</f>
        <v/>
      </c>
      <c r="CV463" s="138" t="str">
        <f aca="false">$CJ463</f>
        <v/>
      </c>
      <c r="CW463" s="139" t="str">
        <f aca="false">$CI463</f>
        <v/>
      </c>
      <c r="CX463" s="137" t="str">
        <f aca="false">IF(ISBLANK($C463),"",$CL463)</f>
        <v/>
      </c>
      <c r="CY463" s="140" t="str">
        <f aca="false">IF($CP463&gt;$CO$8,"",VLOOKUP($CP463,$CR$9:$CX$508,7,FALSE()))</f>
        <v/>
      </c>
      <c r="CZ463" s="141" t="str">
        <f aca="false">IF($CP463&gt;$CO$8,"",VLOOKUP($CP463,$CR$9:$CX$508,2,FALSE()))</f>
        <v/>
      </c>
      <c r="DA463" s="141" t="str">
        <f aca="false">IF($CP463&gt;$CO$8,"",VLOOKUP($CP463,$CR$9:$CX$508,3,FALSE()))</f>
        <v/>
      </c>
      <c r="DB463" s="141" t="str">
        <f aca="false">IF($CP463&gt;$CO$8,"",VLOOKUP($CP463,$CR$9:$CX$508,4,FALSE()))</f>
        <v/>
      </c>
      <c r="DC463" s="141" t="str">
        <f aca="false">IF($CP463&gt;$CO$8,"",VLOOKUP($CP463,$CR$9:$CX$508,5,FALSE()))</f>
        <v/>
      </c>
      <c r="DD463" s="142" t="str">
        <f aca="false">IF($CP463&gt;$CO$8,"",VLOOKUP($CP463,$CR$9:$CX$508,6,FALSE()))</f>
        <v/>
      </c>
      <c r="DE463" s="70"/>
    </row>
    <row r="464" customFormat="false" ht="15.75" hidden="false" customHeight="false" outlineLevel="0" collapsed="false">
      <c r="A464" s="8"/>
      <c r="B464" s="146"/>
      <c r="C464" s="147"/>
      <c r="D464" s="148"/>
      <c r="E464" s="164"/>
      <c r="F464" s="150"/>
      <c r="G464" s="115"/>
      <c r="H464" s="115"/>
      <c r="I464" s="115"/>
      <c r="J464" s="165"/>
      <c r="K464" s="154"/>
      <c r="L464" s="154"/>
      <c r="M464" s="118"/>
      <c r="N464" s="154"/>
      <c r="O464" s="153"/>
      <c r="P464" s="154"/>
      <c r="Q464" s="154"/>
      <c r="R464" s="154"/>
      <c r="S464" s="115"/>
      <c r="T464" s="154"/>
      <c r="U464" s="153"/>
      <c r="V464" s="154"/>
      <c r="W464" s="123"/>
      <c r="X464" s="124" t="str">
        <f aca="false">IF(ISBLANK($C464),"",IF($E464=Constants!$B$2,TRUE(),IF($E464=Constants!$B$3,FALSE(),TRUE())))</f>
        <v/>
      </c>
      <c r="Y464" s="124" t="str">
        <f aca="false">IF(ISBLANK($C464),"",IF($F464=Constants!$B$2,TRUE(),IF($F464=Constants!$B$3,FALSE(),TRUE())))</f>
        <v/>
      </c>
      <c r="Z464" s="125" t="str">
        <f aca="false">IF(ISBLANK($C464),"",IF(ISNUMBER($G464),IF($G464&gt;=0,$G464,""),""))</f>
        <v/>
      </c>
      <c r="AA464" s="125" t="str">
        <f aca="false">IF(ISBLANK($C464),"",IF(ISNUMBER($H464),IF($H464&gt;=0,$H464,""),""))</f>
        <v/>
      </c>
      <c r="AB464" s="125" t="str">
        <f aca="false">IF(ISBLANK($C464),"",IF(ISNUMBER($I464),IF($I464&gt;=0,$I464,""),""))</f>
        <v/>
      </c>
      <c r="AC464" s="124" t="str">
        <f aca="false">IF(ISBLANK($C464),"",IF($J464=Constants!$B$2,TRUE(),IF($J464=Constants!$B$3,FALSE(),TRUE())))</f>
        <v/>
      </c>
      <c r="AD464" s="124" t="str">
        <f aca="false">IF(ISBLANK($C464),"",IF($K464=Constants!$B$2,TRUE(),IF($K464=Constants!$B$3,FALSE(),TRUE())))</f>
        <v/>
      </c>
      <c r="AE464" s="124" t="str">
        <f aca="false">IF(ISBLANK($C464),"",IF($L464=Constants!$B$2,TRUE(),IF($L464=Constants!$B$3,FALSE(),TRUE())))</f>
        <v/>
      </c>
      <c r="AF464" s="126" t="str">
        <f aca="false">IF(ISBLANK($C464),"",IF(ISNUMBER($M464),IF($M464&gt;=0,$M464,""),""))</f>
        <v/>
      </c>
      <c r="AG464" s="124" t="str">
        <f aca="false">IF(ISBLANK($C464),"",IF(ISBLANK($N464),0,IF(ISNUMBER($N464),IF(AND($N464&gt;=0,$N464&lt;=Constants!$B$17,$N464=INT($N464)),$N464,""),"")))</f>
        <v/>
      </c>
      <c r="AH464" s="125" t="str">
        <f aca="false">IF(ISBLANK($C464),"",IF(ISBLANK($O464),0,IF(ISNUMBER($O464),IF($O464&gt;=0,$O464,""),"")))</f>
        <v/>
      </c>
      <c r="AI464" s="124" t="str">
        <f aca="false">IF(ISBLANK($C464),"",IF($P464=Constants!$B$2,TRUE(),IF($P464=Constants!$B$3,FALSE(),TRUE())))</f>
        <v/>
      </c>
      <c r="AJ464" s="124" t="str">
        <f aca="false">IF(ISBLANK($C464),"",IF($Q464=Constants!$B$2,TRUE(),IF($Q464=Constants!$B$3,FALSE(),TRUE())))</f>
        <v/>
      </c>
      <c r="AK464" s="124" t="str">
        <f aca="false">IF(ISBLANK($C464),"",IF($R464=Constants!$B$2,TRUE(),IF($R464=Constants!$B$3,FALSE(),TRUE())))</f>
        <v/>
      </c>
      <c r="AL464" s="126" t="str">
        <f aca="false">IF(ISBLANK($C464),"",IF(ISNUMBER($S464),IF($S464&gt;=0,$S464,""),""))</f>
        <v/>
      </c>
      <c r="AM464" s="124" t="str">
        <f aca="false">IF(ISBLANK($C464),"",IF(ISBLANK($T464),0,IF(ISNUMBER($T464),IF(AND($T464&gt;=0,$T464&lt;=Constants!$B$17,$T464=INT($T464)),$T464,""),"")))</f>
        <v/>
      </c>
      <c r="AN464" s="125" t="str">
        <f aca="false">IF(ISBLANK($C464),"",IF(ISBLANK($U464),0,IF(ISNUMBER($U464),IF($U464&gt;=0,$U464,""),"")))</f>
        <v/>
      </c>
      <c r="AO464" s="124" t="str">
        <f aca="false">IF(ISBLANK($C464),"",IF($V464=Constants!$B$2,TRUE(),IF($V464=Constants!$B$3,FALSE(),FALSE())))</f>
        <v/>
      </c>
      <c r="AP464" s="124"/>
      <c r="AQ464" s="123" t="str">
        <f aca="false">IF(ISBLANK($C464),"",AND($Y464,OR($AS464,$BC464),OR($Z464="",$AA464="",$AB464="")))</f>
        <v/>
      </c>
      <c r="AR464" s="123" t="str">
        <f aca="false">IF(ISBLANK($C464),"",IF(OR(NOT($Y464),NOT(OR($AS464,$BC464))),"",IF(ISBLANK($D$7),$AR$5,IF($AP$9="",$AR$6,""))))</f>
        <v/>
      </c>
      <c r="AS464" s="123" t="str">
        <f aca="false">IF(ISBLANK($C464),"",COUNTA($J464:$O464)&gt;0)</f>
        <v/>
      </c>
      <c r="AT464" s="123" t="str">
        <f aca="false">IF(ISBLANK($C464),"",AND($AS464,OR(AND($AF464="",OR($AE464,NOT(ISBLANK($M464)))),$AG464="",$AH464="")))</f>
        <v/>
      </c>
      <c r="AU464" s="125" t="str">
        <f aca="false">IF($BL464&lt;&gt;Constants!$B$4,"",IF(NOT($AS464),"",ROUND((Constants!$B$12-$AB464)+(Constants!$B$13-$Z464)+(Constants!$B$14-$AA464),1)))</f>
        <v/>
      </c>
      <c r="AV464" s="127" t="str">
        <f aca="false">IF($BL464&lt;&gt;Constants!$B$4,"",IF(NOT($AS464),"",IF(NOT($AE464),0,Constants!$B$15*(INT(ROUND(MIN($AF464,$AP$9),6))-INT(ROUND(MAX(0,MIN($AF464,2*$AP$9)-$AP$9),6))))))</f>
        <v/>
      </c>
      <c r="AW464" s="127" t="str">
        <f aca="false">IF($BL464&lt;&gt;Constants!$B$4,"",IF(NOT($AS464),"",Constants!$B$16*$AG464))</f>
        <v/>
      </c>
      <c r="AX464" s="127" t="str">
        <f aca="false">IF($BL464&lt;&gt;Constants!$B$4,"",IF(NOT($AS464),"",Constants!$B$18*INT(ROUND($AH464,6))))</f>
        <v/>
      </c>
      <c r="AY464" s="123" t="str">
        <f aca="false">IF($BL464&lt;&gt;Constants!$B$4,"",IF(NOT($AS464),"",IF(NOT($X464),Constants!$B$11,IF(OR(NOT($AC464),NOT($AD464),ROUND($AB464,1)&gt;Constants!$B$12,ROUND($Z464,1)&gt;Constants!$B$13,ROUND($AA464,1)&gt;Constants!$B$14),Constants!$B$10,Constants!$B$9))))</f>
        <v/>
      </c>
      <c r="AZ464" s="128" t="str">
        <f aca="false">IF($BL464&lt;&gt;Constants!$B$4,"",IF(NOT($AS464),"",ROUND($AU464+$AV464+$AW464+$AX464,1)))</f>
        <v/>
      </c>
      <c r="BA464" s="129" t="str">
        <f aca="false">IF($BL464&lt;&gt;Constants!$B$4,"",IF(NOT($AS464),"",IF(ISNUMBER($AF464),$AF464,0)))</f>
        <v/>
      </c>
      <c r="BB464" s="124" t="str">
        <f aca="false">IF($BL464&lt;&gt;Constants!$B$4,"",IF(NOT($BC464),"&lt;-",IF(NOT($AS464),"-&gt;",IF(OR($BI464&lt;$AY464,AND($BI464=$AY464,OR($BJ464&gt;$AZ464,AND($BJ464=$AZ464,OR($BH464&gt;$AX464,AND($BH464=$AX464,OR($BE464&gt;$AU464,AND($BE464=$AU464,OR($BF464&gt;$AV464,AND($BF464=$AV464,$BK464&gt;$BA464)))))))))),"-&gt;","&lt;-"))))</f>
        <v/>
      </c>
      <c r="BC464" s="123" t="str">
        <f aca="false">IF(ISBLANK($C464),"",COUNTA($P464:$U464)&gt;0)</f>
        <v/>
      </c>
      <c r="BD464" s="123" t="str">
        <f aca="false">IF(ISBLANK($C464),"",AND($BC464,OR(AND($AL464="",OR($AK464,NOT(ISBLANK($S464)))),$AM464="",$AN464="")))</f>
        <v/>
      </c>
      <c r="BE464" s="125" t="str">
        <f aca="false">IF($BL464&lt;&gt;Constants!$B$4,"",IF(NOT($BC464),"",ROUND((Constants!$B$12-$AB464)+(Constants!$B$13-$Z464)+(Constants!$B$14-$AA464),1)))</f>
        <v/>
      </c>
      <c r="BF464" s="127" t="str">
        <f aca="false">IF($BL464&lt;&gt;Constants!$B$4,"",IF(NOT($BC464),"",IF(NOT($AK464),0,Constants!$B$15*(INT(ROUND(MIN($AL464,$AP$9),6))-INT(ROUND(MAX(0,MIN($AL464,2*$AP$9)-$AP$9),6))))))</f>
        <v/>
      </c>
      <c r="BG464" s="127" t="str">
        <f aca="false">IF($BL464&lt;&gt;Constants!$B$4,"",IF(NOT($BC464),"",Constants!$B$16*$AM464))</f>
        <v/>
      </c>
      <c r="BH464" s="127" t="str">
        <f aca="false">IF($BL464&lt;&gt;Constants!$B$4,"",IF(NOT($BC464),"",Constants!$B$18*INT(ROUND($AN464,6))))</f>
        <v/>
      </c>
      <c r="BI464" s="123" t="str">
        <f aca="false">IF($BL464&lt;&gt;Constants!$B$4,"",IF(NOT($BC464),"",IF(NOT($X464),Constants!$B$11,IF(OR(NOT($AI464),NOT($AJ464),ROUND($AB464,1)&gt;Constants!$B$12,ROUND($Z464,1)&gt;Constants!$B$13,ROUND($AA464,1)&gt;Constants!$B$14),Constants!$B$10,Constants!$B$9))))</f>
        <v/>
      </c>
      <c r="BJ464" s="128" t="str">
        <f aca="false">IF($BL464&lt;&gt;Constants!$B$4,"",IF(NOT($BC464),"",ROUND($BE464+$BF464+$BG464+$BH464,1)))</f>
        <v/>
      </c>
      <c r="BK464" s="129" t="str">
        <f aca="false">IF($BL464&lt;&gt;Constants!$B$4,"",IF(NOT($BC464),"",IF(ISNUMBER($AL464),$AL464,0)))</f>
        <v/>
      </c>
      <c r="BL464" s="124" t="str">
        <f aca="false">IF(ISBLANK($C464),"",IF($AO464,Constants!$B$7,IF(COUNTA($E464:$V464)=0,Constants!$B$6,IF(NOT($Y464),Constants!$B$5,IF(NOT(OR($AS464,$BC464)),Constants!$B$5,IF(OR($AT464,$BD464,$AQ464,$AR464&lt;&gt;""),Constants!$B$8,Constants!$B$4))))))</f>
        <v/>
      </c>
      <c r="BM464" s="124" t="str">
        <f aca="false">IF(ISBLANK($C464),"",IF($BL464&lt;&gt;Constants!$B$4,$BL464,IF($BB464="-&gt;",$BI464,$AY464)))</f>
        <v/>
      </c>
      <c r="BN464" s="127" t="str">
        <f aca="false">IF($BL464&lt;&gt;Constants!$B$4,"",IF($BB464="-&gt;",$BJ464,$AZ464))</f>
        <v/>
      </c>
      <c r="BO464" s="127" t="str">
        <f aca="false">IF(ISBLANK($C464),"",IF($BL464&lt;&gt;Constants!$B$4,$BL464,$BN464))</f>
        <v/>
      </c>
      <c r="BP464" s="124" t="str">
        <f aca="false">IF(ISBLANK($C464),"",IF($BL464&lt;&gt;Constants!$B$4,$BL464,RANK($BO464,$BO$9:$BO$508,0)))</f>
        <v/>
      </c>
      <c r="BQ464" s="124" t="str">
        <f aca="false">IF(ISBLANK($C464),"",IF($BL464&lt;&gt;Constants!$B$4,$BL464,COUNTIFS($BM$9:$BM$508,"&lt;"&amp;$BM464)+COUNTIFS($BM$9:$BM$508,$BM464,$BP$9:$BP$508,"&lt;"&amp;$BP464)+1))</f>
        <v/>
      </c>
      <c r="BR464" s="127" t="str">
        <f aca="false">IF($BL464&lt;&gt;Constants!$B$4,"",IF($BB464="-&gt;",$BH464,$AX464))</f>
        <v/>
      </c>
      <c r="BS464" s="124" t="str">
        <f aca="false">IF(ISBLANK($C464),"",IF($BL464&lt;&gt;Constants!$B$4,$BL464,IF(ISNUMBER($BR464),RANK($BR464,$BR$9:$BR$508,0),COUNT($BR$9:$BR$508)+1)))</f>
        <v/>
      </c>
      <c r="BT464" s="127" t="str">
        <f aca="false">IF($BL464&lt;&gt;Constants!$B$4,"",IF($BB464="-&gt;",$BE464,$AU464))</f>
        <v/>
      </c>
      <c r="BU464" s="124" t="str">
        <f aca="false">IF(ISBLANK($C464),"",IF($BL464&lt;&gt;Constants!$B$4,$BL464,IF(ISNUMBER($BT464),RANK($BT464,$BT$9:$BT$508,0),COUNT($BT$9:$BT$508)+1)))</f>
        <v/>
      </c>
      <c r="BV464" s="127" t="str">
        <f aca="false">IF($BL464&lt;&gt;Constants!$B$4,"",IF($BB464="-&gt;",$BF464,$AV464))</f>
        <v/>
      </c>
      <c r="BW464" s="124" t="str">
        <f aca="false">IF(ISBLANK($C464),"",IF($BL464&lt;&gt;Constants!$B$4,$BL464,IF(ISNUMBER($BV464),RANK($BV464,$BV$9:$BV$508,0),COUNT($BV$9:$BV$508)+1)))</f>
        <v/>
      </c>
      <c r="BX464" s="127" t="str">
        <f aca="false">IF($BL464&lt;&gt;Constants!$B$4,"",IF($BB464="-&gt;",$BK464,$BA464))</f>
        <v/>
      </c>
      <c r="BY464" s="124" t="str">
        <f aca="false">IF(ISBLANK($C464),"",IF($BL464&lt;&gt;Constants!$B$4,$BL464,IF(ISNUMBER($BX464),RANK($BX464,$BX$9:$BX$508,0),COUNT($BX$9:$BX$508)+1)))</f>
        <v/>
      </c>
      <c r="BZ464" s="124" t="str">
        <f aca="false">IF(ISBLANK($C464),"",IF($BL464&lt;&gt;Constants!$B$4,$BL464,COUNTIFS($BM$9:$BM$508,"&lt;"&amp;$BM464)+COUNTIFS($BM$9:$BM$508,$BM464,$BP$9:$BP$508,"&lt;"&amp;$BP464)+COUNTIFS($BM$9:$BM$508,$BM464,$BP$9:$BP$508,$BP464,$BS$9:$BS$508,"&lt;"&amp;$BS464)+COUNTIFS($BM$9:$BM$508,$BM464,$BP$9:$BP$508,$BP464,$BS$9:$BS$508,$BS464,$BU$9:$BU$508,"&lt;"&amp;$BU464)+COUNTIFS($BM$9:$BM$508,$BM464,$BP$9:$BP$508,$BP464,$BS$9:$BS$508,$BS464,$BU$9:$BU$508,$BU464,$BW$9:$BW$508,"&lt;"&amp;$BW464)+COUNTIFS($BM$9:$BM$508,$BM464,$BP$9:$BP$508,$BP464,$BS$9:$BS$508,$BS464,$BU$9:$BU$508,$BU464,$BW$9:$BW$508,$BW464,$BY$9:$BY$508,"&lt;"&amp;$BY464)+1))</f>
        <v/>
      </c>
      <c r="CA464" s="124" t="str">
        <f aca="false">IF(ISBLANK($C464),"",IF($BL464&lt;&gt;Constants!$B$4,$BL464,$BQ464-$BZ464))</f>
        <v/>
      </c>
      <c r="CB464" s="130"/>
      <c r="CC464" s="131" t="str">
        <f aca="false">IF(ISBLANK($C464),"",IF($BL464=Constants!$B$8,$AR464,""))</f>
        <v/>
      </c>
      <c r="CD464" s="131" t="str">
        <f aca="false">IF(ISBLANK($C464),"",IF($BL464&lt;&gt;Constants!$B$4,"",IF($BB464="-&gt;",2,1)))</f>
        <v/>
      </c>
      <c r="CE464" s="132" t="str">
        <f aca="false">IF(ISBLANK($C464),"",IF($BL464&lt;&gt;Constants!$B$4,"",IF($BB464="-&gt;",$BE464,$AU464)))</f>
        <v/>
      </c>
      <c r="CF464" s="132" t="str">
        <f aca="false">IF(ISBLANK($C464),"",IF($BL464&lt;&gt;Constants!$B$4,"",IF($BB464="-&gt;",$BF464,$AV464)))</f>
        <v/>
      </c>
      <c r="CG464" s="132" t="str">
        <f aca="false">IF(ISBLANK($C464),"",IF($BL464&lt;&gt;Constants!$B$4,"",IF($BB464="-&gt;",$BG464,$AW464)))</f>
        <v/>
      </c>
      <c r="CH464" s="132" t="str">
        <f aca="false">IF(ISBLANK($C464),"",IF($BL464&lt;&gt;Constants!$B$4,"",IF($BB464="-&gt;",$BH464,$AX464)))</f>
        <v/>
      </c>
      <c r="CI464" s="133" t="str">
        <f aca="false">IF(ISBLANK($C464),"",$BO464)</f>
        <v/>
      </c>
      <c r="CJ464" s="134" t="str">
        <f aca="false">IF(ISBLANK($C464),"",$BM464)</f>
        <v/>
      </c>
      <c r="CK464" s="135" t="str">
        <f aca="false">IF(ISBLANK($C464),"",$CA464)</f>
        <v/>
      </c>
      <c r="CL464" s="135" t="str">
        <f aca="false">IF(ISBLANK($C464),"",$BZ464)</f>
        <v/>
      </c>
      <c r="CM464" s="136" t="str">
        <f aca="false">IF(ISBLANK($C464),"",IF($CL464=Constants!$B$7,COUNTA($C$9:$C$508)+2,IF($CL464=Constants!$B$6,COUNTA($C$9:$C$508)+1,IF($CL464=Constants!$B$5,COUNTA($C$9:$C$508),$CL464))))</f>
        <v/>
      </c>
      <c r="CN464" s="8"/>
      <c r="CO464" s="137" t="n">
        <f aca="false">IF(OR(ISNUMBER($CL464),$CL464=Constants!$B$7,$CL464=Constants!$B$5,$CL464=Constants!$B$6),1,0)</f>
        <v>0</v>
      </c>
      <c r="CP464" s="137" t="n">
        <v>456</v>
      </c>
      <c r="CQ464" s="137" t="str">
        <f aca="false">IF(ISBLANK($C464),"",IF(ISNUMBER($CM464),$CM464+ROW($B464)/1000,""))</f>
        <v/>
      </c>
      <c r="CR464" s="137" t="str">
        <f aca="false">IF(ISNUMBER($CQ464),RANK($CQ464,$CQ$9:$CQ$508,1),"")</f>
        <v/>
      </c>
      <c r="CS464" s="137" t="str">
        <f aca="false">IF(ISBLANK($C464),"",$B464)</f>
        <v/>
      </c>
      <c r="CT464" s="137" t="str">
        <f aca="false">IF(ISBLANK($C464),"",$C464)</f>
        <v/>
      </c>
      <c r="CU464" s="137" t="str">
        <f aca="false">IF(ISBLANK($C464),"",$D464)</f>
        <v/>
      </c>
      <c r="CV464" s="138" t="str">
        <f aca="false">$CJ464</f>
        <v/>
      </c>
      <c r="CW464" s="139" t="str">
        <f aca="false">$CI464</f>
        <v/>
      </c>
      <c r="CX464" s="137" t="str">
        <f aca="false">IF(ISBLANK($C464),"",$CL464)</f>
        <v/>
      </c>
      <c r="CY464" s="140" t="str">
        <f aca="false">IF($CP464&gt;$CO$8,"",VLOOKUP($CP464,$CR$9:$CX$508,7,FALSE()))</f>
        <v/>
      </c>
      <c r="CZ464" s="141" t="str">
        <f aca="false">IF($CP464&gt;$CO$8,"",VLOOKUP($CP464,$CR$9:$CX$508,2,FALSE()))</f>
        <v/>
      </c>
      <c r="DA464" s="141" t="str">
        <f aca="false">IF($CP464&gt;$CO$8,"",VLOOKUP($CP464,$CR$9:$CX$508,3,FALSE()))</f>
        <v/>
      </c>
      <c r="DB464" s="141" t="str">
        <f aca="false">IF($CP464&gt;$CO$8,"",VLOOKUP($CP464,$CR$9:$CX$508,4,FALSE()))</f>
        <v/>
      </c>
      <c r="DC464" s="141" t="str">
        <f aca="false">IF($CP464&gt;$CO$8,"",VLOOKUP($CP464,$CR$9:$CX$508,5,FALSE()))</f>
        <v/>
      </c>
      <c r="DD464" s="142" t="str">
        <f aca="false">IF($CP464&gt;$CO$8,"",VLOOKUP($CP464,$CR$9:$CX$508,6,FALSE()))</f>
        <v/>
      </c>
      <c r="DE464" s="70"/>
    </row>
    <row r="465" customFormat="false" ht="15.75" hidden="false" customHeight="false" outlineLevel="0" collapsed="false">
      <c r="A465" s="8"/>
      <c r="B465" s="72"/>
      <c r="C465" s="73"/>
      <c r="D465" s="155"/>
      <c r="E465" s="162"/>
      <c r="F465" s="157"/>
      <c r="G465" s="77"/>
      <c r="H465" s="77"/>
      <c r="I465" s="77"/>
      <c r="J465" s="163"/>
      <c r="K465" s="161"/>
      <c r="L465" s="161"/>
      <c r="M465" s="80"/>
      <c r="N465" s="161"/>
      <c r="O465" s="160"/>
      <c r="P465" s="161"/>
      <c r="Q465" s="161"/>
      <c r="R465" s="161"/>
      <c r="S465" s="77"/>
      <c r="T465" s="161"/>
      <c r="U465" s="160"/>
      <c r="V465" s="161"/>
      <c r="W465" s="85"/>
      <c r="X465" s="86" t="str">
        <f aca="false">IF(ISBLANK($C465),"",IF($E465=Constants!$B$2,TRUE(),IF($E465=Constants!$B$3,FALSE(),TRUE())))</f>
        <v/>
      </c>
      <c r="Y465" s="86" t="str">
        <f aca="false">IF(ISBLANK($C465),"",IF($F465=Constants!$B$2,TRUE(),IF($F465=Constants!$B$3,FALSE(),TRUE())))</f>
        <v/>
      </c>
      <c r="Z465" s="87" t="str">
        <f aca="false">IF(ISBLANK($C465),"",IF(ISNUMBER($G465),IF($G465&gt;=0,$G465,""),""))</f>
        <v/>
      </c>
      <c r="AA465" s="87" t="str">
        <f aca="false">IF(ISBLANK($C465),"",IF(ISNUMBER($H465),IF($H465&gt;=0,$H465,""),""))</f>
        <v/>
      </c>
      <c r="AB465" s="87" t="str">
        <f aca="false">IF(ISBLANK($C465),"",IF(ISNUMBER($I465),IF($I465&gt;=0,$I465,""),""))</f>
        <v/>
      </c>
      <c r="AC465" s="86" t="str">
        <f aca="false">IF(ISBLANK($C465),"",IF($J465=Constants!$B$2,TRUE(),IF($J465=Constants!$B$3,FALSE(),TRUE())))</f>
        <v/>
      </c>
      <c r="AD465" s="86" t="str">
        <f aca="false">IF(ISBLANK($C465),"",IF($K465=Constants!$B$2,TRUE(),IF($K465=Constants!$B$3,FALSE(),TRUE())))</f>
        <v/>
      </c>
      <c r="AE465" s="86" t="str">
        <f aca="false">IF(ISBLANK($C465),"",IF($L465=Constants!$B$2,TRUE(),IF($L465=Constants!$B$3,FALSE(),TRUE())))</f>
        <v/>
      </c>
      <c r="AF465" s="88" t="str">
        <f aca="false">IF(ISBLANK($C465),"",IF(ISNUMBER($M465),IF($M465&gt;=0,$M465,""),""))</f>
        <v/>
      </c>
      <c r="AG465" s="86" t="str">
        <f aca="false">IF(ISBLANK($C465),"",IF(ISBLANK($N465),0,IF(ISNUMBER($N465),IF(AND($N465&gt;=0,$N465&lt;=Constants!$B$17,$N465=INT($N465)),$N465,""),"")))</f>
        <v/>
      </c>
      <c r="AH465" s="87" t="str">
        <f aca="false">IF(ISBLANK($C465),"",IF(ISBLANK($O465),0,IF(ISNUMBER($O465),IF($O465&gt;=0,$O465,""),"")))</f>
        <v/>
      </c>
      <c r="AI465" s="86" t="str">
        <f aca="false">IF(ISBLANK($C465),"",IF($P465=Constants!$B$2,TRUE(),IF($P465=Constants!$B$3,FALSE(),TRUE())))</f>
        <v/>
      </c>
      <c r="AJ465" s="86" t="str">
        <f aca="false">IF(ISBLANK($C465),"",IF($Q465=Constants!$B$2,TRUE(),IF($Q465=Constants!$B$3,FALSE(),TRUE())))</f>
        <v/>
      </c>
      <c r="AK465" s="86" t="str">
        <f aca="false">IF(ISBLANK($C465),"",IF($R465=Constants!$B$2,TRUE(),IF($R465=Constants!$B$3,FALSE(),TRUE())))</f>
        <v/>
      </c>
      <c r="AL465" s="88" t="str">
        <f aca="false">IF(ISBLANK($C465),"",IF(ISNUMBER($S465),IF($S465&gt;=0,$S465,""),""))</f>
        <v/>
      </c>
      <c r="AM465" s="86" t="str">
        <f aca="false">IF(ISBLANK($C465),"",IF(ISBLANK($T465),0,IF(ISNUMBER($T465),IF(AND($T465&gt;=0,$T465&lt;=Constants!$B$17,$T465=INT($T465)),$T465,""),"")))</f>
        <v/>
      </c>
      <c r="AN465" s="87" t="str">
        <f aca="false">IF(ISBLANK($C465),"",IF(ISBLANK($U465),0,IF(ISNUMBER($U465),IF($U465&gt;=0,$U465,""),"")))</f>
        <v/>
      </c>
      <c r="AO465" s="86" t="str">
        <f aca="false">IF(ISBLANK($C465),"",IF($V465=Constants!$B$2,TRUE(),IF($V465=Constants!$B$3,FALSE(),FALSE())))</f>
        <v/>
      </c>
      <c r="AP465" s="86"/>
      <c r="AQ465" s="85" t="str">
        <f aca="false">IF(ISBLANK($C465),"",AND($Y465,OR($AS465,$BC465),OR($Z465="",$AA465="",$AB465="")))</f>
        <v/>
      </c>
      <c r="AR465" s="85" t="str">
        <f aca="false">IF(ISBLANK($C465),"",IF(OR(NOT($Y465),NOT(OR($AS465,$BC465))),"",IF(ISBLANK($D$7),$AR$5,IF($AP$9="",$AR$6,""))))</f>
        <v/>
      </c>
      <c r="AS465" s="85" t="str">
        <f aca="false">IF(ISBLANK($C465),"",COUNTA($J465:$O465)&gt;0)</f>
        <v/>
      </c>
      <c r="AT465" s="85" t="str">
        <f aca="false">IF(ISBLANK($C465),"",AND($AS465,OR(AND($AF465="",OR($AE465,NOT(ISBLANK($M465)))),$AG465="",$AH465="")))</f>
        <v/>
      </c>
      <c r="AU465" s="87" t="str">
        <f aca="false">IF($BL465&lt;&gt;Constants!$B$4,"",IF(NOT($AS465),"",ROUND((Constants!$B$12-$AB465)+(Constants!$B$13-$Z465)+(Constants!$B$14-$AA465),1)))</f>
        <v/>
      </c>
      <c r="AV465" s="90" t="str">
        <f aca="false">IF($BL465&lt;&gt;Constants!$B$4,"",IF(NOT($AS465),"",IF(NOT($AE465),0,Constants!$B$15*(INT(ROUND(MIN($AF465,$AP$9),6))-INT(ROUND(MAX(0,MIN($AF465,2*$AP$9)-$AP$9),6))))))</f>
        <v/>
      </c>
      <c r="AW465" s="90" t="str">
        <f aca="false">IF($BL465&lt;&gt;Constants!$B$4,"",IF(NOT($AS465),"",Constants!$B$16*$AG465))</f>
        <v/>
      </c>
      <c r="AX465" s="90" t="str">
        <f aca="false">IF($BL465&lt;&gt;Constants!$B$4,"",IF(NOT($AS465),"",Constants!$B$18*INT(ROUND($AH465,6))))</f>
        <v/>
      </c>
      <c r="AY465" s="85" t="str">
        <f aca="false">IF($BL465&lt;&gt;Constants!$B$4,"",IF(NOT($AS465),"",IF(NOT($X465),Constants!$B$11,IF(OR(NOT($AC465),NOT($AD465),ROUND($AB465,1)&gt;Constants!$B$12,ROUND($Z465,1)&gt;Constants!$B$13,ROUND($AA465,1)&gt;Constants!$B$14),Constants!$B$10,Constants!$B$9))))</f>
        <v/>
      </c>
      <c r="AZ465" s="91" t="str">
        <f aca="false">IF($BL465&lt;&gt;Constants!$B$4,"",IF(NOT($AS465),"",ROUND($AU465+$AV465+$AW465+$AX465,1)))</f>
        <v/>
      </c>
      <c r="BA465" s="92" t="str">
        <f aca="false">IF($BL465&lt;&gt;Constants!$B$4,"",IF(NOT($AS465),"",IF(ISNUMBER($AF465),$AF465,0)))</f>
        <v/>
      </c>
      <c r="BB465" s="86" t="str">
        <f aca="false">IF($BL465&lt;&gt;Constants!$B$4,"",IF(NOT($BC465),"&lt;-",IF(NOT($AS465),"-&gt;",IF(OR($BI465&lt;$AY465,AND($BI465=$AY465,OR($BJ465&gt;$AZ465,AND($BJ465=$AZ465,OR($BH465&gt;$AX465,AND($BH465=$AX465,OR($BE465&gt;$AU465,AND($BE465=$AU465,OR($BF465&gt;$AV465,AND($BF465=$AV465,$BK465&gt;$BA465)))))))))),"-&gt;","&lt;-"))))</f>
        <v/>
      </c>
      <c r="BC465" s="85" t="str">
        <f aca="false">IF(ISBLANK($C465),"",COUNTA($P465:$U465)&gt;0)</f>
        <v/>
      </c>
      <c r="BD465" s="85" t="str">
        <f aca="false">IF(ISBLANK($C465),"",AND($BC465,OR(AND($AL465="",OR($AK465,NOT(ISBLANK($S465)))),$AM465="",$AN465="")))</f>
        <v/>
      </c>
      <c r="BE465" s="87" t="str">
        <f aca="false">IF($BL465&lt;&gt;Constants!$B$4,"",IF(NOT($BC465),"",ROUND((Constants!$B$12-$AB465)+(Constants!$B$13-$Z465)+(Constants!$B$14-$AA465),1)))</f>
        <v/>
      </c>
      <c r="BF465" s="90" t="str">
        <f aca="false">IF($BL465&lt;&gt;Constants!$B$4,"",IF(NOT($BC465),"",IF(NOT($AK465),0,Constants!$B$15*(INT(ROUND(MIN($AL465,$AP$9),6))-INT(ROUND(MAX(0,MIN($AL465,2*$AP$9)-$AP$9),6))))))</f>
        <v/>
      </c>
      <c r="BG465" s="90" t="str">
        <f aca="false">IF($BL465&lt;&gt;Constants!$B$4,"",IF(NOT($BC465),"",Constants!$B$16*$AM465))</f>
        <v/>
      </c>
      <c r="BH465" s="90" t="str">
        <f aca="false">IF($BL465&lt;&gt;Constants!$B$4,"",IF(NOT($BC465),"",Constants!$B$18*INT(ROUND($AN465,6))))</f>
        <v/>
      </c>
      <c r="BI465" s="85" t="str">
        <f aca="false">IF($BL465&lt;&gt;Constants!$B$4,"",IF(NOT($BC465),"",IF(NOT($X465),Constants!$B$11,IF(OR(NOT($AI465),NOT($AJ465),ROUND($AB465,1)&gt;Constants!$B$12,ROUND($Z465,1)&gt;Constants!$B$13,ROUND($AA465,1)&gt;Constants!$B$14),Constants!$B$10,Constants!$B$9))))</f>
        <v/>
      </c>
      <c r="BJ465" s="91" t="str">
        <f aca="false">IF($BL465&lt;&gt;Constants!$B$4,"",IF(NOT($BC465),"",ROUND($BE465+$BF465+$BG465+$BH465,1)))</f>
        <v/>
      </c>
      <c r="BK465" s="92" t="str">
        <f aca="false">IF($BL465&lt;&gt;Constants!$B$4,"",IF(NOT($BC465),"",IF(ISNUMBER($AL465),$AL465,0)))</f>
        <v/>
      </c>
      <c r="BL465" s="86" t="str">
        <f aca="false">IF(ISBLANK($C465),"",IF($AO465,Constants!$B$7,IF(COUNTA($E465:$V465)=0,Constants!$B$6,IF(NOT($Y465),Constants!$B$5,IF(NOT(OR($AS465,$BC465)),Constants!$B$5,IF(OR($AT465,$BD465,$AQ465,$AR465&lt;&gt;""),Constants!$B$8,Constants!$B$4))))))</f>
        <v/>
      </c>
      <c r="BM465" s="86" t="str">
        <f aca="false">IF(ISBLANK($C465),"",IF($BL465&lt;&gt;Constants!$B$4,$BL465,IF($BB465="-&gt;",$BI465,$AY465)))</f>
        <v/>
      </c>
      <c r="BN465" s="90" t="str">
        <f aca="false">IF($BL465&lt;&gt;Constants!$B$4,"",IF($BB465="-&gt;",$BJ465,$AZ465))</f>
        <v/>
      </c>
      <c r="BO465" s="90" t="str">
        <f aca="false">IF(ISBLANK($C465),"",IF($BL465&lt;&gt;Constants!$B$4,$BL465,$BN465))</f>
        <v/>
      </c>
      <c r="BP465" s="86" t="str">
        <f aca="false">IF(ISBLANK($C465),"",IF($BL465&lt;&gt;Constants!$B$4,$BL465,RANK($BO465,$BO$9:$BO$508,0)))</f>
        <v/>
      </c>
      <c r="BQ465" s="86" t="str">
        <f aca="false">IF(ISBLANK($C465),"",IF($BL465&lt;&gt;Constants!$B$4,$BL465,COUNTIFS($BM$9:$BM$508,"&lt;"&amp;$BM465)+COUNTIFS($BM$9:$BM$508,$BM465,$BP$9:$BP$508,"&lt;"&amp;$BP465)+1))</f>
        <v/>
      </c>
      <c r="BR465" s="90" t="str">
        <f aca="false">IF($BL465&lt;&gt;Constants!$B$4,"",IF($BB465="-&gt;",$BH465,$AX465))</f>
        <v/>
      </c>
      <c r="BS465" s="86" t="str">
        <f aca="false">IF(ISBLANK($C465),"",IF($BL465&lt;&gt;Constants!$B$4,$BL465,IF(ISNUMBER($BR465),RANK($BR465,$BR$9:$BR$508,0),COUNT($BR$9:$BR$508)+1)))</f>
        <v/>
      </c>
      <c r="BT465" s="90" t="str">
        <f aca="false">IF($BL465&lt;&gt;Constants!$B$4,"",IF($BB465="-&gt;",$BE465,$AU465))</f>
        <v/>
      </c>
      <c r="BU465" s="86" t="str">
        <f aca="false">IF(ISBLANK($C465),"",IF($BL465&lt;&gt;Constants!$B$4,$BL465,IF(ISNUMBER($BT465),RANK($BT465,$BT$9:$BT$508,0),COUNT($BT$9:$BT$508)+1)))</f>
        <v/>
      </c>
      <c r="BV465" s="90" t="str">
        <f aca="false">IF($BL465&lt;&gt;Constants!$B$4,"",IF($BB465="-&gt;",$BF465,$AV465))</f>
        <v/>
      </c>
      <c r="BW465" s="86" t="str">
        <f aca="false">IF(ISBLANK($C465),"",IF($BL465&lt;&gt;Constants!$B$4,$BL465,IF(ISNUMBER($BV465),RANK($BV465,$BV$9:$BV$508,0),COUNT($BV$9:$BV$508)+1)))</f>
        <v/>
      </c>
      <c r="BX465" s="90" t="str">
        <f aca="false">IF($BL465&lt;&gt;Constants!$B$4,"",IF($BB465="-&gt;",$BK465,$BA465))</f>
        <v/>
      </c>
      <c r="BY465" s="86" t="str">
        <f aca="false">IF(ISBLANK($C465),"",IF($BL465&lt;&gt;Constants!$B$4,$BL465,IF(ISNUMBER($BX465),RANK($BX465,$BX$9:$BX$508,0),COUNT($BX$9:$BX$508)+1)))</f>
        <v/>
      </c>
      <c r="BZ465" s="86" t="str">
        <f aca="false">IF(ISBLANK($C465),"",IF($BL465&lt;&gt;Constants!$B$4,$BL465,COUNTIFS($BM$9:$BM$508,"&lt;"&amp;$BM465)+COUNTIFS($BM$9:$BM$508,$BM465,$BP$9:$BP$508,"&lt;"&amp;$BP465)+COUNTIFS($BM$9:$BM$508,$BM465,$BP$9:$BP$508,$BP465,$BS$9:$BS$508,"&lt;"&amp;$BS465)+COUNTIFS($BM$9:$BM$508,$BM465,$BP$9:$BP$508,$BP465,$BS$9:$BS$508,$BS465,$BU$9:$BU$508,"&lt;"&amp;$BU465)+COUNTIFS($BM$9:$BM$508,$BM465,$BP$9:$BP$508,$BP465,$BS$9:$BS$508,$BS465,$BU$9:$BU$508,$BU465,$BW$9:$BW$508,"&lt;"&amp;$BW465)+COUNTIFS($BM$9:$BM$508,$BM465,$BP$9:$BP$508,$BP465,$BS$9:$BS$508,$BS465,$BU$9:$BU$508,$BU465,$BW$9:$BW$508,$BW465,$BY$9:$BY$508,"&lt;"&amp;$BY465)+1))</f>
        <v/>
      </c>
      <c r="CA465" s="86" t="str">
        <f aca="false">IF(ISBLANK($C465),"",IF($BL465&lt;&gt;Constants!$B$4,$BL465,$BQ465-$BZ465))</f>
        <v/>
      </c>
      <c r="CB465" s="93"/>
      <c r="CC465" s="94" t="str">
        <f aca="false">IF(ISBLANK($C465),"",IF($BL465=Constants!$B$8,$AR465,""))</f>
        <v/>
      </c>
      <c r="CD465" s="94" t="str">
        <f aca="false">IF(ISBLANK($C465),"",IF($BL465&lt;&gt;Constants!$B$4,"",IF($BB465="-&gt;",2,1)))</f>
        <v/>
      </c>
      <c r="CE465" s="95" t="str">
        <f aca="false">IF(ISBLANK($C465),"",IF($BL465&lt;&gt;Constants!$B$4,"",IF($BB465="-&gt;",$BE465,$AU465)))</f>
        <v/>
      </c>
      <c r="CF465" s="95" t="str">
        <f aca="false">IF(ISBLANK($C465),"",IF($BL465&lt;&gt;Constants!$B$4,"",IF($BB465="-&gt;",$BF465,$AV465)))</f>
        <v/>
      </c>
      <c r="CG465" s="95" t="str">
        <f aca="false">IF(ISBLANK($C465),"",IF($BL465&lt;&gt;Constants!$B$4,"",IF($BB465="-&gt;",$BG465,$AW465)))</f>
        <v/>
      </c>
      <c r="CH465" s="95" t="str">
        <f aca="false">IF(ISBLANK($C465),"",IF($BL465&lt;&gt;Constants!$B$4,"",IF($BB465="-&gt;",$BH465,$AX465)))</f>
        <v/>
      </c>
      <c r="CI465" s="96" t="str">
        <f aca="false">IF(ISBLANK($C465),"",$BO465)</f>
        <v/>
      </c>
      <c r="CJ465" s="97" t="str">
        <f aca="false">IF(ISBLANK($C465),"",$BM465)</f>
        <v/>
      </c>
      <c r="CK465" s="98" t="str">
        <f aca="false">IF(ISBLANK($C465),"",$CA465)</f>
        <v/>
      </c>
      <c r="CL465" s="98" t="str">
        <f aca="false">IF(ISBLANK($C465),"",$BZ465)</f>
        <v/>
      </c>
      <c r="CM465" s="99" t="str">
        <f aca="false">IF(ISBLANK($C465),"",IF($CL465=Constants!$B$7,COUNTA($C$9:$C$508)+2,IF($CL465=Constants!$B$6,COUNTA($C$9:$C$508)+1,IF($CL465=Constants!$B$5,COUNTA($C$9:$C$508),$CL465))))</f>
        <v/>
      </c>
      <c r="CN465" s="8"/>
      <c r="CO465" s="100" t="n">
        <f aca="false">IF(OR(ISNUMBER($CL465),$CL465=Constants!$B$7,$CL465=Constants!$B$5,$CL465=Constants!$B$6),1,0)</f>
        <v>0</v>
      </c>
      <c r="CP465" s="100" t="n">
        <v>457</v>
      </c>
      <c r="CQ465" s="100" t="str">
        <f aca="false">IF(ISBLANK($C465),"",IF(ISNUMBER($CM465),$CM465+ROW($B465)/1000,""))</f>
        <v/>
      </c>
      <c r="CR465" s="100" t="str">
        <f aca="false">IF(ISNUMBER($CQ465),RANK($CQ465,$CQ$9:$CQ$508,1),"")</f>
        <v/>
      </c>
      <c r="CS465" s="100" t="str">
        <f aca="false">IF(ISBLANK($C465),"",$B465)</f>
        <v/>
      </c>
      <c r="CT465" s="100" t="str">
        <f aca="false">IF(ISBLANK($C465),"",$C465)</f>
        <v/>
      </c>
      <c r="CU465" s="100" t="str">
        <f aca="false">IF(ISBLANK($C465),"",$D465)</f>
        <v/>
      </c>
      <c r="CV465" s="101" t="str">
        <f aca="false">$CJ465</f>
        <v/>
      </c>
      <c r="CW465" s="102" t="str">
        <f aca="false">$CI465</f>
        <v/>
      </c>
      <c r="CX465" s="100" t="str">
        <f aca="false">IF(ISBLANK($C465),"",$CL465)</f>
        <v/>
      </c>
      <c r="CY465" s="103" t="str">
        <f aca="false">IF($CP465&gt;$CO$8,"",VLOOKUP($CP465,$CR$9:$CX$508,7,FALSE()))</f>
        <v/>
      </c>
      <c r="CZ465" s="104" t="str">
        <f aca="false">IF($CP465&gt;$CO$8,"",VLOOKUP($CP465,$CR$9:$CX$508,2,FALSE()))</f>
        <v/>
      </c>
      <c r="DA465" s="104" t="str">
        <f aca="false">IF($CP465&gt;$CO$8,"",VLOOKUP($CP465,$CR$9:$CX$508,3,FALSE()))</f>
        <v/>
      </c>
      <c r="DB465" s="104" t="str">
        <f aca="false">IF($CP465&gt;$CO$8,"",VLOOKUP($CP465,$CR$9:$CX$508,4,FALSE()))</f>
        <v/>
      </c>
      <c r="DC465" s="104" t="str">
        <f aca="false">IF($CP465&gt;$CO$8,"",VLOOKUP($CP465,$CR$9:$CX$508,5,FALSE()))</f>
        <v/>
      </c>
      <c r="DD465" s="105" t="str">
        <f aca="false">IF($CP465&gt;$CO$8,"",VLOOKUP($CP465,$CR$9:$CX$508,6,FALSE()))</f>
        <v/>
      </c>
      <c r="DE465" s="70"/>
    </row>
    <row r="466" customFormat="false" ht="15.75" hidden="false" customHeight="false" outlineLevel="0" collapsed="false">
      <c r="A466" s="8"/>
      <c r="B466" s="72"/>
      <c r="C466" s="73"/>
      <c r="D466" s="155"/>
      <c r="E466" s="162"/>
      <c r="F466" s="157"/>
      <c r="G466" s="77"/>
      <c r="H466" s="77"/>
      <c r="I466" s="77"/>
      <c r="J466" s="163"/>
      <c r="K466" s="161"/>
      <c r="L466" s="161"/>
      <c r="M466" s="80"/>
      <c r="N466" s="161"/>
      <c r="O466" s="160"/>
      <c r="P466" s="161"/>
      <c r="Q466" s="161"/>
      <c r="R466" s="161"/>
      <c r="S466" s="77"/>
      <c r="T466" s="161"/>
      <c r="U466" s="160"/>
      <c r="V466" s="161"/>
      <c r="W466" s="85"/>
      <c r="X466" s="86" t="str">
        <f aca="false">IF(ISBLANK($C466),"",IF($E466=Constants!$B$2,TRUE(),IF($E466=Constants!$B$3,FALSE(),TRUE())))</f>
        <v/>
      </c>
      <c r="Y466" s="86" t="str">
        <f aca="false">IF(ISBLANK($C466),"",IF($F466=Constants!$B$2,TRUE(),IF($F466=Constants!$B$3,FALSE(),TRUE())))</f>
        <v/>
      </c>
      <c r="Z466" s="87" t="str">
        <f aca="false">IF(ISBLANK($C466),"",IF(ISNUMBER($G466),IF($G466&gt;=0,$G466,""),""))</f>
        <v/>
      </c>
      <c r="AA466" s="87" t="str">
        <f aca="false">IF(ISBLANK($C466),"",IF(ISNUMBER($H466),IF($H466&gt;=0,$H466,""),""))</f>
        <v/>
      </c>
      <c r="AB466" s="87" t="str">
        <f aca="false">IF(ISBLANK($C466),"",IF(ISNUMBER($I466),IF($I466&gt;=0,$I466,""),""))</f>
        <v/>
      </c>
      <c r="AC466" s="86" t="str">
        <f aca="false">IF(ISBLANK($C466),"",IF($J466=Constants!$B$2,TRUE(),IF($J466=Constants!$B$3,FALSE(),TRUE())))</f>
        <v/>
      </c>
      <c r="AD466" s="86" t="str">
        <f aca="false">IF(ISBLANK($C466),"",IF($K466=Constants!$B$2,TRUE(),IF($K466=Constants!$B$3,FALSE(),TRUE())))</f>
        <v/>
      </c>
      <c r="AE466" s="86" t="str">
        <f aca="false">IF(ISBLANK($C466),"",IF($L466=Constants!$B$2,TRUE(),IF($L466=Constants!$B$3,FALSE(),TRUE())))</f>
        <v/>
      </c>
      <c r="AF466" s="88" t="str">
        <f aca="false">IF(ISBLANK($C466),"",IF(ISNUMBER($M466),IF($M466&gt;=0,$M466,""),""))</f>
        <v/>
      </c>
      <c r="AG466" s="86" t="str">
        <f aca="false">IF(ISBLANK($C466),"",IF(ISBLANK($N466),0,IF(ISNUMBER($N466),IF(AND($N466&gt;=0,$N466&lt;=Constants!$B$17,$N466=INT($N466)),$N466,""),"")))</f>
        <v/>
      </c>
      <c r="AH466" s="87" t="str">
        <f aca="false">IF(ISBLANK($C466),"",IF(ISBLANK($O466),0,IF(ISNUMBER($O466),IF($O466&gt;=0,$O466,""),"")))</f>
        <v/>
      </c>
      <c r="AI466" s="86" t="str">
        <f aca="false">IF(ISBLANK($C466),"",IF($P466=Constants!$B$2,TRUE(),IF($P466=Constants!$B$3,FALSE(),TRUE())))</f>
        <v/>
      </c>
      <c r="AJ466" s="86" t="str">
        <f aca="false">IF(ISBLANK($C466),"",IF($Q466=Constants!$B$2,TRUE(),IF($Q466=Constants!$B$3,FALSE(),TRUE())))</f>
        <v/>
      </c>
      <c r="AK466" s="86" t="str">
        <f aca="false">IF(ISBLANK($C466),"",IF($R466=Constants!$B$2,TRUE(),IF($R466=Constants!$B$3,FALSE(),TRUE())))</f>
        <v/>
      </c>
      <c r="AL466" s="88" t="str">
        <f aca="false">IF(ISBLANK($C466),"",IF(ISNUMBER($S466),IF($S466&gt;=0,$S466,""),""))</f>
        <v/>
      </c>
      <c r="AM466" s="86" t="str">
        <f aca="false">IF(ISBLANK($C466),"",IF(ISBLANK($T466),0,IF(ISNUMBER($T466),IF(AND($T466&gt;=0,$T466&lt;=Constants!$B$17,$T466=INT($T466)),$T466,""),"")))</f>
        <v/>
      </c>
      <c r="AN466" s="87" t="str">
        <f aca="false">IF(ISBLANK($C466),"",IF(ISBLANK($U466),0,IF(ISNUMBER($U466),IF($U466&gt;=0,$U466,""),"")))</f>
        <v/>
      </c>
      <c r="AO466" s="86" t="str">
        <f aca="false">IF(ISBLANK($C466),"",IF($V466=Constants!$B$2,TRUE(),IF($V466=Constants!$B$3,FALSE(),FALSE())))</f>
        <v/>
      </c>
      <c r="AP466" s="86"/>
      <c r="AQ466" s="85" t="str">
        <f aca="false">IF(ISBLANK($C466),"",AND($Y466,OR($AS466,$BC466),OR($Z466="",$AA466="",$AB466="")))</f>
        <v/>
      </c>
      <c r="AR466" s="85" t="str">
        <f aca="false">IF(ISBLANK($C466),"",IF(OR(NOT($Y466),NOT(OR($AS466,$BC466))),"",IF(ISBLANK($D$7),$AR$5,IF($AP$9="",$AR$6,""))))</f>
        <v/>
      </c>
      <c r="AS466" s="85" t="str">
        <f aca="false">IF(ISBLANK($C466),"",COUNTA($J466:$O466)&gt;0)</f>
        <v/>
      </c>
      <c r="AT466" s="85" t="str">
        <f aca="false">IF(ISBLANK($C466),"",AND($AS466,OR(AND($AF466="",OR($AE466,NOT(ISBLANK($M466)))),$AG466="",$AH466="")))</f>
        <v/>
      </c>
      <c r="AU466" s="87" t="str">
        <f aca="false">IF($BL466&lt;&gt;Constants!$B$4,"",IF(NOT($AS466),"",ROUND((Constants!$B$12-$AB466)+(Constants!$B$13-$Z466)+(Constants!$B$14-$AA466),1)))</f>
        <v/>
      </c>
      <c r="AV466" s="90" t="str">
        <f aca="false">IF($BL466&lt;&gt;Constants!$B$4,"",IF(NOT($AS466),"",IF(NOT($AE466),0,Constants!$B$15*(INT(ROUND(MIN($AF466,$AP$9),6))-INT(ROUND(MAX(0,MIN($AF466,2*$AP$9)-$AP$9),6))))))</f>
        <v/>
      </c>
      <c r="AW466" s="90" t="str">
        <f aca="false">IF($BL466&lt;&gt;Constants!$B$4,"",IF(NOT($AS466),"",Constants!$B$16*$AG466))</f>
        <v/>
      </c>
      <c r="AX466" s="90" t="str">
        <f aca="false">IF($BL466&lt;&gt;Constants!$B$4,"",IF(NOT($AS466),"",Constants!$B$18*INT(ROUND($AH466,6))))</f>
        <v/>
      </c>
      <c r="AY466" s="85" t="str">
        <f aca="false">IF($BL466&lt;&gt;Constants!$B$4,"",IF(NOT($AS466),"",IF(NOT($X466),Constants!$B$11,IF(OR(NOT($AC466),NOT($AD466),ROUND($AB466,1)&gt;Constants!$B$12,ROUND($Z466,1)&gt;Constants!$B$13,ROUND($AA466,1)&gt;Constants!$B$14),Constants!$B$10,Constants!$B$9))))</f>
        <v/>
      </c>
      <c r="AZ466" s="91" t="str">
        <f aca="false">IF($BL466&lt;&gt;Constants!$B$4,"",IF(NOT($AS466),"",ROUND($AU466+$AV466+$AW466+$AX466,1)))</f>
        <v/>
      </c>
      <c r="BA466" s="92" t="str">
        <f aca="false">IF($BL466&lt;&gt;Constants!$B$4,"",IF(NOT($AS466),"",IF(ISNUMBER($AF466),$AF466,0)))</f>
        <v/>
      </c>
      <c r="BB466" s="86" t="str">
        <f aca="false">IF($BL466&lt;&gt;Constants!$B$4,"",IF(NOT($BC466),"&lt;-",IF(NOT($AS466),"-&gt;",IF(OR($BI466&lt;$AY466,AND($BI466=$AY466,OR($BJ466&gt;$AZ466,AND($BJ466=$AZ466,OR($BH466&gt;$AX466,AND($BH466=$AX466,OR($BE466&gt;$AU466,AND($BE466=$AU466,OR($BF466&gt;$AV466,AND($BF466=$AV466,$BK466&gt;$BA466)))))))))),"-&gt;","&lt;-"))))</f>
        <v/>
      </c>
      <c r="BC466" s="85" t="str">
        <f aca="false">IF(ISBLANK($C466),"",COUNTA($P466:$U466)&gt;0)</f>
        <v/>
      </c>
      <c r="BD466" s="85" t="str">
        <f aca="false">IF(ISBLANK($C466),"",AND($BC466,OR(AND($AL466="",OR($AK466,NOT(ISBLANK($S466)))),$AM466="",$AN466="")))</f>
        <v/>
      </c>
      <c r="BE466" s="87" t="str">
        <f aca="false">IF($BL466&lt;&gt;Constants!$B$4,"",IF(NOT($BC466),"",ROUND((Constants!$B$12-$AB466)+(Constants!$B$13-$Z466)+(Constants!$B$14-$AA466),1)))</f>
        <v/>
      </c>
      <c r="BF466" s="90" t="str">
        <f aca="false">IF($BL466&lt;&gt;Constants!$B$4,"",IF(NOT($BC466),"",IF(NOT($AK466),0,Constants!$B$15*(INT(ROUND(MIN($AL466,$AP$9),6))-INT(ROUND(MAX(0,MIN($AL466,2*$AP$9)-$AP$9),6))))))</f>
        <v/>
      </c>
      <c r="BG466" s="90" t="str">
        <f aca="false">IF($BL466&lt;&gt;Constants!$B$4,"",IF(NOT($BC466),"",Constants!$B$16*$AM466))</f>
        <v/>
      </c>
      <c r="BH466" s="90" t="str">
        <f aca="false">IF($BL466&lt;&gt;Constants!$B$4,"",IF(NOT($BC466),"",Constants!$B$18*INT(ROUND($AN466,6))))</f>
        <v/>
      </c>
      <c r="BI466" s="85" t="str">
        <f aca="false">IF($BL466&lt;&gt;Constants!$B$4,"",IF(NOT($BC466),"",IF(NOT($X466),Constants!$B$11,IF(OR(NOT($AI466),NOT($AJ466),ROUND($AB466,1)&gt;Constants!$B$12,ROUND($Z466,1)&gt;Constants!$B$13,ROUND($AA466,1)&gt;Constants!$B$14),Constants!$B$10,Constants!$B$9))))</f>
        <v/>
      </c>
      <c r="BJ466" s="91" t="str">
        <f aca="false">IF($BL466&lt;&gt;Constants!$B$4,"",IF(NOT($BC466),"",ROUND($BE466+$BF466+$BG466+$BH466,1)))</f>
        <v/>
      </c>
      <c r="BK466" s="92" t="str">
        <f aca="false">IF($BL466&lt;&gt;Constants!$B$4,"",IF(NOT($BC466),"",IF(ISNUMBER($AL466),$AL466,0)))</f>
        <v/>
      </c>
      <c r="BL466" s="86" t="str">
        <f aca="false">IF(ISBLANK($C466),"",IF($AO466,Constants!$B$7,IF(COUNTA($E466:$V466)=0,Constants!$B$6,IF(NOT($Y466),Constants!$B$5,IF(NOT(OR($AS466,$BC466)),Constants!$B$5,IF(OR($AT466,$BD466,$AQ466,$AR466&lt;&gt;""),Constants!$B$8,Constants!$B$4))))))</f>
        <v/>
      </c>
      <c r="BM466" s="86" t="str">
        <f aca="false">IF(ISBLANK($C466),"",IF($BL466&lt;&gt;Constants!$B$4,$BL466,IF($BB466="-&gt;",$BI466,$AY466)))</f>
        <v/>
      </c>
      <c r="BN466" s="90" t="str">
        <f aca="false">IF($BL466&lt;&gt;Constants!$B$4,"",IF($BB466="-&gt;",$BJ466,$AZ466))</f>
        <v/>
      </c>
      <c r="BO466" s="90" t="str">
        <f aca="false">IF(ISBLANK($C466),"",IF($BL466&lt;&gt;Constants!$B$4,$BL466,$BN466))</f>
        <v/>
      </c>
      <c r="BP466" s="86" t="str">
        <f aca="false">IF(ISBLANK($C466),"",IF($BL466&lt;&gt;Constants!$B$4,$BL466,RANK($BO466,$BO$9:$BO$508,0)))</f>
        <v/>
      </c>
      <c r="BQ466" s="86" t="str">
        <f aca="false">IF(ISBLANK($C466),"",IF($BL466&lt;&gt;Constants!$B$4,$BL466,COUNTIFS($BM$9:$BM$508,"&lt;"&amp;$BM466)+COUNTIFS($BM$9:$BM$508,$BM466,$BP$9:$BP$508,"&lt;"&amp;$BP466)+1))</f>
        <v/>
      </c>
      <c r="BR466" s="90" t="str">
        <f aca="false">IF($BL466&lt;&gt;Constants!$B$4,"",IF($BB466="-&gt;",$BH466,$AX466))</f>
        <v/>
      </c>
      <c r="BS466" s="86" t="str">
        <f aca="false">IF(ISBLANK($C466),"",IF($BL466&lt;&gt;Constants!$B$4,$BL466,IF(ISNUMBER($BR466),RANK($BR466,$BR$9:$BR$508,0),COUNT($BR$9:$BR$508)+1)))</f>
        <v/>
      </c>
      <c r="BT466" s="90" t="str">
        <f aca="false">IF($BL466&lt;&gt;Constants!$B$4,"",IF($BB466="-&gt;",$BE466,$AU466))</f>
        <v/>
      </c>
      <c r="BU466" s="86" t="str">
        <f aca="false">IF(ISBLANK($C466),"",IF($BL466&lt;&gt;Constants!$B$4,$BL466,IF(ISNUMBER($BT466),RANK($BT466,$BT$9:$BT$508,0),COUNT($BT$9:$BT$508)+1)))</f>
        <v/>
      </c>
      <c r="BV466" s="90" t="str">
        <f aca="false">IF($BL466&lt;&gt;Constants!$B$4,"",IF($BB466="-&gt;",$BF466,$AV466))</f>
        <v/>
      </c>
      <c r="BW466" s="86" t="str">
        <f aca="false">IF(ISBLANK($C466),"",IF($BL466&lt;&gt;Constants!$B$4,$BL466,IF(ISNUMBER($BV466),RANK($BV466,$BV$9:$BV$508,0),COUNT($BV$9:$BV$508)+1)))</f>
        <v/>
      </c>
      <c r="BX466" s="90" t="str">
        <f aca="false">IF($BL466&lt;&gt;Constants!$B$4,"",IF($BB466="-&gt;",$BK466,$BA466))</f>
        <v/>
      </c>
      <c r="BY466" s="86" t="str">
        <f aca="false">IF(ISBLANK($C466),"",IF($BL466&lt;&gt;Constants!$B$4,$BL466,IF(ISNUMBER($BX466),RANK($BX466,$BX$9:$BX$508,0),COUNT($BX$9:$BX$508)+1)))</f>
        <v/>
      </c>
      <c r="BZ466" s="86" t="str">
        <f aca="false">IF(ISBLANK($C466),"",IF($BL466&lt;&gt;Constants!$B$4,$BL466,COUNTIFS($BM$9:$BM$508,"&lt;"&amp;$BM466)+COUNTIFS($BM$9:$BM$508,$BM466,$BP$9:$BP$508,"&lt;"&amp;$BP466)+COUNTIFS($BM$9:$BM$508,$BM466,$BP$9:$BP$508,$BP466,$BS$9:$BS$508,"&lt;"&amp;$BS466)+COUNTIFS($BM$9:$BM$508,$BM466,$BP$9:$BP$508,$BP466,$BS$9:$BS$508,$BS466,$BU$9:$BU$508,"&lt;"&amp;$BU466)+COUNTIFS($BM$9:$BM$508,$BM466,$BP$9:$BP$508,$BP466,$BS$9:$BS$508,$BS466,$BU$9:$BU$508,$BU466,$BW$9:$BW$508,"&lt;"&amp;$BW466)+COUNTIFS($BM$9:$BM$508,$BM466,$BP$9:$BP$508,$BP466,$BS$9:$BS$508,$BS466,$BU$9:$BU$508,$BU466,$BW$9:$BW$508,$BW466,$BY$9:$BY$508,"&lt;"&amp;$BY466)+1))</f>
        <v/>
      </c>
      <c r="CA466" s="86" t="str">
        <f aca="false">IF(ISBLANK($C466),"",IF($BL466&lt;&gt;Constants!$B$4,$BL466,$BQ466-$BZ466))</f>
        <v/>
      </c>
      <c r="CB466" s="93"/>
      <c r="CC466" s="94" t="str">
        <f aca="false">IF(ISBLANK($C466),"",IF($BL466=Constants!$B$8,$AR466,""))</f>
        <v/>
      </c>
      <c r="CD466" s="94" t="str">
        <f aca="false">IF(ISBLANK($C466),"",IF($BL466&lt;&gt;Constants!$B$4,"",IF($BB466="-&gt;",2,1)))</f>
        <v/>
      </c>
      <c r="CE466" s="95" t="str">
        <f aca="false">IF(ISBLANK($C466),"",IF($BL466&lt;&gt;Constants!$B$4,"",IF($BB466="-&gt;",$BE466,$AU466)))</f>
        <v/>
      </c>
      <c r="CF466" s="95" t="str">
        <f aca="false">IF(ISBLANK($C466),"",IF($BL466&lt;&gt;Constants!$B$4,"",IF($BB466="-&gt;",$BF466,$AV466)))</f>
        <v/>
      </c>
      <c r="CG466" s="95" t="str">
        <f aca="false">IF(ISBLANK($C466),"",IF($BL466&lt;&gt;Constants!$B$4,"",IF($BB466="-&gt;",$BG466,$AW466)))</f>
        <v/>
      </c>
      <c r="CH466" s="95" t="str">
        <f aca="false">IF(ISBLANK($C466),"",IF($BL466&lt;&gt;Constants!$B$4,"",IF($BB466="-&gt;",$BH466,$AX466)))</f>
        <v/>
      </c>
      <c r="CI466" s="96" t="str">
        <f aca="false">IF(ISBLANK($C466),"",$BO466)</f>
        <v/>
      </c>
      <c r="CJ466" s="97" t="str">
        <f aca="false">IF(ISBLANK($C466),"",$BM466)</f>
        <v/>
      </c>
      <c r="CK466" s="98" t="str">
        <f aca="false">IF(ISBLANK($C466),"",$CA466)</f>
        <v/>
      </c>
      <c r="CL466" s="98" t="str">
        <f aca="false">IF(ISBLANK($C466),"",$BZ466)</f>
        <v/>
      </c>
      <c r="CM466" s="99" t="str">
        <f aca="false">IF(ISBLANK($C466),"",IF($CL466=Constants!$B$7,COUNTA($C$9:$C$508)+2,IF($CL466=Constants!$B$6,COUNTA($C$9:$C$508)+1,IF($CL466=Constants!$B$5,COUNTA($C$9:$C$508),$CL466))))</f>
        <v/>
      </c>
      <c r="CN466" s="8"/>
      <c r="CO466" s="100" t="n">
        <f aca="false">IF(OR(ISNUMBER($CL466),$CL466=Constants!$B$7,$CL466=Constants!$B$5,$CL466=Constants!$B$6),1,0)</f>
        <v>0</v>
      </c>
      <c r="CP466" s="100" t="n">
        <v>458</v>
      </c>
      <c r="CQ466" s="100" t="str">
        <f aca="false">IF(ISBLANK($C466),"",IF(ISNUMBER($CM466),$CM466+ROW($B466)/1000,""))</f>
        <v/>
      </c>
      <c r="CR466" s="100" t="str">
        <f aca="false">IF(ISNUMBER($CQ466),RANK($CQ466,$CQ$9:$CQ$508,1),"")</f>
        <v/>
      </c>
      <c r="CS466" s="100" t="str">
        <f aca="false">IF(ISBLANK($C466),"",$B466)</f>
        <v/>
      </c>
      <c r="CT466" s="100" t="str">
        <f aca="false">IF(ISBLANK($C466),"",$C466)</f>
        <v/>
      </c>
      <c r="CU466" s="100" t="str">
        <f aca="false">IF(ISBLANK($C466),"",$D466)</f>
        <v/>
      </c>
      <c r="CV466" s="101" t="str">
        <f aca="false">$CJ466</f>
        <v/>
      </c>
      <c r="CW466" s="102" t="str">
        <f aca="false">$CI466</f>
        <v/>
      </c>
      <c r="CX466" s="100" t="str">
        <f aca="false">IF(ISBLANK($C466),"",$CL466)</f>
        <v/>
      </c>
      <c r="CY466" s="103" t="str">
        <f aca="false">IF($CP466&gt;$CO$8,"",VLOOKUP($CP466,$CR$9:$CX$508,7,FALSE()))</f>
        <v/>
      </c>
      <c r="CZ466" s="104" t="str">
        <f aca="false">IF($CP466&gt;$CO$8,"",VLOOKUP($CP466,$CR$9:$CX$508,2,FALSE()))</f>
        <v/>
      </c>
      <c r="DA466" s="104" t="str">
        <f aca="false">IF($CP466&gt;$CO$8,"",VLOOKUP($CP466,$CR$9:$CX$508,3,FALSE()))</f>
        <v/>
      </c>
      <c r="DB466" s="104" t="str">
        <f aca="false">IF($CP466&gt;$CO$8,"",VLOOKUP($CP466,$CR$9:$CX$508,4,FALSE()))</f>
        <v/>
      </c>
      <c r="DC466" s="104" t="str">
        <f aca="false">IF($CP466&gt;$CO$8,"",VLOOKUP($CP466,$CR$9:$CX$508,5,FALSE()))</f>
        <v/>
      </c>
      <c r="DD466" s="105" t="str">
        <f aca="false">IF($CP466&gt;$CO$8,"",VLOOKUP($CP466,$CR$9:$CX$508,6,FALSE()))</f>
        <v/>
      </c>
      <c r="DE466" s="70"/>
    </row>
    <row r="467" customFormat="false" ht="15.75" hidden="false" customHeight="false" outlineLevel="0" collapsed="false">
      <c r="A467" s="8"/>
      <c r="B467" s="72"/>
      <c r="C467" s="73"/>
      <c r="D467" s="155"/>
      <c r="E467" s="162"/>
      <c r="F467" s="157"/>
      <c r="G467" s="77"/>
      <c r="H467" s="77"/>
      <c r="I467" s="77"/>
      <c r="J467" s="163"/>
      <c r="K467" s="161"/>
      <c r="L467" s="161"/>
      <c r="M467" s="80"/>
      <c r="N467" s="161"/>
      <c r="O467" s="160"/>
      <c r="P467" s="161"/>
      <c r="Q467" s="161"/>
      <c r="R467" s="161"/>
      <c r="S467" s="77"/>
      <c r="T467" s="161"/>
      <c r="U467" s="160"/>
      <c r="V467" s="161"/>
      <c r="W467" s="85"/>
      <c r="X467" s="86" t="str">
        <f aca="false">IF(ISBLANK($C467),"",IF($E467=Constants!$B$2,TRUE(),IF($E467=Constants!$B$3,FALSE(),TRUE())))</f>
        <v/>
      </c>
      <c r="Y467" s="86" t="str">
        <f aca="false">IF(ISBLANK($C467),"",IF($F467=Constants!$B$2,TRUE(),IF($F467=Constants!$B$3,FALSE(),TRUE())))</f>
        <v/>
      </c>
      <c r="Z467" s="87" t="str">
        <f aca="false">IF(ISBLANK($C467),"",IF(ISNUMBER($G467),IF($G467&gt;=0,$G467,""),""))</f>
        <v/>
      </c>
      <c r="AA467" s="87" t="str">
        <f aca="false">IF(ISBLANK($C467),"",IF(ISNUMBER($H467),IF($H467&gt;=0,$H467,""),""))</f>
        <v/>
      </c>
      <c r="AB467" s="87" t="str">
        <f aca="false">IF(ISBLANK($C467),"",IF(ISNUMBER($I467),IF($I467&gt;=0,$I467,""),""))</f>
        <v/>
      </c>
      <c r="AC467" s="86" t="str">
        <f aca="false">IF(ISBLANK($C467),"",IF($J467=Constants!$B$2,TRUE(),IF($J467=Constants!$B$3,FALSE(),TRUE())))</f>
        <v/>
      </c>
      <c r="AD467" s="86" t="str">
        <f aca="false">IF(ISBLANK($C467),"",IF($K467=Constants!$B$2,TRUE(),IF($K467=Constants!$B$3,FALSE(),TRUE())))</f>
        <v/>
      </c>
      <c r="AE467" s="86" t="str">
        <f aca="false">IF(ISBLANK($C467),"",IF($L467=Constants!$B$2,TRUE(),IF($L467=Constants!$B$3,FALSE(),TRUE())))</f>
        <v/>
      </c>
      <c r="AF467" s="88" t="str">
        <f aca="false">IF(ISBLANK($C467),"",IF(ISNUMBER($M467),IF($M467&gt;=0,$M467,""),""))</f>
        <v/>
      </c>
      <c r="AG467" s="86" t="str">
        <f aca="false">IF(ISBLANK($C467),"",IF(ISBLANK($N467),0,IF(ISNUMBER($N467),IF(AND($N467&gt;=0,$N467&lt;=Constants!$B$17,$N467=INT($N467)),$N467,""),"")))</f>
        <v/>
      </c>
      <c r="AH467" s="87" t="str">
        <f aca="false">IF(ISBLANK($C467),"",IF(ISBLANK($O467),0,IF(ISNUMBER($O467),IF($O467&gt;=0,$O467,""),"")))</f>
        <v/>
      </c>
      <c r="AI467" s="86" t="str">
        <f aca="false">IF(ISBLANK($C467),"",IF($P467=Constants!$B$2,TRUE(),IF($P467=Constants!$B$3,FALSE(),TRUE())))</f>
        <v/>
      </c>
      <c r="AJ467" s="86" t="str">
        <f aca="false">IF(ISBLANK($C467),"",IF($Q467=Constants!$B$2,TRUE(),IF($Q467=Constants!$B$3,FALSE(),TRUE())))</f>
        <v/>
      </c>
      <c r="AK467" s="86" t="str">
        <f aca="false">IF(ISBLANK($C467),"",IF($R467=Constants!$B$2,TRUE(),IF($R467=Constants!$B$3,FALSE(),TRUE())))</f>
        <v/>
      </c>
      <c r="AL467" s="88" t="str">
        <f aca="false">IF(ISBLANK($C467),"",IF(ISNUMBER($S467),IF($S467&gt;=0,$S467,""),""))</f>
        <v/>
      </c>
      <c r="AM467" s="86" t="str">
        <f aca="false">IF(ISBLANK($C467),"",IF(ISBLANK($T467),0,IF(ISNUMBER($T467),IF(AND($T467&gt;=0,$T467&lt;=Constants!$B$17,$T467=INT($T467)),$T467,""),"")))</f>
        <v/>
      </c>
      <c r="AN467" s="87" t="str">
        <f aca="false">IF(ISBLANK($C467),"",IF(ISBLANK($U467),0,IF(ISNUMBER($U467),IF($U467&gt;=0,$U467,""),"")))</f>
        <v/>
      </c>
      <c r="AO467" s="86" t="str">
        <f aca="false">IF(ISBLANK($C467),"",IF($V467=Constants!$B$2,TRUE(),IF($V467=Constants!$B$3,FALSE(),FALSE())))</f>
        <v/>
      </c>
      <c r="AP467" s="86"/>
      <c r="AQ467" s="85" t="str">
        <f aca="false">IF(ISBLANK($C467),"",AND($Y467,OR($AS467,$BC467),OR($Z467="",$AA467="",$AB467="")))</f>
        <v/>
      </c>
      <c r="AR467" s="85" t="str">
        <f aca="false">IF(ISBLANK($C467),"",IF(OR(NOT($Y467),NOT(OR($AS467,$BC467))),"",IF(ISBLANK($D$7),$AR$5,IF($AP$9="",$AR$6,""))))</f>
        <v/>
      </c>
      <c r="AS467" s="85" t="str">
        <f aca="false">IF(ISBLANK($C467),"",COUNTA($J467:$O467)&gt;0)</f>
        <v/>
      </c>
      <c r="AT467" s="85" t="str">
        <f aca="false">IF(ISBLANK($C467),"",AND($AS467,OR(AND($AF467="",OR($AE467,NOT(ISBLANK($M467)))),$AG467="",$AH467="")))</f>
        <v/>
      </c>
      <c r="AU467" s="87" t="str">
        <f aca="false">IF($BL467&lt;&gt;Constants!$B$4,"",IF(NOT($AS467),"",ROUND((Constants!$B$12-$AB467)+(Constants!$B$13-$Z467)+(Constants!$B$14-$AA467),1)))</f>
        <v/>
      </c>
      <c r="AV467" s="90" t="str">
        <f aca="false">IF($BL467&lt;&gt;Constants!$B$4,"",IF(NOT($AS467),"",IF(NOT($AE467),0,Constants!$B$15*(INT(ROUND(MIN($AF467,$AP$9),6))-INT(ROUND(MAX(0,MIN($AF467,2*$AP$9)-$AP$9),6))))))</f>
        <v/>
      </c>
      <c r="AW467" s="90" t="str">
        <f aca="false">IF($BL467&lt;&gt;Constants!$B$4,"",IF(NOT($AS467),"",Constants!$B$16*$AG467))</f>
        <v/>
      </c>
      <c r="AX467" s="90" t="str">
        <f aca="false">IF($BL467&lt;&gt;Constants!$B$4,"",IF(NOT($AS467),"",Constants!$B$18*INT(ROUND($AH467,6))))</f>
        <v/>
      </c>
      <c r="AY467" s="85" t="str">
        <f aca="false">IF($BL467&lt;&gt;Constants!$B$4,"",IF(NOT($AS467),"",IF(NOT($X467),Constants!$B$11,IF(OR(NOT($AC467),NOT($AD467),ROUND($AB467,1)&gt;Constants!$B$12,ROUND($Z467,1)&gt;Constants!$B$13,ROUND($AA467,1)&gt;Constants!$B$14),Constants!$B$10,Constants!$B$9))))</f>
        <v/>
      </c>
      <c r="AZ467" s="91" t="str">
        <f aca="false">IF($BL467&lt;&gt;Constants!$B$4,"",IF(NOT($AS467),"",ROUND($AU467+$AV467+$AW467+$AX467,1)))</f>
        <v/>
      </c>
      <c r="BA467" s="92" t="str">
        <f aca="false">IF($BL467&lt;&gt;Constants!$B$4,"",IF(NOT($AS467),"",IF(ISNUMBER($AF467),$AF467,0)))</f>
        <v/>
      </c>
      <c r="BB467" s="86" t="str">
        <f aca="false">IF($BL467&lt;&gt;Constants!$B$4,"",IF(NOT($BC467),"&lt;-",IF(NOT($AS467),"-&gt;",IF(OR($BI467&lt;$AY467,AND($BI467=$AY467,OR($BJ467&gt;$AZ467,AND($BJ467=$AZ467,OR($BH467&gt;$AX467,AND($BH467=$AX467,OR($BE467&gt;$AU467,AND($BE467=$AU467,OR($BF467&gt;$AV467,AND($BF467=$AV467,$BK467&gt;$BA467)))))))))),"-&gt;","&lt;-"))))</f>
        <v/>
      </c>
      <c r="BC467" s="85" t="str">
        <f aca="false">IF(ISBLANK($C467),"",COUNTA($P467:$U467)&gt;0)</f>
        <v/>
      </c>
      <c r="BD467" s="85" t="str">
        <f aca="false">IF(ISBLANK($C467),"",AND($BC467,OR(AND($AL467="",OR($AK467,NOT(ISBLANK($S467)))),$AM467="",$AN467="")))</f>
        <v/>
      </c>
      <c r="BE467" s="87" t="str">
        <f aca="false">IF($BL467&lt;&gt;Constants!$B$4,"",IF(NOT($BC467),"",ROUND((Constants!$B$12-$AB467)+(Constants!$B$13-$Z467)+(Constants!$B$14-$AA467),1)))</f>
        <v/>
      </c>
      <c r="BF467" s="90" t="str">
        <f aca="false">IF($BL467&lt;&gt;Constants!$B$4,"",IF(NOT($BC467),"",IF(NOT($AK467),0,Constants!$B$15*(INT(ROUND(MIN($AL467,$AP$9),6))-INT(ROUND(MAX(0,MIN($AL467,2*$AP$9)-$AP$9),6))))))</f>
        <v/>
      </c>
      <c r="BG467" s="90" t="str">
        <f aca="false">IF($BL467&lt;&gt;Constants!$B$4,"",IF(NOT($BC467),"",Constants!$B$16*$AM467))</f>
        <v/>
      </c>
      <c r="BH467" s="90" t="str">
        <f aca="false">IF($BL467&lt;&gt;Constants!$B$4,"",IF(NOT($BC467),"",Constants!$B$18*INT(ROUND($AN467,6))))</f>
        <v/>
      </c>
      <c r="BI467" s="85" t="str">
        <f aca="false">IF($BL467&lt;&gt;Constants!$B$4,"",IF(NOT($BC467),"",IF(NOT($X467),Constants!$B$11,IF(OR(NOT($AI467),NOT($AJ467),ROUND($AB467,1)&gt;Constants!$B$12,ROUND($Z467,1)&gt;Constants!$B$13,ROUND($AA467,1)&gt;Constants!$B$14),Constants!$B$10,Constants!$B$9))))</f>
        <v/>
      </c>
      <c r="BJ467" s="91" t="str">
        <f aca="false">IF($BL467&lt;&gt;Constants!$B$4,"",IF(NOT($BC467),"",ROUND($BE467+$BF467+$BG467+$BH467,1)))</f>
        <v/>
      </c>
      <c r="BK467" s="92" t="str">
        <f aca="false">IF($BL467&lt;&gt;Constants!$B$4,"",IF(NOT($BC467),"",IF(ISNUMBER($AL467),$AL467,0)))</f>
        <v/>
      </c>
      <c r="BL467" s="86" t="str">
        <f aca="false">IF(ISBLANK($C467),"",IF($AO467,Constants!$B$7,IF(COUNTA($E467:$V467)=0,Constants!$B$6,IF(NOT($Y467),Constants!$B$5,IF(NOT(OR($AS467,$BC467)),Constants!$B$5,IF(OR($AT467,$BD467,$AQ467,$AR467&lt;&gt;""),Constants!$B$8,Constants!$B$4))))))</f>
        <v/>
      </c>
      <c r="BM467" s="86" t="str">
        <f aca="false">IF(ISBLANK($C467),"",IF($BL467&lt;&gt;Constants!$B$4,$BL467,IF($BB467="-&gt;",$BI467,$AY467)))</f>
        <v/>
      </c>
      <c r="BN467" s="90" t="str">
        <f aca="false">IF($BL467&lt;&gt;Constants!$B$4,"",IF($BB467="-&gt;",$BJ467,$AZ467))</f>
        <v/>
      </c>
      <c r="BO467" s="90" t="str">
        <f aca="false">IF(ISBLANK($C467),"",IF($BL467&lt;&gt;Constants!$B$4,$BL467,$BN467))</f>
        <v/>
      </c>
      <c r="BP467" s="86" t="str">
        <f aca="false">IF(ISBLANK($C467),"",IF($BL467&lt;&gt;Constants!$B$4,$BL467,RANK($BO467,$BO$9:$BO$508,0)))</f>
        <v/>
      </c>
      <c r="BQ467" s="86" t="str">
        <f aca="false">IF(ISBLANK($C467),"",IF($BL467&lt;&gt;Constants!$B$4,$BL467,COUNTIFS($BM$9:$BM$508,"&lt;"&amp;$BM467)+COUNTIFS($BM$9:$BM$508,$BM467,$BP$9:$BP$508,"&lt;"&amp;$BP467)+1))</f>
        <v/>
      </c>
      <c r="BR467" s="90" t="str">
        <f aca="false">IF($BL467&lt;&gt;Constants!$B$4,"",IF($BB467="-&gt;",$BH467,$AX467))</f>
        <v/>
      </c>
      <c r="BS467" s="86" t="str">
        <f aca="false">IF(ISBLANK($C467),"",IF($BL467&lt;&gt;Constants!$B$4,$BL467,IF(ISNUMBER($BR467),RANK($BR467,$BR$9:$BR$508,0),COUNT($BR$9:$BR$508)+1)))</f>
        <v/>
      </c>
      <c r="BT467" s="90" t="str">
        <f aca="false">IF($BL467&lt;&gt;Constants!$B$4,"",IF($BB467="-&gt;",$BE467,$AU467))</f>
        <v/>
      </c>
      <c r="BU467" s="86" t="str">
        <f aca="false">IF(ISBLANK($C467),"",IF($BL467&lt;&gt;Constants!$B$4,$BL467,IF(ISNUMBER($BT467),RANK($BT467,$BT$9:$BT$508,0),COUNT($BT$9:$BT$508)+1)))</f>
        <v/>
      </c>
      <c r="BV467" s="90" t="str">
        <f aca="false">IF($BL467&lt;&gt;Constants!$B$4,"",IF($BB467="-&gt;",$BF467,$AV467))</f>
        <v/>
      </c>
      <c r="BW467" s="86" t="str">
        <f aca="false">IF(ISBLANK($C467),"",IF($BL467&lt;&gt;Constants!$B$4,$BL467,IF(ISNUMBER($BV467),RANK($BV467,$BV$9:$BV$508,0),COUNT($BV$9:$BV$508)+1)))</f>
        <v/>
      </c>
      <c r="BX467" s="90" t="str">
        <f aca="false">IF($BL467&lt;&gt;Constants!$B$4,"",IF($BB467="-&gt;",$BK467,$BA467))</f>
        <v/>
      </c>
      <c r="BY467" s="86" t="str">
        <f aca="false">IF(ISBLANK($C467),"",IF($BL467&lt;&gt;Constants!$B$4,$BL467,IF(ISNUMBER($BX467),RANK($BX467,$BX$9:$BX$508,0),COUNT($BX$9:$BX$508)+1)))</f>
        <v/>
      </c>
      <c r="BZ467" s="86" t="str">
        <f aca="false">IF(ISBLANK($C467),"",IF($BL467&lt;&gt;Constants!$B$4,$BL467,COUNTIFS($BM$9:$BM$508,"&lt;"&amp;$BM467)+COUNTIFS($BM$9:$BM$508,$BM467,$BP$9:$BP$508,"&lt;"&amp;$BP467)+COUNTIFS($BM$9:$BM$508,$BM467,$BP$9:$BP$508,$BP467,$BS$9:$BS$508,"&lt;"&amp;$BS467)+COUNTIFS($BM$9:$BM$508,$BM467,$BP$9:$BP$508,$BP467,$BS$9:$BS$508,$BS467,$BU$9:$BU$508,"&lt;"&amp;$BU467)+COUNTIFS($BM$9:$BM$508,$BM467,$BP$9:$BP$508,$BP467,$BS$9:$BS$508,$BS467,$BU$9:$BU$508,$BU467,$BW$9:$BW$508,"&lt;"&amp;$BW467)+COUNTIFS($BM$9:$BM$508,$BM467,$BP$9:$BP$508,$BP467,$BS$9:$BS$508,$BS467,$BU$9:$BU$508,$BU467,$BW$9:$BW$508,$BW467,$BY$9:$BY$508,"&lt;"&amp;$BY467)+1))</f>
        <v/>
      </c>
      <c r="CA467" s="86" t="str">
        <f aca="false">IF(ISBLANK($C467),"",IF($BL467&lt;&gt;Constants!$B$4,$BL467,$BQ467-$BZ467))</f>
        <v/>
      </c>
      <c r="CB467" s="93"/>
      <c r="CC467" s="94" t="str">
        <f aca="false">IF(ISBLANK($C467),"",IF($BL467=Constants!$B$8,$AR467,""))</f>
        <v/>
      </c>
      <c r="CD467" s="94" t="str">
        <f aca="false">IF(ISBLANK($C467),"",IF($BL467&lt;&gt;Constants!$B$4,"",IF($BB467="-&gt;",2,1)))</f>
        <v/>
      </c>
      <c r="CE467" s="95" t="str">
        <f aca="false">IF(ISBLANK($C467),"",IF($BL467&lt;&gt;Constants!$B$4,"",IF($BB467="-&gt;",$BE467,$AU467)))</f>
        <v/>
      </c>
      <c r="CF467" s="95" t="str">
        <f aca="false">IF(ISBLANK($C467),"",IF($BL467&lt;&gt;Constants!$B$4,"",IF($BB467="-&gt;",$BF467,$AV467)))</f>
        <v/>
      </c>
      <c r="CG467" s="95" t="str">
        <f aca="false">IF(ISBLANK($C467),"",IF($BL467&lt;&gt;Constants!$B$4,"",IF($BB467="-&gt;",$BG467,$AW467)))</f>
        <v/>
      </c>
      <c r="CH467" s="95" t="str">
        <f aca="false">IF(ISBLANK($C467),"",IF($BL467&lt;&gt;Constants!$B$4,"",IF($BB467="-&gt;",$BH467,$AX467)))</f>
        <v/>
      </c>
      <c r="CI467" s="96" t="str">
        <f aca="false">IF(ISBLANK($C467),"",$BO467)</f>
        <v/>
      </c>
      <c r="CJ467" s="97" t="str">
        <f aca="false">IF(ISBLANK($C467),"",$BM467)</f>
        <v/>
      </c>
      <c r="CK467" s="98" t="str">
        <f aca="false">IF(ISBLANK($C467),"",$CA467)</f>
        <v/>
      </c>
      <c r="CL467" s="98" t="str">
        <f aca="false">IF(ISBLANK($C467),"",$BZ467)</f>
        <v/>
      </c>
      <c r="CM467" s="99" t="str">
        <f aca="false">IF(ISBLANK($C467),"",IF($CL467=Constants!$B$7,COUNTA($C$9:$C$508)+2,IF($CL467=Constants!$B$6,COUNTA($C$9:$C$508)+1,IF($CL467=Constants!$B$5,COUNTA($C$9:$C$508),$CL467))))</f>
        <v/>
      </c>
      <c r="CN467" s="8"/>
      <c r="CO467" s="100" t="n">
        <f aca="false">IF(OR(ISNUMBER($CL467),$CL467=Constants!$B$7,$CL467=Constants!$B$5,$CL467=Constants!$B$6),1,0)</f>
        <v>0</v>
      </c>
      <c r="CP467" s="100" t="n">
        <v>459</v>
      </c>
      <c r="CQ467" s="100" t="str">
        <f aca="false">IF(ISBLANK($C467),"",IF(ISNUMBER($CM467),$CM467+ROW($B467)/1000,""))</f>
        <v/>
      </c>
      <c r="CR467" s="100" t="str">
        <f aca="false">IF(ISNUMBER($CQ467),RANK($CQ467,$CQ$9:$CQ$508,1),"")</f>
        <v/>
      </c>
      <c r="CS467" s="100" t="str">
        <f aca="false">IF(ISBLANK($C467),"",$B467)</f>
        <v/>
      </c>
      <c r="CT467" s="100" t="str">
        <f aca="false">IF(ISBLANK($C467),"",$C467)</f>
        <v/>
      </c>
      <c r="CU467" s="100" t="str">
        <f aca="false">IF(ISBLANK($C467),"",$D467)</f>
        <v/>
      </c>
      <c r="CV467" s="101" t="str">
        <f aca="false">$CJ467</f>
        <v/>
      </c>
      <c r="CW467" s="102" t="str">
        <f aca="false">$CI467</f>
        <v/>
      </c>
      <c r="CX467" s="100" t="str">
        <f aca="false">IF(ISBLANK($C467),"",$CL467)</f>
        <v/>
      </c>
      <c r="CY467" s="103" t="str">
        <f aca="false">IF($CP467&gt;$CO$8,"",VLOOKUP($CP467,$CR$9:$CX$508,7,FALSE()))</f>
        <v/>
      </c>
      <c r="CZ467" s="104" t="str">
        <f aca="false">IF($CP467&gt;$CO$8,"",VLOOKUP($CP467,$CR$9:$CX$508,2,FALSE()))</f>
        <v/>
      </c>
      <c r="DA467" s="104" t="str">
        <f aca="false">IF($CP467&gt;$CO$8,"",VLOOKUP($CP467,$CR$9:$CX$508,3,FALSE()))</f>
        <v/>
      </c>
      <c r="DB467" s="104" t="str">
        <f aca="false">IF($CP467&gt;$CO$8,"",VLOOKUP($CP467,$CR$9:$CX$508,4,FALSE()))</f>
        <v/>
      </c>
      <c r="DC467" s="104" t="str">
        <f aca="false">IF($CP467&gt;$CO$8,"",VLOOKUP($CP467,$CR$9:$CX$508,5,FALSE()))</f>
        <v/>
      </c>
      <c r="DD467" s="105" t="str">
        <f aca="false">IF($CP467&gt;$CO$8,"",VLOOKUP($CP467,$CR$9:$CX$508,6,FALSE()))</f>
        <v/>
      </c>
      <c r="DE467" s="70"/>
    </row>
    <row r="468" customFormat="false" ht="15.75" hidden="false" customHeight="false" outlineLevel="0" collapsed="false">
      <c r="A468" s="8"/>
      <c r="B468" s="146"/>
      <c r="C468" s="147"/>
      <c r="D468" s="148"/>
      <c r="E468" s="164"/>
      <c r="F468" s="150"/>
      <c r="G468" s="115"/>
      <c r="H468" s="115"/>
      <c r="I468" s="115"/>
      <c r="J468" s="165"/>
      <c r="K468" s="154"/>
      <c r="L468" s="154"/>
      <c r="M468" s="118"/>
      <c r="N468" s="154"/>
      <c r="O468" s="153"/>
      <c r="P468" s="154"/>
      <c r="Q468" s="154"/>
      <c r="R468" s="154"/>
      <c r="S468" s="115"/>
      <c r="T468" s="154"/>
      <c r="U468" s="153"/>
      <c r="V468" s="154"/>
      <c r="W468" s="123"/>
      <c r="X468" s="124" t="str">
        <f aca="false">IF(ISBLANK($C468),"",IF($E468=Constants!$B$2,TRUE(),IF($E468=Constants!$B$3,FALSE(),TRUE())))</f>
        <v/>
      </c>
      <c r="Y468" s="124" t="str">
        <f aca="false">IF(ISBLANK($C468),"",IF($F468=Constants!$B$2,TRUE(),IF($F468=Constants!$B$3,FALSE(),TRUE())))</f>
        <v/>
      </c>
      <c r="Z468" s="125" t="str">
        <f aca="false">IF(ISBLANK($C468),"",IF(ISNUMBER($G468),IF($G468&gt;=0,$G468,""),""))</f>
        <v/>
      </c>
      <c r="AA468" s="125" t="str">
        <f aca="false">IF(ISBLANK($C468),"",IF(ISNUMBER($H468),IF($H468&gt;=0,$H468,""),""))</f>
        <v/>
      </c>
      <c r="AB468" s="125" t="str">
        <f aca="false">IF(ISBLANK($C468),"",IF(ISNUMBER($I468),IF($I468&gt;=0,$I468,""),""))</f>
        <v/>
      </c>
      <c r="AC468" s="124" t="str">
        <f aca="false">IF(ISBLANK($C468),"",IF($J468=Constants!$B$2,TRUE(),IF($J468=Constants!$B$3,FALSE(),TRUE())))</f>
        <v/>
      </c>
      <c r="AD468" s="124" t="str">
        <f aca="false">IF(ISBLANK($C468),"",IF($K468=Constants!$B$2,TRUE(),IF($K468=Constants!$B$3,FALSE(),TRUE())))</f>
        <v/>
      </c>
      <c r="AE468" s="124" t="str">
        <f aca="false">IF(ISBLANK($C468),"",IF($L468=Constants!$B$2,TRUE(),IF($L468=Constants!$B$3,FALSE(),TRUE())))</f>
        <v/>
      </c>
      <c r="AF468" s="126" t="str">
        <f aca="false">IF(ISBLANK($C468),"",IF(ISNUMBER($M468),IF($M468&gt;=0,$M468,""),""))</f>
        <v/>
      </c>
      <c r="AG468" s="124" t="str">
        <f aca="false">IF(ISBLANK($C468),"",IF(ISBLANK($N468),0,IF(ISNUMBER($N468),IF(AND($N468&gt;=0,$N468&lt;=Constants!$B$17,$N468=INT($N468)),$N468,""),"")))</f>
        <v/>
      </c>
      <c r="AH468" s="125" t="str">
        <f aca="false">IF(ISBLANK($C468),"",IF(ISBLANK($O468),0,IF(ISNUMBER($O468),IF($O468&gt;=0,$O468,""),"")))</f>
        <v/>
      </c>
      <c r="AI468" s="124" t="str">
        <f aca="false">IF(ISBLANK($C468),"",IF($P468=Constants!$B$2,TRUE(),IF($P468=Constants!$B$3,FALSE(),TRUE())))</f>
        <v/>
      </c>
      <c r="AJ468" s="124" t="str">
        <f aca="false">IF(ISBLANK($C468),"",IF($Q468=Constants!$B$2,TRUE(),IF($Q468=Constants!$B$3,FALSE(),TRUE())))</f>
        <v/>
      </c>
      <c r="AK468" s="124" t="str">
        <f aca="false">IF(ISBLANK($C468),"",IF($R468=Constants!$B$2,TRUE(),IF($R468=Constants!$B$3,FALSE(),TRUE())))</f>
        <v/>
      </c>
      <c r="AL468" s="126" t="str">
        <f aca="false">IF(ISBLANK($C468),"",IF(ISNUMBER($S468),IF($S468&gt;=0,$S468,""),""))</f>
        <v/>
      </c>
      <c r="AM468" s="124" t="str">
        <f aca="false">IF(ISBLANK($C468),"",IF(ISBLANK($T468),0,IF(ISNUMBER($T468),IF(AND($T468&gt;=0,$T468&lt;=Constants!$B$17,$T468=INT($T468)),$T468,""),"")))</f>
        <v/>
      </c>
      <c r="AN468" s="125" t="str">
        <f aca="false">IF(ISBLANK($C468),"",IF(ISBLANK($U468),0,IF(ISNUMBER($U468),IF($U468&gt;=0,$U468,""),"")))</f>
        <v/>
      </c>
      <c r="AO468" s="124" t="str">
        <f aca="false">IF(ISBLANK($C468),"",IF($V468=Constants!$B$2,TRUE(),IF($V468=Constants!$B$3,FALSE(),FALSE())))</f>
        <v/>
      </c>
      <c r="AP468" s="124"/>
      <c r="AQ468" s="123" t="str">
        <f aca="false">IF(ISBLANK($C468),"",AND($Y468,OR($AS468,$BC468),OR($Z468="",$AA468="",$AB468="")))</f>
        <v/>
      </c>
      <c r="AR468" s="123" t="str">
        <f aca="false">IF(ISBLANK($C468),"",IF(OR(NOT($Y468),NOT(OR($AS468,$BC468))),"",IF(ISBLANK($D$7),$AR$5,IF($AP$9="",$AR$6,""))))</f>
        <v/>
      </c>
      <c r="AS468" s="123" t="str">
        <f aca="false">IF(ISBLANK($C468),"",COUNTA($J468:$O468)&gt;0)</f>
        <v/>
      </c>
      <c r="AT468" s="123" t="str">
        <f aca="false">IF(ISBLANK($C468),"",AND($AS468,OR(AND($AF468="",OR($AE468,NOT(ISBLANK($M468)))),$AG468="",$AH468="")))</f>
        <v/>
      </c>
      <c r="AU468" s="125" t="str">
        <f aca="false">IF($BL468&lt;&gt;Constants!$B$4,"",IF(NOT($AS468),"",ROUND((Constants!$B$12-$AB468)+(Constants!$B$13-$Z468)+(Constants!$B$14-$AA468),1)))</f>
        <v/>
      </c>
      <c r="AV468" s="127" t="str">
        <f aca="false">IF($BL468&lt;&gt;Constants!$B$4,"",IF(NOT($AS468),"",IF(NOT($AE468),0,Constants!$B$15*(INT(ROUND(MIN($AF468,$AP$9),6))-INT(ROUND(MAX(0,MIN($AF468,2*$AP$9)-$AP$9),6))))))</f>
        <v/>
      </c>
      <c r="AW468" s="127" t="str">
        <f aca="false">IF($BL468&lt;&gt;Constants!$B$4,"",IF(NOT($AS468),"",Constants!$B$16*$AG468))</f>
        <v/>
      </c>
      <c r="AX468" s="127" t="str">
        <f aca="false">IF($BL468&lt;&gt;Constants!$B$4,"",IF(NOT($AS468),"",Constants!$B$18*INT(ROUND($AH468,6))))</f>
        <v/>
      </c>
      <c r="AY468" s="123" t="str">
        <f aca="false">IF($BL468&lt;&gt;Constants!$B$4,"",IF(NOT($AS468),"",IF(NOT($X468),Constants!$B$11,IF(OR(NOT($AC468),NOT($AD468),ROUND($AB468,1)&gt;Constants!$B$12,ROUND($Z468,1)&gt;Constants!$B$13,ROUND($AA468,1)&gt;Constants!$B$14),Constants!$B$10,Constants!$B$9))))</f>
        <v/>
      </c>
      <c r="AZ468" s="128" t="str">
        <f aca="false">IF($BL468&lt;&gt;Constants!$B$4,"",IF(NOT($AS468),"",ROUND($AU468+$AV468+$AW468+$AX468,1)))</f>
        <v/>
      </c>
      <c r="BA468" s="129" t="str">
        <f aca="false">IF($BL468&lt;&gt;Constants!$B$4,"",IF(NOT($AS468),"",IF(ISNUMBER($AF468),$AF468,0)))</f>
        <v/>
      </c>
      <c r="BB468" s="124" t="str">
        <f aca="false">IF($BL468&lt;&gt;Constants!$B$4,"",IF(NOT($BC468),"&lt;-",IF(NOT($AS468),"-&gt;",IF(OR($BI468&lt;$AY468,AND($BI468=$AY468,OR($BJ468&gt;$AZ468,AND($BJ468=$AZ468,OR($BH468&gt;$AX468,AND($BH468=$AX468,OR($BE468&gt;$AU468,AND($BE468=$AU468,OR($BF468&gt;$AV468,AND($BF468=$AV468,$BK468&gt;$BA468)))))))))),"-&gt;","&lt;-"))))</f>
        <v/>
      </c>
      <c r="BC468" s="123" t="str">
        <f aca="false">IF(ISBLANK($C468),"",COUNTA($P468:$U468)&gt;0)</f>
        <v/>
      </c>
      <c r="BD468" s="123" t="str">
        <f aca="false">IF(ISBLANK($C468),"",AND($BC468,OR(AND($AL468="",OR($AK468,NOT(ISBLANK($S468)))),$AM468="",$AN468="")))</f>
        <v/>
      </c>
      <c r="BE468" s="125" t="str">
        <f aca="false">IF($BL468&lt;&gt;Constants!$B$4,"",IF(NOT($BC468),"",ROUND((Constants!$B$12-$AB468)+(Constants!$B$13-$Z468)+(Constants!$B$14-$AA468),1)))</f>
        <v/>
      </c>
      <c r="BF468" s="127" t="str">
        <f aca="false">IF($BL468&lt;&gt;Constants!$B$4,"",IF(NOT($BC468),"",IF(NOT($AK468),0,Constants!$B$15*(INT(ROUND(MIN($AL468,$AP$9),6))-INT(ROUND(MAX(0,MIN($AL468,2*$AP$9)-$AP$9),6))))))</f>
        <v/>
      </c>
      <c r="BG468" s="127" t="str">
        <f aca="false">IF($BL468&lt;&gt;Constants!$B$4,"",IF(NOT($BC468),"",Constants!$B$16*$AM468))</f>
        <v/>
      </c>
      <c r="BH468" s="127" t="str">
        <f aca="false">IF($BL468&lt;&gt;Constants!$B$4,"",IF(NOT($BC468),"",Constants!$B$18*INT(ROUND($AN468,6))))</f>
        <v/>
      </c>
      <c r="BI468" s="123" t="str">
        <f aca="false">IF($BL468&lt;&gt;Constants!$B$4,"",IF(NOT($BC468),"",IF(NOT($X468),Constants!$B$11,IF(OR(NOT($AI468),NOT($AJ468),ROUND($AB468,1)&gt;Constants!$B$12,ROUND($Z468,1)&gt;Constants!$B$13,ROUND($AA468,1)&gt;Constants!$B$14),Constants!$B$10,Constants!$B$9))))</f>
        <v/>
      </c>
      <c r="BJ468" s="128" t="str">
        <f aca="false">IF($BL468&lt;&gt;Constants!$B$4,"",IF(NOT($BC468),"",ROUND($BE468+$BF468+$BG468+$BH468,1)))</f>
        <v/>
      </c>
      <c r="BK468" s="129" t="str">
        <f aca="false">IF($BL468&lt;&gt;Constants!$B$4,"",IF(NOT($BC468),"",IF(ISNUMBER($AL468),$AL468,0)))</f>
        <v/>
      </c>
      <c r="BL468" s="124" t="str">
        <f aca="false">IF(ISBLANK($C468),"",IF($AO468,Constants!$B$7,IF(COUNTA($E468:$V468)=0,Constants!$B$6,IF(NOT($Y468),Constants!$B$5,IF(NOT(OR($AS468,$BC468)),Constants!$B$5,IF(OR($AT468,$BD468,$AQ468,$AR468&lt;&gt;""),Constants!$B$8,Constants!$B$4))))))</f>
        <v/>
      </c>
      <c r="BM468" s="124" t="str">
        <f aca="false">IF(ISBLANK($C468),"",IF($BL468&lt;&gt;Constants!$B$4,$BL468,IF($BB468="-&gt;",$BI468,$AY468)))</f>
        <v/>
      </c>
      <c r="BN468" s="127" t="str">
        <f aca="false">IF($BL468&lt;&gt;Constants!$B$4,"",IF($BB468="-&gt;",$BJ468,$AZ468))</f>
        <v/>
      </c>
      <c r="BO468" s="127" t="str">
        <f aca="false">IF(ISBLANK($C468),"",IF($BL468&lt;&gt;Constants!$B$4,$BL468,$BN468))</f>
        <v/>
      </c>
      <c r="BP468" s="124" t="str">
        <f aca="false">IF(ISBLANK($C468),"",IF($BL468&lt;&gt;Constants!$B$4,$BL468,RANK($BO468,$BO$9:$BO$508,0)))</f>
        <v/>
      </c>
      <c r="BQ468" s="124" t="str">
        <f aca="false">IF(ISBLANK($C468),"",IF($BL468&lt;&gt;Constants!$B$4,$BL468,COUNTIFS($BM$9:$BM$508,"&lt;"&amp;$BM468)+COUNTIFS($BM$9:$BM$508,$BM468,$BP$9:$BP$508,"&lt;"&amp;$BP468)+1))</f>
        <v/>
      </c>
      <c r="BR468" s="127" t="str">
        <f aca="false">IF($BL468&lt;&gt;Constants!$B$4,"",IF($BB468="-&gt;",$BH468,$AX468))</f>
        <v/>
      </c>
      <c r="BS468" s="124" t="str">
        <f aca="false">IF(ISBLANK($C468),"",IF($BL468&lt;&gt;Constants!$B$4,$BL468,IF(ISNUMBER($BR468),RANK($BR468,$BR$9:$BR$508,0),COUNT($BR$9:$BR$508)+1)))</f>
        <v/>
      </c>
      <c r="BT468" s="127" t="str">
        <f aca="false">IF($BL468&lt;&gt;Constants!$B$4,"",IF($BB468="-&gt;",$BE468,$AU468))</f>
        <v/>
      </c>
      <c r="BU468" s="124" t="str">
        <f aca="false">IF(ISBLANK($C468),"",IF($BL468&lt;&gt;Constants!$B$4,$BL468,IF(ISNUMBER($BT468),RANK($BT468,$BT$9:$BT$508,0),COUNT($BT$9:$BT$508)+1)))</f>
        <v/>
      </c>
      <c r="BV468" s="127" t="str">
        <f aca="false">IF($BL468&lt;&gt;Constants!$B$4,"",IF($BB468="-&gt;",$BF468,$AV468))</f>
        <v/>
      </c>
      <c r="BW468" s="124" t="str">
        <f aca="false">IF(ISBLANK($C468),"",IF($BL468&lt;&gt;Constants!$B$4,$BL468,IF(ISNUMBER($BV468),RANK($BV468,$BV$9:$BV$508,0),COUNT($BV$9:$BV$508)+1)))</f>
        <v/>
      </c>
      <c r="BX468" s="127" t="str">
        <f aca="false">IF($BL468&lt;&gt;Constants!$B$4,"",IF($BB468="-&gt;",$BK468,$BA468))</f>
        <v/>
      </c>
      <c r="BY468" s="124" t="str">
        <f aca="false">IF(ISBLANK($C468),"",IF($BL468&lt;&gt;Constants!$B$4,$BL468,IF(ISNUMBER($BX468),RANK($BX468,$BX$9:$BX$508,0),COUNT($BX$9:$BX$508)+1)))</f>
        <v/>
      </c>
      <c r="BZ468" s="124" t="str">
        <f aca="false">IF(ISBLANK($C468),"",IF($BL468&lt;&gt;Constants!$B$4,$BL468,COUNTIFS($BM$9:$BM$508,"&lt;"&amp;$BM468)+COUNTIFS($BM$9:$BM$508,$BM468,$BP$9:$BP$508,"&lt;"&amp;$BP468)+COUNTIFS($BM$9:$BM$508,$BM468,$BP$9:$BP$508,$BP468,$BS$9:$BS$508,"&lt;"&amp;$BS468)+COUNTIFS($BM$9:$BM$508,$BM468,$BP$9:$BP$508,$BP468,$BS$9:$BS$508,$BS468,$BU$9:$BU$508,"&lt;"&amp;$BU468)+COUNTIFS($BM$9:$BM$508,$BM468,$BP$9:$BP$508,$BP468,$BS$9:$BS$508,$BS468,$BU$9:$BU$508,$BU468,$BW$9:$BW$508,"&lt;"&amp;$BW468)+COUNTIFS($BM$9:$BM$508,$BM468,$BP$9:$BP$508,$BP468,$BS$9:$BS$508,$BS468,$BU$9:$BU$508,$BU468,$BW$9:$BW$508,$BW468,$BY$9:$BY$508,"&lt;"&amp;$BY468)+1))</f>
        <v/>
      </c>
      <c r="CA468" s="124" t="str">
        <f aca="false">IF(ISBLANK($C468),"",IF($BL468&lt;&gt;Constants!$B$4,$BL468,$BQ468-$BZ468))</f>
        <v/>
      </c>
      <c r="CB468" s="130"/>
      <c r="CC468" s="131" t="str">
        <f aca="false">IF(ISBLANK($C468),"",IF($BL468=Constants!$B$8,$AR468,""))</f>
        <v/>
      </c>
      <c r="CD468" s="131" t="str">
        <f aca="false">IF(ISBLANK($C468),"",IF($BL468&lt;&gt;Constants!$B$4,"",IF($BB468="-&gt;",2,1)))</f>
        <v/>
      </c>
      <c r="CE468" s="132" t="str">
        <f aca="false">IF(ISBLANK($C468),"",IF($BL468&lt;&gt;Constants!$B$4,"",IF($BB468="-&gt;",$BE468,$AU468)))</f>
        <v/>
      </c>
      <c r="CF468" s="132" t="str">
        <f aca="false">IF(ISBLANK($C468),"",IF($BL468&lt;&gt;Constants!$B$4,"",IF($BB468="-&gt;",$BF468,$AV468)))</f>
        <v/>
      </c>
      <c r="CG468" s="132" t="str">
        <f aca="false">IF(ISBLANK($C468),"",IF($BL468&lt;&gt;Constants!$B$4,"",IF($BB468="-&gt;",$BG468,$AW468)))</f>
        <v/>
      </c>
      <c r="CH468" s="132" t="str">
        <f aca="false">IF(ISBLANK($C468),"",IF($BL468&lt;&gt;Constants!$B$4,"",IF($BB468="-&gt;",$BH468,$AX468)))</f>
        <v/>
      </c>
      <c r="CI468" s="133" t="str">
        <f aca="false">IF(ISBLANK($C468),"",$BO468)</f>
        <v/>
      </c>
      <c r="CJ468" s="134" t="str">
        <f aca="false">IF(ISBLANK($C468),"",$BM468)</f>
        <v/>
      </c>
      <c r="CK468" s="135" t="str">
        <f aca="false">IF(ISBLANK($C468),"",$CA468)</f>
        <v/>
      </c>
      <c r="CL468" s="135" t="str">
        <f aca="false">IF(ISBLANK($C468),"",$BZ468)</f>
        <v/>
      </c>
      <c r="CM468" s="136" t="str">
        <f aca="false">IF(ISBLANK($C468),"",IF($CL468=Constants!$B$7,COUNTA($C$9:$C$508)+2,IF($CL468=Constants!$B$6,COUNTA($C$9:$C$508)+1,IF($CL468=Constants!$B$5,COUNTA($C$9:$C$508),$CL468))))</f>
        <v/>
      </c>
      <c r="CN468" s="8"/>
      <c r="CO468" s="137" t="n">
        <f aca="false">IF(OR(ISNUMBER($CL468),$CL468=Constants!$B$7,$CL468=Constants!$B$5,$CL468=Constants!$B$6),1,0)</f>
        <v>0</v>
      </c>
      <c r="CP468" s="137" t="n">
        <v>460</v>
      </c>
      <c r="CQ468" s="137" t="str">
        <f aca="false">IF(ISBLANK($C468),"",IF(ISNUMBER($CM468),$CM468+ROW($B468)/1000,""))</f>
        <v/>
      </c>
      <c r="CR468" s="137" t="str">
        <f aca="false">IF(ISNUMBER($CQ468),RANK($CQ468,$CQ$9:$CQ$508,1),"")</f>
        <v/>
      </c>
      <c r="CS468" s="137" t="str">
        <f aca="false">IF(ISBLANK($C468),"",$B468)</f>
        <v/>
      </c>
      <c r="CT468" s="137" t="str">
        <f aca="false">IF(ISBLANK($C468),"",$C468)</f>
        <v/>
      </c>
      <c r="CU468" s="137" t="str">
        <f aca="false">IF(ISBLANK($C468),"",$D468)</f>
        <v/>
      </c>
      <c r="CV468" s="138" t="str">
        <f aca="false">$CJ468</f>
        <v/>
      </c>
      <c r="CW468" s="139" t="str">
        <f aca="false">$CI468</f>
        <v/>
      </c>
      <c r="CX468" s="137" t="str">
        <f aca="false">IF(ISBLANK($C468),"",$CL468)</f>
        <v/>
      </c>
      <c r="CY468" s="140" t="str">
        <f aca="false">IF($CP468&gt;$CO$8,"",VLOOKUP($CP468,$CR$9:$CX$508,7,FALSE()))</f>
        <v/>
      </c>
      <c r="CZ468" s="141" t="str">
        <f aca="false">IF($CP468&gt;$CO$8,"",VLOOKUP($CP468,$CR$9:$CX$508,2,FALSE()))</f>
        <v/>
      </c>
      <c r="DA468" s="141" t="str">
        <f aca="false">IF($CP468&gt;$CO$8,"",VLOOKUP($CP468,$CR$9:$CX$508,3,FALSE()))</f>
        <v/>
      </c>
      <c r="DB468" s="141" t="str">
        <f aca="false">IF($CP468&gt;$CO$8,"",VLOOKUP($CP468,$CR$9:$CX$508,4,FALSE()))</f>
        <v/>
      </c>
      <c r="DC468" s="141" t="str">
        <f aca="false">IF($CP468&gt;$CO$8,"",VLOOKUP($CP468,$CR$9:$CX$508,5,FALSE()))</f>
        <v/>
      </c>
      <c r="DD468" s="142" t="str">
        <f aca="false">IF($CP468&gt;$CO$8,"",VLOOKUP($CP468,$CR$9:$CX$508,6,FALSE()))</f>
        <v/>
      </c>
      <c r="DE468" s="70"/>
    </row>
    <row r="469" customFormat="false" ht="15.75" hidden="false" customHeight="false" outlineLevel="0" collapsed="false">
      <c r="A469" s="8"/>
      <c r="B469" s="146"/>
      <c r="C469" s="147"/>
      <c r="D469" s="148"/>
      <c r="E469" s="164"/>
      <c r="F469" s="150"/>
      <c r="G469" s="115"/>
      <c r="H469" s="115"/>
      <c r="I469" s="115"/>
      <c r="J469" s="165"/>
      <c r="K469" s="154"/>
      <c r="L469" s="154"/>
      <c r="M469" s="118"/>
      <c r="N469" s="154"/>
      <c r="O469" s="153"/>
      <c r="P469" s="154"/>
      <c r="Q469" s="154"/>
      <c r="R469" s="154"/>
      <c r="S469" s="115"/>
      <c r="T469" s="154"/>
      <c r="U469" s="153"/>
      <c r="V469" s="154"/>
      <c r="W469" s="123"/>
      <c r="X469" s="124" t="str">
        <f aca="false">IF(ISBLANK($C469),"",IF($E469=Constants!$B$2,TRUE(),IF($E469=Constants!$B$3,FALSE(),TRUE())))</f>
        <v/>
      </c>
      <c r="Y469" s="124" t="str">
        <f aca="false">IF(ISBLANK($C469),"",IF($F469=Constants!$B$2,TRUE(),IF($F469=Constants!$B$3,FALSE(),TRUE())))</f>
        <v/>
      </c>
      <c r="Z469" s="125" t="str">
        <f aca="false">IF(ISBLANK($C469),"",IF(ISNUMBER($G469),IF($G469&gt;=0,$G469,""),""))</f>
        <v/>
      </c>
      <c r="AA469" s="125" t="str">
        <f aca="false">IF(ISBLANK($C469),"",IF(ISNUMBER($H469),IF($H469&gt;=0,$H469,""),""))</f>
        <v/>
      </c>
      <c r="AB469" s="125" t="str">
        <f aca="false">IF(ISBLANK($C469),"",IF(ISNUMBER($I469),IF($I469&gt;=0,$I469,""),""))</f>
        <v/>
      </c>
      <c r="AC469" s="124" t="str">
        <f aca="false">IF(ISBLANK($C469),"",IF($J469=Constants!$B$2,TRUE(),IF($J469=Constants!$B$3,FALSE(),TRUE())))</f>
        <v/>
      </c>
      <c r="AD469" s="124" t="str">
        <f aca="false">IF(ISBLANK($C469),"",IF($K469=Constants!$B$2,TRUE(),IF($K469=Constants!$B$3,FALSE(),TRUE())))</f>
        <v/>
      </c>
      <c r="AE469" s="124" t="str">
        <f aca="false">IF(ISBLANK($C469),"",IF($L469=Constants!$B$2,TRUE(),IF($L469=Constants!$B$3,FALSE(),TRUE())))</f>
        <v/>
      </c>
      <c r="AF469" s="126" t="str">
        <f aca="false">IF(ISBLANK($C469),"",IF(ISNUMBER($M469),IF($M469&gt;=0,$M469,""),""))</f>
        <v/>
      </c>
      <c r="AG469" s="124" t="str">
        <f aca="false">IF(ISBLANK($C469),"",IF(ISBLANK($N469),0,IF(ISNUMBER($N469),IF(AND($N469&gt;=0,$N469&lt;=Constants!$B$17,$N469=INT($N469)),$N469,""),"")))</f>
        <v/>
      </c>
      <c r="AH469" s="125" t="str">
        <f aca="false">IF(ISBLANK($C469),"",IF(ISBLANK($O469),0,IF(ISNUMBER($O469),IF($O469&gt;=0,$O469,""),"")))</f>
        <v/>
      </c>
      <c r="AI469" s="124" t="str">
        <f aca="false">IF(ISBLANK($C469),"",IF($P469=Constants!$B$2,TRUE(),IF($P469=Constants!$B$3,FALSE(),TRUE())))</f>
        <v/>
      </c>
      <c r="AJ469" s="124" t="str">
        <f aca="false">IF(ISBLANK($C469),"",IF($Q469=Constants!$B$2,TRUE(),IF($Q469=Constants!$B$3,FALSE(),TRUE())))</f>
        <v/>
      </c>
      <c r="AK469" s="124" t="str">
        <f aca="false">IF(ISBLANK($C469),"",IF($R469=Constants!$B$2,TRUE(),IF($R469=Constants!$B$3,FALSE(),TRUE())))</f>
        <v/>
      </c>
      <c r="AL469" s="126" t="str">
        <f aca="false">IF(ISBLANK($C469),"",IF(ISNUMBER($S469),IF($S469&gt;=0,$S469,""),""))</f>
        <v/>
      </c>
      <c r="AM469" s="124" t="str">
        <f aca="false">IF(ISBLANK($C469),"",IF(ISBLANK($T469),0,IF(ISNUMBER($T469),IF(AND($T469&gt;=0,$T469&lt;=Constants!$B$17,$T469=INT($T469)),$T469,""),"")))</f>
        <v/>
      </c>
      <c r="AN469" s="125" t="str">
        <f aca="false">IF(ISBLANK($C469),"",IF(ISBLANK($U469),0,IF(ISNUMBER($U469),IF($U469&gt;=0,$U469,""),"")))</f>
        <v/>
      </c>
      <c r="AO469" s="124" t="str">
        <f aca="false">IF(ISBLANK($C469),"",IF($V469=Constants!$B$2,TRUE(),IF($V469=Constants!$B$3,FALSE(),FALSE())))</f>
        <v/>
      </c>
      <c r="AP469" s="124"/>
      <c r="AQ469" s="123" t="str">
        <f aca="false">IF(ISBLANK($C469),"",AND($Y469,OR($AS469,$BC469),OR($Z469="",$AA469="",$AB469="")))</f>
        <v/>
      </c>
      <c r="AR469" s="123" t="str">
        <f aca="false">IF(ISBLANK($C469),"",IF(OR(NOT($Y469),NOT(OR($AS469,$BC469))),"",IF(ISBLANK($D$7),$AR$5,IF($AP$9="",$AR$6,""))))</f>
        <v/>
      </c>
      <c r="AS469" s="123" t="str">
        <f aca="false">IF(ISBLANK($C469),"",COUNTA($J469:$O469)&gt;0)</f>
        <v/>
      </c>
      <c r="AT469" s="123" t="str">
        <f aca="false">IF(ISBLANK($C469),"",AND($AS469,OR(AND($AF469="",OR($AE469,NOT(ISBLANK($M469)))),$AG469="",$AH469="")))</f>
        <v/>
      </c>
      <c r="AU469" s="125" t="str">
        <f aca="false">IF($BL469&lt;&gt;Constants!$B$4,"",IF(NOT($AS469),"",ROUND((Constants!$B$12-$AB469)+(Constants!$B$13-$Z469)+(Constants!$B$14-$AA469),1)))</f>
        <v/>
      </c>
      <c r="AV469" s="127" t="str">
        <f aca="false">IF($BL469&lt;&gt;Constants!$B$4,"",IF(NOT($AS469),"",IF(NOT($AE469),0,Constants!$B$15*(INT(ROUND(MIN($AF469,$AP$9),6))-INT(ROUND(MAX(0,MIN($AF469,2*$AP$9)-$AP$9),6))))))</f>
        <v/>
      </c>
      <c r="AW469" s="127" t="str">
        <f aca="false">IF($BL469&lt;&gt;Constants!$B$4,"",IF(NOT($AS469),"",Constants!$B$16*$AG469))</f>
        <v/>
      </c>
      <c r="AX469" s="127" t="str">
        <f aca="false">IF($BL469&lt;&gt;Constants!$B$4,"",IF(NOT($AS469),"",Constants!$B$18*INT(ROUND($AH469,6))))</f>
        <v/>
      </c>
      <c r="AY469" s="123" t="str">
        <f aca="false">IF($BL469&lt;&gt;Constants!$B$4,"",IF(NOT($AS469),"",IF(NOT($X469),Constants!$B$11,IF(OR(NOT($AC469),NOT($AD469),ROUND($AB469,1)&gt;Constants!$B$12,ROUND($Z469,1)&gt;Constants!$B$13,ROUND($AA469,1)&gt;Constants!$B$14),Constants!$B$10,Constants!$B$9))))</f>
        <v/>
      </c>
      <c r="AZ469" s="128" t="str">
        <f aca="false">IF($BL469&lt;&gt;Constants!$B$4,"",IF(NOT($AS469),"",ROUND($AU469+$AV469+$AW469+$AX469,1)))</f>
        <v/>
      </c>
      <c r="BA469" s="129" t="str">
        <f aca="false">IF($BL469&lt;&gt;Constants!$B$4,"",IF(NOT($AS469),"",IF(ISNUMBER($AF469),$AF469,0)))</f>
        <v/>
      </c>
      <c r="BB469" s="124" t="str">
        <f aca="false">IF($BL469&lt;&gt;Constants!$B$4,"",IF(NOT($BC469),"&lt;-",IF(NOT($AS469),"-&gt;",IF(OR($BI469&lt;$AY469,AND($BI469=$AY469,OR($BJ469&gt;$AZ469,AND($BJ469=$AZ469,OR($BH469&gt;$AX469,AND($BH469=$AX469,OR($BE469&gt;$AU469,AND($BE469=$AU469,OR($BF469&gt;$AV469,AND($BF469=$AV469,$BK469&gt;$BA469)))))))))),"-&gt;","&lt;-"))))</f>
        <v/>
      </c>
      <c r="BC469" s="123" t="str">
        <f aca="false">IF(ISBLANK($C469),"",COUNTA($P469:$U469)&gt;0)</f>
        <v/>
      </c>
      <c r="BD469" s="123" t="str">
        <f aca="false">IF(ISBLANK($C469),"",AND($BC469,OR(AND($AL469="",OR($AK469,NOT(ISBLANK($S469)))),$AM469="",$AN469="")))</f>
        <v/>
      </c>
      <c r="BE469" s="125" t="str">
        <f aca="false">IF($BL469&lt;&gt;Constants!$B$4,"",IF(NOT($BC469),"",ROUND((Constants!$B$12-$AB469)+(Constants!$B$13-$Z469)+(Constants!$B$14-$AA469),1)))</f>
        <v/>
      </c>
      <c r="BF469" s="127" t="str">
        <f aca="false">IF($BL469&lt;&gt;Constants!$B$4,"",IF(NOT($BC469),"",IF(NOT($AK469),0,Constants!$B$15*(INT(ROUND(MIN($AL469,$AP$9),6))-INT(ROUND(MAX(0,MIN($AL469,2*$AP$9)-$AP$9),6))))))</f>
        <v/>
      </c>
      <c r="BG469" s="127" t="str">
        <f aca="false">IF($BL469&lt;&gt;Constants!$B$4,"",IF(NOT($BC469),"",Constants!$B$16*$AM469))</f>
        <v/>
      </c>
      <c r="BH469" s="127" t="str">
        <f aca="false">IF($BL469&lt;&gt;Constants!$B$4,"",IF(NOT($BC469),"",Constants!$B$18*INT(ROUND($AN469,6))))</f>
        <v/>
      </c>
      <c r="BI469" s="123" t="str">
        <f aca="false">IF($BL469&lt;&gt;Constants!$B$4,"",IF(NOT($BC469),"",IF(NOT($X469),Constants!$B$11,IF(OR(NOT($AI469),NOT($AJ469),ROUND($AB469,1)&gt;Constants!$B$12,ROUND($Z469,1)&gt;Constants!$B$13,ROUND($AA469,1)&gt;Constants!$B$14),Constants!$B$10,Constants!$B$9))))</f>
        <v/>
      </c>
      <c r="BJ469" s="128" t="str">
        <f aca="false">IF($BL469&lt;&gt;Constants!$B$4,"",IF(NOT($BC469),"",ROUND($BE469+$BF469+$BG469+$BH469,1)))</f>
        <v/>
      </c>
      <c r="BK469" s="129" t="str">
        <f aca="false">IF($BL469&lt;&gt;Constants!$B$4,"",IF(NOT($BC469),"",IF(ISNUMBER($AL469),$AL469,0)))</f>
        <v/>
      </c>
      <c r="BL469" s="124" t="str">
        <f aca="false">IF(ISBLANK($C469),"",IF($AO469,Constants!$B$7,IF(COUNTA($E469:$V469)=0,Constants!$B$6,IF(NOT($Y469),Constants!$B$5,IF(NOT(OR($AS469,$BC469)),Constants!$B$5,IF(OR($AT469,$BD469,$AQ469,$AR469&lt;&gt;""),Constants!$B$8,Constants!$B$4))))))</f>
        <v/>
      </c>
      <c r="BM469" s="124" t="str">
        <f aca="false">IF(ISBLANK($C469),"",IF($BL469&lt;&gt;Constants!$B$4,$BL469,IF($BB469="-&gt;",$BI469,$AY469)))</f>
        <v/>
      </c>
      <c r="BN469" s="127" t="str">
        <f aca="false">IF($BL469&lt;&gt;Constants!$B$4,"",IF($BB469="-&gt;",$BJ469,$AZ469))</f>
        <v/>
      </c>
      <c r="BO469" s="127" t="str">
        <f aca="false">IF(ISBLANK($C469),"",IF($BL469&lt;&gt;Constants!$B$4,$BL469,$BN469))</f>
        <v/>
      </c>
      <c r="BP469" s="124" t="str">
        <f aca="false">IF(ISBLANK($C469),"",IF($BL469&lt;&gt;Constants!$B$4,$BL469,RANK($BO469,$BO$9:$BO$508,0)))</f>
        <v/>
      </c>
      <c r="BQ469" s="124" t="str">
        <f aca="false">IF(ISBLANK($C469),"",IF($BL469&lt;&gt;Constants!$B$4,$BL469,COUNTIFS($BM$9:$BM$508,"&lt;"&amp;$BM469)+COUNTIFS($BM$9:$BM$508,$BM469,$BP$9:$BP$508,"&lt;"&amp;$BP469)+1))</f>
        <v/>
      </c>
      <c r="BR469" s="127" t="str">
        <f aca="false">IF($BL469&lt;&gt;Constants!$B$4,"",IF($BB469="-&gt;",$BH469,$AX469))</f>
        <v/>
      </c>
      <c r="BS469" s="124" t="str">
        <f aca="false">IF(ISBLANK($C469),"",IF($BL469&lt;&gt;Constants!$B$4,$BL469,IF(ISNUMBER($BR469),RANK($BR469,$BR$9:$BR$508,0),COUNT($BR$9:$BR$508)+1)))</f>
        <v/>
      </c>
      <c r="BT469" s="127" t="str">
        <f aca="false">IF($BL469&lt;&gt;Constants!$B$4,"",IF($BB469="-&gt;",$BE469,$AU469))</f>
        <v/>
      </c>
      <c r="BU469" s="124" t="str">
        <f aca="false">IF(ISBLANK($C469),"",IF($BL469&lt;&gt;Constants!$B$4,$BL469,IF(ISNUMBER($BT469),RANK($BT469,$BT$9:$BT$508,0),COUNT($BT$9:$BT$508)+1)))</f>
        <v/>
      </c>
      <c r="BV469" s="127" t="str">
        <f aca="false">IF($BL469&lt;&gt;Constants!$B$4,"",IF($BB469="-&gt;",$BF469,$AV469))</f>
        <v/>
      </c>
      <c r="BW469" s="124" t="str">
        <f aca="false">IF(ISBLANK($C469),"",IF($BL469&lt;&gt;Constants!$B$4,$BL469,IF(ISNUMBER($BV469),RANK($BV469,$BV$9:$BV$508,0),COUNT($BV$9:$BV$508)+1)))</f>
        <v/>
      </c>
      <c r="BX469" s="127" t="str">
        <f aca="false">IF($BL469&lt;&gt;Constants!$B$4,"",IF($BB469="-&gt;",$BK469,$BA469))</f>
        <v/>
      </c>
      <c r="BY469" s="124" t="str">
        <f aca="false">IF(ISBLANK($C469),"",IF($BL469&lt;&gt;Constants!$B$4,$BL469,IF(ISNUMBER($BX469),RANK($BX469,$BX$9:$BX$508,0),COUNT($BX$9:$BX$508)+1)))</f>
        <v/>
      </c>
      <c r="BZ469" s="124" t="str">
        <f aca="false">IF(ISBLANK($C469),"",IF($BL469&lt;&gt;Constants!$B$4,$BL469,COUNTIFS($BM$9:$BM$508,"&lt;"&amp;$BM469)+COUNTIFS($BM$9:$BM$508,$BM469,$BP$9:$BP$508,"&lt;"&amp;$BP469)+COUNTIFS($BM$9:$BM$508,$BM469,$BP$9:$BP$508,$BP469,$BS$9:$BS$508,"&lt;"&amp;$BS469)+COUNTIFS($BM$9:$BM$508,$BM469,$BP$9:$BP$508,$BP469,$BS$9:$BS$508,$BS469,$BU$9:$BU$508,"&lt;"&amp;$BU469)+COUNTIFS($BM$9:$BM$508,$BM469,$BP$9:$BP$508,$BP469,$BS$9:$BS$508,$BS469,$BU$9:$BU$508,$BU469,$BW$9:$BW$508,"&lt;"&amp;$BW469)+COUNTIFS($BM$9:$BM$508,$BM469,$BP$9:$BP$508,$BP469,$BS$9:$BS$508,$BS469,$BU$9:$BU$508,$BU469,$BW$9:$BW$508,$BW469,$BY$9:$BY$508,"&lt;"&amp;$BY469)+1))</f>
        <v/>
      </c>
      <c r="CA469" s="124" t="str">
        <f aca="false">IF(ISBLANK($C469),"",IF($BL469&lt;&gt;Constants!$B$4,$BL469,$BQ469-$BZ469))</f>
        <v/>
      </c>
      <c r="CB469" s="130"/>
      <c r="CC469" s="131" t="str">
        <f aca="false">IF(ISBLANK($C469),"",IF($BL469=Constants!$B$8,$AR469,""))</f>
        <v/>
      </c>
      <c r="CD469" s="131" t="str">
        <f aca="false">IF(ISBLANK($C469),"",IF($BL469&lt;&gt;Constants!$B$4,"",IF($BB469="-&gt;",2,1)))</f>
        <v/>
      </c>
      <c r="CE469" s="132" t="str">
        <f aca="false">IF(ISBLANK($C469),"",IF($BL469&lt;&gt;Constants!$B$4,"",IF($BB469="-&gt;",$BE469,$AU469)))</f>
        <v/>
      </c>
      <c r="CF469" s="132" t="str">
        <f aca="false">IF(ISBLANK($C469),"",IF($BL469&lt;&gt;Constants!$B$4,"",IF($BB469="-&gt;",$BF469,$AV469)))</f>
        <v/>
      </c>
      <c r="CG469" s="132" t="str">
        <f aca="false">IF(ISBLANK($C469),"",IF($BL469&lt;&gt;Constants!$B$4,"",IF($BB469="-&gt;",$BG469,$AW469)))</f>
        <v/>
      </c>
      <c r="CH469" s="132" t="str">
        <f aca="false">IF(ISBLANK($C469),"",IF($BL469&lt;&gt;Constants!$B$4,"",IF($BB469="-&gt;",$BH469,$AX469)))</f>
        <v/>
      </c>
      <c r="CI469" s="133" t="str">
        <f aca="false">IF(ISBLANK($C469),"",$BO469)</f>
        <v/>
      </c>
      <c r="CJ469" s="134" t="str">
        <f aca="false">IF(ISBLANK($C469),"",$BM469)</f>
        <v/>
      </c>
      <c r="CK469" s="135" t="str">
        <f aca="false">IF(ISBLANK($C469),"",$CA469)</f>
        <v/>
      </c>
      <c r="CL469" s="135" t="str">
        <f aca="false">IF(ISBLANK($C469),"",$BZ469)</f>
        <v/>
      </c>
      <c r="CM469" s="136" t="str">
        <f aca="false">IF(ISBLANK($C469),"",IF($CL469=Constants!$B$7,COUNTA($C$9:$C$508)+2,IF($CL469=Constants!$B$6,COUNTA($C$9:$C$508)+1,IF($CL469=Constants!$B$5,COUNTA($C$9:$C$508),$CL469))))</f>
        <v/>
      </c>
      <c r="CN469" s="8"/>
      <c r="CO469" s="137" t="n">
        <f aca="false">IF(OR(ISNUMBER($CL469),$CL469=Constants!$B$7,$CL469=Constants!$B$5,$CL469=Constants!$B$6),1,0)</f>
        <v>0</v>
      </c>
      <c r="CP469" s="137" t="n">
        <v>461</v>
      </c>
      <c r="CQ469" s="137" t="str">
        <f aca="false">IF(ISBLANK($C469),"",IF(ISNUMBER($CM469),$CM469+ROW($B469)/1000,""))</f>
        <v/>
      </c>
      <c r="CR469" s="137" t="str">
        <f aca="false">IF(ISNUMBER($CQ469),RANK($CQ469,$CQ$9:$CQ$508,1),"")</f>
        <v/>
      </c>
      <c r="CS469" s="137" t="str">
        <f aca="false">IF(ISBLANK($C469),"",$B469)</f>
        <v/>
      </c>
      <c r="CT469" s="137" t="str">
        <f aca="false">IF(ISBLANK($C469),"",$C469)</f>
        <v/>
      </c>
      <c r="CU469" s="137" t="str">
        <f aca="false">IF(ISBLANK($C469),"",$D469)</f>
        <v/>
      </c>
      <c r="CV469" s="138" t="str">
        <f aca="false">$CJ469</f>
        <v/>
      </c>
      <c r="CW469" s="139" t="str">
        <f aca="false">$CI469</f>
        <v/>
      </c>
      <c r="CX469" s="137" t="str">
        <f aca="false">IF(ISBLANK($C469),"",$CL469)</f>
        <v/>
      </c>
      <c r="CY469" s="140" t="str">
        <f aca="false">IF($CP469&gt;$CO$8,"",VLOOKUP($CP469,$CR$9:$CX$508,7,FALSE()))</f>
        <v/>
      </c>
      <c r="CZ469" s="141" t="str">
        <f aca="false">IF($CP469&gt;$CO$8,"",VLOOKUP($CP469,$CR$9:$CX$508,2,FALSE()))</f>
        <v/>
      </c>
      <c r="DA469" s="141" t="str">
        <f aca="false">IF($CP469&gt;$CO$8,"",VLOOKUP($CP469,$CR$9:$CX$508,3,FALSE()))</f>
        <v/>
      </c>
      <c r="DB469" s="141" t="str">
        <f aca="false">IF($CP469&gt;$CO$8,"",VLOOKUP($CP469,$CR$9:$CX$508,4,FALSE()))</f>
        <v/>
      </c>
      <c r="DC469" s="141" t="str">
        <f aca="false">IF($CP469&gt;$CO$8,"",VLOOKUP($CP469,$CR$9:$CX$508,5,FALSE()))</f>
        <v/>
      </c>
      <c r="DD469" s="142" t="str">
        <f aca="false">IF($CP469&gt;$CO$8,"",VLOOKUP($CP469,$CR$9:$CX$508,6,FALSE()))</f>
        <v/>
      </c>
      <c r="DE469" s="70"/>
    </row>
    <row r="470" customFormat="false" ht="15.75" hidden="false" customHeight="false" outlineLevel="0" collapsed="false">
      <c r="A470" s="8"/>
      <c r="B470" s="146"/>
      <c r="C470" s="147"/>
      <c r="D470" s="148"/>
      <c r="E470" s="164"/>
      <c r="F470" s="150"/>
      <c r="G470" s="115"/>
      <c r="H470" s="115"/>
      <c r="I470" s="115"/>
      <c r="J470" s="165"/>
      <c r="K470" s="154"/>
      <c r="L470" s="154"/>
      <c r="M470" s="118"/>
      <c r="N470" s="154"/>
      <c r="O470" s="153"/>
      <c r="P470" s="154"/>
      <c r="Q470" s="154"/>
      <c r="R470" s="154"/>
      <c r="S470" s="115"/>
      <c r="T470" s="154"/>
      <c r="U470" s="153"/>
      <c r="V470" s="154"/>
      <c r="W470" s="123"/>
      <c r="X470" s="124" t="str">
        <f aca="false">IF(ISBLANK($C470),"",IF($E470=Constants!$B$2,TRUE(),IF($E470=Constants!$B$3,FALSE(),TRUE())))</f>
        <v/>
      </c>
      <c r="Y470" s="124" t="str">
        <f aca="false">IF(ISBLANK($C470),"",IF($F470=Constants!$B$2,TRUE(),IF($F470=Constants!$B$3,FALSE(),TRUE())))</f>
        <v/>
      </c>
      <c r="Z470" s="125" t="str">
        <f aca="false">IF(ISBLANK($C470),"",IF(ISNUMBER($G470),IF($G470&gt;=0,$G470,""),""))</f>
        <v/>
      </c>
      <c r="AA470" s="125" t="str">
        <f aca="false">IF(ISBLANK($C470),"",IF(ISNUMBER($H470),IF($H470&gt;=0,$H470,""),""))</f>
        <v/>
      </c>
      <c r="AB470" s="125" t="str">
        <f aca="false">IF(ISBLANK($C470),"",IF(ISNUMBER($I470),IF($I470&gt;=0,$I470,""),""))</f>
        <v/>
      </c>
      <c r="AC470" s="124" t="str">
        <f aca="false">IF(ISBLANK($C470),"",IF($J470=Constants!$B$2,TRUE(),IF($J470=Constants!$B$3,FALSE(),TRUE())))</f>
        <v/>
      </c>
      <c r="AD470" s="124" t="str">
        <f aca="false">IF(ISBLANK($C470),"",IF($K470=Constants!$B$2,TRUE(),IF($K470=Constants!$B$3,FALSE(),TRUE())))</f>
        <v/>
      </c>
      <c r="AE470" s="124" t="str">
        <f aca="false">IF(ISBLANK($C470),"",IF($L470=Constants!$B$2,TRUE(),IF($L470=Constants!$B$3,FALSE(),TRUE())))</f>
        <v/>
      </c>
      <c r="AF470" s="126" t="str">
        <f aca="false">IF(ISBLANK($C470),"",IF(ISNUMBER($M470),IF($M470&gt;=0,$M470,""),""))</f>
        <v/>
      </c>
      <c r="AG470" s="124" t="str">
        <f aca="false">IF(ISBLANK($C470),"",IF(ISBLANK($N470),0,IF(ISNUMBER($N470),IF(AND($N470&gt;=0,$N470&lt;=Constants!$B$17,$N470=INT($N470)),$N470,""),"")))</f>
        <v/>
      </c>
      <c r="AH470" s="125" t="str">
        <f aca="false">IF(ISBLANK($C470),"",IF(ISBLANK($O470),0,IF(ISNUMBER($O470),IF($O470&gt;=0,$O470,""),"")))</f>
        <v/>
      </c>
      <c r="AI470" s="124" t="str">
        <f aca="false">IF(ISBLANK($C470),"",IF($P470=Constants!$B$2,TRUE(),IF($P470=Constants!$B$3,FALSE(),TRUE())))</f>
        <v/>
      </c>
      <c r="AJ470" s="124" t="str">
        <f aca="false">IF(ISBLANK($C470),"",IF($Q470=Constants!$B$2,TRUE(),IF($Q470=Constants!$B$3,FALSE(),TRUE())))</f>
        <v/>
      </c>
      <c r="AK470" s="124" t="str">
        <f aca="false">IF(ISBLANK($C470),"",IF($R470=Constants!$B$2,TRUE(),IF($R470=Constants!$B$3,FALSE(),TRUE())))</f>
        <v/>
      </c>
      <c r="AL470" s="126" t="str">
        <f aca="false">IF(ISBLANK($C470),"",IF(ISNUMBER($S470),IF($S470&gt;=0,$S470,""),""))</f>
        <v/>
      </c>
      <c r="AM470" s="124" t="str">
        <f aca="false">IF(ISBLANK($C470),"",IF(ISBLANK($T470),0,IF(ISNUMBER($T470),IF(AND($T470&gt;=0,$T470&lt;=Constants!$B$17,$T470=INT($T470)),$T470,""),"")))</f>
        <v/>
      </c>
      <c r="AN470" s="125" t="str">
        <f aca="false">IF(ISBLANK($C470),"",IF(ISBLANK($U470),0,IF(ISNUMBER($U470),IF($U470&gt;=0,$U470,""),"")))</f>
        <v/>
      </c>
      <c r="AO470" s="124" t="str">
        <f aca="false">IF(ISBLANK($C470),"",IF($V470=Constants!$B$2,TRUE(),IF($V470=Constants!$B$3,FALSE(),FALSE())))</f>
        <v/>
      </c>
      <c r="AP470" s="124"/>
      <c r="AQ470" s="123" t="str">
        <f aca="false">IF(ISBLANK($C470),"",AND($Y470,OR($AS470,$BC470),OR($Z470="",$AA470="",$AB470="")))</f>
        <v/>
      </c>
      <c r="AR470" s="123" t="str">
        <f aca="false">IF(ISBLANK($C470),"",IF(OR(NOT($Y470),NOT(OR($AS470,$BC470))),"",IF(ISBLANK($D$7),$AR$5,IF($AP$9="",$AR$6,""))))</f>
        <v/>
      </c>
      <c r="AS470" s="123" t="str">
        <f aca="false">IF(ISBLANK($C470),"",COUNTA($J470:$O470)&gt;0)</f>
        <v/>
      </c>
      <c r="AT470" s="123" t="str">
        <f aca="false">IF(ISBLANK($C470),"",AND($AS470,OR(AND($AF470="",OR($AE470,NOT(ISBLANK($M470)))),$AG470="",$AH470="")))</f>
        <v/>
      </c>
      <c r="AU470" s="125" t="str">
        <f aca="false">IF($BL470&lt;&gt;Constants!$B$4,"",IF(NOT($AS470),"",ROUND((Constants!$B$12-$AB470)+(Constants!$B$13-$Z470)+(Constants!$B$14-$AA470),1)))</f>
        <v/>
      </c>
      <c r="AV470" s="127" t="str">
        <f aca="false">IF($BL470&lt;&gt;Constants!$B$4,"",IF(NOT($AS470),"",IF(NOT($AE470),0,Constants!$B$15*(INT(ROUND(MIN($AF470,$AP$9),6))-INT(ROUND(MAX(0,MIN($AF470,2*$AP$9)-$AP$9),6))))))</f>
        <v/>
      </c>
      <c r="AW470" s="127" t="str">
        <f aca="false">IF($BL470&lt;&gt;Constants!$B$4,"",IF(NOT($AS470),"",Constants!$B$16*$AG470))</f>
        <v/>
      </c>
      <c r="AX470" s="127" t="str">
        <f aca="false">IF($BL470&lt;&gt;Constants!$B$4,"",IF(NOT($AS470),"",Constants!$B$18*INT(ROUND($AH470,6))))</f>
        <v/>
      </c>
      <c r="AY470" s="123" t="str">
        <f aca="false">IF($BL470&lt;&gt;Constants!$B$4,"",IF(NOT($AS470),"",IF(NOT($X470),Constants!$B$11,IF(OR(NOT($AC470),NOT($AD470),ROUND($AB470,1)&gt;Constants!$B$12,ROUND($Z470,1)&gt;Constants!$B$13,ROUND($AA470,1)&gt;Constants!$B$14),Constants!$B$10,Constants!$B$9))))</f>
        <v/>
      </c>
      <c r="AZ470" s="128" t="str">
        <f aca="false">IF($BL470&lt;&gt;Constants!$B$4,"",IF(NOT($AS470),"",ROUND($AU470+$AV470+$AW470+$AX470,1)))</f>
        <v/>
      </c>
      <c r="BA470" s="129" t="str">
        <f aca="false">IF($BL470&lt;&gt;Constants!$B$4,"",IF(NOT($AS470),"",IF(ISNUMBER($AF470),$AF470,0)))</f>
        <v/>
      </c>
      <c r="BB470" s="124" t="str">
        <f aca="false">IF($BL470&lt;&gt;Constants!$B$4,"",IF(NOT($BC470),"&lt;-",IF(NOT($AS470),"-&gt;",IF(OR($BI470&lt;$AY470,AND($BI470=$AY470,OR($BJ470&gt;$AZ470,AND($BJ470=$AZ470,OR($BH470&gt;$AX470,AND($BH470=$AX470,OR($BE470&gt;$AU470,AND($BE470=$AU470,OR($BF470&gt;$AV470,AND($BF470=$AV470,$BK470&gt;$BA470)))))))))),"-&gt;","&lt;-"))))</f>
        <v/>
      </c>
      <c r="BC470" s="123" t="str">
        <f aca="false">IF(ISBLANK($C470),"",COUNTA($P470:$U470)&gt;0)</f>
        <v/>
      </c>
      <c r="BD470" s="123" t="str">
        <f aca="false">IF(ISBLANK($C470),"",AND($BC470,OR(AND($AL470="",OR($AK470,NOT(ISBLANK($S470)))),$AM470="",$AN470="")))</f>
        <v/>
      </c>
      <c r="BE470" s="125" t="str">
        <f aca="false">IF($BL470&lt;&gt;Constants!$B$4,"",IF(NOT($BC470),"",ROUND((Constants!$B$12-$AB470)+(Constants!$B$13-$Z470)+(Constants!$B$14-$AA470),1)))</f>
        <v/>
      </c>
      <c r="BF470" s="127" t="str">
        <f aca="false">IF($BL470&lt;&gt;Constants!$B$4,"",IF(NOT($BC470),"",IF(NOT($AK470),0,Constants!$B$15*(INT(ROUND(MIN($AL470,$AP$9),6))-INT(ROUND(MAX(0,MIN($AL470,2*$AP$9)-$AP$9),6))))))</f>
        <v/>
      </c>
      <c r="BG470" s="127" t="str">
        <f aca="false">IF($BL470&lt;&gt;Constants!$B$4,"",IF(NOT($BC470),"",Constants!$B$16*$AM470))</f>
        <v/>
      </c>
      <c r="BH470" s="127" t="str">
        <f aca="false">IF($BL470&lt;&gt;Constants!$B$4,"",IF(NOT($BC470),"",Constants!$B$18*INT(ROUND($AN470,6))))</f>
        <v/>
      </c>
      <c r="BI470" s="123" t="str">
        <f aca="false">IF($BL470&lt;&gt;Constants!$B$4,"",IF(NOT($BC470),"",IF(NOT($X470),Constants!$B$11,IF(OR(NOT($AI470),NOT($AJ470),ROUND($AB470,1)&gt;Constants!$B$12,ROUND($Z470,1)&gt;Constants!$B$13,ROUND($AA470,1)&gt;Constants!$B$14),Constants!$B$10,Constants!$B$9))))</f>
        <v/>
      </c>
      <c r="BJ470" s="128" t="str">
        <f aca="false">IF($BL470&lt;&gt;Constants!$B$4,"",IF(NOT($BC470),"",ROUND($BE470+$BF470+$BG470+$BH470,1)))</f>
        <v/>
      </c>
      <c r="BK470" s="129" t="str">
        <f aca="false">IF($BL470&lt;&gt;Constants!$B$4,"",IF(NOT($BC470),"",IF(ISNUMBER($AL470),$AL470,0)))</f>
        <v/>
      </c>
      <c r="BL470" s="124" t="str">
        <f aca="false">IF(ISBLANK($C470),"",IF($AO470,Constants!$B$7,IF(COUNTA($E470:$V470)=0,Constants!$B$6,IF(NOT($Y470),Constants!$B$5,IF(NOT(OR($AS470,$BC470)),Constants!$B$5,IF(OR($AT470,$BD470,$AQ470,$AR470&lt;&gt;""),Constants!$B$8,Constants!$B$4))))))</f>
        <v/>
      </c>
      <c r="BM470" s="124" t="str">
        <f aca="false">IF(ISBLANK($C470),"",IF($BL470&lt;&gt;Constants!$B$4,$BL470,IF($BB470="-&gt;",$BI470,$AY470)))</f>
        <v/>
      </c>
      <c r="BN470" s="127" t="str">
        <f aca="false">IF($BL470&lt;&gt;Constants!$B$4,"",IF($BB470="-&gt;",$BJ470,$AZ470))</f>
        <v/>
      </c>
      <c r="BO470" s="127" t="str">
        <f aca="false">IF(ISBLANK($C470),"",IF($BL470&lt;&gt;Constants!$B$4,$BL470,$BN470))</f>
        <v/>
      </c>
      <c r="BP470" s="124" t="str">
        <f aca="false">IF(ISBLANK($C470),"",IF($BL470&lt;&gt;Constants!$B$4,$BL470,RANK($BO470,$BO$9:$BO$508,0)))</f>
        <v/>
      </c>
      <c r="BQ470" s="124" t="str">
        <f aca="false">IF(ISBLANK($C470),"",IF($BL470&lt;&gt;Constants!$B$4,$BL470,COUNTIFS($BM$9:$BM$508,"&lt;"&amp;$BM470)+COUNTIFS($BM$9:$BM$508,$BM470,$BP$9:$BP$508,"&lt;"&amp;$BP470)+1))</f>
        <v/>
      </c>
      <c r="BR470" s="127" t="str">
        <f aca="false">IF($BL470&lt;&gt;Constants!$B$4,"",IF($BB470="-&gt;",$BH470,$AX470))</f>
        <v/>
      </c>
      <c r="BS470" s="124" t="str">
        <f aca="false">IF(ISBLANK($C470),"",IF($BL470&lt;&gt;Constants!$B$4,$BL470,IF(ISNUMBER($BR470),RANK($BR470,$BR$9:$BR$508,0),COUNT($BR$9:$BR$508)+1)))</f>
        <v/>
      </c>
      <c r="BT470" s="127" t="str">
        <f aca="false">IF($BL470&lt;&gt;Constants!$B$4,"",IF($BB470="-&gt;",$BE470,$AU470))</f>
        <v/>
      </c>
      <c r="BU470" s="124" t="str">
        <f aca="false">IF(ISBLANK($C470),"",IF($BL470&lt;&gt;Constants!$B$4,$BL470,IF(ISNUMBER($BT470),RANK($BT470,$BT$9:$BT$508,0),COUNT($BT$9:$BT$508)+1)))</f>
        <v/>
      </c>
      <c r="BV470" s="127" t="str">
        <f aca="false">IF($BL470&lt;&gt;Constants!$B$4,"",IF($BB470="-&gt;",$BF470,$AV470))</f>
        <v/>
      </c>
      <c r="BW470" s="124" t="str">
        <f aca="false">IF(ISBLANK($C470),"",IF($BL470&lt;&gt;Constants!$B$4,$BL470,IF(ISNUMBER($BV470),RANK($BV470,$BV$9:$BV$508,0),COUNT($BV$9:$BV$508)+1)))</f>
        <v/>
      </c>
      <c r="BX470" s="127" t="str">
        <f aca="false">IF($BL470&lt;&gt;Constants!$B$4,"",IF($BB470="-&gt;",$BK470,$BA470))</f>
        <v/>
      </c>
      <c r="BY470" s="124" t="str">
        <f aca="false">IF(ISBLANK($C470),"",IF($BL470&lt;&gt;Constants!$B$4,$BL470,IF(ISNUMBER($BX470),RANK($BX470,$BX$9:$BX$508,0),COUNT($BX$9:$BX$508)+1)))</f>
        <v/>
      </c>
      <c r="BZ470" s="124" t="str">
        <f aca="false">IF(ISBLANK($C470),"",IF($BL470&lt;&gt;Constants!$B$4,$BL470,COUNTIFS($BM$9:$BM$508,"&lt;"&amp;$BM470)+COUNTIFS($BM$9:$BM$508,$BM470,$BP$9:$BP$508,"&lt;"&amp;$BP470)+COUNTIFS($BM$9:$BM$508,$BM470,$BP$9:$BP$508,$BP470,$BS$9:$BS$508,"&lt;"&amp;$BS470)+COUNTIFS($BM$9:$BM$508,$BM470,$BP$9:$BP$508,$BP470,$BS$9:$BS$508,$BS470,$BU$9:$BU$508,"&lt;"&amp;$BU470)+COUNTIFS($BM$9:$BM$508,$BM470,$BP$9:$BP$508,$BP470,$BS$9:$BS$508,$BS470,$BU$9:$BU$508,$BU470,$BW$9:$BW$508,"&lt;"&amp;$BW470)+COUNTIFS($BM$9:$BM$508,$BM470,$BP$9:$BP$508,$BP470,$BS$9:$BS$508,$BS470,$BU$9:$BU$508,$BU470,$BW$9:$BW$508,$BW470,$BY$9:$BY$508,"&lt;"&amp;$BY470)+1))</f>
        <v/>
      </c>
      <c r="CA470" s="124" t="str">
        <f aca="false">IF(ISBLANK($C470),"",IF($BL470&lt;&gt;Constants!$B$4,$BL470,$BQ470-$BZ470))</f>
        <v/>
      </c>
      <c r="CB470" s="130"/>
      <c r="CC470" s="131" t="str">
        <f aca="false">IF(ISBLANK($C470),"",IF($BL470=Constants!$B$8,$AR470,""))</f>
        <v/>
      </c>
      <c r="CD470" s="131" t="str">
        <f aca="false">IF(ISBLANK($C470),"",IF($BL470&lt;&gt;Constants!$B$4,"",IF($BB470="-&gt;",2,1)))</f>
        <v/>
      </c>
      <c r="CE470" s="132" t="str">
        <f aca="false">IF(ISBLANK($C470),"",IF($BL470&lt;&gt;Constants!$B$4,"",IF($BB470="-&gt;",$BE470,$AU470)))</f>
        <v/>
      </c>
      <c r="CF470" s="132" t="str">
        <f aca="false">IF(ISBLANK($C470),"",IF($BL470&lt;&gt;Constants!$B$4,"",IF($BB470="-&gt;",$BF470,$AV470)))</f>
        <v/>
      </c>
      <c r="CG470" s="132" t="str">
        <f aca="false">IF(ISBLANK($C470),"",IF($BL470&lt;&gt;Constants!$B$4,"",IF($BB470="-&gt;",$BG470,$AW470)))</f>
        <v/>
      </c>
      <c r="CH470" s="132" t="str">
        <f aca="false">IF(ISBLANK($C470),"",IF($BL470&lt;&gt;Constants!$B$4,"",IF($BB470="-&gt;",$BH470,$AX470)))</f>
        <v/>
      </c>
      <c r="CI470" s="133" t="str">
        <f aca="false">IF(ISBLANK($C470),"",$BO470)</f>
        <v/>
      </c>
      <c r="CJ470" s="134" t="str">
        <f aca="false">IF(ISBLANK($C470),"",$BM470)</f>
        <v/>
      </c>
      <c r="CK470" s="135" t="str">
        <f aca="false">IF(ISBLANK($C470),"",$CA470)</f>
        <v/>
      </c>
      <c r="CL470" s="135" t="str">
        <f aca="false">IF(ISBLANK($C470),"",$BZ470)</f>
        <v/>
      </c>
      <c r="CM470" s="136" t="str">
        <f aca="false">IF(ISBLANK($C470),"",IF($CL470=Constants!$B$7,COUNTA($C$9:$C$508)+2,IF($CL470=Constants!$B$6,COUNTA($C$9:$C$508)+1,IF($CL470=Constants!$B$5,COUNTA($C$9:$C$508),$CL470))))</f>
        <v/>
      </c>
      <c r="CN470" s="8"/>
      <c r="CO470" s="137" t="n">
        <f aca="false">IF(OR(ISNUMBER($CL470),$CL470=Constants!$B$7,$CL470=Constants!$B$5,$CL470=Constants!$B$6),1,0)</f>
        <v>0</v>
      </c>
      <c r="CP470" s="137" t="n">
        <v>462</v>
      </c>
      <c r="CQ470" s="137" t="str">
        <f aca="false">IF(ISBLANK($C470),"",IF(ISNUMBER($CM470),$CM470+ROW($B470)/1000,""))</f>
        <v/>
      </c>
      <c r="CR470" s="137" t="str">
        <f aca="false">IF(ISNUMBER($CQ470),RANK($CQ470,$CQ$9:$CQ$508,1),"")</f>
        <v/>
      </c>
      <c r="CS470" s="137" t="str">
        <f aca="false">IF(ISBLANK($C470),"",$B470)</f>
        <v/>
      </c>
      <c r="CT470" s="137" t="str">
        <f aca="false">IF(ISBLANK($C470),"",$C470)</f>
        <v/>
      </c>
      <c r="CU470" s="137" t="str">
        <f aca="false">IF(ISBLANK($C470),"",$D470)</f>
        <v/>
      </c>
      <c r="CV470" s="138" t="str">
        <f aca="false">$CJ470</f>
        <v/>
      </c>
      <c r="CW470" s="139" t="str">
        <f aca="false">$CI470</f>
        <v/>
      </c>
      <c r="CX470" s="137" t="str">
        <f aca="false">IF(ISBLANK($C470),"",$CL470)</f>
        <v/>
      </c>
      <c r="CY470" s="140" t="str">
        <f aca="false">IF($CP470&gt;$CO$8,"",VLOOKUP($CP470,$CR$9:$CX$508,7,FALSE()))</f>
        <v/>
      </c>
      <c r="CZ470" s="141" t="str">
        <f aca="false">IF($CP470&gt;$CO$8,"",VLOOKUP($CP470,$CR$9:$CX$508,2,FALSE()))</f>
        <v/>
      </c>
      <c r="DA470" s="141" t="str">
        <f aca="false">IF($CP470&gt;$CO$8,"",VLOOKUP($CP470,$CR$9:$CX$508,3,FALSE()))</f>
        <v/>
      </c>
      <c r="DB470" s="141" t="str">
        <f aca="false">IF($CP470&gt;$CO$8,"",VLOOKUP($CP470,$CR$9:$CX$508,4,FALSE()))</f>
        <v/>
      </c>
      <c r="DC470" s="141" t="str">
        <f aca="false">IF($CP470&gt;$CO$8,"",VLOOKUP($CP470,$CR$9:$CX$508,5,FALSE()))</f>
        <v/>
      </c>
      <c r="DD470" s="142" t="str">
        <f aca="false">IF($CP470&gt;$CO$8,"",VLOOKUP($CP470,$CR$9:$CX$508,6,FALSE()))</f>
        <v/>
      </c>
      <c r="DE470" s="70"/>
    </row>
    <row r="471" customFormat="false" ht="15.75" hidden="false" customHeight="false" outlineLevel="0" collapsed="false">
      <c r="A471" s="8"/>
      <c r="B471" s="72"/>
      <c r="C471" s="73"/>
      <c r="D471" s="155"/>
      <c r="E471" s="162"/>
      <c r="F471" s="157"/>
      <c r="G471" s="77"/>
      <c r="H471" s="77"/>
      <c r="I471" s="77"/>
      <c r="J471" s="163"/>
      <c r="K471" s="161"/>
      <c r="L471" s="161"/>
      <c r="M471" s="80"/>
      <c r="N471" s="161"/>
      <c r="O471" s="160"/>
      <c r="P471" s="161"/>
      <c r="Q471" s="161"/>
      <c r="R471" s="161"/>
      <c r="S471" s="77"/>
      <c r="T471" s="161"/>
      <c r="U471" s="160"/>
      <c r="V471" s="161"/>
      <c r="W471" s="85"/>
      <c r="X471" s="86" t="str">
        <f aca="false">IF(ISBLANK($C471),"",IF($E471=Constants!$B$2,TRUE(),IF($E471=Constants!$B$3,FALSE(),TRUE())))</f>
        <v/>
      </c>
      <c r="Y471" s="86" t="str">
        <f aca="false">IF(ISBLANK($C471),"",IF($F471=Constants!$B$2,TRUE(),IF($F471=Constants!$B$3,FALSE(),TRUE())))</f>
        <v/>
      </c>
      <c r="Z471" s="87" t="str">
        <f aca="false">IF(ISBLANK($C471),"",IF(ISNUMBER($G471),IF($G471&gt;=0,$G471,""),""))</f>
        <v/>
      </c>
      <c r="AA471" s="87" t="str">
        <f aca="false">IF(ISBLANK($C471),"",IF(ISNUMBER($H471),IF($H471&gt;=0,$H471,""),""))</f>
        <v/>
      </c>
      <c r="AB471" s="87" t="str">
        <f aca="false">IF(ISBLANK($C471),"",IF(ISNUMBER($I471),IF($I471&gt;=0,$I471,""),""))</f>
        <v/>
      </c>
      <c r="AC471" s="86" t="str">
        <f aca="false">IF(ISBLANK($C471),"",IF($J471=Constants!$B$2,TRUE(),IF($J471=Constants!$B$3,FALSE(),TRUE())))</f>
        <v/>
      </c>
      <c r="AD471" s="86" t="str">
        <f aca="false">IF(ISBLANK($C471),"",IF($K471=Constants!$B$2,TRUE(),IF($K471=Constants!$B$3,FALSE(),TRUE())))</f>
        <v/>
      </c>
      <c r="AE471" s="86" t="str">
        <f aca="false">IF(ISBLANK($C471),"",IF($L471=Constants!$B$2,TRUE(),IF($L471=Constants!$B$3,FALSE(),TRUE())))</f>
        <v/>
      </c>
      <c r="AF471" s="88" t="str">
        <f aca="false">IF(ISBLANK($C471),"",IF(ISNUMBER($M471),IF($M471&gt;=0,$M471,""),""))</f>
        <v/>
      </c>
      <c r="AG471" s="86" t="str">
        <f aca="false">IF(ISBLANK($C471),"",IF(ISBLANK($N471),0,IF(ISNUMBER($N471),IF(AND($N471&gt;=0,$N471&lt;=Constants!$B$17,$N471=INT($N471)),$N471,""),"")))</f>
        <v/>
      </c>
      <c r="AH471" s="87" t="str">
        <f aca="false">IF(ISBLANK($C471),"",IF(ISBLANK($O471),0,IF(ISNUMBER($O471),IF($O471&gt;=0,$O471,""),"")))</f>
        <v/>
      </c>
      <c r="AI471" s="86" t="str">
        <f aca="false">IF(ISBLANK($C471),"",IF($P471=Constants!$B$2,TRUE(),IF($P471=Constants!$B$3,FALSE(),TRUE())))</f>
        <v/>
      </c>
      <c r="AJ471" s="86" t="str">
        <f aca="false">IF(ISBLANK($C471),"",IF($Q471=Constants!$B$2,TRUE(),IF($Q471=Constants!$B$3,FALSE(),TRUE())))</f>
        <v/>
      </c>
      <c r="AK471" s="86" t="str">
        <f aca="false">IF(ISBLANK($C471),"",IF($R471=Constants!$B$2,TRUE(),IF($R471=Constants!$B$3,FALSE(),TRUE())))</f>
        <v/>
      </c>
      <c r="AL471" s="88" t="str">
        <f aca="false">IF(ISBLANK($C471),"",IF(ISNUMBER($S471),IF($S471&gt;=0,$S471,""),""))</f>
        <v/>
      </c>
      <c r="AM471" s="86" t="str">
        <f aca="false">IF(ISBLANK($C471),"",IF(ISBLANK($T471),0,IF(ISNUMBER($T471),IF(AND($T471&gt;=0,$T471&lt;=Constants!$B$17,$T471=INT($T471)),$T471,""),"")))</f>
        <v/>
      </c>
      <c r="AN471" s="87" t="str">
        <f aca="false">IF(ISBLANK($C471),"",IF(ISBLANK($U471),0,IF(ISNUMBER($U471),IF($U471&gt;=0,$U471,""),"")))</f>
        <v/>
      </c>
      <c r="AO471" s="86" t="str">
        <f aca="false">IF(ISBLANK($C471),"",IF($V471=Constants!$B$2,TRUE(),IF($V471=Constants!$B$3,FALSE(),FALSE())))</f>
        <v/>
      </c>
      <c r="AP471" s="86"/>
      <c r="AQ471" s="85" t="str">
        <f aca="false">IF(ISBLANK($C471),"",AND($Y471,OR($AS471,$BC471),OR($Z471="",$AA471="",$AB471="")))</f>
        <v/>
      </c>
      <c r="AR471" s="85" t="str">
        <f aca="false">IF(ISBLANK($C471),"",IF(OR(NOT($Y471),NOT(OR($AS471,$BC471))),"",IF(ISBLANK($D$7),$AR$5,IF($AP$9="",$AR$6,""))))</f>
        <v/>
      </c>
      <c r="AS471" s="85" t="str">
        <f aca="false">IF(ISBLANK($C471),"",COUNTA($J471:$O471)&gt;0)</f>
        <v/>
      </c>
      <c r="AT471" s="85" t="str">
        <f aca="false">IF(ISBLANK($C471),"",AND($AS471,OR(AND($AF471="",OR($AE471,NOT(ISBLANK($M471)))),$AG471="",$AH471="")))</f>
        <v/>
      </c>
      <c r="AU471" s="87" t="str">
        <f aca="false">IF($BL471&lt;&gt;Constants!$B$4,"",IF(NOT($AS471),"",ROUND((Constants!$B$12-$AB471)+(Constants!$B$13-$Z471)+(Constants!$B$14-$AA471),1)))</f>
        <v/>
      </c>
      <c r="AV471" s="90" t="str">
        <f aca="false">IF($BL471&lt;&gt;Constants!$B$4,"",IF(NOT($AS471),"",IF(NOT($AE471),0,Constants!$B$15*(INT(ROUND(MIN($AF471,$AP$9),6))-INT(ROUND(MAX(0,MIN($AF471,2*$AP$9)-$AP$9),6))))))</f>
        <v/>
      </c>
      <c r="AW471" s="90" t="str">
        <f aca="false">IF($BL471&lt;&gt;Constants!$B$4,"",IF(NOT($AS471),"",Constants!$B$16*$AG471))</f>
        <v/>
      </c>
      <c r="AX471" s="90" t="str">
        <f aca="false">IF($BL471&lt;&gt;Constants!$B$4,"",IF(NOT($AS471),"",Constants!$B$18*INT(ROUND($AH471,6))))</f>
        <v/>
      </c>
      <c r="AY471" s="85" t="str">
        <f aca="false">IF($BL471&lt;&gt;Constants!$B$4,"",IF(NOT($AS471),"",IF(NOT($X471),Constants!$B$11,IF(OR(NOT($AC471),NOT($AD471),ROUND($AB471,1)&gt;Constants!$B$12,ROUND($Z471,1)&gt;Constants!$B$13,ROUND($AA471,1)&gt;Constants!$B$14),Constants!$B$10,Constants!$B$9))))</f>
        <v/>
      </c>
      <c r="AZ471" s="91" t="str">
        <f aca="false">IF($BL471&lt;&gt;Constants!$B$4,"",IF(NOT($AS471),"",ROUND($AU471+$AV471+$AW471+$AX471,1)))</f>
        <v/>
      </c>
      <c r="BA471" s="92" t="str">
        <f aca="false">IF($BL471&lt;&gt;Constants!$B$4,"",IF(NOT($AS471),"",IF(ISNUMBER($AF471),$AF471,0)))</f>
        <v/>
      </c>
      <c r="BB471" s="86" t="str">
        <f aca="false">IF($BL471&lt;&gt;Constants!$B$4,"",IF(NOT($BC471),"&lt;-",IF(NOT($AS471),"-&gt;",IF(OR($BI471&lt;$AY471,AND($BI471=$AY471,OR($BJ471&gt;$AZ471,AND($BJ471=$AZ471,OR($BH471&gt;$AX471,AND($BH471=$AX471,OR($BE471&gt;$AU471,AND($BE471=$AU471,OR($BF471&gt;$AV471,AND($BF471=$AV471,$BK471&gt;$BA471)))))))))),"-&gt;","&lt;-"))))</f>
        <v/>
      </c>
      <c r="BC471" s="85" t="str">
        <f aca="false">IF(ISBLANK($C471),"",COUNTA($P471:$U471)&gt;0)</f>
        <v/>
      </c>
      <c r="BD471" s="85" t="str">
        <f aca="false">IF(ISBLANK($C471),"",AND($BC471,OR(AND($AL471="",OR($AK471,NOT(ISBLANK($S471)))),$AM471="",$AN471="")))</f>
        <v/>
      </c>
      <c r="BE471" s="87" t="str">
        <f aca="false">IF($BL471&lt;&gt;Constants!$B$4,"",IF(NOT($BC471),"",ROUND((Constants!$B$12-$AB471)+(Constants!$B$13-$Z471)+(Constants!$B$14-$AA471),1)))</f>
        <v/>
      </c>
      <c r="BF471" s="90" t="str">
        <f aca="false">IF($BL471&lt;&gt;Constants!$B$4,"",IF(NOT($BC471),"",IF(NOT($AK471),0,Constants!$B$15*(INT(ROUND(MIN($AL471,$AP$9),6))-INT(ROUND(MAX(0,MIN($AL471,2*$AP$9)-$AP$9),6))))))</f>
        <v/>
      </c>
      <c r="BG471" s="90" t="str">
        <f aca="false">IF($BL471&lt;&gt;Constants!$B$4,"",IF(NOT($BC471),"",Constants!$B$16*$AM471))</f>
        <v/>
      </c>
      <c r="BH471" s="90" t="str">
        <f aca="false">IF($BL471&lt;&gt;Constants!$B$4,"",IF(NOT($BC471),"",Constants!$B$18*INT(ROUND($AN471,6))))</f>
        <v/>
      </c>
      <c r="BI471" s="85" t="str">
        <f aca="false">IF($BL471&lt;&gt;Constants!$B$4,"",IF(NOT($BC471),"",IF(NOT($X471),Constants!$B$11,IF(OR(NOT($AI471),NOT($AJ471),ROUND($AB471,1)&gt;Constants!$B$12,ROUND($Z471,1)&gt;Constants!$B$13,ROUND($AA471,1)&gt;Constants!$B$14),Constants!$B$10,Constants!$B$9))))</f>
        <v/>
      </c>
      <c r="BJ471" s="91" t="str">
        <f aca="false">IF($BL471&lt;&gt;Constants!$B$4,"",IF(NOT($BC471),"",ROUND($BE471+$BF471+$BG471+$BH471,1)))</f>
        <v/>
      </c>
      <c r="BK471" s="92" t="str">
        <f aca="false">IF($BL471&lt;&gt;Constants!$B$4,"",IF(NOT($BC471),"",IF(ISNUMBER($AL471),$AL471,0)))</f>
        <v/>
      </c>
      <c r="BL471" s="86" t="str">
        <f aca="false">IF(ISBLANK($C471),"",IF($AO471,Constants!$B$7,IF(COUNTA($E471:$V471)=0,Constants!$B$6,IF(NOT($Y471),Constants!$B$5,IF(NOT(OR($AS471,$BC471)),Constants!$B$5,IF(OR($AT471,$BD471,$AQ471,$AR471&lt;&gt;""),Constants!$B$8,Constants!$B$4))))))</f>
        <v/>
      </c>
      <c r="BM471" s="86" t="str">
        <f aca="false">IF(ISBLANK($C471),"",IF($BL471&lt;&gt;Constants!$B$4,$BL471,IF($BB471="-&gt;",$BI471,$AY471)))</f>
        <v/>
      </c>
      <c r="BN471" s="90" t="str">
        <f aca="false">IF($BL471&lt;&gt;Constants!$B$4,"",IF($BB471="-&gt;",$BJ471,$AZ471))</f>
        <v/>
      </c>
      <c r="BO471" s="90" t="str">
        <f aca="false">IF(ISBLANK($C471),"",IF($BL471&lt;&gt;Constants!$B$4,$BL471,$BN471))</f>
        <v/>
      </c>
      <c r="BP471" s="86" t="str">
        <f aca="false">IF(ISBLANK($C471),"",IF($BL471&lt;&gt;Constants!$B$4,$BL471,RANK($BO471,$BO$9:$BO$508,0)))</f>
        <v/>
      </c>
      <c r="BQ471" s="86" t="str">
        <f aca="false">IF(ISBLANK($C471),"",IF($BL471&lt;&gt;Constants!$B$4,$BL471,COUNTIFS($BM$9:$BM$508,"&lt;"&amp;$BM471)+COUNTIFS($BM$9:$BM$508,$BM471,$BP$9:$BP$508,"&lt;"&amp;$BP471)+1))</f>
        <v/>
      </c>
      <c r="BR471" s="90" t="str">
        <f aca="false">IF($BL471&lt;&gt;Constants!$B$4,"",IF($BB471="-&gt;",$BH471,$AX471))</f>
        <v/>
      </c>
      <c r="BS471" s="86" t="str">
        <f aca="false">IF(ISBLANK($C471),"",IF($BL471&lt;&gt;Constants!$B$4,$BL471,IF(ISNUMBER($BR471),RANK($BR471,$BR$9:$BR$508,0),COUNT($BR$9:$BR$508)+1)))</f>
        <v/>
      </c>
      <c r="BT471" s="90" t="str">
        <f aca="false">IF($BL471&lt;&gt;Constants!$B$4,"",IF($BB471="-&gt;",$BE471,$AU471))</f>
        <v/>
      </c>
      <c r="BU471" s="86" t="str">
        <f aca="false">IF(ISBLANK($C471),"",IF($BL471&lt;&gt;Constants!$B$4,$BL471,IF(ISNUMBER($BT471),RANK($BT471,$BT$9:$BT$508,0),COUNT($BT$9:$BT$508)+1)))</f>
        <v/>
      </c>
      <c r="BV471" s="90" t="str">
        <f aca="false">IF($BL471&lt;&gt;Constants!$B$4,"",IF($BB471="-&gt;",$BF471,$AV471))</f>
        <v/>
      </c>
      <c r="BW471" s="86" t="str">
        <f aca="false">IF(ISBLANK($C471),"",IF($BL471&lt;&gt;Constants!$B$4,$BL471,IF(ISNUMBER($BV471),RANK($BV471,$BV$9:$BV$508,0),COUNT($BV$9:$BV$508)+1)))</f>
        <v/>
      </c>
      <c r="BX471" s="90" t="str">
        <f aca="false">IF($BL471&lt;&gt;Constants!$B$4,"",IF($BB471="-&gt;",$BK471,$BA471))</f>
        <v/>
      </c>
      <c r="BY471" s="86" t="str">
        <f aca="false">IF(ISBLANK($C471),"",IF($BL471&lt;&gt;Constants!$B$4,$BL471,IF(ISNUMBER($BX471),RANK($BX471,$BX$9:$BX$508,0),COUNT($BX$9:$BX$508)+1)))</f>
        <v/>
      </c>
      <c r="BZ471" s="86" t="str">
        <f aca="false">IF(ISBLANK($C471),"",IF($BL471&lt;&gt;Constants!$B$4,$BL471,COUNTIFS($BM$9:$BM$508,"&lt;"&amp;$BM471)+COUNTIFS($BM$9:$BM$508,$BM471,$BP$9:$BP$508,"&lt;"&amp;$BP471)+COUNTIFS($BM$9:$BM$508,$BM471,$BP$9:$BP$508,$BP471,$BS$9:$BS$508,"&lt;"&amp;$BS471)+COUNTIFS($BM$9:$BM$508,$BM471,$BP$9:$BP$508,$BP471,$BS$9:$BS$508,$BS471,$BU$9:$BU$508,"&lt;"&amp;$BU471)+COUNTIFS($BM$9:$BM$508,$BM471,$BP$9:$BP$508,$BP471,$BS$9:$BS$508,$BS471,$BU$9:$BU$508,$BU471,$BW$9:$BW$508,"&lt;"&amp;$BW471)+COUNTIFS($BM$9:$BM$508,$BM471,$BP$9:$BP$508,$BP471,$BS$9:$BS$508,$BS471,$BU$9:$BU$508,$BU471,$BW$9:$BW$508,$BW471,$BY$9:$BY$508,"&lt;"&amp;$BY471)+1))</f>
        <v/>
      </c>
      <c r="CA471" s="86" t="str">
        <f aca="false">IF(ISBLANK($C471),"",IF($BL471&lt;&gt;Constants!$B$4,$BL471,$BQ471-$BZ471))</f>
        <v/>
      </c>
      <c r="CB471" s="93"/>
      <c r="CC471" s="94" t="str">
        <f aca="false">IF(ISBLANK($C471),"",IF($BL471=Constants!$B$8,$AR471,""))</f>
        <v/>
      </c>
      <c r="CD471" s="94" t="str">
        <f aca="false">IF(ISBLANK($C471),"",IF($BL471&lt;&gt;Constants!$B$4,"",IF($BB471="-&gt;",2,1)))</f>
        <v/>
      </c>
      <c r="CE471" s="95" t="str">
        <f aca="false">IF(ISBLANK($C471),"",IF($BL471&lt;&gt;Constants!$B$4,"",IF($BB471="-&gt;",$BE471,$AU471)))</f>
        <v/>
      </c>
      <c r="CF471" s="95" t="str">
        <f aca="false">IF(ISBLANK($C471),"",IF($BL471&lt;&gt;Constants!$B$4,"",IF($BB471="-&gt;",$BF471,$AV471)))</f>
        <v/>
      </c>
      <c r="CG471" s="95" t="str">
        <f aca="false">IF(ISBLANK($C471),"",IF($BL471&lt;&gt;Constants!$B$4,"",IF($BB471="-&gt;",$BG471,$AW471)))</f>
        <v/>
      </c>
      <c r="CH471" s="95" t="str">
        <f aca="false">IF(ISBLANK($C471),"",IF($BL471&lt;&gt;Constants!$B$4,"",IF($BB471="-&gt;",$BH471,$AX471)))</f>
        <v/>
      </c>
      <c r="CI471" s="96" t="str">
        <f aca="false">IF(ISBLANK($C471),"",$BO471)</f>
        <v/>
      </c>
      <c r="CJ471" s="97" t="str">
        <f aca="false">IF(ISBLANK($C471),"",$BM471)</f>
        <v/>
      </c>
      <c r="CK471" s="98" t="str">
        <f aca="false">IF(ISBLANK($C471),"",$CA471)</f>
        <v/>
      </c>
      <c r="CL471" s="98" t="str">
        <f aca="false">IF(ISBLANK($C471),"",$BZ471)</f>
        <v/>
      </c>
      <c r="CM471" s="99" t="str">
        <f aca="false">IF(ISBLANK($C471),"",IF($CL471=Constants!$B$7,COUNTA($C$9:$C$508)+2,IF($CL471=Constants!$B$6,COUNTA($C$9:$C$508)+1,IF($CL471=Constants!$B$5,COUNTA($C$9:$C$508),$CL471))))</f>
        <v/>
      </c>
      <c r="CN471" s="8"/>
      <c r="CO471" s="100" t="n">
        <f aca="false">IF(OR(ISNUMBER($CL471),$CL471=Constants!$B$7,$CL471=Constants!$B$5,$CL471=Constants!$B$6),1,0)</f>
        <v>0</v>
      </c>
      <c r="CP471" s="100" t="n">
        <v>463</v>
      </c>
      <c r="CQ471" s="100" t="str">
        <f aca="false">IF(ISBLANK($C471),"",IF(ISNUMBER($CM471),$CM471+ROW($B471)/1000,""))</f>
        <v/>
      </c>
      <c r="CR471" s="100" t="str">
        <f aca="false">IF(ISNUMBER($CQ471),RANK($CQ471,$CQ$9:$CQ$508,1),"")</f>
        <v/>
      </c>
      <c r="CS471" s="100" t="str">
        <f aca="false">IF(ISBLANK($C471),"",$B471)</f>
        <v/>
      </c>
      <c r="CT471" s="100" t="str">
        <f aca="false">IF(ISBLANK($C471),"",$C471)</f>
        <v/>
      </c>
      <c r="CU471" s="100" t="str">
        <f aca="false">IF(ISBLANK($C471),"",$D471)</f>
        <v/>
      </c>
      <c r="CV471" s="101" t="str">
        <f aca="false">$CJ471</f>
        <v/>
      </c>
      <c r="CW471" s="102" t="str">
        <f aca="false">$CI471</f>
        <v/>
      </c>
      <c r="CX471" s="100" t="str">
        <f aca="false">IF(ISBLANK($C471),"",$CL471)</f>
        <v/>
      </c>
      <c r="CY471" s="103" t="str">
        <f aca="false">IF($CP471&gt;$CO$8,"",VLOOKUP($CP471,$CR$9:$CX$508,7,FALSE()))</f>
        <v/>
      </c>
      <c r="CZ471" s="104" t="str">
        <f aca="false">IF($CP471&gt;$CO$8,"",VLOOKUP($CP471,$CR$9:$CX$508,2,FALSE()))</f>
        <v/>
      </c>
      <c r="DA471" s="104" t="str">
        <f aca="false">IF($CP471&gt;$CO$8,"",VLOOKUP($CP471,$CR$9:$CX$508,3,FALSE()))</f>
        <v/>
      </c>
      <c r="DB471" s="104" t="str">
        <f aca="false">IF($CP471&gt;$CO$8,"",VLOOKUP($CP471,$CR$9:$CX$508,4,FALSE()))</f>
        <v/>
      </c>
      <c r="DC471" s="104" t="str">
        <f aca="false">IF($CP471&gt;$CO$8,"",VLOOKUP($CP471,$CR$9:$CX$508,5,FALSE()))</f>
        <v/>
      </c>
      <c r="DD471" s="105" t="str">
        <f aca="false">IF($CP471&gt;$CO$8,"",VLOOKUP($CP471,$CR$9:$CX$508,6,FALSE()))</f>
        <v/>
      </c>
      <c r="DE471" s="70"/>
    </row>
    <row r="472" customFormat="false" ht="15.75" hidden="false" customHeight="false" outlineLevel="0" collapsed="false">
      <c r="A472" s="8"/>
      <c r="B472" s="72"/>
      <c r="C472" s="73"/>
      <c r="D472" s="155"/>
      <c r="E472" s="162"/>
      <c r="F472" s="157"/>
      <c r="G472" s="77"/>
      <c r="H472" s="77"/>
      <c r="I472" s="77"/>
      <c r="J472" s="163"/>
      <c r="K472" s="161"/>
      <c r="L472" s="161"/>
      <c r="M472" s="80"/>
      <c r="N472" s="161"/>
      <c r="O472" s="160"/>
      <c r="P472" s="161"/>
      <c r="Q472" s="161"/>
      <c r="R472" s="161"/>
      <c r="S472" s="77"/>
      <c r="T472" s="161"/>
      <c r="U472" s="160"/>
      <c r="V472" s="161"/>
      <c r="W472" s="85"/>
      <c r="X472" s="86" t="str">
        <f aca="false">IF(ISBLANK($C472),"",IF($E472=Constants!$B$2,TRUE(),IF($E472=Constants!$B$3,FALSE(),TRUE())))</f>
        <v/>
      </c>
      <c r="Y472" s="86" t="str">
        <f aca="false">IF(ISBLANK($C472),"",IF($F472=Constants!$B$2,TRUE(),IF($F472=Constants!$B$3,FALSE(),TRUE())))</f>
        <v/>
      </c>
      <c r="Z472" s="87" t="str">
        <f aca="false">IF(ISBLANK($C472),"",IF(ISNUMBER($G472),IF($G472&gt;=0,$G472,""),""))</f>
        <v/>
      </c>
      <c r="AA472" s="87" t="str">
        <f aca="false">IF(ISBLANK($C472),"",IF(ISNUMBER($H472),IF($H472&gt;=0,$H472,""),""))</f>
        <v/>
      </c>
      <c r="AB472" s="87" t="str">
        <f aca="false">IF(ISBLANK($C472),"",IF(ISNUMBER($I472),IF($I472&gt;=0,$I472,""),""))</f>
        <v/>
      </c>
      <c r="AC472" s="86" t="str">
        <f aca="false">IF(ISBLANK($C472),"",IF($J472=Constants!$B$2,TRUE(),IF($J472=Constants!$B$3,FALSE(),TRUE())))</f>
        <v/>
      </c>
      <c r="AD472" s="86" t="str">
        <f aca="false">IF(ISBLANK($C472),"",IF($K472=Constants!$B$2,TRUE(),IF($K472=Constants!$B$3,FALSE(),TRUE())))</f>
        <v/>
      </c>
      <c r="AE472" s="86" t="str">
        <f aca="false">IF(ISBLANK($C472),"",IF($L472=Constants!$B$2,TRUE(),IF($L472=Constants!$B$3,FALSE(),TRUE())))</f>
        <v/>
      </c>
      <c r="AF472" s="88" t="str">
        <f aca="false">IF(ISBLANK($C472),"",IF(ISNUMBER($M472),IF($M472&gt;=0,$M472,""),""))</f>
        <v/>
      </c>
      <c r="AG472" s="86" t="str">
        <f aca="false">IF(ISBLANK($C472),"",IF(ISBLANK($N472),0,IF(ISNUMBER($N472),IF(AND($N472&gt;=0,$N472&lt;=Constants!$B$17,$N472=INT($N472)),$N472,""),"")))</f>
        <v/>
      </c>
      <c r="AH472" s="87" t="str">
        <f aca="false">IF(ISBLANK($C472),"",IF(ISBLANK($O472),0,IF(ISNUMBER($O472),IF($O472&gt;=0,$O472,""),"")))</f>
        <v/>
      </c>
      <c r="AI472" s="86" t="str">
        <f aca="false">IF(ISBLANK($C472),"",IF($P472=Constants!$B$2,TRUE(),IF($P472=Constants!$B$3,FALSE(),TRUE())))</f>
        <v/>
      </c>
      <c r="AJ472" s="86" t="str">
        <f aca="false">IF(ISBLANK($C472),"",IF($Q472=Constants!$B$2,TRUE(),IF($Q472=Constants!$B$3,FALSE(),TRUE())))</f>
        <v/>
      </c>
      <c r="AK472" s="86" t="str">
        <f aca="false">IF(ISBLANK($C472),"",IF($R472=Constants!$B$2,TRUE(),IF($R472=Constants!$B$3,FALSE(),TRUE())))</f>
        <v/>
      </c>
      <c r="AL472" s="88" t="str">
        <f aca="false">IF(ISBLANK($C472),"",IF(ISNUMBER($S472),IF($S472&gt;=0,$S472,""),""))</f>
        <v/>
      </c>
      <c r="AM472" s="86" t="str">
        <f aca="false">IF(ISBLANK($C472),"",IF(ISBLANK($T472),0,IF(ISNUMBER($T472),IF(AND($T472&gt;=0,$T472&lt;=Constants!$B$17,$T472=INT($T472)),$T472,""),"")))</f>
        <v/>
      </c>
      <c r="AN472" s="87" t="str">
        <f aca="false">IF(ISBLANK($C472),"",IF(ISBLANK($U472),0,IF(ISNUMBER($U472),IF($U472&gt;=0,$U472,""),"")))</f>
        <v/>
      </c>
      <c r="AO472" s="86" t="str">
        <f aca="false">IF(ISBLANK($C472),"",IF($V472=Constants!$B$2,TRUE(),IF($V472=Constants!$B$3,FALSE(),FALSE())))</f>
        <v/>
      </c>
      <c r="AP472" s="86"/>
      <c r="AQ472" s="85" t="str">
        <f aca="false">IF(ISBLANK($C472),"",AND($Y472,OR($AS472,$BC472),OR($Z472="",$AA472="",$AB472="")))</f>
        <v/>
      </c>
      <c r="AR472" s="85" t="str">
        <f aca="false">IF(ISBLANK($C472),"",IF(OR(NOT($Y472),NOT(OR($AS472,$BC472))),"",IF(ISBLANK($D$7),$AR$5,IF($AP$9="",$AR$6,""))))</f>
        <v/>
      </c>
      <c r="AS472" s="85" t="str">
        <f aca="false">IF(ISBLANK($C472),"",COUNTA($J472:$O472)&gt;0)</f>
        <v/>
      </c>
      <c r="AT472" s="85" t="str">
        <f aca="false">IF(ISBLANK($C472),"",AND($AS472,OR(AND($AF472="",OR($AE472,NOT(ISBLANK($M472)))),$AG472="",$AH472="")))</f>
        <v/>
      </c>
      <c r="AU472" s="87" t="str">
        <f aca="false">IF($BL472&lt;&gt;Constants!$B$4,"",IF(NOT($AS472),"",ROUND((Constants!$B$12-$AB472)+(Constants!$B$13-$Z472)+(Constants!$B$14-$AA472),1)))</f>
        <v/>
      </c>
      <c r="AV472" s="90" t="str">
        <f aca="false">IF($BL472&lt;&gt;Constants!$B$4,"",IF(NOT($AS472),"",IF(NOT($AE472),0,Constants!$B$15*(INT(ROUND(MIN($AF472,$AP$9),6))-INT(ROUND(MAX(0,MIN($AF472,2*$AP$9)-$AP$9),6))))))</f>
        <v/>
      </c>
      <c r="AW472" s="90" t="str">
        <f aca="false">IF($BL472&lt;&gt;Constants!$B$4,"",IF(NOT($AS472),"",Constants!$B$16*$AG472))</f>
        <v/>
      </c>
      <c r="AX472" s="90" t="str">
        <f aca="false">IF($BL472&lt;&gt;Constants!$B$4,"",IF(NOT($AS472),"",Constants!$B$18*INT(ROUND($AH472,6))))</f>
        <v/>
      </c>
      <c r="AY472" s="85" t="str">
        <f aca="false">IF($BL472&lt;&gt;Constants!$B$4,"",IF(NOT($AS472),"",IF(NOT($X472),Constants!$B$11,IF(OR(NOT($AC472),NOT($AD472),ROUND($AB472,1)&gt;Constants!$B$12,ROUND($Z472,1)&gt;Constants!$B$13,ROUND($AA472,1)&gt;Constants!$B$14),Constants!$B$10,Constants!$B$9))))</f>
        <v/>
      </c>
      <c r="AZ472" s="91" t="str">
        <f aca="false">IF($BL472&lt;&gt;Constants!$B$4,"",IF(NOT($AS472),"",ROUND($AU472+$AV472+$AW472+$AX472,1)))</f>
        <v/>
      </c>
      <c r="BA472" s="92" t="str">
        <f aca="false">IF($BL472&lt;&gt;Constants!$B$4,"",IF(NOT($AS472),"",IF(ISNUMBER($AF472),$AF472,0)))</f>
        <v/>
      </c>
      <c r="BB472" s="86" t="str">
        <f aca="false">IF($BL472&lt;&gt;Constants!$B$4,"",IF(NOT($BC472),"&lt;-",IF(NOT($AS472),"-&gt;",IF(OR($BI472&lt;$AY472,AND($BI472=$AY472,OR($BJ472&gt;$AZ472,AND($BJ472=$AZ472,OR($BH472&gt;$AX472,AND($BH472=$AX472,OR($BE472&gt;$AU472,AND($BE472=$AU472,OR($BF472&gt;$AV472,AND($BF472=$AV472,$BK472&gt;$BA472)))))))))),"-&gt;","&lt;-"))))</f>
        <v/>
      </c>
      <c r="BC472" s="85" t="str">
        <f aca="false">IF(ISBLANK($C472),"",COUNTA($P472:$U472)&gt;0)</f>
        <v/>
      </c>
      <c r="BD472" s="85" t="str">
        <f aca="false">IF(ISBLANK($C472),"",AND($BC472,OR(AND($AL472="",OR($AK472,NOT(ISBLANK($S472)))),$AM472="",$AN472="")))</f>
        <v/>
      </c>
      <c r="BE472" s="87" t="str">
        <f aca="false">IF($BL472&lt;&gt;Constants!$B$4,"",IF(NOT($BC472),"",ROUND((Constants!$B$12-$AB472)+(Constants!$B$13-$Z472)+(Constants!$B$14-$AA472),1)))</f>
        <v/>
      </c>
      <c r="BF472" s="90" t="str">
        <f aca="false">IF($BL472&lt;&gt;Constants!$B$4,"",IF(NOT($BC472),"",IF(NOT($AK472),0,Constants!$B$15*(INT(ROUND(MIN($AL472,$AP$9),6))-INT(ROUND(MAX(0,MIN($AL472,2*$AP$9)-$AP$9),6))))))</f>
        <v/>
      </c>
      <c r="BG472" s="90" t="str">
        <f aca="false">IF($BL472&lt;&gt;Constants!$B$4,"",IF(NOT($BC472),"",Constants!$B$16*$AM472))</f>
        <v/>
      </c>
      <c r="BH472" s="90" t="str">
        <f aca="false">IF($BL472&lt;&gt;Constants!$B$4,"",IF(NOT($BC472),"",Constants!$B$18*INT(ROUND($AN472,6))))</f>
        <v/>
      </c>
      <c r="BI472" s="85" t="str">
        <f aca="false">IF($BL472&lt;&gt;Constants!$B$4,"",IF(NOT($BC472),"",IF(NOT($X472),Constants!$B$11,IF(OR(NOT($AI472),NOT($AJ472),ROUND($AB472,1)&gt;Constants!$B$12,ROUND($Z472,1)&gt;Constants!$B$13,ROUND($AA472,1)&gt;Constants!$B$14),Constants!$B$10,Constants!$B$9))))</f>
        <v/>
      </c>
      <c r="BJ472" s="91" t="str">
        <f aca="false">IF($BL472&lt;&gt;Constants!$B$4,"",IF(NOT($BC472),"",ROUND($BE472+$BF472+$BG472+$BH472,1)))</f>
        <v/>
      </c>
      <c r="BK472" s="92" t="str">
        <f aca="false">IF($BL472&lt;&gt;Constants!$B$4,"",IF(NOT($BC472),"",IF(ISNUMBER($AL472),$AL472,0)))</f>
        <v/>
      </c>
      <c r="BL472" s="86" t="str">
        <f aca="false">IF(ISBLANK($C472),"",IF($AO472,Constants!$B$7,IF(COUNTA($E472:$V472)=0,Constants!$B$6,IF(NOT($Y472),Constants!$B$5,IF(NOT(OR($AS472,$BC472)),Constants!$B$5,IF(OR($AT472,$BD472,$AQ472,$AR472&lt;&gt;""),Constants!$B$8,Constants!$B$4))))))</f>
        <v/>
      </c>
      <c r="BM472" s="86" t="str">
        <f aca="false">IF(ISBLANK($C472),"",IF($BL472&lt;&gt;Constants!$B$4,$BL472,IF($BB472="-&gt;",$BI472,$AY472)))</f>
        <v/>
      </c>
      <c r="BN472" s="90" t="str">
        <f aca="false">IF($BL472&lt;&gt;Constants!$B$4,"",IF($BB472="-&gt;",$BJ472,$AZ472))</f>
        <v/>
      </c>
      <c r="BO472" s="90" t="str">
        <f aca="false">IF(ISBLANK($C472),"",IF($BL472&lt;&gt;Constants!$B$4,$BL472,$BN472))</f>
        <v/>
      </c>
      <c r="BP472" s="86" t="str">
        <f aca="false">IF(ISBLANK($C472),"",IF($BL472&lt;&gt;Constants!$B$4,$BL472,RANK($BO472,$BO$9:$BO$508,0)))</f>
        <v/>
      </c>
      <c r="BQ472" s="86" t="str">
        <f aca="false">IF(ISBLANK($C472),"",IF($BL472&lt;&gt;Constants!$B$4,$BL472,COUNTIFS($BM$9:$BM$508,"&lt;"&amp;$BM472)+COUNTIFS($BM$9:$BM$508,$BM472,$BP$9:$BP$508,"&lt;"&amp;$BP472)+1))</f>
        <v/>
      </c>
      <c r="BR472" s="90" t="str">
        <f aca="false">IF($BL472&lt;&gt;Constants!$B$4,"",IF($BB472="-&gt;",$BH472,$AX472))</f>
        <v/>
      </c>
      <c r="BS472" s="86" t="str">
        <f aca="false">IF(ISBLANK($C472),"",IF($BL472&lt;&gt;Constants!$B$4,$BL472,IF(ISNUMBER($BR472),RANK($BR472,$BR$9:$BR$508,0),COUNT($BR$9:$BR$508)+1)))</f>
        <v/>
      </c>
      <c r="BT472" s="90" t="str">
        <f aca="false">IF($BL472&lt;&gt;Constants!$B$4,"",IF($BB472="-&gt;",$BE472,$AU472))</f>
        <v/>
      </c>
      <c r="BU472" s="86" t="str">
        <f aca="false">IF(ISBLANK($C472),"",IF($BL472&lt;&gt;Constants!$B$4,$BL472,IF(ISNUMBER($BT472),RANK($BT472,$BT$9:$BT$508,0),COUNT($BT$9:$BT$508)+1)))</f>
        <v/>
      </c>
      <c r="BV472" s="90" t="str">
        <f aca="false">IF($BL472&lt;&gt;Constants!$B$4,"",IF($BB472="-&gt;",$BF472,$AV472))</f>
        <v/>
      </c>
      <c r="BW472" s="86" t="str">
        <f aca="false">IF(ISBLANK($C472),"",IF($BL472&lt;&gt;Constants!$B$4,$BL472,IF(ISNUMBER($BV472),RANK($BV472,$BV$9:$BV$508,0),COUNT($BV$9:$BV$508)+1)))</f>
        <v/>
      </c>
      <c r="BX472" s="90" t="str">
        <f aca="false">IF($BL472&lt;&gt;Constants!$B$4,"",IF($BB472="-&gt;",$BK472,$BA472))</f>
        <v/>
      </c>
      <c r="BY472" s="86" t="str">
        <f aca="false">IF(ISBLANK($C472),"",IF($BL472&lt;&gt;Constants!$B$4,$BL472,IF(ISNUMBER($BX472),RANK($BX472,$BX$9:$BX$508,0),COUNT($BX$9:$BX$508)+1)))</f>
        <v/>
      </c>
      <c r="BZ472" s="86" t="str">
        <f aca="false">IF(ISBLANK($C472),"",IF($BL472&lt;&gt;Constants!$B$4,$BL472,COUNTIFS($BM$9:$BM$508,"&lt;"&amp;$BM472)+COUNTIFS($BM$9:$BM$508,$BM472,$BP$9:$BP$508,"&lt;"&amp;$BP472)+COUNTIFS($BM$9:$BM$508,$BM472,$BP$9:$BP$508,$BP472,$BS$9:$BS$508,"&lt;"&amp;$BS472)+COUNTIFS($BM$9:$BM$508,$BM472,$BP$9:$BP$508,$BP472,$BS$9:$BS$508,$BS472,$BU$9:$BU$508,"&lt;"&amp;$BU472)+COUNTIFS($BM$9:$BM$508,$BM472,$BP$9:$BP$508,$BP472,$BS$9:$BS$508,$BS472,$BU$9:$BU$508,$BU472,$BW$9:$BW$508,"&lt;"&amp;$BW472)+COUNTIFS($BM$9:$BM$508,$BM472,$BP$9:$BP$508,$BP472,$BS$9:$BS$508,$BS472,$BU$9:$BU$508,$BU472,$BW$9:$BW$508,$BW472,$BY$9:$BY$508,"&lt;"&amp;$BY472)+1))</f>
        <v/>
      </c>
      <c r="CA472" s="86" t="str">
        <f aca="false">IF(ISBLANK($C472),"",IF($BL472&lt;&gt;Constants!$B$4,$BL472,$BQ472-$BZ472))</f>
        <v/>
      </c>
      <c r="CB472" s="93"/>
      <c r="CC472" s="94" t="str">
        <f aca="false">IF(ISBLANK($C472),"",IF($BL472=Constants!$B$8,$AR472,""))</f>
        <v/>
      </c>
      <c r="CD472" s="94" t="str">
        <f aca="false">IF(ISBLANK($C472),"",IF($BL472&lt;&gt;Constants!$B$4,"",IF($BB472="-&gt;",2,1)))</f>
        <v/>
      </c>
      <c r="CE472" s="95" t="str">
        <f aca="false">IF(ISBLANK($C472),"",IF($BL472&lt;&gt;Constants!$B$4,"",IF($BB472="-&gt;",$BE472,$AU472)))</f>
        <v/>
      </c>
      <c r="CF472" s="95" t="str">
        <f aca="false">IF(ISBLANK($C472),"",IF($BL472&lt;&gt;Constants!$B$4,"",IF($BB472="-&gt;",$BF472,$AV472)))</f>
        <v/>
      </c>
      <c r="CG472" s="95" t="str">
        <f aca="false">IF(ISBLANK($C472),"",IF($BL472&lt;&gt;Constants!$B$4,"",IF($BB472="-&gt;",$BG472,$AW472)))</f>
        <v/>
      </c>
      <c r="CH472" s="95" t="str">
        <f aca="false">IF(ISBLANK($C472),"",IF($BL472&lt;&gt;Constants!$B$4,"",IF($BB472="-&gt;",$BH472,$AX472)))</f>
        <v/>
      </c>
      <c r="CI472" s="96" t="str">
        <f aca="false">IF(ISBLANK($C472),"",$BO472)</f>
        <v/>
      </c>
      <c r="CJ472" s="97" t="str">
        <f aca="false">IF(ISBLANK($C472),"",$BM472)</f>
        <v/>
      </c>
      <c r="CK472" s="98" t="str">
        <f aca="false">IF(ISBLANK($C472),"",$CA472)</f>
        <v/>
      </c>
      <c r="CL472" s="98" t="str">
        <f aca="false">IF(ISBLANK($C472),"",$BZ472)</f>
        <v/>
      </c>
      <c r="CM472" s="99" t="str">
        <f aca="false">IF(ISBLANK($C472),"",IF($CL472=Constants!$B$7,COUNTA($C$9:$C$508)+2,IF($CL472=Constants!$B$6,COUNTA($C$9:$C$508)+1,IF($CL472=Constants!$B$5,COUNTA($C$9:$C$508),$CL472))))</f>
        <v/>
      </c>
      <c r="CN472" s="8"/>
      <c r="CO472" s="100" t="n">
        <f aca="false">IF(OR(ISNUMBER($CL472),$CL472=Constants!$B$7,$CL472=Constants!$B$5,$CL472=Constants!$B$6),1,0)</f>
        <v>0</v>
      </c>
      <c r="CP472" s="100" t="n">
        <v>464</v>
      </c>
      <c r="CQ472" s="100" t="str">
        <f aca="false">IF(ISBLANK($C472),"",IF(ISNUMBER($CM472),$CM472+ROW($B472)/1000,""))</f>
        <v/>
      </c>
      <c r="CR472" s="100" t="str">
        <f aca="false">IF(ISNUMBER($CQ472),RANK($CQ472,$CQ$9:$CQ$508,1),"")</f>
        <v/>
      </c>
      <c r="CS472" s="100" t="str">
        <f aca="false">IF(ISBLANK($C472),"",$B472)</f>
        <v/>
      </c>
      <c r="CT472" s="100" t="str">
        <f aca="false">IF(ISBLANK($C472),"",$C472)</f>
        <v/>
      </c>
      <c r="CU472" s="100" t="str">
        <f aca="false">IF(ISBLANK($C472),"",$D472)</f>
        <v/>
      </c>
      <c r="CV472" s="101" t="str">
        <f aca="false">$CJ472</f>
        <v/>
      </c>
      <c r="CW472" s="102" t="str">
        <f aca="false">$CI472</f>
        <v/>
      </c>
      <c r="CX472" s="100" t="str">
        <f aca="false">IF(ISBLANK($C472),"",$CL472)</f>
        <v/>
      </c>
      <c r="CY472" s="103" t="str">
        <f aca="false">IF($CP472&gt;$CO$8,"",VLOOKUP($CP472,$CR$9:$CX$508,7,FALSE()))</f>
        <v/>
      </c>
      <c r="CZ472" s="104" t="str">
        <f aca="false">IF($CP472&gt;$CO$8,"",VLOOKUP($CP472,$CR$9:$CX$508,2,FALSE()))</f>
        <v/>
      </c>
      <c r="DA472" s="104" t="str">
        <f aca="false">IF($CP472&gt;$CO$8,"",VLOOKUP($CP472,$CR$9:$CX$508,3,FALSE()))</f>
        <v/>
      </c>
      <c r="DB472" s="104" t="str">
        <f aca="false">IF($CP472&gt;$CO$8,"",VLOOKUP($CP472,$CR$9:$CX$508,4,FALSE()))</f>
        <v/>
      </c>
      <c r="DC472" s="104" t="str">
        <f aca="false">IF($CP472&gt;$CO$8,"",VLOOKUP($CP472,$CR$9:$CX$508,5,FALSE()))</f>
        <v/>
      </c>
      <c r="DD472" s="105" t="str">
        <f aca="false">IF($CP472&gt;$CO$8,"",VLOOKUP($CP472,$CR$9:$CX$508,6,FALSE()))</f>
        <v/>
      </c>
      <c r="DE472" s="70"/>
    </row>
    <row r="473" customFormat="false" ht="15.75" hidden="false" customHeight="false" outlineLevel="0" collapsed="false">
      <c r="A473" s="8"/>
      <c r="B473" s="72"/>
      <c r="C473" s="73"/>
      <c r="D473" s="155"/>
      <c r="E473" s="162"/>
      <c r="F473" s="157"/>
      <c r="G473" s="77"/>
      <c r="H473" s="77"/>
      <c r="I473" s="77"/>
      <c r="J473" s="163"/>
      <c r="K473" s="161"/>
      <c r="L473" s="161"/>
      <c r="M473" s="80"/>
      <c r="N473" s="161"/>
      <c r="O473" s="160"/>
      <c r="P473" s="161"/>
      <c r="Q473" s="161"/>
      <c r="R473" s="161"/>
      <c r="S473" s="77"/>
      <c r="T473" s="161"/>
      <c r="U473" s="160"/>
      <c r="V473" s="161"/>
      <c r="W473" s="85"/>
      <c r="X473" s="86" t="str">
        <f aca="false">IF(ISBLANK($C473),"",IF($E473=Constants!$B$2,TRUE(),IF($E473=Constants!$B$3,FALSE(),TRUE())))</f>
        <v/>
      </c>
      <c r="Y473" s="86" t="str">
        <f aca="false">IF(ISBLANK($C473),"",IF($F473=Constants!$B$2,TRUE(),IF($F473=Constants!$B$3,FALSE(),TRUE())))</f>
        <v/>
      </c>
      <c r="Z473" s="87" t="str">
        <f aca="false">IF(ISBLANK($C473),"",IF(ISNUMBER($G473),IF($G473&gt;=0,$G473,""),""))</f>
        <v/>
      </c>
      <c r="AA473" s="87" t="str">
        <f aca="false">IF(ISBLANK($C473),"",IF(ISNUMBER($H473),IF($H473&gt;=0,$H473,""),""))</f>
        <v/>
      </c>
      <c r="AB473" s="87" t="str">
        <f aca="false">IF(ISBLANK($C473),"",IF(ISNUMBER($I473),IF($I473&gt;=0,$I473,""),""))</f>
        <v/>
      </c>
      <c r="AC473" s="86" t="str">
        <f aca="false">IF(ISBLANK($C473),"",IF($J473=Constants!$B$2,TRUE(),IF($J473=Constants!$B$3,FALSE(),TRUE())))</f>
        <v/>
      </c>
      <c r="AD473" s="86" t="str">
        <f aca="false">IF(ISBLANK($C473),"",IF($K473=Constants!$B$2,TRUE(),IF($K473=Constants!$B$3,FALSE(),TRUE())))</f>
        <v/>
      </c>
      <c r="AE473" s="86" t="str">
        <f aca="false">IF(ISBLANK($C473),"",IF($L473=Constants!$B$2,TRUE(),IF($L473=Constants!$B$3,FALSE(),TRUE())))</f>
        <v/>
      </c>
      <c r="AF473" s="88" t="str">
        <f aca="false">IF(ISBLANK($C473),"",IF(ISNUMBER($M473),IF($M473&gt;=0,$M473,""),""))</f>
        <v/>
      </c>
      <c r="AG473" s="86" t="str">
        <f aca="false">IF(ISBLANK($C473),"",IF(ISBLANK($N473),0,IF(ISNUMBER($N473),IF(AND($N473&gt;=0,$N473&lt;=Constants!$B$17,$N473=INT($N473)),$N473,""),"")))</f>
        <v/>
      </c>
      <c r="AH473" s="87" t="str">
        <f aca="false">IF(ISBLANK($C473),"",IF(ISBLANK($O473),0,IF(ISNUMBER($O473),IF($O473&gt;=0,$O473,""),"")))</f>
        <v/>
      </c>
      <c r="AI473" s="86" t="str">
        <f aca="false">IF(ISBLANK($C473),"",IF($P473=Constants!$B$2,TRUE(),IF($P473=Constants!$B$3,FALSE(),TRUE())))</f>
        <v/>
      </c>
      <c r="AJ473" s="86" t="str">
        <f aca="false">IF(ISBLANK($C473),"",IF($Q473=Constants!$B$2,TRUE(),IF($Q473=Constants!$B$3,FALSE(),TRUE())))</f>
        <v/>
      </c>
      <c r="AK473" s="86" t="str">
        <f aca="false">IF(ISBLANK($C473),"",IF($R473=Constants!$B$2,TRUE(),IF($R473=Constants!$B$3,FALSE(),TRUE())))</f>
        <v/>
      </c>
      <c r="AL473" s="88" t="str">
        <f aca="false">IF(ISBLANK($C473),"",IF(ISNUMBER($S473),IF($S473&gt;=0,$S473,""),""))</f>
        <v/>
      </c>
      <c r="AM473" s="86" t="str">
        <f aca="false">IF(ISBLANK($C473),"",IF(ISBLANK($T473),0,IF(ISNUMBER($T473),IF(AND($T473&gt;=0,$T473&lt;=Constants!$B$17,$T473=INT($T473)),$T473,""),"")))</f>
        <v/>
      </c>
      <c r="AN473" s="87" t="str">
        <f aca="false">IF(ISBLANK($C473),"",IF(ISBLANK($U473),0,IF(ISNUMBER($U473),IF($U473&gt;=0,$U473,""),"")))</f>
        <v/>
      </c>
      <c r="AO473" s="86" t="str">
        <f aca="false">IF(ISBLANK($C473),"",IF($V473=Constants!$B$2,TRUE(),IF($V473=Constants!$B$3,FALSE(),FALSE())))</f>
        <v/>
      </c>
      <c r="AP473" s="86"/>
      <c r="AQ473" s="85" t="str">
        <f aca="false">IF(ISBLANK($C473),"",AND($Y473,OR($AS473,$BC473),OR($Z473="",$AA473="",$AB473="")))</f>
        <v/>
      </c>
      <c r="AR473" s="85" t="str">
        <f aca="false">IF(ISBLANK($C473),"",IF(OR(NOT($Y473),NOT(OR($AS473,$BC473))),"",IF(ISBLANK($D$7),$AR$5,IF($AP$9="",$AR$6,""))))</f>
        <v/>
      </c>
      <c r="AS473" s="85" t="str">
        <f aca="false">IF(ISBLANK($C473),"",COUNTA($J473:$O473)&gt;0)</f>
        <v/>
      </c>
      <c r="AT473" s="85" t="str">
        <f aca="false">IF(ISBLANK($C473),"",AND($AS473,OR(AND($AF473="",OR($AE473,NOT(ISBLANK($M473)))),$AG473="",$AH473="")))</f>
        <v/>
      </c>
      <c r="AU473" s="87" t="str">
        <f aca="false">IF($BL473&lt;&gt;Constants!$B$4,"",IF(NOT($AS473),"",ROUND((Constants!$B$12-$AB473)+(Constants!$B$13-$Z473)+(Constants!$B$14-$AA473),1)))</f>
        <v/>
      </c>
      <c r="AV473" s="90" t="str">
        <f aca="false">IF($BL473&lt;&gt;Constants!$B$4,"",IF(NOT($AS473),"",IF(NOT($AE473),0,Constants!$B$15*(INT(ROUND(MIN($AF473,$AP$9),6))-INT(ROUND(MAX(0,MIN($AF473,2*$AP$9)-$AP$9),6))))))</f>
        <v/>
      </c>
      <c r="AW473" s="90" t="str">
        <f aca="false">IF($BL473&lt;&gt;Constants!$B$4,"",IF(NOT($AS473),"",Constants!$B$16*$AG473))</f>
        <v/>
      </c>
      <c r="AX473" s="90" t="str">
        <f aca="false">IF($BL473&lt;&gt;Constants!$B$4,"",IF(NOT($AS473),"",Constants!$B$18*INT(ROUND($AH473,6))))</f>
        <v/>
      </c>
      <c r="AY473" s="85" t="str">
        <f aca="false">IF($BL473&lt;&gt;Constants!$B$4,"",IF(NOT($AS473),"",IF(NOT($X473),Constants!$B$11,IF(OR(NOT($AC473),NOT($AD473),ROUND($AB473,1)&gt;Constants!$B$12,ROUND($Z473,1)&gt;Constants!$B$13,ROUND($AA473,1)&gt;Constants!$B$14),Constants!$B$10,Constants!$B$9))))</f>
        <v/>
      </c>
      <c r="AZ473" s="91" t="str">
        <f aca="false">IF($BL473&lt;&gt;Constants!$B$4,"",IF(NOT($AS473),"",ROUND($AU473+$AV473+$AW473+$AX473,1)))</f>
        <v/>
      </c>
      <c r="BA473" s="92" t="str">
        <f aca="false">IF($BL473&lt;&gt;Constants!$B$4,"",IF(NOT($AS473),"",IF(ISNUMBER($AF473),$AF473,0)))</f>
        <v/>
      </c>
      <c r="BB473" s="86" t="str">
        <f aca="false">IF($BL473&lt;&gt;Constants!$B$4,"",IF(NOT($BC473),"&lt;-",IF(NOT($AS473),"-&gt;",IF(OR($BI473&lt;$AY473,AND($BI473=$AY473,OR($BJ473&gt;$AZ473,AND($BJ473=$AZ473,OR($BH473&gt;$AX473,AND($BH473=$AX473,OR($BE473&gt;$AU473,AND($BE473=$AU473,OR($BF473&gt;$AV473,AND($BF473=$AV473,$BK473&gt;$BA473)))))))))),"-&gt;","&lt;-"))))</f>
        <v/>
      </c>
      <c r="BC473" s="85" t="str">
        <f aca="false">IF(ISBLANK($C473),"",COUNTA($P473:$U473)&gt;0)</f>
        <v/>
      </c>
      <c r="BD473" s="85" t="str">
        <f aca="false">IF(ISBLANK($C473),"",AND($BC473,OR(AND($AL473="",OR($AK473,NOT(ISBLANK($S473)))),$AM473="",$AN473="")))</f>
        <v/>
      </c>
      <c r="BE473" s="87" t="str">
        <f aca="false">IF($BL473&lt;&gt;Constants!$B$4,"",IF(NOT($BC473),"",ROUND((Constants!$B$12-$AB473)+(Constants!$B$13-$Z473)+(Constants!$B$14-$AA473),1)))</f>
        <v/>
      </c>
      <c r="BF473" s="90" t="str">
        <f aca="false">IF($BL473&lt;&gt;Constants!$B$4,"",IF(NOT($BC473),"",IF(NOT($AK473),0,Constants!$B$15*(INT(ROUND(MIN($AL473,$AP$9),6))-INT(ROUND(MAX(0,MIN($AL473,2*$AP$9)-$AP$9),6))))))</f>
        <v/>
      </c>
      <c r="BG473" s="90" t="str">
        <f aca="false">IF($BL473&lt;&gt;Constants!$B$4,"",IF(NOT($BC473),"",Constants!$B$16*$AM473))</f>
        <v/>
      </c>
      <c r="BH473" s="90" t="str">
        <f aca="false">IF($BL473&lt;&gt;Constants!$B$4,"",IF(NOT($BC473),"",Constants!$B$18*INT(ROUND($AN473,6))))</f>
        <v/>
      </c>
      <c r="BI473" s="85" t="str">
        <f aca="false">IF($BL473&lt;&gt;Constants!$B$4,"",IF(NOT($BC473),"",IF(NOT($X473),Constants!$B$11,IF(OR(NOT($AI473),NOT($AJ473),ROUND($AB473,1)&gt;Constants!$B$12,ROUND($Z473,1)&gt;Constants!$B$13,ROUND($AA473,1)&gt;Constants!$B$14),Constants!$B$10,Constants!$B$9))))</f>
        <v/>
      </c>
      <c r="BJ473" s="91" t="str">
        <f aca="false">IF($BL473&lt;&gt;Constants!$B$4,"",IF(NOT($BC473),"",ROUND($BE473+$BF473+$BG473+$BH473,1)))</f>
        <v/>
      </c>
      <c r="BK473" s="92" t="str">
        <f aca="false">IF($BL473&lt;&gt;Constants!$B$4,"",IF(NOT($BC473),"",IF(ISNUMBER($AL473),$AL473,0)))</f>
        <v/>
      </c>
      <c r="BL473" s="86" t="str">
        <f aca="false">IF(ISBLANK($C473),"",IF($AO473,Constants!$B$7,IF(COUNTA($E473:$V473)=0,Constants!$B$6,IF(NOT($Y473),Constants!$B$5,IF(NOT(OR($AS473,$BC473)),Constants!$B$5,IF(OR($AT473,$BD473,$AQ473,$AR473&lt;&gt;""),Constants!$B$8,Constants!$B$4))))))</f>
        <v/>
      </c>
      <c r="BM473" s="86" t="str">
        <f aca="false">IF(ISBLANK($C473),"",IF($BL473&lt;&gt;Constants!$B$4,$BL473,IF($BB473="-&gt;",$BI473,$AY473)))</f>
        <v/>
      </c>
      <c r="BN473" s="90" t="str">
        <f aca="false">IF($BL473&lt;&gt;Constants!$B$4,"",IF($BB473="-&gt;",$BJ473,$AZ473))</f>
        <v/>
      </c>
      <c r="BO473" s="90" t="str">
        <f aca="false">IF(ISBLANK($C473),"",IF($BL473&lt;&gt;Constants!$B$4,$BL473,$BN473))</f>
        <v/>
      </c>
      <c r="BP473" s="86" t="str">
        <f aca="false">IF(ISBLANK($C473),"",IF($BL473&lt;&gt;Constants!$B$4,$BL473,RANK($BO473,$BO$9:$BO$508,0)))</f>
        <v/>
      </c>
      <c r="BQ473" s="86" t="str">
        <f aca="false">IF(ISBLANK($C473),"",IF($BL473&lt;&gt;Constants!$B$4,$BL473,COUNTIFS($BM$9:$BM$508,"&lt;"&amp;$BM473)+COUNTIFS($BM$9:$BM$508,$BM473,$BP$9:$BP$508,"&lt;"&amp;$BP473)+1))</f>
        <v/>
      </c>
      <c r="BR473" s="90" t="str">
        <f aca="false">IF($BL473&lt;&gt;Constants!$B$4,"",IF($BB473="-&gt;",$BH473,$AX473))</f>
        <v/>
      </c>
      <c r="BS473" s="86" t="str">
        <f aca="false">IF(ISBLANK($C473),"",IF($BL473&lt;&gt;Constants!$B$4,$BL473,IF(ISNUMBER($BR473),RANK($BR473,$BR$9:$BR$508,0),COUNT($BR$9:$BR$508)+1)))</f>
        <v/>
      </c>
      <c r="BT473" s="90" t="str">
        <f aca="false">IF($BL473&lt;&gt;Constants!$B$4,"",IF($BB473="-&gt;",$BE473,$AU473))</f>
        <v/>
      </c>
      <c r="BU473" s="86" t="str">
        <f aca="false">IF(ISBLANK($C473),"",IF($BL473&lt;&gt;Constants!$B$4,$BL473,IF(ISNUMBER($BT473),RANK($BT473,$BT$9:$BT$508,0),COUNT($BT$9:$BT$508)+1)))</f>
        <v/>
      </c>
      <c r="BV473" s="90" t="str">
        <f aca="false">IF($BL473&lt;&gt;Constants!$B$4,"",IF($BB473="-&gt;",$BF473,$AV473))</f>
        <v/>
      </c>
      <c r="BW473" s="86" t="str">
        <f aca="false">IF(ISBLANK($C473),"",IF($BL473&lt;&gt;Constants!$B$4,$BL473,IF(ISNUMBER($BV473),RANK($BV473,$BV$9:$BV$508,0),COUNT($BV$9:$BV$508)+1)))</f>
        <v/>
      </c>
      <c r="BX473" s="90" t="str">
        <f aca="false">IF($BL473&lt;&gt;Constants!$B$4,"",IF($BB473="-&gt;",$BK473,$BA473))</f>
        <v/>
      </c>
      <c r="BY473" s="86" t="str">
        <f aca="false">IF(ISBLANK($C473),"",IF($BL473&lt;&gt;Constants!$B$4,$BL473,IF(ISNUMBER($BX473),RANK($BX473,$BX$9:$BX$508,0),COUNT($BX$9:$BX$508)+1)))</f>
        <v/>
      </c>
      <c r="BZ473" s="86" t="str">
        <f aca="false">IF(ISBLANK($C473),"",IF($BL473&lt;&gt;Constants!$B$4,$BL473,COUNTIFS($BM$9:$BM$508,"&lt;"&amp;$BM473)+COUNTIFS($BM$9:$BM$508,$BM473,$BP$9:$BP$508,"&lt;"&amp;$BP473)+COUNTIFS($BM$9:$BM$508,$BM473,$BP$9:$BP$508,$BP473,$BS$9:$BS$508,"&lt;"&amp;$BS473)+COUNTIFS($BM$9:$BM$508,$BM473,$BP$9:$BP$508,$BP473,$BS$9:$BS$508,$BS473,$BU$9:$BU$508,"&lt;"&amp;$BU473)+COUNTIFS($BM$9:$BM$508,$BM473,$BP$9:$BP$508,$BP473,$BS$9:$BS$508,$BS473,$BU$9:$BU$508,$BU473,$BW$9:$BW$508,"&lt;"&amp;$BW473)+COUNTIFS($BM$9:$BM$508,$BM473,$BP$9:$BP$508,$BP473,$BS$9:$BS$508,$BS473,$BU$9:$BU$508,$BU473,$BW$9:$BW$508,$BW473,$BY$9:$BY$508,"&lt;"&amp;$BY473)+1))</f>
        <v/>
      </c>
      <c r="CA473" s="86" t="str">
        <f aca="false">IF(ISBLANK($C473),"",IF($BL473&lt;&gt;Constants!$B$4,$BL473,$BQ473-$BZ473))</f>
        <v/>
      </c>
      <c r="CB473" s="93"/>
      <c r="CC473" s="94" t="str">
        <f aca="false">IF(ISBLANK($C473),"",IF($BL473=Constants!$B$8,$AR473,""))</f>
        <v/>
      </c>
      <c r="CD473" s="94" t="str">
        <f aca="false">IF(ISBLANK($C473),"",IF($BL473&lt;&gt;Constants!$B$4,"",IF($BB473="-&gt;",2,1)))</f>
        <v/>
      </c>
      <c r="CE473" s="95" t="str">
        <f aca="false">IF(ISBLANK($C473),"",IF($BL473&lt;&gt;Constants!$B$4,"",IF($BB473="-&gt;",$BE473,$AU473)))</f>
        <v/>
      </c>
      <c r="CF473" s="95" t="str">
        <f aca="false">IF(ISBLANK($C473),"",IF($BL473&lt;&gt;Constants!$B$4,"",IF($BB473="-&gt;",$BF473,$AV473)))</f>
        <v/>
      </c>
      <c r="CG473" s="95" t="str">
        <f aca="false">IF(ISBLANK($C473),"",IF($BL473&lt;&gt;Constants!$B$4,"",IF($BB473="-&gt;",$BG473,$AW473)))</f>
        <v/>
      </c>
      <c r="CH473" s="95" t="str">
        <f aca="false">IF(ISBLANK($C473),"",IF($BL473&lt;&gt;Constants!$B$4,"",IF($BB473="-&gt;",$BH473,$AX473)))</f>
        <v/>
      </c>
      <c r="CI473" s="96" t="str">
        <f aca="false">IF(ISBLANK($C473),"",$BO473)</f>
        <v/>
      </c>
      <c r="CJ473" s="97" t="str">
        <f aca="false">IF(ISBLANK($C473),"",$BM473)</f>
        <v/>
      </c>
      <c r="CK473" s="98" t="str">
        <f aca="false">IF(ISBLANK($C473),"",$CA473)</f>
        <v/>
      </c>
      <c r="CL473" s="98" t="str">
        <f aca="false">IF(ISBLANK($C473),"",$BZ473)</f>
        <v/>
      </c>
      <c r="CM473" s="99" t="str">
        <f aca="false">IF(ISBLANK($C473),"",IF($CL473=Constants!$B$7,COUNTA($C$9:$C$508)+2,IF($CL473=Constants!$B$6,COUNTA($C$9:$C$508)+1,IF($CL473=Constants!$B$5,COUNTA($C$9:$C$508),$CL473))))</f>
        <v/>
      </c>
      <c r="CN473" s="8"/>
      <c r="CO473" s="100" t="n">
        <f aca="false">IF(OR(ISNUMBER($CL473),$CL473=Constants!$B$7,$CL473=Constants!$B$5,$CL473=Constants!$B$6),1,0)</f>
        <v>0</v>
      </c>
      <c r="CP473" s="100" t="n">
        <v>465</v>
      </c>
      <c r="CQ473" s="100" t="str">
        <f aca="false">IF(ISBLANK($C473),"",IF(ISNUMBER($CM473),$CM473+ROW($B473)/1000,""))</f>
        <v/>
      </c>
      <c r="CR473" s="100" t="str">
        <f aca="false">IF(ISNUMBER($CQ473),RANK($CQ473,$CQ$9:$CQ$508,1),"")</f>
        <v/>
      </c>
      <c r="CS473" s="100" t="str">
        <f aca="false">IF(ISBLANK($C473),"",$B473)</f>
        <v/>
      </c>
      <c r="CT473" s="100" t="str">
        <f aca="false">IF(ISBLANK($C473),"",$C473)</f>
        <v/>
      </c>
      <c r="CU473" s="100" t="str">
        <f aca="false">IF(ISBLANK($C473),"",$D473)</f>
        <v/>
      </c>
      <c r="CV473" s="101" t="str">
        <f aca="false">$CJ473</f>
        <v/>
      </c>
      <c r="CW473" s="102" t="str">
        <f aca="false">$CI473</f>
        <v/>
      </c>
      <c r="CX473" s="100" t="str">
        <f aca="false">IF(ISBLANK($C473),"",$CL473)</f>
        <v/>
      </c>
      <c r="CY473" s="103" t="str">
        <f aca="false">IF($CP473&gt;$CO$8,"",VLOOKUP($CP473,$CR$9:$CX$508,7,FALSE()))</f>
        <v/>
      </c>
      <c r="CZ473" s="104" t="str">
        <f aca="false">IF($CP473&gt;$CO$8,"",VLOOKUP($CP473,$CR$9:$CX$508,2,FALSE()))</f>
        <v/>
      </c>
      <c r="DA473" s="104" t="str">
        <f aca="false">IF($CP473&gt;$CO$8,"",VLOOKUP($CP473,$CR$9:$CX$508,3,FALSE()))</f>
        <v/>
      </c>
      <c r="DB473" s="104" t="str">
        <f aca="false">IF($CP473&gt;$CO$8,"",VLOOKUP($CP473,$CR$9:$CX$508,4,FALSE()))</f>
        <v/>
      </c>
      <c r="DC473" s="104" t="str">
        <f aca="false">IF($CP473&gt;$CO$8,"",VLOOKUP($CP473,$CR$9:$CX$508,5,FALSE()))</f>
        <v/>
      </c>
      <c r="DD473" s="105" t="str">
        <f aca="false">IF($CP473&gt;$CO$8,"",VLOOKUP($CP473,$CR$9:$CX$508,6,FALSE()))</f>
        <v/>
      </c>
      <c r="DE473" s="70"/>
    </row>
    <row r="474" customFormat="false" ht="15.75" hidden="false" customHeight="false" outlineLevel="0" collapsed="false">
      <c r="A474" s="8"/>
      <c r="B474" s="146"/>
      <c r="C474" s="147"/>
      <c r="D474" s="148"/>
      <c r="E474" s="164"/>
      <c r="F474" s="150"/>
      <c r="G474" s="115"/>
      <c r="H474" s="115"/>
      <c r="I474" s="115"/>
      <c r="J474" s="165"/>
      <c r="K474" s="154"/>
      <c r="L474" s="154"/>
      <c r="M474" s="118"/>
      <c r="N474" s="154"/>
      <c r="O474" s="153"/>
      <c r="P474" s="154"/>
      <c r="Q474" s="154"/>
      <c r="R474" s="154"/>
      <c r="S474" s="115"/>
      <c r="T474" s="154"/>
      <c r="U474" s="153"/>
      <c r="V474" s="154"/>
      <c r="W474" s="123"/>
      <c r="X474" s="124" t="str">
        <f aca="false">IF(ISBLANK($C474),"",IF($E474=Constants!$B$2,TRUE(),IF($E474=Constants!$B$3,FALSE(),TRUE())))</f>
        <v/>
      </c>
      <c r="Y474" s="124" t="str">
        <f aca="false">IF(ISBLANK($C474),"",IF($F474=Constants!$B$2,TRUE(),IF($F474=Constants!$B$3,FALSE(),TRUE())))</f>
        <v/>
      </c>
      <c r="Z474" s="125" t="str">
        <f aca="false">IF(ISBLANK($C474),"",IF(ISNUMBER($G474),IF($G474&gt;=0,$G474,""),""))</f>
        <v/>
      </c>
      <c r="AA474" s="125" t="str">
        <f aca="false">IF(ISBLANK($C474),"",IF(ISNUMBER($H474),IF($H474&gt;=0,$H474,""),""))</f>
        <v/>
      </c>
      <c r="AB474" s="125" t="str">
        <f aca="false">IF(ISBLANK($C474),"",IF(ISNUMBER($I474),IF($I474&gt;=0,$I474,""),""))</f>
        <v/>
      </c>
      <c r="AC474" s="124" t="str">
        <f aca="false">IF(ISBLANK($C474),"",IF($J474=Constants!$B$2,TRUE(),IF($J474=Constants!$B$3,FALSE(),TRUE())))</f>
        <v/>
      </c>
      <c r="AD474" s="124" t="str">
        <f aca="false">IF(ISBLANK($C474),"",IF($K474=Constants!$B$2,TRUE(),IF($K474=Constants!$B$3,FALSE(),TRUE())))</f>
        <v/>
      </c>
      <c r="AE474" s="124" t="str">
        <f aca="false">IF(ISBLANK($C474),"",IF($L474=Constants!$B$2,TRUE(),IF($L474=Constants!$B$3,FALSE(),TRUE())))</f>
        <v/>
      </c>
      <c r="AF474" s="126" t="str">
        <f aca="false">IF(ISBLANK($C474),"",IF(ISNUMBER($M474),IF($M474&gt;=0,$M474,""),""))</f>
        <v/>
      </c>
      <c r="AG474" s="124" t="str">
        <f aca="false">IF(ISBLANK($C474),"",IF(ISBLANK($N474),0,IF(ISNUMBER($N474),IF(AND($N474&gt;=0,$N474&lt;=Constants!$B$17,$N474=INT($N474)),$N474,""),"")))</f>
        <v/>
      </c>
      <c r="AH474" s="125" t="str">
        <f aca="false">IF(ISBLANK($C474),"",IF(ISBLANK($O474),0,IF(ISNUMBER($O474),IF($O474&gt;=0,$O474,""),"")))</f>
        <v/>
      </c>
      <c r="AI474" s="124" t="str">
        <f aca="false">IF(ISBLANK($C474),"",IF($P474=Constants!$B$2,TRUE(),IF($P474=Constants!$B$3,FALSE(),TRUE())))</f>
        <v/>
      </c>
      <c r="AJ474" s="124" t="str">
        <f aca="false">IF(ISBLANK($C474),"",IF($Q474=Constants!$B$2,TRUE(),IF($Q474=Constants!$B$3,FALSE(),TRUE())))</f>
        <v/>
      </c>
      <c r="AK474" s="124" t="str">
        <f aca="false">IF(ISBLANK($C474),"",IF($R474=Constants!$B$2,TRUE(),IF($R474=Constants!$B$3,FALSE(),TRUE())))</f>
        <v/>
      </c>
      <c r="AL474" s="126" t="str">
        <f aca="false">IF(ISBLANK($C474),"",IF(ISNUMBER($S474),IF($S474&gt;=0,$S474,""),""))</f>
        <v/>
      </c>
      <c r="AM474" s="124" t="str">
        <f aca="false">IF(ISBLANK($C474),"",IF(ISBLANK($T474),0,IF(ISNUMBER($T474),IF(AND($T474&gt;=0,$T474&lt;=Constants!$B$17,$T474=INT($T474)),$T474,""),"")))</f>
        <v/>
      </c>
      <c r="AN474" s="125" t="str">
        <f aca="false">IF(ISBLANK($C474),"",IF(ISBLANK($U474),0,IF(ISNUMBER($U474),IF($U474&gt;=0,$U474,""),"")))</f>
        <v/>
      </c>
      <c r="AO474" s="124" t="str">
        <f aca="false">IF(ISBLANK($C474),"",IF($V474=Constants!$B$2,TRUE(),IF($V474=Constants!$B$3,FALSE(),FALSE())))</f>
        <v/>
      </c>
      <c r="AP474" s="124"/>
      <c r="AQ474" s="123" t="str">
        <f aca="false">IF(ISBLANK($C474),"",AND($Y474,OR($AS474,$BC474),OR($Z474="",$AA474="",$AB474="")))</f>
        <v/>
      </c>
      <c r="AR474" s="123" t="str">
        <f aca="false">IF(ISBLANK($C474),"",IF(OR(NOT($Y474),NOT(OR($AS474,$BC474))),"",IF(ISBLANK($D$7),$AR$5,IF($AP$9="",$AR$6,""))))</f>
        <v/>
      </c>
      <c r="AS474" s="123" t="str">
        <f aca="false">IF(ISBLANK($C474),"",COUNTA($J474:$O474)&gt;0)</f>
        <v/>
      </c>
      <c r="AT474" s="123" t="str">
        <f aca="false">IF(ISBLANK($C474),"",AND($AS474,OR(AND($AF474="",OR($AE474,NOT(ISBLANK($M474)))),$AG474="",$AH474="")))</f>
        <v/>
      </c>
      <c r="AU474" s="125" t="str">
        <f aca="false">IF($BL474&lt;&gt;Constants!$B$4,"",IF(NOT($AS474),"",ROUND((Constants!$B$12-$AB474)+(Constants!$B$13-$Z474)+(Constants!$B$14-$AA474),1)))</f>
        <v/>
      </c>
      <c r="AV474" s="127" t="str">
        <f aca="false">IF($BL474&lt;&gt;Constants!$B$4,"",IF(NOT($AS474),"",IF(NOT($AE474),0,Constants!$B$15*(INT(ROUND(MIN($AF474,$AP$9),6))-INT(ROUND(MAX(0,MIN($AF474,2*$AP$9)-$AP$9),6))))))</f>
        <v/>
      </c>
      <c r="AW474" s="127" t="str">
        <f aca="false">IF($BL474&lt;&gt;Constants!$B$4,"",IF(NOT($AS474),"",Constants!$B$16*$AG474))</f>
        <v/>
      </c>
      <c r="AX474" s="127" t="str">
        <f aca="false">IF($BL474&lt;&gt;Constants!$B$4,"",IF(NOT($AS474),"",Constants!$B$18*INT(ROUND($AH474,6))))</f>
        <v/>
      </c>
      <c r="AY474" s="123" t="str">
        <f aca="false">IF($BL474&lt;&gt;Constants!$B$4,"",IF(NOT($AS474),"",IF(NOT($X474),Constants!$B$11,IF(OR(NOT($AC474),NOT($AD474),ROUND($AB474,1)&gt;Constants!$B$12,ROUND($Z474,1)&gt;Constants!$B$13,ROUND($AA474,1)&gt;Constants!$B$14),Constants!$B$10,Constants!$B$9))))</f>
        <v/>
      </c>
      <c r="AZ474" s="128" t="str">
        <f aca="false">IF($BL474&lt;&gt;Constants!$B$4,"",IF(NOT($AS474),"",ROUND($AU474+$AV474+$AW474+$AX474,1)))</f>
        <v/>
      </c>
      <c r="BA474" s="129" t="str">
        <f aca="false">IF($BL474&lt;&gt;Constants!$B$4,"",IF(NOT($AS474),"",IF(ISNUMBER($AF474),$AF474,0)))</f>
        <v/>
      </c>
      <c r="BB474" s="124" t="str">
        <f aca="false">IF($BL474&lt;&gt;Constants!$B$4,"",IF(NOT($BC474),"&lt;-",IF(NOT($AS474),"-&gt;",IF(OR($BI474&lt;$AY474,AND($BI474=$AY474,OR($BJ474&gt;$AZ474,AND($BJ474=$AZ474,OR($BH474&gt;$AX474,AND($BH474=$AX474,OR($BE474&gt;$AU474,AND($BE474=$AU474,OR($BF474&gt;$AV474,AND($BF474=$AV474,$BK474&gt;$BA474)))))))))),"-&gt;","&lt;-"))))</f>
        <v/>
      </c>
      <c r="BC474" s="123" t="str">
        <f aca="false">IF(ISBLANK($C474),"",COUNTA($P474:$U474)&gt;0)</f>
        <v/>
      </c>
      <c r="BD474" s="123" t="str">
        <f aca="false">IF(ISBLANK($C474),"",AND($BC474,OR(AND($AL474="",OR($AK474,NOT(ISBLANK($S474)))),$AM474="",$AN474="")))</f>
        <v/>
      </c>
      <c r="BE474" s="125" t="str">
        <f aca="false">IF($BL474&lt;&gt;Constants!$B$4,"",IF(NOT($BC474),"",ROUND((Constants!$B$12-$AB474)+(Constants!$B$13-$Z474)+(Constants!$B$14-$AA474),1)))</f>
        <v/>
      </c>
      <c r="BF474" s="127" t="str">
        <f aca="false">IF($BL474&lt;&gt;Constants!$B$4,"",IF(NOT($BC474),"",IF(NOT($AK474),0,Constants!$B$15*(INT(ROUND(MIN($AL474,$AP$9),6))-INT(ROUND(MAX(0,MIN($AL474,2*$AP$9)-$AP$9),6))))))</f>
        <v/>
      </c>
      <c r="BG474" s="127" t="str">
        <f aca="false">IF($BL474&lt;&gt;Constants!$B$4,"",IF(NOT($BC474),"",Constants!$B$16*$AM474))</f>
        <v/>
      </c>
      <c r="BH474" s="127" t="str">
        <f aca="false">IF($BL474&lt;&gt;Constants!$B$4,"",IF(NOT($BC474),"",Constants!$B$18*INT(ROUND($AN474,6))))</f>
        <v/>
      </c>
      <c r="BI474" s="123" t="str">
        <f aca="false">IF($BL474&lt;&gt;Constants!$B$4,"",IF(NOT($BC474),"",IF(NOT($X474),Constants!$B$11,IF(OR(NOT($AI474),NOT($AJ474),ROUND($AB474,1)&gt;Constants!$B$12,ROUND($Z474,1)&gt;Constants!$B$13,ROUND($AA474,1)&gt;Constants!$B$14),Constants!$B$10,Constants!$B$9))))</f>
        <v/>
      </c>
      <c r="BJ474" s="128" t="str">
        <f aca="false">IF($BL474&lt;&gt;Constants!$B$4,"",IF(NOT($BC474),"",ROUND($BE474+$BF474+$BG474+$BH474,1)))</f>
        <v/>
      </c>
      <c r="BK474" s="129" t="str">
        <f aca="false">IF($BL474&lt;&gt;Constants!$B$4,"",IF(NOT($BC474),"",IF(ISNUMBER($AL474),$AL474,0)))</f>
        <v/>
      </c>
      <c r="BL474" s="124" t="str">
        <f aca="false">IF(ISBLANK($C474),"",IF($AO474,Constants!$B$7,IF(COUNTA($E474:$V474)=0,Constants!$B$6,IF(NOT($Y474),Constants!$B$5,IF(NOT(OR($AS474,$BC474)),Constants!$B$5,IF(OR($AT474,$BD474,$AQ474,$AR474&lt;&gt;""),Constants!$B$8,Constants!$B$4))))))</f>
        <v/>
      </c>
      <c r="BM474" s="124" t="str">
        <f aca="false">IF(ISBLANK($C474),"",IF($BL474&lt;&gt;Constants!$B$4,$BL474,IF($BB474="-&gt;",$BI474,$AY474)))</f>
        <v/>
      </c>
      <c r="BN474" s="127" t="str">
        <f aca="false">IF($BL474&lt;&gt;Constants!$B$4,"",IF($BB474="-&gt;",$BJ474,$AZ474))</f>
        <v/>
      </c>
      <c r="BO474" s="127" t="str">
        <f aca="false">IF(ISBLANK($C474),"",IF($BL474&lt;&gt;Constants!$B$4,$BL474,$BN474))</f>
        <v/>
      </c>
      <c r="BP474" s="124" t="str">
        <f aca="false">IF(ISBLANK($C474),"",IF($BL474&lt;&gt;Constants!$B$4,$BL474,RANK($BO474,$BO$9:$BO$508,0)))</f>
        <v/>
      </c>
      <c r="BQ474" s="124" t="str">
        <f aca="false">IF(ISBLANK($C474),"",IF($BL474&lt;&gt;Constants!$B$4,$BL474,COUNTIFS($BM$9:$BM$508,"&lt;"&amp;$BM474)+COUNTIFS($BM$9:$BM$508,$BM474,$BP$9:$BP$508,"&lt;"&amp;$BP474)+1))</f>
        <v/>
      </c>
      <c r="BR474" s="127" t="str">
        <f aca="false">IF($BL474&lt;&gt;Constants!$B$4,"",IF($BB474="-&gt;",$BH474,$AX474))</f>
        <v/>
      </c>
      <c r="BS474" s="124" t="str">
        <f aca="false">IF(ISBLANK($C474),"",IF($BL474&lt;&gt;Constants!$B$4,$BL474,IF(ISNUMBER($BR474),RANK($BR474,$BR$9:$BR$508,0),COUNT($BR$9:$BR$508)+1)))</f>
        <v/>
      </c>
      <c r="BT474" s="127" t="str">
        <f aca="false">IF($BL474&lt;&gt;Constants!$B$4,"",IF($BB474="-&gt;",$BE474,$AU474))</f>
        <v/>
      </c>
      <c r="BU474" s="124" t="str">
        <f aca="false">IF(ISBLANK($C474),"",IF($BL474&lt;&gt;Constants!$B$4,$BL474,IF(ISNUMBER($BT474),RANK($BT474,$BT$9:$BT$508,0),COUNT($BT$9:$BT$508)+1)))</f>
        <v/>
      </c>
      <c r="BV474" s="127" t="str">
        <f aca="false">IF($BL474&lt;&gt;Constants!$B$4,"",IF($BB474="-&gt;",$BF474,$AV474))</f>
        <v/>
      </c>
      <c r="BW474" s="124" t="str">
        <f aca="false">IF(ISBLANK($C474),"",IF($BL474&lt;&gt;Constants!$B$4,$BL474,IF(ISNUMBER($BV474),RANK($BV474,$BV$9:$BV$508,0),COUNT($BV$9:$BV$508)+1)))</f>
        <v/>
      </c>
      <c r="BX474" s="127" t="str">
        <f aca="false">IF($BL474&lt;&gt;Constants!$B$4,"",IF($BB474="-&gt;",$BK474,$BA474))</f>
        <v/>
      </c>
      <c r="BY474" s="124" t="str">
        <f aca="false">IF(ISBLANK($C474),"",IF($BL474&lt;&gt;Constants!$B$4,$BL474,IF(ISNUMBER($BX474),RANK($BX474,$BX$9:$BX$508,0),COUNT($BX$9:$BX$508)+1)))</f>
        <v/>
      </c>
      <c r="BZ474" s="124" t="str">
        <f aca="false">IF(ISBLANK($C474),"",IF($BL474&lt;&gt;Constants!$B$4,$BL474,COUNTIFS($BM$9:$BM$508,"&lt;"&amp;$BM474)+COUNTIFS($BM$9:$BM$508,$BM474,$BP$9:$BP$508,"&lt;"&amp;$BP474)+COUNTIFS($BM$9:$BM$508,$BM474,$BP$9:$BP$508,$BP474,$BS$9:$BS$508,"&lt;"&amp;$BS474)+COUNTIFS($BM$9:$BM$508,$BM474,$BP$9:$BP$508,$BP474,$BS$9:$BS$508,$BS474,$BU$9:$BU$508,"&lt;"&amp;$BU474)+COUNTIFS($BM$9:$BM$508,$BM474,$BP$9:$BP$508,$BP474,$BS$9:$BS$508,$BS474,$BU$9:$BU$508,$BU474,$BW$9:$BW$508,"&lt;"&amp;$BW474)+COUNTIFS($BM$9:$BM$508,$BM474,$BP$9:$BP$508,$BP474,$BS$9:$BS$508,$BS474,$BU$9:$BU$508,$BU474,$BW$9:$BW$508,$BW474,$BY$9:$BY$508,"&lt;"&amp;$BY474)+1))</f>
        <v/>
      </c>
      <c r="CA474" s="124" t="str">
        <f aca="false">IF(ISBLANK($C474),"",IF($BL474&lt;&gt;Constants!$B$4,$BL474,$BQ474-$BZ474))</f>
        <v/>
      </c>
      <c r="CB474" s="130"/>
      <c r="CC474" s="131" t="str">
        <f aca="false">IF(ISBLANK($C474),"",IF($BL474=Constants!$B$8,$AR474,""))</f>
        <v/>
      </c>
      <c r="CD474" s="131" t="str">
        <f aca="false">IF(ISBLANK($C474),"",IF($BL474&lt;&gt;Constants!$B$4,"",IF($BB474="-&gt;",2,1)))</f>
        <v/>
      </c>
      <c r="CE474" s="132" t="str">
        <f aca="false">IF(ISBLANK($C474),"",IF($BL474&lt;&gt;Constants!$B$4,"",IF($BB474="-&gt;",$BE474,$AU474)))</f>
        <v/>
      </c>
      <c r="CF474" s="132" t="str">
        <f aca="false">IF(ISBLANK($C474),"",IF($BL474&lt;&gt;Constants!$B$4,"",IF($BB474="-&gt;",$BF474,$AV474)))</f>
        <v/>
      </c>
      <c r="CG474" s="132" t="str">
        <f aca="false">IF(ISBLANK($C474),"",IF($BL474&lt;&gt;Constants!$B$4,"",IF($BB474="-&gt;",$BG474,$AW474)))</f>
        <v/>
      </c>
      <c r="CH474" s="132" t="str">
        <f aca="false">IF(ISBLANK($C474),"",IF($BL474&lt;&gt;Constants!$B$4,"",IF($BB474="-&gt;",$BH474,$AX474)))</f>
        <v/>
      </c>
      <c r="CI474" s="133" t="str">
        <f aca="false">IF(ISBLANK($C474),"",$BO474)</f>
        <v/>
      </c>
      <c r="CJ474" s="134" t="str">
        <f aca="false">IF(ISBLANK($C474),"",$BM474)</f>
        <v/>
      </c>
      <c r="CK474" s="135" t="str">
        <f aca="false">IF(ISBLANK($C474),"",$CA474)</f>
        <v/>
      </c>
      <c r="CL474" s="135" t="str">
        <f aca="false">IF(ISBLANK($C474),"",$BZ474)</f>
        <v/>
      </c>
      <c r="CM474" s="136" t="str">
        <f aca="false">IF(ISBLANK($C474),"",IF($CL474=Constants!$B$7,COUNTA($C$9:$C$508)+2,IF($CL474=Constants!$B$6,COUNTA($C$9:$C$508)+1,IF($CL474=Constants!$B$5,COUNTA($C$9:$C$508),$CL474))))</f>
        <v/>
      </c>
      <c r="CN474" s="8"/>
      <c r="CO474" s="137" t="n">
        <f aca="false">IF(OR(ISNUMBER($CL474),$CL474=Constants!$B$7,$CL474=Constants!$B$5,$CL474=Constants!$B$6),1,0)</f>
        <v>0</v>
      </c>
      <c r="CP474" s="137" t="n">
        <v>466</v>
      </c>
      <c r="CQ474" s="137" t="str">
        <f aca="false">IF(ISBLANK($C474),"",IF(ISNUMBER($CM474),$CM474+ROW($B474)/1000,""))</f>
        <v/>
      </c>
      <c r="CR474" s="137" t="str">
        <f aca="false">IF(ISNUMBER($CQ474),RANK($CQ474,$CQ$9:$CQ$508,1),"")</f>
        <v/>
      </c>
      <c r="CS474" s="137" t="str">
        <f aca="false">IF(ISBLANK($C474),"",$B474)</f>
        <v/>
      </c>
      <c r="CT474" s="137" t="str">
        <f aca="false">IF(ISBLANK($C474),"",$C474)</f>
        <v/>
      </c>
      <c r="CU474" s="137" t="str">
        <f aca="false">IF(ISBLANK($C474),"",$D474)</f>
        <v/>
      </c>
      <c r="CV474" s="138" t="str">
        <f aca="false">$CJ474</f>
        <v/>
      </c>
      <c r="CW474" s="139" t="str">
        <f aca="false">$CI474</f>
        <v/>
      </c>
      <c r="CX474" s="137" t="str">
        <f aca="false">IF(ISBLANK($C474),"",$CL474)</f>
        <v/>
      </c>
      <c r="CY474" s="140" t="str">
        <f aca="false">IF($CP474&gt;$CO$8,"",VLOOKUP($CP474,$CR$9:$CX$508,7,FALSE()))</f>
        <v/>
      </c>
      <c r="CZ474" s="141" t="str">
        <f aca="false">IF($CP474&gt;$CO$8,"",VLOOKUP($CP474,$CR$9:$CX$508,2,FALSE()))</f>
        <v/>
      </c>
      <c r="DA474" s="141" t="str">
        <f aca="false">IF($CP474&gt;$CO$8,"",VLOOKUP($CP474,$CR$9:$CX$508,3,FALSE()))</f>
        <v/>
      </c>
      <c r="DB474" s="141" t="str">
        <f aca="false">IF($CP474&gt;$CO$8,"",VLOOKUP($CP474,$CR$9:$CX$508,4,FALSE()))</f>
        <v/>
      </c>
      <c r="DC474" s="141" t="str">
        <f aca="false">IF($CP474&gt;$CO$8,"",VLOOKUP($CP474,$CR$9:$CX$508,5,FALSE()))</f>
        <v/>
      </c>
      <c r="DD474" s="142" t="str">
        <f aca="false">IF($CP474&gt;$CO$8,"",VLOOKUP($CP474,$CR$9:$CX$508,6,FALSE()))</f>
        <v/>
      </c>
      <c r="DE474" s="70"/>
    </row>
    <row r="475" customFormat="false" ht="15.75" hidden="false" customHeight="false" outlineLevel="0" collapsed="false">
      <c r="A475" s="8"/>
      <c r="B475" s="146"/>
      <c r="C475" s="147"/>
      <c r="D475" s="148"/>
      <c r="E475" s="164"/>
      <c r="F475" s="150"/>
      <c r="G475" s="115"/>
      <c r="H475" s="115"/>
      <c r="I475" s="115"/>
      <c r="J475" s="165"/>
      <c r="K475" s="154"/>
      <c r="L475" s="154"/>
      <c r="M475" s="118"/>
      <c r="N475" s="154"/>
      <c r="O475" s="153"/>
      <c r="P475" s="154"/>
      <c r="Q475" s="154"/>
      <c r="R475" s="154"/>
      <c r="S475" s="115"/>
      <c r="T475" s="154"/>
      <c r="U475" s="153"/>
      <c r="V475" s="154"/>
      <c r="W475" s="123"/>
      <c r="X475" s="124" t="str">
        <f aca="false">IF(ISBLANK($C475),"",IF($E475=Constants!$B$2,TRUE(),IF($E475=Constants!$B$3,FALSE(),TRUE())))</f>
        <v/>
      </c>
      <c r="Y475" s="124" t="str">
        <f aca="false">IF(ISBLANK($C475),"",IF($F475=Constants!$B$2,TRUE(),IF($F475=Constants!$B$3,FALSE(),TRUE())))</f>
        <v/>
      </c>
      <c r="Z475" s="125" t="str">
        <f aca="false">IF(ISBLANK($C475),"",IF(ISNUMBER($G475),IF($G475&gt;=0,$G475,""),""))</f>
        <v/>
      </c>
      <c r="AA475" s="125" t="str">
        <f aca="false">IF(ISBLANK($C475),"",IF(ISNUMBER($H475),IF($H475&gt;=0,$H475,""),""))</f>
        <v/>
      </c>
      <c r="AB475" s="125" t="str">
        <f aca="false">IF(ISBLANK($C475),"",IF(ISNUMBER($I475),IF($I475&gt;=0,$I475,""),""))</f>
        <v/>
      </c>
      <c r="AC475" s="124" t="str">
        <f aca="false">IF(ISBLANK($C475),"",IF($J475=Constants!$B$2,TRUE(),IF($J475=Constants!$B$3,FALSE(),TRUE())))</f>
        <v/>
      </c>
      <c r="AD475" s="124" t="str">
        <f aca="false">IF(ISBLANK($C475),"",IF($K475=Constants!$B$2,TRUE(),IF($K475=Constants!$B$3,FALSE(),TRUE())))</f>
        <v/>
      </c>
      <c r="AE475" s="124" t="str">
        <f aca="false">IF(ISBLANK($C475),"",IF($L475=Constants!$B$2,TRUE(),IF($L475=Constants!$B$3,FALSE(),TRUE())))</f>
        <v/>
      </c>
      <c r="AF475" s="126" t="str">
        <f aca="false">IF(ISBLANK($C475),"",IF(ISNUMBER($M475),IF($M475&gt;=0,$M475,""),""))</f>
        <v/>
      </c>
      <c r="AG475" s="124" t="str">
        <f aca="false">IF(ISBLANK($C475),"",IF(ISBLANK($N475),0,IF(ISNUMBER($N475),IF(AND($N475&gt;=0,$N475&lt;=Constants!$B$17,$N475=INT($N475)),$N475,""),"")))</f>
        <v/>
      </c>
      <c r="AH475" s="125" t="str">
        <f aca="false">IF(ISBLANK($C475),"",IF(ISBLANK($O475),0,IF(ISNUMBER($O475),IF($O475&gt;=0,$O475,""),"")))</f>
        <v/>
      </c>
      <c r="AI475" s="124" t="str">
        <f aca="false">IF(ISBLANK($C475),"",IF($P475=Constants!$B$2,TRUE(),IF($P475=Constants!$B$3,FALSE(),TRUE())))</f>
        <v/>
      </c>
      <c r="AJ475" s="124" t="str">
        <f aca="false">IF(ISBLANK($C475),"",IF($Q475=Constants!$B$2,TRUE(),IF($Q475=Constants!$B$3,FALSE(),TRUE())))</f>
        <v/>
      </c>
      <c r="AK475" s="124" t="str">
        <f aca="false">IF(ISBLANK($C475),"",IF($R475=Constants!$B$2,TRUE(),IF($R475=Constants!$B$3,FALSE(),TRUE())))</f>
        <v/>
      </c>
      <c r="AL475" s="126" t="str">
        <f aca="false">IF(ISBLANK($C475),"",IF(ISNUMBER($S475),IF($S475&gt;=0,$S475,""),""))</f>
        <v/>
      </c>
      <c r="AM475" s="124" t="str">
        <f aca="false">IF(ISBLANK($C475),"",IF(ISBLANK($T475),0,IF(ISNUMBER($T475),IF(AND($T475&gt;=0,$T475&lt;=Constants!$B$17,$T475=INT($T475)),$T475,""),"")))</f>
        <v/>
      </c>
      <c r="AN475" s="125" t="str">
        <f aca="false">IF(ISBLANK($C475),"",IF(ISBLANK($U475),0,IF(ISNUMBER($U475),IF($U475&gt;=0,$U475,""),"")))</f>
        <v/>
      </c>
      <c r="AO475" s="124" t="str">
        <f aca="false">IF(ISBLANK($C475),"",IF($V475=Constants!$B$2,TRUE(),IF($V475=Constants!$B$3,FALSE(),FALSE())))</f>
        <v/>
      </c>
      <c r="AP475" s="124"/>
      <c r="AQ475" s="123" t="str">
        <f aca="false">IF(ISBLANK($C475),"",AND($Y475,OR($AS475,$BC475),OR($Z475="",$AA475="",$AB475="")))</f>
        <v/>
      </c>
      <c r="AR475" s="123" t="str">
        <f aca="false">IF(ISBLANK($C475),"",IF(OR(NOT($Y475),NOT(OR($AS475,$BC475))),"",IF(ISBLANK($D$7),$AR$5,IF($AP$9="",$AR$6,""))))</f>
        <v/>
      </c>
      <c r="AS475" s="123" t="str">
        <f aca="false">IF(ISBLANK($C475),"",COUNTA($J475:$O475)&gt;0)</f>
        <v/>
      </c>
      <c r="AT475" s="123" t="str">
        <f aca="false">IF(ISBLANK($C475),"",AND($AS475,OR(AND($AF475="",OR($AE475,NOT(ISBLANK($M475)))),$AG475="",$AH475="")))</f>
        <v/>
      </c>
      <c r="AU475" s="125" t="str">
        <f aca="false">IF($BL475&lt;&gt;Constants!$B$4,"",IF(NOT($AS475),"",ROUND((Constants!$B$12-$AB475)+(Constants!$B$13-$Z475)+(Constants!$B$14-$AA475),1)))</f>
        <v/>
      </c>
      <c r="AV475" s="127" t="str">
        <f aca="false">IF($BL475&lt;&gt;Constants!$B$4,"",IF(NOT($AS475),"",IF(NOT($AE475),0,Constants!$B$15*(INT(ROUND(MIN($AF475,$AP$9),6))-INT(ROUND(MAX(0,MIN($AF475,2*$AP$9)-$AP$9),6))))))</f>
        <v/>
      </c>
      <c r="AW475" s="127" t="str">
        <f aca="false">IF($BL475&lt;&gt;Constants!$B$4,"",IF(NOT($AS475),"",Constants!$B$16*$AG475))</f>
        <v/>
      </c>
      <c r="AX475" s="127" t="str">
        <f aca="false">IF($BL475&lt;&gt;Constants!$B$4,"",IF(NOT($AS475),"",Constants!$B$18*INT(ROUND($AH475,6))))</f>
        <v/>
      </c>
      <c r="AY475" s="123" t="str">
        <f aca="false">IF($BL475&lt;&gt;Constants!$B$4,"",IF(NOT($AS475),"",IF(NOT($X475),Constants!$B$11,IF(OR(NOT($AC475),NOT($AD475),ROUND($AB475,1)&gt;Constants!$B$12,ROUND($Z475,1)&gt;Constants!$B$13,ROUND($AA475,1)&gt;Constants!$B$14),Constants!$B$10,Constants!$B$9))))</f>
        <v/>
      </c>
      <c r="AZ475" s="128" t="str">
        <f aca="false">IF($BL475&lt;&gt;Constants!$B$4,"",IF(NOT($AS475),"",ROUND($AU475+$AV475+$AW475+$AX475,1)))</f>
        <v/>
      </c>
      <c r="BA475" s="129" t="str">
        <f aca="false">IF($BL475&lt;&gt;Constants!$B$4,"",IF(NOT($AS475),"",IF(ISNUMBER($AF475),$AF475,0)))</f>
        <v/>
      </c>
      <c r="BB475" s="124" t="str">
        <f aca="false">IF($BL475&lt;&gt;Constants!$B$4,"",IF(NOT($BC475),"&lt;-",IF(NOT($AS475),"-&gt;",IF(OR($BI475&lt;$AY475,AND($BI475=$AY475,OR($BJ475&gt;$AZ475,AND($BJ475=$AZ475,OR($BH475&gt;$AX475,AND($BH475=$AX475,OR($BE475&gt;$AU475,AND($BE475=$AU475,OR($BF475&gt;$AV475,AND($BF475=$AV475,$BK475&gt;$BA475)))))))))),"-&gt;","&lt;-"))))</f>
        <v/>
      </c>
      <c r="BC475" s="123" t="str">
        <f aca="false">IF(ISBLANK($C475),"",COUNTA($P475:$U475)&gt;0)</f>
        <v/>
      </c>
      <c r="BD475" s="123" t="str">
        <f aca="false">IF(ISBLANK($C475),"",AND($BC475,OR(AND($AL475="",OR($AK475,NOT(ISBLANK($S475)))),$AM475="",$AN475="")))</f>
        <v/>
      </c>
      <c r="BE475" s="125" t="str">
        <f aca="false">IF($BL475&lt;&gt;Constants!$B$4,"",IF(NOT($BC475),"",ROUND((Constants!$B$12-$AB475)+(Constants!$B$13-$Z475)+(Constants!$B$14-$AA475),1)))</f>
        <v/>
      </c>
      <c r="BF475" s="127" t="str">
        <f aca="false">IF($BL475&lt;&gt;Constants!$B$4,"",IF(NOT($BC475),"",IF(NOT($AK475),0,Constants!$B$15*(INT(ROUND(MIN($AL475,$AP$9),6))-INT(ROUND(MAX(0,MIN($AL475,2*$AP$9)-$AP$9),6))))))</f>
        <v/>
      </c>
      <c r="BG475" s="127" t="str">
        <f aca="false">IF($BL475&lt;&gt;Constants!$B$4,"",IF(NOT($BC475),"",Constants!$B$16*$AM475))</f>
        <v/>
      </c>
      <c r="BH475" s="127" t="str">
        <f aca="false">IF($BL475&lt;&gt;Constants!$B$4,"",IF(NOT($BC475),"",Constants!$B$18*INT(ROUND($AN475,6))))</f>
        <v/>
      </c>
      <c r="BI475" s="123" t="str">
        <f aca="false">IF($BL475&lt;&gt;Constants!$B$4,"",IF(NOT($BC475),"",IF(NOT($X475),Constants!$B$11,IF(OR(NOT($AI475),NOT($AJ475),ROUND($AB475,1)&gt;Constants!$B$12,ROUND($Z475,1)&gt;Constants!$B$13,ROUND($AA475,1)&gt;Constants!$B$14),Constants!$B$10,Constants!$B$9))))</f>
        <v/>
      </c>
      <c r="BJ475" s="128" t="str">
        <f aca="false">IF($BL475&lt;&gt;Constants!$B$4,"",IF(NOT($BC475),"",ROUND($BE475+$BF475+$BG475+$BH475,1)))</f>
        <v/>
      </c>
      <c r="BK475" s="129" t="str">
        <f aca="false">IF($BL475&lt;&gt;Constants!$B$4,"",IF(NOT($BC475),"",IF(ISNUMBER($AL475),$AL475,0)))</f>
        <v/>
      </c>
      <c r="BL475" s="124" t="str">
        <f aca="false">IF(ISBLANK($C475),"",IF($AO475,Constants!$B$7,IF(COUNTA($E475:$V475)=0,Constants!$B$6,IF(NOT($Y475),Constants!$B$5,IF(NOT(OR($AS475,$BC475)),Constants!$B$5,IF(OR($AT475,$BD475,$AQ475,$AR475&lt;&gt;""),Constants!$B$8,Constants!$B$4))))))</f>
        <v/>
      </c>
      <c r="BM475" s="124" t="str">
        <f aca="false">IF(ISBLANK($C475),"",IF($BL475&lt;&gt;Constants!$B$4,$BL475,IF($BB475="-&gt;",$BI475,$AY475)))</f>
        <v/>
      </c>
      <c r="BN475" s="127" t="str">
        <f aca="false">IF($BL475&lt;&gt;Constants!$B$4,"",IF($BB475="-&gt;",$BJ475,$AZ475))</f>
        <v/>
      </c>
      <c r="BO475" s="127" t="str">
        <f aca="false">IF(ISBLANK($C475),"",IF($BL475&lt;&gt;Constants!$B$4,$BL475,$BN475))</f>
        <v/>
      </c>
      <c r="BP475" s="124" t="str">
        <f aca="false">IF(ISBLANK($C475),"",IF($BL475&lt;&gt;Constants!$B$4,$BL475,RANK($BO475,$BO$9:$BO$508,0)))</f>
        <v/>
      </c>
      <c r="BQ475" s="124" t="str">
        <f aca="false">IF(ISBLANK($C475),"",IF($BL475&lt;&gt;Constants!$B$4,$BL475,COUNTIFS($BM$9:$BM$508,"&lt;"&amp;$BM475)+COUNTIFS($BM$9:$BM$508,$BM475,$BP$9:$BP$508,"&lt;"&amp;$BP475)+1))</f>
        <v/>
      </c>
      <c r="BR475" s="127" t="str">
        <f aca="false">IF($BL475&lt;&gt;Constants!$B$4,"",IF($BB475="-&gt;",$BH475,$AX475))</f>
        <v/>
      </c>
      <c r="BS475" s="124" t="str">
        <f aca="false">IF(ISBLANK($C475),"",IF($BL475&lt;&gt;Constants!$B$4,$BL475,IF(ISNUMBER($BR475),RANK($BR475,$BR$9:$BR$508,0),COUNT($BR$9:$BR$508)+1)))</f>
        <v/>
      </c>
      <c r="BT475" s="127" t="str">
        <f aca="false">IF($BL475&lt;&gt;Constants!$B$4,"",IF($BB475="-&gt;",$BE475,$AU475))</f>
        <v/>
      </c>
      <c r="BU475" s="124" t="str">
        <f aca="false">IF(ISBLANK($C475),"",IF($BL475&lt;&gt;Constants!$B$4,$BL475,IF(ISNUMBER($BT475),RANK($BT475,$BT$9:$BT$508,0),COUNT($BT$9:$BT$508)+1)))</f>
        <v/>
      </c>
      <c r="BV475" s="127" t="str">
        <f aca="false">IF($BL475&lt;&gt;Constants!$B$4,"",IF($BB475="-&gt;",$BF475,$AV475))</f>
        <v/>
      </c>
      <c r="BW475" s="124" t="str">
        <f aca="false">IF(ISBLANK($C475),"",IF($BL475&lt;&gt;Constants!$B$4,$BL475,IF(ISNUMBER($BV475),RANK($BV475,$BV$9:$BV$508,0),COUNT($BV$9:$BV$508)+1)))</f>
        <v/>
      </c>
      <c r="BX475" s="127" t="str">
        <f aca="false">IF($BL475&lt;&gt;Constants!$B$4,"",IF($BB475="-&gt;",$BK475,$BA475))</f>
        <v/>
      </c>
      <c r="BY475" s="124" t="str">
        <f aca="false">IF(ISBLANK($C475),"",IF($BL475&lt;&gt;Constants!$B$4,$BL475,IF(ISNUMBER($BX475),RANK($BX475,$BX$9:$BX$508,0),COUNT($BX$9:$BX$508)+1)))</f>
        <v/>
      </c>
      <c r="BZ475" s="124" t="str">
        <f aca="false">IF(ISBLANK($C475),"",IF($BL475&lt;&gt;Constants!$B$4,$BL475,COUNTIFS($BM$9:$BM$508,"&lt;"&amp;$BM475)+COUNTIFS($BM$9:$BM$508,$BM475,$BP$9:$BP$508,"&lt;"&amp;$BP475)+COUNTIFS($BM$9:$BM$508,$BM475,$BP$9:$BP$508,$BP475,$BS$9:$BS$508,"&lt;"&amp;$BS475)+COUNTIFS($BM$9:$BM$508,$BM475,$BP$9:$BP$508,$BP475,$BS$9:$BS$508,$BS475,$BU$9:$BU$508,"&lt;"&amp;$BU475)+COUNTIFS($BM$9:$BM$508,$BM475,$BP$9:$BP$508,$BP475,$BS$9:$BS$508,$BS475,$BU$9:$BU$508,$BU475,$BW$9:$BW$508,"&lt;"&amp;$BW475)+COUNTIFS($BM$9:$BM$508,$BM475,$BP$9:$BP$508,$BP475,$BS$9:$BS$508,$BS475,$BU$9:$BU$508,$BU475,$BW$9:$BW$508,$BW475,$BY$9:$BY$508,"&lt;"&amp;$BY475)+1))</f>
        <v/>
      </c>
      <c r="CA475" s="124" t="str">
        <f aca="false">IF(ISBLANK($C475),"",IF($BL475&lt;&gt;Constants!$B$4,$BL475,$BQ475-$BZ475))</f>
        <v/>
      </c>
      <c r="CB475" s="130"/>
      <c r="CC475" s="131" t="str">
        <f aca="false">IF(ISBLANK($C475),"",IF($BL475=Constants!$B$8,$AR475,""))</f>
        <v/>
      </c>
      <c r="CD475" s="131" t="str">
        <f aca="false">IF(ISBLANK($C475),"",IF($BL475&lt;&gt;Constants!$B$4,"",IF($BB475="-&gt;",2,1)))</f>
        <v/>
      </c>
      <c r="CE475" s="132" t="str">
        <f aca="false">IF(ISBLANK($C475),"",IF($BL475&lt;&gt;Constants!$B$4,"",IF($BB475="-&gt;",$BE475,$AU475)))</f>
        <v/>
      </c>
      <c r="CF475" s="132" t="str">
        <f aca="false">IF(ISBLANK($C475),"",IF($BL475&lt;&gt;Constants!$B$4,"",IF($BB475="-&gt;",$BF475,$AV475)))</f>
        <v/>
      </c>
      <c r="CG475" s="132" t="str">
        <f aca="false">IF(ISBLANK($C475),"",IF($BL475&lt;&gt;Constants!$B$4,"",IF($BB475="-&gt;",$BG475,$AW475)))</f>
        <v/>
      </c>
      <c r="CH475" s="132" t="str">
        <f aca="false">IF(ISBLANK($C475),"",IF($BL475&lt;&gt;Constants!$B$4,"",IF($BB475="-&gt;",$BH475,$AX475)))</f>
        <v/>
      </c>
      <c r="CI475" s="133" t="str">
        <f aca="false">IF(ISBLANK($C475),"",$BO475)</f>
        <v/>
      </c>
      <c r="CJ475" s="134" t="str">
        <f aca="false">IF(ISBLANK($C475),"",$BM475)</f>
        <v/>
      </c>
      <c r="CK475" s="135" t="str">
        <f aca="false">IF(ISBLANK($C475),"",$CA475)</f>
        <v/>
      </c>
      <c r="CL475" s="135" t="str">
        <f aca="false">IF(ISBLANK($C475),"",$BZ475)</f>
        <v/>
      </c>
      <c r="CM475" s="136" t="str">
        <f aca="false">IF(ISBLANK($C475),"",IF($CL475=Constants!$B$7,COUNTA($C$9:$C$508)+2,IF($CL475=Constants!$B$6,COUNTA($C$9:$C$508)+1,IF($CL475=Constants!$B$5,COUNTA($C$9:$C$508),$CL475))))</f>
        <v/>
      </c>
      <c r="CN475" s="8"/>
      <c r="CO475" s="137" t="n">
        <f aca="false">IF(OR(ISNUMBER($CL475),$CL475=Constants!$B$7,$CL475=Constants!$B$5,$CL475=Constants!$B$6),1,0)</f>
        <v>0</v>
      </c>
      <c r="CP475" s="137" t="n">
        <v>467</v>
      </c>
      <c r="CQ475" s="137" t="str">
        <f aca="false">IF(ISBLANK($C475),"",IF(ISNUMBER($CM475),$CM475+ROW($B475)/1000,""))</f>
        <v/>
      </c>
      <c r="CR475" s="137" t="str">
        <f aca="false">IF(ISNUMBER($CQ475),RANK($CQ475,$CQ$9:$CQ$508,1),"")</f>
        <v/>
      </c>
      <c r="CS475" s="137" t="str">
        <f aca="false">IF(ISBLANK($C475),"",$B475)</f>
        <v/>
      </c>
      <c r="CT475" s="137" t="str">
        <f aca="false">IF(ISBLANK($C475),"",$C475)</f>
        <v/>
      </c>
      <c r="CU475" s="137" t="str">
        <f aca="false">IF(ISBLANK($C475),"",$D475)</f>
        <v/>
      </c>
      <c r="CV475" s="138" t="str">
        <f aca="false">$CJ475</f>
        <v/>
      </c>
      <c r="CW475" s="139" t="str">
        <f aca="false">$CI475</f>
        <v/>
      </c>
      <c r="CX475" s="137" t="str">
        <f aca="false">IF(ISBLANK($C475),"",$CL475)</f>
        <v/>
      </c>
      <c r="CY475" s="140" t="str">
        <f aca="false">IF($CP475&gt;$CO$8,"",VLOOKUP($CP475,$CR$9:$CX$508,7,FALSE()))</f>
        <v/>
      </c>
      <c r="CZ475" s="141" t="str">
        <f aca="false">IF($CP475&gt;$CO$8,"",VLOOKUP($CP475,$CR$9:$CX$508,2,FALSE()))</f>
        <v/>
      </c>
      <c r="DA475" s="141" t="str">
        <f aca="false">IF($CP475&gt;$CO$8,"",VLOOKUP($CP475,$CR$9:$CX$508,3,FALSE()))</f>
        <v/>
      </c>
      <c r="DB475" s="141" t="str">
        <f aca="false">IF($CP475&gt;$CO$8,"",VLOOKUP($CP475,$CR$9:$CX$508,4,FALSE()))</f>
        <v/>
      </c>
      <c r="DC475" s="141" t="str">
        <f aca="false">IF($CP475&gt;$CO$8,"",VLOOKUP($CP475,$CR$9:$CX$508,5,FALSE()))</f>
        <v/>
      </c>
      <c r="DD475" s="142" t="str">
        <f aca="false">IF($CP475&gt;$CO$8,"",VLOOKUP($CP475,$CR$9:$CX$508,6,FALSE()))</f>
        <v/>
      </c>
      <c r="DE475" s="70"/>
    </row>
    <row r="476" customFormat="false" ht="15.75" hidden="false" customHeight="false" outlineLevel="0" collapsed="false">
      <c r="A476" s="8"/>
      <c r="B476" s="146"/>
      <c r="C476" s="147"/>
      <c r="D476" s="148"/>
      <c r="E476" s="164"/>
      <c r="F476" s="150"/>
      <c r="G476" s="115"/>
      <c r="H476" s="115"/>
      <c r="I476" s="115"/>
      <c r="J476" s="165"/>
      <c r="K476" s="154"/>
      <c r="L476" s="154"/>
      <c r="M476" s="118"/>
      <c r="N476" s="154"/>
      <c r="O476" s="153"/>
      <c r="P476" s="154"/>
      <c r="Q476" s="154"/>
      <c r="R476" s="154"/>
      <c r="S476" s="115"/>
      <c r="T476" s="154"/>
      <c r="U476" s="153"/>
      <c r="V476" s="154"/>
      <c r="W476" s="123"/>
      <c r="X476" s="124" t="str">
        <f aca="false">IF(ISBLANK($C476),"",IF($E476=Constants!$B$2,TRUE(),IF($E476=Constants!$B$3,FALSE(),TRUE())))</f>
        <v/>
      </c>
      <c r="Y476" s="124" t="str">
        <f aca="false">IF(ISBLANK($C476),"",IF($F476=Constants!$B$2,TRUE(),IF($F476=Constants!$B$3,FALSE(),TRUE())))</f>
        <v/>
      </c>
      <c r="Z476" s="125" t="str">
        <f aca="false">IF(ISBLANK($C476),"",IF(ISNUMBER($G476),IF($G476&gt;=0,$G476,""),""))</f>
        <v/>
      </c>
      <c r="AA476" s="125" t="str">
        <f aca="false">IF(ISBLANK($C476),"",IF(ISNUMBER($H476),IF($H476&gt;=0,$H476,""),""))</f>
        <v/>
      </c>
      <c r="AB476" s="125" t="str">
        <f aca="false">IF(ISBLANK($C476),"",IF(ISNUMBER($I476),IF($I476&gt;=0,$I476,""),""))</f>
        <v/>
      </c>
      <c r="AC476" s="124" t="str">
        <f aca="false">IF(ISBLANK($C476),"",IF($J476=Constants!$B$2,TRUE(),IF($J476=Constants!$B$3,FALSE(),TRUE())))</f>
        <v/>
      </c>
      <c r="AD476" s="124" t="str">
        <f aca="false">IF(ISBLANK($C476),"",IF($K476=Constants!$B$2,TRUE(),IF($K476=Constants!$B$3,FALSE(),TRUE())))</f>
        <v/>
      </c>
      <c r="AE476" s="124" t="str">
        <f aca="false">IF(ISBLANK($C476),"",IF($L476=Constants!$B$2,TRUE(),IF($L476=Constants!$B$3,FALSE(),TRUE())))</f>
        <v/>
      </c>
      <c r="AF476" s="126" t="str">
        <f aca="false">IF(ISBLANK($C476),"",IF(ISNUMBER($M476),IF($M476&gt;=0,$M476,""),""))</f>
        <v/>
      </c>
      <c r="AG476" s="124" t="str">
        <f aca="false">IF(ISBLANK($C476),"",IF(ISBLANK($N476),0,IF(ISNUMBER($N476),IF(AND($N476&gt;=0,$N476&lt;=Constants!$B$17,$N476=INT($N476)),$N476,""),"")))</f>
        <v/>
      </c>
      <c r="AH476" s="125" t="str">
        <f aca="false">IF(ISBLANK($C476),"",IF(ISBLANK($O476),0,IF(ISNUMBER($O476),IF($O476&gt;=0,$O476,""),"")))</f>
        <v/>
      </c>
      <c r="AI476" s="124" t="str">
        <f aca="false">IF(ISBLANK($C476),"",IF($P476=Constants!$B$2,TRUE(),IF($P476=Constants!$B$3,FALSE(),TRUE())))</f>
        <v/>
      </c>
      <c r="AJ476" s="124" t="str">
        <f aca="false">IF(ISBLANK($C476),"",IF($Q476=Constants!$B$2,TRUE(),IF($Q476=Constants!$B$3,FALSE(),TRUE())))</f>
        <v/>
      </c>
      <c r="AK476" s="124" t="str">
        <f aca="false">IF(ISBLANK($C476),"",IF($R476=Constants!$B$2,TRUE(),IF($R476=Constants!$B$3,FALSE(),TRUE())))</f>
        <v/>
      </c>
      <c r="AL476" s="126" t="str">
        <f aca="false">IF(ISBLANK($C476),"",IF(ISNUMBER($S476),IF($S476&gt;=0,$S476,""),""))</f>
        <v/>
      </c>
      <c r="AM476" s="124" t="str">
        <f aca="false">IF(ISBLANK($C476),"",IF(ISBLANK($T476),0,IF(ISNUMBER($T476),IF(AND($T476&gt;=0,$T476&lt;=Constants!$B$17,$T476=INT($T476)),$T476,""),"")))</f>
        <v/>
      </c>
      <c r="AN476" s="125" t="str">
        <f aca="false">IF(ISBLANK($C476),"",IF(ISBLANK($U476),0,IF(ISNUMBER($U476),IF($U476&gt;=0,$U476,""),"")))</f>
        <v/>
      </c>
      <c r="AO476" s="124" t="str">
        <f aca="false">IF(ISBLANK($C476),"",IF($V476=Constants!$B$2,TRUE(),IF($V476=Constants!$B$3,FALSE(),FALSE())))</f>
        <v/>
      </c>
      <c r="AP476" s="124"/>
      <c r="AQ476" s="123" t="str">
        <f aca="false">IF(ISBLANK($C476),"",AND($Y476,OR($AS476,$BC476),OR($Z476="",$AA476="",$AB476="")))</f>
        <v/>
      </c>
      <c r="AR476" s="123" t="str">
        <f aca="false">IF(ISBLANK($C476),"",IF(OR(NOT($Y476),NOT(OR($AS476,$BC476))),"",IF(ISBLANK($D$7),$AR$5,IF($AP$9="",$AR$6,""))))</f>
        <v/>
      </c>
      <c r="AS476" s="123" t="str">
        <f aca="false">IF(ISBLANK($C476),"",COUNTA($J476:$O476)&gt;0)</f>
        <v/>
      </c>
      <c r="AT476" s="123" t="str">
        <f aca="false">IF(ISBLANK($C476),"",AND($AS476,OR(AND($AF476="",OR($AE476,NOT(ISBLANK($M476)))),$AG476="",$AH476="")))</f>
        <v/>
      </c>
      <c r="AU476" s="125" t="str">
        <f aca="false">IF($BL476&lt;&gt;Constants!$B$4,"",IF(NOT($AS476),"",ROUND((Constants!$B$12-$AB476)+(Constants!$B$13-$Z476)+(Constants!$B$14-$AA476),1)))</f>
        <v/>
      </c>
      <c r="AV476" s="127" t="str">
        <f aca="false">IF($BL476&lt;&gt;Constants!$B$4,"",IF(NOT($AS476),"",IF(NOT($AE476),0,Constants!$B$15*(INT(ROUND(MIN($AF476,$AP$9),6))-INT(ROUND(MAX(0,MIN($AF476,2*$AP$9)-$AP$9),6))))))</f>
        <v/>
      </c>
      <c r="AW476" s="127" t="str">
        <f aca="false">IF($BL476&lt;&gt;Constants!$B$4,"",IF(NOT($AS476),"",Constants!$B$16*$AG476))</f>
        <v/>
      </c>
      <c r="AX476" s="127" t="str">
        <f aca="false">IF($BL476&lt;&gt;Constants!$B$4,"",IF(NOT($AS476),"",Constants!$B$18*INT(ROUND($AH476,6))))</f>
        <v/>
      </c>
      <c r="AY476" s="123" t="str">
        <f aca="false">IF($BL476&lt;&gt;Constants!$B$4,"",IF(NOT($AS476),"",IF(NOT($X476),Constants!$B$11,IF(OR(NOT($AC476),NOT($AD476),ROUND($AB476,1)&gt;Constants!$B$12,ROUND($Z476,1)&gt;Constants!$B$13,ROUND($AA476,1)&gt;Constants!$B$14),Constants!$B$10,Constants!$B$9))))</f>
        <v/>
      </c>
      <c r="AZ476" s="128" t="str">
        <f aca="false">IF($BL476&lt;&gt;Constants!$B$4,"",IF(NOT($AS476),"",ROUND($AU476+$AV476+$AW476+$AX476,1)))</f>
        <v/>
      </c>
      <c r="BA476" s="129" t="str">
        <f aca="false">IF($BL476&lt;&gt;Constants!$B$4,"",IF(NOT($AS476),"",IF(ISNUMBER($AF476),$AF476,0)))</f>
        <v/>
      </c>
      <c r="BB476" s="124" t="str">
        <f aca="false">IF($BL476&lt;&gt;Constants!$B$4,"",IF(NOT($BC476),"&lt;-",IF(NOT($AS476),"-&gt;",IF(OR($BI476&lt;$AY476,AND($BI476=$AY476,OR($BJ476&gt;$AZ476,AND($BJ476=$AZ476,OR($BH476&gt;$AX476,AND($BH476=$AX476,OR($BE476&gt;$AU476,AND($BE476=$AU476,OR($BF476&gt;$AV476,AND($BF476=$AV476,$BK476&gt;$BA476)))))))))),"-&gt;","&lt;-"))))</f>
        <v/>
      </c>
      <c r="BC476" s="123" t="str">
        <f aca="false">IF(ISBLANK($C476),"",COUNTA($P476:$U476)&gt;0)</f>
        <v/>
      </c>
      <c r="BD476" s="123" t="str">
        <f aca="false">IF(ISBLANK($C476),"",AND($BC476,OR(AND($AL476="",OR($AK476,NOT(ISBLANK($S476)))),$AM476="",$AN476="")))</f>
        <v/>
      </c>
      <c r="BE476" s="125" t="str">
        <f aca="false">IF($BL476&lt;&gt;Constants!$B$4,"",IF(NOT($BC476),"",ROUND((Constants!$B$12-$AB476)+(Constants!$B$13-$Z476)+(Constants!$B$14-$AA476),1)))</f>
        <v/>
      </c>
      <c r="BF476" s="127" t="str">
        <f aca="false">IF($BL476&lt;&gt;Constants!$B$4,"",IF(NOT($BC476),"",IF(NOT($AK476),0,Constants!$B$15*(INT(ROUND(MIN($AL476,$AP$9),6))-INT(ROUND(MAX(0,MIN($AL476,2*$AP$9)-$AP$9),6))))))</f>
        <v/>
      </c>
      <c r="BG476" s="127" t="str">
        <f aca="false">IF($BL476&lt;&gt;Constants!$B$4,"",IF(NOT($BC476),"",Constants!$B$16*$AM476))</f>
        <v/>
      </c>
      <c r="BH476" s="127" t="str">
        <f aca="false">IF($BL476&lt;&gt;Constants!$B$4,"",IF(NOT($BC476),"",Constants!$B$18*INT(ROUND($AN476,6))))</f>
        <v/>
      </c>
      <c r="BI476" s="123" t="str">
        <f aca="false">IF($BL476&lt;&gt;Constants!$B$4,"",IF(NOT($BC476),"",IF(NOT($X476),Constants!$B$11,IF(OR(NOT($AI476),NOT($AJ476),ROUND($AB476,1)&gt;Constants!$B$12,ROUND($Z476,1)&gt;Constants!$B$13,ROUND($AA476,1)&gt;Constants!$B$14),Constants!$B$10,Constants!$B$9))))</f>
        <v/>
      </c>
      <c r="BJ476" s="128" t="str">
        <f aca="false">IF($BL476&lt;&gt;Constants!$B$4,"",IF(NOT($BC476),"",ROUND($BE476+$BF476+$BG476+$BH476,1)))</f>
        <v/>
      </c>
      <c r="BK476" s="129" t="str">
        <f aca="false">IF($BL476&lt;&gt;Constants!$B$4,"",IF(NOT($BC476),"",IF(ISNUMBER($AL476),$AL476,0)))</f>
        <v/>
      </c>
      <c r="BL476" s="124" t="str">
        <f aca="false">IF(ISBLANK($C476),"",IF($AO476,Constants!$B$7,IF(COUNTA($E476:$V476)=0,Constants!$B$6,IF(NOT($Y476),Constants!$B$5,IF(NOT(OR($AS476,$BC476)),Constants!$B$5,IF(OR($AT476,$BD476,$AQ476,$AR476&lt;&gt;""),Constants!$B$8,Constants!$B$4))))))</f>
        <v/>
      </c>
      <c r="BM476" s="124" t="str">
        <f aca="false">IF(ISBLANK($C476),"",IF($BL476&lt;&gt;Constants!$B$4,$BL476,IF($BB476="-&gt;",$BI476,$AY476)))</f>
        <v/>
      </c>
      <c r="BN476" s="127" t="str">
        <f aca="false">IF($BL476&lt;&gt;Constants!$B$4,"",IF($BB476="-&gt;",$BJ476,$AZ476))</f>
        <v/>
      </c>
      <c r="BO476" s="127" t="str">
        <f aca="false">IF(ISBLANK($C476),"",IF($BL476&lt;&gt;Constants!$B$4,$BL476,$BN476))</f>
        <v/>
      </c>
      <c r="BP476" s="124" t="str">
        <f aca="false">IF(ISBLANK($C476),"",IF($BL476&lt;&gt;Constants!$B$4,$BL476,RANK($BO476,$BO$9:$BO$508,0)))</f>
        <v/>
      </c>
      <c r="BQ476" s="124" t="str">
        <f aca="false">IF(ISBLANK($C476),"",IF($BL476&lt;&gt;Constants!$B$4,$BL476,COUNTIFS($BM$9:$BM$508,"&lt;"&amp;$BM476)+COUNTIFS($BM$9:$BM$508,$BM476,$BP$9:$BP$508,"&lt;"&amp;$BP476)+1))</f>
        <v/>
      </c>
      <c r="BR476" s="127" t="str">
        <f aca="false">IF($BL476&lt;&gt;Constants!$B$4,"",IF($BB476="-&gt;",$BH476,$AX476))</f>
        <v/>
      </c>
      <c r="BS476" s="124" t="str">
        <f aca="false">IF(ISBLANK($C476),"",IF($BL476&lt;&gt;Constants!$B$4,$BL476,IF(ISNUMBER($BR476),RANK($BR476,$BR$9:$BR$508,0),COUNT($BR$9:$BR$508)+1)))</f>
        <v/>
      </c>
      <c r="BT476" s="127" t="str">
        <f aca="false">IF($BL476&lt;&gt;Constants!$B$4,"",IF($BB476="-&gt;",$BE476,$AU476))</f>
        <v/>
      </c>
      <c r="BU476" s="124" t="str">
        <f aca="false">IF(ISBLANK($C476),"",IF($BL476&lt;&gt;Constants!$B$4,$BL476,IF(ISNUMBER($BT476),RANK($BT476,$BT$9:$BT$508,0),COUNT($BT$9:$BT$508)+1)))</f>
        <v/>
      </c>
      <c r="BV476" s="127" t="str">
        <f aca="false">IF($BL476&lt;&gt;Constants!$B$4,"",IF($BB476="-&gt;",$BF476,$AV476))</f>
        <v/>
      </c>
      <c r="BW476" s="124" t="str">
        <f aca="false">IF(ISBLANK($C476),"",IF($BL476&lt;&gt;Constants!$B$4,$BL476,IF(ISNUMBER($BV476),RANK($BV476,$BV$9:$BV$508,0),COUNT($BV$9:$BV$508)+1)))</f>
        <v/>
      </c>
      <c r="BX476" s="127" t="str">
        <f aca="false">IF($BL476&lt;&gt;Constants!$B$4,"",IF($BB476="-&gt;",$BK476,$BA476))</f>
        <v/>
      </c>
      <c r="BY476" s="124" t="str">
        <f aca="false">IF(ISBLANK($C476),"",IF($BL476&lt;&gt;Constants!$B$4,$BL476,IF(ISNUMBER($BX476),RANK($BX476,$BX$9:$BX$508,0),COUNT($BX$9:$BX$508)+1)))</f>
        <v/>
      </c>
      <c r="BZ476" s="124" t="str">
        <f aca="false">IF(ISBLANK($C476),"",IF($BL476&lt;&gt;Constants!$B$4,$BL476,COUNTIFS($BM$9:$BM$508,"&lt;"&amp;$BM476)+COUNTIFS($BM$9:$BM$508,$BM476,$BP$9:$BP$508,"&lt;"&amp;$BP476)+COUNTIFS($BM$9:$BM$508,$BM476,$BP$9:$BP$508,$BP476,$BS$9:$BS$508,"&lt;"&amp;$BS476)+COUNTIFS($BM$9:$BM$508,$BM476,$BP$9:$BP$508,$BP476,$BS$9:$BS$508,$BS476,$BU$9:$BU$508,"&lt;"&amp;$BU476)+COUNTIFS($BM$9:$BM$508,$BM476,$BP$9:$BP$508,$BP476,$BS$9:$BS$508,$BS476,$BU$9:$BU$508,$BU476,$BW$9:$BW$508,"&lt;"&amp;$BW476)+COUNTIFS($BM$9:$BM$508,$BM476,$BP$9:$BP$508,$BP476,$BS$9:$BS$508,$BS476,$BU$9:$BU$508,$BU476,$BW$9:$BW$508,$BW476,$BY$9:$BY$508,"&lt;"&amp;$BY476)+1))</f>
        <v/>
      </c>
      <c r="CA476" s="124" t="str">
        <f aca="false">IF(ISBLANK($C476),"",IF($BL476&lt;&gt;Constants!$B$4,$BL476,$BQ476-$BZ476))</f>
        <v/>
      </c>
      <c r="CB476" s="130"/>
      <c r="CC476" s="131" t="str">
        <f aca="false">IF(ISBLANK($C476),"",IF($BL476=Constants!$B$8,$AR476,""))</f>
        <v/>
      </c>
      <c r="CD476" s="131" t="str">
        <f aca="false">IF(ISBLANK($C476),"",IF($BL476&lt;&gt;Constants!$B$4,"",IF($BB476="-&gt;",2,1)))</f>
        <v/>
      </c>
      <c r="CE476" s="132" t="str">
        <f aca="false">IF(ISBLANK($C476),"",IF($BL476&lt;&gt;Constants!$B$4,"",IF($BB476="-&gt;",$BE476,$AU476)))</f>
        <v/>
      </c>
      <c r="CF476" s="132" t="str">
        <f aca="false">IF(ISBLANK($C476),"",IF($BL476&lt;&gt;Constants!$B$4,"",IF($BB476="-&gt;",$BF476,$AV476)))</f>
        <v/>
      </c>
      <c r="CG476" s="132" t="str">
        <f aca="false">IF(ISBLANK($C476),"",IF($BL476&lt;&gt;Constants!$B$4,"",IF($BB476="-&gt;",$BG476,$AW476)))</f>
        <v/>
      </c>
      <c r="CH476" s="132" t="str">
        <f aca="false">IF(ISBLANK($C476),"",IF($BL476&lt;&gt;Constants!$B$4,"",IF($BB476="-&gt;",$BH476,$AX476)))</f>
        <v/>
      </c>
      <c r="CI476" s="133" t="str">
        <f aca="false">IF(ISBLANK($C476),"",$BO476)</f>
        <v/>
      </c>
      <c r="CJ476" s="134" t="str">
        <f aca="false">IF(ISBLANK($C476),"",$BM476)</f>
        <v/>
      </c>
      <c r="CK476" s="135" t="str">
        <f aca="false">IF(ISBLANK($C476),"",$CA476)</f>
        <v/>
      </c>
      <c r="CL476" s="135" t="str">
        <f aca="false">IF(ISBLANK($C476),"",$BZ476)</f>
        <v/>
      </c>
      <c r="CM476" s="136" t="str">
        <f aca="false">IF(ISBLANK($C476),"",IF($CL476=Constants!$B$7,COUNTA($C$9:$C$508)+2,IF($CL476=Constants!$B$6,COUNTA($C$9:$C$508)+1,IF($CL476=Constants!$B$5,COUNTA($C$9:$C$508),$CL476))))</f>
        <v/>
      </c>
      <c r="CN476" s="8"/>
      <c r="CO476" s="137" t="n">
        <f aca="false">IF(OR(ISNUMBER($CL476),$CL476=Constants!$B$7,$CL476=Constants!$B$5,$CL476=Constants!$B$6),1,0)</f>
        <v>0</v>
      </c>
      <c r="CP476" s="137" t="n">
        <v>468</v>
      </c>
      <c r="CQ476" s="137" t="str">
        <f aca="false">IF(ISBLANK($C476),"",IF(ISNUMBER($CM476),$CM476+ROW($B476)/1000,""))</f>
        <v/>
      </c>
      <c r="CR476" s="137" t="str">
        <f aca="false">IF(ISNUMBER($CQ476),RANK($CQ476,$CQ$9:$CQ$508,1),"")</f>
        <v/>
      </c>
      <c r="CS476" s="137" t="str">
        <f aca="false">IF(ISBLANK($C476),"",$B476)</f>
        <v/>
      </c>
      <c r="CT476" s="137" t="str">
        <f aca="false">IF(ISBLANK($C476),"",$C476)</f>
        <v/>
      </c>
      <c r="CU476" s="137" t="str">
        <f aca="false">IF(ISBLANK($C476),"",$D476)</f>
        <v/>
      </c>
      <c r="CV476" s="138" t="str">
        <f aca="false">$CJ476</f>
        <v/>
      </c>
      <c r="CW476" s="139" t="str">
        <f aca="false">$CI476</f>
        <v/>
      </c>
      <c r="CX476" s="137" t="str">
        <f aca="false">IF(ISBLANK($C476),"",$CL476)</f>
        <v/>
      </c>
      <c r="CY476" s="140" t="str">
        <f aca="false">IF($CP476&gt;$CO$8,"",VLOOKUP($CP476,$CR$9:$CX$508,7,FALSE()))</f>
        <v/>
      </c>
      <c r="CZ476" s="141" t="str">
        <f aca="false">IF($CP476&gt;$CO$8,"",VLOOKUP($CP476,$CR$9:$CX$508,2,FALSE()))</f>
        <v/>
      </c>
      <c r="DA476" s="141" t="str">
        <f aca="false">IF($CP476&gt;$CO$8,"",VLOOKUP($CP476,$CR$9:$CX$508,3,FALSE()))</f>
        <v/>
      </c>
      <c r="DB476" s="141" t="str">
        <f aca="false">IF($CP476&gt;$CO$8,"",VLOOKUP($CP476,$CR$9:$CX$508,4,FALSE()))</f>
        <v/>
      </c>
      <c r="DC476" s="141" t="str">
        <f aca="false">IF($CP476&gt;$CO$8,"",VLOOKUP($CP476,$CR$9:$CX$508,5,FALSE()))</f>
        <v/>
      </c>
      <c r="DD476" s="142" t="str">
        <f aca="false">IF($CP476&gt;$CO$8,"",VLOOKUP($CP476,$CR$9:$CX$508,6,FALSE()))</f>
        <v/>
      </c>
      <c r="DE476" s="70"/>
    </row>
    <row r="477" customFormat="false" ht="15.75" hidden="false" customHeight="false" outlineLevel="0" collapsed="false">
      <c r="A477" s="8"/>
      <c r="B477" s="72"/>
      <c r="C477" s="73"/>
      <c r="D477" s="155"/>
      <c r="E477" s="162"/>
      <c r="F477" s="157"/>
      <c r="G477" s="77"/>
      <c r="H477" s="77"/>
      <c r="I477" s="77"/>
      <c r="J477" s="163"/>
      <c r="K477" s="161"/>
      <c r="L477" s="161"/>
      <c r="M477" s="80"/>
      <c r="N477" s="161"/>
      <c r="O477" s="160"/>
      <c r="P477" s="161"/>
      <c r="Q477" s="161"/>
      <c r="R477" s="161"/>
      <c r="S477" s="77"/>
      <c r="T477" s="161"/>
      <c r="U477" s="160"/>
      <c r="V477" s="161"/>
      <c r="W477" s="85"/>
      <c r="X477" s="86" t="str">
        <f aca="false">IF(ISBLANK($C477),"",IF($E477=Constants!$B$2,TRUE(),IF($E477=Constants!$B$3,FALSE(),TRUE())))</f>
        <v/>
      </c>
      <c r="Y477" s="86" t="str">
        <f aca="false">IF(ISBLANK($C477),"",IF($F477=Constants!$B$2,TRUE(),IF($F477=Constants!$B$3,FALSE(),TRUE())))</f>
        <v/>
      </c>
      <c r="Z477" s="87" t="str">
        <f aca="false">IF(ISBLANK($C477),"",IF(ISNUMBER($G477),IF($G477&gt;=0,$G477,""),""))</f>
        <v/>
      </c>
      <c r="AA477" s="87" t="str">
        <f aca="false">IF(ISBLANK($C477),"",IF(ISNUMBER($H477),IF($H477&gt;=0,$H477,""),""))</f>
        <v/>
      </c>
      <c r="AB477" s="87" t="str">
        <f aca="false">IF(ISBLANK($C477),"",IF(ISNUMBER($I477),IF($I477&gt;=0,$I477,""),""))</f>
        <v/>
      </c>
      <c r="AC477" s="86" t="str">
        <f aca="false">IF(ISBLANK($C477),"",IF($J477=Constants!$B$2,TRUE(),IF($J477=Constants!$B$3,FALSE(),TRUE())))</f>
        <v/>
      </c>
      <c r="AD477" s="86" t="str">
        <f aca="false">IF(ISBLANK($C477),"",IF($K477=Constants!$B$2,TRUE(),IF($K477=Constants!$B$3,FALSE(),TRUE())))</f>
        <v/>
      </c>
      <c r="AE477" s="86" t="str">
        <f aca="false">IF(ISBLANK($C477),"",IF($L477=Constants!$B$2,TRUE(),IF($L477=Constants!$B$3,FALSE(),TRUE())))</f>
        <v/>
      </c>
      <c r="AF477" s="88" t="str">
        <f aca="false">IF(ISBLANK($C477),"",IF(ISNUMBER($M477),IF($M477&gt;=0,$M477,""),""))</f>
        <v/>
      </c>
      <c r="AG477" s="86" t="str">
        <f aca="false">IF(ISBLANK($C477),"",IF(ISBLANK($N477),0,IF(ISNUMBER($N477),IF(AND($N477&gt;=0,$N477&lt;=Constants!$B$17,$N477=INT($N477)),$N477,""),"")))</f>
        <v/>
      </c>
      <c r="AH477" s="87" t="str">
        <f aca="false">IF(ISBLANK($C477),"",IF(ISBLANK($O477),0,IF(ISNUMBER($O477),IF($O477&gt;=0,$O477,""),"")))</f>
        <v/>
      </c>
      <c r="AI477" s="86" t="str">
        <f aca="false">IF(ISBLANK($C477),"",IF($P477=Constants!$B$2,TRUE(),IF($P477=Constants!$B$3,FALSE(),TRUE())))</f>
        <v/>
      </c>
      <c r="AJ477" s="86" t="str">
        <f aca="false">IF(ISBLANK($C477),"",IF($Q477=Constants!$B$2,TRUE(),IF($Q477=Constants!$B$3,FALSE(),TRUE())))</f>
        <v/>
      </c>
      <c r="AK477" s="86" t="str">
        <f aca="false">IF(ISBLANK($C477),"",IF($R477=Constants!$B$2,TRUE(),IF($R477=Constants!$B$3,FALSE(),TRUE())))</f>
        <v/>
      </c>
      <c r="AL477" s="88" t="str">
        <f aca="false">IF(ISBLANK($C477),"",IF(ISNUMBER($S477),IF($S477&gt;=0,$S477,""),""))</f>
        <v/>
      </c>
      <c r="AM477" s="86" t="str">
        <f aca="false">IF(ISBLANK($C477),"",IF(ISBLANK($T477),0,IF(ISNUMBER($T477),IF(AND($T477&gt;=0,$T477&lt;=Constants!$B$17,$T477=INT($T477)),$T477,""),"")))</f>
        <v/>
      </c>
      <c r="AN477" s="87" t="str">
        <f aca="false">IF(ISBLANK($C477),"",IF(ISBLANK($U477),0,IF(ISNUMBER($U477),IF($U477&gt;=0,$U477,""),"")))</f>
        <v/>
      </c>
      <c r="AO477" s="86" t="str">
        <f aca="false">IF(ISBLANK($C477),"",IF($V477=Constants!$B$2,TRUE(),IF($V477=Constants!$B$3,FALSE(),FALSE())))</f>
        <v/>
      </c>
      <c r="AP477" s="86"/>
      <c r="AQ477" s="85" t="str">
        <f aca="false">IF(ISBLANK($C477),"",AND($Y477,OR($AS477,$BC477),OR($Z477="",$AA477="",$AB477="")))</f>
        <v/>
      </c>
      <c r="AR477" s="85" t="str">
        <f aca="false">IF(ISBLANK($C477),"",IF(OR(NOT($Y477),NOT(OR($AS477,$BC477))),"",IF(ISBLANK($D$7),$AR$5,IF($AP$9="",$AR$6,""))))</f>
        <v/>
      </c>
      <c r="AS477" s="85" t="str">
        <f aca="false">IF(ISBLANK($C477),"",COUNTA($J477:$O477)&gt;0)</f>
        <v/>
      </c>
      <c r="AT477" s="85" t="str">
        <f aca="false">IF(ISBLANK($C477),"",AND($AS477,OR(AND($AF477="",OR($AE477,NOT(ISBLANK($M477)))),$AG477="",$AH477="")))</f>
        <v/>
      </c>
      <c r="AU477" s="87" t="str">
        <f aca="false">IF($BL477&lt;&gt;Constants!$B$4,"",IF(NOT($AS477),"",ROUND((Constants!$B$12-$AB477)+(Constants!$B$13-$Z477)+(Constants!$B$14-$AA477),1)))</f>
        <v/>
      </c>
      <c r="AV477" s="90" t="str">
        <f aca="false">IF($BL477&lt;&gt;Constants!$B$4,"",IF(NOT($AS477),"",IF(NOT($AE477),0,Constants!$B$15*(INT(ROUND(MIN($AF477,$AP$9),6))-INT(ROUND(MAX(0,MIN($AF477,2*$AP$9)-$AP$9),6))))))</f>
        <v/>
      </c>
      <c r="AW477" s="90" t="str">
        <f aca="false">IF($BL477&lt;&gt;Constants!$B$4,"",IF(NOT($AS477),"",Constants!$B$16*$AG477))</f>
        <v/>
      </c>
      <c r="AX477" s="90" t="str">
        <f aca="false">IF($BL477&lt;&gt;Constants!$B$4,"",IF(NOT($AS477),"",Constants!$B$18*INT(ROUND($AH477,6))))</f>
        <v/>
      </c>
      <c r="AY477" s="85" t="str">
        <f aca="false">IF($BL477&lt;&gt;Constants!$B$4,"",IF(NOT($AS477),"",IF(NOT($X477),Constants!$B$11,IF(OR(NOT($AC477),NOT($AD477),ROUND($AB477,1)&gt;Constants!$B$12,ROUND($Z477,1)&gt;Constants!$B$13,ROUND($AA477,1)&gt;Constants!$B$14),Constants!$B$10,Constants!$B$9))))</f>
        <v/>
      </c>
      <c r="AZ477" s="91" t="str">
        <f aca="false">IF($BL477&lt;&gt;Constants!$B$4,"",IF(NOT($AS477),"",ROUND($AU477+$AV477+$AW477+$AX477,1)))</f>
        <v/>
      </c>
      <c r="BA477" s="92" t="str">
        <f aca="false">IF($BL477&lt;&gt;Constants!$B$4,"",IF(NOT($AS477),"",IF(ISNUMBER($AF477),$AF477,0)))</f>
        <v/>
      </c>
      <c r="BB477" s="86" t="str">
        <f aca="false">IF($BL477&lt;&gt;Constants!$B$4,"",IF(NOT($BC477),"&lt;-",IF(NOT($AS477),"-&gt;",IF(OR($BI477&lt;$AY477,AND($BI477=$AY477,OR($BJ477&gt;$AZ477,AND($BJ477=$AZ477,OR($BH477&gt;$AX477,AND($BH477=$AX477,OR($BE477&gt;$AU477,AND($BE477=$AU477,OR($BF477&gt;$AV477,AND($BF477=$AV477,$BK477&gt;$BA477)))))))))),"-&gt;","&lt;-"))))</f>
        <v/>
      </c>
      <c r="BC477" s="85" t="str">
        <f aca="false">IF(ISBLANK($C477),"",COUNTA($P477:$U477)&gt;0)</f>
        <v/>
      </c>
      <c r="BD477" s="85" t="str">
        <f aca="false">IF(ISBLANK($C477),"",AND($BC477,OR(AND($AL477="",OR($AK477,NOT(ISBLANK($S477)))),$AM477="",$AN477="")))</f>
        <v/>
      </c>
      <c r="BE477" s="87" t="str">
        <f aca="false">IF($BL477&lt;&gt;Constants!$B$4,"",IF(NOT($BC477),"",ROUND((Constants!$B$12-$AB477)+(Constants!$B$13-$Z477)+(Constants!$B$14-$AA477),1)))</f>
        <v/>
      </c>
      <c r="BF477" s="90" t="str">
        <f aca="false">IF($BL477&lt;&gt;Constants!$B$4,"",IF(NOT($BC477),"",IF(NOT($AK477),0,Constants!$B$15*(INT(ROUND(MIN($AL477,$AP$9),6))-INT(ROUND(MAX(0,MIN($AL477,2*$AP$9)-$AP$9),6))))))</f>
        <v/>
      </c>
      <c r="BG477" s="90" t="str">
        <f aca="false">IF($BL477&lt;&gt;Constants!$B$4,"",IF(NOT($BC477),"",Constants!$B$16*$AM477))</f>
        <v/>
      </c>
      <c r="BH477" s="90" t="str">
        <f aca="false">IF($BL477&lt;&gt;Constants!$B$4,"",IF(NOT($BC477),"",Constants!$B$18*INT(ROUND($AN477,6))))</f>
        <v/>
      </c>
      <c r="BI477" s="85" t="str">
        <f aca="false">IF($BL477&lt;&gt;Constants!$B$4,"",IF(NOT($BC477),"",IF(NOT($X477),Constants!$B$11,IF(OR(NOT($AI477),NOT($AJ477),ROUND($AB477,1)&gt;Constants!$B$12,ROUND($Z477,1)&gt;Constants!$B$13,ROUND($AA477,1)&gt;Constants!$B$14),Constants!$B$10,Constants!$B$9))))</f>
        <v/>
      </c>
      <c r="BJ477" s="91" t="str">
        <f aca="false">IF($BL477&lt;&gt;Constants!$B$4,"",IF(NOT($BC477),"",ROUND($BE477+$BF477+$BG477+$BH477,1)))</f>
        <v/>
      </c>
      <c r="BK477" s="92" t="str">
        <f aca="false">IF($BL477&lt;&gt;Constants!$B$4,"",IF(NOT($BC477),"",IF(ISNUMBER($AL477),$AL477,0)))</f>
        <v/>
      </c>
      <c r="BL477" s="86" t="str">
        <f aca="false">IF(ISBLANK($C477),"",IF($AO477,Constants!$B$7,IF(COUNTA($E477:$V477)=0,Constants!$B$6,IF(NOT($Y477),Constants!$B$5,IF(NOT(OR($AS477,$BC477)),Constants!$B$5,IF(OR($AT477,$BD477,$AQ477,$AR477&lt;&gt;""),Constants!$B$8,Constants!$B$4))))))</f>
        <v/>
      </c>
      <c r="BM477" s="86" t="str">
        <f aca="false">IF(ISBLANK($C477),"",IF($BL477&lt;&gt;Constants!$B$4,$BL477,IF($BB477="-&gt;",$BI477,$AY477)))</f>
        <v/>
      </c>
      <c r="BN477" s="90" t="str">
        <f aca="false">IF($BL477&lt;&gt;Constants!$B$4,"",IF($BB477="-&gt;",$BJ477,$AZ477))</f>
        <v/>
      </c>
      <c r="BO477" s="90" t="str">
        <f aca="false">IF(ISBLANK($C477),"",IF($BL477&lt;&gt;Constants!$B$4,$BL477,$BN477))</f>
        <v/>
      </c>
      <c r="BP477" s="86" t="str">
        <f aca="false">IF(ISBLANK($C477),"",IF($BL477&lt;&gt;Constants!$B$4,$BL477,RANK($BO477,$BO$9:$BO$508,0)))</f>
        <v/>
      </c>
      <c r="BQ477" s="86" t="str">
        <f aca="false">IF(ISBLANK($C477),"",IF($BL477&lt;&gt;Constants!$B$4,$BL477,COUNTIFS($BM$9:$BM$508,"&lt;"&amp;$BM477)+COUNTIFS($BM$9:$BM$508,$BM477,$BP$9:$BP$508,"&lt;"&amp;$BP477)+1))</f>
        <v/>
      </c>
      <c r="BR477" s="90" t="str">
        <f aca="false">IF($BL477&lt;&gt;Constants!$B$4,"",IF($BB477="-&gt;",$BH477,$AX477))</f>
        <v/>
      </c>
      <c r="BS477" s="86" t="str">
        <f aca="false">IF(ISBLANK($C477),"",IF($BL477&lt;&gt;Constants!$B$4,$BL477,IF(ISNUMBER($BR477),RANK($BR477,$BR$9:$BR$508,0),COUNT($BR$9:$BR$508)+1)))</f>
        <v/>
      </c>
      <c r="BT477" s="90" t="str">
        <f aca="false">IF($BL477&lt;&gt;Constants!$B$4,"",IF($BB477="-&gt;",$BE477,$AU477))</f>
        <v/>
      </c>
      <c r="BU477" s="86" t="str">
        <f aca="false">IF(ISBLANK($C477),"",IF($BL477&lt;&gt;Constants!$B$4,$BL477,IF(ISNUMBER($BT477),RANK($BT477,$BT$9:$BT$508,0),COUNT($BT$9:$BT$508)+1)))</f>
        <v/>
      </c>
      <c r="BV477" s="90" t="str">
        <f aca="false">IF($BL477&lt;&gt;Constants!$B$4,"",IF($BB477="-&gt;",$BF477,$AV477))</f>
        <v/>
      </c>
      <c r="BW477" s="86" t="str">
        <f aca="false">IF(ISBLANK($C477),"",IF($BL477&lt;&gt;Constants!$B$4,$BL477,IF(ISNUMBER($BV477),RANK($BV477,$BV$9:$BV$508,0),COUNT($BV$9:$BV$508)+1)))</f>
        <v/>
      </c>
      <c r="BX477" s="90" t="str">
        <f aca="false">IF($BL477&lt;&gt;Constants!$B$4,"",IF($BB477="-&gt;",$BK477,$BA477))</f>
        <v/>
      </c>
      <c r="BY477" s="86" t="str">
        <f aca="false">IF(ISBLANK($C477),"",IF($BL477&lt;&gt;Constants!$B$4,$BL477,IF(ISNUMBER($BX477),RANK($BX477,$BX$9:$BX$508,0),COUNT($BX$9:$BX$508)+1)))</f>
        <v/>
      </c>
      <c r="BZ477" s="86" t="str">
        <f aca="false">IF(ISBLANK($C477),"",IF($BL477&lt;&gt;Constants!$B$4,$BL477,COUNTIFS($BM$9:$BM$508,"&lt;"&amp;$BM477)+COUNTIFS($BM$9:$BM$508,$BM477,$BP$9:$BP$508,"&lt;"&amp;$BP477)+COUNTIFS($BM$9:$BM$508,$BM477,$BP$9:$BP$508,$BP477,$BS$9:$BS$508,"&lt;"&amp;$BS477)+COUNTIFS($BM$9:$BM$508,$BM477,$BP$9:$BP$508,$BP477,$BS$9:$BS$508,$BS477,$BU$9:$BU$508,"&lt;"&amp;$BU477)+COUNTIFS($BM$9:$BM$508,$BM477,$BP$9:$BP$508,$BP477,$BS$9:$BS$508,$BS477,$BU$9:$BU$508,$BU477,$BW$9:$BW$508,"&lt;"&amp;$BW477)+COUNTIFS($BM$9:$BM$508,$BM477,$BP$9:$BP$508,$BP477,$BS$9:$BS$508,$BS477,$BU$9:$BU$508,$BU477,$BW$9:$BW$508,$BW477,$BY$9:$BY$508,"&lt;"&amp;$BY477)+1))</f>
        <v/>
      </c>
      <c r="CA477" s="86" t="str">
        <f aca="false">IF(ISBLANK($C477),"",IF($BL477&lt;&gt;Constants!$B$4,$BL477,$BQ477-$BZ477))</f>
        <v/>
      </c>
      <c r="CB477" s="93"/>
      <c r="CC477" s="94" t="str">
        <f aca="false">IF(ISBLANK($C477),"",IF($BL477=Constants!$B$8,$AR477,""))</f>
        <v/>
      </c>
      <c r="CD477" s="94" t="str">
        <f aca="false">IF(ISBLANK($C477),"",IF($BL477&lt;&gt;Constants!$B$4,"",IF($BB477="-&gt;",2,1)))</f>
        <v/>
      </c>
      <c r="CE477" s="95" t="str">
        <f aca="false">IF(ISBLANK($C477),"",IF($BL477&lt;&gt;Constants!$B$4,"",IF($BB477="-&gt;",$BE477,$AU477)))</f>
        <v/>
      </c>
      <c r="CF477" s="95" t="str">
        <f aca="false">IF(ISBLANK($C477),"",IF($BL477&lt;&gt;Constants!$B$4,"",IF($BB477="-&gt;",$BF477,$AV477)))</f>
        <v/>
      </c>
      <c r="CG477" s="95" t="str">
        <f aca="false">IF(ISBLANK($C477),"",IF($BL477&lt;&gt;Constants!$B$4,"",IF($BB477="-&gt;",$BG477,$AW477)))</f>
        <v/>
      </c>
      <c r="CH477" s="95" t="str">
        <f aca="false">IF(ISBLANK($C477),"",IF($BL477&lt;&gt;Constants!$B$4,"",IF($BB477="-&gt;",$BH477,$AX477)))</f>
        <v/>
      </c>
      <c r="CI477" s="96" t="str">
        <f aca="false">IF(ISBLANK($C477),"",$BO477)</f>
        <v/>
      </c>
      <c r="CJ477" s="97" t="str">
        <f aca="false">IF(ISBLANK($C477),"",$BM477)</f>
        <v/>
      </c>
      <c r="CK477" s="98" t="str">
        <f aca="false">IF(ISBLANK($C477),"",$CA477)</f>
        <v/>
      </c>
      <c r="CL477" s="98" t="str">
        <f aca="false">IF(ISBLANK($C477),"",$BZ477)</f>
        <v/>
      </c>
      <c r="CM477" s="99" t="str">
        <f aca="false">IF(ISBLANK($C477),"",IF($CL477=Constants!$B$7,COUNTA($C$9:$C$508)+2,IF($CL477=Constants!$B$6,COUNTA($C$9:$C$508)+1,IF($CL477=Constants!$B$5,COUNTA($C$9:$C$508),$CL477))))</f>
        <v/>
      </c>
      <c r="CN477" s="8"/>
      <c r="CO477" s="100" t="n">
        <f aca="false">IF(OR(ISNUMBER($CL477),$CL477=Constants!$B$7,$CL477=Constants!$B$5,$CL477=Constants!$B$6),1,0)</f>
        <v>0</v>
      </c>
      <c r="CP477" s="100" t="n">
        <v>469</v>
      </c>
      <c r="CQ477" s="100" t="str">
        <f aca="false">IF(ISBLANK($C477),"",IF(ISNUMBER($CM477),$CM477+ROW($B477)/1000,""))</f>
        <v/>
      </c>
      <c r="CR477" s="100" t="str">
        <f aca="false">IF(ISNUMBER($CQ477),RANK($CQ477,$CQ$9:$CQ$508,1),"")</f>
        <v/>
      </c>
      <c r="CS477" s="100" t="str">
        <f aca="false">IF(ISBLANK($C477),"",$B477)</f>
        <v/>
      </c>
      <c r="CT477" s="100" t="str">
        <f aca="false">IF(ISBLANK($C477),"",$C477)</f>
        <v/>
      </c>
      <c r="CU477" s="100" t="str">
        <f aca="false">IF(ISBLANK($C477),"",$D477)</f>
        <v/>
      </c>
      <c r="CV477" s="101" t="str">
        <f aca="false">$CJ477</f>
        <v/>
      </c>
      <c r="CW477" s="102" t="str">
        <f aca="false">$CI477</f>
        <v/>
      </c>
      <c r="CX477" s="100" t="str">
        <f aca="false">IF(ISBLANK($C477),"",$CL477)</f>
        <v/>
      </c>
      <c r="CY477" s="103" t="str">
        <f aca="false">IF($CP477&gt;$CO$8,"",VLOOKUP($CP477,$CR$9:$CX$508,7,FALSE()))</f>
        <v/>
      </c>
      <c r="CZ477" s="104" t="str">
        <f aca="false">IF($CP477&gt;$CO$8,"",VLOOKUP($CP477,$CR$9:$CX$508,2,FALSE()))</f>
        <v/>
      </c>
      <c r="DA477" s="104" t="str">
        <f aca="false">IF($CP477&gt;$CO$8,"",VLOOKUP($CP477,$CR$9:$CX$508,3,FALSE()))</f>
        <v/>
      </c>
      <c r="DB477" s="104" t="str">
        <f aca="false">IF($CP477&gt;$CO$8,"",VLOOKUP($CP477,$CR$9:$CX$508,4,FALSE()))</f>
        <v/>
      </c>
      <c r="DC477" s="104" t="str">
        <f aca="false">IF($CP477&gt;$CO$8,"",VLOOKUP($CP477,$CR$9:$CX$508,5,FALSE()))</f>
        <v/>
      </c>
      <c r="DD477" s="105" t="str">
        <f aca="false">IF($CP477&gt;$CO$8,"",VLOOKUP($CP477,$CR$9:$CX$508,6,FALSE()))</f>
        <v/>
      </c>
      <c r="DE477" s="70"/>
    </row>
    <row r="478" customFormat="false" ht="15.75" hidden="false" customHeight="false" outlineLevel="0" collapsed="false">
      <c r="A478" s="8"/>
      <c r="B478" s="72"/>
      <c r="C478" s="73"/>
      <c r="D478" s="155"/>
      <c r="E478" s="162"/>
      <c r="F478" s="157"/>
      <c r="G478" s="77"/>
      <c r="H478" s="77"/>
      <c r="I478" s="77"/>
      <c r="J478" s="163"/>
      <c r="K478" s="161"/>
      <c r="L478" s="161"/>
      <c r="M478" s="80"/>
      <c r="N478" s="161"/>
      <c r="O478" s="160"/>
      <c r="P478" s="161"/>
      <c r="Q478" s="161"/>
      <c r="R478" s="161"/>
      <c r="S478" s="77"/>
      <c r="T478" s="161"/>
      <c r="U478" s="160"/>
      <c r="V478" s="161"/>
      <c r="W478" s="85"/>
      <c r="X478" s="86" t="str">
        <f aca="false">IF(ISBLANK($C478),"",IF($E478=Constants!$B$2,TRUE(),IF($E478=Constants!$B$3,FALSE(),TRUE())))</f>
        <v/>
      </c>
      <c r="Y478" s="86" t="str">
        <f aca="false">IF(ISBLANK($C478),"",IF($F478=Constants!$B$2,TRUE(),IF($F478=Constants!$B$3,FALSE(),TRUE())))</f>
        <v/>
      </c>
      <c r="Z478" s="87" t="str">
        <f aca="false">IF(ISBLANK($C478),"",IF(ISNUMBER($G478),IF($G478&gt;=0,$G478,""),""))</f>
        <v/>
      </c>
      <c r="AA478" s="87" t="str">
        <f aca="false">IF(ISBLANK($C478),"",IF(ISNUMBER($H478),IF($H478&gt;=0,$H478,""),""))</f>
        <v/>
      </c>
      <c r="AB478" s="87" t="str">
        <f aca="false">IF(ISBLANK($C478),"",IF(ISNUMBER($I478),IF($I478&gt;=0,$I478,""),""))</f>
        <v/>
      </c>
      <c r="AC478" s="86" t="str">
        <f aca="false">IF(ISBLANK($C478),"",IF($J478=Constants!$B$2,TRUE(),IF($J478=Constants!$B$3,FALSE(),TRUE())))</f>
        <v/>
      </c>
      <c r="AD478" s="86" t="str">
        <f aca="false">IF(ISBLANK($C478),"",IF($K478=Constants!$B$2,TRUE(),IF($K478=Constants!$B$3,FALSE(),TRUE())))</f>
        <v/>
      </c>
      <c r="AE478" s="86" t="str">
        <f aca="false">IF(ISBLANK($C478),"",IF($L478=Constants!$B$2,TRUE(),IF($L478=Constants!$B$3,FALSE(),TRUE())))</f>
        <v/>
      </c>
      <c r="AF478" s="88" t="str">
        <f aca="false">IF(ISBLANK($C478),"",IF(ISNUMBER($M478),IF($M478&gt;=0,$M478,""),""))</f>
        <v/>
      </c>
      <c r="AG478" s="86" t="str">
        <f aca="false">IF(ISBLANK($C478),"",IF(ISBLANK($N478),0,IF(ISNUMBER($N478),IF(AND($N478&gt;=0,$N478&lt;=Constants!$B$17,$N478=INT($N478)),$N478,""),"")))</f>
        <v/>
      </c>
      <c r="AH478" s="87" t="str">
        <f aca="false">IF(ISBLANK($C478),"",IF(ISBLANK($O478),0,IF(ISNUMBER($O478),IF($O478&gt;=0,$O478,""),"")))</f>
        <v/>
      </c>
      <c r="AI478" s="86" t="str">
        <f aca="false">IF(ISBLANK($C478),"",IF($P478=Constants!$B$2,TRUE(),IF($P478=Constants!$B$3,FALSE(),TRUE())))</f>
        <v/>
      </c>
      <c r="AJ478" s="86" t="str">
        <f aca="false">IF(ISBLANK($C478),"",IF($Q478=Constants!$B$2,TRUE(),IF($Q478=Constants!$B$3,FALSE(),TRUE())))</f>
        <v/>
      </c>
      <c r="AK478" s="86" t="str">
        <f aca="false">IF(ISBLANK($C478),"",IF($R478=Constants!$B$2,TRUE(),IF($R478=Constants!$B$3,FALSE(),TRUE())))</f>
        <v/>
      </c>
      <c r="AL478" s="88" t="str">
        <f aca="false">IF(ISBLANK($C478),"",IF(ISNUMBER($S478),IF($S478&gt;=0,$S478,""),""))</f>
        <v/>
      </c>
      <c r="AM478" s="86" t="str">
        <f aca="false">IF(ISBLANK($C478),"",IF(ISBLANK($T478),0,IF(ISNUMBER($T478),IF(AND($T478&gt;=0,$T478&lt;=Constants!$B$17,$T478=INT($T478)),$T478,""),"")))</f>
        <v/>
      </c>
      <c r="AN478" s="87" t="str">
        <f aca="false">IF(ISBLANK($C478),"",IF(ISBLANK($U478),0,IF(ISNUMBER($U478),IF($U478&gt;=0,$U478,""),"")))</f>
        <v/>
      </c>
      <c r="AO478" s="86" t="str">
        <f aca="false">IF(ISBLANK($C478),"",IF($V478=Constants!$B$2,TRUE(),IF($V478=Constants!$B$3,FALSE(),FALSE())))</f>
        <v/>
      </c>
      <c r="AP478" s="86"/>
      <c r="AQ478" s="85" t="str">
        <f aca="false">IF(ISBLANK($C478),"",AND($Y478,OR($AS478,$BC478),OR($Z478="",$AA478="",$AB478="")))</f>
        <v/>
      </c>
      <c r="AR478" s="85" t="str">
        <f aca="false">IF(ISBLANK($C478),"",IF(OR(NOT($Y478),NOT(OR($AS478,$BC478))),"",IF(ISBLANK($D$7),$AR$5,IF($AP$9="",$AR$6,""))))</f>
        <v/>
      </c>
      <c r="AS478" s="85" t="str">
        <f aca="false">IF(ISBLANK($C478),"",COUNTA($J478:$O478)&gt;0)</f>
        <v/>
      </c>
      <c r="AT478" s="85" t="str">
        <f aca="false">IF(ISBLANK($C478),"",AND($AS478,OR(AND($AF478="",OR($AE478,NOT(ISBLANK($M478)))),$AG478="",$AH478="")))</f>
        <v/>
      </c>
      <c r="AU478" s="87" t="str">
        <f aca="false">IF($BL478&lt;&gt;Constants!$B$4,"",IF(NOT($AS478),"",ROUND((Constants!$B$12-$AB478)+(Constants!$B$13-$Z478)+(Constants!$B$14-$AA478),1)))</f>
        <v/>
      </c>
      <c r="AV478" s="90" t="str">
        <f aca="false">IF($BL478&lt;&gt;Constants!$B$4,"",IF(NOT($AS478),"",IF(NOT($AE478),0,Constants!$B$15*(INT(ROUND(MIN($AF478,$AP$9),6))-INT(ROUND(MAX(0,MIN($AF478,2*$AP$9)-$AP$9),6))))))</f>
        <v/>
      </c>
      <c r="AW478" s="90" t="str">
        <f aca="false">IF($BL478&lt;&gt;Constants!$B$4,"",IF(NOT($AS478),"",Constants!$B$16*$AG478))</f>
        <v/>
      </c>
      <c r="AX478" s="90" t="str">
        <f aca="false">IF($BL478&lt;&gt;Constants!$B$4,"",IF(NOT($AS478),"",Constants!$B$18*INT(ROUND($AH478,6))))</f>
        <v/>
      </c>
      <c r="AY478" s="85" t="str">
        <f aca="false">IF($BL478&lt;&gt;Constants!$B$4,"",IF(NOT($AS478),"",IF(NOT($X478),Constants!$B$11,IF(OR(NOT($AC478),NOT($AD478),ROUND($AB478,1)&gt;Constants!$B$12,ROUND($Z478,1)&gt;Constants!$B$13,ROUND($AA478,1)&gt;Constants!$B$14),Constants!$B$10,Constants!$B$9))))</f>
        <v/>
      </c>
      <c r="AZ478" s="91" t="str">
        <f aca="false">IF($BL478&lt;&gt;Constants!$B$4,"",IF(NOT($AS478),"",ROUND($AU478+$AV478+$AW478+$AX478,1)))</f>
        <v/>
      </c>
      <c r="BA478" s="92" t="str">
        <f aca="false">IF($BL478&lt;&gt;Constants!$B$4,"",IF(NOT($AS478),"",IF(ISNUMBER($AF478),$AF478,0)))</f>
        <v/>
      </c>
      <c r="BB478" s="86" t="str">
        <f aca="false">IF($BL478&lt;&gt;Constants!$B$4,"",IF(NOT($BC478),"&lt;-",IF(NOT($AS478),"-&gt;",IF(OR($BI478&lt;$AY478,AND($BI478=$AY478,OR($BJ478&gt;$AZ478,AND($BJ478=$AZ478,OR($BH478&gt;$AX478,AND($BH478=$AX478,OR($BE478&gt;$AU478,AND($BE478=$AU478,OR($BF478&gt;$AV478,AND($BF478=$AV478,$BK478&gt;$BA478)))))))))),"-&gt;","&lt;-"))))</f>
        <v/>
      </c>
      <c r="BC478" s="85" t="str">
        <f aca="false">IF(ISBLANK($C478),"",COUNTA($P478:$U478)&gt;0)</f>
        <v/>
      </c>
      <c r="BD478" s="85" t="str">
        <f aca="false">IF(ISBLANK($C478),"",AND($BC478,OR(AND($AL478="",OR($AK478,NOT(ISBLANK($S478)))),$AM478="",$AN478="")))</f>
        <v/>
      </c>
      <c r="BE478" s="87" t="str">
        <f aca="false">IF($BL478&lt;&gt;Constants!$B$4,"",IF(NOT($BC478),"",ROUND((Constants!$B$12-$AB478)+(Constants!$B$13-$Z478)+(Constants!$B$14-$AA478),1)))</f>
        <v/>
      </c>
      <c r="BF478" s="90" t="str">
        <f aca="false">IF($BL478&lt;&gt;Constants!$B$4,"",IF(NOT($BC478),"",IF(NOT($AK478),0,Constants!$B$15*(INT(ROUND(MIN($AL478,$AP$9),6))-INT(ROUND(MAX(0,MIN($AL478,2*$AP$9)-$AP$9),6))))))</f>
        <v/>
      </c>
      <c r="BG478" s="90" t="str">
        <f aca="false">IF($BL478&lt;&gt;Constants!$B$4,"",IF(NOT($BC478),"",Constants!$B$16*$AM478))</f>
        <v/>
      </c>
      <c r="BH478" s="90" t="str">
        <f aca="false">IF($BL478&lt;&gt;Constants!$B$4,"",IF(NOT($BC478),"",Constants!$B$18*INT(ROUND($AN478,6))))</f>
        <v/>
      </c>
      <c r="BI478" s="85" t="str">
        <f aca="false">IF($BL478&lt;&gt;Constants!$B$4,"",IF(NOT($BC478),"",IF(NOT($X478),Constants!$B$11,IF(OR(NOT($AI478),NOT($AJ478),ROUND($AB478,1)&gt;Constants!$B$12,ROUND($Z478,1)&gt;Constants!$B$13,ROUND($AA478,1)&gt;Constants!$B$14),Constants!$B$10,Constants!$B$9))))</f>
        <v/>
      </c>
      <c r="BJ478" s="91" t="str">
        <f aca="false">IF($BL478&lt;&gt;Constants!$B$4,"",IF(NOT($BC478),"",ROUND($BE478+$BF478+$BG478+$BH478,1)))</f>
        <v/>
      </c>
      <c r="BK478" s="92" t="str">
        <f aca="false">IF($BL478&lt;&gt;Constants!$B$4,"",IF(NOT($BC478),"",IF(ISNUMBER($AL478),$AL478,0)))</f>
        <v/>
      </c>
      <c r="BL478" s="86" t="str">
        <f aca="false">IF(ISBLANK($C478),"",IF($AO478,Constants!$B$7,IF(COUNTA($E478:$V478)=0,Constants!$B$6,IF(NOT($Y478),Constants!$B$5,IF(NOT(OR($AS478,$BC478)),Constants!$B$5,IF(OR($AT478,$BD478,$AQ478,$AR478&lt;&gt;""),Constants!$B$8,Constants!$B$4))))))</f>
        <v/>
      </c>
      <c r="BM478" s="86" t="str">
        <f aca="false">IF(ISBLANK($C478),"",IF($BL478&lt;&gt;Constants!$B$4,$BL478,IF($BB478="-&gt;",$BI478,$AY478)))</f>
        <v/>
      </c>
      <c r="BN478" s="90" t="str">
        <f aca="false">IF($BL478&lt;&gt;Constants!$B$4,"",IF($BB478="-&gt;",$BJ478,$AZ478))</f>
        <v/>
      </c>
      <c r="BO478" s="90" t="str">
        <f aca="false">IF(ISBLANK($C478),"",IF($BL478&lt;&gt;Constants!$B$4,$BL478,$BN478))</f>
        <v/>
      </c>
      <c r="BP478" s="86" t="str">
        <f aca="false">IF(ISBLANK($C478),"",IF($BL478&lt;&gt;Constants!$B$4,$BL478,RANK($BO478,$BO$9:$BO$508,0)))</f>
        <v/>
      </c>
      <c r="BQ478" s="86" t="str">
        <f aca="false">IF(ISBLANK($C478),"",IF($BL478&lt;&gt;Constants!$B$4,$BL478,COUNTIFS($BM$9:$BM$508,"&lt;"&amp;$BM478)+COUNTIFS($BM$9:$BM$508,$BM478,$BP$9:$BP$508,"&lt;"&amp;$BP478)+1))</f>
        <v/>
      </c>
      <c r="BR478" s="90" t="str">
        <f aca="false">IF($BL478&lt;&gt;Constants!$B$4,"",IF($BB478="-&gt;",$BH478,$AX478))</f>
        <v/>
      </c>
      <c r="BS478" s="86" t="str">
        <f aca="false">IF(ISBLANK($C478),"",IF($BL478&lt;&gt;Constants!$B$4,$BL478,IF(ISNUMBER($BR478),RANK($BR478,$BR$9:$BR$508,0),COUNT($BR$9:$BR$508)+1)))</f>
        <v/>
      </c>
      <c r="BT478" s="90" t="str">
        <f aca="false">IF($BL478&lt;&gt;Constants!$B$4,"",IF($BB478="-&gt;",$BE478,$AU478))</f>
        <v/>
      </c>
      <c r="BU478" s="86" t="str">
        <f aca="false">IF(ISBLANK($C478),"",IF($BL478&lt;&gt;Constants!$B$4,$BL478,IF(ISNUMBER($BT478),RANK($BT478,$BT$9:$BT$508,0),COUNT($BT$9:$BT$508)+1)))</f>
        <v/>
      </c>
      <c r="BV478" s="90" t="str">
        <f aca="false">IF($BL478&lt;&gt;Constants!$B$4,"",IF($BB478="-&gt;",$BF478,$AV478))</f>
        <v/>
      </c>
      <c r="BW478" s="86" t="str">
        <f aca="false">IF(ISBLANK($C478),"",IF($BL478&lt;&gt;Constants!$B$4,$BL478,IF(ISNUMBER($BV478),RANK($BV478,$BV$9:$BV$508,0),COUNT($BV$9:$BV$508)+1)))</f>
        <v/>
      </c>
      <c r="BX478" s="90" t="str">
        <f aca="false">IF($BL478&lt;&gt;Constants!$B$4,"",IF($BB478="-&gt;",$BK478,$BA478))</f>
        <v/>
      </c>
      <c r="BY478" s="86" t="str">
        <f aca="false">IF(ISBLANK($C478),"",IF($BL478&lt;&gt;Constants!$B$4,$BL478,IF(ISNUMBER($BX478),RANK($BX478,$BX$9:$BX$508,0),COUNT($BX$9:$BX$508)+1)))</f>
        <v/>
      </c>
      <c r="BZ478" s="86" t="str">
        <f aca="false">IF(ISBLANK($C478),"",IF($BL478&lt;&gt;Constants!$B$4,$BL478,COUNTIFS($BM$9:$BM$508,"&lt;"&amp;$BM478)+COUNTIFS($BM$9:$BM$508,$BM478,$BP$9:$BP$508,"&lt;"&amp;$BP478)+COUNTIFS($BM$9:$BM$508,$BM478,$BP$9:$BP$508,$BP478,$BS$9:$BS$508,"&lt;"&amp;$BS478)+COUNTIFS($BM$9:$BM$508,$BM478,$BP$9:$BP$508,$BP478,$BS$9:$BS$508,$BS478,$BU$9:$BU$508,"&lt;"&amp;$BU478)+COUNTIFS($BM$9:$BM$508,$BM478,$BP$9:$BP$508,$BP478,$BS$9:$BS$508,$BS478,$BU$9:$BU$508,$BU478,$BW$9:$BW$508,"&lt;"&amp;$BW478)+COUNTIFS($BM$9:$BM$508,$BM478,$BP$9:$BP$508,$BP478,$BS$9:$BS$508,$BS478,$BU$9:$BU$508,$BU478,$BW$9:$BW$508,$BW478,$BY$9:$BY$508,"&lt;"&amp;$BY478)+1))</f>
        <v/>
      </c>
      <c r="CA478" s="86" t="str">
        <f aca="false">IF(ISBLANK($C478),"",IF($BL478&lt;&gt;Constants!$B$4,$BL478,$BQ478-$BZ478))</f>
        <v/>
      </c>
      <c r="CB478" s="93"/>
      <c r="CC478" s="94" t="str">
        <f aca="false">IF(ISBLANK($C478),"",IF($BL478=Constants!$B$8,$AR478,""))</f>
        <v/>
      </c>
      <c r="CD478" s="94" t="str">
        <f aca="false">IF(ISBLANK($C478),"",IF($BL478&lt;&gt;Constants!$B$4,"",IF($BB478="-&gt;",2,1)))</f>
        <v/>
      </c>
      <c r="CE478" s="95" t="str">
        <f aca="false">IF(ISBLANK($C478),"",IF($BL478&lt;&gt;Constants!$B$4,"",IF($BB478="-&gt;",$BE478,$AU478)))</f>
        <v/>
      </c>
      <c r="CF478" s="95" t="str">
        <f aca="false">IF(ISBLANK($C478),"",IF($BL478&lt;&gt;Constants!$B$4,"",IF($BB478="-&gt;",$BF478,$AV478)))</f>
        <v/>
      </c>
      <c r="CG478" s="95" t="str">
        <f aca="false">IF(ISBLANK($C478),"",IF($BL478&lt;&gt;Constants!$B$4,"",IF($BB478="-&gt;",$BG478,$AW478)))</f>
        <v/>
      </c>
      <c r="CH478" s="95" t="str">
        <f aca="false">IF(ISBLANK($C478),"",IF($BL478&lt;&gt;Constants!$B$4,"",IF($BB478="-&gt;",$BH478,$AX478)))</f>
        <v/>
      </c>
      <c r="CI478" s="96" t="str">
        <f aca="false">IF(ISBLANK($C478),"",$BO478)</f>
        <v/>
      </c>
      <c r="CJ478" s="97" t="str">
        <f aca="false">IF(ISBLANK($C478),"",$BM478)</f>
        <v/>
      </c>
      <c r="CK478" s="98" t="str">
        <f aca="false">IF(ISBLANK($C478),"",$CA478)</f>
        <v/>
      </c>
      <c r="CL478" s="98" t="str">
        <f aca="false">IF(ISBLANK($C478),"",$BZ478)</f>
        <v/>
      </c>
      <c r="CM478" s="99" t="str">
        <f aca="false">IF(ISBLANK($C478),"",IF($CL478=Constants!$B$7,COUNTA($C$9:$C$508)+2,IF($CL478=Constants!$B$6,COUNTA($C$9:$C$508)+1,IF($CL478=Constants!$B$5,COUNTA($C$9:$C$508),$CL478))))</f>
        <v/>
      </c>
      <c r="CN478" s="8"/>
      <c r="CO478" s="100" t="n">
        <f aca="false">IF(OR(ISNUMBER($CL478),$CL478=Constants!$B$7,$CL478=Constants!$B$5,$CL478=Constants!$B$6),1,0)</f>
        <v>0</v>
      </c>
      <c r="CP478" s="100" t="n">
        <v>470</v>
      </c>
      <c r="CQ478" s="100" t="str">
        <f aca="false">IF(ISBLANK($C478),"",IF(ISNUMBER($CM478),$CM478+ROW($B478)/1000,""))</f>
        <v/>
      </c>
      <c r="CR478" s="100" t="str">
        <f aca="false">IF(ISNUMBER($CQ478),RANK($CQ478,$CQ$9:$CQ$508,1),"")</f>
        <v/>
      </c>
      <c r="CS478" s="100" t="str">
        <f aca="false">IF(ISBLANK($C478),"",$B478)</f>
        <v/>
      </c>
      <c r="CT478" s="100" t="str">
        <f aca="false">IF(ISBLANK($C478),"",$C478)</f>
        <v/>
      </c>
      <c r="CU478" s="100" t="str">
        <f aca="false">IF(ISBLANK($C478),"",$D478)</f>
        <v/>
      </c>
      <c r="CV478" s="101" t="str">
        <f aca="false">$CJ478</f>
        <v/>
      </c>
      <c r="CW478" s="102" t="str">
        <f aca="false">$CI478</f>
        <v/>
      </c>
      <c r="CX478" s="100" t="str">
        <f aca="false">IF(ISBLANK($C478),"",$CL478)</f>
        <v/>
      </c>
      <c r="CY478" s="103" t="str">
        <f aca="false">IF($CP478&gt;$CO$8,"",VLOOKUP($CP478,$CR$9:$CX$508,7,FALSE()))</f>
        <v/>
      </c>
      <c r="CZ478" s="104" t="str">
        <f aca="false">IF($CP478&gt;$CO$8,"",VLOOKUP($CP478,$CR$9:$CX$508,2,FALSE()))</f>
        <v/>
      </c>
      <c r="DA478" s="104" t="str">
        <f aca="false">IF($CP478&gt;$CO$8,"",VLOOKUP($CP478,$CR$9:$CX$508,3,FALSE()))</f>
        <v/>
      </c>
      <c r="DB478" s="104" t="str">
        <f aca="false">IF($CP478&gt;$CO$8,"",VLOOKUP($CP478,$CR$9:$CX$508,4,FALSE()))</f>
        <v/>
      </c>
      <c r="DC478" s="104" t="str">
        <f aca="false">IF($CP478&gt;$CO$8,"",VLOOKUP($CP478,$CR$9:$CX$508,5,FALSE()))</f>
        <v/>
      </c>
      <c r="DD478" s="105" t="str">
        <f aca="false">IF($CP478&gt;$CO$8,"",VLOOKUP($CP478,$CR$9:$CX$508,6,FALSE()))</f>
        <v/>
      </c>
      <c r="DE478" s="70"/>
    </row>
    <row r="479" customFormat="false" ht="15.75" hidden="false" customHeight="false" outlineLevel="0" collapsed="false">
      <c r="A479" s="8"/>
      <c r="B479" s="72"/>
      <c r="C479" s="73"/>
      <c r="D479" s="155"/>
      <c r="E479" s="162"/>
      <c r="F479" s="157"/>
      <c r="G479" s="77"/>
      <c r="H479" s="77"/>
      <c r="I479" s="77"/>
      <c r="J479" s="163"/>
      <c r="K479" s="161"/>
      <c r="L479" s="161"/>
      <c r="M479" s="80"/>
      <c r="N479" s="161"/>
      <c r="O479" s="160"/>
      <c r="P479" s="161"/>
      <c r="Q479" s="161"/>
      <c r="R479" s="161"/>
      <c r="S479" s="77"/>
      <c r="T479" s="161"/>
      <c r="U479" s="160"/>
      <c r="V479" s="161"/>
      <c r="W479" s="85"/>
      <c r="X479" s="86" t="str">
        <f aca="false">IF(ISBLANK($C479),"",IF($E479=Constants!$B$2,TRUE(),IF($E479=Constants!$B$3,FALSE(),TRUE())))</f>
        <v/>
      </c>
      <c r="Y479" s="86" t="str">
        <f aca="false">IF(ISBLANK($C479),"",IF($F479=Constants!$B$2,TRUE(),IF($F479=Constants!$B$3,FALSE(),TRUE())))</f>
        <v/>
      </c>
      <c r="Z479" s="87" t="str">
        <f aca="false">IF(ISBLANK($C479),"",IF(ISNUMBER($G479),IF($G479&gt;=0,$G479,""),""))</f>
        <v/>
      </c>
      <c r="AA479" s="87" t="str">
        <f aca="false">IF(ISBLANK($C479),"",IF(ISNUMBER($H479),IF($H479&gt;=0,$H479,""),""))</f>
        <v/>
      </c>
      <c r="AB479" s="87" t="str">
        <f aca="false">IF(ISBLANK($C479),"",IF(ISNUMBER($I479),IF($I479&gt;=0,$I479,""),""))</f>
        <v/>
      </c>
      <c r="AC479" s="86" t="str">
        <f aca="false">IF(ISBLANK($C479),"",IF($J479=Constants!$B$2,TRUE(),IF($J479=Constants!$B$3,FALSE(),TRUE())))</f>
        <v/>
      </c>
      <c r="AD479" s="86" t="str">
        <f aca="false">IF(ISBLANK($C479),"",IF($K479=Constants!$B$2,TRUE(),IF($K479=Constants!$B$3,FALSE(),TRUE())))</f>
        <v/>
      </c>
      <c r="AE479" s="86" t="str">
        <f aca="false">IF(ISBLANK($C479),"",IF($L479=Constants!$B$2,TRUE(),IF($L479=Constants!$B$3,FALSE(),TRUE())))</f>
        <v/>
      </c>
      <c r="AF479" s="88" t="str">
        <f aca="false">IF(ISBLANK($C479),"",IF(ISNUMBER($M479),IF($M479&gt;=0,$M479,""),""))</f>
        <v/>
      </c>
      <c r="AG479" s="86" t="str">
        <f aca="false">IF(ISBLANK($C479),"",IF(ISBLANK($N479),0,IF(ISNUMBER($N479),IF(AND($N479&gt;=0,$N479&lt;=Constants!$B$17,$N479=INT($N479)),$N479,""),"")))</f>
        <v/>
      </c>
      <c r="AH479" s="87" t="str">
        <f aca="false">IF(ISBLANK($C479),"",IF(ISBLANK($O479),0,IF(ISNUMBER($O479),IF($O479&gt;=0,$O479,""),"")))</f>
        <v/>
      </c>
      <c r="AI479" s="86" t="str">
        <f aca="false">IF(ISBLANK($C479),"",IF($P479=Constants!$B$2,TRUE(),IF($P479=Constants!$B$3,FALSE(),TRUE())))</f>
        <v/>
      </c>
      <c r="AJ479" s="86" t="str">
        <f aca="false">IF(ISBLANK($C479),"",IF($Q479=Constants!$B$2,TRUE(),IF($Q479=Constants!$B$3,FALSE(),TRUE())))</f>
        <v/>
      </c>
      <c r="AK479" s="86" t="str">
        <f aca="false">IF(ISBLANK($C479),"",IF($R479=Constants!$B$2,TRUE(),IF($R479=Constants!$B$3,FALSE(),TRUE())))</f>
        <v/>
      </c>
      <c r="AL479" s="88" t="str">
        <f aca="false">IF(ISBLANK($C479),"",IF(ISNUMBER($S479),IF($S479&gt;=0,$S479,""),""))</f>
        <v/>
      </c>
      <c r="AM479" s="86" t="str">
        <f aca="false">IF(ISBLANK($C479),"",IF(ISBLANK($T479),0,IF(ISNUMBER($T479),IF(AND($T479&gt;=0,$T479&lt;=Constants!$B$17,$T479=INT($T479)),$T479,""),"")))</f>
        <v/>
      </c>
      <c r="AN479" s="87" t="str">
        <f aca="false">IF(ISBLANK($C479),"",IF(ISBLANK($U479),0,IF(ISNUMBER($U479),IF($U479&gt;=0,$U479,""),"")))</f>
        <v/>
      </c>
      <c r="AO479" s="86" t="str">
        <f aca="false">IF(ISBLANK($C479),"",IF($V479=Constants!$B$2,TRUE(),IF($V479=Constants!$B$3,FALSE(),FALSE())))</f>
        <v/>
      </c>
      <c r="AP479" s="86"/>
      <c r="AQ479" s="85" t="str">
        <f aca="false">IF(ISBLANK($C479),"",AND($Y479,OR($AS479,$BC479),OR($Z479="",$AA479="",$AB479="")))</f>
        <v/>
      </c>
      <c r="AR479" s="85" t="str">
        <f aca="false">IF(ISBLANK($C479),"",IF(OR(NOT($Y479),NOT(OR($AS479,$BC479))),"",IF(ISBLANK($D$7),$AR$5,IF($AP$9="",$AR$6,""))))</f>
        <v/>
      </c>
      <c r="AS479" s="85" t="str">
        <f aca="false">IF(ISBLANK($C479),"",COUNTA($J479:$O479)&gt;0)</f>
        <v/>
      </c>
      <c r="AT479" s="85" t="str">
        <f aca="false">IF(ISBLANK($C479),"",AND($AS479,OR(AND($AF479="",OR($AE479,NOT(ISBLANK($M479)))),$AG479="",$AH479="")))</f>
        <v/>
      </c>
      <c r="AU479" s="87" t="str">
        <f aca="false">IF($BL479&lt;&gt;Constants!$B$4,"",IF(NOT($AS479),"",ROUND((Constants!$B$12-$AB479)+(Constants!$B$13-$Z479)+(Constants!$B$14-$AA479),1)))</f>
        <v/>
      </c>
      <c r="AV479" s="90" t="str">
        <f aca="false">IF($BL479&lt;&gt;Constants!$B$4,"",IF(NOT($AS479),"",IF(NOT($AE479),0,Constants!$B$15*(INT(ROUND(MIN($AF479,$AP$9),6))-INT(ROUND(MAX(0,MIN($AF479,2*$AP$9)-$AP$9),6))))))</f>
        <v/>
      </c>
      <c r="AW479" s="90" t="str">
        <f aca="false">IF($BL479&lt;&gt;Constants!$B$4,"",IF(NOT($AS479),"",Constants!$B$16*$AG479))</f>
        <v/>
      </c>
      <c r="AX479" s="90" t="str">
        <f aca="false">IF($BL479&lt;&gt;Constants!$B$4,"",IF(NOT($AS479),"",Constants!$B$18*INT(ROUND($AH479,6))))</f>
        <v/>
      </c>
      <c r="AY479" s="85" t="str">
        <f aca="false">IF($BL479&lt;&gt;Constants!$B$4,"",IF(NOT($AS479),"",IF(NOT($X479),Constants!$B$11,IF(OR(NOT($AC479),NOT($AD479),ROUND($AB479,1)&gt;Constants!$B$12,ROUND($Z479,1)&gt;Constants!$B$13,ROUND($AA479,1)&gt;Constants!$B$14),Constants!$B$10,Constants!$B$9))))</f>
        <v/>
      </c>
      <c r="AZ479" s="91" t="str">
        <f aca="false">IF($BL479&lt;&gt;Constants!$B$4,"",IF(NOT($AS479),"",ROUND($AU479+$AV479+$AW479+$AX479,1)))</f>
        <v/>
      </c>
      <c r="BA479" s="92" t="str">
        <f aca="false">IF($BL479&lt;&gt;Constants!$B$4,"",IF(NOT($AS479),"",IF(ISNUMBER($AF479),$AF479,0)))</f>
        <v/>
      </c>
      <c r="BB479" s="86" t="str">
        <f aca="false">IF($BL479&lt;&gt;Constants!$B$4,"",IF(NOT($BC479),"&lt;-",IF(NOT($AS479),"-&gt;",IF(OR($BI479&lt;$AY479,AND($BI479=$AY479,OR($BJ479&gt;$AZ479,AND($BJ479=$AZ479,OR($BH479&gt;$AX479,AND($BH479=$AX479,OR($BE479&gt;$AU479,AND($BE479=$AU479,OR($BF479&gt;$AV479,AND($BF479=$AV479,$BK479&gt;$BA479)))))))))),"-&gt;","&lt;-"))))</f>
        <v/>
      </c>
      <c r="BC479" s="85" t="str">
        <f aca="false">IF(ISBLANK($C479),"",COUNTA($P479:$U479)&gt;0)</f>
        <v/>
      </c>
      <c r="BD479" s="85" t="str">
        <f aca="false">IF(ISBLANK($C479),"",AND($BC479,OR(AND($AL479="",OR($AK479,NOT(ISBLANK($S479)))),$AM479="",$AN479="")))</f>
        <v/>
      </c>
      <c r="BE479" s="87" t="str">
        <f aca="false">IF($BL479&lt;&gt;Constants!$B$4,"",IF(NOT($BC479),"",ROUND((Constants!$B$12-$AB479)+(Constants!$B$13-$Z479)+(Constants!$B$14-$AA479),1)))</f>
        <v/>
      </c>
      <c r="BF479" s="90" t="str">
        <f aca="false">IF($BL479&lt;&gt;Constants!$B$4,"",IF(NOT($BC479),"",IF(NOT($AK479),0,Constants!$B$15*(INT(ROUND(MIN($AL479,$AP$9),6))-INT(ROUND(MAX(0,MIN($AL479,2*$AP$9)-$AP$9),6))))))</f>
        <v/>
      </c>
      <c r="BG479" s="90" t="str">
        <f aca="false">IF($BL479&lt;&gt;Constants!$B$4,"",IF(NOT($BC479),"",Constants!$B$16*$AM479))</f>
        <v/>
      </c>
      <c r="BH479" s="90" t="str">
        <f aca="false">IF($BL479&lt;&gt;Constants!$B$4,"",IF(NOT($BC479),"",Constants!$B$18*INT(ROUND($AN479,6))))</f>
        <v/>
      </c>
      <c r="BI479" s="85" t="str">
        <f aca="false">IF($BL479&lt;&gt;Constants!$B$4,"",IF(NOT($BC479),"",IF(NOT($X479),Constants!$B$11,IF(OR(NOT($AI479),NOT($AJ479),ROUND($AB479,1)&gt;Constants!$B$12,ROUND($Z479,1)&gt;Constants!$B$13,ROUND($AA479,1)&gt;Constants!$B$14),Constants!$B$10,Constants!$B$9))))</f>
        <v/>
      </c>
      <c r="BJ479" s="91" t="str">
        <f aca="false">IF($BL479&lt;&gt;Constants!$B$4,"",IF(NOT($BC479),"",ROUND($BE479+$BF479+$BG479+$BH479,1)))</f>
        <v/>
      </c>
      <c r="BK479" s="92" t="str">
        <f aca="false">IF($BL479&lt;&gt;Constants!$B$4,"",IF(NOT($BC479),"",IF(ISNUMBER($AL479),$AL479,0)))</f>
        <v/>
      </c>
      <c r="BL479" s="86" t="str">
        <f aca="false">IF(ISBLANK($C479),"",IF($AO479,Constants!$B$7,IF(COUNTA($E479:$V479)=0,Constants!$B$6,IF(NOT($Y479),Constants!$B$5,IF(NOT(OR($AS479,$BC479)),Constants!$B$5,IF(OR($AT479,$BD479,$AQ479,$AR479&lt;&gt;""),Constants!$B$8,Constants!$B$4))))))</f>
        <v/>
      </c>
      <c r="BM479" s="86" t="str">
        <f aca="false">IF(ISBLANK($C479),"",IF($BL479&lt;&gt;Constants!$B$4,$BL479,IF($BB479="-&gt;",$BI479,$AY479)))</f>
        <v/>
      </c>
      <c r="BN479" s="90" t="str">
        <f aca="false">IF($BL479&lt;&gt;Constants!$B$4,"",IF($BB479="-&gt;",$BJ479,$AZ479))</f>
        <v/>
      </c>
      <c r="BO479" s="90" t="str">
        <f aca="false">IF(ISBLANK($C479),"",IF($BL479&lt;&gt;Constants!$B$4,$BL479,$BN479))</f>
        <v/>
      </c>
      <c r="BP479" s="86" t="str">
        <f aca="false">IF(ISBLANK($C479),"",IF($BL479&lt;&gt;Constants!$B$4,$BL479,RANK($BO479,$BO$9:$BO$508,0)))</f>
        <v/>
      </c>
      <c r="BQ479" s="86" t="str">
        <f aca="false">IF(ISBLANK($C479),"",IF($BL479&lt;&gt;Constants!$B$4,$BL479,COUNTIFS($BM$9:$BM$508,"&lt;"&amp;$BM479)+COUNTIFS($BM$9:$BM$508,$BM479,$BP$9:$BP$508,"&lt;"&amp;$BP479)+1))</f>
        <v/>
      </c>
      <c r="BR479" s="90" t="str">
        <f aca="false">IF($BL479&lt;&gt;Constants!$B$4,"",IF($BB479="-&gt;",$BH479,$AX479))</f>
        <v/>
      </c>
      <c r="BS479" s="86" t="str">
        <f aca="false">IF(ISBLANK($C479),"",IF($BL479&lt;&gt;Constants!$B$4,$BL479,IF(ISNUMBER($BR479),RANK($BR479,$BR$9:$BR$508,0),COUNT($BR$9:$BR$508)+1)))</f>
        <v/>
      </c>
      <c r="BT479" s="90" t="str">
        <f aca="false">IF($BL479&lt;&gt;Constants!$B$4,"",IF($BB479="-&gt;",$BE479,$AU479))</f>
        <v/>
      </c>
      <c r="BU479" s="86" t="str">
        <f aca="false">IF(ISBLANK($C479),"",IF($BL479&lt;&gt;Constants!$B$4,$BL479,IF(ISNUMBER($BT479),RANK($BT479,$BT$9:$BT$508,0),COUNT($BT$9:$BT$508)+1)))</f>
        <v/>
      </c>
      <c r="BV479" s="90" t="str">
        <f aca="false">IF($BL479&lt;&gt;Constants!$B$4,"",IF($BB479="-&gt;",$BF479,$AV479))</f>
        <v/>
      </c>
      <c r="BW479" s="86" t="str">
        <f aca="false">IF(ISBLANK($C479),"",IF($BL479&lt;&gt;Constants!$B$4,$BL479,IF(ISNUMBER($BV479),RANK($BV479,$BV$9:$BV$508,0),COUNT($BV$9:$BV$508)+1)))</f>
        <v/>
      </c>
      <c r="BX479" s="90" t="str">
        <f aca="false">IF($BL479&lt;&gt;Constants!$B$4,"",IF($BB479="-&gt;",$BK479,$BA479))</f>
        <v/>
      </c>
      <c r="BY479" s="86" t="str">
        <f aca="false">IF(ISBLANK($C479),"",IF($BL479&lt;&gt;Constants!$B$4,$BL479,IF(ISNUMBER($BX479),RANK($BX479,$BX$9:$BX$508,0),COUNT($BX$9:$BX$508)+1)))</f>
        <v/>
      </c>
      <c r="BZ479" s="86" t="str">
        <f aca="false">IF(ISBLANK($C479),"",IF($BL479&lt;&gt;Constants!$B$4,$BL479,COUNTIFS($BM$9:$BM$508,"&lt;"&amp;$BM479)+COUNTIFS($BM$9:$BM$508,$BM479,$BP$9:$BP$508,"&lt;"&amp;$BP479)+COUNTIFS($BM$9:$BM$508,$BM479,$BP$9:$BP$508,$BP479,$BS$9:$BS$508,"&lt;"&amp;$BS479)+COUNTIFS($BM$9:$BM$508,$BM479,$BP$9:$BP$508,$BP479,$BS$9:$BS$508,$BS479,$BU$9:$BU$508,"&lt;"&amp;$BU479)+COUNTIFS($BM$9:$BM$508,$BM479,$BP$9:$BP$508,$BP479,$BS$9:$BS$508,$BS479,$BU$9:$BU$508,$BU479,$BW$9:$BW$508,"&lt;"&amp;$BW479)+COUNTIFS($BM$9:$BM$508,$BM479,$BP$9:$BP$508,$BP479,$BS$9:$BS$508,$BS479,$BU$9:$BU$508,$BU479,$BW$9:$BW$508,$BW479,$BY$9:$BY$508,"&lt;"&amp;$BY479)+1))</f>
        <v/>
      </c>
      <c r="CA479" s="86" t="str">
        <f aca="false">IF(ISBLANK($C479),"",IF($BL479&lt;&gt;Constants!$B$4,$BL479,$BQ479-$BZ479))</f>
        <v/>
      </c>
      <c r="CB479" s="93"/>
      <c r="CC479" s="94" t="str">
        <f aca="false">IF(ISBLANK($C479),"",IF($BL479=Constants!$B$8,$AR479,""))</f>
        <v/>
      </c>
      <c r="CD479" s="94" t="str">
        <f aca="false">IF(ISBLANK($C479),"",IF($BL479&lt;&gt;Constants!$B$4,"",IF($BB479="-&gt;",2,1)))</f>
        <v/>
      </c>
      <c r="CE479" s="95" t="str">
        <f aca="false">IF(ISBLANK($C479),"",IF($BL479&lt;&gt;Constants!$B$4,"",IF($BB479="-&gt;",$BE479,$AU479)))</f>
        <v/>
      </c>
      <c r="CF479" s="95" t="str">
        <f aca="false">IF(ISBLANK($C479),"",IF($BL479&lt;&gt;Constants!$B$4,"",IF($BB479="-&gt;",$BF479,$AV479)))</f>
        <v/>
      </c>
      <c r="CG479" s="95" t="str">
        <f aca="false">IF(ISBLANK($C479),"",IF($BL479&lt;&gt;Constants!$B$4,"",IF($BB479="-&gt;",$BG479,$AW479)))</f>
        <v/>
      </c>
      <c r="CH479" s="95" t="str">
        <f aca="false">IF(ISBLANK($C479),"",IF($BL479&lt;&gt;Constants!$B$4,"",IF($BB479="-&gt;",$BH479,$AX479)))</f>
        <v/>
      </c>
      <c r="CI479" s="96" t="str">
        <f aca="false">IF(ISBLANK($C479),"",$BO479)</f>
        <v/>
      </c>
      <c r="CJ479" s="97" t="str">
        <f aca="false">IF(ISBLANK($C479),"",$BM479)</f>
        <v/>
      </c>
      <c r="CK479" s="98" t="str">
        <f aca="false">IF(ISBLANK($C479),"",$CA479)</f>
        <v/>
      </c>
      <c r="CL479" s="98" t="str">
        <f aca="false">IF(ISBLANK($C479),"",$BZ479)</f>
        <v/>
      </c>
      <c r="CM479" s="99" t="str">
        <f aca="false">IF(ISBLANK($C479),"",IF($CL479=Constants!$B$7,COUNTA($C$9:$C$508)+2,IF($CL479=Constants!$B$6,COUNTA($C$9:$C$508)+1,IF($CL479=Constants!$B$5,COUNTA($C$9:$C$508),$CL479))))</f>
        <v/>
      </c>
      <c r="CN479" s="8"/>
      <c r="CO479" s="100" t="n">
        <f aca="false">IF(OR(ISNUMBER($CL479),$CL479=Constants!$B$7,$CL479=Constants!$B$5,$CL479=Constants!$B$6),1,0)</f>
        <v>0</v>
      </c>
      <c r="CP479" s="100" t="n">
        <v>471</v>
      </c>
      <c r="CQ479" s="100" t="str">
        <f aca="false">IF(ISBLANK($C479),"",IF(ISNUMBER($CM479),$CM479+ROW($B479)/1000,""))</f>
        <v/>
      </c>
      <c r="CR479" s="100" t="str">
        <f aca="false">IF(ISNUMBER($CQ479),RANK($CQ479,$CQ$9:$CQ$508,1),"")</f>
        <v/>
      </c>
      <c r="CS479" s="100" t="str">
        <f aca="false">IF(ISBLANK($C479),"",$B479)</f>
        <v/>
      </c>
      <c r="CT479" s="100" t="str">
        <f aca="false">IF(ISBLANK($C479),"",$C479)</f>
        <v/>
      </c>
      <c r="CU479" s="100" t="str">
        <f aca="false">IF(ISBLANK($C479),"",$D479)</f>
        <v/>
      </c>
      <c r="CV479" s="101" t="str">
        <f aca="false">$CJ479</f>
        <v/>
      </c>
      <c r="CW479" s="102" t="str">
        <f aca="false">$CI479</f>
        <v/>
      </c>
      <c r="CX479" s="100" t="str">
        <f aca="false">IF(ISBLANK($C479),"",$CL479)</f>
        <v/>
      </c>
      <c r="CY479" s="103" t="str">
        <f aca="false">IF($CP479&gt;$CO$8,"",VLOOKUP($CP479,$CR$9:$CX$508,7,FALSE()))</f>
        <v/>
      </c>
      <c r="CZ479" s="104" t="str">
        <f aca="false">IF($CP479&gt;$CO$8,"",VLOOKUP($CP479,$CR$9:$CX$508,2,FALSE()))</f>
        <v/>
      </c>
      <c r="DA479" s="104" t="str">
        <f aca="false">IF($CP479&gt;$CO$8,"",VLOOKUP($CP479,$CR$9:$CX$508,3,FALSE()))</f>
        <v/>
      </c>
      <c r="DB479" s="104" t="str">
        <f aca="false">IF($CP479&gt;$CO$8,"",VLOOKUP($CP479,$CR$9:$CX$508,4,FALSE()))</f>
        <v/>
      </c>
      <c r="DC479" s="104" t="str">
        <f aca="false">IF($CP479&gt;$CO$8,"",VLOOKUP($CP479,$CR$9:$CX$508,5,FALSE()))</f>
        <v/>
      </c>
      <c r="DD479" s="105" t="str">
        <f aca="false">IF($CP479&gt;$CO$8,"",VLOOKUP($CP479,$CR$9:$CX$508,6,FALSE()))</f>
        <v/>
      </c>
      <c r="DE479" s="70"/>
    </row>
    <row r="480" customFormat="false" ht="15.75" hidden="false" customHeight="false" outlineLevel="0" collapsed="false">
      <c r="A480" s="8"/>
      <c r="B480" s="146"/>
      <c r="C480" s="147"/>
      <c r="D480" s="148"/>
      <c r="E480" s="164"/>
      <c r="F480" s="150"/>
      <c r="G480" s="115"/>
      <c r="H480" s="115"/>
      <c r="I480" s="115"/>
      <c r="J480" s="165"/>
      <c r="K480" s="154"/>
      <c r="L480" s="154"/>
      <c r="M480" s="118"/>
      <c r="N480" s="154"/>
      <c r="O480" s="153"/>
      <c r="P480" s="154"/>
      <c r="Q480" s="154"/>
      <c r="R480" s="154"/>
      <c r="S480" s="115"/>
      <c r="T480" s="154"/>
      <c r="U480" s="153"/>
      <c r="V480" s="154"/>
      <c r="W480" s="123"/>
      <c r="X480" s="124" t="str">
        <f aca="false">IF(ISBLANK($C480),"",IF($E480=Constants!$B$2,TRUE(),IF($E480=Constants!$B$3,FALSE(),TRUE())))</f>
        <v/>
      </c>
      <c r="Y480" s="124" t="str">
        <f aca="false">IF(ISBLANK($C480),"",IF($F480=Constants!$B$2,TRUE(),IF($F480=Constants!$B$3,FALSE(),TRUE())))</f>
        <v/>
      </c>
      <c r="Z480" s="125" t="str">
        <f aca="false">IF(ISBLANK($C480),"",IF(ISNUMBER($G480),IF($G480&gt;=0,$G480,""),""))</f>
        <v/>
      </c>
      <c r="AA480" s="125" t="str">
        <f aca="false">IF(ISBLANK($C480),"",IF(ISNUMBER($H480),IF($H480&gt;=0,$H480,""),""))</f>
        <v/>
      </c>
      <c r="AB480" s="125" t="str">
        <f aca="false">IF(ISBLANK($C480),"",IF(ISNUMBER($I480),IF($I480&gt;=0,$I480,""),""))</f>
        <v/>
      </c>
      <c r="AC480" s="124" t="str">
        <f aca="false">IF(ISBLANK($C480),"",IF($J480=Constants!$B$2,TRUE(),IF($J480=Constants!$B$3,FALSE(),TRUE())))</f>
        <v/>
      </c>
      <c r="AD480" s="124" t="str">
        <f aca="false">IF(ISBLANK($C480),"",IF($K480=Constants!$B$2,TRUE(),IF($K480=Constants!$B$3,FALSE(),TRUE())))</f>
        <v/>
      </c>
      <c r="AE480" s="124" t="str">
        <f aca="false">IF(ISBLANK($C480),"",IF($L480=Constants!$B$2,TRUE(),IF($L480=Constants!$B$3,FALSE(),TRUE())))</f>
        <v/>
      </c>
      <c r="AF480" s="126" t="str">
        <f aca="false">IF(ISBLANK($C480),"",IF(ISNUMBER($M480),IF($M480&gt;=0,$M480,""),""))</f>
        <v/>
      </c>
      <c r="AG480" s="124" t="str">
        <f aca="false">IF(ISBLANK($C480),"",IF(ISBLANK($N480),0,IF(ISNUMBER($N480),IF(AND($N480&gt;=0,$N480&lt;=Constants!$B$17,$N480=INT($N480)),$N480,""),"")))</f>
        <v/>
      </c>
      <c r="AH480" s="125" t="str">
        <f aca="false">IF(ISBLANK($C480),"",IF(ISBLANK($O480),0,IF(ISNUMBER($O480),IF($O480&gt;=0,$O480,""),"")))</f>
        <v/>
      </c>
      <c r="AI480" s="124" t="str">
        <f aca="false">IF(ISBLANK($C480),"",IF($P480=Constants!$B$2,TRUE(),IF($P480=Constants!$B$3,FALSE(),TRUE())))</f>
        <v/>
      </c>
      <c r="AJ480" s="124" t="str">
        <f aca="false">IF(ISBLANK($C480),"",IF($Q480=Constants!$B$2,TRUE(),IF($Q480=Constants!$B$3,FALSE(),TRUE())))</f>
        <v/>
      </c>
      <c r="AK480" s="124" t="str">
        <f aca="false">IF(ISBLANK($C480),"",IF($R480=Constants!$B$2,TRUE(),IF($R480=Constants!$B$3,FALSE(),TRUE())))</f>
        <v/>
      </c>
      <c r="AL480" s="126" t="str">
        <f aca="false">IF(ISBLANK($C480),"",IF(ISNUMBER($S480),IF($S480&gt;=0,$S480,""),""))</f>
        <v/>
      </c>
      <c r="AM480" s="124" t="str">
        <f aca="false">IF(ISBLANK($C480),"",IF(ISBLANK($T480),0,IF(ISNUMBER($T480),IF(AND($T480&gt;=0,$T480&lt;=Constants!$B$17,$T480=INT($T480)),$T480,""),"")))</f>
        <v/>
      </c>
      <c r="AN480" s="125" t="str">
        <f aca="false">IF(ISBLANK($C480),"",IF(ISBLANK($U480),0,IF(ISNUMBER($U480),IF($U480&gt;=0,$U480,""),"")))</f>
        <v/>
      </c>
      <c r="AO480" s="124" t="str">
        <f aca="false">IF(ISBLANK($C480),"",IF($V480=Constants!$B$2,TRUE(),IF($V480=Constants!$B$3,FALSE(),FALSE())))</f>
        <v/>
      </c>
      <c r="AP480" s="124"/>
      <c r="AQ480" s="123" t="str">
        <f aca="false">IF(ISBLANK($C480),"",AND($Y480,OR($AS480,$BC480),OR($Z480="",$AA480="",$AB480="")))</f>
        <v/>
      </c>
      <c r="AR480" s="123" t="str">
        <f aca="false">IF(ISBLANK($C480),"",IF(OR(NOT($Y480),NOT(OR($AS480,$BC480))),"",IF(ISBLANK($D$7),$AR$5,IF($AP$9="",$AR$6,""))))</f>
        <v/>
      </c>
      <c r="AS480" s="123" t="str">
        <f aca="false">IF(ISBLANK($C480),"",COUNTA($J480:$O480)&gt;0)</f>
        <v/>
      </c>
      <c r="AT480" s="123" t="str">
        <f aca="false">IF(ISBLANK($C480),"",AND($AS480,OR(AND($AF480="",OR($AE480,NOT(ISBLANK($M480)))),$AG480="",$AH480="")))</f>
        <v/>
      </c>
      <c r="AU480" s="125" t="str">
        <f aca="false">IF($BL480&lt;&gt;Constants!$B$4,"",IF(NOT($AS480),"",ROUND((Constants!$B$12-$AB480)+(Constants!$B$13-$Z480)+(Constants!$B$14-$AA480),1)))</f>
        <v/>
      </c>
      <c r="AV480" s="127" t="str">
        <f aca="false">IF($BL480&lt;&gt;Constants!$B$4,"",IF(NOT($AS480),"",IF(NOT($AE480),0,Constants!$B$15*(INT(ROUND(MIN($AF480,$AP$9),6))-INT(ROUND(MAX(0,MIN($AF480,2*$AP$9)-$AP$9),6))))))</f>
        <v/>
      </c>
      <c r="AW480" s="127" t="str">
        <f aca="false">IF($BL480&lt;&gt;Constants!$B$4,"",IF(NOT($AS480),"",Constants!$B$16*$AG480))</f>
        <v/>
      </c>
      <c r="AX480" s="127" t="str">
        <f aca="false">IF($BL480&lt;&gt;Constants!$B$4,"",IF(NOT($AS480),"",Constants!$B$18*INT(ROUND($AH480,6))))</f>
        <v/>
      </c>
      <c r="AY480" s="123" t="str">
        <f aca="false">IF($BL480&lt;&gt;Constants!$B$4,"",IF(NOT($AS480),"",IF(NOT($X480),Constants!$B$11,IF(OR(NOT($AC480),NOT($AD480),ROUND($AB480,1)&gt;Constants!$B$12,ROUND($Z480,1)&gt;Constants!$B$13,ROUND($AA480,1)&gt;Constants!$B$14),Constants!$B$10,Constants!$B$9))))</f>
        <v/>
      </c>
      <c r="AZ480" s="128" t="str">
        <f aca="false">IF($BL480&lt;&gt;Constants!$B$4,"",IF(NOT($AS480),"",ROUND($AU480+$AV480+$AW480+$AX480,1)))</f>
        <v/>
      </c>
      <c r="BA480" s="129" t="str">
        <f aca="false">IF($BL480&lt;&gt;Constants!$B$4,"",IF(NOT($AS480),"",IF(ISNUMBER($AF480),$AF480,0)))</f>
        <v/>
      </c>
      <c r="BB480" s="124" t="str">
        <f aca="false">IF($BL480&lt;&gt;Constants!$B$4,"",IF(NOT($BC480),"&lt;-",IF(NOT($AS480),"-&gt;",IF(OR($BI480&lt;$AY480,AND($BI480=$AY480,OR($BJ480&gt;$AZ480,AND($BJ480=$AZ480,OR($BH480&gt;$AX480,AND($BH480=$AX480,OR($BE480&gt;$AU480,AND($BE480=$AU480,OR($BF480&gt;$AV480,AND($BF480=$AV480,$BK480&gt;$BA480)))))))))),"-&gt;","&lt;-"))))</f>
        <v/>
      </c>
      <c r="BC480" s="123" t="str">
        <f aca="false">IF(ISBLANK($C480),"",COUNTA($P480:$U480)&gt;0)</f>
        <v/>
      </c>
      <c r="BD480" s="123" t="str">
        <f aca="false">IF(ISBLANK($C480),"",AND($BC480,OR(AND($AL480="",OR($AK480,NOT(ISBLANK($S480)))),$AM480="",$AN480="")))</f>
        <v/>
      </c>
      <c r="BE480" s="125" t="str">
        <f aca="false">IF($BL480&lt;&gt;Constants!$B$4,"",IF(NOT($BC480),"",ROUND((Constants!$B$12-$AB480)+(Constants!$B$13-$Z480)+(Constants!$B$14-$AA480),1)))</f>
        <v/>
      </c>
      <c r="BF480" s="127" t="str">
        <f aca="false">IF($BL480&lt;&gt;Constants!$B$4,"",IF(NOT($BC480),"",IF(NOT($AK480),0,Constants!$B$15*(INT(ROUND(MIN($AL480,$AP$9),6))-INT(ROUND(MAX(0,MIN($AL480,2*$AP$9)-$AP$9),6))))))</f>
        <v/>
      </c>
      <c r="BG480" s="127" t="str">
        <f aca="false">IF($BL480&lt;&gt;Constants!$B$4,"",IF(NOT($BC480),"",Constants!$B$16*$AM480))</f>
        <v/>
      </c>
      <c r="BH480" s="127" t="str">
        <f aca="false">IF($BL480&lt;&gt;Constants!$B$4,"",IF(NOT($BC480),"",Constants!$B$18*INT(ROUND($AN480,6))))</f>
        <v/>
      </c>
      <c r="BI480" s="123" t="str">
        <f aca="false">IF($BL480&lt;&gt;Constants!$B$4,"",IF(NOT($BC480),"",IF(NOT($X480),Constants!$B$11,IF(OR(NOT($AI480),NOT($AJ480),ROUND($AB480,1)&gt;Constants!$B$12,ROUND($Z480,1)&gt;Constants!$B$13,ROUND($AA480,1)&gt;Constants!$B$14),Constants!$B$10,Constants!$B$9))))</f>
        <v/>
      </c>
      <c r="BJ480" s="128" t="str">
        <f aca="false">IF($BL480&lt;&gt;Constants!$B$4,"",IF(NOT($BC480),"",ROUND($BE480+$BF480+$BG480+$BH480,1)))</f>
        <v/>
      </c>
      <c r="BK480" s="129" t="str">
        <f aca="false">IF($BL480&lt;&gt;Constants!$B$4,"",IF(NOT($BC480),"",IF(ISNUMBER($AL480),$AL480,0)))</f>
        <v/>
      </c>
      <c r="BL480" s="124" t="str">
        <f aca="false">IF(ISBLANK($C480),"",IF($AO480,Constants!$B$7,IF(COUNTA($E480:$V480)=0,Constants!$B$6,IF(NOT($Y480),Constants!$B$5,IF(NOT(OR($AS480,$BC480)),Constants!$B$5,IF(OR($AT480,$BD480,$AQ480,$AR480&lt;&gt;""),Constants!$B$8,Constants!$B$4))))))</f>
        <v/>
      </c>
      <c r="BM480" s="124" t="str">
        <f aca="false">IF(ISBLANK($C480),"",IF($BL480&lt;&gt;Constants!$B$4,$BL480,IF($BB480="-&gt;",$BI480,$AY480)))</f>
        <v/>
      </c>
      <c r="BN480" s="127" t="str">
        <f aca="false">IF($BL480&lt;&gt;Constants!$B$4,"",IF($BB480="-&gt;",$BJ480,$AZ480))</f>
        <v/>
      </c>
      <c r="BO480" s="127" t="str">
        <f aca="false">IF(ISBLANK($C480),"",IF($BL480&lt;&gt;Constants!$B$4,$BL480,$BN480))</f>
        <v/>
      </c>
      <c r="BP480" s="124" t="str">
        <f aca="false">IF(ISBLANK($C480),"",IF($BL480&lt;&gt;Constants!$B$4,$BL480,RANK($BO480,$BO$9:$BO$508,0)))</f>
        <v/>
      </c>
      <c r="BQ480" s="124" t="str">
        <f aca="false">IF(ISBLANK($C480),"",IF($BL480&lt;&gt;Constants!$B$4,$BL480,COUNTIFS($BM$9:$BM$508,"&lt;"&amp;$BM480)+COUNTIFS($BM$9:$BM$508,$BM480,$BP$9:$BP$508,"&lt;"&amp;$BP480)+1))</f>
        <v/>
      </c>
      <c r="BR480" s="127" t="str">
        <f aca="false">IF($BL480&lt;&gt;Constants!$B$4,"",IF($BB480="-&gt;",$BH480,$AX480))</f>
        <v/>
      </c>
      <c r="BS480" s="124" t="str">
        <f aca="false">IF(ISBLANK($C480),"",IF($BL480&lt;&gt;Constants!$B$4,$BL480,IF(ISNUMBER($BR480),RANK($BR480,$BR$9:$BR$508,0),COUNT($BR$9:$BR$508)+1)))</f>
        <v/>
      </c>
      <c r="BT480" s="127" t="str">
        <f aca="false">IF($BL480&lt;&gt;Constants!$B$4,"",IF($BB480="-&gt;",$BE480,$AU480))</f>
        <v/>
      </c>
      <c r="BU480" s="124" t="str">
        <f aca="false">IF(ISBLANK($C480),"",IF($BL480&lt;&gt;Constants!$B$4,$BL480,IF(ISNUMBER($BT480),RANK($BT480,$BT$9:$BT$508,0),COUNT($BT$9:$BT$508)+1)))</f>
        <v/>
      </c>
      <c r="BV480" s="127" t="str">
        <f aca="false">IF($BL480&lt;&gt;Constants!$B$4,"",IF($BB480="-&gt;",$BF480,$AV480))</f>
        <v/>
      </c>
      <c r="BW480" s="124" t="str">
        <f aca="false">IF(ISBLANK($C480),"",IF($BL480&lt;&gt;Constants!$B$4,$BL480,IF(ISNUMBER($BV480),RANK($BV480,$BV$9:$BV$508,0),COUNT($BV$9:$BV$508)+1)))</f>
        <v/>
      </c>
      <c r="BX480" s="127" t="str">
        <f aca="false">IF($BL480&lt;&gt;Constants!$B$4,"",IF($BB480="-&gt;",$BK480,$BA480))</f>
        <v/>
      </c>
      <c r="BY480" s="124" t="str">
        <f aca="false">IF(ISBLANK($C480),"",IF($BL480&lt;&gt;Constants!$B$4,$BL480,IF(ISNUMBER($BX480),RANK($BX480,$BX$9:$BX$508,0),COUNT($BX$9:$BX$508)+1)))</f>
        <v/>
      </c>
      <c r="BZ480" s="124" t="str">
        <f aca="false">IF(ISBLANK($C480),"",IF($BL480&lt;&gt;Constants!$B$4,$BL480,COUNTIFS($BM$9:$BM$508,"&lt;"&amp;$BM480)+COUNTIFS($BM$9:$BM$508,$BM480,$BP$9:$BP$508,"&lt;"&amp;$BP480)+COUNTIFS($BM$9:$BM$508,$BM480,$BP$9:$BP$508,$BP480,$BS$9:$BS$508,"&lt;"&amp;$BS480)+COUNTIFS($BM$9:$BM$508,$BM480,$BP$9:$BP$508,$BP480,$BS$9:$BS$508,$BS480,$BU$9:$BU$508,"&lt;"&amp;$BU480)+COUNTIFS($BM$9:$BM$508,$BM480,$BP$9:$BP$508,$BP480,$BS$9:$BS$508,$BS480,$BU$9:$BU$508,$BU480,$BW$9:$BW$508,"&lt;"&amp;$BW480)+COUNTIFS($BM$9:$BM$508,$BM480,$BP$9:$BP$508,$BP480,$BS$9:$BS$508,$BS480,$BU$9:$BU$508,$BU480,$BW$9:$BW$508,$BW480,$BY$9:$BY$508,"&lt;"&amp;$BY480)+1))</f>
        <v/>
      </c>
      <c r="CA480" s="124" t="str">
        <f aca="false">IF(ISBLANK($C480),"",IF($BL480&lt;&gt;Constants!$B$4,$BL480,$BQ480-$BZ480))</f>
        <v/>
      </c>
      <c r="CB480" s="130"/>
      <c r="CC480" s="131" t="str">
        <f aca="false">IF(ISBLANK($C480),"",IF($BL480=Constants!$B$8,$AR480,""))</f>
        <v/>
      </c>
      <c r="CD480" s="131" t="str">
        <f aca="false">IF(ISBLANK($C480),"",IF($BL480&lt;&gt;Constants!$B$4,"",IF($BB480="-&gt;",2,1)))</f>
        <v/>
      </c>
      <c r="CE480" s="132" t="str">
        <f aca="false">IF(ISBLANK($C480),"",IF($BL480&lt;&gt;Constants!$B$4,"",IF($BB480="-&gt;",$BE480,$AU480)))</f>
        <v/>
      </c>
      <c r="CF480" s="132" t="str">
        <f aca="false">IF(ISBLANK($C480),"",IF($BL480&lt;&gt;Constants!$B$4,"",IF($BB480="-&gt;",$BF480,$AV480)))</f>
        <v/>
      </c>
      <c r="CG480" s="132" t="str">
        <f aca="false">IF(ISBLANK($C480),"",IF($BL480&lt;&gt;Constants!$B$4,"",IF($BB480="-&gt;",$BG480,$AW480)))</f>
        <v/>
      </c>
      <c r="CH480" s="132" t="str">
        <f aca="false">IF(ISBLANK($C480),"",IF($BL480&lt;&gt;Constants!$B$4,"",IF($BB480="-&gt;",$BH480,$AX480)))</f>
        <v/>
      </c>
      <c r="CI480" s="133" t="str">
        <f aca="false">IF(ISBLANK($C480),"",$BO480)</f>
        <v/>
      </c>
      <c r="CJ480" s="134" t="str">
        <f aca="false">IF(ISBLANK($C480),"",$BM480)</f>
        <v/>
      </c>
      <c r="CK480" s="135" t="str">
        <f aca="false">IF(ISBLANK($C480),"",$CA480)</f>
        <v/>
      </c>
      <c r="CL480" s="135" t="str">
        <f aca="false">IF(ISBLANK($C480),"",$BZ480)</f>
        <v/>
      </c>
      <c r="CM480" s="136" t="str">
        <f aca="false">IF(ISBLANK($C480),"",IF($CL480=Constants!$B$7,COUNTA($C$9:$C$508)+2,IF($CL480=Constants!$B$6,COUNTA($C$9:$C$508)+1,IF($CL480=Constants!$B$5,COUNTA($C$9:$C$508),$CL480))))</f>
        <v/>
      </c>
      <c r="CN480" s="8"/>
      <c r="CO480" s="137" t="n">
        <f aca="false">IF(OR(ISNUMBER($CL480),$CL480=Constants!$B$7,$CL480=Constants!$B$5,$CL480=Constants!$B$6),1,0)</f>
        <v>0</v>
      </c>
      <c r="CP480" s="137" t="n">
        <v>472</v>
      </c>
      <c r="CQ480" s="137" t="str">
        <f aca="false">IF(ISBLANK($C480),"",IF(ISNUMBER($CM480),$CM480+ROW($B480)/1000,""))</f>
        <v/>
      </c>
      <c r="CR480" s="137" t="str">
        <f aca="false">IF(ISNUMBER($CQ480),RANK($CQ480,$CQ$9:$CQ$508,1),"")</f>
        <v/>
      </c>
      <c r="CS480" s="137" t="str">
        <f aca="false">IF(ISBLANK($C480),"",$B480)</f>
        <v/>
      </c>
      <c r="CT480" s="137" t="str">
        <f aca="false">IF(ISBLANK($C480),"",$C480)</f>
        <v/>
      </c>
      <c r="CU480" s="137" t="str">
        <f aca="false">IF(ISBLANK($C480),"",$D480)</f>
        <v/>
      </c>
      <c r="CV480" s="138" t="str">
        <f aca="false">$CJ480</f>
        <v/>
      </c>
      <c r="CW480" s="139" t="str">
        <f aca="false">$CI480</f>
        <v/>
      </c>
      <c r="CX480" s="137" t="str">
        <f aca="false">IF(ISBLANK($C480),"",$CL480)</f>
        <v/>
      </c>
      <c r="CY480" s="140" t="str">
        <f aca="false">IF($CP480&gt;$CO$8,"",VLOOKUP($CP480,$CR$9:$CX$508,7,FALSE()))</f>
        <v/>
      </c>
      <c r="CZ480" s="141" t="str">
        <f aca="false">IF($CP480&gt;$CO$8,"",VLOOKUP($CP480,$CR$9:$CX$508,2,FALSE()))</f>
        <v/>
      </c>
      <c r="DA480" s="141" t="str">
        <f aca="false">IF($CP480&gt;$CO$8,"",VLOOKUP($CP480,$CR$9:$CX$508,3,FALSE()))</f>
        <v/>
      </c>
      <c r="DB480" s="141" t="str">
        <f aca="false">IF($CP480&gt;$CO$8,"",VLOOKUP($CP480,$CR$9:$CX$508,4,FALSE()))</f>
        <v/>
      </c>
      <c r="DC480" s="141" t="str">
        <f aca="false">IF($CP480&gt;$CO$8,"",VLOOKUP($CP480,$CR$9:$CX$508,5,FALSE()))</f>
        <v/>
      </c>
      <c r="DD480" s="142" t="str">
        <f aca="false">IF($CP480&gt;$CO$8,"",VLOOKUP($CP480,$CR$9:$CX$508,6,FALSE()))</f>
        <v/>
      </c>
      <c r="DE480" s="70"/>
    </row>
    <row r="481" customFormat="false" ht="15.75" hidden="false" customHeight="false" outlineLevel="0" collapsed="false">
      <c r="A481" s="8"/>
      <c r="B481" s="146"/>
      <c r="C481" s="147"/>
      <c r="D481" s="148"/>
      <c r="E481" s="164"/>
      <c r="F481" s="150"/>
      <c r="G481" s="115"/>
      <c r="H481" s="115"/>
      <c r="I481" s="115"/>
      <c r="J481" s="165"/>
      <c r="K481" s="154"/>
      <c r="L481" s="154"/>
      <c r="M481" s="118"/>
      <c r="N481" s="154"/>
      <c r="O481" s="153"/>
      <c r="P481" s="154"/>
      <c r="Q481" s="154"/>
      <c r="R481" s="154"/>
      <c r="S481" s="115"/>
      <c r="T481" s="154"/>
      <c r="U481" s="153"/>
      <c r="V481" s="154"/>
      <c r="W481" s="123"/>
      <c r="X481" s="124" t="str">
        <f aca="false">IF(ISBLANK($C481),"",IF($E481=Constants!$B$2,TRUE(),IF($E481=Constants!$B$3,FALSE(),TRUE())))</f>
        <v/>
      </c>
      <c r="Y481" s="124" t="str">
        <f aca="false">IF(ISBLANK($C481),"",IF($F481=Constants!$B$2,TRUE(),IF($F481=Constants!$B$3,FALSE(),TRUE())))</f>
        <v/>
      </c>
      <c r="Z481" s="125" t="str">
        <f aca="false">IF(ISBLANK($C481),"",IF(ISNUMBER($G481),IF($G481&gt;=0,$G481,""),""))</f>
        <v/>
      </c>
      <c r="AA481" s="125" t="str">
        <f aca="false">IF(ISBLANK($C481),"",IF(ISNUMBER($H481),IF($H481&gt;=0,$H481,""),""))</f>
        <v/>
      </c>
      <c r="AB481" s="125" t="str">
        <f aca="false">IF(ISBLANK($C481),"",IF(ISNUMBER($I481),IF($I481&gt;=0,$I481,""),""))</f>
        <v/>
      </c>
      <c r="AC481" s="124" t="str">
        <f aca="false">IF(ISBLANK($C481),"",IF($J481=Constants!$B$2,TRUE(),IF($J481=Constants!$B$3,FALSE(),TRUE())))</f>
        <v/>
      </c>
      <c r="AD481" s="124" t="str">
        <f aca="false">IF(ISBLANK($C481),"",IF($K481=Constants!$B$2,TRUE(),IF($K481=Constants!$B$3,FALSE(),TRUE())))</f>
        <v/>
      </c>
      <c r="AE481" s="124" t="str">
        <f aca="false">IF(ISBLANK($C481),"",IF($L481=Constants!$B$2,TRUE(),IF($L481=Constants!$B$3,FALSE(),TRUE())))</f>
        <v/>
      </c>
      <c r="AF481" s="126" t="str">
        <f aca="false">IF(ISBLANK($C481),"",IF(ISNUMBER($M481),IF($M481&gt;=0,$M481,""),""))</f>
        <v/>
      </c>
      <c r="AG481" s="124" t="str">
        <f aca="false">IF(ISBLANK($C481),"",IF(ISBLANK($N481),0,IF(ISNUMBER($N481),IF(AND($N481&gt;=0,$N481&lt;=Constants!$B$17,$N481=INT($N481)),$N481,""),"")))</f>
        <v/>
      </c>
      <c r="AH481" s="125" t="str">
        <f aca="false">IF(ISBLANK($C481),"",IF(ISBLANK($O481),0,IF(ISNUMBER($O481),IF($O481&gt;=0,$O481,""),"")))</f>
        <v/>
      </c>
      <c r="AI481" s="124" t="str">
        <f aca="false">IF(ISBLANK($C481),"",IF($P481=Constants!$B$2,TRUE(),IF($P481=Constants!$B$3,FALSE(),TRUE())))</f>
        <v/>
      </c>
      <c r="AJ481" s="124" t="str">
        <f aca="false">IF(ISBLANK($C481),"",IF($Q481=Constants!$B$2,TRUE(),IF($Q481=Constants!$B$3,FALSE(),TRUE())))</f>
        <v/>
      </c>
      <c r="AK481" s="124" t="str">
        <f aca="false">IF(ISBLANK($C481),"",IF($R481=Constants!$B$2,TRUE(),IF($R481=Constants!$B$3,FALSE(),TRUE())))</f>
        <v/>
      </c>
      <c r="AL481" s="126" t="str">
        <f aca="false">IF(ISBLANK($C481),"",IF(ISNUMBER($S481),IF($S481&gt;=0,$S481,""),""))</f>
        <v/>
      </c>
      <c r="AM481" s="124" t="str">
        <f aca="false">IF(ISBLANK($C481),"",IF(ISBLANK($T481),0,IF(ISNUMBER($T481),IF(AND($T481&gt;=0,$T481&lt;=Constants!$B$17,$T481=INT($T481)),$T481,""),"")))</f>
        <v/>
      </c>
      <c r="AN481" s="125" t="str">
        <f aca="false">IF(ISBLANK($C481),"",IF(ISBLANK($U481),0,IF(ISNUMBER($U481),IF($U481&gt;=0,$U481,""),"")))</f>
        <v/>
      </c>
      <c r="AO481" s="124" t="str">
        <f aca="false">IF(ISBLANK($C481),"",IF($V481=Constants!$B$2,TRUE(),IF($V481=Constants!$B$3,FALSE(),FALSE())))</f>
        <v/>
      </c>
      <c r="AP481" s="124"/>
      <c r="AQ481" s="123" t="str">
        <f aca="false">IF(ISBLANK($C481),"",AND($Y481,OR($AS481,$BC481),OR($Z481="",$AA481="",$AB481="")))</f>
        <v/>
      </c>
      <c r="AR481" s="123" t="str">
        <f aca="false">IF(ISBLANK($C481),"",IF(OR(NOT($Y481),NOT(OR($AS481,$BC481))),"",IF(ISBLANK($D$7),$AR$5,IF($AP$9="",$AR$6,""))))</f>
        <v/>
      </c>
      <c r="AS481" s="123" t="str">
        <f aca="false">IF(ISBLANK($C481),"",COUNTA($J481:$O481)&gt;0)</f>
        <v/>
      </c>
      <c r="AT481" s="123" t="str">
        <f aca="false">IF(ISBLANK($C481),"",AND($AS481,OR(AND($AF481="",OR($AE481,NOT(ISBLANK($M481)))),$AG481="",$AH481="")))</f>
        <v/>
      </c>
      <c r="AU481" s="125" t="str">
        <f aca="false">IF($BL481&lt;&gt;Constants!$B$4,"",IF(NOT($AS481),"",ROUND((Constants!$B$12-$AB481)+(Constants!$B$13-$Z481)+(Constants!$B$14-$AA481),1)))</f>
        <v/>
      </c>
      <c r="AV481" s="127" t="str">
        <f aca="false">IF($BL481&lt;&gt;Constants!$B$4,"",IF(NOT($AS481),"",IF(NOT($AE481),0,Constants!$B$15*(INT(ROUND(MIN($AF481,$AP$9),6))-INT(ROUND(MAX(0,MIN($AF481,2*$AP$9)-$AP$9),6))))))</f>
        <v/>
      </c>
      <c r="AW481" s="127" t="str">
        <f aca="false">IF($BL481&lt;&gt;Constants!$B$4,"",IF(NOT($AS481),"",Constants!$B$16*$AG481))</f>
        <v/>
      </c>
      <c r="AX481" s="127" t="str">
        <f aca="false">IF($BL481&lt;&gt;Constants!$B$4,"",IF(NOT($AS481),"",Constants!$B$18*INT(ROUND($AH481,6))))</f>
        <v/>
      </c>
      <c r="AY481" s="123" t="str">
        <f aca="false">IF($BL481&lt;&gt;Constants!$B$4,"",IF(NOT($AS481),"",IF(NOT($X481),Constants!$B$11,IF(OR(NOT($AC481),NOT($AD481),ROUND($AB481,1)&gt;Constants!$B$12,ROUND($Z481,1)&gt;Constants!$B$13,ROUND($AA481,1)&gt;Constants!$B$14),Constants!$B$10,Constants!$B$9))))</f>
        <v/>
      </c>
      <c r="AZ481" s="128" t="str">
        <f aca="false">IF($BL481&lt;&gt;Constants!$B$4,"",IF(NOT($AS481),"",ROUND($AU481+$AV481+$AW481+$AX481,1)))</f>
        <v/>
      </c>
      <c r="BA481" s="129" t="str">
        <f aca="false">IF($BL481&lt;&gt;Constants!$B$4,"",IF(NOT($AS481),"",IF(ISNUMBER($AF481),$AF481,0)))</f>
        <v/>
      </c>
      <c r="BB481" s="124" t="str">
        <f aca="false">IF($BL481&lt;&gt;Constants!$B$4,"",IF(NOT($BC481),"&lt;-",IF(NOT($AS481),"-&gt;",IF(OR($BI481&lt;$AY481,AND($BI481=$AY481,OR($BJ481&gt;$AZ481,AND($BJ481=$AZ481,OR($BH481&gt;$AX481,AND($BH481=$AX481,OR($BE481&gt;$AU481,AND($BE481=$AU481,OR($BF481&gt;$AV481,AND($BF481=$AV481,$BK481&gt;$BA481)))))))))),"-&gt;","&lt;-"))))</f>
        <v/>
      </c>
      <c r="BC481" s="123" t="str">
        <f aca="false">IF(ISBLANK($C481),"",COUNTA($P481:$U481)&gt;0)</f>
        <v/>
      </c>
      <c r="BD481" s="123" t="str">
        <f aca="false">IF(ISBLANK($C481),"",AND($BC481,OR(AND($AL481="",OR($AK481,NOT(ISBLANK($S481)))),$AM481="",$AN481="")))</f>
        <v/>
      </c>
      <c r="BE481" s="125" t="str">
        <f aca="false">IF($BL481&lt;&gt;Constants!$B$4,"",IF(NOT($BC481),"",ROUND((Constants!$B$12-$AB481)+(Constants!$B$13-$Z481)+(Constants!$B$14-$AA481),1)))</f>
        <v/>
      </c>
      <c r="BF481" s="127" t="str">
        <f aca="false">IF($BL481&lt;&gt;Constants!$B$4,"",IF(NOT($BC481),"",IF(NOT($AK481),0,Constants!$B$15*(INT(ROUND(MIN($AL481,$AP$9),6))-INT(ROUND(MAX(0,MIN($AL481,2*$AP$9)-$AP$9),6))))))</f>
        <v/>
      </c>
      <c r="BG481" s="127" t="str">
        <f aca="false">IF($BL481&lt;&gt;Constants!$B$4,"",IF(NOT($BC481),"",Constants!$B$16*$AM481))</f>
        <v/>
      </c>
      <c r="BH481" s="127" t="str">
        <f aca="false">IF($BL481&lt;&gt;Constants!$B$4,"",IF(NOT($BC481),"",Constants!$B$18*INT(ROUND($AN481,6))))</f>
        <v/>
      </c>
      <c r="BI481" s="123" t="str">
        <f aca="false">IF($BL481&lt;&gt;Constants!$B$4,"",IF(NOT($BC481),"",IF(NOT($X481),Constants!$B$11,IF(OR(NOT($AI481),NOT($AJ481),ROUND($AB481,1)&gt;Constants!$B$12,ROUND($Z481,1)&gt;Constants!$B$13,ROUND($AA481,1)&gt;Constants!$B$14),Constants!$B$10,Constants!$B$9))))</f>
        <v/>
      </c>
      <c r="BJ481" s="128" t="str">
        <f aca="false">IF($BL481&lt;&gt;Constants!$B$4,"",IF(NOT($BC481),"",ROUND($BE481+$BF481+$BG481+$BH481,1)))</f>
        <v/>
      </c>
      <c r="BK481" s="129" t="str">
        <f aca="false">IF($BL481&lt;&gt;Constants!$B$4,"",IF(NOT($BC481),"",IF(ISNUMBER($AL481),$AL481,0)))</f>
        <v/>
      </c>
      <c r="BL481" s="124" t="str">
        <f aca="false">IF(ISBLANK($C481),"",IF($AO481,Constants!$B$7,IF(COUNTA($E481:$V481)=0,Constants!$B$6,IF(NOT($Y481),Constants!$B$5,IF(NOT(OR($AS481,$BC481)),Constants!$B$5,IF(OR($AT481,$BD481,$AQ481,$AR481&lt;&gt;""),Constants!$B$8,Constants!$B$4))))))</f>
        <v/>
      </c>
      <c r="BM481" s="124" t="str">
        <f aca="false">IF(ISBLANK($C481),"",IF($BL481&lt;&gt;Constants!$B$4,$BL481,IF($BB481="-&gt;",$BI481,$AY481)))</f>
        <v/>
      </c>
      <c r="BN481" s="127" t="str">
        <f aca="false">IF($BL481&lt;&gt;Constants!$B$4,"",IF($BB481="-&gt;",$BJ481,$AZ481))</f>
        <v/>
      </c>
      <c r="BO481" s="127" t="str">
        <f aca="false">IF(ISBLANK($C481),"",IF($BL481&lt;&gt;Constants!$B$4,$BL481,$BN481))</f>
        <v/>
      </c>
      <c r="BP481" s="124" t="str">
        <f aca="false">IF(ISBLANK($C481),"",IF($BL481&lt;&gt;Constants!$B$4,$BL481,RANK($BO481,$BO$9:$BO$508,0)))</f>
        <v/>
      </c>
      <c r="BQ481" s="124" t="str">
        <f aca="false">IF(ISBLANK($C481),"",IF($BL481&lt;&gt;Constants!$B$4,$BL481,COUNTIFS($BM$9:$BM$508,"&lt;"&amp;$BM481)+COUNTIFS($BM$9:$BM$508,$BM481,$BP$9:$BP$508,"&lt;"&amp;$BP481)+1))</f>
        <v/>
      </c>
      <c r="BR481" s="127" t="str">
        <f aca="false">IF($BL481&lt;&gt;Constants!$B$4,"",IF($BB481="-&gt;",$BH481,$AX481))</f>
        <v/>
      </c>
      <c r="BS481" s="124" t="str">
        <f aca="false">IF(ISBLANK($C481),"",IF($BL481&lt;&gt;Constants!$B$4,$BL481,IF(ISNUMBER($BR481),RANK($BR481,$BR$9:$BR$508,0),COUNT($BR$9:$BR$508)+1)))</f>
        <v/>
      </c>
      <c r="BT481" s="127" t="str">
        <f aca="false">IF($BL481&lt;&gt;Constants!$B$4,"",IF($BB481="-&gt;",$BE481,$AU481))</f>
        <v/>
      </c>
      <c r="BU481" s="124" t="str">
        <f aca="false">IF(ISBLANK($C481),"",IF($BL481&lt;&gt;Constants!$B$4,$BL481,IF(ISNUMBER($BT481),RANK($BT481,$BT$9:$BT$508,0),COUNT($BT$9:$BT$508)+1)))</f>
        <v/>
      </c>
      <c r="BV481" s="127" t="str">
        <f aca="false">IF($BL481&lt;&gt;Constants!$B$4,"",IF($BB481="-&gt;",$BF481,$AV481))</f>
        <v/>
      </c>
      <c r="BW481" s="124" t="str">
        <f aca="false">IF(ISBLANK($C481),"",IF($BL481&lt;&gt;Constants!$B$4,$BL481,IF(ISNUMBER($BV481),RANK($BV481,$BV$9:$BV$508,0),COUNT($BV$9:$BV$508)+1)))</f>
        <v/>
      </c>
      <c r="BX481" s="127" t="str">
        <f aca="false">IF($BL481&lt;&gt;Constants!$B$4,"",IF($BB481="-&gt;",$BK481,$BA481))</f>
        <v/>
      </c>
      <c r="BY481" s="124" t="str">
        <f aca="false">IF(ISBLANK($C481),"",IF($BL481&lt;&gt;Constants!$B$4,$BL481,IF(ISNUMBER($BX481),RANK($BX481,$BX$9:$BX$508,0),COUNT($BX$9:$BX$508)+1)))</f>
        <v/>
      </c>
      <c r="BZ481" s="124" t="str">
        <f aca="false">IF(ISBLANK($C481),"",IF($BL481&lt;&gt;Constants!$B$4,$BL481,COUNTIFS($BM$9:$BM$508,"&lt;"&amp;$BM481)+COUNTIFS($BM$9:$BM$508,$BM481,$BP$9:$BP$508,"&lt;"&amp;$BP481)+COUNTIFS($BM$9:$BM$508,$BM481,$BP$9:$BP$508,$BP481,$BS$9:$BS$508,"&lt;"&amp;$BS481)+COUNTIFS($BM$9:$BM$508,$BM481,$BP$9:$BP$508,$BP481,$BS$9:$BS$508,$BS481,$BU$9:$BU$508,"&lt;"&amp;$BU481)+COUNTIFS($BM$9:$BM$508,$BM481,$BP$9:$BP$508,$BP481,$BS$9:$BS$508,$BS481,$BU$9:$BU$508,$BU481,$BW$9:$BW$508,"&lt;"&amp;$BW481)+COUNTIFS($BM$9:$BM$508,$BM481,$BP$9:$BP$508,$BP481,$BS$9:$BS$508,$BS481,$BU$9:$BU$508,$BU481,$BW$9:$BW$508,$BW481,$BY$9:$BY$508,"&lt;"&amp;$BY481)+1))</f>
        <v/>
      </c>
      <c r="CA481" s="124" t="str">
        <f aca="false">IF(ISBLANK($C481),"",IF($BL481&lt;&gt;Constants!$B$4,$BL481,$BQ481-$BZ481))</f>
        <v/>
      </c>
      <c r="CB481" s="130"/>
      <c r="CC481" s="131" t="str">
        <f aca="false">IF(ISBLANK($C481),"",IF($BL481=Constants!$B$8,$AR481,""))</f>
        <v/>
      </c>
      <c r="CD481" s="131" t="str">
        <f aca="false">IF(ISBLANK($C481),"",IF($BL481&lt;&gt;Constants!$B$4,"",IF($BB481="-&gt;",2,1)))</f>
        <v/>
      </c>
      <c r="CE481" s="132" t="str">
        <f aca="false">IF(ISBLANK($C481),"",IF($BL481&lt;&gt;Constants!$B$4,"",IF($BB481="-&gt;",$BE481,$AU481)))</f>
        <v/>
      </c>
      <c r="CF481" s="132" t="str">
        <f aca="false">IF(ISBLANK($C481),"",IF($BL481&lt;&gt;Constants!$B$4,"",IF($BB481="-&gt;",$BF481,$AV481)))</f>
        <v/>
      </c>
      <c r="CG481" s="132" t="str">
        <f aca="false">IF(ISBLANK($C481),"",IF($BL481&lt;&gt;Constants!$B$4,"",IF($BB481="-&gt;",$BG481,$AW481)))</f>
        <v/>
      </c>
      <c r="CH481" s="132" t="str">
        <f aca="false">IF(ISBLANK($C481),"",IF($BL481&lt;&gt;Constants!$B$4,"",IF($BB481="-&gt;",$BH481,$AX481)))</f>
        <v/>
      </c>
      <c r="CI481" s="133" t="str">
        <f aca="false">IF(ISBLANK($C481),"",$BO481)</f>
        <v/>
      </c>
      <c r="CJ481" s="134" t="str">
        <f aca="false">IF(ISBLANK($C481),"",$BM481)</f>
        <v/>
      </c>
      <c r="CK481" s="135" t="str">
        <f aca="false">IF(ISBLANK($C481),"",$CA481)</f>
        <v/>
      </c>
      <c r="CL481" s="135" t="str">
        <f aca="false">IF(ISBLANK($C481),"",$BZ481)</f>
        <v/>
      </c>
      <c r="CM481" s="136" t="str">
        <f aca="false">IF(ISBLANK($C481),"",IF($CL481=Constants!$B$7,COUNTA($C$9:$C$508)+2,IF($CL481=Constants!$B$6,COUNTA($C$9:$C$508)+1,IF($CL481=Constants!$B$5,COUNTA($C$9:$C$508),$CL481))))</f>
        <v/>
      </c>
      <c r="CN481" s="8"/>
      <c r="CO481" s="137" t="n">
        <f aca="false">IF(OR(ISNUMBER($CL481),$CL481=Constants!$B$7,$CL481=Constants!$B$5,$CL481=Constants!$B$6),1,0)</f>
        <v>0</v>
      </c>
      <c r="CP481" s="137" t="n">
        <v>473</v>
      </c>
      <c r="CQ481" s="137" t="str">
        <f aca="false">IF(ISBLANK($C481),"",IF(ISNUMBER($CM481),$CM481+ROW($B481)/1000,""))</f>
        <v/>
      </c>
      <c r="CR481" s="137" t="str">
        <f aca="false">IF(ISNUMBER($CQ481),RANK($CQ481,$CQ$9:$CQ$508,1),"")</f>
        <v/>
      </c>
      <c r="CS481" s="137" t="str">
        <f aca="false">IF(ISBLANK($C481),"",$B481)</f>
        <v/>
      </c>
      <c r="CT481" s="137" t="str">
        <f aca="false">IF(ISBLANK($C481),"",$C481)</f>
        <v/>
      </c>
      <c r="CU481" s="137" t="str">
        <f aca="false">IF(ISBLANK($C481),"",$D481)</f>
        <v/>
      </c>
      <c r="CV481" s="138" t="str">
        <f aca="false">$CJ481</f>
        <v/>
      </c>
      <c r="CW481" s="139" t="str">
        <f aca="false">$CI481</f>
        <v/>
      </c>
      <c r="CX481" s="137" t="str">
        <f aca="false">IF(ISBLANK($C481),"",$CL481)</f>
        <v/>
      </c>
      <c r="CY481" s="140" t="str">
        <f aca="false">IF($CP481&gt;$CO$8,"",VLOOKUP($CP481,$CR$9:$CX$508,7,FALSE()))</f>
        <v/>
      </c>
      <c r="CZ481" s="141" t="str">
        <f aca="false">IF($CP481&gt;$CO$8,"",VLOOKUP($CP481,$CR$9:$CX$508,2,FALSE()))</f>
        <v/>
      </c>
      <c r="DA481" s="141" t="str">
        <f aca="false">IF($CP481&gt;$CO$8,"",VLOOKUP($CP481,$CR$9:$CX$508,3,FALSE()))</f>
        <v/>
      </c>
      <c r="DB481" s="141" t="str">
        <f aca="false">IF($CP481&gt;$CO$8,"",VLOOKUP($CP481,$CR$9:$CX$508,4,FALSE()))</f>
        <v/>
      </c>
      <c r="DC481" s="141" t="str">
        <f aca="false">IF($CP481&gt;$CO$8,"",VLOOKUP($CP481,$CR$9:$CX$508,5,FALSE()))</f>
        <v/>
      </c>
      <c r="DD481" s="142" t="str">
        <f aca="false">IF($CP481&gt;$CO$8,"",VLOOKUP($CP481,$CR$9:$CX$508,6,FALSE()))</f>
        <v/>
      </c>
      <c r="DE481" s="70"/>
    </row>
    <row r="482" customFormat="false" ht="15.75" hidden="false" customHeight="false" outlineLevel="0" collapsed="false">
      <c r="A482" s="8"/>
      <c r="B482" s="146"/>
      <c r="C482" s="147"/>
      <c r="D482" s="148"/>
      <c r="E482" s="164"/>
      <c r="F482" s="150"/>
      <c r="G482" s="115"/>
      <c r="H482" s="115"/>
      <c r="I482" s="115"/>
      <c r="J482" s="165"/>
      <c r="K482" s="154"/>
      <c r="L482" s="154"/>
      <c r="M482" s="118"/>
      <c r="N482" s="154"/>
      <c r="O482" s="153"/>
      <c r="P482" s="154"/>
      <c r="Q482" s="154"/>
      <c r="R482" s="154"/>
      <c r="S482" s="115"/>
      <c r="T482" s="154"/>
      <c r="U482" s="153"/>
      <c r="V482" s="154"/>
      <c r="W482" s="123"/>
      <c r="X482" s="124" t="str">
        <f aca="false">IF(ISBLANK($C482),"",IF($E482=Constants!$B$2,TRUE(),IF($E482=Constants!$B$3,FALSE(),TRUE())))</f>
        <v/>
      </c>
      <c r="Y482" s="124" t="str">
        <f aca="false">IF(ISBLANK($C482),"",IF($F482=Constants!$B$2,TRUE(),IF($F482=Constants!$B$3,FALSE(),TRUE())))</f>
        <v/>
      </c>
      <c r="Z482" s="125" t="str">
        <f aca="false">IF(ISBLANK($C482),"",IF(ISNUMBER($G482),IF($G482&gt;=0,$G482,""),""))</f>
        <v/>
      </c>
      <c r="AA482" s="125" t="str">
        <f aca="false">IF(ISBLANK($C482),"",IF(ISNUMBER($H482),IF($H482&gt;=0,$H482,""),""))</f>
        <v/>
      </c>
      <c r="AB482" s="125" t="str">
        <f aca="false">IF(ISBLANK($C482),"",IF(ISNUMBER($I482),IF($I482&gt;=0,$I482,""),""))</f>
        <v/>
      </c>
      <c r="AC482" s="124" t="str">
        <f aca="false">IF(ISBLANK($C482),"",IF($J482=Constants!$B$2,TRUE(),IF($J482=Constants!$B$3,FALSE(),TRUE())))</f>
        <v/>
      </c>
      <c r="AD482" s="124" t="str">
        <f aca="false">IF(ISBLANK($C482),"",IF($K482=Constants!$B$2,TRUE(),IF($K482=Constants!$B$3,FALSE(),TRUE())))</f>
        <v/>
      </c>
      <c r="AE482" s="124" t="str">
        <f aca="false">IF(ISBLANK($C482),"",IF($L482=Constants!$B$2,TRUE(),IF($L482=Constants!$B$3,FALSE(),TRUE())))</f>
        <v/>
      </c>
      <c r="AF482" s="126" t="str">
        <f aca="false">IF(ISBLANK($C482),"",IF(ISNUMBER($M482),IF($M482&gt;=0,$M482,""),""))</f>
        <v/>
      </c>
      <c r="AG482" s="124" t="str">
        <f aca="false">IF(ISBLANK($C482),"",IF(ISBLANK($N482),0,IF(ISNUMBER($N482),IF(AND($N482&gt;=0,$N482&lt;=Constants!$B$17,$N482=INT($N482)),$N482,""),"")))</f>
        <v/>
      </c>
      <c r="AH482" s="125" t="str">
        <f aca="false">IF(ISBLANK($C482),"",IF(ISBLANK($O482),0,IF(ISNUMBER($O482),IF($O482&gt;=0,$O482,""),"")))</f>
        <v/>
      </c>
      <c r="AI482" s="124" t="str">
        <f aca="false">IF(ISBLANK($C482),"",IF($P482=Constants!$B$2,TRUE(),IF($P482=Constants!$B$3,FALSE(),TRUE())))</f>
        <v/>
      </c>
      <c r="AJ482" s="124" t="str">
        <f aca="false">IF(ISBLANK($C482),"",IF($Q482=Constants!$B$2,TRUE(),IF($Q482=Constants!$B$3,FALSE(),TRUE())))</f>
        <v/>
      </c>
      <c r="AK482" s="124" t="str">
        <f aca="false">IF(ISBLANK($C482),"",IF($R482=Constants!$B$2,TRUE(),IF($R482=Constants!$B$3,FALSE(),TRUE())))</f>
        <v/>
      </c>
      <c r="AL482" s="126" t="str">
        <f aca="false">IF(ISBLANK($C482),"",IF(ISNUMBER($S482),IF($S482&gt;=0,$S482,""),""))</f>
        <v/>
      </c>
      <c r="AM482" s="124" t="str">
        <f aca="false">IF(ISBLANK($C482),"",IF(ISBLANK($T482),0,IF(ISNUMBER($T482),IF(AND($T482&gt;=0,$T482&lt;=Constants!$B$17,$T482=INT($T482)),$T482,""),"")))</f>
        <v/>
      </c>
      <c r="AN482" s="125" t="str">
        <f aca="false">IF(ISBLANK($C482),"",IF(ISBLANK($U482),0,IF(ISNUMBER($U482),IF($U482&gt;=0,$U482,""),"")))</f>
        <v/>
      </c>
      <c r="AO482" s="124" t="str">
        <f aca="false">IF(ISBLANK($C482),"",IF($V482=Constants!$B$2,TRUE(),IF($V482=Constants!$B$3,FALSE(),FALSE())))</f>
        <v/>
      </c>
      <c r="AP482" s="124"/>
      <c r="AQ482" s="123" t="str">
        <f aca="false">IF(ISBLANK($C482),"",AND($Y482,OR($AS482,$BC482),OR($Z482="",$AA482="",$AB482="")))</f>
        <v/>
      </c>
      <c r="AR482" s="123" t="str">
        <f aca="false">IF(ISBLANK($C482),"",IF(OR(NOT($Y482),NOT(OR($AS482,$BC482))),"",IF(ISBLANK($D$7),$AR$5,IF($AP$9="",$AR$6,""))))</f>
        <v/>
      </c>
      <c r="AS482" s="123" t="str">
        <f aca="false">IF(ISBLANK($C482),"",COUNTA($J482:$O482)&gt;0)</f>
        <v/>
      </c>
      <c r="AT482" s="123" t="str">
        <f aca="false">IF(ISBLANK($C482),"",AND($AS482,OR(AND($AF482="",OR($AE482,NOT(ISBLANK($M482)))),$AG482="",$AH482="")))</f>
        <v/>
      </c>
      <c r="AU482" s="125" t="str">
        <f aca="false">IF($BL482&lt;&gt;Constants!$B$4,"",IF(NOT($AS482),"",ROUND((Constants!$B$12-$AB482)+(Constants!$B$13-$Z482)+(Constants!$B$14-$AA482),1)))</f>
        <v/>
      </c>
      <c r="AV482" s="127" t="str">
        <f aca="false">IF($BL482&lt;&gt;Constants!$B$4,"",IF(NOT($AS482),"",IF(NOT($AE482),0,Constants!$B$15*(INT(ROUND(MIN($AF482,$AP$9),6))-INT(ROUND(MAX(0,MIN($AF482,2*$AP$9)-$AP$9),6))))))</f>
        <v/>
      </c>
      <c r="AW482" s="127" t="str">
        <f aca="false">IF($BL482&lt;&gt;Constants!$B$4,"",IF(NOT($AS482),"",Constants!$B$16*$AG482))</f>
        <v/>
      </c>
      <c r="AX482" s="127" t="str">
        <f aca="false">IF($BL482&lt;&gt;Constants!$B$4,"",IF(NOT($AS482),"",Constants!$B$18*INT(ROUND($AH482,6))))</f>
        <v/>
      </c>
      <c r="AY482" s="123" t="str">
        <f aca="false">IF($BL482&lt;&gt;Constants!$B$4,"",IF(NOT($AS482),"",IF(NOT($X482),Constants!$B$11,IF(OR(NOT($AC482),NOT($AD482),ROUND($AB482,1)&gt;Constants!$B$12,ROUND($Z482,1)&gt;Constants!$B$13,ROUND($AA482,1)&gt;Constants!$B$14),Constants!$B$10,Constants!$B$9))))</f>
        <v/>
      </c>
      <c r="AZ482" s="128" t="str">
        <f aca="false">IF($BL482&lt;&gt;Constants!$B$4,"",IF(NOT($AS482),"",ROUND($AU482+$AV482+$AW482+$AX482,1)))</f>
        <v/>
      </c>
      <c r="BA482" s="129" t="str">
        <f aca="false">IF($BL482&lt;&gt;Constants!$B$4,"",IF(NOT($AS482),"",IF(ISNUMBER($AF482),$AF482,0)))</f>
        <v/>
      </c>
      <c r="BB482" s="124" t="str">
        <f aca="false">IF($BL482&lt;&gt;Constants!$B$4,"",IF(NOT($BC482),"&lt;-",IF(NOT($AS482),"-&gt;",IF(OR($BI482&lt;$AY482,AND($BI482=$AY482,OR($BJ482&gt;$AZ482,AND($BJ482=$AZ482,OR($BH482&gt;$AX482,AND($BH482=$AX482,OR($BE482&gt;$AU482,AND($BE482=$AU482,OR($BF482&gt;$AV482,AND($BF482=$AV482,$BK482&gt;$BA482)))))))))),"-&gt;","&lt;-"))))</f>
        <v/>
      </c>
      <c r="BC482" s="123" t="str">
        <f aca="false">IF(ISBLANK($C482),"",COUNTA($P482:$U482)&gt;0)</f>
        <v/>
      </c>
      <c r="BD482" s="123" t="str">
        <f aca="false">IF(ISBLANK($C482),"",AND($BC482,OR(AND($AL482="",OR($AK482,NOT(ISBLANK($S482)))),$AM482="",$AN482="")))</f>
        <v/>
      </c>
      <c r="BE482" s="125" t="str">
        <f aca="false">IF($BL482&lt;&gt;Constants!$B$4,"",IF(NOT($BC482),"",ROUND((Constants!$B$12-$AB482)+(Constants!$B$13-$Z482)+(Constants!$B$14-$AA482),1)))</f>
        <v/>
      </c>
      <c r="BF482" s="127" t="str">
        <f aca="false">IF($BL482&lt;&gt;Constants!$B$4,"",IF(NOT($BC482),"",IF(NOT($AK482),0,Constants!$B$15*(INT(ROUND(MIN($AL482,$AP$9),6))-INT(ROUND(MAX(0,MIN($AL482,2*$AP$9)-$AP$9),6))))))</f>
        <v/>
      </c>
      <c r="BG482" s="127" t="str">
        <f aca="false">IF($BL482&lt;&gt;Constants!$B$4,"",IF(NOT($BC482),"",Constants!$B$16*$AM482))</f>
        <v/>
      </c>
      <c r="BH482" s="127" t="str">
        <f aca="false">IF($BL482&lt;&gt;Constants!$B$4,"",IF(NOT($BC482),"",Constants!$B$18*INT(ROUND($AN482,6))))</f>
        <v/>
      </c>
      <c r="BI482" s="123" t="str">
        <f aca="false">IF($BL482&lt;&gt;Constants!$B$4,"",IF(NOT($BC482),"",IF(NOT($X482),Constants!$B$11,IF(OR(NOT($AI482),NOT($AJ482),ROUND($AB482,1)&gt;Constants!$B$12,ROUND($Z482,1)&gt;Constants!$B$13,ROUND($AA482,1)&gt;Constants!$B$14),Constants!$B$10,Constants!$B$9))))</f>
        <v/>
      </c>
      <c r="BJ482" s="128" t="str">
        <f aca="false">IF($BL482&lt;&gt;Constants!$B$4,"",IF(NOT($BC482),"",ROUND($BE482+$BF482+$BG482+$BH482,1)))</f>
        <v/>
      </c>
      <c r="BK482" s="129" t="str">
        <f aca="false">IF($BL482&lt;&gt;Constants!$B$4,"",IF(NOT($BC482),"",IF(ISNUMBER($AL482),$AL482,0)))</f>
        <v/>
      </c>
      <c r="BL482" s="124" t="str">
        <f aca="false">IF(ISBLANK($C482),"",IF($AO482,Constants!$B$7,IF(COUNTA($E482:$V482)=0,Constants!$B$6,IF(NOT($Y482),Constants!$B$5,IF(NOT(OR($AS482,$BC482)),Constants!$B$5,IF(OR($AT482,$BD482,$AQ482,$AR482&lt;&gt;""),Constants!$B$8,Constants!$B$4))))))</f>
        <v/>
      </c>
      <c r="BM482" s="124" t="str">
        <f aca="false">IF(ISBLANK($C482),"",IF($BL482&lt;&gt;Constants!$B$4,$BL482,IF($BB482="-&gt;",$BI482,$AY482)))</f>
        <v/>
      </c>
      <c r="BN482" s="127" t="str">
        <f aca="false">IF($BL482&lt;&gt;Constants!$B$4,"",IF($BB482="-&gt;",$BJ482,$AZ482))</f>
        <v/>
      </c>
      <c r="BO482" s="127" t="str">
        <f aca="false">IF(ISBLANK($C482),"",IF($BL482&lt;&gt;Constants!$B$4,$BL482,$BN482))</f>
        <v/>
      </c>
      <c r="BP482" s="124" t="str">
        <f aca="false">IF(ISBLANK($C482),"",IF($BL482&lt;&gt;Constants!$B$4,$BL482,RANK($BO482,$BO$9:$BO$508,0)))</f>
        <v/>
      </c>
      <c r="BQ482" s="124" t="str">
        <f aca="false">IF(ISBLANK($C482),"",IF($BL482&lt;&gt;Constants!$B$4,$BL482,COUNTIFS($BM$9:$BM$508,"&lt;"&amp;$BM482)+COUNTIFS($BM$9:$BM$508,$BM482,$BP$9:$BP$508,"&lt;"&amp;$BP482)+1))</f>
        <v/>
      </c>
      <c r="BR482" s="127" t="str">
        <f aca="false">IF($BL482&lt;&gt;Constants!$B$4,"",IF($BB482="-&gt;",$BH482,$AX482))</f>
        <v/>
      </c>
      <c r="BS482" s="124" t="str">
        <f aca="false">IF(ISBLANK($C482),"",IF($BL482&lt;&gt;Constants!$B$4,$BL482,IF(ISNUMBER($BR482),RANK($BR482,$BR$9:$BR$508,0),COUNT($BR$9:$BR$508)+1)))</f>
        <v/>
      </c>
      <c r="BT482" s="127" t="str">
        <f aca="false">IF($BL482&lt;&gt;Constants!$B$4,"",IF($BB482="-&gt;",$BE482,$AU482))</f>
        <v/>
      </c>
      <c r="BU482" s="124" t="str">
        <f aca="false">IF(ISBLANK($C482),"",IF($BL482&lt;&gt;Constants!$B$4,$BL482,IF(ISNUMBER($BT482),RANK($BT482,$BT$9:$BT$508,0),COUNT($BT$9:$BT$508)+1)))</f>
        <v/>
      </c>
      <c r="BV482" s="127" t="str">
        <f aca="false">IF($BL482&lt;&gt;Constants!$B$4,"",IF($BB482="-&gt;",$BF482,$AV482))</f>
        <v/>
      </c>
      <c r="BW482" s="124" t="str">
        <f aca="false">IF(ISBLANK($C482),"",IF($BL482&lt;&gt;Constants!$B$4,$BL482,IF(ISNUMBER($BV482),RANK($BV482,$BV$9:$BV$508,0),COUNT($BV$9:$BV$508)+1)))</f>
        <v/>
      </c>
      <c r="BX482" s="127" t="str">
        <f aca="false">IF($BL482&lt;&gt;Constants!$B$4,"",IF($BB482="-&gt;",$BK482,$BA482))</f>
        <v/>
      </c>
      <c r="BY482" s="124" t="str">
        <f aca="false">IF(ISBLANK($C482),"",IF($BL482&lt;&gt;Constants!$B$4,$BL482,IF(ISNUMBER($BX482),RANK($BX482,$BX$9:$BX$508,0),COUNT($BX$9:$BX$508)+1)))</f>
        <v/>
      </c>
      <c r="BZ482" s="124" t="str">
        <f aca="false">IF(ISBLANK($C482),"",IF($BL482&lt;&gt;Constants!$B$4,$BL482,COUNTIFS($BM$9:$BM$508,"&lt;"&amp;$BM482)+COUNTIFS($BM$9:$BM$508,$BM482,$BP$9:$BP$508,"&lt;"&amp;$BP482)+COUNTIFS($BM$9:$BM$508,$BM482,$BP$9:$BP$508,$BP482,$BS$9:$BS$508,"&lt;"&amp;$BS482)+COUNTIFS($BM$9:$BM$508,$BM482,$BP$9:$BP$508,$BP482,$BS$9:$BS$508,$BS482,$BU$9:$BU$508,"&lt;"&amp;$BU482)+COUNTIFS($BM$9:$BM$508,$BM482,$BP$9:$BP$508,$BP482,$BS$9:$BS$508,$BS482,$BU$9:$BU$508,$BU482,$BW$9:$BW$508,"&lt;"&amp;$BW482)+COUNTIFS($BM$9:$BM$508,$BM482,$BP$9:$BP$508,$BP482,$BS$9:$BS$508,$BS482,$BU$9:$BU$508,$BU482,$BW$9:$BW$508,$BW482,$BY$9:$BY$508,"&lt;"&amp;$BY482)+1))</f>
        <v/>
      </c>
      <c r="CA482" s="124" t="str">
        <f aca="false">IF(ISBLANK($C482),"",IF($BL482&lt;&gt;Constants!$B$4,$BL482,$BQ482-$BZ482))</f>
        <v/>
      </c>
      <c r="CB482" s="130"/>
      <c r="CC482" s="131" t="str">
        <f aca="false">IF(ISBLANK($C482),"",IF($BL482=Constants!$B$8,$AR482,""))</f>
        <v/>
      </c>
      <c r="CD482" s="131" t="str">
        <f aca="false">IF(ISBLANK($C482),"",IF($BL482&lt;&gt;Constants!$B$4,"",IF($BB482="-&gt;",2,1)))</f>
        <v/>
      </c>
      <c r="CE482" s="132" t="str">
        <f aca="false">IF(ISBLANK($C482),"",IF($BL482&lt;&gt;Constants!$B$4,"",IF($BB482="-&gt;",$BE482,$AU482)))</f>
        <v/>
      </c>
      <c r="CF482" s="132" t="str">
        <f aca="false">IF(ISBLANK($C482),"",IF($BL482&lt;&gt;Constants!$B$4,"",IF($BB482="-&gt;",$BF482,$AV482)))</f>
        <v/>
      </c>
      <c r="CG482" s="132" t="str">
        <f aca="false">IF(ISBLANK($C482),"",IF($BL482&lt;&gt;Constants!$B$4,"",IF($BB482="-&gt;",$BG482,$AW482)))</f>
        <v/>
      </c>
      <c r="CH482" s="132" t="str">
        <f aca="false">IF(ISBLANK($C482),"",IF($BL482&lt;&gt;Constants!$B$4,"",IF($BB482="-&gt;",$BH482,$AX482)))</f>
        <v/>
      </c>
      <c r="CI482" s="133" t="str">
        <f aca="false">IF(ISBLANK($C482),"",$BO482)</f>
        <v/>
      </c>
      <c r="CJ482" s="134" t="str">
        <f aca="false">IF(ISBLANK($C482),"",$BM482)</f>
        <v/>
      </c>
      <c r="CK482" s="135" t="str">
        <f aca="false">IF(ISBLANK($C482),"",$CA482)</f>
        <v/>
      </c>
      <c r="CL482" s="135" t="str">
        <f aca="false">IF(ISBLANK($C482),"",$BZ482)</f>
        <v/>
      </c>
      <c r="CM482" s="136" t="str">
        <f aca="false">IF(ISBLANK($C482),"",IF($CL482=Constants!$B$7,COUNTA($C$9:$C$508)+2,IF($CL482=Constants!$B$6,COUNTA($C$9:$C$508)+1,IF($CL482=Constants!$B$5,COUNTA($C$9:$C$508),$CL482))))</f>
        <v/>
      </c>
      <c r="CN482" s="8"/>
      <c r="CO482" s="137" t="n">
        <f aca="false">IF(OR(ISNUMBER($CL482),$CL482=Constants!$B$7,$CL482=Constants!$B$5,$CL482=Constants!$B$6),1,0)</f>
        <v>0</v>
      </c>
      <c r="CP482" s="137" t="n">
        <v>474</v>
      </c>
      <c r="CQ482" s="137" t="str">
        <f aca="false">IF(ISBLANK($C482),"",IF(ISNUMBER($CM482),$CM482+ROW($B482)/1000,""))</f>
        <v/>
      </c>
      <c r="CR482" s="137" t="str">
        <f aca="false">IF(ISNUMBER($CQ482),RANK($CQ482,$CQ$9:$CQ$508,1),"")</f>
        <v/>
      </c>
      <c r="CS482" s="137" t="str">
        <f aca="false">IF(ISBLANK($C482),"",$B482)</f>
        <v/>
      </c>
      <c r="CT482" s="137" t="str">
        <f aca="false">IF(ISBLANK($C482),"",$C482)</f>
        <v/>
      </c>
      <c r="CU482" s="137" t="str">
        <f aca="false">IF(ISBLANK($C482),"",$D482)</f>
        <v/>
      </c>
      <c r="CV482" s="138" t="str">
        <f aca="false">$CJ482</f>
        <v/>
      </c>
      <c r="CW482" s="139" t="str">
        <f aca="false">$CI482</f>
        <v/>
      </c>
      <c r="CX482" s="137" t="str">
        <f aca="false">IF(ISBLANK($C482),"",$CL482)</f>
        <v/>
      </c>
      <c r="CY482" s="140" t="str">
        <f aca="false">IF($CP482&gt;$CO$8,"",VLOOKUP($CP482,$CR$9:$CX$508,7,FALSE()))</f>
        <v/>
      </c>
      <c r="CZ482" s="141" t="str">
        <f aca="false">IF($CP482&gt;$CO$8,"",VLOOKUP($CP482,$CR$9:$CX$508,2,FALSE()))</f>
        <v/>
      </c>
      <c r="DA482" s="141" t="str">
        <f aca="false">IF($CP482&gt;$CO$8,"",VLOOKUP($CP482,$CR$9:$CX$508,3,FALSE()))</f>
        <v/>
      </c>
      <c r="DB482" s="141" t="str">
        <f aca="false">IF($CP482&gt;$CO$8,"",VLOOKUP($CP482,$CR$9:$CX$508,4,FALSE()))</f>
        <v/>
      </c>
      <c r="DC482" s="141" t="str">
        <f aca="false">IF($CP482&gt;$CO$8,"",VLOOKUP($CP482,$CR$9:$CX$508,5,FALSE()))</f>
        <v/>
      </c>
      <c r="DD482" s="142" t="str">
        <f aca="false">IF($CP482&gt;$CO$8,"",VLOOKUP($CP482,$CR$9:$CX$508,6,FALSE()))</f>
        <v/>
      </c>
      <c r="DE482" s="70"/>
    </row>
    <row r="483" customFormat="false" ht="15.75" hidden="false" customHeight="false" outlineLevel="0" collapsed="false">
      <c r="A483" s="8"/>
      <c r="B483" s="72"/>
      <c r="C483" s="73"/>
      <c r="D483" s="155"/>
      <c r="E483" s="162"/>
      <c r="F483" s="157"/>
      <c r="G483" s="77"/>
      <c r="H483" s="77"/>
      <c r="I483" s="77"/>
      <c r="J483" s="163"/>
      <c r="K483" s="161"/>
      <c r="L483" s="161"/>
      <c r="M483" s="80"/>
      <c r="N483" s="161"/>
      <c r="O483" s="160"/>
      <c r="P483" s="161"/>
      <c r="Q483" s="161"/>
      <c r="R483" s="161"/>
      <c r="S483" s="77"/>
      <c r="T483" s="161"/>
      <c r="U483" s="160"/>
      <c r="V483" s="161"/>
      <c r="W483" s="85"/>
      <c r="X483" s="86" t="str">
        <f aca="false">IF(ISBLANK($C483),"",IF($E483=Constants!$B$2,TRUE(),IF($E483=Constants!$B$3,FALSE(),TRUE())))</f>
        <v/>
      </c>
      <c r="Y483" s="86" t="str">
        <f aca="false">IF(ISBLANK($C483),"",IF($F483=Constants!$B$2,TRUE(),IF($F483=Constants!$B$3,FALSE(),TRUE())))</f>
        <v/>
      </c>
      <c r="Z483" s="87" t="str">
        <f aca="false">IF(ISBLANK($C483),"",IF(ISNUMBER($G483),IF($G483&gt;=0,$G483,""),""))</f>
        <v/>
      </c>
      <c r="AA483" s="87" t="str">
        <f aca="false">IF(ISBLANK($C483),"",IF(ISNUMBER($H483),IF($H483&gt;=0,$H483,""),""))</f>
        <v/>
      </c>
      <c r="AB483" s="87" t="str">
        <f aca="false">IF(ISBLANK($C483),"",IF(ISNUMBER($I483),IF($I483&gt;=0,$I483,""),""))</f>
        <v/>
      </c>
      <c r="AC483" s="86" t="str">
        <f aca="false">IF(ISBLANK($C483),"",IF($J483=Constants!$B$2,TRUE(),IF($J483=Constants!$B$3,FALSE(),TRUE())))</f>
        <v/>
      </c>
      <c r="AD483" s="86" t="str">
        <f aca="false">IF(ISBLANK($C483),"",IF($K483=Constants!$B$2,TRUE(),IF($K483=Constants!$B$3,FALSE(),TRUE())))</f>
        <v/>
      </c>
      <c r="AE483" s="86" t="str">
        <f aca="false">IF(ISBLANK($C483),"",IF($L483=Constants!$B$2,TRUE(),IF($L483=Constants!$B$3,FALSE(),TRUE())))</f>
        <v/>
      </c>
      <c r="AF483" s="88" t="str">
        <f aca="false">IF(ISBLANK($C483),"",IF(ISNUMBER($M483),IF($M483&gt;=0,$M483,""),""))</f>
        <v/>
      </c>
      <c r="AG483" s="86" t="str">
        <f aca="false">IF(ISBLANK($C483),"",IF(ISBLANK($N483),0,IF(ISNUMBER($N483),IF(AND($N483&gt;=0,$N483&lt;=Constants!$B$17,$N483=INT($N483)),$N483,""),"")))</f>
        <v/>
      </c>
      <c r="AH483" s="87" t="str">
        <f aca="false">IF(ISBLANK($C483),"",IF(ISBLANK($O483),0,IF(ISNUMBER($O483),IF($O483&gt;=0,$O483,""),"")))</f>
        <v/>
      </c>
      <c r="AI483" s="86" t="str">
        <f aca="false">IF(ISBLANK($C483),"",IF($P483=Constants!$B$2,TRUE(),IF($P483=Constants!$B$3,FALSE(),TRUE())))</f>
        <v/>
      </c>
      <c r="AJ483" s="86" t="str">
        <f aca="false">IF(ISBLANK($C483),"",IF($Q483=Constants!$B$2,TRUE(),IF($Q483=Constants!$B$3,FALSE(),TRUE())))</f>
        <v/>
      </c>
      <c r="AK483" s="86" t="str">
        <f aca="false">IF(ISBLANK($C483),"",IF($R483=Constants!$B$2,TRUE(),IF($R483=Constants!$B$3,FALSE(),TRUE())))</f>
        <v/>
      </c>
      <c r="AL483" s="88" t="str">
        <f aca="false">IF(ISBLANK($C483),"",IF(ISNUMBER($S483),IF($S483&gt;=0,$S483,""),""))</f>
        <v/>
      </c>
      <c r="AM483" s="86" t="str">
        <f aca="false">IF(ISBLANK($C483),"",IF(ISBLANK($T483),0,IF(ISNUMBER($T483),IF(AND($T483&gt;=0,$T483&lt;=Constants!$B$17,$T483=INT($T483)),$T483,""),"")))</f>
        <v/>
      </c>
      <c r="AN483" s="87" t="str">
        <f aca="false">IF(ISBLANK($C483),"",IF(ISBLANK($U483),0,IF(ISNUMBER($U483),IF($U483&gt;=0,$U483,""),"")))</f>
        <v/>
      </c>
      <c r="AO483" s="86" t="str">
        <f aca="false">IF(ISBLANK($C483),"",IF($V483=Constants!$B$2,TRUE(),IF($V483=Constants!$B$3,FALSE(),FALSE())))</f>
        <v/>
      </c>
      <c r="AP483" s="86"/>
      <c r="AQ483" s="85" t="str">
        <f aca="false">IF(ISBLANK($C483),"",AND($Y483,OR($AS483,$BC483),OR($Z483="",$AA483="",$AB483="")))</f>
        <v/>
      </c>
      <c r="AR483" s="85" t="str">
        <f aca="false">IF(ISBLANK($C483),"",IF(OR(NOT($Y483),NOT(OR($AS483,$BC483))),"",IF(ISBLANK($D$7),$AR$5,IF($AP$9="",$AR$6,""))))</f>
        <v/>
      </c>
      <c r="AS483" s="85" t="str">
        <f aca="false">IF(ISBLANK($C483),"",COUNTA($J483:$O483)&gt;0)</f>
        <v/>
      </c>
      <c r="AT483" s="85" t="str">
        <f aca="false">IF(ISBLANK($C483),"",AND($AS483,OR(AND($AF483="",OR($AE483,NOT(ISBLANK($M483)))),$AG483="",$AH483="")))</f>
        <v/>
      </c>
      <c r="AU483" s="87" t="str">
        <f aca="false">IF($BL483&lt;&gt;Constants!$B$4,"",IF(NOT($AS483),"",ROUND((Constants!$B$12-$AB483)+(Constants!$B$13-$Z483)+(Constants!$B$14-$AA483),1)))</f>
        <v/>
      </c>
      <c r="AV483" s="90" t="str">
        <f aca="false">IF($BL483&lt;&gt;Constants!$B$4,"",IF(NOT($AS483),"",IF(NOT($AE483),0,Constants!$B$15*(INT(ROUND(MIN($AF483,$AP$9),6))-INT(ROUND(MAX(0,MIN($AF483,2*$AP$9)-$AP$9),6))))))</f>
        <v/>
      </c>
      <c r="AW483" s="90" t="str">
        <f aca="false">IF($BL483&lt;&gt;Constants!$B$4,"",IF(NOT($AS483),"",Constants!$B$16*$AG483))</f>
        <v/>
      </c>
      <c r="AX483" s="90" t="str">
        <f aca="false">IF($BL483&lt;&gt;Constants!$B$4,"",IF(NOT($AS483),"",Constants!$B$18*INT(ROUND($AH483,6))))</f>
        <v/>
      </c>
      <c r="AY483" s="85" t="str">
        <f aca="false">IF($BL483&lt;&gt;Constants!$B$4,"",IF(NOT($AS483),"",IF(NOT($X483),Constants!$B$11,IF(OR(NOT($AC483),NOT($AD483),ROUND($AB483,1)&gt;Constants!$B$12,ROUND($Z483,1)&gt;Constants!$B$13,ROUND($AA483,1)&gt;Constants!$B$14),Constants!$B$10,Constants!$B$9))))</f>
        <v/>
      </c>
      <c r="AZ483" s="91" t="str">
        <f aca="false">IF($BL483&lt;&gt;Constants!$B$4,"",IF(NOT($AS483),"",ROUND($AU483+$AV483+$AW483+$AX483,1)))</f>
        <v/>
      </c>
      <c r="BA483" s="92" t="str">
        <f aca="false">IF($BL483&lt;&gt;Constants!$B$4,"",IF(NOT($AS483),"",IF(ISNUMBER($AF483),$AF483,0)))</f>
        <v/>
      </c>
      <c r="BB483" s="86" t="str">
        <f aca="false">IF($BL483&lt;&gt;Constants!$B$4,"",IF(NOT($BC483),"&lt;-",IF(NOT($AS483),"-&gt;",IF(OR($BI483&lt;$AY483,AND($BI483=$AY483,OR($BJ483&gt;$AZ483,AND($BJ483=$AZ483,OR($BH483&gt;$AX483,AND($BH483=$AX483,OR($BE483&gt;$AU483,AND($BE483=$AU483,OR($BF483&gt;$AV483,AND($BF483=$AV483,$BK483&gt;$BA483)))))))))),"-&gt;","&lt;-"))))</f>
        <v/>
      </c>
      <c r="BC483" s="85" t="str">
        <f aca="false">IF(ISBLANK($C483),"",COUNTA($P483:$U483)&gt;0)</f>
        <v/>
      </c>
      <c r="BD483" s="85" t="str">
        <f aca="false">IF(ISBLANK($C483),"",AND($BC483,OR(AND($AL483="",OR($AK483,NOT(ISBLANK($S483)))),$AM483="",$AN483="")))</f>
        <v/>
      </c>
      <c r="BE483" s="87" t="str">
        <f aca="false">IF($BL483&lt;&gt;Constants!$B$4,"",IF(NOT($BC483),"",ROUND((Constants!$B$12-$AB483)+(Constants!$B$13-$Z483)+(Constants!$B$14-$AA483),1)))</f>
        <v/>
      </c>
      <c r="BF483" s="90" t="str">
        <f aca="false">IF($BL483&lt;&gt;Constants!$B$4,"",IF(NOT($BC483),"",IF(NOT($AK483),0,Constants!$B$15*(INT(ROUND(MIN($AL483,$AP$9),6))-INT(ROUND(MAX(0,MIN($AL483,2*$AP$9)-$AP$9),6))))))</f>
        <v/>
      </c>
      <c r="BG483" s="90" t="str">
        <f aca="false">IF($BL483&lt;&gt;Constants!$B$4,"",IF(NOT($BC483),"",Constants!$B$16*$AM483))</f>
        <v/>
      </c>
      <c r="BH483" s="90" t="str">
        <f aca="false">IF($BL483&lt;&gt;Constants!$B$4,"",IF(NOT($BC483),"",Constants!$B$18*INT(ROUND($AN483,6))))</f>
        <v/>
      </c>
      <c r="BI483" s="85" t="str">
        <f aca="false">IF($BL483&lt;&gt;Constants!$B$4,"",IF(NOT($BC483),"",IF(NOT($X483),Constants!$B$11,IF(OR(NOT($AI483),NOT($AJ483),ROUND($AB483,1)&gt;Constants!$B$12,ROUND($Z483,1)&gt;Constants!$B$13,ROUND($AA483,1)&gt;Constants!$B$14),Constants!$B$10,Constants!$B$9))))</f>
        <v/>
      </c>
      <c r="BJ483" s="91" t="str">
        <f aca="false">IF($BL483&lt;&gt;Constants!$B$4,"",IF(NOT($BC483),"",ROUND($BE483+$BF483+$BG483+$BH483,1)))</f>
        <v/>
      </c>
      <c r="BK483" s="92" t="str">
        <f aca="false">IF($BL483&lt;&gt;Constants!$B$4,"",IF(NOT($BC483),"",IF(ISNUMBER($AL483),$AL483,0)))</f>
        <v/>
      </c>
      <c r="BL483" s="86" t="str">
        <f aca="false">IF(ISBLANK($C483),"",IF($AO483,Constants!$B$7,IF(COUNTA($E483:$V483)=0,Constants!$B$6,IF(NOT($Y483),Constants!$B$5,IF(NOT(OR($AS483,$BC483)),Constants!$B$5,IF(OR($AT483,$BD483,$AQ483,$AR483&lt;&gt;""),Constants!$B$8,Constants!$B$4))))))</f>
        <v/>
      </c>
      <c r="BM483" s="86" t="str">
        <f aca="false">IF(ISBLANK($C483),"",IF($BL483&lt;&gt;Constants!$B$4,$BL483,IF($BB483="-&gt;",$BI483,$AY483)))</f>
        <v/>
      </c>
      <c r="BN483" s="90" t="str">
        <f aca="false">IF($BL483&lt;&gt;Constants!$B$4,"",IF($BB483="-&gt;",$BJ483,$AZ483))</f>
        <v/>
      </c>
      <c r="BO483" s="90" t="str">
        <f aca="false">IF(ISBLANK($C483),"",IF($BL483&lt;&gt;Constants!$B$4,$BL483,$BN483))</f>
        <v/>
      </c>
      <c r="BP483" s="86" t="str">
        <f aca="false">IF(ISBLANK($C483),"",IF($BL483&lt;&gt;Constants!$B$4,$BL483,RANK($BO483,$BO$9:$BO$508,0)))</f>
        <v/>
      </c>
      <c r="BQ483" s="86" t="str">
        <f aca="false">IF(ISBLANK($C483),"",IF($BL483&lt;&gt;Constants!$B$4,$BL483,COUNTIFS($BM$9:$BM$508,"&lt;"&amp;$BM483)+COUNTIFS($BM$9:$BM$508,$BM483,$BP$9:$BP$508,"&lt;"&amp;$BP483)+1))</f>
        <v/>
      </c>
      <c r="BR483" s="90" t="str">
        <f aca="false">IF($BL483&lt;&gt;Constants!$B$4,"",IF($BB483="-&gt;",$BH483,$AX483))</f>
        <v/>
      </c>
      <c r="BS483" s="86" t="str">
        <f aca="false">IF(ISBLANK($C483),"",IF($BL483&lt;&gt;Constants!$B$4,$BL483,IF(ISNUMBER($BR483),RANK($BR483,$BR$9:$BR$508,0),COUNT($BR$9:$BR$508)+1)))</f>
        <v/>
      </c>
      <c r="BT483" s="90" t="str">
        <f aca="false">IF($BL483&lt;&gt;Constants!$B$4,"",IF($BB483="-&gt;",$BE483,$AU483))</f>
        <v/>
      </c>
      <c r="BU483" s="86" t="str">
        <f aca="false">IF(ISBLANK($C483),"",IF($BL483&lt;&gt;Constants!$B$4,$BL483,IF(ISNUMBER($BT483),RANK($BT483,$BT$9:$BT$508,0),COUNT($BT$9:$BT$508)+1)))</f>
        <v/>
      </c>
      <c r="BV483" s="90" t="str">
        <f aca="false">IF($BL483&lt;&gt;Constants!$B$4,"",IF($BB483="-&gt;",$BF483,$AV483))</f>
        <v/>
      </c>
      <c r="BW483" s="86" t="str">
        <f aca="false">IF(ISBLANK($C483),"",IF($BL483&lt;&gt;Constants!$B$4,$BL483,IF(ISNUMBER($BV483),RANK($BV483,$BV$9:$BV$508,0),COUNT($BV$9:$BV$508)+1)))</f>
        <v/>
      </c>
      <c r="BX483" s="90" t="str">
        <f aca="false">IF($BL483&lt;&gt;Constants!$B$4,"",IF($BB483="-&gt;",$BK483,$BA483))</f>
        <v/>
      </c>
      <c r="BY483" s="86" t="str">
        <f aca="false">IF(ISBLANK($C483),"",IF($BL483&lt;&gt;Constants!$B$4,$BL483,IF(ISNUMBER($BX483),RANK($BX483,$BX$9:$BX$508,0),COUNT($BX$9:$BX$508)+1)))</f>
        <v/>
      </c>
      <c r="BZ483" s="86" t="str">
        <f aca="false">IF(ISBLANK($C483),"",IF($BL483&lt;&gt;Constants!$B$4,$BL483,COUNTIFS($BM$9:$BM$508,"&lt;"&amp;$BM483)+COUNTIFS($BM$9:$BM$508,$BM483,$BP$9:$BP$508,"&lt;"&amp;$BP483)+COUNTIFS($BM$9:$BM$508,$BM483,$BP$9:$BP$508,$BP483,$BS$9:$BS$508,"&lt;"&amp;$BS483)+COUNTIFS($BM$9:$BM$508,$BM483,$BP$9:$BP$508,$BP483,$BS$9:$BS$508,$BS483,$BU$9:$BU$508,"&lt;"&amp;$BU483)+COUNTIFS($BM$9:$BM$508,$BM483,$BP$9:$BP$508,$BP483,$BS$9:$BS$508,$BS483,$BU$9:$BU$508,$BU483,$BW$9:$BW$508,"&lt;"&amp;$BW483)+COUNTIFS($BM$9:$BM$508,$BM483,$BP$9:$BP$508,$BP483,$BS$9:$BS$508,$BS483,$BU$9:$BU$508,$BU483,$BW$9:$BW$508,$BW483,$BY$9:$BY$508,"&lt;"&amp;$BY483)+1))</f>
        <v/>
      </c>
      <c r="CA483" s="86" t="str">
        <f aca="false">IF(ISBLANK($C483),"",IF($BL483&lt;&gt;Constants!$B$4,$BL483,$BQ483-$BZ483))</f>
        <v/>
      </c>
      <c r="CB483" s="93"/>
      <c r="CC483" s="94" t="str">
        <f aca="false">IF(ISBLANK($C483),"",IF($BL483=Constants!$B$8,$AR483,""))</f>
        <v/>
      </c>
      <c r="CD483" s="94" t="str">
        <f aca="false">IF(ISBLANK($C483),"",IF($BL483&lt;&gt;Constants!$B$4,"",IF($BB483="-&gt;",2,1)))</f>
        <v/>
      </c>
      <c r="CE483" s="95" t="str">
        <f aca="false">IF(ISBLANK($C483),"",IF($BL483&lt;&gt;Constants!$B$4,"",IF($BB483="-&gt;",$BE483,$AU483)))</f>
        <v/>
      </c>
      <c r="CF483" s="95" t="str">
        <f aca="false">IF(ISBLANK($C483),"",IF($BL483&lt;&gt;Constants!$B$4,"",IF($BB483="-&gt;",$BF483,$AV483)))</f>
        <v/>
      </c>
      <c r="CG483" s="95" t="str">
        <f aca="false">IF(ISBLANK($C483),"",IF($BL483&lt;&gt;Constants!$B$4,"",IF($BB483="-&gt;",$BG483,$AW483)))</f>
        <v/>
      </c>
      <c r="CH483" s="95" t="str">
        <f aca="false">IF(ISBLANK($C483),"",IF($BL483&lt;&gt;Constants!$B$4,"",IF($BB483="-&gt;",$BH483,$AX483)))</f>
        <v/>
      </c>
      <c r="CI483" s="96" t="str">
        <f aca="false">IF(ISBLANK($C483),"",$BO483)</f>
        <v/>
      </c>
      <c r="CJ483" s="97" t="str">
        <f aca="false">IF(ISBLANK($C483),"",$BM483)</f>
        <v/>
      </c>
      <c r="CK483" s="98" t="str">
        <f aca="false">IF(ISBLANK($C483),"",$CA483)</f>
        <v/>
      </c>
      <c r="CL483" s="98" t="str">
        <f aca="false">IF(ISBLANK($C483),"",$BZ483)</f>
        <v/>
      </c>
      <c r="CM483" s="99" t="str">
        <f aca="false">IF(ISBLANK($C483),"",IF($CL483=Constants!$B$7,COUNTA($C$9:$C$508)+2,IF($CL483=Constants!$B$6,COUNTA($C$9:$C$508)+1,IF($CL483=Constants!$B$5,COUNTA($C$9:$C$508),$CL483))))</f>
        <v/>
      </c>
      <c r="CN483" s="8"/>
      <c r="CO483" s="100" t="n">
        <f aca="false">IF(OR(ISNUMBER($CL483),$CL483=Constants!$B$7,$CL483=Constants!$B$5,$CL483=Constants!$B$6),1,0)</f>
        <v>0</v>
      </c>
      <c r="CP483" s="100" t="n">
        <v>475</v>
      </c>
      <c r="CQ483" s="100" t="str">
        <f aca="false">IF(ISBLANK($C483),"",IF(ISNUMBER($CM483),$CM483+ROW($B483)/1000,""))</f>
        <v/>
      </c>
      <c r="CR483" s="100" t="str">
        <f aca="false">IF(ISNUMBER($CQ483),RANK($CQ483,$CQ$9:$CQ$508,1),"")</f>
        <v/>
      </c>
      <c r="CS483" s="100" t="str">
        <f aca="false">IF(ISBLANK($C483),"",$B483)</f>
        <v/>
      </c>
      <c r="CT483" s="100" t="str">
        <f aca="false">IF(ISBLANK($C483),"",$C483)</f>
        <v/>
      </c>
      <c r="CU483" s="100" t="str">
        <f aca="false">IF(ISBLANK($C483),"",$D483)</f>
        <v/>
      </c>
      <c r="CV483" s="101" t="str">
        <f aca="false">$CJ483</f>
        <v/>
      </c>
      <c r="CW483" s="102" t="str">
        <f aca="false">$CI483</f>
        <v/>
      </c>
      <c r="CX483" s="100" t="str">
        <f aca="false">IF(ISBLANK($C483),"",$CL483)</f>
        <v/>
      </c>
      <c r="CY483" s="103" t="str">
        <f aca="false">IF($CP483&gt;$CO$8,"",VLOOKUP($CP483,$CR$9:$CX$508,7,FALSE()))</f>
        <v/>
      </c>
      <c r="CZ483" s="104" t="str">
        <f aca="false">IF($CP483&gt;$CO$8,"",VLOOKUP($CP483,$CR$9:$CX$508,2,FALSE()))</f>
        <v/>
      </c>
      <c r="DA483" s="104" t="str">
        <f aca="false">IF($CP483&gt;$CO$8,"",VLOOKUP($CP483,$CR$9:$CX$508,3,FALSE()))</f>
        <v/>
      </c>
      <c r="DB483" s="104" t="str">
        <f aca="false">IF($CP483&gt;$CO$8,"",VLOOKUP($CP483,$CR$9:$CX$508,4,FALSE()))</f>
        <v/>
      </c>
      <c r="DC483" s="104" t="str">
        <f aca="false">IF($CP483&gt;$CO$8,"",VLOOKUP($CP483,$CR$9:$CX$508,5,FALSE()))</f>
        <v/>
      </c>
      <c r="DD483" s="105" t="str">
        <f aca="false">IF($CP483&gt;$CO$8,"",VLOOKUP($CP483,$CR$9:$CX$508,6,FALSE()))</f>
        <v/>
      </c>
      <c r="DE483" s="70"/>
    </row>
    <row r="484" customFormat="false" ht="15.75" hidden="false" customHeight="false" outlineLevel="0" collapsed="false">
      <c r="A484" s="8"/>
      <c r="B484" s="72"/>
      <c r="C484" s="73"/>
      <c r="D484" s="155"/>
      <c r="E484" s="162"/>
      <c r="F484" s="157"/>
      <c r="G484" s="77"/>
      <c r="H484" s="77"/>
      <c r="I484" s="77"/>
      <c r="J484" s="163"/>
      <c r="K484" s="161"/>
      <c r="L484" s="161"/>
      <c r="M484" s="80"/>
      <c r="N484" s="161"/>
      <c r="O484" s="160"/>
      <c r="P484" s="161"/>
      <c r="Q484" s="161"/>
      <c r="R484" s="161"/>
      <c r="S484" s="77"/>
      <c r="T484" s="161"/>
      <c r="U484" s="160"/>
      <c r="V484" s="161"/>
      <c r="W484" s="85"/>
      <c r="X484" s="86" t="str">
        <f aca="false">IF(ISBLANK($C484),"",IF($E484=Constants!$B$2,TRUE(),IF($E484=Constants!$B$3,FALSE(),TRUE())))</f>
        <v/>
      </c>
      <c r="Y484" s="86" t="str">
        <f aca="false">IF(ISBLANK($C484),"",IF($F484=Constants!$B$2,TRUE(),IF($F484=Constants!$B$3,FALSE(),TRUE())))</f>
        <v/>
      </c>
      <c r="Z484" s="87" t="str">
        <f aca="false">IF(ISBLANK($C484),"",IF(ISNUMBER($G484),IF($G484&gt;=0,$G484,""),""))</f>
        <v/>
      </c>
      <c r="AA484" s="87" t="str">
        <f aca="false">IF(ISBLANK($C484),"",IF(ISNUMBER($H484),IF($H484&gt;=0,$H484,""),""))</f>
        <v/>
      </c>
      <c r="AB484" s="87" t="str">
        <f aca="false">IF(ISBLANK($C484),"",IF(ISNUMBER($I484),IF($I484&gt;=0,$I484,""),""))</f>
        <v/>
      </c>
      <c r="AC484" s="86" t="str">
        <f aca="false">IF(ISBLANK($C484),"",IF($J484=Constants!$B$2,TRUE(),IF($J484=Constants!$B$3,FALSE(),TRUE())))</f>
        <v/>
      </c>
      <c r="AD484" s="86" t="str">
        <f aca="false">IF(ISBLANK($C484),"",IF($K484=Constants!$B$2,TRUE(),IF($K484=Constants!$B$3,FALSE(),TRUE())))</f>
        <v/>
      </c>
      <c r="AE484" s="86" t="str">
        <f aca="false">IF(ISBLANK($C484),"",IF($L484=Constants!$B$2,TRUE(),IF($L484=Constants!$B$3,FALSE(),TRUE())))</f>
        <v/>
      </c>
      <c r="AF484" s="88" t="str">
        <f aca="false">IF(ISBLANK($C484),"",IF(ISNUMBER($M484),IF($M484&gt;=0,$M484,""),""))</f>
        <v/>
      </c>
      <c r="AG484" s="86" t="str">
        <f aca="false">IF(ISBLANK($C484),"",IF(ISBLANK($N484),0,IF(ISNUMBER($N484),IF(AND($N484&gt;=0,$N484&lt;=Constants!$B$17,$N484=INT($N484)),$N484,""),"")))</f>
        <v/>
      </c>
      <c r="AH484" s="87" t="str">
        <f aca="false">IF(ISBLANK($C484),"",IF(ISBLANK($O484),0,IF(ISNUMBER($O484),IF($O484&gt;=0,$O484,""),"")))</f>
        <v/>
      </c>
      <c r="AI484" s="86" t="str">
        <f aca="false">IF(ISBLANK($C484),"",IF($P484=Constants!$B$2,TRUE(),IF($P484=Constants!$B$3,FALSE(),TRUE())))</f>
        <v/>
      </c>
      <c r="AJ484" s="86" t="str">
        <f aca="false">IF(ISBLANK($C484),"",IF($Q484=Constants!$B$2,TRUE(),IF($Q484=Constants!$B$3,FALSE(),TRUE())))</f>
        <v/>
      </c>
      <c r="AK484" s="86" t="str">
        <f aca="false">IF(ISBLANK($C484),"",IF($R484=Constants!$B$2,TRUE(),IF($R484=Constants!$B$3,FALSE(),TRUE())))</f>
        <v/>
      </c>
      <c r="AL484" s="88" t="str">
        <f aca="false">IF(ISBLANK($C484),"",IF(ISNUMBER($S484),IF($S484&gt;=0,$S484,""),""))</f>
        <v/>
      </c>
      <c r="AM484" s="86" t="str">
        <f aca="false">IF(ISBLANK($C484),"",IF(ISBLANK($T484),0,IF(ISNUMBER($T484),IF(AND($T484&gt;=0,$T484&lt;=Constants!$B$17,$T484=INT($T484)),$T484,""),"")))</f>
        <v/>
      </c>
      <c r="AN484" s="87" t="str">
        <f aca="false">IF(ISBLANK($C484),"",IF(ISBLANK($U484),0,IF(ISNUMBER($U484),IF($U484&gt;=0,$U484,""),"")))</f>
        <v/>
      </c>
      <c r="AO484" s="86" t="str">
        <f aca="false">IF(ISBLANK($C484),"",IF($V484=Constants!$B$2,TRUE(),IF($V484=Constants!$B$3,FALSE(),FALSE())))</f>
        <v/>
      </c>
      <c r="AP484" s="86"/>
      <c r="AQ484" s="85" t="str">
        <f aca="false">IF(ISBLANK($C484),"",AND($Y484,OR($AS484,$BC484),OR($Z484="",$AA484="",$AB484="")))</f>
        <v/>
      </c>
      <c r="AR484" s="85" t="str">
        <f aca="false">IF(ISBLANK($C484),"",IF(OR(NOT($Y484),NOT(OR($AS484,$BC484))),"",IF(ISBLANK($D$7),$AR$5,IF($AP$9="",$AR$6,""))))</f>
        <v/>
      </c>
      <c r="AS484" s="85" t="str">
        <f aca="false">IF(ISBLANK($C484),"",COUNTA($J484:$O484)&gt;0)</f>
        <v/>
      </c>
      <c r="AT484" s="85" t="str">
        <f aca="false">IF(ISBLANK($C484),"",AND($AS484,OR(AND($AF484="",OR($AE484,NOT(ISBLANK($M484)))),$AG484="",$AH484="")))</f>
        <v/>
      </c>
      <c r="AU484" s="87" t="str">
        <f aca="false">IF($BL484&lt;&gt;Constants!$B$4,"",IF(NOT($AS484),"",ROUND((Constants!$B$12-$AB484)+(Constants!$B$13-$Z484)+(Constants!$B$14-$AA484),1)))</f>
        <v/>
      </c>
      <c r="AV484" s="90" t="str">
        <f aca="false">IF($BL484&lt;&gt;Constants!$B$4,"",IF(NOT($AS484),"",IF(NOT($AE484),0,Constants!$B$15*(INT(ROUND(MIN($AF484,$AP$9),6))-INT(ROUND(MAX(0,MIN($AF484,2*$AP$9)-$AP$9),6))))))</f>
        <v/>
      </c>
      <c r="AW484" s="90" t="str">
        <f aca="false">IF($BL484&lt;&gt;Constants!$B$4,"",IF(NOT($AS484),"",Constants!$B$16*$AG484))</f>
        <v/>
      </c>
      <c r="AX484" s="90" t="str">
        <f aca="false">IF($BL484&lt;&gt;Constants!$B$4,"",IF(NOT($AS484),"",Constants!$B$18*INT(ROUND($AH484,6))))</f>
        <v/>
      </c>
      <c r="AY484" s="85" t="str">
        <f aca="false">IF($BL484&lt;&gt;Constants!$B$4,"",IF(NOT($AS484),"",IF(NOT($X484),Constants!$B$11,IF(OR(NOT($AC484),NOT($AD484),ROUND($AB484,1)&gt;Constants!$B$12,ROUND($Z484,1)&gt;Constants!$B$13,ROUND($AA484,1)&gt;Constants!$B$14),Constants!$B$10,Constants!$B$9))))</f>
        <v/>
      </c>
      <c r="AZ484" s="91" t="str">
        <f aca="false">IF($BL484&lt;&gt;Constants!$B$4,"",IF(NOT($AS484),"",ROUND($AU484+$AV484+$AW484+$AX484,1)))</f>
        <v/>
      </c>
      <c r="BA484" s="92" t="str">
        <f aca="false">IF($BL484&lt;&gt;Constants!$B$4,"",IF(NOT($AS484),"",IF(ISNUMBER($AF484),$AF484,0)))</f>
        <v/>
      </c>
      <c r="BB484" s="86" t="str">
        <f aca="false">IF($BL484&lt;&gt;Constants!$B$4,"",IF(NOT($BC484),"&lt;-",IF(NOT($AS484),"-&gt;",IF(OR($BI484&lt;$AY484,AND($BI484=$AY484,OR($BJ484&gt;$AZ484,AND($BJ484=$AZ484,OR($BH484&gt;$AX484,AND($BH484=$AX484,OR($BE484&gt;$AU484,AND($BE484=$AU484,OR($BF484&gt;$AV484,AND($BF484=$AV484,$BK484&gt;$BA484)))))))))),"-&gt;","&lt;-"))))</f>
        <v/>
      </c>
      <c r="BC484" s="85" t="str">
        <f aca="false">IF(ISBLANK($C484),"",COUNTA($P484:$U484)&gt;0)</f>
        <v/>
      </c>
      <c r="BD484" s="85" t="str">
        <f aca="false">IF(ISBLANK($C484),"",AND($BC484,OR(AND($AL484="",OR($AK484,NOT(ISBLANK($S484)))),$AM484="",$AN484="")))</f>
        <v/>
      </c>
      <c r="BE484" s="87" t="str">
        <f aca="false">IF($BL484&lt;&gt;Constants!$B$4,"",IF(NOT($BC484),"",ROUND((Constants!$B$12-$AB484)+(Constants!$B$13-$Z484)+(Constants!$B$14-$AA484),1)))</f>
        <v/>
      </c>
      <c r="BF484" s="90" t="str">
        <f aca="false">IF($BL484&lt;&gt;Constants!$B$4,"",IF(NOT($BC484),"",IF(NOT($AK484),0,Constants!$B$15*(INT(ROUND(MIN($AL484,$AP$9),6))-INT(ROUND(MAX(0,MIN($AL484,2*$AP$9)-$AP$9),6))))))</f>
        <v/>
      </c>
      <c r="BG484" s="90" t="str">
        <f aca="false">IF($BL484&lt;&gt;Constants!$B$4,"",IF(NOT($BC484),"",Constants!$B$16*$AM484))</f>
        <v/>
      </c>
      <c r="BH484" s="90" t="str">
        <f aca="false">IF($BL484&lt;&gt;Constants!$B$4,"",IF(NOT($BC484),"",Constants!$B$18*INT(ROUND($AN484,6))))</f>
        <v/>
      </c>
      <c r="BI484" s="85" t="str">
        <f aca="false">IF($BL484&lt;&gt;Constants!$B$4,"",IF(NOT($BC484),"",IF(NOT($X484),Constants!$B$11,IF(OR(NOT($AI484),NOT($AJ484),ROUND($AB484,1)&gt;Constants!$B$12,ROUND($Z484,1)&gt;Constants!$B$13,ROUND($AA484,1)&gt;Constants!$B$14),Constants!$B$10,Constants!$B$9))))</f>
        <v/>
      </c>
      <c r="BJ484" s="91" t="str">
        <f aca="false">IF($BL484&lt;&gt;Constants!$B$4,"",IF(NOT($BC484),"",ROUND($BE484+$BF484+$BG484+$BH484,1)))</f>
        <v/>
      </c>
      <c r="BK484" s="92" t="str">
        <f aca="false">IF($BL484&lt;&gt;Constants!$B$4,"",IF(NOT($BC484),"",IF(ISNUMBER($AL484),$AL484,0)))</f>
        <v/>
      </c>
      <c r="BL484" s="86" t="str">
        <f aca="false">IF(ISBLANK($C484),"",IF($AO484,Constants!$B$7,IF(COUNTA($E484:$V484)=0,Constants!$B$6,IF(NOT($Y484),Constants!$B$5,IF(NOT(OR($AS484,$BC484)),Constants!$B$5,IF(OR($AT484,$BD484,$AQ484,$AR484&lt;&gt;""),Constants!$B$8,Constants!$B$4))))))</f>
        <v/>
      </c>
      <c r="BM484" s="86" t="str">
        <f aca="false">IF(ISBLANK($C484),"",IF($BL484&lt;&gt;Constants!$B$4,$BL484,IF($BB484="-&gt;",$BI484,$AY484)))</f>
        <v/>
      </c>
      <c r="BN484" s="90" t="str">
        <f aca="false">IF($BL484&lt;&gt;Constants!$B$4,"",IF($BB484="-&gt;",$BJ484,$AZ484))</f>
        <v/>
      </c>
      <c r="BO484" s="90" t="str">
        <f aca="false">IF(ISBLANK($C484),"",IF($BL484&lt;&gt;Constants!$B$4,$BL484,$BN484))</f>
        <v/>
      </c>
      <c r="BP484" s="86" t="str">
        <f aca="false">IF(ISBLANK($C484),"",IF($BL484&lt;&gt;Constants!$B$4,$BL484,RANK($BO484,$BO$9:$BO$508,0)))</f>
        <v/>
      </c>
      <c r="BQ484" s="86" t="str">
        <f aca="false">IF(ISBLANK($C484),"",IF($BL484&lt;&gt;Constants!$B$4,$BL484,COUNTIFS($BM$9:$BM$508,"&lt;"&amp;$BM484)+COUNTIFS($BM$9:$BM$508,$BM484,$BP$9:$BP$508,"&lt;"&amp;$BP484)+1))</f>
        <v/>
      </c>
      <c r="BR484" s="90" t="str">
        <f aca="false">IF($BL484&lt;&gt;Constants!$B$4,"",IF($BB484="-&gt;",$BH484,$AX484))</f>
        <v/>
      </c>
      <c r="BS484" s="86" t="str">
        <f aca="false">IF(ISBLANK($C484),"",IF($BL484&lt;&gt;Constants!$B$4,$BL484,IF(ISNUMBER($BR484),RANK($BR484,$BR$9:$BR$508,0),COUNT($BR$9:$BR$508)+1)))</f>
        <v/>
      </c>
      <c r="BT484" s="90" t="str">
        <f aca="false">IF($BL484&lt;&gt;Constants!$B$4,"",IF($BB484="-&gt;",$BE484,$AU484))</f>
        <v/>
      </c>
      <c r="BU484" s="86" t="str">
        <f aca="false">IF(ISBLANK($C484),"",IF($BL484&lt;&gt;Constants!$B$4,$BL484,IF(ISNUMBER($BT484),RANK($BT484,$BT$9:$BT$508,0),COUNT($BT$9:$BT$508)+1)))</f>
        <v/>
      </c>
      <c r="BV484" s="90" t="str">
        <f aca="false">IF($BL484&lt;&gt;Constants!$B$4,"",IF($BB484="-&gt;",$BF484,$AV484))</f>
        <v/>
      </c>
      <c r="BW484" s="86" t="str">
        <f aca="false">IF(ISBLANK($C484),"",IF($BL484&lt;&gt;Constants!$B$4,$BL484,IF(ISNUMBER($BV484),RANK($BV484,$BV$9:$BV$508,0),COUNT($BV$9:$BV$508)+1)))</f>
        <v/>
      </c>
      <c r="BX484" s="90" t="str">
        <f aca="false">IF($BL484&lt;&gt;Constants!$B$4,"",IF($BB484="-&gt;",$BK484,$BA484))</f>
        <v/>
      </c>
      <c r="BY484" s="86" t="str">
        <f aca="false">IF(ISBLANK($C484),"",IF($BL484&lt;&gt;Constants!$B$4,$BL484,IF(ISNUMBER($BX484),RANK($BX484,$BX$9:$BX$508,0),COUNT($BX$9:$BX$508)+1)))</f>
        <v/>
      </c>
      <c r="BZ484" s="86" t="str">
        <f aca="false">IF(ISBLANK($C484),"",IF($BL484&lt;&gt;Constants!$B$4,$BL484,COUNTIFS($BM$9:$BM$508,"&lt;"&amp;$BM484)+COUNTIFS($BM$9:$BM$508,$BM484,$BP$9:$BP$508,"&lt;"&amp;$BP484)+COUNTIFS($BM$9:$BM$508,$BM484,$BP$9:$BP$508,$BP484,$BS$9:$BS$508,"&lt;"&amp;$BS484)+COUNTIFS($BM$9:$BM$508,$BM484,$BP$9:$BP$508,$BP484,$BS$9:$BS$508,$BS484,$BU$9:$BU$508,"&lt;"&amp;$BU484)+COUNTIFS($BM$9:$BM$508,$BM484,$BP$9:$BP$508,$BP484,$BS$9:$BS$508,$BS484,$BU$9:$BU$508,$BU484,$BW$9:$BW$508,"&lt;"&amp;$BW484)+COUNTIFS($BM$9:$BM$508,$BM484,$BP$9:$BP$508,$BP484,$BS$9:$BS$508,$BS484,$BU$9:$BU$508,$BU484,$BW$9:$BW$508,$BW484,$BY$9:$BY$508,"&lt;"&amp;$BY484)+1))</f>
        <v/>
      </c>
      <c r="CA484" s="86" t="str">
        <f aca="false">IF(ISBLANK($C484),"",IF($BL484&lt;&gt;Constants!$B$4,$BL484,$BQ484-$BZ484))</f>
        <v/>
      </c>
      <c r="CB484" s="93"/>
      <c r="CC484" s="94" t="str">
        <f aca="false">IF(ISBLANK($C484),"",IF($BL484=Constants!$B$8,$AR484,""))</f>
        <v/>
      </c>
      <c r="CD484" s="94" t="str">
        <f aca="false">IF(ISBLANK($C484),"",IF($BL484&lt;&gt;Constants!$B$4,"",IF($BB484="-&gt;",2,1)))</f>
        <v/>
      </c>
      <c r="CE484" s="95" t="str">
        <f aca="false">IF(ISBLANK($C484),"",IF($BL484&lt;&gt;Constants!$B$4,"",IF($BB484="-&gt;",$BE484,$AU484)))</f>
        <v/>
      </c>
      <c r="CF484" s="95" t="str">
        <f aca="false">IF(ISBLANK($C484),"",IF($BL484&lt;&gt;Constants!$B$4,"",IF($BB484="-&gt;",$BF484,$AV484)))</f>
        <v/>
      </c>
      <c r="CG484" s="95" t="str">
        <f aca="false">IF(ISBLANK($C484),"",IF($BL484&lt;&gt;Constants!$B$4,"",IF($BB484="-&gt;",$BG484,$AW484)))</f>
        <v/>
      </c>
      <c r="CH484" s="95" t="str">
        <f aca="false">IF(ISBLANK($C484),"",IF($BL484&lt;&gt;Constants!$B$4,"",IF($BB484="-&gt;",$BH484,$AX484)))</f>
        <v/>
      </c>
      <c r="CI484" s="96" t="str">
        <f aca="false">IF(ISBLANK($C484),"",$BO484)</f>
        <v/>
      </c>
      <c r="CJ484" s="97" t="str">
        <f aca="false">IF(ISBLANK($C484),"",$BM484)</f>
        <v/>
      </c>
      <c r="CK484" s="98" t="str">
        <f aca="false">IF(ISBLANK($C484),"",$CA484)</f>
        <v/>
      </c>
      <c r="CL484" s="98" t="str">
        <f aca="false">IF(ISBLANK($C484),"",$BZ484)</f>
        <v/>
      </c>
      <c r="CM484" s="99" t="str">
        <f aca="false">IF(ISBLANK($C484),"",IF($CL484=Constants!$B$7,COUNTA($C$9:$C$508)+2,IF($CL484=Constants!$B$6,COUNTA($C$9:$C$508)+1,IF($CL484=Constants!$B$5,COUNTA($C$9:$C$508),$CL484))))</f>
        <v/>
      </c>
      <c r="CN484" s="8"/>
      <c r="CO484" s="100" t="n">
        <f aca="false">IF(OR(ISNUMBER($CL484),$CL484=Constants!$B$7,$CL484=Constants!$B$5,$CL484=Constants!$B$6),1,0)</f>
        <v>0</v>
      </c>
      <c r="CP484" s="100" t="n">
        <v>476</v>
      </c>
      <c r="CQ484" s="100" t="str">
        <f aca="false">IF(ISBLANK($C484),"",IF(ISNUMBER($CM484),$CM484+ROW($B484)/1000,""))</f>
        <v/>
      </c>
      <c r="CR484" s="100" t="str">
        <f aca="false">IF(ISNUMBER($CQ484),RANK($CQ484,$CQ$9:$CQ$508,1),"")</f>
        <v/>
      </c>
      <c r="CS484" s="100" t="str">
        <f aca="false">IF(ISBLANK($C484),"",$B484)</f>
        <v/>
      </c>
      <c r="CT484" s="100" t="str">
        <f aca="false">IF(ISBLANK($C484),"",$C484)</f>
        <v/>
      </c>
      <c r="CU484" s="100" t="str">
        <f aca="false">IF(ISBLANK($C484),"",$D484)</f>
        <v/>
      </c>
      <c r="CV484" s="101" t="str">
        <f aca="false">$CJ484</f>
        <v/>
      </c>
      <c r="CW484" s="102" t="str">
        <f aca="false">$CI484</f>
        <v/>
      </c>
      <c r="CX484" s="100" t="str">
        <f aca="false">IF(ISBLANK($C484),"",$CL484)</f>
        <v/>
      </c>
      <c r="CY484" s="103" t="str">
        <f aca="false">IF($CP484&gt;$CO$8,"",VLOOKUP($CP484,$CR$9:$CX$508,7,FALSE()))</f>
        <v/>
      </c>
      <c r="CZ484" s="104" t="str">
        <f aca="false">IF($CP484&gt;$CO$8,"",VLOOKUP($CP484,$CR$9:$CX$508,2,FALSE()))</f>
        <v/>
      </c>
      <c r="DA484" s="104" t="str">
        <f aca="false">IF($CP484&gt;$CO$8,"",VLOOKUP($CP484,$CR$9:$CX$508,3,FALSE()))</f>
        <v/>
      </c>
      <c r="DB484" s="104" t="str">
        <f aca="false">IF($CP484&gt;$CO$8,"",VLOOKUP($CP484,$CR$9:$CX$508,4,FALSE()))</f>
        <v/>
      </c>
      <c r="DC484" s="104" t="str">
        <f aca="false">IF($CP484&gt;$CO$8,"",VLOOKUP($CP484,$CR$9:$CX$508,5,FALSE()))</f>
        <v/>
      </c>
      <c r="DD484" s="105" t="str">
        <f aca="false">IF($CP484&gt;$CO$8,"",VLOOKUP($CP484,$CR$9:$CX$508,6,FALSE()))</f>
        <v/>
      </c>
      <c r="DE484" s="70"/>
    </row>
    <row r="485" customFormat="false" ht="15.75" hidden="false" customHeight="false" outlineLevel="0" collapsed="false">
      <c r="A485" s="8"/>
      <c r="B485" s="72"/>
      <c r="C485" s="73"/>
      <c r="D485" s="155"/>
      <c r="E485" s="162"/>
      <c r="F485" s="157"/>
      <c r="G485" s="77"/>
      <c r="H485" s="77"/>
      <c r="I485" s="77"/>
      <c r="J485" s="163"/>
      <c r="K485" s="161"/>
      <c r="L485" s="161"/>
      <c r="M485" s="80"/>
      <c r="N485" s="161"/>
      <c r="O485" s="160"/>
      <c r="P485" s="161"/>
      <c r="Q485" s="161"/>
      <c r="R485" s="161"/>
      <c r="S485" s="77"/>
      <c r="T485" s="161"/>
      <c r="U485" s="160"/>
      <c r="V485" s="161"/>
      <c r="W485" s="85"/>
      <c r="X485" s="86" t="str">
        <f aca="false">IF(ISBLANK($C485),"",IF($E485=Constants!$B$2,TRUE(),IF($E485=Constants!$B$3,FALSE(),TRUE())))</f>
        <v/>
      </c>
      <c r="Y485" s="86" t="str">
        <f aca="false">IF(ISBLANK($C485),"",IF($F485=Constants!$B$2,TRUE(),IF($F485=Constants!$B$3,FALSE(),TRUE())))</f>
        <v/>
      </c>
      <c r="Z485" s="87" t="str">
        <f aca="false">IF(ISBLANK($C485),"",IF(ISNUMBER($G485),IF($G485&gt;=0,$G485,""),""))</f>
        <v/>
      </c>
      <c r="AA485" s="87" t="str">
        <f aca="false">IF(ISBLANK($C485),"",IF(ISNUMBER($H485),IF($H485&gt;=0,$H485,""),""))</f>
        <v/>
      </c>
      <c r="AB485" s="87" t="str">
        <f aca="false">IF(ISBLANK($C485),"",IF(ISNUMBER($I485),IF($I485&gt;=0,$I485,""),""))</f>
        <v/>
      </c>
      <c r="AC485" s="86" t="str">
        <f aca="false">IF(ISBLANK($C485),"",IF($J485=Constants!$B$2,TRUE(),IF($J485=Constants!$B$3,FALSE(),TRUE())))</f>
        <v/>
      </c>
      <c r="AD485" s="86" t="str">
        <f aca="false">IF(ISBLANK($C485),"",IF($K485=Constants!$B$2,TRUE(),IF($K485=Constants!$B$3,FALSE(),TRUE())))</f>
        <v/>
      </c>
      <c r="AE485" s="86" t="str">
        <f aca="false">IF(ISBLANK($C485),"",IF($L485=Constants!$B$2,TRUE(),IF($L485=Constants!$B$3,FALSE(),TRUE())))</f>
        <v/>
      </c>
      <c r="AF485" s="88" t="str">
        <f aca="false">IF(ISBLANK($C485),"",IF(ISNUMBER($M485),IF($M485&gt;=0,$M485,""),""))</f>
        <v/>
      </c>
      <c r="AG485" s="86" t="str">
        <f aca="false">IF(ISBLANK($C485),"",IF(ISBLANK($N485),0,IF(ISNUMBER($N485),IF(AND($N485&gt;=0,$N485&lt;=Constants!$B$17,$N485=INT($N485)),$N485,""),"")))</f>
        <v/>
      </c>
      <c r="AH485" s="87" t="str">
        <f aca="false">IF(ISBLANK($C485),"",IF(ISBLANK($O485),0,IF(ISNUMBER($O485),IF($O485&gt;=0,$O485,""),"")))</f>
        <v/>
      </c>
      <c r="AI485" s="86" t="str">
        <f aca="false">IF(ISBLANK($C485),"",IF($P485=Constants!$B$2,TRUE(),IF($P485=Constants!$B$3,FALSE(),TRUE())))</f>
        <v/>
      </c>
      <c r="AJ485" s="86" t="str">
        <f aca="false">IF(ISBLANK($C485),"",IF($Q485=Constants!$B$2,TRUE(),IF($Q485=Constants!$B$3,FALSE(),TRUE())))</f>
        <v/>
      </c>
      <c r="AK485" s="86" t="str">
        <f aca="false">IF(ISBLANK($C485),"",IF($R485=Constants!$B$2,TRUE(),IF($R485=Constants!$B$3,FALSE(),TRUE())))</f>
        <v/>
      </c>
      <c r="AL485" s="88" t="str">
        <f aca="false">IF(ISBLANK($C485),"",IF(ISNUMBER($S485),IF($S485&gt;=0,$S485,""),""))</f>
        <v/>
      </c>
      <c r="AM485" s="86" t="str">
        <f aca="false">IF(ISBLANK($C485),"",IF(ISBLANK($T485),0,IF(ISNUMBER($T485),IF(AND($T485&gt;=0,$T485&lt;=Constants!$B$17,$T485=INT($T485)),$T485,""),"")))</f>
        <v/>
      </c>
      <c r="AN485" s="87" t="str">
        <f aca="false">IF(ISBLANK($C485),"",IF(ISBLANK($U485),0,IF(ISNUMBER($U485),IF($U485&gt;=0,$U485,""),"")))</f>
        <v/>
      </c>
      <c r="AO485" s="86" t="str">
        <f aca="false">IF(ISBLANK($C485),"",IF($V485=Constants!$B$2,TRUE(),IF($V485=Constants!$B$3,FALSE(),FALSE())))</f>
        <v/>
      </c>
      <c r="AP485" s="86"/>
      <c r="AQ485" s="85" t="str">
        <f aca="false">IF(ISBLANK($C485),"",AND($Y485,OR($AS485,$BC485),OR($Z485="",$AA485="",$AB485="")))</f>
        <v/>
      </c>
      <c r="AR485" s="85" t="str">
        <f aca="false">IF(ISBLANK($C485),"",IF(OR(NOT($Y485),NOT(OR($AS485,$BC485))),"",IF(ISBLANK($D$7),$AR$5,IF($AP$9="",$AR$6,""))))</f>
        <v/>
      </c>
      <c r="AS485" s="85" t="str">
        <f aca="false">IF(ISBLANK($C485),"",COUNTA($J485:$O485)&gt;0)</f>
        <v/>
      </c>
      <c r="AT485" s="85" t="str">
        <f aca="false">IF(ISBLANK($C485),"",AND($AS485,OR(AND($AF485="",OR($AE485,NOT(ISBLANK($M485)))),$AG485="",$AH485="")))</f>
        <v/>
      </c>
      <c r="AU485" s="87" t="str">
        <f aca="false">IF($BL485&lt;&gt;Constants!$B$4,"",IF(NOT($AS485),"",ROUND((Constants!$B$12-$AB485)+(Constants!$B$13-$Z485)+(Constants!$B$14-$AA485),1)))</f>
        <v/>
      </c>
      <c r="AV485" s="90" t="str">
        <f aca="false">IF($BL485&lt;&gt;Constants!$B$4,"",IF(NOT($AS485),"",IF(NOT($AE485),0,Constants!$B$15*(INT(ROUND(MIN($AF485,$AP$9),6))-INT(ROUND(MAX(0,MIN($AF485,2*$AP$9)-$AP$9),6))))))</f>
        <v/>
      </c>
      <c r="AW485" s="90" t="str">
        <f aca="false">IF($BL485&lt;&gt;Constants!$B$4,"",IF(NOT($AS485),"",Constants!$B$16*$AG485))</f>
        <v/>
      </c>
      <c r="AX485" s="90" t="str">
        <f aca="false">IF($BL485&lt;&gt;Constants!$B$4,"",IF(NOT($AS485),"",Constants!$B$18*INT(ROUND($AH485,6))))</f>
        <v/>
      </c>
      <c r="AY485" s="85" t="str">
        <f aca="false">IF($BL485&lt;&gt;Constants!$B$4,"",IF(NOT($AS485),"",IF(NOT($X485),Constants!$B$11,IF(OR(NOT($AC485),NOT($AD485),ROUND($AB485,1)&gt;Constants!$B$12,ROUND($Z485,1)&gt;Constants!$B$13,ROUND($AA485,1)&gt;Constants!$B$14),Constants!$B$10,Constants!$B$9))))</f>
        <v/>
      </c>
      <c r="AZ485" s="91" t="str">
        <f aca="false">IF($BL485&lt;&gt;Constants!$B$4,"",IF(NOT($AS485),"",ROUND($AU485+$AV485+$AW485+$AX485,1)))</f>
        <v/>
      </c>
      <c r="BA485" s="92" t="str">
        <f aca="false">IF($BL485&lt;&gt;Constants!$B$4,"",IF(NOT($AS485),"",IF(ISNUMBER($AF485),$AF485,0)))</f>
        <v/>
      </c>
      <c r="BB485" s="86" t="str">
        <f aca="false">IF($BL485&lt;&gt;Constants!$B$4,"",IF(NOT($BC485),"&lt;-",IF(NOT($AS485),"-&gt;",IF(OR($BI485&lt;$AY485,AND($BI485=$AY485,OR($BJ485&gt;$AZ485,AND($BJ485=$AZ485,OR($BH485&gt;$AX485,AND($BH485=$AX485,OR($BE485&gt;$AU485,AND($BE485=$AU485,OR($BF485&gt;$AV485,AND($BF485=$AV485,$BK485&gt;$BA485)))))))))),"-&gt;","&lt;-"))))</f>
        <v/>
      </c>
      <c r="BC485" s="85" t="str">
        <f aca="false">IF(ISBLANK($C485),"",COUNTA($P485:$U485)&gt;0)</f>
        <v/>
      </c>
      <c r="BD485" s="85" t="str">
        <f aca="false">IF(ISBLANK($C485),"",AND($BC485,OR(AND($AL485="",OR($AK485,NOT(ISBLANK($S485)))),$AM485="",$AN485="")))</f>
        <v/>
      </c>
      <c r="BE485" s="87" t="str">
        <f aca="false">IF($BL485&lt;&gt;Constants!$B$4,"",IF(NOT($BC485),"",ROUND((Constants!$B$12-$AB485)+(Constants!$B$13-$Z485)+(Constants!$B$14-$AA485),1)))</f>
        <v/>
      </c>
      <c r="BF485" s="90" t="str">
        <f aca="false">IF($BL485&lt;&gt;Constants!$B$4,"",IF(NOT($BC485),"",IF(NOT($AK485),0,Constants!$B$15*(INT(ROUND(MIN($AL485,$AP$9),6))-INT(ROUND(MAX(0,MIN($AL485,2*$AP$9)-$AP$9),6))))))</f>
        <v/>
      </c>
      <c r="BG485" s="90" t="str">
        <f aca="false">IF($BL485&lt;&gt;Constants!$B$4,"",IF(NOT($BC485),"",Constants!$B$16*$AM485))</f>
        <v/>
      </c>
      <c r="BH485" s="90" t="str">
        <f aca="false">IF($BL485&lt;&gt;Constants!$B$4,"",IF(NOT($BC485),"",Constants!$B$18*INT(ROUND($AN485,6))))</f>
        <v/>
      </c>
      <c r="BI485" s="85" t="str">
        <f aca="false">IF($BL485&lt;&gt;Constants!$B$4,"",IF(NOT($BC485),"",IF(NOT($X485),Constants!$B$11,IF(OR(NOT($AI485),NOT($AJ485),ROUND($AB485,1)&gt;Constants!$B$12,ROUND($Z485,1)&gt;Constants!$B$13,ROUND($AA485,1)&gt;Constants!$B$14),Constants!$B$10,Constants!$B$9))))</f>
        <v/>
      </c>
      <c r="BJ485" s="91" t="str">
        <f aca="false">IF($BL485&lt;&gt;Constants!$B$4,"",IF(NOT($BC485),"",ROUND($BE485+$BF485+$BG485+$BH485,1)))</f>
        <v/>
      </c>
      <c r="BK485" s="92" t="str">
        <f aca="false">IF($BL485&lt;&gt;Constants!$B$4,"",IF(NOT($BC485),"",IF(ISNUMBER($AL485),$AL485,0)))</f>
        <v/>
      </c>
      <c r="BL485" s="86" t="str">
        <f aca="false">IF(ISBLANK($C485),"",IF($AO485,Constants!$B$7,IF(COUNTA($E485:$V485)=0,Constants!$B$6,IF(NOT($Y485),Constants!$B$5,IF(NOT(OR($AS485,$BC485)),Constants!$B$5,IF(OR($AT485,$BD485,$AQ485,$AR485&lt;&gt;""),Constants!$B$8,Constants!$B$4))))))</f>
        <v/>
      </c>
      <c r="BM485" s="86" t="str">
        <f aca="false">IF(ISBLANK($C485),"",IF($BL485&lt;&gt;Constants!$B$4,$BL485,IF($BB485="-&gt;",$BI485,$AY485)))</f>
        <v/>
      </c>
      <c r="BN485" s="90" t="str">
        <f aca="false">IF($BL485&lt;&gt;Constants!$B$4,"",IF($BB485="-&gt;",$BJ485,$AZ485))</f>
        <v/>
      </c>
      <c r="BO485" s="90" t="str">
        <f aca="false">IF(ISBLANK($C485),"",IF($BL485&lt;&gt;Constants!$B$4,$BL485,$BN485))</f>
        <v/>
      </c>
      <c r="BP485" s="86" t="str">
        <f aca="false">IF(ISBLANK($C485),"",IF($BL485&lt;&gt;Constants!$B$4,$BL485,RANK($BO485,$BO$9:$BO$508,0)))</f>
        <v/>
      </c>
      <c r="BQ485" s="86" t="str">
        <f aca="false">IF(ISBLANK($C485),"",IF($BL485&lt;&gt;Constants!$B$4,$BL485,COUNTIFS($BM$9:$BM$508,"&lt;"&amp;$BM485)+COUNTIFS($BM$9:$BM$508,$BM485,$BP$9:$BP$508,"&lt;"&amp;$BP485)+1))</f>
        <v/>
      </c>
      <c r="BR485" s="90" t="str">
        <f aca="false">IF($BL485&lt;&gt;Constants!$B$4,"",IF($BB485="-&gt;",$BH485,$AX485))</f>
        <v/>
      </c>
      <c r="BS485" s="86" t="str">
        <f aca="false">IF(ISBLANK($C485),"",IF($BL485&lt;&gt;Constants!$B$4,$BL485,IF(ISNUMBER($BR485),RANK($BR485,$BR$9:$BR$508,0),COUNT($BR$9:$BR$508)+1)))</f>
        <v/>
      </c>
      <c r="BT485" s="90" t="str">
        <f aca="false">IF($BL485&lt;&gt;Constants!$B$4,"",IF($BB485="-&gt;",$BE485,$AU485))</f>
        <v/>
      </c>
      <c r="BU485" s="86" t="str">
        <f aca="false">IF(ISBLANK($C485),"",IF($BL485&lt;&gt;Constants!$B$4,$BL485,IF(ISNUMBER($BT485),RANK($BT485,$BT$9:$BT$508,0),COUNT($BT$9:$BT$508)+1)))</f>
        <v/>
      </c>
      <c r="BV485" s="90" t="str">
        <f aca="false">IF($BL485&lt;&gt;Constants!$B$4,"",IF($BB485="-&gt;",$BF485,$AV485))</f>
        <v/>
      </c>
      <c r="BW485" s="86" t="str">
        <f aca="false">IF(ISBLANK($C485),"",IF($BL485&lt;&gt;Constants!$B$4,$BL485,IF(ISNUMBER($BV485),RANK($BV485,$BV$9:$BV$508,0),COUNT($BV$9:$BV$508)+1)))</f>
        <v/>
      </c>
      <c r="BX485" s="90" t="str">
        <f aca="false">IF($BL485&lt;&gt;Constants!$B$4,"",IF($BB485="-&gt;",$BK485,$BA485))</f>
        <v/>
      </c>
      <c r="BY485" s="86" t="str">
        <f aca="false">IF(ISBLANK($C485),"",IF($BL485&lt;&gt;Constants!$B$4,$BL485,IF(ISNUMBER($BX485),RANK($BX485,$BX$9:$BX$508,0),COUNT($BX$9:$BX$508)+1)))</f>
        <v/>
      </c>
      <c r="BZ485" s="86" t="str">
        <f aca="false">IF(ISBLANK($C485),"",IF($BL485&lt;&gt;Constants!$B$4,$BL485,COUNTIFS($BM$9:$BM$508,"&lt;"&amp;$BM485)+COUNTIFS($BM$9:$BM$508,$BM485,$BP$9:$BP$508,"&lt;"&amp;$BP485)+COUNTIFS($BM$9:$BM$508,$BM485,$BP$9:$BP$508,$BP485,$BS$9:$BS$508,"&lt;"&amp;$BS485)+COUNTIFS($BM$9:$BM$508,$BM485,$BP$9:$BP$508,$BP485,$BS$9:$BS$508,$BS485,$BU$9:$BU$508,"&lt;"&amp;$BU485)+COUNTIFS($BM$9:$BM$508,$BM485,$BP$9:$BP$508,$BP485,$BS$9:$BS$508,$BS485,$BU$9:$BU$508,$BU485,$BW$9:$BW$508,"&lt;"&amp;$BW485)+COUNTIFS($BM$9:$BM$508,$BM485,$BP$9:$BP$508,$BP485,$BS$9:$BS$508,$BS485,$BU$9:$BU$508,$BU485,$BW$9:$BW$508,$BW485,$BY$9:$BY$508,"&lt;"&amp;$BY485)+1))</f>
        <v/>
      </c>
      <c r="CA485" s="86" t="str">
        <f aca="false">IF(ISBLANK($C485),"",IF($BL485&lt;&gt;Constants!$B$4,$BL485,$BQ485-$BZ485))</f>
        <v/>
      </c>
      <c r="CB485" s="93"/>
      <c r="CC485" s="94" t="str">
        <f aca="false">IF(ISBLANK($C485),"",IF($BL485=Constants!$B$8,$AR485,""))</f>
        <v/>
      </c>
      <c r="CD485" s="94" t="str">
        <f aca="false">IF(ISBLANK($C485),"",IF($BL485&lt;&gt;Constants!$B$4,"",IF($BB485="-&gt;",2,1)))</f>
        <v/>
      </c>
      <c r="CE485" s="95" t="str">
        <f aca="false">IF(ISBLANK($C485),"",IF($BL485&lt;&gt;Constants!$B$4,"",IF($BB485="-&gt;",$BE485,$AU485)))</f>
        <v/>
      </c>
      <c r="CF485" s="95" t="str">
        <f aca="false">IF(ISBLANK($C485),"",IF($BL485&lt;&gt;Constants!$B$4,"",IF($BB485="-&gt;",$BF485,$AV485)))</f>
        <v/>
      </c>
      <c r="CG485" s="95" t="str">
        <f aca="false">IF(ISBLANK($C485),"",IF($BL485&lt;&gt;Constants!$B$4,"",IF($BB485="-&gt;",$BG485,$AW485)))</f>
        <v/>
      </c>
      <c r="CH485" s="95" t="str">
        <f aca="false">IF(ISBLANK($C485),"",IF($BL485&lt;&gt;Constants!$B$4,"",IF($BB485="-&gt;",$BH485,$AX485)))</f>
        <v/>
      </c>
      <c r="CI485" s="96" t="str">
        <f aca="false">IF(ISBLANK($C485),"",$BO485)</f>
        <v/>
      </c>
      <c r="CJ485" s="97" t="str">
        <f aca="false">IF(ISBLANK($C485),"",$BM485)</f>
        <v/>
      </c>
      <c r="CK485" s="98" t="str">
        <f aca="false">IF(ISBLANK($C485),"",$CA485)</f>
        <v/>
      </c>
      <c r="CL485" s="98" t="str">
        <f aca="false">IF(ISBLANK($C485),"",$BZ485)</f>
        <v/>
      </c>
      <c r="CM485" s="99" t="str">
        <f aca="false">IF(ISBLANK($C485),"",IF($CL485=Constants!$B$7,COUNTA($C$9:$C$508)+2,IF($CL485=Constants!$B$6,COUNTA($C$9:$C$508)+1,IF($CL485=Constants!$B$5,COUNTA($C$9:$C$508),$CL485))))</f>
        <v/>
      </c>
      <c r="CN485" s="8"/>
      <c r="CO485" s="100" t="n">
        <f aca="false">IF(OR(ISNUMBER($CL485),$CL485=Constants!$B$7,$CL485=Constants!$B$5,$CL485=Constants!$B$6),1,0)</f>
        <v>0</v>
      </c>
      <c r="CP485" s="100" t="n">
        <v>477</v>
      </c>
      <c r="CQ485" s="100" t="str">
        <f aca="false">IF(ISBLANK($C485),"",IF(ISNUMBER($CM485),$CM485+ROW($B485)/1000,""))</f>
        <v/>
      </c>
      <c r="CR485" s="100" t="str">
        <f aca="false">IF(ISNUMBER($CQ485),RANK($CQ485,$CQ$9:$CQ$508,1),"")</f>
        <v/>
      </c>
      <c r="CS485" s="100" t="str">
        <f aca="false">IF(ISBLANK($C485),"",$B485)</f>
        <v/>
      </c>
      <c r="CT485" s="100" t="str">
        <f aca="false">IF(ISBLANK($C485),"",$C485)</f>
        <v/>
      </c>
      <c r="CU485" s="100" t="str">
        <f aca="false">IF(ISBLANK($C485),"",$D485)</f>
        <v/>
      </c>
      <c r="CV485" s="101" t="str">
        <f aca="false">$CJ485</f>
        <v/>
      </c>
      <c r="CW485" s="102" t="str">
        <f aca="false">$CI485</f>
        <v/>
      </c>
      <c r="CX485" s="100" t="str">
        <f aca="false">IF(ISBLANK($C485),"",$CL485)</f>
        <v/>
      </c>
      <c r="CY485" s="103" t="str">
        <f aca="false">IF($CP485&gt;$CO$8,"",VLOOKUP($CP485,$CR$9:$CX$508,7,FALSE()))</f>
        <v/>
      </c>
      <c r="CZ485" s="104" t="str">
        <f aca="false">IF($CP485&gt;$CO$8,"",VLOOKUP($CP485,$CR$9:$CX$508,2,FALSE()))</f>
        <v/>
      </c>
      <c r="DA485" s="104" t="str">
        <f aca="false">IF($CP485&gt;$CO$8,"",VLOOKUP($CP485,$CR$9:$CX$508,3,FALSE()))</f>
        <v/>
      </c>
      <c r="DB485" s="104" t="str">
        <f aca="false">IF($CP485&gt;$CO$8,"",VLOOKUP($CP485,$CR$9:$CX$508,4,FALSE()))</f>
        <v/>
      </c>
      <c r="DC485" s="104" t="str">
        <f aca="false">IF($CP485&gt;$CO$8,"",VLOOKUP($CP485,$CR$9:$CX$508,5,FALSE()))</f>
        <v/>
      </c>
      <c r="DD485" s="105" t="str">
        <f aca="false">IF($CP485&gt;$CO$8,"",VLOOKUP($CP485,$CR$9:$CX$508,6,FALSE()))</f>
        <v/>
      </c>
      <c r="DE485" s="70"/>
    </row>
    <row r="486" customFormat="false" ht="15.75" hidden="false" customHeight="false" outlineLevel="0" collapsed="false">
      <c r="A486" s="8"/>
      <c r="B486" s="146"/>
      <c r="C486" s="147"/>
      <c r="D486" s="148"/>
      <c r="E486" s="164"/>
      <c r="F486" s="150"/>
      <c r="G486" s="115"/>
      <c r="H486" s="115"/>
      <c r="I486" s="115"/>
      <c r="J486" s="165"/>
      <c r="K486" s="154"/>
      <c r="L486" s="154"/>
      <c r="M486" s="118"/>
      <c r="N486" s="154"/>
      <c r="O486" s="153"/>
      <c r="P486" s="154"/>
      <c r="Q486" s="154"/>
      <c r="R486" s="154"/>
      <c r="S486" s="115"/>
      <c r="T486" s="154"/>
      <c r="U486" s="153"/>
      <c r="V486" s="154"/>
      <c r="W486" s="123"/>
      <c r="X486" s="124" t="str">
        <f aca="false">IF(ISBLANK($C486),"",IF($E486=Constants!$B$2,TRUE(),IF($E486=Constants!$B$3,FALSE(),TRUE())))</f>
        <v/>
      </c>
      <c r="Y486" s="124" t="str">
        <f aca="false">IF(ISBLANK($C486),"",IF($F486=Constants!$B$2,TRUE(),IF($F486=Constants!$B$3,FALSE(),TRUE())))</f>
        <v/>
      </c>
      <c r="Z486" s="125" t="str">
        <f aca="false">IF(ISBLANK($C486),"",IF(ISNUMBER($G486),IF($G486&gt;=0,$G486,""),""))</f>
        <v/>
      </c>
      <c r="AA486" s="125" t="str">
        <f aca="false">IF(ISBLANK($C486),"",IF(ISNUMBER($H486),IF($H486&gt;=0,$H486,""),""))</f>
        <v/>
      </c>
      <c r="AB486" s="125" t="str">
        <f aca="false">IF(ISBLANK($C486),"",IF(ISNUMBER($I486),IF($I486&gt;=0,$I486,""),""))</f>
        <v/>
      </c>
      <c r="AC486" s="124" t="str">
        <f aca="false">IF(ISBLANK($C486),"",IF($J486=Constants!$B$2,TRUE(),IF($J486=Constants!$B$3,FALSE(),TRUE())))</f>
        <v/>
      </c>
      <c r="AD486" s="124" t="str">
        <f aca="false">IF(ISBLANK($C486),"",IF($K486=Constants!$B$2,TRUE(),IF($K486=Constants!$B$3,FALSE(),TRUE())))</f>
        <v/>
      </c>
      <c r="AE486" s="124" t="str">
        <f aca="false">IF(ISBLANK($C486),"",IF($L486=Constants!$B$2,TRUE(),IF($L486=Constants!$B$3,FALSE(),TRUE())))</f>
        <v/>
      </c>
      <c r="AF486" s="126" t="str">
        <f aca="false">IF(ISBLANK($C486),"",IF(ISNUMBER($M486),IF($M486&gt;=0,$M486,""),""))</f>
        <v/>
      </c>
      <c r="AG486" s="124" t="str">
        <f aca="false">IF(ISBLANK($C486),"",IF(ISBLANK($N486),0,IF(ISNUMBER($N486),IF(AND($N486&gt;=0,$N486&lt;=Constants!$B$17,$N486=INT($N486)),$N486,""),"")))</f>
        <v/>
      </c>
      <c r="AH486" s="125" t="str">
        <f aca="false">IF(ISBLANK($C486),"",IF(ISBLANK($O486),0,IF(ISNUMBER($O486),IF($O486&gt;=0,$O486,""),"")))</f>
        <v/>
      </c>
      <c r="AI486" s="124" t="str">
        <f aca="false">IF(ISBLANK($C486),"",IF($P486=Constants!$B$2,TRUE(),IF($P486=Constants!$B$3,FALSE(),TRUE())))</f>
        <v/>
      </c>
      <c r="AJ486" s="124" t="str">
        <f aca="false">IF(ISBLANK($C486),"",IF($Q486=Constants!$B$2,TRUE(),IF($Q486=Constants!$B$3,FALSE(),TRUE())))</f>
        <v/>
      </c>
      <c r="AK486" s="124" t="str">
        <f aca="false">IF(ISBLANK($C486),"",IF($R486=Constants!$B$2,TRUE(),IF($R486=Constants!$B$3,FALSE(),TRUE())))</f>
        <v/>
      </c>
      <c r="AL486" s="126" t="str">
        <f aca="false">IF(ISBLANK($C486),"",IF(ISNUMBER($S486),IF($S486&gt;=0,$S486,""),""))</f>
        <v/>
      </c>
      <c r="AM486" s="124" t="str">
        <f aca="false">IF(ISBLANK($C486),"",IF(ISBLANK($T486),0,IF(ISNUMBER($T486),IF(AND($T486&gt;=0,$T486&lt;=Constants!$B$17,$T486=INT($T486)),$T486,""),"")))</f>
        <v/>
      </c>
      <c r="AN486" s="125" t="str">
        <f aca="false">IF(ISBLANK($C486),"",IF(ISBLANK($U486),0,IF(ISNUMBER($U486),IF($U486&gt;=0,$U486,""),"")))</f>
        <v/>
      </c>
      <c r="AO486" s="124" t="str">
        <f aca="false">IF(ISBLANK($C486),"",IF($V486=Constants!$B$2,TRUE(),IF($V486=Constants!$B$3,FALSE(),FALSE())))</f>
        <v/>
      </c>
      <c r="AP486" s="124"/>
      <c r="AQ486" s="123" t="str">
        <f aca="false">IF(ISBLANK($C486),"",AND($Y486,OR($AS486,$BC486),OR($Z486="",$AA486="",$AB486="")))</f>
        <v/>
      </c>
      <c r="AR486" s="123" t="str">
        <f aca="false">IF(ISBLANK($C486),"",IF(OR(NOT($Y486),NOT(OR($AS486,$BC486))),"",IF(ISBLANK($D$7),$AR$5,IF($AP$9="",$AR$6,""))))</f>
        <v/>
      </c>
      <c r="AS486" s="123" t="str">
        <f aca="false">IF(ISBLANK($C486),"",COUNTA($J486:$O486)&gt;0)</f>
        <v/>
      </c>
      <c r="AT486" s="123" t="str">
        <f aca="false">IF(ISBLANK($C486),"",AND($AS486,OR(AND($AF486="",OR($AE486,NOT(ISBLANK($M486)))),$AG486="",$AH486="")))</f>
        <v/>
      </c>
      <c r="AU486" s="125" t="str">
        <f aca="false">IF($BL486&lt;&gt;Constants!$B$4,"",IF(NOT($AS486),"",ROUND((Constants!$B$12-$AB486)+(Constants!$B$13-$Z486)+(Constants!$B$14-$AA486),1)))</f>
        <v/>
      </c>
      <c r="AV486" s="127" t="str">
        <f aca="false">IF($BL486&lt;&gt;Constants!$B$4,"",IF(NOT($AS486),"",IF(NOT($AE486),0,Constants!$B$15*(INT(ROUND(MIN($AF486,$AP$9),6))-INT(ROUND(MAX(0,MIN($AF486,2*$AP$9)-$AP$9),6))))))</f>
        <v/>
      </c>
      <c r="AW486" s="127" t="str">
        <f aca="false">IF($BL486&lt;&gt;Constants!$B$4,"",IF(NOT($AS486),"",Constants!$B$16*$AG486))</f>
        <v/>
      </c>
      <c r="AX486" s="127" t="str">
        <f aca="false">IF($BL486&lt;&gt;Constants!$B$4,"",IF(NOT($AS486),"",Constants!$B$18*INT(ROUND($AH486,6))))</f>
        <v/>
      </c>
      <c r="AY486" s="123" t="str">
        <f aca="false">IF($BL486&lt;&gt;Constants!$B$4,"",IF(NOT($AS486),"",IF(NOT($X486),Constants!$B$11,IF(OR(NOT($AC486),NOT($AD486),ROUND($AB486,1)&gt;Constants!$B$12,ROUND($Z486,1)&gt;Constants!$B$13,ROUND($AA486,1)&gt;Constants!$B$14),Constants!$B$10,Constants!$B$9))))</f>
        <v/>
      </c>
      <c r="AZ486" s="128" t="str">
        <f aca="false">IF($BL486&lt;&gt;Constants!$B$4,"",IF(NOT($AS486),"",ROUND($AU486+$AV486+$AW486+$AX486,1)))</f>
        <v/>
      </c>
      <c r="BA486" s="129" t="str">
        <f aca="false">IF($BL486&lt;&gt;Constants!$B$4,"",IF(NOT($AS486),"",IF(ISNUMBER($AF486),$AF486,0)))</f>
        <v/>
      </c>
      <c r="BB486" s="124" t="str">
        <f aca="false">IF($BL486&lt;&gt;Constants!$B$4,"",IF(NOT($BC486),"&lt;-",IF(NOT($AS486),"-&gt;",IF(OR($BI486&lt;$AY486,AND($BI486=$AY486,OR($BJ486&gt;$AZ486,AND($BJ486=$AZ486,OR($BH486&gt;$AX486,AND($BH486=$AX486,OR($BE486&gt;$AU486,AND($BE486=$AU486,OR($BF486&gt;$AV486,AND($BF486=$AV486,$BK486&gt;$BA486)))))))))),"-&gt;","&lt;-"))))</f>
        <v/>
      </c>
      <c r="BC486" s="123" t="str">
        <f aca="false">IF(ISBLANK($C486),"",COUNTA($P486:$U486)&gt;0)</f>
        <v/>
      </c>
      <c r="BD486" s="123" t="str">
        <f aca="false">IF(ISBLANK($C486),"",AND($BC486,OR(AND($AL486="",OR($AK486,NOT(ISBLANK($S486)))),$AM486="",$AN486="")))</f>
        <v/>
      </c>
      <c r="BE486" s="125" t="str">
        <f aca="false">IF($BL486&lt;&gt;Constants!$B$4,"",IF(NOT($BC486),"",ROUND((Constants!$B$12-$AB486)+(Constants!$B$13-$Z486)+(Constants!$B$14-$AA486),1)))</f>
        <v/>
      </c>
      <c r="BF486" s="127" t="str">
        <f aca="false">IF($BL486&lt;&gt;Constants!$B$4,"",IF(NOT($BC486),"",IF(NOT($AK486),0,Constants!$B$15*(INT(ROUND(MIN($AL486,$AP$9),6))-INT(ROUND(MAX(0,MIN($AL486,2*$AP$9)-$AP$9),6))))))</f>
        <v/>
      </c>
      <c r="BG486" s="127" t="str">
        <f aca="false">IF($BL486&lt;&gt;Constants!$B$4,"",IF(NOT($BC486),"",Constants!$B$16*$AM486))</f>
        <v/>
      </c>
      <c r="BH486" s="127" t="str">
        <f aca="false">IF($BL486&lt;&gt;Constants!$B$4,"",IF(NOT($BC486),"",Constants!$B$18*INT(ROUND($AN486,6))))</f>
        <v/>
      </c>
      <c r="BI486" s="123" t="str">
        <f aca="false">IF($BL486&lt;&gt;Constants!$B$4,"",IF(NOT($BC486),"",IF(NOT($X486),Constants!$B$11,IF(OR(NOT($AI486),NOT($AJ486),ROUND($AB486,1)&gt;Constants!$B$12,ROUND($Z486,1)&gt;Constants!$B$13,ROUND($AA486,1)&gt;Constants!$B$14),Constants!$B$10,Constants!$B$9))))</f>
        <v/>
      </c>
      <c r="BJ486" s="128" t="str">
        <f aca="false">IF($BL486&lt;&gt;Constants!$B$4,"",IF(NOT($BC486),"",ROUND($BE486+$BF486+$BG486+$BH486,1)))</f>
        <v/>
      </c>
      <c r="BK486" s="129" t="str">
        <f aca="false">IF($BL486&lt;&gt;Constants!$B$4,"",IF(NOT($BC486),"",IF(ISNUMBER($AL486),$AL486,0)))</f>
        <v/>
      </c>
      <c r="BL486" s="124" t="str">
        <f aca="false">IF(ISBLANK($C486),"",IF($AO486,Constants!$B$7,IF(COUNTA($E486:$V486)=0,Constants!$B$6,IF(NOT($Y486),Constants!$B$5,IF(NOT(OR($AS486,$BC486)),Constants!$B$5,IF(OR($AT486,$BD486,$AQ486,$AR486&lt;&gt;""),Constants!$B$8,Constants!$B$4))))))</f>
        <v/>
      </c>
      <c r="BM486" s="124" t="str">
        <f aca="false">IF(ISBLANK($C486),"",IF($BL486&lt;&gt;Constants!$B$4,$BL486,IF($BB486="-&gt;",$BI486,$AY486)))</f>
        <v/>
      </c>
      <c r="BN486" s="127" t="str">
        <f aca="false">IF($BL486&lt;&gt;Constants!$B$4,"",IF($BB486="-&gt;",$BJ486,$AZ486))</f>
        <v/>
      </c>
      <c r="BO486" s="127" t="str">
        <f aca="false">IF(ISBLANK($C486),"",IF($BL486&lt;&gt;Constants!$B$4,$BL486,$BN486))</f>
        <v/>
      </c>
      <c r="BP486" s="124" t="str">
        <f aca="false">IF(ISBLANK($C486),"",IF($BL486&lt;&gt;Constants!$B$4,$BL486,RANK($BO486,$BO$9:$BO$508,0)))</f>
        <v/>
      </c>
      <c r="BQ486" s="124" t="str">
        <f aca="false">IF(ISBLANK($C486),"",IF($BL486&lt;&gt;Constants!$B$4,$BL486,COUNTIFS($BM$9:$BM$508,"&lt;"&amp;$BM486)+COUNTIFS($BM$9:$BM$508,$BM486,$BP$9:$BP$508,"&lt;"&amp;$BP486)+1))</f>
        <v/>
      </c>
      <c r="BR486" s="127" t="str">
        <f aca="false">IF($BL486&lt;&gt;Constants!$B$4,"",IF($BB486="-&gt;",$BH486,$AX486))</f>
        <v/>
      </c>
      <c r="BS486" s="124" t="str">
        <f aca="false">IF(ISBLANK($C486),"",IF($BL486&lt;&gt;Constants!$B$4,$BL486,IF(ISNUMBER($BR486),RANK($BR486,$BR$9:$BR$508,0),COUNT($BR$9:$BR$508)+1)))</f>
        <v/>
      </c>
      <c r="BT486" s="127" t="str">
        <f aca="false">IF($BL486&lt;&gt;Constants!$B$4,"",IF($BB486="-&gt;",$BE486,$AU486))</f>
        <v/>
      </c>
      <c r="BU486" s="124" t="str">
        <f aca="false">IF(ISBLANK($C486),"",IF($BL486&lt;&gt;Constants!$B$4,$BL486,IF(ISNUMBER($BT486),RANK($BT486,$BT$9:$BT$508,0),COUNT($BT$9:$BT$508)+1)))</f>
        <v/>
      </c>
      <c r="BV486" s="127" t="str">
        <f aca="false">IF($BL486&lt;&gt;Constants!$B$4,"",IF($BB486="-&gt;",$BF486,$AV486))</f>
        <v/>
      </c>
      <c r="BW486" s="124" t="str">
        <f aca="false">IF(ISBLANK($C486),"",IF($BL486&lt;&gt;Constants!$B$4,$BL486,IF(ISNUMBER($BV486),RANK($BV486,$BV$9:$BV$508,0),COUNT($BV$9:$BV$508)+1)))</f>
        <v/>
      </c>
      <c r="BX486" s="127" t="str">
        <f aca="false">IF($BL486&lt;&gt;Constants!$B$4,"",IF($BB486="-&gt;",$BK486,$BA486))</f>
        <v/>
      </c>
      <c r="BY486" s="124" t="str">
        <f aca="false">IF(ISBLANK($C486),"",IF($BL486&lt;&gt;Constants!$B$4,$BL486,IF(ISNUMBER($BX486),RANK($BX486,$BX$9:$BX$508,0),COUNT($BX$9:$BX$508)+1)))</f>
        <v/>
      </c>
      <c r="BZ486" s="124" t="str">
        <f aca="false">IF(ISBLANK($C486),"",IF($BL486&lt;&gt;Constants!$B$4,$BL486,COUNTIFS($BM$9:$BM$508,"&lt;"&amp;$BM486)+COUNTIFS($BM$9:$BM$508,$BM486,$BP$9:$BP$508,"&lt;"&amp;$BP486)+COUNTIFS($BM$9:$BM$508,$BM486,$BP$9:$BP$508,$BP486,$BS$9:$BS$508,"&lt;"&amp;$BS486)+COUNTIFS($BM$9:$BM$508,$BM486,$BP$9:$BP$508,$BP486,$BS$9:$BS$508,$BS486,$BU$9:$BU$508,"&lt;"&amp;$BU486)+COUNTIFS($BM$9:$BM$508,$BM486,$BP$9:$BP$508,$BP486,$BS$9:$BS$508,$BS486,$BU$9:$BU$508,$BU486,$BW$9:$BW$508,"&lt;"&amp;$BW486)+COUNTIFS($BM$9:$BM$508,$BM486,$BP$9:$BP$508,$BP486,$BS$9:$BS$508,$BS486,$BU$9:$BU$508,$BU486,$BW$9:$BW$508,$BW486,$BY$9:$BY$508,"&lt;"&amp;$BY486)+1))</f>
        <v/>
      </c>
      <c r="CA486" s="124" t="str">
        <f aca="false">IF(ISBLANK($C486),"",IF($BL486&lt;&gt;Constants!$B$4,$BL486,$BQ486-$BZ486))</f>
        <v/>
      </c>
      <c r="CB486" s="130"/>
      <c r="CC486" s="131" t="str">
        <f aca="false">IF(ISBLANK($C486),"",IF($BL486=Constants!$B$8,$AR486,""))</f>
        <v/>
      </c>
      <c r="CD486" s="131" t="str">
        <f aca="false">IF(ISBLANK($C486),"",IF($BL486&lt;&gt;Constants!$B$4,"",IF($BB486="-&gt;",2,1)))</f>
        <v/>
      </c>
      <c r="CE486" s="132" t="str">
        <f aca="false">IF(ISBLANK($C486),"",IF($BL486&lt;&gt;Constants!$B$4,"",IF($BB486="-&gt;",$BE486,$AU486)))</f>
        <v/>
      </c>
      <c r="CF486" s="132" t="str">
        <f aca="false">IF(ISBLANK($C486),"",IF($BL486&lt;&gt;Constants!$B$4,"",IF($BB486="-&gt;",$BF486,$AV486)))</f>
        <v/>
      </c>
      <c r="CG486" s="132" t="str">
        <f aca="false">IF(ISBLANK($C486),"",IF($BL486&lt;&gt;Constants!$B$4,"",IF($BB486="-&gt;",$BG486,$AW486)))</f>
        <v/>
      </c>
      <c r="CH486" s="132" t="str">
        <f aca="false">IF(ISBLANK($C486),"",IF($BL486&lt;&gt;Constants!$B$4,"",IF($BB486="-&gt;",$BH486,$AX486)))</f>
        <v/>
      </c>
      <c r="CI486" s="133" t="str">
        <f aca="false">IF(ISBLANK($C486),"",$BO486)</f>
        <v/>
      </c>
      <c r="CJ486" s="134" t="str">
        <f aca="false">IF(ISBLANK($C486),"",$BM486)</f>
        <v/>
      </c>
      <c r="CK486" s="135" t="str">
        <f aca="false">IF(ISBLANK($C486),"",$CA486)</f>
        <v/>
      </c>
      <c r="CL486" s="135" t="str">
        <f aca="false">IF(ISBLANK($C486),"",$BZ486)</f>
        <v/>
      </c>
      <c r="CM486" s="136" t="str">
        <f aca="false">IF(ISBLANK($C486),"",IF($CL486=Constants!$B$7,COUNTA($C$9:$C$508)+2,IF($CL486=Constants!$B$6,COUNTA($C$9:$C$508)+1,IF($CL486=Constants!$B$5,COUNTA($C$9:$C$508),$CL486))))</f>
        <v/>
      </c>
      <c r="CN486" s="8"/>
      <c r="CO486" s="137" t="n">
        <f aca="false">IF(OR(ISNUMBER($CL486),$CL486=Constants!$B$7,$CL486=Constants!$B$5,$CL486=Constants!$B$6),1,0)</f>
        <v>0</v>
      </c>
      <c r="CP486" s="137" t="n">
        <v>478</v>
      </c>
      <c r="CQ486" s="137" t="str">
        <f aca="false">IF(ISBLANK($C486),"",IF(ISNUMBER($CM486),$CM486+ROW($B486)/1000,""))</f>
        <v/>
      </c>
      <c r="CR486" s="137" t="str">
        <f aca="false">IF(ISNUMBER($CQ486),RANK($CQ486,$CQ$9:$CQ$508,1),"")</f>
        <v/>
      </c>
      <c r="CS486" s="137" t="str">
        <f aca="false">IF(ISBLANK($C486),"",$B486)</f>
        <v/>
      </c>
      <c r="CT486" s="137" t="str">
        <f aca="false">IF(ISBLANK($C486),"",$C486)</f>
        <v/>
      </c>
      <c r="CU486" s="137" t="str">
        <f aca="false">IF(ISBLANK($C486),"",$D486)</f>
        <v/>
      </c>
      <c r="CV486" s="138" t="str">
        <f aca="false">$CJ486</f>
        <v/>
      </c>
      <c r="CW486" s="139" t="str">
        <f aca="false">$CI486</f>
        <v/>
      </c>
      <c r="CX486" s="137" t="str">
        <f aca="false">IF(ISBLANK($C486),"",$CL486)</f>
        <v/>
      </c>
      <c r="CY486" s="140" t="str">
        <f aca="false">IF($CP486&gt;$CO$8,"",VLOOKUP($CP486,$CR$9:$CX$508,7,FALSE()))</f>
        <v/>
      </c>
      <c r="CZ486" s="141" t="str">
        <f aca="false">IF($CP486&gt;$CO$8,"",VLOOKUP($CP486,$CR$9:$CX$508,2,FALSE()))</f>
        <v/>
      </c>
      <c r="DA486" s="141" t="str">
        <f aca="false">IF($CP486&gt;$CO$8,"",VLOOKUP($CP486,$CR$9:$CX$508,3,FALSE()))</f>
        <v/>
      </c>
      <c r="DB486" s="141" t="str">
        <f aca="false">IF($CP486&gt;$CO$8,"",VLOOKUP($CP486,$CR$9:$CX$508,4,FALSE()))</f>
        <v/>
      </c>
      <c r="DC486" s="141" t="str">
        <f aca="false">IF($CP486&gt;$CO$8,"",VLOOKUP($CP486,$CR$9:$CX$508,5,FALSE()))</f>
        <v/>
      </c>
      <c r="DD486" s="142" t="str">
        <f aca="false">IF($CP486&gt;$CO$8,"",VLOOKUP($CP486,$CR$9:$CX$508,6,FALSE()))</f>
        <v/>
      </c>
      <c r="DE486" s="70"/>
    </row>
    <row r="487" customFormat="false" ht="15.75" hidden="false" customHeight="false" outlineLevel="0" collapsed="false">
      <c r="A487" s="8"/>
      <c r="B487" s="146"/>
      <c r="C487" s="147"/>
      <c r="D487" s="148"/>
      <c r="E487" s="164"/>
      <c r="F487" s="150"/>
      <c r="G487" s="115"/>
      <c r="H487" s="115"/>
      <c r="I487" s="115"/>
      <c r="J487" s="165"/>
      <c r="K487" s="154"/>
      <c r="L487" s="154"/>
      <c r="M487" s="118"/>
      <c r="N487" s="154"/>
      <c r="O487" s="153"/>
      <c r="P487" s="154"/>
      <c r="Q487" s="154"/>
      <c r="R487" s="154"/>
      <c r="S487" s="115"/>
      <c r="T487" s="154"/>
      <c r="U487" s="153"/>
      <c r="V487" s="154"/>
      <c r="W487" s="123"/>
      <c r="X487" s="124" t="str">
        <f aca="false">IF(ISBLANK($C487),"",IF($E487=Constants!$B$2,TRUE(),IF($E487=Constants!$B$3,FALSE(),TRUE())))</f>
        <v/>
      </c>
      <c r="Y487" s="124" t="str">
        <f aca="false">IF(ISBLANK($C487),"",IF($F487=Constants!$B$2,TRUE(),IF($F487=Constants!$B$3,FALSE(),TRUE())))</f>
        <v/>
      </c>
      <c r="Z487" s="125" t="str">
        <f aca="false">IF(ISBLANK($C487),"",IF(ISNUMBER($G487),IF($G487&gt;=0,$G487,""),""))</f>
        <v/>
      </c>
      <c r="AA487" s="125" t="str">
        <f aca="false">IF(ISBLANK($C487),"",IF(ISNUMBER($H487),IF($H487&gt;=0,$H487,""),""))</f>
        <v/>
      </c>
      <c r="AB487" s="125" t="str">
        <f aca="false">IF(ISBLANK($C487),"",IF(ISNUMBER($I487),IF($I487&gt;=0,$I487,""),""))</f>
        <v/>
      </c>
      <c r="AC487" s="124" t="str">
        <f aca="false">IF(ISBLANK($C487),"",IF($J487=Constants!$B$2,TRUE(),IF($J487=Constants!$B$3,FALSE(),TRUE())))</f>
        <v/>
      </c>
      <c r="AD487" s="124" t="str">
        <f aca="false">IF(ISBLANK($C487),"",IF($K487=Constants!$B$2,TRUE(),IF($K487=Constants!$B$3,FALSE(),TRUE())))</f>
        <v/>
      </c>
      <c r="AE487" s="124" t="str">
        <f aca="false">IF(ISBLANK($C487),"",IF($L487=Constants!$B$2,TRUE(),IF($L487=Constants!$B$3,FALSE(),TRUE())))</f>
        <v/>
      </c>
      <c r="AF487" s="126" t="str">
        <f aca="false">IF(ISBLANK($C487),"",IF(ISNUMBER($M487),IF($M487&gt;=0,$M487,""),""))</f>
        <v/>
      </c>
      <c r="AG487" s="124" t="str">
        <f aca="false">IF(ISBLANK($C487),"",IF(ISBLANK($N487),0,IF(ISNUMBER($N487),IF(AND($N487&gt;=0,$N487&lt;=Constants!$B$17,$N487=INT($N487)),$N487,""),"")))</f>
        <v/>
      </c>
      <c r="AH487" s="125" t="str">
        <f aca="false">IF(ISBLANK($C487),"",IF(ISBLANK($O487),0,IF(ISNUMBER($O487),IF($O487&gt;=0,$O487,""),"")))</f>
        <v/>
      </c>
      <c r="AI487" s="124" t="str">
        <f aca="false">IF(ISBLANK($C487),"",IF($P487=Constants!$B$2,TRUE(),IF($P487=Constants!$B$3,FALSE(),TRUE())))</f>
        <v/>
      </c>
      <c r="AJ487" s="124" t="str">
        <f aca="false">IF(ISBLANK($C487),"",IF($Q487=Constants!$B$2,TRUE(),IF($Q487=Constants!$B$3,FALSE(),TRUE())))</f>
        <v/>
      </c>
      <c r="AK487" s="124" t="str">
        <f aca="false">IF(ISBLANK($C487),"",IF($R487=Constants!$B$2,TRUE(),IF($R487=Constants!$B$3,FALSE(),TRUE())))</f>
        <v/>
      </c>
      <c r="AL487" s="126" t="str">
        <f aca="false">IF(ISBLANK($C487),"",IF(ISNUMBER($S487),IF($S487&gt;=0,$S487,""),""))</f>
        <v/>
      </c>
      <c r="AM487" s="124" t="str">
        <f aca="false">IF(ISBLANK($C487),"",IF(ISBLANK($T487),0,IF(ISNUMBER($T487),IF(AND($T487&gt;=0,$T487&lt;=Constants!$B$17,$T487=INT($T487)),$T487,""),"")))</f>
        <v/>
      </c>
      <c r="AN487" s="125" t="str">
        <f aca="false">IF(ISBLANK($C487),"",IF(ISBLANK($U487),0,IF(ISNUMBER($U487),IF($U487&gt;=0,$U487,""),"")))</f>
        <v/>
      </c>
      <c r="AO487" s="124" t="str">
        <f aca="false">IF(ISBLANK($C487),"",IF($V487=Constants!$B$2,TRUE(),IF($V487=Constants!$B$3,FALSE(),FALSE())))</f>
        <v/>
      </c>
      <c r="AP487" s="124"/>
      <c r="AQ487" s="123" t="str">
        <f aca="false">IF(ISBLANK($C487),"",AND($Y487,OR($AS487,$BC487),OR($Z487="",$AA487="",$AB487="")))</f>
        <v/>
      </c>
      <c r="AR487" s="123" t="str">
        <f aca="false">IF(ISBLANK($C487),"",IF(OR(NOT($Y487),NOT(OR($AS487,$BC487))),"",IF(ISBLANK($D$7),$AR$5,IF($AP$9="",$AR$6,""))))</f>
        <v/>
      </c>
      <c r="AS487" s="123" t="str">
        <f aca="false">IF(ISBLANK($C487),"",COUNTA($J487:$O487)&gt;0)</f>
        <v/>
      </c>
      <c r="AT487" s="123" t="str">
        <f aca="false">IF(ISBLANK($C487),"",AND($AS487,OR(AND($AF487="",OR($AE487,NOT(ISBLANK($M487)))),$AG487="",$AH487="")))</f>
        <v/>
      </c>
      <c r="AU487" s="125" t="str">
        <f aca="false">IF($BL487&lt;&gt;Constants!$B$4,"",IF(NOT($AS487),"",ROUND((Constants!$B$12-$AB487)+(Constants!$B$13-$Z487)+(Constants!$B$14-$AA487),1)))</f>
        <v/>
      </c>
      <c r="AV487" s="127" t="str">
        <f aca="false">IF($BL487&lt;&gt;Constants!$B$4,"",IF(NOT($AS487),"",IF(NOT($AE487),0,Constants!$B$15*(INT(ROUND(MIN($AF487,$AP$9),6))-INT(ROUND(MAX(0,MIN($AF487,2*$AP$9)-$AP$9),6))))))</f>
        <v/>
      </c>
      <c r="AW487" s="127" t="str">
        <f aca="false">IF($BL487&lt;&gt;Constants!$B$4,"",IF(NOT($AS487),"",Constants!$B$16*$AG487))</f>
        <v/>
      </c>
      <c r="AX487" s="127" t="str">
        <f aca="false">IF($BL487&lt;&gt;Constants!$B$4,"",IF(NOT($AS487),"",Constants!$B$18*INT(ROUND($AH487,6))))</f>
        <v/>
      </c>
      <c r="AY487" s="123" t="str">
        <f aca="false">IF($BL487&lt;&gt;Constants!$B$4,"",IF(NOT($AS487),"",IF(NOT($X487),Constants!$B$11,IF(OR(NOT($AC487),NOT($AD487),ROUND($AB487,1)&gt;Constants!$B$12,ROUND($Z487,1)&gt;Constants!$B$13,ROUND($AA487,1)&gt;Constants!$B$14),Constants!$B$10,Constants!$B$9))))</f>
        <v/>
      </c>
      <c r="AZ487" s="128" t="str">
        <f aca="false">IF($BL487&lt;&gt;Constants!$B$4,"",IF(NOT($AS487),"",ROUND($AU487+$AV487+$AW487+$AX487,1)))</f>
        <v/>
      </c>
      <c r="BA487" s="129" t="str">
        <f aca="false">IF($BL487&lt;&gt;Constants!$B$4,"",IF(NOT($AS487),"",IF(ISNUMBER($AF487),$AF487,0)))</f>
        <v/>
      </c>
      <c r="BB487" s="124" t="str">
        <f aca="false">IF($BL487&lt;&gt;Constants!$B$4,"",IF(NOT($BC487),"&lt;-",IF(NOT($AS487),"-&gt;",IF(OR($BI487&lt;$AY487,AND($BI487=$AY487,OR($BJ487&gt;$AZ487,AND($BJ487=$AZ487,OR($BH487&gt;$AX487,AND($BH487=$AX487,OR($BE487&gt;$AU487,AND($BE487=$AU487,OR($BF487&gt;$AV487,AND($BF487=$AV487,$BK487&gt;$BA487)))))))))),"-&gt;","&lt;-"))))</f>
        <v/>
      </c>
      <c r="BC487" s="123" t="str">
        <f aca="false">IF(ISBLANK($C487),"",COUNTA($P487:$U487)&gt;0)</f>
        <v/>
      </c>
      <c r="BD487" s="123" t="str">
        <f aca="false">IF(ISBLANK($C487),"",AND($BC487,OR(AND($AL487="",OR($AK487,NOT(ISBLANK($S487)))),$AM487="",$AN487="")))</f>
        <v/>
      </c>
      <c r="BE487" s="125" t="str">
        <f aca="false">IF($BL487&lt;&gt;Constants!$B$4,"",IF(NOT($BC487),"",ROUND((Constants!$B$12-$AB487)+(Constants!$B$13-$Z487)+(Constants!$B$14-$AA487),1)))</f>
        <v/>
      </c>
      <c r="BF487" s="127" t="str">
        <f aca="false">IF($BL487&lt;&gt;Constants!$B$4,"",IF(NOT($BC487),"",IF(NOT($AK487),0,Constants!$B$15*(INT(ROUND(MIN($AL487,$AP$9),6))-INT(ROUND(MAX(0,MIN($AL487,2*$AP$9)-$AP$9),6))))))</f>
        <v/>
      </c>
      <c r="BG487" s="127" t="str">
        <f aca="false">IF($BL487&lt;&gt;Constants!$B$4,"",IF(NOT($BC487),"",Constants!$B$16*$AM487))</f>
        <v/>
      </c>
      <c r="BH487" s="127" t="str">
        <f aca="false">IF($BL487&lt;&gt;Constants!$B$4,"",IF(NOT($BC487),"",Constants!$B$18*INT(ROUND($AN487,6))))</f>
        <v/>
      </c>
      <c r="BI487" s="123" t="str">
        <f aca="false">IF($BL487&lt;&gt;Constants!$B$4,"",IF(NOT($BC487),"",IF(NOT($X487),Constants!$B$11,IF(OR(NOT($AI487),NOT($AJ487),ROUND($AB487,1)&gt;Constants!$B$12,ROUND($Z487,1)&gt;Constants!$B$13,ROUND($AA487,1)&gt;Constants!$B$14),Constants!$B$10,Constants!$B$9))))</f>
        <v/>
      </c>
      <c r="BJ487" s="128" t="str">
        <f aca="false">IF($BL487&lt;&gt;Constants!$B$4,"",IF(NOT($BC487),"",ROUND($BE487+$BF487+$BG487+$BH487,1)))</f>
        <v/>
      </c>
      <c r="BK487" s="129" t="str">
        <f aca="false">IF($BL487&lt;&gt;Constants!$B$4,"",IF(NOT($BC487),"",IF(ISNUMBER($AL487),$AL487,0)))</f>
        <v/>
      </c>
      <c r="BL487" s="124" t="str">
        <f aca="false">IF(ISBLANK($C487),"",IF($AO487,Constants!$B$7,IF(COUNTA($E487:$V487)=0,Constants!$B$6,IF(NOT($Y487),Constants!$B$5,IF(NOT(OR($AS487,$BC487)),Constants!$B$5,IF(OR($AT487,$BD487,$AQ487,$AR487&lt;&gt;""),Constants!$B$8,Constants!$B$4))))))</f>
        <v/>
      </c>
      <c r="BM487" s="124" t="str">
        <f aca="false">IF(ISBLANK($C487),"",IF($BL487&lt;&gt;Constants!$B$4,$BL487,IF($BB487="-&gt;",$BI487,$AY487)))</f>
        <v/>
      </c>
      <c r="BN487" s="127" t="str">
        <f aca="false">IF($BL487&lt;&gt;Constants!$B$4,"",IF($BB487="-&gt;",$BJ487,$AZ487))</f>
        <v/>
      </c>
      <c r="BO487" s="127" t="str">
        <f aca="false">IF(ISBLANK($C487),"",IF($BL487&lt;&gt;Constants!$B$4,$BL487,$BN487))</f>
        <v/>
      </c>
      <c r="BP487" s="124" t="str">
        <f aca="false">IF(ISBLANK($C487),"",IF($BL487&lt;&gt;Constants!$B$4,$BL487,RANK($BO487,$BO$9:$BO$508,0)))</f>
        <v/>
      </c>
      <c r="BQ487" s="124" t="str">
        <f aca="false">IF(ISBLANK($C487),"",IF($BL487&lt;&gt;Constants!$B$4,$BL487,COUNTIFS($BM$9:$BM$508,"&lt;"&amp;$BM487)+COUNTIFS($BM$9:$BM$508,$BM487,$BP$9:$BP$508,"&lt;"&amp;$BP487)+1))</f>
        <v/>
      </c>
      <c r="BR487" s="127" t="str">
        <f aca="false">IF($BL487&lt;&gt;Constants!$B$4,"",IF($BB487="-&gt;",$BH487,$AX487))</f>
        <v/>
      </c>
      <c r="BS487" s="124" t="str">
        <f aca="false">IF(ISBLANK($C487),"",IF($BL487&lt;&gt;Constants!$B$4,$BL487,IF(ISNUMBER($BR487),RANK($BR487,$BR$9:$BR$508,0),COUNT($BR$9:$BR$508)+1)))</f>
        <v/>
      </c>
      <c r="BT487" s="127" t="str">
        <f aca="false">IF($BL487&lt;&gt;Constants!$B$4,"",IF($BB487="-&gt;",$BE487,$AU487))</f>
        <v/>
      </c>
      <c r="BU487" s="124" t="str">
        <f aca="false">IF(ISBLANK($C487),"",IF($BL487&lt;&gt;Constants!$B$4,$BL487,IF(ISNUMBER($BT487),RANK($BT487,$BT$9:$BT$508,0),COUNT($BT$9:$BT$508)+1)))</f>
        <v/>
      </c>
      <c r="BV487" s="127" t="str">
        <f aca="false">IF($BL487&lt;&gt;Constants!$B$4,"",IF($BB487="-&gt;",$BF487,$AV487))</f>
        <v/>
      </c>
      <c r="BW487" s="124" t="str">
        <f aca="false">IF(ISBLANK($C487),"",IF($BL487&lt;&gt;Constants!$B$4,$BL487,IF(ISNUMBER($BV487),RANK($BV487,$BV$9:$BV$508,0),COUNT($BV$9:$BV$508)+1)))</f>
        <v/>
      </c>
      <c r="BX487" s="127" t="str">
        <f aca="false">IF($BL487&lt;&gt;Constants!$B$4,"",IF($BB487="-&gt;",$BK487,$BA487))</f>
        <v/>
      </c>
      <c r="BY487" s="124" t="str">
        <f aca="false">IF(ISBLANK($C487),"",IF($BL487&lt;&gt;Constants!$B$4,$BL487,IF(ISNUMBER($BX487),RANK($BX487,$BX$9:$BX$508,0),COUNT($BX$9:$BX$508)+1)))</f>
        <v/>
      </c>
      <c r="BZ487" s="124" t="str">
        <f aca="false">IF(ISBLANK($C487),"",IF($BL487&lt;&gt;Constants!$B$4,$BL487,COUNTIFS($BM$9:$BM$508,"&lt;"&amp;$BM487)+COUNTIFS($BM$9:$BM$508,$BM487,$BP$9:$BP$508,"&lt;"&amp;$BP487)+COUNTIFS($BM$9:$BM$508,$BM487,$BP$9:$BP$508,$BP487,$BS$9:$BS$508,"&lt;"&amp;$BS487)+COUNTIFS($BM$9:$BM$508,$BM487,$BP$9:$BP$508,$BP487,$BS$9:$BS$508,$BS487,$BU$9:$BU$508,"&lt;"&amp;$BU487)+COUNTIFS($BM$9:$BM$508,$BM487,$BP$9:$BP$508,$BP487,$BS$9:$BS$508,$BS487,$BU$9:$BU$508,$BU487,$BW$9:$BW$508,"&lt;"&amp;$BW487)+COUNTIFS($BM$9:$BM$508,$BM487,$BP$9:$BP$508,$BP487,$BS$9:$BS$508,$BS487,$BU$9:$BU$508,$BU487,$BW$9:$BW$508,$BW487,$BY$9:$BY$508,"&lt;"&amp;$BY487)+1))</f>
        <v/>
      </c>
      <c r="CA487" s="124" t="str">
        <f aca="false">IF(ISBLANK($C487),"",IF($BL487&lt;&gt;Constants!$B$4,$BL487,$BQ487-$BZ487))</f>
        <v/>
      </c>
      <c r="CB487" s="130"/>
      <c r="CC487" s="131" t="str">
        <f aca="false">IF(ISBLANK($C487),"",IF($BL487=Constants!$B$8,$AR487,""))</f>
        <v/>
      </c>
      <c r="CD487" s="131" t="str">
        <f aca="false">IF(ISBLANK($C487),"",IF($BL487&lt;&gt;Constants!$B$4,"",IF($BB487="-&gt;",2,1)))</f>
        <v/>
      </c>
      <c r="CE487" s="132" t="str">
        <f aca="false">IF(ISBLANK($C487),"",IF($BL487&lt;&gt;Constants!$B$4,"",IF($BB487="-&gt;",$BE487,$AU487)))</f>
        <v/>
      </c>
      <c r="CF487" s="132" t="str">
        <f aca="false">IF(ISBLANK($C487),"",IF($BL487&lt;&gt;Constants!$B$4,"",IF($BB487="-&gt;",$BF487,$AV487)))</f>
        <v/>
      </c>
      <c r="CG487" s="132" t="str">
        <f aca="false">IF(ISBLANK($C487),"",IF($BL487&lt;&gt;Constants!$B$4,"",IF($BB487="-&gt;",$BG487,$AW487)))</f>
        <v/>
      </c>
      <c r="CH487" s="132" t="str">
        <f aca="false">IF(ISBLANK($C487),"",IF($BL487&lt;&gt;Constants!$B$4,"",IF($BB487="-&gt;",$BH487,$AX487)))</f>
        <v/>
      </c>
      <c r="CI487" s="133" t="str">
        <f aca="false">IF(ISBLANK($C487),"",$BO487)</f>
        <v/>
      </c>
      <c r="CJ487" s="134" t="str">
        <f aca="false">IF(ISBLANK($C487),"",$BM487)</f>
        <v/>
      </c>
      <c r="CK487" s="135" t="str">
        <f aca="false">IF(ISBLANK($C487),"",$CA487)</f>
        <v/>
      </c>
      <c r="CL487" s="135" t="str">
        <f aca="false">IF(ISBLANK($C487),"",$BZ487)</f>
        <v/>
      </c>
      <c r="CM487" s="136" t="str">
        <f aca="false">IF(ISBLANK($C487),"",IF($CL487=Constants!$B$7,COUNTA($C$9:$C$508)+2,IF($CL487=Constants!$B$6,COUNTA($C$9:$C$508)+1,IF($CL487=Constants!$B$5,COUNTA($C$9:$C$508),$CL487))))</f>
        <v/>
      </c>
      <c r="CN487" s="8"/>
      <c r="CO487" s="137" t="n">
        <f aca="false">IF(OR(ISNUMBER($CL487),$CL487=Constants!$B$7,$CL487=Constants!$B$5,$CL487=Constants!$B$6),1,0)</f>
        <v>0</v>
      </c>
      <c r="CP487" s="137" t="n">
        <v>479</v>
      </c>
      <c r="CQ487" s="137" t="str">
        <f aca="false">IF(ISBLANK($C487),"",IF(ISNUMBER($CM487),$CM487+ROW($B487)/1000,""))</f>
        <v/>
      </c>
      <c r="CR487" s="137" t="str">
        <f aca="false">IF(ISNUMBER($CQ487),RANK($CQ487,$CQ$9:$CQ$508,1),"")</f>
        <v/>
      </c>
      <c r="CS487" s="137" t="str">
        <f aca="false">IF(ISBLANK($C487),"",$B487)</f>
        <v/>
      </c>
      <c r="CT487" s="137" t="str">
        <f aca="false">IF(ISBLANK($C487),"",$C487)</f>
        <v/>
      </c>
      <c r="CU487" s="137" t="str">
        <f aca="false">IF(ISBLANK($C487),"",$D487)</f>
        <v/>
      </c>
      <c r="CV487" s="138" t="str">
        <f aca="false">$CJ487</f>
        <v/>
      </c>
      <c r="CW487" s="139" t="str">
        <f aca="false">$CI487</f>
        <v/>
      </c>
      <c r="CX487" s="137" t="str">
        <f aca="false">IF(ISBLANK($C487),"",$CL487)</f>
        <v/>
      </c>
      <c r="CY487" s="140" t="str">
        <f aca="false">IF($CP487&gt;$CO$8,"",VLOOKUP($CP487,$CR$9:$CX$508,7,FALSE()))</f>
        <v/>
      </c>
      <c r="CZ487" s="141" t="str">
        <f aca="false">IF($CP487&gt;$CO$8,"",VLOOKUP($CP487,$CR$9:$CX$508,2,FALSE()))</f>
        <v/>
      </c>
      <c r="DA487" s="141" t="str">
        <f aca="false">IF($CP487&gt;$CO$8,"",VLOOKUP($CP487,$CR$9:$CX$508,3,FALSE()))</f>
        <v/>
      </c>
      <c r="DB487" s="141" t="str">
        <f aca="false">IF($CP487&gt;$CO$8,"",VLOOKUP($CP487,$CR$9:$CX$508,4,FALSE()))</f>
        <v/>
      </c>
      <c r="DC487" s="141" t="str">
        <f aca="false">IF($CP487&gt;$CO$8,"",VLOOKUP($CP487,$CR$9:$CX$508,5,FALSE()))</f>
        <v/>
      </c>
      <c r="DD487" s="142" t="str">
        <f aca="false">IF($CP487&gt;$CO$8,"",VLOOKUP($CP487,$CR$9:$CX$508,6,FALSE()))</f>
        <v/>
      </c>
      <c r="DE487" s="70"/>
    </row>
    <row r="488" customFormat="false" ht="15.75" hidden="false" customHeight="false" outlineLevel="0" collapsed="false">
      <c r="A488" s="8"/>
      <c r="B488" s="146"/>
      <c r="C488" s="147"/>
      <c r="D488" s="148"/>
      <c r="E488" s="164"/>
      <c r="F488" s="150"/>
      <c r="G488" s="115"/>
      <c r="H488" s="115"/>
      <c r="I488" s="115"/>
      <c r="J488" s="165"/>
      <c r="K488" s="154"/>
      <c r="L488" s="154"/>
      <c r="M488" s="118"/>
      <c r="N488" s="154"/>
      <c r="O488" s="153"/>
      <c r="P488" s="154"/>
      <c r="Q488" s="154"/>
      <c r="R488" s="154"/>
      <c r="S488" s="115"/>
      <c r="T488" s="154"/>
      <c r="U488" s="153"/>
      <c r="V488" s="154"/>
      <c r="W488" s="123"/>
      <c r="X488" s="124" t="str">
        <f aca="false">IF(ISBLANK($C488),"",IF($E488=Constants!$B$2,TRUE(),IF($E488=Constants!$B$3,FALSE(),TRUE())))</f>
        <v/>
      </c>
      <c r="Y488" s="124" t="str">
        <f aca="false">IF(ISBLANK($C488),"",IF($F488=Constants!$B$2,TRUE(),IF($F488=Constants!$B$3,FALSE(),TRUE())))</f>
        <v/>
      </c>
      <c r="Z488" s="125" t="str">
        <f aca="false">IF(ISBLANK($C488),"",IF(ISNUMBER($G488),IF($G488&gt;=0,$G488,""),""))</f>
        <v/>
      </c>
      <c r="AA488" s="125" t="str">
        <f aca="false">IF(ISBLANK($C488),"",IF(ISNUMBER($H488),IF($H488&gt;=0,$H488,""),""))</f>
        <v/>
      </c>
      <c r="AB488" s="125" t="str">
        <f aca="false">IF(ISBLANK($C488),"",IF(ISNUMBER($I488),IF($I488&gt;=0,$I488,""),""))</f>
        <v/>
      </c>
      <c r="AC488" s="124" t="str">
        <f aca="false">IF(ISBLANK($C488),"",IF($J488=Constants!$B$2,TRUE(),IF($J488=Constants!$B$3,FALSE(),TRUE())))</f>
        <v/>
      </c>
      <c r="AD488" s="124" t="str">
        <f aca="false">IF(ISBLANK($C488),"",IF($K488=Constants!$B$2,TRUE(),IF($K488=Constants!$B$3,FALSE(),TRUE())))</f>
        <v/>
      </c>
      <c r="AE488" s="124" t="str">
        <f aca="false">IF(ISBLANK($C488),"",IF($L488=Constants!$B$2,TRUE(),IF($L488=Constants!$B$3,FALSE(),TRUE())))</f>
        <v/>
      </c>
      <c r="AF488" s="126" t="str">
        <f aca="false">IF(ISBLANK($C488),"",IF(ISNUMBER($M488),IF($M488&gt;=0,$M488,""),""))</f>
        <v/>
      </c>
      <c r="AG488" s="124" t="str">
        <f aca="false">IF(ISBLANK($C488),"",IF(ISBLANK($N488),0,IF(ISNUMBER($N488),IF(AND($N488&gt;=0,$N488&lt;=Constants!$B$17,$N488=INT($N488)),$N488,""),"")))</f>
        <v/>
      </c>
      <c r="AH488" s="125" t="str">
        <f aca="false">IF(ISBLANK($C488),"",IF(ISBLANK($O488),0,IF(ISNUMBER($O488),IF($O488&gt;=0,$O488,""),"")))</f>
        <v/>
      </c>
      <c r="AI488" s="124" t="str">
        <f aca="false">IF(ISBLANK($C488),"",IF($P488=Constants!$B$2,TRUE(),IF($P488=Constants!$B$3,FALSE(),TRUE())))</f>
        <v/>
      </c>
      <c r="AJ488" s="124" t="str">
        <f aca="false">IF(ISBLANK($C488),"",IF($Q488=Constants!$B$2,TRUE(),IF($Q488=Constants!$B$3,FALSE(),TRUE())))</f>
        <v/>
      </c>
      <c r="AK488" s="124" t="str">
        <f aca="false">IF(ISBLANK($C488),"",IF($R488=Constants!$B$2,TRUE(),IF($R488=Constants!$B$3,FALSE(),TRUE())))</f>
        <v/>
      </c>
      <c r="AL488" s="126" t="str">
        <f aca="false">IF(ISBLANK($C488),"",IF(ISNUMBER($S488),IF($S488&gt;=0,$S488,""),""))</f>
        <v/>
      </c>
      <c r="AM488" s="124" t="str">
        <f aca="false">IF(ISBLANK($C488),"",IF(ISBLANK($T488),0,IF(ISNUMBER($T488),IF(AND($T488&gt;=0,$T488&lt;=Constants!$B$17,$T488=INT($T488)),$T488,""),"")))</f>
        <v/>
      </c>
      <c r="AN488" s="125" t="str">
        <f aca="false">IF(ISBLANK($C488),"",IF(ISBLANK($U488),0,IF(ISNUMBER($U488),IF($U488&gt;=0,$U488,""),"")))</f>
        <v/>
      </c>
      <c r="AO488" s="124" t="str">
        <f aca="false">IF(ISBLANK($C488),"",IF($V488=Constants!$B$2,TRUE(),IF($V488=Constants!$B$3,FALSE(),FALSE())))</f>
        <v/>
      </c>
      <c r="AP488" s="124"/>
      <c r="AQ488" s="123" t="str">
        <f aca="false">IF(ISBLANK($C488),"",AND($Y488,OR($AS488,$BC488),OR($Z488="",$AA488="",$AB488="")))</f>
        <v/>
      </c>
      <c r="AR488" s="123" t="str">
        <f aca="false">IF(ISBLANK($C488),"",IF(OR(NOT($Y488),NOT(OR($AS488,$BC488))),"",IF(ISBLANK($D$7),$AR$5,IF($AP$9="",$AR$6,""))))</f>
        <v/>
      </c>
      <c r="AS488" s="123" t="str">
        <f aca="false">IF(ISBLANK($C488),"",COUNTA($J488:$O488)&gt;0)</f>
        <v/>
      </c>
      <c r="AT488" s="123" t="str">
        <f aca="false">IF(ISBLANK($C488),"",AND($AS488,OR(AND($AF488="",OR($AE488,NOT(ISBLANK($M488)))),$AG488="",$AH488="")))</f>
        <v/>
      </c>
      <c r="AU488" s="125" t="str">
        <f aca="false">IF($BL488&lt;&gt;Constants!$B$4,"",IF(NOT($AS488),"",ROUND((Constants!$B$12-$AB488)+(Constants!$B$13-$Z488)+(Constants!$B$14-$AA488),1)))</f>
        <v/>
      </c>
      <c r="AV488" s="127" t="str">
        <f aca="false">IF($BL488&lt;&gt;Constants!$B$4,"",IF(NOT($AS488),"",IF(NOT($AE488),0,Constants!$B$15*(INT(ROUND(MIN($AF488,$AP$9),6))-INT(ROUND(MAX(0,MIN($AF488,2*$AP$9)-$AP$9),6))))))</f>
        <v/>
      </c>
      <c r="AW488" s="127" t="str">
        <f aca="false">IF($BL488&lt;&gt;Constants!$B$4,"",IF(NOT($AS488),"",Constants!$B$16*$AG488))</f>
        <v/>
      </c>
      <c r="AX488" s="127" t="str">
        <f aca="false">IF($BL488&lt;&gt;Constants!$B$4,"",IF(NOT($AS488),"",Constants!$B$18*INT(ROUND($AH488,6))))</f>
        <v/>
      </c>
      <c r="AY488" s="123" t="str">
        <f aca="false">IF($BL488&lt;&gt;Constants!$B$4,"",IF(NOT($AS488),"",IF(NOT($X488),Constants!$B$11,IF(OR(NOT($AC488),NOT($AD488),ROUND($AB488,1)&gt;Constants!$B$12,ROUND($Z488,1)&gt;Constants!$B$13,ROUND($AA488,1)&gt;Constants!$B$14),Constants!$B$10,Constants!$B$9))))</f>
        <v/>
      </c>
      <c r="AZ488" s="128" t="str">
        <f aca="false">IF($BL488&lt;&gt;Constants!$B$4,"",IF(NOT($AS488),"",ROUND($AU488+$AV488+$AW488+$AX488,1)))</f>
        <v/>
      </c>
      <c r="BA488" s="129" t="str">
        <f aca="false">IF($BL488&lt;&gt;Constants!$B$4,"",IF(NOT($AS488),"",IF(ISNUMBER($AF488),$AF488,0)))</f>
        <v/>
      </c>
      <c r="BB488" s="124" t="str">
        <f aca="false">IF($BL488&lt;&gt;Constants!$B$4,"",IF(NOT($BC488),"&lt;-",IF(NOT($AS488),"-&gt;",IF(OR($BI488&lt;$AY488,AND($BI488=$AY488,OR($BJ488&gt;$AZ488,AND($BJ488=$AZ488,OR($BH488&gt;$AX488,AND($BH488=$AX488,OR($BE488&gt;$AU488,AND($BE488=$AU488,OR($BF488&gt;$AV488,AND($BF488=$AV488,$BK488&gt;$BA488)))))))))),"-&gt;","&lt;-"))))</f>
        <v/>
      </c>
      <c r="BC488" s="123" t="str">
        <f aca="false">IF(ISBLANK($C488),"",COUNTA($P488:$U488)&gt;0)</f>
        <v/>
      </c>
      <c r="BD488" s="123" t="str">
        <f aca="false">IF(ISBLANK($C488),"",AND($BC488,OR(AND($AL488="",OR($AK488,NOT(ISBLANK($S488)))),$AM488="",$AN488="")))</f>
        <v/>
      </c>
      <c r="BE488" s="125" t="str">
        <f aca="false">IF($BL488&lt;&gt;Constants!$B$4,"",IF(NOT($BC488),"",ROUND((Constants!$B$12-$AB488)+(Constants!$B$13-$Z488)+(Constants!$B$14-$AA488),1)))</f>
        <v/>
      </c>
      <c r="BF488" s="127" t="str">
        <f aca="false">IF($BL488&lt;&gt;Constants!$B$4,"",IF(NOT($BC488),"",IF(NOT($AK488),0,Constants!$B$15*(INT(ROUND(MIN($AL488,$AP$9),6))-INT(ROUND(MAX(0,MIN($AL488,2*$AP$9)-$AP$9),6))))))</f>
        <v/>
      </c>
      <c r="BG488" s="127" t="str">
        <f aca="false">IF($BL488&lt;&gt;Constants!$B$4,"",IF(NOT($BC488),"",Constants!$B$16*$AM488))</f>
        <v/>
      </c>
      <c r="BH488" s="127" t="str">
        <f aca="false">IF($BL488&lt;&gt;Constants!$B$4,"",IF(NOT($BC488),"",Constants!$B$18*INT(ROUND($AN488,6))))</f>
        <v/>
      </c>
      <c r="BI488" s="123" t="str">
        <f aca="false">IF($BL488&lt;&gt;Constants!$B$4,"",IF(NOT($BC488),"",IF(NOT($X488),Constants!$B$11,IF(OR(NOT($AI488),NOT($AJ488),ROUND($AB488,1)&gt;Constants!$B$12,ROUND($Z488,1)&gt;Constants!$B$13,ROUND($AA488,1)&gt;Constants!$B$14),Constants!$B$10,Constants!$B$9))))</f>
        <v/>
      </c>
      <c r="BJ488" s="128" t="str">
        <f aca="false">IF($BL488&lt;&gt;Constants!$B$4,"",IF(NOT($BC488),"",ROUND($BE488+$BF488+$BG488+$BH488,1)))</f>
        <v/>
      </c>
      <c r="BK488" s="129" t="str">
        <f aca="false">IF($BL488&lt;&gt;Constants!$B$4,"",IF(NOT($BC488),"",IF(ISNUMBER($AL488),$AL488,0)))</f>
        <v/>
      </c>
      <c r="BL488" s="124" t="str">
        <f aca="false">IF(ISBLANK($C488),"",IF($AO488,Constants!$B$7,IF(COUNTA($E488:$V488)=0,Constants!$B$6,IF(NOT($Y488),Constants!$B$5,IF(NOT(OR($AS488,$BC488)),Constants!$B$5,IF(OR($AT488,$BD488,$AQ488,$AR488&lt;&gt;""),Constants!$B$8,Constants!$B$4))))))</f>
        <v/>
      </c>
      <c r="BM488" s="124" t="str">
        <f aca="false">IF(ISBLANK($C488),"",IF($BL488&lt;&gt;Constants!$B$4,$BL488,IF($BB488="-&gt;",$BI488,$AY488)))</f>
        <v/>
      </c>
      <c r="BN488" s="127" t="str">
        <f aca="false">IF($BL488&lt;&gt;Constants!$B$4,"",IF($BB488="-&gt;",$BJ488,$AZ488))</f>
        <v/>
      </c>
      <c r="BO488" s="127" t="str">
        <f aca="false">IF(ISBLANK($C488),"",IF($BL488&lt;&gt;Constants!$B$4,$BL488,$BN488))</f>
        <v/>
      </c>
      <c r="BP488" s="124" t="str">
        <f aca="false">IF(ISBLANK($C488),"",IF($BL488&lt;&gt;Constants!$B$4,$BL488,RANK($BO488,$BO$9:$BO$508,0)))</f>
        <v/>
      </c>
      <c r="BQ488" s="124" t="str">
        <f aca="false">IF(ISBLANK($C488),"",IF($BL488&lt;&gt;Constants!$B$4,$BL488,COUNTIFS($BM$9:$BM$508,"&lt;"&amp;$BM488)+COUNTIFS($BM$9:$BM$508,$BM488,$BP$9:$BP$508,"&lt;"&amp;$BP488)+1))</f>
        <v/>
      </c>
      <c r="BR488" s="127" t="str">
        <f aca="false">IF($BL488&lt;&gt;Constants!$B$4,"",IF($BB488="-&gt;",$BH488,$AX488))</f>
        <v/>
      </c>
      <c r="BS488" s="124" t="str">
        <f aca="false">IF(ISBLANK($C488),"",IF($BL488&lt;&gt;Constants!$B$4,$BL488,IF(ISNUMBER($BR488),RANK($BR488,$BR$9:$BR$508,0),COUNT($BR$9:$BR$508)+1)))</f>
        <v/>
      </c>
      <c r="BT488" s="127" t="str">
        <f aca="false">IF($BL488&lt;&gt;Constants!$B$4,"",IF($BB488="-&gt;",$BE488,$AU488))</f>
        <v/>
      </c>
      <c r="BU488" s="124" t="str">
        <f aca="false">IF(ISBLANK($C488),"",IF($BL488&lt;&gt;Constants!$B$4,$BL488,IF(ISNUMBER($BT488),RANK($BT488,$BT$9:$BT$508,0),COUNT($BT$9:$BT$508)+1)))</f>
        <v/>
      </c>
      <c r="BV488" s="127" t="str">
        <f aca="false">IF($BL488&lt;&gt;Constants!$B$4,"",IF($BB488="-&gt;",$BF488,$AV488))</f>
        <v/>
      </c>
      <c r="BW488" s="124" t="str">
        <f aca="false">IF(ISBLANK($C488),"",IF($BL488&lt;&gt;Constants!$B$4,$BL488,IF(ISNUMBER($BV488),RANK($BV488,$BV$9:$BV$508,0),COUNT($BV$9:$BV$508)+1)))</f>
        <v/>
      </c>
      <c r="BX488" s="127" t="str">
        <f aca="false">IF($BL488&lt;&gt;Constants!$B$4,"",IF($BB488="-&gt;",$BK488,$BA488))</f>
        <v/>
      </c>
      <c r="BY488" s="124" t="str">
        <f aca="false">IF(ISBLANK($C488),"",IF($BL488&lt;&gt;Constants!$B$4,$BL488,IF(ISNUMBER($BX488),RANK($BX488,$BX$9:$BX$508,0),COUNT($BX$9:$BX$508)+1)))</f>
        <v/>
      </c>
      <c r="BZ488" s="124" t="str">
        <f aca="false">IF(ISBLANK($C488),"",IF($BL488&lt;&gt;Constants!$B$4,$BL488,COUNTIFS($BM$9:$BM$508,"&lt;"&amp;$BM488)+COUNTIFS($BM$9:$BM$508,$BM488,$BP$9:$BP$508,"&lt;"&amp;$BP488)+COUNTIFS($BM$9:$BM$508,$BM488,$BP$9:$BP$508,$BP488,$BS$9:$BS$508,"&lt;"&amp;$BS488)+COUNTIFS($BM$9:$BM$508,$BM488,$BP$9:$BP$508,$BP488,$BS$9:$BS$508,$BS488,$BU$9:$BU$508,"&lt;"&amp;$BU488)+COUNTIFS($BM$9:$BM$508,$BM488,$BP$9:$BP$508,$BP488,$BS$9:$BS$508,$BS488,$BU$9:$BU$508,$BU488,$BW$9:$BW$508,"&lt;"&amp;$BW488)+COUNTIFS($BM$9:$BM$508,$BM488,$BP$9:$BP$508,$BP488,$BS$9:$BS$508,$BS488,$BU$9:$BU$508,$BU488,$BW$9:$BW$508,$BW488,$BY$9:$BY$508,"&lt;"&amp;$BY488)+1))</f>
        <v/>
      </c>
      <c r="CA488" s="124" t="str">
        <f aca="false">IF(ISBLANK($C488),"",IF($BL488&lt;&gt;Constants!$B$4,$BL488,$BQ488-$BZ488))</f>
        <v/>
      </c>
      <c r="CB488" s="130"/>
      <c r="CC488" s="131" t="str">
        <f aca="false">IF(ISBLANK($C488),"",IF($BL488=Constants!$B$8,$AR488,""))</f>
        <v/>
      </c>
      <c r="CD488" s="131" t="str">
        <f aca="false">IF(ISBLANK($C488),"",IF($BL488&lt;&gt;Constants!$B$4,"",IF($BB488="-&gt;",2,1)))</f>
        <v/>
      </c>
      <c r="CE488" s="132" t="str">
        <f aca="false">IF(ISBLANK($C488),"",IF($BL488&lt;&gt;Constants!$B$4,"",IF($BB488="-&gt;",$BE488,$AU488)))</f>
        <v/>
      </c>
      <c r="CF488" s="132" t="str">
        <f aca="false">IF(ISBLANK($C488),"",IF($BL488&lt;&gt;Constants!$B$4,"",IF($BB488="-&gt;",$BF488,$AV488)))</f>
        <v/>
      </c>
      <c r="CG488" s="132" t="str">
        <f aca="false">IF(ISBLANK($C488),"",IF($BL488&lt;&gt;Constants!$B$4,"",IF($BB488="-&gt;",$BG488,$AW488)))</f>
        <v/>
      </c>
      <c r="CH488" s="132" t="str">
        <f aca="false">IF(ISBLANK($C488),"",IF($BL488&lt;&gt;Constants!$B$4,"",IF($BB488="-&gt;",$BH488,$AX488)))</f>
        <v/>
      </c>
      <c r="CI488" s="133" t="str">
        <f aca="false">IF(ISBLANK($C488),"",$BO488)</f>
        <v/>
      </c>
      <c r="CJ488" s="134" t="str">
        <f aca="false">IF(ISBLANK($C488),"",$BM488)</f>
        <v/>
      </c>
      <c r="CK488" s="135" t="str">
        <f aca="false">IF(ISBLANK($C488),"",$CA488)</f>
        <v/>
      </c>
      <c r="CL488" s="135" t="str">
        <f aca="false">IF(ISBLANK($C488),"",$BZ488)</f>
        <v/>
      </c>
      <c r="CM488" s="136" t="str">
        <f aca="false">IF(ISBLANK($C488),"",IF($CL488=Constants!$B$7,COUNTA($C$9:$C$508)+2,IF($CL488=Constants!$B$6,COUNTA($C$9:$C$508)+1,IF($CL488=Constants!$B$5,COUNTA($C$9:$C$508),$CL488))))</f>
        <v/>
      </c>
      <c r="CN488" s="8"/>
      <c r="CO488" s="137" t="n">
        <f aca="false">IF(OR(ISNUMBER($CL488),$CL488=Constants!$B$7,$CL488=Constants!$B$5,$CL488=Constants!$B$6),1,0)</f>
        <v>0</v>
      </c>
      <c r="CP488" s="137" t="n">
        <v>480</v>
      </c>
      <c r="CQ488" s="137" t="str">
        <f aca="false">IF(ISBLANK($C488),"",IF(ISNUMBER($CM488),$CM488+ROW($B488)/1000,""))</f>
        <v/>
      </c>
      <c r="CR488" s="137" t="str">
        <f aca="false">IF(ISNUMBER($CQ488),RANK($CQ488,$CQ$9:$CQ$508,1),"")</f>
        <v/>
      </c>
      <c r="CS488" s="137" t="str">
        <f aca="false">IF(ISBLANK($C488),"",$B488)</f>
        <v/>
      </c>
      <c r="CT488" s="137" t="str">
        <f aca="false">IF(ISBLANK($C488),"",$C488)</f>
        <v/>
      </c>
      <c r="CU488" s="137" t="str">
        <f aca="false">IF(ISBLANK($C488),"",$D488)</f>
        <v/>
      </c>
      <c r="CV488" s="138" t="str">
        <f aca="false">$CJ488</f>
        <v/>
      </c>
      <c r="CW488" s="139" t="str">
        <f aca="false">$CI488</f>
        <v/>
      </c>
      <c r="CX488" s="137" t="str">
        <f aca="false">IF(ISBLANK($C488),"",$CL488)</f>
        <v/>
      </c>
      <c r="CY488" s="140" t="str">
        <f aca="false">IF($CP488&gt;$CO$8,"",VLOOKUP($CP488,$CR$9:$CX$508,7,FALSE()))</f>
        <v/>
      </c>
      <c r="CZ488" s="141" t="str">
        <f aca="false">IF($CP488&gt;$CO$8,"",VLOOKUP($CP488,$CR$9:$CX$508,2,FALSE()))</f>
        <v/>
      </c>
      <c r="DA488" s="141" t="str">
        <f aca="false">IF($CP488&gt;$CO$8,"",VLOOKUP($CP488,$CR$9:$CX$508,3,FALSE()))</f>
        <v/>
      </c>
      <c r="DB488" s="141" t="str">
        <f aca="false">IF($CP488&gt;$CO$8,"",VLOOKUP($CP488,$CR$9:$CX$508,4,FALSE()))</f>
        <v/>
      </c>
      <c r="DC488" s="141" t="str">
        <f aca="false">IF($CP488&gt;$CO$8,"",VLOOKUP($CP488,$CR$9:$CX$508,5,FALSE()))</f>
        <v/>
      </c>
      <c r="DD488" s="142" t="str">
        <f aca="false">IF($CP488&gt;$CO$8,"",VLOOKUP($CP488,$CR$9:$CX$508,6,FALSE()))</f>
        <v/>
      </c>
      <c r="DE488" s="70"/>
    </row>
    <row r="489" customFormat="false" ht="15.75" hidden="false" customHeight="false" outlineLevel="0" collapsed="false">
      <c r="A489" s="8"/>
      <c r="B489" s="72"/>
      <c r="C489" s="73"/>
      <c r="D489" s="155"/>
      <c r="E489" s="162"/>
      <c r="F489" s="157"/>
      <c r="G489" s="77"/>
      <c r="H489" s="77"/>
      <c r="I489" s="77"/>
      <c r="J489" s="163"/>
      <c r="K489" s="161"/>
      <c r="L489" s="161"/>
      <c r="M489" s="80"/>
      <c r="N489" s="161"/>
      <c r="O489" s="160"/>
      <c r="P489" s="161"/>
      <c r="Q489" s="161"/>
      <c r="R489" s="161"/>
      <c r="S489" s="77"/>
      <c r="T489" s="161"/>
      <c r="U489" s="160"/>
      <c r="V489" s="161"/>
      <c r="W489" s="85"/>
      <c r="X489" s="86" t="str">
        <f aca="false">IF(ISBLANK($C489),"",IF($E489=Constants!$B$2,TRUE(),IF($E489=Constants!$B$3,FALSE(),TRUE())))</f>
        <v/>
      </c>
      <c r="Y489" s="86" t="str">
        <f aca="false">IF(ISBLANK($C489),"",IF($F489=Constants!$B$2,TRUE(),IF($F489=Constants!$B$3,FALSE(),TRUE())))</f>
        <v/>
      </c>
      <c r="Z489" s="87" t="str">
        <f aca="false">IF(ISBLANK($C489),"",IF(ISNUMBER($G489),IF($G489&gt;=0,$G489,""),""))</f>
        <v/>
      </c>
      <c r="AA489" s="87" t="str">
        <f aca="false">IF(ISBLANK($C489),"",IF(ISNUMBER($H489),IF($H489&gt;=0,$H489,""),""))</f>
        <v/>
      </c>
      <c r="AB489" s="87" t="str">
        <f aca="false">IF(ISBLANK($C489),"",IF(ISNUMBER($I489),IF($I489&gt;=0,$I489,""),""))</f>
        <v/>
      </c>
      <c r="AC489" s="86" t="str">
        <f aca="false">IF(ISBLANK($C489),"",IF($J489=Constants!$B$2,TRUE(),IF($J489=Constants!$B$3,FALSE(),TRUE())))</f>
        <v/>
      </c>
      <c r="AD489" s="86" t="str">
        <f aca="false">IF(ISBLANK($C489),"",IF($K489=Constants!$B$2,TRUE(),IF($K489=Constants!$B$3,FALSE(),TRUE())))</f>
        <v/>
      </c>
      <c r="AE489" s="86" t="str">
        <f aca="false">IF(ISBLANK($C489),"",IF($L489=Constants!$B$2,TRUE(),IF($L489=Constants!$B$3,FALSE(),TRUE())))</f>
        <v/>
      </c>
      <c r="AF489" s="88" t="str">
        <f aca="false">IF(ISBLANK($C489),"",IF(ISNUMBER($M489),IF($M489&gt;=0,$M489,""),""))</f>
        <v/>
      </c>
      <c r="AG489" s="86" t="str">
        <f aca="false">IF(ISBLANK($C489),"",IF(ISBLANK($N489),0,IF(ISNUMBER($N489),IF(AND($N489&gt;=0,$N489&lt;=Constants!$B$17,$N489=INT($N489)),$N489,""),"")))</f>
        <v/>
      </c>
      <c r="AH489" s="87" t="str">
        <f aca="false">IF(ISBLANK($C489),"",IF(ISBLANK($O489),0,IF(ISNUMBER($O489),IF($O489&gt;=0,$O489,""),"")))</f>
        <v/>
      </c>
      <c r="AI489" s="86" t="str">
        <f aca="false">IF(ISBLANK($C489),"",IF($P489=Constants!$B$2,TRUE(),IF($P489=Constants!$B$3,FALSE(),TRUE())))</f>
        <v/>
      </c>
      <c r="AJ489" s="86" t="str">
        <f aca="false">IF(ISBLANK($C489),"",IF($Q489=Constants!$B$2,TRUE(),IF($Q489=Constants!$B$3,FALSE(),TRUE())))</f>
        <v/>
      </c>
      <c r="AK489" s="86" t="str">
        <f aca="false">IF(ISBLANK($C489),"",IF($R489=Constants!$B$2,TRUE(),IF($R489=Constants!$B$3,FALSE(),TRUE())))</f>
        <v/>
      </c>
      <c r="AL489" s="88" t="str">
        <f aca="false">IF(ISBLANK($C489),"",IF(ISNUMBER($S489),IF($S489&gt;=0,$S489,""),""))</f>
        <v/>
      </c>
      <c r="AM489" s="86" t="str">
        <f aca="false">IF(ISBLANK($C489),"",IF(ISBLANK($T489),0,IF(ISNUMBER($T489),IF(AND($T489&gt;=0,$T489&lt;=Constants!$B$17,$T489=INT($T489)),$T489,""),"")))</f>
        <v/>
      </c>
      <c r="AN489" s="87" t="str">
        <f aca="false">IF(ISBLANK($C489),"",IF(ISBLANK($U489),0,IF(ISNUMBER($U489),IF($U489&gt;=0,$U489,""),"")))</f>
        <v/>
      </c>
      <c r="AO489" s="86" t="str">
        <f aca="false">IF(ISBLANK($C489),"",IF($V489=Constants!$B$2,TRUE(),IF($V489=Constants!$B$3,FALSE(),FALSE())))</f>
        <v/>
      </c>
      <c r="AP489" s="86"/>
      <c r="AQ489" s="85" t="str">
        <f aca="false">IF(ISBLANK($C489),"",AND($Y489,OR($AS489,$BC489),OR($Z489="",$AA489="",$AB489="")))</f>
        <v/>
      </c>
      <c r="AR489" s="85" t="str">
        <f aca="false">IF(ISBLANK($C489),"",IF(OR(NOT($Y489),NOT(OR($AS489,$BC489))),"",IF(ISBLANK($D$7),$AR$5,IF($AP$9="",$AR$6,""))))</f>
        <v/>
      </c>
      <c r="AS489" s="85" t="str">
        <f aca="false">IF(ISBLANK($C489),"",COUNTA($J489:$O489)&gt;0)</f>
        <v/>
      </c>
      <c r="AT489" s="85" t="str">
        <f aca="false">IF(ISBLANK($C489),"",AND($AS489,OR(AND($AF489="",OR($AE489,NOT(ISBLANK($M489)))),$AG489="",$AH489="")))</f>
        <v/>
      </c>
      <c r="AU489" s="87" t="str">
        <f aca="false">IF($BL489&lt;&gt;Constants!$B$4,"",IF(NOT($AS489),"",ROUND((Constants!$B$12-$AB489)+(Constants!$B$13-$Z489)+(Constants!$B$14-$AA489),1)))</f>
        <v/>
      </c>
      <c r="AV489" s="90" t="str">
        <f aca="false">IF($BL489&lt;&gt;Constants!$B$4,"",IF(NOT($AS489),"",IF(NOT($AE489),0,Constants!$B$15*(INT(ROUND(MIN($AF489,$AP$9),6))-INT(ROUND(MAX(0,MIN($AF489,2*$AP$9)-$AP$9),6))))))</f>
        <v/>
      </c>
      <c r="AW489" s="90" t="str">
        <f aca="false">IF($BL489&lt;&gt;Constants!$B$4,"",IF(NOT($AS489),"",Constants!$B$16*$AG489))</f>
        <v/>
      </c>
      <c r="AX489" s="90" t="str">
        <f aca="false">IF($BL489&lt;&gt;Constants!$B$4,"",IF(NOT($AS489),"",Constants!$B$18*INT(ROUND($AH489,6))))</f>
        <v/>
      </c>
      <c r="AY489" s="85" t="str">
        <f aca="false">IF($BL489&lt;&gt;Constants!$B$4,"",IF(NOT($AS489),"",IF(NOT($X489),Constants!$B$11,IF(OR(NOT($AC489),NOT($AD489),ROUND($AB489,1)&gt;Constants!$B$12,ROUND($Z489,1)&gt;Constants!$B$13,ROUND($AA489,1)&gt;Constants!$B$14),Constants!$B$10,Constants!$B$9))))</f>
        <v/>
      </c>
      <c r="AZ489" s="91" t="str">
        <f aca="false">IF($BL489&lt;&gt;Constants!$B$4,"",IF(NOT($AS489),"",ROUND($AU489+$AV489+$AW489+$AX489,1)))</f>
        <v/>
      </c>
      <c r="BA489" s="92" t="str">
        <f aca="false">IF($BL489&lt;&gt;Constants!$B$4,"",IF(NOT($AS489),"",IF(ISNUMBER($AF489),$AF489,0)))</f>
        <v/>
      </c>
      <c r="BB489" s="86" t="str">
        <f aca="false">IF($BL489&lt;&gt;Constants!$B$4,"",IF(NOT($BC489),"&lt;-",IF(NOT($AS489),"-&gt;",IF(OR($BI489&lt;$AY489,AND($BI489=$AY489,OR($BJ489&gt;$AZ489,AND($BJ489=$AZ489,OR($BH489&gt;$AX489,AND($BH489=$AX489,OR($BE489&gt;$AU489,AND($BE489=$AU489,OR($BF489&gt;$AV489,AND($BF489=$AV489,$BK489&gt;$BA489)))))))))),"-&gt;","&lt;-"))))</f>
        <v/>
      </c>
      <c r="BC489" s="85" t="str">
        <f aca="false">IF(ISBLANK($C489),"",COUNTA($P489:$U489)&gt;0)</f>
        <v/>
      </c>
      <c r="BD489" s="85" t="str">
        <f aca="false">IF(ISBLANK($C489),"",AND($BC489,OR(AND($AL489="",OR($AK489,NOT(ISBLANK($S489)))),$AM489="",$AN489="")))</f>
        <v/>
      </c>
      <c r="BE489" s="87" t="str">
        <f aca="false">IF($BL489&lt;&gt;Constants!$B$4,"",IF(NOT($BC489),"",ROUND((Constants!$B$12-$AB489)+(Constants!$B$13-$Z489)+(Constants!$B$14-$AA489),1)))</f>
        <v/>
      </c>
      <c r="BF489" s="90" t="str">
        <f aca="false">IF($BL489&lt;&gt;Constants!$B$4,"",IF(NOT($BC489),"",IF(NOT($AK489),0,Constants!$B$15*(INT(ROUND(MIN($AL489,$AP$9),6))-INT(ROUND(MAX(0,MIN($AL489,2*$AP$9)-$AP$9),6))))))</f>
        <v/>
      </c>
      <c r="BG489" s="90" t="str">
        <f aca="false">IF($BL489&lt;&gt;Constants!$B$4,"",IF(NOT($BC489),"",Constants!$B$16*$AM489))</f>
        <v/>
      </c>
      <c r="BH489" s="90" t="str">
        <f aca="false">IF($BL489&lt;&gt;Constants!$B$4,"",IF(NOT($BC489),"",Constants!$B$18*INT(ROUND($AN489,6))))</f>
        <v/>
      </c>
      <c r="BI489" s="85" t="str">
        <f aca="false">IF($BL489&lt;&gt;Constants!$B$4,"",IF(NOT($BC489),"",IF(NOT($X489),Constants!$B$11,IF(OR(NOT($AI489),NOT($AJ489),ROUND($AB489,1)&gt;Constants!$B$12,ROUND($Z489,1)&gt;Constants!$B$13,ROUND($AA489,1)&gt;Constants!$B$14),Constants!$B$10,Constants!$B$9))))</f>
        <v/>
      </c>
      <c r="BJ489" s="91" t="str">
        <f aca="false">IF($BL489&lt;&gt;Constants!$B$4,"",IF(NOT($BC489),"",ROUND($BE489+$BF489+$BG489+$BH489,1)))</f>
        <v/>
      </c>
      <c r="BK489" s="92" t="str">
        <f aca="false">IF($BL489&lt;&gt;Constants!$B$4,"",IF(NOT($BC489),"",IF(ISNUMBER($AL489),$AL489,0)))</f>
        <v/>
      </c>
      <c r="BL489" s="86" t="str">
        <f aca="false">IF(ISBLANK($C489),"",IF($AO489,Constants!$B$7,IF(COUNTA($E489:$V489)=0,Constants!$B$6,IF(NOT($Y489),Constants!$B$5,IF(NOT(OR($AS489,$BC489)),Constants!$B$5,IF(OR($AT489,$BD489,$AQ489,$AR489&lt;&gt;""),Constants!$B$8,Constants!$B$4))))))</f>
        <v/>
      </c>
      <c r="BM489" s="86" t="str">
        <f aca="false">IF(ISBLANK($C489),"",IF($BL489&lt;&gt;Constants!$B$4,$BL489,IF($BB489="-&gt;",$BI489,$AY489)))</f>
        <v/>
      </c>
      <c r="BN489" s="90" t="str">
        <f aca="false">IF($BL489&lt;&gt;Constants!$B$4,"",IF($BB489="-&gt;",$BJ489,$AZ489))</f>
        <v/>
      </c>
      <c r="BO489" s="90" t="str">
        <f aca="false">IF(ISBLANK($C489),"",IF($BL489&lt;&gt;Constants!$B$4,$BL489,$BN489))</f>
        <v/>
      </c>
      <c r="BP489" s="86" t="str">
        <f aca="false">IF(ISBLANK($C489),"",IF($BL489&lt;&gt;Constants!$B$4,$BL489,RANK($BO489,$BO$9:$BO$508,0)))</f>
        <v/>
      </c>
      <c r="BQ489" s="86" t="str">
        <f aca="false">IF(ISBLANK($C489),"",IF($BL489&lt;&gt;Constants!$B$4,$BL489,COUNTIFS($BM$9:$BM$508,"&lt;"&amp;$BM489)+COUNTIFS($BM$9:$BM$508,$BM489,$BP$9:$BP$508,"&lt;"&amp;$BP489)+1))</f>
        <v/>
      </c>
      <c r="BR489" s="90" t="str">
        <f aca="false">IF($BL489&lt;&gt;Constants!$B$4,"",IF($BB489="-&gt;",$BH489,$AX489))</f>
        <v/>
      </c>
      <c r="BS489" s="86" t="str">
        <f aca="false">IF(ISBLANK($C489),"",IF($BL489&lt;&gt;Constants!$B$4,$BL489,IF(ISNUMBER($BR489),RANK($BR489,$BR$9:$BR$508,0),COUNT($BR$9:$BR$508)+1)))</f>
        <v/>
      </c>
      <c r="BT489" s="90" t="str">
        <f aca="false">IF($BL489&lt;&gt;Constants!$B$4,"",IF($BB489="-&gt;",$BE489,$AU489))</f>
        <v/>
      </c>
      <c r="BU489" s="86" t="str">
        <f aca="false">IF(ISBLANK($C489),"",IF($BL489&lt;&gt;Constants!$B$4,$BL489,IF(ISNUMBER($BT489),RANK($BT489,$BT$9:$BT$508,0),COUNT($BT$9:$BT$508)+1)))</f>
        <v/>
      </c>
      <c r="BV489" s="90" t="str">
        <f aca="false">IF($BL489&lt;&gt;Constants!$B$4,"",IF($BB489="-&gt;",$BF489,$AV489))</f>
        <v/>
      </c>
      <c r="BW489" s="86" t="str">
        <f aca="false">IF(ISBLANK($C489),"",IF($BL489&lt;&gt;Constants!$B$4,$BL489,IF(ISNUMBER($BV489),RANK($BV489,$BV$9:$BV$508,0),COUNT($BV$9:$BV$508)+1)))</f>
        <v/>
      </c>
      <c r="BX489" s="90" t="str">
        <f aca="false">IF($BL489&lt;&gt;Constants!$B$4,"",IF($BB489="-&gt;",$BK489,$BA489))</f>
        <v/>
      </c>
      <c r="BY489" s="86" t="str">
        <f aca="false">IF(ISBLANK($C489),"",IF($BL489&lt;&gt;Constants!$B$4,$BL489,IF(ISNUMBER($BX489),RANK($BX489,$BX$9:$BX$508,0),COUNT($BX$9:$BX$508)+1)))</f>
        <v/>
      </c>
      <c r="BZ489" s="86" t="str">
        <f aca="false">IF(ISBLANK($C489),"",IF($BL489&lt;&gt;Constants!$B$4,$BL489,COUNTIFS($BM$9:$BM$508,"&lt;"&amp;$BM489)+COUNTIFS($BM$9:$BM$508,$BM489,$BP$9:$BP$508,"&lt;"&amp;$BP489)+COUNTIFS($BM$9:$BM$508,$BM489,$BP$9:$BP$508,$BP489,$BS$9:$BS$508,"&lt;"&amp;$BS489)+COUNTIFS($BM$9:$BM$508,$BM489,$BP$9:$BP$508,$BP489,$BS$9:$BS$508,$BS489,$BU$9:$BU$508,"&lt;"&amp;$BU489)+COUNTIFS($BM$9:$BM$508,$BM489,$BP$9:$BP$508,$BP489,$BS$9:$BS$508,$BS489,$BU$9:$BU$508,$BU489,$BW$9:$BW$508,"&lt;"&amp;$BW489)+COUNTIFS($BM$9:$BM$508,$BM489,$BP$9:$BP$508,$BP489,$BS$9:$BS$508,$BS489,$BU$9:$BU$508,$BU489,$BW$9:$BW$508,$BW489,$BY$9:$BY$508,"&lt;"&amp;$BY489)+1))</f>
        <v/>
      </c>
      <c r="CA489" s="86" t="str">
        <f aca="false">IF(ISBLANK($C489),"",IF($BL489&lt;&gt;Constants!$B$4,$BL489,$BQ489-$BZ489))</f>
        <v/>
      </c>
      <c r="CB489" s="93"/>
      <c r="CC489" s="94" t="str">
        <f aca="false">IF(ISBLANK($C489),"",IF($BL489=Constants!$B$8,$AR489,""))</f>
        <v/>
      </c>
      <c r="CD489" s="94" t="str">
        <f aca="false">IF(ISBLANK($C489),"",IF($BL489&lt;&gt;Constants!$B$4,"",IF($BB489="-&gt;",2,1)))</f>
        <v/>
      </c>
      <c r="CE489" s="95" t="str">
        <f aca="false">IF(ISBLANK($C489),"",IF($BL489&lt;&gt;Constants!$B$4,"",IF($BB489="-&gt;",$BE489,$AU489)))</f>
        <v/>
      </c>
      <c r="CF489" s="95" t="str">
        <f aca="false">IF(ISBLANK($C489),"",IF($BL489&lt;&gt;Constants!$B$4,"",IF($BB489="-&gt;",$BF489,$AV489)))</f>
        <v/>
      </c>
      <c r="CG489" s="95" t="str">
        <f aca="false">IF(ISBLANK($C489),"",IF($BL489&lt;&gt;Constants!$B$4,"",IF($BB489="-&gt;",$BG489,$AW489)))</f>
        <v/>
      </c>
      <c r="CH489" s="95" t="str">
        <f aca="false">IF(ISBLANK($C489),"",IF($BL489&lt;&gt;Constants!$B$4,"",IF($BB489="-&gt;",$BH489,$AX489)))</f>
        <v/>
      </c>
      <c r="CI489" s="96" t="str">
        <f aca="false">IF(ISBLANK($C489),"",$BO489)</f>
        <v/>
      </c>
      <c r="CJ489" s="97" t="str">
        <f aca="false">IF(ISBLANK($C489),"",$BM489)</f>
        <v/>
      </c>
      <c r="CK489" s="98" t="str">
        <f aca="false">IF(ISBLANK($C489),"",$CA489)</f>
        <v/>
      </c>
      <c r="CL489" s="98" t="str">
        <f aca="false">IF(ISBLANK($C489),"",$BZ489)</f>
        <v/>
      </c>
      <c r="CM489" s="99" t="str">
        <f aca="false">IF(ISBLANK($C489),"",IF($CL489=Constants!$B$7,COUNTA($C$9:$C$508)+2,IF($CL489=Constants!$B$6,COUNTA($C$9:$C$508)+1,IF($CL489=Constants!$B$5,COUNTA($C$9:$C$508),$CL489))))</f>
        <v/>
      </c>
      <c r="CN489" s="8"/>
      <c r="CO489" s="100" t="n">
        <f aca="false">IF(OR(ISNUMBER($CL489),$CL489=Constants!$B$7,$CL489=Constants!$B$5,$CL489=Constants!$B$6),1,0)</f>
        <v>0</v>
      </c>
      <c r="CP489" s="100" t="n">
        <v>481</v>
      </c>
      <c r="CQ489" s="100" t="str">
        <f aca="false">IF(ISBLANK($C489),"",IF(ISNUMBER($CM489),$CM489+ROW($B489)/1000,""))</f>
        <v/>
      </c>
      <c r="CR489" s="100" t="str">
        <f aca="false">IF(ISNUMBER($CQ489),RANK($CQ489,$CQ$9:$CQ$508,1),"")</f>
        <v/>
      </c>
      <c r="CS489" s="100" t="str">
        <f aca="false">IF(ISBLANK($C489),"",$B489)</f>
        <v/>
      </c>
      <c r="CT489" s="100" t="str">
        <f aca="false">IF(ISBLANK($C489),"",$C489)</f>
        <v/>
      </c>
      <c r="CU489" s="100" t="str">
        <f aca="false">IF(ISBLANK($C489),"",$D489)</f>
        <v/>
      </c>
      <c r="CV489" s="101" t="str">
        <f aca="false">$CJ489</f>
        <v/>
      </c>
      <c r="CW489" s="102" t="str">
        <f aca="false">$CI489</f>
        <v/>
      </c>
      <c r="CX489" s="100" t="str">
        <f aca="false">IF(ISBLANK($C489),"",$CL489)</f>
        <v/>
      </c>
      <c r="CY489" s="103" t="str">
        <f aca="false">IF($CP489&gt;$CO$8,"",VLOOKUP($CP489,$CR$9:$CX$508,7,FALSE()))</f>
        <v/>
      </c>
      <c r="CZ489" s="104" t="str">
        <f aca="false">IF($CP489&gt;$CO$8,"",VLOOKUP($CP489,$CR$9:$CX$508,2,FALSE()))</f>
        <v/>
      </c>
      <c r="DA489" s="104" t="str">
        <f aca="false">IF($CP489&gt;$CO$8,"",VLOOKUP($CP489,$CR$9:$CX$508,3,FALSE()))</f>
        <v/>
      </c>
      <c r="DB489" s="104" t="str">
        <f aca="false">IF($CP489&gt;$CO$8,"",VLOOKUP($CP489,$CR$9:$CX$508,4,FALSE()))</f>
        <v/>
      </c>
      <c r="DC489" s="104" t="str">
        <f aca="false">IF($CP489&gt;$CO$8,"",VLOOKUP($CP489,$CR$9:$CX$508,5,FALSE()))</f>
        <v/>
      </c>
      <c r="DD489" s="105" t="str">
        <f aca="false">IF($CP489&gt;$CO$8,"",VLOOKUP($CP489,$CR$9:$CX$508,6,FALSE()))</f>
        <v/>
      </c>
      <c r="DE489" s="70"/>
    </row>
    <row r="490" customFormat="false" ht="15.75" hidden="false" customHeight="false" outlineLevel="0" collapsed="false">
      <c r="A490" s="8"/>
      <c r="B490" s="72"/>
      <c r="C490" s="73"/>
      <c r="D490" s="155"/>
      <c r="E490" s="162"/>
      <c r="F490" s="157"/>
      <c r="G490" s="77"/>
      <c r="H490" s="77"/>
      <c r="I490" s="77"/>
      <c r="J490" s="163"/>
      <c r="K490" s="161"/>
      <c r="L490" s="161"/>
      <c r="M490" s="80"/>
      <c r="N490" s="161"/>
      <c r="O490" s="160"/>
      <c r="P490" s="161"/>
      <c r="Q490" s="161"/>
      <c r="R490" s="161"/>
      <c r="S490" s="77"/>
      <c r="T490" s="161"/>
      <c r="U490" s="160"/>
      <c r="V490" s="161"/>
      <c r="W490" s="85"/>
      <c r="X490" s="86" t="str">
        <f aca="false">IF(ISBLANK($C490),"",IF($E490=Constants!$B$2,TRUE(),IF($E490=Constants!$B$3,FALSE(),TRUE())))</f>
        <v/>
      </c>
      <c r="Y490" s="86" t="str">
        <f aca="false">IF(ISBLANK($C490),"",IF($F490=Constants!$B$2,TRUE(),IF($F490=Constants!$B$3,FALSE(),TRUE())))</f>
        <v/>
      </c>
      <c r="Z490" s="87" t="str">
        <f aca="false">IF(ISBLANK($C490),"",IF(ISNUMBER($G490),IF($G490&gt;=0,$G490,""),""))</f>
        <v/>
      </c>
      <c r="AA490" s="87" t="str">
        <f aca="false">IF(ISBLANK($C490),"",IF(ISNUMBER($H490),IF($H490&gt;=0,$H490,""),""))</f>
        <v/>
      </c>
      <c r="AB490" s="87" t="str">
        <f aca="false">IF(ISBLANK($C490),"",IF(ISNUMBER($I490),IF($I490&gt;=0,$I490,""),""))</f>
        <v/>
      </c>
      <c r="AC490" s="86" t="str">
        <f aca="false">IF(ISBLANK($C490),"",IF($J490=Constants!$B$2,TRUE(),IF($J490=Constants!$B$3,FALSE(),TRUE())))</f>
        <v/>
      </c>
      <c r="AD490" s="86" t="str">
        <f aca="false">IF(ISBLANK($C490),"",IF($K490=Constants!$B$2,TRUE(),IF($K490=Constants!$B$3,FALSE(),TRUE())))</f>
        <v/>
      </c>
      <c r="AE490" s="86" t="str">
        <f aca="false">IF(ISBLANK($C490),"",IF($L490=Constants!$B$2,TRUE(),IF($L490=Constants!$B$3,FALSE(),TRUE())))</f>
        <v/>
      </c>
      <c r="AF490" s="88" t="str">
        <f aca="false">IF(ISBLANK($C490),"",IF(ISNUMBER($M490),IF($M490&gt;=0,$M490,""),""))</f>
        <v/>
      </c>
      <c r="AG490" s="86" t="str">
        <f aca="false">IF(ISBLANK($C490),"",IF(ISBLANK($N490),0,IF(ISNUMBER($N490),IF(AND($N490&gt;=0,$N490&lt;=Constants!$B$17,$N490=INT($N490)),$N490,""),"")))</f>
        <v/>
      </c>
      <c r="AH490" s="87" t="str">
        <f aca="false">IF(ISBLANK($C490),"",IF(ISBLANK($O490),0,IF(ISNUMBER($O490),IF($O490&gt;=0,$O490,""),"")))</f>
        <v/>
      </c>
      <c r="AI490" s="86" t="str">
        <f aca="false">IF(ISBLANK($C490),"",IF($P490=Constants!$B$2,TRUE(),IF($P490=Constants!$B$3,FALSE(),TRUE())))</f>
        <v/>
      </c>
      <c r="AJ490" s="86" t="str">
        <f aca="false">IF(ISBLANK($C490),"",IF($Q490=Constants!$B$2,TRUE(),IF($Q490=Constants!$B$3,FALSE(),TRUE())))</f>
        <v/>
      </c>
      <c r="AK490" s="86" t="str">
        <f aca="false">IF(ISBLANK($C490),"",IF($R490=Constants!$B$2,TRUE(),IF($R490=Constants!$B$3,FALSE(),TRUE())))</f>
        <v/>
      </c>
      <c r="AL490" s="88" t="str">
        <f aca="false">IF(ISBLANK($C490),"",IF(ISNUMBER($S490),IF($S490&gt;=0,$S490,""),""))</f>
        <v/>
      </c>
      <c r="AM490" s="86" t="str">
        <f aca="false">IF(ISBLANK($C490),"",IF(ISBLANK($T490),0,IF(ISNUMBER($T490),IF(AND($T490&gt;=0,$T490&lt;=Constants!$B$17,$T490=INT($T490)),$T490,""),"")))</f>
        <v/>
      </c>
      <c r="AN490" s="87" t="str">
        <f aca="false">IF(ISBLANK($C490),"",IF(ISBLANK($U490),0,IF(ISNUMBER($U490),IF($U490&gt;=0,$U490,""),"")))</f>
        <v/>
      </c>
      <c r="AO490" s="86" t="str">
        <f aca="false">IF(ISBLANK($C490),"",IF($V490=Constants!$B$2,TRUE(),IF($V490=Constants!$B$3,FALSE(),FALSE())))</f>
        <v/>
      </c>
      <c r="AP490" s="86"/>
      <c r="AQ490" s="85" t="str">
        <f aca="false">IF(ISBLANK($C490),"",AND($Y490,OR($AS490,$BC490),OR($Z490="",$AA490="",$AB490="")))</f>
        <v/>
      </c>
      <c r="AR490" s="85" t="str">
        <f aca="false">IF(ISBLANK($C490),"",IF(OR(NOT($Y490),NOT(OR($AS490,$BC490))),"",IF(ISBLANK($D$7),$AR$5,IF($AP$9="",$AR$6,""))))</f>
        <v/>
      </c>
      <c r="AS490" s="85" t="str">
        <f aca="false">IF(ISBLANK($C490),"",COUNTA($J490:$O490)&gt;0)</f>
        <v/>
      </c>
      <c r="AT490" s="85" t="str">
        <f aca="false">IF(ISBLANK($C490),"",AND($AS490,OR(AND($AF490="",OR($AE490,NOT(ISBLANK($M490)))),$AG490="",$AH490="")))</f>
        <v/>
      </c>
      <c r="AU490" s="87" t="str">
        <f aca="false">IF($BL490&lt;&gt;Constants!$B$4,"",IF(NOT($AS490),"",ROUND((Constants!$B$12-$AB490)+(Constants!$B$13-$Z490)+(Constants!$B$14-$AA490),1)))</f>
        <v/>
      </c>
      <c r="AV490" s="90" t="str">
        <f aca="false">IF($BL490&lt;&gt;Constants!$B$4,"",IF(NOT($AS490),"",IF(NOT($AE490),0,Constants!$B$15*(INT(ROUND(MIN($AF490,$AP$9),6))-INT(ROUND(MAX(0,MIN($AF490,2*$AP$9)-$AP$9),6))))))</f>
        <v/>
      </c>
      <c r="AW490" s="90" t="str">
        <f aca="false">IF($BL490&lt;&gt;Constants!$B$4,"",IF(NOT($AS490),"",Constants!$B$16*$AG490))</f>
        <v/>
      </c>
      <c r="AX490" s="90" t="str">
        <f aca="false">IF($BL490&lt;&gt;Constants!$B$4,"",IF(NOT($AS490),"",Constants!$B$18*INT(ROUND($AH490,6))))</f>
        <v/>
      </c>
      <c r="AY490" s="85" t="str">
        <f aca="false">IF($BL490&lt;&gt;Constants!$B$4,"",IF(NOT($AS490),"",IF(NOT($X490),Constants!$B$11,IF(OR(NOT($AC490),NOT($AD490),ROUND($AB490,1)&gt;Constants!$B$12,ROUND($Z490,1)&gt;Constants!$B$13,ROUND($AA490,1)&gt;Constants!$B$14),Constants!$B$10,Constants!$B$9))))</f>
        <v/>
      </c>
      <c r="AZ490" s="91" t="str">
        <f aca="false">IF($BL490&lt;&gt;Constants!$B$4,"",IF(NOT($AS490),"",ROUND($AU490+$AV490+$AW490+$AX490,1)))</f>
        <v/>
      </c>
      <c r="BA490" s="92" t="str">
        <f aca="false">IF($BL490&lt;&gt;Constants!$B$4,"",IF(NOT($AS490),"",IF(ISNUMBER($AF490),$AF490,0)))</f>
        <v/>
      </c>
      <c r="BB490" s="86" t="str">
        <f aca="false">IF($BL490&lt;&gt;Constants!$B$4,"",IF(NOT($BC490),"&lt;-",IF(NOT($AS490),"-&gt;",IF(OR($BI490&lt;$AY490,AND($BI490=$AY490,OR($BJ490&gt;$AZ490,AND($BJ490=$AZ490,OR($BH490&gt;$AX490,AND($BH490=$AX490,OR($BE490&gt;$AU490,AND($BE490=$AU490,OR($BF490&gt;$AV490,AND($BF490=$AV490,$BK490&gt;$BA490)))))))))),"-&gt;","&lt;-"))))</f>
        <v/>
      </c>
      <c r="BC490" s="85" t="str">
        <f aca="false">IF(ISBLANK($C490),"",COUNTA($P490:$U490)&gt;0)</f>
        <v/>
      </c>
      <c r="BD490" s="85" t="str">
        <f aca="false">IF(ISBLANK($C490),"",AND($BC490,OR(AND($AL490="",OR($AK490,NOT(ISBLANK($S490)))),$AM490="",$AN490="")))</f>
        <v/>
      </c>
      <c r="BE490" s="87" t="str">
        <f aca="false">IF($BL490&lt;&gt;Constants!$B$4,"",IF(NOT($BC490),"",ROUND((Constants!$B$12-$AB490)+(Constants!$B$13-$Z490)+(Constants!$B$14-$AA490),1)))</f>
        <v/>
      </c>
      <c r="BF490" s="90" t="str">
        <f aca="false">IF($BL490&lt;&gt;Constants!$B$4,"",IF(NOT($BC490),"",IF(NOT($AK490),0,Constants!$B$15*(INT(ROUND(MIN($AL490,$AP$9),6))-INT(ROUND(MAX(0,MIN($AL490,2*$AP$9)-$AP$9),6))))))</f>
        <v/>
      </c>
      <c r="BG490" s="90" t="str">
        <f aca="false">IF($BL490&lt;&gt;Constants!$B$4,"",IF(NOT($BC490),"",Constants!$B$16*$AM490))</f>
        <v/>
      </c>
      <c r="BH490" s="90" t="str">
        <f aca="false">IF($BL490&lt;&gt;Constants!$B$4,"",IF(NOT($BC490),"",Constants!$B$18*INT(ROUND($AN490,6))))</f>
        <v/>
      </c>
      <c r="BI490" s="85" t="str">
        <f aca="false">IF($BL490&lt;&gt;Constants!$B$4,"",IF(NOT($BC490),"",IF(NOT($X490),Constants!$B$11,IF(OR(NOT($AI490),NOT($AJ490),ROUND($AB490,1)&gt;Constants!$B$12,ROUND($Z490,1)&gt;Constants!$B$13,ROUND($AA490,1)&gt;Constants!$B$14),Constants!$B$10,Constants!$B$9))))</f>
        <v/>
      </c>
      <c r="BJ490" s="91" t="str">
        <f aca="false">IF($BL490&lt;&gt;Constants!$B$4,"",IF(NOT($BC490),"",ROUND($BE490+$BF490+$BG490+$BH490,1)))</f>
        <v/>
      </c>
      <c r="BK490" s="92" t="str">
        <f aca="false">IF($BL490&lt;&gt;Constants!$B$4,"",IF(NOT($BC490),"",IF(ISNUMBER($AL490),$AL490,0)))</f>
        <v/>
      </c>
      <c r="BL490" s="86" t="str">
        <f aca="false">IF(ISBLANK($C490),"",IF($AO490,Constants!$B$7,IF(COUNTA($E490:$V490)=0,Constants!$B$6,IF(NOT($Y490),Constants!$B$5,IF(NOT(OR($AS490,$BC490)),Constants!$B$5,IF(OR($AT490,$BD490,$AQ490,$AR490&lt;&gt;""),Constants!$B$8,Constants!$B$4))))))</f>
        <v/>
      </c>
      <c r="BM490" s="86" t="str">
        <f aca="false">IF(ISBLANK($C490),"",IF($BL490&lt;&gt;Constants!$B$4,$BL490,IF($BB490="-&gt;",$BI490,$AY490)))</f>
        <v/>
      </c>
      <c r="BN490" s="90" t="str">
        <f aca="false">IF($BL490&lt;&gt;Constants!$B$4,"",IF($BB490="-&gt;",$BJ490,$AZ490))</f>
        <v/>
      </c>
      <c r="BO490" s="90" t="str">
        <f aca="false">IF(ISBLANK($C490),"",IF($BL490&lt;&gt;Constants!$B$4,$BL490,$BN490))</f>
        <v/>
      </c>
      <c r="BP490" s="86" t="str">
        <f aca="false">IF(ISBLANK($C490),"",IF($BL490&lt;&gt;Constants!$B$4,$BL490,RANK($BO490,$BO$9:$BO$508,0)))</f>
        <v/>
      </c>
      <c r="BQ490" s="86" t="str">
        <f aca="false">IF(ISBLANK($C490),"",IF($BL490&lt;&gt;Constants!$B$4,$BL490,COUNTIFS($BM$9:$BM$508,"&lt;"&amp;$BM490)+COUNTIFS($BM$9:$BM$508,$BM490,$BP$9:$BP$508,"&lt;"&amp;$BP490)+1))</f>
        <v/>
      </c>
      <c r="BR490" s="90" t="str">
        <f aca="false">IF($BL490&lt;&gt;Constants!$B$4,"",IF($BB490="-&gt;",$BH490,$AX490))</f>
        <v/>
      </c>
      <c r="BS490" s="86" t="str">
        <f aca="false">IF(ISBLANK($C490),"",IF($BL490&lt;&gt;Constants!$B$4,$BL490,IF(ISNUMBER($BR490),RANK($BR490,$BR$9:$BR$508,0),COUNT($BR$9:$BR$508)+1)))</f>
        <v/>
      </c>
      <c r="BT490" s="90" t="str">
        <f aca="false">IF($BL490&lt;&gt;Constants!$B$4,"",IF($BB490="-&gt;",$BE490,$AU490))</f>
        <v/>
      </c>
      <c r="BU490" s="86" t="str">
        <f aca="false">IF(ISBLANK($C490),"",IF($BL490&lt;&gt;Constants!$B$4,$BL490,IF(ISNUMBER($BT490),RANK($BT490,$BT$9:$BT$508,0),COUNT($BT$9:$BT$508)+1)))</f>
        <v/>
      </c>
      <c r="BV490" s="90" t="str">
        <f aca="false">IF($BL490&lt;&gt;Constants!$B$4,"",IF($BB490="-&gt;",$BF490,$AV490))</f>
        <v/>
      </c>
      <c r="BW490" s="86" t="str">
        <f aca="false">IF(ISBLANK($C490),"",IF($BL490&lt;&gt;Constants!$B$4,$BL490,IF(ISNUMBER($BV490),RANK($BV490,$BV$9:$BV$508,0),COUNT($BV$9:$BV$508)+1)))</f>
        <v/>
      </c>
      <c r="BX490" s="90" t="str">
        <f aca="false">IF($BL490&lt;&gt;Constants!$B$4,"",IF($BB490="-&gt;",$BK490,$BA490))</f>
        <v/>
      </c>
      <c r="BY490" s="86" t="str">
        <f aca="false">IF(ISBLANK($C490),"",IF($BL490&lt;&gt;Constants!$B$4,$BL490,IF(ISNUMBER($BX490),RANK($BX490,$BX$9:$BX$508,0),COUNT($BX$9:$BX$508)+1)))</f>
        <v/>
      </c>
      <c r="BZ490" s="86" t="str">
        <f aca="false">IF(ISBLANK($C490),"",IF($BL490&lt;&gt;Constants!$B$4,$BL490,COUNTIFS($BM$9:$BM$508,"&lt;"&amp;$BM490)+COUNTIFS($BM$9:$BM$508,$BM490,$BP$9:$BP$508,"&lt;"&amp;$BP490)+COUNTIFS($BM$9:$BM$508,$BM490,$BP$9:$BP$508,$BP490,$BS$9:$BS$508,"&lt;"&amp;$BS490)+COUNTIFS($BM$9:$BM$508,$BM490,$BP$9:$BP$508,$BP490,$BS$9:$BS$508,$BS490,$BU$9:$BU$508,"&lt;"&amp;$BU490)+COUNTIFS($BM$9:$BM$508,$BM490,$BP$9:$BP$508,$BP490,$BS$9:$BS$508,$BS490,$BU$9:$BU$508,$BU490,$BW$9:$BW$508,"&lt;"&amp;$BW490)+COUNTIFS($BM$9:$BM$508,$BM490,$BP$9:$BP$508,$BP490,$BS$9:$BS$508,$BS490,$BU$9:$BU$508,$BU490,$BW$9:$BW$508,$BW490,$BY$9:$BY$508,"&lt;"&amp;$BY490)+1))</f>
        <v/>
      </c>
      <c r="CA490" s="86" t="str">
        <f aca="false">IF(ISBLANK($C490),"",IF($BL490&lt;&gt;Constants!$B$4,$BL490,$BQ490-$BZ490))</f>
        <v/>
      </c>
      <c r="CB490" s="93"/>
      <c r="CC490" s="94" t="str">
        <f aca="false">IF(ISBLANK($C490),"",IF($BL490=Constants!$B$8,$AR490,""))</f>
        <v/>
      </c>
      <c r="CD490" s="94" t="str">
        <f aca="false">IF(ISBLANK($C490),"",IF($BL490&lt;&gt;Constants!$B$4,"",IF($BB490="-&gt;",2,1)))</f>
        <v/>
      </c>
      <c r="CE490" s="95" t="str">
        <f aca="false">IF(ISBLANK($C490),"",IF($BL490&lt;&gt;Constants!$B$4,"",IF($BB490="-&gt;",$BE490,$AU490)))</f>
        <v/>
      </c>
      <c r="CF490" s="95" t="str">
        <f aca="false">IF(ISBLANK($C490),"",IF($BL490&lt;&gt;Constants!$B$4,"",IF($BB490="-&gt;",$BF490,$AV490)))</f>
        <v/>
      </c>
      <c r="CG490" s="95" t="str">
        <f aca="false">IF(ISBLANK($C490),"",IF($BL490&lt;&gt;Constants!$B$4,"",IF($BB490="-&gt;",$BG490,$AW490)))</f>
        <v/>
      </c>
      <c r="CH490" s="95" t="str">
        <f aca="false">IF(ISBLANK($C490),"",IF($BL490&lt;&gt;Constants!$B$4,"",IF($BB490="-&gt;",$BH490,$AX490)))</f>
        <v/>
      </c>
      <c r="CI490" s="96" t="str">
        <f aca="false">IF(ISBLANK($C490),"",$BO490)</f>
        <v/>
      </c>
      <c r="CJ490" s="97" t="str">
        <f aca="false">IF(ISBLANK($C490),"",$BM490)</f>
        <v/>
      </c>
      <c r="CK490" s="98" t="str">
        <f aca="false">IF(ISBLANK($C490),"",$CA490)</f>
        <v/>
      </c>
      <c r="CL490" s="98" t="str">
        <f aca="false">IF(ISBLANK($C490),"",$BZ490)</f>
        <v/>
      </c>
      <c r="CM490" s="99" t="str">
        <f aca="false">IF(ISBLANK($C490),"",IF($CL490=Constants!$B$7,COUNTA($C$9:$C$508)+2,IF($CL490=Constants!$B$6,COUNTA($C$9:$C$508)+1,IF($CL490=Constants!$B$5,COUNTA($C$9:$C$508),$CL490))))</f>
        <v/>
      </c>
      <c r="CN490" s="8"/>
      <c r="CO490" s="100" t="n">
        <f aca="false">IF(OR(ISNUMBER($CL490),$CL490=Constants!$B$7,$CL490=Constants!$B$5,$CL490=Constants!$B$6),1,0)</f>
        <v>0</v>
      </c>
      <c r="CP490" s="100" t="n">
        <v>482</v>
      </c>
      <c r="CQ490" s="100" t="str">
        <f aca="false">IF(ISBLANK($C490),"",IF(ISNUMBER($CM490),$CM490+ROW($B490)/1000,""))</f>
        <v/>
      </c>
      <c r="CR490" s="100" t="str">
        <f aca="false">IF(ISNUMBER($CQ490),RANK($CQ490,$CQ$9:$CQ$508,1),"")</f>
        <v/>
      </c>
      <c r="CS490" s="100" t="str">
        <f aca="false">IF(ISBLANK($C490),"",$B490)</f>
        <v/>
      </c>
      <c r="CT490" s="100" t="str">
        <f aca="false">IF(ISBLANK($C490),"",$C490)</f>
        <v/>
      </c>
      <c r="CU490" s="100" t="str">
        <f aca="false">IF(ISBLANK($C490),"",$D490)</f>
        <v/>
      </c>
      <c r="CV490" s="101" t="str">
        <f aca="false">$CJ490</f>
        <v/>
      </c>
      <c r="CW490" s="102" t="str">
        <f aca="false">$CI490</f>
        <v/>
      </c>
      <c r="CX490" s="100" t="str">
        <f aca="false">IF(ISBLANK($C490),"",$CL490)</f>
        <v/>
      </c>
      <c r="CY490" s="103" t="str">
        <f aca="false">IF($CP490&gt;$CO$8,"",VLOOKUP($CP490,$CR$9:$CX$508,7,FALSE()))</f>
        <v/>
      </c>
      <c r="CZ490" s="104" t="str">
        <f aca="false">IF($CP490&gt;$CO$8,"",VLOOKUP($CP490,$CR$9:$CX$508,2,FALSE()))</f>
        <v/>
      </c>
      <c r="DA490" s="104" t="str">
        <f aca="false">IF($CP490&gt;$CO$8,"",VLOOKUP($CP490,$CR$9:$CX$508,3,FALSE()))</f>
        <v/>
      </c>
      <c r="DB490" s="104" t="str">
        <f aca="false">IF($CP490&gt;$CO$8,"",VLOOKUP($CP490,$CR$9:$CX$508,4,FALSE()))</f>
        <v/>
      </c>
      <c r="DC490" s="104" t="str">
        <f aca="false">IF($CP490&gt;$CO$8,"",VLOOKUP($CP490,$CR$9:$CX$508,5,FALSE()))</f>
        <v/>
      </c>
      <c r="DD490" s="105" t="str">
        <f aca="false">IF($CP490&gt;$CO$8,"",VLOOKUP($CP490,$CR$9:$CX$508,6,FALSE()))</f>
        <v/>
      </c>
      <c r="DE490" s="70"/>
    </row>
    <row r="491" customFormat="false" ht="15.75" hidden="false" customHeight="false" outlineLevel="0" collapsed="false">
      <c r="A491" s="8"/>
      <c r="B491" s="72"/>
      <c r="C491" s="73"/>
      <c r="D491" s="155"/>
      <c r="E491" s="162"/>
      <c r="F491" s="157"/>
      <c r="G491" s="77"/>
      <c r="H491" s="77"/>
      <c r="I491" s="77"/>
      <c r="J491" s="163"/>
      <c r="K491" s="161"/>
      <c r="L491" s="161"/>
      <c r="M491" s="80"/>
      <c r="N491" s="161"/>
      <c r="O491" s="160"/>
      <c r="P491" s="161"/>
      <c r="Q491" s="161"/>
      <c r="R491" s="161"/>
      <c r="S491" s="77"/>
      <c r="T491" s="161"/>
      <c r="U491" s="160"/>
      <c r="V491" s="161"/>
      <c r="W491" s="85"/>
      <c r="X491" s="86" t="str">
        <f aca="false">IF(ISBLANK($C491),"",IF($E491=Constants!$B$2,TRUE(),IF($E491=Constants!$B$3,FALSE(),TRUE())))</f>
        <v/>
      </c>
      <c r="Y491" s="86" t="str">
        <f aca="false">IF(ISBLANK($C491),"",IF($F491=Constants!$B$2,TRUE(),IF($F491=Constants!$B$3,FALSE(),TRUE())))</f>
        <v/>
      </c>
      <c r="Z491" s="87" t="str">
        <f aca="false">IF(ISBLANK($C491),"",IF(ISNUMBER($G491),IF($G491&gt;=0,$G491,""),""))</f>
        <v/>
      </c>
      <c r="AA491" s="87" t="str">
        <f aca="false">IF(ISBLANK($C491),"",IF(ISNUMBER($H491),IF($H491&gt;=0,$H491,""),""))</f>
        <v/>
      </c>
      <c r="AB491" s="87" t="str">
        <f aca="false">IF(ISBLANK($C491),"",IF(ISNUMBER($I491),IF($I491&gt;=0,$I491,""),""))</f>
        <v/>
      </c>
      <c r="AC491" s="86" t="str">
        <f aca="false">IF(ISBLANK($C491),"",IF($J491=Constants!$B$2,TRUE(),IF($J491=Constants!$B$3,FALSE(),TRUE())))</f>
        <v/>
      </c>
      <c r="AD491" s="86" t="str">
        <f aca="false">IF(ISBLANK($C491),"",IF($K491=Constants!$B$2,TRUE(),IF($K491=Constants!$B$3,FALSE(),TRUE())))</f>
        <v/>
      </c>
      <c r="AE491" s="86" t="str">
        <f aca="false">IF(ISBLANK($C491),"",IF($L491=Constants!$B$2,TRUE(),IF($L491=Constants!$B$3,FALSE(),TRUE())))</f>
        <v/>
      </c>
      <c r="AF491" s="88" t="str">
        <f aca="false">IF(ISBLANK($C491),"",IF(ISNUMBER($M491),IF($M491&gt;=0,$M491,""),""))</f>
        <v/>
      </c>
      <c r="AG491" s="86" t="str">
        <f aca="false">IF(ISBLANK($C491),"",IF(ISBLANK($N491),0,IF(ISNUMBER($N491),IF(AND($N491&gt;=0,$N491&lt;=Constants!$B$17,$N491=INT($N491)),$N491,""),"")))</f>
        <v/>
      </c>
      <c r="AH491" s="87" t="str">
        <f aca="false">IF(ISBLANK($C491),"",IF(ISBLANK($O491),0,IF(ISNUMBER($O491),IF($O491&gt;=0,$O491,""),"")))</f>
        <v/>
      </c>
      <c r="AI491" s="86" t="str">
        <f aca="false">IF(ISBLANK($C491),"",IF($P491=Constants!$B$2,TRUE(),IF($P491=Constants!$B$3,FALSE(),TRUE())))</f>
        <v/>
      </c>
      <c r="AJ491" s="86" t="str">
        <f aca="false">IF(ISBLANK($C491),"",IF($Q491=Constants!$B$2,TRUE(),IF($Q491=Constants!$B$3,FALSE(),TRUE())))</f>
        <v/>
      </c>
      <c r="AK491" s="86" t="str">
        <f aca="false">IF(ISBLANK($C491),"",IF($R491=Constants!$B$2,TRUE(),IF($R491=Constants!$B$3,FALSE(),TRUE())))</f>
        <v/>
      </c>
      <c r="AL491" s="88" t="str">
        <f aca="false">IF(ISBLANK($C491),"",IF(ISNUMBER($S491),IF($S491&gt;=0,$S491,""),""))</f>
        <v/>
      </c>
      <c r="AM491" s="86" t="str">
        <f aca="false">IF(ISBLANK($C491),"",IF(ISBLANK($T491),0,IF(ISNUMBER($T491),IF(AND($T491&gt;=0,$T491&lt;=Constants!$B$17,$T491=INT($T491)),$T491,""),"")))</f>
        <v/>
      </c>
      <c r="AN491" s="87" t="str">
        <f aca="false">IF(ISBLANK($C491),"",IF(ISBLANK($U491),0,IF(ISNUMBER($U491),IF($U491&gt;=0,$U491,""),"")))</f>
        <v/>
      </c>
      <c r="AO491" s="86" t="str">
        <f aca="false">IF(ISBLANK($C491),"",IF($V491=Constants!$B$2,TRUE(),IF($V491=Constants!$B$3,FALSE(),FALSE())))</f>
        <v/>
      </c>
      <c r="AP491" s="86"/>
      <c r="AQ491" s="85" t="str">
        <f aca="false">IF(ISBLANK($C491),"",AND($Y491,OR($AS491,$BC491),OR($Z491="",$AA491="",$AB491="")))</f>
        <v/>
      </c>
      <c r="AR491" s="85" t="str">
        <f aca="false">IF(ISBLANK($C491),"",IF(OR(NOT($Y491),NOT(OR($AS491,$BC491))),"",IF(ISBLANK($D$7),$AR$5,IF($AP$9="",$AR$6,""))))</f>
        <v/>
      </c>
      <c r="AS491" s="85" t="str">
        <f aca="false">IF(ISBLANK($C491),"",COUNTA($J491:$O491)&gt;0)</f>
        <v/>
      </c>
      <c r="AT491" s="85" t="str">
        <f aca="false">IF(ISBLANK($C491),"",AND($AS491,OR(AND($AF491="",OR($AE491,NOT(ISBLANK($M491)))),$AG491="",$AH491="")))</f>
        <v/>
      </c>
      <c r="AU491" s="87" t="str">
        <f aca="false">IF($BL491&lt;&gt;Constants!$B$4,"",IF(NOT($AS491),"",ROUND((Constants!$B$12-$AB491)+(Constants!$B$13-$Z491)+(Constants!$B$14-$AA491),1)))</f>
        <v/>
      </c>
      <c r="AV491" s="90" t="str">
        <f aca="false">IF($BL491&lt;&gt;Constants!$B$4,"",IF(NOT($AS491),"",IF(NOT($AE491),0,Constants!$B$15*(INT(ROUND(MIN($AF491,$AP$9),6))-INT(ROUND(MAX(0,MIN($AF491,2*$AP$9)-$AP$9),6))))))</f>
        <v/>
      </c>
      <c r="AW491" s="90" t="str">
        <f aca="false">IF($BL491&lt;&gt;Constants!$B$4,"",IF(NOT($AS491),"",Constants!$B$16*$AG491))</f>
        <v/>
      </c>
      <c r="AX491" s="90" t="str">
        <f aca="false">IF($BL491&lt;&gt;Constants!$B$4,"",IF(NOT($AS491),"",Constants!$B$18*INT(ROUND($AH491,6))))</f>
        <v/>
      </c>
      <c r="AY491" s="85" t="str">
        <f aca="false">IF($BL491&lt;&gt;Constants!$B$4,"",IF(NOT($AS491),"",IF(NOT($X491),Constants!$B$11,IF(OR(NOT($AC491),NOT($AD491),ROUND($AB491,1)&gt;Constants!$B$12,ROUND($Z491,1)&gt;Constants!$B$13,ROUND($AA491,1)&gt;Constants!$B$14),Constants!$B$10,Constants!$B$9))))</f>
        <v/>
      </c>
      <c r="AZ491" s="91" t="str">
        <f aca="false">IF($BL491&lt;&gt;Constants!$B$4,"",IF(NOT($AS491),"",ROUND($AU491+$AV491+$AW491+$AX491,1)))</f>
        <v/>
      </c>
      <c r="BA491" s="92" t="str">
        <f aca="false">IF($BL491&lt;&gt;Constants!$B$4,"",IF(NOT($AS491),"",IF(ISNUMBER($AF491),$AF491,0)))</f>
        <v/>
      </c>
      <c r="BB491" s="86" t="str">
        <f aca="false">IF($BL491&lt;&gt;Constants!$B$4,"",IF(NOT($BC491),"&lt;-",IF(NOT($AS491),"-&gt;",IF(OR($BI491&lt;$AY491,AND($BI491=$AY491,OR($BJ491&gt;$AZ491,AND($BJ491=$AZ491,OR($BH491&gt;$AX491,AND($BH491=$AX491,OR($BE491&gt;$AU491,AND($BE491=$AU491,OR($BF491&gt;$AV491,AND($BF491=$AV491,$BK491&gt;$BA491)))))))))),"-&gt;","&lt;-"))))</f>
        <v/>
      </c>
      <c r="BC491" s="85" t="str">
        <f aca="false">IF(ISBLANK($C491),"",COUNTA($P491:$U491)&gt;0)</f>
        <v/>
      </c>
      <c r="BD491" s="85" t="str">
        <f aca="false">IF(ISBLANK($C491),"",AND($BC491,OR(AND($AL491="",OR($AK491,NOT(ISBLANK($S491)))),$AM491="",$AN491="")))</f>
        <v/>
      </c>
      <c r="BE491" s="87" t="str">
        <f aca="false">IF($BL491&lt;&gt;Constants!$B$4,"",IF(NOT($BC491),"",ROUND((Constants!$B$12-$AB491)+(Constants!$B$13-$Z491)+(Constants!$B$14-$AA491),1)))</f>
        <v/>
      </c>
      <c r="BF491" s="90" t="str">
        <f aca="false">IF($BL491&lt;&gt;Constants!$B$4,"",IF(NOT($BC491),"",IF(NOT($AK491),0,Constants!$B$15*(INT(ROUND(MIN($AL491,$AP$9),6))-INT(ROUND(MAX(0,MIN($AL491,2*$AP$9)-$AP$9),6))))))</f>
        <v/>
      </c>
      <c r="BG491" s="90" t="str">
        <f aca="false">IF($BL491&lt;&gt;Constants!$B$4,"",IF(NOT($BC491),"",Constants!$B$16*$AM491))</f>
        <v/>
      </c>
      <c r="BH491" s="90" t="str">
        <f aca="false">IF($BL491&lt;&gt;Constants!$B$4,"",IF(NOT($BC491),"",Constants!$B$18*INT(ROUND($AN491,6))))</f>
        <v/>
      </c>
      <c r="BI491" s="85" t="str">
        <f aca="false">IF($BL491&lt;&gt;Constants!$B$4,"",IF(NOT($BC491),"",IF(NOT($X491),Constants!$B$11,IF(OR(NOT($AI491),NOT($AJ491),ROUND($AB491,1)&gt;Constants!$B$12,ROUND($Z491,1)&gt;Constants!$B$13,ROUND($AA491,1)&gt;Constants!$B$14),Constants!$B$10,Constants!$B$9))))</f>
        <v/>
      </c>
      <c r="BJ491" s="91" t="str">
        <f aca="false">IF($BL491&lt;&gt;Constants!$B$4,"",IF(NOT($BC491),"",ROUND($BE491+$BF491+$BG491+$BH491,1)))</f>
        <v/>
      </c>
      <c r="BK491" s="92" t="str">
        <f aca="false">IF($BL491&lt;&gt;Constants!$B$4,"",IF(NOT($BC491),"",IF(ISNUMBER($AL491),$AL491,0)))</f>
        <v/>
      </c>
      <c r="BL491" s="86" t="str">
        <f aca="false">IF(ISBLANK($C491),"",IF($AO491,Constants!$B$7,IF(COUNTA($E491:$V491)=0,Constants!$B$6,IF(NOT($Y491),Constants!$B$5,IF(NOT(OR($AS491,$BC491)),Constants!$B$5,IF(OR($AT491,$BD491,$AQ491,$AR491&lt;&gt;""),Constants!$B$8,Constants!$B$4))))))</f>
        <v/>
      </c>
      <c r="BM491" s="86" t="str">
        <f aca="false">IF(ISBLANK($C491),"",IF($BL491&lt;&gt;Constants!$B$4,$BL491,IF($BB491="-&gt;",$BI491,$AY491)))</f>
        <v/>
      </c>
      <c r="BN491" s="90" t="str">
        <f aca="false">IF($BL491&lt;&gt;Constants!$B$4,"",IF($BB491="-&gt;",$BJ491,$AZ491))</f>
        <v/>
      </c>
      <c r="BO491" s="90" t="str">
        <f aca="false">IF(ISBLANK($C491),"",IF($BL491&lt;&gt;Constants!$B$4,$BL491,$BN491))</f>
        <v/>
      </c>
      <c r="BP491" s="86" t="str">
        <f aca="false">IF(ISBLANK($C491),"",IF($BL491&lt;&gt;Constants!$B$4,$BL491,RANK($BO491,$BO$9:$BO$508,0)))</f>
        <v/>
      </c>
      <c r="BQ491" s="86" t="str">
        <f aca="false">IF(ISBLANK($C491),"",IF($BL491&lt;&gt;Constants!$B$4,$BL491,COUNTIFS($BM$9:$BM$508,"&lt;"&amp;$BM491)+COUNTIFS($BM$9:$BM$508,$BM491,$BP$9:$BP$508,"&lt;"&amp;$BP491)+1))</f>
        <v/>
      </c>
      <c r="BR491" s="90" t="str">
        <f aca="false">IF($BL491&lt;&gt;Constants!$B$4,"",IF($BB491="-&gt;",$BH491,$AX491))</f>
        <v/>
      </c>
      <c r="BS491" s="86" t="str">
        <f aca="false">IF(ISBLANK($C491),"",IF($BL491&lt;&gt;Constants!$B$4,$BL491,IF(ISNUMBER($BR491),RANK($BR491,$BR$9:$BR$508,0),COUNT($BR$9:$BR$508)+1)))</f>
        <v/>
      </c>
      <c r="BT491" s="90" t="str">
        <f aca="false">IF($BL491&lt;&gt;Constants!$B$4,"",IF($BB491="-&gt;",$BE491,$AU491))</f>
        <v/>
      </c>
      <c r="BU491" s="86" t="str">
        <f aca="false">IF(ISBLANK($C491),"",IF($BL491&lt;&gt;Constants!$B$4,$BL491,IF(ISNUMBER($BT491),RANK($BT491,$BT$9:$BT$508,0),COUNT($BT$9:$BT$508)+1)))</f>
        <v/>
      </c>
      <c r="BV491" s="90" t="str">
        <f aca="false">IF($BL491&lt;&gt;Constants!$B$4,"",IF($BB491="-&gt;",$BF491,$AV491))</f>
        <v/>
      </c>
      <c r="BW491" s="86" t="str">
        <f aca="false">IF(ISBLANK($C491),"",IF($BL491&lt;&gt;Constants!$B$4,$BL491,IF(ISNUMBER($BV491),RANK($BV491,$BV$9:$BV$508,0),COUNT($BV$9:$BV$508)+1)))</f>
        <v/>
      </c>
      <c r="BX491" s="90" t="str">
        <f aca="false">IF($BL491&lt;&gt;Constants!$B$4,"",IF($BB491="-&gt;",$BK491,$BA491))</f>
        <v/>
      </c>
      <c r="BY491" s="86" t="str">
        <f aca="false">IF(ISBLANK($C491),"",IF($BL491&lt;&gt;Constants!$B$4,$BL491,IF(ISNUMBER($BX491),RANK($BX491,$BX$9:$BX$508,0),COUNT($BX$9:$BX$508)+1)))</f>
        <v/>
      </c>
      <c r="BZ491" s="86" t="str">
        <f aca="false">IF(ISBLANK($C491),"",IF($BL491&lt;&gt;Constants!$B$4,$BL491,COUNTIFS($BM$9:$BM$508,"&lt;"&amp;$BM491)+COUNTIFS($BM$9:$BM$508,$BM491,$BP$9:$BP$508,"&lt;"&amp;$BP491)+COUNTIFS($BM$9:$BM$508,$BM491,$BP$9:$BP$508,$BP491,$BS$9:$BS$508,"&lt;"&amp;$BS491)+COUNTIFS($BM$9:$BM$508,$BM491,$BP$9:$BP$508,$BP491,$BS$9:$BS$508,$BS491,$BU$9:$BU$508,"&lt;"&amp;$BU491)+COUNTIFS($BM$9:$BM$508,$BM491,$BP$9:$BP$508,$BP491,$BS$9:$BS$508,$BS491,$BU$9:$BU$508,$BU491,$BW$9:$BW$508,"&lt;"&amp;$BW491)+COUNTIFS($BM$9:$BM$508,$BM491,$BP$9:$BP$508,$BP491,$BS$9:$BS$508,$BS491,$BU$9:$BU$508,$BU491,$BW$9:$BW$508,$BW491,$BY$9:$BY$508,"&lt;"&amp;$BY491)+1))</f>
        <v/>
      </c>
      <c r="CA491" s="86" t="str">
        <f aca="false">IF(ISBLANK($C491),"",IF($BL491&lt;&gt;Constants!$B$4,$BL491,$BQ491-$BZ491))</f>
        <v/>
      </c>
      <c r="CB491" s="93"/>
      <c r="CC491" s="94" t="str">
        <f aca="false">IF(ISBLANK($C491),"",IF($BL491=Constants!$B$8,$AR491,""))</f>
        <v/>
      </c>
      <c r="CD491" s="94" t="str">
        <f aca="false">IF(ISBLANK($C491),"",IF($BL491&lt;&gt;Constants!$B$4,"",IF($BB491="-&gt;",2,1)))</f>
        <v/>
      </c>
      <c r="CE491" s="95" t="str">
        <f aca="false">IF(ISBLANK($C491),"",IF($BL491&lt;&gt;Constants!$B$4,"",IF($BB491="-&gt;",$BE491,$AU491)))</f>
        <v/>
      </c>
      <c r="CF491" s="95" t="str">
        <f aca="false">IF(ISBLANK($C491),"",IF($BL491&lt;&gt;Constants!$B$4,"",IF($BB491="-&gt;",$BF491,$AV491)))</f>
        <v/>
      </c>
      <c r="CG491" s="95" t="str">
        <f aca="false">IF(ISBLANK($C491),"",IF($BL491&lt;&gt;Constants!$B$4,"",IF($BB491="-&gt;",$BG491,$AW491)))</f>
        <v/>
      </c>
      <c r="CH491" s="95" t="str">
        <f aca="false">IF(ISBLANK($C491),"",IF($BL491&lt;&gt;Constants!$B$4,"",IF($BB491="-&gt;",$BH491,$AX491)))</f>
        <v/>
      </c>
      <c r="CI491" s="96" t="str">
        <f aca="false">IF(ISBLANK($C491),"",$BO491)</f>
        <v/>
      </c>
      <c r="CJ491" s="97" t="str">
        <f aca="false">IF(ISBLANK($C491),"",$BM491)</f>
        <v/>
      </c>
      <c r="CK491" s="98" t="str">
        <f aca="false">IF(ISBLANK($C491),"",$CA491)</f>
        <v/>
      </c>
      <c r="CL491" s="98" t="str">
        <f aca="false">IF(ISBLANK($C491),"",$BZ491)</f>
        <v/>
      </c>
      <c r="CM491" s="99" t="str">
        <f aca="false">IF(ISBLANK($C491),"",IF($CL491=Constants!$B$7,COUNTA($C$9:$C$508)+2,IF($CL491=Constants!$B$6,COUNTA($C$9:$C$508)+1,IF($CL491=Constants!$B$5,COUNTA($C$9:$C$508),$CL491))))</f>
        <v/>
      </c>
      <c r="CN491" s="8"/>
      <c r="CO491" s="100" t="n">
        <f aca="false">IF(OR(ISNUMBER($CL491),$CL491=Constants!$B$7,$CL491=Constants!$B$5,$CL491=Constants!$B$6),1,0)</f>
        <v>0</v>
      </c>
      <c r="CP491" s="100" t="n">
        <v>483</v>
      </c>
      <c r="CQ491" s="100" t="str">
        <f aca="false">IF(ISBLANK($C491),"",IF(ISNUMBER($CM491),$CM491+ROW($B491)/1000,""))</f>
        <v/>
      </c>
      <c r="CR491" s="100" t="str">
        <f aca="false">IF(ISNUMBER($CQ491),RANK($CQ491,$CQ$9:$CQ$508,1),"")</f>
        <v/>
      </c>
      <c r="CS491" s="100" t="str">
        <f aca="false">IF(ISBLANK($C491),"",$B491)</f>
        <v/>
      </c>
      <c r="CT491" s="100" t="str">
        <f aca="false">IF(ISBLANK($C491),"",$C491)</f>
        <v/>
      </c>
      <c r="CU491" s="100" t="str">
        <f aca="false">IF(ISBLANK($C491),"",$D491)</f>
        <v/>
      </c>
      <c r="CV491" s="101" t="str">
        <f aca="false">$CJ491</f>
        <v/>
      </c>
      <c r="CW491" s="102" t="str">
        <f aca="false">$CI491</f>
        <v/>
      </c>
      <c r="CX491" s="100" t="str">
        <f aca="false">IF(ISBLANK($C491),"",$CL491)</f>
        <v/>
      </c>
      <c r="CY491" s="103" t="str">
        <f aca="false">IF($CP491&gt;$CO$8,"",VLOOKUP($CP491,$CR$9:$CX$508,7,FALSE()))</f>
        <v/>
      </c>
      <c r="CZ491" s="104" t="str">
        <f aca="false">IF($CP491&gt;$CO$8,"",VLOOKUP($CP491,$CR$9:$CX$508,2,FALSE()))</f>
        <v/>
      </c>
      <c r="DA491" s="104" t="str">
        <f aca="false">IF($CP491&gt;$CO$8,"",VLOOKUP($CP491,$CR$9:$CX$508,3,FALSE()))</f>
        <v/>
      </c>
      <c r="DB491" s="104" t="str">
        <f aca="false">IF($CP491&gt;$CO$8,"",VLOOKUP($CP491,$CR$9:$CX$508,4,FALSE()))</f>
        <v/>
      </c>
      <c r="DC491" s="104" t="str">
        <f aca="false">IF($CP491&gt;$CO$8,"",VLOOKUP($CP491,$CR$9:$CX$508,5,FALSE()))</f>
        <v/>
      </c>
      <c r="DD491" s="105" t="str">
        <f aca="false">IF($CP491&gt;$CO$8,"",VLOOKUP($CP491,$CR$9:$CX$508,6,FALSE()))</f>
        <v/>
      </c>
      <c r="DE491" s="70"/>
    </row>
    <row r="492" customFormat="false" ht="15.75" hidden="false" customHeight="false" outlineLevel="0" collapsed="false">
      <c r="A492" s="8"/>
      <c r="B492" s="146"/>
      <c r="C492" s="147"/>
      <c r="D492" s="148"/>
      <c r="E492" s="164"/>
      <c r="F492" s="150"/>
      <c r="G492" s="115"/>
      <c r="H492" s="115"/>
      <c r="I492" s="115"/>
      <c r="J492" s="165"/>
      <c r="K492" s="154"/>
      <c r="L492" s="154"/>
      <c r="M492" s="118"/>
      <c r="N492" s="154"/>
      <c r="O492" s="153"/>
      <c r="P492" s="154"/>
      <c r="Q492" s="154"/>
      <c r="R492" s="154"/>
      <c r="S492" s="115"/>
      <c r="T492" s="154"/>
      <c r="U492" s="153"/>
      <c r="V492" s="154"/>
      <c r="W492" s="123"/>
      <c r="X492" s="124" t="str">
        <f aca="false">IF(ISBLANK($C492),"",IF($E492=Constants!$B$2,TRUE(),IF($E492=Constants!$B$3,FALSE(),TRUE())))</f>
        <v/>
      </c>
      <c r="Y492" s="124" t="str">
        <f aca="false">IF(ISBLANK($C492),"",IF($F492=Constants!$B$2,TRUE(),IF($F492=Constants!$B$3,FALSE(),TRUE())))</f>
        <v/>
      </c>
      <c r="Z492" s="125" t="str">
        <f aca="false">IF(ISBLANK($C492),"",IF(ISNUMBER($G492),IF($G492&gt;=0,$G492,""),""))</f>
        <v/>
      </c>
      <c r="AA492" s="125" t="str">
        <f aca="false">IF(ISBLANK($C492),"",IF(ISNUMBER($H492),IF($H492&gt;=0,$H492,""),""))</f>
        <v/>
      </c>
      <c r="AB492" s="125" t="str">
        <f aca="false">IF(ISBLANK($C492),"",IF(ISNUMBER($I492),IF($I492&gt;=0,$I492,""),""))</f>
        <v/>
      </c>
      <c r="AC492" s="124" t="str">
        <f aca="false">IF(ISBLANK($C492),"",IF($J492=Constants!$B$2,TRUE(),IF($J492=Constants!$B$3,FALSE(),TRUE())))</f>
        <v/>
      </c>
      <c r="AD492" s="124" t="str">
        <f aca="false">IF(ISBLANK($C492),"",IF($K492=Constants!$B$2,TRUE(),IF($K492=Constants!$B$3,FALSE(),TRUE())))</f>
        <v/>
      </c>
      <c r="AE492" s="124" t="str">
        <f aca="false">IF(ISBLANK($C492),"",IF($L492=Constants!$B$2,TRUE(),IF($L492=Constants!$B$3,FALSE(),TRUE())))</f>
        <v/>
      </c>
      <c r="AF492" s="126" t="str">
        <f aca="false">IF(ISBLANK($C492),"",IF(ISNUMBER($M492),IF($M492&gt;=0,$M492,""),""))</f>
        <v/>
      </c>
      <c r="AG492" s="124" t="str">
        <f aca="false">IF(ISBLANK($C492),"",IF(ISBLANK($N492),0,IF(ISNUMBER($N492),IF(AND($N492&gt;=0,$N492&lt;=Constants!$B$17,$N492=INT($N492)),$N492,""),"")))</f>
        <v/>
      </c>
      <c r="AH492" s="125" t="str">
        <f aca="false">IF(ISBLANK($C492),"",IF(ISBLANK($O492),0,IF(ISNUMBER($O492),IF($O492&gt;=0,$O492,""),"")))</f>
        <v/>
      </c>
      <c r="AI492" s="124" t="str">
        <f aca="false">IF(ISBLANK($C492),"",IF($P492=Constants!$B$2,TRUE(),IF($P492=Constants!$B$3,FALSE(),TRUE())))</f>
        <v/>
      </c>
      <c r="AJ492" s="124" t="str">
        <f aca="false">IF(ISBLANK($C492),"",IF($Q492=Constants!$B$2,TRUE(),IF($Q492=Constants!$B$3,FALSE(),TRUE())))</f>
        <v/>
      </c>
      <c r="AK492" s="124" t="str">
        <f aca="false">IF(ISBLANK($C492),"",IF($R492=Constants!$B$2,TRUE(),IF($R492=Constants!$B$3,FALSE(),TRUE())))</f>
        <v/>
      </c>
      <c r="AL492" s="126" t="str">
        <f aca="false">IF(ISBLANK($C492),"",IF(ISNUMBER($S492),IF($S492&gt;=0,$S492,""),""))</f>
        <v/>
      </c>
      <c r="AM492" s="124" t="str">
        <f aca="false">IF(ISBLANK($C492),"",IF(ISBLANK($T492),0,IF(ISNUMBER($T492),IF(AND($T492&gt;=0,$T492&lt;=Constants!$B$17,$T492=INT($T492)),$T492,""),"")))</f>
        <v/>
      </c>
      <c r="AN492" s="125" t="str">
        <f aca="false">IF(ISBLANK($C492),"",IF(ISBLANK($U492),0,IF(ISNUMBER($U492),IF($U492&gt;=0,$U492,""),"")))</f>
        <v/>
      </c>
      <c r="AO492" s="124" t="str">
        <f aca="false">IF(ISBLANK($C492),"",IF($V492=Constants!$B$2,TRUE(),IF($V492=Constants!$B$3,FALSE(),FALSE())))</f>
        <v/>
      </c>
      <c r="AP492" s="124"/>
      <c r="AQ492" s="123" t="str">
        <f aca="false">IF(ISBLANK($C492),"",AND($Y492,OR($AS492,$BC492),OR($Z492="",$AA492="",$AB492="")))</f>
        <v/>
      </c>
      <c r="AR492" s="123" t="str">
        <f aca="false">IF(ISBLANK($C492),"",IF(OR(NOT($Y492),NOT(OR($AS492,$BC492))),"",IF(ISBLANK($D$7),$AR$5,IF($AP$9="",$AR$6,""))))</f>
        <v/>
      </c>
      <c r="AS492" s="123" t="str">
        <f aca="false">IF(ISBLANK($C492),"",COUNTA($J492:$O492)&gt;0)</f>
        <v/>
      </c>
      <c r="AT492" s="123" t="str">
        <f aca="false">IF(ISBLANK($C492),"",AND($AS492,OR(AND($AF492="",OR($AE492,NOT(ISBLANK($M492)))),$AG492="",$AH492="")))</f>
        <v/>
      </c>
      <c r="AU492" s="125" t="str">
        <f aca="false">IF($BL492&lt;&gt;Constants!$B$4,"",IF(NOT($AS492),"",ROUND((Constants!$B$12-$AB492)+(Constants!$B$13-$Z492)+(Constants!$B$14-$AA492),1)))</f>
        <v/>
      </c>
      <c r="AV492" s="127" t="str">
        <f aca="false">IF($BL492&lt;&gt;Constants!$B$4,"",IF(NOT($AS492),"",IF(NOT($AE492),0,Constants!$B$15*(INT(ROUND(MIN($AF492,$AP$9),6))-INT(ROUND(MAX(0,MIN($AF492,2*$AP$9)-$AP$9),6))))))</f>
        <v/>
      </c>
      <c r="AW492" s="127" t="str">
        <f aca="false">IF($BL492&lt;&gt;Constants!$B$4,"",IF(NOT($AS492),"",Constants!$B$16*$AG492))</f>
        <v/>
      </c>
      <c r="AX492" s="127" t="str">
        <f aca="false">IF($BL492&lt;&gt;Constants!$B$4,"",IF(NOT($AS492),"",Constants!$B$18*INT(ROUND($AH492,6))))</f>
        <v/>
      </c>
      <c r="AY492" s="123" t="str">
        <f aca="false">IF($BL492&lt;&gt;Constants!$B$4,"",IF(NOT($AS492),"",IF(NOT($X492),Constants!$B$11,IF(OR(NOT($AC492),NOT($AD492),ROUND($AB492,1)&gt;Constants!$B$12,ROUND($Z492,1)&gt;Constants!$B$13,ROUND($AA492,1)&gt;Constants!$B$14),Constants!$B$10,Constants!$B$9))))</f>
        <v/>
      </c>
      <c r="AZ492" s="128" t="str">
        <f aca="false">IF($BL492&lt;&gt;Constants!$B$4,"",IF(NOT($AS492),"",ROUND($AU492+$AV492+$AW492+$AX492,1)))</f>
        <v/>
      </c>
      <c r="BA492" s="129" t="str">
        <f aca="false">IF($BL492&lt;&gt;Constants!$B$4,"",IF(NOT($AS492),"",IF(ISNUMBER($AF492),$AF492,0)))</f>
        <v/>
      </c>
      <c r="BB492" s="124" t="str">
        <f aca="false">IF($BL492&lt;&gt;Constants!$B$4,"",IF(NOT($BC492),"&lt;-",IF(NOT($AS492),"-&gt;",IF(OR($BI492&lt;$AY492,AND($BI492=$AY492,OR($BJ492&gt;$AZ492,AND($BJ492=$AZ492,OR($BH492&gt;$AX492,AND($BH492=$AX492,OR($BE492&gt;$AU492,AND($BE492=$AU492,OR($BF492&gt;$AV492,AND($BF492=$AV492,$BK492&gt;$BA492)))))))))),"-&gt;","&lt;-"))))</f>
        <v/>
      </c>
      <c r="BC492" s="123" t="str">
        <f aca="false">IF(ISBLANK($C492),"",COUNTA($P492:$U492)&gt;0)</f>
        <v/>
      </c>
      <c r="BD492" s="123" t="str">
        <f aca="false">IF(ISBLANK($C492),"",AND($BC492,OR(AND($AL492="",OR($AK492,NOT(ISBLANK($S492)))),$AM492="",$AN492="")))</f>
        <v/>
      </c>
      <c r="BE492" s="125" t="str">
        <f aca="false">IF($BL492&lt;&gt;Constants!$B$4,"",IF(NOT($BC492),"",ROUND((Constants!$B$12-$AB492)+(Constants!$B$13-$Z492)+(Constants!$B$14-$AA492),1)))</f>
        <v/>
      </c>
      <c r="BF492" s="127" t="str">
        <f aca="false">IF($BL492&lt;&gt;Constants!$B$4,"",IF(NOT($BC492),"",IF(NOT($AK492),0,Constants!$B$15*(INT(ROUND(MIN($AL492,$AP$9),6))-INT(ROUND(MAX(0,MIN($AL492,2*$AP$9)-$AP$9),6))))))</f>
        <v/>
      </c>
      <c r="BG492" s="127" t="str">
        <f aca="false">IF($BL492&lt;&gt;Constants!$B$4,"",IF(NOT($BC492),"",Constants!$B$16*$AM492))</f>
        <v/>
      </c>
      <c r="BH492" s="127" t="str">
        <f aca="false">IF($BL492&lt;&gt;Constants!$B$4,"",IF(NOT($BC492),"",Constants!$B$18*INT(ROUND($AN492,6))))</f>
        <v/>
      </c>
      <c r="BI492" s="123" t="str">
        <f aca="false">IF($BL492&lt;&gt;Constants!$B$4,"",IF(NOT($BC492),"",IF(NOT($X492),Constants!$B$11,IF(OR(NOT($AI492),NOT($AJ492),ROUND($AB492,1)&gt;Constants!$B$12,ROUND($Z492,1)&gt;Constants!$B$13,ROUND($AA492,1)&gt;Constants!$B$14),Constants!$B$10,Constants!$B$9))))</f>
        <v/>
      </c>
      <c r="BJ492" s="128" t="str">
        <f aca="false">IF($BL492&lt;&gt;Constants!$B$4,"",IF(NOT($BC492),"",ROUND($BE492+$BF492+$BG492+$BH492,1)))</f>
        <v/>
      </c>
      <c r="BK492" s="129" t="str">
        <f aca="false">IF($BL492&lt;&gt;Constants!$B$4,"",IF(NOT($BC492),"",IF(ISNUMBER($AL492),$AL492,0)))</f>
        <v/>
      </c>
      <c r="BL492" s="124" t="str">
        <f aca="false">IF(ISBLANK($C492),"",IF($AO492,Constants!$B$7,IF(COUNTA($E492:$V492)=0,Constants!$B$6,IF(NOT($Y492),Constants!$B$5,IF(NOT(OR($AS492,$BC492)),Constants!$B$5,IF(OR($AT492,$BD492,$AQ492,$AR492&lt;&gt;""),Constants!$B$8,Constants!$B$4))))))</f>
        <v/>
      </c>
      <c r="BM492" s="124" t="str">
        <f aca="false">IF(ISBLANK($C492),"",IF($BL492&lt;&gt;Constants!$B$4,$BL492,IF($BB492="-&gt;",$BI492,$AY492)))</f>
        <v/>
      </c>
      <c r="BN492" s="127" t="str">
        <f aca="false">IF($BL492&lt;&gt;Constants!$B$4,"",IF($BB492="-&gt;",$BJ492,$AZ492))</f>
        <v/>
      </c>
      <c r="BO492" s="127" t="str">
        <f aca="false">IF(ISBLANK($C492),"",IF($BL492&lt;&gt;Constants!$B$4,$BL492,$BN492))</f>
        <v/>
      </c>
      <c r="BP492" s="124" t="str">
        <f aca="false">IF(ISBLANK($C492),"",IF($BL492&lt;&gt;Constants!$B$4,$BL492,RANK($BO492,$BO$9:$BO$508,0)))</f>
        <v/>
      </c>
      <c r="BQ492" s="124" t="str">
        <f aca="false">IF(ISBLANK($C492),"",IF($BL492&lt;&gt;Constants!$B$4,$BL492,COUNTIFS($BM$9:$BM$508,"&lt;"&amp;$BM492)+COUNTIFS($BM$9:$BM$508,$BM492,$BP$9:$BP$508,"&lt;"&amp;$BP492)+1))</f>
        <v/>
      </c>
      <c r="BR492" s="127" t="str">
        <f aca="false">IF($BL492&lt;&gt;Constants!$B$4,"",IF($BB492="-&gt;",$BH492,$AX492))</f>
        <v/>
      </c>
      <c r="BS492" s="124" t="str">
        <f aca="false">IF(ISBLANK($C492),"",IF($BL492&lt;&gt;Constants!$B$4,$BL492,IF(ISNUMBER($BR492),RANK($BR492,$BR$9:$BR$508,0),COUNT($BR$9:$BR$508)+1)))</f>
        <v/>
      </c>
      <c r="BT492" s="127" t="str">
        <f aca="false">IF($BL492&lt;&gt;Constants!$B$4,"",IF($BB492="-&gt;",$BE492,$AU492))</f>
        <v/>
      </c>
      <c r="BU492" s="124" t="str">
        <f aca="false">IF(ISBLANK($C492),"",IF($BL492&lt;&gt;Constants!$B$4,$BL492,IF(ISNUMBER($BT492),RANK($BT492,$BT$9:$BT$508,0),COUNT($BT$9:$BT$508)+1)))</f>
        <v/>
      </c>
      <c r="BV492" s="127" t="str">
        <f aca="false">IF($BL492&lt;&gt;Constants!$B$4,"",IF($BB492="-&gt;",$BF492,$AV492))</f>
        <v/>
      </c>
      <c r="BW492" s="124" t="str">
        <f aca="false">IF(ISBLANK($C492),"",IF($BL492&lt;&gt;Constants!$B$4,$BL492,IF(ISNUMBER($BV492),RANK($BV492,$BV$9:$BV$508,0),COUNT($BV$9:$BV$508)+1)))</f>
        <v/>
      </c>
      <c r="BX492" s="127" t="str">
        <f aca="false">IF($BL492&lt;&gt;Constants!$B$4,"",IF($BB492="-&gt;",$BK492,$BA492))</f>
        <v/>
      </c>
      <c r="BY492" s="124" t="str">
        <f aca="false">IF(ISBLANK($C492),"",IF($BL492&lt;&gt;Constants!$B$4,$BL492,IF(ISNUMBER($BX492),RANK($BX492,$BX$9:$BX$508,0),COUNT($BX$9:$BX$508)+1)))</f>
        <v/>
      </c>
      <c r="BZ492" s="124" t="str">
        <f aca="false">IF(ISBLANK($C492),"",IF($BL492&lt;&gt;Constants!$B$4,$BL492,COUNTIFS($BM$9:$BM$508,"&lt;"&amp;$BM492)+COUNTIFS($BM$9:$BM$508,$BM492,$BP$9:$BP$508,"&lt;"&amp;$BP492)+COUNTIFS($BM$9:$BM$508,$BM492,$BP$9:$BP$508,$BP492,$BS$9:$BS$508,"&lt;"&amp;$BS492)+COUNTIFS($BM$9:$BM$508,$BM492,$BP$9:$BP$508,$BP492,$BS$9:$BS$508,$BS492,$BU$9:$BU$508,"&lt;"&amp;$BU492)+COUNTIFS($BM$9:$BM$508,$BM492,$BP$9:$BP$508,$BP492,$BS$9:$BS$508,$BS492,$BU$9:$BU$508,$BU492,$BW$9:$BW$508,"&lt;"&amp;$BW492)+COUNTIFS($BM$9:$BM$508,$BM492,$BP$9:$BP$508,$BP492,$BS$9:$BS$508,$BS492,$BU$9:$BU$508,$BU492,$BW$9:$BW$508,$BW492,$BY$9:$BY$508,"&lt;"&amp;$BY492)+1))</f>
        <v/>
      </c>
      <c r="CA492" s="124" t="str">
        <f aca="false">IF(ISBLANK($C492),"",IF($BL492&lt;&gt;Constants!$B$4,$BL492,$BQ492-$BZ492))</f>
        <v/>
      </c>
      <c r="CB492" s="130"/>
      <c r="CC492" s="131" t="str">
        <f aca="false">IF(ISBLANK($C492),"",IF($BL492=Constants!$B$8,$AR492,""))</f>
        <v/>
      </c>
      <c r="CD492" s="131" t="str">
        <f aca="false">IF(ISBLANK($C492),"",IF($BL492&lt;&gt;Constants!$B$4,"",IF($BB492="-&gt;",2,1)))</f>
        <v/>
      </c>
      <c r="CE492" s="132" t="str">
        <f aca="false">IF(ISBLANK($C492),"",IF($BL492&lt;&gt;Constants!$B$4,"",IF($BB492="-&gt;",$BE492,$AU492)))</f>
        <v/>
      </c>
      <c r="CF492" s="132" t="str">
        <f aca="false">IF(ISBLANK($C492),"",IF($BL492&lt;&gt;Constants!$B$4,"",IF($BB492="-&gt;",$BF492,$AV492)))</f>
        <v/>
      </c>
      <c r="CG492" s="132" t="str">
        <f aca="false">IF(ISBLANK($C492),"",IF($BL492&lt;&gt;Constants!$B$4,"",IF($BB492="-&gt;",$BG492,$AW492)))</f>
        <v/>
      </c>
      <c r="CH492" s="132" t="str">
        <f aca="false">IF(ISBLANK($C492),"",IF($BL492&lt;&gt;Constants!$B$4,"",IF($BB492="-&gt;",$BH492,$AX492)))</f>
        <v/>
      </c>
      <c r="CI492" s="133" t="str">
        <f aca="false">IF(ISBLANK($C492),"",$BO492)</f>
        <v/>
      </c>
      <c r="CJ492" s="134" t="str">
        <f aca="false">IF(ISBLANK($C492),"",$BM492)</f>
        <v/>
      </c>
      <c r="CK492" s="135" t="str">
        <f aca="false">IF(ISBLANK($C492),"",$CA492)</f>
        <v/>
      </c>
      <c r="CL492" s="135" t="str">
        <f aca="false">IF(ISBLANK($C492),"",$BZ492)</f>
        <v/>
      </c>
      <c r="CM492" s="136" t="str">
        <f aca="false">IF(ISBLANK($C492),"",IF($CL492=Constants!$B$7,COUNTA($C$9:$C$508)+2,IF($CL492=Constants!$B$6,COUNTA($C$9:$C$508)+1,IF($CL492=Constants!$B$5,COUNTA($C$9:$C$508),$CL492))))</f>
        <v/>
      </c>
      <c r="CN492" s="8"/>
      <c r="CO492" s="137" t="n">
        <f aca="false">IF(OR(ISNUMBER($CL492),$CL492=Constants!$B$7,$CL492=Constants!$B$5,$CL492=Constants!$B$6),1,0)</f>
        <v>0</v>
      </c>
      <c r="CP492" s="137" t="n">
        <v>484</v>
      </c>
      <c r="CQ492" s="137" t="str">
        <f aca="false">IF(ISBLANK($C492),"",IF(ISNUMBER($CM492),$CM492+ROW($B492)/1000,""))</f>
        <v/>
      </c>
      <c r="CR492" s="137" t="str">
        <f aca="false">IF(ISNUMBER($CQ492),RANK($CQ492,$CQ$9:$CQ$508,1),"")</f>
        <v/>
      </c>
      <c r="CS492" s="137" t="str">
        <f aca="false">IF(ISBLANK($C492),"",$B492)</f>
        <v/>
      </c>
      <c r="CT492" s="137" t="str">
        <f aca="false">IF(ISBLANK($C492),"",$C492)</f>
        <v/>
      </c>
      <c r="CU492" s="137" t="str">
        <f aca="false">IF(ISBLANK($C492),"",$D492)</f>
        <v/>
      </c>
      <c r="CV492" s="138" t="str">
        <f aca="false">$CJ492</f>
        <v/>
      </c>
      <c r="CW492" s="139" t="str">
        <f aca="false">$CI492</f>
        <v/>
      </c>
      <c r="CX492" s="137" t="str">
        <f aca="false">IF(ISBLANK($C492),"",$CL492)</f>
        <v/>
      </c>
      <c r="CY492" s="140" t="str">
        <f aca="false">IF($CP492&gt;$CO$8,"",VLOOKUP($CP492,$CR$9:$CX$508,7,FALSE()))</f>
        <v/>
      </c>
      <c r="CZ492" s="141" t="str">
        <f aca="false">IF($CP492&gt;$CO$8,"",VLOOKUP($CP492,$CR$9:$CX$508,2,FALSE()))</f>
        <v/>
      </c>
      <c r="DA492" s="141" t="str">
        <f aca="false">IF($CP492&gt;$CO$8,"",VLOOKUP($CP492,$CR$9:$CX$508,3,FALSE()))</f>
        <v/>
      </c>
      <c r="DB492" s="141" t="str">
        <f aca="false">IF($CP492&gt;$CO$8,"",VLOOKUP($CP492,$CR$9:$CX$508,4,FALSE()))</f>
        <v/>
      </c>
      <c r="DC492" s="141" t="str">
        <f aca="false">IF($CP492&gt;$CO$8,"",VLOOKUP($CP492,$CR$9:$CX$508,5,FALSE()))</f>
        <v/>
      </c>
      <c r="DD492" s="142" t="str">
        <f aca="false">IF($CP492&gt;$CO$8,"",VLOOKUP($CP492,$CR$9:$CX$508,6,FALSE()))</f>
        <v/>
      </c>
      <c r="DE492" s="70"/>
    </row>
    <row r="493" customFormat="false" ht="15.75" hidden="false" customHeight="false" outlineLevel="0" collapsed="false">
      <c r="A493" s="8"/>
      <c r="B493" s="146"/>
      <c r="C493" s="147"/>
      <c r="D493" s="148"/>
      <c r="E493" s="164"/>
      <c r="F493" s="150"/>
      <c r="G493" s="115"/>
      <c r="H493" s="115"/>
      <c r="I493" s="115"/>
      <c r="J493" s="165"/>
      <c r="K493" s="154"/>
      <c r="L493" s="154"/>
      <c r="M493" s="118"/>
      <c r="N493" s="154"/>
      <c r="O493" s="153"/>
      <c r="P493" s="154"/>
      <c r="Q493" s="154"/>
      <c r="R493" s="154"/>
      <c r="S493" s="115"/>
      <c r="T493" s="154"/>
      <c r="U493" s="153"/>
      <c r="V493" s="154"/>
      <c r="W493" s="123"/>
      <c r="X493" s="124" t="str">
        <f aca="false">IF(ISBLANK($C493),"",IF($E493=Constants!$B$2,TRUE(),IF($E493=Constants!$B$3,FALSE(),TRUE())))</f>
        <v/>
      </c>
      <c r="Y493" s="124" t="str">
        <f aca="false">IF(ISBLANK($C493),"",IF($F493=Constants!$B$2,TRUE(),IF($F493=Constants!$B$3,FALSE(),TRUE())))</f>
        <v/>
      </c>
      <c r="Z493" s="125" t="str">
        <f aca="false">IF(ISBLANK($C493),"",IF(ISNUMBER($G493),IF($G493&gt;=0,$G493,""),""))</f>
        <v/>
      </c>
      <c r="AA493" s="125" t="str">
        <f aca="false">IF(ISBLANK($C493),"",IF(ISNUMBER($H493),IF($H493&gt;=0,$H493,""),""))</f>
        <v/>
      </c>
      <c r="AB493" s="125" t="str">
        <f aca="false">IF(ISBLANK($C493),"",IF(ISNUMBER($I493),IF($I493&gt;=0,$I493,""),""))</f>
        <v/>
      </c>
      <c r="AC493" s="124" t="str">
        <f aca="false">IF(ISBLANK($C493),"",IF($J493=Constants!$B$2,TRUE(),IF($J493=Constants!$B$3,FALSE(),TRUE())))</f>
        <v/>
      </c>
      <c r="AD493" s="124" t="str">
        <f aca="false">IF(ISBLANK($C493),"",IF($K493=Constants!$B$2,TRUE(),IF($K493=Constants!$B$3,FALSE(),TRUE())))</f>
        <v/>
      </c>
      <c r="AE493" s="124" t="str">
        <f aca="false">IF(ISBLANK($C493),"",IF($L493=Constants!$B$2,TRUE(),IF($L493=Constants!$B$3,FALSE(),TRUE())))</f>
        <v/>
      </c>
      <c r="AF493" s="126" t="str">
        <f aca="false">IF(ISBLANK($C493),"",IF(ISNUMBER($M493),IF($M493&gt;=0,$M493,""),""))</f>
        <v/>
      </c>
      <c r="AG493" s="124" t="str">
        <f aca="false">IF(ISBLANK($C493),"",IF(ISBLANK($N493),0,IF(ISNUMBER($N493),IF(AND($N493&gt;=0,$N493&lt;=Constants!$B$17,$N493=INT($N493)),$N493,""),"")))</f>
        <v/>
      </c>
      <c r="AH493" s="125" t="str">
        <f aca="false">IF(ISBLANK($C493),"",IF(ISBLANK($O493),0,IF(ISNUMBER($O493),IF($O493&gt;=0,$O493,""),"")))</f>
        <v/>
      </c>
      <c r="AI493" s="124" t="str">
        <f aca="false">IF(ISBLANK($C493),"",IF($P493=Constants!$B$2,TRUE(),IF($P493=Constants!$B$3,FALSE(),TRUE())))</f>
        <v/>
      </c>
      <c r="AJ493" s="124" t="str">
        <f aca="false">IF(ISBLANK($C493),"",IF($Q493=Constants!$B$2,TRUE(),IF($Q493=Constants!$B$3,FALSE(),TRUE())))</f>
        <v/>
      </c>
      <c r="AK493" s="124" t="str">
        <f aca="false">IF(ISBLANK($C493),"",IF($R493=Constants!$B$2,TRUE(),IF($R493=Constants!$B$3,FALSE(),TRUE())))</f>
        <v/>
      </c>
      <c r="AL493" s="126" t="str">
        <f aca="false">IF(ISBLANK($C493),"",IF(ISNUMBER($S493),IF($S493&gt;=0,$S493,""),""))</f>
        <v/>
      </c>
      <c r="AM493" s="124" t="str">
        <f aca="false">IF(ISBLANK($C493),"",IF(ISBLANK($T493),0,IF(ISNUMBER($T493),IF(AND($T493&gt;=0,$T493&lt;=Constants!$B$17,$T493=INT($T493)),$T493,""),"")))</f>
        <v/>
      </c>
      <c r="AN493" s="125" t="str">
        <f aca="false">IF(ISBLANK($C493),"",IF(ISBLANK($U493),0,IF(ISNUMBER($U493),IF($U493&gt;=0,$U493,""),"")))</f>
        <v/>
      </c>
      <c r="AO493" s="124" t="str">
        <f aca="false">IF(ISBLANK($C493),"",IF($V493=Constants!$B$2,TRUE(),IF($V493=Constants!$B$3,FALSE(),FALSE())))</f>
        <v/>
      </c>
      <c r="AP493" s="124"/>
      <c r="AQ493" s="123" t="str">
        <f aca="false">IF(ISBLANK($C493),"",AND($Y493,OR($AS493,$BC493),OR($Z493="",$AA493="",$AB493="")))</f>
        <v/>
      </c>
      <c r="AR493" s="123" t="str">
        <f aca="false">IF(ISBLANK($C493),"",IF(OR(NOT($Y493),NOT(OR($AS493,$BC493))),"",IF(ISBLANK($D$7),$AR$5,IF($AP$9="",$AR$6,""))))</f>
        <v/>
      </c>
      <c r="AS493" s="123" t="str">
        <f aca="false">IF(ISBLANK($C493),"",COUNTA($J493:$O493)&gt;0)</f>
        <v/>
      </c>
      <c r="AT493" s="123" t="str">
        <f aca="false">IF(ISBLANK($C493),"",AND($AS493,OR(AND($AF493="",OR($AE493,NOT(ISBLANK($M493)))),$AG493="",$AH493="")))</f>
        <v/>
      </c>
      <c r="AU493" s="125" t="str">
        <f aca="false">IF($BL493&lt;&gt;Constants!$B$4,"",IF(NOT($AS493),"",ROUND((Constants!$B$12-$AB493)+(Constants!$B$13-$Z493)+(Constants!$B$14-$AA493),1)))</f>
        <v/>
      </c>
      <c r="AV493" s="127" t="str">
        <f aca="false">IF($BL493&lt;&gt;Constants!$B$4,"",IF(NOT($AS493),"",IF(NOT($AE493),0,Constants!$B$15*(INT(ROUND(MIN($AF493,$AP$9),6))-INT(ROUND(MAX(0,MIN($AF493,2*$AP$9)-$AP$9),6))))))</f>
        <v/>
      </c>
      <c r="AW493" s="127" t="str">
        <f aca="false">IF($BL493&lt;&gt;Constants!$B$4,"",IF(NOT($AS493),"",Constants!$B$16*$AG493))</f>
        <v/>
      </c>
      <c r="AX493" s="127" t="str">
        <f aca="false">IF($BL493&lt;&gt;Constants!$B$4,"",IF(NOT($AS493),"",Constants!$B$18*INT(ROUND($AH493,6))))</f>
        <v/>
      </c>
      <c r="AY493" s="123" t="str">
        <f aca="false">IF($BL493&lt;&gt;Constants!$B$4,"",IF(NOT($AS493),"",IF(NOT($X493),Constants!$B$11,IF(OR(NOT($AC493),NOT($AD493),ROUND($AB493,1)&gt;Constants!$B$12,ROUND($Z493,1)&gt;Constants!$B$13,ROUND($AA493,1)&gt;Constants!$B$14),Constants!$B$10,Constants!$B$9))))</f>
        <v/>
      </c>
      <c r="AZ493" s="128" t="str">
        <f aca="false">IF($BL493&lt;&gt;Constants!$B$4,"",IF(NOT($AS493),"",ROUND($AU493+$AV493+$AW493+$AX493,1)))</f>
        <v/>
      </c>
      <c r="BA493" s="129" t="str">
        <f aca="false">IF($BL493&lt;&gt;Constants!$B$4,"",IF(NOT($AS493),"",IF(ISNUMBER($AF493),$AF493,0)))</f>
        <v/>
      </c>
      <c r="BB493" s="124" t="str">
        <f aca="false">IF($BL493&lt;&gt;Constants!$B$4,"",IF(NOT($BC493),"&lt;-",IF(NOT($AS493),"-&gt;",IF(OR($BI493&lt;$AY493,AND($BI493=$AY493,OR($BJ493&gt;$AZ493,AND($BJ493=$AZ493,OR($BH493&gt;$AX493,AND($BH493=$AX493,OR($BE493&gt;$AU493,AND($BE493=$AU493,OR($BF493&gt;$AV493,AND($BF493=$AV493,$BK493&gt;$BA493)))))))))),"-&gt;","&lt;-"))))</f>
        <v/>
      </c>
      <c r="BC493" s="123" t="str">
        <f aca="false">IF(ISBLANK($C493),"",COUNTA($P493:$U493)&gt;0)</f>
        <v/>
      </c>
      <c r="BD493" s="123" t="str">
        <f aca="false">IF(ISBLANK($C493),"",AND($BC493,OR(AND($AL493="",OR($AK493,NOT(ISBLANK($S493)))),$AM493="",$AN493="")))</f>
        <v/>
      </c>
      <c r="BE493" s="125" t="str">
        <f aca="false">IF($BL493&lt;&gt;Constants!$B$4,"",IF(NOT($BC493),"",ROUND((Constants!$B$12-$AB493)+(Constants!$B$13-$Z493)+(Constants!$B$14-$AA493),1)))</f>
        <v/>
      </c>
      <c r="BF493" s="127" t="str">
        <f aca="false">IF($BL493&lt;&gt;Constants!$B$4,"",IF(NOT($BC493),"",IF(NOT($AK493),0,Constants!$B$15*(INT(ROUND(MIN($AL493,$AP$9),6))-INT(ROUND(MAX(0,MIN($AL493,2*$AP$9)-$AP$9),6))))))</f>
        <v/>
      </c>
      <c r="BG493" s="127" t="str">
        <f aca="false">IF($BL493&lt;&gt;Constants!$B$4,"",IF(NOT($BC493),"",Constants!$B$16*$AM493))</f>
        <v/>
      </c>
      <c r="BH493" s="127" t="str">
        <f aca="false">IF($BL493&lt;&gt;Constants!$B$4,"",IF(NOT($BC493),"",Constants!$B$18*INT(ROUND($AN493,6))))</f>
        <v/>
      </c>
      <c r="BI493" s="123" t="str">
        <f aca="false">IF($BL493&lt;&gt;Constants!$B$4,"",IF(NOT($BC493),"",IF(NOT($X493),Constants!$B$11,IF(OR(NOT($AI493),NOT($AJ493),ROUND($AB493,1)&gt;Constants!$B$12,ROUND($Z493,1)&gt;Constants!$B$13,ROUND($AA493,1)&gt;Constants!$B$14),Constants!$B$10,Constants!$B$9))))</f>
        <v/>
      </c>
      <c r="BJ493" s="128" t="str">
        <f aca="false">IF($BL493&lt;&gt;Constants!$B$4,"",IF(NOT($BC493),"",ROUND($BE493+$BF493+$BG493+$BH493,1)))</f>
        <v/>
      </c>
      <c r="BK493" s="129" t="str">
        <f aca="false">IF($BL493&lt;&gt;Constants!$B$4,"",IF(NOT($BC493),"",IF(ISNUMBER($AL493),$AL493,0)))</f>
        <v/>
      </c>
      <c r="BL493" s="124" t="str">
        <f aca="false">IF(ISBLANK($C493),"",IF($AO493,Constants!$B$7,IF(COUNTA($E493:$V493)=0,Constants!$B$6,IF(NOT($Y493),Constants!$B$5,IF(NOT(OR($AS493,$BC493)),Constants!$B$5,IF(OR($AT493,$BD493,$AQ493,$AR493&lt;&gt;""),Constants!$B$8,Constants!$B$4))))))</f>
        <v/>
      </c>
      <c r="BM493" s="124" t="str">
        <f aca="false">IF(ISBLANK($C493),"",IF($BL493&lt;&gt;Constants!$B$4,$BL493,IF($BB493="-&gt;",$BI493,$AY493)))</f>
        <v/>
      </c>
      <c r="BN493" s="127" t="str">
        <f aca="false">IF($BL493&lt;&gt;Constants!$B$4,"",IF($BB493="-&gt;",$BJ493,$AZ493))</f>
        <v/>
      </c>
      <c r="BO493" s="127" t="str">
        <f aca="false">IF(ISBLANK($C493),"",IF($BL493&lt;&gt;Constants!$B$4,$BL493,$BN493))</f>
        <v/>
      </c>
      <c r="BP493" s="124" t="str">
        <f aca="false">IF(ISBLANK($C493),"",IF($BL493&lt;&gt;Constants!$B$4,$BL493,RANK($BO493,$BO$9:$BO$508,0)))</f>
        <v/>
      </c>
      <c r="BQ493" s="124" t="str">
        <f aca="false">IF(ISBLANK($C493),"",IF($BL493&lt;&gt;Constants!$B$4,$BL493,COUNTIFS($BM$9:$BM$508,"&lt;"&amp;$BM493)+COUNTIFS($BM$9:$BM$508,$BM493,$BP$9:$BP$508,"&lt;"&amp;$BP493)+1))</f>
        <v/>
      </c>
      <c r="BR493" s="127" t="str">
        <f aca="false">IF($BL493&lt;&gt;Constants!$B$4,"",IF($BB493="-&gt;",$BH493,$AX493))</f>
        <v/>
      </c>
      <c r="BS493" s="124" t="str">
        <f aca="false">IF(ISBLANK($C493),"",IF($BL493&lt;&gt;Constants!$B$4,$BL493,IF(ISNUMBER($BR493),RANK($BR493,$BR$9:$BR$508,0),COUNT($BR$9:$BR$508)+1)))</f>
        <v/>
      </c>
      <c r="BT493" s="127" t="str">
        <f aca="false">IF($BL493&lt;&gt;Constants!$B$4,"",IF($BB493="-&gt;",$BE493,$AU493))</f>
        <v/>
      </c>
      <c r="BU493" s="124" t="str">
        <f aca="false">IF(ISBLANK($C493),"",IF($BL493&lt;&gt;Constants!$B$4,$BL493,IF(ISNUMBER($BT493),RANK($BT493,$BT$9:$BT$508,0),COUNT($BT$9:$BT$508)+1)))</f>
        <v/>
      </c>
      <c r="BV493" s="127" t="str">
        <f aca="false">IF($BL493&lt;&gt;Constants!$B$4,"",IF($BB493="-&gt;",$BF493,$AV493))</f>
        <v/>
      </c>
      <c r="BW493" s="124" t="str">
        <f aca="false">IF(ISBLANK($C493),"",IF($BL493&lt;&gt;Constants!$B$4,$BL493,IF(ISNUMBER($BV493),RANK($BV493,$BV$9:$BV$508,0),COUNT($BV$9:$BV$508)+1)))</f>
        <v/>
      </c>
      <c r="BX493" s="127" t="str">
        <f aca="false">IF($BL493&lt;&gt;Constants!$B$4,"",IF($BB493="-&gt;",$BK493,$BA493))</f>
        <v/>
      </c>
      <c r="BY493" s="124" t="str">
        <f aca="false">IF(ISBLANK($C493),"",IF($BL493&lt;&gt;Constants!$B$4,$BL493,IF(ISNUMBER($BX493),RANK($BX493,$BX$9:$BX$508,0),COUNT($BX$9:$BX$508)+1)))</f>
        <v/>
      </c>
      <c r="BZ493" s="124" t="str">
        <f aca="false">IF(ISBLANK($C493),"",IF($BL493&lt;&gt;Constants!$B$4,$BL493,COUNTIFS($BM$9:$BM$508,"&lt;"&amp;$BM493)+COUNTIFS($BM$9:$BM$508,$BM493,$BP$9:$BP$508,"&lt;"&amp;$BP493)+COUNTIFS($BM$9:$BM$508,$BM493,$BP$9:$BP$508,$BP493,$BS$9:$BS$508,"&lt;"&amp;$BS493)+COUNTIFS($BM$9:$BM$508,$BM493,$BP$9:$BP$508,$BP493,$BS$9:$BS$508,$BS493,$BU$9:$BU$508,"&lt;"&amp;$BU493)+COUNTIFS($BM$9:$BM$508,$BM493,$BP$9:$BP$508,$BP493,$BS$9:$BS$508,$BS493,$BU$9:$BU$508,$BU493,$BW$9:$BW$508,"&lt;"&amp;$BW493)+COUNTIFS($BM$9:$BM$508,$BM493,$BP$9:$BP$508,$BP493,$BS$9:$BS$508,$BS493,$BU$9:$BU$508,$BU493,$BW$9:$BW$508,$BW493,$BY$9:$BY$508,"&lt;"&amp;$BY493)+1))</f>
        <v/>
      </c>
      <c r="CA493" s="124" t="str">
        <f aca="false">IF(ISBLANK($C493),"",IF($BL493&lt;&gt;Constants!$B$4,$BL493,$BQ493-$BZ493))</f>
        <v/>
      </c>
      <c r="CB493" s="130"/>
      <c r="CC493" s="131" t="str">
        <f aca="false">IF(ISBLANK($C493),"",IF($BL493=Constants!$B$8,$AR493,""))</f>
        <v/>
      </c>
      <c r="CD493" s="131" t="str">
        <f aca="false">IF(ISBLANK($C493),"",IF($BL493&lt;&gt;Constants!$B$4,"",IF($BB493="-&gt;",2,1)))</f>
        <v/>
      </c>
      <c r="CE493" s="132" t="str">
        <f aca="false">IF(ISBLANK($C493),"",IF($BL493&lt;&gt;Constants!$B$4,"",IF($BB493="-&gt;",$BE493,$AU493)))</f>
        <v/>
      </c>
      <c r="CF493" s="132" t="str">
        <f aca="false">IF(ISBLANK($C493),"",IF($BL493&lt;&gt;Constants!$B$4,"",IF($BB493="-&gt;",$BF493,$AV493)))</f>
        <v/>
      </c>
      <c r="CG493" s="132" t="str">
        <f aca="false">IF(ISBLANK($C493),"",IF($BL493&lt;&gt;Constants!$B$4,"",IF($BB493="-&gt;",$BG493,$AW493)))</f>
        <v/>
      </c>
      <c r="CH493" s="132" t="str">
        <f aca="false">IF(ISBLANK($C493),"",IF($BL493&lt;&gt;Constants!$B$4,"",IF($BB493="-&gt;",$BH493,$AX493)))</f>
        <v/>
      </c>
      <c r="CI493" s="133" t="str">
        <f aca="false">IF(ISBLANK($C493),"",$BO493)</f>
        <v/>
      </c>
      <c r="CJ493" s="134" t="str">
        <f aca="false">IF(ISBLANK($C493),"",$BM493)</f>
        <v/>
      </c>
      <c r="CK493" s="135" t="str">
        <f aca="false">IF(ISBLANK($C493),"",$CA493)</f>
        <v/>
      </c>
      <c r="CL493" s="135" t="str">
        <f aca="false">IF(ISBLANK($C493),"",$BZ493)</f>
        <v/>
      </c>
      <c r="CM493" s="136" t="str">
        <f aca="false">IF(ISBLANK($C493),"",IF($CL493=Constants!$B$7,COUNTA($C$9:$C$508)+2,IF($CL493=Constants!$B$6,COUNTA($C$9:$C$508)+1,IF($CL493=Constants!$B$5,COUNTA($C$9:$C$508),$CL493))))</f>
        <v/>
      </c>
      <c r="CN493" s="8"/>
      <c r="CO493" s="137" t="n">
        <f aca="false">IF(OR(ISNUMBER($CL493),$CL493=Constants!$B$7,$CL493=Constants!$B$5,$CL493=Constants!$B$6),1,0)</f>
        <v>0</v>
      </c>
      <c r="CP493" s="137" t="n">
        <v>485</v>
      </c>
      <c r="CQ493" s="137" t="str">
        <f aca="false">IF(ISBLANK($C493),"",IF(ISNUMBER($CM493),$CM493+ROW($B493)/1000,""))</f>
        <v/>
      </c>
      <c r="CR493" s="137" t="str">
        <f aca="false">IF(ISNUMBER($CQ493),RANK($CQ493,$CQ$9:$CQ$508,1),"")</f>
        <v/>
      </c>
      <c r="CS493" s="137" t="str">
        <f aca="false">IF(ISBLANK($C493),"",$B493)</f>
        <v/>
      </c>
      <c r="CT493" s="137" t="str">
        <f aca="false">IF(ISBLANK($C493),"",$C493)</f>
        <v/>
      </c>
      <c r="CU493" s="137" t="str">
        <f aca="false">IF(ISBLANK($C493),"",$D493)</f>
        <v/>
      </c>
      <c r="CV493" s="138" t="str">
        <f aca="false">$CJ493</f>
        <v/>
      </c>
      <c r="CW493" s="139" t="str">
        <f aca="false">$CI493</f>
        <v/>
      </c>
      <c r="CX493" s="137" t="str">
        <f aca="false">IF(ISBLANK($C493),"",$CL493)</f>
        <v/>
      </c>
      <c r="CY493" s="140" t="str">
        <f aca="false">IF($CP493&gt;$CO$8,"",VLOOKUP($CP493,$CR$9:$CX$508,7,FALSE()))</f>
        <v/>
      </c>
      <c r="CZ493" s="141" t="str">
        <f aca="false">IF($CP493&gt;$CO$8,"",VLOOKUP($CP493,$CR$9:$CX$508,2,FALSE()))</f>
        <v/>
      </c>
      <c r="DA493" s="141" t="str">
        <f aca="false">IF($CP493&gt;$CO$8,"",VLOOKUP($CP493,$CR$9:$CX$508,3,FALSE()))</f>
        <v/>
      </c>
      <c r="DB493" s="141" t="str">
        <f aca="false">IF($CP493&gt;$CO$8,"",VLOOKUP($CP493,$CR$9:$CX$508,4,FALSE()))</f>
        <v/>
      </c>
      <c r="DC493" s="141" t="str">
        <f aca="false">IF($CP493&gt;$CO$8,"",VLOOKUP($CP493,$CR$9:$CX$508,5,FALSE()))</f>
        <v/>
      </c>
      <c r="DD493" s="142" t="str">
        <f aca="false">IF($CP493&gt;$CO$8,"",VLOOKUP($CP493,$CR$9:$CX$508,6,FALSE()))</f>
        <v/>
      </c>
      <c r="DE493" s="70"/>
    </row>
    <row r="494" customFormat="false" ht="15.75" hidden="false" customHeight="false" outlineLevel="0" collapsed="false">
      <c r="A494" s="8"/>
      <c r="B494" s="146"/>
      <c r="C494" s="147"/>
      <c r="D494" s="148"/>
      <c r="E494" s="164"/>
      <c r="F494" s="150"/>
      <c r="G494" s="115"/>
      <c r="H494" s="115"/>
      <c r="I494" s="115"/>
      <c r="J494" s="165"/>
      <c r="K494" s="154"/>
      <c r="L494" s="154"/>
      <c r="M494" s="118"/>
      <c r="N494" s="154"/>
      <c r="O494" s="153"/>
      <c r="P494" s="154"/>
      <c r="Q494" s="154"/>
      <c r="R494" s="154"/>
      <c r="S494" s="115"/>
      <c r="T494" s="154"/>
      <c r="U494" s="153"/>
      <c r="V494" s="154"/>
      <c r="W494" s="123"/>
      <c r="X494" s="124" t="str">
        <f aca="false">IF(ISBLANK($C494),"",IF($E494=Constants!$B$2,TRUE(),IF($E494=Constants!$B$3,FALSE(),TRUE())))</f>
        <v/>
      </c>
      <c r="Y494" s="124" t="str">
        <f aca="false">IF(ISBLANK($C494),"",IF($F494=Constants!$B$2,TRUE(),IF($F494=Constants!$B$3,FALSE(),TRUE())))</f>
        <v/>
      </c>
      <c r="Z494" s="125" t="str">
        <f aca="false">IF(ISBLANK($C494),"",IF(ISNUMBER($G494),IF($G494&gt;=0,$G494,""),""))</f>
        <v/>
      </c>
      <c r="AA494" s="125" t="str">
        <f aca="false">IF(ISBLANK($C494),"",IF(ISNUMBER($H494),IF($H494&gt;=0,$H494,""),""))</f>
        <v/>
      </c>
      <c r="AB494" s="125" t="str">
        <f aca="false">IF(ISBLANK($C494),"",IF(ISNUMBER($I494),IF($I494&gt;=0,$I494,""),""))</f>
        <v/>
      </c>
      <c r="AC494" s="124" t="str">
        <f aca="false">IF(ISBLANK($C494),"",IF($J494=Constants!$B$2,TRUE(),IF($J494=Constants!$B$3,FALSE(),TRUE())))</f>
        <v/>
      </c>
      <c r="AD494" s="124" t="str">
        <f aca="false">IF(ISBLANK($C494),"",IF($K494=Constants!$B$2,TRUE(),IF($K494=Constants!$B$3,FALSE(),TRUE())))</f>
        <v/>
      </c>
      <c r="AE494" s="124" t="str">
        <f aca="false">IF(ISBLANK($C494),"",IF($L494=Constants!$B$2,TRUE(),IF($L494=Constants!$B$3,FALSE(),TRUE())))</f>
        <v/>
      </c>
      <c r="AF494" s="126" t="str">
        <f aca="false">IF(ISBLANK($C494),"",IF(ISNUMBER($M494),IF($M494&gt;=0,$M494,""),""))</f>
        <v/>
      </c>
      <c r="AG494" s="124" t="str">
        <f aca="false">IF(ISBLANK($C494),"",IF(ISBLANK($N494),0,IF(ISNUMBER($N494),IF(AND($N494&gt;=0,$N494&lt;=Constants!$B$17,$N494=INT($N494)),$N494,""),"")))</f>
        <v/>
      </c>
      <c r="AH494" s="125" t="str">
        <f aca="false">IF(ISBLANK($C494),"",IF(ISBLANK($O494),0,IF(ISNUMBER($O494),IF($O494&gt;=0,$O494,""),"")))</f>
        <v/>
      </c>
      <c r="AI494" s="124" t="str">
        <f aca="false">IF(ISBLANK($C494),"",IF($P494=Constants!$B$2,TRUE(),IF($P494=Constants!$B$3,FALSE(),TRUE())))</f>
        <v/>
      </c>
      <c r="AJ494" s="124" t="str">
        <f aca="false">IF(ISBLANK($C494),"",IF($Q494=Constants!$B$2,TRUE(),IF($Q494=Constants!$B$3,FALSE(),TRUE())))</f>
        <v/>
      </c>
      <c r="AK494" s="124" t="str">
        <f aca="false">IF(ISBLANK($C494),"",IF($R494=Constants!$B$2,TRUE(),IF($R494=Constants!$B$3,FALSE(),TRUE())))</f>
        <v/>
      </c>
      <c r="AL494" s="126" t="str">
        <f aca="false">IF(ISBLANK($C494),"",IF(ISNUMBER($S494),IF($S494&gt;=0,$S494,""),""))</f>
        <v/>
      </c>
      <c r="AM494" s="124" t="str">
        <f aca="false">IF(ISBLANK($C494),"",IF(ISBLANK($T494),0,IF(ISNUMBER($T494),IF(AND($T494&gt;=0,$T494&lt;=Constants!$B$17,$T494=INT($T494)),$T494,""),"")))</f>
        <v/>
      </c>
      <c r="AN494" s="125" t="str">
        <f aca="false">IF(ISBLANK($C494),"",IF(ISBLANK($U494),0,IF(ISNUMBER($U494),IF($U494&gt;=0,$U494,""),"")))</f>
        <v/>
      </c>
      <c r="AO494" s="124" t="str">
        <f aca="false">IF(ISBLANK($C494),"",IF($V494=Constants!$B$2,TRUE(),IF($V494=Constants!$B$3,FALSE(),FALSE())))</f>
        <v/>
      </c>
      <c r="AP494" s="124"/>
      <c r="AQ494" s="123" t="str">
        <f aca="false">IF(ISBLANK($C494),"",AND($Y494,OR($AS494,$BC494),OR($Z494="",$AA494="",$AB494="")))</f>
        <v/>
      </c>
      <c r="AR494" s="123" t="str">
        <f aca="false">IF(ISBLANK($C494),"",IF(OR(NOT($Y494),NOT(OR($AS494,$BC494))),"",IF(ISBLANK($D$7),$AR$5,IF($AP$9="",$AR$6,""))))</f>
        <v/>
      </c>
      <c r="AS494" s="123" t="str">
        <f aca="false">IF(ISBLANK($C494),"",COUNTA($J494:$O494)&gt;0)</f>
        <v/>
      </c>
      <c r="AT494" s="123" t="str">
        <f aca="false">IF(ISBLANK($C494),"",AND($AS494,OR(AND($AF494="",OR($AE494,NOT(ISBLANK($M494)))),$AG494="",$AH494="")))</f>
        <v/>
      </c>
      <c r="AU494" s="125" t="str">
        <f aca="false">IF($BL494&lt;&gt;Constants!$B$4,"",IF(NOT($AS494),"",ROUND((Constants!$B$12-$AB494)+(Constants!$B$13-$Z494)+(Constants!$B$14-$AA494),1)))</f>
        <v/>
      </c>
      <c r="AV494" s="127" t="str">
        <f aca="false">IF($BL494&lt;&gt;Constants!$B$4,"",IF(NOT($AS494),"",IF(NOT($AE494),0,Constants!$B$15*(INT(ROUND(MIN($AF494,$AP$9),6))-INT(ROUND(MAX(0,MIN($AF494,2*$AP$9)-$AP$9),6))))))</f>
        <v/>
      </c>
      <c r="AW494" s="127" t="str">
        <f aca="false">IF($BL494&lt;&gt;Constants!$B$4,"",IF(NOT($AS494),"",Constants!$B$16*$AG494))</f>
        <v/>
      </c>
      <c r="AX494" s="127" t="str">
        <f aca="false">IF($BL494&lt;&gt;Constants!$B$4,"",IF(NOT($AS494),"",Constants!$B$18*INT(ROUND($AH494,6))))</f>
        <v/>
      </c>
      <c r="AY494" s="123" t="str">
        <f aca="false">IF($BL494&lt;&gt;Constants!$B$4,"",IF(NOT($AS494),"",IF(NOT($X494),Constants!$B$11,IF(OR(NOT($AC494),NOT($AD494),ROUND($AB494,1)&gt;Constants!$B$12,ROUND($Z494,1)&gt;Constants!$B$13,ROUND($AA494,1)&gt;Constants!$B$14),Constants!$B$10,Constants!$B$9))))</f>
        <v/>
      </c>
      <c r="AZ494" s="128" t="str">
        <f aca="false">IF($BL494&lt;&gt;Constants!$B$4,"",IF(NOT($AS494),"",ROUND($AU494+$AV494+$AW494+$AX494,1)))</f>
        <v/>
      </c>
      <c r="BA494" s="129" t="str">
        <f aca="false">IF($BL494&lt;&gt;Constants!$B$4,"",IF(NOT($AS494),"",IF(ISNUMBER($AF494),$AF494,0)))</f>
        <v/>
      </c>
      <c r="BB494" s="124" t="str">
        <f aca="false">IF($BL494&lt;&gt;Constants!$B$4,"",IF(NOT($BC494),"&lt;-",IF(NOT($AS494),"-&gt;",IF(OR($BI494&lt;$AY494,AND($BI494=$AY494,OR($BJ494&gt;$AZ494,AND($BJ494=$AZ494,OR($BH494&gt;$AX494,AND($BH494=$AX494,OR($BE494&gt;$AU494,AND($BE494=$AU494,OR($BF494&gt;$AV494,AND($BF494=$AV494,$BK494&gt;$BA494)))))))))),"-&gt;","&lt;-"))))</f>
        <v/>
      </c>
      <c r="BC494" s="123" t="str">
        <f aca="false">IF(ISBLANK($C494),"",COUNTA($P494:$U494)&gt;0)</f>
        <v/>
      </c>
      <c r="BD494" s="123" t="str">
        <f aca="false">IF(ISBLANK($C494),"",AND($BC494,OR(AND($AL494="",OR($AK494,NOT(ISBLANK($S494)))),$AM494="",$AN494="")))</f>
        <v/>
      </c>
      <c r="BE494" s="125" t="str">
        <f aca="false">IF($BL494&lt;&gt;Constants!$B$4,"",IF(NOT($BC494),"",ROUND((Constants!$B$12-$AB494)+(Constants!$B$13-$Z494)+(Constants!$B$14-$AA494),1)))</f>
        <v/>
      </c>
      <c r="BF494" s="127" t="str">
        <f aca="false">IF($BL494&lt;&gt;Constants!$B$4,"",IF(NOT($BC494),"",IF(NOT($AK494),0,Constants!$B$15*(INT(ROUND(MIN($AL494,$AP$9),6))-INT(ROUND(MAX(0,MIN($AL494,2*$AP$9)-$AP$9),6))))))</f>
        <v/>
      </c>
      <c r="BG494" s="127" t="str">
        <f aca="false">IF($BL494&lt;&gt;Constants!$B$4,"",IF(NOT($BC494),"",Constants!$B$16*$AM494))</f>
        <v/>
      </c>
      <c r="BH494" s="127" t="str">
        <f aca="false">IF($BL494&lt;&gt;Constants!$B$4,"",IF(NOT($BC494),"",Constants!$B$18*INT(ROUND($AN494,6))))</f>
        <v/>
      </c>
      <c r="BI494" s="123" t="str">
        <f aca="false">IF($BL494&lt;&gt;Constants!$B$4,"",IF(NOT($BC494),"",IF(NOT($X494),Constants!$B$11,IF(OR(NOT($AI494),NOT($AJ494),ROUND($AB494,1)&gt;Constants!$B$12,ROUND($Z494,1)&gt;Constants!$B$13,ROUND($AA494,1)&gt;Constants!$B$14),Constants!$B$10,Constants!$B$9))))</f>
        <v/>
      </c>
      <c r="BJ494" s="128" t="str">
        <f aca="false">IF($BL494&lt;&gt;Constants!$B$4,"",IF(NOT($BC494),"",ROUND($BE494+$BF494+$BG494+$BH494,1)))</f>
        <v/>
      </c>
      <c r="BK494" s="129" t="str">
        <f aca="false">IF($BL494&lt;&gt;Constants!$B$4,"",IF(NOT($BC494),"",IF(ISNUMBER($AL494),$AL494,0)))</f>
        <v/>
      </c>
      <c r="BL494" s="124" t="str">
        <f aca="false">IF(ISBLANK($C494),"",IF($AO494,Constants!$B$7,IF(COUNTA($E494:$V494)=0,Constants!$B$6,IF(NOT($Y494),Constants!$B$5,IF(NOT(OR($AS494,$BC494)),Constants!$B$5,IF(OR($AT494,$BD494,$AQ494,$AR494&lt;&gt;""),Constants!$B$8,Constants!$B$4))))))</f>
        <v/>
      </c>
      <c r="BM494" s="124" t="str">
        <f aca="false">IF(ISBLANK($C494),"",IF($BL494&lt;&gt;Constants!$B$4,$BL494,IF($BB494="-&gt;",$BI494,$AY494)))</f>
        <v/>
      </c>
      <c r="BN494" s="127" t="str">
        <f aca="false">IF($BL494&lt;&gt;Constants!$B$4,"",IF($BB494="-&gt;",$BJ494,$AZ494))</f>
        <v/>
      </c>
      <c r="BO494" s="127" t="str">
        <f aca="false">IF(ISBLANK($C494),"",IF($BL494&lt;&gt;Constants!$B$4,$BL494,$BN494))</f>
        <v/>
      </c>
      <c r="BP494" s="124" t="str">
        <f aca="false">IF(ISBLANK($C494),"",IF($BL494&lt;&gt;Constants!$B$4,$BL494,RANK($BO494,$BO$9:$BO$508,0)))</f>
        <v/>
      </c>
      <c r="BQ494" s="124" t="str">
        <f aca="false">IF(ISBLANK($C494),"",IF($BL494&lt;&gt;Constants!$B$4,$BL494,COUNTIFS($BM$9:$BM$508,"&lt;"&amp;$BM494)+COUNTIFS($BM$9:$BM$508,$BM494,$BP$9:$BP$508,"&lt;"&amp;$BP494)+1))</f>
        <v/>
      </c>
      <c r="BR494" s="127" t="str">
        <f aca="false">IF($BL494&lt;&gt;Constants!$B$4,"",IF($BB494="-&gt;",$BH494,$AX494))</f>
        <v/>
      </c>
      <c r="BS494" s="124" t="str">
        <f aca="false">IF(ISBLANK($C494),"",IF($BL494&lt;&gt;Constants!$B$4,$BL494,IF(ISNUMBER($BR494),RANK($BR494,$BR$9:$BR$508,0),COUNT($BR$9:$BR$508)+1)))</f>
        <v/>
      </c>
      <c r="BT494" s="127" t="str">
        <f aca="false">IF($BL494&lt;&gt;Constants!$B$4,"",IF($BB494="-&gt;",$BE494,$AU494))</f>
        <v/>
      </c>
      <c r="BU494" s="124" t="str">
        <f aca="false">IF(ISBLANK($C494),"",IF($BL494&lt;&gt;Constants!$B$4,$BL494,IF(ISNUMBER($BT494),RANK($BT494,$BT$9:$BT$508,0),COUNT($BT$9:$BT$508)+1)))</f>
        <v/>
      </c>
      <c r="BV494" s="127" t="str">
        <f aca="false">IF($BL494&lt;&gt;Constants!$B$4,"",IF($BB494="-&gt;",$BF494,$AV494))</f>
        <v/>
      </c>
      <c r="BW494" s="124" t="str">
        <f aca="false">IF(ISBLANK($C494),"",IF($BL494&lt;&gt;Constants!$B$4,$BL494,IF(ISNUMBER($BV494),RANK($BV494,$BV$9:$BV$508,0),COUNT($BV$9:$BV$508)+1)))</f>
        <v/>
      </c>
      <c r="BX494" s="127" t="str">
        <f aca="false">IF($BL494&lt;&gt;Constants!$B$4,"",IF($BB494="-&gt;",$BK494,$BA494))</f>
        <v/>
      </c>
      <c r="BY494" s="124" t="str">
        <f aca="false">IF(ISBLANK($C494),"",IF($BL494&lt;&gt;Constants!$B$4,$BL494,IF(ISNUMBER($BX494),RANK($BX494,$BX$9:$BX$508,0),COUNT($BX$9:$BX$508)+1)))</f>
        <v/>
      </c>
      <c r="BZ494" s="124" t="str">
        <f aca="false">IF(ISBLANK($C494),"",IF($BL494&lt;&gt;Constants!$B$4,$BL494,COUNTIFS($BM$9:$BM$508,"&lt;"&amp;$BM494)+COUNTIFS($BM$9:$BM$508,$BM494,$BP$9:$BP$508,"&lt;"&amp;$BP494)+COUNTIFS($BM$9:$BM$508,$BM494,$BP$9:$BP$508,$BP494,$BS$9:$BS$508,"&lt;"&amp;$BS494)+COUNTIFS($BM$9:$BM$508,$BM494,$BP$9:$BP$508,$BP494,$BS$9:$BS$508,$BS494,$BU$9:$BU$508,"&lt;"&amp;$BU494)+COUNTIFS($BM$9:$BM$508,$BM494,$BP$9:$BP$508,$BP494,$BS$9:$BS$508,$BS494,$BU$9:$BU$508,$BU494,$BW$9:$BW$508,"&lt;"&amp;$BW494)+COUNTIFS($BM$9:$BM$508,$BM494,$BP$9:$BP$508,$BP494,$BS$9:$BS$508,$BS494,$BU$9:$BU$508,$BU494,$BW$9:$BW$508,$BW494,$BY$9:$BY$508,"&lt;"&amp;$BY494)+1))</f>
        <v/>
      </c>
      <c r="CA494" s="124" t="str">
        <f aca="false">IF(ISBLANK($C494),"",IF($BL494&lt;&gt;Constants!$B$4,$BL494,$BQ494-$BZ494))</f>
        <v/>
      </c>
      <c r="CB494" s="130"/>
      <c r="CC494" s="131" t="str">
        <f aca="false">IF(ISBLANK($C494),"",IF($BL494=Constants!$B$8,$AR494,""))</f>
        <v/>
      </c>
      <c r="CD494" s="131" t="str">
        <f aca="false">IF(ISBLANK($C494),"",IF($BL494&lt;&gt;Constants!$B$4,"",IF($BB494="-&gt;",2,1)))</f>
        <v/>
      </c>
      <c r="CE494" s="132" t="str">
        <f aca="false">IF(ISBLANK($C494),"",IF($BL494&lt;&gt;Constants!$B$4,"",IF($BB494="-&gt;",$BE494,$AU494)))</f>
        <v/>
      </c>
      <c r="CF494" s="132" t="str">
        <f aca="false">IF(ISBLANK($C494),"",IF($BL494&lt;&gt;Constants!$B$4,"",IF($BB494="-&gt;",$BF494,$AV494)))</f>
        <v/>
      </c>
      <c r="CG494" s="132" t="str">
        <f aca="false">IF(ISBLANK($C494),"",IF($BL494&lt;&gt;Constants!$B$4,"",IF($BB494="-&gt;",$BG494,$AW494)))</f>
        <v/>
      </c>
      <c r="CH494" s="132" t="str">
        <f aca="false">IF(ISBLANK($C494),"",IF($BL494&lt;&gt;Constants!$B$4,"",IF($BB494="-&gt;",$BH494,$AX494)))</f>
        <v/>
      </c>
      <c r="CI494" s="133" t="str">
        <f aca="false">IF(ISBLANK($C494),"",$BO494)</f>
        <v/>
      </c>
      <c r="CJ494" s="134" t="str">
        <f aca="false">IF(ISBLANK($C494),"",$BM494)</f>
        <v/>
      </c>
      <c r="CK494" s="135" t="str">
        <f aca="false">IF(ISBLANK($C494),"",$CA494)</f>
        <v/>
      </c>
      <c r="CL494" s="135" t="str">
        <f aca="false">IF(ISBLANK($C494),"",$BZ494)</f>
        <v/>
      </c>
      <c r="CM494" s="136" t="str">
        <f aca="false">IF(ISBLANK($C494),"",IF($CL494=Constants!$B$7,COUNTA($C$9:$C$508)+2,IF($CL494=Constants!$B$6,COUNTA($C$9:$C$508)+1,IF($CL494=Constants!$B$5,COUNTA($C$9:$C$508),$CL494))))</f>
        <v/>
      </c>
      <c r="CN494" s="8"/>
      <c r="CO494" s="137" t="n">
        <f aca="false">IF(OR(ISNUMBER($CL494),$CL494=Constants!$B$7,$CL494=Constants!$B$5,$CL494=Constants!$B$6),1,0)</f>
        <v>0</v>
      </c>
      <c r="CP494" s="137" t="n">
        <v>486</v>
      </c>
      <c r="CQ494" s="137" t="str">
        <f aca="false">IF(ISBLANK($C494),"",IF(ISNUMBER($CM494),$CM494+ROW($B494)/1000,""))</f>
        <v/>
      </c>
      <c r="CR494" s="137" t="str">
        <f aca="false">IF(ISNUMBER($CQ494),RANK($CQ494,$CQ$9:$CQ$508,1),"")</f>
        <v/>
      </c>
      <c r="CS494" s="137" t="str">
        <f aca="false">IF(ISBLANK($C494),"",$B494)</f>
        <v/>
      </c>
      <c r="CT494" s="137" t="str">
        <f aca="false">IF(ISBLANK($C494),"",$C494)</f>
        <v/>
      </c>
      <c r="CU494" s="137" t="str">
        <f aca="false">IF(ISBLANK($C494),"",$D494)</f>
        <v/>
      </c>
      <c r="CV494" s="138" t="str">
        <f aca="false">$CJ494</f>
        <v/>
      </c>
      <c r="CW494" s="139" t="str">
        <f aca="false">$CI494</f>
        <v/>
      </c>
      <c r="CX494" s="137" t="str">
        <f aca="false">IF(ISBLANK($C494),"",$CL494)</f>
        <v/>
      </c>
      <c r="CY494" s="140" t="str">
        <f aca="false">IF($CP494&gt;$CO$8,"",VLOOKUP($CP494,$CR$9:$CX$508,7,FALSE()))</f>
        <v/>
      </c>
      <c r="CZ494" s="141" t="str">
        <f aca="false">IF($CP494&gt;$CO$8,"",VLOOKUP($CP494,$CR$9:$CX$508,2,FALSE()))</f>
        <v/>
      </c>
      <c r="DA494" s="141" t="str">
        <f aca="false">IF($CP494&gt;$CO$8,"",VLOOKUP($CP494,$CR$9:$CX$508,3,FALSE()))</f>
        <v/>
      </c>
      <c r="DB494" s="141" t="str">
        <f aca="false">IF($CP494&gt;$CO$8,"",VLOOKUP($CP494,$CR$9:$CX$508,4,FALSE()))</f>
        <v/>
      </c>
      <c r="DC494" s="141" t="str">
        <f aca="false">IF($CP494&gt;$CO$8,"",VLOOKUP($CP494,$CR$9:$CX$508,5,FALSE()))</f>
        <v/>
      </c>
      <c r="DD494" s="142" t="str">
        <f aca="false">IF($CP494&gt;$CO$8,"",VLOOKUP($CP494,$CR$9:$CX$508,6,FALSE()))</f>
        <v/>
      </c>
      <c r="DE494" s="70"/>
    </row>
    <row r="495" customFormat="false" ht="15.75" hidden="false" customHeight="false" outlineLevel="0" collapsed="false">
      <c r="A495" s="8"/>
      <c r="B495" s="72"/>
      <c r="C495" s="73"/>
      <c r="D495" s="155"/>
      <c r="E495" s="162"/>
      <c r="F495" s="157"/>
      <c r="G495" s="77"/>
      <c r="H495" s="77"/>
      <c r="I495" s="77"/>
      <c r="J495" s="163"/>
      <c r="K495" s="161"/>
      <c r="L495" s="161"/>
      <c r="M495" s="80"/>
      <c r="N495" s="161"/>
      <c r="O495" s="160"/>
      <c r="P495" s="161"/>
      <c r="Q495" s="161"/>
      <c r="R495" s="161"/>
      <c r="S495" s="77"/>
      <c r="T495" s="161"/>
      <c r="U495" s="160"/>
      <c r="V495" s="161"/>
      <c r="W495" s="85"/>
      <c r="X495" s="86" t="str">
        <f aca="false">IF(ISBLANK($C495),"",IF($E495=Constants!$B$2,TRUE(),IF($E495=Constants!$B$3,FALSE(),TRUE())))</f>
        <v/>
      </c>
      <c r="Y495" s="86" t="str">
        <f aca="false">IF(ISBLANK($C495),"",IF($F495=Constants!$B$2,TRUE(),IF($F495=Constants!$B$3,FALSE(),TRUE())))</f>
        <v/>
      </c>
      <c r="Z495" s="87" t="str">
        <f aca="false">IF(ISBLANK($C495),"",IF(ISNUMBER($G495),IF($G495&gt;=0,$G495,""),""))</f>
        <v/>
      </c>
      <c r="AA495" s="87" t="str">
        <f aca="false">IF(ISBLANK($C495),"",IF(ISNUMBER($H495),IF($H495&gt;=0,$H495,""),""))</f>
        <v/>
      </c>
      <c r="AB495" s="87" t="str">
        <f aca="false">IF(ISBLANK($C495),"",IF(ISNUMBER($I495),IF($I495&gt;=0,$I495,""),""))</f>
        <v/>
      </c>
      <c r="AC495" s="86" t="str">
        <f aca="false">IF(ISBLANK($C495),"",IF($J495=Constants!$B$2,TRUE(),IF($J495=Constants!$B$3,FALSE(),TRUE())))</f>
        <v/>
      </c>
      <c r="AD495" s="86" t="str">
        <f aca="false">IF(ISBLANK($C495),"",IF($K495=Constants!$B$2,TRUE(),IF($K495=Constants!$B$3,FALSE(),TRUE())))</f>
        <v/>
      </c>
      <c r="AE495" s="86" t="str">
        <f aca="false">IF(ISBLANK($C495),"",IF($L495=Constants!$B$2,TRUE(),IF($L495=Constants!$B$3,FALSE(),TRUE())))</f>
        <v/>
      </c>
      <c r="AF495" s="88" t="str">
        <f aca="false">IF(ISBLANK($C495),"",IF(ISNUMBER($M495),IF($M495&gt;=0,$M495,""),""))</f>
        <v/>
      </c>
      <c r="AG495" s="86" t="str">
        <f aca="false">IF(ISBLANK($C495),"",IF(ISBLANK($N495),0,IF(ISNUMBER($N495),IF(AND($N495&gt;=0,$N495&lt;=Constants!$B$17,$N495=INT($N495)),$N495,""),"")))</f>
        <v/>
      </c>
      <c r="AH495" s="87" t="str">
        <f aca="false">IF(ISBLANK($C495),"",IF(ISBLANK($O495),0,IF(ISNUMBER($O495),IF($O495&gt;=0,$O495,""),"")))</f>
        <v/>
      </c>
      <c r="AI495" s="86" t="str">
        <f aca="false">IF(ISBLANK($C495),"",IF($P495=Constants!$B$2,TRUE(),IF($P495=Constants!$B$3,FALSE(),TRUE())))</f>
        <v/>
      </c>
      <c r="AJ495" s="86" t="str">
        <f aca="false">IF(ISBLANK($C495),"",IF($Q495=Constants!$B$2,TRUE(),IF($Q495=Constants!$B$3,FALSE(),TRUE())))</f>
        <v/>
      </c>
      <c r="AK495" s="86" t="str">
        <f aca="false">IF(ISBLANK($C495),"",IF($R495=Constants!$B$2,TRUE(),IF($R495=Constants!$B$3,FALSE(),TRUE())))</f>
        <v/>
      </c>
      <c r="AL495" s="88" t="str">
        <f aca="false">IF(ISBLANK($C495),"",IF(ISNUMBER($S495),IF($S495&gt;=0,$S495,""),""))</f>
        <v/>
      </c>
      <c r="AM495" s="86" t="str">
        <f aca="false">IF(ISBLANK($C495),"",IF(ISBLANK($T495),0,IF(ISNUMBER($T495),IF(AND($T495&gt;=0,$T495&lt;=Constants!$B$17,$T495=INT($T495)),$T495,""),"")))</f>
        <v/>
      </c>
      <c r="AN495" s="87" t="str">
        <f aca="false">IF(ISBLANK($C495),"",IF(ISBLANK($U495),0,IF(ISNUMBER($U495),IF($U495&gt;=0,$U495,""),"")))</f>
        <v/>
      </c>
      <c r="AO495" s="86" t="str">
        <f aca="false">IF(ISBLANK($C495),"",IF($V495=Constants!$B$2,TRUE(),IF($V495=Constants!$B$3,FALSE(),FALSE())))</f>
        <v/>
      </c>
      <c r="AP495" s="86"/>
      <c r="AQ495" s="85" t="str">
        <f aca="false">IF(ISBLANK($C495),"",AND($Y495,OR($AS495,$BC495),OR($Z495="",$AA495="",$AB495="")))</f>
        <v/>
      </c>
      <c r="AR495" s="85" t="str">
        <f aca="false">IF(ISBLANK($C495),"",IF(OR(NOT($Y495),NOT(OR($AS495,$BC495))),"",IF(ISBLANK($D$7),$AR$5,IF($AP$9="",$AR$6,""))))</f>
        <v/>
      </c>
      <c r="AS495" s="85" t="str">
        <f aca="false">IF(ISBLANK($C495),"",COUNTA($J495:$O495)&gt;0)</f>
        <v/>
      </c>
      <c r="AT495" s="85" t="str">
        <f aca="false">IF(ISBLANK($C495),"",AND($AS495,OR(AND($AF495="",OR($AE495,NOT(ISBLANK($M495)))),$AG495="",$AH495="")))</f>
        <v/>
      </c>
      <c r="AU495" s="87" t="str">
        <f aca="false">IF($BL495&lt;&gt;Constants!$B$4,"",IF(NOT($AS495),"",ROUND((Constants!$B$12-$AB495)+(Constants!$B$13-$Z495)+(Constants!$B$14-$AA495),1)))</f>
        <v/>
      </c>
      <c r="AV495" s="90" t="str">
        <f aca="false">IF($BL495&lt;&gt;Constants!$B$4,"",IF(NOT($AS495),"",IF(NOT($AE495),0,Constants!$B$15*(INT(ROUND(MIN($AF495,$AP$9),6))-INT(ROUND(MAX(0,MIN($AF495,2*$AP$9)-$AP$9),6))))))</f>
        <v/>
      </c>
      <c r="AW495" s="90" t="str">
        <f aca="false">IF($BL495&lt;&gt;Constants!$B$4,"",IF(NOT($AS495),"",Constants!$B$16*$AG495))</f>
        <v/>
      </c>
      <c r="AX495" s="90" t="str">
        <f aca="false">IF($BL495&lt;&gt;Constants!$B$4,"",IF(NOT($AS495),"",Constants!$B$18*INT(ROUND($AH495,6))))</f>
        <v/>
      </c>
      <c r="AY495" s="85" t="str">
        <f aca="false">IF($BL495&lt;&gt;Constants!$B$4,"",IF(NOT($AS495),"",IF(NOT($X495),Constants!$B$11,IF(OR(NOT($AC495),NOT($AD495),ROUND($AB495,1)&gt;Constants!$B$12,ROUND($Z495,1)&gt;Constants!$B$13,ROUND($AA495,1)&gt;Constants!$B$14),Constants!$B$10,Constants!$B$9))))</f>
        <v/>
      </c>
      <c r="AZ495" s="91" t="str">
        <f aca="false">IF($BL495&lt;&gt;Constants!$B$4,"",IF(NOT($AS495),"",ROUND($AU495+$AV495+$AW495+$AX495,1)))</f>
        <v/>
      </c>
      <c r="BA495" s="92" t="str">
        <f aca="false">IF($BL495&lt;&gt;Constants!$B$4,"",IF(NOT($AS495),"",IF(ISNUMBER($AF495),$AF495,0)))</f>
        <v/>
      </c>
      <c r="BB495" s="86" t="str">
        <f aca="false">IF($BL495&lt;&gt;Constants!$B$4,"",IF(NOT($BC495),"&lt;-",IF(NOT($AS495),"-&gt;",IF(OR($BI495&lt;$AY495,AND($BI495=$AY495,OR($BJ495&gt;$AZ495,AND($BJ495=$AZ495,OR($BH495&gt;$AX495,AND($BH495=$AX495,OR($BE495&gt;$AU495,AND($BE495=$AU495,OR($BF495&gt;$AV495,AND($BF495=$AV495,$BK495&gt;$BA495)))))))))),"-&gt;","&lt;-"))))</f>
        <v/>
      </c>
      <c r="BC495" s="85" t="str">
        <f aca="false">IF(ISBLANK($C495),"",COUNTA($P495:$U495)&gt;0)</f>
        <v/>
      </c>
      <c r="BD495" s="85" t="str">
        <f aca="false">IF(ISBLANK($C495),"",AND($BC495,OR(AND($AL495="",OR($AK495,NOT(ISBLANK($S495)))),$AM495="",$AN495="")))</f>
        <v/>
      </c>
      <c r="BE495" s="87" t="str">
        <f aca="false">IF($BL495&lt;&gt;Constants!$B$4,"",IF(NOT($BC495),"",ROUND((Constants!$B$12-$AB495)+(Constants!$B$13-$Z495)+(Constants!$B$14-$AA495),1)))</f>
        <v/>
      </c>
      <c r="BF495" s="90" t="str">
        <f aca="false">IF($BL495&lt;&gt;Constants!$B$4,"",IF(NOT($BC495),"",IF(NOT($AK495),0,Constants!$B$15*(INT(ROUND(MIN($AL495,$AP$9),6))-INT(ROUND(MAX(0,MIN($AL495,2*$AP$9)-$AP$9),6))))))</f>
        <v/>
      </c>
      <c r="BG495" s="90" t="str">
        <f aca="false">IF($BL495&lt;&gt;Constants!$B$4,"",IF(NOT($BC495),"",Constants!$B$16*$AM495))</f>
        <v/>
      </c>
      <c r="BH495" s="90" t="str">
        <f aca="false">IF($BL495&lt;&gt;Constants!$B$4,"",IF(NOT($BC495),"",Constants!$B$18*INT(ROUND($AN495,6))))</f>
        <v/>
      </c>
      <c r="BI495" s="85" t="str">
        <f aca="false">IF($BL495&lt;&gt;Constants!$B$4,"",IF(NOT($BC495),"",IF(NOT($X495),Constants!$B$11,IF(OR(NOT($AI495),NOT($AJ495),ROUND($AB495,1)&gt;Constants!$B$12,ROUND($Z495,1)&gt;Constants!$B$13,ROUND($AA495,1)&gt;Constants!$B$14),Constants!$B$10,Constants!$B$9))))</f>
        <v/>
      </c>
      <c r="BJ495" s="91" t="str">
        <f aca="false">IF($BL495&lt;&gt;Constants!$B$4,"",IF(NOT($BC495),"",ROUND($BE495+$BF495+$BG495+$BH495,1)))</f>
        <v/>
      </c>
      <c r="BK495" s="92" t="str">
        <f aca="false">IF($BL495&lt;&gt;Constants!$B$4,"",IF(NOT($BC495),"",IF(ISNUMBER($AL495),$AL495,0)))</f>
        <v/>
      </c>
      <c r="BL495" s="86" t="str">
        <f aca="false">IF(ISBLANK($C495),"",IF($AO495,Constants!$B$7,IF(COUNTA($E495:$V495)=0,Constants!$B$6,IF(NOT($Y495),Constants!$B$5,IF(NOT(OR($AS495,$BC495)),Constants!$B$5,IF(OR($AT495,$BD495,$AQ495,$AR495&lt;&gt;""),Constants!$B$8,Constants!$B$4))))))</f>
        <v/>
      </c>
      <c r="BM495" s="86" t="str">
        <f aca="false">IF(ISBLANK($C495),"",IF($BL495&lt;&gt;Constants!$B$4,$BL495,IF($BB495="-&gt;",$BI495,$AY495)))</f>
        <v/>
      </c>
      <c r="BN495" s="90" t="str">
        <f aca="false">IF($BL495&lt;&gt;Constants!$B$4,"",IF($BB495="-&gt;",$BJ495,$AZ495))</f>
        <v/>
      </c>
      <c r="BO495" s="90" t="str">
        <f aca="false">IF(ISBLANK($C495),"",IF($BL495&lt;&gt;Constants!$B$4,$BL495,$BN495))</f>
        <v/>
      </c>
      <c r="BP495" s="86" t="str">
        <f aca="false">IF(ISBLANK($C495),"",IF($BL495&lt;&gt;Constants!$B$4,$BL495,RANK($BO495,$BO$9:$BO$508,0)))</f>
        <v/>
      </c>
      <c r="BQ495" s="86" t="str">
        <f aca="false">IF(ISBLANK($C495),"",IF($BL495&lt;&gt;Constants!$B$4,$BL495,COUNTIFS($BM$9:$BM$508,"&lt;"&amp;$BM495)+COUNTIFS($BM$9:$BM$508,$BM495,$BP$9:$BP$508,"&lt;"&amp;$BP495)+1))</f>
        <v/>
      </c>
      <c r="BR495" s="90" t="str">
        <f aca="false">IF($BL495&lt;&gt;Constants!$B$4,"",IF($BB495="-&gt;",$BH495,$AX495))</f>
        <v/>
      </c>
      <c r="BS495" s="86" t="str">
        <f aca="false">IF(ISBLANK($C495),"",IF($BL495&lt;&gt;Constants!$B$4,$BL495,IF(ISNUMBER($BR495),RANK($BR495,$BR$9:$BR$508,0),COUNT($BR$9:$BR$508)+1)))</f>
        <v/>
      </c>
      <c r="BT495" s="90" t="str">
        <f aca="false">IF($BL495&lt;&gt;Constants!$B$4,"",IF($BB495="-&gt;",$BE495,$AU495))</f>
        <v/>
      </c>
      <c r="BU495" s="86" t="str">
        <f aca="false">IF(ISBLANK($C495),"",IF($BL495&lt;&gt;Constants!$B$4,$BL495,IF(ISNUMBER($BT495),RANK($BT495,$BT$9:$BT$508,0),COUNT($BT$9:$BT$508)+1)))</f>
        <v/>
      </c>
      <c r="BV495" s="90" t="str">
        <f aca="false">IF($BL495&lt;&gt;Constants!$B$4,"",IF($BB495="-&gt;",$BF495,$AV495))</f>
        <v/>
      </c>
      <c r="BW495" s="86" t="str">
        <f aca="false">IF(ISBLANK($C495),"",IF($BL495&lt;&gt;Constants!$B$4,$BL495,IF(ISNUMBER($BV495),RANK($BV495,$BV$9:$BV$508,0),COUNT($BV$9:$BV$508)+1)))</f>
        <v/>
      </c>
      <c r="BX495" s="90" t="str">
        <f aca="false">IF($BL495&lt;&gt;Constants!$B$4,"",IF($BB495="-&gt;",$BK495,$BA495))</f>
        <v/>
      </c>
      <c r="BY495" s="86" t="str">
        <f aca="false">IF(ISBLANK($C495),"",IF($BL495&lt;&gt;Constants!$B$4,$BL495,IF(ISNUMBER($BX495),RANK($BX495,$BX$9:$BX$508,0),COUNT($BX$9:$BX$508)+1)))</f>
        <v/>
      </c>
      <c r="BZ495" s="86" t="str">
        <f aca="false">IF(ISBLANK($C495),"",IF($BL495&lt;&gt;Constants!$B$4,$BL495,COUNTIFS($BM$9:$BM$508,"&lt;"&amp;$BM495)+COUNTIFS($BM$9:$BM$508,$BM495,$BP$9:$BP$508,"&lt;"&amp;$BP495)+COUNTIFS($BM$9:$BM$508,$BM495,$BP$9:$BP$508,$BP495,$BS$9:$BS$508,"&lt;"&amp;$BS495)+COUNTIFS($BM$9:$BM$508,$BM495,$BP$9:$BP$508,$BP495,$BS$9:$BS$508,$BS495,$BU$9:$BU$508,"&lt;"&amp;$BU495)+COUNTIFS($BM$9:$BM$508,$BM495,$BP$9:$BP$508,$BP495,$BS$9:$BS$508,$BS495,$BU$9:$BU$508,$BU495,$BW$9:$BW$508,"&lt;"&amp;$BW495)+COUNTIFS($BM$9:$BM$508,$BM495,$BP$9:$BP$508,$BP495,$BS$9:$BS$508,$BS495,$BU$9:$BU$508,$BU495,$BW$9:$BW$508,$BW495,$BY$9:$BY$508,"&lt;"&amp;$BY495)+1))</f>
        <v/>
      </c>
      <c r="CA495" s="86" t="str">
        <f aca="false">IF(ISBLANK($C495),"",IF($BL495&lt;&gt;Constants!$B$4,$BL495,$BQ495-$BZ495))</f>
        <v/>
      </c>
      <c r="CB495" s="93"/>
      <c r="CC495" s="94" t="str">
        <f aca="false">IF(ISBLANK($C495),"",IF($BL495=Constants!$B$8,$AR495,""))</f>
        <v/>
      </c>
      <c r="CD495" s="94" t="str">
        <f aca="false">IF(ISBLANK($C495),"",IF($BL495&lt;&gt;Constants!$B$4,"",IF($BB495="-&gt;",2,1)))</f>
        <v/>
      </c>
      <c r="CE495" s="95" t="str">
        <f aca="false">IF(ISBLANK($C495),"",IF($BL495&lt;&gt;Constants!$B$4,"",IF($BB495="-&gt;",$BE495,$AU495)))</f>
        <v/>
      </c>
      <c r="CF495" s="95" t="str">
        <f aca="false">IF(ISBLANK($C495),"",IF($BL495&lt;&gt;Constants!$B$4,"",IF($BB495="-&gt;",$BF495,$AV495)))</f>
        <v/>
      </c>
      <c r="CG495" s="95" t="str">
        <f aca="false">IF(ISBLANK($C495),"",IF($BL495&lt;&gt;Constants!$B$4,"",IF($BB495="-&gt;",$BG495,$AW495)))</f>
        <v/>
      </c>
      <c r="CH495" s="95" t="str">
        <f aca="false">IF(ISBLANK($C495),"",IF($BL495&lt;&gt;Constants!$B$4,"",IF($BB495="-&gt;",$BH495,$AX495)))</f>
        <v/>
      </c>
      <c r="CI495" s="96" t="str">
        <f aca="false">IF(ISBLANK($C495),"",$BO495)</f>
        <v/>
      </c>
      <c r="CJ495" s="97" t="str">
        <f aca="false">IF(ISBLANK($C495),"",$BM495)</f>
        <v/>
      </c>
      <c r="CK495" s="98" t="str">
        <f aca="false">IF(ISBLANK($C495),"",$CA495)</f>
        <v/>
      </c>
      <c r="CL495" s="98" t="str">
        <f aca="false">IF(ISBLANK($C495),"",$BZ495)</f>
        <v/>
      </c>
      <c r="CM495" s="99" t="str">
        <f aca="false">IF(ISBLANK($C495),"",IF($CL495=Constants!$B$7,COUNTA($C$9:$C$508)+2,IF($CL495=Constants!$B$6,COUNTA($C$9:$C$508)+1,IF($CL495=Constants!$B$5,COUNTA($C$9:$C$508),$CL495))))</f>
        <v/>
      </c>
      <c r="CN495" s="8"/>
      <c r="CO495" s="100" t="n">
        <f aca="false">IF(OR(ISNUMBER($CL495),$CL495=Constants!$B$7,$CL495=Constants!$B$5,$CL495=Constants!$B$6),1,0)</f>
        <v>0</v>
      </c>
      <c r="CP495" s="100" t="n">
        <v>487</v>
      </c>
      <c r="CQ495" s="100" t="str">
        <f aca="false">IF(ISBLANK($C495),"",IF(ISNUMBER($CM495),$CM495+ROW($B495)/1000,""))</f>
        <v/>
      </c>
      <c r="CR495" s="100" t="str">
        <f aca="false">IF(ISNUMBER($CQ495),RANK($CQ495,$CQ$9:$CQ$508,1),"")</f>
        <v/>
      </c>
      <c r="CS495" s="100" t="str">
        <f aca="false">IF(ISBLANK($C495),"",$B495)</f>
        <v/>
      </c>
      <c r="CT495" s="100" t="str">
        <f aca="false">IF(ISBLANK($C495),"",$C495)</f>
        <v/>
      </c>
      <c r="CU495" s="100" t="str">
        <f aca="false">IF(ISBLANK($C495),"",$D495)</f>
        <v/>
      </c>
      <c r="CV495" s="101" t="str">
        <f aca="false">$CJ495</f>
        <v/>
      </c>
      <c r="CW495" s="102" t="str">
        <f aca="false">$CI495</f>
        <v/>
      </c>
      <c r="CX495" s="100" t="str">
        <f aca="false">IF(ISBLANK($C495),"",$CL495)</f>
        <v/>
      </c>
      <c r="CY495" s="103" t="str">
        <f aca="false">IF($CP495&gt;$CO$8,"",VLOOKUP($CP495,$CR$9:$CX$508,7,FALSE()))</f>
        <v/>
      </c>
      <c r="CZ495" s="104" t="str">
        <f aca="false">IF($CP495&gt;$CO$8,"",VLOOKUP($CP495,$CR$9:$CX$508,2,FALSE()))</f>
        <v/>
      </c>
      <c r="DA495" s="104" t="str">
        <f aca="false">IF($CP495&gt;$CO$8,"",VLOOKUP($CP495,$CR$9:$CX$508,3,FALSE()))</f>
        <v/>
      </c>
      <c r="DB495" s="104" t="str">
        <f aca="false">IF($CP495&gt;$CO$8,"",VLOOKUP($CP495,$CR$9:$CX$508,4,FALSE()))</f>
        <v/>
      </c>
      <c r="DC495" s="104" t="str">
        <f aca="false">IF($CP495&gt;$CO$8,"",VLOOKUP($CP495,$CR$9:$CX$508,5,FALSE()))</f>
        <v/>
      </c>
      <c r="DD495" s="105" t="str">
        <f aca="false">IF($CP495&gt;$CO$8,"",VLOOKUP($CP495,$CR$9:$CX$508,6,FALSE()))</f>
        <v/>
      </c>
      <c r="DE495" s="70"/>
    </row>
    <row r="496" customFormat="false" ht="15.75" hidden="false" customHeight="false" outlineLevel="0" collapsed="false">
      <c r="A496" s="8"/>
      <c r="B496" s="72"/>
      <c r="C496" s="73"/>
      <c r="D496" s="155"/>
      <c r="E496" s="162"/>
      <c r="F496" s="157"/>
      <c r="G496" s="77"/>
      <c r="H496" s="77"/>
      <c r="I496" s="77"/>
      <c r="J496" s="163"/>
      <c r="K496" s="161"/>
      <c r="L496" s="161"/>
      <c r="M496" s="80"/>
      <c r="N496" s="161"/>
      <c r="O496" s="160"/>
      <c r="P496" s="161"/>
      <c r="Q496" s="161"/>
      <c r="R496" s="161"/>
      <c r="S496" s="77"/>
      <c r="T496" s="161"/>
      <c r="U496" s="160"/>
      <c r="V496" s="161"/>
      <c r="W496" s="85"/>
      <c r="X496" s="86" t="str">
        <f aca="false">IF(ISBLANK($C496),"",IF($E496=Constants!$B$2,TRUE(),IF($E496=Constants!$B$3,FALSE(),TRUE())))</f>
        <v/>
      </c>
      <c r="Y496" s="86" t="str">
        <f aca="false">IF(ISBLANK($C496),"",IF($F496=Constants!$B$2,TRUE(),IF($F496=Constants!$B$3,FALSE(),TRUE())))</f>
        <v/>
      </c>
      <c r="Z496" s="87" t="str">
        <f aca="false">IF(ISBLANK($C496),"",IF(ISNUMBER($G496),IF($G496&gt;=0,$G496,""),""))</f>
        <v/>
      </c>
      <c r="AA496" s="87" t="str">
        <f aca="false">IF(ISBLANK($C496),"",IF(ISNUMBER($H496),IF($H496&gt;=0,$H496,""),""))</f>
        <v/>
      </c>
      <c r="AB496" s="87" t="str">
        <f aca="false">IF(ISBLANK($C496),"",IF(ISNUMBER($I496),IF($I496&gt;=0,$I496,""),""))</f>
        <v/>
      </c>
      <c r="AC496" s="86" t="str">
        <f aca="false">IF(ISBLANK($C496),"",IF($J496=Constants!$B$2,TRUE(),IF($J496=Constants!$B$3,FALSE(),TRUE())))</f>
        <v/>
      </c>
      <c r="AD496" s="86" t="str">
        <f aca="false">IF(ISBLANK($C496),"",IF($K496=Constants!$B$2,TRUE(),IF($K496=Constants!$B$3,FALSE(),TRUE())))</f>
        <v/>
      </c>
      <c r="AE496" s="86" t="str">
        <f aca="false">IF(ISBLANK($C496),"",IF($L496=Constants!$B$2,TRUE(),IF($L496=Constants!$B$3,FALSE(),TRUE())))</f>
        <v/>
      </c>
      <c r="AF496" s="88" t="str">
        <f aca="false">IF(ISBLANK($C496),"",IF(ISNUMBER($M496),IF($M496&gt;=0,$M496,""),""))</f>
        <v/>
      </c>
      <c r="AG496" s="86" t="str">
        <f aca="false">IF(ISBLANK($C496),"",IF(ISBLANK($N496),0,IF(ISNUMBER($N496),IF(AND($N496&gt;=0,$N496&lt;=Constants!$B$17,$N496=INT($N496)),$N496,""),"")))</f>
        <v/>
      </c>
      <c r="AH496" s="87" t="str">
        <f aca="false">IF(ISBLANK($C496),"",IF(ISBLANK($O496),0,IF(ISNUMBER($O496),IF($O496&gt;=0,$O496,""),"")))</f>
        <v/>
      </c>
      <c r="AI496" s="86" t="str">
        <f aca="false">IF(ISBLANK($C496),"",IF($P496=Constants!$B$2,TRUE(),IF($P496=Constants!$B$3,FALSE(),TRUE())))</f>
        <v/>
      </c>
      <c r="AJ496" s="86" t="str">
        <f aca="false">IF(ISBLANK($C496),"",IF($Q496=Constants!$B$2,TRUE(),IF($Q496=Constants!$B$3,FALSE(),TRUE())))</f>
        <v/>
      </c>
      <c r="AK496" s="86" t="str">
        <f aca="false">IF(ISBLANK($C496),"",IF($R496=Constants!$B$2,TRUE(),IF($R496=Constants!$B$3,FALSE(),TRUE())))</f>
        <v/>
      </c>
      <c r="AL496" s="88" t="str">
        <f aca="false">IF(ISBLANK($C496),"",IF(ISNUMBER($S496),IF($S496&gt;=0,$S496,""),""))</f>
        <v/>
      </c>
      <c r="AM496" s="86" t="str">
        <f aca="false">IF(ISBLANK($C496),"",IF(ISBLANK($T496),0,IF(ISNUMBER($T496),IF(AND($T496&gt;=0,$T496&lt;=Constants!$B$17,$T496=INT($T496)),$T496,""),"")))</f>
        <v/>
      </c>
      <c r="AN496" s="87" t="str">
        <f aca="false">IF(ISBLANK($C496),"",IF(ISBLANK($U496),0,IF(ISNUMBER($U496),IF($U496&gt;=0,$U496,""),"")))</f>
        <v/>
      </c>
      <c r="AO496" s="86" t="str">
        <f aca="false">IF(ISBLANK($C496),"",IF($V496=Constants!$B$2,TRUE(),IF($V496=Constants!$B$3,FALSE(),FALSE())))</f>
        <v/>
      </c>
      <c r="AP496" s="86"/>
      <c r="AQ496" s="85" t="str">
        <f aca="false">IF(ISBLANK($C496),"",AND($Y496,OR($AS496,$BC496),OR($Z496="",$AA496="",$AB496="")))</f>
        <v/>
      </c>
      <c r="AR496" s="85" t="str">
        <f aca="false">IF(ISBLANK($C496),"",IF(OR(NOT($Y496),NOT(OR($AS496,$BC496))),"",IF(ISBLANK($D$7),$AR$5,IF($AP$9="",$AR$6,""))))</f>
        <v/>
      </c>
      <c r="AS496" s="85" t="str">
        <f aca="false">IF(ISBLANK($C496),"",COUNTA($J496:$O496)&gt;0)</f>
        <v/>
      </c>
      <c r="AT496" s="85" t="str">
        <f aca="false">IF(ISBLANK($C496),"",AND($AS496,OR(AND($AF496="",OR($AE496,NOT(ISBLANK($M496)))),$AG496="",$AH496="")))</f>
        <v/>
      </c>
      <c r="AU496" s="87" t="str">
        <f aca="false">IF($BL496&lt;&gt;Constants!$B$4,"",IF(NOT($AS496),"",ROUND((Constants!$B$12-$AB496)+(Constants!$B$13-$Z496)+(Constants!$B$14-$AA496),1)))</f>
        <v/>
      </c>
      <c r="AV496" s="90" t="str">
        <f aca="false">IF($BL496&lt;&gt;Constants!$B$4,"",IF(NOT($AS496),"",IF(NOT($AE496),0,Constants!$B$15*(INT(ROUND(MIN($AF496,$AP$9),6))-INT(ROUND(MAX(0,MIN($AF496,2*$AP$9)-$AP$9),6))))))</f>
        <v/>
      </c>
      <c r="AW496" s="90" t="str">
        <f aca="false">IF($BL496&lt;&gt;Constants!$B$4,"",IF(NOT($AS496),"",Constants!$B$16*$AG496))</f>
        <v/>
      </c>
      <c r="AX496" s="90" t="str">
        <f aca="false">IF($BL496&lt;&gt;Constants!$B$4,"",IF(NOT($AS496),"",Constants!$B$18*INT(ROUND($AH496,6))))</f>
        <v/>
      </c>
      <c r="AY496" s="85" t="str">
        <f aca="false">IF($BL496&lt;&gt;Constants!$B$4,"",IF(NOT($AS496),"",IF(NOT($X496),Constants!$B$11,IF(OR(NOT($AC496),NOT($AD496),ROUND($AB496,1)&gt;Constants!$B$12,ROUND($Z496,1)&gt;Constants!$B$13,ROUND($AA496,1)&gt;Constants!$B$14),Constants!$B$10,Constants!$B$9))))</f>
        <v/>
      </c>
      <c r="AZ496" s="91" t="str">
        <f aca="false">IF($BL496&lt;&gt;Constants!$B$4,"",IF(NOT($AS496),"",ROUND($AU496+$AV496+$AW496+$AX496,1)))</f>
        <v/>
      </c>
      <c r="BA496" s="92" t="str">
        <f aca="false">IF($BL496&lt;&gt;Constants!$B$4,"",IF(NOT($AS496),"",IF(ISNUMBER($AF496),$AF496,0)))</f>
        <v/>
      </c>
      <c r="BB496" s="86" t="str">
        <f aca="false">IF($BL496&lt;&gt;Constants!$B$4,"",IF(NOT($BC496),"&lt;-",IF(NOT($AS496),"-&gt;",IF(OR($BI496&lt;$AY496,AND($BI496=$AY496,OR($BJ496&gt;$AZ496,AND($BJ496=$AZ496,OR($BH496&gt;$AX496,AND($BH496=$AX496,OR($BE496&gt;$AU496,AND($BE496=$AU496,OR($BF496&gt;$AV496,AND($BF496=$AV496,$BK496&gt;$BA496)))))))))),"-&gt;","&lt;-"))))</f>
        <v/>
      </c>
      <c r="BC496" s="85" t="str">
        <f aca="false">IF(ISBLANK($C496),"",COUNTA($P496:$U496)&gt;0)</f>
        <v/>
      </c>
      <c r="BD496" s="85" t="str">
        <f aca="false">IF(ISBLANK($C496),"",AND($BC496,OR(AND($AL496="",OR($AK496,NOT(ISBLANK($S496)))),$AM496="",$AN496="")))</f>
        <v/>
      </c>
      <c r="BE496" s="87" t="str">
        <f aca="false">IF($BL496&lt;&gt;Constants!$B$4,"",IF(NOT($BC496),"",ROUND((Constants!$B$12-$AB496)+(Constants!$B$13-$Z496)+(Constants!$B$14-$AA496),1)))</f>
        <v/>
      </c>
      <c r="BF496" s="90" t="str">
        <f aca="false">IF($BL496&lt;&gt;Constants!$B$4,"",IF(NOT($BC496),"",IF(NOT($AK496),0,Constants!$B$15*(INT(ROUND(MIN($AL496,$AP$9),6))-INT(ROUND(MAX(0,MIN($AL496,2*$AP$9)-$AP$9),6))))))</f>
        <v/>
      </c>
      <c r="BG496" s="90" t="str">
        <f aca="false">IF($BL496&lt;&gt;Constants!$B$4,"",IF(NOT($BC496),"",Constants!$B$16*$AM496))</f>
        <v/>
      </c>
      <c r="BH496" s="90" t="str">
        <f aca="false">IF($BL496&lt;&gt;Constants!$B$4,"",IF(NOT($BC496),"",Constants!$B$18*INT(ROUND($AN496,6))))</f>
        <v/>
      </c>
      <c r="BI496" s="85" t="str">
        <f aca="false">IF($BL496&lt;&gt;Constants!$B$4,"",IF(NOT($BC496),"",IF(NOT($X496),Constants!$B$11,IF(OR(NOT($AI496),NOT($AJ496),ROUND($AB496,1)&gt;Constants!$B$12,ROUND($Z496,1)&gt;Constants!$B$13,ROUND($AA496,1)&gt;Constants!$B$14),Constants!$B$10,Constants!$B$9))))</f>
        <v/>
      </c>
      <c r="BJ496" s="91" t="str">
        <f aca="false">IF($BL496&lt;&gt;Constants!$B$4,"",IF(NOT($BC496),"",ROUND($BE496+$BF496+$BG496+$BH496,1)))</f>
        <v/>
      </c>
      <c r="BK496" s="92" t="str">
        <f aca="false">IF($BL496&lt;&gt;Constants!$B$4,"",IF(NOT($BC496),"",IF(ISNUMBER($AL496),$AL496,0)))</f>
        <v/>
      </c>
      <c r="BL496" s="86" t="str">
        <f aca="false">IF(ISBLANK($C496),"",IF($AO496,Constants!$B$7,IF(COUNTA($E496:$V496)=0,Constants!$B$6,IF(NOT($Y496),Constants!$B$5,IF(NOT(OR($AS496,$BC496)),Constants!$B$5,IF(OR($AT496,$BD496,$AQ496,$AR496&lt;&gt;""),Constants!$B$8,Constants!$B$4))))))</f>
        <v/>
      </c>
      <c r="BM496" s="86" t="str">
        <f aca="false">IF(ISBLANK($C496),"",IF($BL496&lt;&gt;Constants!$B$4,$BL496,IF($BB496="-&gt;",$BI496,$AY496)))</f>
        <v/>
      </c>
      <c r="BN496" s="90" t="str">
        <f aca="false">IF($BL496&lt;&gt;Constants!$B$4,"",IF($BB496="-&gt;",$BJ496,$AZ496))</f>
        <v/>
      </c>
      <c r="BO496" s="90" t="str">
        <f aca="false">IF(ISBLANK($C496),"",IF($BL496&lt;&gt;Constants!$B$4,$BL496,$BN496))</f>
        <v/>
      </c>
      <c r="BP496" s="86" t="str">
        <f aca="false">IF(ISBLANK($C496),"",IF($BL496&lt;&gt;Constants!$B$4,$BL496,RANK($BO496,$BO$9:$BO$508,0)))</f>
        <v/>
      </c>
      <c r="BQ496" s="86" t="str">
        <f aca="false">IF(ISBLANK($C496),"",IF($BL496&lt;&gt;Constants!$B$4,$BL496,COUNTIFS($BM$9:$BM$508,"&lt;"&amp;$BM496)+COUNTIFS($BM$9:$BM$508,$BM496,$BP$9:$BP$508,"&lt;"&amp;$BP496)+1))</f>
        <v/>
      </c>
      <c r="BR496" s="90" t="str">
        <f aca="false">IF($BL496&lt;&gt;Constants!$B$4,"",IF($BB496="-&gt;",$BH496,$AX496))</f>
        <v/>
      </c>
      <c r="BS496" s="86" t="str">
        <f aca="false">IF(ISBLANK($C496),"",IF($BL496&lt;&gt;Constants!$B$4,$BL496,IF(ISNUMBER($BR496),RANK($BR496,$BR$9:$BR$508,0),COUNT($BR$9:$BR$508)+1)))</f>
        <v/>
      </c>
      <c r="BT496" s="90" t="str">
        <f aca="false">IF($BL496&lt;&gt;Constants!$B$4,"",IF($BB496="-&gt;",$BE496,$AU496))</f>
        <v/>
      </c>
      <c r="BU496" s="86" t="str">
        <f aca="false">IF(ISBLANK($C496),"",IF($BL496&lt;&gt;Constants!$B$4,$BL496,IF(ISNUMBER($BT496),RANK($BT496,$BT$9:$BT$508,0),COUNT($BT$9:$BT$508)+1)))</f>
        <v/>
      </c>
      <c r="BV496" s="90" t="str">
        <f aca="false">IF($BL496&lt;&gt;Constants!$B$4,"",IF($BB496="-&gt;",$BF496,$AV496))</f>
        <v/>
      </c>
      <c r="BW496" s="86" t="str">
        <f aca="false">IF(ISBLANK($C496),"",IF($BL496&lt;&gt;Constants!$B$4,$BL496,IF(ISNUMBER($BV496),RANK($BV496,$BV$9:$BV$508,0),COUNT($BV$9:$BV$508)+1)))</f>
        <v/>
      </c>
      <c r="BX496" s="90" t="str">
        <f aca="false">IF($BL496&lt;&gt;Constants!$B$4,"",IF($BB496="-&gt;",$BK496,$BA496))</f>
        <v/>
      </c>
      <c r="BY496" s="86" t="str">
        <f aca="false">IF(ISBLANK($C496),"",IF($BL496&lt;&gt;Constants!$B$4,$BL496,IF(ISNUMBER($BX496),RANK($BX496,$BX$9:$BX$508,0),COUNT($BX$9:$BX$508)+1)))</f>
        <v/>
      </c>
      <c r="BZ496" s="86" t="str">
        <f aca="false">IF(ISBLANK($C496),"",IF($BL496&lt;&gt;Constants!$B$4,$BL496,COUNTIFS($BM$9:$BM$508,"&lt;"&amp;$BM496)+COUNTIFS($BM$9:$BM$508,$BM496,$BP$9:$BP$508,"&lt;"&amp;$BP496)+COUNTIFS($BM$9:$BM$508,$BM496,$BP$9:$BP$508,$BP496,$BS$9:$BS$508,"&lt;"&amp;$BS496)+COUNTIFS($BM$9:$BM$508,$BM496,$BP$9:$BP$508,$BP496,$BS$9:$BS$508,$BS496,$BU$9:$BU$508,"&lt;"&amp;$BU496)+COUNTIFS($BM$9:$BM$508,$BM496,$BP$9:$BP$508,$BP496,$BS$9:$BS$508,$BS496,$BU$9:$BU$508,$BU496,$BW$9:$BW$508,"&lt;"&amp;$BW496)+COUNTIFS($BM$9:$BM$508,$BM496,$BP$9:$BP$508,$BP496,$BS$9:$BS$508,$BS496,$BU$9:$BU$508,$BU496,$BW$9:$BW$508,$BW496,$BY$9:$BY$508,"&lt;"&amp;$BY496)+1))</f>
        <v/>
      </c>
      <c r="CA496" s="86" t="str">
        <f aca="false">IF(ISBLANK($C496),"",IF($BL496&lt;&gt;Constants!$B$4,$BL496,$BQ496-$BZ496))</f>
        <v/>
      </c>
      <c r="CB496" s="93"/>
      <c r="CC496" s="94" t="str">
        <f aca="false">IF(ISBLANK($C496),"",IF($BL496=Constants!$B$8,$AR496,""))</f>
        <v/>
      </c>
      <c r="CD496" s="94" t="str">
        <f aca="false">IF(ISBLANK($C496),"",IF($BL496&lt;&gt;Constants!$B$4,"",IF($BB496="-&gt;",2,1)))</f>
        <v/>
      </c>
      <c r="CE496" s="95" t="str">
        <f aca="false">IF(ISBLANK($C496),"",IF($BL496&lt;&gt;Constants!$B$4,"",IF($BB496="-&gt;",$BE496,$AU496)))</f>
        <v/>
      </c>
      <c r="CF496" s="95" t="str">
        <f aca="false">IF(ISBLANK($C496),"",IF($BL496&lt;&gt;Constants!$B$4,"",IF($BB496="-&gt;",$BF496,$AV496)))</f>
        <v/>
      </c>
      <c r="CG496" s="95" t="str">
        <f aca="false">IF(ISBLANK($C496),"",IF($BL496&lt;&gt;Constants!$B$4,"",IF($BB496="-&gt;",$BG496,$AW496)))</f>
        <v/>
      </c>
      <c r="CH496" s="95" t="str">
        <f aca="false">IF(ISBLANK($C496),"",IF($BL496&lt;&gt;Constants!$B$4,"",IF($BB496="-&gt;",$BH496,$AX496)))</f>
        <v/>
      </c>
      <c r="CI496" s="96" t="str">
        <f aca="false">IF(ISBLANK($C496),"",$BO496)</f>
        <v/>
      </c>
      <c r="CJ496" s="97" t="str">
        <f aca="false">IF(ISBLANK($C496),"",$BM496)</f>
        <v/>
      </c>
      <c r="CK496" s="98" t="str">
        <f aca="false">IF(ISBLANK($C496),"",$CA496)</f>
        <v/>
      </c>
      <c r="CL496" s="98" t="str">
        <f aca="false">IF(ISBLANK($C496),"",$BZ496)</f>
        <v/>
      </c>
      <c r="CM496" s="99" t="str">
        <f aca="false">IF(ISBLANK($C496),"",IF($CL496=Constants!$B$7,COUNTA($C$9:$C$508)+2,IF($CL496=Constants!$B$6,COUNTA($C$9:$C$508)+1,IF($CL496=Constants!$B$5,COUNTA($C$9:$C$508),$CL496))))</f>
        <v/>
      </c>
      <c r="CN496" s="8"/>
      <c r="CO496" s="100" t="n">
        <f aca="false">IF(OR(ISNUMBER($CL496),$CL496=Constants!$B$7,$CL496=Constants!$B$5,$CL496=Constants!$B$6),1,0)</f>
        <v>0</v>
      </c>
      <c r="CP496" s="100" t="n">
        <v>488</v>
      </c>
      <c r="CQ496" s="100" t="str">
        <f aca="false">IF(ISBLANK($C496),"",IF(ISNUMBER($CM496),$CM496+ROW($B496)/1000,""))</f>
        <v/>
      </c>
      <c r="CR496" s="100" t="str">
        <f aca="false">IF(ISNUMBER($CQ496),RANK($CQ496,$CQ$9:$CQ$508,1),"")</f>
        <v/>
      </c>
      <c r="CS496" s="100" t="str">
        <f aca="false">IF(ISBLANK($C496),"",$B496)</f>
        <v/>
      </c>
      <c r="CT496" s="100" t="str">
        <f aca="false">IF(ISBLANK($C496),"",$C496)</f>
        <v/>
      </c>
      <c r="CU496" s="100" t="str">
        <f aca="false">IF(ISBLANK($C496),"",$D496)</f>
        <v/>
      </c>
      <c r="CV496" s="101" t="str">
        <f aca="false">$CJ496</f>
        <v/>
      </c>
      <c r="CW496" s="102" t="str">
        <f aca="false">$CI496</f>
        <v/>
      </c>
      <c r="CX496" s="100" t="str">
        <f aca="false">IF(ISBLANK($C496),"",$CL496)</f>
        <v/>
      </c>
      <c r="CY496" s="103" t="str">
        <f aca="false">IF($CP496&gt;$CO$8,"",VLOOKUP($CP496,$CR$9:$CX$508,7,FALSE()))</f>
        <v/>
      </c>
      <c r="CZ496" s="104" t="str">
        <f aca="false">IF($CP496&gt;$CO$8,"",VLOOKUP($CP496,$CR$9:$CX$508,2,FALSE()))</f>
        <v/>
      </c>
      <c r="DA496" s="104" t="str">
        <f aca="false">IF($CP496&gt;$CO$8,"",VLOOKUP($CP496,$CR$9:$CX$508,3,FALSE()))</f>
        <v/>
      </c>
      <c r="DB496" s="104" t="str">
        <f aca="false">IF($CP496&gt;$CO$8,"",VLOOKUP($CP496,$CR$9:$CX$508,4,FALSE()))</f>
        <v/>
      </c>
      <c r="DC496" s="104" t="str">
        <f aca="false">IF($CP496&gt;$CO$8,"",VLOOKUP($CP496,$CR$9:$CX$508,5,FALSE()))</f>
        <v/>
      </c>
      <c r="DD496" s="105" t="str">
        <f aca="false">IF($CP496&gt;$CO$8,"",VLOOKUP($CP496,$CR$9:$CX$508,6,FALSE()))</f>
        <v/>
      </c>
      <c r="DE496" s="70"/>
    </row>
    <row r="497" customFormat="false" ht="15.75" hidden="false" customHeight="false" outlineLevel="0" collapsed="false">
      <c r="A497" s="8"/>
      <c r="B497" s="72"/>
      <c r="C497" s="73"/>
      <c r="D497" s="155"/>
      <c r="E497" s="162"/>
      <c r="F497" s="157"/>
      <c r="G497" s="77"/>
      <c r="H497" s="77"/>
      <c r="I497" s="77"/>
      <c r="J497" s="163"/>
      <c r="K497" s="161"/>
      <c r="L497" s="161"/>
      <c r="M497" s="80"/>
      <c r="N497" s="161"/>
      <c r="O497" s="160"/>
      <c r="P497" s="161"/>
      <c r="Q497" s="161"/>
      <c r="R497" s="161"/>
      <c r="S497" s="77"/>
      <c r="T497" s="161"/>
      <c r="U497" s="160"/>
      <c r="V497" s="161"/>
      <c r="W497" s="85"/>
      <c r="X497" s="86" t="str">
        <f aca="false">IF(ISBLANK($C497),"",IF($E497=Constants!$B$2,TRUE(),IF($E497=Constants!$B$3,FALSE(),TRUE())))</f>
        <v/>
      </c>
      <c r="Y497" s="86" t="str">
        <f aca="false">IF(ISBLANK($C497),"",IF($F497=Constants!$B$2,TRUE(),IF($F497=Constants!$B$3,FALSE(),TRUE())))</f>
        <v/>
      </c>
      <c r="Z497" s="87" t="str">
        <f aca="false">IF(ISBLANK($C497),"",IF(ISNUMBER($G497),IF($G497&gt;=0,$G497,""),""))</f>
        <v/>
      </c>
      <c r="AA497" s="87" t="str">
        <f aca="false">IF(ISBLANK($C497),"",IF(ISNUMBER($H497),IF($H497&gt;=0,$H497,""),""))</f>
        <v/>
      </c>
      <c r="AB497" s="87" t="str">
        <f aca="false">IF(ISBLANK($C497),"",IF(ISNUMBER($I497),IF($I497&gt;=0,$I497,""),""))</f>
        <v/>
      </c>
      <c r="AC497" s="86" t="str">
        <f aca="false">IF(ISBLANK($C497),"",IF($J497=Constants!$B$2,TRUE(),IF($J497=Constants!$B$3,FALSE(),TRUE())))</f>
        <v/>
      </c>
      <c r="AD497" s="86" t="str">
        <f aca="false">IF(ISBLANK($C497),"",IF($K497=Constants!$B$2,TRUE(),IF($K497=Constants!$B$3,FALSE(),TRUE())))</f>
        <v/>
      </c>
      <c r="AE497" s="86" t="str">
        <f aca="false">IF(ISBLANK($C497),"",IF($L497=Constants!$B$2,TRUE(),IF($L497=Constants!$B$3,FALSE(),TRUE())))</f>
        <v/>
      </c>
      <c r="AF497" s="88" t="str">
        <f aca="false">IF(ISBLANK($C497),"",IF(ISNUMBER($M497),IF($M497&gt;=0,$M497,""),""))</f>
        <v/>
      </c>
      <c r="AG497" s="86" t="str">
        <f aca="false">IF(ISBLANK($C497),"",IF(ISBLANK($N497),0,IF(ISNUMBER($N497),IF(AND($N497&gt;=0,$N497&lt;=Constants!$B$17,$N497=INT($N497)),$N497,""),"")))</f>
        <v/>
      </c>
      <c r="AH497" s="87" t="str">
        <f aca="false">IF(ISBLANK($C497),"",IF(ISBLANK($O497),0,IF(ISNUMBER($O497),IF($O497&gt;=0,$O497,""),"")))</f>
        <v/>
      </c>
      <c r="AI497" s="86" t="str">
        <f aca="false">IF(ISBLANK($C497),"",IF($P497=Constants!$B$2,TRUE(),IF($P497=Constants!$B$3,FALSE(),TRUE())))</f>
        <v/>
      </c>
      <c r="AJ497" s="86" t="str">
        <f aca="false">IF(ISBLANK($C497),"",IF($Q497=Constants!$B$2,TRUE(),IF($Q497=Constants!$B$3,FALSE(),TRUE())))</f>
        <v/>
      </c>
      <c r="AK497" s="86" t="str">
        <f aca="false">IF(ISBLANK($C497),"",IF($R497=Constants!$B$2,TRUE(),IF($R497=Constants!$B$3,FALSE(),TRUE())))</f>
        <v/>
      </c>
      <c r="AL497" s="88" t="str">
        <f aca="false">IF(ISBLANK($C497),"",IF(ISNUMBER($S497),IF($S497&gt;=0,$S497,""),""))</f>
        <v/>
      </c>
      <c r="AM497" s="86" t="str">
        <f aca="false">IF(ISBLANK($C497),"",IF(ISBLANK($T497),0,IF(ISNUMBER($T497),IF(AND($T497&gt;=0,$T497&lt;=Constants!$B$17,$T497=INT($T497)),$T497,""),"")))</f>
        <v/>
      </c>
      <c r="AN497" s="87" t="str">
        <f aca="false">IF(ISBLANK($C497),"",IF(ISBLANK($U497),0,IF(ISNUMBER($U497),IF($U497&gt;=0,$U497,""),"")))</f>
        <v/>
      </c>
      <c r="AO497" s="86" t="str">
        <f aca="false">IF(ISBLANK($C497),"",IF($V497=Constants!$B$2,TRUE(),IF($V497=Constants!$B$3,FALSE(),FALSE())))</f>
        <v/>
      </c>
      <c r="AP497" s="86"/>
      <c r="AQ497" s="85" t="str">
        <f aca="false">IF(ISBLANK($C497),"",AND($Y497,OR($AS497,$BC497),OR($Z497="",$AA497="",$AB497="")))</f>
        <v/>
      </c>
      <c r="AR497" s="85" t="str">
        <f aca="false">IF(ISBLANK($C497),"",IF(OR(NOT($Y497),NOT(OR($AS497,$BC497))),"",IF(ISBLANK($D$7),$AR$5,IF($AP$9="",$AR$6,""))))</f>
        <v/>
      </c>
      <c r="AS497" s="85" t="str">
        <f aca="false">IF(ISBLANK($C497),"",COUNTA($J497:$O497)&gt;0)</f>
        <v/>
      </c>
      <c r="AT497" s="85" t="str">
        <f aca="false">IF(ISBLANK($C497),"",AND($AS497,OR(AND($AF497="",OR($AE497,NOT(ISBLANK($M497)))),$AG497="",$AH497="")))</f>
        <v/>
      </c>
      <c r="AU497" s="87" t="str">
        <f aca="false">IF($BL497&lt;&gt;Constants!$B$4,"",IF(NOT($AS497),"",ROUND((Constants!$B$12-$AB497)+(Constants!$B$13-$Z497)+(Constants!$B$14-$AA497),1)))</f>
        <v/>
      </c>
      <c r="AV497" s="90" t="str">
        <f aca="false">IF($BL497&lt;&gt;Constants!$B$4,"",IF(NOT($AS497),"",IF(NOT($AE497),0,Constants!$B$15*(INT(ROUND(MIN($AF497,$AP$9),6))-INT(ROUND(MAX(0,MIN($AF497,2*$AP$9)-$AP$9),6))))))</f>
        <v/>
      </c>
      <c r="AW497" s="90" t="str">
        <f aca="false">IF($BL497&lt;&gt;Constants!$B$4,"",IF(NOT($AS497),"",Constants!$B$16*$AG497))</f>
        <v/>
      </c>
      <c r="AX497" s="90" t="str">
        <f aca="false">IF($BL497&lt;&gt;Constants!$B$4,"",IF(NOT($AS497),"",Constants!$B$18*INT(ROUND($AH497,6))))</f>
        <v/>
      </c>
      <c r="AY497" s="85" t="str">
        <f aca="false">IF($BL497&lt;&gt;Constants!$B$4,"",IF(NOT($AS497),"",IF(NOT($X497),Constants!$B$11,IF(OR(NOT($AC497),NOT($AD497),ROUND($AB497,1)&gt;Constants!$B$12,ROUND($Z497,1)&gt;Constants!$B$13,ROUND($AA497,1)&gt;Constants!$B$14),Constants!$B$10,Constants!$B$9))))</f>
        <v/>
      </c>
      <c r="AZ497" s="91" t="str">
        <f aca="false">IF($BL497&lt;&gt;Constants!$B$4,"",IF(NOT($AS497),"",ROUND($AU497+$AV497+$AW497+$AX497,1)))</f>
        <v/>
      </c>
      <c r="BA497" s="92" t="str">
        <f aca="false">IF($BL497&lt;&gt;Constants!$B$4,"",IF(NOT($AS497),"",IF(ISNUMBER($AF497),$AF497,0)))</f>
        <v/>
      </c>
      <c r="BB497" s="86" t="str">
        <f aca="false">IF($BL497&lt;&gt;Constants!$B$4,"",IF(NOT($BC497),"&lt;-",IF(NOT($AS497),"-&gt;",IF(OR($BI497&lt;$AY497,AND($BI497=$AY497,OR($BJ497&gt;$AZ497,AND($BJ497=$AZ497,OR($BH497&gt;$AX497,AND($BH497=$AX497,OR($BE497&gt;$AU497,AND($BE497=$AU497,OR($BF497&gt;$AV497,AND($BF497=$AV497,$BK497&gt;$BA497)))))))))),"-&gt;","&lt;-"))))</f>
        <v/>
      </c>
      <c r="BC497" s="85" t="str">
        <f aca="false">IF(ISBLANK($C497),"",COUNTA($P497:$U497)&gt;0)</f>
        <v/>
      </c>
      <c r="BD497" s="85" t="str">
        <f aca="false">IF(ISBLANK($C497),"",AND($BC497,OR(AND($AL497="",OR($AK497,NOT(ISBLANK($S497)))),$AM497="",$AN497="")))</f>
        <v/>
      </c>
      <c r="BE497" s="87" t="str">
        <f aca="false">IF($BL497&lt;&gt;Constants!$B$4,"",IF(NOT($BC497),"",ROUND((Constants!$B$12-$AB497)+(Constants!$B$13-$Z497)+(Constants!$B$14-$AA497),1)))</f>
        <v/>
      </c>
      <c r="BF497" s="90" t="str">
        <f aca="false">IF($BL497&lt;&gt;Constants!$B$4,"",IF(NOT($BC497),"",IF(NOT($AK497),0,Constants!$B$15*(INT(ROUND(MIN($AL497,$AP$9),6))-INT(ROUND(MAX(0,MIN($AL497,2*$AP$9)-$AP$9),6))))))</f>
        <v/>
      </c>
      <c r="BG497" s="90" t="str">
        <f aca="false">IF($BL497&lt;&gt;Constants!$B$4,"",IF(NOT($BC497),"",Constants!$B$16*$AM497))</f>
        <v/>
      </c>
      <c r="BH497" s="90" t="str">
        <f aca="false">IF($BL497&lt;&gt;Constants!$B$4,"",IF(NOT($BC497),"",Constants!$B$18*INT(ROUND($AN497,6))))</f>
        <v/>
      </c>
      <c r="BI497" s="85" t="str">
        <f aca="false">IF($BL497&lt;&gt;Constants!$B$4,"",IF(NOT($BC497),"",IF(NOT($X497),Constants!$B$11,IF(OR(NOT($AI497),NOT($AJ497),ROUND($AB497,1)&gt;Constants!$B$12,ROUND($Z497,1)&gt;Constants!$B$13,ROUND($AA497,1)&gt;Constants!$B$14),Constants!$B$10,Constants!$B$9))))</f>
        <v/>
      </c>
      <c r="BJ497" s="91" t="str">
        <f aca="false">IF($BL497&lt;&gt;Constants!$B$4,"",IF(NOT($BC497),"",ROUND($BE497+$BF497+$BG497+$BH497,1)))</f>
        <v/>
      </c>
      <c r="BK497" s="92" t="str">
        <f aca="false">IF($BL497&lt;&gt;Constants!$B$4,"",IF(NOT($BC497),"",IF(ISNUMBER($AL497),$AL497,0)))</f>
        <v/>
      </c>
      <c r="BL497" s="86" t="str">
        <f aca="false">IF(ISBLANK($C497),"",IF($AO497,Constants!$B$7,IF(COUNTA($E497:$V497)=0,Constants!$B$6,IF(NOT($Y497),Constants!$B$5,IF(NOT(OR($AS497,$BC497)),Constants!$B$5,IF(OR($AT497,$BD497,$AQ497,$AR497&lt;&gt;""),Constants!$B$8,Constants!$B$4))))))</f>
        <v/>
      </c>
      <c r="BM497" s="86" t="str">
        <f aca="false">IF(ISBLANK($C497),"",IF($BL497&lt;&gt;Constants!$B$4,$BL497,IF($BB497="-&gt;",$BI497,$AY497)))</f>
        <v/>
      </c>
      <c r="BN497" s="90" t="str">
        <f aca="false">IF($BL497&lt;&gt;Constants!$B$4,"",IF($BB497="-&gt;",$BJ497,$AZ497))</f>
        <v/>
      </c>
      <c r="BO497" s="90" t="str">
        <f aca="false">IF(ISBLANK($C497),"",IF($BL497&lt;&gt;Constants!$B$4,$BL497,$BN497))</f>
        <v/>
      </c>
      <c r="BP497" s="86" t="str">
        <f aca="false">IF(ISBLANK($C497),"",IF($BL497&lt;&gt;Constants!$B$4,$BL497,RANK($BO497,$BO$9:$BO$508,0)))</f>
        <v/>
      </c>
      <c r="BQ497" s="86" t="str">
        <f aca="false">IF(ISBLANK($C497),"",IF($BL497&lt;&gt;Constants!$B$4,$BL497,COUNTIFS($BM$9:$BM$508,"&lt;"&amp;$BM497)+COUNTIFS($BM$9:$BM$508,$BM497,$BP$9:$BP$508,"&lt;"&amp;$BP497)+1))</f>
        <v/>
      </c>
      <c r="BR497" s="90" t="str">
        <f aca="false">IF($BL497&lt;&gt;Constants!$B$4,"",IF($BB497="-&gt;",$BH497,$AX497))</f>
        <v/>
      </c>
      <c r="BS497" s="86" t="str">
        <f aca="false">IF(ISBLANK($C497),"",IF($BL497&lt;&gt;Constants!$B$4,$BL497,IF(ISNUMBER($BR497),RANK($BR497,$BR$9:$BR$508,0),COUNT($BR$9:$BR$508)+1)))</f>
        <v/>
      </c>
      <c r="BT497" s="90" t="str">
        <f aca="false">IF($BL497&lt;&gt;Constants!$B$4,"",IF($BB497="-&gt;",$BE497,$AU497))</f>
        <v/>
      </c>
      <c r="BU497" s="86" t="str">
        <f aca="false">IF(ISBLANK($C497),"",IF($BL497&lt;&gt;Constants!$B$4,$BL497,IF(ISNUMBER($BT497),RANK($BT497,$BT$9:$BT$508,0),COUNT($BT$9:$BT$508)+1)))</f>
        <v/>
      </c>
      <c r="BV497" s="90" t="str">
        <f aca="false">IF($BL497&lt;&gt;Constants!$B$4,"",IF($BB497="-&gt;",$BF497,$AV497))</f>
        <v/>
      </c>
      <c r="BW497" s="86" t="str">
        <f aca="false">IF(ISBLANK($C497),"",IF($BL497&lt;&gt;Constants!$B$4,$BL497,IF(ISNUMBER($BV497),RANK($BV497,$BV$9:$BV$508,0),COUNT($BV$9:$BV$508)+1)))</f>
        <v/>
      </c>
      <c r="BX497" s="90" t="str">
        <f aca="false">IF($BL497&lt;&gt;Constants!$B$4,"",IF($BB497="-&gt;",$BK497,$BA497))</f>
        <v/>
      </c>
      <c r="BY497" s="86" t="str">
        <f aca="false">IF(ISBLANK($C497),"",IF($BL497&lt;&gt;Constants!$B$4,$BL497,IF(ISNUMBER($BX497),RANK($BX497,$BX$9:$BX$508,0),COUNT($BX$9:$BX$508)+1)))</f>
        <v/>
      </c>
      <c r="BZ497" s="86" t="str">
        <f aca="false">IF(ISBLANK($C497),"",IF($BL497&lt;&gt;Constants!$B$4,$BL497,COUNTIFS($BM$9:$BM$508,"&lt;"&amp;$BM497)+COUNTIFS($BM$9:$BM$508,$BM497,$BP$9:$BP$508,"&lt;"&amp;$BP497)+COUNTIFS($BM$9:$BM$508,$BM497,$BP$9:$BP$508,$BP497,$BS$9:$BS$508,"&lt;"&amp;$BS497)+COUNTIFS($BM$9:$BM$508,$BM497,$BP$9:$BP$508,$BP497,$BS$9:$BS$508,$BS497,$BU$9:$BU$508,"&lt;"&amp;$BU497)+COUNTIFS($BM$9:$BM$508,$BM497,$BP$9:$BP$508,$BP497,$BS$9:$BS$508,$BS497,$BU$9:$BU$508,$BU497,$BW$9:$BW$508,"&lt;"&amp;$BW497)+COUNTIFS($BM$9:$BM$508,$BM497,$BP$9:$BP$508,$BP497,$BS$9:$BS$508,$BS497,$BU$9:$BU$508,$BU497,$BW$9:$BW$508,$BW497,$BY$9:$BY$508,"&lt;"&amp;$BY497)+1))</f>
        <v/>
      </c>
      <c r="CA497" s="86" t="str">
        <f aca="false">IF(ISBLANK($C497),"",IF($BL497&lt;&gt;Constants!$B$4,$BL497,$BQ497-$BZ497))</f>
        <v/>
      </c>
      <c r="CB497" s="93"/>
      <c r="CC497" s="94" t="str">
        <f aca="false">IF(ISBLANK($C497),"",IF($BL497=Constants!$B$8,$AR497,""))</f>
        <v/>
      </c>
      <c r="CD497" s="94" t="str">
        <f aca="false">IF(ISBLANK($C497),"",IF($BL497&lt;&gt;Constants!$B$4,"",IF($BB497="-&gt;",2,1)))</f>
        <v/>
      </c>
      <c r="CE497" s="95" t="str">
        <f aca="false">IF(ISBLANK($C497),"",IF($BL497&lt;&gt;Constants!$B$4,"",IF($BB497="-&gt;",$BE497,$AU497)))</f>
        <v/>
      </c>
      <c r="CF497" s="95" t="str">
        <f aca="false">IF(ISBLANK($C497),"",IF($BL497&lt;&gt;Constants!$B$4,"",IF($BB497="-&gt;",$BF497,$AV497)))</f>
        <v/>
      </c>
      <c r="CG497" s="95" t="str">
        <f aca="false">IF(ISBLANK($C497),"",IF($BL497&lt;&gt;Constants!$B$4,"",IF($BB497="-&gt;",$BG497,$AW497)))</f>
        <v/>
      </c>
      <c r="CH497" s="95" t="str">
        <f aca="false">IF(ISBLANK($C497),"",IF($BL497&lt;&gt;Constants!$B$4,"",IF($BB497="-&gt;",$BH497,$AX497)))</f>
        <v/>
      </c>
      <c r="CI497" s="96" t="str">
        <f aca="false">IF(ISBLANK($C497),"",$BO497)</f>
        <v/>
      </c>
      <c r="CJ497" s="97" t="str">
        <f aca="false">IF(ISBLANK($C497),"",$BM497)</f>
        <v/>
      </c>
      <c r="CK497" s="98" t="str">
        <f aca="false">IF(ISBLANK($C497),"",$CA497)</f>
        <v/>
      </c>
      <c r="CL497" s="98" t="str">
        <f aca="false">IF(ISBLANK($C497),"",$BZ497)</f>
        <v/>
      </c>
      <c r="CM497" s="99" t="str">
        <f aca="false">IF(ISBLANK($C497),"",IF($CL497=Constants!$B$7,COUNTA($C$9:$C$508)+2,IF($CL497=Constants!$B$6,COUNTA($C$9:$C$508)+1,IF($CL497=Constants!$B$5,COUNTA($C$9:$C$508),$CL497))))</f>
        <v/>
      </c>
      <c r="CN497" s="8"/>
      <c r="CO497" s="100" t="n">
        <f aca="false">IF(OR(ISNUMBER($CL497),$CL497=Constants!$B$7,$CL497=Constants!$B$5,$CL497=Constants!$B$6),1,0)</f>
        <v>0</v>
      </c>
      <c r="CP497" s="100" t="n">
        <v>489</v>
      </c>
      <c r="CQ497" s="100" t="str">
        <f aca="false">IF(ISBLANK($C497),"",IF(ISNUMBER($CM497),$CM497+ROW($B497)/1000,""))</f>
        <v/>
      </c>
      <c r="CR497" s="100" t="str">
        <f aca="false">IF(ISNUMBER($CQ497),RANK($CQ497,$CQ$9:$CQ$508,1),"")</f>
        <v/>
      </c>
      <c r="CS497" s="100" t="str">
        <f aca="false">IF(ISBLANK($C497),"",$B497)</f>
        <v/>
      </c>
      <c r="CT497" s="100" t="str">
        <f aca="false">IF(ISBLANK($C497),"",$C497)</f>
        <v/>
      </c>
      <c r="CU497" s="100" t="str">
        <f aca="false">IF(ISBLANK($C497),"",$D497)</f>
        <v/>
      </c>
      <c r="CV497" s="101" t="str">
        <f aca="false">$CJ497</f>
        <v/>
      </c>
      <c r="CW497" s="102" t="str">
        <f aca="false">$CI497</f>
        <v/>
      </c>
      <c r="CX497" s="100" t="str">
        <f aca="false">IF(ISBLANK($C497),"",$CL497)</f>
        <v/>
      </c>
      <c r="CY497" s="103" t="str">
        <f aca="false">IF($CP497&gt;$CO$8,"",VLOOKUP($CP497,$CR$9:$CX$508,7,FALSE()))</f>
        <v/>
      </c>
      <c r="CZ497" s="104" t="str">
        <f aca="false">IF($CP497&gt;$CO$8,"",VLOOKUP($CP497,$CR$9:$CX$508,2,FALSE()))</f>
        <v/>
      </c>
      <c r="DA497" s="104" t="str">
        <f aca="false">IF($CP497&gt;$CO$8,"",VLOOKUP($CP497,$CR$9:$CX$508,3,FALSE()))</f>
        <v/>
      </c>
      <c r="DB497" s="104" t="str">
        <f aca="false">IF($CP497&gt;$CO$8,"",VLOOKUP($CP497,$CR$9:$CX$508,4,FALSE()))</f>
        <v/>
      </c>
      <c r="DC497" s="104" t="str">
        <f aca="false">IF($CP497&gt;$CO$8,"",VLOOKUP($CP497,$CR$9:$CX$508,5,FALSE()))</f>
        <v/>
      </c>
      <c r="DD497" s="105" t="str">
        <f aca="false">IF($CP497&gt;$CO$8,"",VLOOKUP($CP497,$CR$9:$CX$508,6,FALSE()))</f>
        <v/>
      </c>
      <c r="DE497" s="70"/>
    </row>
    <row r="498" customFormat="false" ht="15.75" hidden="false" customHeight="false" outlineLevel="0" collapsed="false">
      <c r="A498" s="8"/>
      <c r="B498" s="146"/>
      <c r="C498" s="147"/>
      <c r="D498" s="148"/>
      <c r="E498" s="164"/>
      <c r="F498" s="150"/>
      <c r="G498" s="115"/>
      <c r="H498" s="115"/>
      <c r="I498" s="115"/>
      <c r="J498" s="165"/>
      <c r="K498" s="154"/>
      <c r="L498" s="154"/>
      <c r="M498" s="118"/>
      <c r="N498" s="154"/>
      <c r="O498" s="153"/>
      <c r="P498" s="154"/>
      <c r="Q498" s="154"/>
      <c r="R498" s="154"/>
      <c r="S498" s="115"/>
      <c r="T498" s="154"/>
      <c r="U498" s="153"/>
      <c r="V498" s="154"/>
      <c r="W498" s="123"/>
      <c r="X498" s="124" t="str">
        <f aca="false">IF(ISBLANK($C498),"",IF($E498=Constants!$B$2,TRUE(),IF($E498=Constants!$B$3,FALSE(),TRUE())))</f>
        <v/>
      </c>
      <c r="Y498" s="124" t="str">
        <f aca="false">IF(ISBLANK($C498),"",IF($F498=Constants!$B$2,TRUE(),IF($F498=Constants!$B$3,FALSE(),TRUE())))</f>
        <v/>
      </c>
      <c r="Z498" s="125" t="str">
        <f aca="false">IF(ISBLANK($C498),"",IF(ISNUMBER($G498),IF($G498&gt;=0,$G498,""),""))</f>
        <v/>
      </c>
      <c r="AA498" s="125" t="str">
        <f aca="false">IF(ISBLANK($C498),"",IF(ISNUMBER($H498),IF($H498&gt;=0,$H498,""),""))</f>
        <v/>
      </c>
      <c r="AB498" s="125" t="str">
        <f aca="false">IF(ISBLANK($C498),"",IF(ISNUMBER($I498),IF($I498&gt;=0,$I498,""),""))</f>
        <v/>
      </c>
      <c r="AC498" s="124" t="str">
        <f aca="false">IF(ISBLANK($C498),"",IF($J498=Constants!$B$2,TRUE(),IF($J498=Constants!$B$3,FALSE(),TRUE())))</f>
        <v/>
      </c>
      <c r="AD498" s="124" t="str">
        <f aca="false">IF(ISBLANK($C498),"",IF($K498=Constants!$B$2,TRUE(),IF($K498=Constants!$B$3,FALSE(),TRUE())))</f>
        <v/>
      </c>
      <c r="AE498" s="124" t="str">
        <f aca="false">IF(ISBLANK($C498),"",IF($L498=Constants!$B$2,TRUE(),IF($L498=Constants!$B$3,FALSE(),TRUE())))</f>
        <v/>
      </c>
      <c r="AF498" s="126" t="str">
        <f aca="false">IF(ISBLANK($C498),"",IF(ISNUMBER($M498),IF($M498&gt;=0,$M498,""),""))</f>
        <v/>
      </c>
      <c r="AG498" s="124" t="str">
        <f aca="false">IF(ISBLANK($C498),"",IF(ISBLANK($N498),0,IF(ISNUMBER($N498),IF(AND($N498&gt;=0,$N498&lt;=Constants!$B$17,$N498=INT($N498)),$N498,""),"")))</f>
        <v/>
      </c>
      <c r="AH498" s="125" t="str">
        <f aca="false">IF(ISBLANK($C498),"",IF(ISBLANK($O498),0,IF(ISNUMBER($O498),IF($O498&gt;=0,$O498,""),"")))</f>
        <v/>
      </c>
      <c r="AI498" s="124" t="str">
        <f aca="false">IF(ISBLANK($C498),"",IF($P498=Constants!$B$2,TRUE(),IF($P498=Constants!$B$3,FALSE(),TRUE())))</f>
        <v/>
      </c>
      <c r="AJ498" s="124" t="str">
        <f aca="false">IF(ISBLANK($C498),"",IF($Q498=Constants!$B$2,TRUE(),IF($Q498=Constants!$B$3,FALSE(),TRUE())))</f>
        <v/>
      </c>
      <c r="AK498" s="124" t="str">
        <f aca="false">IF(ISBLANK($C498),"",IF($R498=Constants!$B$2,TRUE(),IF($R498=Constants!$B$3,FALSE(),TRUE())))</f>
        <v/>
      </c>
      <c r="AL498" s="126" t="str">
        <f aca="false">IF(ISBLANK($C498),"",IF(ISNUMBER($S498),IF($S498&gt;=0,$S498,""),""))</f>
        <v/>
      </c>
      <c r="AM498" s="124" t="str">
        <f aca="false">IF(ISBLANK($C498),"",IF(ISBLANK($T498),0,IF(ISNUMBER($T498),IF(AND($T498&gt;=0,$T498&lt;=Constants!$B$17,$T498=INT($T498)),$T498,""),"")))</f>
        <v/>
      </c>
      <c r="AN498" s="125" t="str">
        <f aca="false">IF(ISBLANK($C498),"",IF(ISBLANK($U498),0,IF(ISNUMBER($U498),IF($U498&gt;=0,$U498,""),"")))</f>
        <v/>
      </c>
      <c r="AO498" s="124" t="str">
        <f aca="false">IF(ISBLANK($C498),"",IF($V498=Constants!$B$2,TRUE(),IF($V498=Constants!$B$3,FALSE(),FALSE())))</f>
        <v/>
      </c>
      <c r="AP498" s="124"/>
      <c r="AQ498" s="123" t="str">
        <f aca="false">IF(ISBLANK($C498),"",AND($Y498,OR($AS498,$BC498),OR($Z498="",$AA498="",$AB498="")))</f>
        <v/>
      </c>
      <c r="AR498" s="123" t="str">
        <f aca="false">IF(ISBLANK($C498),"",IF(OR(NOT($Y498),NOT(OR($AS498,$BC498))),"",IF(ISBLANK($D$7),$AR$5,IF($AP$9="",$AR$6,""))))</f>
        <v/>
      </c>
      <c r="AS498" s="123" t="str">
        <f aca="false">IF(ISBLANK($C498),"",COUNTA($J498:$O498)&gt;0)</f>
        <v/>
      </c>
      <c r="AT498" s="123" t="str">
        <f aca="false">IF(ISBLANK($C498),"",AND($AS498,OR(AND($AF498="",OR($AE498,NOT(ISBLANK($M498)))),$AG498="",$AH498="")))</f>
        <v/>
      </c>
      <c r="AU498" s="125" t="str">
        <f aca="false">IF($BL498&lt;&gt;Constants!$B$4,"",IF(NOT($AS498),"",ROUND((Constants!$B$12-$AB498)+(Constants!$B$13-$Z498)+(Constants!$B$14-$AA498),1)))</f>
        <v/>
      </c>
      <c r="AV498" s="127" t="str">
        <f aca="false">IF($BL498&lt;&gt;Constants!$B$4,"",IF(NOT($AS498),"",IF(NOT($AE498),0,Constants!$B$15*(INT(ROUND(MIN($AF498,$AP$9),6))-INT(ROUND(MAX(0,MIN($AF498,2*$AP$9)-$AP$9),6))))))</f>
        <v/>
      </c>
      <c r="AW498" s="127" t="str">
        <f aca="false">IF($BL498&lt;&gt;Constants!$B$4,"",IF(NOT($AS498),"",Constants!$B$16*$AG498))</f>
        <v/>
      </c>
      <c r="AX498" s="127" t="str">
        <f aca="false">IF($BL498&lt;&gt;Constants!$B$4,"",IF(NOT($AS498),"",Constants!$B$18*INT(ROUND($AH498,6))))</f>
        <v/>
      </c>
      <c r="AY498" s="123" t="str">
        <f aca="false">IF($BL498&lt;&gt;Constants!$B$4,"",IF(NOT($AS498),"",IF(NOT($X498),Constants!$B$11,IF(OR(NOT($AC498),NOT($AD498),ROUND($AB498,1)&gt;Constants!$B$12,ROUND($Z498,1)&gt;Constants!$B$13,ROUND($AA498,1)&gt;Constants!$B$14),Constants!$B$10,Constants!$B$9))))</f>
        <v/>
      </c>
      <c r="AZ498" s="128" t="str">
        <f aca="false">IF($BL498&lt;&gt;Constants!$B$4,"",IF(NOT($AS498),"",ROUND($AU498+$AV498+$AW498+$AX498,1)))</f>
        <v/>
      </c>
      <c r="BA498" s="129" t="str">
        <f aca="false">IF($BL498&lt;&gt;Constants!$B$4,"",IF(NOT($AS498),"",IF(ISNUMBER($AF498),$AF498,0)))</f>
        <v/>
      </c>
      <c r="BB498" s="124" t="str">
        <f aca="false">IF($BL498&lt;&gt;Constants!$B$4,"",IF(NOT($BC498),"&lt;-",IF(NOT($AS498),"-&gt;",IF(OR($BI498&lt;$AY498,AND($BI498=$AY498,OR($BJ498&gt;$AZ498,AND($BJ498=$AZ498,OR($BH498&gt;$AX498,AND($BH498=$AX498,OR($BE498&gt;$AU498,AND($BE498=$AU498,OR($BF498&gt;$AV498,AND($BF498=$AV498,$BK498&gt;$BA498)))))))))),"-&gt;","&lt;-"))))</f>
        <v/>
      </c>
      <c r="BC498" s="123" t="str">
        <f aca="false">IF(ISBLANK($C498),"",COUNTA($P498:$U498)&gt;0)</f>
        <v/>
      </c>
      <c r="BD498" s="123" t="str">
        <f aca="false">IF(ISBLANK($C498),"",AND($BC498,OR(AND($AL498="",OR($AK498,NOT(ISBLANK($S498)))),$AM498="",$AN498="")))</f>
        <v/>
      </c>
      <c r="BE498" s="125" t="str">
        <f aca="false">IF($BL498&lt;&gt;Constants!$B$4,"",IF(NOT($BC498),"",ROUND((Constants!$B$12-$AB498)+(Constants!$B$13-$Z498)+(Constants!$B$14-$AA498),1)))</f>
        <v/>
      </c>
      <c r="BF498" s="127" t="str">
        <f aca="false">IF($BL498&lt;&gt;Constants!$B$4,"",IF(NOT($BC498),"",IF(NOT($AK498),0,Constants!$B$15*(INT(ROUND(MIN($AL498,$AP$9),6))-INT(ROUND(MAX(0,MIN($AL498,2*$AP$9)-$AP$9),6))))))</f>
        <v/>
      </c>
      <c r="BG498" s="127" t="str">
        <f aca="false">IF($BL498&lt;&gt;Constants!$B$4,"",IF(NOT($BC498),"",Constants!$B$16*$AM498))</f>
        <v/>
      </c>
      <c r="BH498" s="127" t="str">
        <f aca="false">IF($BL498&lt;&gt;Constants!$B$4,"",IF(NOT($BC498),"",Constants!$B$18*INT(ROUND($AN498,6))))</f>
        <v/>
      </c>
      <c r="BI498" s="123" t="str">
        <f aca="false">IF($BL498&lt;&gt;Constants!$B$4,"",IF(NOT($BC498),"",IF(NOT($X498),Constants!$B$11,IF(OR(NOT($AI498),NOT($AJ498),ROUND($AB498,1)&gt;Constants!$B$12,ROUND($Z498,1)&gt;Constants!$B$13,ROUND($AA498,1)&gt;Constants!$B$14),Constants!$B$10,Constants!$B$9))))</f>
        <v/>
      </c>
      <c r="BJ498" s="128" t="str">
        <f aca="false">IF($BL498&lt;&gt;Constants!$B$4,"",IF(NOT($BC498),"",ROUND($BE498+$BF498+$BG498+$BH498,1)))</f>
        <v/>
      </c>
      <c r="BK498" s="129" t="str">
        <f aca="false">IF($BL498&lt;&gt;Constants!$B$4,"",IF(NOT($BC498),"",IF(ISNUMBER($AL498),$AL498,0)))</f>
        <v/>
      </c>
      <c r="BL498" s="124" t="str">
        <f aca="false">IF(ISBLANK($C498),"",IF($AO498,Constants!$B$7,IF(COUNTA($E498:$V498)=0,Constants!$B$6,IF(NOT($Y498),Constants!$B$5,IF(NOT(OR($AS498,$BC498)),Constants!$B$5,IF(OR($AT498,$BD498,$AQ498,$AR498&lt;&gt;""),Constants!$B$8,Constants!$B$4))))))</f>
        <v/>
      </c>
      <c r="BM498" s="124" t="str">
        <f aca="false">IF(ISBLANK($C498),"",IF($BL498&lt;&gt;Constants!$B$4,$BL498,IF($BB498="-&gt;",$BI498,$AY498)))</f>
        <v/>
      </c>
      <c r="BN498" s="127" t="str">
        <f aca="false">IF($BL498&lt;&gt;Constants!$B$4,"",IF($BB498="-&gt;",$BJ498,$AZ498))</f>
        <v/>
      </c>
      <c r="BO498" s="127" t="str">
        <f aca="false">IF(ISBLANK($C498),"",IF($BL498&lt;&gt;Constants!$B$4,$BL498,$BN498))</f>
        <v/>
      </c>
      <c r="BP498" s="124" t="str">
        <f aca="false">IF(ISBLANK($C498),"",IF($BL498&lt;&gt;Constants!$B$4,$BL498,RANK($BO498,$BO$9:$BO$508,0)))</f>
        <v/>
      </c>
      <c r="BQ498" s="124" t="str">
        <f aca="false">IF(ISBLANK($C498),"",IF($BL498&lt;&gt;Constants!$B$4,$BL498,COUNTIFS($BM$9:$BM$508,"&lt;"&amp;$BM498)+COUNTIFS($BM$9:$BM$508,$BM498,$BP$9:$BP$508,"&lt;"&amp;$BP498)+1))</f>
        <v/>
      </c>
      <c r="BR498" s="127" t="str">
        <f aca="false">IF($BL498&lt;&gt;Constants!$B$4,"",IF($BB498="-&gt;",$BH498,$AX498))</f>
        <v/>
      </c>
      <c r="BS498" s="124" t="str">
        <f aca="false">IF(ISBLANK($C498),"",IF($BL498&lt;&gt;Constants!$B$4,$BL498,IF(ISNUMBER($BR498),RANK($BR498,$BR$9:$BR$508,0),COUNT($BR$9:$BR$508)+1)))</f>
        <v/>
      </c>
      <c r="BT498" s="127" t="str">
        <f aca="false">IF($BL498&lt;&gt;Constants!$B$4,"",IF($BB498="-&gt;",$BE498,$AU498))</f>
        <v/>
      </c>
      <c r="BU498" s="124" t="str">
        <f aca="false">IF(ISBLANK($C498),"",IF($BL498&lt;&gt;Constants!$B$4,$BL498,IF(ISNUMBER($BT498),RANK($BT498,$BT$9:$BT$508,0),COUNT($BT$9:$BT$508)+1)))</f>
        <v/>
      </c>
      <c r="BV498" s="127" t="str">
        <f aca="false">IF($BL498&lt;&gt;Constants!$B$4,"",IF($BB498="-&gt;",$BF498,$AV498))</f>
        <v/>
      </c>
      <c r="BW498" s="124" t="str">
        <f aca="false">IF(ISBLANK($C498),"",IF($BL498&lt;&gt;Constants!$B$4,$BL498,IF(ISNUMBER($BV498),RANK($BV498,$BV$9:$BV$508,0),COUNT($BV$9:$BV$508)+1)))</f>
        <v/>
      </c>
      <c r="BX498" s="127" t="str">
        <f aca="false">IF($BL498&lt;&gt;Constants!$B$4,"",IF($BB498="-&gt;",$BK498,$BA498))</f>
        <v/>
      </c>
      <c r="BY498" s="124" t="str">
        <f aca="false">IF(ISBLANK($C498),"",IF($BL498&lt;&gt;Constants!$B$4,$BL498,IF(ISNUMBER($BX498),RANK($BX498,$BX$9:$BX$508,0),COUNT($BX$9:$BX$508)+1)))</f>
        <v/>
      </c>
      <c r="BZ498" s="124" t="str">
        <f aca="false">IF(ISBLANK($C498),"",IF($BL498&lt;&gt;Constants!$B$4,$BL498,COUNTIFS($BM$9:$BM$508,"&lt;"&amp;$BM498)+COUNTIFS($BM$9:$BM$508,$BM498,$BP$9:$BP$508,"&lt;"&amp;$BP498)+COUNTIFS($BM$9:$BM$508,$BM498,$BP$9:$BP$508,$BP498,$BS$9:$BS$508,"&lt;"&amp;$BS498)+COUNTIFS($BM$9:$BM$508,$BM498,$BP$9:$BP$508,$BP498,$BS$9:$BS$508,$BS498,$BU$9:$BU$508,"&lt;"&amp;$BU498)+COUNTIFS($BM$9:$BM$508,$BM498,$BP$9:$BP$508,$BP498,$BS$9:$BS$508,$BS498,$BU$9:$BU$508,$BU498,$BW$9:$BW$508,"&lt;"&amp;$BW498)+COUNTIFS($BM$9:$BM$508,$BM498,$BP$9:$BP$508,$BP498,$BS$9:$BS$508,$BS498,$BU$9:$BU$508,$BU498,$BW$9:$BW$508,$BW498,$BY$9:$BY$508,"&lt;"&amp;$BY498)+1))</f>
        <v/>
      </c>
      <c r="CA498" s="124" t="str">
        <f aca="false">IF(ISBLANK($C498),"",IF($BL498&lt;&gt;Constants!$B$4,$BL498,$BQ498-$BZ498))</f>
        <v/>
      </c>
      <c r="CB498" s="130"/>
      <c r="CC498" s="131" t="str">
        <f aca="false">IF(ISBLANK($C498),"",IF($BL498=Constants!$B$8,$AR498,""))</f>
        <v/>
      </c>
      <c r="CD498" s="131" t="str">
        <f aca="false">IF(ISBLANK($C498),"",IF($BL498&lt;&gt;Constants!$B$4,"",IF($BB498="-&gt;",2,1)))</f>
        <v/>
      </c>
      <c r="CE498" s="132" t="str">
        <f aca="false">IF(ISBLANK($C498),"",IF($BL498&lt;&gt;Constants!$B$4,"",IF($BB498="-&gt;",$BE498,$AU498)))</f>
        <v/>
      </c>
      <c r="CF498" s="132" t="str">
        <f aca="false">IF(ISBLANK($C498),"",IF($BL498&lt;&gt;Constants!$B$4,"",IF($BB498="-&gt;",$BF498,$AV498)))</f>
        <v/>
      </c>
      <c r="CG498" s="132" t="str">
        <f aca="false">IF(ISBLANK($C498),"",IF($BL498&lt;&gt;Constants!$B$4,"",IF($BB498="-&gt;",$BG498,$AW498)))</f>
        <v/>
      </c>
      <c r="CH498" s="132" t="str">
        <f aca="false">IF(ISBLANK($C498),"",IF($BL498&lt;&gt;Constants!$B$4,"",IF($BB498="-&gt;",$BH498,$AX498)))</f>
        <v/>
      </c>
      <c r="CI498" s="133" t="str">
        <f aca="false">IF(ISBLANK($C498),"",$BO498)</f>
        <v/>
      </c>
      <c r="CJ498" s="134" t="str">
        <f aca="false">IF(ISBLANK($C498),"",$BM498)</f>
        <v/>
      </c>
      <c r="CK498" s="135" t="str">
        <f aca="false">IF(ISBLANK($C498),"",$CA498)</f>
        <v/>
      </c>
      <c r="CL498" s="135" t="str">
        <f aca="false">IF(ISBLANK($C498),"",$BZ498)</f>
        <v/>
      </c>
      <c r="CM498" s="136" t="str">
        <f aca="false">IF(ISBLANK($C498),"",IF($CL498=Constants!$B$7,COUNTA($C$9:$C$508)+2,IF($CL498=Constants!$B$6,COUNTA($C$9:$C$508)+1,IF($CL498=Constants!$B$5,COUNTA($C$9:$C$508),$CL498))))</f>
        <v/>
      </c>
      <c r="CN498" s="8"/>
      <c r="CO498" s="137" t="n">
        <f aca="false">IF(OR(ISNUMBER($CL498),$CL498=Constants!$B$7,$CL498=Constants!$B$5,$CL498=Constants!$B$6),1,0)</f>
        <v>0</v>
      </c>
      <c r="CP498" s="137" t="n">
        <v>490</v>
      </c>
      <c r="CQ498" s="137" t="str">
        <f aca="false">IF(ISBLANK($C498),"",IF(ISNUMBER($CM498),$CM498+ROW($B498)/1000,""))</f>
        <v/>
      </c>
      <c r="CR498" s="137" t="str">
        <f aca="false">IF(ISNUMBER($CQ498),RANK($CQ498,$CQ$9:$CQ$508,1),"")</f>
        <v/>
      </c>
      <c r="CS498" s="137" t="str">
        <f aca="false">IF(ISBLANK($C498),"",$B498)</f>
        <v/>
      </c>
      <c r="CT498" s="137" t="str">
        <f aca="false">IF(ISBLANK($C498),"",$C498)</f>
        <v/>
      </c>
      <c r="CU498" s="137" t="str">
        <f aca="false">IF(ISBLANK($C498),"",$D498)</f>
        <v/>
      </c>
      <c r="CV498" s="138" t="str">
        <f aca="false">$CJ498</f>
        <v/>
      </c>
      <c r="CW498" s="139" t="str">
        <f aca="false">$CI498</f>
        <v/>
      </c>
      <c r="CX498" s="137" t="str">
        <f aca="false">IF(ISBLANK($C498),"",$CL498)</f>
        <v/>
      </c>
      <c r="CY498" s="140" t="str">
        <f aca="false">IF($CP498&gt;$CO$8,"",VLOOKUP($CP498,$CR$9:$CX$508,7,FALSE()))</f>
        <v/>
      </c>
      <c r="CZ498" s="141" t="str">
        <f aca="false">IF($CP498&gt;$CO$8,"",VLOOKUP($CP498,$CR$9:$CX$508,2,FALSE()))</f>
        <v/>
      </c>
      <c r="DA498" s="141" t="str">
        <f aca="false">IF($CP498&gt;$CO$8,"",VLOOKUP($CP498,$CR$9:$CX$508,3,FALSE()))</f>
        <v/>
      </c>
      <c r="DB498" s="141" t="str">
        <f aca="false">IF($CP498&gt;$CO$8,"",VLOOKUP($CP498,$CR$9:$CX$508,4,FALSE()))</f>
        <v/>
      </c>
      <c r="DC498" s="141" t="str">
        <f aca="false">IF($CP498&gt;$CO$8,"",VLOOKUP($CP498,$CR$9:$CX$508,5,FALSE()))</f>
        <v/>
      </c>
      <c r="DD498" s="142" t="str">
        <f aca="false">IF($CP498&gt;$CO$8,"",VLOOKUP($CP498,$CR$9:$CX$508,6,FALSE()))</f>
        <v/>
      </c>
      <c r="DE498" s="70"/>
    </row>
    <row r="499" customFormat="false" ht="15.75" hidden="false" customHeight="false" outlineLevel="0" collapsed="false">
      <c r="A499" s="8"/>
      <c r="B499" s="146"/>
      <c r="C499" s="147"/>
      <c r="D499" s="148"/>
      <c r="E499" s="164"/>
      <c r="F499" s="150"/>
      <c r="G499" s="115"/>
      <c r="H499" s="115"/>
      <c r="I499" s="115"/>
      <c r="J499" s="165"/>
      <c r="K499" s="154"/>
      <c r="L499" s="154"/>
      <c r="M499" s="118"/>
      <c r="N499" s="154"/>
      <c r="O499" s="153"/>
      <c r="P499" s="154"/>
      <c r="Q499" s="154"/>
      <c r="R499" s="154"/>
      <c r="S499" s="115"/>
      <c r="T499" s="154"/>
      <c r="U499" s="153"/>
      <c r="V499" s="154"/>
      <c r="W499" s="123"/>
      <c r="X499" s="124" t="str">
        <f aca="false">IF(ISBLANK($C499),"",IF($E499=Constants!$B$2,TRUE(),IF($E499=Constants!$B$3,FALSE(),TRUE())))</f>
        <v/>
      </c>
      <c r="Y499" s="124" t="str">
        <f aca="false">IF(ISBLANK($C499),"",IF($F499=Constants!$B$2,TRUE(),IF($F499=Constants!$B$3,FALSE(),TRUE())))</f>
        <v/>
      </c>
      <c r="Z499" s="125" t="str">
        <f aca="false">IF(ISBLANK($C499),"",IF(ISNUMBER($G499),IF($G499&gt;=0,$G499,""),""))</f>
        <v/>
      </c>
      <c r="AA499" s="125" t="str">
        <f aca="false">IF(ISBLANK($C499),"",IF(ISNUMBER($H499),IF($H499&gt;=0,$H499,""),""))</f>
        <v/>
      </c>
      <c r="AB499" s="125" t="str">
        <f aca="false">IF(ISBLANK($C499),"",IF(ISNUMBER($I499),IF($I499&gt;=0,$I499,""),""))</f>
        <v/>
      </c>
      <c r="AC499" s="124" t="str">
        <f aca="false">IF(ISBLANK($C499),"",IF($J499=Constants!$B$2,TRUE(),IF($J499=Constants!$B$3,FALSE(),TRUE())))</f>
        <v/>
      </c>
      <c r="AD499" s="124" t="str">
        <f aca="false">IF(ISBLANK($C499),"",IF($K499=Constants!$B$2,TRUE(),IF($K499=Constants!$B$3,FALSE(),TRUE())))</f>
        <v/>
      </c>
      <c r="AE499" s="124" t="str">
        <f aca="false">IF(ISBLANK($C499),"",IF($L499=Constants!$B$2,TRUE(),IF($L499=Constants!$B$3,FALSE(),TRUE())))</f>
        <v/>
      </c>
      <c r="AF499" s="126" t="str">
        <f aca="false">IF(ISBLANK($C499),"",IF(ISNUMBER($M499),IF($M499&gt;=0,$M499,""),""))</f>
        <v/>
      </c>
      <c r="AG499" s="124" t="str">
        <f aca="false">IF(ISBLANK($C499),"",IF(ISBLANK($N499),0,IF(ISNUMBER($N499),IF(AND($N499&gt;=0,$N499&lt;=Constants!$B$17,$N499=INT($N499)),$N499,""),"")))</f>
        <v/>
      </c>
      <c r="AH499" s="125" t="str">
        <f aca="false">IF(ISBLANK($C499),"",IF(ISBLANK($O499),0,IF(ISNUMBER($O499),IF($O499&gt;=0,$O499,""),"")))</f>
        <v/>
      </c>
      <c r="AI499" s="124" t="str">
        <f aca="false">IF(ISBLANK($C499),"",IF($P499=Constants!$B$2,TRUE(),IF($P499=Constants!$B$3,FALSE(),TRUE())))</f>
        <v/>
      </c>
      <c r="AJ499" s="124" t="str">
        <f aca="false">IF(ISBLANK($C499),"",IF($Q499=Constants!$B$2,TRUE(),IF($Q499=Constants!$B$3,FALSE(),TRUE())))</f>
        <v/>
      </c>
      <c r="AK499" s="124" t="str">
        <f aca="false">IF(ISBLANK($C499),"",IF($R499=Constants!$B$2,TRUE(),IF($R499=Constants!$B$3,FALSE(),TRUE())))</f>
        <v/>
      </c>
      <c r="AL499" s="126" t="str">
        <f aca="false">IF(ISBLANK($C499),"",IF(ISNUMBER($S499),IF($S499&gt;=0,$S499,""),""))</f>
        <v/>
      </c>
      <c r="AM499" s="124" t="str">
        <f aca="false">IF(ISBLANK($C499),"",IF(ISBLANK($T499),0,IF(ISNUMBER($T499),IF(AND($T499&gt;=0,$T499&lt;=Constants!$B$17,$T499=INT($T499)),$T499,""),"")))</f>
        <v/>
      </c>
      <c r="AN499" s="125" t="str">
        <f aca="false">IF(ISBLANK($C499),"",IF(ISBLANK($U499),0,IF(ISNUMBER($U499),IF($U499&gt;=0,$U499,""),"")))</f>
        <v/>
      </c>
      <c r="AO499" s="124" t="str">
        <f aca="false">IF(ISBLANK($C499),"",IF($V499=Constants!$B$2,TRUE(),IF($V499=Constants!$B$3,FALSE(),FALSE())))</f>
        <v/>
      </c>
      <c r="AP499" s="124"/>
      <c r="AQ499" s="123" t="str">
        <f aca="false">IF(ISBLANK($C499),"",AND($Y499,OR($AS499,$BC499),OR($Z499="",$AA499="",$AB499="")))</f>
        <v/>
      </c>
      <c r="AR499" s="123" t="str">
        <f aca="false">IF(ISBLANK($C499),"",IF(OR(NOT($Y499),NOT(OR($AS499,$BC499))),"",IF(ISBLANK($D$7),$AR$5,IF($AP$9="",$AR$6,""))))</f>
        <v/>
      </c>
      <c r="AS499" s="123" t="str">
        <f aca="false">IF(ISBLANK($C499),"",COUNTA($J499:$O499)&gt;0)</f>
        <v/>
      </c>
      <c r="AT499" s="123" t="str">
        <f aca="false">IF(ISBLANK($C499),"",AND($AS499,OR(AND($AF499="",OR($AE499,NOT(ISBLANK($M499)))),$AG499="",$AH499="")))</f>
        <v/>
      </c>
      <c r="AU499" s="125" t="str">
        <f aca="false">IF($BL499&lt;&gt;Constants!$B$4,"",IF(NOT($AS499),"",ROUND((Constants!$B$12-$AB499)+(Constants!$B$13-$Z499)+(Constants!$B$14-$AA499),1)))</f>
        <v/>
      </c>
      <c r="AV499" s="127" t="str">
        <f aca="false">IF($BL499&lt;&gt;Constants!$B$4,"",IF(NOT($AS499),"",IF(NOT($AE499),0,Constants!$B$15*(INT(ROUND(MIN($AF499,$AP$9),6))-INT(ROUND(MAX(0,MIN($AF499,2*$AP$9)-$AP$9),6))))))</f>
        <v/>
      </c>
      <c r="AW499" s="127" t="str">
        <f aca="false">IF($BL499&lt;&gt;Constants!$B$4,"",IF(NOT($AS499),"",Constants!$B$16*$AG499))</f>
        <v/>
      </c>
      <c r="AX499" s="127" t="str">
        <f aca="false">IF($BL499&lt;&gt;Constants!$B$4,"",IF(NOT($AS499),"",Constants!$B$18*INT(ROUND($AH499,6))))</f>
        <v/>
      </c>
      <c r="AY499" s="123" t="str">
        <f aca="false">IF($BL499&lt;&gt;Constants!$B$4,"",IF(NOT($AS499),"",IF(NOT($X499),Constants!$B$11,IF(OR(NOT($AC499),NOT($AD499),ROUND($AB499,1)&gt;Constants!$B$12,ROUND($Z499,1)&gt;Constants!$B$13,ROUND($AA499,1)&gt;Constants!$B$14),Constants!$B$10,Constants!$B$9))))</f>
        <v/>
      </c>
      <c r="AZ499" s="128" t="str">
        <f aca="false">IF($BL499&lt;&gt;Constants!$B$4,"",IF(NOT($AS499),"",ROUND($AU499+$AV499+$AW499+$AX499,1)))</f>
        <v/>
      </c>
      <c r="BA499" s="129" t="str">
        <f aca="false">IF($BL499&lt;&gt;Constants!$B$4,"",IF(NOT($AS499),"",IF(ISNUMBER($AF499),$AF499,0)))</f>
        <v/>
      </c>
      <c r="BB499" s="124" t="str">
        <f aca="false">IF($BL499&lt;&gt;Constants!$B$4,"",IF(NOT($BC499),"&lt;-",IF(NOT($AS499),"-&gt;",IF(OR($BI499&lt;$AY499,AND($BI499=$AY499,OR($BJ499&gt;$AZ499,AND($BJ499=$AZ499,OR($BH499&gt;$AX499,AND($BH499=$AX499,OR($BE499&gt;$AU499,AND($BE499=$AU499,OR($BF499&gt;$AV499,AND($BF499=$AV499,$BK499&gt;$BA499)))))))))),"-&gt;","&lt;-"))))</f>
        <v/>
      </c>
      <c r="BC499" s="123" t="str">
        <f aca="false">IF(ISBLANK($C499),"",COUNTA($P499:$U499)&gt;0)</f>
        <v/>
      </c>
      <c r="BD499" s="123" t="str">
        <f aca="false">IF(ISBLANK($C499),"",AND($BC499,OR(AND($AL499="",OR($AK499,NOT(ISBLANK($S499)))),$AM499="",$AN499="")))</f>
        <v/>
      </c>
      <c r="BE499" s="125" t="str">
        <f aca="false">IF($BL499&lt;&gt;Constants!$B$4,"",IF(NOT($BC499),"",ROUND((Constants!$B$12-$AB499)+(Constants!$B$13-$Z499)+(Constants!$B$14-$AA499),1)))</f>
        <v/>
      </c>
      <c r="BF499" s="127" t="str">
        <f aca="false">IF($BL499&lt;&gt;Constants!$B$4,"",IF(NOT($BC499),"",IF(NOT($AK499),0,Constants!$B$15*(INT(ROUND(MIN($AL499,$AP$9),6))-INT(ROUND(MAX(0,MIN($AL499,2*$AP$9)-$AP$9),6))))))</f>
        <v/>
      </c>
      <c r="BG499" s="127" t="str">
        <f aca="false">IF($BL499&lt;&gt;Constants!$B$4,"",IF(NOT($BC499),"",Constants!$B$16*$AM499))</f>
        <v/>
      </c>
      <c r="BH499" s="127" t="str">
        <f aca="false">IF($BL499&lt;&gt;Constants!$B$4,"",IF(NOT($BC499),"",Constants!$B$18*INT(ROUND($AN499,6))))</f>
        <v/>
      </c>
      <c r="BI499" s="123" t="str">
        <f aca="false">IF($BL499&lt;&gt;Constants!$B$4,"",IF(NOT($BC499),"",IF(NOT($X499),Constants!$B$11,IF(OR(NOT($AI499),NOT($AJ499),ROUND($AB499,1)&gt;Constants!$B$12,ROUND($Z499,1)&gt;Constants!$B$13,ROUND($AA499,1)&gt;Constants!$B$14),Constants!$B$10,Constants!$B$9))))</f>
        <v/>
      </c>
      <c r="BJ499" s="128" t="str">
        <f aca="false">IF($BL499&lt;&gt;Constants!$B$4,"",IF(NOT($BC499),"",ROUND($BE499+$BF499+$BG499+$BH499,1)))</f>
        <v/>
      </c>
      <c r="BK499" s="129" t="str">
        <f aca="false">IF($BL499&lt;&gt;Constants!$B$4,"",IF(NOT($BC499),"",IF(ISNUMBER($AL499),$AL499,0)))</f>
        <v/>
      </c>
      <c r="BL499" s="124" t="str">
        <f aca="false">IF(ISBLANK($C499),"",IF($AO499,Constants!$B$7,IF(COUNTA($E499:$V499)=0,Constants!$B$6,IF(NOT($Y499),Constants!$B$5,IF(NOT(OR($AS499,$BC499)),Constants!$B$5,IF(OR($AT499,$BD499,$AQ499,$AR499&lt;&gt;""),Constants!$B$8,Constants!$B$4))))))</f>
        <v/>
      </c>
      <c r="BM499" s="124" t="str">
        <f aca="false">IF(ISBLANK($C499),"",IF($BL499&lt;&gt;Constants!$B$4,$BL499,IF($BB499="-&gt;",$BI499,$AY499)))</f>
        <v/>
      </c>
      <c r="BN499" s="127" t="str">
        <f aca="false">IF($BL499&lt;&gt;Constants!$B$4,"",IF($BB499="-&gt;",$BJ499,$AZ499))</f>
        <v/>
      </c>
      <c r="BO499" s="127" t="str">
        <f aca="false">IF(ISBLANK($C499),"",IF($BL499&lt;&gt;Constants!$B$4,$BL499,$BN499))</f>
        <v/>
      </c>
      <c r="BP499" s="124" t="str">
        <f aca="false">IF(ISBLANK($C499),"",IF($BL499&lt;&gt;Constants!$B$4,$BL499,RANK($BO499,$BO$9:$BO$508,0)))</f>
        <v/>
      </c>
      <c r="BQ499" s="124" t="str">
        <f aca="false">IF(ISBLANK($C499),"",IF($BL499&lt;&gt;Constants!$B$4,$BL499,COUNTIFS($BM$9:$BM$508,"&lt;"&amp;$BM499)+COUNTIFS($BM$9:$BM$508,$BM499,$BP$9:$BP$508,"&lt;"&amp;$BP499)+1))</f>
        <v/>
      </c>
      <c r="BR499" s="127" t="str">
        <f aca="false">IF($BL499&lt;&gt;Constants!$B$4,"",IF($BB499="-&gt;",$BH499,$AX499))</f>
        <v/>
      </c>
      <c r="BS499" s="124" t="str">
        <f aca="false">IF(ISBLANK($C499),"",IF($BL499&lt;&gt;Constants!$B$4,$BL499,IF(ISNUMBER($BR499),RANK($BR499,$BR$9:$BR$508,0),COUNT($BR$9:$BR$508)+1)))</f>
        <v/>
      </c>
      <c r="BT499" s="127" t="str">
        <f aca="false">IF($BL499&lt;&gt;Constants!$B$4,"",IF($BB499="-&gt;",$BE499,$AU499))</f>
        <v/>
      </c>
      <c r="BU499" s="124" t="str">
        <f aca="false">IF(ISBLANK($C499),"",IF($BL499&lt;&gt;Constants!$B$4,$BL499,IF(ISNUMBER($BT499),RANK($BT499,$BT$9:$BT$508,0),COUNT($BT$9:$BT$508)+1)))</f>
        <v/>
      </c>
      <c r="BV499" s="127" t="str">
        <f aca="false">IF($BL499&lt;&gt;Constants!$B$4,"",IF($BB499="-&gt;",$BF499,$AV499))</f>
        <v/>
      </c>
      <c r="BW499" s="124" t="str">
        <f aca="false">IF(ISBLANK($C499),"",IF($BL499&lt;&gt;Constants!$B$4,$BL499,IF(ISNUMBER($BV499),RANK($BV499,$BV$9:$BV$508,0),COUNT($BV$9:$BV$508)+1)))</f>
        <v/>
      </c>
      <c r="BX499" s="127" t="str">
        <f aca="false">IF($BL499&lt;&gt;Constants!$B$4,"",IF($BB499="-&gt;",$BK499,$BA499))</f>
        <v/>
      </c>
      <c r="BY499" s="124" t="str">
        <f aca="false">IF(ISBLANK($C499),"",IF($BL499&lt;&gt;Constants!$B$4,$BL499,IF(ISNUMBER($BX499),RANK($BX499,$BX$9:$BX$508,0),COUNT($BX$9:$BX$508)+1)))</f>
        <v/>
      </c>
      <c r="BZ499" s="124" t="str">
        <f aca="false">IF(ISBLANK($C499),"",IF($BL499&lt;&gt;Constants!$B$4,$BL499,COUNTIFS($BM$9:$BM$508,"&lt;"&amp;$BM499)+COUNTIFS($BM$9:$BM$508,$BM499,$BP$9:$BP$508,"&lt;"&amp;$BP499)+COUNTIFS($BM$9:$BM$508,$BM499,$BP$9:$BP$508,$BP499,$BS$9:$BS$508,"&lt;"&amp;$BS499)+COUNTIFS($BM$9:$BM$508,$BM499,$BP$9:$BP$508,$BP499,$BS$9:$BS$508,$BS499,$BU$9:$BU$508,"&lt;"&amp;$BU499)+COUNTIFS($BM$9:$BM$508,$BM499,$BP$9:$BP$508,$BP499,$BS$9:$BS$508,$BS499,$BU$9:$BU$508,$BU499,$BW$9:$BW$508,"&lt;"&amp;$BW499)+COUNTIFS($BM$9:$BM$508,$BM499,$BP$9:$BP$508,$BP499,$BS$9:$BS$508,$BS499,$BU$9:$BU$508,$BU499,$BW$9:$BW$508,$BW499,$BY$9:$BY$508,"&lt;"&amp;$BY499)+1))</f>
        <v/>
      </c>
      <c r="CA499" s="124" t="str">
        <f aca="false">IF(ISBLANK($C499),"",IF($BL499&lt;&gt;Constants!$B$4,$BL499,$BQ499-$BZ499))</f>
        <v/>
      </c>
      <c r="CB499" s="130"/>
      <c r="CC499" s="131" t="str">
        <f aca="false">IF(ISBLANK($C499),"",IF($BL499=Constants!$B$8,$AR499,""))</f>
        <v/>
      </c>
      <c r="CD499" s="131" t="str">
        <f aca="false">IF(ISBLANK($C499),"",IF($BL499&lt;&gt;Constants!$B$4,"",IF($BB499="-&gt;",2,1)))</f>
        <v/>
      </c>
      <c r="CE499" s="132" t="str">
        <f aca="false">IF(ISBLANK($C499),"",IF($BL499&lt;&gt;Constants!$B$4,"",IF($BB499="-&gt;",$BE499,$AU499)))</f>
        <v/>
      </c>
      <c r="CF499" s="132" t="str">
        <f aca="false">IF(ISBLANK($C499),"",IF($BL499&lt;&gt;Constants!$B$4,"",IF($BB499="-&gt;",$BF499,$AV499)))</f>
        <v/>
      </c>
      <c r="CG499" s="132" t="str">
        <f aca="false">IF(ISBLANK($C499),"",IF($BL499&lt;&gt;Constants!$B$4,"",IF($BB499="-&gt;",$BG499,$AW499)))</f>
        <v/>
      </c>
      <c r="CH499" s="132" t="str">
        <f aca="false">IF(ISBLANK($C499),"",IF($BL499&lt;&gt;Constants!$B$4,"",IF($BB499="-&gt;",$BH499,$AX499)))</f>
        <v/>
      </c>
      <c r="CI499" s="133" t="str">
        <f aca="false">IF(ISBLANK($C499),"",$BO499)</f>
        <v/>
      </c>
      <c r="CJ499" s="134" t="str">
        <f aca="false">IF(ISBLANK($C499),"",$BM499)</f>
        <v/>
      </c>
      <c r="CK499" s="135" t="str">
        <f aca="false">IF(ISBLANK($C499),"",$CA499)</f>
        <v/>
      </c>
      <c r="CL499" s="135" t="str">
        <f aca="false">IF(ISBLANK($C499),"",$BZ499)</f>
        <v/>
      </c>
      <c r="CM499" s="136" t="str">
        <f aca="false">IF(ISBLANK($C499),"",IF($CL499=Constants!$B$7,COUNTA($C$9:$C$508)+2,IF($CL499=Constants!$B$6,COUNTA($C$9:$C$508)+1,IF($CL499=Constants!$B$5,COUNTA($C$9:$C$508),$CL499))))</f>
        <v/>
      </c>
      <c r="CN499" s="8"/>
      <c r="CO499" s="137" t="n">
        <f aca="false">IF(OR(ISNUMBER($CL499),$CL499=Constants!$B$7,$CL499=Constants!$B$5,$CL499=Constants!$B$6),1,0)</f>
        <v>0</v>
      </c>
      <c r="CP499" s="137" t="n">
        <v>491</v>
      </c>
      <c r="CQ499" s="137" t="str">
        <f aca="false">IF(ISBLANK($C499),"",IF(ISNUMBER($CM499),$CM499+ROW($B499)/1000,""))</f>
        <v/>
      </c>
      <c r="CR499" s="137" t="str">
        <f aca="false">IF(ISNUMBER($CQ499),RANK($CQ499,$CQ$9:$CQ$508,1),"")</f>
        <v/>
      </c>
      <c r="CS499" s="137" t="str">
        <f aca="false">IF(ISBLANK($C499),"",$B499)</f>
        <v/>
      </c>
      <c r="CT499" s="137" t="str">
        <f aca="false">IF(ISBLANK($C499),"",$C499)</f>
        <v/>
      </c>
      <c r="CU499" s="137" t="str">
        <f aca="false">IF(ISBLANK($C499),"",$D499)</f>
        <v/>
      </c>
      <c r="CV499" s="138" t="str">
        <f aca="false">$CJ499</f>
        <v/>
      </c>
      <c r="CW499" s="139" t="str">
        <f aca="false">$CI499</f>
        <v/>
      </c>
      <c r="CX499" s="137" t="str">
        <f aca="false">IF(ISBLANK($C499),"",$CL499)</f>
        <v/>
      </c>
      <c r="CY499" s="140" t="str">
        <f aca="false">IF($CP499&gt;$CO$8,"",VLOOKUP($CP499,$CR$9:$CX$508,7,FALSE()))</f>
        <v/>
      </c>
      <c r="CZ499" s="141" t="str">
        <f aca="false">IF($CP499&gt;$CO$8,"",VLOOKUP($CP499,$CR$9:$CX$508,2,FALSE()))</f>
        <v/>
      </c>
      <c r="DA499" s="141" t="str">
        <f aca="false">IF($CP499&gt;$CO$8,"",VLOOKUP($CP499,$CR$9:$CX$508,3,FALSE()))</f>
        <v/>
      </c>
      <c r="DB499" s="141" t="str">
        <f aca="false">IF($CP499&gt;$CO$8,"",VLOOKUP($CP499,$CR$9:$CX$508,4,FALSE()))</f>
        <v/>
      </c>
      <c r="DC499" s="141" t="str">
        <f aca="false">IF($CP499&gt;$CO$8,"",VLOOKUP($CP499,$CR$9:$CX$508,5,FALSE()))</f>
        <v/>
      </c>
      <c r="DD499" s="142" t="str">
        <f aca="false">IF($CP499&gt;$CO$8,"",VLOOKUP($CP499,$CR$9:$CX$508,6,FALSE()))</f>
        <v/>
      </c>
      <c r="DE499" s="70"/>
    </row>
    <row r="500" customFormat="false" ht="15.75" hidden="false" customHeight="false" outlineLevel="0" collapsed="false">
      <c r="A500" s="8"/>
      <c r="B500" s="146"/>
      <c r="C500" s="147"/>
      <c r="D500" s="148"/>
      <c r="E500" s="164"/>
      <c r="F500" s="150"/>
      <c r="G500" s="115"/>
      <c r="H500" s="115"/>
      <c r="I500" s="115"/>
      <c r="J500" s="165"/>
      <c r="K500" s="154"/>
      <c r="L500" s="154"/>
      <c r="M500" s="118"/>
      <c r="N500" s="154"/>
      <c r="O500" s="153"/>
      <c r="P500" s="154"/>
      <c r="Q500" s="154"/>
      <c r="R500" s="154"/>
      <c r="S500" s="115"/>
      <c r="T500" s="154"/>
      <c r="U500" s="153"/>
      <c r="V500" s="154"/>
      <c r="W500" s="123"/>
      <c r="X500" s="124" t="str">
        <f aca="false">IF(ISBLANK($C500),"",IF($E500=Constants!$B$2,TRUE(),IF($E500=Constants!$B$3,FALSE(),TRUE())))</f>
        <v/>
      </c>
      <c r="Y500" s="124" t="str">
        <f aca="false">IF(ISBLANK($C500),"",IF($F500=Constants!$B$2,TRUE(),IF($F500=Constants!$B$3,FALSE(),TRUE())))</f>
        <v/>
      </c>
      <c r="Z500" s="125" t="str">
        <f aca="false">IF(ISBLANK($C500),"",IF(ISNUMBER($G500),IF($G500&gt;=0,$G500,""),""))</f>
        <v/>
      </c>
      <c r="AA500" s="125" t="str">
        <f aca="false">IF(ISBLANK($C500),"",IF(ISNUMBER($H500),IF($H500&gt;=0,$H500,""),""))</f>
        <v/>
      </c>
      <c r="AB500" s="125" t="str">
        <f aca="false">IF(ISBLANK($C500),"",IF(ISNUMBER($I500),IF($I500&gt;=0,$I500,""),""))</f>
        <v/>
      </c>
      <c r="AC500" s="124" t="str">
        <f aca="false">IF(ISBLANK($C500),"",IF($J500=Constants!$B$2,TRUE(),IF($J500=Constants!$B$3,FALSE(),TRUE())))</f>
        <v/>
      </c>
      <c r="AD500" s="124" t="str">
        <f aca="false">IF(ISBLANK($C500),"",IF($K500=Constants!$B$2,TRUE(),IF($K500=Constants!$B$3,FALSE(),TRUE())))</f>
        <v/>
      </c>
      <c r="AE500" s="124" t="str">
        <f aca="false">IF(ISBLANK($C500),"",IF($L500=Constants!$B$2,TRUE(),IF($L500=Constants!$B$3,FALSE(),TRUE())))</f>
        <v/>
      </c>
      <c r="AF500" s="126" t="str">
        <f aca="false">IF(ISBLANK($C500),"",IF(ISNUMBER($M500),IF($M500&gt;=0,$M500,""),""))</f>
        <v/>
      </c>
      <c r="AG500" s="124" t="str">
        <f aca="false">IF(ISBLANK($C500),"",IF(ISBLANK($N500),0,IF(ISNUMBER($N500),IF(AND($N500&gt;=0,$N500&lt;=Constants!$B$17,$N500=INT($N500)),$N500,""),"")))</f>
        <v/>
      </c>
      <c r="AH500" s="125" t="str">
        <f aca="false">IF(ISBLANK($C500),"",IF(ISBLANK($O500),0,IF(ISNUMBER($O500),IF($O500&gt;=0,$O500,""),"")))</f>
        <v/>
      </c>
      <c r="AI500" s="124" t="str">
        <f aca="false">IF(ISBLANK($C500),"",IF($P500=Constants!$B$2,TRUE(),IF($P500=Constants!$B$3,FALSE(),TRUE())))</f>
        <v/>
      </c>
      <c r="AJ500" s="124" t="str">
        <f aca="false">IF(ISBLANK($C500),"",IF($Q500=Constants!$B$2,TRUE(),IF($Q500=Constants!$B$3,FALSE(),TRUE())))</f>
        <v/>
      </c>
      <c r="AK500" s="124" t="str">
        <f aca="false">IF(ISBLANK($C500),"",IF($R500=Constants!$B$2,TRUE(),IF($R500=Constants!$B$3,FALSE(),TRUE())))</f>
        <v/>
      </c>
      <c r="AL500" s="126" t="str">
        <f aca="false">IF(ISBLANK($C500),"",IF(ISNUMBER($S500),IF($S500&gt;=0,$S500,""),""))</f>
        <v/>
      </c>
      <c r="AM500" s="124" t="str">
        <f aca="false">IF(ISBLANK($C500),"",IF(ISBLANK($T500),0,IF(ISNUMBER($T500),IF(AND($T500&gt;=0,$T500&lt;=Constants!$B$17,$T500=INT($T500)),$T500,""),"")))</f>
        <v/>
      </c>
      <c r="AN500" s="125" t="str">
        <f aca="false">IF(ISBLANK($C500),"",IF(ISBLANK($U500),0,IF(ISNUMBER($U500),IF($U500&gt;=0,$U500,""),"")))</f>
        <v/>
      </c>
      <c r="AO500" s="124" t="str">
        <f aca="false">IF(ISBLANK($C500),"",IF($V500=Constants!$B$2,TRUE(),IF($V500=Constants!$B$3,FALSE(),FALSE())))</f>
        <v/>
      </c>
      <c r="AP500" s="124"/>
      <c r="AQ500" s="123" t="str">
        <f aca="false">IF(ISBLANK($C500),"",AND($Y500,OR($AS500,$BC500),OR($Z500="",$AA500="",$AB500="")))</f>
        <v/>
      </c>
      <c r="AR500" s="123" t="str">
        <f aca="false">IF(ISBLANK($C500),"",IF(OR(NOT($Y500),NOT(OR($AS500,$BC500))),"",IF(ISBLANK($D$7),$AR$5,IF($AP$9="",$AR$6,""))))</f>
        <v/>
      </c>
      <c r="AS500" s="123" t="str">
        <f aca="false">IF(ISBLANK($C500),"",COUNTA($J500:$O500)&gt;0)</f>
        <v/>
      </c>
      <c r="AT500" s="123" t="str">
        <f aca="false">IF(ISBLANK($C500),"",AND($AS500,OR(AND($AF500="",OR($AE500,NOT(ISBLANK($M500)))),$AG500="",$AH500="")))</f>
        <v/>
      </c>
      <c r="AU500" s="125" t="str">
        <f aca="false">IF($BL500&lt;&gt;Constants!$B$4,"",IF(NOT($AS500),"",ROUND((Constants!$B$12-$AB500)+(Constants!$B$13-$Z500)+(Constants!$B$14-$AA500),1)))</f>
        <v/>
      </c>
      <c r="AV500" s="127" t="str">
        <f aca="false">IF($BL500&lt;&gt;Constants!$B$4,"",IF(NOT($AS500),"",IF(NOT($AE500),0,Constants!$B$15*(INT(ROUND(MIN($AF500,$AP$9),6))-INT(ROUND(MAX(0,MIN($AF500,2*$AP$9)-$AP$9),6))))))</f>
        <v/>
      </c>
      <c r="AW500" s="127" t="str">
        <f aca="false">IF($BL500&lt;&gt;Constants!$B$4,"",IF(NOT($AS500),"",Constants!$B$16*$AG500))</f>
        <v/>
      </c>
      <c r="AX500" s="127" t="str">
        <f aca="false">IF($BL500&lt;&gt;Constants!$B$4,"",IF(NOT($AS500),"",Constants!$B$18*INT(ROUND($AH500,6))))</f>
        <v/>
      </c>
      <c r="AY500" s="123" t="str">
        <f aca="false">IF($BL500&lt;&gt;Constants!$B$4,"",IF(NOT($AS500),"",IF(NOT($X500),Constants!$B$11,IF(OR(NOT($AC500),NOT($AD500),ROUND($AB500,1)&gt;Constants!$B$12,ROUND($Z500,1)&gt;Constants!$B$13,ROUND($AA500,1)&gt;Constants!$B$14),Constants!$B$10,Constants!$B$9))))</f>
        <v/>
      </c>
      <c r="AZ500" s="128" t="str">
        <f aca="false">IF($BL500&lt;&gt;Constants!$B$4,"",IF(NOT($AS500),"",ROUND($AU500+$AV500+$AW500+$AX500,1)))</f>
        <v/>
      </c>
      <c r="BA500" s="129" t="str">
        <f aca="false">IF($BL500&lt;&gt;Constants!$B$4,"",IF(NOT($AS500),"",IF(ISNUMBER($AF500),$AF500,0)))</f>
        <v/>
      </c>
      <c r="BB500" s="124" t="str">
        <f aca="false">IF($BL500&lt;&gt;Constants!$B$4,"",IF(NOT($BC500),"&lt;-",IF(NOT($AS500),"-&gt;",IF(OR($BI500&lt;$AY500,AND($BI500=$AY500,OR($BJ500&gt;$AZ500,AND($BJ500=$AZ500,OR($BH500&gt;$AX500,AND($BH500=$AX500,OR($BE500&gt;$AU500,AND($BE500=$AU500,OR($BF500&gt;$AV500,AND($BF500=$AV500,$BK500&gt;$BA500)))))))))),"-&gt;","&lt;-"))))</f>
        <v/>
      </c>
      <c r="BC500" s="123" t="str">
        <f aca="false">IF(ISBLANK($C500),"",COUNTA($P500:$U500)&gt;0)</f>
        <v/>
      </c>
      <c r="BD500" s="123" t="str">
        <f aca="false">IF(ISBLANK($C500),"",AND($BC500,OR(AND($AL500="",OR($AK500,NOT(ISBLANK($S500)))),$AM500="",$AN500="")))</f>
        <v/>
      </c>
      <c r="BE500" s="125" t="str">
        <f aca="false">IF($BL500&lt;&gt;Constants!$B$4,"",IF(NOT($BC500),"",ROUND((Constants!$B$12-$AB500)+(Constants!$B$13-$Z500)+(Constants!$B$14-$AA500),1)))</f>
        <v/>
      </c>
      <c r="BF500" s="127" t="str">
        <f aca="false">IF($BL500&lt;&gt;Constants!$B$4,"",IF(NOT($BC500),"",IF(NOT($AK500),0,Constants!$B$15*(INT(ROUND(MIN($AL500,$AP$9),6))-INT(ROUND(MAX(0,MIN($AL500,2*$AP$9)-$AP$9),6))))))</f>
        <v/>
      </c>
      <c r="BG500" s="127" t="str">
        <f aca="false">IF($BL500&lt;&gt;Constants!$B$4,"",IF(NOT($BC500),"",Constants!$B$16*$AM500))</f>
        <v/>
      </c>
      <c r="BH500" s="127" t="str">
        <f aca="false">IF($BL500&lt;&gt;Constants!$B$4,"",IF(NOT($BC500),"",Constants!$B$18*INT(ROUND($AN500,6))))</f>
        <v/>
      </c>
      <c r="BI500" s="123" t="str">
        <f aca="false">IF($BL500&lt;&gt;Constants!$B$4,"",IF(NOT($BC500),"",IF(NOT($X500),Constants!$B$11,IF(OR(NOT($AI500),NOT($AJ500),ROUND($AB500,1)&gt;Constants!$B$12,ROUND($Z500,1)&gt;Constants!$B$13,ROUND($AA500,1)&gt;Constants!$B$14),Constants!$B$10,Constants!$B$9))))</f>
        <v/>
      </c>
      <c r="BJ500" s="128" t="str">
        <f aca="false">IF($BL500&lt;&gt;Constants!$B$4,"",IF(NOT($BC500),"",ROUND($BE500+$BF500+$BG500+$BH500,1)))</f>
        <v/>
      </c>
      <c r="BK500" s="129" t="str">
        <f aca="false">IF($BL500&lt;&gt;Constants!$B$4,"",IF(NOT($BC500),"",IF(ISNUMBER($AL500),$AL500,0)))</f>
        <v/>
      </c>
      <c r="BL500" s="124" t="str">
        <f aca="false">IF(ISBLANK($C500),"",IF($AO500,Constants!$B$7,IF(COUNTA($E500:$V500)=0,Constants!$B$6,IF(NOT($Y500),Constants!$B$5,IF(NOT(OR($AS500,$BC500)),Constants!$B$5,IF(OR($AT500,$BD500,$AQ500,$AR500&lt;&gt;""),Constants!$B$8,Constants!$B$4))))))</f>
        <v/>
      </c>
      <c r="BM500" s="124" t="str">
        <f aca="false">IF(ISBLANK($C500),"",IF($BL500&lt;&gt;Constants!$B$4,$BL500,IF($BB500="-&gt;",$BI500,$AY500)))</f>
        <v/>
      </c>
      <c r="BN500" s="127" t="str">
        <f aca="false">IF($BL500&lt;&gt;Constants!$B$4,"",IF($BB500="-&gt;",$BJ500,$AZ500))</f>
        <v/>
      </c>
      <c r="BO500" s="127" t="str">
        <f aca="false">IF(ISBLANK($C500),"",IF($BL500&lt;&gt;Constants!$B$4,$BL500,$BN500))</f>
        <v/>
      </c>
      <c r="BP500" s="124" t="str">
        <f aca="false">IF(ISBLANK($C500),"",IF($BL500&lt;&gt;Constants!$B$4,$BL500,RANK($BO500,$BO$9:$BO$508,0)))</f>
        <v/>
      </c>
      <c r="BQ500" s="124" t="str">
        <f aca="false">IF(ISBLANK($C500),"",IF($BL500&lt;&gt;Constants!$B$4,$BL500,COUNTIFS($BM$9:$BM$508,"&lt;"&amp;$BM500)+COUNTIFS($BM$9:$BM$508,$BM500,$BP$9:$BP$508,"&lt;"&amp;$BP500)+1))</f>
        <v/>
      </c>
      <c r="BR500" s="127" t="str">
        <f aca="false">IF($BL500&lt;&gt;Constants!$B$4,"",IF($BB500="-&gt;",$BH500,$AX500))</f>
        <v/>
      </c>
      <c r="BS500" s="124" t="str">
        <f aca="false">IF(ISBLANK($C500),"",IF($BL500&lt;&gt;Constants!$B$4,$BL500,IF(ISNUMBER($BR500),RANK($BR500,$BR$9:$BR$508,0),COUNT($BR$9:$BR$508)+1)))</f>
        <v/>
      </c>
      <c r="BT500" s="127" t="str">
        <f aca="false">IF($BL500&lt;&gt;Constants!$B$4,"",IF($BB500="-&gt;",$BE500,$AU500))</f>
        <v/>
      </c>
      <c r="BU500" s="124" t="str">
        <f aca="false">IF(ISBLANK($C500),"",IF($BL500&lt;&gt;Constants!$B$4,$BL500,IF(ISNUMBER($BT500),RANK($BT500,$BT$9:$BT$508,0),COUNT($BT$9:$BT$508)+1)))</f>
        <v/>
      </c>
      <c r="BV500" s="127" t="str">
        <f aca="false">IF($BL500&lt;&gt;Constants!$B$4,"",IF($BB500="-&gt;",$BF500,$AV500))</f>
        <v/>
      </c>
      <c r="BW500" s="124" t="str">
        <f aca="false">IF(ISBLANK($C500),"",IF($BL500&lt;&gt;Constants!$B$4,$BL500,IF(ISNUMBER($BV500),RANK($BV500,$BV$9:$BV$508,0),COUNT($BV$9:$BV$508)+1)))</f>
        <v/>
      </c>
      <c r="BX500" s="127" t="str">
        <f aca="false">IF($BL500&lt;&gt;Constants!$B$4,"",IF($BB500="-&gt;",$BK500,$BA500))</f>
        <v/>
      </c>
      <c r="BY500" s="124" t="str">
        <f aca="false">IF(ISBLANK($C500),"",IF($BL500&lt;&gt;Constants!$B$4,$BL500,IF(ISNUMBER($BX500),RANK($BX500,$BX$9:$BX$508,0),COUNT($BX$9:$BX$508)+1)))</f>
        <v/>
      </c>
      <c r="BZ500" s="124" t="str">
        <f aca="false">IF(ISBLANK($C500),"",IF($BL500&lt;&gt;Constants!$B$4,$BL500,COUNTIFS($BM$9:$BM$508,"&lt;"&amp;$BM500)+COUNTIFS($BM$9:$BM$508,$BM500,$BP$9:$BP$508,"&lt;"&amp;$BP500)+COUNTIFS($BM$9:$BM$508,$BM500,$BP$9:$BP$508,$BP500,$BS$9:$BS$508,"&lt;"&amp;$BS500)+COUNTIFS($BM$9:$BM$508,$BM500,$BP$9:$BP$508,$BP500,$BS$9:$BS$508,$BS500,$BU$9:$BU$508,"&lt;"&amp;$BU500)+COUNTIFS($BM$9:$BM$508,$BM500,$BP$9:$BP$508,$BP500,$BS$9:$BS$508,$BS500,$BU$9:$BU$508,$BU500,$BW$9:$BW$508,"&lt;"&amp;$BW500)+COUNTIFS($BM$9:$BM$508,$BM500,$BP$9:$BP$508,$BP500,$BS$9:$BS$508,$BS500,$BU$9:$BU$508,$BU500,$BW$9:$BW$508,$BW500,$BY$9:$BY$508,"&lt;"&amp;$BY500)+1))</f>
        <v/>
      </c>
      <c r="CA500" s="124" t="str">
        <f aca="false">IF(ISBLANK($C500),"",IF($BL500&lt;&gt;Constants!$B$4,$BL500,$BQ500-$BZ500))</f>
        <v/>
      </c>
      <c r="CB500" s="130"/>
      <c r="CC500" s="131" t="str">
        <f aca="false">IF(ISBLANK($C500),"",IF($BL500=Constants!$B$8,$AR500,""))</f>
        <v/>
      </c>
      <c r="CD500" s="131" t="str">
        <f aca="false">IF(ISBLANK($C500),"",IF($BL500&lt;&gt;Constants!$B$4,"",IF($BB500="-&gt;",2,1)))</f>
        <v/>
      </c>
      <c r="CE500" s="132" t="str">
        <f aca="false">IF(ISBLANK($C500),"",IF($BL500&lt;&gt;Constants!$B$4,"",IF($BB500="-&gt;",$BE500,$AU500)))</f>
        <v/>
      </c>
      <c r="CF500" s="132" t="str">
        <f aca="false">IF(ISBLANK($C500),"",IF($BL500&lt;&gt;Constants!$B$4,"",IF($BB500="-&gt;",$BF500,$AV500)))</f>
        <v/>
      </c>
      <c r="CG500" s="132" t="str">
        <f aca="false">IF(ISBLANK($C500),"",IF($BL500&lt;&gt;Constants!$B$4,"",IF($BB500="-&gt;",$BG500,$AW500)))</f>
        <v/>
      </c>
      <c r="CH500" s="132" t="str">
        <f aca="false">IF(ISBLANK($C500),"",IF($BL500&lt;&gt;Constants!$B$4,"",IF($BB500="-&gt;",$BH500,$AX500)))</f>
        <v/>
      </c>
      <c r="CI500" s="133" t="str">
        <f aca="false">IF(ISBLANK($C500),"",$BO500)</f>
        <v/>
      </c>
      <c r="CJ500" s="134" t="str">
        <f aca="false">IF(ISBLANK($C500),"",$BM500)</f>
        <v/>
      </c>
      <c r="CK500" s="135" t="str">
        <f aca="false">IF(ISBLANK($C500),"",$CA500)</f>
        <v/>
      </c>
      <c r="CL500" s="135" t="str">
        <f aca="false">IF(ISBLANK($C500),"",$BZ500)</f>
        <v/>
      </c>
      <c r="CM500" s="136" t="str">
        <f aca="false">IF(ISBLANK($C500),"",IF($CL500=Constants!$B$7,COUNTA($C$9:$C$508)+2,IF($CL500=Constants!$B$6,COUNTA($C$9:$C$508)+1,IF($CL500=Constants!$B$5,COUNTA($C$9:$C$508),$CL500))))</f>
        <v/>
      </c>
      <c r="CN500" s="8"/>
      <c r="CO500" s="137" t="n">
        <f aca="false">IF(OR(ISNUMBER($CL500),$CL500=Constants!$B$7,$CL500=Constants!$B$5,$CL500=Constants!$B$6),1,0)</f>
        <v>0</v>
      </c>
      <c r="CP500" s="137" t="n">
        <v>492</v>
      </c>
      <c r="CQ500" s="137" t="str">
        <f aca="false">IF(ISBLANK($C500),"",IF(ISNUMBER($CM500),$CM500+ROW($B500)/1000,""))</f>
        <v/>
      </c>
      <c r="CR500" s="137" t="str">
        <f aca="false">IF(ISNUMBER($CQ500),RANK($CQ500,$CQ$9:$CQ$508,1),"")</f>
        <v/>
      </c>
      <c r="CS500" s="137" t="str">
        <f aca="false">IF(ISBLANK($C500),"",$B500)</f>
        <v/>
      </c>
      <c r="CT500" s="137" t="str">
        <f aca="false">IF(ISBLANK($C500),"",$C500)</f>
        <v/>
      </c>
      <c r="CU500" s="137" t="str">
        <f aca="false">IF(ISBLANK($C500),"",$D500)</f>
        <v/>
      </c>
      <c r="CV500" s="138" t="str">
        <f aca="false">$CJ500</f>
        <v/>
      </c>
      <c r="CW500" s="139" t="str">
        <f aca="false">$CI500</f>
        <v/>
      </c>
      <c r="CX500" s="137" t="str">
        <f aca="false">IF(ISBLANK($C500),"",$CL500)</f>
        <v/>
      </c>
      <c r="CY500" s="140" t="str">
        <f aca="false">IF($CP500&gt;$CO$8,"",VLOOKUP($CP500,$CR$9:$CX$508,7,FALSE()))</f>
        <v/>
      </c>
      <c r="CZ500" s="141" t="str">
        <f aca="false">IF($CP500&gt;$CO$8,"",VLOOKUP($CP500,$CR$9:$CX$508,2,FALSE()))</f>
        <v/>
      </c>
      <c r="DA500" s="141" t="str">
        <f aca="false">IF($CP500&gt;$CO$8,"",VLOOKUP($CP500,$CR$9:$CX$508,3,FALSE()))</f>
        <v/>
      </c>
      <c r="DB500" s="141" t="str">
        <f aca="false">IF($CP500&gt;$CO$8,"",VLOOKUP($CP500,$CR$9:$CX$508,4,FALSE()))</f>
        <v/>
      </c>
      <c r="DC500" s="141" t="str">
        <f aca="false">IF($CP500&gt;$CO$8,"",VLOOKUP($CP500,$CR$9:$CX$508,5,FALSE()))</f>
        <v/>
      </c>
      <c r="DD500" s="142" t="str">
        <f aca="false">IF($CP500&gt;$CO$8,"",VLOOKUP($CP500,$CR$9:$CX$508,6,FALSE()))</f>
        <v/>
      </c>
      <c r="DE500" s="70"/>
    </row>
    <row r="501" customFormat="false" ht="15.75" hidden="false" customHeight="false" outlineLevel="0" collapsed="false">
      <c r="A501" s="8"/>
      <c r="B501" s="72"/>
      <c r="C501" s="73"/>
      <c r="D501" s="155"/>
      <c r="E501" s="162"/>
      <c r="F501" s="157"/>
      <c r="G501" s="77"/>
      <c r="H501" s="77"/>
      <c r="I501" s="77"/>
      <c r="J501" s="163"/>
      <c r="K501" s="161"/>
      <c r="L501" s="161"/>
      <c r="M501" s="80"/>
      <c r="N501" s="161"/>
      <c r="O501" s="160"/>
      <c r="P501" s="161"/>
      <c r="Q501" s="161"/>
      <c r="R501" s="161"/>
      <c r="S501" s="77"/>
      <c r="T501" s="161"/>
      <c r="U501" s="160"/>
      <c r="V501" s="161"/>
      <c r="W501" s="85"/>
      <c r="X501" s="86" t="str">
        <f aca="false">IF(ISBLANK($C501),"",IF($E501=Constants!$B$2,TRUE(),IF($E501=Constants!$B$3,FALSE(),TRUE())))</f>
        <v/>
      </c>
      <c r="Y501" s="86" t="str">
        <f aca="false">IF(ISBLANK($C501),"",IF($F501=Constants!$B$2,TRUE(),IF($F501=Constants!$B$3,FALSE(),TRUE())))</f>
        <v/>
      </c>
      <c r="Z501" s="87" t="str">
        <f aca="false">IF(ISBLANK($C501),"",IF(ISNUMBER($G501),IF($G501&gt;=0,$G501,""),""))</f>
        <v/>
      </c>
      <c r="AA501" s="87" t="str">
        <f aca="false">IF(ISBLANK($C501),"",IF(ISNUMBER($H501),IF($H501&gt;=0,$H501,""),""))</f>
        <v/>
      </c>
      <c r="AB501" s="87" t="str">
        <f aca="false">IF(ISBLANK($C501),"",IF(ISNUMBER($I501),IF($I501&gt;=0,$I501,""),""))</f>
        <v/>
      </c>
      <c r="AC501" s="86" t="str">
        <f aca="false">IF(ISBLANK($C501),"",IF($J501=Constants!$B$2,TRUE(),IF($J501=Constants!$B$3,FALSE(),TRUE())))</f>
        <v/>
      </c>
      <c r="AD501" s="86" t="str">
        <f aca="false">IF(ISBLANK($C501),"",IF($K501=Constants!$B$2,TRUE(),IF($K501=Constants!$B$3,FALSE(),TRUE())))</f>
        <v/>
      </c>
      <c r="AE501" s="86" t="str">
        <f aca="false">IF(ISBLANK($C501),"",IF($L501=Constants!$B$2,TRUE(),IF($L501=Constants!$B$3,FALSE(),TRUE())))</f>
        <v/>
      </c>
      <c r="AF501" s="88" t="str">
        <f aca="false">IF(ISBLANK($C501),"",IF(ISNUMBER($M501),IF($M501&gt;=0,$M501,""),""))</f>
        <v/>
      </c>
      <c r="AG501" s="86" t="str">
        <f aca="false">IF(ISBLANK($C501),"",IF(ISBLANK($N501),0,IF(ISNUMBER($N501),IF(AND($N501&gt;=0,$N501&lt;=Constants!$B$17,$N501=INT($N501)),$N501,""),"")))</f>
        <v/>
      </c>
      <c r="AH501" s="87" t="str">
        <f aca="false">IF(ISBLANK($C501),"",IF(ISBLANK($O501),0,IF(ISNUMBER($O501),IF($O501&gt;=0,$O501,""),"")))</f>
        <v/>
      </c>
      <c r="AI501" s="86" t="str">
        <f aca="false">IF(ISBLANK($C501),"",IF($P501=Constants!$B$2,TRUE(),IF($P501=Constants!$B$3,FALSE(),TRUE())))</f>
        <v/>
      </c>
      <c r="AJ501" s="86" t="str">
        <f aca="false">IF(ISBLANK($C501),"",IF($Q501=Constants!$B$2,TRUE(),IF($Q501=Constants!$B$3,FALSE(),TRUE())))</f>
        <v/>
      </c>
      <c r="AK501" s="86" t="str">
        <f aca="false">IF(ISBLANK($C501),"",IF($R501=Constants!$B$2,TRUE(),IF($R501=Constants!$B$3,FALSE(),TRUE())))</f>
        <v/>
      </c>
      <c r="AL501" s="88" t="str">
        <f aca="false">IF(ISBLANK($C501),"",IF(ISNUMBER($S501),IF($S501&gt;=0,$S501,""),""))</f>
        <v/>
      </c>
      <c r="AM501" s="86" t="str">
        <f aca="false">IF(ISBLANK($C501),"",IF(ISBLANK($T501),0,IF(ISNUMBER($T501),IF(AND($T501&gt;=0,$T501&lt;=Constants!$B$17,$T501=INT($T501)),$T501,""),"")))</f>
        <v/>
      </c>
      <c r="AN501" s="87" t="str">
        <f aca="false">IF(ISBLANK($C501),"",IF(ISBLANK($U501),0,IF(ISNUMBER($U501),IF($U501&gt;=0,$U501,""),"")))</f>
        <v/>
      </c>
      <c r="AO501" s="86" t="str">
        <f aca="false">IF(ISBLANK($C501),"",IF($V501=Constants!$B$2,TRUE(),IF($V501=Constants!$B$3,FALSE(),FALSE())))</f>
        <v/>
      </c>
      <c r="AP501" s="86"/>
      <c r="AQ501" s="85" t="str">
        <f aca="false">IF(ISBLANK($C501),"",AND($Y501,OR($AS501,$BC501),OR($Z501="",$AA501="",$AB501="")))</f>
        <v/>
      </c>
      <c r="AR501" s="85" t="str">
        <f aca="false">IF(ISBLANK($C501),"",IF(OR(NOT($Y501),NOT(OR($AS501,$BC501))),"",IF(ISBLANK($D$7),$AR$5,IF($AP$9="",$AR$6,""))))</f>
        <v/>
      </c>
      <c r="AS501" s="85" t="str">
        <f aca="false">IF(ISBLANK($C501),"",COUNTA($J501:$O501)&gt;0)</f>
        <v/>
      </c>
      <c r="AT501" s="85" t="str">
        <f aca="false">IF(ISBLANK($C501),"",AND($AS501,OR(AND($AF501="",OR($AE501,NOT(ISBLANK($M501)))),$AG501="",$AH501="")))</f>
        <v/>
      </c>
      <c r="AU501" s="87" t="str">
        <f aca="false">IF($BL501&lt;&gt;Constants!$B$4,"",IF(NOT($AS501),"",ROUND((Constants!$B$12-$AB501)+(Constants!$B$13-$Z501)+(Constants!$B$14-$AA501),1)))</f>
        <v/>
      </c>
      <c r="AV501" s="90" t="str">
        <f aca="false">IF($BL501&lt;&gt;Constants!$B$4,"",IF(NOT($AS501),"",IF(NOT($AE501),0,Constants!$B$15*(INT(ROUND(MIN($AF501,$AP$9),6))-INT(ROUND(MAX(0,MIN($AF501,2*$AP$9)-$AP$9),6))))))</f>
        <v/>
      </c>
      <c r="AW501" s="90" t="str">
        <f aca="false">IF($BL501&lt;&gt;Constants!$B$4,"",IF(NOT($AS501),"",Constants!$B$16*$AG501))</f>
        <v/>
      </c>
      <c r="AX501" s="90" t="str">
        <f aca="false">IF($BL501&lt;&gt;Constants!$B$4,"",IF(NOT($AS501),"",Constants!$B$18*INT(ROUND($AH501,6))))</f>
        <v/>
      </c>
      <c r="AY501" s="85" t="str">
        <f aca="false">IF($BL501&lt;&gt;Constants!$B$4,"",IF(NOT($AS501),"",IF(NOT($X501),Constants!$B$11,IF(OR(NOT($AC501),NOT($AD501),ROUND($AB501,1)&gt;Constants!$B$12,ROUND($Z501,1)&gt;Constants!$B$13,ROUND($AA501,1)&gt;Constants!$B$14),Constants!$B$10,Constants!$B$9))))</f>
        <v/>
      </c>
      <c r="AZ501" s="91" t="str">
        <f aca="false">IF($BL501&lt;&gt;Constants!$B$4,"",IF(NOT($AS501),"",ROUND($AU501+$AV501+$AW501+$AX501,1)))</f>
        <v/>
      </c>
      <c r="BA501" s="92" t="str">
        <f aca="false">IF($BL501&lt;&gt;Constants!$B$4,"",IF(NOT($AS501),"",IF(ISNUMBER($AF501),$AF501,0)))</f>
        <v/>
      </c>
      <c r="BB501" s="86" t="str">
        <f aca="false">IF($BL501&lt;&gt;Constants!$B$4,"",IF(NOT($BC501),"&lt;-",IF(NOT($AS501),"-&gt;",IF(OR($BI501&lt;$AY501,AND($BI501=$AY501,OR($BJ501&gt;$AZ501,AND($BJ501=$AZ501,OR($BH501&gt;$AX501,AND($BH501=$AX501,OR($BE501&gt;$AU501,AND($BE501=$AU501,OR($BF501&gt;$AV501,AND($BF501=$AV501,$BK501&gt;$BA501)))))))))),"-&gt;","&lt;-"))))</f>
        <v/>
      </c>
      <c r="BC501" s="85" t="str">
        <f aca="false">IF(ISBLANK($C501),"",COUNTA($P501:$U501)&gt;0)</f>
        <v/>
      </c>
      <c r="BD501" s="85" t="str">
        <f aca="false">IF(ISBLANK($C501),"",AND($BC501,OR(AND($AL501="",OR($AK501,NOT(ISBLANK($S501)))),$AM501="",$AN501="")))</f>
        <v/>
      </c>
      <c r="BE501" s="87" t="str">
        <f aca="false">IF($BL501&lt;&gt;Constants!$B$4,"",IF(NOT($BC501),"",ROUND((Constants!$B$12-$AB501)+(Constants!$B$13-$Z501)+(Constants!$B$14-$AA501),1)))</f>
        <v/>
      </c>
      <c r="BF501" s="90" t="str">
        <f aca="false">IF($BL501&lt;&gt;Constants!$B$4,"",IF(NOT($BC501),"",IF(NOT($AK501),0,Constants!$B$15*(INT(ROUND(MIN($AL501,$AP$9),6))-INT(ROUND(MAX(0,MIN($AL501,2*$AP$9)-$AP$9),6))))))</f>
        <v/>
      </c>
      <c r="BG501" s="90" t="str">
        <f aca="false">IF($BL501&lt;&gt;Constants!$B$4,"",IF(NOT($BC501),"",Constants!$B$16*$AM501))</f>
        <v/>
      </c>
      <c r="BH501" s="90" t="str">
        <f aca="false">IF($BL501&lt;&gt;Constants!$B$4,"",IF(NOT($BC501),"",Constants!$B$18*INT(ROUND($AN501,6))))</f>
        <v/>
      </c>
      <c r="BI501" s="85" t="str">
        <f aca="false">IF($BL501&lt;&gt;Constants!$B$4,"",IF(NOT($BC501),"",IF(NOT($X501),Constants!$B$11,IF(OR(NOT($AI501),NOT($AJ501),ROUND($AB501,1)&gt;Constants!$B$12,ROUND($Z501,1)&gt;Constants!$B$13,ROUND($AA501,1)&gt;Constants!$B$14),Constants!$B$10,Constants!$B$9))))</f>
        <v/>
      </c>
      <c r="BJ501" s="91" t="str">
        <f aca="false">IF($BL501&lt;&gt;Constants!$B$4,"",IF(NOT($BC501),"",ROUND($BE501+$BF501+$BG501+$BH501,1)))</f>
        <v/>
      </c>
      <c r="BK501" s="92" t="str">
        <f aca="false">IF($BL501&lt;&gt;Constants!$B$4,"",IF(NOT($BC501),"",IF(ISNUMBER($AL501),$AL501,0)))</f>
        <v/>
      </c>
      <c r="BL501" s="86" t="str">
        <f aca="false">IF(ISBLANK($C501),"",IF($AO501,Constants!$B$7,IF(COUNTA($E501:$V501)=0,Constants!$B$6,IF(NOT($Y501),Constants!$B$5,IF(NOT(OR($AS501,$BC501)),Constants!$B$5,IF(OR($AT501,$BD501,$AQ501,$AR501&lt;&gt;""),Constants!$B$8,Constants!$B$4))))))</f>
        <v/>
      </c>
      <c r="BM501" s="86" t="str">
        <f aca="false">IF(ISBLANK($C501),"",IF($BL501&lt;&gt;Constants!$B$4,$BL501,IF($BB501="-&gt;",$BI501,$AY501)))</f>
        <v/>
      </c>
      <c r="BN501" s="90" t="str">
        <f aca="false">IF($BL501&lt;&gt;Constants!$B$4,"",IF($BB501="-&gt;",$BJ501,$AZ501))</f>
        <v/>
      </c>
      <c r="BO501" s="90" t="str">
        <f aca="false">IF(ISBLANK($C501),"",IF($BL501&lt;&gt;Constants!$B$4,$BL501,$BN501))</f>
        <v/>
      </c>
      <c r="BP501" s="86" t="str">
        <f aca="false">IF(ISBLANK($C501),"",IF($BL501&lt;&gt;Constants!$B$4,$BL501,RANK($BO501,$BO$9:$BO$508,0)))</f>
        <v/>
      </c>
      <c r="BQ501" s="86" t="str">
        <f aca="false">IF(ISBLANK($C501),"",IF($BL501&lt;&gt;Constants!$B$4,$BL501,COUNTIFS($BM$9:$BM$508,"&lt;"&amp;$BM501)+COUNTIFS($BM$9:$BM$508,$BM501,$BP$9:$BP$508,"&lt;"&amp;$BP501)+1))</f>
        <v/>
      </c>
      <c r="BR501" s="90" t="str">
        <f aca="false">IF($BL501&lt;&gt;Constants!$B$4,"",IF($BB501="-&gt;",$BH501,$AX501))</f>
        <v/>
      </c>
      <c r="BS501" s="86" t="str">
        <f aca="false">IF(ISBLANK($C501),"",IF($BL501&lt;&gt;Constants!$B$4,$BL501,IF(ISNUMBER($BR501),RANK($BR501,$BR$9:$BR$508,0),COUNT($BR$9:$BR$508)+1)))</f>
        <v/>
      </c>
      <c r="BT501" s="90" t="str">
        <f aca="false">IF($BL501&lt;&gt;Constants!$B$4,"",IF($BB501="-&gt;",$BE501,$AU501))</f>
        <v/>
      </c>
      <c r="BU501" s="86" t="str">
        <f aca="false">IF(ISBLANK($C501),"",IF($BL501&lt;&gt;Constants!$B$4,$BL501,IF(ISNUMBER($BT501),RANK($BT501,$BT$9:$BT$508,0),COUNT($BT$9:$BT$508)+1)))</f>
        <v/>
      </c>
      <c r="BV501" s="90" t="str">
        <f aca="false">IF($BL501&lt;&gt;Constants!$B$4,"",IF($BB501="-&gt;",$BF501,$AV501))</f>
        <v/>
      </c>
      <c r="BW501" s="86" t="str">
        <f aca="false">IF(ISBLANK($C501),"",IF($BL501&lt;&gt;Constants!$B$4,$BL501,IF(ISNUMBER($BV501),RANK($BV501,$BV$9:$BV$508,0),COUNT($BV$9:$BV$508)+1)))</f>
        <v/>
      </c>
      <c r="BX501" s="90" t="str">
        <f aca="false">IF($BL501&lt;&gt;Constants!$B$4,"",IF($BB501="-&gt;",$BK501,$BA501))</f>
        <v/>
      </c>
      <c r="BY501" s="86" t="str">
        <f aca="false">IF(ISBLANK($C501),"",IF($BL501&lt;&gt;Constants!$B$4,$BL501,IF(ISNUMBER($BX501),RANK($BX501,$BX$9:$BX$508,0),COUNT($BX$9:$BX$508)+1)))</f>
        <v/>
      </c>
      <c r="BZ501" s="86" t="str">
        <f aca="false">IF(ISBLANK($C501),"",IF($BL501&lt;&gt;Constants!$B$4,$BL501,COUNTIFS($BM$9:$BM$508,"&lt;"&amp;$BM501)+COUNTIFS($BM$9:$BM$508,$BM501,$BP$9:$BP$508,"&lt;"&amp;$BP501)+COUNTIFS($BM$9:$BM$508,$BM501,$BP$9:$BP$508,$BP501,$BS$9:$BS$508,"&lt;"&amp;$BS501)+COUNTIFS($BM$9:$BM$508,$BM501,$BP$9:$BP$508,$BP501,$BS$9:$BS$508,$BS501,$BU$9:$BU$508,"&lt;"&amp;$BU501)+COUNTIFS($BM$9:$BM$508,$BM501,$BP$9:$BP$508,$BP501,$BS$9:$BS$508,$BS501,$BU$9:$BU$508,$BU501,$BW$9:$BW$508,"&lt;"&amp;$BW501)+COUNTIFS($BM$9:$BM$508,$BM501,$BP$9:$BP$508,$BP501,$BS$9:$BS$508,$BS501,$BU$9:$BU$508,$BU501,$BW$9:$BW$508,$BW501,$BY$9:$BY$508,"&lt;"&amp;$BY501)+1))</f>
        <v/>
      </c>
      <c r="CA501" s="86" t="str">
        <f aca="false">IF(ISBLANK($C501),"",IF($BL501&lt;&gt;Constants!$B$4,$BL501,$BQ501-$BZ501))</f>
        <v/>
      </c>
      <c r="CB501" s="93"/>
      <c r="CC501" s="94" t="str">
        <f aca="false">IF(ISBLANK($C501),"",IF($BL501=Constants!$B$8,$AR501,""))</f>
        <v/>
      </c>
      <c r="CD501" s="94" t="str">
        <f aca="false">IF(ISBLANK($C501),"",IF($BL501&lt;&gt;Constants!$B$4,"",IF($BB501="-&gt;",2,1)))</f>
        <v/>
      </c>
      <c r="CE501" s="95" t="str">
        <f aca="false">IF(ISBLANK($C501),"",IF($BL501&lt;&gt;Constants!$B$4,"",IF($BB501="-&gt;",$BE501,$AU501)))</f>
        <v/>
      </c>
      <c r="CF501" s="95" t="str">
        <f aca="false">IF(ISBLANK($C501),"",IF($BL501&lt;&gt;Constants!$B$4,"",IF($BB501="-&gt;",$BF501,$AV501)))</f>
        <v/>
      </c>
      <c r="CG501" s="95" t="str">
        <f aca="false">IF(ISBLANK($C501),"",IF($BL501&lt;&gt;Constants!$B$4,"",IF($BB501="-&gt;",$BG501,$AW501)))</f>
        <v/>
      </c>
      <c r="CH501" s="95" t="str">
        <f aca="false">IF(ISBLANK($C501),"",IF($BL501&lt;&gt;Constants!$B$4,"",IF($BB501="-&gt;",$BH501,$AX501)))</f>
        <v/>
      </c>
      <c r="CI501" s="96" t="str">
        <f aca="false">IF(ISBLANK($C501),"",$BO501)</f>
        <v/>
      </c>
      <c r="CJ501" s="97" t="str">
        <f aca="false">IF(ISBLANK($C501),"",$BM501)</f>
        <v/>
      </c>
      <c r="CK501" s="98" t="str">
        <f aca="false">IF(ISBLANK($C501),"",$CA501)</f>
        <v/>
      </c>
      <c r="CL501" s="98" t="str">
        <f aca="false">IF(ISBLANK($C501),"",$BZ501)</f>
        <v/>
      </c>
      <c r="CM501" s="99" t="str">
        <f aca="false">IF(ISBLANK($C501),"",IF($CL501=Constants!$B$7,COUNTA($C$9:$C$508)+2,IF($CL501=Constants!$B$6,COUNTA($C$9:$C$508)+1,IF($CL501=Constants!$B$5,COUNTA($C$9:$C$508),$CL501))))</f>
        <v/>
      </c>
      <c r="CN501" s="8"/>
      <c r="CO501" s="100" t="n">
        <f aca="false">IF(OR(ISNUMBER($CL501),$CL501=Constants!$B$7,$CL501=Constants!$B$5,$CL501=Constants!$B$6),1,0)</f>
        <v>0</v>
      </c>
      <c r="CP501" s="100" t="n">
        <v>493</v>
      </c>
      <c r="CQ501" s="100" t="str">
        <f aca="false">IF(ISBLANK($C501),"",IF(ISNUMBER($CM501),$CM501+ROW($B501)/1000,""))</f>
        <v/>
      </c>
      <c r="CR501" s="100" t="str">
        <f aca="false">IF(ISNUMBER($CQ501),RANK($CQ501,$CQ$9:$CQ$508,1),"")</f>
        <v/>
      </c>
      <c r="CS501" s="100" t="str">
        <f aca="false">IF(ISBLANK($C501),"",$B501)</f>
        <v/>
      </c>
      <c r="CT501" s="100" t="str">
        <f aca="false">IF(ISBLANK($C501),"",$C501)</f>
        <v/>
      </c>
      <c r="CU501" s="100" t="str">
        <f aca="false">IF(ISBLANK($C501),"",$D501)</f>
        <v/>
      </c>
      <c r="CV501" s="101" t="str">
        <f aca="false">$CJ501</f>
        <v/>
      </c>
      <c r="CW501" s="102" t="str">
        <f aca="false">$CI501</f>
        <v/>
      </c>
      <c r="CX501" s="100" t="str">
        <f aca="false">IF(ISBLANK($C501),"",$CL501)</f>
        <v/>
      </c>
      <c r="CY501" s="103" t="str">
        <f aca="false">IF($CP501&gt;$CO$8,"",VLOOKUP($CP501,$CR$9:$CX$508,7,FALSE()))</f>
        <v/>
      </c>
      <c r="CZ501" s="104" t="str">
        <f aca="false">IF($CP501&gt;$CO$8,"",VLOOKUP($CP501,$CR$9:$CX$508,2,FALSE()))</f>
        <v/>
      </c>
      <c r="DA501" s="104" t="str">
        <f aca="false">IF($CP501&gt;$CO$8,"",VLOOKUP($CP501,$CR$9:$CX$508,3,FALSE()))</f>
        <v/>
      </c>
      <c r="DB501" s="104" t="str">
        <f aca="false">IF($CP501&gt;$CO$8,"",VLOOKUP($CP501,$CR$9:$CX$508,4,FALSE()))</f>
        <v/>
      </c>
      <c r="DC501" s="104" t="str">
        <f aca="false">IF($CP501&gt;$CO$8,"",VLOOKUP($CP501,$CR$9:$CX$508,5,FALSE()))</f>
        <v/>
      </c>
      <c r="DD501" s="105" t="str">
        <f aca="false">IF($CP501&gt;$CO$8,"",VLOOKUP($CP501,$CR$9:$CX$508,6,FALSE()))</f>
        <v/>
      </c>
      <c r="DE501" s="70"/>
    </row>
    <row r="502" customFormat="false" ht="15.75" hidden="false" customHeight="false" outlineLevel="0" collapsed="false">
      <c r="A502" s="8"/>
      <c r="B502" s="72"/>
      <c r="C502" s="73"/>
      <c r="D502" s="155"/>
      <c r="E502" s="162"/>
      <c r="F502" s="157"/>
      <c r="G502" s="77"/>
      <c r="H502" s="77"/>
      <c r="I502" s="77"/>
      <c r="J502" s="163"/>
      <c r="K502" s="161"/>
      <c r="L502" s="161"/>
      <c r="M502" s="80"/>
      <c r="N502" s="161"/>
      <c r="O502" s="160"/>
      <c r="P502" s="161"/>
      <c r="Q502" s="161"/>
      <c r="R502" s="161"/>
      <c r="S502" s="77"/>
      <c r="T502" s="161"/>
      <c r="U502" s="160"/>
      <c r="V502" s="161"/>
      <c r="W502" s="85"/>
      <c r="X502" s="86" t="str">
        <f aca="false">IF(ISBLANK($C502),"",IF($E502=Constants!$B$2,TRUE(),IF($E502=Constants!$B$3,FALSE(),TRUE())))</f>
        <v/>
      </c>
      <c r="Y502" s="86" t="str">
        <f aca="false">IF(ISBLANK($C502),"",IF($F502=Constants!$B$2,TRUE(),IF($F502=Constants!$B$3,FALSE(),TRUE())))</f>
        <v/>
      </c>
      <c r="Z502" s="87" t="str">
        <f aca="false">IF(ISBLANK($C502),"",IF(ISNUMBER($G502),IF($G502&gt;=0,$G502,""),""))</f>
        <v/>
      </c>
      <c r="AA502" s="87" t="str">
        <f aca="false">IF(ISBLANK($C502),"",IF(ISNUMBER($H502),IF($H502&gt;=0,$H502,""),""))</f>
        <v/>
      </c>
      <c r="AB502" s="87" t="str">
        <f aca="false">IF(ISBLANK($C502),"",IF(ISNUMBER($I502),IF($I502&gt;=0,$I502,""),""))</f>
        <v/>
      </c>
      <c r="AC502" s="86" t="str">
        <f aca="false">IF(ISBLANK($C502),"",IF($J502=Constants!$B$2,TRUE(),IF($J502=Constants!$B$3,FALSE(),TRUE())))</f>
        <v/>
      </c>
      <c r="AD502" s="86" t="str">
        <f aca="false">IF(ISBLANK($C502),"",IF($K502=Constants!$B$2,TRUE(),IF($K502=Constants!$B$3,FALSE(),TRUE())))</f>
        <v/>
      </c>
      <c r="AE502" s="86" t="str">
        <f aca="false">IF(ISBLANK($C502),"",IF($L502=Constants!$B$2,TRUE(),IF($L502=Constants!$B$3,FALSE(),TRUE())))</f>
        <v/>
      </c>
      <c r="AF502" s="88" t="str">
        <f aca="false">IF(ISBLANK($C502),"",IF(ISNUMBER($M502),IF($M502&gt;=0,$M502,""),""))</f>
        <v/>
      </c>
      <c r="AG502" s="86" t="str">
        <f aca="false">IF(ISBLANK($C502),"",IF(ISBLANK($N502),0,IF(ISNUMBER($N502),IF(AND($N502&gt;=0,$N502&lt;=Constants!$B$17,$N502=INT($N502)),$N502,""),"")))</f>
        <v/>
      </c>
      <c r="AH502" s="87" t="str">
        <f aca="false">IF(ISBLANK($C502),"",IF(ISBLANK($O502),0,IF(ISNUMBER($O502),IF($O502&gt;=0,$O502,""),"")))</f>
        <v/>
      </c>
      <c r="AI502" s="86" t="str">
        <f aca="false">IF(ISBLANK($C502),"",IF($P502=Constants!$B$2,TRUE(),IF($P502=Constants!$B$3,FALSE(),TRUE())))</f>
        <v/>
      </c>
      <c r="AJ502" s="86" t="str">
        <f aca="false">IF(ISBLANK($C502),"",IF($Q502=Constants!$B$2,TRUE(),IF($Q502=Constants!$B$3,FALSE(),TRUE())))</f>
        <v/>
      </c>
      <c r="AK502" s="86" t="str">
        <f aca="false">IF(ISBLANK($C502),"",IF($R502=Constants!$B$2,TRUE(),IF($R502=Constants!$B$3,FALSE(),TRUE())))</f>
        <v/>
      </c>
      <c r="AL502" s="88" t="str">
        <f aca="false">IF(ISBLANK($C502),"",IF(ISNUMBER($S502),IF($S502&gt;=0,$S502,""),""))</f>
        <v/>
      </c>
      <c r="AM502" s="86" t="str">
        <f aca="false">IF(ISBLANK($C502),"",IF(ISBLANK($T502),0,IF(ISNUMBER($T502),IF(AND($T502&gt;=0,$T502&lt;=Constants!$B$17,$T502=INT($T502)),$T502,""),"")))</f>
        <v/>
      </c>
      <c r="AN502" s="87" t="str">
        <f aca="false">IF(ISBLANK($C502),"",IF(ISBLANK($U502),0,IF(ISNUMBER($U502),IF($U502&gt;=0,$U502,""),"")))</f>
        <v/>
      </c>
      <c r="AO502" s="86" t="str">
        <f aca="false">IF(ISBLANK($C502),"",IF($V502=Constants!$B$2,TRUE(),IF($V502=Constants!$B$3,FALSE(),FALSE())))</f>
        <v/>
      </c>
      <c r="AP502" s="86"/>
      <c r="AQ502" s="85" t="str">
        <f aca="false">IF(ISBLANK($C502),"",AND($Y502,OR($AS502,$BC502),OR($Z502="",$AA502="",$AB502="")))</f>
        <v/>
      </c>
      <c r="AR502" s="85" t="str">
        <f aca="false">IF(ISBLANK($C502),"",IF(OR(NOT($Y502),NOT(OR($AS502,$BC502))),"",IF(ISBLANK($D$7),$AR$5,IF($AP$9="",$AR$6,""))))</f>
        <v/>
      </c>
      <c r="AS502" s="85" t="str">
        <f aca="false">IF(ISBLANK($C502),"",COUNTA($J502:$O502)&gt;0)</f>
        <v/>
      </c>
      <c r="AT502" s="85" t="str">
        <f aca="false">IF(ISBLANK($C502),"",AND($AS502,OR(AND($AF502="",OR($AE502,NOT(ISBLANK($M502)))),$AG502="",$AH502="")))</f>
        <v/>
      </c>
      <c r="AU502" s="87" t="str">
        <f aca="false">IF($BL502&lt;&gt;Constants!$B$4,"",IF(NOT($AS502),"",ROUND((Constants!$B$12-$AB502)+(Constants!$B$13-$Z502)+(Constants!$B$14-$AA502),1)))</f>
        <v/>
      </c>
      <c r="AV502" s="90" t="str">
        <f aca="false">IF($BL502&lt;&gt;Constants!$B$4,"",IF(NOT($AS502),"",IF(NOT($AE502),0,Constants!$B$15*(INT(ROUND(MIN($AF502,$AP$9),6))-INT(ROUND(MAX(0,MIN($AF502,2*$AP$9)-$AP$9),6))))))</f>
        <v/>
      </c>
      <c r="AW502" s="90" t="str">
        <f aca="false">IF($BL502&lt;&gt;Constants!$B$4,"",IF(NOT($AS502),"",Constants!$B$16*$AG502))</f>
        <v/>
      </c>
      <c r="AX502" s="90" t="str">
        <f aca="false">IF($BL502&lt;&gt;Constants!$B$4,"",IF(NOT($AS502),"",Constants!$B$18*INT(ROUND($AH502,6))))</f>
        <v/>
      </c>
      <c r="AY502" s="85" t="str">
        <f aca="false">IF($BL502&lt;&gt;Constants!$B$4,"",IF(NOT($AS502),"",IF(NOT($X502),Constants!$B$11,IF(OR(NOT($AC502),NOT($AD502),ROUND($AB502,1)&gt;Constants!$B$12,ROUND($Z502,1)&gt;Constants!$B$13,ROUND($AA502,1)&gt;Constants!$B$14),Constants!$B$10,Constants!$B$9))))</f>
        <v/>
      </c>
      <c r="AZ502" s="91" t="str">
        <f aca="false">IF($BL502&lt;&gt;Constants!$B$4,"",IF(NOT($AS502),"",ROUND($AU502+$AV502+$AW502+$AX502,1)))</f>
        <v/>
      </c>
      <c r="BA502" s="92" t="str">
        <f aca="false">IF($BL502&lt;&gt;Constants!$B$4,"",IF(NOT($AS502),"",IF(ISNUMBER($AF502),$AF502,0)))</f>
        <v/>
      </c>
      <c r="BB502" s="86" t="str">
        <f aca="false">IF($BL502&lt;&gt;Constants!$B$4,"",IF(NOT($BC502),"&lt;-",IF(NOT($AS502),"-&gt;",IF(OR($BI502&lt;$AY502,AND($BI502=$AY502,OR($BJ502&gt;$AZ502,AND($BJ502=$AZ502,OR($BH502&gt;$AX502,AND($BH502=$AX502,OR($BE502&gt;$AU502,AND($BE502=$AU502,OR($BF502&gt;$AV502,AND($BF502=$AV502,$BK502&gt;$BA502)))))))))),"-&gt;","&lt;-"))))</f>
        <v/>
      </c>
      <c r="BC502" s="85" t="str">
        <f aca="false">IF(ISBLANK($C502),"",COUNTA($P502:$U502)&gt;0)</f>
        <v/>
      </c>
      <c r="BD502" s="85" t="str">
        <f aca="false">IF(ISBLANK($C502),"",AND($BC502,OR(AND($AL502="",OR($AK502,NOT(ISBLANK($S502)))),$AM502="",$AN502="")))</f>
        <v/>
      </c>
      <c r="BE502" s="87" t="str">
        <f aca="false">IF($BL502&lt;&gt;Constants!$B$4,"",IF(NOT($BC502),"",ROUND((Constants!$B$12-$AB502)+(Constants!$B$13-$Z502)+(Constants!$B$14-$AA502),1)))</f>
        <v/>
      </c>
      <c r="BF502" s="90" t="str">
        <f aca="false">IF($BL502&lt;&gt;Constants!$B$4,"",IF(NOT($BC502),"",IF(NOT($AK502),0,Constants!$B$15*(INT(ROUND(MIN($AL502,$AP$9),6))-INT(ROUND(MAX(0,MIN($AL502,2*$AP$9)-$AP$9),6))))))</f>
        <v/>
      </c>
      <c r="BG502" s="90" t="str">
        <f aca="false">IF($BL502&lt;&gt;Constants!$B$4,"",IF(NOT($BC502),"",Constants!$B$16*$AM502))</f>
        <v/>
      </c>
      <c r="BH502" s="90" t="str">
        <f aca="false">IF($BL502&lt;&gt;Constants!$B$4,"",IF(NOT($BC502),"",Constants!$B$18*INT(ROUND($AN502,6))))</f>
        <v/>
      </c>
      <c r="BI502" s="85" t="str">
        <f aca="false">IF($BL502&lt;&gt;Constants!$B$4,"",IF(NOT($BC502),"",IF(NOT($X502),Constants!$B$11,IF(OR(NOT($AI502),NOT($AJ502),ROUND($AB502,1)&gt;Constants!$B$12,ROUND($Z502,1)&gt;Constants!$B$13,ROUND($AA502,1)&gt;Constants!$B$14),Constants!$B$10,Constants!$B$9))))</f>
        <v/>
      </c>
      <c r="BJ502" s="91" t="str">
        <f aca="false">IF($BL502&lt;&gt;Constants!$B$4,"",IF(NOT($BC502),"",ROUND($BE502+$BF502+$BG502+$BH502,1)))</f>
        <v/>
      </c>
      <c r="BK502" s="92" t="str">
        <f aca="false">IF($BL502&lt;&gt;Constants!$B$4,"",IF(NOT($BC502),"",IF(ISNUMBER($AL502),$AL502,0)))</f>
        <v/>
      </c>
      <c r="BL502" s="86" t="str">
        <f aca="false">IF(ISBLANK($C502),"",IF($AO502,Constants!$B$7,IF(COUNTA($E502:$V502)=0,Constants!$B$6,IF(NOT($Y502),Constants!$B$5,IF(NOT(OR($AS502,$BC502)),Constants!$B$5,IF(OR($AT502,$BD502,$AQ502,$AR502&lt;&gt;""),Constants!$B$8,Constants!$B$4))))))</f>
        <v/>
      </c>
      <c r="BM502" s="86" t="str">
        <f aca="false">IF(ISBLANK($C502),"",IF($BL502&lt;&gt;Constants!$B$4,$BL502,IF($BB502="-&gt;",$BI502,$AY502)))</f>
        <v/>
      </c>
      <c r="BN502" s="90" t="str">
        <f aca="false">IF($BL502&lt;&gt;Constants!$B$4,"",IF($BB502="-&gt;",$BJ502,$AZ502))</f>
        <v/>
      </c>
      <c r="BO502" s="90" t="str">
        <f aca="false">IF(ISBLANK($C502),"",IF($BL502&lt;&gt;Constants!$B$4,$BL502,$BN502))</f>
        <v/>
      </c>
      <c r="BP502" s="86" t="str">
        <f aca="false">IF(ISBLANK($C502),"",IF($BL502&lt;&gt;Constants!$B$4,$BL502,RANK($BO502,$BO$9:$BO$508,0)))</f>
        <v/>
      </c>
      <c r="BQ502" s="86" t="str">
        <f aca="false">IF(ISBLANK($C502),"",IF($BL502&lt;&gt;Constants!$B$4,$BL502,COUNTIFS($BM$9:$BM$508,"&lt;"&amp;$BM502)+COUNTIFS($BM$9:$BM$508,$BM502,$BP$9:$BP$508,"&lt;"&amp;$BP502)+1))</f>
        <v/>
      </c>
      <c r="BR502" s="90" t="str">
        <f aca="false">IF($BL502&lt;&gt;Constants!$B$4,"",IF($BB502="-&gt;",$BH502,$AX502))</f>
        <v/>
      </c>
      <c r="BS502" s="86" t="str">
        <f aca="false">IF(ISBLANK($C502),"",IF($BL502&lt;&gt;Constants!$B$4,$BL502,IF(ISNUMBER($BR502),RANK($BR502,$BR$9:$BR$508,0),COUNT($BR$9:$BR$508)+1)))</f>
        <v/>
      </c>
      <c r="BT502" s="90" t="str">
        <f aca="false">IF($BL502&lt;&gt;Constants!$B$4,"",IF($BB502="-&gt;",$BE502,$AU502))</f>
        <v/>
      </c>
      <c r="BU502" s="86" t="str">
        <f aca="false">IF(ISBLANK($C502),"",IF($BL502&lt;&gt;Constants!$B$4,$BL502,IF(ISNUMBER($BT502),RANK($BT502,$BT$9:$BT$508,0),COUNT($BT$9:$BT$508)+1)))</f>
        <v/>
      </c>
      <c r="BV502" s="90" t="str">
        <f aca="false">IF($BL502&lt;&gt;Constants!$B$4,"",IF($BB502="-&gt;",$BF502,$AV502))</f>
        <v/>
      </c>
      <c r="BW502" s="86" t="str">
        <f aca="false">IF(ISBLANK($C502),"",IF($BL502&lt;&gt;Constants!$B$4,$BL502,IF(ISNUMBER($BV502),RANK($BV502,$BV$9:$BV$508,0),COUNT($BV$9:$BV$508)+1)))</f>
        <v/>
      </c>
      <c r="BX502" s="90" t="str">
        <f aca="false">IF($BL502&lt;&gt;Constants!$B$4,"",IF($BB502="-&gt;",$BK502,$BA502))</f>
        <v/>
      </c>
      <c r="BY502" s="86" t="str">
        <f aca="false">IF(ISBLANK($C502),"",IF($BL502&lt;&gt;Constants!$B$4,$BL502,IF(ISNUMBER($BX502),RANK($BX502,$BX$9:$BX$508,0),COUNT($BX$9:$BX$508)+1)))</f>
        <v/>
      </c>
      <c r="BZ502" s="86" t="str">
        <f aca="false">IF(ISBLANK($C502),"",IF($BL502&lt;&gt;Constants!$B$4,$BL502,COUNTIFS($BM$9:$BM$508,"&lt;"&amp;$BM502)+COUNTIFS($BM$9:$BM$508,$BM502,$BP$9:$BP$508,"&lt;"&amp;$BP502)+COUNTIFS($BM$9:$BM$508,$BM502,$BP$9:$BP$508,$BP502,$BS$9:$BS$508,"&lt;"&amp;$BS502)+COUNTIFS($BM$9:$BM$508,$BM502,$BP$9:$BP$508,$BP502,$BS$9:$BS$508,$BS502,$BU$9:$BU$508,"&lt;"&amp;$BU502)+COUNTIFS($BM$9:$BM$508,$BM502,$BP$9:$BP$508,$BP502,$BS$9:$BS$508,$BS502,$BU$9:$BU$508,$BU502,$BW$9:$BW$508,"&lt;"&amp;$BW502)+COUNTIFS($BM$9:$BM$508,$BM502,$BP$9:$BP$508,$BP502,$BS$9:$BS$508,$BS502,$BU$9:$BU$508,$BU502,$BW$9:$BW$508,$BW502,$BY$9:$BY$508,"&lt;"&amp;$BY502)+1))</f>
        <v/>
      </c>
      <c r="CA502" s="86" t="str">
        <f aca="false">IF(ISBLANK($C502),"",IF($BL502&lt;&gt;Constants!$B$4,$BL502,$BQ502-$BZ502))</f>
        <v/>
      </c>
      <c r="CB502" s="93"/>
      <c r="CC502" s="94" t="str">
        <f aca="false">IF(ISBLANK($C502),"",IF($BL502=Constants!$B$8,$AR502,""))</f>
        <v/>
      </c>
      <c r="CD502" s="94" t="str">
        <f aca="false">IF(ISBLANK($C502),"",IF($BL502&lt;&gt;Constants!$B$4,"",IF($BB502="-&gt;",2,1)))</f>
        <v/>
      </c>
      <c r="CE502" s="95" t="str">
        <f aca="false">IF(ISBLANK($C502),"",IF($BL502&lt;&gt;Constants!$B$4,"",IF($BB502="-&gt;",$BE502,$AU502)))</f>
        <v/>
      </c>
      <c r="CF502" s="95" t="str">
        <f aca="false">IF(ISBLANK($C502),"",IF($BL502&lt;&gt;Constants!$B$4,"",IF($BB502="-&gt;",$BF502,$AV502)))</f>
        <v/>
      </c>
      <c r="CG502" s="95" t="str">
        <f aca="false">IF(ISBLANK($C502),"",IF($BL502&lt;&gt;Constants!$B$4,"",IF($BB502="-&gt;",$BG502,$AW502)))</f>
        <v/>
      </c>
      <c r="CH502" s="95" t="str">
        <f aca="false">IF(ISBLANK($C502),"",IF($BL502&lt;&gt;Constants!$B$4,"",IF($BB502="-&gt;",$BH502,$AX502)))</f>
        <v/>
      </c>
      <c r="CI502" s="96" t="str">
        <f aca="false">IF(ISBLANK($C502),"",$BO502)</f>
        <v/>
      </c>
      <c r="CJ502" s="97" t="str">
        <f aca="false">IF(ISBLANK($C502),"",$BM502)</f>
        <v/>
      </c>
      <c r="CK502" s="98" t="str">
        <f aca="false">IF(ISBLANK($C502),"",$CA502)</f>
        <v/>
      </c>
      <c r="CL502" s="98" t="str">
        <f aca="false">IF(ISBLANK($C502),"",$BZ502)</f>
        <v/>
      </c>
      <c r="CM502" s="99" t="str">
        <f aca="false">IF(ISBLANK($C502),"",IF($CL502=Constants!$B$7,COUNTA($C$9:$C$508)+2,IF($CL502=Constants!$B$6,COUNTA($C$9:$C$508)+1,IF($CL502=Constants!$B$5,COUNTA($C$9:$C$508),$CL502))))</f>
        <v/>
      </c>
      <c r="CN502" s="8"/>
      <c r="CO502" s="100" t="n">
        <f aca="false">IF(OR(ISNUMBER($CL502),$CL502=Constants!$B$7,$CL502=Constants!$B$5,$CL502=Constants!$B$6),1,0)</f>
        <v>0</v>
      </c>
      <c r="CP502" s="100" t="n">
        <v>494</v>
      </c>
      <c r="CQ502" s="100" t="str">
        <f aca="false">IF(ISBLANK($C502),"",IF(ISNUMBER($CM502),$CM502+ROW($B502)/1000,""))</f>
        <v/>
      </c>
      <c r="CR502" s="100" t="str">
        <f aca="false">IF(ISNUMBER($CQ502),RANK($CQ502,$CQ$9:$CQ$508,1),"")</f>
        <v/>
      </c>
      <c r="CS502" s="100" t="str">
        <f aca="false">IF(ISBLANK($C502),"",$B502)</f>
        <v/>
      </c>
      <c r="CT502" s="100" t="str">
        <f aca="false">IF(ISBLANK($C502),"",$C502)</f>
        <v/>
      </c>
      <c r="CU502" s="100" t="str">
        <f aca="false">IF(ISBLANK($C502),"",$D502)</f>
        <v/>
      </c>
      <c r="CV502" s="101" t="str">
        <f aca="false">$CJ502</f>
        <v/>
      </c>
      <c r="CW502" s="102" t="str">
        <f aca="false">$CI502</f>
        <v/>
      </c>
      <c r="CX502" s="100" t="str">
        <f aca="false">IF(ISBLANK($C502),"",$CL502)</f>
        <v/>
      </c>
      <c r="CY502" s="103" t="str">
        <f aca="false">IF($CP502&gt;$CO$8,"",VLOOKUP($CP502,$CR$9:$CX$508,7,FALSE()))</f>
        <v/>
      </c>
      <c r="CZ502" s="104" t="str">
        <f aca="false">IF($CP502&gt;$CO$8,"",VLOOKUP($CP502,$CR$9:$CX$508,2,FALSE()))</f>
        <v/>
      </c>
      <c r="DA502" s="104" t="str">
        <f aca="false">IF($CP502&gt;$CO$8,"",VLOOKUP($CP502,$CR$9:$CX$508,3,FALSE()))</f>
        <v/>
      </c>
      <c r="DB502" s="104" t="str">
        <f aca="false">IF($CP502&gt;$CO$8,"",VLOOKUP($CP502,$CR$9:$CX$508,4,FALSE()))</f>
        <v/>
      </c>
      <c r="DC502" s="104" t="str">
        <f aca="false">IF($CP502&gt;$CO$8,"",VLOOKUP($CP502,$CR$9:$CX$508,5,FALSE()))</f>
        <v/>
      </c>
      <c r="DD502" s="105" t="str">
        <f aca="false">IF($CP502&gt;$CO$8,"",VLOOKUP($CP502,$CR$9:$CX$508,6,FALSE()))</f>
        <v/>
      </c>
      <c r="DE502" s="70"/>
    </row>
    <row r="503" customFormat="false" ht="15.75" hidden="false" customHeight="false" outlineLevel="0" collapsed="false">
      <c r="A503" s="8"/>
      <c r="B503" s="72"/>
      <c r="C503" s="73"/>
      <c r="D503" s="155"/>
      <c r="E503" s="162"/>
      <c r="F503" s="157"/>
      <c r="G503" s="77"/>
      <c r="H503" s="77"/>
      <c r="I503" s="77"/>
      <c r="J503" s="163"/>
      <c r="K503" s="161"/>
      <c r="L503" s="161"/>
      <c r="M503" s="80"/>
      <c r="N503" s="161"/>
      <c r="O503" s="160"/>
      <c r="P503" s="161"/>
      <c r="Q503" s="161"/>
      <c r="R503" s="161"/>
      <c r="S503" s="77"/>
      <c r="T503" s="161"/>
      <c r="U503" s="160"/>
      <c r="V503" s="161"/>
      <c r="W503" s="85"/>
      <c r="X503" s="86" t="str">
        <f aca="false">IF(ISBLANK($C503),"",IF($E503=Constants!$B$2,TRUE(),IF($E503=Constants!$B$3,FALSE(),TRUE())))</f>
        <v/>
      </c>
      <c r="Y503" s="86" t="str">
        <f aca="false">IF(ISBLANK($C503),"",IF($F503=Constants!$B$2,TRUE(),IF($F503=Constants!$B$3,FALSE(),TRUE())))</f>
        <v/>
      </c>
      <c r="Z503" s="87" t="str">
        <f aca="false">IF(ISBLANK($C503),"",IF(ISNUMBER($G503),IF($G503&gt;=0,$G503,""),""))</f>
        <v/>
      </c>
      <c r="AA503" s="87" t="str">
        <f aca="false">IF(ISBLANK($C503),"",IF(ISNUMBER($H503),IF($H503&gt;=0,$H503,""),""))</f>
        <v/>
      </c>
      <c r="AB503" s="87" t="str">
        <f aca="false">IF(ISBLANK($C503),"",IF(ISNUMBER($I503),IF($I503&gt;=0,$I503,""),""))</f>
        <v/>
      </c>
      <c r="AC503" s="86" t="str">
        <f aca="false">IF(ISBLANK($C503),"",IF($J503=Constants!$B$2,TRUE(),IF($J503=Constants!$B$3,FALSE(),TRUE())))</f>
        <v/>
      </c>
      <c r="AD503" s="86" t="str">
        <f aca="false">IF(ISBLANK($C503),"",IF($K503=Constants!$B$2,TRUE(),IF($K503=Constants!$B$3,FALSE(),TRUE())))</f>
        <v/>
      </c>
      <c r="AE503" s="86" t="str">
        <f aca="false">IF(ISBLANK($C503),"",IF($L503=Constants!$B$2,TRUE(),IF($L503=Constants!$B$3,FALSE(),TRUE())))</f>
        <v/>
      </c>
      <c r="AF503" s="88" t="str">
        <f aca="false">IF(ISBLANK($C503),"",IF(ISNUMBER($M503),IF($M503&gt;=0,$M503,""),""))</f>
        <v/>
      </c>
      <c r="AG503" s="86" t="str">
        <f aca="false">IF(ISBLANK($C503),"",IF(ISBLANK($N503),0,IF(ISNUMBER($N503),IF(AND($N503&gt;=0,$N503&lt;=Constants!$B$17,$N503=INT($N503)),$N503,""),"")))</f>
        <v/>
      </c>
      <c r="AH503" s="87" t="str">
        <f aca="false">IF(ISBLANK($C503),"",IF(ISBLANK($O503),0,IF(ISNUMBER($O503),IF($O503&gt;=0,$O503,""),"")))</f>
        <v/>
      </c>
      <c r="AI503" s="86" t="str">
        <f aca="false">IF(ISBLANK($C503),"",IF($P503=Constants!$B$2,TRUE(),IF($P503=Constants!$B$3,FALSE(),TRUE())))</f>
        <v/>
      </c>
      <c r="AJ503" s="86" t="str">
        <f aca="false">IF(ISBLANK($C503),"",IF($Q503=Constants!$B$2,TRUE(),IF($Q503=Constants!$B$3,FALSE(),TRUE())))</f>
        <v/>
      </c>
      <c r="AK503" s="86" t="str">
        <f aca="false">IF(ISBLANK($C503),"",IF($R503=Constants!$B$2,TRUE(),IF($R503=Constants!$B$3,FALSE(),TRUE())))</f>
        <v/>
      </c>
      <c r="AL503" s="88" t="str">
        <f aca="false">IF(ISBLANK($C503),"",IF(ISNUMBER($S503),IF($S503&gt;=0,$S503,""),""))</f>
        <v/>
      </c>
      <c r="AM503" s="86" t="str">
        <f aca="false">IF(ISBLANK($C503),"",IF(ISBLANK($T503),0,IF(ISNUMBER($T503),IF(AND($T503&gt;=0,$T503&lt;=Constants!$B$17,$T503=INT($T503)),$T503,""),"")))</f>
        <v/>
      </c>
      <c r="AN503" s="87" t="str">
        <f aca="false">IF(ISBLANK($C503),"",IF(ISBLANK($U503),0,IF(ISNUMBER($U503),IF($U503&gt;=0,$U503,""),"")))</f>
        <v/>
      </c>
      <c r="AO503" s="86" t="str">
        <f aca="false">IF(ISBLANK($C503),"",IF($V503=Constants!$B$2,TRUE(),IF($V503=Constants!$B$3,FALSE(),FALSE())))</f>
        <v/>
      </c>
      <c r="AP503" s="86"/>
      <c r="AQ503" s="85" t="str">
        <f aca="false">IF(ISBLANK($C503),"",AND($Y503,OR($AS503,$BC503),OR($Z503="",$AA503="",$AB503="")))</f>
        <v/>
      </c>
      <c r="AR503" s="85" t="str">
        <f aca="false">IF(ISBLANK($C503),"",IF(OR(NOT($Y503),NOT(OR($AS503,$BC503))),"",IF(ISBLANK($D$7),$AR$5,IF($AP$9="",$AR$6,""))))</f>
        <v/>
      </c>
      <c r="AS503" s="85" t="str">
        <f aca="false">IF(ISBLANK($C503),"",COUNTA($J503:$O503)&gt;0)</f>
        <v/>
      </c>
      <c r="AT503" s="85" t="str">
        <f aca="false">IF(ISBLANK($C503),"",AND($AS503,OR(AND($AF503="",OR($AE503,NOT(ISBLANK($M503)))),$AG503="",$AH503="")))</f>
        <v/>
      </c>
      <c r="AU503" s="87" t="str">
        <f aca="false">IF($BL503&lt;&gt;Constants!$B$4,"",IF(NOT($AS503),"",ROUND((Constants!$B$12-$AB503)+(Constants!$B$13-$Z503)+(Constants!$B$14-$AA503),1)))</f>
        <v/>
      </c>
      <c r="AV503" s="90" t="str">
        <f aca="false">IF($BL503&lt;&gt;Constants!$B$4,"",IF(NOT($AS503),"",IF(NOT($AE503),0,Constants!$B$15*(INT(ROUND(MIN($AF503,$AP$9),6))-INT(ROUND(MAX(0,MIN($AF503,2*$AP$9)-$AP$9),6))))))</f>
        <v/>
      </c>
      <c r="AW503" s="90" t="str">
        <f aca="false">IF($BL503&lt;&gt;Constants!$B$4,"",IF(NOT($AS503),"",Constants!$B$16*$AG503))</f>
        <v/>
      </c>
      <c r="AX503" s="90" t="str">
        <f aca="false">IF($BL503&lt;&gt;Constants!$B$4,"",IF(NOT($AS503),"",Constants!$B$18*INT(ROUND($AH503,6))))</f>
        <v/>
      </c>
      <c r="AY503" s="85" t="str">
        <f aca="false">IF($BL503&lt;&gt;Constants!$B$4,"",IF(NOT($AS503),"",IF(NOT($X503),Constants!$B$11,IF(OR(NOT($AC503),NOT($AD503),ROUND($AB503,1)&gt;Constants!$B$12,ROUND($Z503,1)&gt;Constants!$B$13,ROUND($AA503,1)&gt;Constants!$B$14),Constants!$B$10,Constants!$B$9))))</f>
        <v/>
      </c>
      <c r="AZ503" s="91" t="str">
        <f aca="false">IF($BL503&lt;&gt;Constants!$B$4,"",IF(NOT($AS503),"",ROUND($AU503+$AV503+$AW503+$AX503,1)))</f>
        <v/>
      </c>
      <c r="BA503" s="92" t="str">
        <f aca="false">IF($BL503&lt;&gt;Constants!$B$4,"",IF(NOT($AS503),"",IF(ISNUMBER($AF503),$AF503,0)))</f>
        <v/>
      </c>
      <c r="BB503" s="86" t="str">
        <f aca="false">IF($BL503&lt;&gt;Constants!$B$4,"",IF(NOT($BC503),"&lt;-",IF(NOT($AS503),"-&gt;",IF(OR($BI503&lt;$AY503,AND($BI503=$AY503,OR($BJ503&gt;$AZ503,AND($BJ503=$AZ503,OR($BH503&gt;$AX503,AND($BH503=$AX503,OR($BE503&gt;$AU503,AND($BE503=$AU503,OR($BF503&gt;$AV503,AND($BF503=$AV503,$BK503&gt;$BA503)))))))))),"-&gt;","&lt;-"))))</f>
        <v/>
      </c>
      <c r="BC503" s="85" t="str">
        <f aca="false">IF(ISBLANK($C503),"",COUNTA($P503:$U503)&gt;0)</f>
        <v/>
      </c>
      <c r="BD503" s="85" t="str">
        <f aca="false">IF(ISBLANK($C503),"",AND($BC503,OR(AND($AL503="",OR($AK503,NOT(ISBLANK($S503)))),$AM503="",$AN503="")))</f>
        <v/>
      </c>
      <c r="BE503" s="87" t="str">
        <f aca="false">IF($BL503&lt;&gt;Constants!$B$4,"",IF(NOT($BC503),"",ROUND((Constants!$B$12-$AB503)+(Constants!$B$13-$Z503)+(Constants!$B$14-$AA503),1)))</f>
        <v/>
      </c>
      <c r="BF503" s="90" t="str">
        <f aca="false">IF($BL503&lt;&gt;Constants!$B$4,"",IF(NOT($BC503),"",IF(NOT($AK503),0,Constants!$B$15*(INT(ROUND(MIN($AL503,$AP$9),6))-INT(ROUND(MAX(0,MIN($AL503,2*$AP$9)-$AP$9),6))))))</f>
        <v/>
      </c>
      <c r="BG503" s="90" t="str">
        <f aca="false">IF($BL503&lt;&gt;Constants!$B$4,"",IF(NOT($BC503),"",Constants!$B$16*$AM503))</f>
        <v/>
      </c>
      <c r="BH503" s="90" t="str">
        <f aca="false">IF($BL503&lt;&gt;Constants!$B$4,"",IF(NOT($BC503),"",Constants!$B$18*INT(ROUND($AN503,6))))</f>
        <v/>
      </c>
      <c r="BI503" s="85" t="str">
        <f aca="false">IF($BL503&lt;&gt;Constants!$B$4,"",IF(NOT($BC503),"",IF(NOT($X503),Constants!$B$11,IF(OR(NOT($AI503),NOT($AJ503),ROUND($AB503,1)&gt;Constants!$B$12,ROUND($Z503,1)&gt;Constants!$B$13,ROUND($AA503,1)&gt;Constants!$B$14),Constants!$B$10,Constants!$B$9))))</f>
        <v/>
      </c>
      <c r="BJ503" s="91" t="str">
        <f aca="false">IF($BL503&lt;&gt;Constants!$B$4,"",IF(NOT($BC503),"",ROUND($BE503+$BF503+$BG503+$BH503,1)))</f>
        <v/>
      </c>
      <c r="BK503" s="92" t="str">
        <f aca="false">IF($BL503&lt;&gt;Constants!$B$4,"",IF(NOT($BC503),"",IF(ISNUMBER($AL503),$AL503,0)))</f>
        <v/>
      </c>
      <c r="BL503" s="86" t="str">
        <f aca="false">IF(ISBLANK($C503),"",IF($AO503,Constants!$B$7,IF(COUNTA($E503:$V503)=0,Constants!$B$6,IF(NOT($Y503),Constants!$B$5,IF(NOT(OR($AS503,$BC503)),Constants!$B$5,IF(OR($AT503,$BD503,$AQ503,$AR503&lt;&gt;""),Constants!$B$8,Constants!$B$4))))))</f>
        <v/>
      </c>
      <c r="BM503" s="86" t="str">
        <f aca="false">IF(ISBLANK($C503),"",IF($BL503&lt;&gt;Constants!$B$4,$BL503,IF($BB503="-&gt;",$BI503,$AY503)))</f>
        <v/>
      </c>
      <c r="BN503" s="90" t="str">
        <f aca="false">IF($BL503&lt;&gt;Constants!$B$4,"",IF($BB503="-&gt;",$BJ503,$AZ503))</f>
        <v/>
      </c>
      <c r="BO503" s="90" t="str">
        <f aca="false">IF(ISBLANK($C503),"",IF($BL503&lt;&gt;Constants!$B$4,$BL503,$BN503))</f>
        <v/>
      </c>
      <c r="BP503" s="86" t="str">
        <f aca="false">IF(ISBLANK($C503),"",IF($BL503&lt;&gt;Constants!$B$4,$BL503,RANK($BO503,$BO$9:$BO$508,0)))</f>
        <v/>
      </c>
      <c r="BQ503" s="86" t="str">
        <f aca="false">IF(ISBLANK($C503),"",IF($BL503&lt;&gt;Constants!$B$4,$BL503,COUNTIFS($BM$9:$BM$508,"&lt;"&amp;$BM503)+COUNTIFS($BM$9:$BM$508,$BM503,$BP$9:$BP$508,"&lt;"&amp;$BP503)+1))</f>
        <v/>
      </c>
      <c r="BR503" s="90" t="str">
        <f aca="false">IF($BL503&lt;&gt;Constants!$B$4,"",IF($BB503="-&gt;",$BH503,$AX503))</f>
        <v/>
      </c>
      <c r="BS503" s="86" t="str">
        <f aca="false">IF(ISBLANK($C503),"",IF($BL503&lt;&gt;Constants!$B$4,$BL503,IF(ISNUMBER($BR503),RANK($BR503,$BR$9:$BR$508,0),COUNT($BR$9:$BR$508)+1)))</f>
        <v/>
      </c>
      <c r="BT503" s="90" t="str">
        <f aca="false">IF($BL503&lt;&gt;Constants!$B$4,"",IF($BB503="-&gt;",$BE503,$AU503))</f>
        <v/>
      </c>
      <c r="BU503" s="86" t="str">
        <f aca="false">IF(ISBLANK($C503),"",IF($BL503&lt;&gt;Constants!$B$4,$BL503,IF(ISNUMBER($BT503),RANK($BT503,$BT$9:$BT$508,0),COUNT($BT$9:$BT$508)+1)))</f>
        <v/>
      </c>
      <c r="BV503" s="90" t="str">
        <f aca="false">IF($BL503&lt;&gt;Constants!$B$4,"",IF($BB503="-&gt;",$BF503,$AV503))</f>
        <v/>
      </c>
      <c r="BW503" s="86" t="str">
        <f aca="false">IF(ISBLANK($C503),"",IF($BL503&lt;&gt;Constants!$B$4,$BL503,IF(ISNUMBER($BV503),RANK($BV503,$BV$9:$BV$508,0),COUNT($BV$9:$BV$508)+1)))</f>
        <v/>
      </c>
      <c r="BX503" s="90" t="str">
        <f aca="false">IF($BL503&lt;&gt;Constants!$B$4,"",IF($BB503="-&gt;",$BK503,$BA503))</f>
        <v/>
      </c>
      <c r="BY503" s="86" t="str">
        <f aca="false">IF(ISBLANK($C503),"",IF($BL503&lt;&gt;Constants!$B$4,$BL503,IF(ISNUMBER($BX503),RANK($BX503,$BX$9:$BX$508,0),COUNT($BX$9:$BX$508)+1)))</f>
        <v/>
      </c>
      <c r="BZ503" s="86" t="str">
        <f aca="false">IF(ISBLANK($C503),"",IF($BL503&lt;&gt;Constants!$B$4,$BL503,COUNTIFS($BM$9:$BM$508,"&lt;"&amp;$BM503)+COUNTIFS($BM$9:$BM$508,$BM503,$BP$9:$BP$508,"&lt;"&amp;$BP503)+COUNTIFS($BM$9:$BM$508,$BM503,$BP$9:$BP$508,$BP503,$BS$9:$BS$508,"&lt;"&amp;$BS503)+COUNTIFS($BM$9:$BM$508,$BM503,$BP$9:$BP$508,$BP503,$BS$9:$BS$508,$BS503,$BU$9:$BU$508,"&lt;"&amp;$BU503)+COUNTIFS($BM$9:$BM$508,$BM503,$BP$9:$BP$508,$BP503,$BS$9:$BS$508,$BS503,$BU$9:$BU$508,$BU503,$BW$9:$BW$508,"&lt;"&amp;$BW503)+COUNTIFS($BM$9:$BM$508,$BM503,$BP$9:$BP$508,$BP503,$BS$9:$BS$508,$BS503,$BU$9:$BU$508,$BU503,$BW$9:$BW$508,$BW503,$BY$9:$BY$508,"&lt;"&amp;$BY503)+1))</f>
        <v/>
      </c>
      <c r="CA503" s="86" t="str">
        <f aca="false">IF(ISBLANK($C503),"",IF($BL503&lt;&gt;Constants!$B$4,$BL503,$BQ503-$BZ503))</f>
        <v/>
      </c>
      <c r="CB503" s="93"/>
      <c r="CC503" s="94" t="str">
        <f aca="false">IF(ISBLANK($C503),"",IF($BL503=Constants!$B$8,$AR503,""))</f>
        <v/>
      </c>
      <c r="CD503" s="94" t="str">
        <f aca="false">IF(ISBLANK($C503),"",IF($BL503&lt;&gt;Constants!$B$4,"",IF($BB503="-&gt;",2,1)))</f>
        <v/>
      </c>
      <c r="CE503" s="95" t="str">
        <f aca="false">IF(ISBLANK($C503),"",IF($BL503&lt;&gt;Constants!$B$4,"",IF($BB503="-&gt;",$BE503,$AU503)))</f>
        <v/>
      </c>
      <c r="CF503" s="95" t="str">
        <f aca="false">IF(ISBLANK($C503),"",IF($BL503&lt;&gt;Constants!$B$4,"",IF($BB503="-&gt;",$BF503,$AV503)))</f>
        <v/>
      </c>
      <c r="CG503" s="95" t="str">
        <f aca="false">IF(ISBLANK($C503),"",IF($BL503&lt;&gt;Constants!$B$4,"",IF($BB503="-&gt;",$BG503,$AW503)))</f>
        <v/>
      </c>
      <c r="CH503" s="95" t="str">
        <f aca="false">IF(ISBLANK($C503),"",IF($BL503&lt;&gt;Constants!$B$4,"",IF($BB503="-&gt;",$BH503,$AX503)))</f>
        <v/>
      </c>
      <c r="CI503" s="96" t="str">
        <f aca="false">IF(ISBLANK($C503),"",$BO503)</f>
        <v/>
      </c>
      <c r="CJ503" s="97" t="str">
        <f aca="false">IF(ISBLANK($C503),"",$BM503)</f>
        <v/>
      </c>
      <c r="CK503" s="98" t="str">
        <f aca="false">IF(ISBLANK($C503),"",$CA503)</f>
        <v/>
      </c>
      <c r="CL503" s="98" t="str">
        <f aca="false">IF(ISBLANK($C503),"",$BZ503)</f>
        <v/>
      </c>
      <c r="CM503" s="99" t="str">
        <f aca="false">IF(ISBLANK($C503),"",IF($CL503=Constants!$B$7,COUNTA($C$9:$C$508)+2,IF($CL503=Constants!$B$6,COUNTA($C$9:$C$508)+1,IF($CL503=Constants!$B$5,COUNTA($C$9:$C$508),$CL503))))</f>
        <v/>
      </c>
      <c r="CN503" s="8"/>
      <c r="CO503" s="100" t="n">
        <f aca="false">IF(OR(ISNUMBER($CL503),$CL503=Constants!$B$7,$CL503=Constants!$B$5,$CL503=Constants!$B$6),1,0)</f>
        <v>0</v>
      </c>
      <c r="CP503" s="100" t="n">
        <v>495</v>
      </c>
      <c r="CQ503" s="100" t="str">
        <f aca="false">IF(ISBLANK($C503),"",IF(ISNUMBER($CM503),$CM503+ROW($B503)/1000,""))</f>
        <v/>
      </c>
      <c r="CR503" s="100" t="str">
        <f aca="false">IF(ISNUMBER($CQ503),RANK($CQ503,$CQ$9:$CQ$508,1),"")</f>
        <v/>
      </c>
      <c r="CS503" s="100" t="str">
        <f aca="false">IF(ISBLANK($C503),"",$B503)</f>
        <v/>
      </c>
      <c r="CT503" s="100" t="str">
        <f aca="false">IF(ISBLANK($C503),"",$C503)</f>
        <v/>
      </c>
      <c r="CU503" s="100" t="str">
        <f aca="false">IF(ISBLANK($C503),"",$D503)</f>
        <v/>
      </c>
      <c r="CV503" s="101" t="str">
        <f aca="false">$CJ503</f>
        <v/>
      </c>
      <c r="CW503" s="102" t="str">
        <f aca="false">$CI503</f>
        <v/>
      </c>
      <c r="CX503" s="100" t="str">
        <f aca="false">IF(ISBLANK($C503),"",$CL503)</f>
        <v/>
      </c>
      <c r="CY503" s="103" t="str">
        <f aca="false">IF($CP503&gt;$CO$8,"",VLOOKUP($CP503,$CR$9:$CX$508,7,FALSE()))</f>
        <v/>
      </c>
      <c r="CZ503" s="104" t="str">
        <f aca="false">IF($CP503&gt;$CO$8,"",VLOOKUP($CP503,$CR$9:$CX$508,2,FALSE()))</f>
        <v/>
      </c>
      <c r="DA503" s="104" t="str">
        <f aca="false">IF($CP503&gt;$CO$8,"",VLOOKUP($CP503,$CR$9:$CX$508,3,FALSE()))</f>
        <v/>
      </c>
      <c r="DB503" s="104" t="str">
        <f aca="false">IF($CP503&gt;$CO$8,"",VLOOKUP($CP503,$CR$9:$CX$508,4,FALSE()))</f>
        <v/>
      </c>
      <c r="DC503" s="104" t="str">
        <f aca="false">IF($CP503&gt;$CO$8,"",VLOOKUP($CP503,$CR$9:$CX$508,5,FALSE()))</f>
        <v/>
      </c>
      <c r="DD503" s="105" t="str">
        <f aca="false">IF($CP503&gt;$CO$8,"",VLOOKUP($CP503,$CR$9:$CX$508,6,FALSE()))</f>
        <v/>
      </c>
      <c r="DE503" s="70"/>
    </row>
    <row r="504" customFormat="false" ht="15.75" hidden="false" customHeight="false" outlineLevel="0" collapsed="false">
      <c r="A504" s="8"/>
      <c r="B504" s="146"/>
      <c r="C504" s="147"/>
      <c r="D504" s="148"/>
      <c r="E504" s="164"/>
      <c r="F504" s="150"/>
      <c r="G504" s="115"/>
      <c r="H504" s="115"/>
      <c r="I504" s="115"/>
      <c r="J504" s="165"/>
      <c r="K504" s="154"/>
      <c r="L504" s="154"/>
      <c r="M504" s="118"/>
      <c r="N504" s="154"/>
      <c r="O504" s="153"/>
      <c r="P504" s="154"/>
      <c r="Q504" s="154"/>
      <c r="R504" s="154"/>
      <c r="S504" s="115"/>
      <c r="T504" s="154"/>
      <c r="U504" s="153"/>
      <c r="V504" s="154"/>
      <c r="W504" s="123"/>
      <c r="X504" s="124" t="str">
        <f aca="false">IF(ISBLANK($C504),"",IF($E504=Constants!$B$2,TRUE(),IF($E504=Constants!$B$3,FALSE(),TRUE())))</f>
        <v/>
      </c>
      <c r="Y504" s="124" t="str">
        <f aca="false">IF(ISBLANK($C504),"",IF($F504=Constants!$B$2,TRUE(),IF($F504=Constants!$B$3,FALSE(),TRUE())))</f>
        <v/>
      </c>
      <c r="Z504" s="125" t="str">
        <f aca="false">IF(ISBLANK($C504),"",IF(ISNUMBER($G504),IF($G504&gt;=0,$G504,""),""))</f>
        <v/>
      </c>
      <c r="AA504" s="125" t="str">
        <f aca="false">IF(ISBLANK($C504),"",IF(ISNUMBER($H504),IF($H504&gt;=0,$H504,""),""))</f>
        <v/>
      </c>
      <c r="AB504" s="125" t="str">
        <f aca="false">IF(ISBLANK($C504),"",IF(ISNUMBER($I504),IF($I504&gt;=0,$I504,""),""))</f>
        <v/>
      </c>
      <c r="AC504" s="124" t="str">
        <f aca="false">IF(ISBLANK($C504),"",IF($J504=Constants!$B$2,TRUE(),IF($J504=Constants!$B$3,FALSE(),TRUE())))</f>
        <v/>
      </c>
      <c r="AD504" s="124" t="str">
        <f aca="false">IF(ISBLANK($C504),"",IF($K504=Constants!$B$2,TRUE(),IF($K504=Constants!$B$3,FALSE(),TRUE())))</f>
        <v/>
      </c>
      <c r="AE504" s="124" t="str">
        <f aca="false">IF(ISBLANK($C504),"",IF($L504=Constants!$B$2,TRUE(),IF($L504=Constants!$B$3,FALSE(),TRUE())))</f>
        <v/>
      </c>
      <c r="AF504" s="126" t="str">
        <f aca="false">IF(ISBLANK($C504),"",IF(ISNUMBER($M504),IF($M504&gt;=0,$M504,""),""))</f>
        <v/>
      </c>
      <c r="AG504" s="124" t="str">
        <f aca="false">IF(ISBLANK($C504),"",IF(ISBLANK($N504),0,IF(ISNUMBER($N504),IF(AND($N504&gt;=0,$N504&lt;=Constants!$B$17,$N504=INT($N504)),$N504,""),"")))</f>
        <v/>
      </c>
      <c r="AH504" s="125" t="str">
        <f aca="false">IF(ISBLANK($C504),"",IF(ISBLANK($O504),0,IF(ISNUMBER($O504),IF($O504&gt;=0,$O504,""),"")))</f>
        <v/>
      </c>
      <c r="AI504" s="124" t="str">
        <f aca="false">IF(ISBLANK($C504),"",IF($P504=Constants!$B$2,TRUE(),IF($P504=Constants!$B$3,FALSE(),TRUE())))</f>
        <v/>
      </c>
      <c r="AJ504" s="124" t="str">
        <f aca="false">IF(ISBLANK($C504),"",IF($Q504=Constants!$B$2,TRUE(),IF($Q504=Constants!$B$3,FALSE(),TRUE())))</f>
        <v/>
      </c>
      <c r="AK504" s="124" t="str">
        <f aca="false">IF(ISBLANK($C504),"",IF($R504=Constants!$B$2,TRUE(),IF($R504=Constants!$B$3,FALSE(),TRUE())))</f>
        <v/>
      </c>
      <c r="AL504" s="126" t="str">
        <f aca="false">IF(ISBLANK($C504),"",IF(ISNUMBER($S504),IF($S504&gt;=0,$S504,""),""))</f>
        <v/>
      </c>
      <c r="AM504" s="124" t="str">
        <f aca="false">IF(ISBLANK($C504),"",IF(ISBLANK($T504),0,IF(ISNUMBER($T504),IF(AND($T504&gt;=0,$T504&lt;=Constants!$B$17,$T504=INT($T504)),$T504,""),"")))</f>
        <v/>
      </c>
      <c r="AN504" s="125" t="str">
        <f aca="false">IF(ISBLANK($C504),"",IF(ISBLANK($U504),0,IF(ISNUMBER($U504),IF($U504&gt;=0,$U504,""),"")))</f>
        <v/>
      </c>
      <c r="AO504" s="124" t="str">
        <f aca="false">IF(ISBLANK($C504),"",IF($V504=Constants!$B$2,TRUE(),IF($V504=Constants!$B$3,FALSE(),FALSE())))</f>
        <v/>
      </c>
      <c r="AP504" s="124"/>
      <c r="AQ504" s="123" t="str">
        <f aca="false">IF(ISBLANK($C504),"",AND($Y504,OR($AS504,$BC504),OR($Z504="",$AA504="",$AB504="")))</f>
        <v/>
      </c>
      <c r="AR504" s="123" t="str">
        <f aca="false">IF(ISBLANK($C504),"",IF(OR(NOT($Y504),NOT(OR($AS504,$BC504))),"",IF(ISBLANK($D$7),$AR$5,IF($AP$9="",$AR$6,""))))</f>
        <v/>
      </c>
      <c r="AS504" s="123" t="str">
        <f aca="false">IF(ISBLANK($C504),"",COUNTA($J504:$O504)&gt;0)</f>
        <v/>
      </c>
      <c r="AT504" s="123" t="str">
        <f aca="false">IF(ISBLANK($C504),"",AND($AS504,OR(AND($AF504="",OR($AE504,NOT(ISBLANK($M504)))),$AG504="",$AH504="")))</f>
        <v/>
      </c>
      <c r="AU504" s="125" t="str">
        <f aca="false">IF($BL504&lt;&gt;Constants!$B$4,"",IF(NOT($AS504),"",ROUND((Constants!$B$12-$AB504)+(Constants!$B$13-$Z504)+(Constants!$B$14-$AA504),1)))</f>
        <v/>
      </c>
      <c r="AV504" s="127" t="str">
        <f aca="false">IF($BL504&lt;&gt;Constants!$B$4,"",IF(NOT($AS504),"",IF(NOT($AE504),0,Constants!$B$15*(INT(ROUND(MIN($AF504,$AP$9),6))-INT(ROUND(MAX(0,MIN($AF504,2*$AP$9)-$AP$9),6))))))</f>
        <v/>
      </c>
      <c r="AW504" s="127" t="str">
        <f aca="false">IF($BL504&lt;&gt;Constants!$B$4,"",IF(NOT($AS504),"",Constants!$B$16*$AG504))</f>
        <v/>
      </c>
      <c r="AX504" s="127" t="str">
        <f aca="false">IF($BL504&lt;&gt;Constants!$B$4,"",IF(NOT($AS504),"",Constants!$B$18*INT(ROUND($AH504,6))))</f>
        <v/>
      </c>
      <c r="AY504" s="123" t="str">
        <f aca="false">IF($BL504&lt;&gt;Constants!$B$4,"",IF(NOT($AS504),"",IF(NOT($X504),Constants!$B$11,IF(OR(NOT($AC504),NOT($AD504),ROUND($AB504,1)&gt;Constants!$B$12,ROUND($Z504,1)&gt;Constants!$B$13,ROUND($AA504,1)&gt;Constants!$B$14),Constants!$B$10,Constants!$B$9))))</f>
        <v/>
      </c>
      <c r="AZ504" s="128" t="str">
        <f aca="false">IF($BL504&lt;&gt;Constants!$B$4,"",IF(NOT($AS504),"",ROUND($AU504+$AV504+$AW504+$AX504,1)))</f>
        <v/>
      </c>
      <c r="BA504" s="129" t="str">
        <f aca="false">IF($BL504&lt;&gt;Constants!$B$4,"",IF(NOT($AS504),"",IF(ISNUMBER($AF504),$AF504,0)))</f>
        <v/>
      </c>
      <c r="BB504" s="124" t="str">
        <f aca="false">IF($BL504&lt;&gt;Constants!$B$4,"",IF(NOT($BC504),"&lt;-",IF(NOT($AS504),"-&gt;",IF(OR($BI504&lt;$AY504,AND($BI504=$AY504,OR($BJ504&gt;$AZ504,AND($BJ504=$AZ504,OR($BH504&gt;$AX504,AND($BH504=$AX504,OR($BE504&gt;$AU504,AND($BE504=$AU504,OR($BF504&gt;$AV504,AND($BF504=$AV504,$BK504&gt;$BA504)))))))))),"-&gt;","&lt;-"))))</f>
        <v/>
      </c>
      <c r="BC504" s="123" t="str">
        <f aca="false">IF(ISBLANK($C504),"",COUNTA($P504:$U504)&gt;0)</f>
        <v/>
      </c>
      <c r="BD504" s="123" t="str">
        <f aca="false">IF(ISBLANK($C504),"",AND($BC504,OR(AND($AL504="",OR($AK504,NOT(ISBLANK($S504)))),$AM504="",$AN504="")))</f>
        <v/>
      </c>
      <c r="BE504" s="125" t="str">
        <f aca="false">IF($BL504&lt;&gt;Constants!$B$4,"",IF(NOT($BC504),"",ROUND((Constants!$B$12-$AB504)+(Constants!$B$13-$Z504)+(Constants!$B$14-$AA504),1)))</f>
        <v/>
      </c>
      <c r="BF504" s="127" t="str">
        <f aca="false">IF($BL504&lt;&gt;Constants!$B$4,"",IF(NOT($BC504),"",IF(NOT($AK504),0,Constants!$B$15*(INT(ROUND(MIN($AL504,$AP$9),6))-INT(ROUND(MAX(0,MIN($AL504,2*$AP$9)-$AP$9),6))))))</f>
        <v/>
      </c>
      <c r="BG504" s="127" t="str">
        <f aca="false">IF($BL504&lt;&gt;Constants!$B$4,"",IF(NOT($BC504),"",Constants!$B$16*$AM504))</f>
        <v/>
      </c>
      <c r="BH504" s="127" t="str">
        <f aca="false">IF($BL504&lt;&gt;Constants!$B$4,"",IF(NOT($BC504),"",Constants!$B$18*INT(ROUND($AN504,6))))</f>
        <v/>
      </c>
      <c r="BI504" s="123" t="str">
        <f aca="false">IF($BL504&lt;&gt;Constants!$B$4,"",IF(NOT($BC504),"",IF(NOT($X504),Constants!$B$11,IF(OR(NOT($AI504),NOT($AJ504),ROUND($AB504,1)&gt;Constants!$B$12,ROUND($Z504,1)&gt;Constants!$B$13,ROUND($AA504,1)&gt;Constants!$B$14),Constants!$B$10,Constants!$B$9))))</f>
        <v/>
      </c>
      <c r="BJ504" s="128" t="str">
        <f aca="false">IF($BL504&lt;&gt;Constants!$B$4,"",IF(NOT($BC504),"",ROUND($BE504+$BF504+$BG504+$BH504,1)))</f>
        <v/>
      </c>
      <c r="BK504" s="129" t="str">
        <f aca="false">IF($BL504&lt;&gt;Constants!$B$4,"",IF(NOT($BC504),"",IF(ISNUMBER($AL504),$AL504,0)))</f>
        <v/>
      </c>
      <c r="BL504" s="124" t="str">
        <f aca="false">IF(ISBLANK($C504),"",IF($AO504,Constants!$B$7,IF(COUNTA($E504:$V504)=0,Constants!$B$6,IF(NOT($Y504),Constants!$B$5,IF(NOT(OR($AS504,$BC504)),Constants!$B$5,IF(OR($AT504,$BD504,$AQ504,$AR504&lt;&gt;""),Constants!$B$8,Constants!$B$4))))))</f>
        <v/>
      </c>
      <c r="BM504" s="124" t="str">
        <f aca="false">IF(ISBLANK($C504),"",IF($BL504&lt;&gt;Constants!$B$4,$BL504,IF($BB504="-&gt;",$BI504,$AY504)))</f>
        <v/>
      </c>
      <c r="BN504" s="127" t="str">
        <f aca="false">IF($BL504&lt;&gt;Constants!$B$4,"",IF($BB504="-&gt;",$BJ504,$AZ504))</f>
        <v/>
      </c>
      <c r="BO504" s="127" t="str">
        <f aca="false">IF(ISBLANK($C504),"",IF($BL504&lt;&gt;Constants!$B$4,$BL504,$BN504))</f>
        <v/>
      </c>
      <c r="BP504" s="124" t="str">
        <f aca="false">IF(ISBLANK($C504),"",IF($BL504&lt;&gt;Constants!$B$4,$BL504,RANK($BO504,$BO$9:$BO$508,0)))</f>
        <v/>
      </c>
      <c r="BQ504" s="124" t="str">
        <f aca="false">IF(ISBLANK($C504),"",IF($BL504&lt;&gt;Constants!$B$4,$BL504,COUNTIFS($BM$9:$BM$508,"&lt;"&amp;$BM504)+COUNTIFS($BM$9:$BM$508,$BM504,$BP$9:$BP$508,"&lt;"&amp;$BP504)+1))</f>
        <v/>
      </c>
      <c r="BR504" s="127" t="str">
        <f aca="false">IF($BL504&lt;&gt;Constants!$B$4,"",IF($BB504="-&gt;",$BH504,$AX504))</f>
        <v/>
      </c>
      <c r="BS504" s="124" t="str">
        <f aca="false">IF(ISBLANK($C504),"",IF($BL504&lt;&gt;Constants!$B$4,$BL504,IF(ISNUMBER($BR504),RANK($BR504,$BR$9:$BR$508,0),COUNT($BR$9:$BR$508)+1)))</f>
        <v/>
      </c>
      <c r="BT504" s="127" t="str">
        <f aca="false">IF($BL504&lt;&gt;Constants!$B$4,"",IF($BB504="-&gt;",$BE504,$AU504))</f>
        <v/>
      </c>
      <c r="BU504" s="124" t="str">
        <f aca="false">IF(ISBLANK($C504),"",IF($BL504&lt;&gt;Constants!$B$4,$BL504,IF(ISNUMBER($BT504),RANK($BT504,$BT$9:$BT$508,0),COUNT($BT$9:$BT$508)+1)))</f>
        <v/>
      </c>
      <c r="BV504" s="127" t="str">
        <f aca="false">IF($BL504&lt;&gt;Constants!$B$4,"",IF($BB504="-&gt;",$BF504,$AV504))</f>
        <v/>
      </c>
      <c r="BW504" s="124" t="str">
        <f aca="false">IF(ISBLANK($C504),"",IF($BL504&lt;&gt;Constants!$B$4,$BL504,IF(ISNUMBER($BV504),RANK($BV504,$BV$9:$BV$508,0),COUNT($BV$9:$BV$508)+1)))</f>
        <v/>
      </c>
      <c r="BX504" s="127" t="str">
        <f aca="false">IF($BL504&lt;&gt;Constants!$B$4,"",IF($BB504="-&gt;",$BK504,$BA504))</f>
        <v/>
      </c>
      <c r="BY504" s="124" t="str">
        <f aca="false">IF(ISBLANK($C504),"",IF($BL504&lt;&gt;Constants!$B$4,$BL504,IF(ISNUMBER($BX504),RANK($BX504,$BX$9:$BX$508,0),COUNT($BX$9:$BX$508)+1)))</f>
        <v/>
      </c>
      <c r="BZ504" s="124" t="str">
        <f aca="false">IF(ISBLANK($C504),"",IF($BL504&lt;&gt;Constants!$B$4,$BL504,COUNTIFS($BM$9:$BM$508,"&lt;"&amp;$BM504)+COUNTIFS($BM$9:$BM$508,$BM504,$BP$9:$BP$508,"&lt;"&amp;$BP504)+COUNTIFS($BM$9:$BM$508,$BM504,$BP$9:$BP$508,$BP504,$BS$9:$BS$508,"&lt;"&amp;$BS504)+COUNTIFS($BM$9:$BM$508,$BM504,$BP$9:$BP$508,$BP504,$BS$9:$BS$508,$BS504,$BU$9:$BU$508,"&lt;"&amp;$BU504)+COUNTIFS($BM$9:$BM$508,$BM504,$BP$9:$BP$508,$BP504,$BS$9:$BS$508,$BS504,$BU$9:$BU$508,$BU504,$BW$9:$BW$508,"&lt;"&amp;$BW504)+COUNTIFS($BM$9:$BM$508,$BM504,$BP$9:$BP$508,$BP504,$BS$9:$BS$508,$BS504,$BU$9:$BU$508,$BU504,$BW$9:$BW$508,$BW504,$BY$9:$BY$508,"&lt;"&amp;$BY504)+1))</f>
        <v/>
      </c>
      <c r="CA504" s="124" t="str">
        <f aca="false">IF(ISBLANK($C504),"",IF($BL504&lt;&gt;Constants!$B$4,$BL504,$BQ504-$BZ504))</f>
        <v/>
      </c>
      <c r="CB504" s="130"/>
      <c r="CC504" s="131" t="str">
        <f aca="false">IF(ISBLANK($C504),"",IF($BL504=Constants!$B$8,$AR504,""))</f>
        <v/>
      </c>
      <c r="CD504" s="131" t="str">
        <f aca="false">IF(ISBLANK($C504),"",IF($BL504&lt;&gt;Constants!$B$4,"",IF($BB504="-&gt;",2,1)))</f>
        <v/>
      </c>
      <c r="CE504" s="132" t="str">
        <f aca="false">IF(ISBLANK($C504),"",IF($BL504&lt;&gt;Constants!$B$4,"",IF($BB504="-&gt;",$BE504,$AU504)))</f>
        <v/>
      </c>
      <c r="CF504" s="132" t="str">
        <f aca="false">IF(ISBLANK($C504),"",IF($BL504&lt;&gt;Constants!$B$4,"",IF($BB504="-&gt;",$BF504,$AV504)))</f>
        <v/>
      </c>
      <c r="CG504" s="132" t="str">
        <f aca="false">IF(ISBLANK($C504),"",IF($BL504&lt;&gt;Constants!$B$4,"",IF($BB504="-&gt;",$BG504,$AW504)))</f>
        <v/>
      </c>
      <c r="CH504" s="132" t="str">
        <f aca="false">IF(ISBLANK($C504),"",IF($BL504&lt;&gt;Constants!$B$4,"",IF($BB504="-&gt;",$BH504,$AX504)))</f>
        <v/>
      </c>
      <c r="CI504" s="133" t="str">
        <f aca="false">IF(ISBLANK($C504),"",$BO504)</f>
        <v/>
      </c>
      <c r="CJ504" s="134" t="str">
        <f aca="false">IF(ISBLANK($C504),"",$BM504)</f>
        <v/>
      </c>
      <c r="CK504" s="135" t="str">
        <f aca="false">IF(ISBLANK($C504),"",$CA504)</f>
        <v/>
      </c>
      <c r="CL504" s="135" t="str">
        <f aca="false">IF(ISBLANK($C504),"",$BZ504)</f>
        <v/>
      </c>
      <c r="CM504" s="136" t="str">
        <f aca="false">IF(ISBLANK($C504),"",IF($CL504=Constants!$B$7,COUNTA($C$9:$C$508)+2,IF($CL504=Constants!$B$6,COUNTA($C$9:$C$508)+1,IF($CL504=Constants!$B$5,COUNTA($C$9:$C$508),$CL504))))</f>
        <v/>
      </c>
      <c r="CN504" s="8"/>
      <c r="CO504" s="137" t="n">
        <f aca="false">IF(OR(ISNUMBER($CL504),$CL504=Constants!$B$7,$CL504=Constants!$B$5,$CL504=Constants!$B$6),1,0)</f>
        <v>0</v>
      </c>
      <c r="CP504" s="137" t="n">
        <v>496</v>
      </c>
      <c r="CQ504" s="137" t="str">
        <f aca="false">IF(ISBLANK($C504),"",IF(ISNUMBER($CM504),$CM504+ROW($B504)/1000,""))</f>
        <v/>
      </c>
      <c r="CR504" s="137" t="str">
        <f aca="false">IF(ISNUMBER($CQ504),RANK($CQ504,$CQ$9:$CQ$508,1),"")</f>
        <v/>
      </c>
      <c r="CS504" s="137" t="str">
        <f aca="false">IF(ISBLANK($C504),"",$B504)</f>
        <v/>
      </c>
      <c r="CT504" s="137" t="str">
        <f aca="false">IF(ISBLANK($C504),"",$C504)</f>
        <v/>
      </c>
      <c r="CU504" s="137" t="str">
        <f aca="false">IF(ISBLANK($C504),"",$D504)</f>
        <v/>
      </c>
      <c r="CV504" s="138" t="str">
        <f aca="false">$CJ504</f>
        <v/>
      </c>
      <c r="CW504" s="139" t="str">
        <f aca="false">$CI504</f>
        <v/>
      </c>
      <c r="CX504" s="137" t="str">
        <f aca="false">IF(ISBLANK($C504),"",$CL504)</f>
        <v/>
      </c>
      <c r="CY504" s="140" t="str">
        <f aca="false">IF($CP504&gt;$CO$8,"",VLOOKUP($CP504,$CR$9:$CX$508,7,FALSE()))</f>
        <v/>
      </c>
      <c r="CZ504" s="141" t="str">
        <f aca="false">IF($CP504&gt;$CO$8,"",VLOOKUP($CP504,$CR$9:$CX$508,2,FALSE()))</f>
        <v/>
      </c>
      <c r="DA504" s="141" t="str">
        <f aca="false">IF($CP504&gt;$CO$8,"",VLOOKUP($CP504,$CR$9:$CX$508,3,FALSE()))</f>
        <v/>
      </c>
      <c r="DB504" s="141" t="str">
        <f aca="false">IF($CP504&gt;$CO$8,"",VLOOKUP($CP504,$CR$9:$CX$508,4,FALSE()))</f>
        <v/>
      </c>
      <c r="DC504" s="141" t="str">
        <f aca="false">IF($CP504&gt;$CO$8,"",VLOOKUP($CP504,$CR$9:$CX$508,5,FALSE()))</f>
        <v/>
      </c>
      <c r="DD504" s="142" t="str">
        <f aca="false">IF($CP504&gt;$CO$8,"",VLOOKUP($CP504,$CR$9:$CX$508,6,FALSE()))</f>
        <v/>
      </c>
      <c r="DE504" s="70"/>
    </row>
    <row r="505" customFormat="false" ht="15.75" hidden="false" customHeight="false" outlineLevel="0" collapsed="false">
      <c r="A505" s="8"/>
      <c r="B505" s="146"/>
      <c r="C505" s="147"/>
      <c r="D505" s="148"/>
      <c r="E505" s="164"/>
      <c r="F505" s="150"/>
      <c r="G505" s="115"/>
      <c r="H505" s="115"/>
      <c r="I505" s="115"/>
      <c r="J505" s="165"/>
      <c r="K505" s="154"/>
      <c r="L505" s="154"/>
      <c r="M505" s="118"/>
      <c r="N505" s="154"/>
      <c r="O505" s="153"/>
      <c r="P505" s="154"/>
      <c r="Q505" s="154"/>
      <c r="R505" s="154"/>
      <c r="S505" s="115"/>
      <c r="T505" s="154"/>
      <c r="U505" s="153"/>
      <c r="V505" s="154"/>
      <c r="W505" s="123"/>
      <c r="X505" s="124" t="str">
        <f aca="false">IF(ISBLANK($C505),"",IF($E505=Constants!$B$2,TRUE(),IF($E505=Constants!$B$3,FALSE(),TRUE())))</f>
        <v/>
      </c>
      <c r="Y505" s="124" t="str">
        <f aca="false">IF(ISBLANK($C505),"",IF($F505=Constants!$B$2,TRUE(),IF($F505=Constants!$B$3,FALSE(),TRUE())))</f>
        <v/>
      </c>
      <c r="Z505" s="125" t="str">
        <f aca="false">IF(ISBLANK($C505),"",IF(ISNUMBER($G505),IF($G505&gt;=0,$G505,""),""))</f>
        <v/>
      </c>
      <c r="AA505" s="125" t="str">
        <f aca="false">IF(ISBLANK($C505),"",IF(ISNUMBER($H505),IF($H505&gt;=0,$H505,""),""))</f>
        <v/>
      </c>
      <c r="AB505" s="125" t="str">
        <f aca="false">IF(ISBLANK($C505),"",IF(ISNUMBER($I505),IF($I505&gt;=0,$I505,""),""))</f>
        <v/>
      </c>
      <c r="AC505" s="124" t="str">
        <f aca="false">IF(ISBLANK($C505),"",IF($J505=Constants!$B$2,TRUE(),IF($J505=Constants!$B$3,FALSE(),TRUE())))</f>
        <v/>
      </c>
      <c r="AD505" s="124" t="str">
        <f aca="false">IF(ISBLANK($C505),"",IF($K505=Constants!$B$2,TRUE(),IF($K505=Constants!$B$3,FALSE(),TRUE())))</f>
        <v/>
      </c>
      <c r="AE505" s="124" t="str">
        <f aca="false">IF(ISBLANK($C505),"",IF($L505=Constants!$B$2,TRUE(),IF($L505=Constants!$B$3,FALSE(),TRUE())))</f>
        <v/>
      </c>
      <c r="AF505" s="126" t="str">
        <f aca="false">IF(ISBLANK($C505),"",IF(ISNUMBER($M505),IF($M505&gt;=0,$M505,""),""))</f>
        <v/>
      </c>
      <c r="AG505" s="124" t="str">
        <f aca="false">IF(ISBLANK($C505),"",IF(ISBLANK($N505),0,IF(ISNUMBER($N505),IF(AND($N505&gt;=0,$N505&lt;=Constants!$B$17,$N505=INT($N505)),$N505,""),"")))</f>
        <v/>
      </c>
      <c r="AH505" s="125" t="str">
        <f aca="false">IF(ISBLANK($C505),"",IF(ISBLANK($O505),0,IF(ISNUMBER($O505),IF($O505&gt;=0,$O505,""),"")))</f>
        <v/>
      </c>
      <c r="AI505" s="124" t="str">
        <f aca="false">IF(ISBLANK($C505),"",IF($P505=Constants!$B$2,TRUE(),IF($P505=Constants!$B$3,FALSE(),TRUE())))</f>
        <v/>
      </c>
      <c r="AJ505" s="124" t="str">
        <f aca="false">IF(ISBLANK($C505),"",IF($Q505=Constants!$B$2,TRUE(),IF($Q505=Constants!$B$3,FALSE(),TRUE())))</f>
        <v/>
      </c>
      <c r="AK505" s="124" t="str">
        <f aca="false">IF(ISBLANK($C505),"",IF($R505=Constants!$B$2,TRUE(),IF($R505=Constants!$B$3,FALSE(),TRUE())))</f>
        <v/>
      </c>
      <c r="AL505" s="126" t="str">
        <f aca="false">IF(ISBLANK($C505),"",IF(ISNUMBER($S505),IF($S505&gt;=0,$S505,""),""))</f>
        <v/>
      </c>
      <c r="AM505" s="124" t="str">
        <f aca="false">IF(ISBLANK($C505),"",IF(ISBLANK($T505),0,IF(ISNUMBER($T505),IF(AND($T505&gt;=0,$T505&lt;=Constants!$B$17,$T505=INT($T505)),$T505,""),"")))</f>
        <v/>
      </c>
      <c r="AN505" s="125" t="str">
        <f aca="false">IF(ISBLANK($C505),"",IF(ISBLANK($U505),0,IF(ISNUMBER($U505),IF($U505&gt;=0,$U505,""),"")))</f>
        <v/>
      </c>
      <c r="AO505" s="124" t="str">
        <f aca="false">IF(ISBLANK($C505),"",IF($V505=Constants!$B$2,TRUE(),IF($V505=Constants!$B$3,FALSE(),FALSE())))</f>
        <v/>
      </c>
      <c r="AP505" s="124"/>
      <c r="AQ505" s="123" t="str">
        <f aca="false">IF(ISBLANK($C505),"",AND($Y505,OR($AS505,$BC505),OR($Z505="",$AA505="",$AB505="")))</f>
        <v/>
      </c>
      <c r="AR505" s="123" t="str">
        <f aca="false">IF(ISBLANK($C505),"",IF(OR(NOT($Y505),NOT(OR($AS505,$BC505))),"",IF(ISBLANK($D$7),$AR$5,IF($AP$9="",$AR$6,""))))</f>
        <v/>
      </c>
      <c r="AS505" s="123" t="str">
        <f aca="false">IF(ISBLANK($C505),"",COUNTA($J505:$O505)&gt;0)</f>
        <v/>
      </c>
      <c r="AT505" s="123" t="str">
        <f aca="false">IF(ISBLANK($C505),"",AND($AS505,OR(AND($AF505="",OR($AE505,NOT(ISBLANK($M505)))),$AG505="",$AH505="")))</f>
        <v/>
      </c>
      <c r="AU505" s="125" t="str">
        <f aca="false">IF($BL505&lt;&gt;Constants!$B$4,"",IF(NOT($AS505),"",ROUND((Constants!$B$12-$AB505)+(Constants!$B$13-$Z505)+(Constants!$B$14-$AA505),1)))</f>
        <v/>
      </c>
      <c r="AV505" s="127" t="str">
        <f aca="false">IF($BL505&lt;&gt;Constants!$B$4,"",IF(NOT($AS505),"",IF(NOT($AE505),0,Constants!$B$15*(INT(ROUND(MIN($AF505,$AP$9),6))-INT(ROUND(MAX(0,MIN($AF505,2*$AP$9)-$AP$9),6))))))</f>
        <v/>
      </c>
      <c r="AW505" s="127" t="str">
        <f aca="false">IF($BL505&lt;&gt;Constants!$B$4,"",IF(NOT($AS505),"",Constants!$B$16*$AG505))</f>
        <v/>
      </c>
      <c r="AX505" s="127" t="str">
        <f aca="false">IF($BL505&lt;&gt;Constants!$B$4,"",IF(NOT($AS505),"",Constants!$B$18*INT(ROUND($AH505,6))))</f>
        <v/>
      </c>
      <c r="AY505" s="123" t="str">
        <f aca="false">IF($BL505&lt;&gt;Constants!$B$4,"",IF(NOT($AS505),"",IF(NOT($X505),Constants!$B$11,IF(OR(NOT($AC505),NOT($AD505),ROUND($AB505,1)&gt;Constants!$B$12,ROUND($Z505,1)&gt;Constants!$B$13,ROUND($AA505,1)&gt;Constants!$B$14),Constants!$B$10,Constants!$B$9))))</f>
        <v/>
      </c>
      <c r="AZ505" s="128" t="str">
        <f aca="false">IF($BL505&lt;&gt;Constants!$B$4,"",IF(NOT($AS505),"",ROUND($AU505+$AV505+$AW505+$AX505,1)))</f>
        <v/>
      </c>
      <c r="BA505" s="129" t="str">
        <f aca="false">IF($BL505&lt;&gt;Constants!$B$4,"",IF(NOT($AS505),"",IF(ISNUMBER($AF505),$AF505,0)))</f>
        <v/>
      </c>
      <c r="BB505" s="124" t="str">
        <f aca="false">IF($BL505&lt;&gt;Constants!$B$4,"",IF(NOT($BC505),"&lt;-",IF(NOT($AS505),"-&gt;",IF(OR($BI505&lt;$AY505,AND($BI505=$AY505,OR($BJ505&gt;$AZ505,AND($BJ505=$AZ505,OR($BH505&gt;$AX505,AND($BH505=$AX505,OR($BE505&gt;$AU505,AND($BE505=$AU505,OR($BF505&gt;$AV505,AND($BF505=$AV505,$BK505&gt;$BA505)))))))))),"-&gt;","&lt;-"))))</f>
        <v/>
      </c>
      <c r="BC505" s="123" t="str">
        <f aca="false">IF(ISBLANK($C505),"",COUNTA($P505:$U505)&gt;0)</f>
        <v/>
      </c>
      <c r="BD505" s="123" t="str">
        <f aca="false">IF(ISBLANK($C505),"",AND($BC505,OR(AND($AL505="",OR($AK505,NOT(ISBLANK($S505)))),$AM505="",$AN505="")))</f>
        <v/>
      </c>
      <c r="BE505" s="125" t="str">
        <f aca="false">IF($BL505&lt;&gt;Constants!$B$4,"",IF(NOT($BC505),"",ROUND((Constants!$B$12-$AB505)+(Constants!$B$13-$Z505)+(Constants!$B$14-$AA505),1)))</f>
        <v/>
      </c>
      <c r="BF505" s="127" t="str">
        <f aca="false">IF($BL505&lt;&gt;Constants!$B$4,"",IF(NOT($BC505),"",IF(NOT($AK505),0,Constants!$B$15*(INT(ROUND(MIN($AL505,$AP$9),6))-INT(ROUND(MAX(0,MIN($AL505,2*$AP$9)-$AP$9),6))))))</f>
        <v/>
      </c>
      <c r="BG505" s="127" t="str">
        <f aca="false">IF($BL505&lt;&gt;Constants!$B$4,"",IF(NOT($BC505),"",Constants!$B$16*$AM505))</f>
        <v/>
      </c>
      <c r="BH505" s="127" t="str">
        <f aca="false">IF($BL505&lt;&gt;Constants!$B$4,"",IF(NOT($BC505),"",Constants!$B$18*INT(ROUND($AN505,6))))</f>
        <v/>
      </c>
      <c r="BI505" s="123" t="str">
        <f aca="false">IF($BL505&lt;&gt;Constants!$B$4,"",IF(NOT($BC505),"",IF(NOT($X505),Constants!$B$11,IF(OR(NOT($AI505),NOT($AJ505),ROUND($AB505,1)&gt;Constants!$B$12,ROUND($Z505,1)&gt;Constants!$B$13,ROUND($AA505,1)&gt;Constants!$B$14),Constants!$B$10,Constants!$B$9))))</f>
        <v/>
      </c>
      <c r="BJ505" s="128" t="str">
        <f aca="false">IF($BL505&lt;&gt;Constants!$B$4,"",IF(NOT($BC505),"",ROUND($BE505+$BF505+$BG505+$BH505,1)))</f>
        <v/>
      </c>
      <c r="BK505" s="129" t="str">
        <f aca="false">IF($BL505&lt;&gt;Constants!$B$4,"",IF(NOT($BC505),"",IF(ISNUMBER($AL505),$AL505,0)))</f>
        <v/>
      </c>
      <c r="BL505" s="124" t="str">
        <f aca="false">IF(ISBLANK($C505),"",IF($AO505,Constants!$B$7,IF(COUNTA($E505:$V505)=0,Constants!$B$6,IF(NOT($Y505),Constants!$B$5,IF(NOT(OR($AS505,$BC505)),Constants!$B$5,IF(OR($AT505,$BD505,$AQ505,$AR505&lt;&gt;""),Constants!$B$8,Constants!$B$4))))))</f>
        <v/>
      </c>
      <c r="BM505" s="124" t="str">
        <f aca="false">IF(ISBLANK($C505),"",IF($BL505&lt;&gt;Constants!$B$4,$BL505,IF($BB505="-&gt;",$BI505,$AY505)))</f>
        <v/>
      </c>
      <c r="BN505" s="127" t="str">
        <f aca="false">IF($BL505&lt;&gt;Constants!$B$4,"",IF($BB505="-&gt;",$BJ505,$AZ505))</f>
        <v/>
      </c>
      <c r="BO505" s="127" t="str">
        <f aca="false">IF(ISBLANK($C505),"",IF($BL505&lt;&gt;Constants!$B$4,$BL505,$BN505))</f>
        <v/>
      </c>
      <c r="BP505" s="124" t="str">
        <f aca="false">IF(ISBLANK($C505),"",IF($BL505&lt;&gt;Constants!$B$4,$BL505,RANK($BO505,$BO$9:$BO$508,0)))</f>
        <v/>
      </c>
      <c r="BQ505" s="124" t="str">
        <f aca="false">IF(ISBLANK($C505),"",IF($BL505&lt;&gt;Constants!$B$4,$BL505,COUNTIFS($BM$9:$BM$508,"&lt;"&amp;$BM505)+COUNTIFS($BM$9:$BM$508,$BM505,$BP$9:$BP$508,"&lt;"&amp;$BP505)+1))</f>
        <v/>
      </c>
      <c r="BR505" s="127" t="str">
        <f aca="false">IF($BL505&lt;&gt;Constants!$B$4,"",IF($BB505="-&gt;",$BH505,$AX505))</f>
        <v/>
      </c>
      <c r="BS505" s="124" t="str">
        <f aca="false">IF(ISBLANK($C505),"",IF($BL505&lt;&gt;Constants!$B$4,$BL505,IF(ISNUMBER($BR505),RANK($BR505,$BR$9:$BR$508,0),COUNT($BR$9:$BR$508)+1)))</f>
        <v/>
      </c>
      <c r="BT505" s="127" t="str">
        <f aca="false">IF($BL505&lt;&gt;Constants!$B$4,"",IF($BB505="-&gt;",$BE505,$AU505))</f>
        <v/>
      </c>
      <c r="BU505" s="124" t="str">
        <f aca="false">IF(ISBLANK($C505),"",IF($BL505&lt;&gt;Constants!$B$4,$BL505,IF(ISNUMBER($BT505),RANK($BT505,$BT$9:$BT$508,0),COUNT($BT$9:$BT$508)+1)))</f>
        <v/>
      </c>
      <c r="BV505" s="127" t="str">
        <f aca="false">IF($BL505&lt;&gt;Constants!$B$4,"",IF($BB505="-&gt;",$BF505,$AV505))</f>
        <v/>
      </c>
      <c r="BW505" s="124" t="str">
        <f aca="false">IF(ISBLANK($C505),"",IF($BL505&lt;&gt;Constants!$B$4,$BL505,IF(ISNUMBER($BV505),RANK($BV505,$BV$9:$BV$508,0),COUNT($BV$9:$BV$508)+1)))</f>
        <v/>
      </c>
      <c r="BX505" s="127" t="str">
        <f aca="false">IF($BL505&lt;&gt;Constants!$B$4,"",IF($BB505="-&gt;",$BK505,$BA505))</f>
        <v/>
      </c>
      <c r="BY505" s="124" t="str">
        <f aca="false">IF(ISBLANK($C505),"",IF($BL505&lt;&gt;Constants!$B$4,$BL505,IF(ISNUMBER($BX505),RANK($BX505,$BX$9:$BX$508,0),COUNT($BX$9:$BX$508)+1)))</f>
        <v/>
      </c>
      <c r="BZ505" s="124" t="str">
        <f aca="false">IF(ISBLANK($C505),"",IF($BL505&lt;&gt;Constants!$B$4,$BL505,COUNTIFS($BM$9:$BM$508,"&lt;"&amp;$BM505)+COUNTIFS($BM$9:$BM$508,$BM505,$BP$9:$BP$508,"&lt;"&amp;$BP505)+COUNTIFS($BM$9:$BM$508,$BM505,$BP$9:$BP$508,$BP505,$BS$9:$BS$508,"&lt;"&amp;$BS505)+COUNTIFS($BM$9:$BM$508,$BM505,$BP$9:$BP$508,$BP505,$BS$9:$BS$508,$BS505,$BU$9:$BU$508,"&lt;"&amp;$BU505)+COUNTIFS($BM$9:$BM$508,$BM505,$BP$9:$BP$508,$BP505,$BS$9:$BS$508,$BS505,$BU$9:$BU$508,$BU505,$BW$9:$BW$508,"&lt;"&amp;$BW505)+COUNTIFS($BM$9:$BM$508,$BM505,$BP$9:$BP$508,$BP505,$BS$9:$BS$508,$BS505,$BU$9:$BU$508,$BU505,$BW$9:$BW$508,$BW505,$BY$9:$BY$508,"&lt;"&amp;$BY505)+1))</f>
        <v/>
      </c>
      <c r="CA505" s="124" t="str">
        <f aca="false">IF(ISBLANK($C505),"",IF($BL505&lt;&gt;Constants!$B$4,$BL505,$BQ505-$BZ505))</f>
        <v/>
      </c>
      <c r="CB505" s="130"/>
      <c r="CC505" s="131" t="str">
        <f aca="false">IF(ISBLANK($C505),"",IF($BL505=Constants!$B$8,$AR505,""))</f>
        <v/>
      </c>
      <c r="CD505" s="131" t="str">
        <f aca="false">IF(ISBLANK($C505),"",IF($BL505&lt;&gt;Constants!$B$4,"",IF($BB505="-&gt;",2,1)))</f>
        <v/>
      </c>
      <c r="CE505" s="132" t="str">
        <f aca="false">IF(ISBLANK($C505),"",IF($BL505&lt;&gt;Constants!$B$4,"",IF($BB505="-&gt;",$BE505,$AU505)))</f>
        <v/>
      </c>
      <c r="CF505" s="132" t="str">
        <f aca="false">IF(ISBLANK($C505),"",IF($BL505&lt;&gt;Constants!$B$4,"",IF($BB505="-&gt;",$BF505,$AV505)))</f>
        <v/>
      </c>
      <c r="CG505" s="132" t="str">
        <f aca="false">IF(ISBLANK($C505),"",IF($BL505&lt;&gt;Constants!$B$4,"",IF($BB505="-&gt;",$BG505,$AW505)))</f>
        <v/>
      </c>
      <c r="CH505" s="132" t="str">
        <f aca="false">IF(ISBLANK($C505),"",IF($BL505&lt;&gt;Constants!$B$4,"",IF($BB505="-&gt;",$BH505,$AX505)))</f>
        <v/>
      </c>
      <c r="CI505" s="133" t="str">
        <f aca="false">IF(ISBLANK($C505),"",$BO505)</f>
        <v/>
      </c>
      <c r="CJ505" s="134" t="str">
        <f aca="false">IF(ISBLANK($C505),"",$BM505)</f>
        <v/>
      </c>
      <c r="CK505" s="135" t="str">
        <f aca="false">IF(ISBLANK($C505),"",$CA505)</f>
        <v/>
      </c>
      <c r="CL505" s="135" t="str">
        <f aca="false">IF(ISBLANK($C505),"",$BZ505)</f>
        <v/>
      </c>
      <c r="CM505" s="136" t="str">
        <f aca="false">IF(ISBLANK($C505),"",IF($CL505=Constants!$B$7,COUNTA($C$9:$C$508)+2,IF($CL505=Constants!$B$6,COUNTA($C$9:$C$508)+1,IF($CL505=Constants!$B$5,COUNTA($C$9:$C$508),$CL505))))</f>
        <v/>
      </c>
      <c r="CN505" s="8"/>
      <c r="CO505" s="137" t="n">
        <f aca="false">IF(OR(ISNUMBER($CL505),$CL505=Constants!$B$7,$CL505=Constants!$B$5,$CL505=Constants!$B$6),1,0)</f>
        <v>0</v>
      </c>
      <c r="CP505" s="137" t="n">
        <v>497</v>
      </c>
      <c r="CQ505" s="137" t="str">
        <f aca="false">IF(ISBLANK($C505),"",IF(ISNUMBER($CM505),$CM505+ROW($B505)/1000,""))</f>
        <v/>
      </c>
      <c r="CR505" s="137" t="str">
        <f aca="false">IF(ISNUMBER($CQ505),RANK($CQ505,$CQ$9:$CQ$508,1),"")</f>
        <v/>
      </c>
      <c r="CS505" s="137" t="str">
        <f aca="false">IF(ISBLANK($C505),"",$B505)</f>
        <v/>
      </c>
      <c r="CT505" s="137" t="str">
        <f aca="false">IF(ISBLANK($C505),"",$C505)</f>
        <v/>
      </c>
      <c r="CU505" s="137" t="str">
        <f aca="false">IF(ISBLANK($C505),"",$D505)</f>
        <v/>
      </c>
      <c r="CV505" s="138" t="str">
        <f aca="false">$CJ505</f>
        <v/>
      </c>
      <c r="CW505" s="139" t="str">
        <f aca="false">$CI505</f>
        <v/>
      </c>
      <c r="CX505" s="137" t="str">
        <f aca="false">IF(ISBLANK($C505),"",$CL505)</f>
        <v/>
      </c>
      <c r="CY505" s="140" t="str">
        <f aca="false">IF($CP505&gt;$CO$8,"",VLOOKUP($CP505,$CR$9:$CX$508,7,FALSE()))</f>
        <v/>
      </c>
      <c r="CZ505" s="141" t="str">
        <f aca="false">IF($CP505&gt;$CO$8,"",VLOOKUP($CP505,$CR$9:$CX$508,2,FALSE()))</f>
        <v/>
      </c>
      <c r="DA505" s="141" t="str">
        <f aca="false">IF($CP505&gt;$CO$8,"",VLOOKUP($CP505,$CR$9:$CX$508,3,FALSE()))</f>
        <v/>
      </c>
      <c r="DB505" s="141" t="str">
        <f aca="false">IF($CP505&gt;$CO$8,"",VLOOKUP($CP505,$CR$9:$CX$508,4,FALSE()))</f>
        <v/>
      </c>
      <c r="DC505" s="141" t="str">
        <f aca="false">IF($CP505&gt;$CO$8,"",VLOOKUP($CP505,$CR$9:$CX$508,5,FALSE()))</f>
        <v/>
      </c>
      <c r="DD505" s="142" t="str">
        <f aca="false">IF($CP505&gt;$CO$8,"",VLOOKUP($CP505,$CR$9:$CX$508,6,FALSE()))</f>
        <v/>
      </c>
      <c r="DE505" s="70"/>
    </row>
    <row r="506" customFormat="false" ht="15.75" hidden="false" customHeight="false" outlineLevel="0" collapsed="false">
      <c r="A506" s="8"/>
      <c r="B506" s="146"/>
      <c r="C506" s="147"/>
      <c r="D506" s="148"/>
      <c r="E506" s="164"/>
      <c r="F506" s="150"/>
      <c r="G506" s="115"/>
      <c r="H506" s="115"/>
      <c r="I506" s="115"/>
      <c r="J506" s="165"/>
      <c r="K506" s="154"/>
      <c r="L506" s="154"/>
      <c r="M506" s="118"/>
      <c r="N506" s="154"/>
      <c r="O506" s="153"/>
      <c r="P506" s="154"/>
      <c r="Q506" s="154"/>
      <c r="R506" s="154"/>
      <c r="S506" s="115"/>
      <c r="T506" s="154"/>
      <c r="U506" s="153"/>
      <c r="V506" s="154"/>
      <c r="W506" s="123"/>
      <c r="X506" s="124" t="str">
        <f aca="false">IF(ISBLANK($C506),"",IF($E506=Constants!$B$2,TRUE(),IF($E506=Constants!$B$3,FALSE(),TRUE())))</f>
        <v/>
      </c>
      <c r="Y506" s="124" t="str">
        <f aca="false">IF(ISBLANK($C506),"",IF($F506=Constants!$B$2,TRUE(),IF($F506=Constants!$B$3,FALSE(),TRUE())))</f>
        <v/>
      </c>
      <c r="Z506" s="125" t="str">
        <f aca="false">IF(ISBLANK($C506),"",IF(ISNUMBER($G506),IF($G506&gt;=0,$G506,""),""))</f>
        <v/>
      </c>
      <c r="AA506" s="125" t="str">
        <f aca="false">IF(ISBLANK($C506),"",IF(ISNUMBER($H506),IF($H506&gt;=0,$H506,""),""))</f>
        <v/>
      </c>
      <c r="AB506" s="125" t="str">
        <f aca="false">IF(ISBLANK($C506),"",IF(ISNUMBER($I506),IF($I506&gt;=0,$I506,""),""))</f>
        <v/>
      </c>
      <c r="AC506" s="124" t="str">
        <f aca="false">IF(ISBLANK($C506),"",IF($J506=Constants!$B$2,TRUE(),IF($J506=Constants!$B$3,FALSE(),TRUE())))</f>
        <v/>
      </c>
      <c r="AD506" s="124" t="str">
        <f aca="false">IF(ISBLANK($C506),"",IF($K506=Constants!$B$2,TRUE(),IF($K506=Constants!$B$3,FALSE(),TRUE())))</f>
        <v/>
      </c>
      <c r="AE506" s="124" t="str">
        <f aca="false">IF(ISBLANK($C506),"",IF($L506=Constants!$B$2,TRUE(),IF($L506=Constants!$B$3,FALSE(),TRUE())))</f>
        <v/>
      </c>
      <c r="AF506" s="126" t="str">
        <f aca="false">IF(ISBLANK($C506),"",IF(ISNUMBER($M506),IF($M506&gt;=0,$M506,""),""))</f>
        <v/>
      </c>
      <c r="AG506" s="124" t="str">
        <f aca="false">IF(ISBLANK($C506),"",IF(ISBLANK($N506),0,IF(ISNUMBER($N506),IF(AND($N506&gt;=0,$N506&lt;=Constants!$B$17,$N506=INT($N506)),$N506,""),"")))</f>
        <v/>
      </c>
      <c r="AH506" s="125" t="str">
        <f aca="false">IF(ISBLANK($C506),"",IF(ISBLANK($O506),0,IF(ISNUMBER($O506),IF($O506&gt;=0,$O506,""),"")))</f>
        <v/>
      </c>
      <c r="AI506" s="124" t="str">
        <f aca="false">IF(ISBLANK($C506),"",IF($P506=Constants!$B$2,TRUE(),IF($P506=Constants!$B$3,FALSE(),TRUE())))</f>
        <v/>
      </c>
      <c r="AJ506" s="124" t="str">
        <f aca="false">IF(ISBLANK($C506),"",IF($Q506=Constants!$B$2,TRUE(),IF($Q506=Constants!$B$3,FALSE(),TRUE())))</f>
        <v/>
      </c>
      <c r="AK506" s="124" t="str">
        <f aca="false">IF(ISBLANK($C506),"",IF($R506=Constants!$B$2,TRUE(),IF($R506=Constants!$B$3,FALSE(),TRUE())))</f>
        <v/>
      </c>
      <c r="AL506" s="126" t="str">
        <f aca="false">IF(ISBLANK($C506),"",IF(ISNUMBER($S506),IF($S506&gt;=0,$S506,""),""))</f>
        <v/>
      </c>
      <c r="AM506" s="124" t="str">
        <f aca="false">IF(ISBLANK($C506),"",IF(ISBLANK($T506),0,IF(ISNUMBER($T506),IF(AND($T506&gt;=0,$T506&lt;=Constants!$B$17,$T506=INT($T506)),$T506,""),"")))</f>
        <v/>
      </c>
      <c r="AN506" s="125" t="str">
        <f aca="false">IF(ISBLANK($C506),"",IF(ISBLANK($U506),0,IF(ISNUMBER($U506),IF($U506&gt;=0,$U506,""),"")))</f>
        <v/>
      </c>
      <c r="AO506" s="124" t="str">
        <f aca="false">IF(ISBLANK($C506),"",IF($V506=Constants!$B$2,TRUE(),IF($V506=Constants!$B$3,FALSE(),FALSE())))</f>
        <v/>
      </c>
      <c r="AP506" s="124"/>
      <c r="AQ506" s="123" t="str">
        <f aca="false">IF(ISBLANK($C506),"",AND($Y506,OR($AS506,$BC506),OR($Z506="",$AA506="",$AB506="")))</f>
        <v/>
      </c>
      <c r="AR506" s="123" t="str">
        <f aca="false">IF(ISBLANK($C506),"",IF(OR(NOT($Y506),NOT(OR($AS506,$BC506))),"",IF(ISBLANK($D$7),$AR$5,IF($AP$9="",$AR$6,""))))</f>
        <v/>
      </c>
      <c r="AS506" s="123" t="str">
        <f aca="false">IF(ISBLANK($C506),"",COUNTA($J506:$O506)&gt;0)</f>
        <v/>
      </c>
      <c r="AT506" s="123" t="str">
        <f aca="false">IF(ISBLANK($C506),"",AND($AS506,OR(AND($AF506="",OR($AE506,NOT(ISBLANK($M506)))),$AG506="",$AH506="")))</f>
        <v/>
      </c>
      <c r="AU506" s="125" t="str">
        <f aca="false">IF($BL506&lt;&gt;Constants!$B$4,"",IF(NOT($AS506),"",ROUND((Constants!$B$12-$AB506)+(Constants!$B$13-$Z506)+(Constants!$B$14-$AA506),1)))</f>
        <v/>
      </c>
      <c r="AV506" s="127" t="str">
        <f aca="false">IF($BL506&lt;&gt;Constants!$B$4,"",IF(NOT($AS506),"",IF(NOT($AE506),0,Constants!$B$15*(INT(ROUND(MIN($AF506,$AP$9),6))-INT(ROUND(MAX(0,MIN($AF506,2*$AP$9)-$AP$9),6))))))</f>
        <v/>
      </c>
      <c r="AW506" s="127" t="str">
        <f aca="false">IF($BL506&lt;&gt;Constants!$B$4,"",IF(NOT($AS506),"",Constants!$B$16*$AG506))</f>
        <v/>
      </c>
      <c r="AX506" s="127" t="str">
        <f aca="false">IF($BL506&lt;&gt;Constants!$B$4,"",IF(NOT($AS506),"",Constants!$B$18*INT(ROUND($AH506,6))))</f>
        <v/>
      </c>
      <c r="AY506" s="123" t="str">
        <f aca="false">IF($BL506&lt;&gt;Constants!$B$4,"",IF(NOT($AS506),"",IF(NOT($X506),Constants!$B$11,IF(OR(NOT($AC506),NOT($AD506),ROUND($AB506,1)&gt;Constants!$B$12,ROUND($Z506,1)&gt;Constants!$B$13,ROUND($AA506,1)&gt;Constants!$B$14),Constants!$B$10,Constants!$B$9))))</f>
        <v/>
      </c>
      <c r="AZ506" s="128" t="str">
        <f aca="false">IF($BL506&lt;&gt;Constants!$B$4,"",IF(NOT($AS506),"",ROUND($AU506+$AV506+$AW506+$AX506,1)))</f>
        <v/>
      </c>
      <c r="BA506" s="129" t="str">
        <f aca="false">IF($BL506&lt;&gt;Constants!$B$4,"",IF(NOT($AS506),"",IF(ISNUMBER($AF506),$AF506,0)))</f>
        <v/>
      </c>
      <c r="BB506" s="124" t="str">
        <f aca="false">IF($BL506&lt;&gt;Constants!$B$4,"",IF(NOT($BC506),"&lt;-",IF(NOT($AS506),"-&gt;",IF(OR($BI506&lt;$AY506,AND($BI506=$AY506,OR($BJ506&gt;$AZ506,AND($BJ506=$AZ506,OR($BH506&gt;$AX506,AND($BH506=$AX506,OR($BE506&gt;$AU506,AND($BE506=$AU506,OR($BF506&gt;$AV506,AND($BF506=$AV506,$BK506&gt;$BA506)))))))))),"-&gt;","&lt;-"))))</f>
        <v/>
      </c>
      <c r="BC506" s="123" t="str">
        <f aca="false">IF(ISBLANK($C506),"",COUNTA($P506:$U506)&gt;0)</f>
        <v/>
      </c>
      <c r="BD506" s="123" t="str">
        <f aca="false">IF(ISBLANK($C506),"",AND($BC506,OR(AND($AL506="",OR($AK506,NOT(ISBLANK($S506)))),$AM506="",$AN506="")))</f>
        <v/>
      </c>
      <c r="BE506" s="125" t="str">
        <f aca="false">IF($BL506&lt;&gt;Constants!$B$4,"",IF(NOT($BC506),"",ROUND((Constants!$B$12-$AB506)+(Constants!$B$13-$Z506)+(Constants!$B$14-$AA506),1)))</f>
        <v/>
      </c>
      <c r="BF506" s="127" t="str">
        <f aca="false">IF($BL506&lt;&gt;Constants!$B$4,"",IF(NOT($BC506),"",IF(NOT($AK506),0,Constants!$B$15*(INT(ROUND(MIN($AL506,$AP$9),6))-INT(ROUND(MAX(0,MIN($AL506,2*$AP$9)-$AP$9),6))))))</f>
        <v/>
      </c>
      <c r="BG506" s="127" t="str">
        <f aca="false">IF($BL506&lt;&gt;Constants!$B$4,"",IF(NOT($BC506),"",Constants!$B$16*$AM506))</f>
        <v/>
      </c>
      <c r="BH506" s="127" t="str">
        <f aca="false">IF($BL506&lt;&gt;Constants!$B$4,"",IF(NOT($BC506),"",Constants!$B$18*INT(ROUND($AN506,6))))</f>
        <v/>
      </c>
      <c r="BI506" s="123" t="str">
        <f aca="false">IF($BL506&lt;&gt;Constants!$B$4,"",IF(NOT($BC506),"",IF(NOT($X506),Constants!$B$11,IF(OR(NOT($AI506),NOT($AJ506),ROUND($AB506,1)&gt;Constants!$B$12,ROUND($Z506,1)&gt;Constants!$B$13,ROUND($AA506,1)&gt;Constants!$B$14),Constants!$B$10,Constants!$B$9))))</f>
        <v/>
      </c>
      <c r="BJ506" s="128" t="str">
        <f aca="false">IF($BL506&lt;&gt;Constants!$B$4,"",IF(NOT($BC506),"",ROUND($BE506+$BF506+$BG506+$BH506,1)))</f>
        <v/>
      </c>
      <c r="BK506" s="129" t="str">
        <f aca="false">IF($BL506&lt;&gt;Constants!$B$4,"",IF(NOT($BC506),"",IF(ISNUMBER($AL506),$AL506,0)))</f>
        <v/>
      </c>
      <c r="BL506" s="124" t="str">
        <f aca="false">IF(ISBLANK($C506),"",IF($AO506,Constants!$B$7,IF(COUNTA($E506:$V506)=0,Constants!$B$6,IF(NOT($Y506),Constants!$B$5,IF(NOT(OR($AS506,$BC506)),Constants!$B$5,IF(OR($AT506,$BD506,$AQ506,$AR506&lt;&gt;""),Constants!$B$8,Constants!$B$4))))))</f>
        <v/>
      </c>
      <c r="BM506" s="124" t="str">
        <f aca="false">IF(ISBLANK($C506),"",IF($BL506&lt;&gt;Constants!$B$4,$BL506,IF($BB506="-&gt;",$BI506,$AY506)))</f>
        <v/>
      </c>
      <c r="BN506" s="127" t="str">
        <f aca="false">IF($BL506&lt;&gt;Constants!$B$4,"",IF($BB506="-&gt;",$BJ506,$AZ506))</f>
        <v/>
      </c>
      <c r="BO506" s="127" t="str">
        <f aca="false">IF(ISBLANK($C506),"",IF($BL506&lt;&gt;Constants!$B$4,$BL506,$BN506))</f>
        <v/>
      </c>
      <c r="BP506" s="124" t="str">
        <f aca="false">IF(ISBLANK($C506),"",IF($BL506&lt;&gt;Constants!$B$4,$BL506,RANK($BO506,$BO$9:$BO$508,0)))</f>
        <v/>
      </c>
      <c r="BQ506" s="124" t="str">
        <f aca="false">IF(ISBLANK($C506),"",IF($BL506&lt;&gt;Constants!$B$4,$BL506,COUNTIFS($BM$9:$BM$508,"&lt;"&amp;$BM506)+COUNTIFS($BM$9:$BM$508,$BM506,$BP$9:$BP$508,"&lt;"&amp;$BP506)+1))</f>
        <v/>
      </c>
      <c r="BR506" s="127" t="str">
        <f aca="false">IF($BL506&lt;&gt;Constants!$B$4,"",IF($BB506="-&gt;",$BH506,$AX506))</f>
        <v/>
      </c>
      <c r="BS506" s="124" t="str">
        <f aca="false">IF(ISBLANK($C506),"",IF($BL506&lt;&gt;Constants!$B$4,$BL506,IF(ISNUMBER($BR506),RANK($BR506,$BR$9:$BR$508,0),COUNT($BR$9:$BR$508)+1)))</f>
        <v/>
      </c>
      <c r="BT506" s="127" t="str">
        <f aca="false">IF($BL506&lt;&gt;Constants!$B$4,"",IF($BB506="-&gt;",$BE506,$AU506))</f>
        <v/>
      </c>
      <c r="BU506" s="124" t="str">
        <f aca="false">IF(ISBLANK($C506),"",IF($BL506&lt;&gt;Constants!$B$4,$BL506,IF(ISNUMBER($BT506),RANK($BT506,$BT$9:$BT$508,0),COUNT($BT$9:$BT$508)+1)))</f>
        <v/>
      </c>
      <c r="BV506" s="127" t="str">
        <f aca="false">IF($BL506&lt;&gt;Constants!$B$4,"",IF($BB506="-&gt;",$BF506,$AV506))</f>
        <v/>
      </c>
      <c r="BW506" s="124" t="str">
        <f aca="false">IF(ISBLANK($C506),"",IF($BL506&lt;&gt;Constants!$B$4,$BL506,IF(ISNUMBER($BV506),RANK($BV506,$BV$9:$BV$508,0),COUNT($BV$9:$BV$508)+1)))</f>
        <v/>
      </c>
      <c r="BX506" s="127" t="str">
        <f aca="false">IF($BL506&lt;&gt;Constants!$B$4,"",IF($BB506="-&gt;",$BK506,$BA506))</f>
        <v/>
      </c>
      <c r="BY506" s="124" t="str">
        <f aca="false">IF(ISBLANK($C506),"",IF($BL506&lt;&gt;Constants!$B$4,$BL506,IF(ISNUMBER($BX506),RANK($BX506,$BX$9:$BX$508,0),COUNT($BX$9:$BX$508)+1)))</f>
        <v/>
      </c>
      <c r="BZ506" s="124" t="str">
        <f aca="false">IF(ISBLANK($C506),"",IF($BL506&lt;&gt;Constants!$B$4,$BL506,COUNTIFS($BM$9:$BM$508,"&lt;"&amp;$BM506)+COUNTIFS($BM$9:$BM$508,$BM506,$BP$9:$BP$508,"&lt;"&amp;$BP506)+COUNTIFS($BM$9:$BM$508,$BM506,$BP$9:$BP$508,$BP506,$BS$9:$BS$508,"&lt;"&amp;$BS506)+COUNTIFS($BM$9:$BM$508,$BM506,$BP$9:$BP$508,$BP506,$BS$9:$BS$508,$BS506,$BU$9:$BU$508,"&lt;"&amp;$BU506)+COUNTIFS($BM$9:$BM$508,$BM506,$BP$9:$BP$508,$BP506,$BS$9:$BS$508,$BS506,$BU$9:$BU$508,$BU506,$BW$9:$BW$508,"&lt;"&amp;$BW506)+COUNTIFS($BM$9:$BM$508,$BM506,$BP$9:$BP$508,$BP506,$BS$9:$BS$508,$BS506,$BU$9:$BU$508,$BU506,$BW$9:$BW$508,$BW506,$BY$9:$BY$508,"&lt;"&amp;$BY506)+1))</f>
        <v/>
      </c>
      <c r="CA506" s="124" t="str">
        <f aca="false">IF(ISBLANK($C506),"",IF($BL506&lt;&gt;Constants!$B$4,$BL506,$BQ506-$BZ506))</f>
        <v/>
      </c>
      <c r="CB506" s="130"/>
      <c r="CC506" s="131" t="str">
        <f aca="false">IF(ISBLANK($C506),"",IF($BL506=Constants!$B$8,$AR506,""))</f>
        <v/>
      </c>
      <c r="CD506" s="131" t="str">
        <f aca="false">IF(ISBLANK($C506),"",IF($BL506&lt;&gt;Constants!$B$4,"",IF($BB506="-&gt;",2,1)))</f>
        <v/>
      </c>
      <c r="CE506" s="132" t="str">
        <f aca="false">IF(ISBLANK($C506),"",IF($BL506&lt;&gt;Constants!$B$4,"",IF($BB506="-&gt;",$BE506,$AU506)))</f>
        <v/>
      </c>
      <c r="CF506" s="132" t="str">
        <f aca="false">IF(ISBLANK($C506),"",IF($BL506&lt;&gt;Constants!$B$4,"",IF($BB506="-&gt;",$BF506,$AV506)))</f>
        <v/>
      </c>
      <c r="CG506" s="132" t="str">
        <f aca="false">IF(ISBLANK($C506),"",IF($BL506&lt;&gt;Constants!$B$4,"",IF($BB506="-&gt;",$BG506,$AW506)))</f>
        <v/>
      </c>
      <c r="CH506" s="132" t="str">
        <f aca="false">IF(ISBLANK($C506),"",IF($BL506&lt;&gt;Constants!$B$4,"",IF($BB506="-&gt;",$BH506,$AX506)))</f>
        <v/>
      </c>
      <c r="CI506" s="133" t="str">
        <f aca="false">IF(ISBLANK($C506),"",$BO506)</f>
        <v/>
      </c>
      <c r="CJ506" s="134" t="str">
        <f aca="false">IF(ISBLANK($C506),"",$BM506)</f>
        <v/>
      </c>
      <c r="CK506" s="135" t="str">
        <f aca="false">IF(ISBLANK($C506),"",$CA506)</f>
        <v/>
      </c>
      <c r="CL506" s="135" t="str">
        <f aca="false">IF(ISBLANK($C506),"",$BZ506)</f>
        <v/>
      </c>
      <c r="CM506" s="136" t="str">
        <f aca="false">IF(ISBLANK($C506),"",IF($CL506=Constants!$B$7,COUNTA($C$9:$C$508)+2,IF($CL506=Constants!$B$6,COUNTA($C$9:$C$508)+1,IF($CL506=Constants!$B$5,COUNTA($C$9:$C$508),$CL506))))</f>
        <v/>
      </c>
      <c r="CN506" s="8"/>
      <c r="CO506" s="137" t="n">
        <f aca="false">IF(OR(ISNUMBER($CL506),$CL506=Constants!$B$7,$CL506=Constants!$B$5,$CL506=Constants!$B$6),1,0)</f>
        <v>0</v>
      </c>
      <c r="CP506" s="137" t="n">
        <v>498</v>
      </c>
      <c r="CQ506" s="137" t="str">
        <f aca="false">IF(ISBLANK($C506),"",IF(ISNUMBER($CM506),$CM506+ROW($B506)/1000,""))</f>
        <v/>
      </c>
      <c r="CR506" s="137" t="str">
        <f aca="false">IF(ISNUMBER($CQ506),RANK($CQ506,$CQ$9:$CQ$508,1),"")</f>
        <v/>
      </c>
      <c r="CS506" s="137" t="str">
        <f aca="false">IF(ISBLANK($C506),"",$B506)</f>
        <v/>
      </c>
      <c r="CT506" s="137" t="str">
        <f aca="false">IF(ISBLANK($C506),"",$C506)</f>
        <v/>
      </c>
      <c r="CU506" s="137" t="str">
        <f aca="false">IF(ISBLANK($C506),"",$D506)</f>
        <v/>
      </c>
      <c r="CV506" s="138" t="str">
        <f aca="false">$CJ506</f>
        <v/>
      </c>
      <c r="CW506" s="139" t="str">
        <f aca="false">$CI506</f>
        <v/>
      </c>
      <c r="CX506" s="137" t="str">
        <f aca="false">IF(ISBLANK($C506),"",$CL506)</f>
        <v/>
      </c>
      <c r="CY506" s="140" t="str">
        <f aca="false">IF($CP506&gt;$CO$8,"",VLOOKUP($CP506,$CR$9:$CX$508,7,FALSE()))</f>
        <v/>
      </c>
      <c r="CZ506" s="141" t="str">
        <f aca="false">IF($CP506&gt;$CO$8,"",VLOOKUP($CP506,$CR$9:$CX$508,2,FALSE()))</f>
        <v/>
      </c>
      <c r="DA506" s="141" t="str">
        <f aca="false">IF($CP506&gt;$CO$8,"",VLOOKUP($CP506,$CR$9:$CX$508,3,FALSE()))</f>
        <v/>
      </c>
      <c r="DB506" s="141" t="str">
        <f aca="false">IF($CP506&gt;$CO$8,"",VLOOKUP($CP506,$CR$9:$CX$508,4,FALSE()))</f>
        <v/>
      </c>
      <c r="DC506" s="141" t="str">
        <f aca="false">IF($CP506&gt;$CO$8,"",VLOOKUP($CP506,$CR$9:$CX$508,5,FALSE()))</f>
        <v/>
      </c>
      <c r="DD506" s="142" t="str">
        <f aca="false">IF($CP506&gt;$CO$8,"",VLOOKUP($CP506,$CR$9:$CX$508,6,FALSE()))</f>
        <v/>
      </c>
      <c r="DE506" s="70"/>
    </row>
    <row r="507" customFormat="false" ht="15.75" hidden="false" customHeight="false" outlineLevel="0" collapsed="false">
      <c r="A507" s="8"/>
      <c r="B507" s="72"/>
      <c r="C507" s="73"/>
      <c r="D507" s="155"/>
      <c r="E507" s="162"/>
      <c r="F507" s="157"/>
      <c r="G507" s="77"/>
      <c r="H507" s="77"/>
      <c r="I507" s="77"/>
      <c r="J507" s="163"/>
      <c r="K507" s="161"/>
      <c r="L507" s="161"/>
      <c r="M507" s="80"/>
      <c r="N507" s="161"/>
      <c r="O507" s="160"/>
      <c r="P507" s="161"/>
      <c r="Q507" s="161"/>
      <c r="R507" s="161"/>
      <c r="S507" s="77"/>
      <c r="T507" s="161"/>
      <c r="U507" s="160"/>
      <c r="V507" s="161"/>
      <c r="W507" s="85"/>
      <c r="X507" s="86" t="str">
        <f aca="false">IF(ISBLANK($C507),"",IF($E507=Constants!$B$2,TRUE(),IF($E507=Constants!$B$3,FALSE(),TRUE())))</f>
        <v/>
      </c>
      <c r="Y507" s="86" t="str">
        <f aca="false">IF(ISBLANK($C507),"",IF($F507=Constants!$B$2,TRUE(),IF($F507=Constants!$B$3,FALSE(),TRUE())))</f>
        <v/>
      </c>
      <c r="Z507" s="87" t="str">
        <f aca="false">IF(ISBLANK($C507),"",IF(ISNUMBER($G507),IF($G507&gt;=0,$G507,""),""))</f>
        <v/>
      </c>
      <c r="AA507" s="87" t="str">
        <f aca="false">IF(ISBLANK($C507),"",IF(ISNUMBER($H507),IF($H507&gt;=0,$H507,""),""))</f>
        <v/>
      </c>
      <c r="AB507" s="87" t="str">
        <f aca="false">IF(ISBLANK($C507),"",IF(ISNUMBER($I507),IF($I507&gt;=0,$I507,""),""))</f>
        <v/>
      </c>
      <c r="AC507" s="86" t="str">
        <f aca="false">IF(ISBLANK($C507),"",IF($J507=Constants!$B$2,TRUE(),IF($J507=Constants!$B$3,FALSE(),TRUE())))</f>
        <v/>
      </c>
      <c r="AD507" s="86" t="str">
        <f aca="false">IF(ISBLANK($C507),"",IF($K507=Constants!$B$2,TRUE(),IF($K507=Constants!$B$3,FALSE(),TRUE())))</f>
        <v/>
      </c>
      <c r="AE507" s="86" t="str">
        <f aca="false">IF(ISBLANK($C507),"",IF($L507=Constants!$B$2,TRUE(),IF($L507=Constants!$B$3,FALSE(),TRUE())))</f>
        <v/>
      </c>
      <c r="AF507" s="88" t="str">
        <f aca="false">IF(ISBLANK($C507),"",IF(ISNUMBER($M507),IF($M507&gt;=0,$M507,""),""))</f>
        <v/>
      </c>
      <c r="AG507" s="86" t="str">
        <f aca="false">IF(ISBLANK($C507),"",IF(ISBLANK($N507),0,IF(ISNUMBER($N507),IF(AND($N507&gt;=0,$N507&lt;=Constants!$B$17,$N507=INT($N507)),$N507,""),"")))</f>
        <v/>
      </c>
      <c r="AH507" s="87" t="str">
        <f aca="false">IF(ISBLANK($C507),"",IF(ISBLANK($O507),0,IF(ISNUMBER($O507),IF($O507&gt;=0,$O507,""),"")))</f>
        <v/>
      </c>
      <c r="AI507" s="86" t="str">
        <f aca="false">IF(ISBLANK($C507),"",IF($P507=Constants!$B$2,TRUE(),IF($P507=Constants!$B$3,FALSE(),TRUE())))</f>
        <v/>
      </c>
      <c r="AJ507" s="86" t="str">
        <f aca="false">IF(ISBLANK($C507),"",IF($Q507=Constants!$B$2,TRUE(),IF($Q507=Constants!$B$3,FALSE(),TRUE())))</f>
        <v/>
      </c>
      <c r="AK507" s="86" t="str">
        <f aca="false">IF(ISBLANK($C507),"",IF($R507=Constants!$B$2,TRUE(),IF($R507=Constants!$B$3,FALSE(),TRUE())))</f>
        <v/>
      </c>
      <c r="AL507" s="88" t="str">
        <f aca="false">IF(ISBLANK($C507),"",IF(ISNUMBER($S507),IF($S507&gt;=0,$S507,""),""))</f>
        <v/>
      </c>
      <c r="AM507" s="86" t="str">
        <f aca="false">IF(ISBLANK($C507),"",IF(ISBLANK($T507),0,IF(ISNUMBER($T507),IF(AND($T507&gt;=0,$T507&lt;=Constants!$B$17,$T507=INT($T507)),$T507,""),"")))</f>
        <v/>
      </c>
      <c r="AN507" s="87" t="str">
        <f aca="false">IF(ISBLANK($C507),"",IF(ISBLANK($U507),0,IF(ISNUMBER($U507),IF($U507&gt;=0,$U507,""),"")))</f>
        <v/>
      </c>
      <c r="AO507" s="86" t="str">
        <f aca="false">IF(ISBLANK($C507),"",IF($V507=Constants!$B$2,TRUE(),IF($V507=Constants!$B$3,FALSE(),FALSE())))</f>
        <v/>
      </c>
      <c r="AP507" s="86"/>
      <c r="AQ507" s="85" t="str">
        <f aca="false">IF(ISBLANK($C507),"",AND($Y507,OR($AS507,$BC507),OR($Z507="",$AA507="",$AB507="")))</f>
        <v/>
      </c>
      <c r="AR507" s="85" t="str">
        <f aca="false">IF(ISBLANK($C507),"",IF(OR(NOT($Y507),NOT(OR($AS507,$BC507))),"",IF(ISBLANK($D$7),$AR$5,IF($AP$9="",$AR$6,""))))</f>
        <v/>
      </c>
      <c r="AS507" s="85" t="str">
        <f aca="false">IF(ISBLANK($C507),"",COUNTA($J507:$O507)&gt;0)</f>
        <v/>
      </c>
      <c r="AT507" s="85" t="str">
        <f aca="false">IF(ISBLANK($C507),"",AND($AS507,OR(AND($AF507="",OR($AE507,NOT(ISBLANK($M507)))),$AG507="",$AH507="")))</f>
        <v/>
      </c>
      <c r="AU507" s="87" t="str">
        <f aca="false">IF($BL507&lt;&gt;Constants!$B$4,"",IF(NOT($AS507),"",ROUND((Constants!$B$12-$AB507)+(Constants!$B$13-$Z507)+(Constants!$B$14-$AA507),1)))</f>
        <v/>
      </c>
      <c r="AV507" s="90" t="str">
        <f aca="false">IF($BL507&lt;&gt;Constants!$B$4,"",IF(NOT($AS507),"",IF(NOT($AE507),0,Constants!$B$15*(INT(ROUND(MIN($AF507,$AP$9),6))-INT(ROUND(MAX(0,MIN($AF507,2*$AP$9)-$AP$9),6))))))</f>
        <v/>
      </c>
      <c r="AW507" s="90" t="str">
        <f aca="false">IF($BL507&lt;&gt;Constants!$B$4,"",IF(NOT($AS507),"",Constants!$B$16*$AG507))</f>
        <v/>
      </c>
      <c r="AX507" s="90" t="str">
        <f aca="false">IF($BL507&lt;&gt;Constants!$B$4,"",IF(NOT($AS507),"",Constants!$B$18*INT(ROUND($AH507,6))))</f>
        <v/>
      </c>
      <c r="AY507" s="85" t="str">
        <f aca="false">IF($BL507&lt;&gt;Constants!$B$4,"",IF(NOT($AS507),"",IF(NOT($X507),Constants!$B$11,IF(OR(NOT($AC507),NOT($AD507),ROUND($AB507,1)&gt;Constants!$B$12,ROUND($Z507,1)&gt;Constants!$B$13,ROUND($AA507,1)&gt;Constants!$B$14),Constants!$B$10,Constants!$B$9))))</f>
        <v/>
      </c>
      <c r="AZ507" s="91" t="str">
        <f aca="false">IF($BL507&lt;&gt;Constants!$B$4,"",IF(NOT($AS507),"",ROUND($AU507+$AV507+$AW507+$AX507,1)))</f>
        <v/>
      </c>
      <c r="BA507" s="92" t="str">
        <f aca="false">IF($BL507&lt;&gt;Constants!$B$4,"",IF(NOT($AS507),"",IF(ISNUMBER($AF507),$AF507,0)))</f>
        <v/>
      </c>
      <c r="BB507" s="86" t="str">
        <f aca="false">IF($BL507&lt;&gt;Constants!$B$4,"",IF(NOT($BC507),"&lt;-",IF(NOT($AS507),"-&gt;",IF(OR($BI507&lt;$AY507,AND($BI507=$AY507,OR($BJ507&gt;$AZ507,AND($BJ507=$AZ507,OR($BH507&gt;$AX507,AND($BH507=$AX507,OR($BE507&gt;$AU507,AND($BE507=$AU507,OR($BF507&gt;$AV507,AND($BF507=$AV507,$BK507&gt;$BA507)))))))))),"-&gt;","&lt;-"))))</f>
        <v/>
      </c>
      <c r="BC507" s="85" t="str">
        <f aca="false">IF(ISBLANK($C507),"",COUNTA($P507:$U507)&gt;0)</f>
        <v/>
      </c>
      <c r="BD507" s="85" t="str">
        <f aca="false">IF(ISBLANK($C507),"",AND($BC507,OR(AND($AL507="",OR($AK507,NOT(ISBLANK($S507)))),$AM507="",$AN507="")))</f>
        <v/>
      </c>
      <c r="BE507" s="87" t="str">
        <f aca="false">IF($BL507&lt;&gt;Constants!$B$4,"",IF(NOT($BC507),"",ROUND((Constants!$B$12-$AB507)+(Constants!$B$13-$Z507)+(Constants!$B$14-$AA507),1)))</f>
        <v/>
      </c>
      <c r="BF507" s="90" t="str">
        <f aca="false">IF($BL507&lt;&gt;Constants!$B$4,"",IF(NOT($BC507),"",IF(NOT($AK507),0,Constants!$B$15*(INT(ROUND(MIN($AL507,$AP$9),6))-INT(ROUND(MAX(0,MIN($AL507,2*$AP$9)-$AP$9),6))))))</f>
        <v/>
      </c>
      <c r="BG507" s="90" t="str">
        <f aca="false">IF($BL507&lt;&gt;Constants!$B$4,"",IF(NOT($BC507),"",Constants!$B$16*$AM507))</f>
        <v/>
      </c>
      <c r="BH507" s="90" t="str">
        <f aca="false">IF($BL507&lt;&gt;Constants!$B$4,"",IF(NOT($BC507),"",Constants!$B$18*INT(ROUND($AN507,6))))</f>
        <v/>
      </c>
      <c r="BI507" s="85" t="str">
        <f aca="false">IF($BL507&lt;&gt;Constants!$B$4,"",IF(NOT($BC507),"",IF(NOT($X507),Constants!$B$11,IF(OR(NOT($AI507),NOT($AJ507),ROUND($AB507,1)&gt;Constants!$B$12,ROUND($Z507,1)&gt;Constants!$B$13,ROUND($AA507,1)&gt;Constants!$B$14),Constants!$B$10,Constants!$B$9))))</f>
        <v/>
      </c>
      <c r="BJ507" s="91" t="str">
        <f aca="false">IF($BL507&lt;&gt;Constants!$B$4,"",IF(NOT($BC507),"",ROUND($BE507+$BF507+$BG507+$BH507,1)))</f>
        <v/>
      </c>
      <c r="BK507" s="92" t="str">
        <f aca="false">IF($BL507&lt;&gt;Constants!$B$4,"",IF(NOT($BC507),"",IF(ISNUMBER($AL507),$AL507,0)))</f>
        <v/>
      </c>
      <c r="BL507" s="86" t="str">
        <f aca="false">IF(ISBLANK($C507),"",IF($AO507,Constants!$B$7,IF(COUNTA($E507:$V507)=0,Constants!$B$6,IF(NOT($Y507),Constants!$B$5,IF(NOT(OR($AS507,$BC507)),Constants!$B$5,IF(OR($AT507,$BD507,$AQ507,$AR507&lt;&gt;""),Constants!$B$8,Constants!$B$4))))))</f>
        <v/>
      </c>
      <c r="BM507" s="86" t="str">
        <f aca="false">IF(ISBLANK($C507),"",IF($BL507&lt;&gt;Constants!$B$4,$BL507,IF($BB507="-&gt;",$BI507,$AY507)))</f>
        <v/>
      </c>
      <c r="BN507" s="90" t="str">
        <f aca="false">IF($BL507&lt;&gt;Constants!$B$4,"",IF($BB507="-&gt;",$BJ507,$AZ507))</f>
        <v/>
      </c>
      <c r="BO507" s="90" t="str">
        <f aca="false">IF(ISBLANK($C507),"",IF($BL507&lt;&gt;Constants!$B$4,$BL507,$BN507))</f>
        <v/>
      </c>
      <c r="BP507" s="86" t="str">
        <f aca="false">IF(ISBLANK($C507),"",IF($BL507&lt;&gt;Constants!$B$4,$BL507,RANK($BO507,$BO$9:$BO$508,0)))</f>
        <v/>
      </c>
      <c r="BQ507" s="86" t="str">
        <f aca="false">IF(ISBLANK($C507),"",IF($BL507&lt;&gt;Constants!$B$4,$BL507,COUNTIFS($BM$9:$BM$508,"&lt;"&amp;$BM507)+COUNTIFS($BM$9:$BM$508,$BM507,$BP$9:$BP$508,"&lt;"&amp;$BP507)+1))</f>
        <v/>
      </c>
      <c r="BR507" s="90" t="str">
        <f aca="false">IF($BL507&lt;&gt;Constants!$B$4,"",IF($BB507="-&gt;",$BH507,$AX507))</f>
        <v/>
      </c>
      <c r="BS507" s="86" t="str">
        <f aca="false">IF(ISBLANK($C507),"",IF($BL507&lt;&gt;Constants!$B$4,$BL507,IF(ISNUMBER($BR507),RANK($BR507,$BR$9:$BR$508,0),COUNT($BR$9:$BR$508)+1)))</f>
        <v/>
      </c>
      <c r="BT507" s="90" t="str">
        <f aca="false">IF($BL507&lt;&gt;Constants!$B$4,"",IF($BB507="-&gt;",$BE507,$AU507))</f>
        <v/>
      </c>
      <c r="BU507" s="86" t="str">
        <f aca="false">IF(ISBLANK($C507),"",IF($BL507&lt;&gt;Constants!$B$4,$BL507,IF(ISNUMBER($BT507),RANK($BT507,$BT$9:$BT$508,0),COUNT($BT$9:$BT$508)+1)))</f>
        <v/>
      </c>
      <c r="BV507" s="90" t="str">
        <f aca="false">IF($BL507&lt;&gt;Constants!$B$4,"",IF($BB507="-&gt;",$BF507,$AV507))</f>
        <v/>
      </c>
      <c r="BW507" s="86" t="str">
        <f aca="false">IF(ISBLANK($C507),"",IF($BL507&lt;&gt;Constants!$B$4,$BL507,IF(ISNUMBER($BV507),RANK($BV507,$BV$9:$BV$508,0),COUNT($BV$9:$BV$508)+1)))</f>
        <v/>
      </c>
      <c r="BX507" s="90" t="str">
        <f aca="false">IF($BL507&lt;&gt;Constants!$B$4,"",IF($BB507="-&gt;",$BK507,$BA507))</f>
        <v/>
      </c>
      <c r="BY507" s="86" t="str">
        <f aca="false">IF(ISBLANK($C507),"",IF($BL507&lt;&gt;Constants!$B$4,$BL507,IF(ISNUMBER($BX507),RANK($BX507,$BX$9:$BX$508,0),COUNT($BX$9:$BX$508)+1)))</f>
        <v/>
      </c>
      <c r="BZ507" s="86" t="str">
        <f aca="false">IF(ISBLANK($C507),"",IF($BL507&lt;&gt;Constants!$B$4,$BL507,COUNTIFS($BM$9:$BM$508,"&lt;"&amp;$BM507)+COUNTIFS($BM$9:$BM$508,$BM507,$BP$9:$BP$508,"&lt;"&amp;$BP507)+COUNTIFS($BM$9:$BM$508,$BM507,$BP$9:$BP$508,$BP507,$BS$9:$BS$508,"&lt;"&amp;$BS507)+COUNTIFS($BM$9:$BM$508,$BM507,$BP$9:$BP$508,$BP507,$BS$9:$BS$508,$BS507,$BU$9:$BU$508,"&lt;"&amp;$BU507)+COUNTIFS($BM$9:$BM$508,$BM507,$BP$9:$BP$508,$BP507,$BS$9:$BS$508,$BS507,$BU$9:$BU$508,$BU507,$BW$9:$BW$508,"&lt;"&amp;$BW507)+COUNTIFS($BM$9:$BM$508,$BM507,$BP$9:$BP$508,$BP507,$BS$9:$BS$508,$BS507,$BU$9:$BU$508,$BU507,$BW$9:$BW$508,$BW507,$BY$9:$BY$508,"&lt;"&amp;$BY507)+1))</f>
        <v/>
      </c>
      <c r="CA507" s="86" t="str">
        <f aca="false">IF(ISBLANK($C507),"",IF($BL507&lt;&gt;Constants!$B$4,$BL507,$BQ507-$BZ507))</f>
        <v/>
      </c>
      <c r="CB507" s="93"/>
      <c r="CC507" s="94" t="str">
        <f aca="false">IF(ISBLANK($C507),"",IF($BL507=Constants!$B$8,$AR507,""))</f>
        <v/>
      </c>
      <c r="CD507" s="94" t="str">
        <f aca="false">IF(ISBLANK($C507),"",IF($BL507&lt;&gt;Constants!$B$4,"",IF($BB507="-&gt;",2,1)))</f>
        <v/>
      </c>
      <c r="CE507" s="95" t="str">
        <f aca="false">IF(ISBLANK($C507),"",IF($BL507&lt;&gt;Constants!$B$4,"",IF($BB507="-&gt;",$BE507,$AU507)))</f>
        <v/>
      </c>
      <c r="CF507" s="95" t="str">
        <f aca="false">IF(ISBLANK($C507),"",IF($BL507&lt;&gt;Constants!$B$4,"",IF($BB507="-&gt;",$BF507,$AV507)))</f>
        <v/>
      </c>
      <c r="CG507" s="95" t="str">
        <f aca="false">IF(ISBLANK($C507),"",IF($BL507&lt;&gt;Constants!$B$4,"",IF($BB507="-&gt;",$BG507,$AW507)))</f>
        <v/>
      </c>
      <c r="CH507" s="95" t="str">
        <f aca="false">IF(ISBLANK($C507),"",IF($BL507&lt;&gt;Constants!$B$4,"",IF($BB507="-&gt;",$BH507,$AX507)))</f>
        <v/>
      </c>
      <c r="CI507" s="96" t="str">
        <f aca="false">IF(ISBLANK($C507),"",$BO507)</f>
        <v/>
      </c>
      <c r="CJ507" s="97" t="str">
        <f aca="false">IF(ISBLANK($C507),"",$BM507)</f>
        <v/>
      </c>
      <c r="CK507" s="98" t="str">
        <f aca="false">IF(ISBLANK($C507),"",$CA507)</f>
        <v/>
      </c>
      <c r="CL507" s="98" t="str">
        <f aca="false">IF(ISBLANK($C507),"",$BZ507)</f>
        <v/>
      </c>
      <c r="CM507" s="99" t="str">
        <f aca="false">IF(ISBLANK($C507),"",IF($CL507=Constants!$B$7,COUNTA($C$9:$C$508)+2,IF($CL507=Constants!$B$6,COUNTA($C$9:$C$508)+1,IF($CL507=Constants!$B$5,COUNTA($C$9:$C$508),$CL507))))</f>
        <v/>
      </c>
      <c r="CN507" s="8"/>
      <c r="CO507" s="100" t="n">
        <f aca="false">IF(OR(ISNUMBER($CL507),$CL507=Constants!$B$7,$CL507=Constants!$B$5,$CL507=Constants!$B$6),1,0)</f>
        <v>0</v>
      </c>
      <c r="CP507" s="100" t="n">
        <v>499</v>
      </c>
      <c r="CQ507" s="100" t="str">
        <f aca="false">IF(ISBLANK($C507),"",IF(ISNUMBER($CM507),$CM507+ROW($B507)/1000,""))</f>
        <v/>
      </c>
      <c r="CR507" s="100" t="str">
        <f aca="false">IF(ISNUMBER($CQ507),RANK($CQ507,$CQ$9:$CQ$508,1),"")</f>
        <v/>
      </c>
      <c r="CS507" s="100" t="str">
        <f aca="false">IF(ISBLANK($C507),"",$B507)</f>
        <v/>
      </c>
      <c r="CT507" s="100" t="str">
        <f aca="false">IF(ISBLANK($C507),"",$C507)</f>
        <v/>
      </c>
      <c r="CU507" s="100" t="str">
        <f aca="false">IF(ISBLANK($C507),"",$D507)</f>
        <v/>
      </c>
      <c r="CV507" s="101" t="str">
        <f aca="false">$CJ507</f>
        <v/>
      </c>
      <c r="CW507" s="102" t="str">
        <f aca="false">$CI507</f>
        <v/>
      </c>
      <c r="CX507" s="100" t="str">
        <f aca="false">IF(ISBLANK($C507),"",$CL507)</f>
        <v/>
      </c>
      <c r="CY507" s="103" t="str">
        <f aca="false">IF($CP507&gt;$CO$8,"",VLOOKUP($CP507,$CR$9:$CX$508,7,FALSE()))</f>
        <v/>
      </c>
      <c r="CZ507" s="104" t="str">
        <f aca="false">IF($CP507&gt;$CO$8,"",VLOOKUP($CP507,$CR$9:$CX$508,2,FALSE()))</f>
        <v/>
      </c>
      <c r="DA507" s="104" t="str">
        <f aca="false">IF($CP507&gt;$CO$8,"",VLOOKUP($CP507,$CR$9:$CX$508,3,FALSE()))</f>
        <v/>
      </c>
      <c r="DB507" s="104" t="str">
        <f aca="false">IF($CP507&gt;$CO$8,"",VLOOKUP($CP507,$CR$9:$CX$508,4,FALSE()))</f>
        <v/>
      </c>
      <c r="DC507" s="104" t="str">
        <f aca="false">IF($CP507&gt;$CO$8,"",VLOOKUP($CP507,$CR$9:$CX$508,5,FALSE()))</f>
        <v/>
      </c>
      <c r="DD507" s="105" t="str">
        <f aca="false">IF($CP507&gt;$CO$8,"",VLOOKUP($CP507,$CR$9:$CX$508,6,FALSE()))</f>
        <v/>
      </c>
      <c r="DE507" s="70"/>
    </row>
    <row r="508" customFormat="false" ht="15.75" hidden="false" customHeight="false" outlineLevel="0" collapsed="false">
      <c r="A508" s="8"/>
      <c r="B508" s="72"/>
      <c r="C508" s="73"/>
      <c r="D508" s="155"/>
      <c r="E508" s="162"/>
      <c r="F508" s="157"/>
      <c r="G508" s="77"/>
      <c r="H508" s="77"/>
      <c r="I508" s="77"/>
      <c r="J508" s="163"/>
      <c r="K508" s="161"/>
      <c r="L508" s="161"/>
      <c r="M508" s="80"/>
      <c r="N508" s="161"/>
      <c r="O508" s="160"/>
      <c r="P508" s="161"/>
      <c r="Q508" s="161"/>
      <c r="R508" s="161"/>
      <c r="S508" s="77"/>
      <c r="T508" s="161"/>
      <c r="U508" s="160"/>
      <c r="V508" s="161"/>
      <c r="W508" s="85"/>
      <c r="X508" s="86" t="str">
        <f aca="false">IF(ISBLANK($C508),"",IF($E508=Constants!$B$2,TRUE(),IF($E508=Constants!$B$3,FALSE(),TRUE())))</f>
        <v/>
      </c>
      <c r="Y508" s="86" t="str">
        <f aca="false">IF(ISBLANK($C508),"",IF($F508=Constants!$B$2,TRUE(),IF($F508=Constants!$B$3,FALSE(),TRUE())))</f>
        <v/>
      </c>
      <c r="Z508" s="87" t="str">
        <f aca="false">IF(ISBLANK($C508),"",IF(ISNUMBER($G508),IF($G508&gt;=0,$G508,""),""))</f>
        <v/>
      </c>
      <c r="AA508" s="87" t="str">
        <f aca="false">IF(ISBLANK($C508),"",IF(ISNUMBER($H508),IF($H508&gt;=0,$H508,""),""))</f>
        <v/>
      </c>
      <c r="AB508" s="87" t="str">
        <f aca="false">IF(ISBLANK($C508),"",IF(ISNUMBER($I508),IF($I508&gt;=0,$I508,""),""))</f>
        <v/>
      </c>
      <c r="AC508" s="86" t="str">
        <f aca="false">IF(ISBLANK($C508),"",IF($J508=Constants!$B$2,TRUE(),IF($J508=Constants!$B$3,FALSE(),TRUE())))</f>
        <v/>
      </c>
      <c r="AD508" s="86" t="str">
        <f aca="false">IF(ISBLANK($C508),"",IF($K508=Constants!$B$2,TRUE(),IF($K508=Constants!$B$3,FALSE(),TRUE())))</f>
        <v/>
      </c>
      <c r="AE508" s="86" t="str">
        <f aca="false">IF(ISBLANK($C508),"",IF($L508=Constants!$B$2,TRUE(),IF($L508=Constants!$B$3,FALSE(),TRUE())))</f>
        <v/>
      </c>
      <c r="AF508" s="88" t="str">
        <f aca="false">IF(ISBLANK($C508),"",IF(ISNUMBER($M508),IF($M508&gt;=0,$M508,""),""))</f>
        <v/>
      </c>
      <c r="AG508" s="86" t="str">
        <f aca="false">IF(ISBLANK($C508),"",IF(ISBLANK($N508),0,IF(ISNUMBER($N508),IF(AND($N508&gt;=0,$N508&lt;=Constants!$B$17,$N508=INT($N508)),$N508,""),"")))</f>
        <v/>
      </c>
      <c r="AH508" s="87" t="str">
        <f aca="false">IF(ISBLANK($C508),"",IF(ISBLANK($O508),0,IF(ISNUMBER($O508),IF($O508&gt;=0,$O508,""),"")))</f>
        <v/>
      </c>
      <c r="AI508" s="86" t="str">
        <f aca="false">IF(ISBLANK($C508),"",IF($P508=Constants!$B$2,TRUE(),IF($P508=Constants!$B$3,FALSE(),TRUE())))</f>
        <v/>
      </c>
      <c r="AJ508" s="86" t="str">
        <f aca="false">IF(ISBLANK($C508),"",IF($Q508=Constants!$B$2,TRUE(),IF($Q508=Constants!$B$3,FALSE(),TRUE())))</f>
        <v/>
      </c>
      <c r="AK508" s="86" t="str">
        <f aca="false">IF(ISBLANK($C508),"",IF($R508=Constants!$B$2,TRUE(),IF($R508=Constants!$B$3,FALSE(),TRUE())))</f>
        <v/>
      </c>
      <c r="AL508" s="88" t="str">
        <f aca="false">IF(ISBLANK($C508),"",IF(ISNUMBER($S508),IF($S508&gt;=0,$S508,""),""))</f>
        <v/>
      </c>
      <c r="AM508" s="86" t="str">
        <f aca="false">IF(ISBLANK($C508),"",IF(ISBLANK($T508),0,IF(ISNUMBER($T508),IF(AND($T508&gt;=0,$T508&lt;=Constants!$B$17,$T508=INT($T508)),$T508,""),"")))</f>
        <v/>
      </c>
      <c r="AN508" s="87" t="str">
        <f aca="false">IF(ISBLANK($C508),"",IF(ISBLANK($U508),0,IF(ISNUMBER($U508),IF($U508&gt;=0,$U508,""),"")))</f>
        <v/>
      </c>
      <c r="AO508" s="86" t="str">
        <f aca="false">IF(ISBLANK($C508),"",IF($V508=Constants!$B$2,TRUE(),IF($V508=Constants!$B$3,FALSE(),FALSE())))</f>
        <v/>
      </c>
      <c r="AP508" s="86"/>
      <c r="AQ508" s="85" t="str">
        <f aca="false">IF(ISBLANK($C508),"",AND($Y508,OR($AS508,$BC508),OR($Z508="",$AA508="",$AB508="")))</f>
        <v/>
      </c>
      <c r="AR508" s="85" t="str">
        <f aca="false">IF(ISBLANK($C508),"",IF(OR(NOT($Y508),NOT(OR($AS508,$BC508))),"",IF(ISBLANK($D$7),$AR$5,IF($AP$9="",$AR$6,""))))</f>
        <v/>
      </c>
      <c r="AS508" s="85" t="str">
        <f aca="false">IF(ISBLANK($C508),"",COUNTA($J508:$O508)&gt;0)</f>
        <v/>
      </c>
      <c r="AT508" s="85" t="str">
        <f aca="false">IF(ISBLANK($C508),"",AND($AS508,OR(AND($AF508="",OR($AE508,NOT(ISBLANK($M508)))),$AG508="",$AH508="")))</f>
        <v/>
      </c>
      <c r="AU508" s="87" t="str">
        <f aca="false">IF($BL508&lt;&gt;Constants!$B$4,"",IF(NOT($AS508),"",ROUND((Constants!$B$12-$AB508)+(Constants!$B$13-$Z508)+(Constants!$B$14-$AA508),1)))</f>
        <v/>
      </c>
      <c r="AV508" s="90" t="str">
        <f aca="false">IF($BL508&lt;&gt;Constants!$B$4,"",IF(NOT($AS508),"",IF(NOT($AE508),0,Constants!$B$15*(INT(ROUND(MIN($AF508,$AP$9),6))-INT(ROUND(MAX(0,MIN($AF508,2*$AP$9)-$AP$9),6))))))</f>
        <v/>
      </c>
      <c r="AW508" s="90" t="str">
        <f aca="false">IF($BL508&lt;&gt;Constants!$B$4,"",IF(NOT($AS508),"",Constants!$B$16*$AG508))</f>
        <v/>
      </c>
      <c r="AX508" s="90" t="str">
        <f aca="false">IF($BL508&lt;&gt;Constants!$B$4,"",IF(NOT($AS508),"",Constants!$B$18*INT(ROUND($AH508,6))))</f>
        <v/>
      </c>
      <c r="AY508" s="85" t="str">
        <f aca="false">IF($BL508&lt;&gt;Constants!$B$4,"",IF(NOT($AS508),"",IF(NOT($X508),Constants!$B$11,IF(OR(NOT($AC508),NOT($AD508),ROUND($AB508,1)&gt;Constants!$B$12,ROUND($Z508,1)&gt;Constants!$B$13,ROUND($AA508,1)&gt;Constants!$B$14),Constants!$B$10,Constants!$B$9))))</f>
        <v/>
      </c>
      <c r="AZ508" s="91" t="str">
        <f aca="false">IF($BL508&lt;&gt;Constants!$B$4,"",IF(NOT($AS508),"",ROUND($AU508+$AV508+$AW508+$AX508,1)))</f>
        <v/>
      </c>
      <c r="BA508" s="92" t="str">
        <f aca="false">IF($BL508&lt;&gt;Constants!$B$4,"",IF(NOT($AS508),"",IF(ISNUMBER($AF508),$AF508,0)))</f>
        <v/>
      </c>
      <c r="BB508" s="86" t="str">
        <f aca="false">IF($BL508&lt;&gt;Constants!$B$4,"",IF(NOT($BC508),"&lt;-",IF(NOT($AS508),"-&gt;",IF(OR($BI508&lt;$AY508,AND($BI508=$AY508,OR($BJ508&gt;$AZ508,AND($BJ508=$AZ508,OR($BH508&gt;$AX508,AND($BH508=$AX508,OR($BE508&gt;$AU508,AND($BE508=$AU508,OR($BF508&gt;$AV508,AND($BF508=$AV508,$BK508&gt;$BA508)))))))))),"-&gt;","&lt;-"))))</f>
        <v/>
      </c>
      <c r="BC508" s="85" t="str">
        <f aca="false">IF(ISBLANK($C508),"",COUNTA($P508:$U508)&gt;0)</f>
        <v/>
      </c>
      <c r="BD508" s="85" t="str">
        <f aca="false">IF(ISBLANK($C508),"",AND($BC508,OR(AND($AL508="",OR($AK508,NOT(ISBLANK($S508)))),$AM508="",$AN508="")))</f>
        <v/>
      </c>
      <c r="BE508" s="87" t="str">
        <f aca="false">IF($BL508&lt;&gt;Constants!$B$4,"",IF(NOT($BC508),"",ROUND((Constants!$B$12-$AB508)+(Constants!$B$13-$Z508)+(Constants!$B$14-$AA508),1)))</f>
        <v/>
      </c>
      <c r="BF508" s="90" t="str">
        <f aca="false">IF($BL508&lt;&gt;Constants!$B$4,"",IF(NOT($BC508),"",IF(NOT($AK508),0,Constants!$B$15*(INT(ROUND(MIN($AL508,$AP$9),6))-INT(ROUND(MAX(0,MIN($AL508,2*$AP$9)-$AP$9),6))))))</f>
        <v/>
      </c>
      <c r="BG508" s="90" t="str">
        <f aca="false">IF($BL508&lt;&gt;Constants!$B$4,"",IF(NOT($BC508),"",Constants!$B$16*$AM508))</f>
        <v/>
      </c>
      <c r="BH508" s="90" t="str">
        <f aca="false">IF($BL508&lt;&gt;Constants!$B$4,"",IF(NOT($BC508),"",Constants!$B$18*INT(ROUND($AN508,6))))</f>
        <v/>
      </c>
      <c r="BI508" s="85" t="str">
        <f aca="false">IF($BL508&lt;&gt;Constants!$B$4,"",IF(NOT($BC508),"",IF(NOT($X508),Constants!$B$11,IF(OR(NOT($AI508),NOT($AJ508),ROUND($AB508,1)&gt;Constants!$B$12,ROUND($Z508,1)&gt;Constants!$B$13,ROUND($AA508,1)&gt;Constants!$B$14),Constants!$B$10,Constants!$B$9))))</f>
        <v/>
      </c>
      <c r="BJ508" s="91" t="str">
        <f aca="false">IF($BL508&lt;&gt;Constants!$B$4,"",IF(NOT($BC508),"",ROUND($BE508+$BF508+$BG508+$BH508,1)))</f>
        <v/>
      </c>
      <c r="BK508" s="92" t="str">
        <f aca="false">IF($BL508&lt;&gt;Constants!$B$4,"",IF(NOT($BC508),"",IF(ISNUMBER($AL508),$AL508,0)))</f>
        <v/>
      </c>
      <c r="BL508" s="86" t="str">
        <f aca="false">IF(ISBLANK($C508),"",IF($AO508,Constants!$B$7,IF(COUNTA($E508:$V508)=0,Constants!$B$6,IF(NOT($Y508),Constants!$B$5,IF(NOT(OR($AS508,$BC508)),Constants!$B$5,IF(OR($AT508,$BD508,$AQ508,$AR508&lt;&gt;""),Constants!$B$8,Constants!$B$4))))))</f>
        <v/>
      </c>
      <c r="BM508" s="86" t="str">
        <f aca="false">IF(ISBLANK($C508),"",IF($BL508&lt;&gt;Constants!$B$4,$BL508,IF($BB508="-&gt;",$BI508,$AY508)))</f>
        <v/>
      </c>
      <c r="BN508" s="90" t="str">
        <f aca="false">IF($BL508&lt;&gt;Constants!$B$4,"",IF($BB508="-&gt;",$BJ508,$AZ508))</f>
        <v/>
      </c>
      <c r="BO508" s="90" t="str">
        <f aca="false">IF(ISBLANK($C508),"",IF($BL508&lt;&gt;Constants!$B$4,$BL508,$BN508))</f>
        <v/>
      </c>
      <c r="BP508" s="86" t="str">
        <f aca="false">IF(ISBLANK($C508),"",IF($BL508&lt;&gt;Constants!$B$4,$BL508,RANK($BO508,$BO$9:$BO$508,0)))</f>
        <v/>
      </c>
      <c r="BQ508" s="86" t="str">
        <f aca="false">IF(ISBLANK($C508),"",IF($BL508&lt;&gt;Constants!$B$4,$BL508,COUNTIFS($BM$9:$BM$508,"&lt;"&amp;$BM508)+COUNTIFS($BM$9:$BM$508,$BM508,$BP$9:$BP$508,"&lt;"&amp;$BP508)+1))</f>
        <v/>
      </c>
      <c r="BR508" s="90" t="str">
        <f aca="false">IF($BL508&lt;&gt;Constants!$B$4,"",IF($BB508="-&gt;",$BH508,$AX508))</f>
        <v/>
      </c>
      <c r="BS508" s="86" t="str">
        <f aca="false">IF(ISBLANK($C508),"",IF($BL508&lt;&gt;Constants!$B$4,$BL508,IF(ISNUMBER($BR508),RANK($BR508,$BR$9:$BR$508,0),COUNT($BR$9:$BR$508)+1)))</f>
        <v/>
      </c>
      <c r="BT508" s="90" t="str">
        <f aca="false">IF($BL508&lt;&gt;Constants!$B$4,"",IF($BB508="-&gt;",$BE508,$AU508))</f>
        <v/>
      </c>
      <c r="BU508" s="86" t="str">
        <f aca="false">IF(ISBLANK($C508),"",IF($BL508&lt;&gt;Constants!$B$4,$BL508,IF(ISNUMBER($BT508),RANK($BT508,$BT$9:$BT$508,0),COUNT($BT$9:$BT$508)+1)))</f>
        <v/>
      </c>
      <c r="BV508" s="90" t="str">
        <f aca="false">IF($BL508&lt;&gt;Constants!$B$4,"",IF($BB508="-&gt;",$BF508,$AV508))</f>
        <v/>
      </c>
      <c r="BW508" s="86" t="str">
        <f aca="false">IF(ISBLANK($C508),"",IF($BL508&lt;&gt;Constants!$B$4,$BL508,IF(ISNUMBER($BV508),RANK($BV508,$BV$9:$BV$508,0),COUNT($BV$9:$BV$508)+1)))</f>
        <v/>
      </c>
      <c r="BX508" s="90" t="str">
        <f aca="false">IF($BL508&lt;&gt;Constants!$B$4,"",IF($BB508="-&gt;",$BK508,$BA508))</f>
        <v/>
      </c>
      <c r="BY508" s="86" t="str">
        <f aca="false">IF(ISBLANK($C508),"",IF($BL508&lt;&gt;Constants!$B$4,$BL508,IF(ISNUMBER($BX508),RANK($BX508,$BX$9:$BX$508,0),COUNT($BX$9:$BX$508)+1)))</f>
        <v/>
      </c>
      <c r="BZ508" s="86" t="str">
        <f aca="false">IF(ISBLANK($C508),"",IF($BL508&lt;&gt;Constants!$B$4,$BL508,COUNTIFS($BM$9:$BM$508,"&lt;"&amp;$BM508)+COUNTIFS($BM$9:$BM$508,$BM508,$BP$9:$BP$508,"&lt;"&amp;$BP508)+COUNTIFS($BM$9:$BM$508,$BM508,$BP$9:$BP$508,$BP508,$BS$9:$BS$508,"&lt;"&amp;$BS508)+COUNTIFS($BM$9:$BM$508,$BM508,$BP$9:$BP$508,$BP508,$BS$9:$BS$508,$BS508,$BU$9:$BU$508,"&lt;"&amp;$BU508)+COUNTIFS($BM$9:$BM$508,$BM508,$BP$9:$BP$508,$BP508,$BS$9:$BS$508,$BS508,$BU$9:$BU$508,$BU508,$BW$9:$BW$508,"&lt;"&amp;$BW508)+COUNTIFS($BM$9:$BM$508,$BM508,$BP$9:$BP$508,$BP508,$BS$9:$BS$508,$BS508,$BU$9:$BU$508,$BU508,$BW$9:$BW$508,$BW508,$BY$9:$BY$508,"&lt;"&amp;$BY508)+1))</f>
        <v/>
      </c>
      <c r="CA508" s="86" t="str">
        <f aca="false">IF(ISBLANK($C508),"",IF($BL508&lt;&gt;Constants!$B$4,$BL508,$BQ508-$BZ508))</f>
        <v/>
      </c>
      <c r="CB508" s="93"/>
      <c r="CC508" s="94" t="str">
        <f aca="false">IF(ISBLANK($C508),"",IF($BL508=Constants!$B$8,$AR508,""))</f>
        <v/>
      </c>
      <c r="CD508" s="94" t="str">
        <f aca="false">IF(ISBLANK($C508),"",IF($BL508&lt;&gt;Constants!$B$4,"",IF($BB508="-&gt;",2,1)))</f>
        <v/>
      </c>
      <c r="CE508" s="95" t="str">
        <f aca="false">IF(ISBLANK($C508),"",IF($BL508&lt;&gt;Constants!$B$4,"",IF($BB508="-&gt;",$BE508,$AU508)))</f>
        <v/>
      </c>
      <c r="CF508" s="95" t="str">
        <f aca="false">IF(ISBLANK($C508),"",IF($BL508&lt;&gt;Constants!$B$4,"",IF($BB508="-&gt;",$BF508,$AV508)))</f>
        <v/>
      </c>
      <c r="CG508" s="95" t="str">
        <f aca="false">IF(ISBLANK($C508),"",IF($BL508&lt;&gt;Constants!$B$4,"",IF($BB508="-&gt;",$BG508,$AW508)))</f>
        <v/>
      </c>
      <c r="CH508" s="95" t="str">
        <f aca="false">IF(ISBLANK($C508),"",IF($BL508&lt;&gt;Constants!$B$4,"",IF($BB508="-&gt;",$BH508,$AX508)))</f>
        <v/>
      </c>
      <c r="CI508" s="96" t="str">
        <f aca="false">IF(ISBLANK($C508),"",$BO508)</f>
        <v/>
      </c>
      <c r="CJ508" s="97" t="str">
        <f aca="false">IF(ISBLANK($C508),"",$BM508)</f>
        <v/>
      </c>
      <c r="CK508" s="98" t="str">
        <f aca="false">IF(ISBLANK($C508),"",$CA508)</f>
        <v/>
      </c>
      <c r="CL508" s="98" t="str">
        <f aca="false">IF(ISBLANK($C508),"",$BZ508)</f>
        <v/>
      </c>
      <c r="CM508" s="99" t="str">
        <f aca="false">IF(ISBLANK($C508),"",IF($CL508=Constants!$B$7,COUNTA($C$9:$C$508)+2,IF($CL508=Constants!$B$6,COUNTA($C$9:$C$508)+1,IF($CL508=Constants!$B$5,COUNTA($C$9:$C$508),$CL508))))</f>
        <v/>
      </c>
      <c r="CN508" s="8"/>
      <c r="CO508" s="100" t="n">
        <f aca="false">IF(OR(ISNUMBER($CL508),$CL508=Constants!$B$7,$CL508=Constants!$B$5,$CL508=Constants!$B$6),1,0)</f>
        <v>0</v>
      </c>
      <c r="CP508" s="100" t="n">
        <v>500</v>
      </c>
      <c r="CQ508" s="100" t="str">
        <f aca="false">IF(ISBLANK($C508),"",IF(ISNUMBER($CM508),$CM508+ROW($B508)/1000,""))</f>
        <v/>
      </c>
      <c r="CR508" s="100" t="str">
        <f aca="false">IF(ISNUMBER($CQ508),RANK($CQ508,$CQ$9:$CQ$508,1),"")</f>
        <v/>
      </c>
      <c r="CS508" s="100" t="str">
        <f aca="false">IF(ISBLANK($C508),"",$B508)</f>
        <v/>
      </c>
      <c r="CT508" s="100" t="str">
        <f aca="false">IF(ISBLANK($C508),"",$C508)</f>
        <v/>
      </c>
      <c r="CU508" s="100" t="str">
        <f aca="false">IF(ISBLANK($C508),"",$D508)</f>
        <v/>
      </c>
      <c r="CV508" s="101" t="str">
        <f aca="false">$CJ508</f>
        <v/>
      </c>
      <c r="CW508" s="102" t="str">
        <f aca="false">$CI508</f>
        <v/>
      </c>
      <c r="CX508" s="100" t="str">
        <f aca="false">IF(ISBLANK($C508),"",$CL508)</f>
        <v/>
      </c>
      <c r="CY508" s="103" t="str">
        <f aca="false">IF($CP508&gt;$CO$8,"",VLOOKUP($CP508,$CR$9:$CX$508,7,FALSE()))</f>
        <v/>
      </c>
      <c r="CZ508" s="104" t="str">
        <f aca="false">IF($CP508&gt;$CO$8,"",VLOOKUP($CP508,$CR$9:$CX$508,2,FALSE()))</f>
        <v/>
      </c>
      <c r="DA508" s="104" t="str">
        <f aca="false">IF($CP508&gt;$CO$8,"",VLOOKUP($CP508,$CR$9:$CX$508,3,FALSE()))</f>
        <v/>
      </c>
      <c r="DB508" s="104" t="str">
        <f aca="false">IF($CP508&gt;$CO$8,"",VLOOKUP($CP508,$CR$9:$CX$508,4,FALSE()))</f>
        <v/>
      </c>
      <c r="DC508" s="104" t="str">
        <f aca="false">IF($CP508&gt;$CO$8,"",VLOOKUP($CP508,$CR$9:$CX$508,5,FALSE()))</f>
        <v/>
      </c>
      <c r="DD508" s="105" t="str">
        <f aca="false">IF($CP508&gt;$CO$8,"",VLOOKUP($CP508,$CR$9:$CX$508,6,FALSE()))</f>
        <v/>
      </c>
      <c r="DE508" s="70"/>
    </row>
  </sheetData>
  <mergeCells count="99">
    <mergeCell ref="B2:D3"/>
    <mergeCell ref="E2:I2"/>
    <mergeCell ref="J2:U2"/>
    <mergeCell ref="V2:V8"/>
    <mergeCell ref="X2:AB2"/>
    <mergeCell ref="AC2:AH2"/>
    <mergeCell ref="AI2:AN2"/>
    <mergeCell ref="CD2:CH2"/>
    <mergeCell ref="CQ2:CQ8"/>
    <mergeCell ref="CR2:CR8"/>
    <mergeCell ref="CS2:CS8"/>
    <mergeCell ref="CT2:CT8"/>
    <mergeCell ref="CU2:CU8"/>
    <mergeCell ref="CV2:CV8"/>
    <mergeCell ref="CW2:CW8"/>
    <mergeCell ref="CX2:CX8"/>
    <mergeCell ref="CY2:DD2"/>
    <mergeCell ref="E3:E8"/>
    <mergeCell ref="F3:F8"/>
    <mergeCell ref="G3:G8"/>
    <mergeCell ref="H3:H8"/>
    <mergeCell ref="I3:I8"/>
    <mergeCell ref="J3:O3"/>
    <mergeCell ref="P3:U3"/>
    <mergeCell ref="X3:X8"/>
    <mergeCell ref="Y3:Y8"/>
    <mergeCell ref="Z3:Z8"/>
    <mergeCell ref="AA3:AA8"/>
    <mergeCell ref="AB3:AB8"/>
    <mergeCell ref="AC3:AC8"/>
    <mergeCell ref="AD3:AD8"/>
    <mergeCell ref="AE3:AE8"/>
    <mergeCell ref="AF3:AF8"/>
    <mergeCell ref="AG3:AG8"/>
    <mergeCell ref="AH3:AH8"/>
    <mergeCell ref="AI3:AI8"/>
    <mergeCell ref="AJ3:AJ8"/>
    <mergeCell ref="AK3:AK8"/>
    <mergeCell ref="AL3:AL8"/>
    <mergeCell ref="AM3:AM8"/>
    <mergeCell ref="AN3:AN8"/>
    <mergeCell ref="AO3:AO8"/>
    <mergeCell ref="AP3:AP8"/>
    <mergeCell ref="AQ3:AQ8"/>
    <mergeCell ref="AS3:BA3"/>
    <mergeCell ref="BB3:BB8"/>
    <mergeCell ref="BC3:BK3"/>
    <mergeCell ref="BM3:BQ3"/>
    <mergeCell ref="CD3:CD8"/>
    <mergeCell ref="CE3:CE8"/>
    <mergeCell ref="CF3:CF8"/>
    <mergeCell ref="CG3:CG8"/>
    <mergeCell ref="CH3:CH8"/>
    <mergeCell ref="CI3:CI8"/>
    <mergeCell ref="CJ3:CJ8"/>
    <mergeCell ref="CK3:CK8"/>
    <mergeCell ref="CL3:CL8"/>
    <mergeCell ref="CM3:CM8"/>
    <mergeCell ref="CY3:CY8"/>
    <mergeCell ref="CZ3:CZ8"/>
    <mergeCell ref="DA3:DA8"/>
    <mergeCell ref="DB3:DB8"/>
    <mergeCell ref="DC3:DC8"/>
    <mergeCell ref="DD3:DD8"/>
    <mergeCell ref="B4:D4"/>
    <mergeCell ref="J4:J8"/>
    <mergeCell ref="K4:K8"/>
    <mergeCell ref="L4:L8"/>
    <mergeCell ref="M4:M8"/>
    <mergeCell ref="N4:N8"/>
    <mergeCell ref="O4:O8"/>
    <mergeCell ref="P4:P8"/>
    <mergeCell ref="Q4:Q8"/>
    <mergeCell ref="R4:R8"/>
    <mergeCell ref="S4:S8"/>
    <mergeCell ref="T4:T8"/>
    <mergeCell ref="U4:U8"/>
    <mergeCell ref="AS4:AS8"/>
    <mergeCell ref="AT4:AT8"/>
    <mergeCell ref="AU4:AU8"/>
    <mergeCell ref="AV4:AV8"/>
    <mergeCell ref="AW4:AW8"/>
    <mergeCell ref="AX4:AX8"/>
    <mergeCell ref="AY4:AY8"/>
    <mergeCell ref="AZ4:AZ8"/>
    <mergeCell ref="BA4:BA8"/>
    <mergeCell ref="BC4:BC8"/>
    <mergeCell ref="BD4:BD8"/>
    <mergeCell ref="BE4:BE8"/>
    <mergeCell ref="BF4:BF8"/>
    <mergeCell ref="BG4:BG8"/>
    <mergeCell ref="BH4:BH8"/>
    <mergeCell ref="BI4:BI8"/>
    <mergeCell ref="BJ4:BJ8"/>
    <mergeCell ref="BK4:BK8"/>
    <mergeCell ref="B5:D5"/>
    <mergeCell ref="B6:D6"/>
    <mergeCell ref="B7:C7"/>
    <mergeCell ref="BR7:BY7"/>
  </mergeCells>
  <conditionalFormatting sqref="B4:D4">
    <cfRule type="containsText" priority="2" operator="containsText" aboveAverage="0" equalAverage="0" bottom="0" percent="0" rank="0" text="download" dxfId="0">
      <formula>NOT(ISERROR(SEARCH("download",B4)))</formula>
    </cfRule>
  </conditionalFormatting>
  <conditionalFormatting sqref="D7">
    <cfRule type="expression" priority="3" aboveAverage="0" equalAverage="0" bottom="0" percent="0" rank="0" text="" dxfId="1">
      <formula>LEN(TRIM(D7))=0</formula>
    </cfRule>
  </conditionalFormatting>
  <conditionalFormatting sqref="CC9:CC508">
    <cfRule type="expression" priority="4" aboveAverage="0" equalAverage="0" bottom="0" percent="0" rank="0" text="" dxfId="2">
      <formula>LEN(TRIM(CC9))&gt;0</formula>
    </cfRule>
  </conditionalFormatting>
  <conditionalFormatting sqref="G9:G508">
    <cfRule type="expression" priority="5" aboveAverage="0" equalAverage="0" bottom="0" percent="0" rank="0" text="" dxfId="2">
      <formula>AND($BL9="ERR",$AQ9=TRUE(),$Z9="")</formula>
    </cfRule>
  </conditionalFormatting>
  <conditionalFormatting sqref="H9:H508">
    <cfRule type="expression" priority="6" aboveAverage="0" equalAverage="0" bottom="0" percent="0" rank="0" text="" dxfId="2">
      <formula>AND($BL9="ERR",$AQ9=TRUE(),$AA9="")</formula>
    </cfRule>
  </conditionalFormatting>
  <conditionalFormatting sqref="I9:I508">
    <cfRule type="expression" priority="7" aboveAverage="0" equalAverage="0" bottom="0" percent="0" rank="0" text="" dxfId="2">
      <formula>AND($BL9="ERR",$AQ9=TRUE(),$AB9="")</formula>
    </cfRule>
  </conditionalFormatting>
  <conditionalFormatting sqref="M9:M508">
    <cfRule type="expression" priority="8" aboveAverage="0" equalAverage="0" bottom="0" percent="0" rank="0" text="" dxfId="2">
      <formula>AND($BL9="ERR",$AT9=TRUE(),$AF9="",OR($AE9,NOT(ISBLANK(M9))))</formula>
    </cfRule>
  </conditionalFormatting>
  <conditionalFormatting sqref="N9:N508">
    <cfRule type="expression" priority="9" aboveAverage="0" equalAverage="0" bottom="0" percent="0" rank="0" text="" dxfId="2">
      <formula>AND($BL9="ERR",$AT9=TRUE(),$AG9="")</formula>
    </cfRule>
  </conditionalFormatting>
  <conditionalFormatting sqref="O9:O508">
    <cfRule type="expression" priority="10" aboveAverage="0" equalAverage="0" bottom="0" percent="0" rank="0" text="" dxfId="2">
      <formula>AND($BL9="ERR",$AT9=TRUE(),$AH9="")</formula>
    </cfRule>
  </conditionalFormatting>
  <conditionalFormatting sqref="S9:S508">
    <cfRule type="expression" priority="11" aboveAverage="0" equalAverage="0" bottom="0" percent="0" rank="0" text="" dxfId="2">
      <formula>AND($BL9="ERR",$BD9=TRUE(),$AL9="",OR($AK9,NOT(ISBLANK(S9))))</formula>
    </cfRule>
  </conditionalFormatting>
  <conditionalFormatting sqref="T9:T508">
    <cfRule type="expression" priority="12" aboveAverage="0" equalAverage="0" bottom="0" percent="0" rank="0" text="" dxfId="2">
      <formula>AND($BL9="ERR",$BD9=TRUE(),$AM9="")</formula>
    </cfRule>
  </conditionalFormatting>
  <conditionalFormatting sqref="U9:U508">
    <cfRule type="expression" priority="13" aboveAverage="0" equalAverage="0" bottom="0" percent="0" rank="0" text="" dxfId="2">
      <formula>AND($BL9="ERR",$BD9=TRUE(),$AN9="")</formula>
    </cfRule>
  </conditionalFormatting>
  <conditionalFormatting sqref="E9:F508 J9:L508 P9:R508">
    <cfRule type="cellIs" priority="14" operator="equal" aboveAverage="0" equalAverage="0" bottom="0" percent="0" rank="0" text="" dxfId="1">
      <formula>"F"</formula>
    </cfRule>
  </conditionalFormatting>
  <conditionalFormatting sqref="V9:V508">
    <cfRule type="cellIs" priority="15" operator="equal" aboveAverage="0" equalAverage="0" bottom="0" percent="0" rank="0" text="" dxfId="1">
      <formula>"T"</formula>
    </cfRule>
  </conditionalFormatting>
  <conditionalFormatting sqref="G9:G508">
    <cfRule type="expression" priority="16" aboveAverage="0" equalAverage="0" bottom="0" percent="0" rank="0" text="" dxfId="1">
      <formula>AND(ISNUMBER(G9),ROUND(G9,1)&gt;30)</formula>
    </cfRule>
  </conditionalFormatting>
  <conditionalFormatting sqref="H9:H508">
    <cfRule type="expression" priority="17" aboveAverage="0" equalAverage="0" bottom="0" percent="0" rank="0" text="" dxfId="1">
      <formula>AND(ISNUMBER(H9),ROUND(H9,1)&gt;80)</formula>
    </cfRule>
  </conditionalFormatting>
  <conditionalFormatting sqref="I9:I508">
    <cfRule type="expression" priority="18" aboveAverage="0" equalAverage="0" bottom="0" percent="0" rank="0" text="" dxfId="1">
      <formula>AND(ISNUMBER(I9),ROUND(I9,1)&gt;60)</formula>
    </cfRule>
  </conditionalFormatting>
  <dataValidations count="6">
    <dataValidation allowBlank="true" errorStyle="stop" operator="between" prompt="Target Time in seconds: a whole number from 30 to 60 (5 s steps at Regionals, 2 s at State, 1 s at Nationals)." showDropDown="false" showErrorMessage="true" showInputMessage="true" sqref="D7" type="whole">
      <formula1>30</formula1>
      <formula2>60</formula2>
    </dataValidation>
    <dataValidation allowBlank="true" errorStyle="stop" operator="between" prompt="True (T)/False (F)" showDropDown="false" showErrorMessage="true" showInputMessage="true" sqref="E9:F508 J9:L508 P9:R508 V9:V508" type="list">
      <formula1>"T,F"</formula1>
      <formula2>0</formula2>
    </dataValidation>
    <dataValidation allowBlank="true" errorStyle="stop" operator="greaterThanOrEqual" prompt="Device dimension in cm, to 0.1 cm. Width max 30.0, length max 80.0, height max 60.0; larger is a construction violation (Tier 2)." showDropDown="false" showErrorMessage="true" showInputMessage="true" sqref="G9:I508" type="decimal">
      <formula1>0</formula1>
      <formula2>0</formula2>
    </dataValidation>
    <dataValidation allowBlank="true" errorStyle="stop" operator="greaterThanOrEqual" prompt="Run Time in seconds. If the ball did not cross the Finish Line, enter the time it stopped or left the device (final tiebreaker only)." showDropDown="false" showErrorMessage="true" showInputMessage="true" sqref="M9:M508 S9:S508" type="decimal">
      <formula1>0</formula1>
      <formula2>0</formula2>
    </dataValidation>
    <dataValidation allowBlank="true" errorStyle="stop" operator="between" prompt="Number of distinct Elevators successfully used: 0, 1 or 2. Leave blank for none." showDropDown="false" showErrorMessage="true" showInputMessage="true" sqref="N9:N508 T9:T508" type="whole">
      <formula1>0</formula1>
      <formula2>Constants!$B$17</formula2>
    </dataValidation>
    <dataValidation allowBlank="true" errorStyle="stop" operator="greaterThanOrEqual" prompt="Loop height in cm (POI to highest inner point), only if the ball completed the Loop. Leave blank for none. Whole cm score 3 points each." showDropDown="false" showErrorMessage="true" showInputMessage="true" sqref="O9:O508 U9:U508" type="decimal">
      <formula1>0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9" activeCellId="0" sqref="B19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74.84"/>
  </cols>
  <sheetData>
    <row r="1" customFormat="false" ht="15.75" hidden="false" customHeight="false" outlineLevel="0" collapsed="false">
      <c r="A1" s="166" t="s">
        <v>77</v>
      </c>
      <c r="B1" s="166" t="s">
        <v>78</v>
      </c>
    </row>
    <row r="2" customFormat="false" ht="15.75" hidden="false" customHeight="false" outlineLevel="0" collapsed="false">
      <c r="A2" s="166" t="b">
        <f aca="false">TRUE()</f>
        <v>1</v>
      </c>
      <c r="B2" s="166" t="s">
        <v>79</v>
      </c>
    </row>
    <row r="3" customFormat="false" ht="15.75" hidden="false" customHeight="false" outlineLevel="0" collapsed="false">
      <c r="A3" s="166" t="b">
        <f aca="false">FALSE()</f>
        <v>0</v>
      </c>
      <c r="B3" s="166" t="s">
        <v>80</v>
      </c>
    </row>
    <row r="4" customFormat="false" ht="15.75" hidden="false" customHeight="false" outlineLevel="0" collapsed="false">
      <c r="A4" s="166" t="s">
        <v>81</v>
      </c>
      <c r="B4" s="166" t="s">
        <v>82</v>
      </c>
    </row>
    <row r="5" customFormat="false" ht="15.75" hidden="false" customHeight="false" outlineLevel="0" collapsed="false">
      <c r="A5" s="166" t="s">
        <v>83</v>
      </c>
      <c r="B5" s="166" t="s">
        <v>84</v>
      </c>
    </row>
    <row r="6" customFormat="false" ht="15.75" hidden="false" customHeight="false" outlineLevel="0" collapsed="false">
      <c r="A6" s="166" t="s">
        <v>85</v>
      </c>
      <c r="B6" s="166" t="s">
        <v>86</v>
      </c>
    </row>
    <row r="7" customFormat="false" ht="15.75" hidden="false" customHeight="false" outlineLevel="0" collapsed="false">
      <c r="A7" s="166" t="s">
        <v>87</v>
      </c>
      <c r="B7" s="166" t="s">
        <v>88</v>
      </c>
    </row>
    <row r="8" customFormat="false" ht="15.75" hidden="false" customHeight="false" outlineLevel="0" collapsed="false">
      <c r="A8" s="166" t="s">
        <v>89</v>
      </c>
      <c r="B8" s="166" t="s">
        <v>90</v>
      </c>
    </row>
    <row r="9" customFormat="false" ht="15.75" hidden="false" customHeight="false" outlineLevel="0" collapsed="false">
      <c r="A9" s="166" t="s">
        <v>91</v>
      </c>
      <c r="B9" s="166" t="n">
        <v>1</v>
      </c>
    </row>
    <row r="10" customFormat="false" ht="15.75" hidden="false" customHeight="false" outlineLevel="0" collapsed="false">
      <c r="A10" s="166" t="s">
        <v>92</v>
      </c>
      <c r="B10" s="166" t="n">
        <v>2</v>
      </c>
    </row>
    <row r="11" customFormat="false" ht="15.75" hidden="false" customHeight="false" outlineLevel="0" collapsed="false">
      <c r="A11" s="166" t="s">
        <v>93</v>
      </c>
      <c r="B11" s="166" t="n">
        <v>3</v>
      </c>
    </row>
    <row r="12" customFormat="false" ht="15.75" hidden="false" customHeight="false" outlineLevel="0" collapsed="false">
      <c r="A12" s="166" t="s">
        <v>94</v>
      </c>
      <c r="B12" s="166" t="n">
        <v>60</v>
      </c>
    </row>
    <row r="13" customFormat="false" ht="15.75" hidden="false" customHeight="false" outlineLevel="0" collapsed="false">
      <c r="A13" s="166" t="s">
        <v>95</v>
      </c>
      <c r="B13" s="166" t="n">
        <v>30</v>
      </c>
    </row>
    <row r="14" customFormat="false" ht="15.75" hidden="false" customHeight="false" outlineLevel="0" collapsed="false">
      <c r="A14" s="166" t="s">
        <v>96</v>
      </c>
      <c r="B14" s="166" t="n">
        <v>80</v>
      </c>
    </row>
    <row r="15" customFormat="false" ht="15.75" hidden="false" customHeight="false" outlineLevel="0" collapsed="false">
      <c r="A15" s="166" t="s">
        <v>97</v>
      </c>
      <c r="B15" s="166" t="n">
        <v>5</v>
      </c>
    </row>
    <row r="16" customFormat="false" ht="15.75" hidden="false" customHeight="false" outlineLevel="0" collapsed="false">
      <c r="A16" s="166" t="s">
        <v>98</v>
      </c>
      <c r="B16" s="166" t="n">
        <v>50</v>
      </c>
    </row>
    <row r="17" customFormat="false" ht="15.75" hidden="false" customHeight="false" outlineLevel="0" collapsed="false">
      <c r="A17" s="166" t="s">
        <v>99</v>
      </c>
      <c r="B17" s="166" t="n">
        <v>2</v>
      </c>
    </row>
    <row r="18" customFormat="false" ht="15.75" hidden="false" customHeight="false" outlineLevel="0" collapsed="false">
      <c r="A18" s="166" t="s">
        <v>100</v>
      </c>
      <c r="B18" s="166" t="n">
        <v>3</v>
      </c>
    </row>
    <row r="19" customFormat="false" ht="15.75" hidden="false" customHeight="false" outlineLevel="0" collapsed="false">
      <c r="A19" s="166" t="s">
        <v>101</v>
      </c>
      <c r="B19" s="166" t="n">
        <v>30</v>
      </c>
    </row>
    <row r="20" customFormat="false" ht="15.75" hidden="false" customHeight="false" outlineLevel="0" collapsed="false">
      <c r="A20" s="166" t="s">
        <v>102</v>
      </c>
      <c r="B20" s="166" t="n">
        <v>60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I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24.75" hidden="false" customHeight="true" outlineLevel="0" collapsed="false">
      <c r="A1" s="167" t="s">
        <v>34</v>
      </c>
      <c r="B1" s="167" t="s">
        <v>35</v>
      </c>
      <c r="C1" s="167" t="s">
        <v>36</v>
      </c>
      <c r="D1" s="167" t="s">
        <v>62</v>
      </c>
      <c r="E1" s="167" t="s">
        <v>29</v>
      </c>
      <c r="F1" s="167" t="s">
        <v>31</v>
      </c>
      <c r="G1" s="167" t="s">
        <v>30</v>
      </c>
      <c r="H1" s="167" t="s">
        <v>33</v>
      </c>
      <c r="I1" s="167" t="s">
        <v>32</v>
      </c>
    </row>
    <row r="2" customFormat="false" ht="15.75" hidden="false" customHeight="false" outlineLevel="0" collapsed="false">
      <c r="A2" s="168" t="n">
        <f aca="false">ExportRaw!$F2</f>
        <v>0</v>
      </c>
      <c r="B2" s="168" t="n">
        <f aca="false">ExportRaw!$C2</f>
        <v>0</v>
      </c>
      <c r="C2" s="168" t="n">
        <f aca="false">ExportRaw!$G2</f>
        <v>0</v>
      </c>
      <c r="D2" s="168" t="str">
        <f aca="false">ExportRaw!$E2</f>
        <v/>
      </c>
      <c r="E2" s="169" t="str">
        <f aca="false">ExportRaw!$D2</f>
        <v/>
      </c>
      <c r="F2" s="168" t="str">
        <f aca="false">ExportRaw!$H2</f>
        <v/>
      </c>
      <c r="G2" s="170" t="str">
        <f aca="false">ExportRaw!$I2</f>
        <v/>
      </c>
      <c r="H2" s="168" t="str">
        <f aca="false">ExportRaw!$A2</f>
        <v/>
      </c>
      <c r="I2" s="168" t="str">
        <f aca="false">ExportRaw!$B2</f>
        <v/>
      </c>
    </row>
    <row r="3" customFormat="false" ht="15.75" hidden="false" customHeight="false" outlineLevel="0" collapsed="false">
      <c r="A3" s="168" t="n">
        <f aca="false">ExportRaw!$F3</f>
        <v>0</v>
      </c>
      <c r="B3" s="168" t="n">
        <f aca="false">ExportRaw!$C3</f>
        <v>0</v>
      </c>
      <c r="C3" s="168" t="n">
        <f aca="false">ExportRaw!$G3</f>
        <v>0</v>
      </c>
      <c r="D3" s="168" t="str">
        <f aca="false">ExportRaw!$E3</f>
        <v/>
      </c>
      <c r="E3" s="169" t="str">
        <f aca="false">ExportRaw!$D3</f>
        <v/>
      </c>
      <c r="F3" s="168" t="str">
        <f aca="false">ExportRaw!$H3</f>
        <v/>
      </c>
      <c r="G3" s="170" t="str">
        <f aca="false">ExportRaw!$I3</f>
        <v/>
      </c>
      <c r="H3" s="168" t="str">
        <f aca="false">ExportRaw!$A3</f>
        <v/>
      </c>
      <c r="I3" s="168" t="str">
        <f aca="false">ExportRaw!$B3</f>
        <v/>
      </c>
    </row>
    <row r="4" customFormat="false" ht="15.75" hidden="false" customHeight="false" outlineLevel="0" collapsed="false">
      <c r="A4" s="168" t="n">
        <f aca="false">ExportRaw!$F4</f>
        <v>0</v>
      </c>
      <c r="B4" s="168" t="n">
        <f aca="false">ExportRaw!$C4</f>
        <v>0</v>
      </c>
      <c r="C4" s="168" t="n">
        <f aca="false">ExportRaw!$G4</f>
        <v>0</v>
      </c>
      <c r="D4" s="168" t="str">
        <f aca="false">ExportRaw!$E4</f>
        <v/>
      </c>
      <c r="E4" s="169" t="str">
        <f aca="false">ExportRaw!$D4</f>
        <v/>
      </c>
      <c r="F4" s="168" t="str">
        <f aca="false">ExportRaw!$H4</f>
        <v/>
      </c>
      <c r="G4" s="170" t="str">
        <f aca="false">ExportRaw!$I4</f>
        <v/>
      </c>
      <c r="H4" s="168" t="str">
        <f aca="false">ExportRaw!$A4</f>
        <v/>
      </c>
      <c r="I4" s="168" t="str">
        <f aca="false">ExportRaw!$B4</f>
        <v/>
      </c>
    </row>
    <row r="5" customFormat="false" ht="15.75" hidden="false" customHeight="false" outlineLevel="0" collapsed="false">
      <c r="A5" s="168" t="n">
        <f aca="false">ExportRaw!$F5</f>
        <v>0</v>
      </c>
      <c r="B5" s="168" t="n">
        <f aca="false">ExportRaw!$C5</f>
        <v>0</v>
      </c>
      <c r="C5" s="168" t="n">
        <f aca="false">ExportRaw!$G5</f>
        <v>0</v>
      </c>
      <c r="D5" s="168" t="str">
        <f aca="false">ExportRaw!$E5</f>
        <v/>
      </c>
      <c r="E5" s="169" t="str">
        <f aca="false">ExportRaw!$D5</f>
        <v/>
      </c>
      <c r="F5" s="168" t="str">
        <f aca="false">ExportRaw!$H5</f>
        <v/>
      </c>
      <c r="G5" s="170" t="str">
        <f aca="false">ExportRaw!$I5</f>
        <v/>
      </c>
      <c r="H5" s="168" t="str">
        <f aca="false">ExportRaw!$A5</f>
        <v/>
      </c>
      <c r="I5" s="168" t="str">
        <f aca="false">ExportRaw!$B5</f>
        <v/>
      </c>
    </row>
    <row r="6" customFormat="false" ht="15.75" hidden="false" customHeight="false" outlineLevel="0" collapsed="false">
      <c r="A6" s="168" t="n">
        <f aca="false">ExportRaw!$F6</f>
        <v>0</v>
      </c>
      <c r="B6" s="168" t="n">
        <f aca="false">ExportRaw!$C6</f>
        <v>0</v>
      </c>
      <c r="C6" s="168" t="n">
        <f aca="false">ExportRaw!$G6</f>
        <v>0</v>
      </c>
      <c r="D6" s="168" t="str">
        <f aca="false">ExportRaw!$E6</f>
        <v/>
      </c>
      <c r="E6" s="169" t="str">
        <f aca="false">ExportRaw!$D6</f>
        <v/>
      </c>
      <c r="F6" s="168" t="str">
        <f aca="false">ExportRaw!$H6</f>
        <v/>
      </c>
      <c r="G6" s="170" t="str">
        <f aca="false">ExportRaw!$I6</f>
        <v/>
      </c>
      <c r="H6" s="168" t="str">
        <f aca="false">ExportRaw!$A6</f>
        <v/>
      </c>
      <c r="I6" s="168" t="str">
        <f aca="false">ExportRaw!$B6</f>
        <v/>
      </c>
    </row>
    <row r="7" customFormat="false" ht="15.75" hidden="false" customHeight="false" outlineLevel="0" collapsed="false">
      <c r="A7" s="168" t="n">
        <f aca="false">ExportRaw!$F7</f>
        <v>0</v>
      </c>
      <c r="B7" s="168" t="n">
        <f aca="false">ExportRaw!$C7</f>
        <v>0</v>
      </c>
      <c r="C7" s="168" t="n">
        <f aca="false">ExportRaw!$G7</f>
        <v>0</v>
      </c>
      <c r="D7" s="168" t="str">
        <f aca="false">ExportRaw!$E7</f>
        <v/>
      </c>
      <c r="E7" s="169" t="str">
        <f aca="false">ExportRaw!$D7</f>
        <v/>
      </c>
      <c r="F7" s="168" t="str">
        <f aca="false">ExportRaw!$H7</f>
        <v/>
      </c>
      <c r="G7" s="170" t="str">
        <f aca="false">ExportRaw!$I7</f>
        <v/>
      </c>
      <c r="H7" s="168" t="str">
        <f aca="false">ExportRaw!$A7</f>
        <v/>
      </c>
      <c r="I7" s="168" t="str">
        <f aca="false">ExportRaw!$B7</f>
        <v/>
      </c>
    </row>
    <row r="8" customFormat="false" ht="15.75" hidden="false" customHeight="false" outlineLevel="0" collapsed="false">
      <c r="A8" s="168" t="n">
        <f aca="false">ExportRaw!$F8</f>
        <v>0</v>
      </c>
      <c r="B8" s="168" t="n">
        <f aca="false">ExportRaw!$C8</f>
        <v>0</v>
      </c>
      <c r="C8" s="168" t="n">
        <f aca="false">ExportRaw!$G8</f>
        <v>0</v>
      </c>
      <c r="D8" s="168" t="str">
        <f aca="false">ExportRaw!$E8</f>
        <v/>
      </c>
      <c r="E8" s="169" t="str">
        <f aca="false">ExportRaw!$D8</f>
        <v/>
      </c>
      <c r="F8" s="168" t="str">
        <f aca="false">ExportRaw!$H8</f>
        <v/>
      </c>
      <c r="G8" s="170" t="str">
        <f aca="false">ExportRaw!$I8</f>
        <v/>
      </c>
      <c r="H8" s="168" t="str">
        <f aca="false">ExportRaw!$A8</f>
        <v/>
      </c>
      <c r="I8" s="168" t="str">
        <f aca="false">ExportRaw!$B8</f>
        <v/>
      </c>
    </row>
    <row r="9" customFormat="false" ht="15.75" hidden="false" customHeight="false" outlineLevel="0" collapsed="false">
      <c r="A9" s="168" t="n">
        <f aca="false">ExportRaw!$F9</f>
        <v>0</v>
      </c>
      <c r="B9" s="168" t="n">
        <f aca="false">ExportRaw!$C9</f>
        <v>0</v>
      </c>
      <c r="C9" s="168" t="n">
        <f aca="false">ExportRaw!$G9</f>
        <v>0</v>
      </c>
      <c r="D9" s="168" t="str">
        <f aca="false">ExportRaw!$E9</f>
        <v/>
      </c>
      <c r="E9" s="169" t="str">
        <f aca="false">ExportRaw!$D9</f>
        <v/>
      </c>
      <c r="F9" s="168" t="str">
        <f aca="false">ExportRaw!$H9</f>
        <v/>
      </c>
      <c r="G9" s="170" t="str">
        <f aca="false">ExportRaw!$I9</f>
        <v/>
      </c>
      <c r="H9" s="168" t="str">
        <f aca="false">ExportRaw!$A9</f>
        <v/>
      </c>
      <c r="I9" s="168" t="str">
        <f aca="false">ExportRaw!$B9</f>
        <v/>
      </c>
    </row>
    <row r="10" customFormat="false" ht="15.75" hidden="false" customHeight="false" outlineLevel="0" collapsed="false">
      <c r="A10" s="168" t="n">
        <f aca="false">ExportRaw!$F10</f>
        <v>0</v>
      </c>
      <c r="B10" s="168" t="n">
        <f aca="false">ExportRaw!$C10</f>
        <v>0</v>
      </c>
      <c r="C10" s="168" t="n">
        <f aca="false">ExportRaw!$G10</f>
        <v>0</v>
      </c>
      <c r="D10" s="168" t="str">
        <f aca="false">ExportRaw!$E10</f>
        <v/>
      </c>
      <c r="E10" s="169" t="str">
        <f aca="false">ExportRaw!$D10</f>
        <v/>
      </c>
      <c r="F10" s="168" t="str">
        <f aca="false">ExportRaw!$H10</f>
        <v/>
      </c>
      <c r="G10" s="170" t="str">
        <f aca="false">ExportRaw!$I10</f>
        <v/>
      </c>
      <c r="H10" s="168" t="str">
        <f aca="false">ExportRaw!$A10</f>
        <v/>
      </c>
      <c r="I10" s="168" t="str">
        <f aca="false">ExportRaw!$B10</f>
        <v/>
      </c>
    </row>
    <row r="11" customFormat="false" ht="15.75" hidden="false" customHeight="false" outlineLevel="0" collapsed="false">
      <c r="A11" s="168" t="n">
        <f aca="false">ExportRaw!$F11</f>
        <v>0</v>
      </c>
      <c r="B11" s="168" t="n">
        <f aca="false">ExportRaw!$C11</f>
        <v>0</v>
      </c>
      <c r="C11" s="168" t="n">
        <f aca="false">ExportRaw!$G11</f>
        <v>0</v>
      </c>
      <c r="D11" s="168" t="str">
        <f aca="false">ExportRaw!$E11</f>
        <v/>
      </c>
      <c r="E11" s="169" t="str">
        <f aca="false">ExportRaw!$D11</f>
        <v/>
      </c>
      <c r="F11" s="168" t="str">
        <f aca="false">ExportRaw!$H11</f>
        <v/>
      </c>
      <c r="G11" s="170" t="str">
        <f aca="false">ExportRaw!$I11</f>
        <v/>
      </c>
      <c r="H11" s="168" t="str">
        <f aca="false">ExportRaw!$A11</f>
        <v/>
      </c>
      <c r="I11" s="168" t="str">
        <f aca="false">ExportRaw!$B11</f>
        <v/>
      </c>
    </row>
    <row r="12" customFormat="false" ht="15.75" hidden="false" customHeight="false" outlineLevel="0" collapsed="false">
      <c r="A12" s="168" t="n">
        <f aca="false">ExportRaw!$F12</f>
        <v>0</v>
      </c>
      <c r="B12" s="168" t="n">
        <f aca="false">ExportRaw!$C12</f>
        <v>0</v>
      </c>
      <c r="C12" s="168" t="n">
        <f aca="false">ExportRaw!$G12</f>
        <v>0</v>
      </c>
      <c r="D12" s="168" t="str">
        <f aca="false">ExportRaw!$E12</f>
        <v/>
      </c>
      <c r="E12" s="169" t="str">
        <f aca="false">ExportRaw!$D12</f>
        <v/>
      </c>
      <c r="F12" s="168" t="str">
        <f aca="false">ExportRaw!$H12</f>
        <v/>
      </c>
      <c r="G12" s="170" t="str">
        <f aca="false">ExportRaw!$I12</f>
        <v/>
      </c>
      <c r="H12" s="168" t="str">
        <f aca="false">ExportRaw!$A12</f>
        <v/>
      </c>
      <c r="I12" s="168" t="str">
        <f aca="false">ExportRaw!$B12</f>
        <v/>
      </c>
    </row>
    <row r="13" customFormat="false" ht="15.75" hidden="false" customHeight="false" outlineLevel="0" collapsed="false">
      <c r="A13" s="168" t="n">
        <f aca="false">ExportRaw!$F13</f>
        <v>0</v>
      </c>
      <c r="B13" s="168" t="n">
        <f aca="false">ExportRaw!$C13</f>
        <v>0</v>
      </c>
      <c r="C13" s="168" t="n">
        <f aca="false">ExportRaw!$G13</f>
        <v>0</v>
      </c>
      <c r="D13" s="168" t="str">
        <f aca="false">ExportRaw!$E13</f>
        <v/>
      </c>
      <c r="E13" s="169" t="str">
        <f aca="false">ExportRaw!$D13</f>
        <v/>
      </c>
      <c r="F13" s="168" t="str">
        <f aca="false">ExportRaw!$H13</f>
        <v/>
      </c>
      <c r="G13" s="170" t="str">
        <f aca="false">ExportRaw!$I13</f>
        <v/>
      </c>
      <c r="H13" s="168" t="str">
        <f aca="false">ExportRaw!$A13</f>
        <v/>
      </c>
      <c r="I13" s="168" t="str">
        <f aca="false">ExportRaw!$B13</f>
        <v/>
      </c>
    </row>
    <row r="14" customFormat="false" ht="15.75" hidden="false" customHeight="false" outlineLevel="0" collapsed="false">
      <c r="A14" s="168" t="n">
        <f aca="false">ExportRaw!$F14</f>
        <v>0</v>
      </c>
      <c r="B14" s="168" t="n">
        <f aca="false">ExportRaw!$C14</f>
        <v>0</v>
      </c>
      <c r="C14" s="168" t="n">
        <f aca="false">ExportRaw!$G14</f>
        <v>0</v>
      </c>
      <c r="D14" s="168" t="str">
        <f aca="false">ExportRaw!$E14</f>
        <v/>
      </c>
      <c r="E14" s="169" t="str">
        <f aca="false">ExportRaw!$D14</f>
        <v/>
      </c>
      <c r="F14" s="168" t="str">
        <f aca="false">ExportRaw!$H14</f>
        <v/>
      </c>
      <c r="G14" s="170" t="str">
        <f aca="false">ExportRaw!$I14</f>
        <v/>
      </c>
      <c r="H14" s="168" t="str">
        <f aca="false">ExportRaw!$A14</f>
        <v/>
      </c>
      <c r="I14" s="168" t="str">
        <f aca="false">ExportRaw!$B14</f>
        <v/>
      </c>
    </row>
    <row r="15" customFormat="false" ht="15.75" hidden="false" customHeight="false" outlineLevel="0" collapsed="false">
      <c r="A15" s="168" t="n">
        <f aca="false">ExportRaw!$F15</f>
        <v>0</v>
      </c>
      <c r="B15" s="168" t="n">
        <f aca="false">ExportRaw!$C15</f>
        <v>0</v>
      </c>
      <c r="C15" s="168" t="n">
        <f aca="false">ExportRaw!$G15</f>
        <v>0</v>
      </c>
      <c r="D15" s="168" t="str">
        <f aca="false">ExportRaw!$E15</f>
        <v/>
      </c>
      <c r="E15" s="169" t="str">
        <f aca="false">ExportRaw!$D15</f>
        <v/>
      </c>
      <c r="F15" s="168" t="str">
        <f aca="false">ExportRaw!$H15</f>
        <v/>
      </c>
      <c r="G15" s="170" t="str">
        <f aca="false">ExportRaw!$I15</f>
        <v/>
      </c>
      <c r="H15" s="168" t="str">
        <f aca="false">ExportRaw!$A15</f>
        <v/>
      </c>
      <c r="I15" s="168" t="str">
        <f aca="false">ExportRaw!$B15</f>
        <v/>
      </c>
    </row>
    <row r="16" customFormat="false" ht="15.75" hidden="false" customHeight="false" outlineLevel="0" collapsed="false">
      <c r="A16" s="168" t="n">
        <f aca="false">ExportRaw!$F16</f>
        <v>0</v>
      </c>
      <c r="B16" s="168" t="n">
        <f aca="false">ExportRaw!$C16</f>
        <v>0</v>
      </c>
      <c r="C16" s="168" t="n">
        <f aca="false">ExportRaw!$G16</f>
        <v>0</v>
      </c>
      <c r="D16" s="168" t="str">
        <f aca="false">ExportRaw!$E16</f>
        <v/>
      </c>
      <c r="E16" s="169" t="str">
        <f aca="false">ExportRaw!$D16</f>
        <v/>
      </c>
      <c r="F16" s="168" t="str">
        <f aca="false">ExportRaw!$H16</f>
        <v/>
      </c>
      <c r="G16" s="170" t="str">
        <f aca="false">ExportRaw!$I16</f>
        <v/>
      </c>
      <c r="H16" s="168" t="str">
        <f aca="false">ExportRaw!$A16</f>
        <v/>
      </c>
      <c r="I16" s="168" t="str">
        <f aca="false">ExportRaw!$B16</f>
        <v/>
      </c>
    </row>
    <row r="17" customFormat="false" ht="15.75" hidden="false" customHeight="false" outlineLevel="0" collapsed="false">
      <c r="A17" s="168" t="n">
        <f aca="false">ExportRaw!$F17</f>
        <v>0</v>
      </c>
      <c r="B17" s="168" t="n">
        <f aca="false">ExportRaw!$C17</f>
        <v>0</v>
      </c>
      <c r="C17" s="168" t="n">
        <f aca="false">ExportRaw!$G17</f>
        <v>0</v>
      </c>
      <c r="D17" s="168" t="str">
        <f aca="false">ExportRaw!$E17</f>
        <v/>
      </c>
      <c r="E17" s="169" t="str">
        <f aca="false">ExportRaw!$D17</f>
        <v/>
      </c>
      <c r="F17" s="168" t="str">
        <f aca="false">ExportRaw!$H17</f>
        <v/>
      </c>
      <c r="G17" s="170" t="str">
        <f aca="false">ExportRaw!$I17</f>
        <v/>
      </c>
      <c r="H17" s="168" t="str">
        <f aca="false">ExportRaw!$A17</f>
        <v/>
      </c>
      <c r="I17" s="168" t="str">
        <f aca="false">ExportRaw!$B17</f>
        <v/>
      </c>
    </row>
    <row r="18" customFormat="false" ht="15.75" hidden="false" customHeight="false" outlineLevel="0" collapsed="false">
      <c r="A18" s="168" t="n">
        <f aca="false">ExportRaw!$F18</f>
        <v>0</v>
      </c>
      <c r="B18" s="168" t="n">
        <f aca="false">ExportRaw!$C18</f>
        <v>0</v>
      </c>
      <c r="C18" s="168" t="n">
        <f aca="false">ExportRaw!$G18</f>
        <v>0</v>
      </c>
      <c r="D18" s="168" t="str">
        <f aca="false">ExportRaw!$E18</f>
        <v/>
      </c>
      <c r="E18" s="169" t="str">
        <f aca="false">ExportRaw!$D18</f>
        <v/>
      </c>
      <c r="F18" s="168" t="str">
        <f aca="false">ExportRaw!$H18</f>
        <v/>
      </c>
      <c r="G18" s="170" t="str">
        <f aca="false">ExportRaw!$I18</f>
        <v/>
      </c>
      <c r="H18" s="168" t="str">
        <f aca="false">ExportRaw!$A18</f>
        <v/>
      </c>
      <c r="I18" s="168" t="str">
        <f aca="false">ExportRaw!$B18</f>
        <v/>
      </c>
    </row>
    <row r="19" customFormat="false" ht="15.75" hidden="false" customHeight="false" outlineLevel="0" collapsed="false">
      <c r="A19" s="168" t="n">
        <f aca="false">ExportRaw!$F19</f>
        <v>0</v>
      </c>
      <c r="B19" s="168" t="n">
        <f aca="false">ExportRaw!$C19</f>
        <v>0</v>
      </c>
      <c r="C19" s="168" t="n">
        <f aca="false">ExportRaw!$G19</f>
        <v>0</v>
      </c>
      <c r="D19" s="168" t="str">
        <f aca="false">ExportRaw!$E19</f>
        <v/>
      </c>
      <c r="E19" s="169" t="str">
        <f aca="false">ExportRaw!$D19</f>
        <v/>
      </c>
      <c r="F19" s="168" t="str">
        <f aca="false">ExportRaw!$H19</f>
        <v/>
      </c>
      <c r="G19" s="170" t="str">
        <f aca="false">ExportRaw!$I19</f>
        <v/>
      </c>
      <c r="H19" s="168" t="str">
        <f aca="false">ExportRaw!$A19</f>
        <v/>
      </c>
      <c r="I19" s="168" t="str">
        <f aca="false">ExportRaw!$B19</f>
        <v/>
      </c>
    </row>
    <row r="20" customFormat="false" ht="15.75" hidden="false" customHeight="false" outlineLevel="0" collapsed="false">
      <c r="A20" s="168" t="n">
        <f aca="false">ExportRaw!$F20</f>
        <v>0</v>
      </c>
      <c r="B20" s="168" t="n">
        <f aca="false">ExportRaw!$C20</f>
        <v>0</v>
      </c>
      <c r="C20" s="168" t="n">
        <f aca="false">ExportRaw!$G20</f>
        <v>0</v>
      </c>
      <c r="D20" s="168" t="str">
        <f aca="false">ExportRaw!$E20</f>
        <v/>
      </c>
      <c r="E20" s="169" t="str">
        <f aca="false">ExportRaw!$D20</f>
        <v/>
      </c>
      <c r="F20" s="168" t="str">
        <f aca="false">ExportRaw!$H20</f>
        <v/>
      </c>
      <c r="G20" s="170" t="str">
        <f aca="false">ExportRaw!$I20</f>
        <v/>
      </c>
      <c r="H20" s="168" t="str">
        <f aca="false">ExportRaw!$A20</f>
        <v/>
      </c>
      <c r="I20" s="168" t="str">
        <f aca="false">ExportRaw!$B20</f>
        <v/>
      </c>
    </row>
    <row r="21" customFormat="false" ht="15.75" hidden="false" customHeight="false" outlineLevel="0" collapsed="false">
      <c r="A21" s="168" t="n">
        <f aca="false">ExportRaw!$F21</f>
        <v>0</v>
      </c>
      <c r="B21" s="168" t="n">
        <f aca="false">ExportRaw!$C21</f>
        <v>0</v>
      </c>
      <c r="C21" s="168" t="n">
        <f aca="false">ExportRaw!$G21</f>
        <v>0</v>
      </c>
      <c r="D21" s="168" t="str">
        <f aca="false">ExportRaw!$E21</f>
        <v/>
      </c>
      <c r="E21" s="169" t="str">
        <f aca="false">ExportRaw!$D21</f>
        <v/>
      </c>
      <c r="F21" s="168" t="str">
        <f aca="false">ExportRaw!$H21</f>
        <v/>
      </c>
      <c r="G21" s="170" t="str">
        <f aca="false">ExportRaw!$I21</f>
        <v/>
      </c>
      <c r="H21" s="168" t="str">
        <f aca="false">ExportRaw!$A21</f>
        <v/>
      </c>
      <c r="I21" s="168" t="str">
        <f aca="false">ExportRaw!$B21</f>
        <v/>
      </c>
    </row>
    <row r="22" customFormat="false" ht="15.75" hidden="false" customHeight="false" outlineLevel="0" collapsed="false">
      <c r="A22" s="168" t="n">
        <f aca="false">ExportRaw!$F22</f>
        <v>0</v>
      </c>
      <c r="B22" s="168" t="n">
        <f aca="false">ExportRaw!$C22</f>
        <v>0</v>
      </c>
      <c r="C22" s="168" t="n">
        <f aca="false">ExportRaw!$G22</f>
        <v>0</v>
      </c>
      <c r="D22" s="168" t="str">
        <f aca="false">ExportRaw!$E22</f>
        <v/>
      </c>
      <c r="E22" s="169" t="str">
        <f aca="false">ExportRaw!$D22</f>
        <v/>
      </c>
      <c r="F22" s="168" t="str">
        <f aca="false">ExportRaw!$H22</f>
        <v/>
      </c>
      <c r="G22" s="170" t="str">
        <f aca="false">ExportRaw!$I22</f>
        <v/>
      </c>
      <c r="H22" s="168" t="str">
        <f aca="false">ExportRaw!$A22</f>
        <v/>
      </c>
      <c r="I22" s="168" t="str">
        <f aca="false">ExportRaw!$B22</f>
        <v/>
      </c>
    </row>
    <row r="23" customFormat="false" ht="15.75" hidden="false" customHeight="false" outlineLevel="0" collapsed="false">
      <c r="A23" s="168" t="n">
        <f aca="false">ExportRaw!$F23</f>
        <v>0</v>
      </c>
      <c r="B23" s="168" t="n">
        <f aca="false">ExportRaw!$C23</f>
        <v>0</v>
      </c>
      <c r="C23" s="168" t="n">
        <f aca="false">ExportRaw!$G23</f>
        <v>0</v>
      </c>
      <c r="D23" s="168" t="str">
        <f aca="false">ExportRaw!$E23</f>
        <v/>
      </c>
      <c r="E23" s="169" t="str">
        <f aca="false">ExportRaw!$D23</f>
        <v/>
      </c>
      <c r="F23" s="168" t="str">
        <f aca="false">ExportRaw!$H23</f>
        <v/>
      </c>
      <c r="G23" s="170" t="str">
        <f aca="false">ExportRaw!$I23</f>
        <v/>
      </c>
      <c r="H23" s="168" t="str">
        <f aca="false">ExportRaw!$A23</f>
        <v/>
      </c>
      <c r="I23" s="168" t="str">
        <f aca="false">ExportRaw!$B23</f>
        <v/>
      </c>
    </row>
    <row r="24" customFormat="false" ht="15.75" hidden="false" customHeight="false" outlineLevel="0" collapsed="false">
      <c r="A24" s="168" t="n">
        <f aca="false">ExportRaw!$F24</f>
        <v>0</v>
      </c>
      <c r="B24" s="168" t="n">
        <f aca="false">ExportRaw!$C24</f>
        <v>0</v>
      </c>
      <c r="C24" s="168" t="n">
        <f aca="false">ExportRaw!$G24</f>
        <v>0</v>
      </c>
      <c r="D24" s="168" t="str">
        <f aca="false">ExportRaw!$E24</f>
        <v/>
      </c>
      <c r="E24" s="169" t="str">
        <f aca="false">ExportRaw!$D24</f>
        <v/>
      </c>
      <c r="F24" s="168" t="str">
        <f aca="false">ExportRaw!$H24</f>
        <v/>
      </c>
      <c r="G24" s="170" t="str">
        <f aca="false">ExportRaw!$I24</f>
        <v/>
      </c>
      <c r="H24" s="168" t="str">
        <f aca="false">ExportRaw!$A24</f>
        <v/>
      </c>
      <c r="I24" s="168" t="str">
        <f aca="false">ExportRaw!$B24</f>
        <v/>
      </c>
    </row>
    <row r="25" customFormat="false" ht="15.75" hidden="false" customHeight="false" outlineLevel="0" collapsed="false">
      <c r="A25" s="168" t="n">
        <f aca="false">ExportRaw!$F25</f>
        <v>0</v>
      </c>
      <c r="B25" s="168" t="n">
        <f aca="false">ExportRaw!$C25</f>
        <v>0</v>
      </c>
      <c r="C25" s="168" t="n">
        <f aca="false">ExportRaw!$G25</f>
        <v>0</v>
      </c>
      <c r="D25" s="168" t="str">
        <f aca="false">ExportRaw!$E25</f>
        <v/>
      </c>
      <c r="E25" s="169" t="str">
        <f aca="false">ExportRaw!$D25</f>
        <v/>
      </c>
      <c r="F25" s="168" t="str">
        <f aca="false">ExportRaw!$H25</f>
        <v/>
      </c>
      <c r="G25" s="170" t="str">
        <f aca="false">ExportRaw!$I25</f>
        <v/>
      </c>
      <c r="H25" s="168" t="str">
        <f aca="false">ExportRaw!$A25</f>
        <v/>
      </c>
      <c r="I25" s="168" t="str">
        <f aca="false">ExportRaw!$B25</f>
        <v/>
      </c>
    </row>
    <row r="26" customFormat="false" ht="15.75" hidden="false" customHeight="false" outlineLevel="0" collapsed="false">
      <c r="A26" s="168" t="n">
        <f aca="false">ExportRaw!$F26</f>
        <v>0</v>
      </c>
      <c r="B26" s="168" t="n">
        <f aca="false">ExportRaw!$C26</f>
        <v>0</v>
      </c>
      <c r="C26" s="168" t="n">
        <f aca="false">ExportRaw!$G26</f>
        <v>0</v>
      </c>
      <c r="D26" s="168" t="str">
        <f aca="false">ExportRaw!$E26</f>
        <v/>
      </c>
      <c r="E26" s="169" t="str">
        <f aca="false">ExportRaw!$D26</f>
        <v/>
      </c>
      <c r="F26" s="168" t="str">
        <f aca="false">ExportRaw!$H26</f>
        <v/>
      </c>
      <c r="G26" s="170" t="str">
        <f aca="false">ExportRaw!$I26</f>
        <v/>
      </c>
      <c r="H26" s="168" t="str">
        <f aca="false">ExportRaw!$A26</f>
        <v/>
      </c>
      <c r="I26" s="168" t="str">
        <f aca="false">ExportRaw!$B26</f>
        <v/>
      </c>
    </row>
    <row r="27" customFormat="false" ht="15.75" hidden="false" customHeight="false" outlineLevel="0" collapsed="false">
      <c r="A27" s="168" t="n">
        <f aca="false">ExportRaw!$F27</f>
        <v>0</v>
      </c>
      <c r="B27" s="168" t="n">
        <f aca="false">ExportRaw!$C27</f>
        <v>0</v>
      </c>
      <c r="C27" s="168" t="n">
        <f aca="false">ExportRaw!$G27</f>
        <v>0</v>
      </c>
      <c r="D27" s="168" t="str">
        <f aca="false">ExportRaw!$E27</f>
        <v/>
      </c>
      <c r="E27" s="169" t="str">
        <f aca="false">ExportRaw!$D27</f>
        <v/>
      </c>
      <c r="F27" s="168" t="str">
        <f aca="false">ExportRaw!$H27</f>
        <v/>
      </c>
      <c r="G27" s="170" t="str">
        <f aca="false">ExportRaw!$I27</f>
        <v/>
      </c>
      <c r="H27" s="168" t="str">
        <f aca="false">ExportRaw!$A27</f>
        <v/>
      </c>
      <c r="I27" s="168" t="str">
        <f aca="false">ExportRaw!$B27</f>
        <v/>
      </c>
    </row>
    <row r="28" customFormat="false" ht="15.75" hidden="false" customHeight="false" outlineLevel="0" collapsed="false">
      <c r="A28" s="168" t="n">
        <f aca="false">ExportRaw!$F28</f>
        <v>0</v>
      </c>
      <c r="B28" s="168" t="n">
        <f aca="false">ExportRaw!$C28</f>
        <v>0</v>
      </c>
      <c r="C28" s="168" t="n">
        <f aca="false">ExportRaw!$G28</f>
        <v>0</v>
      </c>
      <c r="D28" s="168" t="str">
        <f aca="false">ExportRaw!$E28</f>
        <v/>
      </c>
      <c r="E28" s="169" t="str">
        <f aca="false">ExportRaw!$D28</f>
        <v/>
      </c>
      <c r="F28" s="168" t="str">
        <f aca="false">ExportRaw!$H28</f>
        <v/>
      </c>
      <c r="G28" s="170" t="str">
        <f aca="false">ExportRaw!$I28</f>
        <v/>
      </c>
      <c r="H28" s="168" t="str">
        <f aca="false">ExportRaw!$A28</f>
        <v/>
      </c>
      <c r="I28" s="168" t="str">
        <f aca="false">ExportRaw!$B28</f>
        <v/>
      </c>
    </row>
    <row r="29" customFormat="false" ht="15.75" hidden="false" customHeight="false" outlineLevel="0" collapsed="false">
      <c r="A29" s="168" t="n">
        <f aca="false">ExportRaw!$F29</f>
        <v>0</v>
      </c>
      <c r="B29" s="168" t="n">
        <f aca="false">ExportRaw!$C29</f>
        <v>0</v>
      </c>
      <c r="C29" s="168" t="n">
        <f aca="false">ExportRaw!$G29</f>
        <v>0</v>
      </c>
      <c r="D29" s="168" t="str">
        <f aca="false">ExportRaw!$E29</f>
        <v/>
      </c>
      <c r="E29" s="169" t="str">
        <f aca="false">ExportRaw!$D29</f>
        <v/>
      </c>
      <c r="F29" s="168" t="str">
        <f aca="false">ExportRaw!$H29</f>
        <v/>
      </c>
      <c r="G29" s="170" t="str">
        <f aca="false">ExportRaw!$I29</f>
        <v/>
      </c>
      <c r="H29" s="168" t="str">
        <f aca="false">ExportRaw!$A29</f>
        <v/>
      </c>
      <c r="I29" s="168" t="str">
        <f aca="false">ExportRaw!$B29</f>
        <v/>
      </c>
    </row>
    <row r="30" customFormat="false" ht="15.75" hidden="false" customHeight="false" outlineLevel="0" collapsed="false">
      <c r="A30" s="168" t="n">
        <f aca="false">ExportRaw!$F30</f>
        <v>0</v>
      </c>
      <c r="B30" s="168" t="n">
        <f aca="false">ExportRaw!$C30</f>
        <v>0</v>
      </c>
      <c r="C30" s="168" t="n">
        <f aca="false">ExportRaw!$G30</f>
        <v>0</v>
      </c>
      <c r="D30" s="168" t="str">
        <f aca="false">ExportRaw!$E30</f>
        <v/>
      </c>
      <c r="E30" s="169" t="str">
        <f aca="false">ExportRaw!$D30</f>
        <v/>
      </c>
      <c r="F30" s="168" t="str">
        <f aca="false">ExportRaw!$H30</f>
        <v/>
      </c>
      <c r="G30" s="170" t="str">
        <f aca="false">ExportRaw!$I30</f>
        <v/>
      </c>
      <c r="H30" s="168" t="str">
        <f aca="false">ExportRaw!$A30</f>
        <v/>
      </c>
      <c r="I30" s="168" t="str">
        <f aca="false">ExportRaw!$B30</f>
        <v/>
      </c>
    </row>
    <row r="31" customFormat="false" ht="15.75" hidden="false" customHeight="false" outlineLevel="0" collapsed="false">
      <c r="A31" s="168" t="n">
        <f aca="false">ExportRaw!$F31</f>
        <v>0</v>
      </c>
      <c r="B31" s="168" t="n">
        <f aca="false">ExportRaw!$C31</f>
        <v>0</v>
      </c>
      <c r="C31" s="168" t="n">
        <f aca="false">ExportRaw!$G31</f>
        <v>0</v>
      </c>
      <c r="D31" s="168" t="str">
        <f aca="false">ExportRaw!$E31</f>
        <v/>
      </c>
      <c r="E31" s="169" t="str">
        <f aca="false">ExportRaw!$D31</f>
        <v/>
      </c>
      <c r="F31" s="168" t="str">
        <f aca="false">ExportRaw!$H31</f>
        <v/>
      </c>
      <c r="G31" s="170" t="str">
        <f aca="false">ExportRaw!$I31</f>
        <v/>
      </c>
      <c r="H31" s="168" t="str">
        <f aca="false">ExportRaw!$A31</f>
        <v/>
      </c>
      <c r="I31" s="168" t="str">
        <f aca="false">ExportRaw!$B31</f>
        <v/>
      </c>
    </row>
    <row r="32" customFormat="false" ht="15.75" hidden="false" customHeight="false" outlineLevel="0" collapsed="false">
      <c r="A32" s="168" t="n">
        <f aca="false">ExportRaw!$F32</f>
        <v>0</v>
      </c>
      <c r="B32" s="168" t="n">
        <f aca="false">ExportRaw!$C32</f>
        <v>0</v>
      </c>
      <c r="C32" s="168" t="n">
        <f aca="false">ExportRaw!$G32</f>
        <v>0</v>
      </c>
      <c r="D32" s="168" t="str">
        <f aca="false">ExportRaw!$E32</f>
        <v/>
      </c>
      <c r="E32" s="169" t="str">
        <f aca="false">ExportRaw!$D32</f>
        <v/>
      </c>
      <c r="F32" s="168" t="str">
        <f aca="false">ExportRaw!$H32</f>
        <v/>
      </c>
      <c r="G32" s="170" t="str">
        <f aca="false">ExportRaw!$I32</f>
        <v/>
      </c>
      <c r="H32" s="168" t="str">
        <f aca="false">ExportRaw!$A32</f>
        <v/>
      </c>
      <c r="I32" s="168" t="str">
        <f aca="false">ExportRaw!$B32</f>
        <v/>
      </c>
    </row>
    <row r="33" customFormat="false" ht="15.75" hidden="false" customHeight="false" outlineLevel="0" collapsed="false">
      <c r="A33" s="168" t="n">
        <f aca="false">ExportRaw!$F33</f>
        <v>0</v>
      </c>
      <c r="B33" s="168" t="n">
        <f aca="false">ExportRaw!$C33</f>
        <v>0</v>
      </c>
      <c r="C33" s="168" t="n">
        <f aca="false">ExportRaw!$G33</f>
        <v>0</v>
      </c>
      <c r="D33" s="168" t="str">
        <f aca="false">ExportRaw!$E33</f>
        <v/>
      </c>
      <c r="E33" s="169" t="str">
        <f aca="false">ExportRaw!$D33</f>
        <v/>
      </c>
      <c r="F33" s="168" t="str">
        <f aca="false">ExportRaw!$H33</f>
        <v/>
      </c>
      <c r="G33" s="170" t="str">
        <f aca="false">ExportRaw!$I33</f>
        <v/>
      </c>
      <c r="H33" s="168" t="str">
        <f aca="false">ExportRaw!$A33</f>
        <v/>
      </c>
      <c r="I33" s="168" t="str">
        <f aca="false">ExportRaw!$B33</f>
        <v/>
      </c>
    </row>
    <row r="34" customFormat="false" ht="15.75" hidden="false" customHeight="false" outlineLevel="0" collapsed="false">
      <c r="A34" s="168" t="n">
        <f aca="false">ExportRaw!$F34</f>
        <v>0</v>
      </c>
      <c r="B34" s="168" t="n">
        <f aca="false">ExportRaw!$C34</f>
        <v>0</v>
      </c>
      <c r="C34" s="168" t="n">
        <f aca="false">ExportRaw!$G34</f>
        <v>0</v>
      </c>
      <c r="D34" s="168" t="str">
        <f aca="false">ExportRaw!$E34</f>
        <v/>
      </c>
      <c r="E34" s="169" t="str">
        <f aca="false">ExportRaw!$D34</f>
        <v/>
      </c>
      <c r="F34" s="168" t="str">
        <f aca="false">ExportRaw!$H34</f>
        <v/>
      </c>
      <c r="G34" s="170" t="str">
        <f aca="false">ExportRaw!$I34</f>
        <v/>
      </c>
      <c r="H34" s="168" t="str">
        <f aca="false">ExportRaw!$A34</f>
        <v/>
      </c>
      <c r="I34" s="168" t="str">
        <f aca="false">ExportRaw!$B34</f>
        <v/>
      </c>
    </row>
    <row r="35" customFormat="false" ht="15.75" hidden="false" customHeight="false" outlineLevel="0" collapsed="false">
      <c r="A35" s="168" t="n">
        <f aca="false">ExportRaw!$F35</f>
        <v>0</v>
      </c>
      <c r="B35" s="168" t="n">
        <f aca="false">ExportRaw!$C35</f>
        <v>0</v>
      </c>
      <c r="C35" s="168" t="n">
        <f aca="false">ExportRaw!$G35</f>
        <v>0</v>
      </c>
      <c r="D35" s="168" t="str">
        <f aca="false">ExportRaw!$E35</f>
        <v/>
      </c>
      <c r="E35" s="169" t="str">
        <f aca="false">ExportRaw!$D35</f>
        <v/>
      </c>
      <c r="F35" s="168" t="str">
        <f aca="false">ExportRaw!$H35</f>
        <v/>
      </c>
      <c r="G35" s="170" t="str">
        <f aca="false">ExportRaw!$I35</f>
        <v/>
      </c>
      <c r="H35" s="168" t="str">
        <f aca="false">ExportRaw!$A35</f>
        <v/>
      </c>
      <c r="I35" s="168" t="str">
        <f aca="false">ExportRaw!$B35</f>
        <v/>
      </c>
    </row>
    <row r="36" customFormat="false" ht="15.75" hidden="false" customHeight="false" outlineLevel="0" collapsed="false">
      <c r="A36" s="168" t="n">
        <f aca="false">ExportRaw!$F36</f>
        <v>0</v>
      </c>
      <c r="B36" s="168" t="n">
        <f aca="false">ExportRaw!$C36</f>
        <v>0</v>
      </c>
      <c r="C36" s="168" t="n">
        <f aca="false">ExportRaw!$G36</f>
        <v>0</v>
      </c>
      <c r="D36" s="168" t="str">
        <f aca="false">ExportRaw!$E36</f>
        <v/>
      </c>
      <c r="E36" s="169" t="str">
        <f aca="false">ExportRaw!$D36</f>
        <v/>
      </c>
      <c r="F36" s="168" t="str">
        <f aca="false">ExportRaw!$H36</f>
        <v/>
      </c>
      <c r="G36" s="170" t="str">
        <f aca="false">ExportRaw!$I36</f>
        <v/>
      </c>
      <c r="H36" s="168" t="str">
        <f aca="false">ExportRaw!$A36</f>
        <v/>
      </c>
      <c r="I36" s="168" t="str">
        <f aca="false">ExportRaw!$B36</f>
        <v/>
      </c>
    </row>
    <row r="37" customFormat="false" ht="15.75" hidden="false" customHeight="false" outlineLevel="0" collapsed="false">
      <c r="A37" s="168" t="n">
        <f aca="false">ExportRaw!$F37</f>
        <v>0</v>
      </c>
      <c r="B37" s="168" t="n">
        <f aca="false">ExportRaw!$C37</f>
        <v>0</v>
      </c>
      <c r="C37" s="168" t="n">
        <f aca="false">ExportRaw!$G37</f>
        <v>0</v>
      </c>
      <c r="D37" s="168" t="str">
        <f aca="false">ExportRaw!$E37</f>
        <v/>
      </c>
      <c r="E37" s="169" t="str">
        <f aca="false">ExportRaw!$D37</f>
        <v/>
      </c>
      <c r="F37" s="168" t="str">
        <f aca="false">ExportRaw!$H37</f>
        <v/>
      </c>
      <c r="G37" s="170" t="str">
        <f aca="false">ExportRaw!$I37</f>
        <v/>
      </c>
      <c r="H37" s="168" t="str">
        <f aca="false">ExportRaw!$A37</f>
        <v/>
      </c>
      <c r="I37" s="168" t="str">
        <f aca="false">ExportRaw!$B37</f>
        <v/>
      </c>
    </row>
    <row r="38" customFormat="false" ht="15.75" hidden="false" customHeight="false" outlineLevel="0" collapsed="false">
      <c r="A38" s="168" t="n">
        <f aca="false">ExportRaw!$F38</f>
        <v>0</v>
      </c>
      <c r="B38" s="168" t="n">
        <f aca="false">ExportRaw!$C38</f>
        <v>0</v>
      </c>
      <c r="C38" s="168" t="n">
        <f aca="false">ExportRaw!$G38</f>
        <v>0</v>
      </c>
      <c r="D38" s="168" t="str">
        <f aca="false">ExportRaw!$E38</f>
        <v/>
      </c>
      <c r="E38" s="169" t="str">
        <f aca="false">ExportRaw!$D38</f>
        <v/>
      </c>
      <c r="F38" s="168" t="str">
        <f aca="false">ExportRaw!$H38</f>
        <v/>
      </c>
      <c r="G38" s="170" t="str">
        <f aca="false">ExportRaw!$I38</f>
        <v/>
      </c>
      <c r="H38" s="168" t="str">
        <f aca="false">ExportRaw!$A38</f>
        <v/>
      </c>
      <c r="I38" s="168" t="str">
        <f aca="false">ExportRaw!$B38</f>
        <v/>
      </c>
    </row>
    <row r="39" customFormat="false" ht="15.75" hidden="false" customHeight="false" outlineLevel="0" collapsed="false">
      <c r="A39" s="168" t="n">
        <f aca="false">ExportRaw!$F39</f>
        <v>0</v>
      </c>
      <c r="B39" s="168" t="n">
        <f aca="false">ExportRaw!$C39</f>
        <v>0</v>
      </c>
      <c r="C39" s="168" t="n">
        <f aca="false">ExportRaw!$G39</f>
        <v>0</v>
      </c>
      <c r="D39" s="168" t="str">
        <f aca="false">ExportRaw!$E39</f>
        <v/>
      </c>
      <c r="E39" s="169" t="str">
        <f aca="false">ExportRaw!$D39</f>
        <v/>
      </c>
      <c r="F39" s="168" t="str">
        <f aca="false">ExportRaw!$H39</f>
        <v/>
      </c>
      <c r="G39" s="170" t="str">
        <f aca="false">ExportRaw!$I39</f>
        <v/>
      </c>
      <c r="H39" s="168" t="str">
        <f aca="false">ExportRaw!$A39</f>
        <v/>
      </c>
      <c r="I39" s="168" t="str">
        <f aca="false">ExportRaw!$B39</f>
        <v/>
      </c>
    </row>
    <row r="40" customFormat="false" ht="15.75" hidden="false" customHeight="false" outlineLevel="0" collapsed="false">
      <c r="A40" s="168" t="n">
        <f aca="false">ExportRaw!$F40</f>
        <v>0</v>
      </c>
      <c r="B40" s="168" t="n">
        <f aca="false">ExportRaw!$C40</f>
        <v>0</v>
      </c>
      <c r="C40" s="168" t="n">
        <f aca="false">ExportRaw!$G40</f>
        <v>0</v>
      </c>
      <c r="D40" s="168" t="str">
        <f aca="false">ExportRaw!$E40</f>
        <v/>
      </c>
      <c r="E40" s="169" t="str">
        <f aca="false">ExportRaw!$D40</f>
        <v/>
      </c>
      <c r="F40" s="168" t="str">
        <f aca="false">ExportRaw!$H40</f>
        <v/>
      </c>
      <c r="G40" s="170" t="str">
        <f aca="false">ExportRaw!$I40</f>
        <v/>
      </c>
      <c r="H40" s="168" t="str">
        <f aca="false">ExportRaw!$A40</f>
        <v/>
      </c>
      <c r="I40" s="168" t="str">
        <f aca="false">ExportRaw!$B40</f>
        <v/>
      </c>
    </row>
    <row r="41" customFormat="false" ht="15.75" hidden="false" customHeight="false" outlineLevel="0" collapsed="false">
      <c r="A41" s="168" t="n">
        <f aca="false">ExportRaw!$F41</f>
        <v>0</v>
      </c>
      <c r="B41" s="168" t="n">
        <f aca="false">ExportRaw!$C41</f>
        <v>0</v>
      </c>
      <c r="C41" s="168" t="n">
        <f aca="false">ExportRaw!$G41</f>
        <v>0</v>
      </c>
      <c r="D41" s="168" t="str">
        <f aca="false">ExportRaw!$E41</f>
        <v/>
      </c>
      <c r="E41" s="169" t="str">
        <f aca="false">ExportRaw!$D41</f>
        <v/>
      </c>
      <c r="F41" s="168" t="str">
        <f aca="false">ExportRaw!$H41</f>
        <v/>
      </c>
      <c r="G41" s="170" t="str">
        <f aca="false">ExportRaw!$I41</f>
        <v/>
      </c>
      <c r="H41" s="168" t="str">
        <f aca="false">ExportRaw!$A41</f>
        <v/>
      </c>
      <c r="I41" s="168" t="str">
        <f aca="false">ExportRaw!$B41</f>
        <v/>
      </c>
    </row>
    <row r="42" customFormat="false" ht="15.75" hidden="false" customHeight="false" outlineLevel="0" collapsed="false">
      <c r="A42" s="168" t="n">
        <f aca="false">ExportRaw!$F42</f>
        <v>0</v>
      </c>
      <c r="B42" s="168" t="n">
        <f aca="false">ExportRaw!$C42</f>
        <v>0</v>
      </c>
      <c r="C42" s="168" t="n">
        <f aca="false">ExportRaw!$G42</f>
        <v>0</v>
      </c>
      <c r="D42" s="168" t="str">
        <f aca="false">ExportRaw!$E42</f>
        <v/>
      </c>
      <c r="E42" s="169" t="str">
        <f aca="false">ExportRaw!$D42</f>
        <v/>
      </c>
      <c r="F42" s="168" t="str">
        <f aca="false">ExportRaw!$H42</f>
        <v/>
      </c>
      <c r="G42" s="170" t="str">
        <f aca="false">ExportRaw!$I42</f>
        <v/>
      </c>
      <c r="H42" s="168" t="str">
        <f aca="false">ExportRaw!$A42</f>
        <v/>
      </c>
      <c r="I42" s="168" t="str">
        <f aca="false">ExportRaw!$B42</f>
        <v/>
      </c>
    </row>
    <row r="43" customFormat="false" ht="15.75" hidden="false" customHeight="false" outlineLevel="0" collapsed="false">
      <c r="A43" s="168" t="n">
        <f aca="false">ExportRaw!$F43</f>
        <v>0</v>
      </c>
      <c r="B43" s="168" t="n">
        <f aca="false">ExportRaw!$C43</f>
        <v>0</v>
      </c>
      <c r="C43" s="168" t="n">
        <f aca="false">ExportRaw!$G43</f>
        <v>0</v>
      </c>
      <c r="D43" s="168" t="str">
        <f aca="false">ExportRaw!$E43</f>
        <v/>
      </c>
      <c r="E43" s="169" t="str">
        <f aca="false">ExportRaw!$D43</f>
        <v/>
      </c>
      <c r="F43" s="168" t="str">
        <f aca="false">ExportRaw!$H43</f>
        <v/>
      </c>
      <c r="G43" s="170" t="str">
        <f aca="false">ExportRaw!$I43</f>
        <v/>
      </c>
      <c r="H43" s="168" t="str">
        <f aca="false">ExportRaw!$A43</f>
        <v/>
      </c>
      <c r="I43" s="168" t="str">
        <f aca="false">ExportRaw!$B43</f>
        <v/>
      </c>
    </row>
    <row r="44" customFormat="false" ht="15.75" hidden="false" customHeight="false" outlineLevel="0" collapsed="false">
      <c r="A44" s="168" t="n">
        <f aca="false">ExportRaw!$F44</f>
        <v>0</v>
      </c>
      <c r="B44" s="168" t="n">
        <f aca="false">ExportRaw!$C44</f>
        <v>0</v>
      </c>
      <c r="C44" s="168" t="n">
        <f aca="false">ExportRaw!$G44</f>
        <v>0</v>
      </c>
      <c r="D44" s="168" t="str">
        <f aca="false">ExportRaw!$E44</f>
        <v/>
      </c>
      <c r="E44" s="169" t="str">
        <f aca="false">ExportRaw!$D44</f>
        <v/>
      </c>
      <c r="F44" s="168" t="str">
        <f aca="false">ExportRaw!$H44</f>
        <v/>
      </c>
      <c r="G44" s="170" t="str">
        <f aca="false">ExportRaw!$I44</f>
        <v/>
      </c>
      <c r="H44" s="168" t="str">
        <f aca="false">ExportRaw!$A44</f>
        <v/>
      </c>
      <c r="I44" s="168" t="str">
        <f aca="false">ExportRaw!$B44</f>
        <v/>
      </c>
    </row>
    <row r="45" customFormat="false" ht="15.75" hidden="false" customHeight="false" outlineLevel="0" collapsed="false">
      <c r="A45" s="168" t="n">
        <f aca="false">ExportRaw!$F45</f>
        <v>0</v>
      </c>
      <c r="B45" s="168" t="n">
        <f aca="false">ExportRaw!$C45</f>
        <v>0</v>
      </c>
      <c r="C45" s="168" t="n">
        <f aca="false">ExportRaw!$G45</f>
        <v>0</v>
      </c>
      <c r="D45" s="168" t="str">
        <f aca="false">ExportRaw!$E45</f>
        <v/>
      </c>
      <c r="E45" s="169" t="str">
        <f aca="false">ExportRaw!$D45</f>
        <v/>
      </c>
      <c r="F45" s="168" t="str">
        <f aca="false">ExportRaw!$H45</f>
        <v/>
      </c>
      <c r="G45" s="170" t="str">
        <f aca="false">ExportRaw!$I45</f>
        <v/>
      </c>
      <c r="H45" s="168" t="str">
        <f aca="false">ExportRaw!$A45</f>
        <v/>
      </c>
      <c r="I45" s="168" t="str">
        <f aca="false">ExportRaw!$B45</f>
        <v/>
      </c>
    </row>
    <row r="46" customFormat="false" ht="15.75" hidden="false" customHeight="false" outlineLevel="0" collapsed="false">
      <c r="A46" s="168" t="n">
        <f aca="false">ExportRaw!$F46</f>
        <v>0</v>
      </c>
      <c r="B46" s="168" t="n">
        <f aca="false">ExportRaw!$C46</f>
        <v>0</v>
      </c>
      <c r="C46" s="168" t="n">
        <f aca="false">ExportRaw!$G46</f>
        <v>0</v>
      </c>
      <c r="D46" s="168" t="str">
        <f aca="false">ExportRaw!$E46</f>
        <v/>
      </c>
      <c r="E46" s="169" t="str">
        <f aca="false">ExportRaw!$D46</f>
        <v/>
      </c>
      <c r="F46" s="168" t="str">
        <f aca="false">ExportRaw!$H46</f>
        <v/>
      </c>
      <c r="G46" s="170" t="str">
        <f aca="false">ExportRaw!$I46</f>
        <v/>
      </c>
      <c r="H46" s="168" t="str">
        <f aca="false">ExportRaw!$A46</f>
        <v/>
      </c>
      <c r="I46" s="168" t="str">
        <f aca="false">ExportRaw!$B46</f>
        <v/>
      </c>
    </row>
    <row r="47" customFormat="false" ht="15.75" hidden="false" customHeight="false" outlineLevel="0" collapsed="false">
      <c r="A47" s="168" t="n">
        <f aca="false">ExportRaw!$F47</f>
        <v>0</v>
      </c>
      <c r="B47" s="168" t="n">
        <f aca="false">ExportRaw!$C47</f>
        <v>0</v>
      </c>
      <c r="C47" s="168" t="n">
        <f aca="false">ExportRaw!$G47</f>
        <v>0</v>
      </c>
      <c r="D47" s="168" t="str">
        <f aca="false">ExportRaw!$E47</f>
        <v/>
      </c>
      <c r="E47" s="169" t="str">
        <f aca="false">ExportRaw!$D47</f>
        <v/>
      </c>
      <c r="F47" s="168" t="str">
        <f aca="false">ExportRaw!$H47</f>
        <v/>
      </c>
      <c r="G47" s="170" t="str">
        <f aca="false">ExportRaw!$I47</f>
        <v/>
      </c>
      <c r="H47" s="168" t="str">
        <f aca="false">ExportRaw!$A47</f>
        <v/>
      </c>
      <c r="I47" s="168" t="str">
        <f aca="false">ExportRaw!$B47</f>
        <v/>
      </c>
    </row>
    <row r="48" customFormat="false" ht="15.75" hidden="false" customHeight="false" outlineLevel="0" collapsed="false">
      <c r="A48" s="168" t="n">
        <f aca="false">ExportRaw!$F48</f>
        <v>0</v>
      </c>
      <c r="B48" s="168" t="n">
        <f aca="false">ExportRaw!$C48</f>
        <v>0</v>
      </c>
      <c r="C48" s="168" t="n">
        <f aca="false">ExportRaw!$G48</f>
        <v>0</v>
      </c>
      <c r="D48" s="168" t="str">
        <f aca="false">ExportRaw!$E48</f>
        <v/>
      </c>
      <c r="E48" s="169" t="str">
        <f aca="false">ExportRaw!$D48</f>
        <v/>
      </c>
      <c r="F48" s="168" t="str">
        <f aca="false">ExportRaw!$H48</f>
        <v/>
      </c>
      <c r="G48" s="170" t="str">
        <f aca="false">ExportRaw!$I48</f>
        <v/>
      </c>
      <c r="H48" s="168" t="str">
        <f aca="false">ExportRaw!$A48</f>
        <v/>
      </c>
      <c r="I48" s="168" t="str">
        <f aca="false">ExportRaw!$B48</f>
        <v/>
      </c>
    </row>
    <row r="49" customFormat="false" ht="15.75" hidden="false" customHeight="false" outlineLevel="0" collapsed="false">
      <c r="A49" s="168" t="n">
        <f aca="false">ExportRaw!$F49</f>
        <v>0</v>
      </c>
      <c r="B49" s="168" t="n">
        <f aca="false">ExportRaw!$C49</f>
        <v>0</v>
      </c>
      <c r="C49" s="168" t="n">
        <f aca="false">ExportRaw!$G49</f>
        <v>0</v>
      </c>
      <c r="D49" s="168" t="str">
        <f aca="false">ExportRaw!$E49</f>
        <v/>
      </c>
      <c r="E49" s="169" t="str">
        <f aca="false">ExportRaw!$D49</f>
        <v/>
      </c>
      <c r="F49" s="168" t="str">
        <f aca="false">ExportRaw!$H49</f>
        <v/>
      </c>
      <c r="G49" s="170" t="str">
        <f aca="false">ExportRaw!$I49</f>
        <v/>
      </c>
      <c r="H49" s="168" t="str">
        <f aca="false">ExportRaw!$A49</f>
        <v/>
      </c>
      <c r="I49" s="168" t="str">
        <f aca="false">ExportRaw!$B49</f>
        <v/>
      </c>
    </row>
    <row r="50" customFormat="false" ht="15.75" hidden="false" customHeight="false" outlineLevel="0" collapsed="false">
      <c r="A50" s="168" t="n">
        <f aca="false">ExportRaw!$F50</f>
        <v>0</v>
      </c>
      <c r="B50" s="168" t="n">
        <f aca="false">ExportRaw!$C50</f>
        <v>0</v>
      </c>
      <c r="C50" s="168" t="n">
        <f aca="false">ExportRaw!$G50</f>
        <v>0</v>
      </c>
      <c r="D50" s="168" t="str">
        <f aca="false">ExportRaw!$E50</f>
        <v/>
      </c>
      <c r="E50" s="169" t="str">
        <f aca="false">ExportRaw!$D50</f>
        <v/>
      </c>
      <c r="F50" s="168" t="str">
        <f aca="false">ExportRaw!$H50</f>
        <v/>
      </c>
      <c r="G50" s="170" t="str">
        <f aca="false">ExportRaw!$I50</f>
        <v/>
      </c>
      <c r="H50" s="168" t="str">
        <f aca="false">ExportRaw!$A50</f>
        <v/>
      </c>
      <c r="I50" s="168" t="str">
        <f aca="false">ExportRaw!$B50</f>
        <v/>
      </c>
    </row>
    <row r="51" customFormat="false" ht="15.75" hidden="false" customHeight="false" outlineLevel="0" collapsed="false">
      <c r="A51" s="168" t="n">
        <f aca="false">ExportRaw!$F51</f>
        <v>0</v>
      </c>
      <c r="B51" s="168" t="n">
        <f aca="false">ExportRaw!$C51</f>
        <v>0</v>
      </c>
      <c r="C51" s="168" t="n">
        <f aca="false">ExportRaw!$G51</f>
        <v>0</v>
      </c>
      <c r="D51" s="168" t="str">
        <f aca="false">ExportRaw!$E51</f>
        <v/>
      </c>
      <c r="E51" s="169" t="str">
        <f aca="false">ExportRaw!$D51</f>
        <v/>
      </c>
      <c r="F51" s="168" t="str">
        <f aca="false">ExportRaw!$H51</f>
        <v/>
      </c>
      <c r="G51" s="170" t="str">
        <f aca="false">ExportRaw!$I51</f>
        <v/>
      </c>
      <c r="H51" s="168" t="str">
        <f aca="false">ExportRaw!$A51</f>
        <v/>
      </c>
      <c r="I51" s="168" t="str">
        <f aca="false">ExportRaw!$B51</f>
        <v/>
      </c>
    </row>
    <row r="52" customFormat="false" ht="15.75" hidden="false" customHeight="false" outlineLevel="0" collapsed="false">
      <c r="A52" s="168" t="n">
        <f aca="false">ExportRaw!$F52</f>
        <v>0</v>
      </c>
      <c r="B52" s="168" t="n">
        <f aca="false">ExportRaw!$C52</f>
        <v>0</v>
      </c>
      <c r="C52" s="168" t="n">
        <f aca="false">ExportRaw!$G52</f>
        <v>0</v>
      </c>
      <c r="D52" s="168" t="str">
        <f aca="false">ExportRaw!$E52</f>
        <v/>
      </c>
      <c r="E52" s="169" t="str">
        <f aca="false">ExportRaw!$D52</f>
        <v/>
      </c>
      <c r="F52" s="168" t="str">
        <f aca="false">ExportRaw!$H52</f>
        <v/>
      </c>
      <c r="G52" s="170" t="str">
        <f aca="false">ExportRaw!$I52</f>
        <v/>
      </c>
      <c r="H52" s="168" t="str">
        <f aca="false">ExportRaw!$A52</f>
        <v/>
      </c>
      <c r="I52" s="168" t="str">
        <f aca="false">ExportRaw!$B52</f>
        <v/>
      </c>
    </row>
    <row r="53" customFormat="false" ht="15.75" hidden="false" customHeight="false" outlineLevel="0" collapsed="false">
      <c r="A53" s="168" t="n">
        <f aca="false">ExportRaw!$F53</f>
        <v>0</v>
      </c>
      <c r="B53" s="168" t="n">
        <f aca="false">ExportRaw!$C53</f>
        <v>0</v>
      </c>
      <c r="C53" s="168" t="n">
        <f aca="false">ExportRaw!$G53</f>
        <v>0</v>
      </c>
      <c r="D53" s="168" t="str">
        <f aca="false">ExportRaw!$E53</f>
        <v/>
      </c>
      <c r="E53" s="169" t="str">
        <f aca="false">ExportRaw!$D53</f>
        <v/>
      </c>
      <c r="F53" s="168" t="str">
        <f aca="false">ExportRaw!$H53</f>
        <v/>
      </c>
      <c r="G53" s="170" t="str">
        <f aca="false">ExportRaw!$I53</f>
        <v/>
      </c>
      <c r="H53" s="168" t="str">
        <f aca="false">ExportRaw!$A53</f>
        <v/>
      </c>
      <c r="I53" s="168" t="str">
        <f aca="false">ExportRaw!$B53</f>
        <v/>
      </c>
    </row>
    <row r="54" customFormat="false" ht="15.75" hidden="false" customHeight="false" outlineLevel="0" collapsed="false">
      <c r="A54" s="168" t="n">
        <f aca="false">ExportRaw!$F54</f>
        <v>0</v>
      </c>
      <c r="B54" s="168" t="n">
        <f aca="false">ExportRaw!$C54</f>
        <v>0</v>
      </c>
      <c r="C54" s="168" t="n">
        <f aca="false">ExportRaw!$G54</f>
        <v>0</v>
      </c>
      <c r="D54" s="168" t="str">
        <f aca="false">ExportRaw!$E54</f>
        <v/>
      </c>
      <c r="E54" s="169" t="str">
        <f aca="false">ExportRaw!$D54</f>
        <v/>
      </c>
      <c r="F54" s="168" t="str">
        <f aca="false">ExportRaw!$H54</f>
        <v/>
      </c>
      <c r="G54" s="170" t="str">
        <f aca="false">ExportRaw!$I54</f>
        <v/>
      </c>
      <c r="H54" s="168" t="str">
        <f aca="false">ExportRaw!$A54</f>
        <v/>
      </c>
      <c r="I54" s="168" t="str">
        <f aca="false">ExportRaw!$B54</f>
        <v/>
      </c>
    </row>
    <row r="55" customFormat="false" ht="15.75" hidden="false" customHeight="false" outlineLevel="0" collapsed="false">
      <c r="A55" s="168" t="n">
        <f aca="false">ExportRaw!$F55</f>
        <v>0</v>
      </c>
      <c r="B55" s="168" t="n">
        <f aca="false">ExportRaw!$C55</f>
        <v>0</v>
      </c>
      <c r="C55" s="168" t="n">
        <f aca="false">ExportRaw!$G55</f>
        <v>0</v>
      </c>
      <c r="D55" s="168" t="str">
        <f aca="false">ExportRaw!$E55</f>
        <v/>
      </c>
      <c r="E55" s="169" t="str">
        <f aca="false">ExportRaw!$D55</f>
        <v/>
      </c>
      <c r="F55" s="168" t="str">
        <f aca="false">ExportRaw!$H55</f>
        <v/>
      </c>
      <c r="G55" s="170" t="str">
        <f aca="false">ExportRaw!$I55</f>
        <v/>
      </c>
      <c r="H55" s="168" t="str">
        <f aca="false">ExportRaw!$A55</f>
        <v/>
      </c>
      <c r="I55" s="168" t="str">
        <f aca="false">ExportRaw!$B55</f>
        <v/>
      </c>
    </row>
    <row r="56" customFormat="false" ht="15.75" hidden="false" customHeight="false" outlineLevel="0" collapsed="false">
      <c r="A56" s="168" t="n">
        <f aca="false">ExportRaw!$F56</f>
        <v>0</v>
      </c>
      <c r="B56" s="168" t="n">
        <f aca="false">ExportRaw!$C56</f>
        <v>0</v>
      </c>
      <c r="C56" s="168" t="n">
        <f aca="false">ExportRaw!$G56</f>
        <v>0</v>
      </c>
      <c r="D56" s="168" t="str">
        <f aca="false">ExportRaw!$E56</f>
        <v/>
      </c>
      <c r="E56" s="169" t="str">
        <f aca="false">ExportRaw!$D56</f>
        <v/>
      </c>
      <c r="F56" s="168" t="str">
        <f aca="false">ExportRaw!$H56</f>
        <v/>
      </c>
      <c r="G56" s="170" t="str">
        <f aca="false">ExportRaw!$I56</f>
        <v/>
      </c>
      <c r="H56" s="168" t="str">
        <f aca="false">ExportRaw!$A56</f>
        <v/>
      </c>
      <c r="I56" s="168" t="str">
        <f aca="false">ExportRaw!$B56</f>
        <v/>
      </c>
    </row>
    <row r="57" customFormat="false" ht="15.75" hidden="false" customHeight="false" outlineLevel="0" collapsed="false">
      <c r="A57" s="168" t="n">
        <f aca="false">ExportRaw!$F57</f>
        <v>0</v>
      </c>
      <c r="B57" s="168" t="n">
        <f aca="false">ExportRaw!$C57</f>
        <v>0</v>
      </c>
      <c r="C57" s="168" t="n">
        <f aca="false">ExportRaw!$G57</f>
        <v>0</v>
      </c>
      <c r="D57" s="168" t="str">
        <f aca="false">ExportRaw!$E57</f>
        <v/>
      </c>
      <c r="E57" s="169" t="str">
        <f aca="false">ExportRaw!$D57</f>
        <v/>
      </c>
      <c r="F57" s="168" t="str">
        <f aca="false">ExportRaw!$H57</f>
        <v/>
      </c>
      <c r="G57" s="170" t="str">
        <f aca="false">ExportRaw!$I57</f>
        <v/>
      </c>
      <c r="H57" s="168" t="str">
        <f aca="false">ExportRaw!$A57</f>
        <v/>
      </c>
      <c r="I57" s="168" t="str">
        <f aca="false">ExportRaw!$B57</f>
        <v/>
      </c>
    </row>
    <row r="58" customFormat="false" ht="15.75" hidden="false" customHeight="false" outlineLevel="0" collapsed="false">
      <c r="A58" s="168" t="n">
        <f aca="false">ExportRaw!$F58</f>
        <v>0</v>
      </c>
      <c r="B58" s="168" t="n">
        <f aca="false">ExportRaw!$C58</f>
        <v>0</v>
      </c>
      <c r="C58" s="168" t="n">
        <f aca="false">ExportRaw!$G58</f>
        <v>0</v>
      </c>
      <c r="D58" s="168" t="str">
        <f aca="false">ExportRaw!$E58</f>
        <v/>
      </c>
      <c r="E58" s="169" t="str">
        <f aca="false">ExportRaw!$D58</f>
        <v/>
      </c>
      <c r="F58" s="168" t="str">
        <f aca="false">ExportRaw!$H58</f>
        <v/>
      </c>
      <c r="G58" s="170" t="str">
        <f aca="false">ExportRaw!$I58</f>
        <v/>
      </c>
      <c r="H58" s="168" t="str">
        <f aca="false">ExportRaw!$A58</f>
        <v/>
      </c>
      <c r="I58" s="168" t="str">
        <f aca="false">ExportRaw!$B58</f>
        <v/>
      </c>
    </row>
    <row r="59" customFormat="false" ht="15.75" hidden="false" customHeight="false" outlineLevel="0" collapsed="false">
      <c r="A59" s="168" t="n">
        <f aca="false">ExportRaw!$F59</f>
        <v>0</v>
      </c>
      <c r="B59" s="168" t="n">
        <f aca="false">ExportRaw!$C59</f>
        <v>0</v>
      </c>
      <c r="C59" s="168" t="n">
        <f aca="false">ExportRaw!$G59</f>
        <v>0</v>
      </c>
      <c r="D59" s="168" t="str">
        <f aca="false">ExportRaw!$E59</f>
        <v/>
      </c>
      <c r="E59" s="169" t="str">
        <f aca="false">ExportRaw!$D59</f>
        <v/>
      </c>
      <c r="F59" s="168" t="str">
        <f aca="false">ExportRaw!$H59</f>
        <v/>
      </c>
      <c r="G59" s="170" t="str">
        <f aca="false">ExportRaw!$I59</f>
        <v/>
      </c>
      <c r="H59" s="168" t="str">
        <f aca="false">ExportRaw!$A59</f>
        <v/>
      </c>
      <c r="I59" s="168" t="str">
        <f aca="false">ExportRaw!$B59</f>
        <v/>
      </c>
    </row>
    <row r="60" customFormat="false" ht="15.75" hidden="false" customHeight="false" outlineLevel="0" collapsed="false">
      <c r="A60" s="168" t="n">
        <f aca="false">ExportRaw!$F60</f>
        <v>0</v>
      </c>
      <c r="B60" s="168" t="n">
        <f aca="false">ExportRaw!$C60</f>
        <v>0</v>
      </c>
      <c r="C60" s="168" t="n">
        <f aca="false">ExportRaw!$G60</f>
        <v>0</v>
      </c>
      <c r="D60" s="168" t="str">
        <f aca="false">ExportRaw!$E60</f>
        <v/>
      </c>
      <c r="E60" s="169" t="str">
        <f aca="false">ExportRaw!$D60</f>
        <v/>
      </c>
      <c r="F60" s="168" t="str">
        <f aca="false">ExportRaw!$H60</f>
        <v/>
      </c>
      <c r="G60" s="170" t="str">
        <f aca="false">ExportRaw!$I60</f>
        <v/>
      </c>
      <c r="H60" s="168" t="str">
        <f aca="false">ExportRaw!$A60</f>
        <v/>
      </c>
      <c r="I60" s="168" t="str">
        <f aca="false">ExportRaw!$B60</f>
        <v/>
      </c>
    </row>
    <row r="61" customFormat="false" ht="15.75" hidden="false" customHeight="false" outlineLevel="0" collapsed="false">
      <c r="A61" s="168" t="n">
        <f aca="false">ExportRaw!$F61</f>
        <v>0</v>
      </c>
      <c r="B61" s="168" t="n">
        <f aca="false">ExportRaw!$C61</f>
        <v>0</v>
      </c>
      <c r="C61" s="168" t="n">
        <f aca="false">ExportRaw!$G61</f>
        <v>0</v>
      </c>
      <c r="D61" s="168" t="str">
        <f aca="false">ExportRaw!$E61</f>
        <v/>
      </c>
      <c r="E61" s="169" t="str">
        <f aca="false">ExportRaw!$D61</f>
        <v/>
      </c>
      <c r="F61" s="168" t="str">
        <f aca="false">ExportRaw!$H61</f>
        <v/>
      </c>
      <c r="G61" s="170" t="str">
        <f aca="false">ExportRaw!$I61</f>
        <v/>
      </c>
      <c r="H61" s="168" t="str">
        <f aca="false">ExportRaw!$A61</f>
        <v/>
      </c>
      <c r="I61" s="168" t="str">
        <f aca="false">ExportRaw!$B61</f>
        <v/>
      </c>
    </row>
    <row r="62" customFormat="false" ht="15.75" hidden="false" customHeight="false" outlineLevel="0" collapsed="false">
      <c r="A62" s="168" t="n">
        <f aca="false">ExportRaw!$F62</f>
        <v>0</v>
      </c>
      <c r="B62" s="168" t="n">
        <f aca="false">ExportRaw!$C62</f>
        <v>0</v>
      </c>
      <c r="C62" s="168" t="n">
        <f aca="false">ExportRaw!$G62</f>
        <v>0</v>
      </c>
      <c r="D62" s="168" t="str">
        <f aca="false">ExportRaw!$E62</f>
        <v/>
      </c>
      <c r="E62" s="169" t="str">
        <f aca="false">ExportRaw!$D62</f>
        <v/>
      </c>
      <c r="F62" s="168" t="str">
        <f aca="false">ExportRaw!$H62</f>
        <v/>
      </c>
      <c r="G62" s="170" t="str">
        <f aca="false">ExportRaw!$I62</f>
        <v/>
      </c>
      <c r="H62" s="168" t="str">
        <f aca="false">ExportRaw!$A62</f>
        <v/>
      </c>
      <c r="I62" s="168" t="str">
        <f aca="false">ExportRaw!$B62</f>
        <v/>
      </c>
    </row>
    <row r="63" customFormat="false" ht="15.75" hidden="false" customHeight="false" outlineLevel="0" collapsed="false">
      <c r="A63" s="168" t="n">
        <f aca="false">ExportRaw!$F63</f>
        <v>0</v>
      </c>
      <c r="B63" s="168" t="n">
        <f aca="false">ExportRaw!$C63</f>
        <v>0</v>
      </c>
      <c r="C63" s="168" t="n">
        <f aca="false">ExportRaw!$G63</f>
        <v>0</v>
      </c>
      <c r="D63" s="168" t="str">
        <f aca="false">ExportRaw!$E63</f>
        <v/>
      </c>
      <c r="E63" s="169" t="str">
        <f aca="false">ExportRaw!$D63</f>
        <v/>
      </c>
      <c r="F63" s="168" t="str">
        <f aca="false">ExportRaw!$H63</f>
        <v/>
      </c>
      <c r="G63" s="170" t="str">
        <f aca="false">ExportRaw!$I63</f>
        <v/>
      </c>
      <c r="H63" s="168" t="str">
        <f aca="false">ExportRaw!$A63</f>
        <v/>
      </c>
      <c r="I63" s="168" t="str">
        <f aca="false">ExportRaw!$B63</f>
        <v/>
      </c>
    </row>
    <row r="64" customFormat="false" ht="15.75" hidden="false" customHeight="false" outlineLevel="0" collapsed="false">
      <c r="A64" s="168" t="n">
        <f aca="false">ExportRaw!$F64</f>
        <v>0</v>
      </c>
      <c r="B64" s="168" t="n">
        <f aca="false">ExportRaw!$C64</f>
        <v>0</v>
      </c>
      <c r="C64" s="168" t="n">
        <f aca="false">ExportRaw!$G64</f>
        <v>0</v>
      </c>
      <c r="D64" s="168" t="str">
        <f aca="false">ExportRaw!$E64</f>
        <v/>
      </c>
      <c r="E64" s="169" t="str">
        <f aca="false">ExportRaw!$D64</f>
        <v/>
      </c>
      <c r="F64" s="168" t="str">
        <f aca="false">ExportRaw!$H64</f>
        <v/>
      </c>
      <c r="G64" s="170" t="str">
        <f aca="false">ExportRaw!$I64</f>
        <v/>
      </c>
      <c r="H64" s="168" t="str">
        <f aca="false">ExportRaw!$A64</f>
        <v/>
      </c>
      <c r="I64" s="168" t="str">
        <f aca="false">ExportRaw!$B64</f>
        <v/>
      </c>
    </row>
    <row r="65" customFormat="false" ht="15.75" hidden="false" customHeight="false" outlineLevel="0" collapsed="false">
      <c r="A65" s="168" t="n">
        <f aca="false">ExportRaw!$F65</f>
        <v>0</v>
      </c>
      <c r="B65" s="168" t="n">
        <f aca="false">ExportRaw!$C65</f>
        <v>0</v>
      </c>
      <c r="C65" s="168" t="n">
        <f aca="false">ExportRaw!$G65</f>
        <v>0</v>
      </c>
      <c r="D65" s="168" t="str">
        <f aca="false">ExportRaw!$E65</f>
        <v/>
      </c>
      <c r="E65" s="169" t="str">
        <f aca="false">ExportRaw!$D65</f>
        <v/>
      </c>
      <c r="F65" s="168" t="str">
        <f aca="false">ExportRaw!$H65</f>
        <v/>
      </c>
      <c r="G65" s="170" t="str">
        <f aca="false">ExportRaw!$I65</f>
        <v/>
      </c>
      <c r="H65" s="168" t="str">
        <f aca="false">ExportRaw!$A65</f>
        <v/>
      </c>
      <c r="I65" s="168" t="str">
        <f aca="false">ExportRaw!$B65</f>
        <v/>
      </c>
    </row>
    <row r="66" customFormat="false" ht="15.75" hidden="false" customHeight="false" outlineLevel="0" collapsed="false">
      <c r="A66" s="168" t="n">
        <f aca="false">ExportRaw!$F66</f>
        <v>0</v>
      </c>
      <c r="B66" s="168" t="n">
        <f aca="false">ExportRaw!$C66</f>
        <v>0</v>
      </c>
      <c r="C66" s="168" t="n">
        <f aca="false">ExportRaw!$G66</f>
        <v>0</v>
      </c>
      <c r="D66" s="168" t="str">
        <f aca="false">ExportRaw!$E66</f>
        <v/>
      </c>
      <c r="E66" s="169" t="str">
        <f aca="false">ExportRaw!$D66</f>
        <v/>
      </c>
      <c r="F66" s="168" t="str">
        <f aca="false">ExportRaw!$H66</f>
        <v/>
      </c>
      <c r="G66" s="170" t="str">
        <f aca="false">ExportRaw!$I66</f>
        <v/>
      </c>
      <c r="H66" s="168" t="str">
        <f aca="false">ExportRaw!$A66</f>
        <v/>
      </c>
      <c r="I66" s="168" t="str">
        <f aca="false">ExportRaw!$B66</f>
        <v/>
      </c>
    </row>
    <row r="67" customFormat="false" ht="15.75" hidden="false" customHeight="false" outlineLevel="0" collapsed="false">
      <c r="A67" s="168" t="n">
        <f aca="false">ExportRaw!$F67</f>
        <v>0</v>
      </c>
      <c r="B67" s="168" t="n">
        <f aca="false">ExportRaw!$C67</f>
        <v>0</v>
      </c>
      <c r="C67" s="168" t="n">
        <f aca="false">ExportRaw!$G67</f>
        <v>0</v>
      </c>
      <c r="D67" s="168" t="str">
        <f aca="false">ExportRaw!$E67</f>
        <v/>
      </c>
      <c r="E67" s="169" t="str">
        <f aca="false">ExportRaw!$D67</f>
        <v/>
      </c>
      <c r="F67" s="168" t="str">
        <f aca="false">ExportRaw!$H67</f>
        <v/>
      </c>
      <c r="G67" s="170" t="str">
        <f aca="false">ExportRaw!$I67</f>
        <v/>
      </c>
      <c r="H67" s="168" t="str">
        <f aca="false">ExportRaw!$A67</f>
        <v/>
      </c>
      <c r="I67" s="168" t="str">
        <f aca="false">ExportRaw!$B67</f>
        <v/>
      </c>
    </row>
    <row r="68" customFormat="false" ht="15.75" hidden="false" customHeight="false" outlineLevel="0" collapsed="false">
      <c r="A68" s="168" t="n">
        <f aca="false">ExportRaw!$F68</f>
        <v>0</v>
      </c>
      <c r="B68" s="168" t="n">
        <f aca="false">ExportRaw!$C68</f>
        <v>0</v>
      </c>
      <c r="C68" s="168" t="n">
        <f aca="false">ExportRaw!$G68</f>
        <v>0</v>
      </c>
      <c r="D68" s="168" t="str">
        <f aca="false">ExportRaw!$E68</f>
        <v/>
      </c>
      <c r="E68" s="169" t="str">
        <f aca="false">ExportRaw!$D68</f>
        <v/>
      </c>
      <c r="F68" s="168" t="str">
        <f aca="false">ExportRaw!$H68</f>
        <v/>
      </c>
      <c r="G68" s="170" t="str">
        <f aca="false">ExportRaw!$I68</f>
        <v/>
      </c>
      <c r="H68" s="168" t="str">
        <f aca="false">ExportRaw!$A68</f>
        <v/>
      </c>
      <c r="I68" s="168" t="str">
        <f aca="false">ExportRaw!$B68</f>
        <v/>
      </c>
    </row>
    <row r="69" customFormat="false" ht="15.75" hidden="false" customHeight="false" outlineLevel="0" collapsed="false">
      <c r="A69" s="168" t="n">
        <f aca="false">ExportRaw!$F69</f>
        <v>0</v>
      </c>
      <c r="B69" s="168" t="n">
        <f aca="false">ExportRaw!$C69</f>
        <v>0</v>
      </c>
      <c r="C69" s="168" t="n">
        <f aca="false">ExportRaw!$G69</f>
        <v>0</v>
      </c>
      <c r="D69" s="168" t="str">
        <f aca="false">ExportRaw!$E69</f>
        <v/>
      </c>
      <c r="E69" s="169" t="str">
        <f aca="false">ExportRaw!$D69</f>
        <v/>
      </c>
      <c r="F69" s="168" t="str">
        <f aca="false">ExportRaw!$H69</f>
        <v/>
      </c>
      <c r="G69" s="170" t="str">
        <f aca="false">ExportRaw!$I69</f>
        <v/>
      </c>
      <c r="H69" s="168" t="str">
        <f aca="false">ExportRaw!$A69</f>
        <v/>
      </c>
      <c r="I69" s="168" t="str">
        <f aca="false">ExportRaw!$B69</f>
        <v/>
      </c>
    </row>
    <row r="70" customFormat="false" ht="15.75" hidden="false" customHeight="false" outlineLevel="0" collapsed="false">
      <c r="A70" s="168" t="n">
        <f aca="false">ExportRaw!$F70</f>
        <v>0</v>
      </c>
      <c r="B70" s="168" t="n">
        <f aca="false">ExportRaw!$C70</f>
        <v>0</v>
      </c>
      <c r="C70" s="168" t="n">
        <f aca="false">ExportRaw!$G70</f>
        <v>0</v>
      </c>
      <c r="D70" s="168" t="str">
        <f aca="false">ExportRaw!$E70</f>
        <v/>
      </c>
      <c r="E70" s="169" t="str">
        <f aca="false">ExportRaw!$D70</f>
        <v/>
      </c>
      <c r="F70" s="168" t="str">
        <f aca="false">ExportRaw!$H70</f>
        <v/>
      </c>
      <c r="G70" s="170" t="str">
        <f aca="false">ExportRaw!$I70</f>
        <v/>
      </c>
      <c r="H70" s="168" t="str">
        <f aca="false">ExportRaw!$A70</f>
        <v/>
      </c>
      <c r="I70" s="168" t="str">
        <f aca="false">ExportRaw!$B70</f>
        <v/>
      </c>
    </row>
    <row r="71" customFormat="false" ht="15.75" hidden="false" customHeight="false" outlineLevel="0" collapsed="false">
      <c r="A71" s="168" t="n">
        <f aca="false">ExportRaw!$F71</f>
        <v>0</v>
      </c>
      <c r="B71" s="168" t="n">
        <f aca="false">ExportRaw!$C71</f>
        <v>0</v>
      </c>
      <c r="C71" s="168" t="n">
        <f aca="false">ExportRaw!$G71</f>
        <v>0</v>
      </c>
      <c r="D71" s="168" t="str">
        <f aca="false">ExportRaw!$E71</f>
        <v/>
      </c>
      <c r="E71" s="169" t="str">
        <f aca="false">ExportRaw!$D71</f>
        <v/>
      </c>
      <c r="F71" s="168" t="str">
        <f aca="false">ExportRaw!$H71</f>
        <v/>
      </c>
      <c r="G71" s="170" t="str">
        <f aca="false">ExportRaw!$I71</f>
        <v/>
      </c>
      <c r="H71" s="168" t="str">
        <f aca="false">ExportRaw!$A71</f>
        <v/>
      </c>
      <c r="I71" s="168" t="str">
        <f aca="false">ExportRaw!$B71</f>
        <v/>
      </c>
    </row>
    <row r="72" customFormat="false" ht="15.75" hidden="false" customHeight="false" outlineLevel="0" collapsed="false">
      <c r="A72" s="168" t="n">
        <f aca="false">ExportRaw!$F72</f>
        <v>0</v>
      </c>
      <c r="B72" s="168" t="n">
        <f aca="false">ExportRaw!$C72</f>
        <v>0</v>
      </c>
      <c r="C72" s="168" t="n">
        <f aca="false">ExportRaw!$G72</f>
        <v>0</v>
      </c>
      <c r="D72" s="168" t="str">
        <f aca="false">ExportRaw!$E72</f>
        <v/>
      </c>
      <c r="E72" s="169" t="str">
        <f aca="false">ExportRaw!$D72</f>
        <v/>
      </c>
      <c r="F72" s="168" t="str">
        <f aca="false">ExportRaw!$H72</f>
        <v/>
      </c>
      <c r="G72" s="170" t="str">
        <f aca="false">ExportRaw!$I72</f>
        <v/>
      </c>
      <c r="H72" s="168" t="str">
        <f aca="false">ExportRaw!$A72</f>
        <v/>
      </c>
      <c r="I72" s="168" t="str">
        <f aca="false">ExportRaw!$B72</f>
        <v/>
      </c>
    </row>
    <row r="73" customFormat="false" ht="15.75" hidden="false" customHeight="false" outlineLevel="0" collapsed="false">
      <c r="A73" s="168" t="n">
        <f aca="false">ExportRaw!$F73</f>
        <v>0</v>
      </c>
      <c r="B73" s="168" t="n">
        <f aca="false">ExportRaw!$C73</f>
        <v>0</v>
      </c>
      <c r="C73" s="168" t="n">
        <f aca="false">ExportRaw!$G73</f>
        <v>0</v>
      </c>
      <c r="D73" s="168" t="str">
        <f aca="false">ExportRaw!$E73</f>
        <v/>
      </c>
      <c r="E73" s="169" t="str">
        <f aca="false">ExportRaw!$D73</f>
        <v/>
      </c>
      <c r="F73" s="168" t="str">
        <f aca="false">ExportRaw!$H73</f>
        <v/>
      </c>
      <c r="G73" s="170" t="str">
        <f aca="false">ExportRaw!$I73</f>
        <v/>
      </c>
      <c r="H73" s="168" t="str">
        <f aca="false">ExportRaw!$A73</f>
        <v/>
      </c>
      <c r="I73" s="168" t="str">
        <f aca="false">ExportRaw!$B73</f>
        <v/>
      </c>
    </row>
    <row r="74" customFormat="false" ht="15.75" hidden="false" customHeight="false" outlineLevel="0" collapsed="false">
      <c r="A74" s="168" t="n">
        <f aca="false">ExportRaw!$F74</f>
        <v>0</v>
      </c>
      <c r="B74" s="168" t="n">
        <f aca="false">ExportRaw!$C74</f>
        <v>0</v>
      </c>
      <c r="C74" s="168" t="n">
        <f aca="false">ExportRaw!$G74</f>
        <v>0</v>
      </c>
      <c r="D74" s="168" t="str">
        <f aca="false">ExportRaw!$E74</f>
        <v/>
      </c>
      <c r="E74" s="169" t="str">
        <f aca="false">ExportRaw!$D74</f>
        <v/>
      </c>
      <c r="F74" s="168" t="str">
        <f aca="false">ExportRaw!$H74</f>
        <v/>
      </c>
      <c r="G74" s="170" t="str">
        <f aca="false">ExportRaw!$I74</f>
        <v/>
      </c>
      <c r="H74" s="168" t="str">
        <f aca="false">ExportRaw!$A74</f>
        <v/>
      </c>
      <c r="I74" s="168" t="str">
        <f aca="false">ExportRaw!$B74</f>
        <v/>
      </c>
    </row>
    <row r="75" customFormat="false" ht="15.75" hidden="false" customHeight="false" outlineLevel="0" collapsed="false">
      <c r="A75" s="168" t="n">
        <f aca="false">ExportRaw!$F75</f>
        <v>0</v>
      </c>
      <c r="B75" s="168" t="n">
        <f aca="false">ExportRaw!$C75</f>
        <v>0</v>
      </c>
      <c r="C75" s="168" t="n">
        <f aca="false">ExportRaw!$G75</f>
        <v>0</v>
      </c>
      <c r="D75" s="168" t="str">
        <f aca="false">ExportRaw!$E75</f>
        <v/>
      </c>
      <c r="E75" s="169" t="str">
        <f aca="false">ExportRaw!$D75</f>
        <v/>
      </c>
      <c r="F75" s="168" t="str">
        <f aca="false">ExportRaw!$H75</f>
        <v/>
      </c>
      <c r="G75" s="170" t="str">
        <f aca="false">ExportRaw!$I75</f>
        <v/>
      </c>
      <c r="H75" s="168" t="str">
        <f aca="false">ExportRaw!$A75</f>
        <v/>
      </c>
      <c r="I75" s="168" t="str">
        <f aca="false">ExportRaw!$B75</f>
        <v/>
      </c>
    </row>
    <row r="76" customFormat="false" ht="15.75" hidden="false" customHeight="false" outlineLevel="0" collapsed="false">
      <c r="A76" s="168" t="n">
        <f aca="false">ExportRaw!$F76</f>
        <v>0</v>
      </c>
      <c r="B76" s="168" t="n">
        <f aca="false">ExportRaw!$C76</f>
        <v>0</v>
      </c>
      <c r="C76" s="168" t="n">
        <f aca="false">ExportRaw!$G76</f>
        <v>0</v>
      </c>
      <c r="D76" s="168" t="str">
        <f aca="false">ExportRaw!$E76</f>
        <v/>
      </c>
      <c r="E76" s="169" t="str">
        <f aca="false">ExportRaw!$D76</f>
        <v/>
      </c>
      <c r="F76" s="168" t="str">
        <f aca="false">ExportRaw!$H76</f>
        <v/>
      </c>
      <c r="G76" s="170" t="str">
        <f aca="false">ExportRaw!$I76</f>
        <v/>
      </c>
      <c r="H76" s="168" t="str">
        <f aca="false">ExportRaw!$A76</f>
        <v/>
      </c>
      <c r="I76" s="168" t="str">
        <f aca="false">ExportRaw!$B76</f>
        <v/>
      </c>
    </row>
    <row r="77" customFormat="false" ht="15.75" hidden="false" customHeight="false" outlineLevel="0" collapsed="false">
      <c r="A77" s="168" t="n">
        <f aca="false">ExportRaw!$F77</f>
        <v>0</v>
      </c>
      <c r="B77" s="168" t="n">
        <f aca="false">ExportRaw!$C77</f>
        <v>0</v>
      </c>
      <c r="C77" s="168" t="n">
        <f aca="false">ExportRaw!$G77</f>
        <v>0</v>
      </c>
      <c r="D77" s="168" t="str">
        <f aca="false">ExportRaw!$E77</f>
        <v/>
      </c>
      <c r="E77" s="169" t="str">
        <f aca="false">ExportRaw!$D77</f>
        <v/>
      </c>
      <c r="F77" s="168" t="str">
        <f aca="false">ExportRaw!$H77</f>
        <v/>
      </c>
      <c r="G77" s="170" t="str">
        <f aca="false">ExportRaw!$I77</f>
        <v/>
      </c>
      <c r="H77" s="168" t="str">
        <f aca="false">ExportRaw!$A77</f>
        <v/>
      </c>
      <c r="I77" s="168" t="str">
        <f aca="false">ExportRaw!$B77</f>
        <v/>
      </c>
    </row>
    <row r="78" customFormat="false" ht="15.75" hidden="false" customHeight="false" outlineLevel="0" collapsed="false">
      <c r="A78" s="168" t="n">
        <f aca="false">ExportRaw!$F78</f>
        <v>0</v>
      </c>
      <c r="B78" s="168" t="n">
        <f aca="false">ExportRaw!$C78</f>
        <v>0</v>
      </c>
      <c r="C78" s="168" t="n">
        <f aca="false">ExportRaw!$G78</f>
        <v>0</v>
      </c>
      <c r="D78" s="168" t="str">
        <f aca="false">ExportRaw!$E78</f>
        <v/>
      </c>
      <c r="E78" s="169" t="str">
        <f aca="false">ExportRaw!$D78</f>
        <v/>
      </c>
      <c r="F78" s="168" t="str">
        <f aca="false">ExportRaw!$H78</f>
        <v/>
      </c>
      <c r="G78" s="170" t="str">
        <f aca="false">ExportRaw!$I78</f>
        <v/>
      </c>
      <c r="H78" s="168" t="str">
        <f aca="false">ExportRaw!$A78</f>
        <v/>
      </c>
      <c r="I78" s="168" t="str">
        <f aca="false">ExportRaw!$B78</f>
        <v/>
      </c>
    </row>
    <row r="79" customFormat="false" ht="15.75" hidden="false" customHeight="false" outlineLevel="0" collapsed="false">
      <c r="A79" s="168" t="n">
        <f aca="false">ExportRaw!$F79</f>
        <v>0</v>
      </c>
      <c r="B79" s="168" t="n">
        <f aca="false">ExportRaw!$C79</f>
        <v>0</v>
      </c>
      <c r="C79" s="168" t="n">
        <f aca="false">ExportRaw!$G79</f>
        <v>0</v>
      </c>
      <c r="D79" s="168" t="str">
        <f aca="false">ExportRaw!$E79</f>
        <v/>
      </c>
      <c r="E79" s="169" t="str">
        <f aca="false">ExportRaw!$D79</f>
        <v/>
      </c>
      <c r="F79" s="168" t="str">
        <f aca="false">ExportRaw!$H79</f>
        <v/>
      </c>
      <c r="G79" s="170" t="str">
        <f aca="false">ExportRaw!$I79</f>
        <v/>
      </c>
      <c r="H79" s="168" t="str">
        <f aca="false">ExportRaw!$A79</f>
        <v/>
      </c>
      <c r="I79" s="168" t="str">
        <f aca="false">ExportRaw!$B79</f>
        <v/>
      </c>
    </row>
    <row r="80" customFormat="false" ht="15.75" hidden="false" customHeight="false" outlineLevel="0" collapsed="false">
      <c r="A80" s="168" t="n">
        <f aca="false">ExportRaw!$F80</f>
        <v>0</v>
      </c>
      <c r="B80" s="168" t="n">
        <f aca="false">ExportRaw!$C80</f>
        <v>0</v>
      </c>
      <c r="C80" s="168" t="n">
        <f aca="false">ExportRaw!$G80</f>
        <v>0</v>
      </c>
      <c r="D80" s="168" t="str">
        <f aca="false">ExportRaw!$E80</f>
        <v/>
      </c>
      <c r="E80" s="169" t="str">
        <f aca="false">ExportRaw!$D80</f>
        <v/>
      </c>
      <c r="F80" s="168" t="str">
        <f aca="false">ExportRaw!$H80</f>
        <v/>
      </c>
      <c r="G80" s="170" t="str">
        <f aca="false">ExportRaw!$I80</f>
        <v/>
      </c>
      <c r="H80" s="168" t="str">
        <f aca="false">ExportRaw!$A80</f>
        <v/>
      </c>
      <c r="I80" s="168" t="str">
        <f aca="false">ExportRaw!$B80</f>
        <v/>
      </c>
    </row>
    <row r="81" customFormat="false" ht="15.75" hidden="false" customHeight="false" outlineLevel="0" collapsed="false">
      <c r="A81" s="168" t="n">
        <f aca="false">ExportRaw!$F81</f>
        <v>0</v>
      </c>
      <c r="B81" s="168" t="n">
        <f aca="false">ExportRaw!$C81</f>
        <v>0</v>
      </c>
      <c r="C81" s="168" t="n">
        <f aca="false">ExportRaw!$G81</f>
        <v>0</v>
      </c>
      <c r="D81" s="168" t="str">
        <f aca="false">ExportRaw!$E81</f>
        <v/>
      </c>
      <c r="E81" s="169" t="str">
        <f aca="false">ExportRaw!$D81</f>
        <v/>
      </c>
      <c r="F81" s="168" t="str">
        <f aca="false">ExportRaw!$H81</f>
        <v/>
      </c>
      <c r="G81" s="170" t="str">
        <f aca="false">ExportRaw!$I81</f>
        <v/>
      </c>
      <c r="H81" s="168" t="str">
        <f aca="false">ExportRaw!$A81</f>
        <v/>
      </c>
      <c r="I81" s="168" t="str">
        <f aca="false">ExportRaw!$B81</f>
        <v/>
      </c>
    </row>
    <row r="82" customFormat="false" ht="15.75" hidden="false" customHeight="false" outlineLevel="0" collapsed="false">
      <c r="A82" s="168" t="n">
        <f aca="false">ExportRaw!$F82</f>
        <v>0</v>
      </c>
      <c r="B82" s="168" t="n">
        <f aca="false">ExportRaw!$C82</f>
        <v>0</v>
      </c>
      <c r="C82" s="168" t="n">
        <f aca="false">ExportRaw!$G82</f>
        <v>0</v>
      </c>
      <c r="D82" s="168" t="str">
        <f aca="false">ExportRaw!$E82</f>
        <v/>
      </c>
      <c r="E82" s="169" t="str">
        <f aca="false">ExportRaw!$D82</f>
        <v/>
      </c>
      <c r="F82" s="168" t="str">
        <f aca="false">ExportRaw!$H82</f>
        <v/>
      </c>
      <c r="G82" s="170" t="str">
        <f aca="false">ExportRaw!$I82</f>
        <v/>
      </c>
      <c r="H82" s="168" t="str">
        <f aca="false">ExportRaw!$A82</f>
        <v/>
      </c>
      <c r="I82" s="168" t="str">
        <f aca="false">ExportRaw!$B82</f>
        <v/>
      </c>
    </row>
    <row r="83" customFormat="false" ht="15.75" hidden="false" customHeight="false" outlineLevel="0" collapsed="false">
      <c r="A83" s="168" t="n">
        <f aca="false">ExportRaw!$F83</f>
        <v>0</v>
      </c>
      <c r="B83" s="168" t="n">
        <f aca="false">ExportRaw!$C83</f>
        <v>0</v>
      </c>
      <c r="C83" s="168" t="n">
        <f aca="false">ExportRaw!$G83</f>
        <v>0</v>
      </c>
      <c r="D83" s="168" t="str">
        <f aca="false">ExportRaw!$E83</f>
        <v/>
      </c>
      <c r="E83" s="169" t="str">
        <f aca="false">ExportRaw!$D83</f>
        <v/>
      </c>
      <c r="F83" s="168" t="str">
        <f aca="false">ExportRaw!$H83</f>
        <v/>
      </c>
      <c r="G83" s="170" t="str">
        <f aca="false">ExportRaw!$I83</f>
        <v/>
      </c>
      <c r="H83" s="168" t="str">
        <f aca="false">ExportRaw!$A83</f>
        <v/>
      </c>
      <c r="I83" s="168" t="str">
        <f aca="false">ExportRaw!$B83</f>
        <v/>
      </c>
    </row>
    <row r="84" customFormat="false" ht="15.75" hidden="false" customHeight="false" outlineLevel="0" collapsed="false">
      <c r="A84" s="168" t="n">
        <f aca="false">ExportRaw!$F84</f>
        <v>0</v>
      </c>
      <c r="B84" s="168" t="n">
        <f aca="false">ExportRaw!$C84</f>
        <v>0</v>
      </c>
      <c r="C84" s="168" t="n">
        <f aca="false">ExportRaw!$G84</f>
        <v>0</v>
      </c>
      <c r="D84" s="168" t="str">
        <f aca="false">ExportRaw!$E84</f>
        <v/>
      </c>
      <c r="E84" s="169" t="str">
        <f aca="false">ExportRaw!$D84</f>
        <v/>
      </c>
      <c r="F84" s="168" t="str">
        <f aca="false">ExportRaw!$H84</f>
        <v/>
      </c>
      <c r="G84" s="170" t="str">
        <f aca="false">ExportRaw!$I84</f>
        <v/>
      </c>
      <c r="H84" s="168" t="str">
        <f aca="false">ExportRaw!$A84</f>
        <v/>
      </c>
      <c r="I84" s="168" t="str">
        <f aca="false">ExportRaw!$B84</f>
        <v/>
      </c>
    </row>
    <row r="85" customFormat="false" ht="15.75" hidden="false" customHeight="false" outlineLevel="0" collapsed="false">
      <c r="A85" s="168" t="n">
        <f aca="false">ExportRaw!$F85</f>
        <v>0</v>
      </c>
      <c r="B85" s="168" t="n">
        <f aca="false">ExportRaw!$C85</f>
        <v>0</v>
      </c>
      <c r="C85" s="168" t="n">
        <f aca="false">ExportRaw!$G85</f>
        <v>0</v>
      </c>
      <c r="D85" s="168" t="str">
        <f aca="false">ExportRaw!$E85</f>
        <v/>
      </c>
      <c r="E85" s="169" t="str">
        <f aca="false">ExportRaw!$D85</f>
        <v/>
      </c>
      <c r="F85" s="168" t="str">
        <f aca="false">ExportRaw!$H85</f>
        <v/>
      </c>
      <c r="G85" s="170" t="str">
        <f aca="false">ExportRaw!$I85</f>
        <v/>
      </c>
      <c r="H85" s="168" t="str">
        <f aca="false">ExportRaw!$A85</f>
        <v/>
      </c>
      <c r="I85" s="168" t="str">
        <f aca="false">ExportRaw!$B85</f>
        <v/>
      </c>
    </row>
    <row r="86" customFormat="false" ht="15.75" hidden="false" customHeight="false" outlineLevel="0" collapsed="false">
      <c r="A86" s="168" t="n">
        <f aca="false">ExportRaw!$F86</f>
        <v>0</v>
      </c>
      <c r="B86" s="168" t="n">
        <f aca="false">ExportRaw!$C86</f>
        <v>0</v>
      </c>
      <c r="C86" s="168" t="n">
        <f aca="false">ExportRaw!$G86</f>
        <v>0</v>
      </c>
      <c r="D86" s="168" t="str">
        <f aca="false">ExportRaw!$E86</f>
        <v/>
      </c>
      <c r="E86" s="169" t="str">
        <f aca="false">ExportRaw!$D86</f>
        <v/>
      </c>
      <c r="F86" s="168" t="str">
        <f aca="false">ExportRaw!$H86</f>
        <v/>
      </c>
      <c r="G86" s="170" t="str">
        <f aca="false">ExportRaw!$I86</f>
        <v/>
      </c>
      <c r="H86" s="168" t="str">
        <f aca="false">ExportRaw!$A86</f>
        <v/>
      </c>
      <c r="I86" s="168" t="str">
        <f aca="false">ExportRaw!$B86</f>
        <v/>
      </c>
    </row>
    <row r="87" customFormat="false" ht="15.75" hidden="false" customHeight="false" outlineLevel="0" collapsed="false">
      <c r="A87" s="168" t="n">
        <f aca="false">ExportRaw!$F87</f>
        <v>0</v>
      </c>
      <c r="B87" s="168" t="n">
        <f aca="false">ExportRaw!$C87</f>
        <v>0</v>
      </c>
      <c r="C87" s="168" t="n">
        <f aca="false">ExportRaw!$G87</f>
        <v>0</v>
      </c>
      <c r="D87" s="168" t="str">
        <f aca="false">ExportRaw!$E87</f>
        <v/>
      </c>
      <c r="E87" s="169" t="str">
        <f aca="false">ExportRaw!$D87</f>
        <v/>
      </c>
      <c r="F87" s="168" t="str">
        <f aca="false">ExportRaw!$H87</f>
        <v/>
      </c>
      <c r="G87" s="170" t="str">
        <f aca="false">ExportRaw!$I87</f>
        <v/>
      </c>
      <c r="H87" s="168" t="str">
        <f aca="false">ExportRaw!$A87</f>
        <v/>
      </c>
      <c r="I87" s="168" t="str">
        <f aca="false">ExportRaw!$B87</f>
        <v/>
      </c>
    </row>
    <row r="88" customFormat="false" ht="15.75" hidden="false" customHeight="false" outlineLevel="0" collapsed="false">
      <c r="A88" s="168" t="n">
        <f aca="false">ExportRaw!$F88</f>
        <v>0</v>
      </c>
      <c r="B88" s="168" t="n">
        <f aca="false">ExportRaw!$C88</f>
        <v>0</v>
      </c>
      <c r="C88" s="168" t="n">
        <f aca="false">ExportRaw!$G88</f>
        <v>0</v>
      </c>
      <c r="D88" s="168" t="str">
        <f aca="false">ExportRaw!$E88</f>
        <v/>
      </c>
      <c r="E88" s="169" t="str">
        <f aca="false">ExportRaw!$D88</f>
        <v/>
      </c>
      <c r="F88" s="168" t="str">
        <f aca="false">ExportRaw!$H88</f>
        <v/>
      </c>
      <c r="G88" s="170" t="str">
        <f aca="false">ExportRaw!$I88</f>
        <v/>
      </c>
      <c r="H88" s="168" t="str">
        <f aca="false">ExportRaw!$A88</f>
        <v/>
      </c>
      <c r="I88" s="168" t="str">
        <f aca="false">ExportRaw!$B88</f>
        <v/>
      </c>
    </row>
    <row r="89" customFormat="false" ht="15.75" hidden="false" customHeight="false" outlineLevel="0" collapsed="false">
      <c r="A89" s="168" t="n">
        <f aca="false">ExportRaw!$F89</f>
        <v>0</v>
      </c>
      <c r="B89" s="168" t="n">
        <f aca="false">ExportRaw!$C89</f>
        <v>0</v>
      </c>
      <c r="C89" s="168" t="n">
        <f aca="false">ExportRaw!$G89</f>
        <v>0</v>
      </c>
      <c r="D89" s="168" t="str">
        <f aca="false">ExportRaw!$E89</f>
        <v/>
      </c>
      <c r="E89" s="169" t="str">
        <f aca="false">ExportRaw!$D89</f>
        <v/>
      </c>
      <c r="F89" s="168" t="str">
        <f aca="false">ExportRaw!$H89</f>
        <v/>
      </c>
      <c r="G89" s="170" t="str">
        <f aca="false">ExportRaw!$I89</f>
        <v/>
      </c>
      <c r="H89" s="168" t="str">
        <f aca="false">ExportRaw!$A89</f>
        <v/>
      </c>
      <c r="I89" s="168" t="str">
        <f aca="false">ExportRaw!$B89</f>
        <v/>
      </c>
    </row>
    <row r="90" customFormat="false" ht="15.75" hidden="false" customHeight="false" outlineLevel="0" collapsed="false">
      <c r="A90" s="168" t="n">
        <f aca="false">ExportRaw!$F90</f>
        <v>0</v>
      </c>
      <c r="B90" s="168" t="n">
        <f aca="false">ExportRaw!$C90</f>
        <v>0</v>
      </c>
      <c r="C90" s="168" t="n">
        <f aca="false">ExportRaw!$G90</f>
        <v>0</v>
      </c>
      <c r="D90" s="168" t="str">
        <f aca="false">ExportRaw!$E90</f>
        <v/>
      </c>
      <c r="E90" s="169" t="str">
        <f aca="false">ExportRaw!$D90</f>
        <v/>
      </c>
      <c r="F90" s="168" t="str">
        <f aca="false">ExportRaw!$H90</f>
        <v/>
      </c>
      <c r="G90" s="170" t="str">
        <f aca="false">ExportRaw!$I90</f>
        <v/>
      </c>
      <c r="H90" s="168" t="str">
        <f aca="false">ExportRaw!$A90</f>
        <v/>
      </c>
      <c r="I90" s="168" t="str">
        <f aca="false">ExportRaw!$B90</f>
        <v/>
      </c>
    </row>
    <row r="91" customFormat="false" ht="15.75" hidden="false" customHeight="false" outlineLevel="0" collapsed="false">
      <c r="A91" s="168" t="n">
        <f aca="false">ExportRaw!$F91</f>
        <v>0</v>
      </c>
      <c r="B91" s="168" t="n">
        <f aca="false">ExportRaw!$C91</f>
        <v>0</v>
      </c>
      <c r="C91" s="168" t="n">
        <f aca="false">ExportRaw!$G91</f>
        <v>0</v>
      </c>
      <c r="D91" s="168" t="str">
        <f aca="false">ExportRaw!$E91</f>
        <v/>
      </c>
      <c r="E91" s="169" t="str">
        <f aca="false">ExportRaw!$D91</f>
        <v/>
      </c>
      <c r="F91" s="168" t="str">
        <f aca="false">ExportRaw!$H91</f>
        <v/>
      </c>
      <c r="G91" s="170" t="str">
        <f aca="false">ExportRaw!$I91</f>
        <v/>
      </c>
      <c r="H91" s="168" t="str">
        <f aca="false">ExportRaw!$A91</f>
        <v/>
      </c>
      <c r="I91" s="168" t="str">
        <f aca="false">ExportRaw!$B91</f>
        <v/>
      </c>
    </row>
    <row r="92" customFormat="false" ht="15.75" hidden="false" customHeight="false" outlineLevel="0" collapsed="false">
      <c r="A92" s="168" t="n">
        <f aca="false">ExportRaw!$F92</f>
        <v>0</v>
      </c>
      <c r="B92" s="168" t="n">
        <f aca="false">ExportRaw!$C92</f>
        <v>0</v>
      </c>
      <c r="C92" s="168" t="n">
        <f aca="false">ExportRaw!$G92</f>
        <v>0</v>
      </c>
      <c r="D92" s="168" t="str">
        <f aca="false">ExportRaw!$E92</f>
        <v/>
      </c>
      <c r="E92" s="169" t="str">
        <f aca="false">ExportRaw!$D92</f>
        <v/>
      </c>
      <c r="F92" s="168" t="str">
        <f aca="false">ExportRaw!$H92</f>
        <v/>
      </c>
      <c r="G92" s="170" t="str">
        <f aca="false">ExportRaw!$I92</f>
        <v/>
      </c>
      <c r="H92" s="168" t="str">
        <f aca="false">ExportRaw!$A92</f>
        <v/>
      </c>
      <c r="I92" s="168" t="str">
        <f aca="false">ExportRaw!$B92</f>
        <v/>
      </c>
    </row>
    <row r="93" customFormat="false" ht="15.75" hidden="false" customHeight="false" outlineLevel="0" collapsed="false">
      <c r="A93" s="168" t="n">
        <f aca="false">ExportRaw!$F93</f>
        <v>0</v>
      </c>
      <c r="B93" s="168" t="n">
        <f aca="false">ExportRaw!$C93</f>
        <v>0</v>
      </c>
      <c r="C93" s="168" t="n">
        <f aca="false">ExportRaw!$G93</f>
        <v>0</v>
      </c>
      <c r="D93" s="168" t="str">
        <f aca="false">ExportRaw!$E93</f>
        <v/>
      </c>
      <c r="E93" s="169" t="str">
        <f aca="false">ExportRaw!$D93</f>
        <v/>
      </c>
      <c r="F93" s="168" t="str">
        <f aca="false">ExportRaw!$H93</f>
        <v/>
      </c>
      <c r="G93" s="170" t="str">
        <f aca="false">ExportRaw!$I93</f>
        <v/>
      </c>
      <c r="H93" s="168" t="str">
        <f aca="false">ExportRaw!$A93</f>
        <v/>
      </c>
      <c r="I93" s="168" t="str">
        <f aca="false">ExportRaw!$B93</f>
        <v/>
      </c>
    </row>
    <row r="94" customFormat="false" ht="15.75" hidden="false" customHeight="false" outlineLevel="0" collapsed="false">
      <c r="A94" s="168" t="n">
        <f aca="false">ExportRaw!$F94</f>
        <v>0</v>
      </c>
      <c r="B94" s="168" t="n">
        <f aca="false">ExportRaw!$C94</f>
        <v>0</v>
      </c>
      <c r="C94" s="168" t="n">
        <f aca="false">ExportRaw!$G94</f>
        <v>0</v>
      </c>
      <c r="D94" s="168" t="str">
        <f aca="false">ExportRaw!$E94</f>
        <v/>
      </c>
      <c r="E94" s="169" t="str">
        <f aca="false">ExportRaw!$D94</f>
        <v/>
      </c>
      <c r="F94" s="168" t="str">
        <f aca="false">ExportRaw!$H94</f>
        <v/>
      </c>
      <c r="G94" s="170" t="str">
        <f aca="false">ExportRaw!$I94</f>
        <v/>
      </c>
      <c r="H94" s="168" t="str">
        <f aca="false">ExportRaw!$A94</f>
        <v/>
      </c>
      <c r="I94" s="168" t="str">
        <f aca="false">ExportRaw!$B94</f>
        <v/>
      </c>
    </row>
    <row r="95" customFormat="false" ht="15.75" hidden="false" customHeight="false" outlineLevel="0" collapsed="false">
      <c r="A95" s="168" t="n">
        <f aca="false">ExportRaw!$F95</f>
        <v>0</v>
      </c>
      <c r="B95" s="168" t="n">
        <f aca="false">ExportRaw!$C95</f>
        <v>0</v>
      </c>
      <c r="C95" s="168" t="n">
        <f aca="false">ExportRaw!$G95</f>
        <v>0</v>
      </c>
      <c r="D95" s="168" t="str">
        <f aca="false">ExportRaw!$E95</f>
        <v/>
      </c>
      <c r="E95" s="169" t="str">
        <f aca="false">ExportRaw!$D95</f>
        <v/>
      </c>
      <c r="F95" s="168" t="str">
        <f aca="false">ExportRaw!$H95</f>
        <v/>
      </c>
      <c r="G95" s="170" t="str">
        <f aca="false">ExportRaw!$I95</f>
        <v/>
      </c>
      <c r="H95" s="168" t="str">
        <f aca="false">ExportRaw!$A95</f>
        <v/>
      </c>
      <c r="I95" s="168" t="str">
        <f aca="false">ExportRaw!$B95</f>
        <v/>
      </c>
    </row>
    <row r="96" customFormat="false" ht="15.75" hidden="false" customHeight="false" outlineLevel="0" collapsed="false">
      <c r="A96" s="168" t="n">
        <f aca="false">ExportRaw!$F96</f>
        <v>0</v>
      </c>
      <c r="B96" s="168" t="n">
        <f aca="false">ExportRaw!$C96</f>
        <v>0</v>
      </c>
      <c r="C96" s="168" t="n">
        <f aca="false">ExportRaw!$G96</f>
        <v>0</v>
      </c>
      <c r="D96" s="168" t="str">
        <f aca="false">ExportRaw!$E96</f>
        <v/>
      </c>
      <c r="E96" s="169" t="str">
        <f aca="false">ExportRaw!$D96</f>
        <v/>
      </c>
      <c r="F96" s="168" t="str">
        <f aca="false">ExportRaw!$H96</f>
        <v/>
      </c>
      <c r="G96" s="170" t="str">
        <f aca="false">ExportRaw!$I96</f>
        <v/>
      </c>
      <c r="H96" s="168" t="str">
        <f aca="false">ExportRaw!$A96</f>
        <v/>
      </c>
      <c r="I96" s="168" t="str">
        <f aca="false">ExportRaw!$B96</f>
        <v/>
      </c>
    </row>
    <row r="97" customFormat="false" ht="15.75" hidden="false" customHeight="false" outlineLevel="0" collapsed="false">
      <c r="A97" s="168" t="n">
        <f aca="false">ExportRaw!$F97</f>
        <v>0</v>
      </c>
      <c r="B97" s="168" t="n">
        <f aca="false">ExportRaw!$C97</f>
        <v>0</v>
      </c>
      <c r="C97" s="168" t="n">
        <f aca="false">ExportRaw!$G97</f>
        <v>0</v>
      </c>
      <c r="D97" s="168" t="str">
        <f aca="false">ExportRaw!$E97</f>
        <v/>
      </c>
      <c r="E97" s="169" t="str">
        <f aca="false">ExportRaw!$D97</f>
        <v/>
      </c>
      <c r="F97" s="168" t="str">
        <f aca="false">ExportRaw!$H97</f>
        <v/>
      </c>
      <c r="G97" s="170" t="str">
        <f aca="false">ExportRaw!$I97</f>
        <v/>
      </c>
      <c r="H97" s="168" t="str">
        <f aca="false">ExportRaw!$A97</f>
        <v/>
      </c>
      <c r="I97" s="168" t="str">
        <f aca="false">ExportRaw!$B97</f>
        <v/>
      </c>
    </row>
    <row r="98" customFormat="false" ht="15.75" hidden="false" customHeight="false" outlineLevel="0" collapsed="false">
      <c r="A98" s="168" t="n">
        <f aca="false">ExportRaw!$F98</f>
        <v>0</v>
      </c>
      <c r="B98" s="168" t="n">
        <f aca="false">ExportRaw!$C98</f>
        <v>0</v>
      </c>
      <c r="C98" s="168" t="n">
        <f aca="false">ExportRaw!$G98</f>
        <v>0</v>
      </c>
      <c r="D98" s="168" t="str">
        <f aca="false">ExportRaw!$E98</f>
        <v/>
      </c>
      <c r="E98" s="169" t="str">
        <f aca="false">ExportRaw!$D98</f>
        <v/>
      </c>
      <c r="F98" s="168" t="str">
        <f aca="false">ExportRaw!$H98</f>
        <v/>
      </c>
      <c r="G98" s="170" t="str">
        <f aca="false">ExportRaw!$I98</f>
        <v/>
      </c>
      <c r="H98" s="168" t="str">
        <f aca="false">ExportRaw!$A98</f>
        <v/>
      </c>
      <c r="I98" s="168" t="str">
        <f aca="false">ExportRaw!$B98</f>
        <v/>
      </c>
    </row>
    <row r="99" customFormat="false" ht="15.75" hidden="false" customHeight="false" outlineLevel="0" collapsed="false">
      <c r="A99" s="168" t="n">
        <f aca="false">ExportRaw!$F99</f>
        <v>0</v>
      </c>
      <c r="B99" s="168" t="n">
        <f aca="false">ExportRaw!$C99</f>
        <v>0</v>
      </c>
      <c r="C99" s="168" t="n">
        <f aca="false">ExportRaw!$G99</f>
        <v>0</v>
      </c>
      <c r="D99" s="168" t="str">
        <f aca="false">ExportRaw!$E99</f>
        <v/>
      </c>
      <c r="E99" s="169" t="str">
        <f aca="false">ExportRaw!$D99</f>
        <v/>
      </c>
      <c r="F99" s="168" t="str">
        <f aca="false">ExportRaw!$H99</f>
        <v/>
      </c>
      <c r="G99" s="170" t="str">
        <f aca="false">ExportRaw!$I99</f>
        <v/>
      </c>
      <c r="H99" s="168" t="str">
        <f aca="false">ExportRaw!$A99</f>
        <v/>
      </c>
      <c r="I99" s="168" t="str">
        <f aca="false">ExportRaw!$B99</f>
        <v/>
      </c>
    </row>
    <row r="100" customFormat="false" ht="15.75" hidden="false" customHeight="false" outlineLevel="0" collapsed="false">
      <c r="A100" s="168" t="n">
        <f aca="false">ExportRaw!$F100</f>
        <v>0</v>
      </c>
      <c r="B100" s="168" t="n">
        <f aca="false">ExportRaw!$C100</f>
        <v>0</v>
      </c>
      <c r="C100" s="168" t="n">
        <f aca="false">ExportRaw!$G100</f>
        <v>0</v>
      </c>
      <c r="D100" s="168" t="str">
        <f aca="false">ExportRaw!$E100</f>
        <v/>
      </c>
      <c r="E100" s="169" t="str">
        <f aca="false">ExportRaw!$D100</f>
        <v/>
      </c>
      <c r="F100" s="168" t="str">
        <f aca="false">ExportRaw!$H100</f>
        <v/>
      </c>
      <c r="G100" s="170" t="str">
        <f aca="false">ExportRaw!$I100</f>
        <v/>
      </c>
      <c r="H100" s="168" t="str">
        <f aca="false">ExportRaw!$A100</f>
        <v/>
      </c>
      <c r="I100" s="168" t="str">
        <f aca="false">ExportRaw!$B100</f>
        <v/>
      </c>
    </row>
    <row r="101" customFormat="false" ht="15.75" hidden="false" customHeight="false" outlineLevel="0" collapsed="false">
      <c r="A101" s="168" t="n">
        <f aca="false">ExportRaw!$F101</f>
        <v>0</v>
      </c>
      <c r="B101" s="168" t="n">
        <f aca="false">ExportRaw!$C101</f>
        <v>0</v>
      </c>
      <c r="C101" s="168" t="n">
        <f aca="false">ExportRaw!$G101</f>
        <v>0</v>
      </c>
      <c r="D101" s="168" t="str">
        <f aca="false">ExportRaw!$E101</f>
        <v/>
      </c>
      <c r="E101" s="169" t="str">
        <f aca="false">ExportRaw!$D101</f>
        <v/>
      </c>
      <c r="F101" s="168" t="str">
        <f aca="false">ExportRaw!$H101</f>
        <v/>
      </c>
      <c r="G101" s="170" t="str">
        <f aca="false">ExportRaw!$I101</f>
        <v/>
      </c>
      <c r="H101" s="168" t="str">
        <f aca="false">ExportRaw!$A101</f>
        <v/>
      </c>
      <c r="I101" s="168" t="str">
        <f aca="false">ExportRaw!$B101</f>
        <v/>
      </c>
    </row>
    <row r="102" customFormat="false" ht="15.75" hidden="false" customHeight="false" outlineLevel="0" collapsed="false">
      <c r="A102" s="168" t="n">
        <f aca="false">ExportRaw!$F102</f>
        <v>0</v>
      </c>
      <c r="B102" s="168" t="n">
        <f aca="false">ExportRaw!$C102</f>
        <v>0</v>
      </c>
      <c r="C102" s="168" t="n">
        <f aca="false">ExportRaw!$G102</f>
        <v>0</v>
      </c>
      <c r="D102" s="168" t="str">
        <f aca="false">ExportRaw!$E102</f>
        <v/>
      </c>
      <c r="E102" s="169" t="str">
        <f aca="false">ExportRaw!$D102</f>
        <v/>
      </c>
      <c r="F102" s="168" t="str">
        <f aca="false">ExportRaw!$H102</f>
        <v/>
      </c>
      <c r="G102" s="170" t="str">
        <f aca="false">ExportRaw!$I102</f>
        <v/>
      </c>
      <c r="H102" s="168" t="str">
        <f aca="false">ExportRaw!$A102</f>
        <v/>
      </c>
      <c r="I102" s="168" t="str">
        <f aca="false">ExportRaw!$B102</f>
        <v/>
      </c>
    </row>
    <row r="103" customFormat="false" ht="15.75" hidden="false" customHeight="false" outlineLevel="0" collapsed="false">
      <c r="A103" s="168" t="n">
        <f aca="false">ExportRaw!$F103</f>
        <v>0</v>
      </c>
      <c r="B103" s="168" t="n">
        <f aca="false">ExportRaw!$C103</f>
        <v>0</v>
      </c>
      <c r="C103" s="168" t="n">
        <f aca="false">ExportRaw!$G103</f>
        <v>0</v>
      </c>
      <c r="D103" s="168" t="str">
        <f aca="false">ExportRaw!$E103</f>
        <v/>
      </c>
      <c r="E103" s="169" t="str">
        <f aca="false">ExportRaw!$D103</f>
        <v/>
      </c>
      <c r="F103" s="168" t="str">
        <f aca="false">ExportRaw!$H103</f>
        <v/>
      </c>
      <c r="G103" s="170" t="str">
        <f aca="false">ExportRaw!$I103</f>
        <v/>
      </c>
      <c r="H103" s="168" t="str">
        <f aca="false">ExportRaw!$A103</f>
        <v/>
      </c>
      <c r="I103" s="168" t="str">
        <f aca="false">ExportRaw!$B103</f>
        <v/>
      </c>
    </row>
    <row r="104" customFormat="false" ht="15.75" hidden="false" customHeight="false" outlineLevel="0" collapsed="false">
      <c r="A104" s="168" t="n">
        <f aca="false">ExportRaw!$F104</f>
        <v>0</v>
      </c>
      <c r="B104" s="168" t="n">
        <f aca="false">ExportRaw!$C104</f>
        <v>0</v>
      </c>
      <c r="C104" s="168" t="n">
        <f aca="false">ExportRaw!$G104</f>
        <v>0</v>
      </c>
      <c r="D104" s="168" t="str">
        <f aca="false">ExportRaw!$E104</f>
        <v/>
      </c>
      <c r="E104" s="169" t="str">
        <f aca="false">ExportRaw!$D104</f>
        <v/>
      </c>
      <c r="F104" s="168" t="str">
        <f aca="false">ExportRaw!$H104</f>
        <v/>
      </c>
      <c r="G104" s="170" t="str">
        <f aca="false">ExportRaw!$I104</f>
        <v/>
      </c>
      <c r="H104" s="168" t="str">
        <f aca="false">ExportRaw!$A104</f>
        <v/>
      </c>
      <c r="I104" s="168" t="str">
        <f aca="false">ExportRaw!$B104</f>
        <v/>
      </c>
    </row>
    <row r="105" customFormat="false" ht="15.75" hidden="false" customHeight="false" outlineLevel="0" collapsed="false">
      <c r="A105" s="168" t="n">
        <f aca="false">ExportRaw!$F105</f>
        <v>0</v>
      </c>
      <c r="B105" s="168" t="n">
        <f aca="false">ExportRaw!$C105</f>
        <v>0</v>
      </c>
      <c r="C105" s="168" t="n">
        <f aca="false">ExportRaw!$G105</f>
        <v>0</v>
      </c>
      <c r="D105" s="168" t="str">
        <f aca="false">ExportRaw!$E105</f>
        <v/>
      </c>
      <c r="E105" s="169" t="str">
        <f aca="false">ExportRaw!$D105</f>
        <v/>
      </c>
      <c r="F105" s="168" t="str">
        <f aca="false">ExportRaw!$H105</f>
        <v/>
      </c>
      <c r="G105" s="170" t="str">
        <f aca="false">ExportRaw!$I105</f>
        <v/>
      </c>
      <c r="H105" s="168" t="str">
        <f aca="false">ExportRaw!$A105</f>
        <v/>
      </c>
      <c r="I105" s="168" t="str">
        <f aca="false">ExportRaw!$B105</f>
        <v/>
      </c>
    </row>
    <row r="106" customFormat="false" ht="15.75" hidden="false" customHeight="false" outlineLevel="0" collapsed="false">
      <c r="A106" s="168" t="n">
        <f aca="false">ExportRaw!$F106</f>
        <v>0</v>
      </c>
      <c r="B106" s="168" t="n">
        <f aca="false">ExportRaw!$C106</f>
        <v>0</v>
      </c>
      <c r="C106" s="168" t="n">
        <f aca="false">ExportRaw!$G106</f>
        <v>0</v>
      </c>
      <c r="D106" s="168" t="str">
        <f aca="false">ExportRaw!$E106</f>
        <v/>
      </c>
      <c r="E106" s="169" t="str">
        <f aca="false">ExportRaw!$D106</f>
        <v/>
      </c>
      <c r="F106" s="168" t="str">
        <f aca="false">ExportRaw!$H106</f>
        <v/>
      </c>
      <c r="G106" s="170" t="str">
        <f aca="false">ExportRaw!$I106</f>
        <v/>
      </c>
      <c r="H106" s="168" t="str">
        <f aca="false">ExportRaw!$A106</f>
        <v/>
      </c>
      <c r="I106" s="168" t="str">
        <f aca="false">ExportRaw!$B106</f>
        <v/>
      </c>
    </row>
    <row r="107" customFormat="false" ht="15.75" hidden="false" customHeight="false" outlineLevel="0" collapsed="false">
      <c r="A107" s="168" t="n">
        <f aca="false">ExportRaw!$F107</f>
        <v>0</v>
      </c>
      <c r="B107" s="168" t="n">
        <f aca="false">ExportRaw!$C107</f>
        <v>0</v>
      </c>
      <c r="C107" s="168" t="n">
        <f aca="false">ExportRaw!$G107</f>
        <v>0</v>
      </c>
      <c r="D107" s="168" t="str">
        <f aca="false">ExportRaw!$E107</f>
        <v/>
      </c>
      <c r="E107" s="169" t="str">
        <f aca="false">ExportRaw!$D107</f>
        <v/>
      </c>
      <c r="F107" s="168" t="str">
        <f aca="false">ExportRaw!$H107</f>
        <v/>
      </c>
      <c r="G107" s="170" t="str">
        <f aca="false">ExportRaw!$I107</f>
        <v/>
      </c>
      <c r="H107" s="168" t="str">
        <f aca="false">ExportRaw!$A107</f>
        <v/>
      </c>
      <c r="I107" s="168" t="str">
        <f aca="false">ExportRaw!$B107</f>
        <v/>
      </c>
    </row>
    <row r="108" customFormat="false" ht="15.75" hidden="false" customHeight="false" outlineLevel="0" collapsed="false">
      <c r="A108" s="168" t="n">
        <f aca="false">ExportRaw!$F108</f>
        <v>0</v>
      </c>
      <c r="B108" s="168" t="n">
        <f aca="false">ExportRaw!$C108</f>
        <v>0</v>
      </c>
      <c r="C108" s="168" t="n">
        <f aca="false">ExportRaw!$G108</f>
        <v>0</v>
      </c>
      <c r="D108" s="168" t="str">
        <f aca="false">ExportRaw!$E108</f>
        <v/>
      </c>
      <c r="E108" s="169" t="str">
        <f aca="false">ExportRaw!$D108</f>
        <v/>
      </c>
      <c r="F108" s="168" t="str">
        <f aca="false">ExportRaw!$H108</f>
        <v/>
      </c>
      <c r="G108" s="170" t="str">
        <f aca="false">ExportRaw!$I108</f>
        <v/>
      </c>
      <c r="H108" s="168" t="str">
        <f aca="false">ExportRaw!$A108</f>
        <v/>
      </c>
      <c r="I108" s="168" t="str">
        <f aca="false">ExportRaw!$B108</f>
        <v/>
      </c>
    </row>
    <row r="109" customFormat="false" ht="15.75" hidden="false" customHeight="false" outlineLevel="0" collapsed="false">
      <c r="A109" s="168" t="n">
        <f aca="false">ExportRaw!$F109</f>
        <v>0</v>
      </c>
      <c r="B109" s="168" t="n">
        <f aca="false">ExportRaw!$C109</f>
        <v>0</v>
      </c>
      <c r="C109" s="168" t="n">
        <f aca="false">ExportRaw!$G109</f>
        <v>0</v>
      </c>
      <c r="D109" s="168" t="str">
        <f aca="false">ExportRaw!$E109</f>
        <v/>
      </c>
      <c r="E109" s="169" t="str">
        <f aca="false">ExportRaw!$D109</f>
        <v/>
      </c>
      <c r="F109" s="168" t="str">
        <f aca="false">ExportRaw!$H109</f>
        <v/>
      </c>
      <c r="G109" s="170" t="str">
        <f aca="false">ExportRaw!$I109</f>
        <v/>
      </c>
      <c r="H109" s="168" t="str">
        <f aca="false">ExportRaw!$A109</f>
        <v/>
      </c>
      <c r="I109" s="168" t="str">
        <f aca="false">ExportRaw!$B109</f>
        <v/>
      </c>
    </row>
    <row r="110" customFormat="false" ht="15.75" hidden="false" customHeight="false" outlineLevel="0" collapsed="false">
      <c r="A110" s="168" t="n">
        <f aca="false">ExportRaw!$F110</f>
        <v>0</v>
      </c>
      <c r="B110" s="168" t="n">
        <f aca="false">ExportRaw!$C110</f>
        <v>0</v>
      </c>
      <c r="C110" s="168" t="n">
        <f aca="false">ExportRaw!$G110</f>
        <v>0</v>
      </c>
      <c r="D110" s="168" t="str">
        <f aca="false">ExportRaw!$E110</f>
        <v/>
      </c>
      <c r="E110" s="169" t="str">
        <f aca="false">ExportRaw!$D110</f>
        <v/>
      </c>
      <c r="F110" s="168" t="str">
        <f aca="false">ExportRaw!$H110</f>
        <v/>
      </c>
      <c r="G110" s="170" t="str">
        <f aca="false">ExportRaw!$I110</f>
        <v/>
      </c>
      <c r="H110" s="168" t="str">
        <f aca="false">ExportRaw!$A110</f>
        <v/>
      </c>
      <c r="I110" s="168" t="str">
        <f aca="false">ExportRaw!$B110</f>
        <v/>
      </c>
    </row>
    <row r="111" customFormat="false" ht="15.75" hidden="false" customHeight="false" outlineLevel="0" collapsed="false">
      <c r="A111" s="168" t="n">
        <f aca="false">ExportRaw!$F111</f>
        <v>0</v>
      </c>
      <c r="B111" s="168" t="n">
        <f aca="false">ExportRaw!$C111</f>
        <v>0</v>
      </c>
      <c r="C111" s="168" t="n">
        <f aca="false">ExportRaw!$G111</f>
        <v>0</v>
      </c>
      <c r="D111" s="168" t="str">
        <f aca="false">ExportRaw!$E111</f>
        <v/>
      </c>
      <c r="E111" s="169" t="str">
        <f aca="false">ExportRaw!$D111</f>
        <v/>
      </c>
      <c r="F111" s="168" t="str">
        <f aca="false">ExportRaw!$H111</f>
        <v/>
      </c>
      <c r="G111" s="170" t="str">
        <f aca="false">ExportRaw!$I111</f>
        <v/>
      </c>
      <c r="H111" s="168" t="str">
        <f aca="false">ExportRaw!$A111</f>
        <v/>
      </c>
      <c r="I111" s="168" t="str">
        <f aca="false">ExportRaw!$B111</f>
        <v/>
      </c>
    </row>
    <row r="112" customFormat="false" ht="15.75" hidden="false" customHeight="false" outlineLevel="0" collapsed="false">
      <c r="A112" s="168" t="n">
        <f aca="false">ExportRaw!$F112</f>
        <v>0</v>
      </c>
      <c r="B112" s="168" t="n">
        <f aca="false">ExportRaw!$C112</f>
        <v>0</v>
      </c>
      <c r="C112" s="168" t="n">
        <f aca="false">ExportRaw!$G112</f>
        <v>0</v>
      </c>
      <c r="D112" s="168" t="str">
        <f aca="false">ExportRaw!$E112</f>
        <v/>
      </c>
      <c r="E112" s="169" t="str">
        <f aca="false">ExportRaw!$D112</f>
        <v/>
      </c>
      <c r="F112" s="168" t="str">
        <f aca="false">ExportRaw!$H112</f>
        <v/>
      </c>
      <c r="G112" s="170" t="str">
        <f aca="false">ExportRaw!$I112</f>
        <v/>
      </c>
      <c r="H112" s="168" t="str">
        <f aca="false">ExportRaw!$A112</f>
        <v/>
      </c>
      <c r="I112" s="168" t="str">
        <f aca="false">ExportRaw!$B112</f>
        <v/>
      </c>
    </row>
    <row r="113" customFormat="false" ht="15.75" hidden="false" customHeight="false" outlineLevel="0" collapsed="false">
      <c r="A113" s="168" t="n">
        <f aca="false">ExportRaw!$F113</f>
        <v>0</v>
      </c>
      <c r="B113" s="168" t="n">
        <f aca="false">ExportRaw!$C113</f>
        <v>0</v>
      </c>
      <c r="C113" s="168" t="n">
        <f aca="false">ExportRaw!$G113</f>
        <v>0</v>
      </c>
      <c r="D113" s="168" t="str">
        <f aca="false">ExportRaw!$E113</f>
        <v/>
      </c>
      <c r="E113" s="169" t="str">
        <f aca="false">ExportRaw!$D113</f>
        <v/>
      </c>
      <c r="F113" s="168" t="str">
        <f aca="false">ExportRaw!$H113</f>
        <v/>
      </c>
      <c r="G113" s="170" t="str">
        <f aca="false">ExportRaw!$I113</f>
        <v/>
      </c>
      <c r="H113" s="168" t="str">
        <f aca="false">ExportRaw!$A113</f>
        <v/>
      </c>
      <c r="I113" s="168" t="str">
        <f aca="false">ExportRaw!$B113</f>
        <v/>
      </c>
    </row>
    <row r="114" customFormat="false" ht="15.75" hidden="false" customHeight="false" outlineLevel="0" collapsed="false">
      <c r="A114" s="168" t="n">
        <f aca="false">ExportRaw!$F114</f>
        <v>0</v>
      </c>
      <c r="B114" s="168" t="n">
        <f aca="false">ExportRaw!$C114</f>
        <v>0</v>
      </c>
      <c r="C114" s="168" t="n">
        <f aca="false">ExportRaw!$G114</f>
        <v>0</v>
      </c>
      <c r="D114" s="168" t="str">
        <f aca="false">ExportRaw!$E114</f>
        <v/>
      </c>
      <c r="E114" s="169" t="str">
        <f aca="false">ExportRaw!$D114</f>
        <v/>
      </c>
      <c r="F114" s="168" t="str">
        <f aca="false">ExportRaw!$H114</f>
        <v/>
      </c>
      <c r="G114" s="170" t="str">
        <f aca="false">ExportRaw!$I114</f>
        <v/>
      </c>
      <c r="H114" s="168" t="str">
        <f aca="false">ExportRaw!$A114</f>
        <v/>
      </c>
      <c r="I114" s="168" t="str">
        <f aca="false">ExportRaw!$B114</f>
        <v/>
      </c>
    </row>
    <row r="115" customFormat="false" ht="15.75" hidden="false" customHeight="false" outlineLevel="0" collapsed="false">
      <c r="A115" s="168" t="n">
        <f aca="false">ExportRaw!$F115</f>
        <v>0</v>
      </c>
      <c r="B115" s="168" t="n">
        <f aca="false">ExportRaw!$C115</f>
        <v>0</v>
      </c>
      <c r="C115" s="168" t="n">
        <f aca="false">ExportRaw!$G115</f>
        <v>0</v>
      </c>
      <c r="D115" s="168" t="str">
        <f aca="false">ExportRaw!$E115</f>
        <v/>
      </c>
      <c r="E115" s="169" t="str">
        <f aca="false">ExportRaw!$D115</f>
        <v/>
      </c>
      <c r="F115" s="168" t="str">
        <f aca="false">ExportRaw!$H115</f>
        <v/>
      </c>
      <c r="G115" s="170" t="str">
        <f aca="false">ExportRaw!$I115</f>
        <v/>
      </c>
      <c r="H115" s="168" t="str">
        <f aca="false">ExportRaw!$A115</f>
        <v/>
      </c>
      <c r="I115" s="168" t="str">
        <f aca="false">ExportRaw!$B115</f>
        <v/>
      </c>
    </row>
    <row r="116" customFormat="false" ht="15.75" hidden="false" customHeight="false" outlineLevel="0" collapsed="false">
      <c r="A116" s="168" t="n">
        <f aca="false">ExportRaw!$F116</f>
        <v>0</v>
      </c>
      <c r="B116" s="168" t="n">
        <f aca="false">ExportRaw!$C116</f>
        <v>0</v>
      </c>
      <c r="C116" s="168" t="n">
        <f aca="false">ExportRaw!$G116</f>
        <v>0</v>
      </c>
      <c r="D116" s="168" t="str">
        <f aca="false">ExportRaw!$E116</f>
        <v/>
      </c>
      <c r="E116" s="169" t="str">
        <f aca="false">ExportRaw!$D116</f>
        <v/>
      </c>
      <c r="F116" s="168" t="str">
        <f aca="false">ExportRaw!$H116</f>
        <v/>
      </c>
      <c r="G116" s="170" t="str">
        <f aca="false">ExportRaw!$I116</f>
        <v/>
      </c>
      <c r="H116" s="168" t="str">
        <f aca="false">ExportRaw!$A116</f>
        <v/>
      </c>
      <c r="I116" s="168" t="str">
        <f aca="false">ExportRaw!$B116</f>
        <v/>
      </c>
    </row>
    <row r="117" customFormat="false" ht="15.75" hidden="false" customHeight="false" outlineLevel="0" collapsed="false">
      <c r="A117" s="168" t="n">
        <f aca="false">ExportRaw!$F117</f>
        <v>0</v>
      </c>
      <c r="B117" s="168" t="n">
        <f aca="false">ExportRaw!$C117</f>
        <v>0</v>
      </c>
      <c r="C117" s="168" t="n">
        <f aca="false">ExportRaw!$G117</f>
        <v>0</v>
      </c>
      <c r="D117" s="168" t="str">
        <f aca="false">ExportRaw!$E117</f>
        <v/>
      </c>
      <c r="E117" s="169" t="str">
        <f aca="false">ExportRaw!$D117</f>
        <v/>
      </c>
      <c r="F117" s="168" t="str">
        <f aca="false">ExportRaw!$H117</f>
        <v/>
      </c>
      <c r="G117" s="170" t="str">
        <f aca="false">ExportRaw!$I117</f>
        <v/>
      </c>
      <c r="H117" s="168" t="str">
        <f aca="false">ExportRaw!$A117</f>
        <v/>
      </c>
      <c r="I117" s="168" t="str">
        <f aca="false">ExportRaw!$B117</f>
        <v/>
      </c>
    </row>
    <row r="118" customFormat="false" ht="15.75" hidden="false" customHeight="false" outlineLevel="0" collapsed="false">
      <c r="A118" s="168" t="n">
        <f aca="false">ExportRaw!$F118</f>
        <v>0</v>
      </c>
      <c r="B118" s="168" t="n">
        <f aca="false">ExportRaw!$C118</f>
        <v>0</v>
      </c>
      <c r="C118" s="168" t="n">
        <f aca="false">ExportRaw!$G118</f>
        <v>0</v>
      </c>
      <c r="D118" s="168" t="str">
        <f aca="false">ExportRaw!$E118</f>
        <v/>
      </c>
      <c r="E118" s="169" t="str">
        <f aca="false">ExportRaw!$D118</f>
        <v/>
      </c>
      <c r="F118" s="168" t="str">
        <f aca="false">ExportRaw!$H118</f>
        <v/>
      </c>
      <c r="G118" s="170" t="str">
        <f aca="false">ExportRaw!$I118</f>
        <v/>
      </c>
      <c r="H118" s="168" t="str">
        <f aca="false">ExportRaw!$A118</f>
        <v/>
      </c>
      <c r="I118" s="168" t="str">
        <f aca="false">ExportRaw!$B118</f>
        <v/>
      </c>
    </row>
    <row r="119" customFormat="false" ht="15.75" hidden="false" customHeight="false" outlineLevel="0" collapsed="false">
      <c r="A119" s="168" t="n">
        <f aca="false">ExportRaw!$F119</f>
        <v>0</v>
      </c>
      <c r="B119" s="168" t="n">
        <f aca="false">ExportRaw!$C119</f>
        <v>0</v>
      </c>
      <c r="C119" s="168" t="n">
        <f aca="false">ExportRaw!$G119</f>
        <v>0</v>
      </c>
      <c r="D119" s="168" t="str">
        <f aca="false">ExportRaw!$E119</f>
        <v/>
      </c>
      <c r="E119" s="169" t="str">
        <f aca="false">ExportRaw!$D119</f>
        <v/>
      </c>
      <c r="F119" s="168" t="str">
        <f aca="false">ExportRaw!$H119</f>
        <v/>
      </c>
      <c r="G119" s="170" t="str">
        <f aca="false">ExportRaw!$I119</f>
        <v/>
      </c>
      <c r="H119" s="168" t="str">
        <f aca="false">ExportRaw!$A119</f>
        <v/>
      </c>
      <c r="I119" s="168" t="str">
        <f aca="false">ExportRaw!$B119</f>
        <v/>
      </c>
    </row>
    <row r="120" customFormat="false" ht="15.75" hidden="false" customHeight="false" outlineLevel="0" collapsed="false">
      <c r="A120" s="168" t="n">
        <f aca="false">ExportRaw!$F120</f>
        <v>0</v>
      </c>
      <c r="B120" s="168" t="n">
        <f aca="false">ExportRaw!$C120</f>
        <v>0</v>
      </c>
      <c r="C120" s="168" t="n">
        <f aca="false">ExportRaw!$G120</f>
        <v>0</v>
      </c>
      <c r="D120" s="168" t="str">
        <f aca="false">ExportRaw!$E120</f>
        <v/>
      </c>
      <c r="E120" s="169" t="str">
        <f aca="false">ExportRaw!$D120</f>
        <v/>
      </c>
      <c r="F120" s="168" t="str">
        <f aca="false">ExportRaw!$H120</f>
        <v/>
      </c>
      <c r="G120" s="170" t="str">
        <f aca="false">ExportRaw!$I120</f>
        <v/>
      </c>
      <c r="H120" s="168" t="str">
        <f aca="false">ExportRaw!$A120</f>
        <v/>
      </c>
      <c r="I120" s="168" t="str">
        <f aca="false">ExportRaw!$B120</f>
        <v/>
      </c>
    </row>
    <row r="121" customFormat="false" ht="15.75" hidden="false" customHeight="false" outlineLevel="0" collapsed="false">
      <c r="A121" s="168" t="n">
        <f aca="false">ExportRaw!$F121</f>
        <v>0</v>
      </c>
      <c r="B121" s="168" t="n">
        <f aca="false">ExportRaw!$C121</f>
        <v>0</v>
      </c>
      <c r="C121" s="168" t="n">
        <f aca="false">ExportRaw!$G121</f>
        <v>0</v>
      </c>
      <c r="D121" s="168" t="str">
        <f aca="false">ExportRaw!$E121</f>
        <v/>
      </c>
      <c r="E121" s="169" t="str">
        <f aca="false">ExportRaw!$D121</f>
        <v/>
      </c>
      <c r="F121" s="168" t="str">
        <f aca="false">ExportRaw!$H121</f>
        <v/>
      </c>
      <c r="G121" s="170" t="str">
        <f aca="false">ExportRaw!$I121</f>
        <v/>
      </c>
      <c r="H121" s="168" t="str">
        <f aca="false">ExportRaw!$A121</f>
        <v/>
      </c>
      <c r="I121" s="168" t="str">
        <f aca="false">ExportRaw!$B121</f>
        <v/>
      </c>
    </row>
    <row r="122" customFormat="false" ht="15.75" hidden="false" customHeight="false" outlineLevel="0" collapsed="false">
      <c r="A122" s="168" t="n">
        <f aca="false">ExportRaw!$F122</f>
        <v>0</v>
      </c>
      <c r="B122" s="168" t="n">
        <f aca="false">ExportRaw!$C122</f>
        <v>0</v>
      </c>
      <c r="C122" s="168" t="n">
        <f aca="false">ExportRaw!$G122</f>
        <v>0</v>
      </c>
      <c r="D122" s="168" t="str">
        <f aca="false">ExportRaw!$E122</f>
        <v/>
      </c>
      <c r="E122" s="169" t="str">
        <f aca="false">ExportRaw!$D122</f>
        <v/>
      </c>
      <c r="F122" s="168" t="str">
        <f aca="false">ExportRaw!$H122</f>
        <v/>
      </c>
      <c r="G122" s="170" t="str">
        <f aca="false">ExportRaw!$I122</f>
        <v/>
      </c>
      <c r="H122" s="168" t="str">
        <f aca="false">ExportRaw!$A122</f>
        <v/>
      </c>
      <c r="I122" s="168" t="str">
        <f aca="false">ExportRaw!$B122</f>
        <v/>
      </c>
    </row>
    <row r="123" customFormat="false" ht="15.75" hidden="false" customHeight="false" outlineLevel="0" collapsed="false">
      <c r="A123" s="168" t="n">
        <f aca="false">ExportRaw!$F123</f>
        <v>0</v>
      </c>
      <c r="B123" s="168" t="n">
        <f aca="false">ExportRaw!$C123</f>
        <v>0</v>
      </c>
      <c r="C123" s="168" t="n">
        <f aca="false">ExportRaw!$G123</f>
        <v>0</v>
      </c>
      <c r="D123" s="168" t="str">
        <f aca="false">ExportRaw!$E123</f>
        <v/>
      </c>
      <c r="E123" s="169" t="str">
        <f aca="false">ExportRaw!$D123</f>
        <v/>
      </c>
      <c r="F123" s="168" t="str">
        <f aca="false">ExportRaw!$H123</f>
        <v/>
      </c>
      <c r="G123" s="170" t="str">
        <f aca="false">ExportRaw!$I123</f>
        <v/>
      </c>
      <c r="H123" s="168" t="str">
        <f aca="false">ExportRaw!$A123</f>
        <v/>
      </c>
      <c r="I123" s="168" t="str">
        <f aca="false">ExportRaw!$B123</f>
        <v/>
      </c>
    </row>
    <row r="124" customFormat="false" ht="15.75" hidden="false" customHeight="false" outlineLevel="0" collapsed="false">
      <c r="A124" s="168" t="n">
        <f aca="false">ExportRaw!$F124</f>
        <v>0</v>
      </c>
      <c r="B124" s="168" t="n">
        <f aca="false">ExportRaw!$C124</f>
        <v>0</v>
      </c>
      <c r="C124" s="168" t="n">
        <f aca="false">ExportRaw!$G124</f>
        <v>0</v>
      </c>
      <c r="D124" s="168" t="str">
        <f aca="false">ExportRaw!$E124</f>
        <v/>
      </c>
      <c r="E124" s="169" t="str">
        <f aca="false">ExportRaw!$D124</f>
        <v/>
      </c>
      <c r="F124" s="168" t="str">
        <f aca="false">ExportRaw!$H124</f>
        <v/>
      </c>
      <c r="G124" s="170" t="str">
        <f aca="false">ExportRaw!$I124</f>
        <v/>
      </c>
      <c r="H124" s="168" t="str">
        <f aca="false">ExportRaw!$A124</f>
        <v/>
      </c>
      <c r="I124" s="168" t="str">
        <f aca="false">ExportRaw!$B124</f>
        <v/>
      </c>
    </row>
    <row r="125" customFormat="false" ht="15.75" hidden="false" customHeight="false" outlineLevel="0" collapsed="false">
      <c r="A125" s="168" t="n">
        <f aca="false">ExportRaw!$F125</f>
        <v>0</v>
      </c>
      <c r="B125" s="168" t="n">
        <f aca="false">ExportRaw!$C125</f>
        <v>0</v>
      </c>
      <c r="C125" s="168" t="n">
        <f aca="false">ExportRaw!$G125</f>
        <v>0</v>
      </c>
      <c r="D125" s="168" t="str">
        <f aca="false">ExportRaw!$E125</f>
        <v/>
      </c>
      <c r="E125" s="169" t="str">
        <f aca="false">ExportRaw!$D125</f>
        <v/>
      </c>
      <c r="F125" s="168" t="str">
        <f aca="false">ExportRaw!$H125</f>
        <v/>
      </c>
      <c r="G125" s="170" t="str">
        <f aca="false">ExportRaw!$I125</f>
        <v/>
      </c>
      <c r="H125" s="168" t="str">
        <f aca="false">ExportRaw!$A125</f>
        <v/>
      </c>
      <c r="I125" s="168" t="str">
        <f aca="false">ExportRaw!$B125</f>
        <v/>
      </c>
    </row>
    <row r="126" customFormat="false" ht="15.75" hidden="false" customHeight="false" outlineLevel="0" collapsed="false">
      <c r="A126" s="168" t="n">
        <f aca="false">ExportRaw!$F126</f>
        <v>0</v>
      </c>
      <c r="B126" s="168" t="n">
        <f aca="false">ExportRaw!$C126</f>
        <v>0</v>
      </c>
      <c r="C126" s="168" t="n">
        <f aca="false">ExportRaw!$G126</f>
        <v>0</v>
      </c>
      <c r="D126" s="168" t="str">
        <f aca="false">ExportRaw!$E126</f>
        <v/>
      </c>
      <c r="E126" s="169" t="str">
        <f aca="false">ExportRaw!$D126</f>
        <v/>
      </c>
      <c r="F126" s="168" t="str">
        <f aca="false">ExportRaw!$H126</f>
        <v/>
      </c>
      <c r="G126" s="170" t="str">
        <f aca="false">ExportRaw!$I126</f>
        <v/>
      </c>
      <c r="H126" s="168" t="str">
        <f aca="false">ExportRaw!$A126</f>
        <v/>
      </c>
      <c r="I126" s="168" t="str">
        <f aca="false">ExportRaw!$B126</f>
        <v/>
      </c>
    </row>
    <row r="127" customFormat="false" ht="15.75" hidden="false" customHeight="false" outlineLevel="0" collapsed="false">
      <c r="A127" s="168" t="n">
        <f aca="false">ExportRaw!$F127</f>
        <v>0</v>
      </c>
      <c r="B127" s="168" t="n">
        <f aca="false">ExportRaw!$C127</f>
        <v>0</v>
      </c>
      <c r="C127" s="168" t="n">
        <f aca="false">ExportRaw!$G127</f>
        <v>0</v>
      </c>
      <c r="D127" s="168" t="str">
        <f aca="false">ExportRaw!$E127</f>
        <v/>
      </c>
      <c r="E127" s="169" t="str">
        <f aca="false">ExportRaw!$D127</f>
        <v/>
      </c>
      <c r="F127" s="168" t="str">
        <f aca="false">ExportRaw!$H127</f>
        <v/>
      </c>
      <c r="G127" s="170" t="str">
        <f aca="false">ExportRaw!$I127</f>
        <v/>
      </c>
      <c r="H127" s="168" t="str">
        <f aca="false">ExportRaw!$A127</f>
        <v/>
      </c>
      <c r="I127" s="168" t="str">
        <f aca="false">ExportRaw!$B127</f>
        <v/>
      </c>
    </row>
    <row r="128" customFormat="false" ht="15.75" hidden="false" customHeight="false" outlineLevel="0" collapsed="false">
      <c r="A128" s="168" t="n">
        <f aca="false">ExportRaw!$F128</f>
        <v>0</v>
      </c>
      <c r="B128" s="168" t="n">
        <f aca="false">ExportRaw!$C128</f>
        <v>0</v>
      </c>
      <c r="C128" s="168" t="n">
        <f aca="false">ExportRaw!$G128</f>
        <v>0</v>
      </c>
      <c r="D128" s="168" t="str">
        <f aca="false">ExportRaw!$E128</f>
        <v/>
      </c>
      <c r="E128" s="169" t="str">
        <f aca="false">ExportRaw!$D128</f>
        <v/>
      </c>
      <c r="F128" s="168" t="str">
        <f aca="false">ExportRaw!$H128</f>
        <v/>
      </c>
      <c r="G128" s="170" t="str">
        <f aca="false">ExportRaw!$I128</f>
        <v/>
      </c>
      <c r="H128" s="168" t="str">
        <f aca="false">ExportRaw!$A128</f>
        <v/>
      </c>
      <c r="I128" s="168" t="str">
        <f aca="false">ExportRaw!$B128</f>
        <v/>
      </c>
    </row>
    <row r="129" customFormat="false" ht="15.75" hidden="false" customHeight="false" outlineLevel="0" collapsed="false">
      <c r="A129" s="168" t="n">
        <f aca="false">ExportRaw!$F129</f>
        <v>0</v>
      </c>
      <c r="B129" s="168" t="n">
        <f aca="false">ExportRaw!$C129</f>
        <v>0</v>
      </c>
      <c r="C129" s="168" t="n">
        <f aca="false">ExportRaw!$G129</f>
        <v>0</v>
      </c>
      <c r="D129" s="168" t="str">
        <f aca="false">ExportRaw!$E129</f>
        <v/>
      </c>
      <c r="E129" s="169" t="str">
        <f aca="false">ExportRaw!$D129</f>
        <v/>
      </c>
      <c r="F129" s="168" t="str">
        <f aca="false">ExportRaw!$H129</f>
        <v/>
      </c>
      <c r="G129" s="170" t="str">
        <f aca="false">ExportRaw!$I129</f>
        <v/>
      </c>
      <c r="H129" s="168" t="str">
        <f aca="false">ExportRaw!$A129</f>
        <v/>
      </c>
      <c r="I129" s="168" t="str">
        <f aca="false">ExportRaw!$B129</f>
        <v/>
      </c>
    </row>
    <row r="130" customFormat="false" ht="15.75" hidden="false" customHeight="false" outlineLevel="0" collapsed="false">
      <c r="A130" s="168" t="n">
        <f aca="false">ExportRaw!$F130</f>
        <v>0</v>
      </c>
      <c r="B130" s="168" t="n">
        <f aca="false">ExportRaw!$C130</f>
        <v>0</v>
      </c>
      <c r="C130" s="168" t="n">
        <f aca="false">ExportRaw!$G130</f>
        <v>0</v>
      </c>
      <c r="D130" s="168" t="str">
        <f aca="false">ExportRaw!$E130</f>
        <v/>
      </c>
      <c r="E130" s="169" t="str">
        <f aca="false">ExportRaw!$D130</f>
        <v/>
      </c>
      <c r="F130" s="168" t="str">
        <f aca="false">ExportRaw!$H130</f>
        <v/>
      </c>
      <c r="G130" s="170" t="str">
        <f aca="false">ExportRaw!$I130</f>
        <v/>
      </c>
      <c r="H130" s="168" t="str">
        <f aca="false">ExportRaw!$A130</f>
        <v/>
      </c>
      <c r="I130" s="168" t="str">
        <f aca="false">ExportRaw!$B130</f>
        <v/>
      </c>
    </row>
    <row r="131" customFormat="false" ht="15.75" hidden="false" customHeight="false" outlineLevel="0" collapsed="false">
      <c r="A131" s="168" t="n">
        <f aca="false">ExportRaw!$F131</f>
        <v>0</v>
      </c>
      <c r="B131" s="168" t="n">
        <f aca="false">ExportRaw!$C131</f>
        <v>0</v>
      </c>
      <c r="C131" s="168" t="n">
        <f aca="false">ExportRaw!$G131</f>
        <v>0</v>
      </c>
      <c r="D131" s="168" t="str">
        <f aca="false">ExportRaw!$E131</f>
        <v/>
      </c>
      <c r="E131" s="169" t="str">
        <f aca="false">ExportRaw!$D131</f>
        <v/>
      </c>
      <c r="F131" s="168" t="str">
        <f aca="false">ExportRaw!$H131</f>
        <v/>
      </c>
      <c r="G131" s="170" t="str">
        <f aca="false">ExportRaw!$I131</f>
        <v/>
      </c>
      <c r="H131" s="168" t="str">
        <f aca="false">ExportRaw!$A131</f>
        <v/>
      </c>
      <c r="I131" s="168" t="str">
        <f aca="false">ExportRaw!$B131</f>
        <v/>
      </c>
    </row>
    <row r="132" customFormat="false" ht="15.75" hidden="false" customHeight="false" outlineLevel="0" collapsed="false">
      <c r="A132" s="168" t="n">
        <f aca="false">ExportRaw!$F132</f>
        <v>0</v>
      </c>
      <c r="B132" s="168" t="n">
        <f aca="false">ExportRaw!$C132</f>
        <v>0</v>
      </c>
      <c r="C132" s="168" t="n">
        <f aca="false">ExportRaw!$G132</f>
        <v>0</v>
      </c>
      <c r="D132" s="168" t="str">
        <f aca="false">ExportRaw!$E132</f>
        <v/>
      </c>
      <c r="E132" s="169" t="str">
        <f aca="false">ExportRaw!$D132</f>
        <v/>
      </c>
      <c r="F132" s="168" t="str">
        <f aca="false">ExportRaw!$H132</f>
        <v/>
      </c>
      <c r="G132" s="170" t="str">
        <f aca="false">ExportRaw!$I132</f>
        <v/>
      </c>
      <c r="H132" s="168" t="str">
        <f aca="false">ExportRaw!$A132</f>
        <v/>
      </c>
      <c r="I132" s="168" t="str">
        <f aca="false">ExportRaw!$B132</f>
        <v/>
      </c>
    </row>
    <row r="133" customFormat="false" ht="15.75" hidden="false" customHeight="false" outlineLevel="0" collapsed="false">
      <c r="A133" s="168" t="n">
        <f aca="false">ExportRaw!$F133</f>
        <v>0</v>
      </c>
      <c r="B133" s="168" t="n">
        <f aca="false">ExportRaw!$C133</f>
        <v>0</v>
      </c>
      <c r="C133" s="168" t="n">
        <f aca="false">ExportRaw!$G133</f>
        <v>0</v>
      </c>
      <c r="D133" s="168" t="str">
        <f aca="false">ExportRaw!$E133</f>
        <v/>
      </c>
      <c r="E133" s="169" t="str">
        <f aca="false">ExportRaw!$D133</f>
        <v/>
      </c>
      <c r="F133" s="168" t="str">
        <f aca="false">ExportRaw!$H133</f>
        <v/>
      </c>
      <c r="G133" s="170" t="str">
        <f aca="false">ExportRaw!$I133</f>
        <v/>
      </c>
      <c r="H133" s="168" t="str">
        <f aca="false">ExportRaw!$A133</f>
        <v/>
      </c>
      <c r="I133" s="168" t="str">
        <f aca="false">ExportRaw!$B133</f>
        <v/>
      </c>
    </row>
    <row r="134" customFormat="false" ht="15.75" hidden="false" customHeight="false" outlineLevel="0" collapsed="false">
      <c r="A134" s="168" t="n">
        <f aca="false">ExportRaw!$F134</f>
        <v>0</v>
      </c>
      <c r="B134" s="168" t="n">
        <f aca="false">ExportRaw!$C134</f>
        <v>0</v>
      </c>
      <c r="C134" s="168" t="n">
        <f aca="false">ExportRaw!$G134</f>
        <v>0</v>
      </c>
      <c r="D134" s="168" t="str">
        <f aca="false">ExportRaw!$E134</f>
        <v/>
      </c>
      <c r="E134" s="169" t="str">
        <f aca="false">ExportRaw!$D134</f>
        <v/>
      </c>
      <c r="F134" s="168" t="str">
        <f aca="false">ExportRaw!$H134</f>
        <v/>
      </c>
      <c r="G134" s="170" t="str">
        <f aca="false">ExportRaw!$I134</f>
        <v/>
      </c>
      <c r="H134" s="168" t="str">
        <f aca="false">ExportRaw!$A134</f>
        <v/>
      </c>
      <c r="I134" s="168" t="str">
        <f aca="false">ExportRaw!$B134</f>
        <v/>
      </c>
    </row>
    <row r="135" customFormat="false" ht="15.75" hidden="false" customHeight="false" outlineLevel="0" collapsed="false">
      <c r="A135" s="168" t="n">
        <f aca="false">ExportRaw!$F135</f>
        <v>0</v>
      </c>
      <c r="B135" s="168" t="n">
        <f aca="false">ExportRaw!$C135</f>
        <v>0</v>
      </c>
      <c r="C135" s="168" t="n">
        <f aca="false">ExportRaw!$G135</f>
        <v>0</v>
      </c>
      <c r="D135" s="168" t="str">
        <f aca="false">ExportRaw!$E135</f>
        <v/>
      </c>
      <c r="E135" s="169" t="str">
        <f aca="false">ExportRaw!$D135</f>
        <v/>
      </c>
      <c r="F135" s="168" t="str">
        <f aca="false">ExportRaw!$H135</f>
        <v/>
      </c>
      <c r="G135" s="170" t="str">
        <f aca="false">ExportRaw!$I135</f>
        <v/>
      </c>
      <c r="H135" s="168" t="str">
        <f aca="false">ExportRaw!$A135</f>
        <v/>
      </c>
      <c r="I135" s="168" t="str">
        <f aca="false">ExportRaw!$B135</f>
        <v/>
      </c>
    </row>
    <row r="136" customFormat="false" ht="15.75" hidden="false" customHeight="false" outlineLevel="0" collapsed="false">
      <c r="A136" s="168" t="n">
        <f aca="false">ExportRaw!$F136</f>
        <v>0</v>
      </c>
      <c r="B136" s="168" t="n">
        <f aca="false">ExportRaw!$C136</f>
        <v>0</v>
      </c>
      <c r="C136" s="168" t="n">
        <f aca="false">ExportRaw!$G136</f>
        <v>0</v>
      </c>
      <c r="D136" s="168" t="str">
        <f aca="false">ExportRaw!$E136</f>
        <v/>
      </c>
      <c r="E136" s="169" t="str">
        <f aca="false">ExportRaw!$D136</f>
        <v/>
      </c>
      <c r="F136" s="168" t="str">
        <f aca="false">ExportRaw!$H136</f>
        <v/>
      </c>
      <c r="G136" s="170" t="str">
        <f aca="false">ExportRaw!$I136</f>
        <v/>
      </c>
      <c r="H136" s="168" t="str">
        <f aca="false">ExportRaw!$A136</f>
        <v/>
      </c>
      <c r="I136" s="168" t="str">
        <f aca="false">ExportRaw!$B136</f>
        <v/>
      </c>
    </row>
    <row r="137" customFormat="false" ht="15.75" hidden="false" customHeight="false" outlineLevel="0" collapsed="false">
      <c r="A137" s="168" t="n">
        <f aca="false">ExportRaw!$F137</f>
        <v>0</v>
      </c>
      <c r="B137" s="168" t="n">
        <f aca="false">ExportRaw!$C137</f>
        <v>0</v>
      </c>
      <c r="C137" s="168" t="n">
        <f aca="false">ExportRaw!$G137</f>
        <v>0</v>
      </c>
      <c r="D137" s="168" t="str">
        <f aca="false">ExportRaw!$E137</f>
        <v/>
      </c>
      <c r="E137" s="169" t="str">
        <f aca="false">ExportRaw!$D137</f>
        <v/>
      </c>
      <c r="F137" s="168" t="str">
        <f aca="false">ExportRaw!$H137</f>
        <v/>
      </c>
      <c r="G137" s="170" t="str">
        <f aca="false">ExportRaw!$I137</f>
        <v/>
      </c>
      <c r="H137" s="168" t="str">
        <f aca="false">ExportRaw!$A137</f>
        <v/>
      </c>
      <c r="I137" s="168" t="str">
        <f aca="false">ExportRaw!$B137</f>
        <v/>
      </c>
    </row>
    <row r="138" customFormat="false" ht="15.75" hidden="false" customHeight="false" outlineLevel="0" collapsed="false">
      <c r="A138" s="168" t="n">
        <f aca="false">ExportRaw!$F138</f>
        <v>0</v>
      </c>
      <c r="B138" s="168" t="n">
        <f aca="false">ExportRaw!$C138</f>
        <v>0</v>
      </c>
      <c r="C138" s="168" t="n">
        <f aca="false">ExportRaw!$G138</f>
        <v>0</v>
      </c>
      <c r="D138" s="168" t="str">
        <f aca="false">ExportRaw!$E138</f>
        <v/>
      </c>
      <c r="E138" s="169" t="str">
        <f aca="false">ExportRaw!$D138</f>
        <v/>
      </c>
      <c r="F138" s="168" t="str">
        <f aca="false">ExportRaw!$H138</f>
        <v/>
      </c>
      <c r="G138" s="170" t="str">
        <f aca="false">ExportRaw!$I138</f>
        <v/>
      </c>
      <c r="H138" s="168" t="str">
        <f aca="false">ExportRaw!$A138</f>
        <v/>
      </c>
      <c r="I138" s="168" t="str">
        <f aca="false">ExportRaw!$B138</f>
        <v/>
      </c>
    </row>
    <row r="139" customFormat="false" ht="15.75" hidden="false" customHeight="false" outlineLevel="0" collapsed="false">
      <c r="A139" s="168" t="n">
        <f aca="false">ExportRaw!$F139</f>
        <v>0</v>
      </c>
      <c r="B139" s="168" t="n">
        <f aca="false">ExportRaw!$C139</f>
        <v>0</v>
      </c>
      <c r="C139" s="168" t="n">
        <f aca="false">ExportRaw!$G139</f>
        <v>0</v>
      </c>
      <c r="D139" s="168" t="str">
        <f aca="false">ExportRaw!$E139</f>
        <v/>
      </c>
      <c r="E139" s="169" t="str">
        <f aca="false">ExportRaw!$D139</f>
        <v/>
      </c>
      <c r="F139" s="168" t="str">
        <f aca="false">ExportRaw!$H139</f>
        <v/>
      </c>
      <c r="G139" s="170" t="str">
        <f aca="false">ExportRaw!$I139</f>
        <v/>
      </c>
      <c r="H139" s="168" t="str">
        <f aca="false">ExportRaw!$A139</f>
        <v/>
      </c>
      <c r="I139" s="168" t="str">
        <f aca="false">ExportRaw!$B139</f>
        <v/>
      </c>
    </row>
    <row r="140" customFormat="false" ht="15.75" hidden="false" customHeight="false" outlineLevel="0" collapsed="false">
      <c r="A140" s="168" t="n">
        <f aca="false">ExportRaw!$F140</f>
        <v>0</v>
      </c>
      <c r="B140" s="168" t="n">
        <f aca="false">ExportRaw!$C140</f>
        <v>0</v>
      </c>
      <c r="C140" s="168" t="n">
        <f aca="false">ExportRaw!$G140</f>
        <v>0</v>
      </c>
      <c r="D140" s="168" t="str">
        <f aca="false">ExportRaw!$E140</f>
        <v/>
      </c>
      <c r="E140" s="169" t="str">
        <f aca="false">ExportRaw!$D140</f>
        <v/>
      </c>
      <c r="F140" s="168" t="str">
        <f aca="false">ExportRaw!$H140</f>
        <v/>
      </c>
      <c r="G140" s="170" t="str">
        <f aca="false">ExportRaw!$I140</f>
        <v/>
      </c>
      <c r="H140" s="168" t="str">
        <f aca="false">ExportRaw!$A140</f>
        <v/>
      </c>
      <c r="I140" s="168" t="str">
        <f aca="false">ExportRaw!$B140</f>
        <v/>
      </c>
    </row>
    <row r="141" customFormat="false" ht="15.75" hidden="false" customHeight="false" outlineLevel="0" collapsed="false">
      <c r="A141" s="168" t="n">
        <f aca="false">ExportRaw!$F141</f>
        <v>0</v>
      </c>
      <c r="B141" s="168" t="n">
        <f aca="false">ExportRaw!$C141</f>
        <v>0</v>
      </c>
      <c r="C141" s="168" t="n">
        <f aca="false">ExportRaw!$G141</f>
        <v>0</v>
      </c>
      <c r="D141" s="168" t="str">
        <f aca="false">ExportRaw!$E141</f>
        <v/>
      </c>
      <c r="E141" s="169" t="str">
        <f aca="false">ExportRaw!$D141</f>
        <v/>
      </c>
      <c r="F141" s="168" t="str">
        <f aca="false">ExportRaw!$H141</f>
        <v/>
      </c>
      <c r="G141" s="170" t="str">
        <f aca="false">ExportRaw!$I141</f>
        <v/>
      </c>
      <c r="H141" s="168" t="str">
        <f aca="false">ExportRaw!$A141</f>
        <v/>
      </c>
      <c r="I141" s="168" t="str">
        <f aca="false">ExportRaw!$B141</f>
        <v/>
      </c>
    </row>
    <row r="142" customFormat="false" ht="15.75" hidden="false" customHeight="false" outlineLevel="0" collapsed="false">
      <c r="A142" s="168" t="n">
        <f aca="false">ExportRaw!$F142</f>
        <v>0</v>
      </c>
      <c r="B142" s="168" t="n">
        <f aca="false">ExportRaw!$C142</f>
        <v>0</v>
      </c>
      <c r="C142" s="168" t="n">
        <f aca="false">ExportRaw!$G142</f>
        <v>0</v>
      </c>
      <c r="D142" s="168" t="str">
        <f aca="false">ExportRaw!$E142</f>
        <v/>
      </c>
      <c r="E142" s="169" t="str">
        <f aca="false">ExportRaw!$D142</f>
        <v/>
      </c>
      <c r="F142" s="168" t="str">
        <f aca="false">ExportRaw!$H142</f>
        <v/>
      </c>
      <c r="G142" s="170" t="str">
        <f aca="false">ExportRaw!$I142</f>
        <v/>
      </c>
      <c r="H142" s="168" t="str">
        <f aca="false">ExportRaw!$A142</f>
        <v/>
      </c>
      <c r="I142" s="168" t="str">
        <f aca="false">ExportRaw!$B142</f>
        <v/>
      </c>
    </row>
    <row r="143" customFormat="false" ht="15.75" hidden="false" customHeight="false" outlineLevel="0" collapsed="false">
      <c r="A143" s="168" t="n">
        <f aca="false">ExportRaw!$F143</f>
        <v>0</v>
      </c>
      <c r="B143" s="168" t="n">
        <f aca="false">ExportRaw!$C143</f>
        <v>0</v>
      </c>
      <c r="C143" s="168" t="n">
        <f aca="false">ExportRaw!$G143</f>
        <v>0</v>
      </c>
      <c r="D143" s="168" t="str">
        <f aca="false">ExportRaw!$E143</f>
        <v/>
      </c>
      <c r="E143" s="169" t="str">
        <f aca="false">ExportRaw!$D143</f>
        <v/>
      </c>
      <c r="F143" s="168" t="str">
        <f aca="false">ExportRaw!$H143</f>
        <v/>
      </c>
      <c r="G143" s="170" t="str">
        <f aca="false">ExportRaw!$I143</f>
        <v/>
      </c>
      <c r="H143" s="168" t="str">
        <f aca="false">ExportRaw!$A143</f>
        <v/>
      </c>
      <c r="I143" s="168" t="str">
        <f aca="false">ExportRaw!$B143</f>
        <v/>
      </c>
    </row>
    <row r="144" customFormat="false" ht="15.75" hidden="false" customHeight="false" outlineLevel="0" collapsed="false">
      <c r="A144" s="168" t="n">
        <f aca="false">ExportRaw!$F144</f>
        <v>0</v>
      </c>
      <c r="B144" s="168" t="n">
        <f aca="false">ExportRaw!$C144</f>
        <v>0</v>
      </c>
      <c r="C144" s="168" t="n">
        <f aca="false">ExportRaw!$G144</f>
        <v>0</v>
      </c>
      <c r="D144" s="168" t="str">
        <f aca="false">ExportRaw!$E144</f>
        <v/>
      </c>
      <c r="E144" s="169" t="str">
        <f aca="false">ExportRaw!$D144</f>
        <v/>
      </c>
      <c r="F144" s="168" t="str">
        <f aca="false">ExportRaw!$H144</f>
        <v/>
      </c>
      <c r="G144" s="170" t="str">
        <f aca="false">ExportRaw!$I144</f>
        <v/>
      </c>
      <c r="H144" s="168" t="str">
        <f aca="false">ExportRaw!$A144</f>
        <v/>
      </c>
      <c r="I144" s="168" t="str">
        <f aca="false">ExportRaw!$B144</f>
        <v/>
      </c>
    </row>
    <row r="145" customFormat="false" ht="15.75" hidden="false" customHeight="false" outlineLevel="0" collapsed="false">
      <c r="A145" s="168" t="n">
        <f aca="false">ExportRaw!$F145</f>
        <v>0</v>
      </c>
      <c r="B145" s="168" t="n">
        <f aca="false">ExportRaw!$C145</f>
        <v>0</v>
      </c>
      <c r="C145" s="168" t="n">
        <f aca="false">ExportRaw!$G145</f>
        <v>0</v>
      </c>
      <c r="D145" s="168" t="str">
        <f aca="false">ExportRaw!$E145</f>
        <v/>
      </c>
      <c r="E145" s="169" t="str">
        <f aca="false">ExportRaw!$D145</f>
        <v/>
      </c>
      <c r="F145" s="168" t="str">
        <f aca="false">ExportRaw!$H145</f>
        <v/>
      </c>
      <c r="G145" s="170" t="str">
        <f aca="false">ExportRaw!$I145</f>
        <v/>
      </c>
      <c r="H145" s="168" t="str">
        <f aca="false">ExportRaw!$A145</f>
        <v/>
      </c>
      <c r="I145" s="168" t="str">
        <f aca="false">ExportRaw!$B145</f>
        <v/>
      </c>
    </row>
    <row r="146" customFormat="false" ht="15.75" hidden="false" customHeight="false" outlineLevel="0" collapsed="false">
      <c r="A146" s="168" t="n">
        <f aca="false">ExportRaw!$F146</f>
        <v>0</v>
      </c>
      <c r="B146" s="168" t="n">
        <f aca="false">ExportRaw!$C146</f>
        <v>0</v>
      </c>
      <c r="C146" s="168" t="n">
        <f aca="false">ExportRaw!$G146</f>
        <v>0</v>
      </c>
      <c r="D146" s="168" t="str">
        <f aca="false">ExportRaw!$E146</f>
        <v/>
      </c>
      <c r="E146" s="169" t="str">
        <f aca="false">ExportRaw!$D146</f>
        <v/>
      </c>
      <c r="F146" s="168" t="str">
        <f aca="false">ExportRaw!$H146</f>
        <v/>
      </c>
      <c r="G146" s="170" t="str">
        <f aca="false">ExportRaw!$I146</f>
        <v/>
      </c>
      <c r="H146" s="168" t="str">
        <f aca="false">ExportRaw!$A146</f>
        <v/>
      </c>
      <c r="I146" s="168" t="str">
        <f aca="false">ExportRaw!$B146</f>
        <v/>
      </c>
    </row>
    <row r="147" customFormat="false" ht="15.75" hidden="false" customHeight="false" outlineLevel="0" collapsed="false">
      <c r="A147" s="168" t="n">
        <f aca="false">ExportRaw!$F147</f>
        <v>0</v>
      </c>
      <c r="B147" s="168" t="n">
        <f aca="false">ExportRaw!$C147</f>
        <v>0</v>
      </c>
      <c r="C147" s="168" t="n">
        <f aca="false">ExportRaw!$G147</f>
        <v>0</v>
      </c>
      <c r="D147" s="168" t="str">
        <f aca="false">ExportRaw!$E147</f>
        <v/>
      </c>
      <c r="E147" s="169" t="str">
        <f aca="false">ExportRaw!$D147</f>
        <v/>
      </c>
      <c r="F147" s="168" t="str">
        <f aca="false">ExportRaw!$H147</f>
        <v/>
      </c>
      <c r="G147" s="170" t="str">
        <f aca="false">ExportRaw!$I147</f>
        <v/>
      </c>
      <c r="H147" s="168" t="str">
        <f aca="false">ExportRaw!$A147</f>
        <v/>
      </c>
      <c r="I147" s="168" t="str">
        <f aca="false">ExportRaw!$B147</f>
        <v/>
      </c>
    </row>
    <row r="148" customFormat="false" ht="15.75" hidden="false" customHeight="false" outlineLevel="0" collapsed="false">
      <c r="A148" s="168" t="n">
        <f aca="false">ExportRaw!$F148</f>
        <v>0</v>
      </c>
      <c r="B148" s="168" t="n">
        <f aca="false">ExportRaw!$C148</f>
        <v>0</v>
      </c>
      <c r="C148" s="168" t="n">
        <f aca="false">ExportRaw!$G148</f>
        <v>0</v>
      </c>
      <c r="D148" s="168" t="str">
        <f aca="false">ExportRaw!$E148</f>
        <v/>
      </c>
      <c r="E148" s="169" t="str">
        <f aca="false">ExportRaw!$D148</f>
        <v/>
      </c>
      <c r="F148" s="168" t="str">
        <f aca="false">ExportRaw!$H148</f>
        <v/>
      </c>
      <c r="G148" s="170" t="str">
        <f aca="false">ExportRaw!$I148</f>
        <v/>
      </c>
      <c r="H148" s="168" t="str">
        <f aca="false">ExportRaw!$A148</f>
        <v/>
      </c>
      <c r="I148" s="168" t="str">
        <f aca="false">ExportRaw!$B148</f>
        <v/>
      </c>
    </row>
    <row r="149" customFormat="false" ht="15.75" hidden="false" customHeight="false" outlineLevel="0" collapsed="false">
      <c r="A149" s="168" t="n">
        <f aca="false">ExportRaw!$F149</f>
        <v>0</v>
      </c>
      <c r="B149" s="168" t="n">
        <f aca="false">ExportRaw!$C149</f>
        <v>0</v>
      </c>
      <c r="C149" s="168" t="n">
        <f aca="false">ExportRaw!$G149</f>
        <v>0</v>
      </c>
      <c r="D149" s="168" t="str">
        <f aca="false">ExportRaw!$E149</f>
        <v/>
      </c>
      <c r="E149" s="169" t="str">
        <f aca="false">ExportRaw!$D149</f>
        <v/>
      </c>
      <c r="F149" s="168" t="str">
        <f aca="false">ExportRaw!$H149</f>
        <v/>
      </c>
      <c r="G149" s="170" t="str">
        <f aca="false">ExportRaw!$I149</f>
        <v/>
      </c>
      <c r="H149" s="168" t="str">
        <f aca="false">ExportRaw!$A149</f>
        <v/>
      </c>
      <c r="I149" s="168" t="str">
        <f aca="false">ExportRaw!$B149</f>
        <v/>
      </c>
    </row>
    <row r="150" customFormat="false" ht="15.75" hidden="false" customHeight="false" outlineLevel="0" collapsed="false">
      <c r="A150" s="168" t="n">
        <f aca="false">ExportRaw!$F150</f>
        <v>0</v>
      </c>
      <c r="B150" s="168" t="n">
        <f aca="false">ExportRaw!$C150</f>
        <v>0</v>
      </c>
      <c r="C150" s="168" t="n">
        <f aca="false">ExportRaw!$G150</f>
        <v>0</v>
      </c>
      <c r="D150" s="168" t="str">
        <f aca="false">ExportRaw!$E150</f>
        <v/>
      </c>
      <c r="E150" s="169" t="str">
        <f aca="false">ExportRaw!$D150</f>
        <v/>
      </c>
      <c r="F150" s="168" t="str">
        <f aca="false">ExportRaw!$H150</f>
        <v/>
      </c>
      <c r="G150" s="170" t="str">
        <f aca="false">ExportRaw!$I150</f>
        <v/>
      </c>
      <c r="H150" s="168" t="str">
        <f aca="false">ExportRaw!$A150</f>
        <v/>
      </c>
      <c r="I150" s="168" t="str">
        <f aca="false">ExportRaw!$B150</f>
        <v/>
      </c>
    </row>
    <row r="151" customFormat="false" ht="15.75" hidden="false" customHeight="false" outlineLevel="0" collapsed="false">
      <c r="A151" s="168" t="n">
        <f aca="false">ExportRaw!$F151</f>
        <v>0</v>
      </c>
      <c r="B151" s="168" t="n">
        <f aca="false">ExportRaw!$C151</f>
        <v>0</v>
      </c>
      <c r="C151" s="168" t="n">
        <f aca="false">ExportRaw!$G151</f>
        <v>0</v>
      </c>
      <c r="D151" s="168" t="str">
        <f aca="false">ExportRaw!$E151</f>
        <v/>
      </c>
      <c r="E151" s="169" t="str">
        <f aca="false">ExportRaw!$D151</f>
        <v/>
      </c>
      <c r="F151" s="168" t="str">
        <f aca="false">ExportRaw!$H151</f>
        <v/>
      </c>
      <c r="G151" s="170" t="str">
        <f aca="false">ExportRaw!$I151</f>
        <v/>
      </c>
      <c r="H151" s="168" t="str">
        <f aca="false">ExportRaw!$A151</f>
        <v/>
      </c>
      <c r="I151" s="168" t="str">
        <f aca="false">ExportRaw!$B151</f>
        <v/>
      </c>
    </row>
    <row r="152" customFormat="false" ht="15.75" hidden="false" customHeight="false" outlineLevel="0" collapsed="false">
      <c r="A152" s="168" t="n">
        <f aca="false">ExportRaw!$F152</f>
        <v>0</v>
      </c>
      <c r="B152" s="168" t="n">
        <f aca="false">ExportRaw!$C152</f>
        <v>0</v>
      </c>
      <c r="C152" s="168" t="n">
        <f aca="false">ExportRaw!$G152</f>
        <v>0</v>
      </c>
      <c r="D152" s="168" t="str">
        <f aca="false">ExportRaw!$E152</f>
        <v/>
      </c>
      <c r="E152" s="169" t="str">
        <f aca="false">ExportRaw!$D152</f>
        <v/>
      </c>
      <c r="F152" s="168" t="str">
        <f aca="false">ExportRaw!$H152</f>
        <v/>
      </c>
      <c r="G152" s="170" t="str">
        <f aca="false">ExportRaw!$I152</f>
        <v/>
      </c>
      <c r="H152" s="168" t="str">
        <f aca="false">ExportRaw!$A152</f>
        <v/>
      </c>
      <c r="I152" s="168" t="str">
        <f aca="false">ExportRaw!$B152</f>
        <v/>
      </c>
    </row>
    <row r="153" customFormat="false" ht="15.75" hidden="false" customHeight="false" outlineLevel="0" collapsed="false">
      <c r="A153" s="168" t="n">
        <f aca="false">ExportRaw!$F153</f>
        <v>0</v>
      </c>
      <c r="B153" s="168" t="n">
        <f aca="false">ExportRaw!$C153</f>
        <v>0</v>
      </c>
      <c r="C153" s="168" t="n">
        <f aca="false">ExportRaw!$G153</f>
        <v>0</v>
      </c>
      <c r="D153" s="168" t="str">
        <f aca="false">ExportRaw!$E153</f>
        <v/>
      </c>
      <c r="E153" s="169" t="str">
        <f aca="false">ExportRaw!$D153</f>
        <v/>
      </c>
      <c r="F153" s="168" t="str">
        <f aca="false">ExportRaw!$H153</f>
        <v/>
      </c>
      <c r="G153" s="170" t="str">
        <f aca="false">ExportRaw!$I153</f>
        <v/>
      </c>
      <c r="H153" s="168" t="str">
        <f aca="false">ExportRaw!$A153</f>
        <v/>
      </c>
      <c r="I153" s="168" t="str">
        <f aca="false">ExportRaw!$B153</f>
        <v/>
      </c>
    </row>
    <row r="154" customFormat="false" ht="15.75" hidden="false" customHeight="false" outlineLevel="0" collapsed="false">
      <c r="A154" s="168" t="n">
        <f aca="false">ExportRaw!$F154</f>
        <v>0</v>
      </c>
      <c r="B154" s="168" t="n">
        <f aca="false">ExportRaw!$C154</f>
        <v>0</v>
      </c>
      <c r="C154" s="168" t="n">
        <f aca="false">ExportRaw!$G154</f>
        <v>0</v>
      </c>
      <c r="D154" s="168" t="str">
        <f aca="false">ExportRaw!$E154</f>
        <v/>
      </c>
      <c r="E154" s="169" t="str">
        <f aca="false">ExportRaw!$D154</f>
        <v/>
      </c>
      <c r="F154" s="168" t="str">
        <f aca="false">ExportRaw!$H154</f>
        <v/>
      </c>
      <c r="G154" s="170" t="str">
        <f aca="false">ExportRaw!$I154</f>
        <v/>
      </c>
      <c r="H154" s="168" t="str">
        <f aca="false">ExportRaw!$A154</f>
        <v/>
      </c>
      <c r="I154" s="168" t="str">
        <f aca="false">ExportRaw!$B154</f>
        <v/>
      </c>
    </row>
    <row r="155" customFormat="false" ht="15.75" hidden="false" customHeight="false" outlineLevel="0" collapsed="false">
      <c r="A155" s="168" t="n">
        <f aca="false">ExportRaw!$F155</f>
        <v>0</v>
      </c>
      <c r="B155" s="168" t="n">
        <f aca="false">ExportRaw!$C155</f>
        <v>0</v>
      </c>
      <c r="C155" s="168" t="n">
        <f aca="false">ExportRaw!$G155</f>
        <v>0</v>
      </c>
      <c r="D155" s="168" t="str">
        <f aca="false">ExportRaw!$E155</f>
        <v/>
      </c>
      <c r="E155" s="169" t="str">
        <f aca="false">ExportRaw!$D155</f>
        <v/>
      </c>
      <c r="F155" s="168" t="str">
        <f aca="false">ExportRaw!$H155</f>
        <v/>
      </c>
      <c r="G155" s="170" t="str">
        <f aca="false">ExportRaw!$I155</f>
        <v/>
      </c>
      <c r="H155" s="168" t="str">
        <f aca="false">ExportRaw!$A155</f>
        <v/>
      </c>
      <c r="I155" s="168" t="str">
        <f aca="false">ExportRaw!$B155</f>
        <v/>
      </c>
    </row>
    <row r="156" customFormat="false" ht="15.75" hidden="false" customHeight="false" outlineLevel="0" collapsed="false">
      <c r="A156" s="168" t="n">
        <f aca="false">ExportRaw!$F156</f>
        <v>0</v>
      </c>
      <c r="B156" s="168" t="n">
        <f aca="false">ExportRaw!$C156</f>
        <v>0</v>
      </c>
      <c r="C156" s="168" t="n">
        <f aca="false">ExportRaw!$G156</f>
        <v>0</v>
      </c>
      <c r="D156" s="168" t="str">
        <f aca="false">ExportRaw!$E156</f>
        <v/>
      </c>
      <c r="E156" s="169" t="str">
        <f aca="false">ExportRaw!$D156</f>
        <v/>
      </c>
      <c r="F156" s="168" t="str">
        <f aca="false">ExportRaw!$H156</f>
        <v/>
      </c>
      <c r="G156" s="170" t="str">
        <f aca="false">ExportRaw!$I156</f>
        <v/>
      </c>
      <c r="H156" s="168" t="str">
        <f aca="false">ExportRaw!$A156</f>
        <v/>
      </c>
      <c r="I156" s="168" t="str">
        <f aca="false">ExportRaw!$B156</f>
        <v/>
      </c>
    </row>
    <row r="157" customFormat="false" ht="15.75" hidden="false" customHeight="false" outlineLevel="0" collapsed="false">
      <c r="A157" s="168" t="n">
        <f aca="false">ExportRaw!$F157</f>
        <v>0</v>
      </c>
      <c r="B157" s="168" t="n">
        <f aca="false">ExportRaw!$C157</f>
        <v>0</v>
      </c>
      <c r="C157" s="168" t="n">
        <f aca="false">ExportRaw!$G157</f>
        <v>0</v>
      </c>
      <c r="D157" s="168" t="str">
        <f aca="false">ExportRaw!$E157</f>
        <v/>
      </c>
      <c r="E157" s="169" t="str">
        <f aca="false">ExportRaw!$D157</f>
        <v/>
      </c>
      <c r="F157" s="168" t="str">
        <f aca="false">ExportRaw!$H157</f>
        <v/>
      </c>
      <c r="G157" s="170" t="str">
        <f aca="false">ExportRaw!$I157</f>
        <v/>
      </c>
      <c r="H157" s="168" t="str">
        <f aca="false">ExportRaw!$A157</f>
        <v/>
      </c>
      <c r="I157" s="168" t="str">
        <f aca="false">ExportRaw!$B157</f>
        <v/>
      </c>
    </row>
    <row r="158" customFormat="false" ht="15.75" hidden="false" customHeight="false" outlineLevel="0" collapsed="false">
      <c r="A158" s="168" t="n">
        <f aca="false">ExportRaw!$F158</f>
        <v>0</v>
      </c>
      <c r="B158" s="168" t="n">
        <f aca="false">ExportRaw!$C158</f>
        <v>0</v>
      </c>
      <c r="C158" s="168" t="n">
        <f aca="false">ExportRaw!$G158</f>
        <v>0</v>
      </c>
      <c r="D158" s="168" t="str">
        <f aca="false">ExportRaw!$E158</f>
        <v/>
      </c>
      <c r="E158" s="169" t="str">
        <f aca="false">ExportRaw!$D158</f>
        <v/>
      </c>
      <c r="F158" s="168" t="str">
        <f aca="false">ExportRaw!$H158</f>
        <v/>
      </c>
      <c r="G158" s="170" t="str">
        <f aca="false">ExportRaw!$I158</f>
        <v/>
      </c>
      <c r="H158" s="168" t="str">
        <f aca="false">ExportRaw!$A158</f>
        <v/>
      </c>
      <c r="I158" s="168" t="str">
        <f aca="false">ExportRaw!$B158</f>
        <v/>
      </c>
    </row>
    <row r="159" customFormat="false" ht="15.75" hidden="false" customHeight="false" outlineLevel="0" collapsed="false">
      <c r="A159" s="168" t="n">
        <f aca="false">ExportRaw!$F159</f>
        <v>0</v>
      </c>
      <c r="B159" s="168" t="n">
        <f aca="false">ExportRaw!$C159</f>
        <v>0</v>
      </c>
      <c r="C159" s="168" t="n">
        <f aca="false">ExportRaw!$G159</f>
        <v>0</v>
      </c>
      <c r="D159" s="168" t="str">
        <f aca="false">ExportRaw!$E159</f>
        <v/>
      </c>
      <c r="E159" s="169" t="str">
        <f aca="false">ExportRaw!$D159</f>
        <v/>
      </c>
      <c r="F159" s="168" t="str">
        <f aca="false">ExportRaw!$H159</f>
        <v/>
      </c>
      <c r="G159" s="170" t="str">
        <f aca="false">ExportRaw!$I159</f>
        <v/>
      </c>
      <c r="H159" s="168" t="str">
        <f aca="false">ExportRaw!$A159</f>
        <v/>
      </c>
      <c r="I159" s="168" t="str">
        <f aca="false">ExportRaw!$B159</f>
        <v/>
      </c>
    </row>
    <row r="160" customFormat="false" ht="15.75" hidden="false" customHeight="false" outlineLevel="0" collapsed="false">
      <c r="A160" s="168" t="n">
        <f aca="false">ExportRaw!$F160</f>
        <v>0</v>
      </c>
      <c r="B160" s="168" t="n">
        <f aca="false">ExportRaw!$C160</f>
        <v>0</v>
      </c>
      <c r="C160" s="168" t="n">
        <f aca="false">ExportRaw!$G160</f>
        <v>0</v>
      </c>
      <c r="D160" s="168" t="str">
        <f aca="false">ExportRaw!$E160</f>
        <v/>
      </c>
      <c r="E160" s="169" t="str">
        <f aca="false">ExportRaw!$D160</f>
        <v/>
      </c>
      <c r="F160" s="168" t="str">
        <f aca="false">ExportRaw!$H160</f>
        <v/>
      </c>
      <c r="G160" s="170" t="str">
        <f aca="false">ExportRaw!$I160</f>
        <v/>
      </c>
      <c r="H160" s="168" t="str">
        <f aca="false">ExportRaw!$A160</f>
        <v/>
      </c>
      <c r="I160" s="168" t="str">
        <f aca="false">ExportRaw!$B160</f>
        <v/>
      </c>
    </row>
    <row r="161" customFormat="false" ht="15.75" hidden="false" customHeight="false" outlineLevel="0" collapsed="false">
      <c r="A161" s="168" t="n">
        <f aca="false">ExportRaw!$F161</f>
        <v>0</v>
      </c>
      <c r="B161" s="168" t="n">
        <f aca="false">ExportRaw!$C161</f>
        <v>0</v>
      </c>
      <c r="C161" s="168" t="n">
        <f aca="false">ExportRaw!$G161</f>
        <v>0</v>
      </c>
      <c r="D161" s="168" t="str">
        <f aca="false">ExportRaw!$E161</f>
        <v/>
      </c>
      <c r="E161" s="169" t="str">
        <f aca="false">ExportRaw!$D161</f>
        <v/>
      </c>
      <c r="F161" s="168" t="str">
        <f aca="false">ExportRaw!$H161</f>
        <v/>
      </c>
      <c r="G161" s="170" t="str">
        <f aca="false">ExportRaw!$I161</f>
        <v/>
      </c>
      <c r="H161" s="168" t="str">
        <f aca="false">ExportRaw!$A161</f>
        <v/>
      </c>
      <c r="I161" s="168" t="str">
        <f aca="false">ExportRaw!$B161</f>
        <v/>
      </c>
    </row>
    <row r="162" customFormat="false" ht="15.75" hidden="false" customHeight="false" outlineLevel="0" collapsed="false">
      <c r="A162" s="168" t="n">
        <f aca="false">ExportRaw!$F162</f>
        <v>0</v>
      </c>
      <c r="B162" s="168" t="n">
        <f aca="false">ExportRaw!$C162</f>
        <v>0</v>
      </c>
      <c r="C162" s="168" t="n">
        <f aca="false">ExportRaw!$G162</f>
        <v>0</v>
      </c>
      <c r="D162" s="168" t="str">
        <f aca="false">ExportRaw!$E162</f>
        <v/>
      </c>
      <c r="E162" s="169" t="str">
        <f aca="false">ExportRaw!$D162</f>
        <v/>
      </c>
      <c r="F162" s="168" t="str">
        <f aca="false">ExportRaw!$H162</f>
        <v/>
      </c>
      <c r="G162" s="170" t="str">
        <f aca="false">ExportRaw!$I162</f>
        <v/>
      </c>
      <c r="H162" s="168" t="str">
        <f aca="false">ExportRaw!$A162</f>
        <v/>
      </c>
      <c r="I162" s="168" t="str">
        <f aca="false">ExportRaw!$B162</f>
        <v/>
      </c>
    </row>
    <row r="163" customFormat="false" ht="15.75" hidden="false" customHeight="false" outlineLevel="0" collapsed="false">
      <c r="A163" s="168" t="n">
        <f aca="false">ExportRaw!$F163</f>
        <v>0</v>
      </c>
      <c r="B163" s="168" t="n">
        <f aca="false">ExportRaw!$C163</f>
        <v>0</v>
      </c>
      <c r="C163" s="168" t="n">
        <f aca="false">ExportRaw!$G163</f>
        <v>0</v>
      </c>
      <c r="D163" s="168" t="str">
        <f aca="false">ExportRaw!$E163</f>
        <v/>
      </c>
      <c r="E163" s="169" t="str">
        <f aca="false">ExportRaw!$D163</f>
        <v/>
      </c>
      <c r="F163" s="168" t="str">
        <f aca="false">ExportRaw!$H163</f>
        <v/>
      </c>
      <c r="G163" s="170" t="str">
        <f aca="false">ExportRaw!$I163</f>
        <v/>
      </c>
      <c r="H163" s="168" t="str">
        <f aca="false">ExportRaw!$A163</f>
        <v/>
      </c>
      <c r="I163" s="168" t="str">
        <f aca="false">ExportRaw!$B163</f>
        <v/>
      </c>
    </row>
    <row r="164" customFormat="false" ht="15.75" hidden="false" customHeight="false" outlineLevel="0" collapsed="false">
      <c r="A164" s="168" t="n">
        <f aca="false">ExportRaw!$F164</f>
        <v>0</v>
      </c>
      <c r="B164" s="168" t="n">
        <f aca="false">ExportRaw!$C164</f>
        <v>0</v>
      </c>
      <c r="C164" s="168" t="n">
        <f aca="false">ExportRaw!$G164</f>
        <v>0</v>
      </c>
      <c r="D164" s="168" t="str">
        <f aca="false">ExportRaw!$E164</f>
        <v/>
      </c>
      <c r="E164" s="169" t="str">
        <f aca="false">ExportRaw!$D164</f>
        <v/>
      </c>
      <c r="F164" s="168" t="str">
        <f aca="false">ExportRaw!$H164</f>
        <v/>
      </c>
      <c r="G164" s="170" t="str">
        <f aca="false">ExportRaw!$I164</f>
        <v/>
      </c>
      <c r="H164" s="168" t="str">
        <f aca="false">ExportRaw!$A164</f>
        <v/>
      </c>
      <c r="I164" s="168" t="str">
        <f aca="false">ExportRaw!$B164</f>
        <v/>
      </c>
    </row>
    <row r="165" customFormat="false" ht="15.75" hidden="false" customHeight="false" outlineLevel="0" collapsed="false">
      <c r="A165" s="168" t="n">
        <f aca="false">ExportRaw!$F165</f>
        <v>0</v>
      </c>
      <c r="B165" s="168" t="n">
        <f aca="false">ExportRaw!$C165</f>
        <v>0</v>
      </c>
      <c r="C165" s="168" t="n">
        <f aca="false">ExportRaw!$G165</f>
        <v>0</v>
      </c>
      <c r="D165" s="168" t="str">
        <f aca="false">ExportRaw!$E165</f>
        <v/>
      </c>
      <c r="E165" s="169" t="str">
        <f aca="false">ExportRaw!$D165</f>
        <v/>
      </c>
      <c r="F165" s="168" t="str">
        <f aca="false">ExportRaw!$H165</f>
        <v/>
      </c>
      <c r="G165" s="170" t="str">
        <f aca="false">ExportRaw!$I165</f>
        <v/>
      </c>
      <c r="H165" s="168" t="str">
        <f aca="false">ExportRaw!$A165</f>
        <v/>
      </c>
      <c r="I165" s="168" t="str">
        <f aca="false">ExportRaw!$B165</f>
        <v/>
      </c>
    </row>
    <row r="166" customFormat="false" ht="15.75" hidden="false" customHeight="false" outlineLevel="0" collapsed="false">
      <c r="A166" s="168" t="n">
        <f aca="false">ExportRaw!$F166</f>
        <v>0</v>
      </c>
      <c r="B166" s="168" t="n">
        <f aca="false">ExportRaw!$C166</f>
        <v>0</v>
      </c>
      <c r="C166" s="168" t="n">
        <f aca="false">ExportRaw!$G166</f>
        <v>0</v>
      </c>
      <c r="D166" s="168" t="str">
        <f aca="false">ExportRaw!$E166</f>
        <v/>
      </c>
      <c r="E166" s="169" t="str">
        <f aca="false">ExportRaw!$D166</f>
        <v/>
      </c>
      <c r="F166" s="168" t="str">
        <f aca="false">ExportRaw!$H166</f>
        <v/>
      </c>
      <c r="G166" s="170" t="str">
        <f aca="false">ExportRaw!$I166</f>
        <v/>
      </c>
      <c r="H166" s="168" t="str">
        <f aca="false">ExportRaw!$A166</f>
        <v/>
      </c>
      <c r="I166" s="168" t="str">
        <f aca="false">ExportRaw!$B166</f>
        <v/>
      </c>
    </row>
    <row r="167" customFormat="false" ht="15.75" hidden="false" customHeight="false" outlineLevel="0" collapsed="false">
      <c r="A167" s="168" t="n">
        <f aca="false">ExportRaw!$F167</f>
        <v>0</v>
      </c>
      <c r="B167" s="168" t="n">
        <f aca="false">ExportRaw!$C167</f>
        <v>0</v>
      </c>
      <c r="C167" s="168" t="n">
        <f aca="false">ExportRaw!$G167</f>
        <v>0</v>
      </c>
      <c r="D167" s="168" t="str">
        <f aca="false">ExportRaw!$E167</f>
        <v/>
      </c>
      <c r="E167" s="169" t="str">
        <f aca="false">ExportRaw!$D167</f>
        <v/>
      </c>
      <c r="F167" s="168" t="str">
        <f aca="false">ExportRaw!$H167</f>
        <v/>
      </c>
      <c r="G167" s="170" t="str">
        <f aca="false">ExportRaw!$I167</f>
        <v/>
      </c>
      <c r="H167" s="168" t="str">
        <f aca="false">ExportRaw!$A167</f>
        <v/>
      </c>
      <c r="I167" s="168" t="str">
        <f aca="false">ExportRaw!$B167</f>
        <v/>
      </c>
    </row>
    <row r="168" customFormat="false" ht="15.75" hidden="false" customHeight="false" outlineLevel="0" collapsed="false">
      <c r="A168" s="168" t="n">
        <f aca="false">ExportRaw!$F168</f>
        <v>0</v>
      </c>
      <c r="B168" s="168" t="n">
        <f aca="false">ExportRaw!$C168</f>
        <v>0</v>
      </c>
      <c r="C168" s="168" t="n">
        <f aca="false">ExportRaw!$G168</f>
        <v>0</v>
      </c>
      <c r="D168" s="168" t="str">
        <f aca="false">ExportRaw!$E168</f>
        <v/>
      </c>
      <c r="E168" s="169" t="str">
        <f aca="false">ExportRaw!$D168</f>
        <v/>
      </c>
      <c r="F168" s="168" t="str">
        <f aca="false">ExportRaw!$H168</f>
        <v/>
      </c>
      <c r="G168" s="170" t="str">
        <f aca="false">ExportRaw!$I168</f>
        <v/>
      </c>
      <c r="H168" s="168" t="str">
        <f aca="false">ExportRaw!$A168</f>
        <v/>
      </c>
      <c r="I168" s="168" t="str">
        <f aca="false">ExportRaw!$B168</f>
        <v/>
      </c>
    </row>
    <row r="169" customFormat="false" ht="15.75" hidden="false" customHeight="false" outlineLevel="0" collapsed="false">
      <c r="A169" s="168" t="n">
        <f aca="false">ExportRaw!$F169</f>
        <v>0</v>
      </c>
      <c r="B169" s="168" t="n">
        <f aca="false">ExportRaw!$C169</f>
        <v>0</v>
      </c>
      <c r="C169" s="168" t="n">
        <f aca="false">ExportRaw!$G169</f>
        <v>0</v>
      </c>
      <c r="D169" s="168" t="str">
        <f aca="false">ExportRaw!$E169</f>
        <v/>
      </c>
      <c r="E169" s="169" t="str">
        <f aca="false">ExportRaw!$D169</f>
        <v/>
      </c>
      <c r="F169" s="168" t="str">
        <f aca="false">ExportRaw!$H169</f>
        <v/>
      </c>
      <c r="G169" s="170" t="str">
        <f aca="false">ExportRaw!$I169</f>
        <v/>
      </c>
      <c r="H169" s="168" t="str">
        <f aca="false">ExportRaw!$A169</f>
        <v/>
      </c>
      <c r="I169" s="168" t="str">
        <f aca="false">ExportRaw!$B169</f>
        <v/>
      </c>
    </row>
    <row r="170" customFormat="false" ht="15.75" hidden="false" customHeight="false" outlineLevel="0" collapsed="false">
      <c r="A170" s="168" t="n">
        <f aca="false">ExportRaw!$F170</f>
        <v>0</v>
      </c>
      <c r="B170" s="168" t="n">
        <f aca="false">ExportRaw!$C170</f>
        <v>0</v>
      </c>
      <c r="C170" s="168" t="n">
        <f aca="false">ExportRaw!$G170</f>
        <v>0</v>
      </c>
      <c r="D170" s="168" t="str">
        <f aca="false">ExportRaw!$E170</f>
        <v/>
      </c>
      <c r="E170" s="169" t="str">
        <f aca="false">ExportRaw!$D170</f>
        <v/>
      </c>
      <c r="F170" s="168" t="str">
        <f aca="false">ExportRaw!$H170</f>
        <v/>
      </c>
      <c r="G170" s="170" t="str">
        <f aca="false">ExportRaw!$I170</f>
        <v/>
      </c>
      <c r="H170" s="168" t="str">
        <f aca="false">ExportRaw!$A170</f>
        <v/>
      </c>
      <c r="I170" s="168" t="str">
        <f aca="false">ExportRaw!$B170</f>
        <v/>
      </c>
    </row>
    <row r="171" customFormat="false" ht="15.75" hidden="false" customHeight="false" outlineLevel="0" collapsed="false">
      <c r="A171" s="168" t="n">
        <f aca="false">ExportRaw!$F171</f>
        <v>0</v>
      </c>
      <c r="B171" s="168" t="n">
        <f aca="false">ExportRaw!$C171</f>
        <v>0</v>
      </c>
      <c r="C171" s="168" t="n">
        <f aca="false">ExportRaw!$G171</f>
        <v>0</v>
      </c>
      <c r="D171" s="168" t="str">
        <f aca="false">ExportRaw!$E171</f>
        <v/>
      </c>
      <c r="E171" s="169" t="str">
        <f aca="false">ExportRaw!$D171</f>
        <v/>
      </c>
      <c r="F171" s="168" t="str">
        <f aca="false">ExportRaw!$H171</f>
        <v/>
      </c>
      <c r="G171" s="170" t="str">
        <f aca="false">ExportRaw!$I171</f>
        <v/>
      </c>
      <c r="H171" s="168" t="str">
        <f aca="false">ExportRaw!$A171</f>
        <v/>
      </c>
      <c r="I171" s="168" t="str">
        <f aca="false">ExportRaw!$B171</f>
        <v/>
      </c>
    </row>
    <row r="172" customFormat="false" ht="15.75" hidden="false" customHeight="false" outlineLevel="0" collapsed="false">
      <c r="A172" s="168" t="n">
        <f aca="false">ExportRaw!$F172</f>
        <v>0</v>
      </c>
      <c r="B172" s="168" t="n">
        <f aca="false">ExportRaw!$C172</f>
        <v>0</v>
      </c>
      <c r="C172" s="168" t="n">
        <f aca="false">ExportRaw!$G172</f>
        <v>0</v>
      </c>
      <c r="D172" s="168" t="str">
        <f aca="false">ExportRaw!$E172</f>
        <v/>
      </c>
      <c r="E172" s="169" t="str">
        <f aca="false">ExportRaw!$D172</f>
        <v/>
      </c>
      <c r="F172" s="168" t="str">
        <f aca="false">ExportRaw!$H172</f>
        <v/>
      </c>
      <c r="G172" s="170" t="str">
        <f aca="false">ExportRaw!$I172</f>
        <v/>
      </c>
      <c r="H172" s="168" t="str">
        <f aca="false">ExportRaw!$A172</f>
        <v/>
      </c>
      <c r="I172" s="168" t="str">
        <f aca="false">ExportRaw!$B172</f>
        <v/>
      </c>
    </row>
    <row r="173" customFormat="false" ht="15.75" hidden="false" customHeight="false" outlineLevel="0" collapsed="false">
      <c r="A173" s="168" t="n">
        <f aca="false">ExportRaw!$F173</f>
        <v>0</v>
      </c>
      <c r="B173" s="168" t="n">
        <f aca="false">ExportRaw!$C173</f>
        <v>0</v>
      </c>
      <c r="C173" s="168" t="n">
        <f aca="false">ExportRaw!$G173</f>
        <v>0</v>
      </c>
      <c r="D173" s="168" t="str">
        <f aca="false">ExportRaw!$E173</f>
        <v/>
      </c>
      <c r="E173" s="169" t="str">
        <f aca="false">ExportRaw!$D173</f>
        <v/>
      </c>
      <c r="F173" s="168" t="str">
        <f aca="false">ExportRaw!$H173</f>
        <v/>
      </c>
      <c r="G173" s="170" t="str">
        <f aca="false">ExportRaw!$I173</f>
        <v/>
      </c>
      <c r="H173" s="168" t="str">
        <f aca="false">ExportRaw!$A173</f>
        <v/>
      </c>
      <c r="I173" s="168" t="str">
        <f aca="false">ExportRaw!$B173</f>
        <v/>
      </c>
    </row>
    <row r="174" customFormat="false" ht="15.75" hidden="false" customHeight="false" outlineLevel="0" collapsed="false">
      <c r="A174" s="168" t="n">
        <f aca="false">ExportRaw!$F174</f>
        <v>0</v>
      </c>
      <c r="B174" s="168" t="n">
        <f aca="false">ExportRaw!$C174</f>
        <v>0</v>
      </c>
      <c r="C174" s="168" t="n">
        <f aca="false">ExportRaw!$G174</f>
        <v>0</v>
      </c>
      <c r="D174" s="168" t="str">
        <f aca="false">ExportRaw!$E174</f>
        <v/>
      </c>
      <c r="E174" s="169" t="str">
        <f aca="false">ExportRaw!$D174</f>
        <v/>
      </c>
      <c r="F174" s="168" t="str">
        <f aca="false">ExportRaw!$H174</f>
        <v/>
      </c>
      <c r="G174" s="170" t="str">
        <f aca="false">ExportRaw!$I174</f>
        <v/>
      </c>
      <c r="H174" s="168" t="str">
        <f aca="false">ExportRaw!$A174</f>
        <v/>
      </c>
      <c r="I174" s="168" t="str">
        <f aca="false">ExportRaw!$B174</f>
        <v/>
      </c>
    </row>
    <row r="175" customFormat="false" ht="15.75" hidden="false" customHeight="false" outlineLevel="0" collapsed="false">
      <c r="A175" s="168" t="n">
        <f aca="false">ExportRaw!$F175</f>
        <v>0</v>
      </c>
      <c r="B175" s="168" t="n">
        <f aca="false">ExportRaw!$C175</f>
        <v>0</v>
      </c>
      <c r="C175" s="168" t="n">
        <f aca="false">ExportRaw!$G175</f>
        <v>0</v>
      </c>
      <c r="D175" s="168" t="str">
        <f aca="false">ExportRaw!$E175</f>
        <v/>
      </c>
      <c r="E175" s="169" t="str">
        <f aca="false">ExportRaw!$D175</f>
        <v/>
      </c>
      <c r="F175" s="168" t="str">
        <f aca="false">ExportRaw!$H175</f>
        <v/>
      </c>
      <c r="G175" s="170" t="str">
        <f aca="false">ExportRaw!$I175</f>
        <v/>
      </c>
      <c r="H175" s="168" t="str">
        <f aca="false">ExportRaw!$A175</f>
        <v/>
      </c>
      <c r="I175" s="168" t="str">
        <f aca="false">ExportRaw!$B175</f>
        <v/>
      </c>
    </row>
    <row r="176" customFormat="false" ht="15.75" hidden="false" customHeight="false" outlineLevel="0" collapsed="false">
      <c r="A176" s="168" t="n">
        <f aca="false">ExportRaw!$F176</f>
        <v>0</v>
      </c>
      <c r="B176" s="168" t="n">
        <f aca="false">ExportRaw!$C176</f>
        <v>0</v>
      </c>
      <c r="C176" s="168" t="n">
        <f aca="false">ExportRaw!$G176</f>
        <v>0</v>
      </c>
      <c r="D176" s="168" t="str">
        <f aca="false">ExportRaw!$E176</f>
        <v/>
      </c>
      <c r="E176" s="169" t="str">
        <f aca="false">ExportRaw!$D176</f>
        <v/>
      </c>
      <c r="F176" s="168" t="str">
        <f aca="false">ExportRaw!$H176</f>
        <v/>
      </c>
      <c r="G176" s="170" t="str">
        <f aca="false">ExportRaw!$I176</f>
        <v/>
      </c>
      <c r="H176" s="168" t="str">
        <f aca="false">ExportRaw!$A176</f>
        <v/>
      </c>
      <c r="I176" s="168" t="str">
        <f aca="false">ExportRaw!$B176</f>
        <v/>
      </c>
    </row>
    <row r="177" customFormat="false" ht="15.75" hidden="false" customHeight="false" outlineLevel="0" collapsed="false">
      <c r="A177" s="168" t="n">
        <f aca="false">ExportRaw!$F177</f>
        <v>0</v>
      </c>
      <c r="B177" s="168" t="n">
        <f aca="false">ExportRaw!$C177</f>
        <v>0</v>
      </c>
      <c r="C177" s="168" t="n">
        <f aca="false">ExportRaw!$G177</f>
        <v>0</v>
      </c>
      <c r="D177" s="168" t="str">
        <f aca="false">ExportRaw!$E177</f>
        <v/>
      </c>
      <c r="E177" s="169" t="str">
        <f aca="false">ExportRaw!$D177</f>
        <v/>
      </c>
      <c r="F177" s="168" t="str">
        <f aca="false">ExportRaw!$H177</f>
        <v/>
      </c>
      <c r="G177" s="170" t="str">
        <f aca="false">ExportRaw!$I177</f>
        <v/>
      </c>
      <c r="H177" s="168" t="str">
        <f aca="false">ExportRaw!$A177</f>
        <v/>
      </c>
      <c r="I177" s="168" t="str">
        <f aca="false">ExportRaw!$B177</f>
        <v/>
      </c>
    </row>
    <row r="178" customFormat="false" ht="15.75" hidden="false" customHeight="false" outlineLevel="0" collapsed="false">
      <c r="A178" s="168" t="n">
        <f aca="false">ExportRaw!$F178</f>
        <v>0</v>
      </c>
      <c r="B178" s="168" t="n">
        <f aca="false">ExportRaw!$C178</f>
        <v>0</v>
      </c>
      <c r="C178" s="168" t="n">
        <f aca="false">ExportRaw!$G178</f>
        <v>0</v>
      </c>
      <c r="D178" s="168" t="str">
        <f aca="false">ExportRaw!$E178</f>
        <v/>
      </c>
      <c r="E178" s="169" t="str">
        <f aca="false">ExportRaw!$D178</f>
        <v/>
      </c>
      <c r="F178" s="168" t="str">
        <f aca="false">ExportRaw!$H178</f>
        <v/>
      </c>
      <c r="G178" s="170" t="str">
        <f aca="false">ExportRaw!$I178</f>
        <v/>
      </c>
      <c r="H178" s="168" t="str">
        <f aca="false">ExportRaw!$A178</f>
        <v/>
      </c>
      <c r="I178" s="168" t="str">
        <f aca="false">ExportRaw!$B178</f>
        <v/>
      </c>
    </row>
    <row r="179" customFormat="false" ht="15.75" hidden="false" customHeight="false" outlineLevel="0" collapsed="false">
      <c r="A179" s="168" t="n">
        <f aca="false">ExportRaw!$F179</f>
        <v>0</v>
      </c>
      <c r="B179" s="168" t="n">
        <f aca="false">ExportRaw!$C179</f>
        <v>0</v>
      </c>
      <c r="C179" s="168" t="n">
        <f aca="false">ExportRaw!$G179</f>
        <v>0</v>
      </c>
      <c r="D179" s="168" t="str">
        <f aca="false">ExportRaw!$E179</f>
        <v/>
      </c>
      <c r="E179" s="169" t="str">
        <f aca="false">ExportRaw!$D179</f>
        <v/>
      </c>
      <c r="F179" s="168" t="str">
        <f aca="false">ExportRaw!$H179</f>
        <v/>
      </c>
      <c r="G179" s="170" t="str">
        <f aca="false">ExportRaw!$I179</f>
        <v/>
      </c>
      <c r="H179" s="168" t="str">
        <f aca="false">ExportRaw!$A179</f>
        <v/>
      </c>
      <c r="I179" s="168" t="str">
        <f aca="false">ExportRaw!$B179</f>
        <v/>
      </c>
    </row>
    <row r="180" customFormat="false" ht="15.75" hidden="false" customHeight="false" outlineLevel="0" collapsed="false">
      <c r="A180" s="168" t="n">
        <f aca="false">ExportRaw!$F180</f>
        <v>0</v>
      </c>
      <c r="B180" s="168" t="n">
        <f aca="false">ExportRaw!$C180</f>
        <v>0</v>
      </c>
      <c r="C180" s="168" t="n">
        <f aca="false">ExportRaw!$G180</f>
        <v>0</v>
      </c>
      <c r="D180" s="168" t="str">
        <f aca="false">ExportRaw!$E180</f>
        <v/>
      </c>
      <c r="E180" s="169" t="str">
        <f aca="false">ExportRaw!$D180</f>
        <v/>
      </c>
      <c r="F180" s="168" t="str">
        <f aca="false">ExportRaw!$H180</f>
        <v/>
      </c>
      <c r="G180" s="170" t="str">
        <f aca="false">ExportRaw!$I180</f>
        <v/>
      </c>
      <c r="H180" s="168" t="str">
        <f aca="false">ExportRaw!$A180</f>
        <v/>
      </c>
      <c r="I180" s="168" t="str">
        <f aca="false">ExportRaw!$B180</f>
        <v/>
      </c>
    </row>
    <row r="181" customFormat="false" ht="15.75" hidden="false" customHeight="false" outlineLevel="0" collapsed="false">
      <c r="A181" s="168" t="n">
        <f aca="false">ExportRaw!$F181</f>
        <v>0</v>
      </c>
      <c r="B181" s="168" t="n">
        <f aca="false">ExportRaw!$C181</f>
        <v>0</v>
      </c>
      <c r="C181" s="168" t="n">
        <f aca="false">ExportRaw!$G181</f>
        <v>0</v>
      </c>
      <c r="D181" s="168" t="str">
        <f aca="false">ExportRaw!$E181</f>
        <v/>
      </c>
      <c r="E181" s="169" t="str">
        <f aca="false">ExportRaw!$D181</f>
        <v/>
      </c>
      <c r="F181" s="168" t="str">
        <f aca="false">ExportRaw!$H181</f>
        <v/>
      </c>
      <c r="G181" s="170" t="str">
        <f aca="false">ExportRaw!$I181</f>
        <v/>
      </c>
      <c r="H181" s="168" t="str">
        <f aca="false">ExportRaw!$A181</f>
        <v/>
      </c>
      <c r="I181" s="168" t="str">
        <f aca="false">ExportRaw!$B181</f>
        <v/>
      </c>
    </row>
    <row r="182" customFormat="false" ht="15.75" hidden="false" customHeight="false" outlineLevel="0" collapsed="false">
      <c r="A182" s="168" t="n">
        <f aca="false">ExportRaw!$F182</f>
        <v>0</v>
      </c>
      <c r="B182" s="168" t="n">
        <f aca="false">ExportRaw!$C182</f>
        <v>0</v>
      </c>
      <c r="C182" s="168" t="n">
        <f aca="false">ExportRaw!$G182</f>
        <v>0</v>
      </c>
      <c r="D182" s="168" t="str">
        <f aca="false">ExportRaw!$E182</f>
        <v/>
      </c>
      <c r="E182" s="169" t="str">
        <f aca="false">ExportRaw!$D182</f>
        <v/>
      </c>
      <c r="F182" s="168" t="str">
        <f aca="false">ExportRaw!$H182</f>
        <v/>
      </c>
      <c r="G182" s="170" t="str">
        <f aca="false">ExportRaw!$I182</f>
        <v/>
      </c>
      <c r="H182" s="168" t="str">
        <f aca="false">ExportRaw!$A182</f>
        <v/>
      </c>
      <c r="I182" s="168" t="str">
        <f aca="false">ExportRaw!$B182</f>
        <v/>
      </c>
    </row>
    <row r="183" customFormat="false" ht="15.75" hidden="false" customHeight="false" outlineLevel="0" collapsed="false">
      <c r="A183" s="168" t="n">
        <f aca="false">ExportRaw!$F183</f>
        <v>0</v>
      </c>
      <c r="B183" s="168" t="n">
        <f aca="false">ExportRaw!$C183</f>
        <v>0</v>
      </c>
      <c r="C183" s="168" t="n">
        <f aca="false">ExportRaw!$G183</f>
        <v>0</v>
      </c>
      <c r="D183" s="168" t="str">
        <f aca="false">ExportRaw!$E183</f>
        <v/>
      </c>
      <c r="E183" s="169" t="str">
        <f aca="false">ExportRaw!$D183</f>
        <v/>
      </c>
      <c r="F183" s="168" t="str">
        <f aca="false">ExportRaw!$H183</f>
        <v/>
      </c>
      <c r="G183" s="170" t="str">
        <f aca="false">ExportRaw!$I183</f>
        <v/>
      </c>
      <c r="H183" s="168" t="str">
        <f aca="false">ExportRaw!$A183</f>
        <v/>
      </c>
      <c r="I183" s="168" t="str">
        <f aca="false">ExportRaw!$B183</f>
        <v/>
      </c>
    </row>
    <row r="184" customFormat="false" ht="15.75" hidden="false" customHeight="false" outlineLevel="0" collapsed="false">
      <c r="A184" s="168" t="n">
        <f aca="false">ExportRaw!$F184</f>
        <v>0</v>
      </c>
      <c r="B184" s="168" t="n">
        <f aca="false">ExportRaw!$C184</f>
        <v>0</v>
      </c>
      <c r="C184" s="168" t="n">
        <f aca="false">ExportRaw!$G184</f>
        <v>0</v>
      </c>
      <c r="D184" s="168" t="str">
        <f aca="false">ExportRaw!$E184</f>
        <v/>
      </c>
      <c r="E184" s="169" t="str">
        <f aca="false">ExportRaw!$D184</f>
        <v/>
      </c>
      <c r="F184" s="168" t="str">
        <f aca="false">ExportRaw!$H184</f>
        <v/>
      </c>
      <c r="G184" s="170" t="str">
        <f aca="false">ExportRaw!$I184</f>
        <v/>
      </c>
      <c r="H184" s="168" t="str">
        <f aca="false">ExportRaw!$A184</f>
        <v/>
      </c>
      <c r="I184" s="168" t="str">
        <f aca="false">ExportRaw!$B184</f>
        <v/>
      </c>
    </row>
    <row r="185" customFormat="false" ht="15.75" hidden="false" customHeight="false" outlineLevel="0" collapsed="false">
      <c r="A185" s="168" t="n">
        <f aca="false">ExportRaw!$F185</f>
        <v>0</v>
      </c>
      <c r="B185" s="168" t="n">
        <f aca="false">ExportRaw!$C185</f>
        <v>0</v>
      </c>
      <c r="C185" s="168" t="n">
        <f aca="false">ExportRaw!$G185</f>
        <v>0</v>
      </c>
      <c r="D185" s="168" t="str">
        <f aca="false">ExportRaw!$E185</f>
        <v/>
      </c>
      <c r="E185" s="169" t="str">
        <f aca="false">ExportRaw!$D185</f>
        <v/>
      </c>
      <c r="F185" s="168" t="str">
        <f aca="false">ExportRaw!$H185</f>
        <v/>
      </c>
      <c r="G185" s="170" t="str">
        <f aca="false">ExportRaw!$I185</f>
        <v/>
      </c>
      <c r="H185" s="168" t="str">
        <f aca="false">ExportRaw!$A185</f>
        <v/>
      </c>
      <c r="I185" s="168" t="str">
        <f aca="false">ExportRaw!$B185</f>
        <v/>
      </c>
    </row>
    <row r="186" customFormat="false" ht="15.75" hidden="false" customHeight="false" outlineLevel="0" collapsed="false">
      <c r="A186" s="168" t="n">
        <f aca="false">ExportRaw!$F186</f>
        <v>0</v>
      </c>
      <c r="B186" s="168" t="n">
        <f aca="false">ExportRaw!$C186</f>
        <v>0</v>
      </c>
      <c r="C186" s="168" t="n">
        <f aca="false">ExportRaw!$G186</f>
        <v>0</v>
      </c>
      <c r="D186" s="168" t="str">
        <f aca="false">ExportRaw!$E186</f>
        <v/>
      </c>
      <c r="E186" s="169" t="str">
        <f aca="false">ExportRaw!$D186</f>
        <v/>
      </c>
      <c r="F186" s="168" t="str">
        <f aca="false">ExportRaw!$H186</f>
        <v/>
      </c>
      <c r="G186" s="170" t="str">
        <f aca="false">ExportRaw!$I186</f>
        <v/>
      </c>
      <c r="H186" s="168" t="str">
        <f aca="false">ExportRaw!$A186</f>
        <v/>
      </c>
      <c r="I186" s="168" t="str">
        <f aca="false">ExportRaw!$B186</f>
        <v/>
      </c>
    </row>
    <row r="187" customFormat="false" ht="15.75" hidden="false" customHeight="false" outlineLevel="0" collapsed="false">
      <c r="A187" s="168" t="n">
        <f aca="false">ExportRaw!$F187</f>
        <v>0</v>
      </c>
      <c r="B187" s="168" t="n">
        <f aca="false">ExportRaw!$C187</f>
        <v>0</v>
      </c>
      <c r="C187" s="168" t="n">
        <f aca="false">ExportRaw!$G187</f>
        <v>0</v>
      </c>
      <c r="D187" s="168" t="str">
        <f aca="false">ExportRaw!$E187</f>
        <v/>
      </c>
      <c r="E187" s="169" t="str">
        <f aca="false">ExportRaw!$D187</f>
        <v/>
      </c>
      <c r="F187" s="168" t="str">
        <f aca="false">ExportRaw!$H187</f>
        <v/>
      </c>
      <c r="G187" s="170" t="str">
        <f aca="false">ExportRaw!$I187</f>
        <v/>
      </c>
      <c r="H187" s="168" t="str">
        <f aca="false">ExportRaw!$A187</f>
        <v/>
      </c>
      <c r="I187" s="168" t="str">
        <f aca="false">ExportRaw!$B187</f>
        <v/>
      </c>
    </row>
    <row r="188" customFormat="false" ht="15.75" hidden="false" customHeight="false" outlineLevel="0" collapsed="false">
      <c r="A188" s="168" t="n">
        <f aca="false">ExportRaw!$F188</f>
        <v>0</v>
      </c>
      <c r="B188" s="168" t="n">
        <f aca="false">ExportRaw!$C188</f>
        <v>0</v>
      </c>
      <c r="C188" s="168" t="n">
        <f aca="false">ExportRaw!$G188</f>
        <v>0</v>
      </c>
      <c r="D188" s="168" t="str">
        <f aca="false">ExportRaw!$E188</f>
        <v/>
      </c>
      <c r="E188" s="169" t="str">
        <f aca="false">ExportRaw!$D188</f>
        <v/>
      </c>
      <c r="F188" s="168" t="str">
        <f aca="false">ExportRaw!$H188</f>
        <v/>
      </c>
      <c r="G188" s="170" t="str">
        <f aca="false">ExportRaw!$I188</f>
        <v/>
      </c>
      <c r="H188" s="168" t="str">
        <f aca="false">ExportRaw!$A188</f>
        <v/>
      </c>
      <c r="I188" s="168" t="str">
        <f aca="false">ExportRaw!$B188</f>
        <v/>
      </c>
    </row>
    <row r="189" customFormat="false" ht="15.75" hidden="false" customHeight="false" outlineLevel="0" collapsed="false">
      <c r="A189" s="168" t="n">
        <f aca="false">ExportRaw!$F189</f>
        <v>0</v>
      </c>
      <c r="B189" s="168" t="n">
        <f aca="false">ExportRaw!$C189</f>
        <v>0</v>
      </c>
      <c r="C189" s="168" t="n">
        <f aca="false">ExportRaw!$G189</f>
        <v>0</v>
      </c>
      <c r="D189" s="168" t="str">
        <f aca="false">ExportRaw!$E189</f>
        <v/>
      </c>
      <c r="E189" s="169" t="str">
        <f aca="false">ExportRaw!$D189</f>
        <v/>
      </c>
      <c r="F189" s="168" t="str">
        <f aca="false">ExportRaw!$H189</f>
        <v/>
      </c>
      <c r="G189" s="170" t="str">
        <f aca="false">ExportRaw!$I189</f>
        <v/>
      </c>
      <c r="H189" s="168" t="str">
        <f aca="false">ExportRaw!$A189</f>
        <v/>
      </c>
      <c r="I189" s="168" t="str">
        <f aca="false">ExportRaw!$B189</f>
        <v/>
      </c>
    </row>
    <row r="190" customFormat="false" ht="15.75" hidden="false" customHeight="false" outlineLevel="0" collapsed="false">
      <c r="A190" s="168" t="n">
        <f aca="false">ExportRaw!$F190</f>
        <v>0</v>
      </c>
      <c r="B190" s="168" t="n">
        <f aca="false">ExportRaw!$C190</f>
        <v>0</v>
      </c>
      <c r="C190" s="168" t="n">
        <f aca="false">ExportRaw!$G190</f>
        <v>0</v>
      </c>
      <c r="D190" s="168" t="str">
        <f aca="false">ExportRaw!$E190</f>
        <v/>
      </c>
      <c r="E190" s="169" t="str">
        <f aca="false">ExportRaw!$D190</f>
        <v/>
      </c>
      <c r="F190" s="168" t="str">
        <f aca="false">ExportRaw!$H190</f>
        <v/>
      </c>
      <c r="G190" s="170" t="str">
        <f aca="false">ExportRaw!$I190</f>
        <v/>
      </c>
      <c r="H190" s="168" t="str">
        <f aca="false">ExportRaw!$A190</f>
        <v/>
      </c>
      <c r="I190" s="168" t="str">
        <f aca="false">ExportRaw!$B190</f>
        <v/>
      </c>
    </row>
    <row r="191" customFormat="false" ht="15.75" hidden="false" customHeight="false" outlineLevel="0" collapsed="false">
      <c r="A191" s="168" t="n">
        <f aca="false">ExportRaw!$F191</f>
        <v>0</v>
      </c>
      <c r="B191" s="168" t="n">
        <f aca="false">ExportRaw!$C191</f>
        <v>0</v>
      </c>
      <c r="C191" s="168" t="n">
        <f aca="false">ExportRaw!$G191</f>
        <v>0</v>
      </c>
      <c r="D191" s="168" t="str">
        <f aca="false">ExportRaw!$E191</f>
        <v/>
      </c>
      <c r="E191" s="169" t="str">
        <f aca="false">ExportRaw!$D191</f>
        <v/>
      </c>
      <c r="F191" s="168" t="str">
        <f aca="false">ExportRaw!$H191</f>
        <v/>
      </c>
      <c r="G191" s="170" t="str">
        <f aca="false">ExportRaw!$I191</f>
        <v/>
      </c>
      <c r="H191" s="168" t="str">
        <f aca="false">ExportRaw!$A191</f>
        <v/>
      </c>
      <c r="I191" s="168" t="str">
        <f aca="false">ExportRaw!$B191</f>
        <v/>
      </c>
    </row>
    <row r="192" customFormat="false" ht="15.75" hidden="false" customHeight="false" outlineLevel="0" collapsed="false">
      <c r="A192" s="168" t="n">
        <f aca="false">ExportRaw!$F192</f>
        <v>0</v>
      </c>
      <c r="B192" s="168" t="n">
        <f aca="false">ExportRaw!$C192</f>
        <v>0</v>
      </c>
      <c r="C192" s="168" t="n">
        <f aca="false">ExportRaw!$G192</f>
        <v>0</v>
      </c>
      <c r="D192" s="168" t="str">
        <f aca="false">ExportRaw!$E192</f>
        <v/>
      </c>
      <c r="E192" s="169" t="str">
        <f aca="false">ExportRaw!$D192</f>
        <v/>
      </c>
      <c r="F192" s="168" t="str">
        <f aca="false">ExportRaw!$H192</f>
        <v/>
      </c>
      <c r="G192" s="170" t="str">
        <f aca="false">ExportRaw!$I192</f>
        <v/>
      </c>
      <c r="H192" s="168" t="str">
        <f aca="false">ExportRaw!$A192</f>
        <v/>
      </c>
      <c r="I192" s="168" t="str">
        <f aca="false">ExportRaw!$B192</f>
        <v/>
      </c>
    </row>
    <row r="193" customFormat="false" ht="15.75" hidden="false" customHeight="false" outlineLevel="0" collapsed="false">
      <c r="A193" s="168" t="n">
        <f aca="false">ExportRaw!$F193</f>
        <v>0</v>
      </c>
      <c r="B193" s="168" t="n">
        <f aca="false">ExportRaw!$C193</f>
        <v>0</v>
      </c>
      <c r="C193" s="168" t="n">
        <f aca="false">ExportRaw!$G193</f>
        <v>0</v>
      </c>
      <c r="D193" s="168" t="str">
        <f aca="false">ExportRaw!$E193</f>
        <v/>
      </c>
      <c r="E193" s="169" t="str">
        <f aca="false">ExportRaw!$D193</f>
        <v/>
      </c>
      <c r="F193" s="168" t="str">
        <f aca="false">ExportRaw!$H193</f>
        <v/>
      </c>
      <c r="G193" s="170" t="str">
        <f aca="false">ExportRaw!$I193</f>
        <v/>
      </c>
      <c r="H193" s="168" t="str">
        <f aca="false">ExportRaw!$A193</f>
        <v/>
      </c>
      <c r="I193" s="168" t="str">
        <f aca="false">ExportRaw!$B193</f>
        <v/>
      </c>
    </row>
    <row r="194" customFormat="false" ht="15.75" hidden="false" customHeight="false" outlineLevel="0" collapsed="false">
      <c r="A194" s="168" t="n">
        <f aca="false">ExportRaw!$F194</f>
        <v>0</v>
      </c>
      <c r="B194" s="168" t="n">
        <f aca="false">ExportRaw!$C194</f>
        <v>0</v>
      </c>
      <c r="C194" s="168" t="n">
        <f aca="false">ExportRaw!$G194</f>
        <v>0</v>
      </c>
      <c r="D194" s="168" t="str">
        <f aca="false">ExportRaw!$E194</f>
        <v/>
      </c>
      <c r="E194" s="169" t="str">
        <f aca="false">ExportRaw!$D194</f>
        <v/>
      </c>
      <c r="F194" s="168" t="str">
        <f aca="false">ExportRaw!$H194</f>
        <v/>
      </c>
      <c r="G194" s="170" t="str">
        <f aca="false">ExportRaw!$I194</f>
        <v/>
      </c>
      <c r="H194" s="168" t="str">
        <f aca="false">ExportRaw!$A194</f>
        <v/>
      </c>
      <c r="I194" s="168" t="str">
        <f aca="false">ExportRaw!$B194</f>
        <v/>
      </c>
    </row>
    <row r="195" customFormat="false" ht="15.75" hidden="false" customHeight="false" outlineLevel="0" collapsed="false">
      <c r="A195" s="168" t="n">
        <f aca="false">ExportRaw!$F195</f>
        <v>0</v>
      </c>
      <c r="B195" s="168" t="n">
        <f aca="false">ExportRaw!$C195</f>
        <v>0</v>
      </c>
      <c r="C195" s="168" t="n">
        <f aca="false">ExportRaw!$G195</f>
        <v>0</v>
      </c>
      <c r="D195" s="168" t="str">
        <f aca="false">ExportRaw!$E195</f>
        <v/>
      </c>
      <c r="E195" s="169" t="str">
        <f aca="false">ExportRaw!$D195</f>
        <v/>
      </c>
      <c r="F195" s="168" t="str">
        <f aca="false">ExportRaw!$H195</f>
        <v/>
      </c>
      <c r="G195" s="170" t="str">
        <f aca="false">ExportRaw!$I195</f>
        <v/>
      </c>
      <c r="H195" s="168" t="str">
        <f aca="false">ExportRaw!$A195</f>
        <v/>
      </c>
      <c r="I195" s="168" t="str">
        <f aca="false">ExportRaw!$B195</f>
        <v/>
      </c>
    </row>
    <row r="196" customFormat="false" ht="15.75" hidden="false" customHeight="false" outlineLevel="0" collapsed="false">
      <c r="A196" s="168" t="n">
        <f aca="false">ExportRaw!$F196</f>
        <v>0</v>
      </c>
      <c r="B196" s="168" t="n">
        <f aca="false">ExportRaw!$C196</f>
        <v>0</v>
      </c>
      <c r="C196" s="168" t="n">
        <f aca="false">ExportRaw!$G196</f>
        <v>0</v>
      </c>
      <c r="D196" s="168" t="str">
        <f aca="false">ExportRaw!$E196</f>
        <v/>
      </c>
      <c r="E196" s="169" t="str">
        <f aca="false">ExportRaw!$D196</f>
        <v/>
      </c>
      <c r="F196" s="168" t="str">
        <f aca="false">ExportRaw!$H196</f>
        <v/>
      </c>
      <c r="G196" s="170" t="str">
        <f aca="false">ExportRaw!$I196</f>
        <v/>
      </c>
      <c r="H196" s="168" t="str">
        <f aca="false">ExportRaw!$A196</f>
        <v/>
      </c>
      <c r="I196" s="168" t="str">
        <f aca="false">ExportRaw!$B196</f>
        <v/>
      </c>
    </row>
    <row r="197" customFormat="false" ht="15.75" hidden="false" customHeight="false" outlineLevel="0" collapsed="false">
      <c r="A197" s="168" t="n">
        <f aca="false">ExportRaw!$F197</f>
        <v>0</v>
      </c>
      <c r="B197" s="168" t="n">
        <f aca="false">ExportRaw!$C197</f>
        <v>0</v>
      </c>
      <c r="C197" s="168" t="n">
        <f aca="false">ExportRaw!$G197</f>
        <v>0</v>
      </c>
      <c r="D197" s="168" t="str">
        <f aca="false">ExportRaw!$E197</f>
        <v/>
      </c>
      <c r="E197" s="169" t="str">
        <f aca="false">ExportRaw!$D197</f>
        <v/>
      </c>
      <c r="F197" s="168" t="str">
        <f aca="false">ExportRaw!$H197</f>
        <v/>
      </c>
      <c r="G197" s="170" t="str">
        <f aca="false">ExportRaw!$I197</f>
        <v/>
      </c>
      <c r="H197" s="168" t="str">
        <f aca="false">ExportRaw!$A197</f>
        <v/>
      </c>
      <c r="I197" s="168" t="str">
        <f aca="false">ExportRaw!$B197</f>
        <v/>
      </c>
    </row>
    <row r="198" customFormat="false" ht="15.75" hidden="false" customHeight="false" outlineLevel="0" collapsed="false">
      <c r="A198" s="168" t="n">
        <f aca="false">ExportRaw!$F198</f>
        <v>0</v>
      </c>
      <c r="B198" s="168" t="n">
        <f aca="false">ExportRaw!$C198</f>
        <v>0</v>
      </c>
      <c r="C198" s="168" t="n">
        <f aca="false">ExportRaw!$G198</f>
        <v>0</v>
      </c>
      <c r="D198" s="168" t="str">
        <f aca="false">ExportRaw!$E198</f>
        <v/>
      </c>
      <c r="E198" s="169" t="str">
        <f aca="false">ExportRaw!$D198</f>
        <v/>
      </c>
      <c r="F198" s="168" t="str">
        <f aca="false">ExportRaw!$H198</f>
        <v/>
      </c>
      <c r="G198" s="170" t="str">
        <f aca="false">ExportRaw!$I198</f>
        <v/>
      </c>
      <c r="H198" s="168" t="str">
        <f aca="false">ExportRaw!$A198</f>
        <v/>
      </c>
      <c r="I198" s="168" t="str">
        <f aca="false">ExportRaw!$B198</f>
        <v/>
      </c>
    </row>
    <row r="199" customFormat="false" ht="15.75" hidden="false" customHeight="false" outlineLevel="0" collapsed="false">
      <c r="A199" s="168" t="n">
        <f aca="false">ExportRaw!$F199</f>
        <v>0</v>
      </c>
      <c r="B199" s="168" t="n">
        <f aca="false">ExportRaw!$C199</f>
        <v>0</v>
      </c>
      <c r="C199" s="168" t="n">
        <f aca="false">ExportRaw!$G199</f>
        <v>0</v>
      </c>
      <c r="D199" s="168" t="str">
        <f aca="false">ExportRaw!$E199</f>
        <v/>
      </c>
      <c r="E199" s="169" t="str">
        <f aca="false">ExportRaw!$D199</f>
        <v/>
      </c>
      <c r="F199" s="168" t="str">
        <f aca="false">ExportRaw!$H199</f>
        <v/>
      </c>
      <c r="G199" s="170" t="str">
        <f aca="false">ExportRaw!$I199</f>
        <v/>
      </c>
      <c r="H199" s="168" t="str">
        <f aca="false">ExportRaw!$A199</f>
        <v/>
      </c>
      <c r="I199" s="168" t="str">
        <f aca="false">ExportRaw!$B199</f>
        <v/>
      </c>
    </row>
    <row r="200" customFormat="false" ht="15.75" hidden="false" customHeight="false" outlineLevel="0" collapsed="false">
      <c r="A200" s="168" t="n">
        <f aca="false">ExportRaw!$F200</f>
        <v>0</v>
      </c>
      <c r="B200" s="168" t="n">
        <f aca="false">ExportRaw!$C200</f>
        <v>0</v>
      </c>
      <c r="C200" s="168" t="n">
        <f aca="false">ExportRaw!$G200</f>
        <v>0</v>
      </c>
      <c r="D200" s="168" t="str">
        <f aca="false">ExportRaw!$E200</f>
        <v/>
      </c>
      <c r="E200" s="169" t="str">
        <f aca="false">ExportRaw!$D200</f>
        <v/>
      </c>
      <c r="F200" s="168" t="str">
        <f aca="false">ExportRaw!$H200</f>
        <v/>
      </c>
      <c r="G200" s="170" t="str">
        <f aca="false">ExportRaw!$I200</f>
        <v/>
      </c>
      <c r="H200" s="168" t="str">
        <f aca="false">ExportRaw!$A200</f>
        <v/>
      </c>
      <c r="I200" s="168" t="str">
        <f aca="false">ExportRaw!$B200</f>
        <v/>
      </c>
    </row>
    <row r="201" customFormat="false" ht="15.75" hidden="false" customHeight="false" outlineLevel="0" collapsed="false">
      <c r="A201" s="168" t="n">
        <f aca="false">ExportRaw!$F201</f>
        <v>0</v>
      </c>
      <c r="B201" s="168" t="n">
        <f aca="false">ExportRaw!$C201</f>
        <v>0</v>
      </c>
      <c r="C201" s="168" t="n">
        <f aca="false">ExportRaw!$G201</f>
        <v>0</v>
      </c>
      <c r="D201" s="168" t="str">
        <f aca="false">ExportRaw!$E201</f>
        <v/>
      </c>
      <c r="E201" s="169" t="str">
        <f aca="false">ExportRaw!$D201</f>
        <v/>
      </c>
      <c r="F201" s="168" t="str">
        <f aca="false">ExportRaw!$H201</f>
        <v/>
      </c>
      <c r="G201" s="170" t="str">
        <f aca="false">ExportRaw!$I201</f>
        <v/>
      </c>
      <c r="H201" s="168" t="str">
        <f aca="false">ExportRaw!$A201</f>
        <v/>
      </c>
      <c r="I201" s="168" t="str">
        <f aca="false">ExportRaw!$B201</f>
        <v/>
      </c>
    </row>
    <row r="202" customFormat="false" ht="15.75" hidden="false" customHeight="false" outlineLevel="0" collapsed="false">
      <c r="A202" s="168" t="n">
        <f aca="false">ExportRaw!$F202</f>
        <v>0</v>
      </c>
      <c r="B202" s="168" t="n">
        <f aca="false">ExportRaw!$C202</f>
        <v>0</v>
      </c>
      <c r="C202" s="168" t="n">
        <f aca="false">ExportRaw!$G202</f>
        <v>0</v>
      </c>
      <c r="D202" s="168" t="str">
        <f aca="false">ExportRaw!$E202</f>
        <v/>
      </c>
      <c r="E202" s="169" t="str">
        <f aca="false">ExportRaw!$D202</f>
        <v/>
      </c>
      <c r="F202" s="168" t="str">
        <f aca="false">ExportRaw!$H202</f>
        <v/>
      </c>
      <c r="G202" s="170" t="str">
        <f aca="false">ExportRaw!$I202</f>
        <v/>
      </c>
      <c r="H202" s="168" t="str">
        <f aca="false">ExportRaw!$A202</f>
        <v/>
      </c>
      <c r="I202" s="168" t="str">
        <f aca="false">ExportRaw!$B202</f>
        <v/>
      </c>
    </row>
    <row r="203" customFormat="false" ht="15.75" hidden="false" customHeight="false" outlineLevel="0" collapsed="false">
      <c r="A203" s="168" t="n">
        <f aca="false">ExportRaw!$F203</f>
        <v>0</v>
      </c>
      <c r="B203" s="168" t="n">
        <f aca="false">ExportRaw!$C203</f>
        <v>0</v>
      </c>
      <c r="C203" s="168" t="n">
        <f aca="false">ExportRaw!$G203</f>
        <v>0</v>
      </c>
      <c r="D203" s="168" t="str">
        <f aca="false">ExportRaw!$E203</f>
        <v/>
      </c>
      <c r="E203" s="169" t="str">
        <f aca="false">ExportRaw!$D203</f>
        <v/>
      </c>
      <c r="F203" s="168" t="str">
        <f aca="false">ExportRaw!$H203</f>
        <v/>
      </c>
      <c r="G203" s="170" t="str">
        <f aca="false">ExportRaw!$I203</f>
        <v/>
      </c>
      <c r="H203" s="168" t="str">
        <f aca="false">ExportRaw!$A203</f>
        <v/>
      </c>
      <c r="I203" s="168" t="str">
        <f aca="false">ExportRaw!$B203</f>
        <v/>
      </c>
    </row>
    <row r="204" customFormat="false" ht="15.75" hidden="false" customHeight="false" outlineLevel="0" collapsed="false">
      <c r="A204" s="168" t="n">
        <f aca="false">ExportRaw!$F204</f>
        <v>0</v>
      </c>
      <c r="B204" s="168" t="n">
        <f aca="false">ExportRaw!$C204</f>
        <v>0</v>
      </c>
      <c r="C204" s="168" t="n">
        <f aca="false">ExportRaw!$G204</f>
        <v>0</v>
      </c>
      <c r="D204" s="168" t="str">
        <f aca="false">ExportRaw!$E204</f>
        <v/>
      </c>
      <c r="E204" s="169" t="str">
        <f aca="false">ExportRaw!$D204</f>
        <v/>
      </c>
      <c r="F204" s="168" t="str">
        <f aca="false">ExportRaw!$H204</f>
        <v/>
      </c>
      <c r="G204" s="170" t="str">
        <f aca="false">ExportRaw!$I204</f>
        <v/>
      </c>
      <c r="H204" s="168" t="str">
        <f aca="false">ExportRaw!$A204</f>
        <v/>
      </c>
      <c r="I204" s="168" t="str">
        <f aca="false">ExportRaw!$B204</f>
        <v/>
      </c>
    </row>
    <row r="205" customFormat="false" ht="15.75" hidden="false" customHeight="false" outlineLevel="0" collapsed="false">
      <c r="A205" s="168" t="n">
        <f aca="false">ExportRaw!$F205</f>
        <v>0</v>
      </c>
      <c r="B205" s="168" t="n">
        <f aca="false">ExportRaw!$C205</f>
        <v>0</v>
      </c>
      <c r="C205" s="168" t="n">
        <f aca="false">ExportRaw!$G205</f>
        <v>0</v>
      </c>
      <c r="D205" s="168" t="str">
        <f aca="false">ExportRaw!$E205</f>
        <v/>
      </c>
      <c r="E205" s="169" t="str">
        <f aca="false">ExportRaw!$D205</f>
        <v/>
      </c>
      <c r="F205" s="168" t="str">
        <f aca="false">ExportRaw!$H205</f>
        <v/>
      </c>
      <c r="G205" s="170" t="str">
        <f aca="false">ExportRaw!$I205</f>
        <v/>
      </c>
      <c r="H205" s="168" t="str">
        <f aca="false">ExportRaw!$A205</f>
        <v/>
      </c>
      <c r="I205" s="168" t="str">
        <f aca="false">ExportRaw!$B205</f>
        <v/>
      </c>
    </row>
    <row r="206" customFormat="false" ht="15.75" hidden="false" customHeight="false" outlineLevel="0" collapsed="false">
      <c r="A206" s="168" t="n">
        <f aca="false">ExportRaw!$F206</f>
        <v>0</v>
      </c>
      <c r="B206" s="168" t="n">
        <f aca="false">ExportRaw!$C206</f>
        <v>0</v>
      </c>
      <c r="C206" s="168" t="n">
        <f aca="false">ExportRaw!$G206</f>
        <v>0</v>
      </c>
      <c r="D206" s="168" t="str">
        <f aca="false">ExportRaw!$E206</f>
        <v/>
      </c>
      <c r="E206" s="169" t="str">
        <f aca="false">ExportRaw!$D206</f>
        <v/>
      </c>
      <c r="F206" s="168" t="str">
        <f aca="false">ExportRaw!$H206</f>
        <v/>
      </c>
      <c r="G206" s="170" t="str">
        <f aca="false">ExportRaw!$I206</f>
        <v/>
      </c>
      <c r="H206" s="168" t="str">
        <f aca="false">ExportRaw!$A206</f>
        <v/>
      </c>
      <c r="I206" s="168" t="str">
        <f aca="false">ExportRaw!$B206</f>
        <v/>
      </c>
    </row>
    <row r="207" customFormat="false" ht="15.75" hidden="false" customHeight="false" outlineLevel="0" collapsed="false">
      <c r="A207" s="168" t="n">
        <f aca="false">ExportRaw!$F207</f>
        <v>0</v>
      </c>
      <c r="B207" s="168" t="n">
        <f aca="false">ExportRaw!$C207</f>
        <v>0</v>
      </c>
      <c r="C207" s="168" t="n">
        <f aca="false">ExportRaw!$G207</f>
        <v>0</v>
      </c>
      <c r="D207" s="168" t="str">
        <f aca="false">ExportRaw!$E207</f>
        <v/>
      </c>
      <c r="E207" s="169" t="str">
        <f aca="false">ExportRaw!$D207</f>
        <v/>
      </c>
      <c r="F207" s="168" t="str">
        <f aca="false">ExportRaw!$H207</f>
        <v/>
      </c>
      <c r="G207" s="170" t="str">
        <f aca="false">ExportRaw!$I207</f>
        <v/>
      </c>
      <c r="H207" s="168" t="str">
        <f aca="false">ExportRaw!$A207</f>
        <v/>
      </c>
      <c r="I207" s="168" t="str">
        <f aca="false">ExportRaw!$B207</f>
        <v/>
      </c>
    </row>
    <row r="208" customFormat="false" ht="15.75" hidden="false" customHeight="false" outlineLevel="0" collapsed="false">
      <c r="A208" s="168" t="n">
        <f aca="false">ExportRaw!$F208</f>
        <v>0</v>
      </c>
      <c r="B208" s="168" t="n">
        <f aca="false">ExportRaw!$C208</f>
        <v>0</v>
      </c>
      <c r="C208" s="168" t="n">
        <f aca="false">ExportRaw!$G208</f>
        <v>0</v>
      </c>
      <c r="D208" s="168" t="str">
        <f aca="false">ExportRaw!$E208</f>
        <v/>
      </c>
      <c r="E208" s="169" t="str">
        <f aca="false">ExportRaw!$D208</f>
        <v/>
      </c>
      <c r="F208" s="168" t="str">
        <f aca="false">ExportRaw!$H208</f>
        <v/>
      </c>
      <c r="G208" s="170" t="str">
        <f aca="false">ExportRaw!$I208</f>
        <v/>
      </c>
      <c r="H208" s="168" t="str">
        <f aca="false">ExportRaw!$A208</f>
        <v/>
      </c>
      <c r="I208" s="168" t="str">
        <f aca="false">ExportRaw!$B208</f>
        <v/>
      </c>
    </row>
    <row r="209" customFormat="false" ht="15.75" hidden="false" customHeight="false" outlineLevel="0" collapsed="false">
      <c r="A209" s="168" t="n">
        <f aca="false">ExportRaw!$F209</f>
        <v>0</v>
      </c>
      <c r="B209" s="168" t="n">
        <f aca="false">ExportRaw!$C209</f>
        <v>0</v>
      </c>
      <c r="C209" s="168" t="n">
        <f aca="false">ExportRaw!$G209</f>
        <v>0</v>
      </c>
      <c r="D209" s="168" t="str">
        <f aca="false">ExportRaw!$E209</f>
        <v/>
      </c>
      <c r="E209" s="169" t="str">
        <f aca="false">ExportRaw!$D209</f>
        <v/>
      </c>
      <c r="F209" s="168" t="str">
        <f aca="false">ExportRaw!$H209</f>
        <v/>
      </c>
      <c r="G209" s="170" t="str">
        <f aca="false">ExportRaw!$I209</f>
        <v/>
      </c>
      <c r="H209" s="168" t="str">
        <f aca="false">ExportRaw!$A209</f>
        <v/>
      </c>
      <c r="I209" s="168" t="str">
        <f aca="false">ExportRaw!$B209</f>
        <v/>
      </c>
    </row>
    <row r="210" customFormat="false" ht="15.75" hidden="false" customHeight="false" outlineLevel="0" collapsed="false">
      <c r="A210" s="168" t="n">
        <f aca="false">ExportRaw!$F210</f>
        <v>0</v>
      </c>
      <c r="B210" s="168" t="n">
        <f aca="false">ExportRaw!$C210</f>
        <v>0</v>
      </c>
      <c r="C210" s="168" t="n">
        <f aca="false">ExportRaw!$G210</f>
        <v>0</v>
      </c>
      <c r="D210" s="168" t="str">
        <f aca="false">ExportRaw!$E210</f>
        <v/>
      </c>
      <c r="E210" s="169" t="str">
        <f aca="false">ExportRaw!$D210</f>
        <v/>
      </c>
      <c r="F210" s="168" t="str">
        <f aca="false">ExportRaw!$H210</f>
        <v/>
      </c>
      <c r="G210" s="170" t="str">
        <f aca="false">ExportRaw!$I210</f>
        <v/>
      </c>
      <c r="H210" s="168" t="str">
        <f aca="false">ExportRaw!$A210</f>
        <v/>
      </c>
      <c r="I210" s="168" t="str">
        <f aca="false">ExportRaw!$B210</f>
        <v/>
      </c>
    </row>
    <row r="211" customFormat="false" ht="15.75" hidden="false" customHeight="false" outlineLevel="0" collapsed="false">
      <c r="A211" s="168" t="n">
        <f aca="false">ExportRaw!$F211</f>
        <v>0</v>
      </c>
      <c r="B211" s="168" t="n">
        <f aca="false">ExportRaw!$C211</f>
        <v>0</v>
      </c>
      <c r="C211" s="168" t="n">
        <f aca="false">ExportRaw!$G211</f>
        <v>0</v>
      </c>
      <c r="D211" s="168" t="str">
        <f aca="false">ExportRaw!$E211</f>
        <v/>
      </c>
      <c r="E211" s="169" t="str">
        <f aca="false">ExportRaw!$D211</f>
        <v/>
      </c>
      <c r="F211" s="168" t="str">
        <f aca="false">ExportRaw!$H211</f>
        <v/>
      </c>
      <c r="G211" s="170" t="str">
        <f aca="false">ExportRaw!$I211</f>
        <v/>
      </c>
      <c r="H211" s="168" t="str">
        <f aca="false">ExportRaw!$A211</f>
        <v/>
      </c>
      <c r="I211" s="168" t="str">
        <f aca="false">ExportRaw!$B211</f>
        <v/>
      </c>
    </row>
    <row r="212" customFormat="false" ht="15.75" hidden="false" customHeight="false" outlineLevel="0" collapsed="false">
      <c r="A212" s="168" t="n">
        <f aca="false">ExportRaw!$F212</f>
        <v>0</v>
      </c>
      <c r="B212" s="168" t="n">
        <f aca="false">ExportRaw!$C212</f>
        <v>0</v>
      </c>
      <c r="C212" s="168" t="n">
        <f aca="false">ExportRaw!$G212</f>
        <v>0</v>
      </c>
      <c r="D212" s="168" t="str">
        <f aca="false">ExportRaw!$E212</f>
        <v/>
      </c>
      <c r="E212" s="169" t="str">
        <f aca="false">ExportRaw!$D212</f>
        <v/>
      </c>
      <c r="F212" s="168" t="str">
        <f aca="false">ExportRaw!$H212</f>
        <v/>
      </c>
      <c r="G212" s="170" t="str">
        <f aca="false">ExportRaw!$I212</f>
        <v/>
      </c>
      <c r="H212" s="168" t="str">
        <f aca="false">ExportRaw!$A212</f>
        <v/>
      </c>
      <c r="I212" s="168" t="str">
        <f aca="false">ExportRaw!$B212</f>
        <v/>
      </c>
    </row>
    <row r="213" customFormat="false" ht="15.75" hidden="false" customHeight="false" outlineLevel="0" collapsed="false">
      <c r="A213" s="168" t="n">
        <f aca="false">ExportRaw!$F213</f>
        <v>0</v>
      </c>
      <c r="B213" s="168" t="n">
        <f aca="false">ExportRaw!$C213</f>
        <v>0</v>
      </c>
      <c r="C213" s="168" t="n">
        <f aca="false">ExportRaw!$G213</f>
        <v>0</v>
      </c>
      <c r="D213" s="168" t="str">
        <f aca="false">ExportRaw!$E213</f>
        <v/>
      </c>
      <c r="E213" s="169" t="str">
        <f aca="false">ExportRaw!$D213</f>
        <v/>
      </c>
      <c r="F213" s="168" t="str">
        <f aca="false">ExportRaw!$H213</f>
        <v/>
      </c>
      <c r="G213" s="170" t="str">
        <f aca="false">ExportRaw!$I213</f>
        <v/>
      </c>
      <c r="H213" s="168" t="str">
        <f aca="false">ExportRaw!$A213</f>
        <v/>
      </c>
      <c r="I213" s="168" t="str">
        <f aca="false">ExportRaw!$B213</f>
        <v/>
      </c>
    </row>
    <row r="214" customFormat="false" ht="15.75" hidden="false" customHeight="false" outlineLevel="0" collapsed="false">
      <c r="A214" s="168" t="n">
        <f aca="false">ExportRaw!$F214</f>
        <v>0</v>
      </c>
      <c r="B214" s="168" t="n">
        <f aca="false">ExportRaw!$C214</f>
        <v>0</v>
      </c>
      <c r="C214" s="168" t="n">
        <f aca="false">ExportRaw!$G214</f>
        <v>0</v>
      </c>
      <c r="D214" s="168" t="str">
        <f aca="false">ExportRaw!$E214</f>
        <v/>
      </c>
      <c r="E214" s="169" t="str">
        <f aca="false">ExportRaw!$D214</f>
        <v/>
      </c>
      <c r="F214" s="168" t="str">
        <f aca="false">ExportRaw!$H214</f>
        <v/>
      </c>
      <c r="G214" s="170" t="str">
        <f aca="false">ExportRaw!$I214</f>
        <v/>
      </c>
      <c r="H214" s="168" t="str">
        <f aca="false">ExportRaw!$A214</f>
        <v/>
      </c>
      <c r="I214" s="168" t="str">
        <f aca="false">ExportRaw!$B214</f>
        <v/>
      </c>
    </row>
    <row r="215" customFormat="false" ht="15.75" hidden="false" customHeight="false" outlineLevel="0" collapsed="false">
      <c r="A215" s="168" t="n">
        <f aca="false">ExportRaw!$F215</f>
        <v>0</v>
      </c>
      <c r="B215" s="168" t="n">
        <f aca="false">ExportRaw!$C215</f>
        <v>0</v>
      </c>
      <c r="C215" s="168" t="n">
        <f aca="false">ExportRaw!$G215</f>
        <v>0</v>
      </c>
      <c r="D215" s="168" t="str">
        <f aca="false">ExportRaw!$E215</f>
        <v/>
      </c>
      <c r="E215" s="169" t="str">
        <f aca="false">ExportRaw!$D215</f>
        <v/>
      </c>
      <c r="F215" s="168" t="str">
        <f aca="false">ExportRaw!$H215</f>
        <v/>
      </c>
      <c r="G215" s="170" t="str">
        <f aca="false">ExportRaw!$I215</f>
        <v/>
      </c>
      <c r="H215" s="168" t="str">
        <f aca="false">ExportRaw!$A215</f>
        <v/>
      </c>
      <c r="I215" s="168" t="str">
        <f aca="false">ExportRaw!$B215</f>
        <v/>
      </c>
    </row>
    <row r="216" customFormat="false" ht="15.75" hidden="false" customHeight="false" outlineLevel="0" collapsed="false">
      <c r="A216" s="168" t="n">
        <f aca="false">ExportRaw!$F216</f>
        <v>0</v>
      </c>
      <c r="B216" s="168" t="n">
        <f aca="false">ExportRaw!$C216</f>
        <v>0</v>
      </c>
      <c r="C216" s="168" t="n">
        <f aca="false">ExportRaw!$G216</f>
        <v>0</v>
      </c>
      <c r="D216" s="168" t="str">
        <f aca="false">ExportRaw!$E216</f>
        <v/>
      </c>
      <c r="E216" s="169" t="str">
        <f aca="false">ExportRaw!$D216</f>
        <v/>
      </c>
      <c r="F216" s="168" t="str">
        <f aca="false">ExportRaw!$H216</f>
        <v/>
      </c>
      <c r="G216" s="170" t="str">
        <f aca="false">ExportRaw!$I216</f>
        <v/>
      </c>
      <c r="H216" s="168" t="str">
        <f aca="false">ExportRaw!$A216</f>
        <v/>
      </c>
      <c r="I216" s="168" t="str">
        <f aca="false">ExportRaw!$B216</f>
        <v/>
      </c>
    </row>
    <row r="217" customFormat="false" ht="15.75" hidden="false" customHeight="false" outlineLevel="0" collapsed="false">
      <c r="A217" s="168" t="n">
        <f aca="false">ExportRaw!$F217</f>
        <v>0</v>
      </c>
      <c r="B217" s="168" t="n">
        <f aca="false">ExportRaw!$C217</f>
        <v>0</v>
      </c>
      <c r="C217" s="168" t="n">
        <f aca="false">ExportRaw!$G217</f>
        <v>0</v>
      </c>
      <c r="D217" s="168" t="str">
        <f aca="false">ExportRaw!$E217</f>
        <v/>
      </c>
      <c r="E217" s="169" t="str">
        <f aca="false">ExportRaw!$D217</f>
        <v/>
      </c>
      <c r="F217" s="168" t="str">
        <f aca="false">ExportRaw!$H217</f>
        <v/>
      </c>
      <c r="G217" s="170" t="str">
        <f aca="false">ExportRaw!$I217</f>
        <v/>
      </c>
      <c r="H217" s="168" t="str">
        <f aca="false">ExportRaw!$A217</f>
        <v/>
      </c>
      <c r="I217" s="168" t="str">
        <f aca="false">ExportRaw!$B217</f>
        <v/>
      </c>
    </row>
    <row r="218" customFormat="false" ht="15.75" hidden="false" customHeight="false" outlineLevel="0" collapsed="false">
      <c r="A218" s="168" t="n">
        <f aca="false">ExportRaw!$F218</f>
        <v>0</v>
      </c>
      <c r="B218" s="168" t="n">
        <f aca="false">ExportRaw!$C218</f>
        <v>0</v>
      </c>
      <c r="C218" s="168" t="n">
        <f aca="false">ExportRaw!$G218</f>
        <v>0</v>
      </c>
      <c r="D218" s="168" t="str">
        <f aca="false">ExportRaw!$E218</f>
        <v/>
      </c>
      <c r="E218" s="169" t="str">
        <f aca="false">ExportRaw!$D218</f>
        <v/>
      </c>
      <c r="F218" s="168" t="str">
        <f aca="false">ExportRaw!$H218</f>
        <v/>
      </c>
      <c r="G218" s="170" t="str">
        <f aca="false">ExportRaw!$I218</f>
        <v/>
      </c>
      <c r="H218" s="168" t="str">
        <f aca="false">ExportRaw!$A218</f>
        <v/>
      </c>
      <c r="I218" s="168" t="str">
        <f aca="false">ExportRaw!$B218</f>
        <v/>
      </c>
    </row>
    <row r="219" customFormat="false" ht="15.75" hidden="false" customHeight="false" outlineLevel="0" collapsed="false">
      <c r="A219" s="168" t="n">
        <f aca="false">ExportRaw!$F219</f>
        <v>0</v>
      </c>
      <c r="B219" s="168" t="n">
        <f aca="false">ExportRaw!$C219</f>
        <v>0</v>
      </c>
      <c r="C219" s="168" t="n">
        <f aca="false">ExportRaw!$G219</f>
        <v>0</v>
      </c>
      <c r="D219" s="168" t="str">
        <f aca="false">ExportRaw!$E219</f>
        <v/>
      </c>
      <c r="E219" s="169" t="str">
        <f aca="false">ExportRaw!$D219</f>
        <v/>
      </c>
      <c r="F219" s="168" t="str">
        <f aca="false">ExportRaw!$H219</f>
        <v/>
      </c>
      <c r="G219" s="170" t="str">
        <f aca="false">ExportRaw!$I219</f>
        <v/>
      </c>
      <c r="H219" s="168" t="str">
        <f aca="false">ExportRaw!$A219</f>
        <v/>
      </c>
      <c r="I219" s="168" t="str">
        <f aca="false">ExportRaw!$B219</f>
        <v/>
      </c>
    </row>
    <row r="220" customFormat="false" ht="15.75" hidden="false" customHeight="false" outlineLevel="0" collapsed="false">
      <c r="A220" s="168" t="n">
        <f aca="false">ExportRaw!$F220</f>
        <v>0</v>
      </c>
      <c r="B220" s="168" t="n">
        <f aca="false">ExportRaw!$C220</f>
        <v>0</v>
      </c>
      <c r="C220" s="168" t="n">
        <f aca="false">ExportRaw!$G220</f>
        <v>0</v>
      </c>
      <c r="D220" s="168" t="str">
        <f aca="false">ExportRaw!$E220</f>
        <v/>
      </c>
      <c r="E220" s="169" t="str">
        <f aca="false">ExportRaw!$D220</f>
        <v/>
      </c>
      <c r="F220" s="168" t="str">
        <f aca="false">ExportRaw!$H220</f>
        <v/>
      </c>
      <c r="G220" s="170" t="str">
        <f aca="false">ExportRaw!$I220</f>
        <v/>
      </c>
      <c r="H220" s="168" t="str">
        <f aca="false">ExportRaw!$A220</f>
        <v/>
      </c>
      <c r="I220" s="168" t="str">
        <f aca="false">ExportRaw!$B220</f>
        <v/>
      </c>
    </row>
    <row r="221" customFormat="false" ht="15.75" hidden="false" customHeight="false" outlineLevel="0" collapsed="false">
      <c r="A221" s="168" t="n">
        <f aca="false">ExportRaw!$F221</f>
        <v>0</v>
      </c>
      <c r="B221" s="168" t="n">
        <f aca="false">ExportRaw!$C221</f>
        <v>0</v>
      </c>
      <c r="C221" s="168" t="n">
        <f aca="false">ExportRaw!$G221</f>
        <v>0</v>
      </c>
      <c r="D221" s="168" t="str">
        <f aca="false">ExportRaw!$E221</f>
        <v/>
      </c>
      <c r="E221" s="169" t="str">
        <f aca="false">ExportRaw!$D221</f>
        <v/>
      </c>
      <c r="F221" s="168" t="str">
        <f aca="false">ExportRaw!$H221</f>
        <v/>
      </c>
      <c r="G221" s="170" t="str">
        <f aca="false">ExportRaw!$I221</f>
        <v/>
      </c>
      <c r="H221" s="168" t="str">
        <f aca="false">ExportRaw!$A221</f>
        <v/>
      </c>
      <c r="I221" s="168" t="str">
        <f aca="false">ExportRaw!$B221</f>
        <v/>
      </c>
    </row>
    <row r="222" customFormat="false" ht="15.75" hidden="false" customHeight="false" outlineLevel="0" collapsed="false">
      <c r="A222" s="168" t="n">
        <f aca="false">ExportRaw!$F222</f>
        <v>0</v>
      </c>
      <c r="B222" s="168" t="n">
        <f aca="false">ExportRaw!$C222</f>
        <v>0</v>
      </c>
      <c r="C222" s="168" t="n">
        <f aca="false">ExportRaw!$G222</f>
        <v>0</v>
      </c>
      <c r="D222" s="168" t="str">
        <f aca="false">ExportRaw!$E222</f>
        <v/>
      </c>
      <c r="E222" s="169" t="str">
        <f aca="false">ExportRaw!$D222</f>
        <v/>
      </c>
      <c r="F222" s="168" t="str">
        <f aca="false">ExportRaw!$H222</f>
        <v/>
      </c>
      <c r="G222" s="170" t="str">
        <f aca="false">ExportRaw!$I222</f>
        <v/>
      </c>
      <c r="H222" s="168" t="str">
        <f aca="false">ExportRaw!$A222</f>
        <v/>
      </c>
      <c r="I222" s="168" t="str">
        <f aca="false">ExportRaw!$B222</f>
        <v/>
      </c>
    </row>
    <row r="223" customFormat="false" ht="15.75" hidden="false" customHeight="false" outlineLevel="0" collapsed="false">
      <c r="A223" s="168" t="n">
        <f aca="false">ExportRaw!$F223</f>
        <v>0</v>
      </c>
      <c r="B223" s="168" t="n">
        <f aca="false">ExportRaw!$C223</f>
        <v>0</v>
      </c>
      <c r="C223" s="168" t="n">
        <f aca="false">ExportRaw!$G223</f>
        <v>0</v>
      </c>
      <c r="D223" s="168" t="str">
        <f aca="false">ExportRaw!$E223</f>
        <v/>
      </c>
      <c r="E223" s="169" t="str">
        <f aca="false">ExportRaw!$D223</f>
        <v/>
      </c>
      <c r="F223" s="168" t="str">
        <f aca="false">ExportRaw!$H223</f>
        <v/>
      </c>
      <c r="G223" s="170" t="str">
        <f aca="false">ExportRaw!$I223</f>
        <v/>
      </c>
      <c r="H223" s="168" t="str">
        <f aca="false">ExportRaw!$A223</f>
        <v/>
      </c>
      <c r="I223" s="168" t="str">
        <f aca="false">ExportRaw!$B223</f>
        <v/>
      </c>
    </row>
    <row r="224" customFormat="false" ht="15.75" hidden="false" customHeight="false" outlineLevel="0" collapsed="false">
      <c r="A224" s="168" t="n">
        <f aca="false">ExportRaw!$F224</f>
        <v>0</v>
      </c>
      <c r="B224" s="168" t="n">
        <f aca="false">ExportRaw!$C224</f>
        <v>0</v>
      </c>
      <c r="C224" s="168" t="n">
        <f aca="false">ExportRaw!$G224</f>
        <v>0</v>
      </c>
      <c r="D224" s="168" t="str">
        <f aca="false">ExportRaw!$E224</f>
        <v/>
      </c>
      <c r="E224" s="169" t="str">
        <f aca="false">ExportRaw!$D224</f>
        <v/>
      </c>
      <c r="F224" s="168" t="str">
        <f aca="false">ExportRaw!$H224</f>
        <v/>
      </c>
      <c r="G224" s="170" t="str">
        <f aca="false">ExportRaw!$I224</f>
        <v/>
      </c>
      <c r="H224" s="168" t="str">
        <f aca="false">ExportRaw!$A224</f>
        <v/>
      </c>
      <c r="I224" s="168" t="str">
        <f aca="false">ExportRaw!$B224</f>
        <v/>
      </c>
    </row>
    <row r="225" customFormat="false" ht="15.75" hidden="false" customHeight="false" outlineLevel="0" collapsed="false">
      <c r="A225" s="168" t="n">
        <f aca="false">ExportRaw!$F225</f>
        <v>0</v>
      </c>
      <c r="B225" s="168" t="n">
        <f aca="false">ExportRaw!$C225</f>
        <v>0</v>
      </c>
      <c r="C225" s="168" t="n">
        <f aca="false">ExportRaw!$G225</f>
        <v>0</v>
      </c>
      <c r="D225" s="168" t="str">
        <f aca="false">ExportRaw!$E225</f>
        <v/>
      </c>
      <c r="E225" s="169" t="str">
        <f aca="false">ExportRaw!$D225</f>
        <v/>
      </c>
      <c r="F225" s="168" t="str">
        <f aca="false">ExportRaw!$H225</f>
        <v/>
      </c>
      <c r="G225" s="170" t="str">
        <f aca="false">ExportRaw!$I225</f>
        <v/>
      </c>
      <c r="H225" s="168" t="str">
        <f aca="false">ExportRaw!$A225</f>
        <v/>
      </c>
      <c r="I225" s="168" t="str">
        <f aca="false">ExportRaw!$B225</f>
        <v/>
      </c>
    </row>
    <row r="226" customFormat="false" ht="15.75" hidden="false" customHeight="false" outlineLevel="0" collapsed="false">
      <c r="A226" s="168" t="n">
        <f aca="false">ExportRaw!$F226</f>
        <v>0</v>
      </c>
      <c r="B226" s="168" t="n">
        <f aca="false">ExportRaw!$C226</f>
        <v>0</v>
      </c>
      <c r="C226" s="168" t="n">
        <f aca="false">ExportRaw!$G226</f>
        <v>0</v>
      </c>
      <c r="D226" s="168" t="str">
        <f aca="false">ExportRaw!$E226</f>
        <v/>
      </c>
      <c r="E226" s="169" t="str">
        <f aca="false">ExportRaw!$D226</f>
        <v/>
      </c>
      <c r="F226" s="168" t="str">
        <f aca="false">ExportRaw!$H226</f>
        <v/>
      </c>
      <c r="G226" s="170" t="str">
        <f aca="false">ExportRaw!$I226</f>
        <v/>
      </c>
      <c r="H226" s="168" t="str">
        <f aca="false">ExportRaw!$A226</f>
        <v/>
      </c>
      <c r="I226" s="168" t="str">
        <f aca="false">ExportRaw!$B226</f>
        <v/>
      </c>
    </row>
    <row r="227" customFormat="false" ht="15.75" hidden="false" customHeight="false" outlineLevel="0" collapsed="false">
      <c r="A227" s="168" t="n">
        <f aca="false">ExportRaw!$F227</f>
        <v>0</v>
      </c>
      <c r="B227" s="168" t="n">
        <f aca="false">ExportRaw!$C227</f>
        <v>0</v>
      </c>
      <c r="C227" s="168" t="n">
        <f aca="false">ExportRaw!$G227</f>
        <v>0</v>
      </c>
      <c r="D227" s="168" t="str">
        <f aca="false">ExportRaw!$E227</f>
        <v/>
      </c>
      <c r="E227" s="169" t="str">
        <f aca="false">ExportRaw!$D227</f>
        <v/>
      </c>
      <c r="F227" s="168" t="str">
        <f aca="false">ExportRaw!$H227</f>
        <v/>
      </c>
      <c r="G227" s="170" t="str">
        <f aca="false">ExportRaw!$I227</f>
        <v/>
      </c>
      <c r="H227" s="168" t="str">
        <f aca="false">ExportRaw!$A227</f>
        <v/>
      </c>
      <c r="I227" s="168" t="str">
        <f aca="false">ExportRaw!$B227</f>
        <v/>
      </c>
    </row>
    <row r="228" customFormat="false" ht="15.75" hidden="false" customHeight="false" outlineLevel="0" collapsed="false">
      <c r="A228" s="168" t="n">
        <f aca="false">ExportRaw!$F228</f>
        <v>0</v>
      </c>
      <c r="B228" s="168" t="n">
        <f aca="false">ExportRaw!$C228</f>
        <v>0</v>
      </c>
      <c r="C228" s="168" t="n">
        <f aca="false">ExportRaw!$G228</f>
        <v>0</v>
      </c>
      <c r="D228" s="168" t="str">
        <f aca="false">ExportRaw!$E228</f>
        <v/>
      </c>
      <c r="E228" s="169" t="str">
        <f aca="false">ExportRaw!$D228</f>
        <v/>
      </c>
      <c r="F228" s="168" t="str">
        <f aca="false">ExportRaw!$H228</f>
        <v/>
      </c>
      <c r="G228" s="170" t="str">
        <f aca="false">ExportRaw!$I228</f>
        <v/>
      </c>
      <c r="H228" s="168" t="str">
        <f aca="false">ExportRaw!$A228</f>
        <v/>
      </c>
      <c r="I228" s="168" t="str">
        <f aca="false">ExportRaw!$B228</f>
        <v/>
      </c>
    </row>
    <row r="229" customFormat="false" ht="15.75" hidden="false" customHeight="false" outlineLevel="0" collapsed="false">
      <c r="A229" s="168" t="n">
        <f aca="false">ExportRaw!$F229</f>
        <v>0</v>
      </c>
      <c r="B229" s="168" t="n">
        <f aca="false">ExportRaw!$C229</f>
        <v>0</v>
      </c>
      <c r="C229" s="168" t="n">
        <f aca="false">ExportRaw!$G229</f>
        <v>0</v>
      </c>
      <c r="D229" s="168" t="str">
        <f aca="false">ExportRaw!$E229</f>
        <v/>
      </c>
      <c r="E229" s="169" t="str">
        <f aca="false">ExportRaw!$D229</f>
        <v/>
      </c>
      <c r="F229" s="168" t="str">
        <f aca="false">ExportRaw!$H229</f>
        <v/>
      </c>
      <c r="G229" s="170" t="str">
        <f aca="false">ExportRaw!$I229</f>
        <v/>
      </c>
      <c r="H229" s="168" t="str">
        <f aca="false">ExportRaw!$A229</f>
        <v/>
      </c>
      <c r="I229" s="168" t="str">
        <f aca="false">ExportRaw!$B229</f>
        <v/>
      </c>
    </row>
    <row r="230" customFormat="false" ht="15.75" hidden="false" customHeight="false" outlineLevel="0" collapsed="false">
      <c r="A230" s="168" t="n">
        <f aca="false">ExportRaw!$F230</f>
        <v>0</v>
      </c>
      <c r="B230" s="168" t="n">
        <f aca="false">ExportRaw!$C230</f>
        <v>0</v>
      </c>
      <c r="C230" s="168" t="n">
        <f aca="false">ExportRaw!$G230</f>
        <v>0</v>
      </c>
      <c r="D230" s="168" t="str">
        <f aca="false">ExportRaw!$E230</f>
        <v/>
      </c>
      <c r="E230" s="169" t="str">
        <f aca="false">ExportRaw!$D230</f>
        <v/>
      </c>
      <c r="F230" s="168" t="str">
        <f aca="false">ExportRaw!$H230</f>
        <v/>
      </c>
      <c r="G230" s="170" t="str">
        <f aca="false">ExportRaw!$I230</f>
        <v/>
      </c>
      <c r="H230" s="168" t="str">
        <f aca="false">ExportRaw!$A230</f>
        <v/>
      </c>
      <c r="I230" s="168" t="str">
        <f aca="false">ExportRaw!$B230</f>
        <v/>
      </c>
    </row>
    <row r="231" customFormat="false" ht="15.75" hidden="false" customHeight="false" outlineLevel="0" collapsed="false">
      <c r="A231" s="168" t="n">
        <f aca="false">ExportRaw!$F231</f>
        <v>0</v>
      </c>
      <c r="B231" s="168" t="n">
        <f aca="false">ExportRaw!$C231</f>
        <v>0</v>
      </c>
      <c r="C231" s="168" t="n">
        <f aca="false">ExportRaw!$G231</f>
        <v>0</v>
      </c>
      <c r="D231" s="168" t="str">
        <f aca="false">ExportRaw!$E231</f>
        <v/>
      </c>
      <c r="E231" s="169" t="str">
        <f aca="false">ExportRaw!$D231</f>
        <v/>
      </c>
      <c r="F231" s="168" t="str">
        <f aca="false">ExportRaw!$H231</f>
        <v/>
      </c>
      <c r="G231" s="170" t="str">
        <f aca="false">ExportRaw!$I231</f>
        <v/>
      </c>
      <c r="H231" s="168" t="str">
        <f aca="false">ExportRaw!$A231</f>
        <v/>
      </c>
      <c r="I231" s="168" t="str">
        <f aca="false">ExportRaw!$B231</f>
        <v/>
      </c>
    </row>
    <row r="232" customFormat="false" ht="15.75" hidden="false" customHeight="false" outlineLevel="0" collapsed="false">
      <c r="A232" s="168" t="n">
        <f aca="false">ExportRaw!$F232</f>
        <v>0</v>
      </c>
      <c r="B232" s="168" t="n">
        <f aca="false">ExportRaw!$C232</f>
        <v>0</v>
      </c>
      <c r="C232" s="168" t="n">
        <f aca="false">ExportRaw!$G232</f>
        <v>0</v>
      </c>
      <c r="D232" s="168" t="str">
        <f aca="false">ExportRaw!$E232</f>
        <v/>
      </c>
      <c r="E232" s="169" t="str">
        <f aca="false">ExportRaw!$D232</f>
        <v/>
      </c>
      <c r="F232" s="168" t="str">
        <f aca="false">ExportRaw!$H232</f>
        <v/>
      </c>
      <c r="G232" s="170" t="str">
        <f aca="false">ExportRaw!$I232</f>
        <v/>
      </c>
      <c r="H232" s="168" t="str">
        <f aca="false">ExportRaw!$A232</f>
        <v/>
      </c>
      <c r="I232" s="168" t="str">
        <f aca="false">ExportRaw!$B232</f>
        <v/>
      </c>
    </row>
    <row r="233" customFormat="false" ht="15.75" hidden="false" customHeight="false" outlineLevel="0" collapsed="false">
      <c r="A233" s="168" t="n">
        <f aca="false">ExportRaw!$F233</f>
        <v>0</v>
      </c>
      <c r="B233" s="168" t="n">
        <f aca="false">ExportRaw!$C233</f>
        <v>0</v>
      </c>
      <c r="C233" s="168" t="n">
        <f aca="false">ExportRaw!$G233</f>
        <v>0</v>
      </c>
      <c r="D233" s="168" t="str">
        <f aca="false">ExportRaw!$E233</f>
        <v/>
      </c>
      <c r="E233" s="169" t="str">
        <f aca="false">ExportRaw!$D233</f>
        <v/>
      </c>
      <c r="F233" s="168" t="str">
        <f aca="false">ExportRaw!$H233</f>
        <v/>
      </c>
      <c r="G233" s="170" t="str">
        <f aca="false">ExportRaw!$I233</f>
        <v/>
      </c>
      <c r="H233" s="168" t="str">
        <f aca="false">ExportRaw!$A233</f>
        <v/>
      </c>
      <c r="I233" s="168" t="str">
        <f aca="false">ExportRaw!$B233</f>
        <v/>
      </c>
    </row>
    <row r="234" customFormat="false" ht="15.75" hidden="false" customHeight="false" outlineLevel="0" collapsed="false">
      <c r="A234" s="168" t="n">
        <f aca="false">ExportRaw!$F234</f>
        <v>0</v>
      </c>
      <c r="B234" s="168" t="n">
        <f aca="false">ExportRaw!$C234</f>
        <v>0</v>
      </c>
      <c r="C234" s="168" t="n">
        <f aca="false">ExportRaw!$G234</f>
        <v>0</v>
      </c>
      <c r="D234" s="168" t="str">
        <f aca="false">ExportRaw!$E234</f>
        <v/>
      </c>
      <c r="E234" s="169" t="str">
        <f aca="false">ExportRaw!$D234</f>
        <v/>
      </c>
      <c r="F234" s="168" t="str">
        <f aca="false">ExportRaw!$H234</f>
        <v/>
      </c>
      <c r="G234" s="170" t="str">
        <f aca="false">ExportRaw!$I234</f>
        <v/>
      </c>
      <c r="H234" s="168" t="str">
        <f aca="false">ExportRaw!$A234</f>
        <v/>
      </c>
      <c r="I234" s="168" t="str">
        <f aca="false">ExportRaw!$B234</f>
        <v/>
      </c>
    </row>
    <row r="235" customFormat="false" ht="15.75" hidden="false" customHeight="false" outlineLevel="0" collapsed="false">
      <c r="A235" s="168" t="n">
        <f aca="false">ExportRaw!$F235</f>
        <v>0</v>
      </c>
      <c r="B235" s="168" t="n">
        <f aca="false">ExportRaw!$C235</f>
        <v>0</v>
      </c>
      <c r="C235" s="168" t="n">
        <f aca="false">ExportRaw!$G235</f>
        <v>0</v>
      </c>
      <c r="D235" s="168" t="str">
        <f aca="false">ExportRaw!$E235</f>
        <v/>
      </c>
      <c r="E235" s="169" t="str">
        <f aca="false">ExportRaw!$D235</f>
        <v/>
      </c>
      <c r="F235" s="168" t="str">
        <f aca="false">ExportRaw!$H235</f>
        <v/>
      </c>
      <c r="G235" s="170" t="str">
        <f aca="false">ExportRaw!$I235</f>
        <v/>
      </c>
      <c r="H235" s="168" t="str">
        <f aca="false">ExportRaw!$A235</f>
        <v/>
      </c>
      <c r="I235" s="168" t="str">
        <f aca="false">ExportRaw!$B235</f>
        <v/>
      </c>
    </row>
    <row r="236" customFormat="false" ht="15.75" hidden="false" customHeight="false" outlineLevel="0" collapsed="false">
      <c r="A236" s="168" t="n">
        <f aca="false">ExportRaw!$F236</f>
        <v>0</v>
      </c>
      <c r="B236" s="168" t="n">
        <f aca="false">ExportRaw!$C236</f>
        <v>0</v>
      </c>
      <c r="C236" s="168" t="n">
        <f aca="false">ExportRaw!$G236</f>
        <v>0</v>
      </c>
      <c r="D236" s="168" t="str">
        <f aca="false">ExportRaw!$E236</f>
        <v/>
      </c>
      <c r="E236" s="169" t="str">
        <f aca="false">ExportRaw!$D236</f>
        <v/>
      </c>
      <c r="F236" s="168" t="str">
        <f aca="false">ExportRaw!$H236</f>
        <v/>
      </c>
      <c r="G236" s="170" t="str">
        <f aca="false">ExportRaw!$I236</f>
        <v/>
      </c>
      <c r="H236" s="168" t="str">
        <f aca="false">ExportRaw!$A236</f>
        <v/>
      </c>
      <c r="I236" s="168" t="str">
        <f aca="false">ExportRaw!$B236</f>
        <v/>
      </c>
    </row>
    <row r="237" customFormat="false" ht="15.75" hidden="false" customHeight="false" outlineLevel="0" collapsed="false">
      <c r="A237" s="168" t="n">
        <f aca="false">ExportRaw!$F237</f>
        <v>0</v>
      </c>
      <c r="B237" s="168" t="n">
        <f aca="false">ExportRaw!$C237</f>
        <v>0</v>
      </c>
      <c r="C237" s="168" t="n">
        <f aca="false">ExportRaw!$G237</f>
        <v>0</v>
      </c>
      <c r="D237" s="168" t="str">
        <f aca="false">ExportRaw!$E237</f>
        <v/>
      </c>
      <c r="E237" s="169" t="str">
        <f aca="false">ExportRaw!$D237</f>
        <v/>
      </c>
      <c r="F237" s="168" t="str">
        <f aca="false">ExportRaw!$H237</f>
        <v/>
      </c>
      <c r="G237" s="170" t="str">
        <f aca="false">ExportRaw!$I237</f>
        <v/>
      </c>
      <c r="H237" s="168" t="str">
        <f aca="false">ExportRaw!$A237</f>
        <v/>
      </c>
      <c r="I237" s="168" t="str">
        <f aca="false">ExportRaw!$B237</f>
        <v/>
      </c>
    </row>
    <row r="238" customFormat="false" ht="15.75" hidden="false" customHeight="false" outlineLevel="0" collapsed="false">
      <c r="A238" s="168" t="n">
        <f aca="false">ExportRaw!$F238</f>
        <v>0</v>
      </c>
      <c r="B238" s="168" t="n">
        <f aca="false">ExportRaw!$C238</f>
        <v>0</v>
      </c>
      <c r="C238" s="168" t="n">
        <f aca="false">ExportRaw!$G238</f>
        <v>0</v>
      </c>
      <c r="D238" s="168" t="str">
        <f aca="false">ExportRaw!$E238</f>
        <v/>
      </c>
      <c r="E238" s="169" t="str">
        <f aca="false">ExportRaw!$D238</f>
        <v/>
      </c>
      <c r="F238" s="168" t="str">
        <f aca="false">ExportRaw!$H238</f>
        <v/>
      </c>
      <c r="G238" s="170" t="str">
        <f aca="false">ExportRaw!$I238</f>
        <v/>
      </c>
      <c r="H238" s="168" t="str">
        <f aca="false">ExportRaw!$A238</f>
        <v/>
      </c>
      <c r="I238" s="168" t="str">
        <f aca="false">ExportRaw!$B238</f>
        <v/>
      </c>
    </row>
    <row r="239" customFormat="false" ht="15.75" hidden="false" customHeight="false" outlineLevel="0" collapsed="false">
      <c r="A239" s="168" t="n">
        <f aca="false">ExportRaw!$F239</f>
        <v>0</v>
      </c>
      <c r="B239" s="168" t="n">
        <f aca="false">ExportRaw!$C239</f>
        <v>0</v>
      </c>
      <c r="C239" s="168" t="n">
        <f aca="false">ExportRaw!$G239</f>
        <v>0</v>
      </c>
      <c r="D239" s="168" t="str">
        <f aca="false">ExportRaw!$E239</f>
        <v/>
      </c>
      <c r="E239" s="169" t="str">
        <f aca="false">ExportRaw!$D239</f>
        <v/>
      </c>
      <c r="F239" s="168" t="str">
        <f aca="false">ExportRaw!$H239</f>
        <v/>
      </c>
      <c r="G239" s="170" t="str">
        <f aca="false">ExportRaw!$I239</f>
        <v/>
      </c>
      <c r="H239" s="168" t="str">
        <f aca="false">ExportRaw!$A239</f>
        <v/>
      </c>
      <c r="I239" s="168" t="str">
        <f aca="false">ExportRaw!$B239</f>
        <v/>
      </c>
    </row>
    <row r="240" customFormat="false" ht="15.75" hidden="false" customHeight="false" outlineLevel="0" collapsed="false">
      <c r="A240" s="168" t="n">
        <f aca="false">ExportRaw!$F240</f>
        <v>0</v>
      </c>
      <c r="B240" s="168" t="n">
        <f aca="false">ExportRaw!$C240</f>
        <v>0</v>
      </c>
      <c r="C240" s="168" t="n">
        <f aca="false">ExportRaw!$G240</f>
        <v>0</v>
      </c>
      <c r="D240" s="168" t="str">
        <f aca="false">ExportRaw!$E240</f>
        <v/>
      </c>
      <c r="E240" s="169" t="str">
        <f aca="false">ExportRaw!$D240</f>
        <v/>
      </c>
      <c r="F240" s="168" t="str">
        <f aca="false">ExportRaw!$H240</f>
        <v/>
      </c>
      <c r="G240" s="170" t="str">
        <f aca="false">ExportRaw!$I240</f>
        <v/>
      </c>
      <c r="H240" s="168" t="str">
        <f aca="false">ExportRaw!$A240</f>
        <v/>
      </c>
      <c r="I240" s="168" t="str">
        <f aca="false">ExportRaw!$B240</f>
        <v/>
      </c>
    </row>
    <row r="241" customFormat="false" ht="15.75" hidden="false" customHeight="false" outlineLevel="0" collapsed="false">
      <c r="A241" s="168" t="n">
        <f aca="false">ExportRaw!$F241</f>
        <v>0</v>
      </c>
      <c r="B241" s="168" t="n">
        <f aca="false">ExportRaw!$C241</f>
        <v>0</v>
      </c>
      <c r="C241" s="168" t="n">
        <f aca="false">ExportRaw!$G241</f>
        <v>0</v>
      </c>
      <c r="D241" s="168" t="str">
        <f aca="false">ExportRaw!$E241</f>
        <v/>
      </c>
      <c r="E241" s="169" t="str">
        <f aca="false">ExportRaw!$D241</f>
        <v/>
      </c>
      <c r="F241" s="168" t="str">
        <f aca="false">ExportRaw!$H241</f>
        <v/>
      </c>
      <c r="G241" s="170" t="str">
        <f aca="false">ExportRaw!$I241</f>
        <v/>
      </c>
      <c r="H241" s="168" t="str">
        <f aca="false">ExportRaw!$A241</f>
        <v/>
      </c>
      <c r="I241" s="168" t="str">
        <f aca="false">ExportRaw!$B241</f>
        <v/>
      </c>
    </row>
    <row r="242" customFormat="false" ht="15.75" hidden="false" customHeight="false" outlineLevel="0" collapsed="false">
      <c r="A242" s="168" t="n">
        <f aca="false">ExportRaw!$F242</f>
        <v>0</v>
      </c>
      <c r="B242" s="168" t="n">
        <f aca="false">ExportRaw!$C242</f>
        <v>0</v>
      </c>
      <c r="C242" s="168" t="n">
        <f aca="false">ExportRaw!$G242</f>
        <v>0</v>
      </c>
      <c r="D242" s="168" t="str">
        <f aca="false">ExportRaw!$E242</f>
        <v/>
      </c>
      <c r="E242" s="169" t="str">
        <f aca="false">ExportRaw!$D242</f>
        <v/>
      </c>
      <c r="F242" s="168" t="str">
        <f aca="false">ExportRaw!$H242</f>
        <v/>
      </c>
      <c r="G242" s="170" t="str">
        <f aca="false">ExportRaw!$I242</f>
        <v/>
      </c>
      <c r="H242" s="168" t="str">
        <f aca="false">ExportRaw!$A242</f>
        <v/>
      </c>
      <c r="I242" s="168" t="str">
        <f aca="false">ExportRaw!$B242</f>
        <v/>
      </c>
    </row>
    <row r="243" customFormat="false" ht="15.75" hidden="false" customHeight="false" outlineLevel="0" collapsed="false">
      <c r="A243" s="168" t="n">
        <f aca="false">ExportRaw!$F243</f>
        <v>0</v>
      </c>
      <c r="B243" s="168" t="n">
        <f aca="false">ExportRaw!$C243</f>
        <v>0</v>
      </c>
      <c r="C243" s="168" t="n">
        <f aca="false">ExportRaw!$G243</f>
        <v>0</v>
      </c>
      <c r="D243" s="168" t="str">
        <f aca="false">ExportRaw!$E243</f>
        <v/>
      </c>
      <c r="E243" s="169" t="str">
        <f aca="false">ExportRaw!$D243</f>
        <v/>
      </c>
      <c r="F243" s="168" t="str">
        <f aca="false">ExportRaw!$H243</f>
        <v/>
      </c>
      <c r="G243" s="170" t="str">
        <f aca="false">ExportRaw!$I243</f>
        <v/>
      </c>
      <c r="H243" s="168" t="str">
        <f aca="false">ExportRaw!$A243</f>
        <v/>
      </c>
      <c r="I243" s="168" t="str">
        <f aca="false">ExportRaw!$B243</f>
        <v/>
      </c>
    </row>
    <row r="244" customFormat="false" ht="15.75" hidden="false" customHeight="false" outlineLevel="0" collapsed="false">
      <c r="A244" s="168" t="n">
        <f aca="false">ExportRaw!$F244</f>
        <v>0</v>
      </c>
      <c r="B244" s="168" t="n">
        <f aca="false">ExportRaw!$C244</f>
        <v>0</v>
      </c>
      <c r="C244" s="168" t="n">
        <f aca="false">ExportRaw!$G244</f>
        <v>0</v>
      </c>
      <c r="D244" s="168" t="str">
        <f aca="false">ExportRaw!$E244</f>
        <v/>
      </c>
      <c r="E244" s="169" t="str">
        <f aca="false">ExportRaw!$D244</f>
        <v/>
      </c>
      <c r="F244" s="168" t="str">
        <f aca="false">ExportRaw!$H244</f>
        <v/>
      </c>
      <c r="G244" s="170" t="str">
        <f aca="false">ExportRaw!$I244</f>
        <v/>
      </c>
      <c r="H244" s="168" t="str">
        <f aca="false">ExportRaw!$A244</f>
        <v/>
      </c>
      <c r="I244" s="168" t="str">
        <f aca="false">ExportRaw!$B244</f>
        <v/>
      </c>
    </row>
    <row r="245" customFormat="false" ht="15.75" hidden="false" customHeight="false" outlineLevel="0" collapsed="false">
      <c r="A245" s="168" t="n">
        <f aca="false">ExportRaw!$F245</f>
        <v>0</v>
      </c>
      <c r="B245" s="168" t="n">
        <f aca="false">ExportRaw!$C245</f>
        <v>0</v>
      </c>
      <c r="C245" s="168" t="n">
        <f aca="false">ExportRaw!$G245</f>
        <v>0</v>
      </c>
      <c r="D245" s="168" t="str">
        <f aca="false">ExportRaw!$E245</f>
        <v/>
      </c>
      <c r="E245" s="169" t="str">
        <f aca="false">ExportRaw!$D245</f>
        <v/>
      </c>
      <c r="F245" s="168" t="str">
        <f aca="false">ExportRaw!$H245</f>
        <v/>
      </c>
      <c r="G245" s="170" t="str">
        <f aca="false">ExportRaw!$I245</f>
        <v/>
      </c>
      <c r="H245" s="168" t="str">
        <f aca="false">ExportRaw!$A245</f>
        <v/>
      </c>
      <c r="I245" s="168" t="str">
        <f aca="false">ExportRaw!$B245</f>
        <v/>
      </c>
    </row>
    <row r="246" customFormat="false" ht="15.75" hidden="false" customHeight="false" outlineLevel="0" collapsed="false">
      <c r="A246" s="168" t="n">
        <f aca="false">ExportRaw!$F246</f>
        <v>0</v>
      </c>
      <c r="B246" s="168" t="n">
        <f aca="false">ExportRaw!$C246</f>
        <v>0</v>
      </c>
      <c r="C246" s="168" t="n">
        <f aca="false">ExportRaw!$G246</f>
        <v>0</v>
      </c>
      <c r="D246" s="168" t="str">
        <f aca="false">ExportRaw!$E246</f>
        <v/>
      </c>
      <c r="E246" s="169" t="str">
        <f aca="false">ExportRaw!$D246</f>
        <v/>
      </c>
      <c r="F246" s="168" t="str">
        <f aca="false">ExportRaw!$H246</f>
        <v/>
      </c>
      <c r="G246" s="170" t="str">
        <f aca="false">ExportRaw!$I246</f>
        <v/>
      </c>
      <c r="H246" s="168" t="str">
        <f aca="false">ExportRaw!$A246</f>
        <v/>
      </c>
      <c r="I246" s="168" t="str">
        <f aca="false">ExportRaw!$B246</f>
        <v/>
      </c>
    </row>
    <row r="247" customFormat="false" ht="15.75" hidden="false" customHeight="false" outlineLevel="0" collapsed="false">
      <c r="A247" s="168" t="n">
        <f aca="false">ExportRaw!$F247</f>
        <v>0</v>
      </c>
      <c r="B247" s="168" t="n">
        <f aca="false">ExportRaw!$C247</f>
        <v>0</v>
      </c>
      <c r="C247" s="168" t="n">
        <f aca="false">ExportRaw!$G247</f>
        <v>0</v>
      </c>
      <c r="D247" s="168" t="str">
        <f aca="false">ExportRaw!$E247</f>
        <v/>
      </c>
      <c r="E247" s="169" t="str">
        <f aca="false">ExportRaw!$D247</f>
        <v/>
      </c>
      <c r="F247" s="168" t="str">
        <f aca="false">ExportRaw!$H247</f>
        <v/>
      </c>
      <c r="G247" s="170" t="str">
        <f aca="false">ExportRaw!$I247</f>
        <v/>
      </c>
      <c r="H247" s="168" t="str">
        <f aca="false">ExportRaw!$A247</f>
        <v/>
      </c>
      <c r="I247" s="168" t="str">
        <f aca="false">ExportRaw!$B247</f>
        <v/>
      </c>
    </row>
    <row r="248" customFormat="false" ht="15.75" hidden="false" customHeight="false" outlineLevel="0" collapsed="false">
      <c r="A248" s="168" t="n">
        <f aca="false">ExportRaw!$F248</f>
        <v>0</v>
      </c>
      <c r="B248" s="168" t="n">
        <f aca="false">ExportRaw!$C248</f>
        <v>0</v>
      </c>
      <c r="C248" s="168" t="n">
        <f aca="false">ExportRaw!$G248</f>
        <v>0</v>
      </c>
      <c r="D248" s="168" t="str">
        <f aca="false">ExportRaw!$E248</f>
        <v/>
      </c>
      <c r="E248" s="169" t="str">
        <f aca="false">ExportRaw!$D248</f>
        <v/>
      </c>
      <c r="F248" s="168" t="str">
        <f aca="false">ExportRaw!$H248</f>
        <v/>
      </c>
      <c r="G248" s="170" t="str">
        <f aca="false">ExportRaw!$I248</f>
        <v/>
      </c>
      <c r="H248" s="168" t="str">
        <f aca="false">ExportRaw!$A248</f>
        <v/>
      </c>
      <c r="I248" s="168" t="str">
        <f aca="false">ExportRaw!$B248</f>
        <v/>
      </c>
    </row>
    <row r="249" customFormat="false" ht="15.75" hidden="false" customHeight="false" outlineLevel="0" collapsed="false">
      <c r="A249" s="168" t="n">
        <f aca="false">ExportRaw!$F249</f>
        <v>0</v>
      </c>
      <c r="B249" s="168" t="n">
        <f aca="false">ExportRaw!$C249</f>
        <v>0</v>
      </c>
      <c r="C249" s="168" t="n">
        <f aca="false">ExportRaw!$G249</f>
        <v>0</v>
      </c>
      <c r="D249" s="168" t="str">
        <f aca="false">ExportRaw!$E249</f>
        <v/>
      </c>
      <c r="E249" s="169" t="str">
        <f aca="false">ExportRaw!$D249</f>
        <v/>
      </c>
      <c r="F249" s="168" t="str">
        <f aca="false">ExportRaw!$H249</f>
        <v/>
      </c>
      <c r="G249" s="170" t="str">
        <f aca="false">ExportRaw!$I249</f>
        <v/>
      </c>
      <c r="H249" s="168" t="str">
        <f aca="false">ExportRaw!$A249</f>
        <v/>
      </c>
      <c r="I249" s="168" t="str">
        <f aca="false">ExportRaw!$B249</f>
        <v/>
      </c>
    </row>
    <row r="250" customFormat="false" ht="15.75" hidden="false" customHeight="false" outlineLevel="0" collapsed="false">
      <c r="A250" s="168" t="n">
        <f aca="false">ExportRaw!$F250</f>
        <v>0</v>
      </c>
      <c r="B250" s="168" t="n">
        <f aca="false">ExportRaw!$C250</f>
        <v>0</v>
      </c>
      <c r="C250" s="168" t="n">
        <f aca="false">ExportRaw!$G250</f>
        <v>0</v>
      </c>
      <c r="D250" s="168" t="str">
        <f aca="false">ExportRaw!$E250</f>
        <v/>
      </c>
      <c r="E250" s="169" t="str">
        <f aca="false">ExportRaw!$D250</f>
        <v/>
      </c>
      <c r="F250" s="168" t="str">
        <f aca="false">ExportRaw!$H250</f>
        <v/>
      </c>
      <c r="G250" s="170" t="str">
        <f aca="false">ExportRaw!$I250</f>
        <v/>
      </c>
      <c r="H250" s="168" t="str">
        <f aca="false">ExportRaw!$A250</f>
        <v/>
      </c>
      <c r="I250" s="168" t="str">
        <f aca="false">ExportRaw!$B250</f>
        <v/>
      </c>
    </row>
    <row r="251" customFormat="false" ht="15.75" hidden="false" customHeight="false" outlineLevel="0" collapsed="false">
      <c r="A251" s="168" t="n">
        <f aca="false">ExportRaw!$F251</f>
        <v>0</v>
      </c>
      <c r="B251" s="168" t="n">
        <f aca="false">ExportRaw!$C251</f>
        <v>0</v>
      </c>
      <c r="C251" s="168" t="n">
        <f aca="false">ExportRaw!$G251</f>
        <v>0</v>
      </c>
      <c r="D251" s="168" t="str">
        <f aca="false">ExportRaw!$E251</f>
        <v/>
      </c>
      <c r="E251" s="169" t="str">
        <f aca="false">ExportRaw!$D251</f>
        <v/>
      </c>
      <c r="F251" s="168" t="str">
        <f aca="false">ExportRaw!$H251</f>
        <v/>
      </c>
      <c r="G251" s="170" t="str">
        <f aca="false">ExportRaw!$I251</f>
        <v/>
      </c>
      <c r="H251" s="168" t="str">
        <f aca="false">ExportRaw!$A251</f>
        <v/>
      </c>
      <c r="I251" s="168" t="str">
        <f aca="false">ExportRaw!$B251</f>
        <v/>
      </c>
    </row>
    <row r="252" customFormat="false" ht="15.75" hidden="false" customHeight="false" outlineLevel="0" collapsed="false">
      <c r="A252" s="168" t="n">
        <f aca="false">ExportRaw!$F252</f>
        <v>0</v>
      </c>
      <c r="B252" s="168" t="n">
        <f aca="false">ExportRaw!$C252</f>
        <v>0</v>
      </c>
      <c r="C252" s="168" t="n">
        <f aca="false">ExportRaw!$G252</f>
        <v>0</v>
      </c>
      <c r="D252" s="168" t="str">
        <f aca="false">ExportRaw!$E252</f>
        <v/>
      </c>
      <c r="E252" s="169" t="str">
        <f aca="false">ExportRaw!$D252</f>
        <v/>
      </c>
      <c r="F252" s="168" t="str">
        <f aca="false">ExportRaw!$H252</f>
        <v/>
      </c>
      <c r="G252" s="170" t="str">
        <f aca="false">ExportRaw!$I252</f>
        <v/>
      </c>
      <c r="H252" s="168" t="str">
        <f aca="false">ExportRaw!$A252</f>
        <v/>
      </c>
      <c r="I252" s="168" t="str">
        <f aca="false">ExportRaw!$B252</f>
        <v/>
      </c>
    </row>
    <row r="253" customFormat="false" ht="15.75" hidden="false" customHeight="false" outlineLevel="0" collapsed="false">
      <c r="A253" s="168" t="n">
        <f aca="false">ExportRaw!$F253</f>
        <v>0</v>
      </c>
      <c r="B253" s="168" t="n">
        <f aca="false">ExportRaw!$C253</f>
        <v>0</v>
      </c>
      <c r="C253" s="168" t="n">
        <f aca="false">ExportRaw!$G253</f>
        <v>0</v>
      </c>
      <c r="D253" s="168" t="str">
        <f aca="false">ExportRaw!$E253</f>
        <v/>
      </c>
      <c r="E253" s="169" t="str">
        <f aca="false">ExportRaw!$D253</f>
        <v/>
      </c>
      <c r="F253" s="168" t="str">
        <f aca="false">ExportRaw!$H253</f>
        <v/>
      </c>
      <c r="G253" s="170" t="str">
        <f aca="false">ExportRaw!$I253</f>
        <v/>
      </c>
      <c r="H253" s="168" t="str">
        <f aca="false">ExportRaw!$A253</f>
        <v/>
      </c>
      <c r="I253" s="168" t="str">
        <f aca="false">ExportRaw!$B253</f>
        <v/>
      </c>
    </row>
    <row r="254" customFormat="false" ht="15.75" hidden="false" customHeight="false" outlineLevel="0" collapsed="false">
      <c r="A254" s="168" t="n">
        <f aca="false">ExportRaw!$F254</f>
        <v>0</v>
      </c>
      <c r="B254" s="168" t="n">
        <f aca="false">ExportRaw!$C254</f>
        <v>0</v>
      </c>
      <c r="C254" s="168" t="n">
        <f aca="false">ExportRaw!$G254</f>
        <v>0</v>
      </c>
      <c r="D254" s="168" t="str">
        <f aca="false">ExportRaw!$E254</f>
        <v/>
      </c>
      <c r="E254" s="169" t="str">
        <f aca="false">ExportRaw!$D254</f>
        <v/>
      </c>
      <c r="F254" s="168" t="str">
        <f aca="false">ExportRaw!$H254</f>
        <v/>
      </c>
      <c r="G254" s="170" t="str">
        <f aca="false">ExportRaw!$I254</f>
        <v/>
      </c>
      <c r="H254" s="168" t="str">
        <f aca="false">ExportRaw!$A254</f>
        <v/>
      </c>
      <c r="I254" s="168" t="str">
        <f aca="false">ExportRaw!$B254</f>
        <v/>
      </c>
    </row>
    <row r="255" customFormat="false" ht="15.75" hidden="false" customHeight="false" outlineLevel="0" collapsed="false">
      <c r="A255" s="168" t="n">
        <f aca="false">ExportRaw!$F255</f>
        <v>0</v>
      </c>
      <c r="B255" s="168" t="n">
        <f aca="false">ExportRaw!$C255</f>
        <v>0</v>
      </c>
      <c r="C255" s="168" t="n">
        <f aca="false">ExportRaw!$G255</f>
        <v>0</v>
      </c>
      <c r="D255" s="168" t="str">
        <f aca="false">ExportRaw!$E255</f>
        <v/>
      </c>
      <c r="E255" s="169" t="str">
        <f aca="false">ExportRaw!$D255</f>
        <v/>
      </c>
      <c r="F255" s="168" t="str">
        <f aca="false">ExportRaw!$H255</f>
        <v/>
      </c>
      <c r="G255" s="170" t="str">
        <f aca="false">ExportRaw!$I255</f>
        <v/>
      </c>
      <c r="H255" s="168" t="str">
        <f aca="false">ExportRaw!$A255</f>
        <v/>
      </c>
      <c r="I255" s="168" t="str">
        <f aca="false">ExportRaw!$B255</f>
        <v/>
      </c>
    </row>
    <row r="256" customFormat="false" ht="15.75" hidden="false" customHeight="false" outlineLevel="0" collapsed="false">
      <c r="A256" s="168" t="n">
        <f aca="false">ExportRaw!$F256</f>
        <v>0</v>
      </c>
      <c r="B256" s="168" t="n">
        <f aca="false">ExportRaw!$C256</f>
        <v>0</v>
      </c>
      <c r="C256" s="168" t="n">
        <f aca="false">ExportRaw!$G256</f>
        <v>0</v>
      </c>
      <c r="D256" s="168" t="str">
        <f aca="false">ExportRaw!$E256</f>
        <v/>
      </c>
      <c r="E256" s="169" t="str">
        <f aca="false">ExportRaw!$D256</f>
        <v/>
      </c>
      <c r="F256" s="168" t="str">
        <f aca="false">ExportRaw!$H256</f>
        <v/>
      </c>
      <c r="G256" s="170" t="str">
        <f aca="false">ExportRaw!$I256</f>
        <v/>
      </c>
      <c r="H256" s="168" t="str">
        <f aca="false">ExportRaw!$A256</f>
        <v/>
      </c>
      <c r="I256" s="168" t="str">
        <f aca="false">ExportRaw!$B256</f>
        <v/>
      </c>
    </row>
    <row r="257" customFormat="false" ht="15.75" hidden="false" customHeight="false" outlineLevel="0" collapsed="false">
      <c r="A257" s="168" t="n">
        <f aca="false">ExportRaw!$F257</f>
        <v>0</v>
      </c>
      <c r="B257" s="168" t="n">
        <f aca="false">ExportRaw!$C257</f>
        <v>0</v>
      </c>
      <c r="C257" s="168" t="n">
        <f aca="false">ExportRaw!$G257</f>
        <v>0</v>
      </c>
      <c r="D257" s="168" t="str">
        <f aca="false">ExportRaw!$E257</f>
        <v/>
      </c>
      <c r="E257" s="169" t="str">
        <f aca="false">ExportRaw!$D257</f>
        <v/>
      </c>
      <c r="F257" s="168" t="str">
        <f aca="false">ExportRaw!$H257</f>
        <v/>
      </c>
      <c r="G257" s="170" t="str">
        <f aca="false">ExportRaw!$I257</f>
        <v/>
      </c>
      <c r="H257" s="168" t="str">
        <f aca="false">ExportRaw!$A257</f>
        <v/>
      </c>
      <c r="I257" s="168" t="str">
        <f aca="false">ExportRaw!$B257</f>
        <v/>
      </c>
    </row>
    <row r="258" customFormat="false" ht="15.75" hidden="false" customHeight="false" outlineLevel="0" collapsed="false">
      <c r="A258" s="168" t="n">
        <f aca="false">ExportRaw!$F258</f>
        <v>0</v>
      </c>
      <c r="B258" s="168" t="n">
        <f aca="false">ExportRaw!$C258</f>
        <v>0</v>
      </c>
      <c r="C258" s="168" t="n">
        <f aca="false">ExportRaw!$G258</f>
        <v>0</v>
      </c>
      <c r="D258" s="168" t="str">
        <f aca="false">ExportRaw!$E258</f>
        <v/>
      </c>
      <c r="E258" s="169" t="str">
        <f aca="false">ExportRaw!$D258</f>
        <v/>
      </c>
      <c r="F258" s="168" t="str">
        <f aca="false">ExportRaw!$H258</f>
        <v/>
      </c>
      <c r="G258" s="170" t="str">
        <f aca="false">ExportRaw!$I258</f>
        <v/>
      </c>
      <c r="H258" s="168" t="str">
        <f aca="false">ExportRaw!$A258</f>
        <v/>
      </c>
      <c r="I258" s="168" t="str">
        <f aca="false">ExportRaw!$B258</f>
        <v/>
      </c>
    </row>
    <row r="259" customFormat="false" ht="15.75" hidden="false" customHeight="false" outlineLevel="0" collapsed="false">
      <c r="A259" s="168" t="n">
        <f aca="false">ExportRaw!$F259</f>
        <v>0</v>
      </c>
      <c r="B259" s="168" t="n">
        <f aca="false">ExportRaw!$C259</f>
        <v>0</v>
      </c>
      <c r="C259" s="168" t="n">
        <f aca="false">ExportRaw!$G259</f>
        <v>0</v>
      </c>
      <c r="D259" s="168" t="str">
        <f aca="false">ExportRaw!$E259</f>
        <v/>
      </c>
      <c r="E259" s="169" t="str">
        <f aca="false">ExportRaw!$D259</f>
        <v/>
      </c>
      <c r="F259" s="168" t="str">
        <f aca="false">ExportRaw!$H259</f>
        <v/>
      </c>
      <c r="G259" s="170" t="str">
        <f aca="false">ExportRaw!$I259</f>
        <v/>
      </c>
      <c r="H259" s="168" t="str">
        <f aca="false">ExportRaw!$A259</f>
        <v/>
      </c>
      <c r="I259" s="168" t="str">
        <f aca="false">ExportRaw!$B259</f>
        <v/>
      </c>
    </row>
    <row r="260" customFormat="false" ht="15.75" hidden="false" customHeight="false" outlineLevel="0" collapsed="false">
      <c r="A260" s="168" t="n">
        <f aca="false">ExportRaw!$F260</f>
        <v>0</v>
      </c>
      <c r="B260" s="168" t="n">
        <f aca="false">ExportRaw!$C260</f>
        <v>0</v>
      </c>
      <c r="C260" s="168" t="n">
        <f aca="false">ExportRaw!$G260</f>
        <v>0</v>
      </c>
      <c r="D260" s="168" t="str">
        <f aca="false">ExportRaw!$E260</f>
        <v/>
      </c>
      <c r="E260" s="169" t="str">
        <f aca="false">ExportRaw!$D260</f>
        <v/>
      </c>
      <c r="F260" s="168" t="str">
        <f aca="false">ExportRaw!$H260</f>
        <v/>
      </c>
      <c r="G260" s="170" t="str">
        <f aca="false">ExportRaw!$I260</f>
        <v/>
      </c>
      <c r="H260" s="168" t="str">
        <f aca="false">ExportRaw!$A260</f>
        <v/>
      </c>
      <c r="I260" s="168" t="str">
        <f aca="false">ExportRaw!$B260</f>
        <v/>
      </c>
    </row>
    <row r="261" customFormat="false" ht="15.75" hidden="false" customHeight="false" outlineLevel="0" collapsed="false">
      <c r="A261" s="168" t="n">
        <f aca="false">ExportRaw!$F261</f>
        <v>0</v>
      </c>
      <c r="B261" s="168" t="n">
        <f aca="false">ExportRaw!$C261</f>
        <v>0</v>
      </c>
      <c r="C261" s="168" t="n">
        <f aca="false">ExportRaw!$G261</f>
        <v>0</v>
      </c>
      <c r="D261" s="168" t="str">
        <f aca="false">ExportRaw!$E261</f>
        <v/>
      </c>
      <c r="E261" s="169" t="str">
        <f aca="false">ExportRaw!$D261</f>
        <v/>
      </c>
      <c r="F261" s="168" t="str">
        <f aca="false">ExportRaw!$H261</f>
        <v/>
      </c>
      <c r="G261" s="170" t="str">
        <f aca="false">ExportRaw!$I261</f>
        <v/>
      </c>
      <c r="H261" s="168" t="str">
        <f aca="false">ExportRaw!$A261</f>
        <v/>
      </c>
      <c r="I261" s="168" t="str">
        <f aca="false">ExportRaw!$B261</f>
        <v/>
      </c>
    </row>
    <row r="262" customFormat="false" ht="15.75" hidden="false" customHeight="false" outlineLevel="0" collapsed="false">
      <c r="A262" s="168" t="n">
        <f aca="false">ExportRaw!$F262</f>
        <v>0</v>
      </c>
      <c r="B262" s="168" t="n">
        <f aca="false">ExportRaw!$C262</f>
        <v>0</v>
      </c>
      <c r="C262" s="168" t="n">
        <f aca="false">ExportRaw!$G262</f>
        <v>0</v>
      </c>
      <c r="D262" s="168" t="str">
        <f aca="false">ExportRaw!$E262</f>
        <v/>
      </c>
      <c r="E262" s="169" t="str">
        <f aca="false">ExportRaw!$D262</f>
        <v/>
      </c>
      <c r="F262" s="168" t="str">
        <f aca="false">ExportRaw!$H262</f>
        <v/>
      </c>
      <c r="G262" s="170" t="str">
        <f aca="false">ExportRaw!$I262</f>
        <v/>
      </c>
      <c r="H262" s="168" t="str">
        <f aca="false">ExportRaw!$A262</f>
        <v/>
      </c>
      <c r="I262" s="168" t="str">
        <f aca="false">ExportRaw!$B262</f>
        <v/>
      </c>
    </row>
    <row r="263" customFormat="false" ht="15.75" hidden="false" customHeight="false" outlineLevel="0" collapsed="false">
      <c r="A263" s="168" t="n">
        <f aca="false">ExportRaw!$F263</f>
        <v>0</v>
      </c>
      <c r="B263" s="168" t="n">
        <f aca="false">ExportRaw!$C263</f>
        <v>0</v>
      </c>
      <c r="C263" s="168" t="n">
        <f aca="false">ExportRaw!$G263</f>
        <v>0</v>
      </c>
      <c r="D263" s="168" t="str">
        <f aca="false">ExportRaw!$E263</f>
        <v/>
      </c>
      <c r="E263" s="169" t="str">
        <f aca="false">ExportRaw!$D263</f>
        <v/>
      </c>
      <c r="F263" s="168" t="str">
        <f aca="false">ExportRaw!$H263</f>
        <v/>
      </c>
      <c r="G263" s="170" t="str">
        <f aca="false">ExportRaw!$I263</f>
        <v/>
      </c>
      <c r="H263" s="168" t="str">
        <f aca="false">ExportRaw!$A263</f>
        <v/>
      </c>
      <c r="I263" s="168" t="str">
        <f aca="false">ExportRaw!$B263</f>
        <v/>
      </c>
    </row>
    <row r="264" customFormat="false" ht="15.75" hidden="false" customHeight="false" outlineLevel="0" collapsed="false">
      <c r="A264" s="168" t="n">
        <f aca="false">ExportRaw!$F264</f>
        <v>0</v>
      </c>
      <c r="B264" s="168" t="n">
        <f aca="false">ExportRaw!$C264</f>
        <v>0</v>
      </c>
      <c r="C264" s="168" t="n">
        <f aca="false">ExportRaw!$G264</f>
        <v>0</v>
      </c>
      <c r="D264" s="168" t="str">
        <f aca="false">ExportRaw!$E264</f>
        <v/>
      </c>
      <c r="E264" s="169" t="str">
        <f aca="false">ExportRaw!$D264</f>
        <v/>
      </c>
      <c r="F264" s="168" t="str">
        <f aca="false">ExportRaw!$H264</f>
        <v/>
      </c>
      <c r="G264" s="170" t="str">
        <f aca="false">ExportRaw!$I264</f>
        <v/>
      </c>
      <c r="H264" s="168" t="str">
        <f aca="false">ExportRaw!$A264</f>
        <v/>
      </c>
      <c r="I264" s="168" t="str">
        <f aca="false">ExportRaw!$B264</f>
        <v/>
      </c>
    </row>
    <row r="265" customFormat="false" ht="15.75" hidden="false" customHeight="false" outlineLevel="0" collapsed="false">
      <c r="A265" s="168" t="n">
        <f aca="false">ExportRaw!$F265</f>
        <v>0</v>
      </c>
      <c r="B265" s="168" t="n">
        <f aca="false">ExportRaw!$C265</f>
        <v>0</v>
      </c>
      <c r="C265" s="168" t="n">
        <f aca="false">ExportRaw!$G265</f>
        <v>0</v>
      </c>
      <c r="D265" s="168" t="str">
        <f aca="false">ExportRaw!$E265</f>
        <v/>
      </c>
      <c r="E265" s="169" t="str">
        <f aca="false">ExportRaw!$D265</f>
        <v/>
      </c>
      <c r="F265" s="168" t="str">
        <f aca="false">ExportRaw!$H265</f>
        <v/>
      </c>
      <c r="G265" s="170" t="str">
        <f aca="false">ExportRaw!$I265</f>
        <v/>
      </c>
      <c r="H265" s="168" t="str">
        <f aca="false">ExportRaw!$A265</f>
        <v/>
      </c>
      <c r="I265" s="168" t="str">
        <f aca="false">ExportRaw!$B265</f>
        <v/>
      </c>
    </row>
    <row r="266" customFormat="false" ht="15.75" hidden="false" customHeight="false" outlineLevel="0" collapsed="false">
      <c r="A266" s="168" t="n">
        <f aca="false">ExportRaw!$F266</f>
        <v>0</v>
      </c>
      <c r="B266" s="168" t="n">
        <f aca="false">ExportRaw!$C266</f>
        <v>0</v>
      </c>
      <c r="C266" s="168" t="n">
        <f aca="false">ExportRaw!$G266</f>
        <v>0</v>
      </c>
      <c r="D266" s="168" t="str">
        <f aca="false">ExportRaw!$E266</f>
        <v/>
      </c>
      <c r="E266" s="169" t="str">
        <f aca="false">ExportRaw!$D266</f>
        <v/>
      </c>
      <c r="F266" s="168" t="str">
        <f aca="false">ExportRaw!$H266</f>
        <v/>
      </c>
      <c r="G266" s="170" t="str">
        <f aca="false">ExportRaw!$I266</f>
        <v/>
      </c>
      <c r="H266" s="168" t="str">
        <f aca="false">ExportRaw!$A266</f>
        <v/>
      </c>
      <c r="I266" s="168" t="str">
        <f aca="false">ExportRaw!$B266</f>
        <v/>
      </c>
    </row>
    <row r="267" customFormat="false" ht="15.75" hidden="false" customHeight="false" outlineLevel="0" collapsed="false">
      <c r="A267" s="168" t="n">
        <f aca="false">ExportRaw!$F267</f>
        <v>0</v>
      </c>
      <c r="B267" s="168" t="n">
        <f aca="false">ExportRaw!$C267</f>
        <v>0</v>
      </c>
      <c r="C267" s="168" t="n">
        <f aca="false">ExportRaw!$G267</f>
        <v>0</v>
      </c>
      <c r="D267" s="168" t="str">
        <f aca="false">ExportRaw!$E267</f>
        <v/>
      </c>
      <c r="E267" s="169" t="str">
        <f aca="false">ExportRaw!$D267</f>
        <v/>
      </c>
      <c r="F267" s="168" t="str">
        <f aca="false">ExportRaw!$H267</f>
        <v/>
      </c>
      <c r="G267" s="170" t="str">
        <f aca="false">ExportRaw!$I267</f>
        <v/>
      </c>
      <c r="H267" s="168" t="str">
        <f aca="false">ExportRaw!$A267</f>
        <v/>
      </c>
      <c r="I267" s="168" t="str">
        <f aca="false">ExportRaw!$B267</f>
        <v/>
      </c>
    </row>
    <row r="268" customFormat="false" ht="15.75" hidden="false" customHeight="false" outlineLevel="0" collapsed="false">
      <c r="A268" s="168" t="n">
        <f aca="false">ExportRaw!$F268</f>
        <v>0</v>
      </c>
      <c r="B268" s="168" t="n">
        <f aca="false">ExportRaw!$C268</f>
        <v>0</v>
      </c>
      <c r="C268" s="168" t="n">
        <f aca="false">ExportRaw!$G268</f>
        <v>0</v>
      </c>
      <c r="D268" s="168" t="str">
        <f aca="false">ExportRaw!$E268</f>
        <v/>
      </c>
      <c r="E268" s="169" t="str">
        <f aca="false">ExportRaw!$D268</f>
        <v/>
      </c>
      <c r="F268" s="168" t="str">
        <f aca="false">ExportRaw!$H268</f>
        <v/>
      </c>
      <c r="G268" s="170" t="str">
        <f aca="false">ExportRaw!$I268</f>
        <v/>
      </c>
      <c r="H268" s="168" t="str">
        <f aca="false">ExportRaw!$A268</f>
        <v/>
      </c>
      <c r="I268" s="168" t="str">
        <f aca="false">ExportRaw!$B268</f>
        <v/>
      </c>
    </row>
    <row r="269" customFormat="false" ht="15.75" hidden="false" customHeight="false" outlineLevel="0" collapsed="false">
      <c r="A269" s="168" t="n">
        <f aca="false">ExportRaw!$F269</f>
        <v>0</v>
      </c>
      <c r="B269" s="168" t="n">
        <f aca="false">ExportRaw!$C269</f>
        <v>0</v>
      </c>
      <c r="C269" s="168" t="n">
        <f aca="false">ExportRaw!$G269</f>
        <v>0</v>
      </c>
      <c r="D269" s="168" t="str">
        <f aca="false">ExportRaw!$E269</f>
        <v/>
      </c>
      <c r="E269" s="169" t="str">
        <f aca="false">ExportRaw!$D269</f>
        <v/>
      </c>
      <c r="F269" s="168" t="str">
        <f aca="false">ExportRaw!$H269</f>
        <v/>
      </c>
      <c r="G269" s="170" t="str">
        <f aca="false">ExportRaw!$I269</f>
        <v/>
      </c>
      <c r="H269" s="168" t="str">
        <f aca="false">ExportRaw!$A269</f>
        <v/>
      </c>
      <c r="I269" s="168" t="str">
        <f aca="false">ExportRaw!$B269</f>
        <v/>
      </c>
    </row>
    <row r="270" customFormat="false" ht="15.75" hidden="false" customHeight="false" outlineLevel="0" collapsed="false">
      <c r="A270" s="168" t="n">
        <f aca="false">ExportRaw!$F270</f>
        <v>0</v>
      </c>
      <c r="B270" s="168" t="n">
        <f aca="false">ExportRaw!$C270</f>
        <v>0</v>
      </c>
      <c r="C270" s="168" t="n">
        <f aca="false">ExportRaw!$G270</f>
        <v>0</v>
      </c>
      <c r="D270" s="168" t="str">
        <f aca="false">ExportRaw!$E270</f>
        <v/>
      </c>
      <c r="E270" s="169" t="str">
        <f aca="false">ExportRaw!$D270</f>
        <v/>
      </c>
      <c r="F270" s="168" t="str">
        <f aca="false">ExportRaw!$H270</f>
        <v/>
      </c>
      <c r="G270" s="170" t="str">
        <f aca="false">ExportRaw!$I270</f>
        <v/>
      </c>
      <c r="H270" s="168" t="str">
        <f aca="false">ExportRaw!$A270</f>
        <v/>
      </c>
      <c r="I270" s="168" t="str">
        <f aca="false">ExportRaw!$B270</f>
        <v/>
      </c>
    </row>
    <row r="271" customFormat="false" ht="15.75" hidden="false" customHeight="false" outlineLevel="0" collapsed="false">
      <c r="A271" s="168" t="n">
        <f aca="false">ExportRaw!$F271</f>
        <v>0</v>
      </c>
      <c r="B271" s="168" t="n">
        <f aca="false">ExportRaw!$C271</f>
        <v>0</v>
      </c>
      <c r="C271" s="168" t="n">
        <f aca="false">ExportRaw!$G271</f>
        <v>0</v>
      </c>
      <c r="D271" s="168" t="str">
        <f aca="false">ExportRaw!$E271</f>
        <v/>
      </c>
      <c r="E271" s="169" t="str">
        <f aca="false">ExportRaw!$D271</f>
        <v/>
      </c>
      <c r="F271" s="168" t="str">
        <f aca="false">ExportRaw!$H271</f>
        <v/>
      </c>
      <c r="G271" s="170" t="str">
        <f aca="false">ExportRaw!$I271</f>
        <v/>
      </c>
      <c r="H271" s="168" t="str">
        <f aca="false">ExportRaw!$A271</f>
        <v/>
      </c>
      <c r="I271" s="168" t="str">
        <f aca="false">ExportRaw!$B271</f>
        <v/>
      </c>
    </row>
    <row r="272" customFormat="false" ht="15.75" hidden="false" customHeight="false" outlineLevel="0" collapsed="false">
      <c r="A272" s="168" t="n">
        <f aca="false">ExportRaw!$F272</f>
        <v>0</v>
      </c>
      <c r="B272" s="168" t="n">
        <f aca="false">ExportRaw!$C272</f>
        <v>0</v>
      </c>
      <c r="C272" s="168" t="n">
        <f aca="false">ExportRaw!$G272</f>
        <v>0</v>
      </c>
      <c r="D272" s="168" t="str">
        <f aca="false">ExportRaw!$E272</f>
        <v/>
      </c>
      <c r="E272" s="169" t="str">
        <f aca="false">ExportRaw!$D272</f>
        <v/>
      </c>
      <c r="F272" s="168" t="str">
        <f aca="false">ExportRaw!$H272</f>
        <v/>
      </c>
      <c r="G272" s="170" t="str">
        <f aca="false">ExportRaw!$I272</f>
        <v/>
      </c>
      <c r="H272" s="168" t="str">
        <f aca="false">ExportRaw!$A272</f>
        <v/>
      </c>
      <c r="I272" s="168" t="str">
        <f aca="false">ExportRaw!$B272</f>
        <v/>
      </c>
    </row>
    <row r="273" customFormat="false" ht="15.75" hidden="false" customHeight="false" outlineLevel="0" collapsed="false">
      <c r="A273" s="168" t="n">
        <f aca="false">ExportRaw!$F273</f>
        <v>0</v>
      </c>
      <c r="B273" s="168" t="n">
        <f aca="false">ExportRaw!$C273</f>
        <v>0</v>
      </c>
      <c r="C273" s="168" t="n">
        <f aca="false">ExportRaw!$G273</f>
        <v>0</v>
      </c>
      <c r="D273" s="168" t="str">
        <f aca="false">ExportRaw!$E273</f>
        <v/>
      </c>
      <c r="E273" s="169" t="str">
        <f aca="false">ExportRaw!$D273</f>
        <v/>
      </c>
      <c r="F273" s="168" t="str">
        <f aca="false">ExportRaw!$H273</f>
        <v/>
      </c>
      <c r="G273" s="170" t="str">
        <f aca="false">ExportRaw!$I273</f>
        <v/>
      </c>
      <c r="H273" s="168" t="str">
        <f aca="false">ExportRaw!$A273</f>
        <v/>
      </c>
      <c r="I273" s="168" t="str">
        <f aca="false">ExportRaw!$B273</f>
        <v/>
      </c>
    </row>
    <row r="274" customFormat="false" ht="15.75" hidden="false" customHeight="false" outlineLevel="0" collapsed="false">
      <c r="A274" s="168" t="n">
        <f aca="false">ExportRaw!$F274</f>
        <v>0</v>
      </c>
      <c r="B274" s="168" t="n">
        <f aca="false">ExportRaw!$C274</f>
        <v>0</v>
      </c>
      <c r="C274" s="168" t="n">
        <f aca="false">ExportRaw!$G274</f>
        <v>0</v>
      </c>
      <c r="D274" s="168" t="str">
        <f aca="false">ExportRaw!$E274</f>
        <v/>
      </c>
      <c r="E274" s="169" t="str">
        <f aca="false">ExportRaw!$D274</f>
        <v/>
      </c>
      <c r="F274" s="168" t="str">
        <f aca="false">ExportRaw!$H274</f>
        <v/>
      </c>
      <c r="G274" s="170" t="str">
        <f aca="false">ExportRaw!$I274</f>
        <v/>
      </c>
      <c r="H274" s="168" t="str">
        <f aca="false">ExportRaw!$A274</f>
        <v/>
      </c>
      <c r="I274" s="168" t="str">
        <f aca="false">ExportRaw!$B274</f>
        <v/>
      </c>
    </row>
    <row r="275" customFormat="false" ht="15.75" hidden="false" customHeight="false" outlineLevel="0" collapsed="false">
      <c r="A275" s="168" t="n">
        <f aca="false">ExportRaw!$F275</f>
        <v>0</v>
      </c>
      <c r="B275" s="168" t="n">
        <f aca="false">ExportRaw!$C275</f>
        <v>0</v>
      </c>
      <c r="C275" s="168" t="n">
        <f aca="false">ExportRaw!$G275</f>
        <v>0</v>
      </c>
      <c r="D275" s="168" t="str">
        <f aca="false">ExportRaw!$E275</f>
        <v/>
      </c>
      <c r="E275" s="169" t="str">
        <f aca="false">ExportRaw!$D275</f>
        <v/>
      </c>
      <c r="F275" s="168" t="str">
        <f aca="false">ExportRaw!$H275</f>
        <v/>
      </c>
      <c r="G275" s="170" t="str">
        <f aca="false">ExportRaw!$I275</f>
        <v/>
      </c>
      <c r="H275" s="168" t="str">
        <f aca="false">ExportRaw!$A275</f>
        <v/>
      </c>
      <c r="I275" s="168" t="str">
        <f aca="false">ExportRaw!$B275</f>
        <v/>
      </c>
    </row>
    <row r="276" customFormat="false" ht="15.75" hidden="false" customHeight="false" outlineLevel="0" collapsed="false">
      <c r="A276" s="168" t="n">
        <f aca="false">ExportRaw!$F276</f>
        <v>0</v>
      </c>
      <c r="B276" s="168" t="n">
        <f aca="false">ExportRaw!$C276</f>
        <v>0</v>
      </c>
      <c r="C276" s="168" t="n">
        <f aca="false">ExportRaw!$G276</f>
        <v>0</v>
      </c>
      <c r="D276" s="168" t="str">
        <f aca="false">ExportRaw!$E276</f>
        <v/>
      </c>
      <c r="E276" s="169" t="str">
        <f aca="false">ExportRaw!$D276</f>
        <v/>
      </c>
      <c r="F276" s="168" t="str">
        <f aca="false">ExportRaw!$H276</f>
        <v/>
      </c>
      <c r="G276" s="170" t="str">
        <f aca="false">ExportRaw!$I276</f>
        <v/>
      </c>
      <c r="H276" s="168" t="str">
        <f aca="false">ExportRaw!$A276</f>
        <v/>
      </c>
      <c r="I276" s="168" t="str">
        <f aca="false">ExportRaw!$B276</f>
        <v/>
      </c>
    </row>
    <row r="277" customFormat="false" ht="15.75" hidden="false" customHeight="false" outlineLevel="0" collapsed="false">
      <c r="A277" s="168" t="n">
        <f aca="false">ExportRaw!$F277</f>
        <v>0</v>
      </c>
      <c r="B277" s="168" t="n">
        <f aca="false">ExportRaw!$C277</f>
        <v>0</v>
      </c>
      <c r="C277" s="168" t="n">
        <f aca="false">ExportRaw!$G277</f>
        <v>0</v>
      </c>
      <c r="D277" s="168" t="str">
        <f aca="false">ExportRaw!$E277</f>
        <v/>
      </c>
      <c r="E277" s="169" t="str">
        <f aca="false">ExportRaw!$D277</f>
        <v/>
      </c>
      <c r="F277" s="168" t="str">
        <f aca="false">ExportRaw!$H277</f>
        <v/>
      </c>
      <c r="G277" s="170" t="str">
        <f aca="false">ExportRaw!$I277</f>
        <v/>
      </c>
      <c r="H277" s="168" t="str">
        <f aca="false">ExportRaw!$A277</f>
        <v/>
      </c>
      <c r="I277" s="168" t="str">
        <f aca="false">ExportRaw!$B277</f>
        <v/>
      </c>
    </row>
    <row r="278" customFormat="false" ht="15.75" hidden="false" customHeight="false" outlineLevel="0" collapsed="false">
      <c r="A278" s="168" t="n">
        <f aca="false">ExportRaw!$F278</f>
        <v>0</v>
      </c>
      <c r="B278" s="168" t="n">
        <f aca="false">ExportRaw!$C278</f>
        <v>0</v>
      </c>
      <c r="C278" s="168" t="n">
        <f aca="false">ExportRaw!$G278</f>
        <v>0</v>
      </c>
      <c r="D278" s="168" t="str">
        <f aca="false">ExportRaw!$E278</f>
        <v/>
      </c>
      <c r="E278" s="169" t="str">
        <f aca="false">ExportRaw!$D278</f>
        <v/>
      </c>
      <c r="F278" s="168" t="str">
        <f aca="false">ExportRaw!$H278</f>
        <v/>
      </c>
      <c r="G278" s="170" t="str">
        <f aca="false">ExportRaw!$I278</f>
        <v/>
      </c>
      <c r="H278" s="168" t="str">
        <f aca="false">ExportRaw!$A278</f>
        <v/>
      </c>
      <c r="I278" s="168" t="str">
        <f aca="false">ExportRaw!$B278</f>
        <v/>
      </c>
    </row>
    <row r="279" customFormat="false" ht="15.75" hidden="false" customHeight="false" outlineLevel="0" collapsed="false">
      <c r="A279" s="168" t="n">
        <f aca="false">ExportRaw!$F279</f>
        <v>0</v>
      </c>
      <c r="B279" s="168" t="n">
        <f aca="false">ExportRaw!$C279</f>
        <v>0</v>
      </c>
      <c r="C279" s="168" t="n">
        <f aca="false">ExportRaw!$G279</f>
        <v>0</v>
      </c>
      <c r="D279" s="168" t="str">
        <f aca="false">ExportRaw!$E279</f>
        <v/>
      </c>
      <c r="E279" s="169" t="str">
        <f aca="false">ExportRaw!$D279</f>
        <v/>
      </c>
      <c r="F279" s="168" t="str">
        <f aca="false">ExportRaw!$H279</f>
        <v/>
      </c>
      <c r="G279" s="170" t="str">
        <f aca="false">ExportRaw!$I279</f>
        <v/>
      </c>
      <c r="H279" s="168" t="str">
        <f aca="false">ExportRaw!$A279</f>
        <v/>
      </c>
      <c r="I279" s="168" t="str">
        <f aca="false">ExportRaw!$B279</f>
        <v/>
      </c>
    </row>
    <row r="280" customFormat="false" ht="15.75" hidden="false" customHeight="false" outlineLevel="0" collapsed="false">
      <c r="A280" s="168" t="n">
        <f aca="false">ExportRaw!$F280</f>
        <v>0</v>
      </c>
      <c r="B280" s="168" t="n">
        <f aca="false">ExportRaw!$C280</f>
        <v>0</v>
      </c>
      <c r="C280" s="168" t="n">
        <f aca="false">ExportRaw!$G280</f>
        <v>0</v>
      </c>
      <c r="D280" s="168" t="str">
        <f aca="false">ExportRaw!$E280</f>
        <v/>
      </c>
      <c r="E280" s="169" t="str">
        <f aca="false">ExportRaw!$D280</f>
        <v/>
      </c>
      <c r="F280" s="168" t="str">
        <f aca="false">ExportRaw!$H280</f>
        <v/>
      </c>
      <c r="G280" s="170" t="str">
        <f aca="false">ExportRaw!$I280</f>
        <v/>
      </c>
      <c r="H280" s="168" t="str">
        <f aca="false">ExportRaw!$A280</f>
        <v/>
      </c>
      <c r="I280" s="168" t="str">
        <f aca="false">ExportRaw!$B280</f>
        <v/>
      </c>
    </row>
    <row r="281" customFormat="false" ht="15.75" hidden="false" customHeight="false" outlineLevel="0" collapsed="false">
      <c r="A281" s="168" t="n">
        <f aca="false">ExportRaw!$F281</f>
        <v>0</v>
      </c>
      <c r="B281" s="168" t="n">
        <f aca="false">ExportRaw!$C281</f>
        <v>0</v>
      </c>
      <c r="C281" s="168" t="n">
        <f aca="false">ExportRaw!$G281</f>
        <v>0</v>
      </c>
      <c r="D281" s="168" t="str">
        <f aca="false">ExportRaw!$E281</f>
        <v/>
      </c>
      <c r="E281" s="169" t="str">
        <f aca="false">ExportRaw!$D281</f>
        <v/>
      </c>
      <c r="F281" s="168" t="str">
        <f aca="false">ExportRaw!$H281</f>
        <v/>
      </c>
      <c r="G281" s="170" t="str">
        <f aca="false">ExportRaw!$I281</f>
        <v/>
      </c>
      <c r="H281" s="168" t="str">
        <f aca="false">ExportRaw!$A281</f>
        <v/>
      </c>
      <c r="I281" s="168" t="str">
        <f aca="false">ExportRaw!$B281</f>
        <v/>
      </c>
    </row>
    <row r="282" customFormat="false" ht="15.75" hidden="false" customHeight="false" outlineLevel="0" collapsed="false">
      <c r="A282" s="168" t="n">
        <f aca="false">ExportRaw!$F282</f>
        <v>0</v>
      </c>
      <c r="B282" s="168" t="n">
        <f aca="false">ExportRaw!$C282</f>
        <v>0</v>
      </c>
      <c r="C282" s="168" t="n">
        <f aca="false">ExportRaw!$G282</f>
        <v>0</v>
      </c>
      <c r="D282" s="168" t="str">
        <f aca="false">ExportRaw!$E282</f>
        <v/>
      </c>
      <c r="E282" s="169" t="str">
        <f aca="false">ExportRaw!$D282</f>
        <v/>
      </c>
      <c r="F282" s="168" t="str">
        <f aca="false">ExportRaw!$H282</f>
        <v/>
      </c>
      <c r="G282" s="170" t="str">
        <f aca="false">ExportRaw!$I282</f>
        <v/>
      </c>
      <c r="H282" s="168" t="str">
        <f aca="false">ExportRaw!$A282</f>
        <v/>
      </c>
      <c r="I282" s="168" t="str">
        <f aca="false">ExportRaw!$B282</f>
        <v/>
      </c>
    </row>
    <row r="283" customFormat="false" ht="15.75" hidden="false" customHeight="false" outlineLevel="0" collapsed="false">
      <c r="A283" s="168" t="n">
        <f aca="false">ExportRaw!$F283</f>
        <v>0</v>
      </c>
      <c r="B283" s="168" t="n">
        <f aca="false">ExportRaw!$C283</f>
        <v>0</v>
      </c>
      <c r="C283" s="168" t="n">
        <f aca="false">ExportRaw!$G283</f>
        <v>0</v>
      </c>
      <c r="D283" s="168" t="str">
        <f aca="false">ExportRaw!$E283</f>
        <v/>
      </c>
      <c r="E283" s="169" t="str">
        <f aca="false">ExportRaw!$D283</f>
        <v/>
      </c>
      <c r="F283" s="168" t="str">
        <f aca="false">ExportRaw!$H283</f>
        <v/>
      </c>
      <c r="G283" s="170" t="str">
        <f aca="false">ExportRaw!$I283</f>
        <v/>
      </c>
      <c r="H283" s="168" t="str">
        <f aca="false">ExportRaw!$A283</f>
        <v/>
      </c>
      <c r="I283" s="168" t="str">
        <f aca="false">ExportRaw!$B283</f>
        <v/>
      </c>
    </row>
    <row r="284" customFormat="false" ht="15.75" hidden="false" customHeight="false" outlineLevel="0" collapsed="false">
      <c r="A284" s="168" t="n">
        <f aca="false">ExportRaw!$F284</f>
        <v>0</v>
      </c>
      <c r="B284" s="168" t="n">
        <f aca="false">ExportRaw!$C284</f>
        <v>0</v>
      </c>
      <c r="C284" s="168" t="n">
        <f aca="false">ExportRaw!$G284</f>
        <v>0</v>
      </c>
      <c r="D284" s="168" t="str">
        <f aca="false">ExportRaw!$E284</f>
        <v/>
      </c>
      <c r="E284" s="169" t="str">
        <f aca="false">ExportRaw!$D284</f>
        <v/>
      </c>
      <c r="F284" s="168" t="str">
        <f aca="false">ExportRaw!$H284</f>
        <v/>
      </c>
      <c r="G284" s="170" t="str">
        <f aca="false">ExportRaw!$I284</f>
        <v/>
      </c>
      <c r="H284" s="168" t="str">
        <f aca="false">ExportRaw!$A284</f>
        <v/>
      </c>
      <c r="I284" s="168" t="str">
        <f aca="false">ExportRaw!$B284</f>
        <v/>
      </c>
    </row>
    <row r="285" customFormat="false" ht="15.75" hidden="false" customHeight="false" outlineLevel="0" collapsed="false">
      <c r="A285" s="168" t="n">
        <f aca="false">ExportRaw!$F285</f>
        <v>0</v>
      </c>
      <c r="B285" s="168" t="n">
        <f aca="false">ExportRaw!$C285</f>
        <v>0</v>
      </c>
      <c r="C285" s="168" t="n">
        <f aca="false">ExportRaw!$G285</f>
        <v>0</v>
      </c>
      <c r="D285" s="168" t="str">
        <f aca="false">ExportRaw!$E285</f>
        <v/>
      </c>
      <c r="E285" s="169" t="str">
        <f aca="false">ExportRaw!$D285</f>
        <v/>
      </c>
      <c r="F285" s="168" t="str">
        <f aca="false">ExportRaw!$H285</f>
        <v/>
      </c>
      <c r="G285" s="170" t="str">
        <f aca="false">ExportRaw!$I285</f>
        <v/>
      </c>
      <c r="H285" s="168" t="str">
        <f aca="false">ExportRaw!$A285</f>
        <v/>
      </c>
      <c r="I285" s="168" t="str">
        <f aca="false">ExportRaw!$B285</f>
        <v/>
      </c>
    </row>
    <row r="286" customFormat="false" ht="15.75" hidden="false" customHeight="false" outlineLevel="0" collapsed="false">
      <c r="A286" s="168" t="n">
        <f aca="false">ExportRaw!$F286</f>
        <v>0</v>
      </c>
      <c r="B286" s="168" t="n">
        <f aca="false">ExportRaw!$C286</f>
        <v>0</v>
      </c>
      <c r="C286" s="168" t="n">
        <f aca="false">ExportRaw!$G286</f>
        <v>0</v>
      </c>
      <c r="D286" s="168" t="str">
        <f aca="false">ExportRaw!$E286</f>
        <v/>
      </c>
      <c r="E286" s="169" t="str">
        <f aca="false">ExportRaw!$D286</f>
        <v/>
      </c>
      <c r="F286" s="168" t="str">
        <f aca="false">ExportRaw!$H286</f>
        <v/>
      </c>
      <c r="G286" s="170" t="str">
        <f aca="false">ExportRaw!$I286</f>
        <v/>
      </c>
      <c r="H286" s="168" t="str">
        <f aca="false">ExportRaw!$A286</f>
        <v/>
      </c>
      <c r="I286" s="168" t="str">
        <f aca="false">ExportRaw!$B286</f>
        <v/>
      </c>
    </row>
    <row r="287" customFormat="false" ht="15.75" hidden="false" customHeight="false" outlineLevel="0" collapsed="false">
      <c r="A287" s="168" t="n">
        <f aca="false">ExportRaw!$F287</f>
        <v>0</v>
      </c>
      <c r="B287" s="168" t="n">
        <f aca="false">ExportRaw!$C287</f>
        <v>0</v>
      </c>
      <c r="C287" s="168" t="n">
        <f aca="false">ExportRaw!$G287</f>
        <v>0</v>
      </c>
      <c r="D287" s="168" t="str">
        <f aca="false">ExportRaw!$E287</f>
        <v/>
      </c>
      <c r="E287" s="169" t="str">
        <f aca="false">ExportRaw!$D287</f>
        <v/>
      </c>
      <c r="F287" s="168" t="str">
        <f aca="false">ExportRaw!$H287</f>
        <v/>
      </c>
      <c r="G287" s="170" t="str">
        <f aca="false">ExportRaw!$I287</f>
        <v/>
      </c>
      <c r="H287" s="168" t="str">
        <f aca="false">ExportRaw!$A287</f>
        <v/>
      </c>
      <c r="I287" s="168" t="str">
        <f aca="false">ExportRaw!$B287</f>
        <v/>
      </c>
    </row>
    <row r="288" customFormat="false" ht="15.75" hidden="false" customHeight="false" outlineLevel="0" collapsed="false">
      <c r="A288" s="168" t="n">
        <f aca="false">ExportRaw!$F288</f>
        <v>0</v>
      </c>
      <c r="B288" s="168" t="n">
        <f aca="false">ExportRaw!$C288</f>
        <v>0</v>
      </c>
      <c r="C288" s="168" t="n">
        <f aca="false">ExportRaw!$G288</f>
        <v>0</v>
      </c>
      <c r="D288" s="168" t="str">
        <f aca="false">ExportRaw!$E288</f>
        <v/>
      </c>
      <c r="E288" s="169" t="str">
        <f aca="false">ExportRaw!$D288</f>
        <v/>
      </c>
      <c r="F288" s="168" t="str">
        <f aca="false">ExportRaw!$H288</f>
        <v/>
      </c>
      <c r="G288" s="170" t="str">
        <f aca="false">ExportRaw!$I288</f>
        <v/>
      </c>
      <c r="H288" s="168" t="str">
        <f aca="false">ExportRaw!$A288</f>
        <v/>
      </c>
      <c r="I288" s="168" t="str">
        <f aca="false">ExportRaw!$B288</f>
        <v/>
      </c>
    </row>
    <row r="289" customFormat="false" ht="15.75" hidden="false" customHeight="false" outlineLevel="0" collapsed="false">
      <c r="A289" s="168" t="n">
        <f aca="false">ExportRaw!$F289</f>
        <v>0</v>
      </c>
      <c r="B289" s="168" t="n">
        <f aca="false">ExportRaw!$C289</f>
        <v>0</v>
      </c>
      <c r="C289" s="168" t="n">
        <f aca="false">ExportRaw!$G289</f>
        <v>0</v>
      </c>
      <c r="D289" s="168" t="str">
        <f aca="false">ExportRaw!$E289</f>
        <v/>
      </c>
      <c r="E289" s="169" t="str">
        <f aca="false">ExportRaw!$D289</f>
        <v/>
      </c>
      <c r="F289" s="168" t="str">
        <f aca="false">ExportRaw!$H289</f>
        <v/>
      </c>
      <c r="G289" s="170" t="str">
        <f aca="false">ExportRaw!$I289</f>
        <v/>
      </c>
      <c r="H289" s="168" t="str">
        <f aca="false">ExportRaw!$A289</f>
        <v/>
      </c>
      <c r="I289" s="168" t="str">
        <f aca="false">ExportRaw!$B289</f>
        <v/>
      </c>
    </row>
    <row r="290" customFormat="false" ht="15.75" hidden="false" customHeight="false" outlineLevel="0" collapsed="false">
      <c r="A290" s="168" t="n">
        <f aca="false">ExportRaw!$F290</f>
        <v>0</v>
      </c>
      <c r="B290" s="168" t="n">
        <f aca="false">ExportRaw!$C290</f>
        <v>0</v>
      </c>
      <c r="C290" s="168" t="n">
        <f aca="false">ExportRaw!$G290</f>
        <v>0</v>
      </c>
      <c r="D290" s="168" t="str">
        <f aca="false">ExportRaw!$E290</f>
        <v/>
      </c>
      <c r="E290" s="169" t="str">
        <f aca="false">ExportRaw!$D290</f>
        <v/>
      </c>
      <c r="F290" s="168" t="str">
        <f aca="false">ExportRaw!$H290</f>
        <v/>
      </c>
      <c r="G290" s="170" t="str">
        <f aca="false">ExportRaw!$I290</f>
        <v/>
      </c>
      <c r="H290" s="168" t="str">
        <f aca="false">ExportRaw!$A290</f>
        <v/>
      </c>
      <c r="I290" s="168" t="str">
        <f aca="false">ExportRaw!$B290</f>
        <v/>
      </c>
    </row>
    <row r="291" customFormat="false" ht="15.75" hidden="false" customHeight="false" outlineLevel="0" collapsed="false">
      <c r="A291" s="168" t="n">
        <f aca="false">ExportRaw!$F291</f>
        <v>0</v>
      </c>
      <c r="B291" s="168" t="n">
        <f aca="false">ExportRaw!$C291</f>
        <v>0</v>
      </c>
      <c r="C291" s="168" t="n">
        <f aca="false">ExportRaw!$G291</f>
        <v>0</v>
      </c>
      <c r="D291" s="168" t="str">
        <f aca="false">ExportRaw!$E291</f>
        <v/>
      </c>
      <c r="E291" s="169" t="str">
        <f aca="false">ExportRaw!$D291</f>
        <v/>
      </c>
      <c r="F291" s="168" t="str">
        <f aca="false">ExportRaw!$H291</f>
        <v/>
      </c>
      <c r="G291" s="170" t="str">
        <f aca="false">ExportRaw!$I291</f>
        <v/>
      </c>
      <c r="H291" s="168" t="str">
        <f aca="false">ExportRaw!$A291</f>
        <v/>
      </c>
      <c r="I291" s="168" t="str">
        <f aca="false">ExportRaw!$B291</f>
        <v/>
      </c>
    </row>
    <row r="292" customFormat="false" ht="15.75" hidden="false" customHeight="false" outlineLevel="0" collapsed="false">
      <c r="A292" s="168" t="n">
        <f aca="false">ExportRaw!$F292</f>
        <v>0</v>
      </c>
      <c r="B292" s="168" t="n">
        <f aca="false">ExportRaw!$C292</f>
        <v>0</v>
      </c>
      <c r="C292" s="168" t="n">
        <f aca="false">ExportRaw!$G292</f>
        <v>0</v>
      </c>
      <c r="D292" s="168" t="str">
        <f aca="false">ExportRaw!$E292</f>
        <v/>
      </c>
      <c r="E292" s="169" t="str">
        <f aca="false">ExportRaw!$D292</f>
        <v/>
      </c>
      <c r="F292" s="168" t="str">
        <f aca="false">ExportRaw!$H292</f>
        <v/>
      </c>
      <c r="G292" s="170" t="str">
        <f aca="false">ExportRaw!$I292</f>
        <v/>
      </c>
      <c r="H292" s="168" t="str">
        <f aca="false">ExportRaw!$A292</f>
        <v/>
      </c>
      <c r="I292" s="168" t="str">
        <f aca="false">ExportRaw!$B292</f>
        <v/>
      </c>
    </row>
    <row r="293" customFormat="false" ht="15.75" hidden="false" customHeight="false" outlineLevel="0" collapsed="false">
      <c r="A293" s="168" t="n">
        <f aca="false">ExportRaw!$F293</f>
        <v>0</v>
      </c>
      <c r="B293" s="168" t="n">
        <f aca="false">ExportRaw!$C293</f>
        <v>0</v>
      </c>
      <c r="C293" s="168" t="n">
        <f aca="false">ExportRaw!$G293</f>
        <v>0</v>
      </c>
      <c r="D293" s="168" t="str">
        <f aca="false">ExportRaw!$E293</f>
        <v/>
      </c>
      <c r="E293" s="169" t="str">
        <f aca="false">ExportRaw!$D293</f>
        <v/>
      </c>
      <c r="F293" s="168" t="str">
        <f aca="false">ExportRaw!$H293</f>
        <v/>
      </c>
      <c r="G293" s="170" t="str">
        <f aca="false">ExportRaw!$I293</f>
        <v/>
      </c>
      <c r="H293" s="168" t="str">
        <f aca="false">ExportRaw!$A293</f>
        <v/>
      </c>
      <c r="I293" s="168" t="str">
        <f aca="false">ExportRaw!$B293</f>
        <v/>
      </c>
    </row>
    <row r="294" customFormat="false" ht="15.75" hidden="false" customHeight="false" outlineLevel="0" collapsed="false">
      <c r="A294" s="168" t="n">
        <f aca="false">ExportRaw!$F294</f>
        <v>0</v>
      </c>
      <c r="B294" s="168" t="n">
        <f aca="false">ExportRaw!$C294</f>
        <v>0</v>
      </c>
      <c r="C294" s="168" t="n">
        <f aca="false">ExportRaw!$G294</f>
        <v>0</v>
      </c>
      <c r="D294" s="168" t="str">
        <f aca="false">ExportRaw!$E294</f>
        <v/>
      </c>
      <c r="E294" s="169" t="str">
        <f aca="false">ExportRaw!$D294</f>
        <v/>
      </c>
      <c r="F294" s="168" t="str">
        <f aca="false">ExportRaw!$H294</f>
        <v/>
      </c>
      <c r="G294" s="170" t="str">
        <f aca="false">ExportRaw!$I294</f>
        <v/>
      </c>
      <c r="H294" s="168" t="str">
        <f aca="false">ExportRaw!$A294</f>
        <v/>
      </c>
      <c r="I294" s="168" t="str">
        <f aca="false">ExportRaw!$B294</f>
        <v/>
      </c>
    </row>
    <row r="295" customFormat="false" ht="15.75" hidden="false" customHeight="false" outlineLevel="0" collapsed="false">
      <c r="A295" s="168" t="n">
        <f aca="false">ExportRaw!$F295</f>
        <v>0</v>
      </c>
      <c r="B295" s="168" t="n">
        <f aca="false">ExportRaw!$C295</f>
        <v>0</v>
      </c>
      <c r="C295" s="168" t="n">
        <f aca="false">ExportRaw!$G295</f>
        <v>0</v>
      </c>
      <c r="D295" s="168" t="str">
        <f aca="false">ExportRaw!$E295</f>
        <v/>
      </c>
      <c r="E295" s="169" t="str">
        <f aca="false">ExportRaw!$D295</f>
        <v/>
      </c>
      <c r="F295" s="168" t="str">
        <f aca="false">ExportRaw!$H295</f>
        <v/>
      </c>
      <c r="G295" s="170" t="str">
        <f aca="false">ExportRaw!$I295</f>
        <v/>
      </c>
      <c r="H295" s="168" t="str">
        <f aca="false">ExportRaw!$A295</f>
        <v/>
      </c>
      <c r="I295" s="168" t="str">
        <f aca="false">ExportRaw!$B295</f>
        <v/>
      </c>
    </row>
    <row r="296" customFormat="false" ht="15.75" hidden="false" customHeight="false" outlineLevel="0" collapsed="false">
      <c r="A296" s="168" t="n">
        <f aca="false">ExportRaw!$F296</f>
        <v>0</v>
      </c>
      <c r="B296" s="168" t="n">
        <f aca="false">ExportRaw!$C296</f>
        <v>0</v>
      </c>
      <c r="C296" s="168" t="n">
        <f aca="false">ExportRaw!$G296</f>
        <v>0</v>
      </c>
      <c r="D296" s="168" t="str">
        <f aca="false">ExportRaw!$E296</f>
        <v/>
      </c>
      <c r="E296" s="169" t="str">
        <f aca="false">ExportRaw!$D296</f>
        <v/>
      </c>
      <c r="F296" s="168" t="str">
        <f aca="false">ExportRaw!$H296</f>
        <v/>
      </c>
      <c r="G296" s="170" t="str">
        <f aca="false">ExportRaw!$I296</f>
        <v/>
      </c>
      <c r="H296" s="168" t="str">
        <f aca="false">ExportRaw!$A296</f>
        <v/>
      </c>
      <c r="I296" s="168" t="str">
        <f aca="false">ExportRaw!$B296</f>
        <v/>
      </c>
    </row>
    <row r="297" customFormat="false" ht="15.75" hidden="false" customHeight="false" outlineLevel="0" collapsed="false">
      <c r="A297" s="168" t="n">
        <f aca="false">ExportRaw!$F297</f>
        <v>0</v>
      </c>
      <c r="B297" s="168" t="n">
        <f aca="false">ExportRaw!$C297</f>
        <v>0</v>
      </c>
      <c r="C297" s="168" t="n">
        <f aca="false">ExportRaw!$G297</f>
        <v>0</v>
      </c>
      <c r="D297" s="168" t="str">
        <f aca="false">ExportRaw!$E297</f>
        <v/>
      </c>
      <c r="E297" s="169" t="str">
        <f aca="false">ExportRaw!$D297</f>
        <v/>
      </c>
      <c r="F297" s="168" t="str">
        <f aca="false">ExportRaw!$H297</f>
        <v/>
      </c>
      <c r="G297" s="170" t="str">
        <f aca="false">ExportRaw!$I297</f>
        <v/>
      </c>
      <c r="H297" s="168" t="str">
        <f aca="false">ExportRaw!$A297</f>
        <v/>
      </c>
      <c r="I297" s="168" t="str">
        <f aca="false">ExportRaw!$B297</f>
        <v/>
      </c>
    </row>
    <row r="298" customFormat="false" ht="15.75" hidden="false" customHeight="false" outlineLevel="0" collapsed="false">
      <c r="A298" s="168" t="n">
        <f aca="false">ExportRaw!$F298</f>
        <v>0</v>
      </c>
      <c r="B298" s="168" t="n">
        <f aca="false">ExportRaw!$C298</f>
        <v>0</v>
      </c>
      <c r="C298" s="168" t="n">
        <f aca="false">ExportRaw!$G298</f>
        <v>0</v>
      </c>
      <c r="D298" s="168" t="str">
        <f aca="false">ExportRaw!$E298</f>
        <v/>
      </c>
      <c r="E298" s="169" t="str">
        <f aca="false">ExportRaw!$D298</f>
        <v/>
      </c>
      <c r="F298" s="168" t="str">
        <f aca="false">ExportRaw!$H298</f>
        <v/>
      </c>
      <c r="G298" s="170" t="str">
        <f aca="false">ExportRaw!$I298</f>
        <v/>
      </c>
      <c r="H298" s="168" t="str">
        <f aca="false">ExportRaw!$A298</f>
        <v/>
      </c>
      <c r="I298" s="168" t="str">
        <f aca="false">ExportRaw!$B298</f>
        <v/>
      </c>
    </row>
    <row r="299" customFormat="false" ht="15.75" hidden="false" customHeight="false" outlineLevel="0" collapsed="false">
      <c r="A299" s="168" t="n">
        <f aca="false">ExportRaw!$F299</f>
        <v>0</v>
      </c>
      <c r="B299" s="168" t="n">
        <f aca="false">ExportRaw!$C299</f>
        <v>0</v>
      </c>
      <c r="C299" s="168" t="n">
        <f aca="false">ExportRaw!$G299</f>
        <v>0</v>
      </c>
      <c r="D299" s="168" t="str">
        <f aca="false">ExportRaw!$E299</f>
        <v/>
      </c>
      <c r="E299" s="169" t="str">
        <f aca="false">ExportRaw!$D299</f>
        <v/>
      </c>
      <c r="F299" s="168" t="str">
        <f aca="false">ExportRaw!$H299</f>
        <v/>
      </c>
      <c r="G299" s="170" t="str">
        <f aca="false">ExportRaw!$I299</f>
        <v/>
      </c>
      <c r="H299" s="168" t="str">
        <f aca="false">ExportRaw!$A299</f>
        <v/>
      </c>
      <c r="I299" s="168" t="str">
        <f aca="false">ExportRaw!$B299</f>
        <v/>
      </c>
    </row>
    <row r="300" customFormat="false" ht="15.75" hidden="false" customHeight="false" outlineLevel="0" collapsed="false">
      <c r="A300" s="168" t="n">
        <f aca="false">ExportRaw!$F300</f>
        <v>0</v>
      </c>
      <c r="B300" s="168" t="n">
        <f aca="false">ExportRaw!$C300</f>
        <v>0</v>
      </c>
      <c r="C300" s="168" t="n">
        <f aca="false">ExportRaw!$G300</f>
        <v>0</v>
      </c>
      <c r="D300" s="168" t="str">
        <f aca="false">ExportRaw!$E300</f>
        <v/>
      </c>
      <c r="E300" s="169" t="str">
        <f aca="false">ExportRaw!$D300</f>
        <v/>
      </c>
      <c r="F300" s="168" t="str">
        <f aca="false">ExportRaw!$H300</f>
        <v/>
      </c>
      <c r="G300" s="170" t="str">
        <f aca="false">ExportRaw!$I300</f>
        <v/>
      </c>
      <c r="H300" s="168" t="str">
        <f aca="false">ExportRaw!$A300</f>
        <v/>
      </c>
      <c r="I300" s="168" t="str">
        <f aca="false">ExportRaw!$B300</f>
        <v/>
      </c>
    </row>
    <row r="301" customFormat="false" ht="15.75" hidden="false" customHeight="false" outlineLevel="0" collapsed="false">
      <c r="A301" s="168" t="n">
        <f aca="false">ExportRaw!$F301</f>
        <v>0</v>
      </c>
      <c r="B301" s="168" t="n">
        <f aca="false">ExportRaw!$C301</f>
        <v>0</v>
      </c>
      <c r="C301" s="168" t="n">
        <f aca="false">ExportRaw!$G301</f>
        <v>0</v>
      </c>
      <c r="D301" s="168" t="str">
        <f aca="false">ExportRaw!$E301</f>
        <v/>
      </c>
      <c r="E301" s="169" t="str">
        <f aca="false">ExportRaw!$D301</f>
        <v/>
      </c>
      <c r="F301" s="168" t="str">
        <f aca="false">ExportRaw!$H301</f>
        <v/>
      </c>
      <c r="G301" s="170" t="str">
        <f aca="false">ExportRaw!$I301</f>
        <v/>
      </c>
      <c r="H301" s="168" t="str">
        <f aca="false">ExportRaw!$A301</f>
        <v/>
      </c>
      <c r="I301" s="168" t="str">
        <f aca="false">ExportRaw!$B301</f>
        <v/>
      </c>
    </row>
    <row r="302" customFormat="false" ht="15.75" hidden="false" customHeight="false" outlineLevel="0" collapsed="false">
      <c r="A302" s="168" t="n">
        <f aca="false">ExportRaw!$F302</f>
        <v>0</v>
      </c>
      <c r="B302" s="168" t="n">
        <f aca="false">ExportRaw!$C302</f>
        <v>0</v>
      </c>
      <c r="C302" s="168" t="n">
        <f aca="false">ExportRaw!$G302</f>
        <v>0</v>
      </c>
      <c r="D302" s="168" t="str">
        <f aca="false">ExportRaw!$E302</f>
        <v/>
      </c>
      <c r="E302" s="169" t="str">
        <f aca="false">ExportRaw!$D302</f>
        <v/>
      </c>
      <c r="F302" s="168" t="str">
        <f aca="false">ExportRaw!$H302</f>
        <v/>
      </c>
      <c r="G302" s="170" t="str">
        <f aca="false">ExportRaw!$I302</f>
        <v/>
      </c>
      <c r="H302" s="168" t="str">
        <f aca="false">ExportRaw!$A302</f>
        <v/>
      </c>
      <c r="I302" s="168" t="str">
        <f aca="false">ExportRaw!$B302</f>
        <v/>
      </c>
    </row>
    <row r="303" customFormat="false" ht="15.75" hidden="false" customHeight="false" outlineLevel="0" collapsed="false">
      <c r="A303" s="168" t="n">
        <f aca="false">ExportRaw!$F303</f>
        <v>0</v>
      </c>
      <c r="B303" s="168" t="n">
        <f aca="false">ExportRaw!$C303</f>
        <v>0</v>
      </c>
      <c r="C303" s="168" t="n">
        <f aca="false">ExportRaw!$G303</f>
        <v>0</v>
      </c>
      <c r="D303" s="168" t="str">
        <f aca="false">ExportRaw!$E303</f>
        <v/>
      </c>
      <c r="E303" s="169" t="str">
        <f aca="false">ExportRaw!$D303</f>
        <v/>
      </c>
      <c r="F303" s="168" t="str">
        <f aca="false">ExportRaw!$H303</f>
        <v/>
      </c>
      <c r="G303" s="170" t="str">
        <f aca="false">ExportRaw!$I303</f>
        <v/>
      </c>
      <c r="H303" s="168" t="str">
        <f aca="false">ExportRaw!$A303</f>
        <v/>
      </c>
      <c r="I303" s="168" t="str">
        <f aca="false">ExportRaw!$B303</f>
        <v/>
      </c>
    </row>
    <row r="304" customFormat="false" ht="15.75" hidden="false" customHeight="false" outlineLevel="0" collapsed="false">
      <c r="A304" s="168" t="n">
        <f aca="false">ExportRaw!$F304</f>
        <v>0</v>
      </c>
      <c r="B304" s="168" t="n">
        <f aca="false">ExportRaw!$C304</f>
        <v>0</v>
      </c>
      <c r="C304" s="168" t="n">
        <f aca="false">ExportRaw!$G304</f>
        <v>0</v>
      </c>
      <c r="D304" s="168" t="str">
        <f aca="false">ExportRaw!$E304</f>
        <v/>
      </c>
      <c r="E304" s="169" t="str">
        <f aca="false">ExportRaw!$D304</f>
        <v/>
      </c>
      <c r="F304" s="168" t="str">
        <f aca="false">ExportRaw!$H304</f>
        <v/>
      </c>
      <c r="G304" s="170" t="str">
        <f aca="false">ExportRaw!$I304</f>
        <v/>
      </c>
      <c r="H304" s="168" t="str">
        <f aca="false">ExportRaw!$A304</f>
        <v/>
      </c>
      <c r="I304" s="168" t="str">
        <f aca="false">ExportRaw!$B304</f>
        <v/>
      </c>
    </row>
    <row r="305" customFormat="false" ht="15.75" hidden="false" customHeight="false" outlineLevel="0" collapsed="false">
      <c r="A305" s="168" t="n">
        <f aca="false">ExportRaw!$F305</f>
        <v>0</v>
      </c>
      <c r="B305" s="168" t="n">
        <f aca="false">ExportRaw!$C305</f>
        <v>0</v>
      </c>
      <c r="C305" s="168" t="n">
        <f aca="false">ExportRaw!$G305</f>
        <v>0</v>
      </c>
      <c r="D305" s="168" t="str">
        <f aca="false">ExportRaw!$E305</f>
        <v/>
      </c>
      <c r="E305" s="169" t="str">
        <f aca="false">ExportRaw!$D305</f>
        <v/>
      </c>
      <c r="F305" s="168" t="str">
        <f aca="false">ExportRaw!$H305</f>
        <v/>
      </c>
      <c r="G305" s="170" t="str">
        <f aca="false">ExportRaw!$I305</f>
        <v/>
      </c>
      <c r="H305" s="168" t="str">
        <f aca="false">ExportRaw!$A305</f>
        <v/>
      </c>
      <c r="I305" s="168" t="str">
        <f aca="false">ExportRaw!$B305</f>
        <v/>
      </c>
    </row>
    <row r="306" customFormat="false" ht="15.75" hidden="false" customHeight="false" outlineLevel="0" collapsed="false">
      <c r="A306" s="168" t="n">
        <f aca="false">ExportRaw!$F306</f>
        <v>0</v>
      </c>
      <c r="B306" s="168" t="n">
        <f aca="false">ExportRaw!$C306</f>
        <v>0</v>
      </c>
      <c r="C306" s="168" t="n">
        <f aca="false">ExportRaw!$G306</f>
        <v>0</v>
      </c>
      <c r="D306" s="168" t="str">
        <f aca="false">ExportRaw!$E306</f>
        <v/>
      </c>
      <c r="E306" s="169" t="str">
        <f aca="false">ExportRaw!$D306</f>
        <v/>
      </c>
      <c r="F306" s="168" t="str">
        <f aca="false">ExportRaw!$H306</f>
        <v/>
      </c>
      <c r="G306" s="170" t="str">
        <f aca="false">ExportRaw!$I306</f>
        <v/>
      </c>
      <c r="H306" s="168" t="str">
        <f aca="false">ExportRaw!$A306</f>
        <v/>
      </c>
      <c r="I306" s="168" t="str">
        <f aca="false">ExportRaw!$B306</f>
        <v/>
      </c>
    </row>
    <row r="307" customFormat="false" ht="15.75" hidden="false" customHeight="false" outlineLevel="0" collapsed="false">
      <c r="A307" s="168" t="n">
        <f aca="false">ExportRaw!$F307</f>
        <v>0</v>
      </c>
      <c r="B307" s="168" t="n">
        <f aca="false">ExportRaw!$C307</f>
        <v>0</v>
      </c>
      <c r="C307" s="168" t="n">
        <f aca="false">ExportRaw!$G307</f>
        <v>0</v>
      </c>
      <c r="D307" s="168" t="str">
        <f aca="false">ExportRaw!$E307</f>
        <v/>
      </c>
      <c r="E307" s="169" t="str">
        <f aca="false">ExportRaw!$D307</f>
        <v/>
      </c>
      <c r="F307" s="168" t="str">
        <f aca="false">ExportRaw!$H307</f>
        <v/>
      </c>
      <c r="G307" s="170" t="str">
        <f aca="false">ExportRaw!$I307</f>
        <v/>
      </c>
      <c r="H307" s="168" t="str">
        <f aca="false">ExportRaw!$A307</f>
        <v/>
      </c>
      <c r="I307" s="168" t="str">
        <f aca="false">ExportRaw!$B307</f>
        <v/>
      </c>
    </row>
    <row r="308" customFormat="false" ht="15.75" hidden="false" customHeight="false" outlineLevel="0" collapsed="false">
      <c r="A308" s="168" t="n">
        <f aca="false">ExportRaw!$F308</f>
        <v>0</v>
      </c>
      <c r="B308" s="168" t="n">
        <f aca="false">ExportRaw!$C308</f>
        <v>0</v>
      </c>
      <c r="C308" s="168" t="n">
        <f aca="false">ExportRaw!$G308</f>
        <v>0</v>
      </c>
      <c r="D308" s="168" t="str">
        <f aca="false">ExportRaw!$E308</f>
        <v/>
      </c>
      <c r="E308" s="169" t="str">
        <f aca="false">ExportRaw!$D308</f>
        <v/>
      </c>
      <c r="F308" s="168" t="str">
        <f aca="false">ExportRaw!$H308</f>
        <v/>
      </c>
      <c r="G308" s="170" t="str">
        <f aca="false">ExportRaw!$I308</f>
        <v/>
      </c>
      <c r="H308" s="168" t="str">
        <f aca="false">ExportRaw!$A308</f>
        <v/>
      </c>
      <c r="I308" s="168" t="str">
        <f aca="false">ExportRaw!$B308</f>
        <v/>
      </c>
    </row>
    <row r="309" customFormat="false" ht="15.75" hidden="false" customHeight="false" outlineLevel="0" collapsed="false">
      <c r="A309" s="168" t="n">
        <f aca="false">ExportRaw!$F309</f>
        <v>0</v>
      </c>
      <c r="B309" s="168" t="n">
        <f aca="false">ExportRaw!$C309</f>
        <v>0</v>
      </c>
      <c r="C309" s="168" t="n">
        <f aca="false">ExportRaw!$G309</f>
        <v>0</v>
      </c>
      <c r="D309" s="168" t="str">
        <f aca="false">ExportRaw!$E309</f>
        <v/>
      </c>
      <c r="E309" s="169" t="str">
        <f aca="false">ExportRaw!$D309</f>
        <v/>
      </c>
      <c r="F309" s="168" t="str">
        <f aca="false">ExportRaw!$H309</f>
        <v/>
      </c>
      <c r="G309" s="170" t="str">
        <f aca="false">ExportRaw!$I309</f>
        <v/>
      </c>
      <c r="H309" s="168" t="str">
        <f aca="false">ExportRaw!$A309</f>
        <v/>
      </c>
      <c r="I309" s="168" t="str">
        <f aca="false">ExportRaw!$B309</f>
        <v/>
      </c>
    </row>
    <row r="310" customFormat="false" ht="15.75" hidden="false" customHeight="false" outlineLevel="0" collapsed="false">
      <c r="A310" s="168" t="n">
        <f aca="false">ExportRaw!$F310</f>
        <v>0</v>
      </c>
      <c r="B310" s="168" t="n">
        <f aca="false">ExportRaw!$C310</f>
        <v>0</v>
      </c>
      <c r="C310" s="168" t="n">
        <f aca="false">ExportRaw!$G310</f>
        <v>0</v>
      </c>
      <c r="D310" s="168" t="str">
        <f aca="false">ExportRaw!$E310</f>
        <v/>
      </c>
      <c r="E310" s="169" t="str">
        <f aca="false">ExportRaw!$D310</f>
        <v/>
      </c>
      <c r="F310" s="168" t="str">
        <f aca="false">ExportRaw!$H310</f>
        <v/>
      </c>
      <c r="G310" s="170" t="str">
        <f aca="false">ExportRaw!$I310</f>
        <v/>
      </c>
      <c r="H310" s="168" t="str">
        <f aca="false">ExportRaw!$A310</f>
        <v/>
      </c>
      <c r="I310" s="168" t="str">
        <f aca="false">ExportRaw!$B310</f>
        <v/>
      </c>
    </row>
    <row r="311" customFormat="false" ht="15.75" hidden="false" customHeight="false" outlineLevel="0" collapsed="false">
      <c r="A311" s="168" t="n">
        <f aca="false">ExportRaw!$F311</f>
        <v>0</v>
      </c>
      <c r="B311" s="168" t="n">
        <f aca="false">ExportRaw!$C311</f>
        <v>0</v>
      </c>
      <c r="C311" s="168" t="n">
        <f aca="false">ExportRaw!$G311</f>
        <v>0</v>
      </c>
      <c r="D311" s="168" t="str">
        <f aca="false">ExportRaw!$E311</f>
        <v/>
      </c>
      <c r="E311" s="169" t="str">
        <f aca="false">ExportRaw!$D311</f>
        <v/>
      </c>
      <c r="F311" s="168" t="str">
        <f aca="false">ExportRaw!$H311</f>
        <v/>
      </c>
      <c r="G311" s="170" t="str">
        <f aca="false">ExportRaw!$I311</f>
        <v/>
      </c>
      <c r="H311" s="168" t="str">
        <f aca="false">ExportRaw!$A311</f>
        <v/>
      </c>
      <c r="I311" s="168" t="str">
        <f aca="false">ExportRaw!$B311</f>
        <v/>
      </c>
    </row>
    <row r="312" customFormat="false" ht="15.75" hidden="false" customHeight="false" outlineLevel="0" collapsed="false">
      <c r="A312" s="168" t="n">
        <f aca="false">ExportRaw!$F312</f>
        <v>0</v>
      </c>
      <c r="B312" s="168" t="n">
        <f aca="false">ExportRaw!$C312</f>
        <v>0</v>
      </c>
      <c r="C312" s="168" t="n">
        <f aca="false">ExportRaw!$G312</f>
        <v>0</v>
      </c>
      <c r="D312" s="168" t="str">
        <f aca="false">ExportRaw!$E312</f>
        <v/>
      </c>
      <c r="E312" s="169" t="str">
        <f aca="false">ExportRaw!$D312</f>
        <v/>
      </c>
      <c r="F312" s="168" t="str">
        <f aca="false">ExportRaw!$H312</f>
        <v/>
      </c>
      <c r="G312" s="170" t="str">
        <f aca="false">ExportRaw!$I312</f>
        <v/>
      </c>
      <c r="H312" s="168" t="str">
        <f aca="false">ExportRaw!$A312</f>
        <v/>
      </c>
      <c r="I312" s="168" t="str">
        <f aca="false">ExportRaw!$B312</f>
        <v/>
      </c>
    </row>
    <row r="313" customFormat="false" ht="15.75" hidden="false" customHeight="false" outlineLevel="0" collapsed="false">
      <c r="A313" s="168" t="n">
        <f aca="false">ExportRaw!$F313</f>
        <v>0</v>
      </c>
      <c r="B313" s="168" t="n">
        <f aca="false">ExportRaw!$C313</f>
        <v>0</v>
      </c>
      <c r="C313" s="168" t="n">
        <f aca="false">ExportRaw!$G313</f>
        <v>0</v>
      </c>
      <c r="D313" s="168" t="str">
        <f aca="false">ExportRaw!$E313</f>
        <v/>
      </c>
      <c r="E313" s="169" t="str">
        <f aca="false">ExportRaw!$D313</f>
        <v/>
      </c>
      <c r="F313" s="168" t="str">
        <f aca="false">ExportRaw!$H313</f>
        <v/>
      </c>
      <c r="G313" s="170" t="str">
        <f aca="false">ExportRaw!$I313</f>
        <v/>
      </c>
      <c r="H313" s="168" t="str">
        <f aca="false">ExportRaw!$A313</f>
        <v/>
      </c>
      <c r="I313" s="168" t="str">
        <f aca="false">ExportRaw!$B313</f>
        <v/>
      </c>
    </row>
    <row r="314" customFormat="false" ht="15.75" hidden="false" customHeight="false" outlineLevel="0" collapsed="false">
      <c r="A314" s="168" t="n">
        <f aca="false">ExportRaw!$F314</f>
        <v>0</v>
      </c>
      <c r="B314" s="168" t="n">
        <f aca="false">ExportRaw!$C314</f>
        <v>0</v>
      </c>
      <c r="C314" s="168" t="n">
        <f aca="false">ExportRaw!$G314</f>
        <v>0</v>
      </c>
      <c r="D314" s="168" t="str">
        <f aca="false">ExportRaw!$E314</f>
        <v/>
      </c>
      <c r="E314" s="169" t="str">
        <f aca="false">ExportRaw!$D314</f>
        <v/>
      </c>
      <c r="F314" s="168" t="str">
        <f aca="false">ExportRaw!$H314</f>
        <v/>
      </c>
      <c r="G314" s="170" t="str">
        <f aca="false">ExportRaw!$I314</f>
        <v/>
      </c>
      <c r="H314" s="168" t="str">
        <f aca="false">ExportRaw!$A314</f>
        <v/>
      </c>
      <c r="I314" s="168" t="str">
        <f aca="false">ExportRaw!$B314</f>
        <v/>
      </c>
    </row>
    <row r="315" customFormat="false" ht="15.75" hidden="false" customHeight="false" outlineLevel="0" collapsed="false">
      <c r="A315" s="168" t="n">
        <f aca="false">ExportRaw!$F315</f>
        <v>0</v>
      </c>
      <c r="B315" s="168" t="n">
        <f aca="false">ExportRaw!$C315</f>
        <v>0</v>
      </c>
      <c r="C315" s="168" t="n">
        <f aca="false">ExportRaw!$G315</f>
        <v>0</v>
      </c>
      <c r="D315" s="168" t="str">
        <f aca="false">ExportRaw!$E315</f>
        <v/>
      </c>
      <c r="E315" s="169" t="str">
        <f aca="false">ExportRaw!$D315</f>
        <v/>
      </c>
      <c r="F315" s="168" t="str">
        <f aca="false">ExportRaw!$H315</f>
        <v/>
      </c>
      <c r="G315" s="170" t="str">
        <f aca="false">ExportRaw!$I315</f>
        <v/>
      </c>
      <c r="H315" s="168" t="str">
        <f aca="false">ExportRaw!$A315</f>
        <v/>
      </c>
      <c r="I315" s="168" t="str">
        <f aca="false">ExportRaw!$B315</f>
        <v/>
      </c>
    </row>
    <row r="316" customFormat="false" ht="15.75" hidden="false" customHeight="false" outlineLevel="0" collapsed="false">
      <c r="A316" s="168" t="n">
        <f aca="false">ExportRaw!$F316</f>
        <v>0</v>
      </c>
      <c r="B316" s="168" t="n">
        <f aca="false">ExportRaw!$C316</f>
        <v>0</v>
      </c>
      <c r="C316" s="168" t="n">
        <f aca="false">ExportRaw!$G316</f>
        <v>0</v>
      </c>
      <c r="D316" s="168" t="str">
        <f aca="false">ExportRaw!$E316</f>
        <v/>
      </c>
      <c r="E316" s="169" t="str">
        <f aca="false">ExportRaw!$D316</f>
        <v/>
      </c>
      <c r="F316" s="168" t="str">
        <f aca="false">ExportRaw!$H316</f>
        <v/>
      </c>
      <c r="G316" s="170" t="str">
        <f aca="false">ExportRaw!$I316</f>
        <v/>
      </c>
      <c r="H316" s="168" t="str">
        <f aca="false">ExportRaw!$A316</f>
        <v/>
      </c>
      <c r="I316" s="168" t="str">
        <f aca="false">ExportRaw!$B316</f>
        <v/>
      </c>
    </row>
    <row r="317" customFormat="false" ht="15.75" hidden="false" customHeight="false" outlineLevel="0" collapsed="false">
      <c r="A317" s="168" t="n">
        <f aca="false">ExportRaw!$F317</f>
        <v>0</v>
      </c>
      <c r="B317" s="168" t="n">
        <f aca="false">ExportRaw!$C317</f>
        <v>0</v>
      </c>
      <c r="C317" s="168" t="n">
        <f aca="false">ExportRaw!$G317</f>
        <v>0</v>
      </c>
      <c r="D317" s="168" t="str">
        <f aca="false">ExportRaw!$E317</f>
        <v/>
      </c>
      <c r="E317" s="169" t="str">
        <f aca="false">ExportRaw!$D317</f>
        <v/>
      </c>
      <c r="F317" s="168" t="str">
        <f aca="false">ExportRaw!$H317</f>
        <v/>
      </c>
      <c r="G317" s="170" t="str">
        <f aca="false">ExportRaw!$I317</f>
        <v/>
      </c>
      <c r="H317" s="168" t="str">
        <f aca="false">ExportRaw!$A317</f>
        <v/>
      </c>
      <c r="I317" s="168" t="str">
        <f aca="false">ExportRaw!$B317</f>
        <v/>
      </c>
    </row>
    <row r="318" customFormat="false" ht="15.75" hidden="false" customHeight="false" outlineLevel="0" collapsed="false">
      <c r="A318" s="168" t="n">
        <f aca="false">ExportRaw!$F318</f>
        <v>0</v>
      </c>
      <c r="B318" s="168" t="n">
        <f aca="false">ExportRaw!$C318</f>
        <v>0</v>
      </c>
      <c r="C318" s="168" t="n">
        <f aca="false">ExportRaw!$G318</f>
        <v>0</v>
      </c>
      <c r="D318" s="168" t="str">
        <f aca="false">ExportRaw!$E318</f>
        <v/>
      </c>
      <c r="E318" s="169" t="str">
        <f aca="false">ExportRaw!$D318</f>
        <v/>
      </c>
      <c r="F318" s="168" t="str">
        <f aca="false">ExportRaw!$H318</f>
        <v/>
      </c>
      <c r="G318" s="170" t="str">
        <f aca="false">ExportRaw!$I318</f>
        <v/>
      </c>
      <c r="H318" s="168" t="str">
        <f aca="false">ExportRaw!$A318</f>
        <v/>
      </c>
      <c r="I318" s="168" t="str">
        <f aca="false">ExportRaw!$B318</f>
        <v/>
      </c>
    </row>
    <row r="319" customFormat="false" ht="15.75" hidden="false" customHeight="false" outlineLevel="0" collapsed="false">
      <c r="A319" s="168" t="n">
        <f aca="false">ExportRaw!$F319</f>
        <v>0</v>
      </c>
      <c r="B319" s="168" t="n">
        <f aca="false">ExportRaw!$C319</f>
        <v>0</v>
      </c>
      <c r="C319" s="168" t="n">
        <f aca="false">ExportRaw!$G319</f>
        <v>0</v>
      </c>
      <c r="D319" s="168" t="str">
        <f aca="false">ExportRaw!$E319</f>
        <v/>
      </c>
      <c r="E319" s="169" t="str">
        <f aca="false">ExportRaw!$D319</f>
        <v/>
      </c>
      <c r="F319" s="168" t="str">
        <f aca="false">ExportRaw!$H319</f>
        <v/>
      </c>
      <c r="G319" s="170" t="str">
        <f aca="false">ExportRaw!$I319</f>
        <v/>
      </c>
      <c r="H319" s="168" t="str">
        <f aca="false">ExportRaw!$A319</f>
        <v/>
      </c>
      <c r="I319" s="168" t="str">
        <f aca="false">ExportRaw!$B319</f>
        <v/>
      </c>
    </row>
    <row r="320" customFormat="false" ht="15.75" hidden="false" customHeight="false" outlineLevel="0" collapsed="false">
      <c r="A320" s="168" t="n">
        <f aca="false">ExportRaw!$F320</f>
        <v>0</v>
      </c>
      <c r="B320" s="168" t="n">
        <f aca="false">ExportRaw!$C320</f>
        <v>0</v>
      </c>
      <c r="C320" s="168" t="n">
        <f aca="false">ExportRaw!$G320</f>
        <v>0</v>
      </c>
      <c r="D320" s="168" t="str">
        <f aca="false">ExportRaw!$E320</f>
        <v/>
      </c>
      <c r="E320" s="169" t="str">
        <f aca="false">ExportRaw!$D320</f>
        <v/>
      </c>
      <c r="F320" s="168" t="str">
        <f aca="false">ExportRaw!$H320</f>
        <v/>
      </c>
      <c r="G320" s="170" t="str">
        <f aca="false">ExportRaw!$I320</f>
        <v/>
      </c>
      <c r="H320" s="168" t="str">
        <f aca="false">ExportRaw!$A320</f>
        <v/>
      </c>
      <c r="I320" s="168" t="str">
        <f aca="false">ExportRaw!$B320</f>
        <v/>
      </c>
    </row>
    <row r="321" customFormat="false" ht="15.75" hidden="false" customHeight="false" outlineLevel="0" collapsed="false">
      <c r="A321" s="168" t="n">
        <f aca="false">ExportRaw!$F321</f>
        <v>0</v>
      </c>
      <c r="B321" s="168" t="n">
        <f aca="false">ExportRaw!$C321</f>
        <v>0</v>
      </c>
      <c r="C321" s="168" t="n">
        <f aca="false">ExportRaw!$G321</f>
        <v>0</v>
      </c>
      <c r="D321" s="168" t="str">
        <f aca="false">ExportRaw!$E321</f>
        <v/>
      </c>
      <c r="E321" s="169" t="str">
        <f aca="false">ExportRaw!$D321</f>
        <v/>
      </c>
      <c r="F321" s="168" t="str">
        <f aca="false">ExportRaw!$H321</f>
        <v/>
      </c>
      <c r="G321" s="170" t="str">
        <f aca="false">ExportRaw!$I321</f>
        <v/>
      </c>
      <c r="H321" s="168" t="str">
        <f aca="false">ExportRaw!$A321</f>
        <v/>
      </c>
      <c r="I321" s="168" t="str">
        <f aca="false">ExportRaw!$B321</f>
        <v/>
      </c>
    </row>
    <row r="322" customFormat="false" ht="15.75" hidden="false" customHeight="false" outlineLevel="0" collapsed="false">
      <c r="A322" s="168" t="n">
        <f aca="false">ExportRaw!$F322</f>
        <v>0</v>
      </c>
      <c r="B322" s="168" t="n">
        <f aca="false">ExportRaw!$C322</f>
        <v>0</v>
      </c>
      <c r="C322" s="168" t="n">
        <f aca="false">ExportRaw!$G322</f>
        <v>0</v>
      </c>
      <c r="D322" s="168" t="str">
        <f aca="false">ExportRaw!$E322</f>
        <v/>
      </c>
      <c r="E322" s="169" t="str">
        <f aca="false">ExportRaw!$D322</f>
        <v/>
      </c>
      <c r="F322" s="168" t="str">
        <f aca="false">ExportRaw!$H322</f>
        <v/>
      </c>
      <c r="G322" s="170" t="str">
        <f aca="false">ExportRaw!$I322</f>
        <v/>
      </c>
      <c r="H322" s="168" t="str">
        <f aca="false">ExportRaw!$A322</f>
        <v/>
      </c>
      <c r="I322" s="168" t="str">
        <f aca="false">ExportRaw!$B322</f>
        <v/>
      </c>
    </row>
    <row r="323" customFormat="false" ht="15.75" hidden="false" customHeight="false" outlineLevel="0" collapsed="false">
      <c r="A323" s="168" t="n">
        <f aca="false">ExportRaw!$F323</f>
        <v>0</v>
      </c>
      <c r="B323" s="168" t="n">
        <f aca="false">ExportRaw!$C323</f>
        <v>0</v>
      </c>
      <c r="C323" s="168" t="n">
        <f aca="false">ExportRaw!$G323</f>
        <v>0</v>
      </c>
      <c r="D323" s="168" t="str">
        <f aca="false">ExportRaw!$E323</f>
        <v/>
      </c>
      <c r="E323" s="169" t="str">
        <f aca="false">ExportRaw!$D323</f>
        <v/>
      </c>
      <c r="F323" s="168" t="str">
        <f aca="false">ExportRaw!$H323</f>
        <v/>
      </c>
      <c r="G323" s="170" t="str">
        <f aca="false">ExportRaw!$I323</f>
        <v/>
      </c>
      <c r="H323" s="168" t="str">
        <f aca="false">ExportRaw!$A323</f>
        <v/>
      </c>
      <c r="I323" s="168" t="str">
        <f aca="false">ExportRaw!$B323</f>
        <v/>
      </c>
    </row>
    <row r="324" customFormat="false" ht="15.75" hidden="false" customHeight="false" outlineLevel="0" collapsed="false">
      <c r="A324" s="168" t="n">
        <f aca="false">ExportRaw!$F324</f>
        <v>0</v>
      </c>
      <c r="B324" s="168" t="n">
        <f aca="false">ExportRaw!$C324</f>
        <v>0</v>
      </c>
      <c r="C324" s="168" t="n">
        <f aca="false">ExportRaw!$G324</f>
        <v>0</v>
      </c>
      <c r="D324" s="168" t="str">
        <f aca="false">ExportRaw!$E324</f>
        <v/>
      </c>
      <c r="E324" s="169" t="str">
        <f aca="false">ExportRaw!$D324</f>
        <v/>
      </c>
      <c r="F324" s="168" t="str">
        <f aca="false">ExportRaw!$H324</f>
        <v/>
      </c>
      <c r="G324" s="170" t="str">
        <f aca="false">ExportRaw!$I324</f>
        <v/>
      </c>
      <c r="H324" s="168" t="str">
        <f aca="false">ExportRaw!$A324</f>
        <v/>
      </c>
      <c r="I324" s="168" t="str">
        <f aca="false">ExportRaw!$B324</f>
        <v/>
      </c>
    </row>
    <row r="325" customFormat="false" ht="15.75" hidden="false" customHeight="false" outlineLevel="0" collapsed="false">
      <c r="A325" s="168" t="n">
        <f aca="false">ExportRaw!$F325</f>
        <v>0</v>
      </c>
      <c r="B325" s="168" t="n">
        <f aca="false">ExportRaw!$C325</f>
        <v>0</v>
      </c>
      <c r="C325" s="168" t="n">
        <f aca="false">ExportRaw!$G325</f>
        <v>0</v>
      </c>
      <c r="D325" s="168" t="str">
        <f aca="false">ExportRaw!$E325</f>
        <v/>
      </c>
      <c r="E325" s="169" t="str">
        <f aca="false">ExportRaw!$D325</f>
        <v/>
      </c>
      <c r="F325" s="168" t="str">
        <f aca="false">ExportRaw!$H325</f>
        <v/>
      </c>
      <c r="G325" s="170" t="str">
        <f aca="false">ExportRaw!$I325</f>
        <v/>
      </c>
      <c r="H325" s="168" t="str">
        <f aca="false">ExportRaw!$A325</f>
        <v/>
      </c>
      <c r="I325" s="168" t="str">
        <f aca="false">ExportRaw!$B325</f>
        <v/>
      </c>
    </row>
    <row r="326" customFormat="false" ht="15.75" hidden="false" customHeight="false" outlineLevel="0" collapsed="false">
      <c r="A326" s="168" t="n">
        <f aca="false">ExportRaw!$F326</f>
        <v>0</v>
      </c>
      <c r="B326" s="168" t="n">
        <f aca="false">ExportRaw!$C326</f>
        <v>0</v>
      </c>
      <c r="C326" s="168" t="n">
        <f aca="false">ExportRaw!$G326</f>
        <v>0</v>
      </c>
      <c r="D326" s="168" t="str">
        <f aca="false">ExportRaw!$E326</f>
        <v/>
      </c>
      <c r="E326" s="169" t="str">
        <f aca="false">ExportRaw!$D326</f>
        <v/>
      </c>
      <c r="F326" s="168" t="str">
        <f aca="false">ExportRaw!$H326</f>
        <v/>
      </c>
      <c r="G326" s="170" t="str">
        <f aca="false">ExportRaw!$I326</f>
        <v/>
      </c>
      <c r="H326" s="168" t="str">
        <f aca="false">ExportRaw!$A326</f>
        <v/>
      </c>
      <c r="I326" s="168" t="str">
        <f aca="false">ExportRaw!$B326</f>
        <v/>
      </c>
    </row>
    <row r="327" customFormat="false" ht="15.75" hidden="false" customHeight="false" outlineLevel="0" collapsed="false">
      <c r="A327" s="168" t="n">
        <f aca="false">ExportRaw!$F327</f>
        <v>0</v>
      </c>
      <c r="B327" s="168" t="n">
        <f aca="false">ExportRaw!$C327</f>
        <v>0</v>
      </c>
      <c r="C327" s="168" t="n">
        <f aca="false">ExportRaw!$G327</f>
        <v>0</v>
      </c>
      <c r="D327" s="168" t="str">
        <f aca="false">ExportRaw!$E327</f>
        <v/>
      </c>
      <c r="E327" s="169" t="str">
        <f aca="false">ExportRaw!$D327</f>
        <v/>
      </c>
      <c r="F327" s="168" t="str">
        <f aca="false">ExportRaw!$H327</f>
        <v/>
      </c>
      <c r="G327" s="170" t="str">
        <f aca="false">ExportRaw!$I327</f>
        <v/>
      </c>
      <c r="H327" s="168" t="str">
        <f aca="false">ExportRaw!$A327</f>
        <v/>
      </c>
      <c r="I327" s="168" t="str">
        <f aca="false">ExportRaw!$B327</f>
        <v/>
      </c>
    </row>
    <row r="328" customFormat="false" ht="15.75" hidden="false" customHeight="false" outlineLevel="0" collapsed="false">
      <c r="A328" s="168" t="n">
        <f aca="false">ExportRaw!$F328</f>
        <v>0</v>
      </c>
      <c r="B328" s="168" t="n">
        <f aca="false">ExportRaw!$C328</f>
        <v>0</v>
      </c>
      <c r="C328" s="168" t="n">
        <f aca="false">ExportRaw!$G328</f>
        <v>0</v>
      </c>
      <c r="D328" s="168" t="str">
        <f aca="false">ExportRaw!$E328</f>
        <v/>
      </c>
      <c r="E328" s="169" t="str">
        <f aca="false">ExportRaw!$D328</f>
        <v/>
      </c>
      <c r="F328" s="168" t="str">
        <f aca="false">ExportRaw!$H328</f>
        <v/>
      </c>
      <c r="G328" s="170" t="str">
        <f aca="false">ExportRaw!$I328</f>
        <v/>
      </c>
      <c r="H328" s="168" t="str">
        <f aca="false">ExportRaw!$A328</f>
        <v/>
      </c>
      <c r="I328" s="168" t="str">
        <f aca="false">ExportRaw!$B328</f>
        <v/>
      </c>
    </row>
    <row r="329" customFormat="false" ht="15.75" hidden="false" customHeight="false" outlineLevel="0" collapsed="false">
      <c r="A329" s="168" t="n">
        <f aca="false">ExportRaw!$F329</f>
        <v>0</v>
      </c>
      <c r="B329" s="168" t="n">
        <f aca="false">ExportRaw!$C329</f>
        <v>0</v>
      </c>
      <c r="C329" s="168" t="n">
        <f aca="false">ExportRaw!$G329</f>
        <v>0</v>
      </c>
      <c r="D329" s="168" t="str">
        <f aca="false">ExportRaw!$E329</f>
        <v/>
      </c>
      <c r="E329" s="169" t="str">
        <f aca="false">ExportRaw!$D329</f>
        <v/>
      </c>
      <c r="F329" s="168" t="str">
        <f aca="false">ExportRaw!$H329</f>
        <v/>
      </c>
      <c r="G329" s="170" t="str">
        <f aca="false">ExportRaw!$I329</f>
        <v/>
      </c>
      <c r="H329" s="168" t="str">
        <f aca="false">ExportRaw!$A329</f>
        <v/>
      </c>
      <c r="I329" s="168" t="str">
        <f aca="false">ExportRaw!$B329</f>
        <v/>
      </c>
    </row>
    <row r="330" customFormat="false" ht="15.75" hidden="false" customHeight="false" outlineLevel="0" collapsed="false">
      <c r="A330" s="168" t="n">
        <f aca="false">ExportRaw!$F330</f>
        <v>0</v>
      </c>
      <c r="B330" s="168" t="n">
        <f aca="false">ExportRaw!$C330</f>
        <v>0</v>
      </c>
      <c r="C330" s="168" t="n">
        <f aca="false">ExportRaw!$G330</f>
        <v>0</v>
      </c>
      <c r="D330" s="168" t="str">
        <f aca="false">ExportRaw!$E330</f>
        <v/>
      </c>
      <c r="E330" s="169" t="str">
        <f aca="false">ExportRaw!$D330</f>
        <v/>
      </c>
      <c r="F330" s="168" t="str">
        <f aca="false">ExportRaw!$H330</f>
        <v/>
      </c>
      <c r="G330" s="170" t="str">
        <f aca="false">ExportRaw!$I330</f>
        <v/>
      </c>
      <c r="H330" s="168" t="str">
        <f aca="false">ExportRaw!$A330</f>
        <v/>
      </c>
      <c r="I330" s="168" t="str">
        <f aca="false">ExportRaw!$B330</f>
        <v/>
      </c>
    </row>
    <row r="331" customFormat="false" ht="15.75" hidden="false" customHeight="false" outlineLevel="0" collapsed="false">
      <c r="A331" s="168" t="n">
        <f aca="false">ExportRaw!$F331</f>
        <v>0</v>
      </c>
      <c r="B331" s="168" t="n">
        <f aca="false">ExportRaw!$C331</f>
        <v>0</v>
      </c>
      <c r="C331" s="168" t="n">
        <f aca="false">ExportRaw!$G331</f>
        <v>0</v>
      </c>
      <c r="D331" s="168" t="str">
        <f aca="false">ExportRaw!$E331</f>
        <v/>
      </c>
      <c r="E331" s="169" t="str">
        <f aca="false">ExportRaw!$D331</f>
        <v/>
      </c>
      <c r="F331" s="168" t="str">
        <f aca="false">ExportRaw!$H331</f>
        <v/>
      </c>
      <c r="G331" s="170" t="str">
        <f aca="false">ExportRaw!$I331</f>
        <v/>
      </c>
      <c r="H331" s="168" t="str">
        <f aca="false">ExportRaw!$A331</f>
        <v/>
      </c>
      <c r="I331" s="168" t="str">
        <f aca="false">ExportRaw!$B331</f>
        <v/>
      </c>
    </row>
    <row r="332" customFormat="false" ht="15.75" hidden="false" customHeight="false" outlineLevel="0" collapsed="false">
      <c r="A332" s="168" t="n">
        <f aca="false">ExportRaw!$F332</f>
        <v>0</v>
      </c>
      <c r="B332" s="168" t="n">
        <f aca="false">ExportRaw!$C332</f>
        <v>0</v>
      </c>
      <c r="C332" s="168" t="n">
        <f aca="false">ExportRaw!$G332</f>
        <v>0</v>
      </c>
      <c r="D332" s="168" t="str">
        <f aca="false">ExportRaw!$E332</f>
        <v/>
      </c>
      <c r="E332" s="169" t="str">
        <f aca="false">ExportRaw!$D332</f>
        <v/>
      </c>
      <c r="F332" s="168" t="str">
        <f aca="false">ExportRaw!$H332</f>
        <v/>
      </c>
      <c r="G332" s="170" t="str">
        <f aca="false">ExportRaw!$I332</f>
        <v/>
      </c>
      <c r="H332" s="168" t="str">
        <f aca="false">ExportRaw!$A332</f>
        <v/>
      </c>
      <c r="I332" s="168" t="str">
        <f aca="false">ExportRaw!$B332</f>
        <v/>
      </c>
    </row>
    <row r="333" customFormat="false" ht="15.75" hidden="false" customHeight="false" outlineLevel="0" collapsed="false">
      <c r="A333" s="168" t="n">
        <f aca="false">ExportRaw!$F333</f>
        <v>0</v>
      </c>
      <c r="B333" s="168" t="n">
        <f aca="false">ExportRaw!$C333</f>
        <v>0</v>
      </c>
      <c r="C333" s="168" t="n">
        <f aca="false">ExportRaw!$G333</f>
        <v>0</v>
      </c>
      <c r="D333" s="168" t="str">
        <f aca="false">ExportRaw!$E333</f>
        <v/>
      </c>
      <c r="E333" s="169" t="str">
        <f aca="false">ExportRaw!$D333</f>
        <v/>
      </c>
      <c r="F333" s="168" t="str">
        <f aca="false">ExportRaw!$H333</f>
        <v/>
      </c>
      <c r="G333" s="170" t="str">
        <f aca="false">ExportRaw!$I333</f>
        <v/>
      </c>
      <c r="H333" s="168" t="str">
        <f aca="false">ExportRaw!$A333</f>
        <v/>
      </c>
      <c r="I333" s="168" t="str">
        <f aca="false">ExportRaw!$B333</f>
        <v/>
      </c>
    </row>
    <row r="334" customFormat="false" ht="15.75" hidden="false" customHeight="false" outlineLevel="0" collapsed="false">
      <c r="A334" s="168" t="n">
        <f aca="false">ExportRaw!$F334</f>
        <v>0</v>
      </c>
      <c r="B334" s="168" t="n">
        <f aca="false">ExportRaw!$C334</f>
        <v>0</v>
      </c>
      <c r="C334" s="168" t="n">
        <f aca="false">ExportRaw!$G334</f>
        <v>0</v>
      </c>
      <c r="D334" s="168" t="str">
        <f aca="false">ExportRaw!$E334</f>
        <v/>
      </c>
      <c r="E334" s="169" t="str">
        <f aca="false">ExportRaw!$D334</f>
        <v/>
      </c>
      <c r="F334" s="168" t="str">
        <f aca="false">ExportRaw!$H334</f>
        <v/>
      </c>
      <c r="G334" s="170" t="str">
        <f aca="false">ExportRaw!$I334</f>
        <v/>
      </c>
      <c r="H334" s="168" t="str">
        <f aca="false">ExportRaw!$A334</f>
        <v/>
      </c>
      <c r="I334" s="168" t="str">
        <f aca="false">ExportRaw!$B334</f>
        <v/>
      </c>
    </row>
    <row r="335" customFormat="false" ht="15.75" hidden="false" customHeight="false" outlineLevel="0" collapsed="false">
      <c r="A335" s="168" t="n">
        <f aca="false">ExportRaw!$F335</f>
        <v>0</v>
      </c>
      <c r="B335" s="168" t="n">
        <f aca="false">ExportRaw!$C335</f>
        <v>0</v>
      </c>
      <c r="C335" s="168" t="n">
        <f aca="false">ExportRaw!$G335</f>
        <v>0</v>
      </c>
      <c r="D335" s="168" t="str">
        <f aca="false">ExportRaw!$E335</f>
        <v/>
      </c>
      <c r="E335" s="169" t="str">
        <f aca="false">ExportRaw!$D335</f>
        <v/>
      </c>
      <c r="F335" s="168" t="str">
        <f aca="false">ExportRaw!$H335</f>
        <v/>
      </c>
      <c r="G335" s="170" t="str">
        <f aca="false">ExportRaw!$I335</f>
        <v/>
      </c>
      <c r="H335" s="168" t="str">
        <f aca="false">ExportRaw!$A335</f>
        <v/>
      </c>
      <c r="I335" s="168" t="str">
        <f aca="false">ExportRaw!$B335</f>
        <v/>
      </c>
    </row>
    <row r="336" customFormat="false" ht="15.75" hidden="false" customHeight="false" outlineLevel="0" collapsed="false">
      <c r="A336" s="168" t="n">
        <f aca="false">ExportRaw!$F336</f>
        <v>0</v>
      </c>
      <c r="B336" s="168" t="n">
        <f aca="false">ExportRaw!$C336</f>
        <v>0</v>
      </c>
      <c r="C336" s="168" t="n">
        <f aca="false">ExportRaw!$G336</f>
        <v>0</v>
      </c>
      <c r="D336" s="168" t="str">
        <f aca="false">ExportRaw!$E336</f>
        <v/>
      </c>
      <c r="E336" s="169" t="str">
        <f aca="false">ExportRaw!$D336</f>
        <v/>
      </c>
      <c r="F336" s="168" t="str">
        <f aca="false">ExportRaw!$H336</f>
        <v/>
      </c>
      <c r="G336" s="170" t="str">
        <f aca="false">ExportRaw!$I336</f>
        <v/>
      </c>
      <c r="H336" s="168" t="str">
        <f aca="false">ExportRaw!$A336</f>
        <v/>
      </c>
      <c r="I336" s="168" t="str">
        <f aca="false">ExportRaw!$B336</f>
        <v/>
      </c>
    </row>
    <row r="337" customFormat="false" ht="15.75" hidden="false" customHeight="false" outlineLevel="0" collapsed="false">
      <c r="A337" s="168" t="n">
        <f aca="false">ExportRaw!$F337</f>
        <v>0</v>
      </c>
      <c r="B337" s="168" t="n">
        <f aca="false">ExportRaw!$C337</f>
        <v>0</v>
      </c>
      <c r="C337" s="168" t="n">
        <f aca="false">ExportRaw!$G337</f>
        <v>0</v>
      </c>
      <c r="D337" s="168" t="str">
        <f aca="false">ExportRaw!$E337</f>
        <v/>
      </c>
      <c r="E337" s="169" t="str">
        <f aca="false">ExportRaw!$D337</f>
        <v/>
      </c>
      <c r="F337" s="168" t="str">
        <f aca="false">ExportRaw!$H337</f>
        <v/>
      </c>
      <c r="G337" s="170" t="str">
        <f aca="false">ExportRaw!$I337</f>
        <v/>
      </c>
      <c r="H337" s="168" t="str">
        <f aca="false">ExportRaw!$A337</f>
        <v/>
      </c>
      <c r="I337" s="168" t="str">
        <f aca="false">ExportRaw!$B337</f>
        <v/>
      </c>
    </row>
    <row r="338" customFormat="false" ht="15.75" hidden="false" customHeight="false" outlineLevel="0" collapsed="false">
      <c r="A338" s="168" t="n">
        <f aca="false">ExportRaw!$F338</f>
        <v>0</v>
      </c>
      <c r="B338" s="168" t="n">
        <f aca="false">ExportRaw!$C338</f>
        <v>0</v>
      </c>
      <c r="C338" s="168" t="n">
        <f aca="false">ExportRaw!$G338</f>
        <v>0</v>
      </c>
      <c r="D338" s="168" t="str">
        <f aca="false">ExportRaw!$E338</f>
        <v/>
      </c>
      <c r="E338" s="169" t="str">
        <f aca="false">ExportRaw!$D338</f>
        <v/>
      </c>
      <c r="F338" s="168" t="str">
        <f aca="false">ExportRaw!$H338</f>
        <v/>
      </c>
      <c r="G338" s="170" t="str">
        <f aca="false">ExportRaw!$I338</f>
        <v/>
      </c>
      <c r="H338" s="168" t="str">
        <f aca="false">ExportRaw!$A338</f>
        <v/>
      </c>
      <c r="I338" s="168" t="str">
        <f aca="false">ExportRaw!$B338</f>
        <v/>
      </c>
    </row>
    <row r="339" customFormat="false" ht="15.75" hidden="false" customHeight="false" outlineLevel="0" collapsed="false">
      <c r="A339" s="168" t="n">
        <f aca="false">ExportRaw!$F339</f>
        <v>0</v>
      </c>
      <c r="B339" s="168" t="n">
        <f aca="false">ExportRaw!$C339</f>
        <v>0</v>
      </c>
      <c r="C339" s="168" t="n">
        <f aca="false">ExportRaw!$G339</f>
        <v>0</v>
      </c>
      <c r="D339" s="168" t="str">
        <f aca="false">ExportRaw!$E339</f>
        <v/>
      </c>
      <c r="E339" s="169" t="str">
        <f aca="false">ExportRaw!$D339</f>
        <v/>
      </c>
      <c r="F339" s="168" t="str">
        <f aca="false">ExportRaw!$H339</f>
        <v/>
      </c>
      <c r="G339" s="170" t="str">
        <f aca="false">ExportRaw!$I339</f>
        <v/>
      </c>
      <c r="H339" s="168" t="str">
        <f aca="false">ExportRaw!$A339</f>
        <v/>
      </c>
      <c r="I339" s="168" t="str">
        <f aca="false">ExportRaw!$B339</f>
        <v/>
      </c>
    </row>
    <row r="340" customFormat="false" ht="15.75" hidden="false" customHeight="false" outlineLevel="0" collapsed="false">
      <c r="A340" s="168" t="n">
        <f aca="false">ExportRaw!$F340</f>
        <v>0</v>
      </c>
      <c r="B340" s="168" t="n">
        <f aca="false">ExportRaw!$C340</f>
        <v>0</v>
      </c>
      <c r="C340" s="168" t="n">
        <f aca="false">ExportRaw!$G340</f>
        <v>0</v>
      </c>
      <c r="D340" s="168" t="str">
        <f aca="false">ExportRaw!$E340</f>
        <v/>
      </c>
      <c r="E340" s="169" t="str">
        <f aca="false">ExportRaw!$D340</f>
        <v/>
      </c>
      <c r="F340" s="168" t="str">
        <f aca="false">ExportRaw!$H340</f>
        <v/>
      </c>
      <c r="G340" s="170" t="str">
        <f aca="false">ExportRaw!$I340</f>
        <v/>
      </c>
      <c r="H340" s="168" t="str">
        <f aca="false">ExportRaw!$A340</f>
        <v/>
      </c>
      <c r="I340" s="168" t="str">
        <f aca="false">ExportRaw!$B340</f>
        <v/>
      </c>
    </row>
    <row r="341" customFormat="false" ht="15.75" hidden="false" customHeight="false" outlineLevel="0" collapsed="false">
      <c r="A341" s="168" t="n">
        <f aca="false">ExportRaw!$F341</f>
        <v>0</v>
      </c>
      <c r="B341" s="168" t="n">
        <f aca="false">ExportRaw!$C341</f>
        <v>0</v>
      </c>
      <c r="C341" s="168" t="n">
        <f aca="false">ExportRaw!$G341</f>
        <v>0</v>
      </c>
      <c r="D341" s="168" t="str">
        <f aca="false">ExportRaw!$E341</f>
        <v/>
      </c>
      <c r="E341" s="169" t="str">
        <f aca="false">ExportRaw!$D341</f>
        <v/>
      </c>
      <c r="F341" s="168" t="str">
        <f aca="false">ExportRaw!$H341</f>
        <v/>
      </c>
      <c r="G341" s="170" t="str">
        <f aca="false">ExportRaw!$I341</f>
        <v/>
      </c>
      <c r="H341" s="168" t="str">
        <f aca="false">ExportRaw!$A341</f>
        <v/>
      </c>
      <c r="I341" s="168" t="str">
        <f aca="false">ExportRaw!$B341</f>
        <v/>
      </c>
    </row>
    <row r="342" customFormat="false" ht="15.75" hidden="false" customHeight="false" outlineLevel="0" collapsed="false">
      <c r="A342" s="168" t="n">
        <f aca="false">ExportRaw!$F342</f>
        <v>0</v>
      </c>
      <c r="B342" s="168" t="n">
        <f aca="false">ExportRaw!$C342</f>
        <v>0</v>
      </c>
      <c r="C342" s="168" t="n">
        <f aca="false">ExportRaw!$G342</f>
        <v>0</v>
      </c>
      <c r="D342" s="168" t="str">
        <f aca="false">ExportRaw!$E342</f>
        <v/>
      </c>
      <c r="E342" s="169" t="str">
        <f aca="false">ExportRaw!$D342</f>
        <v/>
      </c>
      <c r="F342" s="168" t="str">
        <f aca="false">ExportRaw!$H342</f>
        <v/>
      </c>
      <c r="G342" s="170" t="str">
        <f aca="false">ExportRaw!$I342</f>
        <v/>
      </c>
      <c r="H342" s="168" t="str">
        <f aca="false">ExportRaw!$A342</f>
        <v/>
      </c>
      <c r="I342" s="168" t="str">
        <f aca="false">ExportRaw!$B342</f>
        <v/>
      </c>
    </row>
    <row r="343" customFormat="false" ht="15.75" hidden="false" customHeight="false" outlineLevel="0" collapsed="false">
      <c r="A343" s="168" t="n">
        <f aca="false">ExportRaw!$F343</f>
        <v>0</v>
      </c>
      <c r="B343" s="168" t="n">
        <f aca="false">ExportRaw!$C343</f>
        <v>0</v>
      </c>
      <c r="C343" s="168" t="n">
        <f aca="false">ExportRaw!$G343</f>
        <v>0</v>
      </c>
      <c r="D343" s="168" t="str">
        <f aca="false">ExportRaw!$E343</f>
        <v/>
      </c>
      <c r="E343" s="169" t="str">
        <f aca="false">ExportRaw!$D343</f>
        <v/>
      </c>
      <c r="F343" s="168" t="str">
        <f aca="false">ExportRaw!$H343</f>
        <v/>
      </c>
      <c r="G343" s="170" t="str">
        <f aca="false">ExportRaw!$I343</f>
        <v/>
      </c>
      <c r="H343" s="168" t="str">
        <f aca="false">ExportRaw!$A343</f>
        <v/>
      </c>
      <c r="I343" s="168" t="str">
        <f aca="false">ExportRaw!$B343</f>
        <v/>
      </c>
    </row>
    <row r="344" customFormat="false" ht="15.75" hidden="false" customHeight="false" outlineLevel="0" collapsed="false">
      <c r="A344" s="168" t="n">
        <f aca="false">ExportRaw!$F344</f>
        <v>0</v>
      </c>
      <c r="B344" s="168" t="n">
        <f aca="false">ExportRaw!$C344</f>
        <v>0</v>
      </c>
      <c r="C344" s="168" t="n">
        <f aca="false">ExportRaw!$G344</f>
        <v>0</v>
      </c>
      <c r="D344" s="168" t="str">
        <f aca="false">ExportRaw!$E344</f>
        <v/>
      </c>
      <c r="E344" s="169" t="str">
        <f aca="false">ExportRaw!$D344</f>
        <v/>
      </c>
      <c r="F344" s="168" t="str">
        <f aca="false">ExportRaw!$H344</f>
        <v/>
      </c>
      <c r="G344" s="170" t="str">
        <f aca="false">ExportRaw!$I344</f>
        <v/>
      </c>
      <c r="H344" s="168" t="str">
        <f aca="false">ExportRaw!$A344</f>
        <v/>
      </c>
      <c r="I344" s="168" t="str">
        <f aca="false">ExportRaw!$B344</f>
        <v/>
      </c>
    </row>
    <row r="345" customFormat="false" ht="15.75" hidden="false" customHeight="false" outlineLevel="0" collapsed="false">
      <c r="A345" s="168" t="n">
        <f aca="false">ExportRaw!$F345</f>
        <v>0</v>
      </c>
      <c r="B345" s="168" t="n">
        <f aca="false">ExportRaw!$C345</f>
        <v>0</v>
      </c>
      <c r="C345" s="168" t="n">
        <f aca="false">ExportRaw!$G345</f>
        <v>0</v>
      </c>
      <c r="D345" s="168" t="str">
        <f aca="false">ExportRaw!$E345</f>
        <v/>
      </c>
      <c r="E345" s="169" t="str">
        <f aca="false">ExportRaw!$D345</f>
        <v/>
      </c>
      <c r="F345" s="168" t="str">
        <f aca="false">ExportRaw!$H345</f>
        <v/>
      </c>
      <c r="G345" s="170" t="str">
        <f aca="false">ExportRaw!$I345</f>
        <v/>
      </c>
      <c r="H345" s="168" t="str">
        <f aca="false">ExportRaw!$A345</f>
        <v/>
      </c>
      <c r="I345" s="168" t="str">
        <f aca="false">ExportRaw!$B345</f>
        <v/>
      </c>
    </row>
    <row r="346" customFormat="false" ht="15.75" hidden="false" customHeight="false" outlineLevel="0" collapsed="false">
      <c r="A346" s="168" t="n">
        <f aca="false">ExportRaw!$F346</f>
        <v>0</v>
      </c>
      <c r="B346" s="168" t="n">
        <f aca="false">ExportRaw!$C346</f>
        <v>0</v>
      </c>
      <c r="C346" s="168" t="n">
        <f aca="false">ExportRaw!$G346</f>
        <v>0</v>
      </c>
      <c r="D346" s="168" t="str">
        <f aca="false">ExportRaw!$E346</f>
        <v/>
      </c>
      <c r="E346" s="169" t="str">
        <f aca="false">ExportRaw!$D346</f>
        <v/>
      </c>
      <c r="F346" s="168" t="str">
        <f aca="false">ExportRaw!$H346</f>
        <v/>
      </c>
      <c r="G346" s="170" t="str">
        <f aca="false">ExportRaw!$I346</f>
        <v/>
      </c>
      <c r="H346" s="168" t="str">
        <f aca="false">ExportRaw!$A346</f>
        <v/>
      </c>
      <c r="I346" s="168" t="str">
        <f aca="false">ExportRaw!$B346</f>
        <v/>
      </c>
    </row>
    <row r="347" customFormat="false" ht="15.75" hidden="false" customHeight="false" outlineLevel="0" collapsed="false">
      <c r="A347" s="168" t="n">
        <f aca="false">ExportRaw!$F347</f>
        <v>0</v>
      </c>
      <c r="B347" s="168" t="n">
        <f aca="false">ExportRaw!$C347</f>
        <v>0</v>
      </c>
      <c r="C347" s="168" t="n">
        <f aca="false">ExportRaw!$G347</f>
        <v>0</v>
      </c>
      <c r="D347" s="168" t="str">
        <f aca="false">ExportRaw!$E347</f>
        <v/>
      </c>
      <c r="E347" s="169" t="str">
        <f aca="false">ExportRaw!$D347</f>
        <v/>
      </c>
      <c r="F347" s="168" t="str">
        <f aca="false">ExportRaw!$H347</f>
        <v/>
      </c>
      <c r="G347" s="170" t="str">
        <f aca="false">ExportRaw!$I347</f>
        <v/>
      </c>
      <c r="H347" s="168" t="str">
        <f aca="false">ExportRaw!$A347</f>
        <v/>
      </c>
      <c r="I347" s="168" t="str">
        <f aca="false">ExportRaw!$B347</f>
        <v/>
      </c>
    </row>
    <row r="348" customFormat="false" ht="15.75" hidden="false" customHeight="false" outlineLevel="0" collapsed="false">
      <c r="A348" s="168" t="n">
        <f aca="false">ExportRaw!$F348</f>
        <v>0</v>
      </c>
      <c r="B348" s="168" t="n">
        <f aca="false">ExportRaw!$C348</f>
        <v>0</v>
      </c>
      <c r="C348" s="168" t="n">
        <f aca="false">ExportRaw!$G348</f>
        <v>0</v>
      </c>
      <c r="D348" s="168" t="str">
        <f aca="false">ExportRaw!$E348</f>
        <v/>
      </c>
      <c r="E348" s="169" t="str">
        <f aca="false">ExportRaw!$D348</f>
        <v/>
      </c>
      <c r="F348" s="168" t="str">
        <f aca="false">ExportRaw!$H348</f>
        <v/>
      </c>
      <c r="G348" s="170" t="str">
        <f aca="false">ExportRaw!$I348</f>
        <v/>
      </c>
      <c r="H348" s="168" t="str">
        <f aca="false">ExportRaw!$A348</f>
        <v/>
      </c>
      <c r="I348" s="168" t="str">
        <f aca="false">ExportRaw!$B348</f>
        <v/>
      </c>
    </row>
    <row r="349" customFormat="false" ht="15.75" hidden="false" customHeight="false" outlineLevel="0" collapsed="false">
      <c r="A349" s="168" t="n">
        <f aca="false">ExportRaw!$F349</f>
        <v>0</v>
      </c>
      <c r="B349" s="168" t="n">
        <f aca="false">ExportRaw!$C349</f>
        <v>0</v>
      </c>
      <c r="C349" s="168" t="n">
        <f aca="false">ExportRaw!$G349</f>
        <v>0</v>
      </c>
      <c r="D349" s="168" t="str">
        <f aca="false">ExportRaw!$E349</f>
        <v/>
      </c>
      <c r="E349" s="169" t="str">
        <f aca="false">ExportRaw!$D349</f>
        <v/>
      </c>
      <c r="F349" s="168" t="str">
        <f aca="false">ExportRaw!$H349</f>
        <v/>
      </c>
      <c r="G349" s="170" t="str">
        <f aca="false">ExportRaw!$I349</f>
        <v/>
      </c>
      <c r="H349" s="168" t="str">
        <f aca="false">ExportRaw!$A349</f>
        <v/>
      </c>
      <c r="I349" s="168" t="str">
        <f aca="false">ExportRaw!$B349</f>
        <v/>
      </c>
    </row>
    <row r="350" customFormat="false" ht="15.75" hidden="false" customHeight="false" outlineLevel="0" collapsed="false">
      <c r="A350" s="168" t="n">
        <f aca="false">ExportRaw!$F350</f>
        <v>0</v>
      </c>
      <c r="B350" s="168" t="n">
        <f aca="false">ExportRaw!$C350</f>
        <v>0</v>
      </c>
      <c r="C350" s="168" t="n">
        <f aca="false">ExportRaw!$G350</f>
        <v>0</v>
      </c>
      <c r="D350" s="168" t="str">
        <f aca="false">ExportRaw!$E350</f>
        <v/>
      </c>
      <c r="E350" s="169" t="str">
        <f aca="false">ExportRaw!$D350</f>
        <v/>
      </c>
      <c r="F350" s="168" t="str">
        <f aca="false">ExportRaw!$H350</f>
        <v/>
      </c>
      <c r="G350" s="170" t="str">
        <f aca="false">ExportRaw!$I350</f>
        <v/>
      </c>
      <c r="H350" s="168" t="str">
        <f aca="false">ExportRaw!$A350</f>
        <v/>
      </c>
      <c r="I350" s="168" t="str">
        <f aca="false">ExportRaw!$B350</f>
        <v/>
      </c>
    </row>
    <row r="351" customFormat="false" ht="15.75" hidden="false" customHeight="false" outlineLevel="0" collapsed="false">
      <c r="A351" s="168" t="n">
        <f aca="false">ExportRaw!$F351</f>
        <v>0</v>
      </c>
      <c r="B351" s="168" t="n">
        <f aca="false">ExportRaw!$C351</f>
        <v>0</v>
      </c>
      <c r="C351" s="168" t="n">
        <f aca="false">ExportRaw!$G351</f>
        <v>0</v>
      </c>
      <c r="D351" s="168" t="str">
        <f aca="false">ExportRaw!$E351</f>
        <v/>
      </c>
      <c r="E351" s="169" t="str">
        <f aca="false">ExportRaw!$D351</f>
        <v/>
      </c>
      <c r="F351" s="168" t="str">
        <f aca="false">ExportRaw!$H351</f>
        <v/>
      </c>
      <c r="G351" s="170" t="str">
        <f aca="false">ExportRaw!$I351</f>
        <v/>
      </c>
      <c r="H351" s="168" t="str">
        <f aca="false">ExportRaw!$A351</f>
        <v/>
      </c>
      <c r="I351" s="168" t="str">
        <f aca="false">ExportRaw!$B351</f>
        <v/>
      </c>
    </row>
    <row r="352" customFormat="false" ht="15.75" hidden="false" customHeight="false" outlineLevel="0" collapsed="false">
      <c r="A352" s="168" t="n">
        <f aca="false">ExportRaw!$F352</f>
        <v>0</v>
      </c>
      <c r="B352" s="168" t="n">
        <f aca="false">ExportRaw!$C352</f>
        <v>0</v>
      </c>
      <c r="C352" s="168" t="n">
        <f aca="false">ExportRaw!$G352</f>
        <v>0</v>
      </c>
      <c r="D352" s="168" t="str">
        <f aca="false">ExportRaw!$E352</f>
        <v/>
      </c>
      <c r="E352" s="169" t="str">
        <f aca="false">ExportRaw!$D352</f>
        <v/>
      </c>
      <c r="F352" s="168" t="str">
        <f aca="false">ExportRaw!$H352</f>
        <v/>
      </c>
      <c r="G352" s="170" t="str">
        <f aca="false">ExportRaw!$I352</f>
        <v/>
      </c>
      <c r="H352" s="168" t="str">
        <f aca="false">ExportRaw!$A352</f>
        <v/>
      </c>
      <c r="I352" s="168" t="str">
        <f aca="false">ExportRaw!$B352</f>
        <v/>
      </c>
    </row>
    <row r="353" customFormat="false" ht="15.75" hidden="false" customHeight="false" outlineLevel="0" collapsed="false">
      <c r="A353" s="168" t="n">
        <f aca="false">ExportRaw!$F353</f>
        <v>0</v>
      </c>
      <c r="B353" s="168" t="n">
        <f aca="false">ExportRaw!$C353</f>
        <v>0</v>
      </c>
      <c r="C353" s="168" t="n">
        <f aca="false">ExportRaw!$G353</f>
        <v>0</v>
      </c>
      <c r="D353" s="168" t="str">
        <f aca="false">ExportRaw!$E353</f>
        <v/>
      </c>
      <c r="E353" s="169" t="str">
        <f aca="false">ExportRaw!$D353</f>
        <v/>
      </c>
      <c r="F353" s="168" t="str">
        <f aca="false">ExportRaw!$H353</f>
        <v/>
      </c>
      <c r="G353" s="170" t="str">
        <f aca="false">ExportRaw!$I353</f>
        <v/>
      </c>
      <c r="H353" s="168" t="str">
        <f aca="false">ExportRaw!$A353</f>
        <v/>
      </c>
      <c r="I353" s="168" t="str">
        <f aca="false">ExportRaw!$B353</f>
        <v/>
      </c>
    </row>
    <row r="354" customFormat="false" ht="15.75" hidden="false" customHeight="false" outlineLevel="0" collapsed="false">
      <c r="A354" s="168" t="n">
        <f aca="false">ExportRaw!$F354</f>
        <v>0</v>
      </c>
      <c r="B354" s="168" t="n">
        <f aca="false">ExportRaw!$C354</f>
        <v>0</v>
      </c>
      <c r="C354" s="168" t="n">
        <f aca="false">ExportRaw!$G354</f>
        <v>0</v>
      </c>
      <c r="D354" s="168" t="str">
        <f aca="false">ExportRaw!$E354</f>
        <v/>
      </c>
      <c r="E354" s="169" t="str">
        <f aca="false">ExportRaw!$D354</f>
        <v/>
      </c>
      <c r="F354" s="168" t="str">
        <f aca="false">ExportRaw!$H354</f>
        <v/>
      </c>
      <c r="G354" s="170" t="str">
        <f aca="false">ExportRaw!$I354</f>
        <v/>
      </c>
      <c r="H354" s="168" t="str">
        <f aca="false">ExportRaw!$A354</f>
        <v/>
      </c>
      <c r="I354" s="168" t="str">
        <f aca="false">ExportRaw!$B354</f>
        <v/>
      </c>
    </row>
    <row r="355" customFormat="false" ht="15.75" hidden="false" customHeight="false" outlineLevel="0" collapsed="false">
      <c r="A355" s="168" t="n">
        <f aca="false">ExportRaw!$F355</f>
        <v>0</v>
      </c>
      <c r="B355" s="168" t="n">
        <f aca="false">ExportRaw!$C355</f>
        <v>0</v>
      </c>
      <c r="C355" s="168" t="n">
        <f aca="false">ExportRaw!$G355</f>
        <v>0</v>
      </c>
      <c r="D355" s="168" t="str">
        <f aca="false">ExportRaw!$E355</f>
        <v/>
      </c>
      <c r="E355" s="169" t="str">
        <f aca="false">ExportRaw!$D355</f>
        <v/>
      </c>
      <c r="F355" s="168" t="str">
        <f aca="false">ExportRaw!$H355</f>
        <v/>
      </c>
      <c r="G355" s="170" t="str">
        <f aca="false">ExportRaw!$I355</f>
        <v/>
      </c>
      <c r="H355" s="168" t="str">
        <f aca="false">ExportRaw!$A355</f>
        <v/>
      </c>
      <c r="I355" s="168" t="str">
        <f aca="false">ExportRaw!$B355</f>
        <v/>
      </c>
    </row>
    <row r="356" customFormat="false" ht="15.75" hidden="false" customHeight="false" outlineLevel="0" collapsed="false">
      <c r="A356" s="168" t="n">
        <f aca="false">ExportRaw!$F356</f>
        <v>0</v>
      </c>
      <c r="B356" s="168" t="n">
        <f aca="false">ExportRaw!$C356</f>
        <v>0</v>
      </c>
      <c r="C356" s="168" t="n">
        <f aca="false">ExportRaw!$G356</f>
        <v>0</v>
      </c>
      <c r="D356" s="168" t="str">
        <f aca="false">ExportRaw!$E356</f>
        <v/>
      </c>
      <c r="E356" s="169" t="str">
        <f aca="false">ExportRaw!$D356</f>
        <v/>
      </c>
      <c r="F356" s="168" t="str">
        <f aca="false">ExportRaw!$H356</f>
        <v/>
      </c>
      <c r="G356" s="170" t="str">
        <f aca="false">ExportRaw!$I356</f>
        <v/>
      </c>
      <c r="H356" s="168" t="str">
        <f aca="false">ExportRaw!$A356</f>
        <v/>
      </c>
      <c r="I356" s="168" t="str">
        <f aca="false">ExportRaw!$B356</f>
        <v/>
      </c>
    </row>
    <row r="357" customFormat="false" ht="15.75" hidden="false" customHeight="false" outlineLevel="0" collapsed="false">
      <c r="A357" s="168" t="n">
        <f aca="false">ExportRaw!$F357</f>
        <v>0</v>
      </c>
      <c r="B357" s="168" t="n">
        <f aca="false">ExportRaw!$C357</f>
        <v>0</v>
      </c>
      <c r="C357" s="168" t="n">
        <f aca="false">ExportRaw!$G357</f>
        <v>0</v>
      </c>
      <c r="D357" s="168" t="str">
        <f aca="false">ExportRaw!$E357</f>
        <v/>
      </c>
      <c r="E357" s="169" t="str">
        <f aca="false">ExportRaw!$D357</f>
        <v/>
      </c>
      <c r="F357" s="168" t="str">
        <f aca="false">ExportRaw!$H357</f>
        <v/>
      </c>
      <c r="G357" s="170" t="str">
        <f aca="false">ExportRaw!$I357</f>
        <v/>
      </c>
      <c r="H357" s="168" t="str">
        <f aca="false">ExportRaw!$A357</f>
        <v/>
      </c>
      <c r="I357" s="168" t="str">
        <f aca="false">ExportRaw!$B357</f>
        <v/>
      </c>
    </row>
    <row r="358" customFormat="false" ht="15.75" hidden="false" customHeight="false" outlineLevel="0" collapsed="false">
      <c r="A358" s="168" t="n">
        <f aca="false">ExportRaw!$F358</f>
        <v>0</v>
      </c>
      <c r="B358" s="168" t="n">
        <f aca="false">ExportRaw!$C358</f>
        <v>0</v>
      </c>
      <c r="C358" s="168" t="n">
        <f aca="false">ExportRaw!$G358</f>
        <v>0</v>
      </c>
      <c r="D358" s="168" t="str">
        <f aca="false">ExportRaw!$E358</f>
        <v/>
      </c>
      <c r="E358" s="169" t="str">
        <f aca="false">ExportRaw!$D358</f>
        <v/>
      </c>
      <c r="F358" s="168" t="str">
        <f aca="false">ExportRaw!$H358</f>
        <v/>
      </c>
      <c r="G358" s="170" t="str">
        <f aca="false">ExportRaw!$I358</f>
        <v/>
      </c>
      <c r="H358" s="168" t="str">
        <f aca="false">ExportRaw!$A358</f>
        <v/>
      </c>
      <c r="I358" s="168" t="str">
        <f aca="false">ExportRaw!$B358</f>
        <v/>
      </c>
    </row>
    <row r="359" customFormat="false" ht="15.75" hidden="false" customHeight="false" outlineLevel="0" collapsed="false">
      <c r="A359" s="168" t="n">
        <f aca="false">ExportRaw!$F359</f>
        <v>0</v>
      </c>
      <c r="B359" s="168" t="n">
        <f aca="false">ExportRaw!$C359</f>
        <v>0</v>
      </c>
      <c r="C359" s="168" t="n">
        <f aca="false">ExportRaw!$G359</f>
        <v>0</v>
      </c>
      <c r="D359" s="168" t="str">
        <f aca="false">ExportRaw!$E359</f>
        <v/>
      </c>
      <c r="E359" s="169" t="str">
        <f aca="false">ExportRaw!$D359</f>
        <v/>
      </c>
      <c r="F359" s="168" t="str">
        <f aca="false">ExportRaw!$H359</f>
        <v/>
      </c>
      <c r="G359" s="170" t="str">
        <f aca="false">ExportRaw!$I359</f>
        <v/>
      </c>
      <c r="H359" s="168" t="str">
        <f aca="false">ExportRaw!$A359</f>
        <v/>
      </c>
      <c r="I359" s="168" t="str">
        <f aca="false">ExportRaw!$B359</f>
        <v/>
      </c>
    </row>
    <row r="360" customFormat="false" ht="15.75" hidden="false" customHeight="false" outlineLevel="0" collapsed="false">
      <c r="A360" s="168" t="n">
        <f aca="false">ExportRaw!$F360</f>
        <v>0</v>
      </c>
      <c r="B360" s="168" t="n">
        <f aca="false">ExportRaw!$C360</f>
        <v>0</v>
      </c>
      <c r="C360" s="168" t="n">
        <f aca="false">ExportRaw!$G360</f>
        <v>0</v>
      </c>
      <c r="D360" s="168" t="str">
        <f aca="false">ExportRaw!$E360</f>
        <v/>
      </c>
      <c r="E360" s="169" t="str">
        <f aca="false">ExportRaw!$D360</f>
        <v/>
      </c>
      <c r="F360" s="168" t="str">
        <f aca="false">ExportRaw!$H360</f>
        <v/>
      </c>
      <c r="G360" s="170" t="str">
        <f aca="false">ExportRaw!$I360</f>
        <v/>
      </c>
      <c r="H360" s="168" t="str">
        <f aca="false">ExportRaw!$A360</f>
        <v/>
      </c>
      <c r="I360" s="168" t="str">
        <f aca="false">ExportRaw!$B360</f>
        <v/>
      </c>
    </row>
    <row r="361" customFormat="false" ht="15.75" hidden="false" customHeight="false" outlineLevel="0" collapsed="false">
      <c r="A361" s="168" t="n">
        <f aca="false">ExportRaw!$F361</f>
        <v>0</v>
      </c>
      <c r="B361" s="168" t="n">
        <f aca="false">ExportRaw!$C361</f>
        <v>0</v>
      </c>
      <c r="C361" s="168" t="n">
        <f aca="false">ExportRaw!$G361</f>
        <v>0</v>
      </c>
      <c r="D361" s="168" t="str">
        <f aca="false">ExportRaw!$E361</f>
        <v/>
      </c>
      <c r="E361" s="169" t="str">
        <f aca="false">ExportRaw!$D361</f>
        <v/>
      </c>
      <c r="F361" s="168" t="str">
        <f aca="false">ExportRaw!$H361</f>
        <v/>
      </c>
      <c r="G361" s="170" t="str">
        <f aca="false">ExportRaw!$I361</f>
        <v/>
      </c>
      <c r="H361" s="168" t="str">
        <f aca="false">ExportRaw!$A361</f>
        <v/>
      </c>
      <c r="I361" s="168" t="str">
        <f aca="false">ExportRaw!$B361</f>
        <v/>
      </c>
    </row>
    <row r="362" customFormat="false" ht="15.75" hidden="false" customHeight="false" outlineLevel="0" collapsed="false">
      <c r="A362" s="168" t="n">
        <f aca="false">ExportRaw!$F362</f>
        <v>0</v>
      </c>
      <c r="B362" s="168" t="n">
        <f aca="false">ExportRaw!$C362</f>
        <v>0</v>
      </c>
      <c r="C362" s="168" t="n">
        <f aca="false">ExportRaw!$G362</f>
        <v>0</v>
      </c>
      <c r="D362" s="168" t="str">
        <f aca="false">ExportRaw!$E362</f>
        <v/>
      </c>
      <c r="E362" s="169" t="str">
        <f aca="false">ExportRaw!$D362</f>
        <v/>
      </c>
      <c r="F362" s="168" t="str">
        <f aca="false">ExportRaw!$H362</f>
        <v/>
      </c>
      <c r="G362" s="170" t="str">
        <f aca="false">ExportRaw!$I362</f>
        <v/>
      </c>
      <c r="H362" s="168" t="str">
        <f aca="false">ExportRaw!$A362</f>
        <v/>
      </c>
      <c r="I362" s="168" t="str">
        <f aca="false">ExportRaw!$B362</f>
        <v/>
      </c>
    </row>
    <row r="363" customFormat="false" ht="15.75" hidden="false" customHeight="false" outlineLevel="0" collapsed="false">
      <c r="A363" s="168" t="n">
        <f aca="false">ExportRaw!$F363</f>
        <v>0</v>
      </c>
      <c r="B363" s="168" t="n">
        <f aca="false">ExportRaw!$C363</f>
        <v>0</v>
      </c>
      <c r="C363" s="168" t="n">
        <f aca="false">ExportRaw!$G363</f>
        <v>0</v>
      </c>
      <c r="D363" s="168" t="str">
        <f aca="false">ExportRaw!$E363</f>
        <v/>
      </c>
      <c r="E363" s="169" t="str">
        <f aca="false">ExportRaw!$D363</f>
        <v/>
      </c>
      <c r="F363" s="168" t="str">
        <f aca="false">ExportRaw!$H363</f>
        <v/>
      </c>
      <c r="G363" s="170" t="str">
        <f aca="false">ExportRaw!$I363</f>
        <v/>
      </c>
      <c r="H363" s="168" t="str">
        <f aca="false">ExportRaw!$A363</f>
        <v/>
      </c>
      <c r="I363" s="168" t="str">
        <f aca="false">ExportRaw!$B363</f>
        <v/>
      </c>
    </row>
    <row r="364" customFormat="false" ht="15.75" hidden="false" customHeight="false" outlineLevel="0" collapsed="false">
      <c r="A364" s="168" t="n">
        <f aca="false">ExportRaw!$F364</f>
        <v>0</v>
      </c>
      <c r="B364" s="168" t="n">
        <f aca="false">ExportRaw!$C364</f>
        <v>0</v>
      </c>
      <c r="C364" s="168" t="n">
        <f aca="false">ExportRaw!$G364</f>
        <v>0</v>
      </c>
      <c r="D364" s="168" t="str">
        <f aca="false">ExportRaw!$E364</f>
        <v/>
      </c>
      <c r="E364" s="169" t="str">
        <f aca="false">ExportRaw!$D364</f>
        <v/>
      </c>
      <c r="F364" s="168" t="str">
        <f aca="false">ExportRaw!$H364</f>
        <v/>
      </c>
      <c r="G364" s="170" t="str">
        <f aca="false">ExportRaw!$I364</f>
        <v/>
      </c>
      <c r="H364" s="168" t="str">
        <f aca="false">ExportRaw!$A364</f>
        <v/>
      </c>
      <c r="I364" s="168" t="str">
        <f aca="false">ExportRaw!$B364</f>
        <v/>
      </c>
    </row>
    <row r="365" customFormat="false" ht="15.75" hidden="false" customHeight="false" outlineLevel="0" collapsed="false">
      <c r="A365" s="168" t="n">
        <f aca="false">ExportRaw!$F365</f>
        <v>0</v>
      </c>
      <c r="B365" s="168" t="n">
        <f aca="false">ExportRaw!$C365</f>
        <v>0</v>
      </c>
      <c r="C365" s="168" t="n">
        <f aca="false">ExportRaw!$G365</f>
        <v>0</v>
      </c>
      <c r="D365" s="168" t="str">
        <f aca="false">ExportRaw!$E365</f>
        <v/>
      </c>
      <c r="E365" s="169" t="str">
        <f aca="false">ExportRaw!$D365</f>
        <v/>
      </c>
      <c r="F365" s="168" t="str">
        <f aca="false">ExportRaw!$H365</f>
        <v/>
      </c>
      <c r="G365" s="170" t="str">
        <f aca="false">ExportRaw!$I365</f>
        <v/>
      </c>
      <c r="H365" s="168" t="str">
        <f aca="false">ExportRaw!$A365</f>
        <v/>
      </c>
      <c r="I365" s="168" t="str">
        <f aca="false">ExportRaw!$B365</f>
        <v/>
      </c>
    </row>
    <row r="366" customFormat="false" ht="15.75" hidden="false" customHeight="false" outlineLevel="0" collapsed="false">
      <c r="A366" s="168" t="n">
        <f aca="false">ExportRaw!$F366</f>
        <v>0</v>
      </c>
      <c r="B366" s="168" t="n">
        <f aca="false">ExportRaw!$C366</f>
        <v>0</v>
      </c>
      <c r="C366" s="168" t="n">
        <f aca="false">ExportRaw!$G366</f>
        <v>0</v>
      </c>
      <c r="D366" s="168" t="str">
        <f aca="false">ExportRaw!$E366</f>
        <v/>
      </c>
      <c r="E366" s="169" t="str">
        <f aca="false">ExportRaw!$D366</f>
        <v/>
      </c>
      <c r="F366" s="168" t="str">
        <f aca="false">ExportRaw!$H366</f>
        <v/>
      </c>
      <c r="G366" s="170" t="str">
        <f aca="false">ExportRaw!$I366</f>
        <v/>
      </c>
      <c r="H366" s="168" t="str">
        <f aca="false">ExportRaw!$A366</f>
        <v/>
      </c>
      <c r="I366" s="168" t="str">
        <f aca="false">ExportRaw!$B366</f>
        <v/>
      </c>
    </row>
    <row r="367" customFormat="false" ht="15.75" hidden="false" customHeight="false" outlineLevel="0" collapsed="false">
      <c r="A367" s="168" t="n">
        <f aca="false">ExportRaw!$F367</f>
        <v>0</v>
      </c>
      <c r="B367" s="168" t="n">
        <f aca="false">ExportRaw!$C367</f>
        <v>0</v>
      </c>
      <c r="C367" s="168" t="n">
        <f aca="false">ExportRaw!$G367</f>
        <v>0</v>
      </c>
      <c r="D367" s="168" t="str">
        <f aca="false">ExportRaw!$E367</f>
        <v/>
      </c>
      <c r="E367" s="169" t="str">
        <f aca="false">ExportRaw!$D367</f>
        <v/>
      </c>
      <c r="F367" s="168" t="str">
        <f aca="false">ExportRaw!$H367</f>
        <v/>
      </c>
      <c r="G367" s="170" t="str">
        <f aca="false">ExportRaw!$I367</f>
        <v/>
      </c>
      <c r="H367" s="168" t="str">
        <f aca="false">ExportRaw!$A367</f>
        <v/>
      </c>
      <c r="I367" s="168" t="str">
        <f aca="false">ExportRaw!$B367</f>
        <v/>
      </c>
    </row>
    <row r="368" customFormat="false" ht="15.75" hidden="false" customHeight="false" outlineLevel="0" collapsed="false">
      <c r="A368" s="168" t="n">
        <f aca="false">ExportRaw!$F368</f>
        <v>0</v>
      </c>
      <c r="B368" s="168" t="n">
        <f aca="false">ExportRaw!$C368</f>
        <v>0</v>
      </c>
      <c r="C368" s="168" t="n">
        <f aca="false">ExportRaw!$G368</f>
        <v>0</v>
      </c>
      <c r="D368" s="168" t="str">
        <f aca="false">ExportRaw!$E368</f>
        <v/>
      </c>
      <c r="E368" s="169" t="str">
        <f aca="false">ExportRaw!$D368</f>
        <v/>
      </c>
      <c r="F368" s="168" t="str">
        <f aca="false">ExportRaw!$H368</f>
        <v/>
      </c>
      <c r="G368" s="170" t="str">
        <f aca="false">ExportRaw!$I368</f>
        <v/>
      </c>
      <c r="H368" s="168" t="str">
        <f aca="false">ExportRaw!$A368</f>
        <v/>
      </c>
      <c r="I368" s="168" t="str">
        <f aca="false">ExportRaw!$B368</f>
        <v/>
      </c>
    </row>
    <row r="369" customFormat="false" ht="15.75" hidden="false" customHeight="false" outlineLevel="0" collapsed="false">
      <c r="A369" s="168" t="n">
        <f aca="false">ExportRaw!$F369</f>
        <v>0</v>
      </c>
      <c r="B369" s="168" t="n">
        <f aca="false">ExportRaw!$C369</f>
        <v>0</v>
      </c>
      <c r="C369" s="168" t="n">
        <f aca="false">ExportRaw!$G369</f>
        <v>0</v>
      </c>
      <c r="D369" s="168" t="str">
        <f aca="false">ExportRaw!$E369</f>
        <v/>
      </c>
      <c r="E369" s="169" t="str">
        <f aca="false">ExportRaw!$D369</f>
        <v/>
      </c>
      <c r="F369" s="168" t="str">
        <f aca="false">ExportRaw!$H369</f>
        <v/>
      </c>
      <c r="G369" s="170" t="str">
        <f aca="false">ExportRaw!$I369</f>
        <v/>
      </c>
      <c r="H369" s="168" t="str">
        <f aca="false">ExportRaw!$A369</f>
        <v/>
      </c>
      <c r="I369" s="168" t="str">
        <f aca="false">ExportRaw!$B369</f>
        <v/>
      </c>
    </row>
    <row r="370" customFormat="false" ht="15.75" hidden="false" customHeight="false" outlineLevel="0" collapsed="false">
      <c r="A370" s="168" t="n">
        <f aca="false">ExportRaw!$F370</f>
        <v>0</v>
      </c>
      <c r="B370" s="168" t="n">
        <f aca="false">ExportRaw!$C370</f>
        <v>0</v>
      </c>
      <c r="C370" s="168" t="n">
        <f aca="false">ExportRaw!$G370</f>
        <v>0</v>
      </c>
      <c r="D370" s="168" t="str">
        <f aca="false">ExportRaw!$E370</f>
        <v/>
      </c>
      <c r="E370" s="169" t="str">
        <f aca="false">ExportRaw!$D370</f>
        <v/>
      </c>
      <c r="F370" s="168" t="str">
        <f aca="false">ExportRaw!$H370</f>
        <v/>
      </c>
      <c r="G370" s="170" t="str">
        <f aca="false">ExportRaw!$I370</f>
        <v/>
      </c>
      <c r="H370" s="168" t="str">
        <f aca="false">ExportRaw!$A370</f>
        <v/>
      </c>
      <c r="I370" s="168" t="str">
        <f aca="false">ExportRaw!$B370</f>
        <v/>
      </c>
    </row>
    <row r="371" customFormat="false" ht="15.75" hidden="false" customHeight="false" outlineLevel="0" collapsed="false">
      <c r="A371" s="168" t="n">
        <f aca="false">ExportRaw!$F371</f>
        <v>0</v>
      </c>
      <c r="B371" s="168" t="n">
        <f aca="false">ExportRaw!$C371</f>
        <v>0</v>
      </c>
      <c r="C371" s="168" t="n">
        <f aca="false">ExportRaw!$G371</f>
        <v>0</v>
      </c>
      <c r="D371" s="168" t="str">
        <f aca="false">ExportRaw!$E371</f>
        <v/>
      </c>
      <c r="E371" s="169" t="str">
        <f aca="false">ExportRaw!$D371</f>
        <v/>
      </c>
      <c r="F371" s="168" t="str">
        <f aca="false">ExportRaw!$H371</f>
        <v/>
      </c>
      <c r="G371" s="170" t="str">
        <f aca="false">ExportRaw!$I371</f>
        <v/>
      </c>
      <c r="H371" s="168" t="str">
        <f aca="false">ExportRaw!$A371</f>
        <v/>
      </c>
      <c r="I371" s="168" t="str">
        <f aca="false">ExportRaw!$B371</f>
        <v/>
      </c>
    </row>
    <row r="372" customFormat="false" ht="15.75" hidden="false" customHeight="false" outlineLevel="0" collapsed="false">
      <c r="A372" s="168" t="n">
        <f aca="false">ExportRaw!$F372</f>
        <v>0</v>
      </c>
      <c r="B372" s="168" t="n">
        <f aca="false">ExportRaw!$C372</f>
        <v>0</v>
      </c>
      <c r="C372" s="168" t="n">
        <f aca="false">ExportRaw!$G372</f>
        <v>0</v>
      </c>
      <c r="D372" s="168" t="str">
        <f aca="false">ExportRaw!$E372</f>
        <v/>
      </c>
      <c r="E372" s="169" t="str">
        <f aca="false">ExportRaw!$D372</f>
        <v/>
      </c>
      <c r="F372" s="168" t="str">
        <f aca="false">ExportRaw!$H372</f>
        <v/>
      </c>
      <c r="G372" s="170" t="str">
        <f aca="false">ExportRaw!$I372</f>
        <v/>
      </c>
      <c r="H372" s="168" t="str">
        <f aca="false">ExportRaw!$A372</f>
        <v/>
      </c>
      <c r="I372" s="168" t="str">
        <f aca="false">ExportRaw!$B372</f>
        <v/>
      </c>
    </row>
    <row r="373" customFormat="false" ht="15.75" hidden="false" customHeight="false" outlineLevel="0" collapsed="false">
      <c r="A373" s="168" t="n">
        <f aca="false">ExportRaw!$F373</f>
        <v>0</v>
      </c>
      <c r="B373" s="168" t="n">
        <f aca="false">ExportRaw!$C373</f>
        <v>0</v>
      </c>
      <c r="C373" s="168" t="n">
        <f aca="false">ExportRaw!$G373</f>
        <v>0</v>
      </c>
      <c r="D373" s="168" t="str">
        <f aca="false">ExportRaw!$E373</f>
        <v/>
      </c>
      <c r="E373" s="169" t="str">
        <f aca="false">ExportRaw!$D373</f>
        <v/>
      </c>
      <c r="F373" s="168" t="str">
        <f aca="false">ExportRaw!$H373</f>
        <v/>
      </c>
      <c r="G373" s="170" t="str">
        <f aca="false">ExportRaw!$I373</f>
        <v/>
      </c>
      <c r="H373" s="168" t="str">
        <f aca="false">ExportRaw!$A373</f>
        <v/>
      </c>
      <c r="I373" s="168" t="str">
        <f aca="false">ExportRaw!$B373</f>
        <v/>
      </c>
    </row>
    <row r="374" customFormat="false" ht="15.75" hidden="false" customHeight="false" outlineLevel="0" collapsed="false">
      <c r="A374" s="168" t="n">
        <f aca="false">ExportRaw!$F374</f>
        <v>0</v>
      </c>
      <c r="B374" s="168" t="n">
        <f aca="false">ExportRaw!$C374</f>
        <v>0</v>
      </c>
      <c r="C374" s="168" t="n">
        <f aca="false">ExportRaw!$G374</f>
        <v>0</v>
      </c>
      <c r="D374" s="168" t="str">
        <f aca="false">ExportRaw!$E374</f>
        <v/>
      </c>
      <c r="E374" s="169" t="str">
        <f aca="false">ExportRaw!$D374</f>
        <v/>
      </c>
      <c r="F374" s="168" t="str">
        <f aca="false">ExportRaw!$H374</f>
        <v/>
      </c>
      <c r="G374" s="170" t="str">
        <f aca="false">ExportRaw!$I374</f>
        <v/>
      </c>
      <c r="H374" s="168" t="str">
        <f aca="false">ExportRaw!$A374</f>
        <v/>
      </c>
      <c r="I374" s="168" t="str">
        <f aca="false">ExportRaw!$B374</f>
        <v/>
      </c>
    </row>
    <row r="375" customFormat="false" ht="15.75" hidden="false" customHeight="false" outlineLevel="0" collapsed="false">
      <c r="A375" s="168" t="n">
        <f aca="false">ExportRaw!$F375</f>
        <v>0</v>
      </c>
      <c r="B375" s="168" t="n">
        <f aca="false">ExportRaw!$C375</f>
        <v>0</v>
      </c>
      <c r="C375" s="168" t="n">
        <f aca="false">ExportRaw!$G375</f>
        <v>0</v>
      </c>
      <c r="D375" s="168" t="str">
        <f aca="false">ExportRaw!$E375</f>
        <v/>
      </c>
      <c r="E375" s="169" t="str">
        <f aca="false">ExportRaw!$D375</f>
        <v/>
      </c>
      <c r="F375" s="168" t="str">
        <f aca="false">ExportRaw!$H375</f>
        <v/>
      </c>
      <c r="G375" s="170" t="str">
        <f aca="false">ExportRaw!$I375</f>
        <v/>
      </c>
      <c r="H375" s="168" t="str">
        <f aca="false">ExportRaw!$A375</f>
        <v/>
      </c>
      <c r="I375" s="168" t="str">
        <f aca="false">ExportRaw!$B375</f>
        <v/>
      </c>
    </row>
    <row r="376" customFormat="false" ht="15.75" hidden="false" customHeight="false" outlineLevel="0" collapsed="false">
      <c r="A376" s="168" t="n">
        <f aca="false">ExportRaw!$F376</f>
        <v>0</v>
      </c>
      <c r="B376" s="168" t="n">
        <f aca="false">ExportRaw!$C376</f>
        <v>0</v>
      </c>
      <c r="C376" s="168" t="n">
        <f aca="false">ExportRaw!$G376</f>
        <v>0</v>
      </c>
      <c r="D376" s="168" t="str">
        <f aca="false">ExportRaw!$E376</f>
        <v/>
      </c>
      <c r="E376" s="169" t="str">
        <f aca="false">ExportRaw!$D376</f>
        <v/>
      </c>
      <c r="F376" s="168" t="str">
        <f aca="false">ExportRaw!$H376</f>
        <v/>
      </c>
      <c r="G376" s="170" t="str">
        <f aca="false">ExportRaw!$I376</f>
        <v/>
      </c>
      <c r="H376" s="168" t="str">
        <f aca="false">ExportRaw!$A376</f>
        <v/>
      </c>
      <c r="I376" s="168" t="str">
        <f aca="false">ExportRaw!$B376</f>
        <v/>
      </c>
    </row>
    <row r="377" customFormat="false" ht="15.75" hidden="false" customHeight="false" outlineLevel="0" collapsed="false">
      <c r="A377" s="168" t="n">
        <f aca="false">ExportRaw!$F377</f>
        <v>0</v>
      </c>
      <c r="B377" s="168" t="n">
        <f aca="false">ExportRaw!$C377</f>
        <v>0</v>
      </c>
      <c r="C377" s="168" t="n">
        <f aca="false">ExportRaw!$G377</f>
        <v>0</v>
      </c>
      <c r="D377" s="168" t="str">
        <f aca="false">ExportRaw!$E377</f>
        <v/>
      </c>
      <c r="E377" s="169" t="str">
        <f aca="false">ExportRaw!$D377</f>
        <v/>
      </c>
      <c r="F377" s="168" t="str">
        <f aca="false">ExportRaw!$H377</f>
        <v/>
      </c>
      <c r="G377" s="170" t="str">
        <f aca="false">ExportRaw!$I377</f>
        <v/>
      </c>
      <c r="H377" s="168" t="str">
        <f aca="false">ExportRaw!$A377</f>
        <v/>
      </c>
      <c r="I377" s="168" t="str">
        <f aca="false">ExportRaw!$B377</f>
        <v/>
      </c>
    </row>
    <row r="378" customFormat="false" ht="15.75" hidden="false" customHeight="false" outlineLevel="0" collapsed="false">
      <c r="A378" s="168" t="n">
        <f aca="false">ExportRaw!$F378</f>
        <v>0</v>
      </c>
      <c r="B378" s="168" t="n">
        <f aca="false">ExportRaw!$C378</f>
        <v>0</v>
      </c>
      <c r="C378" s="168" t="n">
        <f aca="false">ExportRaw!$G378</f>
        <v>0</v>
      </c>
      <c r="D378" s="168" t="str">
        <f aca="false">ExportRaw!$E378</f>
        <v/>
      </c>
      <c r="E378" s="169" t="str">
        <f aca="false">ExportRaw!$D378</f>
        <v/>
      </c>
      <c r="F378" s="168" t="str">
        <f aca="false">ExportRaw!$H378</f>
        <v/>
      </c>
      <c r="G378" s="170" t="str">
        <f aca="false">ExportRaw!$I378</f>
        <v/>
      </c>
      <c r="H378" s="168" t="str">
        <f aca="false">ExportRaw!$A378</f>
        <v/>
      </c>
      <c r="I378" s="168" t="str">
        <f aca="false">ExportRaw!$B378</f>
        <v/>
      </c>
    </row>
    <row r="379" customFormat="false" ht="15.75" hidden="false" customHeight="false" outlineLevel="0" collapsed="false">
      <c r="A379" s="168" t="n">
        <f aca="false">ExportRaw!$F379</f>
        <v>0</v>
      </c>
      <c r="B379" s="168" t="n">
        <f aca="false">ExportRaw!$C379</f>
        <v>0</v>
      </c>
      <c r="C379" s="168" t="n">
        <f aca="false">ExportRaw!$G379</f>
        <v>0</v>
      </c>
      <c r="D379" s="168" t="str">
        <f aca="false">ExportRaw!$E379</f>
        <v/>
      </c>
      <c r="E379" s="169" t="str">
        <f aca="false">ExportRaw!$D379</f>
        <v/>
      </c>
      <c r="F379" s="168" t="str">
        <f aca="false">ExportRaw!$H379</f>
        <v/>
      </c>
      <c r="G379" s="170" t="str">
        <f aca="false">ExportRaw!$I379</f>
        <v/>
      </c>
      <c r="H379" s="168" t="str">
        <f aca="false">ExportRaw!$A379</f>
        <v/>
      </c>
      <c r="I379" s="168" t="str">
        <f aca="false">ExportRaw!$B379</f>
        <v/>
      </c>
    </row>
    <row r="380" customFormat="false" ht="15.75" hidden="false" customHeight="false" outlineLevel="0" collapsed="false">
      <c r="A380" s="168" t="n">
        <f aca="false">ExportRaw!$F380</f>
        <v>0</v>
      </c>
      <c r="B380" s="168" t="n">
        <f aca="false">ExportRaw!$C380</f>
        <v>0</v>
      </c>
      <c r="C380" s="168" t="n">
        <f aca="false">ExportRaw!$G380</f>
        <v>0</v>
      </c>
      <c r="D380" s="168" t="str">
        <f aca="false">ExportRaw!$E380</f>
        <v/>
      </c>
      <c r="E380" s="169" t="str">
        <f aca="false">ExportRaw!$D380</f>
        <v/>
      </c>
      <c r="F380" s="168" t="str">
        <f aca="false">ExportRaw!$H380</f>
        <v/>
      </c>
      <c r="G380" s="170" t="str">
        <f aca="false">ExportRaw!$I380</f>
        <v/>
      </c>
      <c r="H380" s="168" t="str">
        <f aca="false">ExportRaw!$A380</f>
        <v/>
      </c>
      <c r="I380" s="168" t="str">
        <f aca="false">ExportRaw!$B380</f>
        <v/>
      </c>
    </row>
    <row r="381" customFormat="false" ht="15.75" hidden="false" customHeight="false" outlineLevel="0" collapsed="false">
      <c r="A381" s="168" t="n">
        <f aca="false">ExportRaw!$F381</f>
        <v>0</v>
      </c>
      <c r="B381" s="168" t="n">
        <f aca="false">ExportRaw!$C381</f>
        <v>0</v>
      </c>
      <c r="C381" s="168" t="n">
        <f aca="false">ExportRaw!$G381</f>
        <v>0</v>
      </c>
      <c r="D381" s="168" t="str">
        <f aca="false">ExportRaw!$E381</f>
        <v/>
      </c>
      <c r="E381" s="169" t="str">
        <f aca="false">ExportRaw!$D381</f>
        <v/>
      </c>
      <c r="F381" s="168" t="str">
        <f aca="false">ExportRaw!$H381</f>
        <v/>
      </c>
      <c r="G381" s="170" t="str">
        <f aca="false">ExportRaw!$I381</f>
        <v/>
      </c>
      <c r="H381" s="168" t="str">
        <f aca="false">ExportRaw!$A381</f>
        <v/>
      </c>
      <c r="I381" s="168" t="str">
        <f aca="false">ExportRaw!$B381</f>
        <v/>
      </c>
    </row>
    <row r="382" customFormat="false" ht="15.75" hidden="false" customHeight="false" outlineLevel="0" collapsed="false">
      <c r="A382" s="168" t="n">
        <f aca="false">ExportRaw!$F382</f>
        <v>0</v>
      </c>
      <c r="B382" s="168" t="n">
        <f aca="false">ExportRaw!$C382</f>
        <v>0</v>
      </c>
      <c r="C382" s="168" t="n">
        <f aca="false">ExportRaw!$G382</f>
        <v>0</v>
      </c>
      <c r="D382" s="168" t="str">
        <f aca="false">ExportRaw!$E382</f>
        <v/>
      </c>
      <c r="E382" s="169" t="str">
        <f aca="false">ExportRaw!$D382</f>
        <v/>
      </c>
      <c r="F382" s="168" t="str">
        <f aca="false">ExportRaw!$H382</f>
        <v/>
      </c>
      <c r="G382" s="170" t="str">
        <f aca="false">ExportRaw!$I382</f>
        <v/>
      </c>
      <c r="H382" s="168" t="str">
        <f aca="false">ExportRaw!$A382</f>
        <v/>
      </c>
      <c r="I382" s="168" t="str">
        <f aca="false">ExportRaw!$B382</f>
        <v/>
      </c>
    </row>
    <row r="383" customFormat="false" ht="15.75" hidden="false" customHeight="false" outlineLevel="0" collapsed="false">
      <c r="A383" s="168" t="n">
        <f aca="false">ExportRaw!$F383</f>
        <v>0</v>
      </c>
      <c r="B383" s="168" t="n">
        <f aca="false">ExportRaw!$C383</f>
        <v>0</v>
      </c>
      <c r="C383" s="168" t="n">
        <f aca="false">ExportRaw!$G383</f>
        <v>0</v>
      </c>
      <c r="D383" s="168" t="str">
        <f aca="false">ExportRaw!$E383</f>
        <v/>
      </c>
      <c r="E383" s="169" t="str">
        <f aca="false">ExportRaw!$D383</f>
        <v/>
      </c>
      <c r="F383" s="168" t="str">
        <f aca="false">ExportRaw!$H383</f>
        <v/>
      </c>
      <c r="G383" s="170" t="str">
        <f aca="false">ExportRaw!$I383</f>
        <v/>
      </c>
      <c r="H383" s="168" t="str">
        <f aca="false">ExportRaw!$A383</f>
        <v/>
      </c>
      <c r="I383" s="168" t="str">
        <f aca="false">ExportRaw!$B383</f>
        <v/>
      </c>
    </row>
    <row r="384" customFormat="false" ht="15.75" hidden="false" customHeight="false" outlineLevel="0" collapsed="false">
      <c r="A384" s="168" t="n">
        <f aca="false">ExportRaw!$F384</f>
        <v>0</v>
      </c>
      <c r="B384" s="168" t="n">
        <f aca="false">ExportRaw!$C384</f>
        <v>0</v>
      </c>
      <c r="C384" s="168" t="n">
        <f aca="false">ExportRaw!$G384</f>
        <v>0</v>
      </c>
      <c r="D384" s="168" t="str">
        <f aca="false">ExportRaw!$E384</f>
        <v/>
      </c>
      <c r="E384" s="169" t="str">
        <f aca="false">ExportRaw!$D384</f>
        <v/>
      </c>
      <c r="F384" s="168" t="str">
        <f aca="false">ExportRaw!$H384</f>
        <v/>
      </c>
      <c r="G384" s="170" t="str">
        <f aca="false">ExportRaw!$I384</f>
        <v/>
      </c>
      <c r="H384" s="168" t="str">
        <f aca="false">ExportRaw!$A384</f>
        <v/>
      </c>
      <c r="I384" s="168" t="str">
        <f aca="false">ExportRaw!$B384</f>
        <v/>
      </c>
    </row>
    <row r="385" customFormat="false" ht="15.75" hidden="false" customHeight="false" outlineLevel="0" collapsed="false">
      <c r="A385" s="168" t="n">
        <f aca="false">ExportRaw!$F385</f>
        <v>0</v>
      </c>
      <c r="B385" s="168" t="n">
        <f aca="false">ExportRaw!$C385</f>
        <v>0</v>
      </c>
      <c r="C385" s="168" t="n">
        <f aca="false">ExportRaw!$G385</f>
        <v>0</v>
      </c>
      <c r="D385" s="168" t="str">
        <f aca="false">ExportRaw!$E385</f>
        <v/>
      </c>
      <c r="E385" s="169" t="str">
        <f aca="false">ExportRaw!$D385</f>
        <v/>
      </c>
      <c r="F385" s="168" t="str">
        <f aca="false">ExportRaw!$H385</f>
        <v/>
      </c>
      <c r="G385" s="170" t="str">
        <f aca="false">ExportRaw!$I385</f>
        <v/>
      </c>
      <c r="H385" s="168" t="str">
        <f aca="false">ExportRaw!$A385</f>
        <v/>
      </c>
      <c r="I385" s="168" t="str">
        <f aca="false">ExportRaw!$B385</f>
        <v/>
      </c>
    </row>
    <row r="386" customFormat="false" ht="15.75" hidden="false" customHeight="false" outlineLevel="0" collapsed="false">
      <c r="A386" s="168" t="n">
        <f aca="false">ExportRaw!$F386</f>
        <v>0</v>
      </c>
      <c r="B386" s="168" t="n">
        <f aca="false">ExportRaw!$C386</f>
        <v>0</v>
      </c>
      <c r="C386" s="168" t="n">
        <f aca="false">ExportRaw!$G386</f>
        <v>0</v>
      </c>
      <c r="D386" s="168" t="str">
        <f aca="false">ExportRaw!$E386</f>
        <v/>
      </c>
      <c r="E386" s="169" t="str">
        <f aca="false">ExportRaw!$D386</f>
        <v/>
      </c>
      <c r="F386" s="168" t="str">
        <f aca="false">ExportRaw!$H386</f>
        <v/>
      </c>
      <c r="G386" s="170" t="str">
        <f aca="false">ExportRaw!$I386</f>
        <v/>
      </c>
      <c r="H386" s="168" t="str">
        <f aca="false">ExportRaw!$A386</f>
        <v/>
      </c>
      <c r="I386" s="168" t="str">
        <f aca="false">ExportRaw!$B386</f>
        <v/>
      </c>
    </row>
    <row r="387" customFormat="false" ht="15.75" hidden="false" customHeight="false" outlineLevel="0" collapsed="false">
      <c r="A387" s="168" t="n">
        <f aca="false">ExportRaw!$F387</f>
        <v>0</v>
      </c>
      <c r="B387" s="168" t="n">
        <f aca="false">ExportRaw!$C387</f>
        <v>0</v>
      </c>
      <c r="C387" s="168" t="n">
        <f aca="false">ExportRaw!$G387</f>
        <v>0</v>
      </c>
      <c r="D387" s="168" t="str">
        <f aca="false">ExportRaw!$E387</f>
        <v/>
      </c>
      <c r="E387" s="169" t="str">
        <f aca="false">ExportRaw!$D387</f>
        <v/>
      </c>
      <c r="F387" s="168" t="str">
        <f aca="false">ExportRaw!$H387</f>
        <v/>
      </c>
      <c r="G387" s="170" t="str">
        <f aca="false">ExportRaw!$I387</f>
        <v/>
      </c>
      <c r="H387" s="168" t="str">
        <f aca="false">ExportRaw!$A387</f>
        <v/>
      </c>
      <c r="I387" s="168" t="str">
        <f aca="false">ExportRaw!$B387</f>
        <v/>
      </c>
    </row>
    <row r="388" customFormat="false" ht="15.75" hidden="false" customHeight="false" outlineLevel="0" collapsed="false">
      <c r="A388" s="168" t="n">
        <f aca="false">ExportRaw!$F388</f>
        <v>0</v>
      </c>
      <c r="B388" s="168" t="n">
        <f aca="false">ExportRaw!$C388</f>
        <v>0</v>
      </c>
      <c r="C388" s="168" t="n">
        <f aca="false">ExportRaw!$G388</f>
        <v>0</v>
      </c>
      <c r="D388" s="168" t="str">
        <f aca="false">ExportRaw!$E388</f>
        <v/>
      </c>
      <c r="E388" s="169" t="str">
        <f aca="false">ExportRaw!$D388</f>
        <v/>
      </c>
      <c r="F388" s="168" t="str">
        <f aca="false">ExportRaw!$H388</f>
        <v/>
      </c>
      <c r="G388" s="170" t="str">
        <f aca="false">ExportRaw!$I388</f>
        <v/>
      </c>
      <c r="H388" s="168" t="str">
        <f aca="false">ExportRaw!$A388</f>
        <v/>
      </c>
      <c r="I388" s="168" t="str">
        <f aca="false">ExportRaw!$B388</f>
        <v/>
      </c>
    </row>
    <row r="389" customFormat="false" ht="15.75" hidden="false" customHeight="false" outlineLevel="0" collapsed="false">
      <c r="A389" s="168" t="n">
        <f aca="false">ExportRaw!$F389</f>
        <v>0</v>
      </c>
      <c r="B389" s="168" t="n">
        <f aca="false">ExportRaw!$C389</f>
        <v>0</v>
      </c>
      <c r="C389" s="168" t="n">
        <f aca="false">ExportRaw!$G389</f>
        <v>0</v>
      </c>
      <c r="D389" s="168" t="str">
        <f aca="false">ExportRaw!$E389</f>
        <v/>
      </c>
      <c r="E389" s="169" t="str">
        <f aca="false">ExportRaw!$D389</f>
        <v/>
      </c>
      <c r="F389" s="168" t="str">
        <f aca="false">ExportRaw!$H389</f>
        <v/>
      </c>
      <c r="G389" s="170" t="str">
        <f aca="false">ExportRaw!$I389</f>
        <v/>
      </c>
      <c r="H389" s="168" t="str">
        <f aca="false">ExportRaw!$A389</f>
        <v/>
      </c>
      <c r="I389" s="168" t="str">
        <f aca="false">ExportRaw!$B389</f>
        <v/>
      </c>
    </row>
    <row r="390" customFormat="false" ht="15.75" hidden="false" customHeight="false" outlineLevel="0" collapsed="false">
      <c r="A390" s="168" t="n">
        <f aca="false">ExportRaw!$F390</f>
        <v>0</v>
      </c>
      <c r="B390" s="168" t="n">
        <f aca="false">ExportRaw!$C390</f>
        <v>0</v>
      </c>
      <c r="C390" s="168" t="n">
        <f aca="false">ExportRaw!$G390</f>
        <v>0</v>
      </c>
      <c r="D390" s="168" t="str">
        <f aca="false">ExportRaw!$E390</f>
        <v/>
      </c>
      <c r="E390" s="169" t="str">
        <f aca="false">ExportRaw!$D390</f>
        <v/>
      </c>
      <c r="F390" s="168" t="str">
        <f aca="false">ExportRaw!$H390</f>
        <v/>
      </c>
      <c r="G390" s="170" t="str">
        <f aca="false">ExportRaw!$I390</f>
        <v/>
      </c>
      <c r="H390" s="168" t="str">
        <f aca="false">ExportRaw!$A390</f>
        <v/>
      </c>
      <c r="I390" s="168" t="str">
        <f aca="false">ExportRaw!$B390</f>
        <v/>
      </c>
    </row>
    <row r="391" customFormat="false" ht="15.75" hidden="false" customHeight="false" outlineLevel="0" collapsed="false">
      <c r="A391" s="168" t="n">
        <f aca="false">ExportRaw!$F391</f>
        <v>0</v>
      </c>
      <c r="B391" s="168" t="n">
        <f aca="false">ExportRaw!$C391</f>
        <v>0</v>
      </c>
      <c r="C391" s="168" t="n">
        <f aca="false">ExportRaw!$G391</f>
        <v>0</v>
      </c>
      <c r="D391" s="168" t="str">
        <f aca="false">ExportRaw!$E391</f>
        <v/>
      </c>
      <c r="E391" s="169" t="str">
        <f aca="false">ExportRaw!$D391</f>
        <v/>
      </c>
      <c r="F391" s="168" t="str">
        <f aca="false">ExportRaw!$H391</f>
        <v/>
      </c>
      <c r="G391" s="170" t="str">
        <f aca="false">ExportRaw!$I391</f>
        <v/>
      </c>
      <c r="H391" s="168" t="str">
        <f aca="false">ExportRaw!$A391</f>
        <v/>
      </c>
      <c r="I391" s="168" t="str">
        <f aca="false">ExportRaw!$B391</f>
        <v/>
      </c>
    </row>
    <row r="392" customFormat="false" ht="15.75" hidden="false" customHeight="false" outlineLevel="0" collapsed="false">
      <c r="A392" s="168" t="n">
        <f aca="false">ExportRaw!$F392</f>
        <v>0</v>
      </c>
      <c r="B392" s="168" t="n">
        <f aca="false">ExportRaw!$C392</f>
        <v>0</v>
      </c>
      <c r="C392" s="168" t="n">
        <f aca="false">ExportRaw!$G392</f>
        <v>0</v>
      </c>
      <c r="D392" s="168" t="str">
        <f aca="false">ExportRaw!$E392</f>
        <v/>
      </c>
      <c r="E392" s="169" t="str">
        <f aca="false">ExportRaw!$D392</f>
        <v/>
      </c>
      <c r="F392" s="168" t="str">
        <f aca="false">ExportRaw!$H392</f>
        <v/>
      </c>
      <c r="G392" s="170" t="str">
        <f aca="false">ExportRaw!$I392</f>
        <v/>
      </c>
      <c r="H392" s="168" t="str">
        <f aca="false">ExportRaw!$A392</f>
        <v/>
      </c>
      <c r="I392" s="168" t="str">
        <f aca="false">ExportRaw!$B392</f>
        <v/>
      </c>
    </row>
    <row r="393" customFormat="false" ht="15.75" hidden="false" customHeight="false" outlineLevel="0" collapsed="false">
      <c r="A393" s="168" t="n">
        <f aca="false">ExportRaw!$F393</f>
        <v>0</v>
      </c>
      <c r="B393" s="168" t="n">
        <f aca="false">ExportRaw!$C393</f>
        <v>0</v>
      </c>
      <c r="C393" s="168" t="n">
        <f aca="false">ExportRaw!$G393</f>
        <v>0</v>
      </c>
      <c r="D393" s="168" t="str">
        <f aca="false">ExportRaw!$E393</f>
        <v/>
      </c>
      <c r="E393" s="169" t="str">
        <f aca="false">ExportRaw!$D393</f>
        <v/>
      </c>
      <c r="F393" s="168" t="str">
        <f aca="false">ExportRaw!$H393</f>
        <v/>
      </c>
      <c r="G393" s="170" t="str">
        <f aca="false">ExportRaw!$I393</f>
        <v/>
      </c>
      <c r="H393" s="168" t="str">
        <f aca="false">ExportRaw!$A393</f>
        <v/>
      </c>
      <c r="I393" s="168" t="str">
        <f aca="false">ExportRaw!$B393</f>
        <v/>
      </c>
    </row>
    <row r="394" customFormat="false" ht="15.75" hidden="false" customHeight="false" outlineLevel="0" collapsed="false">
      <c r="A394" s="168" t="n">
        <f aca="false">ExportRaw!$F394</f>
        <v>0</v>
      </c>
      <c r="B394" s="168" t="n">
        <f aca="false">ExportRaw!$C394</f>
        <v>0</v>
      </c>
      <c r="C394" s="168" t="n">
        <f aca="false">ExportRaw!$G394</f>
        <v>0</v>
      </c>
      <c r="D394" s="168" t="str">
        <f aca="false">ExportRaw!$E394</f>
        <v/>
      </c>
      <c r="E394" s="169" t="str">
        <f aca="false">ExportRaw!$D394</f>
        <v/>
      </c>
      <c r="F394" s="168" t="str">
        <f aca="false">ExportRaw!$H394</f>
        <v/>
      </c>
      <c r="G394" s="170" t="str">
        <f aca="false">ExportRaw!$I394</f>
        <v/>
      </c>
      <c r="H394" s="168" t="str">
        <f aca="false">ExportRaw!$A394</f>
        <v/>
      </c>
      <c r="I394" s="168" t="str">
        <f aca="false">ExportRaw!$B394</f>
        <v/>
      </c>
    </row>
    <row r="395" customFormat="false" ht="15.75" hidden="false" customHeight="false" outlineLevel="0" collapsed="false">
      <c r="A395" s="168" t="n">
        <f aca="false">ExportRaw!$F395</f>
        <v>0</v>
      </c>
      <c r="B395" s="168" t="n">
        <f aca="false">ExportRaw!$C395</f>
        <v>0</v>
      </c>
      <c r="C395" s="168" t="n">
        <f aca="false">ExportRaw!$G395</f>
        <v>0</v>
      </c>
      <c r="D395" s="168" t="str">
        <f aca="false">ExportRaw!$E395</f>
        <v/>
      </c>
      <c r="E395" s="169" t="str">
        <f aca="false">ExportRaw!$D395</f>
        <v/>
      </c>
      <c r="F395" s="168" t="str">
        <f aca="false">ExportRaw!$H395</f>
        <v/>
      </c>
      <c r="G395" s="170" t="str">
        <f aca="false">ExportRaw!$I395</f>
        <v/>
      </c>
      <c r="H395" s="168" t="str">
        <f aca="false">ExportRaw!$A395</f>
        <v/>
      </c>
      <c r="I395" s="168" t="str">
        <f aca="false">ExportRaw!$B395</f>
        <v/>
      </c>
    </row>
    <row r="396" customFormat="false" ht="15.75" hidden="false" customHeight="false" outlineLevel="0" collapsed="false">
      <c r="A396" s="168" t="n">
        <f aca="false">ExportRaw!$F396</f>
        <v>0</v>
      </c>
      <c r="B396" s="168" t="n">
        <f aca="false">ExportRaw!$C396</f>
        <v>0</v>
      </c>
      <c r="C396" s="168" t="n">
        <f aca="false">ExportRaw!$G396</f>
        <v>0</v>
      </c>
      <c r="D396" s="168" t="str">
        <f aca="false">ExportRaw!$E396</f>
        <v/>
      </c>
      <c r="E396" s="169" t="str">
        <f aca="false">ExportRaw!$D396</f>
        <v/>
      </c>
      <c r="F396" s="168" t="str">
        <f aca="false">ExportRaw!$H396</f>
        <v/>
      </c>
      <c r="G396" s="170" t="str">
        <f aca="false">ExportRaw!$I396</f>
        <v/>
      </c>
      <c r="H396" s="168" t="str">
        <f aca="false">ExportRaw!$A396</f>
        <v/>
      </c>
      <c r="I396" s="168" t="str">
        <f aca="false">ExportRaw!$B396</f>
        <v/>
      </c>
    </row>
    <row r="397" customFormat="false" ht="15.75" hidden="false" customHeight="false" outlineLevel="0" collapsed="false">
      <c r="A397" s="168" t="n">
        <f aca="false">ExportRaw!$F397</f>
        <v>0</v>
      </c>
      <c r="B397" s="168" t="n">
        <f aca="false">ExportRaw!$C397</f>
        <v>0</v>
      </c>
      <c r="C397" s="168" t="n">
        <f aca="false">ExportRaw!$G397</f>
        <v>0</v>
      </c>
      <c r="D397" s="168" t="str">
        <f aca="false">ExportRaw!$E397</f>
        <v/>
      </c>
      <c r="E397" s="169" t="str">
        <f aca="false">ExportRaw!$D397</f>
        <v/>
      </c>
      <c r="F397" s="168" t="str">
        <f aca="false">ExportRaw!$H397</f>
        <v/>
      </c>
      <c r="G397" s="170" t="str">
        <f aca="false">ExportRaw!$I397</f>
        <v/>
      </c>
      <c r="H397" s="168" t="str">
        <f aca="false">ExportRaw!$A397</f>
        <v/>
      </c>
      <c r="I397" s="168" t="str">
        <f aca="false">ExportRaw!$B397</f>
        <v/>
      </c>
    </row>
    <row r="398" customFormat="false" ht="15.75" hidden="false" customHeight="false" outlineLevel="0" collapsed="false">
      <c r="A398" s="168" t="n">
        <f aca="false">ExportRaw!$F398</f>
        <v>0</v>
      </c>
      <c r="B398" s="168" t="n">
        <f aca="false">ExportRaw!$C398</f>
        <v>0</v>
      </c>
      <c r="C398" s="168" t="n">
        <f aca="false">ExportRaw!$G398</f>
        <v>0</v>
      </c>
      <c r="D398" s="168" t="str">
        <f aca="false">ExportRaw!$E398</f>
        <v/>
      </c>
      <c r="E398" s="169" t="str">
        <f aca="false">ExportRaw!$D398</f>
        <v/>
      </c>
      <c r="F398" s="168" t="str">
        <f aca="false">ExportRaw!$H398</f>
        <v/>
      </c>
      <c r="G398" s="170" t="str">
        <f aca="false">ExportRaw!$I398</f>
        <v/>
      </c>
      <c r="H398" s="168" t="str">
        <f aca="false">ExportRaw!$A398</f>
        <v/>
      </c>
      <c r="I398" s="168" t="str">
        <f aca="false">ExportRaw!$B398</f>
        <v/>
      </c>
    </row>
    <row r="399" customFormat="false" ht="15.75" hidden="false" customHeight="false" outlineLevel="0" collapsed="false">
      <c r="A399" s="168" t="n">
        <f aca="false">ExportRaw!$F399</f>
        <v>0</v>
      </c>
      <c r="B399" s="168" t="n">
        <f aca="false">ExportRaw!$C399</f>
        <v>0</v>
      </c>
      <c r="C399" s="168" t="n">
        <f aca="false">ExportRaw!$G399</f>
        <v>0</v>
      </c>
      <c r="D399" s="168" t="str">
        <f aca="false">ExportRaw!$E399</f>
        <v/>
      </c>
      <c r="E399" s="169" t="str">
        <f aca="false">ExportRaw!$D399</f>
        <v/>
      </c>
      <c r="F399" s="168" t="str">
        <f aca="false">ExportRaw!$H399</f>
        <v/>
      </c>
      <c r="G399" s="170" t="str">
        <f aca="false">ExportRaw!$I399</f>
        <v/>
      </c>
      <c r="H399" s="168" t="str">
        <f aca="false">ExportRaw!$A399</f>
        <v/>
      </c>
      <c r="I399" s="168" t="str">
        <f aca="false">ExportRaw!$B399</f>
        <v/>
      </c>
    </row>
    <row r="400" customFormat="false" ht="15.75" hidden="false" customHeight="false" outlineLevel="0" collapsed="false">
      <c r="A400" s="168" t="n">
        <f aca="false">ExportRaw!$F400</f>
        <v>0</v>
      </c>
      <c r="B400" s="168" t="n">
        <f aca="false">ExportRaw!$C400</f>
        <v>0</v>
      </c>
      <c r="C400" s="168" t="n">
        <f aca="false">ExportRaw!$G400</f>
        <v>0</v>
      </c>
      <c r="D400" s="168" t="str">
        <f aca="false">ExportRaw!$E400</f>
        <v/>
      </c>
      <c r="E400" s="169" t="str">
        <f aca="false">ExportRaw!$D400</f>
        <v/>
      </c>
      <c r="F400" s="168" t="str">
        <f aca="false">ExportRaw!$H400</f>
        <v/>
      </c>
      <c r="G400" s="170" t="str">
        <f aca="false">ExportRaw!$I400</f>
        <v/>
      </c>
      <c r="H400" s="168" t="str">
        <f aca="false">ExportRaw!$A400</f>
        <v/>
      </c>
      <c r="I400" s="168" t="str">
        <f aca="false">ExportRaw!$B400</f>
        <v/>
      </c>
    </row>
    <row r="401" customFormat="false" ht="15.75" hidden="false" customHeight="false" outlineLevel="0" collapsed="false">
      <c r="A401" s="168" t="n">
        <f aca="false">ExportRaw!$F401</f>
        <v>0</v>
      </c>
      <c r="B401" s="168" t="n">
        <f aca="false">ExportRaw!$C401</f>
        <v>0</v>
      </c>
      <c r="C401" s="168" t="n">
        <f aca="false">ExportRaw!$G401</f>
        <v>0</v>
      </c>
      <c r="D401" s="168" t="str">
        <f aca="false">ExportRaw!$E401</f>
        <v/>
      </c>
      <c r="E401" s="169" t="str">
        <f aca="false">ExportRaw!$D401</f>
        <v/>
      </c>
      <c r="F401" s="168" t="str">
        <f aca="false">ExportRaw!$H401</f>
        <v/>
      </c>
      <c r="G401" s="170" t="str">
        <f aca="false">ExportRaw!$I401</f>
        <v/>
      </c>
      <c r="H401" s="168" t="str">
        <f aca="false">ExportRaw!$A401</f>
        <v/>
      </c>
      <c r="I401" s="168" t="str">
        <f aca="false">ExportRaw!$B401</f>
        <v/>
      </c>
    </row>
    <row r="402" customFormat="false" ht="15.75" hidden="false" customHeight="false" outlineLevel="0" collapsed="false">
      <c r="A402" s="168" t="n">
        <f aca="false">ExportRaw!$F402</f>
        <v>0</v>
      </c>
      <c r="B402" s="168" t="n">
        <f aca="false">ExportRaw!$C402</f>
        <v>0</v>
      </c>
      <c r="C402" s="168" t="n">
        <f aca="false">ExportRaw!$G402</f>
        <v>0</v>
      </c>
      <c r="D402" s="168" t="str">
        <f aca="false">ExportRaw!$E402</f>
        <v/>
      </c>
      <c r="E402" s="169" t="str">
        <f aca="false">ExportRaw!$D402</f>
        <v/>
      </c>
      <c r="F402" s="168" t="str">
        <f aca="false">ExportRaw!$H402</f>
        <v/>
      </c>
      <c r="G402" s="170" t="str">
        <f aca="false">ExportRaw!$I402</f>
        <v/>
      </c>
      <c r="H402" s="168" t="str">
        <f aca="false">ExportRaw!$A402</f>
        <v/>
      </c>
      <c r="I402" s="168" t="str">
        <f aca="false">ExportRaw!$B402</f>
        <v/>
      </c>
    </row>
    <row r="403" customFormat="false" ht="15.75" hidden="false" customHeight="false" outlineLevel="0" collapsed="false">
      <c r="A403" s="168" t="n">
        <f aca="false">ExportRaw!$F403</f>
        <v>0</v>
      </c>
      <c r="B403" s="168" t="n">
        <f aca="false">ExportRaw!$C403</f>
        <v>0</v>
      </c>
      <c r="C403" s="168" t="n">
        <f aca="false">ExportRaw!$G403</f>
        <v>0</v>
      </c>
      <c r="D403" s="168" t="str">
        <f aca="false">ExportRaw!$E403</f>
        <v/>
      </c>
      <c r="E403" s="169" t="str">
        <f aca="false">ExportRaw!$D403</f>
        <v/>
      </c>
      <c r="F403" s="168" t="str">
        <f aca="false">ExportRaw!$H403</f>
        <v/>
      </c>
      <c r="G403" s="170" t="str">
        <f aca="false">ExportRaw!$I403</f>
        <v/>
      </c>
      <c r="H403" s="168" t="str">
        <f aca="false">ExportRaw!$A403</f>
        <v/>
      </c>
      <c r="I403" s="168" t="str">
        <f aca="false">ExportRaw!$B403</f>
        <v/>
      </c>
    </row>
    <row r="404" customFormat="false" ht="15.75" hidden="false" customHeight="false" outlineLevel="0" collapsed="false">
      <c r="A404" s="168" t="n">
        <f aca="false">ExportRaw!$F404</f>
        <v>0</v>
      </c>
      <c r="B404" s="168" t="n">
        <f aca="false">ExportRaw!$C404</f>
        <v>0</v>
      </c>
      <c r="C404" s="168" t="n">
        <f aca="false">ExportRaw!$G404</f>
        <v>0</v>
      </c>
      <c r="D404" s="168" t="str">
        <f aca="false">ExportRaw!$E404</f>
        <v/>
      </c>
      <c r="E404" s="169" t="str">
        <f aca="false">ExportRaw!$D404</f>
        <v/>
      </c>
      <c r="F404" s="168" t="str">
        <f aca="false">ExportRaw!$H404</f>
        <v/>
      </c>
      <c r="G404" s="170" t="str">
        <f aca="false">ExportRaw!$I404</f>
        <v/>
      </c>
      <c r="H404" s="168" t="str">
        <f aca="false">ExportRaw!$A404</f>
        <v/>
      </c>
      <c r="I404" s="168" t="str">
        <f aca="false">ExportRaw!$B404</f>
        <v/>
      </c>
    </row>
    <row r="405" customFormat="false" ht="15.75" hidden="false" customHeight="false" outlineLevel="0" collapsed="false">
      <c r="A405" s="168" t="n">
        <f aca="false">ExportRaw!$F405</f>
        <v>0</v>
      </c>
      <c r="B405" s="168" t="n">
        <f aca="false">ExportRaw!$C405</f>
        <v>0</v>
      </c>
      <c r="C405" s="168" t="n">
        <f aca="false">ExportRaw!$G405</f>
        <v>0</v>
      </c>
      <c r="D405" s="168" t="str">
        <f aca="false">ExportRaw!$E405</f>
        <v/>
      </c>
      <c r="E405" s="169" t="str">
        <f aca="false">ExportRaw!$D405</f>
        <v/>
      </c>
      <c r="F405" s="168" t="str">
        <f aca="false">ExportRaw!$H405</f>
        <v/>
      </c>
      <c r="G405" s="170" t="str">
        <f aca="false">ExportRaw!$I405</f>
        <v/>
      </c>
      <c r="H405" s="168" t="str">
        <f aca="false">ExportRaw!$A405</f>
        <v/>
      </c>
      <c r="I405" s="168" t="str">
        <f aca="false">ExportRaw!$B405</f>
        <v/>
      </c>
    </row>
    <row r="406" customFormat="false" ht="15.75" hidden="false" customHeight="false" outlineLevel="0" collapsed="false">
      <c r="A406" s="168" t="n">
        <f aca="false">ExportRaw!$F406</f>
        <v>0</v>
      </c>
      <c r="B406" s="168" t="n">
        <f aca="false">ExportRaw!$C406</f>
        <v>0</v>
      </c>
      <c r="C406" s="168" t="n">
        <f aca="false">ExportRaw!$G406</f>
        <v>0</v>
      </c>
      <c r="D406" s="168" t="str">
        <f aca="false">ExportRaw!$E406</f>
        <v/>
      </c>
      <c r="E406" s="169" t="str">
        <f aca="false">ExportRaw!$D406</f>
        <v/>
      </c>
      <c r="F406" s="168" t="str">
        <f aca="false">ExportRaw!$H406</f>
        <v/>
      </c>
      <c r="G406" s="170" t="str">
        <f aca="false">ExportRaw!$I406</f>
        <v/>
      </c>
      <c r="H406" s="168" t="str">
        <f aca="false">ExportRaw!$A406</f>
        <v/>
      </c>
      <c r="I406" s="168" t="str">
        <f aca="false">ExportRaw!$B406</f>
        <v/>
      </c>
    </row>
    <row r="407" customFormat="false" ht="15.75" hidden="false" customHeight="false" outlineLevel="0" collapsed="false">
      <c r="A407" s="168" t="n">
        <f aca="false">ExportRaw!$F407</f>
        <v>0</v>
      </c>
      <c r="B407" s="168" t="n">
        <f aca="false">ExportRaw!$C407</f>
        <v>0</v>
      </c>
      <c r="C407" s="168" t="n">
        <f aca="false">ExportRaw!$G407</f>
        <v>0</v>
      </c>
      <c r="D407" s="168" t="str">
        <f aca="false">ExportRaw!$E407</f>
        <v/>
      </c>
      <c r="E407" s="169" t="str">
        <f aca="false">ExportRaw!$D407</f>
        <v/>
      </c>
      <c r="F407" s="168" t="str">
        <f aca="false">ExportRaw!$H407</f>
        <v/>
      </c>
      <c r="G407" s="170" t="str">
        <f aca="false">ExportRaw!$I407</f>
        <v/>
      </c>
      <c r="H407" s="168" t="str">
        <f aca="false">ExportRaw!$A407</f>
        <v/>
      </c>
      <c r="I407" s="168" t="str">
        <f aca="false">ExportRaw!$B407</f>
        <v/>
      </c>
    </row>
    <row r="408" customFormat="false" ht="15.75" hidden="false" customHeight="false" outlineLevel="0" collapsed="false">
      <c r="A408" s="168" t="n">
        <f aca="false">ExportRaw!$F408</f>
        <v>0</v>
      </c>
      <c r="B408" s="168" t="n">
        <f aca="false">ExportRaw!$C408</f>
        <v>0</v>
      </c>
      <c r="C408" s="168" t="n">
        <f aca="false">ExportRaw!$G408</f>
        <v>0</v>
      </c>
      <c r="D408" s="168" t="str">
        <f aca="false">ExportRaw!$E408</f>
        <v/>
      </c>
      <c r="E408" s="169" t="str">
        <f aca="false">ExportRaw!$D408</f>
        <v/>
      </c>
      <c r="F408" s="168" t="str">
        <f aca="false">ExportRaw!$H408</f>
        <v/>
      </c>
      <c r="G408" s="170" t="str">
        <f aca="false">ExportRaw!$I408</f>
        <v/>
      </c>
      <c r="H408" s="168" t="str">
        <f aca="false">ExportRaw!$A408</f>
        <v/>
      </c>
      <c r="I408" s="168" t="str">
        <f aca="false">ExportRaw!$B408</f>
        <v/>
      </c>
    </row>
    <row r="409" customFormat="false" ht="15.75" hidden="false" customHeight="false" outlineLevel="0" collapsed="false">
      <c r="A409" s="168" t="n">
        <f aca="false">ExportRaw!$F409</f>
        <v>0</v>
      </c>
      <c r="B409" s="168" t="n">
        <f aca="false">ExportRaw!$C409</f>
        <v>0</v>
      </c>
      <c r="C409" s="168" t="n">
        <f aca="false">ExportRaw!$G409</f>
        <v>0</v>
      </c>
      <c r="D409" s="168" t="str">
        <f aca="false">ExportRaw!$E409</f>
        <v/>
      </c>
      <c r="E409" s="169" t="str">
        <f aca="false">ExportRaw!$D409</f>
        <v/>
      </c>
      <c r="F409" s="168" t="str">
        <f aca="false">ExportRaw!$H409</f>
        <v/>
      </c>
      <c r="G409" s="170" t="str">
        <f aca="false">ExportRaw!$I409</f>
        <v/>
      </c>
      <c r="H409" s="168" t="str">
        <f aca="false">ExportRaw!$A409</f>
        <v/>
      </c>
      <c r="I409" s="168" t="str">
        <f aca="false">ExportRaw!$B409</f>
        <v/>
      </c>
    </row>
    <row r="410" customFormat="false" ht="15.75" hidden="false" customHeight="false" outlineLevel="0" collapsed="false">
      <c r="A410" s="168" t="n">
        <f aca="false">ExportRaw!$F410</f>
        <v>0</v>
      </c>
      <c r="B410" s="168" t="n">
        <f aca="false">ExportRaw!$C410</f>
        <v>0</v>
      </c>
      <c r="C410" s="168" t="n">
        <f aca="false">ExportRaw!$G410</f>
        <v>0</v>
      </c>
      <c r="D410" s="168" t="str">
        <f aca="false">ExportRaw!$E410</f>
        <v/>
      </c>
      <c r="E410" s="169" t="str">
        <f aca="false">ExportRaw!$D410</f>
        <v/>
      </c>
      <c r="F410" s="168" t="str">
        <f aca="false">ExportRaw!$H410</f>
        <v/>
      </c>
      <c r="G410" s="170" t="str">
        <f aca="false">ExportRaw!$I410</f>
        <v/>
      </c>
      <c r="H410" s="168" t="str">
        <f aca="false">ExportRaw!$A410</f>
        <v/>
      </c>
      <c r="I410" s="168" t="str">
        <f aca="false">ExportRaw!$B410</f>
        <v/>
      </c>
    </row>
    <row r="411" customFormat="false" ht="15.75" hidden="false" customHeight="false" outlineLevel="0" collapsed="false">
      <c r="A411" s="168" t="n">
        <f aca="false">ExportRaw!$F411</f>
        <v>0</v>
      </c>
      <c r="B411" s="168" t="n">
        <f aca="false">ExportRaw!$C411</f>
        <v>0</v>
      </c>
      <c r="C411" s="168" t="n">
        <f aca="false">ExportRaw!$G411</f>
        <v>0</v>
      </c>
      <c r="D411" s="168" t="str">
        <f aca="false">ExportRaw!$E411</f>
        <v/>
      </c>
      <c r="E411" s="169" t="str">
        <f aca="false">ExportRaw!$D411</f>
        <v/>
      </c>
      <c r="F411" s="168" t="str">
        <f aca="false">ExportRaw!$H411</f>
        <v/>
      </c>
      <c r="G411" s="170" t="str">
        <f aca="false">ExportRaw!$I411</f>
        <v/>
      </c>
      <c r="H411" s="168" t="str">
        <f aca="false">ExportRaw!$A411</f>
        <v/>
      </c>
      <c r="I411" s="168" t="str">
        <f aca="false">ExportRaw!$B411</f>
        <v/>
      </c>
    </row>
    <row r="412" customFormat="false" ht="15.75" hidden="false" customHeight="false" outlineLevel="0" collapsed="false">
      <c r="A412" s="168" t="n">
        <f aca="false">ExportRaw!$F412</f>
        <v>0</v>
      </c>
      <c r="B412" s="168" t="n">
        <f aca="false">ExportRaw!$C412</f>
        <v>0</v>
      </c>
      <c r="C412" s="168" t="n">
        <f aca="false">ExportRaw!$G412</f>
        <v>0</v>
      </c>
      <c r="D412" s="168" t="str">
        <f aca="false">ExportRaw!$E412</f>
        <v/>
      </c>
      <c r="E412" s="169" t="str">
        <f aca="false">ExportRaw!$D412</f>
        <v/>
      </c>
      <c r="F412" s="168" t="str">
        <f aca="false">ExportRaw!$H412</f>
        <v/>
      </c>
      <c r="G412" s="170" t="str">
        <f aca="false">ExportRaw!$I412</f>
        <v/>
      </c>
      <c r="H412" s="168" t="str">
        <f aca="false">ExportRaw!$A412</f>
        <v/>
      </c>
      <c r="I412" s="168" t="str">
        <f aca="false">ExportRaw!$B412</f>
        <v/>
      </c>
    </row>
    <row r="413" customFormat="false" ht="15.75" hidden="false" customHeight="false" outlineLevel="0" collapsed="false">
      <c r="A413" s="168" t="n">
        <f aca="false">ExportRaw!$F413</f>
        <v>0</v>
      </c>
      <c r="B413" s="168" t="n">
        <f aca="false">ExportRaw!$C413</f>
        <v>0</v>
      </c>
      <c r="C413" s="168" t="n">
        <f aca="false">ExportRaw!$G413</f>
        <v>0</v>
      </c>
      <c r="D413" s="168" t="str">
        <f aca="false">ExportRaw!$E413</f>
        <v/>
      </c>
      <c r="E413" s="169" t="str">
        <f aca="false">ExportRaw!$D413</f>
        <v/>
      </c>
      <c r="F413" s="168" t="str">
        <f aca="false">ExportRaw!$H413</f>
        <v/>
      </c>
      <c r="G413" s="170" t="str">
        <f aca="false">ExportRaw!$I413</f>
        <v/>
      </c>
      <c r="H413" s="168" t="str">
        <f aca="false">ExportRaw!$A413</f>
        <v/>
      </c>
      <c r="I413" s="168" t="str">
        <f aca="false">ExportRaw!$B413</f>
        <v/>
      </c>
    </row>
    <row r="414" customFormat="false" ht="15.75" hidden="false" customHeight="false" outlineLevel="0" collapsed="false">
      <c r="A414" s="168" t="n">
        <f aca="false">ExportRaw!$F414</f>
        <v>0</v>
      </c>
      <c r="B414" s="168" t="n">
        <f aca="false">ExportRaw!$C414</f>
        <v>0</v>
      </c>
      <c r="C414" s="168" t="n">
        <f aca="false">ExportRaw!$G414</f>
        <v>0</v>
      </c>
      <c r="D414" s="168" t="str">
        <f aca="false">ExportRaw!$E414</f>
        <v/>
      </c>
      <c r="E414" s="169" t="str">
        <f aca="false">ExportRaw!$D414</f>
        <v/>
      </c>
      <c r="F414" s="168" t="str">
        <f aca="false">ExportRaw!$H414</f>
        <v/>
      </c>
      <c r="G414" s="170" t="str">
        <f aca="false">ExportRaw!$I414</f>
        <v/>
      </c>
      <c r="H414" s="168" t="str">
        <f aca="false">ExportRaw!$A414</f>
        <v/>
      </c>
      <c r="I414" s="168" t="str">
        <f aca="false">ExportRaw!$B414</f>
        <v/>
      </c>
    </row>
    <row r="415" customFormat="false" ht="15.75" hidden="false" customHeight="false" outlineLevel="0" collapsed="false">
      <c r="A415" s="168" t="n">
        <f aca="false">ExportRaw!$F415</f>
        <v>0</v>
      </c>
      <c r="B415" s="168" t="n">
        <f aca="false">ExportRaw!$C415</f>
        <v>0</v>
      </c>
      <c r="C415" s="168" t="n">
        <f aca="false">ExportRaw!$G415</f>
        <v>0</v>
      </c>
      <c r="D415" s="168" t="str">
        <f aca="false">ExportRaw!$E415</f>
        <v/>
      </c>
      <c r="E415" s="169" t="str">
        <f aca="false">ExportRaw!$D415</f>
        <v/>
      </c>
      <c r="F415" s="168" t="str">
        <f aca="false">ExportRaw!$H415</f>
        <v/>
      </c>
      <c r="G415" s="170" t="str">
        <f aca="false">ExportRaw!$I415</f>
        <v/>
      </c>
      <c r="H415" s="168" t="str">
        <f aca="false">ExportRaw!$A415</f>
        <v/>
      </c>
      <c r="I415" s="168" t="str">
        <f aca="false">ExportRaw!$B415</f>
        <v/>
      </c>
    </row>
    <row r="416" customFormat="false" ht="15.75" hidden="false" customHeight="false" outlineLevel="0" collapsed="false">
      <c r="A416" s="168" t="n">
        <f aca="false">ExportRaw!$F416</f>
        <v>0</v>
      </c>
      <c r="B416" s="168" t="n">
        <f aca="false">ExportRaw!$C416</f>
        <v>0</v>
      </c>
      <c r="C416" s="168" t="n">
        <f aca="false">ExportRaw!$G416</f>
        <v>0</v>
      </c>
      <c r="D416" s="168" t="str">
        <f aca="false">ExportRaw!$E416</f>
        <v/>
      </c>
      <c r="E416" s="169" t="str">
        <f aca="false">ExportRaw!$D416</f>
        <v/>
      </c>
      <c r="F416" s="168" t="str">
        <f aca="false">ExportRaw!$H416</f>
        <v/>
      </c>
      <c r="G416" s="170" t="str">
        <f aca="false">ExportRaw!$I416</f>
        <v/>
      </c>
      <c r="H416" s="168" t="str">
        <f aca="false">ExportRaw!$A416</f>
        <v/>
      </c>
      <c r="I416" s="168" t="str">
        <f aca="false">ExportRaw!$B416</f>
        <v/>
      </c>
    </row>
    <row r="417" customFormat="false" ht="15.75" hidden="false" customHeight="false" outlineLevel="0" collapsed="false">
      <c r="A417" s="168" t="n">
        <f aca="false">ExportRaw!$F417</f>
        <v>0</v>
      </c>
      <c r="B417" s="168" t="n">
        <f aca="false">ExportRaw!$C417</f>
        <v>0</v>
      </c>
      <c r="C417" s="168" t="n">
        <f aca="false">ExportRaw!$G417</f>
        <v>0</v>
      </c>
      <c r="D417" s="168" t="str">
        <f aca="false">ExportRaw!$E417</f>
        <v/>
      </c>
      <c r="E417" s="169" t="str">
        <f aca="false">ExportRaw!$D417</f>
        <v/>
      </c>
      <c r="F417" s="168" t="str">
        <f aca="false">ExportRaw!$H417</f>
        <v/>
      </c>
      <c r="G417" s="170" t="str">
        <f aca="false">ExportRaw!$I417</f>
        <v/>
      </c>
      <c r="H417" s="168" t="str">
        <f aca="false">ExportRaw!$A417</f>
        <v/>
      </c>
      <c r="I417" s="168" t="str">
        <f aca="false">ExportRaw!$B417</f>
        <v/>
      </c>
    </row>
    <row r="418" customFormat="false" ht="15.75" hidden="false" customHeight="false" outlineLevel="0" collapsed="false">
      <c r="A418" s="168" t="n">
        <f aca="false">ExportRaw!$F418</f>
        <v>0</v>
      </c>
      <c r="B418" s="168" t="n">
        <f aca="false">ExportRaw!$C418</f>
        <v>0</v>
      </c>
      <c r="C418" s="168" t="n">
        <f aca="false">ExportRaw!$G418</f>
        <v>0</v>
      </c>
      <c r="D418" s="168" t="str">
        <f aca="false">ExportRaw!$E418</f>
        <v/>
      </c>
      <c r="E418" s="169" t="str">
        <f aca="false">ExportRaw!$D418</f>
        <v/>
      </c>
      <c r="F418" s="168" t="str">
        <f aca="false">ExportRaw!$H418</f>
        <v/>
      </c>
      <c r="G418" s="170" t="str">
        <f aca="false">ExportRaw!$I418</f>
        <v/>
      </c>
      <c r="H418" s="168" t="str">
        <f aca="false">ExportRaw!$A418</f>
        <v/>
      </c>
      <c r="I418" s="168" t="str">
        <f aca="false">ExportRaw!$B418</f>
        <v/>
      </c>
    </row>
    <row r="419" customFormat="false" ht="15.75" hidden="false" customHeight="false" outlineLevel="0" collapsed="false">
      <c r="A419" s="168" t="n">
        <f aca="false">ExportRaw!$F419</f>
        <v>0</v>
      </c>
      <c r="B419" s="168" t="n">
        <f aca="false">ExportRaw!$C419</f>
        <v>0</v>
      </c>
      <c r="C419" s="168" t="n">
        <f aca="false">ExportRaw!$G419</f>
        <v>0</v>
      </c>
      <c r="D419" s="168" t="str">
        <f aca="false">ExportRaw!$E419</f>
        <v/>
      </c>
      <c r="E419" s="169" t="str">
        <f aca="false">ExportRaw!$D419</f>
        <v/>
      </c>
      <c r="F419" s="168" t="str">
        <f aca="false">ExportRaw!$H419</f>
        <v/>
      </c>
      <c r="G419" s="170" t="str">
        <f aca="false">ExportRaw!$I419</f>
        <v/>
      </c>
      <c r="H419" s="168" t="str">
        <f aca="false">ExportRaw!$A419</f>
        <v/>
      </c>
      <c r="I419" s="168" t="str">
        <f aca="false">ExportRaw!$B419</f>
        <v/>
      </c>
    </row>
    <row r="420" customFormat="false" ht="15.75" hidden="false" customHeight="false" outlineLevel="0" collapsed="false">
      <c r="A420" s="168" t="n">
        <f aca="false">ExportRaw!$F420</f>
        <v>0</v>
      </c>
      <c r="B420" s="168" t="n">
        <f aca="false">ExportRaw!$C420</f>
        <v>0</v>
      </c>
      <c r="C420" s="168" t="n">
        <f aca="false">ExportRaw!$G420</f>
        <v>0</v>
      </c>
      <c r="D420" s="168" t="str">
        <f aca="false">ExportRaw!$E420</f>
        <v/>
      </c>
      <c r="E420" s="169" t="str">
        <f aca="false">ExportRaw!$D420</f>
        <v/>
      </c>
      <c r="F420" s="168" t="str">
        <f aca="false">ExportRaw!$H420</f>
        <v/>
      </c>
      <c r="G420" s="170" t="str">
        <f aca="false">ExportRaw!$I420</f>
        <v/>
      </c>
      <c r="H420" s="168" t="str">
        <f aca="false">ExportRaw!$A420</f>
        <v/>
      </c>
      <c r="I420" s="168" t="str">
        <f aca="false">ExportRaw!$B420</f>
        <v/>
      </c>
    </row>
    <row r="421" customFormat="false" ht="15.75" hidden="false" customHeight="false" outlineLevel="0" collapsed="false">
      <c r="A421" s="168" t="n">
        <f aca="false">ExportRaw!$F421</f>
        <v>0</v>
      </c>
      <c r="B421" s="168" t="n">
        <f aca="false">ExportRaw!$C421</f>
        <v>0</v>
      </c>
      <c r="C421" s="168" t="n">
        <f aca="false">ExportRaw!$G421</f>
        <v>0</v>
      </c>
      <c r="D421" s="168" t="str">
        <f aca="false">ExportRaw!$E421</f>
        <v/>
      </c>
      <c r="E421" s="169" t="str">
        <f aca="false">ExportRaw!$D421</f>
        <v/>
      </c>
      <c r="F421" s="168" t="str">
        <f aca="false">ExportRaw!$H421</f>
        <v/>
      </c>
      <c r="G421" s="170" t="str">
        <f aca="false">ExportRaw!$I421</f>
        <v/>
      </c>
      <c r="H421" s="168" t="str">
        <f aca="false">ExportRaw!$A421</f>
        <v/>
      </c>
      <c r="I421" s="168" t="str">
        <f aca="false">ExportRaw!$B421</f>
        <v/>
      </c>
    </row>
    <row r="422" customFormat="false" ht="15.75" hidden="false" customHeight="false" outlineLevel="0" collapsed="false">
      <c r="A422" s="168" t="n">
        <f aca="false">ExportRaw!$F422</f>
        <v>0</v>
      </c>
      <c r="B422" s="168" t="n">
        <f aca="false">ExportRaw!$C422</f>
        <v>0</v>
      </c>
      <c r="C422" s="168" t="n">
        <f aca="false">ExportRaw!$G422</f>
        <v>0</v>
      </c>
      <c r="D422" s="168" t="str">
        <f aca="false">ExportRaw!$E422</f>
        <v/>
      </c>
      <c r="E422" s="169" t="str">
        <f aca="false">ExportRaw!$D422</f>
        <v/>
      </c>
      <c r="F422" s="168" t="str">
        <f aca="false">ExportRaw!$H422</f>
        <v/>
      </c>
      <c r="G422" s="170" t="str">
        <f aca="false">ExportRaw!$I422</f>
        <v/>
      </c>
      <c r="H422" s="168" t="str">
        <f aca="false">ExportRaw!$A422</f>
        <v/>
      </c>
      <c r="I422" s="168" t="str">
        <f aca="false">ExportRaw!$B422</f>
        <v/>
      </c>
    </row>
    <row r="423" customFormat="false" ht="15.75" hidden="false" customHeight="false" outlineLevel="0" collapsed="false">
      <c r="A423" s="168" t="n">
        <f aca="false">ExportRaw!$F423</f>
        <v>0</v>
      </c>
      <c r="B423" s="168" t="n">
        <f aca="false">ExportRaw!$C423</f>
        <v>0</v>
      </c>
      <c r="C423" s="168" t="n">
        <f aca="false">ExportRaw!$G423</f>
        <v>0</v>
      </c>
      <c r="D423" s="168" t="str">
        <f aca="false">ExportRaw!$E423</f>
        <v/>
      </c>
      <c r="E423" s="169" t="str">
        <f aca="false">ExportRaw!$D423</f>
        <v/>
      </c>
      <c r="F423" s="168" t="str">
        <f aca="false">ExportRaw!$H423</f>
        <v/>
      </c>
      <c r="G423" s="170" t="str">
        <f aca="false">ExportRaw!$I423</f>
        <v/>
      </c>
      <c r="H423" s="168" t="str">
        <f aca="false">ExportRaw!$A423</f>
        <v/>
      </c>
      <c r="I423" s="168" t="str">
        <f aca="false">ExportRaw!$B423</f>
        <v/>
      </c>
    </row>
    <row r="424" customFormat="false" ht="15.75" hidden="false" customHeight="false" outlineLevel="0" collapsed="false">
      <c r="A424" s="168" t="n">
        <f aca="false">ExportRaw!$F424</f>
        <v>0</v>
      </c>
      <c r="B424" s="168" t="n">
        <f aca="false">ExportRaw!$C424</f>
        <v>0</v>
      </c>
      <c r="C424" s="168" t="n">
        <f aca="false">ExportRaw!$G424</f>
        <v>0</v>
      </c>
      <c r="D424" s="168" t="str">
        <f aca="false">ExportRaw!$E424</f>
        <v/>
      </c>
      <c r="E424" s="169" t="str">
        <f aca="false">ExportRaw!$D424</f>
        <v/>
      </c>
      <c r="F424" s="168" t="str">
        <f aca="false">ExportRaw!$H424</f>
        <v/>
      </c>
      <c r="G424" s="170" t="str">
        <f aca="false">ExportRaw!$I424</f>
        <v/>
      </c>
      <c r="H424" s="168" t="str">
        <f aca="false">ExportRaw!$A424</f>
        <v/>
      </c>
      <c r="I424" s="168" t="str">
        <f aca="false">ExportRaw!$B424</f>
        <v/>
      </c>
    </row>
    <row r="425" customFormat="false" ht="15.75" hidden="false" customHeight="false" outlineLevel="0" collapsed="false">
      <c r="A425" s="168" t="n">
        <f aca="false">ExportRaw!$F425</f>
        <v>0</v>
      </c>
      <c r="B425" s="168" t="n">
        <f aca="false">ExportRaw!$C425</f>
        <v>0</v>
      </c>
      <c r="C425" s="168" t="n">
        <f aca="false">ExportRaw!$G425</f>
        <v>0</v>
      </c>
      <c r="D425" s="168" t="str">
        <f aca="false">ExportRaw!$E425</f>
        <v/>
      </c>
      <c r="E425" s="169" t="str">
        <f aca="false">ExportRaw!$D425</f>
        <v/>
      </c>
      <c r="F425" s="168" t="str">
        <f aca="false">ExportRaw!$H425</f>
        <v/>
      </c>
      <c r="G425" s="170" t="str">
        <f aca="false">ExportRaw!$I425</f>
        <v/>
      </c>
      <c r="H425" s="168" t="str">
        <f aca="false">ExportRaw!$A425</f>
        <v/>
      </c>
      <c r="I425" s="168" t="str">
        <f aca="false">ExportRaw!$B425</f>
        <v/>
      </c>
    </row>
    <row r="426" customFormat="false" ht="15.75" hidden="false" customHeight="false" outlineLevel="0" collapsed="false">
      <c r="A426" s="168" t="n">
        <f aca="false">ExportRaw!$F426</f>
        <v>0</v>
      </c>
      <c r="B426" s="168" t="n">
        <f aca="false">ExportRaw!$C426</f>
        <v>0</v>
      </c>
      <c r="C426" s="168" t="n">
        <f aca="false">ExportRaw!$G426</f>
        <v>0</v>
      </c>
      <c r="D426" s="168" t="str">
        <f aca="false">ExportRaw!$E426</f>
        <v/>
      </c>
      <c r="E426" s="169" t="str">
        <f aca="false">ExportRaw!$D426</f>
        <v/>
      </c>
      <c r="F426" s="168" t="str">
        <f aca="false">ExportRaw!$H426</f>
        <v/>
      </c>
      <c r="G426" s="170" t="str">
        <f aca="false">ExportRaw!$I426</f>
        <v/>
      </c>
      <c r="H426" s="168" t="str">
        <f aca="false">ExportRaw!$A426</f>
        <v/>
      </c>
      <c r="I426" s="168" t="str">
        <f aca="false">ExportRaw!$B426</f>
        <v/>
      </c>
    </row>
    <row r="427" customFormat="false" ht="15.75" hidden="false" customHeight="false" outlineLevel="0" collapsed="false">
      <c r="A427" s="168" t="n">
        <f aca="false">ExportRaw!$F427</f>
        <v>0</v>
      </c>
      <c r="B427" s="168" t="n">
        <f aca="false">ExportRaw!$C427</f>
        <v>0</v>
      </c>
      <c r="C427" s="168" t="n">
        <f aca="false">ExportRaw!$G427</f>
        <v>0</v>
      </c>
      <c r="D427" s="168" t="str">
        <f aca="false">ExportRaw!$E427</f>
        <v/>
      </c>
      <c r="E427" s="169" t="str">
        <f aca="false">ExportRaw!$D427</f>
        <v/>
      </c>
      <c r="F427" s="168" t="str">
        <f aca="false">ExportRaw!$H427</f>
        <v/>
      </c>
      <c r="G427" s="170" t="str">
        <f aca="false">ExportRaw!$I427</f>
        <v/>
      </c>
      <c r="H427" s="168" t="str">
        <f aca="false">ExportRaw!$A427</f>
        <v/>
      </c>
      <c r="I427" s="168" t="str">
        <f aca="false">ExportRaw!$B427</f>
        <v/>
      </c>
    </row>
    <row r="428" customFormat="false" ht="15.75" hidden="false" customHeight="false" outlineLevel="0" collapsed="false">
      <c r="A428" s="168" t="n">
        <f aca="false">ExportRaw!$F428</f>
        <v>0</v>
      </c>
      <c r="B428" s="168" t="n">
        <f aca="false">ExportRaw!$C428</f>
        <v>0</v>
      </c>
      <c r="C428" s="168" t="n">
        <f aca="false">ExportRaw!$G428</f>
        <v>0</v>
      </c>
      <c r="D428" s="168" t="str">
        <f aca="false">ExportRaw!$E428</f>
        <v/>
      </c>
      <c r="E428" s="169" t="str">
        <f aca="false">ExportRaw!$D428</f>
        <v/>
      </c>
      <c r="F428" s="168" t="str">
        <f aca="false">ExportRaw!$H428</f>
        <v/>
      </c>
      <c r="G428" s="170" t="str">
        <f aca="false">ExportRaw!$I428</f>
        <v/>
      </c>
      <c r="H428" s="168" t="str">
        <f aca="false">ExportRaw!$A428</f>
        <v/>
      </c>
      <c r="I428" s="168" t="str">
        <f aca="false">ExportRaw!$B428</f>
        <v/>
      </c>
    </row>
    <row r="429" customFormat="false" ht="15.75" hidden="false" customHeight="false" outlineLevel="0" collapsed="false">
      <c r="A429" s="168" t="n">
        <f aca="false">ExportRaw!$F429</f>
        <v>0</v>
      </c>
      <c r="B429" s="168" t="n">
        <f aca="false">ExportRaw!$C429</f>
        <v>0</v>
      </c>
      <c r="C429" s="168" t="n">
        <f aca="false">ExportRaw!$G429</f>
        <v>0</v>
      </c>
      <c r="D429" s="168" t="str">
        <f aca="false">ExportRaw!$E429</f>
        <v/>
      </c>
      <c r="E429" s="169" t="str">
        <f aca="false">ExportRaw!$D429</f>
        <v/>
      </c>
      <c r="F429" s="168" t="str">
        <f aca="false">ExportRaw!$H429</f>
        <v/>
      </c>
      <c r="G429" s="170" t="str">
        <f aca="false">ExportRaw!$I429</f>
        <v/>
      </c>
      <c r="H429" s="168" t="str">
        <f aca="false">ExportRaw!$A429</f>
        <v/>
      </c>
      <c r="I429" s="168" t="str">
        <f aca="false">ExportRaw!$B429</f>
        <v/>
      </c>
    </row>
    <row r="430" customFormat="false" ht="15.75" hidden="false" customHeight="false" outlineLevel="0" collapsed="false">
      <c r="A430" s="168" t="n">
        <f aca="false">ExportRaw!$F430</f>
        <v>0</v>
      </c>
      <c r="B430" s="168" t="n">
        <f aca="false">ExportRaw!$C430</f>
        <v>0</v>
      </c>
      <c r="C430" s="168" t="n">
        <f aca="false">ExportRaw!$G430</f>
        <v>0</v>
      </c>
      <c r="D430" s="168" t="str">
        <f aca="false">ExportRaw!$E430</f>
        <v/>
      </c>
      <c r="E430" s="169" t="str">
        <f aca="false">ExportRaw!$D430</f>
        <v/>
      </c>
      <c r="F430" s="168" t="str">
        <f aca="false">ExportRaw!$H430</f>
        <v/>
      </c>
      <c r="G430" s="170" t="str">
        <f aca="false">ExportRaw!$I430</f>
        <v/>
      </c>
      <c r="H430" s="168" t="str">
        <f aca="false">ExportRaw!$A430</f>
        <v/>
      </c>
      <c r="I430" s="168" t="str">
        <f aca="false">ExportRaw!$B430</f>
        <v/>
      </c>
    </row>
    <row r="431" customFormat="false" ht="15.75" hidden="false" customHeight="false" outlineLevel="0" collapsed="false">
      <c r="A431" s="168" t="n">
        <f aca="false">ExportRaw!$F431</f>
        <v>0</v>
      </c>
      <c r="B431" s="168" t="n">
        <f aca="false">ExportRaw!$C431</f>
        <v>0</v>
      </c>
      <c r="C431" s="168" t="n">
        <f aca="false">ExportRaw!$G431</f>
        <v>0</v>
      </c>
      <c r="D431" s="168" t="str">
        <f aca="false">ExportRaw!$E431</f>
        <v/>
      </c>
      <c r="E431" s="169" t="str">
        <f aca="false">ExportRaw!$D431</f>
        <v/>
      </c>
      <c r="F431" s="168" t="str">
        <f aca="false">ExportRaw!$H431</f>
        <v/>
      </c>
      <c r="G431" s="170" t="str">
        <f aca="false">ExportRaw!$I431</f>
        <v/>
      </c>
      <c r="H431" s="168" t="str">
        <f aca="false">ExportRaw!$A431</f>
        <v/>
      </c>
      <c r="I431" s="168" t="str">
        <f aca="false">ExportRaw!$B431</f>
        <v/>
      </c>
    </row>
    <row r="432" customFormat="false" ht="15.75" hidden="false" customHeight="false" outlineLevel="0" collapsed="false">
      <c r="A432" s="168" t="n">
        <f aca="false">ExportRaw!$F432</f>
        <v>0</v>
      </c>
      <c r="B432" s="168" t="n">
        <f aca="false">ExportRaw!$C432</f>
        <v>0</v>
      </c>
      <c r="C432" s="168" t="n">
        <f aca="false">ExportRaw!$G432</f>
        <v>0</v>
      </c>
      <c r="D432" s="168" t="str">
        <f aca="false">ExportRaw!$E432</f>
        <v/>
      </c>
      <c r="E432" s="169" t="str">
        <f aca="false">ExportRaw!$D432</f>
        <v/>
      </c>
      <c r="F432" s="168" t="str">
        <f aca="false">ExportRaw!$H432</f>
        <v/>
      </c>
      <c r="G432" s="170" t="str">
        <f aca="false">ExportRaw!$I432</f>
        <v/>
      </c>
      <c r="H432" s="168" t="str">
        <f aca="false">ExportRaw!$A432</f>
        <v/>
      </c>
      <c r="I432" s="168" t="str">
        <f aca="false">ExportRaw!$B432</f>
        <v/>
      </c>
    </row>
    <row r="433" customFormat="false" ht="15.75" hidden="false" customHeight="false" outlineLevel="0" collapsed="false">
      <c r="A433" s="168" t="n">
        <f aca="false">ExportRaw!$F433</f>
        <v>0</v>
      </c>
      <c r="B433" s="168" t="n">
        <f aca="false">ExportRaw!$C433</f>
        <v>0</v>
      </c>
      <c r="C433" s="168" t="n">
        <f aca="false">ExportRaw!$G433</f>
        <v>0</v>
      </c>
      <c r="D433" s="168" t="str">
        <f aca="false">ExportRaw!$E433</f>
        <v/>
      </c>
      <c r="E433" s="169" t="str">
        <f aca="false">ExportRaw!$D433</f>
        <v/>
      </c>
      <c r="F433" s="168" t="str">
        <f aca="false">ExportRaw!$H433</f>
        <v/>
      </c>
      <c r="G433" s="170" t="str">
        <f aca="false">ExportRaw!$I433</f>
        <v/>
      </c>
      <c r="H433" s="168" t="str">
        <f aca="false">ExportRaw!$A433</f>
        <v/>
      </c>
      <c r="I433" s="168" t="str">
        <f aca="false">ExportRaw!$B433</f>
        <v/>
      </c>
    </row>
    <row r="434" customFormat="false" ht="15.75" hidden="false" customHeight="false" outlineLevel="0" collapsed="false">
      <c r="A434" s="168" t="n">
        <f aca="false">ExportRaw!$F434</f>
        <v>0</v>
      </c>
      <c r="B434" s="168" t="n">
        <f aca="false">ExportRaw!$C434</f>
        <v>0</v>
      </c>
      <c r="C434" s="168" t="n">
        <f aca="false">ExportRaw!$G434</f>
        <v>0</v>
      </c>
      <c r="D434" s="168" t="str">
        <f aca="false">ExportRaw!$E434</f>
        <v/>
      </c>
      <c r="E434" s="169" t="str">
        <f aca="false">ExportRaw!$D434</f>
        <v/>
      </c>
      <c r="F434" s="168" t="str">
        <f aca="false">ExportRaw!$H434</f>
        <v/>
      </c>
      <c r="G434" s="170" t="str">
        <f aca="false">ExportRaw!$I434</f>
        <v/>
      </c>
      <c r="H434" s="168" t="str">
        <f aca="false">ExportRaw!$A434</f>
        <v/>
      </c>
      <c r="I434" s="168" t="str">
        <f aca="false">ExportRaw!$B434</f>
        <v/>
      </c>
    </row>
    <row r="435" customFormat="false" ht="15.75" hidden="false" customHeight="false" outlineLevel="0" collapsed="false">
      <c r="A435" s="168" t="n">
        <f aca="false">ExportRaw!$F435</f>
        <v>0</v>
      </c>
      <c r="B435" s="168" t="n">
        <f aca="false">ExportRaw!$C435</f>
        <v>0</v>
      </c>
      <c r="C435" s="168" t="n">
        <f aca="false">ExportRaw!$G435</f>
        <v>0</v>
      </c>
      <c r="D435" s="168" t="str">
        <f aca="false">ExportRaw!$E435</f>
        <v/>
      </c>
      <c r="E435" s="169" t="str">
        <f aca="false">ExportRaw!$D435</f>
        <v/>
      </c>
      <c r="F435" s="168" t="str">
        <f aca="false">ExportRaw!$H435</f>
        <v/>
      </c>
      <c r="G435" s="170" t="str">
        <f aca="false">ExportRaw!$I435</f>
        <v/>
      </c>
      <c r="H435" s="168" t="str">
        <f aca="false">ExportRaw!$A435</f>
        <v/>
      </c>
      <c r="I435" s="168" t="str">
        <f aca="false">ExportRaw!$B435</f>
        <v/>
      </c>
    </row>
    <row r="436" customFormat="false" ht="15.75" hidden="false" customHeight="false" outlineLevel="0" collapsed="false">
      <c r="A436" s="168" t="n">
        <f aca="false">ExportRaw!$F436</f>
        <v>0</v>
      </c>
      <c r="B436" s="168" t="n">
        <f aca="false">ExportRaw!$C436</f>
        <v>0</v>
      </c>
      <c r="C436" s="168" t="n">
        <f aca="false">ExportRaw!$G436</f>
        <v>0</v>
      </c>
      <c r="D436" s="168" t="str">
        <f aca="false">ExportRaw!$E436</f>
        <v/>
      </c>
      <c r="E436" s="169" t="str">
        <f aca="false">ExportRaw!$D436</f>
        <v/>
      </c>
      <c r="F436" s="168" t="str">
        <f aca="false">ExportRaw!$H436</f>
        <v/>
      </c>
      <c r="G436" s="170" t="str">
        <f aca="false">ExportRaw!$I436</f>
        <v/>
      </c>
      <c r="H436" s="168" t="str">
        <f aca="false">ExportRaw!$A436</f>
        <v/>
      </c>
      <c r="I436" s="168" t="str">
        <f aca="false">ExportRaw!$B436</f>
        <v/>
      </c>
    </row>
    <row r="437" customFormat="false" ht="15.75" hidden="false" customHeight="false" outlineLevel="0" collapsed="false">
      <c r="A437" s="168" t="n">
        <f aca="false">ExportRaw!$F437</f>
        <v>0</v>
      </c>
      <c r="B437" s="168" t="n">
        <f aca="false">ExportRaw!$C437</f>
        <v>0</v>
      </c>
      <c r="C437" s="168" t="n">
        <f aca="false">ExportRaw!$G437</f>
        <v>0</v>
      </c>
      <c r="D437" s="168" t="str">
        <f aca="false">ExportRaw!$E437</f>
        <v/>
      </c>
      <c r="E437" s="169" t="str">
        <f aca="false">ExportRaw!$D437</f>
        <v/>
      </c>
      <c r="F437" s="168" t="str">
        <f aca="false">ExportRaw!$H437</f>
        <v/>
      </c>
      <c r="G437" s="170" t="str">
        <f aca="false">ExportRaw!$I437</f>
        <v/>
      </c>
      <c r="H437" s="168" t="str">
        <f aca="false">ExportRaw!$A437</f>
        <v/>
      </c>
      <c r="I437" s="168" t="str">
        <f aca="false">ExportRaw!$B437</f>
        <v/>
      </c>
    </row>
    <row r="438" customFormat="false" ht="15.75" hidden="false" customHeight="false" outlineLevel="0" collapsed="false">
      <c r="A438" s="168" t="n">
        <f aca="false">ExportRaw!$F438</f>
        <v>0</v>
      </c>
      <c r="B438" s="168" t="n">
        <f aca="false">ExportRaw!$C438</f>
        <v>0</v>
      </c>
      <c r="C438" s="168" t="n">
        <f aca="false">ExportRaw!$G438</f>
        <v>0</v>
      </c>
      <c r="D438" s="168" t="str">
        <f aca="false">ExportRaw!$E438</f>
        <v/>
      </c>
      <c r="E438" s="169" t="str">
        <f aca="false">ExportRaw!$D438</f>
        <v/>
      </c>
      <c r="F438" s="168" t="str">
        <f aca="false">ExportRaw!$H438</f>
        <v/>
      </c>
      <c r="G438" s="170" t="str">
        <f aca="false">ExportRaw!$I438</f>
        <v/>
      </c>
      <c r="H438" s="168" t="str">
        <f aca="false">ExportRaw!$A438</f>
        <v/>
      </c>
      <c r="I438" s="168" t="str">
        <f aca="false">ExportRaw!$B438</f>
        <v/>
      </c>
    </row>
    <row r="439" customFormat="false" ht="15.75" hidden="false" customHeight="false" outlineLevel="0" collapsed="false">
      <c r="A439" s="168" t="n">
        <f aca="false">ExportRaw!$F439</f>
        <v>0</v>
      </c>
      <c r="B439" s="168" t="n">
        <f aca="false">ExportRaw!$C439</f>
        <v>0</v>
      </c>
      <c r="C439" s="168" t="n">
        <f aca="false">ExportRaw!$G439</f>
        <v>0</v>
      </c>
      <c r="D439" s="168" t="str">
        <f aca="false">ExportRaw!$E439</f>
        <v/>
      </c>
      <c r="E439" s="169" t="str">
        <f aca="false">ExportRaw!$D439</f>
        <v/>
      </c>
      <c r="F439" s="168" t="str">
        <f aca="false">ExportRaw!$H439</f>
        <v/>
      </c>
      <c r="G439" s="170" t="str">
        <f aca="false">ExportRaw!$I439</f>
        <v/>
      </c>
      <c r="H439" s="168" t="str">
        <f aca="false">ExportRaw!$A439</f>
        <v/>
      </c>
      <c r="I439" s="168" t="str">
        <f aca="false">ExportRaw!$B439</f>
        <v/>
      </c>
    </row>
    <row r="440" customFormat="false" ht="15.75" hidden="false" customHeight="false" outlineLevel="0" collapsed="false">
      <c r="A440" s="168" t="n">
        <f aca="false">ExportRaw!$F440</f>
        <v>0</v>
      </c>
      <c r="B440" s="168" t="n">
        <f aca="false">ExportRaw!$C440</f>
        <v>0</v>
      </c>
      <c r="C440" s="168" t="n">
        <f aca="false">ExportRaw!$G440</f>
        <v>0</v>
      </c>
      <c r="D440" s="168" t="str">
        <f aca="false">ExportRaw!$E440</f>
        <v/>
      </c>
      <c r="E440" s="169" t="str">
        <f aca="false">ExportRaw!$D440</f>
        <v/>
      </c>
      <c r="F440" s="168" t="str">
        <f aca="false">ExportRaw!$H440</f>
        <v/>
      </c>
      <c r="G440" s="170" t="str">
        <f aca="false">ExportRaw!$I440</f>
        <v/>
      </c>
      <c r="H440" s="168" t="str">
        <f aca="false">ExportRaw!$A440</f>
        <v/>
      </c>
      <c r="I440" s="168" t="str">
        <f aca="false">ExportRaw!$B440</f>
        <v/>
      </c>
    </row>
    <row r="441" customFormat="false" ht="15.75" hidden="false" customHeight="false" outlineLevel="0" collapsed="false">
      <c r="A441" s="168" t="n">
        <f aca="false">ExportRaw!$F441</f>
        <v>0</v>
      </c>
      <c r="B441" s="168" t="n">
        <f aca="false">ExportRaw!$C441</f>
        <v>0</v>
      </c>
      <c r="C441" s="168" t="n">
        <f aca="false">ExportRaw!$G441</f>
        <v>0</v>
      </c>
      <c r="D441" s="168" t="str">
        <f aca="false">ExportRaw!$E441</f>
        <v/>
      </c>
      <c r="E441" s="169" t="str">
        <f aca="false">ExportRaw!$D441</f>
        <v/>
      </c>
      <c r="F441" s="168" t="str">
        <f aca="false">ExportRaw!$H441</f>
        <v/>
      </c>
      <c r="G441" s="170" t="str">
        <f aca="false">ExportRaw!$I441</f>
        <v/>
      </c>
      <c r="H441" s="168" t="str">
        <f aca="false">ExportRaw!$A441</f>
        <v/>
      </c>
      <c r="I441" s="168" t="str">
        <f aca="false">ExportRaw!$B441</f>
        <v/>
      </c>
    </row>
    <row r="442" customFormat="false" ht="15.75" hidden="false" customHeight="false" outlineLevel="0" collapsed="false">
      <c r="A442" s="168" t="n">
        <f aca="false">ExportRaw!$F442</f>
        <v>0</v>
      </c>
      <c r="B442" s="168" t="n">
        <f aca="false">ExportRaw!$C442</f>
        <v>0</v>
      </c>
      <c r="C442" s="168" t="n">
        <f aca="false">ExportRaw!$G442</f>
        <v>0</v>
      </c>
      <c r="D442" s="168" t="str">
        <f aca="false">ExportRaw!$E442</f>
        <v/>
      </c>
      <c r="E442" s="169" t="str">
        <f aca="false">ExportRaw!$D442</f>
        <v/>
      </c>
      <c r="F442" s="168" t="str">
        <f aca="false">ExportRaw!$H442</f>
        <v/>
      </c>
      <c r="G442" s="170" t="str">
        <f aca="false">ExportRaw!$I442</f>
        <v/>
      </c>
      <c r="H442" s="168" t="str">
        <f aca="false">ExportRaw!$A442</f>
        <v/>
      </c>
      <c r="I442" s="168" t="str">
        <f aca="false">ExportRaw!$B442</f>
        <v/>
      </c>
    </row>
    <row r="443" customFormat="false" ht="15.75" hidden="false" customHeight="false" outlineLevel="0" collapsed="false">
      <c r="A443" s="168" t="n">
        <f aca="false">ExportRaw!$F443</f>
        <v>0</v>
      </c>
      <c r="B443" s="168" t="n">
        <f aca="false">ExportRaw!$C443</f>
        <v>0</v>
      </c>
      <c r="C443" s="168" t="n">
        <f aca="false">ExportRaw!$G443</f>
        <v>0</v>
      </c>
      <c r="D443" s="168" t="str">
        <f aca="false">ExportRaw!$E443</f>
        <v/>
      </c>
      <c r="E443" s="169" t="str">
        <f aca="false">ExportRaw!$D443</f>
        <v/>
      </c>
      <c r="F443" s="168" t="str">
        <f aca="false">ExportRaw!$H443</f>
        <v/>
      </c>
      <c r="G443" s="170" t="str">
        <f aca="false">ExportRaw!$I443</f>
        <v/>
      </c>
      <c r="H443" s="168" t="str">
        <f aca="false">ExportRaw!$A443</f>
        <v/>
      </c>
      <c r="I443" s="168" t="str">
        <f aca="false">ExportRaw!$B443</f>
        <v/>
      </c>
    </row>
    <row r="444" customFormat="false" ht="15.75" hidden="false" customHeight="false" outlineLevel="0" collapsed="false">
      <c r="A444" s="168" t="n">
        <f aca="false">ExportRaw!$F444</f>
        <v>0</v>
      </c>
      <c r="B444" s="168" t="n">
        <f aca="false">ExportRaw!$C444</f>
        <v>0</v>
      </c>
      <c r="C444" s="168" t="n">
        <f aca="false">ExportRaw!$G444</f>
        <v>0</v>
      </c>
      <c r="D444" s="168" t="str">
        <f aca="false">ExportRaw!$E444</f>
        <v/>
      </c>
      <c r="E444" s="169" t="str">
        <f aca="false">ExportRaw!$D444</f>
        <v/>
      </c>
      <c r="F444" s="168" t="str">
        <f aca="false">ExportRaw!$H444</f>
        <v/>
      </c>
      <c r="G444" s="170" t="str">
        <f aca="false">ExportRaw!$I444</f>
        <v/>
      </c>
      <c r="H444" s="168" t="str">
        <f aca="false">ExportRaw!$A444</f>
        <v/>
      </c>
      <c r="I444" s="168" t="str">
        <f aca="false">ExportRaw!$B444</f>
        <v/>
      </c>
    </row>
    <row r="445" customFormat="false" ht="15.75" hidden="false" customHeight="false" outlineLevel="0" collapsed="false">
      <c r="A445" s="168" t="n">
        <f aca="false">ExportRaw!$F445</f>
        <v>0</v>
      </c>
      <c r="B445" s="168" t="n">
        <f aca="false">ExportRaw!$C445</f>
        <v>0</v>
      </c>
      <c r="C445" s="168" t="n">
        <f aca="false">ExportRaw!$G445</f>
        <v>0</v>
      </c>
      <c r="D445" s="168" t="str">
        <f aca="false">ExportRaw!$E445</f>
        <v/>
      </c>
      <c r="E445" s="169" t="str">
        <f aca="false">ExportRaw!$D445</f>
        <v/>
      </c>
      <c r="F445" s="168" t="str">
        <f aca="false">ExportRaw!$H445</f>
        <v/>
      </c>
      <c r="G445" s="170" t="str">
        <f aca="false">ExportRaw!$I445</f>
        <v/>
      </c>
      <c r="H445" s="168" t="str">
        <f aca="false">ExportRaw!$A445</f>
        <v/>
      </c>
      <c r="I445" s="168" t="str">
        <f aca="false">ExportRaw!$B445</f>
        <v/>
      </c>
    </row>
    <row r="446" customFormat="false" ht="15.75" hidden="false" customHeight="false" outlineLevel="0" collapsed="false">
      <c r="A446" s="168" t="n">
        <f aca="false">ExportRaw!$F446</f>
        <v>0</v>
      </c>
      <c r="B446" s="168" t="n">
        <f aca="false">ExportRaw!$C446</f>
        <v>0</v>
      </c>
      <c r="C446" s="168" t="n">
        <f aca="false">ExportRaw!$G446</f>
        <v>0</v>
      </c>
      <c r="D446" s="168" t="str">
        <f aca="false">ExportRaw!$E446</f>
        <v/>
      </c>
      <c r="E446" s="169" t="str">
        <f aca="false">ExportRaw!$D446</f>
        <v/>
      </c>
      <c r="F446" s="168" t="str">
        <f aca="false">ExportRaw!$H446</f>
        <v/>
      </c>
      <c r="G446" s="170" t="str">
        <f aca="false">ExportRaw!$I446</f>
        <v/>
      </c>
      <c r="H446" s="168" t="str">
        <f aca="false">ExportRaw!$A446</f>
        <v/>
      </c>
      <c r="I446" s="168" t="str">
        <f aca="false">ExportRaw!$B446</f>
        <v/>
      </c>
    </row>
    <row r="447" customFormat="false" ht="15.75" hidden="false" customHeight="false" outlineLevel="0" collapsed="false">
      <c r="A447" s="168" t="n">
        <f aca="false">ExportRaw!$F447</f>
        <v>0</v>
      </c>
      <c r="B447" s="168" t="n">
        <f aca="false">ExportRaw!$C447</f>
        <v>0</v>
      </c>
      <c r="C447" s="168" t="n">
        <f aca="false">ExportRaw!$G447</f>
        <v>0</v>
      </c>
      <c r="D447" s="168" t="str">
        <f aca="false">ExportRaw!$E447</f>
        <v/>
      </c>
      <c r="E447" s="169" t="str">
        <f aca="false">ExportRaw!$D447</f>
        <v/>
      </c>
      <c r="F447" s="168" t="str">
        <f aca="false">ExportRaw!$H447</f>
        <v/>
      </c>
      <c r="G447" s="170" t="str">
        <f aca="false">ExportRaw!$I447</f>
        <v/>
      </c>
      <c r="H447" s="168" t="str">
        <f aca="false">ExportRaw!$A447</f>
        <v/>
      </c>
      <c r="I447" s="168" t="str">
        <f aca="false">ExportRaw!$B447</f>
        <v/>
      </c>
    </row>
    <row r="448" customFormat="false" ht="15.75" hidden="false" customHeight="false" outlineLevel="0" collapsed="false">
      <c r="A448" s="168" t="n">
        <f aca="false">ExportRaw!$F448</f>
        <v>0</v>
      </c>
      <c r="B448" s="168" t="n">
        <f aca="false">ExportRaw!$C448</f>
        <v>0</v>
      </c>
      <c r="C448" s="168" t="n">
        <f aca="false">ExportRaw!$G448</f>
        <v>0</v>
      </c>
      <c r="D448" s="168" t="str">
        <f aca="false">ExportRaw!$E448</f>
        <v/>
      </c>
      <c r="E448" s="169" t="str">
        <f aca="false">ExportRaw!$D448</f>
        <v/>
      </c>
      <c r="F448" s="168" t="str">
        <f aca="false">ExportRaw!$H448</f>
        <v/>
      </c>
      <c r="G448" s="170" t="str">
        <f aca="false">ExportRaw!$I448</f>
        <v/>
      </c>
      <c r="H448" s="168" t="str">
        <f aca="false">ExportRaw!$A448</f>
        <v/>
      </c>
      <c r="I448" s="168" t="str">
        <f aca="false">ExportRaw!$B448</f>
        <v/>
      </c>
    </row>
    <row r="449" customFormat="false" ht="15.75" hidden="false" customHeight="false" outlineLevel="0" collapsed="false">
      <c r="A449" s="168" t="n">
        <f aca="false">ExportRaw!$F449</f>
        <v>0</v>
      </c>
      <c r="B449" s="168" t="n">
        <f aca="false">ExportRaw!$C449</f>
        <v>0</v>
      </c>
      <c r="C449" s="168" t="n">
        <f aca="false">ExportRaw!$G449</f>
        <v>0</v>
      </c>
      <c r="D449" s="168" t="str">
        <f aca="false">ExportRaw!$E449</f>
        <v/>
      </c>
      <c r="E449" s="169" t="str">
        <f aca="false">ExportRaw!$D449</f>
        <v/>
      </c>
      <c r="F449" s="168" t="str">
        <f aca="false">ExportRaw!$H449</f>
        <v/>
      </c>
      <c r="G449" s="170" t="str">
        <f aca="false">ExportRaw!$I449</f>
        <v/>
      </c>
      <c r="H449" s="168" t="str">
        <f aca="false">ExportRaw!$A449</f>
        <v/>
      </c>
      <c r="I449" s="168" t="str">
        <f aca="false">ExportRaw!$B449</f>
        <v/>
      </c>
    </row>
    <row r="450" customFormat="false" ht="15.75" hidden="false" customHeight="false" outlineLevel="0" collapsed="false">
      <c r="A450" s="168" t="n">
        <f aca="false">ExportRaw!$F450</f>
        <v>0</v>
      </c>
      <c r="B450" s="168" t="n">
        <f aca="false">ExportRaw!$C450</f>
        <v>0</v>
      </c>
      <c r="C450" s="168" t="n">
        <f aca="false">ExportRaw!$G450</f>
        <v>0</v>
      </c>
      <c r="D450" s="168" t="str">
        <f aca="false">ExportRaw!$E450</f>
        <v/>
      </c>
      <c r="E450" s="169" t="str">
        <f aca="false">ExportRaw!$D450</f>
        <v/>
      </c>
      <c r="F450" s="168" t="str">
        <f aca="false">ExportRaw!$H450</f>
        <v/>
      </c>
      <c r="G450" s="170" t="str">
        <f aca="false">ExportRaw!$I450</f>
        <v/>
      </c>
      <c r="H450" s="168" t="str">
        <f aca="false">ExportRaw!$A450</f>
        <v/>
      </c>
      <c r="I450" s="168" t="str">
        <f aca="false">ExportRaw!$B450</f>
        <v/>
      </c>
    </row>
    <row r="451" customFormat="false" ht="15.75" hidden="false" customHeight="false" outlineLevel="0" collapsed="false">
      <c r="A451" s="168" t="n">
        <f aca="false">ExportRaw!$F451</f>
        <v>0</v>
      </c>
      <c r="B451" s="168" t="n">
        <f aca="false">ExportRaw!$C451</f>
        <v>0</v>
      </c>
      <c r="C451" s="168" t="n">
        <f aca="false">ExportRaw!$G451</f>
        <v>0</v>
      </c>
      <c r="D451" s="168" t="str">
        <f aca="false">ExportRaw!$E451</f>
        <v/>
      </c>
      <c r="E451" s="169" t="str">
        <f aca="false">ExportRaw!$D451</f>
        <v/>
      </c>
      <c r="F451" s="168" t="str">
        <f aca="false">ExportRaw!$H451</f>
        <v/>
      </c>
      <c r="G451" s="170" t="str">
        <f aca="false">ExportRaw!$I451</f>
        <v/>
      </c>
      <c r="H451" s="168" t="str">
        <f aca="false">ExportRaw!$A451</f>
        <v/>
      </c>
      <c r="I451" s="168" t="str">
        <f aca="false">ExportRaw!$B451</f>
        <v/>
      </c>
    </row>
    <row r="452" customFormat="false" ht="15.75" hidden="false" customHeight="false" outlineLevel="0" collapsed="false">
      <c r="A452" s="168" t="n">
        <f aca="false">ExportRaw!$F452</f>
        <v>0</v>
      </c>
      <c r="B452" s="168" t="n">
        <f aca="false">ExportRaw!$C452</f>
        <v>0</v>
      </c>
      <c r="C452" s="168" t="n">
        <f aca="false">ExportRaw!$G452</f>
        <v>0</v>
      </c>
      <c r="D452" s="168" t="str">
        <f aca="false">ExportRaw!$E452</f>
        <v/>
      </c>
      <c r="E452" s="169" t="str">
        <f aca="false">ExportRaw!$D452</f>
        <v/>
      </c>
      <c r="F452" s="168" t="str">
        <f aca="false">ExportRaw!$H452</f>
        <v/>
      </c>
      <c r="G452" s="170" t="str">
        <f aca="false">ExportRaw!$I452</f>
        <v/>
      </c>
      <c r="H452" s="168" t="str">
        <f aca="false">ExportRaw!$A452</f>
        <v/>
      </c>
      <c r="I452" s="168" t="str">
        <f aca="false">ExportRaw!$B452</f>
        <v/>
      </c>
    </row>
    <row r="453" customFormat="false" ht="15.75" hidden="false" customHeight="false" outlineLevel="0" collapsed="false">
      <c r="A453" s="168" t="n">
        <f aca="false">ExportRaw!$F453</f>
        <v>0</v>
      </c>
      <c r="B453" s="168" t="n">
        <f aca="false">ExportRaw!$C453</f>
        <v>0</v>
      </c>
      <c r="C453" s="168" t="n">
        <f aca="false">ExportRaw!$G453</f>
        <v>0</v>
      </c>
      <c r="D453" s="168" t="str">
        <f aca="false">ExportRaw!$E453</f>
        <v/>
      </c>
      <c r="E453" s="169" t="str">
        <f aca="false">ExportRaw!$D453</f>
        <v/>
      </c>
      <c r="F453" s="168" t="str">
        <f aca="false">ExportRaw!$H453</f>
        <v/>
      </c>
      <c r="G453" s="170" t="str">
        <f aca="false">ExportRaw!$I453</f>
        <v/>
      </c>
      <c r="H453" s="168" t="str">
        <f aca="false">ExportRaw!$A453</f>
        <v/>
      </c>
      <c r="I453" s="168" t="str">
        <f aca="false">ExportRaw!$B453</f>
        <v/>
      </c>
    </row>
    <row r="454" customFormat="false" ht="15.75" hidden="false" customHeight="false" outlineLevel="0" collapsed="false">
      <c r="A454" s="168" t="n">
        <f aca="false">ExportRaw!$F454</f>
        <v>0</v>
      </c>
      <c r="B454" s="168" t="n">
        <f aca="false">ExportRaw!$C454</f>
        <v>0</v>
      </c>
      <c r="C454" s="168" t="n">
        <f aca="false">ExportRaw!$G454</f>
        <v>0</v>
      </c>
      <c r="D454" s="168" t="str">
        <f aca="false">ExportRaw!$E454</f>
        <v/>
      </c>
      <c r="E454" s="169" t="str">
        <f aca="false">ExportRaw!$D454</f>
        <v/>
      </c>
      <c r="F454" s="168" t="str">
        <f aca="false">ExportRaw!$H454</f>
        <v/>
      </c>
      <c r="G454" s="170" t="str">
        <f aca="false">ExportRaw!$I454</f>
        <v/>
      </c>
      <c r="H454" s="168" t="str">
        <f aca="false">ExportRaw!$A454</f>
        <v/>
      </c>
      <c r="I454" s="168" t="str">
        <f aca="false">ExportRaw!$B454</f>
        <v/>
      </c>
    </row>
    <row r="455" customFormat="false" ht="15.75" hidden="false" customHeight="false" outlineLevel="0" collapsed="false">
      <c r="A455" s="168" t="n">
        <f aca="false">ExportRaw!$F455</f>
        <v>0</v>
      </c>
      <c r="B455" s="168" t="n">
        <f aca="false">ExportRaw!$C455</f>
        <v>0</v>
      </c>
      <c r="C455" s="168" t="n">
        <f aca="false">ExportRaw!$G455</f>
        <v>0</v>
      </c>
      <c r="D455" s="168" t="str">
        <f aca="false">ExportRaw!$E455</f>
        <v/>
      </c>
      <c r="E455" s="169" t="str">
        <f aca="false">ExportRaw!$D455</f>
        <v/>
      </c>
      <c r="F455" s="168" t="str">
        <f aca="false">ExportRaw!$H455</f>
        <v/>
      </c>
      <c r="G455" s="170" t="str">
        <f aca="false">ExportRaw!$I455</f>
        <v/>
      </c>
      <c r="H455" s="168" t="str">
        <f aca="false">ExportRaw!$A455</f>
        <v/>
      </c>
      <c r="I455" s="168" t="str">
        <f aca="false">ExportRaw!$B455</f>
        <v/>
      </c>
    </row>
    <row r="456" customFormat="false" ht="15.75" hidden="false" customHeight="false" outlineLevel="0" collapsed="false">
      <c r="A456" s="168" t="n">
        <f aca="false">ExportRaw!$F456</f>
        <v>0</v>
      </c>
      <c r="B456" s="168" t="n">
        <f aca="false">ExportRaw!$C456</f>
        <v>0</v>
      </c>
      <c r="C456" s="168" t="n">
        <f aca="false">ExportRaw!$G456</f>
        <v>0</v>
      </c>
      <c r="D456" s="168" t="str">
        <f aca="false">ExportRaw!$E456</f>
        <v/>
      </c>
      <c r="E456" s="169" t="str">
        <f aca="false">ExportRaw!$D456</f>
        <v/>
      </c>
      <c r="F456" s="168" t="str">
        <f aca="false">ExportRaw!$H456</f>
        <v/>
      </c>
      <c r="G456" s="170" t="str">
        <f aca="false">ExportRaw!$I456</f>
        <v/>
      </c>
      <c r="H456" s="168" t="str">
        <f aca="false">ExportRaw!$A456</f>
        <v/>
      </c>
      <c r="I456" s="168" t="str">
        <f aca="false">ExportRaw!$B456</f>
        <v/>
      </c>
    </row>
    <row r="457" customFormat="false" ht="15.75" hidden="false" customHeight="false" outlineLevel="0" collapsed="false">
      <c r="A457" s="168" t="n">
        <f aca="false">ExportRaw!$F457</f>
        <v>0</v>
      </c>
      <c r="B457" s="168" t="n">
        <f aca="false">ExportRaw!$C457</f>
        <v>0</v>
      </c>
      <c r="C457" s="168" t="n">
        <f aca="false">ExportRaw!$G457</f>
        <v>0</v>
      </c>
      <c r="D457" s="168" t="str">
        <f aca="false">ExportRaw!$E457</f>
        <v/>
      </c>
      <c r="E457" s="169" t="str">
        <f aca="false">ExportRaw!$D457</f>
        <v/>
      </c>
      <c r="F457" s="168" t="str">
        <f aca="false">ExportRaw!$H457</f>
        <v/>
      </c>
      <c r="G457" s="170" t="str">
        <f aca="false">ExportRaw!$I457</f>
        <v/>
      </c>
      <c r="H457" s="168" t="str">
        <f aca="false">ExportRaw!$A457</f>
        <v/>
      </c>
      <c r="I457" s="168" t="str">
        <f aca="false">ExportRaw!$B457</f>
        <v/>
      </c>
    </row>
    <row r="458" customFormat="false" ht="15.75" hidden="false" customHeight="false" outlineLevel="0" collapsed="false">
      <c r="A458" s="168" t="n">
        <f aca="false">ExportRaw!$F458</f>
        <v>0</v>
      </c>
      <c r="B458" s="168" t="n">
        <f aca="false">ExportRaw!$C458</f>
        <v>0</v>
      </c>
      <c r="C458" s="168" t="n">
        <f aca="false">ExportRaw!$G458</f>
        <v>0</v>
      </c>
      <c r="D458" s="168" t="str">
        <f aca="false">ExportRaw!$E458</f>
        <v/>
      </c>
      <c r="E458" s="169" t="str">
        <f aca="false">ExportRaw!$D458</f>
        <v/>
      </c>
      <c r="F458" s="168" t="str">
        <f aca="false">ExportRaw!$H458</f>
        <v/>
      </c>
      <c r="G458" s="170" t="str">
        <f aca="false">ExportRaw!$I458</f>
        <v/>
      </c>
      <c r="H458" s="168" t="str">
        <f aca="false">ExportRaw!$A458</f>
        <v/>
      </c>
      <c r="I458" s="168" t="str">
        <f aca="false">ExportRaw!$B458</f>
        <v/>
      </c>
    </row>
    <row r="459" customFormat="false" ht="15.75" hidden="false" customHeight="false" outlineLevel="0" collapsed="false">
      <c r="A459" s="168" t="n">
        <f aca="false">ExportRaw!$F459</f>
        <v>0</v>
      </c>
      <c r="B459" s="168" t="n">
        <f aca="false">ExportRaw!$C459</f>
        <v>0</v>
      </c>
      <c r="C459" s="168" t="n">
        <f aca="false">ExportRaw!$G459</f>
        <v>0</v>
      </c>
      <c r="D459" s="168" t="str">
        <f aca="false">ExportRaw!$E459</f>
        <v/>
      </c>
      <c r="E459" s="169" t="str">
        <f aca="false">ExportRaw!$D459</f>
        <v/>
      </c>
      <c r="F459" s="168" t="str">
        <f aca="false">ExportRaw!$H459</f>
        <v/>
      </c>
      <c r="G459" s="170" t="str">
        <f aca="false">ExportRaw!$I459</f>
        <v/>
      </c>
      <c r="H459" s="168" t="str">
        <f aca="false">ExportRaw!$A459</f>
        <v/>
      </c>
      <c r="I459" s="168" t="str">
        <f aca="false">ExportRaw!$B459</f>
        <v/>
      </c>
    </row>
    <row r="460" customFormat="false" ht="15.75" hidden="false" customHeight="false" outlineLevel="0" collapsed="false">
      <c r="A460" s="168" t="n">
        <f aca="false">ExportRaw!$F460</f>
        <v>0</v>
      </c>
      <c r="B460" s="168" t="n">
        <f aca="false">ExportRaw!$C460</f>
        <v>0</v>
      </c>
      <c r="C460" s="168" t="n">
        <f aca="false">ExportRaw!$G460</f>
        <v>0</v>
      </c>
      <c r="D460" s="168" t="str">
        <f aca="false">ExportRaw!$E460</f>
        <v/>
      </c>
      <c r="E460" s="169" t="str">
        <f aca="false">ExportRaw!$D460</f>
        <v/>
      </c>
      <c r="F460" s="168" t="str">
        <f aca="false">ExportRaw!$H460</f>
        <v/>
      </c>
      <c r="G460" s="170" t="str">
        <f aca="false">ExportRaw!$I460</f>
        <v/>
      </c>
      <c r="H460" s="168" t="str">
        <f aca="false">ExportRaw!$A460</f>
        <v/>
      </c>
      <c r="I460" s="168" t="str">
        <f aca="false">ExportRaw!$B460</f>
        <v/>
      </c>
    </row>
    <row r="461" customFormat="false" ht="15.75" hidden="false" customHeight="false" outlineLevel="0" collapsed="false">
      <c r="A461" s="168" t="n">
        <f aca="false">ExportRaw!$F461</f>
        <v>0</v>
      </c>
      <c r="B461" s="168" t="n">
        <f aca="false">ExportRaw!$C461</f>
        <v>0</v>
      </c>
      <c r="C461" s="168" t="n">
        <f aca="false">ExportRaw!$G461</f>
        <v>0</v>
      </c>
      <c r="D461" s="168" t="str">
        <f aca="false">ExportRaw!$E461</f>
        <v/>
      </c>
      <c r="E461" s="169" t="str">
        <f aca="false">ExportRaw!$D461</f>
        <v/>
      </c>
      <c r="F461" s="168" t="str">
        <f aca="false">ExportRaw!$H461</f>
        <v/>
      </c>
      <c r="G461" s="170" t="str">
        <f aca="false">ExportRaw!$I461</f>
        <v/>
      </c>
      <c r="H461" s="168" t="str">
        <f aca="false">ExportRaw!$A461</f>
        <v/>
      </c>
      <c r="I461" s="168" t="str">
        <f aca="false">ExportRaw!$B461</f>
        <v/>
      </c>
    </row>
    <row r="462" customFormat="false" ht="15.75" hidden="false" customHeight="false" outlineLevel="0" collapsed="false">
      <c r="A462" s="168" t="n">
        <f aca="false">ExportRaw!$F462</f>
        <v>0</v>
      </c>
      <c r="B462" s="168" t="n">
        <f aca="false">ExportRaw!$C462</f>
        <v>0</v>
      </c>
      <c r="C462" s="168" t="n">
        <f aca="false">ExportRaw!$G462</f>
        <v>0</v>
      </c>
      <c r="D462" s="168" t="str">
        <f aca="false">ExportRaw!$E462</f>
        <v/>
      </c>
      <c r="E462" s="169" t="str">
        <f aca="false">ExportRaw!$D462</f>
        <v/>
      </c>
      <c r="F462" s="168" t="str">
        <f aca="false">ExportRaw!$H462</f>
        <v/>
      </c>
      <c r="G462" s="170" t="str">
        <f aca="false">ExportRaw!$I462</f>
        <v/>
      </c>
      <c r="H462" s="168" t="str">
        <f aca="false">ExportRaw!$A462</f>
        <v/>
      </c>
      <c r="I462" s="168" t="str">
        <f aca="false">ExportRaw!$B462</f>
        <v/>
      </c>
    </row>
    <row r="463" customFormat="false" ht="15.75" hidden="false" customHeight="false" outlineLevel="0" collapsed="false">
      <c r="A463" s="168" t="n">
        <f aca="false">ExportRaw!$F463</f>
        <v>0</v>
      </c>
      <c r="B463" s="168" t="n">
        <f aca="false">ExportRaw!$C463</f>
        <v>0</v>
      </c>
      <c r="C463" s="168" t="n">
        <f aca="false">ExportRaw!$G463</f>
        <v>0</v>
      </c>
      <c r="D463" s="168" t="str">
        <f aca="false">ExportRaw!$E463</f>
        <v/>
      </c>
      <c r="E463" s="169" t="str">
        <f aca="false">ExportRaw!$D463</f>
        <v/>
      </c>
      <c r="F463" s="168" t="str">
        <f aca="false">ExportRaw!$H463</f>
        <v/>
      </c>
      <c r="G463" s="170" t="str">
        <f aca="false">ExportRaw!$I463</f>
        <v/>
      </c>
      <c r="H463" s="168" t="str">
        <f aca="false">ExportRaw!$A463</f>
        <v/>
      </c>
      <c r="I463" s="168" t="str">
        <f aca="false">ExportRaw!$B463</f>
        <v/>
      </c>
    </row>
    <row r="464" customFormat="false" ht="15.75" hidden="false" customHeight="false" outlineLevel="0" collapsed="false">
      <c r="A464" s="168" t="n">
        <f aca="false">ExportRaw!$F464</f>
        <v>0</v>
      </c>
      <c r="B464" s="168" t="n">
        <f aca="false">ExportRaw!$C464</f>
        <v>0</v>
      </c>
      <c r="C464" s="168" t="n">
        <f aca="false">ExportRaw!$G464</f>
        <v>0</v>
      </c>
      <c r="D464" s="168" t="str">
        <f aca="false">ExportRaw!$E464</f>
        <v/>
      </c>
      <c r="E464" s="169" t="str">
        <f aca="false">ExportRaw!$D464</f>
        <v/>
      </c>
      <c r="F464" s="168" t="str">
        <f aca="false">ExportRaw!$H464</f>
        <v/>
      </c>
      <c r="G464" s="170" t="str">
        <f aca="false">ExportRaw!$I464</f>
        <v/>
      </c>
      <c r="H464" s="168" t="str">
        <f aca="false">ExportRaw!$A464</f>
        <v/>
      </c>
      <c r="I464" s="168" t="str">
        <f aca="false">ExportRaw!$B464</f>
        <v/>
      </c>
    </row>
    <row r="465" customFormat="false" ht="15.75" hidden="false" customHeight="false" outlineLevel="0" collapsed="false">
      <c r="A465" s="168" t="n">
        <f aca="false">ExportRaw!$F465</f>
        <v>0</v>
      </c>
      <c r="B465" s="168" t="n">
        <f aca="false">ExportRaw!$C465</f>
        <v>0</v>
      </c>
      <c r="C465" s="168" t="n">
        <f aca="false">ExportRaw!$G465</f>
        <v>0</v>
      </c>
      <c r="D465" s="168" t="str">
        <f aca="false">ExportRaw!$E465</f>
        <v/>
      </c>
      <c r="E465" s="169" t="str">
        <f aca="false">ExportRaw!$D465</f>
        <v/>
      </c>
      <c r="F465" s="168" t="str">
        <f aca="false">ExportRaw!$H465</f>
        <v/>
      </c>
      <c r="G465" s="170" t="str">
        <f aca="false">ExportRaw!$I465</f>
        <v/>
      </c>
      <c r="H465" s="168" t="str">
        <f aca="false">ExportRaw!$A465</f>
        <v/>
      </c>
      <c r="I465" s="168" t="str">
        <f aca="false">ExportRaw!$B465</f>
        <v/>
      </c>
    </row>
    <row r="466" customFormat="false" ht="15.75" hidden="false" customHeight="false" outlineLevel="0" collapsed="false">
      <c r="A466" s="168" t="n">
        <f aca="false">ExportRaw!$F466</f>
        <v>0</v>
      </c>
      <c r="B466" s="168" t="n">
        <f aca="false">ExportRaw!$C466</f>
        <v>0</v>
      </c>
      <c r="C466" s="168" t="n">
        <f aca="false">ExportRaw!$G466</f>
        <v>0</v>
      </c>
      <c r="D466" s="168" t="str">
        <f aca="false">ExportRaw!$E466</f>
        <v/>
      </c>
      <c r="E466" s="169" t="str">
        <f aca="false">ExportRaw!$D466</f>
        <v/>
      </c>
      <c r="F466" s="168" t="str">
        <f aca="false">ExportRaw!$H466</f>
        <v/>
      </c>
      <c r="G466" s="170" t="str">
        <f aca="false">ExportRaw!$I466</f>
        <v/>
      </c>
      <c r="H466" s="168" t="str">
        <f aca="false">ExportRaw!$A466</f>
        <v/>
      </c>
      <c r="I466" s="168" t="str">
        <f aca="false">ExportRaw!$B466</f>
        <v/>
      </c>
    </row>
    <row r="467" customFormat="false" ht="15.75" hidden="false" customHeight="false" outlineLevel="0" collapsed="false">
      <c r="A467" s="168" t="n">
        <f aca="false">ExportRaw!$F467</f>
        <v>0</v>
      </c>
      <c r="B467" s="168" t="n">
        <f aca="false">ExportRaw!$C467</f>
        <v>0</v>
      </c>
      <c r="C467" s="168" t="n">
        <f aca="false">ExportRaw!$G467</f>
        <v>0</v>
      </c>
      <c r="D467" s="168" t="str">
        <f aca="false">ExportRaw!$E467</f>
        <v/>
      </c>
      <c r="E467" s="169" t="str">
        <f aca="false">ExportRaw!$D467</f>
        <v/>
      </c>
      <c r="F467" s="168" t="str">
        <f aca="false">ExportRaw!$H467</f>
        <v/>
      </c>
      <c r="G467" s="170" t="str">
        <f aca="false">ExportRaw!$I467</f>
        <v/>
      </c>
      <c r="H467" s="168" t="str">
        <f aca="false">ExportRaw!$A467</f>
        <v/>
      </c>
      <c r="I467" s="168" t="str">
        <f aca="false">ExportRaw!$B467</f>
        <v/>
      </c>
    </row>
    <row r="468" customFormat="false" ht="15.75" hidden="false" customHeight="false" outlineLevel="0" collapsed="false">
      <c r="A468" s="168" t="n">
        <f aca="false">ExportRaw!$F468</f>
        <v>0</v>
      </c>
      <c r="B468" s="168" t="n">
        <f aca="false">ExportRaw!$C468</f>
        <v>0</v>
      </c>
      <c r="C468" s="168" t="n">
        <f aca="false">ExportRaw!$G468</f>
        <v>0</v>
      </c>
      <c r="D468" s="168" t="str">
        <f aca="false">ExportRaw!$E468</f>
        <v/>
      </c>
      <c r="E468" s="169" t="str">
        <f aca="false">ExportRaw!$D468</f>
        <v/>
      </c>
      <c r="F468" s="168" t="str">
        <f aca="false">ExportRaw!$H468</f>
        <v/>
      </c>
      <c r="G468" s="170" t="str">
        <f aca="false">ExportRaw!$I468</f>
        <v/>
      </c>
      <c r="H468" s="168" t="str">
        <f aca="false">ExportRaw!$A468</f>
        <v/>
      </c>
      <c r="I468" s="168" t="str">
        <f aca="false">ExportRaw!$B468</f>
        <v/>
      </c>
    </row>
    <row r="469" customFormat="false" ht="15.75" hidden="false" customHeight="false" outlineLevel="0" collapsed="false">
      <c r="A469" s="168" t="n">
        <f aca="false">ExportRaw!$F469</f>
        <v>0</v>
      </c>
      <c r="B469" s="168" t="n">
        <f aca="false">ExportRaw!$C469</f>
        <v>0</v>
      </c>
      <c r="C469" s="168" t="n">
        <f aca="false">ExportRaw!$G469</f>
        <v>0</v>
      </c>
      <c r="D469" s="168" t="str">
        <f aca="false">ExportRaw!$E469</f>
        <v/>
      </c>
      <c r="E469" s="169" t="str">
        <f aca="false">ExportRaw!$D469</f>
        <v/>
      </c>
      <c r="F469" s="168" t="str">
        <f aca="false">ExportRaw!$H469</f>
        <v/>
      </c>
      <c r="G469" s="170" t="str">
        <f aca="false">ExportRaw!$I469</f>
        <v/>
      </c>
      <c r="H469" s="168" t="str">
        <f aca="false">ExportRaw!$A469</f>
        <v/>
      </c>
      <c r="I469" s="168" t="str">
        <f aca="false">ExportRaw!$B469</f>
        <v/>
      </c>
    </row>
    <row r="470" customFormat="false" ht="15.75" hidden="false" customHeight="false" outlineLevel="0" collapsed="false">
      <c r="A470" s="168" t="n">
        <f aca="false">ExportRaw!$F470</f>
        <v>0</v>
      </c>
      <c r="B470" s="168" t="n">
        <f aca="false">ExportRaw!$C470</f>
        <v>0</v>
      </c>
      <c r="C470" s="168" t="n">
        <f aca="false">ExportRaw!$G470</f>
        <v>0</v>
      </c>
      <c r="D470" s="168" t="str">
        <f aca="false">ExportRaw!$E470</f>
        <v/>
      </c>
      <c r="E470" s="169" t="str">
        <f aca="false">ExportRaw!$D470</f>
        <v/>
      </c>
      <c r="F470" s="168" t="str">
        <f aca="false">ExportRaw!$H470</f>
        <v/>
      </c>
      <c r="G470" s="170" t="str">
        <f aca="false">ExportRaw!$I470</f>
        <v/>
      </c>
      <c r="H470" s="168" t="str">
        <f aca="false">ExportRaw!$A470</f>
        <v/>
      </c>
      <c r="I470" s="168" t="str">
        <f aca="false">ExportRaw!$B470</f>
        <v/>
      </c>
    </row>
    <row r="471" customFormat="false" ht="15.75" hidden="false" customHeight="false" outlineLevel="0" collapsed="false">
      <c r="A471" s="168" t="n">
        <f aca="false">ExportRaw!$F471</f>
        <v>0</v>
      </c>
      <c r="B471" s="168" t="n">
        <f aca="false">ExportRaw!$C471</f>
        <v>0</v>
      </c>
      <c r="C471" s="168" t="n">
        <f aca="false">ExportRaw!$G471</f>
        <v>0</v>
      </c>
      <c r="D471" s="168" t="str">
        <f aca="false">ExportRaw!$E471</f>
        <v/>
      </c>
      <c r="E471" s="169" t="str">
        <f aca="false">ExportRaw!$D471</f>
        <v/>
      </c>
      <c r="F471" s="168" t="str">
        <f aca="false">ExportRaw!$H471</f>
        <v/>
      </c>
      <c r="G471" s="170" t="str">
        <f aca="false">ExportRaw!$I471</f>
        <v/>
      </c>
      <c r="H471" s="168" t="str">
        <f aca="false">ExportRaw!$A471</f>
        <v/>
      </c>
      <c r="I471" s="168" t="str">
        <f aca="false">ExportRaw!$B471</f>
        <v/>
      </c>
    </row>
    <row r="472" customFormat="false" ht="15.75" hidden="false" customHeight="false" outlineLevel="0" collapsed="false">
      <c r="A472" s="168" t="n">
        <f aca="false">ExportRaw!$F472</f>
        <v>0</v>
      </c>
      <c r="B472" s="168" t="n">
        <f aca="false">ExportRaw!$C472</f>
        <v>0</v>
      </c>
      <c r="C472" s="168" t="n">
        <f aca="false">ExportRaw!$G472</f>
        <v>0</v>
      </c>
      <c r="D472" s="168" t="str">
        <f aca="false">ExportRaw!$E472</f>
        <v/>
      </c>
      <c r="E472" s="169" t="str">
        <f aca="false">ExportRaw!$D472</f>
        <v/>
      </c>
      <c r="F472" s="168" t="str">
        <f aca="false">ExportRaw!$H472</f>
        <v/>
      </c>
      <c r="G472" s="170" t="str">
        <f aca="false">ExportRaw!$I472</f>
        <v/>
      </c>
      <c r="H472" s="168" t="str">
        <f aca="false">ExportRaw!$A472</f>
        <v/>
      </c>
      <c r="I472" s="168" t="str">
        <f aca="false">ExportRaw!$B472</f>
        <v/>
      </c>
    </row>
    <row r="473" customFormat="false" ht="15.75" hidden="false" customHeight="false" outlineLevel="0" collapsed="false">
      <c r="A473" s="168" t="n">
        <f aca="false">ExportRaw!$F473</f>
        <v>0</v>
      </c>
      <c r="B473" s="168" t="n">
        <f aca="false">ExportRaw!$C473</f>
        <v>0</v>
      </c>
      <c r="C473" s="168" t="n">
        <f aca="false">ExportRaw!$G473</f>
        <v>0</v>
      </c>
      <c r="D473" s="168" t="str">
        <f aca="false">ExportRaw!$E473</f>
        <v/>
      </c>
      <c r="E473" s="169" t="str">
        <f aca="false">ExportRaw!$D473</f>
        <v/>
      </c>
      <c r="F473" s="168" t="str">
        <f aca="false">ExportRaw!$H473</f>
        <v/>
      </c>
      <c r="G473" s="170" t="str">
        <f aca="false">ExportRaw!$I473</f>
        <v/>
      </c>
      <c r="H473" s="168" t="str">
        <f aca="false">ExportRaw!$A473</f>
        <v/>
      </c>
      <c r="I473" s="168" t="str">
        <f aca="false">ExportRaw!$B473</f>
        <v/>
      </c>
    </row>
    <row r="474" customFormat="false" ht="15.75" hidden="false" customHeight="false" outlineLevel="0" collapsed="false">
      <c r="A474" s="168" t="n">
        <f aca="false">ExportRaw!$F474</f>
        <v>0</v>
      </c>
      <c r="B474" s="168" t="n">
        <f aca="false">ExportRaw!$C474</f>
        <v>0</v>
      </c>
      <c r="C474" s="168" t="n">
        <f aca="false">ExportRaw!$G474</f>
        <v>0</v>
      </c>
      <c r="D474" s="168" t="str">
        <f aca="false">ExportRaw!$E474</f>
        <v/>
      </c>
      <c r="E474" s="169" t="str">
        <f aca="false">ExportRaw!$D474</f>
        <v/>
      </c>
      <c r="F474" s="168" t="str">
        <f aca="false">ExportRaw!$H474</f>
        <v/>
      </c>
      <c r="G474" s="170" t="str">
        <f aca="false">ExportRaw!$I474</f>
        <v/>
      </c>
      <c r="H474" s="168" t="str">
        <f aca="false">ExportRaw!$A474</f>
        <v/>
      </c>
      <c r="I474" s="168" t="str">
        <f aca="false">ExportRaw!$B474</f>
        <v/>
      </c>
    </row>
    <row r="475" customFormat="false" ht="15.75" hidden="false" customHeight="false" outlineLevel="0" collapsed="false">
      <c r="A475" s="168" t="n">
        <f aca="false">ExportRaw!$F475</f>
        <v>0</v>
      </c>
      <c r="B475" s="168" t="n">
        <f aca="false">ExportRaw!$C475</f>
        <v>0</v>
      </c>
      <c r="C475" s="168" t="n">
        <f aca="false">ExportRaw!$G475</f>
        <v>0</v>
      </c>
      <c r="D475" s="168" t="str">
        <f aca="false">ExportRaw!$E475</f>
        <v/>
      </c>
      <c r="E475" s="169" t="str">
        <f aca="false">ExportRaw!$D475</f>
        <v/>
      </c>
      <c r="F475" s="168" t="str">
        <f aca="false">ExportRaw!$H475</f>
        <v/>
      </c>
      <c r="G475" s="170" t="str">
        <f aca="false">ExportRaw!$I475</f>
        <v/>
      </c>
      <c r="H475" s="168" t="str">
        <f aca="false">ExportRaw!$A475</f>
        <v/>
      </c>
      <c r="I475" s="168" t="str">
        <f aca="false">ExportRaw!$B475</f>
        <v/>
      </c>
    </row>
    <row r="476" customFormat="false" ht="15.75" hidden="false" customHeight="false" outlineLevel="0" collapsed="false">
      <c r="A476" s="168" t="n">
        <f aca="false">ExportRaw!$F476</f>
        <v>0</v>
      </c>
      <c r="B476" s="168" t="n">
        <f aca="false">ExportRaw!$C476</f>
        <v>0</v>
      </c>
      <c r="C476" s="168" t="n">
        <f aca="false">ExportRaw!$G476</f>
        <v>0</v>
      </c>
      <c r="D476" s="168" t="str">
        <f aca="false">ExportRaw!$E476</f>
        <v/>
      </c>
      <c r="E476" s="169" t="str">
        <f aca="false">ExportRaw!$D476</f>
        <v/>
      </c>
      <c r="F476" s="168" t="str">
        <f aca="false">ExportRaw!$H476</f>
        <v/>
      </c>
      <c r="G476" s="170" t="str">
        <f aca="false">ExportRaw!$I476</f>
        <v/>
      </c>
      <c r="H476" s="168" t="str">
        <f aca="false">ExportRaw!$A476</f>
        <v/>
      </c>
      <c r="I476" s="168" t="str">
        <f aca="false">ExportRaw!$B476</f>
        <v/>
      </c>
    </row>
    <row r="477" customFormat="false" ht="15.75" hidden="false" customHeight="false" outlineLevel="0" collapsed="false">
      <c r="A477" s="168" t="n">
        <f aca="false">ExportRaw!$F477</f>
        <v>0</v>
      </c>
      <c r="B477" s="168" t="n">
        <f aca="false">ExportRaw!$C477</f>
        <v>0</v>
      </c>
      <c r="C477" s="168" t="n">
        <f aca="false">ExportRaw!$G477</f>
        <v>0</v>
      </c>
      <c r="D477" s="168" t="str">
        <f aca="false">ExportRaw!$E477</f>
        <v/>
      </c>
      <c r="E477" s="169" t="str">
        <f aca="false">ExportRaw!$D477</f>
        <v/>
      </c>
      <c r="F477" s="168" t="str">
        <f aca="false">ExportRaw!$H477</f>
        <v/>
      </c>
      <c r="G477" s="170" t="str">
        <f aca="false">ExportRaw!$I477</f>
        <v/>
      </c>
      <c r="H477" s="168" t="str">
        <f aca="false">ExportRaw!$A477</f>
        <v/>
      </c>
      <c r="I477" s="168" t="str">
        <f aca="false">ExportRaw!$B477</f>
        <v/>
      </c>
    </row>
    <row r="478" customFormat="false" ht="15.75" hidden="false" customHeight="false" outlineLevel="0" collapsed="false">
      <c r="A478" s="168" t="n">
        <f aca="false">ExportRaw!$F478</f>
        <v>0</v>
      </c>
      <c r="B478" s="168" t="n">
        <f aca="false">ExportRaw!$C478</f>
        <v>0</v>
      </c>
      <c r="C478" s="168" t="n">
        <f aca="false">ExportRaw!$G478</f>
        <v>0</v>
      </c>
      <c r="D478" s="168" t="str">
        <f aca="false">ExportRaw!$E478</f>
        <v/>
      </c>
      <c r="E478" s="169" t="str">
        <f aca="false">ExportRaw!$D478</f>
        <v/>
      </c>
      <c r="F478" s="168" t="str">
        <f aca="false">ExportRaw!$H478</f>
        <v/>
      </c>
      <c r="G478" s="170" t="str">
        <f aca="false">ExportRaw!$I478</f>
        <v/>
      </c>
      <c r="H478" s="168" t="str">
        <f aca="false">ExportRaw!$A478</f>
        <v/>
      </c>
      <c r="I478" s="168" t="str">
        <f aca="false">ExportRaw!$B478</f>
        <v/>
      </c>
    </row>
    <row r="479" customFormat="false" ht="15.75" hidden="false" customHeight="false" outlineLevel="0" collapsed="false">
      <c r="A479" s="168" t="n">
        <f aca="false">ExportRaw!$F479</f>
        <v>0</v>
      </c>
      <c r="B479" s="168" t="n">
        <f aca="false">ExportRaw!$C479</f>
        <v>0</v>
      </c>
      <c r="C479" s="168" t="n">
        <f aca="false">ExportRaw!$G479</f>
        <v>0</v>
      </c>
      <c r="D479" s="168" t="str">
        <f aca="false">ExportRaw!$E479</f>
        <v/>
      </c>
      <c r="E479" s="169" t="str">
        <f aca="false">ExportRaw!$D479</f>
        <v/>
      </c>
      <c r="F479" s="168" t="str">
        <f aca="false">ExportRaw!$H479</f>
        <v/>
      </c>
      <c r="G479" s="170" t="str">
        <f aca="false">ExportRaw!$I479</f>
        <v/>
      </c>
      <c r="H479" s="168" t="str">
        <f aca="false">ExportRaw!$A479</f>
        <v/>
      </c>
      <c r="I479" s="168" t="str">
        <f aca="false">ExportRaw!$B479</f>
        <v/>
      </c>
    </row>
    <row r="480" customFormat="false" ht="15.75" hidden="false" customHeight="false" outlineLevel="0" collapsed="false">
      <c r="A480" s="168" t="n">
        <f aca="false">ExportRaw!$F480</f>
        <v>0</v>
      </c>
      <c r="B480" s="168" t="n">
        <f aca="false">ExportRaw!$C480</f>
        <v>0</v>
      </c>
      <c r="C480" s="168" t="n">
        <f aca="false">ExportRaw!$G480</f>
        <v>0</v>
      </c>
      <c r="D480" s="168" t="str">
        <f aca="false">ExportRaw!$E480</f>
        <v/>
      </c>
      <c r="E480" s="169" t="str">
        <f aca="false">ExportRaw!$D480</f>
        <v/>
      </c>
      <c r="F480" s="168" t="str">
        <f aca="false">ExportRaw!$H480</f>
        <v/>
      </c>
      <c r="G480" s="170" t="str">
        <f aca="false">ExportRaw!$I480</f>
        <v/>
      </c>
      <c r="H480" s="168" t="str">
        <f aca="false">ExportRaw!$A480</f>
        <v/>
      </c>
      <c r="I480" s="168" t="str">
        <f aca="false">ExportRaw!$B480</f>
        <v/>
      </c>
    </row>
    <row r="481" customFormat="false" ht="15.75" hidden="false" customHeight="false" outlineLevel="0" collapsed="false">
      <c r="A481" s="168" t="n">
        <f aca="false">ExportRaw!$F481</f>
        <v>0</v>
      </c>
      <c r="B481" s="168" t="n">
        <f aca="false">ExportRaw!$C481</f>
        <v>0</v>
      </c>
      <c r="C481" s="168" t="n">
        <f aca="false">ExportRaw!$G481</f>
        <v>0</v>
      </c>
      <c r="D481" s="168" t="str">
        <f aca="false">ExportRaw!$E481</f>
        <v/>
      </c>
      <c r="E481" s="169" t="str">
        <f aca="false">ExportRaw!$D481</f>
        <v/>
      </c>
      <c r="F481" s="168" t="str">
        <f aca="false">ExportRaw!$H481</f>
        <v/>
      </c>
      <c r="G481" s="170" t="str">
        <f aca="false">ExportRaw!$I481</f>
        <v/>
      </c>
      <c r="H481" s="168" t="str">
        <f aca="false">ExportRaw!$A481</f>
        <v/>
      </c>
      <c r="I481" s="168" t="str">
        <f aca="false">ExportRaw!$B481</f>
        <v/>
      </c>
    </row>
    <row r="482" customFormat="false" ht="15.75" hidden="false" customHeight="false" outlineLevel="0" collapsed="false">
      <c r="A482" s="168" t="n">
        <f aca="false">ExportRaw!$F482</f>
        <v>0</v>
      </c>
      <c r="B482" s="168" t="n">
        <f aca="false">ExportRaw!$C482</f>
        <v>0</v>
      </c>
      <c r="C482" s="168" t="n">
        <f aca="false">ExportRaw!$G482</f>
        <v>0</v>
      </c>
      <c r="D482" s="168" t="str">
        <f aca="false">ExportRaw!$E482</f>
        <v/>
      </c>
      <c r="E482" s="169" t="str">
        <f aca="false">ExportRaw!$D482</f>
        <v/>
      </c>
      <c r="F482" s="168" t="str">
        <f aca="false">ExportRaw!$H482</f>
        <v/>
      </c>
      <c r="G482" s="170" t="str">
        <f aca="false">ExportRaw!$I482</f>
        <v/>
      </c>
      <c r="H482" s="168" t="str">
        <f aca="false">ExportRaw!$A482</f>
        <v/>
      </c>
      <c r="I482" s="168" t="str">
        <f aca="false">ExportRaw!$B482</f>
        <v/>
      </c>
    </row>
    <row r="483" customFormat="false" ht="15.75" hidden="false" customHeight="false" outlineLevel="0" collapsed="false">
      <c r="A483" s="168" t="n">
        <f aca="false">ExportRaw!$F483</f>
        <v>0</v>
      </c>
      <c r="B483" s="168" t="n">
        <f aca="false">ExportRaw!$C483</f>
        <v>0</v>
      </c>
      <c r="C483" s="168" t="n">
        <f aca="false">ExportRaw!$G483</f>
        <v>0</v>
      </c>
      <c r="D483" s="168" t="str">
        <f aca="false">ExportRaw!$E483</f>
        <v/>
      </c>
      <c r="E483" s="169" t="str">
        <f aca="false">ExportRaw!$D483</f>
        <v/>
      </c>
      <c r="F483" s="168" t="str">
        <f aca="false">ExportRaw!$H483</f>
        <v/>
      </c>
      <c r="G483" s="170" t="str">
        <f aca="false">ExportRaw!$I483</f>
        <v/>
      </c>
      <c r="H483" s="168" t="str">
        <f aca="false">ExportRaw!$A483</f>
        <v/>
      </c>
      <c r="I483" s="168" t="str">
        <f aca="false">ExportRaw!$B483</f>
        <v/>
      </c>
    </row>
    <row r="484" customFormat="false" ht="15.75" hidden="false" customHeight="false" outlineLevel="0" collapsed="false">
      <c r="A484" s="168" t="n">
        <f aca="false">ExportRaw!$F484</f>
        <v>0</v>
      </c>
      <c r="B484" s="168" t="n">
        <f aca="false">ExportRaw!$C484</f>
        <v>0</v>
      </c>
      <c r="C484" s="168" t="n">
        <f aca="false">ExportRaw!$G484</f>
        <v>0</v>
      </c>
      <c r="D484" s="168" t="str">
        <f aca="false">ExportRaw!$E484</f>
        <v/>
      </c>
      <c r="E484" s="169" t="str">
        <f aca="false">ExportRaw!$D484</f>
        <v/>
      </c>
      <c r="F484" s="168" t="str">
        <f aca="false">ExportRaw!$H484</f>
        <v/>
      </c>
      <c r="G484" s="170" t="str">
        <f aca="false">ExportRaw!$I484</f>
        <v/>
      </c>
      <c r="H484" s="168" t="str">
        <f aca="false">ExportRaw!$A484</f>
        <v/>
      </c>
      <c r="I484" s="168" t="str">
        <f aca="false">ExportRaw!$B484</f>
        <v/>
      </c>
    </row>
    <row r="485" customFormat="false" ht="15.75" hidden="false" customHeight="false" outlineLevel="0" collapsed="false">
      <c r="A485" s="168" t="n">
        <f aca="false">ExportRaw!$F485</f>
        <v>0</v>
      </c>
      <c r="B485" s="168" t="n">
        <f aca="false">ExportRaw!$C485</f>
        <v>0</v>
      </c>
      <c r="C485" s="168" t="n">
        <f aca="false">ExportRaw!$G485</f>
        <v>0</v>
      </c>
      <c r="D485" s="168" t="str">
        <f aca="false">ExportRaw!$E485</f>
        <v/>
      </c>
      <c r="E485" s="169" t="str">
        <f aca="false">ExportRaw!$D485</f>
        <v/>
      </c>
      <c r="F485" s="168" t="str">
        <f aca="false">ExportRaw!$H485</f>
        <v/>
      </c>
      <c r="G485" s="170" t="str">
        <f aca="false">ExportRaw!$I485</f>
        <v/>
      </c>
      <c r="H485" s="168" t="str">
        <f aca="false">ExportRaw!$A485</f>
        <v/>
      </c>
      <c r="I485" s="168" t="str">
        <f aca="false">ExportRaw!$B485</f>
        <v/>
      </c>
    </row>
    <row r="486" customFormat="false" ht="15.75" hidden="false" customHeight="false" outlineLevel="0" collapsed="false">
      <c r="A486" s="168" t="n">
        <f aca="false">ExportRaw!$F486</f>
        <v>0</v>
      </c>
      <c r="B486" s="168" t="n">
        <f aca="false">ExportRaw!$C486</f>
        <v>0</v>
      </c>
      <c r="C486" s="168" t="n">
        <f aca="false">ExportRaw!$G486</f>
        <v>0</v>
      </c>
      <c r="D486" s="168" t="str">
        <f aca="false">ExportRaw!$E486</f>
        <v/>
      </c>
      <c r="E486" s="169" t="str">
        <f aca="false">ExportRaw!$D486</f>
        <v/>
      </c>
      <c r="F486" s="168" t="str">
        <f aca="false">ExportRaw!$H486</f>
        <v/>
      </c>
      <c r="G486" s="170" t="str">
        <f aca="false">ExportRaw!$I486</f>
        <v/>
      </c>
      <c r="H486" s="168" t="str">
        <f aca="false">ExportRaw!$A486</f>
        <v/>
      </c>
      <c r="I486" s="168" t="str">
        <f aca="false">ExportRaw!$B486</f>
        <v/>
      </c>
    </row>
    <row r="487" customFormat="false" ht="15.75" hidden="false" customHeight="false" outlineLevel="0" collapsed="false">
      <c r="A487" s="168" t="n">
        <f aca="false">ExportRaw!$F487</f>
        <v>0</v>
      </c>
      <c r="B487" s="168" t="n">
        <f aca="false">ExportRaw!$C487</f>
        <v>0</v>
      </c>
      <c r="C487" s="168" t="n">
        <f aca="false">ExportRaw!$G487</f>
        <v>0</v>
      </c>
      <c r="D487" s="168" t="str">
        <f aca="false">ExportRaw!$E487</f>
        <v/>
      </c>
      <c r="E487" s="169" t="str">
        <f aca="false">ExportRaw!$D487</f>
        <v/>
      </c>
      <c r="F487" s="168" t="str">
        <f aca="false">ExportRaw!$H487</f>
        <v/>
      </c>
      <c r="G487" s="170" t="str">
        <f aca="false">ExportRaw!$I487</f>
        <v/>
      </c>
      <c r="H487" s="168" t="str">
        <f aca="false">ExportRaw!$A487</f>
        <v/>
      </c>
      <c r="I487" s="168" t="str">
        <f aca="false">ExportRaw!$B487</f>
        <v/>
      </c>
    </row>
    <row r="488" customFormat="false" ht="15.75" hidden="false" customHeight="false" outlineLevel="0" collapsed="false">
      <c r="A488" s="168" t="n">
        <f aca="false">ExportRaw!$F488</f>
        <v>0</v>
      </c>
      <c r="B488" s="168" t="n">
        <f aca="false">ExportRaw!$C488</f>
        <v>0</v>
      </c>
      <c r="C488" s="168" t="n">
        <f aca="false">ExportRaw!$G488</f>
        <v>0</v>
      </c>
      <c r="D488" s="168" t="str">
        <f aca="false">ExportRaw!$E488</f>
        <v/>
      </c>
      <c r="E488" s="169" t="str">
        <f aca="false">ExportRaw!$D488</f>
        <v/>
      </c>
      <c r="F488" s="168" t="str">
        <f aca="false">ExportRaw!$H488</f>
        <v/>
      </c>
      <c r="G488" s="170" t="str">
        <f aca="false">ExportRaw!$I488</f>
        <v/>
      </c>
      <c r="H488" s="168" t="str">
        <f aca="false">ExportRaw!$A488</f>
        <v/>
      </c>
      <c r="I488" s="168" t="str">
        <f aca="false">ExportRaw!$B488</f>
        <v/>
      </c>
    </row>
    <row r="489" customFormat="false" ht="15.75" hidden="false" customHeight="false" outlineLevel="0" collapsed="false">
      <c r="A489" s="168" t="n">
        <f aca="false">ExportRaw!$F489</f>
        <v>0</v>
      </c>
      <c r="B489" s="168" t="n">
        <f aca="false">ExportRaw!$C489</f>
        <v>0</v>
      </c>
      <c r="C489" s="168" t="n">
        <f aca="false">ExportRaw!$G489</f>
        <v>0</v>
      </c>
      <c r="D489" s="168" t="str">
        <f aca="false">ExportRaw!$E489</f>
        <v/>
      </c>
      <c r="E489" s="169" t="str">
        <f aca="false">ExportRaw!$D489</f>
        <v/>
      </c>
      <c r="F489" s="168" t="str">
        <f aca="false">ExportRaw!$H489</f>
        <v/>
      </c>
      <c r="G489" s="170" t="str">
        <f aca="false">ExportRaw!$I489</f>
        <v/>
      </c>
      <c r="H489" s="168" t="str">
        <f aca="false">ExportRaw!$A489</f>
        <v/>
      </c>
      <c r="I489" s="168" t="str">
        <f aca="false">ExportRaw!$B489</f>
        <v/>
      </c>
    </row>
    <row r="490" customFormat="false" ht="15.75" hidden="false" customHeight="false" outlineLevel="0" collapsed="false">
      <c r="A490" s="168" t="n">
        <f aca="false">ExportRaw!$F490</f>
        <v>0</v>
      </c>
      <c r="B490" s="168" t="n">
        <f aca="false">ExportRaw!$C490</f>
        <v>0</v>
      </c>
      <c r="C490" s="168" t="n">
        <f aca="false">ExportRaw!$G490</f>
        <v>0</v>
      </c>
      <c r="D490" s="168" t="str">
        <f aca="false">ExportRaw!$E490</f>
        <v/>
      </c>
      <c r="E490" s="169" t="str">
        <f aca="false">ExportRaw!$D490</f>
        <v/>
      </c>
      <c r="F490" s="168" t="str">
        <f aca="false">ExportRaw!$H490</f>
        <v/>
      </c>
      <c r="G490" s="170" t="str">
        <f aca="false">ExportRaw!$I490</f>
        <v/>
      </c>
      <c r="H490" s="168" t="str">
        <f aca="false">ExportRaw!$A490</f>
        <v/>
      </c>
      <c r="I490" s="168" t="str">
        <f aca="false">ExportRaw!$B490</f>
        <v/>
      </c>
    </row>
    <row r="491" customFormat="false" ht="15.75" hidden="false" customHeight="false" outlineLevel="0" collapsed="false">
      <c r="A491" s="168" t="n">
        <f aca="false">ExportRaw!$F491</f>
        <v>0</v>
      </c>
      <c r="B491" s="168" t="n">
        <f aca="false">ExportRaw!$C491</f>
        <v>0</v>
      </c>
      <c r="C491" s="168" t="n">
        <f aca="false">ExportRaw!$G491</f>
        <v>0</v>
      </c>
      <c r="D491" s="168" t="str">
        <f aca="false">ExportRaw!$E491</f>
        <v/>
      </c>
      <c r="E491" s="169" t="str">
        <f aca="false">ExportRaw!$D491</f>
        <v/>
      </c>
      <c r="F491" s="168" t="str">
        <f aca="false">ExportRaw!$H491</f>
        <v/>
      </c>
      <c r="G491" s="170" t="str">
        <f aca="false">ExportRaw!$I491</f>
        <v/>
      </c>
      <c r="H491" s="168" t="str">
        <f aca="false">ExportRaw!$A491</f>
        <v/>
      </c>
      <c r="I491" s="168" t="str">
        <f aca="false">ExportRaw!$B491</f>
        <v/>
      </c>
    </row>
    <row r="492" customFormat="false" ht="15.75" hidden="false" customHeight="false" outlineLevel="0" collapsed="false">
      <c r="A492" s="168" t="n">
        <f aca="false">ExportRaw!$F492</f>
        <v>0</v>
      </c>
      <c r="B492" s="168" t="n">
        <f aca="false">ExportRaw!$C492</f>
        <v>0</v>
      </c>
      <c r="C492" s="168" t="n">
        <f aca="false">ExportRaw!$G492</f>
        <v>0</v>
      </c>
      <c r="D492" s="168" t="str">
        <f aca="false">ExportRaw!$E492</f>
        <v/>
      </c>
      <c r="E492" s="169" t="str">
        <f aca="false">ExportRaw!$D492</f>
        <v/>
      </c>
      <c r="F492" s="168" t="str">
        <f aca="false">ExportRaw!$H492</f>
        <v/>
      </c>
      <c r="G492" s="170" t="str">
        <f aca="false">ExportRaw!$I492</f>
        <v/>
      </c>
      <c r="H492" s="168" t="str">
        <f aca="false">ExportRaw!$A492</f>
        <v/>
      </c>
      <c r="I492" s="168" t="str">
        <f aca="false">ExportRaw!$B492</f>
        <v/>
      </c>
    </row>
    <row r="493" customFormat="false" ht="15.75" hidden="false" customHeight="false" outlineLevel="0" collapsed="false">
      <c r="A493" s="168" t="n">
        <f aca="false">ExportRaw!$F493</f>
        <v>0</v>
      </c>
      <c r="B493" s="168" t="n">
        <f aca="false">ExportRaw!$C493</f>
        <v>0</v>
      </c>
      <c r="C493" s="168" t="n">
        <f aca="false">ExportRaw!$G493</f>
        <v>0</v>
      </c>
      <c r="D493" s="168" t="str">
        <f aca="false">ExportRaw!$E493</f>
        <v/>
      </c>
      <c r="E493" s="169" t="str">
        <f aca="false">ExportRaw!$D493</f>
        <v/>
      </c>
      <c r="F493" s="168" t="str">
        <f aca="false">ExportRaw!$H493</f>
        <v/>
      </c>
      <c r="G493" s="170" t="str">
        <f aca="false">ExportRaw!$I493</f>
        <v/>
      </c>
      <c r="H493" s="168" t="str">
        <f aca="false">ExportRaw!$A493</f>
        <v/>
      </c>
      <c r="I493" s="168" t="str">
        <f aca="false">ExportRaw!$B493</f>
        <v/>
      </c>
    </row>
    <row r="494" customFormat="false" ht="15.75" hidden="false" customHeight="false" outlineLevel="0" collapsed="false">
      <c r="A494" s="168" t="n">
        <f aca="false">ExportRaw!$F494</f>
        <v>0</v>
      </c>
      <c r="B494" s="168" t="n">
        <f aca="false">ExportRaw!$C494</f>
        <v>0</v>
      </c>
      <c r="C494" s="168" t="n">
        <f aca="false">ExportRaw!$G494</f>
        <v>0</v>
      </c>
      <c r="D494" s="168" t="str">
        <f aca="false">ExportRaw!$E494</f>
        <v/>
      </c>
      <c r="E494" s="169" t="str">
        <f aca="false">ExportRaw!$D494</f>
        <v/>
      </c>
      <c r="F494" s="168" t="str">
        <f aca="false">ExportRaw!$H494</f>
        <v/>
      </c>
      <c r="G494" s="170" t="str">
        <f aca="false">ExportRaw!$I494</f>
        <v/>
      </c>
      <c r="H494" s="168" t="str">
        <f aca="false">ExportRaw!$A494</f>
        <v/>
      </c>
      <c r="I494" s="168" t="str">
        <f aca="false">ExportRaw!$B494</f>
        <v/>
      </c>
    </row>
    <row r="495" customFormat="false" ht="15.75" hidden="false" customHeight="false" outlineLevel="0" collapsed="false">
      <c r="A495" s="168" t="n">
        <f aca="false">ExportRaw!$F495</f>
        <v>0</v>
      </c>
      <c r="B495" s="168" t="n">
        <f aca="false">ExportRaw!$C495</f>
        <v>0</v>
      </c>
      <c r="C495" s="168" t="n">
        <f aca="false">ExportRaw!$G495</f>
        <v>0</v>
      </c>
      <c r="D495" s="168" t="str">
        <f aca="false">ExportRaw!$E495</f>
        <v/>
      </c>
      <c r="E495" s="169" t="str">
        <f aca="false">ExportRaw!$D495</f>
        <v/>
      </c>
      <c r="F495" s="168" t="str">
        <f aca="false">ExportRaw!$H495</f>
        <v/>
      </c>
      <c r="G495" s="170" t="str">
        <f aca="false">ExportRaw!$I495</f>
        <v/>
      </c>
      <c r="H495" s="168" t="str">
        <f aca="false">ExportRaw!$A495</f>
        <v/>
      </c>
      <c r="I495" s="168" t="str">
        <f aca="false">ExportRaw!$B495</f>
        <v/>
      </c>
    </row>
    <row r="496" customFormat="false" ht="15.75" hidden="false" customHeight="false" outlineLevel="0" collapsed="false">
      <c r="A496" s="168" t="n">
        <f aca="false">ExportRaw!$F496</f>
        <v>0</v>
      </c>
      <c r="B496" s="168" t="n">
        <f aca="false">ExportRaw!$C496</f>
        <v>0</v>
      </c>
      <c r="C496" s="168" t="n">
        <f aca="false">ExportRaw!$G496</f>
        <v>0</v>
      </c>
      <c r="D496" s="168" t="str">
        <f aca="false">ExportRaw!$E496</f>
        <v/>
      </c>
      <c r="E496" s="169" t="str">
        <f aca="false">ExportRaw!$D496</f>
        <v/>
      </c>
      <c r="F496" s="168" t="str">
        <f aca="false">ExportRaw!$H496</f>
        <v/>
      </c>
      <c r="G496" s="170" t="str">
        <f aca="false">ExportRaw!$I496</f>
        <v/>
      </c>
      <c r="H496" s="168" t="str">
        <f aca="false">ExportRaw!$A496</f>
        <v/>
      </c>
      <c r="I496" s="168" t="str">
        <f aca="false">ExportRaw!$B496</f>
        <v/>
      </c>
    </row>
    <row r="497" customFormat="false" ht="15.75" hidden="false" customHeight="false" outlineLevel="0" collapsed="false">
      <c r="A497" s="168" t="n">
        <f aca="false">ExportRaw!$F497</f>
        <v>0</v>
      </c>
      <c r="B497" s="168" t="n">
        <f aca="false">ExportRaw!$C497</f>
        <v>0</v>
      </c>
      <c r="C497" s="168" t="n">
        <f aca="false">ExportRaw!$G497</f>
        <v>0</v>
      </c>
      <c r="D497" s="168" t="str">
        <f aca="false">ExportRaw!$E497</f>
        <v/>
      </c>
      <c r="E497" s="169" t="str">
        <f aca="false">ExportRaw!$D497</f>
        <v/>
      </c>
      <c r="F497" s="168" t="str">
        <f aca="false">ExportRaw!$H497</f>
        <v/>
      </c>
      <c r="G497" s="170" t="str">
        <f aca="false">ExportRaw!$I497</f>
        <v/>
      </c>
      <c r="H497" s="168" t="str">
        <f aca="false">ExportRaw!$A497</f>
        <v/>
      </c>
      <c r="I497" s="168" t="str">
        <f aca="false">ExportRaw!$B497</f>
        <v/>
      </c>
    </row>
    <row r="498" customFormat="false" ht="15.75" hidden="false" customHeight="false" outlineLevel="0" collapsed="false">
      <c r="A498" s="168" t="n">
        <f aca="false">ExportRaw!$F498</f>
        <v>0</v>
      </c>
      <c r="B498" s="168" t="n">
        <f aca="false">ExportRaw!$C498</f>
        <v>0</v>
      </c>
      <c r="C498" s="168" t="n">
        <f aca="false">ExportRaw!$G498</f>
        <v>0</v>
      </c>
      <c r="D498" s="168" t="str">
        <f aca="false">ExportRaw!$E498</f>
        <v/>
      </c>
      <c r="E498" s="169" t="str">
        <f aca="false">ExportRaw!$D498</f>
        <v/>
      </c>
      <c r="F498" s="168" t="str">
        <f aca="false">ExportRaw!$H498</f>
        <v/>
      </c>
      <c r="G498" s="170" t="str">
        <f aca="false">ExportRaw!$I498</f>
        <v/>
      </c>
      <c r="H498" s="168" t="str">
        <f aca="false">ExportRaw!$A498</f>
        <v/>
      </c>
      <c r="I498" s="168" t="str">
        <f aca="false">ExportRaw!$B498</f>
        <v/>
      </c>
    </row>
    <row r="499" customFormat="false" ht="15.75" hidden="false" customHeight="false" outlineLevel="0" collapsed="false">
      <c r="A499" s="168" t="n">
        <f aca="false">ExportRaw!$F499</f>
        <v>0</v>
      </c>
      <c r="B499" s="168" t="n">
        <f aca="false">ExportRaw!$C499</f>
        <v>0</v>
      </c>
      <c r="C499" s="168" t="n">
        <f aca="false">ExportRaw!$G499</f>
        <v>0</v>
      </c>
      <c r="D499" s="168" t="str">
        <f aca="false">ExportRaw!$E499</f>
        <v/>
      </c>
      <c r="E499" s="169" t="str">
        <f aca="false">ExportRaw!$D499</f>
        <v/>
      </c>
      <c r="F499" s="168" t="str">
        <f aca="false">ExportRaw!$H499</f>
        <v/>
      </c>
      <c r="G499" s="170" t="str">
        <f aca="false">ExportRaw!$I499</f>
        <v/>
      </c>
      <c r="H499" s="168" t="str">
        <f aca="false">ExportRaw!$A499</f>
        <v/>
      </c>
      <c r="I499" s="168" t="str">
        <f aca="false">ExportRaw!$B499</f>
        <v/>
      </c>
    </row>
    <row r="500" customFormat="false" ht="15.75" hidden="false" customHeight="false" outlineLevel="0" collapsed="false">
      <c r="A500" s="168" t="n">
        <f aca="false">ExportRaw!$F500</f>
        <v>0</v>
      </c>
      <c r="B500" s="168" t="n">
        <f aca="false">ExportRaw!$C500</f>
        <v>0</v>
      </c>
      <c r="C500" s="168" t="n">
        <f aca="false">ExportRaw!$G500</f>
        <v>0</v>
      </c>
      <c r="D500" s="168" t="str">
        <f aca="false">ExportRaw!$E500</f>
        <v/>
      </c>
      <c r="E500" s="169" t="str">
        <f aca="false">ExportRaw!$D500</f>
        <v/>
      </c>
      <c r="F500" s="168" t="str">
        <f aca="false">ExportRaw!$H500</f>
        <v/>
      </c>
      <c r="G500" s="170" t="str">
        <f aca="false">ExportRaw!$I500</f>
        <v/>
      </c>
      <c r="H500" s="168" t="str">
        <f aca="false">ExportRaw!$A500</f>
        <v/>
      </c>
      <c r="I500" s="168" t="str">
        <f aca="false">ExportRaw!$B500</f>
        <v/>
      </c>
    </row>
    <row r="501" customFormat="false" ht="15.75" hidden="false" customHeight="false" outlineLevel="0" collapsed="false">
      <c r="A501" s="168" t="n">
        <f aca="false">ExportRaw!$F501</f>
        <v>0</v>
      </c>
      <c r="B501" s="168" t="n">
        <f aca="false">ExportRaw!$C501</f>
        <v>0</v>
      </c>
      <c r="C501" s="168" t="n">
        <f aca="false">ExportRaw!$G501</f>
        <v>0</v>
      </c>
      <c r="D501" s="168" t="str">
        <f aca="false">ExportRaw!$E501</f>
        <v/>
      </c>
      <c r="E501" s="169" t="str">
        <f aca="false">ExportRaw!$D501</f>
        <v/>
      </c>
      <c r="F501" s="168" t="str">
        <f aca="false">ExportRaw!$H501</f>
        <v/>
      </c>
      <c r="G501" s="170" t="str">
        <f aca="false">ExportRaw!$I501</f>
        <v/>
      </c>
      <c r="H501" s="168" t="str">
        <f aca="false">ExportRaw!$A501</f>
        <v/>
      </c>
      <c r="I501" s="168" t="str">
        <f aca="false">ExportRaw!$B501</f>
        <v/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5" activeCellId="0" sqref="A5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71" width="13.76"/>
    <col collapsed="false" customWidth="false" hidden="false" outlineLevel="0" max="2" min="2" style="172" width="12.63"/>
    <col collapsed="false" customWidth="true" hidden="false" outlineLevel="0" max="3" min="3" style="173" width="104.88"/>
  </cols>
  <sheetData>
    <row r="1" customFormat="false" ht="15.75" hidden="false" customHeight="false" outlineLevel="0" collapsed="false">
      <c r="A1" s="174" t="s">
        <v>103</v>
      </c>
      <c r="B1" s="167" t="s">
        <v>104</v>
      </c>
      <c r="C1" s="167" t="s">
        <v>105</v>
      </c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</row>
    <row r="2" customFormat="false" ht="15.75" hidden="false" customHeight="false" outlineLevel="0" collapsed="false">
      <c r="A2" s="175" t="n">
        <v>46295</v>
      </c>
      <c r="B2" s="168" t="s">
        <v>106</v>
      </c>
      <c r="C2" s="168" t="s">
        <v>107</v>
      </c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</row>
    <row r="3" customFormat="false" ht="15.75" hidden="false" customHeight="true" outlineLevel="0" collapsed="false">
      <c r="A3" s="171" t="n">
        <v>46296</v>
      </c>
      <c r="B3" s="172" t="s">
        <v>108</v>
      </c>
      <c r="C3" s="173" t="s">
        <v>109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6.89"/>
  </cols>
  <sheetData>
    <row r="1" customFormat="false" ht="15.75" hidden="false" customHeight="false" outlineLevel="0" collapsed="false">
      <c r="A1" s="168" t="str">
        <f aca="false">IFERROR(__xludf.dummyfunction("importrange(""https://docs.google.com/spreadsheets/d/1YGauecgVr6IitrGDDrOCoTXY8ruNxlmFhmS5Oas2JUg/edit?gid=0#gid=0"",""Sheet1!A1:G18"")"),"Helicopter|B/C")</f>
        <v>Helicopter|B/C</v>
      </c>
      <c r="B1" s="176" t="str">
        <f aca="false">IFERROR(__xludf.dummyfunction("""COMPUTED_VALUE"""),"Helicopter")</f>
        <v>Helicopter</v>
      </c>
      <c r="C1" s="168" t="str">
        <f aca="false">IFERROR(__xludf.dummyfunction("""COMPUTED_VALUE"""),"B/C")</f>
        <v>B/C</v>
      </c>
      <c r="D1" s="168" t="str">
        <f aca="false">IFERROR(__xludf.dummyfunction("""COMPUTED_VALUE"""),"0.6.1")</f>
        <v>0.6.1</v>
      </c>
      <c r="E1" s="175" t="n">
        <f aca="false">IFERROR(__xludf.dummyfunction("""COMPUTED_VALUE"""),46077)</f>
        <v>46077</v>
      </c>
      <c r="F1" s="168"/>
      <c r="G1" s="168" t="str">
        <f aca="false">IFERROR(__xludf.dummyfunction("""COMPUTED_VALUE"""),"Ready")</f>
        <v>Ready</v>
      </c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</row>
    <row r="2" customFormat="false" ht="15.75" hidden="false" customHeight="false" outlineLevel="0" collapsed="false">
      <c r="A2" s="168" t="str">
        <f aca="false">IFERROR(__xludf.dummyfunction("""COMPUTED_VALUE"""),"Mission Possible|B")</f>
        <v>Mission Possible|B</v>
      </c>
      <c r="B2" s="168" t="str">
        <f aca="false">IFERROR(__xludf.dummyfunction("""COMPUTED_VALUE"""),"Mission Possible")</f>
        <v>Mission Possible</v>
      </c>
      <c r="C2" s="168" t="str">
        <f aca="false">IFERROR(__xludf.dummyfunction("""COMPUTED_VALUE"""),"B")</f>
        <v>B</v>
      </c>
      <c r="D2" s="168" t="str">
        <f aca="false">IFERROR(__xludf.dummyfunction("""COMPUTED_VALUE"""),"0.5.1")</f>
        <v>0.5.1</v>
      </c>
      <c r="E2" s="175" t="n">
        <f aca="false">IFERROR(__xludf.dummyfunction("""COMPUTED_VALUE"""),46077)</f>
        <v>46077</v>
      </c>
      <c r="F2" s="168"/>
      <c r="G2" s="168" t="str">
        <f aca="false">IFERROR(__xludf.dummyfunction("""COMPUTED_VALUE"""),"Ready")</f>
        <v>Ready</v>
      </c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  <c r="AA2" s="168"/>
    </row>
    <row r="3" customFormat="false" ht="15.75" hidden="false" customHeight="false" outlineLevel="0" collapsed="false">
      <c r="A3" s="168" t="str">
        <f aca="false">IFERROR(__xludf.dummyfunction("""COMPUTED_VALUE"""),"Scrambler|B")</f>
        <v>Scrambler|B</v>
      </c>
      <c r="B3" s="168" t="str">
        <f aca="false">IFERROR(__xludf.dummyfunction("""COMPUTED_VALUE"""),"Scrambler")</f>
        <v>Scrambler</v>
      </c>
      <c r="C3" s="168" t="str">
        <f aca="false">IFERROR(__xludf.dummyfunction("""COMPUTED_VALUE"""),"B")</f>
        <v>B</v>
      </c>
      <c r="D3" s="168" t="str">
        <f aca="false">IFERROR(__xludf.dummyfunction("""COMPUTED_VALUE"""),"0.4.1")</f>
        <v>0.4.1</v>
      </c>
      <c r="E3" s="175" t="n">
        <f aca="false">IFERROR(__xludf.dummyfunction("""COMPUTED_VALUE"""),46077)</f>
        <v>46077</v>
      </c>
      <c r="F3" s="168"/>
      <c r="G3" s="168" t="str">
        <f aca="false">IFERROR(__xludf.dummyfunction("""COMPUTED_VALUE"""),"Ready")</f>
        <v>Ready</v>
      </c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8"/>
      <c r="W3" s="168"/>
      <c r="X3" s="168"/>
      <c r="Y3" s="168"/>
      <c r="Z3" s="168"/>
      <c r="AA3" s="168"/>
    </row>
    <row r="4" customFormat="false" ht="15.75" hidden="false" customHeight="false" outlineLevel="0" collapsed="false">
      <c r="A4" s="168" t="str">
        <f aca="false">IFERROR(__xludf.dummyfunction("""COMPUTED_VALUE"""),"Bungee Drop|C")</f>
        <v>Bungee Drop|C</v>
      </c>
      <c r="B4" s="168" t="str">
        <f aca="false">IFERROR(__xludf.dummyfunction("""COMPUTED_VALUE"""),"Bungee Drop")</f>
        <v>Bungee Drop</v>
      </c>
      <c r="C4" s="168" t="str">
        <f aca="false">IFERROR(__xludf.dummyfunction("""COMPUTED_VALUE"""),"C")</f>
        <v>C</v>
      </c>
      <c r="D4" s="168" t="str">
        <f aca="false">IFERROR(__xludf.dummyfunction("""COMPUTED_VALUE"""),"0.4.3")</f>
        <v>0.4.3</v>
      </c>
      <c r="E4" s="175" t="n">
        <f aca="false">IFERROR(__xludf.dummyfunction("""COMPUTED_VALUE"""),46077)</f>
        <v>46077</v>
      </c>
      <c r="F4" s="168"/>
      <c r="G4" s="168" t="str">
        <f aca="false">IFERROR(__xludf.dummyfunction("""COMPUTED_VALUE"""),"Ready")</f>
        <v>Ready</v>
      </c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  <c r="U4" s="168"/>
      <c r="V4" s="168"/>
      <c r="W4" s="168"/>
      <c r="X4" s="168"/>
      <c r="Y4" s="168"/>
      <c r="Z4" s="168"/>
      <c r="AA4" s="168"/>
    </row>
    <row r="5" customFormat="false" ht="15.75" hidden="false" customHeight="false" outlineLevel="0" collapsed="false">
      <c r="A5" s="168" t="str">
        <f aca="false">IFERROR(__xludf.dummyfunction("""COMPUTED_VALUE"""),"Electric Vehicle|C")</f>
        <v>Electric Vehicle|C</v>
      </c>
      <c r="B5" s="168" t="str">
        <f aca="false">IFERROR(__xludf.dummyfunction("""COMPUTED_VALUE"""),"Electric Vehicle")</f>
        <v>Electric Vehicle</v>
      </c>
      <c r="C5" s="168" t="str">
        <f aca="false">IFERROR(__xludf.dummyfunction("""COMPUTED_VALUE"""),"C")</f>
        <v>C</v>
      </c>
      <c r="D5" s="168" t="str">
        <f aca="false">IFERROR(__xludf.dummyfunction("""COMPUTED_VALUE"""),"0.8.0")</f>
        <v>0.8.0</v>
      </c>
      <c r="E5" s="175" t="n">
        <f aca="false">IFERROR(__xludf.dummyfunction("""COMPUTED_VALUE"""),46047)</f>
        <v>46047</v>
      </c>
      <c r="F5" s="168"/>
      <c r="G5" s="168" t="str">
        <f aca="false">IFERROR(__xludf.dummyfunction("""COMPUTED_VALUE"""),"Ready")</f>
        <v>Ready</v>
      </c>
      <c r="H5" s="168"/>
      <c r="I5" s="168"/>
      <c r="J5" s="168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  <c r="AA5" s="168"/>
    </row>
    <row r="6" customFormat="false" ht="15.75" hidden="false" customHeight="false" outlineLevel="0" collapsed="false">
      <c r="A6" s="168" t="str">
        <f aca="false">IFERROR(__xludf.dummyfunction("""COMPUTED_VALUE"""),"Robot Tour|C")</f>
        <v>Robot Tour|C</v>
      </c>
      <c r="B6" s="168" t="str">
        <f aca="false">IFERROR(__xludf.dummyfunction("""COMPUTED_VALUE"""),"Robot Tour")</f>
        <v>Robot Tour</v>
      </c>
      <c r="C6" s="168" t="str">
        <f aca="false">IFERROR(__xludf.dummyfunction("""COMPUTED_VALUE"""),"C")</f>
        <v>C</v>
      </c>
      <c r="D6" s="168" t="str">
        <f aca="false">IFERROR(__xludf.dummyfunction("""COMPUTED_VALUE"""),"0.6.0")</f>
        <v>0.6.0</v>
      </c>
      <c r="E6" s="175" t="n">
        <f aca="false">IFERROR(__xludf.dummyfunction("""COMPUTED_VALUE"""),46077)</f>
        <v>46077</v>
      </c>
      <c r="F6" s="168"/>
      <c r="G6" s="168" t="str">
        <f aca="false">IFERROR(__xludf.dummyfunction("""COMPUTED_VALUE"""),"Ready")</f>
        <v>Ready</v>
      </c>
      <c r="H6" s="168"/>
      <c r="I6" s="168"/>
      <c r="J6" s="168"/>
      <c r="K6" s="168"/>
      <c r="L6" s="168"/>
      <c r="M6" s="168"/>
      <c r="N6" s="168"/>
      <c r="O6" s="168"/>
      <c r="P6" s="168"/>
      <c r="Q6" s="168"/>
      <c r="R6" s="168"/>
      <c r="S6" s="168"/>
      <c r="T6" s="168"/>
      <c r="U6" s="168"/>
      <c r="V6" s="168"/>
      <c r="W6" s="168"/>
      <c r="X6" s="168"/>
      <c r="Y6" s="168"/>
      <c r="Z6" s="168"/>
      <c r="AA6" s="168"/>
    </row>
    <row r="7" customFormat="false" ht="15.75" hidden="false" customHeight="false" outlineLevel="0" collapsed="false">
      <c r="A7" s="168" t="str">
        <f aca="false">IFERROR(__xludf.dummyfunction("""COMPUTED_VALUE"""),"Hovercraft|B/C")</f>
        <v>Hovercraft|B/C</v>
      </c>
      <c r="B7" s="168" t="str">
        <f aca="false">IFERROR(__xludf.dummyfunction("""COMPUTED_VALUE"""),"Hovercraft")</f>
        <v>Hovercraft</v>
      </c>
      <c r="C7" s="168" t="str">
        <f aca="false">IFERROR(__xludf.dummyfunction("""COMPUTED_VALUE"""),"B/C")</f>
        <v>B/C</v>
      </c>
      <c r="D7" s="168" t="str">
        <f aca="false">IFERROR(__xludf.dummyfunction("""COMPUTED_VALUE"""),"0.5.3")</f>
        <v>0.5.3</v>
      </c>
      <c r="E7" s="175" t="n">
        <f aca="false">IFERROR(__xludf.dummyfunction("""COMPUTED_VALUE"""),46055)</f>
        <v>46055</v>
      </c>
      <c r="F7" s="168"/>
      <c r="G7" s="168" t="str">
        <f aca="false">IFERROR(__xludf.dummyfunction("""COMPUTED_VALUE"""),"Ready")</f>
        <v>Ready</v>
      </c>
      <c r="H7" s="168"/>
      <c r="I7" s="168"/>
      <c r="J7" s="168"/>
      <c r="K7" s="168"/>
      <c r="L7" s="168"/>
      <c r="M7" s="168"/>
      <c r="N7" s="168"/>
      <c r="O7" s="168"/>
      <c r="P7" s="168"/>
      <c r="Q7" s="168"/>
      <c r="R7" s="168"/>
      <c r="S7" s="168"/>
      <c r="T7" s="168"/>
      <c r="U7" s="168"/>
      <c r="V7" s="168"/>
      <c r="W7" s="168"/>
      <c r="X7" s="168"/>
      <c r="Y7" s="168"/>
      <c r="Z7" s="168"/>
      <c r="AA7" s="168"/>
    </row>
    <row r="8" customFormat="false" ht="15.75" hidden="false" customHeight="false" outlineLevel="0" collapsed="false">
      <c r="A8" s="168" t="str">
        <f aca="false">IFERROR(__xludf.dummyfunction("""COMPUTED_VALUE"""),"Boomilever|B/C")</f>
        <v>Boomilever|B/C</v>
      </c>
      <c r="B8" s="168" t="str">
        <f aca="false">IFERROR(__xludf.dummyfunction("""COMPUTED_VALUE"""),"Boomilever")</f>
        <v>Boomilever</v>
      </c>
      <c r="C8" s="168" t="str">
        <f aca="false">IFERROR(__xludf.dummyfunction("""COMPUTED_VALUE"""),"B/C")</f>
        <v>B/C</v>
      </c>
      <c r="D8" s="168" t="str">
        <f aca="false">IFERROR(__xludf.dummyfunction("""COMPUTED_VALUE"""),"0.3.0")</f>
        <v>0.3.0</v>
      </c>
      <c r="E8" s="175" t="n">
        <f aca="false">IFERROR(__xludf.dummyfunction("""COMPUTED_VALUE"""),46077)</f>
        <v>46077</v>
      </c>
      <c r="F8" s="168"/>
      <c r="G8" s="168" t="str">
        <f aca="false">IFERROR(__xludf.dummyfunction("""COMPUTED_VALUE"""),"Ready")</f>
        <v>Ready</v>
      </c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68"/>
      <c r="AA8" s="168"/>
    </row>
    <row r="9" customFormat="false" ht="15.75" hidden="false" customHeight="false" outlineLevel="0" collapsed="false">
      <c r="A9" s="168" t="str">
        <f aca="false">IFERROR(__xludf.dummyfunction("""COMPUTED_VALUE"""),"Machines|B/C")</f>
        <v>Machines|B/C</v>
      </c>
      <c r="B9" s="168" t="str">
        <f aca="false">IFERROR(__xludf.dummyfunction("""COMPUTED_VALUE"""),"Machines")</f>
        <v>Machines</v>
      </c>
      <c r="C9" s="168" t="str">
        <f aca="false">IFERROR(__xludf.dummyfunction("""COMPUTED_VALUE"""),"B/C")</f>
        <v>B/C</v>
      </c>
      <c r="D9" s="168" t="str">
        <f aca="false">IFERROR(__xludf.dummyfunction("""COMPUTED_VALUE"""),"0.4.0")</f>
        <v>0.4.0</v>
      </c>
      <c r="E9" s="175" t="n">
        <f aca="false">IFERROR(__xludf.dummyfunction("""COMPUTED_VALUE"""),45996)</f>
        <v>45996</v>
      </c>
      <c r="F9" s="168"/>
      <c r="G9" s="168" t="str">
        <f aca="false">IFERROR(__xludf.dummyfunction("""COMPUTED_VALUE"""),"Ready")</f>
        <v>Ready</v>
      </c>
      <c r="H9" s="168"/>
      <c r="I9" s="168"/>
      <c r="J9" s="168"/>
      <c r="K9" s="168"/>
      <c r="L9" s="168"/>
      <c r="M9" s="168"/>
      <c r="N9" s="168"/>
      <c r="O9" s="168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  <c r="AA9" s="168"/>
    </row>
    <row r="10" customFormat="false" ht="15.75" hidden="false" customHeight="false" outlineLevel="0" collapsed="false">
      <c r="A10" s="168" t="str">
        <f aca="false">IFERROR(__xludf.dummyfunction("""COMPUTED_VALUE"""),"Engineering CAD|C")</f>
        <v>Engineering CAD|C</v>
      </c>
      <c r="B10" s="168" t="str">
        <f aca="false">IFERROR(__xludf.dummyfunction("""COMPUTED_VALUE"""),"Engineering CAD")</f>
        <v>Engineering CAD</v>
      </c>
      <c r="C10" s="168" t="str">
        <f aca="false">IFERROR(__xludf.dummyfunction("""COMPUTED_VALUE"""),"C")</f>
        <v>C</v>
      </c>
      <c r="D10" s="168" t="str">
        <f aca="false">IFERROR(__xludf.dummyfunction("""COMPUTED_VALUE"""),"1.0.0")</f>
        <v>1.0.0</v>
      </c>
      <c r="E10" s="175" t="n">
        <f aca="false">IFERROR(__xludf.dummyfunction("""COMPUTED_VALUE"""),46095)</f>
        <v>46095</v>
      </c>
      <c r="F10" s="168"/>
      <c r="G10" s="168" t="str">
        <f aca="false">IFERROR(__xludf.dummyfunction("""COMPUTED_VALUE"""),"Ready")</f>
        <v>Ready</v>
      </c>
      <c r="H10" s="168"/>
      <c r="I10" s="168"/>
      <c r="J10" s="168"/>
      <c r="K10" s="168"/>
      <c r="L10" s="168"/>
      <c r="M10" s="168"/>
      <c r="N10" s="168"/>
      <c r="O10" s="168"/>
      <c r="P10" s="168"/>
      <c r="Q10" s="168"/>
      <c r="R10" s="168"/>
      <c r="S10" s="168"/>
      <c r="T10" s="168"/>
      <c r="U10" s="168"/>
      <c r="V10" s="168"/>
      <c r="W10" s="168"/>
      <c r="X10" s="168"/>
      <c r="Y10" s="168"/>
      <c r="Z10" s="168"/>
      <c r="AA10" s="168"/>
    </row>
    <row r="11" customFormat="false" ht="15.75" hidden="false" customHeight="false" outlineLevel="0" collapsed="false">
      <c r="A11" s="168"/>
      <c r="B11" s="168"/>
      <c r="C11" s="168"/>
      <c r="D11" s="168"/>
      <c r="E11" s="175"/>
      <c r="F11" s="168"/>
      <c r="G11" s="168"/>
      <c r="H11" s="168"/>
      <c r="I11" s="168"/>
      <c r="J11" s="168"/>
      <c r="K11" s="168"/>
      <c r="L11" s="168"/>
      <c r="M11" s="168"/>
      <c r="N11" s="168"/>
      <c r="O11" s="168"/>
      <c r="P11" s="168"/>
      <c r="Q11" s="168"/>
      <c r="R11" s="168"/>
      <c r="S11" s="168"/>
      <c r="T11" s="168"/>
      <c r="U11" s="168"/>
      <c r="V11" s="168"/>
      <c r="W11" s="168"/>
      <c r="X11" s="168"/>
      <c r="Y11" s="168"/>
      <c r="Z11" s="168"/>
      <c r="AA11" s="168"/>
    </row>
    <row r="12" customFormat="false" ht="15.75" hidden="false" customHeight="false" outlineLevel="0" collapsed="false">
      <c r="A12" s="168"/>
      <c r="B12" s="168"/>
      <c r="C12" s="168"/>
      <c r="D12" s="168"/>
      <c r="E12" s="175"/>
      <c r="F12" s="168"/>
      <c r="G12" s="168"/>
      <c r="H12" s="168"/>
      <c r="I12" s="168"/>
      <c r="J12" s="168"/>
      <c r="K12" s="168"/>
      <c r="L12" s="168"/>
      <c r="M12" s="168"/>
      <c r="N12" s="168"/>
      <c r="O12" s="168"/>
      <c r="P12" s="168"/>
      <c r="Q12" s="168"/>
      <c r="R12" s="168"/>
      <c r="S12" s="168"/>
      <c r="T12" s="168"/>
      <c r="U12" s="168"/>
      <c r="V12" s="168"/>
      <c r="W12" s="168"/>
      <c r="X12" s="168"/>
      <c r="Y12" s="168"/>
      <c r="Z12" s="168"/>
      <c r="AA12" s="168"/>
    </row>
    <row r="13" customFormat="false" ht="15.75" hidden="false" customHeight="false" outlineLevel="0" collapsed="false">
      <c r="A13" s="168"/>
      <c r="B13" s="168"/>
      <c r="C13" s="168"/>
      <c r="D13" s="168"/>
      <c r="E13" s="175"/>
      <c r="F13" s="168"/>
      <c r="G13" s="168"/>
      <c r="H13" s="168"/>
      <c r="I13" s="168"/>
      <c r="J13" s="168"/>
      <c r="K13" s="168"/>
      <c r="L13" s="168"/>
      <c r="M13" s="168"/>
      <c r="N13" s="168"/>
      <c r="O13" s="168"/>
      <c r="P13" s="168"/>
      <c r="Q13" s="168"/>
      <c r="R13" s="168"/>
      <c r="S13" s="168"/>
      <c r="T13" s="168"/>
      <c r="U13" s="168"/>
      <c r="V13" s="168"/>
      <c r="W13" s="168"/>
      <c r="X13" s="168"/>
      <c r="Y13" s="168"/>
      <c r="Z13" s="168"/>
      <c r="AA13" s="168"/>
    </row>
    <row r="14" customFormat="false" ht="15.75" hidden="false" customHeight="false" outlineLevel="0" collapsed="false">
      <c r="A14" s="168"/>
      <c r="B14" s="168"/>
      <c r="C14" s="168"/>
      <c r="D14" s="168"/>
      <c r="E14" s="175"/>
      <c r="F14" s="168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68"/>
      <c r="R14" s="168"/>
      <c r="S14" s="168"/>
      <c r="T14" s="168"/>
      <c r="U14" s="168"/>
      <c r="V14" s="168"/>
      <c r="W14" s="168"/>
      <c r="X14" s="168"/>
      <c r="Y14" s="168"/>
      <c r="Z14" s="168"/>
      <c r="AA14" s="168"/>
    </row>
    <row r="15" customFormat="false" ht="15.75" hidden="false" customHeight="false" outlineLevel="0" collapsed="false">
      <c r="A15" s="168"/>
      <c r="B15" s="168"/>
      <c r="C15" s="168"/>
      <c r="D15" s="168"/>
      <c r="E15" s="175"/>
      <c r="F15" s="168"/>
      <c r="G15" s="168"/>
      <c r="H15" s="168"/>
      <c r="I15" s="168"/>
      <c r="J15" s="168"/>
      <c r="K15" s="168"/>
      <c r="L15" s="168"/>
      <c r="M15" s="168"/>
      <c r="N15" s="168"/>
      <c r="O15" s="168"/>
      <c r="P15" s="168"/>
      <c r="Q15" s="168"/>
      <c r="R15" s="168"/>
      <c r="S15" s="168"/>
      <c r="T15" s="168"/>
      <c r="U15" s="168"/>
      <c r="V15" s="168"/>
      <c r="W15" s="168"/>
      <c r="X15" s="168"/>
      <c r="Y15" s="168"/>
      <c r="Z15" s="168"/>
      <c r="AA15" s="168"/>
    </row>
    <row r="16" customFormat="false" ht="15.75" hidden="false" customHeight="false" outlineLevel="0" collapsed="false">
      <c r="A16" s="168"/>
      <c r="B16" s="168"/>
      <c r="C16" s="168"/>
      <c r="D16" s="168"/>
      <c r="E16" s="175"/>
      <c r="F16" s="168"/>
      <c r="G16" s="168"/>
      <c r="H16" s="168"/>
      <c r="I16" s="168"/>
      <c r="J16" s="168"/>
      <c r="K16" s="168"/>
      <c r="L16" s="168"/>
      <c r="M16" s="168"/>
      <c r="N16" s="168"/>
      <c r="O16" s="168"/>
      <c r="P16" s="168"/>
      <c r="Q16" s="168"/>
      <c r="R16" s="168"/>
      <c r="S16" s="168"/>
      <c r="T16" s="168"/>
      <c r="U16" s="168"/>
      <c r="V16" s="168"/>
      <c r="W16" s="168"/>
      <c r="X16" s="168"/>
      <c r="Y16" s="168"/>
      <c r="Z16" s="168"/>
      <c r="AA16" s="168"/>
    </row>
    <row r="17" customFormat="false" ht="15.75" hidden="false" customHeight="false" outlineLevel="0" collapsed="false">
      <c r="A17" s="168"/>
      <c r="B17" s="168"/>
      <c r="C17" s="168"/>
      <c r="D17" s="168"/>
      <c r="E17" s="175"/>
      <c r="F17" s="168"/>
      <c r="G17" s="168"/>
      <c r="H17" s="168"/>
      <c r="I17" s="168"/>
      <c r="J17" s="168"/>
      <c r="K17" s="168"/>
      <c r="L17" s="168"/>
      <c r="M17" s="168"/>
      <c r="N17" s="168"/>
      <c r="O17" s="168"/>
      <c r="P17" s="168"/>
      <c r="Q17" s="168"/>
      <c r="R17" s="168"/>
      <c r="S17" s="168"/>
      <c r="T17" s="168"/>
      <c r="U17" s="168"/>
      <c r="V17" s="168"/>
      <c r="W17" s="168"/>
      <c r="X17" s="168"/>
      <c r="Y17" s="168"/>
      <c r="Z17" s="168"/>
      <c r="AA17" s="168"/>
    </row>
    <row r="18" customFormat="false" ht="15.75" hidden="false" customHeight="false" outlineLevel="0" collapsed="false">
      <c r="A18" s="168"/>
      <c r="B18" s="168"/>
      <c r="C18" s="168"/>
      <c r="D18" s="168"/>
      <c r="E18" s="175"/>
      <c r="F18" s="168"/>
      <c r="G18" s="168"/>
      <c r="H18" s="168"/>
      <c r="I18" s="168"/>
      <c r="J18" s="168"/>
      <c r="K18" s="168"/>
      <c r="L18" s="168"/>
      <c r="M18" s="168"/>
      <c r="N18" s="168"/>
      <c r="O18" s="168"/>
      <c r="P18" s="168"/>
      <c r="Q18" s="168"/>
      <c r="R18" s="168"/>
      <c r="S18" s="168"/>
      <c r="T18" s="168"/>
      <c r="U18" s="168"/>
      <c r="V18" s="168"/>
      <c r="W18" s="168"/>
      <c r="X18" s="168"/>
      <c r="Y18" s="168"/>
      <c r="Z18" s="168"/>
      <c r="AA18" s="168"/>
    </row>
    <row r="19" customFormat="false" ht="15.75" hidden="false" customHeight="false" outlineLevel="0" collapsed="false">
      <c r="A19" s="168"/>
      <c r="B19" s="168"/>
      <c r="C19" s="168"/>
      <c r="D19" s="168"/>
      <c r="E19" s="175"/>
      <c r="F19" s="168"/>
      <c r="G19" s="168"/>
      <c r="H19" s="168"/>
      <c r="I19" s="168"/>
      <c r="J19" s="168"/>
      <c r="K19" s="168"/>
      <c r="L19" s="168"/>
      <c r="M19" s="168"/>
      <c r="N19" s="168"/>
      <c r="O19" s="168"/>
      <c r="P19" s="168"/>
      <c r="Q19" s="168"/>
      <c r="R19" s="168"/>
      <c r="S19" s="168"/>
      <c r="T19" s="168"/>
      <c r="U19" s="168"/>
      <c r="V19" s="168"/>
      <c r="W19" s="168"/>
      <c r="X19" s="168"/>
      <c r="Y19" s="168"/>
      <c r="Z19" s="168"/>
      <c r="AA19" s="168"/>
    </row>
    <row r="20" customFormat="false" ht="15.75" hidden="false" customHeight="false" outlineLevel="0" collapsed="false">
      <c r="A20" s="168"/>
      <c r="B20" s="168"/>
      <c r="C20" s="168"/>
      <c r="D20" s="168"/>
      <c r="E20" s="175"/>
      <c r="F20" s="168"/>
      <c r="G20" s="168"/>
      <c r="H20" s="168"/>
      <c r="I20" s="168"/>
      <c r="J20" s="168"/>
      <c r="K20" s="168"/>
      <c r="L20" s="168"/>
      <c r="M20" s="168"/>
      <c r="N20" s="168"/>
      <c r="O20" s="168"/>
      <c r="P20" s="168"/>
      <c r="Q20" s="168"/>
      <c r="R20" s="168"/>
      <c r="S20" s="168"/>
      <c r="T20" s="168"/>
      <c r="U20" s="168"/>
      <c r="V20" s="168"/>
      <c r="W20" s="168"/>
      <c r="X20" s="168"/>
      <c r="Y20" s="168"/>
      <c r="Z20" s="168"/>
      <c r="AA20" s="168"/>
    </row>
    <row r="21" customFormat="false" ht="15.75" hidden="false" customHeight="false" outlineLevel="0" collapsed="false">
      <c r="A21" s="168" t="str">
        <f aca="false">IF(ISBLANK(B21),"",B21&amp;"|"&amp;C21)</f>
        <v/>
      </c>
      <c r="B21" s="168"/>
      <c r="C21" s="168"/>
      <c r="D21" s="168"/>
      <c r="E21" s="175"/>
      <c r="F21" s="168"/>
      <c r="G21" s="168"/>
      <c r="H21" s="168"/>
      <c r="I21" s="168"/>
      <c r="J21" s="168"/>
      <c r="K21" s="168"/>
      <c r="L21" s="168"/>
      <c r="M21" s="168"/>
      <c r="N21" s="168"/>
      <c r="O21" s="168"/>
      <c r="P21" s="168"/>
      <c r="Q21" s="168"/>
      <c r="R21" s="168"/>
      <c r="S21" s="168"/>
      <c r="T21" s="168"/>
      <c r="U21" s="168"/>
      <c r="V21" s="168"/>
      <c r="W21" s="168"/>
      <c r="X21" s="168"/>
      <c r="Y21" s="168"/>
      <c r="Z21" s="168"/>
      <c r="AA21" s="168"/>
    </row>
    <row r="22" customFormat="false" ht="15.75" hidden="false" customHeight="false" outlineLevel="0" collapsed="false">
      <c r="A22" s="168" t="str">
        <f aca="false">IF(ISBLANK(B22),"",B22&amp;"|"&amp;C22)</f>
        <v/>
      </c>
      <c r="B22" s="168"/>
      <c r="C22" s="168"/>
      <c r="D22" s="168"/>
      <c r="E22" s="175"/>
      <c r="F22" s="168"/>
      <c r="G22" s="168"/>
      <c r="H22" s="168"/>
      <c r="I22" s="168"/>
      <c r="J22" s="168"/>
      <c r="K22" s="168"/>
      <c r="L22" s="168"/>
      <c r="M22" s="168"/>
      <c r="N22" s="168"/>
      <c r="O22" s="168"/>
      <c r="P22" s="168"/>
      <c r="Q22" s="168"/>
      <c r="R22" s="168"/>
      <c r="S22" s="168"/>
      <c r="T22" s="168"/>
      <c r="U22" s="168"/>
      <c r="V22" s="168"/>
      <c r="W22" s="168"/>
      <c r="X22" s="168"/>
      <c r="Y22" s="168"/>
      <c r="Z22" s="168"/>
      <c r="AA22" s="168"/>
    </row>
    <row r="23" customFormat="false" ht="15.75" hidden="false" customHeight="false" outlineLevel="0" collapsed="false">
      <c r="A23" s="168" t="str">
        <f aca="false">IF(ISBLANK(B23),"",B23&amp;"|"&amp;C23)</f>
        <v/>
      </c>
      <c r="B23" s="168"/>
      <c r="C23" s="168"/>
      <c r="D23" s="168"/>
      <c r="E23" s="175"/>
      <c r="F23" s="168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8"/>
      <c r="R23" s="168"/>
      <c r="S23" s="168"/>
      <c r="T23" s="168"/>
      <c r="U23" s="168"/>
      <c r="V23" s="168"/>
      <c r="W23" s="168"/>
      <c r="X23" s="168"/>
      <c r="Y23" s="168"/>
      <c r="Z23" s="168"/>
      <c r="AA23" s="168"/>
    </row>
    <row r="24" customFormat="false" ht="15.75" hidden="false" customHeight="false" outlineLevel="0" collapsed="false">
      <c r="A24" s="168" t="str">
        <f aca="false">IF(ISBLANK(B24),"",B24&amp;"|"&amp;C24)</f>
        <v/>
      </c>
      <c r="B24" s="168"/>
      <c r="C24" s="168"/>
      <c r="D24" s="168"/>
      <c r="E24" s="175"/>
      <c r="F24" s="168"/>
      <c r="G24" s="168"/>
      <c r="H24" s="168"/>
      <c r="I24" s="168"/>
      <c r="J24" s="168"/>
      <c r="K24" s="168"/>
      <c r="L24" s="168"/>
      <c r="M24" s="168"/>
      <c r="N24" s="168"/>
      <c r="O24" s="168"/>
      <c r="P24" s="168"/>
      <c r="Q24" s="168"/>
      <c r="R24" s="168"/>
      <c r="S24" s="168"/>
      <c r="T24" s="168"/>
      <c r="U24" s="168"/>
      <c r="V24" s="168"/>
      <c r="W24" s="168"/>
      <c r="X24" s="168"/>
      <c r="Y24" s="168"/>
      <c r="Z24" s="168"/>
      <c r="AA24" s="168"/>
    </row>
    <row r="25" customFormat="false" ht="15.75" hidden="false" customHeight="false" outlineLevel="0" collapsed="false">
      <c r="A25" s="168" t="str">
        <f aca="false">IF(ISBLANK(B25),"",B25&amp;"|"&amp;C25)</f>
        <v/>
      </c>
      <c r="B25" s="168"/>
      <c r="C25" s="168"/>
      <c r="D25" s="168"/>
      <c r="E25" s="175"/>
      <c r="F25" s="168"/>
      <c r="G25" s="168"/>
      <c r="H25" s="168"/>
      <c r="I25" s="168"/>
      <c r="J25" s="168"/>
      <c r="K25" s="168"/>
      <c r="L25" s="168"/>
      <c r="M25" s="168"/>
      <c r="N25" s="168"/>
      <c r="O25" s="168"/>
      <c r="P25" s="168"/>
      <c r="Q25" s="168"/>
      <c r="R25" s="168"/>
      <c r="S25" s="168"/>
      <c r="T25" s="168"/>
      <c r="U25" s="168"/>
      <c r="V25" s="168"/>
      <c r="W25" s="168"/>
      <c r="X25" s="168"/>
      <c r="Y25" s="168"/>
      <c r="Z25" s="168"/>
      <c r="AA25" s="168"/>
    </row>
    <row r="26" customFormat="false" ht="15.75" hidden="false" customHeight="false" outlineLevel="0" collapsed="false">
      <c r="A26" s="168" t="str">
        <f aca="false">IF(ISBLANK(B26),"",B26&amp;"|"&amp;C26)</f>
        <v/>
      </c>
      <c r="B26" s="168"/>
      <c r="C26" s="168"/>
      <c r="D26" s="168"/>
      <c r="E26" s="175"/>
      <c r="F26" s="168"/>
      <c r="G26" s="168"/>
      <c r="H26" s="168"/>
      <c r="I26" s="168"/>
      <c r="J26" s="168"/>
      <c r="K26" s="168"/>
      <c r="L26" s="168"/>
      <c r="M26" s="168"/>
      <c r="N26" s="168"/>
      <c r="O26" s="168"/>
      <c r="P26" s="168"/>
      <c r="Q26" s="168"/>
      <c r="R26" s="168"/>
      <c r="S26" s="168"/>
      <c r="T26" s="168"/>
      <c r="U26" s="168"/>
      <c r="V26" s="168"/>
      <c r="W26" s="168"/>
      <c r="X26" s="168"/>
      <c r="Y26" s="168"/>
      <c r="Z26" s="168"/>
      <c r="AA26" s="168"/>
    </row>
    <row r="27" customFormat="false" ht="15.75" hidden="false" customHeight="false" outlineLevel="0" collapsed="false">
      <c r="A27" s="168" t="str">
        <f aca="false">IF(ISBLANK(B27),"",B27&amp;"|"&amp;C27)</f>
        <v/>
      </c>
      <c r="B27" s="168"/>
      <c r="C27" s="168"/>
      <c r="D27" s="168"/>
      <c r="E27" s="175"/>
      <c r="F27" s="168"/>
      <c r="G27" s="168"/>
      <c r="H27" s="168"/>
      <c r="I27" s="168"/>
      <c r="J27" s="168"/>
      <c r="K27" s="168"/>
      <c r="L27" s="168"/>
      <c r="M27" s="168"/>
      <c r="N27" s="168"/>
      <c r="O27" s="168"/>
      <c r="P27" s="168"/>
      <c r="Q27" s="168"/>
      <c r="R27" s="168"/>
      <c r="S27" s="168"/>
      <c r="T27" s="168"/>
      <c r="U27" s="168"/>
      <c r="V27" s="168"/>
      <c r="W27" s="168"/>
      <c r="X27" s="168"/>
      <c r="Y27" s="168"/>
      <c r="Z27" s="168"/>
      <c r="AA27" s="168"/>
    </row>
    <row r="28" customFormat="false" ht="15.75" hidden="false" customHeight="false" outlineLevel="0" collapsed="false">
      <c r="A28" s="168" t="str">
        <f aca="false">IF(ISBLANK(B28),"",B28&amp;"|"&amp;C28)</f>
        <v/>
      </c>
      <c r="B28" s="168"/>
      <c r="C28" s="168"/>
      <c r="D28" s="168"/>
      <c r="E28" s="175"/>
      <c r="F28" s="168"/>
      <c r="G28" s="168"/>
      <c r="H28" s="168"/>
      <c r="I28" s="168"/>
      <c r="J28" s="168"/>
      <c r="K28" s="168"/>
      <c r="L28" s="168"/>
      <c r="M28" s="168"/>
      <c r="N28" s="168"/>
      <c r="O28" s="168"/>
      <c r="P28" s="168"/>
      <c r="Q28" s="168"/>
      <c r="R28" s="168"/>
      <c r="S28" s="168"/>
      <c r="T28" s="168"/>
      <c r="U28" s="168"/>
      <c r="V28" s="168"/>
      <c r="W28" s="168"/>
      <c r="X28" s="168"/>
      <c r="Y28" s="168"/>
      <c r="Z28" s="168"/>
      <c r="AA28" s="168"/>
    </row>
    <row r="29" customFormat="false" ht="15.75" hidden="false" customHeight="false" outlineLevel="0" collapsed="false">
      <c r="A29" s="168" t="str">
        <f aca="false">IF(ISBLANK(B29),"",B29&amp;"|"&amp;C29)</f>
        <v/>
      </c>
      <c r="B29" s="168"/>
      <c r="C29" s="168"/>
      <c r="D29" s="168"/>
      <c r="E29" s="175"/>
      <c r="F29" s="168"/>
      <c r="G29" s="168"/>
      <c r="H29" s="168"/>
      <c r="I29" s="168"/>
      <c r="J29" s="168"/>
      <c r="K29" s="168"/>
      <c r="L29" s="168"/>
      <c r="M29" s="168"/>
      <c r="N29" s="168"/>
      <c r="O29" s="168"/>
      <c r="P29" s="168"/>
      <c r="Q29" s="168"/>
      <c r="R29" s="168"/>
      <c r="S29" s="168"/>
      <c r="T29" s="168"/>
      <c r="U29" s="168"/>
      <c r="V29" s="168"/>
      <c r="W29" s="168"/>
      <c r="X29" s="168"/>
      <c r="Y29" s="168"/>
      <c r="Z29" s="168"/>
      <c r="AA29" s="168"/>
    </row>
    <row r="30" customFormat="false" ht="15.75" hidden="false" customHeight="false" outlineLevel="0" collapsed="false">
      <c r="A30" s="168" t="str">
        <f aca="false">IF(ISBLANK(B30),"",B30&amp;"|"&amp;C30)</f>
        <v/>
      </c>
      <c r="B30" s="168"/>
      <c r="C30" s="168"/>
      <c r="D30" s="168"/>
      <c r="E30" s="175"/>
      <c r="F30" s="168"/>
      <c r="G30" s="168"/>
      <c r="H30" s="168"/>
      <c r="I30" s="168"/>
      <c r="J30" s="168"/>
      <c r="K30" s="168"/>
      <c r="L30" s="168"/>
      <c r="M30" s="168"/>
      <c r="N30" s="168"/>
      <c r="O30" s="168"/>
      <c r="P30" s="168"/>
      <c r="Q30" s="168"/>
      <c r="R30" s="168"/>
      <c r="S30" s="168"/>
      <c r="T30" s="168"/>
      <c r="U30" s="168"/>
      <c r="V30" s="168"/>
      <c r="W30" s="168"/>
      <c r="X30" s="168"/>
      <c r="Y30" s="168"/>
      <c r="Z30" s="168"/>
      <c r="AA30" s="168"/>
    </row>
    <row r="31" customFormat="false" ht="15.75" hidden="false" customHeight="false" outlineLevel="0" collapsed="false">
      <c r="A31" s="168" t="str">
        <f aca="false">IF(ISBLANK(B31),"",B31&amp;"|"&amp;C31)</f>
        <v/>
      </c>
      <c r="B31" s="168"/>
      <c r="C31" s="168"/>
      <c r="D31" s="168"/>
      <c r="E31" s="175"/>
      <c r="F31" s="168"/>
      <c r="G31" s="168"/>
      <c r="H31" s="168"/>
      <c r="I31" s="168"/>
      <c r="J31" s="168"/>
      <c r="K31" s="168"/>
      <c r="L31" s="168"/>
      <c r="M31" s="168"/>
      <c r="N31" s="168"/>
      <c r="O31" s="168"/>
      <c r="P31" s="168"/>
      <c r="Q31" s="168"/>
      <c r="R31" s="168"/>
      <c r="S31" s="168"/>
      <c r="T31" s="168"/>
      <c r="U31" s="168"/>
      <c r="V31" s="168"/>
      <c r="W31" s="168"/>
      <c r="X31" s="168"/>
      <c r="Y31" s="168"/>
      <c r="Z31" s="168"/>
      <c r="AA31" s="168"/>
    </row>
    <row r="32" customFormat="false" ht="15.75" hidden="false" customHeight="false" outlineLevel="0" collapsed="false">
      <c r="A32" s="168" t="str">
        <f aca="false">IF(ISBLANK(B32),"",B32&amp;"|"&amp;C32)</f>
        <v/>
      </c>
      <c r="B32" s="168"/>
      <c r="C32" s="168"/>
      <c r="D32" s="168"/>
      <c r="E32" s="175"/>
      <c r="F32" s="168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68"/>
      <c r="R32" s="168"/>
      <c r="S32" s="168"/>
      <c r="T32" s="168"/>
      <c r="U32" s="168"/>
      <c r="V32" s="168"/>
      <c r="W32" s="168"/>
      <c r="X32" s="168"/>
      <c r="Y32" s="168"/>
      <c r="Z32" s="168"/>
      <c r="AA32" s="168"/>
    </row>
    <row r="33" customFormat="false" ht="15.75" hidden="false" customHeight="false" outlineLevel="0" collapsed="false">
      <c r="A33" s="168" t="str">
        <f aca="false">IF(ISBLANK(B33),"",B33&amp;"|"&amp;C33)</f>
        <v/>
      </c>
      <c r="B33" s="168"/>
      <c r="C33" s="168"/>
      <c r="D33" s="168"/>
      <c r="E33" s="175"/>
      <c r="F33" s="168"/>
      <c r="G33" s="168"/>
      <c r="H33" s="168"/>
      <c r="I33" s="168"/>
      <c r="J33" s="168"/>
      <c r="K33" s="168"/>
      <c r="L33" s="168"/>
      <c r="M33" s="168"/>
      <c r="N33" s="168"/>
      <c r="O33" s="168"/>
      <c r="P33" s="168"/>
      <c r="Q33" s="168"/>
      <c r="R33" s="168"/>
      <c r="S33" s="168"/>
      <c r="T33" s="168"/>
      <c r="U33" s="168"/>
      <c r="V33" s="168"/>
      <c r="W33" s="168"/>
      <c r="X33" s="168"/>
      <c r="Y33" s="168"/>
      <c r="Z33" s="168"/>
      <c r="AA33" s="168"/>
    </row>
    <row r="34" customFormat="false" ht="15.75" hidden="false" customHeight="false" outlineLevel="0" collapsed="false">
      <c r="A34" s="168" t="str">
        <f aca="false">IF(ISBLANK(B34),"",B34&amp;"|"&amp;C34)</f>
        <v/>
      </c>
      <c r="B34" s="168"/>
      <c r="C34" s="168"/>
      <c r="D34" s="168"/>
      <c r="E34" s="175"/>
      <c r="F34" s="168"/>
      <c r="G34" s="168"/>
      <c r="H34" s="168"/>
      <c r="I34" s="168"/>
      <c r="J34" s="168"/>
      <c r="K34" s="168"/>
      <c r="L34" s="168"/>
      <c r="M34" s="168"/>
      <c r="N34" s="168"/>
      <c r="O34" s="168"/>
      <c r="P34" s="168"/>
      <c r="Q34" s="168"/>
      <c r="R34" s="168"/>
      <c r="S34" s="168"/>
      <c r="T34" s="168"/>
      <c r="U34" s="168"/>
      <c r="V34" s="168"/>
      <c r="W34" s="168"/>
      <c r="X34" s="168"/>
      <c r="Y34" s="168"/>
      <c r="Z34" s="168"/>
      <c r="AA34" s="168"/>
    </row>
    <row r="35" customFormat="false" ht="15.75" hidden="false" customHeight="false" outlineLevel="0" collapsed="false">
      <c r="A35" s="168" t="str">
        <f aca="false">IF(ISBLANK(B35),"",B35&amp;"|"&amp;C35)</f>
        <v/>
      </c>
      <c r="B35" s="168"/>
      <c r="C35" s="168"/>
      <c r="D35" s="168"/>
      <c r="E35" s="175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8"/>
      <c r="W35" s="168"/>
      <c r="X35" s="168"/>
      <c r="Y35" s="168"/>
      <c r="Z35" s="168"/>
      <c r="AA35" s="168"/>
    </row>
    <row r="36" customFormat="false" ht="15.75" hidden="false" customHeight="false" outlineLevel="0" collapsed="false">
      <c r="A36" s="168" t="str">
        <f aca="false">IF(ISBLANK(B36),"",B36&amp;"|"&amp;C36)</f>
        <v/>
      </c>
      <c r="B36" s="168"/>
      <c r="C36" s="168"/>
      <c r="D36" s="168"/>
      <c r="E36" s="175"/>
      <c r="F36" s="168"/>
      <c r="G36" s="168"/>
      <c r="H36" s="168"/>
      <c r="I36" s="168"/>
      <c r="J36" s="168"/>
      <c r="K36" s="168"/>
      <c r="L36" s="168"/>
      <c r="M36" s="168"/>
      <c r="N36" s="168"/>
      <c r="O36" s="168"/>
      <c r="P36" s="168"/>
      <c r="Q36" s="168"/>
      <c r="R36" s="168"/>
      <c r="S36" s="168"/>
      <c r="T36" s="168"/>
      <c r="U36" s="168"/>
      <c r="V36" s="168"/>
      <c r="W36" s="168"/>
      <c r="X36" s="168"/>
      <c r="Y36" s="168"/>
      <c r="Z36" s="168"/>
      <c r="AA36" s="168"/>
    </row>
    <row r="37" customFormat="false" ht="15.75" hidden="false" customHeight="false" outlineLevel="0" collapsed="false">
      <c r="A37" s="168" t="str">
        <f aca="false">IF(ISBLANK(B37),"",B37&amp;"|"&amp;C37)</f>
        <v/>
      </c>
      <c r="B37" s="168"/>
      <c r="C37" s="168"/>
      <c r="D37" s="168"/>
      <c r="E37" s="175"/>
      <c r="F37" s="168"/>
      <c r="G37" s="168"/>
      <c r="H37" s="168"/>
      <c r="I37" s="168"/>
      <c r="J37" s="168"/>
      <c r="K37" s="168"/>
      <c r="L37" s="168"/>
      <c r="M37" s="168"/>
      <c r="N37" s="168"/>
      <c r="O37" s="168"/>
      <c r="P37" s="168"/>
      <c r="Q37" s="168"/>
      <c r="R37" s="168"/>
      <c r="S37" s="168"/>
      <c r="T37" s="168"/>
      <c r="U37" s="168"/>
      <c r="V37" s="168"/>
      <c r="W37" s="168"/>
      <c r="X37" s="168"/>
      <c r="Y37" s="168"/>
      <c r="Z37" s="168"/>
      <c r="AA37" s="168"/>
    </row>
    <row r="38" customFormat="false" ht="15.75" hidden="false" customHeight="false" outlineLevel="0" collapsed="false">
      <c r="A38" s="168" t="str">
        <f aca="false">IF(ISBLANK(B38),"",B38&amp;"|"&amp;C38)</f>
        <v/>
      </c>
      <c r="B38" s="168"/>
      <c r="C38" s="168"/>
      <c r="D38" s="168"/>
      <c r="E38" s="175"/>
      <c r="F38" s="168"/>
      <c r="G38" s="168"/>
      <c r="H38" s="168"/>
      <c r="I38" s="168"/>
      <c r="J38" s="168"/>
      <c r="K38" s="168"/>
      <c r="L38" s="168"/>
      <c r="M38" s="168"/>
      <c r="N38" s="168"/>
      <c r="O38" s="168"/>
      <c r="P38" s="168"/>
      <c r="Q38" s="168"/>
      <c r="R38" s="168"/>
      <c r="S38" s="168"/>
      <c r="T38" s="168"/>
      <c r="U38" s="168"/>
      <c r="V38" s="168"/>
      <c r="W38" s="168"/>
      <c r="X38" s="168"/>
      <c r="Y38" s="168"/>
      <c r="Z38" s="168"/>
      <c r="AA38" s="168"/>
    </row>
    <row r="39" customFormat="false" ht="15.75" hidden="false" customHeight="false" outlineLevel="0" collapsed="false">
      <c r="A39" s="168" t="str">
        <f aca="false">IF(ISBLANK(B39),"",B39&amp;"|"&amp;C39)</f>
        <v/>
      </c>
      <c r="B39" s="168"/>
      <c r="C39" s="168"/>
      <c r="D39" s="168"/>
      <c r="E39" s="175"/>
      <c r="F39" s="168"/>
      <c r="G39" s="168"/>
      <c r="H39" s="168"/>
      <c r="I39" s="168"/>
      <c r="J39" s="168"/>
      <c r="K39" s="168"/>
      <c r="L39" s="168"/>
      <c r="M39" s="168"/>
      <c r="N39" s="168"/>
      <c r="O39" s="168"/>
      <c r="P39" s="168"/>
      <c r="Q39" s="168"/>
      <c r="R39" s="168"/>
      <c r="S39" s="168"/>
      <c r="T39" s="168"/>
      <c r="U39" s="168"/>
      <c r="V39" s="168"/>
      <c r="W39" s="168"/>
      <c r="X39" s="168"/>
      <c r="Y39" s="168"/>
      <c r="Z39" s="168"/>
      <c r="AA39" s="168"/>
    </row>
    <row r="40" customFormat="false" ht="15.75" hidden="false" customHeight="false" outlineLevel="0" collapsed="false">
      <c r="A40" s="168" t="str">
        <f aca="false">IF(ISBLANK(B40),"",B40&amp;"|"&amp;C40)</f>
        <v/>
      </c>
      <c r="B40" s="168"/>
      <c r="C40" s="168"/>
      <c r="D40" s="168"/>
      <c r="E40" s="175"/>
      <c r="F40" s="168"/>
      <c r="G40" s="168"/>
      <c r="H40" s="168"/>
      <c r="I40" s="168"/>
      <c r="J40" s="168"/>
      <c r="K40" s="168"/>
      <c r="L40" s="168"/>
      <c r="M40" s="168"/>
      <c r="N40" s="168"/>
      <c r="O40" s="168"/>
      <c r="P40" s="168"/>
      <c r="Q40" s="168"/>
      <c r="R40" s="168"/>
      <c r="S40" s="168"/>
      <c r="T40" s="168"/>
      <c r="U40" s="168"/>
      <c r="V40" s="168"/>
      <c r="W40" s="168"/>
      <c r="X40" s="168"/>
      <c r="Y40" s="168"/>
      <c r="Z40" s="168"/>
      <c r="AA40" s="168"/>
    </row>
    <row r="41" customFormat="false" ht="15.75" hidden="false" customHeight="false" outlineLevel="0" collapsed="false">
      <c r="A41" s="168" t="str">
        <f aca="false">IF(ISBLANK(B41),"",B41&amp;"|"&amp;C41)</f>
        <v/>
      </c>
      <c r="B41" s="168"/>
      <c r="C41" s="168"/>
      <c r="D41" s="168"/>
      <c r="E41" s="175"/>
      <c r="F41" s="168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68"/>
      <c r="R41" s="168"/>
      <c r="S41" s="168"/>
      <c r="T41" s="168"/>
      <c r="U41" s="168"/>
      <c r="V41" s="168"/>
      <c r="W41" s="168"/>
      <c r="X41" s="168"/>
      <c r="Y41" s="168"/>
      <c r="Z41" s="168"/>
      <c r="AA41" s="168"/>
    </row>
    <row r="42" customFormat="false" ht="15.75" hidden="false" customHeight="false" outlineLevel="0" collapsed="false">
      <c r="A42" s="168" t="str">
        <f aca="false">IF(ISBLANK(B42),"",B42&amp;"|"&amp;C42)</f>
        <v/>
      </c>
      <c r="B42" s="168"/>
      <c r="C42" s="168"/>
      <c r="D42" s="168"/>
      <c r="E42" s="175"/>
      <c r="F42" s="168"/>
      <c r="G42" s="168"/>
      <c r="H42" s="168"/>
      <c r="I42" s="168"/>
      <c r="J42" s="168"/>
      <c r="K42" s="168"/>
      <c r="L42" s="168"/>
      <c r="M42" s="168"/>
      <c r="N42" s="168"/>
      <c r="O42" s="168"/>
      <c r="P42" s="168"/>
      <c r="Q42" s="168"/>
      <c r="R42" s="168"/>
      <c r="S42" s="168"/>
      <c r="T42" s="168"/>
      <c r="U42" s="168"/>
      <c r="V42" s="168"/>
      <c r="W42" s="168"/>
      <c r="X42" s="168"/>
      <c r="Y42" s="168"/>
      <c r="Z42" s="168"/>
      <c r="AA42" s="168"/>
    </row>
    <row r="43" customFormat="false" ht="15.75" hidden="false" customHeight="false" outlineLevel="0" collapsed="false">
      <c r="A43" s="168" t="str">
        <f aca="false">IF(ISBLANK(B43),"",B43&amp;"|"&amp;C43)</f>
        <v/>
      </c>
      <c r="B43" s="168"/>
      <c r="C43" s="168"/>
      <c r="D43" s="168"/>
      <c r="E43" s="175"/>
      <c r="F43" s="168"/>
      <c r="G43" s="168"/>
      <c r="H43" s="168"/>
      <c r="I43" s="168"/>
      <c r="J43" s="168"/>
      <c r="K43" s="168"/>
      <c r="L43" s="168"/>
      <c r="M43" s="168"/>
      <c r="N43" s="168"/>
      <c r="O43" s="168"/>
      <c r="P43" s="168"/>
      <c r="Q43" s="168"/>
      <c r="R43" s="168"/>
      <c r="S43" s="168"/>
      <c r="T43" s="168"/>
      <c r="U43" s="168"/>
      <c r="V43" s="168"/>
      <c r="W43" s="168"/>
      <c r="X43" s="168"/>
      <c r="Y43" s="168"/>
      <c r="Z43" s="168"/>
      <c r="AA43" s="168"/>
    </row>
    <row r="44" customFormat="false" ht="15.75" hidden="false" customHeight="false" outlineLevel="0" collapsed="false">
      <c r="A44" s="168" t="str">
        <f aca="false">IF(ISBLANK(B44),"",B44&amp;"|"&amp;C44)</f>
        <v/>
      </c>
      <c r="B44" s="168"/>
      <c r="C44" s="168"/>
      <c r="D44" s="168"/>
      <c r="E44" s="175"/>
      <c r="F44" s="168"/>
      <c r="G44" s="168"/>
      <c r="H44" s="168"/>
      <c r="I44" s="168"/>
      <c r="J44" s="168"/>
      <c r="K44" s="168"/>
      <c r="L44" s="168"/>
      <c r="M44" s="168"/>
      <c r="N44" s="168"/>
      <c r="O44" s="168"/>
      <c r="P44" s="168"/>
      <c r="Q44" s="168"/>
      <c r="R44" s="168"/>
      <c r="S44" s="168"/>
      <c r="T44" s="168"/>
      <c r="U44" s="168"/>
      <c r="V44" s="168"/>
      <c r="W44" s="168"/>
      <c r="X44" s="168"/>
      <c r="Y44" s="168"/>
      <c r="Z44" s="168"/>
      <c r="AA44" s="168"/>
    </row>
    <row r="45" customFormat="false" ht="15.75" hidden="false" customHeight="false" outlineLevel="0" collapsed="false">
      <c r="A45" s="168" t="str">
        <f aca="false">IF(ISBLANK(B45),"",B45&amp;"|"&amp;C45)</f>
        <v/>
      </c>
      <c r="B45" s="168"/>
      <c r="C45" s="168"/>
      <c r="D45" s="168"/>
      <c r="E45" s="175"/>
      <c r="F45" s="168"/>
      <c r="G45" s="168"/>
      <c r="H45" s="168"/>
      <c r="I45" s="168"/>
      <c r="J45" s="168"/>
      <c r="K45" s="168"/>
      <c r="L45" s="168"/>
      <c r="M45" s="168"/>
      <c r="N45" s="168"/>
      <c r="O45" s="168"/>
      <c r="P45" s="168"/>
      <c r="Q45" s="168"/>
      <c r="R45" s="168"/>
      <c r="S45" s="168"/>
      <c r="T45" s="168"/>
      <c r="U45" s="168"/>
      <c r="V45" s="168"/>
      <c r="W45" s="168"/>
      <c r="X45" s="168"/>
      <c r="Y45" s="168"/>
      <c r="Z45" s="168"/>
      <c r="AA45" s="168"/>
    </row>
    <row r="46" customFormat="false" ht="15.75" hidden="false" customHeight="false" outlineLevel="0" collapsed="false">
      <c r="A46" s="168" t="str">
        <f aca="false">IF(ISBLANK(B46),"",B46&amp;"|"&amp;C46)</f>
        <v/>
      </c>
      <c r="B46" s="168"/>
      <c r="C46" s="168"/>
      <c r="D46" s="168"/>
      <c r="E46" s="175"/>
      <c r="F46" s="168"/>
      <c r="G46" s="168"/>
      <c r="H46" s="168"/>
      <c r="I46" s="168"/>
      <c r="J46" s="168"/>
      <c r="K46" s="168"/>
      <c r="L46" s="168"/>
      <c r="M46" s="168"/>
      <c r="N46" s="168"/>
      <c r="O46" s="168"/>
      <c r="P46" s="168"/>
      <c r="Q46" s="168"/>
      <c r="R46" s="168"/>
      <c r="S46" s="168"/>
      <c r="T46" s="168"/>
      <c r="U46" s="168"/>
      <c r="V46" s="168"/>
      <c r="W46" s="168"/>
      <c r="X46" s="168"/>
      <c r="Y46" s="168"/>
      <c r="Z46" s="168"/>
      <c r="AA46" s="168"/>
    </row>
    <row r="47" customFormat="false" ht="15.75" hidden="false" customHeight="false" outlineLevel="0" collapsed="false">
      <c r="A47" s="168" t="str">
        <f aca="false">IF(ISBLANK(B47),"",B47&amp;"|"&amp;C47)</f>
        <v/>
      </c>
      <c r="B47" s="168"/>
      <c r="C47" s="168"/>
      <c r="D47" s="168"/>
      <c r="E47" s="175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168"/>
      <c r="S47" s="168"/>
      <c r="T47" s="168"/>
      <c r="U47" s="168"/>
      <c r="V47" s="168"/>
      <c r="W47" s="168"/>
      <c r="X47" s="168"/>
      <c r="Y47" s="168"/>
      <c r="Z47" s="168"/>
      <c r="AA47" s="168"/>
    </row>
    <row r="48" customFormat="false" ht="15.75" hidden="false" customHeight="false" outlineLevel="0" collapsed="false">
      <c r="A48" s="168" t="str">
        <f aca="false">IF(ISBLANK(B48),"",B48&amp;"|"&amp;C48)</f>
        <v/>
      </c>
      <c r="B48" s="168"/>
      <c r="C48" s="168"/>
      <c r="D48" s="168"/>
      <c r="E48" s="175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168"/>
      <c r="S48" s="168"/>
      <c r="T48" s="168"/>
      <c r="U48" s="168"/>
      <c r="V48" s="168"/>
      <c r="W48" s="168"/>
      <c r="X48" s="168"/>
      <c r="Y48" s="168"/>
      <c r="Z48" s="168"/>
      <c r="AA48" s="168"/>
    </row>
    <row r="49" customFormat="false" ht="15.75" hidden="false" customHeight="false" outlineLevel="0" collapsed="false">
      <c r="A49" s="168" t="str">
        <f aca="false">IF(ISBLANK(B49),"",B49&amp;"|"&amp;C49)</f>
        <v/>
      </c>
      <c r="B49" s="168"/>
      <c r="C49" s="168"/>
      <c r="D49" s="168"/>
      <c r="E49" s="175"/>
      <c r="F49" s="168"/>
      <c r="G49" s="168"/>
      <c r="H49" s="168"/>
      <c r="I49" s="168"/>
      <c r="J49" s="168"/>
      <c r="K49" s="168"/>
      <c r="L49" s="168"/>
      <c r="M49" s="168"/>
      <c r="N49" s="168"/>
      <c r="O49" s="168"/>
      <c r="P49" s="168"/>
      <c r="Q49" s="168"/>
      <c r="R49" s="168"/>
      <c r="S49" s="168"/>
      <c r="T49" s="168"/>
      <c r="U49" s="168"/>
      <c r="V49" s="168"/>
      <c r="W49" s="168"/>
      <c r="X49" s="168"/>
      <c r="Y49" s="168"/>
      <c r="Z49" s="168"/>
      <c r="AA49" s="168"/>
    </row>
    <row r="50" customFormat="false" ht="15.75" hidden="false" customHeight="false" outlineLevel="0" collapsed="false">
      <c r="A50" s="168" t="str">
        <f aca="false">IF(ISBLANK(B50),"",B50&amp;"|"&amp;C50)</f>
        <v/>
      </c>
      <c r="B50" s="168"/>
      <c r="C50" s="168"/>
      <c r="D50" s="168"/>
      <c r="E50" s="175"/>
      <c r="F50" s="168"/>
      <c r="G50" s="168"/>
      <c r="H50" s="168"/>
      <c r="I50" s="168"/>
      <c r="J50" s="168"/>
      <c r="K50" s="168"/>
      <c r="L50" s="168"/>
      <c r="M50" s="168"/>
      <c r="N50" s="168"/>
      <c r="O50" s="168"/>
      <c r="P50" s="168"/>
      <c r="Q50" s="168"/>
      <c r="R50" s="168"/>
      <c r="S50" s="168"/>
      <c r="T50" s="168"/>
      <c r="U50" s="168"/>
      <c r="V50" s="168"/>
      <c r="W50" s="168"/>
      <c r="X50" s="168"/>
      <c r="Y50" s="168"/>
      <c r="Z50" s="168"/>
      <c r="AA50" s="168"/>
    </row>
    <row r="51" customFormat="false" ht="15.75" hidden="false" customHeight="false" outlineLevel="0" collapsed="false">
      <c r="A51" s="168" t="str">
        <f aca="false">IF(ISBLANK(B51),"",B51&amp;"|"&amp;C51)</f>
        <v/>
      </c>
      <c r="B51" s="168"/>
      <c r="C51" s="168"/>
      <c r="D51" s="168"/>
      <c r="E51" s="175"/>
      <c r="F51" s="168"/>
      <c r="G51" s="168"/>
      <c r="H51" s="168"/>
      <c r="I51" s="168"/>
      <c r="J51" s="168"/>
      <c r="K51" s="168"/>
      <c r="L51" s="168"/>
      <c r="M51" s="168"/>
      <c r="N51" s="168"/>
      <c r="O51" s="168"/>
      <c r="P51" s="168"/>
      <c r="Q51" s="168"/>
      <c r="R51" s="168"/>
      <c r="S51" s="168"/>
      <c r="T51" s="168"/>
      <c r="U51" s="168"/>
      <c r="V51" s="168"/>
      <c r="W51" s="168"/>
      <c r="X51" s="168"/>
      <c r="Y51" s="168"/>
      <c r="Z51" s="168"/>
      <c r="AA51" s="168"/>
    </row>
    <row r="52" customFormat="false" ht="15.75" hidden="false" customHeight="false" outlineLevel="0" collapsed="false">
      <c r="A52" s="168" t="str">
        <f aca="false">IF(ISBLANK(B52),"",B52&amp;"|"&amp;C52)</f>
        <v/>
      </c>
      <c r="B52" s="168"/>
      <c r="C52" s="168"/>
      <c r="D52" s="168"/>
      <c r="E52" s="175"/>
      <c r="F52" s="168"/>
      <c r="G52" s="168"/>
      <c r="H52" s="168"/>
      <c r="I52" s="168"/>
      <c r="J52" s="168"/>
      <c r="K52" s="168"/>
      <c r="L52" s="168"/>
      <c r="M52" s="168"/>
      <c r="N52" s="168"/>
      <c r="O52" s="168"/>
      <c r="P52" s="168"/>
      <c r="Q52" s="168"/>
      <c r="R52" s="168"/>
      <c r="S52" s="168"/>
      <c r="T52" s="168"/>
      <c r="U52" s="168"/>
      <c r="V52" s="168"/>
      <c r="W52" s="168"/>
      <c r="X52" s="168"/>
      <c r="Y52" s="168"/>
      <c r="Z52" s="168"/>
      <c r="AA52" s="168"/>
    </row>
    <row r="53" customFormat="false" ht="15.75" hidden="false" customHeight="false" outlineLevel="0" collapsed="false">
      <c r="A53" s="168" t="str">
        <f aca="false">IF(ISBLANK(B53),"",B53&amp;"|"&amp;C53)</f>
        <v/>
      </c>
      <c r="B53" s="168"/>
      <c r="C53" s="168"/>
      <c r="D53" s="168"/>
      <c r="E53" s="175"/>
      <c r="F53" s="168"/>
      <c r="G53" s="168"/>
      <c r="H53" s="168"/>
      <c r="I53" s="168"/>
      <c r="J53" s="168"/>
      <c r="K53" s="168"/>
      <c r="L53" s="168"/>
      <c r="M53" s="168"/>
      <c r="N53" s="168"/>
      <c r="O53" s="168"/>
      <c r="P53" s="168"/>
      <c r="Q53" s="168"/>
      <c r="R53" s="168"/>
      <c r="S53" s="168"/>
      <c r="T53" s="168"/>
      <c r="U53" s="168"/>
      <c r="V53" s="168"/>
      <c r="W53" s="168"/>
      <c r="X53" s="168"/>
      <c r="Y53" s="168"/>
      <c r="Z53" s="168"/>
      <c r="AA53" s="168"/>
    </row>
    <row r="54" customFormat="false" ht="15.75" hidden="false" customHeight="false" outlineLevel="0" collapsed="false">
      <c r="A54" s="168" t="str">
        <f aca="false">IF(ISBLANK(B54),"",B54&amp;"|"&amp;C54)</f>
        <v/>
      </c>
      <c r="B54" s="168"/>
      <c r="C54" s="168"/>
      <c r="D54" s="168"/>
      <c r="E54" s="175"/>
      <c r="F54" s="168"/>
      <c r="G54" s="168"/>
      <c r="H54" s="168"/>
      <c r="I54" s="168"/>
      <c r="J54" s="168"/>
      <c r="K54" s="168"/>
      <c r="L54" s="168"/>
      <c r="M54" s="168"/>
      <c r="N54" s="168"/>
      <c r="O54" s="168"/>
      <c r="P54" s="168"/>
      <c r="Q54" s="168"/>
      <c r="R54" s="168"/>
      <c r="S54" s="168"/>
      <c r="T54" s="168"/>
      <c r="U54" s="168"/>
      <c r="V54" s="168"/>
      <c r="W54" s="168"/>
      <c r="X54" s="168"/>
      <c r="Y54" s="168"/>
      <c r="Z54" s="168"/>
      <c r="AA54" s="168"/>
    </row>
    <row r="55" customFormat="false" ht="15.75" hidden="false" customHeight="false" outlineLevel="0" collapsed="false">
      <c r="A55" s="168" t="str">
        <f aca="false">IF(ISBLANK(B55),"",B55&amp;"|"&amp;C55)</f>
        <v/>
      </c>
      <c r="B55" s="168"/>
      <c r="C55" s="168"/>
      <c r="D55" s="168"/>
      <c r="E55" s="175"/>
      <c r="F55" s="168"/>
      <c r="G55" s="168"/>
      <c r="H55" s="168"/>
      <c r="I55" s="168"/>
      <c r="J55" s="168"/>
      <c r="K55" s="168"/>
      <c r="L55" s="168"/>
      <c r="M55" s="168"/>
      <c r="N55" s="168"/>
      <c r="O55" s="168"/>
      <c r="P55" s="168"/>
      <c r="Q55" s="168"/>
      <c r="R55" s="168"/>
      <c r="S55" s="168"/>
      <c r="T55" s="168"/>
      <c r="U55" s="168"/>
      <c r="V55" s="168"/>
      <c r="W55" s="168"/>
      <c r="X55" s="168"/>
      <c r="Y55" s="168"/>
      <c r="Z55" s="168"/>
      <c r="AA55" s="168"/>
    </row>
    <row r="56" customFormat="false" ht="15.75" hidden="false" customHeight="false" outlineLevel="0" collapsed="false">
      <c r="A56" s="168" t="str">
        <f aca="false">IF(ISBLANK(B56),"",B56&amp;"|"&amp;C56)</f>
        <v/>
      </c>
      <c r="B56" s="168"/>
      <c r="C56" s="168"/>
      <c r="D56" s="168"/>
      <c r="E56" s="175"/>
      <c r="F56" s="168"/>
      <c r="G56" s="168"/>
      <c r="H56" s="168"/>
      <c r="I56" s="168"/>
      <c r="J56" s="168"/>
      <c r="K56" s="168"/>
      <c r="L56" s="168"/>
      <c r="M56" s="168"/>
      <c r="N56" s="168"/>
      <c r="O56" s="168"/>
      <c r="P56" s="168"/>
      <c r="Q56" s="168"/>
      <c r="R56" s="168"/>
      <c r="S56" s="168"/>
      <c r="T56" s="168"/>
      <c r="U56" s="168"/>
      <c r="V56" s="168"/>
      <c r="W56" s="168"/>
      <c r="X56" s="168"/>
      <c r="Y56" s="168"/>
      <c r="Z56" s="168"/>
      <c r="AA56" s="168"/>
    </row>
    <row r="57" customFormat="false" ht="15.75" hidden="false" customHeight="false" outlineLevel="0" collapsed="false">
      <c r="A57" s="168" t="str">
        <f aca="false">IF(ISBLANK(B57),"",B57&amp;"|"&amp;C57)</f>
        <v/>
      </c>
      <c r="B57" s="168"/>
      <c r="C57" s="168"/>
      <c r="D57" s="168"/>
      <c r="E57" s="175"/>
      <c r="F57" s="168"/>
      <c r="G57" s="168"/>
      <c r="H57" s="168"/>
      <c r="I57" s="168"/>
      <c r="J57" s="168"/>
      <c r="K57" s="168"/>
      <c r="L57" s="168"/>
      <c r="M57" s="168"/>
      <c r="N57" s="168"/>
      <c r="O57" s="168"/>
      <c r="P57" s="168"/>
      <c r="Q57" s="168"/>
      <c r="R57" s="168"/>
      <c r="S57" s="168"/>
      <c r="T57" s="168"/>
      <c r="U57" s="168"/>
      <c r="V57" s="168"/>
      <c r="W57" s="168"/>
      <c r="X57" s="168"/>
      <c r="Y57" s="168"/>
      <c r="Z57" s="168"/>
      <c r="AA57" s="168"/>
    </row>
    <row r="58" customFormat="false" ht="15.75" hidden="false" customHeight="false" outlineLevel="0" collapsed="false">
      <c r="A58" s="168" t="str">
        <f aca="false">IF(ISBLANK(B58),"",B58&amp;"|"&amp;C58)</f>
        <v/>
      </c>
      <c r="B58" s="168"/>
      <c r="C58" s="168"/>
      <c r="D58" s="168"/>
      <c r="E58" s="175"/>
      <c r="F58" s="168"/>
      <c r="G58" s="168"/>
      <c r="H58" s="168"/>
      <c r="I58" s="168"/>
      <c r="J58" s="168"/>
      <c r="K58" s="168"/>
      <c r="L58" s="168"/>
      <c r="M58" s="168"/>
      <c r="N58" s="168"/>
      <c r="O58" s="168"/>
      <c r="P58" s="168"/>
      <c r="Q58" s="168"/>
      <c r="R58" s="168"/>
      <c r="S58" s="168"/>
      <c r="T58" s="168"/>
      <c r="U58" s="168"/>
      <c r="V58" s="168"/>
      <c r="W58" s="168"/>
      <c r="X58" s="168"/>
      <c r="Y58" s="168"/>
      <c r="Z58" s="168"/>
      <c r="AA58" s="168"/>
    </row>
    <row r="59" customFormat="false" ht="15.75" hidden="false" customHeight="false" outlineLevel="0" collapsed="false">
      <c r="A59" s="168" t="str">
        <f aca="false">IF(ISBLANK(B59),"",B59&amp;"|"&amp;C59)</f>
        <v/>
      </c>
      <c r="B59" s="168"/>
      <c r="C59" s="168"/>
      <c r="D59" s="168"/>
      <c r="E59" s="175"/>
      <c r="F59" s="168"/>
      <c r="G59" s="168"/>
      <c r="H59" s="168"/>
      <c r="I59" s="168"/>
      <c r="J59" s="168"/>
      <c r="K59" s="168"/>
      <c r="L59" s="168"/>
      <c r="M59" s="168"/>
      <c r="N59" s="168"/>
      <c r="O59" s="168"/>
      <c r="P59" s="168"/>
      <c r="Q59" s="168"/>
      <c r="R59" s="168"/>
      <c r="S59" s="168"/>
      <c r="T59" s="168"/>
      <c r="U59" s="168"/>
      <c r="V59" s="168"/>
      <c r="W59" s="168"/>
      <c r="X59" s="168"/>
      <c r="Y59" s="168"/>
      <c r="Z59" s="168"/>
      <c r="AA59" s="168"/>
    </row>
    <row r="60" customFormat="false" ht="15.75" hidden="false" customHeight="false" outlineLevel="0" collapsed="false">
      <c r="A60" s="168" t="str">
        <f aca="false">IF(ISBLANK(B60),"",B60&amp;"|"&amp;C60)</f>
        <v/>
      </c>
      <c r="B60" s="168"/>
      <c r="C60" s="168"/>
      <c r="D60" s="168"/>
      <c r="E60" s="175"/>
      <c r="F60" s="168"/>
      <c r="G60" s="168"/>
      <c r="H60" s="168"/>
      <c r="I60" s="168"/>
      <c r="J60" s="168"/>
      <c r="K60" s="168"/>
      <c r="L60" s="168"/>
      <c r="M60" s="168"/>
      <c r="N60" s="168"/>
      <c r="O60" s="168"/>
      <c r="P60" s="168"/>
      <c r="Q60" s="168"/>
      <c r="R60" s="168"/>
      <c r="S60" s="168"/>
      <c r="T60" s="168"/>
      <c r="U60" s="168"/>
      <c r="V60" s="168"/>
      <c r="W60" s="168"/>
      <c r="X60" s="168"/>
      <c r="Y60" s="168"/>
      <c r="Z60" s="168"/>
      <c r="AA60" s="168"/>
    </row>
    <row r="61" customFormat="false" ht="15.75" hidden="false" customHeight="false" outlineLevel="0" collapsed="false">
      <c r="A61" s="168" t="str">
        <f aca="false">IF(ISBLANK(B61),"",B61&amp;"|"&amp;C61)</f>
        <v/>
      </c>
      <c r="B61" s="168"/>
      <c r="C61" s="168"/>
      <c r="D61" s="168"/>
      <c r="E61" s="175"/>
      <c r="F61" s="168"/>
      <c r="G61" s="168"/>
      <c r="H61" s="168"/>
      <c r="I61" s="168"/>
      <c r="J61" s="168"/>
      <c r="K61" s="168"/>
      <c r="L61" s="168"/>
      <c r="M61" s="168"/>
      <c r="N61" s="168"/>
      <c r="O61" s="168"/>
      <c r="P61" s="168"/>
      <c r="Q61" s="168"/>
      <c r="R61" s="168"/>
      <c r="S61" s="168"/>
      <c r="T61" s="168"/>
      <c r="U61" s="168"/>
      <c r="V61" s="168"/>
      <c r="W61" s="168"/>
      <c r="X61" s="168"/>
      <c r="Y61" s="168"/>
      <c r="Z61" s="168"/>
      <c r="AA61" s="168"/>
    </row>
    <row r="62" customFormat="false" ht="15.75" hidden="false" customHeight="false" outlineLevel="0" collapsed="false">
      <c r="A62" s="168" t="str">
        <f aca="false">IF(ISBLANK(B62),"",B62&amp;"|"&amp;C62)</f>
        <v/>
      </c>
      <c r="B62" s="168"/>
      <c r="C62" s="168"/>
      <c r="D62" s="168"/>
      <c r="E62" s="175"/>
      <c r="F62" s="168"/>
      <c r="G62" s="168"/>
      <c r="H62" s="168"/>
      <c r="I62" s="168"/>
      <c r="J62" s="168"/>
      <c r="K62" s="168"/>
      <c r="L62" s="168"/>
      <c r="M62" s="168"/>
      <c r="N62" s="168"/>
      <c r="O62" s="168"/>
      <c r="P62" s="168"/>
      <c r="Q62" s="168"/>
      <c r="R62" s="168"/>
      <c r="S62" s="168"/>
      <c r="T62" s="168"/>
      <c r="U62" s="168"/>
      <c r="V62" s="168"/>
      <c r="W62" s="168"/>
      <c r="X62" s="168"/>
      <c r="Y62" s="168"/>
      <c r="Z62" s="168"/>
      <c r="AA62" s="168"/>
    </row>
    <row r="63" customFormat="false" ht="15.75" hidden="false" customHeight="false" outlineLevel="0" collapsed="false">
      <c r="A63" s="168" t="str">
        <f aca="false">IF(ISBLANK(B63),"",B63&amp;"|"&amp;C63)</f>
        <v/>
      </c>
      <c r="B63" s="168"/>
      <c r="C63" s="168"/>
      <c r="D63" s="168"/>
      <c r="E63" s="175"/>
      <c r="F63" s="168"/>
      <c r="G63" s="168"/>
      <c r="H63" s="168"/>
      <c r="I63" s="168"/>
      <c r="J63" s="168"/>
      <c r="K63" s="168"/>
      <c r="L63" s="168"/>
      <c r="M63" s="168"/>
      <c r="N63" s="168"/>
      <c r="O63" s="168"/>
      <c r="P63" s="168"/>
      <c r="Q63" s="168"/>
      <c r="R63" s="168"/>
      <c r="S63" s="168"/>
      <c r="T63" s="168"/>
      <c r="U63" s="168"/>
      <c r="V63" s="168"/>
      <c r="W63" s="168"/>
      <c r="X63" s="168"/>
      <c r="Y63" s="168"/>
      <c r="Z63" s="168"/>
      <c r="AA63" s="168"/>
    </row>
    <row r="64" customFormat="false" ht="15.75" hidden="false" customHeight="false" outlineLevel="0" collapsed="false">
      <c r="A64" s="168" t="str">
        <f aca="false">IF(ISBLANK(B64),"",B64&amp;"|"&amp;C64)</f>
        <v/>
      </c>
      <c r="B64" s="168"/>
      <c r="C64" s="168"/>
      <c r="D64" s="168"/>
      <c r="E64" s="175"/>
      <c r="F64" s="168"/>
      <c r="G64" s="168"/>
      <c r="H64" s="168"/>
      <c r="I64" s="168"/>
      <c r="J64" s="168"/>
      <c r="K64" s="168"/>
      <c r="L64" s="168"/>
      <c r="M64" s="168"/>
      <c r="N64" s="168"/>
      <c r="O64" s="168"/>
      <c r="P64" s="168"/>
      <c r="Q64" s="168"/>
      <c r="R64" s="168"/>
      <c r="S64" s="168"/>
      <c r="T64" s="168"/>
      <c r="U64" s="168"/>
      <c r="V64" s="168"/>
      <c r="W64" s="168"/>
      <c r="X64" s="168"/>
      <c r="Y64" s="168"/>
      <c r="Z64" s="168"/>
      <c r="AA64" s="168"/>
    </row>
    <row r="65" customFormat="false" ht="15.75" hidden="false" customHeight="false" outlineLevel="0" collapsed="false">
      <c r="A65" s="168" t="str">
        <f aca="false">IF(ISBLANK(B65),"",B65&amp;"|"&amp;C65)</f>
        <v/>
      </c>
      <c r="B65" s="168"/>
      <c r="C65" s="168"/>
      <c r="D65" s="168"/>
      <c r="E65" s="175"/>
      <c r="F65" s="168"/>
      <c r="G65" s="168"/>
      <c r="H65" s="168"/>
      <c r="I65" s="168"/>
      <c r="J65" s="168"/>
      <c r="K65" s="168"/>
      <c r="L65" s="168"/>
      <c r="M65" s="168"/>
      <c r="N65" s="168"/>
      <c r="O65" s="168"/>
      <c r="P65" s="168"/>
      <c r="Q65" s="168"/>
      <c r="R65" s="168"/>
      <c r="S65" s="168"/>
      <c r="T65" s="168"/>
      <c r="U65" s="168"/>
      <c r="V65" s="168"/>
      <c r="W65" s="168"/>
      <c r="X65" s="168"/>
      <c r="Y65" s="168"/>
      <c r="Z65" s="168"/>
      <c r="AA65" s="168"/>
    </row>
    <row r="66" customFormat="false" ht="15.75" hidden="false" customHeight="false" outlineLevel="0" collapsed="false">
      <c r="A66" s="168" t="str">
        <f aca="false">IF(ISBLANK(B66),"",B66&amp;"|"&amp;C66)</f>
        <v/>
      </c>
      <c r="B66" s="168"/>
      <c r="C66" s="168"/>
      <c r="D66" s="168"/>
      <c r="E66" s="175"/>
      <c r="F66" s="168"/>
      <c r="G66" s="168"/>
      <c r="H66" s="168"/>
      <c r="I66" s="168"/>
      <c r="J66" s="168"/>
      <c r="K66" s="168"/>
      <c r="L66" s="168"/>
      <c r="M66" s="168"/>
      <c r="N66" s="168"/>
      <c r="O66" s="168"/>
      <c r="P66" s="168"/>
      <c r="Q66" s="168"/>
      <c r="R66" s="168"/>
      <c r="S66" s="168"/>
      <c r="T66" s="168"/>
      <c r="U66" s="168"/>
      <c r="V66" s="168"/>
      <c r="W66" s="168"/>
      <c r="X66" s="168"/>
      <c r="Y66" s="168"/>
      <c r="Z66" s="168"/>
      <c r="AA66" s="168"/>
    </row>
    <row r="67" customFormat="false" ht="15.75" hidden="false" customHeight="false" outlineLevel="0" collapsed="false">
      <c r="A67" s="168" t="str">
        <f aca="false">IF(ISBLANK(B67),"",B67&amp;"|"&amp;C67)</f>
        <v/>
      </c>
      <c r="B67" s="168"/>
      <c r="C67" s="168"/>
      <c r="D67" s="168"/>
      <c r="E67" s="175"/>
      <c r="F67" s="168"/>
      <c r="G67" s="168"/>
      <c r="H67" s="168"/>
      <c r="I67" s="168"/>
      <c r="J67" s="168"/>
      <c r="K67" s="168"/>
      <c r="L67" s="168"/>
      <c r="M67" s="168"/>
      <c r="N67" s="168"/>
      <c r="O67" s="168"/>
      <c r="P67" s="168"/>
      <c r="Q67" s="168"/>
      <c r="R67" s="168"/>
      <c r="S67" s="168"/>
      <c r="T67" s="168"/>
      <c r="U67" s="168"/>
      <c r="V67" s="168"/>
      <c r="W67" s="168"/>
      <c r="X67" s="168"/>
      <c r="Y67" s="168"/>
      <c r="Z67" s="168"/>
      <c r="AA67" s="168"/>
    </row>
    <row r="68" customFormat="false" ht="15.75" hidden="false" customHeight="false" outlineLevel="0" collapsed="false">
      <c r="A68" s="168" t="str">
        <f aca="false">IF(ISBLANK(B68),"",B68&amp;"|"&amp;C68)</f>
        <v/>
      </c>
      <c r="B68" s="168"/>
      <c r="C68" s="168"/>
      <c r="D68" s="168"/>
      <c r="E68" s="175"/>
      <c r="F68" s="168"/>
      <c r="G68" s="168"/>
      <c r="H68" s="168"/>
      <c r="I68" s="168"/>
      <c r="J68" s="168"/>
      <c r="K68" s="168"/>
      <c r="L68" s="168"/>
      <c r="M68" s="168"/>
      <c r="N68" s="168"/>
      <c r="O68" s="168"/>
      <c r="P68" s="168"/>
      <c r="Q68" s="168"/>
      <c r="R68" s="168"/>
      <c r="S68" s="168"/>
      <c r="T68" s="168"/>
      <c r="U68" s="168"/>
      <c r="V68" s="168"/>
      <c r="W68" s="168"/>
      <c r="X68" s="168"/>
      <c r="Y68" s="168"/>
      <c r="Z68" s="168"/>
      <c r="AA68" s="168"/>
    </row>
    <row r="69" customFormat="false" ht="15.75" hidden="false" customHeight="false" outlineLevel="0" collapsed="false">
      <c r="A69" s="168" t="str">
        <f aca="false">IF(ISBLANK(B69),"",B69&amp;"|"&amp;C69)</f>
        <v/>
      </c>
      <c r="B69" s="168"/>
      <c r="C69" s="168"/>
      <c r="D69" s="168"/>
      <c r="E69" s="175"/>
      <c r="F69" s="168"/>
      <c r="G69" s="168"/>
      <c r="H69" s="168"/>
      <c r="I69" s="168"/>
      <c r="J69" s="168"/>
      <c r="K69" s="168"/>
      <c r="L69" s="168"/>
      <c r="M69" s="168"/>
      <c r="N69" s="168"/>
      <c r="O69" s="168"/>
      <c r="P69" s="168"/>
      <c r="Q69" s="168"/>
      <c r="R69" s="168"/>
      <c r="S69" s="168"/>
      <c r="T69" s="168"/>
      <c r="U69" s="168"/>
      <c r="V69" s="168"/>
      <c r="W69" s="168"/>
      <c r="X69" s="168"/>
      <c r="Y69" s="168"/>
      <c r="Z69" s="168"/>
      <c r="AA69" s="168"/>
    </row>
    <row r="70" customFormat="false" ht="15.75" hidden="false" customHeight="false" outlineLevel="0" collapsed="false">
      <c r="A70" s="168" t="str">
        <f aca="false">IF(ISBLANK(B70),"",B70&amp;"|"&amp;C70)</f>
        <v/>
      </c>
      <c r="B70" s="168"/>
      <c r="C70" s="168"/>
      <c r="D70" s="168"/>
      <c r="E70" s="175"/>
      <c r="F70" s="168"/>
      <c r="G70" s="168"/>
      <c r="H70" s="168"/>
      <c r="I70" s="168"/>
      <c r="J70" s="168"/>
      <c r="K70" s="168"/>
      <c r="L70" s="168"/>
      <c r="M70" s="168"/>
      <c r="N70" s="168"/>
      <c r="O70" s="168"/>
      <c r="P70" s="168"/>
      <c r="Q70" s="168"/>
      <c r="R70" s="168"/>
      <c r="S70" s="168"/>
      <c r="T70" s="168"/>
      <c r="U70" s="168"/>
      <c r="V70" s="168"/>
      <c r="W70" s="168"/>
      <c r="X70" s="168"/>
      <c r="Y70" s="168"/>
      <c r="Z70" s="168"/>
      <c r="AA70" s="168"/>
    </row>
    <row r="71" customFormat="false" ht="15.75" hidden="false" customHeight="false" outlineLevel="0" collapsed="false">
      <c r="A71" s="168" t="str">
        <f aca="false">IF(ISBLANK(B71),"",B71&amp;"|"&amp;C71)</f>
        <v/>
      </c>
      <c r="B71" s="168"/>
      <c r="C71" s="168"/>
      <c r="D71" s="168"/>
      <c r="E71" s="175"/>
      <c r="F71" s="168"/>
      <c r="G71" s="168"/>
      <c r="H71" s="168"/>
      <c r="I71" s="168"/>
      <c r="J71" s="168"/>
      <c r="K71" s="168"/>
      <c r="L71" s="168"/>
      <c r="M71" s="168"/>
      <c r="N71" s="168"/>
      <c r="O71" s="168"/>
      <c r="P71" s="168"/>
      <c r="Q71" s="168"/>
      <c r="R71" s="168"/>
      <c r="S71" s="168"/>
      <c r="T71" s="168"/>
      <c r="U71" s="168"/>
      <c r="V71" s="168"/>
      <c r="W71" s="168"/>
      <c r="X71" s="168"/>
      <c r="Y71" s="168"/>
      <c r="Z71" s="168"/>
      <c r="AA71" s="168"/>
    </row>
    <row r="72" customFormat="false" ht="15.75" hidden="false" customHeight="false" outlineLevel="0" collapsed="false">
      <c r="A72" s="168" t="str">
        <f aca="false">IF(ISBLANK(B72),"",B72&amp;"|"&amp;C72)</f>
        <v/>
      </c>
      <c r="B72" s="168"/>
      <c r="C72" s="168"/>
      <c r="D72" s="168"/>
      <c r="E72" s="175"/>
      <c r="F72" s="168"/>
      <c r="G72" s="168"/>
      <c r="H72" s="168"/>
      <c r="I72" s="168"/>
      <c r="J72" s="168"/>
      <c r="K72" s="168"/>
      <c r="L72" s="168"/>
      <c r="M72" s="168"/>
      <c r="N72" s="168"/>
      <c r="O72" s="168"/>
      <c r="P72" s="168"/>
      <c r="Q72" s="168"/>
      <c r="R72" s="168"/>
      <c r="S72" s="168"/>
      <c r="T72" s="168"/>
      <c r="U72" s="168"/>
      <c r="V72" s="168"/>
      <c r="W72" s="168"/>
      <c r="X72" s="168"/>
      <c r="Y72" s="168"/>
      <c r="Z72" s="168"/>
      <c r="AA72" s="168"/>
    </row>
    <row r="73" customFormat="false" ht="15.75" hidden="false" customHeight="false" outlineLevel="0" collapsed="false">
      <c r="A73" s="168" t="str">
        <f aca="false">IF(ISBLANK(B73),"",B73&amp;"|"&amp;C73)</f>
        <v/>
      </c>
      <c r="B73" s="168"/>
      <c r="C73" s="168"/>
      <c r="D73" s="168"/>
      <c r="E73" s="175"/>
      <c r="F73" s="168"/>
      <c r="G73" s="168"/>
      <c r="H73" s="168"/>
      <c r="I73" s="168"/>
      <c r="J73" s="168"/>
      <c r="K73" s="168"/>
      <c r="L73" s="168"/>
      <c r="M73" s="168"/>
      <c r="N73" s="168"/>
      <c r="O73" s="168"/>
      <c r="P73" s="168"/>
      <c r="Q73" s="168"/>
      <c r="R73" s="168"/>
      <c r="S73" s="168"/>
      <c r="T73" s="168"/>
      <c r="U73" s="168"/>
      <c r="V73" s="168"/>
      <c r="W73" s="168"/>
      <c r="X73" s="168"/>
      <c r="Y73" s="168"/>
      <c r="Z73" s="168"/>
      <c r="AA73" s="168"/>
    </row>
    <row r="74" customFormat="false" ht="15.75" hidden="false" customHeight="false" outlineLevel="0" collapsed="false">
      <c r="A74" s="168" t="str">
        <f aca="false">IF(ISBLANK(B74),"",B74&amp;"|"&amp;C74)</f>
        <v/>
      </c>
      <c r="B74" s="168"/>
      <c r="C74" s="168"/>
      <c r="D74" s="168"/>
      <c r="E74" s="175"/>
      <c r="F74" s="168"/>
      <c r="G74" s="168"/>
      <c r="H74" s="168"/>
      <c r="I74" s="168"/>
      <c r="J74" s="168"/>
      <c r="K74" s="168"/>
      <c r="L74" s="168"/>
      <c r="M74" s="168"/>
      <c r="N74" s="168"/>
      <c r="O74" s="168"/>
      <c r="P74" s="168"/>
      <c r="Q74" s="168"/>
      <c r="R74" s="168"/>
      <c r="S74" s="168"/>
      <c r="T74" s="168"/>
      <c r="U74" s="168"/>
      <c r="V74" s="168"/>
      <c r="W74" s="168"/>
      <c r="X74" s="168"/>
      <c r="Y74" s="168"/>
      <c r="Z74" s="168"/>
      <c r="AA74" s="168"/>
    </row>
    <row r="75" customFormat="false" ht="15.75" hidden="false" customHeight="false" outlineLevel="0" collapsed="false">
      <c r="A75" s="168" t="str">
        <f aca="false">IF(ISBLANK(B75),"",B75&amp;"|"&amp;C75)</f>
        <v/>
      </c>
      <c r="B75" s="168"/>
      <c r="C75" s="168"/>
      <c r="D75" s="168"/>
      <c r="E75" s="175"/>
      <c r="F75" s="168"/>
      <c r="G75" s="168"/>
      <c r="H75" s="168"/>
      <c r="I75" s="168"/>
      <c r="J75" s="168"/>
      <c r="K75" s="168"/>
      <c r="L75" s="168"/>
      <c r="M75" s="168"/>
      <c r="N75" s="168"/>
      <c r="O75" s="168"/>
      <c r="P75" s="168"/>
      <c r="Q75" s="168"/>
      <c r="R75" s="168"/>
      <c r="S75" s="168"/>
      <c r="T75" s="168"/>
      <c r="U75" s="168"/>
      <c r="V75" s="168"/>
      <c r="W75" s="168"/>
      <c r="X75" s="168"/>
      <c r="Y75" s="168"/>
      <c r="Z75" s="168"/>
      <c r="AA75" s="168"/>
    </row>
    <row r="76" customFormat="false" ht="15.75" hidden="false" customHeight="false" outlineLevel="0" collapsed="false">
      <c r="A76" s="168" t="str">
        <f aca="false">IF(ISBLANK(B76),"",B76&amp;"|"&amp;C76)</f>
        <v/>
      </c>
      <c r="B76" s="168"/>
      <c r="C76" s="168"/>
      <c r="D76" s="168"/>
      <c r="E76" s="175"/>
      <c r="F76" s="168"/>
      <c r="G76" s="168"/>
      <c r="H76" s="168"/>
      <c r="I76" s="168"/>
      <c r="J76" s="168"/>
      <c r="K76" s="168"/>
      <c r="L76" s="168"/>
      <c r="M76" s="168"/>
      <c r="N76" s="168"/>
      <c r="O76" s="168"/>
      <c r="P76" s="168"/>
      <c r="Q76" s="168"/>
      <c r="R76" s="168"/>
      <c r="S76" s="168"/>
      <c r="T76" s="168"/>
      <c r="U76" s="168"/>
      <c r="V76" s="168"/>
      <c r="W76" s="168"/>
      <c r="X76" s="168"/>
      <c r="Y76" s="168"/>
      <c r="Z76" s="168"/>
      <c r="AA76" s="168"/>
    </row>
    <row r="77" customFormat="false" ht="15.75" hidden="false" customHeight="false" outlineLevel="0" collapsed="false">
      <c r="A77" s="168" t="str">
        <f aca="false">IF(ISBLANK(B77),"",B77&amp;"|"&amp;C77)</f>
        <v/>
      </c>
      <c r="B77" s="168"/>
      <c r="C77" s="168"/>
      <c r="D77" s="168"/>
      <c r="E77" s="175"/>
      <c r="F77" s="168"/>
      <c r="G77" s="168"/>
      <c r="H77" s="168"/>
      <c r="I77" s="168"/>
      <c r="J77" s="168"/>
      <c r="K77" s="168"/>
      <c r="L77" s="168"/>
      <c r="M77" s="168"/>
      <c r="N77" s="168"/>
      <c r="O77" s="168"/>
      <c r="P77" s="168"/>
      <c r="Q77" s="168"/>
      <c r="R77" s="168"/>
      <c r="S77" s="168"/>
      <c r="T77" s="168"/>
      <c r="U77" s="168"/>
      <c r="V77" s="168"/>
      <c r="W77" s="168"/>
      <c r="X77" s="168"/>
      <c r="Y77" s="168"/>
      <c r="Z77" s="168"/>
      <c r="AA77" s="168"/>
    </row>
    <row r="78" customFormat="false" ht="15.75" hidden="false" customHeight="false" outlineLevel="0" collapsed="false">
      <c r="A78" s="168" t="str">
        <f aca="false">IF(ISBLANK(B78),"",B78&amp;"|"&amp;C78)</f>
        <v/>
      </c>
      <c r="B78" s="168"/>
      <c r="C78" s="168"/>
      <c r="D78" s="168"/>
      <c r="E78" s="175"/>
      <c r="F78" s="168"/>
      <c r="G78" s="168"/>
      <c r="H78" s="168"/>
      <c r="I78" s="168"/>
      <c r="J78" s="168"/>
      <c r="K78" s="168"/>
      <c r="L78" s="168"/>
      <c r="M78" s="168"/>
      <c r="N78" s="168"/>
      <c r="O78" s="168"/>
      <c r="P78" s="168"/>
      <c r="Q78" s="168"/>
      <c r="R78" s="168"/>
      <c r="S78" s="168"/>
      <c r="T78" s="168"/>
      <c r="U78" s="168"/>
      <c r="V78" s="168"/>
      <c r="W78" s="168"/>
      <c r="X78" s="168"/>
      <c r="Y78" s="168"/>
      <c r="Z78" s="168"/>
      <c r="AA78" s="168"/>
    </row>
    <row r="79" customFormat="false" ht="15.75" hidden="false" customHeight="false" outlineLevel="0" collapsed="false">
      <c r="A79" s="168" t="str">
        <f aca="false">IF(ISBLANK(B79),"",B79&amp;"|"&amp;C79)</f>
        <v/>
      </c>
      <c r="B79" s="168"/>
      <c r="C79" s="168"/>
      <c r="D79" s="168"/>
      <c r="E79" s="175"/>
      <c r="F79" s="168"/>
      <c r="G79" s="168"/>
      <c r="H79" s="168"/>
      <c r="I79" s="168"/>
      <c r="J79" s="168"/>
      <c r="K79" s="168"/>
      <c r="L79" s="168"/>
      <c r="M79" s="168"/>
      <c r="N79" s="168"/>
      <c r="O79" s="168"/>
      <c r="P79" s="168"/>
      <c r="Q79" s="168"/>
      <c r="R79" s="168"/>
      <c r="S79" s="168"/>
      <c r="T79" s="168"/>
      <c r="U79" s="168"/>
      <c r="V79" s="168"/>
      <c r="W79" s="168"/>
      <c r="X79" s="168"/>
      <c r="Y79" s="168"/>
      <c r="Z79" s="168"/>
      <c r="AA79" s="168"/>
    </row>
    <row r="80" customFormat="false" ht="15.75" hidden="false" customHeight="false" outlineLevel="0" collapsed="false">
      <c r="A80" s="168" t="str">
        <f aca="false">IF(ISBLANK(B80),"",B80&amp;"|"&amp;C80)</f>
        <v/>
      </c>
      <c r="B80" s="168"/>
      <c r="C80" s="168"/>
      <c r="D80" s="168"/>
      <c r="E80" s="175"/>
      <c r="F80" s="168"/>
      <c r="G80" s="168"/>
      <c r="H80" s="168"/>
      <c r="I80" s="168"/>
      <c r="J80" s="168"/>
      <c r="K80" s="168"/>
      <c r="L80" s="168"/>
      <c r="M80" s="168"/>
      <c r="N80" s="168"/>
      <c r="O80" s="168"/>
      <c r="P80" s="168"/>
      <c r="Q80" s="168"/>
      <c r="R80" s="168"/>
      <c r="S80" s="168"/>
      <c r="T80" s="168"/>
      <c r="U80" s="168"/>
      <c r="V80" s="168"/>
      <c r="W80" s="168"/>
      <c r="X80" s="168"/>
      <c r="Y80" s="168"/>
      <c r="Z80" s="168"/>
      <c r="AA80" s="168"/>
    </row>
    <row r="81" customFormat="false" ht="15.75" hidden="false" customHeight="false" outlineLevel="0" collapsed="false">
      <c r="A81" s="168" t="str">
        <f aca="false">IF(ISBLANK(B81),"",B81&amp;"|"&amp;C81)</f>
        <v/>
      </c>
      <c r="B81" s="168"/>
      <c r="C81" s="168"/>
      <c r="D81" s="168"/>
      <c r="E81" s="175"/>
      <c r="F81" s="168"/>
      <c r="G81" s="168"/>
      <c r="H81" s="168"/>
      <c r="I81" s="168"/>
      <c r="J81" s="168"/>
      <c r="K81" s="168"/>
      <c r="L81" s="168"/>
      <c r="M81" s="168"/>
      <c r="N81" s="168"/>
      <c r="O81" s="168"/>
      <c r="P81" s="168"/>
      <c r="Q81" s="168"/>
      <c r="R81" s="168"/>
      <c r="S81" s="168"/>
      <c r="T81" s="168"/>
      <c r="U81" s="168"/>
      <c r="V81" s="168"/>
      <c r="W81" s="168"/>
      <c r="X81" s="168"/>
      <c r="Y81" s="168"/>
      <c r="Z81" s="168"/>
      <c r="AA81" s="168"/>
    </row>
    <row r="82" customFormat="false" ht="15.75" hidden="false" customHeight="false" outlineLevel="0" collapsed="false">
      <c r="A82" s="168" t="str">
        <f aca="false">IF(ISBLANK(B82),"",B82&amp;"|"&amp;C82)</f>
        <v/>
      </c>
      <c r="B82" s="168"/>
      <c r="C82" s="168"/>
      <c r="D82" s="168"/>
      <c r="E82" s="175"/>
      <c r="F82" s="168"/>
      <c r="G82" s="168"/>
      <c r="H82" s="168"/>
      <c r="I82" s="168"/>
      <c r="J82" s="168"/>
      <c r="K82" s="168"/>
      <c r="L82" s="168"/>
      <c r="M82" s="168"/>
      <c r="N82" s="168"/>
      <c r="O82" s="168"/>
      <c r="P82" s="168"/>
      <c r="Q82" s="168"/>
      <c r="R82" s="168"/>
      <c r="S82" s="168"/>
      <c r="T82" s="168"/>
      <c r="U82" s="168"/>
      <c r="V82" s="168"/>
      <c r="W82" s="168"/>
      <c r="X82" s="168"/>
      <c r="Y82" s="168"/>
      <c r="Z82" s="168"/>
      <c r="AA82" s="168"/>
    </row>
    <row r="83" customFormat="false" ht="15.75" hidden="false" customHeight="false" outlineLevel="0" collapsed="false">
      <c r="A83" s="168" t="str">
        <f aca="false">IF(ISBLANK(B83),"",B83&amp;"|"&amp;C83)</f>
        <v/>
      </c>
      <c r="B83" s="168"/>
      <c r="C83" s="168"/>
      <c r="D83" s="168"/>
      <c r="E83" s="175"/>
      <c r="F83" s="168"/>
      <c r="G83" s="168"/>
      <c r="H83" s="168"/>
      <c r="I83" s="168"/>
      <c r="J83" s="168"/>
      <c r="K83" s="168"/>
      <c r="L83" s="168"/>
      <c r="M83" s="168"/>
      <c r="N83" s="168"/>
      <c r="O83" s="168"/>
      <c r="P83" s="168"/>
      <c r="Q83" s="168"/>
      <c r="R83" s="168"/>
      <c r="S83" s="168"/>
      <c r="T83" s="168"/>
      <c r="U83" s="168"/>
      <c r="V83" s="168"/>
      <c r="W83" s="168"/>
      <c r="X83" s="168"/>
      <c r="Y83" s="168"/>
      <c r="Z83" s="168"/>
      <c r="AA83" s="168"/>
    </row>
    <row r="84" customFormat="false" ht="15.75" hidden="false" customHeight="false" outlineLevel="0" collapsed="false">
      <c r="A84" s="168" t="str">
        <f aca="false">IF(ISBLANK(B84),"",B84&amp;"|"&amp;C84)</f>
        <v/>
      </c>
      <c r="B84" s="168"/>
      <c r="C84" s="168"/>
      <c r="D84" s="168"/>
      <c r="E84" s="175"/>
      <c r="F84" s="168"/>
      <c r="G84" s="168"/>
      <c r="H84" s="168"/>
      <c r="I84" s="168"/>
      <c r="J84" s="168"/>
      <c r="K84" s="168"/>
      <c r="L84" s="168"/>
      <c r="M84" s="168"/>
      <c r="N84" s="168"/>
      <c r="O84" s="168"/>
      <c r="P84" s="168"/>
      <c r="Q84" s="168"/>
      <c r="R84" s="168"/>
      <c r="S84" s="168"/>
      <c r="T84" s="168"/>
      <c r="U84" s="168"/>
      <c r="V84" s="168"/>
      <c r="W84" s="168"/>
      <c r="X84" s="168"/>
      <c r="Y84" s="168"/>
      <c r="Z84" s="168"/>
      <c r="AA84" s="168"/>
    </row>
    <row r="85" customFormat="false" ht="15.75" hidden="false" customHeight="false" outlineLevel="0" collapsed="false">
      <c r="A85" s="168" t="str">
        <f aca="false">IF(ISBLANK(B85),"",B85&amp;"|"&amp;C85)</f>
        <v/>
      </c>
      <c r="B85" s="168"/>
      <c r="C85" s="168"/>
      <c r="D85" s="168"/>
      <c r="E85" s="175"/>
      <c r="F85" s="168"/>
      <c r="G85" s="168"/>
      <c r="H85" s="168"/>
      <c r="I85" s="168"/>
      <c r="J85" s="168"/>
      <c r="K85" s="168"/>
      <c r="L85" s="168"/>
      <c r="M85" s="168"/>
      <c r="N85" s="168"/>
      <c r="O85" s="168"/>
      <c r="P85" s="168"/>
      <c r="Q85" s="168"/>
      <c r="R85" s="168"/>
      <c r="S85" s="168"/>
      <c r="T85" s="168"/>
      <c r="U85" s="168"/>
      <c r="V85" s="168"/>
      <c r="W85" s="168"/>
      <c r="X85" s="168"/>
      <c r="Y85" s="168"/>
      <c r="Z85" s="168"/>
      <c r="AA85" s="168"/>
    </row>
    <row r="86" customFormat="false" ht="15.75" hidden="false" customHeight="false" outlineLevel="0" collapsed="false">
      <c r="A86" s="168" t="str">
        <f aca="false">IF(ISBLANK(B86),"",B86&amp;"|"&amp;C86)</f>
        <v/>
      </c>
      <c r="B86" s="168"/>
      <c r="C86" s="168"/>
      <c r="D86" s="168"/>
      <c r="E86" s="175"/>
      <c r="F86" s="168"/>
      <c r="G86" s="168"/>
      <c r="H86" s="168"/>
      <c r="I86" s="168"/>
      <c r="J86" s="168"/>
      <c r="K86" s="168"/>
      <c r="L86" s="168"/>
      <c r="M86" s="168"/>
      <c r="N86" s="168"/>
      <c r="O86" s="168"/>
      <c r="P86" s="168"/>
      <c r="Q86" s="168"/>
      <c r="R86" s="168"/>
      <c r="S86" s="168"/>
      <c r="T86" s="168"/>
      <c r="U86" s="168"/>
      <c r="V86" s="168"/>
      <c r="W86" s="168"/>
      <c r="X86" s="168"/>
      <c r="Y86" s="168"/>
      <c r="Z86" s="168"/>
      <c r="AA86" s="168"/>
    </row>
    <row r="87" customFormat="false" ht="15.75" hidden="false" customHeight="false" outlineLevel="0" collapsed="false">
      <c r="A87" s="168" t="str">
        <f aca="false">IF(ISBLANK(B87),"",B87&amp;"|"&amp;C87)</f>
        <v/>
      </c>
      <c r="B87" s="168"/>
      <c r="C87" s="168"/>
      <c r="D87" s="168"/>
      <c r="E87" s="175"/>
      <c r="F87" s="168"/>
      <c r="G87" s="168"/>
      <c r="H87" s="168"/>
      <c r="I87" s="168"/>
      <c r="J87" s="168"/>
      <c r="K87" s="168"/>
      <c r="L87" s="168"/>
      <c r="M87" s="168"/>
      <c r="N87" s="168"/>
      <c r="O87" s="168"/>
      <c r="P87" s="168"/>
      <c r="Q87" s="168"/>
      <c r="R87" s="168"/>
      <c r="S87" s="168"/>
      <c r="T87" s="168"/>
      <c r="U87" s="168"/>
      <c r="V87" s="168"/>
      <c r="W87" s="168"/>
      <c r="X87" s="168"/>
      <c r="Y87" s="168"/>
      <c r="Z87" s="168"/>
      <c r="AA87" s="168"/>
    </row>
    <row r="88" customFormat="false" ht="15.75" hidden="false" customHeight="false" outlineLevel="0" collapsed="false">
      <c r="A88" s="168" t="str">
        <f aca="false">IF(ISBLANK(B88),"",B88&amp;"|"&amp;C88)</f>
        <v/>
      </c>
      <c r="B88" s="168"/>
      <c r="C88" s="168"/>
      <c r="D88" s="168"/>
      <c r="E88" s="175"/>
      <c r="F88" s="168"/>
      <c r="G88" s="168"/>
      <c r="H88" s="168"/>
      <c r="I88" s="168"/>
      <c r="J88" s="168"/>
      <c r="K88" s="168"/>
      <c r="L88" s="168"/>
      <c r="M88" s="168"/>
      <c r="N88" s="168"/>
      <c r="O88" s="168"/>
      <c r="P88" s="168"/>
      <c r="Q88" s="168"/>
      <c r="R88" s="168"/>
      <c r="S88" s="168"/>
      <c r="T88" s="168"/>
      <c r="U88" s="168"/>
      <c r="V88" s="168"/>
      <c r="W88" s="168"/>
      <c r="X88" s="168"/>
      <c r="Y88" s="168"/>
      <c r="Z88" s="168"/>
      <c r="AA88" s="168"/>
    </row>
    <row r="89" customFormat="false" ht="15.75" hidden="false" customHeight="false" outlineLevel="0" collapsed="false">
      <c r="A89" s="168" t="str">
        <f aca="false">IF(ISBLANK(B89),"",B89&amp;"|"&amp;C89)</f>
        <v/>
      </c>
      <c r="B89" s="168"/>
      <c r="C89" s="168"/>
      <c r="D89" s="168"/>
      <c r="E89" s="175"/>
      <c r="F89" s="168"/>
      <c r="G89" s="168"/>
      <c r="H89" s="168"/>
      <c r="I89" s="168"/>
      <c r="J89" s="168"/>
      <c r="K89" s="168"/>
      <c r="L89" s="168"/>
      <c r="M89" s="168"/>
      <c r="N89" s="168"/>
      <c r="O89" s="168"/>
      <c r="P89" s="168"/>
      <c r="Q89" s="168"/>
      <c r="R89" s="168"/>
      <c r="S89" s="168"/>
      <c r="T89" s="168"/>
      <c r="U89" s="168"/>
      <c r="V89" s="168"/>
      <c r="W89" s="168"/>
      <c r="X89" s="168"/>
      <c r="Y89" s="168"/>
      <c r="Z89" s="168"/>
      <c r="AA89" s="168"/>
    </row>
    <row r="90" customFormat="false" ht="15.75" hidden="false" customHeight="false" outlineLevel="0" collapsed="false">
      <c r="A90" s="168" t="str">
        <f aca="false">IF(ISBLANK(B90),"",B90&amp;"|"&amp;C90)</f>
        <v/>
      </c>
      <c r="B90" s="168"/>
      <c r="C90" s="168"/>
      <c r="D90" s="168"/>
      <c r="E90" s="175"/>
      <c r="F90" s="168"/>
      <c r="G90" s="168"/>
      <c r="H90" s="168"/>
      <c r="I90" s="168"/>
      <c r="J90" s="168"/>
      <c r="K90" s="168"/>
      <c r="L90" s="168"/>
      <c r="M90" s="168"/>
      <c r="N90" s="168"/>
      <c r="O90" s="168"/>
      <c r="P90" s="168"/>
      <c r="Q90" s="168"/>
      <c r="R90" s="168"/>
      <c r="S90" s="168"/>
      <c r="T90" s="168"/>
      <c r="U90" s="168"/>
      <c r="V90" s="168"/>
      <c r="W90" s="168"/>
      <c r="X90" s="168"/>
      <c r="Y90" s="168"/>
      <c r="Z90" s="168"/>
      <c r="AA90" s="168"/>
    </row>
    <row r="91" customFormat="false" ht="15.75" hidden="false" customHeight="false" outlineLevel="0" collapsed="false">
      <c r="A91" s="168" t="str">
        <f aca="false">IF(ISBLANK(B91),"",B91&amp;"|"&amp;C91)</f>
        <v/>
      </c>
      <c r="B91" s="168"/>
      <c r="C91" s="168"/>
      <c r="D91" s="168"/>
      <c r="E91" s="175"/>
      <c r="F91" s="168"/>
      <c r="G91" s="168"/>
      <c r="H91" s="168"/>
      <c r="I91" s="168"/>
      <c r="J91" s="168"/>
      <c r="K91" s="168"/>
      <c r="L91" s="168"/>
      <c r="M91" s="168"/>
      <c r="N91" s="168"/>
      <c r="O91" s="168"/>
      <c r="P91" s="168"/>
      <c r="Q91" s="168"/>
      <c r="R91" s="168"/>
      <c r="S91" s="168"/>
      <c r="T91" s="168"/>
      <c r="U91" s="168"/>
      <c r="V91" s="168"/>
      <c r="W91" s="168"/>
      <c r="X91" s="168"/>
      <c r="Y91" s="168"/>
      <c r="Z91" s="168"/>
      <c r="AA91" s="168"/>
    </row>
    <row r="92" customFormat="false" ht="15.75" hidden="false" customHeight="false" outlineLevel="0" collapsed="false">
      <c r="A92" s="168" t="str">
        <f aca="false">IF(ISBLANK(B92),"",B92&amp;"|"&amp;C92)</f>
        <v/>
      </c>
      <c r="B92" s="168"/>
      <c r="C92" s="168"/>
      <c r="D92" s="168"/>
      <c r="E92" s="175"/>
      <c r="F92" s="168"/>
      <c r="G92" s="168"/>
      <c r="H92" s="168"/>
      <c r="I92" s="168"/>
      <c r="J92" s="168"/>
      <c r="K92" s="168"/>
      <c r="L92" s="168"/>
      <c r="M92" s="168"/>
      <c r="N92" s="168"/>
      <c r="O92" s="168"/>
      <c r="P92" s="168"/>
      <c r="Q92" s="168"/>
      <c r="R92" s="168"/>
      <c r="S92" s="168"/>
      <c r="T92" s="168"/>
      <c r="U92" s="168"/>
      <c r="V92" s="168"/>
      <c r="W92" s="168"/>
      <c r="X92" s="168"/>
      <c r="Y92" s="168"/>
      <c r="Z92" s="168"/>
      <c r="AA92" s="168"/>
    </row>
    <row r="93" customFormat="false" ht="15.75" hidden="false" customHeight="false" outlineLevel="0" collapsed="false">
      <c r="A93" s="168" t="str">
        <f aca="false">IF(ISBLANK(B93),"",B93&amp;"|"&amp;C93)</f>
        <v/>
      </c>
      <c r="B93" s="168"/>
      <c r="C93" s="168"/>
      <c r="D93" s="168"/>
      <c r="E93" s="175"/>
      <c r="F93" s="168"/>
      <c r="G93" s="168"/>
      <c r="H93" s="168"/>
      <c r="I93" s="168"/>
      <c r="J93" s="168"/>
      <c r="K93" s="168"/>
      <c r="L93" s="168"/>
      <c r="M93" s="168"/>
      <c r="N93" s="168"/>
      <c r="O93" s="168"/>
      <c r="P93" s="168"/>
      <c r="Q93" s="168"/>
      <c r="R93" s="168"/>
      <c r="S93" s="168"/>
      <c r="T93" s="168"/>
      <c r="U93" s="168"/>
      <c r="V93" s="168"/>
      <c r="W93" s="168"/>
      <c r="X93" s="168"/>
      <c r="Y93" s="168"/>
      <c r="Z93" s="168"/>
      <c r="AA93" s="168"/>
    </row>
    <row r="94" customFormat="false" ht="15.75" hidden="false" customHeight="false" outlineLevel="0" collapsed="false">
      <c r="A94" s="168" t="str">
        <f aca="false">IF(ISBLANK(B94),"",B94&amp;"|"&amp;C94)</f>
        <v/>
      </c>
      <c r="B94" s="168"/>
      <c r="C94" s="168"/>
      <c r="D94" s="168"/>
      <c r="E94" s="175"/>
      <c r="F94" s="168"/>
      <c r="G94" s="168"/>
      <c r="H94" s="168"/>
      <c r="I94" s="168"/>
      <c r="J94" s="168"/>
      <c r="K94" s="168"/>
      <c r="L94" s="168"/>
      <c r="M94" s="168"/>
      <c r="N94" s="168"/>
      <c r="O94" s="168"/>
      <c r="P94" s="168"/>
      <c r="Q94" s="168"/>
      <c r="R94" s="168"/>
      <c r="S94" s="168"/>
      <c r="T94" s="168"/>
      <c r="U94" s="168"/>
      <c r="V94" s="168"/>
      <c r="W94" s="168"/>
      <c r="X94" s="168"/>
      <c r="Y94" s="168"/>
      <c r="Z94" s="168"/>
      <c r="AA94" s="168"/>
    </row>
    <row r="95" customFormat="false" ht="15.75" hidden="false" customHeight="false" outlineLevel="0" collapsed="false">
      <c r="A95" s="168" t="str">
        <f aca="false">IF(ISBLANK(B95),"",B95&amp;"|"&amp;C95)</f>
        <v/>
      </c>
      <c r="B95" s="168"/>
      <c r="C95" s="168"/>
      <c r="D95" s="168"/>
      <c r="E95" s="175"/>
      <c r="F95" s="168"/>
      <c r="G95" s="168"/>
      <c r="H95" s="168"/>
      <c r="I95" s="168"/>
      <c r="J95" s="168"/>
      <c r="K95" s="168"/>
      <c r="L95" s="168"/>
      <c r="M95" s="168"/>
      <c r="N95" s="168"/>
      <c r="O95" s="168"/>
      <c r="P95" s="168"/>
      <c r="Q95" s="168"/>
      <c r="R95" s="168"/>
      <c r="S95" s="168"/>
      <c r="T95" s="168"/>
      <c r="U95" s="168"/>
      <c r="V95" s="168"/>
      <c r="W95" s="168"/>
      <c r="X95" s="168"/>
      <c r="Y95" s="168"/>
      <c r="Z95" s="168"/>
      <c r="AA95" s="168"/>
    </row>
    <row r="96" customFormat="false" ht="15.75" hidden="false" customHeight="false" outlineLevel="0" collapsed="false">
      <c r="A96" s="168" t="str">
        <f aca="false">IF(ISBLANK(B96),"",B96&amp;"|"&amp;C96)</f>
        <v/>
      </c>
      <c r="B96" s="168"/>
      <c r="C96" s="168"/>
      <c r="D96" s="168"/>
      <c r="E96" s="175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8"/>
      <c r="S96" s="168"/>
      <c r="T96" s="168"/>
      <c r="U96" s="168"/>
      <c r="V96" s="168"/>
      <c r="W96" s="168"/>
      <c r="X96" s="168"/>
      <c r="Y96" s="168"/>
      <c r="Z96" s="168"/>
      <c r="AA96" s="168"/>
    </row>
    <row r="97" customFormat="false" ht="15.75" hidden="false" customHeight="false" outlineLevel="0" collapsed="false">
      <c r="A97" s="168" t="str">
        <f aca="false">IF(ISBLANK(B97),"",B97&amp;"|"&amp;C97)</f>
        <v/>
      </c>
      <c r="B97" s="168"/>
      <c r="C97" s="168"/>
      <c r="D97" s="168"/>
      <c r="E97" s="175"/>
      <c r="F97" s="168"/>
      <c r="G97" s="168"/>
      <c r="H97" s="168"/>
      <c r="I97" s="168"/>
      <c r="J97" s="168"/>
      <c r="K97" s="168"/>
      <c r="L97" s="168"/>
      <c r="M97" s="168"/>
      <c r="N97" s="168"/>
      <c r="O97" s="168"/>
      <c r="P97" s="168"/>
      <c r="Q97" s="168"/>
      <c r="R97" s="168"/>
      <c r="S97" s="168"/>
      <c r="T97" s="168"/>
      <c r="U97" s="168"/>
      <c r="V97" s="168"/>
      <c r="W97" s="168"/>
      <c r="X97" s="168"/>
      <c r="Y97" s="168"/>
      <c r="Z97" s="168"/>
      <c r="AA97" s="168"/>
    </row>
    <row r="98" customFormat="false" ht="15.75" hidden="false" customHeight="false" outlineLevel="0" collapsed="false">
      <c r="A98" s="168" t="str">
        <f aca="false">IF(ISBLANK(B98),"",B98&amp;"|"&amp;C98)</f>
        <v/>
      </c>
      <c r="B98" s="168"/>
      <c r="C98" s="168"/>
      <c r="D98" s="168"/>
      <c r="E98" s="175"/>
      <c r="F98" s="168"/>
      <c r="G98" s="168"/>
      <c r="H98" s="168"/>
      <c r="I98" s="168"/>
      <c r="J98" s="168"/>
      <c r="K98" s="168"/>
      <c r="L98" s="168"/>
      <c r="M98" s="168"/>
      <c r="N98" s="168"/>
      <c r="O98" s="168"/>
      <c r="P98" s="168"/>
      <c r="Q98" s="168"/>
      <c r="R98" s="168"/>
      <c r="S98" s="168"/>
      <c r="T98" s="168"/>
      <c r="U98" s="168"/>
      <c r="V98" s="168"/>
      <c r="W98" s="168"/>
      <c r="X98" s="168"/>
      <c r="Y98" s="168"/>
      <c r="Z98" s="168"/>
      <c r="AA98" s="168"/>
    </row>
    <row r="99" customFormat="false" ht="15.75" hidden="false" customHeight="false" outlineLevel="0" collapsed="false">
      <c r="A99" s="168" t="str">
        <f aca="false">IF(ISBLANK(B99),"",B99&amp;"|"&amp;C99)</f>
        <v/>
      </c>
      <c r="B99" s="168"/>
      <c r="C99" s="168"/>
      <c r="D99" s="168"/>
      <c r="E99" s="175"/>
      <c r="F99" s="168"/>
      <c r="G99" s="168"/>
      <c r="H99" s="168"/>
      <c r="I99" s="168"/>
      <c r="J99" s="168"/>
      <c r="K99" s="168"/>
      <c r="L99" s="168"/>
      <c r="M99" s="168"/>
      <c r="N99" s="168"/>
      <c r="O99" s="168"/>
      <c r="P99" s="168"/>
      <c r="Q99" s="168"/>
      <c r="R99" s="168"/>
      <c r="S99" s="168"/>
      <c r="T99" s="168"/>
      <c r="U99" s="168"/>
      <c r="V99" s="168"/>
      <c r="W99" s="168"/>
      <c r="X99" s="168"/>
      <c r="Y99" s="168"/>
      <c r="Z99" s="168"/>
      <c r="AA99" s="168"/>
    </row>
    <row r="100" customFormat="false" ht="15.75" hidden="false" customHeight="false" outlineLevel="0" collapsed="false">
      <c r="A100" s="168" t="str">
        <f aca="false">IF(ISBLANK(B100),"",B100&amp;"|"&amp;C100)</f>
        <v/>
      </c>
      <c r="B100" s="168"/>
      <c r="C100" s="168"/>
      <c r="D100" s="168"/>
      <c r="E100" s="175"/>
      <c r="F100" s="168"/>
      <c r="G100" s="168"/>
      <c r="H100" s="168"/>
      <c r="I100" s="168"/>
      <c r="J100" s="168"/>
      <c r="K100" s="168"/>
      <c r="L100" s="168"/>
      <c r="M100" s="168"/>
      <c r="N100" s="168"/>
      <c r="O100" s="168"/>
      <c r="P100" s="168"/>
      <c r="Q100" s="168"/>
      <c r="R100" s="168"/>
      <c r="S100" s="168"/>
      <c r="T100" s="168"/>
      <c r="U100" s="168"/>
      <c r="V100" s="168"/>
      <c r="W100" s="168"/>
      <c r="X100" s="168"/>
      <c r="Y100" s="168"/>
      <c r="Z100" s="168"/>
      <c r="AA100" s="168"/>
    </row>
    <row r="101" customFormat="false" ht="15.75" hidden="false" customHeight="false" outlineLevel="0" collapsed="false">
      <c r="A101" s="168" t="str">
        <f aca="false">IF(ISBLANK(B101),"",B101&amp;"|"&amp;C101)</f>
        <v/>
      </c>
      <c r="B101" s="168"/>
      <c r="C101" s="168"/>
      <c r="D101" s="168"/>
      <c r="E101" s="175"/>
      <c r="F101" s="168"/>
      <c r="G101" s="168"/>
      <c r="H101" s="168"/>
      <c r="I101" s="168"/>
      <c r="J101" s="168"/>
      <c r="K101" s="168"/>
      <c r="L101" s="168"/>
      <c r="M101" s="168"/>
      <c r="N101" s="168"/>
      <c r="O101" s="168"/>
      <c r="P101" s="168"/>
      <c r="Q101" s="168"/>
      <c r="R101" s="168"/>
      <c r="S101" s="168"/>
      <c r="T101" s="168"/>
      <c r="U101" s="168"/>
      <c r="V101" s="168"/>
      <c r="W101" s="168"/>
      <c r="X101" s="168"/>
      <c r="Y101" s="168"/>
      <c r="Z101" s="168"/>
      <c r="AA101" s="168"/>
    </row>
    <row r="102" customFormat="false" ht="15.75" hidden="false" customHeight="false" outlineLevel="0" collapsed="false">
      <c r="A102" s="168" t="str">
        <f aca="false">IF(ISBLANK(B102),"",B102&amp;"|"&amp;C102)</f>
        <v/>
      </c>
      <c r="B102" s="168"/>
      <c r="C102" s="168"/>
      <c r="D102" s="168"/>
      <c r="E102" s="175"/>
      <c r="F102" s="168"/>
      <c r="G102" s="168"/>
      <c r="H102" s="168"/>
      <c r="I102" s="168"/>
      <c r="J102" s="168"/>
      <c r="K102" s="168"/>
      <c r="L102" s="168"/>
      <c r="M102" s="168"/>
      <c r="N102" s="168"/>
      <c r="O102" s="168"/>
      <c r="P102" s="168"/>
      <c r="Q102" s="168"/>
      <c r="R102" s="168"/>
      <c r="S102" s="168"/>
      <c r="T102" s="168"/>
      <c r="U102" s="168"/>
      <c r="V102" s="168"/>
      <c r="W102" s="168"/>
      <c r="X102" s="168"/>
      <c r="Y102" s="168"/>
      <c r="Z102" s="168"/>
      <c r="AA102" s="168"/>
    </row>
    <row r="103" customFormat="false" ht="15.75" hidden="false" customHeight="false" outlineLevel="0" collapsed="false">
      <c r="A103" s="168" t="str">
        <f aca="false">IF(ISBLANK(B103),"",B103&amp;"|"&amp;C103)</f>
        <v/>
      </c>
      <c r="B103" s="168"/>
      <c r="C103" s="168"/>
      <c r="D103" s="168"/>
      <c r="E103" s="175"/>
      <c r="F103" s="168"/>
      <c r="G103" s="168"/>
      <c r="H103" s="168"/>
      <c r="I103" s="168"/>
      <c r="J103" s="168"/>
      <c r="K103" s="168"/>
      <c r="L103" s="168"/>
      <c r="M103" s="168"/>
      <c r="N103" s="168"/>
      <c r="O103" s="168"/>
      <c r="P103" s="168"/>
      <c r="Q103" s="168"/>
      <c r="R103" s="168"/>
      <c r="S103" s="168"/>
      <c r="T103" s="168"/>
      <c r="U103" s="168"/>
      <c r="V103" s="168"/>
      <c r="W103" s="168"/>
      <c r="X103" s="168"/>
      <c r="Y103" s="168"/>
      <c r="Z103" s="168"/>
      <c r="AA103" s="168"/>
    </row>
    <row r="104" customFormat="false" ht="15.75" hidden="false" customHeight="false" outlineLevel="0" collapsed="false">
      <c r="A104" s="168" t="str">
        <f aca="false">IF(ISBLANK(B104),"",B104&amp;"|"&amp;C104)</f>
        <v/>
      </c>
      <c r="B104" s="168"/>
      <c r="C104" s="168"/>
      <c r="D104" s="168"/>
      <c r="E104" s="175"/>
      <c r="F104" s="168"/>
      <c r="G104" s="168"/>
      <c r="H104" s="168"/>
      <c r="I104" s="168"/>
      <c r="J104" s="168"/>
      <c r="K104" s="168"/>
      <c r="L104" s="168"/>
      <c r="M104" s="168"/>
      <c r="N104" s="168"/>
      <c r="O104" s="168"/>
      <c r="P104" s="168"/>
      <c r="Q104" s="168"/>
      <c r="R104" s="168"/>
      <c r="S104" s="168"/>
      <c r="T104" s="168"/>
      <c r="U104" s="168"/>
      <c r="V104" s="168"/>
      <c r="W104" s="168"/>
      <c r="X104" s="168"/>
      <c r="Y104" s="168"/>
      <c r="Z104" s="168"/>
      <c r="AA104" s="168"/>
    </row>
    <row r="105" customFormat="false" ht="15.75" hidden="false" customHeight="false" outlineLevel="0" collapsed="false">
      <c r="A105" s="168" t="str">
        <f aca="false">IF(ISBLANK(B105),"",B105&amp;"|"&amp;C105)</f>
        <v/>
      </c>
      <c r="B105" s="168"/>
      <c r="C105" s="168"/>
      <c r="D105" s="168"/>
      <c r="E105" s="175"/>
      <c r="F105" s="168"/>
      <c r="G105" s="168"/>
      <c r="H105" s="168"/>
      <c r="I105" s="168"/>
      <c r="J105" s="168"/>
      <c r="K105" s="168"/>
      <c r="L105" s="168"/>
      <c r="M105" s="168"/>
      <c r="N105" s="168"/>
      <c r="O105" s="168"/>
      <c r="P105" s="168"/>
      <c r="Q105" s="168"/>
      <c r="R105" s="168"/>
      <c r="S105" s="168"/>
      <c r="T105" s="168"/>
      <c r="U105" s="168"/>
      <c r="V105" s="168"/>
      <c r="W105" s="168"/>
      <c r="X105" s="168"/>
      <c r="Y105" s="168"/>
      <c r="Z105" s="168"/>
      <c r="AA105" s="168"/>
    </row>
    <row r="106" customFormat="false" ht="15.75" hidden="false" customHeight="false" outlineLevel="0" collapsed="false">
      <c r="A106" s="168" t="str">
        <f aca="false">IF(ISBLANK(B106),"",B106&amp;"|"&amp;C106)</f>
        <v/>
      </c>
      <c r="B106" s="168"/>
      <c r="C106" s="168"/>
      <c r="D106" s="168"/>
      <c r="E106" s="175"/>
      <c r="F106" s="168"/>
      <c r="G106" s="168"/>
      <c r="H106" s="168"/>
      <c r="I106" s="168"/>
      <c r="J106" s="168"/>
      <c r="K106" s="168"/>
      <c r="L106" s="168"/>
      <c r="M106" s="168"/>
      <c r="N106" s="168"/>
      <c r="O106" s="168"/>
      <c r="P106" s="168"/>
      <c r="Q106" s="168"/>
      <c r="R106" s="168"/>
      <c r="S106" s="168"/>
      <c r="T106" s="168"/>
      <c r="U106" s="168"/>
      <c r="V106" s="168"/>
      <c r="W106" s="168"/>
      <c r="X106" s="168"/>
      <c r="Y106" s="168"/>
      <c r="Z106" s="168"/>
      <c r="AA106" s="168"/>
    </row>
    <row r="107" customFormat="false" ht="15.75" hidden="false" customHeight="false" outlineLevel="0" collapsed="false">
      <c r="A107" s="168" t="str">
        <f aca="false">IF(ISBLANK(B107),"",B107&amp;"|"&amp;C107)</f>
        <v/>
      </c>
      <c r="B107" s="168"/>
      <c r="C107" s="168"/>
      <c r="D107" s="168"/>
      <c r="E107" s="175"/>
      <c r="F107" s="168"/>
      <c r="G107" s="168"/>
      <c r="H107" s="168"/>
      <c r="I107" s="168"/>
      <c r="J107" s="168"/>
      <c r="K107" s="168"/>
      <c r="L107" s="168"/>
      <c r="M107" s="168"/>
      <c r="N107" s="168"/>
      <c r="O107" s="168"/>
      <c r="P107" s="168"/>
      <c r="Q107" s="168"/>
      <c r="R107" s="168"/>
      <c r="S107" s="168"/>
      <c r="T107" s="168"/>
      <c r="U107" s="168"/>
      <c r="V107" s="168"/>
      <c r="W107" s="168"/>
      <c r="X107" s="168"/>
      <c r="Y107" s="168"/>
      <c r="Z107" s="168"/>
      <c r="AA107" s="168"/>
    </row>
    <row r="108" customFormat="false" ht="15.75" hidden="false" customHeight="false" outlineLevel="0" collapsed="false">
      <c r="A108" s="168" t="str">
        <f aca="false">IF(ISBLANK(B108),"",B108&amp;"|"&amp;C108)</f>
        <v/>
      </c>
      <c r="B108" s="168"/>
      <c r="C108" s="168"/>
      <c r="D108" s="168"/>
      <c r="E108" s="175"/>
      <c r="F108" s="168"/>
      <c r="G108" s="168"/>
      <c r="H108" s="168"/>
      <c r="I108" s="168"/>
      <c r="J108" s="168"/>
      <c r="K108" s="168"/>
      <c r="L108" s="168"/>
      <c r="M108" s="168"/>
      <c r="N108" s="168"/>
      <c r="O108" s="168"/>
      <c r="P108" s="168"/>
      <c r="Q108" s="168"/>
      <c r="R108" s="168"/>
      <c r="S108" s="168"/>
      <c r="T108" s="168"/>
      <c r="U108" s="168"/>
      <c r="V108" s="168"/>
      <c r="W108" s="168"/>
      <c r="X108" s="168"/>
      <c r="Y108" s="168"/>
      <c r="Z108" s="168"/>
      <c r="AA108" s="168"/>
    </row>
    <row r="109" customFormat="false" ht="15.75" hidden="false" customHeight="false" outlineLevel="0" collapsed="false">
      <c r="A109" s="168" t="str">
        <f aca="false">IF(ISBLANK(B109),"",B109&amp;"|"&amp;C109)</f>
        <v/>
      </c>
      <c r="B109" s="168"/>
      <c r="C109" s="168"/>
      <c r="D109" s="168"/>
      <c r="E109" s="175"/>
      <c r="F109" s="168"/>
      <c r="G109" s="168"/>
      <c r="H109" s="168"/>
      <c r="I109" s="168"/>
      <c r="J109" s="168"/>
      <c r="K109" s="168"/>
      <c r="L109" s="168"/>
      <c r="M109" s="168"/>
      <c r="N109" s="168"/>
      <c r="O109" s="168"/>
      <c r="P109" s="168"/>
      <c r="Q109" s="168"/>
      <c r="R109" s="168"/>
      <c r="S109" s="168"/>
      <c r="T109" s="168"/>
      <c r="U109" s="168"/>
      <c r="V109" s="168"/>
      <c r="W109" s="168"/>
      <c r="X109" s="168"/>
      <c r="Y109" s="168"/>
      <c r="Z109" s="168"/>
      <c r="AA109" s="168"/>
    </row>
    <row r="110" customFormat="false" ht="15.75" hidden="false" customHeight="false" outlineLevel="0" collapsed="false">
      <c r="A110" s="168" t="str">
        <f aca="false">IF(ISBLANK(B110),"",B110&amp;"|"&amp;C110)</f>
        <v/>
      </c>
      <c r="B110" s="168"/>
      <c r="C110" s="168"/>
      <c r="D110" s="168"/>
      <c r="E110" s="175"/>
      <c r="F110" s="168"/>
      <c r="G110" s="168"/>
      <c r="H110" s="168"/>
      <c r="I110" s="168"/>
      <c r="J110" s="168"/>
      <c r="K110" s="168"/>
      <c r="L110" s="168"/>
      <c r="M110" s="168"/>
      <c r="N110" s="168"/>
      <c r="O110" s="168"/>
      <c r="P110" s="168"/>
      <c r="Q110" s="168"/>
      <c r="R110" s="168"/>
      <c r="S110" s="168"/>
      <c r="T110" s="168"/>
      <c r="U110" s="168"/>
      <c r="V110" s="168"/>
      <c r="W110" s="168"/>
      <c r="X110" s="168"/>
      <c r="Y110" s="168"/>
      <c r="Z110" s="168"/>
      <c r="AA110" s="168"/>
    </row>
    <row r="111" customFormat="false" ht="15.75" hidden="false" customHeight="false" outlineLevel="0" collapsed="false">
      <c r="A111" s="168" t="str">
        <f aca="false">IF(ISBLANK(B111),"",B111&amp;"|"&amp;C111)</f>
        <v/>
      </c>
      <c r="B111" s="168"/>
      <c r="C111" s="168"/>
      <c r="D111" s="168"/>
      <c r="E111" s="175"/>
      <c r="F111" s="168"/>
      <c r="G111" s="168"/>
      <c r="H111" s="168"/>
      <c r="I111" s="168"/>
      <c r="J111" s="168"/>
      <c r="K111" s="168"/>
      <c r="L111" s="168"/>
      <c r="M111" s="168"/>
      <c r="N111" s="168"/>
      <c r="O111" s="168"/>
      <c r="P111" s="168"/>
      <c r="Q111" s="168"/>
      <c r="R111" s="168"/>
      <c r="S111" s="168"/>
      <c r="T111" s="168"/>
      <c r="U111" s="168"/>
      <c r="V111" s="168"/>
      <c r="W111" s="168"/>
      <c r="X111" s="168"/>
      <c r="Y111" s="168"/>
      <c r="Z111" s="168"/>
      <c r="AA111" s="168"/>
    </row>
    <row r="112" customFormat="false" ht="15.75" hidden="false" customHeight="false" outlineLevel="0" collapsed="false">
      <c r="A112" s="168" t="str">
        <f aca="false">IF(ISBLANK(B112),"",B112&amp;"|"&amp;C112)</f>
        <v/>
      </c>
      <c r="B112" s="168"/>
      <c r="C112" s="168"/>
      <c r="D112" s="168"/>
      <c r="E112" s="175"/>
      <c r="F112" s="168"/>
      <c r="G112" s="168"/>
      <c r="H112" s="168"/>
      <c r="I112" s="168"/>
      <c r="J112" s="168"/>
      <c r="K112" s="168"/>
      <c r="L112" s="168"/>
      <c r="M112" s="168"/>
      <c r="N112" s="168"/>
      <c r="O112" s="168"/>
      <c r="P112" s="168"/>
      <c r="Q112" s="168"/>
      <c r="R112" s="168"/>
      <c r="S112" s="168"/>
      <c r="T112" s="168"/>
      <c r="U112" s="168"/>
      <c r="V112" s="168"/>
      <c r="W112" s="168"/>
      <c r="X112" s="168"/>
      <c r="Y112" s="168"/>
      <c r="Z112" s="168"/>
      <c r="AA112" s="168"/>
    </row>
    <row r="113" customFormat="false" ht="15.75" hidden="false" customHeight="false" outlineLevel="0" collapsed="false">
      <c r="A113" s="168" t="str">
        <f aca="false">IF(ISBLANK(B113),"",B113&amp;"|"&amp;C113)</f>
        <v/>
      </c>
      <c r="B113" s="168"/>
      <c r="C113" s="168"/>
      <c r="D113" s="168"/>
      <c r="E113" s="175"/>
      <c r="F113" s="168"/>
      <c r="G113" s="168"/>
      <c r="H113" s="168"/>
      <c r="I113" s="168"/>
      <c r="J113" s="168"/>
      <c r="K113" s="168"/>
      <c r="L113" s="168"/>
      <c r="M113" s="168"/>
      <c r="N113" s="168"/>
      <c r="O113" s="168"/>
      <c r="P113" s="168"/>
      <c r="Q113" s="168"/>
      <c r="R113" s="168"/>
      <c r="S113" s="168"/>
      <c r="T113" s="168"/>
      <c r="U113" s="168"/>
      <c r="V113" s="168"/>
      <c r="W113" s="168"/>
      <c r="X113" s="168"/>
      <c r="Y113" s="168"/>
      <c r="Z113" s="168"/>
      <c r="AA113" s="168"/>
    </row>
    <row r="114" customFormat="false" ht="15.75" hidden="false" customHeight="false" outlineLevel="0" collapsed="false">
      <c r="A114" s="168" t="str">
        <f aca="false">IF(ISBLANK(B114),"",B114&amp;"|"&amp;C114)</f>
        <v/>
      </c>
      <c r="B114" s="168"/>
      <c r="C114" s="168"/>
      <c r="D114" s="168"/>
      <c r="E114" s="175"/>
      <c r="F114" s="168"/>
      <c r="G114" s="168"/>
      <c r="H114" s="168"/>
      <c r="I114" s="168"/>
      <c r="J114" s="168"/>
      <c r="K114" s="168"/>
      <c r="L114" s="168"/>
      <c r="M114" s="168"/>
      <c r="N114" s="168"/>
      <c r="O114" s="168"/>
      <c r="P114" s="168"/>
      <c r="Q114" s="168"/>
      <c r="R114" s="168"/>
      <c r="S114" s="168"/>
      <c r="T114" s="168"/>
      <c r="U114" s="168"/>
      <c r="V114" s="168"/>
      <c r="W114" s="168"/>
      <c r="X114" s="168"/>
      <c r="Y114" s="168"/>
      <c r="Z114" s="168"/>
      <c r="AA114" s="168"/>
    </row>
    <row r="115" customFormat="false" ht="15.75" hidden="false" customHeight="false" outlineLevel="0" collapsed="false">
      <c r="A115" s="168" t="str">
        <f aca="false">IF(ISBLANK(B115),"",B115&amp;"|"&amp;C115)</f>
        <v/>
      </c>
      <c r="B115" s="168"/>
      <c r="C115" s="168"/>
      <c r="D115" s="168"/>
      <c r="E115" s="175"/>
      <c r="F115" s="168"/>
      <c r="G115" s="168"/>
      <c r="H115" s="168"/>
      <c r="I115" s="168"/>
      <c r="J115" s="168"/>
      <c r="K115" s="168"/>
      <c r="L115" s="168"/>
      <c r="M115" s="168"/>
      <c r="N115" s="168"/>
      <c r="O115" s="168"/>
      <c r="P115" s="168"/>
      <c r="Q115" s="168"/>
      <c r="R115" s="168"/>
      <c r="S115" s="168"/>
      <c r="T115" s="168"/>
      <c r="U115" s="168"/>
      <c r="V115" s="168"/>
      <c r="W115" s="168"/>
      <c r="X115" s="168"/>
      <c r="Y115" s="168"/>
      <c r="Z115" s="168"/>
      <c r="AA115" s="168"/>
    </row>
    <row r="116" customFormat="false" ht="15.75" hidden="false" customHeight="false" outlineLevel="0" collapsed="false">
      <c r="A116" s="168" t="str">
        <f aca="false">IF(ISBLANK(B116),"",B116&amp;"|"&amp;C116)</f>
        <v/>
      </c>
      <c r="B116" s="168"/>
      <c r="C116" s="168"/>
      <c r="D116" s="168"/>
      <c r="E116" s="175"/>
      <c r="F116" s="168"/>
      <c r="G116" s="168"/>
      <c r="H116" s="168"/>
      <c r="I116" s="168"/>
      <c r="J116" s="168"/>
      <c r="K116" s="168"/>
      <c r="L116" s="168"/>
      <c r="M116" s="168"/>
      <c r="N116" s="168"/>
      <c r="O116" s="168"/>
      <c r="P116" s="168"/>
      <c r="Q116" s="168"/>
      <c r="R116" s="168"/>
      <c r="S116" s="168"/>
      <c r="T116" s="168"/>
      <c r="U116" s="168"/>
      <c r="V116" s="168"/>
      <c r="W116" s="168"/>
      <c r="X116" s="168"/>
      <c r="Y116" s="168"/>
      <c r="Z116" s="168"/>
      <c r="AA116" s="168"/>
    </row>
    <row r="117" customFormat="false" ht="15.75" hidden="false" customHeight="false" outlineLevel="0" collapsed="false">
      <c r="A117" s="168" t="str">
        <f aca="false">IF(ISBLANK(B117),"",B117&amp;"|"&amp;C117)</f>
        <v/>
      </c>
      <c r="B117" s="168"/>
      <c r="C117" s="168"/>
      <c r="D117" s="168"/>
      <c r="E117" s="175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  <c r="V117" s="168"/>
      <c r="W117" s="168"/>
      <c r="X117" s="168"/>
      <c r="Y117" s="168"/>
      <c r="Z117" s="168"/>
      <c r="AA117" s="168"/>
    </row>
    <row r="118" customFormat="false" ht="15.75" hidden="false" customHeight="false" outlineLevel="0" collapsed="false">
      <c r="A118" s="168" t="str">
        <f aca="false">IF(ISBLANK(B118),"",B118&amp;"|"&amp;C118)</f>
        <v/>
      </c>
      <c r="B118" s="168"/>
      <c r="C118" s="168"/>
      <c r="D118" s="168"/>
      <c r="E118" s="175"/>
      <c r="F118" s="168"/>
      <c r="G118" s="168"/>
      <c r="H118" s="168"/>
      <c r="I118" s="168"/>
      <c r="J118" s="168"/>
      <c r="K118" s="168"/>
      <c r="L118" s="168"/>
      <c r="M118" s="168"/>
      <c r="N118" s="168"/>
      <c r="O118" s="168"/>
      <c r="P118" s="168"/>
      <c r="Q118" s="168"/>
      <c r="R118" s="168"/>
      <c r="S118" s="168"/>
      <c r="T118" s="168"/>
      <c r="U118" s="168"/>
      <c r="V118" s="168"/>
      <c r="W118" s="168"/>
      <c r="X118" s="168"/>
      <c r="Y118" s="168"/>
      <c r="Z118" s="168"/>
      <c r="AA118" s="168"/>
    </row>
    <row r="119" customFormat="false" ht="15.75" hidden="false" customHeight="false" outlineLevel="0" collapsed="false">
      <c r="A119" s="168" t="str">
        <f aca="false">IF(ISBLANK(B119),"",B119&amp;"|"&amp;C119)</f>
        <v/>
      </c>
      <c r="B119" s="168"/>
      <c r="C119" s="168"/>
      <c r="D119" s="168"/>
      <c r="E119" s="175"/>
      <c r="F119" s="168"/>
      <c r="G119" s="168"/>
      <c r="H119" s="168"/>
      <c r="I119" s="168"/>
      <c r="J119" s="168"/>
      <c r="K119" s="168"/>
      <c r="L119" s="168"/>
      <c r="M119" s="168"/>
      <c r="N119" s="168"/>
      <c r="O119" s="168"/>
      <c r="P119" s="168"/>
      <c r="Q119" s="168"/>
      <c r="R119" s="168"/>
      <c r="S119" s="168"/>
      <c r="T119" s="168"/>
      <c r="U119" s="168"/>
      <c r="V119" s="168"/>
      <c r="W119" s="168"/>
      <c r="X119" s="168"/>
      <c r="Y119" s="168"/>
      <c r="Z119" s="168"/>
      <c r="AA119" s="168"/>
    </row>
    <row r="120" customFormat="false" ht="15.75" hidden="false" customHeight="false" outlineLevel="0" collapsed="false">
      <c r="A120" s="168" t="str">
        <f aca="false">IF(ISBLANK(B120),"",B120&amp;"|"&amp;C120)</f>
        <v/>
      </c>
      <c r="B120" s="168"/>
      <c r="C120" s="168"/>
      <c r="D120" s="168"/>
      <c r="E120" s="175"/>
      <c r="F120" s="168"/>
      <c r="G120" s="168"/>
      <c r="H120" s="168"/>
      <c r="I120" s="168"/>
      <c r="J120" s="168"/>
      <c r="K120" s="168"/>
      <c r="L120" s="168"/>
      <c r="M120" s="168"/>
      <c r="N120" s="168"/>
      <c r="O120" s="168"/>
      <c r="P120" s="168"/>
      <c r="Q120" s="168"/>
      <c r="R120" s="168"/>
      <c r="S120" s="168"/>
      <c r="T120" s="168"/>
      <c r="U120" s="168"/>
      <c r="V120" s="168"/>
      <c r="W120" s="168"/>
      <c r="X120" s="168"/>
      <c r="Y120" s="168"/>
      <c r="Z120" s="168"/>
      <c r="AA120" s="168"/>
    </row>
    <row r="121" customFormat="false" ht="15.75" hidden="false" customHeight="false" outlineLevel="0" collapsed="false">
      <c r="A121" s="168" t="str">
        <f aca="false">IF(ISBLANK(B121),"",B121&amp;"|"&amp;C121)</f>
        <v/>
      </c>
      <c r="B121" s="168"/>
      <c r="C121" s="168"/>
      <c r="D121" s="168"/>
      <c r="E121" s="175"/>
      <c r="F121" s="168"/>
      <c r="G121" s="168"/>
      <c r="H121" s="168"/>
      <c r="I121" s="168"/>
      <c r="J121" s="168"/>
      <c r="K121" s="168"/>
      <c r="L121" s="168"/>
      <c r="M121" s="168"/>
      <c r="N121" s="168"/>
      <c r="O121" s="168"/>
      <c r="P121" s="168"/>
      <c r="Q121" s="168"/>
      <c r="R121" s="168"/>
      <c r="S121" s="168"/>
      <c r="T121" s="168"/>
      <c r="U121" s="168"/>
      <c r="V121" s="168"/>
      <c r="W121" s="168"/>
      <c r="X121" s="168"/>
      <c r="Y121" s="168"/>
      <c r="Z121" s="168"/>
      <c r="AA121" s="168"/>
    </row>
    <row r="122" customFormat="false" ht="15.75" hidden="false" customHeight="false" outlineLevel="0" collapsed="false">
      <c r="A122" s="168" t="str">
        <f aca="false">IF(ISBLANK(B122),"",B122&amp;"|"&amp;C122)</f>
        <v/>
      </c>
      <c r="B122" s="168"/>
      <c r="C122" s="168"/>
      <c r="D122" s="168"/>
      <c r="E122" s="175"/>
      <c r="F122" s="168"/>
      <c r="G122" s="168"/>
      <c r="H122" s="168"/>
      <c r="I122" s="168"/>
      <c r="J122" s="168"/>
      <c r="K122" s="168"/>
      <c r="L122" s="168"/>
      <c r="M122" s="168"/>
      <c r="N122" s="168"/>
      <c r="O122" s="168"/>
      <c r="P122" s="168"/>
      <c r="Q122" s="168"/>
      <c r="R122" s="168"/>
      <c r="S122" s="168"/>
      <c r="T122" s="168"/>
      <c r="U122" s="168"/>
      <c r="V122" s="168"/>
      <c r="W122" s="168"/>
      <c r="X122" s="168"/>
      <c r="Y122" s="168"/>
      <c r="Z122" s="168"/>
      <c r="AA122" s="168"/>
    </row>
    <row r="123" customFormat="false" ht="15.75" hidden="false" customHeight="false" outlineLevel="0" collapsed="false">
      <c r="A123" s="168" t="str">
        <f aca="false">IF(ISBLANK(B123),"",B123&amp;"|"&amp;C123)</f>
        <v/>
      </c>
      <c r="B123" s="168"/>
      <c r="C123" s="168"/>
      <c r="D123" s="168"/>
      <c r="E123" s="175"/>
      <c r="F123" s="168"/>
      <c r="G123" s="168"/>
      <c r="H123" s="168"/>
      <c r="I123" s="168"/>
      <c r="J123" s="168"/>
      <c r="K123" s="168"/>
      <c r="L123" s="168"/>
      <c r="M123" s="168"/>
      <c r="N123" s="168"/>
      <c r="O123" s="168"/>
      <c r="P123" s="168"/>
      <c r="Q123" s="168"/>
      <c r="R123" s="168"/>
      <c r="S123" s="168"/>
      <c r="T123" s="168"/>
      <c r="U123" s="168"/>
      <c r="V123" s="168"/>
      <c r="W123" s="168"/>
      <c r="X123" s="168"/>
      <c r="Y123" s="168"/>
      <c r="Z123" s="168"/>
      <c r="AA123" s="168"/>
    </row>
    <row r="124" customFormat="false" ht="15.75" hidden="false" customHeight="false" outlineLevel="0" collapsed="false">
      <c r="A124" s="168" t="str">
        <f aca="false">IF(ISBLANK(B124),"",B124&amp;"|"&amp;C124)</f>
        <v/>
      </c>
      <c r="B124" s="168"/>
      <c r="C124" s="168"/>
      <c r="D124" s="168"/>
      <c r="E124" s="175"/>
      <c r="F124" s="168"/>
      <c r="G124" s="168"/>
      <c r="H124" s="168"/>
      <c r="I124" s="168"/>
      <c r="J124" s="168"/>
      <c r="K124" s="168"/>
      <c r="L124" s="168"/>
      <c r="M124" s="168"/>
      <c r="N124" s="168"/>
      <c r="O124" s="168"/>
      <c r="P124" s="168"/>
      <c r="Q124" s="168"/>
      <c r="R124" s="168"/>
      <c r="S124" s="168"/>
      <c r="T124" s="168"/>
      <c r="U124" s="168"/>
      <c r="V124" s="168"/>
      <c r="W124" s="168"/>
      <c r="X124" s="168"/>
      <c r="Y124" s="168"/>
      <c r="Z124" s="168"/>
      <c r="AA124" s="168"/>
    </row>
    <row r="125" customFormat="false" ht="15.75" hidden="false" customHeight="false" outlineLevel="0" collapsed="false">
      <c r="A125" s="168" t="str">
        <f aca="false">IF(ISBLANK(B125),"",B125&amp;"|"&amp;C125)</f>
        <v/>
      </c>
      <c r="B125" s="168"/>
      <c r="C125" s="168"/>
      <c r="D125" s="168"/>
      <c r="E125" s="175"/>
      <c r="F125" s="168"/>
      <c r="G125" s="168"/>
      <c r="H125" s="168"/>
      <c r="I125" s="168"/>
      <c r="J125" s="168"/>
      <c r="K125" s="168"/>
      <c r="L125" s="168"/>
      <c r="M125" s="168"/>
      <c r="N125" s="168"/>
      <c r="O125" s="168"/>
      <c r="P125" s="168"/>
      <c r="Q125" s="168"/>
      <c r="R125" s="168"/>
      <c r="S125" s="168"/>
      <c r="T125" s="168"/>
      <c r="U125" s="168"/>
      <c r="V125" s="168"/>
      <c r="W125" s="168"/>
      <c r="X125" s="168"/>
      <c r="Y125" s="168"/>
      <c r="Z125" s="168"/>
      <c r="AA125" s="168"/>
    </row>
    <row r="126" customFormat="false" ht="15.75" hidden="false" customHeight="false" outlineLevel="0" collapsed="false">
      <c r="A126" s="168" t="str">
        <f aca="false">IF(ISBLANK(B126),"",B126&amp;"|"&amp;C126)</f>
        <v/>
      </c>
      <c r="B126" s="168"/>
      <c r="C126" s="168"/>
      <c r="D126" s="168"/>
      <c r="E126" s="175"/>
      <c r="F126" s="168"/>
      <c r="G126" s="168"/>
      <c r="H126" s="168"/>
      <c r="I126" s="168"/>
      <c r="J126" s="168"/>
      <c r="K126" s="168"/>
      <c r="L126" s="168"/>
      <c r="M126" s="168"/>
      <c r="N126" s="168"/>
      <c r="O126" s="168"/>
      <c r="P126" s="168"/>
      <c r="Q126" s="168"/>
      <c r="R126" s="168"/>
      <c r="S126" s="168"/>
      <c r="T126" s="168"/>
      <c r="U126" s="168"/>
      <c r="V126" s="168"/>
      <c r="W126" s="168"/>
      <c r="X126" s="168"/>
      <c r="Y126" s="168"/>
      <c r="Z126" s="168"/>
      <c r="AA126" s="168"/>
    </row>
    <row r="127" customFormat="false" ht="15.75" hidden="false" customHeight="false" outlineLevel="0" collapsed="false">
      <c r="A127" s="168" t="str">
        <f aca="false">IF(ISBLANK(B127),"",B127&amp;"|"&amp;C127)</f>
        <v/>
      </c>
      <c r="B127" s="168"/>
      <c r="C127" s="168"/>
      <c r="D127" s="168"/>
      <c r="E127" s="175"/>
      <c r="F127" s="168"/>
      <c r="G127" s="168"/>
      <c r="H127" s="168"/>
      <c r="I127" s="168"/>
      <c r="J127" s="168"/>
      <c r="K127" s="168"/>
      <c r="L127" s="168"/>
      <c r="M127" s="168"/>
      <c r="N127" s="168"/>
      <c r="O127" s="168"/>
      <c r="P127" s="168"/>
      <c r="Q127" s="168"/>
      <c r="R127" s="168"/>
      <c r="S127" s="168"/>
      <c r="T127" s="168"/>
      <c r="U127" s="168"/>
      <c r="V127" s="168"/>
      <c r="W127" s="168"/>
      <c r="X127" s="168"/>
      <c r="Y127" s="168"/>
      <c r="Z127" s="168"/>
      <c r="AA127" s="168"/>
    </row>
    <row r="128" customFormat="false" ht="15.75" hidden="false" customHeight="false" outlineLevel="0" collapsed="false">
      <c r="A128" s="168" t="str">
        <f aca="false">IF(ISBLANK(B128),"",B128&amp;"|"&amp;C128)</f>
        <v/>
      </c>
      <c r="B128" s="168"/>
      <c r="C128" s="168"/>
      <c r="D128" s="168"/>
      <c r="E128" s="175"/>
      <c r="F128" s="168"/>
      <c r="G128" s="168"/>
      <c r="H128" s="168"/>
      <c r="I128" s="168"/>
      <c r="J128" s="168"/>
      <c r="K128" s="168"/>
      <c r="L128" s="168"/>
      <c r="M128" s="168"/>
      <c r="N128" s="168"/>
      <c r="O128" s="168"/>
      <c r="P128" s="168"/>
      <c r="Q128" s="168"/>
      <c r="R128" s="168"/>
      <c r="S128" s="168"/>
      <c r="T128" s="168"/>
      <c r="U128" s="168"/>
      <c r="V128" s="168"/>
      <c r="W128" s="168"/>
      <c r="X128" s="168"/>
      <c r="Y128" s="168"/>
      <c r="Z128" s="168"/>
      <c r="AA128" s="168"/>
    </row>
    <row r="129" customFormat="false" ht="15.75" hidden="false" customHeight="false" outlineLevel="0" collapsed="false">
      <c r="A129" s="168" t="str">
        <f aca="false">IF(ISBLANK(B129),"",B129&amp;"|"&amp;C129)</f>
        <v/>
      </c>
      <c r="B129" s="168"/>
      <c r="C129" s="168"/>
      <c r="D129" s="168"/>
      <c r="E129" s="175"/>
      <c r="F129" s="168"/>
      <c r="G129" s="168"/>
      <c r="H129" s="168"/>
      <c r="I129" s="168"/>
      <c r="J129" s="168"/>
      <c r="K129" s="168"/>
      <c r="L129" s="168"/>
      <c r="M129" s="168"/>
      <c r="N129" s="168"/>
      <c r="O129" s="168"/>
      <c r="P129" s="168"/>
      <c r="Q129" s="168"/>
      <c r="R129" s="168"/>
      <c r="S129" s="168"/>
      <c r="T129" s="168"/>
      <c r="U129" s="168"/>
      <c r="V129" s="168"/>
      <c r="W129" s="168"/>
      <c r="X129" s="168"/>
      <c r="Y129" s="168"/>
      <c r="Z129" s="168"/>
      <c r="AA129" s="168"/>
    </row>
    <row r="130" customFormat="false" ht="15.75" hidden="false" customHeight="false" outlineLevel="0" collapsed="false">
      <c r="A130" s="168" t="str">
        <f aca="false">IF(ISBLANK(B130),"",B130&amp;"|"&amp;C130)</f>
        <v/>
      </c>
      <c r="B130" s="168"/>
      <c r="C130" s="168"/>
      <c r="D130" s="168"/>
      <c r="E130" s="175"/>
      <c r="F130" s="168"/>
      <c r="G130" s="168"/>
      <c r="H130" s="168"/>
      <c r="I130" s="168"/>
      <c r="J130" s="168"/>
      <c r="K130" s="168"/>
      <c r="L130" s="168"/>
      <c r="M130" s="168"/>
      <c r="N130" s="168"/>
      <c r="O130" s="168"/>
      <c r="P130" s="168"/>
      <c r="Q130" s="168"/>
      <c r="R130" s="168"/>
      <c r="S130" s="168"/>
      <c r="T130" s="168"/>
      <c r="U130" s="168"/>
      <c r="V130" s="168"/>
      <c r="W130" s="168"/>
      <c r="X130" s="168"/>
      <c r="Y130" s="168"/>
      <c r="Z130" s="168"/>
      <c r="AA130" s="168"/>
    </row>
    <row r="131" customFormat="false" ht="15.75" hidden="false" customHeight="false" outlineLevel="0" collapsed="false">
      <c r="A131" s="168" t="str">
        <f aca="false">IF(ISBLANK(B131),"",B131&amp;"|"&amp;C131)</f>
        <v/>
      </c>
      <c r="B131" s="168"/>
      <c r="C131" s="168"/>
      <c r="D131" s="168"/>
      <c r="E131" s="175"/>
      <c r="F131" s="168"/>
      <c r="G131" s="168"/>
      <c r="H131" s="168"/>
      <c r="I131" s="168"/>
      <c r="J131" s="168"/>
      <c r="K131" s="168"/>
      <c r="L131" s="168"/>
      <c r="M131" s="168"/>
      <c r="N131" s="168"/>
      <c r="O131" s="168"/>
      <c r="P131" s="168"/>
      <c r="Q131" s="168"/>
      <c r="R131" s="168"/>
      <c r="S131" s="168"/>
      <c r="T131" s="168"/>
      <c r="U131" s="168"/>
      <c r="V131" s="168"/>
      <c r="W131" s="168"/>
      <c r="X131" s="168"/>
      <c r="Y131" s="168"/>
      <c r="Z131" s="168"/>
      <c r="AA131" s="168"/>
    </row>
    <row r="132" customFormat="false" ht="15.75" hidden="false" customHeight="false" outlineLevel="0" collapsed="false">
      <c r="A132" s="168" t="str">
        <f aca="false">IF(ISBLANK(B132),"",B132&amp;"|"&amp;C132)</f>
        <v/>
      </c>
      <c r="B132" s="168"/>
      <c r="C132" s="168"/>
      <c r="D132" s="168"/>
      <c r="E132" s="175"/>
      <c r="F132" s="168"/>
      <c r="G132" s="168"/>
      <c r="H132" s="168"/>
      <c r="I132" s="168"/>
      <c r="J132" s="168"/>
      <c r="K132" s="168"/>
      <c r="L132" s="168"/>
      <c r="M132" s="168"/>
      <c r="N132" s="168"/>
      <c r="O132" s="168"/>
      <c r="P132" s="168"/>
      <c r="Q132" s="168"/>
      <c r="R132" s="168"/>
      <c r="S132" s="168"/>
      <c r="T132" s="168"/>
      <c r="U132" s="168"/>
      <c r="V132" s="168"/>
      <c r="W132" s="168"/>
      <c r="X132" s="168"/>
      <c r="Y132" s="168"/>
      <c r="Z132" s="168"/>
      <c r="AA132" s="168"/>
    </row>
    <row r="133" customFormat="false" ht="15.75" hidden="false" customHeight="false" outlineLevel="0" collapsed="false">
      <c r="A133" s="168" t="str">
        <f aca="false">IF(ISBLANK(B133),"",B133&amp;"|"&amp;C133)</f>
        <v/>
      </c>
      <c r="B133" s="168"/>
      <c r="C133" s="168"/>
      <c r="D133" s="168"/>
      <c r="E133" s="175"/>
      <c r="F133" s="168"/>
      <c r="G133" s="168"/>
      <c r="H133" s="168"/>
      <c r="I133" s="168"/>
      <c r="J133" s="168"/>
      <c r="K133" s="168"/>
      <c r="L133" s="168"/>
      <c r="M133" s="168"/>
      <c r="N133" s="168"/>
      <c r="O133" s="168"/>
      <c r="P133" s="168"/>
      <c r="Q133" s="168"/>
      <c r="R133" s="168"/>
      <c r="S133" s="168"/>
      <c r="T133" s="168"/>
      <c r="U133" s="168"/>
      <c r="V133" s="168"/>
      <c r="W133" s="168"/>
      <c r="X133" s="168"/>
      <c r="Y133" s="168"/>
      <c r="Z133" s="168"/>
      <c r="AA133" s="168"/>
    </row>
    <row r="134" customFormat="false" ht="15.75" hidden="false" customHeight="false" outlineLevel="0" collapsed="false">
      <c r="A134" s="168" t="str">
        <f aca="false">IF(ISBLANK(B134),"",B134&amp;"|"&amp;C134)</f>
        <v/>
      </c>
      <c r="B134" s="168"/>
      <c r="C134" s="168"/>
      <c r="D134" s="168"/>
      <c r="E134" s="175"/>
      <c r="F134" s="168"/>
      <c r="G134" s="168"/>
      <c r="H134" s="168"/>
      <c r="I134" s="168"/>
      <c r="J134" s="168"/>
      <c r="K134" s="168"/>
      <c r="L134" s="168"/>
      <c r="M134" s="168"/>
      <c r="N134" s="168"/>
      <c r="O134" s="168"/>
      <c r="P134" s="168"/>
      <c r="Q134" s="168"/>
      <c r="R134" s="168"/>
      <c r="S134" s="168"/>
      <c r="T134" s="168"/>
      <c r="U134" s="168"/>
      <c r="V134" s="168"/>
      <c r="W134" s="168"/>
      <c r="X134" s="168"/>
      <c r="Y134" s="168"/>
      <c r="Z134" s="168"/>
      <c r="AA134" s="168"/>
    </row>
    <row r="135" customFormat="false" ht="15.75" hidden="false" customHeight="false" outlineLevel="0" collapsed="false">
      <c r="A135" s="168" t="str">
        <f aca="false">IF(ISBLANK(B135),"",B135&amp;"|"&amp;C135)</f>
        <v/>
      </c>
      <c r="B135" s="168"/>
      <c r="C135" s="168"/>
      <c r="D135" s="168"/>
      <c r="E135" s="175"/>
      <c r="F135" s="168"/>
      <c r="G135" s="168"/>
      <c r="H135" s="168"/>
      <c r="I135" s="168"/>
      <c r="J135" s="168"/>
      <c r="K135" s="168"/>
      <c r="L135" s="168"/>
      <c r="M135" s="168"/>
      <c r="N135" s="168"/>
      <c r="O135" s="168"/>
      <c r="P135" s="168"/>
      <c r="Q135" s="168"/>
      <c r="R135" s="168"/>
      <c r="S135" s="168"/>
      <c r="T135" s="168"/>
      <c r="U135" s="168"/>
      <c r="V135" s="168"/>
      <c r="W135" s="168"/>
      <c r="X135" s="168"/>
      <c r="Y135" s="168"/>
      <c r="Z135" s="168"/>
      <c r="AA135" s="168"/>
    </row>
    <row r="136" customFormat="false" ht="15.75" hidden="false" customHeight="false" outlineLevel="0" collapsed="false">
      <c r="A136" s="168" t="str">
        <f aca="false">IF(ISBLANK(B136),"",B136&amp;"|"&amp;C136)</f>
        <v/>
      </c>
      <c r="B136" s="168"/>
      <c r="C136" s="168"/>
      <c r="D136" s="168"/>
      <c r="E136" s="175"/>
      <c r="F136" s="168"/>
      <c r="G136" s="168"/>
      <c r="H136" s="168"/>
      <c r="I136" s="168"/>
      <c r="J136" s="168"/>
      <c r="K136" s="168"/>
      <c r="L136" s="168"/>
      <c r="M136" s="168"/>
      <c r="N136" s="168"/>
      <c r="O136" s="168"/>
      <c r="P136" s="168"/>
      <c r="Q136" s="168"/>
      <c r="R136" s="168"/>
      <c r="S136" s="168"/>
      <c r="T136" s="168"/>
      <c r="U136" s="168"/>
      <c r="V136" s="168"/>
      <c r="W136" s="168"/>
      <c r="X136" s="168"/>
      <c r="Y136" s="168"/>
      <c r="Z136" s="168"/>
      <c r="AA136" s="168"/>
    </row>
    <row r="137" customFormat="false" ht="15.75" hidden="false" customHeight="false" outlineLevel="0" collapsed="false">
      <c r="A137" s="168" t="str">
        <f aca="false">IF(ISBLANK(B137),"",B137&amp;"|"&amp;C137)</f>
        <v/>
      </c>
      <c r="B137" s="168"/>
      <c r="C137" s="168"/>
      <c r="D137" s="168"/>
      <c r="E137" s="175"/>
      <c r="F137" s="168"/>
      <c r="G137" s="168"/>
      <c r="H137" s="168"/>
      <c r="I137" s="168"/>
      <c r="J137" s="168"/>
      <c r="K137" s="168"/>
      <c r="L137" s="168"/>
      <c r="M137" s="168"/>
      <c r="N137" s="168"/>
      <c r="O137" s="168"/>
      <c r="P137" s="168"/>
      <c r="Q137" s="168"/>
      <c r="R137" s="168"/>
      <c r="S137" s="168"/>
      <c r="T137" s="168"/>
      <c r="U137" s="168"/>
      <c r="V137" s="168"/>
      <c r="W137" s="168"/>
      <c r="X137" s="168"/>
      <c r="Y137" s="168"/>
      <c r="Z137" s="168"/>
      <c r="AA137" s="168"/>
    </row>
    <row r="138" customFormat="false" ht="15.75" hidden="false" customHeight="false" outlineLevel="0" collapsed="false">
      <c r="A138" s="168" t="str">
        <f aca="false">IF(ISBLANK(B138),"",B138&amp;"|"&amp;C138)</f>
        <v/>
      </c>
      <c r="B138" s="168"/>
      <c r="C138" s="168"/>
      <c r="D138" s="168"/>
      <c r="E138" s="175"/>
      <c r="F138" s="168"/>
      <c r="G138" s="168"/>
      <c r="H138" s="168"/>
      <c r="I138" s="168"/>
      <c r="J138" s="168"/>
      <c r="K138" s="168"/>
      <c r="L138" s="168"/>
      <c r="M138" s="168"/>
      <c r="N138" s="168"/>
      <c r="O138" s="168"/>
      <c r="P138" s="168"/>
      <c r="Q138" s="168"/>
      <c r="R138" s="168"/>
      <c r="S138" s="168"/>
      <c r="T138" s="168"/>
      <c r="U138" s="168"/>
      <c r="V138" s="168"/>
      <c r="W138" s="168"/>
      <c r="X138" s="168"/>
      <c r="Y138" s="168"/>
      <c r="Z138" s="168"/>
      <c r="AA138" s="168"/>
    </row>
    <row r="139" customFormat="false" ht="15.75" hidden="false" customHeight="false" outlineLevel="0" collapsed="false">
      <c r="A139" s="168" t="str">
        <f aca="false">IF(ISBLANK(B139),"",B139&amp;"|"&amp;C139)</f>
        <v/>
      </c>
      <c r="B139" s="168"/>
      <c r="C139" s="168"/>
      <c r="D139" s="168"/>
      <c r="E139" s="175"/>
      <c r="F139" s="168"/>
      <c r="G139" s="168"/>
      <c r="H139" s="168"/>
      <c r="I139" s="168"/>
      <c r="J139" s="168"/>
      <c r="K139" s="168"/>
      <c r="L139" s="168"/>
      <c r="M139" s="168"/>
      <c r="N139" s="168"/>
      <c r="O139" s="168"/>
      <c r="P139" s="168"/>
      <c r="Q139" s="168"/>
      <c r="R139" s="168"/>
      <c r="S139" s="168"/>
      <c r="T139" s="168"/>
      <c r="U139" s="168"/>
      <c r="V139" s="168"/>
      <c r="W139" s="168"/>
      <c r="X139" s="168"/>
      <c r="Y139" s="168"/>
      <c r="Z139" s="168"/>
      <c r="AA139" s="168"/>
    </row>
    <row r="140" customFormat="false" ht="15.75" hidden="false" customHeight="false" outlineLevel="0" collapsed="false">
      <c r="A140" s="168" t="str">
        <f aca="false">IF(ISBLANK(B140),"",B140&amp;"|"&amp;C140)</f>
        <v/>
      </c>
      <c r="B140" s="168"/>
      <c r="C140" s="168"/>
      <c r="D140" s="168"/>
      <c r="E140" s="175"/>
      <c r="F140" s="168"/>
      <c r="G140" s="168"/>
      <c r="H140" s="168"/>
      <c r="I140" s="168"/>
      <c r="J140" s="168"/>
      <c r="K140" s="168"/>
      <c r="L140" s="168"/>
      <c r="M140" s="168"/>
      <c r="N140" s="168"/>
      <c r="O140" s="168"/>
      <c r="P140" s="168"/>
      <c r="Q140" s="168"/>
      <c r="R140" s="168"/>
      <c r="S140" s="168"/>
      <c r="T140" s="168"/>
      <c r="U140" s="168"/>
      <c r="V140" s="168"/>
      <c r="W140" s="168"/>
      <c r="X140" s="168"/>
      <c r="Y140" s="168"/>
      <c r="Z140" s="168"/>
      <c r="AA140" s="168"/>
    </row>
    <row r="141" customFormat="false" ht="15.75" hidden="false" customHeight="false" outlineLevel="0" collapsed="false">
      <c r="A141" s="168" t="str">
        <f aca="false">IF(ISBLANK(B141),"",B141&amp;"|"&amp;C141)</f>
        <v/>
      </c>
      <c r="B141" s="168"/>
      <c r="C141" s="168"/>
      <c r="D141" s="168"/>
      <c r="E141" s="175"/>
      <c r="F141" s="168"/>
      <c r="G141" s="168"/>
      <c r="H141" s="168"/>
      <c r="I141" s="168"/>
      <c r="J141" s="168"/>
      <c r="K141" s="168"/>
      <c r="L141" s="168"/>
      <c r="M141" s="168"/>
      <c r="N141" s="168"/>
      <c r="O141" s="168"/>
      <c r="P141" s="168"/>
      <c r="Q141" s="168"/>
      <c r="R141" s="168"/>
      <c r="S141" s="168"/>
      <c r="T141" s="168"/>
      <c r="U141" s="168"/>
      <c r="V141" s="168"/>
      <c r="W141" s="168"/>
      <c r="X141" s="168"/>
      <c r="Y141" s="168"/>
      <c r="Z141" s="168"/>
      <c r="AA141" s="168"/>
    </row>
    <row r="142" customFormat="false" ht="15.75" hidden="false" customHeight="false" outlineLevel="0" collapsed="false">
      <c r="A142" s="168" t="str">
        <f aca="false">IF(ISBLANK(B142),"",B142&amp;"|"&amp;C142)</f>
        <v/>
      </c>
      <c r="B142" s="168"/>
      <c r="C142" s="168"/>
      <c r="D142" s="168"/>
      <c r="E142" s="175"/>
      <c r="F142" s="168"/>
      <c r="G142" s="168"/>
      <c r="H142" s="168"/>
      <c r="I142" s="168"/>
      <c r="J142" s="168"/>
      <c r="K142" s="168"/>
      <c r="L142" s="168"/>
      <c r="M142" s="168"/>
      <c r="N142" s="168"/>
      <c r="O142" s="168"/>
      <c r="P142" s="168"/>
      <c r="Q142" s="168"/>
      <c r="R142" s="168"/>
      <c r="S142" s="168"/>
      <c r="T142" s="168"/>
      <c r="U142" s="168"/>
      <c r="V142" s="168"/>
      <c r="W142" s="168"/>
      <c r="X142" s="168"/>
      <c r="Y142" s="168"/>
      <c r="Z142" s="168"/>
      <c r="AA142" s="168"/>
    </row>
    <row r="143" customFormat="false" ht="15.75" hidden="false" customHeight="false" outlineLevel="0" collapsed="false">
      <c r="A143" s="168" t="str">
        <f aca="false">IF(ISBLANK(B143),"",B143&amp;"|"&amp;C143)</f>
        <v/>
      </c>
      <c r="B143" s="168"/>
      <c r="C143" s="168"/>
      <c r="D143" s="168"/>
      <c r="E143" s="175"/>
      <c r="F143" s="168"/>
      <c r="G143" s="168"/>
      <c r="H143" s="168"/>
      <c r="I143" s="168"/>
      <c r="J143" s="168"/>
      <c r="K143" s="168"/>
      <c r="L143" s="168"/>
      <c r="M143" s="168"/>
      <c r="N143" s="168"/>
      <c r="O143" s="168"/>
      <c r="P143" s="168"/>
      <c r="Q143" s="168"/>
      <c r="R143" s="168"/>
      <c r="S143" s="168"/>
      <c r="T143" s="168"/>
      <c r="U143" s="168"/>
      <c r="V143" s="168"/>
      <c r="W143" s="168"/>
      <c r="X143" s="168"/>
      <c r="Y143" s="168"/>
      <c r="Z143" s="168"/>
      <c r="AA143" s="168"/>
    </row>
    <row r="144" customFormat="false" ht="15.75" hidden="false" customHeight="false" outlineLevel="0" collapsed="false">
      <c r="A144" s="168" t="str">
        <f aca="false">IF(ISBLANK(B144),"",B144&amp;"|"&amp;C144)</f>
        <v/>
      </c>
      <c r="B144" s="168"/>
      <c r="C144" s="168"/>
      <c r="D144" s="168"/>
      <c r="E144" s="175"/>
      <c r="F144" s="168"/>
      <c r="G144" s="168"/>
      <c r="H144" s="168"/>
      <c r="I144" s="168"/>
      <c r="J144" s="168"/>
      <c r="K144" s="168"/>
      <c r="L144" s="168"/>
      <c r="M144" s="168"/>
      <c r="N144" s="168"/>
      <c r="O144" s="168"/>
      <c r="P144" s="168"/>
      <c r="Q144" s="168"/>
      <c r="R144" s="168"/>
      <c r="S144" s="168"/>
      <c r="T144" s="168"/>
      <c r="U144" s="168"/>
      <c r="V144" s="168"/>
      <c r="W144" s="168"/>
      <c r="X144" s="168"/>
      <c r="Y144" s="168"/>
      <c r="Z144" s="168"/>
      <c r="AA144" s="168"/>
    </row>
    <row r="145" customFormat="false" ht="15.75" hidden="false" customHeight="false" outlineLevel="0" collapsed="false">
      <c r="A145" s="168" t="str">
        <f aca="false">IF(ISBLANK(B145),"",B145&amp;"|"&amp;C145)</f>
        <v/>
      </c>
      <c r="B145" s="168"/>
      <c r="C145" s="168"/>
      <c r="D145" s="168"/>
      <c r="E145" s="175"/>
      <c r="F145" s="168"/>
      <c r="G145" s="168"/>
      <c r="H145" s="168"/>
      <c r="I145" s="168"/>
      <c r="J145" s="168"/>
      <c r="K145" s="168"/>
      <c r="L145" s="168"/>
      <c r="M145" s="168"/>
      <c r="N145" s="168"/>
      <c r="O145" s="168"/>
      <c r="P145" s="168"/>
      <c r="Q145" s="168"/>
      <c r="R145" s="168"/>
      <c r="S145" s="168"/>
      <c r="T145" s="168"/>
      <c r="U145" s="168"/>
      <c r="V145" s="168"/>
      <c r="W145" s="168"/>
      <c r="X145" s="168"/>
      <c r="Y145" s="168"/>
      <c r="Z145" s="168"/>
      <c r="AA145" s="168"/>
    </row>
    <row r="146" customFormat="false" ht="15.75" hidden="false" customHeight="false" outlineLevel="0" collapsed="false">
      <c r="A146" s="168" t="str">
        <f aca="false">IF(ISBLANK(B146),"",B146&amp;"|"&amp;C146)</f>
        <v/>
      </c>
      <c r="B146" s="168"/>
      <c r="C146" s="168"/>
      <c r="D146" s="168"/>
      <c r="E146" s="175"/>
      <c r="F146" s="168"/>
      <c r="G146" s="168"/>
      <c r="H146" s="168"/>
      <c r="I146" s="168"/>
      <c r="J146" s="168"/>
      <c r="K146" s="168"/>
      <c r="L146" s="168"/>
      <c r="M146" s="168"/>
      <c r="N146" s="168"/>
      <c r="O146" s="168"/>
      <c r="P146" s="168"/>
      <c r="Q146" s="168"/>
      <c r="R146" s="168"/>
      <c r="S146" s="168"/>
      <c r="T146" s="168"/>
      <c r="U146" s="168"/>
      <c r="V146" s="168"/>
      <c r="W146" s="168"/>
      <c r="X146" s="168"/>
      <c r="Y146" s="168"/>
      <c r="Z146" s="168"/>
      <c r="AA146" s="168"/>
    </row>
    <row r="147" customFormat="false" ht="15.75" hidden="false" customHeight="false" outlineLevel="0" collapsed="false">
      <c r="A147" s="168" t="str">
        <f aca="false">IF(ISBLANK(B147),"",B147&amp;"|"&amp;C147)</f>
        <v/>
      </c>
      <c r="B147" s="168"/>
      <c r="C147" s="168"/>
      <c r="D147" s="168"/>
      <c r="E147" s="175"/>
      <c r="F147" s="168"/>
      <c r="G147" s="168"/>
      <c r="H147" s="168"/>
      <c r="I147" s="168"/>
      <c r="J147" s="168"/>
      <c r="K147" s="168"/>
      <c r="L147" s="168"/>
      <c r="M147" s="168"/>
      <c r="N147" s="168"/>
      <c r="O147" s="168"/>
      <c r="P147" s="168"/>
      <c r="Q147" s="168"/>
      <c r="R147" s="168"/>
      <c r="S147" s="168"/>
      <c r="T147" s="168"/>
      <c r="U147" s="168"/>
      <c r="V147" s="168"/>
      <c r="W147" s="168"/>
      <c r="X147" s="168"/>
      <c r="Y147" s="168"/>
      <c r="Z147" s="168"/>
      <c r="AA147" s="168"/>
    </row>
    <row r="148" customFormat="false" ht="15.75" hidden="false" customHeight="false" outlineLevel="0" collapsed="false">
      <c r="A148" s="168" t="str">
        <f aca="false">IF(ISBLANK(B148),"",B148&amp;"|"&amp;C148)</f>
        <v/>
      </c>
      <c r="B148" s="168"/>
      <c r="C148" s="168"/>
      <c r="D148" s="168"/>
      <c r="E148" s="175"/>
      <c r="F148" s="168"/>
      <c r="G148" s="168"/>
      <c r="H148" s="168"/>
      <c r="I148" s="168"/>
      <c r="J148" s="168"/>
      <c r="K148" s="168"/>
      <c r="L148" s="168"/>
      <c r="M148" s="168"/>
      <c r="N148" s="168"/>
      <c r="O148" s="168"/>
      <c r="P148" s="168"/>
      <c r="Q148" s="168"/>
      <c r="R148" s="168"/>
      <c r="S148" s="168"/>
      <c r="T148" s="168"/>
      <c r="U148" s="168"/>
      <c r="V148" s="168"/>
      <c r="W148" s="168"/>
      <c r="X148" s="168"/>
      <c r="Y148" s="168"/>
      <c r="Z148" s="168"/>
      <c r="AA148" s="168"/>
    </row>
    <row r="149" customFormat="false" ht="15.75" hidden="false" customHeight="false" outlineLevel="0" collapsed="false">
      <c r="A149" s="168" t="str">
        <f aca="false">IF(ISBLANK(B149),"",B149&amp;"|"&amp;C149)</f>
        <v/>
      </c>
      <c r="B149" s="168"/>
      <c r="C149" s="168"/>
      <c r="D149" s="168"/>
      <c r="E149" s="175"/>
      <c r="F149" s="168"/>
      <c r="G149" s="168"/>
      <c r="H149" s="168"/>
      <c r="I149" s="168"/>
      <c r="J149" s="168"/>
      <c r="K149" s="168"/>
      <c r="L149" s="168"/>
      <c r="M149" s="168"/>
      <c r="N149" s="168"/>
      <c r="O149" s="168"/>
      <c r="P149" s="168"/>
      <c r="Q149" s="168"/>
      <c r="R149" s="168"/>
      <c r="S149" s="168"/>
      <c r="T149" s="168"/>
      <c r="U149" s="168"/>
      <c r="V149" s="168"/>
      <c r="W149" s="168"/>
      <c r="X149" s="168"/>
      <c r="Y149" s="168"/>
      <c r="Z149" s="168"/>
      <c r="AA149" s="168"/>
    </row>
    <row r="150" customFormat="false" ht="15.75" hidden="false" customHeight="false" outlineLevel="0" collapsed="false">
      <c r="A150" s="168" t="str">
        <f aca="false">IF(ISBLANK(B150),"",B150&amp;"|"&amp;C150)</f>
        <v/>
      </c>
      <c r="B150" s="168"/>
      <c r="C150" s="168"/>
      <c r="D150" s="168"/>
      <c r="E150" s="175"/>
      <c r="F150" s="168"/>
      <c r="G150" s="168"/>
      <c r="H150" s="168"/>
      <c r="I150" s="168"/>
      <c r="J150" s="168"/>
      <c r="K150" s="168"/>
      <c r="L150" s="168"/>
      <c r="M150" s="168"/>
      <c r="N150" s="168"/>
      <c r="O150" s="168"/>
      <c r="P150" s="168"/>
      <c r="Q150" s="168"/>
      <c r="R150" s="168"/>
      <c r="S150" s="168"/>
      <c r="T150" s="168"/>
      <c r="U150" s="168"/>
      <c r="V150" s="168"/>
      <c r="W150" s="168"/>
      <c r="X150" s="168"/>
      <c r="Y150" s="168"/>
      <c r="Z150" s="168"/>
      <c r="AA150" s="168"/>
    </row>
    <row r="151" customFormat="false" ht="15.75" hidden="false" customHeight="false" outlineLevel="0" collapsed="false">
      <c r="A151" s="168" t="str">
        <f aca="false">IF(ISBLANK(B151),"",B151&amp;"|"&amp;C151)</f>
        <v/>
      </c>
      <c r="B151" s="168"/>
      <c r="C151" s="168"/>
      <c r="D151" s="168"/>
      <c r="E151" s="175"/>
      <c r="F151" s="168"/>
      <c r="G151" s="168"/>
      <c r="H151" s="168"/>
      <c r="I151" s="168"/>
      <c r="J151" s="168"/>
      <c r="K151" s="168"/>
      <c r="L151" s="168"/>
      <c r="M151" s="168"/>
      <c r="N151" s="168"/>
      <c r="O151" s="168"/>
      <c r="P151" s="168"/>
      <c r="Q151" s="168"/>
      <c r="R151" s="168"/>
      <c r="S151" s="168"/>
      <c r="T151" s="168"/>
      <c r="U151" s="168"/>
      <c r="V151" s="168"/>
      <c r="W151" s="168"/>
      <c r="X151" s="168"/>
      <c r="Y151" s="168"/>
      <c r="Z151" s="168"/>
      <c r="AA151" s="168"/>
    </row>
    <row r="152" customFormat="false" ht="15.75" hidden="false" customHeight="false" outlineLevel="0" collapsed="false">
      <c r="A152" s="168" t="str">
        <f aca="false">IF(ISBLANK(B152),"",B152&amp;"|"&amp;C152)</f>
        <v/>
      </c>
      <c r="B152" s="168"/>
      <c r="C152" s="168"/>
      <c r="D152" s="168"/>
      <c r="E152" s="175"/>
      <c r="F152" s="168"/>
      <c r="G152" s="168"/>
      <c r="H152" s="168"/>
      <c r="I152" s="168"/>
      <c r="J152" s="168"/>
      <c r="K152" s="168"/>
      <c r="L152" s="168"/>
      <c r="M152" s="168"/>
      <c r="N152" s="168"/>
      <c r="O152" s="168"/>
      <c r="P152" s="168"/>
      <c r="Q152" s="168"/>
      <c r="R152" s="168"/>
      <c r="S152" s="168"/>
      <c r="T152" s="168"/>
      <c r="U152" s="168"/>
      <c r="V152" s="168"/>
      <c r="W152" s="168"/>
      <c r="X152" s="168"/>
      <c r="Y152" s="168"/>
      <c r="Z152" s="168"/>
      <c r="AA152" s="168"/>
    </row>
    <row r="153" customFormat="false" ht="15.75" hidden="false" customHeight="false" outlineLevel="0" collapsed="false">
      <c r="A153" s="168" t="str">
        <f aca="false">IF(ISBLANK(B153),"",B153&amp;"|"&amp;C153)</f>
        <v/>
      </c>
      <c r="B153" s="168"/>
      <c r="C153" s="168"/>
      <c r="D153" s="168"/>
      <c r="E153" s="175"/>
      <c r="F153" s="168"/>
      <c r="G153" s="168"/>
      <c r="H153" s="168"/>
      <c r="I153" s="168"/>
      <c r="J153" s="168"/>
      <c r="K153" s="168"/>
      <c r="L153" s="168"/>
      <c r="M153" s="168"/>
      <c r="N153" s="168"/>
      <c r="O153" s="168"/>
      <c r="P153" s="168"/>
      <c r="Q153" s="168"/>
      <c r="R153" s="168"/>
      <c r="S153" s="168"/>
      <c r="T153" s="168"/>
      <c r="U153" s="168"/>
      <c r="V153" s="168"/>
      <c r="W153" s="168"/>
      <c r="X153" s="168"/>
      <c r="Y153" s="168"/>
      <c r="Z153" s="168"/>
      <c r="AA153" s="168"/>
    </row>
    <row r="154" customFormat="false" ht="15.75" hidden="false" customHeight="false" outlineLevel="0" collapsed="false">
      <c r="A154" s="168" t="str">
        <f aca="false">IF(ISBLANK(B154),"",B154&amp;"|"&amp;C154)</f>
        <v/>
      </c>
      <c r="B154" s="168"/>
      <c r="C154" s="168"/>
      <c r="D154" s="168"/>
      <c r="E154" s="175"/>
      <c r="F154" s="168"/>
      <c r="G154" s="168"/>
      <c r="H154" s="168"/>
      <c r="I154" s="168"/>
      <c r="J154" s="168"/>
      <c r="K154" s="168"/>
      <c r="L154" s="168"/>
      <c r="M154" s="168"/>
      <c r="N154" s="168"/>
      <c r="O154" s="168"/>
      <c r="P154" s="168"/>
      <c r="Q154" s="168"/>
      <c r="R154" s="168"/>
      <c r="S154" s="168"/>
      <c r="T154" s="168"/>
      <c r="U154" s="168"/>
      <c r="V154" s="168"/>
      <c r="W154" s="168"/>
      <c r="X154" s="168"/>
      <c r="Y154" s="168"/>
      <c r="Z154" s="168"/>
      <c r="AA154" s="168"/>
    </row>
    <row r="155" customFormat="false" ht="15.75" hidden="false" customHeight="false" outlineLevel="0" collapsed="false">
      <c r="A155" s="168" t="str">
        <f aca="false">IF(ISBLANK(B155),"",B155&amp;"|"&amp;C155)</f>
        <v/>
      </c>
      <c r="B155" s="168"/>
      <c r="C155" s="168"/>
      <c r="D155" s="168"/>
      <c r="E155" s="175"/>
      <c r="F155" s="168"/>
      <c r="G155" s="168"/>
      <c r="H155" s="168"/>
      <c r="I155" s="168"/>
      <c r="J155" s="168"/>
      <c r="K155" s="168"/>
      <c r="L155" s="168"/>
      <c r="M155" s="168"/>
      <c r="N155" s="168"/>
      <c r="O155" s="168"/>
      <c r="P155" s="168"/>
      <c r="Q155" s="168"/>
      <c r="R155" s="168"/>
      <c r="S155" s="168"/>
      <c r="T155" s="168"/>
      <c r="U155" s="168"/>
      <c r="V155" s="168"/>
      <c r="W155" s="168"/>
      <c r="X155" s="168"/>
      <c r="Y155" s="168"/>
      <c r="Z155" s="168"/>
      <c r="AA155" s="168"/>
    </row>
    <row r="156" customFormat="false" ht="15.75" hidden="false" customHeight="false" outlineLevel="0" collapsed="false">
      <c r="A156" s="168" t="str">
        <f aca="false">IF(ISBLANK(B156),"",B156&amp;"|"&amp;C156)</f>
        <v/>
      </c>
      <c r="B156" s="168"/>
      <c r="C156" s="168"/>
      <c r="D156" s="168"/>
      <c r="E156" s="175"/>
      <c r="F156" s="168"/>
      <c r="G156" s="168"/>
      <c r="H156" s="168"/>
      <c r="I156" s="168"/>
      <c r="J156" s="168"/>
      <c r="K156" s="168"/>
      <c r="L156" s="168"/>
      <c r="M156" s="168"/>
      <c r="N156" s="168"/>
      <c r="O156" s="168"/>
      <c r="P156" s="168"/>
      <c r="Q156" s="168"/>
      <c r="R156" s="168"/>
      <c r="S156" s="168"/>
      <c r="T156" s="168"/>
      <c r="U156" s="168"/>
      <c r="V156" s="168"/>
      <c r="W156" s="168"/>
      <c r="X156" s="168"/>
      <c r="Y156" s="168"/>
      <c r="Z156" s="168"/>
      <c r="AA156" s="168"/>
    </row>
    <row r="157" customFormat="false" ht="15.75" hidden="false" customHeight="false" outlineLevel="0" collapsed="false">
      <c r="A157" s="168" t="str">
        <f aca="false">IF(ISBLANK(B157),"",B157&amp;"|"&amp;C157)</f>
        <v/>
      </c>
      <c r="B157" s="168"/>
      <c r="C157" s="168"/>
      <c r="D157" s="168"/>
      <c r="E157" s="175"/>
      <c r="F157" s="168"/>
      <c r="G157" s="168"/>
      <c r="H157" s="168"/>
      <c r="I157" s="168"/>
      <c r="J157" s="168"/>
      <c r="K157" s="168"/>
      <c r="L157" s="168"/>
      <c r="M157" s="168"/>
      <c r="N157" s="168"/>
      <c r="O157" s="168"/>
      <c r="P157" s="168"/>
      <c r="Q157" s="168"/>
      <c r="R157" s="168"/>
      <c r="S157" s="168"/>
      <c r="T157" s="168"/>
      <c r="U157" s="168"/>
      <c r="V157" s="168"/>
      <c r="W157" s="168"/>
      <c r="X157" s="168"/>
      <c r="Y157" s="168"/>
      <c r="Z157" s="168"/>
      <c r="AA157" s="168"/>
    </row>
    <row r="158" customFormat="false" ht="15.75" hidden="false" customHeight="false" outlineLevel="0" collapsed="false">
      <c r="A158" s="168" t="str">
        <f aca="false">IF(ISBLANK(B158),"",B158&amp;"|"&amp;C158)</f>
        <v/>
      </c>
      <c r="B158" s="168"/>
      <c r="C158" s="168"/>
      <c r="D158" s="168"/>
      <c r="E158" s="175"/>
      <c r="F158" s="168"/>
      <c r="G158" s="168"/>
      <c r="H158" s="168"/>
      <c r="I158" s="168"/>
      <c r="J158" s="168"/>
      <c r="K158" s="168"/>
      <c r="L158" s="168"/>
      <c r="M158" s="168"/>
      <c r="N158" s="168"/>
      <c r="O158" s="168"/>
      <c r="P158" s="168"/>
      <c r="Q158" s="168"/>
      <c r="R158" s="168"/>
      <c r="S158" s="168"/>
      <c r="T158" s="168"/>
      <c r="U158" s="168"/>
      <c r="V158" s="168"/>
      <c r="W158" s="168"/>
      <c r="X158" s="168"/>
      <c r="Y158" s="168"/>
      <c r="Z158" s="168"/>
      <c r="AA158" s="168"/>
    </row>
    <row r="159" customFormat="false" ht="15.75" hidden="false" customHeight="false" outlineLevel="0" collapsed="false">
      <c r="A159" s="168" t="str">
        <f aca="false">IF(ISBLANK(B159),"",B159&amp;"|"&amp;C159)</f>
        <v/>
      </c>
      <c r="B159" s="168"/>
      <c r="C159" s="168"/>
      <c r="D159" s="168"/>
      <c r="E159" s="175"/>
      <c r="F159" s="168"/>
      <c r="G159" s="168"/>
      <c r="H159" s="168"/>
      <c r="I159" s="168"/>
      <c r="J159" s="168"/>
      <c r="K159" s="168"/>
      <c r="L159" s="168"/>
      <c r="M159" s="168"/>
      <c r="N159" s="168"/>
      <c r="O159" s="168"/>
      <c r="P159" s="168"/>
      <c r="Q159" s="168"/>
      <c r="R159" s="168"/>
      <c r="S159" s="168"/>
      <c r="T159" s="168"/>
      <c r="U159" s="168"/>
      <c r="V159" s="168"/>
      <c r="W159" s="168"/>
      <c r="X159" s="168"/>
      <c r="Y159" s="168"/>
      <c r="Z159" s="168"/>
      <c r="AA159" s="168"/>
    </row>
    <row r="160" customFormat="false" ht="15.75" hidden="false" customHeight="false" outlineLevel="0" collapsed="false">
      <c r="A160" s="168" t="str">
        <f aca="false">IF(ISBLANK(B160),"",B160&amp;"|"&amp;C160)</f>
        <v/>
      </c>
      <c r="B160" s="168"/>
      <c r="C160" s="168"/>
      <c r="D160" s="168"/>
      <c r="E160" s="175"/>
      <c r="F160" s="168"/>
      <c r="G160" s="168"/>
      <c r="H160" s="168"/>
      <c r="I160" s="168"/>
      <c r="J160" s="168"/>
      <c r="K160" s="168"/>
      <c r="L160" s="168"/>
      <c r="M160" s="168"/>
      <c r="N160" s="168"/>
      <c r="O160" s="168"/>
      <c r="P160" s="168"/>
      <c r="Q160" s="168"/>
      <c r="R160" s="168"/>
      <c r="S160" s="168"/>
      <c r="T160" s="168"/>
      <c r="U160" s="168"/>
      <c r="V160" s="168"/>
      <c r="W160" s="168"/>
      <c r="X160" s="168"/>
      <c r="Y160" s="168"/>
      <c r="Z160" s="168"/>
      <c r="AA160" s="168"/>
    </row>
    <row r="161" customFormat="false" ht="15.75" hidden="false" customHeight="false" outlineLevel="0" collapsed="false">
      <c r="A161" s="168" t="str">
        <f aca="false">IF(ISBLANK(B161),"",B161&amp;"|"&amp;C161)</f>
        <v/>
      </c>
      <c r="B161" s="168"/>
      <c r="C161" s="168"/>
      <c r="D161" s="168"/>
      <c r="E161" s="175"/>
      <c r="F161" s="168"/>
      <c r="G161" s="168"/>
      <c r="H161" s="168"/>
      <c r="I161" s="168"/>
      <c r="J161" s="168"/>
      <c r="K161" s="168"/>
      <c r="L161" s="168"/>
      <c r="M161" s="168"/>
      <c r="N161" s="168"/>
      <c r="O161" s="168"/>
      <c r="P161" s="168"/>
      <c r="Q161" s="168"/>
      <c r="R161" s="168"/>
      <c r="S161" s="168"/>
      <c r="T161" s="168"/>
      <c r="U161" s="168"/>
      <c r="V161" s="168"/>
      <c r="W161" s="168"/>
      <c r="X161" s="168"/>
      <c r="Y161" s="168"/>
      <c r="Z161" s="168"/>
      <c r="AA161" s="168"/>
    </row>
    <row r="162" customFormat="false" ht="15.75" hidden="false" customHeight="false" outlineLevel="0" collapsed="false">
      <c r="A162" s="168" t="str">
        <f aca="false">IF(ISBLANK(B162),"",B162&amp;"|"&amp;C162)</f>
        <v/>
      </c>
      <c r="B162" s="168"/>
      <c r="C162" s="168"/>
      <c r="D162" s="168"/>
      <c r="E162" s="175"/>
      <c r="F162" s="168"/>
      <c r="G162" s="168"/>
      <c r="H162" s="168"/>
      <c r="I162" s="168"/>
      <c r="J162" s="168"/>
      <c r="K162" s="168"/>
      <c r="L162" s="168"/>
      <c r="M162" s="168"/>
      <c r="N162" s="168"/>
      <c r="O162" s="168"/>
      <c r="P162" s="168"/>
      <c r="Q162" s="168"/>
      <c r="R162" s="168"/>
      <c r="S162" s="168"/>
      <c r="T162" s="168"/>
      <c r="U162" s="168"/>
      <c r="V162" s="168"/>
      <c r="W162" s="168"/>
      <c r="X162" s="168"/>
      <c r="Y162" s="168"/>
      <c r="Z162" s="168"/>
      <c r="AA162" s="168"/>
    </row>
    <row r="163" customFormat="false" ht="15.75" hidden="false" customHeight="false" outlineLevel="0" collapsed="false">
      <c r="A163" s="168" t="str">
        <f aca="false">IF(ISBLANK(B163),"",B163&amp;"|"&amp;C163)</f>
        <v/>
      </c>
      <c r="B163" s="168"/>
      <c r="C163" s="168"/>
      <c r="D163" s="168"/>
      <c r="E163" s="175"/>
      <c r="F163" s="168"/>
      <c r="G163" s="168"/>
      <c r="H163" s="168"/>
      <c r="I163" s="168"/>
      <c r="J163" s="168"/>
      <c r="K163" s="168"/>
      <c r="L163" s="168"/>
      <c r="M163" s="168"/>
      <c r="N163" s="168"/>
      <c r="O163" s="168"/>
      <c r="P163" s="168"/>
      <c r="Q163" s="168"/>
      <c r="R163" s="168"/>
      <c r="S163" s="168"/>
      <c r="T163" s="168"/>
      <c r="U163" s="168"/>
      <c r="V163" s="168"/>
      <c r="W163" s="168"/>
      <c r="X163" s="168"/>
      <c r="Y163" s="168"/>
      <c r="Z163" s="168"/>
      <c r="AA163" s="168"/>
    </row>
    <row r="164" customFormat="false" ht="15.75" hidden="false" customHeight="false" outlineLevel="0" collapsed="false">
      <c r="A164" s="168" t="str">
        <f aca="false">IF(ISBLANK(B164),"",B164&amp;"|"&amp;C164)</f>
        <v/>
      </c>
      <c r="B164" s="168"/>
      <c r="C164" s="168"/>
      <c r="D164" s="168"/>
      <c r="E164" s="175"/>
      <c r="F164" s="168"/>
      <c r="G164" s="168"/>
      <c r="H164" s="168"/>
      <c r="I164" s="168"/>
      <c r="J164" s="168"/>
      <c r="K164" s="168"/>
      <c r="L164" s="168"/>
      <c r="M164" s="168"/>
      <c r="N164" s="168"/>
      <c r="O164" s="168"/>
      <c r="P164" s="168"/>
      <c r="Q164" s="168"/>
      <c r="R164" s="168"/>
      <c r="S164" s="168"/>
      <c r="T164" s="168"/>
      <c r="U164" s="168"/>
      <c r="V164" s="168"/>
      <c r="W164" s="168"/>
      <c r="X164" s="168"/>
      <c r="Y164" s="168"/>
      <c r="Z164" s="168"/>
      <c r="AA164" s="168"/>
    </row>
    <row r="165" customFormat="false" ht="15.75" hidden="false" customHeight="false" outlineLevel="0" collapsed="false">
      <c r="A165" s="168" t="str">
        <f aca="false">IF(ISBLANK(B165),"",B165&amp;"|"&amp;C165)</f>
        <v/>
      </c>
      <c r="B165" s="168"/>
      <c r="C165" s="168"/>
      <c r="D165" s="168"/>
      <c r="E165" s="175"/>
      <c r="F165" s="168"/>
      <c r="G165" s="168"/>
      <c r="H165" s="168"/>
      <c r="I165" s="168"/>
      <c r="J165" s="168"/>
      <c r="K165" s="168"/>
      <c r="L165" s="168"/>
      <c r="M165" s="168"/>
      <c r="N165" s="168"/>
      <c r="O165" s="168"/>
      <c r="P165" s="168"/>
      <c r="Q165" s="168"/>
      <c r="R165" s="168"/>
      <c r="S165" s="168"/>
      <c r="T165" s="168"/>
      <c r="U165" s="168"/>
      <c r="V165" s="168"/>
      <c r="W165" s="168"/>
      <c r="X165" s="168"/>
      <c r="Y165" s="168"/>
      <c r="Z165" s="168"/>
      <c r="AA165" s="168"/>
    </row>
    <row r="166" customFormat="false" ht="15.75" hidden="false" customHeight="false" outlineLevel="0" collapsed="false">
      <c r="A166" s="168" t="str">
        <f aca="false">IF(ISBLANK(B166),"",B166&amp;"|"&amp;C166)</f>
        <v/>
      </c>
      <c r="B166" s="168"/>
      <c r="C166" s="168"/>
      <c r="D166" s="168"/>
      <c r="E166" s="175"/>
      <c r="F166" s="168"/>
      <c r="G166" s="168"/>
      <c r="H166" s="168"/>
      <c r="I166" s="168"/>
      <c r="J166" s="168"/>
      <c r="K166" s="168"/>
      <c r="L166" s="168"/>
      <c r="M166" s="168"/>
      <c r="N166" s="168"/>
      <c r="O166" s="168"/>
      <c r="P166" s="168"/>
      <c r="Q166" s="168"/>
      <c r="R166" s="168"/>
      <c r="S166" s="168"/>
      <c r="T166" s="168"/>
      <c r="U166" s="168"/>
      <c r="V166" s="168"/>
      <c r="W166" s="168"/>
      <c r="X166" s="168"/>
      <c r="Y166" s="168"/>
      <c r="Z166" s="168"/>
      <c r="AA166" s="168"/>
    </row>
    <row r="167" customFormat="false" ht="15.75" hidden="false" customHeight="false" outlineLevel="0" collapsed="false">
      <c r="A167" s="168" t="str">
        <f aca="false">IF(ISBLANK(B167),"",B167&amp;"|"&amp;C167)</f>
        <v/>
      </c>
      <c r="B167" s="168"/>
      <c r="C167" s="168"/>
      <c r="D167" s="168"/>
      <c r="E167" s="175"/>
      <c r="F167" s="168"/>
      <c r="G167" s="168"/>
      <c r="H167" s="168"/>
      <c r="I167" s="168"/>
      <c r="J167" s="168"/>
      <c r="K167" s="168"/>
      <c r="L167" s="168"/>
      <c r="M167" s="168"/>
      <c r="N167" s="168"/>
      <c r="O167" s="168"/>
      <c r="P167" s="168"/>
      <c r="Q167" s="168"/>
      <c r="R167" s="168"/>
      <c r="S167" s="168"/>
      <c r="T167" s="168"/>
      <c r="U167" s="168"/>
      <c r="V167" s="168"/>
      <c r="W167" s="168"/>
      <c r="X167" s="168"/>
      <c r="Y167" s="168"/>
      <c r="Z167" s="168"/>
      <c r="AA167" s="168"/>
    </row>
    <row r="168" customFormat="false" ht="15.75" hidden="false" customHeight="false" outlineLevel="0" collapsed="false">
      <c r="A168" s="168" t="str">
        <f aca="false">IF(ISBLANK(B168),"",B168&amp;"|"&amp;C168)</f>
        <v/>
      </c>
      <c r="B168" s="168"/>
      <c r="C168" s="168"/>
      <c r="D168" s="168"/>
      <c r="E168" s="175"/>
      <c r="F168" s="168"/>
      <c r="G168" s="168"/>
      <c r="H168" s="168"/>
      <c r="I168" s="168"/>
      <c r="J168" s="168"/>
      <c r="K168" s="168"/>
      <c r="L168" s="168"/>
      <c r="M168" s="168"/>
      <c r="N168" s="168"/>
      <c r="O168" s="168"/>
      <c r="P168" s="168"/>
      <c r="Q168" s="168"/>
      <c r="R168" s="168"/>
      <c r="S168" s="168"/>
      <c r="T168" s="168"/>
      <c r="U168" s="168"/>
      <c r="V168" s="168"/>
      <c r="W168" s="168"/>
      <c r="X168" s="168"/>
      <c r="Y168" s="168"/>
      <c r="Z168" s="168"/>
      <c r="AA168" s="168"/>
    </row>
    <row r="169" customFormat="false" ht="15.75" hidden="false" customHeight="false" outlineLevel="0" collapsed="false">
      <c r="A169" s="168" t="str">
        <f aca="false">IF(ISBLANK(B169),"",B169&amp;"|"&amp;C169)</f>
        <v/>
      </c>
      <c r="B169" s="168"/>
      <c r="C169" s="168"/>
      <c r="D169" s="168"/>
      <c r="E169" s="175"/>
      <c r="F169" s="168"/>
      <c r="G169" s="168"/>
      <c r="H169" s="168"/>
      <c r="I169" s="168"/>
      <c r="J169" s="168"/>
      <c r="K169" s="168"/>
      <c r="L169" s="168"/>
      <c r="M169" s="168"/>
      <c r="N169" s="168"/>
      <c r="O169" s="168"/>
      <c r="P169" s="168"/>
      <c r="Q169" s="168"/>
      <c r="R169" s="168"/>
      <c r="S169" s="168"/>
      <c r="T169" s="168"/>
      <c r="U169" s="168"/>
      <c r="V169" s="168"/>
      <c r="W169" s="168"/>
      <c r="X169" s="168"/>
      <c r="Y169" s="168"/>
      <c r="Z169" s="168"/>
      <c r="AA169" s="168"/>
    </row>
    <row r="170" customFormat="false" ht="15.75" hidden="false" customHeight="false" outlineLevel="0" collapsed="false">
      <c r="A170" s="168" t="str">
        <f aca="false">IF(ISBLANK(B170),"",B170&amp;"|"&amp;C170)</f>
        <v/>
      </c>
      <c r="B170" s="168"/>
      <c r="C170" s="168"/>
      <c r="D170" s="168"/>
      <c r="E170" s="175"/>
      <c r="F170" s="168"/>
      <c r="G170" s="168"/>
      <c r="H170" s="168"/>
      <c r="I170" s="168"/>
      <c r="J170" s="168"/>
      <c r="K170" s="168"/>
      <c r="L170" s="168"/>
      <c r="M170" s="168"/>
      <c r="N170" s="168"/>
      <c r="O170" s="168"/>
      <c r="P170" s="168"/>
      <c r="Q170" s="168"/>
      <c r="R170" s="168"/>
      <c r="S170" s="168"/>
      <c r="T170" s="168"/>
      <c r="U170" s="168"/>
      <c r="V170" s="168"/>
      <c r="W170" s="168"/>
      <c r="X170" s="168"/>
      <c r="Y170" s="168"/>
      <c r="Z170" s="168"/>
      <c r="AA170" s="168"/>
    </row>
    <row r="171" customFormat="false" ht="15.75" hidden="false" customHeight="false" outlineLevel="0" collapsed="false">
      <c r="A171" s="168" t="str">
        <f aca="false">IF(ISBLANK(B171),"",B171&amp;"|"&amp;C171)</f>
        <v/>
      </c>
      <c r="B171" s="168"/>
      <c r="C171" s="168"/>
      <c r="D171" s="168"/>
      <c r="E171" s="175"/>
      <c r="F171" s="168"/>
      <c r="G171" s="168"/>
      <c r="H171" s="168"/>
      <c r="I171" s="168"/>
      <c r="J171" s="168"/>
      <c r="K171" s="168"/>
      <c r="L171" s="168"/>
      <c r="M171" s="168"/>
      <c r="N171" s="168"/>
      <c r="O171" s="168"/>
      <c r="P171" s="168"/>
      <c r="Q171" s="168"/>
      <c r="R171" s="168"/>
      <c r="S171" s="168"/>
      <c r="T171" s="168"/>
      <c r="U171" s="168"/>
      <c r="V171" s="168"/>
      <c r="W171" s="168"/>
      <c r="X171" s="168"/>
      <c r="Y171" s="168"/>
      <c r="Z171" s="168"/>
      <c r="AA171" s="168"/>
    </row>
    <row r="172" customFormat="false" ht="15.75" hidden="false" customHeight="false" outlineLevel="0" collapsed="false">
      <c r="A172" s="168" t="str">
        <f aca="false">IF(ISBLANK(B172),"",B172&amp;"|"&amp;C172)</f>
        <v/>
      </c>
      <c r="B172" s="168"/>
      <c r="C172" s="168"/>
      <c r="D172" s="168"/>
      <c r="E172" s="175"/>
      <c r="F172" s="168"/>
      <c r="G172" s="168"/>
      <c r="H172" s="168"/>
      <c r="I172" s="168"/>
      <c r="J172" s="168"/>
      <c r="K172" s="168"/>
      <c r="L172" s="168"/>
      <c r="M172" s="168"/>
      <c r="N172" s="168"/>
      <c r="O172" s="168"/>
      <c r="P172" s="168"/>
      <c r="Q172" s="168"/>
      <c r="R172" s="168"/>
      <c r="S172" s="168"/>
      <c r="T172" s="168"/>
      <c r="U172" s="168"/>
      <c r="V172" s="168"/>
      <c r="W172" s="168"/>
      <c r="X172" s="168"/>
      <c r="Y172" s="168"/>
      <c r="Z172" s="168"/>
      <c r="AA172" s="168"/>
    </row>
    <row r="173" customFormat="false" ht="15.75" hidden="false" customHeight="false" outlineLevel="0" collapsed="false">
      <c r="A173" s="168" t="str">
        <f aca="false">IF(ISBLANK(B173),"",B173&amp;"|"&amp;C173)</f>
        <v/>
      </c>
      <c r="B173" s="168"/>
      <c r="C173" s="168"/>
      <c r="D173" s="168"/>
      <c r="E173" s="175"/>
      <c r="F173" s="168"/>
      <c r="G173" s="168"/>
      <c r="H173" s="168"/>
      <c r="I173" s="168"/>
      <c r="J173" s="168"/>
      <c r="K173" s="168"/>
      <c r="L173" s="168"/>
      <c r="M173" s="168"/>
      <c r="N173" s="168"/>
      <c r="O173" s="168"/>
      <c r="P173" s="168"/>
      <c r="Q173" s="168"/>
      <c r="R173" s="168"/>
      <c r="S173" s="168"/>
      <c r="T173" s="168"/>
      <c r="U173" s="168"/>
      <c r="V173" s="168"/>
      <c r="W173" s="168"/>
      <c r="X173" s="168"/>
      <c r="Y173" s="168"/>
      <c r="Z173" s="168"/>
      <c r="AA173" s="168"/>
    </row>
    <row r="174" customFormat="false" ht="15.75" hidden="false" customHeight="false" outlineLevel="0" collapsed="false">
      <c r="A174" s="168" t="str">
        <f aca="false">IF(ISBLANK(B174),"",B174&amp;"|"&amp;C174)</f>
        <v/>
      </c>
      <c r="B174" s="168"/>
      <c r="C174" s="168"/>
      <c r="D174" s="168"/>
      <c r="E174" s="175"/>
      <c r="F174" s="168"/>
      <c r="G174" s="168"/>
      <c r="H174" s="168"/>
      <c r="I174" s="168"/>
      <c r="J174" s="168"/>
      <c r="K174" s="168"/>
      <c r="L174" s="168"/>
      <c r="M174" s="168"/>
      <c r="N174" s="168"/>
      <c r="O174" s="168"/>
      <c r="P174" s="168"/>
      <c r="Q174" s="168"/>
      <c r="R174" s="168"/>
      <c r="S174" s="168"/>
      <c r="T174" s="168"/>
      <c r="U174" s="168"/>
      <c r="V174" s="168"/>
      <c r="W174" s="168"/>
      <c r="X174" s="168"/>
      <c r="Y174" s="168"/>
      <c r="Z174" s="168"/>
      <c r="AA174" s="168"/>
    </row>
    <row r="175" customFormat="false" ht="15.75" hidden="false" customHeight="false" outlineLevel="0" collapsed="false">
      <c r="A175" s="168" t="str">
        <f aca="false">IF(ISBLANK(B175),"",B175&amp;"|"&amp;C175)</f>
        <v/>
      </c>
      <c r="B175" s="168"/>
      <c r="C175" s="168"/>
      <c r="D175" s="168"/>
      <c r="E175" s="175"/>
      <c r="F175" s="168"/>
      <c r="G175" s="168"/>
      <c r="H175" s="168"/>
      <c r="I175" s="168"/>
      <c r="J175" s="168"/>
      <c r="K175" s="168"/>
      <c r="L175" s="168"/>
      <c r="M175" s="168"/>
      <c r="N175" s="168"/>
      <c r="O175" s="168"/>
      <c r="P175" s="168"/>
      <c r="Q175" s="168"/>
      <c r="R175" s="168"/>
      <c r="S175" s="168"/>
      <c r="T175" s="168"/>
      <c r="U175" s="168"/>
      <c r="V175" s="168"/>
      <c r="W175" s="168"/>
      <c r="X175" s="168"/>
      <c r="Y175" s="168"/>
      <c r="Z175" s="168"/>
      <c r="AA175" s="168"/>
    </row>
    <row r="176" customFormat="false" ht="15.75" hidden="false" customHeight="false" outlineLevel="0" collapsed="false">
      <c r="A176" s="168" t="str">
        <f aca="false">IF(ISBLANK(B176),"",B176&amp;"|"&amp;C176)</f>
        <v/>
      </c>
      <c r="B176" s="168"/>
      <c r="C176" s="168"/>
      <c r="D176" s="168"/>
      <c r="E176" s="175"/>
      <c r="F176" s="168"/>
      <c r="G176" s="168"/>
      <c r="H176" s="168"/>
      <c r="I176" s="168"/>
      <c r="J176" s="168"/>
      <c r="K176" s="168"/>
      <c r="L176" s="168"/>
      <c r="M176" s="168"/>
      <c r="N176" s="168"/>
      <c r="O176" s="168"/>
      <c r="P176" s="168"/>
      <c r="Q176" s="168"/>
      <c r="R176" s="168"/>
      <c r="S176" s="168"/>
      <c r="T176" s="168"/>
      <c r="U176" s="168"/>
      <c r="V176" s="168"/>
      <c r="W176" s="168"/>
      <c r="X176" s="168"/>
      <c r="Y176" s="168"/>
      <c r="Z176" s="168"/>
      <c r="AA176" s="168"/>
    </row>
    <row r="177" customFormat="false" ht="15.75" hidden="false" customHeight="false" outlineLevel="0" collapsed="false">
      <c r="A177" s="168" t="str">
        <f aca="false">IF(ISBLANK(B177),"",B177&amp;"|"&amp;C177)</f>
        <v/>
      </c>
      <c r="B177" s="168"/>
      <c r="C177" s="168"/>
      <c r="D177" s="168"/>
      <c r="E177" s="175"/>
      <c r="F177" s="168"/>
      <c r="G177" s="168"/>
      <c r="H177" s="168"/>
      <c r="I177" s="168"/>
      <c r="J177" s="168"/>
      <c r="K177" s="168"/>
      <c r="L177" s="168"/>
      <c r="M177" s="168"/>
      <c r="N177" s="168"/>
      <c r="O177" s="168"/>
      <c r="P177" s="168"/>
      <c r="Q177" s="168"/>
      <c r="R177" s="168"/>
      <c r="S177" s="168"/>
      <c r="T177" s="168"/>
      <c r="U177" s="168"/>
      <c r="V177" s="168"/>
      <c r="W177" s="168"/>
      <c r="X177" s="168"/>
      <c r="Y177" s="168"/>
      <c r="Z177" s="168"/>
      <c r="AA177" s="168"/>
    </row>
    <row r="178" customFormat="false" ht="15.75" hidden="false" customHeight="false" outlineLevel="0" collapsed="false">
      <c r="A178" s="168" t="str">
        <f aca="false">IF(ISBLANK(B178),"",B178&amp;"|"&amp;C178)</f>
        <v/>
      </c>
      <c r="B178" s="168"/>
      <c r="C178" s="168"/>
      <c r="D178" s="168"/>
      <c r="E178" s="175"/>
      <c r="F178" s="168"/>
      <c r="G178" s="168"/>
      <c r="H178" s="168"/>
      <c r="I178" s="168"/>
      <c r="J178" s="168"/>
      <c r="K178" s="168"/>
      <c r="L178" s="168"/>
      <c r="M178" s="168"/>
      <c r="N178" s="168"/>
      <c r="O178" s="168"/>
      <c r="P178" s="168"/>
      <c r="Q178" s="168"/>
      <c r="R178" s="168"/>
      <c r="S178" s="168"/>
      <c r="T178" s="168"/>
      <c r="U178" s="168"/>
      <c r="V178" s="168"/>
      <c r="W178" s="168"/>
      <c r="X178" s="168"/>
      <c r="Y178" s="168"/>
      <c r="Z178" s="168"/>
      <c r="AA178" s="168"/>
    </row>
    <row r="179" customFormat="false" ht="15.75" hidden="false" customHeight="false" outlineLevel="0" collapsed="false">
      <c r="A179" s="168" t="str">
        <f aca="false">IF(ISBLANK(B179),"",B179&amp;"|"&amp;C179)</f>
        <v/>
      </c>
      <c r="B179" s="168"/>
      <c r="C179" s="168"/>
      <c r="D179" s="168"/>
      <c r="E179" s="175"/>
      <c r="F179" s="168"/>
      <c r="G179" s="168"/>
      <c r="H179" s="168"/>
      <c r="I179" s="168"/>
      <c r="J179" s="168"/>
      <c r="K179" s="168"/>
      <c r="L179" s="168"/>
      <c r="M179" s="168"/>
      <c r="N179" s="168"/>
      <c r="O179" s="168"/>
      <c r="P179" s="168"/>
      <c r="Q179" s="168"/>
      <c r="R179" s="168"/>
      <c r="S179" s="168"/>
      <c r="T179" s="168"/>
      <c r="U179" s="168"/>
      <c r="V179" s="168"/>
      <c r="W179" s="168"/>
      <c r="X179" s="168"/>
      <c r="Y179" s="168"/>
      <c r="Z179" s="168"/>
      <c r="AA179" s="168"/>
    </row>
    <row r="180" customFormat="false" ht="15.75" hidden="false" customHeight="false" outlineLevel="0" collapsed="false">
      <c r="A180" s="168" t="str">
        <f aca="false">IF(ISBLANK(B180),"",B180&amp;"|"&amp;C180)</f>
        <v/>
      </c>
      <c r="B180" s="168"/>
      <c r="C180" s="168"/>
      <c r="D180" s="168"/>
      <c r="E180" s="175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  <c r="AA180" s="168"/>
    </row>
    <row r="181" customFormat="false" ht="15.75" hidden="false" customHeight="false" outlineLevel="0" collapsed="false">
      <c r="A181" s="168" t="str">
        <f aca="false">IF(ISBLANK(B181),"",B181&amp;"|"&amp;C181)</f>
        <v/>
      </c>
      <c r="B181" s="168"/>
      <c r="C181" s="168"/>
      <c r="D181" s="168"/>
      <c r="E181" s="175"/>
      <c r="F181" s="168"/>
      <c r="G181" s="168"/>
      <c r="H181" s="168"/>
      <c r="I181" s="168"/>
      <c r="J181" s="168"/>
      <c r="K181" s="168"/>
      <c r="L181" s="168"/>
      <c r="M181" s="168"/>
      <c r="N181" s="168"/>
      <c r="O181" s="168"/>
      <c r="P181" s="168"/>
      <c r="Q181" s="168"/>
      <c r="R181" s="168"/>
      <c r="S181" s="168"/>
      <c r="T181" s="168"/>
      <c r="U181" s="168"/>
      <c r="V181" s="168"/>
      <c r="W181" s="168"/>
      <c r="X181" s="168"/>
      <c r="Y181" s="168"/>
      <c r="Z181" s="168"/>
      <c r="AA181" s="168"/>
    </row>
    <row r="182" customFormat="false" ht="15.75" hidden="false" customHeight="false" outlineLevel="0" collapsed="false">
      <c r="A182" s="168" t="str">
        <f aca="false">IF(ISBLANK(B182),"",B182&amp;"|"&amp;C182)</f>
        <v/>
      </c>
      <c r="B182" s="168"/>
      <c r="C182" s="168"/>
      <c r="D182" s="168"/>
      <c r="E182" s="175"/>
      <c r="F182" s="168"/>
      <c r="G182" s="168"/>
      <c r="H182" s="168"/>
      <c r="I182" s="168"/>
      <c r="J182" s="168"/>
      <c r="K182" s="168"/>
      <c r="L182" s="168"/>
      <c r="M182" s="168"/>
      <c r="N182" s="168"/>
      <c r="O182" s="168"/>
      <c r="P182" s="168"/>
      <c r="Q182" s="168"/>
      <c r="R182" s="168"/>
      <c r="S182" s="168"/>
      <c r="T182" s="168"/>
      <c r="U182" s="168"/>
      <c r="V182" s="168"/>
      <c r="W182" s="168"/>
      <c r="X182" s="168"/>
      <c r="Y182" s="168"/>
      <c r="Z182" s="168"/>
      <c r="AA182" s="168"/>
    </row>
    <row r="183" customFormat="false" ht="15.75" hidden="false" customHeight="false" outlineLevel="0" collapsed="false">
      <c r="A183" s="168" t="str">
        <f aca="false">IF(ISBLANK(B183),"",B183&amp;"|"&amp;C183)</f>
        <v/>
      </c>
      <c r="B183" s="168"/>
      <c r="C183" s="168"/>
      <c r="D183" s="168"/>
      <c r="E183" s="175"/>
      <c r="F183" s="168"/>
      <c r="G183" s="168"/>
      <c r="H183" s="168"/>
      <c r="I183" s="168"/>
      <c r="J183" s="168"/>
      <c r="K183" s="168"/>
      <c r="L183" s="168"/>
      <c r="M183" s="168"/>
      <c r="N183" s="168"/>
      <c r="O183" s="168"/>
      <c r="P183" s="168"/>
      <c r="Q183" s="168"/>
      <c r="R183" s="168"/>
      <c r="S183" s="168"/>
      <c r="T183" s="168"/>
      <c r="U183" s="168"/>
      <c r="V183" s="168"/>
      <c r="W183" s="168"/>
      <c r="X183" s="168"/>
      <c r="Y183" s="168"/>
      <c r="Z183" s="168"/>
      <c r="AA183" s="168"/>
    </row>
    <row r="184" customFormat="false" ht="15.75" hidden="false" customHeight="false" outlineLevel="0" collapsed="false">
      <c r="A184" s="168" t="str">
        <f aca="false">IF(ISBLANK(B184),"",B184&amp;"|"&amp;C184)</f>
        <v/>
      </c>
      <c r="B184" s="168"/>
      <c r="C184" s="168"/>
      <c r="D184" s="168"/>
      <c r="E184" s="175"/>
      <c r="F184" s="168"/>
      <c r="G184" s="168"/>
      <c r="H184" s="168"/>
      <c r="I184" s="168"/>
      <c r="J184" s="168"/>
      <c r="K184" s="168"/>
      <c r="L184" s="168"/>
      <c r="M184" s="168"/>
      <c r="N184" s="168"/>
      <c r="O184" s="168"/>
      <c r="P184" s="168"/>
      <c r="Q184" s="168"/>
      <c r="R184" s="168"/>
      <c r="S184" s="168"/>
      <c r="T184" s="168"/>
      <c r="U184" s="168"/>
      <c r="V184" s="168"/>
      <c r="W184" s="168"/>
      <c r="X184" s="168"/>
      <c r="Y184" s="168"/>
      <c r="Z184" s="168"/>
      <c r="AA184" s="168"/>
    </row>
    <row r="185" customFormat="false" ht="15.75" hidden="false" customHeight="false" outlineLevel="0" collapsed="false">
      <c r="A185" s="168" t="str">
        <f aca="false">IF(ISBLANK(B185),"",B185&amp;"|"&amp;C185)</f>
        <v/>
      </c>
      <c r="B185" s="168"/>
      <c r="C185" s="168"/>
      <c r="D185" s="168"/>
      <c r="E185" s="175"/>
      <c r="F185" s="168"/>
      <c r="G185" s="168"/>
      <c r="H185" s="168"/>
      <c r="I185" s="168"/>
      <c r="J185" s="168"/>
      <c r="K185" s="168"/>
      <c r="L185" s="168"/>
      <c r="M185" s="168"/>
      <c r="N185" s="168"/>
      <c r="O185" s="168"/>
      <c r="P185" s="168"/>
      <c r="Q185" s="168"/>
      <c r="R185" s="168"/>
      <c r="S185" s="168"/>
      <c r="T185" s="168"/>
      <c r="U185" s="168"/>
      <c r="V185" s="168"/>
      <c r="W185" s="168"/>
      <c r="X185" s="168"/>
      <c r="Y185" s="168"/>
      <c r="Z185" s="168"/>
      <c r="AA185" s="168"/>
    </row>
    <row r="186" customFormat="false" ht="15.75" hidden="false" customHeight="false" outlineLevel="0" collapsed="false">
      <c r="A186" s="168" t="str">
        <f aca="false">IF(ISBLANK(B186),"",B186&amp;"|"&amp;C186)</f>
        <v/>
      </c>
      <c r="B186" s="168"/>
      <c r="C186" s="168"/>
      <c r="D186" s="168"/>
      <c r="E186" s="175"/>
      <c r="F186" s="168"/>
      <c r="G186" s="168"/>
      <c r="H186" s="168"/>
      <c r="I186" s="168"/>
      <c r="J186" s="168"/>
      <c r="K186" s="168"/>
      <c r="L186" s="168"/>
      <c r="M186" s="168"/>
      <c r="N186" s="168"/>
      <c r="O186" s="168"/>
      <c r="P186" s="168"/>
      <c r="Q186" s="168"/>
      <c r="R186" s="168"/>
      <c r="S186" s="168"/>
      <c r="T186" s="168"/>
      <c r="U186" s="168"/>
      <c r="V186" s="168"/>
      <c r="W186" s="168"/>
      <c r="X186" s="168"/>
      <c r="Y186" s="168"/>
      <c r="Z186" s="168"/>
      <c r="AA186" s="168"/>
    </row>
    <row r="187" customFormat="false" ht="15.75" hidden="false" customHeight="false" outlineLevel="0" collapsed="false">
      <c r="A187" s="168" t="str">
        <f aca="false">IF(ISBLANK(B187),"",B187&amp;"|"&amp;C187)</f>
        <v/>
      </c>
      <c r="B187" s="168"/>
      <c r="C187" s="168"/>
      <c r="D187" s="168"/>
      <c r="E187" s="175"/>
      <c r="F187" s="168"/>
      <c r="G187" s="168"/>
      <c r="H187" s="168"/>
      <c r="I187" s="168"/>
      <c r="J187" s="168"/>
      <c r="K187" s="168"/>
      <c r="L187" s="168"/>
      <c r="M187" s="168"/>
      <c r="N187" s="168"/>
      <c r="O187" s="168"/>
      <c r="P187" s="168"/>
      <c r="Q187" s="168"/>
      <c r="R187" s="168"/>
      <c r="S187" s="168"/>
      <c r="T187" s="168"/>
      <c r="U187" s="168"/>
      <c r="V187" s="168"/>
      <c r="W187" s="168"/>
      <c r="X187" s="168"/>
      <c r="Y187" s="168"/>
      <c r="Z187" s="168"/>
      <c r="AA187" s="168"/>
    </row>
    <row r="188" customFormat="false" ht="15.75" hidden="false" customHeight="false" outlineLevel="0" collapsed="false">
      <c r="A188" s="168" t="str">
        <f aca="false">IF(ISBLANK(B188),"",B188&amp;"|"&amp;C188)</f>
        <v/>
      </c>
      <c r="B188" s="168"/>
      <c r="C188" s="168"/>
      <c r="D188" s="168"/>
      <c r="E188" s="175"/>
      <c r="F188" s="168"/>
      <c r="G188" s="168"/>
      <c r="H188" s="168"/>
      <c r="I188" s="168"/>
      <c r="J188" s="168"/>
      <c r="K188" s="168"/>
      <c r="L188" s="168"/>
      <c r="M188" s="168"/>
      <c r="N188" s="168"/>
      <c r="O188" s="168"/>
      <c r="P188" s="168"/>
      <c r="Q188" s="168"/>
      <c r="R188" s="168"/>
      <c r="S188" s="168"/>
      <c r="T188" s="168"/>
      <c r="U188" s="168"/>
      <c r="V188" s="168"/>
      <c r="W188" s="168"/>
      <c r="X188" s="168"/>
      <c r="Y188" s="168"/>
      <c r="Z188" s="168"/>
      <c r="AA188" s="168"/>
    </row>
    <row r="189" customFormat="false" ht="15.75" hidden="false" customHeight="false" outlineLevel="0" collapsed="false">
      <c r="A189" s="168" t="str">
        <f aca="false">IF(ISBLANK(B189),"",B189&amp;"|"&amp;C189)</f>
        <v/>
      </c>
      <c r="B189" s="168"/>
      <c r="C189" s="168"/>
      <c r="D189" s="168"/>
      <c r="E189" s="175"/>
      <c r="F189" s="168"/>
      <c r="G189" s="168"/>
      <c r="H189" s="168"/>
      <c r="I189" s="168"/>
      <c r="J189" s="168"/>
      <c r="K189" s="168"/>
      <c r="L189" s="168"/>
      <c r="M189" s="168"/>
      <c r="N189" s="168"/>
      <c r="O189" s="168"/>
      <c r="P189" s="168"/>
      <c r="Q189" s="168"/>
      <c r="R189" s="168"/>
      <c r="S189" s="168"/>
      <c r="T189" s="168"/>
      <c r="U189" s="168"/>
      <c r="V189" s="168"/>
      <c r="W189" s="168"/>
      <c r="X189" s="168"/>
      <c r="Y189" s="168"/>
      <c r="Z189" s="168"/>
      <c r="AA189" s="168"/>
    </row>
    <row r="190" customFormat="false" ht="15.75" hidden="false" customHeight="false" outlineLevel="0" collapsed="false">
      <c r="A190" s="168" t="str">
        <f aca="false">IF(ISBLANK(B190),"",B190&amp;"|"&amp;C190)</f>
        <v/>
      </c>
      <c r="B190" s="168"/>
      <c r="C190" s="168"/>
      <c r="D190" s="168"/>
      <c r="E190" s="175"/>
      <c r="F190" s="168"/>
      <c r="G190" s="168"/>
      <c r="H190" s="168"/>
      <c r="I190" s="168"/>
      <c r="J190" s="168"/>
      <c r="K190" s="168"/>
      <c r="L190" s="168"/>
      <c r="M190" s="168"/>
      <c r="N190" s="168"/>
      <c r="O190" s="168"/>
      <c r="P190" s="168"/>
      <c r="Q190" s="168"/>
      <c r="R190" s="168"/>
      <c r="S190" s="168"/>
      <c r="T190" s="168"/>
      <c r="U190" s="168"/>
      <c r="V190" s="168"/>
      <c r="W190" s="168"/>
      <c r="X190" s="168"/>
      <c r="Y190" s="168"/>
      <c r="Z190" s="168"/>
      <c r="AA190" s="168"/>
    </row>
    <row r="191" customFormat="false" ht="15.75" hidden="false" customHeight="false" outlineLevel="0" collapsed="false">
      <c r="A191" s="168" t="str">
        <f aca="false">IF(ISBLANK(B191),"",B191&amp;"|"&amp;C191)</f>
        <v/>
      </c>
      <c r="B191" s="168"/>
      <c r="C191" s="168"/>
      <c r="D191" s="168"/>
      <c r="E191" s="175"/>
      <c r="F191" s="168"/>
      <c r="G191" s="168"/>
      <c r="H191" s="168"/>
      <c r="I191" s="168"/>
      <c r="J191" s="168"/>
      <c r="K191" s="168"/>
      <c r="L191" s="168"/>
      <c r="M191" s="168"/>
      <c r="N191" s="168"/>
      <c r="O191" s="168"/>
      <c r="P191" s="168"/>
      <c r="Q191" s="168"/>
      <c r="R191" s="168"/>
      <c r="S191" s="168"/>
      <c r="T191" s="168"/>
      <c r="U191" s="168"/>
      <c r="V191" s="168"/>
      <c r="W191" s="168"/>
      <c r="X191" s="168"/>
      <c r="Y191" s="168"/>
      <c r="Z191" s="168"/>
      <c r="AA191" s="168"/>
    </row>
    <row r="192" customFormat="false" ht="15.75" hidden="false" customHeight="false" outlineLevel="0" collapsed="false">
      <c r="A192" s="168" t="str">
        <f aca="false">IF(ISBLANK(B192),"",B192&amp;"|"&amp;C192)</f>
        <v/>
      </c>
      <c r="B192" s="168"/>
      <c r="C192" s="168"/>
      <c r="D192" s="168"/>
      <c r="E192" s="175"/>
      <c r="F192" s="168"/>
      <c r="G192" s="168"/>
      <c r="H192" s="168"/>
      <c r="I192" s="168"/>
      <c r="J192" s="168"/>
      <c r="K192" s="168"/>
      <c r="L192" s="168"/>
      <c r="M192" s="168"/>
      <c r="N192" s="168"/>
      <c r="O192" s="168"/>
      <c r="P192" s="168"/>
      <c r="Q192" s="168"/>
      <c r="R192" s="168"/>
      <c r="S192" s="168"/>
      <c r="T192" s="168"/>
      <c r="U192" s="168"/>
      <c r="V192" s="168"/>
      <c r="W192" s="168"/>
      <c r="X192" s="168"/>
      <c r="Y192" s="168"/>
      <c r="Z192" s="168"/>
      <c r="AA192" s="168"/>
    </row>
    <row r="193" customFormat="false" ht="15.75" hidden="false" customHeight="false" outlineLevel="0" collapsed="false">
      <c r="A193" s="168" t="str">
        <f aca="false">IF(ISBLANK(B193),"",B193&amp;"|"&amp;C193)</f>
        <v/>
      </c>
      <c r="B193" s="168"/>
      <c r="C193" s="168"/>
      <c r="D193" s="168"/>
      <c r="E193" s="175"/>
      <c r="F193" s="168"/>
      <c r="G193" s="168"/>
      <c r="H193" s="168"/>
      <c r="I193" s="168"/>
      <c r="J193" s="168"/>
      <c r="K193" s="168"/>
      <c r="L193" s="168"/>
      <c r="M193" s="168"/>
      <c r="N193" s="168"/>
      <c r="O193" s="168"/>
      <c r="P193" s="168"/>
      <c r="Q193" s="168"/>
      <c r="R193" s="168"/>
      <c r="S193" s="168"/>
      <c r="T193" s="168"/>
      <c r="U193" s="168"/>
      <c r="V193" s="168"/>
      <c r="W193" s="168"/>
      <c r="X193" s="168"/>
      <c r="Y193" s="168"/>
      <c r="Z193" s="168"/>
      <c r="AA193" s="168"/>
    </row>
    <row r="194" customFormat="false" ht="15.75" hidden="false" customHeight="false" outlineLevel="0" collapsed="false">
      <c r="A194" s="168" t="str">
        <f aca="false">IF(ISBLANK(B194),"",B194&amp;"|"&amp;C194)</f>
        <v/>
      </c>
      <c r="B194" s="168"/>
      <c r="C194" s="168"/>
      <c r="D194" s="168"/>
      <c r="E194" s="175"/>
      <c r="F194" s="168"/>
      <c r="G194" s="168"/>
      <c r="H194" s="168"/>
      <c r="I194" s="168"/>
      <c r="J194" s="168"/>
      <c r="K194" s="168"/>
      <c r="L194" s="168"/>
      <c r="M194" s="168"/>
      <c r="N194" s="168"/>
      <c r="O194" s="168"/>
      <c r="P194" s="168"/>
      <c r="Q194" s="168"/>
      <c r="R194" s="168"/>
      <c r="S194" s="168"/>
      <c r="T194" s="168"/>
      <c r="U194" s="168"/>
      <c r="V194" s="168"/>
      <c r="W194" s="168"/>
      <c r="X194" s="168"/>
      <c r="Y194" s="168"/>
      <c r="Z194" s="168"/>
      <c r="AA194" s="168"/>
    </row>
    <row r="195" customFormat="false" ht="15.75" hidden="false" customHeight="false" outlineLevel="0" collapsed="false">
      <c r="A195" s="168" t="str">
        <f aca="false">IF(ISBLANK(B195),"",B195&amp;"|"&amp;C195)</f>
        <v/>
      </c>
      <c r="B195" s="168"/>
      <c r="C195" s="168"/>
      <c r="D195" s="168"/>
      <c r="E195" s="175"/>
      <c r="F195" s="168"/>
      <c r="G195" s="168"/>
      <c r="H195" s="168"/>
      <c r="I195" s="168"/>
      <c r="J195" s="168"/>
      <c r="K195" s="168"/>
      <c r="L195" s="168"/>
      <c r="M195" s="168"/>
      <c r="N195" s="168"/>
      <c r="O195" s="168"/>
      <c r="P195" s="168"/>
      <c r="Q195" s="168"/>
      <c r="R195" s="168"/>
      <c r="S195" s="168"/>
      <c r="T195" s="168"/>
      <c r="U195" s="168"/>
      <c r="V195" s="168"/>
      <c r="W195" s="168"/>
      <c r="X195" s="168"/>
      <c r="Y195" s="168"/>
      <c r="Z195" s="168"/>
      <c r="AA195" s="168"/>
    </row>
    <row r="196" customFormat="false" ht="15.75" hidden="false" customHeight="false" outlineLevel="0" collapsed="false">
      <c r="A196" s="168" t="str">
        <f aca="false">IF(ISBLANK(B196),"",B196&amp;"|"&amp;C196)</f>
        <v/>
      </c>
      <c r="B196" s="168"/>
      <c r="C196" s="168"/>
      <c r="D196" s="168"/>
      <c r="E196" s="175"/>
      <c r="F196" s="168"/>
      <c r="G196" s="168"/>
      <c r="H196" s="168"/>
      <c r="I196" s="168"/>
      <c r="J196" s="168"/>
      <c r="K196" s="168"/>
      <c r="L196" s="168"/>
      <c r="M196" s="168"/>
      <c r="N196" s="168"/>
      <c r="O196" s="168"/>
      <c r="P196" s="168"/>
      <c r="Q196" s="168"/>
      <c r="R196" s="168"/>
      <c r="S196" s="168"/>
      <c r="T196" s="168"/>
      <c r="U196" s="168"/>
      <c r="V196" s="168"/>
      <c r="W196" s="168"/>
      <c r="X196" s="168"/>
      <c r="Y196" s="168"/>
      <c r="Z196" s="168"/>
      <c r="AA196" s="168"/>
    </row>
    <row r="197" customFormat="false" ht="15.75" hidden="false" customHeight="false" outlineLevel="0" collapsed="false">
      <c r="A197" s="168" t="str">
        <f aca="false">IF(ISBLANK(B197),"",B197&amp;"|"&amp;C197)</f>
        <v/>
      </c>
      <c r="B197" s="168"/>
      <c r="C197" s="168"/>
      <c r="D197" s="168"/>
      <c r="E197" s="175"/>
      <c r="F197" s="168"/>
      <c r="G197" s="168"/>
      <c r="H197" s="168"/>
      <c r="I197" s="168"/>
      <c r="J197" s="168"/>
      <c r="K197" s="168"/>
      <c r="L197" s="168"/>
      <c r="M197" s="168"/>
      <c r="N197" s="168"/>
      <c r="O197" s="168"/>
      <c r="P197" s="168"/>
      <c r="Q197" s="168"/>
      <c r="R197" s="168"/>
      <c r="S197" s="168"/>
      <c r="T197" s="168"/>
      <c r="U197" s="168"/>
      <c r="V197" s="168"/>
      <c r="W197" s="168"/>
      <c r="X197" s="168"/>
      <c r="Y197" s="168"/>
      <c r="Z197" s="168"/>
      <c r="AA197" s="168"/>
    </row>
    <row r="198" customFormat="false" ht="15.75" hidden="false" customHeight="false" outlineLevel="0" collapsed="false">
      <c r="A198" s="168" t="str">
        <f aca="false">IF(ISBLANK(B198),"",B198&amp;"|"&amp;C198)</f>
        <v/>
      </c>
      <c r="B198" s="168"/>
      <c r="C198" s="168"/>
      <c r="D198" s="168"/>
      <c r="E198" s="175"/>
      <c r="F198" s="168"/>
      <c r="G198" s="168"/>
      <c r="H198" s="168"/>
      <c r="I198" s="168"/>
      <c r="J198" s="168"/>
      <c r="K198" s="168"/>
      <c r="L198" s="168"/>
      <c r="M198" s="168"/>
      <c r="N198" s="168"/>
      <c r="O198" s="168"/>
      <c r="P198" s="168"/>
      <c r="Q198" s="168"/>
      <c r="R198" s="168"/>
      <c r="S198" s="168"/>
      <c r="T198" s="168"/>
      <c r="U198" s="168"/>
      <c r="V198" s="168"/>
      <c r="W198" s="168"/>
      <c r="X198" s="168"/>
      <c r="Y198" s="168"/>
      <c r="Z198" s="168"/>
      <c r="AA198" s="168"/>
    </row>
    <row r="199" customFormat="false" ht="15.75" hidden="false" customHeight="false" outlineLevel="0" collapsed="false">
      <c r="A199" s="168" t="str">
        <f aca="false">IF(ISBLANK(B199),"",B199&amp;"|"&amp;C199)</f>
        <v/>
      </c>
      <c r="B199" s="168"/>
      <c r="C199" s="168"/>
      <c r="D199" s="168"/>
      <c r="E199" s="175"/>
      <c r="F199" s="168"/>
      <c r="G199" s="168"/>
      <c r="H199" s="168"/>
      <c r="I199" s="168"/>
      <c r="J199" s="168"/>
      <c r="K199" s="168"/>
      <c r="L199" s="168"/>
      <c r="M199" s="168"/>
      <c r="N199" s="168"/>
      <c r="O199" s="168"/>
      <c r="P199" s="168"/>
      <c r="Q199" s="168"/>
      <c r="R199" s="168"/>
      <c r="S199" s="168"/>
      <c r="T199" s="168"/>
      <c r="U199" s="168"/>
      <c r="V199" s="168"/>
      <c r="W199" s="168"/>
      <c r="X199" s="168"/>
      <c r="Y199" s="168"/>
      <c r="Z199" s="168"/>
      <c r="AA199" s="168"/>
    </row>
    <row r="200" customFormat="false" ht="15.75" hidden="false" customHeight="false" outlineLevel="0" collapsed="false">
      <c r="A200" s="168" t="str">
        <f aca="false">IF(ISBLANK(B200),"",B200&amp;"|"&amp;C200)</f>
        <v/>
      </c>
      <c r="B200" s="168"/>
      <c r="C200" s="168"/>
      <c r="D200" s="168"/>
      <c r="E200" s="175"/>
      <c r="F200" s="168"/>
      <c r="G200" s="168"/>
      <c r="H200" s="168"/>
      <c r="I200" s="168"/>
      <c r="J200" s="168"/>
      <c r="K200" s="168"/>
      <c r="L200" s="168"/>
      <c r="M200" s="168"/>
      <c r="N200" s="168"/>
      <c r="O200" s="168"/>
      <c r="P200" s="168"/>
      <c r="Q200" s="168"/>
      <c r="R200" s="168"/>
      <c r="S200" s="168"/>
      <c r="T200" s="168"/>
      <c r="U200" s="168"/>
      <c r="V200" s="168"/>
      <c r="W200" s="168"/>
      <c r="X200" s="168"/>
      <c r="Y200" s="168"/>
      <c r="Z200" s="168"/>
      <c r="AA200" s="168"/>
    </row>
    <row r="201" customFormat="false" ht="15.75" hidden="false" customHeight="false" outlineLevel="0" collapsed="false">
      <c r="A201" s="168" t="str">
        <f aca="false">IF(ISBLANK(B201),"",B201&amp;"|"&amp;C201)</f>
        <v/>
      </c>
      <c r="B201" s="168"/>
      <c r="C201" s="168"/>
      <c r="D201" s="168"/>
      <c r="E201" s="175"/>
      <c r="F201" s="168"/>
      <c r="G201" s="168"/>
      <c r="H201" s="168"/>
      <c r="I201" s="168"/>
      <c r="J201" s="168"/>
      <c r="K201" s="168"/>
      <c r="L201" s="168"/>
      <c r="M201" s="168"/>
      <c r="N201" s="168"/>
      <c r="O201" s="168"/>
      <c r="P201" s="168"/>
      <c r="Q201" s="168"/>
      <c r="R201" s="168"/>
      <c r="S201" s="168"/>
      <c r="T201" s="168"/>
      <c r="U201" s="168"/>
      <c r="V201" s="168"/>
      <c r="W201" s="168"/>
      <c r="X201" s="168"/>
      <c r="Y201" s="168"/>
      <c r="Z201" s="168"/>
      <c r="AA201" s="168"/>
    </row>
    <row r="202" customFormat="false" ht="15.75" hidden="false" customHeight="false" outlineLevel="0" collapsed="false">
      <c r="A202" s="168" t="str">
        <f aca="false">IF(ISBLANK(B202),"",B202&amp;"|"&amp;C202)</f>
        <v/>
      </c>
      <c r="B202" s="168"/>
      <c r="C202" s="168"/>
      <c r="D202" s="168"/>
      <c r="E202" s="175"/>
      <c r="F202" s="168"/>
      <c r="G202" s="168"/>
      <c r="H202" s="168"/>
      <c r="I202" s="168"/>
      <c r="J202" s="168"/>
      <c r="K202" s="168"/>
      <c r="L202" s="168"/>
      <c r="M202" s="168"/>
      <c r="N202" s="168"/>
      <c r="O202" s="168"/>
      <c r="P202" s="168"/>
      <c r="Q202" s="168"/>
      <c r="R202" s="168"/>
      <c r="S202" s="168"/>
      <c r="T202" s="168"/>
      <c r="U202" s="168"/>
      <c r="V202" s="168"/>
      <c r="W202" s="168"/>
      <c r="X202" s="168"/>
      <c r="Y202" s="168"/>
      <c r="Z202" s="168"/>
      <c r="AA202" s="168"/>
    </row>
    <row r="203" customFormat="false" ht="15.75" hidden="false" customHeight="false" outlineLevel="0" collapsed="false">
      <c r="A203" s="168" t="str">
        <f aca="false">IF(ISBLANK(B203),"",B203&amp;"|"&amp;C203)</f>
        <v/>
      </c>
      <c r="B203" s="168"/>
      <c r="C203" s="168"/>
      <c r="D203" s="168"/>
      <c r="E203" s="175"/>
      <c r="F203" s="168"/>
      <c r="G203" s="168"/>
      <c r="H203" s="168"/>
      <c r="I203" s="168"/>
      <c r="J203" s="168"/>
      <c r="K203" s="168"/>
      <c r="L203" s="168"/>
      <c r="M203" s="168"/>
      <c r="N203" s="168"/>
      <c r="O203" s="168"/>
      <c r="P203" s="168"/>
      <c r="Q203" s="168"/>
      <c r="R203" s="168"/>
      <c r="S203" s="168"/>
      <c r="T203" s="168"/>
      <c r="U203" s="168"/>
      <c r="V203" s="168"/>
      <c r="W203" s="168"/>
      <c r="X203" s="168"/>
      <c r="Y203" s="168"/>
      <c r="Z203" s="168"/>
      <c r="AA203" s="168"/>
    </row>
    <row r="204" customFormat="false" ht="15.75" hidden="false" customHeight="false" outlineLevel="0" collapsed="false">
      <c r="A204" s="168" t="str">
        <f aca="false">IF(ISBLANK(B204),"",B204&amp;"|"&amp;C204)</f>
        <v/>
      </c>
      <c r="B204" s="168"/>
      <c r="C204" s="168"/>
      <c r="D204" s="168"/>
      <c r="E204" s="175"/>
      <c r="F204" s="168"/>
      <c r="G204" s="168"/>
      <c r="H204" s="168"/>
      <c r="I204" s="168"/>
      <c r="J204" s="168"/>
      <c r="K204" s="168"/>
      <c r="L204" s="168"/>
      <c r="M204" s="168"/>
      <c r="N204" s="168"/>
      <c r="O204" s="168"/>
      <c r="P204" s="168"/>
      <c r="Q204" s="168"/>
      <c r="R204" s="168"/>
      <c r="S204" s="168"/>
      <c r="T204" s="168"/>
      <c r="U204" s="168"/>
      <c r="V204" s="168"/>
      <c r="W204" s="168"/>
      <c r="X204" s="168"/>
      <c r="Y204" s="168"/>
      <c r="Z204" s="168"/>
      <c r="AA204" s="168"/>
    </row>
    <row r="205" customFormat="false" ht="15.75" hidden="false" customHeight="false" outlineLevel="0" collapsed="false">
      <c r="A205" s="168" t="str">
        <f aca="false">IF(ISBLANK(B205),"",B205&amp;"|"&amp;C205)</f>
        <v/>
      </c>
      <c r="B205" s="168"/>
      <c r="C205" s="168"/>
      <c r="D205" s="168"/>
      <c r="E205" s="175"/>
      <c r="F205" s="168"/>
      <c r="G205" s="168"/>
      <c r="H205" s="168"/>
      <c r="I205" s="168"/>
      <c r="J205" s="168"/>
      <c r="K205" s="168"/>
      <c r="L205" s="168"/>
      <c r="M205" s="168"/>
      <c r="N205" s="168"/>
      <c r="O205" s="168"/>
      <c r="P205" s="168"/>
      <c r="Q205" s="168"/>
      <c r="R205" s="168"/>
      <c r="S205" s="168"/>
      <c r="T205" s="168"/>
      <c r="U205" s="168"/>
      <c r="V205" s="168"/>
      <c r="W205" s="168"/>
      <c r="X205" s="168"/>
      <c r="Y205" s="168"/>
      <c r="Z205" s="168"/>
      <c r="AA205" s="168"/>
    </row>
    <row r="206" customFormat="false" ht="15.75" hidden="false" customHeight="false" outlineLevel="0" collapsed="false">
      <c r="A206" s="168" t="str">
        <f aca="false">IF(ISBLANK(B206),"",B206&amp;"|"&amp;C206)</f>
        <v/>
      </c>
      <c r="B206" s="168"/>
      <c r="C206" s="168"/>
      <c r="D206" s="168"/>
      <c r="E206" s="175"/>
      <c r="F206" s="168"/>
      <c r="G206" s="168"/>
      <c r="H206" s="168"/>
      <c r="I206" s="168"/>
      <c r="J206" s="168"/>
      <c r="K206" s="168"/>
      <c r="L206" s="168"/>
      <c r="M206" s="168"/>
      <c r="N206" s="168"/>
      <c r="O206" s="168"/>
      <c r="P206" s="168"/>
      <c r="Q206" s="168"/>
      <c r="R206" s="168"/>
      <c r="S206" s="168"/>
      <c r="T206" s="168"/>
      <c r="U206" s="168"/>
      <c r="V206" s="168"/>
      <c r="W206" s="168"/>
      <c r="X206" s="168"/>
      <c r="Y206" s="168"/>
      <c r="Z206" s="168"/>
      <c r="AA206" s="168"/>
    </row>
    <row r="207" customFormat="false" ht="15.75" hidden="false" customHeight="false" outlineLevel="0" collapsed="false">
      <c r="A207" s="168" t="str">
        <f aca="false">IF(ISBLANK(B207),"",B207&amp;"|"&amp;C207)</f>
        <v/>
      </c>
      <c r="B207" s="168"/>
      <c r="C207" s="168"/>
      <c r="D207" s="168"/>
      <c r="E207" s="175"/>
      <c r="F207" s="168"/>
      <c r="G207" s="168"/>
      <c r="H207" s="168"/>
      <c r="I207" s="168"/>
      <c r="J207" s="168"/>
      <c r="K207" s="168"/>
      <c r="L207" s="168"/>
      <c r="M207" s="168"/>
      <c r="N207" s="168"/>
      <c r="O207" s="168"/>
      <c r="P207" s="168"/>
      <c r="Q207" s="168"/>
      <c r="R207" s="168"/>
      <c r="S207" s="168"/>
      <c r="T207" s="168"/>
      <c r="U207" s="168"/>
      <c r="V207" s="168"/>
      <c r="W207" s="168"/>
      <c r="X207" s="168"/>
      <c r="Y207" s="168"/>
      <c r="Z207" s="168"/>
      <c r="AA207" s="168"/>
    </row>
    <row r="208" customFormat="false" ht="15.75" hidden="false" customHeight="false" outlineLevel="0" collapsed="false">
      <c r="A208" s="168" t="str">
        <f aca="false">IF(ISBLANK(B208),"",B208&amp;"|"&amp;C208)</f>
        <v/>
      </c>
      <c r="B208" s="168"/>
      <c r="C208" s="168"/>
      <c r="D208" s="168"/>
      <c r="E208" s="175"/>
      <c r="F208" s="168"/>
      <c r="G208" s="168"/>
      <c r="H208" s="168"/>
      <c r="I208" s="168"/>
      <c r="J208" s="168"/>
      <c r="K208" s="168"/>
      <c r="L208" s="168"/>
      <c r="M208" s="168"/>
      <c r="N208" s="168"/>
      <c r="O208" s="168"/>
      <c r="P208" s="168"/>
      <c r="Q208" s="168"/>
      <c r="R208" s="168"/>
      <c r="S208" s="168"/>
      <c r="T208" s="168"/>
      <c r="U208" s="168"/>
      <c r="V208" s="168"/>
      <c r="W208" s="168"/>
      <c r="X208" s="168"/>
      <c r="Y208" s="168"/>
      <c r="Z208" s="168"/>
      <c r="AA208" s="168"/>
    </row>
    <row r="209" customFormat="false" ht="15.75" hidden="false" customHeight="false" outlineLevel="0" collapsed="false">
      <c r="A209" s="168" t="str">
        <f aca="false">IF(ISBLANK(B209),"",B209&amp;"|"&amp;C209)</f>
        <v/>
      </c>
      <c r="B209" s="168"/>
      <c r="C209" s="168"/>
      <c r="D209" s="168"/>
      <c r="E209" s="175"/>
      <c r="F209" s="168"/>
      <c r="G209" s="168"/>
      <c r="H209" s="168"/>
      <c r="I209" s="168"/>
      <c r="J209" s="168"/>
      <c r="K209" s="168"/>
      <c r="L209" s="168"/>
      <c r="M209" s="168"/>
      <c r="N209" s="168"/>
      <c r="O209" s="168"/>
      <c r="P209" s="168"/>
      <c r="Q209" s="168"/>
      <c r="R209" s="168"/>
      <c r="S209" s="168"/>
      <c r="T209" s="168"/>
      <c r="U209" s="168"/>
      <c r="V209" s="168"/>
      <c r="W209" s="168"/>
      <c r="X209" s="168"/>
      <c r="Y209" s="168"/>
      <c r="Z209" s="168"/>
      <c r="AA209" s="168"/>
    </row>
    <row r="210" customFormat="false" ht="15.75" hidden="false" customHeight="false" outlineLevel="0" collapsed="false">
      <c r="A210" s="168" t="str">
        <f aca="false">IF(ISBLANK(B210),"",B210&amp;"|"&amp;C210)</f>
        <v/>
      </c>
      <c r="B210" s="168"/>
      <c r="C210" s="168"/>
      <c r="D210" s="168"/>
      <c r="E210" s="175"/>
      <c r="F210" s="168"/>
      <c r="G210" s="168"/>
      <c r="H210" s="168"/>
      <c r="I210" s="168"/>
      <c r="J210" s="168"/>
      <c r="K210" s="168"/>
      <c r="L210" s="168"/>
      <c r="M210" s="168"/>
      <c r="N210" s="168"/>
      <c r="O210" s="168"/>
      <c r="P210" s="168"/>
      <c r="Q210" s="168"/>
      <c r="R210" s="168"/>
      <c r="S210" s="168"/>
      <c r="T210" s="168"/>
      <c r="U210" s="168"/>
      <c r="V210" s="168"/>
      <c r="W210" s="168"/>
      <c r="X210" s="168"/>
      <c r="Y210" s="168"/>
      <c r="Z210" s="168"/>
      <c r="AA210" s="168"/>
    </row>
    <row r="211" customFormat="false" ht="15.75" hidden="false" customHeight="false" outlineLevel="0" collapsed="false">
      <c r="A211" s="168" t="str">
        <f aca="false">IF(ISBLANK(B211),"",B211&amp;"|"&amp;C211)</f>
        <v/>
      </c>
      <c r="B211" s="168"/>
      <c r="C211" s="168"/>
      <c r="D211" s="168"/>
      <c r="E211" s="175"/>
      <c r="F211" s="168"/>
      <c r="G211" s="168"/>
      <c r="H211" s="168"/>
      <c r="I211" s="168"/>
      <c r="J211" s="168"/>
      <c r="K211" s="168"/>
      <c r="L211" s="168"/>
      <c r="M211" s="168"/>
      <c r="N211" s="168"/>
      <c r="O211" s="168"/>
      <c r="P211" s="168"/>
      <c r="Q211" s="168"/>
      <c r="R211" s="168"/>
      <c r="S211" s="168"/>
      <c r="T211" s="168"/>
      <c r="U211" s="168"/>
      <c r="V211" s="168"/>
      <c r="W211" s="168"/>
      <c r="X211" s="168"/>
      <c r="Y211" s="168"/>
      <c r="Z211" s="168"/>
      <c r="AA211" s="168"/>
    </row>
    <row r="212" customFormat="false" ht="15.75" hidden="false" customHeight="false" outlineLevel="0" collapsed="false">
      <c r="A212" s="168" t="str">
        <f aca="false">IF(ISBLANK(B212),"",B212&amp;"|"&amp;C212)</f>
        <v/>
      </c>
      <c r="B212" s="168"/>
      <c r="C212" s="168"/>
      <c r="D212" s="168"/>
      <c r="E212" s="175"/>
      <c r="F212" s="168"/>
      <c r="G212" s="168"/>
      <c r="H212" s="168"/>
      <c r="I212" s="168"/>
      <c r="J212" s="168"/>
      <c r="K212" s="168"/>
      <c r="L212" s="168"/>
      <c r="M212" s="168"/>
      <c r="N212" s="168"/>
      <c r="O212" s="168"/>
      <c r="P212" s="168"/>
      <c r="Q212" s="168"/>
      <c r="R212" s="168"/>
      <c r="S212" s="168"/>
      <c r="T212" s="168"/>
      <c r="U212" s="168"/>
      <c r="V212" s="168"/>
      <c r="W212" s="168"/>
      <c r="X212" s="168"/>
      <c r="Y212" s="168"/>
      <c r="Z212" s="168"/>
      <c r="AA212" s="168"/>
    </row>
    <row r="213" customFormat="false" ht="15.75" hidden="false" customHeight="false" outlineLevel="0" collapsed="false">
      <c r="A213" s="168" t="str">
        <f aca="false">IF(ISBLANK(B213),"",B213&amp;"|"&amp;C213)</f>
        <v/>
      </c>
      <c r="B213" s="168"/>
      <c r="C213" s="168"/>
      <c r="D213" s="168"/>
      <c r="E213" s="175"/>
      <c r="F213" s="168"/>
      <c r="G213" s="168"/>
      <c r="H213" s="168"/>
      <c r="I213" s="168"/>
      <c r="J213" s="168"/>
      <c r="K213" s="168"/>
      <c r="L213" s="168"/>
      <c r="M213" s="168"/>
      <c r="N213" s="168"/>
      <c r="O213" s="168"/>
      <c r="P213" s="168"/>
      <c r="Q213" s="168"/>
      <c r="R213" s="168"/>
      <c r="S213" s="168"/>
      <c r="T213" s="168"/>
      <c r="U213" s="168"/>
      <c r="V213" s="168"/>
      <c r="W213" s="168"/>
      <c r="X213" s="168"/>
      <c r="Y213" s="168"/>
      <c r="Z213" s="168"/>
      <c r="AA213" s="168"/>
    </row>
    <row r="214" customFormat="false" ht="15.75" hidden="false" customHeight="false" outlineLevel="0" collapsed="false">
      <c r="A214" s="168" t="str">
        <f aca="false">IF(ISBLANK(B214),"",B214&amp;"|"&amp;C214)</f>
        <v/>
      </c>
      <c r="B214" s="168"/>
      <c r="C214" s="168"/>
      <c r="D214" s="168"/>
      <c r="E214" s="175"/>
      <c r="F214" s="168"/>
      <c r="G214" s="168"/>
      <c r="H214" s="168"/>
      <c r="I214" s="168"/>
      <c r="J214" s="168"/>
      <c r="K214" s="168"/>
      <c r="L214" s="168"/>
      <c r="M214" s="168"/>
      <c r="N214" s="168"/>
      <c r="O214" s="168"/>
      <c r="P214" s="168"/>
      <c r="Q214" s="168"/>
      <c r="R214" s="168"/>
      <c r="S214" s="168"/>
      <c r="T214" s="168"/>
      <c r="U214" s="168"/>
      <c r="V214" s="168"/>
      <c r="W214" s="168"/>
      <c r="X214" s="168"/>
      <c r="Y214" s="168"/>
      <c r="Z214" s="168"/>
      <c r="AA214" s="168"/>
    </row>
    <row r="215" customFormat="false" ht="15.75" hidden="false" customHeight="false" outlineLevel="0" collapsed="false">
      <c r="A215" s="168" t="str">
        <f aca="false">IF(ISBLANK(B215),"",B215&amp;"|"&amp;C215)</f>
        <v/>
      </c>
      <c r="B215" s="168"/>
      <c r="C215" s="168"/>
      <c r="D215" s="168"/>
      <c r="E215" s="175"/>
      <c r="F215" s="168"/>
      <c r="G215" s="168"/>
      <c r="H215" s="168"/>
      <c r="I215" s="168"/>
      <c r="J215" s="168"/>
      <c r="K215" s="168"/>
      <c r="L215" s="168"/>
      <c r="M215" s="168"/>
      <c r="N215" s="168"/>
      <c r="O215" s="168"/>
      <c r="P215" s="168"/>
      <c r="Q215" s="168"/>
      <c r="R215" s="168"/>
      <c r="S215" s="168"/>
      <c r="T215" s="168"/>
      <c r="U215" s="168"/>
      <c r="V215" s="168"/>
      <c r="W215" s="168"/>
      <c r="X215" s="168"/>
      <c r="Y215" s="168"/>
      <c r="Z215" s="168"/>
      <c r="AA215" s="168"/>
    </row>
    <row r="216" customFormat="false" ht="15.75" hidden="false" customHeight="false" outlineLevel="0" collapsed="false">
      <c r="A216" s="168" t="str">
        <f aca="false">IF(ISBLANK(B216),"",B216&amp;"|"&amp;C216)</f>
        <v/>
      </c>
      <c r="B216" s="168"/>
      <c r="C216" s="168"/>
      <c r="D216" s="168"/>
      <c r="E216" s="175"/>
      <c r="F216" s="168"/>
      <c r="G216" s="168"/>
      <c r="H216" s="168"/>
      <c r="I216" s="168"/>
      <c r="J216" s="168"/>
      <c r="K216" s="168"/>
      <c r="L216" s="168"/>
      <c r="M216" s="168"/>
      <c r="N216" s="168"/>
      <c r="O216" s="168"/>
      <c r="P216" s="168"/>
      <c r="Q216" s="168"/>
      <c r="R216" s="168"/>
      <c r="S216" s="168"/>
      <c r="T216" s="168"/>
      <c r="U216" s="168"/>
      <c r="V216" s="168"/>
      <c r="W216" s="168"/>
      <c r="X216" s="168"/>
      <c r="Y216" s="168"/>
      <c r="Z216" s="168"/>
      <c r="AA216" s="168"/>
    </row>
    <row r="217" customFormat="false" ht="15.75" hidden="false" customHeight="false" outlineLevel="0" collapsed="false">
      <c r="A217" s="168" t="str">
        <f aca="false">IF(ISBLANK(B217),"",B217&amp;"|"&amp;C217)</f>
        <v/>
      </c>
      <c r="B217" s="168"/>
      <c r="C217" s="168"/>
      <c r="D217" s="168"/>
      <c r="E217" s="175"/>
      <c r="F217" s="168"/>
      <c r="G217" s="168"/>
      <c r="H217" s="168"/>
      <c r="I217" s="168"/>
      <c r="J217" s="168"/>
      <c r="K217" s="168"/>
      <c r="L217" s="168"/>
      <c r="M217" s="168"/>
      <c r="N217" s="168"/>
      <c r="O217" s="168"/>
      <c r="P217" s="168"/>
      <c r="Q217" s="168"/>
      <c r="R217" s="168"/>
      <c r="S217" s="168"/>
      <c r="T217" s="168"/>
      <c r="U217" s="168"/>
      <c r="V217" s="168"/>
      <c r="W217" s="168"/>
      <c r="X217" s="168"/>
      <c r="Y217" s="168"/>
      <c r="Z217" s="168"/>
      <c r="AA217" s="168"/>
    </row>
    <row r="218" customFormat="false" ht="15.75" hidden="false" customHeight="false" outlineLevel="0" collapsed="false">
      <c r="A218" s="168" t="str">
        <f aca="false">IF(ISBLANK(B218),"",B218&amp;"|"&amp;C218)</f>
        <v/>
      </c>
      <c r="B218" s="168"/>
      <c r="C218" s="168"/>
      <c r="D218" s="168"/>
      <c r="E218" s="175"/>
      <c r="F218" s="168"/>
      <c r="G218" s="168"/>
      <c r="H218" s="168"/>
      <c r="I218" s="168"/>
      <c r="J218" s="168"/>
      <c r="K218" s="168"/>
      <c r="L218" s="168"/>
      <c r="M218" s="168"/>
      <c r="N218" s="168"/>
      <c r="O218" s="168"/>
      <c r="P218" s="168"/>
      <c r="Q218" s="168"/>
      <c r="R218" s="168"/>
      <c r="S218" s="168"/>
      <c r="T218" s="168"/>
      <c r="U218" s="168"/>
      <c r="V218" s="168"/>
      <c r="W218" s="168"/>
      <c r="X218" s="168"/>
      <c r="Y218" s="168"/>
      <c r="Z218" s="168"/>
      <c r="AA218" s="168"/>
    </row>
    <row r="219" customFormat="false" ht="15.75" hidden="false" customHeight="false" outlineLevel="0" collapsed="false">
      <c r="A219" s="168" t="str">
        <f aca="false">IF(ISBLANK(B219),"",B219&amp;"|"&amp;C219)</f>
        <v/>
      </c>
      <c r="B219" s="168"/>
      <c r="C219" s="168"/>
      <c r="D219" s="168"/>
      <c r="E219" s="175"/>
      <c r="F219" s="168"/>
      <c r="G219" s="168"/>
      <c r="H219" s="168"/>
      <c r="I219" s="168"/>
      <c r="J219" s="168"/>
      <c r="K219" s="168"/>
      <c r="L219" s="168"/>
      <c r="M219" s="168"/>
      <c r="N219" s="168"/>
      <c r="O219" s="168"/>
      <c r="P219" s="168"/>
      <c r="Q219" s="168"/>
      <c r="R219" s="168"/>
      <c r="S219" s="168"/>
      <c r="T219" s="168"/>
      <c r="U219" s="168"/>
      <c r="V219" s="168"/>
      <c r="W219" s="168"/>
      <c r="X219" s="168"/>
      <c r="Y219" s="168"/>
      <c r="Z219" s="168"/>
      <c r="AA219" s="168"/>
    </row>
    <row r="220" customFormat="false" ht="15.75" hidden="false" customHeight="false" outlineLevel="0" collapsed="false">
      <c r="A220" s="168" t="str">
        <f aca="false">IF(ISBLANK(B220),"",B220&amp;"|"&amp;C220)</f>
        <v/>
      </c>
      <c r="B220" s="168"/>
      <c r="C220" s="168"/>
      <c r="D220" s="168"/>
      <c r="E220" s="175"/>
      <c r="F220" s="168"/>
      <c r="G220" s="168"/>
      <c r="H220" s="168"/>
      <c r="I220" s="168"/>
      <c r="J220" s="168"/>
      <c r="K220" s="168"/>
      <c r="L220" s="168"/>
      <c r="M220" s="168"/>
      <c r="N220" s="168"/>
      <c r="O220" s="168"/>
      <c r="P220" s="168"/>
      <c r="Q220" s="168"/>
      <c r="R220" s="168"/>
      <c r="S220" s="168"/>
      <c r="T220" s="168"/>
      <c r="U220" s="168"/>
      <c r="V220" s="168"/>
      <c r="W220" s="168"/>
      <c r="X220" s="168"/>
      <c r="Y220" s="168"/>
      <c r="Z220" s="168"/>
      <c r="AA220" s="168"/>
    </row>
    <row r="221" customFormat="false" ht="15.75" hidden="false" customHeight="false" outlineLevel="0" collapsed="false">
      <c r="A221" s="168" t="str">
        <f aca="false">IF(ISBLANK(B221),"",B221&amp;"|"&amp;C221)</f>
        <v/>
      </c>
      <c r="B221" s="168"/>
      <c r="C221" s="168"/>
      <c r="D221" s="168"/>
      <c r="E221" s="175"/>
      <c r="F221" s="168"/>
      <c r="G221" s="168"/>
      <c r="H221" s="168"/>
      <c r="I221" s="168"/>
      <c r="J221" s="168"/>
      <c r="K221" s="168"/>
      <c r="L221" s="168"/>
      <c r="M221" s="168"/>
      <c r="N221" s="168"/>
      <c r="O221" s="168"/>
      <c r="P221" s="168"/>
      <c r="Q221" s="168"/>
      <c r="R221" s="168"/>
      <c r="S221" s="168"/>
      <c r="T221" s="168"/>
      <c r="U221" s="168"/>
      <c r="V221" s="168"/>
      <c r="W221" s="168"/>
      <c r="X221" s="168"/>
      <c r="Y221" s="168"/>
      <c r="Z221" s="168"/>
      <c r="AA221" s="168"/>
    </row>
    <row r="222" customFormat="false" ht="15.75" hidden="false" customHeight="false" outlineLevel="0" collapsed="false">
      <c r="A222" s="168" t="str">
        <f aca="false">IF(ISBLANK(B222),"",B222&amp;"|"&amp;C222)</f>
        <v/>
      </c>
      <c r="B222" s="168"/>
      <c r="C222" s="168"/>
      <c r="D222" s="168"/>
      <c r="E222" s="175"/>
      <c r="F222" s="168"/>
      <c r="G222" s="168"/>
      <c r="H222" s="168"/>
      <c r="I222" s="168"/>
      <c r="J222" s="168"/>
      <c r="K222" s="168"/>
      <c r="L222" s="168"/>
      <c r="M222" s="168"/>
      <c r="N222" s="168"/>
      <c r="O222" s="168"/>
      <c r="P222" s="168"/>
      <c r="Q222" s="168"/>
      <c r="R222" s="168"/>
      <c r="S222" s="168"/>
      <c r="T222" s="168"/>
      <c r="U222" s="168"/>
      <c r="V222" s="168"/>
      <c r="W222" s="168"/>
      <c r="X222" s="168"/>
      <c r="Y222" s="168"/>
      <c r="Z222" s="168"/>
      <c r="AA222" s="168"/>
    </row>
    <row r="223" customFormat="false" ht="15.75" hidden="false" customHeight="false" outlineLevel="0" collapsed="false">
      <c r="A223" s="168" t="str">
        <f aca="false">IF(ISBLANK(B223),"",B223&amp;"|"&amp;C223)</f>
        <v/>
      </c>
      <c r="B223" s="168"/>
      <c r="C223" s="168"/>
      <c r="D223" s="168"/>
      <c r="E223" s="175"/>
      <c r="F223" s="168"/>
      <c r="G223" s="168"/>
      <c r="H223" s="168"/>
      <c r="I223" s="168"/>
      <c r="J223" s="168"/>
      <c r="K223" s="168"/>
      <c r="L223" s="168"/>
      <c r="M223" s="168"/>
      <c r="N223" s="168"/>
      <c r="O223" s="168"/>
      <c r="P223" s="168"/>
      <c r="Q223" s="168"/>
      <c r="R223" s="168"/>
      <c r="S223" s="168"/>
      <c r="T223" s="168"/>
      <c r="U223" s="168"/>
      <c r="V223" s="168"/>
      <c r="W223" s="168"/>
      <c r="X223" s="168"/>
      <c r="Y223" s="168"/>
      <c r="Z223" s="168"/>
      <c r="AA223" s="168"/>
    </row>
    <row r="224" customFormat="false" ht="15.75" hidden="false" customHeight="false" outlineLevel="0" collapsed="false">
      <c r="A224" s="168" t="str">
        <f aca="false">IF(ISBLANK(B224),"",B224&amp;"|"&amp;C224)</f>
        <v/>
      </c>
      <c r="B224" s="168"/>
      <c r="C224" s="168"/>
      <c r="D224" s="168"/>
      <c r="E224" s="175"/>
      <c r="F224" s="168"/>
      <c r="G224" s="168"/>
      <c r="H224" s="168"/>
      <c r="I224" s="168"/>
      <c r="J224" s="168"/>
      <c r="K224" s="168"/>
      <c r="L224" s="168"/>
      <c r="M224" s="168"/>
      <c r="N224" s="168"/>
      <c r="O224" s="168"/>
      <c r="P224" s="168"/>
      <c r="Q224" s="168"/>
      <c r="R224" s="168"/>
      <c r="S224" s="168"/>
      <c r="T224" s="168"/>
      <c r="U224" s="168"/>
      <c r="V224" s="168"/>
      <c r="W224" s="168"/>
      <c r="X224" s="168"/>
      <c r="Y224" s="168"/>
      <c r="Z224" s="168"/>
      <c r="AA224" s="168"/>
    </row>
    <row r="225" customFormat="false" ht="15.75" hidden="false" customHeight="false" outlineLevel="0" collapsed="false">
      <c r="A225" s="168" t="str">
        <f aca="false">IF(ISBLANK(B225),"",B225&amp;"|"&amp;C225)</f>
        <v/>
      </c>
      <c r="B225" s="168"/>
      <c r="C225" s="168"/>
      <c r="D225" s="168"/>
      <c r="E225" s="175"/>
      <c r="F225" s="168"/>
      <c r="G225" s="168"/>
      <c r="H225" s="168"/>
      <c r="I225" s="168"/>
      <c r="J225" s="168"/>
      <c r="K225" s="168"/>
      <c r="L225" s="168"/>
      <c r="M225" s="168"/>
      <c r="N225" s="168"/>
      <c r="O225" s="168"/>
      <c r="P225" s="168"/>
      <c r="Q225" s="168"/>
      <c r="R225" s="168"/>
      <c r="S225" s="168"/>
      <c r="T225" s="168"/>
      <c r="U225" s="168"/>
      <c r="V225" s="168"/>
      <c r="W225" s="168"/>
      <c r="X225" s="168"/>
      <c r="Y225" s="168"/>
      <c r="Z225" s="168"/>
      <c r="AA225" s="168"/>
    </row>
    <row r="226" customFormat="false" ht="15.75" hidden="false" customHeight="false" outlineLevel="0" collapsed="false">
      <c r="A226" s="168" t="str">
        <f aca="false">IF(ISBLANK(B226),"",B226&amp;"|"&amp;C226)</f>
        <v/>
      </c>
      <c r="B226" s="168"/>
      <c r="C226" s="168"/>
      <c r="D226" s="168"/>
      <c r="E226" s="175"/>
      <c r="F226" s="168"/>
      <c r="G226" s="168"/>
      <c r="H226" s="168"/>
      <c r="I226" s="168"/>
      <c r="J226" s="168"/>
      <c r="K226" s="168"/>
      <c r="L226" s="168"/>
      <c r="M226" s="168"/>
      <c r="N226" s="168"/>
      <c r="O226" s="168"/>
      <c r="P226" s="168"/>
      <c r="Q226" s="168"/>
      <c r="R226" s="168"/>
      <c r="S226" s="168"/>
      <c r="T226" s="168"/>
      <c r="U226" s="168"/>
      <c r="V226" s="168"/>
      <c r="W226" s="168"/>
      <c r="X226" s="168"/>
      <c r="Y226" s="168"/>
      <c r="Z226" s="168"/>
      <c r="AA226" s="168"/>
    </row>
    <row r="227" customFormat="false" ht="15.75" hidden="false" customHeight="false" outlineLevel="0" collapsed="false">
      <c r="A227" s="168" t="str">
        <f aca="false">IF(ISBLANK(B227),"",B227&amp;"|"&amp;C227)</f>
        <v/>
      </c>
      <c r="B227" s="168"/>
      <c r="C227" s="168"/>
      <c r="D227" s="168"/>
      <c r="E227" s="175"/>
      <c r="F227" s="168"/>
      <c r="G227" s="168"/>
      <c r="H227" s="168"/>
      <c r="I227" s="168"/>
      <c r="J227" s="168"/>
      <c r="K227" s="168"/>
      <c r="L227" s="168"/>
      <c r="M227" s="168"/>
      <c r="N227" s="168"/>
      <c r="O227" s="168"/>
      <c r="P227" s="168"/>
      <c r="Q227" s="168"/>
      <c r="R227" s="168"/>
      <c r="S227" s="168"/>
      <c r="T227" s="168"/>
      <c r="U227" s="168"/>
      <c r="V227" s="168"/>
      <c r="W227" s="168"/>
      <c r="X227" s="168"/>
      <c r="Y227" s="168"/>
      <c r="Z227" s="168"/>
      <c r="AA227" s="168"/>
    </row>
    <row r="228" customFormat="false" ht="15.75" hidden="false" customHeight="false" outlineLevel="0" collapsed="false">
      <c r="A228" s="168" t="str">
        <f aca="false">IF(ISBLANK(B228),"",B228&amp;"|"&amp;C228)</f>
        <v/>
      </c>
      <c r="B228" s="168"/>
      <c r="C228" s="168"/>
      <c r="D228" s="168"/>
      <c r="E228" s="175"/>
      <c r="F228" s="168"/>
      <c r="G228" s="168"/>
      <c r="H228" s="168"/>
      <c r="I228" s="168"/>
      <c r="J228" s="168"/>
      <c r="K228" s="168"/>
      <c r="L228" s="168"/>
      <c r="M228" s="168"/>
      <c r="N228" s="168"/>
      <c r="O228" s="168"/>
      <c r="P228" s="168"/>
      <c r="Q228" s="168"/>
      <c r="R228" s="168"/>
      <c r="S228" s="168"/>
      <c r="T228" s="168"/>
      <c r="U228" s="168"/>
      <c r="V228" s="168"/>
      <c r="W228" s="168"/>
      <c r="X228" s="168"/>
      <c r="Y228" s="168"/>
      <c r="Z228" s="168"/>
      <c r="AA228" s="168"/>
    </row>
    <row r="229" customFormat="false" ht="15.75" hidden="false" customHeight="false" outlineLevel="0" collapsed="false">
      <c r="A229" s="168" t="str">
        <f aca="false">IF(ISBLANK(B229),"",B229&amp;"|"&amp;C229)</f>
        <v/>
      </c>
      <c r="B229" s="168"/>
      <c r="C229" s="168"/>
      <c r="D229" s="168"/>
      <c r="E229" s="175"/>
      <c r="F229" s="168"/>
      <c r="G229" s="168"/>
      <c r="H229" s="168"/>
      <c r="I229" s="168"/>
      <c r="J229" s="168"/>
      <c r="K229" s="168"/>
      <c r="L229" s="168"/>
      <c r="M229" s="168"/>
      <c r="N229" s="168"/>
      <c r="O229" s="168"/>
      <c r="P229" s="168"/>
      <c r="Q229" s="168"/>
      <c r="R229" s="168"/>
      <c r="S229" s="168"/>
      <c r="T229" s="168"/>
      <c r="U229" s="168"/>
      <c r="V229" s="168"/>
      <c r="W229" s="168"/>
      <c r="X229" s="168"/>
      <c r="Y229" s="168"/>
      <c r="Z229" s="168"/>
      <c r="AA229" s="168"/>
    </row>
    <row r="230" customFormat="false" ht="15.75" hidden="false" customHeight="false" outlineLevel="0" collapsed="false">
      <c r="A230" s="168" t="str">
        <f aca="false">IF(ISBLANK(B230),"",B230&amp;"|"&amp;C230)</f>
        <v/>
      </c>
      <c r="B230" s="168"/>
      <c r="C230" s="168"/>
      <c r="D230" s="168"/>
      <c r="E230" s="175"/>
      <c r="F230" s="168"/>
      <c r="G230" s="168"/>
      <c r="H230" s="168"/>
      <c r="I230" s="168"/>
      <c r="J230" s="168"/>
      <c r="K230" s="168"/>
      <c r="L230" s="168"/>
      <c r="M230" s="168"/>
      <c r="N230" s="168"/>
      <c r="O230" s="168"/>
      <c r="P230" s="168"/>
      <c r="Q230" s="168"/>
      <c r="R230" s="168"/>
      <c r="S230" s="168"/>
      <c r="T230" s="168"/>
      <c r="U230" s="168"/>
      <c r="V230" s="168"/>
      <c r="W230" s="168"/>
      <c r="X230" s="168"/>
      <c r="Y230" s="168"/>
      <c r="Z230" s="168"/>
      <c r="AA230" s="168"/>
    </row>
    <row r="231" customFormat="false" ht="15.75" hidden="false" customHeight="false" outlineLevel="0" collapsed="false">
      <c r="A231" s="168" t="str">
        <f aca="false">IF(ISBLANK(B231),"",B231&amp;"|"&amp;C231)</f>
        <v/>
      </c>
      <c r="B231" s="168"/>
      <c r="C231" s="168"/>
      <c r="D231" s="168"/>
      <c r="E231" s="175"/>
      <c r="F231" s="168"/>
      <c r="G231" s="168"/>
      <c r="H231" s="168"/>
      <c r="I231" s="168"/>
      <c r="J231" s="168"/>
      <c r="K231" s="168"/>
      <c r="L231" s="168"/>
      <c r="M231" s="168"/>
      <c r="N231" s="168"/>
      <c r="O231" s="168"/>
      <c r="P231" s="168"/>
      <c r="Q231" s="168"/>
      <c r="R231" s="168"/>
      <c r="S231" s="168"/>
      <c r="T231" s="168"/>
      <c r="U231" s="168"/>
      <c r="V231" s="168"/>
      <c r="W231" s="168"/>
      <c r="X231" s="168"/>
      <c r="Y231" s="168"/>
      <c r="Z231" s="168"/>
      <c r="AA231" s="168"/>
    </row>
    <row r="232" customFormat="false" ht="15.75" hidden="false" customHeight="false" outlineLevel="0" collapsed="false">
      <c r="A232" s="168" t="str">
        <f aca="false">IF(ISBLANK(B232),"",B232&amp;"|"&amp;C232)</f>
        <v/>
      </c>
      <c r="B232" s="168"/>
      <c r="C232" s="168"/>
      <c r="D232" s="168"/>
      <c r="E232" s="175"/>
      <c r="F232" s="168"/>
      <c r="G232" s="168"/>
      <c r="H232" s="168"/>
      <c r="I232" s="168"/>
      <c r="J232" s="168"/>
      <c r="K232" s="168"/>
      <c r="L232" s="168"/>
      <c r="M232" s="168"/>
      <c r="N232" s="168"/>
      <c r="O232" s="168"/>
      <c r="P232" s="168"/>
      <c r="Q232" s="168"/>
      <c r="R232" s="168"/>
      <c r="S232" s="168"/>
      <c r="T232" s="168"/>
      <c r="U232" s="168"/>
      <c r="V232" s="168"/>
      <c r="W232" s="168"/>
      <c r="X232" s="168"/>
      <c r="Y232" s="168"/>
      <c r="Z232" s="168"/>
      <c r="AA232" s="168"/>
    </row>
    <row r="233" customFormat="false" ht="15.75" hidden="false" customHeight="false" outlineLevel="0" collapsed="false">
      <c r="A233" s="168" t="str">
        <f aca="false">IF(ISBLANK(B233),"",B233&amp;"|"&amp;C233)</f>
        <v/>
      </c>
      <c r="B233" s="168"/>
      <c r="C233" s="168"/>
      <c r="D233" s="168"/>
      <c r="E233" s="175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  <c r="AA233" s="168"/>
    </row>
    <row r="234" customFormat="false" ht="15.75" hidden="false" customHeight="false" outlineLevel="0" collapsed="false">
      <c r="A234" s="168" t="str">
        <f aca="false">IF(ISBLANK(B234),"",B234&amp;"|"&amp;C234)</f>
        <v/>
      </c>
      <c r="B234" s="168"/>
      <c r="C234" s="168"/>
      <c r="D234" s="168"/>
      <c r="E234" s="175"/>
      <c r="F234" s="168"/>
      <c r="G234" s="168"/>
      <c r="H234" s="168"/>
      <c r="I234" s="168"/>
      <c r="J234" s="168"/>
      <c r="K234" s="168"/>
      <c r="L234" s="168"/>
      <c r="M234" s="168"/>
      <c r="N234" s="168"/>
      <c r="O234" s="168"/>
      <c r="P234" s="168"/>
      <c r="Q234" s="168"/>
      <c r="R234" s="168"/>
      <c r="S234" s="168"/>
      <c r="T234" s="168"/>
      <c r="U234" s="168"/>
      <c r="V234" s="168"/>
      <c r="W234" s="168"/>
      <c r="X234" s="168"/>
      <c r="Y234" s="168"/>
      <c r="Z234" s="168"/>
      <c r="AA234" s="168"/>
    </row>
    <row r="235" customFormat="false" ht="15.75" hidden="false" customHeight="false" outlineLevel="0" collapsed="false">
      <c r="A235" s="168" t="str">
        <f aca="false">IF(ISBLANK(B235),"",B235&amp;"|"&amp;C235)</f>
        <v/>
      </c>
      <c r="B235" s="168"/>
      <c r="C235" s="168"/>
      <c r="D235" s="168"/>
      <c r="E235" s="175"/>
      <c r="F235" s="168"/>
      <c r="G235" s="168"/>
      <c r="H235" s="168"/>
      <c r="I235" s="168"/>
      <c r="J235" s="168"/>
      <c r="K235" s="168"/>
      <c r="L235" s="168"/>
      <c r="M235" s="168"/>
      <c r="N235" s="168"/>
      <c r="O235" s="168"/>
      <c r="P235" s="168"/>
      <c r="Q235" s="168"/>
      <c r="R235" s="168"/>
      <c r="S235" s="168"/>
      <c r="T235" s="168"/>
      <c r="U235" s="168"/>
      <c r="V235" s="168"/>
      <c r="W235" s="168"/>
      <c r="X235" s="168"/>
      <c r="Y235" s="168"/>
      <c r="Z235" s="168"/>
      <c r="AA235" s="168"/>
    </row>
    <row r="236" customFormat="false" ht="15.75" hidden="false" customHeight="false" outlineLevel="0" collapsed="false">
      <c r="A236" s="168" t="str">
        <f aca="false">IF(ISBLANK(B236),"",B236&amp;"|"&amp;C236)</f>
        <v/>
      </c>
      <c r="B236" s="168"/>
      <c r="C236" s="168"/>
      <c r="D236" s="168"/>
      <c r="E236" s="175"/>
      <c r="F236" s="168"/>
      <c r="G236" s="168"/>
      <c r="H236" s="168"/>
      <c r="I236" s="168"/>
      <c r="J236" s="168"/>
      <c r="K236" s="168"/>
      <c r="L236" s="168"/>
      <c r="M236" s="168"/>
      <c r="N236" s="168"/>
      <c r="O236" s="168"/>
      <c r="P236" s="168"/>
      <c r="Q236" s="168"/>
      <c r="R236" s="168"/>
      <c r="S236" s="168"/>
      <c r="T236" s="168"/>
      <c r="U236" s="168"/>
      <c r="V236" s="168"/>
      <c r="W236" s="168"/>
      <c r="X236" s="168"/>
      <c r="Y236" s="168"/>
      <c r="Z236" s="168"/>
      <c r="AA236" s="168"/>
    </row>
    <row r="237" customFormat="false" ht="15.75" hidden="false" customHeight="false" outlineLevel="0" collapsed="false">
      <c r="A237" s="168" t="str">
        <f aca="false">IF(ISBLANK(B237),"",B237&amp;"|"&amp;C237)</f>
        <v/>
      </c>
      <c r="B237" s="168"/>
      <c r="C237" s="168"/>
      <c r="D237" s="168"/>
      <c r="E237" s="175"/>
      <c r="F237" s="168"/>
      <c r="G237" s="168"/>
      <c r="H237" s="168"/>
      <c r="I237" s="168"/>
      <c r="J237" s="168"/>
      <c r="K237" s="168"/>
      <c r="L237" s="168"/>
      <c r="M237" s="168"/>
      <c r="N237" s="168"/>
      <c r="O237" s="168"/>
      <c r="P237" s="168"/>
      <c r="Q237" s="168"/>
      <c r="R237" s="168"/>
      <c r="S237" s="168"/>
      <c r="T237" s="168"/>
      <c r="U237" s="168"/>
      <c r="V237" s="168"/>
      <c r="W237" s="168"/>
      <c r="X237" s="168"/>
      <c r="Y237" s="168"/>
      <c r="Z237" s="168"/>
      <c r="AA237" s="168"/>
    </row>
    <row r="238" customFormat="false" ht="15.75" hidden="false" customHeight="false" outlineLevel="0" collapsed="false">
      <c r="A238" s="168" t="str">
        <f aca="false">IF(ISBLANK(B238),"",B238&amp;"|"&amp;C238)</f>
        <v/>
      </c>
      <c r="B238" s="168"/>
      <c r="C238" s="168"/>
      <c r="D238" s="168"/>
      <c r="E238" s="175"/>
      <c r="F238" s="168"/>
      <c r="G238" s="168"/>
      <c r="H238" s="168"/>
      <c r="I238" s="168"/>
      <c r="J238" s="168"/>
      <c r="K238" s="168"/>
      <c r="L238" s="168"/>
      <c r="M238" s="168"/>
      <c r="N238" s="168"/>
      <c r="O238" s="168"/>
      <c r="P238" s="168"/>
      <c r="Q238" s="168"/>
      <c r="R238" s="168"/>
      <c r="S238" s="168"/>
      <c r="T238" s="168"/>
      <c r="U238" s="168"/>
      <c r="V238" s="168"/>
      <c r="W238" s="168"/>
      <c r="X238" s="168"/>
      <c r="Y238" s="168"/>
      <c r="Z238" s="168"/>
      <c r="AA238" s="168"/>
    </row>
    <row r="239" customFormat="false" ht="15.75" hidden="false" customHeight="false" outlineLevel="0" collapsed="false">
      <c r="A239" s="168" t="str">
        <f aca="false">IF(ISBLANK(B239),"",B239&amp;"|"&amp;C239)</f>
        <v/>
      </c>
      <c r="B239" s="168"/>
      <c r="C239" s="168"/>
      <c r="D239" s="168"/>
      <c r="E239" s="175"/>
      <c r="F239" s="168"/>
      <c r="G239" s="168"/>
      <c r="H239" s="168"/>
      <c r="I239" s="168"/>
      <c r="J239" s="168"/>
      <c r="K239" s="168"/>
      <c r="L239" s="168"/>
      <c r="M239" s="168"/>
      <c r="N239" s="168"/>
      <c r="O239" s="168"/>
      <c r="P239" s="168"/>
      <c r="Q239" s="168"/>
      <c r="R239" s="168"/>
      <c r="S239" s="168"/>
      <c r="T239" s="168"/>
      <c r="U239" s="168"/>
      <c r="V239" s="168"/>
      <c r="W239" s="168"/>
      <c r="X239" s="168"/>
      <c r="Y239" s="168"/>
      <c r="Z239" s="168"/>
      <c r="AA239" s="168"/>
    </row>
    <row r="240" customFormat="false" ht="15.75" hidden="false" customHeight="false" outlineLevel="0" collapsed="false">
      <c r="A240" s="168" t="str">
        <f aca="false">IF(ISBLANK(B240),"",B240&amp;"|"&amp;C240)</f>
        <v/>
      </c>
      <c r="B240" s="168"/>
      <c r="C240" s="168"/>
      <c r="D240" s="168"/>
      <c r="E240" s="175"/>
      <c r="F240" s="168"/>
      <c r="G240" s="168"/>
      <c r="H240" s="168"/>
      <c r="I240" s="168"/>
      <c r="J240" s="168"/>
      <c r="K240" s="168"/>
      <c r="L240" s="168"/>
      <c r="M240" s="168"/>
      <c r="N240" s="168"/>
      <c r="O240" s="168"/>
      <c r="P240" s="168"/>
      <c r="Q240" s="168"/>
      <c r="R240" s="168"/>
      <c r="S240" s="168"/>
      <c r="T240" s="168"/>
      <c r="U240" s="168"/>
      <c r="V240" s="168"/>
      <c r="W240" s="168"/>
      <c r="X240" s="168"/>
      <c r="Y240" s="168"/>
      <c r="Z240" s="168"/>
      <c r="AA240" s="168"/>
    </row>
    <row r="241" customFormat="false" ht="15.75" hidden="false" customHeight="false" outlineLevel="0" collapsed="false">
      <c r="A241" s="168" t="str">
        <f aca="false">IF(ISBLANK(B241),"",B241&amp;"|"&amp;C241)</f>
        <v/>
      </c>
      <c r="B241" s="168"/>
      <c r="C241" s="168"/>
      <c r="D241" s="168"/>
      <c r="E241" s="175"/>
      <c r="F241" s="168"/>
      <c r="G241" s="168"/>
      <c r="H241" s="168"/>
      <c r="I241" s="168"/>
      <c r="J241" s="168"/>
      <c r="K241" s="168"/>
      <c r="L241" s="168"/>
      <c r="M241" s="168"/>
      <c r="N241" s="168"/>
      <c r="O241" s="168"/>
      <c r="P241" s="168"/>
      <c r="Q241" s="168"/>
      <c r="R241" s="168"/>
      <c r="S241" s="168"/>
      <c r="T241" s="168"/>
      <c r="U241" s="168"/>
      <c r="V241" s="168"/>
      <c r="W241" s="168"/>
      <c r="X241" s="168"/>
      <c r="Y241" s="168"/>
      <c r="Z241" s="168"/>
      <c r="AA241" s="168"/>
    </row>
    <row r="242" customFormat="false" ht="15.75" hidden="false" customHeight="false" outlineLevel="0" collapsed="false">
      <c r="A242" s="168" t="str">
        <f aca="false">IF(ISBLANK(B242),"",B242&amp;"|"&amp;C242)</f>
        <v/>
      </c>
      <c r="B242" s="168"/>
      <c r="C242" s="168"/>
      <c r="D242" s="168"/>
      <c r="E242" s="175"/>
      <c r="F242" s="168"/>
      <c r="G242" s="168"/>
      <c r="H242" s="168"/>
      <c r="I242" s="168"/>
      <c r="J242" s="168"/>
      <c r="K242" s="168"/>
      <c r="L242" s="168"/>
      <c r="M242" s="168"/>
      <c r="N242" s="168"/>
      <c r="O242" s="168"/>
      <c r="P242" s="168"/>
      <c r="Q242" s="168"/>
      <c r="R242" s="168"/>
      <c r="S242" s="168"/>
      <c r="T242" s="168"/>
      <c r="U242" s="168"/>
      <c r="V242" s="168"/>
      <c r="W242" s="168"/>
      <c r="X242" s="168"/>
      <c r="Y242" s="168"/>
      <c r="Z242" s="168"/>
      <c r="AA242" s="168"/>
    </row>
    <row r="243" customFormat="false" ht="15.75" hidden="false" customHeight="false" outlineLevel="0" collapsed="false">
      <c r="A243" s="168" t="str">
        <f aca="false">IF(ISBLANK(B243),"",B243&amp;"|"&amp;C243)</f>
        <v/>
      </c>
      <c r="B243" s="168"/>
      <c r="C243" s="168"/>
      <c r="D243" s="168"/>
      <c r="E243" s="175"/>
      <c r="F243" s="168"/>
      <c r="G243" s="168"/>
      <c r="H243" s="168"/>
      <c r="I243" s="168"/>
      <c r="J243" s="168"/>
      <c r="K243" s="168"/>
      <c r="L243" s="168"/>
      <c r="M243" s="168"/>
      <c r="N243" s="168"/>
      <c r="O243" s="168"/>
      <c r="P243" s="168"/>
      <c r="Q243" s="168"/>
      <c r="R243" s="168"/>
      <c r="S243" s="168"/>
      <c r="T243" s="168"/>
      <c r="U243" s="168"/>
      <c r="V243" s="168"/>
      <c r="W243" s="168"/>
      <c r="X243" s="168"/>
      <c r="Y243" s="168"/>
      <c r="Z243" s="168"/>
      <c r="AA243" s="168"/>
    </row>
    <row r="244" customFormat="false" ht="15.75" hidden="false" customHeight="false" outlineLevel="0" collapsed="false">
      <c r="A244" s="168" t="str">
        <f aca="false">IF(ISBLANK(B244),"",B244&amp;"|"&amp;C244)</f>
        <v/>
      </c>
      <c r="B244" s="168"/>
      <c r="C244" s="168"/>
      <c r="D244" s="168"/>
      <c r="E244" s="175"/>
      <c r="F244" s="168"/>
      <c r="G244" s="168"/>
      <c r="H244" s="168"/>
      <c r="I244" s="168"/>
      <c r="J244" s="168"/>
      <c r="K244" s="168"/>
      <c r="L244" s="168"/>
      <c r="M244" s="168"/>
      <c r="N244" s="168"/>
      <c r="O244" s="168"/>
      <c r="P244" s="168"/>
      <c r="Q244" s="168"/>
      <c r="R244" s="168"/>
      <c r="S244" s="168"/>
      <c r="T244" s="168"/>
      <c r="U244" s="168"/>
      <c r="V244" s="168"/>
      <c r="W244" s="168"/>
      <c r="X244" s="168"/>
      <c r="Y244" s="168"/>
      <c r="Z244" s="168"/>
      <c r="AA244" s="168"/>
    </row>
    <row r="245" customFormat="false" ht="15.75" hidden="false" customHeight="false" outlineLevel="0" collapsed="false">
      <c r="A245" s="168" t="str">
        <f aca="false">IF(ISBLANK(B245),"",B245&amp;"|"&amp;C245)</f>
        <v/>
      </c>
      <c r="B245" s="168"/>
      <c r="C245" s="168"/>
      <c r="D245" s="168"/>
      <c r="E245" s="175"/>
      <c r="F245" s="168"/>
      <c r="G245" s="168"/>
      <c r="H245" s="168"/>
      <c r="I245" s="168"/>
      <c r="J245" s="168"/>
      <c r="K245" s="168"/>
      <c r="L245" s="168"/>
      <c r="M245" s="168"/>
      <c r="N245" s="168"/>
      <c r="O245" s="168"/>
      <c r="P245" s="168"/>
      <c r="Q245" s="168"/>
      <c r="R245" s="168"/>
      <c r="S245" s="168"/>
      <c r="T245" s="168"/>
      <c r="U245" s="168"/>
      <c r="V245" s="168"/>
      <c r="W245" s="168"/>
      <c r="X245" s="168"/>
      <c r="Y245" s="168"/>
      <c r="Z245" s="168"/>
      <c r="AA245" s="168"/>
    </row>
    <row r="246" customFormat="false" ht="15.75" hidden="false" customHeight="false" outlineLevel="0" collapsed="false">
      <c r="A246" s="168" t="str">
        <f aca="false">IF(ISBLANK(B246),"",B246&amp;"|"&amp;C246)</f>
        <v/>
      </c>
      <c r="B246" s="168"/>
      <c r="C246" s="168"/>
      <c r="D246" s="168"/>
      <c r="E246" s="175"/>
      <c r="F246" s="168"/>
      <c r="G246" s="168"/>
      <c r="H246" s="168"/>
      <c r="I246" s="168"/>
      <c r="J246" s="168"/>
      <c r="K246" s="168"/>
      <c r="L246" s="168"/>
      <c r="M246" s="168"/>
      <c r="N246" s="168"/>
      <c r="O246" s="168"/>
      <c r="P246" s="168"/>
      <c r="Q246" s="168"/>
      <c r="R246" s="168"/>
      <c r="S246" s="168"/>
      <c r="T246" s="168"/>
      <c r="U246" s="168"/>
      <c r="V246" s="168"/>
      <c r="W246" s="168"/>
      <c r="X246" s="168"/>
      <c r="Y246" s="168"/>
      <c r="Z246" s="168"/>
      <c r="AA246" s="168"/>
    </row>
    <row r="247" customFormat="false" ht="15.75" hidden="false" customHeight="false" outlineLevel="0" collapsed="false">
      <c r="A247" s="168" t="str">
        <f aca="false">IF(ISBLANK(B247),"",B247&amp;"|"&amp;C247)</f>
        <v/>
      </c>
      <c r="B247" s="168"/>
      <c r="C247" s="168"/>
      <c r="D247" s="168"/>
      <c r="E247" s="175"/>
      <c r="F247" s="168"/>
      <c r="G247" s="168"/>
      <c r="H247" s="168"/>
      <c r="I247" s="168"/>
      <c r="J247" s="168"/>
      <c r="K247" s="168"/>
      <c r="L247" s="168"/>
      <c r="M247" s="168"/>
      <c r="N247" s="168"/>
      <c r="O247" s="168"/>
      <c r="P247" s="168"/>
      <c r="Q247" s="168"/>
      <c r="R247" s="168"/>
      <c r="S247" s="168"/>
      <c r="T247" s="168"/>
      <c r="U247" s="168"/>
      <c r="V247" s="168"/>
      <c r="W247" s="168"/>
      <c r="X247" s="168"/>
      <c r="Y247" s="168"/>
      <c r="Z247" s="168"/>
      <c r="AA247" s="168"/>
    </row>
    <row r="248" customFormat="false" ht="15.75" hidden="false" customHeight="false" outlineLevel="0" collapsed="false">
      <c r="A248" s="168" t="str">
        <f aca="false">IF(ISBLANK(B248),"",B248&amp;"|"&amp;C248)</f>
        <v/>
      </c>
      <c r="B248" s="168"/>
      <c r="C248" s="168"/>
      <c r="D248" s="168"/>
      <c r="E248" s="175"/>
      <c r="F248" s="168"/>
      <c r="G248" s="168"/>
      <c r="H248" s="168"/>
      <c r="I248" s="168"/>
      <c r="J248" s="168"/>
      <c r="K248" s="168"/>
      <c r="L248" s="168"/>
      <c r="M248" s="168"/>
      <c r="N248" s="168"/>
      <c r="O248" s="168"/>
      <c r="P248" s="168"/>
      <c r="Q248" s="168"/>
      <c r="R248" s="168"/>
      <c r="S248" s="168"/>
      <c r="T248" s="168"/>
      <c r="U248" s="168"/>
      <c r="V248" s="168"/>
      <c r="W248" s="168"/>
      <c r="X248" s="168"/>
      <c r="Y248" s="168"/>
      <c r="Z248" s="168"/>
      <c r="AA248" s="168"/>
    </row>
    <row r="249" customFormat="false" ht="15.75" hidden="false" customHeight="false" outlineLevel="0" collapsed="false">
      <c r="A249" s="168" t="str">
        <f aca="false">IF(ISBLANK(B249),"",B249&amp;"|"&amp;C249)</f>
        <v/>
      </c>
      <c r="B249" s="168"/>
      <c r="C249" s="168"/>
      <c r="D249" s="168"/>
      <c r="E249" s="175"/>
      <c r="F249" s="168"/>
      <c r="G249" s="168"/>
      <c r="H249" s="168"/>
      <c r="I249" s="168"/>
      <c r="J249" s="168"/>
      <c r="K249" s="168"/>
      <c r="L249" s="168"/>
      <c r="M249" s="168"/>
      <c r="N249" s="168"/>
      <c r="O249" s="168"/>
      <c r="P249" s="168"/>
      <c r="Q249" s="168"/>
      <c r="R249" s="168"/>
      <c r="S249" s="168"/>
      <c r="T249" s="168"/>
      <c r="U249" s="168"/>
      <c r="V249" s="168"/>
      <c r="W249" s="168"/>
      <c r="X249" s="168"/>
      <c r="Y249" s="168"/>
      <c r="Z249" s="168"/>
      <c r="AA249" s="168"/>
    </row>
    <row r="250" customFormat="false" ht="15.75" hidden="false" customHeight="false" outlineLevel="0" collapsed="false">
      <c r="A250" s="168" t="str">
        <f aca="false">IF(ISBLANK(B250),"",B250&amp;"|"&amp;C250)</f>
        <v/>
      </c>
      <c r="B250" s="168"/>
      <c r="C250" s="168"/>
      <c r="D250" s="168"/>
      <c r="E250" s="175"/>
      <c r="F250" s="168"/>
      <c r="G250" s="168"/>
      <c r="H250" s="168"/>
      <c r="I250" s="168"/>
      <c r="J250" s="168"/>
      <c r="K250" s="168"/>
      <c r="L250" s="168"/>
      <c r="M250" s="168"/>
      <c r="N250" s="168"/>
      <c r="O250" s="168"/>
      <c r="P250" s="168"/>
      <c r="Q250" s="168"/>
      <c r="R250" s="168"/>
      <c r="S250" s="168"/>
      <c r="T250" s="168"/>
      <c r="U250" s="168"/>
      <c r="V250" s="168"/>
      <c r="W250" s="168"/>
      <c r="X250" s="168"/>
      <c r="Y250" s="168"/>
      <c r="Z250" s="168"/>
      <c r="AA250" s="168"/>
    </row>
    <row r="251" customFormat="false" ht="15.75" hidden="false" customHeight="false" outlineLevel="0" collapsed="false">
      <c r="A251" s="168" t="str">
        <f aca="false">IF(ISBLANK(B251),"",B251&amp;"|"&amp;C251)</f>
        <v/>
      </c>
      <c r="B251" s="168"/>
      <c r="C251" s="168"/>
      <c r="D251" s="168"/>
      <c r="E251" s="175"/>
      <c r="F251" s="168"/>
      <c r="G251" s="168"/>
      <c r="H251" s="168"/>
      <c r="I251" s="168"/>
      <c r="J251" s="168"/>
      <c r="K251" s="168"/>
      <c r="L251" s="168"/>
      <c r="M251" s="168"/>
      <c r="N251" s="168"/>
      <c r="O251" s="168"/>
      <c r="P251" s="168"/>
      <c r="Q251" s="168"/>
      <c r="R251" s="168"/>
      <c r="S251" s="168"/>
      <c r="T251" s="168"/>
      <c r="U251" s="168"/>
      <c r="V251" s="168"/>
      <c r="W251" s="168"/>
      <c r="X251" s="168"/>
      <c r="Y251" s="168"/>
      <c r="Z251" s="168"/>
      <c r="AA251" s="168"/>
    </row>
    <row r="252" customFormat="false" ht="15.75" hidden="false" customHeight="false" outlineLevel="0" collapsed="false">
      <c r="A252" s="168" t="str">
        <f aca="false">IF(ISBLANK(B252),"",B252&amp;"|"&amp;C252)</f>
        <v/>
      </c>
      <c r="B252" s="168"/>
      <c r="C252" s="168"/>
      <c r="D252" s="168"/>
      <c r="E252" s="175"/>
      <c r="F252" s="168"/>
      <c r="G252" s="168"/>
      <c r="H252" s="168"/>
      <c r="I252" s="168"/>
      <c r="J252" s="168"/>
      <c r="K252" s="168"/>
      <c r="L252" s="168"/>
      <c r="M252" s="168"/>
      <c r="N252" s="168"/>
      <c r="O252" s="168"/>
      <c r="P252" s="168"/>
      <c r="Q252" s="168"/>
      <c r="R252" s="168"/>
      <c r="S252" s="168"/>
      <c r="T252" s="168"/>
      <c r="U252" s="168"/>
      <c r="V252" s="168"/>
      <c r="W252" s="168"/>
      <c r="X252" s="168"/>
      <c r="Y252" s="168"/>
      <c r="Z252" s="168"/>
      <c r="AA252" s="168"/>
    </row>
    <row r="253" customFormat="false" ht="15.75" hidden="false" customHeight="false" outlineLevel="0" collapsed="false">
      <c r="A253" s="168" t="str">
        <f aca="false">IF(ISBLANK(B253),"",B253&amp;"|"&amp;C253)</f>
        <v/>
      </c>
      <c r="B253" s="168"/>
      <c r="C253" s="168"/>
      <c r="D253" s="168"/>
      <c r="E253" s="175"/>
      <c r="F253" s="168"/>
      <c r="G253" s="168"/>
      <c r="H253" s="168"/>
      <c r="I253" s="168"/>
      <c r="J253" s="168"/>
      <c r="K253" s="168"/>
      <c r="L253" s="168"/>
      <c r="M253" s="168"/>
      <c r="N253" s="168"/>
      <c r="O253" s="168"/>
      <c r="P253" s="168"/>
      <c r="Q253" s="168"/>
      <c r="R253" s="168"/>
      <c r="S253" s="168"/>
      <c r="T253" s="168"/>
      <c r="U253" s="168"/>
      <c r="V253" s="168"/>
      <c r="W253" s="168"/>
      <c r="X253" s="168"/>
      <c r="Y253" s="168"/>
      <c r="Z253" s="168"/>
      <c r="AA253" s="168"/>
    </row>
    <row r="254" customFormat="false" ht="15.75" hidden="false" customHeight="false" outlineLevel="0" collapsed="false">
      <c r="A254" s="168" t="str">
        <f aca="false">IF(ISBLANK(B254),"",B254&amp;"|"&amp;C254)</f>
        <v/>
      </c>
      <c r="B254" s="168"/>
      <c r="C254" s="168"/>
      <c r="D254" s="168"/>
      <c r="E254" s="175"/>
      <c r="F254" s="168"/>
      <c r="G254" s="168"/>
      <c r="H254" s="168"/>
      <c r="I254" s="168"/>
      <c r="J254" s="168"/>
      <c r="K254" s="168"/>
      <c r="L254" s="168"/>
      <c r="M254" s="168"/>
      <c r="N254" s="168"/>
      <c r="O254" s="168"/>
      <c r="P254" s="168"/>
      <c r="Q254" s="168"/>
      <c r="R254" s="168"/>
      <c r="S254" s="168"/>
      <c r="T254" s="168"/>
      <c r="U254" s="168"/>
      <c r="V254" s="168"/>
      <c r="W254" s="168"/>
      <c r="X254" s="168"/>
      <c r="Y254" s="168"/>
      <c r="Z254" s="168"/>
      <c r="AA254" s="168"/>
    </row>
    <row r="255" customFormat="false" ht="15.75" hidden="false" customHeight="false" outlineLevel="0" collapsed="false">
      <c r="A255" s="168" t="str">
        <f aca="false">IF(ISBLANK(B255),"",B255&amp;"|"&amp;C255)</f>
        <v/>
      </c>
      <c r="B255" s="168"/>
      <c r="C255" s="168"/>
      <c r="D255" s="168"/>
      <c r="E255" s="175"/>
      <c r="F255" s="168"/>
      <c r="G255" s="168"/>
      <c r="H255" s="168"/>
      <c r="I255" s="168"/>
      <c r="J255" s="168"/>
      <c r="K255" s="168"/>
      <c r="L255" s="168"/>
      <c r="M255" s="168"/>
      <c r="N255" s="168"/>
      <c r="O255" s="168"/>
      <c r="P255" s="168"/>
      <c r="Q255" s="168"/>
      <c r="R255" s="168"/>
      <c r="S255" s="168"/>
      <c r="T255" s="168"/>
      <c r="U255" s="168"/>
      <c r="V255" s="168"/>
      <c r="W255" s="168"/>
      <c r="X255" s="168"/>
      <c r="Y255" s="168"/>
      <c r="Z255" s="168"/>
      <c r="AA255" s="168"/>
    </row>
    <row r="256" customFormat="false" ht="15.75" hidden="false" customHeight="false" outlineLevel="0" collapsed="false">
      <c r="A256" s="168" t="str">
        <f aca="false">IF(ISBLANK(B256),"",B256&amp;"|"&amp;C256)</f>
        <v/>
      </c>
      <c r="B256" s="168"/>
      <c r="C256" s="168"/>
      <c r="D256" s="168"/>
      <c r="E256" s="175"/>
      <c r="F256" s="168"/>
      <c r="G256" s="168"/>
      <c r="H256" s="168"/>
      <c r="I256" s="168"/>
      <c r="J256" s="168"/>
      <c r="K256" s="168"/>
      <c r="L256" s="168"/>
      <c r="M256" s="168"/>
      <c r="N256" s="168"/>
      <c r="O256" s="168"/>
      <c r="P256" s="168"/>
      <c r="Q256" s="168"/>
      <c r="R256" s="168"/>
      <c r="S256" s="168"/>
      <c r="T256" s="168"/>
      <c r="U256" s="168"/>
      <c r="V256" s="168"/>
      <c r="W256" s="168"/>
      <c r="X256" s="168"/>
      <c r="Y256" s="168"/>
      <c r="Z256" s="168"/>
      <c r="AA256" s="168"/>
    </row>
    <row r="257" customFormat="false" ht="15.75" hidden="false" customHeight="false" outlineLevel="0" collapsed="false">
      <c r="A257" s="168" t="str">
        <f aca="false">IF(ISBLANK(B257),"",B257&amp;"|"&amp;C257)</f>
        <v/>
      </c>
      <c r="B257" s="168"/>
      <c r="C257" s="168"/>
      <c r="D257" s="168"/>
      <c r="E257" s="175"/>
      <c r="F257" s="168"/>
      <c r="G257" s="168"/>
      <c r="H257" s="168"/>
      <c r="I257" s="168"/>
      <c r="J257" s="168"/>
      <c r="K257" s="168"/>
      <c r="L257" s="168"/>
      <c r="M257" s="168"/>
      <c r="N257" s="168"/>
      <c r="O257" s="168"/>
      <c r="P257" s="168"/>
      <c r="Q257" s="168"/>
      <c r="R257" s="168"/>
      <c r="S257" s="168"/>
      <c r="T257" s="168"/>
      <c r="U257" s="168"/>
      <c r="V257" s="168"/>
      <c r="W257" s="168"/>
      <c r="X257" s="168"/>
      <c r="Y257" s="168"/>
      <c r="Z257" s="168"/>
      <c r="AA257" s="168"/>
    </row>
    <row r="258" customFormat="false" ht="15.75" hidden="false" customHeight="false" outlineLevel="0" collapsed="false">
      <c r="A258" s="168" t="str">
        <f aca="false">IF(ISBLANK(B258),"",B258&amp;"|"&amp;C258)</f>
        <v/>
      </c>
      <c r="B258" s="168"/>
      <c r="C258" s="168"/>
      <c r="D258" s="168"/>
      <c r="E258" s="175"/>
      <c r="F258" s="168"/>
      <c r="G258" s="168"/>
      <c r="H258" s="168"/>
      <c r="I258" s="168"/>
      <c r="J258" s="168"/>
      <c r="K258" s="168"/>
      <c r="L258" s="168"/>
      <c r="M258" s="168"/>
      <c r="N258" s="168"/>
      <c r="O258" s="168"/>
      <c r="P258" s="168"/>
      <c r="Q258" s="168"/>
      <c r="R258" s="168"/>
      <c r="S258" s="168"/>
      <c r="T258" s="168"/>
      <c r="U258" s="168"/>
      <c r="V258" s="168"/>
      <c r="W258" s="168"/>
      <c r="X258" s="168"/>
      <c r="Y258" s="168"/>
      <c r="Z258" s="168"/>
      <c r="AA258" s="168"/>
    </row>
    <row r="259" customFormat="false" ht="15.75" hidden="false" customHeight="false" outlineLevel="0" collapsed="false">
      <c r="A259" s="168" t="str">
        <f aca="false">IF(ISBLANK(B259),"",B259&amp;"|"&amp;C259)</f>
        <v/>
      </c>
      <c r="B259" s="168"/>
      <c r="C259" s="168"/>
      <c r="D259" s="168"/>
      <c r="E259" s="175"/>
      <c r="F259" s="168"/>
      <c r="G259" s="168"/>
      <c r="H259" s="168"/>
      <c r="I259" s="168"/>
      <c r="J259" s="168"/>
      <c r="K259" s="168"/>
      <c r="L259" s="168"/>
      <c r="M259" s="168"/>
      <c r="N259" s="168"/>
      <c r="O259" s="168"/>
      <c r="P259" s="168"/>
      <c r="Q259" s="168"/>
      <c r="R259" s="168"/>
      <c r="S259" s="168"/>
      <c r="T259" s="168"/>
      <c r="U259" s="168"/>
      <c r="V259" s="168"/>
      <c r="W259" s="168"/>
      <c r="X259" s="168"/>
      <c r="Y259" s="168"/>
      <c r="Z259" s="168"/>
      <c r="AA259" s="168"/>
    </row>
    <row r="260" customFormat="false" ht="15.75" hidden="false" customHeight="false" outlineLevel="0" collapsed="false">
      <c r="A260" s="168" t="str">
        <f aca="false">IF(ISBLANK(B260),"",B260&amp;"|"&amp;C260)</f>
        <v/>
      </c>
      <c r="B260" s="168"/>
      <c r="C260" s="168"/>
      <c r="D260" s="168"/>
      <c r="E260" s="175"/>
      <c r="F260" s="168"/>
      <c r="G260" s="168"/>
      <c r="H260" s="168"/>
      <c r="I260" s="168"/>
      <c r="J260" s="168"/>
      <c r="K260" s="168"/>
      <c r="L260" s="168"/>
      <c r="M260" s="168"/>
      <c r="N260" s="168"/>
      <c r="O260" s="168"/>
      <c r="P260" s="168"/>
      <c r="Q260" s="168"/>
      <c r="R260" s="168"/>
      <c r="S260" s="168"/>
      <c r="T260" s="168"/>
      <c r="U260" s="168"/>
      <c r="V260" s="168"/>
      <c r="W260" s="168"/>
      <c r="X260" s="168"/>
      <c r="Y260" s="168"/>
      <c r="Z260" s="168"/>
      <c r="AA260" s="168"/>
    </row>
    <row r="261" customFormat="false" ht="15.75" hidden="false" customHeight="false" outlineLevel="0" collapsed="false">
      <c r="A261" s="168" t="str">
        <f aca="false">IF(ISBLANK(B261),"",B261&amp;"|"&amp;C261)</f>
        <v/>
      </c>
      <c r="B261" s="168"/>
      <c r="C261" s="168"/>
      <c r="D261" s="168"/>
      <c r="E261" s="175"/>
      <c r="F261" s="168"/>
      <c r="G261" s="168"/>
      <c r="H261" s="168"/>
      <c r="I261" s="168"/>
      <c r="J261" s="168"/>
      <c r="K261" s="168"/>
      <c r="L261" s="168"/>
      <c r="M261" s="168"/>
      <c r="N261" s="168"/>
      <c r="O261" s="168"/>
      <c r="P261" s="168"/>
      <c r="Q261" s="168"/>
      <c r="R261" s="168"/>
      <c r="S261" s="168"/>
      <c r="T261" s="168"/>
      <c r="U261" s="168"/>
      <c r="V261" s="168"/>
      <c r="W261" s="168"/>
      <c r="X261" s="168"/>
      <c r="Y261" s="168"/>
      <c r="Z261" s="168"/>
      <c r="AA261" s="168"/>
    </row>
    <row r="262" customFormat="false" ht="15.75" hidden="false" customHeight="false" outlineLevel="0" collapsed="false">
      <c r="A262" s="168" t="str">
        <f aca="false">IF(ISBLANK(B262),"",B262&amp;"|"&amp;C262)</f>
        <v/>
      </c>
      <c r="B262" s="168"/>
      <c r="C262" s="168"/>
      <c r="D262" s="168"/>
      <c r="E262" s="175"/>
      <c r="F262" s="168"/>
      <c r="G262" s="168"/>
      <c r="H262" s="168"/>
      <c r="I262" s="168"/>
      <c r="J262" s="168"/>
      <c r="K262" s="168"/>
      <c r="L262" s="168"/>
      <c r="M262" s="168"/>
      <c r="N262" s="168"/>
      <c r="O262" s="168"/>
      <c r="P262" s="168"/>
      <c r="Q262" s="168"/>
      <c r="R262" s="168"/>
      <c r="S262" s="168"/>
      <c r="T262" s="168"/>
      <c r="U262" s="168"/>
      <c r="V262" s="168"/>
      <c r="W262" s="168"/>
      <c r="X262" s="168"/>
      <c r="Y262" s="168"/>
      <c r="Z262" s="168"/>
      <c r="AA262" s="168"/>
    </row>
    <row r="263" customFormat="false" ht="15.75" hidden="false" customHeight="false" outlineLevel="0" collapsed="false">
      <c r="A263" s="168" t="str">
        <f aca="false">IF(ISBLANK(B263),"",B263&amp;"|"&amp;C263)</f>
        <v/>
      </c>
      <c r="B263" s="168"/>
      <c r="C263" s="168"/>
      <c r="D263" s="168"/>
      <c r="E263" s="175"/>
      <c r="F263" s="168"/>
      <c r="G263" s="168"/>
      <c r="H263" s="168"/>
      <c r="I263" s="168"/>
      <c r="J263" s="168"/>
      <c r="K263" s="168"/>
      <c r="L263" s="168"/>
      <c r="M263" s="168"/>
      <c r="N263" s="168"/>
      <c r="O263" s="168"/>
      <c r="P263" s="168"/>
      <c r="Q263" s="168"/>
      <c r="R263" s="168"/>
      <c r="S263" s="168"/>
      <c r="T263" s="168"/>
      <c r="U263" s="168"/>
      <c r="V263" s="168"/>
      <c r="W263" s="168"/>
      <c r="X263" s="168"/>
      <c r="Y263" s="168"/>
      <c r="Z263" s="168"/>
      <c r="AA263" s="168"/>
    </row>
    <row r="264" customFormat="false" ht="15.75" hidden="false" customHeight="false" outlineLevel="0" collapsed="false">
      <c r="A264" s="168" t="str">
        <f aca="false">IF(ISBLANK(B264),"",B264&amp;"|"&amp;C264)</f>
        <v/>
      </c>
      <c r="B264" s="168"/>
      <c r="C264" s="168"/>
      <c r="D264" s="168"/>
      <c r="E264" s="175"/>
      <c r="F264" s="168"/>
      <c r="G264" s="168"/>
      <c r="H264" s="168"/>
      <c r="I264" s="168"/>
      <c r="J264" s="168"/>
      <c r="K264" s="168"/>
      <c r="L264" s="168"/>
      <c r="M264" s="168"/>
      <c r="N264" s="168"/>
      <c r="O264" s="168"/>
      <c r="P264" s="168"/>
      <c r="Q264" s="168"/>
      <c r="R264" s="168"/>
      <c r="S264" s="168"/>
      <c r="T264" s="168"/>
      <c r="U264" s="168"/>
      <c r="V264" s="168"/>
      <c r="W264" s="168"/>
      <c r="X264" s="168"/>
      <c r="Y264" s="168"/>
      <c r="Z264" s="168"/>
      <c r="AA264" s="168"/>
    </row>
    <row r="265" customFormat="false" ht="15.75" hidden="false" customHeight="false" outlineLevel="0" collapsed="false">
      <c r="A265" s="168" t="str">
        <f aca="false">IF(ISBLANK(B265),"",B265&amp;"|"&amp;C265)</f>
        <v/>
      </c>
      <c r="B265" s="168"/>
      <c r="C265" s="168"/>
      <c r="D265" s="168"/>
      <c r="E265" s="175"/>
      <c r="F265" s="168"/>
      <c r="G265" s="168"/>
      <c r="H265" s="168"/>
      <c r="I265" s="168"/>
      <c r="J265" s="168"/>
      <c r="K265" s="168"/>
      <c r="L265" s="168"/>
      <c r="M265" s="168"/>
      <c r="N265" s="168"/>
      <c r="O265" s="168"/>
      <c r="P265" s="168"/>
      <c r="Q265" s="168"/>
      <c r="R265" s="168"/>
      <c r="S265" s="168"/>
      <c r="T265" s="168"/>
      <c r="U265" s="168"/>
      <c r="V265" s="168"/>
      <c r="W265" s="168"/>
      <c r="X265" s="168"/>
      <c r="Y265" s="168"/>
      <c r="Z265" s="168"/>
      <c r="AA265" s="168"/>
    </row>
    <row r="266" customFormat="false" ht="15.75" hidden="false" customHeight="false" outlineLevel="0" collapsed="false">
      <c r="A266" s="168" t="str">
        <f aca="false">IF(ISBLANK(B266),"",B266&amp;"|"&amp;C266)</f>
        <v/>
      </c>
      <c r="B266" s="168"/>
      <c r="C266" s="168"/>
      <c r="D266" s="168"/>
      <c r="E266" s="175"/>
      <c r="F266" s="168"/>
      <c r="G266" s="168"/>
      <c r="H266" s="168"/>
      <c r="I266" s="168"/>
      <c r="J266" s="168"/>
      <c r="K266" s="168"/>
      <c r="L266" s="168"/>
      <c r="M266" s="168"/>
      <c r="N266" s="168"/>
      <c r="O266" s="168"/>
      <c r="P266" s="168"/>
      <c r="Q266" s="168"/>
      <c r="R266" s="168"/>
      <c r="S266" s="168"/>
      <c r="T266" s="168"/>
      <c r="U266" s="168"/>
      <c r="V266" s="168"/>
      <c r="W266" s="168"/>
      <c r="X266" s="168"/>
      <c r="Y266" s="168"/>
      <c r="Z266" s="168"/>
      <c r="AA266" s="168"/>
    </row>
    <row r="267" customFormat="false" ht="15.75" hidden="false" customHeight="false" outlineLevel="0" collapsed="false">
      <c r="A267" s="168" t="str">
        <f aca="false">IF(ISBLANK(B267),"",B267&amp;"|"&amp;C267)</f>
        <v/>
      </c>
      <c r="B267" s="168"/>
      <c r="C267" s="168"/>
      <c r="D267" s="168"/>
      <c r="E267" s="175"/>
      <c r="F267" s="168"/>
      <c r="G267" s="168"/>
      <c r="H267" s="168"/>
      <c r="I267" s="168"/>
      <c r="J267" s="168"/>
      <c r="K267" s="168"/>
      <c r="L267" s="168"/>
      <c r="M267" s="168"/>
      <c r="N267" s="168"/>
      <c r="O267" s="168"/>
      <c r="P267" s="168"/>
      <c r="Q267" s="168"/>
      <c r="R267" s="168"/>
      <c r="S267" s="168"/>
      <c r="T267" s="168"/>
      <c r="U267" s="168"/>
      <c r="V267" s="168"/>
      <c r="W267" s="168"/>
      <c r="X267" s="168"/>
      <c r="Y267" s="168"/>
      <c r="Z267" s="168"/>
      <c r="AA267" s="168"/>
    </row>
    <row r="268" customFormat="false" ht="15.75" hidden="false" customHeight="false" outlineLevel="0" collapsed="false">
      <c r="A268" s="168" t="str">
        <f aca="false">IF(ISBLANK(B268),"",B268&amp;"|"&amp;C268)</f>
        <v/>
      </c>
      <c r="B268" s="168"/>
      <c r="C268" s="168"/>
      <c r="D268" s="168"/>
      <c r="E268" s="175"/>
      <c r="F268" s="168"/>
      <c r="G268" s="168"/>
      <c r="H268" s="168"/>
      <c r="I268" s="168"/>
      <c r="J268" s="168"/>
      <c r="K268" s="168"/>
      <c r="L268" s="168"/>
      <c r="M268" s="168"/>
      <c r="N268" s="168"/>
      <c r="O268" s="168"/>
      <c r="P268" s="168"/>
      <c r="Q268" s="168"/>
      <c r="R268" s="168"/>
      <c r="S268" s="168"/>
      <c r="T268" s="168"/>
      <c r="U268" s="168"/>
      <c r="V268" s="168"/>
      <c r="W268" s="168"/>
      <c r="X268" s="168"/>
      <c r="Y268" s="168"/>
      <c r="Z268" s="168"/>
      <c r="AA268" s="168"/>
    </row>
    <row r="269" customFormat="false" ht="15.75" hidden="false" customHeight="false" outlineLevel="0" collapsed="false">
      <c r="A269" s="168" t="str">
        <f aca="false">IF(ISBLANK(B269),"",B269&amp;"|"&amp;C269)</f>
        <v/>
      </c>
      <c r="B269" s="168"/>
      <c r="C269" s="168"/>
      <c r="D269" s="168"/>
      <c r="E269" s="175"/>
      <c r="F269" s="168"/>
      <c r="G269" s="168"/>
      <c r="H269" s="168"/>
      <c r="I269" s="168"/>
      <c r="J269" s="168"/>
      <c r="K269" s="168"/>
      <c r="L269" s="168"/>
      <c r="M269" s="168"/>
      <c r="N269" s="168"/>
      <c r="O269" s="168"/>
      <c r="P269" s="168"/>
      <c r="Q269" s="168"/>
      <c r="R269" s="168"/>
      <c r="S269" s="168"/>
      <c r="T269" s="168"/>
      <c r="U269" s="168"/>
      <c r="V269" s="168"/>
      <c r="W269" s="168"/>
      <c r="X269" s="168"/>
      <c r="Y269" s="168"/>
      <c r="Z269" s="168"/>
      <c r="AA269" s="168"/>
    </row>
    <row r="270" customFormat="false" ht="15.75" hidden="false" customHeight="false" outlineLevel="0" collapsed="false">
      <c r="A270" s="168" t="str">
        <f aca="false">IF(ISBLANK(B270),"",B270&amp;"|"&amp;C270)</f>
        <v/>
      </c>
      <c r="B270" s="168"/>
      <c r="C270" s="168"/>
      <c r="D270" s="168"/>
      <c r="E270" s="175"/>
      <c r="F270" s="168"/>
      <c r="G270" s="168"/>
      <c r="H270" s="168"/>
      <c r="I270" s="168"/>
      <c r="J270" s="168"/>
      <c r="K270" s="168"/>
      <c r="L270" s="168"/>
      <c r="M270" s="168"/>
      <c r="N270" s="168"/>
      <c r="O270" s="168"/>
      <c r="P270" s="168"/>
      <c r="Q270" s="168"/>
      <c r="R270" s="168"/>
      <c r="S270" s="168"/>
      <c r="T270" s="168"/>
      <c r="U270" s="168"/>
      <c r="V270" s="168"/>
      <c r="W270" s="168"/>
      <c r="X270" s="168"/>
      <c r="Y270" s="168"/>
      <c r="Z270" s="168"/>
      <c r="AA270" s="168"/>
    </row>
    <row r="271" customFormat="false" ht="15.75" hidden="false" customHeight="false" outlineLevel="0" collapsed="false">
      <c r="A271" s="168" t="str">
        <f aca="false">IF(ISBLANK(B271),"",B271&amp;"|"&amp;C271)</f>
        <v/>
      </c>
      <c r="B271" s="168"/>
      <c r="C271" s="168"/>
      <c r="D271" s="168"/>
      <c r="E271" s="175"/>
      <c r="F271" s="168"/>
      <c r="G271" s="168"/>
      <c r="H271" s="168"/>
      <c r="I271" s="168"/>
      <c r="J271" s="168"/>
      <c r="K271" s="168"/>
      <c r="L271" s="168"/>
      <c r="M271" s="168"/>
      <c r="N271" s="168"/>
      <c r="O271" s="168"/>
      <c r="P271" s="168"/>
      <c r="Q271" s="168"/>
      <c r="R271" s="168"/>
      <c r="S271" s="168"/>
      <c r="T271" s="168"/>
      <c r="U271" s="168"/>
      <c r="V271" s="168"/>
      <c r="W271" s="168"/>
      <c r="X271" s="168"/>
      <c r="Y271" s="168"/>
      <c r="Z271" s="168"/>
      <c r="AA271" s="168"/>
    </row>
    <row r="272" customFormat="false" ht="15.75" hidden="false" customHeight="false" outlineLevel="0" collapsed="false">
      <c r="A272" s="168" t="str">
        <f aca="false">IF(ISBLANK(B272),"",B272&amp;"|"&amp;C272)</f>
        <v/>
      </c>
      <c r="B272" s="168"/>
      <c r="C272" s="168"/>
      <c r="D272" s="168"/>
      <c r="E272" s="175"/>
      <c r="F272" s="168"/>
      <c r="G272" s="168"/>
      <c r="H272" s="168"/>
      <c r="I272" s="168"/>
      <c r="J272" s="168"/>
      <c r="K272" s="168"/>
      <c r="L272" s="168"/>
      <c r="M272" s="168"/>
      <c r="N272" s="168"/>
      <c r="O272" s="168"/>
      <c r="P272" s="168"/>
      <c r="Q272" s="168"/>
      <c r="R272" s="168"/>
      <c r="S272" s="168"/>
      <c r="T272" s="168"/>
      <c r="U272" s="168"/>
      <c r="V272" s="168"/>
      <c r="W272" s="168"/>
      <c r="X272" s="168"/>
      <c r="Y272" s="168"/>
      <c r="Z272" s="168"/>
      <c r="AA272" s="168"/>
    </row>
    <row r="273" customFormat="false" ht="15.75" hidden="false" customHeight="false" outlineLevel="0" collapsed="false">
      <c r="A273" s="168" t="str">
        <f aca="false">IF(ISBLANK(B273),"",B273&amp;"|"&amp;C273)</f>
        <v/>
      </c>
      <c r="B273" s="168"/>
      <c r="C273" s="168"/>
      <c r="D273" s="168"/>
      <c r="E273" s="175"/>
      <c r="F273" s="168"/>
      <c r="G273" s="168"/>
      <c r="H273" s="168"/>
      <c r="I273" s="168"/>
      <c r="J273" s="168"/>
      <c r="K273" s="168"/>
      <c r="L273" s="168"/>
      <c r="M273" s="168"/>
      <c r="N273" s="168"/>
      <c r="O273" s="168"/>
      <c r="P273" s="168"/>
      <c r="Q273" s="168"/>
      <c r="R273" s="168"/>
      <c r="S273" s="168"/>
      <c r="T273" s="168"/>
      <c r="U273" s="168"/>
      <c r="V273" s="168"/>
      <c r="W273" s="168"/>
      <c r="X273" s="168"/>
      <c r="Y273" s="168"/>
      <c r="Z273" s="168"/>
      <c r="AA273" s="168"/>
    </row>
    <row r="274" customFormat="false" ht="15.75" hidden="false" customHeight="false" outlineLevel="0" collapsed="false">
      <c r="A274" s="168" t="str">
        <f aca="false">IF(ISBLANK(B274),"",B274&amp;"|"&amp;C274)</f>
        <v/>
      </c>
      <c r="B274" s="168"/>
      <c r="C274" s="168"/>
      <c r="D274" s="168"/>
      <c r="E274" s="175"/>
      <c r="F274" s="168"/>
      <c r="G274" s="168"/>
      <c r="H274" s="168"/>
      <c r="I274" s="168"/>
      <c r="J274" s="168"/>
      <c r="K274" s="168"/>
      <c r="L274" s="168"/>
      <c r="M274" s="168"/>
      <c r="N274" s="168"/>
      <c r="O274" s="168"/>
      <c r="P274" s="168"/>
      <c r="Q274" s="168"/>
      <c r="R274" s="168"/>
      <c r="S274" s="168"/>
      <c r="T274" s="168"/>
      <c r="U274" s="168"/>
      <c r="V274" s="168"/>
      <c r="W274" s="168"/>
      <c r="X274" s="168"/>
      <c r="Y274" s="168"/>
      <c r="Z274" s="168"/>
      <c r="AA274" s="168"/>
    </row>
    <row r="275" customFormat="false" ht="15.75" hidden="false" customHeight="false" outlineLevel="0" collapsed="false">
      <c r="A275" s="168" t="str">
        <f aca="false">IF(ISBLANK(B275),"",B275&amp;"|"&amp;C275)</f>
        <v/>
      </c>
      <c r="B275" s="168"/>
      <c r="C275" s="168"/>
      <c r="D275" s="168"/>
      <c r="E275" s="175"/>
      <c r="F275" s="168"/>
      <c r="G275" s="168"/>
      <c r="H275" s="168"/>
      <c r="I275" s="168"/>
      <c r="J275" s="168"/>
      <c r="K275" s="168"/>
      <c r="L275" s="168"/>
      <c r="M275" s="168"/>
      <c r="N275" s="168"/>
      <c r="O275" s="168"/>
      <c r="P275" s="168"/>
      <c r="Q275" s="168"/>
      <c r="R275" s="168"/>
      <c r="S275" s="168"/>
      <c r="T275" s="168"/>
      <c r="U275" s="168"/>
      <c r="V275" s="168"/>
      <c r="W275" s="168"/>
      <c r="X275" s="168"/>
      <c r="Y275" s="168"/>
      <c r="Z275" s="168"/>
      <c r="AA275" s="168"/>
    </row>
    <row r="276" customFormat="false" ht="15.75" hidden="false" customHeight="false" outlineLevel="0" collapsed="false">
      <c r="A276" s="168" t="str">
        <f aca="false">IF(ISBLANK(B276),"",B276&amp;"|"&amp;C276)</f>
        <v/>
      </c>
      <c r="B276" s="168"/>
      <c r="C276" s="168"/>
      <c r="D276" s="168"/>
      <c r="E276" s="175"/>
      <c r="F276" s="168"/>
      <c r="G276" s="168"/>
      <c r="H276" s="168"/>
      <c r="I276" s="168"/>
      <c r="J276" s="168"/>
      <c r="K276" s="168"/>
      <c r="L276" s="168"/>
      <c r="M276" s="168"/>
      <c r="N276" s="168"/>
      <c r="O276" s="168"/>
      <c r="P276" s="168"/>
      <c r="Q276" s="168"/>
      <c r="R276" s="168"/>
      <c r="S276" s="168"/>
      <c r="T276" s="168"/>
      <c r="U276" s="168"/>
      <c r="V276" s="168"/>
      <c r="W276" s="168"/>
      <c r="X276" s="168"/>
      <c r="Y276" s="168"/>
      <c r="Z276" s="168"/>
      <c r="AA276" s="168"/>
    </row>
    <row r="277" customFormat="false" ht="15.75" hidden="false" customHeight="false" outlineLevel="0" collapsed="false">
      <c r="A277" s="168" t="str">
        <f aca="false">IF(ISBLANK(B277),"",B277&amp;"|"&amp;C277)</f>
        <v/>
      </c>
      <c r="B277" s="168"/>
      <c r="C277" s="168"/>
      <c r="D277" s="168"/>
      <c r="E277" s="175"/>
      <c r="F277" s="168"/>
      <c r="G277" s="168"/>
      <c r="H277" s="168"/>
      <c r="I277" s="168"/>
      <c r="J277" s="168"/>
      <c r="K277" s="168"/>
      <c r="L277" s="168"/>
      <c r="M277" s="168"/>
      <c r="N277" s="168"/>
      <c r="O277" s="168"/>
      <c r="P277" s="168"/>
      <c r="Q277" s="168"/>
      <c r="R277" s="168"/>
      <c r="S277" s="168"/>
      <c r="T277" s="168"/>
      <c r="U277" s="168"/>
      <c r="V277" s="168"/>
      <c r="W277" s="168"/>
      <c r="X277" s="168"/>
      <c r="Y277" s="168"/>
      <c r="Z277" s="168"/>
      <c r="AA277" s="168"/>
    </row>
    <row r="278" customFormat="false" ht="15.75" hidden="false" customHeight="false" outlineLevel="0" collapsed="false">
      <c r="A278" s="168" t="str">
        <f aca="false">IF(ISBLANK(B278),"",B278&amp;"|"&amp;C278)</f>
        <v/>
      </c>
      <c r="B278" s="168"/>
      <c r="C278" s="168"/>
      <c r="D278" s="168"/>
      <c r="E278" s="175"/>
      <c r="F278" s="168"/>
      <c r="G278" s="168"/>
      <c r="H278" s="168"/>
      <c r="I278" s="168"/>
      <c r="J278" s="168"/>
      <c r="K278" s="168"/>
      <c r="L278" s="168"/>
      <c r="M278" s="168"/>
      <c r="N278" s="168"/>
      <c r="O278" s="168"/>
      <c r="P278" s="168"/>
      <c r="Q278" s="168"/>
      <c r="R278" s="168"/>
      <c r="S278" s="168"/>
      <c r="T278" s="168"/>
      <c r="U278" s="168"/>
      <c r="V278" s="168"/>
      <c r="W278" s="168"/>
      <c r="X278" s="168"/>
      <c r="Y278" s="168"/>
      <c r="Z278" s="168"/>
      <c r="AA278" s="168"/>
    </row>
    <row r="279" customFormat="false" ht="15.75" hidden="false" customHeight="false" outlineLevel="0" collapsed="false">
      <c r="A279" s="168" t="str">
        <f aca="false">IF(ISBLANK(B279),"",B279&amp;"|"&amp;C279)</f>
        <v/>
      </c>
      <c r="B279" s="168"/>
      <c r="C279" s="168"/>
      <c r="D279" s="168"/>
      <c r="E279" s="175"/>
      <c r="F279" s="168"/>
      <c r="G279" s="168"/>
      <c r="H279" s="168"/>
      <c r="I279" s="168"/>
      <c r="J279" s="168"/>
      <c r="K279" s="168"/>
      <c r="L279" s="168"/>
      <c r="M279" s="168"/>
      <c r="N279" s="168"/>
      <c r="O279" s="168"/>
      <c r="P279" s="168"/>
      <c r="Q279" s="168"/>
      <c r="R279" s="168"/>
      <c r="S279" s="168"/>
      <c r="T279" s="168"/>
      <c r="U279" s="168"/>
      <c r="V279" s="168"/>
      <c r="W279" s="168"/>
      <c r="X279" s="168"/>
      <c r="Y279" s="168"/>
      <c r="Z279" s="168"/>
      <c r="AA279" s="168"/>
    </row>
    <row r="280" customFormat="false" ht="15.75" hidden="false" customHeight="false" outlineLevel="0" collapsed="false">
      <c r="A280" s="168" t="str">
        <f aca="false">IF(ISBLANK(B280),"",B280&amp;"|"&amp;C280)</f>
        <v/>
      </c>
      <c r="B280" s="168"/>
      <c r="C280" s="168"/>
      <c r="D280" s="168"/>
      <c r="E280" s="175"/>
      <c r="F280" s="168"/>
      <c r="G280" s="168"/>
      <c r="H280" s="168"/>
      <c r="I280" s="168"/>
      <c r="J280" s="168"/>
      <c r="K280" s="168"/>
      <c r="L280" s="168"/>
      <c r="M280" s="168"/>
      <c r="N280" s="168"/>
      <c r="O280" s="168"/>
      <c r="P280" s="168"/>
      <c r="Q280" s="168"/>
      <c r="R280" s="168"/>
      <c r="S280" s="168"/>
      <c r="T280" s="168"/>
      <c r="U280" s="168"/>
      <c r="V280" s="168"/>
      <c r="W280" s="168"/>
      <c r="X280" s="168"/>
      <c r="Y280" s="168"/>
      <c r="Z280" s="168"/>
      <c r="AA280" s="168"/>
    </row>
    <row r="281" customFormat="false" ht="15.75" hidden="false" customHeight="false" outlineLevel="0" collapsed="false">
      <c r="A281" s="168" t="str">
        <f aca="false">IF(ISBLANK(B281),"",B281&amp;"|"&amp;C281)</f>
        <v/>
      </c>
      <c r="B281" s="168"/>
      <c r="C281" s="168"/>
      <c r="D281" s="168"/>
      <c r="E281" s="175"/>
      <c r="F281" s="168"/>
      <c r="G281" s="168"/>
      <c r="H281" s="168"/>
      <c r="I281" s="168"/>
      <c r="J281" s="168"/>
      <c r="K281" s="168"/>
      <c r="L281" s="168"/>
      <c r="M281" s="168"/>
      <c r="N281" s="168"/>
      <c r="O281" s="168"/>
      <c r="P281" s="168"/>
      <c r="Q281" s="168"/>
      <c r="R281" s="168"/>
      <c r="S281" s="168"/>
      <c r="T281" s="168"/>
      <c r="U281" s="168"/>
      <c r="V281" s="168"/>
      <c r="W281" s="168"/>
      <c r="X281" s="168"/>
      <c r="Y281" s="168"/>
      <c r="Z281" s="168"/>
      <c r="AA281" s="168"/>
    </row>
    <row r="282" customFormat="false" ht="15.75" hidden="false" customHeight="false" outlineLevel="0" collapsed="false">
      <c r="A282" s="168" t="str">
        <f aca="false">IF(ISBLANK(B282),"",B282&amp;"|"&amp;C282)</f>
        <v/>
      </c>
      <c r="B282" s="168"/>
      <c r="C282" s="168"/>
      <c r="D282" s="168"/>
      <c r="E282" s="175"/>
      <c r="F282" s="168"/>
      <c r="G282" s="168"/>
      <c r="H282" s="168"/>
      <c r="I282" s="168"/>
      <c r="J282" s="168"/>
      <c r="K282" s="168"/>
      <c r="L282" s="168"/>
      <c r="M282" s="168"/>
      <c r="N282" s="168"/>
      <c r="O282" s="168"/>
      <c r="P282" s="168"/>
      <c r="Q282" s="168"/>
      <c r="R282" s="168"/>
      <c r="S282" s="168"/>
      <c r="T282" s="168"/>
      <c r="U282" s="168"/>
      <c r="V282" s="168"/>
      <c r="W282" s="168"/>
      <c r="X282" s="168"/>
      <c r="Y282" s="168"/>
      <c r="Z282" s="168"/>
      <c r="AA282" s="168"/>
    </row>
    <row r="283" customFormat="false" ht="15.75" hidden="false" customHeight="false" outlineLevel="0" collapsed="false">
      <c r="A283" s="168" t="str">
        <f aca="false">IF(ISBLANK(B283),"",B283&amp;"|"&amp;C283)</f>
        <v/>
      </c>
      <c r="B283" s="168"/>
      <c r="C283" s="168"/>
      <c r="D283" s="168"/>
      <c r="E283" s="175"/>
      <c r="F283" s="168"/>
      <c r="G283" s="168"/>
      <c r="H283" s="168"/>
      <c r="I283" s="168"/>
      <c r="J283" s="168"/>
      <c r="K283" s="168"/>
      <c r="L283" s="168"/>
      <c r="M283" s="168"/>
      <c r="N283" s="168"/>
      <c r="O283" s="168"/>
      <c r="P283" s="168"/>
      <c r="Q283" s="168"/>
      <c r="R283" s="168"/>
      <c r="S283" s="168"/>
      <c r="T283" s="168"/>
      <c r="U283" s="168"/>
      <c r="V283" s="168"/>
      <c r="W283" s="168"/>
      <c r="X283" s="168"/>
      <c r="Y283" s="168"/>
      <c r="Z283" s="168"/>
      <c r="AA283" s="168"/>
    </row>
    <row r="284" customFormat="false" ht="15.75" hidden="false" customHeight="false" outlineLevel="0" collapsed="false">
      <c r="A284" s="168" t="str">
        <f aca="false">IF(ISBLANK(B284),"",B284&amp;"|"&amp;C284)</f>
        <v/>
      </c>
      <c r="B284" s="168"/>
      <c r="C284" s="168"/>
      <c r="D284" s="168"/>
      <c r="E284" s="175"/>
      <c r="F284" s="168"/>
      <c r="G284" s="168"/>
      <c r="H284" s="168"/>
      <c r="I284" s="168"/>
      <c r="J284" s="168"/>
      <c r="K284" s="168"/>
      <c r="L284" s="168"/>
      <c r="M284" s="168"/>
      <c r="N284" s="168"/>
      <c r="O284" s="168"/>
      <c r="P284" s="168"/>
      <c r="Q284" s="168"/>
      <c r="R284" s="168"/>
      <c r="S284" s="168"/>
      <c r="T284" s="168"/>
      <c r="U284" s="168"/>
      <c r="V284" s="168"/>
      <c r="W284" s="168"/>
      <c r="X284" s="168"/>
      <c r="Y284" s="168"/>
      <c r="Z284" s="168"/>
      <c r="AA284" s="168"/>
    </row>
    <row r="285" customFormat="false" ht="15.75" hidden="false" customHeight="false" outlineLevel="0" collapsed="false">
      <c r="A285" s="168" t="str">
        <f aca="false">IF(ISBLANK(B285),"",B285&amp;"|"&amp;C285)</f>
        <v/>
      </c>
      <c r="B285" s="168"/>
      <c r="C285" s="168"/>
      <c r="D285" s="168"/>
      <c r="E285" s="175"/>
      <c r="F285" s="168"/>
      <c r="G285" s="168"/>
      <c r="H285" s="168"/>
      <c r="I285" s="168"/>
      <c r="J285" s="168"/>
      <c r="K285" s="168"/>
      <c r="L285" s="168"/>
      <c r="M285" s="168"/>
      <c r="N285" s="168"/>
      <c r="O285" s="168"/>
      <c r="P285" s="168"/>
      <c r="Q285" s="168"/>
      <c r="R285" s="168"/>
      <c r="S285" s="168"/>
      <c r="T285" s="168"/>
      <c r="U285" s="168"/>
      <c r="V285" s="168"/>
      <c r="W285" s="168"/>
      <c r="X285" s="168"/>
      <c r="Y285" s="168"/>
      <c r="Z285" s="168"/>
      <c r="AA285" s="168"/>
    </row>
    <row r="286" customFormat="false" ht="15.75" hidden="false" customHeight="false" outlineLevel="0" collapsed="false">
      <c r="A286" s="168" t="str">
        <f aca="false">IF(ISBLANK(B286),"",B286&amp;"|"&amp;C286)</f>
        <v/>
      </c>
      <c r="B286" s="168"/>
      <c r="C286" s="168"/>
      <c r="D286" s="168"/>
      <c r="E286" s="175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  <c r="AA286" s="168"/>
    </row>
    <row r="287" customFormat="false" ht="15.75" hidden="false" customHeight="false" outlineLevel="0" collapsed="false">
      <c r="A287" s="168" t="str">
        <f aca="false">IF(ISBLANK(B287),"",B287&amp;"|"&amp;C287)</f>
        <v/>
      </c>
      <c r="B287" s="168"/>
      <c r="C287" s="168"/>
      <c r="D287" s="168"/>
      <c r="E287" s="175"/>
      <c r="F287" s="168"/>
      <c r="G287" s="168"/>
      <c r="H287" s="168"/>
      <c r="I287" s="168"/>
      <c r="J287" s="168"/>
      <c r="K287" s="168"/>
      <c r="L287" s="168"/>
      <c r="M287" s="168"/>
      <c r="N287" s="168"/>
      <c r="O287" s="168"/>
      <c r="P287" s="168"/>
      <c r="Q287" s="168"/>
      <c r="R287" s="168"/>
      <c r="S287" s="168"/>
      <c r="T287" s="168"/>
      <c r="U287" s="168"/>
      <c r="V287" s="168"/>
      <c r="W287" s="168"/>
      <c r="X287" s="168"/>
      <c r="Y287" s="168"/>
      <c r="Z287" s="168"/>
      <c r="AA287" s="168"/>
    </row>
    <row r="288" customFormat="false" ht="15.75" hidden="false" customHeight="false" outlineLevel="0" collapsed="false">
      <c r="A288" s="168" t="str">
        <f aca="false">IF(ISBLANK(B288),"",B288&amp;"|"&amp;C288)</f>
        <v/>
      </c>
      <c r="B288" s="168"/>
      <c r="C288" s="168"/>
      <c r="D288" s="168"/>
      <c r="E288" s="175"/>
      <c r="F288" s="168"/>
      <c r="G288" s="168"/>
      <c r="H288" s="168"/>
      <c r="I288" s="168"/>
      <c r="J288" s="168"/>
      <c r="K288" s="168"/>
      <c r="L288" s="168"/>
      <c r="M288" s="168"/>
      <c r="N288" s="168"/>
      <c r="O288" s="168"/>
      <c r="P288" s="168"/>
      <c r="Q288" s="168"/>
      <c r="R288" s="168"/>
      <c r="S288" s="168"/>
      <c r="T288" s="168"/>
      <c r="U288" s="168"/>
      <c r="V288" s="168"/>
      <c r="W288" s="168"/>
      <c r="X288" s="168"/>
      <c r="Y288" s="168"/>
      <c r="Z288" s="168"/>
      <c r="AA288" s="168"/>
    </row>
    <row r="289" customFormat="false" ht="15.75" hidden="false" customHeight="false" outlineLevel="0" collapsed="false">
      <c r="A289" s="168" t="str">
        <f aca="false">IF(ISBLANK(B289),"",B289&amp;"|"&amp;C289)</f>
        <v/>
      </c>
      <c r="B289" s="168"/>
      <c r="C289" s="168"/>
      <c r="D289" s="168"/>
      <c r="E289" s="175"/>
      <c r="F289" s="168"/>
      <c r="G289" s="168"/>
      <c r="H289" s="168"/>
      <c r="I289" s="168"/>
      <c r="J289" s="168"/>
      <c r="K289" s="168"/>
      <c r="L289" s="168"/>
      <c r="M289" s="168"/>
      <c r="N289" s="168"/>
      <c r="O289" s="168"/>
      <c r="P289" s="168"/>
      <c r="Q289" s="168"/>
      <c r="R289" s="168"/>
      <c r="S289" s="168"/>
      <c r="T289" s="168"/>
      <c r="U289" s="168"/>
      <c r="V289" s="168"/>
      <c r="W289" s="168"/>
      <c r="X289" s="168"/>
      <c r="Y289" s="168"/>
      <c r="Z289" s="168"/>
      <c r="AA289" s="168"/>
    </row>
    <row r="290" customFormat="false" ht="15.75" hidden="false" customHeight="false" outlineLevel="0" collapsed="false">
      <c r="A290" s="168" t="str">
        <f aca="false">IF(ISBLANK(B290),"",B290&amp;"|"&amp;C290)</f>
        <v/>
      </c>
      <c r="B290" s="168"/>
      <c r="C290" s="168"/>
      <c r="D290" s="168"/>
      <c r="E290" s="175"/>
      <c r="F290" s="168"/>
      <c r="G290" s="168"/>
      <c r="H290" s="168"/>
      <c r="I290" s="168"/>
      <c r="J290" s="168"/>
      <c r="K290" s="168"/>
      <c r="L290" s="168"/>
      <c r="M290" s="168"/>
      <c r="N290" s="168"/>
      <c r="O290" s="168"/>
      <c r="P290" s="168"/>
      <c r="Q290" s="168"/>
      <c r="R290" s="168"/>
      <c r="S290" s="168"/>
      <c r="T290" s="168"/>
      <c r="U290" s="168"/>
      <c r="V290" s="168"/>
      <c r="W290" s="168"/>
      <c r="X290" s="168"/>
      <c r="Y290" s="168"/>
      <c r="Z290" s="168"/>
      <c r="AA290" s="168"/>
    </row>
    <row r="291" customFormat="false" ht="15.75" hidden="false" customHeight="false" outlineLevel="0" collapsed="false">
      <c r="A291" s="168" t="str">
        <f aca="false">IF(ISBLANK(B291),"",B291&amp;"|"&amp;C291)</f>
        <v/>
      </c>
      <c r="B291" s="168"/>
      <c r="C291" s="168"/>
      <c r="D291" s="168"/>
      <c r="E291" s="175"/>
      <c r="F291" s="168"/>
      <c r="G291" s="168"/>
      <c r="H291" s="168"/>
      <c r="I291" s="168"/>
      <c r="J291" s="168"/>
      <c r="K291" s="168"/>
      <c r="L291" s="168"/>
      <c r="M291" s="168"/>
      <c r="N291" s="168"/>
      <c r="O291" s="168"/>
      <c r="P291" s="168"/>
      <c r="Q291" s="168"/>
      <c r="R291" s="168"/>
      <c r="S291" s="168"/>
      <c r="T291" s="168"/>
      <c r="U291" s="168"/>
      <c r="V291" s="168"/>
      <c r="W291" s="168"/>
      <c r="X291" s="168"/>
      <c r="Y291" s="168"/>
      <c r="Z291" s="168"/>
      <c r="AA291" s="168"/>
    </row>
    <row r="292" customFormat="false" ht="15.75" hidden="false" customHeight="false" outlineLevel="0" collapsed="false">
      <c r="A292" s="168" t="str">
        <f aca="false">IF(ISBLANK(B292),"",B292&amp;"|"&amp;C292)</f>
        <v/>
      </c>
      <c r="B292" s="168"/>
      <c r="C292" s="168"/>
      <c r="D292" s="168"/>
      <c r="E292" s="175"/>
      <c r="F292" s="168"/>
      <c r="G292" s="168"/>
      <c r="H292" s="168"/>
      <c r="I292" s="168"/>
      <c r="J292" s="168"/>
      <c r="K292" s="168"/>
      <c r="L292" s="168"/>
      <c r="M292" s="168"/>
      <c r="N292" s="168"/>
      <c r="O292" s="168"/>
      <c r="P292" s="168"/>
      <c r="Q292" s="168"/>
      <c r="R292" s="168"/>
      <c r="S292" s="168"/>
      <c r="T292" s="168"/>
      <c r="U292" s="168"/>
      <c r="V292" s="168"/>
      <c r="W292" s="168"/>
      <c r="X292" s="168"/>
      <c r="Y292" s="168"/>
      <c r="Z292" s="168"/>
      <c r="AA292" s="168"/>
    </row>
    <row r="293" customFormat="false" ht="15.75" hidden="false" customHeight="false" outlineLevel="0" collapsed="false">
      <c r="A293" s="168" t="str">
        <f aca="false">IF(ISBLANK(B293),"",B293&amp;"|"&amp;C293)</f>
        <v/>
      </c>
      <c r="B293" s="168"/>
      <c r="C293" s="168"/>
      <c r="D293" s="168"/>
      <c r="E293" s="175"/>
      <c r="F293" s="168"/>
      <c r="G293" s="168"/>
      <c r="H293" s="168"/>
      <c r="I293" s="168"/>
      <c r="J293" s="168"/>
      <c r="K293" s="168"/>
      <c r="L293" s="168"/>
      <c r="M293" s="168"/>
      <c r="N293" s="168"/>
      <c r="O293" s="168"/>
      <c r="P293" s="168"/>
      <c r="Q293" s="168"/>
      <c r="R293" s="168"/>
      <c r="S293" s="168"/>
      <c r="T293" s="168"/>
      <c r="U293" s="168"/>
      <c r="V293" s="168"/>
      <c r="W293" s="168"/>
      <c r="X293" s="168"/>
      <c r="Y293" s="168"/>
      <c r="Z293" s="168"/>
      <c r="AA293" s="168"/>
    </row>
    <row r="294" customFormat="false" ht="15.75" hidden="false" customHeight="false" outlineLevel="0" collapsed="false">
      <c r="A294" s="168" t="str">
        <f aca="false">IF(ISBLANK(B294),"",B294&amp;"|"&amp;C294)</f>
        <v/>
      </c>
      <c r="B294" s="168"/>
      <c r="C294" s="168"/>
      <c r="D294" s="168"/>
      <c r="E294" s="175"/>
      <c r="F294" s="168"/>
      <c r="G294" s="168"/>
      <c r="H294" s="168"/>
      <c r="I294" s="168"/>
      <c r="J294" s="168"/>
      <c r="K294" s="168"/>
      <c r="L294" s="168"/>
      <c r="M294" s="168"/>
      <c r="N294" s="168"/>
      <c r="O294" s="168"/>
      <c r="P294" s="168"/>
      <c r="Q294" s="168"/>
      <c r="R294" s="168"/>
      <c r="S294" s="168"/>
      <c r="T294" s="168"/>
      <c r="U294" s="168"/>
      <c r="V294" s="168"/>
      <c r="W294" s="168"/>
      <c r="X294" s="168"/>
      <c r="Y294" s="168"/>
      <c r="Z294" s="168"/>
      <c r="AA294" s="168"/>
    </row>
    <row r="295" customFormat="false" ht="15.75" hidden="false" customHeight="false" outlineLevel="0" collapsed="false">
      <c r="A295" s="168" t="str">
        <f aca="false">IF(ISBLANK(B295),"",B295&amp;"|"&amp;C295)</f>
        <v/>
      </c>
      <c r="B295" s="168"/>
      <c r="C295" s="168"/>
      <c r="D295" s="168"/>
      <c r="E295" s="175"/>
      <c r="F295" s="168"/>
      <c r="G295" s="168"/>
      <c r="H295" s="168"/>
      <c r="I295" s="168"/>
      <c r="J295" s="168"/>
      <c r="K295" s="168"/>
      <c r="L295" s="168"/>
      <c r="M295" s="168"/>
      <c r="N295" s="168"/>
      <c r="O295" s="168"/>
      <c r="P295" s="168"/>
      <c r="Q295" s="168"/>
      <c r="R295" s="168"/>
      <c r="S295" s="168"/>
      <c r="T295" s="168"/>
      <c r="U295" s="168"/>
      <c r="V295" s="168"/>
      <c r="W295" s="168"/>
      <c r="X295" s="168"/>
      <c r="Y295" s="168"/>
      <c r="Z295" s="168"/>
      <c r="AA295" s="168"/>
    </row>
    <row r="296" customFormat="false" ht="15.75" hidden="false" customHeight="false" outlineLevel="0" collapsed="false">
      <c r="A296" s="168" t="str">
        <f aca="false">IF(ISBLANK(B296),"",B296&amp;"|"&amp;C296)</f>
        <v/>
      </c>
      <c r="B296" s="168"/>
      <c r="C296" s="168"/>
      <c r="D296" s="168"/>
      <c r="E296" s="175"/>
      <c r="F296" s="168"/>
      <c r="G296" s="168"/>
      <c r="H296" s="168"/>
      <c r="I296" s="168"/>
      <c r="J296" s="168"/>
      <c r="K296" s="168"/>
      <c r="L296" s="168"/>
      <c r="M296" s="168"/>
      <c r="N296" s="168"/>
      <c r="O296" s="168"/>
      <c r="P296" s="168"/>
      <c r="Q296" s="168"/>
      <c r="R296" s="168"/>
      <c r="S296" s="168"/>
      <c r="T296" s="168"/>
      <c r="U296" s="168"/>
      <c r="V296" s="168"/>
      <c r="W296" s="168"/>
      <c r="X296" s="168"/>
      <c r="Y296" s="168"/>
      <c r="Z296" s="168"/>
      <c r="AA296" s="168"/>
    </row>
    <row r="297" customFormat="false" ht="15.75" hidden="false" customHeight="false" outlineLevel="0" collapsed="false">
      <c r="A297" s="168" t="str">
        <f aca="false">IF(ISBLANK(B297),"",B297&amp;"|"&amp;C297)</f>
        <v/>
      </c>
      <c r="B297" s="168"/>
      <c r="C297" s="168"/>
      <c r="D297" s="168"/>
      <c r="E297" s="175"/>
      <c r="F297" s="168"/>
      <c r="G297" s="168"/>
      <c r="H297" s="168"/>
      <c r="I297" s="168"/>
      <c r="J297" s="168"/>
      <c r="K297" s="168"/>
      <c r="L297" s="168"/>
      <c r="M297" s="168"/>
      <c r="N297" s="168"/>
      <c r="O297" s="168"/>
      <c r="P297" s="168"/>
      <c r="Q297" s="168"/>
      <c r="R297" s="168"/>
      <c r="S297" s="168"/>
      <c r="T297" s="168"/>
      <c r="U297" s="168"/>
      <c r="V297" s="168"/>
      <c r="W297" s="168"/>
      <c r="X297" s="168"/>
      <c r="Y297" s="168"/>
      <c r="Z297" s="168"/>
      <c r="AA297" s="168"/>
    </row>
    <row r="298" customFormat="false" ht="15.75" hidden="false" customHeight="false" outlineLevel="0" collapsed="false">
      <c r="A298" s="168" t="str">
        <f aca="false">IF(ISBLANK(B298),"",B298&amp;"|"&amp;C298)</f>
        <v/>
      </c>
      <c r="B298" s="168"/>
      <c r="C298" s="168"/>
      <c r="D298" s="168"/>
      <c r="E298" s="175"/>
      <c r="F298" s="168"/>
      <c r="G298" s="168"/>
      <c r="H298" s="168"/>
      <c r="I298" s="168"/>
      <c r="J298" s="168"/>
      <c r="K298" s="168"/>
      <c r="L298" s="168"/>
      <c r="M298" s="168"/>
      <c r="N298" s="168"/>
      <c r="O298" s="168"/>
      <c r="P298" s="168"/>
      <c r="Q298" s="168"/>
      <c r="R298" s="168"/>
      <c r="S298" s="168"/>
      <c r="T298" s="168"/>
      <c r="U298" s="168"/>
      <c r="V298" s="168"/>
      <c r="W298" s="168"/>
      <c r="X298" s="168"/>
      <c r="Y298" s="168"/>
      <c r="Z298" s="168"/>
      <c r="AA298" s="168"/>
    </row>
    <row r="299" customFormat="false" ht="15.75" hidden="false" customHeight="false" outlineLevel="0" collapsed="false">
      <c r="A299" s="168" t="str">
        <f aca="false">IF(ISBLANK(B299),"",B299&amp;"|"&amp;C299)</f>
        <v/>
      </c>
      <c r="B299" s="168"/>
      <c r="C299" s="168"/>
      <c r="D299" s="168"/>
      <c r="E299" s="175"/>
      <c r="F299" s="168"/>
      <c r="G299" s="168"/>
      <c r="H299" s="168"/>
      <c r="I299" s="168"/>
      <c r="J299" s="168"/>
      <c r="K299" s="168"/>
      <c r="L299" s="168"/>
      <c r="M299" s="168"/>
      <c r="N299" s="168"/>
      <c r="O299" s="168"/>
      <c r="P299" s="168"/>
      <c r="Q299" s="168"/>
      <c r="R299" s="168"/>
      <c r="S299" s="168"/>
      <c r="T299" s="168"/>
      <c r="U299" s="168"/>
      <c r="V299" s="168"/>
      <c r="W299" s="168"/>
      <c r="X299" s="168"/>
      <c r="Y299" s="168"/>
      <c r="Z299" s="168"/>
      <c r="AA299" s="168"/>
    </row>
    <row r="300" customFormat="false" ht="15.75" hidden="false" customHeight="false" outlineLevel="0" collapsed="false">
      <c r="A300" s="168" t="str">
        <f aca="false">IF(ISBLANK(B300),"",B300&amp;"|"&amp;C300)</f>
        <v/>
      </c>
      <c r="B300" s="168"/>
      <c r="C300" s="168"/>
      <c r="D300" s="168"/>
      <c r="E300" s="175"/>
      <c r="F300" s="168"/>
      <c r="G300" s="168"/>
      <c r="H300" s="168"/>
      <c r="I300" s="168"/>
      <c r="J300" s="168"/>
      <c r="K300" s="168"/>
      <c r="L300" s="168"/>
      <c r="M300" s="168"/>
      <c r="N300" s="168"/>
      <c r="O300" s="168"/>
      <c r="P300" s="168"/>
      <c r="Q300" s="168"/>
      <c r="R300" s="168"/>
      <c r="S300" s="168"/>
      <c r="T300" s="168"/>
      <c r="U300" s="168"/>
      <c r="V300" s="168"/>
      <c r="W300" s="168"/>
      <c r="X300" s="168"/>
      <c r="Y300" s="168"/>
      <c r="Z300" s="168"/>
      <c r="AA300" s="168"/>
    </row>
    <row r="301" customFormat="false" ht="15.75" hidden="false" customHeight="false" outlineLevel="0" collapsed="false">
      <c r="A301" s="168" t="str">
        <f aca="false">IF(ISBLANK(B301),"",B301&amp;"|"&amp;C301)</f>
        <v/>
      </c>
      <c r="B301" s="168"/>
      <c r="C301" s="168"/>
      <c r="D301" s="168"/>
      <c r="E301" s="175"/>
      <c r="F301" s="168"/>
      <c r="G301" s="168"/>
      <c r="H301" s="168"/>
      <c r="I301" s="168"/>
      <c r="J301" s="168"/>
      <c r="K301" s="168"/>
      <c r="L301" s="168"/>
      <c r="M301" s="168"/>
      <c r="N301" s="168"/>
      <c r="O301" s="168"/>
      <c r="P301" s="168"/>
      <c r="Q301" s="168"/>
      <c r="R301" s="168"/>
      <c r="S301" s="168"/>
      <c r="T301" s="168"/>
      <c r="U301" s="168"/>
      <c r="V301" s="168"/>
      <c r="W301" s="168"/>
      <c r="X301" s="168"/>
      <c r="Y301" s="168"/>
      <c r="Z301" s="168"/>
      <c r="AA301" s="168"/>
    </row>
    <row r="302" customFormat="false" ht="15.75" hidden="false" customHeight="false" outlineLevel="0" collapsed="false">
      <c r="A302" s="168" t="str">
        <f aca="false">IF(ISBLANK(B302),"",B302&amp;"|"&amp;C302)</f>
        <v/>
      </c>
      <c r="B302" s="168"/>
      <c r="C302" s="168"/>
      <c r="D302" s="168"/>
      <c r="E302" s="175"/>
      <c r="F302" s="168"/>
      <c r="G302" s="168"/>
      <c r="H302" s="168"/>
      <c r="I302" s="168"/>
      <c r="J302" s="168"/>
      <c r="K302" s="168"/>
      <c r="L302" s="168"/>
      <c r="M302" s="168"/>
      <c r="N302" s="168"/>
      <c r="O302" s="168"/>
      <c r="P302" s="168"/>
      <c r="Q302" s="168"/>
      <c r="R302" s="168"/>
      <c r="S302" s="168"/>
      <c r="T302" s="168"/>
      <c r="U302" s="168"/>
      <c r="V302" s="168"/>
      <c r="W302" s="168"/>
      <c r="X302" s="168"/>
      <c r="Y302" s="168"/>
      <c r="Z302" s="168"/>
      <c r="AA302" s="168"/>
    </row>
    <row r="303" customFormat="false" ht="15.75" hidden="false" customHeight="false" outlineLevel="0" collapsed="false">
      <c r="A303" s="168" t="str">
        <f aca="false">IF(ISBLANK(B303),"",B303&amp;"|"&amp;C303)</f>
        <v/>
      </c>
      <c r="B303" s="168"/>
      <c r="C303" s="168"/>
      <c r="D303" s="168"/>
      <c r="E303" s="175"/>
      <c r="F303" s="168"/>
      <c r="G303" s="168"/>
      <c r="H303" s="168"/>
      <c r="I303" s="168"/>
      <c r="J303" s="168"/>
      <c r="K303" s="168"/>
      <c r="L303" s="168"/>
      <c r="M303" s="168"/>
      <c r="N303" s="168"/>
      <c r="O303" s="168"/>
      <c r="P303" s="168"/>
      <c r="Q303" s="168"/>
      <c r="R303" s="168"/>
      <c r="S303" s="168"/>
      <c r="T303" s="168"/>
      <c r="U303" s="168"/>
      <c r="V303" s="168"/>
      <c r="W303" s="168"/>
      <c r="X303" s="168"/>
      <c r="Y303" s="168"/>
      <c r="Z303" s="168"/>
      <c r="AA303" s="168"/>
    </row>
    <row r="304" customFormat="false" ht="15.75" hidden="false" customHeight="false" outlineLevel="0" collapsed="false">
      <c r="A304" s="168" t="str">
        <f aca="false">IF(ISBLANK(B304),"",B304&amp;"|"&amp;C304)</f>
        <v/>
      </c>
      <c r="B304" s="168"/>
      <c r="C304" s="168"/>
      <c r="D304" s="168"/>
      <c r="E304" s="175"/>
      <c r="F304" s="168"/>
      <c r="G304" s="168"/>
      <c r="H304" s="168"/>
      <c r="I304" s="168"/>
      <c r="J304" s="168"/>
      <c r="K304" s="168"/>
      <c r="L304" s="168"/>
      <c r="M304" s="168"/>
      <c r="N304" s="168"/>
      <c r="O304" s="168"/>
      <c r="P304" s="168"/>
      <c r="Q304" s="168"/>
      <c r="R304" s="168"/>
      <c r="S304" s="168"/>
      <c r="T304" s="168"/>
      <c r="U304" s="168"/>
      <c r="V304" s="168"/>
      <c r="W304" s="168"/>
      <c r="X304" s="168"/>
      <c r="Y304" s="168"/>
      <c r="Z304" s="168"/>
      <c r="AA304" s="168"/>
    </row>
    <row r="305" customFormat="false" ht="15.75" hidden="false" customHeight="false" outlineLevel="0" collapsed="false">
      <c r="A305" s="168" t="str">
        <f aca="false">IF(ISBLANK(B305),"",B305&amp;"|"&amp;C305)</f>
        <v/>
      </c>
      <c r="B305" s="168"/>
      <c r="C305" s="168"/>
      <c r="D305" s="168"/>
      <c r="E305" s="175"/>
      <c r="F305" s="168"/>
      <c r="G305" s="168"/>
      <c r="H305" s="168"/>
      <c r="I305" s="168"/>
      <c r="J305" s="168"/>
      <c r="K305" s="168"/>
      <c r="L305" s="168"/>
      <c r="M305" s="168"/>
      <c r="N305" s="168"/>
      <c r="O305" s="168"/>
      <c r="P305" s="168"/>
      <c r="Q305" s="168"/>
      <c r="R305" s="168"/>
      <c r="S305" s="168"/>
      <c r="T305" s="168"/>
      <c r="U305" s="168"/>
      <c r="V305" s="168"/>
      <c r="W305" s="168"/>
      <c r="X305" s="168"/>
      <c r="Y305" s="168"/>
      <c r="Z305" s="168"/>
      <c r="AA305" s="168"/>
    </row>
    <row r="306" customFormat="false" ht="15.75" hidden="false" customHeight="false" outlineLevel="0" collapsed="false">
      <c r="A306" s="168" t="str">
        <f aca="false">IF(ISBLANK(B306),"",B306&amp;"|"&amp;C306)</f>
        <v/>
      </c>
      <c r="B306" s="168"/>
      <c r="C306" s="168"/>
      <c r="D306" s="168"/>
      <c r="E306" s="175"/>
      <c r="F306" s="168"/>
      <c r="G306" s="168"/>
      <c r="H306" s="168"/>
      <c r="I306" s="168"/>
      <c r="J306" s="168"/>
      <c r="K306" s="168"/>
      <c r="L306" s="168"/>
      <c r="M306" s="168"/>
      <c r="N306" s="168"/>
      <c r="O306" s="168"/>
      <c r="P306" s="168"/>
      <c r="Q306" s="168"/>
      <c r="R306" s="168"/>
      <c r="S306" s="168"/>
      <c r="T306" s="168"/>
      <c r="U306" s="168"/>
      <c r="V306" s="168"/>
      <c r="W306" s="168"/>
      <c r="X306" s="168"/>
      <c r="Y306" s="168"/>
      <c r="Z306" s="168"/>
      <c r="AA306" s="168"/>
    </row>
    <row r="307" customFormat="false" ht="15.75" hidden="false" customHeight="false" outlineLevel="0" collapsed="false">
      <c r="A307" s="168" t="str">
        <f aca="false">IF(ISBLANK(B307),"",B307&amp;"|"&amp;C307)</f>
        <v/>
      </c>
      <c r="B307" s="168"/>
      <c r="C307" s="168"/>
      <c r="D307" s="168"/>
      <c r="E307" s="175"/>
      <c r="F307" s="168"/>
      <c r="G307" s="168"/>
      <c r="H307" s="168"/>
      <c r="I307" s="168"/>
      <c r="J307" s="168"/>
      <c r="K307" s="168"/>
      <c r="L307" s="168"/>
      <c r="M307" s="168"/>
      <c r="N307" s="168"/>
      <c r="O307" s="168"/>
      <c r="P307" s="168"/>
      <c r="Q307" s="168"/>
      <c r="R307" s="168"/>
      <c r="S307" s="168"/>
      <c r="T307" s="168"/>
      <c r="U307" s="168"/>
      <c r="V307" s="168"/>
      <c r="W307" s="168"/>
      <c r="X307" s="168"/>
      <c r="Y307" s="168"/>
      <c r="Z307" s="168"/>
      <c r="AA307" s="168"/>
    </row>
    <row r="308" customFormat="false" ht="15.75" hidden="false" customHeight="false" outlineLevel="0" collapsed="false">
      <c r="A308" s="168" t="str">
        <f aca="false">IF(ISBLANK(B308),"",B308&amp;"|"&amp;C308)</f>
        <v/>
      </c>
      <c r="B308" s="168"/>
      <c r="C308" s="168"/>
      <c r="D308" s="168"/>
      <c r="E308" s="175"/>
      <c r="F308" s="168"/>
      <c r="G308" s="168"/>
      <c r="H308" s="168"/>
      <c r="I308" s="168"/>
      <c r="J308" s="168"/>
      <c r="K308" s="168"/>
      <c r="L308" s="168"/>
      <c r="M308" s="168"/>
      <c r="N308" s="168"/>
      <c r="O308" s="168"/>
      <c r="P308" s="168"/>
      <c r="Q308" s="168"/>
      <c r="R308" s="168"/>
      <c r="S308" s="168"/>
      <c r="T308" s="168"/>
      <c r="U308" s="168"/>
      <c r="V308" s="168"/>
      <c r="W308" s="168"/>
      <c r="X308" s="168"/>
      <c r="Y308" s="168"/>
      <c r="Z308" s="168"/>
      <c r="AA308" s="168"/>
    </row>
    <row r="309" customFormat="false" ht="15.75" hidden="false" customHeight="false" outlineLevel="0" collapsed="false">
      <c r="A309" s="168" t="str">
        <f aca="false">IF(ISBLANK(B309),"",B309&amp;"|"&amp;C309)</f>
        <v/>
      </c>
      <c r="B309" s="168"/>
      <c r="C309" s="168"/>
      <c r="D309" s="168"/>
      <c r="E309" s="175"/>
      <c r="F309" s="168"/>
      <c r="G309" s="168"/>
      <c r="H309" s="168"/>
      <c r="I309" s="168"/>
      <c r="J309" s="168"/>
      <c r="K309" s="168"/>
      <c r="L309" s="168"/>
      <c r="M309" s="168"/>
      <c r="N309" s="168"/>
      <c r="O309" s="168"/>
      <c r="P309" s="168"/>
      <c r="Q309" s="168"/>
      <c r="R309" s="168"/>
      <c r="S309" s="168"/>
      <c r="T309" s="168"/>
      <c r="U309" s="168"/>
      <c r="V309" s="168"/>
      <c r="W309" s="168"/>
      <c r="X309" s="168"/>
      <c r="Y309" s="168"/>
      <c r="Z309" s="168"/>
      <c r="AA309" s="168"/>
    </row>
    <row r="310" customFormat="false" ht="15.75" hidden="false" customHeight="false" outlineLevel="0" collapsed="false">
      <c r="A310" s="168" t="str">
        <f aca="false">IF(ISBLANK(B310),"",B310&amp;"|"&amp;C310)</f>
        <v/>
      </c>
      <c r="B310" s="168"/>
      <c r="C310" s="168"/>
      <c r="D310" s="168"/>
      <c r="E310" s="175"/>
      <c r="F310" s="168"/>
      <c r="G310" s="168"/>
      <c r="H310" s="168"/>
      <c r="I310" s="168"/>
      <c r="J310" s="168"/>
      <c r="K310" s="168"/>
      <c r="L310" s="168"/>
      <c r="M310" s="168"/>
      <c r="N310" s="168"/>
      <c r="O310" s="168"/>
      <c r="P310" s="168"/>
      <c r="Q310" s="168"/>
      <c r="R310" s="168"/>
      <c r="S310" s="168"/>
      <c r="T310" s="168"/>
      <c r="U310" s="168"/>
      <c r="V310" s="168"/>
      <c r="W310" s="168"/>
      <c r="X310" s="168"/>
      <c r="Y310" s="168"/>
      <c r="Z310" s="168"/>
      <c r="AA310" s="168"/>
    </row>
    <row r="311" customFormat="false" ht="15.75" hidden="false" customHeight="false" outlineLevel="0" collapsed="false">
      <c r="A311" s="168" t="str">
        <f aca="false">IF(ISBLANK(B311),"",B311&amp;"|"&amp;C311)</f>
        <v/>
      </c>
      <c r="B311" s="168"/>
      <c r="C311" s="168"/>
      <c r="D311" s="168"/>
      <c r="E311" s="175"/>
      <c r="F311" s="168"/>
      <c r="G311" s="168"/>
      <c r="H311" s="168"/>
      <c r="I311" s="168"/>
      <c r="J311" s="168"/>
      <c r="K311" s="168"/>
      <c r="L311" s="168"/>
      <c r="M311" s="168"/>
      <c r="N311" s="168"/>
      <c r="O311" s="168"/>
      <c r="P311" s="168"/>
      <c r="Q311" s="168"/>
      <c r="R311" s="168"/>
      <c r="S311" s="168"/>
      <c r="T311" s="168"/>
      <c r="U311" s="168"/>
      <c r="V311" s="168"/>
      <c r="W311" s="168"/>
      <c r="X311" s="168"/>
      <c r="Y311" s="168"/>
      <c r="Z311" s="168"/>
      <c r="AA311" s="168"/>
    </row>
    <row r="312" customFormat="false" ht="15.75" hidden="false" customHeight="false" outlineLevel="0" collapsed="false">
      <c r="A312" s="168" t="str">
        <f aca="false">IF(ISBLANK(B312),"",B312&amp;"|"&amp;C312)</f>
        <v/>
      </c>
      <c r="B312" s="168"/>
      <c r="C312" s="168"/>
      <c r="D312" s="168"/>
      <c r="E312" s="175"/>
      <c r="F312" s="168"/>
      <c r="G312" s="168"/>
      <c r="H312" s="168"/>
      <c r="I312" s="168"/>
      <c r="J312" s="168"/>
      <c r="K312" s="168"/>
      <c r="L312" s="168"/>
      <c r="M312" s="168"/>
      <c r="N312" s="168"/>
      <c r="O312" s="168"/>
      <c r="P312" s="168"/>
      <c r="Q312" s="168"/>
      <c r="R312" s="168"/>
      <c r="S312" s="168"/>
      <c r="T312" s="168"/>
      <c r="U312" s="168"/>
      <c r="V312" s="168"/>
      <c r="W312" s="168"/>
      <c r="X312" s="168"/>
      <c r="Y312" s="168"/>
      <c r="Z312" s="168"/>
      <c r="AA312" s="168"/>
    </row>
    <row r="313" customFormat="false" ht="15.75" hidden="false" customHeight="false" outlineLevel="0" collapsed="false">
      <c r="A313" s="168" t="str">
        <f aca="false">IF(ISBLANK(B313),"",B313&amp;"|"&amp;C313)</f>
        <v/>
      </c>
      <c r="B313" s="168"/>
      <c r="C313" s="168"/>
      <c r="D313" s="168"/>
      <c r="E313" s="175"/>
      <c r="F313" s="168"/>
      <c r="G313" s="168"/>
      <c r="H313" s="168"/>
      <c r="I313" s="168"/>
      <c r="J313" s="168"/>
      <c r="K313" s="168"/>
      <c r="L313" s="168"/>
      <c r="M313" s="168"/>
      <c r="N313" s="168"/>
      <c r="O313" s="168"/>
      <c r="P313" s="168"/>
      <c r="Q313" s="168"/>
      <c r="R313" s="168"/>
      <c r="S313" s="168"/>
      <c r="T313" s="168"/>
      <c r="U313" s="168"/>
      <c r="V313" s="168"/>
      <c r="W313" s="168"/>
      <c r="X313" s="168"/>
      <c r="Y313" s="168"/>
      <c r="Z313" s="168"/>
      <c r="AA313" s="168"/>
    </row>
    <row r="314" customFormat="false" ht="15.75" hidden="false" customHeight="false" outlineLevel="0" collapsed="false">
      <c r="A314" s="168" t="str">
        <f aca="false">IF(ISBLANK(B314),"",B314&amp;"|"&amp;C314)</f>
        <v/>
      </c>
      <c r="B314" s="168"/>
      <c r="C314" s="168"/>
      <c r="D314" s="168"/>
      <c r="E314" s="175"/>
      <c r="F314" s="168"/>
      <c r="G314" s="168"/>
      <c r="H314" s="168"/>
      <c r="I314" s="168"/>
      <c r="J314" s="168"/>
      <c r="K314" s="168"/>
      <c r="L314" s="168"/>
      <c r="M314" s="168"/>
      <c r="N314" s="168"/>
      <c r="O314" s="168"/>
      <c r="P314" s="168"/>
      <c r="Q314" s="168"/>
      <c r="R314" s="168"/>
      <c r="S314" s="168"/>
      <c r="T314" s="168"/>
      <c r="U314" s="168"/>
      <c r="V314" s="168"/>
      <c r="W314" s="168"/>
      <c r="X314" s="168"/>
      <c r="Y314" s="168"/>
      <c r="Z314" s="168"/>
      <c r="AA314" s="168"/>
    </row>
    <row r="315" customFormat="false" ht="15.75" hidden="false" customHeight="false" outlineLevel="0" collapsed="false">
      <c r="A315" s="168" t="str">
        <f aca="false">IF(ISBLANK(B315),"",B315&amp;"|"&amp;C315)</f>
        <v/>
      </c>
      <c r="B315" s="168"/>
      <c r="C315" s="168"/>
      <c r="D315" s="168"/>
      <c r="E315" s="175"/>
      <c r="F315" s="168"/>
      <c r="G315" s="168"/>
      <c r="H315" s="168"/>
      <c r="I315" s="168"/>
      <c r="J315" s="168"/>
      <c r="K315" s="168"/>
      <c r="L315" s="168"/>
      <c r="M315" s="168"/>
      <c r="N315" s="168"/>
      <c r="O315" s="168"/>
      <c r="P315" s="168"/>
      <c r="Q315" s="168"/>
      <c r="R315" s="168"/>
      <c r="S315" s="168"/>
      <c r="T315" s="168"/>
      <c r="U315" s="168"/>
      <c r="V315" s="168"/>
      <c r="W315" s="168"/>
      <c r="X315" s="168"/>
      <c r="Y315" s="168"/>
      <c r="Z315" s="168"/>
      <c r="AA315" s="168"/>
    </row>
    <row r="316" customFormat="false" ht="15.75" hidden="false" customHeight="false" outlineLevel="0" collapsed="false">
      <c r="A316" s="168" t="str">
        <f aca="false">IF(ISBLANK(B316),"",B316&amp;"|"&amp;C316)</f>
        <v/>
      </c>
      <c r="B316" s="168"/>
      <c r="C316" s="168"/>
      <c r="D316" s="168"/>
      <c r="E316" s="175"/>
      <c r="F316" s="168"/>
      <c r="G316" s="168"/>
      <c r="H316" s="168"/>
      <c r="I316" s="168"/>
      <c r="J316" s="168"/>
      <c r="K316" s="168"/>
      <c r="L316" s="168"/>
      <c r="M316" s="168"/>
      <c r="N316" s="168"/>
      <c r="O316" s="168"/>
      <c r="P316" s="168"/>
      <c r="Q316" s="168"/>
      <c r="R316" s="168"/>
      <c r="S316" s="168"/>
      <c r="T316" s="168"/>
      <c r="U316" s="168"/>
      <c r="V316" s="168"/>
      <c r="W316" s="168"/>
      <c r="X316" s="168"/>
      <c r="Y316" s="168"/>
      <c r="Z316" s="168"/>
      <c r="AA316" s="168"/>
    </row>
    <row r="317" customFormat="false" ht="15.75" hidden="false" customHeight="false" outlineLevel="0" collapsed="false">
      <c r="A317" s="168" t="str">
        <f aca="false">IF(ISBLANK(B317),"",B317&amp;"|"&amp;C317)</f>
        <v/>
      </c>
      <c r="B317" s="168"/>
      <c r="C317" s="168"/>
      <c r="D317" s="168"/>
      <c r="E317" s="175"/>
      <c r="F317" s="168"/>
      <c r="G317" s="168"/>
      <c r="H317" s="168"/>
      <c r="I317" s="168"/>
      <c r="J317" s="168"/>
      <c r="K317" s="168"/>
      <c r="L317" s="168"/>
      <c r="M317" s="168"/>
      <c r="N317" s="168"/>
      <c r="O317" s="168"/>
      <c r="P317" s="168"/>
      <c r="Q317" s="168"/>
      <c r="R317" s="168"/>
      <c r="S317" s="168"/>
      <c r="T317" s="168"/>
      <c r="U317" s="168"/>
      <c r="V317" s="168"/>
      <c r="W317" s="168"/>
      <c r="X317" s="168"/>
      <c r="Y317" s="168"/>
      <c r="Z317" s="168"/>
      <c r="AA317" s="168"/>
    </row>
    <row r="318" customFormat="false" ht="15.75" hidden="false" customHeight="false" outlineLevel="0" collapsed="false">
      <c r="A318" s="168" t="str">
        <f aca="false">IF(ISBLANK(B318),"",B318&amp;"|"&amp;C318)</f>
        <v/>
      </c>
      <c r="B318" s="168"/>
      <c r="C318" s="168"/>
      <c r="D318" s="168"/>
      <c r="E318" s="175"/>
      <c r="F318" s="168"/>
      <c r="G318" s="168"/>
      <c r="H318" s="168"/>
      <c r="I318" s="168"/>
      <c r="J318" s="168"/>
      <c r="K318" s="168"/>
      <c r="L318" s="168"/>
      <c r="M318" s="168"/>
      <c r="N318" s="168"/>
      <c r="O318" s="168"/>
      <c r="P318" s="168"/>
      <c r="Q318" s="168"/>
      <c r="R318" s="168"/>
      <c r="S318" s="168"/>
      <c r="T318" s="168"/>
      <c r="U318" s="168"/>
      <c r="V318" s="168"/>
      <c r="W318" s="168"/>
      <c r="X318" s="168"/>
      <c r="Y318" s="168"/>
      <c r="Z318" s="168"/>
      <c r="AA318" s="168"/>
    </row>
    <row r="319" customFormat="false" ht="15.75" hidden="false" customHeight="false" outlineLevel="0" collapsed="false">
      <c r="A319" s="168" t="str">
        <f aca="false">IF(ISBLANK(B319),"",B319&amp;"|"&amp;C319)</f>
        <v/>
      </c>
      <c r="B319" s="168"/>
      <c r="C319" s="168"/>
      <c r="D319" s="168"/>
      <c r="E319" s="175"/>
      <c r="F319" s="168"/>
      <c r="G319" s="168"/>
      <c r="H319" s="168"/>
      <c r="I319" s="168"/>
      <c r="J319" s="168"/>
      <c r="K319" s="168"/>
      <c r="L319" s="168"/>
      <c r="M319" s="168"/>
      <c r="N319" s="168"/>
      <c r="O319" s="168"/>
      <c r="P319" s="168"/>
      <c r="Q319" s="168"/>
      <c r="R319" s="168"/>
      <c r="S319" s="168"/>
      <c r="T319" s="168"/>
      <c r="U319" s="168"/>
      <c r="V319" s="168"/>
      <c r="W319" s="168"/>
      <c r="X319" s="168"/>
      <c r="Y319" s="168"/>
      <c r="Z319" s="168"/>
      <c r="AA319" s="168"/>
    </row>
    <row r="320" customFormat="false" ht="15.75" hidden="false" customHeight="false" outlineLevel="0" collapsed="false">
      <c r="A320" s="168" t="str">
        <f aca="false">IF(ISBLANK(B320),"",B320&amp;"|"&amp;C320)</f>
        <v/>
      </c>
      <c r="B320" s="168"/>
      <c r="C320" s="168"/>
      <c r="D320" s="168"/>
      <c r="E320" s="175"/>
      <c r="F320" s="168"/>
      <c r="G320" s="168"/>
      <c r="H320" s="168"/>
      <c r="I320" s="168"/>
      <c r="J320" s="168"/>
      <c r="K320" s="168"/>
      <c r="L320" s="168"/>
      <c r="M320" s="168"/>
      <c r="N320" s="168"/>
      <c r="O320" s="168"/>
      <c r="P320" s="168"/>
      <c r="Q320" s="168"/>
      <c r="R320" s="168"/>
      <c r="S320" s="168"/>
      <c r="T320" s="168"/>
      <c r="U320" s="168"/>
      <c r="V320" s="168"/>
      <c r="W320" s="168"/>
      <c r="X320" s="168"/>
      <c r="Y320" s="168"/>
      <c r="Z320" s="168"/>
      <c r="AA320" s="168"/>
    </row>
    <row r="321" customFormat="false" ht="15.75" hidden="false" customHeight="false" outlineLevel="0" collapsed="false">
      <c r="A321" s="168" t="str">
        <f aca="false">IF(ISBLANK(B321),"",B321&amp;"|"&amp;C321)</f>
        <v/>
      </c>
      <c r="B321" s="168"/>
      <c r="C321" s="168"/>
      <c r="D321" s="168"/>
      <c r="E321" s="175"/>
      <c r="F321" s="168"/>
      <c r="G321" s="168"/>
      <c r="H321" s="168"/>
      <c r="I321" s="168"/>
      <c r="J321" s="168"/>
      <c r="K321" s="168"/>
      <c r="L321" s="168"/>
      <c r="M321" s="168"/>
      <c r="N321" s="168"/>
      <c r="O321" s="168"/>
      <c r="P321" s="168"/>
      <c r="Q321" s="168"/>
      <c r="R321" s="168"/>
      <c r="S321" s="168"/>
      <c r="T321" s="168"/>
      <c r="U321" s="168"/>
      <c r="V321" s="168"/>
      <c r="W321" s="168"/>
      <c r="X321" s="168"/>
      <c r="Y321" s="168"/>
      <c r="Z321" s="168"/>
      <c r="AA321" s="168"/>
    </row>
    <row r="322" customFormat="false" ht="15.75" hidden="false" customHeight="false" outlineLevel="0" collapsed="false">
      <c r="A322" s="168" t="str">
        <f aca="false">IF(ISBLANK(B322),"",B322&amp;"|"&amp;C322)</f>
        <v/>
      </c>
      <c r="B322" s="168"/>
      <c r="C322" s="168"/>
      <c r="D322" s="168"/>
      <c r="E322" s="175"/>
      <c r="F322" s="168"/>
      <c r="G322" s="168"/>
      <c r="H322" s="168"/>
      <c r="I322" s="168"/>
      <c r="J322" s="168"/>
      <c r="K322" s="168"/>
      <c r="L322" s="168"/>
      <c r="M322" s="168"/>
      <c r="N322" s="168"/>
      <c r="O322" s="168"/>
      <c r="P322" s="168"/>
      <c r="Q322" s="168"/>
      <c r="R322" s="168"/>
      <c r="S322" s="168"/>
      <c r="T322" s="168"/>
      <c r="U322" s="168"/>
      <c r="V322" s="168"/>
      <c r="W322" s="168"/>
      <c r="X322" s="168"/>
      <c r="Y322" s="168"/>
      <c r="Z322" s="168"/>
      <c r="AA322" s="168"/>
    </row>
    <row r="323" customFormat="false" ht="15.75" hidden="false" customHeight="false" outlineLevel="0" collapsed="false">
      <c r="A323" s="168" t="str">
        <f aca="false">IF(ISBLANK(B323),"",B323&amp;"|"&amp;C323)</f>
        <v/>
      </c>
      <c r="B323" s="168"/>
      <c r="C323" s="168"/>
      <c r="D323" s="168"/>
      <c r="E323" s="175"/>
      <c r="F323" s="168"/>
      <c r="G323" s="168"/>
      <c r="H323" s="168"/>
      <c r="I323" s="168"/>
      <c r="J323" s="168"/>
      <c r="K323" s="168"/>
      <c r="L323" s="168"/>
      <c r="M323" s="168"/>
      <c r="N323" s="168"/>
      <c r="O323" s="168"/>
      <c r="P323" s="168"/>
      <c r="Q323" s="168"/>
      <c r="R323" s="168"/>
      <c r="S323" s="168"/>
      <c r="T323" s="168"/>
      <c r="U323" s="168"/>
      <c r="V323" s="168"/>
      <c r="W323" s="168"/>
      <c r="X323" s="168"/>
      <c r="Y323" s="168"/>
      <c r="Z323" s="168"/>
      <c r="AA323" s="168"/>
    </row>
    <row r="324" customFormat="false" ht="15.75" hidden="false" customHeight="false" outlineLevel="0" collapsed="false">
      <c r="A324" s="168" t="str">
        <f aca="false">IF(ISBLANK(B324),"",B324&amp;"|"&amp;C324)</f>
        <v/>
      </c>
      <c r="B324" s="168"/>
      <c r="C324" s="168"/>
      <c r="D324" s="168"/>
      <c r="E324" s="175"/>
      <c r="F324" s="168"/>
      <c r="G324" s="168"/>
      <c r="H324" s="168"/>
      <c r="I324" s="168"/>
      <c r="J324" s="168"/>
      <c r="K324" s="168"/>
      <c r="L324" s="168"/>
      <c r="M324" s="168"/>
      <c r="N324" s="168"/>
      <c r="O324" s="168"/>
      <c r="P324" s="168"/>
      <c r="Q324" s="168"/>
      <c r="R324" s="168"/>
      <c r="S324" s="168"/>
      <c r="T324" s="168"/>
      <c r="U324" s="168"/>
      <c r="V324" s="168"/>
      <c r="W324" s="168"/>
      <c r="X324" s="168"/>
      <c r="Y324" s="168"/>
      <c r="Z324" s="168"/>
      <c r="AA324" s="168"/>
    </row>
    <row r="325" customFormat="false" ht="15.75" hidden="false" customHeight="false" outlineLevel="0" collapsed="false">
      <c r="A325" s="168" t="str">
        <f aca="false">IF(ISBLANK(B325),"",B325&amp;"|"&amp;C325)</f>
        <v/>
      </c>
      <c r="B325" s="168"/>
      <c r="C325" s="168"/>
      <c r="D325" s="168"/>
      <c r="E325" s="175"/>
      <c r="F325" s="168"/>
      <c r="G325" s="168"/>
      <c r="H325" s="168"/>
      <c r="I325" s="168"/>
      <c r="J325" s="168"/>
      <c r="K325" s="168"/>
      <c r="L325" s="168"/>
      <c r="M325" s="168"/>
      <c r="N325" s="168"/>
      <c r="O325" s="168"/>
      <c r="P325" s="168"/>
      <c r="Q325" s="168"/>
      <c r="R325" s="168"/>
      <c r="S325" s="168"/>
      <c r="T325" s="168"/>
      <c r="U325" s="168"/>
      <c r="V325" s="168"/>
      <c r="W325" s="168"/>
      <c r="X325" s="168"/>
      <c r="Y325" s="168"/>
      <c r="Z325" s="168"/>
      <c r="AA325" s="168"/>
    </row>
    <row r="326" customFormat="false" ht="15.75" hidden="false" customHeight="false" outlineLevel="0" collapsed="false">
      <c r="A326" s="168" t="str">
        <f aca="false">IF(ISBLANK(B326),"",B326&amp;"|"&amp;C326)</f>
        <v/>
      </c>
      <c r="B326" s="168"/>
      <c r="C326" s="168"/>
      <c r="D326" s="168"/>
      <c r="E326" s="175"/>
      <c r="F326" s="168"/>
      <c r="G326" s="168"/>
      <c r="H326" s="168"/>
      <c r="I326" s="168"/>
      <c r="J326" s="168"/>
      <c r="K326" s="168"/>
      <c r="L326" s="168"/>
      <c r="M326" s="168"/>
      <c r="N326" s="168"/>
      <c r="O326" s="168"/>
      <c r="P326" s="168"/>
      <c r="Q326" s="168"/>
      <c r="R326" s="168"/>
      <c r="S326" s="168"/>
      <c r="T326" s="168"/>
      <c r="U326" s="168"/>
      <c r="V326" s="168"/>
      <c r="W326" s="168"/>
      <c r="X326" s="168"/>
      <c r="Y326" s="168"/>
      <c r="Z326" s="168"/>
      <c r="AA326" s="168"/>
    </row>
    <row r="327" customFormat="false" ht="15.75" hidden="false" customHeight="false" outlineLevel="0" collapsed="false">
      <c r="A327" s="168" t="str">
        <f aca="false">IF(ISBLANK(B327),"",B327&amp;"|"&amp;C327)</f>
        <v/>
      </c>
      <c r="B327" s="168"/>
      <c r="C327" s="168"/>
      <c r="D327" s="168"/>
      <c r="E327" s="175"/>
      <c r="F327" s="168"/>
      <c r="G327" s="168"/>
      <c r="H327" s="168"/>
      <c r="I327" s="168"/>
      <c r="J327" s="168"/>
      <c r="K327" s="168"/>
      <c r="L327" s="168"/>
      <c r="M327" s="168"/>
      <c r="N327" s="168"/>
      <c r="O327" s="168"/>
      <c r="P327" s="168"/>
      <c r="Q327" s="168"/>
      <c r="R327" s="168"/>
      <c r="S327" s="168"/>
      <c r="T327" s="168"/>
      <c r="U327" s="168"/>
      <c r="V327" s="168"/>
      <c r="W327" s="168"/>
      <c r="X327" s="168"/>
      <c r="Y327" s="168"/>
      <c r="Z327" s="168"/>
      <c r="AA327" s="168"/>
    </row>
    <row r="328" customFormat="false" ht="15.75" hidden="false" customHeight="false" outlineLevel="0" collapsed="false">
      <c r="A328" s="168" t="str">
        <f aca="false">IF(ISBLANK(B328),"",B328&amp;"|"&amp;C328)</f>
        <v/>
      </c>
      <c r="B328" s="168"/>
      <c r="C328" s="168"/>
      <c r="D328" s="168"/>
      <c r="E328" s="175"/>
      <c r="F328" s="168"/>
      <c r="G328" s="168"/>
      <c r="H328" s="168"/>
      <c r="I328" s="168"/>
      <c r="J328" s="168"/>
      <c r="K328" s="168"/>
      <c r="L328" s="168"/>
      <c r="M328" s="168"/>
      <c r="N328" s="168"/>
      <c r="O328" s="168"/>
      <c r="P328" s="168"/>
      <c r="Q328" s="168"/>
      <c r="R328" s="168"/>
      <c r="S328" s="168"/>
      <c r="T328" s="168"/>
      <c r="U328" s="168"/>
      <c r="V328" s="168"/>
      <c r="W328" s="168"/>
      <c r="X328" s="168"/>
      <c r="Y328" s="168"/>
      <c r="Z328" s="168"/>
      <c r="AA328" s="168"/>
    </row>
    <row r="329" customFormat="false" ht="15.75" hidden="false" customHeight="false" outlineLevel="0" collapsed="false">
      <c r="A329" s="168" t="str">
        <f aca="false">IF(ISBLANK(B329),"",B329&amp;"|"&amp;C329)</f>
        <v/>
      </c>
      <c r="B329" s="168"/>
      <c r="C329" s="168"/>
      <c r="D329" s="168"/>
      <c r="E329" s="175"/>
      <c r="F329" s="168"/>
      <c r="G329" s="168"/>
      <c r="H329" s="168"/>
      <c r="I329" s="168"/>
      <c r="J329" s="168"/>
      <c r="K329" s="168"/>
      <c r="L329" s="168"/>
      <c r="M329" s="168"/>
      <c r="N329" s="168"/>
      <c r="O329" s="168"/>
      <c r="P329" s="168"/>
      <c r="Q329" s="168"/>
      <c r="R329" s="168"/>
      <c r="S329" s="168"/>
      <c r="T329" s="168"/>
      <c r="U329" s="168"/>
      <c r="V329" s="168"/>
      <c r="W329" s="168"/>
      <c r="X329" s="168"/>
      <c r="Y329" s="168"/>
      <c r="Z329" s="168"/>
      <c r="AA329" s="168"/>
    </row>
    <row r="330" customFormat="false" ht="15.75" hidden="false" customHeight="false" outlineLevel="0" collapsed="false">
      <c r="A330" s="168" t="str">
        <f aca="false">IF(ISBLANK(B330),"",B330&amp;"|"&amp;C330)</f>
        <v/>
      </c>
      <c r="B330" s="168"/>
      <c r="C330" s="168"/>
      <c r="D330" s="168"/>
      <c r="E330" s="175"/>
      <c r="F330" s="168"/>
      <c r="G330" s="168"/>
      <c r="H330" s="168"/>
      <c r="I330" s="168"/>
      <c r="J330" s="168"/>
      <c r="K330" s="168"/>
      <c r="L330" s="168"/>
      <c r="M330" s="168"/>
      <c r="N330" s="168"/>
      <c r="O330" s="168"/>
      <c r="P330" s="168"/>
      <c r="Q330" s="168"/>
      <c r="R330" s="168"/>
      <c r="S330" s="168"/>
      <c r="T330" s="168"/>
      <c r="U330" s="168"/>
      <c r="V330" s="168"/>
      <c r="W330" s="168"/>
      <c r="X330" s="168"/>
      <c r="Y330" s="168"/>
      <c r="Z330" s="168"/>
      <c r="AA330" s="168"/>
    </row>
    <row r="331" customFormat="false" ht="15.75" hidden="false" customHeight="false" outlineLevel="0" collapsed="false">
      <c r="A331" s="168" t="str">
        <f aca="false">IF(ISBLANK(B331),"",B331&amp;"|"&amp;C331)</f>
        <v/>
      </c>
      <c r="B331" s="168"/>
      <c r="C331" s="168"/>
      <c r="D331" s="168"/>
      <c r="E331" s="175"/>
      <c r="F331" s="168"/>
      <c r="G331" s="168"/>
      <c r="H331" s="168"/>
      <c r="I331" s="168"/>
      <c r="J331" s="168"/>
      <c r="K331" s="168"/>
      <c r="L331" s="168"/>
      <c r="M331" s="168"/>
      <c r="N331" s="168"/>
      <c r="O331" s="168"/>
      <c r="P331" s="168"/>
      <c r="Q331" s="168"/>
      <c r="R331" s="168"/>
      <c r="S331" s="168"/>
      <c r="T331" s="168"/>
      <c r="U331" s="168"/>
      <c r="V331" s="168"/>
      <c r="W331" s="168"/>
      <c r="X331" s="168"/>
      <c r="Y331" s="168"/>
      <c r="Z331" s="168"/>
      <c r="AA331" s="168"/>
    </row>
    <row r="332" customFormat="false" ht="15.75" hidden="false" customHeight="false" outlineLevel="0" collapsed="false">
      <c r="A332" s="168" t="str">
        <f aca="false">IF(ISBLANK(B332),"",B332&amp;"|"&amp;C332)</f>
        <v/>
      </c>
      <c r="B332" s="168"/>
      <c r="C332" s="168"/>
      <c r="D332" s="168"/>
      <c r="E332" s="175"/>
      <c r="F332" s="168"/>
      <c r="G332" s="168"/>
      <c r="H332" s="168"/>
      <c r="I332" s="168"/>
      <c r="J332" s="168"/>
      <c r="K332" s="168"/>
      <c r="L332" s="168"/>
      <c r="M332" s="168"/>
      <c r="N332" s="168"/>
      <c r="O332" s="168"/>
      <c r="P332" s="168"/>
      <c r="Q332" s="168"/>
      <c r="R332" s="168"/>
      <c r="S332" s="168"/>
      <c r="T332" s="168"/>
      <c r="U332" s="168"/>
      <c r="V332" s="168"/>
      <c r="W332" s="168"/>
      <c r="X332" s="168"/>
      <c r="Y332" s="168"/>
      <c r="Z332" s="168"/>
      <c r="AA332" s="168"/>
    </row>
    <row r="333" customFormat="false" ht="15.75" hidden="false" customHeight="false" outlineLevel="0" collapsed="false">
      <c r="A333" s="168" t="str">
        <f aca="false">IF(ISBLANK(B333),"",B333&amp;"|"&amp;C333)</f>
        <v/>
      </c>
      <c r="B333" s="168"/>
      <c r="C333" s="168"/>
      <c r="D333" s="168"/>
      <c r="E333" s="175"/>
      <c r="F333" s="168"/>
      <c r="G333" s="168"/>
      <c r="H333" s="168"/>
      <c r="I333" s="168"/>
      <c r="J333" s="168"/>
      <c r="K333" s="168"/>
      <c r="L333" s="168"/>
      <c r="M333" s="168"/>
      <c r="N333" s="168"/>
      <c r="O333" s="168"/>
      <c r="P333" s="168"/>
      <c r="Q333" s="168"/>
      <c r="R333" s="168"/>
      <c r="S333" s="168"/>
      <c r="T333" s="168"/>
      <c r="U333" s="168"/>
      <c r="V333" s="168"/>
      <c r="W333" s="168"/>
      <c r="X333" s="168"/>
      <c r="Y333" s="168"/>
      <c r="Z333" s="168"/>
      <c r="AA333" s="168"/>
    </row>
    <row r="334" customFormat="false" ht="15.75" hidden="false" customHeight="false" outlineLevel="0" collapsed="false">
      <c r="A334" s="168" t="str">
        <f aca="false">IF(ISBLANK(B334),"",B334&amp;"|"&amp;C334)</f>
        <v/>
      </c>
      <c r="B334" s="168"/>
      <c r="C334" s="168"/>
      <c r="D334" s="168"/>
      <c r="E334" s="175"/>
      <c r="F334" s="168"/>
      <c r="G334" s="168"/>
      <c r="H334" s="168"/>
      <c r="I334" s="168"/>
      <c r="J334" s="168"/>
      <c r="K334" s="168"/>
      <c r="L334" s="168"/>
      <c r="M334" s="168"/>
      <c r="N334" s="168"/>
      <c r="O334" s="168"/>
      <c r="P334" s="168"/>
      <c r="Q334" s="168"/>
      <c r="R334" s="168"/>
      <c r="S334" s="168"/>
      <c r="T334" s="168"/>
      <c r="U334" s="168"/>
      <c r="V334" s="168"/>
      <c r="W334" s="168"/>
      <c r="X334" s="168"/>
      <c r="Y334" s="168"/>
      <c r="Z334" s="168"/>
      <c r="AA334" s="168"/>
    </row>
    <row r="335" customFormat="false" ht="15.75" hidden="false" customHeight="false" outlineLevel="0" collapsed="false">
      <c r="A335" s="168" t="str">
        <f aca="false">IF(ISBLANK(B335),"",B335&amp;"|"&amp;C335)</f>
        <v/>
      </c>
      <c r="B335" s="168"/>
      <c r="C335" s="168"/>
      <c r="D335" s="168"/>
      <c r="E335" s="175"/>
      <c r="F335" s="168"/>
      <c r="G335" s="168"/>
      <c r="H335" s="168"/>
      <c r="I335" s="168"/>
      <c r="J335" s="168"/>
      <c r="K335" s="168"/>
      <c r="L335" s="168"/>
      <c r="M335" s="168"/>
      <c r="N335" s="168"/>
      <c r="O335" s="168"/>
      <c r="P335" s="168"/>
      <c r="Q335" s="168"/>
      <c r="R335" s="168"/>
      <c r="S335" s="168"/>
      <c r="T335" s="168"/>
      <c r="U335" s="168"/>
      <c r="V335" s="168"/>
      <c r="W335" s="168"/>
      <c r="X335" s="168"/>
      <c r="Y335" s="168"/>
      <c r="Z335" s="168"/>
      <c r="AA335" s="168"/>
    </row>
    <row r="336" customFormat="false" ht="15.75" hidden="false" customHeight="false" outlineLevel="0" collapsed="false">
      <c r="A336" s="168" t="str">
        <f aca="false">IF(ISBLANK(B336),"",B336&amp;"|"&amp;C336)</f>
        <v/>
      </c>
      <c r="B336" s="168"/>
      <c r="C336" s="168"/>
      <c r="D336" s="168"/>
      <c r="E336" s="175"/>
      <c r="F336" s="168"/>
      <c r="G336" s="168"/>
      <c r="H336" s="168"/>
      <c r="I336" s="168"/>
      <c r="J336" s="168"/>
      <c r="K336" s="168"/>
      <c r="L336" s="168"/>
      <c r="M336" s="168"/>
      <c r="N336" s="168"/>
      <c r="O336" s="168"/>
      <c r="P336" s="168"/>
      <c r="Q336" s="168"/>
      <c r="R336" s="168"/>
      <c r="S336" s="168"/>
      <c r="T336" s="168"/>
      <c r="U336" s="168"/>
      <c r="V336" s="168"/>
      <c r="W336" s="168"/>
      <c r="X336" s="168"/>
      <c r="Y336" s="168"/>
      <c r="Z336" s="168"/>
      <c r="AA336" s="168"/>
    </row>
    <row r="337" customFormat="false" ht="15.75" hidden="false" customHeight="false" outlineLevel="0" collapsed="false">
      <c r="A337" s="168" t="str">
        <f aca="false">IF(ISBLANK(B337),"",B337&amp;"|"&amp;C337)</f>
        <v/>
      </c>
      <c r="B337" s="168"/>
      <c r="C337" s="168"/>
      <c r="D337" s="168"/>
      <c r="E337" s="175"/>
      <c r="F337" s="168"/>
      <c r="G337" s="168"/>
      <c r="H337" s="168"/>
      <c r="I337" s="168"/>
      <c r="J337" s="168"/>
      <c r="K337" s="168"/>
      <c r="L337" s="168"/>
      <c r="M337" s="168"/>
      <c r="N337" s="168"/>
      <c r="O337" s="168"/>
      <c r="P337" s="168"/>
      <c r="Q337" s="168"/>
      <c r="R337" s="168"/>
      <c r="S337" s="168"/>
      <c r="T337" s="168"/>
      <c r="U337" s="168"/>
      <c r="V337" s="168"/>
      <c r="W337" s="168"/>
      <c r="X337" s="168"/>
      <c r="Y337" s="168"/>
      <c r="Z337" s="168"/>
      <c r="AA337" s="168"/>
    </row>
    <row r="338" customFormat="false" ht="15.75" hidden="false" customHeight="false" outlineLevel="0" collapsed="false">
      <c r="A338" s="168" t="str">
        <f aca="false">IF(ISBLANK(B338),"",B338&amp;"|"&amp;C338)</f>
        <v/>
      </c>
      <c r="B338" s="168"/>
      <c r="C338" s="168"/>
      <c r="D338" s="168"/>
      <c r="E338" s="175"/>
      <c r="F338" s="168"/>
      <c r="G338" s="168"/>
      <c r="H338" s="168"/>
      <c r="I338" s="168"/>
      <c r="J338" s="168"/>
      <c r="K338" s="168"/>
      <c r="L338" s="168"/>
      <c r="M338" s="168"/>
      <c r="N338" s="168"/>
      <c r="O338" s="168"/>
      <c r="P338" s="168"/>
      <c r="Q338" s="168"/>
      <c r="R338" s="168"/>
      <c r="S338" s="168"/>
      <c r="T338" s="168"/>
      <c r="U338" s="168"/>
      <c r="V338" s="168"/>
      <c r="W338" s="168"/>
      <c r="X338" s="168"/>
      <c r="Y338" s="168"/>
      <c r="Z338" s="168"/>
      <c r="AA338" s="168"/>
    </row>
    <row r="339" customFormat="false" ht="15.75" hidden="false" customHeight="false" outlineLevel="0" collapsed="false">
      <c r="A339" s="168" t="str">
        <f aca="false">IF(ISBLANK(B339),"",B339&amp;"|"&amp;C339)</f>
        <v/>
      </c>
      <c r="B339" s="168"/>
      <c r="C339" s="168"/>
      <c r="D339" s="168"/>
      <c r="E339" s="175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  <c r="AA339" s="168"/>
    </row>
    <row r="340" customFormat="false" ht="15.75" hidden="false" customHeight="false" outlineLevel="0" collapsed="false">
      <c r="A340" s="168" t="str">
        <f aca="false">IF(ISBLANK(B340),"",B340&amp;"|"&amp;C340)</f>
        <v/>
      </c>
      <c r="B340" s="168"/>
      <c r="C340" s="168"/>
      <c r="D340" s="168"/>
      <c r="E340" s="175"/>
      <c r="F340" s="168"/>
      <c r="G340" s="168"/>
      <c r="H340" s="168"/>
      <c r="I340" s="168"/>
      <c r="J340" s="168"/>
      <c r="K340" s="168"/>
      <c r="L340" s="168"/>
      <c r="M340" s="168"/>
      <c r="N340" s="168"/>
      <c r="O340" s="168"/>
      <c r="P340" s="168"/>
      <c r="Q340" s="168"/>
      <c r="R340" s="168"/>
      <c r="S340" s="168"/>
      <c r="T340" s="168"/>
      <c r="U340" s="168"/>
      <c r="V340" s="168"/>
      <c r="W340" s="168"/>
      <c r="X340" s="168"/>
      <c r="Y340" s="168"/>
      <c r="Z340" s="168"/>
      <c r="AA340" s="168"/>
    </row>
    <row r="341" customFormat="false" ht="15.75" hidden="false" customHeight="false" outlineLevel="0" collapsed="false">
      <c r="A341" s="168" t="str">
        <f aca="false">IF(ISBLANK(B341),"",B341&amp;"|"&amp;C341)</f>
        <v/>
      </c>
      <c r="B341" s="168"/>
      <c r="C341" s="168"/>
      <c r="D341" s="168"/>
      <c r="E341" s="175"/>
      <c r="F341" s="168"/>
      <c r="G341" s="168"/>
      <c r="H341" s="168"/>
      <c r="I341" s="168"/>
      <c r="J341" s="168"/>
      <c r="K341" s="168"/>
      <c r="L341" s="168"/>
      <c r="M341" s="168"/>
      <c r="N341" s="168"/>
      <c r="O341" s="168"/>
      <c r="P341" s="168"/>
      <c r="Q341" s="168"/>
      <c r="R341" s="168"/>
      <c r="S341" s="168"/>
      <c r="T341" s="168"/>
      <c r="U341" s="168"/>
      <c r="V341" s="168"/>
      <c r="W341" s="168"/>
      <c r="X341" s="168"/>
      <c r="Y341" s="168"/>
      <c r="Z341" s="168"/>
      <c r="AA341" s="168"/>
    </row>
    <row r="342" customFormat="false" ht="15.75" hidden="false" customHeight="false" outlineLevel="0" collapsed="false">
      <c r="A342" s="168" t="str">
        <f aca="false">IF(ISBLANK(B342),"",B342&amp;"|"&amp;C342)</f>
        <v/>
      </c>
      <c r="B342" s="168"/>
      <c r="C342" s="168"/>
      <c r="D342" s="168"/>
      <c r="E342" s="175"/>
      <c r="F342" s="168"/>
      <c r="G342" s="168"/>
      <c r="H342" s="168"/>
      <c r="I342" s="168"/>
      <c r="J342" s="168"/>
      <c r="K342" s="168"/>
      <c r="L342" s="168"/>
      <c r="M342" s="168"/>
      <c r="N342" s="168"/>
      <c r="O342" s="168"/>
      <c r="P342" s="168"/>
      <c r="Q342" s="168"/>
      <c r="R342" s="168"/>
      <c r="S342" s="168"/>
      <c r="T342" s="168"/>
      <c r="U342" s="168"/>
      <c r="V342" s="168"/>
      <c r="W342" s="168"/>
      <c r="X342" s="168"/>
      <c r="Y342" s="168"/>
      <c r="Z342" s="168"/>
      <c r="AA342" s="168"/>
    </row>
    <row r="343" customFormat="false" ht="15.75" hidden="false" customHeight="false" outlineLevel="0" collapsed="false">
      <c r="A343" s="168" t="str">
        <f aca="false">IF(ISBLANK(B343),"",B343&amp;"|"&amp;C343)</f>
        <v/>
      </c>
      <c r="B343" s="168"/>
      <c r="C343" s="168"/>
      <c r="D343" s="168"/>
      <c r="E343" s="175"/>
      <c r="F343" s="168"/>
      <c r="G343" s="168"/>
      <c r="H343" s="168"/>
      <c r="I343" s="168"/>
      <c r="J343" s="168"/>
      <c r="K343" s="168"/>
      <c r="L343" s="168"/>
      <c r="M343" s="168"/>
      <c r="N343" s="168"/>
      <c r="O343" s="168"/>
      <c r="P343" s="168"/>
      <c r="Q343" s="168"/>
      <c r="R343" s="168"/>
      <c r="S343" s="168"/>
      <c r="T343" s="168"/>
      <c r="U343" s="168"/>
      <c r="V343" s="168"/>
      <c r="W343" s="168"/>
      <c r="X343" s="168"/>
      <c r="Y343" s="168"/>
      <c r="Z343" s="168"/>
      <c r="AA343" s="168"/>
    </row>
    <row r="344" customFormat="false" ht="15.75" hidden="false" customHeight="false" outlineLevel="0" collapsed="false">
      <c r="A344" s="168" t="str">
        <f aca="false">IF(ISBLANK(B344),"",B344&amp;"|"&amp;C344)</f>
        <v/>
      </c>
      <c r="B344" s="168"/>
      <c r="C344" s="168"/>
      <c r="D344" s="168"/>
      <c r="E344" s="175"/>
      <c r="F344" s="168"/>
      <c r="G344" s="168"/>
      <c r="H344" s="168"/>
      <c r="I344" s="168"/>
      <c r="J344" s="168"/>
      <c r="K344" s="168"/>
      <c r="L344" s="168"/>
      <c r="M344" s="168"/>
      <c r="N344" s="168"/>
      <c r="O344" s="168"/>
      <c r="P344" s="168"/>
      <c r="Q344" s="168"/>
      <c r="R344" s="168"/>
      <c r="S344" s="168"/>
      <c r="T344" s="168"/>
      <c r="U344" s="168"/>
      <c r="V344" s="168"/>
      <c r="W344" s="168"/>
      <c r="X344" s="168"/>
      <c r="Y344" s="168"/>
      <c r="Z344" s="168"/>
      <c r="AA344" s="168"/>
    </row>
    <row r="345" customFormat="false" ht="15.75" hidden="false" customHeight="false" outlineLevel="0" collapsed="false">
      <c r="A345" s="168" t="str">
        <f aca="false">IF(ISBLANK(B345),"",B345&amp;"|"&amp;C345)</f>
        <v/>
      </c>
      <c r="B345" s="168"/>
      <c r="C345" s="168"/>
      <c r="D345" s="168"/>
      <c r="E345" s="175"/>
      <c r="F345" s="168"/>
      <c r="G345" s="168"/>
      <c r="H345" s="168"/>
      <c r="I345" s="168"/>
      <c r="J345" s="168"/>
      <c r="K345" s="168"/>
      <c r="L345" s="168"/>
      <c r="M345" s="168"/>
      <c r="N345" s="168"/>
      <c r="O345" s="168"/>
      <c r="P345" s="168"/>
      <c r="Q345" s="168"/>
      <c r="R345" s="168"/>
      <c r="S345" s="168"/>
      <c r="T345" s="168"/>
      <c r="U345" s="168"/>
      <c r="V345" s="168"/>
      <c r="W345" s="168"/>
      <c r="X345" s="168"/>
      <c r="Y345" s="168"/>
      <c r="Z345" s="168"/>
      <c r="AA345" s="168"/>
    </row>
    <row r="346" customFormat="false" ht="15.75" hidden="false" customHeight="false" outlineLevel="0" collapsed="false">
      <c r="A346" s="168" t="str">
        <f aca="false">IF(ISBLANK(B346),"",B346&amp;"|"&amp;C346)</f>
        <v/>
      </c>
      <c r="B346" s="168"/>
      <c r="C346" s="168"/>
      <c r="D346" s="168"/>
      <c r="E346" s="175"/>
      <c r="F346" s="168"/>
      <c r="G346" s="168"/>
      <c r="H346" s="168"/>
      <c r="I346" s="168"/>
      <c r="J346" s="168"/>
      <c r="K346" s="168"/>
      <c r="L346" s="168"/>
      <c r="M346" s="168"/>
      <c r="N346" s="168"/>
      <c r="O346" s="168"/>
      <c r="P346" s="168"/>
      <c r="Q346" s="168"/>
      <c r="R346" s="168"/>
      <c r="S346" s="168"/>
      <c r="T346" s="168"/>
      <c r="U346" s="168"/>
      <c r="V346" s="168"/>
      <c r="W346" s="168"/>
      <c r="X346" s="168"/>
      <c r="Y346" s="168"/>
      <c r="Z346" s="168"/>
      <c r="AA346" s="168"/>
    </row>
    <row r="347" customFormat="false" ht="15.75" hidden="false" customHeight="false" outlineLevel="0" collapsed="false">
      <c r="A347" s="168" t="str">
        <f aca="false">IF(ISBLANK(B347),"",B347&amp;"|"&amp;C347)</f>
        <v/>
      </c>
      <c r="B347" s="168"/>
      <c r="C347" s="168"/>
      <c r="D347" s="168"/>
      <c r="E347" s="175"/>
      <c r="F347" s="168"/>
      <c r="G347" s="168"/>
      <c r="H347" s="168"/>
      <c r="I347" s="168"/>
      <c r="J347" s="168"/>
      <c r="K347" s="168"/>
      <c r="L347" s="168"/>
      <c r="M347" s="168"/>
      <c r="N347" s="168"/>
      <c r="O347" s="168"/>
      <c r="P347" s="168"/>
      <c r="Q347" s="168"/>
      <c r="R347" s="168"/>
      <c r="S347" s="168"/>
      <c r="T347" s="168"/>
      <c r="U347" s="168"/>
      <c r="V347" s="168"/>
      <c r="W347" s="168"/>
      <c r="X347" s="168"/>
      <c r="Y347" s="168"/>
      <c r="Z347" s="168"/>
      <c r="AA347" s="168"/>
    </row>
    <row r="348" customFormat="false" ht="15.75" hidden="false" customHeight="false" outlineLevel="0" collapsed="false">
      <c r="A348" s="168" t="str">
        <f aca="false">IF(ISBLANK(B348),"",B348&amp;"|"&amp;C348)</f>
        <v/>
      </c>
      <c r="B348" s="168"/>
      <c r="C348" s="168"/>
      <c r="D348" s="168"/>
      <c r="E348" s="175"/>
      <c r="F348" s="168"/>
      <c r="G348" s="168"/>
      <c r="H348" s="168"/>
      <c r="I348" s="168"/>
      <c r="J348" s="168"/>
      <c r="K348" s="168"/>
      <c r="L348" s="168"/>
      <c r="M348" s="168"/>
      <c r="N348" s="168"/>
      <c r="O348" s="168"/>
      <c r="P348" s="168"/>
      <c r="Q348" s="168"/>
      <c r="R348" s="168"/>
      <c r="S348" s="168"/>
      <c r="T348" s="168"/>
      <c r="U348" s="168"/>
      <c r="V348" s="168"/>
      <c r="W348" s="168"/>
      <c r="X348" s="168"/>
      <c r="Y348" s="168"/>
      <c r="Z348" s="168"/>
      <c r="AA348" s="168"/>
    </row>
    <row r="349" customFormat="false" ht="15.75" hidden="false" customHeight="false" outlineLevel="0" collapsed="false">
      <c r="A349" s="168" t="str">
        <f aca="false">IF(ISBLANK(B349),"",B349&amp;"|"&amp;C349)</f>
        <v/>
      </c>
      <c r="B349" s="168"/>
      <c r="C349" s="168"/>
      <c r="D349" s="168"/>
      <c r="E349" s="175"/>
      <c r="F349" s="168"/>
      <c r="G349" s="168"/>
      <c r="H349" s="168"/>
      <c r="I349" s="168"/>
      <c r="J349" s="168"/>
      <c r="K349" s="168"/>
      <c r="L349" s="168"/>
      <c r="M349" s="168"/>
      <c r="N349" s="168"/>
      <c r="O349" s="168"/>
      <c r="P349" s="168"/>
      <c r="Q349" s="168"/>
      <c r="R349" s="168"/>
      <c r="S349" s="168"/>
      <c r="T349" s="168"/>
      <c r="U349" s="168"/>
      <c r="V349" s="168"/>
      <c r="W349" s="168"/>
      <c r="X349" s="168"/>
      <c r="Y349" s="168"/>
      <c r="Z349" s="168"/>
      <c r="AA349" s="168"/>
    </row>
    <row r="350" customFormat="false" ht="15.75" hidden="false" customHeight="false" outlineLevel="0" collapsed="false">
      <c r="A350" s="168" t="str">
        <f aca="false">IF(ISBLANK(B350),"",B350&amp;"|"&amp;C350)</f>
        <v/>
      </c>
      <c r="B350" s="168"/>
      <c r="C350" s="168"/>
      <c r="D350" s="168"/>
      <c r="E350" s="175"/>
      <c r="F350" s="168"/>
      <c r="G350" s="168"/>
      <c r="H350" s="168"/>
      <c r="I350" s="168"/>
      <c r="J350" s="168"/>
      <c r="K350" s="168"/>
      <c r="L350" s="168"/>
      <c r="M350" s="168"/>
      <c r="N350" s="168"/>
      <c r="O350" s="168"/>
      <c r="P350" s="168"/>
      <c r="Q350" s="168"/>
      <c r="R350" s="168"/>
      <c r="S350" s="168"/>
      <c r="T350" s="168"/>
      <c r="U350" s="168"/>
      <c r="V350" s="168"/>
      <c r="W350" s="168"/>
      <c r="X350" s="168"/>
      <c r="Y350" s="168"/>
      <c r="Z350" s="168"/>
      <c r="AA350" s="168"/>
    </row>
    <row r="351" customFormat="false" ht="15.75" hidden="false" customHeight="false" outlineLevel="0" collapsed="false">
      <c r="A351" s="168" t="str">
        <f aca="false">IF(ISBLANK(B351),"",B351&amp;"|"&amp;C351)</f>
        <v/>
      </c>
      <c r="B351" s="168"/>
      <c r="C351" s="168"/>
      <c r="D351" s="168"/>
      <c r="E351" s="175"/>
      <c r="F351" s="168"/>
      <c r="G351" s="168"/>
      <c r="H351" s="168"/>
      <c r="I351" s="168"/>
      <c r="J351" s="168"/>
      <c r="K351" s="168"/>
      <c r="L351" s="168"/>
      <c r="M351" s="168"/>
      <c r="N351" s="168"/>
      <c r="O351" s="168"/>
      <c r="P351" s="168"/>
      <c r="Q351" s="168"/>
      <c r="R351" s="168"/>
      <c r="S351" s="168"/>
      <c r="T351" s="168"/>
      <c r="U351" s="168"/>
      <c r="V351" s="168"/>
      <c r="W351" s="168"/>
      <c r="X351" s="168"/>
      <c r="Y351" s="168"/>
      <c r="Z351" s="168"/>
      <c r="AA351" s="168"/>
    </row>
    <row r="352" customFormat="false" ht="15.75" hidden="false" customHeight="false" outlineLevel="0" collapsed="false">
      <c r="A352" s="168" t="str">
        <f aca="false">IF(ISBLANK(B352),"",B352&amp;"|"&amp;C352)</f>
        <v/>
      </c>
      <c r="B352" s="168"/>
      <c r="C352" s="168"/>
      <c r="D352" s="168"/>
      <c r="E352" s="175"/>
      <c r="F352" s="168"/>
      <c r="G352" s="168"/>
      <c r="H352" s="168"/>
      <c r="I352" s="168"/>
      <c r="J352" s="168"/>
      <c r="K352" s="168"/>
      <c r="L352" s="168"/>
      <c r="M352" s="168"/>
      <c r="N352" s="168"/>
      <c r="O352" s="168"/>
      <c r="P352" s="168"/>
      <c r="Q352" s="168"/>
      <c r="R352" s="168"/>
      <c r="S352" s="168"/>
      <c r="T352" s="168"/>
      <c r="U352" s="168"/>
      <c r="V352" s="168"/>
      <c r="W352" s="168"/>
      <c r="X352" s="168"/>
      <c r="Y352" s="168"/>
      <c r="Z352" s="168"/>
      <c r="AA352" s="168"/>
    </row>
    <row r="353" customFormat="false" ht="15.75" hidden="false" customHeight="false" outlineLevel="0" collapsed="false">
      <c r="A353" s="168" t="str">
        <f aca="false">IF(ISBLANK(B353),"",B353&amp;"|"&amp;C353)</f>
        <v/>
      </c>
      <c r="B353" s="168"/>
      <c r="C353" s="168"/>
      <c r="D353" s="168"/>
      <c r="E353" s="175"/>
      <c r="F353" s="168"/>
      <c r="G353" s="168"/>
      <c r="H353" s="168"/>
      <c r="I353" s="168"/>
      <c r="J353" s="168"/>
      <c r="K353" s="168"/>
      <c r="L353" s="168"/>
      <c r="M353" s="168"/>
      <c r="N353" s="168"/>
      <c r="O353" s="168"/>
      <c r="P353" s="168"/>
      <c r="Q353" s="168"/>
      <c r="R353" s="168"/>
      <c r="S353" s="168"/>
      <c r="T353" s="168"/>
      <c r="U353" s="168"/>
      <c r="V353" s="168"/>
      <c r="W353" s="168"/>
      <c r="X353" s="168"/>
      <c r="Y353" s="168"/>
      <c r="Z353" s="168"/>
      <c r="AA353" s="168"/>
    </row>
    <row r="354" customFormat="false" ht="15.75" hidden="false" customHeight="false" outlineLevel="0" collapsed="false">
      <c r="A354" s="168" t="str">
        <f aca="false">IF(ISBLANK(B354),"",B354&amp;"|"&amp;C354)</f>
        <v/>
      </c>
      <c r="B354" s="168"/>
      <c r="C354" s="168"/>
      <c r="D354" s="168"/>
      <c r="E354" s="175"/>
      <c r="F354" s="168"/>
      <c r="G354" s="168"/>
      <c r="H354" s="168"/>
      <c r="I354" s="168"/>
      <c r="J354" s="168"/>
      <c r="K354" s="168"/>
      <c r="L354" s="168"/>
      <c r="M354" s="168"/>
      <c r="N354" s="168"/>
      <c r="O354" s="168"/>
      <c r="P354" s="168"/>
      <c r="Q354" s="168"/>
      <c r="R354" s="168"/>
      <c r="S354" s="168"/>
      <c r="T354" s="168"/>
      <c r="U354" s="168"/>
      <c r="V354" s="168"/>
      <c r="W354" s="168"/>
      <c r="X354" s="168"/>
      <c r="Y354" s="168"/>
      <c r="Z354" s="168"/>
      <c r="AA354" s="168"/>
    </row>
    <row r="355" customFormat="false" ht="15.75" hidden="false" customHeight="false" outlineLevel="0" collapsed="false">
      <c r="A355" s="168" t="str">
        <f aca="false">IF(ISBLANK(B355),"",B355&amp;"|"&amp;C355)</f>
        <v/>
      </c>
      <c r="B355" s="168"/>
      <c r="C355" s="168"/>
      <c r="D355" s="168"/>
      <c r="E355" s="175"/>
      <c r="F355" s="168"/>
      <c r="G355" s="168"/>
      <c r="H355" s="168"/>
      <c r="I355" s="168"/>
      <c r="J355" s="168"/>
      <c r="K355" s="168"/>
      <c r="L355" s="168"/>
      <c r="M355" s="168"/>
      <c r="N355" s="168"/>
      <c r="O355" s="168"/>
      <c r="P355" s="168"/>
      <c r="Q355" s="168"/>
      <c r="R355" s="168"/>
      <c r="S355" s="168"/>
      <c r="T355" s="168"/>
      <c r="U355" s="168"/>
      <c r="V355" s="168"/>
      <c r="W355" s="168"/>
      <c r="X355" s="168"/>
      <c r="Y355" s="168"/>
      <c r="Z355" s="168"/>
      <c r="AA355" s="168"/>
    </row>
    <row r="356" customFormat="false" ht="15.75" hidden="false" customHeight="false" outlineLevel="0" collapsed="false">
      <c r="A356" s="168" t="str">
        <f aca="false">IF(ISBLANK(B356),"",B356&amp;"|"&amp;C356)</f>
        <v/>
      </c>
      <c r="B356" s="168"/>
      <c r="C356" s="168"/>
      <c r="D356" s="168"/>
      <c r="E356" s="175"/>
      <c r="F356" s="168"/>
      <c r="G356" s="168"/>
      <c r="H356" s="168"/>
      <c r="I356" s="168"/>
      <c r="J356" s="168"/>
      <c r="K356" s="168"/>
      <c r="L356" s="168"/>
      <c r="M356" s="168"/>
      <c r="N356" s="168"/>
      <c r="O356" s="168"/>
      <c r="P356" s="168"/>
      <c r="Q356" s="168"/>
      <c r="R356" s="168"/>
      <c r="S356" s="168"/>
      <c r="T356" s="168"/>
      <c r="U356" s="168"/>
      <c r="V356" s="168"/>
      <c r="W356" s="168"/>
      <c r="X356" s="168"/>
      <c r="Y356" s="168"/>
      <c r="Z356" s="168"/>
      <c r="AA356" s="168"/>
    </row>
    <row r="357" customFormat="false" ht="15.75" hidden="false" customHeight="false" outlineLevel="0" collapsed="false">
      <c r="A357" s="168" t="str">
        <f aca="false">IF(ISBLANK(B357),"",B357&amp;"|"&amp;C357)</f>
        <v/>
      </c>
      <c r="B357" s="168"/>
      <c r="C357" s="168"/>
      <c r="D357" s="168"/>
      <c r="E357" s="175"/>
      <c r="F357" s="168"/>
      <c r="G357" s="168"/>
      <c r="H357" s="168"/>
      <c r="I357" s="168"/>
      <c r="J357" s="168"/>
      <c r="K357" s="168"/>
      <c r="L357" s="168"/>
      <c r="M357" s="168"/>
      <c r="N357" s="168"/>
      <c r="O357" s="168"/>
      <c r="P357" s="168"/>
      <c r="Q357" s="168"/>
      <c r="R357" s="168"/>
      <c r="S357" s="168"/>
      <c r="T357" s="168"/>
      <c r="U357" s="168"/>
      <c r="V357" s="168"/>
      <c r="W357" s="168"/>
      <c r="X357" s="168"/>
      <c r="Y357" s="168"/>
      <c r="Z357" s="168"/>
      <c r="AA357" s="168"/>
    </row>
    <row r="358" customFormat="false" ht="15.75" hidden="false" customHeight="false" outlineLevel="0" collapsed="false">
      <c r="A358" s="168" t="str">
        <f aca="false">IF(ISBLANK(B358),"",B358&amp;"|"&amp;C358)</f>
        <v/>
      </c>
      <c r="B358" s="168"/>
      <c r="C358" s="168"/>
      <c r="D358" s="168"/>
      <c r="E358" s="175"/>
      <c r="F358" s="168"/>
      <c r="G358" s="168"/>
      <c r="H358" s="168"/>
      <c r="I358" s="168"/>
      <c r="J358" s="168"/>
      <c r="K358" s="168"/>
      <c r="L358" s="168"/>
      <c r="M358" s="168"/>
      <c r="N358" s="168"/>
      <c r="O358" s="168"/>
      <c r="P358" s="168"/>
      <c r="Q358" s="168"/>
      <c r="R358" s="168"/>
      <c r="S358" s="168"/>
      <c r="T358" s="168"/>
      <c r="U358" s="168"/>
      <c r="V358" s="168"/>
      <c r="W358" s="168"/>
      <c r="X358" s="168"/>
      <c r="Y358" s="168"/>
      <c r="Z358" s="168"/>
      <c r="AA358" s="168"/>
    </row>
    <row r="359" customFormat="false" ht="15.75" hidden="false" customHeight="false" outlineLevel="0" collapsed="false">
      <c r="A359" s="168" t="str">
        <f aca="false">IF(ISBLANK(B359),"",B359&amp;"|"&amp;C359)</f>
        <v/>
      </c>
      <c r="B359" s="168"/>
      <c r="C359" s="168"/>
      <c r="D359" s="168"/>
      <c r="E359" s="175"/>
      <c r="F359" s="168"/>
      <c r="G359" s="168"/>
      <c r="H359" s="168"/>
      <c r="I359" s="168"/>
      <c r="J359" s="168"/>
      <c r="K359" s="168"/>
      <c r="L359" s="168"/>
      <c r="M359" s="168"/>
      <c r="N359" s="168"/>
      <c r="O359" s="168"/>
      <c r="P359" s="168"/>
      <c r="Q359" s="168"/>
      <c r="R359" s="168"/>
      <c r="S359" s="168"/>
      <c r="T359" s="168"/>
      <c r="U359" s="168"/>
      <c r="V359" s="168"/>
      <c r="W359" s="168"/>
      <c r="X359" s="168"/>
      <c r="Y359" s="168"/>
      <c r="Z359" s="168"/>
      <c r="AA359" s="168"/>
    </row>
    <row r="360" customFormat="false" ht="15.75" hidden="false" customHeight="false" outlineLevel="0" collapsed="false">
      <c r="A360" s="168" t="str">
        <f aca="false">IF(ISBLANK(B360),"",B360&amp;"|"&amp;C360)</f>
        <v/>
      </c>
      <c r="B360" s="168"/>
      <c r="C360" s="168"/>
      <c r="D360" s="168"/>
      <c r="E360" s="175"/>
      <c r="F360" s="168"/>
      <c r="G360" s="168"/>
      <c r="H360" s="168"/>
      <c r="I360" s="168"/>
      <c r="J360" s="168"/>
      <c r="K360" s="168"/>
      <c r="L360" s="168"/>
      <c r="M360" s="168"/>
      <c r="N360" s="168"/>
      <c r="O360" s="168"/>
      <c r="P360" s="168"/>
      <c r="Q360" s="168"/>
      <c r="R360" s="168"/>
      <c r="S360" s="168"/>
      <c r="T360" s="168"/>
      <c r="U360" s="168"/>
      <c r="V360" s="168"/>
      <c r="W360" s="168"/>
      <c r="X360" s="168"/>
      <c r="Y360" s="168"/>
      <c r="Z360" s="168"/>
      <c r="AA360" s="168"/>
    </row>
    <row r="361" customFormat="false" ht="15.75" hidden="false" customHeight="false" outlineLevel="0" collapsed="false">
      <c r="A361" s="168" t="str">
        <f aca="false">IF(ISBLANK(B361),"",B361&amp;"|"&amp;C361)</f>
        <v/>
      </c>
      <c r="B361" s="168"/>
      <c r="C361" s="168"/>
      <c r="D361" s="168"/>
      <c r="E361" s="175"/>
      <c r="F361" s="168"/>
      <c r="G361" s="168"/>
      <c r="H361" s="168"/>
      <c r="I361" s="168"/>
      <c r="J361" s="168"/>
      <c r="K361" s="168"/>
      <c r="L361" s="168"/>
      <c r="M361" s="168"/>
      <c r="N361" s="168"/>
      <c r="O361" s="168"/>
      <c r="P361" s="168"/>
      <c r="Q361" s="168"/>
      <c r="R361" s="168"/>
      <c r="S361" s="168"/>
      <c r="T361" s="168"/>
      <c r="U361" s="168"/>
      <c r="V361" s="168"/>
      <c r="W361" s="168"/>
      <c r="X361" s="168"/>
      <c r="Y361" s="168"/>
      <c r="Z361" s="168"/>
      <c r="AA361" s="168"/>
    </row>
    <row r="362" customFormat="false" ht="15.75" hidden="false" customHeight="false" outlineLevel="0" collapsed="false">
      <c r="A362" s="168" t="str">
        <f aca="false">IF(ISBLANK(B362),"",B362&amp;"|"&amp;C362)</f>
        <v/>
      </c>
      <c r="B362" s="168"/>
      <c r="C362" s="168"/>
      <c r="D362" s="168"/>
      <c r="E362" s="175"/>
      <c r="F362" s="168"/>
      <c r="G362" s="168"/>
      <c r="H362" s="168"/>
      <c r="I362" s="168"/>
      <c r="J362" s="168"/>
      <c r="K362" s="168"/>
      <c r="L362" s="168"/>
      <c r="M362" s="168"/>
      <c r="N362" s="168"/>
      <c r="O362" s="168"/>
      <c r="P362" s="168"/>
      <c r="Q362" s="168"/>
      <c r="R362" s="168"/>
      <c r="S362" s="168"/>
      <c r="T362" s="168"/>
      <c r="U362" s="168"/>
      <c r="V362" s="168"/>
      <c r="W362" s="168"/>
      <c r="X362" s="168"/>
      <c r="Y362" s="168"/>
      <c r="Z362" s="168"/>
      <c r="AA362" s="168"/>
    </row>
    <row r="363" customFormat="false" ht="15.75" hidden="false" customHeight="false" outlineLevel="0" collapsed="false">
      <c r="A363" s="168" t="str">
        <f aca="false">IF(ISBLANK(B363),"",B363&amp;"|"&amp;C363)</f>
        <v/>
      </c>
      <c r="B363" s="168"/>
      <c r="C363" s="168"/>
      <c r="D363" s="168"/>
      <c r="E363" s="175"/>
      <c r="F363" s="168"/>
      <c r="G363" s="168"/>
      <c r="H363" s="168"/>
      <c r="I363" s="168"/>
      <c r="J363" s="168"/>
      <c r="K363" s="168"/>
      <c r="L363" s="168"/>
      <c r="M363" s="168"/>
      <c r="N363" s="168"/>
      <c r="O363" s="168"/>
      <c r="P363" s="168"/>
      <c r="Q363" s="168"/>
      <c r="R363" s="168"/>
      <c r="S363" s="168"/>
      <c r="T363" s="168"/>
      <c r="U363" s="168"/>
      <c r="V363" s="168"/>
      <c r="W363" s="168"/>
      <c r="X363" s="168"/>
      <c r="Y363" s="168"/>
      <c r="Z363" s="168"/>
      <c r="AA363" s="168"/>
    </row>
    <row r="364" customFormat="false" ht="15.75" hidden="false" customHeight="false" outlineLevel="0" collapsed="false">
      <c r="A364" s="168" t="str">
        <f aca="false">IF(ISBLANK(B364),"",B364&amp;"|"&amp;C364)</f>
        <v/>
      </c>
      <c r="B364" s="168"/>
      <c r="C364" s="168"/>
      <c r="D364" s="168"/>
      <c r="E364" s="175"/>
      <c r="F364" s="168"/>
      <c r="G364" s="168"/>
      <c r="H364" s="168"/>
      <c r="I364" s="168"/>
      <c r="J364" s="168"/>
      <c r="K364" s="168"/>
      <c r="L364" s="168"/>
      <c r="M364" s="168"/>
      <c r="N364" s="168"/>
      <c r="O364" s="168"/>
      <c r="P364" s="168"/>
      <c r="Q364" s="168"/>
      <c r="R364" s="168"/>
      <c r="S364" s="168"/>
      <c r="T364" s="168"/>
      <c r="U364" s="168"/>
      <c r="V364" s="168"/>
      <c r="W364" s="168"/>
      <c r="X364" s="168"/>
      <c r="Y364" s="168"/>
      <c r="Z364" s="168"/>
      <c r="AA364" s="168"/>
    </row>
    <row r="365" customFormat="false" ht="15.75" hidden="false" customHeight="false" outlineLevel="0" collapsed="false">
      <c r="A365" s="168" t="str">
        <f aca="false">IF(ISBLANK(B365),"",B365&amp;"|"&amp;C365)</f>
        <v/>
      </c>
      <c r="B365" s="168"/>
      <c r="C365" s="168"/>
      <c r="D365" s="168"/>
      <c r="E365" s="175"/>
      <c r="F365" s="168"/>
      <c r="G365" s="168"/>
      <c r="H365" s="168"/>
      <c r="I365" s="168"/>
      <c r="J365" s="168"/>
      <c r="K365" s="168"/>
      <c r="L365" s="168"/>
      <c r="M365" s="168"/>
      <c r="N365" s="168"/>
      <c r="O365" s="168"/>
      <c r="P365" s="168"/>
      <c r="Q365" s="168"/>
      <c r="R365" s="168"/>
      <c r="S365" s="168"/>
      <c r="T365" s="168"/>
      <c r="U365" s="168"/>
      <c r="V365" s="168"/>
      <c r="W365" s="168"/>
      <c r="X365" s="168"/>
      <c r="Y365" s="168"/>
      <c r="Z365" s="168"/>
      <c r="AA365" s="168"/>
    </row>
    <row r="366" customFormat="false" ht="15.75" hidden="false" customHeight="false" outlineLevel="0" collapsed="false">
      <c r="A366" s="168" t="str">
        <f aca="false">IF(ISBLANK(B366),"",B366&amp;"|"&amp;C366)</f>
        <v/>
      </c>
      <c r="B366" s="168"/>
      <c r="C366" s="168"/>
      <c r="D366" s="168"/>
      <c r="E366" s="175"/>
      <c r="F366" s="168"/>
      <c r="G366" s="168"/>
      <c r="H366" s="168"/>
      <c r="I366" s="168"/>
      <c r="J366" s="168"/>
      <c r="K366" s="168"/>
      <c r="L366" s="168"/>
      <c r="M366" s="168"/>
      <c r="N366" s="168"/>
      <c r="O366" s="168"/>
      <c r="P366" s="168"/>
      <c r="Q366" s="168"/>
      <c r="R366" s="168"/>
      <c r="S366" s="168"/>
      <c r="T366" s="168"/>
      <c r="U366" s="168"/>
      <c r="V366" s="168"/>
      <c r="W366" s="168"/>
      <c r="X366" s="168"/>
      <c r="Y366" s="168"/>
      <c r="Z366" s="168"/>
      <c r="AA366" s="168"/>
    </row>
    <row r="367" customFormat="false" ht="15.75" hidden="false" customHeight="false" outlineLevel="0" collapsed="false">
      <c r="A367" s="168" t="str">
        <f aca="false">IF(ISBLANK(B367),"",B367&amp;"|"&amp;C367)</f>
        <v/>
      </c>
      <c r="B367" s="168"/>
      <c r="C367" s="168"/>
      <c r="D367" s="168"/>
      <c r="E367" s="175"/>
      <c r="F367" s="168"/>
      <c r="G367" s="168"/>
      <c r="H367" s="168"/>
      <c r="I367" s="168"/>
      <c r="J367" s="168"/>
      <c r="K367" s="168"/>
      <c r="L367" s="168"/>
      <c r="M367" s="168"/>
      <c r="N367" s="168"/>
      <c r="O367" s="168"/>
      <c r="P367" s="168"/>
      <c r="Q367" s="168"/>
      <c r="R367" s="168"/>
      <c r="S367" s="168"/>
      <c r="T367" s="168"/>
      <c r="U367" s="168"/>
      <c r="V367" s="168"/>
      <c r="W367" s="168"/>
      <c r="X367" s="168"/>
      <c r="Y367" s="168"/>
      <c r="Z367" s="168"/>
      <c r="AA367" s="168"/>
    </row>
    <row r="368" customFormat="false" ht="15.75" hidden="false" customHeight="false" outlineLevel="0" collapsed="false">
      <c r="A368" s="168" t="str">
        <f aca="false">IF(ISBLANK(B368),"",B368&amp;"|"&amp;C368)</f>
        <v/>
      </c>
      <c r="B368" s="168"/>
      <c r="C368" s="168"/>
      <c r="D368" s="168"/>
      <c r="E368" s="175"/>
      <c r="F368" s="168"/>
      <c r="G368" s="168"/>
      <c r="H368" s="168"/>
      <c r="I368" s="168"/>
      <c r="J368" s="168"/>
      <c r="K368" s="168"/>
      <c r="L368" s="168"/>
      <c r="M368" s="168"/>
      <c r="N368" s="168"/>
      <c r="O368" s="168"/>
      <c r="P368" s="168"/>
      <c r="Q368" s="168"/>
      <c r="R368" s="168"/>
      <c r="S368" s="168"/>
      <c r="T368" s="168"/>
      <c r="U368" s="168"/>
      <c r="V368" s="168"/>
      <c r="W368" s="168"/>
      <c r="X368" s="168"/>
      <c r="Y368" s="168"/>
      <c r="Z368" s="168"/>
      <c r="AA368" s="168"/>
    </row>
    <row r="369" customFormat="false" ht="15.75" hidden="false" customHeight="false" outlineLevel="0" collapsed="false">
      <c r="A369" s="168" t="str">
        <f aca="false">IF(ISBLANK(B369),"",B369&amp;"|"&amp;C369)</f>
        <v/>
      </c>
      <c r="B369" s="168"/>
      <c r="C369" s="168"/>
      <c r="D369" s="168"/>
      <c r="E369" s="175"/>
      <c r="F369" s="168"/>
      <c r="G369" s="168"/>
      <c r="H369" s="168"/>
      <c r="I369" s="168"/>
      <c r="J369" s="168"/>
      <c r="K369" s="168"/>
      <c r="L369" s="168"/>
      <c r="M369" s="168"/>
      <c r="N369" s="168"/>
      <c r="O369" s="168"/>
      <c r="P369" s="168"/>
      <c r="Q369" s="168"/>
      <c r="R369" s="168"/>
      <c r="S369" s="168"/>
      <c r="T369" s="168"/>
      <c r="U369" s="168"/>
      <c r="V369" s="168"/>
      <c r="W369" s="168"/>
      <c r="X369" s="168"/>
      <c r="Y369" s="168"/>
      <c r="Z369" s="168"/>
      <c r="AA369" s="168"/>
    </row>
    <row r="370" customFormat="false" ht="15.75" hidden="false" customHeight="false" outlineLevel="0" collapsed="false">
      <c r="A370" s="168" t="str">
        <f aca="false">IF(ISBLANK(B370),"",B370&amp;"|"&amp;C370)</f>
        <v/>
      </c>
      <c r="B370" s="168"/>
      <c r="C370" s="168"/>
      <c r="D370" s="168"/>
      <c r="E370" s="175"/>
      <c r="F370" s="168"/>
      <c r="G370" s="168"/>
      <c r="H370" s="168"/>
      <c r="I370" s="168"/>
      <c r="J370" s="168"/>
      <c r="K370" s="168"/>
      <c r="L370" s="168"/>
      <c r="M370" s="168"/>
      <c r="N370" s="168"/>
      <c r="O370" s="168"/>
      <c r="P370" s="168"/>
      <c r="Q370" s="168"/>
      <c r="R370" s="168"/>
      <c r="S370" s="168"/>
      <c r="T370" s="168"/>
      <c r="U370" s="168"/>
      <c r="V370" s="168"/>
      <c r="W370" s="168"/>
      <c r="X370" s="168"/>
      <c r="Y370" s="168"/>
      <c r="Z370" s="168"/>
      <c r="AA370" s="168"/>
    </row>
    <row r="371" customFormat="false" ht="15.75" hidden="false" customHeight="false" outlineLevel="0" collapsed="false">
      <c r="A371" s="168" t="str">
        <f aca="false">IF(ISBLANK(B371),"",B371&amp;"|"&amp;C371)</f>
        <v/>
      </c>
      <c r="B371" s="168"/>
      <c r="C371" s="168"/>
      <c r="D371" s="168"/>
      <c r="E371" s="175"/>
      <c r="F371" s="168"/>
      <c r="G371" s="168"/>
      <c r="H371" s="168"/>
      <c r="I371" s="168"/>
      <c r="J371" s="168"/>
      <c r="K371" s="168"/>
      <c r="L371" s="168"/>
      <c r="M371" s="168"/>
      <c r="N371" s="168"/>
      <c r="O371" s="168"/>
      <c r="P371" s="168"/>
      <c r="Q371" s="168"/>
      <c r="R371" s="168"/>
      <c r="S371" s="168"/>
      <c r="T371" s="168"/>
      <c r="U371" s="168"/>
      <c r="V371" s="168"/>
      <c r="W371" s="168"/>
      <c r="X371" s="168"/>
      <c r="Y371" s="168"/>
      <c r="Z371" s="168"/>
      <c r="AA371" s="168"/>
    </row>
    <row r="372" customFormat="false" ht="15.75" hidden="false" customHeight="false" outlineLevel="0" collapsed="false">
      <c r="A372" s="168" t="str">
        <f aca="false">IF(ISBLANK(B372),"",B372&amp;"|"&amp;C372)</f>
        <v/>
      </c>
      <c r="B372" s="168"/>
      <c r="C372" s="168"/>
      <c r="D372" s="168"/>
      <c r="E372" s="175"/>
      <c r="F372" s="168"/>
      <c r="G372" s="168"/>
      <c r="H372" s="168"/>
      <c r="I372" s="168"/>
      <c r="J372" s="168"/>
      <c r="K372" s="168"/>
      <c r="L372" s="168"/>
      <c r="M372" s="168"/>
      <c r="N372" s="168"/>
      <c r="O372" s="168"/>
      <c r="P372" s="168"/>
      <c r="Q372" s="168"/>
      <c r="R372" s="168"/>
      <c r="S372" s="168"/>
      <c r="T372" s="168"/>
      <c r="U372" s="168"/>
      <c r="V372" s="168"/>
      <c r="W372" s="168"/>
      <c r="X372" s="168"/>
      <c r="Y372" s="168"/>
      <c r="Z372" s="168"/>
      <c r="AA372" s="168"/>
    </row>
    <row r="373" customFormat="false" ht="15.75" hidden="false" customHeight="false" outlineLevel="0" collapsed="false">
      <c r="A373" s="168" t="str">
        <f aca="false">IF(ISBLANK(B373),"",B373&amp;"|"&amp;C373)</f>
        <v/>
      </c>
      <c r="B373" s="168"/>
      <c r="C373" s="168"/>
      <c r="D373" s="168"/>
      <c r="E373" s="175"/>
      <c r="F373" s="168"/>
      <c r="G373" s="168"/>
      <c r="H373" s="168"/>
      <c r="I373" s="168"/>
      <c r="J373" s="168"/>
      <c r="K373" s="168"/>
      <c r="L373" s="168"/>
      <c r="M373" s="168"/>
      <c r="N373" s="168"/>
      <c r="O373" s="168"/>
      <c r="P373" s="168"/>
      <c r="Q373" s="168"/>
      <c r="R373" s="168"/>
      <c r="S373" s="168"/>
      <c r="T373" s="168"/>
      <c r="U373" s="168"/>
      <c r="V373" s="168"/>
      <c r="W373" s="168"/>
      <c r="X373" s="168"/>
      <c r="Y373" s="168"/>
      <c r="Z373" s="168"/>
      <c r="AA373" s="168"/>
    </row>
    <row r="374" customFormat="false" ht="15.75" hidden="false" customHeight="false" outlineLevel="0" collapsed="false">
      <c r="A374" s="168" t="str">
        <f aca="false">IF(ISBLANK(B374),"",B374&amp;"|"&amp;C374)</f>
        <v/>
      </c>
      <c r="B374" s="168"/>
      <c r="C374" s="168"/>
      <c r="D374" s="168"/>
      <c r="E374" s="175"/>
      <c r="F374" s="168"/>
      <c r="G374" s="168"/>
      <c r="H374" s="168"/>
      <c r="I374" s="168"/>
      <c r="J374" s="168"/>
      <c r="K374" s="168"/>
      <c r="L374" s="168"/>
      <c r="M374" s="168"/>
      <c r="N374" s="168"/>
      <c r="O374" s="168"/>
      <c r="P374" s="168"/>
      <c r="Q374" s="168"/>
      <c r="R374" s="168"/>
      <c r="S374" s="168"/>
      <c r="T374" s="168"/>
      <c r="U374" s="168"/>
      <c r="V374" s="168"/>
      <c r="W374" s="168"/>
      <c r="X374" s="168"/>
      <c r="Y374" s="168"/>
      <c r="Z374" s="168"/>
      <c r="AA374" s="168"/>
    </row>
    <row r="375" customFormat="false" ht="15.75" hidden="false" customHeight="false" outlineLevel="0" collapsed="false">
      <c r="A375" s="168" t="str">
        <f aca="false">IF(ISBLANK(B375),"",B375&amp;"|"&amp;C375)</f>
        <v/>
      </c>
      <c r="B375" s="168"/>
      <c r="C375" s="168"/>
      <c r="D375" s="168"/>
      <c r="E375" s="175"/>
      <c r="F375" s="168"/>
      <c r="G375" s="168"/>
      <c r="H375" s="168"/>
      <c r="I375" s="168"/>
      <c r="J375" s="168"/>
      <c r="K375" s="168"/>
      <c r="L375" s="168"/>
      <c r="M375" s="168"/>
      <c r="N375" s="168"/>
      <c r="O375" s="168"/>
      <c r="P375" s="168"/>
      <c r="Q375" s="168"/>
      <c r="R375" s="168"/>
      <c r="S375" s="168"/>
      <c r="T375" s="168"/>
      <c r="U375" s="168"/>
      <c r="V375" s="168"/>
      <c r="W375" s="168"/>
      <c r="X375" s="168"/>
      <c r="Y375" s="168"/>
      <c r="Z375" s="168"/>
      <c r="AA375" s="168"/>
    </row>
    <row r="376" customFormat="false" ht="15.75" hidden="false" customHeight="false" outlineLevel="0" collapsed="false">
      <c r="A376" s="168" t="str">
        <f aca="false">IF(ISBLANK(B376),"",B376&amp;"|"&amp;C376)</f>
        <v/>
      </c>
      <c r="B376" s="168"/>
      <c r="C376" s="168"/>
      <c r="D376" s="168"/>
      <c r="E376" s="175"/>
      <c r="F376" s="168"/>
      <c r="G376" s="168"/>
      <c r="H376" s="168"/>
      <c r="I376" s="168"/>
      <c r="J376" s="168"/>
      <c r="K376" s="168"/>
      <c r="L376" s="168"/>
      <c r="M376" s="168"/>
      <c r="N376" s="168"/>
      <c r="O376" s="168"/>
      <c r="P376" s="168"/>
      <c r="Q376" s="168"/>
      <c r="R376" s="168"/>
      <c r="S376" s="168"/>
      <c r="T376" s="168"/>
      <c r="U376" s="168"/>
      <c r="V376" s="168"/>
      <c r="W376" s="168"/>
      <c r="X376" s="168"/>
      <c r="Y376" s="168"/>
      <c r="Z376" s="168"/>
      <c r="AA376" s="168"/>
    </row>
    <row r="377" customFormat="false" ht="15.75" hidden="false" customHeight="false" outlineLevel="0" collapsed="false">
      <c r="A377" s="168" t="str">
        <f aca="false">IF(ISBLANK(B377),"",B377&amp;"|"&amp;C377)</f>
        <v/>
      </c>
      <c r="B377" s="168"/>
      <c r="C377" s="168"/>
      <c r="D377" s="168"/>
      <c r="E377" s="175"/>
      <c r="F377" s="168"/>
      <c r="G377" s="168"/>
      <c r="H377" s="168"/>
      <c r="I377" s="168"/>
      <c r="J377" s="168"/>
      <c r="K377" s="168"/>
      <c r="L377" s="168"/>
      <c r="M377" s="168"/>
      <c r="N377" s="168"/>
      <c r="O377" s="168"/>
      <c r="P377" s="168"/>
      <c r="Q377" s="168"/>
      <c r="R377" s="168"/>
      <c r="S377" s="168"/>
      <c r="T377" s="168"/>
      <c r="U377" s="168"/>
      <c r="V377" s="168"/>
      <c r="W377" s="168"/>
      <c r="X377" s="168"/>
      <c r="Y377" s="168"/>
      <c r="Z377" s="168"/>
      <c r="AA377" s="168"/>
    </row>
    <row r="378" customFormat="false" ht="15.75" hidden="false" customHeight="false" outlineLevel="0" collapsed="false">
      <c r="A378" s="168" t="str">
        <f aca="false">IF(ISBLANK(B378),"",B378&amp;"|"&amp;C378)</f>
        <v/>
      </c>
      <c r="B378" s="168"/>
      <c r="C378" s="168"/>
      <c r="D378" s="168"/>
      <c r="E378" s="175"/>
      <c r="F378" s="168"/>
      <c r="G378" s="168"/>
      <c r="H378" s="168"/>
      <c r="I378" s="168"/>
      <c r="J378" s="168"/>
      <c r="K378" s="168"/>
      <c r="L378" s="168"/>
      <c r="M378" s="168"/>
      <c r="N378" s="168"/>
      <c r="O378" s="168"/>
      <c r="P378" s="168"/>
      <c r="Q378" s="168"/>
      <c r="R378" s="168"/>
      <c r="S378" s="168"/>
      <c r="T378" s="168"/>
      <c r="U378" s="168"/>
      <c r="V378" s="168"/>
      <c r="W378" s="168"/>
      <c r="X378" s="168"/>
      <c r="Y378" s="168"/>
      <c r="Z378" s="168"/>
      <c r="AA378" s="168"/>
    </row>
    <row r="379" customFormat="false" ht="15.75" hidden="false" customHeight="false" outlineLevel="0" collapsed="false">
      <c r="A379" s="168" t="str">
        <f aca="false">IF(ISBLANK(B379),"",B379&amp;"|"&amp;C379)</f>
        <v/>
      </c>
      <c r="B379" s="168"/>
      <c r="C379" s="168"/>
      <c r="D379" s="168"/>
      <c r="E379" s="175"/>
      <c r="F379" s="168"/>
      <c r="G379" s="168"/>
      <c r="H379" s="168"/>
      <c r="I379" s="168"/>
      <c r="J379" s="168"/>
      <c r="K379" s="168"/>
      <c r="L379" s="168"/>
      <c r="M379" s="168"/>
      <c r="N379" s="168"/>
      <c r="O379" s="168"/>
      <c r="P379" s="168"/>
      <c r="Q379" s="168"/>
      <c r="R379" s="168"/>
      <c r="S379" s="168"/>
      <c r="T379" s="168"/>
      <c r="U379" s="168"/>
      <c r="V379" s="168"/>
      <c r="W379" s="168"/>
      <c r="X379" s="168"/>
      <c r="Y379" s="168"/>
      <c r="Z379" s="168"/>
      <c r="AA379" s="168"/>
    </row>
    <row r="380" customFormat="false" ht="15.75" hidden="false" customHeight="false" outlineLevel="0" collapsed="false">
      <c r="A380" s="168" t="str">
        <f aca="false">IF(ISBLANK(B380),"",B380&amp;"|"&amp;C380)</f>
        <v/>
      </c>
      <c r="B380" s="168"/>
      <c r="C380" s="168"/>
      <c r="D380" s="168"/>
      <c r="E380" s="175"/>
      <c r="F380" s="168"/>
      <c r="G380" s="168"/>
      <c r="H380" s="168"/>
      <c r="I380" s="168"/>
      <c r="J380" s="168"/>
      <c r="K380" s="168"/>
      <c r="L380" s="168"/>
      <c r="M380" s="168"/>
      <c r="N380" s="168"/>
      <c r="O380" s="168"/>
      <c r="P380" s="168"/>
      <c r="Q380" s="168"/>
      <c r="R380" s="168"/>
      <c r="S380" s="168"/>
      <c r="T380" s="168"/>
      <c r="U380" s="168"/>
      <c r="V380" s="168"/>
      <c r="W380" s="168"/>
      <c r="X380" s="168"/>
      <c r="Y380" s="168"/>
      <c r="Z380" s="168"/>
      <c r="AA380" s="168"/>
    </row>
    <row r="381" customFormat="false" ht="15.75" hidden="false" customHeight="false" outlineLevel="0" collapsed="false">
      <c r="A381" s="168" t="str">
        <f aca="false">IF(ISBLANK(B381),"",B381&amp;"|"&amp;C381)</f>
        <v/>
      </c>
      <c r="B381" s="168"/>
      <c r="C381" s="168"/>
      <c r="D381" s="168"/>
      <c r="E381" s="175"/>
      <c r="F381" s="168"/>
      <c r="G381" s="168"/>
      <c r="H381" s="168"/>
      <c r="I381" s="168"/>
      <c r="J381" s="168"/>
      <c r="K381" s="168"/>
      <c r="L381" s="168"/>
      <c r="M381" s="168"/>
      <c r="N381" s="168"/>
      <c r="O381" s="168"/>
      <c r="P381" s="168"/>
      <c r="Q381" s="168"/>
      <c r="R381" s="168"/>
      <c r="S381" s="168"/>
      <c r="T381" s="168"/>
      <c r="U381" s="168"/>
      <c r="V381" s="168"/>
      <c r="W381" s="168"/>
      <c r="X381" s="168"/>
      <c r="Y381" s="168"/>
      <c r="Z381" s="168"/>
      <c r="AA381" s="168"/>
    </row>
    <row r="382" customFormat="false" ht="15.75" hidden="false" customHeight="false" outlineLevel="0" collapsed="false">
      <c r="A382" s="168" t="str">
        <f aca="false">IF(ISBLANK(B382),"",B382&amp;"|"&amp;C382)</f>
        <v/>
      </c>
      <c r="B382" s="168"/>
      <c r="C382" s="168"/>
      <c r="D382" s="168"/>
      <c r="E382" s="175"/>
      <c r="F382" s="168"/>
      <c r="G382" s="168"/>
      <c r="H382" s="168"/>
      <c r="I382" s="168"/>
      <c r="J382" s="168"/>
      <c r="K382" s="168"/>
      <c r="L382" s="168"/>
      <c r="M382" s="168"/>
      <c r="N382" s="168"/>
      <c r="O382" s="168"/>
      <c r="P382" s="168"/>
      <c r="Q382" s="168"/>
      <c r="R382" s="168"/>
      <c r="S382" s="168"/>
      <c r="T382" s="168"/>
      <c r="U382" s="168"/>
      <c r="V382" s="168"/>
      <c r="W382" s="168"/>
      <c r="X382" s="168"/>
      <c r="Y382" s="168"/>
      <c r="Z382" s="168"/>
      <c r="AA382" s="168"/>
    </row>
    <row r="383" customFormat="false" ht="15.75" hidden="false" customHeight="false" outlineLevel="0" collapsed="false">
      <c r="A383" s="168" t="str">
        <f aca="false">IF(ISBLANK(B383),"",B383&amp;"|"&amp;C383)</f>
        <v/>
      </c>
      <c r="B383" s="168"/>
      <c r="C383" s="168"/>
      <c r="D383" s="168"/>
      <c r="E383" s="175"/>
      <c r="F383" s="168"/>
      <c r="G383" s="168"/>
      <c r="H383" s="168"/>
      <c r="I383" s="168"/>
      <c r="J383" s="168"/>
      <c r="K383" s="168"/>
      <c r="L383" s="168"/>
      <c r="M383" s="168"/>
      <c r="N383" s="168"/>
      <c r="O383" s="168"/>
      <c r="P383" s="168"/>
      <c r="Q383" s="168"/>
      <c r="R383" s="168"/>
      <c r="S383" s="168"/>
      <c r="T383" s="168"/>
      <c r="U383" s="168"/>
      <c r="V383" s="168"/>
      <c r="W383" s="168"/>
      <c r="X383" s="168"/>
      <c r="Y383" s="168"/>
      <c r="Z383" s="168"/>
      <c r="AA383" s="168"/>
    </row>
    <row r="384" customFormat="false" ht="15.75" hidden="false" customHeight="false" outlineLevel="0" collapsed="false">
      <c r="A384" s="168" t="str">
        <f aca="false">IF(ISBLANK(B384),"",B384&amp;"|"&amp;C384)</f>
        <v/>
      </c>
      <c r="B384" s="168"/>
      <c r="C384" s="168"/>
      <c r="D384" s="168"/>
      <c r="E384" s="175"/>
      <c r="F384" s="168"/>
      <c r="G384" s="168"/>
      <c r="H384" s="168"/>
      <c r="I384" s="168"/>
      <c r="J384" s="168"/>
      <c r="K384" s="168"/>
      <c r="L384" s="168"/>
      <c r="M384" s="168"/>
      <c r="N384" s="168"/>
      <c r="O384" s="168"/>
      <c r="P384" s="168"/>
      <c r="Q384" s="168"/>
      <c r="R384" s="168"/>
      <c r="S384" s="168"/>
      <c r="T384" s="168"/>
      <c r="U384" s="168"/>
      <c r="V384" s="168"/>
      <c r="W384" s="168"/>
      <c r="X384" s="168"/>
      <c r="Y384" s="168"/>
      <c r="Z384" s="168"/>
      <c r="AA384" s="168"/>
    </row>
    <row r="385" customFormat="false" ht="15.75" hidden="false" customHeight="false" outlineLevel="0" collapsed="false">
      <c r="A385" s="168" t="str">
        <f aca="false">IF(ISBLANK(B385),"",B385&amp;"|"&amp;C385)</f>
        <v/>
      </c>
      <c r="B385" s="168"/>
      <c r="C385" s="168"/>
      <c r="D385" s="168"/>
      <c r="E385" s="175"/>
      <c r="F385" s="168"/>
      <c r="G385" s="168"/>
      <c r="H385" s="168"/>
      <c r="I385" s="168"/>
      <c r="J385" s="168"/>
      <c r="K385" s="168"/>
      <c r="L385" s="168"/>
      <c r="M385" s="168"/>
      <c r="N385" s="168"/>
      <c r="O385" s="168"/>
      <c r="P385" s="168"/>
      <c r="Q385" s="168"/>
      <c r="R385" s="168"/>
      <c r="S385" s="168"/>
      <c r="T385" s="168"/>
      <c r="U385" s="168"/>
      <c r="V385" s="168"/>
      <c r="W385" s="168"/>
      <c r="X385" s="168"/>
      <c r="Y385" s="168"/>
      <c r="Z385" s="168"/>
      <c r="AA385" s="168"/>
    </row>
    <row r="386" customFormat="false" ht="15.75" hidden="false" customHeight="false" outlineLevel="0" collapsed="false">
      <c r="A386" s="168" t="str">
        <f aca="false">IF(ISBLANK(B386),"",B386&amp;"|"&amp;C386)</f>
        <v/>
      </c>
      <c r="B386" s="168"/>
      <c r="C386" s="168"/>
      <c r="D386" s="168"/>
      <c r="E386" s="175"/>
      <c r="F386" s="168"/>
      <c r="G386" s="168"/>
      <c r="H386" s="168"/>
      <c r="I386" s="168"/>
      <c r="J386" s="168"/>
      <c r="K386" s="168"/>
      <c r="L386" s="168"/>
      <c r="M386" s="168"/>
      <c r="N386" s="168"/>
      <c r="O386" s="168"/>
      <c r="P386" s="168"/>
      <c r="Q386" s="168"/>
      <c r="R386" s="168"/>
      <c r="S386" s="168"/>
      <c r="T386" s="168"/>
      <c r="U386" s="168"/>
      <c r="V386" s="168"/>
      <c r="W386" s="168"/>
      <c r="X386" s="168"/>
      <c r="Y386" s="168"/>
      <c r="Z386" s="168"/>
      <c r="AA386" s="168"/>
    </row>
    <row r="387" customFormat="false" ht="15.75" hidden="false" customHeight="false" outlineLevel="0" collapsed="false">
      <c r="A387" s="168" t="str">
        <f aca="false">IF(ISBLANK(B387),"",B387&amp;"|"&amp;C387)</f>
        <v/>
      </c>
      <c r="B387" s="168"/>
      <c r="C387" s="168"/>
      <c r="D387" s="168"/>
      <c r="E387" s="175"/>
      <c r="F387" s="168"/>
      <c r="G387" s="168"/>
      <c r="H387" s="168"/>
      <c r="I387" s="168"/>
      <c r="J387" s="168"/>
      <c r="K387" s="168"/>
      <c r="L387" s="168"/>
      <c r="M387" s="168"/>
      <c r="N387" s="168"/>
      <c r="O387" s="168"/>
      <c r="P387" s="168"/>
      <c r="Q387" s="168"/>
      <c r="R387" s="168"/>
      <c r="S387" s="168"/>
      <c r="T387" s="168"/>
      <c r="U387" s="168"/>
      <c r="V387" s="168"/>
      <c r="W387" s="168"/>
      <c r="X387" s="168"/>
      <c r="Y387" s="168"/>
      <c r="Z387" s="168"/>
      <c r="AA387" s="168"/>
    </row>
    <row r="388" customFormat="false" ht="15.75" hidden="false" customHeight="false" outlineLevel="0" collapsed="false">
      <c r="A388" s="168" t="str">
        <f aca="false">IF(ISBLANK(B388),"",B388&amp;"|"&amp;C388)</f>
        <v/>
      </c>
      <c r="B388" s="168"/>
      <c r="C388" s="168"/>
      <c r="D388" s="168"/>
      <c r="E388" s="175"/>
      <c r="F388" s="168"/>
      <c r="G388" s="168"/>
      <c r="H388" s="168"/>
      <c r="I388" s="168"/>
      <c r="J388" s="168"/>
      <c r="K388" s="168"/>
      <c r="L388" s="168"/>
      <c r="M388" s="168"/>
      <c r="N388" s="168"/>
      <c r="O388" s="168"/>
      <c r="P388" s="168"/>
      <c r="Q388" s="168"/>
      <c r="R388" s="168"/>
      <c r="S388" s="168"/>
      <c r="T388" s="168"/>
      <c r="U388" s="168"/>
      <c r="V388" s="168"/>
      <c r="W388" s="168"/>
      <c r="X388" s="168"/>
      <c r="Y388" s="168"/>
      <c r="Z388" s="168"/>
      <c r="AA388" s="168"/>
    </row>
    <row r="389" customFormat="false" ht="15.75" hidden="false" customHeight="false" outlineLevel="0" collapsed="false">
      <c r="A389" s="168" t="str">
        <f aca="false">IF(ISBLANK(B389),"",B389&amp;"|"&amp;C389)</f>
        <v/>
      </c>
      <c r="B389" s="168"/>
      <c r="C389" s="168"/>
      <c r="D389" s="168"/>
      <c r="E389" s="175"/>
      <c r="F389" s="168"/>
      <c r="G389" s="168"/>
      <c r="H389" s="168"/>
      <c r="I389" s="168"/>
      <c r="J389" s="168"/>
      <c r="K389" s="168"/>
      <c r="L389" s="168"/>
      <c r="M389" s="168"/>
      <c r="N389" s="168"/>
      <c r="O389" s="168"/>
      <c r="P389" s="168"/>
      <c r="Q389" s="168"/>
      <c r="R389" s="168"/>
      <c r="S389" s="168"/>
      <c r="T389" s="168"/>
      <c r="U389" s="168"/>
      <c r="V389" s="168"/>
      <c r="W389" s="168"/>
      <c r="X389" s="168"/>
      <c r="Y389" s="168"/>
      <c r="Z389" s="168"/>
      <c r="AA389" s="168"/>
    </row>
    <row r="390" customFormat="false" ht="15.75" hidden="false" customHeight="false" outlineLevel="0" collapsed="false">
      <c r="A390" s="168" t="str">
        <f aca="false">IF(ISBLANK(B390),"",B390&amp;"|"&amp;C390)</f>
        <v/>
      </c>
      <c r="B390" s="168"/>
      <c r="C390" s="168"/>
      <c r="D390" s="168"/>
      <c r="E390" s="175"/>
      <c r="F390" s="168"/>
      <c r="G390" s="168"/>
      <c r="H390" s="168"/>
      <c r="I390" s="168"/>
      <c r="J390" s="168"/>
      <c r="K390" s="168"/>
      <c r="L390" s="168"/>
      <c r="M390" s="168"/>
      <c r="N390" s="168"/>
      <c r="O390" s="168"/>
      <c r="P390" s="168"/>
      <c r="Q390" s="168"/>
      <c r="R390" s="168"/>
      <c r="S390" s="168"/>
      <c r="T390" s="168"/>
      <c r="U390" s="168"/>
      <c r="V390" s="168"/>
      <c r="W390" s="168"/>
      <c r="X390" s="168"/>
      <c r="Y390" s="168"/>
      <c r="Z390" s="168"/>
      <c r="AA390" s="168"/>
    </row>
    <row r="391" customFormat="false" ht="15.75" hidden="false" customHeight="false" outlineLevel="0" collapsed="false">
      <c r="A391" s="168" t="str">
        <f aca="false">IF(ISBLANK(B391),"",B391&amp;"|"&amp;C391)</f>
        <v/>
      </c>
      <c r="B391" s="168"/>
      <c r="C391" s="168"/>
      <c r="D391" s="168"/>
      <c r="E391" s="175"/>
      <c r="F391" s="168"/>
      <c r="G391" s="168"/>
      <c r="H391" s="168"/>
      <c r="I391" s="168"/>
      <c r="J391" s="168"/>
      <c r="K391" s="168"/>
      <c r="L391" s="168"/>
      <c r="M391" s="168"/>
      <c r="N391" s="168"/>
      <c r="O391" s="168"/>
      <c r="P391" s="168"/>
      <c r="Q391" s="168"/>
      <c r="R391" s="168"/>
      <c r="S391" s="168"/>
      <c r="T391" s="168"/>
      <c r="U391" s="168"/>
      <c r="V391" s="168"/>
      <c r="W391" s="168"/>
      <c r="X391" s="168"/>
      <c r="Y391" s="168"/>
      <c r="Z391" s="168"/>
      <c r="AA391" s="168"/>
    </row>
    <row r="392" customFormat="false" ht="15.75" hidden="false" customHeight="false" outlineLevel="0" collapsed="false">
      <c r="A392" s="168" t="str">
        <f aca="false">IF(ISBLANK(B392),"",B392&amp;"|"&amp;C392)</f>
        <v/>
      </c>
      <c r="B392" s="168"/>
      <c r="C392" s="168"/>
      <c r="D392" s="168"/>
      <c r="E392" s="175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  <c r="AA392" s="168"/>
    </row>
    <row r="393" customFormat="false" ht="15.75" hidden="false" customHeight="false" outlineLevel="0" collapsed="false">
      <c r="A393" s="168" t="str">
        <f aca="false">IF(ISBLANK(B393),"",B393&amp;"|"&amp;C393)</f>
        <v/>
      </c>
      <c r="B393" s="168"/>
      <c r="C393" s="168"/>
      <c r="D393" s="168"/>
      <c r="E393" s="175"/>
      <c r="F393" s="168"/>
      <c r="G393" s="168"/>
      <c r="H393" s="168"/>
      <c r="I393" s="168"/>
      <c r="J393" s="168"/>
      <c r="K393" s="168"/>
      <c r="L393" s="168"/>
      <c r="M393" s="168"/>
      <c r="N393" s="168"/>
      <c r="O393" s="168"/>
      <c r="P393" s="168"/>
      <c r="Q393" s="168"/>
      <c r="R393" s="168"/>
      <c r="S393" s="168"/>
      <c r="T393" s="168"/>
      <c r="U393" s="168"/>
      <c r="V393" s="168"/>
      <c r="W393" s="168"/>
      <c r="X393" s="168"/>
      <c r="Y393" s="168"/>
      <c r="Z393" s="168"/>
      <c r="AA393" s="168"/>
    </row>
    <row r="394" customFormat="false" ht="15.75" hidden="false" customHeight="false" outlineLevel="0" collapsed="false">
      <c r="A394" s="168" t="str">
        <f aca="false">IF(ISBLANK(B394),"",B394&amp;"|"&amp;C394)</f>
        <v/>
      </c>
      <c r="B394" s="168"/>
      <c r="C394" s="168"/>
      <c r="D394" s="168"/>
      <c r="E394" s="175"/>
      <c r="F394" s="168"/>
      <c r="G394" s="168"/>
      <c r="H394" s="168"/>
      <c r="I394" s="168"/>
      <c r="J394" s="168"/>
      <c r="K394" s="168"/>
      <c r="L394" s="168"/>
      <c r="M394" s="168"/>
      <c r="N394" s="168"/>
      <c r="O394" s="168"/>
      <c r="P394" s="168"/>
      <c r="Q394" s="168"/>
      <c r="R394" s="168"/>
      <c r="S394" s="168"/>
      <c r="T394" s="168"/>
      <c r="U394" s="168"/>
      <c r="V394" s="168"/>
      <c r="W394" s="168"/>
      <c r="X394" s="168"/>
      <c r="Y394" s="168"/>
      <c r="Z394" s="168"/>
      <c r="AA394" s="168"/>
    </row>
    <row r="395" customFormat="false" ht="15.75" hidden="false" customHeight="false" outlineLevel="0" collapsed="false">
      <c r="A395" s="168" t="str">
        <f aca="false">IF(ISBLANK(B395),"",B395&amp;"|"&amp;C395)</f>
        <v/>
      </c>
      <c r="B395" s="168"/>
      <c r="C395" s="168"/>
      <c r="D395" s="168"/>
      <c r="E395" s="175"/>
      <c r="F395" s="168"/>
      <c r="G395" s="168"/>
      <c r="H395" s="168"/>
      <c r="I395" s="168"/>
      <c r="J395" s="168"/>
      <c r="K395" s="168"/>
      <c r="L395" s="168"/>
      <c r="M395" s="168"/>
      <c r="N395" s="168"/>
      <c r="O395" s="168"/>
      <c r="P395" s="168"/>
      <c r="Q395" s="168"/>
      <c r="R395" s="168"/>
      <c r="S395" s="168"/>
      <c r="T395" s="168"/>
      <c r="U395" s="168"/>
      <c r="V395" s="168"/>
      <c r="W395" s="168"/>
      <c r="X395" s="168"/>
      <c r="Y395" s="168"/>
      <c r="Z395" s="168"/>
      <c r="AA395" s="168"/>
    </row>
    <row r="396" customFormat="false" ht="15.75" hidden="false" customHeight="false" outlineLevel="0" collapsed="false">
      <c r="A396" s="168" t="str">
        <f aca="false">IF(ISBLANK(B396),"",B396&amp;"|"&amp;C396)</f>
        <v/>
      </c>
      <c r="B396" s="168"/>
      <c r="C396" s="168"/>
      <c r="D396" s="168"/>
      <c r="E396" s="175"/>
      <c r="F396" s="168"/>
      <c r="G396" s="168"/>
      <c r="H396" s="168"/>
      <c r="I396" s="168"/>
      <c r="J396" s="168"/>
      <c r="K396" s="168"/>
      <c r="L396" s="168"/>
      <c r="M396" s="168"/>
      <c r="N396" s="168"/>
      <c r="O396" s="168"/>
      <c r="P396" s="168"/>
      <c r="Q396" s="168"/>
      <c r="R396" s="168"/>
      <c r="S396" s="168"/>
      <c r="T396" s="168"/>
      <c r="U396" s="168"/>
      <c r="V396" s="168"/>
      <c r="W396" s="168"/>
      <c r="X396" s="168"/>
      <c r="Y396" s="168"/>
      <c r="Z396" s="168"/>
      <c r="AA396" s="168"/>
    </row>
    <row r="397" customFormat="false" ht="15.75" hidden="false" customHeight="false" outlineLevel="0" collapsed="false">
      <c r="A397" s="168" t="str">
        <f aca="false">IF(ISBLANK(B397),"",B397&amp;"|"&amp;C397)</f>
        <v/>
      </c>
      <c r="B397" s="168"/>
      <c r="C397" s="168"/>
      <c r="D397" s="168"/>
      <c r="E397" s="175"/>
      <c r="F397" s="168"/>
      <c r="G397" s="168"/>
      <c r="H397" s="168"/>
      <c r="I397" s="168"/>
      <c r="J397" s="168"/>
      <c r="K397" s="168"/>
      <c r="L397" s="168"/>
      <c r="M397" s="168"/>
      <c r="N397" s="168"/>
      <c r="O397" s="168"/>
      <c r="P397" s="168"/>
      <c r="Q397" s="168"/>
      <c r="R397" s="168"/>
      <c r="S397" s="168"/>
      <c r="T397" s="168"/>
      <c r="U397" s="168"/>
      <c r="V397" s="168"/>
      <c r="W397" s="168"/>
      <c r="X397" s="168"/>
      <c r="Y397" s="168"/>
      <c r="Z397" s="168"/>
      <c r="AA397" s="168"/>
    </row>
    <row r="398" customFormat="false" ht="15.75" hidden="false" customHeight="false" outlineLevel="0" collapsed="false">
      <c r="A398" s="168" t="str">
        <f aca="false">IF(ISBLANK(B398),"",B398&amp;"|"&amp;C398)</f>
        <v/>
      </c>
      <c r="B398" s="168"/>
      <c r="C398" s="168"/>
      <c r="D398" s="168"/>
      <c r="E398" s="175"/>
      <c r="F398" s="168"/>
      <c r="G398" s="168"/>
      <c r="H398" s="168"/>
      <c r="I398" s="168"/>
      <c r="J398" s="168"/>
      <c r="K398" s="168"/>
      <c r="L398" s="168"/>
      <c r="M398" s="168"/>
      <c r="N398" s="168"/>
      <c r="O398" s="168"/>
      <c r="P398" s="168"/>
      <c r="Q398" s="168"/>
      <c r="R398" s="168"/>
      <c r="S398" s="168"/>
      <c r="T398" s="168"/>
      <c r="U398" s="168"/>
      <c r="V398" s="168"/>
      <c r="W398" s="168"/>
      <c r="X398" s="168"/>
      <c r="Y398" s="168"/>
      <c r="Z398" s="168"/>
      <c r="AA398" s="168"/>
    </row>
    <row r="399" customFormat="false" ht="15.75" hidden="false" customHeight="false" outlineLevel="0" collapsed="false">
      <c r="A399" s="168" t="str">
        <f aca="false">IF(ISBLANK(B399),"",B399&amp;"|"&amp;C399)</f>
        <v/>
      </c>
      <c r="B399" s="168"/>
      <c r="C399" s="168"/>
      <c r="D399" s="168"/>
      <c r="E399" s="175"/>
      <c r="F399" s="168"/>
      <c r="G399" s="168"/>
      <c r="H399" s="168"/>
      <c r="I399" s="168"/>
      <c r="J399" s="168"/>
      <c r="K399" s="168"/>
      <c r="L399" s="168"/>
      <c r="M399" s="168"/>
      <c r="N399" s="168"/>
      <c r="O399" s="168"/>
      <c r="P399" s="168"/>
      <c r="Q399" s="168"/>
      <c r="R399" s="168"/>
      <c r="S399" s="168"/>
      <c r="T399" s="168"/>
      <c r="U399" s="168"/>
      <c r="V399" s="168"/>
      <c r="W399" s="168"/>
      <c r="X399" s="168"/>
      <c r="Y399" s="168"/>
      <c r="Z399" s="168"/>
      <c r="AA399" s="168"/>
    </row>
    <row r="400" customFormat="false" ht="15.75" hidden="false" customHeight="false" outlineLevel="0" collapsed="false">
      <c r="A400" s="168" t="str">
        <f aca="false">IF(ISBLANK(B400),"",B400&amp;"|"&amp;C400)</f>
        <v/>
      </c>
      <c r="B400" s="168"/>
      <c r="C400" s="168"/>
      <c r="D400" s="168"/>
      <c r="E400" s="175"/>
      <c r="F400" s="168"/>
      <c r="G400" s="168"/>
      <c r="H400" s="168"/>
      <c r="I400" s="168"/>
      <c r="J400" s="168"/>
      <c r="K400" s="168"/>
      <c r="L400" s="168"/>
      <c r="M400" s="168"/>
      <c r="N400" s="168"/>
      <c r="O400" s="168"/>
      <c r="P400" s="168"/>
      <c r="Q400" s="168"/>
      <c r="R400" s="168"/>
      <c r="S400" s="168"/>
      <c r="T400" s="168"/>
      <c r="U400" s="168"/>
      <c r="V400" s="168"/>
      <c r="W400" s="168"/>
      <c r="X400" s="168"/>
      <c r="Y400" s="168"/>
      <c r="Z400" s="168"/>
      <c r="AA400" s="168"/>
    </row>
    <row r="401" customFormat="false" ht="15.75" hidden="false" customHeight="false" outlineLevel="0" collapsed="false">
      <c r="A401" s="168" t="str">
        <f aca="false">IF(ISBLANK(B401),"",B401&amp;"|"&amp;C401)</f>
        <v/>
      </c>
      <c r="B401" s="168"/>
      <c r="C401" s="168"/>
      <c r="D401" s="168"/>
      <c r="E401" s="175"/>
      <c r="F401" s="168"/>
      <c r="G401" s="168"/>
      <c r="H401" s="168"/>
      <c r="I401" s="168"/>
      <c r="J401" s="168"/>
      <c r="K401" s="168"/>
      <c r="L401" s="168"/>
      <c r="M401" s="168"/>
      <c r="N401" s="168"/>
      <c r="O401" s="168"/>
      <c r="P401" s="168"/>
      <c r="Q401" s="168"/>
      <c r="R401" s="168"/>
      <c r="S401" s="168"/>
      <c r="T401" s="168"/>
      <c r="U401" s="168"/>
      <c r="V401" s="168"/>
      <c r="W401" s="168"/>
      <c r="X401" s="168"/>
      <c r="Y401" s="168"/>
      <c r="Z401" s="168"/>
      <c r="AA401" s="168"/>
    </row>
    <row r="402" customFormat="false" ht="15.75" hidden="false" customHeight="false" outlineLevel="0" collapsed="false">
      <c r="A402" s="168" t="str">
        <f aca="false">IF(ISBLANK(B402),"",B402&amp;"|"&amp;C402)</f>
        <v/>
      </c>
      <c r="B402" s="168"/>
      <c r="C402" s="168"/>
      <c r="D402" s="168"/>
      <c r="E402" s="175"/>
      <c r="F402" s="168"/>
      <c r="G402" s="168"/>
      <c r="H402" s="168"/>
      <c r="I402" s="168"/>
      <c r="J402" s="168"/>
      <c r="K402" s="168"/>
      <c r="L402" s="168"/>
      <c r="M402" s="168"/>
      <c r="N402" s="168"/>
      <c r="O402" s="168"/>
      <c r="P402" s="168"/>
      <c r="Q402" s="168"/>
      <c r="R402" s="168"/>
      <c r="S402" s="168"/>
      <c r="T402" s="168"/>
      <c r="U402" s="168"/>
      <c r="V402" s="168"/>
      <c r="W402" s="168"/>
      <c r="X402" s="168"/>
      <c r="Y402" s="168"/>
      <c r="Z402" s="168"/>
      <c r="AA402" s="168"/>
    </row>
    <row r="403" customFormat="false" ht="15.75" hidden="false" customHeight="false" outlineLevel="0" collapsed="false">
      <c r="A403" s="168" t="str">
        <f aca="false">IF(ISBLANK(B403),"",B403&amp;"|"&amp;C403)</f>
        <v/>
      </c>
      <c r="B403" s="168"/>
      <c r="C403" s="168"/>
      <c r="D403" s="168"/>
      <c r="E403" s="175"/>
      <c r="F403" s="168"/>
      <c r="G403" s="168"/>
      <c r="H403" s="168"/>
      <c r="I403" s="168"/>
      <c r="J403" s="168"/>
      <c r="K403" s="168"/>
      <c r="L403" s="168"/>
      <c r="M403" s="168"/>
      <c r="N403" s="168"/>
      <c r="O403" s="168"/>
      <c r="P403" s="168"/>
      <c r="Q403" s="168"/>
      <c r="R403" s="168"/>
      <c r="S403" s="168"/>
      <c r="T403" s="168"/>
      <c r="U403" s="168"/>
      <c r="V403" s="168"/>
      <c r="W403" s="168"/>
      <c r="X403" s="168"/>
      <c r="Y403" s="168"/>
      <c r="Z403" s="168"/>
      <c r="AA403" s="168"/>
    </row>
    <row r="404" customFormat="false" ht="15.75" hidden="false" customHeight="false" outlineLevel="0" collapsed="false">
      <c r="A404" s="168" t="str">
        <f aca="false">IF(ISBLANK(B404),"",B404&amp;"|"&amp;C404)</f>
        <v/>
      </c>
      <c r="B404" s="168"/>
      <c r="C404" s="168"/>
      <c r="D404" s="168"/>
      <c r="E404" s="175"/>
      <c r="F404" s="168"/>
      <c r="G404" s="168"/>
      <c r="H404" s="168"/>
      <c r="I404" s="168"/>
      <c r="J404" s="168"/>
      <c r="K404" s="168"/>
      <c r="L404" s="168"/>
      <c r="M404" s="168"/>
      <c r="N404" s="168"/>
      <c r="O404" s="168"/>
      <c r="P404" s="168"/>
      <c r="Q404" s="168"/>
      <c r="R404" s="168"/>
      <c r="S404" s="168"/>
      <c r="T404" s="168"/>
      <c r="U404" s="168"/>
      <c r="V404" s="168"/>
      <c r="W404" s="168"/>
      <c r="X404" s="168"/>
      <c r="Y404" s="168"/>
      <c r="Z404" s="168"/>
      <c r="AA404" s="168"/>
    </row>
    <row r="405" customFormat="false" ht="15.75" hidden="false" customHeight="false" outlineLevel="0" collapsed="false">
      <c r="A405" s="168" t="str">
        <f aca="false">IF(ISBLANK(B405),"",B405&amp;"|"&amp;C405)</f>
        <v/>
      </c>
      <c r="B405" s="168"/>
      <c r="C405" s="168"/>
      <c r="D405" s="168"/>
      <c r="E405" s="175"/>
      <c r="F405" s="168"/>
      <c r="G405" s="168"/>
      <c r="H405" s="168"/>
      <c r="I405" s="168"/>
      <c r="J405" s="168"/>
      <c r="K405" s="168"/>
      <c r="L405" s="168"/>
      <c r="M405" s="168"/>
      <c r="N405" s="168"/>
      <c r="O405" s="168"/>
      <c r="P405" s="168"/>
      <c r="Q405" s="168"/>
      <c r="R405" s="168"/>
      <c r="S405" s="168"/>
      <c r="T405" s="168"/>
      <c r="U405" s="168"/>
      <c r="V405" s="168"/>
      <c r="W405" s="168"/>
      <c r="X405" s="168"/>
      <c r="Y405" s="168"/>
      <c r="Z405" s="168"/>
      <c r="AA405" s="168"/>
    </row>
    <row r="406" customFormat="false" ht="15.75" hidden="false" customHeight="false" outlineLevel="0" collapsed="false">
      <c r="A406" s="168" t="str">
        <f aca="false">IF(ISBLANK(B406),"",B406&amp;"|"&amp;C406)</f>
        <v/>
      </c>
      <c r="B406" s="168"/>
      <c r="C406" s="168"/>
      <c r="D406" s="168"/>
      <c r="E406" s="175"/>
      <c r="F406" s="168"/>
      <c r="G406" s="168"/>
      <c r="H406" s="168"/>
      <c r="I406" s="168"/>
      <c r="J406" s="168"/>
      <c r="K406" s="168"/>
      <c r="L406" s="168"/>
      <c r="M406" s="168"/>
      <c r="N406" s="168"/>
      <c r="O406" s="168"/>
      <c r="P406" s="168"/>
      <c r="Q406" s="168"/>
      <c r="R406" s="168"/>
      <c r="S406" s="168"/>
      <c r="T406" s="168"/>
      <c r="U406" s="168"/>
      <c r="V406" s="168"/>
      <c r="W406" s="168"/>
      <c r="X406" s="168"/>
      <c r="Y406" s="168"/>
      <c r="Z406" s="168"/>
      <c r="AA406" s="168"/>
    </row>
    <row r="407" customFormat="false" ht="15.75" hidden="false" customHeight="false" outlineLevel="0" collapsed="false">
      <c r="A407" s="168" t="str">
        <f aca="false">IF(ISBLANK(B407),"",B407&amp;"|"&amp;C407)</f>
        <v/>
      </c>
      <c r="B407" s="168"/>
      <c r="C407" s="168"/>
      <c r="D407" s="168"/>
      <c r="E407" s="175"/>
      <c r="F407" s="168"/>
      <c r="G407" s="168"/>
      <c r="H407" s="168"/>
      <c r="I407" s="168"/>
      <c r="J407" s="168"/>
      <c r="K407" s="168"/>
      <c r="L407" s="168"/>
      <c r="M407" s="168"/>
      <c r="N407" s="168"/>
      <c r="O407" s="168"/>
      <c r="P407" s="168"/>
      <c r="Q407" s="168"/>
      <c r="R407" s="168"/>
      <c r="S407" s="168"/>
      <c r="T407" s="168"/>
      <c r="U407" s="168"/>
      <c r="V407" s="168"/>
      <c r="W407" s="168"/>
      <c r="X407" s="168"/>
      <c r="Y407" s="168"/>
      <c r="Z407" s="168"/>
      <c r="AA407" s="168"/>
    </row>
    <row r="408" customFormat="false" ht="15.75" hidden="false" customHeight="false" outlineLevel="0" collapsed="false">
      <c r="A408" s="168" t="str">
        <f aca="false">IF(ISBLANK(B408),"",B408&amp;"|"&amp;C408)</f>
        <v/>
      </c>
      <c r="B408" s="168"/>
      <c r="C408" s="168"/>
      <c r="D408" s="168"/>
      <c r="E408" s="175"/>
      <c r="F408" s="168"/>
      <c r="G408" s="168"/>
      <c r="H408" s="168"/>
      <c r="I408" s="168"/>
      <c r="J408" s="168"/>
      <c r="K408" s="168"/>
      <c r="L408" s="168"/>
      <c r="M408" s="168"/>
      <c r="N408" s="168"/>
      <c r="O408" s="168"/>
      <c r="P408" s="168"/>
      <c r="Q408" s="168"/>
      <c r="R408" s="168"/>
      <c r="S408" s="168"/>
      <c r="T408" s="168"/>
      <c r="U408" s="168"/>
      <c r="V408" s="168"/>
      <c r="W408" s="168"/>
      <c r="X408" s="168"/>
      <c r="Y408" s="168"/>
      <c r="Z408" s="168"/>
      <c r="AA408" s="168"/>
    </row>
    <row r="409" customFormat="false" ht="15.75" hidden="false" customHeight="false" outlineLevel="0" collapsed="false">
      <c r="A409" s="168" t="str">
        <f aca="false">IF(ISBLANK(B409),"",B409&amp;"|"&amp;C409)</f>
        <v/>
      </c>
      <c r="B409" s="168"/>
      <c r="C409" s="168"/>
      <c r="D409" s="168"/>
      <c r="E409" s="175"/>
      <c r="F409" s="168"/>
      <c r="G409" s="168"/>
      <c r="H409" s="168"/>
      <c r="I409" s="168"/>
      <c r="J409" s="168"/>
      <c r="K409" s="168"/>
      <c r="L409" s="168"/>
      <c r="M409" s="168"/>
      <c r="N409" s="168"/>
      <c r="O409" s="168"/>
      <c r="P409" s="168"/>
      <c r="Q409" s="168"/>
      <c r="R409" s="168"/>
      <c r="S409" s="168"/>
      <c r="T409" s="168"/>
      <c r="U409" s="168"/>
      <c r="V409" s="168"/>
      <c r="W409" s="168"/>
      <c r="X409" s="168"/>
      <c r="Y409" s="168"/>
      <c r="Z409" s="168"/>
      <c r="AA409" s="168"/>
    </row>
    <row r="410" customFormat="false" ht="15.75" hidden="false" customHeight="false" outlineLevel="0" collapsed="false">
      <c r="A410" s="168" t="str">
        <f aca="false">IF(ISBLANK(B410),"",B410&amp;"|"&amp;C410)</f>
        <v/>
      </c>
      <c r="B410" s="168"/>
      <c r="C410" s="168"/>
      <c r="D410" s="168"/>
      <c r="E410" s="175"/>
      <c r="F410" s="168"/>
      <c r="G410" s="168"/>
      <c r="H410" s="168"/>
      <c r="I410" s="168"/>
      <c r="J410" s="168"/>
      <c r="K410" s="168"/>
      <c r="L410" s="168"/>
      <c r="M410" s="168"/>
      <c r="N410" s="168"/>
      <c r="O410" s="168"/>
      <c r="P410" s="168"/>
      <c r="Q410" s="168"/>
      <c r="R410" s="168"/>
      <c r="S410" s="168"/>
      <c r="T410" s="168"/>
      <c r="U410" s="168"/>
      <c r="V410" s="168"/>
      <c r="W410" s="168"/>
      <c r="X410" s="168"/>
      <c r="Y410" s="168"/>
      <c r="Z410" s="168"/>
      <c r="AA410" s="168"/>
    </row>
    <row r="411" customFormat="false" ht="15.75" hidden="false" customHeight="false" outlineLevel="0" collapsed="false">
      <c r="A411" s="168" t="str">
        <f aca="false">IF(ISBLANK(B411),"",B411&amp;"|"&amp;C411)</f>
        <v/>
      </c>
      <c r="B411" s="168"/>
      <c r="C411" s="168"/>
      <c r="D411" s="168"/>
      <c r="E411" s="175"/>
      <c r="F411" s="168"/>
      <c r="G411" s="168"/>
      <c r="H411" s="168"/>
      <c r="I411" s="168"/>
      <c r="J411" s="168"/>
      <c r="K411" s="168"/>
      <c r="L411" s="168"/>
      <c r="M411" s="168"/>
      <c r="N411" s="168"/>
      <c r="O411" s="168"/>
      <c r="P411" s="168"/>
      <c r="Q411" s="168"/>
      <c r="R411" s="168"/>
      <c r="S411" s="168"/>
      <c r="T411" s="168"/>
      <c r="U411" s="168"/>
      <c r="V411" s="168"/>
      <c r="W411" s="168"/>
      <c r="X411" s="168"/>
      <c r="Y411" s="168"/>
      <c r="Z411" s="168"/>
      <c r="AA411" s="168"/>
    </row>
    <row r="412" customFormat="false" ht="15.75" hidden="false" customHeight="false" outlineLevel="0" collapsed="false">
      <c r="A412" s="168" t="str">
        <f aca="false">IF(ISBLANK(B412),"",B412&amp;"|"&amp;C412)</f>
        <v/>
      </c>
      <c r="B412" s="168"/>
      <c r="C412" s="168"/>
      <c r="D412" s="168"/>
      <c r="E412" s="175"/>
      <c r="F412" s="168"/>
      <c r="G412" s="168"/>
      <c r="H412" s="168"/>
      <c r="I412" s="168"/>
      <c r="J412" s="168"/>
      <c r="K412" s="168"/>
      <c r="L412" s="168"/>
      <c r="M412" s="168"/>
      <c r="N412" s="168"/>
      <c r="O412" s="168"/>
      <c r="P412" s="168"/>
      <c r="Q412" s="168"/>
      <c r="R412" s="168"/>
      <c r="S412" s="168"/>
      <c r="T412" s="168"/>
      <c r="U412" s="168"/>
      <c r="V412" s="168"/>
      <c r="W412" s="168"/>
      <c r="X412" s="168"/>
      <c r="Y412" s="168"/>
      <c r="Z412" s="168"/>
      <c r="AA412" s="168"/>
    </row>
    <row r="413" customFormat="false" ht="15.75" hidden="false" customHeight="false" outlineLevel="0" collapsed="false">
      <c r="A413" s="168" t="str">
        <f aca="false">IF(ISBLANK(B413),"",B413&amp;"|"&amp;C413)</f>
        <v/>
      </c>
      <c r="B413" s="168"/>
      <c r="C413" s="168"/>
      <c r="D413" s="168"/>
      <c r="E413" s="175"/>
      <c r="F413" s="168"/>
      <c r="G413" s="168"/>
      <c r="H413" s="168"/>
      <c r="I413" s="168"/>
      <c r="J413" s="168"/>
      <c r="K413" s="168"/>
      <c r="L413" s="168"/>
      <c r="M413" s="168"/>
      <c r="N413" s="168"/>
      <c r="O413" s="168"/>
      <c r="P413" s="168"/>
      <c r="Q413" s="168"/>
      <c r="R413" s="168"/>
      <c r="S413" s="168"/>
      <c r="T413" s="168"/>
      <c r="U413" s="168"/>
      <c r="V413" s="168"/>
      <c r="W413" s="168"/>
      <c r="X413" s="168"/>
      <c r="Y413" s="168"/>
      <c r="Z413" s="168"/>
      <c r="AA413" s="168"/>
    </row>
    <row r="414" customFormat="false" ht="15.75" hidden="false" customHeight="false" outlineLevel="0" collapsed="false">
      <c r="A414" s="168" t="str">
        <f aca="false">IF(ISBLANK(B414),"",B414&amp;"|"&amp;C414)</f>
        <v/>
      </c>
      <c r="B414" s="168"/>
      <c r="C414" s="168"/>
      <c r="D414" s="168"/>
      <c r="E414" s="175"/>
      <c r="F414" s="168"/>
      <c r="G414" s="168"/>
      <c r="H414" s="168"/>
      <c r="I414" s="168"/>
      <c r="J414" s="168"/>
      <c r="K414" s="168"/>
      <c r="L414" s="168"/>
      <c r="M414" s="168"/>
      <c r="N414" s="168"/>
      <c r="O414" s="168"/>
      <c r="P414" s="168"/>
      <c r="Q414" s="168"/>
      <c r="R414" s="168"/>
      <c r="S414" s="168"/>
      <c r="T414" s="168"/>
      <c r="U414" s="168"/>
      <c r="V414" s="168"/>
      <c r="W414" s="168"/>
      <c r="X414" s="168"/>
      <c r="Y414" s="168"/>
      <c r="Z414" s="168"/>
      <c r="AA414" s="168"/>
    </row>
    <row r="415" customFormat="false" ht="15.75" hidden="false" customHeight="false" outlineLevel="0" collapsed="false">
      <c r="A415" s="168" t="str">
        <f aca="false">IF(ISBLANK(B415),"",B415&amp;"|"&amp;C415)</f>
        <v/>
      </c>
      <c r="B415" s="168"/>
      <c r="C415" s="168"/>
      <c r="D415" s="168"/>
      <c r="E415" s="175"/>
      <c r="F415" s="168"/>
      <c r="G415" s="168"/>
      <c r="H415" s="168"/>
      <c r="I415" s="168"/>
      <c r="J415" s="168"/>
      <c r="K415" s="168"/>
      <c r="L415" s="168"/>
      <c r="M415" s="168"/>
      <c r="N415" s="168"/>
      <c r="O415" s="168"/>
      <c r="P415" s="168"/>
      <c r="Q415" s="168"/>
      <c r="R415" s="168"/>
      <c r="S415" s="168"/>
      <c r="T415" s="168"/>
      <c r="U415" s="168"/>
      <c r="V415" s="168"/>
      <c r="W415" s="168"/>
      <c r="X415" s="168"/>
      <c r="Y415" s="168"/>
      <c r="Z415" s="168"/>
      <c r="AA415" s="168"/>
    </row>
    <row r="416" customFormat="false" ht="15.75" hidden="false" customHeight="false" outlineLevel="0" collapsed="false">
      <c r="A416" s="168" t="str">
        <f aca="false">IF(ISBLANK(B416),"",B416&amp;"|"&amp;C416)</f>
        <v/>
      </c>
      <c r="B416" s="168"/>
      <c r="C416" s="168"/>
      <c r="D416" s="168"/>
      <c r="E416" s="175"/>
      <c r="F416" s="168"/>
      <c r="G416" s="168"/>
      <c r="H416" s="168"/>
      <c r="I416" s="168"/>
      <c r="J416" s="168"/>
      <c r="K416" s="168"/>
      <c r="L416" s="168"/>
      <c r="M416" s="168"/>
      <c r="N416" s="168"/>
      <c r="O416" s="168"/>
      <c r="P416" s="168"/>
      <c r="Q416" s="168"/>
      <c r="R416" s="168"/>
      <c r="S416" s="168"/>
      <c r="T416" s="168"/>
      <c r="U416" s="168"/>
      <c r="V416" s="168"/>
      <c r="W416" s="168"/>
      <c r="X416" s="168"/>
      <c r="Y416" s="168"/>
      <c r="Z416" s="168"/>
      <c r="AA416" s="168"/>
    </row>
    <row r="417" customFormat="false" ht="15.75" hidden="false" customHeight="false" outlineLevel="0" collapsed="false">
      <c r="A417" s="168" t="str">
        <f aca="false">IF(ISBLANK(B417),"",B417&amp;"|"&amp;C417)</f>
        <v/>
      </c>
      <c r="B417" s="168"/>
      <c r="C417" s="168"/>
      <c r="D417" s="168"/>
      <c r="E417" s="175"/>
      <c r="F417" s="168"/>
      <c r="G417" s="168"/>
      <c r="H417" s="168"/>
      <c r="I417" s="168"/>
      <c r="J417" s="168"/>
      <c r="K417" s="168"/>
      <c r="L417" s="168"/>
      <c r="M417" s="168"/>
      <c r="N417" s="168"/>
      <c r="O417" s="168"/>
      <c r="P417" s="168"/>
      <c r="Q417" s="168"/>
      <c r="R417" s="168"/>
      <c r="S417" s="168"/>
      <c r="T417" s="168"/>
      <c r="U417" s="168"/>
      <c r="V417" s="168"/>
      <c r="W417" s="168"/>
      <c r="X417" s="168"/>
      <c r="Y417" s="168"/>
      <c r="Z417" s="168"/>
      <c r="AA417" s="168"/>
    </row>
    <row r="418" customFormat="false" ht="15.75" hidden="false" customHeight="false" outlineLevel="0" collapsed="false">
      <c r="A418" s="168" t="str">
        <f aca="false">IF(ISBLANK(B418),"",B418&amp;"|"&amp;C418)</f>
        <v/>
      </c>
      <c r="B418" s="168"/>
      <c r="C418" s="168"/>
      <c r="D418" s="168"/>
      <c r="E418" s="175"/>
      <c r="F418" s="168"/>
      <c r="G418" s="168"/>
      <c r="H418" s="168"/>
      <c r="I418" s="168"/>
      <c r="J418" s="168"/>
      <c r="K418" s="168"/>
      <c r="L418" s="168"/>
      <c r="M418" s="168"/>
      <c r="N418" s="168"/>
      <c r="O418" s="168"/>
      <c r="P418" s="168"/>
      <c r="Q418" s="168"/>
      <c r="R418" s="168"/>
      <c r="S418" s="168"/>
      <c r="T418" s="168"/>
      <c r="U418" s="168"/>
      <c r="V418" s="168"/>
      <c r="W418" s="168"/>
      <c r="X418" s="168"/>
      <c r="Y418" s="168"/>
      <c r="Z418" s="168"/>
      <c r="AA418" s="168"/>
    </row>
    <row r="419" customFormat="false" ht="15.75" hidden="false" customHeight="false" outlineLevel="0" collapsed="false">
      <c r="A419" s="168" t="str">
        <f aca="false">IF(ISBLANK(B419),"",B419&amp;"|"&amp;C419)</f>
        <v/>
      </c>
      <c r="B419" s="168"/>
      <c r="C419" s="168"/>
      <c r="D419" s="168"/>
      <c r="E419" s="175"/>
      <c r="F419" s="168"/>
      <c r="G419" s="168"/>
      <c r="H419" s="168"/>
      <c r="I419" s="168"/>
      <c r="J419" s="168"/>
      <c r="K419" s="168"/>
      <c r="L419" s="168"/>
      <c r="M419" s="168"/>
      <c r="N419" s="168"/>
      <c r="O419" s="168"/>
      <c r="P419" s="168"/>
      <c r="Q419" s="168"/>
      <c r="R419" s="168"/>
      <c r="S419" s="168"/>
      <c r="T419" s="168"/>
      <c r="U419" s="168"/>
      <c r="V419" s="168"/>
      <c r="W419" s="168"/>
      <c r="X419" s="168"/>
      <c r="Y419" s="168"/>
      <c r="Z419" s="168"/>
      <c r="AA419" s="168"/>
    </row>
    <row r="420" customFormat="false" ht="15.75" hidden="false" customHeight="false" outlineLevel="0" collapsed="false">
      <c r="A420" s="168" t="str">
        <f aca="false">IF(ISBLANK(B420),"",B420&amp;"|"&amp;C420)</f>
        <v/>
      </c>
      <c r="B420" s="168"/>
      <c r="C420" s="168"/>
      <c r="D420" s="168"/>
      <c r="E420" s="175"/>
      <c r="F420" s="168"/>
      <c r="G420" s="168"/>
      <c r="H420" s="168"/>
      <c r="I420" s="168"/>
      <c r="J420" s="168"/>
      <c r="K420" s="168"/>
      <c r="L420" s="168"/>
      <c r="M420" s="168"/>
      <c r="N420" s="168"/>
      <c r="O420" s="168"/>
      <c r="P420" s="168"/>
      <c r="Q420" s="168"/>
      <c r="R420" s="168"/>
      <c r="S420" s="168"/>
      <c r="T420" s="168"/>
      <c r="U420" s="168"/>
      <c r="V420" s="168"/>
      <c r="W420" s="168"/>
      <c r="X420" s="168"/>
      <c r="Y420" s="168"/>
      <c r="Z420" s="168"/>
      <c r="AA420" s="168"/>
    </row>
    <row r="421" customFormat="false" ht="15.75" hidden="false" customHeight="false" outlineLevel="0" collapsed="false">
      <c r="A421" s="168" t="str">
        <f aca="false">IF(ISBLANK(B421),"",B421&amp;"|"&amp;C421)</f>
        <v/>
      </c>
      <c r="B421" s="168"/>
      <c r="C421" s="168"/>
      <c r="D421" s="168"/>
      <c r="E421" s="175"/>
      <c r="F421" s="168"/>
      <c r="G421" s="168"/>
      <c r="H421" s="168"/>
      <c r="I421" s="168"/>
      <c r="J421" s="168"/>
      <c r="K421" s="168"/>
      <c r="L421" s="168"/>
      <c r="M421" s="168"/>
      <c r="N421" s="168"/>
      <c r="O421" s="168"/>
      <c r="P421" s="168"/>
      <c r="Q421" s="168"/>
      <c r="R421" s="168"/>
      <c r="S421" s="168"/>
      <c r="T421" s="168"/>
      <c r="U421" s="168"/>
      <c r="V421" s="168"/>
      <c r="W421" s="168"/>
      <c r="X421" s="168"/>
      <c r="Y421" s="168"/>
      <c r="Z421" s="168"/>
      <c r="AA421" s="168"/>
    </row>
    <row r="422" customFormat="false" ht="15.75" hidden="false" customHeight="false" outlineLevel="0" collapsed="false">
      <c r="A422" s="168" t="str">
        <f aca="false">IF(ISBLANK(B422),"",B422&amp;"|"&amp;C422)</f>
        <v/>
      </c>
      <c r="B422" s="168"/>
      <c r="C422" s="168"/>
      <c r="D422" s="168"/>
      <c r="E422" s="175"/>
      <c r="F422" s="168"/>
      <c r="G422" s="168"/>
      <c r="H422" s="168"/>
      <c r="I422" s="168"/>
      <c r="J422" s="168"/>
      <c r="K422" s="168"/>
      <c r="L422" s="168"/>
      <c r="M422" s="168"/>
      <c r="N422" s="168"/>
      <c r="O422" s="168"/>
      <c r="P422" s="168"/>
      <c r="Q422" s="168"/>
      <c r="R422" s="168"/>
      <c r="S422" s="168"/>
      <c r="T422" s="168"/>
      <c r="U422" s="168"/>
      <c r="V422" s="168"/>
      <c r="W422" s="168"/>
      <c r="X422" s="168"/>
      <c r="Y422" s="168"/>
      <c r="Z422" s="168"/>
      <c r="AA422" s="168"/>
    </row>
    <row r="423" customFormat="false" ht="15.75" hidden="false" customHeight="false" outlineLevel="0" collapsed="false">
      <c r="A423" s="168" t="str">
        <f aca="false">IF(ISBLANK(B423),"",B423&amp;"|"&amp;C423)</f>
        <v/>
      </c>
      <c r="B423" s="168"/>
      <c r="C423" s="168"/>
      <c r="D423" s="168"/>
      <c r="E423" s="175"/>
      <c r="F423" s="168"/>
      <c r="G423" s="168"/>
      <c r="H423" s="168"/>
      <c r="I423" s="168"/>
      <c r="J423" s="168"/>
      <c r="K423" s="168"/>
      <c r="L423" s="168"/>
      <c r="M423" s="168"/>
      <c r="N423" s="168"/>
      <c r="O423" s="168"/>
      <c r="P423" s="168"/>
      <c r="Q423" s="168"/>
      <c r="R423" s="168"/>
      <c r="S423" s="168"/>
      <c r="T423" s="168"/>
      <c r="U423" s="168"/>
      <c r="V423" s="168"/>
      <c r="W423" s="168"/>
      <c r="X423" s="168"/>
      <c r="Y423" s="168"/>
      <c r="Z423" s="168"/>
      <c r="AA423" s="168"/>
    </row>
    <row r="424" customFormat="false" ht="15.75" hidden="false" customHeight="false" outlineLevel="0" collapsed="false">
      <c r="A424" s="168" t="str">
        <f aca="false">IF(ISBLANK(B424),"",B424&amp;"|"&amp;C424)</f>
        <v/>
      </c>
      <c r="B424" s="168"/>
      <c r="C424" s="168"/>
      <c r="D424" s="168"/>
      <c r="E424" s="175"/>
      <c r="F424" s="168"/>
      <c r="G424" s="168"/>
      <c r="H424" s="168"/>
      <c r="I424" s="168"/>
      <c r="J424" s="168"/>
      <c r="K424" s="168"/>
      <c r="L424" s="168"/>
      <c r="M424" s="168"/>
      <c r="N424" s="168"/>
      <c r="O424" s="168"/>
      <c r="P424" s="168"/>
      <c r="Q424" s="168"/>
      <c r="R424" s="168"/>
      <c r="S424" s="168"/>
      <c r="T424" s="168"/>
      <c r="U424" s="168"/>
      <c r="V424" s="168"/>
      <c r="W424" s="168"/>
      <c r="X424" s="168"/>
      <c r="Y424" s="168"/>
      <c r="Z424" s="168"/>
      <c r="AA424" s="168"/>
    </row>
    <row r="425" customFormat="false" ht="15.75" hidden="false" customHeight="false" outlineLevel="0" collapsed="false">
      <c r="A425" s="168" t="str">
        <f aca="false">IF(ISBLANK(B425),"",B425&amp;"|"&amp;C425)</f>
        <v/>
      </c>
      <c r="B425" s="168"/>
      <c r="C425" s="168"/>
      <c r="D425" s="168"/>
      <c r="E425" s="175"/>
      <c r="F425" s="168"/>
      <c r="G425" s="168"/>
      <c r="H425" s="168"/>
      <c r="I425" s="168"/>
      <c r="J425" s="168"/>
      <c r="K425" s="168"/>
      <c r="L425" s="168"/>
      <c r="M425" s="168"/>
      <c r="N425" s="168"/>
      <c r="O425" s="168"/>
      <c r="P425" s="168"/>
      <c r="Q425" s="168"/>
      <c r="R425" s="168"/>
      <c r="S425" s="168"/>
      <c r="T425" s="168"/>
      <c r="U425" s="168"/>
      <c r="V425" s="168"/>
      <c r="W425" s="168"/>
      <c r="X425" s="168"/>
      <c r="Y425" s="168"/>
      <c r="Z425" s="168"/>
      <c r="AA425" s="168"/>
    </row>
    <row r="426" customFormat="false" ht="15.75" hidden="false" customHeight="false" outlineLevel="0" collapsed="false">
      <c r="A426" s="168" t="str">
        <f aca="false">IF(ISBLANK(B426),"",B426&amp;"|"&amp;C426)</f>
        <v/>
      </c>
      <c r="B426" s="168"/>
      <c r="C426" s="168"/>
      <c r="D426" s="168"/>
      <c r="E426" s="175"/>
      <c r="F426" s="168"/>
      <c r="G426" s="168"/>
      <c r="H426" s="168"/>
      <c r="I426" s="168"/>
      <c r="J426" s="168"/>
      <c r="K426" s="168"/>
      <c r="L426" s="168"/>
      <c r="M426" s="168"/>
      <c r="N426" s="168"/>
      <c r="O426" s="168"/>
      <c r="P426" s="168"/>
      <c r="Q426" s="168"/>
      <c r="R426" s="168"/>
      <c r="S426" s="168"/>
      <c r="T426" s="168"/>
      <c r="U426" s="168"/>
      <c r="V426" s="168"/>
      <c r="W426" s="168"/>
      <c r="X426" s="168"/>
      <c r="Y426" s="168"/>
      <c r="Z426" s="168"/>
      <c r="AA426" s="168"/>
    </row>
    <row r="427" customFormat="false" ht="15.75" hidden="false" customHeight="false" outlineLevel="0" collapsed="false">
      <c r="A427" s="168" t="str">
        <f aca="false">IF(ISBLANK(B427),"",B427&amp;"|"&amp;C427)</f>
        <v/>
      </c>
      <c r="B427" s="168"/>
      <c r="C427" s="168"/>
      <c r="D427" s="168"/>
      <c r="E427" s="175"/>
      <c r="F427" s="168"/>
      <c r="G427" s="168"/>
      <c r="H427" s="168"/>
      <c r="I427" s="168"/>
      <c r="J427" s="168"/>
      <c r="K427" s="168"/>
      <c r="L427" s="168"/>
      <c r="M427" s="168"/>
      <c r="N427" s="168"/>
      <c r="O427" s="168"/>
      <c r="P427" s="168"/>
      <c r="Q427" s="168"/>
      <c r="R427" s="168"/>
      <c r="S427" s="168"/>
      <c r="T427" s="168"/>
      <c r="U427" s="168"/>
      <c r="V427" s="168"/>
      <c r="W427" s="168"/>
      <c r="X427" s="168"/>
      <c r="Y427" s="168"/>
      <c r="Z427" s="168"/>
      <c r="AA427" s="168"/>
    </row>
    <row r="428" customFormat="false" ht="15.75" hidden="false" customHeight="false" outlineLevel="0" collapsed="false">
      <c r="A428" s="168" t="str">
        <f aca="false">IF(ISBLANK(B428),"",B428&amp;"|"&amp;C428)</f>
        <v/>
      </c>
      <c r="B428" s="168"/>
      <c r="C428" s="168"/>
      <c r="D428" s="168"/>
      <c r="E428" s="175"/>
      <c r="F428" s="168"/>
      <c r="G428" s="168"/>
      <c r="H428" s="168"/>
      <c r="I428" s="168"/>
      <c r="J428" s="168"/>
      <c r="K428" s="168"/>
      <c r="L428" s="168"/>
      <c r="M428" s="168"/>
      <c r="N428" s="168"/>
      <c r="O428" s="168"/>
      <c r="P428" s="168"/>
      <c r="Q428" s="168"/>
      <c r="R428" s="168"/>
      <c r="S428" s="168"/>
      <c r="T428" s="168"/>
      <c r="U428" s="168"/>
      <c r="V428" s="168"/>
      <c r="W428" s="168"/>
      <c r="X428" s="168"/>
      <c r="Y428" s="168"/>
      <c r="Z428" s="168"/>
      <c r="AA428" s="168"/>
    </row>
    <row r="429" customFormat="false" ht="15.75" hidden="false" customHeight="false" outlineLevel="0" collapsed="false">
      <c r="A429" s="168" t="str">
        <f aca="false">IF(ISBLANK(B429),"",B429&amp;"|"&amp;C429)</f>
        <v/>
      </c>
      <c r="B429" s="168"/>
      <c r="C429" s="168"/>
      <c r="D429" s="168"/>
      <c r="E429" s="175"/>
      <c r="F429" s="168"/>
      <c r="G429" s="168"/>
      <c r="H429" s="168"/>
      <c r="I429" s="168"/>
      <c r="J429" s="168"/>
      <c r="K429" s="168"/>
      <c r="L429" s="168"/>
      <c r="M429" s="168"/>
      <c r="N429" s="168"/>
      <c r="O429" s="168"/>
      <c r="P429" s="168"/>
      <c r="Q429" s="168"/>
      <c r="R429" s="168"/>
      <c r="S429" s="168"/>
      <c r="T429" s="168"/>
      <c r="U429" s="168"/>
      <c r="V429" s="168"/>
      <c r="W429" s="168"/>
      <c r="X429" s="168"/>
      <c r="Y429" s="168"/>
      <c r="Z429" s="168"/>
      <c r="AA429" s="168"/>
    </row>
    <row r="430" customFormat="false" ht="15.75" hidden="false" customHeight="false" outlineLevel="0" collapsed="false">
      <c r="A430" s="168" t="str">
        <f aca="false">IF(ISBLANK(B430),"",B430&amp;"|"&amp;C430)</f>
        <v/>
      </c>
      <c r="B430" s="168"/>
      <c r="C430" s="168"/>
      <c r="D430" s="168"/>
      <c r="E430" s="175"/>
      <c r="F430" s="168"/>
      <c r="G430" s="168"/>
      <c r="H430" s="168"/>
      <c r="I430" s="168"/>
      <c r="J430" s="168"/>
      <c r="K430" s="168"/>
      <c r="L430" s="168"/>
      <c r="M430" s="168"/>
      <c r="N430" s="168"/>
      <c r="O430" s="168"/>
      <c r="P430" s="168"/>
      <c r="Q430" s="168"/>
      <c r="R430" s="168"/>
      <c r="S430" s="168"/>
      <c r="T430" s="168"/>
      <c r="U430" s="168"/>
      <c r="V430" s="168"/>
      <c r="W430" s="168"/>
      <c r="X430" s="168"/>
      <c r="Y430" s="168"/>
      <c r="Z430" s="168"/>
      <c r="AA430" s="168"/>
    </row>
    <row r="431" customFormat="false" ht="15.75" hidden="false" customHeight="false" outlineLevel="0" collapsed="false">
      <c r="A431" s="168" t="str">
        <f aca="false">IF(ISBLANK(B431),"",B431&amp;"|"&amp;C431)</f>
        <v/>
      </c>
      <c r="B431" s="168"/>
      <c r="C431" s="168"/>
      <c r="D431" s="168"/>
      <c r="E431" s="175"/>
      <c r="F431" s="168"/>
      <c r="G431" s="168"/>
      <c r="H431" s="168"/>
      <c r="I431" s="168"/>
      <c r="J431" s="168"/>
      <c r="K431" s="168"/>
      <c r="L431" s="168"/>
      <c r="M431" s="168"/>
      <c r="N431" s="168"/>
      <c r="O431" s="168"/>
      <c r="P431" s="168"/>
      <c r="Q431" s="168"/>
      <c r="R431" s="168"/>
      <c r="S431" s="168"/>
      <c r="T431" s="168"/>
      <c r="U431" s="168"/>
      <c r="V431" s="168"/>
      <c r="W431" s="168"/>
      <c r="X431" s="168"/>
      <c r="Y431" s="168"/>
      <c r="Z431" s="168"/>
      <c r="AA431" s="168"/>
    </row>
    <row r="432" customFormat="false" ht="15.75" hidden="false" customHeight="false" outlineLevel="0" collapsed="false">
      <c r="A432" s="168" t="str">
        <f aca="false">IF(ISBLANK(B432),"",B432&amp;"|"&amp;C432)</f>
        <v/>
      </c>
      <c r="B432" s="168"/>
      <c r="C432" s="168"/>
      <c r="D432" s="168"/>
      <c r="E432" s="175"/>
      <c r="F432" s="168"/>
      <c r="G432" s="168"/>
      <c r="H432" s="168"/>
      <c r="I432" s="168"/>
      <c r="J432" s="168"/>
      <c r="K432" s="168"/>
      <c r="L432" s="168"/>
      <c r="M432" s="168"/>
      <c r="N432" s="168"/>
      <c r="O432" s="168"/>
      <c r="P432" s="168"/>
      <c r="Q432" s="168"/>
      <c r="R432" s="168"/>
      <c r="S432" s="168"/>
      <c r="T432" s="168"/>
      <c r="U432" s="168"/>
      <c r="V432" s="168"/>
      <c r="W432" s="168"/>
      <c r="X432" s="168"/>
      <c r="Y432" s="168"/>
      <c r="Z432" s="168"/>
      <c r="AA432" s="168"/>
    </row>
    <row r="433" customFormat="false" ht="15.75" hidden="false" customHeight="false" outlineLevel="0" collapsed="false">
      <c r="A433" s="168" t="str">
        <f aca="false">IF(ISBLANK(B433),"",B433&amp;"|"&amp;C433)</f>
        <v/>
      </c>
      <c r="B433" s="168"/>
      <c r="C433" s="168"/>
      <c r="D433" s="168"/>
      <c r="E433" s="175"/>
      <c r="F433" s="168"/>
      <c r="G433" s="168"/>
      <c r="H433" s="168"/>
      <c r="I433" s="168"/>
      <c r="J433" s="168"/>
      <c r="K433" s="168"/>
      <c r="L433" s="168"/>
      <c r="M433" s="168"/>
      <c r="N433" s="168"/>
      <c r="O433" s="168"/>
      <c r="P433" s="168"/>
      <c r="Q433" s="168"/>
      <c r="R433" s="168"/>
      <c r="S433" s="168"/>
      <c r="T433" s="168"/>
      <c r="U433" s="168"/>
      <c r="V433" s="168"/>
      <c r="W433" s="168"/>
      <c r="X433" s="168"/>
      <c r="Y433" s="168"/>
      <c r="Z433" s="168"/>
      <c r="AA433" s="168"/>
    </row>
    <row r="434" customFormat="false" ht="15.75" hidden="false" customHeight="false" outlineLevel="0" collapsed="false">
      <c r="A434" s="168" t="str">
        <f aca="false">IF(ISBLANK(B434),"",B434&amp;"|"&amp;C434)</f>
        <v/>
      </c>
      <c r="B434" s="168"/>
      <c r="C434" s="168"/>
      <c r="D434" s="168"/>
      <c r="E434" s="175"/>
      <c r="F434" s="168"/>
      <c r="G434" s="168"/>
      <c r="H434" s="168"/>
      <c r="I434" s="168"/>
      <c r="J434" s="168"/>
      <c r="K434" s="168"/>
      <c r="L434" s="168"/>
      <c r="M434" s="168"/>
      <c r="N434" s="168"/>
      <c r="O434" s="168"/>
      <c r="P434" s="168"/>
      <c r="Q434" s="168"/>
      <c r="R434" s="168"/>
      <c r="S434" s="168"/>
      <c r="T434" s="168"/>
      <c r="U434" s="168"/>
      <c r="V434" s="168"/>
      <c r="W434" s="168"/>
      <c r="X434" s="168"/>
      <c r="Y434" s="168"/>
      <c r="Z434" s="168"/>
      <c r="AA434" s="168"/>
    </row>
    <row r="435" customFormat="false" ht="15.75" hidden="false" customHeight="false" outlineLevel="0" collapsed="false">
      <c r="A435" s="168" t="str">
        <f aca="false">IF(ISBLANK(B435),"",B435&amp;"|"&amp;C435)</f>
        <v/>
      </c>
      <c r="B435" s="168"/>
      <c r="C435" s="168"/>
      <c r="D435" s="168"/>
      <c r="E435" s="175"/>
      <c r="F435" s="168"/>
      <c r="G435" s="168"/>
      <c r="H435" s="168"/>
      <c r="I435" s="168"/>
      <c r="J435" s="168"/>
      <c r="K435" s="168"/>
      <c r="L435" s="168"/>
      <c r="M435" s="168"/>
      <c r="N435" s="168"/>
      <c r="O435" s="168"/>
      <c r="P435" s="168"/>
      <c r="Q435" s="168"/>
      <c r="R435" s="168"/>
      <c r="S435" s="168"/>
      <c r="T435" s="168"/>
      <c r="U435" s="168"/>
      <c r="V435" s="168"/>
      <c r="W435" s="168"/>
      <c r="X435" s="168"/>
      <c r="Y435" s="168"/>
      <c r="Z435" s="168"/>
      <c r="AA435" s="168"/>
    </row>
    <row r="436" customFormat="false" ht="15.75" hidden="false" customHeight="false" outlineLevel="0" collapsed="false">
      <c r="A436" s="168" t="str">
        <f aca="false">IF(ISBLANK(B436),"",B436&amp;"|"&amp;C436)</f>
        <v/>
      </c>
      <c r="B436" s="168"/>
      <c r="C436" s="168"/>
      <c r="D436" s="168"/>
      <c r="E436" s="175"/>
      <c r="F436" s="168"/>
      <c r="G436" s="168"/>
      <c r="H436" s="168"/>
      <c r="I436" s="168"/>
      <c r="J436" s="168"/>
      <c r="K436" s="168"/>
      <c r="L436" s="168"/>
      <c r="M436" s="168"/>
      <c r="N436" s="168"/>
      <c r="O436" s="168"/>
      <c r="P436" s="168"/>
      <c r="Q436" s="168"/>
      <c r="R436" s="168"/>
      <c r="S436" s="168"/>
      <c r="T436" s="168"/>
      <c r="U436" s="168"/>
      <c r="V436" s="168"/>
      <c r="W436" s="168"/>
      <c r="X436" s="168"/>
      <c r="Y436" s="168"/>
      <c r="Z436" s="168"/>
      <c r="AA436" s="168"/>
    </row>
    <row r="437" customFormat="false" ht="15.75" hidden="false" customHeight="false" outlineLevel="0" collapsed="false">
      <c r="A437" s="168" t="str">
        <f aca="false">IF(ISBLANK(B437),"",B437&amp;"|"&amp;C437)</f>
        <v/>
      </c>
      <c r="B437" s="168"/>
      <c r="C437" s="168"/>
      <c r="D437" s="168"/>
      <c r="E437" s="175"/>
      <c r="F437" s="168"/>
      <c r="G437" s="168"/>
      <c r="H437" s="168"/>
      <c r="I437" s="168"/>
      <c r="J437" s="168"/>
      <c r="K437" s="168"/>
      <c r="L437" s="168"/>
      <c r="M437" s="168"/>
      <c r="N437" s="168"/>
      <c r="O437" s="168"/>
      <c r="P437" s="168"/>
      <c r="Q437" s="168"/>
      <c r="R437" s="168"/>
      <c r="S437" s="168"/>
      <c r="T437" s="168"/>
      <c r="U437" s="168"/>
      <c r="V437" s="168"/>
      <c r="W437" s="168"/>
      <c r="X437" s="168"/>
      <c r="Y437" s="168"/>
      <c r="Z437" s="168"/>
      <c r="AA437" s="168"/>
    </row>
    <row r="438" customFormat="false" ht="15.75" hidden="false" customHeight="false" outlineLevel="0" collapsed="false">
      <c r="A438" s="168" t="str">
        <f aca="false">IF(ISBLANK(B438),"",B438&amp;"|"&amp;C438)</f>
        <v/>
      </c>
      <c r="B438" s="168"/>
      <c r="C438" s="168"/>
      <c r="D438" s="168"/>
      <c r="E438" s="175"/>
      <c r="F438" s="168"/>
      <c r="G438" s="168"/>
      <c r="H438" s="168"/>
      <c r="I438" s="168"/>
      <c r="J438" s="168"/>
      <c r="K438" s="168"/>
      <c r="L438" s="168"/>
      <c r="M438" s="168"/>
      <c r="N438" s="168"/>
      <c r="O438" s="168"/>
      <c r="P438" s="168"/>
      <c r="Q438" s="168"/>
      <c r="R438" s="168"/>
      <c r="S438" s="168"/>
      <c r="T438" s="168"/>
      <c r="U438" s="168"/>
      <c r="V438" s="168"/>
      <c r="W438" s="168"/>
      <c r="X438" s="168"/>
      <c r="Y438" s="168"/>
      <c r="Z438" s="168"/>
      <c r="AA438" s="168"/>
    </row>
    <row r="439" customFormat="false" ht="15.75" hidden="false" customHeight="false" outlineLevel="0" collapsed="false">
      <c r="A439" s="168" t="str">
        <f aca="false">IF(ISBLANK(B439),"",B439&amp;"|"&amp;C439)</f>
        <v/>
      </c>
      <c r="B439" s="168"/>
      <c r="C439" s="168"/>
      <c r="D439" s="168"/>
      <c r="E439" s="175"/>
      <c r="F439" s="168"/>
      <c r="G439" s="168"/>
      <c r="H439" s="168"/>
      <c r="I439" s="168"/>
      <c r="J439" s="168"/>
      <c r="K439" s="168"/>
      <c r="L439" s="168"/>
      <c r="M439" s="168"/>
      <c r="N439" s="168"/>
      <c r="O439" s="168"/>
      <c r="P439" s="168"/>
      <c r="Q439" s="168"/>
      <c r="R439" s="168"/>
      <c r="S439" s="168"/>
      <c r="T439" s="168"/>
      <c r="U439" s="168"/>
      <c r="V439" s="168"/>
      <c r="W439" s="168"/>
      <c r="X439" s="168"/>
      <c r="Y439" s="168"/>
      <c r="Z439" s="168"/>
      <c r="AA439" s="168"/>
    </row>
    <row r="440" customFormat="false" ht="15.75" hidden="false" customHeight="false" outlineLevel="0" collapsed="false">
      <c r="A440" s="168" t="str">
        <f aca="false">IF(ISBLANK(B440),"",B440&amp;"|"&amp;C440)</f>
        <v/>
      </c>
      <c r="B440" s="168"/>
      <c r="C440" s="168"/>
      <c r="D440" s="168"/>
      <c r="E440" s="175"/>
      <c r="F440" s="168"/>
      <c r="G440" s="168"/>
      <c r="H440" s="168"/>
      <c r="I440" s="168"/>
      <c r="J440" s="168"/>
      <c r="K440" s="168"/>
      <c r="L440" s="168"/>
      <c r="M440" s="168"/>
      <c r="N440" s="168"/>
      <c r="O440" s="168"/>
      <c r="P440" s="168"/>
      <c r="Q440" s="168"/>
      <c r="R440" s="168"/>
      <c r="S440" s="168"/>
      <c r="T440" s="168"/>
      <c r="U440" s="168"/>
      <c r="V440" s="168"/>
      <c r="W440" s="168"/>
      <c r="X440" s="168"/>
      <c r="Y440" s="168"/>
      <c r="Z440" s="168"/>
      <c r="AA440" s="168"/>
    </row>
    <row r="441" customFormat="false" ht="15.75" hidden="false" customHeight="false" outlineLevel="0" collapsed="false">
      <c r="A441" s="168" t="str">
        <f aca="false">IF(ISBLANK(B441),"",B441&amp;"|"&amp;C441)</f>
        <v/>
      </c>
      <c r="B441" s="168"/>
      <c r="C441" s="168"/>
      <c r="D441" s="168"/>
      <c r="E441" s="175"/>
      <c r="F441" s="168"/>
      <c r="G441" s="168"/>
      <c r="H441" s="168"/>
      <c r="I441" s="168"/>
      <c r="J441" s="168"/>
      <c r="K441" s="168"/>
      <c r="L441" s="168"/>
      <c r="M441" s="168"/>
      <c r="N441" s="168"/>
      <c r="O441" s="168"/>
      <c r="P441" s="168"/>
      <c r="Q441" s="168"/>
      <c r="R441" s="168"/>
      <c r="S441" s="168"/>
      <c r="T441" s="168"/>
      <c r="U441" s="168"/>
      <c r="V441" s="168"/>
      <c r="W441" s="168"/>
      <c r="X441" s="168"/>
      <c r="Y441" s="168"/>
      <c r="Z441" s="168"/>
      <c r="AA441" s="168"/>
    </row>
    <row r="442" customFormat="false" ht="15.75" hidden="false" customHeight="false" outlineLevel="0" collapsed="false">
      <c r="A442" s="168" t="str">
        <f aca="false">IF(ISBLANK(B442),"",B442&amp;"|"&amp;C442)</f>
        <v/>
      </c>
      <c r="B442" s="168"/>
      <c r="C442" s="168"/>
      <c r="D442" s="168"/>
      <c r="E442" s="175"/>
      <c r="F442" s="168"/>
      <c r="G442" s="168"/>
      <c r="H442" s="168"/>
      <c r="I442" s="168"/>
      <c r="J442" s="168"/>
      <c r="K442" s="168"/>
      <c r="L442" s="168"/>
      <c r="M442" s="168"/>
      <c r="N442" s="168"/>
      <c r="O442" s="168"/>
      <c r="P442" s="168"/>
      <c r="Q442" s="168"/>
      <c r="R442" s="168"/>
      <c r="S442" s="168"/>
      <c r="T442" s="168"/>
      <c r="U442" s="168"/>
      <c r="V442" s="168"/>
      <c r="W442" s="168"/>
      <c r="X442" s="168"/>
      <c r="Y442" s="168"/>
      <c r="Z442" s="168"/>
      <c r="AA442" s="168"/>
    </row>
    <row r="443" customFormat="false" ht="15.75" hidden="false" customHeight="false" outlineLevel="0" collapsed="false">
      <c r="A443" s="168" t="str">
        <f aca="false">IF(ISBLANK(B443),"",B443&amp;"|"&amp;C443)</f>
        <v/>
      </c>
      <c r="B443" s="168"/>
      <c r="C443" s="168"/>
      <c r="D443" s="168"/>
      <c r="E443" s="175"/>
      <c r="F443" s="168"/>
      <c r="G443" s="168"/>
      <c r="H443" s="168"/>
      <c r="I443" s="168"/>
      <c r="J443" s="168"/>
      <c r="K443" s="168"/>
      <c r="L443" s="168"/>
      <c r="M443" s="168"/>
      <c r="N443" s="168"/>
      <c r="O443" s="168"/>
      <c r="P443" s="168"/>
      <c r="Q443" s="168"/>
      <c r="R443" s="168"/>
      <c r="S443" s="168"/>
      <c r="T443" s="168"/>
      <c r="U443" s="168"/>
      <c r="V443" s="168"/>
      <c r="W443" s="168"/>
      <c r="X443" s="168"/>
      <c r="Y443" s="168"/>
      <c r="Z443" s="168"/>
      <c r="AA443" s="168"/>
    </row>
    <row r="444" customFormat="false" ht="15.75" hidden="false" customHeight="false" outlineLevel="0" collapsed="false">
      <c r="A444" s="168" t="str">
        <f aca="false">IF(ISBLANK(B444),"",B444&amp;"|"&amp;C444)</f>
        <v/>
      </c>
      <c r="B444" s="168"/>
      <c r="C444" s="168"/>
      <c r="D444" s="168"/>
      <c r="E444" s="175"/>
      <c r="F444" s="168"/>
      <c r="G444" s="168"/>
      <c r="H444" s="168"/>
      <c r="I444" s="168"/>
      <c r="J444" s="168"/>
      <c r="K444" s="168"/>
      <c r="L444" s="168"/>
      <c r="M444" s="168"/>
      <c r="N444" s="168"/>
      <c r="O444" s="168"/>
      <c r="P444" s="168"/>
      <c r="Q444" s="168"/>
      <c r="R444" s="168"/>
      <c r="S444" s="168"/>
      <c r="T444" s="168"/>
      <c r="U444" s="168"/>
      <c r="V444" s="168"/>
      <c r="W444" s="168"/>
      <c r="X444" s="168"/>
      <c r="Y444" s="168"/>
      <c r="Z444" s="168"/>
      <c r="AA444" s="168"/>
    </row>
    <row r="445" customFormat="false" ht="15.75" hidden="false" customHeight="false" outlineLevel="0" collapsed="false">
      <c r="A445" s="168" t="str">
        <f aca="false">IF(ISBLANK(B445),"",B445&amp;"|"&amp;C445)</f>
        <v/>
      </c>
      <c r="B445" s="168"/>
      <c r="C445" s="168"/>
      <c r="D445" s="168"/>
      <c r="E445" s="175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  <c r="AA445" s="168"/>
    </row>
    <row r="446" customFormat="false" ht="15.75" hidden="false" customHeight="false" outlineLevel="0" collapsed="false">
      <c r="A446" s="168" t="str">
        <f aca="false">IF(ISBLANK(B446),"",B446&amp;"|"&amp;C446)</f>
        <v/>
      </c>
      <c r="B446" s="168"/>
      <c r="C446" s="168"/>
      <c r="D446" s="168"/>
      <c r="E446" s="175"/>
      <c r="F446" s="168"/>
      <c r="G446" s="168"/>
      <c r="H446" s="168"/>
      <c r="I446" s="168"/>
      <c r="J446" s="168"/>
      <c r="K446" s="168"/>
      <c r="L446" s="168"/>
      <c r="M446" s="168"/>
      <c r="N446" s="168"/>
      <c r="O446" s="168"/>
      <c r="P446" s="168"/>
      <c r="Q446" s="168"/>
      <c r="R446" s="168"/>
      <c r="S446" s="168"/>
      <c r="T446" s="168"/>
      <c r="U446" s="168"/>
      <c r="V446" s="168"/>
      <c r="W446" s="168"/>
      <c r="X446" s="168"/>
      <c r="Y446" s="168"/>
      <c r="Z446" s="168"/>
      <c r="AA446" s="168"/>
    </row>
    <row r="447" customFormat="false" ht="15.75" hidden="false" customHeight="false" outlineLevel="0" collapsed="false">
      <c r="A447" s="168" t="str">
        <f aca="false">IF(ISBLANK(B447),"",B447&amp;"|"&amp;C447)</f>
        <v/>
      </c>
      <c r="B447" s="168"/>
      <c r="C447" s="168"/>
      <c r="D447" s="168"/>
      <c r="E447" s="175"/>
      <c r="F447" s="168"/>
      <c r="G447" s="168"/>
      <c r="H447" s="168"/>
      <c r="I447" s="168"/>
      <c r="J447" s="168"/>
      <c r="K447" s="168"/>
      <c r="L447" s="168"/>
      <c r="M447" s="168"/>
      <c r="N447" s="168"/>
      <c r="O447" s="168"/>
      <c r="P447" s="168"/>
      <c r="Q447" s="168"/>
      <c r="R447" s="168"/>
      <c r="S447" s="168"/>
      <c r="T447" s="168"/>
      <c r="U447" s="168"/>
      <c r="V447" s="168"/>
      <c r="W447" s="168"/>
      <c r="X447" s="168"/>
      <c r="Y447" s="168"/>
      <c r="Z447" s="168"/>
      <c r="AA447" s="168"/>
    </row>
    <row r="448" customFormat="false" ht="15.75" hidden="false" customHeight="false" outlineLevel="0" collapsed="false">
      <c r="A448" s="168" t="str">
        <f aca="false">IF(ISBLANK(B448),"",B448&amp;"|"&amp;C448)</f>
        <v/>
      </c>
      <c r="B448" s="168"/>
      <c r="C448" s="168"/>
      <c r="D448" s="168"/>
      <c r="E448" s="175"/>
      <c r="F448" s="168"/>
      <c r="G448" s="168"/>
      <c r="H448" s="168"/>
      <c r="I448" s="168"/>
      <c r="J448" s="168"/>
      <c r="K448" s="168"/>
      <c r="L448" s="168"/>
      <c r="M448" s="168"/>
      <c r="N448" s="168"/>
      <c r="O448" s="168"/>
      <c r="P448" s="168"/>
      <c r="Q448" s="168"/>
      <c r="R448" s="168"/>
      <c r="S448" s="168"/>
      <c r="T448" s="168"/>
      <c r="U448" s="168"/>
      <c r="V448" s="168"/>
      <c r="W448" s="168"/>
      <c r="X448" s="168"/>
      <c r="Y448" s="168"/>
      <c r="Z448" s="168"/>
      <c r="AA448" s="168"/>
    </row>
    <row r="449" customFormat="false" ht="15.75" hidden="false" customHeight="false" outlineLevel="0" collapsed="false">
      <c r="A449" s="168" t="str">
        <f aca="false">IF(ISBLANK(B449),"",B449&amp;"|"&amp;C449)</f>
        <v/>
      </c>
      <c r="B449" s="168"/>
      <c r="C449" s="168"/>
      <c r="D449" s="168"/>
      <c r="E449" s="175"/>
      <c r="F449" s="168"/>
      <c r="G449" s="168"/>
      <c r="H449" s="168"/>
      <c r="I449" s="168"/>
      <c r="J449" s="168"/>
      <c r="K449" s="168"/>
      <c r="L449" s="168"/>
      <c r="M449" s="168"/>
      <c r="N449" s="168"/>
      <c r="O449" s="168"/>
      <c r="P449" s="168"/>
      <c r="Q449" s="168"/>
      <c r="R449" s="168"/>
      <c r="S449" s="168"/>
      <c r="T449" s="168"/>
      <c r="U449" s="168"/>
      <c r="V449" s="168"/>
      <c r="W449" s="168"/>
      <c r="X449" s="168"/>
      <c r="Y449" s="168"/>
      <c r="Z449" s="168"/>
      <c r="AA449" s="168"/>
    </row>
    <row r="450" customFormat="false" ht="15.75" hidden="false" customHeight="false" outlineLevel="0" collapsed="false">
      <c r="A450" s="168" t="str">
        <f aca="false">IF(ISBLANK(B450),"",B450&amp;"|"&amp;C450)</f>
        <v/>
      </c>
      <c r="B450" s="168"/>
      <c r="C450" s="168"/>
      <c r="D450" s="168"/>
      <c r="E450" s="175"/>
      <c r="F450" s="168"/>
      <c r="G450" s="168"/>
      <c r="H450" s="168"/>
      <c r="I450" s="168"/>
      <c r="J450" s="168"/>
      <c r="K450" s="168"/>
      <c r="L450" s="168"/>
      <c r="M450" s="168"/>
      <c r="N450" s="168"/>
      <c r="O450" s="168"/>
      <c r="P450" s="168"/>
      <c r="Q450" s="168"/>
      <c r="R450" s="168"/>
      <c r="S450" s="168"/>
      <c r="T450" s="168"/>
      <c r="U450" s="168"/>
      <c r="V450" s="168"/>
      <c r="W450" s="168"/>
      <c r="X450" s="168"/>
      <c r="Y450" s="168"/>
      <c r="Z450" s="168"/>
      <c r="AA450" s="168"/>
    </row>
    <row r="451" customFormat="false" ht="15.75" hidden="false" customHeight="false" outlineLevel="0" collapsed="false">
      <c r="A451" s="168" t="str">
        <f aca="false">IF(ISBLANK(B451),"",B451&amp;"|"&amp;C451)</f>
        <v/>
      </c>
      <c r="B451" s="168"/>
      <c r="C451" s="168"/>
      <c r="D451" s="168"/>
      <c r="E451" s="175"/>
      <c r="F451" s="168"/>
      <c r="G451" s="168"/>
      <c r="H451" s="168"/>
      <c r="I451" s="168"/>
      <c r="J451" s="168"/>
      <c r="K451" s="168"/>
      <c r="L451" s="168"/>
      <c r="M451" s="168"/>
      <c r="N451" s="168"/>
      <c r="O451" s="168"/>
      <c r="P451" s="168"/>
      <c r="Q451" s="168"/>
      <c r="R451" s="168"/>
      <c r="S451" s="168"/>
      <c r="T451" s="168"/>
      <c r="U451" s="168"/>
      <c r="V451" s="168"/>
      <c r="W451" s="168"/>
      <c r="X451" s="168"/>
      <c r="Y451" s="168"/>
      <c r="Z451" s="168"/>
      <c r="AA451" s="168"/>
    </row>
    <row r="452" customFormat="false" ht="15.75" hidden="false" customHeight="false" outlineLevel="0" collapsed="false">
      <c r="A452" s="168" t="str">
        <f aca="false">IF(ISBLANK(B452),"",B452&amp;"|"&amp;C452)</f>
        <v/>
      </c>
      <c r="B452" s="168"/>
      <c r="C452" s="168"/>
      <c r="D452" s="168"/>
      <c r="E452" s="175"/>
      <c r="F452" s="168"/>
      <c r="G452" s="168"/>
      <c r="H452" s="168"/>
      <c r="I452" s="168"/>
      <c r="J452" s="168"/>
      <c r="K452" s="168"/>
      <c r="L452" s="168"/>
      <c r="M452" s="168"/>
      <c r="N452" s="168"/>
      <c r="O452" s="168"/>
      <c r="P452" s="168"/>
      <c r="Q452" s="168"/>
      <c r="R452" s="168"/>
      <c r="S452" s="168"/>
      <c r="T452" s="168"/>
      <c r="U452" s="168"/>
      <c r="V452" s="168"/>
      <c r="W452" s="168"/>
      <c r="X452" s="168"/>
      <c r="Y452" s="168"/>
      <c r="Z452" s="168"/>
      <c r="AA452" s="168"/>
    </row>
    <row r="453" customFormat="false" ht="15.75" hidden="false" customHeight="false" outlineLevel="0" collapsed="false">
      <c r="A453" s="168" t="str">
        <f aca="false">IF(ISBLANK(B453),"",B453&amp;"|"&amp;C453)</f>
        <v/>
      </c>
      <c r="B453" s="168"/>
      <c r="C453" s="168"/>
      <c r="D453" s="168"/>
      <c r="E453" s="175"/>
      <c r="F453" s="168"/>
      <c r="G453" s="168"/>
      <c r="H453" s="168"/>
      <c r="I453" s="168"/>
      <c r="J453" s="168"/>
      <c r="K453" s="168"/>
      <c r="L453" s="168"/>
      <c r="M453" s="168"/>
      <c r="N453" s="168"/>
      <c r="O453" s="168"/>
      <c r="P453" s="168"/>
      <c r="Q453" s="168"/>
      <c r="R453" s="168"/>
      <c r="S453" s="168"/>
      <c r="T453" s="168"/>
      <c r="U453" s="168"/>
      <c r="V453" s="168"/>
      <c r="W453" s="168"/>
      <c r="X453" s="168"/>
      <c r="Y453" s="168"/>
      <c r="Z453" s="168"/>
      <c r="AA453" s="168"/>
    </row>
    <row r="454" customFormat="false" ht="15.75" hidden="false" customHeight="false" outlineLevel="0" collapsed="false">
      <c r="A454" s="168" t="str">
        <f aca="false">IF(ISBLANK(B454),"",B454&amp;"|"&amp;C454)</f>
        <v/>
      </c>
      <c r="B454" s="168"/>
      <c r="C454" s="168"/>
      <c r="D454" s="168"/>
      <c r="E454" s="175"/>
      <c r="F454" s="168"/>
      <c r="G454" s="168"/>
      <c r="H454" s="168"/>
      <c r="I454" s="168"/>
      <c r="J454" s="168"/>
      <c r="K454" s="168"/>
      <c r="L454" s="168"/>
      <c r="M454" s="168"/>
      <c r="N454" s="168"/>
      <c r="O454" s="168"/>
      <c r="P454" s="168"/>
      <c r="Q454" s="168"/>
      <c r="R454" s="168"/>
      <c r="S454" s="168"/>
      <c r="T454" s="168"/>
      <c r="U454" s="168"/>
      <c r="V454" s="168"/>
      <c r="W454" s="168"/>
      <c r="X454" s="168"/>
      <c r="Y454" s="168"/>
      <c r="Z454" s="168"/>
      <c r="AA454" s="168"/>
    </row>
    <row r="455" customFormat="false" ht="15.75" hidden="false" customHeight="false" outlineLevel="0" collapsed="false">
      <c r="A455" s="168" t="str">
        <f aca="false">IF(ISBLANK(B455),"",B455&amp;"|"&amp;C455)</f>
        <v/>
      </c>
      <c r="B455" s="168"/>
      <c r="C455" s="168"/>
      <c r="D455" s="168"/>
      <c r="E455" s="175"/>
      <c r="F455" s="168"/>
      <c r="G455" s="168"/>
      <c r="H455" s="168"/>
      <c r="I455" s="168"/>
      <c r="J455" s="168"/>
      <c r="K455" s="168"/>
      <c r="L455" s="168"/>
      <c r="M455" s="168"/>
      <c r="N455" s="168"/>
      <c r="O455" s="168"/>
      <c r="P455" s="168"/>
      <c r="Q455" s="168"/>
      <c r="R455" s="168"/>
      <c r="S455" s="168"/>
      <c r="T455" s="168"/>
      <c r="U455" s="168"/>
      <c r="V455" s="168"/>
      <c r="W455" s="168"/>
      <c r="X455" s="168"/>
      <c r="Y455" s="168"/>
      <c r="Z455" s="168"/>
      <c r="AA455" s="168"/>
    </row>
    <row r="456" customFormat="false" ht="15.75" hidden="false" customHeight="false" outlineLevel="0" collapsed="false">
      <c r="A456" s="168" t="str">
        <f aca="false">IF(ISBLANK(B456),"",B456&amp;"|"&amp;C456)</f>
        <v/>
      </c>
      <c r="B456" s="168"/>
      <c r="C456" s="168"/>
      <c r="D456" s="168"/>
      <c r="E456" s="175"/>
      <c r="F456" s="168"/>
      <c r="G456" s="168"/>
      <c r="H456" s="168"/>
      <c r="I456" s="168"/>
      <c r="J456" s="168"/>
      <c r="K456" s="168"/>
      <c r="L456" s="168"/>
      <c r="M456" s="168"/>
      <c r="N456" s="168"/>
      <c r="O456" s="168"/>
      <c r="P456" s="168"/>
      <c r="Q456" s="168"/>
      <c r="R456" s="168"/>
      <c r="S456" s="168"/>
      <c r="T456" s="168"/>
      <c r="U456" s="168"/>
      <c r="V456" s="168"/>
      <c r="W456" s="168"/>
      <c r="X456" s="168"/>
      <c r="Y456" s="168"/>
      <c r="Z456" s="168"/>
      <c r="AA456" s="168"/>
    </row>
    <row r="457" customFormat="false" ht="15.75" hidden="false" customHeight="false" outlineLevel="0" collapsed="false">
      <c r="A457" s="168" t="str">
        <f aca="false">IF(ISBLANK(B457),"",B457&amp;"|"&amp;C457)</f>
        <v/>
      </c>
      <c r="B457" s="168"/>
      <c r="C457" s="168"/>
      <c r="D457" s="168"/>
      <c r="E457" s="175"/>
      <c r="F457" s="168"/>
      <c r="G457" s="168"/>
      <c r="H457" s="168"/>
      <c r="I457" s="168"/>
      <c r="J457" s="168"/>
      <c r="K457" s="168"/>
      <c r="L457" s="168"/>
      <c r="M457" s="168"/>
      <c r="N457" s="168"/>
      <c r="O457" s="168"/>
      <c r="P457" s="168"/>
      <c r="Q457" s="168"/>
      <c r="R457" s="168"/>
      <c r="S457" s="168"/>
      <c r="T457" s="168"/>
      <c r="U457" s="168"/>
      <c r="V457" s="168"/>
      <c r="W457" s="168"/>
      <c r="X457" s="168"/>
      <c r="Y457" s="168"/>
      <c r="Z457" s="168"/>
      <c r="AA457" s="168"/>
    </row>
    <row r="458" customFormat="false" ht="15.75" hidden="false" customHeight="false" outlineLevel="0" collapsed="false">
      <c r="A458" s="168" t="str">
        <f aca="false">IF(ISBLANK(B458),"",B458&amp;"|"&amp;C458)</f>
        <v/>
      </c>
      <c r="B458" s="168"/>
      <c r="C458" s="168"/>
      <c r="D458" s="168"/>
      <c r="E458" s="175"/>
      <c r="F458" s="168"/>
      <c r="G458" s="168"/>
      <c r="H458" s="168"/>
      <c r="I458" s="168"/>
      <c r="J458" s="168"/>
      <c r="K458" s="168"/>
      <c r="L458" s="168"/>
      <c r="M458" s="168"/>
      <c r="N458" s="168"/>
      <c r="O458" s="168"/>
      <c r="P458" s="168"/>
      <c r="Q458" s="168"/>
      <c r="R458" s="168"/>
      <c r="S458" s="168"/>
      <c r="T458" s="168"/>
      <c r="U458" s="168"/>
      <c r="V458" s="168"/>
      <c r="W458" s="168"/>
      <c r="X458" s="168"/>
      <c r="Y458" s="168"/>
      <c r="Z458" s="168"/>
      <c r="AA458" s="168"/>
    </row>
    <row r="459" customFormat="false" ht="15.75" hidden="false" customHeight="false" outlineLevel="0" collapsed="false">
      <c r="A459" s="168" t="str">
        <f aca="false">IF(ISBLANK(B459),"",B459&amp;"|"&amp;C459)</f>
        <v/>
      </c>
      <c r="B459" s="168"/>
      <c r="C459" s="168"/>
      <c r="D459" s="168"/>
      <c r="E459" s="175"/>
      <c r="F459" s="168"/>
      <c r="G459" s="168"/>
      <c r="H459" s="168"/>
      <c r="I459" s="168"/>
      <c r="J459" s="168"/>
      <c r="K459" s="168"/>
      <c r="L459" s="168"/>
      <c r="M459" s="168"/>
      <c r="N459" s="168"/>
      <c r="O459" s="168"/>
      <c r="P459" s="168"/>
      <c r="Q459" s="168"/>
      <c r="R459" s="168"/>
      <c r="S459" s="168"/>
      <c r="T459" s="168"/>
      <c r="U459" s="168"/>
      <c r="V459" s="168"/>
      <c r="W459" s="168"/>
      <c r="X459" s="168"/>
      <c r="Y459" s="168"/>
      <c r="Z459" s="168"/>
      <c r="AA459" s="168"/>
    </row>
    <row r="460" customFormat="false" ht="15.75" hidden="false" customHeight="false" outlineLevel="0" collapsed="false">
      <c r="A460" s="168" t="str">
        <f aca="false">IF(ISBLANK(B460),"",B460&amp;"|"&amp;C460)</f>
        <v/>
      </c>
      <c r="B460" s="168"/>
      <c r="C460" s="168"/>
      <c r="D460" s="168"/>
      <c r="E460" s="175"/>
      <c r="F460" s="168"/>
      <c r="G460" s="168"/>
      <c r="H460" s="168"/>
      <c r="I460" s="168"/>
      <c r="J460" s="168"/>
      <c r="K460" s="168"/>
      <c r="L460" s="168"/>
      <c r="M460" s="168"/>
      <c r="N460" s="168"/>
      <c r="O460" s="168"/>
      <c r="P460" s="168"/>
      <c r="Q460" s="168"/>
      <c r="R460" s="168"/>
      <c r="S460" s="168"/>
      <c r="T460" s="168"/>
      <c r="U460" s="168"/>
      <c r="V460" s="168"/>
      <c r="W460" s="168"/>
      <c r="X460" s="168"/>
      <c r="Y460" s="168"/>
      <c r="Z460" s="168"/>
      <c r="AA460" s="168"/>
    </row>
    <row r="461" customFormat="false" ht="15.75" hidden="false" customHeight="false" outlineLevel="0" collapsed="false">
      <c r="A461" s="168" t="str">
        <f aca="false">IF(ISBLANK(B461),"",B461&amp;"|"&amp;C461)</f>
        <v/>
      </c>
      <c r="B461" s="168"/>
      <c r="C461" s="168"/>
      <c r="D461" s="168"/>
      <c r="E461" s="175"/>
      <c r="F461" s="168"/>
      <c r="G461" s="168"/>
      <c r="H461" s="168"/>
      <c r="I461" s="168"/>
      <c r="J461" s="168"/>
      <c r="K461" s="168"/>
      <c r="L461" s="168"/>
      <c r="M461" s="168"/>
      <c r="N461" s="168"/>
      <c r="O461" s="168"/>
      <c r="P461" s="168"/>
      <c r="Q461" s="168"/>
      <c r="R461" s="168"/>
      <c r="S461" s="168"/>
      <c r="T461" s="168"/>
      <c r="U461" s="168"/>
      <c r="V461" s="168"/>
      <c r="W461" s="168"/>
      <c r="X461" s="168"/>
      <c r="Y461" s="168"/>
      <c r="Z461" s="168"/>
      <c r="AA461" s="168"/>
    </row>
    <row r="462" customFormat="false" ht="15.75" hidden="false" customHeight="false" outlineLevel="0" collapsed="false">
      <c r="A462" s="168" t="str">
        <f aca="false">IF(ISBLANK(B462),"",B462&amp;"|"&amp;C462)</f>
        <v/>
      </c>
      <c r="B462" s="168"/>
      <c r="C462" s="168"/>
      <c r="D462" s="168"/>
      <c r="E462" s="175"/>
      <c r="F462" s="168"/>
      <c r="G462" s="168"/>
      <c r="H462" s="168"/>
      <c r="I462" s="168"/>
      <c r="J462" s="168"/>
      <c r="K462" s="168"/>
      <c r="L462" s="168"/>
      <c r="M462" s="168"/>
      <c r="N462" s="168"/>
      <c r="O462" s="168"/>
      <c r="P462" s="168"/>
      <c r="Q462" s="168"/>
      <c r="R462" s="168"/>
      <c r="S462" s="168"/>
      <c r="T462" s="168"/>
      <c r="U462" s="168"/>
      <c r="V462" s="168"/>
      <c r="W462" s="168"/>
      <c r="X462" s="168"/>
      <c r="Y462" s="168"/>
      <c r="Z462" s="168"/>
      <c r="AA462" s="168"/>
    </row>
    <row r="463" customFormat="false" ht="15.75" hidden="false" customHeight="false" outlineLevel="0" collapsed="false">
      <c r="A463" s="168" t="str">
        <f aca="false">IF(ISBLANK(B463),"",B463&amp;"|"&amp;C463)</f>
        <v/>
      </c>
      <c r="B463" s="168"/>
      <c r="C463" s="168"/>
      <c r="D463" s="168"/>
      <c r="E463" s="175"/>
      <c r="F463" s="168"/>
      <c r="G463" s="168"/>
      <c r="H463" s="168"/>
      <c r="I463" s="168"/>
      <c r="J463" s="168"/>
      <c r="K463" s="168"/>
      <c r="L463" s="168"/>
      <c r="M463" s="168"/>
      <c r="N463" s="168"/>
      <c r="O463" s="168"/>
      <c r="P463" s="168"/>
      <c r="Q463" s="168"/>
      <c r="R463" s="168"/>
      <c r="S463" s="168"/>
      <c r="T463" s="168"/>
      <c r="U463" s="168"/>
      <c r="V463" s="168"/>
      <c r="W463" s="168"/>
      <c r="X463" s="168"/>
      <c r="Y463" s="168"/>
      <c r="Z463" s="168"/>
      <c r="AA463" s="168"/>
    </row>
    <row r="464" customFormat="false" ht="15.75" hidden="false" customHeight="false" outlineLevel="0" collapsed="false">
      <c r="A464" s="168" t="str">
        <f aca="false">IF(ISBLANK(B464),"",B464&amp;"|"&amp;C464)</f>
        <v/>
      </c>
      <c r="B464" s="168"/>
      <c r="C464" s="168"/>
      <c r="D464" s="168"/>
      <c r="E464" s="175"/>
      <c r="F464" s="168"/>
      <c r="G464" s="168"/>
      <c r="H464" s="168"/>
      <c r="I464" s="168"/>
      <c r="J464" s="168"/>
      <c r="K464" s="168"/>
      <c r="L464" s="168"/>
      <c r="M464" s="168"/>
      <c r="N464" s="168"/>
      <c r="O464" s="168"/>
      <c r="P464" s="168"/>
      <c r="Q464" s="168"/>
      <c r="R464" s="168"/>
      <c r="S464" s="168"/>
      <c r="T464" s="168"/>
      <c r="U464" s="168"/>
      <c r="V464" s="168"/>
      <c r="W464" s="168"/>
      <c r="X464" s="168"/>
      <c r="Y464" s="168"/>
      <c r="Z464" s="168"/>
      <c r="AA464" s="168"/>
    </row>
    <row r="465" customFormat="false" ht="15.75" hidden="false" customHeight="false" outlineLevel="0" collapsed="false">
      <c r="A465" s="168" t="str">
        <f aca="false">IF(ISBLANK(B465),"",B465&amp;"|"&amp;C465)</f>
        <v/>
      </c>
      <c r="B465" s="168"/>
      <c r="C465" s="168"/>
      <c r="D465" s="168"/>
      <c r="E465" s="175"/>
      <c r="F465" s="168"/>
      <c r="G465" s="168"/>
      <c r="H465" s="168"/>
      <c r="I465" s="168"/>
      <c r="J465" s="168"/>
      <c r="K465" s="168"/>
      <c r="L465" s="168"/>
      <c r="M465" s="168"/>
      <c r="N465" s="168"/>
      <c r="O465" s="168"/>
      <c r="P465" s="168"/>
      <c r="Q465" s="168"/>
      <c r="R465" s="168"/>
      <c r="S465" s="168"/>
      <c r="T465" s="168"/>
      <c r="U465" s="168"/>
      <c r="V465" s="168"/>
      <c r="W465" s="168"/>
      <c r="X465" s="168"/>
      <c r="Y465" s="168"/>
      <c r="Z465" s="168"/>
      <c r="AA465" s="168"/>
    </row>
    <row r="466" customFormat="false" ht="15.75" hidden="false" customHeight="false" outlineLevel="0" collapsed="false">
      <c r="A466" s="168" t="str">
        <f aca="false">IF(ISBLANK(B466),"",B466&amp;"|"&amp;C466)</f>
        <v/>
      </c>
      <c r="B466" s="168"/>
      <c r="C466" s="168"/>
      <c r="D466" s="168"/>
      <c r="E466" s="175"/>
      <c r="F466" s="168"/>
      <c r="G466" s="168"/>
      <c r="H466" s="168"/>
      <c r="I466" s="168"/>
      <c r="J466" s="168"/>
      <c r="K466" s="168"/>
      <c r="L466" s="168"/>
      <c r="M466" s="168"/>
      <c r="N466" s="168"/>
      <c r="O466" s="168"/>
      <c r="P466" s="168"/>
      <c r="Q466" s="168"/>
      <c r="R466" s="168"/>
      <c r="S466" s="168"/>
      <c r="T466" s="168"/>
      <c r="U466" s="168"/>
      <c r="V466" s="168"/>
      <c r="W466" s="168"/>
      <c r="X466" s="168"/>
      <c r="Y466" s="168"/>
      <c r="Z466" s="168"/>
      <c r="AA466" s="168"/>
    </row>
    <row r="467" customFormat="false" ht="15.75" hidden="false" customHeight="false" outlineLevel="0" collapsed="false">
      <c r="A467" s="168" t="str">
        <f aca="false">IF(ISBLANK(B467),"",B467&amp;"|"&amp;C467)</f>
        <v/>
      </c>
      <c r="B467" s="168"/>
      <c r="C467" s="168"/>
      <c r="D467" s="168"/>
      <c r="E467" s="175"/>
      <c r="F467" s="168"/>
      <c r="G467" s="168"/>
      <c r="H467" s="168"/>
      <c r="I467" s="168"/>
      <c r="J467" s="168"/>
      <c r="K467" s="168"/>
      <c r="L467" s="168"/>
      <c r="M467" s="168"/>
      <c r="N467" s="168"/>
      <c r="O467" s="168"/>
      <c r="P467" s="168"/>
      <c r="Q467" s="168"/>
      <c r="R467" s="168"/>
      <c r="S467" s="168"/>
      <c r="T467" s="168"/>
      <c r="U467" s="168"/>
      <c r="V467" s="168"/>
      <c r="W467" s="168"/>
      <c r="X467" s="168"/>
      <c r="Y467" s="168"/>
      <c r="Z467" s="168"/>
      <c r="AA467" s="168"/>
    </row>
    <row r="468" customFormat="false" ht="15.75" hidden="false" customHeight="false" outlineLevel="0" collapsed="false">
      <c r="A468" s="168" t="str">
        <f aca="false">IF(ISBLANK(B468),"",B468&amp;"|"&amp;C468)</f>
        <v/>
      </c>
      <c r="B468" s="168"/>
      <c r="C468" s="168"/>
      <c r="D468" s="168"/>
      <c r="E468" s="175"/>
      <c r="F468" s="168"/>
      <c r="G468" s="168"/>
      <c r="H468" s="168"/>
      <c r="I468" s="168"/>
      <c r="J468" s="168"/>
      <c r="K468" s="168"/>
      <c r="L468" s="168"/>
      <c r="M468" s="168"/>
      <c r="N468" s="168"/>
      <c r="O468" s="168"/>
      <c r="P468" s="168"/>
      <c r="Q468" s="168"/>
      <c r="R468" s="168"/>
      <c r="S468" s="168"/>
      <c r="T468" s="168"/>
      <c r="U468" s="168"/>
      <c r="V468" s="168"/>
      <c r="W468" s="168"/>
      <c r="X468" s="168"/>
      <c r="Y468" s="168"/>
      <c r="Z468" s="168"/>
      <c r="AA468" s="168"/>
    </row>
    <row r="469" customFormat="false" ht="15.75" hidden="false" customHeight="false" outlineLevel="0" collapsed="false">
      <c r="A469" s="168" t="str">
        <f aca="false">IF(ISBLANK(B469),"",B469&amp;"|"&amp;C469)</f>
        <v/>
      </c>
      <c r="B469" s="168"/>
      <c r="C469" s="168"/>
      <c r="D469" s="168"/>
      <c r="E469" s="175"/>
      <c r="F469" s="168"/>
      <c r="G469" s="168"/>
      <c r="H469" s="168"/>
      <c r="I469" s="168"/>
      <c r="J469" s="168"/>
      <c r="K469" s="168"/>
      <c r="L469" s="168"/>
      <c r="M469" s="168"/>
      <c r="N469" s="168"/>
      <c r="O469" s="168"/>
      <c r="P469" s="168"/>
      <c r="Q469" s="168"/>
      <c r="R469" s="168"/>
      <c r="S469" s="168"/>
      <c r="T469" s="168"/>
      <c r="U469" s="168"/>
      <c r="V469" s="168"/>
      <c r="W469" s="168"/>
      <c r="X469" s="168"/>
      <c r="Y469" s="168"/>
      <c r="Z469" s="168"/>
      <c r="AA469" s="168"/>
    </row>
    <row r="470" customFormat="false" ht="15.75" hidden="false" customHeight="false" outlineLevel="0" collapsed="false">
      <c r="A470" s="168" t="str">
        <f aca="false">IF(ISBLANK(B470),"",B470&amp;"|"&amp;C470)</f>
        <v/>
      </c>
      <c r="B470" s="168"/>
      <c r="C470" s="168"/>
      <c r="D470" s="168"/>
      <c r="E470" s="175"/>
      <c r="F470" s="168"/>
      <c r="G470" s="168"/>
      <c r="H470" s="168"/>
      <c r="I470" s="168"/>
      <c r="J470" s="168"/>
      <c r="K470" s="168"/>
      <c r="L470" s="168"/>
      <c r="M470" s="168"/>
      <c r="N470" s="168"/>
      <c r="O470" s="168"/>
      <c r="P470" s="168"/>
      <c r="Q470" s="168"/>
      <c r="R470" s="168"/>
      <c r="S470" s="168"/>
      <c r="T470" s="168"/>
      <c r="U470" s="168"/>
      <c r="V470" s="168"/>
      <c r="W470" s="168"/>
      <c r="X470" s="168"/>
      <c r="Y470" s="168"/>
      <c r="Z470" s="168"/>
      <c r="AA470" s="168"/>
    </row>
    <row r="471" customFormat="false" ht="15.75" hidden="false" customHeight="false" outlineLevel="0" collapsed="false">
      <c r="A471" s="168" t="str">
        <f aca="false">IF(ISBLANK(B471),"",B471&amp;"|"&amp;C471)</f>
        <v/>
      </c>
      <c r="B471" s="168"/>
      <c r="C471" s="168"/>
      <c r="D471" s="168"/>
      <c r="E471" s="175"/>
      <c r="F471" s="168"/>
      <c r="G471" s="168"/>
      <c r="H471" s="168"/>
      <c r="I471" s="168"/>
      <c r="J471" s="168"/>
      <c r="K471" s="168"/>
      <c r="L471" s="168"/>
      <c r="M471" s="168"/>
      <c r="N471" s="168"/>
      <c r="O471" s="168"/>
      <c r="P471" s="168"/>
      <c r="Q471" s="168"/>
      <c r="R471" s="168"/>
      <c r="S471" s="168"/>
      <c r="T471" s="168"/>
      <c r="U471" s="168"/>
      <c r="V471" s="168"/>
      <c r="W471" s="168"/>
      <c r="X471" s="168"/>
      <c r="Y471" s="168"/>
      <c r="Z471" s="168"/>
      <c r="AA471" s="168"/>
    </row>
    <row r="472" customFormat="false" ht="15.75" hidden="false" customHeight="false" outlineLevel="0" collapsed="false">
      <c r="A472" s="168" t="str">
        <f aca="false">IF(ISBLANK(B472),"",B472&amp;"|"&amp;C472)</f>
        <v/>
      </c>
      <c r="B472" s="168"/>
      <c r="C472" s="168"/>
      <c r="D472" s="168"/>
      <c r="E472" s="175"/>
      <c r="F472" s="168"/>
      <c r="G472" s="168"/>
      <c r="H472" s="168"/>
      <c r="I472" s="168"/>
      <c r="J472" s="168"/>
      <c r="K472" s="168"/>
      <c r="L472" s="168"/>
      <c r="M472" s="168"/>
      <c r="N472" s="168"/>
      <c r="O472" s="168"/>
      <c r="P472" s="168"/>
      <c r="Q472" s="168"/>
      <c r="R472" s="168"/>
      <c r="S472" s="168"/>
      <c r="T472" s="168"/>
      <c r="U472" s="168"/>
      <c r="V472" s="168"/>
      <c r="W472" s="168"/>
      <c r="X472" s="168"/>
      <c r="Y472" s="168"/>
      <c r="Z472" s="168"/>
      <c r="AA472" s="168"/>
    </row>
    <row r="473" customFormat="false" ht="15.75" hidden="false" customHeight="false" outlineLevel="0" collapsed="false">
      <c r="A473" s="168" t="str">
        <f aca="false">IF(ISBLANK(B473),"",B473&amp;"|"&amp;C473)</f>
        <v/>
      </c>
      <c r="B473" s="168"/>
      <c r="C473" s="168"/>
      <c r="D473" s="168"/>
      <c r="E473" s="175"/>
      <c r="F473" s="168"/>
      <c r="G473" s="168"/>
      <c r="H473" s="168"/>
      <c r="I473" s="168"/>
      <c r="J473" s="168"/>
      <c r="K473" s="168"/>
      <c r="L473" s="168"/>
      <c r="M473" s="168"/>
      <c r="N473" s="168"/>
      <c r="O473" s="168"/>
      <c r="P473" s="168"/>
      <c r="Q473" s="168"/>
      <c r="R473" s="168"/>
      <c r="S473" s="168"/>
      <c r="T473" s="168"/>
      <c r="U473" s="168"/>
      <c r="V473" s="168"/>
      <c r="W473" s="168"/>
      <c r="X473" s="168"/>
      <c r="Y473" s="168"/>
      <c r="Z473" s="168"/>
      <c r="AA473" s="168"/>
    </row>
    <row r="474" customFormat="false" ht="15.75" hidden="false" customHeight="false" outlineLevel="0" collapsed="false">
      <c r="A474" s="168" t="str">
        <f aca="false">IF(ISBLANK(B474),"",B474&amp;"|"&amp;C474)</f>
        <v/>
      </c>
      <c r="B474" s="168"/>
      <c r="C474" s="168"/>
      <c r="D474" s="168"/>
      <c r="E474" s="175"/>
      <c r="F474" s="168"/>
      <c r="G474" s="168"/>
      <c r="H474" s="168"/>
      <c r="I474" s="168"/>
      <c r="J474" s="168"/>
      <c r="K474" s="168"/>
      <c r="L474" s="168"/>
      <c r="M474" s="168"/>
      <c r="N474" s="168"/>
      <c r="O474" s="168"/>
      <c r="P474" s="168"/>
      <c r="Q474" s="168"/>
      <c r="R474" s="168"/>
      <c r="S474" s="168"/>
      <c r="T474" s="168"/>
      <c r="U474" s="168"/>
      <c r="V474" s="168"/>
      <c r="W474" s="168"/>
      <c r="X474" s="168"/>
      <c r="Y474" s="168"/>
      <c r="Z474" s="168"/>
      <c r="AA474" s="168"/>
    </row>
    <row r="475" customFormat="false" ht="15.75" hidden="false" customHeight="false" outlineLevel="0" collapsed="false">
      <c r="A475" s="168" t="str">
        <f aca="false">IF(ISBLANK(B475),"",B475&amp;"|"&amp;C475)</f>
        <v/>
      </c>
      <c r="B475" s="168"/>
      <c r="C475" s="168"/>
      <c r="D475" s="168"/>
      <c r="E475" s="175"/>
      <c r="F475" s="168"/>
      <c r="G475" s="168"/>
      <c r="H475" s="168"/>
      <c r="I475" s="168"/>
      <c r="J475" s="168"/>
      <c r="K475" s="168"/>
      <c r="L475" s="168"/>
      <c r="M475" s="168"/>
      <c r="N475" s="168"/>
      <c r="O475" s="168"/>
      <c r="P475" s="168"/>
      <c r="Q475" s="168"/>
      <c r="R475" s="168"/>
      <c r="S475" s="168"/>
      <c r="T475" s="168"/>
      <c r="U475" s="168"/>
      <c r="V475" s="168"/>
      <c r="W475" s="168"/>
      <c r="X475" s="168"/>
      <c r="Y475" s="168"/>
      <c r="Z475" s="168"/>
      <c r="AA475" s="168"/>
    </row>
    <row r="476" customFormat="false" ht="15.75" hidden="false" customHeight="false" outlineLevel="0" collapsed="false">
      <c r="A476" s="168" t="str">
        <f aca="false">IF(ISBLANK(B476),"",B476&amp;"|"&amp;C476)</f>
        <v/>
      </c>
      <c r="B476" s="168"/>
      <c r="C476" s="168"/>
      <c r="D476" s="168"/>
      <c r="E476" s="175"/>
      <c r="F476" s="168"/>
      <c r="G476" s="168"/>
      <c r="H476" s="168"/>
      <c r="I476" s="168"/>
      <c r="J476" s="168"/>
      <c r="K476" s="168"/>
      <c r="L476" s="168"/>
      <c r="M476" s="168"/>
      <c r="N476" s="168"/>
      <c r="O476" s="168"/>
      <c r="P476" s="168"/>
      <c r="Q476" s="168"/>
      <c r="R476" s="168"/>
      <c r="S476" s="168"/>
      <c r="T476" s="168"/>
      <c r="U476" s="168"/>
      <c r="V476" s="168"/>
      <c r="W476" s="168"/>
      <c r="X476" s="168"/>
      <c r="Y476" s="168"/>
      <c r="Z476" s="168"/>
      <c r="AA476" s="168"/>
    </row>
    <row r="477" customFormat="false" ht="15.75" hidden="false" customHeight="false" outlineLevel="0" collapsed="false">
      <c r="A477" s="168" t="str">
        <f aca="false">IF(ISBLANK(B477),"",B477&amp;"|"&amp;C477)</f>
        <v/>
      </c>
      <c r="B477" s="168"/>
      <c r="C477" s="168"/>
      <c r="D477" s="168"/>
      <c r="E477" s="175"/>
      <c r="F477" s="168"/>
      <c r="G477" s="168"/>
      <c r="H477" s="168"/>
      <c r="I477" s="168"/>
      <c r="J477" s="168"/>
      <c r="K477" s="168"/>
      <c r="L477" s="168"/>
      <c r="M477" s="168"/>
      <c r="N477" s="168"/>
      <c r="O477" s="168"/>
      <c r="P477" s="168"/>
      <c r="Q477" s="168"/>
      <c r="R477" s="168"/>
      <c r="S477" s="168"/>
      <c r="T477" s="168"/>
      <c r="U477" s="168"/>
      <c r="V477" s="168"/>
      <c r="W477" s="168"/>
      <c r="X477" s="168"/>
      <c r="Y477" s="168"/>
      <c r="Z477" s="168"/>
      <c r="AA477" s="168"/>
    </row>
    <row r="478" customFormat="false" ht="15.75" hidden="false" customHeight="false" outlineLevel="0" collapsed="false">
      <c r="A478" s="168" t="str">
        <f aca="false">IF(ISBLANK(B478),"",B478&amp;"|"&amp;C478)</f>
        <v/>
      </c>
      <c r="B478" s="168"/>
      <c r="C478" s="168"/>
      <c r="D478" s="168"/>
      <c r="E478" s="175"/>
      <c r="F478" s="168"/>
      <c r="G478" s="168"/>
      <c r="H478" s="168"/>
      <c r="I478" s="168"/>
      <c r="J478" s="168"/>
      <c r="K478" s="168"/>
      <c r="L478" s="168"/>
      <c r="M478" s="168"/>
      <c r="N478" s="168"/>
      <c r="O478" s="168"/>
      <c r="P478" s="168"/>
      <c r="Q478" s="168"/>
      <c r="R478" s="168"/>
      <c r="S478" s="168"/>
      <c r="T478" s="168"/>
      <c r="U478" s="168"/>
      <c r="V478" s="168"/>
      <c r="W478" s="168"/>
      <c r="X478" s="168"/>
      <c r="Y478" s="168"/>
      <c r="Z478" s="168"/>
      <c r="AA478" s="168"/>
    </row>
    <row r="479" customFormat="false" ht="15.75" hidden="false" customHeight="false" outlineLevel="0" collapsed="false">
      <c r="A479" s="168" t="str">
        <f aca="false">IF(ISBLANK(B479),"",B479&amp;"|"&amp;C479)</f>
        <v/>
      </c>
      <c r="B479" s="168"/>
      <c r="C479" s="168"/>
      <c r="D479" s="168"/>
      <c r="E479" s="175"/>
      <c r="F479" s="168"/>
      <c r="G479" s="168"/>
      <c r="H479" s="168"/>
      <c r="I479" s="168"/>
      <c r="J479" s="168"/>
      <c r="K479" s="168"/>
      <c r="L479" s="168"/>
      <c r="M479" s="168"/>
      <c r="N479" s="168"/>
      <c r="O479" s="168"/>
      <c r="P479" s="168"/>
      <c r="Q479" s="168"/>
      <c r="R479" s="168"/>
      <c r="S479" s="168"/>
      <c r="T479" s="168"/>
      <c r="U479" s="168"/>
      <c r="V479" s="168"/>
      <c r="W479" s="168"/>
      <c r="X479" s="168"/>
      <c r="Y479" s="168"/>
      <c r="Z479" s="168"/>
      <c r="AA479" s="168"/>
    </row>
    <row r="480" customFormat="false" ht="15.75" hidden="false" customHeight="false" outlineLevel="0" collapsed="false">
      <c r="A480" s="168" t="str">
        <f aca="false">IF(ISBLANK(B480),"",B480&amp;"|"&amp;C480)</f>
        <v/>
      </c>
      <c r="B480" s="168"/>
      <c r="C480" s="168"/>
      <c r="D480" s="168"/>
      <c r="E480" s="175"/>
      <c r="F480" s="168"/>
      <c r="G480" s="168"/>
      <c r="H480" s="168"/>
      <c r="I480" s="168"/>
      <c r="J480" s="168"/>
      <c r="K480" s="168"/>
      <c r="L480" s="168"/>
      <c r="M480" s="168"/>
      <c r="N480" s="168"/>
      <c r="O480" s="168"/>
      <c r="P480" s="168"/>
      <c r="Q480" s="168"/>
      <c r="R480" s="168"/>
      <c r="S480" s="168"/>
      <c r="T480" s="168"/>
      <c r="U480" s="168"/>
      <c r="V480" s="168"/>
      <c r="W480" s="168"/>
      <c r="X480" s="168"/>
      <c r="Y480" s="168"/>
      <c r="Z480" s="168"/>
      <c r="AA480" s="168"/>
    </row>
    <row r="481" customFormat="false" ht="15.75" hidden="false" customHeight="false" outlineLevel="0" collapsed="false">
      <c r="A481" s="168" t="str">
        <f aca="false">IF(ISBLANK(B481),"",B481&amp;"|"&amp;C481)</f>
        <v/>
      </c>
      <c r="B481" s="168"/>
      <c r="C481" s="168"/>
      <c r="D481" s="168"/>
      <c r="E481" s="175"/>
      <c r="F481" s="168"/>
      <c r="G481" s="168"/>
      <c r="H481" s="168"/>
      <c r="I481" s="168"/>
      <c r="J481" s="168"/>
      <c r="K481" s="168"/>
      <c r="L481" s="168"/>
      <c r="M481" s="168"/>
      <c r="N481" s="168"/>
      <c r="O481" s="168"/>
      <c r="P481" s="168"/>
      <c r="Q481" s="168"/>
      <c r="R481" s="168"/>
      <c r="S481" s="168"/>
      <c r="T481" s="168"/>
      <c r="U481" s="168"/>
      <c r="V481" s="168"/>
      <c r="W481" s="168"/>
      <c r="X481" s="168"/>
      <c r="Y481" s="168"/>
      <c r="Z481" s="168"/>
      <c r="AA481" s="168"/>
    </row>
    <row r="482" customFormat="false" ht="15.75" hidden="false" customHeight="false" outlineLevel="0" collapsed="false">
      <c r="A482" s="168" t="str">
        <f aca="false">IF(ISBLANK(B482),"",B482&amp;"|"&amp;C482)</f>
        <v/>
      </c>
      <c r="B482" s="168"/>
      <c r="C482" s="168"/>
      <c r="D482" s="168"/>
      <c r="E482" s="175"/>
      <c r="F482" s="168"/>
      <c r="G482" s="168"/>
      <c r="H482" s="168"/>
      <c r="I482" s="168"/>
      <c r="J482" s="168"/>
      <c r="K482" s="168"/>
      <c r="L482" s="168"/>
      <c r="M482" s="168"/>
      <c r="N482" s="168"/>
      <c r="O482" s="168"/>
      <c r="P482" s="168"/>
      <c r="Q482" s="168"/>
      <c r="R482" s="168"/>
      <c r="S482" s="168"/>
      <c r="T482" s="168"/>
      <c r="U482" s="168"/>
      <c r="V482" s="168"/>
      <c r="W482" s="168"/>
      <c r="X482" s="168"/>
      <c r="Y482" s="168"/>
      <c r="Z482" s="168"/>
      <c r="AA482" s="168"/>
    </row>
    <row r="483" customFormat="false" ht="15.75" hidden="false" customHeight="false" outlineLevel="0" collapsed="false">
      <c r="A483" s="168" t="str">
        <f aca="false">IF(ISBLANK(B483),"",B483&amp;"|"&amp;C483)</f>
        <v/>
      </c>
      <c r="B483" s="168"/>
      <c r="C483" s="168"/>
      <c r="D483" s="168"/>
      <c r="E483" s="175"/>
      <c r="F483" s="168"/>
      <c r="G483" s="168"/>
      <c r="H483" s="168"/>
      <c r="I483" s="168"/>
      <c r="J483" s="168"/>
      <c r="K483" s="168"/>
      <c r="L483" s="168"/>
      <c r="M483" s="168"/>
      <c r="N483" s="168"/>
      <c r="O483" s="168"/>
      <c r="P483" s="168"/>
      <c r="Q483" s="168"/>
      <c r="R483" s="168"/>
      <c r="S483" s="168"/>
      <c r="T483" s="168"/>
      <c r="U483" s="168"/>
      <c r="V483" s="168"/>
      <c r="W483" s="168"/>
      <c r="X483" s="168"/>
      <c r="Y483" s="168"/>
      <c r="Z483" s="168"/>
      <c r="AA483" s="168"/>
    </row>
    <row r="484" customFormat="false" ht="15.75" hidden="false" customHeight="false" outlineLevel="0" collapsed="false">
      <c r="A484" s="168" t="str">
        <f aca="false">IF(ISBLANK(B484),"",B484&amp;"|"&amp;C484)</f>
        <v/>
      </c>
      <c r="B484" s="168"/>
      <c r="C484" s="168"/>
      <c r="D484" s="168"/>
      <c r="E484" s="175"/>
      <c r="F484" s="168"/>
      <c r="G484" s="168"/>
      <c r="H484" s="168"/>
      <c r="I484" s="168"/>
      <c r="J484" s="168"/>
      <c r="K484" s="168"/>
      <c r="L484" s="168"/>
      <c r="M484" s="168"/>
      <c r="N484" s="168"/>
      <c r="O484" s="168"/>
      <c r="P484" s="168"/>
      <c r="Q484" s="168"/>
      <c r="R484" s="168"/>
      <c r="S484" s="168"/>
      <c r="T484" s="168"/>
      <c r="U484" s="168"/>
      <c r="V484" s="168"/>
      <c r="W484" s="168"/>
      <c r="X484" s="168"/>
      <c r="Y484" s="168"/>
      <c r="Z484" s="168"/>
      <c r="AA484" s="168"/>
    </row>
    <row r="485" customFormat="false" ht="15.75" hidden="false" customHeight="false" outlineLevel="0" collapsed="false">
      <c r="A485" s="168" t="str">
        <f aca="false">IF(ISBLANK(B485),"",B485&amp;"|"&amp;C485)</f>
        <v/>
      </c>
      <c r="B485" s="168"/>
      <c r="C485" s="168"/>
      <c r="D485" s="168"/>
      <c r="E485" s="175"/>
      <c r="F485" s="168"/>
      <c r="G485" s="168"/>
      <c r="H485" s="168"/>
      <c r="I485" s="168"/>
      <c r="J485" s="168"/>
      <c r="K485" s="168"/>
      <c r="L485" s="168"/>
      <c r="M485" s="168"/>
      <c r="N485" s="168"/>
      <c r="O485" s="168"/>
      <c r="P485" s="168"/>
      <c r="Q485" s="168"/>
      <c r="R485" s="168"/>
      <c r="S485" s="168"/>
      <c r="T485" s="168"/>
      <c r="U485" s="168"/>
      <c r="V485" s="168"/>
      <c r="W485" s="168"/>
      <c r="X485" s="168"/>
      <c r="Y485" s="168"/>
      <c r="Z485" s="168"/>
      <c r="AA485" s="168"/>
    </row>
    <row r="486" customFormat="false" ht="15.75" hidden="false" customHeight="false" outlineLevel="0" collapsed="false">
      <c r="A486" s="168" t="str">
        <f aca="false">IF(ISBLANK(B486),"",B486&amp;"|"&amp;C486)</f>
        <v/>
      </c>
      <c r="B486" s="168"/>
      <c r="C486" s="168"/>
      <c r="D486" s="168"/>
      <c r="E486" s="175"/>
      <c r="F486" s="168"/>
      <c r="G486" s="168"/>
      <c r="H486" s="168"/>
      <c r="I486" s="168"/>
      <c r="J486" s="168"/>
      <c r="K486" s="168"/>
      <c r="L486" s="168"/>
      <c r="M486" s="168"/>
      <c r="N486" s="168"/>
      <c r="O486" s="168"/>
      <c r="P486" s="168"/>
      <c r="Q486" s="168"/>
      <c r="R486" s="168"/>
      <c r="S486" s="168"/>
      <c r="T486" s="168"/>
      <c r="U486" s="168"/>
      <c r="V486" s="168"/>
      <c r="W486" s="168"/>
      <c r="X486" s="168"/>
      <c r="Y486" s="168"/>
      <c r="Z486" s="168"/>
      <c r="AA486" s="168"/>
    </row>
    <row r="487" customFormat="false" ht="15.75" hidden="false" customHeight="false" outlineLevel="0" collapsed="false">
      <c r="A487" s="168" t="str">
        <f aca="false">IF(ISBLANK(B487),"",B487&amp;"|"&amp;C487)</f>
        <v/>
      </c>
      <c r="B487" s="168"/>
      <c r="C487" s="168"/>
      <c r="D487" s="168"/>
      <c r="E487" s="175"/>
      <c r="F487" s="168"/>
      <c r="G487" s="168"/>
      <c r="H487" s="168"/>
      <c r="I487" s="168"/>
      <c r="J487" s="168"/>
      <c r="K487" s="168"/>
      <c r="L487" s="168"/>
      <c r="M487" s="168"/>
      <c r="N487" s="168"/>
      <c r="O487" s="168"/>
      <c r="P487" s="168"/>
      <c r="Q487" s="168"/>
      <c r="R487" s="168"/>
      <c r="S487" s="168"/>
      <c r="T487" s="168"/>
      <c r="U487" s="168"/>
      <c r="V487" s="168"/>
      <c r="W487" s="168"/>
      <c r="X487" s="168"/>
      <c r="Y487" s="168"/>
      <c r="Z487" s="168"/>
      <c r="AA487" s="168"/>
    </row>
    <row r="488" customFormat="false" ht="15.75" hidden="false" customHeight="false" outlineLevel="0" collapsed="false">
      <c r="A488" s="168" t="str">
        <f aca="false">IF(ISBLANK(B488),"",B488&amp;"|"&amp;C488)</f>
        <v/>
      </c>
      <c r="B488" s="168"/>
      <c r="C488" s="168"/>
      <c r="D488" s="168"/>
      <c r="E488" s="175"/>
      <c r="F488" s="168"/>
      <c r="G488" s="168"/>
      <c r="H488" s="168"/>
      <c r="I488" s="168"/>
      <c r="J488" s="168"/>
      <c r="K488" s="168"/>
      <c r="L488" s="168"/>
      <c r="M488" s="168"/>
      <c r="N488" s="168"/>
      <c r="O488" s="168"/>
      <c r="P488" s="168"/>
      <c r="Q488" s="168"/>
      <c r="R488" s="168"/>
      <c r="S488" s="168"/>
      <c r="T488" s="168"/>
      <c r="U488" s="168"/>
      <c r="V488" s="168"/>
      <c r="W488" s="168"/>
      <c r="X488" s="168"/>
      <c r="Y488" s="168"/>
      <c r="Z488" s="168"/>
      <c r="AA488" s="168"/>
    </row>
    <row r="489" customFormat="false" ht="15.75" hidden="false" customHeight="false" outlineLevel="0" collapsed="false">
      <c r="A489" s="168" t="str">
        <f aca="false">IF(ISBLANK(B489),"",B489&amp;"|"&amp;C489)</f>
        <v/>
      </c>
      <c r="B489" s="168"/>
      <c r="C489" s="168"/>
      <c r="D489" s="168"/>
      <c r="E489" s="175"/>
      <c r="F489" s="168"/>
      <c r="G489" s="168"/>
      <c r="H489" s="168"/>
      <c r="I489" s="168"/>
      <c r="J489" s="168"/>
      <c r="K489" s="168"/>
      <c r="L489" s="168"/>
      <c r="M489" s="168"/>
      <c r="N489" s="168"/>
      <c r="O489" s="168"/>
      <c r="P489" s="168"/>
      <c r="Q489" s="168"/>
      <c r="R489" s="168"/>
      <c r="S489" s="168"/>
      <c r="T489" s="168"/>
      <c r="U489" s="168"/>
      <c r="V489" s="168"/>
      <c r="W489" s="168"/>
      <c r="X489" s="168"/>
      <c r="Y489" s="168"/>
      <c r="Z489" s="168"/>
      <c r="AA489" s="168"/>
    </row>
    <row r="490" customFormat="false" ht="15.75" hidden="false" customHeight="false" outlineLevel="0" collapsed="false">
      <c r="A490" s="168" t="str">
        <f aca="false">IF(ISBLANK(B490),"",B490&amp;"|"&amp;C490)</f>
        <v/>
      </c>
      <c r="B490" s="168"/>
      <c r="C490" s="168"/>
      <c r="D490" s="168"/>
      <c r="E490" s="175"/>
      <c r="F490" s="168"/>
      <c r="G490" s="168"/>
      <c r="H490" s="168"/>
      <c r="I490" s="168"/>
      <c r="J490" s="168"/>
      <c r="K490" s="168"/>
      <c r="L490" s="168"/>
      <c r="M490" s="168"/>
      <c r="N490" s="168"/>
      <c r="O490" s="168"/>
      <c r="P490" s="168"/>
      <c r="Q490" s="168"/>
      <c r="R490" s="168"/>
      <c r="S490" s="168"/>
      <c r="T490" s="168"/>
      <c r="U490" s="168"/>
      <c r="V490" s="168"/>
      <c r="W490" s="168"/>
      <c r="X490" s="168"/>
      <c r="Y490" s="168"/>
      <c r="Z490" s="168"/>
      <c r="AA490" s="168"/>
    </row>
    <row r="491" customFormat="false" ht="15.75" hidden="false" customHeight="false" outlineLevel="0" collapsed="false">
      <c r="A491" s="168" t="str">
        <f aca="false">IF(ISBLANK(B491),"",B491&amp;"|"&amp;C491)</f>
        <v/>
      </c>
      <c r="B491" s="168"/>
      <c r="C491" s="168"/>
      <c r="D491" s="168"/>
      <c r="E491" s="175"/>
      <c r="F491" s="168"/>
      <c r="G491" s="168"/>
      <c r="H491" s="168"/>
      <c r="I491" s="168"/>
      <c r="J491" s="168"/>
      <c r="K491" s="168"/>
      <c r="L491" s="168"/>
      <c r="M491" s="168"/>
      <c r="N491" s="168"/>
      <c r="O491" s="168"/>
      <c r="P491" s="168"/>
      <c r="Q491" s="168"/>
      <c r="R491" s="168"/>
      <c r="S491" s="168"/>
      <c r="T491" s="168"/>
      <c r="U491" s="168"/>
      <c r="V491" s="168"/>
      <c r="W491" s="168"/>
      <c r="X491" s="168"/>
      <c r="Y491" s="168"/>
      <c r="Z491" s="168"/>
      <c r="AA491" s="168"/>
    </row>
    <row r="492" customFormat="false" ht="15.75" hidden="false" customHeight="false" outlineLevel="0" collapsed="false">
      <c r="A492" s="168" t="str">
        <f aca="false">IF(ISBLANK(B492),"",B492&amp;"|"&amp;C492)</f>
        <v/>
      </c>
      <c r="B492" s="168"/>
      <c r="C492" s="168"/>
      <c r="D492" s="168"/>
      <c r="E492" s="175"/>
      <c r="F492" s="168"/>
      <c r="G492" s="168"/>
      <c r="H492" s="168"/>
      <c r="I492" s="168"/>
      <c r="J492" s="168"/>
      <c r="K492" s="168"/>
      <c r="L492" s="168"/>
      <c r="M492" s="168"/>
      <c r="N492" s="168"/>
      <c r="O492" s="168"/>
      <c r="P492" s="168"/>
      <c r="Q492" s="168"/>
      <c r="R492" s="168"/>
      <c r="S492" s="168"/>
      <c r="T492" s="168"/>
      <c r="U492" s="168"/>
      <c r="V492" s="168"/>
      <c r="W492" s="168"/>
      <c r="X492" s="168"/>
      <c r="Y492" s="168"/>
      <c r="Z492" s="168"/>
      <c r="AA492" s="168"/>
    </row>
    <row r="493" customFormat="false" ht="15.75" hidden="false" customHeight="false" outlineLevel="0" collapsed="false">
      <c r="A493" s="168" t="str">
        <f aca="false">IF(ISBLANK(B493),"",B493&amp;"|"&amp;C493)</f>
        <v/>
      </c>
      <c r="B493" s="168"/>
      <c r="C493" s="168"/>
      <c r="D493" s="168"/>
      <c r="E493" s="175"/>
      <c r="F493" s="168"/>
      <c r="G493" s="168"/>
      <c r="H493" s="168"/>
      <c r="I493" s="168"/>
      <c r="J493" s="168"/>
      <c r="K493" s="168"/>
      <c r="L493" s="168"/>
      <c r="M493" s="168"/>
      <c r="N493" s="168"/>
      <c r="O493" s="168"/>
      <c r="P493" s="168"/>
      <c r="Q493" s="168"/>
      <c r="R493" s="168"/>
      <c r="S493" s="168"/>
      <c r="T493" s="168"/>
      <c r="U493" s="168"/>
      <c r="V493" s="168"/>
      <c r="W493" s="168"/>
      <c r="X493" s="168"/>
      <c r="Y493" s="168"/>
      <c r="Z493" s="168"/>
      <c r="AA493" s="168"/>
    </row>
    <row r="494" customFormat="false" ht="15.75" hidden="false" customHeight="false" outlineLevel="0" collapsed="false">
      <c r="A494" s="168" t="str">
        <f aca="false">IF(ISBLANK(B494),"",B494&amp;"|"&amp;C494)</f>
        <v/>
      </c>
      <c r="B494" s="168"/>
      <c r="C494" s="168"/>
      <c r="D494" s="168"/>
      <c r="E494" s="175"/>
      <c r="F494" s="168"/>
      <c r="G494" s="168"/>
      <c r="H494" s="168"/>
      <c r="I494" s="168"/>
      <c r="J494" s="168"/>
      <c r="K494" s="168"/>
      <c r="L494" s="168"/>
      <c r="M494" s="168"/>
      <c r="N494" s="168"/>
      <c r="O494" s="168"/>
      <c r="P494" s="168"/>
      <c r="Q494" s="168"/>
      <c r="R494" s="168"/>
      <c r="S494" s="168"/>
      <c r="T494" s="168"/>
      <c r="U494" s="168"/>
      <c r="V494" s="168"/>
      <c r="W494" s="168"/>
      <c r="X494" s="168"/>
      <c r="Y494" s="168"/>
      <c r="Z494" s="168"/>
      <c r="AA494" s="168"/>
    </row>
    <row r="495" customFormat="false" ht="15.75" hidden="false" customHeight="false" outlineLevel="0" collapsed="false">
      <c r="A495" s="168" t="str">
        <f aca="false">IF(ISBLANK(B495),"",B495&amp;"|"&amp;C495)</f>
        <v/>
      </c>
      <c r="B495" s="168"/>
      <c r="C495" s="168"/>
      <c r="D495" s="168"/>
      <c r="E495" s="175"/>
      <c r="F495" s="168"/>
      <c r="G495" s="168"/>
      <c r="H495" s="168"/>
      <c r="I495" s="168"/>
      <c r="J495" s="168"/>
      <c r="K495" s="168"/>
      <c r="L495" s="168"/>
      <c r="M495" s="168"/>
      <c r="N495" s="168"/>
      <c r="O495" s="168"/>
      <c r="P495" s="168"/>
      <c r="Q495" s="168"/>
      <c r="R495" s="168"/>
      <c r="S495" s="168"/>
      <c r="T495" s="168"/>
      <c r="U495" s="168"/>
      <c r="V495" s="168"/>
      <c r="W495" s="168"/>
      <c r="X495" s="168"/>
      <c r="Y495" s="168"/>
      <c r="Z495" s="168"/>
      <c r="AA495" s="168"/>
    </row>
    <row r="496" customFormat="false" ht="15.75" hidden="false" customHeight="false" outlineLevel="0" collapsed="false">
      <c r="A496" s="168" t="str">
        <f aca="false">IF(ISBLANK(B496),"",B496&amp;"|"&amp;C496)</f>
        <v/>
      </c>
      <c r="B496" s="168"/>
      <c r="C496" s="168"/>
      <c r="D496" s="168"/>
      <c r="E496" s="175"/>
      <c r="F496" s="168"/>
      <c r="G496" s="168"/>
      <c r="H496" s="168"/>
      <c r="I496" s="168"/>
      <c r="J496" s="168"/>
      <c r="K496" s="168"/>
      <c r="L496" s="168"/>
      <c r="M496" s="168"/>
      <c r="N496" s="168"/>
      <c r="O496" s="168"/>
      <c r="P496" s="168"/>
      <c r="Q496" s="168"/>
      <c r="R496" s="168"/>
      <c r="S496" s="168"/>
      <c r="T496" s="168"/>
      <c r="U496" s="168"/>
      <c r="V496" s="168"/>
      <c r="W496" s="168"/>
      <c r="X496" s="168"/>
      <c r="Y496" s="168"/>
      <c r="Z496" s="168"/>
      <c r="AA496" s="168"/>
    </row>
    <row r="497" customFormat="false" ht="15.75" hidden="false" customHeight="false" outlineLevel="0" collapsed="false">
      <c r="A497" s="168" t="str">
        <f aca="false">IF(ISBLANK(B497),"",B497&amp;"|"&amp;C497)</f>
        <v/>
      </c>
      <c r="B497" s="168"/>
      <c r="C497" s="168"/>
      <c r="D497" s="168"/>
      <c r="E497" s="175"/>
      <c r="F497" s="168"/>
      <c r="G497" s="168"/>
      <c r="H497" s="168"/>
      <c r="I497" s="168"/>
      <c r="J497" s="168"/>
      <c r="K497" s="168"/>
      <c r="L497" s="168"/>
      <c r="M497" s="168"/>
      <c r="N497" s="168"/>
      <c r="O497" s="168"/>
      <c r="P497" s="168"/>
      <c r="Q497" s="168"/>
      <c r="R497" s="168"/>
      <c r="S497" s="168"/>
      <c r="T497" s="168"/>
      <c r="U497" s="168"/>
      <c r="V497" s="168"/>
      <c r="W497" s="168"/>
      <c r="X497" s="168"/>
      <c r="Y497" s="168"/>
      <c r="Z497" s="168"/>
      <c r="AA497" s="168"/>
    </row>
    <row r="498" customFormat="false" ht="15.75" hidden="false" customHeight="false" outlineLevel="0" collapsed="false">
      <c r="A498" s="168" t="str">
        <f aca="false">IF(ISBLANK(B498),"",B498&amp;"|"&amp;C498)</f>
        <v/>
      </c>
      <c r="B498" s="168"/>
      <c r="C498" s="168"/>
      <c r="D498" s="168"/>
      <c r="E498" s="175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  <c r="AA498" s="168"/>
    </row>
    <row r="499" customFormat="false" ht="15.75" hidden="false" customHeight="false" outlineLevel="0" collapsed="false">
      <c r="A499" s="168" t="str">
        <f aca="false">IF(ISBLANK(B499),"",B499&amp;"|"&amp;C499)</f>
        <v/>
      </c>
      <c r="B499" s="168"/>
      <c r="C499" s="168"/>
      <c r="D499" s="168"/>
      <c r="E499" s="175"/>
      <c r="F499" s="168"/>
      <c r="G499" s="168"/>
      <c r="H499" s="168"/>
      <c r="I499" s="168"/>
      <c r="J499" s="168"/>
      <c r="K499" s="168"/>
      <c r="L499" s="168"/>
      <c r="M499" s="168"/>
      <c r="N499" s="168"/>
      <c r="O499" s="168"/>
      <c r="P499" s="168"/>
      <c r="Q499" s="168"/>
      <c r="R499" s="168"/>
      <c r="S499" s="168"/>
      <c r="T499" s="168"/>
      <c r="U499" s="168"/>
      <c r="V499" s="168"/>
      <c r="W499" s="168"/>
      <c r="X499" s="168"/>
      <c r="Y499" s="168"/>
      <c r="Z499" s="168"/>
      <c r="AA499" s="168"/>
    </row>
    <row r="500" customFormat="false" ht="15.75" hidden="false" customHeight="false" outlineLevel="0" collapsed="false">
      <c r="A500" s="168" t="str">
        <f aca="false">IF(ISBLANK(B500),"",B500&amp;"|"&amp;C500)</f>
        <v/>
      </c>
      <c r="B500" s="168"/>
      <c r="C500" s="168"/>
      <c r="D500" s="168"/>
      <c r="E500" s="175"/>
      <c r="F500" s="168"/>
      <c r="G500" s="168"/>
      <c r="H500" s="168"/>
      <c r="I500" s="168"/>
      <c r="J500" s="168"/>
      <c r="K500" s="168"/>
      <c r="L500" s="168"/>
      <c r="M500" s="168"/>
      <c r="N500" s="168"/>
      <c r="O500" s="168"/>
      <c r="P500" s="168"/>
      <c r="Q500" s="168"/>
      <c r="R500" s="168"/>
      <c r="S500" s="168"/>
      <c r="T500" s="168"/>
      <c r="U500" s="168"/>
      <c r="V500" s="168"/>
      <c r="W500" s="168"/>
      <c r="X500" s="168"/>
      <c r="Y500" s="168"/>
      <c r="Z500" s="168"/>
      <c r="AA500" s="168"/>
    </row>
    <row r="501" customFormat="false" ht="15.75" hidden="false" customHeight="false" outlineLevel="0" collapsed="false">
      <c r="A501" s="168" t="str">
        <f aca="false">IF(ISBLANK(B501),"",B501&amp;"|"&amp;C501)</f>
        <v/>
      </c>
      <c r="B501" s="168"/>
      <c r="C501" s="168"/>
      <c r="D501" s="168"/>
      <c r="E501" s="175"/>
      <c r="F501" s="168"/>
      <c r="G501" s="168"/>
      <c r="H501" s="168"/>
      <c r="I501" s="168"/>
      <c r="J501" s="168"/>
      <c r="K501" s="168"/>
      <c r="L501" s="168"/>
      <c r="M501" s="168"/>
      <c r="N501" s="168"/>
      <c r="O501" s="168"/>
      <c r="P501" s="168"/>
      <c r="Q501" s="168"/>
      <c r="R501" s="168"/>
      <c r="S501" s="168"/>
      <c r="T501" s="168"/>
      <c r="U501" s="168"/>
      <c r="V501" s="168"/>
      <c r="W501" s="168"/>
      <c r="X501" s="168"/>
      <c r="Y501" s="168"/>
      <c r="Z501" s="168"/>
      <c r="AA501" s="168"/>
    </row>
    <row r="502" customFormat="false" ht="15.75" hidden="false" customHeight="false" outlineLevel="0" collapsed="false">
      <c r="A502" s="168" t="str">
        <f aca="false">IF(ISBLANK(B502),"",B502&amp;"|"&amp;C502)</f>
        <v/>
      </c>
      <c r="B502" s="168"/>
      <c r="C502" s="168"/>
      <c r="D502" s="168"/>
      <c r="E502" s="175"/>
      <c r="F502" s="168"/>
      <c r="G502" s="168"/>
      <c r="H502" s="168"/>
      <c r="I502" s="168"/>
      <c r="J502" s="168"/>
      <c r="K502" s="168"/>
      <c r="L502" s="168"/>
      <c r="M502" s="168"/>
      <c r="N502" s="168"/>
      <c r="O502" s="168"/>
      <c r="P502" s="168"/>
      <c r="Q502" s="168"/>
      <c r="R502" s="168"/>
      <c r="S502" s="168"/>
      <c r="T502" s="168"/>
      <c r="U502" s="168"/>
      <c r="V502" s="168"/>
      <c r="W502" s="168"/>
      <c r="X502" s="168"/>
      <c r="Y502" s="168"/>
      <c r="Z502" s="168"/>
      <c r="AA502" s="168"/>
    </row>
    <row r="503" customFormat="false" ht="15.75" hidden="false" customHeight="false" outlineLevel="0" collapsed="false">
      <c r="A503" s="168" t="str">
        <f aca="false">IF(ISBLANK(B503),"",B503&amp;"|"&amp;C503)</f>
        <v/>
      </c>
      <c r="B503" s="168"/>
      <c r="C503" s="168"/>
      <c r="D503" s="168"/>
      <c r="E503" s="175"/>
      <c r="F503" s="168"/>
      <c r="G503" s="168"/>
      <c r="H503" s="168"/>
      <c r="I503" s="168"/>
      <c r="J503" s="168"/>
      <c r="K503" s="168"/>
      <c r="L503" s="168"/>
      <c r="M503" s="168"/>
      <c r="N503" s="168"/>
      <c r="O503" s="168"/>
      <c r="P503" s="168"/>
      <c r="Q503" s="168"/>
      <c r="R503" s="168"/>
      <c r="S503" s="168"/>
      <c r="T503" s="168"/>
      <c r="U503" s="168"/>
      <c r="V503" s="168"/>
      <c r="W503" s="168"/>
      <c r="X503" s="168"/>
      <c r="Y503" s="168"/>
      <c r="Z503" s="168"/>
      <c r="AA503" s="168"/>
    </row>
    <row r="504" customFormat="false" ht="15.75" hidden="false" customHeight="false" outlineLevel="0" collapsed="false">
      <c r="A504" s="168" t="str">
        <f aca="false">IF(ISBLANK(B504),"",B504&amp;"|"&amp;C504)</f>
        <v/>
      </c>
      <c r="B504" s="168"/>
      <c r="C504" s="168"/>
      <c r="D504" s="168"/>
      <c r="E504" s="175"/>
      <c r="F504" s="168"/>
      <c r="G504" s="168"/>
      <c r="H504" s="168"/>
      <c r="I504" s="168"/>
      <c r="J504" s="168"/>
      <c r="K504" s="168"/>
      <c r="L504" s="168"/>
      <c r="M504" s="168"/>
      <c r="N504" s="168"/>
      <c r="O504" s="168"/>
      <c r="P504" s="168"/>
      <c r="Q504" s="168"/>
      <c r="R504" s="168"/>
      <c r="S504" s="168"/>
      <c r="T504" s="168"/>
      <c r="U504" s="168"/>
      <c r="V504" s="168"/>
      <c r="W504" s="168"/>
      <c r="X504" s="168"/>
      <c r="Y504" s="168"/>
      <c r="Z504" s="168"/>
      <c r="AA504" s="168"/>
    </row>
    <row r="505" customFormat="false" ht="15.75" hidden="false" customHeight="false" outlineLevel="0" collapsed="false">
      <c r="A505" s="168" t="str">
        <f aca="false">IF(ISBLANK(B505),"",B505&amp;"|"&amp;C505)</f>
        <v/>
      </c>
      <c r="B505" s="168"/>
      <c r="C505" s="168"/>
      <c r="D505" s="168"/>
      <c r="E505" s="175"/>
      <c r="F505" s="168"/>
      <c r="G505" s="168"/>
      <c r="H505" s="168"/>
      <c r="I505" s="168"/>
      <c r="J505" s="168"/>
      <c r="K505" s="168"/>
      <c r="L505" s="168"/>
      <c r="M505" s="168"/>
      <c r="N505" s="168"/>
      <c r="O505" s="168"/>
      <c r="P505" s="168"/>
      <c r="Q505" s="168"/>
      <c r="R505" s="168"/>
      <c r="S505" s="168"/>
      <c r="T505" s="168"/>
      <c r="U505" s="168"/>
      <c r="V505" s="168"/>
      <c r="W505" s="168"/>
      <c r="X505" s="168"/>
      <c r="Y505" s="168"/>
      <c r="Z505" s="168"/>
      <c r="AA505" s="168"/>
    </row>
    <row r="506" customFormat="false" ht="15.75" hidden="false" customHeight="false" outlineLevel="0" collapsed="false">
      <c r="A506" s="168" t="str">
        <f aca="false">IF(ISBLANK(B506),"",B506&amp;"|"&amp;C506)</f>
        <v/>
      </c>
      <c r="B506" s="168"/>
      <c r="C506" s="168"/>
      <c r="D506" s="168"/>
      <c r="E506" s="175"/>
      <c r="F506" s="168"/>
      <c r="G506" s="168"/>
      <c r="H506" s="168"/>
      <c r="I506" s="168"/>
      <c r="J506" s="168"/>
      <c r="K506" s="168"/>
      <c r="L506" s="168"/>
      <c r="M506" s="168"/>
      <c r="N506" s="168"/>
      <c r="O506" s="168"/>
      <c r="P506" s="168"/>
      <c r="Q506" s="168"/>
      <c r="R506" s="168"/>
      <c r="S506" s="168"/>
      <c r="T506" s="168"/>
      <c r="U506" s="168"/>
      <c r="V506" s="168"/>
      <c r="W506" s="168"/>
      <c r="X506" s="168"/>
      <c r="Y506" s="168"/>
      <c r="Z506" s="168"/>
      <c r="AA506" s="168"/>
    </row>
    <row r="507" customFormat="false" ht="15.75" hidden="false" customHeight="false" outlineLevel="0" collapsed="false">
      <c r="A507" s="168" t="str">
        <f aca="false">IF(ISBLANK(B507),"",B507&amp;"|"&amp;C507)</f>
        <v/>
      </c>
      <c r="B507" s="168"/>
      <c r="C507" s="168"/>
      <c r="D507" s="168"/>
      <c r="E507" s="175"/>
      <c r="F507" s="168"/>
      <c r="G507" s="168"/>
      <c r="H507" s="168"/>
      <c r="I507" s="168"/>
      <c r="J507" s="168"/>
      <c r="K507" s="168"/>
      <c r="L507" s="168"/>
      <c r="M507" s="168"/>
      <c r="N507" s="168"/>
      <c r="O507" s="168"/>
      <c r="P507" s="168"/>
      <c r="Q507" s="168"/>
      <c r="R507" s="168"/>
      <c r="S507" s="168"/>
      <c r="T507" s="168"/>
      <c r="U507" s="168"/>
      <c r="V507" s="168"/>
      <c r="W507" s="168"/>
      <c r="X507" s="168"/>
      <c r="Y507" s="168"/>
      <c r="Z507" s="168"/>
      <c r="AA507" s="168"/>
    </row>
    <row r="508" customFormat="false" ht="15.75" hidden="false" customHeight="false" outlineLevel="0" collapsed="false">
      <c r="A508" s="168" t="str">
        <f aca="false">IF(ISBLANK(B508),"",B508&amp;"|"&amp;C508)</f>
        <v/>
      </c>
      <c r="B508" s="168"/>
      <c r="C508" s="168"/>
      <c r="D508" s="168"/>
      <c r="E508" s="175"/>
      <c r="F508" s="168"/>
      <c r="G508" s="168"/>
      <c r="H508" s="168"/>
      <c r="I508" s="168"/>
      <c r="J508" s="168"/>
      <c r="K508" s="168"/>
      <c r="L508" s="168"/>
      <c r="M508" s="168"/>
      <c r="N508" s="168"/>
      <c r="O508" s="168"/>
      <c r="P508" s="168"/>
      <c r="Q508" s="168"/>
      <c r="R508" s="168"/>
      <c r="S508" s="168"/>
      <c r="T508" s="168"/>
      <c r="U508" s="168"/>
      <c r="V508" s="168"/>
      <c r="W508" s="168"/>
      <c r="X508" s="168"/>
      <c r="Y508" s="168"/>
      <c r="Z508" s="168"/>
      <c r="AA508" s="168"/>
    </row>
    <row r="509" customFormat="false" ht="15.75" hidden="false" customHeight="false" outlineLevel="0" collapsed="false">
      <c r="A509" s="168" t="str">
        <f aca="false">IF(ISBLANK(B509),"",B509&amp;"|"&amp;C509)</f>
        <v/>
      </c>
      <c r="B509" s="168"/>
      <c r="C509" s="168"/>
      <c r="D509" s="168"/>
      <c r="E509" s="175"/>
      <c r="F509" s="168"/>
      <c r="G509" s="168"/>
      <c r="H509" s="168"/>
      <c r="I509" s="168"/>
      <c r="J509" s="168"/>
      <c r="K509" s="168"/>
      <c r="L509" s="168"/>
      <c r="M509" s="168"/>
      <c r="N509" s="168"/>
      <c r="O509" s="168"/>
      <c r="P509" s="168"/>
      <c r="Q509" s="168"/>
      <c r="R509" s="168"/>
      <c r="S509" s="168"/>
      <c r="T509" s="168"/>
      <c r="U509" s="168"/>
      <c r="V509" s="168"/>
      <c r="W509" s="168"/>
      <c r="X509" s="168"/>
      <c r="Y509" s="168"/>
      <c r="Z509" s="168"/>
      <c r="AA509" s="168"/>
    </row>
    <row r="510" customFormat="false" ht="15.75" hidden="false" customHeight="false" outlineLevel="0" collapsed="false">
      <c r="A510" s="168" t="str">
        <f aca="false">IF(ISBLANK(B510),"",B510&amp;"|"&amp;C510)</f>
        <v/>
      </c>
      <c r="B510" s="168"/>
      <c r="C510" s="168"/>
      <c r="D510" s="168"/>
      <c r="E510" s="175"/>
      <c r="F510" s="168"/>
      <c r="G510" s="168"/>
      <c r="H510" s="168"/>
      <c r="I510" s="168"/>
      <c r="J510" s="168"/>
      <c r="K510" s="168"/>
      <c r="L510" s="168"/>
      <c r="M510" s="168"/>
      <c r="N510" s="168"/>
      <c r="O510" s="168"/>
      <c r="P510" s="168"/>
      <c r="Q510" s="168"/>
      <c r="R510" s="168"/>
      <c r="S510" s="168"/>
      <c r="T510" s="168"/>
      <c r="U510" s="168"/>
      <c r="V510" s="168"/>
      <c r="W510" s="168"/>
      <c r="X510" s="168"/>
      <c r="Y510" s="168"/>
      <c r="Z510" s="168"/>
      <c r="AA510" s="168"/>
    </row>
    <row r="511" customFormat="false" ht="15.75" hidden="false" customHeight="false" outlineLevel="0" collapsed="false">
      <c r="A511" s="168" t="str">
        <f aca="false">IF(ISBLANK(B511),"",B511&amp;"|"&amp;C511)</f>
        <v/>
      </c>
      <c r="B511" s="168"/>
      <c r="C511" s="168"/>
      <c r="D511" s="168"/>
      <c r="E511" s="175"/>
      <c r="F511" s="168"/>
      <c r="G511" s="168"/>
      <c r="H511" s="168"/>
      <c r="I511" s="168"/>
      <c r="J511" s="168"/>
      <c r="K511" s="168"/>
      <c r="L511" s="168"/>
      <c r="M511" s="168"/>
      <c r="N511" s="168"/>
      <c r="O511" s="168"/>
      <c r="P511" s="168"/>
      <c r="Q511" s="168"/>
      <c r="R511" s="168"/>
      <c r="S511" s="168"/>
      <c r="T511" s="168"/>
      <c r="U511" s="168"/>
      <c r="V511" s="168"/>
      <c r="W511" s="168"/>
      <c r="X511" s="168"/>
      <c r="Y511" s="168"/>
      <c r="Z511" s="168"/>
      <c r="AA511" s="168"/>
    </row>
    <row r="512" customFormat="false" ht="15.75" hidden="false" customHeight="false" outlineLevel="0" collapsed="false">
      <c r="A512" s="168" t="str">
        <f aca="false">IF(ISBLANK(B512),"",B512&amp;"|"&amp;C512)</f>
        <v/>
      </c>
      <c r="B512" s="168"/>
      <c r="C512" s="168"/>
      <c r="D512" s="168"/>
      <c r="E512" s="175"/>
      <c r="F512" s="168"/>
      <c r="G512" s="168"/>
      <c r="H512" s="168"/>
      <c r="I512" s="168"/>
      <c r="J512" s="168"/>
      <c r="K512" s="168"/>
      <c r="L512" s="168"/>
      <c r="M512" s="168"/>
      <c r="N512" s="168"/>
      <c r="O512" s="168"/>
      <c r="P512" s="168"/>
      <c r="Q512" s="168"/>
      <c r="R512" s="168"/>
      <c r="S512" s="168"/>
      <c r="T512" s="168"/>
      <c r="U512" s="168"/>
      <c r="V512" s="168"/>
      <c r="W512" s="168"/>
      <c r="X512" s="168"/>
      <c r="Y512" s="168"/>
      <c r="Z512" s="168"/>
      <c r="AA512" s="168"/>
    </row>
    <row r="513" customFormat="false" ht="15.75" hidden="false" customHeight="false" outlineLevel="0" collapsed="false">
      <c r="A513" s="168" t="str">
        <f aca="false">IF(ISBLANK(B513),"",B513&amp;"|"&amp;C513)</f>
        <v/>
      </c>
      <c r="B513" s="168"/>
      <c r="C513" s="168"/>
      <c r="D513" s="168"/>
      <c r="E513" s="175"/>
      <c r="F513" s="168"/>
      <c r="G513" s="168"/>
      <c r="H513" s="168"/>
      <c r="I513" s="168"/>
      <c r="J513" s="168"/>
      <c r="K513" s="168"/>
      <c r="L513" s="168"/>
      <c r="M513" s="168"/>
      <c r="N513" s="168"/>
      <c r="O513" s="168"/>
      <c r="P513" s="168"/>
      <c r="Q513" s="168"/>
      <c r="R513" s="168"/>
      <c r="S513" s="168"/>
      <c r="T513" s="168"/>
      <c r="U513" s="168"/>
      <c r="V513" s="168"/>
      <c r="W513" s="168"/>
      <c r="X513" s="168"/>
      <c r="Y513" s="168"/>
      <c r="Z513" s="168"/>
      <c r="AA513" s="168"/>
    </row>
    <row r="514" customFormat="false" ht="15.75" hidden="false" customHeight="false" outlineLevel="0" collapsed="false">
      <c r="A514" s="168" t="str">
        <f aca="false">IF(ISBLANK(B514),"",B514&amp;"|"&amp;C514)</f>
        <v/>
      </c>
      <c r="B514" s="168"/>
      <c r="C514" s="168"/>
      <c r="D514" s="168"/>
      <c r="E514" s="175"/>
      <c r="F514" s="168"/>
      <c r="G514" s="168"/>
      <c r="H514" s="168"/>
      <c r="I514" s="168"/>
      <c r="J514" s="168"/>
      <c r="K514" s="168"/>
      <c r="L514" s="168"/>
      <c r="M514" s="168"/>
      <c r="N514" s="168"/>
      <c r="O514" s="168"/>
      <c r="P514" s="168"/>
      <c r="Q514" s="168"/>
      <c r="R514" s="168"/>
      <c r="S514" s="168"/>
      <c r="T514" s="168"/>
      <c r="U514" s="168"/>
      <c r="V514" s="168"/>
      <c r="W514" s="168"/>
      <c r="X514" s="168"/>
      <c r="Y514" s="168"/>
      <c r="Z514" s="168"/>
      <c r="AA514" s="168"/>
    </row>
    <row r="515" customFormat="false" ht="15.75" hidden="false" customHeight="false" outlineLevel="0" collapsed="false">
      <c r="A515" s="168" t="str">
        <f aca="false">IF(ISBLANK(B515),"",B515&amp;"|"&amp;C515)</f>
        <v/>
      </c>
      <c r="B515" s="168"/>
      <c r="C515" s="168"/>
      <c r="D515" s="168"/>
      <c r="E515" s="175"/>
      <c r="F515" s="168"/>
      <c r="G515" s="168"/>
      <c r="H515" s="168"/>
      <c r="I515" s="168"/>
      <c r="J515" s="168"/>
      <c r="K515" s="168"/>
      <c r="L515" s="168"/>
      <c r="M515" s="168"/>
      <c r="N515" s="168"/>
      <c r="O515" s="168"/>
      <c r="P515" s="168"/>
      <c r="Q515" s="168"/>
      <c r="R515" s="168"/>
      <c r="S515" s="168"/>
      <c r="T515" s="168"/>
      <c r="U515" s="168"/>
      <c r="V515" s="168"/>
      <c r="W515" s="168"/>
      <c r="X515" s="168"/>
      <c r="Y515" s="168"/>
      <c r="Z515" s="168"/>
      <c r="AA515" s="168"/>
    </row>
    <row r="516" customFormat="false" ht="15.75" hidden="false" customHeight="false" outlineLevel="0" collapsed="false">
      <c r="A516" s="168" t="str">
        <f aca="false">IF(ISBLANK(B516),"",B516&amp;"|"&amp;C516)</f>
        <v/>
      </c>
      <c r="B516" s="168"/>
      <c r="C516" s="168"/>
      <c r="D516" s="168"/>
      <c r="E516" s="175"/>
      <c r="F516" s="168"/>
      <c r="G516" s="168"/>
      <c r="H516" s="168"/>
      <c r="I516" s="168"/>
      <c r="J516" s="168"/>
      <c r="K516" s="168"/>
      <c r="L516" s="168"/>
      <c r="M516" s="168"/>
      <c r="N516" s="168"/>
      <c r="O516" s="168"/>
      <c r="P516" s="168"/>
      <c r="Q516" s="168"/>
      <c r="R516" s="168"/>
      <c r="S516" s="168"/>
      <c r="T516" s="168"/>
      <c r="U516" s="168"/>
      <c r="V516" s="168"/>
      <c r="W516" s="168"/>
      <c r="X516" s="168"/>
      <c r="Y516" s="168"/>
      <c r="Z516" s="168"/>
      <c r="AA516" s="168"/>
    </row>
    <row r="517" customFormat="false" ht="15.75" hidden="false" customHeight="false" outlineLevel="0" collapsed="false">
      <c r="A517" s="168" t="str">
        <f aca="false">IF(ISBLANK(B517),"",B517&amp;"|"&amp;C517)</f>
        <v/>
      </c>
      <c r="B517" s="168"/>
      <c r="C517" s="168"/>
      <c r="D517" s="168"/>
      <c r="E517" s="175"/>
      <c r="F517" s="168"/>
      <c r="G517" s="168"/>
      <c r="H517" s="168"/>
      <c r="I517" s="168"/>
      <c r="J517" s="168"/>
      <c r="K517" s="168"/>
      <c r="L517" s="168"/>
      <c r="M517" s="168"/>
      <c r="N517" s="168"/>
      <c r="O517" s="168"/>
      <c r="P517" s="168"/>
      <c r="Q517" s="168"/>
      <c r="R517" s="168"/>
      <c r="S517" s="168"/>
      <c r="T517" s="168"/>
      <c r="U517" s="168"/>
      <c r="V517" s="168"/>
      <c r="W517" s="168"/>
      <c r="X517" s="168"/>
      <c r="Y517" s="168"/>
      <c r="Z517" s="168"/>
      <c r="AA517" s="168"/>
    </row>
    <row r="518" customFormat="false" ht="15.75" hidden="false" customHeight="false" outlineLevel="0" collapsed="false">
      <c r="A518" s="168" t="str">
        <f aca="false">IF(ISBLANK(B518),"",B518&amp;"|"&amp;C518)</f>
        <v/>
      </c>
      <c r="B518" s="168"/>
      <c r="C518" s="168"/>
      <c r="D518" s="168"/>
      <c r="E518" s="175"/>
      <c r="F518" s="168"/>
      <c r="G518" s="168"/>
      <c r="H518" s="168"/>
      <c r="I518" s="168"/>
      <c r="J518" s="168"/>
      <c r="K518" s="168"/>
      <c r="L518" s="168"/>
      <c r="M518" s="168"/>
      <c r="N518" s="168"/>
      <c r="O518" s="168"/>
      <c r="P518" s="168"/>
      <c r="Q518" s="168"/>
      <c r="R518" s="168"/>
      <c r="S518" s="168"/>
      <c r="T518" s="168"/>
      <c r="U518" s="168"/>
      <c r="V518" s="168"/>
      <c r="W518" s="168"/>
      <c r="X518" s="168"/>
      <c r="Y518" s="168"/>
      <c r="Z518" s="168"/>
      <c r="AA518" s="168"/>
    </row>
    <row r="519" customFormat="false" ht="15.75" hidden="false" customHeight="false" outlineLevel="0" collapsed="false">
      <c r="A519" s="168" t="str">
        <f aca="false">IF(ISBLANK(B519),"",B519&amp;"|"&amp;C519)</f>
        <v/>
      </c>
      <c r="B519" s="168"/>
      <c r="C519" s="168"/>
      <c r="D519" s="168"/>
      <c r="E519" s="175"/>
      <c r="F519" s="168"/>
      <c r="G519" s="168"/>
      <c r="H519" s="168"/>
      <c r="I519" s="168"/>
      <c r="J519" s="168"/>
      <c r="K519" s="168"/>
      <c r="L519" s="168"/>
      <c r="M519" s="168"/>
      <c r="N519" s="168"/>
      <c r="O519" s="168"/>
      <c r="P519" s="168"/>
      <c r="Q519" s="168"/>
      <c r="R519" s="168"/>
      <c r="S519" s="168"/>
      <c r="T519" s="168"/>
      <c r="U519" s="168"/>
      <c r="V519" s="168"/>
      <c r="W519" s="168"/>
      <c r="X519" s="168"/>
      <c r="Y519" s="168"/>
      <c r="Z519" s="168"/>
      <c r="AA519" s="168"/>
    </row>
    <row r="520" customFormat="false" ht="15.75" hidden="false" customHeight="false" outlineLevel="0" collapsed="false">
      <c r="A520" s="168" t="str">
        <f aca="false">IF(ISBLANK(B520),"",B520&amp;"|"&amp;C520)</f>
        <v/>
      </c>
      <c r="B520" s="168"/>
      <c r="C520" s="168"/>
      <c r="D520" s="168"/>
      <c r="E520" s="175"/>
      <c r="F520" s="168"/>
      <c r="G520" s="168"/>
      <c r="H520" s="168"/>
      <c r="I520" s="168"/>
      <c r="J520" s="168"/>
      <c r="K520" s="168"/>
      <c r="L520" s="168"/>
      <c r="M520" s="168"/>
      <c r="N520" s="168"/>
      <c r="O520" s="168"/>
      <c r="P520" s="168"/>
      <c r="Q520" s="168"/>
      <c r="R520" s="168"/>
      <c r="S520" s="168"/>
      <c r="T520" s="168"/>
      <c r="U520" s="168"/>
      <c r="V520" s="168"/>
      <c r="W520" s="168"/>
      <c r="X520" s="168"/>
      <c r="Y520" s="168"/>
      <c r="Z520" s="168"/>
      <c r="AA520" s="168"/>
    </row>
    <row r="521" customFormat="false" ht="15.75" hidden="false" customHeight="false" outlineLevel="0" collapsed="false">
      <c r="A521" s="168" t="str">
        <f aca="false">IF(ISBLANK(B521),"",B521&amp;"|"&amp;C521)</f>
        <v/>
      </c>
      <c r="B521" s="168"/>
      <c r="C521" s="168"/>
      <c r="D521" s="168"/>
      <c r="E521" s="175"/>
      <c r="F521" s="168"/>
      <c r="G521" s="168"/>
      <c r="H521" s="168"/>
      <c r="I521" s="168"/>
      <c r="J521" s="168"/>
      <c r="K521" s="168"/>
      <c r="L521" s="168"/>
      <c r="M521" s="168"/>
      <c r="N521" s="168"/>
      <c r="O521" s="168"/>
      <c r="P521" s="168"/>
      <c r="Q521" s="168"/>
      <c r="R521" s="168"/>
      <c r="S521" s="168"/>
      <c r="T521" s="168"/>
      <c r="U521" s="168"/>
      <c r="V521" s="168"/>
      <c r="W521" s="168"/>
      <c r="X521" s="168"/>
      <c r="Y521" s="168"/>
      <c r="Z521" s="168"/>
      <c r="AA521" s="168"/>
    </row>
    <row r="522" customFormat="false" ht="15.75" hidden="false" customHeight="false" outlineLevel="0" collapsed="false">
      <c r="A522" s="168" t="str">
        <f aca="false">IF(ISBLANK(B522),"",B522&amp;"|"&amp;C522)</f>
        <v/>
      </c>
      <c r="B522" s="168"/>
      <c r="C522" s="168"/>
      <c r="D522" s="168"/>
      <c r="E522" s="175"/>
      <c r="F522" s="168"/>
      <c r="G522" s="168"/>
      <c r="H522" s="168"/>
      <c r="I522" s="168"/>
      <c r="J522" s="168"/>
      <c r="K522" s="168"/>
      <c r="L522" s="168"/>
      <c r="M522" s="168"/>
      <c r="N522" s="168"/>
      <c r="O522" s="168"/>
      <c r="P522" s="168"/>
      <c r="Q522" s="168"/>
      <c r="R522" s="168"/>
      <c r="S522" s="168"/>
      <c r="T522" s="168"/>
      <c r="U522" s="168"/>
      <c r="V522" s="168"/>
      <c r="W522" s="168"/>
      <c r="X522" s="168"/>
      <c r="Y522" s="168"/>
      <c r="Z522" s="168"/>
      <c r="AA522" s="168"/>
    </row>
    <row r="523" customFormat="false" ht="15.75" hidden="false" customHeight="false" outlineLevel="0" collapsed="false">
      <c r="A523" s="168" t="str">
        <f aca="false">IF(ISBLANK(B523),"",B523&amp;"|"&amp;C523)</f>
        <v/>
      </c>
      <c r="B523" s="168"/>
      <c r="C523" s="168"/>
      <c r="D523" s="168"/>
      <c r="E523" s="175"/>
      <c r="F523" s="168"/>
      <c r="G523" s="168"/>
      <c r="H523" s="168"/>
      <c r="I523" s="168"/>
      <c r="J523" s="168"/>
      <c r="K523" s="168"/>
      <c r="L523" s="168"/>
      <c r="M523" s="168"/>
      <c r="N523" s="168"/>
      <c r="O523" s="168"/>
      <c r="P523" s="168"/>
      <c r="Q523" s="168"/>
      <c r="R523" s="168"/>
      <c r="S523" s="168"/>
      <c r="T523" s="168"/>
      <c r="U523" s="168"/>
      <c r="V523" s="168"/>
      <c r="W523" s="168"/>
      <c r="X523" s="168"/>
      <c r="Y523" s="168"/>
      <c r="Z523" s="168"/>
      <c r="AA523" s="168"/>
    </row>
    <row r="524" customFormat="false" ht="15.75" hidden="false" customHeight="false" outlineLevel="0" collapsed="false">
      <c r="A524" s="168" t="str">
        <f aca="false">IF(ISBLANK(B524),"",B524&amp;"|"&amp;C524)</f>
        <v/>
      </c>
      <c r="B524" s="168"/>
      <c r="C524" s="168"/>
      <c r="D524" s="168"/>
      <c r="E524" s="175"/>
      <c r="F524" s="168"/>
      <c r="G524" s="168"/>
      <c r="H524" s="168"/>
      <c r="I524" s="168"/>
      <c r="J524" s="168"/>
      <c r="K524" s="168"/>
      <c r="L524" s="168"/>
      <c r="M524" s="168"/>
      <c r="N524" s="168"/>
      <c r="O524" s="168"/>
      <c r="P524" s="168"/>
      <c r="Q524" s="168"/>
      <c r="R524" s="168"/>
      <c r="S524" s="168"/>
      <c r="T524" s="168"/>
      <c r="U524" s="168"/>
      <c r="V524" s="168"/>
      <c r="W524" s="168"/>
      <c r="X524" s="168"/>
      <c r="Y524" s="168"/>
      <c r="Z524" s="168"/>
      <c r="AA524" s="168"/>
    </row>
    <row r="525" customFormat="false" ht="15.75" hidden="false" customHeight="false" outlineLevel="0" collapsed="false">
      <c r="A525" s="168" t="str">
        <f aca="false">IF(ISBLANK(B525),"",B525&amp;"|"&amp;C525)</f>
        <v/>
      </c>
      <c r="B525" s="168"/>
      <c r="C525" s="168"/>
      <c r="D525" s="168"/>
      <c r="E525" s="175"/>
      <c r="F525" s="168"/>
      <c r="G525" s="168"/>
      <c r="H525" s="168"/>
      <c r="I525" s="168"/>
      <c r="J525" s="168"/>
      <c r="K525" s="168"/>
      <c r="L525" s="168"/>
      <c r="M525" s="168"/>
      <c r="N525" s="168"/>
      <c r="O525" s="168"/>
      <c r="P525" s="168"/>
      <c r="Q525" s="168"/>
      <c r="R525" s="168"/>
      <c r="S525" s="168"/>
      <c r="T525" s="168"/>
      <c r="U525" s="168"/>
      <c r="V525" s="168"/>
      <c r="W525" s="168"/>
      <c r="X525" s="168"/>
      <c r="Y525" s="168"/>
      <c r="Z525" s="168"/>
      <c r="AA525" s="168"/>
    </row>
    <row r="526" customFormat="false" ht="15.75" hidden="false" customHeight="false" outlineLevel="0" collapsed="false">
      <c r="A526" s="168" t="str">
        <f aca="false">IF(ISBLANK(B526),"",B526&amp;"|"&amp;C526)</f>
        <v/>
      </c>
      <c r="B526" s="168"/>
      <c r="C526" s="168"/>
      <c r="D526" s="168"/>
      <c r="E526" s="175"/>
      <c r="F526" s="168"/>
      <c r="G526" s="168"/>
      <c r="H526" s="168"/>
      <c r="I526" s="168"/>
      <c r="J526" s="168"/>
      <c r="K526" s="168"/>
      <c r="L526" s="168"/>
      <c r="M526" s="168"/>
      <c r="N526" s="168"/>
      <c r="O526" s="168"/>
      <c r="P526" s="168"/>
      <c r="Q526" s="168"/>
      <c r="R526" s="168"/>
      <c r="S526" s="168"/>
      <c r="T526" s="168"/>
      <c r="U526" s="168"/>
      <c r="V526" s="168"/>
      <c r="W526" s="168"/>
      <c r="X526" s="168"/>
      <c r="Y526" s="168"/>
      <c r="Z526" s="168"/>
      <c r="AA526" s="168"/>
    </row>
    <row r="527" customFormat="false" ht="15.75" hidden="false" customHeight="false" outlineLevel="0" collapsed="false">
      <c r="A527" s="168" t="str">
        <f aca="false">IF(ISBLANK(B527),"",B527&amp;"|"&amp;C527)</f>
        <v/>
      </c>
      <c r="B527" s="168"/>
      <c r="C527" s="168"/>
      <c r="D527" s="168"/>
      <c r="E527" s="175"/>
      <c r="F527" s="168"/>
      <c r="G527" s="168"/>
      <c r="H527" s="168"/>
      <c r="I527" s="168"/>
      <c r="J527" s="168"/>
      <c r="K527" s="168"/>
      <c r="L527" s="168"/>
      <c r="M527" s="168"/>
      <c r="N527" s="168"/>
      <c r="O527" s="168"/>
      <c r="P527" s="168"/>
      <c r="Q527" s="168"/>
      <c r="R527" s="168"/>
      <c r="S527" s="168"/>
      <c r="T527" s="168"/>
      <c r="U527" s="168"/>
      <c r="V527" s="168"/>
      <c r="W527" s="168"/>
      <c r="X527" s="168"/>
      <c r="Y527" s="168"/>
      <c r="Z527" s="168"/>
      <c r="AA527" s="168"/>
    </row>
    <row r="528" customFormat="false" ht="15.75" hidden="false" customHeight="false" outlineLevel="0" collapsed="false">
      <c r="A528" s="168" t="str">
        <f aca="false">IF(ISBLANK(B528),"",B528&amp;"|"&amp;C528)</f>
        <v/>
      </c>
      <c r="B528" s="168"/>
      <c r="C528" s="168"/>
      <c r="D528" s="168"/>
      <c r="E528" s="175"/>
      <c r="F528" s="168"/>
      <c r="G528" s="168"/>
      <c r="H528" s="168"/>
      <c r="I528" s="168"/>
      <c r="J528" s="168"/>
      <c r="K528" s="168"/>
      <c r="L528" s="168"/>
      <c r="M528" s="168"/>
      <c r="N528" s="168"/>
      <c r="O528" s="168"/>
      <c r="P528" s="168"/>
      <c r="Q528" s="168"/>
      <c r="R528" s="168"/>
      <c r="S528" s="168"/>
      <c r="T528" s="168"/>
      <c r="U528" s="168"/>
      <c r="V528" s="168"/>
      <c r="W528" s="168"/>
      <c r="X528" s="168"/>
      <c r="Y528" s="168"/>
      <c r="Z528" s="168"/>
      <c r="AA528" s="168"/>
    </row>
    <row r="529" customFormat="false" ht="15.75" hidden="false" customHeight="false" outlineLevel="0" collapsed="false">
      <c r="A529" s="168" t="str">
        <f aca="false">IF(ISBLANK(B529),"",B529&amp;"|"&amp;C529)</f>
        <v/>
      </c>
      <c r="B529" s="168"/>
      <c r="C529" s="168"/>
      <c r="D529" s="168"/>
      <c r="E529" s="175"/>
      <c r="F529" s="168"/>
      <c r="G529" s="168"/>
      <c r="H529" s="168"/>
      <c r="I529" s="168"/>
      <c r="J529" s="168"/>
      <c r="K529" s="168"/>
      <c r="L529" s="168"/>
      <c r="M529" s="168"/>
      <c r="N529" s="168"/>
      <c r="O529" s="168"/>
      <c r="P529" s="168"/>
      <c r="Q529" s="168"/>
      <c r="R529" s="168"/>
      <c r="S529" s="168"/>
      <c r="T529" s="168"/>
      <c r="U529" s="168"/>
      <c r="V529" s="168"/>
      <c r="W529" s="168"/>
      <c r="X529" s="168"/>
      <c r="Y529" s="168"/>
      <c r="Z529" s="168"/>
      <c r="AA529" s="168"/>
    </row>
    <row r="530" customFormat="false" ht="15.75" hidden="false" customHeight="false" outlineLevel="0" collapsed="false">
      <c r="A530" s="168" t="str">
        <f aca="false">IF(ISBLANK(B530),"",B530&amp;"|"&amp;C530)</f>
        <v/>
      </c>
      <c r="B530" s="168"/>
      <c r="C530" s="168"/>
      <c r="D530" s="168"/>
      <c r="E530" s="175"/>
      <c r="F530" s="168"/>
      <c r="G530" s="168"/>
      <c r="H530" s="168"/>
      <c r="I530" s="168"/>
      <c r="J530" s="168"/>
      <c r="K530" s="168"/>
      <c r="L530" s="168"/>
      <c r="M530" s="168"/>
      <c r="N530" s="168"/>
      <c r="O530" s="168"/>
      <c r="P530" s="168"/>
      <c r="Q530" s="168"/>
      <c r="R530" s="168"/>
      <c r="S530" s="168"/>
      <c r="T530" s="168"/>
      <c r="U530" s="168"/>
      <c r="V530" s="168"/>
      <c r="W530" s="168"/>
      <c r="X530" s="168"/>
      <c r="Y530" s="168"/>
      <c r="Z530" s="168"/>
      <c r="AA530" s="168"/>
    </row>
    <row r="531" customFormat="false" ht="15.75" hidden="false" customHeight="false" outlineLevel="0" collapsed="false">
      <c r="A531" s="168" t="str">
        <f aca="false">IF(ISBLANK(B531),"",B531&amp;"|"&amp;C531)</f>
        <v/>
      </c>
      <c r="B531" s="168"/>
      <c r="C531" s="168"/>
      <c r="D531" s="168"/>
      <c r="E531" s="175"/>
      <c r="F531" s="168"/>
      <c r="G531" s="168"/>
      <c r="H531" s="168"/>
      <c r="I531" s="168"/>
      <c r="J531" s="168"/>
      <c r="K531" s="168"/>
      <c r="L531" s="168"/>
      <c r="M531" s="168"/>
      <c r="N531" s="168"/>
      <c r="O531" s="168"/>
      <c r="P531" s="168"/>
      <c r="Q531" s="168"/>
      <c r="R531" s="168"/>
      <c r="S531" s="168"/>
      <c r="T531" s="168"/>
      <c r="U531" s="168"/>
      <c r="V531" s="168"/>
      <c r="W531" s="168"/>
      <c r="X531" s="168"/>
      <c r="Y531" s="168"/>
      <c r="Z531" s="168"/>
      <c r="AA531" s="168"/>
    </row>
    <row r="532" customFormat="false" ht="15.75" hidden="false" customHeight="false" outlineLevel="0" collapsed="false">
      <c r="A532" s="168" t="str">
        <f aca="false">IF(ISBLANK(B532),"",B532&amp;"|"&amp;C532)</f>
        <v/>
      </c>
      <c r="B532" s="168"/>
      <c r="C532" s="168"/>
      <c r="D532" s="168"/>
      <c r="E532" s="175"/>
      <c r="F532" s="168"/>
      <c r="G532" s="168"/>
      <c r="H532" s="168"/>
      <c r="I532" s="168"/>
      <c r="J532" s="168"/>
      <c r="K532" s="168"/>
      <c r="L532" s="168"/>
      <c r="M532" s="168"/>
      <c r="N532" s="168"/>
      <c r="O532" s="168"/>
      <c r="P532" s="168"/>
      <c r="Q532" s="168"/>
      <c r="R532" s="168"/>
      <c r="S532" s="168"/>
      <c r="T532" s="168"/>
      <c r="U532" s="168"/>
      <c r="V532" s="168"/>
      <c r="W532" s="168"/>
      <c r="X532" s="168"/>
      <c r="Y532" s="168"/>
      <c r="Z532" s="168"/>
      <c r="AA532" s="168"/>
    </row>
    <row r="533" customFormat="false" ht="15.75" hidden="false" customHeight="false" outlineLevel="0" collapsed="false">
      <c r="A533" s="168" t="str">
        <f aca="false">IF(ISBLANK(B533),"",B533&amp;"|"&amp;C533)</f>
        <v/>
      </c>
      <c r="B533" s="168"/>
      <c r="C533" s="168"/>
      <c r="D533" s="168"/>
      <c r="E533" s="175"/>
      <c r="F533" s="168"/>
      <c r="G533" s="168"/>
      <c r="H533" s="168"/>
      <c r="I533" s="168"/>
      <c r="J533" s="168"/>
      <c r="K533" s="168"/>
      <c r="L533" s="168"/>
      <c r="M533" s="168"/>
      <c r="N533" s="168"/>
      <c r="O533" s="168"/>
      <c r="P533" s="168"/>
      <c r="Q533" s="168"/>
      <c r="R533" s="168"/>
      <c r="S533" s="168"/>
      <c r="T533" s="168"/>
      <c r="U533" s="168"/>
      <c r="V533" s="168"/>
      <c r="W533" s="168"/>
      <c r="X533" s="168"/>
      <c r="Y533" s="168"/>
      <c r="Z533" s="168"/>
      <c r="AA533" s="168"/>
    </row>
    <row r="534" customFormat="false" ht="15.75" hidden="false" customHeight="false" outlineLevel="0" collapsed="false">
      <c r="A534" s="168" t="str">
        <f aca="false">IF(ISBLANK(B534),"",B534&amp;"|"&amp;C534)</f>
        <v/>
      </c>
      <c r="B534" s="168"/>
      <c r="C534" s="168"/>
      <c r="D534" s="168"/>
      <c r="E534" s="175"/>
      <c r="F534" s="168"/>
      <c r="G534" s="168"/>
      <c r="H534" s="168"/>
      <c r="I534" s="168"/>
      <c r="J534" s="168"/>
      <c r="K534" s="168"/>
      <c r="L534" s="168"/>
      <c r="M534" s="168"/>
      <c r="N534" s="168"/>
      <c r="O534" s="168"/>
      <c r="P534" s="168"/>
      <c r="Q534" s="168"/>
      <c r="R534" s="168"/>
      <c r="S534" s="168"/>
      <c r="T534" s="168"/>
      <c r="U534" s="168"/>
      <c r="V534" s="168"/>
      <c r="W534" s="168"/>
      <c r="X534" s="168"/>
      <c r="Y534" s="168"/>
      <c r="Z534" s="168"/>
      <c r="AA534" s="168"/>
    </row>
    <row r="535" customFormat="false" ht="15.75" hidden="false" customHeight="false" outlineLevel="0" collapsed="false">
      <c r="A535" s="168" t="str">
        <f aca="false">IF(ISBLANK(B535),"",B535&amp;"|"&amp;C535)</f>
        <v/>
      </c>
      <c r="B535" s="168"/>
      <c r="C535" s="168"/>
      <c r="D535" s="168"/>
      <c r="E535" s="175"/>
      <c r="F535" s="168"/>
      <c r="G535" s="168"/>
      <c r="H535" s="168"/>
      <c r="I535" s="168"/>
      <c r="J535" s="168"/>
      <c r="K535" s="168"/>
      <c r="L535" s="168"/>
      <c r="M535" s="168"/>
      <c r="N535" s="168"/>
      <c r="O535" s="168"/>
      <c r="P535" s="168"/>
      <c r="Q535" s="168"/>
      <c r="R535" s="168"/>
      <c r="S535" s="168"/>
      <c r="T535" s="168"/>
      <c r="U535" s="168"/>
      <c r="V535" s="168"/>
      <c r="W535" s="168"/>
      <c r="X535" s="168"/>
      <c r="Y535" s="168"/>
      <c r="Z535" s="168"/>
      <c r="AA535" s="168"/>
    </row>
    <row r="536" customFormat="false" ht="15.75" hidden="false" customHeight="false" outlineLevel="0" collapsed="false">
      <c r="A536" s="168" t="str">
        <f aca="false">IF(ISBLANK(B536),"",B536&amp;"|"&amp;C536)</f>
        <v/>
      </c>
      <c r="B536" s="168"/>
      <c r="C536" s="168"/>
      <c r="D536" s="168"/>
      <c r="E536" s="175"/>
      <c r="F536" s="168"/>
      <c r="G536" s="168"/>
      <c r="H536" s="168"/>
      <c r="I536" s="168"/>
      <c r="J536" s="168"/>
      <c r="K536" s="168"/>
      <c r="L536" s="168"/>
      <c r="M536" s="168"/>
      <c r="N536" s="168"/>
      <c r="O536" s="168"/>
      <c r="P536" s="168"/>
      <c r="Q536" s="168"/>
      <c r="R536" s="168"/>
      <c r="S536" s="168"/>
      <c r="T536" s="168"/>
      <c r="U536" s="168"/>
      <c r="V536" s="168"/>
      <c r="W536" s="168"/>
      <c r="X536" s="168"/>
      <c r="Y536" s="168"/>
      <c r="Z536" s="168"/>
      <c r="AA536" s="168"/>
    </row>
    <row r="537" customFormat="false" ht="15.75" hidden="false" customHeight="false" outlineLevel="0" collapsed="false">
      <c r="A537" s="168" t="str">
        <f aca="false">IF(ISBLANK(B537),"",B537&amp;"|"&amp;C537)</f>
        <v/>
      </c>
      <c r="B537" s="168"/>
      <c r="C537" s="168"/>
      <c r="D537" s="168"/>
      <c r="E537" s="175"/>
      <c r="F537" s="168"/>
      <c r="G537" s="168"/>
      <c r="H537" s="168"/>
      <c r="I537" s="168"/>
      <c r="J537" s="168"/>
      <c r="K537" s="168"/>
      <c r="L537" s="168"/>
      <c r="M537" s="168"/>
      <c r="N537" s="168"/>
      <c r="O537" s="168"/>
      <c r="P537" s="168"/>
      <c r="Q537" s="168"/>
      <c r="R537" s="168"/>
      <c r="S537" s="168"/>
      <c r="T537" s="168"/>
      <c r="U537" s="168"/>
      <c r="V537" s="168"/>
      <c r="W537" s="168"/>
      <c r="X537" s="168"/>
      <c r="Y537" s="168"/>
      <c r="Z537" s="168"/>
      <c r="AA537" s="168"/>
    </row>
    <row r="538" customFormat="false" ht="15.75" hidden="false" customHeight="false" outlineLevel="0" collapsed="false">
      <c r="A538" s="168" t="str">
        <f aca="false">IF(ISBLANK(B538),"",B538&amp;"|"&amp;C538)</f>
        <v/>
      </c>
      <c r="B538" s="168"/>
      <c r="C538" s="168"/>
      <c r="D538" s="168"/>
      <c r="E538" s="175"/>
      <c r="F538" s="168"/>
      <c r="G538" s="168"/>
      <c r="H538" s="168"/>
      <c r="I538" s="168"/>
      <c r="J538" s="168"/>
      <c r="K538" s="168"/>
      <c r="L538" s="168"/>
      <c r="M538" s="168"/>
      <c r="N538" s="168"/>
      <c r="O538" s="168"/>
      <c r="P538" s="168"/>
      <c r="Q538" s="168"/>
      <c r="R538" s="168"/>
      <c r="S538" s="168"/>
      <c r="T538" s="168"/>
      <c r="U538" s="168"/>
      <c r="V538" s="168"/>
      <c r="W538" s="168"/>
      <c r="X538" s="168"/>
      <c r="Y538" s="168"/>
      <c r="Z538" s="168"/>
      <c r="AA538" s="168"/>
    </row>
    <row r="539" customFormat="false" ht="15.75" hidden="false" customHeight="false" outlineLevel="0" collapsed="false">
      <c r="A539" s="168" t="str">
        <f aca="false">IF(ISBLANK(B539),"",B539&amp;"|"&amp;C539)</f>
        <v/>
      </c>
      <c r="B539" s="168"/>
      <c r="C539" s="168"/>
      <c r="D539" s="168"/>
      <c r="E539" s="175"/>
      <c r="F539" s="168"/>
      <c r="G539" s="168"/>
      <c r="H539" s="168"/>
      <c r="I539" s="168"/>
      <c r="J539" s="168"/>
      <c r="K539" s="168"/>
      <c r="L539" s="168"/>
      <c r="M539" s="168"/>
      <c r="N539" s="168"/>
      <c r="O539" s="168"/>
      <c r="P539" s="168"/>
      <c r="Q539" s="168"/>
      <c r="R539" s="168"/>
      <c r="S539" s="168"/>
      <c r="T539" s="168"/>
      <c r="U539" s="168"/>
      <c r="V539" s="168"/>
      <c r="W539" s="168"/>
      <c r="X539" s="168"/>
      <c r="Y539" s="168"/>
      <c r="Z539" s="168"/>
      <c r="AA539" s="168"/>
    </row>
    <row r="540" customFormat="false" ht="15.75" hidden="false" customHeight="false" outlineLevel="0" collapsed="false">
      <c r="A540" s="168" t="str">
        <f aca="false">IF(ISBLANK(B540),"",B540&amp;"|"&amp;C540)</f>
        <v/>
      </c>
      <c r="B540" s="168"/>
      <c r="C540" s="168"/>
      <c r="D540" s="168"/>
      <c r="E540" s="175"/>
      <c r="F540" s="168"/>
      <c r="G540" s="168"/>
      <c r="H540" s="168"/>
      <c r="I540" s="168"/>
      <c r="J540" s="168"/>
      <c r="K540" s="168"/>
      <c r="L540" s="168"/>
      <c r="M540" s="168"/>
      <c r="N540" s="168"/>
      <c r="O540" s="168"/>
      <c r="P540" s="168"/>
      <c r="Q540" s="168"/>
      <c r="R540" s="168"/>
      <c r="S540" s="168"/>
      <c r="T540" s="168"/>
      <c r="U540" s="168"/>
      <c r="V540" s="168"/>
      <c r="W540" s="168"/>
      <c r="X540" s="168"/>
      <c r="Y540" s="168"/>
      <c r="Z540" s="168"/>
      <c r="AA540" s="168"/>
    </row>
    <row r="541" customFormat="false" ht="15.75" hidden="false" customHeight="false" outlineLevel="0" collapsed="false">
      <c r="A541" s="168" t="str">
        <f aca="false">IF(ISBLANK(B541),"",B541&amp;"|"&amp;C541)</f>
        <v/>
      </c>
      <c r="B541" s="168"/>
      <c r="C541" s="168"/>
      <c r="D541" s="168"/>
      <c r="E541" s="175"/>
      <c r="F541" s="168"/>
      <c r="G541" s="168"/>
      <c r="H541" s="168"/>
      <c r="I541" s="168"/>
      <c r="J541" s="168"/>
      <c r="K541" s="168"/>
      <c r="L541" s="168"/>
      <c r="M541" s="168"/>
      <c r="N541" s="168"/>
      <c r="O541" s="168"/>
      <c r="P541" s="168"/>
      <c r="Q541" s="168"/>
      <c r="R541" s="168"/>
      <c r="S541" s="168"/>
      <c r="T541" s="168"/>
      <c r="U541" s="168"/>
      <c r="V541" s="168"/>
      <c r="W541" s="168"/>
      <c r="X541" s="168"/>
      <c r="Y541" s="168"/>
      <c r="Z541" s="168"/>
      <c r="AA541" s="168"/>
    </row>
    <row r="542" customFormat="false" ht="15.75" hidden="false" customHeight="false" outlineLevel="0" collapsed="false">
      <c r="A542" s="168" t="str">
        <f aca="false">IF(ISBLANK(B542),"",B542&amp;"|"&amp;C542)</f>
        <v/>
      </c>
      <c r="B542" s="168"/>
      <c r="C542" s="168"/>
      <c r="D542" s="168"/>
      <c r="E542" s="175"/>
      <c r="F542" s="168"/>
      <c r="G542" s="168"/>
      <c r="H542" s="168"/>
      <c r="I542" s="168"/>
      <c r="J542" s="168"/>
      <c r="K542" s="168"/>
      <c r="L542" s="168"/>
      <c r="M542" s="168"/>
      <c r="N542" s="168"/>
      <c r="O542" s="168"/>
      <c r="P542" s="168"/>
      <c r="Q542" s="168"/>
      <c r="R542" s="168"/>
      <c r="S542" s="168"/>
      <c r="T542" s="168"/>
      <c r="U542" s="168"/>
      <c r="V542" s="168"/>
      <c r="W542" s="168"/>
      <c r="X542" s="168"/>
      <c r="Y542" s="168"/>
      <c r="Z542" s="168"/>
      <c r="AA542" s="168"/>
    </row>
    <row r="543" customFormat="false" ht="15.75" hidden="false" customHeight="false" outlineLevel="0" collapsed="false">
      <c r="A543" s="168" t="str">
        <f aca="false">IF(ISBLANK(B543),"",B543&amp;"|"&amp;C543)</f>
        <v/>
      </c>
      <c r="B543" s="168"/>
      <c r="C543" s="168"/>
      <c r="D543" s="168"/>
      <c r="E543" s="175"/>
      <c r="F543" s="168"/>
      <c r="G543" s="168"/>
      <c r="H543" s="168"/>
      <c r="I543" s="168"/>
      <c r="J543" s="168"/>
      <c r="K543" s="168"/>
      <c r="L543" s="168"/>
      <c r="M543" s="168"/>
      <c r="N543" s="168"/>
      <c r="O543" s="168"/>
      <c r="P543" s="168"/>
      <c r="Q543" s="168"/>
      <c r="R543" s="168"/>
      <c r="S543" s="168"/>
      <c r="T543" s="168"/>
      <c r="U543" s="168"/>
      <c r="V543" s="168"/>
      <c r="W543" s="168"/>
      <c r="X543" s="168"/>
      <c r="Y543" s="168"/>
      <c r="Z543" s="168"/>
      <c r="AA543" s="168"/>
    </row>
    <row r="544" customFormat="false" ht="15.75" hidden="false" customHeight="false" outlineLevel="0" collapsed="false">
      <c r="A544" s="168" t="str">
        <f aca="false">IF(ISBLANK(B544),"",B544&amp;"|"&amp;C544)</f>
        <v/>
      </c>
      <c r="B544" s="168"/>
      <c r="C544" s="168"/>
      <c r="D544" s="168"/>
      <c r="E544" s="175"/>
      <c r="F544" s="168"/>
      <c r="G544" s="168"/>
      <c r="H544" s="168"/>
      <c r="I544" s="168"/>
      <c r="J544" s="168"/>
      <c r="K544" s="168"/>
      <c r="L544" s="168"/>
      <c r="M544" s="168"/>
      <c r="N544" s="168"/>
      <c r="O544" s="168"/>
      <c r="P544" s="168"/>
      <c r="Q544" s="168"/>
      <c r="R544" s="168"/>
      <c r="S544" s="168"/>
      <c r="T544" s="168"/>
      <c r="U544" s="168"/>
      <c r="V544" s="168"/>
      <c r="W544" s="168"/>
      <c r="X544" s="168"/>
      <c r="Y544" s="168"/>
      <c r="Z544" s="168"/>
      <c r="AA544" s="168"/>
    </row>
    <row r="545" customFormat="false" ht="15.75" hidden="false" customHeight="false" outlineLevel="0" collapsed="false">
      <c r="A545" s="168" t="str">
        <f aca="false">IF(ISBLANK(B545),"",B545&amp;"|"&amp;C545)</f>
        <v/>
      </c>
      <c r="B545" s="168"/>
      <c r="C545" s="168"/>
      <c r="D545" s="168"/>
      <c r="E545" s="175"/>
      <c r="F545" s="168"/>
      <c r="G545" s="168"/>
      <c r="H545" s="168"/>
      <c r="I545" s="168"/>
      <c r="J545" s="168"/>
      <c r="K545" s="168"/>
      <c r="L545" s="168"/>
      <c r="M545" s="168"/>
      <c r="N545" s="168"/>
      <c r="O545" s="168"/>
      <c r="P545" s="168"/>
      <c r="Q545" s="168"/>
      <c r="R545" s="168"/>
      <c r="S545" s="168"/>
      <c r="T545" s="168"/>
      <c r="U545" s="168"/>
      <c r="V545" s="168"/>
      <c r="W545" s="168"/>
      <c r="X545" s="168"/>
      <c r="Y545" s="168"/>
      <c r="Z545" s="168"/>
      <c r="AA545" s="168"/>
    </row>
    <row r="546" customFormat="false" ht="15.75" hidden="false" customHeight="false" outlineLevel="0" collapsed="false">
      <c r="A546" s="168" t="str">
        <f aca="false">IF(ISBLANK(B546),"",B546&amp;"|"&amp;C546)</f>
        <v/>
      </c>
      <c r="B546" s="168"/>
      <c r="C546" s="168"/>
      <c r="D546" s="168"/>
      <c r="E546" s="175"/>
      <c r="F546" s="168"/>
      <c r="G546" s="168"/>
      <c r="H546" s="168"/>
      <c r="I546" s="168"/>
      <c r="J546" s="168"/>
      <c r="K546" s="168"/>
      <c r="L546" s="168"/>
      <c r="M546" s="168"/>
      <c r="N546" s="168"/>
      <c r="O546" s="168"/>
      <c r="P546" s="168"/>
      <c r="Q546" s="168"/>
      <c r="R546" s="168"/>
      <c r="S546" s="168"/>
      <c r="T546" s="168"/>
      <c r="U546" s="168"/>
      <c r="V546" s="168"/>
      <c r="W546" s="168"/>
      <c r="X546" s="168"/>
      <c r="Y546" s="168"/>
      <c r="Z546" s="168"/>
      <c r="AA546" s="168"/>
    </row>
    <row r="547" customFormat="false" ht="15.75" hidden="false" customHeight="false" outlineLevel="0" collapsed="false">
      <c r="A547" s="168" t="str">
        <f aca="false">IF(ISBLANK(B547),"",B547&amp;"|"&amp;C547)</f>
        <v/>
      </c>
      <c r="B547" s="168"/>
      <c r="C547" s="168"/>
      <c r="D547" s="168"/>
      <c r="E547" s="175"/>
      <c r="F547" s="168"/>
      <c r="G547" s="168"/>
      <c r="H547" s="168"/>
      <c r="I547" s="168"/>
      <c r="J547" s="168"/>
      <c r="K547" s="168"/>
      <c r="L547" s="168"/>
      <c r="M547" s="168"/>
      <c r="N547" s="168"/>
      <c r="O547" s="168"/>
      <c r="P547" s="168"/>
      <c r="Q547" s="168"/>
      <c r="R547" s="168"/>
      <c r="S547" s="168"/>
      <c r="T547" s="168"/>
      <c r="U547" s="168"/>
      <c r="V547" s="168"/>
      <c r="W547" s="168"/>
      <c r="X547" s="168"/>
      <c r="Y547" s="168"/>
      <c r="Z547" s="168"/>
      <c r="AA547" s="168"/>
    </row>
    <row r="548" customFormat="false" ht="15.75" hidden="false" customHeight="false" outlineLevel="0" collapsed="false">
      <c r="A548" s="168" t="str">
        <f aca="false">IF(ISBLANK(B548),"",B548&amp;"|"&amp;C548)</f>
        <v/>
      </c>
      <c r="B548" s="168"/>
      <c r="C548" s="168"/>
      <c r="D548" s="168"/>
      <c r="E548" s="175"/>
      <c r="F548" s="168"/>
      <c r="G548" s="168"/>
      <c r="H548" s="168"/>
      <c r="I548" s="168"/>
      <c r="J548" s="168"/>
      <c r="K548" s="168"/>
      <c r="L548" s="168"/>
      <c r="M548" s="168"/>
      <c r="N548" s="168"/>
      <c r="O548" s="168"/>
      <c r="P548" s="168"/>
      <c r="Q548" s="168"/>
      <c r="R548" s="168"/>
      <c r="S548" s="168"/>
      <c r="T548" s="168"/>
      <c r="U548" s="168"/>
      <c r="V548" s="168"/>
      <c r="W548" s="168"/>
      <c r="X548" s="168"/>
      <c r="Y548" s="168"/>
      <c r="Z548" s="168"/>
      <c r="AA548" s="168"/>
    </row>
    <row r="549" customFormat="false" ht="15.75" hidden="false" customHeight="false" outlineLevel="0" collapsed="false">
      <c r="A549" s="168" t="str">
        <f aca="false">IF(ISBLANK(B549),"",B549&amp;"|"&amp;C549)</f>
        <v/>
      </c>
      <c r="B549" s="168"/>
      <c r="C549" s="168"/>
      <c r="D549" s="168"/>
      <c r="E549" s="175"/>
      <c r="F549" s="168"/>
      <c r="G549" s="168"/>
      <c r="H549" s="168"/>
      <c r="I549" s="168"/>
      <c r="J549" s="168"/>
      <c r="K549" s="168"/>
      <c r="L549" s="168"/>
      <c r="M549" s="168"/>
      <c r="N549" s="168"/>
      <c r="O549" s="168"/>
      <c r="P549" s="168"/>
      <c r="Q549" s="168"/>
      <c r="R549" s="168"/>
      <c r="S549" s="168"/>
      <c r="T549" s="168"/>
      <c r="U549" s="168"/>
      <c r="V549" s="168"/>
      <c r="W549" s="168"/>
      <c r="X549" s="168"/>
      <c r="Y549" s="168"/>
      <c r="Z549" s="168"/>
      <c r="AA549" s="168"/>
    </row>
    <row r="550" customFormat="false" ht="15.75" hidden="false" customHeight="false" outlineLevel="0" collapsed="false">
      <c r="A550" s="168" t="str">
        <f aca="false">IF(ISBLANK(B550),"",B550&amp;"|"&amp;C550)</f>
        <v/>
      </c>
      <c r="B550" s="168"/>
      <c r="C550" s="168"/>
      <c r="D550" s="168"/>
      <c r="E550" s="175"/>
      <c r="F550" s="168"/>
      <c r="G550" s="168"/>
      <c r="H550" s="168"/>
      <c r="I550" s="168"/>
      <c r="J550" s="168"/>
      <c r="K550" s="168"/>
      <c r="L550" s="168"/>
      <c r="M550" s="168"/>
      <c r="N550" s="168"/>
      <c r="O550" s="168"/>
      <c r="P550" s="168"/>
      <c r="Q550" s="168"/>
      <c r="R550" s="168"/>
      <c r="S550" s="168"/>
      <c r="T550" s="168"/>
      <c r="U550" s="168"/>
      <c r="V550" s="168"/>
      <c r="W550" s="168"/>
      <c r="X550" s="168"/>
      <c r="Y550" s="168"/>
      <c r="Z550" s="168"/>
      <c r="AA550" s="168"/>
    </row>
    <row r="551" customFormat="false" ht="15.75" hidden="false" customHeight="false" outlineLevel="0" collapsed="false">
      <c r="A551" s="168" t="str">
        <f aca="false">IF(ISBLANK(B551),"",B551&amp;"|"&amp;C551)</f>
        <v/>
      </c>
      <c r="B551" s="168"/>
      <c r="C551" s="168"/>
      <c r="D551" s="168"/>
      <c r="E551" s="175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  <c r="AA551" s="168"/>
    </row>
    <row r="552" customFormat="false" ht="15.75" hidden="false" customHeight="false" outlineLevel="0" collapsed="false">
      <c r="A552" s="168" t="str">
        <f aca="false">IF(ISBLANK(B552),"",B552&amp;"|"&amp;C552)</f>
        <v/>
      </c>
      <c r="B552" s="168"/>
      <c r="C552" s="168"/>
      <c r="D552" s="168"/>
      <c r="E552" s="175"/>
      <c r="F552" s="168"/>
      <c r="G552" s="168"/>
      <c r="H552" s="168"/>
      <c r="I552" s="168"/>
      <c r="J552" s="168"/>
      <c r="K552" s="168"/>
      <c r="L552" s="168"/>
      <c r="M552" s="168"/>
      <c r="N552" s="168"/>
      <c r="O552" s="168"/>
      <c r="P552" s="168"/>
      <c r="Q552" s="168"/>
      <c r="R552" s="168"/>
      <c r="S552" s="168"/>
      <c r="T552" s="168"/>
      <c r="U552" s="168"/>
      <c r="V552" s="168"/>
      <c r="W552" s="168"/>
      <c r="X552" s="168"/>
      <c r="Y552" s="168"/>
      <c r="Z552" s="168"/>
      <c r="AA552" s="168"/>
    </row>
    <row r="553" customFormat="false" ht="15.75" hidden="false" customHeight="false" outlineLevel="0" collapsed="false">
      <c r="A553" s="168" t="str">
        <f aca="false">IF(ISBLANK(B553),"",B553&amp;"|"&amp;C553)</f>
        <v/>
      </c>
      <c r="B553" s="168"/>
      <c r="C553" s="168"/>
      <c r="D553" s="168"/>
      <c r="E553" s="175"/>
      <c r="F553" s="168"/>
      <c r="G553" s="168"/>
      <c r="H553" s="168"/>
      <c r="I553" s="168"/>
      <c r="J553" s="168"/>
      <c r="K553" s="168"/>
      <c r="L553" s="168"/>
      <c r="M553" s="168"/>
      <c r="N553" s="168"/>
      <c r="O553" s="168"/>
      <c r="P553" s="168"/>
      <c r="Q553" s="168"/>
      <c r="R553" s="168"/>
      <c r="S553" s="168"/>
      <c r="T553" s="168"/>
      <c r="U553" s="168"/>
      <c r="V553" s="168"/>
      <c r="W553" s="168"/>
      <c r="X553" s="168"/>
      <c r="Y553" s="168"/>
      <c r="Z553" s="168"/>
      <c r="AA553" s="168"/>
    </row>
    <row r="554" customFormat="false" ht="15.75" hidden="false" customHeight="false" outlineLevel="0" collapsed="false">
      <c r="A554" s="168" t="str">
        <f aca="false">IF(ISBLANK(B554),"",B554&amp;"|"&amp;C554)</f>
        <v/>
      </c>
      <c r="B554" s="168"/>
      <c r="C554" s="168"/>
      <c r="D554" s="168"/>
      <c r="E554" s="175"/>
      <c r="F554" s="168"/>
      <c r="G554" s="168"/>
      <c r="H554" s="168"/>
      <c r="I554" s="168"/>
      <c r="J554" s="168"/>
      <c r="K554" s="168"/>
      <c r="L554" s="168"/>
      <c r="M554" s="168"/>
      <c r="N554" s="168"/>
      <c r="O554" s="168"/>
      <c r="P554" s="168"/>
      <c r="Q554" s="168"/>
      <c r="R554" s="168"/>
      <c r="S554" s="168"/>
      <c r="T554" s="168"/>
      <c r="U554" s="168"/>
      <c r="V554" s="168"/>
      <c r="W554" s="168"/>
      <c r="X554" s="168"/>
      <c r="Y554" s="168"/>
      <c r="Z554" s="168"/>
      <c r="AA554" s="168"/>
    </row>
    <row r="555" customFormat="false" ht="15.75" hidden="false" customHeight="false" outlineLevel="0" collapsed="false">
      <c r="A555" s="168" t="str">
        <f aca="false">IF(ISBLANK(B555),"",B555&amp;"|"&amp;C555)</f>
        <v/>
      </c>
      <c r="B555" s="168"/>
      <c r="C555" s="168"/>
      <c r="D555" s="168"/>
      <c r="E555" s="175"/>
      <c r="F555" s="168"/>
      <c r="G555" s="168"/>
      <c r="H555" s="168"/>
      <c r="I555" s="168"/>
      <c r="J555" s="168"/>
      <c r="K555" s="168"/>
      <c r="L555" s="168"/>
      <c r="M555" s="168"/>
      <c r="N555" s="168"/>
      <c r="O555" s="168"/>
      <c r="P555" s="168"/>
      <c r="Q555" s="168"/>
      <c r="R555" s="168"/>
      <c r="S555" s="168"/>
      <c r="T555" s="168"/>
      <c r="U555" s="168"/>
      <c r="V555" s="168"/>
      <c r="W555" s="168"/>
      <c r="X555" s="168"/>
      <c r="Y555" s="168"/>
      <c r="Z555" s="168"/>
      <c r="AA555" s="168"/>
    </row>
    <row r="556" customFormat="false" ht="15.75" hidden="false" customHeight="false" outlineLevel="0" collapsed="false">
      <c r="A556" s="168" t="str">
        <f aca="false">IF(ISBLANK(B556),"",B556&amp;"|"&amp;C556)</f>
        <v/>
      </c>
      <c r="B556" s="168"/>
      <c r="C556" s="168"/>
      <c r="D556" s="168"/>
      <c r="E556" s="175"/>
      <c r="F556" s="168"/>
      <c r="G556" s="168"/>
      <c r="H556" s="168"/>
      <c r="I556" s="168"/>
      <c r="J556" s="168"/>
      <c r="K556" s="168"/>
      <c r="L556" s="168"/>
      <c r="M556" s="168"/>
      <c r="N556" s="168"/>
      <c r="O556" s="168"/>
      <c r="P556" s="168"/>
      <c r="Q556" s="168"/>
      <c r="R556" s="168"/>
      <c r="S556" s="168"/>
      <c r="T556" s="168"/>
      <c r="U556" s="168"/>
      <c r="V556" s="168"/>
      <c r="W556" s="168"/>
      <c r="X556" s="168"/>
      <c r="Y556" s="168"/>
      <c r="Z556" s="168"/>
      <c r="AA556" s="168"/>
    </row>
    <row r="557" customFormat="false" ht="15.75" hidden="false" customHeight="false" outlineLevel="0" collapsed="false">
      <c r="A557" s="168" t="str">
        <f aca="false">IF(ISBLANK(B557),"",B557&amp;"|"&amp;C557)</f>
        <v/>
      </c>
      <c r="B557" s="168"/>
      <c r="C557" s="168"/>
      <c r="D557" s="168"/>
      <c r="E557" s="175"/>
      <c r="F557" s="168"/>
      <c r="G557" s="168"/>
      <c r="H557" s="168"/>
      <c r="I557" s="168"/>
      <c r="J557" s="168"/>
      <c r="K557" s="168"/>
      <c r="L557" s="168"/>
      <c r="M557" s="168"/>
      <c r="N557" s="168"/>
      <c r="O557" s="168"/>
      <c r="P557" s="168"/>
      <c r="Q557" s="168"/>
      <c r="R557" s="168"/>
      <c r="S557" s="168"/>
      <c r="T557" s="168"/>
      <c r="U557" s="168"/>
      <c r="V557" s="168"/>
      <c r="W557" s="168"/>
      <c r="X557" s="168"/>
      <c r="Y557" s="168"/>
      <c r="Z557" s="168"/>
      <c r="AA557" s="168"/>
    </row>
    <row r="558" customFormat="false" ht="15.75" hidden="false" customHeight="false" outlineLevel="0" collapsed="false">
      <c r="A558" s="168" t="str">
        <f aca="false">IF(ISBLANK(B558),"",B558&amp;"|"&amp;C558)</f>
        <v/>
      </c>
      <c r="B558" s="168"/>
      <c r="C558" s="168"/>
      <c r="D558" s="168"/>
      <c r="E558" s="175"/>
      <c r="F558" s="168"/>
      <c r="G558" s="168"/>
      <c r="H558" s="168"/>
      <c r="I558" s="168"/>
      <c r="J558" s="168"/>
      <c r="K558" s="168"/>
      <c r="L558" s="168"/>
      <c r="M558" s="168"/>
      <c r="N558" s="168"/>
      <c r="O558" s="168"/>
      <c r="P558" s="168"/>
      <c r="Q558" s="168"/>
      <c r="R558" s="168"/>
      <c r="S558" s="168"/>
      <c r="T558" s="168"/>
      <c r="U558" s="168"/>
      <c r="V558" s="168"/>
      <c r="W558" s="168"/>
      <c r="X558" s="168"/>
      <c r="Y558" s="168"/>
      <c r="Z558" s="168"/>
      <c r="AA558" s="168"/>
    </row>
    <row r="559" customFormat="false" ht="15.75" hidden="false" customHeight="false" outlineLevel="0" collapsed="false">
      <c r="A559" s="168" t="str">
        <f aca="false">IF(ISBLANK(B559),"",B559&amp;"|"&amp;C559)</f>
        <v/>
      </c>
      <c r="B559" s="168"/>
      <c r="C559" s="168"/>
      <c r="D559" s="168"/>
      <c r="E559" s="175"/>
      <c r="F559" s="168"/>
      <c r="G559" s="168"/>
      <c r="H559" s="168"/>
      <c r="I559" s="168"/>
      <c r="J559" s="168"/>
      <c r="K559" s="168"/>
      <c r="L559" s="168"/>
      <c r="M559" s="168"/>
      <c r="N559" s="168"/>
      <c r="O559" s="168"/>
      <c r="P559" s="168"/>
      <c r="Q559" s="168"/>
      <c r="R559" s="168"/>
      <c r="S559" s="168"/>
      <c r="T559" s="168"/>
      <c r="U559" s="168"/>
      <c r="V559" s="168"/>
      <c r="W559" s="168"/>
      <c r="X559" s="168"/>
      <c r="Y559" s="168"/>
      <c r="Z559" s="168"/>
      <c r="AA559" s="168"/>
    </row>
    <row r="560" customFormat="false" ht="15.75" hidden="false" customHeight="false" outlineLevel="0" collapsed="false">
      <c r="A560" s="168" t="str">
        <f aca="false">IF(ISBLANK(B560),"",B560&amp;"|"&amp;C560)</f>
        <v/>
      </c>
      <c r="B560" s="168"/>
      <c r="C560" s="168"/>
      <c r="D560" s="168"/>
      <c r="E560" s="175"/>
      <c r="F560" s="168"/>
      <c r="G560" s="168"/>
      <c r="H560" s="168"/>
      <c r="I560" s="168"/>
      <c r="J560" s="168"/>
      <c r="K560" s="168"/>
      <c r="L560" s="168"/>
      <c r="M560" s="168"/>
      <c r="N560" s="168"/>
      <c r="O560" s="168"/>
      <c r="P560" s="168"/>
      <c r="Q560" s="168"/>
      <c r="R560" s="168"/>
      <c r="S560" s="168"/>
      <c r="T560" s="168"/>
      <c r="U560" s="168"/>
      <c r="V560" s="168"/>
      <c r="W560" s="168"/>
      <c r="X560" s="168"/>
      <c r="Y560" s="168"/>
      <c r="Z560" s="168"/>
      <c r="AA560" s="168"/>
    </row>
    <row r="561" customFormat="false" ht="15.75" hidden="false" customHeight="false" outlineLevel="0" collapsed="false">
      <c r="A561" s="168" t="str">
        <f aca="false">IF(ISBLANK(B561),"",B561&amp;"|"&amp;C561)</f>
        <v/>
      </c>
      <c r="B561" s="168"/>
      <c r="C561" s="168"/>
      <c r="D561" s="168"/>
      <c r="E561" s="175"/>
      <c r="F561" s="168"/>
      <c r="G561" s="168"/>
      <c r="H561" s="168"/>
      <c r="I561" s="168"/>
      <c r="J561" s="168"/>
      <c r="K561" s="168"/>
      <c r="L561" s="168"/>
      <c r="M561" s="168"/>
      <c r="N561" s="168"/>
      <c r="O561" s="168"/>
      <c r="P561" s="168"/>
      <c r="Q561" s="168"/>
      <c r="R561" s="168"/>
      <c r="S561" s="168"/>
      <c r="T561" s="168"/>
      <c r="U561" s="168"/>
      <c r="V561" s="168"/>
      <c r="W561" s="168"/>
      <c r="X561" s="168"/>
      <c r="Y561" s="168"/>
      <c r="Z561" s="168"/>
      <c r="AA561" s="168"/>
    </row>
    <row r="562" customFormat="false" ht="15.75" hidden="false" customHeight="false" outlineLevel="0" collapsed="false">
      <c r="A562" s="168" t="str">
        <f aca="false">IF(ISBLANK(B562),"",B562&amp;"|"&amp;C562)</f>
        <v/>
      </c>
      <c r="B562" s="168"/>
      <c r="C562" s="168"/>
      <c r="D562" s="168"/>
      <c r="E562" s="175"/>
      <c r="F562" s="168"/>
      <c r="G562" s="168"/>
      <c r="H562" s="168"/>
      <c r="I562" s="168"/>
      <c r="J562" s="168"/>
      <c r="K562" s="168"/>
      <c r="L562" s="168"/>
      <c r="M562" s="168"/>
      <c r="N562" s="168"/>
      <c r="O562" s="168"/>
      <c r="P562" s="168"/>
      <c r="Q562" s="168"/>
      <c r="R562" s="168"/>
      <c r="S562" s="168"/>
      <c r="T562" s="168"/>
      <c r="U562" s="168"/>
      <c r="V562" s="168"/>
      <c r="W562" s="168"/>
      <c r="X562" s="168"/>
      <c r="Y562" s="168"/>
      <c r="Z562" s="168"/>
      <c r="AA562" s="168"/>
    </row>
    <row r="563" customFormat="false" ht="15.75" hidden="false" customHeight="false" outlineLevel="0" collapsed="false">
      <c r="A563" s="168" t="str">
        <f aca="false">IF(ISBLANK(B563),"",B563&amp;"|"&amp;C563)</f>
        <v/>
      </c>
      <c r="B563" s="168"/>
      <c r="C563" s="168"/>
      <c r="D563" s="168"/>
      <c r="E563" s="175"/>
      <c r="F563" s="168"/>
      <c r="G563" s="168"/>
      <c r="H563" s="168"/>
      <c r="I563" s="168"/>
      <c r="J563" s="168"/>
      <c r="K563" s="168"/>
      <c r="L563" s="168"/>
      <c r="M563" s="168"/>
      <c r="N563" s="168"/>
      <c r="O563" s="168"/>
      <c r="P563" s="168"/>
      <c r="Q563" s="168"/>
      <c r="R563" s="168"/>
      <c r="S563" s="168"/>
      <c r="T563" s="168"/>
      <c r="U563" s="168"/>
      <c r="V563" s="168"/>
      <c r="W563" s="168"/>
      <c r="X563" s="168"/>
      <c r="Y563" s="168"/>
      <c r="Z563" s="168"/>
      <c r="AA563" s="168"/>
    </row>
    <row r="564" customFormat="false" ht="15.75" hidden="false" customHeight="false" outlineLevel="0" collapsed="false">
      <c r="A564" s="168" t="str">
        <f aca="false">IF(ISBLANK(B564),"",B564&amp;"|"&amp;C564)</f>
        <v/>
      </c>
      <c r="B564" s="168"/>
      <c r="C564" s="168"/>
      <c r="D564" s="168"/>
      <c r="E564" s="175"/>
      <c r="F564" s="168"/>
      <c r="G564" s="168"/>
      <c r="H564" s="168"/>
      <c r="I564" s="168"/>
      <c r="J564" s="168"/>
      <c r="K564" s="168"/>
      <c r="L564" s="168"/>
      <c r="M564" s="168"/>
      <c r="N564" s="168"/>
      <c r="O564" s="168"/>
      <c r="P564" s="168"/>
      <c r="Q564" s="168"/>
      <c r="R564" s="168"/>
      <c r="S564" s="168"/>
      <c r="T564" s="168"/>
      <c r="U564" s="168"/>
      <c r="V564" s="168"/>
      <c r="W564" s="168"/>
      <c r="X564" s="168"/>
      <c r="Y564" s="168"/>
      <c r="Z564" s="168"/>
      <c r="AA564" s="168"/>
    </row>
    <row r="565" customFormat="false" ht="15.75" hidden="false" customHeight="false" outlineLevel="0" collapsed="false">
      <c r="A565" s="168" t="str">
        <f aca="false">IF(ISBLANK(B565),"",B565&amp;"|"&amp;C565)</f>
        <v/>
      </c>
      <c r="B565" s="168"/>
      <c r="C565" s="168"/>
      <c r="D565" s="168"/>
      <c r="E565" s="175"/>
      <c r="F565" s="168"/>
      <c r="G565" s="168"/>
      <c r="H565" s="168"/>
      <c r="I565" s="168"/>
      <c r="J565" s="168"/>
      <c r="K565" s="168"/>
      <c r="L565" s="168"/>
      <c r="M565" s="168"/>
      <c r="N565" s="168"/>
      <c r="O565" s="168"/>
      <c r="P565" s="168"/>
      <c r="Q565" s="168"/>
      <c r="R565" s="168"/>
      <c r="S565" s="168"/>
      <c r="T565" s="168"/>
      <c r="U565" s="168"/>
      <c r="V565" s="168"/>
      <c r="W565" s="168"/>
      <c r="X565" s="168"/>
      <c r="Y565" s="168"/>
      <c r="Z565" s="168"/>
      <c r="AA565" s="168"/>
    </row>
    <row r="566" customFormat="false" ht="15.75" hidden="false" customHeight="false" outlineLevel="0" collapsed="false">
      <c r="A566" s="168" t="str">
        <f aca="false">IF(ISBLANK(B566),"",B566&amp;"|"&amp;C566)</f>
        <v/>
      </c>
      <c r="B566" s="168"/>
      <c r="C566" s="168"/>
      <c r="D566" s="168"/>
      <c r="E566" s="175"/>
      <c r="F566" s="168"/>
      <c r="G566" s="168"/>
      <c r="H566" s="168"/>
      <c r="I566" s="168"/>
      <c r="J566" s="168"/>
      <c r="K566" s="168"/>
      <c r="L566" s="168"/>
      <c r="M566" s="168"/>
      <c r="N566" s="168"/>
      <c r="O566" s="168"/>
      <c r="P566" s="168"/>
      <c r="Q566" s="168"/>
      <c r="R566" s="168"/>
      <c r="S566" s="168"/>
      <c r="T566" s="168"/>
      <c r="U566" s="168"/>
      <c r="V566" s="168"/>
      <c r="W566" s="168"/>
      <c r="X566" s="168"/>
      <c r="Y566" s="168"/>
      <c r="Z566" s="168"/>
      <c r="AA566" s="168"/>
    </row>
    <row r="567" customFormat="false" ht="15.75" hidden="false" customHeight="false" outlineLevel="0" collapsed="false">
      <c r="A567" s="168" t="str">
        <f aca="false">IF(ISBLANK(B567),"",B567&amp;"|"&amp;C567)</f>
        <v/>
      </c>
      <c r="B567" s="168"/>
      <c r="C567" s="168"/>
      <c r="D567" s="168"/>
      <c r="E567" s="175"/>
      <c r="F567" s="168"/>
      <c r="G567" s="168"/>
      <c r="H567" s="168"/>
      <c r="I567" s="168"/>
      <c r="J567" s="168"/>
      <c r="K567" s="168"/>
      <c r="L567" s="168"/>
      <c r="M567" s="168"/>
      <c r="N567" s="168"/>
      <c r="O567" s="168"/>
      <c r="P567" s="168"/>
      <c r="Q567" s="168"/>
      <c r="R567" s="168"/>
      <c r="S567" s="168"/>
      <c r="T567" s="168"/>
      <c r="U567" s="168"/>
      <c r="V567" s="168"/>
      <c r="W567" s="168"/>
      <c r="X567" s="168"/>
      <c r="Y567" s="168"/>
      <c r="Z567" s="168"/>
      <c r="AA567" s="168"/>
    </row>
    <row r="568" customFormat="false" ht="15.75" hidden="false" customHeight="false" outlineLevel="0" collapsed="false">
      <c r="A568" s="168" t="str">
        <f aca="false">IF(ISBLANK(B568),"",B568&amp;"|"&amp;C568)</f>
        <v/>
      </c>
      <c r="B568" s="168"/>
      <c r="C568" s="168"/>
      <c r="D568" s="168"/>
      <c r="E568" s="175"/>
      <c r="F568" s="168"/>
      <c r="G568" s="168"/>
      <c r="H568" s="168"/>
      <c r="I568" s="168"/>
      <c r="J568" s="168"/>
      <c r="K568" s="168"/>
      <c r="L568" s="168"/>
      <c r="M568" s="168"/>
      <c r="N568" s="168"/>
      <c r="O568" s="168"/>
      <c r="P568" s="168"/>
      <c r="Q568" s="168"/>
      <c r="R568" s="168"/>
      <c r="S568" s="168"/>
      <c r="T568" s="168"/>
      <c r="U568" s="168"/>
      <c r="V568" s="168"/>
      <c r="W568" s="168"/>
      <c r="X568" s="168"/>
      <c r="Y568" s="168"/>
      <c r="Z568" s="168"/>
      <c r="AA568" s="168"/>
    </row>
    <row r="569" customFormat="false" ht="15.75" hidden="false" customHeight="false" outlineLevel="0" collapsed="false">
      <c r="A569" s="168" t="str">
        <f aca="false">IF(ISBLANK(B569),"",B569&amp;"|"&amp;C569)</f>
        <v/>
      </c>
      <c r="B569" s="168"/>
      <c r="C569" s="168"/>
      <c r="D569" s="168"/>
      <c r="E569" s="175"/>
      <c r="F569" s="168"/>
      <c r="G569" s="168"/>
      <c r="H569" s="168"/>
      <c r="I569" s="168"/>
      <c r="J569" s="168"/>
      <c r="K569" s="168"/>
      <c r="L569" s="168"/>
      <c r="M569" s="168"/>
      <c r="N569" s="168"/>
      <c r="O569" s="168"/>
      <c r="P569" s="168"/>
      <c r="Q569" s="168"/>
      <c r="R569" s="168"/>
      <c r="S569" s="168"/>
      <c r="T569" s="168"/>
      <c r="U569" s="168"/>
      <c r="V569" s="168"/>
      <c r="W569" s="168"/>
      <c r="X569" s="168"/>
      <c r="Y569" s="168"/>
      <c r="Z569" s="168"/>
      <c r="AA569" s="168"/>
    </row>
    <row r="570" customFormat="false" ht="15.75" hidden="false" customHeight="false" outlineLevel="0" collapsed="false">
      <c r="A570" s="168" t="str">
        <f aca="false">IF(ISBLANK(B570),"",B570&amp;"|"&amp;C570)</f>
        <v/>
      </c>
      <c r="B570" s="168"/>
      <c r="C570" s="168"/>
      <c r="D570" s="168"/>
      <c r="E570" s="175"/>
      <c r="F570" s="168"/>
      <c r="G570" s="168"/>
      <c r="H570" s="168"/>
      <c r="I570" s="168"/>
      <c r="J570" s="168"/>
      <c r="K570" s="168"/>
      <c r="L570" s="168"/>
      <c r="M570" s="168"/>
      <c r="N570" s="168"/>
      <c r="O570" s="168"/>
      <c r="P570" s="168"/>
      <c r="Q570" s="168"/>
      <c r="R570" s="168"/>
      <c r="S570" s="168"/>
      <c r="T570" s="168"/>
      <c r="U570" s="168"/>
      <c r="V570" s="168"/>
      <c r="W570" s="168"/>
      <c r="X570" s="168"/>
      <c r="Y570" s="168"/>
      <c r="Z570" s="168"/>
      <c r="AA570" s="168"/>
    </row>
    <row r="571" customFormat="false" ht="15.75" hidden="false" customHeight="false" outlineLevel="0" collapsed="false">
      <c r="A571" s="168" t="str">
        <f aca="false">IF(ISBLANK(B571),"",B571&amp;"|"&amp;C571)</f>
        <v/>
      </c>
      <c r="B571" s="168"/>
      <c r="C571" s="168"/>
      <c r="D571" s="168"/>
      <c r="E571" s="175"/>
      <c r="F571" s="168"/>
      <c r="G571" s="168"/>
      <c r="H571" s="168"/>
      <c r="I571" s="168"/>
      <c r="J571" s="168"/>
      <c r="K571" s="168"/>
      <c r="L571" s="168"/>
      <c r="M571" s="168"/>
      <c r="N571" s="168"/>
      <c r="O571" s="168"/>
      <c r="P571" s="168"/>
      <c r="Q571" s="168"/>
      <c r="R571" s="168"/>
      <c r="S571" s="168"/>
      <c r="T571" s="168"/>
      <c r="U571" s="168"/>
      <c r="V571" s="168"/>
      <c r="W571" s="168"/>
      <c r="X571" s="168"/>
      <c r="Y571" s="168"/>
      <c r="Z571" s="168"/>
      <c r="AA571" s="168"/>
    </row>
    <row r="572" customFormat="false" ht="15.75" hidden="false" customHeight="false" outlineLevel="0" collapsed="false">
      <c r="A572" s="168" t="str">
        <f aca="false">IF(ISBLANK(B572),"",B572&amp;"|"&amp;C572)</f>
        <v/>
      </c>
      <c r="B572" s="168"/>
      <c r="C572" s="168"/>
      <c r="D572" s="168"/>
      <c r="E572" s="175"/>
      <c r="F572" s="168"/>
      <c r="G572" s="168"/>
      <c r="H572" s="168"/>
      <c r="I572" s="168"/>
      <c r="J572" s="168"/>
      <c r="K572" s="168"/>
      <c r="L572" s="168"/>
      <c r="M572" s="168"/>
      <c r="N572" s="168"/>
      <c r="O572" s="168"/>
      <c r="P572" s="168"/>
      <c r="Q572" s="168"/>
      <c r="R572" s="168"/>
      <c r="S572" s="168"/>
      <c r="T572" s="168"/>
      <c r="U572" s="168"/>
      <c r="V572" s="168"/>
      <c r="W572" s="168"/>
      <c r="X572" s="168"/>
      <c r="Y572" s="168"/>
      <c r="Z572" s="168"/>
      <c r="AA572" s="168"/>
    </row>
    <row r="573" customFormat="false" ht="15.75" hidden="false" customHeight="false" outlineLevel="0" collapsed="false">
      <c r="A573" s="168" t="str">
        <f aca="false">IF(ISBLANK(B573),"",B573&amp;"|"&amp;C573)</f>
        <v/>
      </c>
      <c r="B573" s="168"/>
      <c r="C573" s="168"/>
      <c r="D573" s="168"/>
      <c r="E573" s="175"/>
      <c r="F573" s="168"/>
      <c r="G573" s="168"/>
      <c r="H573" s="168"/>
      <c r="I573" s="168"/>
      <c r="J573" s="168"/>
      <c r="K573" s="168"/>
      <c r="L573" s="168"/>
      <c r="M573" s="168"/>
      <c r="N573" s="168"/>
      <c r="O573" s="168"/>
      <c r="P573" s="168"/>
      <c r="Q573" s="168"/>
      <c r="R573" s="168"/>
      <c r="S573" s="168"/>
      <c r="T573" s="168"/>
      <c r="U573" s="168"/>
      <c r="V573" s="168"/>
      <c r="W573" s="168"/>
      <c r="X573" s="168"/>
      <c r="Y573" s="168"/>
      <c r="Z573" s="168"/>
      <c r="AA573" s="168"/>
    </row>
    <row r="574" customFormat="false" ht="15.75" hidden="false" customHeight="false" outlineLevel="0" collapsed="false">
      <c r="A574" s="168" t="str">
        <f aca="false">IF(ISBLANK(B574),"",B574&amp;"|"&amp;C574)</f>
        <v/>
      </c>
      <c r="B574" s="168"/>
      <c r="C574" s="168"/>
      <c r="D574" s="168"/>
      <c r="E574" s="175"/>
      <c r="F574" s="168"/>
      <c r="G574" s="168"/>
      <c r="H574" s="168"/>
      <c r="I574" s="168"/>
      <c r="J574" s="168"/>
      <c r="K574" s="168"/>
      <c r="L574" s="168"/>
      <c r="M574" s="168"/>
      <c r="N574" s="168"/>
      <c r="O574" s="168"/>
      <c r="P574" s="168"/>
      <c r="Q574" s="168"/>
      <c r="R574" s="168"/>
      <c r="S574" s="168"/>
      <c r="T574" s="168"/>
      <c r="U574" s="168"/>
      <c r="V574" s="168"/>
      <c r="W574" s="168"/>
      <c r="X574" s="168"/>
      <c r="Y574" s="168"/>
      <c r="Z574" s="168"/>
      <c r="AA574" s="168"/>
    </row>
    <row r="575" customFormat="false" ht="15.75" hidden="false" customHeight="false" outlineLevel="0" collapsed="false">
      <c r="A575" s="168" t="str">
        <f aca="false">IF(ISBLANK(B575),"",B575&amp;"|"&amp;C575)</f>
        <v/>
      </c>
      <c r="B575" s="168"/>
      <c r="C575" s="168"/>
      <c r="D575" s="168"/>
      <c r="E575" s="175"/>
      <c r="F575" s="168"/>
      <c r="G575" s="168"/>
      <c r="H575" s="168"/>
      <c r="I575" s="168"/>
      <c r="J575" s="168"/>
      <c r="K575" s="168"/>
      <c r="L575" s="168"/>
      <c r="M575" s="168"/>
      <c r="N575" s="168"/>
      <c r="O575" s="168"/>
      <c r="P575" s="168"/>
      <c r="Q575" s="168"/>
      <c r="R575" s="168"/>
      <c r="S575" s="168"/>
      <c r="T575" s="168"/>
      <c r="U575" s="168"/>
      <c r="V575" s="168"/>
      <c r="W575" s="168"/>
      <c r="X575" s="168"/>
      <c r="Y575" s="168"/>
      <c r="Z575" s="168"/>
      <c r="AA575" s="168"/>
    </row>
    <row r="576" customFormat="false" ht="15.75" hidden="false" customHeight="false" outlineLevel="0" collapsed="false">
      <c r="A576" s="168" t="str">
        <f aca="false">IF(ISBLANK(B576),"",B576&amp;"|"&amp;C576)</f>
        <v/>
      </c>
      <c r="B576" s="168"/>
      <c r="C576" s="168"/>
      <c r="D576" s="168"/>
      <c r="E576" s="175"/>
      <c r="F576" s="168"/>
      <c r="G576" s="168"/>
      <c r="H576" s="168"/>
      <c r="I576" s="168"/>
      <c r="J576" s="168"/>
      <c r="K576" s="168"/>
      <c r="L576" s="168"/>
      <c r="M576" s="168"/>
      <c r="N576" s="168"/>
      <c r="O576" s="168"/>
      <c r="P576" s="168"/>
      <c r="Q576" s="168"/>
      <c r="R576" s="168"/>
      <c r="S576" s="168"/>
      <c r="T576" s="168"/>
      <c r="U576" s="168"/>
      <c r="V576" s="168"/>
      <c r="W576" s="168"/>
      <c r="X576" s="168"/>
      <c r="Y576" s="168"/>
      <c r="Z576" s="168"/>
      <c r="AA576" s="168"/>
    </row>
    <row r="577" customFormat="false" ht="15.75" hidden="false" customHeight="false" outlineLevel="0" collapsed="false">
      <c r="A577" s="168" t="str">
        <f aca="false">IF(ISBLANK(B577),"",B577&amp;"|"&amp;C577)</f>
        <v/>
      </c>
      <c r="B577" s="168"/>
      <c r="C577" s="168"/>
      <c r="D577" s="168"/>
      <c r="E577" s="175"/>
      <c r="F577" s="168"/>
      <c r="G577" s="168"/>
      <c r="H577" s="168"/>
      <c r="I577" s="168"/>
      <c r="J577" s="168"/>
      <c r="K577" s="168"/>
      <c r="L577" s="168"/>
      <c r="M577" s="168"/>
      <c r="N577" s="168"/>
      <c r="O577" s="168"/>
      <c r="P577" s="168"/>
      <c r="Q577" s="168"/>
      <c r="R577" s="168"/>
      <c r="S577" s="168"/>
      <c r="T577" s="168"/>
      <c r="U577" s="168"/>
      <c r="V577" s="168"/>
      <c r="W577" s="168"/>
      <c r="X577" s="168"/>
      <c r="Y577" s="168"/>
      <c r="Z577" s="168"/>
      <c r="AA577" s="168"/>
    </row>
    <row r="578" customFormat="false" ht="15.75" hidden="false" customHeight="false" outlineLevel="0" collapsed="false">
      <c r="A578" s="168" t="str">
        <f aca="false">IF(ISBLANK(B578),"",B578&amp;"|"&amp;C578)</f>
        <v/>
      </c>
      <c r="B578" s="168"/>
      <c r="C578" s="168"/>
      <c r="D578" s="168"/>
      <c r="E578" s="175"/>
      <c r="F578" s="168"/>
      <c r="G578" s="168"/>
      <c r="H578" s="168"/>
      <c r="I578" s="168"/>
      <c r="J578" s="168"/>
      <c r="K578" s="168"/>
      <c r="L578" s="168"/>
      <c r="M578" s="168"/>
      <c r="N578" s="168"/>
      <c r="O578" s="168"/>
      <c r="P578" s="168"/>
      <c r="Q578" s="168"/>
      <c r="R578" s="168"/>
      <c r="S578" s="168"/>
      <c r="T578" s="168"/>
      <c r="U578" s="168"/>
      <c r="V578" s="168"/>
      <c r="W578" s="168"/>
      <c r="X578" s="168"/>
      <c r="Y578" s="168"/>
      <c r="Z578" s="168"/>
      <c r="AA578" s="168"/>
    </row>
    <row r="579" customFormat="false" ht="15.75" hidden="false" customHeight="false" outlineLevel="0" collapsed="false">
      <c r="A579" s="168" t="str">
        <f aca="false">IF(ISBLANK(B579),"",B579&amp;"|"&amp;C579)</f>
        <v/>
      </c>
      <c r="B579" s="168"/>
      <c r="C579" s="168"/>
      <c r="D579" s="168"/>
      <c r="E579" s="175"/>
      <c r="F579" s="168"/>
      <c r="G579" s="168"/>
      <c r="H579" s="168"/>
      <c r="I579" s="168"/>
      <c r="J579" s="168"/>
      <c r="K579" s="168"/>
      <c r="L579" s="168"/>
      <c r="M579" s="168"/>
      <c r="N579" s="168"/>
      <c r="O579" s="168"/>
      <c r="P579" s="168"/>
      <c r="Q579" s="168"/>
      <c r="R579" s="168"/>
      <c r="S579" s="168"/>
      <c r="T579" s="168"/>
      <c r="U579" s="168"/>
      <c r="V579" s="168"/>
      <c r="W579" s="168"/>
      <c r="X579" s="168"/>
      <c r="Y579" s="168"/>
      <c r="Z579" s="168"/>
      <c r="AA579" s="168"/>
    </row>
    <row r="580" customFormat="false" ht="15.75" hidden="false" customHeight="false" outlineLevel="0" collapsed="false">
      <c r="A580" s="168" t="str">
        <f aca="false">IF(ISBLANK(B580),"",B580&amp;"|"&amp;C580)</f>
        <v/>
      </c>
      <c r="B580" s="168"/>
      <c r="C580" s="168"/>
      <c r="D580" s="168"/>
      <c r="E580" s="175"/>
      <c r="F580" s="168"/>
      <c r="G580" s="168"/>
      <c r="H580" s="168"/>
      <c r="I580" s="168"/>
      <c r="J580" s="168"/>
      <c r="K580" s="168"/>
      <c r="L580" s="168"/>
      <c r="M580" s="168"/>
      <c r="N580" s="168"/>
      <c r="O580" s="168"/>
      <c r="P580" s="168"/>
      <c r="Q580" s="168"/>
      <c r="R580" s="168"/>
      <c r="S580" s="168"/>
      <c r="T580" s="168"/>
      <c r="U580" s="168"/>
      <c r="V580" s="168"/>
      <c r="W580" s="168"/>
      <c r="X580" s="168"/>
      <c r="Y580" s="168"/>
      <c r="Z580" s="168"/>
      <c r="AA580" s="168"/>
    </row>
    <row r="581" customFormat="false" ht="15.75" hidden="false" customHeight="false" outlineLevel="0" collapsed="false">
      <c r="A581" s="168" t="str">
        <f aca="false">IF(ISBLANK(B581),"",B581&amp;"|"&amp;C581)</f>
        <v/>
      </c>
      <c r="B581" s="168"/>
      <c r="C581" s="168"/>
      <c r="D581" s="168"/>
      <c r="E581" s="175"/>
      <c r="F581" s="168"/>
      <c r="G581" s="168"/>
      <c r="H581" s="168"/>
      <c r="I581" s="168"/>
      <c r="J581" s="168"/>
      <c r="K581" s="168"/>
      <c r="L581" s="168"/>
      <c r="M581" s="168"/>
      <c r="N581" s="168"/>
      <c r="O581" s="168"/>
      <c r="P581" s="168"/>
      <c r="Q581" s="168"/>
      <c r="R581" s="168"/>
      <c r="S581" s="168"/>
      <c r="T581" s="168"/>
      <c r="U581" s="168"/>
      <c r="V581" s="168"/>
      <c r="W581" s="168"/>
      <c r="X581" s="168"/>
      <c r="Y581" s="168"/>
      <c r="Z581" s="168"/>
      <c r="AA581" s="168"/>
    </row>
    <row r="582" customFormat="false" ht="15.75" hidden="false" customHeight="false" outlineLevel="0" collapsed="false">
      <c r="A582" s="168" t="str">
        <f aca="false">IF(ISBLANK(B582),"",B582&amp;"|"&amp;C582)</f>
        <v/>
      </c>
      <c r="B582" s="168"/>
      <c r="C582" s="168"/>
      <c r="D582" s="168"/>
      <c r="E582" s="175"/>
      <c r="F582" s="168"/>
      <c r="G582" s="168"/>
      <c r="H582" s="168"/>
      <c r="I582" s="168"/>
      <c r="J582" s="168"/>
      <c r="K582" s="168"/>
      <c r="L582" s="168"/>
      <c r="M582" s="168"/>
      <c r="N582" s="168"/>
      <c r="O582" s="168"/>
      <c r="P582" s="168"/>
      <c r="Q582" s="168"/>
      <c r="R582" s="168"/>
      <c r="S582" s="168"/>
      <c r="T582" s="168"/>
      <c r="U582" s="168"/>
      <c r="V582" s="168"/>
      <c r="W582" s="168"/>
      <c r="X582" s="168"/>
      <c r="Y582" s="168"/>
      <c r="Z582" s="168"/>
      <c r="AA582" s="168"/>
    </row>
    <row r="583" customFormat="false" ht="15.75" hidden="false" customHeight="false" outlineLevel="0" collapsed="false">
      <c r="A583" s="168" t="str">
        <f aca="false">IF(ISBLANK(B583),"",B583&amp;"|"&amp;C583)</f>
        <v/>
      </c>
      <c r="B583" s="168"/>
      <c r="C583" s="168"/>
      <c r="D583" s="168"/>
      <c r="E583" s="175"/>
      <c r="F583" s="168"/>
      <c r="G583" s="168"/>
      <c r="H583" s="168"/>
      <c r="I583" s="168"/>
      <c r="J583" s="168"/>
      <c r="K583" s="168"/>
      <c r="L583" s="168"/>
      <c r="M583" s="168"/>
      <c r="N583" s="168"/>
      <c r="O583" s="168"/>
      <c r="P583" s="168"/>
      <c r="Q583" s="168"/>
      <c r="R583" s="168"/>
      <c r="S583" s="168"/>
      <c r="T583" s="168"/>
      <c r="U583" s="168"/>
      <c r="V583" s="168"/>
      <c r="W583" s="168"/>
      <c r="X583" s="168"/>
      <c r="Y583" s="168"/>
      <c r="Z583" s="168"/>
      <c r="AA583" s="168"/>
    </row>
    <row r="584" customFormat="false" ht="15.75" hidden="false" customHeight="false" outlineLevel="0" collapsed="false">
      <c r="A584" s="168" t="str">
        <f aca="false">IF(ISBLANK(B584),"",B584&amp;"|"&amp;C584)</f>
        <v/>
      </c>
      <c r="B584" s="168"/>
      <c r="C584" s="168"/>
      <c r="D584" s="168"/>
      <c r="E584" s="175"/>
      <c r="F584" s="168"/>
      <c r="G584" s="168"/>
      <c r="H584" s="168"/>
      <c r="I584" s="168"/>
      <c r="J584" s="168"/>
      <c r="K584" s="168"/>
      <c r="L584" s="168"/>
      <c r="M584" s="168"/>
      <c r="N584" s="168"/>
      <c r="O584" s="168"/>
      <c r="P584" s="168"/>
      <c r="Q584" s="168"/>
      <c r="R584" s="168"/>
      <c r="S584" s="168"/>
      <c r="T584" s="168"/>
      <c r="U584" s="168"/>
      <c r="V584" s="168"/>
      <c r="W584" s="168"/>
      <c r="X584" s="168"/>
      <c r="Y584" s="168"/>
      <c r="Z584" s="168"/>
      <c r="AA584" s="168"/>
    </row>
    <row r="585" customFormat="false" ht="15.75" hidden="false" customHeight="false" outlineLevel="0" collapsed="false">
      <c r="A585" s="168" t="str">
        <f aca="false">IF(ISBLANK(B585),"",B585&amp;"|"&amp;C585)</f>
        <v/>
      </c>
      <c r="B585" s="168"/>
      <c r="C585" s="168"/>
      <c r="D585" s="168"/>
      <c r="E585" s="175"/>
      <c r="F585" s="168"/>
      <c r="G585" s="168"/>
      <c r="H585" s="168"/>
      <c r="I585" s="168"/>
      <c r="J585" s="168"/>
      <c r="K585" s="168"/>
      <c r="L585" s="168"/>
      <c r="M585" s="168"/>
      <c r="N585" s="168"/>
      <c r="O585" s="168"/>
      <c r="P585" s="168"/>
      <c r="Q585" s="168"/>
      <c r="R585" s="168"/>
      <c r="S585" s="168"/>
      <c r="T585" s="168"/>
      <c r="U585" s="168"/>
      <c r="V585" s="168"/>
      <c r="W585" s="168"/>
      <c r="X585" s="168"/>
      <c r="Y585" s="168"/>
      <c r="Z585" s="168"/>
      <c r="AA585" s="168"/>
    </row>
    <row r="586" customFormat="false" ht="15.75" hidden="false" customHeight="false" outlineLevel="0" collapsed="false">
      <c r="A586" s="168" t="str">
        <f aca="false">IF(ISBLANK(B586),"",B586&amp;"|"&amp;C586)</f>
        <v/>
      </c>
      <c r="B586" s="168"/>
      <c r="C586" s="168"/>
      <c r="D586" s="168"/>
      <c r="E586" s="175"/>
      <c r="F586" s="168"/>
      <c r="G586" s="168"/>
      <c r="H586" s="168"/>
      <c r="I586" s="168"/>
      <c r="J586" s="168"/>
      <c r="K586" s="168"/>
      <c r="L586" s="168"/>
      <c r="M586" s="168"/>
      <c r="N586" s="168"/>
      <c r="O586" s="168"/>
      <c r="P586" s="168"/>
      <c r="Q586" s="168"/>
      <c r="R586" s="168"/>
      <c r="S586" s="168"/>
      <c r="T586" s="168"/>
      <c r="U586" s="168"/>
      <c r="V586" s="168"/>
      <c r="W586" s="168"/>
      <c r="X586" s="168"/>
      <c r="Y586" s="168"/>
      <c r="Z586" s="168"/>
      <c r="AA586" s="168"/>
    </row>
    <row r="587" customFormat="false" ht="15.75" hidden="false" customHeight="false" outlineLevel="0" collapsed="false">
      <c r="A587" s="168" t="str">
        <f aca="false">IF(ISBLANK(B587),"",B587&amp;"|"&amp;C587)</f>
        <v/>
      </c>
      <c r="B587" s="168"/>
      <c r="C587" s="168"/>
      <c r="D587" s="168"/>
      <c r="E587" s="175"/>
      <c r="F587" s="168"/>
      <c r="G587" s="168"/>
      <c r="H587" s="168"/>
      <c r="I587" s="168"/>
      <c r="J587" s="168"/>
      <c r="K587" s="168"/>
      <c r="L587" s="168"/>
      <c r="M587" s="168"/>
      <c r="N587" s="168"/>
      <c r="O587" s="168"/>
      <c r="P587" s="168"/>
      <c r="Q587" s="168"/>
      <c r="R587" s="168"/>
      <c r="S587" s="168"/>
      <c r="T587" s="168"/>
      <c r="U587" s="168"/>
      <c r="V587" s="168"/>
      <c r="W587" s="168"/>
      <c r="X587" s="168"/>
      <c r="Y587" s="168"/>
      <c r="Z587" s="168"/>
      <c r="AA587" s="168"/>
    </row>
    <row r="588" customFormat="false" ht="15.75" hidden="false" customHeight="false" outlineLevel="0" collapsed="false">
      <c r="A588" s="168" t="str">
        <f aca="false">IF(ISBLANK(B588),"",B588&amp;"|"&amp;C588)</f>
        <v/>
      </c>
      <c r="B588" s="168"/>
      <c r="C588" s="168"/>
      <c r="D588" s="168"/>
      <c r="E588" s="175"/>
      <c r="F588" s="168"/>
      <c r="G588" s="168"/>
      <c r="H588" s="168"/>
      <c r="I588" s="168"/>
      <c r="J588" s="168"/>
      <c r="K588" s="168"/>
      <c r="L588" s="168"/>
      <c r="M588" s="168"/>
      <c r="N588" s="168"/>
      <c r="O588" s="168"/>
      <c r="P588" s="168"/>
      <c r="Q588" s="168"/>
      <c r="R588" s="168"/>
      <c r="S588" s="168"/>
      <c r="T588" s="168"/>
      <c r="U588" s="168"/>
      <c r="V588" s="168"/>
      <c r="W588" s="168"/>
      <c r="X588" s="168"/>
      <c r="Y588" s="168"/>
      <c r="Z588" s="168"/>
      <c r="AA588" s="168"/>
    </row>
    <row r="589" customFormat="false" ht="15.75" hidden="false" customHeight="false" outlineLevel="0" collapsed="false">
      <c r="A589" s="168" t="str">
        <f aca="false">IF(ISBLANK(B589),"",B589&amp;"|"&amp;C589)</f>
        <v/>
      </c>
      <c r="B589" s="168"/>
      <c r="C589" s="168"/>
      <c r="D589" s="168"/>
      <c r="E589" s="175"/>
      <c r="F589" s="168"/>
      <c r="G589" s="168"/>
      <c r="H589" s="168"/>
      <c r="I589" s="168"/>
      <c r="J589" s="168"/>
      <c r="K589" s="168"/>
      <c r="L589" s="168"/>
      <c r="M589" s="168"/>
      <c r="N589" s="168"/>
      <c r="O589" s="168"/>
      <c r="P589" s="168"/>
      <c r="Q589" s="168"/>
      <c r="R589" s="168"/>
      <c r="S589" s="168"/>
      <c r="T589" s="168"/>
      <c r="U589" s="168"/>
      <c r="V589" s="168"/>
      <c r="W589" s="168"/>
      <c r="X589" s="168"/>
      <c r="Y589" s="168"/>
      <c r="Z589" s="168"/>
      <c r="AA589" s="168"/>
    </row>
    <row r="590" customFormat="false" ht="15.75" hidden="false" customHeight="false" outlineLevel="0" collapsed="false">
      <c r="A590" s="168" t="str">
        <f aca="false">IF(ISBLANK(B590),"",B590&amp;"|"&amp;C590)</f>
        <v/>
      </c>
      <c r="B590" s="168"/>
      <c r="C590" s="168"/>
      <c r="D590" s="168"/>
      <c r="E590" s="175"/>
      <c r="F590" s="168"/>
      <c r="G590" s="168"/>
      <c r="H590" s="168"/>
      <c r="I590" s="168"/>
      <c r="J590" s="168"/>
      <c r="K590" s="168"/>
      <c r="L590" s="168"/>
      <c r="M590" s="168"/>
      <c r="N590" s="168"/>
      <c r="O590" s="168"/>
      <c r="P590" s="168"/>
      <c r="Q590" s="168"/>
      <c r="R590" s="168"/>
      <c r="S590" s="168"/>
      <c r="T590" s="168"/>
      <c r="U590" s="168"/>
      <c r="V590" s="168"/>
      <c r="W590" s="168"/>
      <c r="X590" s="168"/>
      <c r="Y590" s="168"/>
      <c r="Z590" s="168"/>
      <c r="AA590" s="168"/>
    </row>
    <row r="591" customFormat="false" ht="15.75" hidden="false" customHeight="false" outlineLevel="0" collapsed="false">
      <c r="A591" s="168" t="str">
        <f aca="false">IF(ISBLANK(B591),"",B591&amp;"|"&amp;C591)</f>
        <v/>
      </c>
      <c r="B591" s="168"/>
      <c r="C591" s="168"/>
      <c r="D591" s="168"/>
      <c r="E591" s="175"/>
      <c r="F591" s="168"/>
      <c r="G591" s="168"/>
      <c r="H591" s="168"/>
      <c r="I591" s="168"/>
      <c r="J591" s="168"/>
      <c r="K591" s="168"/>
      <c r="L591" s="168"/>
      <c r="M591" s="168"/>
      <c r="N591" s="168"/>
      <c r="O591" s="168"/>
      <c r="P591" s="168"/>
      <c r="Q591" s="168"/>
      <c r="R591" s="168"/>
      <c r="S591" s="168"/>
      <c r="T591" s="168"/>
      <c r="U591" s="168"/>
      <c r="V591" s="168"/>
      <c r="W591" s="168"/>
      <c r="X591" s="168"/>
      <c r="Y591" s="168"/>
      <c r="Z591" s="168"/>
      <c r="AA591" s="168"/>
    </row>
    <row r="592" customFormat="false" ht="15.75" hidden="false" customHeight="false" outlineLevel="0" collapsed="false">
      <c r="A592" s="168" t="str">
        <f aca="false">IF(ISBLANK(B592),"",B592&amp;"|"&amp;C592)</f>
        <v/>
      </c>
      <c r="B592" s="168"/>
      <c r="C592" s="168"/>
      <c r="D592" s="168"/>
      <c r="E592" s="175"/>
      <c r="F592" s="168"/>
      <c r="G592" s="168"/>
      <c r="H592" s="168"/>
      <c r="I592" s="168"/>
      <c r="J592" s="168"/>
      <c r="K592" s="168"/>
      <c r="L592" s="168"/>
      <c r="M592" s="168"/>
      <c r="N592" s="168"/>
      <c r="O592" s="168"/>
      <c r="P592" s="168"/>
      <c r="Q592" s="168"/>
      <c r="R592" s="168"/>
      <c r="S592" s="168"/>
      <c r="T592" s="168"/>
      <c r="U592" s="168"/>
      <c r="V592" s="168"/>
      <c r="W592" s="168"/>
      <c r="X592" s="168"/>
      <c r="Y592" s="168"/>
      <c r="Z592" s="168"/>
      <c r="AA592" s="168"/>
    </row>
    <row r="593" customFormat="false" ht="15.75" hidden="false" customHeight="false" outlineLevel="0" collapsed="false">
      <c r="A593" s="168" t="str">
        <f aca="false">IF(ISBLANK(B593),"",B593&amp;"|"&amp;C593)</f>
        <v/>
      </c>
      <c r="B593" s="168"/>
      <c r="C593" s="168"/>
      <c r="D593" s="168"/>
      <c r="E593" s="175"/>
      <c r="F593" s="168"/>
      <c r="G593" s="168"/>
      <c r="H593" s="168"/>
      <c r="I593" s="168"/>
      <c r="J593" s="168"/>
      <c r="K593" s="168"/>
      <c r="L593" s="168"/>
      <c r="M593" s="168"/>
      <c r="N593" s="168"/>
      <c r="O593" s="168"/>
      <c r="P593" s="168"/>
      <c r="Q593" s="168"/>
      <c r="R593" s="168"/>
      <c r="S593" s="168"/>
      <c r="T593" s="168"/>
      <c r="U593" s="168"/>
      <c r="V593" s="168"/>
      <c r="W593" s="168"/>
      <c r="X593" s="168"/>
      <c r="Y593" s="168"/>
      <c r="Z593" s="168"/>
      <c r="AA593" s="168"/>
    </row>
    <row r="594" customFormat="false" ht="15.75" hidden="false" customHeight="false" outlineLevel="0" collapsed="false">
      <c r="A594" s="168" t="str">
        <f aca="false">IF(ISBLANK(B594),"",B594&amp;"|"&amp;C594)</f>
        <v/>
      </c>
      <c r="B594" s="168"/>
      <c r="C594" s="168"/>
      <c r="D594" s="168"/>
      <c r="E594" s="175"/>
      <c r="F594" s="168"/>
      <c r="G594" s="168"/>
      <c r="H594" s="168"/>
      <c r="I594" s="168"/>
      <c r="J594" s="168"/>
      <c r="K594" s="168"/>
      <c r="L594" s="168"/>
      <c r="M594" s="168"/>
      <c r="N594" s="168"/>
      <c r="O594" s="168"/>
      <c r="P594" s="168"/>
      <c r="Q594" s="168"/>
      <c r="R594" s="168"/>
      <c r="S594" s="168"/>
      <c r="T594" s="168"/>
      <c r="U594" s="168"/>
      <c r="V594" s="168"/>
      <c r="W594" s="168"/>
      <c r="X594" s="168"/>
      <c r="Y594" s="168"/>
      <c r="Z594" s="168"/>
      <c r="AA594" s="168"/>
    </row>
    <row r="595" customFormat="false" ht="15.75" hidden="false" customHeight="false" outlineLevel="0" collapsed="false">
      <c r="A595" s="168" t="str">
        <f aca="false">IF(ISBLANK(B595),"",B595&amp;"|"&amp;C595)</f>
        <v/>
      </c>
      <c r="B595" s="168"/>
      <c r="C595" s="168"/>
      <c r="D595" s="168"/>
      <c r="E595" s="175"/>
      <c r="F595" s="168"/>
      <c r="G595" s="168"/>
      <c r="H595" s="168"/>
      <c r="I595" s="168"/>
      <c r="J595" s="168"/>
      <c r="K595" s="168"/>
      <c r="L595" s="168"/>
      <c r="M595" s="168"/>
      <c r="N595" s="168"/>
      <c r="O595" s="168"/>
      <c r="P595" s="168"/>
      <c r="Q595" s="168"/>
      <c r="R595" s="168"/>
      <c r="S595" s="168"/>
      <c r="T595" s="168"/>
      <c r="U595" s="168"/>
      <c r="V595" s="168"/>
      <c r="W595" s="168"/>
      <c r="X595" s="168"/>
      <c r="Y595" s="168"/>
      <c r="Z595" s="168"/>
      <c r="AA595" s="168"/>
    </row>
    <row r="596" customFormat="false" ht="15.75" hidden="false" customHeight="false" outlineLevel="0" collapsed="false">
      <c r="A596" s="168" t="str">
        <f aca="false">IF(ISBLANK(B596),"",B596&amp;"|"&amp;C596)</f>
        <v/>
      </c>
      <c r="B596" s="168"/>
      <c r="C596" s="168"/>
      <c r="D596" s="168"/>
      <c r="E596" s="175"/>
      <c r="F596" s="168"/>
      <c r="G596" s="168"/>
      <c r="H596" s="168"/>
      <c r="I596" s="168"/>
      <c r="J596" s="168"/>
      <c r="K596" s="168"/>
      <c r="L596" s="168"/>
      <c r="M596" s="168"/>
      <c r="N596" s="168"/>
      <c r="O596" s="168"/>
      <c r="P596" s="168"/>
      <c r="Q596" s="168"/>
      <c r="R596" s="168"/>
      <c r="S596" s="168"/>
      <c r="T596" s="168"/>
      <c r="U596" s="168"/>
      <c r="V596" s="168"/>
      <c r="W596" s="168"/>
      <c r="X596" s="168"/>
      <c r="Y596" s="168"/>
      <c r="Z596" s="168"/>
      <c r="AA596" s="168"/>
    </row>
    <row r="597" customFormat="false" ht="15.75" hidden="false" customHeight="false" outlineLevel="0" collapsed="false">
      <c r="A597" s="168" t="str">
        <f aca="false">IF(ISBLANK(B597),"",B597&amp;"|"&amp;C597)</f>
        <v/>
      </c>
      <c r="B597" s="168"/>
      <c r="C597" s="168"/>
      <c r="D597" s="168"/>
      <c r="E597" s="175"/>
      <c r="F597" s="168"/>
      <c r="G597" s="168"/>
      <c r="H597" s="168"/>
      <c r="I597" s="168"/>
      <c r="J597" s="168"/>
      <c r="K597" s="168"/>
      <c r="L597" s="168"/>
      <c r="M597" s="168"/>
      <c r="N597" s="168"/>
      <c r="O597" s="168"/>
      <c r="P597" s="168"/>
      <c r="Q597" s="168"/>
      <c r="R597" s="168"/>
      <c r="S597" s="168"/>
      <c r="T597" s="168"/>
      <c r="U597" s="168"/>
      <c r="V597" s="168"/>
      <c r="W597" s="168"/>
      <c r="X597" s="168"/>
      <c r="Y597" s="168"/>
      <c r="Z597" s="168"/>
      <c r="AA597" s="168"/>
    </row>
    <row r="598" customFormat="false" ht="15.75" hidden="false" customHeight="false" outlineLevel="0" collapsed="false">
      <c r="A598" s="168" t="str">
        <f aca="false">IF(ISBLANK(B598),"",B598&amp;"|"&amp;C598)</f>
        <v/>
      </c>
      <c r="B598" s="168"/>
      <c r="C598" s="168"/>
      <c r="D598" s="168"/>
      <c r="E598" s="175"/>
      <c r="F598" s="168"/>
      <c r="G598" s="168"/>
      <c r="H598" s="168"/>
      <c r="I598" s="168"/>
      <c r="J598" s="168"/>
      <c r="K598" s="168"/>
      <c r="L598" s="168"/>
      <c r="M598" s="168"/>
      <c r="N598" s="168"/>
      <c r="O598" s="168"/>
      <c r="P598" s="168"/>
      <c r="Q598" s="168"/>
      <c r="R598" s="168"/>
      <c r="S598" s="168"/>
      <c r="T598" s="168"/>
      <c r="U598" s="168"/>
      <c r="V598" s="168"/>
      <c r="W598" s="168"/>
      <c r="X598" s="168"/>
      <c r="Y598" s="168"/>
      <c r="Z598" s="168"/>
      <c r="AA598" s="168"/>
    </row>
    <row r="599" customFormat="false" ht="15.75" hidden="false" customHeight="false" outlineLevel="0" collapsed="false">
      <c r="A599" s="168" t="str">
        <f aca="false">IF(ISBLANK(B599),"",B599&amp;"|"&amp;C599)</f>
        <v/>
      </c>
      <c r="B599" s="168"/>
      <c r="C599" s="168"/>
      <c r="D599" s="168"/>
      <c r="E599" s="175"/>
      <c r="F599" s="168"/>
      <c r="G599" s="168"/>
      <c r="H599" s="168"/>
      <c r="I599" s="168"/>
      <c r="J599" s="168"/>
      <c r="K599" s="168"/>
      <c r="L599" s="168"/>
      <c r="M599" s="168"/>
      <c r="N599" s="168"/>
      <c r="O599" s="168"/>
      <c r="P599" s="168"/>
      <c r="Q599" s="168"/>
      <c r="R599" s="168"/>
      <c r="S599" s="168"/>
      <c r="T599" s="168"/>
      <c r="U599" s="168"/>
      <c r="V599" s="168"/>
      <c r="W599" s="168"/>
      <c r="X599" s="168"/>
      <c r="Y599" s="168"/>
      <c r="Z599" s="168"/>
      <c r="AA599" s="168"/>
    </row>
    <row r="600" customFormat="false" ht="15.75" hidden="false" customHeight="false" outlineLevel="0" collapsed="false">
      <c r="A600" s="168" t="str">
        <f aca="false">IF(ISBLANK(B600),"",B600&amp;"|"&amp;C600)</f>
        <v/>
      </c>
      <c r="B600" s="168"/>
      <c r="C600" s="168"/>
      <c r="D600" s="168"/>
      <c r="E600" s="175"/>
      <c r="F600" s="168"/>
      <c r="G600" s="168"/>
      <c r="H600" s="168"/>
      <c r="I600" s="168"/>
      <c r="J600" s="168"/>
      <c r="K600" s="168"/>
      <c r="L600" s="168"/>
      <c r="M600" s="168"/>
      <c r="N600" s="168"/>
      <c r="O600" s="168"/>
      <c r="P600" s="168"/>
      <c r="Q600" s="168"/>
      <c r="R600" s="168"/>
      <c r="S600" s="168"/>
      <c r="T600" s="168"/>
      <c r="U600" s="168"/>
      <c r="V600" s="168"/>
      <c r="W600" s="168"/>
      <c r="X600" s="168"/>
      <c r="Y600" s="168"/>
      <c r="Z600" s="168"/>
      <c r="AA600" s="168"/>
    </row>
    <row r="601" customFormat="false" ht="15.75" hidden="false" customHeight="false" outlineLevel="0" collapsed="false">
      <c r="A601" s="168" t="str">
        <f aca="false">IF(ISBLANK(B601),"",B601&amp;"|"&amp;C601)</f>
        <v/>
      </c>
      <c r="B601" s="168"/>
      <c r="C601" s="168"/>
      <c r="D601" s="168"/>
      <c r="E601" s="175"/>
      <c r="F601" s="168"/>
      <c r="G601" s="168"/>
      <c r="H601" s="168"/>
      <c r="I601" s="168"/>
      <c r="J601" s="168"/>
      <c r="K601" s="168"/>
      <c r="L601" s="168"/>
      <c r="M601" s="168"/>
      <c r="N601" s="168"/>
      <c r="O601" s="168"/>
      <c r="P601" s="168"/>
      <c r="Q601" s="168"/>
      <c r="R601" s="168"/>
      <c r="S601" s="168"/>
      <c r="T601" s="168"/>
      <c r="U601" s="168"/>
      <c r="V601" s="168"/>
      <c r="W601" s="168"/>
      <c r="X601" s="168"/>
      <c r="Y601" s="168"/>
      <c r="Z601" s="168"/>
      <c r="AA601" s="168"/>
    </row>
    <row r="602" customFormat="false" ht="15.75" hidden="false" customHeight="false" outlineLevel="0" collapsed="false">
      <c r="A602" s="168" t="str">
        <f aca="false">IF(ISBLANK(B602),"",B602&amp;"|"&amp;C602)</f>
        <v/>
      </c>
      <c r="B602" s="168"/>
      <c r="C602" s="168"/>
      <c r="D602" s="168"/>
      <c r="E602" s="175"/>
      <c r="F602" s="168"/>
      <c r="G602" s="168"/>
      <c r="H602" s="168"/>
      <c r="I602" s="168"/>
      <c r="J602" s="168"/>
      <c r="K602" s="168"/>
      <c r="L602" s="168"/>
      <c r="M602" s="168"/>
      <c r="N602" s="168"/>
      <c r="O602" s="168"/>
      <c r="P602" s="168"/>
      <c r="Q602" s="168"/>
      <c r="R602" s="168"/>
      <c r="S602" s="168"/>
      <c r="T602" s="168"/>
      <c r="U602" s="168"/>
      <c r="V602" s="168"/>
      <c r="W602" s="168"/>
      <c r="X602" s="168"/>
      <c r="Y602" s="168"/>
      <c r="Z602" s="168"/>
      <c r="AA602" s="168"/>
    </row>
    <row r="603" customFormat="false" ht="15.75" hidden="false" customHeight="false" outlineLevel="0" collapsed="false">
      <c r="A603" s="168" t="str">
        <f aca="false">IF(ISBLANK(B603),"",B603&amp;"|"&amp;C603)</f>
        <v/>
      </c>
      <c r="B603" s="168"/>
      <c r="C603" s="168"/>
      <c r="D603" s="168"/>
      <c r="E603" s="175"/>
      <c r="F603" s="168"/>
      <c r="G603" s="168"/>
      <c r="H603" s="168"/>
      <c r="I603" s="168"/>
      <c r="J603" s="168"/>
      <c r="K603" s="168"/>
      <c r="L603" s="168"/>
      <c r="M603" s="168"/>
      <c r="N603" s="168"/>
      <c r="O603" s="168"/>
      <c r="P603" s="168"/>
      <c r="Q603" s="168"/>
      <c r="R603" s="168"/>
      <c r="S603" s="168"/>
      <c r="T603" s="168"/>
      <c r="U603" s="168"/>
      <c r="V603" s="168"/>
      <c r="W603" s="168"/>
      <c r="X603" s="168"/>
      <c r="Y603" s="168"/>
      <c r="Z603" s="168"/>
      <c r="AA603" s="168"/>
    </row>
    <row r="604" customFormat="false" ht="15.75" hidden="false" customHeight="false" outlineLevel="0" collapsed="false">
      <c r="A604" s="168" t="str">
        <f aca="false">IF(ISBLANK(B604),"",B604&amp;"|"&amp;C604)</f>
        <v/>
      </c>
      <c r="B604" s="168"/>
      <c r="C604" s="168"/>
      <c r="D604" s="168"/>
      <c r="E604" s="175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  <c r="AA604" s="168"/>
    </row>
    <row r="605" customFormat="false" ht="15.75" hidden="false" customHeight="false" outlineLevel="0" collapsed="false">
      <c r="A605" s="168" t="str">
        <f aca="false">IF(ISBLANK(B605),"",B605&amp;"|"&amp;C605)</f>
        <v/>
      </c>
      <c r="B605" s="168"/>
      <c r="C605" s="168"/>
      <c r="D605" s="168"/>
      <c r="E605" s="175"/>
      <c r="F605" s="168"/>
      <c r="G605" s="168"/>
      <c r="H605" s="168"/>
      <c r="I605" s="168"/>
      <c r="J605" s="168"/>
      <c r="K605" s="168"/>
      <c r="L605" s="168"/>
      <c r="M605" s="168"/>
      <c r="N605" s="168"/>
      <c r="O605" s="168"/>
      <c r="P605" s="168"/>
      <c r="Q605" s="168"/>
      <c r="R605" s="168"/>
      <c r="S605" s="168"/>
      <c r="T605" s="168"/>
      <c r="U605" s="168"/>
      <c r="V605" s="168"/>
      <c r="W605" s="168"/>
      <c r="X605" s="168"/>
      <c r="Y605" s="168"/>
      <c r="Z605" s="168"/>
      <c r="AA605" s="168"/>
    </row>
    <row r="606" customFormat="false" ht="15.75" hidden="false" customHeight="false" outlineLevel="0" collapsed="false">
      <c r="A606" s="168" t="str">
        <f aca="false">IF(ISBLANK(B606),"",B606&amp;"|"&amp;C606)</f>
        <v/>
      </c>
      <c r="B606" s="168"/>
      <c r="C606" s="168"/>
      <c r="D606" s="168"/>
      <c r="E606" s="175"/>
      <c r="F606" s="168"/>
      <c r="G606" s="168"/>
      <c r="H606" s="168"/>
      <c r="I606" s="168"/>
      <c r="J606" s="168"/>
      <c r="K606" s="168"/>
      <c r="L606" s="168"/>
      <c r="M606" s="168"/>
      <c r="N606" s="168"/>
      <c r="O606" s="168"/>
      <c r="P606" s="168"/>
      <c r="Q606" s="168"/>
      <c r="R606" s="168"/>
      <c r="S606" s="168"/>
      <c r="T606" s="168"/>
      <c r="U606" s="168"/>
      <c r="V606" s="168"/>
      <c r="W606" s="168"/>
      <c r="X606" s="168"/>
      <c r="Y606" s="168"/>
      <c r="Z606" s="168"/>
      <c r="AA606" s="168"/>
    </row>
    <row r="607" customFormat="false" ht="15.75" hidden="false" customHeight="false" outlineLevel="0" collapsed="false">
      <c r="A607" s="168" t="str">
        <f aca="false">IF(ISBLANK(B607),"",B607&amp;"|"&amp;C607)</f>
        <v/>
      </c>
      <c r="B607" s="168"/>
      <c r="C607" s="168"/>
      <c r="D607" s="168"/>
      <c r="E607" s="175"/>
      <c r="F607" s="168"/>
      <c r="G607" s="168"/>
      <c r="H607" s="168"/>
      <c r="I607" s="168"/>
      <c r="J607" s="168"/>
      <c r="K607" s="168"/>
      <c r="L607" s="168"/>
      <c r="M607" s="168"/>
      <c r="N607" s="168"/>
      <c r="O607" s="168"/>
      <c r="P607" s="168"/>
      <c r="Q607" s="168"/>
      <c r="R607" s="168"/>
      <c r="S607" s="168"/>
      <c r="T607" s="168"/>
      <c r="U607" s="168"/>
      <c r="V607" s="168"/>
      <c r="W607" s="168"/>
      <c r="X607" s="168"/>
      <c r="Y607" s="168"/>
      <c r="Z607" s="168"/>
      <c r="AA607" s="168"/>
    </row>
    <row r="608" customFormat="false" ht="15.75" hidden="false" customHeight="false" outlineLevel="0" collapsed="false">
      <c r="A608" s="168" t="str">
        <f aca="false">IF(ISBLANK(B608),"",B608&amp;"|"&amp;C608)</f>
        <v/>
      </c>
      <c r="B608" s="168"/>
      <c r="C608" s="168"/>
      <c r="D608" s="168"/>
      <c r="E608" s="175"/>
      <c r="F608" s="168"/>
      <c r="G608" s="168"/>
      <c r="H608" s="168"/>
      <c r="I608" s="168"/>
      <c r="J608" s="168"/>
      <c r="K608" s="168"/>
      <c r="L608" s="168"/>
      <c r="M608" s="168"/>
      <c r="N608" s="168"/>
      <c r="O608" s="168"/>
      <c r="P608" s="168"/>
      <c r="Q608" s="168"/>
      <c r="R608" s="168"/>
      <c r="S608" s="168"/>
      <c r="T608" s="168"/>
      <c r="U608" s="168"/>
      <c r="V608" s="168"/>
      <c r="W608" s="168"/>
      <c r="X608" s="168"/>
      <c r="Y608" s="168"/>
      <c r="Z608" s="168"/>
      <c r="AA608" s="168"/>
    </row>
    <row r="609" customFormat="false" ht="15.75" hidden="false" customHeight="false" outlineLevel="0" collapsed="false">
      <c r="A609" s="168" t="str">
        <f aca="false">IF(ISBLANK(B609),"",B609&amp;"|"&amp;C609)</f>
        <v/>
      </c>
      <c r="B609" s="168"/>
      <c r="C609" s="168"/>
      <c r="D609" s="168"/>
      <c r="E609" s="175"/>
      <c r="F609" s="168"/>
      <c r="G609" s="168"/>
      <c r="H609" s="168"/>
      <c r="I609" s="168"/>
      <c r="J609" s="168"/>
      <c r="K609" s="168"/>
      <c r="L609" s="168"/>
      <c r="M609" s="168"/>
      <c r="N609" s="168"/>
      <c r="O609" s="168"/>
      <c r="P609" s="168"/>
      <c r="Q609" s="168"/>
      <c r="R609" s="168"/>
      <c r="S609" s="168"/>
      <c r="T609" s="168"/>
      <c r="U609" s="168"/>
      <c r="V609" s="168"/>
      <c r="W609" s="168"/>
      <c r="X609" s="168"/>
      <c r="Y609" s="168"/>
      <c r="Z609" s="168"/>
      <c r="AA609" s="168"/>
    </row>
    <row r="610" customFormat="false" ht="15.75" hidden="false" customHeight="false" outlineLevel="0" collapsed="false">
      <c r="A610" s="168" t="str">
        <f aca="false">IF(ISBLANK(B610),"",B610&amp;"|"&amp;C610)</f>
        <v/>
      </c>
      <c r="B610" s="168"/>
      <c r="C610" s="168"/>
      <c r="D610" s="168"/>
      <c r="E610" s="175"/>
      <c r="F610" s="168"/>
      <c r="G610" s="168"/>
      <c r="H610" s="168"/>
      <c r="I610" s="168"/>
      <c r="J610" s="168"/>
      <c r="K610" s="168"/>
      <c r="L610" s="168"/>
      <c r="M610" s="168"/>
      <c r="N610" s="168"/>
      <c r="O610" s="168"/>
      <c r="P610" s="168"/>
      <c r="Q610" s="168"/>
      <c r="R610" s="168"/>
      <c r="S610" s="168"/>
      <c r="T610" s="168"/>
      <c r="U610" s="168"/>
      <c r="V610" s="168"/>
      <c r="W610" s="168"/>
      <c r="X610" s="168"/>
      <c r="Y610" s="168"/>
      <c r="Z610" s="168"/>
      <c r="AA610" s="168"/>
    </row>
    <row r="611" customFormat="false" ht="15.75" hidden="false" customHeight="false" outlineLevel="0" collapsed="false">
      <c r="A611" s="168" t="str">
        <f aca="false">IF(ISBLANK(B611),"",B611&amp;"|"&amp;C611)</f>
        <v/>
      </c>
      <c r="B611" s="168"/>
      <c r="C611" s="168"/>
      <c r="D611" s="168"/>
      <c r="E611" s="175"/>
      <c r="F611" s="168"/>
      <c r="G611" s="168"/>
      <c r="H611" s="168"/>
      <c r="I611" s="168"/>
      <c r="J611" s="168"/>
      <c r="K611" s="168"/>
      <c r="L611" s="168"/>
      <c r="M611" s="168"/>
      <c r="N611" s="168"/>
      <c r="O611" s="168"/>
      <c r="P611" s="168"/>
      <c r="Q611" s="168"/>
      <c r="R611" s="168"/>
      <c r="S611" s="168"/>
      <c r="T611" s="168"/>
      <c r="U611" s="168"/>
      <c r="V611" s="168"/>
      <c r="W611" s="168"/>
      <c r="X611" s="168"/>
      <c r="Y611" s="168"/>
      <c r="Z611" s="168"/>
      <c r="AA611" s="168"/>
    </row>
    <row r="612" customFormat="false" ht="15.75" hidden="false" customHeight="false" outlineLevel="0" collapsed="false">
      <c r="A612" s="168" t="str">
        <f aca="false">IF(ISBLANK(B612),"",B612&amp;"|"&amp;C612)</f>
        <v/>
      </c>
      <c r="B612" s="168"/>
      <c r="C612" s="168"/>
      <c r="D612" s="168"/>
      <c r="E612" s="175"/>
      <c r="F612" s="168"/>
      <c r="G612" s="168"/>
      <c r="H612" s="168"/>
      <c r="I612" s="168"/>
      <c r="J612" s="168"/>
      <c r="K612" s="168"/>
      <c r="L612" s="168"/>
      <c r="M612" s="168"/>
      <c r="N612" s="168"/>
      <c r="O612" s="168"/>
      <c r="P612" s="168"/>
      <c r="Q612" s="168"/>
      <c r="R612" s="168"/>
      <c r="S612" s="168"/>
      <c r="T612" s="168"/>
      <c r="U612" s="168"/>
      <c r="V612" s="168"/>
      <c r="W612" s="168"/>
      <c r="X612" s="168"/>
      <c r="Y612" s="168"/>
      <c r="Z612" s="168"/>
      <c r="AA612" s="168"/>
    </row>
    <row r="613" customFormat="false" ht="15.75" hidden="false" customHeight="false" outlineLevel="0" collapsed="false">
      <c r="A613" s="168" t="str">
        <f aca="false">IF(ISBLANK(B613),"",B613&amp;"|"&amp;C613)</f>
        <v/>
      </c>
      <c r="B613" s="168"/>
      <c r="C613" s="168"/>
      <c r="D613" s="168"/>
      <c r="E613" s="175"/>
      <c r="F613" s="168"/>
      <c r="G613" s="168"/>
      <c r="H613" s="168"/>
      <c r="I613" s="168"/>
      <c r="J613" s="168"/>
      <c r="K613" s="168"/>
      <c r="L613" s="168"/>
      <c r="M613" s="168"/>
      <c r="N613" s="168"/>
      <c r="O613" s="168"/>
      <c r="P613" s="168"/>
      <c r="Q613" s="168"/>
      <c r="R613" s="168"/>
      <c r="S613" s="168"/>
      <c r="T613" s="168"/>
      <c r="U613" s="168"/>
      <c r="V613" s="168"/>
      <c r="W613" s="168"/>
      <c r="X613" s="168"/>
      <c r="Y613" s="168"/>
      <c r="Z613" s="168"/>
      <c r="AA613" s="168"/>
    </row>
    <row r="614" customFormat="false" ht="15.75" hidden="false" customHeight="false" outlineLevel="0" collapsed="false">
      <c r="A614" s="168" t="str">
        <f aca="false">IF(ISBLANK(B614),"",B614&amp;"|"&amp;C614)</f>
        <v/>
      </c>
      <c r="B614" s="168"/>
      <c r="C614" s="168"/>
      <c r="D614" s="168"/>
      <c r="E614" s="175"/>
      <c r="F614" s="168"/>
      <c r="G614" s="168"/>
      <c r="H614" s="168"/>
      <c r="I614" s="168"/>
      <c r="J614" s="168"/>
      <c r="K614" s="168"/>
      <c r="L614" s="168"/>
      <c r="M614" s="168"/>
      <c r="N614" s="168"/>
      <c r="O614" s="168"/>
      <c r="P614" s="168"/>
      <c r="Q614" s="168"/>
      <c r="R614" s="168"/>
      <c r="S614" s="168"/>
      <c r="T614" s="168"/>
      <c r="U614" s="168"/>
      <c r="V614" s="168"/>
      <c r="W614" s="168"/>
      <c r="X614" s="168"/>
      <c r="Y614" s="168"/>
      <c r="Z614" s="168"/>
      <c r="AA614" s="168"/>
    </row>
    <row r="615" customFormat="false" ht="15.75" hidden="false" customHeight="false" outlineLevel="0" collapsed="false">
      <c r="A615" s="168" t="str">
        <f aca="false">IF(ISBLANK(B615),"",B615&amp;"|"&amp;C615)</f>
        <v/>
      </c>
      <c r="B615" s="168"/>
      <c r="C615" s="168"/>
      <c r="D615" s="168"/>
      <c r="E615" s="175"/>
      <c r="F615" s="168"/>
      <c r="G615" s="168"/>
      <c r="H615" s="168"/>
      <c r="I615" s="168"/>
      <c r="J615" s="168"/>
      <c r="K615" s="168"/>
      <c r="L615" s="168"/>
      <c r="M615" s="168"/>
      <c r="N615" s="168"/>
      <c r="O615" s="168"/>
      <c r="P615" s="168"/>
      <c r="Q615" s="168"/>
      <c r="R615" s="168"/>
      <c r="S615" s="168"/>
      <c r="T615" s="168"/>
      <c r="U615" s="168"/>
      <c r="V615" s="168"/>
      <c r="W615" s="168"/>
      <c r="X615" s="168"/>
      <c r="Y615" s="168"/>
      <c r="Z615" s="168"/>
      <c r="AA615" s="168"/>
    </row>
    <row r="616" customFormat="false" ht="15.75" hidden="false" customHeight="false" outlineLevel="0" collapsed="false">
      <c r="A616" s="168" t="str">
        <f aca="false">IF(ISBLANK(B616),"",B616&amp;"|"&amp;C616)</f>
        <v/>
      </c>
      <c r="B616" s="168"/>
      <c r="C616" s="168"/>
      <c r="D616" s="168"/>
      <c r="E616" s="175"/>
      <c r="F616" s="168"/>
      <c r="G616" s="168"/>
      <c r="H616" s="168"/>
      <c r="I616" s="168"/>
      <c r="J616" s="168"/>
      <c r="K616" s="168"/>
      <c r="L616" s="168"/>
      <c r="M616" s="168"/>
      <c r="N616" s="168"/>
      <c r="O616" s="168"/>
      <c r="P616" s="168"/>
      <c r="Q616" s="168"/>
      <c r="R616" s="168"/>
      <c r="S616" s="168"/>
      <c r="T616" s="168"/>
      <c r="U616" s="168"/>
      <c r="V616" s="168"/>
      <c r="W616" s="168"/>
      <c r="X616" s="168"/>
      <c r="Y616" s="168"/>
      <c r="Z616" s="168"/>
      <c r="AA616" s="168"/>
    </row>
    <row r="617" customFormat="false" ht="15.75" hidden="false" customHeight="false" outlineLevel="0" collapsed="false">
      <c r="A617" s="168" t="str">
        <f aca="false">IF(ISBLANK(B617),"",B617&amp;"|"&amp;C617)</f>
        <v/>
      </c>
      <c r="B617" s="168"/>
      <c r="C617" s="168"/>
      <c r="D617" s="168"/>
      <c r="E617" s="175"/>
      <c r="F617" s="168"/>
      <c r="G617" s="168"/>
      <c r="H617" s="168"/>
      <c r="I617" s="168"/>
      <c r="J617" s="168"/>
      <c r="K617" s="168"/>
      <c r="L617" s="168"/>
      <c r="M617" s="168"/>
      <c r="N617" s="168"/>
      <c r="O617" s="168"/>
      <c r="P617" s="168"/>
      <c r="Q617" s="168"/>
      <c r="R617" s="168"/>
      <c r="S617" s="168"/>
      <c r="T617" s="168"/>
      <c r="U617" s="168"/>
      <c r="V617" s="168"/>
      <c r="W617" s="168"/>
      <c r="X617" s="168"/>
      <c r="Y617" s="168"/>
      <c r="Z617" s="168"/>
      <c r="AA617" s="168"/>
    </row>
    <row r="618" customFormat="false" ht="15.75" hidden="false" customHeight="false" outlineLevel="0" collapsed="false">
      <c r="A618" s="168" t="str">
        <f aca="false">IF(ISBLANK(B618),"",B618&amp;"|"&amp;C618)</f>
        <v/>
      </c>
      <c r="B618" s="168"/>
      <c r="C618" s="168"/>
      <c r="D618" s="168"/>
      <c r="E618" s="175"/>
      <c r="F618" s="168"/>
      <c r="G618" s="168"/>
      <c r="H618" s="168"/>
      <c r="I618" s="168"/>
      <c r="J618" s="168"/>
      <c r="K618" s="168"/>
      <c r="L618" s="168"/>
      <c r="M618" s="168"/>
      <c r="N618" s="168"/>
      <c r="O618" s="168"/>
      <c r="P618" s="168"/>
      <c r="Q618" s="168"/>
      <c r="R618" s="168"/>
      <c r="S618" s="168"/>
      <c r="T618" s="168"/>
      <c r="U618" s="168"/>
      <c r="V618" s="168"/>
      <c r="W618" s="168"/>
      <c r="X618" s="168"/>
      <c r="Y618" s="168"/>
      <c r="Z618" s="168"/>
      <c r="AA618" s="168"/>
    </row>
    <row r="619" customFormat="false" ht="15.75" hidden="false" customHeight="false" outlineLevel="0" collapsed="false">
      <c r="A619" s="168" t="str">
        <f aca="false">IF(ISBLANK(B619),"",B619&amp;"|"&amp;C619)</f>
        <v/>
      </c>
      <c r="B619" s="168"/>
      <c r="C619" s="168"/>
      <c r="D619" s="168"/>
      <c r="E619" s="175"/>
      <c r="F619" s="168"/>
      <c r="G619" s="168"/>
      <c r="H619" s="168"/>
      <c r="I619" s="168"/>
      <c r="J619" s="168"/>
      <c r="K619" s="168"/>
      <c r="L619" s="168"/>
      <c r="M619" s="168"/>
      <c r="N619" s="168"/>
      <c r="O619" s="168"/>
      <c r="P619" s="168"/>
      <c r="Q619" s="168"/>
      <c r="R619" s="168"/>
      <c r="S619" s="168"/>
      <c r="T619" s="168"/>
      <c r="U619" s="168"/>
      <c r="V619" s="168"/>
      <c r="W619" s="168"/>
      <c r="X619" s="168"/>
      <c r="Y619" s="168"/>
      <c r="Z619" s="168"/>
      <c r="AA619" s="168"/>
    </row>
    <row r="620" customFormat="false" ht="15.75" hidden="false" customHeight="false" outlineLevel="0" collapsed="false">
      <c r="A620" s="168" t="str">
        <f aca="false">IF(ISBLANK(B620),"",B620&amp;"|"&amp;C620)</f>
        <v/>
      </c>
      <c r="B620" s="168"/>
      <c r="C620" s="168"/>
      <c r="D620" s="168"/>
      <c r="E620" s="175"/>
      <c r="F620" s="168"/>
      <c r="G620" s="168"/>
      <c r="H620" s="168"/>
      <c r="I620" s="168"/>
      <c r="J620" s="168"/>
      <c r="K620" s="168"/>
      <c r="L620" s="168"/>
      <c r="M620" s="168"/>
      <c r="N620" s="168"/>
      <c r="O620" s="168"/>
      <c r="P620" s="168"/>
      <c r="Q620" s="168"/>
      <c r="R620" s="168"/>
      <c r="S620" s="168"/>
      <c r="T620" s="168"/>
      <c r="U620" s="168"/>
      <c r="V620" s="168"/>
      <c r="W620" s="168"/>
      <c r="X620" s="168"/>
      <c r="Y620" s="168"/>
      <c r="Z620" s="168"/>
      <c r="AA620" s="168"/>
    </row>
    <row r="621" customFormat="false" ht="15.75" hidden="false" customHeight="false" outlineLevel="0" collapsed="false">
      <c r="A621" s="168" t="str">
        <f aca="false">IF(ISBLANK(B621),"",B621&amp;"|"&amp;C621)</f>
        <v/>
      </c>
      <c r="B621" s="168"/>
      <c r="C621" s="168"/>
      <c r="D621" s="168"/>
      <c r="E621" s="175"/>
      <c r="F621" s="168"/>
      <c r="G621" s="168"/>
      <c r="H621" s="168"/>
      <c r="I621" s="168"/>
      <c r="J621" s="168"/>
      <c r="K621" s="168"/>
      <c r="L621" s="168"/>
      <c r="M621" s="168"/>
      <c r="N621" s="168"/>
      <c r="O621" s="168"/>
      <c r="P621" s="168"/>
      <c r="Q621" s="168"/>
      <c r="R621" s="168"/>
      <c r="S621" s="168"/>
      <c r="T621" s="168"/>
      <c r="U621" s="168"/>
      <c r="V621" s="168"/>
      <c r="W621" s="168"/>
      <c r="X621" s="168"/>
      <c r="Y621" s="168"/>
      <c r="Z621" s="168"/>
      <c r="AA621" s="168"/>
    </row>
    <row r="622" customFormat="false" ht="15.75" hidden="false" customHeight="false" outlineLevel="0" collapsed="false">
      <c r="A622" s="168" t="str">
        <f aca="false">IF(ISBLANK(B622),"",B622&amp;"|"&amp;C622)</f>
        <v/>
      </c>
      <c r="B622" s="168"/>
      <c r="C622" s="168"/>
      <c r="D622" s="168"/>
      <c r="E622" s="175"/>
      <c r="F622" s="168"/>
      <c r="G622" s="168"/>
      <c r="H622" s="168"/>
      <c r="I622" s="168"/>
      <c r="J622" s="168"/>
      <c r="K622" s="168"/>
      <c r="L622" s="168"/>
      <c r="M622" s="168"/>
      <c r="N622" s="168"/>
      <c r="O622" s="168"/>
      <c r="P622" s="168"/>
      <c r="Q622" s="168"/>
      <c r="R622" s="168"/>
      <c r="S622" s="168"/>
      <c r="T622" s="168"/>
      <c r="U622" s="168"/>
      <c r="V622" s="168"/>
      <c r="W622" s="168"/>
      <c r="X622" s="168"/>
      <c r="Y622" s="168"/>
      <c r="Z622" s="168"/>
      <c r="AA622" s="168"/>
    </row>
    <row r="623" customFormat="false" ht="15.75" hidden="false" customHeight="false" outlineLevel="0" collapsed="false">
      <c r="A623" s="168" t="str">
        <f aca="false">IF(ISBLANK(B623),"",B623&amp;"|"&amp;C623)</f>
        <v/>
      </c>
      <c r="B623" s="168"/>
      <c r="C623" s="168"/>
      <c r="D623" s="168"/>
      <c r="E623" s="175"/>
      <c r="F623" s="168"/>
      <c r="G623" s="168"/>
      <c r="H623" s="168"/>
      <c r="I623" s="168"/>
      <c r="J623" s="168"/>
      <c r="K623" s="168"/>
      <c r="L623" s="168"/>
      <c r="M623" s="168"/>
      <c r="N623" s="168"/>
      <c r="O623" s="168"/>
      <c r="P623" s="168"/>
      <c r="Q623" s="168"/>
      <c r="R623" s="168"/>
      <c r="S623" s="168"/>
      <c r="T623" s="168"/>
      <c r="U623" s="168"/>
      <c r="V623" s="168"/>
      <c r="W623" s="168"/>
      <c r="X623" s="168"/>
      <c r="Y623" s="168"/>
      <c r="Z623" s="168"/>
      <c r="AA623" s="168"/>
    </row>
    <row r="624" customFormat="false" ht="15.75" hidden="false" customHeight="false" outlineLevel="0" collapsed="false">
      <c r="A624" s="168" t="str">
        <f aca="false">IF(ISBLANK(B624),"",B624&amp;"|"&amp;C624)</f>
        <v/>
      </c>
      <c r="B624" s="168"/>
      <c r="C624" s="168"/>
      <c r="D624" s="168"/>
      <c r="E624" s="175"/>
      <c r="F624" s="168"/>
      <c r="G624" s="168"/>
      <c r="H624" s="168"/>
      <c r="I624" s="168"/>
      <c r="J624" s="168"/>
      <c r="K624" s="168"/>
      <c r="L624" s="168"/>
      <c r="M624" s="168"/>
      <c r="N624" s="168"/>
      <c r="O624" s="168"/>
      <c r="P624" s="168"/>
      <c r="Q624" s="168"/>
      <c r="R624" s="168"/>
      <c r="S624" s="168"/>
      <c r="T624" s="168"/>
      <c r="U624" s="168"/>
      <c r="V624" s="168"/>
      <c r="W624" s="168"/>
      <c r="X624" s="168"/>
      <c r="Y624" s="168"/>
      <c r="Z624" s="168"/>
      <c r="AA624" s="168"/>
    </row>
    <row r="625" customFormat="false" ht="15.75" hidden="false" customHeight="false" outlineLevel="0" collapsed="false">
      <c r="A625" s="168" t="str">
        <f aca="false">IF(ISBLANK(B625),"",B625&amp;"|"&amp;C625)</f>
        <v/>
      </c>
      <c r="B625" s="168"/>
      <c r="C625" s="168"/>
      <c r="D625" s="168"/>
      <c r="E625" s="175"/>
      <c r="F625" s="168"/>
      <c r="G625" s="168"/>
      <c r="H625" s="168"/>
      <c r="I625" s="168"/>
      <c r="J625" s="168"/>
      <c r="K625" s="168"/>
      <c r="L625" s="168"/>
      <c r="M625" s="168"/>
      <c r="N625" s="168"/>
      <c r="O625" s="168"/>
      <c r="P625" s="168"/>
      <c r="Q625" s="168"/>
      <c r="R625" s="168"/>
      <c r="S625" s="168"/>
      <c r="T625" s="168"/>
      <c r="U625" s="168"/>
      <c r="V625" s="168"/>
      <c r="W625" s="168"/>
      <c r="X625" s="168"/>
      <c r="Y625" s="168"/>
      <c r="Z625" s="168"/>
      <c r="AA625" s="168"/>
    </row>
    <row r="626" customFormat="false" ht="15.75" hidden="false" customHeight="false" outlineLevel="0" collapsed="false">
      <c r="A626" s="168" t="str">
        <f aca="false">IF(ISBLANK(B626),"",B626&amp;"|"&amp;C626)</f>
        <v/>
      </c>
      <c r="B626" s="168"/>
      <c r="C626" s="168"/>
      <c r="D626" s="168"/>
      <c r="E626" s="175"/>
      <c r="F626" s="168"/>
      <c r="G626" s="168"/>
      <c r="H626" s="168"/>
      <c r="I626" s="168"/>
      <c r="J626" s="168"/>
      <c r="K626" s="168"/>
      <c r="L626" s="168"/>
      <c r="M626" s="168"/>
      <c r="N626" s="168"/>
      <c r="O626" s="168"/>
      <c r="P626" s="168"/>
      <c r="Q626" s="168"/>
      <c r="R626" s="168"/>
      <c r="S626" s="168"/>
      <c r="T626" s="168"/>
      <c r="U626" s="168"/>
      <c r="V626" s="168"/>
      <c r="W626" s="168"/>
      <c r="X626" s="168"/>
      <c r="Y626" s="168"/>
      <c r="Z626" s="168"/>
      <c r="AA626" s="168"/>
    </row>
    <row r="627" customFormat="false" ht="15.75" hidden="false" customHeight="false" outlineLevel="0" collapsed="false">
      <c r="A627" s="168" t="str">
        <f aca="false">IF(ISBLANK(B627),"",B627&amp;"|"&amp;C627)</f>
        <v/>
      </c>
      <c r="B627" s="168"/>
      <c r="C627" s="168"/>
      <c r="D627" s="168"/>
      <c r="E627" s="175"/>
      <c r="F627" s="168"/>
      <c r="G627" s="168"/>
      <c r="H627" s="168"/>
      <c r="I627" s="168"/>
      <c r="J627" s="168"/>
      <c r="K627" s="168"/>
      <c r="L627" s="168"/>
      <c r="M627" s="168"/>
      <c r="N627" s="168"/>
      <c r="O627" s="168"/>
      <c r="P627" s="168"/>
      <c r="Q627" s="168"/>
      <c r="R627" s="168"/>
      <c r="S627" s="168"/>
      <c r="T627" s="168"/>
      <c r="U627" s="168"/>
      <c r="V627" s="168"/>
      <c r="W627" s="168"/>
      <c r="X627" s="168"/>
      <c r="Y627" s="168"/>
      <c r="Z627" s="168"/>
      <c r="AA627" s="168"/>
    </row>
    <row r="628" customFormat="false" ht="15.75" hidden="false" customHeight="false" outlineLevel="0" collapsed="false">
      <c r="A628" s="168" t="str">
        <f aca="false">IF(ISBLANK(B628),"",B628&amp;"|"&amp;C628)</f>
        <v/>
      </c>
      <c r="B628" s="168"/>
      <c r="C628" s="168"/>
      <c r="D628" s="168"/>
      <c r="E628" s="175"/>
      <c r="F628" s="168"/>
      <c r="G628" s="168"/>
      <c r="H628" s="168"/>
      <c r="I628" s="168"/>
      <c r="J628" s="168"/>
      <c r="K628" s="168"/>
      <c r="L628" s="168"/>
      <c r="M628" s="168"/>
      <c r="N628" s="168"/>
      <c r="O628" s="168"/>
      <c r="P628" s="168"/>
      <c r="Q628" s="168"/>
      <c r="R628" s="168"/>
      <c r="S628" s="168"/>
      <c r="T628" s="168"/>
      <c r="U628" s="168"/>
      <c r="V628" s="168"/>
      <c r="W628" s="168"/>
      <c r="X628" s="168"/>
      <c r="Y628" s="168"/>
      <c r="Z628" s="168"/>
      <c r="AA628" s="168"/>
    </row>
    <row r="629" customFormat="false" ht="15.75" hidden="false" customHeight="false" outlineLevel="0" collapsed="false">
      <c r="A629" s="168" t="str">
        <f aca="false">IF(ISBLANK(B629),"",B629&amp;"|"&amp;C629)</f>
        <v/>
      </c>
      <c r="B629" s="168"/>
      <c r="C629" s="168"/>
      <c r="D629" s="168"/>
      <c r="E629" s="175"/>
      <c r="F629" s="168"/>
      <c r="G629" s="168"/>
      <c r="H629" s="168"/>
      <c r="I629" s="168"/>
      <c r="J629" s="168"/>
      <c r="K629" s="168"/>
      <c r="L629" s="168"/>
      <c r="M629" s="168"/>
      <c r="N629" s="168"/>
      <c r="O629" s="168"/>
      <c r="P629" s="168"/>
      <c r="Q629" s="168"/>
      <c r="R629" s="168"/>
      <c r="S629" s="168"/>
      <c r="T629" s="168"/>
      <c r="U629" s="168"/>
      <c r="V629" s="168"/>
      <c r="W629" s="168"/>
      <c r="X629" s="168"/>
      <c r="Y629" s="168"/>
      <c r="Z629" s="168"/>
      <c r="AA629" s="168"/>
    </row>
    <row r="630" customFormat="false" ht="15.75" hidden="false" customHeight="false" outlineLevel="0" collapsed="false">
      <c r="A630" s="168" t="str">
        <f aca="false">IF(ISBLANK(B630),"",B630&amp;"|"&amp;C630)</f>
        <v/>
      </c>
      <c r="B630" s="168"/>
      <c r="C630" s="168"/>
      <c r="D630" s="168"/>
      <c r="E630" s="175"/>
      <c r="F630" s="168"/>
      <c r="G630" s="168"/>
      <c r="H630" s="168"/>
      <c r="I630" s="168"/>
      <c r="J630" s="168"/>
      <c r="K630" s="168"/>
      <c r="L630" s="168"/>
      <c r="M630" s="168"/>
      <c r="N630" s="168"/>
      <c r="O630" s="168"/>
      <c r="P630" s="168"/>
      <c r="Q630" s="168"/>
      <c r="R630" s="168"/>
      <c r="S630" s="168"/>
      <c r="T630" s="168"/>
      <c r="U630" s="168"/>
      <c r="V630" s="168"/>
      <c r="W630" s="168"/>
      <c r="X630" s="168"/>
      <c r="Y630" s="168"/>
      <c r="Z630" s="168"/>
      <c r="AA630" s="168"/>
    </row>
    <row r="631" customFormat="false" ht="15.75" hidden="false" customHeight="false" outlineLevel="0" collapsed="false">
      <c r="A631" s="168" t="str">
        <f aca="false">IF(ISBLANK(B631),"",B631&amp;"|"&amp;C631)</f>
        <v/>
      </c>
      <c r="B631" s="168"/>
      <c r="C631" s="168"/>
      <c r="D631" s="168"/>
      <c r="E631" s="175"/>
      <c r="F631" s="168"/>
      <c r="G631" s="168"/>
      <c r="H631" s="168"/>
      <c r="I631" s="168"/>
      <c r="J631" s="168"/>
      <c r="K631" s="168"/>
      <c r="L631" s="168"/>
      <c r="M631" s="168"/>
      <c r="N631" s="168"/>
      <c r="O631" s="168"/>
      <c r="P631" s="168"/>
      <c r="Q631" s="168"/>
      <c r="R631" s="168"/>
      <c r="S631" s="168"/>
      <c r="T631" s="168"/>
      <c r="U631" s="168"/>
      <c r="V631" s="168"/>
      <c r="W631" s="168"/>
      <c r="X631" s="168"/>
      <c r="Y631" s="168"/>
      <c r="Z631" s="168"/>
      <c r="AA631" s="168"/>
    </row>
    <row r="632" customFormat="false" ht="15.75" hidden="false" customHeight="false" outlineLevel="0" collapsed="false">
      <c r="A632" s="168" t="str">
        <f aca="false">IF(ISBLANK(B632),"",B632&amp;"|"&amp;C632)</f>
        <v/>
      </c>
      <c r="B632" s="168"/>
      <c r="C632" s="168"/>
      <c r="D632" s="168"/>
      <c r="E632" s="175"/>
      <c r="F632" s="168"/>
      <c r="G632" s="168"/>
      <c r="H632" s="168"/>
      <c r="I632" s="168"/>
      <c r="J632" s="168"/>
      <c r="K632" s="168"/>
      <c r="L632" s="168"/>
      <c r="M632" s="168"/>
      <c r="N632" s="168"/>
      <c r="O632" s="168"/>
      <c r="P632" s="168"/>
      <c r="Q632" s="168"/>
      <c r="R632" s="168"/>
      <c r="S632" s="168"/>
      <c r="T632" s="168"/>
      <c r="U632" s="168"/>
      <c r="V632" s="168"/>
      <c r="W632" s="168"/>
      <c r="X632" s="168"/>
      <c r="Y632" s="168"/>
      <c r="Z632" s="168"/>
      <c r="AA632" s="168"/>
    </row>
    <row r="633" customFormat="false" ht="15.75" hidden="false" customHeight="false" outlineLevel="0" collapsed="false">
      <c r="A633" s="168" t="str">
        <f aca="false">IF(ISBLANK(B633),"",B633&amp;"|"&amp;C633)</f>
        <v/>
      </c>
      <c r="B633" s="168"/>
      <c r="C633" s="168"/>
      <c r="D633" s="168"/>
      <c r="E633" s="175"/>
      <c r="F633" s="168"/>
      <c r="G633" s="168"/>
      <c r="H633" s="168"/>
      <c r="I633" s="168"/>
      <c r="J633" s="168"/>
      <c r="K633" s="168"/>
      <c r="L633" s="168"/>
      <c r="M633" s="168"/>
      <c r="N633" s="168"/>
      <c r="O633" s="168"/>
      <c r="P633" s="168"/>
      <c r="Q633" s="168"/>
      <c r="R633" s="168"/>
      <c r="S633" s="168"/>
      <c r="T633" s="168"/>
      <c r="U633" s="168"/>
      <c r="V633" s="168"/>
      <c r="W633" s="168"/>
      <c r="X633" s="168"/>
      <c r="Y633" s="168"/>
      <c r="Z633" s="168"/>
      <c r="AA633" s="168"/>
    </row>
    <row r="634" customFormat="false" ht="15.75" hidden="false" customHeight="false" outlineLevel="0" collapsed="false">
      <c r="A634" s="168" t="str">
        <f aca="false">IF(ISBLANK(B634),"",B634&amp;"|"&amp;C634)</f>
        <v/>
      </c>
      <c r="B634" s="168"/>
      <c r="C634" s="168"/>
      <c r="D634" s="168"/>
      <c r="E634" s="175"/>
      <c r="F634" s="168"/>
      <c r="G634" s="168"/>
      <c r="H634" s="168"/>
      <c r="I634" s="168"/>
      <c r="J634" s="168"/>
      <c r="K634" s="168"/>
      <c r="L634" s="168"/>
      <c r="M634" s="168"/>
      <c r="N634" s="168"/>
      <c r="O634" s="168"/>
      <c r="P634" s="168"/>
      <c r="Q634" s="168"/>
      <c r="R634" s="168"/>
      <c r="S634" s="168"/>
      <c r="T634" s="168"/>
      <c r="U634" s="168"/>
      <c r="V634" s="168"/>
      <c r="W634" s="168"/>
      <c r="X634" s="168"/>
      <c r="Y634" s="168"/>
      <c r="Z634" s="168"/>
      <c r="AA634" s="168"/>
    </row>
    <row r="635" customFormat="false" ht="15.75" hidden="false" customHeight="false" outlineLevel="0" collapsed="false">
      <c r="A635" s="168" t="str">
        <f aca="false">IF(ISBLANK(B635),"",B635&amp;"|"&amp;C635)</f>
        <v/>
      </c>
      <c r="B635" s="168"/>
      <c r="C635" s="168"/>
      <c r="D635" s="168"/>
      <c r="E635" s="175"/>
      <c r="F635" s="168"/>
      <c r="G635" s="168"/>
      <c r="H635" s="168"/>
      <c r="I635" s="168"/>
      <c r="J635" s="168"/>
      <c r="K635" s="168"/>
      <c r="L635" s="168"/>
      <c r="M635" s="168"/>
      <c r="N635" s="168"/>
      <c r="O635" s="168"/>
      <c r="P635" s="168"/>
      <c r="Q635" s="168"/>
      <c r="R635" s="168"/>
      <c r="S635" s="168"/>
      <c r="T635" s="168"/>
      <c r="U635" s="168"/>
      <c r="V635" s="168"/>
      <c r="W635" s="168"/>
      <c r="X635" s="168"/>
      <c r="Y635" s="168"/>
      <c r="Z635" s="168"/>
      <c r="AA635" s="168"/>
    </row>
    <row r="636" customFormat="false" ht="15.75" hidden="false" customHeight="false" outlineLevel="0" collapsed="false">
      <c r="A636" s="168" t="str">
        <f aca="false">IF(ISBLANK(B636),"",B636&amp;"|"&amp;C636)</f>
        <v/>
      </c>
      <c r="B636" s="168"/>
      <c r="C636" s="168"/>
      <c r="D636" s="168"/>
      <c r="E636" s="175"/>
      <c r="F636" s="168"/>
      <c r="G636" s="168"/>
      <c r="H636" s="168"/>
      <c r="I636" s="168"/>
      <c r="J636" s="168"/>
      <c r="K636" s="168"/>
      <c r="L636" s="168"/>
      <c r="M636" s="168"/>
      <c r="N636" s="168"/>
      <c r="O636" s="168"/>
      <c r="P636" s="168"/>
      <c r="Q636" s="168"/>
      <c r="R636" s="168"/>
      <c r="S636" s="168"/>
      <c r="T636" s="168"/>
      <c r="U636" s="168"/>
      <c r="V636" s="168"/>
      <c r="W636" s="168"/>
      <c r="X636" s="168"/>
      <c r="Y636" s="168"/>
      <c r="Z636" s="168"/>
      <c r="AA636" s="168"/>
    </row>
    <row r="637" customFormat="false" ht="15.75" hidden="false" customHeight="false" outlineLevel="0" collapsed="false">
      <c r="A637" s="168" t="str">
        <f aca="false">IF(ISBLANK(B637),"",B637&amp;"|"&amp;C637)</f>
        <v/>
      </c>
      <c r="B637" s="168"/>
      <c r="C637" s="168"/>
      <c r="D637" s="168"/>
      <c r="E637" s="175"/>
      <c r="F637" s="168"/>
      <c r="G637" s="168"/>
      <c r="H637" s="168"/>
      <c r="I637" s="168"/>
      <c r="J637" s="168"/>
      <c r="K637" s="168"/>
      <c r="L637" s="168"/>
      <c r="M637" s="168"/>
      <c r="N637" s="168"/>
      <c r="O637" s="168"/>
      <c r="P637" s="168"/>
      <c r="Q637" s="168"/>
      <c r="R637" s="168"/>
      <c r="S637" s="168"/>
      <c r="T637" s="168"/>
      <c r="U637" s="168"/>
      <c r="V637" s="168"/>
      <c r="W637" s="168"/>
      <c r="X637" s="168"/>
      <c r="Y637" s="168"/>
      <c r="Z637" s="168"/>
      <c r="AA637" s="168"/>
    </row>
    <row r="638" customFormat="false" ht="15.75" hidden="false" customHeight="false" outlineLevel="0" collapsed="false">
      <c r="A638" s="168" t="str">
        <f aca="false">IF(ISBLANK(B638),"",B638&amp;"|"&amp;C638)</f>
        <v/>
      </c>
      <c r="B638" s="168"/>
      <c r="C638" s="168"/>
      <c r="D638" s="168"/>
      <c r="E638" s="175"/>
      <c r="F638" s="168"/>
      <c r="G638" s="168"/>
      <c r="H638" s="168"/>
      <c r="I638" s="168"/>
      <c r="J638" s="168"/>
      <c r="K638" s="168"/>
      <c r="L638" s="168"/>
      <c r="M638" s="168"/>
      <c r="N638" s="168"/>
      <c r="O638" s="168"/>
      <c r="P638" s="168"/>
      <c r="Q638" s="168"/>
      <c r="R638" s="168"/>
      <c r="S638" s="168"/>
      <c r="T638" s="168"/>
      <c r="U638" s="168"/>
      <c r="V638" s="168"/>
      <c r="W638" s="168"/>
      <c r="X638" s="168"/>
      <c r="Y638" s="168"/>
      <c r="Z638" s="168"/>
      <c r="AA638" s="168"/>
    </row>
    <row r="639" customFormat="false" ht="15.75" hidden="false" customHeight="false" outlineLevel="0" collapsed="false">
      <c r="A639" s="168" t="str">
        <f aca="false">IF(ISBLANK(B639),"",B639&amp;"|"&amp;C639)</f>
        <v/>
      </c>
      <c r="B639" s="168"/>
      <c r="C639" s="168"/>
      <c r="D639" s="168"/>
      <c r="E639" s="175"/>
      <c r="F639" s="168"/>
      <c r="G639" s="168"/>
      <c r="H639" s="168"/>
      <c r="I639" s="168"/>
      <c r="J639" s="168"/>
      <c r="K639" s="168"/>
      <c r="L639" s="168"/>
      <c r="M639" s="168"/>
      <c r="N639" s="168"/>
      <c r="O639" s="168"/>
      <c r="P639" s="168"/>
      <c r="Q639" s="168"/>
      <c r="R639" s="168"/>
      <c r="S639" s="168"/>
      <c r="T639" s="168"/>
      <c r="U639" s="168"/>
      <c r="V639" s="168"/>
      <c r="W639" s="168"/>
      <c r="X639" s="168"/>
      <c r="Y639" s="168"/>
      <c r="Z639" s="168"/>
      <c r="AA639" s="168"/>
    </row>
    <row r="640" customFormat="false" ht="15.75" hidden="false" customHeight="false" outlineLevel="0" collapsed="false">
      <c r="A640" s="168" t="str">
        <f aca="false">IF(ISBLANK(B640),"",B640&amp;"|"&amp;C640)</f>
        <v/>
      </c>
      <c r="B640" s="168"/>
      <c r="C640" s="168"/>
      <c r="D640" s="168"/>
      <c r="E640" s="175"/>
      <c r="F640" s="168"/>
      <c r="G640" s="168"/>
      <c r="H640" s="168"/>
      <c r="I640" s="168"/>
      <c r="J640" s="168"/>
      <c r="K640" s="168"/>
      <c r="L640" s="168"/>
      <c r="M640" s="168"/>
      <c r="N640" s="168"/>
      <c r="O640" s="168"/>
      <c r="P640" s="168"/>
      <c r="Q640" s="168"/>
      <c r="R640" s="168"/>
      <c r="S640" s="168"/>
      <c r="T640" s="168"/>
      <c r="U640" s="168"/>
      <c r="V640" s="168"/>
      <c r="W640" s="168"/>
      <c r="X640" s="168"/>
      <c r="Y640" s="168"/>
      <c r="Z640" s="168"/>
      <c r="AA640" s="168"/>
    </row>
    <row r="641" customFormat="false" ht="15.75" hidden="false" customHeight="false" outlineLevel="0" collapsed="false">
      <c r="A641" s="168" t="str">
        <f aca="false">IF(ISBLANK(B641),"",B641&amp;"|"&amp;C641)</f>
        <v/>
      </c>
      <c r="B641" s="168"/>
      <c r="C641" s="168"/>
      <c r="D641" s="168"/>
      <c r="E641" s="175"/>
      <c r="F641" s="168"/>
      <c r="G641" s="168"/>
      <c r="H641" s="168"/>
      <c r="I641" s="168"/>
      <c r="J641" s="168"/>
      <c r="K641" s="168"/>
      <c r="L641" s="168"/>
      <c r="M641" s="168"/>
      <c r="N641" s="168"/>
      <c r="O641" s="168"/>
      <c r="P641" s="168"/>
      <c r="Q641" s="168"/>
      <c r="R641" s="168"/>
      <c r="S641" s="168"/>
      <c r="T641" s="168"/>
      <c r="U641" s="168"/>
      <c r="V641" s="168"/>
      <c r="W641" s="168"/>
      <c r="X641" s="168"/>
      <c r="Y641" s="168"/>
      <c r="Z641" s="168"/>
      <c r="AA641" s="168"/>
    </row>
    <row r="642" customFormat="false" ht="15.75" hidden="false" customHeight="false" outlineLevel="0" collapsed="false">
      <c r="A642" s="168" t="str">
        <f aca="false">IF(ISBLANK(B642),"",B642&amp;"|"&amp;C642)</f>
        <v/>
      </c>
      <c r="B642" s="168"/>
      <c r="C642" s="168"/>
      <c r="D642" s="168"/>
      <c r="E642" s="175"/>
      <c r="F642" s="168"/>
      <c r="G642" s="168"/>
      <c r="H642" s="168"/>
      <c r="I642" s="168"/>
      <c r="J642" s="168"/>
      <c r="K642" s="168"/>
      <c r="L642" s="168"/>
      <c r="M642" s="168"/>
      <c r="N642" s="168"/>
      <c r="O642" s="168"/>
      <c r="P642" s="168"/>
      <c r="Q642" s="168"/>
      <c r="R642" s="168"/>
      <c r="S642" s="168"/>
      <c r="T642" s="168"/>
      <c r="U642" s="168"/>
      <c r="V642" s="168"/>
      <c r="W642" s="168"/>
      <c r="X642" s="168"/>
      <c r="Y642" s="168"/>
      <c r="Z642" s="168"/>
      <c r="AA642" s="168"/>
    </row>
    <row r="643" customFormat="false" ht="15.75" hidden="false" customHeight="false" outlineLevel="0" collapsed="false">
      <c r="A643" s="168" t="str">
        <f aca="false">IF(ISBLANK(B643),"",B643&amp;"|"&amp;C643)</f>
        <v/>
      </c>
      <c r="B643" s="168"/>
      <c r="C643" s="168"/>
      <c r="D643" s="168"/>
      <c r="E643" s="175"/>
      <c r="F643" s="168"/>
      <c r="G643" s="168"/>
      <c r="H643" s="168"/>
      <c r="I643" s="168"/>
      <c r="J643" s="168"/>
      <c r="K643" s="168"/>
      <c r="L643" s="168"/>
      <c r="M643" s="168"/>
      <c r="N643" s="168"/>
      <c r="O643" s="168"/>
      <c r="P643" s="168"/>
      <c r="Q643" s="168"/>
      <c r="R643" s="168"/>
      <c r="S643" s="168"/>
      <c r="T643" s="168"/>
      <c r="U643" s="168"/>
      <c r="V643" s="168"/>
      <c r="W643" s="168"/>
      <c r="X643" s="168"/>
      <c r="Y643" s="168"/>
      <c r="Z643" s="168"/>
      <c r="AA643" s="168"/>
    </row>
    <row r="644" customFormat="false" ht="15.75" hidden="false" customHeight="false" outlineLevel="0" collapsed="false">
      <c r="A644" s="168" t="str">
        <f aca="false">IF(ISBLANK(B644),"",B644&amp;"|"&amp;C644)</f>
        <v/>
      </c>
      <c r="B644" s="168"/>
      <c r="C644" s="168"/>
      <c r="D644" s="168"/>
      <c r="E644" s="175"/>
      <c r="F644" s="168"/>
      <c r="G644" s="168"/>
      <c r="H644" s="168"/>
      <c r="I644" s="168"/>
      <c r="J644" s="168"/>
      <c r="K644" s="168"/>
      <c r="L644" s="168"/>
      <c r="M644" s="168"/>
      <c r="N644" s="168"/>
      <c r="O644" s="168"/>
      <c r="P644" s="168"/>
      <c r="Q644" s="168"/>
      <c r="R644" s="168"/>
      <c r="S644" s="168"/>
      <c r="T644" s="168"/>
      <c r="U644" s="168"/>
      <c r="V644" s="168"/>
      <c r="W644" s="168"/>
      <c r="X644" s="168"/>
      <c r="Y644" s="168"/>
      <c r="Z644" s="168"/>
      <c r="AA644" s="168"/>
    </row>
    <row r="645" customFormat="false" ht="15.75" hidden="false" customHeight="false" outlineLevel="0" collapsed="false">
      <c r="A645" s="168" t="str">
        <f aca="false">IF(ISBLANK(B645),"",B645&amp;"|"&amp;C645)</f>
        <v/>
      </c>
      <c r="B645" s="168"/>
      <c r="C645" s="168"/>
      <c r="D645" s="168"/>
      <c r="E645" s="175"/>
      <c r="F645" s="168"/>
      <c r="G645" s="168"/>
      <c r="H645" s="168"/>
      <c r="I645" s="168"/>
      <c r="J645" s="168"/>
      <c r="K645" s="168"/>
      <c r="L645" s="168"/>
      <c r="M645" s="168"/>
      <c r="N645" s="168"/>
      <c r="O645" s="168"/>
      <c r="P645" s="168"/>
      <c r="Q645" s="168"/>
      <c r="R645" s="168"/>
      <c r="S645" s="168"/>
      <c r="T645" s="168"/>
      <c r="U645" s="168"/>
      <c r="V645" s="168"/>
      <c r="W645" s="168"/>
      <c r="X645" s="168"/>
      <c r="Y645" s="168"/>
      <c r="Z645" s="168"/>
      <c r="AA645" s="168"/>
    </row>
    <row r="646" customFormat="false" ht="15.75" hidden="false" customHeight="false" outlineLevel="0" collapsed="false">
      <c r="A646" s="168" t="str">
        <f aca="false">IF(ISBLANK(B646),"",B646&amp;"|"&amp;C646)</f>
        <v/>
      </c>
      <c r="B646" s="168"/>
      <c r="C646" s="168"/>
      <c r="D646" s="168"/>
      <c r="E646" s="175"/>
      <c r="F646" s="168"/>
      <c r="G646" s="168"/>
      <c r="H646" s="168"/>
      <c r="I646" s="168"/>
      <c r="J646" s="168"/>
      <c r="K646" s="168"/>
      <c r="L646" s="168"/>
      <c r="M646" s="168"/>
      <c r="N646" s="168"/>
      <c r="O646" s="168"/>
      <c r="P646" s="168"/>
      <c r="Q646" s="168"/>
      <c r="R646" s="168"/>
      <c r="S646" s="168"/>
      <c r="T646" s="168"/>
      <c r="U646" s="168"/>
      <c r="V646" s="168"/>
      <c r="W646" s="168"/>
      <c r="X646" s="168"/>
      <c r="Y646" s="168"/>
      <c r="Z646" s="168"/>
      <c r="AA646" s="168"/>
    </row>
    <row r="647" customFormat="false" ht="15.75" hidden="false" customHeight="false" outlineLevel="0" collapsed="false">
      <c r="A647" s="168" t="str">
        <f aca="false">IF(ISBLANK(B647),"",B647&amp;"|"&amp;C647)</f>
        <v/>
      </c>
      <c r="B647" s="168"/>
      <c r="C647" s="168"/>
      <c r="D647" s="168"/>
      <c r="E647" s="175"/>
      <c r="F647" s="168"/>
      <c r="G647" s="168"/>
      <c r="H647" s="168"/>
      <c r="I647" s="168"/>
      <c r="J647" s="168"/>
      <c r="K647" s="168"/>
      <c r="L647" s="168"/>
      <c r="M647" s="168"/>
      <c r="N647" s="168"/>
      <c r="O647" s="168"/>
      <c r="P647" s="168"/>
      <c r="Q647" s="168"/>
      <c r="R647" s="168"/>
      <c r="S647" s="168"/>
      <c r="T647" s="168"/>
      <c r="U647" s="168"/>
      <c r="V647" s="168"/>
      <c r="W647" s="168"/>
      <c r="X647" s="168"/>
      <c r="Y647" s="168"/>
      <c r="Z647" s="168"/>
      <c r="AA647" s="168"/>
    </row>
    <row r="648" customFormat="false" ht="15.75" hidden="false" customHeight="false" outlineLevel="0" collapsed="false">
      <c r="A648" s="168" t="str">
        <f aca="false">IF(ISBLANK(B648),"",B648&amp;"|"&amp;C648)</f>
        <v/>
      </c>
      <c r="B648" s="168"/>
      <c r="C648" s="168"/>
      <c r="D648" s="168"/>
      <c r="E648" s="175"/>
      <c r="F648" s="168"/>
      <c r="G648" s="168"/>
      <c r="H648" s="168"/>
      <c r="I648" s="168"/>
      <c r="J648" s="168"/>
      <c r="K648" s="168"/>
      <c r="L648" s="168"/>
      <c r="M648" s="168"/>
      <c r="N648" s="168"/>
      <c r="O648" s="168"/>
      <c r="P648" s="168"/>
      <c r="Q648" s="168"/>
      <c r="R648" s="168"/>
      <c r="S648" s="168"/>
      <c r="T648" s="168"/>
      <c r="U648" s="168"/>
      <c r="V648" s="168"/>
      <c r="W648" s="168"/>
      <c r="X648" s="168"/>
      <c r="Y648" s="168"/>
      <c r="Z648" s="168"/>
      <c r="AA648" s="168"/>
    </row>
    <row r="649" customFormat="false" ht="15.75" hidden="false" customHeight="false" outlineLevel="0" collapsed="false">
      <c r="A649" s="168" t="str">
        <f aca="false">IF(ISBLANK(B649),"",B649&amp;"|"&amp;C649)</f>
        <v/>
      </c>
      <c r="B649" s="168"/>
      <c r="C649" s="168"/>
      <c r="D649" s="168"/>
      <c r="E649" s="175"/>
      <c r="F649" s="168"/>
      <c r="G649" s="168"/>
      <c r="H649" s="168"/>
      <c r="I649" s="168"/>
      <c r="J649" s="168"/>
      <c r="K649" s="168"/>
      <c r="L649" s="168"/>
      <c r="M649" s="168"/>
      <c r="N649" s="168"/>
      <c r="O649" s="168"/>
      <c r="P649" s="168"/>
      <c r="Q649" s="168"/>
      <c r="R649" s="168"/>
      <c r="S649" s="168"/>
      <c r="T649" s="168"/>
      <c r="U649" s="168"/>
      <c r="V649" s="168"/>
      <c r="W649" s="168"/>
      <c r="X649" s="168"/>
      <c r="Y649" s="168"/>
      <c r="Z649" s="168"/>
      <c r="AA649" s="168"/>
    </row>
    <row r="650" customFormat="false" ht="15.75" hidden="false" customHeight="false" outlineLevel="0" collapsed="false">
      <c r="A650" s="168" t="str">
        <f aca="false">IF(ISBLANK(B650),"",B650&amp;"|"&amp;C650)</f>
        <v/>
      </c>
      <c r="B650" s="168"/>
      <c r="C650" s="168"/>
      <c r="D650" s="168"/>
      <c r="E650" s="175"/>
      <c r="F650" s="168"/>
      <c r="G650" s="168"/>
      <c r="H650" s="168"/>
      <c r="I650" s="168"/>
      <c r="J650" s="168"/>
      <c r="K650" s="168"/>
      <c r="L650" s="168"/>
      <c r="M650" s="168"/>
      <c r="N650" s="168"/>
      <c r="O650" s="168"/>
      <c r="P650" s="168"/>
      <c r="Q650" s="168"/>
      <c r="R650" s="168"/>
      <c r="S650" s="168"/>
      <c r="T650" s="168"/>
      <c r="U650" s="168"/>
      <c r="V650" s="168"/>
      <c r="W650" s="168"/>
      <c r="X650" s="168"/>
      <c r="Y650" s="168"/>
      <c r="Z650" s="168"/>
      <c r="AA650" s="168"/>
    </row>
    <row r="651" customFormat="false" ht="15.75" hidden="false" customHeight="false" outlineLevel="0" collapsed="false">
      <c r="A651" s="168" t="str">
        <f aca="false">IF(ISBLANK(B651),"",B651&amp;"|"&amp;C651)</f>
        <v/>
      </c>
      <c r="B651" s="168"/>
      <c r="C651" s="168"/>
      <c r="D651" s="168"/>
      <c r="E651" s="175"/>
      <c r="F651" s="168"/>
      <c r="G651" s="168"/>
      <c r="H651" s="168"/>
      <c r="I651" s="168"/>
      <c r="J651" s="168"/>
      <c r="K651" s="168"/>
      <c r="L651" s="168"/>
      <c r="M651" s="168"/>
      <c r="N651" s="168"/>
      <c r="O651" s="168"/>
      <c r="P651" s="168"/>
      <c r="Q651" s="168"/>
      <c r="R651" s="168"/>
      <c r="S651" s="168"/>
      <c r="T651" s="168"/>
      <c r="U651" s="168"/>
      <c r="V651" s="168"/>
      <c r="W651" s="168"/>
      <c r="X651" s="168"/>
      <c r="Y651" s="168"/>
      <c r="Z651" s="168"/>
      <c r="AA651" s="168"/>
    </row>
    <row r="652" customFormat="false" ht="15.75" hidden="false" customHeight="false" outlineLevel="0" collapsed="false">
      <c r="A652" s="168" t="str">
        <f aca="false">IF(ISBLANK(B652),"",B652&amp;"|"&amp;C652)</f>
        <v/>
      </c>
      <c r="B652" s="168"/>
      <c r="C652" s="168"/>
      <c r="D652" s="168"/>
      <c r="E652" s="175"/>
      <c r="F652" s="168"/>
      <c r="G652" s="168"/>
      <c r="H652" s="168"/>
      <c r="I652" s="168"/>
      <c r="J652" s="168"/>
      <c r="K652" s="168"/>
      <c r="L652" s="168"/>
      <c r="M652" s="168"/>
      <c r="N652" s="168"/>
      <c r="O652" s="168"/>
      <c r="P652" s="168"/>
      <c r="Q652" s="168"/>
      <c r="R652" s="168"/>
      <c r="S652" s="168"/>
      <c r="T652" s="168"/>
      <c r="U652" s="168"/>
      <c r="V652" s="168"/>
      <c r="W652" s="168"/>
      <c r="X652" s="168"/>
      <c r="Y652" s="168"/>
      <c r="Z652" s="168"/>
      <c r="AA652" s="168"/>
    </row>
    <row r="653" customFormat="false" ht="15.75" hidden="false" customHeight="false" outlineLevel="0" collapsed="false">
      <c r="A653" s="168" t="str">
        <f aca="false">IF(ISBLANK(B653),"",B653&amp;"|"&amp;C653)</f>
        <v/>
      </c>
      <c r="B653" s="168"/>
      <c r="C653" s="168"/>
      <c r="D653" s="168"/>
      <c r="E653" s="175"/>
      <c r="F653" s="168"/>
      <c r="G653" s="168"/>
      <c r="H653" s="168"/>
      <c r="I653" s="168"/>
      <c r="J653" s="168"/>
      <c r="K653" s="168"/>
      <c r="L653" s="168"/>
      <c r="M653" s="168"/>
      <c r="N653" s="168"/>
      <c r="O653" s="168"/>
      <c r="P653" s="168"/>
      <c r="Q653" s="168"/>
      <c r="R653" s="168"/>
      <c r="S653" s="168"/>
      <c r="T653" s="168"/>
      <c r="U653" s="168"/>
      <c r="V653" s="168"/>
      <c r="W653" s="168"/>
      <c r="X653" s="168"/>
      <c r="Y653" s="168"/>
      <c r="Z653" s="168"/>
      <c r="AA653" s="168"/>
    </row>
    <row r="654" customFormat="false" ht="15.75" hidden="false" customHeight="false" outlineLevel="0" collapsed="false">
      <c r="A654" s="168" t="str">
        <f aca="false">IF(ISBLANK(B654),"",B654&amp;"|"&amp;C654)</f>
        <v/>
      </c>
      <c r="B654" s="168"/>
      <c r="C654" s="168"/>
      <c r="D654" s="168"/>
      <c r="E654" s="175"/>
      <c r="F654" s="168"/>
      <c r="G654" s="168"/>
      <c r="H654" s="168"/>
      <c r="I654" s="168"/>
      <c r="J654" s="168"/>
      <c r="K654" s="168"/>
      <c r="L654" s="168"/>
      <c r="M654" s="168"/>
      <c r="N654" s="168"/>
      <c r="O654" s="168"/>
      <c r="P654" s="168"/>
      <c r="Q654" s="168"/>
      <c r="R654" s="168"/>
      <c r="S654" s="168"/>
      <c r="T654" s="168"/>
      <c r="U654" s="168"/>
      <c r="V654" s="168"/>
      <c r="W654" s="168"/>
      <c r="X654" s="168"/>
      <c r="Y654" s="168"/>
      <c r="Z654" s="168"/>
      <c r="AA654" s="168"/>
    </row>
    <row r="655" customFormat="false" ht="15.75" hidden="false" customHeight="false" outlineLevel="0" collapsed="false">
      <c r="A655" s="168" t="str">
        <f aca="false">IF(ISBLANK(B655),"",B655&amp;"|"&amp;C655)</f>
        <v/>
      </c>
      <c r="B655" s="168"/>
      <c r="C655" s="168"/>
      <c r="D655" s="168"/>
      <c r="E655" s="175"/>
      <c r="F655" s="168"/>
      <c r="G655" s="168"/>
      <c r="H655" s="168"/>
      <c r="I655" s="168"/>
      <c r="J655" s="168"/>
      <c r="K655" s="168"/>
      <c r="L655" s="168"/>
      <c r="M655" s="168"/>
      <c r="N655" s="168"/>
      <c r="O655" s="168"/>
      <c r="P655" s="168"/>
      <c r="Q655" s="168"/>
      <c r="R655" s="168"/>
      <c r="S655" s="168"/>
      <c r="T655" s="168"/>
      <c r="U655" s="168"/>
      <c r="V655" s="168"/>
      <c r="W655" s="168"/>
      <c r="X655" s="168"/>
      <c r="Y655" s="168"/>
      <c r="Z655" s="168"/>
      <c r="AA655" s="168"/>
    </row>
    <row r="656" customFormat="false" ht="15.75" hidden="false" customHeight="false" outlineLevel="0" collapsed="false">
      <c r="A656" s="168" t="str">
        <f aca="false">IF(ISBLANK(B656),"",B656&amp;"|"&amp;C656)</f>
        <v/>
      </c>
      <c r="B656" s="168"/>
      <c r="C656" s="168"/>
      <c r="D656" s="168"/>
      <c r="E656" s="175"/>
      <c r="F656" s="168"/>
      <c r="G656" s="168"/>
      <c r="H656" s="168"/>
      <c r="I656" s="168"/>
      <c r="J656" s="168"/>
      <c r="K656" s="168"/>
      <c r="L656" s="168"/>
      <c r="M656" s="168"/>
      <c r="N656" s="168"/>
      <c r="O656" s="168"/>
      <c r="P656" s="168"/>
      <c r="Q656" s="168"/>
      <c r="R656" s="168"/>
      <c r="S656" s="168"/>
      <c r="T656" s="168"/>
      <c r="U656" s="168"/>
      <c r="V656" s="168"/>
      <c r="W656" s="168"/>
      <c r="X656" s="168"/>
      <c r="Y656" s="168"/>
      <c r="Z656" s="168"/>
      <c r="AA656" s="168"/>
    </row>
    <row r="657" customFormat="false" ht="15.75" hidden="false" customHeight="false" outlineLevel="0" collapsed="false">
      <c r="A657" s="168" t="str">
        <f aca="false">IF(ISBLANK(B657),"",B657&amp;"|"&amp;C657)</f>
        <v/>
      </c>
      <c r="B657" s="168"/>
      <c r="C657" s="168"/>
      <c r="D657" s="168"/>
      <c r="E657" s="175"/>
      <c r="F657" s="168"/>
      <c r="G657" s="168"/>
      <c r="H657" s="168"/>
      <c r="I657" s="168"/>
      <c r="J657" s="168"/>
      <c r="K657" s="168"/>
      <c r="L657" s="168"/>
      <c r="M657" s="168"/>
      <c r="N657" s="168"/>
      <c r="O657" s="168"/>
      <c r="P657" s="168"/>
      <c r="Q657" s="168"/>
      <c r="R657" s="168"/>
      <c r="S657" s="168"/>
      <c r="T657" s="168"/>
      <c r="U657" s="168"/>
      <c r="V657" s="168"/>
      <c r="W657" s="168"/>
      <c r="X657" s="168"/>
      <c r="Y657" s="168"/>
      <c r="Z657" s="168"/>
      <c r="AA657" s="168"/>
    </row>
    <row r="658" customFormat="false" ht="15.75" hidden="false" customHeight="false" outlineLevel="0" collapsed="false">
      <c r="A658" s="168" t="str">
        <f aca="false">IF(ISBLANK(B658),"",B658&amp;"|"&amp;C658)</f>
        <v/>
      </c>
      <c r="B658" s="168"/>
      <c r="C658" s="168"/>
      <c r="D658" s="168"/>
      <c r="E658" s="175"/>
      <c r="F658" s="168"/>
      <c r="G658" s="168"/>
      <c r="H658" s="168"/>
      <c r="I658" s="168"/>
      <c r="J658" s="168"/>
      <c r="K658" s="168"/>
      <c r="L658" s="168"/>
      <c r="M658" s="168"/>
      <c r="N658" s="168"/>
      <c r="O658" s="168"/>
      <c r="P658" s="168"/>
      <c r="Q658" s="168"/>
      <c r="R658" s="168"/>
      <c r="S658" s="168"/>
      <c r="T658" s="168"/>
      <c r="U658" s="168"/>
      <c r="V658" s="168"/>
      <c r="W658" s="168"/>
      <c r="X658" s="168"/>
      <c r="Y658" s="168"/>
      <c r="Z658" s="168"/>
      <c r="AA658" s="168"/>
    </row>
    <row r="659" customFormat="false" ht="15.75" hidden="false" customHeight="false" outlineLevel="0" collapsed="false">
      <c r="A659" s="168" t="str">
        <f aca="false">IF(ISBLANK(B659),"",B659&amp;"|"&amp;C659)</f>
        <v/>
      </c>
      <c r="B659" s="168"/>
      <c r="C659" s="168"/>
      <c r="D659" s="168"/>
      <c r="E659" s="175"/>
      <c r="F659" s="168"/>
      <c r="G659" s="168"/>
      <c r="H659" s="168"/>
      <c r="I659" s="168"/>
      <c r="J659" s="168"/>
      <c r="K659" s="168"/>
      <c r="L659" s="168"/>
      <c r="M659" s="168"/>
      <c r="N659" s="168"/>
      <c r="O659" s="168"/>
      <c r="P659" s="168"/>
      <c r="Q659" s="168"/>
      <c r="R659" s="168"/>
      <c r="S659" s="168"/>
      <c r="T659" s="168"/>
      <c r="U659" s="168"/>
      <c r="V659" s="168"/>
      <c r="W659" s="168"/>
      <c r="X659" s="168"/>
      <c r="Y659" s="168"/>
      <c r="Z659" s="168"/>
      <c r="AA659" s="168"/>
    </row>
    <row r="660" customFormat="false" ht="15.75" hidden="false" customHeight="false" outlineLevel="0" collapsed="false">
      <c r="A660" s="168" t="str">
        <f aca="false">IF(ISBLANK(B660),"",B660&amp;"|"&amp;C660)</f>
        <v/>
      </c>
      <c r="B660" s="168"/>
      <c r="C660" s="168"/>
      <c r="D660" s="168"/>
      <c r="E660" s="175"/>
      <c r="F660" s="168"/>
      <c r="G660" s="168"/>
      <c r="H660" s="168"/>
      <c r="I660" s="168"/>
      <c r="J660" s="168"/>
      <c r="K660" s="168"/>
      <c r="L660" s="168"/>
      <c r="M660" s="168"/>
      <c r="N660" s="168"/>
      <c r="O660" s="168"/>
      <c r="P660" s="168"/>
      <c r="Q660" s="168"/>
      <c r="R660" s="168"/>
      <c r="S660" s="168"/>
      <c r="T660" s="168"/>
      <c r="U660" s="168"/>
      <c r="V660" s="168"/>
      <c r="W660" s="168"/>
      <c r="X660" s="168"/>
      <c r="Y660" s="168"/>
      <c r="Z660" s="168"/>
      <c r="AA660" s="168"/>
    </row>
    <row r="661" customFormat="false" ht="15.75" hidden="false" customHeight="false" outlineLevel="0" collapsed="false">
      <c r="A661" s="168" t="str">
        <f aca="false">IF(ISBLANK(B661),"",B661&amp;"|"&amp;C661)</f>
        <v/>
      </c>
      <c r="B661" s="168"/>
      <c r="C661" s="168"/>
      <c r="D661" s="168"/>
      <c r="E661" s="175"/>
      <c r="F661" s="168"/>
      <c r="G661" s="168"/>
      <c r="H661" s="168"/>
      <c r="I661" s="168"/>
      <c r="J661" s="168"/>
      <c r="K661" s="168"/>
      <c r="L661" s="168"/>
      <c r="M661" s="168"/>
      <c r="N661" s="168"/>
      <c r="O661" s="168"/>
      <c r="P661" s="168"/>
      <c r="Q661" s="168"/>
      <c r="R661" s="168"/>
      <c r="S661" s="168"/>
      <c r="T661" s="168"/>
      <c r="U661" s="168"/>
      <c r="V661" s="168"/>
      <c r="W661" s="168"/>
      <c r="X661" s="168"/>
      <c r="Y661" s="168"/>
      <c r="Z661" s="168"/>
      <c r="AA661" s="168"/>
    </row>
    <row r="662" customFormat="false" ht="15.75" hidden="false" customHeight="false" outlineLevel="0" collapsed="false">
      <c r="A662" s="168" t="str">
        <f aca="false">IF(ISBLANK(B662),"",B662&amp;"|"&amp;C662)</f>
        <v/>
      </c>
      <c r="B662" s="168"/>
      <c r="C662" s="168"/>
      <c r="D662" s="168"/>
      <c r="E662" s="175"/>
      <c r="F662" s="168"/>
      <c r="G662" s="168"/>
      <c r="H662" s="168"/>
      <c r="I662" s="168"/>
      <c r="J662" s="168"/>
      <c r="K662" s="168"/>
      <c r="L662" s="168"/>
      <c r="M662" s="168"/>
      <c r="N662" s="168"/>
      <c r="O662" s="168"/>
      <c r="P662" s="168"/>
      <c r="Q662" s="168"/>
      <c r="R662" s="168"/>
      <c r="S662" s="168"/>
      <c r="T662" s="168"/>
      <c r="U662" s="168"/>
      <c r="V662" s="168"/>
      <c r="W662" s="168"/>
      <c r="X662" s="168"/>
      <c r="Y662" s="168"/>
      <c r="Z662" s="168"/>
      <c r="AA662" s="168"/>
    </row>
    <row r="663" customFormat="false" ht="15.75" hidden="false" customHeight="false" outlineLevel="0" collapsed="false">
      <c r="A663" s="168" t="str">
        <f aca="false">IF(ISBLANK(B663),"",B663&amp;"|"&amp;C663)</f>
        <v/>
      </c>
      <c r="B663" s="168"/>
      <c r="C663" s="168"/>
      <c r="D663" s="168"/>
      <c r="E663" s="175"/>
      <c r="F663" s="168"/>
      <c r="G663" s="168"/>
      <c r="H663" s="168"/>
      <c r="I663" s="168"/>
      <c r="J663" s="168"/>
      <c r="K663" s="168"/>
      <c r="L663" s="168"/>
      <c r="M663" s="168"/>
      <c r="N663" s="168"/>
      <c r="O663" s="168"/>
      <c r="P663" s="168"/>
      <c r="Q663" s="168"/>
      <c r="R663" s="168"/>
      <c r="S663" s="168"/>
      <c r="T663" s="168"/>
      <c r="U663" s="168"/>
      <c r="V663" s="168"/>
      <c r="W663" s="168"/>
      <c r="X663" s="168"/>
      <c r="Y663" s="168"/>
      <c r="Z663" s="168"/>
      <c r="AA663" s="168"/>
    </row>
    <row r="664" customFormat="false" ht="15.75" hidden="false" customHeight="false" outlineLevel="0" collapsed="false">
      <c r="A664" s="168" t="str">
        <f aca="false">IF(ISBLANK(B664),"",B664&amp;"|"&amp;C664)</f>
        <v/>
      </c>
      <c r="B664" s="168"/>
      <c r="C664" s="168"/>
      <c r="D664" s="168"/>
      <c r="E664" s="175"/>
      <c r="F664" s="168"/>
      <c r="G664" s="168"/>
      <c r="H664" s="168"/>
      <c r="I664" s="168"/>
      <c r="J664" s="168"/>
      <c r="K664" s="168"/>
      <c r="L664" s="168"/>
      <c r="M664" s="168"/>
      <c r="N664" s="168"/>
      <c r="O664" s="168"/>
      <c r="P664" s="168"/>
      <c r="Q664" s="168"/>
      <c r="R664" s="168"/>
      <c r="S664" s="168"/>
      <c r="T664" s="168"/>
      <c r="U664" s="168"/>
      <c r="V664" s="168"/>
      <c r="W664" s="168"/>
      <c r="X664" s="168"/>
      <c r="Y664" s="168"/>
      <c r="Z664" s="168"/>
      <c r="AA664" s="168"/>
    </row>
    <row r="665" customFormat="false" ht="15.75" hidden="false" customHeight="false" outlineLevel="0" collapsed="false">
      <c r="A665" s="168" t="str">
        <f aca="false">IF(ISBLANK(B665),"",B665&amp;"|"&amp;C665)</f>
        <v/>
      </c>
      <c r="B665" s="168"/>
      <c r="C665" s="168"/>
      <c r="D665" s="168"/>
      <c r="E665" s="175"/>
      <c r="F665" s="168"/>
      <c r="G665" s="168"/>
      <c r="H665" s="168"/>
      <c r="I665" s="168"/>
      <c r="J665" s="168"/>
      <c r="K665" s="168"/>
      <c r="L665" s="168"/>
      <c r="M665" s="168"/>
      <c r="N665" s="168"/>
      <c r="O665" s="168"/>
      <c r="P665" s="168"/>
      <c r="Q665" s="168"/>
      <c r="R665" s="168"/>
      <c r="S665" s="168"/>
      <c r="T665" s="168"/>
      <c r="U665" s="168"/>
      <c r="V665" s="168"/>
      <c r="W665" s="168"/>
      <c r="X665" s="168"/>
      <c r="Y665" s="168"/>
      <c r="Z665" s="168"/>
      <c r="AA665" s="168"/>
    </row>
    <row r="666" customFormat="false" ht="15.75" hidden="false" customHeight="false" outlineLevel="0" collapsed="false">
      <c r="A666" s="168" t="str">
        <f aca="false">IF(ISBLANK(B666),"",B666&amp;"|"&amp;C666)</f>
        <v/>
      </c>
      <c r="B666" s="168"/>
      <c r="C666" s="168"/>
      <c r="D666" s="168"/>
      <c r="E666" s="175"/>
      <c r="F666" s="168"/>
      <c r="G666" s="168"/>
      <c r="H666" s="168"/>
      <c r="I666" s="168"/>
      <c r="J666" s="168"/>
      <c r="K666" s="168"/>
      <c r="L666" s="168"/>
      <c r="M666" s="168"/>
      <c r="N666" s="168"/>
      <c r="O666" s="168"/>
      <c r="P666" s="168"/>
      <c r="Q666" s="168"/>
      <c r="R666" s="168"/>
      <c r="S666" s="168"/>
      <c r="T666" s="168"/>
      <c r="U666" s="168"/>
      <c r="V666" s="168"/>
      <c r="W666" s="168"/>
      <c r="X666" s="168"/>
      <c r="Y666" s="168"/>
      <c r="Z666" s="168"/>
      <c r="AA666" s="168"/>
    </row>
    <row r="667" customFormat="false" ht="15.75" hidden="false" customHeight="false" outlineLevel="0" collapsed="false">
      <c r="A667" s="168" t="str">
        <f aca="false">IF(ISBLANK(B667),"",B667&amp;"|"&amp;C667)</f>
        <v/>
      </c>
      <c r="B667" s="168"/>
      <c r="C667" s="168"/>
      <c r="D667" s="168"/>
      <c r="E667" s="175"/>
      <c r="F667" s="168"/>
      <c r="G667" s="168"/>
      <c r="H667" s="168"/>
      <c r="I667" s="168"/>
      <c r="J667" s="168"/>
      <c r="K667" s="168"/>
      <c r="L667" s="168"/>
      <c r="M667" s="168"/>
      <c r="N667" s="168"/>
      <c r="O667" s="168"/>
      <c r="P667" s="168"/>
      <c r="Q667" s="168"/>
      <c r="R667" s="168"/>
      <c r="S667" s="168"/>
      <c r="T667" s="168"/>
      <c r="U667" s="168"/>
      <c r="V667" s="168"/>
      <c r="W667" s="168"/>
      <c r="X667" s="168"/>
      <c r="Y667" s="168"/>
      <c r="Z667" s="168"/>
      <c r="AA667" s="168"/>
    </row>
    <row r="668" customFormat="false" ht="15.75" hidden="false" customHeight="false" outlineLevel="0" collapsed="false">
      <c r="A668" s="168" t="str">
        <f aca="false">IF(ISBLANK(B668),"",B668&amp;"|"&amp;C668)</f>
        <v/>
      </c>
      <c r="B668" s="168"/>
      <c r="C668" s="168"/>
      <c r="D668" s="168"/>
      <c r="E668" s="175"/>
      <c r="F668" s="168"/>
      <c r="G668" s="168"/>
      <c r="H668" s="168"/>
      <c r="I668" s="168"/>
      <c r="J668" s="168"/>
      <c r="K668" s="168"/>
      <c r="L668" s="168"/>
      <c r="M668" s="168"/>
      <c r="N668" s="168"/>
      <c r="O668" s="168"/>
      <c r="P668" s="168"/>
      <c r="Q668" s="168"/>
      <c r="R668" s="168"/>
      <c r="S668" s="168"/>
      <c r="T668" s="168"/>
      <c r="U668" s="168"/>
      <c r="V668" s="168"/>
      <c r="W668" s="168"/>
      <c r="X668" s="168"/>
      <c r="Y668" s="168"/>
      <c r="Z668" s="168"/>
      <c r="AA668" s="168"/>
    </row>
    <row r="669" customFormat="false" ht="15.75" hidden="false" customHeight="false" outlineLevel="0" collapsed="false">
      <c r="A669" s="168" t="str">
        <f aca="false">IF(ISBLANK(B669),"",B669&amp;"|"&amp;C669)</f>
        <v/>
      </c>
      <c r="B669" s="168"/>
      <c r="C669" s="168"/>
      <c r="D669" s="168"/>
      <c r="E669" s="175"/>
      <c r="F669" s="168"/>
      <c r="G669" s="168"/>
      <c r="H669" s="168"/>
      <c r="I669" s="168"/>
      <c r="J669" s="168"/>
      <c r="K669" s="168"/>
      <c r="L669" s="168"/>
      <c r="M669" s="168"/>
      <c r="N669" s="168"/>
      <c r="O669" s="168"/>
      <c r="P669" s="168"/>
      <c r="Q669" s="168"/>
      <c r="R669" s="168"/>
      <c r="S669" s="168"/>
      <c r="T669" s="168"/>
      <c r="U669" s="168"/>
      <c r="V669" s="168"/>
      <c r="W669" s="168"/>
      <c r="X669" s="168"/>
      <c r="Y669" s="168"/>
      <c r="Z669" s="168"/>
      <c r="AA669" s="168"/>
    </row>
    <row r="670" customFormat="false" ht="15.75" hidden="false" customHeight="false" outlineLevel="0" collapsed="false">
      <c r="A670" s="168" t="str">
        <f aca="false">IF(ISBLANK(B670),"",B670&amp;"|"&amp;C670)</f>
        <v/>
      </c>
      <c r="B670" s="168"/>
      <c r="C670" s="168"/>
      <c r="D670" s="168"/>
      <c r="E670" s="175"/>
      <c r="F670" s="168"/>
      <c r="G670" s="168"/>
      <c r="H670" s="168"/>
      <c r="I670" s="168"/>
      <c r="J670" s="168"/>
      <c r="K670" s="168"/>
      <c r="L670" s="168"/>
      <c r="M670" s="168"/>
      <c r="N670" s="168"/>
      <c r="O670" s="168"/>
      <c r="P670" s="168"/>
      <c r="Q670" s="168"/>
      <c r="R670" s="168"/>
      <c r="S670" s="168"/>
      <c r="T670" s="168"/>
      <c r="U670" s="168"/>
      <c r="V670" s="168"/>
      <c r="W670" s="168"/>
      <c r="X670" s="168"/>
      <c r="Y670" s="168"/>
      <c r="Z670" s="168"/>
      <c r="AA670" s="168"/>
    </row>
    <row r="671" customFormat="false" ht="15.75" hidden="false" customHeight="false" outlineLevel="0" collapsed="false">
      <c r="A671" s="168" t="str">
        <f aca="false">IF(ISBLANK(B671),"",B671&amp;"|"&amp;C671)</f>
        <v/>
      </c>
      <c r="B671" s="168"/>
      <c r="C671" s="168"/>
      <c r="D671" s="168"/>
      <c r="E671" s="175"/>
      <c r="F671" s="168"/>
      <c r="G671" s="168"/>
      <c r="H671" s="168"/>
      <c r="I671" s="168"/>
      <c r="J671" s="168"/>
      <c r="K671" s="168"/>
      <c r="L671" s="168"/>
      <c r="M671" s="168"/>
      <c r="N671" s="168"/>
      <c r="O671" s="168"/>
      <c r="P671" s="168"/>
      <c r="Q671" s="168"/>
      <c r="R671" s="168"/>
      <c r="S671" s="168"/>
      <c r="T671" s="168"/>
      <c r="U671" s="168"/>
      <c r="V671" s="168"/>
      <c r="W671" s="168"/>
      <c r="X671" s="168"/>
      <c r="Y671" s="168"/>
      <c r="Z671" s="168"/>
      <c r="AA671" s="168"/>
    </row>
    <row r="672" customFormat="false" ht="15.75" hidden="false" customHeight="false" outlineLevel="0" collapsed="false">
      <c r="A672" s="168" t="str">
        <f aca="false">IF(ISBLANK(B672),"",B672&amp;"|"&amp;C672)</f>
        <v/>
      </c>
      <c r="B672" s="168"/>
      <c r="C672" s="168"/>
      <c r="D672" s="168"/>
      <c r="E672" s="175"/>
      <c r="F672" s="168"/>
      <c r="G672" s="168"/>
      <c r="H672" s="168"/>
      <c r="I672" s="168"/>
      <c r="J672" s="168"/>
      <c r="K672" s="168"/>
      <c r="L672" s="168"/>
      <c r="M672" s="168"/>
      <c r="N672" s="168"/>
      <c r="O672" s="168"/>
      <c r="P672" s="168"/>
      <c r="Q672" s="168"/>
      <c r="R672" s="168"/>
      <c r="S672" s="168"/>
      <c r="T672" s="168"/>
      <c r="U672" s="168"/>
      <c r="V672" s="168"/>
      <c r="W672" s="168"/>
      <c r="X672" s="168"/>
      <c r="Y672" s="168"/>
      <c r="Z672" s="168"/>
      <c r="AA672" s="168"/>
    </row>
    <row r="673" customFormat="false" ht="15.75" hidden="false" customHeight="false" outlineLevel="0" collapsed="false">
      <c r="A673" s="168" t="str">
        <f aca="false">IF(ISBLANK(B673),"",B673&amp;"|"&amp;C673)</f>
        <v/>
      </c>
      <c r="B673" s="168"/>
      <c r="C673" s="168"/>
      <c r="D673" s="168"/>
      <c r="E673" s="175"/>
      <c r="F673" s="168"/>
      <c r="G673" s="168"/>
      <c r="H673" s="168"/>
      <c r="I673" s="168"/>
      <c r="J673" s="168"/>
      <c r="K673" s="168"/>
      <c r="L673" s="168"/>
      <c r="M673" s="168"/>
      <c r="N673" s="168"/>
      <c r="O673" s="168"/>
      <c r="P673" s="168"/>
      <c r="Q673" s="168"/>
      <c r="R673" s="168"/>
      <c r="S673" s="168"/>
      <c r="T673" s="168"/>
      <c r="U673" s="168"/>
      <c r="V673" s="168"/>
      <c r="W673" s="168"/>
      <c r="X673" s="168"/>
      <c r="Y673" s="168"/>
      <c r="Z673" s="168"/>
      <c r="AA673" s="168"/>
    </row>
    <row r="674" customFormat="false" ht="15.75" hidden="false" customHeight="false" outlineLevel="0" collapsed="false">
      <c r="A674" s="168" t="str">
        <f aca="false">IF(ISBLANK(B674),"",B674&amp;"|"&amp;C674)</f>
        <v/>
      </c>
      <c r="B674" s="168"/>
      <c r="C674" s="168"/>
      <c r="D674" s="168"/>
      <c r="E674" s="175"/>
      <c r="F674" s="168"/>
      <c r="G674" s="168"/>
      <c r="H674" s="168"/>
      <c r="I674" s="168"/>
      <c r="J674" s="168"/>
      <c r="K674" s="168"/>
      <c r="L674" s="168"/>
      <c r="M674" s="168"/>
      <c r="N674" s="168"/>
      <c r="O674" s="168"/>
      <c r="P674" s="168"/>
      <c r="Q674" s="168"/>
      <c r="R674" s="168"/>
      <c r="S674" s="168"/>
      <c r="T674" s="168"/>
      <c r="U674" s="168"/>
      <c r="V674" s="168"/>
      <c r="W674" s="168"/>
      <c r="X674" s="168"/>
      <c r="Y674" s="168"/>
      <c r="Z674" s="168"/>
      <c r="AA674" s="168"/>
    </row>
    <row r="675" customFormat="false" ht="15.75" hidden="false" customHeight="false" outlineLevel="0" collapsed="false">
      <c r="A675" s="168" t="str">
        <f aca="false">IF(ISBLANK(B675),"",B675&amp;"|"&amp;C675)</f>
        <v/>
      </c>
      <c r="B675" s="168"/>
      <c r="C675" s="168"/>
      <c r="D675" s="168"/>
      <c r="E675" s="175"/>
      <c r="F675" s="168"/>
      <c r="G675" s="168"/>
      <c r="H675" s="168"/>
      <c r="I675" s="168"/>
      <c r="J675" s="168"/>
      <c r="K675" s="168"/>
      <c r="L675" s="168"/>
      <c r="M675" s="168"/>
      <c r="N675" s="168"/>
      <c r="O675" s="168"/>
      <c r="P675" s="168"/>
      <c r="Q675" s="168"/>
      <c r="R675" s="168"/>
      <c r="S675" s="168"/>
      <c r="T675" s="168"/>
      <c r="U675" s="168"/>
      <c r="V675" s="168"/>
      <c r="W675" s="168"/>
      <c r="X675" s="168"/>
      <c r="Y675" s="168"/>
      <c r="Z675" s="168"/>
      <c r="AA675" s="168"/>
    </row>
    <row r="676" customFormat="false" ht="15.75" hidden="false" customHeight="false" outlineLevel="0" collapsed="false">
      <c r="A676" s="168" t="str">
        <f aca="false">IF(ISBLANK(B676),"",B676&amp;"|"&amp;C676)</f>
        <v/>
      </c>
      <c r="B676" s="168"/>
      <c r="C676" s="168"/>
      <c r="D676" s="168"/>
      <c r="E676" s="175"/>
      <c r="F676" s="168"/>
      <c r="G676" s="168"/>
      <c r="H676" s="168"/>
      <c r="I676" s="168"/>
      <c r="J676" s="168"/>
      <c r="K676" s="168"/>
      <c r="L676" s="168"/>
      <c r="M676" s="168"/>
      <c r="N676" s="168"/>
      <c r="O676" s="168"/>
      <c r="P676" s="168"/>
      <c r="Q676" s="168"/>
      <c r="R676" s="168"/>
      <c r="S676" s="168"/>
      <c r="T676" s="168"/>
      <c r="U676" s="168"/>
      <c r="V676" s="168"/>
      <c r="W676" s="168"/>
      <c r="X676" s="168"/>
      <c r="Y676" s="168"/>
      <c r="Z676" s="168"/>
      <c r="AA676" s="168"/>
    </row>
    <row r="677" customFormat="false" ht="15.75" hidden="false" customHeight="false" outlineLevel="0" collapsed="false">
      <c r="A677" s="168" t="str">
        <f aca="false">IF(ISBLANK(B677),"",B677&amp;"|"&amp;C677)</f>
        <v/>
      </c>
      <c r="B677" s="168"/>
      <c r="C677" s="168"/>
      <c r="D677" s="168"/>
      <c r="E677" s="175"/>
      <c r="F677" s="168"/>
      <c r="G677" s="168"/>
      <c r="H677" s="168"/>
      <c r="I677" s="168"/>
      <c r="J677" s="168"/>
      <c r="K677" s="168"/>
      <c r="L677" s="168"/>
      <c r="M677" s="168"/>
      <c r="N677" s="168"/>
      <c r="O677" s="168"/>
      <c r="P677" s="168"/>
      <c r="Q677" s="168"/>
      <c r="R677" s="168"/>
      <c r="S677" s="168"/>
      <c r="T677" s="168"/>
      <c r="U677" s="168"/>
      <c r="V677" s="168"/>
      <c r="W677" s="168"/>
      <c r="X677" s="168"/>
      <c r="Y677" s="168"/>
      <c r="Z677" s="168"/>
      <c r="AA677" s="168"/>
    </row>
    <row r="678" customFormat="false" ht="15.75" hidden="false" customHeight="false" outlineLevel="0" collapsed="false">
      <c r="A678" s="168" t="str">
        <f aca="false">IF(ISBLANK(B678),"",B678&amp;"|"&amp;C678)</f>
        <v/>
      </c>
      <c r="B678" s="168"/>
      <c r="C678" s="168"/>
      <c r="D678" s="168"/>
      <c r="E678" s="175"/>
      <c r="F678" s="168"/>
      <c r="G678" s="168"/>
      <c r="H678" s="168"/>
      <c r="I678" s="168"/>
      <c r="J678" s="168"/>
      <c r="K678" s="168"/>
      <c r="L678" s="168"/>
      <c r="M678" s="168"/>
      <c r="N678" s="168"/>
      <c r="O678" s="168"/>
      <c r="P678" s="168"/>
      <c r="Q678" s="168"/>
      <c r="R678" s="168"/>
      <c r="S678" s="168"/>
      <c r="T678" s="168"/>
      <c r="U678" s="168"/>
      <c r="V678" s="168"/>
      <c r="W678" s="168"/>
      <c r="X678" s="168"/>
      <c r="Y678" s="168"/>
      <c r="Z678" s="168"/>
      <c r="AA678" s="168"/>
    </row>
    <row r="679" customFormat="false" ht="15.75" hidden="false" customHeight="false" outlineLevel="0" collapsed="false">
      <c r="A679" s="168" t="str">
        <f aca="false">IF(ISBLANK(B679),"",B679&amp;"|"&amp;C679)</f>
        <v/>
      </c>
      <c r="B679" s="168"/>
      <c r="C679" s="168"/>
      <c r="D679" s="168"/>
      <c r="E679" s="175"/>
      <c r="F679" s="168"/>
      <c r="G679" s="168"/>
      <c r="H679" s="168"/>
      <c r="I679" s="168"/>
      <c r="J679" s="168"/>
      <c r="K679" s="168"/>
      <c r="L679" s="168"/>
      <c r="M679" s="168"/>
      <c r="N679" s="168"/>
      <c r="O679" s="168"/>
      <c r="P679" s="168"/>
      <c r="Q679" s="168"/>
      <c r="R679" s="168"/>
      <c r="S679" s="168"/>
      <c r="T679" s="168"/>
      <c r="U679" s="168"/>
      <c r="V679" s="168"/>
      <c r="W679" s="168"/>
      <c r="X679" s="168"/>
      <c r="Y679" s="168"/>
      <c r="Z679" s="168"/>
      <c r="AA679" s="168"/>
    </row>
    <row r="680" customFormat="false" ht="15.75" hidden="false" customHeight="false" outlineLevel="0" collapsed="false">
      <c r="A680" s="168" t="str">
        <f aca="false">IF(ISBLANK(B680),"",B680&amp;"|"&amp;C680)</f>
        <v/>
      </c>
      <c r="B680" s="168"/>
      <c r="C680" s="168"/>
      <c r="D680" s="168"/>
      <c r="E680" s="175"/>
      <c r="F680" s="168"/>
      <c r="G680" s="168"/>
      <c r="H680" s="168"/>
      <c r="I680" s="168"/>
      <c r="J680" s="168"/>
      <c r="K680" s="168"/>
      <c r="L680" s="168"/>
      <c r="M680" s="168"/>
      <c r="N680" s="168"/>
      <c r="O680" s="168"/>
      <c r="P680" s="168"/>
      <c r="Q680" s="168"/>
      <c r="R680" s="168"/>
      <c r="S680" s="168"/>
      <c r="T680" s="168"/>
      <c r="U680" s="168"/>
      <c r="V680" s="168"/>
      <c r="W680" s="168"/>
      <c r="X680" s="168"/>
      <c r="Y680" s="168"/>
      <c r="Z680" s="168"/>
      <c r="AA680" s="168"/>
    </row>
    <row r="681" customFormat="false" ht="15.75" hidden="false" customHeight="false" outlineLevel="0" collapsed="false">
      <c r="A681" s="168" t="str">
        <f aca="false">IF(ISBLANK(B681),"",B681&amp;"|"&amp;C681)</f>
        <v/>
      </c>
      <c r="B681" s="168"/>
      <c r="C681" s="168"/>
      <c r="D681" s="168"/>
      <c r="E681" s="175"/>
      <c r="F681" s="168"/>
      <c r="G681" s="168"/>
      <c r="H681" s="168"/>
      <c r="I681" s="168"/>
      <c r="J681" s="168"/>
      <c r="K681" s="168"/>
      <c r="L681" s="168"/>
      <c r="M681" s="168"/>
      <c r="N681" s="168"/>
      <c r="O681" s="168"/>
      <c r="P681" s="168"/>
      <c r="Q681" s="168"/>
      <c r="R681" s="168"/>
      <c r="S681" s="168"/>
      <c r="T681" s="168"/>
      <c r="U681" s="168"/>
      <c r="V681" s="168"/>
      <c r="W681" s="168"/>
      <c r="X681" s="168"/>
      <c r="Y681" s="168"/>
      <c r="Z681" s="168"/>
      <c r="AA681" s="168"/>
    </row>
    <row r="682" customFormat="false" ht="15.75" hidden="false" customHeight="false" outlineLevel="0" collapsed="false">
      <c r="A682" s="168" t="str">
        <f aca="false">IF(ISBLANK(B682),"",B682&amp;"|"&amp;C682)</f>
        <v/>
      </c>
      <c r="B682" s="168"/>
      <c r="C682" s="168"/>
      <c r="D682" s="168"/>
      <c r="E682" s="175"/>
      <c r="F682" s="168"/>
      <c r="G682" s="168"/>
      <c r="H682" s="168"/>
      <c r="I682" s="168"/>
      <c r="J682" s="168"/>
      <c r="K682" s="168"/>
      <c r="L682" s="168"/>
      <c r="M682" s="168"/>
      <c r="N682" s="168"/>
      <c r="O682" s="168"/>
      <c r="P682" s="168"/>
      <c r="Q682" s="168"/>
      <c r="R682" s="168"/>
      <c r="S682" s="168"/>
      <c r="T682" s="168"/>
      <c r="U682" s="168"/>
      <c r="V682" s="168"/>
      <c r="W682" s="168"/>
      <c r="X682" s="168"/>
      <c r="Y682" s="168"/>
      <c r="Z682" s="168"/>
      <c r="AA682" s="168"/>
    </row>
    <row r="683" customFormat="false" ht="15.75" hidden="false" customHeight="false" outlineLevel="0" collapsed="false">
      <c r="A683" s="168" t="str">
        <f aca="false">IF(ISBLANK(B683),"",B683&amp;"|"&amp;C683)</f>
        <v/>
      </c>
      <c r="B683" s="168"/>
      <c r="C683" s="168"/>
      <c r="D683" s="168"/>
      <c r="E683" s="175"/>
      <c r="F683" s="168"/>
      <c r="G683" s="168"/>
      <c r="H683" s="168"/>
      <c r="I683" s="168"/>
      <c r="J683" s="168"/>
      <c r="K683" s="168"/>
      <c r="L683" s="168"/>
      <c r="M683" s="168"/>
      <c r="N683" s="168"/>
      <c r="O683" s="168"/>
      <c r="P683" s="168"/>
      <c r="Q683" s="168"/>
      <c r="R683" s="168"/>
      <c r="S683" s="168"/>
      <c r="T683" s="168"/>
      <c r="U683" s="168"/>
      <c r="V683" s="168"/>
      <c r="W683" s="168"/>
      <c r="X683" s="168"/>
      <c r="Y683" s="168"/>
      <c r="Z683" s="168"/>
      <c r="AA683" s="168"/>
    </row>
    <row r="684" customFormat="false" ht="15.75" hidden="false" customHeight="false" outlineLevel="0" collapsed="false">
      <c r="A684" s="168" t="str">
        <f aca="false">IF(ISBLANK(B684),"",B684&amp;"|"&amp;C684)</f>
        <v/>
      </c>
      <c r="B684" s="168"/>
      <c r="C684" s="168"/>
      <c r="D684" s="168"/>
      <c r="E684" s="175"/>
      <c r="F684" s="168"/>
      <c r="G684" s="168"/>
      <c r="H684" s="168"/>
      <c r="I684" s="168"/>
      <c r="J684" s="168"/>
      <c r="K684" s="168"/>
      <c r="L684" s="168"/>
      <c r="M684" s="168"/>
      <c r="N684" s="168"/>
      <c r="O684" s="168"/>
      <c r="P684" s="168"/>
      <c r="Q684" s="168"/>
      <c r="R684" s="168"/>
      <c r="S684" s="168"/>
      <c r="T684" s="168"/>
      <c r="U684" s="168"/>
      <c r="V684" s="168"/>
      <c r="W684" s="168"/>
      <c r="X684" s="168"/>
      <c r="Y684" s="168"/>
      <c r="Z684" s="168"/>
      <c r="AA684" s="168"/>
    </row>
    <row r="685" customFormat="false" ht="15.75" hidden="false" customHeight="false" outlineLevel="0" collapsed="false">
      <c r="A685" s="168" t="str">
        <f aca="false">IF(ISBLANK(B685),"",B685&amp;"|"&amp;C685)</f>
        <v/>
      </c>
      <c r="B685" s="168"/>
      <c r="C685" s="168"/>
      <c r="D685" s="168"/>
      <c r="E685" s="175"/>
      <c r="F685" s="168"/>
      <c r="G685" s="168"/>
      <c r="H685" s="168"/>
      <c r="I685" s="168"/>
      <c r="J685" s="168"/>
      <c r="K685" s="168"/>
      <c r="L685" s="168"/>
      <c r="M685" s="168"/>
      <c r="N685" s="168"/>
      <c r="O685" s="168"/>
      <c r="P685" s="168"/>
      <c r="Q685" s="168"/>
      <c r="R685" s="168"/>
      <c r="S685" s="168"/>
      <c r="T685" s="168"/>
      <c r="U685" s="168"/>
      <c r="V685" s="168"/>
      <c r="W685" s="168"/>
      <c r="X685" s="168"/>
      <c r="Y685" s="168"/>
      <c r="Z685" s="168"/>
      <c r="AA685" s="168"/>
    </row>
    <row r="686" customFormat="false" ht="15.75" hidden="false" customHeight="false" outlineLevel="0" collapsed="false">
      <c r="A686" s="168" t="str">
        <f aca="false">IF(ISBLANK(B686),"",B686&amp;"|"&amp;C686)</f>
        <v/>
      </c>
      <c r="B686" s="168"/>
      <c r="C686" s="168"/>
      <c r="D686" s="168"/>
      <c r="E686" s="175"/>
      <c r="F686" s="168"/>
      <c r="G686" s="168"/>
      <c r="H686" s="168"/>
      <c r="I686" s="168"/>
      <c r="J686" s="168"/>
      <c r="K686" s="168"/>
      <c r="L686" s="168"/>
      <c r="M686" s="168"/>
      <c r="N686" s="168"/>
      <c r="O686" s="168"/>
      <c r="P686" s="168"/>
      <c r="Q686" s="168"/>
      <c r="R686" s="168"/>
      <c r="S686" s="168"/>
      <c r="T686" s="168"/>
      <c r="U686" s="168"/>
      <c r="V686" s="168"/>
      <c r="W686" s="168"/>
      <c r="X686" s="168"/>
      <c r="Y686" s="168"/>
      <c r="Z686" s="168"/>
      <c r="AA686" s="168"/>
    </row>
    <row r="687" customFormat="false" ht="15.75" hidden="false" customHeight="false" outlineLevel="0" collapsed="false">
      <c r="A687" s="168" t="str">
        <f aca="false">IF(ISBLANK(B687),"",B687&amp;"|"&amp;C687)</f>
        <v/>
      </c>
      <c r="B687" s="168"/>
      <c r="C687" s="168"/>
      <c r="D687" s="168"/>
      <c r="E687" s="175"/>
      <c r="F687" s="168"/>
      <c r="G687" s="168"/>
      <c r="H687" s="168"/>
      <c r="I687" s="168"/>
      <c r="J687" s="168"/>
      <c r="K687" s="168"/>
      <c r="L687" s="168"/>
      <c r="M687" s="168"/>
      <c r="N687" s="168"/>
      <c r="O687" s="168"/>
      <c r="P687" s="168"/>
      <c r="Q687" s="168"/>
      <c r="R687" s="168"/>
      <c r="S687" s="168"/>
      <c r="T687" s="168"/>
      <c r="U687" s="168"/>
      <c r="V687" s="168"/>
      <c r="W687" s="168"/>
      <c r="X687" s="168"/>
      <c r="Y687" s="168"/>
      <c r="Z687" s="168"/>
      <c r="AA687" s="168"/>
    </row>
    <row r="688" customFormat="false" ht="15.75" hidden="false" customHeight="false" outlineLevel="0" collapsed="false">
      <c r="A688" s="168" t="str">
        <f aca="false">IF(ISBLANK(B688),"",B688&amp;"|"&amp;C688)</f>
        <v/>
      </c>
      <c r="B688" s="168"/>
      <c r="C688" s="168"/>
      <c r="D688" s="168"/>
      <c r="E688" s="175"/>
      <c r="F688" s="168"/>
      <c r="G688" s="168"/>
      <c r="H688" s="168"/>
      <c r="I688" s="168"/>
      <c r="J688" s="168"/>
      <c r="K688" s="168"/>
      <c r="L688" s="168"/>
      <c r="M688" s="168"/>
      <c r="N688" s="168"/>
      <c r="O688" s="168"/>
      <c r="P688" s="168"/>
      <c r="Q688" s="168"/>
      <c r="R688" s="168"/>
      <c r="S688" s="168"/>
      <c r="T688" s="168"/>
      <c r="U688" s="168"/>
      <c r="V688" s="168"/>
      <c r="W688" s="168"/>
      <c r="X688" s="168"/>
      <c r="Y688" s="168"/>
      <c r="Z688" s="168"/>
      <c r="AA688" s="168"/>
    </row>
    <row r="689" customFormat="false" ht="15.75" hidden="false" customHeight="false" outlineLevel="0" collapsed="false">
      <c r="A689" s="168" t="str">
        <f aca="false">IF(ISBLANK(B689),"",B689&amp;"|"&amp;C689)</f>
        <v/>
      </c>
      <c r="B689" s="168"/>
      <c r="C689" s="168"/>
      <c r="D689" s="168"/>
      <c r="E689" s="175"/>
      <c r="F689" s="168"/>
      <c r="G689" s="168"/>
      <c r="H689" s="168"/>
      <c r="I689" s="168"/>
      <c r="J689" s="168"/>
      <c r="K689" s="168"/>
      <c r="L689" s="168"/>
      <c r="M689" s="168"/>
      <c r="N689" s="168"/>
      <c r="O689" s="168"/>
      <c r="P689" s="168"/>
      <c r="Q689" s="168"/>
      <c r="R689" s="168"/>
      <c r="S689" s="168"/>
      <c r="T689" s="168"/>
      <c r="U689" s="168"/>
      <c r="V689" s="168"/>
      <c r="W689" s="168"/>
      <c r="X689" s="168"/>
      <c r="Y689" s="168"/>
      <c r="Z689" s="168"/>
      <c r="AA689" s="168"/>
    </row>
    <row r="690" customFormat="false" ht="15.75" hidden="false" customHeight="false" outlineLevel="0" collapsed="false">
      <c r="A690" s="168" t="str">
        <f aca="false">IF(ISBLANK(B690),"",B690&amp;"|"&amp;C690)</f>
        <v/>
      </c>
      <c r="B690" s="168"/>
      <c r="C690" s="168"/>
      <c r="D690" s="168"/>
      <c r="E690" s="175"/>
      <c r="F690" s="168"/>
      <c r="G690" s="168"/>
      <c r="H690" s="168"/>
      <c r="I690" s="168"/>
      <c r="J690" s="168"/>
      <c r="K690" s="168"/>
      <c r="L690" s="168"/>
      <c r="M690" s="168"/>
      <c r="N690" s="168"/>
      <c r="O690" s="168"/>
      <c r="P690" s="168"/>
      <c r="Q690" s="168"/>
      <c r="R690" s="168"/>
      <c r="S690" s="168"/>
      <c r="T690" s="168"/>
      <c r="U690" s="168"/>
      <c r="V690" s="168"/>
      <c r="W690" s="168"/>
      <c r="X690" s="168"/>
      <c r="Y690" s="168"/>
      <c r="Z690" s="168"/>
      <c r="AA690" s="168"/>
    </row>
    <row r="691" customFormat="false" ht="15.75" hidden="false" customHeight="false" outlineLevel="0" collapsed="false">
      <c r="A691" s="168" t="str">
        <f aca="false">IF(ISBLANK(B691),"",B691&amp;"|"&amp;C691)</f>
        <v/>
      </c>
      <c r="B691" s="168"/>
      <c r="C691" s="168"/>
      <c r="D691" s="168"/>
      <c r="E691" s="175"/>
      <c r="F691" s="168"/>
      <c r="G691" s="168"/>
      <c r="H691" s="168"/>
      <c r="I691" s="168"/>
      <c r="J691" s="168"/>
      <c r="K691" s="168"/>
      <c r="L691" s="168"/>
      <c r="M691" s="168"/>
      <c r="N691" s="168"/>
      <c r="O691" s="168"/>
      <c r="P691" s="168"/>
      <c r="Q691" s="168"/>
      <c r="R691" s="168"/>
      <c r="S691" s="168"/>
      <c r="T691" s="168"/>
      <c r="U691" s="168"/>
      <c r="V691" s="168"/>
      <c r="W691" s="168"/>
      <c r="X691" s="168"/>
      <c r="Y691" s="168"/>
      <c r="Z691" s="168"/>
      <c r="AA691" s="168"/>
    </row>
    <row r="692" customFormat="false" ht="15.75" hidden="false" customHeight="false" outlineLevel="0" collapsed="false">
      <c r="A692" s="168" t="str">
        <f aca="false">IF(ISBLANK(B692),"",B692&amp;"|"&amp;C692)</f>
        <v/>
      </c>
      <c r="B692" s="168"/>
      <c r="C692" s="168"/>
      <c r="D692" s="168"/>
      <c r="E692" s="175"/>
      <c r="F692" s="168"/>
      <c r="G692" s="168"/>
      <c r="H692" s="168"/>
      <c r="I692" s="168"/>
      <c r="J692" s="168"/>
      <c r="K692" s="168"/>
      <c r="L692" s="168"/>
      <c r="M692" s="168"/>
      <c r="N692" s="168"/>
      <c r="O692" s="168"/>
      <c r="P692" s="168"/>
      <c r="Q692" s="168"/>
      <c r="R692" s="168"/>
      <c r="S692" s="168"/>
      <c r="T692" s="168"/>
      <c r="U692" s="168"/>
      <c r="V692" s="168"/>
      <c r="W692" s="168"/>
      <c r="X692" s="168"/>
      <c r="Y692" s="168"/>
      <c r="Z692" s="168"/>
      <c r="AA692" s="168"/>
    </row>
    <row r="693" customFormat="false" ht="15.75" hidden="false" customHeight="false" outlineLevel="0" collapsed="false">
      <c r="A693" s="168" t="str">
        <f aca="false">IF(ISBLANK(B693),"",B693&amp;"|"&amp;C693)</f>
        <v/>
      </c>
      <c r="B693" s="168"/>
      <c r="C693" s="168"/>
      <c r="D693" s="168"/>
      <c r="E693" s="175"/>
      <c r="F693" s="168"/>
      <c r="G693" s="168"/>
      <c r="H693" s="168"/>
      <c r="I693" s="168"/>
      <c r="J693" s="168"/>
      <c r="K693" s="168"/>
      <c r="L693" s="168"/>
      <c r="M693" s="168"/>
      <c r="N693" s="168"/>
      <c r="O693" s="168"/>
      <c r="P693" s="168"/>
      <c r="Q693" s="168"/>
      <c r="R693" s="168"/>
      <c r="S693" s="168"/>
      <c r="T693" s="168"/>
      <c r="U693" s="168"/>
      <c r="V693" s="168"/>
      <c r="W693" s="168"/>
      <c r="X693" s="168"/>
      <c r="Y693" s="168"/>
      <c r="Z693" s="168"/>
      <c r="AA693" s="168"/>
    </row>
    <row r="694" customFormat="false" ht="15.75" hidden="false" customHeight="false" outlineLevel="0" collapsed="false">
      <c r="A694" s="168" t="str">
        <f aca="false">IF(ISBLANK(B694),"",B694&amp;"|"&amp;C694)</f>
        <v/>
      </c>
      <c r="B694" s="168"/>
      <c r="C694" s="168"/>
      <c r="D694" s="168"/>
      <c r="E694" s="175"/>
      <c r="F694" s="168"/>
      <c r="G694" s="168"/>
      <c r="H694" s="168"/>
      <c r="I694" s="168"/>
      <c r="J694" s="168"/>
      <c r="K694" s="168"/>
      <c r="L694" s="168"/>
      <c r="M694" s="168"/>
      <c r="N694" s="168"/>
      <c r="O694" s="168"/>
      <c r="P694" s="168"/>
      <c r="Q694" s="168"/>
      <c r="R694" s="168"/>
      <c r="S694" s="168"/>
      <c r="T694" s="168"/>
      <c r="U694" s="168"/>
      <c r="V694" s="168"/>
      <c r="W694" s="168"/>
      <c r="X694" s="168"/>
      <c r="Y694" s="168"/>
      <c r="Z694" s="168"/>
      <c r="AA694" s="168"/>
    </row>
    <row r="695" customFormat="false" ht="15.75" hidden="false" customHeight="false" outlineLevel="0" collapsed="false">
      <c r="A695" s="168" t="str">
        <f aca="false">IF(ISBLANK(B695),"",B695&amp;"|"&amp;C695)</f>
        <v/>
      </c>
      <c r="B695" s="168"/>
      <c r="C695" s="168"/>
      <c r="D695" s="168"/>
      <c r="E695" s="175"/>
      <c r="F695" s="168"/>
      <c r="G695" s="168"/>
      <c r="H695" s="168"/>
      <c r="I695" s="168"/>
      <c r="J695" s="168"/>
      <c r="K695" s="168"/>
      <c r="L695" s="168"/>
      <c r="M695" s="168"/>
      <c r="N695" s="168"/>
      <c r="O695" s="168"/>
      <c r="P695" s="168"/>
      <c r="Q695" s="168"/>
      <c r="R695" s="168"/>
      <c r="S695" s="168"/>
      <c r="T695" s="168"/>
      <c r="U695" s="168"/>
      <c r="V695" s="168"/>
      <c r="W695" s="168"/>
      <c r="X695" s="168"/>
      <c r="Y695" s="168"/>
      <c r="Z695" s="168"/>
      <c r="AA695" s="168"/>
    </row>
    <row r="696" customFormat="false" ht="15.75" hidden="false" customHeight="false" outlineLevel="0" collapsed="false">
      <c r="A696" s="168" t="str">
        <f aca="false">IF(ISBLANK(B696),"",B696&amp;"|"&amp;C696)</f>
        <v/>
      </c>
      <c r="B696" s="168"/>
      <c r="C696" s="168"/>
      <c r="D696" s="168"/>
      <c r="E696" s="175"/>
      <c r="F696" s="168"/>
      <c r="G696" s="168"/>
      <c r="H696" s="168"/>
      <c r="I696" s="168"/>
      <c r="J696" s="168"/>
      <c r="K696" s="168"/>
      <c r="L696" s="168"/>
      <c r="M696" s="168"/>
      <c r="N696" s="168"/>
      <c r="O696" s="168"/>
      <c r="P696" s="168"/>
      <c r="Q696" s="168"/>
      <c r="R696" s="168"/>
      <c r="S696" s="168"/>
      <c r="T696" s="168"/>
      <c r="U696" s="168"/>
      <c r="V696" s="168"/>
      <c r="W696" s="168"/>
      <c r="X696" s="168"/>
      <c r="Y696" s="168"/>
      <c r="Z696" s="168"/>
      <c r="AA696" s="168"/>
    </row>
    <row r="697" customFormat="false" ht="15.75" hidden="false" customHeight="false" outlineLevel="0" collapsed="false">
      <c r="A697" s="168" t="str">
        <f aca="false">IF(ISBLANK(B697),"",B697&amp;"|"&amp;C697)</f>
        <v/>
      </c>
      <c r="B697" s="168"/>
      <c r="C697" s="168"/>
      <c r="D697" s="168"/>
      <c r="E697" s="175"/>
      <c r="F697" s="168"/>
      <c r="G697" s="168"/>
      <c r="H697" s="168"/>
      <c r="I697" s="168"/>
      <c r="J697" s="168"/>
      <c r="K697" s="168"/>
      <c r="L697" s="168"/>
      <c r="M697" s="168"/>
      <c r="N697" s="168"/>
      <c r="O697" s="168"/>
      <c r="P697" s="168"/>
      <c r="Q697" s="168"/>
      <c r="R697" s="168"/>
      <c r="S697" s="168"/>
      <c r="T697" s="168"/>
      <c r="U697" s="168"/>
      <c r="V697" s="168"/>
      <c r="W697" s="168"/>
      <c r="X697" s="168"/>
      <c r="Y697" s="168"/>
      <c r="Z697" s="168"/>
      <c r="AA697" s="168"/>
    </row>
    <row r="698" customFormat="false" ht="15.75" hidden="false" customHeight="false" outlineLevel="0" collapsed="false">
      <c r="A698" s="168" t="str">
        <f aca="false">IF(ISBLANK(B698),"",B698&amp;"|"&amp;C698)</f>
        <v/>
      </c>
      <c r="B698" s="168"/>
      <c r="C698" s="168"/>
      <c r="D698" s="168"/>
      <c r="E698" s="175"/>
      <c r="F698" s="168"/>
      <c r="G698" s="168"/>
      <c r="H698" s="168"/>
      <c r="I698" s="168"/>
      <c r="J698" s="168"/>
      <c r="K698" s="168"/>
      <c r="L698" s="168"/>
      <c r="M698" s="168"/>
      <c r="N698" s="168"/>
      <c r="O698" s="168"/>
      <c r="P698" s="168"/>
      <c r="Q698" s="168"/>
      <c r="R698" s="168"/>
      <c r="S698" s="168"/>
      <c r="T698" s="168"/>
      <c r="U698" s="168"/>
      <c r="V698" s="168"/>
      <c r="W698" s="168"/>
      <c r="X698" s="168"/>
      <c r="Y698" s="168"/>
      <c r="Z698" s="168"/>
      <c r="AA698" s="168"/>
    </row>
    <row r="699" customFormat="false" ht="15.75" hidden="false" customHeight="false" outlineLevel="0" collapsed="false">
      <c r="A699" s="168" t="str">
        <f aca="false">IF(ISBLANK(B699),"",B699&amp;"|"&amp;C699)</f>
        <v/>
      </c>
      <c r="B699" s="168"/>
      <c r="C699" s="168"/>
      <c r="D699" s="168"/>
      <c r="E699" s="175"/>
      <c r="F699" s="168"/>
      <c r="G699" s="168"/>
      <c r="H699" s="168"/>
      <c r="I699" s="168"/>
      <c r="J699" s="168"/>
      <c r="K699" s="168"/>
      <c r="L699" s="168"/>
      <c r="M699" s="168"/>
      <c r="N699" s="168"/>
      <c r="O699" s="168"/>
      <c r="P699" s="168"/>
      <c r="Q699" s="168"/>
      <c r="R699" s="168"/>
      <c r="S699" s="168"/>
      <c r="T699" s="168"/>
      <c r="U699" s="168"/>
      <c r="V699" s="168"/>
      <c r="W699" s="168"/>
      <c r="X699" s="168"/>
      <c r="Y699" s="168"/>
      <c r="Z699" s="168"/>
      <c r="AA699" s="168"/>
    </row>
    <row r="700" customFormat="false" ht="15.75" hidden="false" customHeight="false" outlineLevel="0" collapsed="false">
      <c r="A700" s="168" t="str">
        <f aca="false">IF(ISBLANK(B700),"",B700&amp;"|"&amp;C700)</f>
        <v/>
      </c>
      <c r="B700" s="168"/>
      <c r="C700" s="168"/>
      <c r="D700" s="168"/>
      <c r="E700" s="175"/>
      <c r="F700" s="168"/>
      <c r="G700" s="168"/>
      <c r="H700" s="168"/>
      <c r="I700" s="168"/>
      <c r="J700" s="168"/>
      <c r="K700" s="168"/>
      <c r="L700" s="168"/>
      <c r="M700" s="168"/>
      <c r="N700" s="168"/>
      <c r="O700" s="168"/>
      <c r="P700" s="168"/>
      <c r="Q700" s="168"/>
      <c r="R700" s="168"/>
      <c r="S700" s="168"/>
      <c r="T700" s="168"/>
      <c r="U700" s="168"/>
      <c r="V700" s="168"/>
      <c r="W700" s="168"/>
      <c r="X700" s="168"/>
      <c r="Y700" s="168"/>
      <c r="Z700" s="168"/>
      <c r="AA700" s="168"/>
    </row>
    <row r="701" customFormat="false" ht="15.75" hidden="false" customHeight="false" outlineLevel="0" collapsed="false">
      <c r="A701" s="168" t="str">
        <f aca="false">IF(ISBLANK(B701),"",B701&amp;"|"&amp;C701)</f>
        <v/>
      </c>
      <c r="B701" s="168"/>
      <c r="C701" s="168"/>
      <c r="D701" s="168"/>
      <c r="E701" s="175"/>
      <c r="F701" s="168"/>
      <c r="G701" s="168"/>
      <c r="H701" s="168"/>
      <c r="I701" s="168"/>
      <c r="J701" s="168"/>
      <c r="K701" s="168"/>
      <c r="L701" s="168"/>
      <c r="M701" s="168"/>
      <c r="N701" s="168"/>
      <c r="O701" s="168"/>
      <c r="P701" s="168"/>
      <c r="Q701" s="168"/>
      <c r="R701" s="168"/>
      <c r="S701" s="168"/>
      <c r="T701" s="168"/>
      <c r="U701" s="168"/>
      <c r="V701" s="168"/>
      <c r="W701" s="168"/>
      <c r="X701" s="168"/>
      <c r="Y701" s="168"/>
      <c r="Z701" s="168"/>
      <c r="AA701" s="168"/>
    </row>
    <row r="702" customFormat="false" ht="15.75" hidden="false" customHeight="false" outlineLevel="0" collapsed="false">
      <c r="A702" s="168" t="str">
        <f aca="false">IF(ISBLANK(B702),"",B702&amp;"|"&amp;C702)</f>
        <v/>
      </c>
      <c r="B702" s="168"/>
      <c r="C702" s="168"/>
      <c r="D702" s="168"/>
      <c r="E702" s="175"/>
      <c r="F702" s="168"/>
      <c r="G702" s="168"/>
      <c r="H702" s="168"/>
      <c r="I702" s="168"/>
      <c r="J702" s="168"/>
      <c r="K702" s="168"/>
      <c r="L702" s="168"/>
      <c r="M702" s="168"/>
      <c r="N702" s="168"/>
      <c r="O702" s="168"/>
      <c r="P702" s="168"/>
      <c r="Q702" s="168"/>
      <c r="R702" s="168"/>
      <c r="S702" s="168"/>
      <c r="T702" s="168"/>
      <c r="U702" s="168"/>
      <c r="V702" s="168"/>
      <c r="W702" s="168"/>
      <c r="X702" s="168"/>
      <c r="Y702" s="168"/>
      <c r="Z702" s="168"/>
      <c r="AA702" s="168"/>
    </row>
    <row r="703" customFormat="false" ht="15.75" hidden="false" customHeight="false" outlineLevel="0" collapsed="false">
      <c r="A703" s="168" t="str">
        <f aca="false">IF(ISBLANK(B703),"",B703&amp;"|"&amp;C703)</f>
        <v/>
      </c>
      <c r="B703" s="168"/>
      <c r="C703" s="168"/>
      <c r="D703" s="168"/>
      <c r="E703" s="175"/>
      <c r="F703" s="168"/>
      <c r="G703" s="168"/>
      <c r="H703" s="168"/>
      <c r="I703" s="168"/>
      <c r="J703" s="168"/>
      <c r="K703" s="168"/>
      <c r="L703" s="168"/>
      <c r="M703" s="168"/>
      <c r="N703" s="168"/>
      <c r="O703" s="168"/>
      <c r="P703" s="168"/>
      <c r="Q703" s="168"/>
      <c r="R703" s="168"/>
      <c r="S703" s="168"/>
      <c r="T703" s="168"/>
      <c r="U703" s="168"/>
      <c r="V703" s="168"/>
      <c r="W703" s="168"/>
      <c r="X703" s="168"/>
      <c r="Y703" s="168"/>
      <c r="Z703" s="168"/>
      <c r="AA703" s="168"/>
    </row>
    <row r="704" customFormat="false" ht="15.75" hidden="false" customHeight="false" outlineLevel="0" collapsed="false">
      <c r="A704" s="168" t="str">
        <f aca="false">IF(ISBLANK(B704),"",B704&amp;"|"&amp;C704)</f>
        <v/>
      </c>
      <c r="B704" s="168"/>
      <c r="C704" s="168"/>
      <c r="D704" s="168"/>
      <c r="E704" s="175"/>
      <c r="F704" s="168"/>
      <c r="G704" s="168"/>
      <c r="H704" s="168"/>
      <c r="I704" s="168"/>
      <c r="J704" s="168"/>
      <c r="K704" s="168"/>
      <c r="L704" s="168"/>
      <c r="M704" s="168"/>
      <c r="N704" s="168"/>
      <c r="O704" s="168"/>
      <c r="P704" s="168"/>
      <c r="Q704" s="168"/>
      <c r="R704" s="168"/>
      <c r="S704" s="168"/>
      <c r="T704" s="168"/>
      <c r="U704" s="168"/>
      <c r="V704" s="168"/>
      <c r="W704" s="168"/>
      <c r="X704" s="168"/>
      <c r="Y704" s="168"/>
      <c r="Z704" s="168"/>
      <c r="AA704" s="168"/>
    </row>
    <row r="705" customFormat="false" ht="15.75" hidden="false" customHeight="false" outlineLevel="0" collapsed="false">
      <c r="A705" s="168" t="str">
        <f aca="false">IF(ISBLANK(B705),"",B705&amp;"|"&amp;C705)</f>
        <v/>
      </c>
      <c r="B705" s="168"/>
      <c r="C705" s="168"/>
      <c r="D705" s="168"/>
      <c r="E705" s="175"/>
      <c r="F705" s="168"/>
      <c r="G705" s="168"/>
      <c r="H705" s="168"/>
      <c r="I705" s="168"/>
      <c r="J705" s="168"/>
      <c r="K705" s="168"/>
      <c r="L705" s="168"/>
      <c r="M705" s="168"/>
      <c r="N705" s="168"/>
      <c r="O705" s="168"/>
      <c r="P705" s="168"/>
      <c r="Q705" s="168"/>
      <c r="R705" s="168"/>
      <c r="S705" s="168"/>
      <c r="T705" s="168"/>
      <c r="U705" s="168"/>
      <c r="V705" s="168"/>
      <c r="W705" s="168"/>
      <c r="X705" s="168"/>
      <c r="Y705" s="168"/>
      <c r="Z705" s="168"/>
      <c r="AA705" s="168"/>
    </row>
    <row r="706" customFormat="false" ht="15.75" hidden="false" customHeight="false" outlineLevel="0" collapsed="false">
      <c r="A706" s="168" t="str">
        <f aca="false">IF(ISBLANK(B706),"",B706&amp;"|"&amp;C706)</f>
        <v/>
      </c>
      <c r="B706" s="168"/>
      <c r="C706" s="168"/>
      <c r="D706" s="168"/>
      <c r="E706" s="175"/>
      <c r="F706" s="168"/>
      <c r="G706" s="168"/>
      <c r="H706" s="168"/>
      <c r="I706" s="168"/>
      <c r="J706" s="168"/>
      <c r="K706" s="168"/>
      <c r="L706" s="168"/>
      <c r="M706" s="168"/>
      <c r="N706" s="168"/>
      <c r="O706" s="168"/>
      <c r="P706" s="168"/>
      <c r="Q706" s="168"/>
      <c r="R706" s="168"/>
      <c r="S706" s="168"/>
      <c r="T706" s="168"/>
      <c r="U706" s="168"/>
      <c r="V706" s="168"/>
      <c r="W706" s="168"/>
      <c r="X706" s="168"/>
      <c r="Y706" s="168"/>
      <c r="Z706" s="168"/>
      <c r="AA706" s="168"/>
    </row>
    <row r="707" customFormat="false" ht="15.75" hidden="false" customHeight="false" outlineLevel="0" collapsed="false">
      <c r="A707" s="168" t="str">
        <f aca="false">IF(ISBLANK(B707),"",B707&amp;"|"&amp;C707)</f>
        <v/>
      </c>
      <c r="B707" s="168"/>
      <c r="C707" s="168"/>
      <c r="D707" s="168"/>
      <c r="E707" s="175"/>
      <c r="F707" s="168"/>
      <c r="G707" s="168"/>
      <c r="H707" s="168"/>
      <c r="I707" s="168"/>
      <c r="J707" s="168"/>
      <c r="K707" s="168"/>
      <c r="L707" s="168"/>
      <c r="M707" s="168"/>
      <c r="N707" s="168"/>
      <c r="O707" s="168"/>
      <c r="P707" s="168"/>
      <c r="Q707" s="168"/>
      <c r="R707" s="168"/>
      <c r="S707" s="168"/>
      <c r="T707" s="168"/>
      <c r="U707" s="168"/>
      <c r="V707" s="168"/>
      <c r="W707" s="168"/>
      <c r="X707" s="168"/>
      <c r="Y707" s="168"/>
      <c r="Z707" s="168"/>
      <c r="AA707" s="168"/>
    </row>
    <row r="708" customFormat="false" ht="15.75" hidden="false" customHeight="false" outlineLevel="0" collapsed="false">
      <c r="A708" s="168" t="str">
        <f aca="false">IF(ISBLANK(B708),"",B708&amp;"|"&amp;C708)</f>
        <v/>
      </c>
      <c r="B708" s="168"/>
      <c r="C708" s="168"/>
      <c r="D708" s="168"/>
      <c r="E708" s="175"/>
      <c r="F708" s="168"/>
      <c r="G708" s="168"/>
      <c r="H708" s="168"/>
      <c r="I708" s="168"/>
      <c r="J708" s="168"/>
      <c r="K708" s="168"/>
      <c r="L708" s="168"/>
      <c r="M708" s="168"/>
      <c r="N708" s="168"/>
      <c r="O708" s="168"/>
      <c r="P708" s="168"/>
      <c r="Q708" s="168"/>
      <c r="R708" s="168"/>
      <c r="S708" s="168"/>
      <c r="T708" s="168"/>
      <c r="U708" s="168"/>
      <c r="V708" s="168"/>
      <c r="W708" s="168"/>
      <c r="X708" s="168"/>
      <c r="Y708" s="168"/>
      <c r="Z708" s="168"/>
      <c r="AA708" s="168"/>
    </row>
    <row r="709" customFormat="false" ht="15.75" hidden="false" customHeight="false" outlineLevel="0" collapsed="false">
      <c r="A709" s="168" t="str">
        <f aca="false">IF(ISBLANK(B709),"",B709&amp;"|"&amp;C709)</f>
        <v/>
      </c>
      <c r="B709" s="168"/>
      <c r="C709" s="168"/>
      <c r="D709" s="168"/>
      <c r="E709" s="175"/>
      <c r="F709" s="168"/>
      <c r="G709" s="168"/>
      <c r="H709" s="168"/>
      <c r="I709" s="168"/>
      <c r="J709" s="168"/>
      <c r="K709" s="168"/>
      <c r="L709" s="168"/>
      <c r="M709" s="168"/>
      <c r="N709" s="168"/>
      <c r="O709" s="168"/>
      <c r="P709" s="168"/>
      <c r="Q709" s="168"/>
      <c r="R709" s="168"/>
      <c r="S709" s="168"/>
      <c r="T709" s="168"/>
      <c r="U709" s="168"/>
      <c r="V709" s="168"/>
      <c r="W709" s="168"/>
      <c r="X709" s="168"/>
      <c r="Y709" s="168"/>
      <c r="Z709" s="168"/>
      <c r="AA709" s="168"/>
    </row>
    <row r="710" customFormat="false" ht="15.75" hidden="false" customHeight="false" outlineLevel="0" collapsed="false">
      <c r="A710" s="168" t="str">
        <f aca="false">IF(ISBLANK(B710),"",B710&amp;"|"&amp;C710)</f>
        <v/>
      </c>
      <c r="B710" s="168"/>
      <c r="C710" s="168"/>
      <c r="D710" s="168"/>
      <c r="E710" s="175"/>
      <c r="F710" s="168"/>
      <c r="G710" s="168"/>
      <c r="H710" s="168"/>
      <c r="I710" s="168"/>
      <c r="J710" s="168"/>
      <c r="K710" s="168"/>
      <c r="L710" s="168"/>
      <c r="M710" s="168"/>
      <c r="N710" s="168"/>
      <c r="O710" s="168"/>
      <c r="P710" s="168"/>
      <c r="Q710" s="168"/>
      <c r="R710" s="168"/>
      <c r="S710" s="168"/>
      <c r="T710" s="168"/>
      <c r="U710" s="168"/>
      <c r="V710" s="168"/>
      <c r="W710" s="168"/>
      <c r="X710" s="168"/>
      <c r="Y710" s="168"/>
      <c r="Z710" s="168"/>
      <c r="AA710" s="168"/>
    </row>
    <row r="711" customFormat="false" ht="15.75" hidden="false" customHeight="false" outlineLevel="0" collapsed="false">
      <c r="A711" s="168" t="str">
        <f aca="false">IF(ISBLANK(B711),"",B711&amp;"|"&amp;C711)</f>
        <v/>
      </c>
      <c r="B711" s="168"/>
      <c r="C711" s="168"/>
      <c r="D711" s="168"/>
      <c r="E711" s="175"/>
      <c r="F711" s="168"/>
      <c r="G711" s="168"/>
      <c r="H711" s="168"/>
      <c r="I711" s="168"/>
      <c r="J711" s="168"/>
      <c r="K711" s="168"/>
      <c r="L711" s="168"/>
      <c r="M711" s="168"/>
      <c r="N711" s="168"/>
      <c r="O711" s="168"/>
      <c r="P711" s="168"/>
      <c r="Q711" s="168"/>
      <c r="R711" s="168"/>
      <c r="S711" s="168"/>
      <c r="T711" s="168"/>
      <c r="U711" s="168"/>
      <c r="V711" s="168"/>
      <c r="W711" s="168"/>
      <c r="X711" s="168"/>
      <c r="Y711" s="168"/>
      <c r="Z711" s="168"/>
      <c r="AA711" s="168"/>
    </row>
    <row r="712" customFormat="false" ht="15.75" hidden="false" customHeight="false" outlineLevel="0" collapsed="false">
      <c r="A712" s="168" t="str">
        <f aca="false">IF(ISBLANK(B712),"",B712&amp;"|"&amp;C712)</f>
        <v/>
      </c>
      <c r="B712" s="168"/>
      <c r="C712" s="168"/>
      <c r="D712" s="168"/>
      <c r="E712" s="175"/>
      <c r="F712" s="168"/>
      <c r="G712" s="168"/>
      <c r="H712" s="168"/>
      <c r="I712" s="168"/>
      <c r="J712" s="168"/>
      <c r="K712" s="168"/>
      <c r="L712" s="168"/>
      <c r="M712" s="168"/>
      <c r="N712" s="168"/>
      <c r="O712" s="168"/>
      <c r="P712" s="168"/>
      <c r="Q712" s="168"/>
      <c r="R712" s="168"/>
      <c r="S712" s="168"/>
      <c r="T712" s="168"/>
      <c r="U712" s="168"/>
      <c r="V712" s="168"/>
      <c r="W712" s="168"/>
      <c r="X712" s="168"/>
      <c r="Y712" s="168"/>
      <c r="Z712" s="168"/>
      <c r="AA712" s="168"/>
    </row>
    <row r="713" customFormat="false" ht="15.75" hidden="false" customHeight="false" outlineLevel="0" collapsed="false">
      <c r="A713" s="168" t="str">
        <f aca="false">IF(ISBLANK(B713),"",B713&amp;"|"&amp;C713)</f>
        <v/>
      </c>
      <c r="B713" s="168"/>
      <c r="C713" s="168"/>
      <c r="D713" s="168"/>
      <c r="E713" s="175"/>
      <c r="F713" s="168"/>
      <c r="G713" s="168"/>
      <c r="H713" s="168"/>
      <c r="I713" s="168"/>
      <c r="J713" s="168"/>
      <c r="K713" s="168"/>
      <c r="L713" s="168"/>
      <c r="M713" s="168"/>
      <c r="N713" s="168"/>
      <c r="O713" s="168"/>
      <c r="P713" s="168"/>
      <c r="Q713" s="168"/>
      <c r="R713" s="168"/>
      <c r="S713" s="168"/>
      <c r="T713" s="168"/>
      <c r="U713" s="168"/>
      <c r="V713" s="168"/>
      <c r="W713" s="168"/>
      <c r="X713" s="168"/>
      <c r="Y713" s="168"/>
      <c r="Z713" s="168"/>
      <c r="AA713" s="168"/>
    </row>
    <row r="714" customFormat="false" ht="15.75" hidden="false" customHeight="false" outlineLevel="0" collapsed="false">
      <c r="A714" s="168" t="str">
        <f aca="false">IF(ISBLANK(B714),"",B714&amp;"|"&amp;C714)</f>
        <v/>
      </c>
      <c r="B714" s="168"/>
      <c r="C714" s="168"/>
      <c r="D714" s="168"/>
      <c r="E714" s="175"/>
      <c r="F714" s="168"/>
      <c r="G714" s="168"/>
      <c r="H714" s="168"/>
      <c r="I714" s="168"/>
      <c r="J714" s="168"/>
      <c r="K714" s="168"/>
      <c r="L714" s="168"/>
      <c r="M714" s="168"/>
      <c r="N714" s="168"/>
      <c r="O714" s="168"/>
      <c r="P714" s="168"/>
      <c r="Q714" s="168"/>
      <c r="R714" s="168"/>
      <c r="S714" s="168"/>
      <c r="T714" s="168"/>
      <c r="U714" s="168"/>
      <c r="V714" s="168"/>
      <c r="W714" s="168"/>
      <c r="X714" s="168"/>
      <c r="Y714" s="168"/>
      <c r="Z714" s="168"/>
      <c r="AA714" s="168"/>
    </row>
    <row r="715" customFormat="false" ht="15.75" hidden="false" customHeight="false" outlineLevel="0" collapsed="false">
      <c r="A715" s="168" t="str">
        <f aca="false">IF(ISBLANK(B715),"",B715&amp;"|"&amp;C715)</f>
        <v/>
      </c>
      <c r="B715" s="168"/>
      <c r="C715" s="168"/>
      <c r="D715" s="168"/>
      <c r="E715" s="175"/>
      <c r="F715" s="168"/>
      <c r="G715" s="168"/>
      <c r="H715" s="168"/>
      <c r="I715" s="168"/>
      <c r="J715" s="168"/>
      <c r="K715" s="168"/>
      <c r="L715" s="168"/>
      <c r="M715" s="168"/>
      <c r="N715" s="168"/>
      <c r="O715" s="168"/>
      <c r="P715" s="168"/>
      <c r="Q715" s="168"/>
      <c r="R715" s="168"/>
      <c r="S715" s="168"/>
      <c r="T715" s="168"/>
      <c r="U715" s="168"/>
      <c r="V715" s="168"/>
      <c r="W715" s="168"/>
      <c r="X715" s="168"/>
      <c r="Y715" s="168"/>
      <c r="Z715" s="168"/>
      <c r="AA715" s="168"/>
    </row>
    <row r="716" customFormat="false" ht="15.75" hidden="false" customHeight="false" outlineLevel="0" collapsed="false">
      <c r="A716" s="168" t="str">
        <f aca="false">IF(ISBLANK(B716),"",B716&amp;"|"&amp;C716)</f>
        <v/>
      </c>
      <c r="B716" s="168"/>
      <c r="C716" s="168"/>
      <c r="D716" s="168"/>
      <c r="E716" s="175"/>
      <c r="F716" s="168"/>
      <c r="G716" s="168"/>
      <c r="H716" s="168"/>
      <c r="I716" s="168"/>
      <c r="J716" s="168"/>
      <c r="K716" s="168"/>
      <c r="L716" s="168"/>
      <c r="M716" s="168"/>
      <c r="N716" s="168"/>
      <c r="O716" s="168"/>
      <c r="P716" s="168"/>
      <c r="Q716" s="168"/>
      <c r="R716" s="168"/>
      <c r="S716" s="168"/>
      <c r="T716" s="168"/>
      <c r="U716" s="168"/>
      <c r="V716" s="168"/>
      <c r="W716" s="168"/>
      <c r="X716" s="168"/>
      <c r="Y716" s="168"/>
      <c r="Z716" s="168"/>
      <c r="AA716" s="168"/>
    </row>
    <row r="717" customFormat="false" ht="15.75" hidden="false" customHeight="false" outlineLevel="0" collapsed="false">
      <c r="A717" s="168" t="str">
        <f aca="false">IF(ISBLANK(B717),"",B717&amp;"|"&amp;C717)</f>
        <v/>
      </c>
      <c r="B717" s="168"/>
      <c r="C717" s="168"/>
      <c r="D717" s="168"/>
      <c r="E717" s="175"/>
      <c r="F717" s="168"/>
      <c r="G717" s="168"/>
      <c r="H717" s="168"/>
      <c r="I717" s="168"/>
      <c r="J717" s="168"/>
      <c r="K717" s="168"/>
      <c r="L717" s="168"/>
      <c r="M717" s="168"/>
      <c r="N717" s="168"/>
      <c r="O717" s="168"/>
      <c r="P717" s="168"/>
      <c r="Q717" s="168"/>
      <c r="R717" s="168"/>
      <c r="S717" s="168"/>
      <c r="T717" s="168"/>
      <c r="U717" s="168"/>
      <c r="V717" s="168"/>
      <c r="W717" s="168"/>
      <c r="X717" s="168"/>
      <c r="Y717" s="168"/>
      <c r="Z717" s="168"/>
      <c r="AA717" s="168"/>
    </row>
    <row r="718" customFormat="false" ht="15.75" hidden="false" customHeight="false" outlineLevel="0" collapsed="false">
      <c r="A718" s="168" t="str">
        <f aca="false">IF(ISBLANK(B718),"",B718&amp;"|"&amp;C718)</f>
        <v/>
      </c>
      <c r="B718" s="168"/>
      <c r="C718" s="168"/>
      <c r="D718" s="168"/>
      <c r="E718" s="175"/>
      <c r="F718" s="168"/>
      <c r="G718" s="168"/>
      <c r="H718" s="168"/>
      <c r="I718" s="168"/>
      <c r="J718" s="168"/>
      <c r="K718" s="168"/>
      <c r="L718" s="168"/>
      <c r="M718" s="168"/>
      <c r="N718" s="168"/>
      <c r="O718" s="168"/>
      <c r="P718" s="168"/>
      <c r="Q718" s="168"/>
      <c r="R718" s="168"/>
      <c r="S718" s="168"/>
      <c r="T718" s="168"/>
      <c r="U718" s="168"/>
      <c r="V718" s="168"/>
      <c r="W718" s="168"/>
      <c r="X718" s="168"/>
      <c r="Y718" s="168"/>
      <c r="Z718" s="168"/>
      <c r="AA718" s="168"/>
    </row>
    <row r="719" customFormat="false" ht="15.75" hidden="false" customHeight="false" outlineLevel="0" collapsed="false">
      <c r="A719" s="168" t="str">
        <f aca="false">IF(ISBLANK(B719),"",B719&amp;"|"&amp;C719)</f>
        <v/>
      </c>
      <c r="B719" s="168"/>
      <c r="C719" s="168"/>
      <c r="D719" s="168"/>
      <c r="E719" s="175"/>
      <c r="F719" s="168"/>
      <c r="G719" s="168"/>
      <c r="H719" s="168"/>
      <c r="I719" s="168"/>
      <c r="J719" s="168"/>
      <c r="K719" s="168"/>
      <c r="L719" s="168"/>
      <c r="M719" s="168"/>
      <c r="N719" s="168"/>
      <c r="O719" s="168"/>
      <c r="P719" s="168"/>
      <c r="Q719" s="168"/>
      <c r="R719" s="168"/>
      <c r="S719" s="168"/>
      <c r="T719" s="168"/>
      <c r="U719" s="168"/>
      <c r="V719" s="168"/>
      <c r="W719" s="168"/>
      <c r="X719" s="168"/>
      <c r="Y719" s="168"/>
      <c r="Z719" s="168"/>
      <c r="AA719" s="168"/>
    </row>
    <row r="720" customFormat="false" ht="15.75" hidden="false" customHeight="false" outlineLevel="0" collapsed="false">
      <c r="A720" s="168" t="str">
        <f aca="false">IF(ISBLANK(B720),"",B720&amp;"|"&amp;C720)</f>
        <v/>
      </c>
      <c r="B720" s="168"/>
      <c r="C720" s="168"/>
      <c r="D720" s="168"/>
      <c r="E720" s="175"/>
      <c r="F720" s="168"/>
      <c r="G720" s="168"/>
      <c r="H720" s="168"/>
      <c r="I720" s="168"/>
      <c r="J720" s="168"/>
      <c r="K720" s="168"/>
      <c r="L720" s="168"/>
      <c r="M720" s="168"/>
      <c r="N720" s="168"/>
      <c r="O720" s="168"/>
      <c r="P720" s="168"/>
      <c r="Q720" s="168"/>
      <c r="R720" s="168"/>
      <c r="S720" s="168"/>
      <c r="T720" s="168"/>
      <c r="U720" s="168"/>
      <c r="V720" s="168"/>
      <c r="W720" s="168"/>
      <c r="X720" s="168"/>
      <c r="Y720" s="168"/>
      <c r="Z720" s="168"/>
      <c r="AA720" s="168"/>
    </row>
    <row r="721" customFormat="false" ht="15.75" hidden="false" customHeight="false" outlineLevel="0" collapsed="false">
      <c r="A721" s="168" t="str">
        <f aca="false">IF(ISBLANK(B721),"",B721&amp;"|"&amp;C721)</f>
        <v/>
      </c>
      <c r="B721" s="168"/>
      <c r="C721" s="168"/>
      <c r="D721" s="168"/>
      <c r="E721" s="175"/>
      <c r="F721" s="168"/>
      <c r="G721" s="168"/>
      <c r="H721" s="168"/>
      <c r="I721" s="168"/>
      <c r="J721" s="168"/>
      <c r="K721" s="168"/>
      <c r="L721" s="168"/>
      <c r="M721" s="168"/>
      <c r="N721" s="168"/>
      <c r="O721" s="168"/>
      <c r="P721" s="168"/>
      <c r="Q721" s="168"/>
      <c r="R721" s="168"/>
      <c r="S721" s="168"/>
      <c r="T721" s="168"/>
      <c r="U721" s="168"/>
      <c r="V721" s="168"/>
      <c r="W721" s="168"/>
      <c r="X721" s="168"/>
      <c r="Y721" s="168"/>
      <c r="Z721" s="168"/>
      <c r="AA721" s="168"/>
    </row>
    <row r="722" customFormat="false" ht="15.75" hidden="false" customHeight="false" outlineLevel="0" collapsed="false">
      <c r="A722" s="168" t="str">
        <f aca="false">IF(ISBLANK(B722),"",B722&amp;"|"&amp;C722)</f>
        <v/>
      </c>
      <c r="B722" s="168"/>
      <c r="C722" s="168"/>
      <c r="D722" s="168"/>
      <c r="E722" s="175"/>
      <c r="F722" s="168"/>
      <c r="G722" s="168"/>
      <c r="H722" s="168"/>
      <c r="I722" s="168"/>
      <c r="J722" s="168"/>
      <c r="K722" s="168"/>
      <c r="L722" s="168"/>
      <c r="M722" s="168"/>
      <c r="N722" s="168"/>
      <c r="O722" s="168"/>
      <c r="P722" s="168"/>
      <c r="Q722" s="168"/>
      <c r="R722" s="168"/>
      <c r="S722" s="168"/>
      <c r="T722" s="168"/>
      <c r="U722" s="168"/>
      <c r="V722" s="168"/>
      <c r="W722" s="168"/>
      <c r="X722" s="168"/>
      <c r="Y722" s="168"/>
      <c r="Z722" s="168"/>
      <c r="AA722" s="168"/>
    </row>
    <row r="723" customFormat="false" ht="15.75" hidden="false" customHeight="false" outlineLevel="0" collapsed="false">
      <c r="A723" s="168" t="str">
        <f aca="false">IF(ISBLANK(B723),"",B723&amp;"|"&amp;C723)</f>
        <v/>
      </c>
      <c r="B723" s="168"/>
      <c r="C723" s="168"/>
      <c r="D723" s="168"/>
      <c r="E723" s="175"/>
      <c r="F723" s="168"/>
      <c r="G723" s="168"/>
      <c r="H723" s="168"/>
      <c r="I723" s="168"/>
      <c r="J723" s="168"/>
      <c r="K723" s="168"/>
      <c r="L723" s="168"/>
      <c r="M723" s="168"/>
      <c r="N723" s="168"/>
      <c r="O723" s="168"/>
      <c r="P723" s="168"/>
      <c r="Q723" s="168"/>
      <c r="R723" s="168"/>
      <c r="S723" s="168"/>
      <c r="T723" s="168"/>
      <c r="U723" s="168"/>
      <c r="V723" s="168"/>
      <c r="W723" s="168"/>
      <c r="X723" s="168"/>
      <c r="Y723" s="168"/>
      <c r="Z723" s="168"/>
      <c r="AA723" s="168"/>
    </row>
    <row r="724" customFormat="false" ht="15.75" hidden="false" customHeight="false" outlineLevel="0" collapsed="false">
      <c r="A724" s="168" t="str">
        <f aca="false">IF(ISBLANK(B724),"",B724&amp;"|"&amp;C724)</f>
        <v/>
      </c>
      <c r="B724" s="168"/>
      <c r="C724" s="168"/>
      <c r="D724" s="168"/>
      <c r="E724" s="175"/>
      <c r="F724" s="168"/>
      <c r="G724" s="168"/>
      <c r="H724" s="168"/>
      <c r="I724" s="168"/>
      <c r="J724" s="168"/>
      <c r="K724" s="168"/>
      <c r="L724" s="168"/>
      <c r="M724" s="168"/>
      <c r="N724" s="168"/>
      <c r="O724" s="168"/>
      <c r="P724" s="168"/>
      <c r="Q724" s="168"/>
      <c r="R724" s="168"/>
      <c r="S724" s="168"/>
      <c r="T724" s="168"/>
      <c r="U724" s="168"/>
      <c r="V724" s="168"/>
      <c r="W724" s="168"/>
      <c r="X724" s="168"/>
      <c r="Y724" s="168"/>
      <c r="Z724" s="168"/>
      <c r="AA724" s="168"/>
    </row>
    <row r="725" customFormat="false" ht="15.75" hidden="false" customHeight="false" outlineLevel="0" collapsed="false">
      <c r="A725" s="168" t="str">
        <f aca="false">IF(ISBLANK(B725),"",B725&amp;"|"&amp;C725)</f>
        <v/>
      </c>
      <c r="B725" s="168"/>
      <c r="C725" s="168"/>
      <c r="D725" s="168"/>
      <c r="E725" s="175"/>
      <c r="F725" s="168"/>
      <c r="G725" s="168"/>
      <c r="H725" s="168"/>
      <c r="I725" s="168"/>
      <c r="J725" s="168"/>
      <c r="K725" s="168"/>
      <c r="L725" s="168"/>
      <c r="M725" s="168"/>
      <c r="N725" s="168"/>
      <c r="O725" s="168"/>
      <c r="P725" s="168"/>
      <c r="Q725" s="168"/>
      <c r="R725" s="168"/>
      <c r="S725" s="168"/>
      <c r="T725" s="168"/>
      <c r="U725" s="168"/>
      <c r="V725" s="168"/>
      <c r="W725" s="168"/>
      <c r="X725" s="168"/>
      <c r="Y725" s="168"/>
      <c r="Z725" s="168"/>
      <c r="AA725" s="168"/>
    </row>
    <row r="726" customFormat="false" ht="15.75" hidden="false" customHeight="false" outlineLevel="0" collapsed="false">
      <c r="A726" s="168" t="str">
        <f aca="false">IF(ISBLANK(B726),"",B726&amp;"|"&amp;C726)</f>
        <v/>
      </c>
      <c r="B726" s="168"/>
      <c r="C726" s="168"/>
      <c r="D726" s="168"/>
      <c r="E726" s="175"/>
      <c r="F726" s="168"/>
      <c r="G726" s="168"/>
      <c r="H726" s="168"/>
      <c r="I726" s="168"/>
      <c r="J726" s="168"/>
      <c r="K726" s="168"/>
      <c r="L726" s="168"/>
      <c r="M726" s="168"/>
      <c r="N726" s="168"/>
      <c r="O726" s="168"/>
      <c r="P726" s="168"/>
      <c r="Q726" s="168"/>
      <c r="R726" s="168"/>
      <c r="S726" s="168"/>
      <c r="T726" s="168"/>
      <c r="U726" s="168"/>
      <c r="V726" s="168"/>
      <c r="W726" s="168"/>
      <c r="X726" s="168"/>
      <c r="Y726" s="168"/>
      <c r="Z726" s="168"/>
      <c r="AA726" s="168"/>
    </row>
    <row r="727" customFormat="false" ht="15.75" hidden="false" customHeight="false" outlineLevel="0" collapsed="false">
      <c r="A727" s="168" t="str">
        <f aca="false">IF(ISBLANK(B727),"",B727&amp;"|"&amp;C727)</f>
        <v/>
      </c>
      <c r="B727" s="168"/>
      <c r="C727" s="168"/>
      <c r="D727" s="168"/>
      <c r="E727" s="175"/>
      <c r="F727" s="168"/>
      <c r="G727" s="168"/>
      <c r="H727" s="168"/>
      <c r="I727" s="168"/>
      <c r="J727" s="168"/>
      <c r="K727" s="168"/>
      <c r="L727" s="168"/>
      <c r="M727" s="168"/>
      <c r="N727" s="168"/>
      <c r="O727" s="168"/>
      <c r="P727" s="168"/>
      <c r="Q727" s="168"/>
      <c r="R727" s="168"/>
      <c r="S727" s="168"/>
      <c r="T727" s="168"/>
      <c r="U727" s="168"/>
      <c r="V727" s="168"/>
      <c r="W727" s="168"/>
      <c r="X727" s="168"/>
      <c r="Y727" s="168"/>
      <c r="Z727" s="168"/>
      <c r="AA727" s="168"/>
    </row>
    <row r="728" customFormat="false" ht="15.75" hidden="false" customHeight="false" outlineLevel="0" collapsed="false">
      <c r="A728" s="168" t="str">
        <f aca="false">IF(ISBLANK(B728),"",B728&amp;"|"&amp;C728)</f>
        <v/>
      </c>
      <c r="B728" s="168"/>
      <c r="C728" s="168"/>
      <c r="D728" s="168"/>
      <c r="E728" s="175"/>
      <c r="F728" s="168"/>
      <c r="G728" s="168"/>
      <c r="H728" s="168"/>
      <c r="I728" s="168"/>
      <c r="J728" s="168"/>
      <c r="K728" s="168"/>
      <c r="L728" s="168"/>
      <c r="M728" s="168"/>
      <c r="N728" s="168"/>
      <c r="O728" s="168"/>
      <c r="P728" s="168"/>
      <c r="Q728" s="168"/>
      <c r="R728" s="168"/>
      <c r="S728" s="168"/>
      <c r="T728" s="168"/>
      <c r="U728" s="168"/>
      <c r="V728" s="168"/>
      <c r="W728" s="168"/>
      <c r="X728" s="168"/>
      <c r="Y728" s="168"/>
      <c r="Z728" s="168"/>
      <c r="AA728" s="168"/>
    </row>
    <row r="729" customFormat="false" ht="15.75" hidden="false" customHeight="false" outlineLevel="0" collapsed="false">
      <c r="A729" s="168" t="str">
        <f aca="false">IF(ISBLANK(B729),"",B729&amp;"|"&amp;C729)</f>
        <v/>
      </c>
      <c r="B729" s="168"/>
      <c r="C729" s="168"/>
      <c r="D729" s="168"/>
      <c r="E729" s="175"/>
      <c r="F729" s="168"/>
      <c r="G729" s="168"/>
      <c r="H729" s="168"/>
      <c r="I729" s="168"/>
      <c r="J729" s="168"/>
      <c r="K729" s="168"/>
      <c r="L729" s="168"/>
      <c r="M729" s="168"/>
      <c r="N729" s="168"/>
      <c r="O729" s="168"/>
      <c r="P729" s="168"/>
      <c r="Q729" s="168"/>
      <c r="R729" s="168"/>
      <c r="S729" s="168"/>
      <c r="T729" s="168"/>
      <c r="U729" s="168"/>
      <c r="V729" s="168"/>
      <c r="W729" s="168"/>
      <c r="X729" s="168"/>
      <c r="Y729" s="168"/>
      <c r="Z729" s="168"/>
      <c r="AA729" s="168"/>
    </row>
    <row r="730" customFormat="false" ht="15.75" hidden="false" customHeight="false" outlineLevel="0" collapsed="false">
      <c r="A730" s="168" t="str">
        <f aca="false">IF(ISBLANK(B730),"",B730&amp;"|"&amp;C730)</f>
        <v/>
      </c>
      <c r="B730" s="168"/>
      <c r="C730" s="168"/>
      <c r="D730" s="168"/>
      <c r="E730" s="175"/>
      <c r="F730" s="168"/>
      <c r="G730" s="168"/>
      <c r="H730" s="168"/>
      <c r="I730" s="168"/>
      <c r="J730" s="168"/>
      <c r="K730" s="168"/>
      <c r="L730" s="168"/>
      <c r="M730" s="168"/>
      <c r="N730" s="168"/>
      <c r="O730" s="168"/>
      <c r="P730" s="168"/>
      <c r="Q730" s="168"/>
      <c r="R730" s="168"/>
      <c r="S730" s="168"/>
      <c r="T730" s="168"/>
      <c r="U730" s="168"/>
      <c r="V730" s="168"/>
      <c r="W730" s="168"/>
      <c r="X730" s="168"/>
      <c r="Y730" s="168"/>
      <c r="Z730" s="168"/>
      <c r="AA730" s="168"/>
    </row>
    <row r="731" customFormat="false" ht="15.75" hidden="false" customHeight="false" outlineLevel="0" collapsed="false">
      <c r="A731" s="168" t="str">
        <f aca="false">IF(ISBLANK(B731),"",B731&amp;"|"&amp;C731)</f>
        <v/>
      </c>
      <c r="B731" s="168"/>
      <c r="C731" s="168"/>
      <c r="D731" s="168"/>
      <c r="E731" s="175"/>
      <c r="F731" s="168"/>
      <c r="G731" s="168"/>
      <c r="H731" s="168"/>
      <c r="I731" s="168"/>
      <c r="J731" s="168"/>
      <c r="K731" s="168"/>
      <c r="L731" s="168"/>
      <c r="M731" s="168"/>
      <c r="N731" s="168"/>
      <c r="O731" s="168"/>
      <c r="P731" s="168"/>
      <c r="Q731" s="168"/>
      <c r="R731" s="168"/>
      <c r="S731" s="168"/>
      <c r="T731" s="168"/>
      <c r="U731" s="168"/>
      <c r="V731" s="168"/>
      <c r="W731" s="168"/>
      <c r="X731" s="168"/>
      <c r="Y731" s="168"/>
      <c r="Z731" s="168"/>
      <c r="AA731" s="168"/>
    </row>
    <row r="732" customFormat="false" ht="15.75" hidden="false" customHeight="false" outlineLevel="0" collapsed="false">
      <c r="A732" s="168" t="str">
        <f aca="false">IF(ISBLANK(B732),"",B732&amp;"|"&amp;C732)</f>
        <v/>
      </c>
      <c r="B732" s="168"/>
      <c r="C732" s="168"/>
      <c r="D732" s="168"/>
      <c r="E732" s="175"/>
      <c r="F732" s="168"/>
      <c r="G732" s="168"/>
      <c r="H732" s="168"/>
      <c r="I732" s="168"/>
      <c r="J732" s="168"/>
      <c r="K732" s="168"/>
      <c r="L732" s="168"/>
      <c r="M732" s="168"/>
      <c r="N732" s="168"/>
      <c r="O732" s="168"/>
      <c r="P732" s="168"/>
      <c r="Q732" s="168"/>
      <c r="R732" s="168"/>
      <c r="S732" s="168"/>
      <c r="T732" s="168"/>
      <c r="U732" s="168"/>
      <c r="V732" s="168"/>
      <c r="W732" s="168"/>
      <c r="X732" s="168"/>
      <c r="Y732" s="168"/>
      <c r="Z732" s="168"/>
      <c r="AA732" s="168"/>
    </row>
    <row r="733" customFormat="false" ht="15.75" hidden="false" customHeight="false" outlineLevel="0" collapsed="false">
      <c r="A733" s="168" t="str">
        <f aca="false">IF(ISBLANK(B733),"",B733&amp;"|"&amp;C733)</f>
        <v/>
      </c>
      <c r="B733" s="168"/>
      <c r="C733" s="168"/>
      <c r="D733" s="168"/>
      <c r="E733" s="175"/>
      <c r="F733" s="168"/>
      <c r="G733" s="168"/>
      <c r="H733" s="168"/>
      <c r="I733" s="168"/>
      <c r="J733" s="168"/>
      <c r="K733" s="168"/>
      <c r="L733" s="168"/>
      <c r="M733" s="168"/>
      <c r="N733" s="168"/>
      <c r="O733" s="168"/>
      <c r="P733" s="168"/>
      <c r="Q733" s="168"/>
      <c r="R733" s="168"/>
      <c r="S733" s="168"/>
      <c r="T733" s="168"/>
      <c r="U733" s="168"/>
      <c r="V733" s="168"/>
      <c r="W733" s="168"/>
      <c r="X733" s="168"/>
      <c r="Y733" s="168"/>
      <c r="Z733" s="168"/>
      <c r="AA733" s="168"/>
    </row>
    <row r="734" customFormat="false" ht="15.75" hidden="false" customHeight="false" outlineLevel="0" collapsed="false">
      <c r="A734" s="168" t="str">
        <f aca="false">IF(ISBLANK(B734),"",B734&amp;"|"&amp;C734)</f>
        <v/>
      </c>
      <c r="B734" s="168"/>
      <c r="C734" s="168"/>
      <c r="D734" s="168"/>
      <c r="E734" s="175"/>
      <c r="F734" s="168"/>
      <c r="G734" s="168"/>
      <c r="H734" s="168"/>
      <c r="I734" s="168"/>
      <c r="J734" s="168"/>
      <c r="K734" s="168"/>
      <c r="L734" s="168"/>
      <c r="M734" s="168"/>
      <c r="N734" s="168"/>
      <c r="O734" s="168"/>
      <c r="P734" s="168"/>
      <c r="Q734" s="168"/>
      <c r="R734" s="168"/>
      <c r="S734" s="168"/>
      <c r="T734" s="168"/>
      <c r="U734" s="168"/>
      <c r="V734" s="168"/>
      <c r="W734" s="168"/>
      <c r="X734" s="168"/>
      <c r="Y734" s="168"/>
      <c r="Z734" s="168"/>
      <c r="AA734" s="168"/>
    </row>
    <row r="735" customFormat="false" ht="15.75" hidden="false" customHeight="false" outlineLevel="0" collapsed="false">
      <c r="A735" s="168" t="str">
        <f aca="false">IF(ISBLANK(B735),"",B735&amp;"|"&amp;C735)</f>
        <v/>
      </c>
      <c r="B735" s="168"/>
      <c r="C735" s="168"/>
      <c r="D735" s="168"/>
      <c r="E735" s="175"/>
      <c r="F735" s="168"/>
      <c r="G735" s="168"/>
      <c r="H735" s="168"/>
      <c r="I735" s="168"/>
      <c r="J735" s="168"/>
      <c r="K735" s="168"/>
      <c r="L735" s="168"/>
      <c r="M735" s="168"/>
      <c r="N735" s="168"/>
      <c r="O735" s="168"/>
      <c r="P735" s="168"/>
      <c r="Q735" s="168"/>
      <c r="R735" s="168"/>
      <c r="S735" s="168"/>
      <c r="T735" s="168"/>
      <c r="U735" s="168"/>
      <c r="V735" s="168"/>
      <c r="W735" s="168"/>
      <c r="X735" s="168"/>
      <c r="Y735" s="168"/>
      <c r="Z735" s="168"/>
      <c r="AA735" s="168"/>
    </row>
    <row r="736" customFormat="false" ht="15.75" hidden="false" customHeight="false" outlineLevel="0" collapsed="false">
      <c r="A736" s="168" t="str">
        <f aca="false">IF(ISBLANK(B736),"",B736&amp;"|"&amp;C736)</f>
        <v/>
      </c>
      <c r="B736" s="168"/>
      <c r="C736" s="168"/>
      <c r="D736" s="168"/>
      <c r="E736" s="175"/>
      <c r="F736" s="168"/>
      <c r="G736" s="168"/>
      <c r="H736" s="168"/>
      <c r="I736" s="168"/>
      <c r="J736" s="168"/>
      <c r="K736" s="168"/>
      <c r="L736" s="168"/>
      <c r="M736" s="168"/>
      <c r="N736" s="168"/>
      <c r="O736" s="168"/>
      <c r="P736" s="168"/>
      <c r="Q736" s="168"/>
      <c r="R736" s="168"/>
      <c r="S736" s="168"/>
      <c r="T736" s="168"/>
      <c r="U736" s="168"/>
      <c r="V736" s="168"/>
      <c r="W736" s="168"/>
      <c r="X736" s="168"/>
      <c r="Y736" s="168"/>
      <c r="Z736" s="168"/>
      <c r="AA736" s="168"/>
    </row>
    <row r="737" customFormat="false" ht="15.75" hidden="false" customHeight="false" outlineLevel="0" collapsed="false">
      <c r="A737" s="168" t="str">
        <f aca="false">IF(ISBLANK(B737),"",B737&amp;"|"&amp;C737)</f>
        <v/>
      </c>
      <c r="B737" s="168"/>
      <c r="C737" s="168"/>
      <c r="D737" s="168"/>
      <c r="E737" s="175"/>
      <c r="F737" s="168"/>
      <c r="G737" s="168"/>
      <c r="H737" s="168"/>
      <c r="I737" s="168"/>
      <c r="J737" s="168"/>
      <c r="K737" s="168"/>
      <c r="L737" s="168"/>
      <c r="M737" s="168"/>
      <c r="N737" s="168"/>
      <c r="O737" s="168"/>
      <c r="P737" s="168"/>
      <c r="Q737" s="168"/>
      <c r="R737" s="168"/>
      <c r="S737" s="168"/>
      <c r="T737" s="168"/>
      <c r="U737" s="168"/>
      <c r="V737" s="168"/>
      <c r="W737" s="168"/>
      <c r="X737" s="168"/>
      <c r="Y737" s="168"/>
      <c r="Z737" s="168"/>
      <c r="AA737" s="168"/>
    </row>
    <row r="738" customFormat="false" ht="15.75" hidden="false" customHeight="false" outlineLevel="0" collapsed="false">
      <c r="A738" s="168" t="str">
        <f aca="false">IF(ISBLANK(B738),"",B738&amp;"|"&amp;C738)</f>
        <v/>
      </c>
      <c r="B738" s="168"/>
      <c r="C738" s="168"/>
      <c r="D738" s="168"/>
      <c r="E738" s="175"/>
      <c r="F738" s="168"/>
      <c r="G738" s="168"/>
      <c r="H738" s="168"/>
      <c r="I738" s="168"/>
      <c r="J738" s="168"/>
      <c r="K738" s="168"/>
      <c r="L738" s="168"/>
      <c r="M738" s="168"/>
      <c r="N738" s="168"/>
      <c r="O738" s="168"/>
      <c r="P738" s="168"/>
      <c r="Q738" s="168"/>
      <c r="R738" s="168"/>
      <c r="S738" s="168"/>
      <c r="T738" s="168"/>
      <c r="U738" s="168"/>
      <c r="V738" s="168"/>
      <c r="W738" s="168"/>
      <c r="X738" s="168"/>
      <c r="Y738" s="168"/>
      <c r="Z738" s="168"/>
      <c r="AA738" s="168"/>
    </row>
    <row r="739" customFormat="false" ht="15.75" hidden="false" customHeight="false" outlineLevel="0" collapsed="false">
      <c r="A739" s="168" t="str">
        <f aca="false">IF(ISBLANK(B739),"",B739&amp;"|"&amp;C739)</f>
        <v/>
      </c>
      <c r="B739" s="168"/>
      <c r="C739" s="168"/>
      <c r="D739" s="168"/>
      <c r="E739" s="175"/>
      <c r="F739" s="168"/>
      <c r="G739" s="168"/>
      <c r="H739" s="168"/>
      <c r="I739" s="168"/>
      <c r="J739" s="168"/>
      <c r="K739" s="168"/>
      <c r="L739" s="168"/>
      <c r="M739" s="168"/>
      <c r="N739" s="168"/>
      <c r="O739" s="168"/>
      <c r="P739" s="168"/>
      <c r="Q739" s="168"/>
      <c r="R739" s="168"/>
      <c r="S739" s="168"/>
      <c r="T739" s="168"/>
      <c r="U739" s="168"/>
      <c r="V739" s="168"/>
      <c r="W739" s="168"/>
      <c r="X739" s="168"/>
      <c r="Y739" s="168"/>
      <c r="Z739" s="168"/>
      <c r="AA739" s="168"/>
    </row>
    <row r="740" customFormat="false" ht="15.75" hidden="false" customHeight="false" outlineLevel="0" collapsed="false">
      <c r="A740" s="168" t="str">
        <f aca="false">IF(ISBLANK(B740),"",B740&amp;"|"&amp;C740)</f>
        <v/>
      </c>
      <c r="B740" s="168"/>
      <c r="C740" s="168"/>
      <c r="D740" s="168"/>
      <c r="E740" s="175"/>
      <c r="F740" s="168"/>
      <c r="G740" s="168"/>
      <c r="H740" s="168"/>
      <c r="I740" s="168"/>
      <c r="J740" s="168"/>
      <c r="K740" s="168"/>
      <c r="L740" s="168"/>
      <c r="M740" s="168"/>
      <c r="N740" s="168"/>
      <c r="O740" s="168"/>
      <c r="P740" s="168"/>
      <c r="Q740" s="168"/>
      <c r="R740" s="168"/>
      <c r="S740" s="168"/>
      <c r="T740" s="168"/>
      <c r="U740" s="168"/>
      <c r="V740" s="168"/>
      <c r="W740" s="168"/>
      <c r="X740" s="168"/>
      <c r="Y740" s="168"/>
      <c r="Z740" s="168"/>
      <c r="AA740" s="168"/>
    </row>
    <row r="741" customFormat="false" ht="15.75" hidden="false" customHeight="false" outlineLevel="0" collapsed="false">
      <c r="A741" s="168" t="str">
        <f aca="false">IF(ISBLANK(B741),"",B741&amp;"|"&amp;C741)</f>
        <v/>
      </c>
      <c r="B741" s="168"/>
      <c r="C741" s="168"/>
      <c r="D741" s="168"/>
      <c r="E741" s="175"/>
      <c r="F741" s="168"/>
      <c r="G741" s="168"/>
      <c r="H741" s="168"/>
      <c r="I741" s="168"/>
      <c r="J741" s="168"/>
      <c r="K741" s="168"/>
      <c r="L741" s="168"/>
      <c r="M741" s="168"/>
      <c r="N741" s="168"/>
      <c r="O741" s="168"/>
      <c r="P741" s="168"/>
      <c r="Q741" s="168"/>
      <c r="R741" s="168"/>
      <c r="S741" s="168"/>
      <c r="T741" s="168"/>
      <c r="U741" s="168"/>
      <c r="V741" s="168"/>
      <c r="W741" s="168"/>
      <c r="X741" s="168"/>
      <c r="Y741" s="168"/>
      <c r="Z741" s="168"/>
      <c r="AA741" s="168"/>
    </row>
    <row r="742" customFormat="false" ht="15.75" hidden="false" customHeight="false" outlineLevel="0" collapsed="false">
      <c r="A742" s="168" t="str">
        <f aca="false">IF(ISBLANK(B742),"",B742&amp;"|"&amp;C742)</f>
        <v/>
      </c>
      <c r="B742" s="168"/>
      <c r="C742" s="168"/>
      <c r="D742" s="168"/>
      <c r="E742" s="175"/>
      <c r="F742" s="168"/>
      <c r="G742" s="168"/>
      <c r="H742" s="168"/>
      <c r="I742" s="168"/>
      <c r="J742" s="168"/>
      <c r="K742" s="168"/>
      <c r="L742" s="168"/>
      <c r="M742" s="168"/>
      <c r="N742" s="168"/>
      <c r="O742" s="168"/>
      <c r="P742" s="168"/>
      <c r="Q742" s="168"/>
      <c r="R742" s="168"/>
      <c r="S742" s="168"/>
      <c r="T742" s="168"/>
      <c r="U742" s="168"/>
      <c r="V742" s="168"/>
      <c r="W742" s="168"/>
      <c r="X742" s="168"/>
      <c r="Y742" s="168"/>
      <c r="Z742" s="168"/>
      <c r="AA742" s="168"/>
    </row>
    <row r="743" customFormat="false" ht="15.75" hidden="false" customHeight="false" outlineLevel="0" collapsed="false">
      <c r="A743" s="168" t="str">
        <f aca="false">IF(ISBLANK(B743),"",B743&amp;"|"&amp;C743)</f>
        <v/>
      </c>
      <c r="B743" s="168"/>
      <c r="C743" s="168"/>
      <c r="D743" s="168"/>
      <c r="E743" s="175"/>
      <c r="F743" s="168"/>
      <c r="G743" s="168"/>
      <c r="H743" s="168"/>
      <c r="I743" s="168"/>
      <c r="J743" s="168"/>
      <c r="K743" s="168"/>
      <c r="L743" s="168"/>
      <c r="M743" s="168"/>
      <c r="N743" s="168"/>
      <c r="O743" s="168"/>
      <c r="P743" s="168"/>
      <c r="Q743" s="168"/>
      <c r="R743" s="168"/>
      <c r="S743" s="168"/>
      <c r="T743" s="168"/>
      <c r="U743" s="168"/>
      <c r="V743" s="168"/>
      <c r="W743" s="168"/>
      <c r="X743" s="168"/>
      <c r="Y743" s="168"/>
      <c r="Z743" s="168"/>
      <c r="AA743" s="168"/>
    </row>
    <row r="744" customFormat="false" ht="15.75" hidden="false" customHeight="false" outlineLevel="0" collapsed="false">
      <c r="A744" s="168" t="str">
        <f aca="false">IF(ISBLANK(B744),"",B744&amp;"|"&amp;C744)</f>
        <v/>
      </c>
      <c r="B744" s="168"/>
      <c r="C744" s="168"/>
      <c r="D744" s="168"/>
      <c r="E744" s="175"/>
      <c r="F744" s="168"/>
      <c r="G744" s="168"/>
      <c r="H744" s="168"/>
      <c r="I744" s="168"/>
      <c r="J744" s="168"/>
      <c r="K744" s="168"/>
      <c r="L744" s="168"/>
      <c r="M744" s="168"/>
      <c r="N744" s="168"/>
      <c r="O744" s="168"/>
      <c r="P744" s="168"/>
      <c r="Q744" s="168"/>
      <c r="R744" s="168"/>
      <c r="S744" s="168"/>
      <c r="T744" s="168"/>
      <c r="U744" s="168"/>
      <c r="V744" s="168"/>
      <c r="W744" s="168"/>
      <c r="X744" s="168"/>
      <c r="Y744" s="168"/>
      <c r="Z744" s="168"/>
      <c r="AA744" s="168"/>
    </row>
    <row r="745" customFormat="false" ht="15.75" hidden="false" customHeight="false" outlineLevel="0" collapsed="false">
      <c r="A745" s="168" t="str">
        <f aca="false">IF(ISBLANK(B745),"",B745&amp;"|"&amp;C745)</f>
        <v/>
      </c>
      <c r="B745" s="168"/>
      <c r="C745" s="168"/>
      <c r="D745" s="168"/>
      <c r="E745" s="175"/>
      <c r="F745" s="168"/>
      <c r="G745" s="168"/>
      <c r="H745" s="168"/>
      <c r="I745" s="168"/>
      <c r="J745" s="168"/>
      <c r="K745" s="168"/>
      <c r="L745" s="168"/>
      <c r="M745" s="168"/>
      <c r="N745" s="168"/>
      <c r="O745" s="168"/>
      <c r="P745" s="168"/>
      <c r="Q745" s="168"/>
      <c r="R745" s="168"/>
      <c r="S745" s="168"/>
      <c r="T745" s="168"/>
      <c r="U745" s="168"/>
      <c r="V745" s="168"/>
      <c r="W745" s="168"/>
      <c r="X745" s="168"/>
      <c r="Y745" s="168"/>
      <c r="Z745" s="168"/>
      <c r="AA745" s="168"/>
    </row>
    <row r="746" customFormat="false" ht="15.75" hidden="false" customHeight="false" outlineLevel="0" collapsed="false">
      <c r="A746" s="168" t="str">
        <f aca="false">IF(ISBLANK(B746),"",B746&amp;"|"&amp;C746)</f>
        <v/>
      </c>
      <c r="B746" s="168"/>
      <c r="C746" s="168"/>
      <c r="D746" s="168"/>
      <c r="E746" s="175"/>
      <c r="F746" s="168"/>
      <c r="G746" s="168"/>
      <c r="H746" s="168"/>
      <c r="I746" s="168"/>
      <c r="J746" s="168"/>
      <c r="K746" s="168"/>
      <c r="L746" s="168"/>
      <c r="M746" s="168"/>
      <c r="N746" s="168"/>
      <c r="O746" s="168"/>
      <c r="P746" s="168"/>
      <c r="Q746" s="168"/>
      <c r="R746" s="168"/>
      <c r="S746" s="168"/>
      <c r="T746" s="168"/>
      <c r="U746" s="168"/>
      <c r="V746" s="168"/>
      <c r="W746" s="168"/>
      <c r="X746" s="168"/>
      <c r="Y746" s="168"/>
      <c r="Z746" s="168"/>
      <c r="AA746" s="168"/>
    </row>
    <row r="747" customFormat="false" ht="15.75" hidden="false" customHeight="false" outlineLevel="0" collapsed="false">
      <c r="A747" s="168" t="str">
        <f aca="false">IF(ISBLANK(B747),"",B747&amp;"|"&amp;C747)</f>
        <v/>
      </c>
      <c r="B747" s="168"/>
      <c r="C747" s="168"/>
      <c r="D747" s="168"/>
      <c r="E747" s="175"/>
      <c r="F747" s="168"/>
      <c r="G747" s="168"/>
      <c r="H747" s="168"/>
      <c r="I747" s="168"/>
      <c r="J747" s="168"/>
      <c r="K747" s="168"/>
      <c r="L747" s="168"/>
      <c r="M747" s="168"/>
      <c r="N747" s="168"/>
      <c r="O747" s="168"/>
      <c r="P747" s="168"/>
      <c r="Q747" s="168"/>
      <c r="R747" s="168"/>
      <c r="S747" s="168"/>
      <c r="T747" s="168"/>
      <c r="U747" s="168"/>
      <c r="V747" s="168"/>
      <c r="W747" s="168"/>
      <c r="X747" s="168"/>
      <c r="Y747" s="168"/>
      <c r="Z747" s="168"/>
      <c r="AA747" s="168"/>
    </row>
    <row r="748" customFormat="false" ht="15.75" hidden="false" customHeight="false" outlineLevel="0" collapsed="false">
      <c r="A748" s="168" t="str">
        <f aca="false">IF(ISBLANK(B748),"",B748&amp;"|"&amp;C748)</f>
        <v/>
      </c>
      <c r="B748" s="168"/>
      <c r="C748" s="168"/>
      <c r="D748" s="168"/>
      <c r="E748" s="175"/>
      <c r="F748" s="168"/>
      <c r="G748" s="168"/>
      <c r="H748" s="168"/>
      <c r="I748" s="168"/>
      <c r="J748" s="168"/>
      <c r="K748" s="168"/>
      <c r="L748" s="168"/>
      <c r="M748" s="168"/>
      <c r="N748" s="168"/>
      <c r="O748" s="168"/>
      <c r="P748" s="168"/>
      <c r="Q748" s="168"/>
      <c r="R748" s="168"/>
      <c r="S748" s="168"/>
      <c r="T748" s="168"/>
      <c r="U748" s="168"/>
      <c r="V748" s="168"/>
      <c r="W748" s="168"/>
      <c r="X748" s="168"/>
      <c r="Y748" s="168"/>
      <c r="Z748" s="168"/>
      <c r="AA748" s="168"/>
    </row>
    <row r="749" customFormat="false" ht="15.75" hidden="false" customHeight="false" outlineLevel="0" collapsed="false">
      <c r="A749" s="168" t="str">
        <f aca="false">IF(ISBLANK(B749),"",B749&amp;"|"&amp;C749)</f>
        <v/>
      </c>
      <c r="B749" s="168"/>
      <c r="C749" s="168"/>
      <c r="D749" s="168"/>
      <c r="E749" s="175"/>
      <c r="F749" s="168"/>
      <c r="G749" s="168"/>
      <c r="H749" s="168"/>
      <c r="I749" s="168"/>
      <c r="J749" s="168"/>
      <c r="K749" s="168"/>
      <c r="L749" s="168"/>
      <c r="M749" s="168"/>
      <c r="N749" s="168"/>
      <c r="O749" s="168"/>
      <c r="P749" s="168"/>
      <c r="Q749" s="168"/>
      <c r="R749" s="168"/>
      <c r="S749" s="168"/>
      <c r="T749" s="168"/>
      <c r="U749" s="168"/>
      <c r="V749" s="168"/>
      <c r="W749" s="168"/>
      <c r="X749" s="168"/>
      <c r="Y749" s="168"/>
      <c r="Z749" s="168"/>
      <c r="AA749" s="168"/>
    </row>
    <row r="750" customFormat="false" ht="15.75" hidden="false" customHeight="false" outlineLevel="0" collapsed="false">
      <c r="A750" s="168" t="str">
        <f aca="false">IF(ISBLANK(B750),"",B750&amp;"|"&amp;C750)</f>
        <v/>
      </c>
      <c r="B750" s="168"/>
      <c r="C750" s="168"/>
      <c r="D750" s="168"/>
      <c r="E750" s="175"/>
      <c r="F750" s="168"/>
      <c r="G750" s="168"/>
      <c r="H750" s="168"/>
      <c r="I750" s="168"/>
      <c r="J750" s="168"/>
      <c r="K750" s="168"/>
      <c r="L750" s="168"/>
      <c r="M750" s="168"/>
      <c r="N750" s="168"/>
      <c r="O750" s="168"/>
      <c r="P750" s="168"/>
      <c r="Q750" s="168"/>
      <c r="R750" s="168"/>
      <c r="S750" s="168"/>
      <c r="T750" s="168"/>
      <c r="U750" s="168"/>
      <c r="V750" s="168"/>
      <c r="W750" s="168"/>
      <c r="X750" s="168"/>
      <c r="Y750" s="168"/>
      <c r="Z750" s="168"/>
      <c r="AA750" s="168"/>
    </row>
    <row r="751" customFormat="false" ht="15.75" hidden="false" customHeight="false" outlineLevel="0" collapsed="false">
      <c r="A751" s="168" t="str">
        <f aca="false">IF(ISBLANK(B751),"",B751&amp;"|"&amp;C751)</f>
        <v/>
      </c>
      <c r="B751" s="168"/>
      <c r="C751" s="168"/>
      <c r="D751" s="168"/>
      <c r="E751" s="175"/>
      <c r="F751" s="168"/>
      <c r="G751" s="168"/>
      <c r="H751" s="168"/>
      <c r="I751" s="168"/>
      <c r="J751" s="168"/>
      <c r="K751" s="168"/>
      <c r="L751" s="168"/>
      <c r="M751" s="168"/>
      <c r="N751" s="168"/>
      <c r="O751" s="168"/>
      <c r="P751" s="168"/>
      <c r="Q751" s="168"/>
      <c r="R751" s="168"/>
      <c r="S751" s="168"/>
      <c r="T751" s="168"/>
      <c r="U751" s="168"/>
      <c r="V751" s="168"/>
      <c r="W751" s="168"/>
      <c r="X751" s="168"/>
      <c r="Y751" s="168"/>
      <c r="Z751" s="168"/>
      <c r="AA751" s="168"/>
    </row>
    <row r="752" customFormat="false" ht="15.75" hidden="false" customHeight="false" outlineLevel="0" collapsed="false">
      <c r="A752" s="168" t="str">
        <f aca="false">IF(ISBLANK(B752),"",B752&amp;"|"&amp;C752)</f>
        <v/>
      </c>
      <c r="B752" s="168"/>
      <c r="C752" s="168"/>
      <c r="D752" s="168"/>
      <c r="E752" s="175"/>
      <c r="F752" s="168"/>
      <c r="G752" s="168"/>
      <c r="H752" s="168"/>
      <c r="I752" s="168"/>
      <c r="J752" s="168"/>
      <c r="K752" s="168"/>
      <c r="L752" s="168"/>
      <c r="M752" s="168"/>
      <c r="N752" s="168"/>
      <c r="O752" s="168"/>
      <c r="P752" s="168"/>
      <c r="Q752" s="168"/>
      <c r="R752" s="168"/>
      <c r="S752" s="168"/>
      <c r="T752" s="168"/>
      <c r="U752" s="168"/>
      <c r="V752" s="168"/>
      <c r="W752" s="168"/>
      <c r="X752" s="168"/>
      <c r="Y752" s="168"/>
      <c r="Z752" s="168"/>
      <c r="AA752" s="168"/>
    </row>
    <row r="753" customFormat="false" ht="15.75" hidden="false" customHeight="false" outlineLevel="0" collapsed="false">
      <c r="A753" s="168" t="str">
        <f aca="false">IF(ISBLANK(B753),"",B753&amp;"|"&amp;C753)</f>
        <v/>
      </c>
      <c r="B753" s="168"/>
      <c r="C753" s="168"/>
      <c r="D753" s="168"/>
      <c r="E753" s="175"/>
      <c r="F753" s="168"/>
      <c r="G753" s="168"/>
      <c r="H753" s="168"/>
      <c r="I753" s="168"/>
      <c r="J753" s="168"/>
      <c r="K753" s="168"/>
      <c r="L753" s="168"/>
      <c r="M753" s="168"/>
      <c r="N753" s="168"/>
      <c r="O753" s="168"/>
      <c r="P753" s="168"/>
      <c r="Q753" s="168"/>
      <c r="R753" s="168"/>
      <c r="S753" s="168"/>
      <c r="T753" s="168"/>
      <c r="U753" s="168"/>
      <c r="V753" s="168"/>
      <c r="W753" s="168"/>
      <c r="X753" s="168"/>
      <c r="Y753" s="168"/>
      <c r="Z753" s="168"/>
      <c r="AA753" s="168"/>
    </row>
    <row r="754" customFormat="false" ht="15.75" hidden="false" customHeight="false" outlineLevel="0" collapsed="false">
      <c r="A754" s="168" t="str">
        <f aca="false">IF(ISBLANK(B754),"",B754&amp;"|"&amp;C754)</f>
        <v/>
      </c>
      <c r="B754" s="168"/>
      <c r="C754" s="168"/>
      <c r="D754" s="168"/>
      <c r="E754" s="175"/>
      <c r="F754" s="168"/>
      <c r="G754" s="168"/>
      <c r="H754" s="168"/>
      <c r="I754" s="168"/>
      <c r="J754" s="168"/>
      <c r="K754" s="168"/>
      <c r="L754" s="168"/>
      <c r="M754" s="168"/>
      <c r="N754" s="168"/>
      <c r="O754" s="168"/>
      <c r="P754" s="168"/>
      <c r="Q754" s="168"/>
      <c r="R754" s="168"/>
      <c r="S754" s="168"/>
      <c r="T754" s="168"/>
      <c r="U754" s="168"/>
      <c r="V754" s="168"/>
      <c r="W754" s="168"/>
      <c r="X754" s="168"/>
      <c r="Y754" s="168"/>
      <c r="Z754" s="168"/>
      <c r="AA754" s="168"/>
    </row>
    <row r="755" customFormat="false" ht="15.75" hidden="false" customHeight="false" outlineLevel="0" collapsed="false">
      <c r="A755" s="168" t="str">
        <f aca="false">IF(ISBLANK(B755),"",B755&amp;"|"&amp;C755)</f>
        <v/>
      </c>
      <c r="B755" s="168"/>
      <c r="C755" s="168"/>
      <c r="D755" s="168"/>
      <c r="E755" s="175"/>
      <c r="F755" s="168"/>
      <c r="G755" s="168"/>
      <c r="H755" s="168"/>
      <c r="I755" s="168"/>
      <c r="J755" s="168"/>
      <c r="K755" s="168"/>
      <c r="L755" s="168"/>
      <c r="M755" s="168"/>
      <c r="N755" s="168"/>
      <c r="O755" s="168"/>
      <c r="P755" s="168"/>
      <c r="Q755" s="168"/>
      <c r="R755" s="168"/>
      <c r="S755" s="168"/>
      <c r="T755" s="168"/>
      <c r="U755" s="168"/>
      <c r="V755" s="168"/>
      <c r="W755" s="168"/>
      <c r="X755" s="168"/>
      <c r="Y755" s="168"/>
      <c r="Z755" s="168"/>
      <c r="AA755" s="168"/>
    </row>
    <row r="756" customFormat="false" ht="15.75" hidden="false" customHeight="false" outlineLevel="0" collapsed="false">
      <c r="A756" s="168" t="str">
        <f aca="false">IF(ISBLANK(B756),"",B756&amp;"|"&amp;C756)</f>
        <v/>
      </c>
      <c r="B756" s="168"/>
      <c r="C756" s="168"/>
      <c r="D756" s="168"/>
      <c r="E756" s="175"/>
      <c r="F756" s="168"/>
      <c r="G756" s="168"/>
      <c r="H756" s="168"/>
      <c r="I756" s="168"/>
      <c r="J756" s="168"/>
      <c r="K756" s="168"/>
      <c r="L756" s="168"/>
      <c r="M756" s="168"/>
      <c r="N756" s="168"/>
      <c r="O756" s="168"/>
      <c r="P756" s="168"/>
      <c r="Q756" s="168"/>
      <c r="R756" s="168"/>
      <c r="S756" s="168"/>
      <c r="T756" s="168"/>
      <c r="U756" s="168"/>
      <c r="V756" s="168"/>
      <c r="W756" s="168"/>
      <c r="X756" s="168"/>
      <c r="Y756" s="168"/>
      <c r="Z756" s="168"/>
      <c r="AA756" s="168"/>
    </row>
    <row r="757" customFormat="false" ht="15.75" hidden="false" customHeight="false" outlineLevel="0" collapsed="false">
      <c r="A757" s="168" t="str">
        <f aca="false">IF(ISBLANK(B757),"",B757&amp;"|"&amp;C757)</f>
        <v/>
      </c>
      <c r="B757" s="168"/>
      <c r="C757" s="168"/>
      <c r="D757" s="168"/>
      <c r="E757" s="175"/>
      <c r="F757" s="168"/>
      <c r="G757" s="168"/>
      <c r="H757" s="168"/>
      <c r="I757" s="168"/>
      <c r="J757" s="168"/>
      <c r="K757" s="168"/>
      <c r="L757" s="168"/>
      <c r="M757" s="168"/>
      <c r="N757" s="168"/>
      <c r="O757" s="168"/>
      <c r="P757" s="168"/>
      <c r="Q757" s="168"/>
      <c r="R757" s="168"/>
      <c r="S757" s="168"/>
      <c r="T757" s="168"/>
      <c r="U757" s="168"/>
      <c r="V757" s="168"/>
      <c r="W757" s="168"/>
      <c r="X757" s="168"/>
      <c r="Y757" s="168"/>
      <c r="Z757" s="168"/>
      <c r="AA757" s="168"/>
    </row>
    <row r="758" customFormat="false" ht="15.75" hidden="false" customHeight="false" outlineLevel="0" collapsed="false">
      <c r="A758" s="168" t="str">
        <f aca="false">IF(ISBLANK(B758),"",B758&amp;"|"&amp;C758)</f>
        <v/>
      </c>
      <c r="B758" s="168"/>
      <c r="C758" s="168"/>
      <c r="D758" s="168"/>
      <c r="E758" s="175"/>
      <c r="F758" s="168"/>
      <c r="G758" s="168"/>
      <c r="H758" s="168"/>
      <c r="I758" s="168"/>
      <c r="J758" s="168"/>
      <c r="K758" s="168"/>
      <c r="L758" s="168"/>
      <c r="M758" s="168"/>
      <c r="N758" s="168"/>
      <c r="O758" s="168"/>
      <c r="P758" s="168"/>
      <c r="Q758" s="168"/>
      <c r="R758" s="168"/>
      <c r="S758" s="168"/>
      <c r="T758" s="168"/>
      <c r="U758" s="168"/>
      <c r="V758" s="168"/>
      <c r="W758" s="168"/>
      <c r="X758" s="168"/>
      <c r="Y758" s="168"/>
      <c r="Z758" s="168"/>
      <c r="AA758" s="168"/>
    </row>
    <row r="759" customFormat="false" ht="15.75" hidden="false" customHeight="false" outlineLevel="0" collapsed="false">
      <c r="A759" s="168" t="str">
        <f aca="false">IF(ISBLANK(B759),"",B759&amp;"|"&amp;C759)</f>
        <v/>
      </c>
      <c r="B759" s="168"/>
      <c r="C759" s="168"/>
      <c r="D759" s="168"/>
      <c r="E759" s="175"/>
      <c r="F759" s="168"/>
      <c r="G759" s="168"/>
      <c r="H759" s="168"/>
      <c r="I759" s="168"/>
      <c r="J759" s="168"/>
      <c r="K759" s="168"/>
      <c r="L759" s="168"/>
      <c r="M759" s="168"/>
      <c r="N759" s="168"/>
      <c r="O759" s="168"/>
      <c r="P759" s="168"/>
      <c r="Q759" s="168"/>
      <c r="R759" s="168"/>
      <c r="S759" s="168"/>
      <c r="T759" s="168"/>
      <c r="U759" s="168"/>
      <c r="V759" s="168"/>
      <c r="W759" s="168"/>
      <c r="X759" s="168"/>
      <c r="Y759" s="168"/>
      <c r="Z759" s="168"/>
      <c r="AA759" s="168"/>
    </row>
    <row r="760" customFormat="false" ht="15.75" hidden="false" customHeight="false" outlineLevel="0" collapsed="false">
      <c r="A760" s="168" t="str">
        <f aca="false">IF(ISBLANK(B760),"",B760&amp;"|"&amp;C760)</f>
        <v/>
      </c>
      <c r="B760" s="168"/>
      <c r="C760" s="168"/>
      <c r="D760" s="168"/>
      <c r="E760" s="175"/>
      <c r="F760" s="168"/>
      <c r="G760" s="168"/>
      <c r="H760" s="168"/>
      <c r="I760" s="168"/>
      <c r="J760" s="168"/>
      <c r="K760" s="168"/>
      <c r="L760" s="168"/>
      <c r="M760" s="168"/>
      <c r="N760" s="168"/>
      <c r="O760" s="168"/>
      <c r="P760" s="168"/>
      <c r="Q760" s="168"/>
      <c r="R760" s="168"/>
      <c r="S760" s="168"/>
      <c r="T760" s="168"/>
      <c r="U760" s="168"/>
      <c r="V760" s="168"/>
      <c r="W760" s="168"/>
      <c r="X760" s="168"/>
      <c r="Y760" s="168"/>
      <c r="Z760" s="168"/>
      <c r="AA760" s="168"/>
    </row>
    <row r="761" customFormat="false" ht="15.75" hidden="false" customHeight="false" outlineLevel="0" collapsed="false">
      <c r="A761" s="168" t="str">
        <f aca="false">IF(ISBLANK(B761),"",B761&amp;"|"&amp;C761)</f>
        <v/>
      </c>
      <c r="B761" s="168"/>
      <c r="C761" s="168"/>
      <c r="D761" s="168"/>
      <c r="E761" s="175"/>
      <c r="F761" s="168"/>
      <c r="G761" s="168"/>
      <c r="H761" s="168"/>
      <c r="I761" s="168"/>
      <c r="J761" s="168"/>
      <c r="K761" s="168"/>
      <c r="L761" s="168"/>
      <c r="M761" s="168"/>
      <c r="N761" s="168"/>
      <c r="O761" s="168"/>
      <c r="P761" s="168"/>
      <c r="Q761" s="168"/>
      <c r="R761" s="168"/>
      <c r="S761" s="168"/>
      <c r="T761" s="168"/>
      <c r="U761" s="168"/>
      <c r="V761" s="168"/>
      <c r="W761" s="168"/>
      <c r="X761" s="168"/>
      <c r="Y761" s="168"/>
      <c r="Z761" s="168"/>
      <c r="AA761" s="168"/>
    </row>
    <row r="762" customFormat="false" ht="15.75" hidden="false" customHeight="false" outlineLevel="0" collapsed="false">
      <c r="A762" s="168" t="str">
        <f aca="false">IF(ISBLANK(B762),"",B762&amp;"|"&amp;C762)</f>
        <v/>
      </c>
      <c r="B762" s="168"/>
      <c r="C762" s="168"/>
      <c r="D762" s="168"/>
      <c r="E762" s="175"/>
      <c r="F762" s="168"/>
      <c r="G762" s="168"/>
      <c r="H762" s="168"/>
      <c r="I762" s="168"/>
      <c r="J762" s="168"/>
      <c r="K762" s="168"/>
      <c r="L762" s="168"/>
      <c r="M762" s="168"/>
      <c r="N762" s="168"/>
      <c r="O762" s="168"/>
      <c r="P762" s="168"/>
      <c r="Q762" s="168"/>
      <c r="R762" s="168"/>
      <c r="S762" s="168"/>
      <c r="T762" s="168"/>
      <c r="U762" s="168"/>
      <c r="V762" s="168"/>
      <c r="W762" s="168"/>
      <c r="X762" s="168"/>
      <c r="Y762" s="168"/>
      <c r="Z762" s="168"/>
      <c r="AA762" s="168"/>
    </row>
    <row r="763" customFormat="false" ht="15.75" hidden="false" customHeight="false" outlineLevel="0" collapsed="false">
      <c r="A763" s="168" t="str">
        <f aca="false">IF(ISBLANK(B763),"",B763&amp;"|"&amp;C763)</f>
        <v/>
      </c>
      <c r="B763" s="168"/>
      <c r="C763" s="168"/>
      <c r="D763" s="168"/>
      <c r="E763" s="175"/>
      <c r="F763" s="168"/>
      <c r="G763" s="168"/>
      <c r="H763" s="168"/>
      <c r="I763" s="168"/>
      <c r="J763" s="168"/>
      <c r="K763" s="168"/>
      <c r="L763" s="168"/>
      <c r="M763" s="168"/>
      <c r="N763" s="168"/>
      <c r="O763" s="168"/>
      <c r="P763" s="168"/>
      <c r="Q763" s="168"/>
      <c r="R763" s="168"/>
      <c r="S763" s="168"/>
      <c r="T763" s="168"/>
      <c r="U763" s="168"/>
      <c r="V763" s="168"/>
      <c r="W763" s="168"/>
      <c r="X763" s="168"/>
      <c r="Y763" s="168"/>
      <c r="Z763" s="168"/>
      <c r="AA763" s="168"/>
    </row>
    <row r="764" customFormat="false" ht="15.75" hidden="false" customHeight="false" outlineLevel="0" collapsed="false">
      <c r="A764" s="168" t="str">
        <f aca="false">IF(ISBLANK(B764),"",B764&amp;"|"&amp;C764)</f>
        <v/>
      </c>
      <c r="B764" s="168"/>
      <c r="C764" s="168"/>
      <c r="D764" s="168"/>
      <c r="E764" s="175"/>
      <c r="F764" s="168"/>
      <c r="G764" s="168"/>
      <c r="H764" s="168"/>
      <c r="I764" s="168"/>
      <c r="J764" s="168"/>
      <c r="K764" s="168"/>
      <c r="L764" s="168"/>
      <c r="M764" s="168"/>
      <c r="N764" s="168"/>
      <c r="O764" s="168"/>
      <c r="P764" s="168"/>
      <c r="Q764" s="168"/>
      <c r="R764" s="168"/>
      <c r="S764" s="168"/>
      <c r="T764" s="168"/>
      <c r="U764" s="168"/>
      <c r="V764" s="168"/>
      <c r="W764" s="168"/>
      <c r="X764" s="168"/>
      <c r="Y764" s="168"/>
      <c r="Z764" s="168"/>
      <c r="AA764" s="168"/>
    </row>
    <row r="765" customFormat="false" ht="15.75" hidden="false" customHeight="false" outlineLevel="0" collapsed="false">
      <c r="A765" s="168" t="str">
        <f aca="false">IF(ISBLANK(B765),"",B765&amp;"|"&amp;C765)</f>
        <v/>
      </c>
      <c r="B765" s="168"/>
      <c r="C765" s="168"/>
      <c r="D765" s="168"/>
      <c r="E765" s="175"/>
      <c r="F765" s="168"/>
      <c r="G765" s="168"/>
      <c r="H765" s="168"/>
      <c r="I765" s="168"/>
      <c r="J765" s="168"/>
      <c r="K765" s="168"/>
      <c r="L765" s="168"/>
      <c r="M765" s="168"/>
      <c r="N765" s="168"/>
      <c r="O765" s="168"/>
      <c r="P765" s="168"/>
      <c r="Q765" s="168"/>
      <c r="R765" s="168"/>
      <c r="S765" s="168"/>
      <c r="T765" s="168"/>
      <c r="U765" s="168"/>
      <c r="V765" s="168"/>
      <c r="W765" s="168"/>
      <c r="X765" s="168"/>
      <c r="Y765" s="168"/>
      <c r="Z765" s="168"/>
      <c r="AA765" s="168"/>
    </row>
    <row r="766" customFormat="false" ht="15.75" hidden="false" customHeight="false" outlineLevel="0" collapsed="false">
      <c r="A766" s="168" t="str">
        <f aca="false">IF(ISBLANK(B766),"",B766&amp;"|"&amp;C766)</f>
        <v/>
      </c>
      <c r="B766" s="168"/>
      <c r="C766" s="168"/>
      <c r="D766" s="168"/>
      <c r="E766" s="175"/>
      <c r="F766" s="168"/>
      <c r="G766" s="168"/>
      <c r="H766" s="168"/>
      <c r="I766" s="168"/>
      <c r="J766" s="168"/>
      <c r="K766" s="168"/>
      <c r="L766" s="168"/>
      <c r="M766" s="168"/>
      <c r="N766" s="168"/>
      <c r="O766" s="168"/>
      <c r="P766" s="168"/>
      <c r="Q766" s="168"/>
      <c r="R766" s="168"/>
      <c r="S766" s="168"/>
      <c r="T766" s="168"/>
      <c r="U766" s="168"/>
      <c r="V766" s="168"/>
      <c r="W766" s="168"/>
      <c r="X766" s="168"/>
      <c r="Y766" s="168"/>
      <c r="Z766" s="168"/>
      <c r="AA766" s="168"/>
    </row>
    <row r="767" customFormat="false" ht="15.75" hidden="false" customHeight="false" outlineLevel="0" collapsed="false">
      <c r="A767" s="168" t="str">
        <f aca="false">IF(ISBLANK(B767),"",B767&amp;"|"&amp;C767)</f>
        <v/>
      </c>
      <c r="B767" s="168"/>
      <c r="C767" s="168"/>
      <c r="D767" s="168"/>
      <c r="E767" s="175"/>
      <c r="F767" s="168"/>
      <c r="G767" s="168"/>
      <c r="H767" s="168"/>
      <c r="I767" s="168"/>
      <c r="J767" s="168"/>
      <c r="K767" s="168"/>
      <c r="L767" s="168"/>
      <c r="M767" s="168"/>
      <c r="N767" s="168"/>
      <c r="O767" s="168"/>
      <c r="P767" s="168"/>
      <c r="Q767" s="168"/>
      <c r="R767" s="168"/>
      <c r="S767" s="168"/>
      <c r="T767" s="168"/>
      <c r="U767" s="168"/>
      <c r="V767" s="168"/>
      <c r="W767" s="168"/>
      <c r="X767" s="168"/>
      <c r="Y767" s="168"/>
      <c r="Z767" s="168"/>
      <c r="AA767" s="168"/>
    </row>
    <row r="768" customFormat="false" ht="15.75" hidden="false" customHeight="false" outlineLevel="0" collapsed="false">
      <c r="A768" s="168" t="str">
        <f aca="false">IF(ISBLANK(B768),"",B768&amp;"|"&amp;C768)</f>
        <v/>
      </c>
      <c r="B768" s="168"/>
      <c r="C768" s="168"/>
      <c r="D768" s="168"/>
      <c r="E768" s="175"/>
      <c r="F768" s="168"/>
      <c r="G768" s="168"/>
      <c r="H768" s="168"/>
      <c r="I768" s="168"/>
      <c r="J768" s="168"/>
      <c r="K768" s="168"/>
      <c r="L768" s="168"/>
      <c r="M768" s="168"/>
      <c r="N768" s="168"/>
      <c r="O768" s="168"/>
      <c r="P768" s="168"/>
      <c r="Q768" s="168"/>
      <c r="R768" s="168"/>
      <c r="S768" s="168"/>
      <c r="T768" s="168"/>
      <c r="U768" s="168"/>
      <c r="V768" s="168"/>
      <c r="W768" s="168"/>
      <c r="X768" s="168"/>
      <c r="Y768" s="168"/>
      <c r="Z768" s="168"/>
      <c r="AA768" s="168"/>
    </row>
    <row r="769" customFormat="false" ht="15.75" hidden="false" customHeight="false" outlineLevel="0" collapsed="false">
      <c r="A769" s="168" t="str">
        <f aca="false">IF(ISBLANK(B769),"",B769&amp;"|"&amp;C769)</f>
        <v/>
      </c>
      <c r="B769" s="168"/>
      <c r="C769" s="168"/>
      <c r="D769" s="168"/>
      <c r="E769" s="175"/>
      <c r="F769" s="168"/>
      <c r="G769" s="168"/>
      <c r="H769" s="168"/>
      <c r="I769" s="168"/>
      <c r="J769" s="168"/>
      <c r="K769" s="168"/>
      <c r="L769" s="168"/>
      <c r="M769" s="168"/>
      <c r="N769" s="168"/>
      <c r="O769" s="168"/>
      <c r="P769" s="168"/>
      <c r="Q769" s="168"/>
      <c r="R769" s="168"/>
      <c r="S769" s="168"/>
      <c r="T769" s="168"/>
      <c r="U769" s="168"/>
      <c r="V769" s="168"/>
      <c r="W769" s="168"/>
      <c r="X769" s="168"/>
      <c r="Y769" s="168"/>
      <c r="Z769" s="168"/>
      <c r="AA769" s="168"/>
    </row>
    <row r="770" customFormat="false" ht="15.75" hidden="false" customHeight="false" outlineLevel="0" collapsed="false">
      <c r="A770" s="168" t="str">
        <f aca="false">IF(ISBLANK(B770),"",B770&amp;"|"&amp;C770)</f>
        <v/>
      </c>
      <c r="B770" s="168"/>
      <c r="C770" s="168"/>
      <c r="D770" s="168"/>
      <c r="E770" s="175"/>
      <c r="F770" s="168"/>
      <c r="G770" s="168"/>
      <c r="H770" s="168"/>
      <c r="I770" s="168"/>
      <c r="J770" s="168"/>
      <c r="K770" s="168"/>
      <c r="L770" s="168"/>
      <c r="M770" s="168"/>
      <c r="N770" s="168"/>
      <c r="O770" s="168"/>
      <c r="P770" s="168"/>
      <c r="Q770" s="168"/>
      <c r="R770" s="168"/>
      <c r="S770" s="168"/>
      <c r="T770" s="168"/>
      <c r="U770" s="168"/>
      <c r="V770" s="168"/>
      <c r="W770" s="168"/>
      <c r="X770" s="168"/>
      <c r="Y770" s="168"/>
      <c r="Z770" s="168"/>
      <c r="AA770" s="168"/>
    </row>
    <row r="771" customFormat="false" ht="15.75" hidden="false" customHeight="false" outlineLevel="0" collapsed="false">
      <c r="A771" s="168" t="str">
        <f aca="false">IF(ISBLANK(B771),"",B771&amp;"|"&amp;C771)</f>
        <v/>
      </c>
      <c r="B771" s="168"/>
      <c r="C771" s="168"/>
      <c r="D771" s="168"/>
      <c r="E771" s="175"/>
      <c r="F771" s="168"/>
      <c r="G771" s="168"/>
      <c r="H771" s="168"/>
      <c r="I771" s="168"/>
      <c r="J771" s="168"/>
      <c r="K771" s="168"/>
      <c r="L771" s="168"/>
      <c r="M771" s="168"/>
      <c r="N771" s="168"/>
      <c r="O771" s="168"/>
      <c r="P771" s="168"/>
      <c r="Q771" s="168"/>
      <c r="R771" s="168"/>
      <c r="S771" s="168"/>
      <c r="T771" s="168"/>
      <c r="U771" s="168"/>
      <c r="V771" s="168"/>
      <c r="W771" s="168"/>
      <c r="X771" s="168"/>
      <c r="Y771" s="168"/>
      <c r="Z771" s="168"/>
      <c r="AA771" s="168"/>
    </row>
    <row r="772" customFormat="false" ht="15.75" hidden="false" customHeight="false" outlineLevel="0" collapsed="false">
      <c r="A772" s="168" t="str">
        <f aca="false">IF(ISBLANK(B772),"",B772&amp;"|"&amp;C772)</f>
        <v/>
      </c>
      <c r="B772" s="168"/>
      <c r="C772" s="168"/>
      <c r="D772" s="168"/>
      <c r="E772" s="175"/>
      <c r="F772" s="168"/>
      <c r="G772" s="168"/>
      <c r="H772" s="168"/>
      <c r="I772" s="168"/>
      <c r="J772" s="168"/>
      <c r="K772" s="168"/>
      <c r="L772" s="168"/>
      <c r="M772" s="168"/>
      <c r="N772" s="168"/>
      <c r="O772" s="168"/>
      <c r="P772" s="168"/>
      <c r="Q772" s="168"/>
      <c r="R772" s="168"/>
      <c r="S772" s="168"/>
      <c r="T772" s="168"/>
      <c r="U772" s="168"/>
      <c r="V772" s="168"/>
      <c r="W772" s="168"/>
      <c r="X772" s="168"/>
      <c r="Y772" s="168"/>
      <c r="Z772" s="168"/>
      <c r="AA772" s="168"/>
    </row>
    <row r="773" customFormat="false" ht="15.75" hidden="false" customHeight="false" outlineLevel="0" collapsed="false">
      <c r="A773" s="168" t="str">
        <f aca="false">IF(ISBLANK(B773),"",B773&amp;"|"&amp;C773)</f>
        <v/>
      </c>
      <c r="B773" s="168"/>
      <c r="C773" s="168"/>
      <c r="D773" s="168"/>
      <c r="E773" s="175"/>
      <c r="F773" s="168"/>
      <c r="G773" s="168"/>
      <c r="H773" s="168"/>
      <c r="I773" s="168"/>
      <c r="J773" s="168"/>
      <c r="K773" s="168"/>
      <c r="L773" s="168"/>
      <c r="M773" s="168"/>
      <c r="N773" s="168"/>
      <c r="O773" s="168"/>
      <c r="P773" s="168"/>
      <c r="Q773" s="168"/>
      <c r="R773" s="168"/>
      <c r="S773" s="168"/>
      <c r="T773" s="168"/>
      <c r="U773" s="168"/>
      <c r="V773" s="168"/>
      <c r="W773" s="168"/>
      <c r="X773" s="168"/>
      <c r="Y773" s="168"/>
      <c r="Z773" s="168"/>
      <c r="AA773" s="168"/>
    </row>
    <row r="774" customFormat="false" ht="15.75" hidden="false" customHeight="false" outlineLevel="0" collapsed="false">
      <c r="A774" s="168" t="str">
        <f aca="false">IF(ISBLANK(B774),"",B774&amp;"|"&amp;C774)</f>
        <v/>
      </c>
      <c r="B774" s="168"/>
      <c r="C774" s="168"/>
      <c r="D774" s="168"/>
      <c r="E774" s="175"/>
      <c r="F774" s="168"/>
      <c r="G774" s="168"/>
      <c r="H774" s="168"/>
      <c r="I774" s="168"/>
      <c r="J774" s="168"/>
      <c r="K774" s="168"/>
      <c r="L774" s="168"/>
      <c r="M774" s="168"/>
      <c r="N774" s="168"/>
      <c r="O774" s="168"/>
      <c r="P774" s="168"/>
      <c r="Q774" s="168"/>
      <c r="R774" s="168"/>
      <c r="S774" s="168"/>
      <c r="T774" s="168"/>
      <c r="U774" s="168"/>
      <c r="V774" s="168"/>
      <c r="W774" s="168"/>
      <c r="X774" s="168"/>
      <c r="Y774" s="168"/>
      <c r="Z774" s="168"/>
      <c r="AA774" s="168"/>
    </row>
    <row r="775" customFormat="false" ht="15.75" hidden="false" customHeight="false" outlineLevel="0" collapsed="false">
      <c r="A775" s="168" t="str">
        <f aca="false">IF(ISBLANK(B775),"",B775&amp;"|"&amp;C775)</f>
        <v/>
      </c>
      <c r="B775" s="168"/>
      <c r="C775" s="168"/>
      <c r="D775" s="168"/>
      <c r="E775" s="175"/>
      <c r="F775" s="168"/>
      <c r="G775" s="168"/>
      <c r="H775" s="168"/>
      <c r="I775" s="168"/>
      <c r="J775" s="168"/>
      <c r="K775" s="168"/>
      <c r="L775" s="168"/>
      <c r="M775" s="168"/>
      <c r="N775" s="168"/>
      <c r="O775" s="168"/>
      <c r="P775" s="168"/>
      <c r="Q775" s="168"/>
      <c r="R775" s="168"/>
      <c r="S775" s="168"/>
      <c r="T775" s="168"/>
      <c r="U775" s="168"/>
      <c r="V775" s="168"/>
      <c r="W775" s="168"/>
      <c r="X775" s="168"/>
      <c r="Y775" s="168"/>
      <c r="Z775" s="168"/>
      <c r="AA775" s="168"/>
    </row>
    <row r="776" customFormat="false" ht="15.75" hidden="false" customHeight="false" outlineLevel="0" collapsed="false">
      <c r="A776" s="168" t="str">
        <f aca="false">IF(ISBLANK(B776),"",B776&amp;"|"&amp;C776)</f>
        <v/>
      </c>
      <c r="B776" s="168"/>
      <c r="C776" s="168"/>
      <c r="D776" s="168"/>
      <c r="E776" s="175"/>
      <c r="F776" s="168"/>
      <c r="G776" s="168"/>
      <c r="H776" s="168"/>
      <c r="I776" s="168"/>
      <c r="J776" s="168"/>
      <c r="K776" s="168"/>
      <c r="L776" s="168"/>
      <c r="M776" s="168"/>
      <c r="N776" s="168"/>
      <c r="O776" s="168"/>
      <c r="P776" s="168"/>
      <c r="Q776" s="168"/>
      <c r="R776" s="168"/>
      <c r="S776" s="168"/>
      <c r="T776" s="168"/>
      <c r="U776" s="168"/>
      <c r="V776" s="168"/>
      <c r="W776" s="168"/>
      <c r="X776" s="168"/>
      <c r="Y776" s="168"/>
      <c r="Z776" s="168"/>
      <c r="AA776" s="168"/>
    </row>
    <row r="777" customFormat="false" ht="15.75" hidden="false" customHeight="false" outlineLevel="0" collapsed="false">
      <c r="A777" s="168" t="str">
        <f aca="false">IF(ISBLANK(B777),"",B777&amp;"|"&amp;C777)</f>
        <v/>
      </c>
      <c r="B777" s="168"/>
      <c r="C777" s="168"/>
      <c r="D777" s="168"/>
      <c r="E777" s="175"/>
      <c r="F777" s="168"/>
      <c r="G777" s="168"/>
      <c r="H777" s="168"/>
      <c r="I777" s="168"/>
      <c r="J777" s="168"/>
      <c r="K777" s="168"/>
      <c r="L777" s="168"/>
      <c r="M777" s="168"/>
      <c r="N777" s="168"/>
      <c r="O777" s="168"/>
      <c r="P777" s="168"/>
      <c r="Q777" s="168"/>
      <c r="R777" s="168"/>
      <c r="S777" s="168"/>
      <c r="T777" s="168"/>
      <c r="U777" s="168"/>
      <c r="V777" s="168"/>
      <c r="W777" s="168"/>
      <c r="X777" s="168"/>
      <c r="Y777" s="168"/>
      <c r="Z777" s="168"/>
      <c r="AA777" s="168"/>
    </row>
    <row r="778" customFormat="false" ht="15.75" hidden="false" customHeight="false" outlineLevel="0" collapsed="false">
      <c r="A778" s="168" t="str">
        <f aca="false">IF(ISBLANK(B778),"",B778&amp;"|"&amp;C778)</f>
        <v/>
      </c>
      <c r="B778" s="168"/>
      <c r="C778" s="168"/>
      <c r="D778" s="168"/>
      <c r="E778" s="175"/>
      <c r="F778" s="168"/>
      <c r="G778" s="168"/>
      <c r="H778" s="168"/>
      <c r="I778" s="168"/>
      <c r="J778" s="168"/>
      <c r="K778" s="168"/>
      <c r="L778" s="168"/>
      <c r="M778" s="168"/>
      <c r="N778" s="168"/>
      <c r="O778" s="168"/>
      <c r="P778" s="168"/>
      <c r="Q778" s="168"/>
      <c r="R778" s="168"/>
      <c r="S778" s="168"/>
      <c r="T778" s="168"/>
      <c r="U778" s="168"/>
      <c r="V778" s="168"/>
      <c r="W778" s="168"/>
      <c r="X778" s="168"/>
      <c r="Y778" s="168"/>
      <c r="Z778" s="168"/>
      <c r="AA778" s="168"/>
    </row>
    <row r="779" customFormat="false" ht="15.75" hidden="false" customHeight="false" outlineLevel="0" collapsed="false">
      <c r="A779" s="168" t="str">
        <f aca="false">IF(ISBLANK(B779),"",B779&amp;"|"&amp;C779)</f>
        <v/>
      </c>
      <c r="B779" s="168"/>
      <c r="C779" s="168"/>
      <c r="D779" s="168"/>
      <c r="E779" s="175"/>
      <c r="F779" s="168"/>
      <c r="G779" s="168"/>
      <c r="H779" s="168"/>
      <c r="I779" s="168"/>
      <c r="J779" s="168"/>
      <c r="K779" s="168"/>
      <c r="L779" s="168"/>
      <c r="M779" s="168"/>
      <c r="N779" s="168"/>
      <c r="O779" s="168"/>
      <c r="P779" s="168"/>
      <c r="Q779" s="168"/>
      <c r="R779" s="168"/>
      <c r="S779" s="168"/>
      <c r="T779" s="168"/>
      <c r="U779" s="168"/>
      <c r="V779" s="168"/>
      <c r="W779" s="168"/>
      <c r="X779" s="168"/>
      <c r="Y779" s="168"/>
      <c r="Z779" s="168"/>
      <c r="AA779" s="168"/>
    </row>
    <row r="780" customFormat="false" ht="15.75" hidden="false" customHeight="false" outlineLevel="0" collapsed="false">
      <c r="A780" s="168" t="str">
        <f aca="false">IF(ISBLANK(B780),"",B780&amp;"|"&amp;C780)</f>
        <v/>
      </c>
      <c r="B780" s="168"/>
      <c r="C780" s="168"/>
      <c r="D780" s="168"/>
      <c r="E780" s="175"/>
      <c r="F780" s="168"/>
      <c r="G780" s="168"/>
      <c r="H780" s="168"/>
      <c r="I780" s="168"/>
      <c r="J780" s="168"/>
      <c r="K780" s="168"/>
      <c r="L780" s="168"/>
      <c r="M780" s="168"/>
      <c r="N780" s="168"/>
      <c r="O780" s="168"/>
      <c r="P780" s="168"/>
      <c r="Q780" s="168"/>
      <c r="R780" s="168"/>
      <c r="S780" s="168"/>
      <c r="T780" s="168"/>
      <c r="U780" s="168"/>
      <c r="V780" s="168"/>
      <c r="W780" s="168"/>
      <c r="X780" s="168"/>
      <c r="Y780" s="168"/>
      <c r="Z780" s="168"/>
      <c r="AA780" s="168"/>
    </row>
    <row r="781" customFormat="false" ht="15.75" hidden="false" customHeight="false" outlineLevel="0" collapsed="false">
      <c r="A781" s="168" t="str">
        <f aca="false">IF(ISBLANK(B781),"",B781&amp;"|"&amp;C781)</f>
        <v/>
      </c>
      <c r="B781" s="168"/>
      <c r="C781" s="168"/>
      <c r="D781" s="168"/>
      <c r="E781" s="175"/>
      <c r="F781" s="168"/>
      <c r="G781" s="168"/>
      <c r="H781" s="168"/>
      <c r="I781" s="168"/>
      <c r="J781" s="168"/>
      <c r="K781" s="168"/>
      <c r="L781" s="168"/>
      <c r="M781" s="168"/>
      <c r="N781" s="168"/>
      <c r="O781" s="168"/>
      <c r="P781" s="168"/>
      <c r="Q781" s="168"/>
      <c r="R781" s="168"/>
      <c r="S781" s="168"/>
      <c r="T781" s="168"/>
      <c r="U781" s="168"/>
      <c r="V781" s="168"/>
      <c r="W781" s="168"/>
      <c r="X781" s="168"/>
      <c r="Y781" s="168"/>
      <c r="Z781" s="168"/>
      <c r="AA781" s="168"/>
    </row>
    <row r="782" customFormat="false" ht="15.75" hidden="false" customHeight="false" outlineLevel="0" collapsed="false">
      <c r="A782" s="168" t="str">
        <f aca="false">IF(ISBLANK(B782),"",B782&amp;"|"&amp;C782)</f>
        <v/>
      </c>
      <c r="B782" s="168"/>
      <c r="C782" s="168"/>
      <c r="D782" s="168"/>
      <c r="E782" s="175"/>
      <c r="F782" s="168"/>
      <c r="G782" s="168"/>
      <c r="H782" s="168"/>
      <c r="I782" s="168"/>
      <c r="J782" s="168"/>
      <c r="K782" s="168"/>
      <c r="L782" s="168"/>
      <c r="M782" s="168"/>
      <c r="N782" s="168"/>
      <c r="O782" s="168"/>
      <c r="P782" s="168"/>
      <c r="Q782" s="168"/>
      <c r="R782" s="168"/>
      <c r="S782" s="168"/>
      <c r="T782" s="168"/>
      <c r="U782" s="168"/>
      <c r="V782" s="168"/>
      <c r="W782" s="168"/>
      <c r="X782" s="168"/>
      <c r="Y782" s="168"/>
      <c r="Z782" s="168"/>
      <c r="AA782" s="168"/>
    </row>
    <row r="783" customFormat="false" ht="15.75" hidden="false" customHeight="false" outlineLevel="0" collapsed="false">
      <c r="A783" s="168" t="str">
        <f aca="false">IF(ISBLANK(B783),"",B783&amp;"|"&amp;C783)</f>
        <v/>
      </c>
      <c r="B783" s="168"/>
      <c r="C783" s="168"/>
      <c r="D783" s="168"/>
      <c r="E783" s="175"/>
      <c r="F783" s="168"/>
      <c r="G783" s="168"/>
      <c r="H783" s="168"/>
      <c r="I783" s="168"/>
      <c r="J783" s="168"/>
      <c r="K783" s="168"/>
      <c r="L783" s="168"/>
      <c r="M783" s="168"/>
      <c r="N783" s="168"/>
      <c r="O783" s="168"/>
      <c r="P783" s="168"/>
      <c r="Q783" s="168"/>
      <c r="R783" s="168"/>
      <c r="S783" s="168"/>
      <c r="T783" s="168"/>
      <c r="U783" s="168"/>
      <c r="V783" s="168"/>
      <c r="W783" s="168"/>
      <c r="X783" s="168"/>
      <c r="Y783" s="168"/>
      <c r="Z783" s="168"/>
      <c r="AA783" s="168"/>
    </row>
    <row r="784" customFormat="false" ht="15.75" hidden="false" customHeight="false" outlineLevel="0" collapsed="false">
      <c r="A784" s="168" t="str">
        <f aca="false">IF(ISBLANK(B784),"",B784&amp;"|"&amp;C784)</f>
        <v/>
      </c>
      <c r="B784" s="168"/>
      <c r="C784" s="168"/>
      <c r="D784" s="168"/>
      <c r="E784" s="175"/>
      <c r="F784" s="168"/>
      <c r="G784" s="168"/>
      <c r="H784" s="168"/>
      <c r="I784" s="168"/>
      <c r="J784" s="168"/>
      <c r="K784" s="168"/>
      <c r="L784" s="168"/>
      <c r="M784" s="168"/>
      <c r="N784" s="168"/>
      <c r="O784" s="168"/>
      <c r="P784" s="168"/>
      <c r="Q784" s="168"/>
      <c r="R784" s="168"/>
      <c r="S784" s="168"/>
      <c r="T784" s="168"/>
      <c r="U784" s="168"/>
      <c r="V784" s="168"/>
      <c r="W784" s="168"/>
      <c r="X784" s="168"/>
      <c r="Y784" s="168"/>
      <c r="Z784" s="168"/>
      <c r="AA784" s="168"/>
    </row>
    <row r="785" customFormat="false" ht="15.75" hidden="false" customHeight="false" outlineLevel="0" collapsed="false">
      <c r="A785" s="168" t="str">
        <f aca="false">IF(ISBLANK(B785),"",B785&amp;"|"&amp;C785)</f>
        <v/>
      </c>
      <c r="B785" s="168"/>
      <c r="C785" s="168"/>
      <c r="D785" s="168"/>
      <c r="E785" s="175"/>
      <c r="F785" s="168"/>
      <c r="G785" s="168"/>
      <c r="H785" s="168"/>
      <c r="I785" s="168"/>
      <c r="J785" s="168"/>
      <c r="K785" s="168"/>
      <c r="L785" s="168"/>
      <c r="M785" s="168"/>
      <c r="N785" s="168"/>
      <c r="O785" s="168"/>
      <c r="P785" s="168"/>
      <c r="Q785" s="168"/>
      <c r="R785" s="168"/>
      <c r="S785" s="168"/>
      <c r="T785" s="168"/>
      <c r="U785" s="168"/>
      <c r="V785" s="168"/>
      <c r="W785" s="168"/>
      <c r="X785" s="168"/>
      <c r="Y785" s="168"/>
      <c r="Z785" s="168"/>
      <c r="AA785" s="168"/>
    </row>
    <row r="786" customFormat="false" ht="15.75" hidden="false" customHeight="false" outlineLevel="0" collapsed="false">
      <c r="A786" s="168" t="str">
        <f aca="false">IF(ISBLANK(B786),"",B786&amp;"|"&amp;C786)</f>
        <v/>
      </c>
      <c r="B786" s="168"/>
      <c r="C786" s="168"/>
      <c r="D786" s="168"/>
      <c r="E786" s="175"/>
      <c r="F786" s="168"/>
      <c r="G786" s="168"/>
      <c r="H786" s="168"/>
      <c r="I786" s="168"/>
      <c r="J786" s="168"/>
      <c r="K786" s="168"/>
      <c r="L786" s="168"/>
      <c r="M786" s="168"/>
      <c r="N786" s="168"/>
      <c r="O786" s="168"/>
      <c r="P786" s="168"/>
      <c r="Q786" s="168"/>
      <c r="R786" s="168"/>
      <c r="S786" s="168"/>
      <c r="T786" s="168"/>
      <c r="U786" s="168"/>
      <c r="V786" s="168"/>
      <c r="W786" s="168"/>
      <c r="X786" s="168"/>
      <c r="Y786" s="168"/>
      <c r="Z786" s="168"/>
      <c r="AA786" s="168"/>
    </row>
    <row r="787" customFormat="false" ht="15.75" hidden="false" customHeight="false" outlineLevel="0" collapsed="false">
      <c r="A787" s="168" t="str">
        <f aca="false">IF(ISBLANK(B787),"",B787&amp;"|"&amp;C787)</f>
        <v/>
      </c>
      <c r="B787" s="168"/>
      <c r="C787" s="168"/>
      <c r="D787" s="168"/>
      <c r="E787" s="175"/>
      <c r="F787" s="168"/>
      <c r="G787" s="168"/>
      <c r="H787" s="168"/>
      <c r="I787" s="168"/>
      <c r="J787" s="168"/>
      <c r="K787" s="168"/>
      <c r="L787" s="168"/>
      <c r="M787" s="168"/>
      <c r="N787" s="168"/>
      <c r="O787" s="168"/>
      <c r="P787" s="168"/>
      <c r="Q787" s="168"/>
      <c r="R787" s="168"/>
      <c r="S787" s="168"/>
      <c r="T787" s="168"/>
      <c r="U787" s="168"/>
      <c r="V787" s="168"/>
      <c r="W787" s="168"/>
      <c r="X787" s="168"/>
      <c r="Y787" s="168"/>
      <c r="Z787" s="168"/>
      <c r="AA787" s="168"/>
    </row>
    <row r="788" customFormat="false" ht="15.75" hidden="false" customHeight="false" outlineLevel="0" collapsed="false">
      <c r="A788" s="168" t="str">
        <f aca="false">IF(ISBLANK(B788),"",B788&amp;"|"&amp;C788)</f>
        <v/>
      </c>
      <c r="B788" s="168"/>
      <c r="C788" s="168"/>
      <c r="D788" s="168"/>
      <c r="E788" s="175"/>
      <c r="F788" s="168"/>
      <c r="G788" s="168"/>
      <c r="H788" s="168"/>
      <c r="I788" s="168"/>
      <c r="J788" s="168"/>
      <c r="K788" s="168"/>
      <c r="L788" s="168"/>
      <c r="M788" s="168"/>
      <c r="N788" s="168"/>
      <c r="O788" s="168"/>
      <c r="P788" s="168"/>
      <c r="Q788" s="168"/>
      <c r="R788" s="168"/>
      <c r="S788" s="168"/>
      <c r="T788" s="168"/>
      <c r="U788" s="168"/>
      <c r="V788" s="168"/>
      <c r="W788" s="168"/>
      <c r="X788" s="168"/>
      <c r="Y788" s="168"/>
      <c r="Z788" s="168"/>
      <c r="AA788" s="168"/>
    </row>
    <row r="789" customFormat="false" ht="15.75" hidden="false" customHeight="false" outlineLevel="0" collapsed="false">
      <c r="A789" s="168" t="str">
        <f aca="false">IF(ISBLANK(B789),"",B789&amp;"|"&amp;C789)</f>
        <v/>
      </c>
      <c r="B789" s="168"/>
      <c r="C789" s="168"/>
      <c r="D789" s="168"/>
      <c r="E789" s="175"/>
      <c r="F789" s="168"/>
      <c r="G789" s="168"/>
      <c r="H789" s="168"/>
      <c r="I789" s="168"/>
      <c r="J789" s="168"/>
      <c r="K789" s="168"/>
      <c r="L789" s="168"/>
      <c r="M789" s="168"/>
      <c r="N789" s="168"/>
      <c r="O789" s="168"/>
      <c r="P789" s="168"/>
      <c r="Q789" s="168"/>
      <c r="R789" s="168"/>
      <c r="S789" s="168"/>
      <c r="T789" s="168"/>
      <c r="U789" s="168"/>
      <c r="V789" s="168"/>
      <c r="W789" s="168"/>
      <c r="X789" s="168"/>
      <c r="Y789" s="168"/>
      <c r="Z789" s="168"/>
      <c r="AA789" s="168"/>
    </row>
    <row r="790" customFormat="false" ht="15.75" hidden="false" customHeight="false" outlineLevel="0" collapsed="false">
      <c r="A790" s="168" t="str">
        <f aca="false">IF(ISBLANK(B790),"",B790&amp;"|"&amp;C790)</f>
        <v/>
      </c>
      <c r="B790" s="168"/>
      <c r="C790" s="168"/>
      <c r="D790" s="168"/>
      <c r="E790" s="175"/>
      <c r="F790" s="168"/>
      <c r="G790" s="168"/>
      <c r="H790" s="168"/>
      <c r="I790" s="168"/>
      <c r="J790" s="168"/>
      <c r="K790" s="168"/>
      <c r="L790" s="168"/>
      <c r="M790" s="168"/>
      <c r="N790" s="168"/>
      <c r="O790" s="168"/>
      <c r="P790" s="168"/>
      <c r="Q790" s="168"/>
      <c r="R790" s="168"/>
      <c r="S790" s="168"/>
      <c r="T790" s="168"/>
      <c r="U790" s="168"/>
      <c r="V790" s="168"/>
      <c r="W790" s="168"/>
      <c r="X790" s="168"/>
      <c r="Y790" s="168"/>
      <c r="Z790" s="168"/>
      <c r="AA790" s="168"/>
    </row>
    <row r="791" customFormat="false" ht="15.75" hidden="false" customHeight="false" outlineLevel="0" collapsed="false">
      <c r="A791" s="168" t="str">
        <f aca="false">IF(ISBLANK(B791),"",B791&amp;"|"&amp;C791)</f>
        <v/>
      </c>
      <c r="B791" s="168"/>
      <c r="C791" s="168"/>
      <c r="D791" s="168"/>
      <c r="E791" s="175"/>
      <c r="F791" s="168"/>
      <c r="G791" s="168"/>
      <c r="H791" s="168"/>
      <c r="I791" s="168"/>
      <c r="J791" s="168"/>
      <c r="K791" s="168"/>
      <c r="L791" s="168"/>
      <c r="M791" s="168"/>
      <c r="N791" s="168"/>
      <c r="O791" s="168"/>
      <c r="P791" s="168"/>
      <c r="Q791" s="168"/>
      <c r="R791" s="168"/>
      <c r="S791" s="168"/>
      <c r="T791" s="168"/>
      <c r="U791" s="168"/>
      <c r="V791" s="168"/>
      <c r="W791" s="168"/>
      <c r="X791" s="168"/>
      <c r="Y791" s="168"/>
      <c r="Z791" s="168"/>
      <c r="AA791" s="168"/>
    </row>
    <row r="792" customFormat="false" ht="15.75" hidden="false" customHeight="false" outlineLevel="0" collapsed="false">
      <c r="A792" s="168" t="str">
        <f aca="false">IF(ISBLANK(B792),"",B792&amp;"|"&amp;C792)</f>
        <v/>
      </c>
      <c r="B792" s="168"/>
      <c r="C792" s="168"/>
      <c r="D792" s="168"/>
      <c r="E792" s="175"/>
      <c r="F792" s="168"/>
      <c r="G792" s="168"/>
      <c r="H792" s="168"/>
      <c r="I792" s="168"/>
      <c r="J792" s="168"/>
      <c r="K792" s="168"/>
      <c r="L792" s="168"/>
      <c r="M792" s="168"/>
      <c r="N792" s="168"/>
      <c r="O792" s="168"/>
      <c r="P792" s="168"/>
      <c r="Q792" s="168"/>
      <c r="R792" s="168"/>
      <c r="S792" s="168"/>
      <c r="T792" s="168"/>
      <c r="U792" s="168"/>
      <c r="V792" s="168"/>
      <c r="W792" s="168"/>
      <c r="X792" s="168"/>
      <c r="Y792" s="168"/>
      <c r="Z792" s="168"/>
      <c r="AA792" s="168"/>
    </row>
    <row r="793" customFormat="false" ht="15.75" hidden="false" customHeight="false" outlineLevel="0" collapsed="false">
      <c r="A793" s="168" t="str">
        <f aca="false">IF(ISBLANK(B793),"",B793&amp;"|"&amp;C793)</f>
        <v/>
      </c>
      <c r="B793" s="168"/>
      <c r="C793" s="168"/>
      <c r="D793" s="168"/>
      <c r="E793" s="175"/>
      <c r="F793" s="168"/>
      <c r="G793" s="168"/>
      <c r="H793" s="168"/>
      <c r="I793" s="168"/>
      <c r="J793" s="168"/>
      <c r="K793" s="168"/>
      <c r="L793" s="168"/>
      <c r="M793" s="168"/>
      <c r="N793" s="168"/>
      <c r="O793" s="168"/>
      <c r="P793" s="168"/>
      <c r="Q793" s="168"/>
      <c r="R793" s="168"/>
      <c r="S793" s="168"/>
      <c r="T793" s="168"/>
      <c r="U793" s="168"/>
      <c r="V793" s="168"/>
      <c r="W793" s="168"/>
      <c r="X793" s="168"/>
      <c r="Y793" s="168"/>
      <c r="Z793" s="168"/>
      <c r="AA793" s="168"/>
    </row>
    <row r="794" customFormat="false" ht="15.75" hidden="false" customHeight="false" outlineLevel="0" collapsed="false">
      <c r="A794" s="168" t="str">
        <f aca="false">IF(ISBLANK(B794),"",B794&amp;"|"&amp;C794)</f>
        <v/>
      </c>
      <c r="B794" s="168"/>
      <c r="C794" s="168"/>
      <c r="D794" s="168"/>
      <c r="E794" s="175"/>
      <c r="F794" s="168"/>
      <c r="G794" s="168"/>
      <c r="H794" s="168"/>
      <c r="I794" s="168"/>
      <c r="J794" s="168"/>
      <c r="K794" s="168"/>
      <c r="L794" s="168"/>
      <c r="M794" s="168"/>
      <c r="N794" s="168"/>
      <c r="O794" s="168"/>
      <c r="P794" s="168"/>
      <c r="Q794" s="168"/>
      <c r="R794" s="168"/>
      <c r="S794" s="168"/>
      <c r="T794" s="168"/>
      <c r="U794" s="168"/>
      <c r="V794" s="168"/>
      <c r="W794" s="168"/>
      <c r="X794" s="168"/>
      <c r="Y794" s="168"/>
      <c r="Z794" s="168"/>
      <c r="AA794" s="168"/>
    </row>
    <row r="795" customFormat="false" ht="15.75" hidden="false" customHeight="false" outlineLevel="0" collapsed="false">
      <c r="A795" s="168" t="str">
        <f aca="false">IF(ISBLANK(B795),"",B795&amp;"|"&amp;C795)</f>
        <v/>
      </c>
      <c r="B795" s="168"/>
      <c r="C795" s="168"/>
      <c r="D795" s="168"/>
      <c r="E795" s="175"/>
      <c r="F795" s="168"/>
      <c r="G795" s="168"/>
      <c r="H795" s="168"/>
      <c r="I795" s="168"/>
      <c r="J795" s="168"/>
      <c r="K795" s="168"/>
      <c r="L795" s="168"/>
      <c r="M795" s="168"/>
      <c r="N795" s="168"/>
      <c r="O795" s="168"/>
      <c r="P795" s="168"/>
      <c r="Q795" s="168"/>
      <c r="R795" s="168"/>
      <c r="S795" s="168"/>
      <c r="T795" s="168"/>
      <c r="U795" s="168"/>
      <c r="V795" s="168"/>
      <c r="W795" s="168"/>
      <c r="X795" s="168"/>
      <c r="Y795" s="168"/>
      <c r="Z795" s="168"/>
      <c r="AA795" s="168"/>
    </row>
    <row r="796" customFormat="false" ht="15.75" hidden="false" customHeight="false" outlineLevel="0" collapsed="false">
      <c r="A796" s="168" t="str">
        <f aca="false">IF(ISBLANK(B796),"",B796&amp;"|"&amp;C796)</f>
        <v/>
      </c>
      <c r="B796" s="168"/>
      <c r="C796" s="168"/>
      <c r="D796" s="168"/>
      <c r="E796" s="175"/>
      <c r="F796" s="168"/>
      <c r="G796" s="168"/>
      <c r="H796" s="168"/>
      <c r="I796" s="168"/>
      <c r="J796" s="168"/>
      <c r="K796" s="168"/>
      <c r="L796" s="168"/>
      <c r="M796" s="168"/>
      <c r="N796" s="168"/>
      <c r="O796" s="168"/>
      <c r="P796" s="168"/>
      <c r="Q796" s="168"/>
      <c r="R796" s="168"/>
      <c r="S796" s="168"/>
      <c r="T796" s="168"/>
      <c r="U796" s="168"/>
      <c r="V796" s="168"/>
      <c r="W796" s="168"/>
      <c r="X796" s="168"/>
      <c r="Y796" s="168"/>
      <c r="Z796" s="168"/>
      <c r="AA796" s="168"/>
    </row>
    <row r="797" customFormat="false" ht="15.75" hidden="false" customHeight="false" outlineLevel="0" collapsed="false">
      <c r="A797" s="168" t="str">
        <f aca="false">IF(ISBLANK(B797),"",B797&amp;"|"&amp;C797)</f>
        <v/>
      </c>
      <c r="B797" s="168"/>
      <c r="C797" s="168"/>
      <c r="D797" s="168"/>
      <c r="E797" s="175"/>
      <c r="F797" s="168"/>
      <c r="G797" s="168"/>
      <c r="H797" s="168"/>
      <c r="I797" s="168"/>
      <c r="J797" s="168"/>
      <c r="K797" s="168"/>
      <c r="L797" s="168"/>
      <c r="M797" s="168"/>
      <c r="N797" s="168"/>
      <c r="O797" s="168"/>
      <c r="P797" s="168"/>
      <c r="Q797" s="168"/>
      <c r="R797" s="168"/>
      <c r="S797" s="168"/>
      <c r="T797" s="168"/>
      <c r="U797" s="168"/>
      <c r="V797" s="168"/>
      <c r="W797" s="168"/>
      <c r="X797" s="168"/>
      <c r="Y797" s="168"/>
      <c r="Z797" s="168"/>
      <c r="AA797" s="168"/>
    </row>
    <row r="798" customFormat="false" ht="15.75" hidden="false" customHeight="false" outlineLevel="0" collapsed="false">
      <c r="A798" s="168" t="str">
        <f aca="false">IF(ISBLANK(B798),"",B798&amp;"|"&amp;C798)</f>
        <v/>
      </c>
      <c r="B798" s="168"/>
      <c r="C798" s="168"/>
      <c r="D798" s="168"/>
      <c r="E798" s="175"/>
      <c r="F798" s="168"/>
      <c r="G798" s="168"/>
      <c r="H798" s="168"/>
      <c r="I798" s="168"/>
      <c r="J798" s="168"/>
      <c r="K798" s="168"/>
      <c r="L798" s="168"/>
      <c r="M798" s="168"/>
      <c r="N798" s="168"/>
      <c r="O798" s="168"/>
      <c r="P798" s="168"/>
      <c r="Q798" s="168"/>
      <c r="R798" s="168"/>
      <c r="S798" s="168"/>
      <c r="T798" s="168"/>
      <c r="U798" s="168"/>
      <c r="V798" s="168"/>
      <c r="W798" s="168"/>
      <c r="X798" s="168"/>
      <c r="Y798" s="168"/>
      <c r="Z798" s="168"/>
      <c r="AA798" s="168"/>
    </row>
    <row r="799" customFormat="false" ht="15.75" hidden="false" customHeight="false" outlineLevel="0" collapsed="false">
      <c r="A799" s="168" t="str">
        <f aca="false">IF(ISBLANK(B799),"",B799&amp;"|"&amp;C799)</f>
        <v/>
      </c>
      <c r="B799" s="168"/>
      <c r="C799" s="168"/>
      <c r="D799" s="168"/>
      <c r="E799" s="175"/>
      <c r="F799" s="168"/>
      <c r="G799" s="168"/>
      <c r="H799" s="168"/>
      <c r="I799" s="168"/>
      <c r="J799" s="168"/>
      <c r="K799" s="168"/>
      <c r="L799" s="168"/>
      <c r="M799" s="168"/>
      <c r="N799" s="168"/>
      <c r="O799" s="168"/>
      <c r="P799" s="168"/>
      <c r="Q799" s="168"/>
      <c r="R799" s="168"/>
      <c r="S799" s="168"/>
      <c r="T799" s="168"/>
      <c r="U799" s="168"/>
      <c r="V799" s="168"/>
      <c r="W799" s="168"/>
      <c r="X799" s="168"/>
      <c r="Y799" s="168"/>
      <c r="Z799" s="168"/>
      <c r="AA799" s="168"/>
    </row>
    <row r="800" customFormat="false" ht="15.75" hidden="false" customHeight="false" outlineLevel="0" collapsed="false">
      <c r="A800" s="168" t="str">
        <f aca="false">IF(ISBLANK(B800),"",B800&amp;"|"&amp;C800)</f>
        <v/>
      </c>
      <c r="B800" s="168"/>
      <c r="C800" s="168"/>
      <c r="D800" s="168"/>
      <c r="E800" s="175"/>
      <c r="F800" s="168"/>
      <c r="G800" s="168"/>
      <c r="H800" s="168"/>
      <c r="I800" s="168"/>
      <c r="J800" s="168"/>
      <c r="K800" s="168"/>
      <c r="L800" s="168"/>
      <c r="M800" s="168"/>
      <c r="N800" s="168"/>
      <c r="O800" s="168"/>
      <c r="P800" s="168"/>
      <c r="Q800" s="168"/>
      <c r="R800" s="168"/>
      <c r="S800" s="168"/>
      <c r="T800" s="168"/>
      <c r="U800" s="168"/>
      <c r="V800" s="168"/>
      <c r="W800" s="168"/>
      <c r="X800" s="168"/>
      <c r="Y800" s="168"/>
      <c r="Z800" s="168"/>
      <c r="AA800" s="168"/>
    </row>
    <row r="801" customFormat="false" ht="15.75" hidden="false" customHeight="false" outlineLevel="0" collapsed="false">
      <c r="A801" s="168" t="str">
        <f aca="false">IF(ISBLANK(B801),"",B801&amp;"|"&amp;C801)</f>
        <v/>
      </c>
      <c r="B801" s="168"/>
      <c r="C801" s="168"/>
      <c r="D801" s="168"/>
      <c r="E801" s="175"/>
      <c r="F801" s="168"/>
      <c r="G801" s="168"/>
      <c r="H801" s="168"/>
      <c r="I801" s="168"/>
      <c r="J801" s="168"/>
      <c r="K801" s="168"/>
      <c r="L801" s="168"/>
      <c r="M801" s="168"/>
      <c r="N801" s="168"/>
      <c r="O801" s="168"/>
      <c r="P801" s="168"/>
      <c r="Q801" s="168"/>
      <c r="R801" s="168"/>
      <c r="S801" s="168"/>
      <c r="T801" s="168"/>
      <c r="U801" s="168"/>
      <c r="V801" s="168"/>
      <c r="W801" s="168"/>
      <c r="X801" s="168"/>
      <c r="Y801" s="168"/>
      <c r="Z801" s="168"/>
      <c r="AA801" s="168"/>
    </row>
    <row r="802" customFormat="false" ht="15.75" hidden="false" customHeight="false" outlineLevel="0" collapsed="false">
      <c r="A802" s="168" t="str">
        <f aca="false">IF(ISBLANK(B802),"",B802&amp;"|"&amp;C802)</f>
        <v/>
      </c>
      <c r="B802" s="168"/>
      <c r="C802" s="168"/>
      <c r="D802" s="168"/>
      <c r="E802" s="175"/>
      <c r="F802" s="168"/>
      <c r="G802" s="168"/>
      <c r="H802" s="168"/>
      <c r="I802" s="168"/>
      <c r="J802" s="168"/>
      <c r="K802" s="168"/>
      <c r="L802" s="168"/>
      <c r="M802" s="168"/>
      <c r="N802" s="168"/>
      <c r="O802" s="168"/>
      <c r="P802" s="168"/>
      <c r="Q802" s="168"/>
      <c r="R802" s="168"/>
      <c r="S802" s="168"/>
      <c r="T802" s="168"/>
      <c r="U802" s="168"/>
      <c r="V802" s="168"/>
      <c r="W802" s="168"/>
      <c r="X802" s="168"/>
      <c r="Y802" s="168"/>
      <c r="Z802" s="168"/>
      <c r="AA802" s="168"/>
    </row>
    <row r="803" customFormat="false" ht="15.75" hidden="false" customHeight="false" outlineLevel="0" collapsed="false">
      <c r="A803" s="168" t="str">
        <f aca="false">IF(ISBLANK(B803),"",B803&amp;"|"&amp;C803)</f>
        <v/>
      </c>
      <c r="B803" s="168"/>
      <c r="C803" s="168"/>
      <c r="D803" s="168"/>
      <c r="E803" s="175"/>
      <c r="F803" s="168"/>
      <c r="G803" s="168"/>
      <c r="H803" s="168"/>
      <c r="I803" s="168"/>
      <c r="J803" s="168"/>
      <c r="K803" s="168"/>
      <c r="L803" s="168"/>
      <c r="M803" s="168"/>
      <c r="N803" s="168"/>
      <c r="O803" s="168"/>
      <c r="P803" s="168"/>
      <c r="Q803" s="168"/>
      <c r="R803" s="168"/>
      <c r="S803" s="168"/>
      <c r="T803" s="168"/>
      <c r="U803" s="168"/>
      <c r="V803" s="168"/>
      <c r="W803" s="168"/>
      <c r="X803" s="168"/>
      <c r="Y803" s="168"/>
      <c r="Z803" s="168"/>
      <c r="AA803" s="168"/>
    </row>
    <row r="804" customFormat="false" ht="15.75" hidden="false" customHeight="false" outlineLevel="0" collapsed="false">
      <c r="A804" s="168" t="str">
        <f aca="false">IF(ISBLANK(B804),"",B804&amp;"|"&amp;C804)</f>
        <v/>
      </c>
      <c r="B804" s="168"/>
      <c r="C804" s="168"/>
      <c r="D804" s="168"/>
      <c r="E804" s="175"/>
      <c r="F804" s="168"/>
      <c r="G804" s="168"/>
      <c r="H804" s="168"/>
      <c r="I804" s="168"/>
      <c r="J804" s="168"/>
      <c r="K804" s="168"/>
      <c r="L804" s="168"/>
      <c r="M804" s="168"/>
      <c r="N804" s="168"/>
      <c r="O804" s="168"/>
      <c r="P804" s="168"/>
      <c r="Q804" s="168"/>
      <c r="R804" s="168"/>
      <c r="S804" s="168"/>
      <c r="T804" s="168"/>
      <c r="U804" s="168"/>
      <c r="V804" s="168"/>
      <c r="W804" s="168"/>
      <c r="X804" s="168"/>
      <c r="Y804" s="168"/>
      <c r="Z804" s="168"/>
      <c r="AA804" s="168"/>
    </row>
    <row r="805" customFormat="false" ht="15.75" hidden="false" customHeight="false" outlineLevel="0" collapsed="false">
      <c r="A805" s="168" t="str">
        <f aca="false">IF(ISBLANK(B805),"",B805&amp;"|"&amp;C805)</f>
        <v/>
      </c>
      <c r="B805" s="168"/>
      <c r="C805" s="168"/>
      <c r="D805" s="168"/>
      <c r="E805" s="175"/>
      <c r="F805" s="168"/>
      <c r="G805" s="168"/>
      <c r="H805" s="168"/>
      <c r="I805" s="168"/>
      <c r="J805" s="168"/>
      <c r="K805" s="168"/>
      <c r="L805" s="168"/>
      <c r="M805" s="168"/>
      <c r="N805" s="168"/>
      <c r="O805" s="168"/>
      <c r="P805" s="168"/>
      <c r="Q805" s="168"/>
      <c r="R805" s="168"/>
      <c r="S805" s="168"/>
      <c r="T805" s="168"/>
      <c r="U805" s="168"/>
      <c r="V805" s="168"/>
      <c r="W805" s="168"/>
      <c r="X805" s="168"/>
      <c r="Y805" s="168"/>
      <c r="Z805" s="168"/>
      <c r="AA805" s="168"/>
    </row>
    <row r="806" customFormat="false" ht="15.75" hidden="false" customHeight="false" outlineLevel="0" collapsed="false">
      <c r="A806" s="168" t="str">
        <f aca="false">IF(ISBLANK(B806),"",B806&amp;"|"&amp;C806)</f>
        <v/>
      </c>
      <c r="B806" s="168"/>
      <c r="C806" s="168"/>
      <c r="D806" s="168"/>
      <c r="E806" s="175"/>
      <c r="F806" s="168"/>
      <c r="G806" s="168"/>
      <c r="H806" s="168"/>
      <c r="I806" s="168"/>
      <c r="J806" s="168"/>
      <c r="K806" s="168"/>
      <c r="L806" s="168"/>
      <c r="M806" s="168"/>
      <c r="N806" s="168"/>
      <c r="O806" s="168"/>
      <c r="P806" s="168"/>
      <c r="Q806" s="168"/>
      <c r="R806" s="168"/>
      <c r="S806" s="168"/>
      <c r="T806" s="168"/>
      <c r="U806" s="168"/>
      <c r="V806" s="168"/>
      <c r="W806" s="168"/>
      <c r="X806" s="168"/>
      <c r="Y806" s="168"/>
      <c r="Z806" s="168"/>
      <c r="AA806" s="168"/>
    </row>
    <row r="807" customFormat="false" ht="15.75" hidden="false" customHeight="false" outlineLevel="0" collapsed="false">
      <c r="A807" s="168" t="str">
        <f aca="false">IF(ISBLANK(B807),"",B807&amp;"|"&amp;C807)</f>
        <v/>
      </c>
      <c r="B807" s="168"/>
      <c r="C807" s="168"/>
      <c r="D807" s="168"/>
      <c r="E807" s="175"/>
      <c r="F807" s="168"/>
      <c r="G807" s="168"/>
      <c r="H807" s="168"/>
      <c r="I807" s="168"/>
      <c r="J807" s="168"/>
      <c r="K807" s="168"/>
      <c r="L807" s="168"/>
      <c r="M807" s="168"/>
      <c r="N807" s="168"/>
      <c r="O807" s="168"/>
      <c r="P807" s="168"/>
      <c r="Q807" s="168"/>
      <c r="R807" s="168"/>
      <c r="S807" s="168"/>
      <c r="T807" s="168"/>
      <c r="U807" s="168"/>
      <c r="V807" s="168"/>
      <c r="W807" s="168"/>
      <c r="X807" s="168"/>
      <c r="Y807" s="168"/>
      <c r="Z807" s="168"/>
      <c r="AA807" s="168"/>
    </row>
    <row r="808" customFormat="false" ht="15.75" hidden="false" customHeight="false" outlineLevel="0" collapsed="false">
      <c r="A808" s="168" t="str">
        <f aca="false">IF(ISBLANK(B808),"",B808&amp;"|"&amp;C808)</f>
        <v/>
      </c>
      <c r="B808" s="168"/>
      <c r="C808" s="168"/>
      <c r="D808" s="168"/>
      <c r="E808" s="175"/>
      <c r="F808" s="168"/>
      <c r="G808" s="168"/>
      <c r="H808" s="168"/>
      <c r="I808" s="168"/>
      <c r="J808" s="168"/>
      <c r="K808" s="168"/>
      <c r="L808" s="168"/>
      <c r="M808" s="168"/>
      <c r="N808" s="168"/>
      <c r="O808" s="168"/>
      <c r="P808" s="168"/>
      <c r="Q808" s="168"/>
      <c r="R808" s="168"/>
      <c r="S808" s="168"/>
      <c r="T808" s="168"/>
      <c r="U808" s="168"/>
      <c r="V808" s="168"/>
      <c r="W808" s="168"/>
      <c r="X808" s="168"/>
      <c r="Y808" s="168"/>
      <c r="Z808" s="168"/>
      <c r="AA808" s="168"/>
    </row>
    <row r="809" customFormat="false" ht="15.75" hidden="false" customHeight="false" outlineLevel="0" collapsed="false">
      <c r="A809" s="168" t="str">
        <f aca="false">IF(ISBLANK(B809),"",B809&amp;"|"&amp;C809)</f>
        <v/>
      </c>
      <c r="B809" s="168"/>
      <c r="C809" s="168"/>
      <c r="D809" s="168"/>
      <c r="E809" s="175"/>
      <c r="F809" s="168"/>
      <c r="G809" s="168"/>
      <c r="H809" s="168"/>
      <c r="I809" s="168"/>
      <c r="J809" s="168"/>
      <c r="K809" s="168"/>
      <c r="L809" s="168"/>
      <c r="M809" s="168"/>
      <c r="N809" s="168"/>
      <c r="O809" s="168"/>
      <c r="P809" s="168"/>
      <c r="Q809" s="168"/>
      <c r="R809" s="168"/>
      <c r="S809" s="168"/>
      <c r="T809" s="168"/>
      <c r="U809" s="168"/>
      <c r="V809" s="168"/>
      <c r="W809" s="168"/>
      <c r="X809" s="168"/>
      <c r="Y809" s="168"/>
      <c r="Z809" s="168"/>
      <c r="AA809" s="168"/>
    </row>
    <row r="810" customFormat="false" ht="15.75" hidden="false" customHeight="false" outlineLevel="0" collapsed="false">
      <c r="A810" s="168" t="str">
        <f aca="false">IF(ISBLANK(B810),"",B810&amp;"|"&amp;C810)</f>
        <v/>
      </c>
      <c r="B810" s="168"/>
      <c r="C810" s="168"/>
      <c r="D810" s="168"/>
      <c r="E810" s="175"/>
      <c r="F810" s="168"/>
      <c r="G810" s="168"/>
      <c r="H810" s="168"/>
      <c r="I810" s="168"/>
      <c r="J810" s="168"/>
      <c r="K810" s="168"/>
      <c r="L810" s="168"/>
      <c r="M810" s="168"/>
      <c r="N810" s="168"/>
      <c r="O810" s="168"/>
      <c r="P810" s="168"/>
      <c r="Q810" s="168"/>
      <c r="R810" s="168"/>
      <c r="S810" s="168"/>
      <c r="T810" s="168"/>
      <c r="U810" s="168"/>
      <c r="V810" s="168"/>
      <c r="W810" s="168"/>
      <c r="X810" s="168"/>
      <c r="Y810" s="168"/>
      <c r="Z810" s="168"/>
      <c r="AA810" s="168"/>
    </row>
    <row r="811" customFormat="false" ht="15.75" hidden="false" customHeight="false" outlineLevel="0" collapsed="false">
      <c r="A811" s="168" t="str">
        <f aca="false">IF(ISBLANK(B811),"",B811&amp;"|"&amp;C811)</f>
        <v/>
      </c>
      <c r="B811" s="168"/>
      <c r="C811" s="168"/>
      <c r="D811" s="168"/>
      <c r="E811" s="175"/>
      <c r="F811" s="168"/>
      <c r="G811" s="168"/>
      <c r="H811" s="168"/>
      <c r="I811" s="168"/>
      <c r="J811" s="168"/>
      <c r="K811" s="168"/>
      <c r="L811" s="168"/>
      <c r="M811" s="168"/>
      <c r="N811" s="168"/>
      <c r="O811" s="168"/>
      <c r="P811" s="168"/>
      <c r="Q811" s="168"/>
      <c r="R811" s="168"/>
      <c r="S811" s="168"/>
      <c r="T811" s="168"/>
      <c r="U811" s="168"/>
      <c r="V811" s="168"/>
      <c r="W811" s="168"/>
      <c r="X811" s="168"/>
      <c r="Y811" s="168"/>
      <c r="Z811" s="168"/>
      <c r="AA811" s="168"/>
    </row>
    <row r="812" customFormat="false" ht="15.75" hidden="false" customHeight="false" outlineLevel="0" collapsed="false">
      <c r="A812" s="168" t="str">
        <f aca="false">IF(ISBLANK(B812),"",B812&amp;"|"&amp;C812)</f>
        <v/>
      </c>
      <c r="B812" s="168"/>
      <c r="C812" s="168"/>
      <c r="D812" s="168"/>
      <c r="E812" s="175"/>
      <c r="F812" s="168"/>
      <c r="G812" s="168"/>
      <c r="H812" s="168"/>
      <c r="I812" s="168"/>
      <c r="J812" s="168"/>
      <c r="K812" s="168"/>
      <c r="L812" s="168"/>
      <c r="M812" s="168"/>
      <c r="N812" s="168"/>
      <c r="O812" s="168"/>
      <c r="P812" s="168"/>
      <c r="Q812" s="168"/>
      <c r="R812" s="168"/>
      <c r="S812" s="168"/>
      <c r="T812" s="168"/>
      <c r="U812" s="168"/>
      <c r="V812" s="168"/>
      <c r="W812" s="168"/>
      <c r="X812" s="168"/>
      <c r="Y812" s="168"/>
      <c r="Z812" s="168"/>
      <c r="AA812" s="168"/>
    </row>
    <row r="813" customFormat="false" ht="15.75" hidden="false" customHeight="false" outlineLevel="0" collapsed="false">
      <c r="A813" s="168" t="str">
        <f aca="false">IF(ISBLANK(B813),"",B813&amp;"|"&amp;C813)</f>
        <v/>
      </c>
      <c r="B813" s="168"/>
      <c r="C813" s="168"/>
      <c r="D813" s="168"/>
      <c r="E813" s="175"/>
      <c r="F813" s="168"/>
      <c r="G813" s="168"/>
      <c r="H813" s="168"/>
      <c r="I813" s="168"/>
      <c r="J813" s="168"/>
      <c r="K813" s="168"/>
      <c r="L813" s="168"/>
      <c r="M813" s="168"/>
      <c r="N813" s="168"/>
      <c r="O813" s="168"/>
      <c r="P813" s="168"/>
      <c r="Q813" s="168"/>
      <c r="R813" s="168"/>
      <c r="S813" s="168"/>
      <c r="T813" s="168"/>
      <c r="U813" s="168"/>
      <c r="V813" s="168"/>
      <c r="W813" s="168"/>
      <c r="X813" s="168"/>
      <c r="Y813" s="168"/>
      <c r="Z813" s="168"/>
      <c r="AA813" s="168"/>
    </row>
    <row r="814" customFormat="false" ht="15.75" hidden="false" customHeight="false" outlineLevel="0" collapsed="false">
      <c r="A814" s="168" t="str">
        <f aca="false">IF(ISBLANK(B814),"",B814&amp;"|"&amp;C814)</f>
        <v/>
      </c>
      <c r="B814" s="168"/>
      <c r="C814" s="168"/>
      <c r="D814" s="168"/>
      <c r="E814" s="175"/>
      <c r="F814" s="168"/>
      <c r="G814" s="168"/>
      <c r="H814" s="168"/>
      <c r="I814" s="168"/>
      <c r="J814" s="168"/>
      <c r="K814" s="168"/>
      <c r="L814" s="168"/>
      <c r="M814" s="168"/>
      <c r="N814" s="168"/>
      <c r="O814" s="168"/>
      <c r="P814" s="168"/>
      <c r="Q814" s="168"/>
      <c r="R814" s="168"/>
      <c r="S814" s="168"/>
      <c r="T814" s="168"/>
      <c r="U814" s="168"/>
      <c r="V814" s="168"/>
      <c r="W814" s="168"/>
      <c r="X814" s="168"/>
      <c r="Y814" s="168"/>
      <c r="Z814" s="168"/>
      <c r="AA814" s="168"/>
    </row>
    <row r="815" customFormat="false" ht="15.75" hidden="false" customHeight="false" outlineLevel="0" collapsed="false">
      <c r="A815" s="168" t="str">
        <f aca="false">IF(ISBLANK(B815),"",B815&amp;"|"&amp;C815)</f>
        <v/>
      </c>
      <c r="B815" s="168"/>
      <c r="C815" s="168"/>
      <c r="D815" s="168"/>
      <c r="E815" s="175"/>
      <c r="F815" s="168"/>
      <c r="G815" s="168"/>
      <c r="H815" s="168"/>
      <c r="I815" s="168"/>
      <c r="J815" s="168"/>
      <c r="K815" s="168"/>
      <c r="L815" s="168"/>
      <c r="M815" s="168"/>
      <c r="N815" s="168"/>
      <c r="O815" s="168"/>
      <c r="P815" s="168"/>
      <c r="Q815" s="168"/>
      <c r="R815" s="168"/>
      <c r="S815" s="168"/>
      <c r="T815" s="168"/>
      <c r="U815" s="168"/>
      <c r="V815" s="168"/>
      <c r="W815" s="168"/>
      <c r="X815" s="168"/>
      <c r="Y815" s="168"/>
      <c r="Z815" s="168"/>
      <c r="AA815" s="168"/>
    </row>
    <row r="816" customFormat="false" ht="15.75" hidden="false" customHeight="false" outlineLevel="0" collapsed="false">
      <c r="A816" s="168" t="str">
        <f aca="false">IF(ISBLANK(B816),"",B816&amp;"|"&amp;C816)</f>
        <v/>
      </c>
      <c r="B816" s="168"/>
      <c r="C816" s="168"/>
      <c r="D816" s="168"/>
      <c r="E816" s="175"/>
      <c r="F816" s="168"/>
      <c r="G816" s="168"/>
      <c r="H816" s="168"/>
      <c r="I816" s="168"/>
      <c r="J816" s="168"/>
      <c r="K816" s="168"/>
      <c r="L816" s="168"/>
      <c r="M816" s="168"/>
      <c r="N816" s="168"/>
      <c r="O816" s="168"/>
      <c r="P816" s="168"/>
      <c r="Q816" s="168"/>
      <c r="R816" s="168"/>
      <c r="S816" s="168"/>
      <c r="T816" s="168"/>
      <c r="U816" s="168"/>
      <c r="V816" s="168"/>
      <c r="W816" s="168"/>
      <c r="X816" s="168"/>
      <c r="Y816" s="168"/>
      <c r="Z816" s="168"/>
      <c r="AA816" s="168"/>
    </row>
    <row r="817" customFormat="false" ht="15.75" hidden="false" customHeight="false" outlineLevel="0" collapsed="false">
      <c r="A817" s="168" t="str">
        <f aca="false">IF(ISBLANK(B817),"",B817&amp;"|"&amp;C817)</f>
        <v/>
      </c>
      <c r="B817" s="168"/>
      <c r="C817" s="168"/>
      <c r="D817" s="168"/>
      <c r="E817" s="175"/>
      <c r="F817" s="168"/>
      <c r="G817" s="168"/>
      <c r="H817" s="168"/>
      <c r="I817" s="168"/>
      <c r="J817" s="168"/>
      <c r="K817" s="168"/>
      <c r="L817" s="168"/>
      <c r="M817" s="168"/>
      <c r="N817" s="168"/>
      <c r="O817" s="168"/>
      <c r="P817" s="168"/>
      <c r="Q817" s="168"/>
      <c r="R817" s="168"/>
      <c r="S817" s="168"/>
      <c r="T817" s="168"/>
      <c r="U817" s="168"/>
      <c r="V817" s="168"/>
      <c r="W817" s="168"/>
      <c r="X817" s="168"/>
      <c r="Y817" s="168"/>
      <c r="Z817" s="168"/>
      <c r="AA817" s="168"/>
    </row>
    <row r="818" customFormat="false" ht="15.75" hidden="false" customHeight="false" outlineLevel="0" collapsed="false">
      <c r="A818" s="168" t="str">
        <f aca="false">IF(ISBLANK(B818),"",B818&amp;"|"&amp;C818)</f>
        <v/>
      </c>
      <c r="B818" s="168"/>
      <c r="C818" s="168"/>
      <c r="D818" s="168"/>
      <c r="E818" s="175"/>
      <c r="F818" s="168"/>
      <c r="G818" s="168"/>
      <c r="H818" s="168"/>
      <c r="I818" s="168"/>
      <c r="J818" s="168"/>
      <c r="K818" s="168"/>
      <c r="L818" s="168"/>
      <c r="M818" s="168"/>
      <c r="N818" s="168"/>
      <c r="O818" s="168"/>
      <c r="P818" s="168"/>
      <c r="Q818" s="168"/>
      <c r="R818" s="168"/>
      <c r="S818" s="168"/>
      <c r="T818" s="168"/>
      <c r="U818" s="168"/>
      <c r="V818" s="168"/>
      <c r="W818" s="168"/>
      <c r="X818" s="168"/>
      <c r="Y818" s="168"/>
      <c r="Z818" s="168"/>
      <c r="AA818" s="168"/>
    </row>
    <row r="819" customFormat="false" ht="15.75" hidden="false" customHeight="false" outlineLevel="0" collapsed="false">
      <c r="A819" s="168" t="str">
        <f aca="false">IF(ISBLANK(B819),"",B819&amp;"|"&amp;C819)</f>
        <v/>
      </c>
      <c r="B819" s="168"/>
      <c r="C819" s="168"/>
      <c r="D819" s="168"/>
      <c r="E819" s="175"/>
      <c r="F819" s="168"/>
      <c r="G819" s="168"/>
      <c r="H819" s="168"/>
      <c r="I819" s="168"/>
      <c r="J819" s="168"/>
      <c r="K819" s="168"/>
      <c r="L819" s="168"/>
      <c r="M819" s="168"/>
      <c r="N819" s="168"/>
      <c r="O819" s="168"/>
      <c r="P819" s="168"/>
      <c r="Q819" s="168"/>
      <c r="R819" s="168"/>
      <c r="S819" s="168"/>
      <c r="T819" s="168"/>
      <c r="U819" s="168"/>
      <c r="V819" s="168"/>
      <c r="W819" s="168"/>
      <c r="X819" s="168"/>
      <c r="Y819" s="168"/>
      <c r="Z819" s="168"/>
      <c r="AA819" s="168"/>
    </row>
    <row r="820" customFormat="false" ht="15.75" hidden="false" customHeight="false" outlineLevel="0" collapsed="false">
      <c r="A820" s="168" t="str">
        <f aca="false">IF(ISBLANK(B820),"",B820&amp;"|"&amp;C820)</f>
        <v/>
      </c>
      <c r="B820" s="168"/>
      <c r="C820" s="168"/>
      <c r="D820" s="168"/>
      <c r="E820" s="175"/>
      <c r="F820" s="168"/>
      <c r="G820" s="168"/>
      <c r="H820" s="168"/>
      <c r="I820" s="168"/>
      <c r="J820" s="168"/>
      <c r="K820" s="168"/>
      <c r="L820" s="168"/>
      <c r="M820" s="168"/>
      <c r="N820" s="168"/>
      <c r="O820" s="168"/>
      <c r="P820" s="168"/>
      <c r="Q820" s="168"/>
      <c r="R820" s="168"/>
      <c r="S820" s="168"/>
      <c r="T820" s="168"/>
      <c r="U820" s="168"/>
      <c r="V820" s="168"/>
      <c r="W820" s="168"/>
      <c r="X820" s="168"/>
      <c r="Y820" s="168"/>
      <c r="Z820" s="168"/>
      <c r="AA820" s="168"/>
    </row>
    <row r="821" customFormat="false" ht="15.75" hidden="false" customHeight="false" outlineLevel="0" collapsed="false">
      <c r="A821" s="168" t="str">
        <f aca="false">IF(ISBLANK(B821),"",B821&amp;"|"&amp;C821)</f>
        <v/>
      </c>
      <c r="B821" s="168"/>
      <c r="C821" s="168"/>
      <c r="D821" s="168"/>
      <c r="E821" s="175"/>
      <c r="F821" s="168"/>
      <c r="G821" s="168"/>
      <c r="H821" s="168"/>
      <c r="I821" s="168"/>
      <c r="J821" s="168"/>
      <c r="K821" s="168"/>
      <c r="L821" s="168"/>
      <c r="M821" s="168"/>
      <c r="N821" s="168"/>
      <c r="O821" s="168"/>
      <c r="P821" s="168"/>
      <c r="Q821" s="168"/>
      <c r="R821" s="168"/>
      <c r="S821" s="168"/>
      <c r="T821" s="168"/>
      <c r="U821" s="168"/>
      <c r="V821" s="168"/>
      <c r="W821" s="168"/>
      <c r="X821" s="168"/>
      <c r="Y821" s="168"/>
      <c r="Z821" s="168"/>
      <c r="AA821" s="168"/>
    </row>
    <row r="822" customFormat="false" ht="15.75" hidden="false" customHeight="false" outlineLevel="0" collapsed="false">
      <c r="A822" s="168" t="str">
        <f aca="false">IF(ISBLANK(B822),"",B822&amp;"|"&amp;C822)</f>
        <v/>
      </c>
      <c r="B822" s="168"/>
      <c r="C822" s="168"/>
      <c r="D822" s="168"/>
      <c r="E822" s="175"/>
      <c r="F822" s="168"/>
      <c r="G822" s="168"/>
      <c r="H822" s="168"/>
      <c r="I822" s="168"/>
      <c r="J822" s="168"/>
      <c r="K822" s="168"/>
      <c r="L822" s="168"/>
      <c r="M822" s="168"/>
      <c r="N822" s="168"/>
      <c r="O822" s="168"/>
      <c r="P822" s="168"/>
      <c r="Q822" s="168"/>
      <c r="R822" s="168"/>
      <c r="S822" s="168"/>
      <c r="T822" s="168"/>
      <c r="U822" s="168"/>
      <c r="V822" s="168"/>
      <c r="W822" s="168"/>
      <c r="X822" s="168"/>
      <c r="Y822" s="168"/>
      <c r="Z822" s="168"/>
      <c r="AA822" s="168"/>
    </row>
    <row r="823" customFormat="false" ht="15.75" hidden="false" customHeight="false" outlineLevel="0" collapsed="false">
      <c r="A823" s="168" t="str">
        <f aca="false">IF(ISBLANK(B823),"",B823&amp;"|"&amp;C823)</f>
        <v/>
      </c>
      <c r="B823" s="168"/>
      <c r="C823" s="168"/>
      <c r="D823" s="168"/>
      <c r="E823" s="175"/>
      <c r="F823" s="168"/>
      <c r="G823" s="168"/>
      <c r="H823" s="168"/>
      <c r="I823" s="168"/>
      <c r="J823" s="168"/>
      <c r="K823" s="168"/>
      <c r="L823" s="168"/>
      <c r="M823" s="168"/>
      <c r="N823" s="168"/>
      <c r="O823" s="168"/>
      <c r="P823" s="168"/>
      <c r="Q823" s="168"/>
      <c r="R823" s="168"/>
      <c r="S823" s="168"/>
      <c r="T823" s="168"/>
      <c r="U823" s="168"/>
      <c r="V823" s="168"/>
      <c r="W823" s="168"/>
      <c r="X823" s="168"/>
      <c r="Y823" s="168"/>
      <c r="Z823" s="168"/>
      <c r="AA823" s="168"/>
    </row>
    <row r="824" customFormat="false" ht="15.75" hidden="false" customHeight="false" outlineLevel="0" collapsed="false">
      <c r="A824" s="168" t="str">
        <f aca="false">IF(ISBLANK(B824),"",B824&amp;"|"&amp;C824)</f>
        <v/>
      </c>
      <c r="B824" s="168"/>
      <c r="C824" s="168"/>
      <c r="D824" s="168"/>
      <c r="E824" s="175"/>
      <c r="F824" s="168"/>
      <c r="G824" s="168"/>
      <c r="H824" s="168"/>
      <c r="I824" s="168"/>
      <c r="J824" s="168"/>
      <c r="K824" s="168"/>
      <c r="L824" s="168"/>
      <c r="M824" s="168"/>
      <c r="N824" s="168"/>
      <c r="O824" s="168"/>
      <c r="P824" s="168"/>
      <c r="Q824" s="168"/>
      <c r="R824" s="168"/>
      <c r="S824" s="168"/>
      <c r="T824" s="168"/>
      <c r="U824" s="168"/>
      <c r="V824" s="168"/>
      <c r="W824" s="168"/>
      <c r="X824" s="168"/>
      <c r="Y824" s="168"/>
      <c r="Z824" s="168"/>
      <c r="AA824" s="168"/>
    </row>
    <row r="825" customFormat="false" ht="15.75" hidden="false" customHeight="false" outlineLevel="0" collapsed="false">
      <c r="A825" s="168" t="str">
        <f aca="false">IF(ISBLANK(B825),"",B825&amp;"|"&amp;C825)</f>
        <v/>
      </c>
      <c r="B825" s="168"/>
      <c r="C825" s="168"/>
      <c r="D825" s="168"/>
      <c r="E825" s="175"/>
      <c r="F825" s="168"/>
      <c r="G825" s="168"/>
      <c r="H825" s="168"/>
      <c r="I825" s="168"/>
      <c r="J825" s="168"/>
      <c r="K825" s="168"/>
      <c r="L825" s="168"/>
      <c r="M825" s="168"/>
      <c r="N825" s="168"/>
      <c r="O825" s="168"/>
      <c r="P825" s="168"/>
      <c r="Q825" s="168"/>
      <c r="R825" s="168"/>
      <c r="S825" s="168"/>
      <c r="T825" s="168"/>
      <c r="U825" s="168"/>
      <c r="V825" s="168"/>
      <c r="W825" s="168"/>
      <c r="X825" s="168"/>
      <c r="Y825" s="168"/>
      <c r="Z825" s="168"/>
      <c r="AA825" s="168"/>
    </row>
    <row r="826" customFormat="false" ht="15.75" hidden="false" customHeight="false" outlineLevel="0" collapsed="false">
      <c r="A826" s="168" t="str">
        <f aca="false">IF(ISBLANK(B826),"",B826&amp;"|"&amp;C826)</f>
        <v/>
      </c>
      <c r="B826" s="168"/>
      <c r="C826" s="168"/>
      <c r="D826" s="168"/>
      <c r="E826" s="175"/>
      <c r="F826" s="168"/>
      <c r="G826" s="168"/>
      <c r="H826" s="168"/>
      <c r="I826" s="168"/>
      <c r="J826" s="168"/>
      <c r="K826" s="168"/>
      <c r="L826" s="168"/>
      <c r="M826" s="168"/>
      <c r="N826" s="168"/>
      <c r="O826" s="168"/>
      <c r="P826" s="168"/>
      <c r="Q826" s="168"/>
      <c r="R826" s="168"/>
      <c r="S826" s="168"/>
      <c r="T826" s="168"/>
      <c r="U826" s="168"/>
      <c r="V826" s="168"/>
      <c r="W826" s="168"/>
      <c r="X826" s="168"/>
      <c r="Y826" s="168"/>
      <c r="Z826" s="168"/>
      <c r="AA826" s="168"/>
    </row>
    <row r="827" customFormat="false" ht="15.75" hidden="false" customHeight="false" outlineLevel="0" collapsed="false">
      <c r="A827" s="168" t="str">
        <f aca="false">IF(ISBLANK(B827),"",B827&amp;"|"&amp;C827)</f>
        <v/>
      </c>
      <c r="B827" s="168"/>
      <c r="C827" s="168"/>
      <c r="D827" s="168"/>
      <c r="E827" s="175"/>
      <c r="F827" s="168"/>
      <c r="G827" s="168"/>
      <c r="H827" s="168"/>
      <c r="I827" s="168"/>
      <c r="J827" s="168"/>
      <c r="K827" s="168"/>
      <c r="L827" s="168"/>
      <c r="M827" s="168"/>
      <c r="N827" s="168"/>
      <c r="O827" s="168"/>
      <c r="P827" s="168"/>
      <c r="Q827" s="168"/>
      <c r="R827" s="168"/>
      <c r="S827" s="168"/>
      <c r="T827" s="168"/>
      <c r="U827" s="168"/>
      <c r="V827" s="168"/>
      <c r="W827" s="168"/>
      <c r="X827" s="168"/>
      <c r="Y827" s="168"/>
      <c r="Z827" s="168"/>
      <c r="AA827" s="168"/>
    </row>
    <row r="828" customFormat="false" ht="15.75" hidden="false" customHeight="false" outlineLevel="0" collapsed="false">
      <c r="A828" s="168" t="str">
        <f aca="false">IF(ISBLANK(B828),"",B828&amp;"|"&amp;C828)</f>
        <v/>
      </c>
      <c r="B828" s="168"/>
      <c r="C828" s="168"/>
      <c r="D828" s="168"/>
      <c r="E828" s="175"/>
      <c r="F828" s="168"/>
      <c r="G828" s="168"/>
      <c r="H828" s="168"/>
      <c r="I828" s="168"/>
      <c r="J828" s="168"/>
      <c r="K828" s="168"/>
      <c r="L828" s="168"/>
      <c r="M828" s="168"/>
      <c r="N828" s="168"/>
      <c r="O828" s="168"/>
      <c r="P828" s="168"/>
      <c r="Q828" s="168"/>
      <c r="R828" s="168"/>
      <c r="S828" s="168"/>
      <c r="T828" s="168"/>
      <c r="U828" s="168"/>
      <c r="V828" s="168"/>
      <c r="W828" s="168"/>
      <c r="X828" s="168"/>
      <c r="Y828" s="168"/>
      <c r="Z828" s="168"/>
      <c r="AA828" s="168"/>
    </row>
    <row r="829" customFormat="false" ht="15.75" hidden="false" customHeight="false" outlineLevel="0" collapsed="false">
      <c r="A829" s="168" t="str">
        <f aca="false">IF(ISBLANK(B829),"",B829&amp;"|"&amp;C829)</f>
        <v/>
      </c>
      <c r="B829" s="168"/>
      <c r="C829" s="168"/>
      <c r="D829" s="168"/>
      <c r="E829" s="175"/>
      <c r="F829" s="168"/>
      <c r="G829" s="168"/>
      <c r="H829" s="168"/>
      <c r="I829" s="168"/>
      <c r="J829" s="168"/>
      <c r="K829" s="168"/>
      <c r="L829" s="168"/>
      <c r="M829" s="168"/>
      <c r="N829" s="168"/>
      <c r="O829" s="168"/>
      <c r="P829" s="168"/>
      <c r="Q829" s="168"/>
      <c r="R829" s="168"/>
      <c r="S829" s="168"/>
      <c r="T829" s="168"/>
      <c r="U829" s="168"/>
      <c r="V829" s="168"/>
      <c r="W829" s="168"/>
      <c r="X829" s="168"/>
      <c r="Y829" s="168"/>
      <c r="Z829" s="168"/>
      <c r="AA829" s="168"/>
    </row>
    <row r="830" customFormat="false" ht="15.75" hidden="false" customHeight="false" outlineLevel="0" collapsed="false">
      <c r="A830" s="168" t="str">
        <f aca="false">IF(ISBLANK(B830),"",B830&amp;"|"&amp;C830)</f>
        <v/>
      </c>
      <c r="B830" s="168"/>
      <c r="C830" s="168"/>
      <c r="D830" s="168"/>
      <c r="E830" s="175"/>
      <c r="F830" s="168"/>
      <c r="G830" s="168"/>
      <c r="H830" s="168"/>
      <c r="I830" s="168"/>
      <c r="J830" s="168"/>
      <c r="K830" s="168"/>
      <c r="L830" s="168"/>
      <c r="M830" s="168"/>
      <c r="N830" s="168"/>
      <c r="O830" s="168"/>
      <c r="P830" s="168"/>
      <c r="Q830" s="168"/>
      <c r="R830" s="168"/>
      <c r="S830" s="168"/>
      <c r="T830" s="168"/>
      <c r="U830" s="168"/>
      <c r="V830" s="168"/>
      <c r="W830" s="168"/>
      <c r="X830" s="168"/>
      <c r="Y830" s="168"/>
      <c r="Z830" s="168"/>
      <c r="AA830" s="168"/>
    </row>
    <row r="831" customFormat="false" ht="15.75" hidden="false" customHeight="false" outlineLevel="0" collapsed="false">
      <c r="A831" s="168" t="str">
        <f aca="false">IF(ISBLANK(B831),"",B831&amp;"|"&amp;C831)</f>
        <v/>
      </c>
      <c r="B831" s="168"/>
      <c r="C831" s="168"/>
      <c r="D831" s="168"/>
      <c r="E831" s="175"/>
      <c r="F831" s="168"/>
      <c r="G831" s="168"/>
      <c r="H831" s="168"/>
      <c r="I831" s="168"/>
      <c r="J831" s="168"/>
      <c r="K831" s="168"/>
      <c r="L831" s="168"/>
      <c r="M831" s="168"/>
      <c r="N831" s="168"/>
      <c r="O831" s="168"/>
      <c r="P831" s="168"/>
      <c r="Q831" s="168"/>
      <c r="R831" s="168"/>
      <c r="S831" s="168"/>
      <c r="T831" s="168"/>
      <c r="U831" s="168"/>
      <c r="V831" s="168"/>
      <c r="W831" s="168"/>
      <c r="X831" s="168"/>
      <c r="Y831" s="168"/>
      <c r="Z831" s="168"/>
      <c r="AA831" s="168"/>
    </row>
    <row r="832" customFormat="false" ht="15.75" hidden="false" customHeight="false" outlineLevel="0" collapsed="false">
      <c r="A832" s="168" t="str">
        <f aca="false">IF(ISBLANK(B832),"",B832&amp;"|"&amp;C832)</f>
        <v/>
      </c>
      <c r="B832" s="168"/>
      <c r="C832" s="168"/>
      <c r="D832" s="168"/>
      <c r="E832" s="175"/>
      <c r="F832" s="168"/>
      <c r="G832" s="168"/>
      <c r="H832" s="168"/>
      <c r="I832" s="168"/>
      <c r="J832" s="168"/>
      <c r="K832" s="168"/>
      <c r="L832" s="168"/>
      <c r="M832" s="168"/>
      <c r="N832" s="168"/>
      <c r="O832" s="168"/>
      <c r="P832" s="168"/>
      <c r="Q832" s="168"/>
      <c r="R832" s="168"/>
      <c r="S832" s="168"/>
      <c r="T832" s="168"/>
      <c r="U832" s="168"/>
      <c r="V832" s="168"/>
      <c r="W832" s="168"/>
      <c r="X832" s="168"/>
      <c r="Y832" s="168"/>
      <c r="Z832" s="168"/>
      <c r="AA832" s="168"/>
    </row>
    <row r="833" customFormat="false" ht="15.75" hidden="false" customHeight="false" outlineLevel="0" collapsed="false">
      <c r="A833" s="168" t="str">
        <f aca="false">IF(ISBLANK(B833),"",B833&amp;"|"&amp;C833)</f>
        <v/>
      </c>
      <c r="B833" s="168"/>
      <c r="C833" s="168"/>
      <c r="D833" s="168"/>
      <c r="E833" s="175"/>
      <c r="F833" s="168"/>
      <c r="G833" s="168"/>
      <c r="H833" s="168"/>
      <c r="I833" s="168"/>
      <c r="J833" s="168"/>
      <c r="K833" s="168"/>
      <c r="L833" s="168"/>
      <c r="M833" s="168"/>
      <c r="N833" s="168"/>
      <c r="O833" s="168"/>
      <c r="P833" s="168"/>
      <c r="Q833" s="168"/>
      <c r="R833" s="168"/>
      <c r="S833" s="168"/>
      <c r="T833" s="168"/>
      <c r="U833" s="168"/>
      <c r="V833" s="168"/>
      <c r="W833" s="168"/>
      <c r="X833" s="168"/>
      <c r="Y833" s="168"/>
      <c r="Z833" s="168"/>
      <c r="AA833" s="168"/>
    </row>
    <row r="834" customFormat="false" ht="15.75" hidden="false" customHeight="false" outlineLevel="0" collapsed="false">
      <c r="A834" s="168" t="str">
        <f aca="false">IF(ISBLANK(B834),"",B834&amp;"|"&amp;C834)</f>
        <v/>
      </c>
      <c r="B834" s="168"/>
      <c r="C834" s="168"/>
      <c r="D834" s="168"/>
      <c r="E834" s="175"/>
      <c r="F834" s="168"/>
      <c r="G834" s="168"/>
      <c r="H834" s="168"/>
      <c r="I834" s="168"/>
      <c r="J834" s="168"/>
      <c r="K834" s="168"/>
      <c r="L834" s="168"/>
      <c r="M834" s="168"/>
      <c r="N834" s="168"/>
      <c r="O834" s="168"/>
      <c r="P834" s="168"/>
      <c r="Q834" s="168"/>
      <c r="R834" s="168"/>
      <c r="S834" s="168"/>
      <c r="T834" s="168"/>
      <c r="U834" s="168"/>
      <c r="V834" s="168"/>
      <c r="W834" s="168"/>
      <c r="X834" s="168"/>
      <c r="Y834" s="168"/>
      <c r="Z834" s="168"/>
      <c r="AA834" s="168"/>
    </row>
    <row r="835" customFormat="false" ht="15.75" hidden="false" customHeight="false" outlineLevel="0" collapsed="false">
      <c r="A835" s="168" t="str">
        <f aca="false">IF(ISBLANK(B835),"",B835&amp;"|"&amp;C835)</f>
        <v/>
      </c>
      <c r="B835" s="168"/>
      <c r="C835" s="168"/>
      <c r="D835" s="168"/>
      <c r="E835" s="175"/>
      <c r="F835" s="168"/>
      <c r="G835" s="168"/>
      <c r="H835" s="168"/>
      <c r="I835" s="168"/>
      <c r="J835" s="168"/>
      <c r="K835" s="168"/>
      <c r="L835" s="168"/>
      <c r="M835" s="168"/>
      <c r="N835" s="168"/>
      <c r="O835" s="168"/>
      <c r="P835" s="168"/>
      <c r="Q835" s="168"/>
      <c r="R835" s="168"/>
      <c r="S835" s="168"/>
      <c r="T835" s="168"/>
      <c r="U835" s="168"/>
      <c r="V835" s="168"/>
      <c r="W835" s="168"/>
      <c r="X835" s="168"/>
      <c r="Y835" s="168"/>
      <c r="Z835" s="168"/>
      <c r="AA835" s="168"/>
    </row>
    <row r="836" customFormat="false" ht="15.75" hidden="false" customHeight="false" outlineLevel="0" collapsed="false">
      <c r="A836" s="168" t="str">
        <f aca="false">IF(ISBLANK(B836),"",B836&amp;"|"&amp;C836)</f>
        <v/>
      </c>
      <c r="B836" s="168"/>
      <c r="C836" s="168"/>
      <c r="D836" s="168"/>
      <c r="E836" s="175"/>
      <c r="F836" s="168"/>
      <c r="G836" s="168"/>
      <c r="H836" s="168"/>
      <c r="I836" s="168"/>
      <c r="J836" s="168"/>
      <c r="K836" s="168"/>
      <c r="L836" s="168"/>
      <c r="M836" s="168"/>
      <c r="N836" s="168"/>
      <c r="O836" s="168"/>
      <c r="P836" s="168"/>
      <c r="Q836" s="168"/>
      <c r="R836" s="168"/>
      <c r="S836" s="168"/>
      <c r="T836" s="168"/>
      <c r="U836" s="168"/>
      <c r="V836" s="168"/>
      <c r="W836" s="168"/>
      <c r="X836" s="168"/>
      <c r="Y836" s="168"/>
      <c r="Z836" s="168"/>
      <c r="AA836" s="168"/>
    </row>
    <row r="837" customFormat="false" ht="15.75" hidden="false" customHeight="false" outlineLevel="0" collapsed="false">
      <c r="A837" s="168" t="str">
        <f aca="false">IF(ISBLANK(B837),"",B837&amp;"|"&amp;C837)</f>
        <v/>
      </c>
      <c r="B837" s="168"/>
      <c r="C837" s="168"/>
      <c r="D837" s="168"/>
      <c r="E837" s="175"/>
      <c r="F837" s="168"/>
      <c r="G837" s="168"/>
      <c r="H837" s="168"/>
      <c r="I837" s="168"/>
      <c r="J837" s="168"/>
      <c r="K837" s="168"/>
      <c r="L837" s="168"/>
      <c r="M837" s="168"/>
      <c r="N837" s="168"/>
      <c r="O837" s="168"/>
      <c r="P837" s="168"/>
      <c r="Q837" s="168"/>
      <c r="R837" s="168"/>
      <c r="S837" s="168"/>
      <c r="T837" s="168"/>
      <c r="U837" s="168"/>
      <c r="V837" s="168"/>
      <c r="W837" s="168"/>
      <c r="X837" s="168"/>
      <c r="Y837" s="168"/>
      <c r="Z837" s="168"/>
      <c r="AA837" s="168"/>
    </row>
    <row r="838" customFormat="false" ht="15.75" hidden="false" customHeight="false" outlineLevel="0" collapsed="false">
      <c r="A838" s="168" t="str">
        <f aca="false">IF(ISBLANK(B838),"",B838&amp;"|"&amp;C838)</f>
        <v/>
      </c>
      <c r="B838" s="168"/>
      <c r="C838" s="168"/>
      <c r="D838" s="168"/>
      <c r="E838" s="175"/>
      <c r="F838" s="168"/>
      <c r="G838" s="168"/>
      <c r="H838" s="168"/>
      <c r="I838" s="168"/>
      <c r="J838" s="168"/>
      <c r="K838" s="168"/>
      <c r="L838" s="168"/>
      <c r="M838" s="168"/>
      <c r="N838" s="168"/>
      <c r="O838" s="168"/>
      <c r="P838" s="168"/>
      <c r="Q838" s="168"/>
      <c r="R838" s="168"/>
      <c r="S838" s="168"/>
      <c r="T838" s="168"/>
      <c r="U838" s="168"/>
      <c r="V838" s="168"/>
      <c r="W838" s="168"/>
      <c r="X838" s="168"/>
      <c r="Y838" s="168"/>
      <c r="Z838" s="168"/>
      <c r="AA838" s="168"/>
    </row>
    <row r="839" customFormat="false" ht="15.75" hidden="false" customHeight="false" outlineLevel="0" collapsed="false">
      <c r="A839" s="168" t="str">
        <f aca="false">IF(ISBLANK(B839),"",B839&amp;"|"&amp;C839)</f>
        <v/>
      </c>
      <c r="B839" s="168"/>
      <c r="C839" s="168"/>
      <c r="D839" s="168"/>
      <c r="E839" s="175"/>
      <c r="F839" s="168"/>
      <c r="G839" s="168"/>
      <c r="H839" s="168"/>
      <c r="I839" s="168"/>
      <c r="J839" s="168"/>
      <c r="K839" s="168"/>
      <c r="L839" s="168"/>
      <c r="M839" s="168"/>
      <c r="N839" s="168"/>
      <c r="O839" s="168"/>
      <c r="P839" s="168"/>
      <c r="Q839" s="168"/>
      <c r="R839" s="168"/>
      <c r="S839" s="168"/>
      <c r="T839" s="168"/>
      <c r="U839" s="168"/>
      <c r="V839" s="168"/>
      <c r="W839" s="168"/>
      <c r="X839" s="168"/>
      <c r="Y839" s="168"/>
      <c r="Z839" s="168"/>
      <c r="AA839" s="168"/>
    </row>
    <row r="840" customFormat="false" ht="15.75" hidden="false" customHeight="false" outlineLevel="0" collapsed="false">
      <c r="A840" s="168" t="str">
        <f aca="false">IF(ISBLANK(B840),"",B840&amp;"|"&amp;C840)</f>
        <v/>
      </c>
      <c r="B840" s="168"/>
      <c r="C840" s="168"/>
      <c r="D840" s="168"/>
      <c r="E840" s="175"/>
      <c r="F840" s="168"/>
      <c r="G840" s="168"/>
      <c r="H840" s="168"/>
      <c r="I840" s="168"/>
      <c r="J840" s="168"/>
      <c r="K840" s="168"/>
      <c r="L840" s="168"/>
      <c r="M840" s="168"/>
      <c r="N840" s="168"/>
      <c r="O840" s="168"/>
      <c r="P840" s="168"/>
      <c r="Q840" s="168"/>
      <c r="R840" s="168"/>
      <c r="S840" s="168"/>
      <c r="T840" s="168"/>
      <c r="U840" s="168"/>
      <c r="V840" s="168"/>
      <c r="W840" s="168"/>
      <c r="X840" s="168"/>
      <c r="Y840" s="168"/>
      <c r="Z840" s="168"/>
      <c r="AA840" s="168"/>
    </row>
    <row r="841" customFormat="false" ht="15.75" hidden="false" customHeight="false" outlineLevel="0" collapsed="false">
      <c r="A841" s="168" t="str">
        <f aca="false">IF(ISBLANK(B841),"",B841&amp;"|"&amp;C841)</f>
        <v/>
      </c>
      <c r="B841" s="168"/>
      <c r="C841" s="168"/>
      <c r="D841" s="168"/>
      <c r="E841" s="175"/>
      <c r="F841" s="168"/>
      <c r="G841" s="168"/>
      <c r="H841" s="168"/>
      <c r="I841" s="168"/>
      <c r="J841" s="168"/>
      <c r="K841" s="168"/>
      <c r="L841" s="168"/>
      <c r="M841" s="168"/>
      <c r="N841" s="168"/>
      <c r="O841" s="168"/>
      <c r="P841" s="168"/>
      <c r="Q841" s="168"/>
      <c r="R841" s="168"/>
      <c r="S841" s="168"/>
      <c r="T841" s="168"/>
      <c r="U841" s="168"/>
      <c r="V841" s="168"/>
      <c r="W841" s="168"/>
      <c r="X841" s="168"/>
      <c r="Y841" s="168"/>
      <c r="Z841" s="168"/>
      <c r="AA841" s="168"/>
    </row>
    <row r="842" customFormat="false" ht="15.75" hidden="false" customHeight="false" outlineLevel="0" collapsed="false">
      <c r="A842" s="168" t="str">
        <f aca="false">IF(ISBLANK(B842),"",B842&amp;"|"&amp;C842)</f>
        <v/>
      </c>
      <c r="B842" s="168"/>
      <c r="C842" s="168"/>
      <c r="D842" s="168"/>
      <c r="E842" s="175"/>
      <c r="F842" s="168"/>
      <c r="G842" s="168"/>
      <c r="H842" s="168"/>
      <c r="I842" s="168"/>
      <c r="J842" s="168"/>
      <c r="K842" s="168"/>
      <c r="L842" s="168"/>
      <c r="M842" s="168"/>
      <c r="N842" s="168"/>
      <c r="O842" s="168"/>
      <c r="P842" s="168"/>
      <c r="Q842" s="168"/>
      <c r="R842" s="168"/>
      <c r="S842" s="168"/>
      <c r="T842" s="168"/>
      <c r="U842" s="168"/>
      <c r="V842" s="168"/>
      <c r="W842" s="168"/>
      <c r="X842" s="168"/>
      <c r="Y842" s="168"/>
      <c r="Z842" s="168"/>
      <c r="AA842" s="168"/>
    </row>
    <row r="843" customFormat="false" ht="15.75" hidden="false" customHeight="false" outlineLevel="0" collapsed="false">
      <c r="A843" s="168" t="str">
        <f aca="false">IF(ISBLANK(B843),"",B843&amp;"|"&amp;C843)</f>
        <v/>
      </c>
      <c r="B843" s="168"/>
      <c r="C843" s="168"/>
      <c r="D843" s="168"/>
      <c r="E843" s="175"/>
      <c r="F843" s="168"/>
      <c r="G843" s="168"/>
      <c r="H843" s="168"/>
      <c r="I843" s="168"/>
      <c r="J843" s="168"/>
      <c r="K843" s="168"/>
      <c r="L843" s="168"/>
      <c r="M843" s="168"/>
      <c r="N843" s="168"/>
      <c r="O843" s="168"/>
      <c r="P843" s="168"/>
      <c r="Q843" s="168"/>
      <c r="R843" s="168"/>
      <c r="S843" s="168"/>
      <c r="T843" s="168"/>
      <c r="U843" s="168"/>
      <c r="V843" s="168"/>
      <c r="W843" s="168"/>
      <c r="X843" s="168"/>
      <c r="Y843" s="168"/>
      <c r="Z843" s="168"/>
      <c r="AA843" s="168"/>
    </row>
    <row r="844" customFormat="false" ht="15.75" hidden="false" customHeight="false" outlineLevel="0" collapsed="false">
      <c r="A844" s="168" t="str">
        <f aca="false">IF(ISBLANK(B844),"",B844&amp;"|"&amp;C844)</f>
        <v/>
      </c>
      <c r="B844" s="168"/>
      <c r="C844" s="168"/>
      <c r="D844" s="168"/>
      <c r="E844" s="175"/>
      <c r="F844" s="168"/>
      <c r="G844" s="168"/>
      <c r="H844" s="168"/>
      <c r="I844" s="168"/>
      <c r="J844" s="168"/>
      <c r="K844" s="168"/>
      <c r="L844" s="168"/>
      <c r="M844" s="168"/>
      <c r="N844" s="168"/>
      <c r="O844" s="168"/>
      <c r="P844" s="168"/>
      <c r="Q844" s="168"/>
      <c r="R844" s="168"/>
      <c r="S844" s="168"/>
      <c r="T844" s="168"/>
      <c r="U844" s="168"/>
      <c r="V844" s="168"/>
      <c r="W844" s="168"/>
      <c r="X844" s="168"/>
      <c r="Y844" s="168"/>
      <c r="Z844" s="168"/>
      <c r="AA844" s="168"/>
    </row>
    <row r="845" customFormat="false" ht="15.75" hidden="false" customHeight="false" outlineLevel="0" collapsed="false">
      <c r="A845" s="168" t="str">
        <f aca="false">IF(ISBLANK(B845),"",B845&amp;"|"&amp;C845)</f>
        <v/>
      </c>
      <c r="B845" s="168"/>
      <c r="C845" s="168"/>
      <c r="D845" s="168"/>
      <c r="E845" s="175"/>
      <c r="F845" s="168"/>
      <c r="G845" s="168"/>
      <c r="H845" s="168"/>
      <c r="I845" s="168"/>
      <c r="J845" s="168"/>
      <c r="K845" s="168"/>
      <c r="L845" s="168"/>
      <c r="M845" s="168"/>
      <c r="N845" s="168"/>
      <c r="O845" s="168"/>
      <c r="P845" s="168"/>
      <c r="Q845" s="168"/>
      <c r="R845" s="168"/>
      <c r="S845" s="168"/>
      <c r="T845" s="168"/>
      <c r="U845" s="168"/>
      <c r="V845" s="168"/>
      <c r="W845" s="168"/>
      <c r="X845" s="168"/>
      <c r="Y845" s="168"/>
      <c r="Z845" s="168"/>
      <c r="AA845" s="168"/>
    </row>
    <row r="846" customFormat="false" ht="15.75" hidden="false" customHeight="false" outlineLevel="0" collapsed="false">
      <c r="A846" s="168" t="str">
        <f aca="false">IF(ISBLANK(B846),"",B846&amp;"|"&amp;C846)</f>
        <v/>
      </c>
      <c r="B846" s="168"/>
      <c r="C846" s="168"/>
      <c r="D846" s="168"/>
      <c r="E846" s="175"/>
      <c r="F846" s="168"/>
      <c r="G846" s="168"/>
      <c r="H846" s="168"/>
      <c r="I846" s="168"/>
      <c r="J846" s="168"/>
      <c r="K846" s="168"/>
      <c r="L846" s="168"/>
      <c r="M846" s="168"/>
      <c r="N846" s="168"/>
      <c r="O846" s="168"/>
      <c r="P846" s="168"/>
      <c r="Q846" s="168"/>
      <c r="R846" s="168"/>
      <c r="S846" s="168"/>
      <c r="T846" s="168"/>
      <c r="U846" s="168"/>
      <c r="V846" s="168"/>
      <c r="W846" s="168"/>
      <c r="X846" s="168"/>
      <c r="Y846" s="168"/>
      <c r="Z846" s="168"/>
      <c r="AA846" s="168"/>
    </row>
    <row r="847" customFormat="false" ht="15.75" hidden="false" customHeight="false" outlineLevel="0" collapsed="false">
      <c r="A847" s="168" t="str">
        <f aca="false">IF(ISBLANK(B847),"",B847&amp;"|"&amp;C847)</f>
        <v/>
      </c>
      <c r="B847" s="168"/>
      <c r="C847" s="168"/>
      <c r="D847" s="168"/>
      <c r="E847" s="175"/>
      <c r="F847" s="168"/>
      <c r="G847" s="168"/>
      <c r="H847" s="168"/>
      <c r="I847" s="168"/>
      <c r="J847" s="168"/>
      <c r="K847" s="168"/>
      <c r="L847" s="168"/>
      <c r="M847" s="168"/>
      <c r="N847" s="168"/>
      <c r="O847" s="168"/>
      <c r="P847" s="168"/>
      <c r="Q847" s="168"/>
      <c r="R847" s="168"/>
      <c r="S847" s="168"/>
      <c r="T847" s="168"/>
      <c r="U847" s="168"/>
      <c r="V847" s="168"/>
      <c r="W847" s="168"/>
      <c r="X847" s="168"/>
      <c r="Y847" s="168"/>
      <c r="Z847" s="168"/>
      <c r="AA847" s="168"/>
    </row>
    <row r="848" customFormat="false" ht="15.75" hidden="false" customHeight="false" outlineLevel="0" collapsed="false">
      <c r="A848" s="168" t="str">
        <f aca="false">IF(ISBLANK(B848),"",B848&amp;"|"&amp;C848)</f>
        <v/>
      </c>
      <c r="B848" s="168"/>
      <c r="C848" s="168"/>
      <c r="D848" s="168"/>
      <c r="E848" s="175"/>
      <c r="F848" s="168"/>
      <c r="G848" s="168"/>
      <c r="H848" s="168"/>
      <c r="I848" s="168"/>
      <c r="J848" s="168"/>
      <c r="K848" s="168"/>
      <c r="L848" s="168"/>
      <c r="M848" s="168"/>
      <c r="N848" s="168"/>
      <c r="O848" s="168"/>
      <c r="P848" s="168"/>
      <c r="Q848" s="168"/>
      <c r="R848" s="168"/>
      <c r="S848" s="168"/>
      <c r="T848" s="168"/>
      <c r="U848" s="168"/>
      <c r="V848" s="168"/>
      <c r="W848" s="168"/>
      <c r="X848" s="168"/>
      <c r="Y848" s="168"/>
      <c r="Z848" s="168"/>
      <c r="AA848" s="168"/>
    </row>
    <row r="849" customFormat="false" ht="15.75" hidden="false" customHeight="false" outlineLevel="0" collapsed="false">
      <c r="A849" s="168" t="str">
        <f aca="false">IF(ISBLANK(B849),"",B849&amp;"|"&amp;C849)</f>
        <v/>
      </c>
      <c r="B849" s="168"/>
      <c r="C849" s="168"/>
      <c r="D849" s="168"/>
      <c r="E849" s="175"/>
      <c r="F849" s="168"/>
      <c r="G849" s="168"/>
      <c r="H849" s="168"/>
      <c r="I849" s="168"/>
      <c r="J849" s="168"/>
      <c r="K849" s="168"/>
      <c r="L849" s="168"/>
      <c r="M849" s="168"/>
      <c r="N849" s="168"/>
      <c r="O849" s="168"/>
      <c r="P849" s="168"/>
      <c r="Q849" s="168"/>
      <c r="R849" s="168"/>
      <c r="S849" s="168"/>
      <c r="T849" s="168"/>
      <c r="U849" s="168"/>
      <c r="V849" s="168"/>
      <c r="W849" s="168"/>
      <c r="X849" s="168"/>
      <c r="Y849" s="168"/>
      <c r="Z849" s="168"/>
      <c r="AA849" s="168"/>
    </row>
    <row r="850" customFormat="false" ht="15.75" hidden="false" customHeight="false" outlineLevel="0" collapsed="false">
      <c r="A850" s="168" t="str">
        <f aca="false">IF(ISBLANK(B850),"",B850&amp;"|"&amp;C850)</f>
        <v/>
      </c>
      <c r="B850" s="168"/>
      <c r="C850" s="168"/>
      <c r="D850" s="168"/>
      <c r="E850" s="175"/>
      <c r="F850" s="168"/>
      <c r="G850" s="168"/>
      <c r="H850" s="168"/>
      <c r="I850" s="168"/>
      <c r="J850" s="168"/>
      <c r="K850" s="168"/>
      <c r="L850" s="168"/>
      <c r="M850" s="168"/>
      <c r="N850" s="168"/>
      <c r="O850" s="168"/>
      <c r="P850" s="168"/>
      <c r="Q850" s="168"/>
      <c r="R850" s="168"/>
      <c r="S850" s="168"/>
      <c r="T850" s="168"/>
      <c r="U850" s="168"/>
      <c r="V850" s="168"/>
      <c r="W850" s="168"/>
      <c r="X850" s="168"/>
      <c r="Y850" s="168"/>
      <c r="Z850" s="168"/>
      <c r="AA850" s="168"/>
    </row>
    <row r="851" customFormat="false" ht="15.75" hidden="false" customHeight="false" outlineLevel="0" collapsed="false">
      <c r="A851" s="168" t="str">
        <f aca="false">IF(ISBLANK(B851),"",B851&amp;"|"&amp;C851)</f>
        <v/>
      </c>
      <c r="B851" s="168"/>
      <c r="C851" s="168"/>
      <c r="D851" s="168"/>
      <c r="E851" s="175"/>
      <c r="F851" s="168"/>
      <c r="G851" s="168"/>
      <c r="H851" s="168"/>
      <c r="I851" s="168"/>
      <c r="J851" s="168"/>
      <c r="K851" s="168"/>
      <c r="L851" s="168"/>
      <c r="M851" s="168"/>
      <c r="N851" s="168"/>
      <c r="O851" s="168"/>
      <c r="P851" s="168"/>
      <c r="Q851" s="168"/>
      <c r="R851" s="168"/>
      <c r="S851" s="168"/>
      <c r="T851" s="168"/>
      <c r="U851" s="168"/>
      <c r="V851" s="168"/>
      <c r="W851" s="168"/>
      <c r="X851" s="168"/>
      <c r="Y851" s="168"/>
      <c r="Z851" s="168"/>
      <c r="AA851" s="168"/>
    </row>
    <row r="852" customFormat="false" ht="15.75" hidden="false" customHeight="false" outlineLevel="0" collapsed="false">
      <c r="A852" s="168" t="str">
        <f aca="false">IF(ISBLANK(B852),"",B852&amp;"|"&amp;C852)</f>
        <v/>
      </c>
      <c r="B852" s="168"/>
      <c r="C852" s="168"/>
      <c r="D852" s="168"/>
      <c r="E852" s="175"/>
      <c r="F852" s="168"/>
      <c r="G852" s="168"/>
      <c r="H852" s="168"/>
      <c r="I852" s="168"/>
      <c r="J852" s="168"/>
      <c r="K852" s="168"/>
      <c r="L852" s="168"/>
      <c r="M852" s="168"/>
      <c r="N852" s="168"/>
      <c r="O852" s="168"/>
      <c r="P852" s="168"/>
      <c r="Q852" s="168"/>
      <c r="R852" s="168"/>
      <c r="S852" s="168"/>
      <c r="T852" s="168"/>
      <c r="U852" s="168"/>
      <c r="V852" s="168"/>
      <c r="W852" s="168"/>
      <c r="X852" s="168"/>
      <c r="Y852" s="168"/>
      <c r="Z852" s="168"/>
      <c r="AA852" s="168"/>
    </row>
    <row r="853" customFormat="false" ht="15.75" hidden="false" customHeight="false" outlineLevel="0" collapsed="false">
      <c r="A853" s="168" t="str">
        <f aca="false">IF(ISBLANK(B853),"",B853&amp;"|"&amp;C853)</f>
        <v/>
      </c>
      <c r="B853" s="168"/>
      <c r="C853" s="168"/>
      <c r="D853" s="168"/>
      <c r="E853" s="175"/>
      <c r="F853" s="168"/>
      <c r="G853" s="168"/>
      <c r="H853" s="168"/>
      <c r="I853" s="168"/>
      <c r="J853" s="168"/>
      <c r="K853" s="168"/>
      <c r="L853" s="168"/>
      <c r="M853" s="168"/>
      <c r="N853" s="168"/>
      <c r="O853" s="168"/>
      <c r="P853" s="168"/>
      <c r="Q853" s="168"/>
      <c r="R853" s="168"/>
      <c r="S853" s="168"/>
      <c r="T853" s="168"/>
      <c r="U853" s="168"/>
      <c r="V853" s="168"/>
      <c r="W853" s="168"/>
      <c r="X853" s="168"/>
      <c r="Y853" s="168"/>
      <c r="Z853" s="168"/>
      <c r="AA853" s="168"/>
    </row>
    <row r="854" customFormat="false" ht="15.75" hidden="false" customHeight="false" outlineLevel="0" collapsed="false">
      <c r="A854" s="168" t="str">
        <f aca="false">IF(ISBLANK(B854),"",B854&amp;"|"&amp;C854)</f>
        <v/>
      </c>
      <c r="B854" s="168"/>
      <c r="C854" s="168"/>
      <c r="D854" s="168"/>
      <c r="E854" s="175"/>
      <c r="F854" s="168"/>
      <c r="G854" s="168"/>
      <c r="H854" s="168"/>
      <c r="I854" s="168"/>
      <c r="J854" s="168"/>
      <c r="K854" s="168"/>
      <c r="L854" s="168"/>
      <c r="M854" s="168"/>
      <c r="N854" s="168"/>
      <c r="O854" s="168"/>
      <c r="P854" s="168"/>
      <c r="Q854" s="168"/>
      <c r="R854" s="168"/>
      <c r="S854" s="168"/>
      <c r="T854" s="168"/>
      <c r="U854" s="168"/>
      <c r="V854" s="168"/>
      <c r="W854" s="168"/>
      <c r="X854" s="168"/>
      <c r="Y854" s="168"/>
      <c r="Z854" s="168"/>
      <c r="AA854" s="168"/>
    </row>
    <row r="855" customFormat="false" ht="15.75" hidden="false" customHeight="false" outlineLevel="0" collapsed="false">
      <c r="A855" s="168" t="str">
        <f aca="false">IF(ISBLANK(B855),"",B855&amp;"|"&amp;C855)</f>
        <v/>
      </c>
      <c r="B855" s="168"/>
      <c r="C855" s="168"/>
      <c r="D855" s="168"/>
      <c r="E855" s="175"/>
      <c r="F855" s="168"/>
      <c r="G855" s="168"/>
      <c r="H855" s="168"/>
      <c r="I855" s="168"/>
      <c r="J855" s="168"/>
      <c r="K855" s="168"/>
      <c r="L855" s="168"/>
      <c r="M855" s="168"/>
      <c r="N855" s="168"/>
      <c r="O855" s="168"/>
      <c r="P855" s="168"/>
      <c r="Q855" s="168"/>
      <c r="R855" s="168"/>
      <c r="S855" s="168"/>
      <c r="T855" s="168"/>
      <c r="U855" s="168"/>
      <c r="V855" s="168"/>
      <c r="W855" s="168"/>
      <c r="X855" s="168"/>
      <c r="Y855" s="168"/>
      <c r="Z855" s="168"/>
      <c r="AA855" s="168"/>
    </row>
    <row r="856" customFormat="false" ht="15.75" hidden="false" customHeight="false" outlineLevel="0" collapsed="false">
      <c r="A856" s="168" t="str">
        <f aca="false">IF(ISBLANK(B856),"",B856&amp;"|"&amp;C856)</f>
        <v/>
      </c>
      <c r="B856" s="168"/>
      <c r="C856" s="168"/>
      <c r="D856" s="168"/>
      <c r="E856" s="175"/>
      <c r="F856" s="168"/>
      <c r="G856" s="168"/>
      <c r="H856" s="168"/>
      <c r="I856" s="168"/>
      <c r="J856" s="168"/>
      <c r="K856" s="168"/>
      <c r="L856" s="168"/>
      <c r="M856" s="168"/>
      <c r="N856" s="168"/>
      <c r="O856" s="168"/>
      <c r="P856" s="168"/>
      <c r="Q856" s="168"/>
      <c r="R856" s="168"/>
      <c r="S856" s="168"/>
      <c r="T856" s="168"/>
      <c r="U856" s="168"/>
      <c r="V856" s="168"/>
      <c r="W856" s="168"/>
      <c r="X856" s="168"/>
      <c r="Y856" s="168"/>
      <c r="Z856" s="168"/>
      <c r="AA856" s="168"/>
    </row>
    <row r="857" customFormat="false" ht="15.75" hidden="false" customHeight="false" outlineLevel="0" collapsed="false">
      <c r="A857" s="168" t="str">
        <f aca="false">IF(ISBLANK(B857),"",B857&amp;"|"&amp;C857)</f>
        <v/>
      </c>
      <c r="B857" s="168"/>
      <c r="C857" s="168"/>
      <c r="D857" s="168"/>
      <c r="E857" s="175"/>
      <c r="F857" s="168"/>
      <c r="G857" s="168"/>
      <c r="H857" s="168"/>
      <c r="I857" s="168"/>
      <c r="J857" s="168"/>
      <c r="K857" s="168"/>
      <c r="L857" s="168"/>
      <c r="M857" s="168"/>
      <c r="N857" s="168"/>
      <c r="O857" s="168"/>
      <c r="P857" s="168"/>
      <c r="Q857" s="168"/>
      <c r="R857" s="168"/>
      <c r="S857" s="168"/>
      <c r="T857" s="168"/>
      <c r="U857" s="168"/>
      <c r="V857" s="168"/>
      <c r="W857" s="168"/>
      <c r="X857" s="168"/>
      <c r="Y857" s="168"/>
      <c r="Z857" s="168"/>
      <c r="AA857" s="168"/>
    </row>
    <row r="858" customFormat="false" ht="15.75" hidden="false" customHeight="false" outlineLevel="0" collapsed="false">
      <c r="A858" s="168" t="str">
        <f aca="false">IF(ISBLANK(B858),"",B858&amp;"|"&amp;C858)</f>
        <v/>
      </c>
      <c r="B858" s="168"/>
      <c r="C858" s="168"/>
      <c r="D858" s="168"/>
      <c r="E858" s="175"/>
      <c r="F858" s="168"/>
      <c r="G858" s="168"/>
      <c r="H858" s="168"/>
      <c r="I858" s="168"/>
      <c r="J858" s="168"/>
      <c r="K858" s="168"/>
      <c r="L858" s="168"/>
      <c r="M858" s="168"/>
      <c r="N858" s="168"/>
      <c r="O858" s="168"/>
      <c r="P858" s="168"/>
      <c r="Q858" s="168"/>
      <c r="R858" s="168"/>
      <c r="S858" s="168"/>
      <c r="T858" s="168"/>
      <c r="U858" s="168"/>
      <c r="V858" s="168"/>
      <c r="W858" s="168"/>
      <c r="X858" s="168"/>
      <c r="Y858" s="168"/>
      <c r="Z858" s="168"/>
      <c r="AA858" s="168"/>
    </row>
    <row r="859" customFormat="false" ht="15.75" hidden="false" customHeight="false" outlineLevel="0" collapsed="false">
      <c r="A859" s="168" t="str">
        <f aca="false">IF(ISBLANK(B859),"",B859&amp;"|"&amp;C859)</f>
        <v/>
      </c>
      <c r="B859" s="168"/>
      <c r="C859" s="168"/>
      <c r="D859" s="168"/>
      <c r="E859" s="175"/>
      <c r="F859" s="168"/>
      <c r="G859" s="168"/>
      <c r="H859" s="168"/>
      <c r="I859" s="168"/>
      <c r="J859" s="168"/>
      <c r="K859" s="168"/>
      <c r="L859" s="168"/>
      <c r="M859" s="168"/>
      <c r="N859" s="168"/>
      <c r="O859" s="168"/>
      <c r="P859" s="168"/>
      <c r="Q859" s="168"/>
      <c r="R859" s="168"/>
      <c r="S859" s="168"/>
      <c r="T859" s="168"/>
      <c r="U859" s="168"/>
      <c r="V859" s="168"/>
      <c r="W859" s="168"/>
      <c r="X859" s="168"/>
      <c r="Y859" s="168"/>
      <c r="Z859" s="168"/>
      <c r="AA859" s="168"/>
    </row>
    <row r="860" customFormat="false" ht="15.75" hidden="false" customHeight="false" outlineLevel="0" collapsed="false">
      <c r="A860" s="168" t="str">
        <f aca="false">IF(ISBLANK(B860),"",B860&amp;"|"&amp;C860)</f>
        <v/>
      </c>
      <c r="B860" s="168"/>
      <c r="C860" s="168"/>
      <c r="D860" s="168"/>
      <c r="E860" s="175"/>
      <c r="F860" s="168"/>
      <c r="G860" s="168"/>
      <c r="H860" s="168"/>
      <c r="I860" s="168"/>
      <c r="J860" s="168"/>
      <c r="K860" s="168"/>
      <c r="L860" s="168"/>
      <c r="M860" s="168"/>
      <c r="N860" s="168"/>
      <c r="O860" s="168"/>
      <c r="P860" s="168"/>
      <c r="Q860" s="168"/>
      <c r="R860" s="168"/>
      <c r="S860" s="168"/>
      <c r="T860" s="168"/>
      <c r="U860" s="168"/>
      <c r="V860" s="168"/>
      <c r="W860" s="168"/>
      <c r="X860" s="168"/>
      <c r="Y860" s="168"/>
      <c r="Z860" s="168"/>
      <c r="AA860" s="168"/>
    </row>
    <row r="861" customFormat="false" ht="15.75" hidden="false" customHeight="false" outlineLevel="0" collapsed="false">
      <c r="A861" s="168" t="str">
        <f aca="false">IF(ISBLANK(B861),"",B861&amp;"|"&amp;C861)</f>
        <v/>
      </c>
      <c r="B861" s="168"/>
      <c r="C861" s="168"/>
      <c r="D861" s="168"/>
      <c r="E861" s="175"/>
      <c r="F861" s="168"/>
      <c r="G861" s="168"/>
      <c r="H861" s="168"/>
      <c r="I861" s="168"/>
      <c r="J861" s="168"/>
      <c r="K861" s="168"/>
      <c r="L861" s="168"/>
      <c r="M861" s="168"/>
      <c r="N861" s="168"/>
      <c r="O861" s="168"/>
      <c r="P861" s="168"/>
      <c r="Q861" s="168"/>
      <c r="R861" s="168"/>
      <c r="S861" s="168"/>
      <c r="T861" s="168"/>
      <c r="U861" s="168"/>
      <c r="V861" s="168"/>
      <c r="W861" s="168"/>
      <c r="X861" s="168"/>
      <c r="Y861" s="168"/>
      <c r="Z861" s="168"/>
      <c r="AA861" s="168"/>
    </row>
    <row r="862" customFormat="false" ht="15.75" hidden="false" customHeight="false" outlineLevel="0" collapsed="false">
      <c r="A862" s="168" t="str">
        <f aca="false">IF(ISBLANK(B862),"",B862&amp;"|"&amp;C862)</f>
        <v/>
      </c>
      <c r="B862" s="168"/>
      <c r="C862" s="168"/>
      <c r="D862" s="168"/>
      <c r="E862" s="175"/>
      <c r="F862" s="168"/>
      <c r="G862" s="168"/>
      <c r="H862" s="168"/>
      <c r="I862" s="168"/>
      <c r="J862" s="168"/>
      <c r="K862" s="168"/>
      <c r="L862" s="168"/>
      <c r="M862" s="168"/>
      <c r="N862" s="168"/>
      <c r="O862" s="168"/>
      <c r="P862" s="168"/>
      <c r="Q862" s="168"/>
      <c r="R862" s="168"/>
      <c r="S862" s="168"/>
      <c r="T862" s="168"/>
      <c r="U862" s="168"/>
      <c r="V862" s="168"/>
      <c r="W862" s="168"/>
      <c r="X862" s="168"/>
      <c r="Y862" s="168"/>
      <c r="Z862" s="168"/>
      <c r="AA862" s="168"/>
    </row>
    <row r="863" customFormat="false" ht="15.75" hidden="false" customHeight="false" outlineLevel="0" collapsed="false">
      <c r="A863" s="168" t="str">
        <f aca="false">IF(ISBLANK(B863),"",B863&amp;"|"&amp;C863)</f>
        <v/>
      </c>
      <c r="B863" s="168"/>
      <c r="C863" s="168"/>
      <c r="D863" s="168"/>
      <c r="E863" s="175"/>
      <c r="F863" s="168"/>
      <c r="G863" s="168"/>
      <c r="H863" s="168"/>
      <c r="I863" s="168"/>
      <c r="J863" s="168"/>
      <c r="K863" s="168"/>
      <c r="L863" s="168"/>
      <c r="M863" s="168"/>
      <c r="N863" s="168"/>
      <c r="O863" s="168"/>
      <c r="P863" s="168"/>
      <c r="Q863" s="168"/>
      <c r="R863" s="168"/>
      <c r="S863" s="168"/>
      <c r="T863" s="168"/>
      <c r="U863" s="168"/>
      <c r="V863" s="168"/>
      <c r="W863" s="168"/>
      <c r="X863" s="168"/>
      <c r="Y863" s="168"/>
      <c r="Z863" s="168"/>
      <c r="AA863" s="168"/>
    </row>
    <row r="864" customFormat="false" ht="15.75" hidden="false" customHeight="false" outlineLevel="0" collapsed="false">
      <c r="A864" s="168" t="str">
        <f aca="false">IF(ISBLANK(B864),"",B864&amp;"|"&amp;C864)</f>
        <v/>
      </c>
      <c r="B864" s="168"/>
      <c r="C864" s="168"/>
      <c r="D864" s="168"/>
      <c r="E864" s="175"/>
      <c r="F864" s="168"/>
      <c r="G864" s="168"/>
      <c r="H864" s="168"/>
      <c r="I864" s="168"/>
      <c r="J864" s="168"/>
      <c r="K864" s="168"/>
      <c r="L864" s="168"/>
      <c r="M864" s="168"/>
      <c r="N864" s="168"/>
      <c r="O864" s="168"/>
      <c r="P864" s="168"/>
      <c r="Q864" s="168"/>
      <c r="R864" s="168"/>
      <c r="S864" s="168"/>
      <c r="T864" s="168"/>
      <c r="U864" s="168"/>
      <c r="V864" s="168"/>
      <c r="W864" s="168"/>
      <c r="X864" s="168"/>
      <c r="Y864" s="168"/>
      <c r="Z864" s="168"/>
      <c r="AA864" s="168"/>
    </row>
    <row r="865" customFormat="false" ht="15.75" hidden="false" customHeight="false" outlineLevel="0" collapsed="false">
      <c r="A865" s="168" t="str">
        <f aca="false">IF(ISBLANK(B865),"",B865&amp;"|"&amp;C865)</f>
        <v/>
      </c>
      <c r="B865" s="168"/>
      <c r="C865" s="168"/>
      <c r="D865" s="168"/>
      <c r="E865" s="175"/>
      <c r="F865" s="168"/>
      <c r="G865" s="168"/>
      <c r="H865" s="168"/>
      <c r="I865" s="168"/>
      <c r="J865" s="168"/>
      <c r="K865" s="168"/>
      <c r="L865" s="168"/>
      <c r="M865" s="168"/>
      <c r="N865" s="168"/>
      <c r="O865" s="168"/>
      <c r="P865" s="168"/>
      <c r="Q865" s="168"/>
      <c r="R865" s="168"/>
      <c r="S865" s="168"/>
      <c r="T865" s="168"/>
      <c r="U865" s="168"/>
      <c r="V865" s="168"/>
      <c r="W865" s="168"/>
      <c r="X865" s="168"/>
      <c r="Y865" s="168"/>
      <c r="Z865" s="168"/>
      <c r="AA865" s="168"/>
    </row>
    <row r="866" customFormat="false" ht="15.75" hidden="false" customHeight="false" outlineLevel="0" collapsed="false">
      <c r="A866" s="168" t="str">
        <f aca="false">IF(ISBLANK(B866),"",B866&amp;"|"&amp;C866)</f>
        <v/>
      </c>
      <c r="B866" s="168"/>
      <c r="C866" s="168"/>
      <c r="D866" s="168"/>
      <c r="E866" s="175"/>
      <c r="F866" s="168"/>
      <c r="G866" s="168"/>
      <c r="H866" s="168"/>
      <c r="I866" s="168"/>
      <c r="J866" s="168"/>
      <c r="K866" s="168"/>
      <c r="L866" s="168"/>
      <c r="M866" s="168"/>
      <c r="N866" s="168"/>
      <c r="O866" s="168"/>
      <c r="P866" s="168"/>
      <c r="Q866" s="168"/>
      <c r="R866" s="168"/>
      <c r="S866" s="168"/>
      <c r="T866" s="168"/>
      <c r="U866" s="168"/>
      <c r="V866" s="168"/>
      <c r="W866" s="168"/>
      <c r="X866" s="168"/>
      <c r="Y866" s="168"/>
      <c r="Z866" s="168"/>
      <c r="AA866" s="168"/>
    </row>
    <row r="867" customFormat="false" ht="15.75" hidden="false" customHeight="false" outlineLevel="0" collapsed="false">
      <c r="A867" s="168" t="str">
        <f aca="false">IF(ISBLANK(B867),"",B867&amp;"|"&amp;C867)</f>
        <v/>
      </c>
      <c r="B867" s="168"/>
      <c r="C867" s="168"/>
      <c r="D867" s="168"/>
      <c r="E867" s="175"/>
      <c r="F867" s="168"/>
      <c r="G867" s="168"/>
      <c r="H867" s="168"/>
      <c r="I867" s="168"/>
      <c r="J867" s="168"/>
      <c r="K867" s="168"/>
      <c r="L867" s="168"/>
      <c r="M867" s="168"/>
      <c r="N867" s="168"/>
      <c r="O867" s="168"/>
      <c r="P867" s="168"/>
      <c r="Q867" s="168"/>
      <c r="R867" s="168"/>
      <c r="S867" s="168"/>
      <c r="T867" s="168"/>
      <c r="U867" s="168"/>
      <c r="V867" s="168"/>
      <c r="W867" s="168"/>
      <c r="X867" s="168"/>
      <c r="Y867" s="168"/>
      <c r="Z867" s="168"/>
      <c r="AA867" s="168"/>
    </row>
    <row r="868" customFormat="false" ht="15.75" hidden="false" customHeight="false" outlineLevel="0" collapsed="false">
      <c r="A868" s="168" t="str">
        <f aca="false">IF(ISBLANK(B868),"",B868&amp;"|"&amp;C868)</f>
        <v/>
      </c>
      <c r="B868" s="168"/>
      <c r="C868" s="168"/>
      <c r="D868" s="168"/>
      <c r="E868" s="175"/>
      <c r="F868" s="168"/>
      <c r="G868" s="168"/>
      <c r="H868" s="168"/>
      <c r="I868" s="168"/>
      <c r="J868" s="168"/>
      <c r="K868" s="168"/>
      <c r="L868" s="168"/>
      <c r="M868" s="168"/>
      <c r="N868" s="168"/>
      <c r="O868" s="168"/>
      <c r="P868" s="168"/>
      <c r="Q868" s="168"/>
      <c r="R868" s="168"/>
      <c r="S868" s="168"/>
      <c r="T868" s="168"/>
      <c r="U868" s="168"/>
      <c r="V868" s="168"/>
      <c r="W868" s="168"/>
      <c r="X868" s="168"/>
      <c r="Y868" s="168"/>
      <c r="Z868" s="168"/>
      <c r="AA868" s="168"/>
    </row>
    <row r="869" customFormat="false" ht="15.75" hidden="false" customHeight="false" outlineLevel="0" collapsed="false">
      <c r="A869" s="168" t="str">
        <f aca="false">IF(ISBLANK(B869),"",B869&amp;"|"&amp;C869)</f>
        <v/>
      </c>
      <c r="B869" s="168"/>
      <c r="C869" s="168"/>
      <c r="D869" s="168"/>
      <c r="E869" s="175"/>
      <c r="F869" s="168"/>
      <c r="G869" s="168"/>
      <c r="H869" s="168"/>
      <c r="I869" s="168"/>
      <c r="J869" s="168"/>
      <c r="K869" s="168"/>
      <c r="L869" s="168"/>
      <c r="M869" s="168"/>
      <c r="N869" s="168"/>
      <c r="O869" s="168"/>
      <c r="P869" s="168"/>
      <c r="Q869" s="168"/>
      <c r="R869" s="168"/>
      <c r="S869" s="168"/>
      <c r="T869" s="168"/>
      <c r="U869" s="168"/>
      <c r="V869" s="168"/>
      <c r="W869" s="168"/>
      <c r="X869" s="168"/>
      <c r="Y869" s="168"/>
      <c r="Z869" s="168"/>
      <c r="AA869" s="168"/>
    </row>
    <row r="870" customFormat="false" ht="15.75" hidden="false" customHeight="false" outlineLevel="0" collapsed="false">
      <c r="A870" s="168" t="str">
        <f aca="false">IF(ISBLANK(B870),"",B870&amp;"|"&amp;C870)</f>
        <v/>
      </c>
      <c r="B870" s="168"/>
      <c r="C870" s="168"/>
      <c r="D870" s="168"/>
      <c r="E870" s="175"/>
      <c r="F870" s="168"/>
      <c r="G870" s="168"/>
      <c r="H870" s="168"/>
      <c r="I870" s="168"/>
      <c r="J870" s="168"/>
      <c r="K870" s="168"/>
      <c r="L870" s="168"/>
      <c r="M870" s="168"/>
      <c r="N870" s="168"/>
      <c r="O870" s="168"/>
      <c r="P870" s="168"/>
      <c r="Q870" s="168"/>
      <c r="R870" s="168"/>
      <c r="S870" s="168"/>
      <c r="T870" s="168"/>
      <c r="U870" s="168"/>
      <c r="V870" s="168"/>
      <c r="W870" s="168"/>
      <c r="X870" s="168"/>
      <c r="Y870" s="168"/>
      <c r="Z870" s="168"/>
      <c r="AA870" s="168"/>
    </row>
    <row r="871" customFormat="false" ht="15.75" hidden="false" customHeight="false" outlineLevel="0" collapsed="false">
      <c r="A871" s="168" t="str">
        <f aca="false">IF(ISBLANK(B871),"",B871&amp;"|"&amp;C871)</f>
        <v/>
      </c>
      <c r="B871" s="168"/>
      <c r="C871" s="168"/>
      <c r="D871" s="168"/>
      <c r="E871" s="175"/>
      <c r="F871" s="168"/>
      <c r="G871" s="168"/>
      <c r="H871" s="168"/>
      <c r="I871" s="168"/>
      <c r="J871" s="168"/>
      <c r="K871" s="168"/>
      <c r="L871" s="168"/>
      <c r="M871" s="168"/>
      <c r="N871" s="168"/>
      <c r="O871" s="168"/>
      <c r="P871" s="168"/>
      <c r="Q871" s="168"/>
      <c r="R871" s="168"/>
      <c r="S871" s="168"/>
      <c r="T871" s="168"/>
      <c r="U871" s="168"/>
      <c r="V871" s="168"/>
      <c r="W871" s="168"/>
      <c r="X871" s="168"/>
      <c r="Y871" s="168"/>
      <c r="Z871" s="168"/>
      <c r="AA871" s="168"/>
    </row>
    <row r="872" customFormat="false" ht="15.75" hidden="false" customHeight="false" outlineLevel="0" collapsed="false">
      <c r="A872" s="168" t="str">
        <f aca="false">IF(ISBLANK(B872),"",B872&amp;"|"&amp;C872)</f>
        <v/>
      </c>
      <c r="B872" s="168"/>
      <c r="C872" s="168"/>
      <c r="D872" s="168"/>
      <c r="E872" s="175"/>
      <c r="F872" s="168"/>
      <c r="G872" s="168"/>
      <c r="H872" s="168"/>
      <c r="I872" s="168"/>
      <c r="J872" s="168"/>
      <c r="K872" s="168"/>
      <c r="L872" s="168"/>
      <c r="M872" s="168"/>
      <c r="N872" s="168"/>
      <c r="O872" s="168"/>
      <c r="P872" s="168"/>
      <c r="Q872" s="168"/>
      <c r="R872" s="168"/>
      <c r="S872" s="168"/>
      <c r="T872" s="168"/>
      <c r="U872" s="168"/>
      <c r="V872" s="168"/>
      <c r="W872" s="168"/>
      <c r="X872" s="168"/>
      <c r="Y872" s="168"/>
      <c r="Z872" s="168"/>
      <c r="AA872" s="168"/>
    </row>
    <row r="873" customFormat="false" ht="15.75" hidden="false" customHeight="false" outlineLevel="0" collapsed="false">
      <c r="A873" s="168" t="str">
        <f aca="false">IF(ISBLANK(B873),"",B873&amp;"|"&amp;C873)</f>
        <v/>
      </c>
      <c r="B873" s="168"/>
      <c r="C873" s="168"/>
      <c r="D873" s="168"/>
      <c r="E873" s="175"/>
      <c r="F873" s="168"/>
      <c r="G873" s="168"/>
      <c r="H873" s="168"/>
      <c r="I873" s="168"/>
      <c r="J873" s="168"/>
      <c r="K873" s="168"/>
      <c r="L873" s="168"/>
      <c r="M873" s="168"/>
      <c r="N873" s="168"/>
      <c r="O873" s="168"/>
      <c r="P873" s="168"/>
      <c r="Q873" s="168"/>
      <c r="R873" s="168"/>
      <c r="S873" s="168"/>
      <c r="T873" s="168"/>
      <c r="U873" s="168"/>
      <c r="V873" s="168"/>
      <c r="W873" s="168"/>
      <c r="X873" s="168"/>
      <c r="Y873" s="168"/>
      <c r="Z873" s="168"/>
      <c r="AA873" s="168"/>
    </row>
    <row r="874" customFormat="false" ht="15.75" hidden="false" customHeight="false" outlineLevel="0" collapsed="false">
      <c r="A874" s="168" t="str">
        <f aca="false">IF(ISBLANK(B874),"",B874&amp;"|"&amp;C874)</f>
        <v/>
      </c>
      <c r="B874" s="168"/>
      <c r="C874" s="168"/>
      <c r="D874" s="168"/>
      <c r="E874" s="175"/>
      <c r="F874" s="168"/>
      <c r="G874" s="168"/>
      <c r="H874" s="168"/>
      <c r="I874" s="168"/>
      <c r="J874" s="168"/>
      <c r="K874" s="168"/>
      <c r="L874" s="168"/>
      <c r="M874" s="168"/>
      <c r="N874" s="168"/>
      <c r="O874" s="168"/>
      <c r="P874" s="168"/>
      <c r="Q874" s="168"/>
      <c r="R874" s="168"/>
      <c r="S874" s="168"/>
      <c r="T874" s="168"/>
      <c r="U874" s="168"/>
      <c r="V874" s="168"/>
      <c r="W874" s="168"/>
      <c r="X874" s="168"/>
      <c r="Y874" s="168"/>
      <c r="Z874" s="168"/>
      <c r="AA874" s="168"/>
    </row>
    <row r="875" customFormat="false" ht="15.75" hidden="false" customHeight="false" outlineLevel="0" collapsed="false">
      <c r="A875" s="168" t="str">
        <f aca="false">IF(ISBLANK(B875),"",B875&amp;"|"&amp;C875)</f>
        <v/>
      </c>
      <c r="B875" s="168"/>
      <c r="C875" s="168"/>
      <c r="D875" s="168"/>
      <c r="E875" s="175"/>
      <c r="F875" s="168"/>
      <c r="G875" s="168"/>
      <c r="H875" s="168"/>
      <c r="I875" s="168"/>
      <c r="J875" s="168"/>
      <c r="K875" s="168"/>
      <c r="L875" s="168"/>
      <c r="M875" s="168"/>
      <c r="N875" s="168"/>
      <c r="O875" s="168"/>
      <c r="P875" s="168"/>
      <c r="Q875" s="168"/>
      <c r="R875" s="168"/>
      <c r="S875" s="168"/>
      <c r="T875" s="168"/>
      <c r="U875" s="168"/>
      <c r="V875" s="168"/>
      <c r="W875" s="168"/>
      <c r="X875" s="168"/>
      <c r="Y875" s="168"/>
      <c r="Z875" s="168"/>
      <c r="AA875" s="168"/>
    </row>
    <row r="876" customFormat="false" ht="15.75" hidden="false" customHeight="false" outlineLevel="0" collapsed="false">
      <c r="A876" s="168" t="str">
        <f aca="false">IF(ISBLANK(B876),"",B876&amp;"|"&amp;C876)</f>
        <v/>
      </c>
      <c r="B876" s="168"/>
      <c r="C876" s="168"/>
      <c r="D876" s="168"/>
      <c r="E876" s="175"/>
      <c r="F876" s="168"/>
      <c r="G876" s="168"/>
      <c r="H876" s="168"/>
      <c r="I876" s="168"/>
      <c r="J876" s="168"/>
      <c r="K876" s="168"/>
      <c r="L876" s="168"/>
      <c r="M876" s="168"/>
      <c r="N876" s="168"/>
      <c r="O876" s="168"/>
      <c r="P876" s="168"/>
      <c r="Q876" s="168"/>
      <c r="R876" s="168"/>
      <c r="S876" s="168"/>
      <c r="T876" s="168"/>
      <c r="U876" s="168"/>
      <c r="V876" s="168"/>
      <c r="W876" s="168"/>
      <c r="X876" s="168"/>
      <c r="Y876" s="168"/>
      <c r="Z876" s="168"/>
      <c r="AA876" s="168"/>
    </row>
    <row r="877" customFormat="false" ht="15.75" hidden="false" customHeight="false" outlineLevel="0" collapsed="false">
      <c r="A877" s="168" t="str">
        <f aca="false">IF(ISBLANK(B877),"",B877&amp;"|"&amp;C877)</f>
        <v/>
      </c>
      <c r="B877" s="168"/>
      <c r="C877" s="168"/>
      <c r="D877" s="168"/>
      <c r="E877" s="175"/>
      <c r="F877" s="168"/>
      <c r="G877" s="168"/>
      <c r="H877" s="168"/>
      <c r="I877" s="168"/>
      <c r="J877" s="168"/>
      <c r="K877" s="168"/>
      <c r="L877" s="168"/>
      <c r="M877" s="168"/>
      <c r="N877" s="168"/>
      <c r="O877" s="168"/>
      <c r="P877" s="168"/>
      <c r="Q877" s="168"/>
      <c r="R877" s="168"/>
      <c r="S877" s="168"/>
      <c r="T877" s="168"/>
      <c r="U877" s="168"/>
      <c r="V877" s="168"/>
      <c r="W877" s="168"/>
      <c r="X877" s="168"/>
      <c r="Y877" s="168"/>
      <c r="Z877" s="168"/>
      <c r="AA877" s="168"/>
    </row>
    <row r="878" customFormat="false" ht="15.75" hidden="false" customHeight="false" outlineLevel="0" collapsed="false">
      <c r="A878" s="168" t="str">
        <f aca="false">IF(ISBLANK(B878),"",B878&amp;"|"&amp;C878)</f>
        <v/>
      </c>
      <c r="B878" s="168"/>
      <c r="C878" s="168"/>
      <c r="D878" s="168"/>
      <c r="E878" s="175"/>
      <c r="F878" s="168"/>
      <c r="G878" s="168"/>
      <c r="H878" s="168"/>
      <c r="I878" s="168"/>
      <c r="J878" s="168"/>
      <c r="K878" s="168"/>
      <c r="L878" s="168"/>
      <c r="M878" s="168"/>
      <c r="N878" s="168"/>
      <c r="O878" s="168"/>
      <c r="P878" s="168"/>
      <c r="Q878" s="168"/>
      <c r="R878" s="168"/>
      <c r="S878" s="168"/>
      <c r="T878" s="168"/>
      <c r="U878" s="168"/>
      <c r="V878" s="168"/>
      <c r="W878" s="168"/>
      <c r="X878" s="168"/>
      <c r="Y878" s="168"/>
      <c r="Z878" s="168"/>
      <c r="AA878" s="168"/>
    </row>
    <row r="879" customFormat="false" ht="15.75" hidden="false" customHeight="false" outlineLevel="0" collapsed="false">
      <c r="A879" s="168" t="str">
        <f aca="false">IF(ISBLANK(B879),"",B879&amp;"|"&amp;C879)</f>
        <v/>
      </c>
      <c r="B879" s="168"/>
      <c r="C879" s="168"/>
      <c r="D879" s="168"/>
      <c r="E879" s="175"/>
      <c r="F879" s="168"/>
      <c r="G879" s="168"/>
      <c r="H879" s="168"/>
      <c r="I879" s="168"/>
      <c r="J879" s="168"/>
      <c r="K879" s="168"/>
      <c r="L879" s="168"/>
      <c r="M879" s="168"/>
      <c r="N879" s="168"/>
      <c r="O879" s="168"/>
      <c r="P879" s="168"/>
      <c r="Q879" s="168"/>
      <c r="R879" s="168"/>
      <c r="S879" s="168"/>
      <c r="T879" s="168"/>
      <c r="U879" s="168"/>
      <c r="V879" s="168"/>
      <c r="W879" s="168"/>
      <c r="X879" s="168"/>
      <c r="Y879" s="168"/>
      <c r="Z879" s="168"/>
      <c r="AA879" s="168"/>
    </row>
    <row r="880" customFormat="false" ht="15.75" hidden="false" customHeight="false" outlineLevel="0" collapsed="false">
      <c r="A880" s="168" t="str">
        <f aca="false">IF(ISBLANK(B880),"",B880&amp;"|"&amp;C880)</f>
        <v/>
      </c>
      <c r="B880" s="168"/>
      <c r="C880" s="168"/>
      <c r="D880" s="168"/>
      <c r="E880" s="175"/>
      <c r="F880" s="168"/>
      <c r="G880" s="168"/>
      <c r="H880" s="168"/>
      <c r="I880" s="168"/>
      <c r="J880" s="168"/>
      <c r="K880" s="168"/>
      <c r="L880" s="168"/>
      <c r="M880" s="168"/>
      <c r="N880" s="168"/>
      <c r="O880" s="168"/>
      <c r="P880" s="168"/>
      <c r="Q880" s="168"/>
      <c r="R880" s="168"/>
      <c r="S880" s="168"/>
      <c r="T880" s="168"/>
      <c r="U880" s="168"/>
      <c r="V880" s="168"/>
      <c r="W880" s="168"/>
      <c r="X880" s="168"/>
      <c r="Y880" s="168"/>
      <c r="Z880" s="168"/>
      <c r="AA880" s="168"/>
    </row>
    <row r="881" customFormat="false" ht="15.75" hidden="false" customHeight="false" outlineLevel="0" collapsed="false">
      <c r="A881" s="168" t="str">
        <f aca="false">IF(ISBLANK(B881),"",B881&amp;"|"&amp;C881)</f>
        <v/>
      </c>
      <c r="B881" s="168"/>
      <c r="C881" s="168"/>
      <c r="D881" s="168"/>
      <c r="E881" s="175"/>
      <c r="F881" s="168"/>
      <c r="G881" s="168"/>
      <c r="H881" s="168"/>
      <c r="I881" s="168"/>
      <c r="J881" s="168"/>
      <c r="K881" s="168"/>
      <c r="L881" s="168"/>
      <c r="M881" s="168"/>
      <c r="N881" s="168"/>
      <c r="O881" s="168"/>
      <c r="P881" s="168"/>
      <c r="Q881" s="168"/>
      <c r="R881" s="168"/>
      <c r="S881" s="168"/>
      <c r="T881" s="168"/>
      <c r="U881" s="168"/>
      <c r="V881" s="168"/>
      <c r="W881" s="168"/>
      <c r="X881" s="168"/>
      <c r="Y881" s="168"/>
      <c r="Z881" s="168"/>
      <c r="AA881" s="168"/>
    </row>
    <row r="882" customFormat="false" ht="15.75" hidden="false" customHeight="false" outlineLevel="0" collapsed="false">
      <c r="A882" s="168" t="str">
        <f aca="false">IF(ISBLANK(B882),"",B882&amp;"|"&amp;C882)</f>
        <v/>
      </c>
      <c r="B882" s="168"/>
      <c r="C882" s="168"/>
      <c r="D882" s="168"/>
      <c r="E882" s="175"/>
      <c r="F882" s="168"/>
      <c r="G882" s="168"/>
      <c r="H882" s="168"/>
      <c r="I882" s="168"/>
      <c r="J882" s="168"/>
      <c r="K882" s="168"/>
      <c r="L882" s="168"/>
      <c r="M882" s="168"/>
      <c r="N882" s="168"/>
      <c r="O882" s="168"/>
      <c r="P882" s="168"/>
      <c r="Q882" s="168"/>
      <c r="R882" s="168"/>
      <c r="S882" s="168"/>
      <c r="T882" s="168"/>
      <c r="U882" s="168"/>
      <c r="V882" s="168"/>
      <c r="W882" s="168"/>
      <c r="X882" s="168"/>
      <c r="Y882" s="168"/>
      <c r="Z882" s="168"/>
      <c r="AA882" s="168"/>
    </row>
    <row r="883" customFormat="false" ht="15.75" hidden="false" customHeight="false" outlineLevel="0" collapsed="false">
      <c r="A883" s="168" t="str">
        <f aca="false">IF(ISBLANK(B883),"",B883&amp;"|"&amp;C883)</f>
        <v/>
      </c>
      <c r="B883" s="168"/>
      <c r="C883" s="168"/>
      <c r="D883" s="168"/>
      <c r="E883" s="175"/>
      <c r="F883" s="168"/>
      <c r="G883" s="168"/>
      <c r="H883" s="168"/>
      <c r="I883" s="168"/>
      <c r="J883" s="168"/>
      <c r="K883" s="168"/>
      <c r="L883" s="168"/>
      <c r="M883" s="168"/>
      <c r="N883" s="168"/>
      <c r="O883" s="168"/>
      <c r="P883" s="168"/>
      <c r="Q883" s="168"/>
      <c r="R883" s="168"/>
      <c r="S883" s="168"/>
      <c r="T883" s="168"/>
      <c r="U883" s="168"/>
      <c r="V883" s="168"/>
      <c r="W883" s="168"/>
      <c r="X883" s="168"/>
      <c r="Y883" s="168"/>
      <c r="Z883" s="168"/>
      <c r="AA883" s="168"/>
    </row>
    <row r="884" customFormat="false" ht="15.75" hidden="false" customHeight="false" outlineLevel="0" collapsed="false">
      <c r="A884" s="168" t="str">
        <f aca="false">IF(ISBLANK(B884),"",B884&amp;"|"&amp;C884)</f>
        <v/>
      </c>
      <c r="B884" s="168"/>
      <c r="C884" s="168"/>
      <c r="D884" s="168"/>
      <c r="E884" s="175"/>
      <c r="F884" s="168"/>
      <c r="G884" s="168"/>
      <c r="H884" s="168"/>
      <c r="I884" s="168"/>
      <c r="J884" s="168"/>
      <c r="K884" s="168"/>
      <c r="L884" s="168"/>
      <c r="M884" s="168"/>
      <c r="N884" s="168"/>
      <c r="O884" s="168"/>
      <c r="P884" s="168"/>
      <c r="Q884" s="168"/>
      <c r="R884" s="168"/>
      <c r="S884" s="168"/>
      <c r="T884" s="168"/>
      <c r="U884" s="168"/>
      <c r="V884" s="168"/>
      <c r="W884" s="168"/>
      <c r="X884" s="168"/>
      <c r="Y884" s="168"/>
      <c r="Z884" s="168"/>
      <c r="AA884" s="168"/>
    </row>
    <row r="885" customFormat="false" ht="15.75" hidden="false" customHeight="false" outlineLevel="0" collapsed="false">
      <c r="A885" s="168" t="str">
        <f aca="false">IF(ISBLANK(B885),"",B885&amp;"|"&amp;C885)</f>
        <v/>
      </c>
      <c r="B885" s="168"/>
      <c r="C885" s="168"/>
      <c r="D885" s="168"/>
      <c r="E885" s="175"/>
      <c r="F885" s="168"/>
      <c r="G885" s="168"/>
      <c r="H885" s="168"/>
      <c r="I885" s="168"/>
      <c r="J885" s="168"/>
      <c r="K885" s="168"/>
      <c r="L885" s="168"/>
      <c r="M885" s="168"/>
      <c r="N885" s="168"/>
      <c r="O885" s="168"/>
      <c r="P885" s="168"/>
      <c r="Q885" s="168"/>
      <c r="R885" s="168"/>
      <c r="S885" s="168"/>
      <c r="T885" s="168"/>
      <c r="U885" s="168"/>
      <c r="V885" s="168"/>
      <c r="W885" s="168"/>
      <c r="X885" s="168"/>
      <c r="Y885" s="168"/>
      <c r="Z885" s="168"/>
      <c r="AA885" s="168"/>
    </row>
    <row r="886" customFormat="false" ht="15.75" hidden="false" customHeight="false" outlineLevel="0" collapsed="false">
      <c r="A886" s="168" t="str">
        <f aca="false">IF(ISBLANK(B886),"",B886&amp;"|"&amp;C886)</f>
        <v/>
      </c>
      <c r="B886" s="168"/>
      <c r="C886" s="168"/>
      <c r="D886" s="168"/>
      <c r="E886" s="175"/>
      <c r="F886" s="168"/>
      <c r="G886" s="168"/>
      <c r="H886" s="168"/>
      <c r="I886" s="168"/>
      <c r="J886" s="168"/>
      <c r="K886" s="168"/>
      <c r="L886" s="168"/>
      <c r="M886" s="168"/>
      <c r="N886" s="168"/>
      <c r="O886" s="168"/>
      <c r="P886" s="168"/>
      <c r="Q886" s="168"/>
      <c r="R886" s="168"/>
      <c r="S886" s="168"/>
      <c r="T886" s="168"/>
      <c r="U886" s="168"/>
      <c r="V886" s="168"/>
      <c r="W886" s="168"/>
      <c r="X886" s="168"/>
      <c r="Y886" s="168"/>
      <c r="Z886" s="168"/>
      <c r="AA886" s="168"/>
    </row>
    <row r="887" customFormat="false" ht="15.75" hidden="false" customHeight="false" outlineLevel="0" collapsed="false">
      <c r="A887" s="168" t="str">
        <f aca="false">IF(ISBLANK(B887),"",B887&amp;"|"&amp;C887)</f>
        <v/>
      </c>
      <c r="B887" s="168"/>
      <c r="C887" s="168"/>
      <c r="D887" s="168"/>
      <c r="E887" s="175"/>
      <c r="F887" s="168"/>
      <c r="G887" s="168"/>
      <c r="H887" s="168"/>
      <c r="I887" s="168"/>
      <c r="J887" s="168"/>
      <c r="K887" s="168"/>
      <c r="L887" s="168"/>
      <c r="M887" s="168"/>
      <c r="N887" s="168"/>
      <c r="O887" s="168"/>
      <c r="P887" s="168"/>
      <c r="Q887" s="168"/>
      <c r="R887" s="168"/>
      <c r="S887" s="168"/>
      <c r="T887" s="168"/>
      <c r="U887" s="168"/>
      <c r="V887" s="168"/>
      <c r="W887" s="168"/>
      <c r="X887" s="168"/>
      <c r="Y887" s="168"/>
      <c r="Z887" s="168"/>
      <c r="AA887" s="168"/>
    </row>
    <row r="888" customFormat="false" ht="15.75" hidden="false" customHeight="false" outlineLevel="0" collapsed="false">
      <c r="A888" s="168" t="str">
        <f aca="false">IF(ISBLANK(B888),"",B888&amp;"|"&amp;C888)</f>
        <v/>
      </c>
      <c r="B888" s="168"/>
      <c r="C888" s="168"/>
      <c r="D888" s="168"/>
      <c r="E888" s="175"/>
      <c r="F888" s="168"/>
      <c r="G888" s="168"/>
      <c r="H888" s="168"/>
      <c r="I888" s="168"/>
      <c r="J888" s="168"/>
      <c r="K888" s="168"/>
      <c r="L888" s="168"/>
      <c r="M888" s="168"/>
      <c r="N888" s="168"/>
      <c r="O888" s="168"/>
      <c r="P888" s="168"/>
      <c r="Q888" s="168"/>
      <c r="R888" s="168"/>
      <c r="S888" s="168"/>
      <c r="T888" s="168"/>
      <c r="U888" s="168"/>
      <c r="V888" s="168"/>
      <c r="W888" s="168"/>
      <c r="X888" s="168"/>
      <c r="Y888" s="168"/>
      <c r="Z888" s="168"/>
      <c r="AA888" s="168"/>
    </row>
    <row r="889" customFormat="false" ht="15.75" hidden="false" customHeight="false" outlineLevel="0" collapsed="false">
      <c r="A889" s="168" t="str">
        <f aca="false">IF(ISBLANK(B889),"",B889&amp;"|"&amp;C889)</f>
        <v/>
      </c>
      <c r="B889" s="168"/>
      <c r="C889" s="168"/>
      <c r="D889" s="168"/>
      <c r="E889" s="175"/>
      <c r="F889" s="168"/>
      <c r="G889" s="168"/>
      <c r="H889" s="168"/>
      <c r="I889" s="168"/>
      <c r="J889" s="168"/>
      <c r="K889" s="168"/>
      <c r="L889" s="168"/>
      <c r="M889" s="168"/>
      <c r="N889" s="168"/>
      <c r="O889" s="168"/>
      <c r="P889" s="168"/>
      <c r="Q889" s="168"/>
      <c r="R889" s="168"/>
      <c r="S889" s="168"/>
      <c r="T889" s="168"/>
      <c r="U889" s="168"/>
      <c r="V889" s="168"/>
      <c r="W889" s="168"/>
      <c r="X889" s="168"/>
      <c r="Y889" s="168"/>
      <c r="Z889" s="168"/>
      <c r="AA889" s="168"/>
    </row>
    <row r="890" customFormat="false" ht="15.75" hidden="false" customHeight="false" outlineLevel="0" collapsed="false">
      <c r="A890" s="168" t="str">
        <f aca="false">IF(ISBLANK(B890),"",B890&amp;"|"&amp;C890)</f>
        <v/>
      </c>
      <c r="B890" s="168"/>
      <c r="C890" s="168"/>
      <c r="D890" s="168"/>
      <c r="E890" s="175"/>
      <c r="F890" s="168"/>
      <c r="G890" s="168"/>
      <c r="H890" s="168"/>
      <c r="I890" s="168"/>
      <c r="J890" s="168"/>
      <c r="K890" s="168"/>
      <c r="L890" s="168"/>
      <c r="M890" s="168"/>
      <c r="N890" s="168"/>
      <c r="O890" s="168"/>
      <c r="P890" s="168"/>
      <c r="Q890" s="168"/>
      <c r="R890" s="168"/>
      <c r="S890" s="168"/>
      <c r="T890" s="168"/>
      <c r="U890" s="168"/>
      <c r="V890" s="168"/>
      <c r="W890" s="168"/>
      <c r="X890" s="168"/>
      <c r="Y890" s="168"/>
      <c r="Z890" s="168"/>
      <c r="AA890" s="168"/>
    </row>
    <row r="891" customFormat="false" ht="15.75" hidden="false" customHeight="false" outlineLevel="0" collapsed="false">
      <c r="A891" s="168" t="str">
        <f aca="false">IF(ISBLANK(B891),"",B891&amp;"|"&amp;C891)</f>
        <v/>
      </c>
      <c r="B891" s="168"/>
      <c r="C891" s="168"/>
      <c r="D891" s="168"/>
      <c r="E891" s="175"/>
      <c r="F891" s="168"/>
      <c r="G891" s="168"/>
      <c r="H891" s="168"/>
      <c r="I891" s="168"/>
      <c r="J891" s="168"/>
      <c r="K891" s="168"/>
      <c r="L891" s="168"/>
      <c r="M891" s="168"/>
      <c r="N891" s="168"/>
      <c r="O891" s="168"/>
      <c r="P891" s="168"/>
      <c r="Q891" s="168"/>
      <c r="R891" s="168"/>
      <c r="S891" s="168"/>
      <c r="T891" s="168"/>
      <c r="U891" s="168"/>
      <c r="V891" s="168"/>
      <c r="W891" s="168"/>
      <c r="X891" s="168"/>
      <c r="Y891" s="168"/>
      <c r="Z891" s="168"/>
      <c r="AA891" s="168"/>
    </row>
    <row r="892" customFormat="false" ht="15.75" hidden="false" customHeight="false" outlineLevel="0" collapsed="false">
      <c r="A892" s="168" t="str">
        <f aca="false">IF(ISBLANK(B892),"",B892&amp;"|"&amp;C892)</f>
        <v/>
      </c>
      <c r="B892" s="168"/>
      <c r="C892" s="168"/>
      <c r="D892" s="168"/>
      <c r="E892" s="175"/>
      <c r="F892" s="168"/>
      <c r="G892" s="168"/>
      <c r="H892" s="168"/>
      <c r="I892" s="168"/>
      <c r="J892" s="168"/>
      <c r="K892" s="168"/>
      <c r="L892" s="168"/>
      <c r="M892" s="168"/>
      <c r="N892" s="168"/>
      <c r="O892" s="168"/>
      <c r="P892" s="168"/>
      <c r="Q892" s="168"/>
      <c r="R892" s="168"/>
      <c r="S892" s="168"/>
      <c r="T892" s="168"/>
      <c r="U892" s="168"/>
      <c r="V892" s="168"/>
      <c r="W892" s="168"/>
      <c r="X892" s="168"/>
      <c r="Y892" s="168"/>
      <c r="Z892" s="168"/>
      <c r="AA892" s="168"/>
    </row>
    <row r="893" customFormat="false" ht="15.75" hidden="false" customHeight="false" outlineLevel="0" collapsed="false">
      <c r="A893" s="168" t="str">
        <f aca="false">IF(ISBLANK(B893),"",B893&amp;"|"&amp;C893)</f>
        <v/>
      </c>
      <c r="B893" s="168"/>
      <c r="C893" s="168"/>
      <c r="D893" s="168"/>
      <c r="E893" s="175"/>
      <c r="F893" s="168"/>
      <c r="G893" s="168"/>
      <c r="H893" s="168"/>
      <c r="I893" s="168"/>
      <c r="J893" s="168"/>
      <c r="K893" s="168"/>
      <c r="L893" s="168"/>
      <c r="M893" s="168"/>
      <c r="N893" s="168"/>
      <c r="O893" s="168"/>
      <c r="P893" s="168"/>
      <c r="Q893" s="168"/>
      <c r="R893" s="168"/>
      <c r="S893" s="168"/>
      <c r="T893" s="168"/>
      <c r="U893" s="168"/>
      <c r="V893" s="168"/>
      <c r="W893" s="168"/>
      <c r="X893" s="168"/>
      <c r="Y893" s="168"/>
      <c r="Z893" s="168"/>
      <c r="AA893" s="168"/>
    </row>
    <row r="894" customFormat="false" ht="15.75" hidden="false" customHeight="false" outlineLevel="0" collapsed="false">
      <c r="A894" s="168" t="str">
        <f aca="false">IF(ISBLANK(B894),"",B894&amp;"|"&amp;C894)</f>
        <v/>
      </c>
      <c r="B894" s="168"/>
      <c r="C894" s="168"/>
      <c r="D894" s="168"/>
      <c r="E894" s="175"/>
      <c r="F894" s="168"/>
      <c r="G894" s="168"/>
      <c r="H894" s="168"/>
      <c r="I894" s="168"/>
      <c r="J894" s="168"/>
      <c r="K894" s="168"/>
      <c r="L894" s="168"/>
      <c r="M894" s="168"/>
      <c r="N894" s="168"/>
      <c r="O894" s="168"/>
      <c r="P894" s="168"/>
      <c r="Q894" s="168"/>
      <c r="R894" s="168"/>
      <c r="S894" s="168"/>
      <c r="T894" s="168"/>
      <c r="U894" s="168"/>
      <c r="V894" s="168"/>
      <c r="W894" s="168"/>
      <c r="X894" s="168"/>
      <c r="Y894" s="168"/>
      <c r="Z894" s="168"/>
      <c r="AA894" s="168"/>
    </row>
    <row r="895" customFormat="false" ht="15.75" hidden="false" customHeight="false" outlineLevel="0" collapsed="false">
      <c r="A895" s="168" t="str">
        <f aca="false">IF(ISBLANK(B895),"",B895&amp;"|"&amp;C895)</f>
        <v/>
      </c>
      <c r="B895" s="168"/>
      <c r="C895" s="168"/>
      <c r="D895" s="168"/>
      <c r="E895" s="175"/>
      <c r="F895" s="168"/>
      <c r="G895" s="168"/>
      <c r="H895" s="168"/>
      <c r="I895" s="168"/>
      <c r="J895" s="168"/>
      <c r="K895" s="168"/>
      <c r="L895" s="168"/>
      <c r="M895" s="168"/>
      <c r="N895" s="168"/>
      <c r="O895" s="168"/>
      <c r="P895" s="168"/>
      <c r="Q895" s="168"/>
      <c r="R895" s="168"/>
      <c r="S895" s="168"/>
      <c r="T895" s="168"/>
      <c r="U895" s="168"/>
      <c r="V895" s="168"/>
      <c r="W895" s="168"/>
      <c r="X895" s="168"/>
      <c r="Y895" s="168"/>
      <c r="Z895" s="168"/>
      <c r="AA895" s="168"/>
    </row>
    <row r="896" customFormat="false" ht="15.75" hidden="false" customHeight="false" outlineLevel="0" collapsed="false">
      <c r="A896" s="168" t="str">
        <f aca="false">IF(ISBLANK(B896),"",B896&amp;"|"&amp;C896)</f>
        <v/>
      </c>
      <c r="B896" s="168"/>
      <c r="C896" s="168"/>
      <c r="D896" s="168"/>
      <c r="E896" s="175"/>
      <c r="F896" s="168"/>
      <c r="G896" s="168"/>
      <c r="H896" s="168"/>
      <c r="I896" s="168"/>
      <c r="J896" s="168"/>
      <c r="K896" s="168"/>
      <c r="L896" s="168"/>
      <c r="M896" s="168"/>
      <c r="N896" s="168"/>
      <c r="O896" s="168"/>
      <c r="P896" s="168"/>
      <c r="Q896" s="168"/>
      <c r="R896" s="168"/>
      <c r="S896" s="168"/>
      <c r="T896" s="168"/>
      <c r="U896" s="168"/>
      <c r="V896" s="168"/>
      <c r="W896" s="168"/>
      <c r="X896" s="168"/>
      <c r="Y896" s="168"/>
      <c r="Z896" s="168"/>
      <c r="AA896" s="168"/>
    </row>
    <row r="897" customFormat="false" ht="15.75" hidden="false" customHeight="false" outlineLevel="0" collapsed="false">
      <c r="A897" s="168" t="str">
        <f aca="false">IF(ISBLANK(B897),"",B897&amp;"|"&amp;C897)</f>
        <v/>
      </c>
      <c r="B897" s="168"/>
      <c r="C897" s="168"/>
      <c r="D897" s="168"/>
      <c r="E897" s="175"/>
      <c r="F897" s="168"/>
      <c r="G897" s="168"/>
      <c r="H897" s="168"/>
      <c r="I897" s="168"/>
      <c r="J897" s="168"/>
      <c r="K897" s="168"/>
      <c r="L897" s="168"/>
      <c r="M897" s="168"/>
      <c r="N897" s="168"/>
      <c r="O897" s="168"/>
      <c r="P897" s="168"/>
      <c r="Q897" s="168"/>
      <c r="R897" s="168"/>
      <c r="S897" s="168"/>
      <c r="T897" s="168"/>
      <c r="U897" s="168"/>
      <c r="V897" s="168"/>
      <c r="W897" s="168"/>
      <c r="X897" s="168"/>
      <c r="Y897" s="168"/>
      <c r="Z897" s="168"/>
      <c r="AA897" s="168"/>
    </row>
    <row r="898" customFormat="false" ht="15.75" hidden="false" customHeight="false" outlineLevel="0" collapsed="false">
      <c r="A898" s="168" t="str">
        <f aca="false">IF(ISBLANK(B898),"",B898&amp;"|"&amp;C898)</f>
        <v/>
      </c>
      <c r="B898" s="168"/>
      <c r="C898" s="168"/>
      <c r="D898" s="168"/>
      <c r="E898" s="175"/>
      <c r="F898" s="168"/>
      <c r="G898" s="168"/>
      <c r="H898" s="168"/>
      <c r="I898" s="168"/>
      <c r="J898" s="168"/>
      <c r="K898" s="168"/>
      <c r="L898" s="168"/>
      <c r="M898" s="168"/>
      <c r="N898" s="168"/>
      <c r="O898" s="168"/>
      <c r="P898" s="168"/>
      <c r="Q898" s="168"/>
      <c r="R898" s="168"/>
      <c r="S898" s="168"/>
      <c r="T898" s="168"/>
      <c r="U898" s="168"/>
      <c r="V898" s="168"/>
      <c r="W898" s="168"/>
      <c r="X898" s="168"/>
      <c r="Y898" s="168"/>
      <c r="Z898" s="168"/>
      <c r="AA898" s="168"/>
    </row>
    <row r="899" customFormat="false" ht="15.75" hidden="false" customHeight="false" outlineLevel="0" collapsed="false">
      <c r="A899" s="168" t="str">
        <f aca="false">IF(ISBLANK(B899),"",B899&amp;"|"&amp;C899)</f>
        <v/>
      </c>
      <c r="B899" s="168"/>
      <c r="C899" s="168"/>
      <c r="D899" s="168"/>
      <c r="E899" s="175"/>
      <c r="F899" s="168"/>
      <c r="G899" s="168"/>
      <c r="H899" s="168"/>
      <c r="I899" s="168"/>
      <c r="J899" s="168"/>
      <c r="K899" s="168"/>
      <c r="L899" s="168"/>
      <c r="M899" s="168"/>
      <c r="N899" s="168"/>
      <c r="O899" s="168"/>
      <c r="P899" s="168"/>
      <c r="Q899" s="168"/>
      <c r="R899" s="168"/>
      <c r="S899" s="168"/>
      <c r="T899" s="168"/>
      <c r="U899" s="168"/>
      <c r="V899" s="168"/>
      <c r="W899" s="168"/>
      <c r="X899" s="168"/>
      <c r="Y899" s="168"/>
      <c r="Z899" s="168"/>
      <c r="AA899" s="168"/>
    </row>
    <row r="900" customFormat="false" ht="15.75" hidden="false" customHeight="false" outlineLevel="0" collapsed="false">
      <c r="A900" s="168" t="str">
        <f aca="false">IF(ISBLANK(B900),"",B900&amp;"|"&amp;C900)</f>
        <v/>
      </c>
      <c r="B900" s="168"/>
      <c r="C900" s="168"/>
      <c r="D900" s="168"/>
      <c r="E900" s="175"/>
      <c r="F900" s="168"/>
      <c r="G900" s="168"/>
      <c r="H900" s="168"/>
      <c r="I900" s="168"/>
      <c r="J900" s="168"/>
      <c r="K900" s="168"/>
      <c r="L900" s="168"/>
      <c r="M900" s="168"/>
      <c r="N900" s="168"/>
      <c r="O900" s="168"/>
      <c r="P900" s="168"/>
      <c r="Q900" s="168"/>
      <c r="R900" s="168"/>
      <c r="S900" s="168"/>
      <c r="T900" s="168"/>
      <c r="U900" s="168"/>
      <c r="V900" s="168"/>
      <c r="W900" s="168"/>
      <c r="X900" s="168"/>
      <c r="Y900" s="168"/>
      <c r="Z900" s="168"/>
      <c r="AA900" s="168"/>
    </row>
    <row r="901" customFormat="false" ht="15.75" hidden="false" customHeight="false" outlineLevel="0" collapsed="false">
      <c r="A901" s="168" t="str">
        <f aca="false">IF(ISBLANK(B901),"",B901&amp;"|"&amp;C901)</f>
        <v/>
      </c>
      <c r="B901" s="168"/>
      <c r="C901" s="168"/>
      <c r="D901" s="168"/>
      <c r="E901" s="175"/>
      <c r="F901" s="168"/>
      <c r="G901" s="168"/>
      <c r="H901" s="168"/>
      <c r="I901" s="168"/>
      <c r="J901" s="168"/>
      <c r="K901" s="168"/>
      <c r="L901" s="168"/>
      <c r="M901" s="168"/>
      <c r="N901" s="168"/>
      <c r="O901" s="168"/>
      <c r="P901" s="168"/>
      <c r="Q901" s="168"/>
      <c r="R901" s="168"/>
      <c r="S901" s="168"/>
      <c r="T901" s="168"/>
      <c r="U901" s="168"/>
      <c r="V901" s="168"/>
      <c r="W901" s="168"/>
      <c r="X901" s="168"/>
      <c r="Y901" s="168"/>
      <c r="Z901" s="168"/>
      <c r="AA901" s="168"/>
    </row>
    <row r="902" customFormat="false" ht="15.75" hidden="false" customHeight="false" outlineLevel="0" collapsed="false">
      <c r="A902" s="168" t="str">
        <f aca="false">IF(ISBLANK(B902),"",B902&amp;"|"&amp;C902)</f>
        <v/>
      </c>
      <c r="B902" s="168"/>
      <c r="C902" s="168"/>
      <c r="D902" s="168"/>
      <c r="E902" s="175"/>
      <c r="F902" s="168"/>
      <c r="G902" s="168"/>
      <c r="H902" s="168"/>
      <c r="I902" s="168"/>
      <c r="J902" s="168"/>
      <c r="K902" s="168"/>
      <c r="L902" s="168"/>
      <c r="M902" s="168"/>
      <c r="N902" s="168"/>
      <c r="O902" s="168"/>
      <c r="P902" s="168"/>
      <c r="Q902" s="168"/>
      <c r="R902" s="168"/>
      <c r="S902" s="168"/>
      <c r="T902" s="168"/>
      <c r="U902" s="168"/>
      <c r="V902" s="168"/>
      <c r="W902" s="168"/>
      <c r="X902" s="168"/>
      <c r="Y902" s="168"/>
      <c r="Z902" s="168"/>
      <c r="AA902" s="168"/>
    </row>
    <row r="903" customFormat="false" ht="15.75" hidden="false" customHeight="false" outlineLevel="0" collapsed="false">
      <c r="A903" s="168" t="str">
        <f aca="false">IF(ISBLANK(B903),"",B903&amp;"|"&amp;C903)</f>
        <v/>
      </c>
      <c r="B903" s="168"/>
      <c r="C903" s="168"/>
      <c r="D903" s="168"/>
      <c r="E903" s="175"/>
      <c r="F903" s="168"/>
      <c r="G903" s="168"/>
      <c r="H903" s="168"/>
      <c r="I903" s="168"/>
      <c r="J903" s="168"/>
      <c r="K903" s="168"/>
      <c r="L903" s="168"/>
      <c r="M903" s="168"/>
      <c r="N903" s="168"/>
      <c r="O903" s="168"/>
      <c r="P903" s="168"/>
      <c r="Q903" s="168"/>
      <c r="R903" s="168"/>
      <c r="S903" s="168"/>
      <c r="T903" s="168"/>
      <c r="U903" s="168"/>
      <c r="V903" s="168"/>
      <c r="W903" s="168"/>
      <c r="X903" s="168"/>
      <c r="Y903" s="168"/>
      <c r="Z903" s="168"/>
      <c r="AA903" s="168"/>
    </row>
    <row r="904" customFormat="false" ht="15.75" hidden="false" customHeight="false" outlineLevel="0" collapsed="false">
      <c r="A904" s="168" t="str">
        <f aca="false">IF(ISBLANK(B904),"",B904&amp;"|"&amp;C904)</f>
        <v/>
      </c>
      <c r="B904" s="168"/>
      <c r="C904" s="168"/>
      <c r="D904" s="168"/>
      <c r="E904" s="175"/>
      <c r="F904" s="168"/>
      <c r="G904" s="168"/>
      <c r="H904" s="168"/>
      <c r="I904" s="168"/>
      <c r="J904" s="168"/>
      <c r="K904" s="168"/>
      <c r="L904" s="168"/>
      <c r="M904" s="168"/>
      <c r="N904" s="168"/>
      <c r="O904" s="168"/>
      <c r="P904" s="168"/>
      <c r="Q904" s="168"/>
      <c r="R904" s="168"/>
      <c r="S904" s="168"/>
      <c r="T904" s="168"/>
      <c r="U904" s="168"/>
      <c r="V904" s="168"/>
      <c r="W904" s="168"/>
      <c r="X904" s="168"/>
      <c r="Y904" s="168"/>
      <c r="Z904" s="168"/>
      <c r="AA904" s="168"/>
    </row>
    <row r="905" customFormat="false" ht="15.75" hidden="false" customHeight="false" outlineLevel="0" collapsed="false">
      <c r="A905" s="168" t="str">
        <f aca="false">IF(ISBLANK(B905),"",B905&amp;"|"&amp;C905)</f>
        <v/>
      </c>
      <c r="B905" s="168"/>
      <c r="C905" s="168"/>
      <c r="D905" s="168"/>
      <c r="E905" s="175"/>
      <c r="F905" s="168"/>
      <c r="G905" s="168"/>
      <c r="H905" s="168"/>
      <c r="I905" s="168"/>
      <c r="J905" s="168"/>
      <c r="K905" s="168"/>
      <c r="L905" s="168"/>
      <c r="M905" s="168"/>
      <c r="N905" s="168"/>
      <c r="O905" s="168"/>
      <c r="P905" s="168"/>
      <c r="Q905" s="168"/>
      <c r="R905" s="168"/>
      <c r="S905" s="168"/>
      <c r="T905" s="168"/>
      <c r="U905" s="168"/>
      <c r="V905" s="168"/>
      <c r="W905" s="168"/>
      <c r="X905" s="168"/>
      <c r="Y905" s="168"/>
      <c r="Z905" s="168"/>
      <c r="AA905" s="168"/>
    </row>
    <row r="906" customFormat="false" ht="15.75" hidden="false" customHeight="false" outlineLevel="0" collapsed="false">
      <c r="A906" s="168" t="str">
        <f aca="false">IF(ISBLANK(B906),"",B906&amp;"|"&amp;C906)</f>
        <v/>
      </c>
      <c r="B906" s="168"/>
      <c r="C906" s="168"/>
      <c r="D906" s="168"/>
      <c r="E906" s="175"/>
      <c r="F906" s="168"/>
      <c r="G906" s="168"/>
      <c r="H906" s="168"/>
      <c r="I906" s="168"/>
      <c r="J906" s="168"/>
      <c r="K906" s="168"/>
      <c r="L906" s="168"/>
      <c r="M906" s="168"/>
      <c r="N906" s="168"/>
      <c r="O906" s="168"/>
      <c r="P906" s="168"/>
      <c r="Q906" s="168"/>
      <c r="R906" s="168"/>
      <c r="S906" s="168"/>
      <c r="T906" s="168"/>
      <c r="U906" s="168"/>
      <c r="V906" s="168"/>
      <c r="W906" s="168"/>
      <c r="X906" s="168"/>
      <c r="Y906" s="168"/>
      <c r="Z906" s="168"/>
      <c r="AA906" s="168"/>
    </row>
    <row r="907" customFormat="false" ht="15.75" hidden="false" customHeight="false" outlineLevel="0" collapsed="false">
      <c r="A907" s="168" t="str">
        <f aca="false">IF(ISBLANK(B907),"",B907&amp;"|"&amp;C907)</f>
        <v/>
      </c>
      <c r="B907" s="168"/>
      <c r="C907" s="168"/>
      <c r="D907" s="168"/>
      <c r="E907" s="175"/>
      <c r="F907" s="168"/>
      <c r="G907" s="168"/>
      <c r="H907" s="168"/>
      <c r="I907" s="168"/>
      <c r="J907" s="168"/>
      <c r="K907" s="168"/>
      <c r="L907" s="168"/>
      <c r="M907" s="168"/>
      <c r="N907" s="168"/>
      <c r="O907" s="168"/>
      <c r="P907" s="168"/>
      <c r="Q907" s="168"/>
      <c r="R907" s="168"/>
      <c r="S907" s="168"/>
      <c r="T907" s="168"/>
      <c r="U907" s="168"/>
      <c r="V907" s="168"/>
      <c r="W907" s="168"/>
      <c r="X907" s="168"/>
      <c r="Y907" s="168"/>
      <c r="Z907" s="168"/>
      <c r="AA907" s="168"/>
    </row>
    <row r="908" customFormat="false" ht="15.75" hidden="false" customHeight="false" outlineLevel="0" collapsed="false">
      <c r="A908" s="168" t="str">
        <f aca="false">IF(ISBLANK(B908),"",B908&amp;"|"&amp;C908)</f>
        <v/>
      </c>
      <c r="B908" s="168"/>
      <c r="C908" s="168"/>
      <c r="D908" s="168"/>
      <c r="E908" s="175"/>
      <c r="F908" s="168"/>
      <c r="G908" s="168"/>
      <c r="H908" s="168"/>
      <c r="I908" s="168"/>
      <c r="J908" s="168"/>
      <c r="K908" s="168"/>
      <c r="L908" s="168"/>
      <c r="M908" s="168"/>
      <c r="N908" s="168"/>
      <c r="O908" s="168"/>
      <c r="P908" s="168"/>
      <c r="Q908" s="168"/>
      <c r="R908" s="168"/>
      <c r="S908" s="168"/>
      <c r="T908" s="168"/>
      <c r="U908" s="168"/>
      <c r="V908" s="168"/>
      <c r="W908" s="168"/>
      <c r="X908" s="168"/>
      <c r="Y908" s="168"/>
      <c r="Z908" s="168"/>
      <c r="AA908" s="168"/>
    </row>
    <row r="909" customFormat="false" ht="15.75" hidden="false" customHeight="false" outlineLevel="0" collapsed="false">
      <c r="A909" s="168" t="str">
        <f aca="false">IF(ISBLANK(B909),"",B909&amp;"|"&amp;C909)</f>
        <v/>
      </c>
      <c r="B909" s="168"/>
      <c r="C909" s="168"/>
      <c r="D909" s="168"/>
      <c r="E909" s="175"/>
      <c r="F909" s="168"/>
      <c r="G909" s="168"/>
      <c r="H909" s="168"/>
      <c r="I909" s="168"/>
      <c r="J909" s="168"/>
      <c r="K909" s="168"/>
      <c r="L909" s="168"/>
      <c r="M909" s="168"/>
      <c r="N909" s="168"/>
      <c r="O909" s="168"/>
      <c r="P909" s="168"/>
      <c r="Q909" s="168"/>
      <c r="R909" s="168"/>
      <c r="S909" s="168"/>
      <c r="T909" s="168"/>
      <c r="U909" s="168"/>
      <c r="V909" s="168"/>
      <c r="W909" s="168"/>
      <c r="X909" s="168"/>
      <c r="Y909" s="168"/>
      <c r="Z909" s="168"/>
      <c r="AA909" s="168"/>
    </row>
    <row r="910" customFormat="false" ht="15.75" hidden="false" customHeight="false" outlineLevel="0" collapsed="false">
      <c r="A910" s="168" t="str">
        <f aca="false">IF(ISBLANK(B910),"",B910&amp;"|"&amp;C910)</f>
        <v/>
      </c>
      <c r="B910" s="168"/>
      <c r="C910" s="168"/>
      <c r="D910" s="168"/>
      <c r="E910" s="175"/>
      <c r="F910" s="168"/>
      <c r="G910" s="168"/>
      <c r="H910" s="168"/>
      <c r="I910" s="168"/>
      <c r="J910" s="168"/>
      <c r="K910" s="168"/>
      <c r="L910" s="168"/>
      <c r="M910" s="168"/>
      <c r="N910" s="168"/>
      <c r="O910" s="168"/>
      <c r="P910" s="168"/>
      <c r="Q910" s="168"/>
      <c r="R910" s="168"/>
      <c r="S910" s="168"/>
      <c r="T910" s="168"/>
      <c r="U910" s="168"/>
      <c r="V910" s="168"/>
      <c r="W910" s="168"/>
      <c r="X910" s="168"/>
      <c r="Y910" s="168"/>
      <c r="Z910" s="168"/>
      <c r="AA910" s="168"/>
    </row>
    <row r="911" customFormat="false" ht="15.75" hidden="false" customHeight="false" outlineLevel="0" collapsed="false">
      <c r="A911" s="168" t="str">
        <f aca="false">IF(ISBLANK(B911),"",B911&amp;"|"&amp;C911)</f>
        <v/>
      </c>
      <c r="B911" s="168"/>
      <c r="C911" s="168"/>
      <c r="D911" s="168"/>
      <c r="E911" s="175"/>
      <c r="F911" s="168"/>
      <c r="G911" s="168"/>
      <c r="H911" s="168"/>
      <c r="I911" s="168"/>
      <c r="J911" s="168"/>
      <c r="K911" s="168"/>
      <c r="L911" s="168"/>
      <c r="M911" s="168"/>
      <c r="N911" s="168"/>
      <c r="O911" s="168"/>
      <c r="P911" s="168"/>
      <c r="Q911" s="168"/>
      <c r="R911" s="168"/>
      <c r="S911" s="168"/>
      <c r="T911" s="168"/>
      <c r="U911" s="168"/>
      <c r="V911" s="168"/>
      <c r="W911" s="168"/>
      <c r="X911" s="168"/>
      <c r="Y911" s="168"/>
      <c r="Z911" s="168"/>
      <c r="AA911" s="168"/>
    </row>
    <row r="912" customFormat="false" ht="15.75" hidden="false" customHeight="false" outlineLevel="0" collapsed="false">
      <c r="A912" s="168" t="str">
        <f aca="false">IF(ISBLANK(B912),"",B912&amp;"|"&amp;C912)</f>
        <v/>
      </c>
      <c r="B912" s="168"/>
      <c r="C912" s="168"/>
      <c r="D912" s="168"/>
      <c r="E912" s="175"/>
      <c r="F912" s="168"/>
      <c r="G912" s="168"/>
      <c r="H912" s="168"/>
      <c r="I912" s="168"/>
      <c r="J912" s="168"/>
      <c r="K912" s="168"/>
      <c r="L912" s="168"/>
      <c r="M912" s="168"/>
      <c r="N912" s="168"/>
      <c r="O912" s="168"/>
      <c r="P912" s="168"/>
      <c r="Q912" s="168"/>
      <c r="R912" s="168"/>
      <c r="S912" s="168"/>
      <c r="T912" s="168"/>
      <c r="U912" s="168"/>
      <c r="V912" s="168"/>
      <c r="W912" s="168"/>
      <c r="X912" s="168"/>
      <c r="Y912" s="168"/>
      <c r="Z912" s="168"/>
      <c r="AA912" s="168"/>
    </row>
    <row r="913" customFormat="false" ht="15.75" hidden="false" customHeight="false" outlineLevel="0" collapsed="false">
      <c r="A913" s="168" t="str">
        <f aca="false">IF(ISBLANK(B913),"",B913&amp;"|"&amp;C913)</f>
        <v/>
      </c>
      <c r="B913" s="168"/>
      <c r="C913" s="168"/>
      <c r="D913" s="168"/>
      <c r="E913" s="175"/>
      <c r="F913" s="168"/>
      <c r="G913" s="168"/>
      <c r="H913" s="168"/>
      <c r="I913" s="168"/>
      <c r="J913" s="168"/>
      <c r="K913" s="168"/>
      <c r="L913" s="168"/>
      <c r="M913" s="168"/>
      <c r="N913" s="168"/>
      <c r="O913" s="168"/>
      <c r="P913" s="168"/>
      <c r="Q913" s="168"/>
      <c r="R913" s="168"/>
      <c r="S913" s="168"/>
      <c r="T913" s="168"/>
      <c r="U913" s="168"/>
      <c r="V913" s="168"/>
      <c r="W913" s="168"/>
      <c r="X913" s="168"/>
      <c r="Y913" s="168"/>
      <c r="Z913" s="168"/>
      <c r="AA913" s="168"/>
    </row>
    <row r="914" customFormat="false" ht="15.75" hidden="false" customHeight="false" outlineLevel="0" collapsed="false">
      <c r="A914" s="168" t="str">
        <f aca="false">IF(ISBLANK(B914),"",B914&amp;"|"&amp;C914)</f>
        <v/>
      </c>
      <c r="B914" s="168"/>
      <c r="C914" s="168"/>
      <c r="D914" s="168"/>
      <c r="E914" s="175"/>
      <c r="F914" s="168"/>
      <c r="G914" s="168"/>
      <c r="H914" s="168"/>
      <c r="I914" s="168"/>
      <c r="J914" s="168"/>
      <c r="K914" s="168"/>
      <c r="L914" s="168"/>
      <c r="M914" s="168"/>
      <c r="N914" s="168"/>
      <c r="O914" s="168"/>
      <c r="P914" s="168"/>
      <c r="Q914" s="168"/>
      <c r="R914" s="168"/>
      <c r="S914" s="168"/>
      <c r="T914" s="168"/>
      <c r="U914" s="168"/>
      <c r="V914" s="168"/>
      <c r="W914" s="168"/>
      <c r="X914" s="168"/>
      <c r="Y914" s="168"/>
      <c r="Z914" s="168"/>
      <c r="AA914" s="168"/>
    </row>
    <row r="915" customFormat="false" ht="15.75" hidden="false" customHeight="false" outlineLevel="0" collapsed="false">
      <c r="A915" s="168" t="str">
        <f aca="false">IF(ISBLANK(B915),"",B915&amp;"|"&amp;C915)</f>
        <v/>
      </c>
      <c r="B915" s="168"/>
      <c r="C915" s="168"/>
      <c r="D915" s="168"/>
      <c r="E915" s="175"/>
      <c r="F915" s="168"/>
      <c r="G915" s="168"/>
      <c r="H915" s="168"/>
      <c r="I915" s="168"/>
      <c r="J915" s="168"/>
      <c r="K915" s="168"/>
      <c r="L915" s="168"/>
      <c r="M915" s="168"/>
      <c r="N915" s="168"/>
      <c r="O915" s="168"/>
      <c r="P915" s="168"/>
      <c r="Q915" s="168"/>
      <c r="R915" s="168"/>
      <c r="S915" s="168"/>
      <c r="T915" s="168"/>
      <c r="U915" s="168"/>
      <c r="V915" s="168"/>
      <c r="W915" s="168"/>
      <c r="X915" s="168"/>
      <c r="Y915" s="168"/>
      <c r="Z915" s="168"/>
      <c r="AA915" s="168"/>
    </row>
    <row r="916" customFormat="false" ht="15.75" hidden="false" customHeight="false" outlineLevel="0" collapsed="false">
      <c r="A916" s="168" t="str">
        <f aca="false">IF(ISBLANK(B916),"",B916&amp;"|"&amp;C916)</f>
        <v/>
      </c>
      <c r="B916" s="168"/>
      <c r="C916" s="168"/>
      <c r="D916" s="168"/>
      <c r="E916" s="175"/>
      <c r="F916" s="168"/>
      <c r="G916" s="168"/>
      <c r="H916" s="168"/>
      <c r="I916" s="168"/>
      <c r="J916" s="168"/>
      <c r="K916" s="168"/>
      <c r="L916" s="168"/>
      <c r="M916" s="168"/>
      <c r="N916" s="168"/>
      <c r="O916" s="168"/>
      <c r="P916" s="168"/>
      <c r="Q916" s="168"/>
      <c r="R916" s="168"/>
      <c r="S916" s="168"/>
      <c r="T916" s="168"/>
      <c r="U916" s="168"/>
      <c r="V916" s="168"/>
      <c r="W916" s="168"/>
      <c r="X916" s="168"/>
      <c r="Y916" s="168"/>
      <c r="Z916" s="168"/>
      <c r="AA916" s="168"/>
    </row>
    <row r="917" customFormat="false" ht="15.75" hidden="false" customHeight="false" outlineLevel="0" collapsed="false">
      <c r="A917" s="168" t="str">
        <f aca="false">IF(ISBLANK(B917),"",B917&amp;"|"&amp;C917)</f>
        <v/>
      </c>
      <c r="B917" s="168"/>
      <c r="C917" s="168"/>
      <c r="D917" s="168"/>
      <c r="E917" s="175"/>
      <c r="F917" s="168"/>
      <c r="G917" s="168"/>
      <c r="H917" s="168"/>
      <c r="I917" s="168"/>
      <c r="J917" s="168"/>
      <c r="K917" s="168"/>
      <c r="L917" s="168"/>
      <c r="M917" s="168"/>
      <c r="N917" s="168"/>
      <c r="O917" s="168"/>
      <c r="P917" s="168"/>
      <c r="Q917" s="168"/>
      <c r="R917" s="168"/>
      <c r="S917" s="168"/>
      <c r="T917" s="168"/>
      <c r="U917" s="168"/>
      <c r="V917" s="168"/>
      <c r="W917" s="168"/>
      <c r="X917" s="168"/>
      <c r="Y917" s="168"/>
      <c r="Z917" s="168"/>
      <c r="AA917" s="168"/>
    </row>
    <row r="918" customFormat="false" ht="15.75" hidden="false" customHeight="false" outlineLevel="0" collapsed="false">
      <c r="A918" s="168" t="str">
        <f aca="false">IF(ISBLANK(B918),"",B918&amp;"|"&amp;C918)</f>
        <v/>
      </c>
      <c r="B918" s="168"/>
      <c r="C918" s="168"/>
      <c r="D918" s="168"/>
      <c r="E918" s="175"/>
      <c r="F918" s="168"/>
      <c r="G918" s="168"/>
      <c r="H918" s="168"/>
      <c r="I918" s="168"/>
      <c r="J918" s="168"/>
      <c r="K918" s="168"/>
      <c r="L918" s="168"/>
      <c r="M918" s="168"/>
      <c r="N918" s="168"/>
      <c r="O918" s="168"/>
      <c r="P918" s="168"/>
      <c r="Q918" s="168"/>
      <c r="R918" s="168"/>
      <c r="S918" s="168"/>
      <c r="T918" s="168"/>
      <c r="U918" s="168"/>
      <c r="V918" s="168"/>
      <c r="W918" s="168"/>
      <c r="X918" s="168"/>
      <c r="Y918" s="168"/>
      <c r="Z918" s="168"/>
      <c r="AA918" s="168"/>
    </row>
    <row r="919" customFormat="false" ht="15.75" hidden="false" customHeight="false" outlineLevel="0" collapsed="false">
      <c r="A919" s="168" t="str">
        <f aca="false">IF(ISBLANK(B919),"",B919&amp;"|"&amp;C919)</f>
        <v/>
      </c>
      <c r="B919" s="168"/>
      <c r="C919" s="168"/>
      <c r="D919" s="168"/>
      <c r="E919" s="175"/>
      <c r="F919" s="168"/>
      <c r="G919" s="168"/>
      <c r="H919" s="168"/>
      <c r="I919" s="168"/>
      <c r="J919" s="168"/>
      <c r="K919" s="168"/>
      <c r="L919" s="168"/>
      <c r="M919" s="168"/>
      <c r="N919" s="168"/>
      <c r="O919" s="168"/>
      <c r="P919" s="168"/>
      <c r="Q919" s="168"/>
      <c r="R919" s="168"/>
      <c r="S919" s="168"/>
      <c r="T919" s="168"/>
      <c r="U919" s="168"/>
      <c r="V919" s="168"/>
      <c r="W919" s="168"/>
      <c r="X919" s="168"/>
      <c r="Y919" s="168"/>
      <c r="Z919" s="168"/>
      <c r="AA919" s="168"/>
    </row>
    <row r="920" customFormat="false" ht="15.75" hidden="false" customHeight="false" outlineLevel="0" collapsed="false">
      <c r="A920" s="168" t="str">
        <f aca="false">IF(ISBLANK(B920),"",B920&amp;"|"&amp;C920)</f>
        <v/>
      </c>
      <c r="B920" s="168"/>
      <c r="C920" s="168"/>
      <c r="D920" s="168"/>
      <c r="E920" s="175"/>
      <c r="F920" s="168"/>
      <c r="G920" s="168"/>
      <c r="H920" s="168"/>
      <c r="I920" s="168"/>
      <c r="J920" s="168"/>
      <c r="K920" s="168"/>
      <c r="L920" s="168"/>
      <c r="M920" s="168"/>
      <c r="N920" s="168"/>
      <c r="O920" s="168"/>
      <c r="P920" s="168"/>
      <c r="Q920" s="168"/>
      <c r="R920" s="168"/>
      <c r="S920" s="168"/>
      <c r="T920" s="168"/>
      <c r="U920" s="168"/>
      <c r="V920" s="168"/>
      <c r="W920" s="168"/>
      <c r="X920" s="168"/>
      <c r="Y920" s="168"/>
      <c r="Z920" s="168"/>
      <c r="AA920" s="168"/>
    </row>
    <row r="921" customFormat="false" ht="15.75" hidden="false" customHeight="false" outlineLevel="0" collapsed="false">
      <c r="A921" s="168" t="str">
        <f aca="false">IF(ISBLANK(B921),"",B921&amp;"|"&amp;C921)</f>
        <v/>
      </c>
      <c r="B921" s="168"/>
      <c r="C921" s="168"/>
      <c r="D921" s="168"/>
      <c r="E921" s="175"/>
      <c r="F921" s="168"/>
      <c r="G921" s="168"/>
      <c r="H921" s="168"/>
      <c r="I921" s="168"/>
      <c r="J921" s="168"/>
      <c r="K921" s="168"/>
      <c r="L921" s="168"/>
      <c r="M921" s="168"/>
      <c r="N921" s="168"/>
      <c r="O921" s="168"/>
      <c r="P921" s="168"/>
      <c r="Q921" s="168"/>
      <c r="R921" s="168"/>
      <c r="S921" s="168"/>
      <c r="T921" s="168"/>
      <c r="U921" s="168"/>
      <c r="V921" s="168"/>
      <c r="W921" s="168"/>
      <c r="X921" s="168"/>
      <c r="Y921" s="168"/>
      <c r="Z921" s="168"/>
      <c r="AA921" s="168"/>
    </row>
    <row r="922" customFormat="false" ht="15.75" hidden="false" customHeight="false" outlineLevel="0" collapsed="false">
      <c r="A922" s="168" t="str">
        <f aca="false">IF(ISBLANK(B922),"",B922&amp;"|"&amp;C922)</f>
        <v/>
      </c>
      <c r="B922" s="168"/>
      <c r="C922" s="168"/>
      <c r="D922" s="168"/>
      <c r="E922" s="175"/>
      <c r="F922" s="168"/>
      <c r="G922" s="168"/>
      <c r="H922" s="168"/>
      <c r="I922" s="168"/>
      <c r="J922" s="168"/>
      <c r="K922" s="168"/>
      <c r="L922" s="168"/>
      <c r="M922" s="168"/>
      <c r="N922" s="168"/>
      <c r="O922" s="168"/>
      <c r="P922" s="168"/>
      <c r="Q922" s="168"/>
      <c r="R922" s="168"/>
      <c r="S922" s="168"/>
      <c r="T922" s="168"/>
      <c r="U922" s="168"/>
      <c r="V922" s="168"/>
      <c r="W922" s="168"/>
      <c r="X922" s="168"/>
      <c r="Y922" s="168"/>
      <c r="Z922" s="168"/>
      <c r="AA922" s="168"/>
    </row>
    <row r="923" customFormat="false" ht="15.75" hidden="false" customHeight="false" outlineLevel="0" collapsed="false">
      <c r="A923" s="168" t="str">
        <f aca="false">IF(ISBLANK(B923),"",B923&amp;"|"&amp;C923)</f>
        <v/>
      </c>
      <c r="B923" s="168"/>
      <c r="C923" s="168"/>
      <c r="D923" s="168"/>
      <c r="E923" s="175"/>
      <c r="F923" s="168"/>
      <c r="G923" s="168"/>
      <c r="H923" s="168"/>
      <c r="I923" s="168"/>
      <c r="J923" s="168"/>
      <c r="K923" s="168"/>
      <c r="L923" s="168"/>
      <c r="M923" s="168"/>
      <c r="N923" s="168"/>
      <c r="O923" s="168"/>
      <c r="P923" s="168"/>
      <c r="Q923" s="168"/>
      <c r="R923" s="168"/>
      <c r="S923" s="168"/>
      <c r="T923" s="168"/>
      <c r="U923" s="168"/>
      <c r="V923" s="168"/>
      <c r="W923" s="168"/>
      <c r="X923" s="168"/>
      <c r="Y923" s="168"/>
      <c r="Z923" s="168"/>
      <c r="AA923" s="168"/>
    </row>
    <row r="924" customFormat="false" ht="15.75" hidden="false" customHeight="false" outlineLevel="0" collapsed="false">
      <c r="A924" s="168" t="str">
        <f aca="false">IF(ISBLANK(B924),"",B924&amp;"|"&amp;C924)</f>
        <v/>
      </c>
      <c r="B924" s="168"/>
      <c r="C924" s="168"/>
      <c r="D924" s="168"/>
      <c r="E924" s="175"/>
      <c r="F924" s="168"/>
      <c r="G924" s="168"/>
      <c r="H924" s="168"/>
      <c r="I924" s="168"/>
      <c r="J924" s="168"/>
      <c r="K924" s="168"/>
      <c r="L924" s="168"/>
      <c r="M924" s="168"/>
      <c r="N924" s="168"/>
      <c r="O924" s="168"/>
      <c r="P924" s="168"/>
      <c r="Q924" s="168"/>
      <c r="R924" s="168"/>
      <c r="S924" s="168"/>
      <c r="T924" s="168"/>
      <c r="U924" s="168"/>
      <c r="V924" s="168"/>
      <c r="W924" s="168"/>
      <c r="X924" s="168"/>
      <c r="Y924" s="168"/>
      <c r="Z924" s="168"/>
      <c r="AA924" s="168"/>
    </row>
    <row r="925" customFormat="false" ht="15.75" hidden="false" customHeight="false" outlineLevel="0" collapsed="false">
      <c r="A925" s="168" t="str">
        <f aca="false">IF(ISBLANK(B925),"",B925&amp;"|"&amp;C925)</f>
        <v/>
      </c>
      <c r="B925" s="168"/>
      <c r="C925" s="168"/>
      <c r="D925" s="168"/>
      <c r="E925" s="175"/>
      <c r="F925" s="168"/>
      <c r="G925" s="168"/>
      <c r="H925" s="168"/>
      <c r="I925" s="168"/>
      <c r="J925" s="168"/>
      <c r="K925" s="168"/>
      <c r="L925" s="168"/>
      <c r="M925" s="168"/>
      <c r="N925" s="168"/>
      <c r="O925" s="168"/>
      <c r="P925" s="168"/>
      <c r="Q925" s="168"/>
      <c r="R925" s="168"/>
      <c r="S925" s="168"/>
      <c r="T925" s="168"/>
      <c r="U925" s="168"/>
      <c r="V925" s="168"/>
      <c r="W925" s="168"/>
      <c r="X925" s="168"/>
      <c r="Y925" s="168"/>
      <c r="Z925" s="168"/>
      <c r="AA925" s="168"/>
    </row>
    <row r="926" customFormat="false" ht="15.75" hidden="false" customHeight="false" outlineLevel="0" collapsed="false">
      <c r="A926" s="168" t="str">
        <f aca="false">IF(ISBLANK(B926),"",B926&amp;"|"&amp;C926)</f>
        <v/>
      </c>
      <c r="B926" s="168"/>
      <c r="C926" s="168"/>
      <c r="D926" s="168"/>
      <c r="E926" s="175"/>
      <c r="F926" s="168"/>
      <c r="G926" s="168"/>
      <c r="H926" s="168"/>
      <c r="I926" s="168"/>
      <c r="J926" s="168"/>
      <c r="K926" s="168"/>
      <c r="L926" s="168"/>
      <c r="M926" s="168"/>
      <c r="N926" s="168"/>
      <c r="O926" s="168"/>
      <c r="P926" s="168"/>
      <c r="Q926" s="168"/>
      <c r="R926" s="168"/>
      <c r="S926" s="168"/>
      <c r="T926" s="168"/>
      <c r="U926" s="168"/>
      <c r="V926" s="168"/>
      <c r="W926" s="168"/>
      <c r="X926" s="168"/>
      <c r="Y926" s="168"/>
      <c r="Z926" s="168"/>
      <c r="AA926" s="168"/>
    </row>
    <row r="927" customFormat="false" ht="15.75" hidden="false" customHeight="false" outlineLevel="0" collapsed="false">
      <c r="A927" s="168" t="str">
        <f aca="false">IF(ISBLANK(B927),"",B927&amp;"|"&amp;C927)</f>
        <v/>
      </c>
      <c r="B927" s="168"/>
      <c r="C927" s="168"/>
      <c r="D927" s="168"/>
      <c r="E927" s="175"/>
      <c r="F927" s="168"/>
      <c r="G927" s="168"/>
      <c r="H927" s="168"/>
      <c r="I927" s="168"/>
      <c r="J927" s="168"/>
      <c r="K927" s="168"/>
      <c r="L927" s="168"/>
      <c r="M927" s="168"/>
      <c r="N927" s="168"/>
      <c r="O927" s="168"/>
      <c r="P927" s="168"/>
      <c r="Q927" s="168"/>
      <c r="R927" s="168"/>
      <c r="S927" s="168"/>
      <c r="T927" s="168"/>
      <c r="U927" s="168"/>
      <c r="V927" s="168"/>
      <c r="W927" s="168"/>
      <c r="X927" s="168"/>
      <c r="Y927" s="168"/>
      <c r="Z927" s="168"/>
      <c r="AA927" s="168"/>
    </row>
    <row r="928" customFormat="false" ht="15.75" hidden="false" customHeight="false" outlineLevel="0" collapsed="false">
      <c r="A928" s="168" t="str">
        <f aca="false">IF(ISBLANK(B928),"",B928&amp;"|"&amp;C928)</f>
        <v/>
      </c>
      <c r="B928" s="168"/>
      <c r="C928" s="168"/>
      <c r="D928" s="168"/>
      <c r="E928" s="175"/>
      <c r="F928" s="168"/>
      <c r="G928" s="168"/>
      <c r="H928" s="168"/>
      <c r="I928" s="168"/>
      <c r="J928" s="168"/>
      <c r="K928" s="168"/>
      <c r="L928" s="168"/>
      <c r="M928" s="168"/>
      <c r="N928" s="168"/>
      <c r="O928" s="168"/>
      <c r="P928" s="168"/>
      <c r="Q928" s="168"/>
      <c r="R928" s="168"/>
      <c r="S928" s="168"/>
      <c r="T928" s="168"/>
      <c r="U928" s="168"/>
      <c r="V928" s="168"/>
      <c r="W928" s="168"/>
      <c r="X928" s="168"/>
      <c r="Y928" s="168"/>
      <c r="Z928" s="168"/>
      <c r="AA928" s="168"/>
    </row>
    <row r="929" customFormat="false" ht="15.75" hidden="false" customHeight="false" outlineLevel="0" collapsed="false">
      <c r="A929" s="168" t="str">
        <f aca="false">IF(ISBLANK(B929),"",B929&amp;"|"&amp;C929)</f>
        <v/>
      </c>
      <c r="B929" s="168"/>
      <c r="C929" s="168"/>
      <c r="D929" s="168"/>
      <c r="E929" s="175"/>
      <c r="F929" s="168"/>
      <c r="G929" s="168"/>
      <c r="H929" s="168"/>
      <c r="I929" s="168"/>
      <c r="J929" s="168"/>
      <c r="K929" s="168"/>
      <c r="L929" s="168"/>
      <c r="M929" s="168"/>
      <c r="N929" s="168"/>
      <c r="O929" s="168"/>
      <c r="P929" s="168"/>
      <c r="Q929" s="168"/>
      <c r="R929" s="168"/>
      <c r="S929" s="168"/>
      <c r="T929" s="168"/>
      <c r="U929" s="168"/>
      <c r="V929" s="168"/>
      <c r="W929" s="168"/>
      <c r="X929" s="168"/>
      <c r="Y929" s="168"/>
      <c r="Z929" s="168"/>
      <c r="AA929" s="168"/>
    </row>
    <row r="930" customFormat="false" ht="15.75" hidden="false" customHeight="false" outlineLevel="0" collapsed="false">
      <c r="A930" s="168" t="str">
        <f aca="false">IF(ISBLANK(B930),"",B930&amp;"|"&amp;C930)</f>
        <v/>
      </c>
      <c r="B930" s="168"/>
      <c r="C930" s="168"/>
      <c r="D930" s="168"/>
      <c r="E930" s="175"/>
      <c r="F930" s="168"/>
      <c r="G930" s="168"/>
      <c r="H930" s="168"/>
      <c r="I930" s="168"/>
      <c r="J930" s="168"/>
      <c r="K930" s="168"/>
      <c r="L930" s="168"/>
      <c r="M930" s="168"/>
      <c r="N930" s="168"/>
      <c r="O930" s="168"/>
      <c r="P930" s="168"/>
      <c r="Q930" s="168"/>
      <c r="R930" s="168"/>
      <c r="S930" s="168"/>
      <c r="T930" s="168"/>
      <c r="U930" s="168"/>
      <c r="V930" s="168"/>
      <c r="W930" s="168"/>
      <c r="X930" s="168"/>
      <c r="Y930" s="168"/>
      <c r="Z930" s="168"/>
      <c r="AA930" s="168"/>
    </row>
    <row r="931" customFormat="false" ht="15.75" hidden="false" customHeight="false" outlineLevel="0" collapsed="false">
      <c r="A931" s="168" t="str">
        <f aca="false">IF(ISBLANK(B931),"",B931&amp;"|"&amp;C931)</f>
        <v/>
      </c>
      <c r="B931" s="168"/>
      <c r="C931" s="168"/>
      <c r="D931" s="168"/>
      <c r="E931" s="175"/>
      <c r="F931" s="168"/>
      <c r="G931" s="168"/>
      <c r="H931" s="168"/>
      <c r="I931" s="168"/>
      <c r="J931" s="168"/>
      <c r="K931" s="168"/>
      <c r="L931" s="168"/>
      <c r="M931" s="168"/>
      <c r="N931" s="168"/>
      <c r="O931" s="168"/>
      <c r="P931" s="168"/>
      <c r="Q931" s="168"/>
      <c r="R931" s="168"/>
      <c r="S931" s="168"/>
      <c r="T931" s="168"/>
      <c r="U931" s="168"/>
      <c r="V931" s="168"/>
      <c r="W931" s="168"/>
      <c r="X931" s="168"/>
      <c r="Y931" s="168"/>
      <c r="Z931" s="168"/>
      <c r="AA931" s="168"/>
    </row>
    <row r="932" customFormat="false" ht="15.75" hidden="false" customHeight="false" outlineLevel="0" collapsed="false">
      <c r="A932" s="168" t="str">
        <f aca="false">IF(ISBLANK(B932),"",B932&amp;"|"&amp;C932)</f>
        <v/>
      </c>
      <c r="B932" s="168"/>
      <c r="C932" s="168"/>
      <c r="D932" s="168"/>
      <c r="E932" s="175"/>
      <c r="F932" s="168"/>
      <c r="G932" s="168"/>
      <c r="H932" s="168"/>
      <c r="I932" s="168"/>
      <c r="J932" s="168"/>
      <c r="K932" s="168"/>
      <c r="L932" s="168"/>
      <c r="M932" s="168"/>
      <c r="N932" s="168"/>
      <c r="O932" s="168"/>
      <c r="P932" s="168"/>
      <c r="Q932" s="168"/>
      <c r="R932" s="168"/>
      <c r="S932" s="168"/>
      <c r="T932" s="168"/>
      <c r="U932" s="168"/>
      <c r="V932" s="168"/>
      <c r="W932" s="168"/>
      <c r="X932" s="168"/>
      <c r="Y932" s="168"/>
      <c r="Z932" s="168"/>
      <c r="AA932" s="168"/>
    </row>
    <row r="933" customFormat="false" ht="15.75" hidden="false" customHeight="false" outlineLevel="0" collapsed="false">
      <c r="A933" s="168" t="str">
        <f aca="false">IF(ISBLANK(B933),"",B933&amp;"|"&amp;C933)</f>
        <v/>
      </c>
      <c r="B933" s="168"/>
      <c r="C933" s="168"/>
      <c r="D933" s="168"/>
      <c r="E933" s="175"/>
      <c r="F933" s="168"/>
      <c r="G933" s="168"/>
      <c r="H933" s="168"/>
      <c r="I933" s="168"/>
      <c r="J933" s="168"/>
      <c r="K933" s="168"/>
      <c r="L933" s="168"/>
      <c r="M933" s="168"/>
      <c r="N933" s="168"/>
      <c r="O933" s="168"/>
      <c r="P933" s="168"/>
      <c r="Q933" s="168"/>
      <c r="R933" s="168"/>
      <c r="S933" s="168"/>
      <c r="T933" s="168"/>
      <c r="U933" s="168"/>
      <c r="V933" s="168"/>
      <c r="W933" s="168"/>
      <c r="X933" s="168"/>
      <c r="Y933" s="168"/>
      <c r="Z933" s="168"/>
      <c r="AA933" s="168"/>
    </row>
    <row r="934" customFormat="false" ht="15.75" hidden="false" customHeight="false" outlineLevel="0" collapsed="false">
      <c r="A934" s="168" t="str">
        <f aca="false">IF(ISBLANK(B934),"",B934&amp;"|"&amp;C934)</f>
        <v/>
      </c>
      <c r="B934" s="168"/>
      <c r="C934" s="168"/>
      <c r="D934" s="168"/>
      <c r="E934" s="175"/>
      <c r="F934" s="168"/>
      <c r="G934" s="168"/>
      <c r="H934" s="168"/>
      <c r="I934" s="168"/>
      <c r="J934" s="168"/>
      <c r="K934" s="168"/>
      <c r="L934" s="168"/>
      <c r="M934" s="168"/>
      <c r="N934" s="168"/>
      <c r="O934" s="168"/>
      <c r="P934" s="168"/>
      <c r="Q934" s="168"/>
      <c r="R934" s="168"/>
      <c r="S934" s="168"/>
      <c r="T934" s="168"/>
      <c r="U934" s="168"/>
      <c r="V934" s="168"/>
      <c r="W934" s="168"/>
      <c r="X934" s="168"/>
      <c r="Y934" s="168"/>
      <c r="Z934" s="168"/>
      <c r="AA934" s="168"/>
    </row>
    <row r="935" customFormat="false" ht="15.75" hidden="false" customHeight="false" outlineLevel="0" collapsed="false">
      <c r="A935" s="168" t="str">
        <f aca="false">IF(ISBLANK(B935),"",B935&amp;"|"&amp;C935)</f>
        <v/>
      </c>
      <c r="B935" s="168"/>
      <c r="C935" s="168"/>
      <c r="D935" s="168"/>
      <c r="E935" s="175"/>
      <c r="F935" s="168"/>
      <c r="G935" s="168"/>
      <c r="H935" s="168"/>
      <c r="I935" s="168"/>
      <c r="J935" s="168"/>
      <c r="K935" s="168"/>
      <c r="L935" s="168"/>
      <c r="M935" s="168"/>
      <c r="N935" s="168"/>
      <c r="O935" s="168"/>
      <c r="P935" s="168"/>
      <c r="Q935" s="168"/>
      <c r="R935" s="168"/>
      <c r="S935" s="168"/>
      <c r="T935" s="168"/>
      <c r="U935" s="168"/>
      <c r="V935" s="168"/>
      <c r="W935" s="168"/>
      <c r="X935" s="168"/>
      <c r="Y935" s="168"/>
      <c r="Z935" s="168"/>
      <c r="AA935" s="168"/>
    </row>
    <row r="936" customFormat="false" ht="15.75" hidden="false" customHeight="false" outlineLevel="0" collapsed="false">
      <c r="A936" s="168" t="str">
        <f aca="false">IF(ISBLANK(B936),"",B936&amp;"|"&amp;C936)</f>
        <v/>
      </c>
      <c r="B936" s="168"/>
      <c r="C936" s="168"/>
      <c r="D936" s="168"/>
      <c r="E936" s="175"/>
      <c r="F936" s="168"/>
      <c r="G936" s="168"/>
      <c r="H936" s="168"/>
      <c r="I936" s="168"/>
      <c r="J936" s="168"/>
      <c r="K936" s="168"/>
      <c r="L936" s="168"/>
      <c r="M936" s="168"/>
      <c r="N936" s="168"/>
      <c r="O936" s="168"/>
      <c r="P936" s="168"/>
      <c r="Q936" s="168"/>
      <c r="R936" s="168"/>
      <c r="S936" s="168"/>
      <c r="T936" s="168"/>
      <c r="U936" s="168"/>
      <c r="V936" s="168"/>
      <c r="W936" s="168"/>
      <c r="X936" s="168"/>
      <c r="Y936" s="168"/>
      <c r="Z936" s="168"/>
      <c r="AA936" s="168"/>
    </row>
    <row r="937" customFormat="false" ht="15.75" hidden="false" customHeight="false" outlineLevel="0" collapsed="false">
      <c r="A937" s="168" t="str">
        <f aca="false">IF(ISBLANK(B937),"",B937&amp;"|"&amp;C937)</f>
        <v/>
      </c>
      <c r="B937" s="168"/>
      <c r="C937" s="168"/>
      <c r="D937" s="168"/>
      <c r="E937" s="175"/>
      <c r="F937" s="168"/>
      <c r="G937" s="168"/>
      <c r="H937" s="168"/>
      <c r="I937" s="168"/>
      <c r="J937" s="168"/>
      <c r="K937" s="168"/>
      <c r="L937" s="168"/>
      <c r="M937" s="168"/>
      <c r="N937" s="168"/>
      <c r="O937" s="168"/>
      <c r="P937" s="168"/>
      <c r="Q937" s="168"/>
      <c r="R937" s="168"/>
      <c r="S937" s="168"/>
      <c r="T937" s="168"/>
      <c r="U937" s="168"/>
      <c r="V937" s="168"/>
      <c r="W937" s="168"/>
      <c r="X937" s="168"/>
      <c r="Y937" s="168"/>
      <c r="Z937" s="168"/>
      <c r="AA937" s="168"/>
    </row>
    <row r="938" customFormat="false" ht="15.75" hidden="false" customHeight="false" outlineLevel="0" collapsed="false">
      <c r="A938" s="168" t="str">
        <f aca="false">IF(ISBLANK(B938),"",B938&amp;"|"&amp;C938)</f>
        <v/>
      </c>
      <c r="B938" s="168"/>
      <c r="C938" s="168"/>
      <c r="D938" s="168"/>
      <c r="E938" s="175"/>
      <c r="F938" s="168"/>
      <c r="G938" s="168"/>
      <c r="H938" s="168"/>
      <c r="I938" s="168"/>
      <c r="J938" s="168"/>
      <c r="K938" s="168"/>
      <c r="L938" s="168"/>
      <c r="M938" s="168"/>
      <c r="N938" s="168"/>
      <c r="O938" s="168"/>
      <c r="P938" s="168"/>
      <c r="Q938" s="168"/>
      <c r="R938" s="168"/>
      <c r="S938" s="168"/>
      <c r="T938" s="168"/>
      <c r="U938" s="168"/>
      <c r="V938" s="168"/>
      <c r="W938" s="168"/>
      <c r="X938" s="168"/>
      <c r="Y938" s="168"/>
      <c r="Z938" s="168"/>
      <c r="AA938" s="168"/>
    </row>
    <row r="939" customFormat="false" ht="15.75" hidden="false" customHeight="false" outlineLevel="0" collapsed="false">
      <c r="A939" s="168" t="str">
        <f aca="false">IF(ISBLANK(B939),"",B939&amp;"|"&amp;C939)</f>
        <v/>
      </c>
      <c r="B939" s="168"/>
      <c r="C939" s="168"/>
      <c r="D939" s="168"/>
      <c r="E939" s="175"/>
      <c r="F939" s="168"/>
      <c r="G939" s="168"/>
      <c r="H939" s="168"/>
      <c r="I939" s="168"/>
      <c r="J939" s="168"/>
      <c r="K939" s="168"/>
      <c r="L939" s="168"/>
      <c r="M939" s="168"/>
      <c r="N939" s="168"/>
      <c r="O939" s="168"/>
      <c r="P939" s="168"/>
      <c r="Q939" s="168"/>
      <c r="R939" s="168"/>
      <c r="S939" s="168"/>
      <c r="T939" s="168"/>
      <c r="U939" s="168"/>
      <c r="V939" s="168"/>
      <c r="W939" s="168"/>
      <c r="X939" s="168"/>
      <c r="Y939" s="168"/>
      <c r="Z939" s="168"/>
      <c r="AA939" s="168"/>
    </row>
    <row r="940" customFormat="false" ht="15.75" hidden="false" customHeight="false" outlineLevel="0" collapsed="false">
      <c r="A940" s="168" t="str">
        <f aca="false">IF(ISBLANK(B940),"",B940&amp;"|"&amp;C940)</f>
        <v/>
      </c>
      <c r="B940" s="168"/>
      <c r="C940" s="168"/>
      <c r="D940" s="168"/>
      <c r="E940" s="175"/>
      <c r="F940" s="168"/>
      <c r="G940" s="168"/>
      <c r="H940" s="168"/>
      <c r="I940" s="168"/>
      <c r="J940" s="168"/>
      <c r="K940" s="168"/>
      <c r="L940" s="168"/>
      <c r="M940" s="168"/>
      <c r="N940" s="168"/>
      <c r="O940" s="168"/>
      <c r="P940" s="168"/>
      <c r="Q940" s="168"/>
      <c r="R940" s="168"/>
      <c r="S940" s="168"/>
      <c r="T940" s="168"/>
      <c r="U940" s="168"/>
      <c r="V940" s="168"/>
      <c r="W940" s="168"/>
      <c r="X940" s="168"/>
      <c r="Y940" s="168"/>
      <c r="Z940" s="168"/>
      <c r="AA940" s="168"/>
    </row>
    <row r="941" customFormat="false" ht="15.75" hidden="false" customHeight="false" outlineLevel="0" collapsed="false">
      <c r="A941" s="168" t="str">
        <f aca="false">IF(ISBLANK(B941),"",B941&amp;"|"&amp;C941)</f>
        <v/>
      </c>
      <c r="B941" s="168"/>
      <c r="C941" s="168"/>
      <c r="D941" s="168"/>
      <c r="E941" s="175"/>
      <c r="F941" s="168"/>
      <c r="G941" s="168"/>
      <c r="H941" s="168"/>
      <c r="I941" s="168"/>
      <c r="J941" s="168"/>
      <c r="K941" s="168"/>
      <c r="L941" s="168"/>
      <c r="M941" s="168"/>
      <c r="N941" s="168"/>
      <c r="O941" s="168"/>
      <c r="P941" s="168"/>
      <c r="Q941" s="168"/>
      <c r="R941" s="168"/>
      <c r="S941" s="168"/>
      <c r="T941" s="168"/>
      <c r="U941" s="168"/>
      <c r="V941" s="168"/>
      <c r="W941" s="168"/>
      <c r="X941" s="168"/>
      <c r="Y941" s="168"/>
      <c r="Z941" s="168"/>
      <c r="AA941" s="168"/>
    </row>
    <row r="942" customFormat="false" ht="15.75" hidden="false" customHeight="false" outlineLevel="0" collapsed="false">
      <c r="A942" s="168" t="str">
        <f aca="false">IF(ISBLANK(B942),"",B942&amp;"|"&amp;C942)</f>
        <v/>
      </c>
      <c r="B942" s="168"/>
      <c r="C942" s="168"/>
      <c r="D942" s="168"/>
      <c r="E942" s="175"/>
      <c r="F942" s="168"/>
      <c r="G942" s="168"/>
      <c r="H942" s="168"/>
      <c r="I942" s="168"/>
      <c r="J942" s="168"/>
      <c r="K942" s="168"/>
      <c r="L942" s="168"/>
      <c r="M942" s="168"/>
      <c r="N942" s="168"/>
      <c r="O942" s="168"/>
      <c r="P942" s="168"/>
      <c r="Q942" s="168"/>
      <c r="R942" s="168"/>
      <c r="S942" s="168"/>
      <c r="T942" s="168"/>
      <c r="U942" s="168"/>
      <c r="V942" s="168"/>
      <c r="W942" s="168"/>
      <c r="X942" s="168"/>
      <c r="Y942" s="168"/>
      <c r="Z942" s="168"/>
      <c r="AA942" s="168"/>
    </row>
    <row r="943" customFormat="false" ht="15.75" hidden="false" customHeight="false" outlineLevel="0" collapsed="false">
      <c r="A943" s="168" t="str">
        <f aca="false">IF(ISBLANK(B943),"",B943&amp;"|"&amp;C943)</f>
        <v/>
      </c>
      <c r="B943" s="168"/>
      <c r="C943" s="168"/>
      <c r="D943" s="168"/>
      <c r="E943" s="175"/>
      <c r="F943" s="168"/>
      <c r="G943" s="168"/>
      <c r="H943" s="168"/>
      <c r="I943" s="168"/>
      <c r="J943" s="168"/>
      <c r="K943" s="168"/>
      <c r="L943" s="168"/>
      <c r="M943" s="168"/>
      <c r="N943" s="168"/>
      <c r="O943" s="168"/>
      <c r="P943" s="168"/>
      <c r="Q943" s="168"/>
      <c r="R943" s="168"/>
      <c r="S943" s="168"/>
      <c r="T943" s="168"/>
      <c r="U943" s="168"/>
      <c r="V943" s="168"/>
      <c r="W943" s="168"/>
      <c r="X943" s="168"/>
      <c r="Y943" s="168"/>
      <c r="Z943" s="168"/>
      <c r="AA943" s="168"/>
    </row>
    <row r="944" customFormat="false" ht="15.75" hidden="false" customHeight="false" outlineLevel="0" collapsed="false">
      <c r="A944" s="168" t="str">
        <f aca="false">IF(ISBLANK(B944),"",B944&amp;"|"&amp;C944)</f>
        <v/>
      </c>
      <c r="B944" s="168"/>
      <c r="C944" s="168"/>
      <c r="D944" s="168"/>
      <c r="E944" s="175"/>
      <c r="F944" s="168"/>
      <c r="G944" s="168"/>
      <c r="H944" s="168"/>
      <c r="I944" s="168"/>
      <c r="J944" s="168"/>
      <c r="K944" s="168"/>
      <c r="L944" s="168"/>
      <c r="M944" s="168"/>
      <c r="N944" s="168"/>
      <c r="O944" s="168"/>
      <c r="P944" s="168"/>
      <c r="Q944" s="168"/>
      <c r="R944" s="168"/>
      <c r="S944" s="168"/>
      <c r="T944" s="168"/>
      <c r="U944" s="168"/>
      <c r="V944" s="168"/>
      <c r="W944" s="168"/>
      <c r="X944" s="168"/>
      <c r="Y944" s="168"/>
      <c r="Z944" s="168"/>
      <c r="AA944" s="168"/>
    </row>
    <row r="945" customFormat="false" ht="15.75" hidden="false" customHeight="false" outlineLevel="0" collapsed="false">
      <c r="A945" s="168" t="str">
        <f aca="false">IF(ISBLANK(B945),"",B945&amp;"|"&amp;C945)</f>
        <v/>
      </c>
      <c r="B945" s="168"/>
      <c r="C945" s="168"/>
      <c r="D945" s="168"/>
      <c r="E945" s="175"/>
      <c r="F945" s="168"/>
      <c r="G945" s="168"/>
      <c r="H945" s="168"/>
      <c r="I945" s="168"/>
      <c r="J945" s="168"/>
      <c r="K945" s="168"/>
      <c r="L945" s="168"/>
      <c r="M945" s="168"/>
      <c r="N945" s="168"/>
      <c r="O945" s="168"/>
      <c r="P945" s="168"/>
      <c r="Q945" s="168"/>
      <c r="R945" s="168"/>
      <c r="S945" s="168"/>
      <c r="T945" s="168"/>
      <c r="U945" s="168"/>
      <c r="V945" s="168"/>
      <c r="W945" s="168"/>
      <c r="X945" s="168"/>
      <c r="Y945" s="168"/>
      <c r="Z945" s="168"/>
      <c r="AA945" s="168"/>
    </row>
    <row r="946" customFormat="false" ht="15.75" hidden="false" customHeight="false" outlineLevel="0" collapsed="false">
      <c r="A946" s="168" t="str">
        <f aca="false">IF(ISBLANK(B946),"",B946&amp;"|"&amp;C946)</f>
        <v/>
      </c>
      <c r="B946" s="168"/>
      <c r="C946" s="168"/>
      <c r="D946" s="168"/>
      <c r="E946" s="175"/>
      <c r="F946" s="168"/>
      <c r="G946" s="168"/>
      <c r="H946" s="168"/>
      <c r="I946" s="168"/>
      <c r="J946" s="168"/>
      <c r="K946" s="168"/>
      <c r="L946" s="168"/>
      <c r="M946" s="168"/>
      <c r="N946" s="168"/>
      <c r="O946" s="168"/>
      <c r="P946" s="168"/>
      <c r="Q946" s="168"/>
      <c r="R946" s="168"/>
      <c r="S946" s="168"/>
      <c r="T946" s="168"/>
      <c r="U946" s="168"/>
      <c r="V946" s="168"/>
      <c r="W946" s="168"/>
      <c r="X946" s="168"/>
      <c r="Y946" s="168"/>
      <c r="Z946" s="168"/>
      <c r="AA946" s="168"/>
    </row>
    <row r="947" customFormat="false" ht="15.75" hidden="false" customHeight="false" outlineLevel="0" collapsed="false">
      <c r="A947" s="168" t="str">
        <f aca="false">IF(ISBLANK(B947),"",B947&amp;"|"&amp;C947)</f>
        <v/>
      </c>
      <c r="B947" s="168"/>
      <c r="C947" s="168"/>
      <c r="D947" s="168"/>
      <c r="E947" s="175"/>
      <c r="F947" s="168"/>
      <c r="G947" s="168"/>
      <c r="H947" s="168"/>
      <c r="I947" s="168"/>
      <c r="J947" s="168"/>
      <c r="K947" s="168"/>
      <c r="L947" s="168"/>
      <c r="M947" s="168"/>
      <c r="N947" s="168"/>
      <c r="O947" s="168"/>
      <c r="P947" s="168"/>
      <c r="Q947" s="168"/>
      <c r="R947" s="168"/>
      <c r="S947" s="168"/>
      <c r="T947" s="168"/>
      <c r="U947" s="168"/>
      <c r="V947" s="168"/>
      <c r="W947" s="168"/>
      <c r="X947" s="168"/>
      <c r="Y947" s="168"/>
      <c r="Z947" s="168"/>
      <c r="AA947" s="168"/>
    </row>
    <row r="948" customFormat="false" ht="15.75" hidden="false" customHeight="false" outlineLevel="0" collapsed="false">
      <c r="A948" s="168" t="str">
        <f aca="false">IF(ISBLANK(B948),"",B948&amp;"|"&amp;C948)</f>
        <v/>
      </c>
      <c r="B948" s="168"/>
      <c r="C948" s="168"/>
      <c r="D948" s="168"/>
      <c r="E948" s="175"/>
      <c r="F948" s="168"/>
      <c r="G948" s="168"/>
      <c r="H948" s="168"/>
      <c r="I948" s="168"/>
      <c r="J948" s="168"/>
      <c r="K948" s="168"/>
      <c r="L948" s="168"/>
      <c r="M948" s="168"/>
      <c r="N948" s="168"/>
      <c r="O948" s="168"/>
      <c r="P948" s="168"/>
      <c r="Q948" s="168"/>
      <c r="R948" s="168"/>
      <c r="S948" s="168"/>
      <c r="T948" s="168"/>
      <c r="U948" s="168"/>
      <c r="V948" s="168"/>
      <c r="W948" s="168"/>
      <c r="X948" s="168"/>
      <c r="Y948" s="168"/>
      <c r="Z948" s="168"/>
      <c r="AA948" s="168"/>
    </row>
    <row r="949" customFormat="false" ht="15.75" hidden="false" customHeight="false" outlineLevel="0" collapsed="false">
      <c r="A949" s="168" t="str">
        <f aca="false">IF(ISBLANK(B949),"",B949&amp;"|"&amp;C949)</f>
        <v/>
      </c>
      <c r="B949" s="168"/>
      <c r="C949" s="168"/>
      <c r="D949" s="168"/>
      <c r="E949" s="175"/>
      <c r="F949" s="168"/>
      <c r="G949" s="168"/>
      <c r="H949" s="168"/>
      <c r="I949" s="168"/>
      <c r="J949" s="168"/>
      <c r="K949" s="168"/>
      <c r="L949" s="168"/>
      <c r="M949" s="168"/>
      <c r="N949" s="168"/>
      <c r="O949" s="168"/>
      <c r="P949" s="168"/>
      <c r="Q949" s="168"/>
      <c r="R949" s="168"/>
      <c r="S949" s="168"/>
      <c r="T949" s="168"/>
      <c r="U949" s="168"/>
      <c r="V949" s="168"/>
      <c r="W949" s="168"/>
      <c r="X949" s="168"/>
      <c r="Y949" s="168"/>
      <c r="Z949" s="168"/>
      <c r="AA949" s="168"/>
    </row>
    <row r="950" customFormat="false" ht="15.75" hidden="false" customHeight="false" outlineLevel="0" collapsed="false">
      <c r="A950" s="168" t="str">
        <f aca="false">IF(ISBLANK(B950),"",B950&amp;"|"&amp;C950)</f>
        <v/>
      </c>
      <c r="B950" s="168"/>
      <c r="C950" s="168"/>
      <c r="D950" s="168"/>
      <c r="E950" s="175"/>
      <c r="F950" s="168"/>
      <c r="G950" s="168"/>
      <c r="H950" s="168"/>
      <c r="I950" s="168"/>
      <c r="J950" s="168"/>
      <c r="K950" s="168"/>
      <c r="L950" s="168"/>
      <c r="M950" s="168"/>
      <c r="N950" s="168"/>
      <c r="O950" s="168"/>
      <c r="P950" s="168"/>
      <c r="Q950" s="168"/>
      <c r="R950" s="168"/>
      <c r="S950" s="168"/>
      <c r="T950" s="168"/>
      <c r="U950" s="168"/>
      <c r="V950" s="168"/>
      <c r="W950" s="168"/>
      <c r="X950" s="168"/>
      <c r="Y950" s="168"/>
      <c r="Z950" s="168"/>
      <c r="AA950" s="168"/>
    </row>
    <row r="951" customFormat="false" ht="15.75" hidden="false" customHeight="false" outlineLevel="0" collapsed="false">
      <c r="A951" s="168" t="str">
        <f aca="false">IF(ISBLANK(B951),"",B951&amp;"|"&amp;C951)</f>
        <v/>
      </c>
      <c r="B951" s="168"/>
      <c r="C951" s="168"/>
      <c r="D951" s="168"/>
      <c r="E951" s="175"/>
      <c r="F951" s="168"/>
      <c r="G951" s="168"/>
      <c r="H951" s="168"/>
      <c r="I951" s="168"/>
      <c r="J951" s="168"/>
      <c r="K951" s="168"/>
      <c r="L951" s="168"/>
      <c r="M951" s="168"/>
      <c r="N951" s="168"/>
      <c r="O951" s="168"/>
      <c r="P951" s="168"/>
      <c r="Q951" s="168"/>
      <c r="R951" s="168"/>
      <c r="S951" s="168"/>
      <c r="T951" s="168"/>
      <c r="U951" s="168"/>
      <c r="V951" s="168"/>
      <c r="W951" s="168"/>
      <c r="X951" s="168"/>
      <c r="Y951" s="168"/>
      <c r="Z951" s="168"/>
      <c r="AA951" s="168"/>
    </row>
    <row r="952" customFormat="false" ht="15.75" hidden="false" customHeight="false" outlineLevel="0" collapsed="false">
      <c r="A952" s="168" t="str">
        <f aca="false">IF(ISBLANK(B952),"",B952&amp;"|"&amp;C952)</f>
        <v/>
      </c>
      <c r="B952" s="168"/>
      <c r="C952" s="168"/>
      <c r="D952" s="168"/>
      <c r="E952" s="175"/>
      <c r="F952" s="168"/>
      <c r="G952" s="168"/>
      <c r="H952" s="168"/>
      <c r="I952" s="168"/>
      <c r="J952" s="168"/>
      <c r="K952" s="168"/>
      <c r="L952" s="168"/>
      <c r="M952" s="168"/>
      <c r="N952" s="168"/>
      <c r="O952" s="168"/>
      <c r="P952" s="168"/>
      <c r="Q952" s="168"/>
      <c r="R952" s="168"/>
      <c r="S952" s="168"/>
      <c r="T952" s="168"/>
      <c r="U952" s="168"/>
      <c r="V952" s="168"/>
      <c r="W952" s="168"/>
      <c r="X952" s="168"/>
      <c r="Y952" s="168"/>
      <c r="Z952" s="168"/>
      <c r="AA952" s="168"/>
    </row>
    <row r="953" customFormat="false" ht="15.75" hidden="false" customHeight="false" outlineLevel="0" collapsed="false">
      <c r="A953" s="168" t="str">
        <f aca="false">IF(ISBLANK(B953),"",B953&amp;"|"&amp;C953)</f>
        <v/>
      </c>
      <c r="B953" s="168"/>
      <c r="C953" s="168"/>
      <c r="D953" s="168"/>
      <c r="E953" s="175"/>
      <c r="F953" s="168"/>
      <c r="G953" s="168"/>
      <c r="H953" s="168"/>
      <c r="I953" s="168"/>
      <c r="J953" s="168"/>
      <c r="K953" s="168"/>
      <c r="L953" s="168"/>
      <c r="M953" s="168"/>
      <c r="N953" s="168"/>
      <c r="O953" s="168"/>
      <c r="P953" s="168"/>
      <c r="Q953" s="168"/>
      <c r="R953" s="168"/>
      <c r="S953" s="168"/>
      <c r="T953" s="168"/>
      <c r="U953" s="168"/>
      <c r="V953" s="168"/>
      <c r="W953" s="168"/>
      <c r="X953" s="168"/>
      <c r="Y953" s="168"/>
      <c r="Z953" s="168"/>
      <c r="AA953" s="168"/>
    </row>
    <row r="954" customFormat="false" ht="15.75" hidden="false" customHeight="false" outlineLevel="0" collapsed="false">
      <c r="A954" s="168" t="str">
        <f aca="false">IF(ISBLANK(B954),"",B954&amp;"|"&amp;C954)</f>
        <v/>
      </c>
      <c r="B954" s="168"/>
      <c r="C954" s="168"/>
      <c r="D954" s="168"/>
      <c r="E954" s="175"/>
      <c r="F954" s="168"/>
      <c r="G954" s="168"/>
      <c r="H954" s="168"/>
      <c r="I954" s="168"/>
      <c r="J954" s="168"/>
      <c r="K954" s="168"/>
      <c r="L954" s="168"/>
      <c r="M954" s="168"/>
      <c r="N954" s="168"/>
      <c r="O954" s="168"/>
      <c r="P954" s="168"/>
      <c r="Q954" s="168"/>
      <c r="R954" s="168"/>
      <c r="S954" s="168"/>
      <c r="T954" s="168"/>
      <c r="U954" s="168"/>
      <c r="V954" s="168"/>
      <c r="W954" s="168"/>
      <c r="X954" s="168"/>
      <c r="Y954" s="168"/>
      <c r="Z954" s="168"/>
      <c r="AA954" s="168"/>
    </row>
    <row r="955" customFormat="false" ht="15.75" hidden="false" customHeight="false" outlineLevel="0" collapsed="false">
      <c r="A955" s="168" t="str">
        <f aca="false">IF(ISBLANK(B955),"",B955&amp;"|"&amp;C955)</f>
        <v/>
      </c>
      <c r="B955" s="168"/>
      <c r="C955" s="168"/>
      <c r="D955" s="168"/>
      <c r="E955" s="175"/>
      <c r="F955" s="168"/>
      <c r="G955" s="168"/>
      <c r="H955" s="168"/>
      <c r="I955" s="168"/>
      <c r="J955" s="168"/>
      <c r="K955" s="168"/>
      <c r="L955" s="168"/>
      <c r="M955" s="168"/>
      <c r="N955" s="168"/>
      <c r="O955" s="168"/>
      <c r="P955" s="168"/>
      <c r="Q955" s="168"/>
      <c r="R955" s="168"/>
      <c r="S955" s="168"/>
      <c r="T955" s="168"/>
      <c r="U955" s="168"/>
      <c r="V955" s="168"/>
      <c r="W955" s="168"/>
      <c r="X955" s="168"/>
      <c r="Y955" s="168"/>
      <c r="Z955" s="168"/>
      <c r="AA955" s="168"/>
    </row>
    <row r="956" customFormat="false" ht="15.75" hidden="false" customHeight="false" outlineLevel="0" collapsed="false">
      <c r="A956" s="168" t="str">
        <f aca="false">IF(ISBLANK(B956),"",B956&amp;"|"&amp;C956)</f>
        <v/>
      </c>
      <c r="B956" s="168"/>
      <c r="C956" s="168"/>
      <c r="D956" s="168"/>
      <c r="E956" s="175"/>
      <c r="F956" s="168"/>
      <c r="G956" s="168"/>
      <c r="H956" s="168"/>
      <c r="I956" s="168"/>
      <c r="J956" s="168"/>
      <c r="K956" s="168"/>
      <c r="L956" s="168"/>
      <c r="M956" s="168"/>
      <c r="N956" s="168"/>
      <c r="O956" s="168"/>
      <c r="P956" s="168"/>
      <c r="Q956" s="168"/>
      <c r="R956" s="168"/>
      <c r="S956" s="168"/>
      <c r="T956" s="168"/>
      <c r="U956" s="168"/>
      <c r="V956" s="168"/>
      <c r="W956" s="168"/>
      <c r="X956" s="168"/>
      <c r="Y956" s="168"/>
      <c r="Z956" s="168"/>
      <c r="AA956" s="168"/>
    </row>
    <row r="957" customFormat="false" ht="15.75" hidden="false" customHeight="false" outlineLevel="0" collapsed="false">
      <c r="A957" s="168" t="str">
        <f aca="false">IF(ISBLANK(B957),"",B957&amp;"|"&amp;C957)</f>
        <v/>
      </c>
      <c r="B957" s="168"/>
      <c r="C957" s="168"/>
      <c r="D957" s="168"/>
      <c r="E957" s="175"/>
      <c r="F957" s="168"/>
      <c r="G957" s="168"/>
      <c r="H957" s="168"/>
      <c r="I957" s="168"/>
      <c r="J957" s="168"/>
      <c r="K957" s="168"/>
      <c r="L957" s="168"/>
      <c r="M957" s="168"/>
      <c r="N957" s="168"/>
      <c r="O957" s="168"/>
      <c r="P957" s="168"/>
      <c r="Q957" s="168"/>
      <c r="R957" s="168"/>
      <c r="S957" s="168"/>
      <c r="T957" s="168"/>
      <c r="U957" s="168"/>
      <c r="V957" s="168"/>
      <c r="W957" s="168"/>
      <c r="X957" s="168"/>
      <c r="Y957" s="168"/>
      <c r="Z957" s="168"/>
      <c r="AA957" s="168"/>
    </row>
    <row r="958" customFormat="false" ht="15.75" hidden="false" customHeight="false" outlineLevel="0" collapsed="false">
      <c r="A958" s="168" t="str">
        <f aca="false">IF(ISBLANK(B958),"",B958&amp;"|"&amp;C958)</f>
        <v/>
      </c>
      <c r="B958" s="168"/>
      <c r="C958" s="168"/>
      <c r="D958" s="168"/>
      <c r="E958" s="175"/>
      <c r="F958" s="168"/>
      <c r="G958" s="168"/>
      <c r="H958" s="168"/>
      <c r="I958" s="168"/>
      <c r="J958" s="168"/>
      <c r="K958" s="168"/>
      <c r="L958" s="168"/>
      <c r="M958" s="168"/>
      <c r="N958" s="168"/>
      <c r="O958" s="168"/>
      <c r="P958" s="168"/>
      <c r="Q958" s="168"/>
      <c r="R958" s="168"/>
      <c r="S958" s="168"/>
      <c r="T958" s="168"/>
      <c r="U958" s="168"/>
      <c r="V958" s="168"/>
      <c r="W958" s="168"/>
      <c r="X958" s="168"/>
      <c r="Y958" s="168"/>
      <c r="Z958" s="168"/>
      <c r="AA958" s="168"/>
    </row>
    <row r="959" customFormat="false" ht="15.75" hidden="false" customHeight="false" outlineLevel="0" collapsed="false">
      <c r="A959" s="168" t="str">
        <f aca="false">IF(ISBLANK(B959),"",B959&amp;"|"&amp;C959)</f>
        <v/>
      </c>
      <c r="B959" s="168"/>
      <c r="C959" s="168"/>
      <c r="D959" s="168"/>
      <c r="E959" s="175"/>
      <c r="F959" s="168"/>
      <c r="G959" s="168"/>
      <c r="H959" s="168"/>
      <c r="I959" s="168"/>
      <c r="J959" s="168"/>
      <c r="K959" s="168"/>
      <c r="L959" s="168"/>
      <c r="M959" s="168"/>
      <c r="N959" s="168"/>
      <c r="O959" s="168"/>
      <c r="P959" s="168"/>
      <c r="Q959" s="168"/>
      <c r="R959" s="168"/>
      <c r="S959" s="168"/>
      <c r="T959" s="168"/>
      <c r="U959" s="168"/>
      <c r="V959" s="168"/>
      <c r="W959" s="168"/>
      <c r="X959" s="168"/>
      <c r="Y959" s="168"/>
      <c r="Z959" s="168"/>
      <c r="AA959" s="168"/>
    </row>
    <row r="960" customFormat="false" ht="15.75" hidden="false" customHeight="false" outlineLevel="0" collapsed="false">
      <c r="A960" s="168" t="str">
        <f aca="false">IF(ISBLANK(B960),"",B960&amp;"|"&amp;C960)</f>
        <v/>
      </c>
      <c r="B960" s="168"/>
      <c r="C960" s="168"/>
      <c r="D960" s="168"/>
      <c r="E960" s="175"/>
      <c r="F960" s="168"/>
      <c r="G960" s="168"/>
      <c r="H960" s="168"/>
      <c r="I960" s="168"/>
      <c r="J960" s="168"/>
      <c r="K960" s="168"/>
      <c r="L960" s="168"/>
      <c r="M960" s="168"/>
      <c r="N960" s="168"/>
      <c r="O960" s="168"/>
      <c r="P960" s="168"/>
      <c r="Q960" s="168"/>
      <c r="R960" s="168"/>
      <c r="S960" s="168"/>
      <c r="T960" s="168"/>
      <c r="U960" s="168"/>
      <c r="V960" s="168"/>
      <c r="W960" s="168"/>
      <c r="X960" s="168"/>
      <c r="Y960" s="168"/>
      <c r="Z960" s="168"/>
      <c r="AA960" s="168"/>
    </row>
    <row r="961" customFormat="false" ht="15.75" hidden="false" customHeight="false" outlineLevel="0" collapsed="false">
      <c r="A961" s="168" t="str">
        <f aca="false">IF(ISBLANK(B961),"",B961&amp;"|"&amp;C961)</f>
        <v/>
      </c>
      <c r="B961" s="168"/>
      <c r="C961" s="168"/>
      <c r="D961" s="168"/>
      <c r="E961" s="175"/>
      <c r="F961" s="168"/>
      <c r="G961" s="168"/>
      <c r="H961" s="168"/>
      <c r="I961" s="168"/>
      <c r="J961" s="168"/>
      <c r="K961" s="168"/>
      <c r="L961" s="168"/>
      <c r="M961" s="168"/>
      <c r="N961" s="168"/>
      <c r="O961" s="168"/>
      <c r="P961" s="168"/>
      <c r="Q961" s="168"/>
      <c r="R961" s="168"/>
      <c r="S961" s="168"/>
      <c r="T961" s="168"/>
      <c r="U961" s="168"/>
      <c r="V961" s="168"/>
      <c r="W961" s="168"/>
      <c r="X961" s="168"/>
      <c r="Y961" s="168"/>
      <c r="Z961" s="168"/>
      <c r="AA961" s="168"/>
    </row>
    <row r="962" customFormat="false" ht="15.75" hidden="false" customHeight="false" outlineLevel="0" collapsed="false">
      <c r="A962" s="168" t="str">
        <f aca="false">IF(ISBLANK(B962),"",B962&amp;"|"&amp;C962)</f>
        <v/>
      </c>
      <c r="B962" s="168"/>
      <c r="C962" s="168"/>
      <c r="D962" s="168"/>
      <c r="E962" s="175"/>
      <c r="F962" s="168"/>
      <c r="G962" s="168"/>
      <c r="H962" s="168"/>
      <c r="I962" s="168"/>
      <c r="J962" s="168"/>
      <c r="K962" s="168"/>
      <c r="L962" s="168"/>
      <c r="M962" s="168"/>
      <c r="N962" s="168"/>
      <c r="O962" s="168"/>
      <c r="P962" s="168"/>
      <c r="Q962" s="168"/>
      <c r="R962" s="168"/>
      <c r="S962" s="168"/>
      <c r="T962" s="168"/>
      <c r="U962" s="168"/>
      <c r="V962" s="168"/>
      <c r="W962" s="168"/>
      <c r="X962" s="168"/>
      <c r="Y962" s="168"/>
      <c r="Z962" s="168"/>
      <c r="AA962" s="168"/>
    </row>
    <row r="963" customFormat="false" ht="15.75" hidden="false" customHeight="false" outlineLevel="0" collapsed="false">
      <c r="A963" s="168" t="str">
        <f aca="false">IF(ISBLANK(B963),"",B963&amp;"|"&amp;C963)</f>
        <v/>
      </c>
      <c r="B963" s="168"/>
      <c r="C963" s="168"/>
      <c r="D963" s="168"/>
      <c r="E963" s="175"/>
      <c r="F963" s="168"/>
      <c r="G963" s="168"/>
      <c r="H963" s="168"/>
      <c r="I963" s="168"/>
      <c r="J963" s="168"/>
      <c r="K963" s="168"/>
      <c r="L963" s="168"/>
      <c r="M963" s="168"/>
      <c r="N963" s="168"/>
      <c r="O963" s="168"/>
      <c r="P963" s="168"/>
      <c r="Q963" s="168"/>
      <c r="R963" s="168"/>
      <c r="S963" s="168"/>
      <c r="T963" s="168"/>
      <c r="U963" s="168"/>
      <c r="V963" s="168"/>
      <c r="W963" s="168"/>
      <c r="X963" s="168"/>
      <c r="Y963" s="168"/>
      <c r="Z963" s="168"/>
      <c r="AA963" s="168"/>
    </row>
    <row r="964" customFormat="false" ht="15.75" hidden="false" customHeight="false" outlineLevel="0" collapsed="false">
      <c r="A964" s="168" t="str">
        <f aca="false">IF(ISBLANK(B964),"",B964&amp;"|"&amp;C964)</f>
        <v/>
      </c>
      <c r="B964" s="168"/>
      <c r="C964" s="168"/>
      <c r="D964" s="168"/>
      <c r="E964" s="175"/>
      <c r="F964" s="168"/>
      <c r="G964" s="168"/>
      <c r="H964" s="168"/>
      <c r="I964" s="168"/>
      <c r="J964" s="168"/>
      <c r="K964" s="168"/>
      <c r="L964" s="168"/>
      <c r="M964" s="168"/>
      <c r="N964" s="168"/>
      <c r="O964" s="168"/>
      <c r="P964" s="168"/>
      <c r="Q964" s="168"/>
      <c r="R964" s="168"/>
      <c r="S964" s="168"/>
      <c r="T964" s="168"/>
      <c r="U964" s="168"/>
      <c r="V964" s="168"/>
      <c r="W964" s="168"/>
      <c r="X964" s="168"/>
      <c r="Y964" s="168"/>
      <c r="Z964" s="168"/>
      <c r="AA964" s="168"/>
    </row>
    <row r="965" customFormat="false" ht="15.75" hidden="false" customHeight="false" outlineLevel="0" collapsed="false">
      <c r="A965" s="168" t="str">
        <f aca="false">IF(ISBLANK(B965),"",B965&amp;"|"&amp;C965)</f>
        <v/>
      </c>
      <c r="B965" s="168"/>
      <c r="C965" s="168"/>
      <c r="D965" s="168"/>
      <c r="E965" s="175"/>
      <c r="F965" s="168"/>
      <c r="G965" s="168"/>
      <c r="H965" s="168"/>
      <c r="I965" s="168"/>
      <c r="J965" s="168"/>
      <c r="K965" s="168"/>
      <c r="L965" s="168"/>
      <c r="M965" s="168"/>
      <c r="N965" s="168"/>
      <c r="O965" s="168"/>
      <c r="P965" s="168"/>
      <c r="Q965" s="168"/>
      <c r="R965" s="168"/>
      <c r="S965" s="168"/>
      <c r="T965" s="168"/>
      <c r="U965" s="168"/>
      <c r="V965" s="168"/>
      <c r="W965" s="168"/>
      <c r="X965" s="168"/>
      <c r="Y965" s="168"/>
      <c r="Z965" s="168"/>
      <c r="AA965" s="168"/>
    </row>
    <row r="966" customFormat="false" ht="15.75" hidden="false" customHeight="false" outlineLevel="0" collapsed="false">
      <c r="A966" s="168" t="str">
        <f aca="false">IF(ISBLANK(B966),"",B966&amp;"|"&amp;C966)</f>
        <v/>
      </c>
      <c r="B966" s="168"/>
      <c r="C966" s="168"/>
      <c r="D966" s="168"/>
      <c r="E966" s="175"/>
      <c r="F966" s="168"/>
      <c r="G966" s="168"/>
      <c r="H966" s="168"/>
      <c r="I966" s="168"/>
      <c r="J966" s="168"/>
      <c r="K966" s="168"/>
      <c r="L966" s="168"/>
      <c r="M966" s="168"/>
      <c r="N966" s="168"/>
      <c r="O966" s="168"/>
      <c r="P966" s="168"/>
      <c r="Q966" s="168"/>
      <c r="R966" s="168"/>
      <c r="S966" s="168"/>
      <c r="T966" s="168"/>
      <c r="U966" s="168"/>
      <c r="V966" s="168"/>
      <c r="W966" s="168"/>
      <c r="X966" s="168"/>
      <c r="Y966" s="168"/>
      <c r="Z966" s="168"/>
      <c r="AA966" s="168"/>
    </row>
    <row r="967" customFormat="false" ht="15.75" hidden="false" customHeight="false" outlineLevel="0" collapsed="false">
      <c r="A967" s="168" t="str">
        <f aca="false">IF(ISBLANK(B967),"",B967&amp;"|"&amp;C967)</f>
        <v/>
      </c>
      <c r="B967" s="168"/>
      <c r="C967" s="168"/>
      <c r="D967" s="168"/>
      <c r="E967" s="175"/>
      <c r="F967" s="168"/>
      <c r="G967" s="168"/>
      <c r="H967" s="168"/>
      <c r="I967" s="168"/>
      <c r="J967" s="168"/>
      <c r="K967" s="168"/>
      <c r="L967" s="168"/>
      <c r="M967" s="168"/>
      <c r="N967" s="168"/>
      <c r="O967" s="168"/>
      <c r="P967" s="168"/>
      <c r="Q967" s="168"/>
      <c r="R967" s="168"/>
      <c r="S967" s="168"/>
      <c r="T967" s="168"/>
      <c r="U967" s="168"/>
      <c r="V967" s="168"/>
      <c r="W967" s="168"/>
      <c r="X967" s="168"/>
      <c r="Y967" s="168"/>
      <c r="Z967" s="168"/>
      <c r="AA967" s="168"/>
    </row>
    <row r="968" customFormat="false" ht="15.75" hidden="false" customHeight="false" outlineLevel="0" collapsed="false">
      <c r="A968" s="168" t="str">
        <f aca="false">IF(ISBLANK(B968),"",B968&amp;"|"&amp;C968)</f>
        <v/>
      </c>
      <c r="B968" s="168"/>
      <c r="C968" s="168"/>
      <c r="D968" s="168"/>
      <c r="E968" s="175"/>
      <c r="F968" s="168"/>
      <c r="G968" s="168"/>
      <c r="H968" s="168"/>
      <c r="I968" s="168"/>
      <c r="J968" s="168"/>
      <c r="K968" s="168"/>
      <c r="L968" s="168"/>
      <c r="M968" s="168"/>
      <c r="N968" s="168"/>
      <c r="O968" s="168"/>
      <c r="P968" s="168"/>
      <c r="Q968" s="168"/>
      <c r="R968" s="168"/>
      <c r="S968" s="168"/>
      <c r="T968" s="168"/>
      <c r="U968" s="168"/>
      <c r="V968" s="168"/>
      <c r="W968" s="168"/>
      <c r="X968" s="168"/>
      <c r="Y968" s="168"/>
      <c r="Z968" s="168"/>
      <c r="AA968" s="168"/>
    </row>
    <row r="969" customFormat="false" ht="15.75" hidden="false" customHeight="false" outlineLevel="0" collapsed="false">
      <c r="A969" s="168" t="str">
        <f aca="false">IF(ISBLANK(B969),"",B969&amp;"|"&amp;C969)</f>
        <v/>
      </c>
      <c r="B969" s="168"/>
      <c r="C969" s="168"/>
      <c r="D969" s="168"/>
      <c r="E969" s="175"/>
      <c r="F969" s="168"/>
      <c r="G969" s="168"/>
      <c r="H969" s="168"/>
      <c r="I969" s="168"/>
      <c r="J969" s="168"/>
      <c r="K969" s="168"/>
      <c r="L969" s="168"/>
      <c r="M969" s="168"/>
      <c r="N969" s="168"/>
      <c r="O969" s="168"/>
      <c r="P969" s="168"/>
      <c r="Q969" s="168"/>
      <c r="R969" s="168"/>
      <c r="S969" s="168"/>
      <c r="T969" s="168"/>
      <c r="U969" s="168"/>
      <c r="V969" s="168"/>
      <c r="W969" s="168"/>
      <c r="X969" s="168"/>
      <c r="Y969" s="168"/>
      <c r="Z969" s="168"/>
      <c r="AA969" s="168"/>
    </row>
    <row r="970" customFormat="false" ht="15.75" hidden="false" customHeight="false" outlineLevel="0" collapsed="false">
      <c r="A970" s="168" t="str">
        <f aca="false">IF(ISBLANK(B970),"",B970&amp;"|"&amp;C970)</f>
        <v/>
      </c>
      <c r="B970" s="168"/>
      <c r="C970" s="168"/>
      <c r="D970" s="168"/>
      <c r="E970" s="175"/>
      <c r="F970" s="168"/>
      <c r="G970" s="168"/>
      <c r="H970" s="168"/>
      <c r="I970" s="168"/>
      <c r="J970" s="168"/>
      <c r="K970" s="168"/>
      <c r="L970" s="168"/>
      <c r="M970" s="168"/>
      <c r="N970" s="168"/>
      <c r="O970" s="168"/>
      <c r="P970" s="168"/>
      <c r="Q970" s="168"/>
      <c r="R970" s="168"/>
      <c r="S970" s="168"/>
      <c r="T970" s="168"/>
      <c r="U970" s="168"/>
      <c r="V970" s="168"/>
      <c r="W970" s="168"/>
      <c r="X970" s="168"/>
      <c r="Y970" s="168"/>
      <c r="Z970" s="168"/>
      <c r="AA970" s="168"/>
    </row>
    <row r="971" customFormat="false" ht="15.75" hidden="false" customHeight="false" outlineLevel="0" collapsed="false">
      <c r="A971" s="168" t="str">
        <f aca="false">IF(ISBLANK(B971),"",B971&amp;"|"&amp;C971)</f>
        <v/>
      </c>
      <c r="B971" s="168"/>
      <c r="C971" s="168"/>
      <c r="D971" s="168"/>
      <c r="E971" s="175"/>
      <c r="F971" s="168"/>
      <c r="G971" s="168"/>
      <c r="H971" s="168"/>
      <c r="I971" s="168"/>
      <c r="J971" s="168"/>
      <c r="K971" s="168"/>
      <c r="L971" s="168"/>
      <c r="M971" s="168"/>
      <c r="N971" s="168"/>
      <c r="O971" s="168"/>
      <c r="P971" s="168"/>
      <c r="Q971" s="168"/>
      <c r="R971" s="168"/>
      <c r="S971" s="168"/>
      <c r="T971" s="168"/>
      <c r="U971" s="168"/>
      <c r="V971" s="168"/>
      <c r="W971" s="168"/>
      <c r="X971" s="168"/>
      <c r="Y971" s="168"/>
      <c r="Z971" s="168"/>
      <c r="AA971" s="168"/>
    </row>
    <row r="972" customFormat="false" ht="15.75" hidden="false" customHeight="false" outlineLevel="0" collapsed="false">
      <c r="A972" s="168" t="str">
        <f aca="false">IF(ISBLANK(B972),"",B972&amp;"|"&amp;C972)</f>
        <v/>
      </c>
      <c r="B972" s="168"/>
      <c r="C972" s="168"/>
      <c r="D972" s="168"/>
      <c r="E972" s="175"/>
      <c r="F972" s="168"/>
      <c r="G972" s="168"/>
      <c r="H972" s="168"/>
      <c r="I972" s="168"/>
      <c r="J972" s="168"/>
      <c r="K972" s="168"/>
      <c r="L972" s="168"/>
      <c r="M972" s="168"/>
      <c r="N972" s="168"/>
      <c r="O972" s="168"/>
      <c r="P972" s="168"/>
      <c r="Q972" s="168"/>
      <c r="R972" s="168"/>
      <c r="S972" s="168"/>
      <c r="T972" s="168"/>
      <c r="U972" s="168"/>
      <c r="V972" s="168"/>
      <c r="W972" s="168"/>
      <c r="X972" s="168"/>
      <c r="Y972" s="168"/>
      <c r="Z972" s="168"/>
      <c r="AA972" s="168"/>
    </row>
    <row r="973" customFormat="false" ht="15.75" hidden="false" customHeight="false" outlineLevel="0" collapsed="false">
      <c r="A973" s="168" t="str">
        <f aca="false">IF(ISBLANK(B973),"",B973&amp;"|"&amp;C973)</f>
        <v/>
      </c>
      <c r="B973" s="168"/>
      <c r="C973" s="168"/>
      <c r="D973" s="168"/>
      <c r="E973" s="175"/>
      <c r="F973" s="168"/>
      <c r="G973" s="168"/>
      <c r="H973" s="168"/>
      <c r="I973" s="168"/>
      <c r="J973" s="168"/>
      <c r="K973" s="168"/>
      <c r="L973" s="168"/>
      <c r="M973" s="168"/>
      <c r="N973" s="168"/>
      <c r="O973" s="168"/>
      <c r="P973" s="168"/>
      <c r="Q973" s="168"/>
      <c r="R973" s="168"/>
      <c r="S973" s="168"/>
      <c r="T973" s="168"/>
      <c r="U973" s="168"/>
      <c r="V973" s="168"/>
      <c r="W973" s="168"/>
      <c r="X973" s="168"/>
      <c r="Y973" s="168"/>
      <c r="Z973" s="168"/>
      <c r="AA973" s="168"/>
    </row>
    <row r="974" customFormat="false" ht="15.75" hidden="false" customHeight="false" outlineLevel="0" collapsed="false">
      <c r="A974" s="168" t="str">
        <f aca="false">IF(ISBLANK(B974),"",B974&amp;"|"&amp;C974)</f>
        <v/>
      </c>
      <c r="B974" s="168"/>
      <c r="C974" s="168"/>
      <c r="D974" s="168"/>
      <c r="E974" s="175"/>
      <c r="F974" s="168"/>
      <c r="G974" s="168"/>
      <c r="H974" s="168"/>
      <c r="I974" s="168"/>
      <c r="J974" s="168"/>
      <c r="K974" s="168"/>
      <c r="L974" s="168"/>
      <c r="M974" s="168"/>
      <c r="N974" s="168"/>
      <c r="O974" s="168"/>
      <c r="P974" s="168"/>
      <c r="Q974" s="168"/>
      <c r="R974" s="168"/>
      <c r="S974" s="168"/>
      <c r="T974" s="168"/>
      <c r="U974" s="168"/>
      <c r="V974" s="168"/>
      <c r="W974" s="168"/>
      <c r="X974" s="168"/>
      <c r="Y974" s="168"/>
      <c r="Z974" s="168"/>
      <c r="AA974" s="168"/>
    </row>
    <row r="975" customFormat="false" ht="15.75" hidden="false" customHeight="false" outlineLevel="0" collapsed="false">
      <c r="A975" s="168" t="str">
        <f aca="false">IF(ISBLANK(B975),"",B975&amp;"|"&amp;C975)</f>
        <v/>
      </c>
      <c r="B975" s="168"/>
      <c r="C975" s="168"/>
      <c r="D975" s="168"/>
      <c r="E975" s="175"/>
      <c r="F975" s="168"/>
      <c r="G975" s="168"/>
      <c r="H975" s="168"/>
      <c r="I975" s="168"/>
      <c r="J975" s="168"/>
      <c r="K975" s="168"/>
      <c r="L975" s="168"/>
      <c r="M975" s="168"/>
      <c r="N975" s="168"/>
      <c r="O975" s="168"/>
      <c r="P975" s="168"/>
      <c r="Q975" s="168"/>
      <c r="R975" s="168"/>
      <c r="S975" s="168"/>
      <c r="T975" s="168"/>
      <c r="U975" s="168"/>
      <c r="V975" s="168"/>
      <c r="W975" s="168"/>
      <c r="X975" s="168"/>
      <c r="Y975" s="168"/>
      <c r="Z975" s="168"/>
      <c r="AA975" s="168"/>
    </row>
    <row r="976" customFormat="false" ht="15.75" hidden="false" customHeight="false" outlineLevel="0" collapsed="false">
      <c r="A976" s="168" t="str">
        <f aca="false">IF(ISBLANK(B976),"",B976&amp;"|"&amp;C976)</f>
        <v/>
      </c>
      <c r="B976" s="168"/>
      <c r="C976" s="168"/>
      <c r="D976" s="168"/>
      <c r="E976" s="175"/>
      <c r="F976" s="168"/>
      <c r="G976" s="168"/>
      <c r="H976" s="168"/>
      <c r="I976" s="168"/>
      <c r="J976" s="168"/>
      <c r="K976" s="168"/>
      <c r="L976" s="168"/>
      <c r="M976" s="168"/>
      <c r="N976" s="168"/>
      <c r="O976" s="168"/>
      <c r="P976" s="168"/>
      <c r="Q976" s="168"/>
      <c r="R976" s="168"/>
      <c r="S976" s="168"/>
      <c r="T976" s="168"/>
      <c r="U976" s="168"/>
      <c r="V976" s="168"/>
      <c r="W976" s="168"/>
      <c r="X976" s="168"/>
      <c r="Y976" s="168"/>
      <c r="Z976" s="168"/>
      <c r="AA976" s="168"/>
    </row>
    <row r="977" customFormat="false" ht="15.75" hidden="false" customHeight="false" outlineLevel="0" collapsed="false">
      <c r="A977" s="168" t="str">
        <f aca="false">IF(ISBLANK(B977),"",B977&amp;"|"&amp;C977)</f>
        <v/>
      </c>
      <c r="B977" s="168"/>
      <c r="C977" s="168"/>
      <c r="D977" s="168"/>
      <c r="E977" s="175"/>
      <c r="F977" s="168"/>
      <c r="G977" s="168"/>
      <c r="H977" s="168"/>
      <c r="I977" s="168"/>
      <c r="J977" s="168"/>
      <c r="K977" s="168"/>
      <c r="L977" s="168"/>
      <c r="M977" s="168"/>
      <c r="N977" s="168"/>
      <c r="O977" s="168"/>
      <c r="P977" s="168"/>
      <c r="Q977" s="168"/>
      <c r="R977" s="168"/>
      <c r="S977" s="168"/>
      <c r="T977" s="168"/>
      <c r="U977" s="168"/>
      <c r="V977" s="168"/>
      <c r="W977" s="168"/>
      <c r="X977" s="168"/>
      <c r="Y977" s="168"/>
      <c r="Z977" s="168"/>
      <c r="AA977" s="168"/>
    </row>
    <row r="978" customFormat="false" ht="15.75" hidden="false" customHeight="false" outlineLevel="0" collapsed="false">
      <c r="A978" s="168" t="str">
        <f aca="false">IF(ISBLANK(B978),"",B978&amp;"|"&amp;C978)</f>
        <v/>
      </c>
      <c r="B978" s="168"/>
      <c r="C978" s="168"/>
      <c r="D978" s="168"/>
      <c r="E978" s="175"/>
      <c r="F978" s="168"/>
      <c r="G978" s="168"/>
      <c r="H978" s="168"/>
      <c r="I978" s="168"/>
      <c r="J978" s="168"/>
      <c r="K978" s="168"/>
      <c r="L978" s="168"/>
      <c r="M978" s="168"/>
      <c r="N978" s="168"/>
      <c r="O978" s="168"/>
      <c r="P978" s="168"/>
      <c r="Q978" s="168"/>
      <c r="R978" s="168"/>
      <c r="S978" s="168"/>
      <c r="T978" s="168"/>
      <c r="U978" s="168"/>
      <c r="V978" s="168"/>
      <c r="W978" s="168"/>
      <c r="X978" s="168"/>
      <c r="Y978" s="168"/>
      <c r="Z978" s="168"/>
      <c r="AA978" s="168"/>
    </row>
    <row r="979" customFormat="false" ht="15.75" hidden="false" customHeight="false" outlineLevel="0" collapsed="false">
      <c r="A979" s="168" t="str">
        <f aca="false">IF(ISBLANK(B979),"",B979&amp;"|"&amp;C979)</f>
        <v/>
      </c>
      <c r="B979" s="168"/>
      <c r="C979" s="168"/>
      <c r="D979" s="168"/>
      <c r="E979" s="175"/>
      <c r="F979" s="168"/>
      <c r="G979" s="168"/>
      <c r="H979" s="168"/>
      <c r="I979" s="168"/>
      <c r="J979" s="168"/>
      <c r="K979" s="168"/>
      <c r="L979" s="168"/>
      <c r="M979" s="168"/>
      <c r="N979" s="168"/>
      <c r="O979" s="168"/>
      <c r="P979" s="168"/>
      <c r="Q979" s="168"/>
      <c r="R979" s="168"/>
      <c r="S979" s="168"/>
      <c r="T979" s="168"/>
      <c r="U979" s="168"/>
      <c r="V979" s="168"/>
      <c r="W979" s="168"/>
      <c r="X979" s="168"/>
      <c r="Y979" s="168"/>
      <c r="Z979" s="168"/>
      <c r="AA979" s="168"/>
    </row>
    <row r="980" customFormat="false" ht="15.75" hidden="false" customHeight="false" outlineLevel="0" collapsed="false">
      <c r="A980" s="168" t="str">
        <f aca="false">IF(ISBLANK(B980),"",B980&amp;"|"&amp;C980)</f>
        <v/>
      </c>
      <c r="B980" s="168"/>
      <c r="C980" s="168"/>
      <c r="D980" s="168"/>
      <c r="E980" s="175"/>
      <c r="F980" s="168"/>
      <c r="G980" s="168"/>
      <c r="H980" s="168"/>
      <c r="I980" s="168"/>
      <c r="J980" s="168"/>
      <c r="K980" s="168"/>
      <c r="L980" s="168"/>
      <c r="M980" s="168"/>
      <c r="N980" s="168"/>
      <c r="O980" s="168"/>
      <c r="P980" s="168"/>
      <c r="Q980" s="168"/>
      <c r="R980" s="168"/>
      <c r="S980" s="168"/>
      <c r="T980" s="168"/>
      <c r="U980" s="168"/>
      <c r="V980" s="168"/>
      <c r="W980" s="168"/>
      <c r="X980" s="168"/>
      <c r="Y980" s="168"/>
      <c r="Z980" s="168"/>
      <c r="AA980" s="168"/>
    </row>
    <row r="981" customFormat="false" ht="15.75" hidden="false" customHeight="false" outlineLevel="0" collapsed="false">
      <c r="A981" s="168" t="str">
        <f aca="false">IF(ISBLANK(B981),"",B981&amp;"|"&amp;C981)</f>
        <v/>
      </c>
      <c r="B981" s="168"/>
      <c r="C981" s="168"/>
      <c r="D981" s="168"/>
      <c r="E981" s="175"/>
      <c r="F981" s="168"/>
      <c r="G981" s="168"/>
      <c r="H981" s="168"/>
      <c r="I981" s="168"/>
      <c r="J981" s="168"/>
      <c r="K981" s="168"/>
      <c r="L981" s="168"/>
      <c r="M981" s="168"/>
      <c r="N981" s="168"/>
      <c r="O981" s="168"/>
      <c r="P981" s="168"/>
      <c r="Q981" s="168"/>
      <c r="R981" s="168"/>
      <c r="S981" s="168"/>
      <c r="T981" s="168"/>
      <c r="U981" s="168"/>
      <c r="V981" s="168"/>
      <c r="W981" s="168"/>
      <c r="X981" s="168"/>
      <c r="Y981" s="168"/>
      <c r="Z981" s="168"/>
      <c r="AA981" s="168"/>
    </row>
    <row r="982" customFormat="false" ht="15.75" hidden="false" customHeight="false" outlineLevel="0" collapsed="false">
      <c r="A982" s="168" t="str">
        <f aca="false">IF(ISBLANK(B982),"",B982&amp;"|"&amp;C982)</f>
        <v/>
      </c>
      <c r="B982" s="168"/>
      <c r="C982" s="168"/>
      <c r="D982" s="168"/>
      <c r="E982" s="175"/>
      <c r="F982" s="168"/>
      <c r="G982" s="168"/>
      <c r="H982" s="168"/>
      <c r="I982" s="168"/>
      <c r="J982" s="168"/>
      <c r="K982" s="168"/>
      <c r="L982" s="168"/>
      <c r="M982" s="168"/>
      <c r="N982" s="168"/>
      <c r="O982" s="168"/>
      <c r="P982" s="168"/>
      <c r="Q982" s="168"/>
      <c r="R982" s="168"/>
      <c r="S982" s="168"/>
      <c r="T982" s="168"/>
      <c r="U982" s="168"/>
      <c r="V982" s="168"/>
      <c r="W982" s="168"/>
      <c r="X982" s="168"/>
      <c r="Y982" s="168"/>
      <c r="Z982" s="168"/>
      <c r="AA982" s="168"/>
    </row>
    <row r="983" customFormat="false" ht="15.75" hidden="false" customHeight="false" outlineLevel="0" collapsed="false">
      <c r="A983" s="168" t="str">
        <f aca="false">IF(ISBLANK(B983),"",B983&amp;"|"&amp;C983)</f>
        <v/>
      </c>
      <c r="B983" s="168"/>
      <c r="C983" s="168"/>
      <c r="D983" s="168"/>
      <c r="E983" s="175"/>
      <c r="F983" s="168"/>
      <c r="G983" s="168"/>
      <c r="H983" s="168"/>
      <c r="I983" s="168"/>
      <c r="J983" s="168"/>
      <c r="K983" s="168"/>
      <c r="L983" s="168"/>
      <c r="M983" s="168"/>
      <c r="N983" s="168"/>
      <c r="O983" s="168"/>
      <c r="P983" s="168"/>
      <c r="Q983" s="168"/>
      <c r="R983" s="168"/>
      <c r="S983" s="168"/>
      <c r="T983" s="168"/>
      <c r="U983" s="168"/>
      <c r="V983" s="168"/>
      <c r="W983" s="168"/>
      <c r="X983" s="168"/>
      <c r="Y983" s="168"/>
      <c r="Z983" s="168"/>
      <c r="AA983" s="168"/>
    </row>
    <row r="984" customFormat="false" ht="15.75" hidden="false" customHeight="false" outlineLevel="0" collapsed="false">
      <c r="A984" s="168" t="str">
        <f aca="false">IF(ISBLANK(B984),"",B984&amp;"|"&amp;C984)</f>
        <v/>
      </c>
      <c r="B984" s="168"/>
      <c r="C984" s="168"/>
      <c r="D984" s="168"/>
      <c r="E984" s="175"/>
      <c r="F984" s="168"/>
      <c r="G984" s="168"/>
      <c r="H984" s="168"/>
      <c r="I984" s="168"/>
      <c r="J984" s="168"/>
      <c r="K984" s="168"/>
      <c r="L984" s="168"/>
      <c r="M984" s="168"/>
      <c r="N984" s="168"/>
      <c r="O984" s="168"/>
      <c r="P984" s="168"/>
      <c r="Q984" s="168"/>
      <c r="R984" s="168"/>
      <c r="S984" s="168"/>
      <c r="T984" s="168"/>
      <c r="U984" s="168"/>
      <c r="V984" s="168"/>
      <c r="W984" s="168"/>
      <c r="X984" s="168"/>
      <c r="Y984" s="168"/>
      <c r="Z984" s="168"/>
      <c r="AA984" s="168"/>
    </row>
    <row r="985" customFormat="false" ht="15.75" hidden="false" customHeight="false" outlineLevel="0" collapsed="false">
      <c r="A985" s="168" t="str">
        <f aca="false">IF(ISBLANK(B985),"",B985&amp;"|"&amp;C985)</f>
        <v/>
      </c>
      <c r="B985" s="168"/>
      <c r="C985" s="168"/>
      <c r="D985" s="168"/>
      <c r="E985" s="175"/>
      <c r="F985" s="168"/>
      <c r="G985" s="168"/>
      <c r="H985" s="168"/>
      <c r="I985" s="168"/>
      <c r="J985" s="168"/>
      <c r="K985" s="168"/>
      <c r="L985" s="168"/>
      <c r="M985" s="168"/>
      <c r="N985" s="168"/>
      <c r="O985" s="168"/>
      <c r="P985" s="168"/>
      <c r="Q985" s="168"/>
      <c r="R985" s="168"/>
      <c r="S985" s="168"/>
      <c r="T985" s="168"/>
      <c r="U985" s="168"/>
      <c r="V985" s="168"/>
      <c r="W985" s="168"/>
      <c r="X985" s="168"/>
      <c r="Y985" s="168"/>
      <c r="Z985" s="168"/>
      <c r="AA985" s="168"/>
    </row>
    <row r="986" customFormat="false" ht="15.75" hidden="false" customHeight="false" outlineLevel="0" collapsed="false">
      <c r="A986" s="168" t="str">
        <f aca="false">IF(ISBLANK(B986),"",B986&amp;"|"&amp;C986)</f>
        <v/>
      </c>
      <c r="B986" s="168"/>
      <c r="C986" s="168"/>
      <c r="D986" s="168"/>
      <c r="E986" s="175"/>
      <c r="F986" s="168"/>
      <c r="G986" s="168"/>
      <c r="H986" s="168"/>
      <c r="I986" s="168"/>
      <c r="J986" s="168"/>
      <c r="K986" s="168"/>
      <c r="L986" s="168"/>
      <c r="M986" s="168"/>
      <c r="N986" s="168"/>
      <c r="O986" s="168"/>
      <c r="P986" s="168"/>
      <c r="Q986" s="168"/>
      <c r="R986" s="168"/>
      <c r="S986" s="168"/>
      <c r="T986" s="168"/>
      <c r="U986" s="168"/>
      <c r="V986" s="168"/>
      <c r="W986" s="168"/>
      <c r="X986" s="168"/>
      <c r="Y986" s="168"/>
      <c r="Z986" s="168"/>
      <c r="AA986" s="168"/>
    </row>
    <row r="987" customFormat="false" ht="15.75" hidden="false" customHeight="false" outlineLevel="0" collapsed="false">
      <c r="A987" s="168" t="str">
        <f aca="false">IF(ISBLANK(B987),"",B987&amp;"|"&amp;C987)</f>
        <v/>
      </c>
      <c r="B987" s="168"/>
      <c r="C987" s="168"/>
      <c r="D987" s="168"/>
      <c r="E987" s="175"/>
      <c r="F987" s="168"/>
      <c r="G987" s="168"/>
      <c r="H987" s="168"/>
      <c r="I987" s="168"/>
      <c r="J987" s="168"/>
      <c r="K987" s="168"/>
      <c r="L987" s="168"/>
      <c r="M987" s="168"/>
      <c r="N987" s="168"/>
      <c r="O987" s="168"/>
      <c r="P987" s="168"/>
      <c r="Q987" s="168"/>
      <c r="R987" s="168"/>
      <c r="S987" s="168"/>
      <c r="T987" s="168"/>
      <c r="U987" s="168"/>
      <c r="V987" s="168"/>
      <c r="W987" s="168"/>
      <c r="X987" s="168"/>
      <c r="Y987" s="168"/>
      <c r="Z987" s="168"/>
      <c r="AA987" s="168"/>
    </row>
    <row r="988" customFormat="false" ht="15.75" hidden="false" customHeight="false" outlineLevel="0" collapsed="false">
      <c r="A988" s="168" t="str">
        <f aca="false">IF(ISBLANK(B988),"",B988&amp;"|"&amp;C988)</f>
        <v/>
      </c>
      <c r="B988" s="168"/>
      <c r="C988" s="168"/>
      <c r="D988" s="168"/>
      <c r="E988" s="175"/>
      <c r="F988" s="168"/>
      <c r="G988" s="168"/>
      <c r="H988" s="168"/>
      <c r="I988" s="168"/>
      <c r="J988" s="168"/>
      <c r="K988" s="168"/>
      <c r="L988" s="168"/>
      <c r="M988" s="168"/>
      <c r="N988" s="168"/>
      <c r="O988" s="168"/>
      <c r="P988" s="168"/>
      <c r="Q988" s="168"/>
      <c r="R988" s="168"/>
      <c r="S988" s="168"/>
      <c r="T988" s="168"/>
      <c r="U988" s="168"/>
      <c r="V988" s="168"/>
      <c r="W988" s="168"/>
      <c r="X988" s="168"/>
      <c r="Y988" s="168"/>
      <c r="Z988" s="168"/>
      <c r="AA988" s="168"/>
    </row>
    <row r="989" customFormat="false" ht="15.75" hidden="false" customHeight="false" outlineLevel="0" collapsed="false">
      <c r="A989" s="168" t="str">
        <f aca="false">IF(ISBLANK(B989),"",B989&amp;"|"&amp;C989)</f>
        <v/>
      </c>
      <c r="B989" s="168"/>
      <c r="C989" s="168"/>
      <c r="D989" s="168"/>
      <c r="E989" s="175"/>
      <c r="F989" s="168"/>
      <c r="G989" s="168"/>
      <c r="H989" s="168"/>
      <c r="I989" s="168"/>
      <c r="J989" s="168"/>
      <c r="K989" s="168"/>
      <c r="L989" s="168"/>
      <c r="M989" s="168"/>
      <c r="N989" s="168"/>
      <c r="O989" s="168"/>
      <c r="P989" s="168"/>
      <c r="Q989" s="168"/>
      <c r="R989" s="168"/>
      <c r="S989" s="168"/>
      <c r="T989" s="168"/>
      <c r="U989" s="168"/>
      <c r="V989" s="168"/>
      <c r="W989" s="168"/>
      <c r="X989" s="168"/>
      <c r="Y989" s="168"/>
      <c r="Z989" s="168"/>
      <c r="AA989" s="168"/>
    </row>
    <row r="990" customFormat="false" ht="15.75" hidden="false" customHeight="false" outlineLevel="0" collapsed="false">
      <c r="A990" s="168" t="str">
        <f aca="false">IF(ISBLANK(B990),"",B990&amp;"|"&amp;C990)</f>
        <v/>
      </c>
      <c r="B990" s="168"/>
      <c r="C990" s="168"/>
      <c r="D990" s="168"/>
      <c r="E990" s="175"/>
      <c r="F990" s="168"/>
      <c r="G990" s="168"/>
      <c r="H990" s="168"/>
      <c r="I990" s="168"/>
      <c r="J990" s="168"/>
      <c r="K990" s="168"/>
      <c r="L990" s="168"/>
      <c r="M990" s="168"/>
      <c r="N990" s="168"/>
      <c r="O990" s="168"/>
      <c r="P990" s="168"/>
      <c r="Q990" s="168"/>
      <c r="R990" s="168"/>
      <c r="S990" s="168"/>
      <c r="T990" s="168"/>
      <c r="U990" s="168"/>
      <c r="V990" s="168"/>
      <c r="W990" s="168"/>
      <c r="X990" s="168"/>
      <c r="Y990" s="168"/>
      <c r="Z990" s="168"/>
      <c r="AA990" s="168"/>
    </row>
    <row r="991" customFormat="false" ht="15.75" hidden="false" customHeight="false" outlineLevel="0" collapsed="false">
      <c r="A991" s="168" t="str">
        <f aca="false">IF(ISBLANK(B991),"",B991&amp;"|"&amp;C991)</f>
        <v/>
      </c>
      <c r="B991" s="168"/>
      <c r="C991" s="168"/>
      <c r="D991" s="168"/>
      <c r="E991" s="175"/>
      <c r="F991" s="168"/>
      <c r="G991" s="168"/>
      <c r="H991" s="168"/>
      <c r="I991" s="168"/>
      <c r="J991" s="168"/>
      <c r="K991" s="168"/>
      <c r="L991" s="168"/>
      <c r="M991" s="168"/>
      <c r="N991" s="168"/>
      <c r="O991" s="168"/>
      <c r="P991" s="168"/>
      <c r="Q991" s="168"/>
      <c r="R991" s="168"/>
      <c r="S991" s="168"/>
      <c r="T991" s="168"/>
      <c r="U991" s="168"/>
      <c r="V991" s="168"/>
      <c r="W991" s="168"/>
      <c r="X991" s="168"/>
      <c r="Y991" s="168"/>
      <c r="Z991" s="168"/>
      <c r="AA991" s="168"/>
    </row>
    <row r="992" customFormat="false" ht="15.75" hidden="false" customHeight="false" outlineLevel="0" collapsed="false">
      <c r="A992" s="168" t="str">
        <f aca="false">IF(ISBLANK(B992),"",B992&amp;"|"&amp;C992)</f>
        <v/>
      </c>
      <c r="B992" s="168"/>
      <c r="C992" s="168"/>
      <c r="D992" s="168"/>
      <c r="E992" s="175"/>
      <c r="F992" s="168"/>
      <c r="G992" s="168"/>
      <c r="H992" s="168"/>
      <c r="I992" s="168"/>
      <c r="J992" s="168"/>
      <c r="K992" s="168"/>
      <c r="L992" s="168"/>
      <c r="M992" s="168"/>
      <c r="N992" s="168"/>
      <c r="O992" s="168"/>
      <c r="P992" s="168"/>
      <c r="Q992" s="168"/>
      <c r="R992" s="168"/>
      <c r="S992" s="168"/>
      <c r="T992" s="168"/>
      <c r="U992" s="168"/>
      <c r="V992" s="168"/>
      <c r="W992" s="168"/>
      <c r="X992" s="168"/>
      <c r="Y992" s="168"/>
      <c r="Z992" s="168"/>
      <c r="AA992" s="168"/>
    </row>
    <row r="993" customFormat="false" ht="15.75" hidden="false" customHeight="false" outlineLevel="0" collapsed="false">
      <c r="A993" s="168" t="str">
        <f aca="false">IF(ISBLANK(B993),"",B993&amp;"|"&amp;C993)</f>
        <v/>
      </c>
      <c r="B993" s="168"/>
      <c r="C993" s="168"/>
      <c r="D993" s="168"/>
      <c r="E993" s="175"/>
      <c r="F993" s="168"/>
      <c r="G993" s="168"/>
      <c r="H993" s="168"/>
      <c r="I993" s="168"/>
      <c r="J993" s="168"/>
      <c r="K993" s="168"/>
      <c r="L993" s="168"/>
      <c r="M993" s="168"/>
      <c r="N993" s="168"/>
      <c r="O993" s="168"/>
      <c r="P993" s="168"/>
      <c r="Q993" s="168"/>
      <c r="R993" s="168"/>
      <c r="S993" s="168"/>
      <c r="T993" s="168"/>
      <c r="U993" s="168"/>
      <c r="V993" s="168"/>
      <c r="W993" s="168"/>
      <c r="X993" s="168"/>
      <c r="Y993" s="168"/>
      <c r="Z993" s="168"/>
      <c r="AA993" s="168"/>
    </row>
    <row r="994" customFormat="false" ht="15.75" hidden="false" customHeight="false" outlineLevel="0" collapsed="false">
      <c r="A994" s="168" t="str">
        <f aca="false">IF(ISBLANK(B994),"",B994&amp;"|"&amp;C994)</f>
        <v/>
      </c>
      <c r="B994" s="168"/>
      <c r="C994" s="168"/>
      <c r="D994" s="168"/>
      <c r="E994" s="175"/>
      <c r="F994" s="168"/>
      <c r="G994" s="168"/>
      <c r="H994" s="168"/>
      <c r="I994" s="168"/>
      <c r="J994" s="168"/>
      <c r="K994" s="168"/>
      <c r="L994" s="168"/>
      <c r="M994" s="168"/>
      <c r="N994" s="168"/>
      <c r="O994" s="168"/>
      <c r="P994" s="168"/>
      <c r="Q994" s="168"/>
      <c r="R994" s="168"/>
      <c r="S994" s="168"/>
      <c r="T994" s="168"/>
      <c r="U994" s="168"/>
      <c r="V994" s="168"/>
      <c r="W994" s="168"/>
      <c r="X994" s="168"/>
      <c r="Y994" s="168"/>
      <c r="Z994" s="168"/>
      <c r="AA994" s="168"/>
    </row>
    <row r="995" customFormat="false" ht="15.75" hidden="false" customHeight="false" outlineLevel="0" collapsed="false">
      <c r="A995" s="168" t="str">
        <f aca="false">IF(ISBLANK(B995),"",B995&amp;"|"&amp;C995)</f>
        <v/>
      </c>
      <c r="B995" s="168"/>
      <c r="C995" s="168"/>
      <c r="D995" s="168"/>
      <c r="E995" s="175"/>
      <c r="F995" s="168"/>
      <c r="G995" s="168"/>
      <c r="H995" s="168"/>
      <c r="I995" s="168"/>
      <c r="J995" s="168"/>
      <c r="K995" s="168"/>
      <c r="L995" s="168"/>
      <c r="M995" s="168"/>
      <c r="N995" s="168"/>
      <c r="O995" s="168"/>
      <c r="P995" s="168"/>
      <c r="Q995" s="168"/>
      <c r="R995" s="168"/>
      <c r="S995" s="168"/>
      <c r="T995" s="168"/>
      <c r="U995" s="168"/>
      <c r="V995" s="168"/>
      <c r="W995" s="168"/>
      <c r="X995" s="168"/>
      <c r="Y995" s="168"/>
      <c r="Z995" s="168"/>
      <c r="AA995" s="168"/>
    </row>
    <row r="996" customFormat="false" ht="15.75" hidden="false" customHeight="false" outlineLevel="0" collapsed="false">
      <c r="A996" s="168" t="str">
        <f aca="false">IF(ISBLANK(B996),"",B996&amp;"|"&amp;C996)</f>
        <v/>
      </c>
      <c r="B996" s="168"/>
      <c r="C996" s="168"/>
      <c r="D996" s="168"/>
      <c r="E996" s="175"/>
      <c r="F996" s="168"/>
      <c r="G996" s="168"/>
      <c r="H996" s="168"/>
      <c r="I996" s="168"/>
      <c r="J996" s="168"/>
      <c r="K996" s="168"/>
      <c r="L996" s="168"/>
      <c r="M996" s="168"/>
      <c r="N996" s="168"/>
      <c r="O996" s="168"/>
      <c r="P996" s="168"/>
      <c r="Q996" s="168"/>
      <c r="R996" s="168"/>
      <c r="S996" s="168"/>
      <c r="T996" s="168"/>
      <c r="U996" s="168"/>
      <c r="V996" s="168"/>
      <c r="W996" s="168"/>
      <c r="X996" s="168"/>
      <c r="Y996" s="168"/>
      <c r="Z996" s="168"/>
      <c r="AA996" s="168"/>
    </row>
    <row r="997" customFormat="false" ht="15.75" hidden="false" customHeight="false" outlineLevel="0" collapsed="false">
      <c r="A997" s="168" t="str">
        <f aca="false">IF(ISBLANK(B997),"",B997&amp;"|"&amp;C997)</f>
        <v/>
      </c>
      <c r="B997" s="168"/>
      <c r="C997" s="168"/>
      <c r="D997" s="168"/>
      <c r="E997" s="175"/>
      <c r="F997" s="168"/>
      <c r="G997" s="168"/>
      <c r="H997" s="168"/>
      <c r="I997" s="168"/>
      <c r="J997" s="168"/>
      <c r="K997" s="168"/>
      <c r="L997" s="168"/>
      <c r="M997" s="168"/>
      <c r="N997" s="168"/>
      <c r="O997" s="168"/>
      <c r="P997" s="168"/>
      <c r="Q997" s="168"/>
      <c r="R997" s="168"/>
      <c r="S997" s="168"/>
      <c r="T997" s="168"/>
      <c r="U997" s="168"/>
      <c r="V997" s="168"/>
      <c r="W997" s="168"/>
      <c r="X997" s="168"/>
      <c r="Y997" s="168"/>
      <c r="Z997" s="168"/>
      <c r="AA997" s="168"/>
    </row>
    <row r="998" customFormat="false" ht="15.75" hidden="false" customHeight="false" outlineLevel="0" collapsed="false">
      <c r="A998" s="168" t="str">
        <f aca="false">IF(ISBLANK(B998),"",B998&amp;"|"&amp;C998)</f>
        <v/>
      </c>
      <c r="B998" s="168"/>
      <c r="C998" s="168"/>
      <c r="D998" s="168"/>
      <c r="E998" s="175"/>
      <c r="F998" s="168"/>
      <c r="G998" s="168"/>
      <c r="H998" s="168"/>
      <c r="I998" s="168"/>
      <c r="J998" s="168"/>
      <c r="K998" s="168"/>
      <c r="L998" s="168"/>
      <c r="M998" s="168"/>
      <c r="N998" s="168"/>
      <c r="O998" s="168"/>
      <c r="P998" s="168"/>
      <c r="Q998" s="168"/>
      <c r="R998" s="168"/>
      <c r="S998" s="168"/>
      <c r="T998" s="168"/>
      <c r="U998" s="168"/>
      <c r="V998" s="168"/>
      <c r="W998" s="168"/>
      <c r="X998" s="168"/>
      <c r="Y998" s="168"/>
      <c r="Z998" s="168"/>
      <c r="AA998" s="168"/>
    </row>
    <row r="999" customFormat="false" ht="15.75" hidden="false" customHeight="false" outlineLevel="0" collapsed="false">
      <c r="A999" s="168" t="str">
        <f aca="false">IF(ISBLANK(B999),"",B999&amp;"|"&amp;C999)</f>
        <v/>
      </c>
      <c r="B999" s="168"/>
      <c r="C999" s="168"/>
      <c r="D999" s="168"/>
      <c r="E999" s="175"/>
      <c r="F999" s="168"/>
      <c r="G999" s="168"/>
      <c r="H999" s="168"/>
      <c r="I999" s="168"/>
      <c r="J999" s="168"/>
      <c r="K999" s="168"/>
      <c r="L999" s="168"/>
      <c r="M999" s="168"/>
      <c r="N999" s="168"/>
      <c r="O999" s="168"/>
      <c r="P999" s="168"/>
      <c r="Q999" s="168"/>
      <c r="R999" s="168"/>
      <c r="S999" s="168"/>
      <c r="T999" s="168"/>
      <c r="U999" s="168"/>
      <c r="V999" s="168"/>
      <c r="W999" s="168"/>
      <c r="X999" s="168"/>
      <c r="Y999" s="168"/>
      <c r="Z999" s="168"/>
      <c r="AA999" s="168"/>
    </row>
    <row r="1000" customFormat="false" ht="15.75" hidden="false" customHeight="false" outlineLevel="0" collapsed="false">
      <c r="A1000" s="168" t="str">
        <f aca="false">IF(ISBLANK(B1000),"",B1000&amp;"|"&amp;C1000)</f>
        <v/>
      </c>
      <c r="B1000" s="168"/>
      <c r="C1000" s="168"/>
      <c r="D1000" s="168"/>
      <c r="E1000" s="175"/>
      <c r="F1000" s="168"/>
      <c r="G1000" s="168"/>
      <c r="H1000" s="168"/>
      <c r="I1000" s="168"/>
      <c r="J1000" s="168"/>
      <c r="K1000" s="168"/>
      <c r="L1000" s="168"/>
      <c r="M1000" s="168"/>
      <c r="N1000" s="168"/>
      <c r="O1000" s="168"/>
      <c r="P1000" s="168"/>
      <c r="Q1000" s="168"/>
      <c r="R1000" s="168"/>
      <c r="S1000" s="168"/>
      <c r="T1000" s="168"/>
      <c r="U1000" s="168"/>
      <c r="V1000" s="168"/>
      <c r="W1000" s="168"/>
      <c r="X1000" s="168"/>
      <c r="Y1000" s="168"/>
      <c r="Z1000" s="168"/>
      <c r="AA1000" s="168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15.3"/>
    <col collapsed="false" customWidth="false" hidden="true" outlineLevel="0" max="8" min="4" style="1" width="12.63"/>
  </cols>
  <sheetData>
    <row r="1" customFormat="false" ht="15.75" hidden="false" customHeight="false" outlineLevel="0" collapsed="false">
      <c r="A1" s="168" t="s">
        <v>110</v>
      </c>
      <c r="B1" s="168" t="s">
        <v>111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</row>
    <row r="2" customFormat="false" ht="15.75" hidden="false" customHeight="false" outlineLevel="0" collapsed="false">
      <c r="A2" s="168" t="s">
        <v>112</v>
      </c>
      <c r="B2" s="177" t="n">
        <v>46296</v>
      </c>
      <c r="C2" s="168"/>
      <c r="D2" s="168" t="s">
        <v>113</v>
      </c>
      <c r="E2" s="168" t="s">
        <v>114</v>
      </c>
      <c r="F2" s="168" t="s">
        <v>115</v>
      </c>
      <c r="G2" s="168" t="s">
        <v>116</v>
      </c>
      <c r="H2" s="168" t="s">
        <v>117</v>
      </c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</row>
    <row r="3" customFormat="false" ht="15.75" hidden="false" customHeight="false" outlineLevel="0" collapsed="false">
      <c r="A3" s="168" t="s">
        <v>118</v>
      </c>
      <c r="B3" s="168" t="s">
        <v>108</v>
      </c>
      <c r="C3" s="168"/>
      <c r="D3" s="176" t="n">
        <f aca="false">FIND(".",B3)</f>
        <v>2</v>
      </c>
      <c r="E3" s="176" t="n">
        <f aca="false">FIND(".",B3,D3+1)</f>
        <v>4</v>
      </c>
      <c r="F3" s="168" t="str">
        <f aca="false">LEFT(B3,D3-1)</f>
        <v>1</v>
      </c>
      <c r="G3" s="168" t="str">
        <f aca="false">MID(B3,D3+1,E3-D3-1)</f>
        <v>0</v>
      </c>
      <c r="H3" s="168" t="str">
        <f aca="false">RIGHT(B3,LEN(B3)-E3)</f>
        <v>0</v>
      </c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8"/>
      <c r="W3" s="168"/>
      <c r="X3" s="168"/>
      <c r="Y3" s="168"/>
      <c r="Z3" s="168"/>
    </row>
    <row r="4" customFormat="false" ht="15.75" hidden="false" customHeight="false" outlineLevel="0" collapsed="false">
      <c r="A4" s="168" t="s">
        <v>119</v>
      </c>
      <c r="B4" s="168" t="s">
        <v>120</v>
      </c>
      <c r="C4" s="168"/>
      <c r="D4" s="6"/>
      <c r="E4" s="6"/>
      <c r="F4" s="6"/>
      <c r="G4" s="6"/>
      <c r="H4" s="6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  <c r="U4" s="168"/>
      <c r="V4" s="168"/>
      <c r="W4" s="168"/>
      <c r="X4" s="168"/>
      <c r="Y4" s="168"/>
      <c r="Z4" s="168"/>
    </row>
    <row r="5" customFormat="false" ht="15.75" hidden="false" customHeight="false" outlineLevel="0" collapsed="false">
      <c r="A5" s="168" t="s">
        <v>121</v>
      </c>
      <c r="B5" s="168" t="n">
        <v>2027</v>
      </c>
      <c r="C5" s="168"/>
      <c r="D5" s="6"/>
      <c r="E5" s="6"/>
      <c r="F5" s="6"/>
      <c r="G5" s="6"/>
      <c r="H5" s="6"/>
      <c r="I5" s="168"/>
      <c r="J5" s="168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</row>
    <row r="6" customFormat="false" ht="15.75" hidden="false" customHeight="false" outlineLevel="0" collapsed="false">
      <c r="A6" s="168" t="s">
        <v>122</v>
      </c>
      <c r="B6" s="168" t="str">
        <f aca="false">B1&amp;"|"&amp;B4</f>
        <v>Roller Coaster|B</v>
      </c>
      <c r="C6" s="168"/>
      <c r="D6" s="6"/>
      <c r="E6" s="6"/>
      <c r="F6" s="6"/>
      <c r="G6" s="6"/>
      <c r="H6" s="6"/>
      <c r="I6" s="168"/>
      <c r="J6" s="168"/>
      <c r="K6" s="168"/>
      <c r="L6" s="168"/>
      <c r="M6" s="168"/>
      <c r="N6" s="168"/>
      <c r="O6" s="168"/>
      <c r="P6" s="168"/>
      <c r="Q6" s="168"/>
      <c r="R6" s="168"/>
      <c r="S6" s="168"/>
      <c r="T6" s="168"/>
      <c r="U6" s="168"/>
      <c r="V6" s="168"/>
      <c r="W6" s="168"/>
      <c r="X6" s="168"/>
      <c r="Y6" s="168"/>
      <c r="Z6" s="168"/>
    </row>
    <row r="7" customFormat="false" ht="15.75" hidden="false" customHeight="false" outlineLevel="0" collapsed="false">
      <c r="A7" s="168" t="s">
        <v>123</v>
      </c>
      <c r="B7" s="168" t="s">
        <v>108</v>
      </c>
      <c r="C7" s="168"/>
      <c r="D7" s="176" t="n">
        <f aca="false">FIND(".",B7)</f>
        <v>2</v>
      </c>
      <c r="E7" s="176" t="n">
        <f aca="false">FIND(".",B7,D7+1)</f>
        <v>4</v>
      </c>
      <c r="F7" s="168" t="str">
        <f aca="false">LEFT(B7,D7-1)</f>
        <v>1</v>
      </c>
      <c r="G7" s="168" t="str">
        <f aca="false">MID(B7,D7+1,E7-D7-1)</f>
        <v>0</v>
      </c>
      <c r="H7" s="168" t="str">
        <f aca="false">RIGHT(B7,LEN(B7)-E7)</f>
        <v>0</v>
      </c>
      <c r="I7" s="168"/>
      <c r="J7" s="168"/>
      <c r="K7" s="168"/>
      <c r="L7" s="168"/>
      <c r="M7" s="168"/>
      <c r="N7" s="168"/>
      <c r="O7" s="168"/>
      <c r="P7" s="168"/>
      <c r="Q7" s="168"/>
      <c r="R7" s="168"/>
      <c r="S7" s="168"/>
      <c r="T7" s="168"/>
      <c r="U7" s="168"/>
      <c r="V7" s="168"/>
      <c r="W7" s="168"/>
      <c r="X7" s="168"/>
      <c r="Y7" s="168"/>
      <c r="Z7" s="168"/>
    </row>
    <row r="8" customFormat="false" ht="15.75" hidden="false" customHeight="false" outlineLevel="0" collapsed="false">
      <c r="A8" s="168" t="s">
        <v>124</v>
      </c>
      <c r="B8" s="168" t="str">
        <f aca="false">IF(CONCATENATE(F7,".",G7)=CONCATENATE(F3,".",G3),"F","T")</f>
        <v>F</v>
      </c>
      <c r="C8" s="168"/>
      <c r="D8" s="168"/>
      <c r="E8" s="168"/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68"/>
    </row>
    <row r="9" customFormat="false" ht="15.75" hidden="false" customHeight="false" outlineLevel="0" collapsed="false">
      <c r="A9" s="168"/>
      <c r="B9" s="168"/>
      <c r="C9" s="168"/>
      <c r="D9" s="168"/>
      <c r="E9" s="168"/>
      <c r="F9" s="168"/>
      <c r="G9" s="168"/>
      <c r="H9" s="168"/>
      <c r="I9" s="168"/>
      <c r="J9" s="168"/>
      <c r="K9" s="168"/>
      <c r="L9" s="168"/>
      <c r="M9" s="168"/>
      <c r="N9" s="168"/>
      <c r="O9" s="168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</row>
    <row r="10" customFormat="false" ht="15.75" hidden="false" customHeight="false" outlineLevel="0" collapsed="false">
      <c r="A10" s="168"/>
      <c r="B10" s="168"/>
      <c r="C10" s="168"/>
      <c r="D10" s="168"/>
      <c r="E10" s="168"/>
      <c r="F10" s="168"/>
      <c r="G10" s="168"/>
      <c r="H10" s="168"/>
      <c r="I10" s="168"/>
      <c r="J10" s="168"/>
      <c r="K10" s="168"/>
      <c r="L10" s="168"/>
      <c r="M10" s="168"/>
      <c r="N10" s="168"/>
      <c r="O10" s="168"/>
      <c r="P10" s="168"/>
      <c r="Q10" s="168"/>
      <c r="R10" s="168"/>
      <c r="S10" s="168"/>
      <c r="T10" s="168"/>
      <c r="U10" s="168"/>
      <c r="V10" s="168"/>
      <c r="W10" s="168"/>
      <c r="X10" s="168"/>
      <c r="Y10" s="168"/>
      <c r="Z10" s="168"/>
    </row>
    <row r="11" customFormat="false" ht="15.75" hidden="false" customHeight="false" outlineLevel="0" collapsed="false">
      <c r="A11" s="168"/>
      <c r="B11" s="168"/>
      <c r="C11" s="168"/>
      <c r="D11" s="168"/>
      <c r="E11" s="168"/>
      <c r="F11" s="168"/>
      <c r="G11" s="168"/>
      <c r="H11" s="168"/>
      <c r="I11" s="168"/>
      <c r="J11" s="168"/>
      <c r="K11" s="168"/>
      <c r="L11" s="168"/>
      <c r="M11" s="168"/>
      <c r="N11" s="168"/>
      <c r="O11" s="168"/>
      <c r="P11" s="168"/>
      <c r="Q11" s="168"/>
      <c r="R11" s="168"/>
      <c r="S11" s="168"/>
      <c r="T11" s="168"/>
      <c r="U11" s="168"/>
      <c r="V11" s="168"/>
      <c r="W11" s="168"/>
      <c r="X11" s="168"/>
      <c r="Y11" s="168"/>
      <c r="Z11" s="168"/>
    </row>
    <row r="12" customFormat="false" ht="15.75" hidden="false" customHeight="false" outlineLevel="0" collapsed="false">
      <c r="A12" s="168"/>
      <c r="B12" s="168"/>
      <c r="C12" s="168"/>
      <c r="D12" s="168"/>
      <c r="E12" s="168"/>
      <c r="F12" s="168"/>
      <c r="G12" s="168"/>
      <c r="H12" s="168"/>
      <c r="I12" s="168"/>
      <c r="J12" s="168"/>
      <c r="K12" s="168"/>
      <c r="L12" s="168"/>
      <c r="M12" s="168"/>
      <c r="N12" s="168"/>
      <c r="O12" s="168"/>
      <c r="P12" s="168"/>
      <c r="Q12" s="168"/>
      <c r="R12" s="168"/>
      <c r="S12" s="168"/>
      <c r="T12" s="168"/>
      <c r="U12" s="168"/>
      <c r="V12" s="168"/>
      <c r="W12" s="168"/>
      <c r="X12" s="168"/>
      <c r="Y12" s="168"/>
      <c r="Z12" s="168"/>
    </row>
    <row r="13" customFormat="false" ht="15.75" hidden="false" customHeight="false" outlineLevel="0" collapsed="false">
      <c r="A13" s="168"/>
      <c r="B13" s="168"/>
      <c r="C13" s="168"/>
      <c r="D13" s="168"/>
      <c r="E13" s="168"/>
      <c r="F13" s="168"/>
      <c r="G13" s="168"/>
      <c r="H13" s="168"/>
      <c r="I13" s="168"/>
      <c r="J13" s="168"/>
      <c r="K13" s="168"/>
      <c r="L13" s="168"/>
      <c r="M13" s="168"/>
      <c r="N13" s="168"/>
      <c r="O13" s="168"/>
      <c r="P13" s="168"/>
      <c r="Q13" s="168"/>
      <c r="R13" s="168"/>
      <c r="S13" s="168"/>
      <c r="T13" s="168"/>
      <c r="U13" s="168"/>
      <c r="V13" s="168"/>
      <c r="W13" s="168"/>
      <c r="X13" s="168"/>
      <c r="Y13" s="168"/>
      <c r="Z13" s="168"/>
    </row>
    <row r="14" customFormat="false" ht="15.75" hidden="false" customHeight="false" outlineLevel="0" collapsed="false">
      <c r="A14" s="168"/>
      <c r="B14" s="168"/>
      <c r="C14" s="168"/>
      <c r="D14" s="168"/>
      <c r="E14" s="168"/>
      <c r="F14" s="168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68"/>
      <c r="R14" s="168"/>
      <c r="S14" s="168"/>
      <c r="T14" s="168"/>
      <c r="U14" s="168"/>
      <c r="V14" s="168"/>
      <c r="W14" s="168"/>
      <c r="X14" s="168"/>
      <c r="Y14" s="168"/>
      <c r="Z14" s="168"/>
    </row>
    <row r="15" customFormat="false" ht="15.75" hidden="false" customHeight="false" outlineLevel="0" collapsed="false">
      <c r="A15" s="168"/>
      <c r="B15" s="168"/>
      <c r="C15" s="168"/>
      <c r="D15" s="168"/>
      <c r="E15" s="168"/>
      <c r="F15" s="168"/>
      <c r="G15" s="168"/>
      <c r="H15" s="168"/>
      <c r="I15" s="168"/>
      <c r="J15" s="168"/>
      <c r="K15" s="168"/>
      <c r="L15" s="168"/>
      <c r="M15" s="168"/>
      <c r="N15" s="168"/>
      <c r="O15" s="168"/>
      <c r="P15" s="168"/>
      <c r="Q15" s="168"/>
      <c r="R15" s="168"/>
      <c r="S15" s="168"/>
      <c r="T15" s="168"/>
      <c r="U15" s="168"/>
      <c r="V15" s="168"/>
      <c r="W15" s="168"/>
      <c r="X15" s="168"/>
      <c r="Y15" s="168"/>
      <c r="Z15" s="168"/>
    </row>
    <row r="16" customFormat="false" ht="15.75" hidden="false" customHeight="false" outlineLevel="0" collapsed="false">
      <c r="A16" s="168"/>
      <c r="B16" s="168"/>
      <c r="C16" s="168"/>
      <c r="D16" s="168"/>
      <c r="E16" s="168"/>
      <c r="F16" s="168"/>
      <c r="G16" s="168"/>
      <c r="H16" s="168"/>
      <c r="I16" s="168"/>
      <c r="J16" s="168"/>
      <c r="K16" s="168"/>
      <c r="L16" s="168"/>
      <c r="M16" s="168"/>
      <c r="N16" s="168"/>
      <c r="O16" s="168"/>
      <c r="P16" s="168"/>
      <c r="Q16" s="168"/>
      <c r="R16" s="168"/>
      <c r="S16" s="168"/>
      <c r="T16" s="168"/>
      <c r="U16" s="168"/>
      <c r="V16" s="168"/>
      <c r="W16" s="168"/>
      <c r="X16" s="168"/>
      <c r="Y16" s="168"/>
      <c r="Z16" s="168"/>
    </row>
    <row r="17" customFormat="false" ht="15.75" hidden="false" customHeight="false" outlineLevel="0" collapsed="false">
      <c r="A17" s="168"/>
      <c r="B17" s="168"/>
      <c r="C17" s="168"/>
      <c r="D17" s="168"/>
      <c r="E17" s="168"/>
      <c r="F17" s="168"/>
      <c r="G17" s="168"/>
      <c r="H17" s="168"/>
      <c r="I17" s="168"/>
      <c r="J17" s="168"/>
      <c r="K17" s="168"/>
      <c r="L17" s="168"/>
      <c r="M17" s="168"/>
      <c r="N17" s="168"/>
      <c r="O17" s="168"/>
      <c r="P17" s="168"/>
      <c r="Q17" s="168"/>
      <c r="R17" s="168"/>
      <c r="S17" s="168"/>
      <c r="T17" s="168"/>
      <c r="U17" s="168"/>
      <c r="V17" s="168"/>
      <c r="W17" s="168"/>
      <c r="X17" s="168"/>
      <c r="Y17" s="168"/>
      <c r="Z17" s="168"/>
    </row>
    <row r="18" customFormat="false" ht="15.75" hidden="false" customHeight="false" outlineLevel="0" collapsed="false">
      <c r="A18" s="168"/>
      <c r="B18" s="168"/>
      <c r="C18" s="168"/>
      <c r="D18" s="168"/>
      <c r="E18" s="168"/>
      <c r="F18" s="168"/>
      <c r="G18" s="168"/>
      <c r="H18" s="168"/>
      <c r="I18" s="168"/>
      <c r="J18" s="168"/>
      <c r="K18" s="168"/>
      <c r="L18" s="168"/>
      <c r="M18" s="168"/>
      <c r="N18" s="168"/>
      <c r="O18" s="168"/>
      <c r="P18" s="168"/>
      <c r="Q18" s="168"/>
      <c r="R18" s="168"/>
      <c r="S18" s="168"/>
      <c r="T18" s="168"/>
      <c r="U18" s="168"/>
      <c r="V18" s="168"/>
      <c r="W18" s="168"/>
      <c r="X18" s="168"/>
      <c r="Y18" s="168"/>
      <c r="Z18" s="168"/>
    </row>
    <row r="19" customFormat="false" ht="15.75" hidden="false" customHeight="false" outlineLevel="0" collapsed="false">
      <c r="A19" s="168"/>
      <c r="B19" s="168"/>
      <c r="C19" s="168"/>
      <c r="D19" s="168"/>
      <c r="E19" s="168"/>
      <c r="F19" s="168"/>
      <c r="G19" s="168"/>
      <c r="H19" s="168"/>
      <c r="I19" s="168"/>
      <c r="J19" s="168"/>
      <c r="K19" s="168"/>
      <c r="L19" s="168"/>
      <c r="M19" s="168"/>
      <c r="N19" s="168"/>
      <c r="O19" s="168"/>
      <c r="P19" s="168"/>
      <c r="Q19" s="168"/>
      <c r="R19" s="168"/>
      <c r="S19" s="168"/>
      <c r="T19" s="168"/>
      <c r="U19" s="168"/>
      <c r="V19" s="168"/>
      <c r="W19" s="168"/>
      <c r="X19" s="168"/>
      <c r="Y19" s="168"/>
      <c r="Z19" s="168"/>
    </row>
    <row r="20" customFormat="false" ht="15.75" hidden="false" customHeight="false" outlineLevel="0" collapsed="false">
      <c r="A20" s="168"/>
      <c r="B20" s="168"/>
      <c r="C20" s="168"/>
      <c r="D20" s="168"/>
      <c r="E20" s="168"/>
      <c r="F20" s="168"/>
      <c r="G20" s="168"/>
      <c r="H20" s="168"/>
      <c r="I20" s="168"/>
      <c r="J20" s="168"/>
      <c r="K20" s="168"/>
      <c r="L20" s="168"/>
      <c r="M20" s="168"/>
      <c r="N20" s="168"/>
      <c r="O20" s="168"/>
      <c r="P20" s="168"/>
      <c r="Q20" s="168"/>
      <c r="R20" s="168"/>
      <c r="S20" s="168"/>
      <c r="T20" s="168"/>
      <c r="U20" s="168"/>
      <c r="V20" s="168"/>
      <c r="W20" s="168"/>
      <c r="X20" s="168"/>
      <c r="Y20" s="168"/>
      <c r="Z20" s="168"/>
    </row>
    <row r="21" customFormat="false" ht="15.75" hidden="false" customHeight="false" outlineLevel="0" collapsed="false">
      <c r="A21" s="168"/>
      <c r="B21" s="168"/>
      <c r="C21" s="168"/>
      <c r="D21" s="168"/>
      <c r="E21" s="168"/>
      <c r="F21" s="168"/>
      <c r="G21" s="168"/>
      <c r="H21" s="168"/>
      <c r="I21" s="168"/>
      <c r="J21" s="168"/>
      <c r="K21" s="168"/>
      <c r="L21" s="168"/>
      <c r="M21" s="168"/>
      <c r="N21" s="168"/>
      <c r="O21" s="168"/>
      <c r="P21" s="168"/>
      <c r="Q21" s="168"/>
      <c r="R21" s="168"/>
      <c r="S21" s="168"/>
      <c r="T21" s="168"/>
      <c r="U21" s="168"/>
      <c r="V21" s="168"/>
      <c r="W21" s="168"/>
      <c r="X21" s="168"/>
      <c r="Y21" s="168"/>
      <c r="Z21" s="168"/>
    </row>
    <row r="22" customFormat="false" ht="15.75" hidden="false" customHeight="false" outlineLevel="0" collapsed="false">
      <c r="A22" s="168"/>
      <c r="B22" s="168"/>
      <c r="C22" s="168"/>
      <c r="D22" s="168"/>
      <c r="E22" s="168"/>
      <c r="F22" s="168"/>
      <c r="G22" s="168"/>
      <c r="H22" s="168"/>
      <c r="I22" s="168"/>
      <c r="J22" s="168"/>
      <c r="K22" s="168"/>
      <c r="L22" s="168"/>
      <c r="M22" s="168"/>
      <c r="N22" s="168"/>
      <c r="O22" s="168"/>
      <c r="P22" s="168"/>
      <c r="Q22" s="168"/>
      <c r="R22" s="168"/>
      <c r="S22" s="168"/>
      <c r="T22" s="168"/>
      <c r="U22" s="168"/>
      <c r="V22" s="168"/>
      <c r="W22" s="168"/>
      <c r="X22" s="168"/>
      <c r="Y22" s="168"/>
      <c r="Z22" s="168"/>
    </row>
    <row r="23" customFormat="false" ht="15.75" hidden="false" customHeight="false" outlineLevel="0" collapsed="false">
      <c r="A23" s="168"/>
      <c r="B23" s="168"/>
      <c r="C23" s="168"/>
      <c r="D23" s="168"/>
      <c r="E23" s="168"/>
      <c r="F23" s="168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8"/>
      <c r="R23" s="168"/>
      <c r="S23" s="168"/>
      <c r="T23" s="168"/>
      <c r="U23" s="168"/>
      <c r="V23" s="168"/>
      <c r="W23" s="168"/>
      <c r="X23" s="168"/>
      <c r="Y23" s="168"/>
      <c r="Z23" s="168"/>
    </row>
    <row r="24" customFormat="false" ht="15.75" hidden="false" customHeight="false" outlineLevel="0" collapsed="false">
      <c r="A24" s="168"/>
      <c r="B24" s="168"/>
      <c r="C24" s="168"/>
      <c r="D24" s="168"/>
      <c r="E24" s="168"/>
      <c r="F24" s="168"/>
      <c r="G24" s="168"/>
      <c r="H24" s="168"/>
      <c r="I24" s="168"/>
      <c r="J24" s="168"/>
      <c r="K24" s="168"/>
      <c r="L24" s="168"/>
      <c r="M24" s="168"/>
      <c r="N24" s="168"/>
      <c r="O24" s="168"/>
      <c r="P24" s="168"/>
      <c r="Q24" s="168"/>
      <c r="R24" s="168"/>
      <c r="S24" s="168"/>
      <c r="T24" s="168"/>
      <c r="U24" s="168"/>
      <c r="V24" s="168"/>
      <c r="W24" s="168"/>
      <c r="X24" s="168"/>
      <c r="Y24" s="168"/>
      <c r="Z24" s="168"/>
    </row>
    <row r="25" customFormat="false" ht="15.75" hidden="false" customHeight="false" outlineLevel="0" collapsed="false">
      <c r="A25" s="168"/>
      <c r="B25" s="168"/>
      <c r="C25" s="168"/>
      <c r="D25" s="168"/>
      <c r="E25" s="168"/>
      <c r="F25" s="168"/>
      <c r="G25" s="168"/>
      <c r="H25" s="168"/>
      <c r="I25" s="168"/>
      <c r="J25" s="168"/>
      <c r="K25" s="168"/>
      <c r="L25" s="168"/>
      <c r="M25" s="168"/>
      <c r="N25" s="168"/>
      <c r="O25" s="168"/>
      <c r="P25" s="168"/>
      <c r="Q25" s="168"/>
      <c r="R25" s="168"/>
      <c r="S25" s="168"/>
      <c r="T25" s="168"/>
      <c r="U25" s="168"/>
      <c r="V25" s="168"/>
      <c r="W25" s="168"/>
      <c r="X25" s="168"/>
      <c r="Y25" s="168"/>
      <c r="Z25" s="168"/>
    </row>
    <row r="26" customFormat="false" ht="15.75" hidden="false" customHeight="false" outlineLevel="0" collapsed="false">
      <c r="A26" s="168"/>
      <c r="B26" s="168"/>
      <c r="C26" s="168"/>
      <c r="D26" s="168"/>
      <c r="E26" s="168"/>
      <c r="F26" s="168"/>
      <c r="G26" s="168"/>
      <c r="H26" s="168"/>
      <c r="I26" s="168"/>
      <c r="J26" s="168"/>
      <c r="K26" s="168"/>
      <c r="L26" s="168"/>
      <c r="M26" s="168"/>
      <c r="N26" s="168"/>
      <c r="O26" s="168"/>
      <c r="P26" s="168"/>
      <c r="Q26" s="168"/>
      <c r="R26" s="168"/>
      <c r="S26" s="168"/>
      <c r="T26" s="168"/>
      <c r="U26" s="168"/>
      <c r="V26" s="168"/>
      <c r="W26" s="168"/>
      <c r="X26" s="168"/>
      <c r="Y26" s="168"/>
      <c r="Z26" s="168"/>
    </row>
    <row r="27" customFormat="false" ht="15.75" hidden="false" customHeight="false" outlineLevel="0" collapsed="false">
      <c r="A27" s="168"/>
      <c r="B27" s="168"/>
      <c r="C27" s="168"/>
      <c r="D27" s="168"/>
      <c r="E27" s="168"/>
      <c r="F27" s="168"/>
      <c r="G27" s="168"/>
      <c r="H27" s="168"/>
      <c r="I27" s="168"/>
      <c r="J27" s="168"/>
      <c r="K27" s="168"/>
      <c r="L27" s="168"/>
      <c r="M27" s="168"/>
      <c r="N27" s="168"/>
      <c r="O27" s="168"/>
      <c r="P27" s="168"/>
      <c r="Q27" s="168"/>
      <c r="R27" s="168"/>
      <c r="S27" s="168"/>
      <c r="T27" s="168"/>
      <c r="U27" s="168"/>
      <c r="V27" s="168"/>
      <c r="W27" s="168"/>
      <c r="X27" s="168"/>
      <c r="Y27" s="168"/>
      <c r="Z27" s="168"/>
    </row>
    <row r="28" customFormat="false" ht="15.75" hidden="false" customHeight="false" outlineLevel="0" collapsed="false">
      <c r="A28" s="168"/>
      <c r="B28" s="168"/>
      <c r="C28" s="168"/>
      <c r="D28" s="168"/>
      <c r="E28" s="168"/>
      <c r="F28" s="168"/>
      <c r="G28" s="168"/>
      <c r="H28" s="168"/>
      <c r="I28" s="168"/>
      <c r="J28" s="168"/>
      <c r="K28" s="168"/>
      <c r="L28" s="168"/>
      <c r="M28" s="168"/>
      <c r="N28" s="168"/>
      <c r="O28" s="168"/>
      <c r="P28" s="168"/>
      <c r="Q28" s="168"/>
      <c r="R28" s="168"/>
      <c r="S28" s="168"/>
      <c r="T28" s="168"/>
      <c r="U28" s="168"/>
      <c r="V28" s="168"/>
      <c r="W28" s="168"/>
      <c r="X28" s="168"/>
      <c r="Y28" s="168"/>
      <c r="Z28" s="168"/>
    </row>
    <row r="29" customFormat="false" ht="15.75" hidden="false" customHeight="false" outlineLevel="0" collapsed="false">
      <c r="A29" s="168"/>
      <c r="B29" s="168"/>
      <c r="C29" s="168"/>
      <c r="D29" s="168"/>
      <c r="E29" s="168"/>
      <c r="F29" s="168"/>
      <c r="G29" s="168"/>
      <c r="H29" s="168"/>
      <c r="I29" s="168"/>
      <c r="J29" s="168"/>
      <c r="K29" s="168"/>
      <c r="L29" s="168"/>
      <c r="M29" s="168"/>
      <c r="N29" s="168"/>
      <c r="O29" s="168"/>
      <c r="P29" s="168"/>
      <c r="Q29" s="168"/>
      <c r="R29" s="168"/>
      <c r="S29" s="168"/>
      <c r="T29" s="168"/>
      <c r="U29" s="168"/>
      <c r="V29" s="168"/>
      <c r="W29" s="168"/>
      <c r="X29" s="168"/>
      <c r="Y29" s="168"/>
      <c r="Z29" s="168"/>
    </row>
    <row r="30" customFormat="false" ht="15.75" hidden="false" customHeight="false" outlineLevel="0" collapsed="false">
      <c r="A30" s="168"/>
      <c r="B30" s="168"/>
      <c r="C30" s="168"/>
      <c r="D30" s="168"/>
      <c r="E30" s="168"/>
      <c r="F30" s="168"/>
      <c r="G30" s="168"/>
      <c r="H30" s="168"/>
      <c r="I30" s="168"/>
      <c r="J30" s="168"/>
      <c r="K30" s="168"/>
      <c r="L30" s="168"/>
      <c r="M30" s="168"/>
      <c r="N30" s="168"/>
      <c r="O30" s="168"/>
      <c r="P30" s="168"/>
      <c r="Q30" s="168"/>
      <c r="R30" s="168"/>
      <c r="S30" s="168"/>
      <c r="T30" s="168"/>
      <c r="U30" s="168"/>
      <c r="V30" s="168"/>
      <c r="W30" s="168"/>
      <c r="X30" s="168"/>
      <c r="Y30" s="168"/>
      <c r="Z30" s="168"/>
    </row>
    <row r="31" customFormat="false" ht="15.75" hidden="false" customHeight="false" outlineLevel="0" collapsed="false">
      <c r="A31" s="168"/>
      <c r="B31" s="168"/>
      <c r="C31" s="168"/>
      <c r="D31" s="168"/>
      <c r="E31" s="168"/>
      <c r="F31" s="168"/>
      <c r="G31" s="168"/>
      <c r="H31" s="168"/>
      <c r="I31" s="168"/>
      <c r="J31" s="168"/>
      <c r="K31" s="168"/>
      <c r="L31" s="168"/>
      <c r="M31" s="168"/>
      <c r="N31" s="168"/>
      <c r="O31" s="168"/>
      <c r="P31" s="168"/>
      <c r="Q31" s="168"/>
      <c r="R31" s="168"/>
      <c r="S31" s="168"/>
      <c r="T31" s="168"/>
      <c r="U31" s="168"/>
      <c r="V31" s="168"/>
      <c r="W31" s="168"/>
      <c r="X31" s="168"/>
      <c r="Y31" s="168"/>
      <c r="Z31" s="168"/>
    </row>
    <row r="32" customFormat="false" ht="15.75" hidden="false" customHeight="false" outlineLevel="0" collapsed="false">
      <c r="A32" s="168"/>
      <c r="B32" s="168"/>
      <c r="C32" s="168"/>
      <c r="D32" s="168"/>
      <c r="E32" s="168"/>
      <c r="F32" s="168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68"/>
      <c r="R32" s="168"/>
      <c r="S32" s="168"/>
      <c r="T32" s="168"/>
      <c r="U32" s="168"/>
      <c r="V32" s="168"/>
      <c r="W32" s="168"/>
      <c r="X32" s="168"/>
      <c r="Y32" s="168"/>
      <c r="Z32" s="168"/>
    </row>
    <row r="33" customFormat="false" ht="15.75" hidden="false" customHeight="false" outlineLevel="0" collapsed="false">
      <c r="A33" s="168"/>
      <c r="B33" s="168"/>
      <c r="C33" s="168"/>
      <c r="D33" s="168"/>
      <c r="E33" s="168"/>
      <c r="F33" s="168"/>
      <c r="G33" s="168"/>
      <c r="H33" s="168"/>
      <c r="I33" s="168"/>
      <c r="J33" s="168"/>
      <c r="K33" s="168"/>
      <c r="L33" s="168"/>
      <c r="M33" s="168"/>
      <c r="N33" s="168"/>
      <c r="O33" s="168"/>
      <c r="P33" s="168"/>
      <c r="Q33" s="168"/>
      <c r="R33" s="168"/>
      <c r="S33" s="168"/>
      <c r="T33" s="168"/>
      <c r="U33" s="168"/>
      <c r="V33" s="168"/>
      <c r="W33" s="168"/>
      <c r="X33" s="168"/>
      <c r="Y33" s="168"/>
      <c r="Z33" s="168"/>
    </row>
    <row r="34" customFormat="false" ht="15.75" hidden="false" customHeight="false" outlineLevel="0" collapsed="false">
      <c r="A34" s="168"/>
      <c r="B34" s="168"/>
      <c r="C34" s="168"/>
      <c r="D34" s="168"/>
      <c r="E34" s="168"/>
      <c r="F34" s="168"/>
      <c r="G34" s="168"/>
      <c r="H34" s="168"/>
      <c r="I34" s="168"/>
      <c r="J34" s="168"/>
      <c r="K34" s="168"/>
      <c r="L34" s="168"/>
      <c r="M34" s="168"/>
      <c r="N34" s="168"/>
      <c r="O34" s="168"/>
      <c r="P34" s="168"/>
      <c r="Q34" s="168"/>
      <c r="R34" s="168"/>
      <c r="S34" s="168"/>
      <c r="T34" s="168"/>
      <c r="U34" s="168"/>
      <c r="V34" s="168"/>
      <c r="W34" s="168"/>
      <c r="X34" s="168"/>
      <c r="Y34" s="168"/>
      <c r="Z34" s="168"/>
    </row>
    <row r="35" customFormat="false" ht="15.75" hidden="false" customHeight="false" outlineLevel="0" collapsed="false">
      <c r="A35" s="168"/>
      <c r="B35" s="168"/>
      <c r="C35" s="168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8"/>
      <c r="W35" s="168"/>
      <c r="X35" s="168"/>
      <c r="Y35" s="168"/>
      <c r="Z35" s="168"/>
    </row>
    <row r="36" customFormat="false" ht="15.75" hidden="false" customHeight="false" outlineLevel="0" collapsed="false">
      <c r="A36" s="168"/>
      <c r="B36" s="168"/>
      <c r="C36" s="168"/>
      <c r="D36" s="168"/>
      <c r="E36" s="168"/>
      <c r="F36" s="168"/>
      <c r="G36" s="168"/>
      <c r="H36" s="168"/>
      <c r="I36" s="168"/>
      <c r="J36" s="168"/>
      <c r="K36" s="168"/>
      <c r="L36" s="168"/>
      <c r="M36" s="168"/>
      <c r="N36" s="168"/>
      <c r="O36" s="168"/>
      <c r="P36" s="168"/>
      <c r="Q36" s="168"/>
      <c r="R36" s="168"/>
      <c r="S36" s="168"/>
      <c r="T36" s="168"/>
      <c r="U36" s="168"/>
      <c r="V36" s="168"/>
      <c r="W36" s="168"/>
      <c r="X36" s="168"/>
      <c r="Y36" s="168"/>
      <c r="Z36" s="168"/>
    </row>
    <row r="37" customFormat="false" ht="15.75" hidden="false" customHeight="false" outlineLevel="0" collapsed="false">
      <c r="A37" s="168"/>
      <c r="B37" s="168"/>
      <c r="C37" s="168"/>
      <c r="D37" s="168"/>
      <c r="E37" s="168"/>
      <c r="F37" s="168"/>
      <c r="G37" s="168"/>
      <c r="H37" s="168"/>
      <c r="I37" s="168"/>
      <c r="J37" s="168"/>
      <c r="K37" s="168"/>
      <c r="L37" s="168"/>
      <c r="M37" s="168"/>
      <c r="N37" s="168"/>
      <c r="O37" s="168"/>
      <c r="P37" s="168"/>
      <c r="Q37" s="168"/>
      <c r="R37" s="168"/>
      <c r="S37" s="168"/>
      <c r="T37" s="168"/>
      <c r="U37" s="168"/>
      <c r="V37" s="168"/>
      <c r="W37" s="168"/>
      <c r="X37" s="168"/>
      <c r="Y37" s="168"/>
      <c r="Z37" s="168"/>
    </row>
    <row r="38" customFormat="false" ht="15.75" hidden="false" customHeight="false" outlineLevel="0" collapsed="false">
      <c r="A38" s="168"/>
      <c r="B38" s="168"/>
      <c r="C38" s="168"/>
      <c r="D38" s="168"/>
      <c r="E38" s="168"/>
      <c r="F38" s="168"/>
      <c r="G38" s="168"/>
      <c r="H38" s="168"/>
      <c r="I38" s="168"/>
      <c r="J38" s="168"/>
      <c r="K38" s="168"/>
      <c r="L38" s="168"/>
      <c r="M38" s="168"/>
      <c r="N38" s="168"/>
      <c r="O38" s="168"/>
      <c r="P38" s="168"/>
      <c r="Q38" s="168"/>
      <c r="R38" s="168"/>
      <c r="S38" s="168"/>
      <c r="T38" s="168"/>
      <c r="U38" s="168"/>
      <c r="V38" s="168"/>
      <c r="W38" s="168"/>
      <c r="X38" s="168"/>
      <c r="Y38" s="168"/>
      <c r="Z38" s="168"/>
    </row>
    <row r="39" customFormat="false" ht="15.75" hidden="false" customHeight="false" outlineLevel="0" collapsed="false">
      <c r="A39" s="168"/>
      <c r="B39" s="168"/>
      <c r="C39" s="168"/>
      <c r="D39" s="168"/>
      <c r="E39" s="168"/>
      <c r="F39" s="168"/>
      <c r="G39" s="168"/>
      <c r="H39" s="168"/>
      <c r="I39" s="168"/>
      <c r="J39" s="168"/>
      <c r="K39" s="168"/>
      <c r="L39" s="168"/>
      <c r="M39" s="168"/>
      <c r="N39" s="168"/>
      <c r="O39" s="168"/>
      <c r="P39" s="168"/>
      <c r="Q39" s="168"/>
      <c r="R39" s="168"/>
      <c r="S39" s="168"/>
      <c r="T39" s="168"/>
      <c r="U39" s="168"/>
      <c r="V39" s="168"/>
      <c r="W39" s="168"/>
      <c r="X39" s="168"/>
      <c r="Y39" s="168"/>
      <c r="Z39" s="168"/>
    </row>
    <row r="40" customFormat="false" ht="15.75" hidden="false" customHeight="false" outlineLevel="0" collapsed="false">
      <c r="A40" s="168"/>
      <c r="B40" s="168"/>
      <c r="C40" s="168"/>
      <c r="D40" s="168"/>
      <c r="E40" s="168"/>
      <c r="F40" s="168"/>
      <c r="G40" s="168"/>
      <c r="H40" s="168"/>
      <c r="I40" s="168"/>
      <c r="J40" s="168"/>
      <c r="K40" s="168"/>
      <c r="L40" s="168"/>
      <c r="M40" s="168"/>
      <c r="N40" s="168"/>
      <c r="O40" s="168"/>
      <c r="P40" s="168"/>
      <c r="Q40" s="168"/>
      <c r="R40" s="168"/>
      <c r="S40" s="168"/>
      <c r="T40" s="168"/>
      <c r="U40" s="168"/>
      <c r="V40" s="168"/>
      <c r="W40" s="168"/>
      <c r="X40" s="168"/>
      <c r="Y40" s="168"/>
      <c r="Z40" s="168"/>
    </row>
    <row r="41" customFormat="false" ht="15.75" hidden="false" customHeight="false" outlineLevel="0" collapsed="false">
      <c r="A41" s="168"/>
      <c r="B41" s="168"/>
      <c r="C41" s="168"/>
      <c r="D41" s="168"/>
      <c r="E41" s="168"/>
      <c r="F41" s="168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68"/>
      <c r="R41" s="168"/>
      <c r="S41" s="168"/>
      <c r="T41" s="168"/>
      <c r="U41" s="168"/>
      <c r="V41" s="168"/>
      <c r="W41" s="168"/>
      <c r="X41" s="168"/>
      <c r="Y41" s="168"/>
      <c r="Z41" s="168"/>
    </row>
    <row r="42" customFormat="false" ht="15.75" hidden="false" customHeight="false" outlineLevel="0" collapsed="false">
      <c r="A42" s="168"/>
      <c r="B42" s="168"/>
      <c r="C42" s="168"/>
      <c r="D42" s="168"/>
      <c r="E42" s="168"/>
      <c r="F42" s="168"/>
      <c r="G42" s="168"/>
      <c r="H42" s="168"/>
      <c r="I42" s="168"/>
      <c r="J42" s="168"/>
      <c r="K42" s="168"/>
      <c r="L42" s="168"/>
      <c r="M42" s="168"/>
      <c r="N42" s="168"/>
      <c r="O42" s="168"/>
      <c r="P42" s="168"/>
      <c r="Q42" s="168"/>
      <c r="R42" s="168"/>
      <c r="S42" s="168"/>
      <c r="T42" s="168"/>
      <c r="U42" s="168"/>
      <c r="V42" s="168"/>
      <c r="W42" s="168"/>
      <c r="X42" s="168"/>
      <c r="Y42" s="168"/>
      <c r="Z42" s="168"/>
    </row>
    <row r="43" customFormat="false" ht="15.75" hidden="false" customHeight="false" outlineLevel="0" collapsed="false">
      <c r="A43" s="168"/>
      <c r="B43" s="168"/>
      <c r="C43" s="168"/>
      <c r="D43" s="168"/>
      <c r="E43" s="168"/>
      <c r="F43" s="168"/>
      <c r="G43" s="168"/>
      <c r="H43" s="168"/>
      <c r="I43" s="168"/>
      <c r="J43" s="168"/>
      <c r="K43" s="168"/>
      <c r="L43" s="168"/>
      <c r="M43" s="168"/>
      <c r="N43" s="168"/>
      <c r="O43" s="168"/>
      <c r="P43" s="168"/>
      <c r="Q43" s="168"/>
      <c r="R43" s="168"/>
      <c r="S43" s="168"/>
      <c r="T43" s="168"/>
      <c r="U43" s="168"/>
      <c r="V43" s="168"/>
      <c r="W43" s="168"/>
      <c r="X43" s="168"/>
      <c r="Y43" s="168"/>
      <c r="Z43" s="168"/>
    </row>
    <row r="44" customFormat="false" ht="15.75" hidden="false" customHeight="false" outlineLevel="0" collapsed="false">
      <c r="A44" s="168"/>
      <c r="B44" s="168"/>
      <c r="C44" s="168"/>
      <c r="D44" s="168"/>
      <c r="E44" s="168"/>
      <c r="F44" s="168"/>
      <c r="G44" s="168"/>
      <c r="H44" s="168"/>
      <c r="I44" s="168"/>
      <c r="J44" s="168"/>
      <c r="K44" s="168"/>
      <c r="L44" s="168"/>
      <c r="M44" s="168"/>
      <c r="N44" s="168"/>
      <c r="O44" s="168"/>
      <c r="P44" s="168"/>
      <c r="Q44" s="168"/>
      <c r="R44" s="168"/>
      <c r="S44" s="168"/>
      <c r="T44" s="168"/>
      <c r="U44" s="168"/>
      <c r="V44" s="168"/>
      <c r="W44" s="168"/>
      <c r="X44" s="168"/>
      <c r="Y44" s="168"/>
      <c r="Z44" s="168"/>
    </row>
    <row r="45" customFormat="false" ht="15.75" hidden="false" customHeight="false" outlineLevel="0" collapsed="false">
      <c r="A45" s="168"/>
      <c r="B45" s="168"/>
      <c r="C45" s="168"/>
      <c r="D45" s="168"/>
      <c r="E45" s="168"/>
      <c r="F45" s="168"/>
      <c r="G45" s="168"/>
      <c r="H45" s="168"/>
      <c r="I45" s="168"/>
      <c r="J45" s="168"/>
      <c r="K45" s="168"/>
      <c r="L45" s="168"/>
      <c r="M45" s="168"/>
      <c r="N45" s="168"/>
      <c r="O45" s="168"/>
      <c r="P45" s="168"/>
      <c r="Q45" s="168"/>
      <c r="R45" s="168"/>
      <c r="S45" s="168"/>
      <c r="T45" s="168"/>
      <c r="U45" s="168"/>
      <c r="V45" s="168"/>
      <c r="W45" s="168"/>
      <c r="X45" s="168"/>
      <c r="Y45" s="168"/>
      <c r="Z45" s="168"/>
    </row>
    <row r="46" customFormat="false" ht="15.75" hidden="false" customHeight="false" outlineLevel="0" collapsed="false">
      <c r="A46" s="168"/>
      <c r="B46" s="168"/>
      <c r="C46" s="168"/>
      <c r="D46" s="168"/>
      <c r="E46" s="168"/>
      <c r="F46" s="168"/>
      <c r="G46" s="168"/>
      <c r="H46" s="168"/>
      <c r="I46" s="168"/>
      <c r="J46" s="168"/>
      <c r="K46" s="168"/>
      <c r="L46" s="168"/>
      <c r="M46" s="168"/>
      <c r="N46" s="168"/>
      <c r="O46" s="168"/>
      <c r="P46" s="168"/>
      <c r="Q46" s="168"/>
      <c r="R46" s="168"/>
      <c r="S46" s="168"/>
      <c r="T46" s="168"/>
      <c r="U46" s="168"/>
      <c r="V46" s="168"/>
      <c r="W46" s="168"/>
      <c r="X46" s="168"/>
      <c r="Y46" s="168"/>
      <c r="Z46" s="168"/>
    </row>
    <row r="47" customFormat="false" ht="15.75" hidden="false" customHeight="false" outlineLevel="0" collapsed="false">
      <c r="A47" s="168"/>
      <c r="B47" s="168"/>
      <c r="C47" s="168"/>
      <c r="D47" s="16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168"/>
      <c r="S47" s="168"/>
      <c r="T47" s="168"/>
      <c r="U47" s="168"/>
      <c r="V47" s="168"/>
      <c r="W47" s="168"/>
      <c r="X47" s="168"/>
      <c r="Y47" s="168"/>
      <c r="Z47" s="168"/>
    </row>
    <row r="48" customFormat="false" ht="15.75" hidden="false" customHeight="false" outlineLevel="0" collapsed="false">
      <c r="A48" s="168"/>
      <c r="B48" s="168"/>
      <c r="C48" s="168"/>
      <c r="D48" s="16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168"/>
      <c r="S48" s="168"/>
      <c r="T48" s="168"/>
      <c r="U48" s="168"/>
      <c r="V48" s="168"/>
      <c r="W48" s="168"/>
      <c r="X48" s="168"/>
      <c r="Y48" s="168"/>
      <c r="Z48" s="168"/>
    </row>
    <row r="49" customFormat="false" ht="15.75" hidden="false" customHeight="false" outlineLevel="0" collapsed="false">
      <c r="A49" s="168"/>
      <c r="B49" s="168"/>
      <c r="C49" s="168"/>
      <c r="D49" s="168"/>
      <c r="E49" s="168"/>
      <c r="F49" s="168"/>
      <c r="G49" s="168"/>
      <c r="H49" s="168"/>
      <c r="I49" s="168"/>
      <c r="J49" s="168"/>
      <c r="K49" s="168"/>
      <c r="L49" s="168"/>
      <c r="M49" s="168"/>
      <c r="N49" s="168"/>
      <c r="O49" s="168"/>
      <c r="P49" s="168"/>
      <c r="Q49" s="168"/>
      <c r="R49" s="168"/>
      <c r="S49" s="168"/>
      <c r="T49" s="168"/>
      <c r="U49" s="168"/>
      <c r="V49" s="168"/>
      <c r="W49" s="168"/>
      <c r="X49" s="168"/>
      <c r="Y49" s="168"/>
      <c r="Z49" s="168"/>
    </row>
    <row r="50" customFormat="false" ht="15.75" hidden="false" customHeight="false" outlineLevel="0" collapsed="false">
      <c r="A50" s="168"/>
      <c r="B50" s="168"/>
      <c r="C50" s="168"/>
      <c r="D50" s="168"/>
      <c r="E50" s="168"/>
      <c r="F50" s="168"/>
      <c r="G50" s="168"/>
      <c r="H50" s="168"/>
      <c r="I50" s="168"/>
      <c r="J50" s="168"/>
      <c r="K50" s="168"/>
      <c r="L50" s="168"/>
      <c r="M50" s="168"/>
      <c r="N50" s="168"/>
      <c r="O50" s="168"/>
      <c r="P50" s="168"/>
      <c r="Q50" s="168"/>
      <c r="R50" s="168"/>
      <c r="S50" s="168"/>
      <c r="T50" s="168"/>
      <c r="U50" s="168"/>
      <c r="V50" s="168"/>
      <c r="W50" s="168"/>
      <c r="X50" s="168"/>
      <c r="Y50" s="168"/>
      <c r="Z50" s="168"/>
    </row>
    <row r="51" customFormat="false" ht="15.75" hidden="false" customHeight="false" outlineLevel="0" collapsed="false">
      <c r="A51" s="168"/>
      <c r="B51" s="168"/>
      <c r="C51" s="168"/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8"/>
      <c r="P51" s="168"/>
      <c r="Q51" s="168"/>
      <c r="R51" s="168"/>
      <c r="S51" s="168"/>
      <c r="T51" s="168"/>
      <c r="U51" s="168"/>
      <c r="V51" s="168"/>
      <c r="W51" s="168"/>
      <c r="X51" s="168"/>
      <c r="Y51" s="168"/>
      <c r="Z51" s="168"/>
    </row>
    <row r="52" customFormat="false" ht="15.75" hidden="false" customHeight="false" outlineLevel="0" collapsed="false">
      <c r="A52" s="168"/>
      <c r="B52" s="168"/>
      <c r="C52" s="168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8"/>
      <c r="P52" s="168"/>
      <c r="Q52" s="168"/>
      <c r="R52" s="168"/>
      <c r="S52" s="168"/>
      <c r="T52" s="168"/>
      <c r="U52" s="168"/>
      <c r="V52" s="168"/>
      <c r="W52" s="168"/>
      <c r="X52" s="168"/>
      <c r="Y52" s="168"/>
      <c r="Z52" s="168"/>
    </row>
    <row r="53" customFormat="false" ht="15.75" hidden="false" customHeight="false" outlineLevel="0" collapsed="false">
      <c r="A53" s="168"/>
      <c r="B53" s="168"/>
      <c r="C53" s="168"/>
      <c r="D53" s="168"/>
      <c r="E53" s="168"/>
      <c r="F53" s="168"/>
      <c r="G53" s="168"/>
      <c r="H53" s="168"/>
      <c r="I53" s="168"/>
      <c r="J53" s="168"/>
      <c r="K53" s="168"/>
      <c r="L53" s="168"/>
      <c r="M53" s="168"/>
      <c r="N53" s="168"/>
      <c r="O53" s="168"/>
      <c r="P53" s="168"/>
      <c r="Q53" s="168"/>
      <c r="R53" s="168"/>
      <c r="S53" s="168"/>
      <c r="T53" s="168"/>
      <c r="U53" s="168"/>
      <c r="V53" s="168"/>
      <c r="W53" s="168"/>
      <c r="X53" s="168"/>
      <c r="Y53" s="168"/>
      <c r="Z53" s="168"/>
    </row>
    <row r="54" customFormat="false" ht="15.75" hidden="false" customHeight="false" outlineLevel="0" collapsed="false">
      <c r="A54" s="168"/>
      <c r="B54" s="168"/>
      <c r="C54" s="168"/>
      <c r="D54" s="168"/>
      <c r="E54" s="168"/>
      <c r="F54" s="168"/>
      <c r="G54" s="168"/>
      <c r="H54" s="168"/>
      <c r="I54" s="168"/>
      <c r="J54" s="168"/>
      <c r="K54" s="168"/>
      <c r="L54" s="168"/>
      <c r="M54" s="168"/>
      <c r="N54" s="168"/>
      <c r="O54" s="168"/>
      <c r="P54" s="168"/>
      <c r="Q54" s="168"/>
      <c r="R54" s="168"/>
      <c r="S54" s="168"/>
      <c r="T54" s="168"/>
      <c r="U54" s="168"/>
      <c r="V54" s="168"/>
      <c r="W54" s="168"/>
      <c r="X54" s="168"/>
      <c r="Y54" s="168"/>
      <c r="Z54" s="168"/>
    </row>
    <row r="55" customFormat="false" ht="15.75" hidden="false" customHeight="false" outlineLevel="0" collapsed="false">
      <c r="A55" s="168"/>
      <c r="B55" s="168"/>
      <c r="C55" s="168"/>
      <c r="D55" s="168"/>
      <c r="E55" s="168"/>
      <c r="F55" s="168"/>
      <c r="G55" s="168"/>
      <c r="H55" s="168"/>
      <c r="I55" s="168"/>
      <c r="J55" s="168"/>
      <c r="K55" s="168"/>
      <c r="L55" s="168"/>
      <c r="M55" s="168"/>
      <c r="N55" s="168"/>
      <c r="O55" s="168"/>
      <c r="P55" s="168"/>
      <c r="Q55" s="168"/>
      <c r="R55" s="168"/>
      <c r="S55" s="168"/>
      <c r="T55" s="168"/>
      <c r="U55" s="168"/>
      <c r="V55" s="168"/>
      <c r="W55" s="168"/>
      <c r="X55" s="168"/>
      <c r="Y55" s="168"/>
      <c r="Z55" s="168"/>
    </row>
    <row r="56" customFormat="false" ht="15.75" hidden="false" customHeight="false" outlineLevel="0" collapsed="false">
      <c r="A56" s="168"/>
      <c r="B56" s="168"/>
      <c r="C56" s="168"/>
      <c r="D56" s="168"/>
      <c r="E56" s="168"/>
      <c r="F56" s="168"/>
      <c r="G56" s="168"/>
      <c r="H56" s="168"/>
      <c r="I56" s="168"/>
      <c r="J56" s="168"/>
      <c r="K56" s="168"/>
      <c r="L56" s="168"/>
      <c r="M56" s="168"/>
      <c r="N56" s="168"/>
      <c r="O56" s="168"/>
      <c r="P56" s="168"/>
      <c r="Q56" s="168"/>
      <c r="R56" s="168"/>
      <c r="S56" s="168"/>
      <c r="T56" s="168"/>
      <c r="U56" s="168"/>
      <c r="V56" s="168"/>
      <c r="W56" s="168"/>
      <c r="X56" s="168"/>
      <c r="Y56" s="168"/>
      <c r="Z56" s="168"/>
    </row>
    <row r="57" customFormat="false" ht="15.75" hidden="false" customHeight="false" outlineLevel="0" collapsed="false">
      <c r="A57" s="168"/>
      <c r="B57" s="168"/>
      <c r="C57" s="168"/>
      <c r="D57" s="168"/>
      <c r="E57" s="168"/>
      <c r="F57" s="168"/>
      <c r="G57" s="168"/>
      <c r="H57" s="168"/>
      <c r="I57" s="168"/>
      <c r="J57" s="168"/>
      <c r="K57" s="168"/>
      <c r="L57" s="168"/>
      <c r="M57" s="168"/>
      <c r="N57" s="168"/>
      <c r="O57" s="168"/>
      <c r="P57" s="168"/>
      <c r="Q57" s="168"/>
      <c r="R57" s="168"/>
      <c r="S57" s="168"/>
      <c r="T57" s="168"/>
      <c r="U57" s="168"/>
      <c r="V57" s="168"/>
      <c r="W57" s="168"/>
      <c r="X57" s="168"/>
      <c r="Y57" s="168"/>
      <c r="Z57" s="168"/>
    </row>
    <row r="58" customFormat="false" ht="15.75" hidden="false" customHeight="false" outlineLevel="0" collapsed="false">
      <c r="A58" s="168"/>
      <c r="B58" s="168"/>
      <c r="C58" s="168"/>
      <c r="D58" s="168"/>
      <c r="E58" s="168"/>
      <c r="F58" s="168"/>
      <c r="G58" s="168"/>
      <c r="H58" s="168"/>
      <c r="I58" s="168"/>
      <c r="J58" s="168"/>
      <c r="K58" s="168"/>
      <c r="L58" s="168"/>
      <c r="M58" s="168"/>
      <c r="N58" s="168"/>
      <c r="O58" s="168"/>
      <c r="P58" s="168"/>
      <c r="Q58" s="168"/>
      <c r="R58" s="168"/>
      <c r="S58" s="168"/>
      <c r="T58" s="168"/>
      <c r="U58" s="168"/>
      <c r="V58" s="168"/>
      <c r="W58" s="168"/>
      <c r="X58" s="168"/>
      <c r="Y58" s="168"/>
      <c r="Z58" s="168"/>
    </row>
    <row r="59" customFormat="false" ht="15.75" hidden="false" customHeight="false" outlineLevel="0" collapsed="false">
      <c r="A59" s="168"/>
      <c r="B59" s="168"/>
      <c r="C59" s="168"/>
      <c r="D59" s="168"/>
      <c r="E59" s="168"/>
      <c r="F59" s="168"/>
      <c r="G59" s="168"/>
      <c r="H59" s="168"/>
      <c r="I59" s="168"/>
      <c r="J59" s="168"/>
      <c r="K59" s="168"/>
      <c r="L59" s="168"/>
      <c r="M59" s="168"/>
      <c r="N59" s="168"/>
      <c r="O59" s="168"/>
      <c r="P59" s="168"/>
      <c r="Q59" s="168"/>
      <c r="R59" s="168"/>
      <c r="S59" s="168"/>
      <c r="T59" s="168"/>
      <c r="U59" s="168"/>
      <c r="V59" s="168"/>
      <c r="W59" s="168"/>
      <c r="X59" s="168"/>
      <c r="Y59" s="168"/>
      <c r="Z59" s="168"/>
    </row>
    <row r="60" customFormat="false" ht="15.75" hidden="false" customHeight="false" outlineLevel="0" collapsed="false">
      <c r="A60" s="168"/>
      <c r="B60" s="168"/>
      <c r="C60" s="168"/>
      <c r="D60" s="168"/>
      <c r="E60" s="168"/>
      <c r="F60" s="168"/>
      <c r="G60" s="168"/>
      <c r="H60" s="168"/>
      <c r="I60" s="168"/>
      <c r="J60" s="168"/>
      <c r="K60" s="168"/>
      <c r="L60" s="168"/>
      <c r="M60" s="168"/>
      <c r="N60" s="168"/>
      <c r="O60" s="168"/>
      <c r="P60" s="168"/>
      <c r="Q60" s="168"/>
      <c r="R60" s="168"/>
      <c r="S60" s="168"/>
      <c r="T60" s="168"/>
      <c r="U60" s="168"/>
      <c r="V60" s="168"/>
      <c r="W60" s="168"/>
      <c r="X60" s="168"/>
      <c r="Y60" s="168"/>
      <c r="Z60" s="168"/>
    </row>
    <row r="61" customFormat="false" ht="15.75" hidden="false" customHeight="false" outlineLevel="0" collapsed="false">
      <c r="A61" s="168"/>
      <c r="B61" s="168"/>
      <c r="C61" s="168"/>
      <c r="D61" s="168"/>
      <c r="E61" s="168"/>
      <c r="F61" s="168"/>
      <c r="G61" s="168"/>
      <c r="H61" s="168"/>
      <c r="I61" s="168"/>
      <c r="J61" s="168"/>
      <c r="K61" s="168"/>
      <c r="L61" s="168"/>
      <c r="M61" s="168"/>
      <c r="N61" s="168"/>
      <c r="O61" s="168"/>
      <c r="P61" s="168"/>
      <c r="Q61" s="168"/>
      <c r="R61" s="168"/>
      <c r="S61" s="168"/>
      <c r="T61" s="168"/>
      <c r="U61" s="168"/>
      <c r="V61" s="168"/>
      <c r="W61" s="168"/>
      <c r="X61" s="168"/>
      <c r="Y61" s="168"/>
      <c r="Z61" s="168"/>
    </row>
    <row r="62" customFormat="false" ht="15.75" hidden="false" customHeight="false" outlineLevel="0" collapsed="false">
      <c r="A62" s="168"/>
      <c r="B62" s="168"/>
      <c r="C62" s="168"/>
      <c r="D62" s="168"/>
      <c r="E62" s="168"/>
      <c r="F62" s="168"/>
      <c r="G62" s="168"/>
      <c r="H62" s="168"/>
      <c r="I62" s="168"/>
      <c r="J62" s="168"/>
      <c r="K62" s="168"/>
      <c r="L62" s="168"/>
      <c r="M62" s="168"/>
      <c r="N62" s="168"/>
      <c r="O62" s="168"/>
      <c r="P62" s="168"/>
      <c r="Q62" s="168"/>
      <c r="R62" s="168"/>
      <c r="S62" s="168"/>
      <c r="T62" s="168"/>
      <c r="U62" s="168"/>
      <c r="V62" s="168"/>
      <c r="W62" s="168"/>
      <c r="X62" s="168"/>
      <c r="Y62" s="168"/>
      <c r="Z62" s="168"/>
    </row>
    <row r="63" customFormat="false" ht="15.75" hidden="false" customHeight="false" outlineLevel="0" collapsed="false">
      <c r="A63" s="168"/>
      <c r="B63" s="168"/>
      <c r="C63" s="168"/>
      <c r="D63" s="168"/>
      <c r="E63" s="168"/>
      <c r="F63" s="168"/>
      <c r="G63" s="168"/>
      <c r="H63" s="168"/>
      <c r="I63" s="168"/>
      <c r="J63" s="168"/>
      <c r="K63" s="168"/>
      <c r="L63" s="168"/>
      <c r="M63" s="168"/>
      <c r="N63" s="168"/>
      <c r="O63" s="168"/>
      <c r="P63" s="168"/>
      <c r="Q63" s="168"/>
      <c r="R63" s="168"/>
      <c r="S63" s="168"/>
      <c r="T63" s="168"/>
      <c r="U63" s="168"/>
      <c r="V63" s="168"/>
      <c r="W63" s="168"/>
      <c r="X63" s="168"/>
      <c r="Y63" s="168"/>
      <c r="Z63" s="168"/>
    </row>
    <row r="64" customFormat="false" ht="15.75" hidden="false" customHeight="false" outlineLevel="0" collapsed="false">
      <c r="A64" s="168"/>
      <c r="B64" s="168"/>
      <c r="C64" s="168"/>
      <c r="D64" s="168"/>
      <c r="E64" s="168"/>
      <c r="F64" s="168"/>
      <c r="G64" s="168"/>
      <c r="H64" s="168"/>
      <c r="I64" s="168"/>
      <c r="J64" s="168"/>
      <c r="K64" s="168"/>
      <c r="L64" s="168"/>
      <c r="M64" s="168"/>
      <c r="N64" s="168"/>
      <c r="O64" s="168"/>
      <c r="P64" s="168"/>
      <c r="Q64" s="168"/>
      <c r="R64" s="168"/>
      <c r="S64" s="168"/>
      <c r="T64" s="168"/>
      <c r="U64" s="168"/>
      <c r="V64" s="168"/>
      <c r="W64" s="168"/>
      <c r="X64" s="168"/>
      <c r="Y64" s="168"/>
      <c r="Z64" s="168"/>
    </row>
    <row r="65" customFormat="false" ht="15.75" hidden="false" customHeight="false" outlineLevel="0" collapsed="false">
      <c r="A65" s="168"/>
      <c r="B65" s="168"/>
      <c r="C65" s="168"/>
      <c r="D65" s="168"/>
      <c r="E65" s="168"/>
      <c r="F65" s="168"/>
      <c r="G65" s="168"/>
      <c r="H65" s="168"/>
      <c r="I65" s="168"/>
      <c r="J65" s="168"/>
      <c r="K65" s="168"/>
      <c r="L65" s="168"/>
      <c r="M65" s="168"/>
      <c r="N65" s="168"/>
      <c r="O65" s="168"/>
      <c r="P65" s="168"/>
      <c r="Q65" s="168"/>
      <c r="R65" s="168"/>
      <c r="S65" s="168"/>
      <c r="T65" s="168"/>
      <c r="U65" s="168"/>
      <c r="V65" s="168"/>
      <c r="W65" s="168"/>
      <c r="X65" s="168"/>
      <c r="Y65" s="168"/>
      <c r="Z65" s="168"/>
    </row>
    <row r="66" customFormat="false" ht="15.75" hidden="false" customHeight="false" outlineLevel="0" collapsed="false">
      <c r="A66" s="168"/>
      <c r="B66" s="168"/>
      <c r="C66" s="168"/>
      <c r="D66" s="168"/>
      <c r="E66" s="168"/>
      <c r="F66" s="168"/>
      <c r="G66" s="168"/>
      <c r="H66" s="168"/>
      <c r="I66" s="168"/>
      <c r="J66" s="168"/>
      <c r="K66" s="168"/>
      <c r="L66" s="168"/>
      <c r="M66" s="168"/>
      <c r="N66" s="168"/>
      <c r="O66" s="168"/>
      <c r="P66" s="168"/>
      <c r="Q66" s="168"/>
      <c r="R66" s="168"/>
      <c r="S66" s="168"/>
      <c r="T66" s="168"/>
      <c r="U66" s="168"/>
      <c r="V66" s="168"/>
      <c r="W66" s="168"/>
      <c r="X66" s="168"/>
      <c r="Y66" s="168"/>
      <c r="Z66" s="168"/>
    </row>
    <row r="67" customFormat="false" ht="15.75" hidden="false" customHeight="false" outlineLevel="0" collapsed="false">
      <c r="A67" s="168"/>
      <c r="B67" s="168"/>
      <c r="C67" s="168"/>
      <c r="D67" s="168"/>
      <c r="E67" s="168"/>
      <c r="F67" s="168"/>
      <c r="G67" s="168"/>
      <c r="H67" s="168"/>
      <c r="I67" s="168"/>
      <c r="J67" s="168"/>
      <c r="K67" s="168"/>
      <c r="L67" s="168"/>
      <c r="M67" s="168"/>
      <c r="N67" s="168"/>
      <c r="O67" s="168"/>
      <c r="P67" s="168"/>
      <c r="Q67" s="168"/>
      <c r="R67" s="168"/>
      <c r="S67" s="168"/>
      <c r="T67" s="168"/>
      <c r="U67" s="168"/>
      <c r="V67" s="168"/>
      <c r="W67" s="168"/>
      <c r="X67" s="168"/>
      <c r="Y67" s="168"/>
      <c r="Z67" s="168"/>
    </row>
    <row r="68" customFormat="false" ht="15.75" hidden="false" customHeight="false" outlineLevel="0" collapsed="false">
      <c r="A68" s="168"/>
      <c r="B68" s="168"/>
      <c r="C68" s="168"/>
      <c r="D68" s="168"/>
      <c r="E68" s="168"/>
      <c r="F68" s="168"/>
      <c r="G68" s="168"/>
      <c r="H68" s="168"/>
      <c r="I68" s="168"/>
      <c r="J68" s="168"/>
      <c r="K68" s="168"/>
      <c r="L68" s="168"/>
      <c r="M68" s="168"/>
      <c r="N68" s="168"/>
      <c r="O68" s="168"/>
      <c r="P68" s="168"/>
      <c r="Q68" s="168"/>
      <c r="R68" s="168"/>
      <c r="S68" s="168"/>
      <c r="T68" s="168"/>
      <c r="U68" s="168"/>
      <c r="V68" s="168"/>
      <c r="W68" s="168"/>
      <c r="X68" s="168"/>
      <c r="Y68" s="168"/>
      <c r="Z68" s="168"/>
    </row>
    <row r="69" customFormat="false" ht="15.75" hidden="false" customHeight="false" outlineLevel="0" collapsed="false">
      <c r="A69" s="168"/>
      <c r="B69" s="168"/>
      <c r="C69" s="168"/>
      <c r="D69" s="168"/>
      <c r="E69" s="168"/>
      <c r="F69" s="168"/>
      <c r="G69" s="168"/>
      <c r="H69" s="168"/>
      <c r="I69" s="168"/>
      <c r="J69" s="168"/>
      <c r="K69" s="168"/>
      <c r="L69" s="168"/>
      <c r="M69" s="168"/>
      <c r="N69" s="168"/>
      <c r="O69" s="168"/>
      <c r="P69" s="168"/>
      <c r="Q69" s="168"/>
      <c r="R69" s="168"/>
      <c r="S69" s="168"/>
      <c r="T69" s="168"/>
      <c r="U69" s="168"/>
      <c r="V69" s="168"/>
      <c r="W69" s="168"/>
      <c r="X69" s="168"/>
      <c r="Y69" s="168"/>
      <c r="Z69" s="168"/>
    </row>
    <row r="70" customFormat="false" ht="15.75" hidden="false" customHeight="false" outlineLevel="0" collapsed="false">
      <c r="A70" s="168"/>
      <c r="B70" s="168"/>
      <c r="C70" s="168"/>
      <c r="D70" s="168"/>
      <c r="E70" s="168"/>
      <c r="F70" s="168"/>
      <c r="G70" s="168"/>
      <c r="H70" s="168"/>
      <c r="I70" s="168"/>
      <c r="J70" s="168"/>
      <c r="K70" s="168"/>
      <c r="L70" s="168"/>
      <c r="M70" s="168"/>
      <c r="N70" s="168"/>
      <c r="O70" s="168"/>
      <c r="P70" s="168"/>
      <c r="Q70" s="168"/>
      <c r="R70" s="168"/>
      <c r="S70" s="168"/>
      <c r="T70" s="168"/>
      <c r="U70" s="168"/>
      <c r="V70" s="168"/>
      <c r="W70" s="168"/>
      <c r="X70" s="168"/>
      <c r="Y70" s="168"/>
      <c r="Z70" s="168"/>
    </row>
    <row r="71" customFormat="false" ht="15.75" hidden="false" customHeight="false" outlineLevel="0" collapsed="false">
      <c r="A71" s="168"/>
      <c r="B71" s="168"/>
      <c r="C71" s="168"/>
      <c r="D71" s="168"/>
      <c r="E71" s="168"/>
      <c r="F71" s="168"/>
      <c r="G71" s="168"/>
      <c r="H71" s="168"/>
      <c r="I71" s="168"/>
      <c r="J71" s="168"/>
      <c r="K71" s="168"/>
      <c r="L71" s="168"/>
      <c r="M71" s="168"/>
      <c r="N71" s="168"/>
      <c r="O71" s="168"/>
      <c r="P71" s="168"/>
      <c r="Q71" s="168"/>
      <c r="R71" s="168"/>
      <c r="S71" s="168"/>
      <c r="T71" s="168"/>
      <c r="U71" s="168"/>
      <c r="V71" s="168"/>
      <c r="W71" s="168"/>
      <c r="X71" s="168"/>
      <c r="Y71" s="168"/>
      <c r="Z71" s="168"/>
    </row>
    <row r="72" customFormat="false" ht="15.75" hidden="false" customHeight="false" outlineLevel="0" collapsed="false">
      <c r="A72" s="168"/>
      <c r="B72" s="168"/>
      <c r="C72" s="168"/>
      <c r="D72" s="168"/>
      <c r="E72" s="168"/>
      <c r="F72" s="168"/>
      <c r="G72" s="168"/>
      <c r="H72" s="168"/>
      <c r="I72" s="168"/>
      <c r="J72" s="168"/>
      <c r="K72" s="168"/>
      <c r="L72" s="168"/>
      <c r="M72" s="168"/>
      <c r="N72" s="168"/>
      <c r="O72" s="168"/>
      <c r="P72" s="168"/>
      <c r="Q72" s="168"/>
      <c r="R72" s="168"/>
      <c r="S72" s="168"/>
      <c r="T72" s="168"/>
      <c r="U72" s="168"/>
      <c r="V72" s="168"/>
      <c r="W72" s="168"/>
      <c r="X72" s="168"/>
      <c r="Y72" s="168"/>
      <c r="Z72" s="168"/>
    </row>
    <row r="73" customFormat="false" ht="15.75" hidden="false" customHeight="false" outlineLevel="0" collapsed="false">
      <c r="A73" s="168"/>
      <c r="B73" s="168"/>
      <c r="C73" s="168"/>
      <c r="D73" s="168"/>
      <c r="E73" s="168"/>
      <c r="F73" s="168"/>
      <c r="G73" s="168"/>
      <c r="H73" s="168"/>
      <c r="I73" s="168"/>
      <c r="J73" s="168"/>
      <c r="K73" s="168"/>
      <c r="L73" s="168"/>
      <c r="M73" s="168"/>
      <c r="N73" s="168"/>
      <c r="O73" s="168"/>
      <c r="P73" s="168"/>
      <c r="Q73" s="168"/>
      <c r="R73" s="168"/>
      <c r="S73" s="168"/>
      <c r="T73" s="168"/>
      <c r="U73" s="168"/>
      <c r="V73" s="168"/>
      <c r="W73" s="168"/>
      <c r="X73" s="168"/>
      <c r="Y73" s="168"/>
      <c r="Z73" s="168"/>
    </row>
    <row r="74" customFormat="false" ht="15.75" hidden="false" customHeight="false" outlineLevel="0" collapsed="false">
      <c r="A74" s="168"/>
      <c r="B74" s="168"/>
      <c r="C74" s="168"/>
      <c r="D74" s="168"/>
      <c r="E74" s="168"/>
      <c r="F74" s="168"/>
      <c r="G74" s="168"/>
      <c r="H74" s="168"/>
      <c r="I74" s="168"/>
      <c r="J74" s="168"/>
      <c r="K74" s="168"/>
      <c r="L74" s="168"/>
      <c r="M74" s="168"/>
      <c r="N74" s="168"/>
      <c r="O74" s="168"/>
      <c r="P74" s="168"/>
      <c r="Q74" s="168"/>
      <c r="R74" s="168"/>
      <c r="S74" s="168"/>
      <c r="T74" s="168"/>
      <c r="U74" s="168"/>
      <c r="V74" s="168"/>
      <c r="W74" s="168"/>
      <c r="X74" s="168"/>
      <c r="Y74" s="168"/>
      <c r="Z74" s="168"/>
    </row>
    <row r="75" customFormat="false" ht="15.75" hidden="false" customHeight="false" outlineLevel="0" collapsed="false">
      <c r="A75" s="168"/>
      <c r="B75" s="168"/>
      <c r="C75" s="168"/>
      <c r="D75" s="168"/>
      <c r="E75" s="168"/>
      <c r="F75" s="168"/>
      <c r="G75" s="168"/>
      <c r="H75" s="168"/>
      <c r="I75" s="168"/>
      <c r="J75" s="168"/>
      <c r="K75" s="168"/>
      <c r="L75" s="168"/>
      <c r="M75" s="168"/>
      <c r="N75" s="168"/>
      <c r="O75" s="168"/>
      <c r="P75" s="168"/>
      <c r="Q75" s="168"/>
      <c r="R75" s="168"/>
      <c r="S75" s="168"/>
      <c r="T75" s="168"/>
      <c r="U75" s="168"/>
      <c r="V75" s="168"/>
      <c r="W75" s="168"/>
      <c r="X75" s="168"/>
      <c r="Y75" s="168"/>
      <c r="Z75" s="168"/>
    </row>
    <row r="76" customFormat="false" ht="15.75" hidden="false" customHeight="false" outlineLevel="0" collapsed="false">
      <c r="A76" s="168"/>
      <c r="B76" s="168"/>
      <c r="C76" s="168"/>
      <c r="D76" s="168"/>
      <c r="E76" s="168"/>
      <c r="F76" s="168"/>
      <c r="G76" s="168"/>
      <c r="H76" s="168"/>
      <c r="I76" s="168"/>
      <c r="J76" s="168"/>
      <c r="K76" s="168"/>
      <c r="L76" s="168"/>
      <c r="M76" s="168"/>
      <c r="N76" s="168"/>
      <c r="O76" s="168"/>
      <c r="P76" s="168"/>
      <c r="Q76" s="168"/>
      <c r="R76" s="168"/>
      <c r="S76" s="168"/>
      <c r="T76" s="168"/>
      <c r="U76" s="168"/>
      <c r="V76" s="168"/>
      <c r="W76" s="168"/>
      <c r="X76" s="168"/>
      <c r="Y76" s="168"/>
      <c r="Z76" s="168"/>
    </row>
    <row r="77" customFormat="false" ht="15.75" hidden="false" customHeight="false" outlineLevel="0" collapsed="false">
      <c r="A77" s="168"/>
      <c r="B77" s="168"/>
      <c r="C77" s="168"/>
      <c r="D77" s="168"/>
      <c r="E77" s="168"/>
      <c r="F77" s="168"/>
      <c r="G77" s="168"/>
      <c r="H77" s="168"/>
      <c r="I77" s="168"/>
      <c r="J77" s="168"/>
      <c r="K77" s="168"/>
      <c r="L77" s="168"/>
      <c r="M77" s="168"/>
      <c r="N77" s="168"/>
      <c r="O77" s="168"/>
      <c r="P77" s="168"/>
      <c r="Q77" s="168"/>
      <c r="R77" s="168"/>
      <c r="S77" s="168"/>
      <c r="T77" s="168"/>
      <c r="U77" s="168"/>
      <c r="V77" s="168"/>
      <c r="W77" s="168"/>
      <c r="X77" s="168"/>
      <c r="Y77" s="168"/>
      <c r="Z77" s="168"/>
    </row>
    <row r="78" customFormat="false" ht="15.75" hidden="false" customHeight="false" outlineLevel="0" collapsed="false">
      <c r="A78" s="168"/>
      <c r="B78" s="168"/>
      <c r="C78" s="168"/>
      <c r="D78" s="168"/>
      <c r="E78" s="168"/>
      <c r="F78" s="168"/>
      <c r="G78" s="168"/>
      <c r="H78" s="168"/>
      <c r="I78" s="168"/>
      <c r="J78" s="168"/>
      <c r="K78" s="168"/>
      <c r="L78" s="168"/>
      <c r="M78" s="168"/>
      <c r="N78" s="168"/>
      <c r="O78" s="168"/>
      <c r="P78" s="168"/>
      <c r="Q78" s="168"/>
      <c r="R78" s="168"/>
      <c r="S78" s="168"/>
      <c r="T78" s="168"/>
      <c r="U78" s="168"/>
      <c r="V78" s="168"/>
      <c r="W78" s="168"/>
      <c r="X78" s="168"/>
      <c r="Y78" s="168"/>
      <c r="Z78" s="168"/>
    </row>
    <row r="79" customFormat="false" ht="15.75" hidden="false" customHeight="false" outlineLevel="0" collapsed="false">
      <c r="A79" s="168"/>
      <c r="B79" s="168"/>
      <c r="C79" s="168"/>
      <c r="D79" s="168"/>
      <c r="E79" s="168"/>
      <c r="F79" s="168"/>
      <c r="G79" s="168"/>
      <c r="H79" s="168"/>
      <c r="I79" s="168"/>
      <c r="J79" s="168"/>
      <c r="K79" s="168"/>
      <c r="L79" s="168"/>
      <c r="M79" s="168"/>
      <c r="N79" s="168"/>
      <c r="O79" s="168"/>
      <c r="P79" s="168"/>
      <c r="Q79" s="168"/>
      <c r="R79" s="168"/>
      <c r="S79" s="168"/>
      <c r="T79" s="168"/>
      <c r="U79" s="168"/>
      <c r="V79" s="168"/>
      <c r="W79" s="168"/>
      <c r="X79" s="168"/>
      <c r="Y79" s="168"/>
      <c r="Z79" s="168"/>
    </row>
    <row r="80" customFormat="false" ht="15.75" hidden="false" customHeight="false" outlineLevel="0" collapsed="false">
      <c r="A80" s="168"/>
      <c r="B80" s="168"/>
      <c r="C80" s="168"/>
      <c r="D80" s="168"/>
      <c r="E80" s="168"/>
      <c r="F80" s="168"/>
      <c r="G80" s="168"/>
      <c r="H80" s="168"/>
      <c r="I80" s="168"/>
      <c r="J80" s="168"/>
      <c r="K80" s="168"/>
      <c r="L80" s="168"/>
      <c r="M80" s="168"/>
      <c r="N80" s="168"/>
      <c r="O80" s="168"/>
      <c r="P80" s="168"/>
      <c r="Q80" s="168"/>
      <c r="R80" s="168"/>
      <c r="S80" s="168"/>
      <c r="T80" s="168"/>
      <c r="U80" s="168"/>
      <c r="V80" s="168"/>
      <c r="W80" s="168"/>
      <c r="X80" s="168"/>
      <c r="Y80" s="168"/>
      <c r="Z80" s="168"/>
    </row>
    <row r="81" customFormat="false" ht="15.75" hidden="false" customHeight="false" outlineLevel="0" collapsed="false">
      <c r="A81" s="168"/>
      <c r="B81" s="168"/>
      <c r="C81" s="168"/>
      <c r="D81" s="168"/>
      <c r="E81" s="168"/>
      <c r="F81" s="168"/>
      <c r="G81" s="168"/>
      <c r="H81" s="168"/>
      <c r="I81" s="168"/>
      <c r="J81" s="168"/>
      <c r="K81" s="168"/>
      <c r="L81" s="168"/>
      <c r="M81" s="168"/>
      <c r="N81" s="168"/>
      <c r="O81" s="168"/>
      <c r="P81" s="168"/>
      <c r="Q81" s="168"/>
      <c r="R81" s="168"/>
      <c r="S81" s="168"/>
      <c r="T81" s="168"/>
      <c r="U81" s="168"/>
      <c r="V81" s="168"/>
      <c r="W81" s="168"/>
      <c r="X81" s="168"/>
      <c r="Y81" s="168"/>
      <c r="Z81" s="168"/>
    </row>
    <row r="82" customFormat="false" ht="15.75" hidden="false" customHeight="false" outlineLevel="0" collapsed="false">
      <c r="A82" s="168"/>
      <c r="B82" s="168"/>
      <c r="C82" s="168"/>
      <c r="D82" s="168"/>
      <c r="E82" s="168"/>
      <c r="F82" s="168"/>
      <c r="G82" s="168"/>
      <c r="H82" s="168"/>
      <c r="I82" s="168"/>
      <c r="J82" s="168"/>
      <c r="K82" s="168"/>
      <c r="L82" s="168"/>
      <c r="M82" s="168"/>
      <c r="N82" s="168"/>
      <c r="O82" s="168"/>
      <c r="P82" s="168"/>
      <c r="Q82" s="168"/>
      <c r="R82" s="168"/>
      <c r="S82" s="168"/>
      <c r="T82" s="168"/>
      <c r="U82" s="168"/>
      <c r="V82" s="168"/>
      <c r="W82" s="168"/>
      <c r="X82" s="168"/>
      <c r="Y82" s="168"/>
      <c r="Z82" s="168"/>
    </row>
    <row r="83" customFormat="false" ht="15.75" hidden="false" customHeight="false" outlineLevel="0" collapsed="false">
      <c r="A83" s="168"/>
      <c r="B83" s="168"/>
      <c r="C83" s="168"/>
      <c r="D83" s="168"/>
      <c r="E83" s="168"/>
      <c r="F83" s="168"/>
      <c r="G83" s="168"/>
      <c r="H83" s="168"/>
      <c r="I83" s="168"/>
      <c r="J83" s="168"/>
      <c r="K83" s="168"/>
      <c r="L83" s="168"/>
      <c r="M83" s="168"/>
      <c r="N83" s="168"/>
      <c r="O83" s="168"/>
      <c r="P83" s="168"/>
      <c r="Q83" s="168"/>
      <c r="R83" s="168"/>
      <c r="S83" s="168"/>
      <c r="T83" s="168"/>
      <c r="U83" s="168"/>
      <c r="V83" s="168"/>
      <c r="W83" s="168"/>
      <c r="X83" s="168"/>
      <c r="Y83" s="168"/>
      <c r="Z83" s="168"/>
    </row>
    <row r="84" customFormat="false" ht="15.75" hidden="false" customHeight="false" outlineLevel="0" collapsed="false">
      <c r="A84" s="168"/>
      <c r="B84" s="168"/>
      <c r="C84" s="168"/>
      <c r="D84" s="168"/>
      <c r="E84" s="168"/>
      <c r="F84" s="168"/>
      <c r="G84" s="168"/>
      <c r="H84" s="168"/>
      <c r="I84" s="168"/>
      <c r="J84" s="168"/>
      <c r="K84" s="168"/>
      <c r="L84" s="168"/>
      <c r="M84" s="168"/>
      <c r="N84" s="168"/>
      <c r="O84" s="168"/>
      <c r="P84" s="168"/>
      <c r="Q84" s="168"/>
      <c r="R84" s="168"/>
      <c r="S84" s="168"/>
      <c r="T84" s="168"/>
      <c r="U84" s="168"/>
      <c r="V84" s="168"/>
      <c r="W84" s="168"/>
      <c r="X84" s="168"/>
      <c r="Y84" s="168"/>
      <c r="Z84" s="168"/>
    </row>
    <row r="85" customFormat="false" ht="15.75" hidden="false" customHeight="false" outlineLevel="0" collapsed="false">
      <c r="A85" s="168"/>
      <c r="B85" s="168"/>
      <c r="C85" s="168"/>
      <c r="D85" s="168"/>
      <c r="E85" s="168"/>
      <c r="F85" s="168"/>
      <c r="G85" s="168"/>
      <c r="H85" s="168"/>
      <c r="I85" s="168"/>
      <c r="J85" s="168"/>
      <c r="K85" s="168"/>
      <c r="L85" s="168"/>
      <c r="M85" s="168"/>
      <c r="N85" s="168"/>
      <c r="O85" s="168"/>
      <c r="P85" s="168"/>
      <c r="Q85" s="168"/>
      <c r="R85" s="168"/>
      <c r="S85" s="168"/>
      <c r="T85" s="168"/>
      <c r="U85" s="168"/>
      <c r="V85" s="168"/>
      <c r="W85" s="168"/>
      <c r="X85" s="168"/>
      <c r="Y85" s="168"/>
      <c r="Z85" s="168"/>
    </row>
    <row r="86" customFormat="false" ht="15.75" hidden="false" customHeight="false" outlineLevel="0" collapsed="false">
      <c r="A86" s="168"/>
      <c r="B86" s="168"/>
      <c r="C86" s="168"/>
      <c r="D86" s="168"/>
      <c r="E86" s="168"/>
      <c r="F86" s="168"/>
      <c r="G86" s="168"/>
      <c r="H86" s="168"/>
      <c r="I86" s="168"/>
      <c r="J86" s="168"/>
      <c r="K86" s="168"/>
      <c r="L86" s="168"/>
      <c r="M86" s="168"/>
      <c r="N86" s="168"/>
      <c r="O86" s="168"/>
      <c r="P86" s="168"/>
      <c r="Q86" s="168"/>
      <c r="R86" s="168"/>
      <c r="S86" s="168"/>
      <c r="T86" s="168"/>
      <c r="U86" s="168"/>
      <c r="V86" s="168"/>
      <c r="W86" s="168"/>
      <c r="X86" s="168"/>
      <c r="Y86" s="168"/>
      <c r="Z86" s="168"/>
    </row>
    <row r="87" customFormat="false" ht="15.75" hidden="false" customHeight="false" outlineLevel="0" collapsed="false">
      <c r="A87" s="168"/>
      <c r="B87" s="168"/>
      <c r="C87" s="168"/>
      <c r="D87" s="168"/>
      <c r="E87" s="168"/>
      <c r="F87" s="168"/>
      <c r="G87" s="168"/>
      <c r="H87" s="168"/>
      <c r="I87" s="168"/>
      <c r="J87" s="168"/>
      <c r="K87" s="168"/>
      <c r="L87" s="168"/>
      <c r="M87" s="168"/>
      <c r="N87" s="168"/>
      <c r="O87" s="168"/>
      <c r="P87" s="168"/>
      <c r="Q87" s="168"/>
      <c r="R87" s="168"/>
      <c r="S87" s="168"/>
      <c r="T87" s="168"/>
      <c r="U87" s="168"/>
      <c r="V87" s="168"/>
      <c r="W87" s="168"/>
      <c r="X87" s="168"/>
      <c r="Y87" s="168"/>
      <c r="Z87" s="168"/>
    </row>
    <row r="88" customFormat="false" ht="15.75" hidden="false" customHeight="false" outlineLevel="0" collapsed="false">
      <c r="A88" s="168"/>
      <c r="B88" s="168"/>
      <c r="C88" s="168"/>
      <c r="D88" s="168"/>
      <c r="E88" s="168"/>
      <c r="F88" s="168"/>
      <c r="G88" s="168"/>
      <c r="H88" s="168"/>
      <c r="I88" s="168"/>
      <c r="J88" s="168"/>
      <c r="K88" s="168"/>
      <c r="L88" s="168"/>
      <c r="M88" s="168"/>
      <c r="N88" s="168"/>
      <c r="O88" s="168"/>
      <c r="P88" s="168"/>
      <c r="Q88" s="168"/>
      <c r="R88" s="168"/>
      <c r="S88" s="168"/>
      <c r="T88" s="168"/>
      <c r="U88" s="168"/>
      <c r="V88" s="168"/>
      <c r="W88" s="168"/>
      <c r="X88" s="168"/>
      <c r="Y88" s="168"/>
      <c r="Z88" s="168"/>
    </row>
    <row r="89" customFormat="false" ht="15.75" hidden="false" customHeight="false" outlineLevel="0" collapsed="false">
      <c r="A89" s="168"/>
      <c r="B89" s="168"/>
      <c r="C89" s="168"/>
      <c r="D89" s="168"/>
      <c r="E89" s="168"/>
      <c r="F89" s="168"/>
      <c r="G89" s="168"/>
      <c r="H89" s="168"/>
      <c r="I89" s="168"/>
      <c r="J89" s="168"/>
      <c r="K89" s="168"/>
      <c r="L89" s="168"/>
      <c r="M89" s="168"/>
      <c r="N89" s="168"/>
      <c r="O89" s="168"/>
      <c r="P89" s="168"/>
      <c r="Q89" s="168"/>
      <c r="R89" s="168"/>
      <c r="S89" s="168"/>
      <c r="T89" s="168"/>
      <c r="U89" s="168"/>
      <c r="V89" s="168"/>
      <c r="W89" s="168"/>
      <c r="X89" s="168"/>
      <c r="Y89" s="168"/>
      <c r="Z89" s="168"/>
    </row>
    <row r="90" customFormat="false" ht="15.75" hidden="false" customHeight="false" outlineLevel="0" collapsed="false">
      <c r="A90" s="168"/>
      <c r="B90" s="168"/>
      <c r="C90" s="168"/>
      <c r="D90" s="168"/>
      <c r="E90" s="168"/>
      <c r="F90" s="168"/>
      <c r="G90" s="168"/>
      <c r="H90" s="168"/>
      <c r="I90" s="168"/>
      <c r="J90" s="168"/>
      <c r="K90" s="168"/>
      <c r="L90" s="168"/>
      <c r="M90" s="168"/>
      <c r="N90" s="168"/>
      <c r="O90" s="168"/>
      <c r="P90" s="168"/>
      <c r="Q90" s="168"/>
      <c r="R90" s="168"/>
      <c r="S90" s="168"/>
      <c r="T90" s="168"/>
      <c r="U90" s="168"/>
      <c r="V90" s="168"/>
      <c r="W90" s="168"/>
      <c r="X90" s="168"/>
      <c r="Y90" s="168"/>
      <c r="Z90" s="168"/>
    </row>
    <row r="91" customFormat="false" ht="15.75" hidden="false" customHeight="false" outlineLevel="0" collapsed="false">
      <c r="A91" s="168"/>
      <c r="B91" s="168"/>
      <c r="C91" s="168"/>
      <c r="D91" s="168"/>
      <c r="E91" s="168"/>
      <c r="F91" s="168"/>
      <c r="G91" s="168"/>
      <c r="H91" s="168"/>
      <c r="I91" s="168"/>
      <c r="J91" s="168"/>
      <c r="K91" s="168"/>
      <c r="L91" s="168"/>
      <c r="M91" s="168"/>
      <c r="N91" s="168"/>
      <c r="O91" s="168"/>
      <c r="P91" s="168"/>
      <c r="Q91" s="168"/>
      <c r="R91" s="168"/>
      <c r="S91" s="168"/>
      <c r="T91" s="168"/>
      <c r="U91" s="168"/>
      <c r="V91" s="168"/>
      <c r="W91" s="168"/>
      <c r="X91" s="168"/>
      <c r="Y91" s="168"/>
      <c r="Z91" s="168"/>
    </row>
    <row r="92" customFormat="false" ht="15.75" hidden="false" customHeight="false" outlineLevel="0" collapsed="false">
      <c r="A92" s="168"/>
      <c r="B92" s="168"/>
      <c r="C92" s="168"/>
      <c r="D92" s="168"/>
      <c r="E92" s="168"/>
      <c r="F92" s="168"/>
      <c r="G92" s="168"/>
      <c r="H92" s="168"/>
      <c r="I92" s="168"/>
      <c r="J92" s="168"/>
      <c r="K92" s="168"/>
      <c r="L92" s="168"/>
      <c r="M92" s="168"/>
      <c r="N92" s="168"/>
      <c r="O92" s="168"/>
      <c r="P92" s="168"/>
      <c r="Q92" s="168"/>
      <c r="R92" s="168"/>
      <c r="S92" s="168"/>
      <c r="T92" s="168"/>
      <c r="U92" s="168"/>
      <c r="V92" s="168"/>
      <c r="W92" s="168"/>
      <c r="X92" s="168"/>
      <c r="Y92" s="168"/>
      <c r="Z92" s="168"/>
    </row>
    <row r="93" customFormat="false" ht="15.75" hidden="false" customHeight="false" outlineLevel="0" collapsed="false">
      <c r="A93" s="168"/>
      <c r="B93" s="168"/>
      <c r="C93" s="168"/>
      <c r="D93" s="168"/>
      <c r="E93" s="168"/>
      <c r="F93" s="168"/>
      <c r="G93" s="168"/>
      <c r="H93" s="168"/>
      <c r="I93" s="168"/>
      <c r="J93" s="168"/>
      <c r="K93" s="168"/>
      <c r="L93" s="168"/>
      <c r="M93" s="168"/>
      <c r="N93" s="168"/>
      <c r="O93" s="168"/>
      <c r="P93" s="168"/>
      <c r="Q93" s="168"/>
      <c r="R93" s="168"/>
      <c r="S93" s="168"/>
      <c r="T93" s="168"/>
      <c r="U93" s="168"/>
      <c r="V93" s="168"/>
      <c r="W93" s="168"/>
      <c r="X93" s="168"/>
      <c r="Y93" s="168"/>
      <c r="Z93" s="168"/>
    </row>
    <row r="94" customFormat="false" ht="15.75" hidden="false" customHeight="false" outlineLevel="0" collapsed="false">
      <c r="A94" s="168"/>
      <c r="B94" s="168"/>
      <c r="C94" s="168"/>
      <c r="D94" s="168"/>
      <c r="E94" s="168"/>
      <c r="F94" s="168"/>
      <c r="G94" s="168"/>
      <c r="H94" s="168"/>
      <c r="I94" s="168"/>
      <c r="J94" s="168"/>
      <c r="K94" s="168"/>
      <c r="L94" s="168"/>
      <c r="M94" s="168"/>
      <c r="N94" s="168"/>
      <c r="O94" s="168"/>
      <c r="P94" s="168"/>
      <c r="Q94" s="168"/>
      <c r="R94" s="168"/>
      <c r="S94" s="168"/>
      <c r="T94" s="168"/>
      <c r="U94" s="168"/>
      <c r="V94" s="168"/>
      <c r="W94" s="168"/>
      <c r="X94" s="168"/>
      <c r="Y94" s="168"/>
      <c r="Z94" s="168"/>
    </row>
    <row r="95" customFormat="false" ht="15.75" hidden="false" customHeight="false" outlineLevel="0" collapsed="false">
      <c r="A95" s="168"/>
      <c r="B95" s="168"/>
      <c r="C95" s="168"/>
      <c r="D95" s="168"/>
      <c r="E95" s="168"/>
      <c r="F95" s="168"/>
      <c r="G95" s="168"/>
      <c r="H95" s="168"/>
      <c r="I95" s="168"/>
      <c r="J95" s="168"/>
      <c r="K95" s="168"/>
      <c r="L95" s="168"/>
      <c r="M95" s="168"/>
      <c r="N95" s="168"/>
      <c r="O95" s="168"/>
      <c r="P95" s="168"/>
      <c r="Q95" s="168"/>
      <c r="R95" s="168"/>
      <c r="S95" s="168"/>
      <c r="T95" s="168"/>
      <c r="U95" s="168"/>
      <c r="V95" s="168"/>
      <c r="W95" s="168"/>
      <c r="X95" s="168"/>
      <c r="Y95" s="168"/>
      <c r="Z95" s="168"/>
    </row>
    <row r="96" customFormat="false" ht="15.75" hidden="false" customHeight="false" outlineLevel="0" collapsed="false">
      <c r="A96" s="168"/>
      <c r="B96" s="168"/>
      <c r="C96" s="168"/>
      <c r="D96" s="168"/>
      <c r="E96" s="168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8"/>
      <c r="S96" s="168"/>
      <c r="T96" s="168"/>
      <c r="U96" s="168"/>
      <c r="V96" s="168"/>
      <c r="W96" s="168"/>
      <c r="X96" s="168"/>
      <c r="Y96" s="168"/>
      <c r="Z96" s="168"/>
    </row>
    <row r="97" customFormat="false" ht="15.75" hidden="false" customHeight="false" outlineLevel="0" collapsed="false">
      <c r="A97" s="168"/>
      <c r="B97" s="168"/>
      <c r="C97" s="168"/>
      <c r="D97" s="168"/>
      <c r="E97" s="168"/>
      <c r="F97" s="168"/>
      <c r="G97" s="168"/>
      <c r="H97" s="168"/>
      <c r="I97" s="168"/>
      <c r="J97" s="168"/>
      <c r="K97" s="168"/>
      <c r="L97" s="168"/>
      <c r="M97" s="168"/>
      <c r="N97" s="168"/>
      <c r="O97" s="168"/>
      <c r="P97" s="168"/>
      <c r="Q97" s="168"/>
      <c r="R97" s="168"/>
      <c r="S97" s="168"/>
      <c r="T97" s="168"/>
      <c r="U97" s="168"/>
      <c r="V97" s="168"/>
      <c r="W97" s="168"/>
      <c r="X97" s="168"/>
      <c r="Y97" s="168"/>
      <c r="Z97" s="168"/>
    </row>
    <row r="98" customFormat="false" ht="15.75" hidden="false" customHeight="false" outlineLevel="0" collapsed="false">
      <c r="A98" s="168"/>
      <c r="B98" s="168"/>
      <c r="C98" s="168"/>
      <c r="D98" s="168"/>
      <c r="E98" s="168"/>
      <c r="F98" s="168"/>
      <c r="G98" s="168"/>
      <c r="H98" s="168"/>
      <c r="I98" s="168"/>
      <c r="J98" s="168"/>
      <c r="K98" s="168"/>
      <c r="L98" s="168"/>
      <c r="M98" s="168"/>
      <c r="N98" s="168"/>
      <c r="O98" s="168"/>
      <c r="P98" s="168"/>
      <c r="Q98" s="168"/>
      <c r="R98" s="168"/>
      <c r="S98" s="168"/>
      <c r="T98" s="168"/>
      <c r="U98" s="168"/>
      <c r="V98" s="168"/>
      <c r="W98" s="168"/>
      <c r="X98" s="168"/>
      <c r="Y98" s="168"/>
      <c r="Z98" s="168"/>
    </row>
    <row r="99" customFormat="false" ht="15.75" hidden="false" customHeight="false" outlineLevel="0" collapsed="false">
      <c r="A99" s="168"/>
      <c r="B99" s="168"/>
      <c r="C99" s="168"/>
      <c r="D99" s="168"/>
      <c r="E99" s="168"/>
      <c r="F99" s="168"/>
      <c r="G99" s="168"/>
      <c r="H99" s="168"/>
      <c r="I99" s="168"/>
      <c r="J99" s="168"/>
      <c r="K99" s="168"/>
      <c r="L99" s="168"/>
      <c r="M99" s="168"/>
      <c r="N99" s="168"/>
      <c r="O99" s="168"/>
      <c r="P99" s="168"/>
      <c r="Q99" s="168"/>
      <c r="R99" s="168"/>
      <c r="S99" s="168"/>
      <c r="T99" s="168"/>
      <c r="U99" s="168"/>
      <c r="V99" s="168"/>
      <c r="W99" s="168"/>
      <c r="X99" s="168"/>
      <c r="Y99" s="168"/>
      <c r="Z99" s="168"/>
    </row>
    <row r="100" customFormat="false" ht="15.75" hidden="false" customHeight="false" outlineLevel="0" collapsed="false">
      <c r="A100" s="168"/>
      <c r="B100" s="168"/>
      <c r="C100" s="168"/>
      <c r="D100" s="168"/>
      <c r="E100" s="168"/>
      <c r="F100" s="168"/>
      <c r="G100" s="168"/>
      <c r="H100" s="168"/>
      <c r="I100" s="168"/>
      <c r="J100" s="168"/>
      <c r="K100" s="168"/>
      <c r="L100" s="168"/>
      <c r="M100" s="168"/>
      <c r="N100" s="168"/>
      <c r="O100" s="168"/>
      <c r="P100" s="168"/>
      <c r="Q100" s="168"/>
      <c r="R100" s="168"/>
      <c r="S100" s="168"/>
      <c r="T100" s="168"/>
      <c r="U100" s="168"/>
      <c r="V100" s="168"/>
      <c r="W100" s="168"/>
      <c r="X100" s="168"/>
      <c r="Y100" s="168"/>
      <c r="Z100" s="168"/>
    </row>
    <row r="101" customFormat="false" ht="15.75" hidden="false" customHeight="false" outlineLevel="0" collapsed="false">
      <c r="A101" s="168"/>
      <c r="B101" s="168"/>
      <c r="C101" s="168"/>
      <c r="D101" s="168"/>
      <c r="E101" s="168"/>
      <c r="F101" s="168"/>
      <c r="G101" s="168"/>
      <c r="H101" s="168"/>
      <c r="I101" s="168"/>
      <c r="J101" s="168"/>
      <c r="K101" s="168"/>
      <c r="L101" s="168"/>
      <c r="M101" s="168"/>
      <c r="N101" s="168"/>
      <c r="O101" s="168"/>
      <c r="P101" s="168"/>
      <c r="Q101" s="168"/>
      <c r="R101" s="168"/>
      <c r="S101" s="168"/>
      <c r="T101" s="168"/>
      <c r="U101" s="168"/>
      <c r="V101" s="168"/>
      <c r="W101" s="168"/>
      <c r="X101" s="168"/>
      <c r="Y101" s="168"/>
      <c r="Z101" s="168"/>
    </row>
    <row r="102" customFormat="false" ht="15.75" hidden="false" customHeight="false" outlineLevel="0" collapsed="false">
      <c r="A102" s="168"/>
      <c r="B102" s="168"/>
      <c r="C102" s="168"/>
      <c r="D102" s="168"/>
      <c r="E102" s="168"/>
      <c r="F102" s="168"/>
      <c r="G102" s="168"/>
      <c r="H102" s="168"/>
      <c r="I102" s="168"/>
      <c r="J102" s="168"/>
      <c r="K102" s="168"/>
      <c r="L102" s="168"/>
      <c r="M102" s="168"/>
      <c r="N102" s="168"/>
      <c r="O102" s="168"/>
      <c r="P102" s="168"/>
      <c r="Q102" s="168"/>
      <c r="R102" s="168"/>
      <c r="S102" s="168"/>
      <c r="T102" s="168"/>
      <c r="U102" s="168"/>
      <c r="V102" s="168"/>
      <c r="W102" s="168"/>
      <c r="X102" s="168"/>
      <c r="Y102" s="168"/>
      <c r="Z102" s="168"/>
    </row>
    <row r="103" customFormat="false" ht="15.75" hidden="false" customHeight="false" outlineLevel="0" collapsed="false">
      <c r="A103" s="168"/>
      <c r="B103" s="168"/>
      <c r="C103" s="168"/>
      <c r="D103" s="168"/>
      <c r="E103" s="168"/>
      <c r="F103" s="168"/>
      <c r="G103" s="168"/>
      <c r="H103" s="168"/>
      <c r="I103" s="168"/>
      <c r="J103" s="168"/>
      <c r="K103" s="168"/>
      <c r="L103" s="168"/>
      <c r="M103" s="168"/>
      <c r="N103" s="168"/>
      <c r="O103" s="168"/>
      <c r="P103" s="168"/>
      <c r="Q103" s="168"/>
      <c r="R103" s="168"/>
      <c r="S103" s="168"/>
      <c r="T103" s="168"/>
      <c r="U103" s="168"/>
      <c r="V103" s="168"/>
      <c r="W103" s="168"/>
      <c r="X103" s="168"/>
      <c r="Y103" s="168"/>
      <c r="Z103" s="168"/>
    </row>
    <row r="104" customFormat="false" ht="15.75" hidden="false" customHeight="false" outlineLevel="0" collapsed="false">
      <c r="A104" s="168"/>
      <c r="B104" s="168"/>
      <c r="C104" s="168"/>
      <c r="D104" s="168"/>
      <c r="E104" s="168"/>
      <c r="F104" s="168"/>
      <c r="G104" s="168"/>
      <c r="H104" s="168"/>
      <c r="I104" s="168"/>
      <c r="J104" s="168"/>
      <c r="K104" s="168"/>
      <c r="L104" s="168"/>
      <c r="M104" s="168"/>
      <c r="N104" s="168"/>
      <c r="O104" s="168"/>
      <c r="P104" s="168"/>
      <c r="Q104" s="168"/>
      <c r="R104" s="168"/>
      <c r="S104" s="168"/>
      <c r="T104" s="168"/>
      <c r="U104" s="168"/>
      <c r="V104" s="168"/>
      <c r="W104" s="168"/>
      <c r="X104" s="168"/>
      <c r="Y104" s="168"/>
      <c r="Z104" s="168"/>
    </row>
    <row r="105" customFormat="false" ht="15.75" hidden="false" customHeight="false" outlineLevel="0" collapsed="false">
      <c r="A105" s="168"/>
      <c r="B105" s="168"/>
      <c r="C105" s="168"/>
      <c r="D105" s="168"/>
      <c r="E105" s="168"/>
      <c r="F105" s="168"/>
      <c r="G105" s="168"/>
      <c r="H105" s="168"/>
      <c r="I105" s="168"/>
      <c r="J105" s="168"/>
      <c r="K105" s="168"/>
      <c r="L105" s="168"/>
      <c r="M105" s="168"/>
      <c r="N105" s="168"/>
      <c r="O105" s="168"/>
      <c r="P105" s="168"/>
      <c r="Q105" s="168"/>
      <c r="R105" s="168"/>
      <c r="S105" s="168"/>
      <c r="T105" s="168"/>
      <c r="U105" s="168"/>
      <c r="V105" s="168"/>
      <c r="W105" s="168"/>
      <c r="X105" s="168"/>
      <c r="Y105" s="168"/>
      <c r="Z105" s="168"/>
    </row>
    <row r="106" customFormat="false" ht="15.75" hidden="false" customHeight="false" outlineLevel="0" collapsed="false">
      <c r="A106" s="168"/>
      <c r="B106" s="168"/>
      <c r="C106" s="168"/>
      <c r="D106" s="168"/>
      <c r="E106" s="168"/>
      <c r="F106" s="168"/>
      <c r="G106" s="168"/>
      <c r="H106" s="168"/>
      <c r="I106" s="168"/>
      <c r="J106" s="168"/>
      <c r="K106" s="168"/>
      <c r="L106" s="168"/>
      <c r="M106" s="168"/>
      <c r="N106" s="168"/>
      <c r="O106" s="168"/>
      <c r="P106" s="168"/>
      <c r="Q106" s="168"/>
      <c r="R106" s="168"/>
      <c r="S106" s="168"/>
      <c r="T106" s="168"/>
      <c r="U106" s="168"/>
      <c r="V106" s="168"/>
      <c r="W106" s="168"/>
      <c r="X106" s="168"/>
      <c r="Y106" s="168"/>
      <c r="Z106" s="168"/>
    </row>
    <row r="107" customFormat="false" ht="15.75" hidden="false" customHeight="false" outlineLevel="0" collapsed="false">
      <c r="A107" s="168"/>
      <c r="B107" s="168"/>
      <c r="C107" s="168"/>
      <c r="D107" s="168"/>
      <c r="E107" s="168"/>
      <c r="F107" s="168"/>
      <c r="G107" s="168"/>
      <c r="H107" s="168"/>
      <c r="I107" s="168"/>
      <c r="J107" s="168"/>
      <c r="K107" s="168"/>
      <c r="L107" s="168"/>
      <c r="M107" s="168"/>
      <c r="N107" s="168"/>
      <c r="O107" s="168"/>
      <c r="P107" s="168"/>
      <c r="Q107" s="168"/>
      <c r="R107" s="168"/>
      <c r="S107" s="168"/>
      <c r="T107" s="168"/>
      <c r="U107" s="168"/>
      <c r="V107" s="168"/>
      <c r="W107" s="168"/>
      <c r="X107" s="168"/>
      <c r="Y107" s="168"/>
      <c r="Z107" s="168"/>
    </row>
    <row r="108" customFormat="false" ht="15.75" hidden="false" customHeight="false" outlineLevel="0" collapsed="false">
      <c r="A108" s="168"/>
      <c r="B108" s="168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8"/>
      <c r="O108" s="168"/>
      <c r="P108" s="168"/>
      <c r="Q108" s="168"/>
      <c r="R108" s="168"/>
      <c r="S108" s="168"/>
      <c r="T108" s="168"/>
      <c r="U108" s="168"/>
      <c r="V108" s="168"/>
      <c r="W108" s="168"/>
      <c r="X108" s="168"/>
      <c r="Y108" s="168"/>
      <c r="Z108" s="168"/>
    </row>
    <row r="109" customFormat="false" ht="15.75" hidden="false" customHeight="false" outlineLevel="0" collapsed="false">
      <c r="A109" s="168"/>
      <c r="B109" s="168"/>
      <c r="C109" s="168"/>
      <c r="D109" s="168"/>
      <c r="E109" s="168"/>
      <c r="F109" s="168"/>
      <c r="G109" s="168"/>
      <c r="H109" s="168"/>
      <c r="I109" s="168"/>
      <c r="J109" s="168"/>
      <c r="K109" s="168"/>
      <c r="L109" s="168"/>
      <c r="M109" s="168"/>
      <c r="N109" s="168"/>
      <c r="O109" s="168"/>
      <c r="P109" s="168"/>
      <c r="Q109" s="168"/>
      <c r="R109" s="168"/>
      <c r="S109" s="168"/>
      <c r="T109" s="168"/>
      <c r="U109" s="168"/>
      <c r="V109" s="168"/>
      <c r="W109" s="168"/>
      <c r="X109" s="168"/>
      <c r="Y109" s="168"/>
      <c r="Z109" s="168"/>
    </row>
    <row r="110" customFormat="false" ht="15.75" hidden="false" customHeight="false" outlineLevel="0" collapsed="false">
      <c r="A110" s="168"/>
      <c r="B110" s="168"/>
      <c r="C110" s="168"/>
      <c r="D110" s="168"/>
      <c r="E110" s="168"/>
      <c r="F110" s="168"/>
      <c r="G110" s="168"/>
      <c r="H110" s="168"/>
      <c r="I110" s="168"/>
      <c r="J110" s="168"/>
      <c r="K110" s="168"/>
      <c r="L110" s="168"/>
      <c r="M110" s="168"/>
      <c r="N110" s="168"/>
      <c r="O110" s="168"/>
      <c r="P110" s="168"/>
      <c r="Q110" s="168"/>
      <c r="R110" s="168"/>
      <c r="S110" s="168"/>
      <c r="T110" s="168"/>
      <c r="U110" s="168"/>
      <c r="V110" s="168"/>
      <c r="W110" s="168"/>
      <c r="X110" s="168"/>
      <c r="Y110" s="168"/>
      <c r="Z110" s="168"/>
    </row>
    <row r="111" customFormat="false" ht="15.75" hidden="false" customHeight="false" outlineLevel="0" collapsed="false">
      <c r="A111" s="168"/>
      <c r="B111" s="168"/>
      <c r="C111" s="168"/>
      <c r="D111" s="168"/>
      <c r="E111" s="168"/>
      <c r="F111" s="168"/>
      <c r="G111" s="168"/>
      <c r="H111" s="168"/>
      <c r="I111" s="168"/>
      <c r="J111" s="168"/>
      <c r="K111" s="168"/>
      <c r="L111" s="168"/>
      <c r="M111" s="168"/>
      <c r="N111" s="168"/>
      <c r="O111" s="168"/>
      <c r="P111" s="168"/>
      <c r="Q111" s="168"/>
      <c r="R111" s="168"/>
      <c r="S111" s="168"/>
      <c r="T111" s="168"/>
      <c r="U111" s="168"/>
      <c r="V111" s="168"/>
      <c r="W111" s="168"/>
      <c r="X111" s="168"/>
      <c r="Y111" s="168"/>
      <c r="Z111" s="168"/>
    </row>
    <row r="112" customFormat="false" ht="15.75" hidden="false" customHeight="false" outlineLevel="0" collapsed="false">
      <c r="A112" s="168"/>
      <c r="B112" s="168"/>
      <c r="C112" s="168"/>
      <c r="D112" s="168"/>
      <c r="E112" s="168"/>
      <c r="F112" s="168"/>
      <c r="G112" s="168"/>
      <c r="H112" s="168"/>
      <c r="I112" s="168"/>
      <c r="J112" s="168"/>
      <c r="K112" s="168"/>
      <c r="L112" s="168"/>
      <c r="M112" s="168"/>
      <c r="N112" s="168"/>
      <c r="O112" s="168"/>
      <c r="P112" s="168"/>
      <c r="Q112" s="168"/>
      <c r="R112" s="168"/>
      <c r="S112" s="168"/>
      <c r="T112" s="168"/>
      <c r="U112" s="168"/>
      <c r="V112" s="168"/>
      <c r="W112" s="168"/>
      <c r="X112" s="168"/>
      <c r="Y112" s="168"/>
      <c r="Z112" s="168"/>
    </row>
    <row r="113" customFormat="false" ht="15.75" hidden="false" customHeight="false" outlineLevel="0" collapsed="false">
      <c r="A113" s="168"/>
      <c r="B113" s="168"/>
      <c r="C113" s="168"/>
      <c r="D113" s="168"/>
      <c r="E113" s="168"/>
      <c r="F113" s="168"/>
      <c r="G113" s="168"/>
      <c r="H113" s="168"/>
      <c r="I113" s="168"/>
      <c r="J113" s="168"/>
      <c r="K113" s="168"/>
      <c r="L113" s="168"/>
      <c r="M113" s="168"/>
      <c r="N113" s="168"/>
      <c r="O113" s="168"/>
      <c r="P113" s="168"/>
      <c r="Q113" s="168"/>
      <c r="R113" s="168"/>
      <c r="S113" s="168"/>
      <c r="T113" s="168"/>
      <c r="U113" s="168"/>
      <c r="V113" s="168"/>
      <c r="W113" s="168"/>
      <c r="X113" s="168"/>
      <c r="Y113" s="168"/>
      <c r="Z113" s="168"/>
    </row>
    <row r="114" customFormat="false" ht="15.75" hidden="false" customHeight="false" outlineLevel="0" collapsed="false">
      <c r="A114" s="168"/>
      <c r="B114" s="168"/>
      <c r="C114" s="168"/>
      <c r="D114" s="168"/>
      <c r="E114" s="168"/>
      <c r="F114" s="168"/>
      <c r="G114" s="168"/>
      <c r="H114" s="168"/>
      <c r="I114" s="168"/>
      <c r="J114" s="168"/>
      <c r="K114" s="168"/>
      <c r="L114" s="168"/>
      <c r="M114" s="168"/>
      <c r="N114" s="168"/>
      <c r="O114" s="168"/>
      <c r="P114" s="168"/>
      <c r="Q114" s="168"/>
      <c r="R114" s="168"/>
      <c r="S114" s="168"/>
      <c r="T114" s="168"/>
      <c r="U114" s="168"/>
      <c r="V114" s="168"/>
      <c r="W114" s="168"/>
      <c r="X114" s="168"/>
      <c r="Y114" s="168"/>
      <c r="Z114" s="168"/>
    </row>
    <row r="115" customFormat="false" ht="15.75" hidden="false" customHeight="false" outlineLevel="0" collapsed="false">
      <c r="A115" s="168"/>
      <c r="B115" s="168"/>
      <c r="C115" s="168"/>
      <c r="D115" s="168"/>
      <c r="E115" s="168"/>
      <c r="F115" s="168"/>
      <c r="G115" s="168"/>
      <c r="H115" s="168"/>
      <c r="I115" s="168"/>
      <c r="J115" s="168"/>
      <c r="K115" s="168"/>
      <c r="L115" s="168"/>
      <c r="M115" s="168"/>
      <c r="N115" s="168"/>
      <c r="O115" s="168"/>
      <c r="P115" s="168"/>
      <c r="Q115" s="168"/>
      <c r="R115" s="168"/>
      <c r="S115" s="168"/>
      <c r="T115" s="168"/>
      <c r="U115" s="168"/>
      <c r="V115" s="168"/>
      <c r="W115" s="168"/>
      <c r="X115" s="168"/>
      <c r="Y115" s="168"/>
      <c r="Z115" s="168"/>
    </row>
    <row r="116" customFormat="false" ht="15.75" hidden="false" customHeight="false" outlineLevel="0" collapsed="false">
      <c r="A116" s="168"/>
      <c r="B116" s="168"/>
      <c r="C116" s="168"/>
      <c r="D116" s="168"/>
      <c r="E116" s="168"/>
      <c r="F116" s="168"/>
      <c r="G116" s="168"/>
      <c r="H116" s="168"/>
      <c r="I116" s="168"/>
      <c r="J116" s="168"/>
      <c r="K116" s="168"/>
      <c r="L116" s="168"/>
      <c r="M116" s="168"/>
      <c r="N116" s="168"/>
      <c r="O116" s="168"/>
      <c r="P116" s="168"/>
      <c r="Q116" s="168"/>
      <c r="R116" s="168"/>
      <c r="S116" s="168"/>
      <c r="T116" s="168"/>
      <c r="U116" s="168"/>
      <c r="V116" s="168"/>
      <c r="W116" s="168"/>
      <c r="X116" s="168"/>
      <c r="Y116" s="168"/>
      <c r="Z116" s="168"/>
    </row>
    <row r="117" customFormat="false" ht="15.75" hidden="false" customHeight="false" outlineLevel="0" collapsed="false">
      <c r="A117" s="168"/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  <c r="V117" s="168"/>
      <c r="W117" s="168"/>
      <c r="X117" s="168"/>
      <c r="Y117" s="168"/>
      <c r="Z117" s="168"/>
    </row>
    <row r="118" customFormat="false" ht="15.75" hidden="false" customHeight="false" outlineLevel="0" collapsed="false">
      <c r="A118" s="168"/>
      <c r="B118" s="168"/>
      <c r="C118" s="168"/>
      <c r="D118" s="168"/>
      <c r="E118" s="168"/>
      <c r="F118" s="168"/>
      <c r="G118" s="168"/>
      <c r="H118" s="168"/>
      <c r="I118" s="168"/>
      <c r="J118" s="168"/>
      <c r="K118" s="168"/>
      <c r="L118" s="168"/>
      <c r="M118" s="168"/>
      <c r="N118" s="168"/>
      <c r="O118" s="168"/>
      <c r="P118" s="168"/>
      <c r="Q118" s="168"/>
      <c r="R118" s="168"/>
      <c r="S118" s="168"/>
      <c r="T118" s="168"/>
      <c r="U118" s="168"/>
      <c r="V118" s="168"/>
      <c r="W118" s="168"/>
      <c r="X118" s="168"/>
      <c r="Y118" s="168"/>
      <c r="Z118" s="168"/>
    </row>
    <row r="119" customFormat="false" ht="15.75" hidden="false" customHeight="false" outlineLevel="0" collapsed="false">
      <c r="A119" s="168"/>
      <c r="B119" s="168"/>
      <c r="C119" s="168"/>
      <c r="D119" s="168"/>
      <c r="E119" s="168"/>
      <c r="F119" s="168"/>
      <c r="G119" s="168"/>
      <c r="H119" s="168"/>
      <c r="I119" s="168"/>
      <c r="J119" s="168"/>
      <c r="K119" s="168"/>
      <c r="L119" s="168"/>
      <c r="M119" s="168"/>
      <c r="N119" s="168"/>
      <c r="O119" s="168"/>
      <c r="P119" s="168"/>
      <c r="Q119" s="168"/>
      <c r="R119" s="168"/>
      <c r="S119" s="168"/>
      <c r="T119" s="168"/>
      <c r="U119" s="168"/>
      <c r="V119" s="168"/>
      <c r="W119" s="168"/>
      <c r="X119" s="168"/>
      <c r="Y119" s="168"/>
      <c r="Z119" s="168"/>
    </row>
    <row r="120" customFormat="false" ht="15.75" hidden="false" customHeight="false" outlineLevel="0" collapsed="false">
      <c r="A120" s="168"/>
      <c r="B120" s="168"/>
      <c r="C120" s="168"/>
      <c r="D120" s="168"/>
      <c r="E120" s="168"/>
      <c r="F120" s="168"/>
      <c r="G120" s="168"/>
      <c r="H120" s="168"/>
      <c r="I120" s="168"/>
      <c r="J120" s="168"/>
      <c r="K120" s="168"/>
      <c r="L120" s="168"/>
      <c r="M120" s="168"/>
      <c r="N120" s="168"/>
      <c r="O120" s="168"/>
      <c r="P120" s="168"/>
      <c r="Q120" s="168"/>
      <c r="R120" s="168"/>
      <c r="S120" s="168"/>
      <c r="T120" s="168"/>
      <c r="U120" s="168"/>
      <c r="V120" s="168"/>
      <c r="W120" s="168"/>
      <c r="X120" s="168"/>
      <c r="Y120" s="168"/>
      <c r="Z120" s="168"/>
    </row>
    <row r="121" customFormat="false" ht="15.75" hidden="false" customHeight="false" outlineLevel="0" collapsed="false">
      <c r="A121" s="168"/>
      <c r="B121" s="168"/>
      <c r="C121" s="168"/>
      <c r="D121" s="168"/>
      <c r="E121" s="168"/>
      <c r="F121" s="168"/>
      <c r="G121" s="168"/>
      <c r="H121" s="168"/>
      <c r="I121" s="168"/>
      <c r="J121" s="168"/>
      <c r="K121" s="168"/>
      <c r="L121" s="168"/>
      <c r="M121" s="168"/>
      <c r="N121" s="168"/>
      <c r="O121" s="168"/>
      <c r="P121" s="168"/>
      <c r="Q121" s="168"/>
      <c r="R121" s="168"/>
      <c r="S121" s="168"/>
      <c r="T121" s="168"/>
      <c r="U121" s="168"/>
      <c r="V121" s="168"/>
      <c r="W121" s="168"/>
      <c r="X121" s="168"/>
      <c r="Y121" s="168"/>
      <c r="Z121" s="168"/>
    </row>
    <row r="122" customFormat="false" ht="15.75" hidden="false" customHeight="false" outlineLevel="0" collapsed="false">
      <c r="A122" s="168"/>
      <c r="B122" s="168"/>
      <c r="C122" s="168"/>
      <c r="D122" s="168"/>
      <c r="E122" s="168"/>
      <c r="F122" s="168"/>
      <c r="G122" s="168"/>
      <c r="H122" s="168"/>
      <c r="I122" s="168"/>
      <c r="J122" s="168"/>
      <c r="K122" s="168"/>
      <c r="L122" s="168"/>
      <c r="M122" s="168"/>
      <c r="N122" s="168"/>
      <c r="O122" s="168"/>
      <c r="P122" s="168"/>
      <c r="Q122" s="168"/>
      <c r="R122" s="168"/>
      <c r="S122" s="168"/>
      <c r="T122" s="168"/>
      <c r="U122" s="168"/>
      <c r="V122" s="168"/>
      <c r="W122" s="168"/>
      <c r="X122" s="168"/>
      <c r="Y122" s="168"/>
      <c r="Z122" s="168"/>
    </row>
    <row r="123" customFormat="false" ht="15.75" hidden="false" customHeight="false" outlineLevel="0" collapsed="false">
      <c r="A123" s="168"/>
      <c r="B123" s="168"/>
      <c r="C123" s="168"/>
      <c r="D123" s="168"/>
      <c r="E123" s="168"/>
      <c r="F123" s="168"/>
      <c r="G123" s="168"/>
      <c r="H123" s="168"/>
      <c r="I123" s="168"/>
      <c r="J123" s="168"/>
      <c r="K123" s="168"/>
      <c r="L123" s="168"/>
      <c r="M123" s="168"/>
      <c r="N123" s="168"/>
      <c r="O123" s="168"/>
      <c r="P123" s="168"/>
      <c r="Q123" s="168"/>
      <c r="R123" s="168"/>
      <c r="S123" s="168"/>
      <c r="T123" s="168"/>
      <c r="U123" s="168"/>
      <c r="V123" s="168"/>
      <c r="W123" s="168"/>
      <c r="X123" s="168"/>
      <c r="Y123" s="168"/>
      <c r="Z123" s="168"/>
    </row>
    <row r="124" customFormat="false" ht="15.75" hidden="false" customHeight="false" outlineLevel="0" collapsed="false">
      <c r="A124" s="168"/>
      <c r="B124" s="168"/>
      <c r="C124" s="168"/>
      <c r="D124" s="168"/>
      <c r="E124" s="168"/>
      <c r="F124" s="168"/>
      <c r="G124" s="168"/>
      <c r="H124" s="168"/>
      <c r="I124" s="168"/>
      <c r="J124" s="168"/>
      <c r="K124" s="168"/>
      <c r="L124" s="168"/>
      <c r="M124" s="168"/>
      <c r="N124" s="168"/>
      <c r="O124" s="168"/>
      <c r="P124" s="168"/>
      <c r="Q124" s="168"/>
      <c r="R124" s="168"/>
      <c r="S124" s="168"/>
      <c r="T124" s="168"/>
      <c r="U124" s="168"/>
      <c r="V124" s="168"/>
      <c r="W124" s="168"/>
      <c r="X124" s="168"/>
      <c r="Y124" s="168"/>
      <c r="Z124" s="168"/>
    </row>
    <row r="125" customFormat="false" ht="15.75" hidden="false" customHeight="false" outlineLevel="0" collapsed="false">
      <c r="A125" s="168"/>
      <c r="B125" s="168"/>
      <c r="C125" s="168"/>
      <c r="D125" s="168"/>
      <c r="E125" s="168"/>
      <c r="F125" s="168"/>
      <c r="G125" s="168"/>
      <c r="H125" s="168"/>
      <c r="I125" s="168"/>
      <c r="J125" s="168"/>
      <c r="K125" s="168"/>
      <c r="L125" s="168"/>
      <c r="M125" s="168"/>
      <c r="N125" s="168"/>
      <c r="O125" s="168"/>
      <c r="P125" s="168"/>
      <c r="Q125" s="168"/>
      <c r="R125" s="168"/>
      <c r="S125" s="168"/>
      <c r="T125" s="168"/>
      <c r="U125" s="168"/>
      <c r="V125" s="168"/>
      <c r="W125" s="168"/>
      <c r="X125" s="168"/>
      <c r="Y125" s="168"/>
      <c r="Z125" s="168"/>
    </row>
    <row r="126" customFormat="false" ht="15.75" hidden="false" customHeight="false" outlineLevel="0" collapsed="false">
      <c r="A126" s="168"/>
      <c r="B126" s="168"/>
      <c r="C126" s="168"/>
      <c r="D126" s="168"/>
      <c r="E126" s="168"/>
      <c r="F126" s="168"/>
      <c r="G126" s="168"/>
      <c r="H126" s="168"/>
      <c r="I126" s="168"/>
      <c r="J126" s="168"/>
      <c r="K126" s="168"/>
      <c r="L126" s="168"/>
      <c r="M126" s="168"/>
      <c r="N126" s="168"/>
      <c r="O126" s="168"/>
      <c r="P126" s="168"/>
      <c r="Q126" s="168"/>
      <c r="R126" s="168"/>
      <c r="S126" s="168"/>
      <c r="T126" s="168"/>
      <c r="U126" s="168"/>
      <c r="V126" s="168"/>
      <c r="W126" s="168"/>
      <c r="X126" s="168"/>
      <c r="Y126" s="168"/>
      <c r="Z126" s="168"/>
    </row>
    <row r="127" customFormat="false" ht="15.75" hidden="false" customHeight="false" outlineLevel="0" collapsed="false">
      <c r="A127" s="168"/>
      <c r="B127" s="168"/>
      <c r="C127" s="168"/>
      <c r="D127" s="168"/>
      <c r="E127" s="168"/>
      <c r="F127" s="168"/>
      <c r="G127" s="168"/>
      <c r="H127" s="168"/>
      <c r="I127" s="168"/>
      <c r="J127" s="168"/>
      <c r="K127" s="168"/>
      <c r="L127" s="168"/>
      <c r="M127" s="168"/>
      <c r="N127" s="168"/>
      <c r="O127" s="168"/>
      <c r="P127" s="168"/>
      <c r="Q127" s="168"/>
      <c r="R127" s="168"/>
      <c r="S127" s="168"/>
      <c r="T127" s="168"/>
      <c r="U127" s="168"/>
      <c r="V127" s="168"/>
      <c r="W127" s="168"/>
      <c r="X127" s="168"/>
      <c r="Y127" s="168"/>
      <c r="Z127" s="168"/>
    </row>
    <row r="128" customFormat="false" ht="15.75" hidden="false" customHeight="false" outlineLevel="0" collapsed="false">
      <c r="A128" s="168"/>
      <c r="B128" s="168"/>
      <c r="C128" s="168"/>
      <c r="D128" s="168"/>
      <c r="E128" s="168"/>
      <c r="F128" s="168"/>
      <c r="G128" s="168"/>
      <c r="H128" s="168"/>
      <c r="I128" s="168"/>
      <c r="J128" s="168"/>
      <c r="K128" s="168"/>
      <c r="L128" s="168"/>
      <c r="M128" s="168"/>
      <c r="N128" s="168"/>
      <c r="O128" s="168"/>
      <c r="P128" s="168"/>
      <c r="Q128" s="168"/>
      <c r="R128" s="168"/>
      <c r="S128" s="168"/>
      <c r="T128" s="168"/>
      <c r="U128" s="168"/>
      <c r="V128" s="168"/>
      <c r="W128" s="168"/>
      <c r="X128" s="168"/>
      <c r="Y128" s="168"/>
      <c r="Z128" s="168"/>
    </row>
    <row r="129" customFormat="false" ht="15.75" hidden="false" customHeight="false" outlineLevel="0" collapsed="false">
      <c r="A129" s="168"/>
      <c r="B129" s="168"/>
      <c r="C129" s="168"/>
      <c r="D129" s="168"/>
      <c r="E129" s="168"/>
      <c r="F129" s="168"/>
      <c r="G129" s="168"/>
      <c r="H129" s="168"/>
      <c r="I129" s="168"/>
      <c r="J129" s="168"/>
      <c r="K129" s="168"/>
      <c r="L129" s="168"/>
      <c r="M129" s="168"/>
      <c r="N129" s="168"/>
      <c r="O129" s="168"/>
      <c r="P129" s="168"/>
      <c r="Q129" s="168"/>
      <c r="R129" s="168"/>
      <c r="S129" s="168"/>
      <c r="T129" s="168"/>
      <c r="U129" s="168"/>
      <c r="V129" s="168"/>
      <c r="W129" s="168"/>
      <c r="X129" s="168"/>
      <c r="Y129" s="168"/>
      <c r="Z129" s="168"/>
    </row>
    <row r="130" customFormat="false" ht="15.75" hidden="false" customHeight="false" outlineLevel="0" collapsed="false">
      <c r="A130" s="168"/>
      <c r="B130" s="168"/>
      <c r="C130" s="168"/>
      <c r="D130" s="168"/>
      <c r="E130" s="168"/>
      <c r="F130" s="168"/>
      <c r="G130" s="168"/>
      <c r="H130" s="168"/>
      <c r="I130" s="168"/>
      <c r="J130" s="168"/>
      <c r="K130" s="168"/>
      <c r="L130" s="168"/>
      <c r="M130" s="168"/>
      <c r="N130" s="168"/>
      <c r="O130" s="168"/>
      <c r="P130" s="168"/>
      <c r="Q130" s="168"/>
      <c r="R130" s="168"/>
      <c r="S130" s="168"/>
      <c r="T130" s="168"/>
      <c r="U130" s="168"/>
      <c r="V130" s="168"/>
      <c r="W130" s="168"/>
      <c r="X130" s="168"/>
      <c r="Y130" s="168"/>
      <c r="Z130" s="168"/>
    </row>
    <row r="131" customFormat="false" ht="15.75" hidden="false" customHeight="false" outlineLevel="0" collapsed="false">
      <c r="A131" s="168"/>
      <c r="B131" s="168"/>
      <c r="C131" s="168"/>
      <c r="D131" s="168"/>
      <c r="E131" s="168"/>
      <c r="F131" s="168"/>
      <c r="G131" s="168"/>
      <c r="H131" s="168"/>
      <c r="I131" s="168"/>
      <c r="J131" s="168"/>
      <c r="K131" s="168"/>
      <c r="L131" s="168"/>
      <c r="M131" s="168"/>
      <c r="N131" s="168"/>
      <c r="O131" s="168"/>
      <c r="P131" s="168"/>
      <c r="Q131" s="168"/>
      <c r="R131" s="168"/>
      <c r="S131" s="168"/>
      <c r="T131" s="168"/>
      <c r="U131" s="168"/>
      <c r="V131" s="168"/>
      <c r="W131" s="168"/>
      <c r="X131" s="168"/>
      <c r="Y131" s="168"/>
      <c r="Z131" s="168"/>
    </row>
    <row r="132" customFormat="false" ht="15.75" hidden="false" customHeight="false" outlineLevel="0" collapsed="false">
      <c r="A132" s="168"/>
      <c r="B132" s="168"/>
      <c r="C132" s="168"/>
      <c r="D132" s="168"/>
      <c r="E132" s="168"/>
      <c r="F132" s="168"/>
      <c r="G132" s="168"/>
      <c r="H132" s="168"/>
      <c r="I132" s="168"/>
      <c r="J132" s="168"/>
      <c r="K132" s="168"/>
      <c r="L132" s="168"/>
      <c r="M132" s="168"/>
      <c r="N132" s="168"/>
      <c r="O132" s="168"/>
      <c r="P132" s="168"/>
      <c r="Q132" s="168"/>
      <c r="R132" s="168"/>
      <c r="S132" s="168"/>
      <c r="T132" s="168"/>
      <c r="U132" s="168"/>
      <c r="V132" s="168"/>
      <c r="W132" s="168"/>
      <c r="X132" s="168"/>
      <c r="Y132" s="168"/>
      <c r="Z132" s="168"/>
    </row>
    <row r="133" customFormat="false" ht="15.75" hidden="false" customHeight="false" outlineLevel="0" collapsed="false">
      <c r="A133" s="168"/>
      <c r="B133" s="168"/>
      <c r="C133" s="168"/>
      <c r="D133" s="168"/>
      <c r="E133" s="168"/>
      <c r="F133" s="168"/>
      <c r="G133" s="168"/>
      <c r="H133" s="168"/>
      <c r="I133" s="168"/>
      <c r="J133" s="168"/>
      <c r="K133" s="168"/>
      <c r="L133" s="168"/>
      <c r="M133" s="168"/>
      <c r="N133" s="168"/>
      <c r="O133" s="168"/>
      <c r="P133" s="168"/>
      <c r="Q133" s="168"/>
      <c r="R133" s="168"/>
      <c r="S133" s="168"/>
      <c r="T133" s="168"/>
      <c r="U133" s="168"/>
      <c r="V133" s="168"/>
      <c r="W133" s="168"/>
      <c r="X133" s="168"/>
      <c r="Y133" s="168"/>
      <c r="Z133" s="168"/>
    </row>
    <row r="134" customFormat="false" ht="15.75" hidden="false" customHeight="false" outlineLevel="0" collapsed="false">
      <c r="A134" s="168"/>
      <c r="B134" s="168"/>
      <c r="C134" s="168"/>
      <c r="D134" s="168"/>
      <c r="E134" s="168"/>
      <c r="F134" s="168"/>
      <c r="G134" s="168"/>
      <c r="H134" s="168"/>
      <c r="I134" s="168"/>
      <c r="J134" s="168"/>
      <c r="K134" s="168"/>
      <c r="L134" s="168"/>
      <c r="M134" s="168"/>
      <c r="N134" s="168"/>
      <c r="O134" s="168"/>
      <c r="P134" s="168"/>
      <c r="Q134" s="168"/>
      <c r="R134" s="168"/>
      <c r="S134" s="168"/>
      <c r="T134" s="168"/>
      <c r="U134" s="168"/>
      <c r="V134" s="168"/>
      <c r="W134" s="168"/>
      <c r="X134" s="168"/>
      <c r="Y134" s="168"/>
      <c r="Z134" s="168"/>
    </row>
    <row r="135" customFormat="false" ht="15.75" hidden="false" customHeight="false" outlineLevel="0" collapsed="false">
      <c r="A135" s="168"/>
      <c r="B135" s="168"/>
      <c r="C135" s="168"/>
      <c r="D135" s="168"/>
      <c r="E135" s="168"/>
      <c r="F135" s="168"/>
      <c r="G135" s="168"/>
      <c r="H135" s="168"/>
      <c r="I135" s="168"/>
      <c r="J135" s="168"/>
      <c r="K135" s="168"/>
      <c r="L135" s="168"/>
      <c r="M135" s="168"/>
      <c r="N135" s="168"/>
      <c r="O135" s="168"/>
      <c r="P135" s="168"/>
      <c r="Q135" s="168"/>
      <c r="R135" s="168"/>
      <c r="S135" s="168"/>
      <c r="T135" s="168"/>
      <c r="U135" s="168"/>
      <c r="V135" s="168"/>
      <c r="W135" s="168"/>
      <c r="X135" s="168"/>
      <c r="Y135" s="168"/>
      <c r="Z135" s="168"/>
    </row>
    <row r="136" customFormat="false" ht="15.75" hidden="false" customHeight="false" outlineLevel="0" collapsed="false">
      <c r="A136" s="168"/>
      <c r="B136" s="168"/>
      <c r="C136" s="168"/>
      <c r="D136" s="168"/>
      <c r="E136" s="168"/>
      <c r="F136" s="168"/>
      <c r="G136" s="168"/>
      <c r="H136" s="168"/>
      <c r="I136" s="168"/>
      <c r="J136" s="168"/>
      <c r="K136" s="168"/>
      <c r="L136" s="168"/>
      <c r="M136" s="168"/>
      <c r="N136" s="168"/>
      <c r="O136" s="168"/>
      <c r="P136" s="168"/>
      <c r="Q136" s="168"/>
      <c r="R136" s="168"/>
      <c r="S136" s="168"/>
      <c r="T136" s="168"/>
      <c r="U136" s="168"/>
      <c r="V136" s="168"/>
      <c r="W136" s="168"/>
      <c r="X136" s="168"/>
      <c r="Y136" s="168"/>
      <c r="Z136" s="168"/>
    </row>
    <row r="137" customFormat="false" ht="15.75" hidden="false" customHeight="false" outlineLevel="0" collapsed="false">
      <c r="A137" s="168"/>
      <c r="B137" s="168"/>
      <c r="C137" s="168"/>
      <c r="D137" s="168"/>
      <c r="E137" s="168"/>
      <c r="F137" s="168"/>
      <c r="G137" s="168"/>
      <c r="H137" s="168"/>
      <c r="I137" s="168"/>
      <c r="J137" s="168"/>
      <c r="K137" s="168"/>
      <c r="L137" s="168"/>
      <c r="M137" s="168"/>
      <c r="N137" s="168"/>
      <c r="O137" s="168"/>
      <c r="P137" s="168"/>
      <c r="Q137" s="168"/>
      <c r="R137" s="168"/>
      <c r="S137" s="168"/>
      <c r="T137" s="168"/>
      <c r="U137" s="168"/>
      <c r="V137" s="168"/>
      <c r="W137" s="168"/>
      <c r="X137" s="168"/>
      <c r="Y137" s="168"/>
      <c r="Z137" s="168"/>
    </row>
    <row r="138" customFormat="false" ht="15.75" hidden="false" customHeight="false" outlineLevel="0" collapsed="false">
      <c r="A138" s="168"/>
      <c r="B138" s="168"/>
      <c r="C138" s="168"/>
      <c r="D138" s="168"/>
      <c r="E138" s="168"/>
      <c r="F138" s="168"/>
      <c r="G138" s="168"/>
      <c r="H138" s="168"/>
      <c r="I138" s="168"/>
      <c r="J138" s="168"/>
      <c r="K138" s="168"/>
      <c r="L138" s="168"/>
      <c r="M138" s="168"/>
      <c r="N138" s="168"/>
      <c r="O138" s="168"/>
      <c r="P138" s="168"/>
      <c r="Q138" s="168"/>
      <c r="R138" s="168"/>
      <c r="S138" s="168"/>
      <c r="T138" s="168"/>
      <c r="U138" s="168"/>
      <c r="V138" s="168"/>
      <c r="W138" s="168"/>
      <c r="X138" s="168"/>
      <c r="Y138" s="168"/>
      <c r="Z138" s="168"/>
    </row>
    <row r="139" customFormat="false" ht="15.75" hidden="false" customHeight="false" outlineLevel="0" collapsed="false">
      <c r="A139" s="168"/>
      <c r="B139" s="168"/>
      <c r="C139" s="168"/>
      <c r="D139" s="168"/>
      <c r="E139" s="168"/>
      <c r="F139" s="168"/>
      <c r="G139" s="168"/>
      <c r="H139" s="168"/>
      <c r="I139" s="168"/>
      <c r="J139" s="168"/>
      <c r="K139" s="168"/>
      <c r="L139" s="168"/>
      <c r="M139" s="168"/>
      <c r="N139" s="168"/>
      <c r="O139" s="168"/>
      <c r="P139" s="168"/>
      <c r="Q139" s="168"/>
      <c r="R139" s="168"/>
      <c r="S139" s="168"/>
      <c r="T139" s="168"/>
      <c r="U139" s="168"/>
      <c r="V139" s="168"/>
      <c r="W139" s="168"/>
      <c r="X139" s="168"/>
      <c r="Y139" s="168"/>
      <c r="Z139" s="168"/>
    </row>
    <row r="140" customFormat="false" ht="15.75" hidden="false" customHeight="false" outlineLevel="0" collapsed="false">
      <c r="A140" s="168"/>
      <c r="B140" s="168"/>
      <c r="C140" s="168"/>
      <c r="D140" s="168"/>
      <c r="E140" s="168"/>
      <c r="F140" s="168"/>
      <c r="G140" s="168"/>
      <c r="H140" s="168"/>
      <c r="I140" s="168"/>
      <c r="J140" s="168"/>
      <c r="K140" s="168"/>
      <c r="L140" s="168"/>
      <c r="M140" s="168"/>
      <c r="N140" s="168"/>
      <c r="O140" s="168"/>
      <c r="P140" s="168"/>
      <c r="Q140" s="168"/>
      <c r="R140" s="168"/>
      <c r="S140" s="168"/>
      <c r="T140" s="168"/>
      <c r="U140" s="168"/>
      <c r="V140" s="168"/>
      <c r="W140" s="168"/>
      <c r="X140" s="168"/>
      <c r="Y140" s="168"/>
      <c r="Z140" s="168"/>
    </row>
    <row r="141" customFormat="false" ht="15.75" hidden="false" customHeight="false" outlineLevel="0" collapsed="false">
      <c r="A141" s="168"/>
      <c r="B141" s="168"/>
      <c r="C141" s="168"/>
      <c r="D141" s="168"/>
      <c r="E141" s="168"/>
      <c r="F141" s="168"/>
      <c r="G141" s="168"/>
      <c r="H141" s="168"/>
      <c r="I141" s="168"/>
      <c r="J141" s="168"/>
      <c r="K141" s="168"/>
      <c r="L141" s="168"/>
      <c r="M141" s="168"/>
      <c r="N141" s="168"/>
      <c r="O141" s="168"/>
      <c r="P141" s="168"/>
      <c r="Q141" s="168"/>
      <c r="R141" s="168"/>
      <c r="S141" s="168"/>
      <c r="T141" s="168"/>
      <c r="U141" s="168"/>
      <c r="V141" s="168"/>
      <c r="W141" s="168"/>
      <c r="X141" s="168"/>
      <c r="Y141" s="168"/>
      <c r="Z141" s="168"/>
    </row>
    <row r="142" customFormat="false" ht="15.75" hidden="false" customHeight="false" outlineLevel="0" collapsed="false">
      <c r="A142" s="168"/>
      <c r="B142" s="168"/>
      <c r="C142" s="168"/>
      <c r="D142" s="168"/>
      <c r="E142" s="168"/>
      <c r="F142" s="168"/>
      <c r="G142" s="168"/>
      <c r="H142" s="168"/>
      <c r="I142" s="168"/>
      <c r="J142" s="168"/>
      <c r="K142" s="168"/>
      <c r="L142" s="168"/>
      <c r="M142" s="168"/>
      <c r="N142" s="168"/>
      <c r="O142" s="168"/>
      <c r="P142" s="168"/>
      <c r="Q142" s="168"/>
      <c r="R142" s="168"/>
      <c r="S142" s="168"/>
      <c r="T142" s="168"/>
      <c r="U142" s="168"/>
      <c r="V142" s="168"/>
      <c r="W142" s="168"/>
      <c r="X142" s="168"/>
      <c r="Y142" s="168"/>
      <c r="Z142" s="168"/>
    </row>
    <row r="143" customFormat="false" ht="15.75" hidden="false" customHeight="false" outlineLevel="0" collapsed="false">
      <c r="A143" s="168"/>
      <c r="B143" s="168"/>
      <c r="C143" s="168"/>
      <c r="D143" s="168"/>
      <c r="E143" s="168"/>
      <c r="F143" s="168"/>
      <c r="G143" s="168"/>
      <c r="H143" s="168"/>
      <c r="I143" s="168"/>
      <c r="J143" s="168"/>
      <c r="K143" s="168"/>
      <c r="L143" s="168"/>
      <c r="M143" s="168"/>
      <c r="N143" s="168"/>
      <c r="O143" s="168"/>
      <c r="P143" s="168"/>
      <c r="Q143" s="168"/>
      <c r="R143" s="168"/>
      <c r="S143" s="168"/>
      <c r="T143" s="168"/>
      <c r="U143" s="168"/>
      <c r="V143" s="168"/>
      <c r="W143" s="168"/>
      <c r="X143" s="168"/>
      <c r="Y143" s="168"/>
      <c r="Z143" s="168"/>
    </row>
    <row r="144" customFormat="false" ht="15.75" hidden="false" customHeight="false" outlineLevel="0" collapsed="false">
      <c r="A144" s="168"/>
      <c r="B144" s="168"/>
      <c r="C144" s="168"/>
      <c r="D144" s="168"/>
      <c r="E144" s="168"/>
      <c r="F144" s="168"/>
      <c r="G144" s="168"/>
      <c r="H144" s="168"/>
      <c r="I144" s="168"/>
      <c r="J144" s="168"/>
      <c r="K144" s="168"/>
      <c r="L144" s="168"/>
      <c r="M144" s="168"/>
      <c r="N144" s="168"/>
      <c r="O144" s="168"/>
      <c r="P144" s="168"/>
      <c r="Q144" s="168"/>
      <c r="R144" s="168"/>
      <c r="S144" s="168"/>
      <c r="T144" s="168"/>
      <c r="U144" s="168"/>
      <c r="V144" s="168"/>
      <c r="W144" s="168"/>
      <c r="X144" s="168"/>
      <c r="Y144" s="168"/>
      <c r="Z144" s="168"/>
    </row>
    <row r="145" customFormat="false" ht="15.75" hidden="false" customHeight="false" outlineLevel="0" collapsed="false">
      <c r="A145" s="168"/>
      <c r="B145" s="168"/>
      <c r="C145" s="168"/>
      <c r="D145" s="168"/>
      <c r="E145" s="168"/>
      <c r="F145" s="168"/>
      <c r="G145" s="168"/>
      <c r="H145" s="168"/>
      <c r="I145" s="168"/>
      <c r="J145" s="168"/>
      <c r="K145" s="168"/>
      <c r="L145" s="168"/>
      <c r="M145" s="168"/>
      <c r="N145" s="168"/>
      <c r="O145" s="168"/>
      <c r="P145" s="168"/>
      <c r="Q145" s="168"/>
      <c r="R145" s="168"/>
      <c r="S145" s="168"/>
      <c r="T145" s="168"/>
      <c r="U145" s="168"/>
      <c r="V145" s="168"/>
      <c r="W145" s="168"/>
      <c r="X145" s="168"/>
      <c r="Y145" s="168"/>
      <c r="Z145" s="168"/>
    </row>
    <row r="146" customFormat="false" ht="15.75" hidden="false" customHeight="false" outlineLevel="0" collapsed="false">
      <c r="A146" s="168"/>
      <c r="B146" s="168"/>
      <c r="C146" s="168"/>
      <c r="D146" s="168"/>
      <c r="E146" s="168"/>
      <c r="F146" s="168"/>
      <c r="G146" s="168"/>
      <c r="H146" s="168"/>
      <c r="I146" s="168"/>
      <c r="J146" s="168"/>
      <c r="K146" s="168"/>
      <c r="L146" s="168"/>
      <c r="M146" s="168"/>
      <c r="N146" s="168"/>
      <c r="O146" s="168"/>
      <c r="P146" s="168"/>
      <c r="Q146" s="168"/>
      <c r="R146" s="168"/>
      <c r="S146" s="168"/>
      <c r="T146" s="168"/>
      <c r="U146" s="168"/>
      <c r="V146" s="168"/>
      <c r="W146" s="168"/>
      <c r="X146" s="168"/>
      <c r="Y146" s="168"/>
      <c r="Z146" s="168"/>
    </row>
    <row r="147" customFormat="false" ht="15.75" hidden="false" customHeight="false" outlineLevel="0" collapsed="false">
      <c r="A147" s="168"/>
      <c r="B147" s="168"/>
      <c r="C147" s="168"/>
      <c r="D147" s="168"/>
      <c r="E147" s="168"/>
      <c r="F147" s="168"/>
      <c r="G147" s="168"/>
      <c r="H147" s="168"/>
      <c r="I147" s="168"/>
      <c r="J147" s="168"/>
      <c r="K147" s="168"/>
      <c r="L147" s="168"/>
      <c r="M147" s="168"/>
      <c r="N147" s="168"/>
      <c r="O147" s="168"/>
      <c r="P147" s="168"/>
      <c r="Q147" s="168"/>
      <c r="R147" s="168"/>
      <c r="S147" s="168"/>
      <c r="T147" s="168"/>
      <c r="U147" s="168"/>
      <c r="V147" s="168"/>
      <c r="W147" s="168"/>
      <c r="X147" s="168"/>
      <c r="Y147" s="168"/>
      <c r="Z147" s="168"/>
    </row>
    <row r="148" customFormat="false" ht="15.75" hidden="false" customHeight="false" outlineLevel="0" collapsed="false">
      <c r="A148" s="168"/>
      <c r="B148" s="168"/>
      <c r="C148" s="168"/>
      <c r="D148" s="168"/>
      <c r="E148" s="168"/>
      <c r="F148" s="168"/>
      <c r="G148" s="168"/>
      <c r="H148" s="168"/>
      <c r="I148" s="168"/>
      <c r="J148" s="168"/>
      <c r="K148" s="168"/>
      <c r="L148" s="168"/>
      <c r="M148" s="168"/>
      <c r="N148" s="168"/>
      <c r="O148" s="168"/>
      <c r="P148" s="168"/>
      <c r="Q148" s="168"/>
      <c r="R148" s="168"/>
      <c r="S148" s="168"/>
      <c r="T148" s="168"/>
      <c r="U148" s="168"/>
      <c r="V148" s="168"/>
      <c r="W148" s="168"/>
      <c r="X148" s="168"/>
      <c r="Y148" s="168"/>
      <c r="Z148" s="168"/>
    </row>
    <row r="149" customFormat="false" ht="15.75" hidden="false" customHeight="false" outlineLevel="0" collapsed="false">
      <c r="A149" s="168"/>
      <c r="B149" s="168"/>
      <c r="C149" s="168"/>
      <c r="D149" s="168"/>
      <c r="E149" s="168"/>
      <c r="F149" s="168"/>
      <c r="G149" s="168"/>
      <c r="H149" s="168"/>
      <c r="I149" s="168"/>
      <c r="J149" s="168"/>
      <c r="K149" s="168"/>
      <c r="L149" s="168"/>
      <c r="M149" s="168"/>
      <c r="N149" s="168"/>
      <c r="O149" s="168"/>
      <c r="P149" s="168"/>
      <c r="Q149" s="168"/>
      <c r="R149" s="168"/>
      <c r="S149" s="168"/>
      <c r="T149" s="168"/>
      <c r="U149" s="168"/>
      <c r="V149" s="168"/>
      <c r="W149" s="168"/>
      <c r="X149" s="168"/>
      <c r="Y149" s="168"/>
      <c r="Z149" s="168"/>
    </row>
    <row r="150" customFormat="false" ht="15.75" hidden="false" customHeight="false" outlineLevel="0" collapsed="false">
      <c r="A150" s="168"/>
      <c r="B150" s="168"/>
      <c r="C150" s="168"/>
      <c r="D150" s="168"/>
      <c r="E150" s="168"/>
      <c r="F150" s="168"/>
      <c r="G150" s="168"/>
      <c r="H150" s="168"/>
      <c r="I150" s="168"/>
      <c r="J150" s="168"/>
      <c r="K150" s="168"/>
      <c r="L150" s="168"/>
      <c r="M150" s="168"/>
      <c r="N150" s="168"/>
      <c r="O150" s="168"/>
      <c r="P150" s="168"/>
      <c r="Q150" s="168"/>
      <c r="R150" s="168"/>
      <c r="S150" s="168"/>
      <c r="T150" s="168"/>
      <c r="U150" s="168"/>
      <c r="V150" s="168"/>
      <c r="W150" s="168"/>
      <c r="X150" s="168"/>
      <c r="Y150" s="168"/>
      <c r="Z150" s="168"/>
    </row>
    <row r="151" customFormat="false" ht="15.75" hidden="false" customHeight="false" outlineLevel="0" collapsed="false">
      <c r="A151" s="168"/>
      <c r="B151" s="168"/>
      <c r="C151" s="168"/>
      <c r="D151" s="168"/>
      <c r="E151" s="168"/>
      <c r="F151" s="168"/>
      <c r="G151" s="168"/>
      <c r="H151" s="168"/>
      <c r="I151" s="168"/>
      <c r="J151" s="168"/>
      <c r="K151" s="168"/>
      <c r="L151" s="168"/>
      <c r="M151" s="168"/>
      <c r="N151" s="168"/>
      <c r="O151" s="168"/>
      <c r="P151" s="168"/>
      <c r="Q151" s="168"/>
      <c r="R151" s="168"/>
      <c r="S151" s="168"/>
      <c r="T151" s="168"/>
      <c r="U151" s="168"/>
      <c r="V151" s="168"/>
      <c r="W151" s="168"/>
      <c r="X151" s="168"/>
      <c r="Y151" s="168"/>
      <c r="Z151" s="168"/>
    </row>
    <row r="152" customFormat="false" ht="15.75" hidden="false" customHeight="false" outlineLevel="0" collapsed="false">
      <c r="A152" s="168"/>
      <c r="B152" s="168"/>
      <c r="C152" s="168"/>
      <c r="D152" s="168"/>
      <c r="E152" s="168"/>
      <c r="F152" s="168"/>
      <c r="G152" s="168"/>
      <c r="H152" s="168"/>
      <c r="I152" s="168"/>
      <c r="J152" s="168"/>
      <c r="K152" s="168"/>
      <c r="L152" s="168"/>
      <c r="M152" s="168"/>
      <c r="N152" s="168"/>
      <c r="O152" s="168"/>
      <c r="P152" s="168"/>
      <c r="Q152" s="168"/>
      <c r="R152" s="168"/>
      <c r="S152" s="168"/>
      <c r="T152" s="168"/>
      <c r="U152" s="168"/>
      <c r="V152" s="168"/>
      <c r="W152" s="168"/>
      <c r="X152" s="168"/>
      <c r="Y152" s="168"/>
      <c r="Z152" s="168"/>
    </row>
    <row r="153" customFormat="false" ht="15.75" hidden="false" customHeight="false" outlineLevel="0" collapsed="false">
      <c r="A153" s="168"/>
      <c r="B153" s="168"/>
      <c r="C153" s="168"/>
      <c r="D153" s="168"/>
      <c r="E153" s="168"/>
      <c r="F153" s="168"/>
      <c r="G153" s="168"/>
      <c r="H153" s="168"/>
      <c r="I153" s="168"/>
      <c r="J153" s="168"/>
      <c r="K153" s="168"/>
      <c r="L153" s="168"/>
      <c r="M153" s="168"/>
      <c r="N153" s="168"/>
      <c r="O153" s="168"/>
      <c r="P153" s="168"/>
      <c r="Q153" s="168"/>
      <c r="R153" s="168"/>
      <c r="S153" s="168"/>
      <c r="T153" s="168"/>
      <c r="U153" s="168"/>
      <c r="V153" s="168"/>
      <c r="W153" s="168"/>
      <c r="X153" s="168"/>
      <c r="Y153" s="168"/>
      <c r="Z153" s="168"/>
    </row>
    <row r="154" customFormat="false" ht="15.75" hidden="false" customHeight="false" outlineLevel="0" collapsed="false">
      <c r="A154" s="168"/>
      <c r="B154" s="168"/>
      <c r="C154" s="168"/>
      <c r="D154" s="168"/>
      <c r="E154" s="168"/>
      <c r="F154" s="168"/>
      <c r="G154" s="168"/>
      <c r="H154" s="168"/>
      <c r="I154" s="168"/>
      <c r="J154" s="168"/>
      <c r="K154" s="168"/>
      <c r="L154" s="168"/>
      <c r="M154" s="168"/>
      <c r="N154" s="168"/>
      <c r="O154" s="168"/>
      <c r="P154" s="168"/>
      <c r="Q154" s="168"/>
      <c r="R154" s="168"/>
      <c r="S154" s="168"/>
      <c r="T154" s="168"/>
      <c r="U154" s="168"/>
      <c r="V154" s="168"/>
      <c r="W154" s="168"/>
      <c r="X154" s="168"/>
      <c r="Y154" s="168"/>
      <c r="Z154" s="168"/>
    </row>
    <row r="155" customFormat="false" ht="15.75" hidden="false" customHeight="false" outlineLevel="0" collapsed="false">
      <c r="A155" s="168"/>
      <c r="B155" s="168"/>
      <c r="C155" s="168"/>
      <c r="D155" s="168"/>
      <c r="E155" s="168"/>
      <c r="F155" s="168"/>
      <c r="G155" s="168"/>
      <c r="H155" s="168"/>
      <c r="I155" s="168"/>
      <c r="J155" s="168"/>
      <c r="K155" s="168"/>
      <c r="L155" s="168"/>
      <c r="M155" s="168"/>
      <c r="N155" s="168"/>
      <c r="O155" s="168"/>
      <c r="P155" s="168"/>
      <c r="Q155" s="168"/>
      <c r="R155" s="168"/>
      <c r="S155" s="168"/>
      <c r="T155" s="168"/>
      <c r="U155" s="168"/>
      <c r="V155" s="168"/>
      <c r="W155" s="168"/>
      <c r="X155" s="168"/>
      <c r="Y155" s="168"/>
      <c r="Z155" s="168"/>
    </row>
    <row r="156" customFormat="false" ht="15.75" hidden="false" customHeight="false" outlineLevel="0" collapsed="false">
      <c r="A156" s="168"/>
      <c r="B156" s="168"/>
      <c r="C156" s="168"/>
      <c r="D156" s="168"/>
      <c r="E156" s="168"/>
      <c r="F156" s="168"/>
      <c r="G156" s="168"/>
      <c r="H156" s="168"/>
      <c r="I156" s="168"/>
      <c r="J156" s="168"/>
      <c r="K156" s="168"/>
      <c r="L156" s="168"/>
      <c r="M156" s="168"/>
      <c r="N156" s="168"/>
      <c r="O156" s="168"/>
      <c r="P156" s="168"/>
      <c r="Q156" s="168"/>
      <c r="R156" s="168"/>
      <c r="S156" s="168"/>
      <c r="T156" s="168"/>
      <c r="U156" s="168"/>
      <c r="V156" s="168"/>
      <c r="W156" s="168"/>
      <c r="X156" s="168"/>
      <c r="Y156" s="168"/>
      <c r="Z156" s="168"/>
    </row>
    <row r="157" customFormat="false" ht="15.75" hidden="false" customHeight="false" outlineLevel="0" collapsed="false">
      <c r="A157" s="168"/>
      <c r="B157" s="168"/>
      <c r="C157" s="168"/>
      <c r="D157" s="168"/>
      <c r="E157" s="168"/>
      <c r="F157" s="168"/>
      <c r="G157" s="168"/>
      <c r="H157" s="168"/>
      <c r="I157" s="168"/>
      <c r="J157" s="168"/>
      <c r="K157" s="168"/>
      <c r="L157" s="168"/>
      <c r="M157" s="168"/>
      <c r="N157" s="168"/>
      <c r="O157" s="168"/>
      <c r="P157" s="168"/>
      <c r="Q157" s="168"/>
      <c r="R157" s="168"/>
      <c r="S157" s="168"/>
      <c r="T157" s="168"/>
      <c r="U157" s="168"/>
      <c r="V157" s="168"/>
      <c r="W157" s="168"/>
      <c r="X157" s="168"/>
      <c r="Y157" s="168"/>
      <c r="Z157" s="168"/>
    </row>
    <row r="158" customFormat="false" ht="15.75" hidden="false" customHeight="false" outlineLevel="0" collapsed="false">
      <c r="A158" s="168"/>
      <c r="B158" s="168"/>
      <c r="C158" s="168"/>
      <c r="D158" s="168"/>
      <c r="E158" s="168"/>
      <c r="F158" s="168"/>
      <c r="G158" s="168"/>
      <c r="H158" s="168"/>
      <c r="I158" s="168"/>
      <c r="J158" s="168"/>
      <c r="K158" s="168"/>
      <c r="L158" s="168"/>
      <c r="M158" s="168"/>
      <c r="N158" s="168"/>
      <c r="O158" s="168"/>
      <c r="P158" s="168"/>
      <c r="Q158" s="168"/>
      <c r="R158" s="168"/>
      <c r="S158" s="168"/>
      <c r="T158" s="168"/>
      <c r="U158" s="168"/>
      <c r="V158" s="168"/>
      <c r="W158" s="168"/>
      <c r="X158" s="168"/>
      <c r="Y158" s="168"/>
      <c r="Z158" s="168"/>
    </row>
    <row r="159" customFormat="false" ht="15.75" hidden="false" customHeight="false" outlineLevel="0" collapsed="false">
      <c r="A159" s="168"/>
      <c r="B159" s="168"/>
      <c r="C159" s="168"/>
      <c r="D159" s="168"/>
      <c r="E159" s="168"/>
      <c r="F159" s="168"/>
      <c r="G159" s="168"/>
      <c r="H159" s="168"/>
      <c r="I159" s="168"/>
      <c r="J159" s="168"/>
      <c r="K159" s="168"/>
      <c r="L159" s="168"/>
      <c r="M159" s="168"/>
      <c r="N159" s="168"/>
      <c r="O159" s="168"/>
      <c r="P159" s="168"/>
      <c r="Q159" s="168"/>
      <c r="R159" s="168"/>
      <c r="S159" s="168"/>
      <c r="T159" s="168"/>
      <c r="U159" s="168"/>
      <c r="V159" s="168"/>
      <c r="W159" s="168"/>
      <c r="X159" s="168"/>
      <c r="Y159" s="168"/>
      <c r="Z159" s="168"/>
    </row>
    <row r="160" customFormat="false" ht="15.75" hidden="false" customHeight="false" outlineLevel="0" collapsed="false">
      <c r="A160" s="168"/>
      <c r="B160" s="168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8"/>
      <c r="O160" s="168"/>
      <c r="P160" s="168"/>
      <c r="Q160" s="168"/>
      <c r="R160" s="168"/>
      <c r="S160" s="168"/>
      <c r="T160" s="168"/>
      <c r="U160" s="168"/>
      <c r="V160" s="168"/>
      <c r="W160" s="168"/>
      <c r="X160" s="168"/>
      <c r="Y160" s="168"/>
      <c r="Z160" s="168"/>
    </row>
    <row r="161" customFormat="false" ht="15.75" hidden="false" customHeight="false" outlineLevel="0" collapsed="false">
      <c r="A161" s="168"/>
      <c r="B161" s="168"/>
      <c r="C161" s="168"/>
      <c r="D161" s="168"/>
      <c r="E161" s="168"/>
      <c r="F161" s="168"/>
      <c r="G161" s="168"/>
      <c r="H161" s="168"/>
      <c r="I161" s="168"/>
      <c r="J161" s="168"/>
      <c r="K161" s="168"/>
      <c r="L161" s="168"/>
      <c r="M161" s="168"/>
      <c r="N161" s="168"/>
      <c r="O161" s="168"/>
      <c r="P161" s="168"/>
      <c r="Q161" s="168"/>
      <c r="R161" s="168"/>
      <c r="S161" s="168"/>
      <c r="T161" s="168"/>
      <c r="U161" s="168"/>
      <c r="V161" s="168"/>
      <c r="W161" s="168"/>
      <c r="X161" s="168"/>
      <c r="Y161" s="168"/>
      <c r="Z161" s="168"/>
    </row>
    <row r="162" customFormat="false" ht="15.75" hidden="false" customHeight="false" outlineLevel="0" collapsed="false">
      <c r="A162" s="168"/>
      <c r="B162" s="168"/>
      <c r="C162" s="168"/>
      <c r="D162" s="168"/>
      <c r="E162" s="168"/>
      <c r="F162" s="168"/>
      <c r="G162" s="168"/>
      <c r="H162" s="168"/>
      <c r="I162" s="168"/>
      <c r="J162" s="168"/>
      <c r="K162" s="168"/>
      <c r="L162" s="168"/>
      <c r="M162" s="168"/>
      <c r="N162" s="168"/>
      <c r="O162" s="168"/>
      <c r="P162" s="168"/>
      <c r="Q162" s="168"/>
      <c r="R162" s="168"/>
      <c r="S162" s="168"/>
      <c r="T162" s="168"/>
      <c r="U162" s="168"/>
      <c r="V162" s="168"/>
      <c r="W162" s="168"/>
      <c r="X162" s="168"/>
      <c r="Y162" s="168"/>
      <c r="Z162" s="168"/>
    </row>
    <row r="163" customFormat="false" ht="15.75" hidden="false" customHeight="false" outlineLevel="0" collapsed="false">
      <c r="A163" s="168"/>
      <c r="B163" s="168"/>
      <c r="C163" s="168"/>
      <c r="D163" s="168"/>
      <c r="E163" s="168"/>
      <c r="F163" s="168"/>
      <c r="G163" s="168"/>
      <c r="H163" s="168"/>
      <c r="I163" s="168"/>
      <c r="J163" s="168"/>
      <c r="K163" s="168"/>
      <c r="L163" s="168"/>
      <c r="M163" s="168"/>
      <c r="N163" s="168"/>
      <c r="O163" s="168"/>
      <c r="P163" s="168"/>
      <c r="Q163" s="168"/>
      <c r="R163" s="168"/>
      <c r="S163" s="168"/>
      <c r="T163" s="168"/>
      <c r="U163" s="168"/>
      <c r="V163" s="168"/>
      <c r="W163" s="168"/>
      <c r="X163" s="168"/>
      <c r="Y163" s="168"/>
      <c r="Z163" s="168"/>
    </row>
    <row r="164" customFormat="false" ht="15.75" hidden="false" customHeight="false" outlineLevel="0" collapsed="false">
      <c r="A164" s="168"/>
      <c r="B164" s="168"/>
      <c r="C164" s="168"/>
      <c r="D164" s="168"/>
      <c r="E164" s="168"/>
      <c r="F164" s="168"/>
      <c r="G164" s="168"/>
      <c r="H164" s="168"/>
      <c r="I164" s="168"/>
      <c r="J164" s="168"/>
      <c r="K164" s="168"/>
      <c r="L164" s="168"/>
      <c r="M164" s="168"/>
      <c r="N164" s="168"/>
      <c r="O164" s="168"/>
      <c r="P164" s="168"/>
      <c r="Q164" s="168"/>
      <c r="R164" s="168"/>
      <c r="S164" s="168"/>
      <c r="T164" s="168"/>
      <c r="U164" s="168"/>
      <c r="V164" s="168"/>
      <c r="W164" s="168"/>
      <c r="X164" s="168"/>
      <c r="Y164" s="168"/>
      <c r="Z164" s="168"/>
    </row>
    <row r="165" customFormat="false" ht="15.75" hidden="false" customHeight="false" outlineLevel="0" collapsed="false">
      <c r="A165" s="168"/>
      <c r="B165" s="168"/>
      <c r="C165" s="168"/>
      <c r="D165" s="168"/>
      <c r="E165" s="168"/>
      <c r="F165" s="168"/>
      <c r="G165" s="168"/>
      <c r="H165" s="168"/>
      <c r="I165" s="168"/>
      <c r="J165" s="168"/>
      <c r="K165" s="168"/>
      <c r="L165" s="168"/>
      <c r="M165" s="168"/>
      <c r="N165" s="168"/>
      <c r="O165" s="168"/>
      <c r="P165" s="168"/>
      <c r="Q165" s="168"/>
      <c r="R165" s="168"/>
      <c r="S165" s="168"/>
      <c r="T165" s="168"/>
      <c r="U165" s="168"/>
      <c r="V165" s="168"/>
      <c r="W165" s="168"/>
      <c r="X165" s="168"/>
      <c r="Y165" s="168"/>
      <c r="Z165" s="168"/>
    </row>
    <row r="166" customFormat="false" ht="15.75" hidden="false" customHeight="false" outlineLevel="0" collapsed="false">
      <c r="A166" s="168"/>
      <c r="B166" s="168"/>
      <c r="C166" s="168"/>
      <c r="D166" s="168"/>
      <c r="E166" s="168"/>
      <c r="F166" s="168"/>
      <c r="G166" s="168"/>
      <c r="H166" s="168"/>
      <c r="I166" s="168"/>
      <c r="J166" s="168"/>
      <c r="K166" s="168"/>
      <c r="L166" s="168"/>
      <c r="M166" s="168"/>
      <c r="N166" s="168"/>
      <c r="O166" s="168"/>
      <c r="P166" s="168"/>
      <c r="Q166" s="168"/>
      <c r="R166" s="168"/>
      <c r="S166" s="168"/>
      <c r="T166" s="168"/>
      <c r="U166" s="168"/>
      <c r="V166" s="168"/>
      <c r="W166" s="168"/>
      <c r="X166" s="168"/>
      <c r="Y166" s="168"/>
      <c r="Z166" s="168"/>
    </row>
    <row r="167" customFormat="false" ht="15.75" hidden="false" customHeight="false" outlineLevel="0" collapsed="false">
      <c r="A167" s="168"/>
      <c r="B167" s="168"/>
      <c r="C167" s="168"/>
      <c r="D167" s="168"/>
      <c r="E167" s="168"/>
      <c r="F167" s="168"/>
      <c r="G167" s="168"/>
      <c r="H167" s="168"/>
      <c r="I167" s="168"/>
      <c r="J167" s="168"/>
      <c r="K167" s="168"/>
      <c r="L167" s="168"/>
      <c r="M167" s="168"/>
      <c r="N167" s="168"/>
      <c r="O167" s="168"/>
      <c r="P167" s="168"/>
      <c r="Q167" s="168"/>
      <c r="R167" s="168"/>
      <c r="S167" s="168"/>
      <c r="T167" s="168"/>
      <c r="U167" s="168"/>
      <c r="V167" s="168"/>
      <c r="W167" s="168"/>
      <c r="X167" s="168"/>
      <c r="Y167" s="168"/>
      <c r="Z167" s="168"/>
    </row>
    <row r="168" customFormat="false" ht="15.75" hidden="false" customHeight="false" outlineLevel="0" collapsed="false">
      <c r="A168" s="168"/>
      <c r="B168" s="168"/>
      <c r="C168" s="168"/>
      <c r="D168" s="168"/>
      <c r="E168" s="168"/>
      <c r="F168" s="168"/>
      <c r="G168" s="168"/>
      <c r="H168" s="168"/>
      <c r="I168" s="168"/>
      <c r="J168" s="168"/>
      <c r="K168" s="168"/>
      <c r="L168" s="168"/>
      <c r="M168" s="168"/>
      <c r="N168" s="168"/>
      <c r="O168" s="168"/>
      <c r="P168" s="168"/>
      <c r="Q168" s="168"/>
      <c r="R168" s="168"/>
      <c r="S168" s="168"/>
      <c r="T168" s="168"/>
      <c r="U168" s="168"/>
      <c r="V168" s="168"/>
      <c r="W168" s="168"/>
      <c r="X168" s="168"/>
      <c r="Y168" s="168"/>
      <c r="Z168" s="168"/>
    </row>
    <row r="169" customFormat="false" ht="15.75" hidden="false" customHeight="false" outlineLevel="0" collapsed="false">
      <c r="A169" s="168"/>
      <c r="B169" s="168"/>
      <c r="C169" s="168"/>
      <c r="D169" s="168"/>
      <c r="E169" s="168"/>
      <c r="F169" s="168"/>
      <c r="G169" s="168"/>
      <c r="H169" s="168"/>
      <c r="I169" s="168"/>
      <c r="J169" s="168"/>
      <c r="K169" s="168"/>
      <c r="L169" s="168"/>
      <c r="M169" s="168"/>
      <c r="N169" s="168"/>
      <c r="O169" s="168"/>
      <c r="P169" s="168"/>
      <c r="Q169" s="168"/>
      <c r="R169" s="168"/>
      <c r="S169" s="168"/>
      <c r="T169" s="168"/>
      <c r="U169" s="168"/>
      <c r="V169" s="168"/>
      <c r="W169" s="168"/>
      <c r="X169" s="168"/>
      <c r="Y169" s="168"/>
      <c r="Z169" s="168"/>
    </row>
    <row r="170" customFormat="false" ht="15.75" hidden="false" customHeight="false" outlineLevel="0" collapsed="false">
      <c r="A170" s="168"/>
      <c r="B170" s="168"/>
      <c r="C170" s="168"/>
      <c r="D170" s="168"/>
      <c r="E170" s="168"/>
      <c r="F170" s="168"/>
      <c r="G170" s="168"/>
      <c r="H170" s="168"/>
      <c r="I170" s="168"/>
      <c r="J170" s="168"/>
      <c r="K170" s="168"/>
      <c r="L170" s="168"/>
      <c r="M170" s="168"/>
      <c r="N170" s="168"/>
      <c r="O170" s="168"/>
      <c r="P170" s="168"/>
      <c r="Q170" s="168"/>
      <c r="R170" s="168"/>
      <c r="S170" s="168"/>
      <c r="T170" s="168"/>
      <c r="U170" s="168"/>
      <c r="V170" s="168"/>
      <c r="W170" s="168"/>
      <c r="X170" s="168"/>
      <c r="Y170" s="168"/>
      <c r="Z170" s="168"/>
    </row>
    <row r="171" customFormat="false" ht="15.75" hidden="false" customHeight="false" outlineLevel="0" collapsed="false">
      <c r="A171" s="168"/>
      <c r="B171" s="168"/>
      <c r="C171" s="168"/>
      <c r="D171" s="168"/>
      <c r="E171" s="168"/>
      <c r="F171" s="168"/>
      <c r="G171" s="168"/>
      <c r="H171" s="168"/>
      <c r="I171" s="168"/>
      <c r="J171" s="168"/>
      <c r="K171" s="168"/>
      <c r="L171" s="168"/>
      <c r="M171" s="168"/>
      <c r="N171" s="168"/>
      <c r="O171" s="168"/>
      <c r="P171" s="168"/>
      <c r="Q171" s="168"/>
      <c r="R171" s="168"/>
      <c r="S171" s="168"/>
      <c r="T171" s="168"/>
      <c r="U171" s="168"/>
      <c r="V171" s="168"/>
      <c r="W171" s="168"/>
      <c r="X171" s="168"/>
      <c r="Y171" s="168"/>
      <c r="Z171" s="168"/>
    </row>
    <row r="172" customFormat="false" ht="15.75" hidden="false" customHeight="false" outlineLevel="0" collapsed="false">
      <c r="A172" s="168"/>
      <c r="B172" s="168"/>
      <c r="C172" s="168"/>
      <c r="D172" s="168"/>
      <c r="E172" s="168"/>
      <c r="F172" s="168"/>
      <c r="G172" s="168"/>
      <c r="H172" s="168"/>
      <c r="I172" s="168"/>
      <c r="J172" s="168"/>
      <c r="K172" s="168"/>
      <c r="L172" s="168"/>
      <c r="M172" s="168"/>
      <c r="N172" s="168"/>
      <c r="O172" s="168"/>
      <c r="P172" s="168"/>
      <c r="Q172" s="168"/>
      <c r="R172" s="168"/>
      <c r="S172" s="168"/>
      <c r="T172" s="168"/>
      <c r="U172" s="168"/>
      <c r="V172" s="168"/>
      <c r="W172" s="168"/>
      <c r="X172" s="168"/>
      <c r="Y172" s="168"/>
      <c r="Z172" s="168"/>
    </row>
    <row r="173" customFormat="false" ht="15.75" hidden="false" customHeight="false" outlineLevel="0" collapsed="false">
      <c r="A173" s="168"/>
      <c r="B173" s="168"/>
      <c r="C173" s="168"/>
      <c r="D173" s="168"/>
      <c r="E173" s="168"/>
      <c r="F173" s="168"/>
      <c r="G173" s="168"/>
      <c r="H173" s="168"/>
      <c r="I173" s="168"/>
      <c r="J173" s="168"/>
      <c r="K173" s="168"/>
      <c r="L173" s="168"/>
      <c r="M173" s="168"/>
      <c r="N173" s="168"/>
      <c r="O173" s="168"/>
      <c r="P173" s="168"/>
      <c r="Q173" s="168"/>
      <c r="R173" s="168"/>
      <c r="S173" s="168"/>
      <c r="T173" s="168"/>
      <c r="U173" s="168"/>
      <c r="V173" s="168"/>
      <c r="W173" s="168"/>
      <c r="X173" s="168"/>
      <c r="Y173" s="168"/>
      <c r="Z173" s="168"/>
    </row>
    <row r="174" customFormat="false" ht="15.75" hidden="false" customHeight="false" outlineLevel="0" collapsed="false">
      <c r="A174" s="168"/>
      <c r="B174" s="168"/>
      <c r="C174" s="168"/>
      <c r="D174" s="168"/>
      <c r="E174" s="168"/>
      <c r="F174" s="168"/>
      <c r="G174" s="168"/>
      <c r="H174" s="168"/>
      <c r="I174" s="168"/>
      <c r="J174" s="168"/>
      <c r="K174" s="168"/>
      <c r="L174" s="168"/>
      <c r="M174" s="168"/>
      <c r="N174" s="168"/>
      <c r="O174" s="168"/>
      <c r="P174" s="168"/>
      <c r="Q174" s="168"/>
      <c r="R174" s="168"/>
      <c r="S174" s="168"/>
      <c r="T174" s="168"/>
      <c r="U174" s="168"/>
      <c r="V174" s="168"/>
      <c r="W174" s="168"/>
      <c r="X174" s="168"/>
      <c r="Y174" s="168"/>
      <c r="Z174" s="168"/>
    </row>
    <row r="175" customFormat="false" ht="15.75" hidden="false" customHeight="false" outlineLevel="0" collapsed="false">
      <c r="A175" s="168"/>
      <c r="B175" s="168"/>
      <c r="C175" s="168"/>
      <c r="D175" s="168"/>
      <c r="E175" s="168"/>
      <c r="F175" s="168"/>
      <c r="G175" s="168"/>
      <c r="H175" s="168"/>
      <c r="I175" s="168"/>
      <c r="J175" s="168"/>
      <c r="K175" s="168"/>
      <c r="L175" s="168"/>
      <c r="M175" s="168"/>
      <c r="N175" s="168"/>
      <c r="O175" s="168"/>
      <c r="P175" s="168"/>
      <c r="Q175" s="168"/>
      <c r="R175" s="168"/>
      <c r="S175" s="168"/>
      <c r="T175" s="168"/>
      <c r="U175" s="168"/>
      <c r="V175" s="168"/>
      <c r="W175" s="168"/>
      <c r="X175" s="168"/>
      <c r="Y175" s="168"/>
      <c r="Z175" s="168"/>
    </row>
    <row r="176" customFormat="false" ht="15.75" hidden="false" customHeight="false" outlineLevel="0" collapsed="false">
      <c r="A176" s="168"/>
      <c r="B176" s="168"/>
      <c r="C176" s="168"/>
      <c r="D176" s="168"/>
      <c r="E176" s="168"/>
      <c r="F176" s="168"/>
      <c r="G176" s="168"/>
      <c r="H176" s="168"/>
      <c r="I176" s="168"/>
      <c r="J176" s="168"/>
      <c r="K176" s="168"/>
      <c r="L176" s="168"/>
      <c r="M176" s="168"/>
      <c r="N176" s="168"/>
      <c r="O176" s="168"/>
      <c r="P176" s="168"/>
      <c r="Q176" s="168"/>
      <c r="R176" s="168"/>
      <c r="S176" s="168"/>
      <c r="T176" s="168"/>
      <c r="U176" s="168"/>
      <c r="V176" s="168"/>
      <c r="W176" s="168"/>
      <c r="X176" s="168"/>
      <c r="Y176" s="168"/>
      <c r="Z176" s="168"/>
    </row>
    <row r="177" customFormat="false" ht="15.75" hidden="false" customHeight="false" outlineLevel="0" collapsed="false">
      <c r="A177" s="168"/>
      <c r="B177" s="168"/>
      <c r="C177" s="168"/>
      <c r="D177" s="168"/>
      <c r="E177" s="168"/>
      <c r="F177" s="168"/>
      <c r="G177" s="168"/>
      <c r="H177" s="168"/>
      <c r="I177" s="168"/>
      <c r="J177" s="168"/>
      <c r="K177" s="168"/>
      <c r="L177" s="168"/>
      <c r="M177" s="168"/>
      <c r="N177" s="168"/>
      <c r="O177" s="168"/>
      <c r="P177" s="168"/>
      <c r="Q177" s="168"/>
      <c r="R177" s="168"/>
      <c r="S177" s="168"/>
      <c r="T177" s="168"/>
      <c r="U177" s="168"/>
      <c r="V177" s="168"/>
      <c r="W177" s="168"/>
      <c r="X177" s="168"/>
      <c r="Y177" s="168"/>
      <c r="Z177" s="168"/>
    </row>
    <row r="178" customFormat="false" ht="15.75" hidden="false" customHeight="false" outlineLevel="0" collapsed="false">
      <c r="A178" s="168"/>
      <c r="B178" s="168"/>
      <c r="C178" s="168"/>
      <c r="D178" s="168"/>
      <c r="E178" s="168"/>
      <c r="F178" s="168"/>
      <c r="G178" s="168"/>
      <c r="H178" s="168"/>
      <c r="I178" s="168"/>
      <c r="J178" s="168"/>
      <c r="K178" s="168"/>
      <c r="L178" s="168"/>
      <c r="M178" s="168"/>
      <c r="N178" s="168"/>
      <c r="O178" s="168"/>
      <c r="P178" s="168"/>
      <c r="Q178" s="168"/>
      <c r="R178" s="168"/>
      <c r="S178" s="168"/>
      <c r="T178" s="168"/>
      <c r="U178" s="168"/>
      <c r="V178" s="168"/>
      <c r="W178" s="168"/>
      <c r="X178" s="168"/>
      <c r="Y178" s="168"/>
      <c r="Z178" s="168"/>
    </row>
    <row r="179" customFormat="false" ht="15.75" hidden="false" customHeight="false" outlineLevel="0" collapsed="false">
      <c r="A179" s="168"/>
      <c r="B179" s="168"/>
      <c r="C179" s="168"/>
      <c r="D179" s="168"/>
      <c r="E179" s="168"/>
      <c r="F179" s="168"/>
      <c r="G179" s="168"/>
      <c r="H179" s="168"/>
      <c r="I179" s="168"/>
      <c r="J179" s="168"/>
      <c r="K179" s="168"/>
      <c r="L179" s="168"/>
      <c r="M179" s="168"/>
      <c r="N179" s="168"/>
      <c r="O179" s="168"/>
      <c r="P179" s="168"/>
      <c r="Q179" s="168"/>
      <c r="R179" s="168"/>
      <c r="S179" s="168"/>
      <c r="T179" s="168"/>
      <c r="U179" s="168"/>
      <c r="V179" s="168"/>
      <c r="W179" s="168"/>
      <c r="X179" s="168"/>
      <c r="Y179" s="168"/>
      <c r="Z179" s="168"/>
    </row>
    <row r="180" customFormat="false" ht="15.75" hidden="false" customHeight="false" outlineLevel="0" collapsed="false">
      <c r="A180" s="168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</row>
    <row r="181" customFormat="false" ht="15.75" hidden="false" customHeight="false" outlineLevel="0" collapsed="false">
      <c r="A181" s="168"/>
      <c r="B181" s="168"/>
      <c r="C181" s="168"/>
      <c r="D181" s="168"/>
      <c r="E181" s="168"/>
      <c r="F181" s="168"/>
      <c r="G181" s="168"/>
      <c r="H181" s="168"/>
      <c r="I181" s="168"/>
      <c r="J181" s="168"/>
      <c r="K181" s="168"/>
      <c r="L181" s="168"/>
      <c r="M181" s="168"/>
      <c r="N181" s="168"/>
      <c r="O181" s="168"/>
      <c r="P181" s="168"/>
      <c r="Q181" s="168"/>
      <c r="R181" s="168"/>
      <c r="S181" s="168"/>
      <c r="T181" s="168"/>
      <c r="U181" s="168"/>
      <c r="V181" s="168"/>
      <c r="W181" s="168"/>
      <c r="X181" s="168"/>
      <c r="Y181" s="168"/>
      <c r="Z181" s="168"/>
    </row>
    <row r="182" customFormat="false" ht="15.75" hidden="false" customHeight="false" outlineLevel="0" collapsed="false">
      <c r="A182" s="168"/>
      <c r="B182" s="168"/>
      <c r="C182" s="168"/>
      <c r="D182" s="168"/>
      <c r="E182" s="168"/>
      <c r="F182" s="168"/>
      <c r="G182" s="168"/>
      <c r="H182" s="168"/>
      <c r="I182" s="168"/>
      <c r="J182" s="168"/>
      <c r="K182" s="168"/>
      <c r="L182" s="168"/>
      <c r="M182" s="168"/>
      <c r="N182" s="168"/>
      <c r="O182" s="168"/>
      <c r="P182" s="168"/>
      <c r="Q182" s="168"/>
      <c r="R182" s="168"/>
      <c r="S182" s="168"/>
      <c r="T182" s="168"/>
      <c r="U182" s="168"/>
      <c r="V182" s="168"/>
      <c r="W182" s="168"/>
      <c r="X182" s="168"/>
      <c r="Y182" s="168"/>
      <c r="Z182" s="168"/>
    </row>
    <row r="183" customFormat="false" ht="15.75" hidden="false" customHeight="false" outlineLevel="0" collapsed="false">
      <c r="A183" s="168"/>
      <c r="B183" s="168"/>
      <c r="C183" s="168"/>
      <c r="D183" s="168"/>
      <c r="E183" s="168"/>
      <c r="F183" s="168"/>
      <c r="G183" s="168"/>
      <c r="H183" s="168"/>
      <c r="I183" s="168"/>
      <c r="J183" s="168"/>
      <c r="K183" s="168"/>
      <c r="L183" s="168"/>
      <c r="M183" s="168"/>
      <c r="N183" s="168"/>
      <c r="O183" s="168"/>
      <c r="P183" s="168"/>
      <c r="Q183" s="168"/>
      <c r="R183" s="168"/>
      <c r="S183" s="168"/>
      <c r="T183" s="168"/>
      <c r="U183" s="168"/>
      <c r="V183" s="168"/>
      <c r="W183" s="168"/>
      <c r="X183" s="168"/>
      <c r="Y183" s="168"/>
      <c r="Z183" s="168"/>
    </row>
    <row r="184" customFormat="false" ht="15.75" hidden="false" customHeight="false" outlineLevel="0" collapsed="false">
      <c r="A184" s="168"/>
      <c r="B184" s="168"/>
      <c r="C184" s="168"/>
      <c r="D184" s="168"/>
      <c r="E184" s="168"/>
      <c r="F184" s="168"/>
      <c r="G184" s="168"/>
      <c r="H184" s="168"/>
      <c r="I184" s="168"/>
      <c r="J184" s="168"/>
      <c r="K184" s="168"/>
      <c r="L184" s="168"/>
      <c r="M184" s="168"/>
      <c r="N184" s="168"/>
      <c r="O184" s="168"/>
      <c r="P184" s="168"/>
      <c r="Q184" s="168"/>
      <c r="R184" s="168"/>
      <c r="S184" s="168"/>
      <c r="T184" s="168"/>
      <c r="U184" s="168"/>
      <c r="V184" s="168"/>
      <c r="W184" s="168"/>
      <c r="X184" s="168"/>
      <c r="Y184" s="168"/>
      <c r="Z184" s="168"/>
    </row>
    <row r="185" customFormat="false" ht="15.75" hidden="false" customHeight="false" outlineLevel="0" collapsed="false">
      <c r="A185" s="168"/>
      <c r="B185" s="168"/>
      <c r="C185" s="168"/>
      <c r="D185" s="168"/>
      <c r="E185" s="168"/>
      <c r="F185" s="168"/>
      <c r="G185" s="168"/>
      <c r="H185" s="168"/>
      <c r="I185" s="168"/>
      <c r="J185" s="168"/>
      <c r="K185" s="168"/>
      <c r="L185" s="168"/>
      <c r="M185" s="168"/>
      <c r="N185" s="168"/>
      <c r="O185" s="168"/>
      <c r="P185" s="168"/>
      <c r="Q185" s="168"/>
      <c r="R185" s="168"/>
      <c r="S185" s="168"/>
      <c r="T185" s="168"/>
      <c r="U185" s="168"/>
      <c r="V185" s="168"/>
      <c r="W185" s="168"/>
      <c r="X185" s="168"/>
      <c r="Y185" s="168"/>
      <c r="Z185" s="168"/>
    </row>
    <row r="186" customFormat="false" ht="15.75" hidden="false" customHeight="false" outlineLevel="0" collapsed="false">
      <c r="A186" s="168"/>
      <c r="B186" s="168"/>
      <c r="C186" s="168"/>
      <c r="D186" s="168"/>
      <c r="E186" s="168"/>
      <c r="F186" s="168"/>
      <c r="G186" s="168"/>
      <c r="H186" s="168"/>
      <c r="I186" s="168"/>
      <c r="J186" s="168"/>
      <c r="K186" s="168"/>
      <c r="L186" s="168"/>
      <c r="M186" s="168"/>
      <c r="N186" s="168"/>
      <c r="O186" s="168"/>
      <c r="P186" s="168"/>
      <c r="Q186" s="168"/>
      <c r="R186" s="168"/>
      <c r="S186" s="168"/>
      <c r="T186" s="168"/>
      <c r="U186" s="168"/>
      <c r="V186" s="168"/>
      <c r="W186" s="168"/>
      <c r="X186" s="168"/>
      <c r="Y186" s="168"/>
      <c r="Z186" s="168"/>
    </row>
    <row r="187" customFormat="false" ht="15.75" hidden="false" customHeight="false" outlineLevel="0" collapsed="false">
      <c r="A187" s="168"/>
      <c r="B187" s="168"/>
      <c r="C187" s="168"/>
      <c r="D187" s="168"/>
      <c r="E187" s="168"/>
      <c r="F187" s="168"/>
      <c r="G187" s="168"/>
      <c r="H187" s="168"/>
      <c r="I187" s="168"/>
      <c r="J187" s="168"/>
      <c r="K187" s="168"/>
      <c r="L187" s="168"/>
      <c r="M187" s="168"/>
      <c r="N187" s="168"/>
      <c r="O187" s="168"/>
      <c r="P187" s="168"/>
      <c r="Q187" s="168"/>
      <c r="R187" s="168"/>
      <c r="S187" s="168"/>
      <c r="T187" s="168"/>
      <c r="U187" s="168"/>
      <c r="V187" s="168"/>
      <c r="W187" s="168"/>
      <c r="X187" s="168"/>
      <c r="Y187" s="168"/>
      <c r="Z187" s="168"/>
    </row>
    <row r="188" customFormat="false" ht="15.75" hidden="false" customHeight="false" outlineLevel="0" collapsed="false">
      <c r="A188" s="168"/>
      <c r="B188" s="168"/>
      <c r="C188" s="168"/>
      <c r="D188" s="168"/>
      <c r="E188" s="168"/>
      <c r="F188" s="168"/>
      <c r="G188" s="168"/>
      <c r="H188" s="168"/>
      <c r="I188" s="168"/>
      <c r="J188" s="168"/>
      <c r="K188" s="168"/>
      <c r="L188" s="168"/>
      <c r="M188" s="168"/>
      <c r="N188" s="168"/>
      <c r="O188" s="168"/>
      <c r="P188" s="168"/>
      <c r="Q188" s="168"/>
      <c r="R188" s="168"/>
      <c r="S188" s="168"/>
      <c r="T188" s="168"/>
      <c r="U188" s="168"/>
      <c r="V188" s="168"/>
      <c r="W188" s="168"/>
      <c r="X188" s="168"/>
      <c r="Y188" s="168"/>
      <c r="Z188" s="168"/>
    </row>
    <row r="189" customFormat="false" ht="15.75" hidden="false" customHeight="false" outlineLevel="0" collapsed="false">
      <c r="A189" s="168"/>
      <c r="B189" s="168"/>
      <c r="C189" s="168"/>
      <c r="D189" s="168"/>
      <c r="E189" s="168"/>
      <c r="F189" s="168"/>
      <c r="G189" s="168"/>
      <c r="H189" s="168"/>
      <c r="I189" s="168"/>
      <c r="J189" s="168"/>
      <c r="K189" s="168"/>
      <c r="L189" s="168"/>
      <c r="M189" s="168"/>
      <c r="N189" s="168"/>
      <c r="O189" s="168"/>
      <c r="P189" s="168"/>
      <c r="Q189" s="168"/>
      <c r="R189" s="168"/>
      <c r="S189" s="168"/>
      <c r="T189" s="168"/>
      <c r="U189" s="168"/>
      <c r="V189" s="168"/>
      <c r="W189" s="168"/>
      <c r="X189" s="168"/>
      <c r="Y189" s="168"/>
      <c r="Z189" s="168"/>
    </row>
    <row r="190" customFormat="false" ht="15.75" hidden="false" customHeight="false" outlineLevel="0" collapsed="false">
      <c r="A190" s="168"/>
      <c r="B190" s="168"/>
      <c r="C190" s="168"/>
      <c r="D190" s="168"/>
      <c r="E190" s="168"/>
      <c r="F190" s="168"/>
      <c r="G190" s="168"/>
      <c r="H190" s="168"/>
      <c r="I190" s="168"/>
      <c r="J190" s="168"/>
      <c r="K190" s="168"/>
      <c r="L190" s="168"/>
      <c r="M190" s="168"/>
      <c r="N190" s="168"/>
      <c r="O190" s="168"/>
      <c r="P190" s="168"/>
      <c r="Q190" s="168"/>
      <c r="R190" s="168"/>
      <c r="S190" s="168"/>
      <c r="T190" s="168"/>
      <c r="U190" s="168"/>
      <c r="V190" s="168"/>
      <c r="W190" s="168"/>
      <c r="X190" s="168"/>
      <c r="Y190" s="168"/>
      <c r="Z190" s="168"/>
    </row>
    <row r="191" customFormat="false" ht="15.75" hidden="false" customHeight="false" outlineLevel="0" collapsed="false">
      <c r="A191" s="168"/>
      <c r="B191" s="168"/>
      <c r="C191" s="168"/>
      <c r="D191" s="168"/>
      <c r="E191" s="168"/>
      <c r="F191" s="168"/>
      <c r="G191" s="168"/>
      <c r="H191" s="168"/>
      <c r="I191" s="168"/>
      <c r="J191" s="168"/>
      <c r="K191" s="168"/>
      <c r="L191" s="168"/>
      <c r="M191" s="168"/>
      <c r="N191" s="168"/>
      <c r="O191" s="168"/>
      <c r="P191" s="168"/>
      <c r="Q191" s="168"/>
      <c r="R191" s="168"/>
      <c r="S191" s="168"/>
      <c r="T191" s="168"/>
      <c r="U191" s="168"/>
      <c r="V191" s="168"/>
      <c r="W191" s="168"/>
      <c r="X191" s="168"/>
      <c r="Y191" s="168"/>
      <c r="Z191" s="168"/>
    </row>
    <row r="192" customFormat="false" ht="15.75" hidden="false" customHeight="false" outlineLevel="0" collapsed="false">
      <c r="A192" s="168"/>
      <c r="B192" s="168"/>
      <c r="C192" s="168"/>
      <c r="D192" s="168"/>
      <c r="E192" s="168"/>
      <c r="F192" s="168"/>
      <c r="G192" s="168"/>
      <c r="H192" s="168"/>
      <c r="I192" s="168"/>
      <c r="J192" s="168"/>
      <c r="K192" s="168"/>
      <c r="L192" s="168"/>
      <c r="M192" s="168"/>
      <c r="N192" s="168"/>
      <c r="O192" s="168"/>
      <c r="P192" s="168"/>
      <c r="Q192" s="168"/>
      <c r="R192" s="168"/>
      <c r="S192" s="168"/>
      <c r="T192" s="168"/>
      <c r="U192" s="168"/>
      <c r="V192" s="168"/>
      <c r="W192" s="168"/>
      <c r="X192" s="168"/>
      <c r="Y192" s="168"/>
      <c r="Z192" s="168"/>
    </row>
    <row r="193" customFormat="false" ht="15.75" hidden="false" customHeight="false" outlineLevel="0" collapsed="false">
      <c r="A193" s="168"/>
      <c r="B193" s="168"/>
      <c r="C193" s="168"/>
      <c r="D193" s="168"/>
      <c r="E193" s="168"/>
      <c r="F193" s="168"/>
      <c r="G193" s="168"/>
      <c r="H193" s="168"/>
      <c r="I193" s="168"/>
      <c r="J193" s="168"/>
      <c r="K193" s="168"/>
      <c r="L193" s="168"/>
      <c r="M193" s="168"/>
      <c r="N193" s="168"/>
      <c r="O193" s="168"/>
      <c r="P193" s="168"/>
      <c r="Q193" s="168"/>
      <c r="R193" s="168"/>
      <c r="S193" s="168"/>
      <c r="T193" s="168"/>
      <c r="U193" s="168"/>
      <c r="V193" s="168"/>
      <c r="W193" s="168"/>
      <c r="X193" s="168"/>
      <c r="Y193" s="168"/>
      <c r="Z193" s="168"/>
    </row>
    <row r="194" customFormat="false" ht="15.75" hidden="false" customHeight="false" outlineLevel="0" collapsed="false">
      <c r="A194" s="168"/>
      <c r="B194" s="168"/>
      <c r="C194" s="168"/>
      <c r="D194" s="168"/>
      <c r="E194" s="168"/>
      <c r="F194" s="168"/>
      <c r="G194" s="168"/>
      <c r="H194" s="168"/>
      <c r="I194" s="168"/>
      <c r="J194" s="168"/>
      <c r="K194" s="168"/>
      <c r="L194" s="168"/>
      <c r="M194" s="168"/>
      <c r="N194" s="168"/>
      <c r="O194" s="168"/>
      <c r="P194" s="168"/>
      <c r="Q194" s="168"/>
      <c r="R194" s="168"/>
      <c r="S194" s="168"/>
      <c r="T194" s="168"/>
      <c r="U194" s="168"/>
      <c r="V194" s="168"/>
      <c r="W194" s="168"/>
      <c r="X194" s="168"/>
      <c r="Y194" s="168"/>
      <c r="Z194" s="168"/>
    </row>
    <row r="195" customFormat="false" ht="15.75" hidden="false" customHeight="false" outlineLevel="0" collapsed="false">
      <c r="A195" s="168"/>
      <c r="B195" s="168"/>
      <c r="C195" s="168"/>
      <c r="D195" s="168"/>
      <c r="E195" s="168"/>
      <c r="F195" s="168"/>
      <c r="G195" s="168"/>
      <c r="H195" s="168"/>
      <c r="I195" s="168"/>
      <c r="J195" s="168"/>
      <c r="K195" s="168"/>
      <c r="L195" s="168"/>
      <c r="M195" s="168"/>
      <c r="N195" s="168"/>
      <c r="O195" s="168"/>
      <c r="P195" s="168"/>
      <c r="Q195" s="168"/>
      <c r="R195" s="168"/>
      <c r="S195" s="168"/>
      <c r="T195" s="168"/>
      <c r="U195" s="168"/>
      <c r="V195" s="168"/>
      <c r="W195" s="168"/>
      <c r="X195" s="168"/>
      <c r="Y195" s="168"/>
      <c r="Z195" s="168"/>
    </row>
    <row r="196" customFormat="false" ht="15.75" hidden="false" customHeight="false" outlineLevel="0" collapsed="false">
      <c r="A196" s="168"/>
      <c r="B196" s="168"/>
      <c r="C196" s="168"/>
      <c r="D196" s="168"/>
      <c r="E196" s="168"/>
      <c r="F196" s="168"/>
      <c r="G196" s="168"/>
      <c r="H196" s="168"/>
      <c r="I196" s="168"/>
      <c r="J196" s="168"/>
      <c r="K196" s="168"/>
      <c r="L196" s="168"/>
      <c r="M196" s="168"/>
      <c r="N196" s="168"/>
      <c r="O196" s="168"/>
      <c r="P196" s="168"/>
      <c r="Q196" s="168"/>
      <c r="R196" s="168"/>
      <c r="S196" s="168"/>
      <c r="T196" s="168"/>
      <c r="U196" s="168"/>
      <c r="V196" s="168"/>
      <c r="W196" s="168"/>
      <c r="X196" s="168"/>
      <c r="Y196" s="168"/>
      <c r="Z196" s="168"/>
    </row>
    <row r="197" customFormat="false" ht="15.75" hidden="false" customHeight="false" outlineLevel="0" collapsed="false">
      <c r="A197" s="168"/>
      <c r="B197" s="168"/>
      <c r="C197" s="168"/>
      <c r="D197" s="168"/>
      <c r="E197" s="168"/>
      <c r="F197" s="168"/>
      <c r="G197" s="168"/>
      <c r="H197" s="168"/>
      <c r="I197" s="168"/>
      <c r="J197" s="168"/>
      <c r="K197" s="168"/>
      <c r="L197" s="168"/>
      <c r="M197" s="168"/>
      <c r="N197" s="168"/>
      <c r="O197" s="168"/>
      <c r="P197" s="168"/>
      <c r="Q197" s="168"/>
      <c r="R197" s="168"/>
      <c r="S197" s="168"/>
      <c r="T197" s="168"/>
      <c r="U197" s="168"/>
      <c r="V197" s="168"/>
      <c r="W197" s="168"/>
      <c r="X197" s="168"/>
      <c r="Y197" s="168"/>
      <c r="Z197" s="168"/>
    </row>
    <row r="198" customFormat="false" ht="15.75" hidden="false" customHeight="false" outlineLevel="0" collapsed="false">
      <c r="A198" s="168"/>
      <c r="B198" s="168"/>
      <c r="C198" s="168"/>
      <c r="D198" s="168"/>
      <c r="E198" s="168"/>
      <c r="F198" s="168"/>
      <c r="G198" s="168"/>
      <c r="H198" s="168"/>
      <c r="I198" s="168"/>
      <c r="J198" s="168"/>
      <c r="K198" s="168"/>
      <c r="L198" s="168"/>
      <c r="M198" s="168"/>
      <c r="N198" s="168"/>
      <c r="O198" s="168"/>
      <c r="P198" s="168"/>
      <c r="Q198" s="168"/>
      <c r="R198" s="168"/>
      <c r="S198" s="168"/>
      <c r="T198" s="168"/>
      <c r="U198" s="168"/>
      <c r="V198" s="168"/>
      <c r="W198" s="168"/>
      <c r="X198" s="168"/>
      <c r="Y198" s="168"/>
      <c r="Z198" s="168"/>
    </row>
    <row r="199" customFormat="false" ht="15.75" hidden="false" customHeight="false" outlineLevel="0" collapsed="false">
      <c r="A199" s="168"/>
      <c r="B199" s="168"/>
      <c r="C199" s="168"/>
      <c r="D199" s="168"/>
      <c r="E199" s="168"/>
      <c r="F199" s="168"/>
      <c r="G199" s="168"/>
      <c r="H199" s="168"/>
      <c r="I199" s="168"/>
      <c r="J199" s="168"/>
      <c r="K199" s="168"/>
      <c r="L199" s="168"/>
      <c r="M199" s="168"/>
      <c r="N199" s="168"/>
      <c r="O199" s="168"/>
      <c r="P199" s="168"/>
      <c r="Q199" s="168"/>
      <c r="R199" s="168"/>
      <c r="S199" s="168"/>
      <c r="T199" s="168"/>
      <c r="U199" s="168"/>
      <c r="V199" s="168"/>
      <c r="W199" s="168"/>
      <c r="X199" s="168"/>
      <c r="Y199" s="168"/>
      <c r="Z199" s="168"/>
    </row>
    <row r="200" customFormat="false" ht="15.75" hidden="false" customHeight="false" outlineLevel="0" collapsed="false">
      <c r="A200" s="168"/>
      <c r="B200" s="168"/>
      <c r="C200" s="168"/>
      <c r="D200" s="168"/>
      <c r="E200" s="168"/>
      <c r="F200" s="168"/>
      <c r="G200" s="168"/>
      <c r="H200" s="168"/>
      <c r="I200" s="168"/>
      <c r="J200" s="168"/>
      <c r="K200" s="168"/>
      <c r="L200" s="168"/>
      <c r="M200" s="168"/>
      <c r="N200" s="168"/>
      <c r="O200" s="168"/>
      <c r="P200" s="168"/>
      <c r="Q200" s="168"/>
      <c r="R200" s="168"/>
      <c r="S200" s="168"/>
      <c r="T200" s="168"/>
      <c r="U200" s="168"/>
      <c r="V200" s="168"/>
      <c r="W200" s="168"/>
      <c r="X200" s="168"/>
      <c r="Y200" s="168"/>
      <c r="Z200" s="168"/>
    </row>
    <row r="201" customFormat="false" ht="15.75" hidden="false" customHeight="false" outlineLevel="0" collapsed="false">
      <c r="A201" s="168"/>
      <c r="B201" s="168"/>
      <c r="C201" s="168"/>
      <c r="D201" s="168"/>
      <c r="E201" s="168"/>
      <c r="F201" s="168"/>
      <c r="G201" s="168"/>
      <c r="H201" s="168"/>
      <c r="I201" s="168"/>
      <c r="J201" s="168"/>
      <c r="K201" s="168"/>
      <c r="L201" s="168"/>
      <c r="M201" s="168"/>
      <c r="N201" s="168"/>
      <c r="O201" s="168"/>
      <c r="P201" s="168"/>
      <c r="Q201" s="168"/>
      <c r="R201" s="168"/>
      <c r="S201" s="168"/>
      <c r="T201" s="168"/>
      <c r="U201" s="168"/>
      <c r="V201" s="168"/>
      <c r="W201" s="168"/>
      <c r="X201" s="168"/>
      <c r="Y201" s="168"/>
      <c r="Z201" s="168"/>
    </row>
    <row r="202" customFormat="false" ht="15.75" hidden="false" customHeight="false" outlineLevel="0" collapsed="false">
      <c r="A202" s="168"/>
      <c r="B202" s="168"/>
      <c r="C202" s="168"/>
      <c r="D202" s="168"/>
      <c r="E202" s="168"/>
      <c r="F202" s="168"/>
      <c r="G202" s="168"/>
      <c r="H202" s="168"/>
      <c r="I202" s="168"/>
      <c r="J202" s="168"/>
      <c r="K202" s="168"/>
      <c r="L202" s="168"/>
      <c r="M202" s="168"/>
      <c r="N202" s="168"/>
      <c r="O202" s="168"/>
      <c r="P202" s="168"/>
      <c r="Q202" s="168"/>
      <c r="R202" s="168"/>
      <c r="S202" s="168"/>
      <c r="T202" s="168"/>
      <c r="U202" s="168"/>
      <c r="V202" s="168"/>
      <c r="W202" s="168"/>
      <c r="X202" s="168"/>
      <c r="Y202" s="168"/>
      <c r="Z202" s="168"/>
    </row>
    <row r="203" customFormat="false" ht="15.75" hidden="false" customHeight="false" outlineLevel="0" collapsed="false">
      <c r="A203" s="168"/>
      <c r="B203" s="168"/>
      <c r="C203" s="168"/>
      <c r="D203" s="168"/>
      <c r="E203" s="168"/>
      <c r="F203" s="168"/>
      <c r="G203" s="168"/>
      <c r="H203" s="168"/>
      <c r="I203" s="168"/>
      <c r="J203" s="168"/>
      <c r="K203" s="168"/>
      <c r="L203" s="168"/>
      <c r="M203" s="168"/>
      <c r="N203" s="168"/>
      <c r="O203" s="168"/>
      <c r="P203" s="168"/>
      <c r="Q203" s="168"/>
      <c r="R203" s="168"/>
      <c r="S203" s="168"/>
      <c r="T203" s="168"/>
      <c r="U203" s="168"/>
      <c r="V203" s="168"/>
      <c r="W203" s="168"/>
      <c r="X203" s="168"/>
      <c r="Y203" s="168"/>
      <c r="Z203" s="168"/>
    </row>
    <row r="204" customFormat="false" ht="15.75" hidden="false" customHeight="false" outlineLevel="0" collapsed="false">
      <c r="A204" s="168"/>
      <c r="B204" s="168"/>
      <c r="C204" s="168"/>
      <c r="D204" s="168"/>
      <c r="E204" s="168"/>
      <c r="F204" s="168"/>
      <c r="G204" s="168"/>
      <c r="H204" s="168"/>
      <c r="I204" s="168"/>
      <c r="J204" s="168"/>
      <c r="K204" s="168"/>
      <c r="L204" s="168"/>
      <c r="M204" s="168"/>
      <c r="N204" s="168"/>
      <c r="O204" s="168"/>
      <c r="P204" s="168"/>
      <c r="Q204" s="168"/>
      <c r="R204" s="168"/>
      <c r="S204" s="168"/>
      <c r="T204" s="168"/>
      <c r="U204" s="168"/>
      <c r="V204" s="168"/>
      <c r="W204" s="168"/>
      <c r="X204" s="168"/>
      <c r="Y204" s="168"/>
      <c r="Z204" s="168"/>
    </row>
    <row r="205" customFormat="false" ht="15.75" hidden="false" customHeight="false" outlineLevel="0" collapsed="false">
      <c r="A205" s="168"/>
      <c r="B205" s="168"/>
      <c r="C205" s="168"/>
      <c r="D205" s="168"/>
      <c r="E205" s="168"/>
      <c r="F205" s="168"/>
      <c r="G205" s="168"/>
      <c r="H205" s="168"/>
      <c r="I205" s="168"/>
      <c r="J205" s="168"/>
      <c r="K205" s="168"/>
      <c r="L205" s="168"/>
      <c r="M205" s="168"/>
      <c r="N205" s="168"/>
      <c r="O205" s="168"/>
      <c r="P205" s="168"/>
      <c r="Q205" s="168"/>
      <c r="R205" s="168"/>
      <c r="S205" s="168"/>
      <c r="T205" s="168"/>
      <c r="U205" s="168"/>
      <c r="V205" s="168"/>
      <c r="W205" s="168"/>
      <c r="X205" s="168"/>
      <c r="Y205" s="168"/>
      <c r="Z205" s="168"/>
    </row>
    <row r="206" customFormat="false" ht="15.75" hidden="false" customHeight="false" outlineLevel="0" collapsed="false">
      <c r="A206" s="168"/>
      <c r="B206" s="168"/>
      <c r="C206" s="168"/>
      <c r="D206" s="168"/>
      <c r="E206" s="168"/>
      <c r="F206" s="168"/>
      <c r="G206" s="168"/>
      <c r="H206" s="168"/>
      <c r="I206" s="168"/>
      <c r="J206" s="168"/>
      <c r="K206" s="168"/>
      <c r="L206" s="168"/>
      <c r="M206" s="168"/>
      <c r="N206" s="168"/>
      <c r="O206" s="168"/>
      <c r="P206" s="168"/>
      <c r="Q206" s="168"/>
      <c r="R206" s="168"/>
      <c r="S206" s="168"/>
      <c r="T206" s="168"/>
      <c r="U206" s="168"/>
      <c r="V206" s="168"/>
      <c r="W206" s="168"/>
      <c r="X206" s="168"/>
      <c r="Y206" s="168"/>
      <c r="Z206" s="168"/>
    </row>
    <row r="207" customFormat="false" ht="15.75" hidden="false" customHeight="false" outlineLevel="0" collapsed="false">
      <c r="A207" s="168"/>
      <c r="B207" s="168"/>
      <c r="C207" s="168"/>
      <c r="D207" s="168"/>
      <c r="E207" s="168"/>
      <c r="F207" s="168"/>
      <c r="G207" s="168"/>
      <c r="H207" s="168"/>
      <c r="I207" s="168"/>
      <c r="J207" s="168"/>
      <c r="K207" s="168"/>
      <c r="L207" s="168"/>
      <c r="M207" s="168"/>
      <c r="N207" s="168"/>
      <c r="O207" s="168"/>
      <c r="P207" s="168"/>
      <c r="Q207" s="168"/>
      <c r="R207" s="168"/>
      <c r="S207" s="168"/>
      <c r="T207" s="168"/>
      <c r="U207" s="168"/>
      <c r="V207" s="168"/>
      <c r="W207" s="168"/>
      <c r="X207" s="168"/>
      <c r="Y207" s="168"/>
      <c r="Z207" s="168"/>
    </row>
    <row r="208" customFormat="false" ht="15.75" hidden="false" customHeight="false" outlineLevel="0" collapsed="false">
      <c r="A208" s="168"/>
      <c r="B208" s="168"/>
      <c r="C208" s="168"/>
      <c r="D208" s="168"/>
      <c r="E208" s="168"/>
      <c r="F208" s="168"/>
      <c r="G208" s="168"/>
      <c r="H208" s="168"/>
      <c r="I208" s="168"/>
      <c r="J208" s="168"/>
      <c r="K208" s="168"/>
      <c r="L208" s="168"/>
      <c r="M208" s="168"/>
      <c r="N208" s="168"/>
      <c r="O208" s="168"/>
      <c r="P208" s="168"/>
      <c r="Q208" s="168"/>
      <c r="R208" s="168"/>
      <c r="S208" s="168"/>
      <c r="T208" s="168"/>
      <c r="U208" s="168"/>
      <c r="V208" s="168"/>
      <c r="W208" s="168"/>
      <c r="X208" s="168"/>
      <c r="Y208" s="168"/>
      <c r="Z208" s="168"/>
    </row>
    <row r="209" customFormat="false" ht="15.75" hidden="false" customHeight="false" outlineLevel="0" collapsed="false">
      <c r="A209" s="168"/>
      <c r="B209" s="168"/>
      <c r="C209" s="168"/>
      <c r="D209" s="168"/>
      <c r="E209" s="168"/>
      <c r="F209" s="168"/>
      <c r="G209" s="168"/>
      <c r="H209" s="168"/>
      <c r="I209" s="168"/>
      <c r="J209" s="168"/>
      <c r="K209" s="168"/>
      <c r="L209" s="168"/>
      <c r="M209" s="168"/>
      <c r="N209" s="168"/>
      <c r="O209" s="168"/>
      <c r="P209" s="168"/>
      <c r="Q209" s="168"/>
      <c r="R209" s="168"/>
      <c r="S209" s="168"/>
      <c r="T209" s="168"/>
      <c r="U209" s="168"/>
      <c r="V209" s="168"/>
      <c r="W209" s="168"/>
      <c r="X209" s="168"/>
      <c r="Y209" s="168"/>
      <c r="Z209" s="168"/>
    </row>
    <row r="210" customFormat="false" ht="15.75" hidden="false" customHeight="false" outlineLevel="0" collapsed="false">
      <c r="A210" s="168"/>
      <c r="B210" s="168"/>
      <c r="C210" s="168"/>
      <c r="D210" s="168"/>
      <c r="E210" s="168"/>
      <c r="F210" s="168"/>
      <c r="G210" s="168"/>
      <c r="H210" s="168"/>
      <c r="I210" s="168"/>
      <c r="J210" s="168"/>
      <c r="K210" s="168"/>
      <c r="L210" s="168"/>
      <c r="M210" s="168"/>
      <c r="N210" s="168"/>
      <c r="O210" s="168"/>
      <c r="P210" s="168"/>
      <c r="Q210" s="168"/>
      <c r="R210" s="168"/>
      <c r="S210" s="168"/>
      <c r="T210" s="168"/>
      <c r="U210" s="168"/>
      <c r="V210" s="168"/>
      <c r="W210" s="168"/>
      <c r="X210" s="168"/>
      <c r="Y210" s="168"/>
      <c r="Z210" s="168"/>
    </row>
    <row r="211" customFormat="false" ht="15.75" hidden="false" customHeight="false" outlineLevel="0" collapsed="false">
      <c r="A211" s="168"/>
      <c r="B211" s="168"/>
      <c r="C211" s="168"/>
      <c r="D211" s="168"/>
      <c r="E211" s="168"/>
      <c r="F211" s="168"/>
      <c r="G211" s="168"/>
      <c r="H211" s="168"/>
      <c r="I211" s="168"/>
      <c r="J211" s="168"/>
      <c r="K211" s="168"/>
      <c r="L211" s="168"/>
      <c r="M211" s="168"/>
      <c r="N211" s="168"/>
      <c r="O211" s="168"/>
      <c r="P211" s="168"/>
      <c r="Q211" s="168"/>
      <c r="R211" s="168"/>
      <c r="S211" s="168"/>
      <c r="T211" s="168"/>
      <c r="U211" s="168"/>
      <c r="V211" s="168"/>
      <c r="W211" s="168"/>
      <c r="X211" s="168"/>
      <c r="Y211" s="168"/>
      <c r="Z211" s="168"/>
    </row>
    <row r="212" customFormat="false" ht="15.75" hidden="false" customHeight="false" outlineLevel="0" collapsed="false">
      <c r="A212" s="168"/>
      <c r="B212" s="168"/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8"/>
      <c r="O212" s="168"/>
      <c r="P212" s="168"/>
      <c r="Q212" s="168"/>
      <c r="R212" s="168"/>
      <c r="S212" s="168"/>
      <c r="T212" s="168"/>
      <c r="U212" s="168"/>
      <c r="V212" s="168"/>
      <c r="W212" s="168"/>
      <c r="X212" s="168"/>
      <c r="Y212" s="168"/>
      <c r="Z212" s="168"/>
    </row>
    <row r="213" customFormat="false" ht="15.75" hidden="false" customHeight="false" outlineLevel="0" collapsed="false">
      <c r="A213" s="168"/>
      <c r="B213" s="168"/>
      <c r="C213" s="168"/>
      <c r="D213" s="168"/>
      <c r="E213" s="168"/>
      <c r="F213" s="168"/>
      <c r="G213" s="168"/>
      <c r="H213" s="168"/>
      <c r="I213" s="168"/>
      <c r="J213" s="168"/>
      <c r="K213" s="168"/>
      <c r="L213" s="168"/>
      <c r="M213" s="168"/>
      <c r="N213" s="168"/>
      <c r="O213" s="168"/>
      <c r="P213" s="168"/>
      <c r="Q213" s="168"/>
      <c r="R213" s="168"/>
      <c r="S213" s="168"/>
      <c r="T213" s="168"/>
      <c r="U213" s="168"/>
      <c r="V213" s="168"/>
      <c r="W213" s="168"/>
      <c r="X213" s="168"/>
      <c r="Y213" s="168"/>
      <c r="Z213" s="168"/>
    </row>
    <row r="214" customFormat="false" ht="15.75" hidden="false" customHeight="false" outlineLevel="0" collapsed="false">
      <c r="A214" s="168"/>
      <c r="B214" s="168"/>
      <c r="C214" s="168"/>
      <c r="D214" s="168"/>
      <c r="E214" s="168"/>
      <c r="F214" s="168"/>
      <c r="G214" s="168"/>
      <c r="H214" s="168"/>
      <c r="I214" s="168"/>
      <c r="J214" s="168"/>
      <c r="K214" s="168"/>
      <c r="L214" s="168"/>
      <c r="M214" s="168"/>
      <c r="N214" s="168"/>
      <c r="O214" s="168"/>
      <c r="P214" s="168"/>
      <c r="Q214" s="168"/>
      <c r="R214" s="168"/>
      <c r="S214" s="168"/>
      <c r="T214" s="168"/>
      <c r="U214" s="168"/>
      <c r="V214" s="168"/>
      <c r="W214" s="168"/>
      <c r="X214" s="168"/>
      <c r="Y214" s="168"/>
      <c r="Z214" s="168"/>
    </row>
    <row r="215" customFormat="false" ht="15.75" hidden="false" customHeight="false" outlineLevel="0" collapsed="false">
      <c r="A215" s="168"/>
      <c r="B215" s="168"/>
      <c r="C215" s="168"/>
      <c r="D215" s="168"/>
      <c r="E215" s="168"/>
      <c r="F215" s="168"/>
      <c r="G215" s="168"/>
      <c r="H215" s="168"/>
      <c r="I215" s="168"/>
      <c r="J215" s="168"/>
      <c r="K215" s="168"/>
      <c r="L215" s="168"/>
      <c r="M215" s="168"/>
      <c r="N215" s="168"/>
      <c r="O215" s="168"/>
      <c r="P215" s="168"/>
      <c r="Q215" s="168"/>
      <c r="R215" s="168"/>
      <c r="S215" s="168"/>
      <c r="T215" s="168"/>
      <c r="U215" s="168"/>
      <c r="V215" s="168"/>
      <c r="W215" s="168"/>
      <c r="X215" s="168"/>
      <c r="Y215" s="168"/>
      <c r="Z215" s="168"/>
    </row>
    <row r="216" customFormat="false" ht="15.75" hidden="false" customHeight="false" outlineLevel="0" collapsed="false">
      <c r="A216" s="168"/>
      <c r="B216" s="168"/>
      <c r="C216" s="168"/>
      <c r="D216" s="168"/>
      <c r="E216" s="168"/>
      <c r="F216" s="168"/>
      <c r="G216" s="168"/>
      <c r="H216" s="168"/>
      <c r="I216" s="168"/>
      <c r="J216" s="168"/>
      <c r="K216" s="168"/>
      <c r="L216" s="168"/>
      <c r="M216" s="168"/>
      <c r="N216" s="168"/>
      <c r="O216" s="168"/>
      <c r="P216" s="168"/>
      <c r="Q216" s="168"/>
      <c r="R216" s="168"/>
      <c r="S216" s="168"/>
      <c r="T216" s="168"/>
      <c r="U216" s="168"/>
      <c r="V216" s="168"/>
      <c r="W216" s="168"/>
      <c r="X216" s="168"/>
      <c r="Y216" s="168"/>
      <c r="Z216" s="168"/>
    </row>
    <row r="217" customFormat="false" ht="15.75" hidden="false" customHeight="false" outlineLevel="0" collapsed="false">
      <c r="A217" s="168"/>
      <c r="B217" s="168"/>
      <c r="C217" s="168"/>
      <c r="D217" s="168"/>
      <c r="E217" s="168"/>
      <c r="F217" s="168"/>
      <c r="G217" s="168"/>
      <c r="H217" s="168"/>
      <c r="I217" s="168"/>
      <c r="J217" s="168"/>
      <c r="K217" s="168"/>
      <c r="L217" s="168"/>
      <c r="M217" s="168"/>
      <c r="N217" s="168"/>
      <c r="O217" s="168"/>
      <c r="P217" s="168"/>
      <c r="Q217" s="168"/>
      <c r="R217" s="168"/>
      <c r="S217" s="168"/>
      <c r="T217" s="168"/>
      <c r="U217" s="168"/>
      <c r="V217" s="168"/>
      <c r="W217" s="168"/>
      <c r="X217" s="168"/>
      <c r="Y217" s="168"/>
      <c r="Z217" s="168"/>
    </row>
    <row r="218" customFormat="false" ht="15.75" hidden="false" customHeight="false" outlineLevel="0" collapsed="false">
      <c r="A218" s="168"/>
      <c r="B218" s="168"/>
      <c r="C218" s="168"/>
      <c r="D218" s="168"/>
      <c r="E218" s="168"/>
      <c r="F218" s="168"/>
      <c r="G218" s="168"/>
      <c r="H218" s="168"/>
      <c r="I218" s="168"/>
      <c r="J218" s="168"/>
      <c r="K218" s="168"/>
      <c r="L218" s="168"/>
      <c r="M218" s="168"/>
      <c r="N218" s="168"/>
      <c r="O218" s="168"/>
      <c r="P218" s="168"/>
      <c r="Q218" s="168"/>
      <c r="R218" s="168"/>
      <c r="S218" s="168"/>
      <c r="T218" s="168"/>
      <c r="U218" s="168"/>
      <c r="V218" s="168"/>
      <c r="W218" s="168"/>
      <c r="X218" s="168"/>
      <c r="Y218" s="168"/>
      <c r="Z218" s="168"/>
    </row>
    <row r="219" customFormat="false" ht="15.75" hidden="false" customHeight="false" outlineLevel="0" collapsed="false">
      <c r="A219" s="168"/>
      <c r="B219" s="168"/>
      <c r="C219" s="168"/>
      <c r="D219" s="168"/>
      <c r="E219" s="168"/>
      <c r="F219" s="168"/>
      <c r="G219" s="168"/>
      <c r="H219" s="168"/>
      <c r="I219" s="168"/>
      <c r="J219" s="168"/>
      <c r="K219" s="168"/>
      <c r="L219" s="168"/>
      <c r="M219" s="168"/>
      <c r="N219" s="168"/>
      <c r="O219" s="168"/>
      <c r="P219" s="168"/>
      <c r="Q219" s="168"/>
      <c r="R219" s="168"/>
      <c r="S219" s="168"/>
      <c r="T219" s="168"/>
      <c r="U219" s="168"/>
      <c r="V219" s="168"/>
      <c r="W219" s="168"/>
      <c r="X219" s="168"/>
      <c r="Y219" s="168"/>
      <c r="Z219" s="168"/>
    </row>
    <row r="220" customFormat="false" ht="15.75" hidden="false" customHeight="false" outlineLevel="0" collapsed="false">
      <c r="A220" s="168"/>
      <c r="B220" s="168"/>
      <c r="C220" s="168"/>
      <c r="D220" s="168"/>
      <c r="E220" s="168"/>
      <c r="F220" s="168"/>
      <c r="G220" s="168"/>
      <c r="H220" s="168"/>
      <c r="I220" s="168"/>
      <c r="J220" s="168"/>
      <c r="K220" s="168"/>
      <c r="L220" s="168"/>
      <c r="M220" s="168"/>
      <c r="N220" s="168"/>
      <c r="O220" s="168"/>
      <c r="P220" s="168"/>
      <c r="Q220" s="168"/>
      <c r="R220" s="168"/>
      <c r="S220" s="168"/>
      <c r="T220" s="168"/>
      <c r="U220" s="168"/>
      <c r="V220" s="168"/>
      <c r="W220" s="168"/>
      <c r="X220" s="168"/>
      <c r="Y220" s="168"/>
      <c r="Z220" s="168"/>
    </row>
    <row r="221" customFormat="false" ht="15.75" hidden="false" customHeight="false" outlineLevel="0" collapsed="false">
      <c r="A221" s="168"/>
      <c r="B221" s="168"/>
      <c r="C221" s="168"/>
      <c r="D221" s="168"/>
      <c r="E221" s="168"/>
      <c r="F221" s="168"/>
      <c r="G221" s="168"/>
      <c r="H221" s="168"/>
      <c r="I221" s="168"/>
      <c r="J221" s="168"/>
      <c r="K221" s="168"/>
      <c r="L221" s="168"/>
      <c r="M221" s="168"/>
      <c r="N221" s="168"/>
      <c r="O221" s="168"/>
      <c r="P221" s="168"/>
      <c r="Q221" s="168"/>
      <c r="R221" s="168"/>
      <c r="S221" s="168"/>
      <c r="T221" s="168"/>
      <c r="U221" s="168"/>
      <c r="V221" s="168"/>
      <c r="W221" s="168"/>
      <c r="X221" s="168"/>
      <c r="Y221" s="168"/>
      <c r="Z221" s="168"/>
    </row>
    <row r="222" customFormat="false" ht="15.75" hidden="false" customHeight="false" outlineLevel="0" collapsed="false">
      <c r="A222" s="168"/>
      <c r="B222" s="168"/>
      <c r="C222" s="168"/>
      <c r="D222" s="168"/>
      <c r="E222" s="168"/>
      <c r="F222" s="168"/>
      <c r="G222" s="168"/>
      <c r="H222" s="168"/>
      <c r="I222" s="168"/>
      <c r="J222" s="168"/>
      <c r="K222" s="168"/>
      <c r="L222" s="168"/>
      <c r="M222" s="168"/>
      <c r="N222" s="168"/>
      <c r="O222" s="168"/>
      <c r="P222" s="168"/>
      <c r="Q222" s="168"/>
      <c r="R222" s="168"/>
      <c r="S222" s="168"/>
      <c r="T222" s="168"/>
      <c r="U222" s="168"/>
      <c r="V222" s="168"/>
      <c r="W222" s="168"/>
      <c r="X222" s="168"/>
      <c r="Y222" s="168"/>
      <c r="Z222" s="168"/>
    </row>
    <row r="223" customFormat="false" ht="15.75" hidden="false" customHeight="false" outlineLevel="0" collapsed="false">
      <c r="A223" s="168"/>
      <c r="B223" s="168"/>
      <c r="C223" s="168"/>
      <c r="D223" s="168"/>
      <c r="E223" s="168"/>
      <c r="F223" s="168"/>
      <c r="G223" s="168"/>
      <c r="H223" s="168"/>
      <c r="I223" s="168"/>
      <c r="J223" s="168"/>
      <c r="K223" s="168"/>
      <c r="L223" s="168"/>
      <c r="M223" s="168"/>
      <c r="N223" s="168"/>
      <c r="O223" s="168"/>
      <c r="P223" s="168"/>
      <c r="Q223" s="168"/>
      <c r="R223" s="168"/>
      <c r="S223" s="168"/>
      <c r="T223" s="168"/>
      <c r="U223" s="168"/>
      <c r="V223" s="168"/>
      <c r="W223" s="168"/>
      <c r="X223" s="168"/>
      <c r="Y223" s="168"/>
      <c r="Z223" s="168"/>
    </row>
    <row r="224" customFormat="false" ht="15.75" hidden="false" customHeight="false" outlineLevel="0" collapsed="false">
      <c r="A224" s="168"/>
      <c r="B224" s="168"/>
      <c r="C224" s="168"/>
      <c r="D224" s="168"/>
      <c r="E224" s="168"/>
      <c r="F224" s="168"/>
      <c r="G224" s="168"/>
      <c r="H224" s="168"/>
      <c r="I224" s="168"/>
      <c r="J224" s="168"/>
      <c r="K224" s="168"/>
      <c r="L224" s="168"/>
      <c r="M224" s="168"/>
      <c r="N224" s="168"/>
      <c r="O224" s="168"/>
      <c r="P224" s="168"/>
      <c r="Q224" s="168"/>
      <c r="R224" s="168"/>
      <c r="S224" s="168"/>
      <c r="T224" s="168"/>
      <c r="U224" s="168"/>
      <c r="V224" s="168"/>
      <c r="W224" s="168"/>
      <c r="X224" s="168"/>
      <c r="Y224" s="168"/>
      <c r="Z224" s="168"/>
    </row>
    <row r="225" customFormat="false" ht="15.75" hidden="false" customHeight="false" outlineLevel="0" collapsed="false">
      <c r="A225" s="168"/>
      <c r="B225" s="168"/>
      <c r="C225" s="168"/>
      <c r="D225" s="168"/>
      <c r="E225" s="168"/>
      <c r="F225" s="168"/>
      <c r="G225" s="168"/>
      <c r="H225" s="168"/>
      <c r="I225" s="168"/>
      <c r="J225" s="168"/>
      <c r="K225" s="168"/>
      <c r="L225" s="168"/>
      <c r="M225" s="168"/>
      <c r="N225" s="168"/>
      <c r="O225" s="168"/>
      <c r="P225" s="168"/>
      <c r="Q225" s="168"/>
      <c r="R225" s="168"/>
      <c r="S225" s="168"/>
      <c r="T225" s="168"/>
      <c r="U225" s="168"/>
      <c r="V225" s="168"/>
      <c r="W225" s="168"/>
      <c r="X225" s="168"/>
      <c r="Y225" s="168"/>
      <c r="Z225" s="168"/>
    </row>
    <row r="226" customFormat="false" ht="15.75" hidden="false" customHeight="false" outlineLevel="0" collapsed="false">
      <c r="A226" s="168"/>
      <c r="B226" s="168"/>
      <c r="C226" s="168"/>
      <c r="D226" s="168"/>
      <c r="E226" s="168"/>
      <c r="F226" s="168"/>
      <c r="G226" s="168"/>
      <c r="H226" s="168"/>
      <c r="I226" s="168"/>
      <c r="J226" s="168"/>
      <c r="K226" s="168"/>
      <c r="L226" s="168"/>
      <c r="M226" s="168"/>
      <c r="N226" s="168"/>
      <c r="O226" s="168"/>
      <c r="P226" s="168"/>
      <c r="Q226" s="168"/>
      <c r="R226" s="168"/>
      <c r="S226" s="168"/>
      <c r="T226" s="168"/>
      <c r="U226" s="168"/>
      <c r="V226" s="168"/>
      <c r="W226" s="168"/>
      <c r="X226" s="168"/>
      <c r="Y226" s="168"/>
      <c r="Z226" s="168"/>
    </row>
    <row r="227" customFormat="false" ht="15.75" hidden="false" customHeight="false" outlineLevel="0" collapsed="false">
      <c r="A227" s="168"/>
      <c r="B227" s="168"/>
      <c r="C227" s="168"/>
      <c r="D227" s="168"/>
      <c r="E227" s="168"/>
      <c r="F227" s="168"/>
      <c r="G227" s="168"/>
      <c r="H227" s="168"/>
      <c r="I227" s="168"/>
      <c r="J227" s="168"/>
      <c r="K227" s="168"/>
      <c r="L227" s="168"/>
      <c r="M227" s="168"/>
      <c r="N227" s="168"/>
      <c r="O227" s="168"/>
      <c r="P227" s="168"/>
      <c r="Q227" s="168"/>
      <c r="R227" s="168"/>
      <c r="S227" s="168"/>
      <c r="T227" s="168"/>
      <c r="U227" s="168"/>
      <c r="V227" s="168"/>
      <c r="W227" s="168"/>
      <c r="X227" s="168"/>
      <c r="Y227" s="168"/>
      <c r="Z227" s="168"/>
    </row>
    <row r="228" customFormat="false" ht="15.75" hidden="false" customHeight="false" outlineLevel="0" collapsed="false">
      <c r="A228" s="168"/>
      <c r="B228" s="168"/>
      <c r="C228" s="168"/>
      <c r="D228" s="168"/>
      <c r="E228" s="168"/>
      <c r="F228" s="168"/>
      <c r="G228" s="168"/>
      <c r="H228" s="168"/>
      <c r="I228" s="168"/>
      <c r="J228" s="168"/>
      <c r="K228" s="168"/>
      <c r="L228" s="168"/>
      <c r="M228" s="168"/>
      <c r="N228" s="168"/>
      <c r="O228" s="168"/>
      <c r="P228" s="168"/>
      <c r="Q228" s="168"/>
      <c r="R228" s="168"/>
      <c r="S228" s="168"/>
      <c r="T228" s="168"/>
      <c r="U228" s="168"/>
      <c r="V228" s="168"/>
      <c r="W228" s="168"/>
      <c r="X228" s="168"/>
      <c r="Y228" s="168"/>
      <c r="Z228" s="168"/>
    </row>
    <row r="229" customFormat="false" ht="15.75" hidden="false" customHeight="false" outlineLevel="0" collapsed="false">
      <c r="A229" s="168"/>
      <c r="B229" s="168"/>
      <c r="C229" s="168"/>
      <c r="D229" s="168"/>
      <c r="E229" s="168"/>
      <c r="F229" s="168"/>
      <c r="G229" s="168"/>
      <c r="H229" s="168"/>
      <c r="I229" s="168"/>
      <c r="J229" s="168"/>
      <c r="K229" s="168"/>
      <c r="L229" s="168"/>
      <c r="M229" s="168"/>
      <c r="N229" s="168"/>
      <c r="O229" s="168"/>
      <c r="P229" s="168"/>
      <c r="Q229" s="168"/>
      <c r="R229" s="168"/>
      <c r="S229" s="168"/>
      <c r="T229" s="168"/>
      <c r="U229" s="168"/>
      <c r="V229" s="168"/>
      <c r="W229" s="168"/>
      <c r="X229" s="168"/>
      <c r="Y229" s="168"/>
      <c r="Z229" s="168"/>
    </row>
    <row r="230" customFormat="false" ht="15.75" hidden="false" customHeight="false" outlineLevel="0" collapsed="false">
      <c r="A230" s="168"/>
      <c r="B230" s="168"/>
      <c r="C230" s="168"/>
      <c r="D230" s="168"/>
      <c r="E230" s="168"/>
      <c r="F230" s="168"/>
      <c r="G230" s="168"/>
      <c r="H230" s="168"/>
      <c r="I230" s="168"/>
      <c r="J230" s="168"/>
      <c r="K230" s="168"/>
      <c r="L230" s="168"/>
      <c r="M230" s="168"/>
      <c r="N230" s="168"/>
      <c r="O230" s="168"/>
      <c r="P230" s="168"/>
      <c r="Q230" s="168"/>
      <c r="R230" s="168"/>
      <c r="S230" s="168"/>
      <c r="T230" s="168"/>
      <c r="U230" s="168"/>
      <c r="V230" s="168"/>
      <c r="W230" s="168"/>
      <c r="X230" s="168"/>
      <c r="Y230" s="168"/>
      <c r="Z230" s="168"/>
    </row>
    <row r="231" customFormat="false" ht="15.75" hidden="false" customHeight="false" outlineLevel="0" collapsed="false">
      <c r="A231" s="168"/>
      <c r="B231" s="168"/>
      <c r="C231" s="168"/>
      <c r="D231" s="168"/>
      <c r="E231" s="168"/>
      <c r="F231" s="168"/>
      <c r="G231" s="168"/>
      <c r="H231" s="168"/>
      <c r="I231" s="168"/>
      <c r="J231" s="168"/>
      <c r="K231" s="168"/>
      <c r="L231" s="168"/>
      <c r="M231" s="168"/>
      <c r="N231" s="168"/>
      <c r="O231" s="168"/>
      <c r="P231" s="168"/>
      <c r="Q231" s="168"/>
      <c r="R231" s="168"/>
      <c r="S231" s="168"/>
      <c r="T231" s="168"/>
      <c r="U231" s="168"/>
      <c r="V231" s="168"/>
      <c r="W231" s="168"/>
      <c r="X231" s="168"/>
      <c r="Y231" s="168"/>
      <c r="Z231" s="168"/>
    </row>
    <row r="232" customFormat="false" ht="15.75" hidden="false" customHeight="false" outlineLevel="0" collapsed="false">
      <c r="A232" s="168"/>
      <c r="B232" s="168"/>
      <c r="C232" s="168"/>
      <c r="D232" s="168"/>
      <c r="E232" s="168"/>
      <c r="F232" s="168"/>
      <c r="G232" s="168"/>
      <c r="H232" s="168"/>
      <c r="I232" s="168"/>
      <c r="J232" s="168"/>
      <c r="K232" s="168"/>
      <c r="L232" s="168"/>
      <c r="M232" s="168"/>
      <c r="N232" s="168"/>
      <c r="O232" s="168"/>
      <c r="P232" s="168"/>
      <c r="Q232" s="168"/>
      <c r="R232" s="168"/>
      <c r="S232" s="168"/>
      <c r="T232" s="168"/>
      <c r="U232" s="168"/>
      <c r="V232" s="168"/>
      <c r="W232" s="168"/>
      <c r="X232" s="168"/>
      <c r="Y232" s="168"/>
      <c r="Z232" s="168"/>
    </row>
    <row r="233" customFormat="false" ht="15.75" hidden="false" customHeight="false" outlineLevel="0" collapsed="false">
      <c r="A233" s="168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</row>
    <row r="234" customFormat="false" ht="15.75" hidden="false" customHeight="false" outlineLevel="0" collapsed="false">
      <c r="A234" s="168"/>
      <c r="B234" s="168"/>
      <c r="C234" s="168"/>
      <c r="D234" s="168"/>
      <c r="E234" s="168"/>
      <c r="F234" s="168"/>
      <c r="G234" s="168"/>
      <c r="H234" s="168"/>
      <c r="I234" s="168"/>
      <c r="J234" s="168"/>
      <c r="K234" s="168"/>
      <c r="L234" s="168"/>
      <c r="M234" s="168"/>
      <c r="N234" s="168"/>
      <c r="O234" s="168"/>
      <c r="P234" s="168"/>
      <c r="Q234" s="168"/>
      <c r="R234" s="168"/>
      <c r="S234" s="168"/>
      <c r="T234" s="168"/>
      <c r="U234" s="168"/>
      <c r="V234" s="168"/>
      <c r="W234" s="168"/>
      <c r="X234" s="168"/>
      <c r="Y234" s="168"/>
      <c r="Z234" s="168"/>
    </row>
    <row r="235" customFormat="false" ht="15.75" hidden="false" customHeight="false" outlineLevel="0" collapsed="false">
      <c r="A235" s="168"/>
      <c r="B235" s="168"/>
      <c r="C235" s="168"/>
      <c r="D235" s="168"/>
      <c r="E235" s="168"/>
      <c r="F235" s="168"/>
      <c r="G235" s="168"/>
      <c r="H235" s="168"/>
      <c r="I235" s="168"/>
      <c r="J235" s="168"/>
      <c r="K235" s="168"/>
      <c r="L235" s="168"/>
      <c r="M235" s="168"/>
      <c r="N235" s="168"/>
      <c r="O235" s="168"/>
      <c r="P235" s="168"/>
      <c r="Q235" s="168"/>
      <c r="R235" s="168"/>
      <c r="S235" s="168"/>
      <c r="T235" s="168"/>
      <c r="U235" s="168"/>
      <c r="V235" s="168"/>
      <c r="W235" s="168"/>
      <c r="X235" s="168"/>
      <c r="Y235" s="168"/>
      <c r="Z235" s="168"/>
    </row>
    <row r="236" customFormat="false" ht="15.75" hidden="false" customHeight="false" outlineLevel="0" collapsed="false">
      <c r="A236" s="168"/>
      <c r="B236" s="168"/>
      <c r="C236" s="168"/>
      <c r="D236" s="168"/>
      <c r="E236" s="168"/>
      <c r="F236" s="168"/>
      <c r="G236" s="168"/>
      <c r="H236" s="168"/>
      <c r="I236" s="168"/>
      <c r="J236" s="168"/>
      <c r="K236" s="168"/>
      <c r="L236" s="168"/>
      <c r="M236" s="168"/>
      <c r="N236" s="168"/>
      <c r="O236" s="168"/>
      <c r="P236" s="168"/>
      <c r="Q236" s="168"/>
      <c r="R236" s="168"/>
      <c r="S236" s="168"/>
      <c r="T236" s="168"/>
      <c r="U236" s="168"/>
      <c r="V236" s="168"/>
      <c r="W236" s="168"/>
      <c r="X236" s="168"/>
      <c r="Y236" s="168"/>
      <c r="Z236" s="168"/>
    </row>
    <row r="237" customFormat="false" ht="15.75" hidden="false" customHeight="false" outlineLevel="0" collapsed="false">
      <c r="A237" s="168"/>
      <c r="B237" s="168"/>
      <c r="C237" s="168"/>
      <c r="D237" s="168"/>
      <c r="E237" s="168"/>
      <c r="F237" s="168"/>
      <c r="G237" s="168"/>
      <c r="H237" s="168"/>
      <c r="I237" s="168"/>
      <c r="J237" s="168"/>
      <c r="K237" s="168"/>
      <c r="L237" s="168"/>
      <c r="M237" s="168"/>
      <c r="N237" s="168"/>
      <c r="O237" s="168"/>
      <c r="P237" s="168"/>
      <c r="Q237" s="168"/>
      <c r="R237" s="168"/>
      <c r="S237" s="168"/>
      <c r="T237" s="168"/>
      <c r="U237" s="168"/>
      <c r="V237" s="168"/>
      <c r="W237" s="168"/>
      <c r="X237" s="168"/>
      <c r="Y237" s="168"/>
      <c r="Z237" s="168"/>
    </row>
    <row r="238" customFormat="false" ht="15.75" hidden="false" customHeight="false" outlineLevel="0" collapsed="false">
      <c r="A238" s="168"/>
      <c r="B238" s="168"/>
      <c r="C238" s="168"/>
      <c r="D238" s="168"/>
      <c r="E238" s="168"/>
      <c r="F238" s="168"/>
      <c r="G238" s="168"/>
      <c r="H238" s="168"/>
      <c r="I238" s="168"/>
      <c r="J238" s="168"/>
      <c r="K238" s="168"/>
      <c r="L238" s="168"/>
      <c r="M238" s="168"/>
      <c r="N238" s="168"/>
      <c r="O238" s="168"/>
      <c r="P238" s="168"/>
      <c r="Q238" s="168"/>
      <c r="R238" s="168"/>
      <c r="S238" s="168"/>
      <c r="T238" s="168"/>
      <c r="U238" s="168"/>
      <c r="V238" s="168"/>
      <c r="W238" s="168"/>
      <c r="X238" s="168"/>
      <c r="Y238" s="168"/>
      <c r="Z238" s="168"/>
    </row>
    <row r="239" customFormat="false" ht="15.75" hidden="false" customHeight="false" outlineLevel="0" collapsed="false">
      <c r="A239" s="168"/>
      <c r="B239" s="168"/>
      <c r="C239" s="168"/>
      <c r="D239" s="168"/>
      <c r="E239" s="168"/>
      <c r="F239" s="168"/>
      <c r="G239" s="168"/>
      <c r="H239" s="168"/>
      <c r="I239" s="168"/>
      <c r="J239" s="168"/>
      <c r="K239" s="168"/>
      <c r="L239" s="168"/>
      <c r="M239" s="168"/>
      <c r="N239" s="168"/>
      <c r="O239" s="168"/>
      <c r="P239" s="168"/>
      <c r="Q239" s="168"/>
      <c r="R239" s="168"/>
      <c r="S239" s="168"/>
      <c r="T239" s="168"/>
      <c r="U239" s="168"/>
      <c r="V239" s="168"/>
      <c r="W239" s="168"/>
      <c r="X239" s="168"/>
      <c r="Y239" s="168"/>
      <c r="Z239" s="168"/>
    </row>
    <row r="240" customFormat="false" ht="15.75" hidden="false" customHeight="false" outlineLevel="0" collapsed="false">
      <c r="A240" s="168"/>
      <c r="B240" s="168"/>
      <c r="C240" s="168"/>
      <c r="D240" s="168"/>
      <c r="E240" s="168"/>
      <c r="F240" s="168"/>
      <c r="G240" s="168"/>
      <c r="H240" s="168"/>
      <c r="I240" s="168"/>
      <c r="J240" s="168"/>
      <c r="K240" s="168"/>
      <c r="L240" s="168"/>
      <c r="M240" s="168"/>
      <c r="N240" s="168"/>
      <c r="O240" s="168"/>
      <c r="P240" s="168"/>
      <c r="Q240" s="168"/>
      <c r="R240" s="168"/>
      <c r="S240" s="168"/>
      <c r="T240" s="168"/>
      <c r="U240" s="168"/>
      <c r="V240" s="168"/>
      <c r="W240" s="168"/>
      <c r="X240" s="168"/>
      <c r="Y240" s="168"/>
      <c r="Z240" s="168"/>
    </row>
    <row r="241" customFormat="false" ht="15.75" hidden="false" customHeight="false" outlineLevel="0" collapsed="false">
      <c r="A241" s="168"/>
      <c r="B241" s="168"/>
      <c r="C241" s="168"/>
      <c r="D241" s="168"/>
      <c r="E241" s="168"/>
      <c r="F241" s="168"/>
      <c r="G241" s="168"/>
      <c r="H241" s="168"/>
      <c r="I241" s="168"/>
      <c r="J241" s="168"/>
      <c r="K241" s="168"/>
      <c r="L241" s="168"/>
      <c r="M241" s="168"/>
      <c r="N241" s="168"/>
      <c r="O241" s="168"/>
      <c r="P241" s="168"/>
      <c r="Q241" s="168"/>
      <c r="R241" s="168"/>
      <c r="S241" s="168"/>
      <c r="T241" s="168"/>
      <c r="U241" s="168"/>
      <c r="V241" s="168"/>
      <c r="W241" s="168"/>
      <c r="X241" s="168"/>
      <c r="Y241" s="168"/>
      <c r="Z241" s="168"/>
    </row>
    <row r="242" customFormat="false" ht="15.75" hidden="false" customHeight="false" outlineLevel="0" collapsed="false">
      <c r="A242" s="168"/>
      <c r="B242" s="168"/>
      <c r="C242" s="168"/>
      <c r="D242" s="168"/>
      <c r="E242" s="168"/>
      <c r="F242" s="168"/>
      <c r="G242" s="168"/>
      <c r="H242" s="168"/>
      <c r="I242" s="168"/>
      <c r="J242" s="168"/>
      <c r="K242" s="168"/>
      <c r="L242" s="168"/>
      <c r="M242" s="168"/>
      <c r="N242" s="168"/>
      <c r="O242" s="168"/>
      <c r="P242" s="168"/>
      <c r="Q242" s="168"/>
      <c r="R242" s="168"/>
      <c r="S242" s="168"/>
      <c r="T242" s="168"/>
      <c r="U242" s="168"/>
      <c r="V242" s="168"/>
      <c r="W242" s="168"/>
      <c r="X242" s="168"/>
      <c r="Y242" s="168"/>
      <c r="Z242" s="168"/>
    </row>
    <row r="243" customFormat="false" ht="15.75" hidden="false" customHeight="false" outlineLevel="0" collapsed="false">
      <c r="A243" s="168"/>
      <c r="B243" s="168"/>
      <c r="C243" s="168"/>
      <c r="D243" s="168"/>
      <c r="E243" s="168"/>
      <c r="F243" s="168"/>
      <c r="G243" s="168"/>
      <c r="H243" s="168"/>
      <c r="I243" s="168"/>
      <c r="J243" s="168"/>
      <c r="K243" s="168"/>
      <c r="L243" s="168"/>
      <c r="M243" s="168"/>
      <c r="N243" s="168"/>
      <c r="O243" s="168"/>
      <c r="P243" s="168"/>
      <c r="Q243" s="168"/>
      <c r="R243" s="168"/>
      <c r="S243" s="168"/>
      <c r="T243" s="168"/>
      <c r="U243" s="168"/>
      <c r="V243" s="168"/>
      <c r="W243" s="168"/>
      <c r="X243" s="168"/>
      <c r="Y243" s="168"/>
      <c r="Z243" s="168"/>
    </row>
    <row r="244" customFormat="false" ht="15.75" hidden="false" customHeight="false" outlineLevel="0" collapsed="false">
      <c r="A244" s="168"/>
      <c r="B244" s="168"/>
      <c r="C244" s="168"/>
      <c r="D244" s="168"/>
      <c r="E244" s="168"/>
      <c r="F244" s="168"/>
      <c r="G244" s="168"/>
      <c r="H244" s="168"/>
      <c r="I244" s="168"/>
      <c r="J244" s="168"/>
      <c r="K244" s="168"/>
      <c r="L244" s="168"/>
      <c r="M244" s="168"/>
      <c r="N244" s="168"/>
      <c r="O244" s="168"/>
      <c r="P244" s="168"/>
      <c r="Q244" s="168"/>
      <c r="R244" s="168"/>
      <c r="S244" s="168"/>
      <c r="T244" s="168"/>
      <c r="U244" s="168"/>
      <c r="V244" s="168"/>
      <c r="W244" s="168"/>
      <c r="X244" s="168"/>
      <c r="Y244" s="168"/>
      <c r="Z244" s="168"/>
    </row>
    <row r="245" customFormat="false" ht="15.75" hidden="false" customHeight="false" outlineLevel="0" collapsed="false">
      <c r="A245" s="168"/>
      <c r="B245" s="168"/>
      <c r="C245" s="168"/>
      <c r="D245" s="168"/>
      <c r="E245" s="168"/>
      <c r="F245" s="168"/>
      <c r="G245" s="168"/>
      <c r="H245" s="168"/>
      <c r="I245" s="168"/>
      <c r="J245" s="168"/>
      <c r="K245" s="168"/>
      <c r="L245" s="168"/>
      <c r="M245" s="168"/>
      <c r="N245" s="168"/>
      <c r="O245" s="168"/>
      <c r="P245" s="168"/>
      <c r="Q245" s="168"/>
      <c r="R245" s="168"/>
      <c r="S245" s="168"/>
      <c r="T245" s="168"/>
      <c r="U245" s="168"/>
      <c r="V245" s="168"/>
      <c r="W245" s="168"/>
      <c r="X245" s="168"/>
      <c r="Y245" s="168"/>
      <c r="Z245" s="168"/>
    </row>
    <row r="246" customFormat="false" ht="15.75" hidden="false" customHeight="false" outlineLevel="0" collapsed="false">
      <c r="A246" s="168"/>
      <c r="B246" s="168"/>
      <c r="C246" s="168"/>
      <c r="D246" s="168"/>
      <c r="E246" s="168"/>
      <c r="F246" s="168"/>
      <c r="G246" s="168"/>
      <c r="H246" s="168"/>
      <c r="I246" s="168"/>
      <c r="J246" s="168"/>
      <c r="K246" s="168"/>
      <c r="L246" s="168"/>
      <c r="M246" s="168"/>
      <c r="N246" s="168"/>
      <c r="O246" s="168"/>
      <c r="P246" s="168"/>
      <c r="Q246" s="168"/>
      <c r="R246" s="168"/>
      <c r="S246" s="168"/>
      <c r="T246" s="168"/>
      <c r="U246" s="168"/>
      <c r="V246" s="168"/>
      <c r="W246" s="168"/>
      <c r="X246" s="168"/>
      <c r="Y246" s="168"/>
      <c r="Z246" s="168"/>
    </row>
    <row r="247" customFormat="false" ht="15.75" hidden="false" customHeight="false" outlineLevel="0" collapsed="false">
      <c r="A247" s="168"/>
      <c r="B247" s="168"/>
      <c r="C247" s="168"/>
      <c r="D247" s="168"/>
      <c r="E247" s="168"/>
      <c r="F247" s="168"/>
      <c r="G247" s="168"/>
      <c r="H247" s="168"/>
      <c r="I247" s="168"/>
      <c r="J247" s="168"/>
      <c r="K247" s="168"/>
      <c r="L247" s="168"/>
      <c r="M247" s="168"/>
      <c r="N247" s="168"/>
      <c r="O247" s="168"/>
      <c r="P247" s="168"/>
      <c r="Q247" s="168"/>
      <c r="R247" s="168"/>
      <c r="S247" s="168"/>
      <c r="T247" s="168"/>
      <c r="U247" s="168"/>
      <c r="V247" s="168"/>
      <c r="W247" s="168"/>
      <c r="X247" s="168"/>
      <c r="Y247" s="168"/>
      <c r="Z247" s="168"/>
    </row>
    <row r="248" customFormat="false" ht="15.75" hidden="false" customHeight="false" outlineLevel="0" collapsed="false">
      <c r="A248" s="168"/>
      <c r="B248" s="168"/>
      <c r="C248" s="168"/>
      <c r="D248" s="168"/>
      <c r="E248" s="168"/>
      <c r="F248" s="168"/>
      <c r="G248" s="168"/>
      <c r="H248" s="168"/>
      <c r="I248" s="168"/>
      <c r="J248" s="168"/>
      <c r="K248" s="168"/>
      <c r="L248" s="168"/>
      <c r="M248" s="168"/>
      <c r="N248" s="168"/>
      <c r="O248" s="168"/>
      <c r="P248" s="168"/>
      <c r="Q248" s="168"/>
      <c r="R248" s="168"/>
      <c r="S248" s="168"/>
      <c r="T248" s="168"/>
      <c r="U248" s="168"/>
      <c r="V248" s="168"/>
      <c r="W248" s="168"/>
      <c r="X248" s="168"/>
      <c r="Y248" s="168"/>
      <c r="Z248" s="168"/>
    </row>
    <row r="249" customFormat="false" ht="15.75" hidden="false" customHeight="false" outlineLevel="0" collapsed="false">
      <c r="A249" s="168"/>
      <c r="B249" s="168"/>
      <c r="C249" s="168"/>
      <c r="D249" s="168"/>
      <c r="E249" s="168"/>
      <c r="F249" s="168"/>
      <c r="G249" s="168"/>
      <c r="H249" s="168"/>
      <c r="I249" s="168"/>
      <c r="J249" s="168"/>
      <c r="K249" s="168"/>
      <c r="L249" s="168"/>
      <c r="M249" s="168"/>
      <c r="N249" s="168"/>
      <c r="O249" s="168"/>
      <c r="P249" s="168"/>
      <c r="Q249" s="168"/>
      <c r="R249" s="168"/>
      <c r="S249" s="168"/>
      <c r="T249" s="168"/>
      <c r="U249" s="168"/>
      <c r="V249" s="168"/>
      <c r="W249" s="168"/>
      <c r="X249" s="168"/>
      <c r="Y249" s="168"/>
      <c r="Z249" s="168"/>
    </row>
    <row r="250" customFormat="false" ht="15.75" hidden="false" customHeight="false" outlineLevel="0" collapsed="false">
      <c r="A250" s="168"/>
      <c r="B250" s="168"/>
      <c r="C250" s="168"/>
      <c r="D250" s="168"/>
      <c r="E250" s="168"/>
      <c r="F250" s="168"/>
      <c r="G250" s="168"/>
      <c r="H250" s="168"/>
      <c r="I250" s="168"/>
      <c r="J250" s="168"/>
      <c r="K250" s="168"/>
      <c r="L250" s="168"/>
      <c r="M250" s="168"/>
      <c r="N250" s="168"/>
      <c r="O250" s="168"/>
      <c r="P250" s="168"/>
      <c r="Q250" s="168"/>
      <c r="R250" s="168"/>
      <c r="S250" s="168"/>
      <c r="T250" s="168"/>
      <c r="U250" s="168"/>
      <c r="V250" s="168"/>
      <c r="W250" s="168"/>
      <c r="X250" s="168"/>
      <c r="Y250" s="168"/>
      <c r="Z250" s="168"/>
    </row>
    <row r="251" customFormat="false" ht="15.75" hidden="false" customHeight="false" outlineLevel="0" collapsed="false">
      <c r="A251" s="168"/>
      <c r="B251" s="168"/>
      <c r="C251" s="168"/>
      <c r="D251" s="168"/>
      <c r="E251" s="168"/>
      <c r="F251" s="168"/>
      <c r="G251" s="168"/>
      <c r="H251" s="168"/>
      <c r="I251" s="168"/>
      <c r="J251" s="168"/>
      <c r="K251" s="168"/>
      <c r="L251" s="168"/>
      <c r="M251" s="168"/>
      <c r="N251" s="168"/>
      <c r="O251" s="168"/>
      <c r="P251" s="168"/>
      <c r="Q251" s="168"/>
      <c r="R251" s="168"/>
      <c r="S251" s="168"/>
      <c r="T251" s="168"/>
      <c r="U251" s="168"/>
      <c r="V251" s="168"/>
      <c r="W251" s="168"/>
      <c r="X251" s="168"/>
      <c r="Y251" s="168"/>
      <c r="Z251" s="168"/>
    </row>
    <row r="252" customFormat="false" ht="15.75" hidden="false" customHeight="false" outlineLevel="0" collapsed="false">
      <c r="A252" s="168"/>
      <c r="B252" s="168"/>
      <c r="C252" s="168"/>
      <c r="D252" s="168"/>
      <c r="E252" s="168"/>
      <c r="F252" s="168"/>
      <c r="G252" s="168"/>
      <c r="H252" s="168"/>
      <c r="I252" s="168"/>
      <c r="J252" s="168"/>
      <c r="K252" s="168"/>
      <c r="L252" s="168"/>
      <c r="M252" s="168"/>
      <c r="N252" s="168"/>
      <c r="O252" s="168"/>
      <c r="P252" s="168"/>
      <c r="Q252" s="168"/>
      <c r="R252" s="168"/>
      <c r="S252" s="168"/>
      <c r="T252" s="168"/>
      <c r="U252" s="168"/>
      <c r="V252" s="168"/>
      <c r="W252" s="168"/>
      <c r="X252" s="168"/>
      <c r="Y252" s="168"/>
      <c r="Z252" s="168"/>
    </row>
    <row r="253" customFormat="false" ht="15.75" hidden="false" customHeight="false" outlineLevel="0" collapsed="false">
      <c r="A253" s="168"/>
      <c r="B253" s="168"/>
      <c r="C253" s="168"/>
      <c r="D253" s="168"/>
      <c r="E253" s="168"/>
      <c r="F253" s="168"/>
      <c r="G253" s="168"/>
      <c r="H253" s="168"/>
      <c r="I253" s="168"/>
      <c r="J253" s="168"/>
      <c r="K253" s="168"/>
      <c r="L253" s="168"/>
      <c r="M253" s="168"/>
      <c r="N253" s="168"/>
      <c r="O253" s="168"/>
      <c r="P253" s="168"/>
      <c r="Q253" s="168"/>
      <c r="R253" s="168"/>
      <c r="S253" s="168"/>
      <c r="T253" s="168"/>
      <c r="U253" s="168"/>
      <c r="V253" s="168"/>
      <c r="W253" s="168"/>
      <c r="X253" s="168"/>
      <c r="Y253" s="168"/>
      <c r="Z253" s="168"/>
    </row>
    <row r="254" customFormat="false" ht="15.75" hidden="false" customHeight="false" outlineLevel="0" collapsed="false">
      <c r="A254" s="168"/>
      <c r="B254" s="168"/>
      <c r="C254" s="168"/>
      <c r="D254" s="168"/>
      <c r="E254" s="168"/>
      <c r="F254" s="168"/>
      <c r="G254" s="168"/>
      <c r="H254" s="168"/>
      <c r="I254" s="168"/>
      <c r="J254" s="168"/>
      <c r="K254" s="168"/>
      <c r="L254" s="168"/>
      <c r="M254" s="168"/>
      <c r="N254" s="168"/>
      <c r="O254" s="168"/>
      <c r="P254" s="168"/>
      <c r="Q254" s="168"/>
      <c r="R254" s="168"/>
      <c r="S254" s="168"/>
      <c r="T254" s="168"/>
      <c r="U254" s="168"/>
      <c r="V254" s="168"/>
      <c r="W254" s="168"/>
      <c r="X254" s="168"/>
      <c r="Y254" s="168"/>
      <c r="Z254" s="168"/>
    </row>
    <row r="255" customFormat="false" ht="15.75" hidden="false" customHeight="false" outlineLevel="0" collapsed="false">
      <c r="A255" s="168"/>
      <c r="B255" s="168"/>
      <c r="C255" s="168"/>
      <c r="D255" s="168"/>
      <c r="E255" s="168"/>
      <c r="F255" s="168"/>
      <c r="G255" s="168"/>
      <c r="H255" s="168"/>
      <c r="I255" s="168"/>
      <c r="J255" s="168"/>
      <c r="K255" s="168"/>
      <c r="L255" s="168"/>
      <c r="M255" s="168"/>
      <c r="N255" s="168"/>
      <c r="O255" s="168"/>
      <c r="P255" s="168"/>
      <c r="Q255" s="168"/>
      <c r="R255" s="168"/>
      <c r="S255" s="168"/>
      <c r="T255" s="168"/>
      <c r="U255" s="168"/>
      <c r="V255" s="168"/>
      <c r="W255" s="168"/>
      <c r="X255" s="168"/>
      <c r="Y255" s="168"/>
      <c r="Z255" s="168"/>
    </row>
    <row r="256" customFormat="false" ht="15.75" hidden="false" customHeight="false" outlineLevel="0" collapsed="false">
      <c r="A256" s="168"/>
      <c r="B256" s="168"/>
      <c r="C256" s="168"/>
      <c r="D256" s="168"/>
      <c r="E256" s="168"/>
      <c r="F256" s="168"/>
      <c r="G256" s="168"/>
      <c r="H256" s="168"/>
      <c r="I256" s="168"/>
      <c r="J256" s="168"/>
      <c r="K256" s="168"/>
      <c r="L256" s="168"/>
      <c r="M256" s="168"/>
      <c r="N256" s="168"/>
      <c r="O256" s="168"/>
      <c r="P256" s="168"/>
      <c r="Q256" s="168"/>
      <c r="R256" s="168"/>
      <c r="S256" s="168"/>
      <c r="T256" s="168"/>
      <c r="U256" s="168"/>
      <c r="V256" s="168"/>
      <c r="W256" s="168"/>
      <c r="X256" s="168"/>
      <c r="Y256" s="168"/>
      <c r="Z256" s="168"/>
    </row>
    <row r="257" customFormat="false" ht="15.75" hidden="false" customHeight="false" outlineLevel="0" collapsed="false">
      <c r="A257" s="168"/>
      <c r="B257" s="168"/>
      <c r="C257" s="168"/>
      <c r="D257" s="168"/>
      <c r="E257" s="168"/>
      <c r="F257" s="168"/>
      <c r="G257" s="168"/>
      <c r="H257" s="168"/>
      <c r="I257" s="168"/>
      <c r="J257" s="168"/>
      <c r="K257" s="168"/>
      <c r="L257" s="168"/>
      <c r="M257" s="168"/>
      <c r="N257" s="168"/>
      <c r="O257" s="168"/>
      <c r="P257" s="168"/>
      <c r="Q257" s="168"/>
      <c r="R257" s="168"/>
      <c r="S257" s="168"/>
      <c r="T257" s="168"/>
      <c r="U257" s="168"/>
      <c r="V257" s="168"/>
      <c r="W257" s="168"/>
      <c r="X257" s="168"/>
      <c r="Y257" s="168"/>
      <c r="Z257" s="168"/>
    </row>
    <row r="258" customFormat="false" ht="15.75" hidden="false" customHeight="false" outlineLevel="0" collapsed="false">
      <c r="A258" s="168"/>
      <c r="B258" s="168"/>
      <c r="C258" s="168"/>
      <c r="D258" s="168"/>
      <c r="E258" s="168"/>
      <c r="F258" s="168"/>
      <c r="G258" s="168"/>
      <c r="H258" s="168"/>
      <c r="I258" s="168"/>
      <c r="J258" s="168"/>
      <c r="K258" s="168"/>
      <c r="L258" s="168"/>
      <c r="M258" s="168"/>
      <c r="N258" s="168"/>
      <c r="O258" s="168"/>
      <c r="P258" s="168"/>
      <c r="Q258" s="168"/>
      <c r="R258" s="168"/>
      <c r="S258" s="168"/>
      <c r="T258" s="168"/>
      <c r="U258" s="168"/>
      <c r="V258" s="168"/>
      <c r="W258" s="168"/>
      <c r="X258" s="168"/>
      <c r="Y258" s="168"/>
      <c r="Z258" s="168"/>
    </row>
    <row r="259" customFormat="false" ht="15.75" hidden="false" customHeight="false" outlineLevel="0" collapsed="false">
      <c r="A259" s="168"/>
      <c r="B259" s="168"/>
      <c r="C259" s="168"/>
      <c r="D259" s="168"/>
      <c r="E259" s="168"/>
      <c r="F259" s="168"/>
      <c r="G259" s="168"/>
      <c r="H259" s="168"/>
      <c r="I259" s="168"/>
      <c r="J259" s="168"/>
      <c r="K259" s="168"/>
      <c r="L259" s="168"/>
      <c r="M259" s="168"/>
      <c r="N259" s="168"/>
      <c r="O259" s="168"/>
      <c r="P259" s="168"/>
      <c r="Q259" s="168"/>
      <c r="R259" s="168"/>
      <c r="S259" s="168"/>
      <c r="T259" s="168"/>
      <c r="U259" s="168"/>
      <c r="V259" s="168"/>
      <c r="W259" s="168"/>
      <c r="X259" s="168"/>
      <c r="Y259" s="168"/>
      <c r="Z259" s="168"/>
    </row>
    <row r="260" customFormat="false" ht="15.75" hidden="false" customHeight="false" outlineLevel="0" collapsed="false">
      <c r="A260" s="168"/>
      <c r="B260" s="168"/>
      <c r="C260" s="168"/>
      <c r="D260" s="168"/>
      <c r="E260" s="168"/>
      <c r="F260" s="168"/>
      <c r="G260" s="168"/>
      <c r="H260" s="168"/>
      <c r="I260" s="168"/>
      <c r="J260" s="168"/>
      <c r="K260" s="168"/>
      <c r="L260" s="168"/>
      <c r="M260" s="168"/>
      <c r="N260" s="168"/>
      <c r="O260" s="168"/>
      <c r="P260" s="168"/>
      <c r="Q260" s="168"/>
      <c r="R260" s="168"/>
      <c r="S260" s="168"/>
      <c r="T260" s="168"/>
      <c r="U260" s="168"/>
      <c r="V260" s="168"/>
      <c r="W260" s="168"/>
      <c r="X260" s="168"/>
      <c r="Y260" s="168"/>
      <c r="Z260" s="168"/>
    </row>
    <row r="261" customFormat="false" ht="15.75" hidden="false" customHeight="false" outlineLevel="0" collapsed="false">
      <c r="A261" s="168"/>
      <c r="B261" s="168"/>
      <c r="C261" s="168"/>
      <c r="D261" s="168"/>
      <c r="E261" s="168"/>
      <c r="F261" s="168"/>
      <c r="G261" s="168"/>
      <c r="H261" s="168"/>
      <c r="I261" s="168"/>
      <c r="J261" s="168"/>
      <c r="K261" s="168"/>
      <c r="L261" s="168"/>
      <c r="M261" s="168"/>
      <c r="N261" s="168"/>
      <c r="O261" s="168"/>
      <c r="P261" s="168"/>
      <c r="Q261" s="168"/>
      <c r="R261" s="168"/>
      <c r="S261" s="168"/>
      <c r="T261" s="168"/>
      <c r="U261" s="168"/>
      <c r="V261" s="168"/>
      <c r="W261" s="168"/>
      <c r="X261" s="168"/>
      <c r="Y261" s="168"/>
      <c r="Z261" s="168"/>
    </row>
    <row r="262" customFormat="false" ht="15.75" hidden="false" customHeight="false" outlineLevel="0" collapsed="false">
      <c r="A262" s="168"/>
      <c r="B262" s="168"/>
      <c r="C262" s="168"/>
      <c r="D262" s="168"/>
      <c r="E262" s="168"/>
      <c r="F262" s="168"/>
      <c r="G262" s="168"/>
      <c r="H262" s="168"/>
      <c r="I262" s="168"/>
      <c r="J262" s="168"/>
      <c r="K262" s="168"/>
      <c r="L262" s="168"/>
      <c r="M262" s="168"/>
      <c r="N262" s="168"/>
      <c r="O262" s="168"/>
      <c r="P262" s="168"/>
      <c r="Q262" s="168"/>
      <c r="R262" s="168"/>
      <c r="S262" s="168"/>
      <c r="T262" s="168"/>
      <c r="U262" s="168"/>
      <c r="V262" s="168"/>
      <c r="W262" s="168"/>
      <c r="X262" s="168"/>
      <c r="Y262" s="168"/>
      <c r="Z262" s="168"/>
    </row>
    <row r="263" customFormat="false" ht="15.75" hidden="false" customHeight="false" outlineLevel="0" collapsed="false">
      <c r="A263" s="168"/>
      <c r="B263" s="168"/>
      <c r="C263" s="168"/>
      <c r="D263" s="168"/>
      <c r="E263" s="168"/>
      <c r="F263" s="168"/>
      <c r="G263" s="168"/>
      <c r="H263" s="168"/>
      <c r="I263" s="168"/>
      <c r="J263" s="168"/>
      <c r="K263" s="168"/>
      <c r="L263" s="168"/>
      <c r="M263" s="168"/>
      <c r="N263" s="168"/>
      <c r="O263" s="168"/>
      <c r="P263" s="168"/>
      <c r="Q263" s="168"/>
      <c r="R263" s="168"/>
      <c r="S263" s="168"/>
      <c r="T263" s="168"/>
      <c r="U263" s="168"/>
      <c r="V263" s="168"/>
      <c r="W263" s="168"/>
      <c r="X263" s="168"/>
      <c r="Y263" s="168"/>
      <c r="Z263" s="168"/>
    </row>
    <row r="264" customFormat="false" ht="15.75" hidden="false" customHeight="false" outlineLevel="0" collapsed="false">
      <c r="A264" s="168"/>
      <c r="B264" s="168"/>
      <c r="C264" s="168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  <c r="N264" s="168"/>
      <c r="O264" s="168"/>
      <c r="P264" s="168"/>
      <c r="Q264" s="168"/>
      <c r="R264" s="168"/>
      <c r="S264" s="168"/>
      <c r="T264" s="168"/>
      <c r="U264" s="168"/>
      <c r="V264" s="168"/>
      <c r="W264" s="168"/>
      <c r="X264" s="168"/>
      <c r="Y264" s="168"/>
      <c r="Z264" s="168"/>
    </row>
    <row r="265" customFormat="false" ht="15.75" hidden="false" customHeight="false" outlineLevel="0" collapsed="false">
      <c r="A265" s="168"/>
      <c r="B265" s="168"/>
      <c r="C265" s="168"/>
      <c r="D265" s="168"/>
      <c r="E265" s="168"/>
      <c r="F265" s="168"/>
      <c r="G265" s="168"/>
      <c r="H265" s="168"/>
      <c r="I265" s="168"/>
      <c r="J265" s="168"/>
      <c r="K265" s="168"/>
      <c r="L265" s="168"/>
      <c r="M265" s="168"/>
      <c r="N265" s="168"/>
      <c r="O265" s="168"/>
      <c r="P265" s="168"/>
      <c r="Q265" s="168"/>
      <c r="R265" s="168"/>
      <c r="S265" s="168"/>
      <c r="T265" s="168"/>
      <c r="U265" s="168"/>
      <c r="V265" s="168"/>
      <c r="W265" s="168"/>
      <c r="X265" s="168"/>
      <c r="Y265" s="168"/>
      <c r="Z265" s="168"/>
    </row>
    <row r="266" customFormat="false" ht="15.75" hidden="false" customHeight="false" outlineLevel="0" collapsed="false">
      <c r="A266" s="168"/>
      <c r="B266" s="168"/>
      <c r="C266" s="168"/>
      <c r="D266" s="168"/>
      <c r="E266" s="168"/>
      <c r="F266" s="168"/>
      <c r="G266" s="168"/>
      <c r="H266" s="168"/>
      <c r="I266" s="168"/>
      <c r="J266" s="168"/>
      <c r="K266" s="168"/>
      <c r="L266" s="168"/>
      <c r="M266" s="168"/>
      <c r="N266" s="168"/>
      <c r="O266" s="168"/>
      <c r="P266" s="168"/>
      <c r="Q266" s="168"/>
      <c r="R266" s="168"/>
      <c r="S266" s="168"/>
      <c r="T266" s="168"/>
      <c r="U266" s="168"/>
      <c r="V266" s="168"/>
      <c r="W266" s="168"/>
      <c r="X266" s="168"/>
      <c r="Y266" s="168"/>
      <c r="Z266" s="168"/>
    </row>
    <row r="267" customFormat="false" ht="15.75" hidden="false" customHeight="false" outlineLevel="0" collapsed="false">
      <c r="A267" s="168"/>
      <c r="B267" s="168"/>
      <c r="C267" s="168"/>
      <c r="D267" s="168"/>
      <c r="E267" s="168"/>
      <c r="F267" s="168"/>
      <c r="G267" s="168"/>
      <c r="H267" s="168"/>
      <c r="I267" s="168"/>
      <c r="J267" s="168"/>
      <c r="K267" s="168"/>
      <c r="L267" s="168"/>
      <c r="M267" s="168"/>
      <c r="N267" s="168"/>
      <c r="O267" s="168"/>
      <c r="P267" s="168"/>
      <c r="Q267" s="168"/>
      <c r="R267" s="168"/>
      <c r="S267" s="168"/>
      <c r="T267" s="168"/>
      <c r="U267" s="168"/>
      <c r="V267" s="168"/>
      <c r="W267" s="168"/>
      <c r="X267" s="168"/>
      <c r="Y267" s="168"/>
      <c r="Z267" s="168"/>
    </row>
    <row r="268" customFormat="false" ht="15.75" hidden="false" customHeight="false" outlineLevel="0" collapsed="false">
      <c r="A268" s="168"/>
      <c r="B268" s="168"/>
      <c r="C268" s="168"/>
      <c r="D268" s="168"/>
      <c r="E268" s="168"/>
      <c r="F268" s="168"/>
      <c r="G268" s="168"/>
      <c r="H268" s="168"/>
      <c r="I268" s="168"/>
      <c r="J268" s="168"/>
      <c r="K268" s="168"/>
      <c r="L268" s="168"/>
      <c r="M268" s="168"/>
      <c r="N268" s="168"/>
      <c r="O268" s="168"/>
      <c r="P268" s="168"/>
      <c r="Q268" s="168"/>
      <c r="R268" s="168"/>
      <c r="S268" s="168"/>
      <c r="T268" s="168"/>
      <c r="U268" s="168"/>
      <c r="V268" s="168"/>
      <c r="W268" s="168"/>
      <c r="X268" s="168"/>
      <c r="Y268" s="168"/>
      <c r="Z268" s="168"/>
    </row>
    <row r="269" customFormat="false" ht="15.75" hidden="false" customHeight="false" outlineLevel="0" collapsed="false">
      <c r="A269" s="168"/>
      <c r="B269" s="168"/>
      <c r="C269" s="168"/>
      <c r="D269" s="168"/>
      <c r="E269" s="168"/>
      <c r="F269" s="168"/>
      <c r="G269" s="168"/>
      <c r="H269" s="168"/>
      <c r="I269" s="168"/>
      <c r="J269" s="168"/>
      <c r="K269" s="168"/>
      <c r="L269" s="168"/>
      <c r="M269" s="168"/>
      <c r="N269" s="168"/>
      <c r="O269" s="168"/>
      <c r="P269" s="168"/>
      <c r="Q269" s="168"/>
      <c r="R269" s="168"/>
      <c r="S269" s="168"/>
      <c r="T269" s="168"/>
      <c r="U269" s="168"/>
      <c r="V269" s="168"/>
      <c r="W269" s="168"/>
      <c r="X269" s="168"/>
      <c r="Y269" s="168"/>
      <c r="Z269" s="168"/>
    </row>
    <row r="270" customFormat="false" ht="15.75" hidden="false" customHeight="false" outlineLevel="0" collapsed="false">
      <c r="A270" s="168"/>
      <c r="B270" s="168"/>
      <c r="C270" s="168"/>
      <c r="D270" s="168"/>
      <c r="E270" s="168"/>
      <c r="F270" s="168"/>
      <c r="G270" s="168"/>
      <c r="H270" s="168"/>
      <c r="I270" s="168"/>
      <c r="J270" s="168"/>
      <c r="K270" s="168"/>
      <c r="L270" s="168"/>
      <c r="M270" s="168"/>
      <c r="N270" s="168"/>
      <c r="O270" s="168"/>
      <c r="P270" s="168"/>
      <c r="Q270" s="168"/>
      <c r="R270" s="168"/>
      <c r="S270" s="168"/>
      <c r="T270" s="168"/>
      <c r="U270" s="168"/>
      <c r="V270" s="168"/>
      <c r="W270" s="168"/>
      <c r="X270" s="168"/>
      <c r="Y270" s="168"/>
      <c r="Z270" s="168"/>
    </row>
    <row r="271" customFormat="false" ht="15.75" hidden="false" customHeight="false" outlineLevel="0" collapsed="false">
      <c r="A271" s="168"/>
      <c r="B271" s="168"/>
      <c r="C271" s="168"/>
      <c r="D271" s="168"/>
      <c r="E271" s="168"/>
      <c r="F271" s="168"/>
      <c r="G271" s="168"/>
      <c r="H271" s="168"/>
      <c r="I271" s="168"/>
      <c r="J271" s="168"/>
      <c r="K271" s="168"/>
      <c r="L271" s="168"/>
      <c r="M271" s="168"/>
      <c r="N271" s="168"/>
      <c r="O271" s="168"/>
      <c r="P271" s="168"/>
      <c r="Q271" s="168"/>
      <c r="R271" s="168"/>
      <c r="S271" s="168"/>
      <c r="T271" s="168"/>
      <c r="U271" s="168"/>
      <c r="V271" s="168"/>
      <c r="W271" s="168"/>
      <c r="X271" s="168"/>
      <c r="Y271" s="168"/>
      <c r="Z271" s="168"/>
    </row>
    <row r="272" customFormat="false" ht="15.75" hidden="false" customHeight="false" outlineLevel="0" collapsed="false">
      <c r="A272" s="168"/>
      <c r="B272" s="168"/>
      <c r="C272" s="168"/>
      <c r="D272" s="168"/>
      <c r="E272" s="168"/>
      <c r="F272" s="168"/>
      <c r="G272" s="168"/>
      <c r="H272" s="168"/>
      <c r="I272" s="168"/>
      <c r="J272" s="168"/>
      <c r="K272" s="168"/>
      <c r="L272" s="168"/>
      <c r="M272" s="168"/>
      <c r="N272" s="168"/>
      <c r="O272" s="168"/>
      <c r="P272" s="168"/>
      <c r="Q272" s="168"/>
      <c r="R272" s="168"/>
      <c r="S272" s="168"/>
      <c r="T272" s="168"/>
      <c r="U272" s="168"/>
      <c r="V272" s="168"/>
      <c r="W272" s="168"/>
      <c r="X272" s="168"/>
      <c r="Y272" s="168"/>
      <c r="Z272" s="168"/>
    </row>
    <row r="273" customFormat="false" ht="15.75" hidden="false" customHeight="false" outlineLevel="0" collapsed="false">
      <c r="A273" s="168"/>
      <c r="B273" s="168"/>
      <c r="C273" s="168"/>
      <c r="D273" s="168"/>
      <c r="E273" s="168"/>
      <c r="F273" s="168"/>
      <c r="G273" s="168"/>
      <c r="H273" s="168"/>
      <c r="I273" s="168"/>
      <c r="J273" s="168"/>
      <c r="K273" s="168"/>
      <c r="L273" s="168"/>
      <c r="M273" s="168"/>
      <c r="N273" s="168"/>
      <c r="O273" s="168"/>
      <c r="P273" s="168"/>
      <c r="Q273" s="168"/>
      <c r="R273" s="168"/>
      <c r="S273" s="168"/>
      <c r="T273" s="168"/>
      <c r="U273" s="168"/>
      <c r="V273" s="168"/>
      <c r="W273" s="168"/>
      <c r="X273" s="168"/>
      <c r="Y273" s="168"/>
      <c r="Z273" s="168"/>
    </row>
    <row r="274" customFormat="false" ht="15.75" hidden="false" customHeight="false" outlineLevel="0" collapsed="false">
      <c r="A274" s="168"/>
      <c r="B274" s="168"/>
      <c r="C274" s="168"/>
      <c r="D274" s="168"/>
      <c r="E274" s="168"/>
      <c r="F274" s="168"/>
      <c r="G274" s="168"/>
      <c r="H274" s="168"/>
      <c r="I274" s="168"/>
      <c r="J274" s="168"/>
      <c r="K274" s="168"/>
      <c r="L274" s="168"/>
      <c r="M274" s="168"/>
      <c r="N274" s="168"/>
      <c r="O274" s="168"/>
      <c r="P274" s="168"/>
      <c r="Q274" s="168"/>
      <c r="R274" s="168"/>
      <c r="S274" s="168"/>
      <c r="T274" s="168"/>
      <c r="U274" s="168"/>
      <c r="V274" s="168"/>
      <c r="W274" s="168"/>
      <c r="X274" s="168"/>
      <c r="Y274" s="168"/>
      <c r="Z274" s="168"/>
    </row>
    <row r="275" customFormat="false" ht="15.75" hidden="false" customHeight="false" outlineLevel="0" collapsed="false">
      <c r="A275" s="168"/>
      <c r="B275" s="168"/>
      <c r="C275" s="168"/>
      <c r="D275" s="168"/>
      <c r="E275" s="168"/>
      <c r="F275" s="168"/>
      <c r="G275" s="168"/>
      <c r="H275" s="168"/>
      <c r="I275" s="168"/>
      <c r="J275" s="168"/>
      <c r="K275" s="168"/>
      <c r="L275" s="168"/>
      <c r="M275" s="168"/>
      <c r="N275" s="168"/>
      <c r="O275" s="168"/>
      <c r="P275" s="168"/>
      <c r="Q275" s="168"/>
      <c r="R275" s="168"/>
      <c r="S275" s="168"/>
      <c r="T275" s="168"/>
      <c r="U275" s="168"/>
      <c r="V275" s="168"/>
      <c r="W275" s="168"/>
      <c r="X275" s="168"/>
      <c r="Y275" s="168"/>
      <c r="Z275" s="168"/>
    </row>
    <row r="276" customFormat="false" ht="15.75" hidden="false" customHeight="false" outlineLevel="0" collapsed="false">
      <c r="A276" s="168"/>
      <c r="B276" s="168"/>
      <c r="C276" s="168"/>
      <c r="D276" s="168"/>
      <c r="E276" s="168"/>
      <c r="F276" s="168"/>
      <c r="G276" s="168"/>
      <c r="H276" s="168"/>
      <c r="I276" s="168"/>
      <c r="J276" s="168"/>
      <c r="K276" s="168"/>
      <c r="L276" s="168"/>
      <c r="M276" s="168"/>
      <c r="N276" s="168"/>
      <c r="O276" s="168"/>
      <c r="P276" s="168"/>
      <c r="Q276" s="168"/>
      <c r="R276" s="168"/>
      <c r="S276" s="168"/>
      <c r="T276" s="168"/>
      <c r="U276" s="168"/>
      <c r="V276" s="168"/>
      <c r="W276" s="168"/>
      <c r="X276" s="168"/>
      <c r="Y276" s="168"/>
      <c r="Z276" s="168"/>
    </row>
    <row r="277" customFormat="false" ht="15.75" hidden="false" customHeight="false" outlineLevel="0" collapsed="false">
      <c r="A277" s="168"/>
      <c r="B277" s="168"/>
      <c r="C277" s="168"/>
      <c r="D277" s="168"/>
      <c r="E277" s="168"/>
      <c r="F277" s="168"/>
      <c r="G277" s="168"/>
      <c r="H277" s="168"/>
      <c r="I277" s="168"/>
      <c r="J277" s="168"/>
      <c r="K277" s="168"/>
      <c r="L277" s="168"/>
      <c r="M277" s="168"/>
      <c r="N277" s="168"/>
      <c r="O277" s="168"/>
      <c r="P277" s="168"/>
      <c r="Q277" s="168"/>
      <c r="R277" s="168"/>
      <c r="S277" s="168"/>
      <c r="T277" s="168"/>
      <c r="U277" s="168"/>
      <c r="V277" s="168"/>
      <c r="W277" s="168"/>
      <c r="X277" s="168"/>
      <c r="Y277" s="168"/>
      <c r="Z277" s="168"/>
    </row>
    <row r="278" customFormat="false" ht="15.75" hidden="false" customHeight="false" outlineLevel="0" collapsed="false">
      <c r="A278" s="168"/>
      <c r="B278" s="168"/>
      <c r="C278" s="168"/>
      <c r="D278" s="168"/>
      <c r="E278" s="168"/>
      <c r="F278" s="168"/>
      <c r="G278" s="168"/>
      <c r="H278" s="168"/>
      <c r="I278" s="168"/>
      <c r="J278" s="168"/>
      <c r="K278" s="168"/>
      <c r="L278" s="168"/>
      <c r="M278" s="168"/>
      <c r="N278" s="168"/>
      <c r="O278" s="168"/>
      <c r="P278" s="168"/>
      <c r="Q278" s="168"/>
      <c r="R278" s="168"/>
      <c r="S278" s="168"/>
      <c r="T278" s="168"/>
      <c r="U278" s="168"/>
      <c r="V278" s="168"/>
      <c r="W278" s="168"/>
      <c r="X278" s="168"/>
      <c r="Y278" s="168"/>
      <c r="Z278" s="168"/>
    </row>
    <row r="279" customFormat="false" ht="15.75" hidden="false" customHeight="false" outlineLevel="0" collapsed="false">
      <c r="A279" s="168"/>
      <c r="B279" s="168"/>
      <c r="C279" s="168"/>
      <c r="D279" s="168"/>
      <c r="E279" s="168"/>
      <c r="F279" s="168"/>
      <c r="G279" s="168"/>
      <c r="H279" s="168"/>
      <c r="I279" s="168"/>
      <c r="J279" s="168"/>
      <c r="K279" s="168"/>
      <c r="L279" s="168"/>
      <c r="M279" s="168"/>
      <c r="N279" s="168"/>
      <c r="O279" s="168"/>
      <c r="P279" s="168"/>
      <c r="Q279" s="168"/>
      <c r="R279" s="168"/>
      <c r="S279" s="168"/>
      <c r="T279" s="168"/>
      <c r="U279" s="168"/>
      <c r="V279" s="168"/>
      <c r="W279" s="168"/>
      <c r="X279" s="168"/>
      <c r="Y279" s="168"/>
      <c r="Z279" s="168"/>
    </row>
    <row r="280" customFormat="false" ht="15.75" hidden="false" customHeight="false" outlineLevel="0" collapsed="false">
      <c r="A280" s="168"/>
      <c r="B280" s="168"/>
      <c r="C280" s="168"/>
      <c r="D280" s="168"/>
      <c r="E280" s="168"/>
      <c r="F280" s="168"/>
      <c r="G280" s="168"/>
      <c r="H280" s="168"/>
      <c r="I280" s="168"/>
      <c r="J280" s="168"/>
      <c r="K280" s="168"/>
      <c r="L280" s="168"/>
      <c r="M280" s="168"/>
      <c r="N280" s="168"/>
      <c r="O280" s="168"/>
      <c r="P280" s="168"/>
      <c r="Q280" s="168"/>
      <c r="R280" s="168"/>
      <c r="S280" s="168"/>
      <c r="T280" s="168"/>
      <c r="U280" s="168"/>
      <c r="V280" s="168"/>
      <c r="W280" s="168"/>
      <c r="X280" s="168"/>
      <c r="Y280" s="168"/>
      <c r="Z280" s="168"/>
    </row>
    <row r="281" customFormat="false" ht="15.75" hidden="false" customHeight="false" outlineLevel="0" collapsed="false">
      <c r="A281" s="168"/>
      <c r="B281" s="168"/>
      <c r="C281" s="168"/>
      <c r="D281" s="168"/>
      <c r="E281" s="168"/>
      <c r="F281" s="168"/>
      <c r="G281" s="168"/>
      <c r="H281" s="168"/>
      <c r="I281" s="168"/>
      <c r="J281" s="168"/>
      <c r="K281" s="168"/>
      <c r="L281" s="168"/>
      <c r="M281" s="168"/>
      <c r="N281" s="168"/>
      <c r="O281" s="168"/>
      <c r="P281" s="168"/>
      <c r="Q281" s="168"/>
      <c r="R281" s="168"/>
      <c r="S281" s="168"/>
      <c r="T281" s="168"/>
      <c r="U281" s="168"/>
      <c r="V281" s="168"/>
      <c r="W281" s="168"/>
      <c r="X281" s="168"/>
      <c r="Y281" s="168"/>
      <c r="Z281" s="168"/>
    </row>
    <row r="282" customFormat="false" ht="15.75" hidden="false" customHeight="false" outlineLevel="0" collapsed="false">
      <c r="A282" s="168"/>
      <c r="B282" s="168"/>
      <c r="C282" s="168"/>
      <c r="D282" s="168"/>
      <c r="E282" s="168"/>
      <c r="F282" s="168"/>
      <c r="G282" s="168"/>
      <c r="H282" s="168"/>
      <c r="I282" s="168"/>
      <c r="J282" s="168"/>
      <c r="K282" s="168"/>
      <c r="L282" s="168"/>
      <c r="M282" s="168"/>
      <c r="N282" s="168"/>
      <c r="O282" s="168"/>
      <c r="P282" s="168"/>
      <c r="Q282" s="168"/>
      <c r="R282" s="168"/>
      <c r="S282" s="168"/>
      <c r="T282" s="168"/>
      <c r="U282" s="168"/>
      <c r="V282" s="168"/>
      <c r="W282" s="168"/>
      <c r="X282" s="168"/>
      <c r="Y282" s="168"/>
      <c r="Z282" s="168"/>
    </row>
    <row r="283" customFormat="false" ht="15.75" hidden="false" customHeight="false" outlineLevel="0" collapsed="false">
      <c r="A283" s="168"/>
      <c r="B283" s="168"/>
      <c r="C283" s="168"/>
      <c r="D283" s="168"/>
      <c r="E283" s="168"/>
      <c r="F283" s="168"/>
      <c r="G283" s="168"/>
      <c r="H283" s="168"/>
      <c r="I283" s="168"/>
      <c r="J283" s="168"/>
      <c r="K283" s="168"/>
      <c r="L283" s="168"/>
      <c r="M283" s="168"/>
      <c r="N283" s="168"/>
      <c r="O283" s="168"/>
      <c r="P283" s="168"/>
      <c r="Q283" s="168"/>
      <c r="R283" s="168"/>
      <c r="S283" s="168"/>
      <c r="T283" s="168"/>
      <c r="U283" s="168"/>
      <c r="V283" s="168"/>
      <c r="W283" s="168"/>
      <c r="X283" s="168"/>
      <c r="Y283" s="168"/>
      <c r="Z283" s="168"/>
    </row>
    <row r="284" customFormat="false" ht="15.75" hidden="false" customHeight="false" outlineLevel="0" collapsed="false">
      <c r="A284" s="168"/>
      <c r="B284" s="168"/>
      <c r="C284" s="168"/>
      <c r="D284" s="168"/>
      <c r="E284" s="168"/>
      <c r="F284" s="168"/>
      <c r="G284" s="168"/>
      <c r="H284" s="168"/>
      <c r="I284" s="168"/>
      <c r="J284" s="168"/>
      <c r="K284" s="168"/>
      <c r="L284" s="168"/>
      <c r="M284" s="168"/>
      <c r="N284" s="168"/>
      <c r="O284" s="168"/>
      <c r="P284" s="168"/>
      <c r="Q284" s="168"/>
      <c r="R284" s="168"/>
      <c r="S284" s="168"/>
      <c r="T284" s="168"/>
      <c r="U284" s="168"/>
      <c r="V284" s="168"/>
      <c r="W284" s="168"/>
      <c r="X284" s="168"/>
      <c r="Y284" s="168"/>
      <c r="Z284" s="168"/>
    </row>
    <row r="285" customFormat="false" ht="15.75" hidden="false" customHeight="false" outlineLevel="0" collapsed="false">
      <c r="A285" s="168"/>
      <c r="B285" s="168"/>
      <c r="C285" s="168"/>
      <c r="D285" s="168"/>
      <c r="E285" s="168"/>
      <c r="F285" s="168"/>
      <c r="G285" s="168"/>
      <c r="H285" s="168"/>
      <c r="I285" s="168"/>
      <c r="J285" s="168"/>
      <c r="K285" s="168"/>
      <c r="L285" s="168"/>
      <c r="M285" s="168"/>
      <c r="N285" s="168"/>
      <c r="O285" s="168"/>
      <c r="P285" s="168"/>
      <c r="Q285" s="168"/>
      <c r="R285" s="168"/>
      <c r="S285" s="168"/>
      <c r="T285" s="168"/>
      <c r="U285" s="168"/>
      <c r="V285" s="168"/>
      <c r="W285" s="168"/>
      <c r="X285" s="168"/>
      <c r="Y285" s="168"/>
      <c r="Z285" s="168"/>
    </row>
    <row r="286" customFormat="false" ht="15.75" hidden="false" customHeight="false" outlineLevel="0" collapsed="false">
      <c r="A286" s="168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</row>
    <row r="287" customFormat="false" ht="15.75" hidden="false" customHeight="false" outlineLevel="0" collapsed="false">
      <c r="A287" s="168"/>
      <c r="B287" s="168"/>
      <c r="C287" s="168"/>
      <c r="D287" s="168"/>
      <c r="E287" s="168"/>
      <c r="F287" s="168"/>
      <c r="G287" s="168"/>
      <c r="H287" s="168"/>
      <c r="I287" s="168"/>
      <c r="J287" s="168"/>
      <c r="K287" s="168"/>
      <c r="L287" s="168"/>
      <c r="M287" s="168"/>
      <c r="N287" s="168"/>
      <c r="O287" s="168"/>
      <c r="P287" s="168"/>
      <c r="Q287" s="168"/>
      <c r="R287" s="168"/>
      <c r="S287" s="168"/>
      <c r="T287" s="168"/>
      <c r="U287" s="168"/>
      <c r="V287" s="168"/>
      <c r="W287" s="168"/>
      <c r="X287" s="168"/>
      <c r="Y287" s="168"/>
      <c r="Z287" s="168"/>
    </row>
    <row r="288" customFormat="false" ht="15.75" hidden="false" customHeight="false" outlineLevel="0" collapsed="false">
      <c r="A288" s="168"/>
      <c r="B288" s="168"/>
      <c r="C288" s="168"/>
      <c r="D288" s="168"/>
      <c r="E288" s="168"/>
      <c r="F288" s="168"/>
      <c r="G288" s="168"/>
      <c r="H288" s="168"/>
      <c r="I288" s="168"/>
      <c r="J288" s="168"/>
      <c r="K288" s="168"/>
      <c r="L288" s="168"/>
      <c r="M288" s="168"/>
      <c r="N288" s="168"/>
      <c r="O288" s="168"/>
      <c r="P288" s="168"/>
      <c r="Q288" s="168"/>
      <c r="R288" s="168"/>
      <c r="S288" s="168"/>
      <c r="T288" s="168"/>
      <c r="U288" s="168"/>
      <c r="V288" s="168"/>
      <c r="W288" s="168"/>
      <c r="X288" s="168"/>
      <c r="Y288" s="168"/>
      <c r="Z288" s="168"/>
    </row>
    <row r="289" customFormat="false" ht="15.75" hidden="false" customHeight="false" outlineLevel="0" collapsed="false">
      <c r="A289" s="168"/>
      <c r="B289" s="168"/>
      <c r="C289" s="168"/>
      <c r="D289" s="168"/>
      <c r="E289" s="168"/>
      <c r="F289" s="168"/>
      <c r="G289" s="168"/>
      <c r="H289" s="168"/>
      <c r="I289" s="168"/>
      <c r="J289" s="168"/>
      <c r="K289" s="168"/>
      <c r="L289" s="168"/>
      <c r="M289" s="168"/>
      <c r="N289" s="168"/>
      <c r="O289" s="168"/>
      <c r="P289" s="168"/>
      <c r="Q289" s="168"/>
      <c r="R289" s="168"/>
      <c r="S289" s="168"/>
      <c r="T289" s="168"/>
      <c r="U289" s="168"/>
      <c r="V289" s="168"/>
      <c r="W289" s="168"/>
      <c r="X289" s="168"/>
      <c r="Y289" s="168"/>
      <c r="Z289" s="168"/>
    </row>
    <row r="290" customFormat="false" ht="15.75" hidden="false" customHeight="false" outlineLevel="0" collapsed="false">
      <c r="A290" s="168"/>
      <c r="B290" s="168"/>
      <c r="C290" s="168"/>
      <c r="D290" s="168"/>
      <c r="E290" s="168"/>
      <c r="F290" s="168"/>
      <c r="G290" s="168"/>
      <c r="H290" s="168"/>
      <c r="I290" s="168"/>
      <c r="J290" s="168"/>
      <c r="K290" s="168"/>
      <c r="L290" s="168"/>
      <c r="M290" s="168"/>
      <c r="N290" s="168"/>
      <c r="O290" s="168"/>
      <c r="P290" s="168"/>
      <c r="Q290" s="168"/>
      <c r="R290" s="168"/>
      <c r="S290" s="168"/>
      <c r="T290" s="168"/>
      <c r="U290" s="168"/>
      <c r="V290" s="168"/>
      <c r="W290" s="168"/>
      <c r="X290" s="168"/>
      <c r="Y290" s="168"/>
      <c r="Z290" s="168"/>
    </row>
    <row r="291" customFormat="false" ht="15.75" hidden="false" customHeight="false" outlineLevel="0" collapsed="false">
      <c r="A291" s="168"/>
      <c r="B291" s="168"/>
      <c r="C291" s="168"/>
      <c r="D291" s="168"/>
      <c r="E291" s="168"/>
      <c r="F291" s="168"/>
      <c r="G291" s="168"/>
      <c r="H291" s="168"/>
      <c r="I291" s="168"/>
      <c r="J291" s="168"/>
      <c r="K291" s="168"/>
      <c r="L291" s="168"/>
      <c r="M291" s="168"/>
      <c r="N291" s="168"/>
      <c r="O291" s="168"/>
      <c r="P291" s="168"/>
      <c r="Q291" s="168"/>
      <c r="R291" s="168"/>
      <c r="S291" s="168"/>
      <c r="T291" s="168"/>
      <c r="U291" s="168"/>
      <c r="V291" s="168"/>
      <c r="W291" s="168"/>
      <c r="X291" s="168"/>
      <c r="Y291" s="168"/>
      <c r="Z291" s="168"/>
    </row>
    <row r="292" customFormat="false" ht="15.75" hidden="false" customHeight="false" outlineLevel="0" collapsed="false">
      <c r="A292" s="168"/>
      <c r="B292" s="168"/>
      <c r="C292" s="168"/>
      <c r="D292" s="168"/>
      <c r="E292" s="168"/>
      <c r="F292" s="168"/>
      <c r="G292" s="168"/>
      <c r="H292" s="168"/>
      <c r="I292" s="168"/>
      <c r="J292" s="168"/>
      <c r="K292" s="168"/>
      <c r="L292" s="168"/>
      <c r="M292" s="168"/>
      <c r="N292" s="168"/>
      <c r="O292" s="168"/>
      <c r="P292" s="168"/>
      <c r="Q292" s="168"/>
      <c r="R292" s="168"/>
      <c r="S292" s="168"/>
      <c r="T292" s="168"/>
      <c r="U292" s="168"/>
      <c r="V292" s="168"/>
      <c r="W292" s="168"/>
      <c r="X292" s="168"/>
      <c r="Y292" s="168"/>
      <c r="Z292" s="168"/>
    </row>
    <row r="293" customFormat="false" ht="15.75" hidden="false" customHeight="false" outlineLevel="0" collapsed="false">
      <c r="A293" s="168"/>
      <c r="B293" s="168"/>
      <c r="C293" s="168"/>
      <c r="D293" s="168"/>
      <c r="E293" s="168"/>
      <c r="F293" s="168"/>
      <c r="G293" s="168"/>
      <c r="H293" s="168"/>
      <c r="I293" s="168"/>
      <c r="J293" s="168"/>
      <c r="K293" s="168"/>
      <c r="L293" s="168"/>
      <c r="M293" s="168"/>
      <c r="N293" s="168"/>
      <c r="O293" s="168"/>
      <c r="P293" s="168"/>
      <c r="Q293" s="168"/>
      <c r="R293" s="168"/>
      <c r="S293" s="168"/>
      <c r="T293" s="168"/>
      <c r="U293" s="168"/>
      <c r="V293" s="168"/>
      <c r="W293" s="168"/>
      <c r="X293" s="168"/>
      <c r="Y293" s="168"/>
      <c r="Z293" s="168"/>
    </row>
    <row r="294" customFormat="false" ht="15.75" hidden="false" customHeight="false" outlineLevel="0" collapsed="false">
      <c r="A294" s="168"/>
      <c r="B294" s="168"/>
      <c r="C294" s="168"/>
      <c r="D294" s="168"/>
      <c r="E294" s="168"/>
      <c r="F294" s="168"/>
      <c r="G294" s="168"/>
      <c r="H294" s="168"/>
      <c r="I294" s="168"/>
      <c r="J294" s="168"/>
      <c r="K294" s="168"/>
      <c r="L294" s="168"/>
      <c r="M294" s="168"/>
      <c r="N294" s="168"/>
      <c r="O294" s="168"/>
      <c r="P294" s="168"/>
      <c r="Q294" s="168"/>
      <c r="R294" s="168"/>
      <c r="S294" s="168"/>
      <c r="T294" s="168"/>
      <c r="U294" s="168"/>
      <c r="V294" s="168"/>
      <c r="W294" s="168"/>
      <c r="X294" s="168"/>
      <c r="Y294" s="168"/>
      <c r="Z294" s="168"/>
    </row>
    <row r="295" customFormat="false" ht="15.75" hidden="false" customHeight="false" outlineLevel="0" collapsed="false">
      <c r="A295" s="168"/>
      <c r="B295" s="168"/>
      <c r="C295" s="168"/>
      <c r="D295" s="168"/>
      <c r="E295" s="168"/>
      <c r="F295" s="168"/>
      <c r="G295" s="168"/>
      <c r="H295" s="168"/>
      <c r="I295" s="168"/>
      <c r="J295" s="168"/>
      <c r="K295" s="168"/>
      <c r="L295" s="168"/>
      <c r="M295" s="168"/>
      <c r="N295" s="168"/>
      <c r="O295" s="168"/>
      <c r="P295" s="168"/>
      <c r="Q295" s="168"/>
      <c r="R295" s="168"/>
      <c r="S295" s="168"/>
      <c r="T295" s="168"/>
      <c r="U295" s="168"/>
      <c r="V295" s="168"/>
      <c r="W295" s="168"/>
      <c r="X295" s="168"/>
      <c r="Y295" s="168"/>
      <c r="Z295" s="168"/>
    </row>
    <row r="296" customFormat="false" ht="15.75" hidden="false" customHeight="false" outlineLevel="0" collapsed="false">
      <c r="A296" s="168"/>
      <c r="B296" s="168"/>
      <c r="C296" s="168"/>
      <c r="D296" s="168"/>
      <c r="E296" s="168"/>
      <c r="F296" s="168"/>
      <c r="G296" s="168"/>
      <c r="H296" s="168"/>
      <c r="I296" s="168"/>
      <c r="J296" s="168"/>
      <c r="K296" s="168"/>
      <c r="L296" s="168"/>
      <c r="M296" s="168"/>
      <c r="N296" s="168"/>
      <c r="O296" s="168"/>
      <c r="P296" s="168"/>
      <c r="Q296" s="168"/>
      <c r="R296" s="168"/>
      <c r="S296" s="168"/>
      <c r="T296" s="168"/>
      <c r="U296" s="168"/>
      <c r="V296" s="168"/>
      <c r="W296" s="168"/>
      <c r="X296" s="168"/>
      <c r="Y296" s="168"/>
      <c r="Z296" s="168"/>
    </row>
    <row r="297" customFormat="false" ht="15.75" hidden="false" customHeight="false" outlineLevel="0" collapsed="false">
      <c r="A297" s="168"/>
      <c r="B297" s="168"/>
      <c r="C297" s="168"/>
      <c r="D297" s="168"/>
      <c r="E297" s="168"/>
      <c r="F297" s="168"/>
      <c r="G297" s="168"/>
      <c r="H297" s="168"/>
      <c r="I297" s="168"/>
      <c r="J297" s="168"/>
      <c r="K297" s="168"/>
      <c r="L297" s="168"/>
      <c r="M297" s="168"/>
      <c r="N297" s="168"/>
      <c r="O297" s="168"/>
      <c r="P297" s="168"/>
      <c r="Q297" s="168"/>
      <c r="R297" s="168"/>
      <c r="S297" s="168"/>
      <c r="T297" s="168"/>
      <c r="U297" s="168"/>
      <c r="V297" s="168"/>
      <c r="W297" s="168"/>
      <c r="X297" s="168"/>
      <c r="Y297" s="168"/>
      <c r="Z297" s="168"/>
    </row>
    <row r="298" customFormat="false" ht="15.75" hidden="false" customHeight="false" outlineLevel="0" collapsed="false">
      <c r="A298" s="168"/>
      <c r="B298" s="168"/>
      <c r="C298" s="168"/>
      <c r="D298" s="168"/>
      <c r="E298" s="168"/>
      <c r="F298" s="168"/>
      <c r="G298" s="168"/>
      <c r="H298" s="168"/>
      <c r="I298" s="168"/>
      <c r="J298" s="168"/>
      <c r="K298" s="168"/>
      <c r="L298" s="168"/>
      <c r="M298" s="168"/>
      <c r="N298" s="168"/>
      <c r="O298" s="168"/>
      <c r="P298" s="168"/>
      <c r="Q298" s="168"/>
      <c r="R298" s="168"/>
      <c r="S298" s="168"/>
      <c r="T298" s="168"/>
      <c r="U298" s="168"/>
      <c r="V298" s="168"/>
      <c r="W298" s="168"/>
      <c r="X298" s="168"/>
      <c r="Y298" s="168"/>
      <c r="Z298" s="168"/>
    </row>
    <row r="299" customFormat="false" ht="15.75" hidden="false" customHeight="false" outlineLevel="0" collapsed="false">
      <c r="A299" s="168"/>
      <c r="B299" s="168"/>
      <c r="C299" s="168"/>
      <c r="D299" s="168"/>
      <c r="E299" s="168"/>
      <c r="F299" s="168"/>
      <c r="G299" s="168"/>
      <c r="H299" s="168"/>
      <c r="I299" s="168"/>
      <c r="J299" s="168"/>
      <c r="K299" s="168"/>
      <c r="L299" s="168"/>
      <c r="M299" s="168"/>
      <c r="N299" s="168"/>
      <c r="O299" s="168"/>
      <c r="P299" s="168"/>
      <c r="Q299" s="168"/>
      <c r="R299" s="168"/>
      <c r="S299" s="168"/>
      <c r="T299" s="168"/>
      <c r="U299" s="168"/>
      <c r="V299" s="168"/>
      <c r="W299" s="168"/>
      <c r="X299" s="168"/>
      <c r="Y299" s="168"/>
      <c r="Z299" s="168"/>
    </row>
    <row r="300" customFormat="false" ht="15.75" hidden="false" customHeight="false" outlineLevel="0" collapsed="false">
      <c r="A300" s="168"/>
      <c r="B300" s="168"/>
      <c r="C300" s="168"/>
      <c r="D300" s="168"/>
      <c r="E300" s="168"/>
      <c r="F300" s="168"/>
      <c r="G300" s="168"/>
      <c r="H300" s="168"/>
      <c r="I300" s="168"/>
      <c r="J300" s="168"/>
      <c r="K300" s="168"/>
      <c r="L300" s="168"/>
      <c r="M300" s="168"/>
      <c r="N300" s="168"/>
      <c r="O300" s="168"/>
      <c r="P300" s="168"/>
      <c r="Q300" s="168"/>
      <c r="R300" s="168"/>
      <c r="S300" s="168"/>
      <c r="T300" s="168"/>
      <c r="U300" s="168"/>
      <c r="V300" s="168"/>
      <c r="W300" s="168"/>
      <c r="X300" s="168"/>
      <c r="Y300" s="168"/>
      <c r="Z300" s="168"/>
    </row>
    <row r="301" customFormat="false" ht="15.75" hidden="false" customHeight="false" outlineLevel="0" collapsed="false">
      <c r="A301" s="168"/>
      <c r="B301" s="168"/>
      <c r="C301" s="168"/>
      <c r="D301" s="168"/>
      <c r="E301" s="168"/>
      <c r="F301" s="168"/>
      <c r="G301" s="168"/>
      <c r="H301" s="168"/>
      <c r="I301" s="168"/>
      <c r="J301" s="168"/>
      <c r="K301" s="168"/>
      <c r="L301" s="168"/>
      <c r="M301" s="168"/>
      <c r="N301" s="168"/>
      <c r="O301" s="168"/>
      <c r="P301" s="168"/>
      <c r="Q301" s="168"/>
      <c r="R301" s="168"/>
      <c r="S301" s="168"/>
      <c r="T301" s="168"/>
      <c r="U301" s="168"/>
      <c r="V301" s="168"/>
      <c r="W301" s="168"/>
      <c r="X301" s="168"/>
      <c r="Y301" s="168"/>
      <c r="Z301" s="168"/>
    </row>
    <row r="302" customFormat="false" ht="15.75" hidden="false" customHeight="false" outlineLevel="0" collapsed="false">
      <c r="A302" s="168"/>
      <c r="B302" s="168"/>
      <c r="C302" s="168"/>
      <c r="D302" s="168"/>
      <c r="E302" s="168"/>
      <c r="F302" s="168"/>
      <c r="G302" s="168"/>
      <c r="H302" s="168"/>
      <c r="I302" s="168"/>
      <c r="J302" s="168"/>
      <c r="K302" s="168"/>
      <c r="L302" s="168"/>
      <c r="M302" s="168"/>
      <c r="N302" s="168"/>
      <c r="O302" s="168"/>
      <c r="P302" s="168"/>
      <c r="Q302" s="168"/>
      <c r="R302" s="168"/>
      <c r="S302" s="168"/>
      <c r="T302" s="168"/>
      <c r="U302" s="168"/>
      <c r="V302" s="168"/>
      <c r="W302" s="168"/>
      <c r="X302" s="168"/>
      <c r="Y302" s="168"/>
      <c r="Z302" s="168"/>
    </row>
    <row r="303" customFormat="false" ht="15.75" hidden="false" customHeight="false" outlineLevel="0" collapsed="false">
      <c r="A303" s="168"/>
      <c r="B303" s="168"/>
      <c r="C303" s="168"/>
      <c r="D303" s="168"/>
      <c r="E303" s="168"/>
      <c r="F303" s="168"/>
      <c r="G303" s="168"/>
      <c r="H303" s="168"/>
      <c r="I303" s="168"/>
      <c r="J303" s="168"/>
      <c r="K303" s="168"/>
      <c r="L303" s="168"/>
      <c r="M303" s="168"/>
      <c r="N303" s="168"/>
      <c r="O303" s="168"/>
      <c r="P303" s="168"/>
      <c r="Q303" s="168"/>
      <c r="R303" s="168"/>
      <c r="S303" s="168"/>
      <c r="T303" s="168"/>
      <c r="U303" s="168"/>
      <c r="V303" s="168"/>
      <c r="W303" s="168"/>
      <c r="X303" s="168"/>
      <c r="Y303" s="168"/>
      <c r="Z303" s="168"/>
    </row>
    <row r="304" customFormat="false" ht="15.75" hidden="false" customHeight="false" outlineLevel="0" collapsed="false">
      <c r="A304" s="168"/>
      <c r="B304" s="168"/>
      <c r="C304" s="168"/>
      <c r="D304" s="168"/>
      <c r="E304" s="168"/>
      <c r="F304" s="168"/>
      <c r="G304" s="168"/>
      <c r="H304" s="168"/>
      <c r="I304" s="168"/>
      <c r="J304" s="168"/>
      <c r="K304" s="168"/>
      <c r="L304" s="168"/>
      <c r="M304" s="168"/>
      <c r="N304" s="168"/>
      <c r="O304" s="168"/>
      <c r="P304" s="168"/>
      <c r="Q304" s="168"/>
      <c r="R304" s="168"/>
      <c r="S304" s="168"/>
      <c r="T304" s="168"/>
      <c r="U304" s="168"/>
      <c r="V304" s="168"/>
      <c r="W304" s="168"/>
      <c r="X304" s="168"/>
      <c r="Y304" s="168"/>
      <c r="Z304" s="168"/>
    </row>
    <row r="305" customFormat="false" ht="15.75" hidden="false" customHeight="false" outlineLevel="0" collapsed="false">
      <c r="A305" s="168"/>
      <c r="B305" s="168"/>
      <c r="C305" s="168"/>
      <c r="D305" s="168"/>
      <c r="E305" s="168"/>
      <c r="F305" s="168"/>
      <c r="G305" s="168"/>
      <c r="H305" s="168"/>
      <c r="I305" s="168"/>
      <c r="J305" s="168"/>
      <c r="K305" s="168"/>
      <c r="L305" s="168"/>
      <c r="M305" s="168"/>
      <c r="N305" s="168"/>
      <c r="O305" s="168"/>
      <c r="P305" s="168"/>
      <c r="Q305" s="168"/>
      <c r="R305" s="168"/>
      <c r="S305" s="168"/>
      <c r="T305" s="168"/>
      <c r="U305" s="168"/>
      <c r="V305" s="168"/>
      <c r="W305" s="168"/>
      <c r="X305" s="168"/>
      <c r="Y305" s="168"/>
      <c r="Z305" s="168"/>
    </row>
    <row r="306" customFormat="false" ht="15.75" hidden="false" customHeight="false" outlineLevel="0" collapsed="false">
      <c r="A306" s="168"/>
      <c r="B306" s="168"/>
      <c r="C306" s="168"/>
      <c r="D306" s="168"/>
      <c r="E306" s="168"/>
      <c r="F306" s="168"/>
      <c r="G306" s="168"/>
      <c r="H306" s="168"/>
      <c r="I306" s="168"/>
      <c r="J306" s="168"/>
      <c r="K306" s="168"/>
      <c r="L306" s="168"/>
      <c r="M306" s="168"/>
      <c r="N306" s="168"/>
      <c r="O306" s="168"/>
      <c r="P306" s="168"/>
      <c r="Q306" s="168"/>
      <c r="R306" s="168"/>
      <c r="S306" s="168"/>
      <c r="T306" s="168"/>
      <c r="U306" s="168"/>
      <c r="V306" s="168"/>
      <c r="W306" s="168"/>
      <c r="X306" s="168"/>
      <c r="Y306" s="168"/>
      <c r="Z306" s="168"/>
    </row>
    <row r="307" customFormat="false" ht="15.75" hidden="false" customHeight="false" outlineLevel="0" collapsed="false">
      <c r="A307" s="168"/>
      <c r="B307" s="168"/>
      <c r="C307" s="168"/>
      <c r="D307" s="168"/>
      <c r="E307" s="168"/>
      <c r="F307" s="168"/>
      <c r="G307" s="168"/>
      <c r="H307" s="168"/>
      <c r="I307" s="168"/>
      <c r="J307" s="168"/>
      <c r="K307" s="168"/>
      <c r="L307" s="168"/>
      <c r="M307" s="168"/>
      <c r="N307" s="168"/>
      <c r="O307" s="168"/>
      <c r="P307" s="168"/>
      <c r="Q307" s="168"/>
      <c r="R307" s="168"/>
      <c r="S307" s="168"/>
      <c r="T307" s="168"/>
      <c r="U307" s="168"/>
      <c r="V307" s="168"/>
      <c r="W307" s="168"/>
      <c r="X307" s="168"/>
      <c r="Y307" s="168"/>
      <c r="Z307" s="168"/>
    </row>
    <row r="308" customFormat="false" ht="15.75" hidden="false" customHeight="false" outlineLevel="0" collapsed="false">
      <c r="A308" s="168"/>
      <c r="B308" s="168"/>
      <c r="C308" s="168"/>
      <c r="D308" s="168"/>
      <c r="E308" s="168"/>
      <c r="F308" s="168"/>
      <c r="G308" s="168"/>
      <c r="H308" s="168"/>
      <c r="I308" s="168"/>
      <c r="J308" s="168"/>
      <c r="K308" s="168"/>
      <c r="L308" s="168"/>
      <c r="M308" s="168"/>
      <c r="N308" s="168"/>
      <c r="O308" s="168"/>
      <c r="P308" s="168"/>
      <c r="Q308" s="168"/>
      <c r="R308" s="168"/>
      <c r="S308" s="168"/>
      <c r="T308" s="168"/>
      <c r="U308" s="168"/>
      <c r="V308" s="168"/>
      <c r="W308" s="168"/>
      <c r="X308" s="168"/>
      <c r="Y308" s="168"/>
      <c r="Z308" s="168"/>
    </row>
    <row r="309" customFormat="false" ht="15.75" hidden="false" customHeight="false" outlineLevel="0" collapsed="false">
      <c r="A309" s="168"/>
      <c r="B309" s="168"/>
      <c r="C309" s="168"/>
      <c r="D309" s="168"/>
      <c r="E309" s="168"/>
      <c r="F309" s="168"/>
      <c r="G309" s="168"/>
      <c r="H309" s="168"/>
      <c r="I309" s="168"/>
      <c r="J309" s="168"/>
      <c r="K309" s="168"/>
      <c r="L309" s="168"/>
      <c r="M309" s="168"/>
      <c r="N309" s="168"/>
      <c r="O309" s="168"/>
      <c r="P309" s="168"/>
      <c r="Q309" s="168"/>
      <c r="R309" s="168"/>
      <c r="S309" s="168"/>
      <c r="T309" s="168"/>
      <c r="U309" s="168"/>
      <c r="V309" s="168"/>
      <c r="W309" s="168"/>
      <c r="X309" s="168"/>
      <c r="Y309" s="168"/>
      <c r="Z309" s="168"/>
    </row>
    <row r="310" customFormat="false" ht="15.75" hidden="false" customHeight="false" outlineLevel="0" collapsed="false">
      <c r="A310" s="168"/>
      <c r="B310" s="168"/>
      <c r="C310" s="168"/>
      <c r="D310" s="168"/>
      <c r="E310" s="168"/>
      <c r="F310" s="168"/>
      <c r="G310" s="168"/>
      <c r="H310" s="168"/>
      <c r="I310" s="168"/>
      <c r="J310" s="168"/>
      <c r="K310" s="168"/>
      <c r="L310" s="168"/>
      <c r="M310" s="168"/>
      <c r="N310" s="168"/>
      <c r="O310" s="168"/>
      <c r="P310" s="168"/>
      <c r="Q310" s="168"/>
      <c r="R310" s="168"/>
      <c r="S310" s="168"/>
      <c r="T310" s="168"/>
      <c r="U310" s="168"/>
      <c r="V310" s="168"/>
      <c r="W310" s="168"/>
      <c r="X310" s="168"/>
      <c r="Y310" s="168"/>
      <c r="Z310" s="168"/>
    </row>
    <row r="311" customFormat="false" ht="15.75" hidden="false" customHeight="false" outlineLevel="0" collapsed="false">
      <c r="A311" s="168"/>
      <c r="B311" s="168"/>
      <c r="C311" s="168"/>
      <c r="D311" s="168"/>
      <c r="E311" s="168"/>
      <c r="F311" s="168"/>
      <c r="G311" s="168"/>
      <c r="H311" s="168"/>
      <c r="I311" s="168"/>
      <c r="J311" s="168"/>
      <c r="K311" s="168"/>
      <c r="L311" s="168"/>
      <c r="M311" s="168"/>
      <c r="N311" s="168"/>
      <c r="O311" s="168"/>
      <c r="P311" s="168"/>
      <c r="Q311" s="168"/>
      <c r="R311" s="168"/>
      <c r="S311" s="168"/>
      <c r="T311" s="168"/>
      <c r="U311" s="168"/>
      <c r="V311" s="168"/>
      <c r="W311" s="168"/>
      <c r="X311" s="168"/>
      <c r="Y311" s="168"/>
      <c r="Z311" s="168"/>
    </row>
    <row r="312" customFormat="false" ht="15.75" hidden="false" customHeight="false" outlineLevel="0" collapsed="false">
      <c r="A312" s="168"/>
      <c r="B312" s="168"/>
      <c r="C312" s="168"/>
      <c r="D312" s="168"/>
      <c r="E312" s="168"/>
      <c r="F312" s="168"/>
      <c r="G312" s="168"/>
      <c r="H312" s="168"/>
      <c r="I312" s="168"/>
      <c r="J312" s="168"/>
      <c r="K312" s="168"/>
      <c r="L312" s="168"/>
      <c r="M312" s="168"/>
      <c r="N312" s="168"/>
      <c r="O312" s="168"/>
      <c r="P312" s="168"/>
      <c r="Q312" s="168"/>
      <c r="R312" s="168"/>
      <c r="S312" s="168"/>
      <c r="T312" s="168"/>
      <c r="U312" s="168"/>
      <c r="V312" s="168"/>
      <c r="W312" s="168"/>
      <c r="X312" s="168"/>
      <c r="Y312" s="168"/>
      <c r="Z312" s="168"/>
    </row>
    <row r="313" customFormat="false" ht="15.75" hidden="false" customHeight="false" outlineLevel="0" collapsed="false">
      <c r="A313" s="168"/>
      <c r="B313" s="168"/>
      <c r="C313" s="168"/>
      <c r="D313" s="168"/>
      <c r="E313" s="168"/>
      <c r="F313" s="168"/>
      <c r="G313" s="168"/>
      <c r="H313" s="168"/>
      <c r="I313" s="168"/>
      <c r="J313" s="168"/>
      <c r="K313" s="168"/>
      <c r="L313" s="168"/>
      <c r="M313" s="168"/>
      <c r="N313" s="168"/>
      <c r="O313" s="168"/>
      <c r="P313" s="168"/>
      <c r="Q313" s="168"/>
      <c r="R313" s="168"/>
      <c r="S313" s="168"/>
      <c r="T313" s="168"/>
      <c r="U313" s="168"/>
      <c r="V313" s="168"/>
      <c r="W313" s="168"/>
      <c r="X313" s="168"/>
      <c r="Y313" s="168"/>
      <c r="Z313" s="168"/>
    </row>
    <row r="314" customFormat="false" ht="15.75" hidden="false" customHeight="false" outlineLevel="0" collapsed="false">
      <c r="A314" s="168"/>
      <c r="B314" s="168"/>
      <c r="C314" s="168"/>
      <c r="D314" s="168"/>
      <c r="E314" s="168"/>
      <c r="F314" s="168"/>
      <c r="G314" s="168"/>
      <c r="H314" s="168"/>
      <c r="I314" s="168"/>
      <c r="J314" s="168"/>
      <c r="K314" s="168"/>
      <c r="L314" s="168"/>
      <c r="M314" s="168"/>
      <c r="N314" s="168"/>
      <c r="O314" s="168"/>
      <c r="P314" s="168"/>
      <c r="Q314" s="168"/>
      <c r="R314" s="168"/>
      <c r="S314" s="168"/>
      <c r="T314" s="168"/>
      <c r="U314" s="168"/>
      <c r="V314" s="168"/>
      <c r="W314" s="168"/>
      <c r="X314" s="168"/>
      <c r="Y314" s="168"/>
      <c r="Z314" s="168"/>
    </row>
    <row r="315" customFormat="false" ht="15.75" hidden="false" customHeight="false" outlineLevel="0" collapsed="false">
      <c r="A315" s="168"/>
      <c r="B315" s="168"/>
      <c r="C315" s="168"/>
      <c r="D315" s="168"/>
      <c r="E315" s="168"/>
      <c r="F315" s="168"/>
      <c r="G315" s="168"/>
      <c r="H315" s="168"/>
      <c r="I315" s="168"/>
      <c r="J315" s="168"/>
      <c r="K315" s="168"/>
      <c r="L315" s="168"/>
      <c r="M315" s="168"/>
      <c r="N315" s="168"/>
      <c r="O315" s="168"/>
      <c r="P315" s="168"/>
      <c r="Q315" s="168"/>
      <c r="R315" s="168"/>
      <c r="S315" s="168"/>
      <c r="T315" s="168"/>
      <c r="U315" s="168"/>
      <c r="V315" s="168"/>
      <c r="W315" s="168"/>
      <c r="X315" s="168"/>
      <c r="Y315" s="168"/>
      <c r="Z315" s="168"/>
    </row>
    <row r="316" customFormat="false" ht="15.75" hidden="false" customHeight="false" outlineLevel="0" collapsed="false">
      <c r="A316" s="168"/>
      <c r="B316" s="168"/>
      <c r="C316" s="168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8"/>
      <c r="O316" s="168"/>
      <c r="P316" s="168"/>
      <c r="Q316" s="168"/>
      <c r="R316" s="168"/>
      <c r="S316" s="168"/>
      <c r="T316" s="168"/>
      <c r="U316" s="168"/>
      <c r="V316" s="168"/>
      <c r="W316" s="168"/>
      <c r="X316" s="168"/>
      <c r="Y316" s="168"/>
      <c r="Z316" s="168"/>
    </row>
    <row r="317" customFormat="false" ht="15.75" hidden="false" customHeight="false" outlineLevel="0" collapsed="false">
      <c r="A317" s="168"/>
      <c r="B317" s="168"/>
      <c r="C317" s="168"/>
      <c r="D317" s="168"/>
      <c r="E317" s="168"/>
      <c r="F317" s="168"/>
      <c r="G317" s="168"/>
      <c r="H317" s="168"/>
      <c r="I317" s="168"/>
      <c r="J317" s="168"/>
      <c r="K317" s="168"/>
      <c r="L317" s="168"/>
      <c r="M317" s="168"/>
      <c r="N317" s="168"/>
      <c r="O317" s="168"/>
      <c r="P317" s="168"/>
      <c r="Q317" s="168"/>
      <c r="R317" s="168"/>
      <c r="S317" s="168"/>
      <c r="T317" s="168"/>
      <c r="U317" s="168"/>
      <c r="V317" s="168"/>
      <c r="W317" s="168"/>
      <c r="X317" s="168"/>
      <c r="Y317" s="168"/>
      <c r="Z317" s="168"/>
    </row>
    <row r="318" customFormat="false" ht="15.75" hidden="false" customHeight="false" outlineLevel="0" collapsed="false">
      <c r="A318" s="168"/>
      <c r="B318" s="168"/>
      <c r="C318" s="168"/>
      <c r="D318" s="168"/>
      <c r="E318" s="168"/>
      <c r="F318" s="168"/>
      <c r="G318" s="168"/>
      <c r="H318" s="168"/>
      <c r="I318" s="168"/>
      <c r="J318" s="168"/>
      <c r="K318" s="168"/>
      <c r="L318" s="168"/>
      <c r="M318" s="168"/>
      <c r="N318" s="168"/>
      <c r="O318" s="168"/>
      <c r="P318" s="168"/>
      <c r="Q318" s="168"/>
      <c r="R318" s="168"/>
      <c r="S318" s="168"/>
      <c r="T318" s="168"/>
      <c r="U318" s="168"/>
      <c r="V318" s="168"/>
      <c r="W318" s="168"/>
      <c r="X318" s="168"/>
      <c r="Y318" s="168"/>
      <c r="Z318" s="168"/>
    </row>
    <row r="319" customFormat="false" ht="15.75" hidden="false" customHeight="false" outlineLevel="0" collapsed="false">
      <c r="A319" s="168"/>
      <c r="B319" s="168"/>
      <c r="C319" s="168"/>
      <c r="D319" s="168"/>
      <c r="E319" s="168"/>
      <c r="F319" s="168"/>
      <c r="G319" s="168"/>
      <c r="H319" s="168"/>
      <c r="I319" s="168"/>
      <c r="J319" s="168"/>
      <c r="K319" s="168"/>
      <c r="L319" s="168"/>
      <c r="M319" s="168"/>
      <c r="N319" s="168"/>
      <c r="O319" s="168"/>
      <c r="P319" s="168"/>
      <c r="Q319" s="168"/>
      <c r="R319" s="168"/>
      <c r="S319" s="168"/>
      <c r="T319" s="168"/>
      <c r="U319" s="168"/>
      <c r="V319" s="168"/>
      <c r="W319" s="168"/>
      <c r="X319" s="168"/>
      <c r="Y319" s="168"/>
      <c r="Z319" s="168"/>
    </row>
    <row r="320" customFormat="false" ht="15.75" hidden="false" customHeight="false" outlineLevel="0" collapsed="false">
      <c r="A320" s="168"/>
      <c r="B320" s="168"/>
      <c r="C320" s="168"/>
      <c r="D320" s="168"/>
      <c r="E320" s="168"/>
      <c r="F320" s="168"/>
      <c r="G320" s="168"/>
      <c r="H320" s="168"/>
      <c r="I320" s="168"/>
      <c r="J320" s="168"/>
      <c r="K320" s="168"/>
      <c r="L320" s="168"/>
      <c r="M320" s="168"/>
      <c r="N320" s="168"/>
      <c r="O320" s="168"/>
      <c r="P320" s="168"/>
      <c r="Q320" s="168"/>
      <c r="R320" s="168"/>
      <c r="S320" s="168"/>
      <c r="T320" s="168"/>
      <c r="U320" s="168"/>
      <c r="V320" s="168"/>
      <c r="W320" s="168"/>
      <c r="X320" s="168"/>
      <c r="Y320" s="168"/>
      <c r="Z320" s="168"/>
    </row>
    <row r="321" customFormat="false" ht="15.75" hidden="false" customHeight="false" outlineLevel="0" collapsed="false">
      <c r="A321" s="168"/>
      <c r="B321" s="168"/>
      <c r="C321" s="168"/>
      <c r="D321" s="168"/>
      <c r="E321" s="168"/>
      <c r="F321" s="168"/>
      <c r="G321" s="168"/>
      <c r="H321" s="168"/>
      <c r="I321" s="168"/>
      <c r="J321" s="168"/>
      <c r="K321" s="168"/>
      <c r="L321" s="168"/>
      <c r="M321" s="168"/>
      <c r="N321" s="168"/>
      <c r="O321" s="168"/>
      <c r="P321" s="168"/>
      <c r="Q321" s="168"/>
      <c r="R321" s="168"/>
      <c r="S321" s="168"/>
      <c r="T321" s="168"/>
      <c r="U321" s="168"/>
      <c r="V321" s="168"/>
      <c r="W321" s="168"/>
      <c r="X321" s="168"/>
      <c r="Y321" s="168"/>
      <c r="Z321" s="168"/>
    </row>
    <row r="322" customFormat="false" ht="15.75" hidden="false" customHeight="false" outlineLevel="0" collapsed="false">
      <c r="A322" s="168"/>
      <c r="B322" s="168"/>
      <c r="C322" s="168"/>
      <c r="D322" s="168"/>
      <c r="E322" s="168"/>
      <c r="F322" s="168"/>
      <c r="G322" s="168"/>
      <c r="H322" s="168"/>
      <c r="I322" s="168"/>
      <c r="J322" s="168"/>
      <c r="K322" s="168"/>
      <c r="L322" s="168"/>
      <c r="M322" s="168"/>
      <c r="N322" s="168"/>
      <c r="O322" s="168"/>
      <c r="P322" s="168"/>
      <c r="Q322" s="168"/>
      <c r="R322" s="168"/>
      <c r="S322" s="168"/>
      <c r="T322" s="168"/>
      <c r="U322" s="168"/>
      <c r="V322" s="168"/>
      <c r="W322" s="168"/>
      <c r="X322" s="168"/>
      <c r="Y322" s="168"/>
      <c r="Z322" s="168"/>
    </row>
    <row r="323" customFormat="false" ht="15.75" hidden="false" customHeight="false" outlineLevel="0" collapsed="false">
      <c r="A323" s="168"/>
      <c r="B323" s="168"/>
      <c r="C323" s="168"/>
      <c r="D323" s="168"/>
      <c r="E323" s="168"/>
      <c r="F323" s="168"/>
      <c r="G323" s="168"/>
      <c r="H323" s="168"/>
      <c r="I323" s="168"/>
      <c r="J323" s="168"/>
      <c r="K323" s="168"/>
      <c r="L323" s="168"/>
      <c r="M323" s="168"/>
      <c r="N323" s="168"/>
      <c r="O323" s="168"/>
      <c r="P323" s="168"/>
      <c r="Q323" s="168"/>
      <c r="R323" s="168"/>
      <c r="S323" s="168"/>
      <c r="T323" s="168"/>
      <c r="U323" s="168"/>
      <c r="V323" s="168"/>
      <c r="W323" s="168"/>
      <c r="X323" s="168"/>
      <c r="Y323" s="168"/>
      <c r="Z323" s="168"/>
    </row>
    <row r="324" customFormat="false" ht="15.75" hidden="false" customHeight="false" outlineLevel="0" collapsed="false">
      <c r="A324" s="168"/>
      <c r="B324" s="168"/>
      <c r="C324" s="168"/>
      <c r="D324" s="168"/>
      <c r="E324" s="168"/>
      <c r="F324" s="168"/>
      <c r="G324" s="168"/>
      <c r="H324" s="168"/>
      <c r="I324" s="168"/>
      <c r="J324" s="168"/>
      <c r="K324" s="168"/>
      <c r="L324" s="168"/>
      <c r="M324" s="168"/>
      <c r="N324" s="168"/>
      <c r="O324" s="168"/>
      <c r="P324" s="168"/>
      <c r="Q324" s="168"/>
      <c r="R324" s="168"/>
      <c r="S324" s="168"/>
      <c r="T324" s="168"/>
      <c r="U324" s="168"/>
      <c r="V324" s="168"/>
      <c r="W324" s="168"/>
      <c r="X324" s="168"/>
      <c r="Y324" s="168"/>
      <c r="Z324" s="168"/>
    </row>
    <row r="325" customFormat="false" ht="15.75" hidden="false" customHeight="false" outlineLevel="0" collapsed="false">
      <c r="A325" s="168"/>
      <c r="B325" s="168"/>
      <c r="C325" s="168"/>
      <c r="D325" s="168"/>
      <c r="E325" s="168"/>
      <c r="F325" s="168"/>
      <c r="G325" s="168"/>
      <c r="H325" s="168"/>
      <c r="I325" s="168"/>
      <c r="J325" s="168"/>
      <c r="K325" s="168"/>
      <c r="L325" s="168"/>
      <c r="M325" s="168"/>
      <c r="N325" s="168"/>
      <c r="O325" s="168"/>
      <c r="P325" s="168"/>
      <c r="Q325" s="168"/>
      <c r="R325" s="168"/>
      <c r="S325" s="168"/>
      <c r="T325" s="168"/>
      <c r="U325" s="168"/>
      <c r="V325" s="168"/>
      <c r="W325" s="168"/>
      <c r="X325" s="168"/>
      <c r="Y325" s="168"/>
      <c r="Z325" s="168"/>
    </row>
    <row r="326" customFormat="false" ht="15.75" hidden="false" customHeight="false" outlineLevel="0" collapsed="false">
      <c r="A326" s="168"/>
      <c r="B326" s="168"/>
      <c r="C326" s="168"/>
      <c r="D326" s="168"/>
      <c r="E326" s="168"/>
      <c r="F326" s="168"/>
      <c r="G326" s="168"/>
      <c r="H326" s="168"/>
      <c r="I326" s="168"/>
      <c r="J326" s="168"/>
      <c r="K326" s="168"/>
      <c r="L326" s="168"/>
      <c r="M326" s="168"/>
      <c r="N326" s="168"/>
      <c r="O326" s="168"/>
      <c r="P326" s="168"/>
      <c r="Q326" s="168"/>
      <c r="R326" s="168"/>
      <c r="S326" s="168"/>
      <c r="T326" s="168"/>
      <c r="U326" s="168"/>
      <c r="V326" s="168"/>
      <c r="W326" s="168"/>
      <c r="X326" s="168"/>
      <c r="Y326" s="168"/>
      <c r="Z326" s="168"/>
    </row>
    <row r="327" customFormat="false" ht="15.75" hidden="false" customHeight="false" outlineLevel="0" collapsed="false">
      <c r="A327" s="168"/>
      <c r="B327" s="168"/>
      <c r="C327" s="168"/>
      <c r="D327" s="168"/>
      <c r="E327" s="168"/>
      <c r="F327" s="168"/>
      <c r="G327" s="168"/>
      <c r="H327" s="168"/>
      <c r="I327" s="168"/>
      <c r="J327" s="168"/>
      <c r="K327" s="168"/>
      <c r="L327" s="168"/>
      <c r="M327" s="168"/>
      <c r="N327" s="168"/>
      <c r="O327" s="168"/>
      <c r="P327" s="168"/>
      <c r="Q327" s="168"/>
      <c r="R327" s="168"/>
      <c r="S327" s="168"/>
      <c r="T327" s="168"/>
      <c r="U327" s="168"/>
      <c r="V327" s="168"/>
      <c r="W327" s="168"/>
      <c r="X327" s="168"/>
      <c r="Y327" s="168"/>
      <c r="Z327" s="168"/>
    </row>
    <row r="328" customFormat="false" ht="15.75" hidden="false" customHeight="false" outlineLevel="0" collapsed="false">
      <c r="A328" s="168"/>
      <c r="B328" s="168"/>
      <c r="C328" s="168"/>
      <c r="D328" s="168"/>
      <c r="E328" s="168"/>
      <c r="F328" s="168"/>
      <c r="G328" s="168"/>
      <c r="H328" s="168"/>
      <c r="I328" s="168"/>
      <c r="J328" s="168"/>
      <c r="K328" s="168"/>
      <c r="L328" s="168"/>
      <c r="M328" s="168"/>
      <c r="N328" s="168"/>
      <c r="O328" s="168"/>
      <c r="P328" s="168"/>
      <c r="Q328" s="168"/>
      <c r="R328" s="168"/>
      <c r="S328" s="168"/>
      <c r="T328" s="168"/>
      <c r="U328" s="168"/>
      <c r="V328" s="168"/>
      <c r="W328" s="168"/>
      <c r="X328" s="168"/>
      <c r="Y328" s="168"/>
      <c r="Z328" s="168"/>
    </row>
    <row r="329" customFormat="false" ht="15.75" hidden="false" customHeight="false" outlineLevel="0" collapsed="false">
      <c r="A329" s="168"/>
      <c r="B329" s="168"/>
      <c r="C329" s="168"/>
      <c r="D329" s="168"/>
      <c r="E329" s="168"/>
      <c r="F329" s="168"/>
      <c r="G329" s="168"/>
      <c r="H329" s="168"/>
      <c r="I329" s="168"/>
      <c r="J329" s="168"/>
      <c r="K329" s="168"/>
      <c r="L329" s="168"/>
      <c r="M329" s="168"/>
      <c r="N329" s="168"/>
      <c r="O329" s="168"/>
      <c r="P329" s="168"/>
      <c r="Q329" s="168"/>
      <c r="R329" s="168"/>
      <c r="S329" s="168"/>
      <c r="T329" s="168"/>
      <c r="U329" s="168"/>
      <c r="V329" s="168"/>
      <c r="W329" s="168"/>
      <c r="X329" s="168"/>
      <c r="Y329" s="168"/>
      <c r="Z329" s="168"/>
    </row>
    <row r="330" customFormat="false" ht="15.75" hidden="false" customHeight="false" outlineLevel="0" collapsed="false">
      <c r="A330" s="168"/>
      <c r="B330" s="168"/>
      <c r="C330" s="168"/>
      <c r="D330" s="168"/>
      <c r="E330" s="168"/>
      <c r="F330" s="168"/>
      <c r="G330" s="168"/>
      <c r="H330" s="168"/>
      <c r="I330" s="168"/>
      <c r="J330" s="168"/>
      <c r="K330" s="168"/>
      <c r="L330" s="168"/>
      <c r="M330" s="168"/>
      <c r="N330" s="168"/>
      <c r="O330" s="168"/>
      <c r="P330" s="168"/>
      <c r="Q330" s="168"/>
      <c r="R330" s="168"/>
      <c r="S330" s="168"/>
      <c r="T330" s="168"/>
      <c r="U330" s="168"/>
      <c r="V330" s="168"/>
      <c r="W330" s="168"/>
      <c r="X330" s="168"/>
      <c r="Y330" s="168"/>
      <c r="Z330" s="168"/>
    </row>
    <row r="331" customFormat="false" ht="15.75" hidden="false" customHeight="false" outlineLevel="0" collapsed="false">
      <c r="A331" s="168"/>
      <c r="B331" s="168"/>
      <c r="C331" s="168"/>
      <c r="D331" s="168"/>
      <c r="E331" s="168"/>
      <c r="F331" s="168"/>
      <c r="G331" s="168"/>
      <c r="H331" s="168"/>
      <c r="I331" s="168"/>
      <c r="J331" s="168"/>
      <c r="K331" s="168"/>
      <c r="L331" s="168"/>
      <c r="M331" s="168"/>
      <c r="N331" s="168"/>
      <c r="O331" s="168"/>
      <c r="P331" s="168"/>
      <c r="Q331" s="168"/>
      <c r="R331" s="168"/>
      <c r="S331" s="168"/>
      <c r="T331" s="168"/>
      <c r="U331" s="168"/>
      <c r="V331" s="168"/>
      <c r="W331" s="168"/>
      <c r="X331" s="168"/>
      <c r="Y331" s="168"/>
      <c r="Z331" s="168"/>
    </row>
    <row r="332" customFormat="false" ht="15.75" hidden="false" customHeight="false" outlineLevel="0" collapsed="false">
      <c r="A332" s="168"/>
      <c r="B332" s="168"/>
      <c r="C332" s="168"/>
      <c r="D332" s="168"/>
      <c r="E332" s="168"/>
      <c r="F332" s="168"/>
      <c r="G332" s="168"/>
      <c r="H332" s="168"/>
      <c r="I332" s="168"/>
      <c r="J332" s="168"/>
      <c r="K332" s="168"/>
      <c r="L332" s="168"/>
      <c r="M332" s="168"/>
      <c r="N332" s="168"/>
      <c r="O332" s="168"/>
      <c r="P332" s="168"/>
      <c r="Q332" s="168"/>
      <c r="R332" s="168"/>
      <c r="S332" s="168"/>
      <c r="T332" s="168"/>
      <c r="U332" s="168"/>
      <c r="V332" s="168"/>
      <c r="W332" s="168"/>
      <c r="X332" s="168"/>
      <c r="Y332" s="168"/>
      <c r="Z332" s="168"/>
    </row>
    <row r="333" customFormat="false" ht="15.75" hidden="false" customHeight="false" outlineLevel="0" collapsed="false">
      <c r="A333" s="168"/>
      <c r="B333" s="168"/>
      <c r="C333" s="168"/>
      <c r="D333" s="168"/>
      <c r="E333" s="168"/>
      <c r="F333" s="168"/>
      <c r="G333" s="168"/>
      <c r="H333" s="168"/>
      <c r="I333" s="168"/>
      <c r="J333" s="168"/>
      <c r="K333" s="168"/>
      <c r="L333" s="168"/>
      <c r="M333" s="168"/>
      <c r="N333" s="168"/>
      <c r="O333" s="168"/>
      <c r="P333" s="168"/>
      <c r="Q333" s="168"/>
      <c r="R333" s="168"/>
      <c r="S333" s="168"/>
      <c r="T333" s="168"/>
      <c r="U333" s="168"/>
      <c r="V333" s="168"/>
      <c r="W333" s="168"/>
      <c r="X333" s="168"/>
      <c r="Y333" s="168"/>
      <c r="Z333" s="168"/>
    </row>
    <row r="334" customFormat="false" ht="15.75" hidden="false" customHeight="false" outlineLevel="0" collapsed="false">
      <c r="A334" s="168"/>
      <c r="B334" s="168"/>
      <c r="C334" s="168"/>
      <c r="D334" s="168"/>
      <c r="E334" s="168"/>
      <c r="F334" s="168"/>
      <c r="G334" s="168"/>
      <c r="H334" s="168"/>
      <c r="I334" s="168"/>
      <c r="J334" s="168"/>
      <c r="K334" s="168"/>
      <c r="L334" s="168"/>
      <c r="M334" s="168"/>
      <c r="N334" s="168"/>
      <c r="O334" s="168"/>
      <c r="P334" s="168"/>
      <c r="Q334" s="168"/>
      <c r="R334" s="168"/>
      <c r="S334" s="168"/>
      <c r="T334" s="168"/>
      <c r="U334" s="168"/>
      <c r="V334" s="168"/>
      <c r="W334" s="168"/>
      <c r="X334" s="168"/>
      <c r="Y334" s="168"/>
      <c r="Z334" s="168"/>
    </row>
    <row r="335" customFormat="false" ht="15.75" hidden="false" customHeight="false" outlineLevel="0" collapsed="false">
      <c r="A335" s="168"/>
      <c r="B335" s="168"/>
      <c r="C335" s="168"/>
      <c r="D335" s="168"/>
      <c r="E335" s="168"/>
      <c r="F335" s="168"/>
      <c r="G335" s="168"/>
      <c r="H335" s="168"/>
      <c r="I335" s="168"/>
      <c r="J335" s="168"/>
      <c r="K335" s="168"/>
      <c r="L335" s="168"/>
      <c r="M335" s="168"/>
      <c r="N335" s="168"/>
      <c r="O335" s="168"/>
      <c r="P335" s="168"/>
      <c r="Q335" s="168"/>
      <c r="R335" s="168"/>
      <c r="S335" s="168"/>
      <c r="T335" s="168"/>
      <c r="U335" s="168"/>
      <c r="V335" s="168"/>
      <c r="W335" s="168"/>
      <c r="X335" s="168"/>
      <c r="Y335" s="168"/>
      <c r="Z335" s="168"/>
    </row>
    <row r="336" customFormat="false" ht="15.75" hidden="false" customHeight="false" outlineLevel="0" collapsed="false">
      <c r="A336" s="168"/>
      <c r="B336" s="168"/>
      <c r="C336" s="168"/>
      <c r="D336" s="168"/>
      <c r="E336" s="168"/>
      <c r="F336" s="168"/>
      <c r="G336" s="168"/>
      <c r="H336" s="168"/>
      <c r="I336" s="168"/>
      <c r="J336" s="168"/>
      <c r="K336" s="168"/>
      <c r="L336" s="168"/>
      <c r="M336" s="168"/>
      <c r="N336" s="168"/>
      <c r="O336" s="168"/>
      <c r="P336" s="168"/>
      <c r="Q336" s="168"/>
      <c r="R336" s="168"/>
      <c r="S336" s="168"/>
      <c r="T336" s="168"/>
      <c r="U336" s="168"/>
      <c r="V336" s="168"/>
      <c r="W336" s="168"/>
      <c r="X336" s="168"/>
      <c r="Y336" s="168"/>
      <c r="Z336" s="168"/>
    </row>
    <row r="337" customFormat="false" ht="15.75" hidden="false" customHeight="false" outlineLevel="0" collapsed="false">
      <c r="A337" s="168"/>
      <c r="B337" s="168"/>
      <c r="C337" s="168"/>
      <c r="D337" s="168"/>
      <c r="E337" s="168"/>
      <c r="F337" s="168"/>
      <c r="G337" s="168"/>
      <c r="H337" s="168"/>
      <c r="I337" s="168"/>
      <c r="J337" s="168"/>
      <c r="K337" s="168"/>
      <c r="L337" s="168"/>
      <c r="M337" s="168"/>
      <c r="N337" s="168"/>
      <c r="O337" s="168"/>
      <c r="P337" s="168"/>
      <c r="Q337" s="168"/>
      <c r="R337" s="168"/>
      <c r="S337" s="168"/>
      <c r="T337" s="168"/>
      <c r="U337" s="168"/>
      <c r="V337" s="168"/>
      <c r="W337" s="168"/>
      <c r="X337" s="168"/>
      <c r="Y337" s="168"/>
      <c r="Z337" s="168"/>
    </row>
    <row r="338" customFormat="false" ht="15.75" hidden="false" customHeight="false" outlineLevel="0" collapsed="false">
      <c r="A338" s="168"/>
      <c r="B338" s="168"/>
      <c r="C338" s="168"/>
      <c r="D338" s="168"/>
      <c r="E338" s="168"/>
      <c r="F338" s="168"/>
      <c r="G338" s="168"/>
      <c r="H338" s="168"/>
      <c r="I338" s="168"/>
      <c r="J338" s="168"/>
      <c r="K338" s="168"/>
      <c r="L338" s="168"/>
      <c r="M338" s="168"/>
      <c r="N338" s="168"/>
      <c r="O338" s="168"/>
      <c r="P338" s="168"/>
      <c r="Q338" s="168"/>
      <c r="R338" s="168"/>
      <c r="S338" s="168"/>
      <c r="T338" s="168"/>
      <c r="U338" s="168"/>
      <c r="V338" s="168"/>
      <c r="W338" s="168"/>
      <c r="X338" s="168"/>
      <c r="Y338" s="168"/>
      <c r="Z338" s="168"/>
    </row>
    <row r="339" customFormat="false" ht="15.75" hidden="false" customHeight="false" outlineLevel="0" collapsed="false">
      <c r="A339" s="168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</row>
    <row r="340" customFormat="false" ht="15.75" hidden="false" customHeight="false" outlineLevel="0" collapsed="false">
      <c r="A340" s="168"/>
      <c r="B340" s="168"/>
      <c r="C340" s="168"/>
      <c r="D340" s="168"/>
      <c r="E340" s="168"/>
      <c r="F340" s="168"/>
      <c r="G340" s="168"/>
      <c r="H340" s="168"/>
      <c r="I340" s="168"/>
      <c r="J340" s="168"/>
      <c r="K340" s="168"/>
      <c r="L340" s="168"/>
      <c r="M340" s="168"/>
      <c r="N340" s="168"/>
      <c r="O340" s="168"/>
      <c r="P340" s="168"/>
      <c r="Q340" s="168"/>
      <c r="R340" s="168"/>
      <c r="S340" s="168"/>
      <c r="T340" s="168"/>
      <c r="U340" s="168"/>
      <c r="V340" s="168"/>
      <c r="W340" s="168"/>
      <c r="X340" s="168"/>
      <c r="Y340" s="168"/>
      <c r="Z340" s="168"/>
    </row>
    <row r="341" customFormat="false" ht="15.75" hidden="false" customHeight="false" outlineLevel="0" collapsed="false">
      <c r="A341" s="168"/>
      <c r="B341" s="168"/>
      <c r="C341" s="168"/>
      <c r="D341" s="168"/>
      <c r="E341" s="168"/>
      <c r="F341" s="168"/>
      <c r="G341" s="168"/>
      <c r="H341" s="168"/>
      <c r="I341" s="168"/>
      <c r="J341" s="168"/>
      <c r="K341" s="168"/>
      <c r="L341" s="168"/>
      <c r="M341" s="168"/>
      <c r="N341" s="168"/>
      <c r="O341" s="168"/>
      <c r="P341" s="168"/>
      <c r="Q341" s="168"/>
      <c r="R341" s="168"/>
      <c r="S341" s="168"/>
      <c r="T341" s="168"/>
      <c r="U341" s="168"/>
      <c r="V341" s="168"/>
      <c r="W341" s="168"/>
      <c r="X341" s="168"/>
      <c r="Y341" s="168"/>
      <c r="Z341" s="168"/>
    </row>
    <row r="342" customFormat="false" ht="15.75" hidden="false" customHeight="false" outlineLevel="0" collapsed="false">
      <c r="A342" s="168"/>
      <c r="B342" s="168"/>
      <c r="C342" s="168"/>
      <c r="D342" s="168"/>
      <c r="E342" s="168"/>
      <c r="F342" s="168"/>
      <c r="G342" s="168"/>
      <c r="H342" s="168"/>
      <c r="I342" s="168"/>
      <c r="J342" s="168"/>
      <c r="K342" s="168"/>
      <c r="L342" s="168"/>
      <c r="M342" s="168"/>
      <c r="N342" s="168"/>
      <c r="O342" s="168"/>
      <c r="P342" s="168"/>
      <c r="Q342" s="168"/>
      <c r="R342" s="168"/>
      <c r="S342" s="168"/>
      <c r="T342" s="168"/>
      <c r="U342" s="168"/>
      <c r="V342" s="168"/>
      <c r="W342" s="168"/>
      <c r="X342" s="168"/>
      <c r="Y342" s="168"/>
      <c r="Z342" s="168"/>
    </row>
    <row r="343" customFormat="false" ht="15.75" hidden="false" customHeight="false" outlineLevel="0" collapsed="false">
      <c r="A343" s="168"/>
      <c r="B343" s="168"/>
      <c r="C343" s="168"/>
      <c r="D343" s="168"/>
      <c r="E343" s="168"/>
      <c r="F343" s="168"/>
      <c r="G343" s="168"/>
      <c r="H343" s="168"/>
      <c r="I343" s="168"/>
      <c r="J343" s="168"/>
      <c r="K343" s="168"/>
      <c r="L343" s="168"/>
      <c r="M343" s="168"/>
      <c r="N343" s="168"/>
      <c r="O343" s="168"/>
      <c r="P343" s="168"/>
      <c r="Q343" s="168"/>
      <c r="R343" s="168"/>
      <c r="S343" s="168"/>
      <c r="T343" s="168"/>
      <c r="U343" s="168"/>
      <c r="V343" s="168"/>
      <c r="W343" s="168"/>
      <c r="X343" s="168"/>
      <c r="Y343" s="168"/>
      <c r="Z343" s="168"/>
    </row>
    <row r="344" customFormat="false" ht="15.75" hidden="false" customHeight="false" outlineLevel="0" collapsed="false">
      <c r="A344" s="168"/>
      <c r="B344" s="168"/>
      <c r="C344" s="168"/>
      <c r="D344" s="168"/>
      <c r="E344" s="168"/>
      <c r="F344" s="168"/>
      <c r="G344" s="168"/>
      <c r="H344" s="168"/>
      <c r="I344" s="168"/>
      <c r="J344" s="168"/>
      <c r="K344" s="168"/>
      <c r="L344" s="168"/>
      <c r="M344" s="168"/>
      <c r="N344" s="168"/>
      <c r="O344" s="168"/>
      <c r="P344" s="168"/>
      <c r="Q344" s="168"/>
      <c r="R344" s="168"/>
      <c r="S344" s="168"/>
      <c r="T344" s="168"/>
      <c r="U344" s="168"/>
      <c r="V344" s="168"/>
      <c r="W344" s="168"/>
      <c r="X344" s="168"/>
      <c r="Y344" s="168"/>
      <c r="Z344" s="168"/>
    </row>
    <row r="345" customFormat="false" ht="15.75" hidden="false" customHeight="false" outlineLevel="0" collapsed="false">
      <c r="A345" s="168"/>
      <c r="B345" s="168"/>
      <c r="C345" s="168"/>
      <c r="D345" s="168"/>
      <c r="E345" s="168"/>
      <c r="F345" s="168"/>
      <c r="G345" s="168"/>
      <c r="H345" s="168"/>
      <c r="I345" s="168"/>
      <c r="J345" s="168"/>
      <c r="K345" s="168"/>
      <c r="L345" s="168"/>
      <c r="M345" s="168"/>
      <c r="N345" s="168"/>
      <c r="O345" s="168"/>
      <c r="P345" s="168"/>
      <c r="Q345" s="168"/>
      <c r="R345" s="168"/>
      <c r="S345" s="168"/>
      <c r="T345" s="168"/>
      <c r="U345" s="168"/>
      <c r="V345" s="168"/>
      <c r="W345" s="168"/>
      <c r="X345" s="168"/>
      <c r="Y345" s="168"/>
      <c r="Z345" s="168"/>
    </row>
    <row r="346" customFormat="false" ht="15.75" hidden="false" customHeight="false" outlineLevel="0" collapsed="false">
      <c r="A346" s="168"/>
      <c r="B346" s="168"/>
      <c r="C346" s="168"/>
      <c r="D346" s="168"/>
      <c r="E346" s="168"/>
      <c r="F346" s="168"/>
      <c r="G346" s="168"/>
      <c r="H346" s="168"/>
      <c r="I346" s="168"/>
      <c r="J346" s="168"/>
      <c r="K346" s="168"/>
      <c r="L346" s="168"/>
      <c r="M346" s="168"/>
      <c r="N346" s="168"/>
      <c r="O346" s="168"/>
      <c r="P346" s="168"/>
      <c r="Q346" s="168"/>
      <c r="R346" s="168"/>
      <c r="S346" s="168"/>
      <c r="T346" s="168"/>
      <c r="U346" s="168"/>
      <c r="V346" s="168"/>
      <c r="W346" s="168"/>
      <c r="X346" s="168"/>
      <c r="Y346" s="168"/>
      <c r="Z346" s="168"/>
    </row>
    <row r="347" customFormat="false" ht="15.75" hidden="false" customHeight="false" outlineLevel="0" collapsed="false">
      <c r="A347" s="168"/>
      <c r="B347" s="168"/>
      <c r="C347" s="168"/>
      <c r="D347" s="168"/>
      <c r="E347" s="168"/>
      <c r="F347" s="168"/>
      <c r="G347" s="168"/>
      <c r="H347" s="168"/>
      <c r="I347" s="168"/>
      <c r="J347" s="168"/>
      <c r="K347" s="168"/>
      <c r="L347" s="168"/>
      <c r="M347" s="168"/>
      <c r="N347" s="168"/>
      <c r="O347" s="168"/>
      <c r="P347" s="168"/>
      <c r="Q347" s="168"/>
      <c r="R347" s="168"/>
      <c r="S347" s="168"/>
      <c r="T347" s="168"/>
      <c r="U347" s="168"/>
      <c r="V347" s="168"/>
      <c r="W347" s="168"/>
      <c r="X347" s="168"/>
      <c r="Y347" s="168"/>
      <c r="Z347" s="168"/>
    </row>
    <row r="348" customFormat="false" ht="15.75" hidden="false" customHeight="false" outlineLevel="0" collapsed="false">
      <c r="A348" s="168"/>
      <c r="B348" s="168"/>
      <c r="C348" s="168"/>
      <c r="D348" s="168"/>
      <c r="E348" s="168"/>
      <c r="F348" s="168"/>
      <c r="G348" s="168"/>
      <c r="H348" s="168"/>
      <c r="I348" s="168"/>
      <c r="J348" s="168"/>
      <c r="K348" s="168"/>
      <c r="L348" s="168"/>
      <c r="M348" s="168"/>
      <c r="N348" s="168"/>
      <c r="O348" s="168"/>
      <c r="P348" s="168"/>
      <c r="Q348" s="168"/>
      <c r="R348" s="168"/>
      <c r="S348" s="168"/>
      <c r="T348" s="168"/>
      <c r="U348" s="168"/>
      <c r="V348" s="168"/>
      <c r="W348" s="168"/>
      <c r="X348" s="168"/>
      <c r="Y348" s="168"/>
      <c r="Z348" s="168"/>
    </row>
    <row r="349" customFormat="false" ht="15.75" hidden="false" customHeight="false" outlineLevel="0" collapsed="false">
      <c r="A349" s="168"/>
      <c r="B349" s="168"/>
      <c r="C349" s="168"/>
      <c r="D349" s="168"/>
      <c r="E349" s="168"/>
      <c r="F349" s="168"/>
      <c r="G349" s="168"/>
      <c r="H349" s="168"/>
      <c r="I349" s="168"/>
      <c r="J349" s="168"/>
      <c r="K349" s="168"/>
      <c r="L349" s="168"/>
      <c r="M349" s="168"/>
      <c r="N349" s="168"/>
      <c r="O349" s="168"/>
      <c r="P349" s="168"/>
      <c r="Q349" s="168"/>
      <c r="R349" s="168"/>
      <c r="S349" s="168"/>
      <c r="T349" s="168"/>
      <c r="U349" s="168"/>
      <c r="V349" s="168"/>
      <c r="W349" s="168"/>
      <c r="X349" s="168"/>
      <c r="Y349" s="168"/>
      <c r="Z349" s="168"/>
    </row>
    <row r="350" customFormat="false" ht="15.75" hidden="false" customHeight="false" outlineLevel="0" collapsed="false">
      <c r="A350" s="168"/>
      <c r="B350" s="168"/>
      <c r="C350" s="168"/>
      <c r="D350" s="168"/>
      <c r="E350" s="168"/>
      <c r="F350" s="168"/>
      <c r="G350" s="168"/>
      <c r="H350" s="168"/>
      <c r="I350" s="168"/>
      <c r="J350" s="168"/>
      <c r="K350" s="168"/>
      <c r="L350" s="168"/>
      <c r="M350" s="168"/>
      <c r="N350" s="168"/>
      <c r="O350" s="168"/>
      <c r="P350" s="168"/>
      <c r="Q350" s="168"/>
      <c r="R350" s="168"/>
      <c r="S350" s="168"/>
      <c r="T350" s="168"/>
      <c r="U350" s="168"/>
      <c r="V350" s="168"/>
      <c r="W350" s="168"/>
      <c r="X350" s="168"/>
      <c r="Y350" s="168"/>
      <c r="Z350" s="168"/>
    </row>
    <row r="351" customFormat="false" ht="15.75" hidden="false" customHeight="false" outlineLevel="0" collapsed="false">
      <c r="A351" s="168"/>
      <c r="B351" s="168"/>
      <c r="C351" s="168"/>
      <c r="D351" s="168"/>
      <c r="E351" s="168"/>
      <c r="F351" s="168"/>
      <c r="G351" s="168"/>
      <c r="H351" s="168"/>
      <c r="I351" s="168"/>
      <c r="J351" s="168"/>
      <c r="K351" s="168"/>
      <c r="L351" s="168"/>
      <c r="M351" s="168"/>
      <c r="N351" s="168"/>
      <c r="O351" s="168"/>
      <c r="P351" s="168"/>
      <c r="Q351" s="168"/>
      <c r="R351" s="168"/>
      <c r="S351" s="168"/>
      <c r="T351" s="168"/>
      <c r="U351" s="168"/>
      <c r="V351" s="168"/>
      <c r="W351" s="168"/>
      <c r="X351" s="168"/>
      <c r="Y351" s="168"/>
      <c r="Z351" s="168"/>
    </row>
    <row r="352" customFormat="false" ht="15.75" hidden="false" customHeight="false" outlineLevel="0" collapsed="false">
      <c r="A352" s="168"/>
      <c r="B352" s="168"/>
      <c r="C352" s="168"/>
      <c r="D352" s="168"/>
      <c r="E352" s="168"/>
      <c r="F352" s="168"/>
      <c r="G352" s="168"/>
      <c r="H352" s="168"/>
      <c r="I352" s="168"/>
      <c r="J352" s="168"/>
      <c r="K352" s="168"/>
      <c r="L352" s="168"/>
      <c r="M352" s="168"/>
      <c r="N352" s="168"/>
      <c r="O352" s="168"/>
      <c r="P352" s="168"/>
      <c r="Q352" s="168"/>
      <c r="R352" s="168"/>
      <c r="S352" s="168"/>
      <c r="T352" s="168"/>
      <c r="U352" s="168"/>
      <c r="V352" s="168"/>
      <c r="W352" s="168"/>
      <c r="X352" s="168"/>
      <c r="Y352" s="168"/>
      <c r="Z352" s="168"/>
    </row>
    <row r="353" customFormat="false" ht="15.75" hidden="false" customHeight="false" outlineLevel="0" collapsed="false">
      <c r="A353" s="168"/>
      <c r="B353" s="168"/>
      <c r="C353" s="168"/>
      <c r="D353" s="168"/>
      <c r="E353" s="168"/>
      <c r="F353" s="168"/>
      <c r="G353" s="168"/>
      <c r="H353" s="168"/>
      <c r="I353" s="168"/>
      <c r="J353" s="168"/>
      <c r="K353" s="168"/>
      <c r="L353" s="168"/>
      <c r="M353" s="168"/>
      <c r="N353" s="168"/>
      <c r="O353" s="168"/>
      <c r="P353" s="168"/>
      <c r="Q353" s="168"/>
      <c r="R353" s="168"/>
      <c r="S353" s="168"/>
      <c r="T353" s="168"/>
      <c r="U353" s="168"/>
      <c r="V353" s="168"/>
      <c r="W353" s="168"/>
      <c r="X353" s="168"/>
      <c r="Y353" s="168"/>
      <c r="Z353" s="168"/>
    </row>
    <row r="354" customFormat="false" ht="15.75" hidden="false" customHeight="false" outlineLevel="0" collapsed="false">
      <c r="A354" s="168"/>
      <c r="B354" s="168"/>
      <c r="C354" s="168"/>
      <c r="D354" s="168"/>
      <c r="E354" s="168"/>
      <c r="F354" s="168"/>
      <c r="G354" s="168"/>
      <c r="H354" s="168"/>
      <c r="I354" s="168"/>
      <c r="J354" s="168"/>
      <c r="K354" s="168"/>
      <c r="L354" s="168"/>
      <c r="M354" s="168"/>
      <c r="N354" s="168"/>
      <c r="O354" s="168"/>
      <c r="P354" s="168"/>
      <c r="Q354" s="168"/>
      <c r="R354" s="168"/>
      <c r="S354" s="168"/>
      <c r="T354" s="168"/>
      <c r="U354" s="168"/>
      <c r="V354" s="168"/>
      <c r="W354" s="168"/>
      <c r="X354" s="168"/>
      <c r="Y354" s="168"/>
      <c r="Z354" s="168"/>
    </row>
    <row r="355" customFormat="false" ht="15.75" hidden="false" customHeight="false" outlineLevel="0" collapsed="false">
      <c r="A355" s="168"/>
      <c r="B355" s="168"/>
      <c r="C355" s="168"/>
      <c r="D355" s="168"/>
      <c r="E355" s="168"/>
      <c r="F355" s="168"/>
      <c r="G355" s="168"/>
      <c r="H355" s="168"/>
      <c r="I355" s="168"/>
      <c r="J355" s="168"/>
      <c r="K355" s="168"/>
      <c r="L355" s="168"/>
      <c r="M355" s="168"/>
      <c r="N355" s="168"/>
      <c r="O355" s="168"/>
      <c r="P355" s="168"/>
      <c r="Q355" s="168"/>
      <c r="R355" s="168"/>
      <c r="S355" s="168"/>
      <c r="T355" s="168"/>
      <c r="U355" s="168"/>
      <c r="V355" s="168"/>
      <c r="W355" s="168"/>
      <c r="X355" s="168"/>
      <c r="Y355" s="168"/>
      <c r="Z355" s="168"/>
    </row>
    <row r="356" customFormat="false" ht="15.75" hidden="false" customHeight="false" outlineLevel="0" collapsed="false">
      <c r="A356" s="168"/>
      <c r="B356" s="168"/>
      <c r="C356" s="168"/>
      <c r="D356" s="168"/>
      <c r="E356" s="168"/>
      <c r="F356" s="168"/>
      <c r="G356" s="168"/>
      <c r="H356" s="168"/>
      <c r="I356" s="168"/>
      <c r="J356" s="168"/>
      <c r="K356" s="168"/>
      <c r="L356" s="168"/>
      <c r="M356" s="168"/>
      <c r="N356" s="168"/>
      <c r="O356" s="168"/>
      <c r="P356" s="168"/>
      <c r="Q356" s="168"/>
      <c r="R356" s="168"/>
      <c r="S356" s="168"/>
      <c r="T356" s="168"/>
      <c r="U356" s="168"/>
      <c r="V356" s="168"/>
      <c r="W356" s="168"/>
      <c r="X356" s="168"/>
      <c r="Y356" s="168"/>
      <c r="Z356" s="168"/>
    </row>
    <row r="357" customFormat="false" ht="15.75" hidden="false" customHeight="false" outlineLevel="0" collapsed="false">
      <c r="A357" s="168"/>
      <c r="B357" s="168"/>
      <c r="C357" s="168"/>
      <c r="D357" s="168"/>
      <c r="E357" s="168"/>
      <c r="F357" s="168"/>
      <c r="G357" s="168"/>
      <c r="H357" s="168"/>
      <c r="I357" s="168"/>
      <c r="J357" s="168"/>
      <c r="K357" s="168"/>
      <c r="L357" s="168"/>
      <c r="M357" s="168"/>
      <c r="N357" s="168"/>
      <c r="O357" s="168"/>
      <c r="P357" s="168"/>
      <c r="Q357" s="168"/>
      <c r="R357" s="168"/>
      <c r="S357" s="168"/>
      <c r="T357" s="168"/>
      <c r="U357" s="168"/>
      <c r="V357" s="168"/>
      <c r="W357" s="168"/>
      <c r="X357" s="168"/>
      <c r="Y357" s="168"/>
      <c r="Z357" s="168"/>
    </row>
    <row r="358" customFormat="false" ht="15.75" hidden="false" customHeight="false" outlineLevel="0" collapsed="false">
      <c r="A358" s="168"/>
      <c r="B358" s="168"/>
      <c r="C358" s="168"/>
      <c r="D358" s="168"/>
      <c r="E358" s="168"/>
      <c r="F358" s="168"/>
      <c r="G358" s="168"/>
      <c r="H358" s="168"/>
      <c r="I358" s="168"/>
      <c r="J358" s="168"/>
      <c r="K358" s="168"/>
      <c r="L358" s="168"/>
      <c r="M358" s="168"/>
      <c r="N358" s="168"/>
      <c r="O358" s="168"/>
      <c r="P358" s="168"/>
      <c r="Q358" s="168"/>
      <c r="R358" s="168"/>
      <c r="S358" s="168"/>
      <c r="T358" s="168"/>
      <c r="U358" s="168"/>
      <c r="V358" s="168"/>
      <c r="W358" s="168"/>
      <c r="X358" s="168"/>
      <c r="Y358" s="168"/>
      <c r="Z358" s="168"/>
    </row>
    <row r="359" customFormat="false" ht="15.75" hidden="false" customHeight="false" outlineLevel="0" collapsed="false">
      <c r="A359" s="168"/>
      <c r="B359" s="168"/>
      <c r="C359" s="168"/>
      <c r="D359" s="168"/>
      <c r="E359" s="168"/>
      <c r="F359" s="168"/>
      <c r="G359" s="168"/>
      <c r="H359" s="168"/>
      <c r="I359" s="168"/>
      <c r="J359" s="168"/>
      <c r="K359" s="168"/>
      <c r="L359" s="168"/>
      <c r="M359" s="168"/>
      <c r="N359" s="168"/>
      <c r="O359" s="168"/>
      <c r="P359" s="168"/>
      <c r="Q359" s="168"/>
      <c r="R359" s="168"/>
      <c r="S359" s="168"/>
      <c r="T359" s="168"/>
      <c r="U359" s="168"/>
      <c r="V359" s="168"/>
      <c r="W359" s="168"/>
      <c r="X359" s="168"/>
      <c r="Y359" s="168"/>
      <c r="Z359" s="168"/>
    </row>
    <row r="360" customFormat="false" ht="15.75" hidden="false" customHeight="false" outlineLevel="0" collapsed="false">
      <c r="A360" s="168"/>
      <c r="B360" s="168"/>
      <c r="C360" s="168"/>
      <c r="D360" s="168"/>
      <c r="E360" s="168"/>
      <c r="F360" s="168"/>
      <c r="G360" s="168"/>
      <c r="H360" s="168"/>
      <c r="I360" s="168"/>
      <c r="J360" s="168"/>
      <c r="K360" s="168"/>
      <c r="L360" s="168"/>
      <c r="M360" s="168"/>
      <c r="N360" s="168"/>
      <c r="O360" s="168"/>
      <c r="P360" s="168"/>
      <c r="Q360" s="168"/>
      <c r="R360" s="168"/>
      <c r="S360" s="168"/>
      <c r="T360" s="168"/>
      <c r="U360" s="168"/>
      <c r="V360" s="168"/>
      <c r="W360" s="168"/>
      <c r="X360" s="168"/>
      <c r="Y360" s="168"/>
      <c r="Z360" s="168"/>
    </row>
    <row r="361" customFormat="false" ht="15.75" hidden="false" customHeight="false" outlineLevel="0" collapsed="false">
      <c r="A361" s="168"/>
      <c r="B361" s="168"/>
      <c r="C361" s="168"/>
      <c r="D361" s="168"/>
      <c r="E361" s="168"/>
      <c r="F361" s="168"/>
      <c r="G361" s="168"/>
      <c r="H361" s="168"/>
      <c r="I361" s="168"/>
      <c r="J361" s="168"/>
      <c r="K361" s="168"/>
      <c r="L361" s="168"/>
      <c r="M361" s="168"/>
      <c r="N361" s="168"/>
      <c r="O361" s="168"/>
      <c r="P361" s="168"/>
      <c r="Q361" s="168"/>
      <c r="R361" s="168"/>
      <c r="S361" s="168"/>
      <c r="T361" s="168"/>
      <c r="U361" s="168"/>
      <c r="V361" s="168"/>
      <c r="W361" s="168"/>
      <c r="X361" s="168"/>
      <c r="Y361" s="168"/>
      <c r="Z361" s="168"/>
    </row>
    <row r="362" customFormat="false" ht="15.75" hidden="false" customHeight="false" outlineLevel="0" collapsed="false">
      <c r="A362" s="168"/>
      <c r="B362" s="168"/>
      <c r="C362" s="168"/>
      <c r="D362" s="168"/>
      <c r="E362" s="168"/>
      <c r="F362" s="168"/>
      <c r="G362" s="168"/>
      <c r="H362" s="168"/>
      <c r="I362" s="168"/>
      <c r="J362" s="168"/>
      <c r="K362" s="168"/>
      <c r="L362" s="168"/>
      <c r="M362" s="168"/>
      <c r="N362" s="168"/>
      <c r="O362" s="168"/>
      <c r="P362" s="168"/>
      <c r="Q362" s="168"/>
      <c r="R362" s="168"/>
      <c r="S362" s="168"/>
      <c r="T362" s="168"/>
      <c r="U362" s="168"/>
      <c r="V362" s="168"/>
      <c r="W362" s="168"/>
      <c r="X362" s="168"/>
      <c r="Y362" s="168"/>
      <c r="Z362" s="168"/>
    </row>
    <row r="363" customFormat="false" ht="15.75" hidden="false" customHeight="false" outlineLevel="0" collapsed="false">
      <c r="A363" s="168"/>
      <c r="B363" s="168"/>
      <c r="C363" s="168"/>
      <c r="D363" s="168"/>
      <c r="E363" s="168"/>
      <c r="F363" s="168"/>
      <c r="G363" s="168"/>
      <c r="H363" s="168"/>
      <c r="I363" s="168"/>
      <c r="J363" s="168"/>
      <c r="K363" s="168"/>
      <c r="L363" s="168"/>
      <c r="M363" s="168"/>
      <c r="N363" s="168"/>
      <c r="O363" s="168"/>
      <c r="P363" s="168"/>
      <c r="Q363" s="168"/>
      <c r="R363" s="168"/>
      <c r="S363" s="168"/>
      <c r="T363" s="168"/>
      <c r="U363" s="168"/>
      <c r="V363" s="168"/>
      <c r="W363" s="168"/>
      <c r="X363" s="168"/>
      <c r="Y363" s="168"/>
      <c r="Z363" s="168"/>
    </row>
    <row r="364" customFormat="false" ht="15.75" hidden="false" customHeight="false" outlineLevel="0" collapsed="false">
      <c r="A364" s="168"/>
      <c r="B364" s="168"/>
      <c r="C364" s="168"/>
      <c r="D364" s="168"/>
      <c r="E364" s="168"/>
      <c r="F364" s="168"/>
      <c r="G364" s="168"/>
      <c r="H364" s="168"/>
      <c r="I364" s="168"/>
      <c r="J364" s="168"/>
      <c r="K364" s="168"/>
      <c r="L364" s="168"/>
      <c r="M364" s="168"/>
      <c r="N364" s="168"/>
      <c r="O364" s="168"/>
      <c r="P364" s="168"/>
      <c r="Q364" s="168"/>
      <c r="R364" s="168"/>
      <c r="S364" s="168"/>
      <c r="T364" s="168"/>
      <c r="U364" s="168"/>
      <c r="V364" s="168"/>
      <c r="W364" s="168"/>
      <c r="X364" s="168"/>
      <c r="Y364" s="168"/>
      <c r="Z364" s="168"/>
    </row>
    <row r="365" customFormat="false" ht="15.75" hidden="false" customHeight="false" outlineLevel="0" collapsed="false">
      <c r="A365" s="168"/>
      <c r="B365" s="168"/>
      <c r="C365" s="168"/>
      <c r="D365" s="168"/>
      <c r="E365" s="168"/>
      <c r="F365" s="168"/>
      <c r="G365" s="168"/>
      <c r="H365" s="168"/>
      <c r="I365" s="168"/>
      <c r="J365" s="168"/>
      <c r="K365" s="168"/>
      <c r="L365" s="168"/>
      <c r="M365" s="168"/>
      <c r="N365" s="168"/>
      <c r="O365" s="168"/>
      <c r="P365" s="168"/>
      <c r="Q365" s="168"/>
      <c r="R365" s="168"/>
      <c r="S365" s="168"/>
      <c r="T365" s="168"/>
      <c r="U365" s="168"/>
      <c r="V365" s="168"/>
      <c r="W365" s="168"/>
      <c r="X365" s="168"/>
      <c r="Y365" s="168"/>
      <c r="Z365" s="168"/>
    </row>
    <row r="366" customFormat="false" ht="15.75" hidden="false" customHeight="false" outlineLevel="0" collapsed="false">
      <c r="A366" s="168"/>
      <c r="B366" s="168"/>
      <c r="C366" s="168"/>
      <c r="D366" s="168"/>
      <c r="E366" s="168"/>
      <c r="F366" s="168"/>
      <c r="G366" s="168"/>
      <c r="H366" s="168"/>
      <c r="I366" s="168"/>
      <c r="J366" s="168"/>
      <c r="K366" s="168"/>
      <c r="L366" s="168"/>
      <c r="M366" s="168"/>
      <c r="N366" s="168"/>
      <c r="O366" s="168"/>
      <c r="P366" s="168"/>
      <c r="Q366" s="168"/>
      <c r="R366" s="168"/>
      <c r="S366" s="168"/>
      <c r="T366" s="168"/>
      <c r="U366" s="168"/>
      <c r="V366" s="168"/>
      <c r="W366" s="168"/>
      <c r="X366" s="168"/>
      <c r="Y366" s="168"/>
      <c r="Z366" s="168"/>
    </row>
    <row r="367" customFormat="false" ht="15.75" hidden="false" customHeight="false" outlineLevel="0" collapsed="false">
      <c r="A367" s="168"/>
      <c r="B367" s="168"/>
      <c r="C367" s="168"/>
      <c r="D367" s="168"/>
      <c r="E367" s="168"/>
      <c r="F367" s="168"/>
      <c r="G367" s="168"/>
      <c r="H367" s="168"/>
      <c r="I367" s="168"/>
      <c r="J367" s="168"/>
      <c r="K367" s="168"/>
      <c r="L367" s="168"/>
      <c r="M367" s="168"/>
      <c r="N367" s="168"/>
      <c r="O367" s="168"/>
      <c r="P367" s="168"/>
      <c r="Q367" s="168"/>
      <c r="R367" s="168"/>
      <c r="S367" s="168"/>
      <c r="T367" s="168"/>
      <c r="U367" s="168"/>
      <c r="V367" s="168"/>
      <c r="W367" s="168"/>
      <c r="X367" s="168"/>
      <c r="Y367" s="168"/>
      <c r="Z367" s="168"/>
    </row>
    <row r="368" customFormat="false" ht="15.75" hidden="false" customHeight="false" outlineLevel="0" collapsed="false">
      <c r="A368" s="168"/>
      <c r="B368" s="168"/>
      <c r="C368" s="168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8"/>
      <c r="O368" s="168"/>
      <c r="P368" s="168"/>
      <c r="Q368" s="168"/>
      <c r="R368" s="168"/>
      <c r="S368" s="168"/>
      <c r="T368" s="168"/>
      <c r="U368" s="168"/>
      <c r="V368" s="168"/>
      <c r="W368" s="168"/>
      <c r="X368" s="168"/>
      <c r="Y368" s="168"/>
      <c r="Z368" s="168"/>
    </row>
    <row r="369" customFormat="false" ht="15.75" hidden="false" customHeight="false" outlineLevel="0" collapsed="false">
      <c r="A369" s="168"/>
      <c r="B369" s="168"/>
      <c r="C369" s="168"/>
      <c r="D369" s="168"/>
      <c r="E369" s="168"/>
      <c r="F369" s="168"/>
      <c r="G369" s="168"/>
      <c r="H369" s="168"/>
      <c r="I369" s="168"/>
      <c r="J369" s="168"/>
      <c r="K369" s="168"/>
      <c r="L369" s="168"/>
      <c r="M369" s="168"/>
      <c r="N369" s="168"/>
      <c r="O369" s="168"/>
      <c r="P369" s="168"/>
      <c r="Q369" s="168"/>
      <c r="R369" s="168"/>
      <c r="S369" s="168"/>
      <c r="T369" s="168"/>
      <c r="U369" s="168"/>
      <c r="V369" s="168"/>
      <c r="W369" s="168"/>
      <c r="X369" s="168"/>
      <c r="Y369" s="168"/>
      <c r="Z369" s="168"/>
    </row>
    <row r="370" customFormat="false" ht="15.75" hidden="false" customHeight="false" outlineLevel="0" collapsed="false">
      <c r="A370" s="168"/>
      <c r="B370" s="168"/>
      <c r="C370" s="168"/>
      <c r="D370" s="168"/>
      <c r="E370" s="168"/>
      <c r="F370" s="168"/>
      <c r="G370" s="168"/>
      <c r="H370" s="168"/>
      <c r="I370" s="168"/>
      <c r="J370" s="168"/>
      <c r="K370" s="168"/>
      <c r="L370" s="168"/>
      <c r="M370" s="168"/>
      <c r="N370" s="168"/>
      <c r="O370" s="168"/>
      <c r="P370" s="168"/>
      <c r="Q370" s="168"/>
      <c r="R370" s="168"/>
      <c r="S370" s="168"/>
      <c r="T370" s="168"/>
      <c r="U370" s="168"/>
      <c r="V370" s="168"/>
      <c r="W370" s="168"/>
      <c r="X370" s="168"/>
      <c r="Y370" s="168"/>
      <c r="Z370" s="168"/>
    </row>
    <row r="371" customFormat="false" ht="15.75" hidden="false" customHeight="false" outlineLevel="0" collapsed="false">
      <c r="A371" s="168"/>
      <c r="B371" s="168"/>
      <c r="C371" s="168"/>
      <c r="D371" s="168"/>
      <c r="E371" s="168"/>
      <c r="F371" s="168"/>
      <c r="G371" s="168"/>
      <c r="H371" s="168"/>
      <c r="I371" s="168"/>
      <c r="J371" s="168"/>
      <c r="K371" s="168"/>
      <c r="L371" s="168"/>
      <c r="M371" s="168"/>
      <c r="N371" s="168"/>
      <c r="O371" s="168"/>
      <c r="P371" s="168"/>
      <c r="Q371" s="168"/>
      <c r="R371" s="168"/>
      <c r="S371" s="168"/>
      <c r="T371" s="168"/>
      <c r="U371" s="168"/>
      <c r="V371" s="168"/>
      <c r="W371" s="168"/>
      <c r="X371" s="168"/>
      <c r="Y371" s="168"/>
      <c r="Z371" s="168"/>
    </row>
    <row r="372" customFormat="false" ht="15.75" hidden="false" customHeight="false" outlineLevel="0" collapsed="false">
      <c r="A372" s="168"/>
      <c r="B372" s="168"/>
      <c r="C372" s="168"/>
      <c r="D372" s="168"/>
      <c r="E372" s="168"/>
      <c r="F372" s="168"/>
      <c r="G372" s="168"/>
      <c r="H372" s="168"/>
      <c r="I372" s="168"/>
      <c r="J372" s="168"/>
      <c r="K372" s="168"/>
      <c r="L372" s="168"/>
      <c r="M372" s="168"/>
      <c r="N372" s="168"/>
      <c r="O372" s="168"/>
      <c r="P372" s="168"/>
      <c r="Q372" s="168"/>
      <c r="R372" s="168"/>
      <c r="S372" s="168"/>
      <c r="T372" s="168"/>
      <c r="U372" s="168"/>
      <c r="V372" s="168"/>
      <c r="W372" s="168"/>
      <c r="X372" s="168"/>
      <c r="Y372" s="168"/>
      <c r="Z372" s="168"/>
    </row>
    <row r="373" customFormat="false" ht="15.75" hidden="false" customHeight="false" outlineLevel="0" collapsed="false">
      <c r="A373" s="168"/>
      <c r="B373" s="168"/>
      <c r="C373" s="168"/>
      <c r="D373" s="168"/>
      <c r="E373" s="168"/>
      <c r="F373" s="168"/>
      <c r="G373" s="168"/>
      <c r="H373" s="168"/>
      <c r="I373" s="168"/>
      <c r="J373" s="168"/>
      <c r="K373" s="168"/>
      <c r="L373" s="168"/>
      <c r="M373" s="168"/>
      <c r="N373" s="168"/>
      <c r="O373" s="168"/>
      <c r="P373" s="168"/>
      <c r="Q373" s="168"/>
      <c r="R373" s="168"/>
      <c r="S373" s="168"/>
      <c r="T373" s="168"/>
      <c r="U373" s="168"/>
      <c r="V373" s="168"/>
      <c r="W373" s="168"/>
      <c r="X373" s="168"/>
      <c r="Y373" s="168"/>
      <c r="Z373" s="168"/>
    </row>
    <row r="374" customFormat="false" ht="15.75" hidden="false" customHeight="false" outlineLevel="0" collapsed="false">
      <c r="A374" s="168"/>
      <c r="B374" s="168"/>
      <c r="C374" s="168"/>
      <c r="D374" s="168"/>
      <c r="E374" s="168"/>
      <c r="F374" s="168"/>
      <c r="G374" s="168"/>
      <c r="H374" s="168"/>
      <c r="I374" s="168"/>
      <c r="J374" s="168"/>
      <c r="K374" s="168"/>
      <c r="L374" s="168"/>
      <c r="M374" s="168"/>
      <c r="N374" s="168"/>
      <c r="O374" s="168"/>
      <c r="P374" s="168"/>
      <c r="Q374" s="168"/>
      <c r="R374" s="168"/>
      <c r="S374" s="168"/>
      <c r="T374" s="168"/>
      <c r="U374" s="168"/>
      <c r="V374" s="168"/>
      <c r="W374" s="168"/>
      <c r="X374" s="168"/>
      <c r="Y374" s="168"/>
      <c r="Z374" s="168"/>
    </row>
    <row r="375" customFormat="false" ht="15.75" hidden="false" customHeight="false" outlineLevel="0" collapsed="false">
      <c r="A375" s="168"/>
      <c r="B375" s="168"/>
      <c r="C375" s="168"/>
      <c r="D375" s="168"/>
      <c r="E375" s="168"/>
      <c r="F375" s="168"/>
      <c r="G375" s="168"/>
      <c r="H375" s="168"/>
      <c r="I375" s="168"/>
      <c r="J375" s="168"/>
      <c r="K375" s="168"/>
      <c r="L375" s="168"/>
      <c r="M375" s="168"/>
      <c r="N375" s="168"/>
      <c r="O375" s="168"/>
      <c r="P375" s="168"/>
      <c r="Q375" s="168"/>
      <c r="R375" s="168"/>
      <c r="S375" s="168"/>
      <c r="T375" s="168"/>
      <c r="U375" s="168"/>
      <c r="V375" s="168"/>
      <c r="W375" s="168"/>
      <c r="X375" s="168"/>
      <c r="Y375" s="168"/>
      <c r="Z375" s="168"/>
    </row>
    <row r="376" customFormat="false" ht="15.75" hidden="false" customHeight="false" outlineLevel="0" collapsed="false">
      <c r="A376" s="168"/>
      <c r="B376" s="168"/>
      <c r="C376" s="168"/>
      <c r="D376" s="168"/>
      <c r="E376" s="168"/>
      <c r="F376" s="168"/>
      <c r="G376" s="168"/>
      <c r="H376" s="168"/>
      <c r="I376" s="168"/>
      <c r="J376" s="168"/>
      <c r="K376" s="168"/>
      <c r="L376" s="168"/>
      <c r="M376" s="168"/>
      <c r="N376" s="168"/>
      <c r="O376" s="168"/>
      <c r="P376" s="168"/>
      <c r="Q376" s="168"/>
      <c r="R376" s="168"/>
      <c r="S376" s="168"/>
      <c r="T376" s="168"/>
      <c r="U376" s="168"/>
      <c r="V376" s="168"/>
      <c r="W376" s="168"/>
      <c r="X376" s="168"/>
      <c r="Y376" s="168"/>
      <c r="Z376" s="168"/>
    </row>
    <row r="377" customFormat="false" ht="15.75" hidden="false" customHeight="false" outlineLevel="0" collapsed="false">
      <c r="A377" s="168"/>
      <c r="B377" s="168"/>
      <c r="C377" s="168"/>
      <c r="D377" s="168"/>
      <c r="E377" s="168"/>
      <c r="F377" s="168"/>
      <c r="G377" s="168"/>
      <c r="H377" s="168"/>
      <c r="I377" s="168"/>
      <c r="J377" s="168"/>
      <c r="K377" s="168"/>
      <c r="L377" s="168"/>
      <c r="M377" s="168"/>
      <c r="N377" s="168"/>
      <c r="O377" s="168"/>
      <c r="P377" s="168"/>
      <c r="Q377" s="168"/>
      <c r="R377" s="168"/>
      <c r="S377" s="168"/>
      <c r="T377" s="168"/>
      <c r="U377" s="168"/>
      <c r="V377" s="168"/>
      <c r="W377" s="168"/>
      <c r="X377" s="168"/>
      <c r="Y377" s="168"/>
      <c r="Z377" s="168"/>
    </row>
    <row r="378" customFormat="false" ht="15.75" hidden="false" customHeight="false" outlineLevel="0" collapsed="false">
      <c r="A378" s="168"/>
      <c r="B378" s="168"/>
      <c r="C378" s="168"/>
      <c r="D378" s="168"/>
      <c r="E378" s="168"/>
      <c r="F378" s="168"/>
      <c r="G378" s="168"/>
      <c r="H378" s="168"/>
      <c r="I378" s="168"/>
      <c r="J378" s="168"/>
      <c r="K378" s="168"/>
      <c r="L378" s="168"/>
      <c r="M378" s="168"/>
      <c r="N378" s="168"/>
      <c r="O378" s="168"/>
      <c r="P378" s="168"/>
      <c r="Q378" s="168"/>
      <c r="R378" s="168"/>
      <c r="S378" s="168"/>
      <c r="T378" s="168"/>
      <c r="U378" s="168"/>
      <c r="V378" s="168"/>
      <c r="W378" s="168"/>
      <c r="X378" s="168"/>
      <c r="Y378" s="168"/>
      <c r="Z378" s="168"/>
    </row>
    <row r="379" customFormat="false" ht="15.75" hidden="false" customHeight="false" outlineLevel="0" collapsed="false">
      <c r="A379" s="168"/>
      <c r="B379" s="168"/>
      <c r="C379" s="168"/>
      <c r="D379" s="168"/>
      <c r="E379" s="168"/>
      <c r="F379" s="168"/>
      <c r="G379" s="168"/>
      <c r="H379" s="168"/>
      <c r="I379" s="168"/>
      <c r="J379" s="168"/>
      <c r="K379" s="168"/>
      <c r="L379" s="168"/>
      <c r="M379" s="168"/>
      <c r="N379" s="168"/>
      <c r="O379" s="168"/>
      <c r="P379" s="168"/>
      <c r="Q379" s="168"/>
      <c r="R379" s="168"/>
      <c r="S379" s="168"/>
      <c r="T379" s="168"/>
      <c r="U379" s="168"/>
      <c r="V379" s="168"/>
      <c r="W379" s="168"/>
      <c r="X379" s="168"/>
      <c r="Y379" s="168"/>
      <c r="Z379" s="168"/>
    </row>
    <row r="380" customFormat="false" ht="15.75" hidden="false" customHeight="false" outlineLevel="0" collapsed="false">
      <c r="A380" s="168"/>
      <c r="B380" s="168"/>
      <c r="C380" s="168"/>
      <c r="D380" s="168"/>
      <c r="E380" s="168"/>
      <c r="F380" s="168"/>
      <c r="G380" s="168"/>
      <c r="H380" s="168"/>
      <c r="I380" s="168"/>
      <c r="J380" s="168"/>
      <c r="K380" s="168"/>
      <c r="L380" s="168"/>
      <c r="M380" s="168"/>
      <c r="N380" s="168"/>
      <c r="O380" s="168"/>
      <c r="P380" s="168"/>
      <c r="Q380" s="168"/>
      <c r="R380" s="168"/>
      <c r="S380" s="168"/>
      <c r="T380" s="168"/>
      <c r="U380" s="168"/>
      <c r="V380" s="168"/>
      <c r="W380" s="168"/>
      <c r="X380" s="168"/>
      <c r="Y380" s="168"/>
      <c r="Z380" s="168"/>
    </row>
    <row r="381" customFormat="false" ht="15.75" hidden="false" customHeight="false" outlineLevel="0" collapsed="false">
      <c r="A381" s="168"/>
      <c r="B381" s="168"/>
      <c r="C381" s="168"/>
      <c r="D381" s="168"/>
      <c r="E381" s="168"/>
      <c r="F381" s="168"/>
      <c r="G381" s="168"/>
      <c r="H381" s="168"/>
      <c r="I381" s="168"/>
      <c r="J381" s="168"/>
      <c r="K381" s="168"/>
      <c r="L381" s="168"/>
      <c r="M381" s="168"/>
      <c r="N381" s="168"/>
      <c r="O381" s="168"/>
      <c r="P381" s="168"/>
      <c r="Q381" s="168"/>
      <c r="R381" s="168"/>
      <c r="S381" s="168"/>
      <c r="T381" s="168"/>
      <c r="U381" s="168"/>
      <c r="V381" s="168"/>
      <c r="W381" s="168"/>
      <c r="X381" s="168"/>
      <c r="Y381" s="168"/>
      <c r="Z381" s="168"/>
    </row>
    <row r="382" customFormat="false" ht="15.75" hidden="false" customHeight="false" outlineLevel="0" collapsed="false">
      <c r="A382" s="168"/>
      <c r="B382" s="168"/>
      <c r="C382" s="168"/>
      <c r="D382" s="168"/>
      <c r="E382" s="168"/>
      <c r="F382" s="168"/>
      <c r="G382" s="168"/>
      <c r="H382" s="168"/>
      <c r="I382" s="168"/>
      <c r="J382" s="168"/>
      <c r="K382" s="168"/>
      <c r="L382" s="168"/>
      <c r="M382" s="168"/>
      <c r="N382" s="168"/>
      <c r="O382" s="168"/>
      <c r="P382" s="168"/>
      <c r="Q382" s="168"/>
      <c r="R382" s="168"/>
      <c r="S382" s="168"/>
      <c r="T382" s="168"/>
      <c r="U382" s="168"/>
      <c r="V382" s="168"/>
      <c r="W382" s="168"/>
      <c r="X382" s="168"/>
      <c r="Y382" s="168"/>
      <c r="Z382" s="168"/>
    </row>
    <row r="383" customFormat="false" ht="15.75" hidden="false" customHeight="false" outlineLevel="0" collapsed="false">
      <c r="A383" s="168"/>
      <c r="B383" s="168"/>
      <c r="C383" s="168"/>
      <c r="D383" s="168"/>
      <c r="E383" s="168"/>
      <c r="F383" s="168"/>
      <c r="G383" s="168"/>
      <c r="H383" s="168"/>
      <c r="I383" s="168"/>
      <c r="J383" s="168"/>
      <c r="K383" s="168"/>
      <c r="L383" s="168"/>
      <c r="M383" s="168"/>
      <c r="N383" s="168"/>
      <c r="O383" s="168"/>
      <c r="P383" s="168"/>
      <c r="Q383" s="168"/>
      <c r="R383" s="168"/>
      <c r="S383" s="168"/>
      <c r="T383" s="168"/>
      <c r="U383" s="168"/>
      <c r="V383" s="168"/>
      <c r="W383" s="168"/>
      <c r="X383" s="168"/>
      <c r="Y383" s="168"/>
      <c r="Z383" s="168"/>
    </row>
    <row r="384" customFormat="false" ht="15.75" hidden="false" customHeight="false" outlineLevel="0" collapsed="false">
      <c r="A384" s="168"/>
      <c r="B384" s="168"/>
      <c r="C384" s="168"/>
      <c r="D384" s="168"/>
      <c r="E384" s="168"/>
      <c r="F384" s="168"/>
      <c r="G384" s="168"/>
      <c r="H384" s="168"/>
      <c r="I384" s="168"/>
      <c r="J384" s="168"/>
      <c r="K384" s="168"/>
      <c r="L384" s="168"/>
      <c r="M384" s="168"/>
      <c r="N384" s="168"/>
      <c r="O384" s="168"/>
      <c r="P384" s="168"/>
      <c r="Q384" s="168"/>
      <c r="R384" s="168"/>
      <c r="S384" s="168"/>
      <c r="T384" s="168"/>
      <c r="U384" s="168"/>
      <c r="V384" s="168"/>
      <c r="W384" s="168"/>
      <c r="X384" s="168"/>
      <c r="Y384" s="168"/>
      <c r="Z384" s="168"/>
    </row>
    <row r="385" customFormat="false" ht="15.75" hidden="false" customHeight="false" outlineLevel="0" collapsed="false">
      <c r="A385" s="168"/>
      <c r="B385" s="168"/>
      <c r="C385" s="168"/>
      <c r="D385" s="168"/>
      <c r="E385" s="168"/>
      <c r="F385" s="168"/>
      <c r="G385" s="168"/>
      <c r="H385" s="168"/>
      <c r="I385" s="168"/>
      <c r="J385" s="168"/>
      <c r="K385" s="168"/>
      <c r="L385" s="168"/>
      <c r="M385" s="168"/>
      <c r="N385" s="168"/>
      <c r="O385" s="168"/>
      <c r="P385" s="168"/>
      <c r="Q385" s="168"/>
      <c r="R385" s="168"/>
      <c r="S385" s="168"/>
      <c r="T385" s="168"/>
      <c r="U385" s="168"/>
      <c r="V385" s="168"/>
      <c r="W385" s="168"/>
      <c r="X385" s="168"/>
      <c r="Y385" s="168"/>
      <c r="Z385" s="168"/>
    </row>
    <row r="386" customFormat="false" ht="15.75" hidden="false" customHeight="false" outlineLevel="0" collapsed="false">
      <c r="A386" s="168"/>
      <c r="B386" s="168"/>
      <c r="C386" s="168"/>
      <c r="D386" s="168"/>
      <c r="E386" s="168"/>
      <c r="F386" s="168"/>
      <c r="G386" s="168"/>
      <c r="H386" s="168"/>
      <c r="I386" s="168"/>
      <c r="J386" s="168"/>
      <c r="K386" s="168"/>
      <c r="L386" s="168"/>
      <c r="M386" s="168"/>
      <c r="N386" s="168"/>
      <c r="O386" s="168"/>
      <c r="P386" s="168"/>
      <c r="Q386" s="168"/>
      <c r="R386" s="168"/>
      <c r="S386" s="168"/>
      <c r="T386" s="168"/>
      <c r="U386" s="168"/>
      <c r="V386" s="168"/>
      <c r="W386" s="168"/>
      <c r="X386" s="168"/>
      <c r="Y386" s="168"/>
      <c r="Z386" s="168"/>
    </row>
    <row r="387" customFormat="false" ht="15.75" hidden="false" customHeight="false" outlineLevel="0" collapsed="false">
      <c r="A387" s="168"/>
      <c r="B387" s="168"/>
      <c r="C387" s="168"/>
      <c r="D387" s="168"/>
      <c r="E387" s="168"/>
      <c r="F387" s="168"/>
      <c r="G387" s="168"/>
      <c r="H387" s="168"/>
      <c r="I387" s="168"/>
      <c r="J387" s="168"/>
      <c r="K387" s="168"/>
      <c r="L387" s="168"/>
      <c r="M387" s="168"/>
      <c r="N387" s="168"/>
      <c r="O387" s="168"/>
      <c r="P387" s="168"/>
      <c r="Q387" s="168"/>
      <c r="R387" s="168"/>
      <c r="S387" s="168"/>
      <c r="T387" s="168"/>
      <c r="U387" s="168"/>
      <c r="V387" s="168"/>
      <c r="W387" s="168"/>
      <c r="X387" s="168"/>
      <c r="Y387" s="168"/>
      <c r="Z387" s="168"/>
    </row>
    <row r="388" customFormat="false" ht="15.75" hidden="false" customHeight="false" outlineLevel="0" collapsed="false">
      <c r="A388" s="168"/>
      <c r="B388" s="168"/>
      <c r="C388" s="168"/>
      <c r="D388" s="168"/>
      <c r="E388" s="168"/>
      <c r="F388" s="168"/>
      <c r="G388" s="168"/>
      <c r="H388" s="168"/>
      <c r="I388" s="168"/>
      <c r="J388" s="168"/>
      <c r="K388" s="168"/>
      <c r="L388" s="168"/>
      <c r="M388" s="168"/>
      <c r="N388" s="168"/>
      <c r="O388" s="168"/>
      <c r="P388" s="168"/>
      <c r="Q388" s="168"/>
      <c r="R388" s="168"/>
      <c r="S388" s="168"/>
      <c r="T388" s="168"/>
      <c r="U388" s="168"/>
      <c r="V388" s="168"/>
      <c r="W388" s="168"/>
      <c r="X388" s="168"/>
      <c r="Y388" s="168"/>
      <c r="Z388" s="168"/>
    </row>
    <row r="389" customFormat="false" ht="15.75" hidden="false" customHeight="false" outlineLevel="0" collapsed="false">
      <c r="A389" s="168"/>
      <c r="B389" s="168"/>
      <c r="C389" s="168"/>
      <c r="D389" s="168"/>
      <c r="E389" s="168"/>
      <c r="F389" s="168"/>
      <c r="G389" s="168"/>
      <c r="H389" s="168"/>
      <c r="I389" s="168"/>
      <c r="J389" s="168"/>
      <c r="K389" s="168"/>
      <c r="L389" s="168"/>
      <c r="M389" s="168"/>
      <c r="N389" s="168"/>
      <c r="O389" s="168"/>
      <c r="P389" s="168"/>
      <c r="Q389" s="168"/>
      <c r="R389" s="168"/>
      <c r="S389" s="168"/>
      <c r="T389" s="168"/>
      <c r="U389" s="168"/>
      <c r="V389" s="168"/>
      <c r="W389" s="168"/>
      <c r="X389" s="168"/>
      <c r="Y389" s="168"/>
      <c r="Z389" s="168"/>
    </row>
    <row r="390" customFormat="false" ht="15.75" hidden="false" customHeight="false" outlineLevel="0" collapsed="false">
      <c r="A390" s="168"/>
      <c r="B390" s="168"/>
      <c r="C390" s="168"/>
      <c r="D390" s="168"/>
      <c r="E390" s="168"/>
      <c r="F390" s="168"/>
      <c r="G390" s="168"/>
      <c r="H390" s="168"/>
      <c r="I390" s="168"/>
      <c r="J390" s="168"/>
      <c r="K390" s="168"/>
      <c r="L390" s="168"/>
      <c r="M390" s="168"/>
      <c r="N390" s="168"/>
      <c r="O390" s="168"/>
      <c r="P390" s="168"/>
      <c r="Q390" s="168"/>
      <c r="R390" s="168"/>
      <c r="S390" s="168"/>
      <c r="T390" s="168"/>
      <c r="U390" s="168"/>
      <c r="V390" s="168"/>
      <c r="W390" s="168"/>
      <c r="X390" s="168"/>
      <c r="Y390" s="168"/>
      <c r="Z390" s="168"/>
    </row>
    <row r="391" customFormat="false" ht="15.75" hidden="false" customHeight="false" outlineLevel="0" collapsed="false">
      <c r="A391" s="168"/>
      <c r="B391" s="168"/>
      <c r="C391" s="168"/>
      <c r="D391" s="168"/>
      <c r="E391" s="168"/>
      <c r="F391" s="168"/>
      <c r="G391" s="168"/>
      <c r="H391" s="168"/>
      <c r="I391" s="168"/>
      <c r="J391" s="168"/>
      <c r="K391" s="168"/>
      <c r="L391" s="168"/>
      <c r="M391" s="168"/>
      <c r="N391" s="168"/>
      <c r="O391" s="168"/>
      <c r="P391" s="168"/>
      <c r="Q391" s="168"/>
      <c r="R391" s="168"/>
      <c r="S391" s="168"/>
      <c r="T391" s="168"/>
      <c r="U391" s="168"/>
      <c r="V391" s="168"/>
      <c r="W391" s="168"/>
      <c r="X391" s="168"/>
      <c r="Y391" s="168"/>
      <c r="Z391" s="168"/>
    </row>
    <row r="392" customFormat="false" ht="15.75" hidden="false" customHeight="false" outlineLevel="0" collapsed="false">
      <c r="A392" s="168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</row>
    <row r="393" customFormat="false" ht="15.75" hidden="false" customHeight="false" outlineLevel="0" collapsed="false">
      <c r="A393" s="168"/>
      <c r="B393" s="168"/>
      <c r="C393" s="168"/>
      <c r="D393" s="168"/>
      <c r="E393" s="168"/>
      <c r="F393" s="168"/>
      <c r="G393" s="168"/>
      <c r="H393" s="168"/>
      <c r="I393" s="168"/>
      <c r="J393" s="168"/>
      <c r="K393" s="168"/>
      <c r="L393" s="168"/>
      <c r="M393" s="168"/>
      <c r="N393" s="168"/>
      <c r="O393" s="168"/>
      <c r="P393" s="168"/>
      <c r="Q393" s="168"/>
      <c r="R393" s="168"/>
      <c r="S393" s="168"/>
      <c r="T393" s="168"/>
      <c r="U393" s="168"/>
      <c r="V393" s="168"/>
      <c r="W393" s="168"/>
      <c r="X393" s="168"/>
      <c r="Y393" s="168"/>
      <c r="Z393" s="168"/>
    </row>
    <row r="394" customFormat="false" ht="15.75" hidden="false" customHeight="false" outlineLevel="0" collapsed="false">
      <c r="A394" s="168"/>
      <c r="B394" s="168"/>
      <c r="C394" s="168"/>
      <c r="D394" s="168"/>
      <c r="E394" s="168"/>
      <c r="F394" s="168"/>
      <c r="G394" s="168"/>
      <c r="H394" s="168"/>
      <c r="I394" s="168"/>
      <c r="J394" s="168"/>
      <c r="K394" s="168"/>
      <c r="L394" s="168"/>
      <c r="M394" s="168"/>
      <c r="N394" s="168"/>
      <c r="O394" s="168"/>
      <c r="P394" s="168"/>
      <c r="Q394" s="168"/>
      <c r="R394" s="168"/>
      <c r="S394" s="168"/>
      <c r="T394" s="168"/>
      <c r="U394" s="168"/>
      <c r="V394" s="168"/>
      <c r="W394" s="168"/>
      <c r="X394" s="168"/>
      <c r="Y394" s="168"/>
      <c r="Z394" s="168"/>
    </row>
    <row r="395" customFormat="false" ht="15.75" hidden="false" customHeight="false" outlineLevel="0" collapsed="false">
      <c r="A395" s="168"/>
      <c r="B395" s="168"/>
      <c r="C395" s="168"/>
      <c r="D395" s="168"/>
      <c r="E395" s="168"/>
      <c r="F395" s="168"/>
      <c r="G395" s="168"/>
      <c r="H395" s="168"/>
      <c r="I395" s="168"/>
      <c r="J395" s="168"/>
      <c r="K395" s="168"/>
      <c r="L395" s="168"/>
      <c r="M395" s="168"/>
      <c r="N395" s="168"/>
      <c r="O395" s="168"/>
      <c r="P395" s="168"/>
      <c r="Q395" s="168"/>
      <c r="R395" s="168"/>
      <c r="S395" s="168"/>
      <c r="T395" s="168"/>
      <c r="U395" s="168"/>
      <c r="V395" s="168"/>
      <c r="W395" s="168"/>
      <c r="X395" s="168"/>
      <c r="Y395" s="168"/>
      <c r="Z395" s="168"/>
    </row>
    <row r="396" customFormat="false" ht="15.75" hidden="false" customHeight="false" outlineLevel="0" collapsed="false">
      <c r="A396" s="168"/>
      <c r="B396" s="168"/>
      <c r="C396" s="168"/>
      <c r="D396" s="168"/>
      <c r="E396" s="168"/>
      <c r="F396" s="168"/>
      <c r="G396" s="168"/>
      <c r="H396" s="168"/>
      <c r="I396" s="168"/>
      <c r="J396" s="168"/>
      <c r="K396" s="168"/>
      <c r="L396" s="168"/>
      <c r="M396" s="168"/>
      <c r="N396" s="168"/>
      <c r="O396" s="168"/>
      <c r="P396" s="168"/>
      <c r="Q396" s="168"/>
      <c r="R396" s="168"/>
      <c r="S396" s="168"/>
      <c r="T396" s="168"/>
      <c r="U396" s="168"/>
      <c r="V396" s="168"/>
      <c r="W396" s="168"/>
      <c r="X396" s="168"/>
      <c r="Y396" s="168"/>
      <c r="Z396" s="168"/>
    </row>
    <row r="397" customFormat="false" ht="15.75" hidden="false" customHeight="false" outlineLevel="0" collapsed="false">
      <c r="A397" s="168"/>
      <c r="B397" s="168"/>
      <c r="C397" s="168"/>
      <c r="D397" s="168"/>
      <c r="E397" s="168"/>
      <c r="F397" s="168"/>
      <c r="G397" s="168"/>
      <c r="H397" s="168"/>
      <c r="I397" s="168"/>
      <c r="J397" s="168"/>
      <c r="K397" s="168"/>
      <c r="L397" s="168"/>
      <c r="M397" s="168"/>
      <c r="N397" s="168"/>
      <c r="O397" s="168"/>
      <c r="P397" s="168"/>
      <c r="Q397" s="168"/>
      <c r="R397" s="168"/>
      <c r="S397" s="168"/>
      <c r="T397" s="168"/>
      <c r="U397" s="168"/>
      <c r="V397" s="168"/>
      <c r="W397" s="168"/>
      <c r="X397" s="168"/>
      <c r="Y397" s="168"/>
      <c r="Z397" s="168"/>
    </row>
    <row r="398" customFormat="false" ht="15.75" hidden="false" customHeight="false" outlineLevel="0" collapsed="false">
      <c r="A398" s="168"/>
      <c r="B398" s="168"/>
      <c r="C398" s="168"/>
      <c r="D398" s="168"/>
      <c r="E398" s="168"/>
      <c r="F398" s="168"/>
      <c r="G398" s="168"/>
      <c r="H398" s="168"/>
      <c r="I398" s="168"/>
      <c r="J398" s="168"/>
      <c r="K398" s="168"/>
      <c r="L398" s="168"/>
      <c r="M398" s="168"/>
      <c r="N398" s="168"/>
      <c r="O398" s="168"/>
      <c r="P398" s="168"/>
      <c r="Q398" s="168"/>
      <c r="R398" s="168"/>
      <c r="S398" s="168"/>
      <c r="T398" s="168"/>
      <c r="U398" s="168"/>
      <c r="V398" s="168"/>
      <c r="W398" s="168"/>
      <c r="X398" s="168"/>
      <c r="Y398" s="168"/>
      <c r="Z398" s="168"/>
    </row>
    <row r="399" customFormat="false" ht="15.75" hidden="false" customHeight="false" outlineLevel="0" collapsed="false">
      <c r="A399" s="168"/>
      <c r="B399" s="168"/>
      <c r="C399" s="168"/>
      <c r="D399" s="168"/>
      <c r="E399" s="168"/>
      <c r="F399" s="168"/>
      <c r="G399" s="168"/>
      <c r="H399" s="168"/>
      <c r="I399" s="168"/>
      <c r="J399" s="168"/>
      <c r="K399" s="168"/>
      <c r="L399" s="168"/>
      <c r="M399" s="168"/>
      <c r="N399" s="168"/>
      <c r="O399" s="168"/>
      <c r="P399" s="168"/>
      <c r="Q399" s="168"/>
      <c r="R399" s="168"/>
      <c r="S399" s="168"/>
      <c r="T399" s="168"/>
      <c r="U399" s="168"/>
      <c r="V399" s="168"/>
      <c r="W399" s="168"/>
      <c r="X399" s="168"/>
      <c r="Y399" s="168"/>
      <c r="Z399" s="168"/>
    </row>
    <row r="400" customFormat="false" ht="15.75" hidden="false" customHeight="false" outlineLevel="0" collapsed="false">
      <c r="A400" s="168"/>
      <c r="B400" s="168"/>
      <c r="C400" s="168"/>
      <c r="D400" s="168"/>
      <c r="E400" s="168"/>
      <c r="F400" s="168"/>
      <c r="G400" s="168"/>
      <c r="H400" s="168"/>
      <c r="I400" s="168"/>
      <c r="J400" s="168"/>
      <c r="K400" s="168"/>
      <c r="L400" s="168"/>
      <c r="M400" s="168"/>
      <c r="N400" s="168"/>
      <c r="O400" s="168"/>
      <c r="P400" s="168"/>
      <c r="Q400" s="168"/>
      <c r="R400" s="168"/>
      <c r="S400" s="168"/>
      <c r="T400" s="168"/>
      <c r="U400" s="168"/>
      <c r="V400" s="168"/>
      <c r="W400" s="168"/>
      <c r="X400" s="168"/>
      <c r="Y400" s="168"/>
      <c r="Z400" s="168"/>
    </row>
    <row r="401" customFormat="false" ht="15.75" hidden="false" customHeight="false" outlineLevel="0" collapsed="false">
      <c r="A401" s="168"/>
      <c r="B401" s="168"/>
      <c r="C401" s="168"/>
      <c r="D401" s="168"/>
      <c r="E401" s="168"/>
      <c r="F401" s="168"/>
      <c r="G401" s="168"/>
      <c r="H401" s="168"/>
      <c r="I401" s="168"/>
      <c r="J401" s="168"/>
      <c r="K401" s="168"/>
      <c r="L401" s="168"/>
      <c r="M401" s="168"/>
      <c r="N401" s="168"/>
      <c r="O401" s="168"/>
      <c r="P401" s="168"/>
      <c r="Q401" s="168"/>
      <c r="R401" s="168"/>
      <c r="S401" s="168"/>
      <c r="T401" s="168"/>
      <c r="U401" s="168"/>
      <c r="V401" s="168"/>
      <c r="W401" s="168"/>
      <c r="X401" s="168"/>
      <c r="Y401" s="168"/>
      <c r="Z401" s="168"/>
    </row>
    <row r="402" customFormat="false" ht="15.75" hidden="false" customHeight="false" outlineLevel="0" collapsed="false">
      <c r="A402" s="168"/>
      <c r="B402" s="168"/>
      <c r="C402" s="168"/>
      <c r="D402" s="168"/>
      <c r="E402" s="168"/>
      <c r="F402" s="168"/>
      <c r="G402" s="168"/>
      <c r="H402" s="168"/>
      <c r="I402" s="168"/>
      <c r="J402" s="168"/>
      <c r="K402" s="168"/>
      <c r="L402" s="168"/>
      <c r="M402" s="168"/>
      <c r="N402" s="168"/>
      <c r="O402" s="168"/>
      <c r="P402" s="168"/>
      <c r="Q402" s="168"/>
      <c r="R402" s="168"/>
      <c r="S402" s="168"/>
      <c r="T402" s="168"/>
      <c r="U402" s="168"/>
      <c r="V402" s="168"/>
      <c r="W402" s="168"/>
      <c r="X402" s="168"/>
      <c r="Y402" s="168"/>
      <c r="Z402" s="168"/>
    </row>
    <row r="403" customFormat="false" ht="15.75" hidden="false" customHeight="false" outlineLevel="0" collapsed="false">
      <c r="A403" s="168"/>
      <c r="B403" s="168"/>
      <c r="C403" s="168"/>
      <c r="D403" s="168"/>
      <c r="E403" s="168"/>
      <c r="F403" s="168"/>
      <c r="G403" s="168"/>
      <c r="H403" s="168"/>
      <c r="I403" s="168"/>
      <c r="J403" s="168"/>
      <c r="K403" s="168"/>
      <c r="L403" s="168"/>
      <c r="M403" s="168"/>
      <c r="N403" s="168"/>
      <c r="O403" s="168"/>
      <c r="P403" s="168"/>
      <c r="Q403" s="168"/>
      <c r="R403" s="168"/>
      <c r="S403" s="168"/>
      <c r="T403" s="168"/>
      <c r="U403" s="168"/>
      <c r="V403" s="168"/>
      <c r="W403" s="168"/>
      <c r="X403" s="168"/>
      <c r="Y403" s="168"/>
      <c r="Z403" s="168"/>
    </row>
    <row r="404" customFormat="false" ht="15.75" hidden="false" customHeight="false" outlineLevel="0" collapsed="false">
      <c r="A404" s="168"/>
      <c r="B404" s="168"/>
      <c r="C404" s="168"/>
      <c r="D404" s="168"/>
      <c r="E404" s="168"/>
      <c r="F404" s="168"/>
      <c r="G404" s="168"/>
      <c r="H404" s="168"/>
      <c r="I404" s="168"/>
      <c r="J404" s="168"/>
      <c r="K404" s="168"/>
      <c r="L404" s="168"/>
      <c r="M404" s="168"/>
      <c r="N404" s="168"/>
      <c r="O404" s="168"/>
      <c r="P404" s="168"/>
      <c r="Q404" s="168"/>
      <c r="R404" s="168"/>
      <c r="S404" s="168"/>
      <c r="T404" s="168"/>
      <c r="U404" s="168"/>
      <c r="V404" s="168"/>
      <c r="W404" s="168"/>
      <c r="X404" s="168"/>
      <c r="Y404" s="168"/>
      <c r="Z404" s="168"/>
    </row>
    <row r="405" customFormat="false" ht="15.75" hidden="false" customHeight="false" outlineLevel="0" collapsed="false">
      <c r="A405" s="168"/>
      <c r="B405" s="168"/>
      <c r="C405" s="168"/>
      <c r="D405" s="168"/>
      <c r="E405" s="168"/>
      <c r="F405" s="168"/>
      <c r="G405" s="168"/>
      <c r="H405" s="168"/>
      <c r="I405" s="168"/>
      <c r="J405" s="168"/>
      <c r="K405" s="168"/>
      <c r="L405" s="168"/>
      <c r="M405" s="168"/>
      <c r="N405" s="168"/>
      <c r="O405" s="168"/>
      <c r="P405" s="168"/>
      <c r="Q405" s="168"/>
      <c r="R405" s="168"/>
      <c r="S405" s="168"/>
      <c r="T405" s="168"/>
      <c r="U405" s="168"/>
      <c r="V405" s="168"/>
      <c r="W405" s="168"/>
      <c r="X405" s="168"/>
      <c r="Y405" s="168"/>
      <c r="Z405" s="168"/>
    </row>
    <row r="406" customFormat="false" ht="15.75" hidden="false" customHeight="false" outlineLevel="0" collapsed="false">
      <c r="A406" s="168"/>
      <c r="B406" s="168"/>
      <c r="C406" s="168"/>
      <c r="D406" s="168"/>
      <c r="E406" s="168"/>
      <c r="F406" s="168"/>
      <c r="G406" s="168"/>
      <c r="H406" s="168"/>
      <c r="I406" s="168"/>
      <c r="J406" s="168"/>
      <c r="K406" s="168"/>
      <c r="L406" s="168"/>
      <c r="M406" s="168"/>
      <c r="N406" s="168"/>
      <c r="O406" s="168"/>
      <c r="P406" s="168"/>
      <c r="Q406" s="168"/>
      <c r="R406" s="168"/>
      <c r="S406" s="168"/>
      <c r="T406" s="168"/>
      <c r="U406" s="168"/>
      <c r="V406" s="168"/>
      <c r="W406" s="168"/>
      <c r="X406" s="168"/>
      <c r="Y406" s="168"/>
      <c r="Z406" s="168"/>
    </row>
    <row r="407" customFormat="false" ht="15.75" hidden="false" customHeight="false" outlineLevel="0" collapsed="false">
      <c r="A407" s="168"/>
      <c r="B407" s="168"/>
      <c r="C407" s="168"/>
      <c r="D407" s="168"/>
      <c r="E407" s="168"/>
      <c r="F407" s="168"/>
      <c r="G407" s="168"/>
      <c r="H407" s="168"/>
      <c r="I407" s="168"/>
      <c r="J407" s="168"/>
      <c r="K407" s="168"/>
      <c r="L407" s="168"/>
      <c r="M407" s="168"/>
      <c r="N407" s="168"/>
      <c r="O407" s="168"/>
      <c r="P407" s="168"/>
      <c r="Q407" s="168"/>
      <c r="R407" s="168"/>
      <c r="S407" s="168"/>
      <c r="T407" s="168"/>
      <c r="U407" s="168"/>
      <c r="V407" s="168"/>
      <c r="W407" s="168"/>
      <c r="X407" s="168"/>
      <c r="Y407" s="168"/>
      <c r="Z407" s="168"/>
    </row>
    <row r="408" customFormat="false" ht="15.75" hidden="false" customHeight="false" outlineLevel="0" collapsed="false">
      <c r="A408" s="168"/>
      <c r="B408" s="168"/>
      <c r="C408" s="168"/>
      <c r="D408" s="168"/>
      <c r="E408" s="168"/>
      <c r="F408" s="168"/>
      <c r="G408" s="168"/>
      <c r="H408" s="168"/>
      <c r="I408" s="168"/>
      <c r="J408" s="168"/>
      <c r="K408" s="168"/>
      <c r="L408" s="168"/>
      <c r="M408" s="168"/>
      <c r="N408" s="168"/>
      <c r="O408" s="168"/>
      <c r="P408" s="168"/>
      <c r="Q408" s="168"/>
      <c r="R408" s="168"/>
      <c r="S408" s="168"/>
      <c r="T408" s="168"/>
      <c r="U408" s="168"/>
      <c r="V408" s="168"/>
      <c r="W408" s="168"/>
      <c r="X408" s="168"/>
      <c r="Y408" s="168"/>
      <c r="Z408" s="168"/>
    </row>
    <row r="409" customFormat="false" ht="15.75" hidden="false" customHeight="false" outlineLevel="0" collapsed="false">
      <c r="A409" s="168"/>
      <c r="B409" s="168"/>
      <c r="C409" s="168"/>
      <c r="D409" s="168"/>
      <c r="E409" s="168"/>
      <c r="F409" s="168"/>
      <c r="G409" s="168"/>
      <c r="H409" s="168"/>
      <c r="I409" s="168"/>
      <c r="J409" s="168"/>
      <c r="K409" s="168"/>
      <c r="L409" s="168"/>
      <c r="M409" s="168"/>
      <c r="N409" s="168"/>
      <c r="O409" s="168"/>
      <c r="P409" s="168"/>
      <c r="Q409" s="168"/>
      <c r="R409" s="168"/>
      <c r="S409" s="168"/>
      <c r="T409" s="168"/>
      <c r="U409" s="168"/>
      <c r="V409" s="168"/>
      <c r="W409" s="168"/>
      <c r="X409" s="168"/>
      <c r="Y409" s="168"/>
      <c r="Z409" s="168"/>
    </row>
    <row r="410" customFormat="false" ht="15.75" hidden="false" customHeight="false" outlineLevel="0" collapsed="false">
      <c r="A410" s="168"/>
      <c r="B410" s="168"/>
      <c r="C410" s="168"/>
      <c r="D410" s="168"/>
      <c r="E410" s="168"/>
      <c r="F410" s="168"/>
      <c r="G410" s="168"/>
      <c r="H410" s="168"/>
      <c r="I410" s="168"/>
      <c r="J410" s="168"/>
      <c r="K410" s="168"/>
      <c r="L410" s="168"/>
      <c r="M410" s="168"/>
      <c r="N410" s="168"/>
      <c r="O410" s="168"/>
      <c r="P410" s="168"/>
      <c r="Q410" s="168"/>
      <c r="R410" s="168"/>
      <c r="S410" s="168"/>
      <c r="T410" s="168"/>
      <c r="U410" s="168"/>
      <c r="V410" s="168"/>
      <c r="W410" s="168"/>
      <c r="X410" s="168"/>
      <c r="Y410" s="168"/>
      <c r="Z410" s="168"/>
    </row>
    <row r="411" customFormat="false" ht="15.75" hidden="false" customHeight="false" outlineLevel="0" collapsed="false">
      <c r="A411" s="168"/>
      <c r="B411" s="168"/>
      <c r="C411" s="168"/>
      <c r="D411" s="168"/>
      <c r="E411" s="168"/>
      <c r="F411" s="168"/>
      <c r="G411" s="168"/>
      <c r="H411" s="168"/>
      <c r="I411" s="168"/>
      <c r="J411" s="168"/>
      <c r="K411" s="168"/>
      <c r="L411" s="168"/>
      <c r="M411" s="168"/>
      <c r="N411" s="168"/>
      <c r="O411" s="168"/>
      <c r="P411" s="168"/>
      <c r="Q411" s="168"/>
      <c r="R411" s="168"/>
      <c r="S411" s="168"/>
      <c r="T411" s="168"/>
      <c r="U411" s="168"/>
      <c r="V411" s="168"/>
      <c r="W411" s="168"/>
      <c r="X411" s="168"/>
      <c r="Y411" s="168"/>
      <c r="Z411" s="168"/>
    </row>
    <row r="412" customFormat="false" ht="15.75" hidden="false" customHeight="false" outlineLevel="0" collapsed="false">
      <c r="A412" s="168"/>
      <c r="B412" s="168"/>
      <c r="C412" s="168"/>
      <c r="D412" s="168"/>
      <c r="E412" s="168"/>
      <c r="F412" s="168"/>
      <c r="G412" s="168"/>
      <c r="H412" s="168"/>
      <c r="I412" s="168"/>
      <c r="J412" s="168"/>
      <c r="K412" s="168"/>
      <c r="L412" s="168"/>
      <c r="M412" s="168"/>
      <c r="N412" s="168"/>
      <c r="O412" s="168"/>
      <c r="P412" s="168"/>
      <c r="Q412" s="168"/>
      <c r="R412" s="168"/>
      <c r="S412" s="168"/>
      <c r="T412" s="168"/>
      <c r="U412" s="168"/>
      <c r="V412" s="168"/>
      <c r="W412" s="168"/>
      <c r="X412" s="168"/>
      <c r="Y412" s="168"/>
      <c r="Z412" s="168"/>
    </row>
    <row r="413" customFormat="false" ht="15.75" hidden="false" customHeight="false" outlineLevel="0" collapsed="false">
      <c r="A413" s="168"/>
      <c r="B413" s="168"/>
      <c r="C413" s="168"/>
      <c r="D413" s="168"/>
      <c r="E413" s="168"/>
      <c r="F413" s="168"/>
      <c r="G413" s="168"/>
      <c r="H413" s="168"/>
      <c r="I413" s="168"/>
      <c r="J413" s="168"/>
      <c r="K413" s="168"/>
      <c r="L413" s="168"/>
      <c r="M413" s="168"/>
      <c r="N413" s="168"/>
      <c r="O413" s="168"/>
      <c r="P413" s="168"/>
      <c r="Q413" s="168"/>
      <c r="R413" s="168"/>
      <c r="S413" s="168"/>
      <c r="T413" s="168"/>
      <c r="U413" s="168"/>
      <c r="V413" s="168"/>
      <c r="W413" s="168"/>
      <c r="X413" s="168"/>
      <c r="Y413" s="168"/>
      <c r="Z413" s="168"/>
    </row>
    <row r="414" customFormat="false" ht="15.75" hidden="false" customHeight="false" outlineLevel="0" collapsed="false">
      <c r="A414" s="168"/>
      <c r="B414" s="168"/>
      <c r="C414" s="168"/>
      <c r="D414" s="168"/>
      <c r="E414" s="168"/>
      <c r="F414" s="168"/>
      <c r="G414" s="168"/>
      <c r="H414" s="168"/>
      <c r="I414" s="168"/>
      <c r="J414" s="168"/>
      <c r="K414" s="168"/>
      <c r="L414" s="168"/>
      <c r="M414" s="168"/>
      <c r="N414" s="168"/>
      <c r="O414" s="168"/>
      <c r="P414" s="168"/>
      <c r="Q414" s="168"/>
      <c r="R414" s="168"/>
      <c r="S414" s="168"/>
      <c r="T414" s="168"/>
      <c r="U414" s="168"/>
      <c r="V414" s="168"/>
      <c r="W414" s="168"/>
      <c r="X414" s="168"/>
      <c r="Y414" s="168"/>
      <c r="Z414" s="168"/>
    </row>
    <row r="415" customFormat="false" ht="15.75" hidden="false" customHeight="false" outlineLevel="0" collapsed="false">
      <c r="A415" s="168"/>
      <c r="B415" s="168"/>
      <c r="C415" s="168"/>
      <c r="D415" s="168"/>
      <c r="E415" s="168"/>
      <c r="F415" s="168"/>
      <c r="G415" s="168"/>
      <c r="H415" s="168"/>
      <c r="I415" s="168"/>
      <c r="J415" s="168"/>
      <c r="K415" s="168"/>
      <c r="L415" s="168"/>
      <c r="M415" s="168"/>
      <c r="N415" s="168"/>
      <c r="O415" s="168"/>
      <c r="P415" s="168"/>
      <c r="Q415" s="168"/>
      <c r="R415" s="168"/>
      <c r="S415" s="168"/>
      <c r="T415" s="168"/>
      <c r="U415" s="168"/>
      <c r="V415" s="168"/>
      <c r="W415" s="168"/>
      <c r="X415" s="168"/>
      <c r="Y415" s="168"/>
      <c r="Z415" s="168"/>
    </row>
    <row r="416" customFormat="false" ht="15.75" hidden="false" customHeight="false" outlineLevel="0" collapsed="false">
      <c r="A416" s="168"/>
      <c r="B416" s="168"/>
      <c r="C416" s="168"/>
      <c r="D416" s="168"/>
      <c r="E416" s="168"/>
      <c r="F416" s="168"/>
      <c r="G416" s="168"/>
      <c r="H416" s="168"/>
      <c r="I416" s="168"/>
      <c r="J416" s="168"/>
      <c r="K416" s="168"/>
      <c r="L416" s="168"/>
      <c r="M416" s="168"/>
      <c r="N416" s="168"/>
      <c r="O416" s="168"/>
      <c r="P416" s="168"/>
      <c r="Q416" s="168"/>
      <c r="R416" s="168"/>
      <c r="S416" s="168"/>
      <c r="T416" s="168"/>
      <c r="U416" s="168"/>
      <c r="V416" s="168"/>
      <c r="W416" s="168"/>
      <c r="X416" s="168"/>
      <c r="Y416" s="168"/>
      <c r="Z416" s="168"/>
    </row>
    <row r="417" customFormat="false" ht="15.75" hidden="false" customHeight="false" outlineLevel="0" collapsed="false">
      <c r="A417" s="168"/>
      <c r="B417" s="168"/>
      <c r="C417" s="168"/>
      <c r="D417" s="168"/>
      <c r="E417" s="168"/>
      <c r="F417" s="168"/>
      <c r="G417" s="168"/>
      <c r="H417" s="168"/>
      <c r="I417" s="168"/>
      <c r="J417" s="168"/>
      <c r="K417" s="168"/>
      <c r="L417" s="168"/>
      <c r="M417" s="168"/>
      <c r="N417" s="168"/>
      <c r="O417" s="168"/>
      <c r="P417" s="168"/>
      <c r="Q417" s="168"/>
      <c r="R417" s="168"/>
      <c r="S417" s="168"/>
      <c r="T417" s="168"/>
      <c r="U417" s="168"/>
      <c r="V417" s="168"/>
      <c r="W417" s="168"/>
      <c r="X417" s="168"/>
      <c r="Y417" s="168"/>
      <c r="Z417" s="168"/>
    </row>
    <row r="418" customFormat="false" ht="15.75" hidden="false" customHeight="false" outlineLevel="0" collapsed="false">
      <c r="A418" s="168"/>
      <c r="B418" s="168"/>
      <c r="C418" s="168"/>
      <c r="D418" s="168"/>
      <c r="E418" s="168"/>
      <c r="F418" s="168"/>
      <c r="G418" s="168"/>
      <c r="H418" s="168"/>
      <c r="I418" s="168"/>
      <c r="J418" s="168"/>
      <c r="K418" s="168"/>
      <c r="L418" s="168"/>
      <c r="M418" s="168"/>
      <c r="N418" s="168"/>
      <c r="O418" s="168"/>
      <c r="P418" s="168"/>
      <c r="Q418" s="168"/>
      <c r="R418" s="168"/>
      <c r="S418" s="168"/>
      <c r="T418" s="168"/>
      <c r="U418" s="168"/>
      <c r="V418" s="168"/>
      <c r="W418" s="168"/>
      <c r="X418" s="168"/>
      <c r="Y418" s="168"/>
      <c r="Z418" s="168"/>
    </row>
    <row r="419" customFormat="false" ht="15.75" hidden="false" customHeight="false" outlineLevel="0" collapsed="false">
      <c r="A419" s="168"/>
      <c r="B419" s="168"/>
      <c r="C419" s="168"/>
      <c r="D419" s="168"/>
      <c r="E419" s="168"/>
      <c r="F419" s="168"/>
      <c r="G419" s="168"/>
      <c r="H419" s="168"/>
      <c r="I419" s="168"/>
      <c r="J419" s="168"/>
      <c r="K419" s="168"/>
      <c r="L419" s="168"/>
      <c r="M419" s="168"/>
      <c r="N419" s="168"/>
      <c r="O419" s="168"/>
      <c r="P419" s="168"/>
      <c r="Q419" s="168"/>
      <c r="R419" s="168"/>
      <c r="S419" s="168"/>
      <c r="T419" s="168"/>
      <c r="U419" s="168"/>
      <c r="V419" s="168"/>
      <c r="W419" s="168"/>
      <c r="X419" s="168"/>
      <c r="Y419" s="168"/>
      <c r="Z419" s="168"/>
    </row>
    <row r="420" customFormat="false" ht="15.75" hidden="false" customHeight="false" outlineLevel="0" collapsed="false">
      <c r="A420" s="168"/>
      <c r="B420" s="168"/>
      <c r="C420" s="168"/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8"/>
      <c r="O420" s="168"/>
      <c r="P420" s="168"/>
      <c r="Q420" s="168"/>
      <c r="R420" s="168"/>
      <c r="S420" s="168"/>
      <c r="T420" s="168"/>
      <c r="U420" s="168"/>
      <c r="V420" s="168"/>
      <c r="W420" s="168"/>
      <c r="X420" s="168"/>
      <c r="Y420" s="168"/>
      <c r="Z420" s="168"/>
    </row>
    <row r="421" customFormat="false" ht="15.75" hidden="false" customHeight="false" outlineLevel="0" collapsed="false">
      <c r="A421" s="168"/>
      <c r="B421" s="168"/>
      <c r="C421" s="168"/>
      <c r="D421" s="168"/>
      <c r="E421" s="168"/>
      <c r="F421" s="168"/>
      <c r="G421" s="168"/>
      <c r="H421" s="168"/>
      <c r="I421" s="168"/>
      <c r="J421" s="168"/>
      <c r="K421" s="168"/>
      <c r="L421" s="168"/>
      <c r="M421" s="168"/>
      <c r="N421" s="168"/>
      <c r="O421" s="168"/>
      <c r="P421" s="168"/>
      <c r="Q421" s="168"/>
      <c r="R421" s="168"/>
      <c r="S421" s="168"/>
      <c r="T421" s="168"/>
      <c r="U421" s="168"/>
      <c r="V421" s="168"/>
      <c r="W421" s="168"/>
      <c r="X421" s="168"/>
      <c r="Y421" s="168"/>
      <c r="Z421" s="168"/>
    </row>
    <row r="422" customFormat="false" ht="15.75" hidden="false" customHeight="false" outlineLevel="0" collapsed="false">
      <c r="A422" s="168"/>
      <c r="B422" s="168"/>
      <c r="C422" s="168"/>
      <c r="D422" s="168"/>
      <c r="E422" s="168"/>
      <c r="F422" s="168"/>
      <c r="G422" s="168"/>
      <c r="H422" s="168"/>
      <c r="I422" s="168"/>
      <c r="J422" s="168"/>
      <c r="K422" s="168"/>
      <c r="L422" s="168"/>
      <c r="M422" s="168"/>
      <c r="N422" s="168"/>
      <c r="O422" s="168"/>
      <c r="P422" s="168"/>
      <c r="Q422" s="168"/>
      <c r="R422" s="168"/>
      <c r="S422" s="168"/>
      <c r="T422" s="168"/>
      <c r="U422" s="168"/>
      <c r="V422" s="168"/>
      <c r="W422" s="168"/>
      <c r="X422" s="168"/>
      <c r="Y422" s="168"/>
      <c r="Z422" s="168"/>
    </row>
    <row r="423" customFormat="false" ht="15.75" hidden="false" customHeight="false" outlineLevel="0" collapsed="false">
      <c r="A423" s="168"/>
      <c r="B423" s="168"/>
      <c r="C423" s="168"/>
      <c r="D423" s="168"/>
      <c r="E423" s="168"/>
      <c r="F423" s="168"/>
      <c r="G423" s="168"/>
      <c r="H423" s="168"/>
      <c r="I423" s="168"/>
      <c r="J423" s="168"/>
      <c r="K423" s="168"/>
      <c r="L423" s="168"/>
      <c r="M423" s="168"/>
      <c r="N423" s="168"/>
      <c r="O423" s="168"/>
      <c r="P423" s="168"/>
      <c r="Q423" s="168"/>
      <c r="R423" s="168"/>
      <c r="S423" s="168"/>
      <c r="T423" s="168"/>
      <c r="U423" s="168"/>
      <c r="V423" s="168"/>
      <c r="W423" s="168"/>
      <c r="X423" s="168"/>
      <c r="Y423" s="168"/>
      <c r="Z423" s="168"/>
    </row>
    <row r="424" customFormat="false" ht="15.75" hidden="false" customHeight="false" outlineLevel="0" collapsed="false">
      <c r="A424" s="168"/>
      <c r="B424" s="168"/>
      <c r="C424" s="168"/>
      <c r="D424" s="168"/>
      <c r="E424" s="168"/>
      <c r="F424" s="168"/>
      <c r="G424" s="168"/>
      <c r="H424" s="168"/>
      <c r="I424" s="168"/>
      <c r="J424" s="168"/>
      <c r="K424" s="168"/>
      <c r="L424" s="168"/>
      <c r="M424" s="168"/>
      <c r="N424" s="168"/>
      <c r="O424" s="168"/>
      <c r="P424" s="168"/>
      <c r="Q424" s="168"/>
      <c r="R424" s="168"/>
      <c r="S424" s="168"/>
      <c r="T424" s="168"/>
      <c r="U424" s="168"/>
      <c r="V424" s="168"/>
      <c r="W424" s="168"/>
      <c r="X424" s="168"/>
      <c r="Y424" s="168"/>
      <c r="Z424" s="168"/>
    </row>
    <row r="425" customFormat="false" ht="15.75" hidden="false" customHeight="false" outlineLevel="0" collapsed="false">
      <c r="A425" s="168"/>
      <c r="B425" s="168"/>
      <c r="C425" s="168"/>
      <c r="D425" s="168"/>
      <c r="E425" s="168"/>
      <c r="F425" s="168"/>
      <c r="G425" s="168"/>
      <c r="H425" s="168"/>
      <c r="I425" s="168"/>
      <c r="J425" s="168"/>
      <c r="K425" s="168"/>
      <c r="L425" s="168"/>
      <c r="M425" s="168"/>
      <c r="N425" s="168"/>
      <c r="O425" s="168"/>
      <c r="P425" s="168"/>
      <c r="Q425" s="168"/>
      <c r="R425" s="168"/>
      <c r="S425" s="168"/>
      <c r="T425" s="168"/>
      <c r="U425" s="168"/>
      <c r="V425" s="168"/>
      <c r="W425" s="168"/>
      <c r="X425" s="168"/>
      <c r="Y425" s="168"/>
      <c r="Z425" s="168"/>
    </row>
    <row r="426" customFormat="false" ht="15.75" hidden="false" customHeight="false" outlineLevel="0" collapsed="false">
      <c r="A426" s="168"/>
      <c r="B426" s="168"/>
      <c r="C426" s="168"/>
      <c r="D426" s="168"/>
      <c r="E426" s="168"/>
      <c r="F426" s="168"/>
      <c r="G426" s="168"/>
      <c r="H426" s="168"/>
      <c r="I426" s="168"/>
      <c r="J426" s="168"/>
      <c r="K426" s="168"/>
      <c r="L426" s="168"/>
      <c r="M426" s="168"/>
      <c r="N426" s="168"/>
      <c r="O426" s="168"/>
      <c r="P426" s="168"/>
      <c r="Q426" s="168"/>
      <c r="R426" s="168"/>
      <c r="S426" s="168"/>
      <c r="T426" s="168"/>
      <c r="U426" s="168"/>
      <c r="V426" s="168"/>
      <c r="W426" s="168"/>
      <c r="X426" s="168"/>
      <c r="Y426" s="168"/>
      <c r="Z426" s="168"/>
    </row>
    <row r="427" customFormat="false" ht="15.75" hidden="false" customHeight="false" outlineLevel="0" collapsed="false">
      <c r="A427" s="168"/>
      <c r="B427" s="168"/>
      <c r="C427" s="168"/>
      <c r="D427" s="168"/>
      <c r="E427" s="168"/>
      <c r="F427" s="168"/>
      <c r="G427" s="168"/>
      <c r="H427" s="168"/>
      <c r="I427" s="168"/>
      <c r="J427" s="168"/>
      <c r="K427" s="168"/>
      <c r="L427" s="168"/>
      <c r="M427" s="168"/>
      <c r="N427" s="168"/>
      <c r="O427" s="168"/>
      <c r="P427" s="168"/>
      <c r="Q427" s="168"/>
      <c r="R427" s="168"/>
      <c r="S427" s="168"/>
      <c r="T427" s="168"/>
      <c r="U427" s="168"/>
      <c r="V427" s="168"/>
      <c r="W427" s="168"/>
      <c r="X427" s="168"/>
      <c r="Y427" s="168"/>
      <c r="Z427" s="168"/>
    </row>
    <row r="428" customFormat="false" ht="15.75" hidden="false" customHeight="false" outlineLevel="0" collapsed="false">
      <c r="A428" s="168"/>
      <c r="B428" s="168"/>
      <c r="C428" s="168"/>
      <c r="D428" s="168"/>
      <c r="E428" s="168"/>
      <c r="F428" s="168"/>
      <c r="G428" s="168"/>
      <c r="H428" s="168"/>
      <c r="I428" s="168"/>
      <c r="J428" s="168"/>
      <c r="K428" s="168"/>
      <c r="L428" s="168"/>
      <c r="M428" s="168"/>
      <c r="N428" s="168"/>
      <c r="O428" s="168"/>
      <c r="P428" s="168"/>
      <c r="Q428" s="168"/>
      <c r="R428" s="168"/>
      <c r="S428" s="168"/>
      <c r="T428" s="168"/>
      <c r="U428" s="168"/>
      <c r="V428" s="168"/>
      <c r="W428" s="168"/>
      <c r="X428" s="168"/>
      <c r="Y428" s="168"/>
      <c r="Z428" s="168"/>
    </row>
    <row r="429" customFormat="false" ht="15.75" hidden="false" customHeight="false" outlineLevel="0" collapsed="false">
      <c r="A429" s="168"/>
      <c r="B429" s="168"/>
      <c r="C429" s="168"/>
      <c r="D429" s="168"/>
      <c r="E429" s="168"/>
      <c r="F429" s="168"/>
      <c r="G429" s="168"/>
      <c r="H429" s="168"/>
      <c r="I429" s="168"/>
      <c r="J429" s="168"/>
      <c r="K429" s="168"/>
      <c r="L429" s="168"/>
      <c r="M429" s="168"/>
      <c r="N429" s="168"/>
      <c r="O429" s="168"/>
      <c r="P429" s="168"/>
      <c r="Q429" s="168"/>
      <c r="R429" s="168"/>
      <c r="S429" s="168"/>
      <c r="T429" s="168"/>
      <c r="U429" s="168"/>
      <c r="V429" s="168"/>
      <c r="W429" s="168"/>
      <c r="X429" s="168"/>
      <c r="Y429" s="168"/>
      <c r="Z429" s="168"/>
    </row>
    <row r="430" customFormat="false" ht="15.75" hidden="false" customHeight="false" outlineLevel="0" collapsed="false">
      <c r="A430" s="168"/>
      <c r="B430" s="168"/>
      <c r="C430" s="168"/>
      <c r="D430" s="168"/>
      <c r="E430" s="168"/>
      <c r="F430" s="168"/>
      <c r="G430" s="168"/>
      <c r="H430" s="168"/>
      <c r="I430" s="168"/>
      <c r="J430" s="168"/>
      <c r="K430" s="168"/>
      <c r="L430" s="168"/>
      <c r="M430" s="168"/>
      <c r="N430" s="168"/>
      <c r="O430" s="168"/>
      <c r="P430" s="168"/>
      <c r="Q430" s="168"/>
      <c r="R430" s="168"/>
      <c r="S430" s="168"/>
      <c r="T430" s="168"/>
      <c r="U430" s="168"/>
      <c r="V430" s="168"/>
      <c r="W430" s="168"/>
      <c r="X430" s="168"/>
      <c r="Y430" s="168"/>
      <c r="Z430" s="168"/>
    </row>
    <row r="431" customFormat="false" ht="15.75" hidden="false" customHeight="false" outlineLevel="0" collapsed="false">
      <c r="A431" s="168"/>
      <c r="B431" s="168"/>
      <c r="C431" s="168"/>
      <c r="D431" s="168"/>
      <c r="E431" s="168"/>
      <c r="F431" s="168"/>
      <c r="G431" s="168"/>
      <c r="H431" s="168"/>
      <c r="I431" s="168"/>
      <c r="J431" s="168"/>
      <c r="K431" s="168"/>
      <c r="L431" s="168"/>
      <c r="M431" s="168"/>
      <c r="N431" s="168"/>
      <c r="O431" s="168"/>
      <c r="P431" s="168"/>
      <c r="Q431" s="168"/>
      <c r="R431" s="168"/>
      <c r="S431" s="168"/>
      <c r="T431" s="168"/>
      <c r="U431" s="168"/>
      <c r="V431" s="168"/>
      <c r="W431" s="168"/>
      <c r="X431" s="168"/>
      <c r="Y431" s="168"/>
      <c r="Z431" s="168"/>
    </row>
    <row r="432" customFormat="false" ht="15.75" hidden="false" customHeight="false" outlineLevel="0" collapsed="false">
      <c r="A432" s="168"/>
      <c r="B432" s="168"/>
      <c r="C432" s="168"/>
      <c r="D432" s="168"/>
      <c r="E432" s="168"/>
      <c r="F432" s="168"/>
      <c r="G432" s="168"/>
      <c r="H432" s="168"/>
      <c r="I432" s="168"/>
      <c r="J432" s="168"/>
      <c r="K432" s="168"/>
      <c r="L432" s="168"/>
      <c r="M432" s="168"/>
      <c r="N432" s="168"/>
      <c r="O432" s="168"/>
      <c r="P432" s="168"/>
      <c r="Q432" s="168"/>
      <c r="R432" s="168"/>
      <c r="S432" s="168"/>
      <c r="T432" s="168"/>
      <c r="U432" s="168"/>
      <c r="V432" s="168"/>
      <c r="W432" s="168"/>
      <c r="X432" s="168"/>
      <c r="Y432" s="168"/>
      <c r="Z432" s="168"/>
    </row>
    <row r="433" customFormat="false" ht="15.75" hidden="false" customHeight="false" outlineLevel="0" collapsed="false">
      <c r="A433" s="168"/>
      <c r="B433" s="168"/>
      <c r="C433" s="168"/>
      <c r="D433" s="168"/>
      <c r="E433" s="168"/>
      <c r="F433" s="168"/>
      <c r="G433" s="168"/>
      <c r="H433" s="168"/>
      <c r="I433" s="168"/>
      <c r="J433" s="168"/>
      <c r="K433" s="168"/>
      <c r="L433" s="168"/>
      <c r="M433" s="168"/>
      <c r="N433" s="168"/>
      <c r="O433" s="168"/>
      <c r="P433" s="168"/>
      <c r="Q433" s="168"/>
      <c r="R433" s="168"/>
      <c r="S433" s="168"/>
      <c r="T433" s="168"/>
      <c r="U433" s="168"/>
      <c r="V433" s="168"/>
      <c r="W433" s="168"/>
      <c r="X433" s="168"/>
      <c r="Y433" s="168"/>
      <c r="Z433" s="168"/>
    </row>
    <row r="434" customFormat="false" ht="15.75" hidden="false" customHeight="false" outlineLevel="0" collapsed="false">
      <c r="A434" s="168"/>
      <c r="B434" s="168"/>
      <c r="C434" s="168"/>
      <c r="D434" s="168"/>
      <c r="E434" s="168"/>
      <c r="F434" s="168"/>
      <c r="G434" s="168"/>
      <c r="H434" s="168"/>
      <c r="I434" s="168"/>
      <c r="J434" s="168"/>
      <c r="K434" s="168"/>
      <c r="L434" s="168"/>
      <c r="M434" s="168"/>
      <c r="N434" s="168"/>
      <c r="O434" s="168"/>
      <c r="P434" s="168"/>
      <c r="Q434" s="168"/>
      <c r="R434" s="168"/>
      <c r="S434" s="168"/>
      <c r="T434" s="168"/>
      <c r="U434" s="168"/>
      <c r="V434" s="168"/>
      <c r="W434" s="168"/>
      <c r="X434" s="168"/>
      <c r="Y434" s="168"/>
      <c r="Z434" s="168"/>
    </row>
    <row r="435" customFormat="false" ht="15.75" hidden="false" customHeight="false" outlineLevel="0" collapsed="false">
      <c r="A435" s="168"/>
      <c r="B435" s="168"/>
      <c r="C435" s="168"/>
      <c r="D435" s="168"/>
      <c r="E435" s="168"/>
      <c r="F435" s="168"/>
      <c r="G435" s="168"/>
      <c r="H435" s="168"/>
      <c r="I435" s="168"/>
      <c r="J435" s="168"/>
      <c r="K435" s="168"/>
      <c r="L435" s="168"/>
      <c r="M435" s="168"/>
      <c r="N435" s="168"/>
      <c r="O435" s="168"/>
      <c r="P435" s="168"/>
      <c r="Q435" s="168"/>
      <c r="R435" s="168"/>
      <c r="S435" s="168"/>
      <c r="T435" s="168"/>
      <c r="U435" s="168"/>
      <c r="V435" s="168"/>
      <c r="W435" s="168"/>
      <c r="X435" s="168"/>
      <c r="Y435" s="168"/>
      <c r="Z435" s="168"/>
    </row>
    <row r="436" customFormat="false" ht="15.75" hidden="false" customHeight="false" outlineLevel="0" collapsed="false">
      <c r="A436" s="168"/>
      <c r="B436" s="168"/>
      <c r="C436" s="168"/>
      <c r="D436" s="168"/>
      <c r="E436" s="168"/>
      <c r="F436" s="168"/>
      <c r="G436" s="168"/>
      <c r="H436" s="168"/>
      <c r="I436" s="168"/>
      <c r="J436" s="168"/>
      <c r="K436" s="168"/>
      <c r="L436" s="168"/>
      <c r="M436" s="168"/>
      <c r="N436" s="168"/>
      <c r="O436" s="168"/>
      <c r="P436" s="168"/>
      <c r="Q436" s="168"/>
      <c r="R436" s="168"/>
      <c r="S436" s="168"/>
      <c r="T436" s="168"/>
      <c r="U436" s="168"/>
      <c r="V436" s="168"/>
      <c r="W436" s="168"/>
      <c r="X436" s="168"/>
      <c r="Y436" s="168"/>
      <c r="Z436" s="168"/>
    </row>
    <row r="437" customFormat="false" ht="15.75" hidden="false" customHeight="false" outlineLevel="0" collapsed="false">
      <c r="A437" s="168"/>
      <c r="B437" s="168"/>
      <c r="C437" s="168"/>
      <c r="D437" s="168"/>
      <c r="E437" s="168"/>
      <c r="F437" s="168"/>
      <c r="G437" s="168"/>
      <c r="H437" s="168"/>
      <c r="I437" s="168"/>
      <c r="J437" s="168"/>
      <c r="K437" s="168"/>
      <c r="L437" s="168"/>
      <c r="M437" s="168"/>
      <c r="N437" s="168"/>
      <c r="O437" s="168"/>
      <c r="P437" s="168"/>
      <c r="Q437" s="168"/>
      <c r="R437" s="168"/>
      <c r="S437" s="168"/>
      <c r="T437" s="168"/>
      <c r="U437" s="168"/>
      <c r="V437" s="168"/>
      <c r="W437" s="168"/>
      <c r="X437" s="168"/>
      <c r="Y437" s="168"/>
      <c r="Z437" s="168"/>
    </row>
    <row r="438" customFormat="false" ht="15.75" hidden="false" customHeight="false" outlineLevel="0" collapsed="false">
      <c r="A438" s="168"/>
      <c r="B438" s="168"/>
      <c r="C438" s="168"/>
      <c r="D438" s="168"/>
      <c r="E438" s="168"/>
      <c r="F438" s="168"/>
      <c r="G438" s="168"/>
      <c r="H438" s="168"/>
      <c r="I438" s="168"/>
      <c r="J438" s="168"/>
      <c r="K438" s="168"/>
      <c r="L438" s="168"/>
      <c r="M438" s="168"/>
      <c r="N438" s="168"/>
      <c r="O438" s="168"/>
      <c r="P438" s="168"/>
      <c r="Q438" s="168"/>
      <c r="R438" s="168"/>
      <c r="S438" s="168"/>
      <c r="T438" s="168"/>
      <c r="U438" s="168"/>
      <c r="V438" s="168"/>
      <c r="W438" s="168"/>
      <c r="X438" s="168"/>
      <c r="Y438" s="168"/>
      <c r="Z438" s="168"/>
    </row>
    <row r="439" customFormat="false" ht="15.75" hidden="false" customHeight="false" outlineLevel="0" collapsed="false">
      <c r="A439" s="168"/>
      <c r="B439" s="168"/>
      <c r="C439" s="168"/>
      <c r="D439" s="168"/>
      <c r="E439" s="168"/>
      <c r="F439" s="168"/>
      <c r="G439" s="168"/>
      <c r="H439" s="168"/>
      <c r="I439" s="168"/>
      <c r="J439" s="168"/>
      <c r="K439" s="168"/>
      <c r="L439" s="168"/>
      <c r="M439" s="168"/>
      <c r="N439" s="168"/>
      <c r="O439" s="168"/>
      <c r="P439" s="168"/>
      <c r="Q439" s="168"/>
      <c r="R439" s="168"/>
      <c r="S439" s="168"/>
      <c r="T439" s="168"/>
      <c r="U439" s="168"/>
      <c r="V439" s="168"/>
      <c r="W439" s="168"/>
      <c r="X439" s="168"/>
      <c r="Y439" s="168"/>
      <c r="Z439" s="168"/>
    </row>
    <row r="440" customFormat="false" ht="15.75" hidden="false" customHeight="false" outlineLevel="0" collapsed="false">
      <c r="A440" s="168"/>
      <c r="B440" s="168"/>
      <c r="C440" s="168"/>
      <c r="D440" s="168"/>
      <c r="E440" s="168"/>
      <c r="F440" s="168"/>
      <c r="G440" s="168"/>
      <c r="H440" s="168"/>
      <c r="I440" s="168"/>
      <c r="J440" s="168"/>
      <c r="K440" s="168"/>
      <c r="L440" s="168"/>
      <c r="M440" s="168"/>
      <c r="N440" s="168"/>
      <c r="O440" s="168"/>
      <c r="P440" s="168"/>
      <c r="Q440" s="168"/>
      <c r="R440" s="168"/>
      <c r="S440" s="168"/>
      <c r="T440" s="168"/>
      <c r="U440" s="168"/>
      <c r="V440" s="168"/>
      <c r="W440" s="168"/>
      <c r="X440" s="168"/>
      <c r="Y440" s="168"/>
      <c r="Z440" s="168"/>
    </row>
    <row r="441" customFormat="false" ht="15.75" hidden="false" customHeight="false" outlineLevel="0" collapsed="false">
      <c r="A441" s="168"/>
      <c r="B441" s="168"/>
      <c r="C441" s="168"/>
      <c r="D441" s="168"/>
      <c r="E441" s="168"/>
      <c r="F441" s="168"/>
      <c r="G441" s="168"/>
      <c r="H441" s="168"/>
      <c r="I441" s="168"/>
      <c r="J441" s="168"/>
      <c r="K441" s="168"/>
      <c r="L441" s="168"/>
      <c r="M441" s="168"/>
      <c r="N441" s="168"/>
      <c r="O441" s="168"/>
      <c r="P441" s="168"/>
      <c r="Q441" s="168"/>
      <c r="R441" s="168"/>
      <c r="S441" s="168"/>
      <c r="T441" s="168"/>
      <c r="U441" s="168"/>
      <c r="V441" s="168"/>
      <c r="W441" s="168"/>
      <c r="X441" s="168"/>
      <c r="Y441" s="168"/>
      <c r="Z441" s="168"/>
    </row>
    <row r="442" customFormat="false" ht="15.75" hidden="false" customHeight="false" outlineLevel="0" collapsed="false">
      <c r="A442" s="168"/>
      <c r="B442" s="168"/>
      <c r="C442" s="168"/>
      <c r="D442" s="168"/>
      <c r="E442" s="168"/>
      <c r="F442" s="168"/>
      <c r="G442" s="168"/>
      <c r="H442" s="168"/>
      <c r="I442" s="168"/>
      <c r="J442" s="168"/>
      <c r="K442" s="168"/>
      <c r="L442" s="168"/>
      <c r="M442" s="168"/>
      <c r="N442" s="168"/>
      <c r="O442" s="168"/>
      <c r="P442" s="168"/>
      <c r="Q442" s="168"/>
      <c r="R442" s="168"/>
      <c r="S442" s="168"/>
      <c r="T442" s="168"/>
      <c r="U442" s="168"/>
      <c r="V442" s="168"/>
      <c r="W442" s="168"/>
      <c r="X442" s="168"/>
      <c r="Y442" s="168"/>
      <c r="Z442" s="168"/>
    </row>
    <row r="443" customFormat="false" ht="15.75" hidden="false" customHeight="false" outlineLevel="0" collapsed="false">
      <c r="A443" s="168"/>
      <c r="B443" s="168"/>
      <c r="C443" s="168"/>
      <c r="D443" s="168"/>
      <c r="E443" s="168"/>
      <c r="F443" s="168"/>
      <c r="G443" s="168"/>
      <c r="H443" s="168"/>
      <c r="I443" s="168"/>
      <c r="J443" s="168"/>
      <c r="K443" s="168"/>
      <c r="L443" s="168"/>
      <c r="M443" s="168"/>
      <c r="N443" s="168"/>
      <c r="O443" s="168"/>
      <c r="P443" s="168"/>
      <c r="Q443" s="168"/>
      <c r="R443" s="168"/>
      <c r="S443" s="168"/>
      <c r="T443" s="168"/>
      <c r="U443" s="168"/>
      <c r="V443" s="168"/>
      <c r="W443" s="168"/>
      <c r="X443" s="168"/>
      <c r="Y443" s="168"/>
      <c r="Z443" s="168"/>
    </row>
    <row r="444" customFormat="false" ht="15.75" hidden="false" customHeight="false" outlineLevel="0" collapsed="false">
      <c r="A444" s="168"/>
      <c r="B444" s="168"/>
      <c r="C444" s="168"/>
      <c r="D444" s="168"/>
      <c r="E444" s="168"/>
      <c r="F444" s="168"/>
      <c r="G444" s="168"/>
      <c r="H444" s="168"/>
      <c r="I444" s="168"/>
      <c r="J444" s="168"/>
      <c r="K444" s="168"/>
      <c r="L444" s="168"/>
      <c r="M444" s="168"/>
      <c r="N444" s="168"/>
      <c r="O444" s="168"/>
      <c r="P444" s="168"/>
      <c r="Q444" s="168"/>
      <c r="R444" s="168"/>
      <c r="S444" s="168"/>
      <c r="T444" s="168"/>
      <c r="U444" s="168"/>
      <c r="V444" s="168"/>
      <c r="W444" s="168"/>
      <c r="X444" s="168"/>
      <c r="Y444" s="168"/>
      <c r="Z444" s="168"/>
    </row>
    <row r="445" customFormat="false" ht="15.75" hidden="false" customHeight="false" outlineLevel="0" collapsed="false">
      <c r="A445" s="168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</row>
    <row r="446" customFormat="false" ht="15.75" hidden="false" customHeight="false" outlineLevel="0" collapsed="false">
      <c r="A446" s="168"/>
      <c r="B446" s="168"/>
      <c r="C446" s="168"/>
      <c r="D446" s="168"/>
      <c r="E446" s="168"/>
      <c r="F446" s="168"/>
      <c r="G446" s="168"/>
      <c r="H446" s="168"/>
      <c r="I446" s="168"/>
      <c r="J446" s="168"/>
      <c r="K446" s="168"/>
      <c r="L446" s="168"/>
      <c r="M446" s="168"/>
      <c r="N446" s="168"/>
      <c r="O446" s="168"/>
      <c r="P446" s="168"/>
      <c r="Q446" s="168"/>
      <c r="R446" s="168"/>
      <c r="S446" s="168"/>
      <c r="T446" s="168"/>
      <c r="U446" s="168"/>
      <c r="V446" s="168"/>
      <c r="W446" s="168"/>
      <c r="X446" s="168"/>
      <c r="Y446" s="168"/>
      <c r="Z446" s="168"/>
    </row>
    <row r="447" customFormat="false" ht="15.75" hidden="false" customHeight="false" outlineLevel="0" collapsed="false">
      <c r="A447" s="168"/>
      <c r="B447" s="168"/>
      <c r="C447" s="168"/>
      <c r="D447" s="168"/>
      <c r="E447" s="168"/>
      <c r="F447" s="168"/>
      <c r="G447" s="168"/>
      <c r="H447" s="168"/>
      <c r="I447" s="168"/>
      <c r="J447" s="168"/>
      <c r="K447" s="168"/>
      <c r="L447" s="168"/>
      <c r="M447" s="168"/>
      <c r="N447" s="168"/>
      <c r="O447" s="168"/>
      <c r="P447" s="168"/>
      <c r="Q447" s="168"/>
      <c r="R447" s="168"/>
      <c r="S447" s="168"/>
      <c r="T447" s="168"/>
      <c r="U447" s="168"/>
      <c r="V447" s="168"/>
      <c r="W447" s="168"/>
      <c r="X447" s="168"/>
      <c r="Y447" s="168"/>
      <c r="Z447" s="168"/>
    </row>
    <row r="448" customFormat="false" ht="15.75" hidden="false" customHeight="false" outlineLevel="0" collapsed="false">
      <c r="A448" s="168"/>
      <c r="B448" s="168"/>
      <c r="C448" s="168"/>
      <c r="D448" s="168"/>
      <c r="E448" s="168"/>
      <c r="F448" s="168"/>
      <c r="G448" s="168"/>
      <c r="H448" s="168"/>
      <c r="I448" s="168"/>
      <c r="J448" s="168"/>
      <c r="K448" s="168"/>
      <c r="L448" s="168"/>
      <c r="M448" s="168"/>
      <c r="N448" s="168"/>
      <c r="O448" s="168"/>
      <c r="P448" s="168"/>
      <c r="Q448" s="168"/>
      <c r="R448" s="168"/>
      <c r="S448" s="168"/>
      <c r="T448" s="168"/>
      <c r="U448" s="168"/>
      <c r="V448" s="168"/>
      <c r="W448" s="168"/>
      <c r="X448" s="168"/>
      <c r="Y448" s="168"/>
      <c r="Z448" s="168"/>
    </row>
    <row r="449" customFormat="false" ht="15.75" hidden="false" customHeight="false" outlineLevel="0" collapsed="false">
      <c r="A449" s="168"/>
      <c r="B449" s="168"/>
      <c r="C449" s="168"/>
      <c r="D449" s="168"/>
      <c r="E449" s="168"/>
      <c r="F449" s="168"/>
      <c r="G449" s="168"/>
      <c r="H449" s="168"/>
      <c r="I449" s="168"/>
      <c r="J449" s="168"/>
      <c r="K449" s="168"/>
      <c r="L449" s="168"/>
      <c r="M449" s="168"/>
      <c r="N449" s="168"/>
      <c r="O449" s="168"/>
      <c r="P449" s="168"/>
      <c r="Q449" s="168"/>
      <c r="R449" s="168"/>
      <c r="S449" s="168"/>
      <c r="T449" s="168"/>
      <c r="U449" s="168"/>
      <c r="V449" s="168"/>
      <c r="W449" s="168"/>
      <c r="X449" s="168"/>
      <c r="Y449" s="168"/>
      <c r="Z449" s="168"/>
    </row>
    <row r="450" customFormat="false" ht="15.75" hidden="false" customHeight="false" outlineLevel="0" collapsed="false">
      <c r="A450" s="168"/>
      <c r="B450" s="168"/>
      <c r="C450" s="168"/>
      <c r="D450" s="168"/>
      <c r="E450" s="168"/>
      <c r="F450" s="168"/>
      <c r="G450" s="168"/>
      <c r="H450" s="168"/>
      <c r="I450" s="168"/>
      <c r="J450" s="168"/>
      <c r="K450" s="168"/>
      <c r="L450" s="168"/>
      <c r="M450" s="168"/>
      <c r="N450" s="168"/>
      <c r="O450" s="168"/>
      <c r="P450" s="168"/>
      <c r="Q450" s="168"/>
      <c r="R450" s="168"/>
      <c r="S450" s="168"/>
      <c r="T450" s="168"/>
      <c r="U450" s="168"/>
      <c r="V450" s="168"/>
      <c r="W450" s="168"/>
      <c r="X450" s="168"/>
      <c r="Y450" s="168"/>
      <c r="Z450" s="168"/>
    </row>
    <row r="451" customFormat="false" ht="15.75" hidden="false" customHeight="false" outlineLevel="0" collapsed="false">
      <c r="A451" s="168"/>
      <c r="B451" s="168"/>
      <c r="C451" s="168"/>
      <c r="D451" s="168"/>
      <c r="E451" s="168"/>
      <c r="F451" s="168"/>
      <c r="G451" s="168"/>
      <c r="H451" s="168"/>
      <c r="I451" s="168"/>
      <c r="J451" s="168"/>
      <c r="K451" s="168"/>
      <c r="L451" s="168"/>
      <c r="M451" s="168"/>
      <c r="N451" s="168"/>
      <c r="O451" s="168"/>
      <c r="P451" s="168"/>
      <c r="Q451" s="168"/>
      <c r="R451" s="168"/>
      <c r="S451" s="168"/>
      <c r="T451" s="168"/>
      <c r="U451" s="168"/>
      <c r="V451" s="168"/>
      <c r="W451" s="168"/>
      <c r="X451" s="168"/>
      <c r="Y451" s="168"/>
      <c r="Z451" s="168"/>
    </row>
    <row r="452" customFormat="false" ht="15.75" hidden="false" customHeight="false" outlineLevel="0" collapsed="false">
      <c r="A452" s="168"/>
      <c r="B452" s="168"/>
      <c r="C452" s="168"/>
      <c r="D452" s="168"/>
      <c r="E452" s="168"/>
      <c r="F452" s="168"/>
      <c r="G452" s="168"/>
      <c r="H452" s="168"/>
      <c r="I452" s="168"/>
      <c r="J452" s="168"/>
      <c r="K452" s="168"/>
      <c r="L452" s="168"/>
      <c r="M452" s="168"/>
      <c r="N452" s="168"/>
      <c r="O452" s="168"/>
      <c r="P452" s="168"/>
      <c r="Q452" s="168"/>
      <c r="R452" s="168"/>
      <c r="S452" s="168"/>
      <c r="T452" s="168"/>
      <c r="U452" s="168"/>
      <c r="V452" s="168"/>
      <c r="W452" s="168"/>
      <c r="X452" s="168"/>
      <c r="Y452" s="168"/>
      <c r="Z452" s="168"/>
    </row>
    <row r="453" customFormat="false" ht="15.75" hidden="false" customHeight="false" outlineLevel="0" collapsed="false">
      <c r="A453" s="168"/>
      <c r="B453" s="168"/>
      <c r="C453" s="168"/>
      <c r="D453" s="168"/>
      <c r="E453" s="168"/>
      <c r="F453" s="168"/>
      <c r="G453" s="168"/>
      <c r="H453" s="168"/>
      <c r="I453" s="168"/>
      <c r="J453" s="168"/>
      <c r="K453" s="168"/>
      <c r="L453" s="168"/>
      <c r="M453" s="168"/>
      <c r="N453" s="168"/>
      <c r="O453" s="168"/>
      <c r="P453" s="168"/>
      <c r="Q453" s="168"/>
      <c r="R453" s="168"/>
      <c r="S453" s="168"/>
      <c r="T453" s="168"/>
      <c r="U453" s="168"/>
      <c r="V453" s="168"/>
      <c r="W453" s="168"/>
      <c r="X453" s="168"/>
      <c r="Y453" s="168"/>
      <c r="Z453" s="168"/>
    </row>
    <row r="454" customFormat="false" ht="15.75" hidden="false" customHeight="false" outlineLevel="0" collapsed="false">
      <c r="A454" s="168"/>
      <c r="B454" s="168"/>
      <c r="C454" s="168"/>
      <c r="D454" s="168"/>
      <c r="E454" s="168"/>
      <c r="F454" s="168"/>
      <c r="G454" s="168"/>
      <c r="H454" s="168"/>
      <c r="I454" s="168"/>
      <c r="J454" s="168"/>
      <c r="K454" s="168"/>
      <c r="L454" s="168"/>
      <c r="M454" s="168"/>
      <c r="N454" s="168"/>
      <c r="O454" s="168"/>
      <c r="P454" s="168"/>
      <c r="Q454" s="168"/>
      <c r="R454" s="168"/>
      <c r="S454" s="168"/>
      <c r="T454" s="168"/>
      <c r="U454" s="168"/>
      <c r="V454" s="168"/>
      <c r="W454" s="168"/>
      <c r="X454" s="168"/>
      <c r="Y454" s="168"/>
      <c r="Z454" s="168"/>
    </row>
    <row r="455" customFormat="false" ht="15.75" hidden="false" customHeight="false" outlineLevel="0" collapsed="false">
      <c r="A455" s="168"/>
      <c r="B455" s="168"/>
      <c r="C455" s="168"/>
      <c r="D455" s="168"/>
      <c r="E455" s="168"/>
      <c r="F455" s="168"/>
      <c r="G455" s="168"/>
      <c r="H455" s="168"/>
      <c r="I455" s="168"/>
      <c r="J455" s="168"/>
      <c r="K455" s="168"/>
      <c r="L455" s="168"/>
      <c r="M455" s="168"/>
      <c r="N455" s="168"/>
      <c r="O455" s="168"/>
      <c r="P455" s="168"/>
      <c r="Q455" s="168"/>
      <c r="R455" s="168"/>
      <c r="S455" s="168"/>
      <c r="T455" s="168"/>
      <c r="U455" s="168"/>
      <c r="V455" s="168"/>
      <c r="W455" s="168"/>
      <c r="X455" s="168"/>
      <c r="Y455" s="168"/>
      <c r="Z455" s="168"/>
    </row>
    <row r="456" customFormat="false" ht="15.75" hidden="false" customHeight="false" outlineLevel="0" collapsed="false">
      <c r="A456" s="168"/>
      <c r="B456" s="168"/>
      <c r="C456" s="168"/>
      <c r="D456" s="168"/>
      <c r="E456" s="168"/>
      <c r="F456" s="168"/>
      <c r="G456" s="168"/>
      <c r="H456" s="168"/>
      <c r="I456" s="168"/>
      <c r="J456" s="168"/>
      <c r="K456" s="168"/>
      <c r="L456" s="168"/>
      <c r="M456" s="168"/>
      <c r="N456" s="168"/>
      <c r="O456" s="168"/>
      <c r="P456" s="168"/>
      <c r="Q456" s="168"/>
      <c r="R456" s="168"/>
      <c r="S456" s="168"/>
      <c r="T456" s="168"/>
      <c r="U456" s="168"/>
      <c r="V456" s="168"/>
      <c r="W456" s="168"/>
      <c r="X456" s="168"/>
      <c r="Y456" s="168"/>
      <c r="Z456" s="168"/>
    </row>
    <row r="457" customFormat="false" ht="15.75" hidden="false" customHeight="false" outlineLevel="0" collapsed="false">
      <c r="A457" s="168"/>
      <c r="B457" s="168"/>
      <c r="C457" s="168"/>
      <c r="D457" s="168"/>
      <c r="E457" s="168"/>
      <c r="F457" s="168"/>
      <c r="G457" s="168"/>
      <c r="H457" s="168"/>
      <c r="I457" s="168"/>
      <c r="J457" s="168"/>
      <c r="K457" s="168"/>
      <c r="L457" s="168"/>
      <c r="M457" s="168"/>
      <c r="N457" s="168"/>
      <c r="O457" s="168"/>
      <c r="P457" s="168"/>
      <c r="Q457" s="168"/>
      <c r="R457" s="168"/>
      <c r="S457" s="168"/>
      <c r="T457" s="168"/>
      <c r="U457" s="168"/>
      <c r="V457" s="168"/>
      <c r="W457" s="168"/>
      <c r="X457" s="168"/>
      <c r="Y457" s="168"/>
      <c r="Z457" s="168"/>
    </row>
    <row r="458" customFormat="false" ht="15.75" hidden="false" customHeight="false" outlineLevel="0" collapsed="false">
      <c r="A458" s="168"/>
      <c r="B458" s="168"/>
      <c r="C458" s="168"/>
      <c r="D458" s="168"/>
      <c r="E458" s="168"/>
      <c r="F458" s="168"/>
      <c r="G458" s="168"/>
      <c r="H458" s="168"/>
      <c r="I458" s="168"/>
      <c r="J458" s="168"/>
      <c r="K458" s="168"/>
      <c r="L458" s="168"/>
      <c r="M458" s="168"/>
      <c r="N458" s="168"/>
      <c r="O458" s="168"/>
      <c r="P458" s="168"/>
      <c r="Q458" s="168"/>
      <c r="R458" s="168"/>
      <c r="S458" s="168"/>
      <c r="T458" s="168"/>
      <c r="U458" s="168"/>
      <c r="V458" s="168"/>
      <c r="W458" s="168"/>
      <c r="X458" s="168"/>
      <c r="Y458" s="168"/>
      <c r="Z458" s="168"/>
    </row>
    <row r="459" customFormat="false" ht="15.75" hidden="false" customHeight="false" outlineLevel="0" collapsed="false">
      <c r="A459" s="168"/>
      <c r="B459" s="168"/>
      <c r="C459" s="168"/>
      <c r="D459" s="168"/>
      <c r="E459" s="168"/>
      <c r="F459" s="168"/>
      <c r="G459" s="168"/>
      <c r="H459" s="168"/>
      <c r="I459" s="168"/>
      <c r="J459" s="168"/>
      <c r="K459" s="168"/>
      <c r="L459" s="168"/>
      <c r="M459" s="168"/>
      <c r="N459" s="168"/>
      <c r="O459" s="168"/>
      <c r="P459" s="168"/>
      <c r="Q459" s="168"/>
      <c r="R459" s="168"/>
      <c r="S459" s="168"/>
      <c r="T459" s="168"/>
      <c r="U459" s="168"/>
      <c r="V459" s="168"/>
      <c r="W459" s="168"/>
      <c r="X459" s="168"/>
      <c r="Y459" s="168"/>
      <c r="Z459" s="168"/>
    </row>
    <row r="460" customFormat="false" ht="15.75" hidden="false" customHeight="false" outlineLevel="0" collapsed="false">
      <c r="A460" s="168"/>
      <c r="B460" s="168"/>
      <c r="C460" s="168"/>
      <c r="D460" s="168"/>
      <c r="E460" s="168"/>
      <c r="F460" s="168"/>
      <c r="G460" s="168"/>
      <c r="H460" s="168"/>
      <c r="I460" s="168"/>
      <c r="J460" s="168"/>
      <c r="K460" s="168"/>
      <c r="L460" s="168"/>
      <c r="M460" s="168"/>
      <c r="N460" s="168"/>
      <c r="O460" s="168"/>
      <c r="P460" s="168"/>
      <c r="Q460" s="168"/>
      <c r="R460" s="168"/>
      <c r="S460" s="168"/>
      <c r="T460" s="168"/>
      <c r="U460" s="168"/>
      <c r="V460" s="168"/>
      <c r="W460" s="168"/>
      <c r="X460" s="168"/>
      <c r="Y460" s="168"/>
      <c r="Z460" s="168"/>
    </row>
    <row r="461" customFormat="false" ht="15.75" hidden="false" customHeight="false" outlineLevel="0" collapsed="false">
      <c r="A461" s="168"/>
      <c r="B461" s="168"/>
      <c r="C461" s="168"/>
      <c r="D461" s="168"/>
      <c r="E461" s="168"/>
      <c r="F461" s="168"/>
      <c r="G461" s="168"/>
      <c r="H461" s="168"/>
      <c r="I461" s="168"/>
      <c r="J461" s="168"/>
      <c r="K461" s="168"/>
      <c r="L461" s="168"/>
      <c r="M461" s="168"/>
      <c r="N461" s="168"/>
      <c r="O461" s="168"/>
      <c r="P461" s="168"/>
      <c r="Q461" s="168"/>
      <c r="R461" s="168"/>
      <c r="S461" s="168"/>
      <c r="T461" s="168"/>
      <c r="U461" s="168"/>
      <c r="V461" s="168"/>
      <c r="W461" s="168"/>
      <c r="X461" s="168"/>
      <c r="Y461" s="168"/>
      <c r="Z461" s="168"/>
    </row>
    <row r="462" customFormat="false" ht="15.75" hidden="false" customHeight="false" outlineLevel="0" collapsed="false">
      <c r="A462" s="168"/>
      <c r="B462" s="168"/>
      <c r="C462" s="168"/>
      <c r="D462" s="168"/>
      <c r="E462" s="168"/>
      <c r="F462" s="168"/>
      <c r="G462" s="168"/>
      <c r="H462" s="168"/>
      <c r="I462" s="168"/>
      <c r="J462" s="168"/>
      <c r="K462" s="168"/>
      <c r="L462" s="168"/>
      <c r="M462" s="168"/>
      <c r="N462" s="168"/>
      <c r="O462" s="168"/>
      <c r="P462" s="168"/>
      <c r="Q462" s="168"/>
      <c r="R462" s="168"/>
      <c r="S462" s="168"/>
      <c r="T462" s="168"/>
      <c r="U462" s="168"/>
      <c r="V462" s="168"/>
      <c r="W462" s="168"/>
      <c r="X462" s="168"/>
      <c r="Y462" s="168"/>
      <c r="Z462" s="168"/>
    </row>
    <row r="463" customFormat="false" ht="15.75" hidden="false" customHeight="false" outlineLevel="0" collapsed="false">
      <c r="A463" s="168"/>
      <c r="B463" s="168"/>
      <c r="C463" s="168"/>
      <c r="D463" s="168"/>
      <c r="E463" s="168"/>
      <c r="F463" s="168"/>
      <c r="G463" s="168"/>
      <c r="H463" s="168"/>
      <c r="I463" s="168"/>
      <c r="J463" s="168"/>
      <c r="K463" s="168"/>
      <c r="L463" s="168"/>
      <c r="M463" s="168"/>
      <c r="N463" s="168"/>
      <c r="O463" s="168"/>
      <c r="P463" s="168"/>
      <c r="Q463" s="168"/>
      <c r="R463" s="168"/>
      <c r="S463" s="168"/>
      <c r="T463" s="168"/>
      <c r="U463" s="168"/>
      <c r="V463" s="168"/>
      <c r="W463" s="168"/>
      <c r="X463" s="168"/>
      <c r="Y463" s="168"/>
      <c r="Z463" s="168"/>
    </row>
    <row r="464" customFormat="false" ht="15.75" hidden="false" customHeight="false" outlineLevel="0" collapsed="false">
      <c r="A464" s="168"/>
      <c r="B464" s="168"/>
      <c r="C464" s="168"/>
      <c r="D464" s="168"/>
      <c r="E464" s="168"/>
      <c r="F464" s="168"/>
      <c r="G464" s="168"/>
      <c r="H464" s="168"/>
      <c r="I464" s="168"/>
      <c r="J464" s="168"/>
      <c r="K464" s="168"/>
      <c r="L464" s="168"/>
      <c r="M464" s="168"/>
      <c r="N464" s="168"/>
      <c r="O464" s="168"/>
      <c r="P464" s="168"/>
      <c r="Q464" s="168"/>
      <c r="R464" s="168"/>
      <c r="S464" s="168"/>
      <c r="T464" s="168"/>
      <c r="U464" s="168"/>
      <c r="V464" s="168"/>
      <c r="W464" s="168"/>
      <c r="X464" s="168"/>
      <c r="Y464" s="168"/>
      <c r="Z464" s="168"/>
    </row>
    <row r="465" customFormat="false" ht="15.75" hidden="false" customHeight="false" outlineLevel="0" collapsed="false">
      <c r="A465" s="168"/>
      <c r="B465" s="168"/>
      <c r="C465" s="168"/>
      <c r="D465" s="168"/>
      <c r="E465" s="168"/>
      <c r="F465" s="168"/>
      <c r="G465" s="168"/>
      <c r="H465" s="168"/>
      <c r="I465" s="168"/>
      <c r="J465" s="168"/>
      <c r="K465" s="168"/>
      <c r="L465" s="168"/>
      <c r="M465" s="168"/>
      <c r="N465" s="168"/>
      <c r="O465" s="168"/>
      <c r="P465" s="168"/>
      <c r="Q465" s="168"/>
      <c r="R465" s="168"/>
      <c r="S465" s="168"/>
      <c r="T465" s="168"/>
      <c r="U465" s="168"/>
      <c r="V465" s="168"/>
      <c r="W465" s="168"/>
      <c r="X465" s="168"/>
      <c r="Y465" s="168"/>
      <c r="Z465" s="168"/>
    </row>
    <row r="466" customFormat="false" ht="15.75" hidden="false" customHeight="false" outlineLevel="0" collapsed="false">
      <c r="A466" s="168"/>
      <c r="B466" s="168"/>
      <c r="C466" s="168"/>
      <c r="D466" s="168"/>
      <c r="E466" s="168"/>
      <c r="F466" s="168"/>
      <c r="G466" s="168"/>
      <c r="H466" s="168"/>
      <c r="I466" s="168"/>
      <c r="J466" s="168"/>
      <c r="K466" s="168"/>
      <c r="L466" s="168"/>
      <c r="M466" s="168"/>
      <c r="N466" s="168"/>
      <c r="O466" s="168"/>
      <c r="P466" s="168"/>
      <c r="Q466" s="168"/>
      <c r="R466" s="168"/>
      <c r="S466" s="168"/>
      <c r="T466" s="168"/>
      <c r="U466" s="168"/>
      <c r="V466" s="168"/>
      <c r="W466" s="168"/>
      <c r="X466" s="168"/>
      <c r="Y466" s="168"/>
      <c r="Z466" s="168"/>
    </row>
    <row r="467" customFormat="false" ht="15.75" hidden="false" customHeight="false" outlineLevel="0" collapsed="false">
      <c r="A467" s="168"/>
      <c r="B467" s="168"/>
      <c r="C467" s="168"/>
      <c r="D467" s="168"/>
      <c r="E467" s="168"/>
      <c r="F467" s="168"/>
      <c r="G467" s="168"/>
      <c r="H467" s="168"/>
      <c r="I467" s="168"/>
      <c r="J467" s="168"/>
      <c r="K467" s="168"/>
      <c r="L467" s="168"/>
      <c r="M467" s="168"/>
      <c r="N467" s="168"/>
      <c r="O467" s="168"/>
      <c r="P467" s="168"/>
      <c r="Q467" s="168"/>
      <c r="R467" s="168"/>
      <c r="S467" s="168"/>
      <c r="T467" s="168"/>
      <c r="U467" s="168"/>
      <c r="V467" s="168"/>
      <c r="W467" s="168"/>
      <c r="X467" s="168"/>
      <c r="Y467" s="168"/>
      <c r="Z467" s="168"/>
    </row>
    <row r="468" customFormat="false" ht="15.75" hidden="false" customHeight="false" outlineLevel="0" collapsed="false">
      <c r="A468" s="168"/>
      <c r="B468" s="168"/>
      <c r="C468" s="168"/>
      <c r="D468" s="168"/>
      <c r="E468" s="168"/>
      <c r="F468" s="168"/>
      <c r="G468" s="168"/>
      <c r="H468" s="168"/>
      <c r="I468" s="168"/>
      <c r="J468" s="168"/>
      <c r="K468" s="168"/>
      <c r="L468" s="168"/>
      <c r="M468" s="168"/>
      <c r="N468" s="168"/>
      <c r="O468" s="168"/>
      <c r="P468" s="168"/>
      <c r="Q468" s="168"/>
      <c r="R468" s="168"/>
      <c r="S468" s="168"/>
      <c r="T468" s="168"/>
      <c r="U468" s="168"/>
      <c r="V468" s="168"/>
      <c r="W468" s="168"/>
      <c r="X468" s="168"/>
      <c r="Y468" s="168"/>
      <c r="Z468" s="168"/>
    </row>
    <row r="469" customFormat="false" ht="15.75" hidden="false" customHeight="false" outlineLevel="0" collapsed="false">
      <c r="A469" s="168"/>
      <c r="B469" s="168"/>
      <c r="C469" s="168"/>
      <c r="D469" s="168"/>
      <c r="E469" s="168"/>
      <c r="F469" s="168"/>
      <c r="G469" s="168"/>
      <c r="H469" s="168"/>
      <c r="I469" s="168"/>
      <c r="J469" s="168"/>
      <c r="K469" s="168"/>
      <c r="L469" s="168"/>
      <c r="M469" s="168"/>
      <c r="N469" s="168"/>
      <c r="O469" s="168"/>
      <c r="P469" s="168"/>
      <c r="Q469" s="168"/>
      <c r="R469" s="168"/>
      <c r="S469" s="168"/>
      <c r="T469" s="168"/>
      <c r="U469" s="168"/>
      <c r="V469" s="168"/>
      <c r="W469" s="168"/>
      <c r="X469" s="168"/>
      <c r="Y469" s="168"/>
      <c r="Z469" s="168"/>
    </row>
    <row r="470" customFormat="false" ht="15.75" hidden="false" customHeight="false" outlineLevel="0" collapsed="false">
      <c r="A470" s="168"/>
      <c r="B470" s="168"/>
      <c r="C470" s="168"/>
      <c r="D470" s="168"/>
      <c r="E470" s="168"/>
      <c r="F470" s="168"/>
      <c r="G470" s="168"/>
      <c r="H470" s="168"/>
      <c r="I470" s="168"/>
      <c r="J470" s="168"/>
      <c r="K470" s="168"/>
      <c r="L470" s="168"/>
      <c r="M470" s="168"/>
      <c r="N470" s="168"/>
      <c r="O470" s="168"/>
      <c r="P470" s="168"/>
      <c r="Q470" s="168"/>
      <c r="R470" s="168"/>
      <c r="S470" s="168"/>
      <c r="T470" s="168"/>
      <c r="U470" s="168"/>
      <c r="V470" s="168"/>
      <c r="W470" s="168"/>
      <c r="X470" s="168"/>
      <c r="Y470" s="168"/>
      <c r="Z470" s="168"/>
    </row>
    <row r="471" customFormat="false" ht="15.75" hidden="false" customHeight="false" outlineLevel="0" collapsed="false">
      <c r="A471" s="168"/>
      <c r="B471" s="168"/>
      <c r="C471" s="168"/>
      <c r="D471" s="168"/>
      <c r="E471" s="168"/>
      <c r="F471" s="168"/>
      <c r="G471" s="168"/>
      <c r="H471" s="168"/>
      <c r="I471" s="168"/>
      <c r="J471" s="168"/>
      <c r="K471" s="168"/>
      <c r="L471" s="168"/>
      <c r="M471" s="168"/>
      <c r="N471" s="168"/>
      <c r="O471" s="168"/>
      <c r="P471" s="168"/>
      <c r="Q471" s="168"/>
      <c r="R471" s="168"/>
      <c r="S471" s="168"/>
      <c r="T471" s="168"/>
      <c r="U471" s="168"/>
      <c r="V471" s="168"/>
      <c r="W471" s="168"/>
      <c r="X471" s="168"/>
      <c r="Y471" s="168"/>
      <c r="Z471" s="168"/>
    </row>
    <row r="472" customFormat="false" ht="15.75" hidden="false" customHeight="false" outlineLevel="0" collapsed="false">
      <c r="A472" s="168"/>
      <c r="B472" s="168"/>
      <c r="C472" s="168"/>
      <c r="D472" s="168"/>
      <c r="E472" s="168"/>
      <c r="F472" s="168"/>
      <c r="G472" s="168"/>
      <c r="H472" s="168"/>
      <c r="I472" s="168"/>
      <c r="J472" s="168"/>
      <c r="K472" s="168"/>
      <c r="L472" s="168"/>
      <c r="M472" s="168"/>
      <c r="N472" s="168"/>
      <c r="O472" s="168"/>
      <c r="P472" s="168"/>
      <c r="Q472" s="168"/>
      <c r="R472" s="168"/>
      <c r="S472" s="168"/>
      <c r="T472" s="168"/>
      <c r="U472" s="168"/>
      <c r="V472" s="168"/>
      <c r="W472" s="168"/>
      <c r="X472" s="168"/>
      <c r="Y472" s="168"/>
      <c r="Z472" s="168"/>
    </row>
    <row r="473" customFormat="false" ht="15.75" hidden="false" customHeight="false" outlineLevel="0" collapsed="false">
      <c r="A473" s="168"/>
      <c r="B473" s="168"/>
      <c r="C473" s="168"/>
      <c r="D473" s="168"/>
      <c r="E473" s="168"/>
      <c r="F473" s="168"/>
      <c r="G473" s="168"/>
      <c r="H473" s="168"/>
      <c r="I473" s="168"/>
      <c r="J473" s="168"/>
      <c r="K473" s="168"/>
      <c r="L473" s="168"/>
      <c r="M473" s="168"/>
      <c r="N473" s="168"/>
      <c r="O473" s="168"/>
      <c r="P473" s="168"/>
      <c r="Q473" s="168"/>
      <c r="R473" s="168"/>
      <c r="S473" s="168"/>
      <c r="T473" s="168"/>
      <c r="U473" s="168"/>
      <c r="V473" s="168"/>
      <c r="W473" s="168"/>
      <c r="X473" s="168"/>
      <c r="Y473" s="168"/>
      <c r="Z473" s="168"/>
    </row>
    <row r="474" customFormat="false" ht="15.75" hidden="false" customHeight="false" outlineLevel="0" collapsed="false">
      <c r="A474" s="168"/>
      <c r="B474" s="168"/>
      <c r="C474" s="168"/>
      <c r="D474" s="168"/>
      <c r="E474" s="168"/>
      <c r="F474" s="168"/>
      <c r="G474" s="168"/>
      <c r="H474" s="168"/>
      <c r="I474" s="168"/>
      <c r="J474" s="168"/>
      <c r="K474" s="168"/>
      <c r="L474" s="168"/>
      <c r="M474" s="168"/>
      <c r="N474" s="168"/>
      <c r="O474" s="168"/>
      <c r="P474" s="168"/>
      <c r="Q474" s="168"/>
      <c r="R474" s="168"/>
      <c r="S474" s="168"/>
      <c r="T474" s="168"/>
      <c r="U474" s="168"/>
      <c r="V474" s="168"/>
      <c r="W474" s="168"/>
      <c r="X474" s="168"/>
      <c r="Y474" s="168"/>
      <c r="Z474" s="168"/>
    </row>
    <row r="475" customFormat="false" ht="15.75" hidden="false" customHeight="false" outlineLevel="0" collapsed="false">
      <c r="A475" s="168"/>
      <c r="B475" s="168"/>
      <c r="C475" s="168"/>
      <c r="D475" s="168"/>
      <c r="E475" s="168"/>
      <c r="F475" s="168"/>
      <c r="G475" s="168"/>
      <c r="H475" s="168"/>
      <c r="I475" s="168"/>
      <c r="J475" s="168"/>
      <c r="K475" s="168"/>
      <c r="L475" s="168"/>
      <c r="M475" s="168"/>
      <c r="N475" s="168"/>
      <c r="O475" s="168"/>
      <c r="P475" s="168"/>
      <c r="Q475" s="168"/>
      <c r="R475" s="168"/>
      <c r="S475" s="168"/>
      <c r="T475" s="168"/>
      <c r="U475" s="168"/>
      <c r="V475" s="168"/>
      <c r="W475" s="168"/>
      <c r="X475" s="168"/>
      <c r="Y475" s="168"/>
      <c r="Z475" s="168"/>
    </row>
    <row r="476" customFormat="false" ht="15.75" hidden="false" customHeight="false" outlineLevel="0" collapsed="false">
      <c r="A476" s="168"/>
      <c r="B476" s="168"/>
      <c r="C476" s="168"/>
      <c r="D476" s="168"/>
      <c r="E476" s="168"/>
      <c r="F476" s="168"/>
      <c r="G476" s="168"/>
      <c r="H476" s="168"/>
      <c r="I476" s="168"/>
      <c r="J476" s="168"/>
      <c r="K476" s="168"/>
      <c r="L476" s="168"/>
      <c r="M476" s="168"/>
      <c r="N476" s="168"/>
      <c r="O476" s="168"/>
      <c r="P476" s="168"/>
      <c r="Q476" s="168"/>
      <c r="R476" s="168"/>
      <c r="S476" s="168"/>
      <c r="T476" s="168"/>
      <c r="U476" s="168"/>
      <c r="V476" s="168"/>
      <c r="W476" s="168"/>
      <c r="X476" s="168"/>
      <c r="Y476" s="168"/>
      <c r="Z476" s="168"/>
    </row>
    <row r="477" customFormat="false" ht="15.75" hidden="false" customHeight="false" outlineLevel="0" collapsed="false">
      <c r="A477" s="168"/>
      <c r="B477" s="168"/>
      <c r="C477" s="168"/>
      <c r="D477" s="168"/>
      <c r="E477" s="168"/>
      <c r="F477" s="168"/>
      <c r="G477" s="168"/>
      <c r="H477" s="168"/>
      <c r="I477" s="168"/>
      <c r="J477" s="168"/>
      <c r="K477" s="168"/>
      <c r="L477" s="168"/>
      <c r="M477" s="168"/>
      <c r="N477" s="168"/>
      <c r="O477" s="168"/>
      <c r="P477" s="168"/>
      <c r="Q477" s="168"/>
      <c r="R477" s="168"/>
      <c r="S477" s="168"/>
      <c r="T477" s="168"/>
      <c r="U477" s="168"/>
      <c r="V477" s="168"/>
      <c r="W477" s="168"/>
      <c r="X477" s="168"/>
      <c r="Y477" s="168"/>
      <c r="Z477" s="168"/>
    </row>
    <row r="478" customFormat="false" ht="15.75" hidden="false" customHeight="false" outlineLevel="0" collapsed="false">
      <c r="A478" s="168"/>
      <c r="B478" s="168"/>
      <c r="C478" s="168"/>
      <c r="D478" s="168"/>
      <c r="E478" s="168"/>
      <c r="F478" s="168"/>
      <c r="G478" s="168"/>
      <c r="H478" s="168"/>
      <c r="I478" s="168"/>
      <c r="J478" s="168"/>
      <c r="K478" s="168"/>
      <c r="L478" s="168"/>
      <c r="M478" s="168"/>
      <c r="N478" s="168"/>
      <c r="O478" s="168"/>
      <c r="P478" s="168"/>
      <c r="Q478" s="168"/>
      <c r="R478" s="168"/>
      <c r="S478" s="168"/>
      <c r="T478" s="168"/>
      <c r="U478" s="168"/>
      <c r="V478" s="168"/>
      <c r="W478" s="168"/>
      <c r="X478" s="168"/>
      <c r="Y478" s="168"/>
      <c r="Z478" s="168"/>
    </row>
    <row r="479" customFormat="false" ht="15.75" hidden="false" customHeight="false" outlineLevel="0" collapsed="false">
      <c r="A479" s="168"/>
      <c r="B479" s="168"/>
      <c r="C479" s="168"/>
      <c r="D479" s="168"/>
      <c r="E479" s="168"/>
      <c r="F479" s="168"/>
      <c r="G479" s="168"/>
      <c r="H479" s="168"/>
      <c r="I479" s="168"/>
      <c r="J479" s="168"/>
      <c r="K479" s="168"/>
      <c r="L479" s="168"/>
      <c r="M479" s="168"/>
      <c r="N479" s="168"/>
      <c r="O479" s="168"/>
      <c r="P479" s="168"/>
      <c r="Q479" s="168"/>
      <c r="R479" s="168"/>
      <c r="S479" s="168"/>
      <c r="T479" s="168"/>
      <c r="U479" s="168"/>
      <c r="V479" s="168"/>
      <c r="W479" s="168"/>
      <c r="X479" s="168"/>
      <c r="Y479" s="168"/>
      <c r="Z479" s="168"/>
    </row>
    <row r="480" customFormat="false" ht="15.75" hidden="false" customHeight="false" outlineLevel="0" collapsed="false">
      <c r="A480" s="168"/>
      <c r="B480" s="168"/>
      <c r="C480" s="168"/>
      <c r="D480" s="168"/>
      <c r="E480" s="168"/>
      <c r="F480" s="168"/>
      <c r="G480" s="168"/>
      <c r="H480" s="168"/>
      <c r="I480" s="168"/>
      <c r="J480" s="168"/>
      <c r="K480" s="168"/>
      <c r="L480" s="168"/>
      <c r="M480" s="168"/>
      <c r="N480" s="168"/>
      <c r="O480" s="168"/>
      <c r="P480" s="168"/>
      <c r="Q480" s="168"/>
      <c r="R480" s="168"/>
      <c r="S480" s="168"/>
      <c r="T480" s="168"/>
      <c r="U480" s="168"/>
      <c r="V480" s="168"/>
      <c r="W480" s="168"/>
      <c r="X480" s="168"/>
      <c r="Y480" s="168"/>
      <c r="Z480" s="168"/>
    </row>
    <row r="481" customFormat="false" ht="15.75" hidden="false" customHeight="false" outlineLevel="0" collapsed="false">
      <c r="A481" s="168"/>
      <c r="B481" s="168"/>
      <c r="C481" s="168"/>
      <c r="D481" s="168"/>
      <c r="E481" s="168"/>
      <c r="F481" s="168"/>
      <c r="G481" s="168"/>
      <c r="H481" s="168"/>
      <c r="I481" s="168"/>
      <c r="J481" s="168"/>
      <c r="K481" s="168"/>
      <c r="L481" s="168"/>
      <c r="M481" s="168"/>
      <c r="N481" s="168"/>
      <c r="O481" s="168"/>
      <c r="P481" s="168"/>
      <c r="Q481" s="168"/>
      <c r="R481" s="168"/>
      <c r="S481" s="168"/>
      <c r="T481" s="168"/>
      <c r="U481" s="168"/>
      <c r="V481" s="168"/>
      <c r="W481" s="168"/>
      <c r="X481" s="168"/>
      <c r="Y481" s="168"/>
      <c r="Z481" s="168"/>
    </row>
    <row r="482" customFormat="false" ht="15.75" hidden="false" customHeight="false" outlineLevel="0" collapsed="false">
      <c r="A482" s="168"/>
      <c r="B482" s="168"/>
      <c r="C482" s="168"/>
      <c r="D482" s="168"/>
      <c r="E482" s="168"/>
      <c r="F482" s="168"/>
      <c r="G482" s="168"/>
      <c r="H482" s="168"/>
      <c r="I482" s="168"/>
      <c r="J482" s="168"/>
      <c r="K482" s="168"/>
      <c r="L482" s="168"/>
      <c r="M482" s="168"/>
      <c r="N482" s="168"/>
      <c r="O482" s="168"/>
      <c r="P482" s="168"/>
      <c r="Q482" s="168"/>
      <c r="R482" s="168"/>
      <c r="S482" s="168"/>
      <c r="T482" s="168"/>
      <c r="U482" s="168"/>
      <c r="V482" s="168"/>
      <c r="W482" s="168"/>
      <c r="X482" s="168"/>
      <c r="Y482" s="168"/>
      <c r="Z482" s="168"/>
    </row>
    <row r="483" customFormat="false" ht="15.75" hidden="false" customHeight="false" outlineLevel="0" collapsed="false">
      <c r="A483" s="168"/>
      <c r="B483" s="168"/>
      <c r="C483" s="168"/>
      <c r="D483" s="168"/>
      <c r="E483" s="168"/>
      <c r="F483" s="168"/>
      <c r="G483" s="168"/>
      <c r="H483" s="168"/>
      <c r="I483" s="168"/>
      <c r="J483" s="168"/>
      <c r="K483" s="168"/>
      <c r="L483" s="168"/>
      <c r="M483" s="168"/>
      <c r="N483" s="168"/>
      <c r="O483" s="168"/>
      <c r="P483" s="168"/>
      <c r="Q483" s="168"/>
      <c r="R483" s="168"/>
      <c r="S483" s="168"/>
      <c r="T483" s="168"/>
      <c r="U483" s="168"/>
      <c r="V483" s="168"/>
      <c r="W483" s="168"/>
      <c r="X483" s="168"/>
      <c r="Y483" s="168"/>
      <c r="Z483" s="168"/>
    </row>
    <row r="484" customFormat="false" ht="15.75" hidden="false" customHeight="false" outlineLevel="0" collapsed="false">
      <c r="A484" s="168"/>
      <c r="B484" s="168"/>
      <c r="C484" s="168"/>
      <c r="D484" s="168"/>
      <c r="E484" s="168"/>
      <c r="F484" s="168"/>
      <c r="G484" s="168"/>
      <c r="H484" s="168"/>
      <c r="I484" s="168"/>
      <c r="J484" s="168"/>
      <c r="K484" s="168"/>
      <c r="L484" s="168"/>
      <c r="M484" s="168"/>
      <c r="N484" s="168"/>
      <c r="O484" s="168"/>
      <c r="P484" s="168"/>
      <c r="Q484" s="168"/>
      <c r="R484" s="168"/>
      <c r="S484" s="168"/>
      <c r="T484" s="168"/>
      <c r="U484" s="168"/>
      <c r="V484" s="168"/>
      <c r="W484" s="168"/>
      <c r="X484" s="168"/>
      <c r="Y484" s="168"/>
      <c r="Z484" s="168"/>
    </row>
    <row r="485" customFormat="false" ht="15.75" hidden="false" customHeight="false" outlineLevel="0" collapsed="false">
      <c r="A485" s="168"/>
      <c r="B485" s="168"/>
      <c r="C485" s="168"/>
      <c r="D485" s="168"/>
      <c r="E485" s="168"/>
      <c r="F485" s="168"/>
      <c r="G485" s="168"/>
      <c r="H485" s="168"/>
      <c r="I485" s="168"/>
      <c r="J485" s="168"/>
      <c r="K485" s="168"/>
      <c r="L485" s="168"/>
      <c r="M485" s="168"/>
      <c r="N485" s="168"/>
      <c r="O485" s="168"/>
      <c r="P485" s="168"/>
      <c r="Q485" s="168"/>
      <c r="R485" s="168"/>
      <c r="S485" s="168"/>
      <c r="T485" s="168"/>
      <c r="U485" s="168"/>
      <c r="V485" s="168"/>
      <c r="W485" s="168"/>
      <c r="X485" s="168"/>
      <c r="Y485" s="168"/>
      <c r="Z485" s="168"/>
    </row>
    <row r="486" customFormat="false" ht="15.75" hidden="false" customHeight="false" outlineLevel="0" collapsed="false">
      <c r="A486" s="168"/>
      <c r="B486" s="168"/>
      <c r="C486" s="168"/>
      <c r="D486" s="168"/>
      <c r="E486" s="168"/>
      <c r="F486" s="168"/>
      <c r="G486" s="168"/>
      <c r="H486" s="168"/>
      <c r="I486" s="168"/>
      <c r="J486" s="168"/>
      <c r="K486" s="168"/>
      <c r="L486" s="168"/>
      <c r="M486" s="168"/>
      <c r="N486" s="168"/>
      <c r="O486" s="168"/>
      <c r="P486" s="168"/>
      <c r="Q486" s="168"/>
      <c r="R486" s="168"/>
      <c r="S486" s="168"/>
      <c r="T486" s="168"/>
      <c r="U486" s="168"/>
      <c r="V486" s="168"/>
      <c r="W486" s="168"/>
      <c r="X486" s="168"/>
      <c r="Y486" s="168"/>
      <c r="Z486" s="168"/>
    </row>
    <row r="487" customFormat="false" ht="15.75" hidden="false" customHeight="false" outlineLevel="0" collapsed="false">
      <c r="A487" s="168"/>
      <c r="B487" s="168"/>
      <c r="C487" s="168"/>
      <c r="D487" s="168"/>
      <c r="E487" s="168"/>
      <c r="F487" s="168"/>
      <c r="G487" s="168"/>
      <c r="H487" s="168"/>
      <c r="I487" s="168"/>
      <c r="J487" s="168"/>
      <c r="K487" s="168"/>
      <c r="L487" s="168"/>
      <c r="M487" s="168"/>
      <c r="N487" s="168"/>
      <c r="O487" s="168"/>
      <c r="P487" s="168"/>
      <c r="Q487" s="168"/>
      <c r="R487" s="168"/>
      <c r="S487" s="168"/>
      <c r="T487" s="168"/>
      <c r="U487" s="168"/>
      <c r="V487" s="168"/>
      <c r="W487" s="168"/>
      <c r="X487" s="168"/>
      <c r="Y487" s="168"/>
      <c r="Z487" s="168"/>
    </row>
    <row r="488" customFormat="false" ht="15.75" hidden="false" customHeight="false" outlineLevel="0" collapsed="false">
      <c r="A488" s="168"/>
      <c r="B488" s="168"/>
      <c r="C488" s="168"/>
      <c r="D488" s="168"/>
      <c r="E488" s="168"/>
      <c r="F488" s="168"/>
      <c r="G488" s="168"/>
      <c r="H488" s="168"/>
      <c r="I488" s="168"/>
      <c r="J488" s="168"/>
      <c r="K488" s="168"/>
      <c r="L488" s="168"/>
      <c r="M488" s="168"/>
      <c r="N488" s="168"/>
      <c r="O488" s="168"/>
      <c r="P488" s="168"/>
      <c r="Q488" s="168"/>
      <c r="R488" s="168"/>
      <c r="S488" s="168"/>
      <c r="T488" s="168"/>
      <c r="U488" s="168"/>
      <c r="V488" s="168"/>
      <c r="W488" s="168"/>
      <c r="X488" s="168"/>
      <c r="Y488" s="168"/>
      <c r="Z488" s="168"/>
    </row>
    <row r="489" customFormat="false" ht="15.75" hidden="false" customHeight="false" outlineLevel="0" collapsed="false">
      <c r="A489" s="168"/>
      <c r="B489" s="168"/>
      <c r="C489" s="168"/>
      <c r="D489" s="168"/>
      <c r="E489" s="168"/>
      <c r="F489" s="168"/>
      <c r="G489" s="168"/>
      <c r="H489" s="168"/>
      <c r="I489" s="168"/>
      <c r="J489" s="168"/>
      <c r="K489" s="168"/>
      <c r="L489" s="168"/>
      <c r="M489" s="168"/>
      <c r="N489" s="168"/>
      <c r="O489" s="168"/>
      <c r="P489" s="168"/>
      <c r="Q489" s="168"/>
      <c r="R489" s="168"/>
      <c r="S489" s="168"/>
      <c r="T489" s="168"/>
      <c r="U489" s="168"/>
      <c r="V489" s="168"/>
      <c r="W489" s="168"/>
      <c r="X489" s="168"/>
      <c r="Y489" s="168"/>
      <c r="Z489" s="168"/>
    </row>
    <row r="490" customFormat="false" ht="15.75" hidden="false" customHeight="false" outlineLevel="0" collapsed="false">
      <c r="A490" s="168"/>
      <c r="B490" s="168"/>
      <c r="C490" s="168"/>
      <c r="D490" s="168"/>
      <c r="E490" s="168"/>
      <c r="F490" s="168"/>
      <c r="G490" s="168"/>
      <c r="H490" s="168"/>
      <c r="I490" s="168"/>
      <c r="J490" s="168"/>
      <c r="K490" s="168"/>
      <c r="L490" s="168"/>
      <c r="M490" s="168"/>
      <c r="N490" s="168"/>
      <c r="O490" s="168"/>
      <c r="P490" s="168"/>
      <c r="Q490" s="168"/>
      <c r="R490" s="168"/>
      <c r="S490" s="168"/>
      <c r="T490" s="168"/>
      <c r="U490" s="168"/>
      <c r="V490" s="168"/>
      <c r="W490" s="168"/>
      <c r="X490" s="168"/>
      <c r="Y490" s="168"/>
      <c r="Z490" s="168"/>
    </row>
    <row r="491" customFormat="false" ht="15.75" hidden="false" customHeight="false" outlineLevel="0" collapsed="false">
      <c r="A491" s="168"/>
      <c r="B491" s="168"/>
      <c r="C491" s="168"/>
      <c r="D491" s="168"/>
      <c r="E491" s="168"/>
      <c r="F491" s="168"/>
      <c r="G491" s="168"/>
      <c r="H491" s="168"/>
      <c r="I491" s="168"/>
      <c r="J491" s="168"/>
      <c r="K491" s="168"/>
      <c r="L491" s="168"/>
      <c r="M491" s="168"/>
      <c r="N491" s="168"/>
      <c r="O491" s="168"/>
      <c r="P491" s="168"/>
      <c r="Q491" s="168"/>
      <c r="R491" s="168"/>
      <c r="S491" s="168"/>
      <c r="T491" s="168"/>
      <c r="U491" s="168"/>
      <c r="V491" s="168"/>
      <c r="W491" s="168"/>
      <c r="X491" s="168"/>
      <c r="Y491" s="168"/>
      <c r="Z491" s="168"/>
    </row>
    <row r="492" customFormat="false" ht="15.75" hidden="false" customHeight="false" outlineLevel="0" collapsed="false">
      <c r="A492" s="168"/>
      <c r="B492" s="168"/>
      <c r="C492" s="168"/>
      <c r="D492" s="168"/>
      <c r="E492" s="168"/>
      <c r="F492" s="168"/>
      <c r="G492" s="168"/>
      <c r="H492" s="168"/>
      <c r="I492" s="168"/>
      <c r="J492" s="168"/>
      <c r="K492" s="168"/>
      <c r="L492" s="168"/>
      <c r="M492" s="168"/>
      <c r="N492" s="168"/>
      <c r="O492" s="168"/>
      <c r="P492" s="168"/>
      <c r="Q492" s="168"/>
      <c r="R492" s="168"/>
      <c r="S492" s="168"/>
      <c r="T492" s="168"/>
      <c r="U492" s="168"/>
      <c r="V492" s="168"/>
      <c r="W492" s="168"/>
      <c r="X492" s="168"/>
      <c r="Y492" s="168"/>
      <c r="Z492" s="168"/>
    </row>
    <row r="493" customFormat="false" ht="15.75" hidden="false" customHeight="false" outlineLevel="0" collapsed="false">
      <c r="A493" s="168"/>
      <c r="B493" s="168"/>
      <c r="C493" s="168"/>
      <c r="D493" s="168"/>
      <c r="E493" s="168"/>
      <c r="F493" s="168"/>
      <c r="G493" s="168"/>
      <c r="H493" s="168"/>
      <c r="I493" s="168"/>
      <c r="J493" s="168"/>
      <c r="K493" s="168"/>
      <c r="L493" s="168"/>
      <c r="M493" s="168"/>
      <c r="N493" s="168"/>
      <c r="O493" s="168"/>
      <c r="P493" s="168"/>
      <c r="Q493" s="168"/>
      <c r="R493" s="168"/>
      <c r="S493" s="168"/>
      <c r="T493" s="168"/>
      <c r="U493" s="168"/>
      <c r="V493" s="168"/>
      <c r="W493" s="168"/>
      <c r="X493" s="168"/>
      <c r="Y493" s="168"/>
      <c r="Z493" s="168"/>
    </row>
    <row r="494" customFormat="false" ht="15.75" hidden="false" customHeight="false" outlineLevel="0" collapsed="false">
      <c r="A494" s="168"/>
      <c r="B494" s="168"/>
      <c r="C494" s="168"/>
      <c r="D494" s="168"/>
      <c r="E494" s="168"/>
      <c r="F494" s="168"/>
      <c r="G494" s="168"/>
      <c r="H494" s="168"/>
      <c r="I494" s="168"/>
      <c r="J494" s="168"/>
      <c r="K494" s="168"/>
      <c r="L494" s="168"/>
      <c r="M494" s="168"/>
      <c r="N494" s="168"/>
      <c r="O494" s="168"/>
      <c r="P494" s="168"/>
      <c r="Q494" s="168"/>
      <c r="R494" s="168"/>
      <c r="S494" s="168"/>
      <c r="T494" s="168"/>
      <c r="U494" s="168"/>
      <c r="V494" s="168"/>
      <c r="W494" s="168"/>
      <c r="X494" s="168"/>
      <c r="Y494" s="168"/>
      <c r="Z494" s="168"/>
    </row>
    <row r="495" customFormat="false" ht="15.75" hidden="false" customHeight="false" outlineLevel="0" collapsed="false">
      <c r="A495" s="168"/>
      <c r="B495" s="168"/>
      <c r="C495" s="168"/>
      <c r="D495" s="168"/>
      <c r="E495" s="168"/>
      <c r="F495" s="168"/>
      <c r="G495" s="168"/>
      <c r="H495" s="168"/>
      <c r="I495" s="168"/>
      <c r="J495" s="168"/>
      <c r="K495" s="168"/>
      <c r="L495" s="168"/>
      <c r="M495" s="168"/>
      <c r="N495" s="168"/>
      <c r="O495" s="168"/>
      <c r="P495" s="168"/>
      <c r="Q495" s="168"/>
      <c r="R495" s="168"/>
      <c r="S495" s="168"/>
      <c r="T495" s="168"/>
      <c r="U495" s="168"/>
      <c r="V495" s="168"/>
      <c r="W495" s="168"/>
      <c r="X495" s="168"/>
      <c r="Y495" s="168"/>
      <c r="Z495" s="168"/>
    </row>
    <row r="496" customFormat="false" ht="15.75" hidden="false" customHeight="false" outlineLevel="0" collapsed="false">
      <c r="A496" s="168"/>
      <c r="B496" s="168"/>
      <c r="C496" s="168"/>
      <c r="D496" s="168"/>
      <c r="E496" s="168"/>
      <c r="F496" s="168"/>
      <c r="G496" s="168"/>
      <c r="H496" s="168"/>
      <c r="I496" s="168"/>
      <c r="J496" s="168"/>
      <c r="K496" s="168"/>
      <c r="L496" s="168"/>
      <c r="M496" s="168"/>
      <c r="N496" s="168"/>
      <c r="O496" s="168"/>
      <c r="P496" s="168"/>
      <c r="Q496" s="168"/>
      <c r="R496" s="168"/>
      <c r="S496" s="168"/>
      <c r="T496" s="168"/>
      <c r="U496" s="168"/>
      <c r="V496" s="168"/>
      <c r="W496" s="168"/>
      <c r="X496" s="168"/>
      <c r="Y496" s="168"/>
      <c r="Z496" s="168"/>
    </row>
    <row r="497" customFormat="false" ht="15.75" hidden="false" customHeight="false" outlineLevel="0" collapsed="false">
      <c r="A497" s="168"/>
      <c r="B497" s="168"/>
      <c r="C497" s="168"/>
      <c r="D497" s="168"/>
      <c r="E497" s="168"/>
      <c r="F497" s="168"/>
      <c r="G497" s="168"/>
      <c r="H497" s="168"/>
      <c r="I497" s="168"/>
      <c r="J497" s="168"/>
      <c r="K497" s="168"/>
      <c r="L497" s="168"/>
      <c r="M497" s="168"/>
      <c r="N497" s="168"/>
      <c r="O497" s="168"/>
      <c r="P497" s="168"/>
      <c r="Q497" s="168"/>
      <c r="R497" s="168"/>
      <c r="S497" s="168"/>
      <c r="T497" s="168"/>
      <c r="U497" s="168"/>
      <c r="V497" s="168"/>
      <c r="W497" s="168"/>
      <c r="X497" s="168"/>
      <c r="Y497" s="168"/>
      <c r="Z497" s="168"/>
    </row>
    <row r="498" customFormat="false" ht="15.75" hidden="false" customHeight="false" outlineLevel="0" collapsed="false">
      <c r="A498" s="168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</row>
    <row r="499" customFormat="false" ht="15.75" hidden="false" customHeight="false" outlineLevel="0" collapsed="false">
      <c r="A499" s="168"/>
      <c r="B499" s="168"/>
      <c r="C499" s="168"/>
      <c r="D499" s="168"/>
      <c r="E499" s="168"/>
      <c r="F499" s="168"/>
      <c r="G499" s="168"/>
      <c r="H499" s="168"/>
      <c r="I499" s="168"/>
      <c r="J499" s="168"/>
      <c r="K499" s="168"/>
      <c r="L499" s="168"/>
      <c r="M499" s="168"/>
      <c r="N499" s="168"/>
      <c r="O499" s="168"/>
      <c r="P499" s="168"/>
      <c r="Q499" s="168"/>
      <c r="R499" s="168"/>
      <c r="S499" s="168"/>
      <c r="T499" s="168"/>
      <c r="U499" s="168"/>
      <c r="V499" s="168"/>
      <c r="W499" s="168"/>
      <c r="X499" s="168"/>
      <c r="Y499" s="168"/>
      <c r="Z499" s="168"/>
    </row>
    <row r="500" customFormat="false" ht="15.75" hidden="false" customHeight="false" outlineLevel="0" collapsed="false">
      <c r="A500" s="168"/>
      <c r="B500" s="168"/>
      <c r="C500" s="168"/>
      <c r="D500" s="168"/>
      <c r="E500" s="168"/>
      <c r="F500" s="168"/>
      <c r="G500" s="168"/>
      <c r="H500" s="168"/>
      <c r="I500" s="168"/>
      <c r="J500" s="168"/>
      <c r="K500" s="168"/>
      <c r="L500" s="168"/>
      <c r="M500" s="168"/>
      <c r="N500" s="168"/>
      <c r="O500" s="168"/>
      <c r="P500" s="168"/>
      <c r="Q500" s="168"/>
      <c r="R500" s="168"/>
      <c r="S500" s="168"/>
      <c r="T500" s="168"/>
      <c r="U500" s="168"/>
      <c r="V500" s="168"/>
      <c r="W500" s="168"/>
      <c r="X500" s="168"/>
      <c r="Y500" s="168"/>
      <c r="Z500" s="168"/>
    </row>
    <row r="501" customFormat="false" ht="15.75" hidden="false" customHeight="false" outlineLevel="0" collapsed="false">
      <c r="A501" s="168"/>
      <c r="B501" s="168"/>
      <c r="C501" s="168"/>
      <c r="D501" s="168"/>
      <c r="E501" s="168"/>
      <c r="F501" s="168"/>
      <c r="G501" s="168"/>
      <c r="H501" s="168"/>
      <c r="I501" s="168"/>
      <c r="J501" s="168"/>
      <c r="K501" s="168"/>
      <c r="L501" s="168"/>
      <c r="M501" s="168"/>
      <c r="N501" s="168"/>
      <c r="O501" s="168"/>
      <c r="P501" s="168"/>
      <c r="Q501" s="168"/>
      <c r="R501" s="168"/>
      <c r="S501" s="168"/>
      <c r="T501" s="168"/>
      <c r="U501" s="168"/>
      <c r="V501" s="168"/>
      <c r="W501" s="168"/>
      <c r="X501" s="168"/>
      <c r="Y501" s="168"/>
      <c r="Z501" s="168"/>
    </row>
    <row r="502" customFormat="false" ht="15.75" hidden="false" customHeight="false" outlineLevel="0" collapsed="false">
      <c r="A502" s="168"/>
      <c r="B502" s="168"/>
      <c r="C502" s="168"/>
      <c r="D502" s="168"/>
      <c r="E502" s="168"/>
      <c r="F502" s="168"/>
      <c r="G502" s="168"/>
      <c r="H502" s="168"/>
      <c r="I502" s="168"/>
      <c r="J502" s="168"/>
      <c r="K502" s="168"/>
      <c r="L502" s="168"/>
      <c r="M502" s="168"/>
      <c r="N502" s="168"/>
      <c r="O502" s="168"/>
      <c r="P502" s="168"/>
      <c r="Q502" s="168"/>
      <c r="R502" s="168"/>
      <c r="S502" s="168"/>
      <c r="T502" s="168"/>
      <c r="U502" s="168"/>
      <c r="V502" s="168"/>
      <c r="W502" s="168"/>
      <c r="X502" s="168"/>
      <c r="Y502" s="168"/>
      <c r="Z502" s="168"/>
    </row>
    <row r="503" customFormat="false" ht="15.75" hidden="false" customHeight="false" outlineLevel="0" collapsed="false">
      <c r="A503" s="168"/>
      <c r="B503" s="168"/>
      <c r="C503" s="168"/>
      <c r="D503" s="168"/>
      <c r="E503" s="168"/>
      <c r="F503" s="168"/>
      <c r="G503" s="168"/>
      <c r="H503" s="168"/>
      <c r="I503" s="168"/>
      <c r="J503" s="168"/>
      <c r="K503" s="168"/>
      <c r="L503" s="168"/>
      <c r="M503" s="168"/>
      <c r="N503" s="168"/>
      <c r="O503" s="168"/>
      <c r="P503" s="168"/>
      <c r="Q503" s="168"/>
      <c r="R503" s="168"/>
      <c r="S503" s="168"/>
      <c r="T503" s="168"/>
      <c r="U503" s="168"/>
      <c r="V503" s="168"/>
      <c r="W503" s="168"/>
      <c r="X503" s="168"/>
      <c r="Y503" s="168"/>
      <c r="Z503" s="168"/>
    </row>
    <row r="504" customFormat="false" ht="15.75" hidden="false" customHeight="false" outlineLevel="0" collapsed="false">
      <c r="A504" s="168"/>
      <c r="B504" s="168"/>
      <c r="C504" s="168"/>
      <c r="D504" s="168"/>
      <c r="E504" s="168"/>
      <c r="F504" s="168"/>
      <c r="G504" s="168"/>
      <c r="H504" s="168"/>
      <c r="I504" s="168"/>
      <c r="J504" s="168"/>
      <c r="K504" s="168"/>
      <c r="L504" s="168"/>
      <c r="M504" s="168"/>
      <c r="N504" s="168"/>
      <c r="O504" s="168"/>
      <c r="P504" s="168"/>
      <c r="Q504" s="168"/>
      <c r="R504" s="168"/>
      <c r="S504" s="168"/>
      <c r="T504" s="168"/>
      <c r="U504" s="168"/>
      <c r="V504" s="168"/>
      <c r="W504" s="168"/>
      <c r="X504" s="168"/>
      <c r="Y504" s="168"/>
      <c r="Z504" s="168"/>
    </row>
    <row r="505" customFormat="false" ht="15.75" hidden="false" customHeight="false" outlineLevel="0" collapsed="false">
      <c r="A505" s="168"/>
      <c r="B505" s="168"/>
      <c r="C505" s="168"/>
      <c r="D505" s="168"/>
      <c r="E505" s="168"/>
      <c r="F505" s="168"/>
      <c r="G505" s="168"/>
      <c r="H505" s="168"/>
      <c r="I505" s="168"/>
      <c r="J505" s="168"/>
      <c r="K505" s="168"/>
      <c r="L505" s="168"/>
      <c r="M505" s="168"/>
      <c r="N505" s="168"/>
      <c r="O505" s="168"/>
      <c r="P505" s="168"/>
      <c r="Q505" s="168"/>
      <c r="R505" s="168"/>
      <c r="S505" s="168"/>
      <c r="T505" s="168"/>
      <c r="U505" s="168"/>
      <c r="V505" s="168"/>
      <c r="W505" s="168"/>
      <c r="X505" s="168"/>
      <c r="Y505" s="168"/>
      <c r="Z505" s="168"/>
    </row>
    <row r="506" customFormat="false" ht="15.75" hidden="false" customHeight="false" outlineLevel="0" collapsed="false">
      <c r="A506" s="168"/>
      <c r="B506" s="168"/>
      <c r="C506" s="168"/>
      <c r="D506" s="168"/>
      <c r="E506" s="168"/>
      <c r="F506" s="168"/>
      <c r="G506" s="168"/>
      <c r="H506" s="168"/>
      <c r="I506" s="168"/>
      <c r="J506" s="168"/>
      <c r="K506" s="168"/>
      <c r="L506" s="168"/>
      <c r="M506" s="168"/>
      <c r="N506" s="168"/>
      <c r="O506" s="168"/>
      <c r="P506" s="168"/>
      <c r="Q506" s="168"/>
      <c r="R506" s="168"/>
      <c r="S506" s="168"/>
      <c r="T506" s="168"/>
      <c r="U506" s="168"/>
      <c r="V506" s="168"/>
      <c r="W506" s="168"/>
      <c r="X506" s="168"/>
      <c r="Y506" s="168"/>
      <c r="Z506" s="168"/>
    </row>
    <row r="507" customFormat="false" ht="15.75" hidden="false" customHeight="false" outlineLevel="0" collapsed="false">
      <c r="A507" s="168"/>
      <c r="B507" s="168"/>
      <c r="C507" s="168"/>
      <c r="D507" s="168"/>
      <c r="E507" s="168"/>
      <c r="F507" s="168"/>
      <c r="G507" s="168"/>
      <c r="H507" s="168"/>
      <c r="I507" s="168"/>
      <c r="J507" s="168"/>
      <c r="K507" s="168"/>
      <c r="L507" s="168"/>
      <c r="M507" s="168"/>
      <c r="N507" s="168"/>
      <c r="O507" s="168"/>
      <c r="P507" s="168"/>
      <c r="Q507" s="168"/>
      <c r="R507" s="168"/>
      <c r="S507" s="168"/>
      <c r="T507" s="168"/>
      <c r="U507" s="168"/>
      <c r="V507" s="168"/>
      <c r="W507" s="168"/>
      <c r="X507" s="168"/>
      <c r="Y507" s="168"/>
      <c r="Z507" s="168"/>
    </row>
    <row r="508" customFormat="false" ht="15.75" hidden="false" customHeight="false" outlineLevel="0" collapsed="false">
      <c r="A508" s="168"/>
      <c r="B508" s="168"/>
      <c r="C508" s="168"/>
      <c r="D508" s="168"/>
      <c r="E508" s="168"/>
      <c r="F508" s="168"/>
      <c r="G508" s="168"/>
      <c r="H508" s="168"/>
      <c r="I508" s="168"/>
      <c r="J508" s="168"/>
      <c r="K508" s="168"/>
      <c r="L508" s="168"/>
      <c r="M508" s="168"/>
      <c r="N508" s="168"/>
      <c r="O508" s="168"/>
      <c r="P508" s="168"/>
      <c r="Q508" s="168"/>
      <c r="R508" s="168"/>
      <c r="S508" s="168"/>
      <c r="T508" s="168"/>
      <c r="U508" s="168"/>
      <c r="V508" s="168"/>
      <c r="W508" s="168"/>
      <c r="X508" s="168"/>
      <c r="Y508" s="168"/>
      <c r="Z508" s="168"/>
    </row>
    <row r="509" customFormat="false" ht="15.75" hidden="false" customHeight="false" outlineLevel="0" collapsed="false">
      <c r="A509" s="168"/>
      <c r="B509" s="168"/>
      <c r="C509" s="168"/>
      <c r="D509" s="168"/>
      <c r="E509" s="168"/>
      <c r="F509" s="168"/>
      <c r="G509" s="168"/>
      <c r="H509" s="168"/>
      <c r="I509" s="168"/>
      <c r="J509" s="168"/>
      <c r="K509" s="168"/>
      <c r="L509" s="168"/>
      <c r="M509" s="168"/>
      <c r="N509" s="168"/>
      <c r="O509" s="168"/>
      <c r="P509" s="168"/>
      <c r="Q509" s="168"/>
      <c r="R509" s="168"/>
      <c r="S509" s="168"/>
      <c r="T509" s="168"/>
      <c r="U509" s="168"/>
      <c r="V509" s="168"/>
      <c r="W509" s="168"/>
      <c r="X509" s="168"/>
      <c r="Y509" s="168"/>
      <c r="Z509" s="168"/>
    </row>
    <row r="510" customFormat="false" ht="15.75" hidden="false" customHeight="false" outlineLevel="0" collapsed="false">
      <c r="A510" s="168"/>
      <c r="B510" s="168"/>
      <c r="C510" s="168"/>
      <c r="D510" s="168"/>
      <c r="E510" s="168"/>
      <c r="F510" s="168"/>
      <c r="G510" s="168"/>
      <c r="H510" s="168"/>
      <c r="I510" s="168"/>
      <c r="J510" s="168"/>
      <c r="K510" s="168"/>
      <c r="L510" s="168"/>
      <c r="M510" s="168"/>
      <c r="N510" s="168"/>
      <c r="O510" s="168"/>
      <c r="P510" s="168"/>
      <c r="Q510" s="168"/>
      <c r="R510" s="168"/>
      <c r="S510" s="168"/>
      <c r="T510" s="168"/>
      <c r="U510" s="168"/>
      <c r="V510" s="168"/>
      <c r="W510" s="168"/>
      <c r="X510" s="168"/>
      <c r="Y510" s="168"/>
      <c r="Z510" s="168"/>
    </row>
    <row r="511" customFormat="false" ht="15.75" hidden="false" customHeight="false" outlineLevel="0" collapsed="false">
      <c r="A511" s="168"/>
      <c r="B511" s="168"/>
      <c r="C511" s="168"/>
      <c r="D511" s="168"/>
      <c r="E511" s="168"/>
      <c r="F511" s="168"/>
      <c r="G511" s="168"/>
      <c r="H511" s="168"/>
      <c r="I511" s="168"/>
      <c r="J511" s="168"/>
      <c r="K511" s="168"/>
      <c r="L511" s="168"/>
      <c r="M511" s="168"/>
      <c r="N511" s="168"/>
      <c r="O511" s="168"/>
      <c r="P511" s="168"/>
      <c r="Q511" s="168"/>
      <c r="R511" s="168"/>
      <c r="S511" s="168"/>
      <c r="T511" s="168"/>
      <c r="U511" s="168"/>
      <c r="V511" s="168"/>
      <c r="W511" s="168"/>
      <c r="X511" s="168"/>
      <c r="Y511" s="168"/>
      <c r="Z511" s="168"/>
    </row>
    <row r="512" customFormat="false" ht="15.75" hidden="false" customHeight="false" outlineLevel="0" collapsed="false">
      <c r="A512" s="168"/>
      <c r="B512" s="168"/>
      <c r="C512" s="168"/>
      <c r="D512" s="168"/>
      <c r="E512" s="168"/>
      <c r="F512" s="168"/>
      <c r="G512" s="168"/>
      <c r="H512" s="168"/>
      <c r="I512" s="168"/>
      <c r="J512" s="168"/>
      <c r="K512" s="168"/>
      <c r="L512" s="168"/>
      <c r="M512" s="168"/>
      <c r="N512" s="168"/>
      <c r="O512" s="168"/>
      <c r="P512" s="168"/>
      <c r="Q512" s="168"/>
      <c r="R512" s="168"/>
      <c r="S512" s="168"/>
      <c r="T512" s="168"/>
      <c r="U512" s="168"/>
      <c r="V512" s="168"/>
      <c r="W512" s="168"/>
      <c r="X512" s="168"/>
      <c r="Y512" s="168"/>
      <c r="Z512" s="168"/>
    </row>
    <row r="513" customFormat="false" ht="15.75" hidden="false" customHeight="false" outlineLevel="0" collapsed="false">
      <c r="A513" s="168"/>
      <c r="B513" s="168"/>
      <c r="C513" s="168"/>
      <c r="D513" s="168"/>
      <c r="E513" s="168"/>
      <c r="F513" s="168"/>
      <c r="G513" s="168"/>
      <c r="H513" s="168"/>
      <c r="I513" s="168"/>
      <c r="J513" s="168"/>
      <c r="K513" s="168"/>
      <c r="L513" s="168"/>
      <c r="M513" s="168"/>
      <c r="N513" s="168"/>
      <c r="O513" s="168"/>
      <c r="P513" s="168"/>
      <c r="Q513" s="168"/>
      <c r="R513" s="168"/>
      <c r="S513" s="168"/>
      <c r="T513" s="168"/>
      <c r="U513" s="168"/>
      <c r="V513" s="168"/>
      <c r="W513" s="168"/>
      <c r="X513" s="168"/>
      <c r="Y513" s="168"/>
      <c r="Z513" s="168"/>
    </row>
    <row r="514" customFormat="false" ht="15.75" hidden="false" customHeight="false" outlineLevel="0" collapsed="false">
      <c r="A514" s="168"/>
      <c r="B514" s="168"/>
      <c r="C514" s="168"/>
      <c r="D514" s="168"/>
      <c r="E514" s="168"/>
      <c r="F514" s="168"/>
      <c r="G514" s="168"/>
      <c r="H514" s="168"/>
      <c r="I514" s="168"/>
      <c r="J514" s="168"/>
      <c r="K514" s="168"/>
      <c r="L514" s="168"/>
      <c r="M514" s="168"/>
      <c r="N514" s="168"/>
      <c r="O514" s="168"/>
      <c r="P514" s="168"/>
      <c r="Q514" s="168"/>
      <c r="R514" s="168"/>
      <c r="S514" s="168"/>
      <c r="T514" s="168"/>
      <c r="U514" s="168"/>
      <c r="V514" s="168"/>
      <c r="W514" s="168"/>
      <c r="X514" s="168"/>
      <c r="Y514" s="168"/>
      <c r="Z514" s="168"/>
    </row>
    <row r="515" customFormat="false" ht="15.75" hidden="false" customHeight="false" outlineLevel="0" collapsed="false">
      <c r="A515" s="168"/>
      <c r="B515" s="168"/>
      <c r="C515" s="168"/>
      <c r="D515" s="168"/>
      <c r="E515" s="168"/>
      <c r="F515" s="168"/>
      <c r="G515" s="168"/>
      <c r="H515" s="168"/>
      <c r="I515" s="168"/>
      <c r="J515" s="168"/>
      <c r="K515" s="168"/>
      <c r="L515" s="168"/>
      <c r="M515" s="168"/>
      <c r="N515" s="168"/>
      <c r="O515" s="168"/>
      <c r="P515" s="168"/>
      <c r="Q515" s="168"/>
      <c r="R515" s="168"/>
      <c r="S515" s="168"/>
      <c r="T515" s="168"/>
      <c r="U515" s="168"/>
      <c r="V515" s="168"/>
      <c r="W515" s="168"/>
      <c r="X515" s="168"/>
      <c r="Y515" s="168"/>
      <c r="Z515" s="168"/>
    </row>
    <row r="516" customFormat="false" ht="15.75" hidden="false" customHeight="false" outlineLevel="0" collapsed="false">
      <c r="A516" s="168"/>
      <c r="B516" s="168"/>
      <c r="C516" s="168"/>
      <c r="D516" s="168"/>
      <c r="E516" s="168"/>
      <c r="F516" s="168"/>
      <c r="G516" s="168"/>
      <c r="H516" s="168"/>
      <c r="I516" s="168"/>
      <c r="J516" s="168"/>
      <c r="K516" s="168"/>
      <c r="L516" s="168"/>
      <c r="M516" s="168"/>
      <c r="N516" s="168"/>
      <c r="O516" s="168"/>
      <c r="P516" s="168"/>
      <c r="Q516" s="168"/>
      <c r="R516" s="168"/>
      <c r="S516" s="168"/>
      <c r="T516" s="168"/>
      <c r="U516" s="168"/>
      <c r="V516" s="168"/>
      <c r="W516" s="168"/>
      <c r="X516" s="168"/>
      <c r="Y516" s="168"/>
      <c r="Z516" s="168"/>
    </row>
    <row r="517" customFormat="false" ht="15.75" hidden="false" customHeight="false" outlineLevel="0" collapsed="false">
      <c r="A517" s="168"/>
      <c r="B517" s="168"/>
      <c r="C517" s="168"/>
      <c r="D517" s="168"/>
      <c r="E517" s="168"/>
      <c r="F517" s="168"/>
      <c r="G517" s="168"/>
      <c r="H517" s="168"/>
      <c r="I517" s="168"/>
      <c r="J517" s="168"/>
      <c r="K517" s="168"/>
      <c r="L517" s="168"/>
      <c r="M517" s="168"/>
      <c r="N517" s="168"/>
      <c r="O517" s="168"/>
      <c r="P517" s="168"/>
      <c r="Q517" s="168"/>
      <c r="R517" s="168"/>
      <c r="S517" s="168"/>
      <c r="T517" s="168"/>
      <c r="U517" s="168"/>
      <c r="V517" s="168"/>
      <c r="W517" s="168"/>
      <c r="X517" s="168"/>
      <c r="Y517" s="168"/>
      <c r="Z517" s="168"/>
    </row>
    <row r="518" customFormat="false" ht="15.75" hidden="false" customHeight="false" outlineLevel="0" collapsed="false">
      <c r="A518" s="168"/>
      <c r="B518" s="168"/>
      <c r="C518" s="168"/>
      <c r="D518" s="168"/>
      <c r="E518" s="168"/>
      <c r="F518" s="168"/>
      <c r="G518" s="168"/>
      <c r="H518" s="168"/>
      <c r="I518" s="168"/>
      <c r="J518" s="168"/>
      <c r="K518" s="168"/>
      <c r="L518" s="168"/>
      <c r="M518" s="168"/>
      <c r="N518" s="168"/>
      <c r="O518" s="168"/>
      <c r="P518" s="168"/>
      <c r="Q518" s="168"/>
      <c r="R518" s="168"/>
      <c r="S518" s="168"/>
      <c r="T518" s="168"/>
      <c r="U518" s="168"/>
      <c r="V518" s="168"/>
      <c r="W518" s="168"/>
      <c r="X518" s="168"/>
      <c r="Y518" s="168"/>
      <c r="Z518" s="168"/>
    </row>
    <row r="519" customFormat="false" ht="15.75" hidden="false" customHeight="false" outlineLevel="0" collapsed="false">
      <c r="A519" s="168"/>
      <c r="B519" s="168"/>
      <c r="C519" s="168"/>
      <c r="D519" s="168"/>
      <c r="E519" s="168"/>
      <c r="F519" s="168"/>
      <c r="G519" s="168"/>
      <c r="H519" s="168"/>
      <c r="I519" s="168"/>
      <c r="J519" s="168"/>
      <c r="K519" s="168"/>
      <c r="L519" s="168"/>
      <c r="M519" s="168"/>
      <c r="N519" s="168"/>
      <c r="O519" s="168"/>
      <c r="P519" s="168"/>
      <c r="Q519" s="168"/>
      <c r="R519" s="168"/>
      <c r="S519" s="168"/>
      <c r="T519" s="168"/>
      <c r="U519" s="168"/>
      <c r="V519" s="168"/>
      <c r="W519" s="168"/>
      <c r="X519" s="168"/>
      <c r="Y519" s="168"/>
      <c r="Z519" s="168"/>
    </row>
    <row r="520" customFormat="false" ht="15.75" hidden="false" customHeight="false" outlineLevel="0" collapsed="false">
      <c r="A520" s="168"/>
      <c r="B520" s="168"/>
      <c r="C520" s="168"/>
      <c r="D520" s="168"/>
      <c r="E520" s="168"/>
      <c r="F520" s="168"/>
      <c r="G520" s="168"/>
      <c r="H520" s="168"/>
      <c r="I520" s="168"/>
      <c r="J520" s="168"/>
      <c r="K520" s="168"/>
      <c r="L520" s="168"/>
      <c r="M520" s="168"/>
      <c r="N520" s="168"/>
      <c r="O520" s="168"/>
      <c r="P520" s="168"/>
      <c r="Q520" s="168"/>
      <c r="R520" s="168"/>
      <c r="S520" s="168"/>
      <c r="T520" s="168"/>
      <c r="U520" s="168"/>
      <c r="V520" s="168"/>
      <c r="W520" s="168"/>
      <c r="X520" s="168"/>
      <c r="Y520" s="168"/>
      <c r="Z520" s="168"/>
    </row>
    <row r="521" customFormat="false" ht="15.75" hidden="false" customHeight="false" outlineLevel="0" collapsed="false">
      <c r="A521" s="168"/>
      <c r="B521" s="168"/>
      <c r="C521" s="168"/>
      <c r="D521" s="168"/>
      <c r="E521" s="168"/>
      <c r="F521" s="168"/>
      <c r="G521" s="168"/>
      <c r="H521" s="168"/>
      <c r="I521" s="168"/>
      <c r="J521" s="168"/>
      <c r="K521" s="168"/>
      <c r="L521" s="168"/>
      <c r="M521" s="168"/>
      <c r="N521" s="168"/>
      <c r="O521" s="168"/>
      <c r="P521" s="168"/>
      <c r="Q521" s="168"/>
      <c r="R521" s="168"/>
      <c r="S521" s="168"/>
      <c r="T521" s="168"/>
      <c r="U521" s="168"/>
      <c r="V521" s="168"/>
      <c r="W521" s="168"/>
      <c r="X521" s="168"/>
      <c r="Y521" s="168"/>
      <c r="Z521" s="168"/>
    </row>
    <row r="522" customFormat="false" ht="15.75" hidden="false" customHeight="false" outlineLevel="0" collapsed="false">
      <c r="A522" s="168"/>
      <c r="B522" s="168"/>
      <c r="C522" s="168"/>
      <c r="D522" s="168"/>
      <c r="E522" s="168"/>
      <c r="F522" s="168"/>
      <c r="G522" s="168"/>
      <c r="H522" s="168"/>
      <c r="I522" s="168"/>
      <c r="J522" s="168"/>
      <c r="K522" s="168"/>
      <c r="L522" s="168"/>
      <c r="M522" s="168"/>
      <c r="N522" s="168"/>
      <c r="O522" s="168"/>
      <c r="P522" s="168"/>
      <c r="Q522" s="168"/>
      <c r="R522" s="168"/>
      <c r="S522" s="168"/>
      <c r="T522" s="168"/>
      <c r="U522" s="168"/>
      <c r="V522" s="168"/>
      <c r="W522" s="168"/>
      <c r="X522" s="168"/>
      <c r="Y522" s="168"/>
      <c r="Z522" s="168"/>
    </row>
    <row r="523" customFormat="false" ht="15.75" hidden="false" customHeight="false" outlineLevel="0" collapsed="false">
      <c r="A523" s="168"/>
      <c r="B523" s="168"/>
      <c r="C523" s="168"/>
      <c r="D523" s="168"/>
      <c r="E523" s="168"/>
      <c r="F523" s="168"/>
      <c r="G523" s="168"/>
      <c r="H523" s="168"/>
      <c r="I523" s="168"/>
      <c r="J523" s="168"/>
      <c r="K523" s="168"/>
      <c r="L523" s="168"/>
      <c r="M523" s="168"/>
      <c r="N523" s="168"/>
      <c r="O523" s="168"/>
      <c r="P523" s="168"/>
      <c r="Q523" s="168"/>
      <c r="R523" s="168"/>
      <c r="S523" s="168"/>
      <c r="T523" s="168"/>
      <c r="U523" s="168"/>
      <c r="V523" s="168"/>
      <c r="W523" s="168"/>
      <c r="X523" s="168"/>
      <c r="Y523" s="168"/>
      <c r="Z523" s="168"/>
    </row>
    <row r="524" customFormat="false" ht="15.75" hidden="false" customHeight="false" outlineLevel="0" collapsed="false">
      <c r="A524" s="168"/>
      <c r="B524" s="168"/>
      <c r="C524" s="168"/>
      <c r="D524" s="168"/>
      <c r="E524" s="168"/>
      <c r="F524" s="168"/>
      <c r="G524" s="168"/>
      <c r="H524" s="168"/>
      <c r="I524" s="168"/>
      <c r="J524" s="168"/>
      <c r="K524" s="168"/>
      <c r="L524" s="168"/>
      <c r="M524" s="168"/>
      <c r="N524" s="168"/>
      <c r="O524" s="168"/>
      <c r="P524" s="168"/>
      <c r="Q524" s="168"/>
      <c r="R524" s="168"/>
      <c r="S524" s="168"/>
      <c r="T524" s="168"/>
      <c r="U524" s="168"/>
      <c r="V524" s="168"/>
      <c r="W524" s="168"/>
      <c r="X524" s="168"/>
      <c r="Y524" s="168"/>
      <c r="Z524" s="168"/>
    </row>
    <row r="525" customFormat="false" ht="15.75" hidden="false" customHeight="false" outlineLevel="0" collapsed="false">
      <c r="A525" s="168"/>
      <c r="B525" s="168"/>
      <c r="C525" s="168"/>
      <c r="D525" s="168"/>
      <c r="E525" s="168"/>
      <c r="F525" s="168"/>
      <c r="G525" s="168"/>
      <c r="H525" s="168"/>
      <c r="I525" s="168"/>
      <c r="J525" s="168"/>
      <c r="K525" s="168"/>
      <c r="L525" s="168"/>
      <c r="M525" s="168"/>
      <c r="N525" s="168"/>
      <c r="O525" s="168"/>
      <c r="P525" s="168"/>
      <c r="Q525" s="168"/>
      <c r="R525" s="168"/>
      <c r="S525" s="168"/>
      <c r="T525" s="168"/>
      <c r="U525" s="168"/>
      <c r="V525" s="168"/>
      <c r="W525" s="168"/>
      <c r="X525" s="168"/>
      <c r="Y525" s="168"/>
      <c r="Z525" s="168"/>
    </row>
    <row r="526" customFormat="false" ht="15.75" hidden="false" customHeight="false" outlineLevel="0" collapsed="false">
      <c r="A526" s="168"/>
      <c r="B526" s="168"/>
      <c r="C526" s="168"/>
      <c r="D526" s="168"/>
      <c r="E526" s="168"/>
      <c r="F526" s="168"/>
      <c r="G526" s="168"/>
      <c r="H526" s="168"/>
      <c r="I526" s="168"/>
      <c r="J526" s="168"/>
      <c r="K526" s="168"/>
      <c r="L526" s="168"/>
      <c r="M526" s="168"/>
      <c r="N526" s="168"/>
      <c r="O526" s="168"/>
      <c r="P526" s="168"/>
      <c r="Q526" s="168"/>
      <c r="R526" s="168"/>
      <c r="S526" s="168"/>
      <c r="T526" s="168"/>
      <c r="U526" s="168"/>
      <c r="V526" s="168"/>
      <c r="W526" s="168"/>
      <c r="X526" s="168"/>
      <c r="Y526" s="168"/>
      <c r="Z526" s="168"/>
    </row>
    <row r="527" customFormat="false" ht="15.75" hidden="false" customHeight="false" outlineLevel="0" collapsed="false">
      <c r="A527" s="168"/>
      <c r="B527" s="168"/>
      <c r="C527" s="168"/>
      <c r="D527" s="168"/>
      <c r="E527" s="168"/>
      <c r="F527" s="168"/>
      <c r="G527" s="168"/>
      <c r="H527" s="168"/>
      <c r="I527" s="168"/>
      <c r="J527" s="168"/>
      <c r="K527" s="168"/>
      <c r="L527" s="168"/>
      <c r="M527" s="168"/>
      <c r="N527" s="168"/>
      <c r="O527" s="168"/>
      <c r="P527" s="168"/>
      <c r="Q527" s="168"/>
      <c r="R527" s="168"/>
      <c r="S527" s="168"/>
      <c r="T527" s="168"/>
      <c r="U527" s="168"/>
      <c r="V527" s="168"/>
      <c r="W527" s="168"/>
      <c r="X527" s="168"/>
      <c r="Y527" s="168"/>
      <c r="Z527" s="168"/>
    </row>
    <row r="528" customFormat="false" ht="15.75" hidden="false" customHeight="false" outlineLevel="0" collapsed="false">
      <c r="A528" s="168"/>
      <c r="B528" s="168"/>
      <c r="C528" s="168"/>
      <c r="D528" s="168"/>
      <c r="E528" s="168"/>
      <c r="F528" s="168"/>
      <c r="G528" s="168"/>
      <c r="H528" s="168"/>
      <c r="I528" s="168"/>
      <c r="J528" s="168"/>
      <c r="K528" s="168"/>
      <c r="L528" s="168"/>
      <c r="M528" s="168"/>
      <c r="N528" s="168"/>
      <c r="O528" s="168"/>
      <c r="P528" s="168"/>
      <c r="Q528" s="168"/>
      <c r="R528" s="168"/>
      <c r="S528" s="168"/>
      <c r="T528" s="168"/>
      <c r="U528" s="168"/>
      <c r="V528" s="168"/>
      <c r="W528" s="168"/>
      <c r="X528" s="168"/>
      <c r="Y528" s="168"/>
      <c r="Z528" s="168"/>
    </row>
    <row r="529" customFormat="false" ht="15.75" hidden="false" customHeight="false" outlineLevel="0" collapsed="false">
      <c r="A529" s="168"/>
      <c r="B529" s="168"/>
      <c r="C529" s="168"/>
      <c r="D529" s="168"/>
      <c r="E529" s="168"/>
      <c r="F529" s="168"/>
      <c r="G529" s="168"/>
      <c r="H529" s="168"/>
      <c r="I529" s="168"/>
      <c r="J529" s="168"/>
      <c r="K529" s="168"/>
      <c r="L529" s="168"/>
      <c r="M529" s="168"/>
      <c r="N529" s="168"/>
      <c r="O529" s="168"/>
      <c r="P529" s="168"/>
      <c r="Q529" s="168"/>
      <c r="R529" s="168"/>
      <c r="S529" s="168"/>
      <c r="T529" s="168"/>
      <c r="U529" s="168"/>
      <c r="V529" s="168"/>
      <c r="W529" s="168"/>
      <c r="X529" s="168"/>
      <c r="Y529" s="168"/>
      <c r="Z529" s="168"/>
    </row>
    <row r="530" customFormat="false" ht="15.75" hidden="false" customHeight="false" outlineLevel="0" collapsed="false">
      <c r="A530" s="168"/>
      <c r="B530" s="168"/>
      <c r="C530" s="168"/>
      <c r="D530" s="168"/>
      <c r="E530" s="168"/>
      <c r="F530" s="168"/>
      <c r="G530" s="168"/>
      <c r="H530" s="168"/>
      <c r="I530" s="168"/>
      <c r="J530" s="168"/>
      <c r="K530" s="168"/>
      <c r="L530" s="168"/>
      <c r="M530" s="168"/>
      <c r="N530" s="168"/>
      <c r="O530" s="168"/>
      <c r="P530" s="168"/>
      <c r="Q530" s="168"/>
      <c r="R530" s="168"/>
      <c r="S530" s="168"/>
      <c r="T530" s="168"/>
      <c r="U530" s="168"/>
      <c r="V530" s="168"/>
      <c r="W530" s="168"/>
      <c r="X530" s="168"/>
      <c r="Y530" s="168"/>
      <c r="Z530" s="168"/>
    </row>
    <row r="531" customFormat="false" ht="15.75" hidden="false" customHeight="false" outlineLevel="0" collapsed="false">
      <c r="A531" s="168"/>
      <c r="B531" s="168"/>
      <c r="C531" s="168"/>
      <c r="D531" s="168"/>
      <c r="E531" s="168"/>
      <c r="F531" s="168"/>
      <c r="G531" s="168"/>
      <c r="H531" s="168"/>
      <c r="I531" s="168"/>
      <c r="J531" s="168"/>
      <c r="K531" s="168"/>
      <c r="L531" s="168"/>
      <c r="M531" s="168"/>
      <c r="N531" s="168"/>
      <c r="O531" s="168"/>
      <c r="P531" s="168"/>
      <c r="Q531" s="168"/>
      <c r="R531" s="168"/>
      <c r="S531" s="168"/>
      <c r="T531" s="168"/>
      <c r="U531" s="168"/>
      <c r="V531" s="168"/>
      <c r="W531" s="168"/>
      <c r="X531" s="168"/>
      <c r="Y531" s="168"/>
      <c r="Z531" s="168"/>
    </row>
    <row r="532" customFormat="false" ht="15.75" hidden="false" customHeight="false" outlineLevel="0" collapsed="false">
      <c r="A532" s="168"/>
      <c r="B532" s="168"/>
      <c r="C532" s="168"/>
      <c r="D532" s="168"/>
      <c r="E532" s="168"/>
      <c r="F532" s="168"/>
      <c r="G532" s="168"/>
      <c r="H532" s="168"/>
      <c r="I532" s="168"/>
      <c r="J532" s="168"/>
      <c r="K532" s="168"/>
      <c r="L532" s="168"/>
      <c r="M532" s="168"/>
      <c r="N532" s="168"/>
      <c r="O532" s="168"/>
      <c r="P532" s="168"/>
      <c r="Q532" s="168"/>
      <c r="R532" s="168"/>
      <c r="S532" s="168"/>
      <c r="T532" s="168"/>
      <c r="U532" s="168"/>
      <c r="V532" s="168"/>
      <c r="W532" s="168"/>
      <c r="X532" s="168"/>
      <c r="Y532" s="168"/>
      <c r="Z532" s="168"/>
    </row>
    <row r="533" customFormat="false" ht="15.75" hidden="false" customHeight="false" outlineLevel="0" collapsed="false">
      <c r="A533" s="168"/>
      <c r="B533" s="168"/>
      <c r="C533" s="168"/>
      <c r="D533" s="168"/>
      <c r="E533" s="168"/>
      <c r="F533" s="168"/>
      <c r="G533" s="168"/>
      <c r="H533" s="168"/>
      <c r="I533" s="168"/>
      <c r="J533" s="168"/>
      <c r="K533" s="168"/>
      <c r="L533" s="168"/>
      <c r="M533" s="168"/>
      <c r="N533" s="168"/>
      <c r="O533" s="168"/>
      <c r="P533" s="168"/>
      <c r="Q533" s="168"/>
      <c r="R533" s="168"/>
      <c r="S533" s="168"/>
      <c r="T533" s="168"/>
      <c r="U533" s="168"/>
      <c r="V533" s="168"/>
      <c r="W533" s="168"/>
      <c r="X533" s="168"/>
      <c r="Y533" s="168"/>
      <c r="Z533" s="168"/>
    </row>
    <row r="534" customFormat="false" ht="15.75" hidden="false" customHeight="false" outlineLevel="0" collapsed="false">
      <c r="A534" s="168"/>
      <c r="B534" s="168"/>
      <c r="C534" s="168"/>
      <c r="D534" s="168"/>
      <c r="E534" s="168"/>
      <c r="F534" s="168"/>
      <c r="G534" s="168"/>
      <c r="H534" s="168"/>
      <c r="I534" s="168"/>
      <c r="J534" s="168"/>
      <c r="K534" s="168"/>
      <c r="L534" s="168"/>
      <c r="M534" s="168"/>
      <c r="N534" s="168"/>
      <c r="O534" s="168"/>
      <c r="P534" s="168"/>
      <c r="Q534" s="168"/>
      <c r="R534" s="168"/>
      <c r="S534" s="168"/>
      <c r="T534" s="168"/>
      <c r="U534" s="168"/>
      <c r="V534" s="168"/>
      <c r="W534" s="168"/>
      <c r="X534" s="168"/>
      <c r="Y534" s="168"/>
      <c r="Z534" s="168"/>
    </row>
    <row r="535" customFormat="false" ht="15.75" hidden="false" customHeight="false" outlineLevel="0" collapsed="false">
      <c r="A535" s="168"/>
      <c r="B535" s="168"/>
      <c r="C535" s="168"/>
      <c r="D535" s="168"/>
      <c r="E535" s="168"/>
      <c r="F535" s="168"/>
      <c r="G535" s="168"/>
      <c r="H535" s="168"/>
      <c r="I535" s="168"/>
      <c r="J535" s="168"/>
      <c r="K535" s="168"/>
      <c r="L535" s="168"/>
      <c r="M535" s="168"/>
      <c r="N535" s="168"/>
      <c r="O535" s="168"/>
      <c r="P535" s="168"/>
      <c r="Q535" s="168"/>
      <c r="R535" s="168"/>
      <c r="S535" s="168"/>
      <c r="T535" s="168"/>
      <c r="U535" s="168"/>
      <c r="V535" s="168"/>
      <c r="W535" s="168"/>
      <c r="X535" s="168"/>
      <c r="Y535" s="168"/>
      <c r="Z535" s="168"/>
    </row>
    <row r="536" customFormat="false" ht="15.75" hidden="false" customHeight="false" outlineLevel="0" collapsed="false">
      <c r="A536" s="168"/>
      <c r="B536" s="168"/>
      <c r="C536" s="168"/>
      <c r="D536" s="168"/>
      <c r="E536" s="168"/>
      <c r="F536" s="168"/>
      <c r="G536" s="168"/>
      <c r="H536" s="168"/>
      <c r="I536" s="168"/>
      <c r="J536" s="168"/>
      <c r="K536" s="168"/>
      <c r="L536" s="168"/>
      <c r="M536" s="168"/>
      <c r="N536" s="168"/>
      <c r="O536" s="168"/>
      <c r="P536" s="168"/>
      <c r="Q536" s="168"/>
      <c r="R536" s="168"/>
      <c r="S536" s="168"/>
      <c r="T536" s="168"/>
      <c r="U536" s="168"/>
      <c r="V536" s="168"/>
      <c r="W536" s="168"/>
      <c r="X536" s="168"/>
      <c r="Y536" s="168"/>
      <c r="Z536" s="168"/>
    </row>
    <row r="537" customFormat="false" ht="15.75" hidden="false" customHeight="false" outlineLevel="0" collapsed="false">
      <c r="A537" s="168"/>
      <c r="B537" s="168"/>
      <c r="C537" s="168"/>
      <c r="D537" s="168"/>
      <c r="E537" s="168"/>
      <c r="F537" s="168"/>
      <c r="G537" s="168"/>
      <c r="H537" s="168"/>
      <c r="I537" s="168"/>
      <c r="J537" s="168"/>
      <c r="K537" s="168"/>
      <c r="L537" s="168"/>
      <c r="M537" s="168"/>
      <c r="N537" s="168"/>
      <c r="O537" s="168"/>
      <c r="P537" s="168"/>
      <c r="Q537" s="168"/>
      <c r="R537" s="168"/>
      <c r="S537" s="168"/>
      <c r="T537" s="168"/>
      <c r="U537" s="168"/>
      <c r="V537" s="168"/>
      <c r="W537" s="168"/>
      <c r="X537" s="168"/>
      <c r="Y537" s="168"/>
      <c r="Z537" s="168"/>
    </row>
    <row r="538" customFormat="false" ht="15.75" hidden="false" customHeight="false" outlineLevel="0" collapsed="false">
      <c r="A538" s="168"/>
      <c r="B538" s="168"/>
      <c r="C538" s="168"/>
      <c r="D538" s="168"/>
      <c r="E538" s="168"/>
      <c r="F538" s="168"/>
      <c r="G538" s="168"/>
      <c r="H538" s="168"/>
      <c r="I538" s="168"/>
      <c r="J538" s="168"/>
      <c r="K538" s="168"/>
      <c r="L538" s="168"/>
      <c r="M538" s="168"/>
      <c r="N538" s="168"/>
      <c r="O538" s="168"/>
      <c r="P538" s="168"/>
      <c r="Q538" s="168"/>
      <c r="R538" s="168"/>
      <c r="S538" s="168"/>
      <c r="T538" s="168"/>
      <c r="U538" s="168"/>
      <c r="V538" s="168"/>
      <c r="W538" s="168"/>
      <c r="X538" s="168"/>
      <c r="Y538" s="168"/>
      <c r="Z538" s="168"/>
    </row>
    <row r="539" customFormat="false" ht="15.75" hidden="false" customHeight="false" outlineLevel="0" collapsed="false">
      <c r="A539" s="168"/>
      <c r="B539" s="168"/>
      <c r="C539" s="168"/>
      <c r="D539" s="168"/>
      <c r="E539" s="168"/>
      <c r="F539" s="168"/>
      <c r="G539" s="168"/>
      <c r="H539" s="168"/>
      <c r="I539" s="168"/>
      <c r="J539" s="168"/>
      <c r="K539" s="168"/>
      <c r="L539" s="168"/>
      <c r="M539" s="168"/>
      <c r="N539" s="168"/>
      <c r="O539" s="168"/>
      <c r="P539" s="168"/>
      <c r="Q539" s="168"/>
      <c r="R539" s="168"/>
      <c r="S539" s="168"/>
      <c r="T539" s="168"/>
      <c r="U539" s="168"/>
      <c r="V539" s="168"/>
      <c r="W539" s="168"/>
      <c r="X539" s="168"/>
      <c r="Y539" s="168"/>
      <c r="Z539" s="168"/>
    </row>
    <row r="540" customFormat="false" ht="15.75" hidden="false" customHeight="false" outlineLevel="0" collapsed="false">
      <c r="A540" s="168"/>
      <c r="B540" s="168"/>
      <c r="C540" s="168"/>
      <c r="D540" s="168"/>
      <c r="E540" s="168"/>
      <c r="F540" s="168"/>
      <c r="G540" s="168"/>
      <c r="H540" s="168"/>
      <c r="I540" s="168"/>
      <c r="J540" s="168"/>
      <c r="K540" s="168"/>
      <c r="L540" s="168"/>
      <c r="M540" s="168"/>
      <c r="N540" s="168"/>
      <c r="O540" s="168"/>
      <c r="P540" s="168"/>
      <c r="Q540" s="168"/>
      <c r="R540" s="168"/>
      <c r="S540" s="168"/>
      <c r="T540" s="168"/>
      <c r="U540" s="168"/>
      <c r="V540" s="168"/>
      <c r="W540" s="168"/>
      <c r="X540" s="168"/>
      <c r="Y540" s="168"/>
      <c r="Z540" s="168"/>
    </row>
    <row r="541" customFormat="false" ht="15.75" hidden="false" customHeight="false" outlineLevel="0" collapsed="false">
      <c r="A541" s="168"/>
      <c r="B541" s="168"/>
      <c r="C541" s="168"/>
      <c r="D541" s="168"/>
      <c r="E541" s="168"/>
      <c r="F541" s="168"/>
      <c r="G541" s="168"/>
      <c r="H541" s="168"/>
      <c r="I541" s="168"/>
      <c r="J541" s="168"/>
      <c r="K541" s="168"/>
      <c r="L541" s="168"/>
      <c r="M541" s="168"/>
      <c r="N541" s="168"/>
      <c r="O541" s="168"/>
      <c r="P541" s="168"/>
      <c r="Q541" s="168"/>
      <c r="R541" s="168"/>
      <c r="S541" s="168"/>
      <c r="T541" s="168"/>
      <c r="U541" s="168"/>
      <c r="V541" s="168"/>
      <c r="W541" s="168"/>
      <c r="X541" s="168"/>
      <c r="Y541" s="168"/>
      <c r="Z541" s="168"/>
    </row>
    <row r="542" customFormat="false" ht="15.75" hidden="false" customHeight="false" outlineLevel="0" collapsed="false">
      <c r="A542" s="168"/>
      <c r="B542" s="168"/>
      <c r="C542" s="168"/>
      <c r="D542" s="168"/>
      <c r="E542" s="168"/>
      <c r="F542" s="168"/>
      <c r="G542" s="168"/>
      <c r="H542" s="168"/>
      <c r="I542" s="168"/>
      <c r="J542" s="168"/>
      <c r="K542" s="168"/>
      <c r="L542" s="168"/>
      <c r="M542" s="168"/>
      <c r="N542" s="168"/>
      <c r="O542" s="168"/>
      <c r="P542" s="168"/>
      <c r="Q542" s="168"/>
      <c r="R542" s="168"/>
      <c r="S542" s="168"/>
      <c r="T542" s="168"/>
      <c r="U542" s="168"/>
      <c r="V542" s="168"/>
      <c r="W542" s="168"/>
      <c r="X542" s="168"/>
      <c r="Y542" s="168"/>
      <c r="Z542" s="168"/>
    </row>
    <row r="543" customFormat="false" ht="15.75" hidden="false" customHeight="false" outlineLevel="0" collapsed="false">
      <c r="A543" s="168"/>
      <c r="B543" s="168"/>
      <c r="C543" s="168"/>
      <c r="D543" s="168"/>
      <c r="E543" s="168"/>
      <c r="F543" s="168"/>
      <c r="G543" s="168"/>
      <c r="H543" s="168"/>
      <c r="I543" s="168"/>
      <c r="J543" s="168"/>
      <c r="K543" s="168"/>
      <c r="L543" s="168"/>
      <c r="M543" s="168"/>
      <c r="N543" s="168"/>
      <c r="O543" s="168"/>
      <c r="P543" s="168"/>
      <c r="Q543" s="168"/>
      <c r="R543" s="168"/>
      <c r="S543" s="168"/>
      <c r="T543" s="168"/>
      <c r="U543" s="168"/>
      <c r="V543" s="168"/>
      <c r="W543" s="168"/>
      <c r="X543" s="168"/>
      <c r="Y543" s="168"/>
      <c r="Z543" s="168"/>
    </row>
    <row r="544" customFormat="false" ht="15.75" hidden="false" customHeight="false" outlineLevel="0" collapsed="false">
      <c r="A544" s="168"/>
      <c r="B544" s="168"/>
      <c r="C544" s="168"/>
      <c r="D544" s="168"/>
      <c r="E544" s="168"/>
      <c r="F544" s="168"/>
      <c r="G544" s="168"/>
      <c r="H544" s="168"/>
      <c r="I544" s="168"/>
      <c r="J544" s="168"/>
      <c r="K544" s="168"/>
      <c r="L544" s="168"/>
      <c r="M544" s="168"/>
      <c r="N544" s="168"/>
      <c r="O544" s="168"/>
      <c r="P544" s="168"/>
      <c r="Q544" s="168"/>
      <c r="R544" s="168"/>
      <c r="S544" s="168"/>
      <c r="T544" s="168"/>
      <c r="U544" s="168"/>
      <c r="V544" s="168"/>
      <c r="W544" s="168"/>
      <c r="X544" s="168"/>
      <c r="Y544" s="168"/>
      <c r="Z544" s="168"/>
    </row>
    <row r="545" customFormat="false" ht="15.75" hidden="false" customHeight="false" outlineLevel="0" collapsed="false">
      <c r="A545" s="168"/>
      <c r="B545" s="168"/>
      <c r="C545" s="168"/>
      <c r="D545" s="168"/>
      <c r="E545" s="168"/>
      <c r="F545" s="168"/>
      <c r="G545" s="168"/>
      <c r="H545" s="168"/>
      <c r="I545" s="168"/>
      <c r="J545" s="168"/>
      <c r="K545" s="168"/>
      <c r="L545" s="168"/>
      <c r="M545" s="168"/>
      <c r="N545" s="168"/>
      <c r="O545" s="168"/>
      <c r="P545" s="168"/>
      <c r="Q545" s="168"/>
      <c r="R545" s="168"/>
      <c r="S545" s="168"/>
      <c r="T545" s="168"/>
      <c r="U545" s="168"/>
      <c r="V545" s="168"/>
      <c r="W545" s="168"/>
      <c r="X545" s="168"/>
      <c r="Y545" s="168"/>
      <c r="Z545" s="168"/>
    </row>
    <row r="546" customFormat="false" ht="15.75" hidden="false" customHeight="false" outlineLevel="0" collapsed="false">
      <c r="A546" s="168"/>
      <c r="B546" s="168"/>
      <c r="C546" s="168"/>
      <c r="D546" s="168"/>
      <c r="E546" s="168"/>
      <c r="F546" s="168"/>
      <c r="G546" s="168"/>
      <c r="H546" s="168"/>
      <c r="I546" s="168"/>
      <c r="J546" s="168"/>
      <c r="K546" s="168"/>
      <c r="L546" s="168"/>
      <c r="M546" s="168"/>
      <c r="N546" s="168"/>
      <c r="O546" s="168"/>
      <c r="P546" s="168"/>
      <c r="Q546" s="168"/>
      <c r="R546" s="168"/>
      <c r="S546" s="168"/>
      <c r="T546" s="168"/>
      <c r="U546" s="168"/>
      <c r="V546" s="168"/>
      <c r="W546" s="168"/>
      <c r="X546" s="168"/>
      <c r="Y546" s="168"/>
      <c r="Z546" s="168"/>
    </row>
    <row r="547" customFormat="false" ht="15.75" hidden="false" customHeight="false" outlineLevel="0" collapsed="false">
      <c r="A547" s="168"/>
      <c r="B547" s="168"/>
      <c r="C547" s="168"/>
      <c r="D547" s="168"/>
      <c r="E547" s="168"/>
      <c r="F547" s="168"/>
      <c r="G547" s="168"/>
      <c r="H547" s="168"/>
      <c r="I547" s="168"/>
      <c r="J547" s="168"/>
      <c r="K547" s="168"/>
      <c r="L547" s="168"/>
      <c r="M547" s="168"/>
      <c r="N547" s="168"/>
      <c r="O547" s="168"/>
      <c r="P547" s="168"/>
      <c r="Q547" s="168"/>
      <c r="R547" s="168"/>
      <c r="S547" s="168"/>
      <c r="T547" s="168"/>
      <c r="U547" s="168"/>
      <c r="V547" s="168"/>
      <c r="W547" s="168"/>
      <c r="X547" s="168"/>
      <c r="Y547" s="168"/>
      <c r="Z547" s="168"/>
    </row>
    <row r="548" customFormat="false" ht="15.75" hidden="false" customHeight="false" outlineLevel="0" collapsed="false">
      <c r="A548" s="168"/>
      <c r="B548" s="168"/>
      <c r="C548" s="168"/>
      <c r="D548" s="168"/>
      <c r="E548" s="168"/>
      <c r="F548" s="168"/>
      <c r="G548" s="168"/>
      <c r="H548" s="168"/>
      <c r="I548" s="168"/>
      <c r="J548" s="168"/>
      <c r="K548" s="168"/>
      <c r="L548" s="168"/>
      <c r="M548" s="168"/>
      <c r="N548" s="168"/>
      <c r="O548" s="168"/>
      <c r="P548" s="168"/>
      <c r="Q548" s="168"/>
      <c r="R548" s="168"/>
      <c r="S548" s="168"/>
      <c r="T548" s="168"/>
      <c r="U548" s="168"/>
      <c r="V548" s="168"/>
      <c r="W548" s="168"/>
      <c r="X548" s="168"/>
      <c r="Y548" s="168"/>
      <c r="Z548" s="168"/>
    </row>
    <row r="549" customFormat="false" ht="15.75" hidden="false" customHeight="false" outlineLevel="0" collapsed="false">
      <c r="A549" s="168"/>
      <c r="B549" s="168"/>
      <c r="C549" s="168"/>
      <c r="D549" s="168"/>
      <c r="E549" s="168"/>
      <c r="F549" s="168"/>
      <c r="G549" s="168"/>
      <c r="H549" s="168"/>
      <c r="I549" s="168"/>
      <c r="J549" s="168"/>
      <c r="K549" s="168"/>
      <c r="L549" s="168"/>
      <c r="M549" s="168"/>
      <c r="N549" s="168"/>
      <c r="O549" s="168"/>
      <c r="P549" s="168"/>
      <c r="Q549" s="168"/>
      <c r="R549" s="168"/>
      <c r="S549" s="168"/>
      <c r="T549" s="168"/>
      <c r="U549" s="168"/>
      <c r="V549" s="168"/>
      <c r="W549" s="168"/>
      <c r="X549" s="168"/>
      <c r="Y549" s="168"/>
      <c r="Z549" s="168"/>
    </row>
    <row r="550" customFormat="false" ht="15.75" hidden="false" customHeight="false" outlineLevel="0" collapsed="false">
      <c r="A550" s="168"/>
      <c r="B550" s="168"/>
      <c r="C550" s="168"/>
      <c r="D550" s="168"/>
      <c r="E550" s="168"/>
      <c r="F550" s="168"/>
      <c r="G550" s="168"/>
      <c r="H550" s="168"/>
      <c r="I550" s="168"/>
      <c r="J550" s="168"/>
      <c r="K550" s="168"/>
      <c r="L550" s="168"/>
      <c r="M550" s="168"/>
      <c r="N550" s="168"/>
      <c r="O550" s="168"/>
      <c r="P550" s="168"/>
      <c r="Q550" s="168"/>
      <c r="R550" s="168"/>
      <c r="S550" s="168"/>
      <c r="T550" s="168"/>
      <c r="U550" s="168"/>
      <c r="V550" s="168"/>
      <c r="W550" s="168"/>
      <c r="X550" s="168"/>
      <c r="Y550" s="168"/>
      <c r="Z550" s="168"/>
    </row>
    <row r="551" customFormat="false" ht="15.75" hidden="false" customHeight="false" outlineLevel="0" collapsed="false">
      <c r="A551" s="168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</row>
    <row r="552" customFormat="false" ht="15.75" hidden="false" customHeight="false" outlineLevel="0" collapsed="false">
      <c r="A552" s="168"/>
      <c r="B552" s="168"/>
      <c r="C552" s="168"/>
      <c r="D552" s="168"/>
      <c r="E552" s="168"/>
      <c r="F552" s="168"/>
      <c r="G552" s="168"/>
      <c r="H552" s="168"/>
      <c r="I552" s="168"/>
      <c r="J552" s="168"/>
      <c r="K552" s="168"/>
      <c r="L552" s="168"/>
      <c r="M552" s="168"/>
      <c r="N552" s="168"/>
      <c r="O552" s="168"/>
      <c r="P552" s="168"/>
      <c r="Q552" s="168"/>
      <c r="R552" s="168"/>
      <c r="S552" s="168"/>
      <c r="T552" s="168"/>
      <c r="U552" s="168"/>
      <c r="V552" s="168"/>
      <c r="W552" s="168"/>
      <c r="X552" s="168"/>
      <c r="Y552" s="168"/>
      <c r="Z552" s="168"/>
    </row>
    <row r="553" customFormat="false" ht="15.75" hidden="false" customHeight="false" outlineLevel="0" collapsed="false">
      <c r="A553" s="168"/>
      <c r="B553" s="168"/>
      <c r="C553" s="168"/>
      <c r="D553" s="168"/>
      <c r="E553" s="168"/>
      <c r="F553" s="168"/>
      <c r="G553" s="168"/>
      <c r="H553" s="168"/>
      <c r="I553" s="168"/>
      <c r="J553" s="168"/>
      <c r="K553" s="168"/>
      <c r="L553" s="168"/>
      <c r="M553" s="168"/>
      <c r="N553" s="168"/>
      <c r="O553" s="168"/>
      <c r="P553" s="168"/>
      <c r="Q553" s="168"/>
      <c r="R553" s="168"/>
      <c r="S553" s="168"/>
      <c r="T553" s="168"/>
      <c r="U553" s="168"/>
      <c r="V553" s="168"/>
      <c r="W553" s="168"/>
      <c r="X553" s="168"/>
      <c r="Y553" s="168"/>
      <c r="Z553" s="168"/>
    </row>
    <row r="554" customFormat="false" ht="15.75" hidden="false" customHeight="false" outlineLevel="0" collapsed="false">
      <c r="A554" s="168"/>
      <c r="B554" s="168"/>
      <c r="C554" s="168"/>
      <c r="D554" s="168"/>
      <c r="E554" s="168"/>
      <c r="F554" s="168"/>
      <c r="G554" s="168"/>
      <c r="H554" s="168"/>
      <c r="I554" s="168"/>
      <c r="J554" s="168"/>
      <c r="K554" s="168"/>
      <c r="L554" s="168"/>
      <c r="M554" s="168"/>
      <c r="N554" s="168"/>
      <c r="O554" s="168"/>
      <c r="P554" s="168"/>
      <c r="Q554" s="168"/>
      <c r="R554" s="168"/>
      <c r="S554" s="168"/>
      <c r="T554" s="168"/>
      <c r="U554" s="168"/>
      <c r="V554" s="168"/>
      <c r="W554" s="168"/>
      <c r="X554" s="168"/>
      <c r="Y554" s="168"/>
      <c r="Z554" s="168"/>
    </row>
    <row r="555" customFormat="false" ht="15.75" hidden="false" customHeight="false" outlineLevel="0" collapsed="false">
      <c r="A555" s="168"/>
      <c r="B555" s="168"/>
      <c r="C555" s="168"/>
      <c r="D555" s="168"/>
      <c r="E555" s="168"/>
      <c r="F555" s="168"/>
      <c r="G555" s="168"/>
      <c r="H555" s="168"/>
      <c r="I555" s="168"/>
      <c r="J555" s="168"/>
      <c r="K555" s="168"/>
      <c r="L555" s="168"/>
      <c r="M555" s="168"/>
      <c r="N555" s="168"/>
      <c r="O555" s="168"/>
      <c r="P555" s="168"/>
      <c r="Q555" s="168"/>
      <c r="R555" s="168"/>
      <c r="S555" s="168"/>
      <c r="T555" s="168"/>
      <c r="U555" s="168"/>
      <c r="V555" s="168"/>
      <c r="W555" s="168"/>
      <c r="X555" s="168"/>
      <c r="Y555" s="168"/>
      <c r="Z555" s="168"/>
    </row>
    <row r="556" customFormat="false" ht="15.75" hidden="false" customHeight="false" outlineLevel="0" collapsed="false">
      <c r="A556" s="168"/>
      <c r="B556" s="168"/>
      <c r="C556" s="168"/>
      <c r="D556" s="168"/>
      <c r="E556" s="168"/>
      <c r="F556" s="168"/>
      <c r="G556" s="168"/>
      <c r="H556" s="168"/>
      <c r="I556" s="168"/>
      <c r="J556" s="168"/>
      <c r="K556" s="168"/>
      <c r="L556" s="168"/>
      <c r="M556" s="168"/>
      <c r="N556" s="168"/>
      <c r="O556" s="168"/>
      <c r="P556" s="168"/>
      <c r="Q556" s="168"/>
      <c r="R556" s="168"/>
      <c r="S556" s="168"/>
      <c r="T556" s="168"/>
      <c r="U556" s="168"/>
      <c r="V556" s="168"/>
      <c r="W556" s="168"/>
      <c r="X556" s="168"/>
      <c r="Y556" s="168"/>
      <c r="Z556" s="168"/>
    </row>
    <row r="557" customFormat="false" ht="15.75" hidden="false" customHeight="false" outlineLevel="0" collapsed="false">
      <c r="A557" s="168"/>
      <c r="B557" s="168"/>
      <c r="C557" s="168"/>
      <c r="D557" s="168"/>
      <c r="E557" s="168"/>
      <c r="F557" s="168"/>
      <c r="G557" s="168"/>
      <c r="H557" s="168"/>
      <c r="I557" s="168"/>
      <c r="J557" s="168"/>
      <c r="K557" s="168"/>
      <c r="L557" s="168"/>
      <c r="M557" s="168"/>
      <c r="N557" s="168"/>
      <c r="O557" s="168"/>
      <c r="P557" s="168"/>
      <c r="Q557" s="168"/>
      <c r="R557" s="168"/>
      <c r="S557" s="168"/>
      <c r="T557" s="168"/>
      <c r="U557" s="168"/>
      <c r="V557" s="168"/>
      <c r="W557" s="168"/>
      <c r="X557" s="168"/>
      <c r="Y557" s="168"/>
      <c r="Z557" s="168"/>
    </row>
    <row r="558" customFormat="false" ht="15.75" hidden="false" customHeight="false" outlineLevel="0" collapsed="false">
      <c r="A558" s="168"/>
      <c r="B558" s="168"/>
      <c r="C558" s="168"/>
      <c r="D558" s="168"/>
      <c r="E558" s="168"/>
      <c r="F558" s="168"/>
      <c r="G558" s="168"/>
      <c r="H558" s="168"/>
      <c r="I558" s="168"/>
      <c r="J558" s="168"/>
      <c r="K558" s="168"/>
      <c r="L558" s="168"/>
      <c r="M558" s="168"/>
      <c r="N558" s="168"/>
      <c r="O558" s="168"/>
      <c r="P558" s="168"/>
      <c r="Q558" s="168"/>
      <c r="R558" s="168"/>
      <c r="S558" s="168"/>
      <c r="T558" s="168"/>
      <c r="U558" s="168"/>
      <c r="V558" s="168"/>
      <c r="W558" s="168"/>
      <c r="X558" s="168"/>
      <c r="Y558" s="168"/>
      <c r="Z558" s="168"/>
    </row>
    <row r="559" customFormat="false" ht="15.75" hidden="false" customHeight="false" outlineLevel="0" collapsed="false">
      <c r="A559" s="168"/>
      <c r="B559" s="168"/>
      <c r="C559" s="168"/>
      <c r="D559" s="168"/>
      <c r="E559" s="168"/>
      <c r="F559" s="168"/>
      <c r="G559" s="168"/>
      <c r="H559" s="168"/>
      <c r="I559" s="168"/>
      <c r="J559" s="168"/>
      <c r="K559" s="168"/>
      <c r="L559" s="168"/>
      <c r="M559" s="168"/>
      <c r="N559" s="168"/>
      <c r="O559" s="168"/>
      <c r="P559" s="168"/>
      <c r="Q559" s="168"/>
      <c r="R559" s="168"/>
      <c r="S559" s="168"/>
      <c r="T559" s="168"/>
      <c r="U559" s="168"/>
      <c r="V559" s="168"/>
      <c r="W559" s="168"/>
      <c r="X559" s="168"/>
      <c r="Y559" s="168"/>
      <c r="Z559" s="168"/>
    </row>
    <row r="560" customFormat="false" ht="15.75" hidden="false" customHeight="false" outlineLevel="0" collapsed="false">
      <c r="A560" s="168"/>
      <c r="B560" s="168"/>
      <c r="C560" s="168"/>
      <c r="D560" s="168"/>
      <c r="E560" s="168"/>
      <c r="F560" s="168"/>
      <c r="G560" s="168"/>
      <c r="H560" s="168"/>
      <c r="I560" s="168"/>
      <c r="J560" s="168"/>
      <c r="K560" s="168"/>
      <c r="L560" s="168"/>
      <c r="M560" s="168"/>
      <c r="N560" s="168"/>
      <c r="O560" s="168"/>
      <c r="P560" s="168"/>
      <c r="Q560" s="168"/>
      <c r="R560" s="168"/>
      <c r="S560" s="168"/>
      <c r="T560" s="168"/>
      <c r="U560" s="168"/>
      <c r="V560" s="168"/>
      <c r="W560" s="168"/>
      <c r="X560" s="168"/>
      <c r="Y560" s="168"/>
      <c r="Z560" s="168"/>
    </row>
    <row r="561" customFormat="false" ht="15.75" hidden="false" customHeight="false" outlineLevel="0" collapsed="false">
      <c r="A561" s="168"/>
      <c r="B561" s="168"/>
      <c r="C561" s="168"/>
      <c r="D561" s="168"/>
      <c r="E561" s="168"/>
      <c r="F561" s="168"/>
      <c r="G561" s="168"/>
      <c r="H561" s="168"/>
      <c r="I561" s="168"/>
      <c r="J561" s="168"/>
      <c r="K561" s="168"/>
      <c r="L561" s="168"/>
      <c r="M561" s="168"/>
      <c r="N561" s="168"/>
      <c r="O561" s="168"/>
      <c r="P561" s="168"/>
      <c r="Q561" s="168"/>
      <c r="R561" s="168"/>
      <c r="S561" s="168"/>
      <c r="T561" s="168"/>
      <c r="U561" s="168"/>
      <c r="V561" s="168"/>
      <c r="W561" s="168"/>
      <c r="X561" s="168"/>
      <c r="Y561" s="168"/>
      <c r="Z561" s="168"/>
    </row>
    <row r="562" customFormat="false" ht="15.75" hidden="false" customHeight="false" outlineLevel="0" collapsed="false">
      <c r="A562" s="168"/>
      <c r="B562" s="168"/>
      <c r="C562" s="168"/>
      <c r="D562" s="168"/>
      <c r="E562" s="168"/>
      <c r="F562" s="168"/>
      <c r="G562" s="168"/>
      <c r="H562" s="168"/>
      <c r="I562" s="168"/>
      <c r="J562" s="168"/>
      <c r="K562" s="168"/>
      <c r="L562" s="168"/>
      <c r="M562" s="168"/>
      <c r="N562" s="168"/>
      <c r="O562" s="168"/>
      <c r="P562" s="168"/>
      <c r="Q562" s="168"/>
      <c r="R562" s="168"/>
      <c r="S562" s="168"/>
      <c r="T562" s="168"/>
      <c r="U562" s="168"/>
      <c r="V562" s="168"/>
      <c r="W562" s="168"/>
      <c r="X562" s="168"/>
      <c r="Y562" s="168"/>
      <c r="Z562" s="168"/>
    </row>
    <row r="563" customFormat="false" ht="15.75" hidden="false" customHeight="false" outlineLevel="0" collapsed="false">
      <c r="A563" s="168"/>
      <c r="B563" s="168"/>
      <c r="C563" s="168"/>
      <c r="D563" s="168"/>
      <c r="E563" s="168"/>
      <c r="F563" s="168"/>
      <c r="G563" s="168"/>
      <c r="H563" s="168"/>
      <c r="I563" s="168"/>
      <c r="J563" s="168"/>
      <c r="K563" s="168"/>
      <c r="L563" s="168"/>
      <c r="M563" s="168"/>
      <c r="N563" s="168"/>
      <c r="O563" s="168"/>
      <c r="P563" s="168"/>
      <c r="Q563" s="168"/>
      <c r="R563" s="168"/>
      <c r="S563" s="168"/>
      <c r="T563" s="168"/>
      <c r="U563" s="168"/>
      <c r="V563" s="168"/>
      <c r="W563" s="168"/>
      <c r="X563" s="168"/>
      <c r="Y563" s="168"/>
      <c r="Z563" s="168"/>
    </row>
    <row r="564" customFormat="false" ht="15.75" hidden="false" customHeight="false" outlineLevel="0" collapsed="false">
      <c r="A564" s="168"/>
      <c r="B564" s="168"/>
      <c r="C564" s="168"/>
      <c r="D564" s="168"/>
      <c r="E564" s="168"/>
      <c r="F564" s="168"/>
      <c r="G564" s="168"/>
      <c r="H564" s="168"/>
      <c r="I564" s="168"/>
      <c r="J564" s="168"/>
      <c r="K564" s="168"/>
      <c r="L564" s="168"/>
      <c r="M564" s="168"/>
      <c r="N564" s="168"/>
      <c r="O564" s="168"/>
      <c r="P564" s="168"/>
      <c r="Q564" s="168"/>
      <c r="R564" s="168"/>
      <c r="S564" s="168"/>
      <c r="T564" s="168"/>
      <c r="U564" s="168"/>
      <c r="V564" s="168"/>
      <c r="W564" s="168"/>
      <c r="X564" s="168"/>
      <c r="Y564" s="168"/>
      <c r="Z564" s="168"/>
    </row>
    <row r="565" customFormat="false" ht="15.75" hidden="false" customHeight="false" outlineLevel="0" collapsed="false">
      <c r="A565" s="168"/>
      <c r="B565" s="168"/>
      <c r="C565" s="168"/>
      <c r="D565" s="168"/>
      <c r="E565" s="168"/>
      <c r="F565" s="168"/>
      <c r="G565" s="168"/>
      <c r="H565" s="168"/>
      <c r="I565" s="168"/>
      <c r="J565" s="168"/>
      <c r="K565" s="168"/>
      <c r="L565" s="168"/>
      <c r="M565" s="168"/>
      <c r="N565" s="168"/>
      <c r="O565" s="168"/>
      <c r="P565" s="168"/>
      <c r="Q565" s="168"/>
      <c r="R565" s="168"/>
      <c r="S565" s="168"/>
      <c r="T565" s="168"/>
      <c r="U565" s="168"/>
      <c r="V565" s="168"/>
      <c r="W565" s="168"/>
      <c r="X565" s="168"/>
      <c r="Y565" s="168"/>
      <c r="Z565" s="168"/>
    </row>
    <row r="566" customFormat="false" ht="15.75" hidden="false" customHeight="false" outlineLevel="0" collapsed="false">
      <c r="A566" s="168"/>
      <c r="B566" s="168"/>
      <c r="C566" s="168"/>
      <c r="D566" s="168"/>
      <c r="E566" s="168"/>
      <c r="F566" s="168"/>
      <c r="G566" s="168"/>
      <c r="H566" s="168"/>
      <c r="I566" s="168"/>
      <c r="J566" s="168"/>
      <c r="K566" s="168"/>
      <c r="L566" s="168"/>
      <c r="M566" s="168"/>
      <c r="N566" s="168"/>
      <c r="O566" s="168"/>
      <c r="P566" s="168"/>
      <c r="Q566" s="168"/>
      <c r="R566" s="168"/>
      <c r="S566" s="168"/>
      <c r="T566" s="168"/>
      <c r="U566" s="168"/>
      <c r="V566" s="168"/>
      <c r="W566" s="168"/>
      <c r="X566" s="168"/>
      <c r="Y566" s="168"/>
      <c r="Z566" s="168"/>
    </row>
    <row r="567" customFormat="false" ht="15.75" hidden="false" customHeight="false" outlineLevel="0" collapsed="false">
      <c r="A567" s="168"/>
      <c r="B567" s="168"/>
      <c r="C567" s="168"/>
      <c r="D567" s="168"/>
      <c r="E567" s="168"/>
      <c r="F567" s="168"/>
      <c r="G567" s="168"/>
      <c r="H567" s="168"/>
      <c r="I567" s="168"/>
      <c r="J567" s="168"/>
      <c r="K567" s="168"/>
      <c r="L567" s="168"/>
      <c r="M567" s="168"/>
      <c r="N567" s="168"/>
      <c r="O567" s="168"/>
      <c r="P567" s="168"/>
      <c r="Q567" s="168"/>
      <c r="R567" s="168"/>
      <c r="S567" s="168"/>
      <c r="T567" s="168"/>
      <c r="U567" s="168"/>
      <c r="V567" s="168"/>
      <c r="W567" s="168"/>
      <c r="X567" s="168"/>
      <c r="Y567" s="168"/>
      <c r="Z567" s="168"/>
    </row>
    <row r="568" customFormat="false" ht="15.75" hidden="false" customHeight="false" outlineLevel="0" collapsed="false">
      <c r="A568" s="168"/>
      <c r="B568" s="168"/>
      <c r="C568" s="168"/>
      <c r="D568" s="168"/>
      <c r="E568" s="168"/>
      <c r="F568" s="168"/>
      <c r="G568" s="168"/>
      <c r="H568" s="168"/>
      <c r="I568" s="168"/>
      <c r="J568" s="168"/>
      <c r="K568" s="168"/>
      <c r="L568" s="168"/>
      <c r="M568" s="168"/>
      <c r="N568" s="168"/>
      <c r="O568" s="168"/>
      <c r="P568" s="168"/>
      <c r="Q568" s="168"/>
      <c r="R568" s="168"/>
      <c r="S568" s="168"/>
      <c r="T568" s="168"/>
      <c r="U568" s="168"/>
      <c r="V568" s="168"/>
      <c r="W568" s="168"/>
      <c r="X568" s="168"/>
      <c r="Y568" s="168"/>
      <c r="Z568" s="168"/>
    </row>
    <row r="569" customFormat="false" ht="15.75" hidden="false" customHeight="false" outlineLevel="0" collapsed="false">
      <c r="A569" s="168"/>
      <c r="B569" s="168"/>
      <c r="C569" s="168"/>
      <c r="D569" s="168"/>
      <c r="E569" s="168"/>
      <c r="F569" s="168"/>
      <c r="G569" s="168"/>
      <c r="H569" s="168"/>
      <c r="I569" s="168"/>
      <c r="J569" s="168"/>
      <c r="K569" s="168"/>
      <c r="L569" s="168"/>
      <c r="M569" s="168"/>
      <c r="N569" s="168"/>
      <c r="O569" s="168"/>
      <c r="P569" s="168"/>
      <c r="Q569" s="168"/>
      <c r="R569" s="168"/>
      <c r="S569" s="168"/>
      <c r="T569" s="168"/>
      <c r="U569" s="168"/>
      <c r="V569" s="168"/>
      <c r="W569" s="168"/>
      <c r="X569" s="168"/>
      <c r="Y569" s="168"/>
      <c r="Z569" s="168"/>
    </row>
    <row r="570" customFormat="false" ht="15.75" hidden="false" customHeight="false" outlineLevel="0" collapsed="false">
      <c r="A570" s="168"/>
      <c r="B570" s="168"/>
      <c r="C570" s="168"/>
      <c r="D570" s="168"/>
      <c r="E570" s="168"/>
      <c r="F570" s="168"/>
      <c r="G570" s="168"/>
      <c r="H570" s="168"/>
      <c r="I570" s="168"/>
      <c r="J570" s="168"/>
      <c r="K570" s="168"/>
      <c r="L570" s="168"/>
      <c r="M570" s="168"/>
      <c r="N570" s="168"/>
      <c r="O570" s="168"/>
      <c r="P570" s="168"/>
      <c r="Q570" s="168"/>
      <c r="R570" s="168"/>
      <c r="S570" s="168"/>
      <c r="T570" s="168"/>
      <c r="U570" s="168"/>
      <c r="V570" s="168"/>
      <c r="W570" s="168"/>
      <c r="X570" s="168"/>
      <c r="Y570" s="168"/>
      <c r="Z570" s="168"/>
    </row>
    <row r="571" customFormat="false" ht="15.75" hidden="false" customHeight="false" outlineLevel="0" collapsed="false">
      <c r="A571" s="168"/>
      <c r="B571" s="168"/>
      <c r="C571" s="168"/>
      <c r="D571" s="168"/>
      <c r="E571" s="168"/>
      <c r="F571" s="168"/>
      <c r="G571" s="168"/>
      <c r="H571" s="168"/>
      <c r="I571" s="168"/>
      <c r="J571" s="168"/>
      <c r="K571" s="168"/>
      <c r="L571" s="168"/>
      <c r="M571" s="168"/>
      <c r="N571" s="168"/>
      <c r="O571" s="168"/>
      <c r="P571" s="168"/>
      <c r="Q571" s="168"/>
      <c r="R571" s="168"/>
      <c r="S571" s="168"/>
      <c r="T571" s="168"/>
      <c r="U571" s="168"/>
      <c r="V571" s="168"/>
      <c r="W571" s="168"/>
      <c r="X571" s="168"/>
      <c r="Y571" s="168"/>
      <c r="Z571" s="168"/>
    </row>
    <row r="572" customFormat="false" ht="15.75" hidden="false" customHeight="false" outlineLevel="0" collapsed="false">
      <c r="A572" s="168"/>
      <c r="B572" s="168"/>
      <c r="C572" s="168"/>
      <c r="D572" s="168"/>
      <c r="E572" s="168"/>
      <c r="F572" s="168"/>
      <c r="G572" s="168"/>
      <c r="H572" s="168"/>
      <c r="I572" s="168"/>
      <c r="J572" s="168"/>
      <c r="K572" s="168"/>
      <c r="L572" s="168"/>
      <c r="M572" s="168"/>
      <c r="N572" s="168"/>
      <c r="O572" s="168"/>
      <c r="P572" s="168"/>
      <c r="Q572" s="168"/>
      <c r="R572" s="168"/>
      <c r="S572" s="168"/>
      <c r="T572" s="168"/>
      <c r="U572" s="168"/>
      <c r="V572" s="168"/>
      <c r="W572" s="168"/>
      <c r="X572" s="168"/>
      <c r="Y572" s="168"/>
      <c r="Z572" s="168"/>
    </row>
    <row r="573" customFormat="false" ht="15.75" hidden="false" customHeight="false" outlineLevel="0" collapsed="false">
      <c r="A573" s="168"/>
      <c r="B573" s="168"/>
      <c r="C573" s="168"/>
      <c r="D573" s="168"/>
      <c r="E573" s="168"/>
      <c r="F573" s="168"/>
      <c r="G573" s="168"/>
      <c r="H573" s="168"/>
      <c r="I573" s="168"/>
      <c r="J573" s="168"/>
      <c r="K573" s="168"/>
      <c r="L573" s="168"/>
      <c r="M573" s="168"/>
      <c r="N573" s="168"/>
      <c r="O573" s="168"/>
      <c r="P573" s="168"/>
      <c r="Q573" s="168"/>
      <c r="R573" s="168"/>
      <c r="S573" s="168"/>
      <c r="T573" s="168"/>
      <c r="U573" s="168"/>
      <c r="V573" s="168"/>
      <c r="W573" s="168"/>
      <c r="X573" s="168"/>
      <c r="Y573" s="168"/>
      <c r="Z573" s="168"/>
    </row>
    <row r="574" customFormat="false" ht="15.75" hidden="false" customHeight="false" outlineLevel="0" collapsed="false">
      <c r="A574" s="168"/>
      <c r="B574" s="168"/>
      <c r="C574" s="168"/>
      <c r="D574" s="168"/>
      <c r="E574" s="168"/>
      <c r="F574" s="168"/>
      <c r="G574" s="168"/>
      <c r="H574" s="168"/>
      <c r="I574" s="168"/>
      <c r="J574" s="168"/>
      <c r="K574" s="168"/>
      <c r="L574" s="168"/>
      <c r="M574" s="168"/>
      <c r="N574" s="168"/>
      <c r="O574" s="168"/>
      <c r="P574" s="168"/>
      <c r="Q574" s="168"/>
      <c r="R574" s="168"/>
      <c r="S574" s="168"/>
      <c r="T574" s="168"/>
      <c r="U574" s="168"/>
      <c r="V574" s="168"/>
      <c r="W574" s="168"/>
      <c r="X574" s="168"/>
      <c r="Y574" s="168"/>
      <c r="Z574" s="168"/>
    </row>
    <row r="575" customFormat="false" ht="15.75" hidden="false" customHeight="false" outlineLevel="0" collapsed="false">
      <c r="A575" s="168"/>
      <c r="B575" s="168"/>
      <c r="C575" s="168"/>
      <c r="D575" s="168"/>
      <c r="E575" s="168"/>
      <c r="F575" s="168"/>
      <c r="G575" s="168"/>
      <c r="H575" s="168"/>
      <c r="I575" s="168"/>
      <c r="J575" s="168"/>
      <c r="K575" s="168"/>
      <c r="L575" s="168"/>
      <c r="M575" s="168"/>
      <c r="N575" s="168"/>
      <c r="O575" s="168"/>
      <c r="P575" s="168"/>
      <c r="Q575" s="168"/>
      <c r="R575" s="168"/>
      <c r="S575" s="168"/>
      <c r="T575" s="168"/>
      <c r="U575" s="168"/>
      <c r="V575" s="168"/>
      <c r="W575" s="168"/>
      <c r="X575" s="168"/>
      <c r="Y575" s="168"/>
      <c r="Z575" s="168"/>
    </row>
    <row r="576" customFormat="false" ht="15.75" hidden="false" customHeight="false" outlineLevel="0" collapsed="false">
      <c r="A576" s="168"/>
      <c r="B576" s="168"/>
      <c r="C576" s="168"/>
      <c r="D576" s="168"/>
      <c r="E576" s="168"/>
      <c r="F576" s="168"/>
      <c r="G576" s="168"/>
      <c r="H576" s="168"/>
      <c r="I576" s="168"/>
      <c r="J576" s="168"/>
      <c r="K576" s="168"/>
      <c r="L576" s="168"/>
      <c r="M576" s="168"/>
      <c r="N576" s="168"/>
      <c r="O576" s="168"/>
      <c r="P576" s="168"/>
      <c r="Q576" s="168"/>
      <c r="R576" s="168"/>
      <c r="S576" s="168"/>
      <c r="T576" s="168"/>
      <c r="U576" s="168"/>
      <c r="V576" s="168"/>
      <c r="W576" s="168"/>
      <c r="X576" s="168"/>
      <c r="Y576" s="168"/>
      <c r="Z576" s="168"/>
    </row>
    <row r="577" customFormat="false" ht="15.75" hidden="false" customHeight="false" outlineLevel="0" collapsed="false">
      <c r="A577" s="168"/>
      <c r="B577" s="168"/>
      <c r="C577" s="168"/>
      <c r="D577" s="168"/>
      <c r="E577" s="168"/>
      <c r="F577" s="168"/>
      <c r="G577" s="168"/>
      <c r="H577" s="168"/>
      <c r="I577" s="168"/>
      <c r="J577" s="168"/>
      <c r="K577" s="168"/>
      <c r="L577" s="168"/>
      <c r="M577" s="168"/>
      <c r="N577" s="168"/>
      <c r="O577" s="168"/>
      <c r="P577" s="168"/>
      <c r="Q577" s="168"/>
      <c r="R577" s="168"/>
      <c r="S577" s="168"/>
      <c r="T577" s="168"/>
      <c r="U577" s="168"/>
      <c r="V577" s="168"/>
      <c r="W577" s="168"/>
      <c r="X577" s="168"/>
      <c r="Y577" s="168"/>
      <c r="Z577" s="168"/>
    </row>
    <row r="578" customFormat="false" ht="15.75" hidden="false" customHeight="false" outlineLevel="0" collapsed="false">
      <c r="A578" s="168"/>
      <c r="B578" s="168"/>
      <c r="C578" s="168"/>
      <c r="D578" s="168"/>
      <c r="E578" s="168"/>
      <c r="F578" s="168"/>
      <c r="G578" s="168"/>
      <c r="H578" s="168"/>
      <c r="I578" s="168"/>
      <c r="J578" s="168"/>
      <c r="K578" s="168"/>
      <c r="L578" s="168"/>
      <c r="M578" s="168"/>
      <c r="N578" s="168"/>
      <c r="O578" s="168"/>
      <c r="P578" s="168"/>
      <c r="Q578" s="168"/>
      <c r="R578" s="168"/>
      <c r="S578" s="168"/>
      <c r="T578" s="168"/>
      <c r="U578" s="168"/>
      <c r="V578" s="168"/>
      <c r="W578" s="168"/>
      <c r="X578" s="168"/>
      <c r="Y578" s="168"/>
      <c r="Z578" s="168"/>
    </row>
    <row r="579" customFormat="false" ht="15.75" hidden="false" customHeight="false" outlineLevel="0" collapsed="false">
      <c r="A579" s="168"/>
      <c r="B579" s="168"/>
      <c r="C579" s="168"/>
      <c r="D579" s="168"/>
      <c r="E579" s="168"/>
      <c r="F579" s="168"/>
      <c r="G579" s="168"/>
      <c r="H579" s="168"/>
      <c r="I579" s="168"/>
      <c r="J579" s="168"/>
      <c r="K579" s="168"/>
      <c r="L579" s="168"/>
      <c r="M579" s="168"/>
      <c r="N579" s="168"/>
      <c r="O579" s="168"/>
      <c r="P579" s="168"/>
      <c r="Q579" s="168"/>
      <c r="R579" s="168"/>
      <c r="S579" s="168"/>
      <c r="T579" s="168"/>
      <c r="U579" s="168"/>
      <c r="V579" s="168"/>
      <c r="W579" s="168"/>
      <c r="X579" s="168"/>
      <c r="Y579" s="168"/>
      <c r="Z579" s="168"/>
    </row>
    <row r="580" customFormat="false" ht="15.75" hidden="false" customHeight="false" outlineLevel="0" collapsed="false">
      <c r="A580" s="168"/>
      <c r="B580" s="168"/>
      <c r="C580" s="168"/>
      <c r="D580" s="168"/>
      <c r="E580" s="168"/>
      <c r="F580" s="168"/>
      <c r="G580" s="168"/>
      <c r="H580" s="168"/>
      <c r="I580" s="168"/>
      <c r="J580" s="168"/>
      <c r="K580" s="168"/>
      <c r="L580" s="168"/>
      <c r="M580" s="168"/>
      <c r="N580" s="168"/>
      <c r="O580" s="168"/>
      <c r="P580" s="168"/>
      <c r="Q580" s="168"/>
      <c r="R580" s="168"/>
      <c r="S580" s="168"/>
      <c r="T580" s="168"/>
      <c r="U580" s="168"/>
      <c r="V580" s="168"/>
      <c r="W580" s="168"/>
      <c r="X580" s="168"/>
      <c r="Y580" s="168"/>
      <c r="Z580" s="168"/>
    </row>
    <row r="581" customFormat="false" ht="15.75" hidden="false" customHeight="false" outlineLevel="0" collapsed="false">
      <c r="A581" s="168"/>
      <c r="B581" s="168"/>
      <c r="C581" s="168"/>
      <c r="D581" s="168"/>
      <c r="E581" s="168"/>
      <c r="F581" s="168"/>
      <c r="G581" s="168"/>
      <c r="H581" s="168"/>
      <c r="I581" s="168"/>
      <c r="J581" s="168"/>
      <c r="K581" s="168"/>
      <c r="L581" s="168"/>
      <c r="M581" s="168"/>
      <c r="N581" s="168"/>
      <c r="O581" s="168"/>
      <c r="P581" s="168"/>
      <c r="Q581" s="168"/>
      <c r="R581" s="168"/>
      <c r="S581" s="168"/>
      <c r="T581" s="168"/>
      <c r="U581" s="168"/>
      <c r="V581" s="168"/>
      <c r="W581" s="168"/>
      <c r="X581" s="168"/>
      <c r="Y581" s="168"/>
      <c r="Z581" s="168"/>
    </row>
    <row r="582" customFormat="false" ht="15.75" hidden="false" customHeight="false" outlineLevel="0" collapsed="false">
      <c r="A582" s="168"/>
      <c r="B582" s="168"/>
      <c r="C582" s="168"/>
      <c r="D582" s="168"/>
      <c r="E582" s="168"/>
      <c r="F582" s="168"/>
      <c r="G582" s="168"/>
      <c r="H582" s="168"/>
      <c r="I582" s="168"/>
      <c r="J582" s="168"/>
      <c r="K582" s="168"/>
      <c r="L582" s="168"/>
      <c r="M582" s="168"/>
      <c r="N582" s="168"/>
      <c r="O582" s="168"/>
      <c r="P582" s="168"/>
      <c r="Q582" s="168"/>
      <c r="R582" s="168"/>
      <c r="S582" s="168"/>
      <c r="T582" s="168"/>
      <c r="U582" s="168"/>
      <c r="V582" s="168"/>
      <c r="W582" s="168"/>
      <c r="X582" s="168"/>
      <c r="Y582" s="168"/>
      <c r="Z582" s="168"/>
    </row>
    <row r="583" customFormat="false" ht="15.75" hidden="false" customHeight="false" outlineLevel="0" collapsed="false">
      <c r="A583" s="168"/>
      <c r="B583" s="168"/>
      <c r="C583" s="168"/>
      <c r="D583" s="168"/>
      <c r="E583" s="168"/>
      <c r="F583" s="168"/>
      <c r="G583" s="168"/>
      <c r="H583" s="168"/>
      <c r="I583" s="168"/>
      <c r="J583" s="168"/>
      <c r="K583" s="168"/>
      <c r="L583" s="168"/>
      <c r="M583" s="168"/>
      <c r="N583" s="168"/>
      <c r="O583" s="168"/>
      <c r="P583" s="168"/>
      <c r="Q583" s="168"/>
      <c r="R583" s="168"/>
      <c r="S583" s="168"/>
      <c r="T583" s="168"/>
      <c r="U583" s="168"/>
      <c r="V583" s="168"/>
      <c r="W583" s="168"/>
      <c r="X583" s="168"/>
      <c r="Y583" s="168"/>
      <c r="Z583" s="168"/>
    </row>
    <row r="584" customFormat="false" ht="15.75" hidden="false" customHeight="false" outlineLevel="0" collapsed="false">
      <c r="A584" s="168"/>
      <c r="B584" s="168"/>
      <c r="C584" s="168"/>
      <c r="D584" s="168"/>
      <c r="E584" s="168"/>
      <c r="F584" s="168"/>
      <c r="G584" s="168"/>
      <c r="H584" s="168"/>
      <c r="I584" s="168"/>
      <c r="J584" s="168"/>
      <c r="K584" s="168"/>
      <c r="L584" s="168"/>
      <c r="M584" s="168"/>
      <c r="N584" s="168"/>
      <c r="O584" s="168"/>
      <c r="P584" s="168"/>
      <c r="Q584" s="168"/>
      <c r="R584" s="168"/>
      <c r="S584" s="168"/>
      <c r="T584" s="168"/>
      <c r="U584" s="168"/>
      <c r="V584" s="168"/>
      <c r="W584" s="168"/>
      <c r="X584" s="168"/>
      <c r="Y584" s="168"/>
      <c r="Z584" s="168"/>
    </row>
    <row r="585" customFormat="false" ht="15.75" hidden="false" customHeight="false" outlineLevel="0" collapsed="false">
      <c r="A585" s="168"/>
      <c r="B585" s="168"/>
      <c r="C585" s="168"/>
      <c r="D585" s="168"/>
      <c r="E585" s="168"/>
      <c r="F585" s="168"/>
      <c r="G585" s="168"/>
      <c r="H585" s="168"/>
      <c r="I585" s="168"/>
      <c r="J585" s="168"/>
      <c r="K585" s="168"/>
      <c r="L585" s="168"/>
      <c r="M585" s="168"/>
      <c r="N585" s="168"/>
      <c r="O585" s="168"/>
      <c r="P585" s="168"/>
      <c r="Q585" s="168"/>
      <c r="R585" s="168"/>
      <c r="S585" s="168"/>
      <c r="T585" s="168"/>
      <c r="U585" s="168"/>
      <c r="V585" s="168"/>
      <c r="W585" s="168"/>
      <c r="X585" s="168"/>
      <c r="Y585" s="168"/>
      <c r="Z585" s="168"/>
    </row>
    <row r="586" customFormat="false" ht="15.75" hidden="false" customHeight="false" outlineLevel="0" collapsed="false">
      <c r="A586" s="168"/>
      <c r="B586" s="168"/>
      <c r="C586" s="168"/>
      <c r="D586" s="168"/>
      <c r="E586" s="168"/>
      <c r="F586" s="168"/>
      <c r="G586" s="168"/>
      <c r="H586" s="168"/>
      <c r="I586" s="168"/>
      <c r="J586" s="168"/>
      <c r="K586" s="168"/>
      <c r="L586" s="168"/>
      <c r="M586" s="168"/>
      <c r="N586" s="168"/>
      <c r="O586" s="168"/>
      <c r="P586" s="168"/>
      <c r="Q586" s="168"/>
      <c r="R586" s="168"/>
      <c r="S586" s="168"/>
      <c r="T586" s="168"/>
      <c r="U586" s="168"/>
      <c r="V586" s="168"/>
      <c r="W586" s="168"/>
      <c r="X586" s="168"/>
      <c r="Y586" s="168"/>
      <c r="Z586" s="168"/>
    </row>
    <row r="587" customFormat="false" ht="15.75" hidden="false" customHeight="false" outlineLevel="0" collapsed="false">
      <c r="A587" s="168"/>
      <c r="B587" s="168"/>
      <c r="C587" s="168"/>
      <c r="D587" s="168"/>
      <c r="E587" s="168"/>
      <c r="F587" s="168"/>
      <c r="G587" s="168"/>
      <c r="H587" s="168"/>
      <c r="I587" s="168"/>
      <c r="J587" s="168"/>
      <c r="K587" s="168"/>
      <c r="L587" s="168"/>
      <c r="M587" s="168"/>
      <c r="N587" s="168"/>
      <c r="O587" s="168"/>
      <c r="P587" s="168"/>
      <c r="Q587" s="168"/>
      <c r="R587" s="168"/>
      <c r="S587" s="168"/>
      <c r="T587" s="168"/>
      <c r="U587" s="168"/>
      <c r="V587" s="168"/>
      <c r="W587" s="168"/>
      <c r="X587" s="168"/>
      <c r="Y587" s="168"/>
      <c r="Z587" s="168"/>
    </row>
    <row r="588" customFormat="false" ht="15.75" hidden="false" customHeight="false" outlineLevel="0" collapsed="false">
      <c r="A588" s="168"/>
      <c r="B588" s="168"/>
      <c r="C588" s="168"/>
      <c r="D588" s="168"/>
      <c r="E588" s="168"/>
      <c r="F588" s="168"/>
      <c r="G588" s="168"/>
      <c r="H588" s="168"/>
      <c r="I588" s="168"/>
      <c r="J588" s="168"/>
      <c r="K588" s="168"/>
      <c r="L588" s="168"/>
      <c r="M588" s="168"/>
      <c r="N588" s="168"/>
      <c r="O588" s="168"/>
      <c r="P588" s="168"/>
      <c r="Q588" s="168"/>
      <c r="R588" s="168"/>
      <c r="S588" s="168"/>
      <c r="T588" s="168"/>
      <c r="U588" s="168"/>
      <c r="V588" s="168"/>
      <c r="W588" s="168"/>
      <c r="X588" s="168"/>
      <c r="Y588" s="168"/>
      <c r="Z588" s="168"/>
    </row>
    <row r="589" customFormat="false" ht="15.75" hidden="false" customHeight="false" outlineLevel="0" collapsed="false">
      <c r="A589" s="168"/>
      <c r="B589" s="168"/>
      <c r="C589" s="168"/>
      <c r="D589" s="168"/>
      <c r="E589" s="168"/>
      <c r="F589" s="168"/>
      <c r="G589" s="168"/>
      <c r="H589" s="168"/>
      <c r="I589" s="168"/>
      <c r="J589" s="168"/>
      <c r="K589" s="168"/>
      <c r="L589" s="168"/>
      <c r="M589" s="168"/>
      <c r="N589" s="168"/>
      <c r="O589" s="168"/>
      <c r="P589" s="168"/>
      <c r="Q589" s="168"/>
      <c r="R589" s="168"/>
      <c r="S589" s="168"/>
      <c r="T589" s="168"/>
      <c r="U589" s="168"/>
      <c r="V589" s="168"/>
      <c r="W589" s="168"/>
      <c r="X589" s="168"/>
      <c r="Y589" s="168"/>
      <c r="Z589" s="168"/>
    </row>
    <row r="590" customFormat="false" ht="15.75" hidden="false" customHeight="false" outlineLevel="0" collapsed="false">
      <c r="A590" s="168"/>
      <c r="B590" s="168"/>
      <c r="C590" s="168"/>
      <c r="D590" s="168"/>
      <c r="E590" s="168"/>
      <c r="F590" s="168"/>
      <c r="G590" s="168"/>
      <c r="H590" s="168"/>
      <c r="I590" s="168"/>
      <c r="J590" s="168"/>
      <c r="K590" s="168"/>
      <c r="L590" s="168"/>
      <c r="M590" s="168"/>
      <c r="N590" s="168"/>
      <c r="O590" s="168"/>
      <c r="P590" s="168"/>
      <c r="Q590" s="168"/>
      <c r="R590" s="168"/>
      <c r="S590" s="168"/>
      <c r="T590" s="168"/>
      <c r="U590" s="168"/>
      <c r="V590" s="168"/>
      <c r="W590" s="168"/>
      <c r="X590" s="168"/>
      <c r="Y590" s="168"/>
      <c r="Z590" s="168"/>
    </row>
    <row r="591" customFormat="false" ht="15.75" hidden="false" customHeight="false" outlineLevel="0" collapsed="false">
      <c r="A591" s="168"/>
      <c r="B591" s="168"/>
      <c r="C591" s="168"/>
      <c r="D591" s="168"/>
      <c r="E591" s="168"/>
      <c r="F591" s="168"/>
      <c r="G591" s="168"/>
      <c r="H591" s="168"/>
      <c r="I591" s="168"/>
      <c r="J591" s="168"/>
      <c r="K591" s="168"/>
      <c r="L591" s="168"/>
      <c r="M591" s="168"/>
      <c r="N591" s="168"/>
      <c r="O591" s="168"/>
      <c r="P591" s="168"/>
      <c r="Q591" s="168"/>
      <c r="R591" s="168"/>
      <c r="S591" s="168"/>
      <c r="T591" s="168"/>
      <c r="U591" s="168"/>
      <c r="V591" s="168"/>
      <c r="W591" s="168"/>
      <c r="X591" s="168"/>
      <c r="Y591" s="168"/>
      <c r="Z591" s="168"/>
    </row>
    <row r="592" customFormat="false" ht="15.75" hidden="false" customHeight="false" outlineLevel="0" collapsed="false">
      <c r="A592" s="168"/>
      <c r="B592" s="168"/>
      <c r="C592" s="168"/>
      <c r="D592" s="168"/>
      <c r="E592" s="168"/>
      <c r="F592" s="168"/>
      <c r="G592" s="168"/>
      <c r="H592" s="168"/>
      <c r="I592" s="168"/>
      <c r="J592" s="168"/>
      <c r="K592" s="168"/>
      <c r="L592" s="168"/>
      <c r="M592" s="168"/>
      <c r="N592" s="168"/>
      <c r="O592" s="168"/>
      <c r="P592" s="168"/>
      <c r="Q592" s="168"/>
      <c r="R592" s="168"/>
      <c r="S592" s="168"/>
      <c r="T592" s="168"/>
      <c r="U592" s="168"/>
      <c r="V592" s="168"/>
      <c r="W592" s="168"/>
      <c r="X592" s="168"/>
      <c r="Y592" s="168"/>
      <c r="Z592" s="168"/>
    </row>
    <row r="593" customFormat="false" ht="15.75" hidden="false" customHeight="false" outlineLevel="0" collapsed="false">
      <c r="A593" s="168"/>
      <c r="B593" s="168"/>
      <c r="C593" s="168"/>
      <c r="D593" s="168"/>
      <c r="E593" s="168"/>
      <c r="F593" s="168"/>
      <c r="G593" s="168"/>
      <c r="H593" s="168"/>
      <c r="I593" s="168"/>
      <c r="J593" s="168"/>
      <c r="K593" s="168"/>
      <c r="L593" s="168"/>
      <c r="M593" s="168"/>
      <c r="N593" s="168"/>
      <c r="O593" s="168"/>
      <c r="P593" s="168"/>
      <c r="Q593" s="168"/>
      <c r="R593" s="168"/>
      <c r="S593" s="168"/>
      <c r="T593" s="168"/>
      <c r="U593" s="168"/>
      <c r="V593" s="168"/>
      <c r="W593" s="168"/>
      <c r="X593" s="168"/>
      <c r="Y593" s="168"/>
      <c r="Z593" s="168"/>
    </row>
    <row r="594" customFormat="false" ht="15.75" hidden="false" customHeight="false" outlineLevel="0" collapsed="false">
      <c r="A594" s="168"/>
      <c r="B594" s="168"/>
      <c r="C594" s="168"/>
      <c r="D594" s="168"/>
      <c r="E594" s="168"/>
      <c r="F594" s="168"/>
      <c r="G594" s="168"/>
      <c r="H594" s="168"/>
      <c r="I594" s="168"/>
      <c r="J594" s="168"/>
      <c r="K594" s="168"/>
      <c r="L594" s="168"/>
      <c r="M594" s="168"/>
      <c r="N594" s="168"/>
      <c r="O594" s="168"/>
      <c r="P594" s="168"/>
      <c r="Q594" s="168"/>
      <c r="R594" s="168"/>
      <c r="S594" s="168"/>
      <c r="T594" s="168"/>
      <c r="U594" s="168"/>
      <c r="V594" s="168"/>
      <c r="W594" s="168"/>
      <c r="X594" s="168"/>
      <c r="Y594" s="168"/>
      <c r="Z594" s="168"/>
    </row>
    <row r="595" customFormat="false" ht="15.75" hidden="false" customHeight="false" outlineLevel="0" collapsed="false">
      <c r="A595" s="168"/>
      <c r="B595" s="168"/>
      <c r="C595" s="168"/>
      <c r="D595" s="168"/>
      <c r="E595" s="168"/>
      <c r="F595" s="168"/>
      <c r="G595" s="168"/>
      <c r="H595" s="168"/>
      <c r="I595" s="168"/>
      <c r="J595" s="168"/>
      <c r="K595" s="168"/>
      <c r="L595" s="168"/>
      <c r="M595" s="168"/>
      <c r="N595" s="168"/>
      <c r="O595" s="168"/>
      <c r="P595" s="168"/>
      <c r="Q595" s="168"/>
      <c r="R595" s="168"/>
      <c r="S595" s="168"/>
      <c r="T595" s="168"/>
      <c r="U595" s="168"/>
      <c r="V595" s="168"/>
      <c r="W595" s="168"/>
      <c r="X595" s="168"/>
      <c r="Y595" s="168"/>
      <c r="Z595" s="168"/>
    </row>
    <row r="596" customFormat="false" ht="15.75" hidden="false" customHeight="false" outlineLevel="0" collapsed="false">
      <c r="A596" s="168"/>
      <c r="B596" s="168"/>
      <c r="C596" s="168"/>
      <c r="D596" s="168"/>
      <c r="E596" s="168"/>
      <c r="F596" s="168"/>
      <c r="G596" s="168"/>
      <c r="H596" s="168"/>
      <c r="I596" s="168"/>
      <c r="J596" s="168"/>
      <c r="K596" s="168"/>
      <c r="L596" s="168"/>
      <c r="M596" s="168"/>
      <c r="N596" s="168"/>
      <c r="O596" s="168"/>
      <c r="P596" s="168"/>
      <c r="Q596" s="168"/>
      <c r="R596" s="168"/>
      <c r="S596" s="168"/>
      <c r="T596" s="168"/>
      <c r="U596" s="168"/>
      <c r="V596" s="168"/>
      <c r="W596" s="168"/>
      <c r="X596" s="168"/>
      <c r="Y596" s="168"/>
      <c r="Z596" s="168"/>
    </row>
    <row r="597" customFormat="false" ht="15.75" hidden="false" customHeight="false" outlineLevel="0" collapsed="false">
      <c r="A597" s="168"/>
      <c r="B597" s="168"/>
      <c r="C597" s="168"/>
      <c r="D597" s="168"/>
      <c r="E597" s="168"/>
      <c r="F597" s="168"/>
      <c r="G597" s="168"/>
      <c r="H597" s="168"/>
      <c r="I597" s="168"/>
      <c r="J597" s="168"/>
      <c r="K597" s="168"/>
      <c r="L597" s="168"/>
      <c r="M597" s="168"/>
      <c r="N597" s="168"/>
      <c r="O597" s="168"/>
      <c r="P597" s="168"/>
      <c r="Q597" s="168"/>
      <c r="R597" s="168"/>
      <c r="S597" s="168"/>
      <c r="T597" s="168"/>
      <c r="U597" s="168"/>
      <c r="V597" s="168"/>
      <c r="W597" s="168"/>
      <c r="X597" s="168"/>
      <c r="Y597" s="168"/>
      <c r="Z597" s="168"/>
    </row>
    <row r="598" customFormat="false" ht="15.75" hidden="false" customHeight="false" outlineLevel="0" collapsed="false">
      <c r="A598" s="168"/>
      <c r="B598" s="168"/>
      <c r="C598" s="168"/>
      <c r="D598" s="168"/>
      <c r="E598" s="168"/>
      <c r="F598" s="168"/>
      <c r="G598" s="168"/>
      <c r="H598" s="168"/>
      <c r="I598" s="168"/>
      <c r="J598" s="168"/>
      <c r="K598" s="168"/>
      <c r="L598" s="168"/>
      <c r="M598" s="168"/>
      <c r="N598" s="168"/>
      <c r="O598" s="168"/>
      <c r="P598" s="168"/>
      <c r="Q598" s="168"/>
      <c r="R598" s="168"/>
      <c r="S598" s="168"/>
      <c r="T598" s="168"/>
      <c r="U598" s="168"/>
      <c r="V598" s="168"/>
      <c r="W598" s="168"/>
      <c r="X598" s="168"/>
      <c r="Y598" s="168"/>
      <c r="Z598" s="168"/>
    </row>
    <row r="599" customFormat="false" ht="15.75" hidden="false" customHeight="false" outlineLevel="0" collapsed="false">
      <c r="A599" s="168"/>
      <c r="B599" s="168"/>
      <c r="C599" s="168"/>
      <c r="D599" s="168"/>
      <c r="E599" s="168"/>
      <c r="F599" s="168"/>
      <c r="G599" s="168"/>
      <c r="H599" s="168"/>
      <c r="I599" s="168"/>
      <c r="J599" s="168"/>
      <c r="K599" s="168"/>
      <c r="L599" s="168"/>
      <c r="M599" s="168"/>
      <c r="N599" s="168"/>
      <c r="O599" s="168"/>
      <c r="P599" s="168"/>
      <c r="Q599" s="168"/>
      <c r="R599" s="168"/>
      <c r="S599" s="168"/>
      <c r="T599" s="168"/>
      <c r="U599" s="168"/>
      <c r="V599" s="168"/>
      <c r="W599" s="168"/>
      <c r="X599" s="168"/>
      <c r="Y599" s="168"/>
      <c r="Z599" s="168"/>
    </row>
    <row r="600" customFormat="false" ht="15.75" hidden="false" customHeight="false" outlineLevel="0" collapsed="false">
      <c r="A600" s="168"/>
      <c r="B600" s="168"/>
      <c r="C600" s="168"/>
      <c r="D600" s="168"/>
      <c r="E600" s="168"/>
      <c r="F600" s="168"/>
      <c r="G600" s="168"/>
      <c r="H600" s="168"/>
      <c r="I600" s="168"/>
      <c r="J600" s="168"/>
      <c r="K600" s="168"/>
      <c r="L600" s="168"/>
      <c r="M600" s="168"/>
      <c r="N600" s="168"/>
      <c r="O600" s="168"/>
      <c r="P600" s="168"/>
      <c r="Q600" s="168"/>
      <c r="R600" s="168"/>
      <c r="S600" s="168"/>
      <c r="T600" s="168"/>
      <c r="U600" s="168"/>
      <c r="V600" s="168"/>
      <c r="W600" s="168"/>
      <c r="X600" s="168"/>
      <c r="Y600" s="168"/>
      <c r="Z600" s="168"/>
    </row>
    <row r="601" customFormat="false" ht="15.75" hidden="false" customHeight="false" outlineLevel="0" collapsed="false">
      <c r="A601" s="168"/>
      <c r="B601" s="168"/>
      <c r="C601" s="168"/>
      <c r="D601" s="168"/>
      <c r="E601" s="168"/>
      <c r="F601" s="168"/>
      <c r="G601" s="168"/>
      <c r="H601" s="168"/>
      <c r="I601" s="168"/>
      <c r="J601" s="168"/>
      <c r="K601" s="168"/>
      <c r="L601" s="168"/>
      <c r="M601" s="168"/>
      <c r="N601" s="168"/>
      <c r="O601" s="168"/>
      <c r="P601" s="168"/>
      <c r="Q601" s="168"/>
      <c r="R601" s="168"/>
      <c r="S601" s="168"/>
      <c r="T601" s="168"/>
      <c r="U601" s="168"/>
      <c r="V601" s="168"/>
      <c r="W601" s="168"/>
      <c r="X601" s="168"/>
      <c r="Y601" s="168"/>
      <c r="Z601" s="168"/>
    </row>
    <row r="602" customFormat="false" ht="15.75" hidden="false" customHeight="false" outlineLevel="0" collapsed="false">
      <c r="A602" s="168"/>
      <c r="B602" s="168"/>
      <c r="C602" s="168"/>
      <c r="D602" s="168"/>
      <c r="E602" s="168"/>
      <c r="F602" s="168"/>
      <c r="G602" s="168"/>
      <c r="H602" s="168"/>
      <c r="I602" s="168"/>
      <c r="J602" s="168"/>
      <c r="K602" s="168"/>
      <c r="L602" s="168"/>
      <c r="M602" s="168"/>
      <c r="N602" s="168"/>
      <c r="O602" s="168"/>
      <c r="P602" s="168"/>
      <c r="Q602" s="168"/>
      <c r="R602" s="168"/>
      <c r="S602" s="168"/>
      <c r="T602" s="168"/>
      <c r="U602" s="168"/>
      <c r="V602" s="168"/>
      <c r="W602" s="168"/>
      <c r="X602" s="168"/>
      <c r="Y602" s="168"/>
      <c r="Z602" s="168"/>
    </row>
    <row r="603" customFormat="false" ht="15.75" hidden="false" customHeight="false" outlineLevel="0" collapsed="false">
      <c r="A603" s="168"/>
      <c r="B603" s="168"/>
      <c r="C603" s="168"/>
      <c r="D603" s="168"/>
      <c r="E603" s="168"/>
      <c r="F603" s="168"/>
      <c r="G603" s="168"/>
      <c r="H603" s="168"/>
      <c r="I603" s="168"/>
      <c r="J603" s="168"/>
      <c r="K603" s="168"/>
      <c r="L603" s="168"/>
      <c r="M603" s="168"/>
      <c r="N603" s="168"/>
      <c r="O603" s="168"/>
      <c r="P603" s="168"/>
      <c r="Q603" s="168"/>
      <c r="R603" s="168"/>
      <c r="S603" s="168"/>
      <c r="T603" s="168"/>
      <c r="U603" s="168"/>
      <c r="V603" s="168"/>
      <c r="W603" s="168"/>
      <c r="X603" s="168"/>
      <c r="Y603" s="168"/>
      <c r="Z603" s="168"/>
    </row>
    <row r="604" customFormat="false" ht="15.75" hidden="false" customHeight="false" outlineLevel="0" collapsed="false">
      <c r="A604" s="168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</row>
    <row r="605" customFormat="false" ht="15.75" hidden="false" customHeight="false" outlineLevel="0" collapsed="false">
      <c r="A605" s="168"/>
      <c r="B605" s="168"/>
      <c r="C605" s="168"/>
      <c r="D605" s="168"/>
      <c r="E605" s="168"/>
      <c r="F605" s="168"/>
      <c r="G605" s="168"/>
      <c r="H605" s="168"/>
      <c r="I605" s="168"/>
      <c r="J605" s="168"/>
      <c r="K605" s="168"/>
      <c r="L605" s="168"/>
      <c r="M605" s="168"/>
      <c r="N605" s="168"/>
      <c r="O605" s="168"/>
      <c r="P605" s="168"/>
      <c r="Q605" s="168"/>
      <c r="R605" s="168"/>
      <c r="S605" s="168"/>
      <c r="T605" s="168"/>
      <c r="U605" s="168"/>
      <c r="V605" s="168"/>
      <c r="W605" s="168"/>
      <c r="X605" s="168"/>
      <c r="Y605" s="168"/>
      <c r="Z605" s="168"/>
    </row>
    <row r="606" customFormat="false" ht="15.75" hidden="false" customHeight="false" outlineLevel="0" collapsed="false">
      <c r="A606" s="168"/>
      <c r="B606" s="168"/>
      <c r="C606" s="168"/>
      <c r="D606" s="168"/>
      <c r="E606" s="168"/>
      <c r="F606" s="168"/>
      <c r="G606" s="168"/>
      <c r="H606" s="168"/>
      <c r="I606" s="168"/>
      <c r="J606" s="168"/>
      <c r="K606" s="168"/>
      <c r="L606" s="168"/>
      <c r="M606" s="168"/>
      <c r="N606" s="168"/>
      <c r="O606" s="168"/>
      <c r="P606" s="168"/>
      <c r="Q606" s="168"/>
      <c r="R606" s="168"/>
      <c r="S606" s="168"/>
      <c r="T606" s="168"/>
      <c r="U606" s="168"/>
      <c r="V606" s="168"/>
      <c r="W606" s="168"/>
      <c r="X606" s="168"/>
      <c r="Y606" s="168"/>
      <c r="Z606" s="168"/>
    </row>
    <row r="607" customFormat="false" ht="15.75" hidden="false" customHeight="false" outlineLevel="0" collapsed="false">
      <c r="A607" s="168"/>
      <c r="B607" s="168"/>
      <c r="C607" s="168"/>
      <c r="D607" s="168"/>
      <c r="E607" s="168"/>
      <c r="F607" s="168"/>
      <c r="G607" s="168"/>
      <c r="H607" s="168"/>
      <c r="I607" s="168"/>
      <c r="J607" s="168"/>
      <c r="K607" s="168"/>
      <c r="L607" s="168"/>
      <c r="M607" s="168"/>
      <c r="N607" s="168"/>
      <c r="O607" s="168"/>
      <c r="P607" s="168"/>
      <c r="Q607" s="168"/>
      <c r="R607" s="168"/>
      <c r="S607" s="168"/>
      <c r="T607" s="168"/>
      <c r="U607" s="168"/>
      <c r="V607" s="168"/>
      <c r="W607" s="168"/>
      <c r="X607" s="168"/>
      <c r="Y607" s="168"/>
      <c r="Z607" s="168"/>
    </row>
    <row r="608" customFormat="false" ht="15.75" hidden="false" customHeight="false" outlineLevel="0" collapsed="false">
      <c r="A608" s="168"/>
      <c r="B608" s="168"/>
      <c r="C608" s="168"/>
      <c r="D608" s="168"/>
      <c r="E608" s="168"/>
      <c r="F608" s="168"/>
      <c r="G608" s="168"/>
      <c r="H608" s="168"/>
      <c r="I608" s="168"/>
      <c r="J608" s="168"/>
      <c r="K608" s="168"/>
      <c r="L608" s="168"/>
      <c r="M608" s="168"/>
      <c r="N608" s="168"/>
      <c r="O608" s="168"/>
      <c r="P608" s="168"/>
      <c r="Q608" s="168"/>
      <c r="R608" s="168"/>
      <c r="S608" s="168"/>
      <c r="T608" s="168"/>
      <c r="U608" s="168"/>
      <c r="V608" s="168"/>
      <c r="W608" s="168"/>
      <c r="X608" s="168"/>
      <c r="Y608" s="168"/>
      <c r="Z608" s="168"/>
    </row>
    <row r="609" customFormat="false" ht="15.75" hidden="false" customHeight="false" outlineLevel="0" collapsed="false">
      <c r="A609" s="168"/>
      <c r="B609" s="168"/>
      <c r="C609" s="168"/>
      <c r="D609" s="168"/>
      <c r="E609" s="168"/>
      <c r="F609" s="168"/>
      <c r="G609" s="168"/>
      <c r="H609" s="168"/>
      <c r="I609" s="168"/>
      <c r="J609" s="168"/>
      <c r="K609" s="168"/>
      <c r="L609" s="168"/>
      <c r="M609" s="168"/>
      <c r="N609" s="168"/>
      <c r="O609" s="168"/>
      <c r="P609" s="168"/>
      <c r="Q609" s="168"/>
      <c r="R609" s="168"/>
      <c r="S609" s="168"/>
      <c r="T609" s="168"/>
      <c r="U609" s="168"/>
      <c r="V609" s="168"/>
      <c r="W609" s="168"/>
      <c r="X609" s="168"/>
      <c r="Y609" s="168"/>
      <c r="Z609" s="168"/>
    </row>
    <row r="610" customFormat="false" ht="15.75" hidden="false" customHeight="false" outlineLevel="0" collapsed="false">
      <c r="A610" s="168"/>
      <c r="B610" s="168"/>
      <c r="C610" s="168"/>
      <c r="D610" s="168"/>
      <c r="E610" s="168"/>
      <c r="F610" s="168"/>
      <c r="G610" s="168"/>
      <c r="H610" s="168"/>
      <c r="I610" s="168"/>
      <c r="J610" s="168"/>
      <c r="K610" s="168"/>
      <c r="L610" s="168"/>
      <c r="M610" s="168"/>
      <c r="N610" s="168"/>
      <c r="O610" s="168"/>
      <c r="P610" s="168"/>
      <c r="Q610" s="168"/>
      <c r="R610" s="168"/>
      <c r="S610" s="168"/>
      <c r="T610" s="168"/>
      <c r="U610" s="168"/>
      <c r="V610" s="168"/>
      <c r="W610" s="168"/>
      <c r="X610" s="168"/>
      <c r="Y610" s="168"/>
      <c r="Z610" s="168"/>
    </row>
    <row r="611" customFormat="false" ht="15.75" hidden="false" customHeight="false" outlineLevel="0" collapsed="false">
      <c r="A611" s="168"/>
      <c r="B611" s="168"/>
      <c r="C611" s="168"/>
      <c r="D611" s="168"/>
      <c r="E611" s="168"/>
      <c r="F611" s="168"/>
      <c r="G611" s="168"/>
      <c r="H611" s="168"/>
      <c r="I611" s="168"/>
      <c r="J611" s="168"/>
      <c r="K611" s="168"/>
      <c r="L611" s="168"/>
      <c r="M611" s="168"/>
      <c r="N611" s="168"/>
      <c r="O611" s="168"/>
      <c r="P611" s="168"/>
      <c r="Q611" s="168"/>
      <c r="R611" s="168"/>
      <c r="S611" s="168"/>
      <c r="T611" s="168"/>
      <c r="U611" s="168"/>
      <c r="V611" s="168"/>
      <c r="W611" s="168"/>
      <c r="X611" s="168"/>
      <c r="Y611" s="168"/>
      <c r="Z611" s="168"/>
    </row>
    <row r="612" customFormat="false" ht="15.75" hidden="false" customHeight="false" outlineLevel="0" collapsed="false">
      <c r="A612" s="168"/>
      <c r="B612" s="168"/>
      <c r="C612" s="168"/>
      <c r="D612" s="168"/>
      <c r="E612" s="168"/>
      <c r="F612" s="168"/>
      <c r="G612" s="168"/>
      <c r="H612" s="168"/>
      <c r="I612" s="168"/>
      <c r="J612" s="168"/>
      <c r="K612" s="168"/>
      <c r="L612" s="168"/>
      <c r="M612" s="168"/>
      <c r="N612" s="168"/>
      <c r="O612" s="168"/>
      <c r="P612" s="168"/>
      <c r="Q612" s="168"/>
      <c r="R612" s="168"/>
      <c r="S612" s="168"/>
      <c r="T612" s="168"/>
      <c r="U612" s="168"/>
      <c r="V612" s="168"/>
      <c r="W612" s="168"/>
      <c r="X612" s="168"/>
      <c r="Y612" s="168"/>
      <c r="Z612" s="168"/>
    </row>
    <row r="613" customFormat="false" ht="15.75" hidden="false" customHeight="false" outlineLevel="0" collapsed="false">
      <c r="A613" s="168"/>
      <c r="B613" s="168"/>
      <c r="C613" s="168"/>
      <c r="D613" s="168"/>
      <c r="E613" s="168"/>
      <c r="F613" s="168"/>
      <c r="G613" s="168"/>
      <c r="H613" s="168"/>
      <c r="I613" s="168"/>
      <c r="J613" s="168"/>
      <c r="K613" s="168"/>
      <c r="L613" s="168"/>
      <c r="M613" s="168"/>
      <c r="N613" s="168"/>
      <c r="O613" s="168"/>
      <c r="P613" s="168"/>
      <c r="Q613" s="168"/>
      <c r="R613" s="168"/>
      <c r="S613" s="168"/>
      <c r="T613" s="168"/>
      <c r="U613" s="168"/>
      <c r="V613" s="168"/>
      <c r="W613" s="168"/>
      <c r="X613" s="168"/>
      <c r="Y613" s="168"/>
      <c r="Z613" s="168"/>
    </row>
    <row r="614" customFormat="false" ht="15.75" hidden="false" customHeight="false" outlineLevel="0" collapsed="false">
      <c r="A614" s="168"/>
      <c r="B614" s="168"/>
      <c r="C614" s="168"/>
      <c r="D614" s="168"/>
      <c r="E614" s="168"/>
      <c r="F614" s="168"/>
      <c r="G614" s="168"/>
      <c r="H614" s="168"/>
      <c r="I614" s="168"/>
      <c r="J614" s="168"/>
      <c r="K614" s="168"/>
      <c r="L614" s="168"/>
      <c r="M614" s="168"/>
      <c r="N614" s="168"/>
      <c r="O614" s="168"/>
      <c r="P614" s="168"/>
      <c r="Q614" s="168"/>
      <c r="R614" s="168"/>
      <c r="S614" s="168"/>
      <c r="T614" s="168"/>
      <c r="U614" s="168"/>
      <c r="V614" s="168"/>
      <c r="W614" s="168"/>
      <c r="X614" s="168"/>
      <c r="Y614" s="168"/>
      <c r="Z614" s="168"/>
    </row>
    <row r="615" customFormat="false" ht="15.75" hidden="false" customHeight="false" outlineLevel="0" collapsed="false">
      <c r="A615" s="168"/>
      <c r="B615" s="168"/>
      <c r="C615" s="168"/>
      <c r="D615" s="168"/>
      <c r="E615" s="168"/>
      <c r="F615" s="168"/>
      <c r="G615" s="168"/>
      <c r="H615" s="168"/>
      <c r="I615" s="168"/>
      <c r="J615" s="168"/>
      <c r="K615" s="168"/>
      <c r="L615" s="168"/>
      <c r="M615" s="168"/>
      <c r="N615" s="168"/>
      <c r="O615" s="168"/>
      <c r="P615" s="168"/>
      <c r="Q615" s="168"/>
      <c r="R615" s="168"/>
      <c r="S615" s="168"/>
      <c r="T615" s="168"/>
      <c r="U615" s="168"/>
      <c r="V615" s="168"/>
      <c r="W615" s="168"/>
      <c r="X615" s="168"/>
      <c r="Y615" s="168"/>
      <c r="Z615" s="168"/>
    </row>
    <row r="616" customFormat="false" ht="15.75" hidden="false" customHeight="false" outlineLevel="0" collapsed="false">
      <c r="A616" s="168"/>
      <c r="B616" s="168"/>
      <c r="C616" s="168"/>
      <c r="D616" s="168"/>
      <c r="E616" s="168"/>
      <c r="F616" s="168"/>
      <c r="G616" s="168"/>
      <c r="H616" s="168"/>
      <c r="I616" s="168"/>
      <c r="J616" s="168"/>
      <c r="K616" s="168"/>
      <c r="L616" s="168"/>
      <c r="M616" s="168"/>
      <c r="N616" s="168"/>
      <c r="O616" s="168"/>
      <c r="P616" s="168"/>
      <c r="Q616" s="168"/>
      <c r="R616" s="168"/>
      <c r="S616" s="168"/>
      <c r="T616" s="168"/>
      <c r="U616" s="168"/>
      <c r="V616" s="168"/>
      <c r="W616" s="168"/>
      <c r="X616" s="168"/>
      <c r="Y616" s="168"/>
      <c r="Z616" s="168"/>
    </row>
    <row r="617" customFormat="false" ht="15.75" hidden="false" customHeight="false" outlineLevel="0" collapsed="false">
      <c r="A617" s="168"/>
      <c r="B617" s="168"/>
      <c r="C617" s="168"/>
      <c r="D617" s="168"/>
      <c r="E617" s="168"/>
      <c r="F617" s="168"/>
      <c r="G617" s="168"/>
      <c r="H617" s="168"/>
      <c r="I617" s="168"/>
      <c r="J617" s="168"/>
      <c r="K617" s="168"/>
      <c r="L617" s="168"/>
      <c r="M617" s="168"/>
      <c r="N617" s="168"/>
      <c r="O617" s="168"/>
      <c r="P617" s="168"/>
      <c r="Q617" s="168"/>
      <c r="R617" s="168"/>
      <c r="S617" s="168"/>
      <c r="T617" s="168"/>
      <c r="U617" s="168"/>
      <c r="V617" s="168"/>
      <c r="W617" s="168"/>
      <c r="X617" s="168"/>
      <c r="Y617" s="168"/>
      <c r="Z617" s="168"/>
    </row>
    <row r="618" customFormat="false" ht="15.75" hidden="false" customHeight="false" outlineLevel="0" collapsed="false">
      <c r="A618" s="168"/>
      <c r="B618" s="168"/>
      <c r="C618" s="168"/>
      <c r="D618" s="168"/>
      <c r="E618" s="168"/>
      <c r="F618" s="168"/>
      <c r="G618" s="168"/>
      <c r="H618" s="168"/>
      <c r="I618" s="168"/>
      <c r="J618" s="168"/>
      <c r="K618" s="168"/>
      <c r="L618" s="168"/>
      <c r="M618" s="168"/>
      <c r="N618" s="168"/>
      <c r="O618" s="168"/>
      <c r="P618" s="168"/>
      <c r="Q618" s="168"/>
      <c r="R618" s="168"/>
      <c r="S618" s="168"/>
      <c r="T618" s="168"/>
      <c r="U618" s="168"/>
      <c r="V618" s="168"/>
      <c r="W618" s="168"/>
      <c r="X618" s="168"/>
      <c r="Y618" s="168"/>
      <c r="Z618" s="168"/>
    </row>
    <row r="619" customFormat="false" ht="15.75" hidden="false" customHeight="false" outlineLevel="0" collapsed="false">
      <c r="A619" s="168"/>
      <c r="B619" s="168"/>
      <c r="C619" s="168"/>
      <c r="D619" s="168"/>
      <c r="E619" s="168"/>
      <c r="F619" s="168"/>
      <c r="G619" s="168"/>
      <c r="H619" s="168"/>
      <c r="I619" s="168"/>
      <c r="J619" s="168"/>
      <c r="K619" s="168"/>
      <c r="L619" s="168"/>
      <c r="M619" s="168"/>
      <c r="N619" s="168"/>
      <c r="O619" s="168"/>
      <c r="P619" s="168"/>
      <c r="Q619" s="168"/>
      <c r="R619" s="168"/>
      <c r="S619" s="168"/>
      <c r="T619" s="168"/>
      <c r="U619" s="168"/>
      <c r="V619" s="168"/>
      <c r="W619" s="168"/>
      <c r="X619" s="168"/>
      <c r="Y619" s="168"/>
      <c r="Z619" s="168"/>
    </row>
    <row r="620" customFormat="false" ht="15.75" hidden="false" customHeight="false" outlineLevel="0" collapsed="false">
      <c r="A620" s="168"/>
      <c r="B620" s="168"/>
      <c r="C620" s="168"/>
      <c r="D620" s="168"/>
      <c r="E620" s="168"/>
      <c r="F620" s="168"/>
      <c r="G620" s="168"/>
      <c r="H620" s="168"/>
      <c r="I620" s="168"/>
      <c r="J620" s="168"/>
      <c r="K620" s="168"/>
      <c r="L620" s="168"/>
      <c r="M620" s="168"/>
      <c r="N620" s="168"/>
      <c r="O620" s="168"/>
      <c r="P620" s="168"/>
      <c r="Q620" s="168"/>
      <c r="R620" s="168"/>
      <c r="S620" s="168"/>
      <c r="T620" s="168"/>
      <c r="U620" s="168"/>
      <c r="V620" s="168"/>
      <c r="W620" s="168"/>
      <c r="X620" s="168"/>
      <c r="Y620" s="168"/>
      <c r="Z620" s="168"/>
    </row>
    <row r="621" customFormat="false" ht="15.75" hidden="false" customHeight="false" outlineLevel="0" collapsed="false">
      <c r="A621" s="168"/>
      <c r="B621" s="168"/>
      <c r="C621" s="168"/>
      <c r="D621" s="168"/>
      <c r="E621" s="168"/>
      <c r="F621" s="168"/>
      <c r="G621" s="168"/>
      <c r="H621" s="168"/>
      <c r="I621" s="168"/>
      <c r="J621" s="168"/>
      <c r="K621" s="168"/>
      <c r="L621" s="168"/>
      <c r="M621" s="168"/>
      <c r="N621" s="168"/>
      <c r="O621" s="168"/>
      <c r="P621" s="168"/>
      <c r="Q621" s="168"/>
      <c r="R621" s="168"/>
      <c r="S621" s="168"/>
      <c r="T621" s="168"/>
      <c r="U621" s="168"/>
      <c r="V621" s="168"/>
      <c r="W621" s="168"/>
      <c r="X621" s="168"/>
      <c r="Y621" s="168"/>
      <c r="Z621" s="168"/>
    </row>
    <row r="622" customFormat="false" ht="15.75" hidden="false" customHeight="false" outlineLevel="0" collapsed="false">
      <c r="A622" s="168"/>
      <c r="B622" s="168"/>
      <c r="C622" s="168"/>
      <c r="D622" s="168"/>
      <c r="E622" s="168"/>
      <c r="F622" s="168"/>
      <c r="G622" s="168"/>
      <c r="H622" s="168"/>
      <c r="I622" s="168"/>
      <c r="J622" s="168"/>
      <c r="K622" s="168"/>
      <c r="L622" s="168"/>
      <c r="M622" s="168"/>
      <c r="N622" s="168"/>
      <c r="O622" s="168"/>
      <c r="P622" s="168"/>
      <c r="Q622" s="168"/>
      <c r="R622" s="168"/>
      <c r="S622" s="168"/>
      <c r="T622" s="168"/>
      <c r="U622" s="168"/>
      <c r="V622" s="168"/>
      <c r="W622" s="168"/>
      <c r="X622" s="168"/>
      <c r="Y622" s="168"/>
      <c r="Z622" s="168"/>
    </row>
    <row r="623" customFormat="false" ht="15.75" hidden="false" customHeight="false" outlineLevel="0" collapsed="false">
      <c r="A623" s="168"/>
      <c r="B623" s="168"/>
      <c r="C623" s="168"/>
      <c r="D623" s="168"/>
      <c r="E623" s="168"/>
      <c r="F623" s="168"/>
      <c r="G623" s="168"/>
      <c r="H623" s="168"/>
      <c r="I623" s="168"/>
      <c r="J623" s="168"/>
      <c r="K623" s="168"/>
      <c r="L623" s="168"/>
      <c r="M623" s="168"/>
      <c r="N623" s="168"/>
      <c r="O623" s="168"/>
      <c r="P623" s="168"/>
      <c r="Q623" s="168"/>
      <c r="R623" s="168"/>
      <c r="S623" s="168"/>
      <c r="T623" s="168"/>
      <c r="U623" s="168"/>
      <c r="V623" s="168"/>
      <c r="W623" s="168"/>
      <c r="X623" s="168"/>
      <c r="Y623" s="168"/>
      <c r="Z623" s="168"/>
    </row>
    <row r="624" customFormat="false" ht="15.75" hidden="false" customHeight="false" outlineLevel="0" collapsed="false">
      <c r="A624" s="168"/>
      <c r="B624" s="168"/>
      <c r="C624" s="168"/>
      <c r="D624" s="168"/>
      <c r="E624" s="168"/>
      <c r="F624" s="168"/>
      <c r="G624" s="168"/>
      <c r="H624" s="168"/>
      <c r="I624" s="168"/>
      <c r="J624" s="168"/>
      <c r="K624" s="168"/>
      <c r="L624" s="168"/>
      <c r="M624" s="168"/>
      <c r="N624" s="168"/>
      <c r="O624" s="168"/>
      <c r="P624" s="168"/>
      <c r="Q624" s="168"/>
      <c r="R624" s="168"/>
      <c r="S624" s="168"/>
      <c r="T624" s="168"/>
      <c r="U624" s="168"/>
      <c r="V624" s="168"/>
      <c r="W624" s="168"/>
      <c r="X624" s="168"/>
      <c r="Y624" s="168"/>
      <c r="Z624" s="168"/>
    </row>
    <row r="625" customFormat="false" ht="15.75" hidden="false" customHeight="false" outlineLevel="0" collapsed="false">
      <c r="A625" s="168"/>
      <c r="B625" s="168"/>
      <c r="C625" s="168"/>
      <c r="D625" s="168"/>
      <c r="E625" s="168"/>
      <c r="F625" s="168"/>
      <c r="G625" s="168"/>
      <c r="H625" s="168"/>
      <c r="I625" s="168"/>
      <c r="J625" s="168"/>
      <c r="K625" s="168"/>
      <c r="L625" s="168"/>
      <c r="M625" s="168"/>
      <c r="N625" s="168"/>
      <c r="O625" s="168"/>
      <c r="P625" s="168"/>
      <c r="Q625" s="168"/>
      <c r="R625" s="168"/>
      <c r="S625" s="168"/>
      <c r="T625" s="168"/>
      <c r="U625" s="168"/>
      <c r="V625" s="168"/>
      <c r="W625" s="168"/>
      <c r="X625" s="168"/>
      <c r="Y625" s="168"/>
      <c r="Z625" s="168"/>
    </row>
    <row r="626" customFormat="false" ht="15.75" hidden="false" customHeight="false" outlineLevel="0" collapsed="false">
      <c r="A626" s="168"/>
      <c r="B626" s="168"/>
      <c r="C626" s="168"/>
      <c r="D626" s="168"/>
      <c r="E626" s="168"/>
      <c r="F626" s="168"/>
      <c r="G626" s="168"/>
      <c r="H626" s="168"/>
      <c r="I626" s="168"/>
      <c r="J626" s="168"/>
      <c r="K626" s="168"/>
      <c r="L626" s="168"/>
      <c r="M626" s="168"/>
      <c r="N626" s="168"/>
      <c r="O626" s="168"/>
      <c r="P626" s="168"/>
      <c r="Q626" s="168"/>
      <c r="R626" s="168"/>
      <c r="S626" s="168"/>
      <c r="T626" s="168"/>
      <c r="U626" s="168"/>
      <c r="V626" s="168"/>
      <c r="W626" s="168"/>
      <c r="X626" s="168"/>
      <c r="Y626" s="168"/>
      <c r="Z626" s="168"/>
    </row>
    <row r="627" customFormat="false" ht="15.75" hidden="false" customHeight="false" outlineLevel="0" collapsed="false">
      <c r="A627" s="168"/>
      <c r="B627" s="168"/>
      <c r="C627" s="168"/>
      <c r="D627" s="168"/>
      <c r="E627" s="168"/>
      <c r="F627" s="168"/>
      <c r="G627" s="168"/>
      <c r="H627" s="168"/>
      <c r="I627" s="168"/>
      <c r="J627" s="168"/>
      <c r="K627" s="168"/>
      <c r="L627" s="168"/>
      <c r="M627" s="168"/>
      <c r="N627" s="168"/>
      <c r="O627" s="168"/>
      <c r="P627" s="168"/>
      <c r="Q627" s="168"/>
      <c r="R627" s="168"/>
      <c r="S627" s="168"/>
      <c r="T627" s="168"/>
      <c r="U627" s="168"/>
      <c r="V627" s="168"/>
      <c r="W627" s="168"/>
      <c r="X627" s="168"/>
      <c r="Y627" s="168"/>
      <c r="Z627" s="168"/>
    </row>
    <row r="628" customFormat="false" ht="15.75" hidden="false" customHeight="false" outlineLevel="0" collapsed="false">
      <c r="A628" s="168"/>
      <c r="B628" s="168"/>
      <c r="C628" s="168"/>
      <c r="D628" s="168"/>
      <c r="E628" s="168"/>
      <c r="F628" s="168"/>
      <c r="G628" s="168"/>
      <c r="H628" s="168"/>
      <c r="I628" s="168"/>
      <c r="J628" s="168"/>
      <c r="K628" s="168"/>
      <c r="L628" s="168"/>
      <c r="M628" s="168"/>
      <c r="N628" s="168"/>
      <c r="O628" s="168"/>
      <c r="P628" s="168"/>
      <c r="Q628" s="168"/>
      <c r="R628" s="168"/>
      <c r="S628" s="168"/>
      <c r="T628" s="168"/>
      <c r="U628" s="168"/>
      <c r="V628" s="168"/>
      <c r="W628" s="168"/>
      <c r="X628" s="168"/>
      <c r="Y628" s="168"/>
      <c r="Z628" s="168"/>
    </row>
    <row r="629" customFormat="false" ht="15.75" hidden="false" customHeight="false" outlineLevel="0" collapsed="false">
      <c r="A629" s="168"/>
      <c r="B629" s="168"/>
      <c r="C629" s="168"/>
      <c r="D629" s="168"/>
      <c r="E629" s="168"/>
      <c r="F629" s="168"/>
      <c r="G629" s="168"/>
      <c r="H629" s="168"/>
      <c r="I629" s="168"/>
      <c r="J629" s="168"/>
      <c r="K629" s="168"/>
      <c r="L629" s="168"/>
      <c r="M629" s="168"/>
      <c r="N629" s="168"/>
      <c r="O629" s="168"/>
      <c r="P629" s="168"/>
      <c r="Q629" s="168"/>
      <c r="R629" s="168"/>
      <c r="S629" s="168"/>
      <c r="T629" s="168"/>
      <c r="U629" s="168"/>
      <c r="V629" s="168"/>
      <c r="W629" s="168"/>
      <c r="X629" s="168"/>
      <c r="Y629" s="168"/>
      <c r="Z629" s="168"/>
    </row>
    <row r="630" customFormat="false" ht="15.75" hidden="false" customHeight="false" outlineLevel="0" collapsed="false">
      <c r="A630" s="168"/>
      <c r="B630" s="168"/>
      <c r="C630" s="168"/>
      <c r="D630" s="168"/>
      <c r="E630" s="168"/>
      <c r="F630" s="168"/>
      <c r="G630" s="168"/>
      <c r="H630" s="168"/>
      <c r="I630" s="168"/>
      <c r="J630" s="168"/>
      <c r="K630" s="168"/>
      <c r="L630" s="168"/>
      <c r="M630" s="168"/>
      <c r="N630" s="168"/>
      <c r="O630" s="168"/>
      <c r="P630" s="168"/>
      <c r="Q630" s="168"/>
      <c r="R630" s="168"/>
      <c r="S630" s="168"/>
      <c r="T630" s="168"/>
      <c r="U630" s="168"/>
      <c r="V630" s="168"/>
      <c r="W630" s="168"/>
      <c r="X630" s="168"/>
      <c r="Y630" s="168"/>
      <c r="Z630" s="168"/>
    </row>
    <row r="631" customFormat="false" ht="15.75" hidden="false" customHeight="false" outlineLevel="0" collapsed="false">
      <c r="A631" s="168"/>
      <c r="B631" s="168"/>
      <c r="C631" s="168"/>
      <c r="D631" s="168"/>
      <c r="E631" s="168"/>
      <c r="F631" s="168"/>
      <c r="G631" s="168"/>
      <c r="H631" s="168"/>
      <c r="I631" s="168"/>
      <c r="J631" s="168"/>
      <c r="K631" s="168"/>
      <c r="L631" s="168"/>
      <c r="M631" s="168"/>
      <c r="N631" s="168"/>
      <c r="O631" s="168"/>
      <c r="P631" s="168"/>
      <c r="Q631" s="168"/>
      <c r="R631" s="168"/>
      <c r="S631" s="168"/>
      <c r="T631" s="168"/>
      <c r="U631" s="168"/>
      <c r="V631" s="168"/>
      <c r="W631" s="168"/>
      <c r="X631" s="168"/>
      <c r="Y631" s="168"/>
      <c r="Z631" s="168"/>
    </row>
    <row r="632" customFormat="false" ht="15.75" hidden="false" customHeight="false" outlineLevel="0" collapsed="false">
      <c r="A632" s="168"/>
      <c r="B632" s="168"/>
      <c r="C632" s="168"/>
      <c r="D632" s="168"/>
      <c r="E632" s="168"/>
      <c r="F632" s="168"/>
      <c r="G632" s="168"/>
      <c r="H632" s="168"/>
      <c r="I632" s="168"/>
      <c r="J632" s="168"/>
      <c r="K632" s="168"/>
      <c r="L632" s="168"/>
      <c r="M632" s="168"/>
      <c r="N632" s="168"/>
      <c r="O632" s="168"/>
      <c r="P632" s="168"/>
      <c r="Q632" s="168"/>
      <c r="R632" s="168"/>
      <c r="S632" s="168"/>
      <c r="T632" s="168"/>
      <c r="U632" s="168"/>
      <c r="V632" s="168"/>
      <c r="W632" s="168"/>
      <c r="X632" s="168"/>
      <c r="Y632" s="168"/>
      <c r="Z632" s="168"/>
    </row>
    <row r="633" customFormat="false" ht="15.75" hidden="false" customHeight="false" outlineLevel="0" collapsed="false">
      <c r="A633" s="168"/>
      <c r="B633" s="168"/>
      <c r="C633" s="168"/>
      <c r="D633" s="168"/>
      <c r="E633" s="168"/>
      <c r="F633" s="168"/>
      <c r="G633" s="168"/>
      <c r="H633" s="168"/>
      <c r="I633" s="168"/>
      <c r="J633" s="168"/>
      <c r="K633" s="168"/>
      <c r="L633" s="168"/>
      <c r="M633" s="168"/>
      <c r="N633" s="168"/>
      <c r="O633" s="168"/>
      <c r="P633" s="168"/>
      <c r="Q633" s="168"/>
      <c r="R633" s="168"/>
      <c r="S633" s="168"/>
      <c r="T633" s="168"/>
      <c r="U633" s="168"/>
      <c r="V633" s="168"/>
      <c r="W633" s="168"/>
      <c r="X633" s="168"/>
      <c r="Y633" s="168"/>
      <c r="Z633" s="168"/>
    </row>
    <row r="634" customFormat="false" ht="15.75" hidden="false" customHeight="false" outlineLevel="0" collapsed="false">
      <c r="A634" s="168"/>
      <c r="B634" s="168"/>
      <c r="C634" s="168"/>
      <c r="D634" s="168"/>
      <c r="E634" s="168"/>
      <c r="F634" s="168"/>
      <c r="G634" s="168"/>
      <c r="H634" s="168"/>
      <c r="I634" s="168"/>
      <c r="J634" s="168"/>
      <c r="K634" s="168"/>
      <c r="L634" s="168"/>
      <c r="M634" s="168"/>
      <c r="N634" s="168"/>
      <c r="O634" s="168"/>
      <c r="P634" s="168"/>
      <c r="Q634" s="168"/>
      <c r="R634" s="168"/>
      <c r="S634" s="168"/>
      <c r="T634" s="168"/>
      <c r="U634" s="168"/>
      <c r="V634" s="168"/>
      <c r="W634" s="168"/>
      <c r="X634" s="168"/>
      <c r="Y634" s="168"/>
      <c r="Z634" s="168"/>
    </row>
    <row r="635" customFormat="false" ht="15.75" hidden="false" customHeight="false" outlineLevel="0" collapsed="false">
      <c r="A635" s="168"/>
      <c r="B635" s="168"/>
      <c r="C635" s="168"/>
      <c r="D635" s="168"/>
      <c r="E635" s="168"/>
      <c r="F635" s="168"/>
      <c r="G635" s="168"/>
      <c r="H635" s="168"/>
      <c r="I635" s="168"/>
      <c r="J635" s="168"/>
      <c r="K635" s="168"/>
      <c r="L635" s="168"/>
      <c r="M635" s="168"/>
      <c r="N635" s="168"/>
      <c r="O635" s="168"/>
      <c r="P635" s="168"/>
      <c r="Q635" s="168"/>
      <c r="R635" s="168"/>
      <c r="S635" s="168"/>
      <c r="T635" s="168"/>
      <c r="U635" s="168"/>
      <c r="V635" s="168"/>
      <c r="W635" s="168"/>
      <c r="X635" s="168"/>
      <c r="Y635" s="168"/>
      <c r="Z635" s="168"/>
    </row>
    <row r="636" customFormat="false" ht="15.75" hidden="false" customHeight="false" outlineLevel="0" collapsed="false">
      <c r="A636" s="168"/>
      <c r="B636" s="168"/>
      <c r="C636" s="168"/>
      <c r="D636" s="168"/>
      <c r="E636" s="168"/>
      <c r="F636" s="168"/>
      <c r="G636" s="168"/>
      <c r="H636" s="168"/>
      <c r="I636" s="168"/>
      <c r="J636" s="168"/>
      <c r="K636" s="168"/>
      <c r="L636" s="168"/>
      <c r="M636" s="168"/>
      <c r="N636" s="168"/>
      <c r="O636" s="168"/>
      <c r="P636" s="168"/>
      <c r="Q636" s="168"/>
      <c r="R636" s="168"/>
      <c r="S636" s="168"/>
      <c r="T636" s="168"/>
      <c r="U636" s="168"/>
      <c r="V636" s="168"/>
      <c r="W636" s="168"/>
      <c r="X636" s="168"/>
      <c r="Y636" s="168"/>
      <c r="Z636" s="168"/>
    </row>
    <row r="637" customFormat="false" ht="15.75" hidden="false" customHeight="false" outlineLevel="0" collapsed="false">
      <c r="A637" s="168"/>
      <c r="B637" s="168"/>
      <c r="C637" s="168"/>
      <c r="D637" s="168"/>
      <c r="E637" s="168"/>
      <c r="F637" s="168"/>
      <c r="G637" s="168"/>
      <c r="H637" s="168"/>
      <c r="I637" s="168"/>
      <c r="J637" s="168"/>
      <c r="K637" s="168"/>
      <c r="L637" s="168"/>
      <c r="M637" s="168"/>
      <c r="N637" s="168"/>
      <c r="O637" s="168"/>
      <c r="P637" s="168"/>
      <c r="Q637" s="168"/>
      <c r="R637" s="168"/>
      <c r="S637" s="168"/>
      <c r="T637" s="168"/>
      <c r="U637" s="168"/>
      <c r="V637" s="168"/>
      <c r="W637" s="168"/>
      <c r="X637" s="168"/>
      <c r="Y637" s="168"/>
      <c r="Z637" s="168"/>
    </row>
    <row r="638" customFormat="false" ht="15.75" hidden="false" customHeight="false" outlineLevel="0" collapsed="false">
      <c r="A638" s="168"/>
      <c r="B638" s="168"/>
      <c r="C638" s="168"/>
      <c r="D638" s="168"/>
      <c r="E638" s="168"/>
      <c r="F638" s="168"/>
      <c r="G638" s="168"/>
      <c r="H638" s="168"/>
      <c r="I638" s="168"/>
      <c r="J638" s="168"/>
      <c r="K638" s="168"/>
      <c r="L638" s="168"/>
      <c r="M638" s="168"/>
      <c r="N638" s="168"/>
      <c r="O638" s="168"/>
      <c r="P638" s="168"/>
      <c r="Q638" s="168"/>
      <c r="R638" s="168"/>
      <c r="S638" s="168"/>
      <c r="T638" s="168"/>
      <c r="U638" s="168"/>
      <c r="V638" s="168"/>
      <c r="W638" s="168"/>
      <c r="X638" s="168"/>
      <c r="Y638" s="168"/>
      <c r="Z638" s="168"/>
    </row>
    <row r="639" customFormat="false" ht="15.75" hidden="false" customHeight="false" outlineLevel="0" collapsed="false">
      <c r="A639" s="168"/>
      <c r="B639" s="168"/>
      <c r="C639" s="168"/>
      <c r="D639" s="168"/>
      <c r="E639" s="168"/>
      <c r="F639" s="168"/>
      <c r="G639" s="168"/>
      <c r="H639" s="168"/>
      <c r="I639" s="168"/>
      <c r="J639" s="168"/>
      <c r="K639" s="168"/>
      <c r="L639" s="168"/>
      <c r="M639" s="168"/>
      <c r="N639" s="168"/>
      <c r="O639" s="168"/>
      <c r="P639" s="168"/>
      <c r="Q639" s="168"/>
      <c r="R639" s="168"/>
      <c r="S639" s="168"/>
      <c r="T639" s="168"/>
      <c r="U639" s="168"/>
      <c r="V639" s="168"/>
      <c r="W639" s="168"/>
      <c r="X639" s="168"/>
      <c r="Y639" s="168"/>
      <c r="Z639" s="168"/>
    </row>
    <row r="640" customFormat="false" ht="15.75" hidden="false" customHeight="false" outlineLevel="0" collapsed="false">
      <c r="A640" s="168"/>
      <c r="B640" s="168"/>
      <c r="C640" s="168"/>
      <c r="D640" s="168"/>
      <c r="E640" s="168"/>
      <c r="F640" s="168"/>
      <c r="G640" s="168"/>
      <c r="H640" s="168"/>
      <c r="I640" s="168"/>
      <c r="J640" s="168"/>
      <c r="K640" s="168"/>
      <c r="L640" s="168"/>
      <c r="M640" s="168"/>
      <c r="N640" s="168"/>
      <c r="O640" s="168"/>
      <c r="P640" s="168"/>
      <c r="Q640" s="168"/>
      <c r="R640" s="168"/>
      <c r="S640" s="168"/>
      <c r="T640" s="168"/>
      <c r="U640" s="168"/>
      <c r="V640" s="168"/>
      <c r="W640" s="168"/>
      <c r="X640" s="168"/>
      <c r="Y640" s="168"/>
      <c r="Z640" s="168"/>
    </row>
    <row r="641" customFormat="false" ht="15.75" hidden="false" customHeight="false" outlineLevel="0" collapsed="false">
      <c r="A641" s="168"/>
      <c r="B641" s="168"/>
      <c r="C641" s="168"/>
      <c r="D641" s="168"/>
      <c r="E641" s="168"/>
      <c r="F641" s="168"/>
      <c r="G641" s="168"/>
      <c r="H641" s="168"/>
      <c r="I641" s="168"/>
      <c r="J641" s="168"/>
      <c r="K641" s="168"/>
      <c r="L641" s="168"/>
      <c r="M641" s="168"/>
      <c r="N641" s="168"/>
      <c r="O641" s="168"/>
      <c r="P641" s="168"/>
      <c r="Q641" s="168"/>
      <c r="R641" s="168"/>
      <c r="S641" s="168"/>
      <c r="T641" s="168"/>
      <c r="U641" s="168"/>
      <c r="V641" s="168"/>
      <c r="W641" s="168"/>
      <c r="X641" s="168"/>
      <c r="Y641" s="168"/>
      <c r="Z641" s="168"/>
    </row>
    <row r="642" customFormat="false" ht="15.75" hidden="false" customHeight="false" outlineLevel="0" collapsed="false">
      <c r="A642" s="168"/>
      <c r="B642" s="168"/>
      <c r="C642" s="168"/>
      <c r="D642" s="168"/>
      <c r="E642" s="168"/>
      <c r="F642" s="168"/>
      <c r="G642" s="168"/>
      <c r="H642" s="168"/>
      <c r="I642" s="168"/>
      <c r="J642" s="168"/>
      <c r="K642" s="168"/>
      <c r="L642" s="168"/>
      <c r="M642" s="168"/>
      <c r="N642" s="168"/>
      <c r="O642" s="168"/>
      <c r="P642" s="168"/>
      <c r="Q642" s="168"/>
      <c r="R642" s="168"/>
      <c r="S642" s="168"/>
      <c r="T642" s="168"/>
      <c r="U642" s="168"/>
      <c r="V642" s="168"/>
      <c r="W642" s="168"/>
      <c r="X642" s="168"/>
      <c r="Y642" s="168"/>
      <c r="Z642" s="168"/>
    </row>
    <row r="643" customFormat="false" ht="15.75" hidden="false" customHeight="false" outlineLevel="0" collapsed="false">
      <c r="A643" s="168"/>
      <c r="B643" s="168"/>
      <c r="C643" s="168"/>
      <c r="D643" s="168"/>
      <c r="E643" s="168"/>
      <c r="F643" s="168"/>
      <c r="G643" s="168"/>
      <c r="H643" s="168"/>
      <c r="I643" s="168"/>
      <c r="J643" s="168"/>
      <c r="K643" s="168"/>
      <c r="L643" s="168"/>
      <c r="M643" s="168"/>
      <c r="N643" s="168"/>
      <c r="O643" s="168"/>
      <c r="P643" s="168"/>
      <c r="Q643" s="168"/>
      <c r="R643" s="168"/>
      <c r="S643" s="168"/>
      <c r="T643" s="168"/>
      <c r="U643" s="168"/>
      <c r="V643" s="168"/>
      <c r="W643" s="168"/>
      <c r="X643" s="168"/>
      <c r="Y643" s="168"/>
      <c r="Z643" s="168"/>
    </row>
    <row r="644" customFormat="false" ht="15.75" hidden="false" customHeight="false" outlineLevel="0" collapsed="false">
      <c r="A644" s="168"/>
      <c r="B644" s="168"/>
      <c r="C644" s="168"/>
      <c r="D644" s="168"/>
      <c r="E644" s="168"/>
      <c r="F644" s="168"/>
      <c r="G644" s="168"/>
      <c r="H644" s="168"/>
      <c r="I644" s="168"/>
      <c r="J644" s="168"/>
      <c r="K644" s="168"/>
      <c r="L644" s="168"/>
      <c r="M644" s="168"/>
      <c r="N644" s="168"/>
      <c r="O644" s="168"/>
      <c r="P644" s="168"/>
      <c r="Q644" s="168"/>
      <c r="R644" s="168"/>
      <c r="S644" s="168"/>
      <c r="T644" s="168"/>
      <c r="U644" s="168"/>
      <c r="V644" s="168"/>
      <c r="W644" s="168"/>
      <c r="X644" s="168"/>
      <c r="Y644" s="168"/>
      <c r="Z644" s="168"/>
    </row>
    <row r="645" customFormat="false" ht="15.75" hidden="false" customHeight="false" outlineLevel="0" collapsed="false">
      <c r="A645" s="168"/>
      <c r="B645" s="168"/>
      <c r="C645" s="168"/>
      <c r="D645" s="168"/>
      <c r="E645" s="168"/>
      <c r="F645" s="168"/>
      <c r="G645" s="168"/>
      <c r="H645" s="168"/>
      <c r="I645" s="168"/>
      <c r="J645" s="168"/>
      <c r="K645" s="168"/>
      <c r="L645" s="168"/>
      <c r="M645" s="168"/>
      <c r="N645" s="168"/>
      <c r="O645" s="168"/>
      <c r="P645" s="168"/>
      <c r="Q645" s="168"/>
      <c r="R645" s="168"/>
      <c r="S645" s="168"/>
      <c r="T645" s="168"/>
      <c r="U645" s="168"/>
      <c r="V645" s="168"/>
      <c r="W645" s="168"/>
      <c r="X645" s="168"/>
      <c r="Y645" s="168"/>
      <c r="Z645" s="168"/>
    </row>
    <row r="646" customFormat="false" ht="15.75" hidden="false" customHeight="false" outlineLevel="0" collapsed="false">
      <c r="A646" s="168"/>
      <c r="B646" s="168"/>
      <c r="C646" s="168"/>
      <c r="D646" s="168"/>
      <c r="E646" s="168"/>
      <c r="F646" s="168"/>
      <c r="G646" s="168"/>
      <c r="H646" s="168"/>
      <c r="I646" s="168"/>
      <c r="J646" s="168"/>
      <c r="K646" s="168"/>
      <c r="L646" s="168"/>
      <c r="M646" s="168"/>
      <c r="N646" s="168"/>
      <c r="O646" s="168"/>
      <c r="P646" s="168"/>
      <c r="Q646" s="168"/>
      <c r="R646" s="168"/>
      <c r="S646" s="168"/>
      <c r="T646" s="168"/>
      <c r="U646" s="168"/>
      <c r="V646" s="168"/>
      <c r="W646" s="168"/>
      <c r="X646" s="168"/>
      <c r="Y646" s="168"/>
      <c r="Z646" s="168"/>
    </row>
    <row r="647" customFormat="false" ht="15.75" hidden="false" customHeight="false" outlineLevel="0" collapsed="false">
      <c r="A647" s="168"/>
      <c r="B647" s="168"/>
      <c r="C647" s="168"/>
      <c r="D647" s="168"/>
      <c r="E647" s="168"/>
      <c r="F647" s="168"/>
      <c r="G647" s="168"/>
      <c r="H647" s="168"/>
      <c r="I647" s="168"/>
      <c r="J647" s="168"/>
      <c r="K647" s="168"/>
      <c r="L647" s="168"/>
      <c r="M647" s="168"/>
      <c r="N647" s="168"/>
      <c r="O647" s="168"/>
      <c r="P647" s="168"/>
      <c r="Q647" s="168"/>
      <c r="R647" s="168"/>
      <c r="S647" s="168"/>
      <c r="T647" s="168"/>
      <c r="U647" s="168"/>
      <c r="V647" s="168"/>
      <c r="W647" s="168"/>
      <c r="X647" s="168"/>
      <c r="Y647" s="168"/>
      <c r="Z647" s="168"/>
    </row>
    <row r="648" customFormat="false" ht="15.75" hidden="false" customHeight="false" outlineLevel="0" collapsed="false">
      <c r="A648" s="168"/>
      <c r="B648" s="168"/>
      <c r="C648" s="168"/>
      <c r="D648" s="168"/>
      <c r="E648" s="168"/>
      <c r="F648" s="168"/>
      <c r="G648" s="168"/>
      <c r="H648" s="168"/>
      <c r="I648" s="168"/>
      <c r="J648" s="168"/>
      <c r="K648" s="168"/>
      <c r="L648" s="168"/>
      <c r="M648" s="168"/>
      <c r="N648" s="168"/>
      <c r="O648" s="168"/>
      <c r="P648" s="168"/>
      <c r="Q648" s="168"/>
      <c r="R648" s="168"/>
      <c r="S648" s="168"/>
      <c r="T648" s="168"/>
      <c r="U648" s="168"/>
      <c r="V648" s="168"/>
      <c r="W648" s="168"/>
      <c r="X648" s="168"/>
      <c r="Y648" s="168"/>
      <c r="Z648" s="168"/>
    </row>
    <row r="649" customFormat="false" ht="15.75" hidden="false" customHeight="false" outlineLevel="0" collapsed="false">
      <c r="A649" s="168"/>
      <c r="B649" s="168"/>
      <c r="C649" s="168"/>
      <c r="D649" s="168"/>
      <c r="E649" s="168"/>
      <c r="F649" s="168"/>
      <c r="G649" s="168"/>
      <c r="H649" s="168"/>
      <c r="I649" s="168"/>
      <c r="J649" s="168"/>
      <c r="K649" s="168"/>
      <c r="L649" s="168"/>
      <c r="M649" s="168"/>
      <c r="N649" s="168"/>
      <c r="O649" s="168"/>
      <c r="P649" s="168"/>
      <c r="Q649" s="168"/>
      <c r="R649" s="168"/>
      <c r="S649" s="168"/>
      <c r="T649" s="168"/>
      <c r="U649" s="168"/>
      <c r="V649" s="168"/>
      <c r="W649" s="168"/>
      <c r="X649" s="168"/>
      <c r="Y649" s="168"/>
      <c r="Z649" s="168"/>
    </row>
    <row r="650" customFormat="false" ht="15.75" hidden="false" customHeight="false" outlineLevel="0" collapsed="false">
      <c r="A650" s="168"/>
      <c r="B650" s="168"/>
      <c r="C650" s="168"/>
      <c r="D650" s="168"/>
      <c r="E650" s="168"/>
      <c r="F650" s="168"/>
      <c r="G650" s="168"/>
      <c r="H650" s="168"/>
      <c r="I650" s="168"/>
      <c r="J650" s="168"/>
      <c r="K650" s="168"/>
      <c r="L650" s="168"/>
      <c r="M650" s="168"/>
      <c r="N650" s="168"/>
      <c r="O650" s="168"/>
      <c r="P650" s="168"/>
      <c r="Q650" s="168"/>
      <c r="R650" s="168"/>
      <c r="S650" s="168"/>
      <c r="T650" s="168"/>
      <c r="U650" s="168"/>
      <c r="V650" s="168"/>
      <c r="W650" s="168"/>
      <c r="X650" s="168"/>
      <c r="Y650" s="168"/>
      <c r="Z650" s="168"/>
    </row>
    <row r="651" customFormat="false" ht="15.75" hidden="false" customHeight="false" outlineLevel="0" collapsed="false">
      <c r="A651" s="168"/>
      <c r="B651" s="168"/>
      <c r="C651" s="168"/>
      <c r="D651" s="168"/>
      <c r="E651" s="168"/>
      <c r="F651" s="168"/>
      <c r="G651" s="168"/>
      <c r="H651" s="168"/>
      <c r="I651" s="168"/>
      <c r="J651" s="168"/>
      <c r="K651" s="168"/>
      <c r="L651" s="168"/>
      <c r="M651" s="168"/>
      <c r="N651" s="168"/>
      <c r="O651" s="168"/>
      <c r="P651" s="168"/>
      <c r="Q651" s="168"/>
      <c r="R651" s="168"/>
      <c r="S651" s="168"/>
      <c r="T651" s="168"/>
      <c r="U651" s="168"/>
      <c r="V651" s="168"/>
      <c r="W651" s="168"/>
      <c r="X651" s="168"/>
      <c r="Y651" s="168"/>
      <c r="Z651" s="168"/>
    </row>
    <row r="652" customFormat="false" ht="15.75" hidden="false" customHeight="false" outlineLevel="0" collapsed="false">
      <c r="A652" s="168"/>
      <c r="B652" s="168"/>
      <c r="C652" s="168"/>
      <c r="D652" s="168"/>
      <c r="E652" s="168"/>
      <c r="F652" s="168"/>
      <c r="G652" s="168"/>
      <c r="H652" s="168"/>
      <c r="I652" s="168"/>
      <c r="J652" s="168"/>
      <c r="K652" s="168"/>
      <c r="L652" s="168"/>
      <c r="M652" s="168"/>
      <c r="N652" s="168"/>
      <c r="O652" s="168"/>
      <c r="P652" s="168"/>
      <c r="Q652" s="168"/>
      <c r="R652" s="168"/>
      <c r="S652" s="168"/>
      <c r="T652" s="168"/>
      <c r="U652" s="168"/>
      <c r="V652" s="168"/>
      <c r="W652" s="168"/>
      <c r="X652" s="168"/>
      <c r="Y652" s="168"/>
      <c r="Z652" s="168"/>
    </row>
    <row r="653" customFormat="false" ht="15.75" hidden="false" customHeight="false" outlineLevel="0" collapsed="false">
      <c r="A653" s="168"/>
      <c r="B653" s="168"/>
      <c r="C653" s="168"/>
      <c r="D653" s="168"/>
      <c r="E653" s="168"/>
      <c r="F653" s="168"/>
      <c r="G653" s="168"/>
      <c r="H653" s="168"/>
      <c r="I653" s="168"/>
      <c r="J653" s="168"/>
      <c r="K653" s="168"/>
      <c r="L653" s="168"/>
      <c r="M653" s="168"/>
      <c r="N653" s="168"/>
      <c r="O653" s="168"/>
      <c r="P653" s="168"/>
      <c r="Q653" s="168"/>
      <c r="R653" s="168"/>
      <c r="S653" s="168"/>
      <c r="T653" s="168"/>
      <c r="U653" s="168"/>
      <c r="V653" s="168"/>
      <c r="W653" s="168"/>
      <c r="X653" s="168"/>
      <c r="Y653" s="168"/>
      <c r="Z653" s="168"/>
    </row>
    <row r="654" customFormat="false" ht="15.75" hidden="false" customHeight="false" outlineLevel="0" collapsed="false">
      <c r="A654" s="168"/>
      <c r="B654" s="168"/>
      <c r="C654" s="168"/>
      <c r="D654" s="168"/>
      <c r="E654" s="168"/>
      <c r="F654" s="168"/>
      <c r="G654" s="168"/>
      <c r="H654" s="168"/>
      <c r="I654" s="168"/>
      <c r="J654" s="168"/>
      <c r="K654" s="168"/>
      <c r="L654" s="168"/>
      <c r="M654" s="168"/>
      <c r="N654" s="168"/>
      <c r="O654" s="168"/>
      <c r="P654" s="168"/>
      <c r="Q654" s="168"/>
      <c r="R654" s="168"/>
      <c r="S654" s="168"/>
      <c r="T654" s="168"/>
      <c r="U654" s="168"/>
      <c r="V654" s="168"/>
      <c r="W654" s="168"/>
      <c r="X654" s="168"/>
      <c r="Y654" s="168"/>
      <c r="Z654" s="168"/>
    </row>
    <row r="655" customFormat="false" ht="15.75" hidden="false" customHeight="false" outlineLevel="0" collapsed="false">
      <c r="A655" s="168"/>
      <c r="B655" s="168"/>
      <c r="C655" s="168"/>
      <c r="D655" s="168"/>
      <c r="E655" s="168"/>
      <c r="F655" s="168"/>
      <c r="G655" s="168"/>
      <c r="H655" s="168"/>
      <c r="I655" s="168"/>
      <c r="J655" s="168"/>
      <c r="K655" s="168"/>
      <c r="L655" s="168"/>
      <c r="M655" s="168"/>
      <c r="N655" s="168"/>
      <c r="O655" s="168"/>
      <c r="P655" s="168"/>
      <c r="Q655" s="168"/>
      <c r="R655" s="168"/>
      <c r="S655" s="168"/>
      <c r="T655" s="168"/>
      <c r="U655" s="168"/>
      <c r="V655" s="168"/>
      <c r="W655" s="168"/>
      <c r="X655" s="168"/>
      <c r="Y655" s="168"/>
      <c r="Z655" s="168"/>
    </row>
    <row r="656" customFormat="false" ht="15.75" hidden="false" customHeight="false" outlineLevel="0" collapsed="false">
      <c r="A656" s="168"/>
      <c r="B656" s="168"/>
      <c r="C656" s="168"/>
      <c r="D656" s="168"/>
      <c r="E656" s="168"/>
      <c r="F656" s="168"/>
      <c r="G656" s="168"/>
      <c r="H656" s="168"/>
      <c r="I656" s="168"/>
      <c r="J656" s="168"/>
      <c r="K656" s="168"/>
      <c r="L656" s="168"/>
      <c r="M656" s="168"/>
      <c r="N656" s="168"/>
      <c r="O656" s="168"/>
      <c r="P656" s="168"/>
      <c r="Q656" s="168"/>
      <c r="R656" s="168"/>
      <c r="S656" s="168"/>
      <c r="T656" s="168"/>
      <c r="U656" s="168"/>
      <c r="V656" s="168"/>
      <c r="W656" s="168"/>
      <c r="X656" s="168"/>
      <c r="Y656" s="168"/>
      <c r="Z656" s="168"/>
    </row>
    <row r="657" customFormat="false" ht="15.75" hidden="false" customHeight="false" outlineLevel="0" collapsed="false">
      <c r="A657" s="168"/>
      <c r="B657" s="168"/>
      <c r="C657" s="168"/>
      <c r="D657" s="168"/>
      <c r="E657" s="168"/>
      <c r="F657" s="168"/>
      <c r="G657" s="168"/>
      <c r="H657" s="168"/>
      <c r="I657" s="168"/>
      <c r="J657" s="168"/>
      <c r="K657" s="168"/>
      <c r="L657" s="168"/>
      <c r="M657" s="168"/>
      <c r="N657" s="168"/>
      <c r="O657" s="168"/>
      <c r="P657" s="168"/>
      <c r="Q657" s="168"/>
      <c r="R657" s="168"/>
      <c r="S657" s="168"/>
      <c r="T657" s="168"/>
      <c r="U657" s="168"/>
      <c r="V657" s="168"/>
      <c r="W657" s="168"/>
      <c r="X657" s="168"/>
      <c r="Y657" s="168"/>
      <c r="Z657" s="168"/>
    </row>
    <row r="658" customFormat="false" ht="15.75" hidden="false" customHeight="false" outlineLevel="0" collapsed="false">
      <c r="A658" s="168"/>
      <c r="B658" s="168"/>
      <c r="C658" s="168"/>
      <c r="D658" s="168"/>
      <c r="E658" s="168"/>
      <c r="F658" s="168"/>
      <c r="G658" s="168"/>
      <c r="H658" s="168"/>
      <c r="I658" s="168"/>
      <c r="J658" s="168"/>
      <c r="K658" s="168"/>
      <c r="L658" s="168"/>
      <c r="M658" s="168"/>
      <c r="N658" s="168"/>
      <c r="O658" s="168"/>
      <c r="P658" s="168"/>
      <c r="Q658" s="168"/>
      <c r="R658" s="168"/>
      <c r="S658" s="168"/>
      <c r="T658" s="168"/>
      <c r="U658" s="168"/>
      <c r="V658" s="168"/>
      <c r="W658" s="168"/>
      <c r="X658" s="168"/>
      <c r="Y658" s="168"/>
      <c r="Z658" s="168"/>
    </row>
    <row r="659" customFormat="false" ht="15.75" hidden="false" customHeight="false" outlineLevel="0" collapsed="false">
      <c r="A659" s="168"/>
      <c r="B659" s="168"/>
      <c r="C659" s="168"/>
      <c r="D659" s="168"/>
      <c r="E659" s="168"/>
      <c r="F659" s="168"/>
      <c r="G659" s="168"/>
      <c r="H659" s="168"/>
      <c r="I659" s="168"/>
      <c r="J659" s="168"/>
      <c r="K659" s="168"/>
      <c r="L659" s="168"/>
      <c r="M659" s="168"/>
      <c r="N659" s="168"/>
      <c r="O659" s="168"/>
      <c r="P659" s="168"/>
      <c r="Q659" s="168"/>
      <c r="R659" s="168"/>
      <c r="S659" s="168"/>
      <c r="T659" s="168"/>
      <c r="U659" s="168"/>
      <c r="V659" s="168"/>
      <c r="W659" s="168"/>
      <c r="X659" s="168"/>
      <c r="Y659" s="168"/>
      <c r="Z659" s="168"/>
    </row>
    <row r="660" customFormat="false" ht="15.75" hidden="false" customHeight="false" outlineLevel="0" collapsed="false">
      <c r="A660" s="168"/>
      <c r="B660" s="168"/>
      <c r="C660" s="168"/>
      <c r="D660" s="168"/>
      <c r="E660" s="168"/>
      <c r="F660" s="168"/>
      <c r="G660" s="168"/>
      <c r="H660" s="168"/>
      <c r="I660" s="168"/>
      <c r="J660" s="168"/>
      <c r="K660" s="168"/>
      <c r="L660" s="168"/>
      <c r="M660" s="168"/>
      <c r="N660" s="168"/>
      <c r="O660" s="168"/>
      <c r="P660" s="168"/>
      <c r="Q660" s="168"/>
      <c r="R660" s="168"/>
      <c r="S660" s="168"/>
      <c r="T660" s="168"/>
      <c r="U660" s="168"/>
      <c r="V660" s="168"/>
      <c r="W660" s="168"/>
      <c r="X660" s="168"/>
      <c r="Y660" s="168"/>
      <c r="Z660" s="168"/>
    </row>
    <row r="661" customFormat="false" ht="15.75" hidden="false" customHeight="false" outlineLevel="0" collapsed="false">
      <c r="A661" s="168"/>
      <c r="B661" s="168"/>
      <c r="C661" s="168"/>
      <c r="D661" s="168"/>
      <c r="E661" s="168"/>
      <c r="F661" s="168"/>
      <c r="G661" s="168"/>
      <c r="H661" s="168"/>
      <c r="I661" s="168"/>
      <c r="J661" s="168"/>
      <c r="K661" s="168"/>
      <c r="L661" s="168"/>
      <c r="M661" s="168"/>
      <c r="N661" s="168"/>
      <c r="O661" s="168"/>
      <c r="P661" s="168"/>
      <c r="Q661" s="168"/>
      <c r="R661" s="168"/>
      <c r="S661" s="168"/>
      <c r="T661" s="168"/>
      <c r="U661" s="168"/>
      <c r="V661" s="168"/>
      <c r="W661" s="168"/>
      <c r="X661" s="168"/>
      <c r="Y661" s="168"/>
      <c r="Z661" s="168"/>
    </row>
    <row r="662" customFormat="false" ht="15.75" hidden="false" customHeight="false" outlineLevel="0" collapsed="false">
      <c r="A662" s="168"/>
      <c r="B662" s="168"/>
      <c r="C662" s="168"/>
      <c r="D662" s="168"/>
      <c r="E662" s="168"/>
      <c r="F662" s="168"/>
      <c r="G662" s="168"/>
      <c r="H662" s="168"/>
      <c r="I662" s="168"/>
      <c r="J662" s="168"/>
      <c r="K662" s="168"/>
      <c r="L662" s="168"/>
      <c r="M662" s="168"/>
      <c r="N662" s="168"/>
      <c r="O662" s="168"/>
      <c r="P662" s="168"/>
      <c r="Q662" s="168"/>
      <c r="R662" s="168"/>
      <c r="S662" s="168"/>
      <c r="T662" s="168"/>
      <c r="U662" s="168"/>
      <c r="V662" s="168"/>
      <c r="W662" s="168"/>
      <c r="X662" s="168"/>
      <c r="Y662" s="168"/>
      <c r="Z662" s="168"/>
    </row>
    <row r="663" customFormat="false" ht="15.75" hidden="false" customHeight="false" outlineLevel="0" collapsed="false">
      <c r="A663" s="168"/>
      <c r="B663" s="168"/>
      <c r="C663" s="168"/>
      <c r="D663" s="168"/>
      <c r="E663" s="168"/>
      <c r="F663" s="168"/>
      <c r="G663" s="168"/>
      <c r="H663" s="168"/>
      <c r="I663" s="168"/>
      <c r="J663" s="168"/>
      <c r="K663" s="168"/>
      <c r="L663" s="168"/>
      <c r="M663" s="168"/>
      <c r="N663" s="168"/>
      <c r="O663" s="168"/>
      <c r="P663" s="168"/>
      <c r="Q663" s="168"/>
      <c r="R663" s="168"/>
      <c r="S663" s="168"/>
      <c r="T663" s="168"/>
      <c r="U663" s="168"/>
      <c r="V663" s="168"/>
      <c r="W663" s="168"/>
      <c r="X663" s="168"/>
      <c r="Y663" s="168"/>
      <c r="Z663" s="168"/>
    </row>
    <row r="664" customFormat="false" ht="15.75" hidden="false" customHeight="false" outlineLevel="0" collapsed="false">
      <c r="A664" s="168"/>
      <c r="B664" s="168"/>
      <c r="C664" s="168"/>
      <c r="D664" s="168"/>
      <c r="E664" s="168"/>
      <c r="F664" s="168"/>
      <c r="G664" s="168"/>
      <c r="H664" s="168"/>
      <c r="I664" s="168"/>
      <c r="J664" s="168"/>
      <c r="K664" s="168"/>
      <c r="L664" s="168"/>
      <c r="M664" s="168"/>
      <c r="N664" s="168"/>
      <c r="O664" s="168"/>
      <c r="P664" s="168"/>
      <c r="Q664" s="168"/>
      <c r="R664" s="168"/>
      <c r="S664" s="168"/>
      <c r="T664" s="168"/>
      <c r="U664" s="168"/>
      <c r="V664" s="168"/>
      <c r="W664" s="168"/>
      <c r="X664" s="168"/>
      <c r="Y664" s="168"/>
      <c r="Z664" s="168"/>
    </row>
    <row r="665" customFormat="false" ht="15.75" hidden="false" customHeight="false" outlineLevel="0" collapsed="false">
      <c r="A665" s="168"/>
      <c r="B665" s="168"/>
      <c r="C665" s="168"/>
      <c r="D665" s="168"/>
      <c r="E665" s="168"/>
      <c r="F665" s="168"/>
      <c r="G665" s="168"/>
      <c r="H665" s="168"/>
      <c r="I665" s="168"/>
      <c r="J665" s="168"/>
      <c r="K665" s="168"/>
      <c r="L665" s="168"/>
      <c r="M665" s="168"/>
      <c r="N665" s="168"/>
      <c r="O665" s="168"/>
      <c r="P665" s="168"/>
      <c r="Q665" s="168"/>
      <c r="R665" s="168"/>
      <c r="S665" s="168"/>
      <c r="T665" s="168"/>
      <c r="U665" s="168"/>
      <c r="V665" s="168"/>
      <c r="W665" s="168"/>
      <c r="X665" s="168"/>
      <c r="Y665" s="168"/>
      <c r="Z665" s="168"/>
    </row>
    <row r="666" customFormat="false" ht="15.75" hidden="false" customHeight="false" outlineLevel="0" collapsed="false">
      <c r="A666" s="168"/>
      <c r="B666" s="168"/>
      <c r="C666" s="168"/>
      <c r="D666" s="168"/>
      <c r="E666" s="168"/>
      <c r="F666" s="168"/>
      <c r="G666" s="168"/>
      <c r="H666" s="168"/>
      <c r="I666" s="168"/>
      <c r="J666" s="168"/>
      <c r="K666" s="168"/>
      <c r="L666" s="168"/>
      <c r="M666" s="168"/>
      <c r="N666" s="168"/>
      <c r="O666" s="168"/>
      <c r="P666" s="168"/>
      <c r="Q666" s="168"/>
      <c r="R666" s="168"/>
      <c r="S666" s="168"/>
      <c r="T666" s="168"/>
      <c r="U666" s="168"/>
      <c r="V666" s="168"/>
      <c r="W666" s="168"/>
      <c r="X666" s="168"/>
      <c r="Y666" s="168"/>
      <c r="Z666" s="168"/>
    </row>
    <row r="667" customFormat="false" ht="15.75" hidden="false" customHeight="false" outlineLevel="0" collapsed="false">
      <c r="A667" s="168"/>
      <c r="B667" s="168"/>
      <c r="C667" s="168"/>
      <c r="D667" s="168"/>
      <c r="E667" s="168"/>
      <c r="F667" s="168"/>
      <c r="G667" s="168"/>
      <c r="H667" s="168"/>
      <c r="I667" s="168"/>
      <c r="J667" s="168"/>
      <c r="K667" s="168"/>
      <c r="L667" s="168"/>
      <c r="M667" s="168"/>
      <c r="N667" s="168"/>
      <c r="O667" s="168"/>
      <c r="P667" s="168"/>
      <c r="Q667" s="168"/>
      <c r="R667" s="168"/>
      <c r="S667" s="168"/>
      <c r="T667" s="168"/>
      <c r="U667" s="168"/>
      <c r="V667" s="168"/>
      <c r="W667" s="168"/>
      <c r="X667" s="168"/>
      <c r="Y667" s="168"/>
      <c r="Z667" s="168"/>
    </row>
    <row r="668" customFormat="false" ht="15.75" hidden="false" customHeight="false" outlineLevel="0" collapsed="false">
      <c r="A668" s="168"/>
      <c r="B668" s="168"/>
      <c r="C668" s="168"/>
      <c r="D668" s="168"/>
      <c r="E668" s="168"/>
      <c r="F668" s="168"/>
      <c r="G668" s="168"/>
      <c r="H668" s="168"/>
      <c r="I668" s="168"/>
      <c r="J668" s="168"/>
      <c r="K668" s="168"/>
      <c r="L668" s="168"/>
      <c r="M668" s="168"/>
      <c r="N668" s="168"/>
      <c r="O668" s="168"/>
      <c r="P668" s="168"/>
      <c r="Q668" s="168"/>
      <c r="R668" s="168"/>
      <c r="S668" s="168"/>
      <c r="T668" s="168"/>
      <c r="U668" s="168"/>
      <c r="V668" s="168"/>
      <c r="W668" s="168"/>
      <c r="X668" s="168"/>
      <c r="Y668" s="168"/>
      <c r="Z668" s="168"/>
    </row>
    <row r="669" customFormat="false" ht="15.75" hidden="false" customHeight="false" outlineLevel="0" collapsed="false">
      <c r="A669" s="168"/>
      <c r="B669" s="168"/>
      <c r="C669" s="168"/>
      <c r="D669" s="168"/>
      <c r="E669" s="168"/>
      <c r="F669" s="168"/>
      <c r="G669" s="168"/>
      <c r="H669" s="168"/>
      <c r="I669" s="168"/>
      <c r="J669" s="168"/>
      <c r="K669" s="168"/>
      <c r="L669" s="168"/>
      <c r="M669" s="168"/>
      <c r="N669" s="168"/>
      <c r="O669" s="168"/>
      <c r="P669" s="168"/>
      <c r="Q669" s="168"/>
      <c r="R669" s="168"/>
      <c r="S669" s="168"/>
      <c r="T669" s="168"/>
      <c r="U669" s="168"/>
      <c r="V669" s="168"/>
      <c r="W669" s="168"/>
      <c r="X669" s="168"/>
      <c r="Y669" s="168"/>
      <c r="Z669" s="168"/>
    </row>
    <row r="670" customFormat="false" ht="15.75" hidden="false" customHeight="false" outlineLevel="0" collapsed="false">
      <c r="A670" s="168"/>
      <c r="B670" s="168"/>
      <c r="C670" s="168"/>
      <c r="D670" s="168"/>
      <c r="E670" s="168"/>
      <c r="F670" s="168"/>
      <c r="G670" s="168"/>
      <c r="H670" s="168"/>
      <c r="I670" s="168"/>
      <c r="J670" s="168"/>
      <c r="K670" s="168"/>
      <c r="L670" s="168"/>
      <c r="M670" s="168"/>
      <c r="N670" s="168"/>
      <c r="O670" s="168"/>
      <c r="P670" s="168"/>
      <c r="Q670" s="168"/>
      <c r="R670" s="168"/>
      <c r="S670" s="168"/>
      <c r="T670" s="168"/>
      <c r="U670" s="168"/>
      <c r="V670" s="168"/>
      <c r="W670" s="168"/>
      <c r="X670" s="168"/>
      <c r="Y670" s="168"/>
      <c r="Z670" s="168"/>
    </row>
    <row r="671" customFormat="false" ht="15.75" hidden="false" customHeight="false" outlineLevel="0" collapsed="false">
      <c r="A671" s="168"/>
      <c r="B671" s="168"/>
      <c r="C671" s="168"/>
      <c r="D671" s="168"/>
      <c r="E671" s="168"/>
      <c r="F671" s="168"/>
      <c r="G671" s="168"/>
      <c r="H671" s="168"/>
      <c r="I671" s="168"/>
      <c r="J671" s="168"/>
      <c r="K671" s="168"/>
      <c r="L671" s="168"/>
      <c r="M671" s="168"/>
      <c r="N671" s="168"/>
      <c r="O671" s="168"/>
      <c r="P671" s="168"/>
      <c r="Q671" s="168"/>
      <c r="R671" s="168"/>
      <c r="S671" s="168"/>
      <c r="T671" s="168"/>
      <c r="U671" s="168"/>
      <c r="V671" s="168"/>
      <c r="W671" s="168"/>
      <c r="X671" s="168"/>
      <c r="Y671" s="168"/>
      <c r="Z671" s="168"/>
    </row>
    <row r="672" customFormat="false" ht="15.75" hidden="false" customHeight="false" outlineLevel="0" collapsed="false">
      <c r="A672" s="168"/>
      <c r="B672" s="168"/>
      <c r="C672" s="168"/>
      <c r="D672" s="168"/>
      <c r="E672" s="168"/>
      <c r="F672" s="168"/>
      <c r="G672" s="168"/>
      <c r="H672" s="168"/>
      <c r="I672" s="168"/>
      <c r="J672" s="168"/>
      <c r="K672" s="168"/>
      <c r="L672" s="168"/>
      <c r="M672" s="168"/>
      <c r="N672" s="168"/>
      <c r="O672" s="168"/>
      <c r="P672" s="168"/>
      <c r="Q672" s="168"/>
      <c r="R672" s="168"/>
      <c r="S672" s="168"/>
      <c r="T672" s="168"/>
      <c r="U672" s="168"/>
      <c r="V672" s="168"/>
      <c r="W672" s="168"/>
      <c r="X672" s="168"/>
      <c r="Y672" s="168"/>
      <c r="Z672" s="168"/>
    </row>
    <row r="673" customFormat="false" ht="15.75" hidden="false" customHeight="false" outlineLevel="0" collapsed="false">
      <c r="A673" s="168"/>
      <c r="B673" s="168"/>
      <c r="C673" s="168"/>
      <c r="D673" s="168"/>
      <c r="E673" s="168"/>
      <c r="F673" s="168"/>
      <c r="G673" s="168"/>
      <c r="H673" s="168"/>
      <c r="I673" s="168"/>
      <c r="J673" s="168"/>
      <c r="K673" s="168"/>
      <c r="L673" s="168"/>
      <c r="M673" s="168"/>
      <c r="N673" s="168"/>
      <c r="O673" s="168"/>
      <c r="P673" s="168"/>
      <c r="Q673" s="168"/>
      <c r="R673" s="168"/>
      <c r="S673" s="168"/>
      <c r="T673" s="168"/>
      <c r="U673" s="168"/>
      <c r="V673" s="168"/>
      <c r="W673" s="168"/>
      <c r="X673" s="168"/>
      <c r="Y673" s="168"/>
      <c r="Z673" s="168"/>
    </row>
    <row r="674" customFormat="false" ht="15.75" hidden="false" customHeight="false" outlineLevel="0" collapsed="false">
      <c r="A674" s="168"/>
      <c r="B674" s="168"/>
      <c r="C674" s="168"/>
      <c r="D674" s="168"/>
      <c r="E674" s="168"/>
      <c r="F674" s="168"/>
      <c r="G674" s="168"/>
      <c r="H674" s="168"/>
      <c r="I674" s="168"/>
      <c r="J674" s="168"/>
      <c r="K674" s="168"/>
      <c r="L674" s="168"/>
      <c r="M674" s="168"/>
      <c r="N674" s="168"/>
      <c r="O674" s="168"/>
      <c r="P674" s="168"/>
      <c r="Q674" s="168"/>
      <c r="R674" s="168"/>
      <c r="S674" s="168"/>
      <c r="T674" s="168"/>
      <c r="U674" s="168"/>
      <c r="V674" s="168"/>
      <c r="W674" s="168"/>
      <c r="X674" s="168"/>
      <c r="Y674" s="168"/>
      <c r="Z674" s="168"/>
    </row>
    <row r="675" customFormat="false" ht="15.75" hidden="false" customHeight="false" outlineLevel="0" collapsed="false">
      <c r="A675" s="168"/>
      <c r="B675" s="168"/>
      <c r="C675" s="168"/>
      <c r="D675" s="168"/>
      <c r="E675" s="168"/>
      <c r="F675" s="168"/>
      <c r="G675" s="168"/>
      <c r="H675" s="168"/>
      <c r="I675" s="168"/>
      <c r="J675" s="168"/>
      <c r="K675" s="168"/>
      <c r="L675" s="168"/>
      <c r="M675" s="168"/>
      <c r="N675" s="168"/>
      <c r="O675" s="168"/>
      <c r="P675" s="168"/>
      <c r="Q675" s="168"/>
      <c r="R675" s="168"/>
      <c r="S675" s="168"/>
      <c r="T675" s="168"/>
      <c r="U675" s="168"/>
      <c r="V675" s="168"/>
      <c r="W675" s="168"/>
      <c r="X675" s="168"/>
      <c r="Y675" s="168"/>
      <c r="Z675" s="168"/>
    </row>
    <row r="676" customFormat="false" ht="15.75" hidden="false" customHeight="false" outlineLevel="0" collapsed="false">
      <c r="A676" s="168"/>
      <c r="B676" s="168"/>
      <c r="C676" s="168"/>
      <c r="D676" s="168"/>
      <c r="E676" s="168"/>
      <c r="F676" s="168"/>
      <c r="G676" s="168"/>
      <c r="H676" s="168"/>
      <c r="I676" s="168"/>
      <c r="J676" s="168"/>
      <c r="K676" s="168"/>
      <c r="L676" s="168"/>
      <c r="M676" s="168"/>
      <c r="N676" s="168"/>
      <c r="O676" s="168"/>
      <c r="P676" s="168"/>
      <c r="Q676" s="168"/>
      <c r="R676" s="168"/>
      <c r="S676" s="168"/>
      <c r="T676" s="168"/>
      <c r="U676" s="168"/>
      <c r="V676" s="168"/>
      <c r="W676" s="168"/>
      <c r="X676" s="168"/>
      <c r="Y676" s="168"/>
      <c r="Z676" s="168"/>
    </row>
    <row r="677" customFormat="false" ht="15.75" hidden="false" customHeight="false" outlineLevel="0" collapsed="false">
      <c r="A677" s="168"/>
      <c r="B677" s="168"/>
      <c r="C677" s="168"/>
      <c r="D677" s="168"/>
      <c r="E677" s="168"/>
      <c r="F677" s="168"/>
      <c r="G677" s="168"/>
      <c r="H677" s="168"/>
      <c r="I677" s="168"/>
      <c r="J677" s="168"/>
      <c r="K677" s="168"/>
      <c r="L677" s="168"/>
      <c r="M677" s="168"/>
      <c r="N677" s="168"/>
      <c r="O677" s="168"/>
      <c r="P677" s="168"/>
      <c r="Q677" s="168"/>
      <c r="R677" s="168"/>
      <c r="S677" s="168"/>
      <c r="T677" s="168"/>
      <c r="U677" s="168"/>
      <c r="V677" s="168"/>
      <c r="W677" s="168"/>
      <c r="X677" s="168"/>
      <c r="Y677" s="168"/>
      <c r="Z677" s="168"/>
    </row>
    <row r="678" customFormat="false" ht="15.75" hidden="false" customHeight="false" outlineLevel="0" collapsed="false">
      <c r="A678" s="168"/>
      <c r="B678" s="168"/>
      <c r="C678" s="168"/>
      <c r="D678" s="168"/>
      <c r="E678" s="168"/>
      <c r="F678" s="168"/>
      <c r="G678" s="168"/>
      <c r="H678" s="168"/>
      <c r="I678" s="168"/>
      <c r="J678" s="168"/>
      <c r="K678" s="168"/>
      <c r="L678" s="168"/>
      <c r="M678" s="168"/>
      <c r="N678" s="168"/>
      <c r="O678" s="168"/>
      <c r="P678" s="168"/>
      <c r="Q678" s="168"/>
      <c r="R678" s="168"/>
      <c r="S678" s="168"/>
      <c r="T678" s="168"/>
      <c r="U678" s="168"/>
      <c r="V678" s="168"/>
      <c r="W678" s="168"/>
      <c r="X678" s="168"/>
      <c r="Y678" s="168"/>
      <c r="Z678" s="168"/>
    </row>
    <row r="679" customFormat="false" ht="15.75" hidden="false" customHeight="false" outlineLevel="0" collapsed="false">
      <c r="A679" s="168"/>
      <c r="B679" s="168"/>
      <c r="C679" s="168"/>
      <c r="D679" s="168"/>
      <c r="E679" s="168"/>
      <c r="F679" s="168"/>
      <c r="G679" s="168"/>
      <c r="H679" s="168"/>
      <c r="I679" s="168"/>
      <c r="J679" s="168"/>
      <c r="K679" s="168"/>
      <c r="L679" s="168"/>
      <c r="M679" s="168"/>
      <c r="N679" s="168"/>
      <c r="O679" s="168"/>
      <c r="P679" s="168"/>
      <c r="Q679" s="168"/>
      <c r="R679" s="168"/>
      <c r="S679" s="168"/>
      <c r="T679" s="168"/>
      <c r="U679" s="168"/>
      <c r="V679" s="168"/>
      <c r="W679" s="168"/>
      <c r="X679" s="168"/>
      <c r="Y679" s="168"/>
      <c r="Z679" s="168"/>
    </row>
    <row r="680" customFormat="false" ht="15.75" hidden="false" customHeight="false" outlineLevel="0" collapsed="false">
      <c r="A680" s="168"/>
      <c r="B680" s="168"/>
      <c r="C680" s="168"/>
      <c r="D680" s="168"/>
      <c r="E680" s="168"/>
      <c r="F680" s="168"/>
      <c r="G680" s="168"/>
      <c r="H680" s="168"/>
      <c r="I680" s="168"/>
      <c r="J680" s="168"/>
      <c r="K680" s="168"/>
      <c r="L680" s="168"/>
      <c r="M680" s="168"/>
      <c r="N680" s="168"/>
      <c r="O680" s="168"/>
      <c r="P680" s="168"/>
      <c r="Q680" s="168"/>
      <c r="R680" s="168"/>
      <c r="S680" s="168"/>
      <c r="T680" s="168"/>
      <c r="U680" s="168"/>
      <c r="V680" s="168"/>
      <c r="W680" s="168"/>
      <c r="X680" s="168"/>
      <c r="Y680" s="168"/>
      <c r="Z680" s="168"/>
    </row>
    <row r="681" customFormat="false" ht="15.75" hidden="false" customHeight="false" outlineLevel="0" collapsed="false">
      <c r="A681" s="168"/>
      <c r="B681" s="168"/>
      <c r="C681" s="168"/>
      <c r="D681" s="168"/>
      <c r="E681" s="168"/>
      <c r="F681" s="168"/>
      <c r="G681" s="168"/>
      <c r="H681" s="168"/>
      <c r="I681" s="168"/>
      <c r="J681" s="168"/>
      <c r="K681" s="168"/>
      <c r="L681" s="168"/>
      <c r="M681" s="168"/>
      <c r="N681" s="168"/>
      <c r="O681" s="168"/>
      <c r="P681" s="168"/>
      <c r="Q681" s="168"/>
      <c r="R681" s="168"/>
      <c r="S681" s="168"/>
      <c r="T681" s="168"/>
      <c r="U681" s="168"/>
      <c r="V681" s="168"/>
      <c r="W681" s="168"/>
      <c r="X681" s="168"/>
      <c r="Y681" s="168"/>
      <c r="Z681" s="168"/>
    </row>
    <row r="682" customFormat="false" ht="15.75" hidden="false" customHeight="false" outlineLevel="0" collapsed="false">
      <c r="A682" s="168"/>
      <c r="B682" s="168"/>
      <c r="C682" s="168"/>
      <c r="D682" s="168"/>
      <c r="E682" s="168"/>
      <c r="F682" s="168"/>
      <c r="G682" s="168"/>
      <c r="H682" s="168"/>
      <c r="I682" s="168"/>
      <c r="J682" s="168"/>
      <c r="K682" s="168"/>
      <c r="L682" s="168"/>
      <c r="M682" s="168"/>
      <c r="N682" s="168"/>
      <c r="O682" s="168"/>
      <c r="P682" s="168"/>
      <c r="Q682" s="168"/>
      <c r="R682" s="168"/>
      <c r="S682" s="168"/>
      <c r="T682" s="168"/>
      <c r="U682" s="168"/>
      <c r="V682" s="168"/>
      <c r="W682" s="168"/>
      <c r="X682" s="168"/>
      <c r="Y682" s="168"/>
      <c r="Z682" s="168"/>
    </row>
    <row r="683" customFormat="false" ht="15.75" hidden="false" customHeight="false" outlineLevel="0" collapsed="false">
      <c r="A683" s="168"/>
      <c r="B683" s="168"/>
      <c r="C683" s="168"/>
      <c r="D683" s="168"/>
      <c r="E683" s="168"/>
      <c r="F683" s="168"/>
      <c r="G683" s="168"/>
      <c r="H683" s="168"/>
      <c r="I683" s="168"/>
      <c r="J683" s="168"/>
      <c r="K683" s="168"/>
      <c r="L683" s="168"/>
      <c r="M683" s="168"/>
      <c r="N683" s="168"/>
      <c r="O683" s="168"/>
      <c r="P683" s="168"/>
      <c r="Q683" s="168"/>
      <c r="R683" s="168"/>
      <c r="S683" s="168"/>
      <c r="T683" s="168"/>
      <c r="U683" s="168"/>
      <c r="V683" s="168"/>
      <c r="W683" s="168"/>
      <c r="X683" s="168"/>
      <c r="Y683" s="168"/>
      <c r="Z683" s="168"/>
    </row>
    <row r="684" customFormat="false" ht="15.75" hidden="false" customHeight="false" outlineLevel="0" collapsed="false">
      <c r="A684" s="168"/>
      <c r="B684" s="168"/>
      <c r="C684" s="168"/>
      <c r="D684" s="168"/>
      <c r="E684" s="168"/>
      <c r="F684" s="168"/>
      <c r="G684" s="168"/>
      <c r="H684" s="168"/>
      <c r="I684" s="168"/>
      <c r="J684" s="168"/>
      <c r="K684" s="168"/>
      <c r="L684" s="168"/>
      <c r="M684" s="168"/>
      <c r="N684" s="168"/>
      <c r="O684" s="168"/>
      <c r="P684" s="168"/>
      <c r="Q684" s="168"/>
      <c r="R684" s="168"/>
      <c r="S684" s="168"/>
      <c r="T684" s="168"/>
      <c r="U684" s="168"/>
      <c r="V684" s="168"/>
      <c r="W684" s="168"/>
      <c r="X684" s="168"/>
      <c r="Y684" s="168"/>
      <c r="Z684" s="168"/>
    </row>
    <row r="685" customFormat="false" ht="15.75" hidden="false" customHeight="false" outlineLevel="0" collapsed="false">
      <c r="A685" s="168"/>
      <c r="B685" s="168"/>
      <c r="C685" s="168"/>
      <c r="D685" s="168"/>
      <c r="E685" s="168"/>
      <c r="F685" s="168"/>
      <c r="G685" s="168"/>
      <c r="H685" s="168"/>
      <c r="I685" s="168"/>
      <c r="J685" s="168"/>
      <c r="K685" s="168"/>
      <c r="L685" s="168"/>
      <c r="M685" s="168"/>
      <c r="N685" s="168"/>
      <c r="O685" s="168"/>
      <c r="P685" s="168"/>
      <c r="Q685" s="168"/>
      <c r="R685" s="168"/>
      <c r="S685" s="168"/>
      <c r="T685" s="168"/>
      <c r="U685" s="168"/>
      <c r="V685" s="168"/>
      <c r="W685" s="168"/>
      <c r="X685" s="168"/>
      <c r="Y685" s="168"/>
      <c r="Z685" s="168"/>
    </row>
    <row r="686" customFormat="false" ht="15.75" hidden="false" customHeight="false" outlineLevel="0" collapsed="false">
      <c r="A686" s="168"/>
      <c r="B686" s="168"/>
      <c r="C686" s="168"/>
      <c r="D686" s="168"/>
      <c r="E686" s="168"/>
      <c r="F686" s="168"/>
      <c r="G686" s="168"/>
      <c r="H686" s="168"/>
      <c r="I686" s="168"/>
      <c r="J686" s="168"/>
      <c r="K686" s="168"/>
      <c r="L686" s="168"/>
      <c r="M686" s="168"/>
      <c r="N686" s="168"/>
      <c r="O686" s="168"/>
      <c r="P686" s="168"/>
      <c r="Q686" s="168"/>
      <c r="R686" s="168"/>
      <c r="S686" s="168"/>
      <c r="T686" s="168"/>
      <c r="U686" s="168"/>
      <c r="V686" s="168"/>
      <c r="W686" s="168"/>
      <c r="X686" s="168"/>
      <c r="Y686" s="168"/>
      <c r="Z686" s="168"/>
    </row>
    <row r="687" customFormat="false" ht="15.75" hidden="false" customHeight="false" outlineLevel="0" collapsed="false">
      <c r="A687" s="168"/>
      <c r="B687" s="168"/>
      <c r="C687" s="168"/>
      <c r="D687" s="168"/>
      <c r="E687" s="168"/>
      <c r="F687" s="168"/>
      <c r="G687" s="168"/>
      <c r="H687" s="168"/>
      <c r="I687" s="168"/>
      <c r="J687" s="168"/>
      <c r="K687" s="168"/>
      <c r="L687" s="168"/>
      <c r="M687" s="168"/>
      <c r="N687" s="168"/>
      <c r="O687" s="168"/>
      <c r="P687" s="168"/>
      <c r="Q687" s="168"/>
      <c r="R687" s="168"/>
      <c r="S687" s="168"/>
      <c r="T687" s="168"/>
      <c r="U687" s="168"/>
      <c r="V687" s="168"/>
      <c r="W687" s="168"/>
      <c r="X687" s="168"/>
      <c r="Y687" s="168"/>
      <c r="Z687" s="168"/>
    </row>
    <row r="688" customFormat="false" ht="15.75" hidden="false" customHeight="false" outlineLevel="0" collapsed="false">
      <c r="A688" s="168"/>
      <c r="B688" s="168"/>
      <c r="C688" s="168"/>
      <c r="D688" s="168"/>
      <c r="E688" s="168"/>
      <c r="F688" s="168"/>
      <c r="G688" s="168"/>
      <c r="H688" s="168"/>
      <c r="I688" s="168"/>
      <c r="J688" s="168"/>
      <c r="K688" s="168"/>
      <c r="L688" s="168"/>
      <c r="M688" s="168"/>
      <c r="N688" s="168"/>
      <c r="O688" s="168"/>
      <c r="P688" s="168"/>
      <c r="Q688" s="168"/>
      <c r="R688" s="168"/>
      <c r="S688" s="168"/>
      <c r="T688" s="168"/>
      <c r="U688" s="168"/>
      <c r="V688" s="168"/>
      <c r="W688" s="168"/>
      <c r="X688" s="168"/>
      <c r="Y688" s="168"/>
      <c r="Z688" s="168"/>
    </row>
    <row r="689" customFormat="false" ht="15.75" hidden="false" customHeight="false" outlineLevel="0" collapsed="false">
      <c r="A689" s="168"/>
      <c r="B689" s="168"/>
      <c r="C689" s="168"/>
      <c r="D689" s="168"/>
      <c r="E689" s="168"/>
      <c r="F689" s="168"/>
      <c r="G689" s="168"/>
      <c r="H689" s="168"/>
      <c r="I689" s="168"/>
      <c r="J689" s="168"/>
      <c r="K689" s="168"/>
      <c r="L689" s="168"/>
      <c r="M689" s="168"/>
      <c r="N689" s="168"/>
      <c r="O689" s="168"/>
      <c r="P689" s="168"/>
      <c r="Q689" s="168"/>
      <c r="R689" s="168"/>
      <c r="S689" s="168"/>
      <c r="T689" s="168"/>
      <c r="U689" s="168"/>
      <c r="V689" s="168"/>
      <c r="W689" s="168"/>
      <c r="X689" s="168"/>
      <c r="Y689" s="168"/>
      <c r="Z689" s="168"/>
    </row>
    <row r="690" customFormat="false" ht="15.75" hidden="false" customHeight="false" outlineLevel="0" collapsed="false">
      <c r="A690" s="168"/>
      <c r="B690" s="168"/>
      <c r="C690" s="168"/>
      <c r="D690" s="168"/>
      <c r="E690" s="168"/>
      <c r="F690" s="168"/>
      <c r="G690" s="168"/>
      <c r="H690" s="168"/>
      <c r="I690" s="168"/>
      <c r="J690" s="168"/>
      <c r="K690" s="168"/>
      <c r="L690" s="168"/>
      <c r="M690" s="168"/>
      <c r="N690" s="168"/>
      <c r="O690" s="168"/>
      <c r="P690" s="168"/>
      <c r="Q690" s="168"/>
      <c r="R690" s="168"/>
      <c r="S690" s="168"/>
      <c r="T690" s="168"/>
      <c r="U690" s="168"/>
      <c r="V690" s="168"/>
      <c r="W690" s="168"/>
      <c r="X690" s="168"/>
      <c r="Y690" s="168"/>
      <c r="Z690" s="168"/>
    </row>
    <row r="691" customFormat="false" ht="15.75" hidden="false" customHeight="false" outlineLevel="0" collapsed="false">
      <c r="A691" s="168"/>
      <c r="B691" s="168"/>
      <c r="C691" s="168"/>
      <c r="D691" s="168"/>
      <c r="E691" s="168"/>
      <c r="F691" s="168"/>
      <c r="G691" s="168"/>
      <c r="H691" s="168"/>
      <c r="I691" s="168"/>
      <c r="J691" s="168"/>
      <c r="K691" s="168"/>
      <c r="L691" s="168"/>
      <c r="M691" s="168"/>
      <c r="N691" s="168"/>
      <c r="O691" s="168"/>
      <c r="P691" s="168"/>
      <c r="Q691" s="168"/>
      <c r="R691" s="168"/>
      <c r="S691" s="168"/>
      <c r="T691" s="168"/>
      <c r="U691" s="168"/>
      <c r="V691" s="168"/>
      <c r="W691" s="168"/>
      <c r="X691" s="168"/>
      <c r="Y691" s="168"/>
      <c r="Z691" s="168"/>
    </row>
    <row r="692" customFormat="false" ht="15.75" hidden="false" customHeight="false" outlineLevel="0" collapsed="false">
      <c r="A692" s="168"/>
      <c r="B692" s="168"/>
      <c r="C692" s="168"/>
      <c r="D692" s="168"/>
      <c r="E692" s="168"/>
      <c r="F692" s="168"/>
      <c r="G692" s="168"/>
      <c r="H692" s="168"/>
      <c r="I692" s="168"/>
      <c r="J692" s="168"/>
      <c r="K692" s="168"/>
      <c r="L692" s="168"/>
      <c r="M692" s="168"/>
      <c r="N692" s="168"/>
      <c r="O692" s="168"/>
      <c r="P692" s="168"/>
      <c r="Q692" s="168"/>
      <c r="R692" s="168"/>
      <c r="S692" s="168"/>
      <c r="T692" s="168"/>
      <c r="U692" s="168"/>
      <c r="V692" s="168"/>
      <c r="W692" s="168"/>
      <c r="X692" s="168"/>
      <c r="Y692" s="168"/>
      <c r="Z692" s="168"/>
    </row>
    <row r="693" customFormat="false" ht="15.75" hidden="false" customHeight="false" outlineLevel="0" collapsed="false">
      <c r="A693" s="168"/>
      <c r="B693" s="168"/>
      <c r="C693" s="168"/>
      <c r="D693" s="168"/>
      <c r="E693" s="168"/>
      <c r="F693" s="168"/>
      <c r="G693" s="168"/>
      <c r="H693" s="168"/>
      <c r="I693" s="168"/>
      <c r="J693" s="168"/>
      <c r="K693" s="168"/>
      <c r="L693" s="168"/>
      <c r="M693" s="168"/>
      <c r="N693" s="168"/>
      <c r="O693" s="168"/>
      <c r="P693" s="168"/>
      <c r="Q693" s="168"/>
      <c r="R693" s="168"/>
      <c r="S693" s="168"/>
      <c r="T693" s="168"/>
      <c r="U693" s="168"/>
      <c r="V693" s="168"/>
      <c r="W693" s="168"/>
      <c r="X693" s="168"/>
      <c r="Y693" s="168"/>
      <c r="Z693" s="168"/>
    </row>
    <row r="694" customFormat="false" ht="15.75" hidden="false" customHeight="false" outlineLevel="0" collapsed="false">
      <c r="A694" s="168"/>
      <c r="B694" s="168"/>
      <c r="C694" s="168"/>
      <c r="D694" s="168"/>
      <c r="E694" s="168"/>
      <c r="F694" s="168"/>
      <c r="G694" s="168"/>
      <c r="H694" s="168"/>
      <c r="I694" s="168"/>
      <c r="J694" s="168"/>
      <c r="K694" s="168"/>
      <c r="L694" s="168"/>
      <c r="M694" s="168"/>
      <c r="N694" s="168"/>
      <c r="O694" s="168"/>
      <c r="P694" s="168"/>
      <c r="Q694" s="168"/>
      <c r="R694" s="168"/>
      <c r="S694" s="168"/>
      <c r="T694" s="168"/>
      <c r="U694" s="168"/>
      <c r="V694" s="168"/>
      <c r="W694" s="168"/>
      <c r="X694" s="168"/>
      <c r="Y694" s="168"/>
      <c r="Z694" s="168"/>
    </row>
    <row r="695" customFormat="false" ht="15.75" hidden="false" customHeight="false" outlineLevel="0" collapsed="false">
      <c r="A695" s="168"/>
      <c r="B695" s="168"/>
      <c r="C695" s="168"/>
      <c r="D695" s="168"/>
      <c r="E695" s="168"/>
      <c r="F695" s="168"/>
      <c r="G695" s="168"/>
      <c r="H695" s="168"/>
      <c r="I695" s="168"/>
      <c r="J695" s="168"/>
      <c r="K695" s="168"/>
      <c r="L695" s="168"/>
      <c r="M695" s="168"/>
      <c r="N695" s="168"/>
      <c r="O695" s="168"/>
      <c r="P695" s="168"/>
      <c r="Q695" s="168"/>
      <c r="R695" s="168"/>
      <c r="S695" s="168"/>
      <c r="T695" s="168"/>
      <c r="U695" s="168"/>
      <c r="V695" s="168"/>
      <c r="W695" s="168"/>
      <c r="X695" s="168"/>
      <c r="Y695" s="168"/>
      <c r="Z695" s="168"/>
    </row>
    <row r="696" customFormat="false" ht="15.75" hidden="false" customHeight="false" outlineLevel="0" collapsed="false">
      <c r="A696" s="168"/>
      <c r="B696" s="168"/>
      <c r="C696" s="168"/>
      <c r="D696" s="168"/>
      <c r="E696" s="168"/>
      <c r="F696" s="168"/>
      <c r="G696" s="168"/>
      <c r="H696" s="168"/>
      <c r="I696" s="168"/>
      <c r="J696" s="168"/>
      <c r="K696" s="168"/>
      <c r="L696" s="168"/>
      <c r="M696" s="168"/>
      <c r="N696" s="168"/>
      <c r="O696" s="168"/>
      <c r="P696" s="168"/>
      <c r="Q696" s="168"/>
      <c r="R696" s="168"/>
      <c r="S696" s="168"/>
      <c r="T696" s="168"/>
      <c r="U696" s="168"/>
      <c r="V696" s="168"/>
      <c r="W696" s="168"/>
      <c r="X696" s="168"/>
      <c r="Y696" s="168"/>
      <c r="Z696" s="168"/>
    </row>
    <row r="697" customFormat="false" ht="15.75" hidden="false" customHeight="false" outlineLevel="0" collapsed="false">
      <c r="A697" s="168"/>
      <c r="B697" s="168"/>
      <c r="C697" s="168"/>
      <c r="D697" s="168"/>
      <c r="E697" s="168"/>
      <c r="F697" s="168"/>
      <c r="G697" s="168"/>
      <c r="H697" s="168"/>
      <c r="I697" s="168"/>
      <c r="J697" s="168"/>
      <c r="K697" s="168"/>
      <c r="L697" s="168"/>
      <c r="M697" s="168"/>
      <c r="N697" s="168"/>
      <c r="O697" s="168"/>
      <c r="P697" s="168"/>
      <c r="Q697" s="168"/>
      <c r="R697" s="168"/>
      <c r="S697" s="168"/>
      <c r="T697" s="168"/>
      <c r="U697" s="168"/>
      <c r="V697" s="168"/>
      <c r="W697" s="168"/>
      <c r="X697" s="168"/>
      <c r="Y697" s="168"/>
      <c r="Z697" s="168"/>
    </row>
    <row r="698" customFormat="false" ht="15.75" hidden="false" customHeight="false" outlineLevel="0" collapsed="false">
      <c r="A698" s="168"/>
      <c r="B698" s="168"/>
      <c r="C698" s="168"/>
      <c r="D698" s="168"/>
      <c r="E698" s="168"/>
      <c r="F698" s="168"/>
      <c r="G698" s="168"/>
      <c r="H698" s="168"/>
      <c r="I698" s="168"/>
      <c r="J698" s="168"/>
      <c r="K698" s="168"/>
      <c r="L698" s="168"/>
      <c r="M698" s="168"/>
      <c r="N698" s="168"/>
      <c r="O698" s="168"/>
      <c r="P698" s="168"/>
      <c r="Q698" s="168"/>
      <c r="R698" s="168"/>
      <c r="S698" s="168"/>
      <c r="T698" s="168"/>
      <c r="U698" s="168"/>
      <c r="V698" s="168"/>
      <c r="W698" s="168"/>
      <c r="X698" s="168"/>
      <c r="Y698" s="168"/>
      <c r="Z698" s="168"/>
    </row>
    <row r="699" customFormat="false" ht="15.75" hidden="false" customHeight="false" outlineLevel="0" collapsed="false">
      <c r="A699" s="168"/>
      <c r="B699" s="168"/>
      <c r="C699" s="168"/>
      <c r="D699" s="168"/>
      <c r="E699" s="168"/>
      <c r="F699" s="168"/>
      <c r="G699" s="168"/>
      <c r="H699" s="168"/>
      <c r="I699" s="168"/>
      <c r="J699" s="168"/>
      <c r="K699" s="168"/>
      <c r="L699" s="168"/>
      <c r="M699" s="168"/>
      <c r="N699" s="168"/>
      <c r="O699" s="168"/>
      <c r="P699" s="168"/>
      <c r="Q699" s="168"/>
      <c r="R699" s="168"/>
      <c r="S699" s="168"/>
      <c r="T699" s="168"/>
      <c r="U699" s="168"/>
      <c r="V699" s="168"/>
      <c r="W699" s="168"/>
      <c r="X699" s="168"/>
      <c r="Y699" s="168"/>
      <c r="Z699" s="168"/>
    </row>
    <row r="700" customFormat="false" ht="15.75" hidden="false" customHeight="false" outlineLevel="0" collapsed="false">
      <c r="A700" s="168"/>
      <c r="B700" s="168"/>
      <c r="C700" s="168"/>
      <c r="D700" s="168"/>
      <c r="E700" s="168"/>
      <c r="F700" s="168"/>
      <c r="G700" s="168"/>
      <c r="H700" s="168"/>
      <c r="I700" s="168"/>
      <c r="J700" s="168"/>
      <c r="K700" s="168"/>
      <c r="L700" s="168"/>
      <c r="M700" s="168"/>
      <c r="N700" s="168"/>
      <c r="O700" s="168"/>
      <c r="P700" s="168"/>
      <c r="Q700" s="168"/>
      <c r="R700" s="168"/>
      <c r="S700" s="168"/>
      <c r="T700" s="168"/>
      <c r="U700" s="168"/>
      <c r="V700" s="168"/>
      <c r="W700" s="168"/>
      <c r="X700" s="168"/>
      <c r="Y700" s="168"/>
      <c r="Z700" s="168"/>
    </row>
    <row r="701" customFormat="false" ht="15.75" hidden="false" customHeight="false" outlineLevel="0" collapsed="false">
      <c r="A701" s="168"/>
      <c r="B701" s="168"/>
      <c r="C701" s="168"/>
      <c r="D701" s="168"/>
      <c r="E701" s="168"/>
      <c r="F701" s="168"/>
      <c r="G701" s="168"/>
      <c r="H701" s="168"/>
      <c r="I701" s="168"/>
      <c r="J701" s="168"/>
      <c r="K701" s="168"/>
      <c r="L701" s="168"/>
      <c r="M701" s="168"/>
      <c r="N701" s="168"/>
      <c r="O701" s="168"/>
      <c r="P701" s="168"/>
      <c r="Q701" s="168"/>
      <c r="R701" s="168"/>
      <c r="S701" s="168"/>
      <c r="T701" s="168"/>
      <c r="U701" s="168"/>
      <c r="V701" s="168"/>
      <c r="W701" s="168"/>
      <c r="X701" s="168"/>
      <c r="Y701" s="168"/>
      <c r="Z701" s="168"/>
    </row>
    <row r="702" customFormat="false" ht="15.75" hidden="false" customHeight="false" outlineLevel="0" collapsed="false">
      <c r="A702" s="168"/>
      <c r="B702" s="168"/>
      <c r="C702" s="168"/>
      <c r="D702" s="168"/>
      <c r="E702" s="168"/>
      <c r="F702" s="168"/>
      <c r="G702" s="168"/>
      <c r="H702" s="168"/>
      <c r="I702" s="168"/>
      <c r="J702" s="168"/>
      <c r="K702" s="168"/>
      <c r="L702" s="168"/>
      <c r="M702" s="168"/>
      <c r="N702" s="168"/>
      <c r="O702" s="168"/>
      <c r="P702" s="168"/>
      <c r="Q702" s="168"/>
      <c r="R702" s="168"/>
      <c r="S702" s="168"/>
      <c r="T702" s="168"/>
      <c r="U702" s="168"/>
      <c r="V702" s="168"/>
      <c r="W702" s="168"/>
      <c r="X702" s="168"/>
      <c r="Y702" s="168"/>
      <c r="Z702" s="168"/>
    </row>
    <row r="703" customFormat="false" ht="15.75" hidden="false" customHeight="false" outlineLevel="0" collapsed="false">
      <c r="A703" s="168"/>
      <c r="B703" s="168"/>
      <c r="C703" s="168"/>
      <c r="D703" s="168"/>
      <c r="E703" s="168"/>
      <c r="F703" s="168"/>
      <c r="G703" s="168"/>
      <c r="H703" s="168"/>
      <c r="I703" s="168"/>
      <c r="J703" s="168"/>
      <c r="K703" s="168"/>
      <c r="L703" s="168"/>
      <c r="M703" s="168"/>
      <c r="N703" s="168"/>
      <c r="O703" s="168"/>
      <c r="P703" s="168"/>
      <c r="Q703" s="168"/>
      <c r="R703" s="168"/>
      <c r="S703" s="168"/>
      <c r="T703" s="168"/>
      <c r="U703" s="168"/>
      <c r="V703" s="168"/>
      <c r="W703" s="168"/>
      <c r="X703" s="168"/>
      <c r="Y703" s="168"/>
      <c r="Z703" s="168"/>
    </row>
    <row r="704" customFormat="false" ht="15.75" hidden="false" customHeight="false" outlineLevel="0" collapsed="false">
      <c r="A704" s="168"/>
      <c r="B704" s="168"/>
      <c r="C704" s="168"/>
      <c r="D704" s="168"/>
      <c r="E704" s="168"/>
      <c r="F704" s="168"/>
      <c r="G704" s="168"/>
      <c r="H704" s="168"/>
      <c r="I704" s="168"/>
      <c r="J704" s="168"/>
      <c r="K704" s="168"/>
      <c r="L704" s="168"/>
      <c r="M704" s="168"/>
      <c r="N704" s="168"/>
      <c r="O704" s="168"/>
      <c r="P704" s="168"/>
      <c r="Q704" s="168"/>
      <c r="R704" s="168"/>
      <c r="S704" s="168"/>
      <c r="T704" s="168"/>
      <c r="U704" s="168"/>
      <c r="V704" s="168"/>
      <c r="W704" s="168"/>
      <c r="X704" s="168"/>
      <c r="Y704" s="168"/>
      <c r="Z704" s="168"/>
    </row>
    <row r="705" customFormat="false" ht="15.75" hidden="false" customHeight="false" outlineLevel="0" collapsed="false">
      <c r="A705" s="168"/>
      <c r="B705" s="168"/>
      <c r="C705" s="168"/>
      <c r="D705" s="168"/>
      <c r="E705" s="168"/>
      <c r="F705" s="168"/>
      <c r="G705" s="168"/>
      <c r="H705" s="168"/>
      <c r="I705" s="168"/>
      <c r="J705" s="168"/>
      <c r="K705" s="168"/>
      <c r="L705" s="168"/>
      <c r="M705" s="168"/>
      <c r="N705" s="168"/>
      <c r="O705" s="168"/>
      <c r="P705" s="168"/>
      <c r="Q705" s="168"/>
      <c r="R705" s="168"/>
      <c r="S705" s="168"/>
      <c r="T705" s="168"/>
      <c r="U705" s="168"/>
      <c r="V705" s="168"/>
      <c r="W705" s="168"/>
      <c r="X705" s="168"/>
      <c r="Y705" s="168"/>
      <c r="Z705" s="168"/>
    </row>
    <row r="706" customFormat="false" ht="15.75" hidden="false" customHeight="false" outlineLevel="0" collapsed="false">
      <c r="A706" s="168"/>
      <c r="B706" s="168"/>
      <c r="C706" s="168"/>
      <c r="D706" s="168"/>
      <c r="E706" s="168"/>
      <c r="F706" s="168"/>
      <c r="G706" s="168"/>
      <c r="H706" s="168"/>
      <c r="I706" s="168"/>
      <c r="J706" s="168"/>
      <c r="K706" s="168"/>
      <c r="L706" s="168"/>
      <c r="M706" s="168"/>
      <c r="N706" s="168"/>
      <c r="O706" s="168"/>
      <c r="P706" s="168"/>
      <c r="Q706" s="168"/>
      <c r="R706" s="168"/>
      <c r="S706" s="168"/>
      <c r="T706" s="168"/>
      <c r="U706" s="168"/>
      <c r="V706" s="168"/>
      <c r="W706" s="168"/>
      <c r="X706" s="168"/>
      <c r="Y706" s="168"/>
      <c r="Z706" s="168"/>
    </row>
    <row r="707" customFormat="false" ht="15.75" hidden="false" customHeight="false" outlineLevel="0" collapsed="false">
      <c r="A707" s="168"/>
      <c r="B707" s="168"/>
      <c r="C707" s="168"/>
      <c r="D707" s="168"/>
      <c r="E707" s="168"/>
      <c r="F707" s="168"/>
      <c r="G707" s="168"/>
      <c r="H707" s="168"/>
      <c r="I707" s="168"/>
      <c r="J707" s="168"/>
      <c r="K707" s="168"/>
      <c r="L707" s="168"/>
      <c r="M707" s="168"/>
      <c r="N707" s="168"/>
      <c r="O707" s="168"/>
      <c r="P707" s="168"/>
      <c r="Q707" s="168"/>
      <c r="R707" s="168"/>
      <c r="S707" s="168"/>
      <c r="T707" s="168"/>
      <c r="U707" s="168"/>
      <c r="V707" s="168"/>
      <c r="W707" s="168"/>
      <c r="X707" s="168"/>
      <c r="Y707" s="168"/>
      <c r="Z707" s="168"/>
    </row>
    <row r="708" customFormat="false" ht="15.75" hidden="false" customHeight="false" outlineLevel="0" collapsed="false">
      <c r="A708" s="168"/>
      <c r="B708" s="168"/>
      <c r="C708" s="168"/>
      <c r="D708" s="168"/>
      <c r="E708" s="168"/>
      <c r="F708" s="168"/>
      <c r="G708" s="168"/>
      <c r="H708" s="168"/>
      <c r="I708" s="168"/>
      <c r="J708" s="168"/>
      <c r="K708" s="168"/>
      <c r="L708" s="168"/>
      <c r="M708" s="168"/>
      <c r="N708" s="168"/>
      <c r="O708" s="168"/>
      <c r="P708" s="168"/>
      <c r="Q708" s="168"/>
      <c r="R708" s="168"/>
      <c r="S708" s="168"/>
      <c r="T708" s="168"/>
      <c r="U708" s="168"/>
      <c r="V708" s="168"/>
      <c r="W708" s="168"/>
      <c r="X708" s="168"/>
      <c r="Y708" s="168"/>
      <c r="Z708" s="168"/>
    </row>
    <row r="709" customFormat="false" ht="15.75" hidden="false" customHeight="false" outlineLevel="0" collapsed="false">
      <c r="A709" s="168"/>
      <c r="B709" s="168"/>
      <c r="C709" s="168"/>
      <c r="D709" s="168"/>
      <c r="E709" s="168"/>
      <c r="F709" s="168"/>
      <c r="G709" s="168"/>
      <c r="H709" s="168"/>
      <c r="I709" s="168"/>
      <c r="J709" s="168"/>
      <c r="K709" s="168"/>
      <c r="L709" s="168"/>
      <c r="M709" s="168"/>
      <c r="N709" s="168"/>
      <c r="O709" s="168"/>
      <c r="P709" s="168"/>
      <c r="Q709" s="168"/>
      <c r="R709" s="168"/>
      <c r="S709" s="168"/>
      <c r="T709" s="168"/>
      <c r="U709" s="168"/>
      <c r="V709" s="168"/>
      <c r="W709" s="168"/>
      <c r="X709" s="168"/>
      <c r="Y709" s="168"/>
      <c r="Z709" s="168"/>
    </row>
    <row r="710" customFormat="false" ht="15.75" hidden="false" customHeight="false" outlineLevel="0" collapsed="false">
      <c r="A710" s="168"/>
      <c r="B710" s="168"/>
      <c r="C710" s="168"/>
      <c r="D710" s="168"/>
      <c r="E710" s="168"/>
      <c r="F710" s="168"/>
      <c r="G710" s="168"/>
      <c r="H710" s="168"/>
      <c r="I710" s="168"/>
      <c r="J710" s="168"/>
      <c r="K710" s="168"/>
      <c r="L710" s="168"/>
      <c r="M710" s="168"/>
      <c r="N710" s="168"/>
      <c r="O710" s="168"/>
      <c r="P710" s="168"/>
      <c r="Q710" s="168"/>
      <c r="R710" s="168"/>
      <c r="S710" s="168"/>
      <c r="T710" s="168"/>
      <c r="U710" s="168"/>
      <c r="V710" s="168"/>
      <c r="W710" s="168"/>
      <c r="X710" s="168"/>
      <c r="Y710" s="168"/>
      <c r="Z710" s="168"/>
    </row>
    <row r="711" customFormat="false" ht="15.75" hidden="false" customHeight="false" outlineLevel="0" collapsed="false">
      <c r="A711" s="168"/>
      <c r="B711" s="168"/>
      <c r="C711" s="168"/>
      <c r="D711" s="168"/>
      <c r="E711" s="168"/>
      <c r="F711" s="168"/>
      <c r="G711" s="168"/>
      <c r="H711" s="168"/>
      <c r="I711" s="168"/>
      <c r="J711" s="168"/>
      <c r="K711" s="168"/>
      <c r="L711" s="168"/>
      <c r="M711" s="168"/>
      <c r="N711" s="168"/>
      <c r="O711" s="168"/>
      <c r="P711" s="168"/>
      <c r="Q711" s="168"/>
      <c r="R711" s="168"/>
      <c r="S711" s="168"/>
      <c r="T711" s="168"/>
      <c r="U711" s="168"/>
      <c r="V711" s="168"/>
      <c r="W711" s="168"/>
      <c r="X711" s="168"/>
      <c r="Y711" s="168"/>
      <c r="Z711" s="168"/>
    </row>
    <row r="712" customFormat="false" ht="15.75" hidden="false" customHeight="false" outlineLevel="0" collapsed="false">
      <c r="A712" s="168"/>
      <c r="B712" s="168"/>
      <c r="C712" s="168"/>
      <c r="D712" s="168"/>
      <c r="E712" s="168"/>
      <c r="F712" s="168"/>
      <c r="G712" s="168"/>
      <c r="H712" s="168"/>
      <c r="I712" s="168"/>
      <c r="J712" s="168"/>
      <c r="K712" s="168"/>
      <c r="L712" s="168"/>
      <c r="M712" s="168"/>
      <c r="N712" s="168"/>
      <c r="O712" s="168"/>
      <c r="P712" s="168"/>
      <c r="Q712" s="168"/>
      <c r="R712" s="168"/>
      <c r="S712" s="168"/>
      <c r="T712" s="168"/>
      <c r="U712" s="168"/>
      <c r="V712" s="168"/>
      <c r="W712" s="168"/>
      <c r="X712" s="168"/>
      <c r="Y712" s="168"/>
      <c r="Z712" s="168"/>
    </row>
    <row r="713" customFormat="false" ht="15.75" hidden="false" customHeight="false" outlineLevel="0" collapsed="false">
      <c r="A713" s="168"/>
      <c r="B713" s="168"/>
      <c r="C713" s="168"/>
      <c r="D713" s="168"/>
      <c r="E713" s="168"/>
      <c r="F713" s="168"/>
      <c r="G713" s="168"/>
      <c r="H713" s="168"/>
      <c r="I713" s="168"/>
      <c r="J713" s="168"/>
      <c r="K713" s="168"/>
      <c r="L713" s="168"/>
      <c r="M713" s="168"/>
      <c r="N713" s="168"/>
      <c r="O713" s="168"/>
      <c r="P713" s="168"/>
      <c r="Q713" s="168"/>
      <c r="R713" s="168"/>
      <c r="S713" s="168"/>
      <c r="T713" s="168"/>
      <c r="U713" s="168"/>
      <c r="V713" s="168"/>
      <c r="W713" s="168"/>
      <c r="X713" s="168"/>
      <c r="Y713" s="168"/>
      <c r="Z713" s="168"/>
    </row>
    <row r="714" customFormat="false" ht="15.75" hidden="false" customHeight="false" outlineLevel="0" collapsed="false">
      <c r="A714" s="168"/>
      <c r="B714" s="168"/>
      <c r="C714" s="168"/>
      <c r="D714" s="168"/>
      <c r="E714" s="168"/>
      <c r="F714" s="168"/>
      <c r="G714" s="168"/>
      <c r="H714" s="168"/>
      <c r="I714" s="168"/>
      <c r="J714" s="168"/>
      <c r="K714" s="168"/>
      <c r="L714" s="168"/>
      <c r="M714" s="168"/>
      <c r="N714" s="168"/>
      <c r="O714" s="168"/>
      <c r="P714" s="168"/>
      <c r="Q714" s="168"/>
      <c r="R714" s="168"/>
      <c r="S714" s="168"/>
      <c r="T714" s="168"/>
      <c r="U714" s="168"/>
      <c r="V714" s="168"/>
      <c r="W714" s="168"/>
      <c r="X714" s="168"/>
      <c r="Y714" s="168"/>
      <c r="Z714" s="168"/>
    </row>
    <row r="715" customFormat="false" ht="15.75" hidden="false" customHeight="false" outlineLevel="0" collapsed="false">
      <c r="A715" s="168"/>
      <c r="B715" s="168"/>
      <c r="C715" s="168"/>
      <c r="D715" s="168"/>
      <c r="E715" s="168"/>
      <c r="F715" s="168"/>
      <c r="G715" s="168"/>
      <c r="H715" s="168"/>
      <c r="I715" s="168"/>
      <c r="J715" s="168"/>
      <c r="K715" s="168"/>
      <c r="L715" s="168"/>
      <c r="M715" s="168"/>
      <c r="N715" s="168"/>
      <c r="O715" s="168"/>
      <c r="P715" s="168"/>
      <c r="Q715" s="168"/>
      <c r="R715" s="168"/>
      <c r="S715" s="168"/>
      <c r="T715" s="168"/>
      <c r="U715" s="168"/>
      <c r="V715" s="168"/>
      <c r="W715" s="168"/>
      <c r="X715" s="168"/>
      <c r="Y715" s="168"/>
      <c r="Z715" s="168"/>
    </row>
    <row r="716" customFormat="false" ht="15.75" hidden="false" customHeight="false" outlineLevel="0" collapsed="false">
      <c r="A716" s="168"/>
      <c r="B716" s="168"/>
      <c r="C716" s="168"/>
      <c r="D716" s="168"/>
      <c r="E716" s="168"/>
      <c r="F716" s="168"/>
      <c r="G716" s="168"/>
      <c r="H716" s="168"/>
      <c r="I716" s="168"/>
      <c r="J716" s="168"/>
      <c r="K716" s="168"/>
      <c r="L716" s="168"/>
      <c r="M716" s="168"/>
      <c r="N716" s="168"/>
      <c r="O716" s="168"/>
      <c r="P716" s="168"/>
      <c r="Q716" s="168"/>
      <c r="R716" s="168"/>
      <c r="S716" s="168"/>
      <c r="T716" s="168"/>
      <c r="U716" s="168"/>
      <c r="V716" s="168"/>
      <c r="W716" s="168"/>
      <c r="X716" s="168"/>
      <c r="Y716" s="168"/>
      <c r="Z716" s="168"/>
    </row>
    <row r="717" customFormat="false" ht="15.75" hidden="false" customHeight="false" outlineLevel="0" collapsed="false">
      <c r="A717" s="168"/>
      <c r="B717" s="168"/>
      <c r="C717" s="168"/>
      <c r="D717" s="168"/>
      <c r="E717" s="168"/>
      <c r="F717" s="168"/>
      <c r="G717" s="168"/>
      <c r="H717" s="168"/>
      <c r="I717" s="168"/>
      <c r="J717" s="168"/>
      <c r="K717" s="168"/>
      <c r="L717" s="168"/>
      <c r="M717" s="168"/>
      <c r="N717" s="168"/>
      <c r="O717" s="168"/>
      <c r="P717" s="168"/>
      <c r="Q717" s="168"/>
      <c r="R717" s="168"/>
      <c r="S717" s="168"/>
      <c r="T717" s="168"/>
      <c r="U717" s="168"/>
      <c r="V717" s="168"/>
      <c r="W717" s="168"/>
      <c r="X717" s="168"/>
      <c r="Y717" s="168"/>
      <c r="Z717" s="168"/>
    </row>
    <row r="718" customFormat="false" ht="15.75" hidden="false" customHeight="false" outlineLevel="0" collapsed="false">
      <c r="A718" s="168"/>
      <c r="B718" s="168"/>
      <c r="C718" s="168"/>
      <c r="D718" s="168"/>
      <c r="E718" s="168"/>
      <c r="F718" s="168"/>
      <c r="G718" s="168"/>
      <c r="H718" s="168"/>
      <c r="I718" s="168"/>
      <c r="J718" s="168"/>
      <c r="K718" s="168"/>
      <c r="L718" s="168"/>
      <c r="M718" s="168"/>
      <c r="N718" s="168"/>
      <c r="O718" s="168"/>
      <c r="P718" s="168"/>
      <c r="Q718" s="168"/>
      <c r="R718" s="168"/>
      <c r="S718" s="168"/>
      <c r="T718" s="168"/>
      <c r="U718" s="168"/>
      <c r="V718" s="168"/>
      <c r="W718" s="168"/>
      <c r="X718" s="168"/>
      <c r="Y718" s="168"/>
      <c r="Z718" s="168"/>
    </row>
    <row r="719" customFormat="false" ht="15.75" hidden="false" customHeight="false" outlineLevel="0" collapsed="false">
      <c r="A719" s="168"/>
      <c r="B719" s="168"/>
      <c r="C719" s="168"/>
      <c r="D719" s="168"/>
      <c r="E719" s="168"/>
      <c r="F719" s="168"/>
      <c r="G719" s="168"/>
      <c r="H719" s="168"/>
      <c r="I719" s="168"/>
      <c r="J719" s="168"/>
      <c r="K719" s="168"/>
      <c r="L719" s="168"/>
      <c r="M719" s="168"/>
      <c r="N719" s="168"/>
      <c r="O719" s="168"/>
      <c r="P719" s="168"/>
      <c r="Q719" s="168"/>
      <c r="R719" s="168"/>
      <c r="S719" s="168"/>
      <c r="T719" s="168"/>
      <c r="U719" s="168"/>
      <c r="V719" s="168"/>
      <c r="W719" s="168"/>
      <c r="X719" s="168"/>
      <c r="Y719" s="168"/>
      <c r="Z719" s="168"/>
    </row>
    <row r="720" customFormat="false" ht="15.75" hidden="false" customHeight="false" outlineLevel="0" collapsed="false">
      <c r="A720" s="168"/>
      <c r="B720" s="168"/>
      <c r="C720" s="168"/>
      <c r="D720" s="168"/>
      <c r="E720" s="168"/>
      <c r="F720" s="168"/>
      <c r="G720" s="168"/>
      <c r="H720" s="168"/>
      <c r="I720" s="168"/>
      <c r="J720" s="168"/>
      <c r="K720" s="168"/>
      <c r="L720" s="168"/>
      <c r="M720" s="168"/>
      <c r="N720" s="168"/>
      <c r="O720" s="168"/>
      <c r="P720" s="168"/>
      <c r="Q720" s="168"/>
      <c r="R720" s="168"/>
      <c r="S720" s="168"/>
      <c r="T720" s="168"/>
      <c r="U720" s="168"/>
      <c r="V720" s="168"/>
      <c r="W720" s="168"/>
      <c r="X720" s="168"/>
      <c r="Y720" s="168"/>
      <c r="Z720" s="168"/>
    </row>
    <row r="721" customFormat="false" ht="15.75" hidden="false" customHeight="false" outlineLevel="0" collapsed="false">
      <c r="A721" s="168"/>
      <c r="B721" s="168"/>
      <c r="C721" s="168"/>
      <c r="D721" s="168"/>
      <c r="E721" s="168"/>
      <c r="F721" s="168"/>
      <c r="G721" s="168"/>
      <c r="H721" s="168"/>
      <c r="I721" s="168"/>
      <c r="J721" s="168"/>
      <c r="K721" s="168"/>
      <c r="L721" s="168"/>
      <c r="M721" s="168"/>
      <c r="N721" s="168"/>
      <c r="O721" s="168"/>
      <c r="P721" s="168"/>
      <c r="Q721" s="168"/>
      <c r="R721" s="168"/>
      <c r="S721" s="168"/>
      <c r="T721" s="168"/>
      <c r="U721" s="168"/>
      <c r="V721" s="168"/>
      <c r="W721" s="168"/>
      <c r="X721" s="168"/>
      <c r="Y721" s="168"/>
      <c r="Z721" s="168"/>
    </row>
    <row r="722" customFormat="false" ht="15.75" hidden="false" customHeight="false" outlineLevel="0" collapsed="false">
      <c r="A722" s="168"/>
      <c r="B722" s="168"/>
      <c r="C722" s="168"/>
      <c r="D722" s="168"/>
      <c r="E722" s="168"/>
      <c r="F722" s="168"/>
      <c r="G722" s="168"/>
      <c r="H722" s="168"/>
      <c r="I722" s="168"/>
      <c r="J722" s="168"/>
      <c r="K722" s="168"/>
      <c r="L722" s="168"/>
      <c r="M722" s="168"/>
      <c r="N722" s="168"/>
      <c r="O722" s="168"/>
      <c r="P722" s="168"/>
      <c r="Q722" s="168"/>
      <c r="R722" s="168"/>
      <c r="S722" s="168"/>
      <c r="T722" s="168"/>
      <c r="U722" s="168"/>
      <c r="V722" s="168"/>
      <c r="W722" s="168"/>
      <c r="X722" s="168"/>
      <c r="Y722" s="168"/>
      <c r="Z722" s="168"/>
    </row>
    <row r="723" customFormat="false" ht="15.75" hidden="false" customHeight="false" outlineLevel="0" collapsed="false">
      <c r="A723" s="168"/>
      <c r="B723" s="168"/>
      <c r="C723" s="168"/>
      <c r="D723" s="168"/>
      <c r="E723" s="168"/>
      <c r="F723" s="168"/>
      <c r="G723" s="168"/>
      <c r="H723" s="168"/>
      <c r="I723" s="168"/>
      <c r="J723" s="168"/>
      <c r="K723" s="168"/>
      <c r="L723" s="168"/>
      <c r="M723" s="168"/>
      <c r="N723" s="168"/>
      <c r="O723" s="168"/>
      <c r="P723" s="168"/>
      <c r="Q723" s="168"/>
      <c r="R723" s="168"/>
      <c r="S723" s="168"/>
      <c r="T723" s="168"/>
      <c r="U723" s="168"/>
      <c r="V723" s="168"/>
      <c r="W723" s="168"/>
      <c r="X723" s="168"/>
      <c r="Y723" s="168"/>
      <c r="Z723" s="168"/>
    </row>
    <row r="724" customFormat="false" ht="15.75" hidden="false" customHeight="false" outlineLevel="0" collapsed="false">
      <c r="A724" s="168"/>
      <c r="B724" s="168"/>
      <c r="C724" s="168"/>
      <c r="D724" s="168"/>
      <c r="E724" s="168"/>
      <c r="F724" s="168"/>
      <c r="G724" s="168"/>
      <c r="H724" s="168"/>
      <c r="I724" s="168"/>
      <c r="J724" s="168"/>
      <c r="K724" s="168"/>
      <c r="L724" s="168"/>
      <c r="M724" s="168"/>
      <c r="N724" s="168"/>
      <c r="O724" s="168"/>
      <c r="P724" s="168"/>
      <c r="Q724" s="168"/>
      <c r="R724" s="168"/>
      <c r="S724" s="168"/>
      <c r="T724" s="168"/>
      <c r="U724" s="168"/>
      <c r="V724" s="168"/>
      <c r="W724" s="168"/>
      <c r="X724" s="168"/>
      <c r="Y724" s="168"/>
      <c r="Z724" s="168"/>
    </row>
    <row r="725" customFormat="false" ht="15.75" hidden="false" customHeight="false" outlineLevel="0" collapsed="false">
      <c r="A725" s="168"/>
      <c r="B725" s="168"/>
      <c r="C725" s="168"/>
      <c r="D725" s="168"/>
      <c r="E725" s="168"/>
      <c r="F725" s="168"/>
      <c r="G725" s="168"/>
      <c r="H725" s="168"/>
      <c r="I725" s="168"/>
      <c r="J725" s="168"/>
      <c r="K725" s="168"/>
      <c r="L725" s="168"/>
      <c r="M725" s="168"/>
      <c r="N725" s="168"/>
      <c r="O725" s="168"/>
      <c r="P725" s="168"/>
      <c r="Q725" s="168"/>
      <c r="R725" s="168"/>
      <c r="S725" s="168"/>
      <c r="T725" s="168"/>
      <c r="U725" s="168"/>
      <c r="V725" s="168"/>
      <c r="W725" s="168"/>
      <c r="X725" s="168"/>
      <c r="Y725" s="168"/>
      <c r="Z725" s="168"/>
    </row>
    <row r="726" customFormat="false" ht="15.75" hidden="false" customHeight="false" outlineLevel="0" collapsed="false">
      <c r="A726" s="168"/>
      <c r="B726" s="168"/>
      <c r="C726" s="168"/>
      <c r="D726" s="168"/>
      <c r="E726" s="168"/>
      <c r="F726" s="168"/>
      <c r="G726" s="168"/>
      <c r="H726" s="168"/>
      <c r="I726" s="168"/>
      <c r="J726" s="168"/>
      <c r="K726" s="168"/>
      <c r="L726" s="168"/>
      <c r="M726" s="168"/>
      <c r="N726" s="168"/>
      <c r="O726" s="168"/>
      <c r="P726" s="168"/>
      <c r="Q726" s="168"/>
      <c r="R726" s="168"/>
      <c r="S726" s="168"/>
      <c r="T726" s="168"/>
      <c r="U726" s="168"/>
      <c r="V726" s="168"/>
      <c r="W726" s="168"/>
      <c r="X726" s="168"/>
      <c r="Y726" s="168"/>
      <c r="Z726" s="168"/>
    </row>
    <row r="727" customFormat="false" ht="15.75" hidden="false" customHeight="false" outlineLevel="0" collapsed="false">
      <c r="A727" s="168"/>
      <c r="B727" s="168"/>
      <c r="C727" s="168"/>
      <c r="D727" s="168"/>
      <c r="E727" s="168"/>
      <c r="F727" s="168"/>
      <c r="G727" s="168"/>
      <c r="H727" s="168"/>
      <c r="I727" s="168"/>
      <c r="J727" s="168"/>
      <c r="K727" s="168"/>
      <c r="L727" s="168"/>
      <c r="M727" s="168"/>
      <c r="N727" s="168"/>
      <c r="O727" s="168"/>
      <c r="P727" s="168"/>
      <c r="Q727" s="168"/>
      <c r="R727" s="168"/>
      <c r="S727" s="168"/>
      <c r="T727" s="168"/>
      <c r="U727" s="168"/>
      <c r="V727" s="168"/>
      <c r="W727" s="168"/>
      <c r="X727" s="168"/>
      <c r="Y727" s="168"/>
      <c r="Z727" s="168"/>
    </row>
    <row r="728" customFormat="false" ht="15.75" hidden="false" customHeight="false" outlineLevel="0" collapsed="false">
      <c r="A728" s="168"/>
      <c r="B728" s="168"/>
      <c r="C728" s="168"/>
      <c r="D728" s="168"/>
      <c r="E728" s="168"/>
      <c r="F728" s="168"/>
      <c r="G728" s="168"/>
      <c r="H728" s="168"/>
      <c r="I728" s="168"/>
      <c r="J728" s="168"/>
      <c r="K728" s="168"/>
      <c r="L728" s="168"/>
      <c r="M728" s="168"/>
      <c r="N728" s="168"/>
      <c r="O728" s="168"/>
      <c r="P728" s="168"/>
      <c r="Q728" s="168"/>
      <c r="R728" s="168"/>
      <c r="S728" s="168"/>
      <c r="T728" s="168"/>
      <c r="U728" s="168"/>
      <c r="V728" s="168"/>
      <c r="W728" s="168"/>
      <c r="X728" s="168"/>
      <c r="Y728" s="168"/>
      <c r="Z728" s="168"/>
    </row>
    <row r="729" customFormat="false" ht="15.75" hidden="false" customHeight="false" outlineLevel="0" collapsed="false">
      <c r="A729" s="168"/>
      <c r="B729" s="168"/>
      <c r="C729" s="168"/>
      <c r="D729" s="168"/>
      <c r="E729" s="168"/>
      <c r="F729" s="168"/>
      <c r="G729" s="168"/>
      <c r="H729" s="168"/>
      <c r="I729" s="168"/>
      <c r="J729" s="168"/>
      <c r="K729" s="168"/>
      <c r="L729" s="168"/>
      <c r="M729" s="168"/>
      <c r="N729" s="168"/>
      <c r="O729" s="168"/>
      <c r="P729" s="168"/>
      <c r="Q729" s="168"/>
      <c r="R729" s="168"/>
      <c r="S729" s="168"/>
      <c r="T729" s="168"/>
      <c r="U729" s="168"/>
      <c r="V729" s="168"/>
      <c r="W729" s="168"/>
      <c r="X729" s="168"/>
      <c r="Y729" s="168"/>
      <c r="Z729" s="168"/>
    </row>
    <row r="730" customFormat="false" ht="15.75" hidden="false" customHeight="false" outlineLevel="0" collapsed="false">
      <c r="A730" s="168"/>
      <c r="B730" s="168"/>
      <c r="C730" s="168"/>
      <c r="D730" s="168"/>
      <c r="E730" s="168"/>
      <c r="F730" s="168"/>
      <c r="G730" s="168"/>
      <c r="H730" s="168"/>
      <c r="I730" s="168"/>
      <c r="J730" s="168"/>
      <c r="K730" s="168"/>
      <c r="L730" s="168"/>
      <c r="M730" s="168"/>
      <c r="N730" s="168"/>
      <c r="O730" s="168"/>
      <c r="P730" s="168"/>
      <c r="Q730" s="168"/>
      <c r="R730" s="168"/>
      <c r="S730" s="168"/>
      <c r="T730" s="168"/>
      <c r="U730" s="168"/>
      <c r="V730" s="168"/>
      <c r="W730" s="168"/>
      <c r="X730" s="168"/>
      <c r="Y730" s="168"/>
      <c r="Z730" s="168"/>
    </row>
    <row r="731" customFormat="false" ht="15.75" hidden="false" customHeight="false" outlineLevel="0" collapsed="false">
      <c r="A731" s="168"/>
      <c r="B731" s="168"/>
      <c r="C731" s="168"/>
      <c r="D731" s="168"/>
      <c r="E731" s="168"/>
      <c r="F731" s="168"/>
      <c r="G731" s="168"/>
      <c r="H731" s="168"/>
      <c r="I731" s="168"/>
      <c r="J731" s="168"/>
      <c r="K731" s="168"/>
      <c r="L731" s="168"/>
      <c r="M731" s="168"/>
      <c r="N731" s="168"/>
      <c r="O731" s="168"/>
      <c r="P731" s="168"/>
      <c r="Q731" s="168"/>
      <c r="R731" s="168"/>
      <c r="S731" s="168"/>
      <c r="T731" s="168"/>
      <c r="U731" s="168"/>
      <c r="V731" s="168"/>
      <c r="W731" s="168"/>
      <c r="X731" s="168"/>
      <c r="Y731" s="168"/>
      <c r="Z731" s="168"/>
    </row>
    <row r="732" customFormat="false" ht="15.75" hidden="false" customHeight="false" outlineLevel="0" collapsed="false">
      <c r="A732" s="168"/>
      <c r="B732" s="168"/>
      <c r="C732" s="168"/>
      <c r="D732" s="168"/>
      <c r="E732" s="168"/>
      <c r="F732" s="168"/>
      <c r="G732" s="168"/>
      <c r="H732" s="168"/>
      <c r="I732" s="168"/>
      <c r="J732" s="168"/>
      <c r="K732" s="168"/>
      <c r="L732" s="168"/>
      <c r="M732" s="168"/>
      <c r="N732" s="168"/>
      <c r="O732" s="168"/>
      <c r="P732" s="168"/>
      <c r="Q732" s="168"/>
      <c r="R732" s="168"/>
      <c r="S732" s="168"/>
      <c r="T732" s="168"/>
      <c r="U732" s="168"/>
      <c r="V732" s="168"/>
      <c r="W732" s="168"/>
      <c r="X732" s="168"/>
      <c r="Y732" s="168"/>
      <c r="Z732" s="168"/>
    </row>
    <row r="733" customFormat="false" ht="15.75" hidden="false" customHeight="false" outlineLevel="0" collapsed="false">
      <c r="A733" s="168"/>
      <c r="B733" s="168"/>
      <c r="C733" s="168"/>
      <c r="D733" s="168"/>
      <c r="E733" s="168"/>
      <c r="F733" s="168"/>
      <c r="G733" s="168"/>
      <c r="H733" s="168"/>
      <c r="I733" s="168"/>
      <c r="J733" s="168"/>
      <c r="K733" s="168"/>
      <c r="L733" s="168"/>
      <c r="M733" s="168"/>
      <c r="N733" s="168"/>
      <c r="O733" s="168"/>
      <c r="P733" s="168"/>
      <c r="Q733" s="168"/>
      <c r="R733" s="168"/>
      <c r="S733" s="168"/>
      <c r="T733" s="168"/>
      <c r="U733" s="168"/>
      <c r="V733" s="168"/>
      <c r="W733" s="168"/>
      <c r="X733" s="168"/>
      <c r="Y733" s="168"/>
      <c r="Z733" s="168"/>
    </row>
    <row r="734" customFormat="false" ht="15.75" hidden="false" customHeight="false" outlineLevel="0" collapsed="false">
      <c r="A734" s="168"/>
      <c r="B734" s="168"/>
      <c r="C734" s="168"/>
      <c r="D734" s="168"/>
      <c r="E734" s="168"/>
      <c r="F734" s="168"/>
      <c r="G734" s="168"/>
      <c r="H734" s="168"/>
      <c r="I734" s="168"/>
      <c r="J734" s="168"/>
      <c r="K734" s="168"/>
      <c r="L734" s="168"/>
      <c r="M734" s="168"/>
      <c r="N734" s="168"/>
      <c r="O734" s="168"/>
      <c r="P734" s="168"/>
      <c r="Q734" s="168"/>
      <c r="R734" s="168"/>
      <c r="S734" s="168"/>
      <c r="T734" s="168"/>
      <c r="U734" s="168"/>
      <c r="V734" s="168"/>
      <c r="W734" s="168"/>
      <c r="X734" s="168"/>
      <c r="Y734" s="168"/>
      <c r="Z734" s="168"/>
    </row>
    <row r="735" customFormat="false" ht="15.75" hidden="false" customHeight="false" outlineLevel="0" collapsed="false">
      <c r="A735" s="168"/>
      <c r="B735" s="168"/>
      <c r="C735" s="168"/>
      <c r="D735" s="168"/>
      <c r="E735" s="168"/>
      <c r="F735" s="168"/>
      <c r="G735" s="168"/>
      <c r="H735" s="168"/>
      <c r="I735" s="168"/>
      <c r="J735" s="168"/>
      <c r="K735" s="168"/>
      <c r="L735" s="168"/>
      <c r="M735" s="168"/>
      <c r="N735" s="168"/>
      <c r="O735" s="168"/>
      <c r="P735" s="168"/>
      <c r="Q735" s="168"/>
      <c r="R735" s="168"/>
      <c r="S735" s="168"/>
      <c r="T735" s="168"/>
      <c r="U735" s="168"/>
      <c r="V735" s="168"/>
      <c r="W735" s="168"/>
      <c r="X735" s="168"/>
      <c r="Y735" s="168"/>
      <c r="Z735" s="168"/>
    </row>
    <row r="736" customFormat="false" ht="15.75" hidden="false" customHeight="false" outlineLevel="0" collapsed="false">
      <c r="A736" s="168"/>
      <c r="B736" s="168"/>
      <c r="C736" s="168"/>
      <c r="D736" s="168"/>
      <c r="E736" s="168"/>
      <c r="F736" s="168"/>
      <c r="G736" s="168"/>
      <c r="H736" s="168"/>
      <c r="I736" s="168"/>
      <c r="J736" s="168"/>
      <c r="K736" s="168"/>
      <c r="L736" s="168"/>
      <c r="M736" s="168"/>
      <c r="N736" s="168"/>
      <c r="O736" s="168"/>
      <c r="P736" s="168"/>
      <c r="Q736" s="168"/>
      <c r="R736" s="168"/>
      <c r="S736" s="168"/>
      <c r="T736" s="168"/>
      <c r="U736" s="168"/>
      <c r="V736" s="168"/>
      <c r="W736" s="168"/>
      <c r="X736" s="168"/>
      <c r="Y736" s="168"/>
      <c r="Z736" s="168"/>
    </row>
    <row r="737" customFormat="false" ht="15.75" hidden="false" customHeight="false" outlineLevel="0" collapsed="false">
      <c r="A737" s="168"/>
      <c r="B737" s="168"/>
      <c r="C737" s="168"/>
      <c r="D737" s="168"/>
      <c r="E737" s="168"/>
      <c r="F737" s="168"/>
      <c r="G737" s="168"/>
      <c r="H737" s="168"/>
      <c r="I737" s="168"/>
      <c r="J737" s="168"/>
      <c r="K737" s="168"/>
      <c r="L737" s="168"/>
      <c r="M737" s="168"/>
      <c r="N737" s="168"/>
      <c r="O737" s="168"/>
      <c r="P737" s="168"/>
      <c r="Q737" s="168"/>
      <c r="R737" s="168"/>
      <c r="S737" s="168"/>
      <c r="T737" s="168"/>
      <c r="U737" s="168"/>
      <c r="V737" s="168"/>
      <c r="W737" s="168"/>
      <c r="X737" s="168"/>
      <c r="Y737" s="168"/>
      <c r="Z737" s="168"/>
    </row>
    <row r="738" customFormat="false" ht="15.75" hidden="false" customHeight="false" outlineLevel="0" collapsed="false">
      <c r="A738" s="168"/>
      <c r="B738" s="168"/>
      <c r="C738" s="168"/>
      <c r="D738" s="168"/>
      <c r="E738" s="168"/>
      <c r="F738" s="168"/>
      <c r="G738" s="168"/>
      <c r="H738" s="168"/>
      <c r="I738" s="168"/>
      <c r="J738" s="168"/>
      <c r="K738" s="168"/>
      <c r="L738" s="168"/>
      <c r="M738" s="168"/>
      <c r="N738" s="168"/>
      <c r="O738" s="168"/>
      <c r="P738" s="168"/>
      <c r="Q738" s="168"/>
      <c r="R738" s="168"/>
      <c r="S738" s="168"/>
      <c r="T738" s="168"/>
      <c r="U738" s="168"/>
      <c r="V738" s="168"/>
      <c r="W738" s="168"/>
      <c r="X738" s="168"/>
      <c r="Y738" s="168"/>
      <c r="Z738" s="168"/>
    </row>
    <row r="739" customFormat="false" ht="15.75" hidden="false" customHeight="false" outlineLevel="0" collapsed="false">
      <c r="A739" s="168"/>
      <c r="B739" s="168"/>
      <c r="C739" s="168"/>
      <c r="D739" s="168"/>
      <c r="E739" s="168"/>
      <c r="F739" s="168"/>
      <c r="G739" s="168"/>
      <c r="H739" s="168"/>
      <c r="I739" s="168"/>
      <c r="J739" s="168"/>
      <c r="K739" s="168"/>
      <c r="L739" s="168"/>
      <c r="M739" s="168"/>
      <c r="N739" s="168"/>
      <c r="O739" s="168"/>
      <c r="P739" s="168"/>
      <c r="Q739" s="168"/>
      <c r="R739" s="168"/>
      <c r="S739" s="168"/>
      <c r="T739" s="168"/>
      <c r="U739" s="168"/>
      <c r="V739" s="168"/>
      <c r="W739" s="168"/>
      <c r="X739" s="168"/>
      <c r="Y739" s="168"/>
      <c r="Z739" s="168"/>
    </row>
    <row r="740" customFormat="false" ht="15.75" hidden="false" customHeight="false" outlineLevel="0" collapsed="false">
      <c r="A740" s="168"/>
      <c r="B740" s="168"/>
      <c r="C740" s="168"/>
      <c r="D740" s="168"/>
      <c r="E740" s="168"/>
      <c r="F740" s="168"/>
      <c r="G740" s="168"/>
      <c r="H740" s="168"/>
      <c r="I740" s="168"/>
      <c r="J740" s="168"/>
      <c r="K740" s="168"/>
      <c r="L740" s="168"/>
      <c r="M740" s="168"/>
      <c r="N740" s="168"/>
      <c r="O740" s="168"/>
      <c r="P740" s="168"/>
      <c r="Q740" s="168"/>
      <c r="R740" s="168"/>
      <c r="S740" s="168"/>
      <c r="T740" s="168"/>
      <c r="U740" s="168"/>
      <c r="V740" s="168"/>
      <c r="W740" s="168"/>
      <c r="X740" s="168"/>
      <c r="Y740" s="168"/>
      <c r="Z740" s="168"/>
    </row>
    <row r="741" customFormat="false" ht="15.75" hidden="false" customHeight="false" outlineLevel="0" collapsed="false">
      <c r="A741" s="168"/>
      <c r="B741" s="168"/>
      <c r="C741" s="168"/>
      <c r="D741" s="168"/>
      <c r="E741" s="168"/>
      <c r="F741" s="168"/>
      <c r="G741" s="168"/>
      <c r="H741" s="168"/>
      <c r="I741" s="168"/>
      <c r="J741" s="168"/>
      <c r="K741" s="168"/>
      <c r="L741" s="168"/>
      <c r="M741" s="168"/>
      <c r="N741" s="168"/>
      <c r="O741" s="168"/>
      <c r="P741" s="168"/>
      <c r="Q741" s="168"/>
      <c r="R741" s="168"/>
      <c r="S741" s="168"/>
      <c r="T741" s="168"/>
      <c r="U741" s="168"/>
      <c r="V741" s="168"/>
      <c r="W741" s="168"/>
      <c r="X741" s="168"/>
      <c r="Y741" s="168"/>
      <c r="Z741" s="168"/>
    </row>
    <row r="742" customFormat="false" ht="15.75" hidden="false" customHeight="false" outlineLevel="0" collapsed="false">
      <c r="A742" s="168"/>
      <c r="B742" s="168"/>
      <c r="C742" s="168"/>
      <c r="D742" s="168"/>
      <c r="E742" s="168"/>
      <c r="F742" s="168"/>
      <c r="G742" s="168"/>
      <c r="H742" s="168"/>
      <c r="I742" s="168"/>
      <c r="J742" s="168"/>
      <c r="K742" s="168"/>
      <c r="L742" s="168"/>
      <c r="M742" s="168"/>
      <c r="N742" s="168"/>
      <c r="O742" s="168"/>
      <c r="P742" s="168"/>
      <c r="Q742" s="168"/>
      <c r="R742" s="168"/>
      <c r="S742" s="168"/>
      <c r="T742" s="168"/>
      <c r="U742" s="168"/>
      <c r="V742" s="168"/>
      <c r="W742" s="168"/>
      <c r="X742" s="168"/>
      <c r="Y742" s="168"/>
      <c r="Z742" s="168"/>
    </row>
    <row r="743" customFormat="false" ht="15.75" hidden="false" customHeight="false" outlineLevel="0" collapsed="false">
      <c r="A743" s="168"/>
      <c r="B743" s="168"/>
      <c r="C743" s="168"/>
      <c r="D743" s="168"/>
      <c r="E743" s="168"/>
      <c r="F743" s="168"/>
      <c r="G743" s="168"/>
      <c r="H743" s="168"/>
      <c r="I743" s="168"/>
      <c r="J743" s="168"/>
      <c r="K743" s="168"/>
      <c r="L743" s="168"/>
      <c r="M743" s="168"/>
      <c r="N743" s="168"/>
      <c r="O743" s="168"/>
      <c r="P743" s="168"/>
      <c r="Q743" s="168"/>
      <c r="R743" s="168"/>
      <c r="S743" s="168"/>
      <c r="T743" s="168"/>
      <c r="U743" s="168"/>
      <c r="V743" s="168"/>
      <c r="W743" s="168"/>
      <c r="X743" s="168"/>
      <c r="Y743" s="168"/>
      <c r="Z743" s="168"/>
    </row>
    <row r="744" customFormat="false" ht="15.75" hidden="false" customHeight="false" outlineLevel="0" collapsed="false">
      <c r="A744" s="168"/>
      <c r="B744" s="168"/>
      <c r="C744" s="168"/>
      <c r="D744" s="168"/>
      <c r="E744" s="168"/>
      <c r="F744" s="168"/>
      <c r="G744" s="168"/>
      <c r="H744" s="168"/>
      <c r="I744" s="168"/>
      <c r="J744" s="168"/>
      <c r="K744" s="168"/>
      <c r="L744" s="168"/>
      <c r="M744" s="168"/>
      <c r="N744" s="168"/>
      <c r="O744" s="168"/>
      <c r="P744" s="168"/>
      <c r="Q744" s="168"/>
      <c r="R744" s="168"/>
      <c r="S744" s="168"/>
      <c r="T744" s="168"/>
      <c r="U744" s="168"/>
      <c r="V744" s="168"/>
      <c r="W744" s="168"/>
      <c r="X744" s="168"/>
      <c r="Y744" s="168"/>
      <c r="Z744" s="168"/>
    </row>
    <row r="745" customFormat="false" ht="15.75" hidden="false" customHeight="false" outlineLevel="0" collapsed="false">
      <c r="A745" s="168"/>
      <c r="B745" s="168"/>
      <c r="C745" s="168"/>
      <c r="D745" s="168"/>
      <c r="E745" s="168"/>
      <c r="F745" s="168"/>
      <c r="G745" s="168"/>
      <c r="H745" s="168"/>
      <c r="I745" s="168"/>
      <c r="J745" s="168"/>
      <c r="K745" s="168"/>
      <c r="L745" s="168"/>
      <c r="M745" s="168"/>
      <c r="N745" s="168"/>
      <c r="O745" s="168"/>
      <c r="P745" s="168"/>
      <c r="Q745" s="168"/>
      <c r="R745" s="168"/>
      <c r="S745" s="168"/>
      <c r="T745" s="168"/>
      <c r="U745" s="168"/>
      <c r="V745" s="168"/>
      <c r="W745" s="168"/>
      <c r="X745" s="168"/>
      <c r="Y745" s="168"/>
      <c r="Z745" s="168"/>
    </row>
    <row r="746" customFormat="false" ht="15.75" hidden="false" customHeight="false" outlineLevel="0" collapsed="false">
      <c r="A746" s="168"/>
      <c r="B746" s="168"/>
      <c r="C746" s="168"/>
      <c r="D746" s="168"/>
      <c r="E746" s="168"/>
      <c r="F746" s="168"/>
      <c r="G746" s="168"/>
      <c r="H746" s="168"/>
      <c r="I746" s="168"/>
      <c r="J746" s="168"/>
      <c r="K746" s="168"/>
      <c r="L746" s="168"/>
      <c r="M746" s="168"/>
      <c r="N746" s="168"/>
      <c r="O746" s="168"/>
      <c r="P746" s="168"/>
      <c r="Q746" s="168"/>
      <c r="R746" s="168"/>
      <c r="S746" s="168"/>
      <c r="T746" s="168"/>
      <c r="U746" s="168"/>
      <c r="V746" s="168"/>
      <c r="W746" s="168"/>
      <c r="X746" s="168"/>
      <c r="Y746" s="168"/>
      <c r="Z746" s="168"/>
    </row>
    <row r="747" customFormat="false" ht="15.75" hidden="false" customHeight="false" outlineLevel="0" collapsed="false">
      <c r="A747" s="168"/>
      <c r="B747" s="168"/>
      <c r="C747" s="168"/>
      <c r="D747" s="168"/>
      <c r="E747" s="168"/>
      <c r="F747" s="168"/>
      <c r="G747" s="168"/>
      <c r="H747" s="168"/>
      <c r="I747" s="168"/>
      <c r="J747" s="168"/>
      <c r="K747" s="168"/>
      <c r="L747" s="168"/>
      <c r="M747" s="168"/>
      <c r="N747" s="168"/>
      <c r="O747" s="168"/>
      <c r="P747" s="168"/>
      <c r="Q747" s="168"/>
      <c r="R747" s="168"/>
      <c r="S747" s="168"/>
      <c r="T747" s="168"/>
      <c r="U747" s="168"/>
      <c r="V747" s="168"/>
      <c r="W747" s="168"/>
      <c r="X747" s="168"/>
      <c r="Y747" s="168"/>
      <c r="Z747" s="168"/>
    </row>
    <row r="748" customFormat="false" ht="15.75" hidden="false" customHeight="false" outlineLevel="0" collapsed="false">
      <c r="A748" s="168"/>
      <c r="B748" s="168"/>
      <c r="C748" s="168"/>
      <c r="D748" s="168"/>
      <c r="E748" s="168"/>
      <c r="F748" s="168"/>
      <c r="G748" s="168"/>
      <c r="H748" s="168"/>
      <c r="I748" s="168"/>
      <c r="J748" s="168"/>
      <c r="K748" s="168"/>
      <c r="L748" s="168"/>
      <c r="M748" s="168"/>
      <c r="N748" s="168"/>
      <c r="O748" s="168"/>
      <c r="P748" s="168"/>
      <c r="Q748" s="168"/>
      <c r="R748" s="168"/>
      <c r="S748" s="168"/>
      <c r="T748" s="168"/>
      <c r="U748" s="168"/>
      <c r="V748" s="168"/>
      <c r="W748" s="168"/>
      <c r="X748" s="168"/>
      <c r="Y748" s="168"/>
      <c r="Z748" s="168"/>
    </row>
    <row r="749" customFormat="false" ht="15.75" hidden="false" customHeight="false" outlineLevel="0" collapsed="false">
      <c r="A749" s="168"/>
      <c r="B749" s="168"/>
      <c r="C749" s="168"/>
      <c r="D749" s="168"/>
      <c r="E749" s="168"/>
      <c r="F749" s="168"/>
      <c r="G749" s="168"/>
      <c r="H749" s="168"/>
      <c r="I749" s="168"/>
      <c r="J749" s="168"/>
      <c r="K749" s="168"/>
      <c r="L749" s="168"/>
      <c r="M749" s="168"/>
      <c r="N749" s="168"/>
      <c r="O749" s="168"/>
      <c r="P749" s="168"/>
      <c r="Q749" s="168"/>
      <c r="R749" s="168"/>
      <c r="S749" s="168"/>
      <c r="T749" s="168"/>
      <c r="U749" s="168"/>
      <c r="V749" s="168"/>
      <c r="W749" s="168"/>
      <c r="X749" s="168"/>
      <c r="Y749" s="168"/>
      <c r="Z749" s="168"/>
    </row>
    <row r="750" customFormat="false" ht="15.75" hidden="false" customHeight="false" outlineLevel="0" collapsed="false">
      <c r="A750" s="168"/>
      <c r="B750" s="168"/>
      <c r="C750" s="168"/>
      <c r="D750" s="168"/>
      <c r="E750" s="168"/>
      <c r="F750" s="168"/>
      <c r="G750" s="168"/>
      <c r="H750" s="168"/>
      <c r="I750" s="168"/>
      <c r="J750" s="168"/>
      <c r="K750" s="168"/>
      <c r="L750" s="168"/>
      <c r="M750" s="168"/>
      <c r="N750" s="168"/>
      <c r="O750" s="168"/>
      <c r="P750" s="168"/>
      <c r="Q750" s="168"/>
      <c r="R750" s="168"/>
      <c r="S750" s="168"/>
      <c r="T750" s="168"/>
      <c r="U750" s="168"/>
      <c r="V750" s="168"/>
      <c r="W750" s="168"/>
      <c r="X750" s="168"/>
      <c r="Y750" s="168"/>
      <c r="Z750" s="168"/>
    </row>
    <row r="751" customFormat="false" ht="15.75" hidden="false" customHeight="false" outlineLevel="0" collapsed="false">
      <c r="A751" s="168"/>
      <c r="B751" s="168"/>
      <c r="C751" s="168"/>
      <c r="D751" s="168"/>
      <c r="E751" s="168"/>
      <c r="F751" s="168"/>
      <c r="G751" s="168"/>
      <c r="H751" s="168"/>
      <c r="I751" s="168"/>
      <c r="J751" s="168"/>
      <c r="K751" s="168"/>
      <c r="L751" s="168"/>
      <c r="M751" s="168"/>
      <c r="N751" s="168"/>
      <c r="O751" s="168"/>
      <c r="P751" s="168"/>
      <c r="Q751" s="168"/>
      <c r="R751" s="168"/>
      <c r="S751" s="168"/>
      <c r="T751" s="168"/>
      <c r="U751" s="168"/>
      <c r="V751" s="168"/>
      <c r="W751" s="168"/>
      <c r="X751" s="168"/>
      <c r="Y751" s="168"/>
      <c r="Z751" s="168"/>
    </row>
    <row r="752" customFormat="false" ht="15.75" hidden="false" customHeight="false" outlineLevel="0" collapsed="false">
      <c r="A752" s="168"/>
      <c r="B752" s="168"/>
      <c r="C752" s="168"/>
      <c r="D752" s="168"/>
      <c r="E752" s="168"/>
      <c r="F752" s="168"/>
      <c r="G752" s="168"/>
      <c r="H752" s="168"/>
      <c r="I752" s="168"/>
      <c r="J752" s="168"/>
      <c r="K752" s="168"/>
      <c r="L752" s="168"/>
      <c r="M752" s="168"/>
      <c r="N752" s="168"/>
      <c r="O752" s="168"/>
      <c r="P752" s="168"/>
      <c r="Q752" s="168"/>
      <c r="R752" s="168"/>
      <c r="S752" s="168"/>
      <c r="T752" s="168"/>
      <c r="U752" s="168"/>
      <c r="V752" s="168"/>
      <c r="W752" s="168"/>
      <c r="X752" s="168"/>
      <c r="Y752" s="168"/>
      <c r="Z752" s="168"/>
    </row>
    <row r="753" customFormat="false" ht="15.75" hidden="false" customHeight="false" outlineLevel="0" collapsed="false">
      <c r="A753" s="168"/>
      <c r="B753" s="168"/>
      <c r="C753" s="168"/>
      <c r="D753" s="168"/>
      <c r="E753" s="168"/>
      <c r="F753" s="168"/>
      <c r="G753" s="168"/>
      <c r="H753" s="168"/>
      <c r="I753" s="168"/>
      <c r="J753" s="168"/>
      <c r="K753" s="168"/>
      <c r="L753" s="168"/>
      <c r="M753" s="168"/>
      <c r="N753" s="168"/>
      <c r="O753" s="168"/>
      <c r="P753" s="168"/>
      <c r="Q753" s="168"/>
      <c r="R753" s="168"/>
      <c r="S753" s="168"/>
      <c r="T753" s="168"/>
      <c r="U753" s="168"/>
      <c r="V753" s="168"/>
      <c r="W753" s="168"/>
      <c r="X753" s="168"/>
      <c r="Y753" s="168"/>
      <c r="Z753" s="168"/>
    </row>
    <row r="754" customFormat="false" ht="15.75" hidden="false" customHeight="false" outlineLevel="0" collapsed="false">
      <c r="A754" s="168"/>
      <c r="B754" s="168"/>
      <c r="C754" s="168"/>
      <c r="D754" s="168"/>
      <c r="E754" s="168"/>
      <c r="F754" s="168"/>
      <c r="G754" s="168"/>
      <c r="H754" s="168"/>
      <c r="I754" s="168"/>
      <c r="J754" s="168"/>
      <c r="K754" s="168"/>
      <c r="L754" s="168"/>
      <c r="M754" s="168"/>
      <c r="N754" s="168"/>
      <c r="O754" s="168"/>
      <c r="P754" s="168"/>
      <c r="Q754" s="168"/>
      <c r="R754" s="168"/>
      <c r="S754" s="168"/>
      <c r="T754" s="168"/>
      <c r="U754" s="168"/>
      <c r="V754" s="168"/>
      <c r="W754" s="168"/>
      <c r="X754" s="168"/>
      <c r="Y754" s="168"/>
      <c r="Z754" s="168"/>
    </row>
    <row r="755" customFormat="false" ht="15.75" hidden="false" customHeight="false" outlineLevel="0" collapsed="false">
      <c r="A755" s="168"/>
      <c r="B755" s="168"/>
      <c r="C755" s="168"/>
      <c r="D755" s="168"/>
      <c r="E755" s="168"/>
      <c r="F755" s="168"/>
      <c r="G755" s="168"/>
      <c r="H755" s="168"/>
      <c r="I755" s="168"/>
      <c r="J755" s="168"/>
      <c r="K755" s="168"/>
      <c r="L755" s="168"/>
      <c r="M755" s="168"/>
      <c r="N755" s="168"/>
      <c r="O755" s="168"/>
      <c r="P755" s="168"/>
      <c r="Q755" s="168"/>
      <c r="R755" s="168"/>
      <c r="S755" s="168"/>
      <c r="T755" s="168"/>
      <c r="U755" s="168"/>
      <c r="V755" s="168"/>
      <c r="W755" s="168"/>
      <c r="X755" s="168"/>
      <c r="Y755" s="168"/>
      <c r="Z755" s="168"/>
    </row>
    <row r="756" customFormat="false" ht="15.75" hidden="false" customHeight="false" outlineLevel="0" collapsed="false">
      <c r="A756" s="168"/>
      <c r="B756" s="168"/>
      <c r="C756" s="168"/>
      <c r="D756" s="168"/>
      <c r="E756" s="168"/>
      <c r="F756" s="168"/>
      <c r="G756" s="168"/>
      <c r="H756" s="168"/>
      <c r="I756" s="168"/>
      <c r="J756" s="168"/>
      <c r="K756" s="168"/>
      <c r="L756" s="168"/>
      <c r="M756" s="168"/>
      <c r="N756" s="168"/>
      <c r="O756" s="168"/>
      <c r="P756" s="168"/>
      <c r="Q756" s="168"/>
      <c r="R756" s="168"/>
      <c r="S756" s="168"/>
      <c r="T756" s="168"/>
      <c r="U756" s="168"/>
      <c r="V756" s="168"/>
      <c r="W756" s="168"/>
      <c r="X756" s="168"/>
      <c r="Y756" s="168"/>
      <c r="Z756" s="168"/>
    </row>
    <row r="757" customFormat="false" ht="15.75" hidden="false" customHeight="false" outlineLevel="0" collapsed="false">
      <c r="A757" s="168"/>
      <c r="B757" s="168"/>
      <c r="C757" s="168"/>
      <c r="D757" s="168"/>
      <c r="E757" s="168"/>
      <c r="F757" s="168"/>
      <c r="G757" s="168"/>
      <c r="H757" s="168"/>
      <c r="I757" s="168"/>
      <c r="J757" s="168"/>
      <c r="K757" s="168"/>
      <c r="L757" s="168"/>
      <c r="M757" s="168"/>
      <c r="N757" s="168"/>
      <c r="O757" s="168"/>
      <c r="P757" s="168"/>
      <c r="Q757" s="168"/>
      <c r="R757" s="168"/>
      <c r="S757" s="168"/>
      <c r="T757" s="168"/>
      <c r="U757" s="168"/>
      <c r="V757" s="168"/>
      <c r="W757" s="168"/>
      <c r="X757" s="168"/>
      <c r="Y757" s="168"/>
      <c r="Z757" s="168"/>
    </row>
    <row r="758" customFormat="false" ht="15.75" hidden="false" customHeight="false" outlineLevel="0" collapsed="false">
      <c r="A758" s="168"/>
      <c r="B758" s="168"/>
      <c r="C758" s="168"/>
      <c r="D758" s="168"/>
      <c r="E758" s="168"/>
      <c r="F758" s="168"/>
      <c r="G758" s="168"/>
      <c r="H758" s="168"/>
      <c r="I758" s="168"/>
      <c r="J758" s="168"/>
      <c r="K758" s="168"/>
      <c r="L758" s="168"/>
      <c r="M758" s="168"/>
      <c r="N758" s="168"/>
      <c r="O758" s="168"/>
      <c r="P758" s="168"/>
      <c r="Q758" s="168"/>
      <c r="R758" s="168"/>
      <c r="S758" s="168"/>
      <c r="T758" s="168"/>
      <c r="U758" s="168"/>
      <c r="V758" s="168"/>
      <c r="W758" s="168"/>
      <c r="X758" s="168"/>
      <c r="Y758" s="168"/>
      <c r="Z758" s="168"/>
    </row>
    <row r="759" customFormat="false" ht="15.75" hidden="false" customHeight="false" outlineLevel="0" collapsed="false">
      <c r="A759" s="168"/>
      <c r="B759" s="168"/>
      <c r="C759" s="168"/>
      <c r="D759" s="168"/>
      <c r="E759" s="168"/>
      <c r="F759" s="168"/>
      <c r="G759" s="168"/>
      <c r="H759" s="168"/>
      <c r="I759" s="168"/>
      <c r="J759" s="168"/>
      <c r="K759" s="168"/>
      <c r="L759" s="168"/>
      <c r="M759" s="168"/>
      <c r="N759" s="168"/>
      <c r="O759" s="168"/>
      <c r="P759" s="168"/>
      <c r="Q759" s="168"/>
      <c r="R759" s="168"/>
      <c r="S759" s="168"/>
      <c r="T759" s="168"/>
      <c r="U759" s="168"/>
      <c r="V759" s="168"/>
      <c r="W759" s="168"/>
      <c r="X759" s="168"/>
      <c r="Y759" s="168"/>
      <c r="Z759" s="168"/>
    </row>
    <row r="760" customFormat="false" ht="15.75" hidden="false" customHeight="false" outlineLevel="0" collapsed="false">
      <c r="A760" s="168"/>
      <c r="B760" s="168"/>
      <c r="C760" s="168"/>
      <c r="D760" s="168"/>
      <c r="E760" s="168"/>
      <c r="F760" s="168"/>
      <c r="G760" s="168"/>
      <c r="H760" s="168"/>
      <c r="I760" s="168"/>
      <c r="J760" s="168"/>
      <c r="K760" s="168"/>
      <c r="L760" s="168"/>
      <c r="M760" s="168"/>
      <c r="N760" s="168"/>
      <c r="O760" s="168"/>
      <c r="P760" s="168"/>
      <c r="Q760" s="168"/>
      <c r="R760" s="168"/>
      <c r="S760" s="168"/>
      <c r="T760" s="168"/>
      <c r="U760" s="168"/>
      <c r="V760" s="168"/>
      <c r="W760" s="168"/>
      <c r="X760" s="168"/>
      <c r="Y760" s="168"/>
      <c r="Z760" s="168"/>
    </row>
    <row r="761" customFormat="false" ht="15.75" hidden="false" customHeight="false" outlineLevel="0" collapsed="false">
      <c r="A761" s="168"/>
      <c r="B761" s="168"/>
      <c r="C761" s="168"/>
      <c r="D761" s="168"/>
      <c r="E761" s="168"/>
      <c r="F761" s="168"/>
      <c r="G761" s="168"/>
      <c r="H761" s="168"/>
      <c r="I761" s="168"/>
      <c r="J761" s="168"/>
      <c r="K761" s="168"/>
      <c r="L761" s="168"/>
      <c r="M761" s="168"/>
      <c r="N761" s="168"/>
      <c r="O761" s="168"/>
      <c r="P761" s="168"/>
      <c r="Q761" s="168"/>
      <c r="R761" s="168"/>
      <c r="S761" s="168"/>
      <c r="T761" s="168"/>
      <c r="U761" s="168"/>
      <c r="V761" s="168"/>
      <c r="W761" s="168"/>
      <c r="X761" s="168"/>
      <c r="Y761" s="168"/>
      <c r="Z761" s="168"/>
    </row>
    <row r="762" customFormat="false" ht="15.75" hidden="false" customHeight="false" outlineLevel="0" collapsed="false">
      <c r="A762" s="168"/>
      <c r="B762" s="168"/>
      <c r="C762" s="168"/>
      <c r="D762" s="168"/>
      <c r="E762" s="168"/>
      <c r="F762" s="168"/>
      <c r="G762" s="168"/>
      <c r="H762" s="168"/>
      <c r="I762" s="168"/>
      <c r="J762" s="168"/>
      <c r="K762" s="168"/>
      <c r="L762" s="168"/>
      <c r="M762" s="168"/>
      <c r="N762" s="168"/>
      <c r="O762" s="168"/>
      <c r="P762" s="168"/>
      <c r="Q762" s="168"/>
      <c r="R762" s="168"/>
      <c r="S762" s="168"/>
      <c r="T762" s="168"/>
      <c r="U762" s="168"/>
      <c r="V762" s="168"/>
      <c r="W762" s="168"/>
      <c r="X762" s="168"/>
      <c r="Y762" s="168"/>
      <c r="Z762" s="168"/>
    </row>
    <row r="763" customFormat="false" ht="15.75" hidden="false" customHeight="false" outlineLevel="0" collapsed="false">
      <c r="A763" s="168"/>
      <c r="B763" s="168"/>
      <c r="C763" s="168"/>
      <c r="D763" s="168"/>
      <c r="E763" s="168"/>
      <c r="F763" s="168"/>
      <c r="G763" s="168"/>
      <c r="H763" s="168"/>
      <c r="I763" s="168"/>
      <c r="J763" s="168"/>
      <c r="K763" s="168"/>
      <c r="L763" s="168"/>
      <c r="M763" s="168"/>
      <c r="N763" s="168"/>
      <c r="O763" s="168"/>
      <c r="P763" s="168"/>
      <c r="Q763" s="168"/>
      <c r="R763" s="168"/>
      <c r="S763" s="168"/>
      <c r="T763" s="168"/>
      <c r="U763" s="168"/>
      <c r="V763" s="168"/>
      <c r="W763" s="168"/>
      <c r="X763" s="168"/>
      <c r="Y763" s="168"/>
      <c r="Z763" s="168"/>
    </row>
    <row r="764" customFormat="false" ht="15.75" hidden="false" customHeight="false" outlineLevel="0" collapsed="false">
      <c r="A764" s="168"/>
      <c r="B764" s="168"/>
      <c r="C764" s="168"/>
      <c r="D764" s="168"/>
      <c r="E764" s="168"/>
      <c r="F764" s="168"/>
      <c r="G764" s="168"/>
      <c r="H764" s="168"/>
      <c r="I764" s="168"/>
      <c r="J764" s="168"/>
      <c r="K764" s="168"/>
      <c r="L764" s="168"/>
      <c r="M764" s="168"/>
      <c r="N764" s="168"/>
      <c r="O764" s="168"/>
      <c r="P764" s="168"/>
      <c r="Q764" s="168"/>
      <c r="R764" s="168"/>
      <c r="S764" s="168"/>
      <c r="T764" s="168"/>
      <c r="U764" s="168"/>
      <c r="V764" s="168"/>
      <c r="W764" s="168"/>
      <c r="X764" s="168"/>
      <c r="Y764" s="168"/>
      <c r="Z764" s="168"/>
    </row>
    <row r="765" customFormat="false" ht="15.75" hidden="false" customHeight="false" outlineLevel="0" collapsed="false">
      <c r="A765" s="168"/>
      <c r="B765" s="168"/>
      <c r="C765" s="168"/>
      <c r="D765" s="168"/>
      <c r="E765" s="168"/>
      <c r="F765" s="168"/>
      <c r="G765" s="168"/>
      <c r="H765" s="168"/>
      <c r="I765" s="168"/>
      <c r="J765" s="168"/>
      <c r="K765" s="168"/>
      <c r="L765" s="168"/>
      <c r="M765" s="168"/>
      <c r="N765" s="168"/>
      <c r="O765" s="168"/>
      <c r="P765" s="168"/>
      <c r="Q765" s="168"/>
      <c r="R765" s="168"/>
      <c r="S765" s="168"/>
      <c r="T765" s="168"/>
      <c r="U765" s="168"/>
      <c r="V765" s="168"/>
      <c r="W765" s="168"/>
      <c r="X765" s="168"/>
      <c r="Y765" s="168"/>
      <c r="Z765" s="168"/>
    </row>
    <row r="766" customFormat="false" ht="15.75" hidden="false" customHeight="false" outlineLevel="0" collapsed="false">
      <c r="A766" s="168"/>
      <c r="B766" s="168"/>
      <c r="C766" s="168"/>
      <c r="D766" s="168"/>
      <c r="E766" s="168"/>
      <c r="F766" s="168"/>
      <c r="G766" s="168"/>
      <c r="H766" s="168"/>
      <c r="I766" s="168"/>
      <c r="J766" s="168"/>
      <c r="K766" s="168"/>
      <c r="L766" s="168"/>
      <c r="M766" s="168"/>
      <c r="N766" s="168"/>
      <c r="O766" s="168"/>
      <c r="P766" s="168"/>
      <c r="Q766" s="168"/>
      <c r="R766" s="168"/>
      <c r="S766" s="168"/>
      <c r="T766" s="168"/>
      <c r="U766" s="168"/>
      <c r="V766" s="168"/>
      <c r="W766" s="168"/>
      <c r="X766" s="168"/>
      <c r="Y766" s="168"/>
      <c r="Z766" s="168"/>
    </row>
    <row r="767" customFormat="false" ht="15.75" hidden="false" customHeight="false" outlineLevel="0" collapsed="false">
      <c r="A767" s="168"/>
      <c r="B767" s="168"/>
      <c r="C767" s="168"/>
      <c r="D767" s="168"/>
      <c r="E767" s="168"/>
      <c r="F767" s="168"/>
      <c r="G767" s="168"/>
      <c r="H767" s="168"/>
      <c r="I767" s="168"/>
      <c r="J767" s="168"/>
      <c r="K767" s="168"/>
      <c r="L767" s="168"/>
      <c r="M767" s="168"/>
      <c r="N767" s="168"/>
      <c r="O767" s="168"/>
      <c r="P767" s="168"/>
      <c r="Q767" s="168"/>
      <c r="R767" s="168"/>
      <c r="S767" s="168"/>
      <c r="T767" s="168"/>
      <c r="U767" s="168"/>
      <c r="V767" s="168"/>
      <c r="W767" s="168"/>
      <c r="X767" s="168"/>
      <c r="Y767" s="168"/>
      <c r="Z767" s="168"/>
    </row>
    <row r="768" customFormat="false" ht="15.75" hidden="false" customHeight="false" outlineLevel="0" collapsed="false">
      <c r="A768" s="168"/>
      <c r="B768" s="168"/>
      <c r="C768" s="168"/>
      <c r="D768" s="168"/>
      <c r="E768" s="168"/>
      <c r="F768" s="168"/>
      <c r="G768" s="168"/>
      <c r="H768" s="168"/>
      <c r="I768" s="168"/>
      <c r="J768" s="168"/>
      <c r="K768" s="168"/>
      <c r="L768" s="168"/>
      <c r="M768" s="168"/>
      <c r="N768" s="168"/>
      <c r="O768" s="168"/>
      <c r="P768" s="168"/>
      <c r="Q768" s="168"/>
      <c r="R768" s="168"/>
      <c r="S768" s="168"/>
      <c r="T768" s="168"/>
      <c r="U768" s="168"/>
      <c r="V768" s="168"/>
      <c r="W768" s="168"/>
      <c r="X768" s="168"/>
      <c r="Y768" s="168"/>
      <c r="Z768" s="168"/>
    </row>
    <row r="769" customFormat="false" ht="15.75" hidden="false" customHeight="false" outlineLevel="0" collapsed="false">
      <c r="A769" s="168"/>
      <c r="B769" s="168"/>
      <c r="C769" s="168"/>
      <c r="D769" s="168"/>
      <c r="E769" s="168"/>
      <c r="F769" s="168"/>
      <c r="G769" s="168"/>
      <c r="H769" s="168"/>
      <c r="I769" s="168"/>
      <c r="J769" s="168"/>
      <c r="K769" s="168"/>
      <c r="L769" s="168"/>
      <c r="M769" s="168"/>
      <c r="N769" s="168"/>
      <c r="O769" s="168"/>
      <c r="P769" s="168"/>
      <c r="Q769" s="168"/>
      <c r="R769" s="168"/>
      <c r="S769" s="168"/>
      <c r="T769" s="168"/>
      <c r="U769" s="168"/>
      <c r="V769" s="168"/>
      <c r="W769" s="168"/>
      <c r="X769" s="168"/>
      <c r="Y769" s="168"/>
      <c r="Z769" s="168"/>
    </row>
    <row r="770" customFormat="false" ht="15.75" hidden="false" customHeight="false" outlineLevel="0" collapsed="false">
      <c r="A770" s="168"/>
      <c r="B770" s="168"/>
      <c r="C770" s="168"/>
      <c r="D770" s="168"/>
      <c r="E770" s="168"/>
      <c r="F770" s="168"/>
      <c r="G770" s="168"/>
      <c r="H770" s="168"/>
      <c r="I770" s="168"/>
      <c r="J770" s="168"/>
      <c r="K770" s="168"/>
      <c r="L770" s="168"/>
      <c r="M770" s="168"/>
      <c r="N770" s="168"/>
      <c r="O770" s="168"/>
      <c r="P770" s="168"/>
      <c r="Q770" s="168"/>
      <c r="R770" s="168"/>
      <c r="S770" s="168"/>
      <c r="T770" s="168"/>
      <c r="U770" s="168"/>
      <c r="V770" s="168"/>
      <c r="W770" s="168"/>
      <c r="X770" s="168"/>
      <c r="Y770" s="168"/>
      <c r="Z770" s="168"/>
    </row>
    <row r="771" customFormat="false" ht="15.75" hidden="false" customHeight="false" outlineLevel="0" collapsed="false">
      <c r="A771" s="168"/>
      <c r="B771" s="168"/>
      <c r="C771" s="168"/>
      <c r="D771" s="168"/>
      <c r="E771" s="168"/>
      <c r="F771" s="168"/>
      <c r="G771" s="168"/>
      <c r="H771" s="168"/>
      <c r="I771" s="168"/>
      <c r="J771" s="168"/>
      <c r="K771" s="168"/>
      <c r="L771" s="168"/>
      <c r="M771" s="168"/>
      <c r="N771" s="168"/>
      <c r="O771" s="168"/>
      <c r="P771" s="168"/>
      <c r="Q771" s="168"/>
      <c r="R771" s="168"/>
      <c r="S771" s="168"/>
      <c r="T771" s="168"/>
      <c r="U771" s="168"/>
      <c r="V771" s="168"/>
      <c r="W771" s="168"/>
      <c r="X771" s="168"/>
      <c r="Y771" s="168"/>
      <c r="Z771" s="168"/>
    </row>
    <row r="772" customFormat="false" ht="15.75" hidden="false" customHeight="false" outlineLevel="0" collapsed="false">
      <c r="A772" s="168"/>
      <c r="B772" s="168"/>
      <c r="C772" s="168"/>
      <c r="D772" s="168"/>
      <c r="E772" s="168"/>
      <c r="F772" s="168"/>
      <c r="G772" s="168"/>
      <c r="H772" s="168"/>
      <c r="I772" s="168"/>
      <c r="J772" s="168"/>
      <c r="K772" s="168"/>
      <c r="L772" s="168"/>
      <c r="M772" s="168"/>
      <c r="N772" s="168"/>
      <c r="O772" s="168"/>
      <c r="P772" s="168"/>
      <c r="Q772" s="168"/>
      <c r="R772" s="168"/>
      <c r="S772" s="168"/>
      <c r="T772" s="168"/>
      <c r="U772" s="168"/>
      <c r="V772" s="168"/>
      <c r="W772" s="168"/>
      <c r="X772" s="168"/>
      <c r="Y772" s="168"/>
      <c r="Z772" s="168"/>
    </row>
    <row r="773" customFormat="false" ht="15.75" hidden="false" customHeight="false" outlineLevel="0" collapsed="false">
      <c r="A773" s="168"/>
      <c r="B773" s="168"/>
      <c r="C773" s="168"/>
      <c r="D773" s="168"/>
      <c r="E773" s="168"/>
      <c r="F773" s="168"/>
      <c r="G773" s="168"/>
      <c r="H773" s="168"/>
      <c r="I773" s="168"/>
      <c r="J773" s="168"/>
      <c r="K773" s="168"/>
      <c r="L773" s="168"/>
      <c r="M773" s="168"/>
      <c r="N773" s="168"/>
      <c r="O773" s="168"/>
      <c r="P773" s="168"/>
      <c r="Q773" s="168"/>
      <c r="R773" s="168"/>
      <c r="S773" s="168"/>
      <c r="T773" s="168"/>
      <c r="U773" s="168"/>
      <c r="V773" s="168"/>
      <c r="W773" s="168"/>
      <c r="X773" s="168"/>
      <c r="Y773" s="168"/>
      <c r="Z773" s="168"/>
    </row>
    <row r="774" customFormat="false" ht="15.75" hidden="false" customHeight="false" outlineLevel="0" collapsed="false">
      <c r="A774" s="168"/>
      <c r="B774" s="168"/>
      <c r="C774" s="168"/>
      <c r="D774" s="168"/>
      <c r="E774" s="168"/>
      <c r="F774" s="168"/>
      <c r="G774" s="168"/>
      <c r="H774" s="168"/>
      <c r="I774" s="168"/>
      <c r="J774" s="168"/>
      <c r="K774" s="168"/>
      <c r="L774" s="168"/>
      <c r="M774" s="168"/>
      <c r="N774" s="168"/>
      <c r="O774" s="168"/>
      <c r="P774" s="168"/>
      <c r="Q774" s="168"/>
      <c r="R774" s="168"/>
      <c r="S774" s="168"/>
      <c r="T774" s="168"/>
      <c r="U774" s="168"/>
      <c r="V774" s="168"/>
      <c r="W774" s="168"/>
      <c r="X774" s="168"/>
      <c r="Y774" s="168"/>
      <c r="Z774" s="168"/>
    </row>
    <row r="775" customFormat="false" ht="15.75" hidden="false" customHeight="false" outlineLevel="0" collapsed="false">
      <c r="A775" s="168"/>
      <c r="B775" s="168"/>
      <c r="C775" s="168"/>
      <c r="D775" s="168"/>
      <c r="E775" s="168"/>
      <c r="F775" s="168"/>
      <c r="G775" s="168"/>
      <c r="H775" s="168"/>
      <c r="I775" s="168"/>
      <c r="J775" s="168"/>
      <c r="K775" s="168"/>
      <c r="L775" s="168"/>
      <c r="M775" s="168"/>
      <c r="N775" s="168"/>
      <c r="O775" s="168"/>
      <c r="P775" s="168"/>
      <c r="Q775" s="168"/>
      <c r="R775" s="168"/>
      <c r="S775" s="168"/>
      <c r="T775" s="168"/>
      <c r="U775" s="168"/>
      <c r="V775" s="168"/>
      <c r="W775" s="168"/>
      <c r="X775" s="168"/>
      <c r="Y775" s="168"/>
      <c r="Z775" s="168"/>
    </row>
    <row r="776" customFormat="false" ht="15.75" hidden="false" customHeight="false" outlineLevel="0" collapsed="false">
      <c r="A776" s="168"/>
      <c r="B776" s="168"/>
      <c r="C776" s="168"/>
      <c r="D776" s="168"/>
      <c r="E776" s="168"/>
      <c r="F776" s="168"/>
      <c r="G776" s="168"/>
      <c r="H776" s="168"/>
      <c r="I776" s="168"/>
      <c r="J776" s="168"/>
      <c r="K776" s="168"/>
      <c r="L776" s="168"/>
      <c r="M776" s="168"/>
      <c r="N776" s="168"/>
      <c r="O776" s="168"/>
      <c r="P776" s="168"/>
      <c r="Q776" s="168"/>
      <c r="R776" s="168"/>
      <c r="S776" s="168"/>
      <c r="T776" s="168"/>
      <c r="U776" s="168"/>
      <c r="V776" s="168"/>
      <c r="W776" s="168"/>
      <c r="X776" s="168"/>
      <c r="Y776" s="168"/>
      <c r="Z776" s="168"/>
    </row>
    <row r="777" customFormat="false" ht="15.75" hidden="false" customHeight="false" outlineLevel="0" collapsed="false">
      <c r="A777" s="168"/>
      <c r="B777" s="168"/>
      <c r="C777" s="168"/>
      <c r="D777" s="168"/>
      <c r="E777" s="168"/>
      <c r="F777" s="168"/>
      <c r="G777" s="168"/>
      <c r="H777" s="168"/>
      <c r="I777" s="168"/>
      <c r="J777" s="168"/>
      <c r="K777" s="168"/>
      <c r="L777" s="168"/>
      <c r="M777" s="168"/>
      <c r="N777" s="168"/>
      <c r="O777" s="168"/>
      <c r="P777" s="168"/>
      <c r="Q777" s="168"/>
      <c r="R777" s="168"/>
      <c r="S777" s="168"/>
      <c r="T777" s="168"/>
      <c r="U777" s="168"/>
      <c r="V777" s="168"/>
      <c r="W777" s="168"/>
      <c r="X777" s="168"/>
      <c r="Y777" s="168"/>
      <c r="Z777" s="168"/>
    </row>
    <row r="778" customFormat="false" ht="15.75" hidden="false" customHeight="false" outlineLevel="0" collapsed="false">
      <c r="A778" s="168"/>
      <c r="B778" s="168"/>
      <c r="C778" s="168"/>
      <c r="D778" s="168"/>
      <c r="E778" s="168"/>
      <c r="F778" s="168"/>
      <c r="G778" s="168"/>
      <c r="H778" s="168"/>
      <c r="I778" s="168"/>
      <c r="J778" s="168"/>
      <c r="K778" s="168"/>
      <c r="L778" s="168"/>
      <c r="M778" s="168"/>
      <c r="N778" s="168"/>
      <c r="O778" s="168"/>
      <c r="P778" s="168"/>
      <c r="Q778" s="168"/>
      <c r="R778" s="168"/>
      <c r="S778" s="168"/>
      <c r="T778" s="168"/>
      <c r="U778" s="168"/>
      <c r="V778" s="168"/>
      <c r="W778" s="168"/>
      <c r="X778" s="168"/>
      <c r="Y778" s="168"/>
      <c r="Z778" s="168"/>
    </row>
    <row r="779" customFormat="false" ht="15.75" hidden="false" customHeight="false" outlineLevel="0" collapsed="false">
      <c r="A779" s="168"/>
      <c r="B779" s="168"/>
      <c r="C779" s="168"/>
      <c r="D779" s="168"/>
      <c r="E779" s="168"/>
      <c r="F779" s="168"/>
      <c r="G779" s="168"/>
      <c r="H779" s="168"/>
      <c r="I779" s="168"/>
      <c r="J779" s="168"/>
      <c r="K779" s="168"/>
      <c r="L779" s="168"/>
      <c r="M779" s="168"/>
      <c r="N779" s="168"/>
      <c r="O779" s="168"/>
      <c r="P779" s="168"/>
      <c r="Q779" s="168"/>
      <c r="R779" s="168"/>
      <c r="S779" s="168"/>
      <c r="T779" s="168"/>
      <c r="U779" s="168"/>
      <c r="V779" s="168"/>
      <c r="W779" s="168"/>
      <c r="X779" s="168"/>
      <c r="Y779" s="168"/>
      <c r="Z779" s="168"/>
    </row>
    <row r="780" customFormat="false" ht="15.75" hidden="false" customHeight="false" outlineLevel="0" collapsed="false">
      <c r="A780" s="168"/>
      <c r="B780" s="168"/>
      <c r="C780" s="168"/>
      <c r="D780" s="168"/>
      <c r="E780" s="168"/>
      <c r="F780" s="168"/>
      <c r="G780" s="168"/>
      <c r="H780" s="168"/>
      <c r="I780" s="168"/>
      <c r="J780" s="168"/>
      <c r="K780" s="168"/>
      <c r="L780" s="168"/>
      <c r="M780" s="168"/>
      <c r="N780" s="168"/>
      <c r="O780" s="168"/>
      <c r="P780" s="168"/>
      <c r="Q780" s="168"/>
      <c r="R780" s="168"/>
      <c r="S780" s="168"/>
      <c r="T780" s="168"/>
      <c r="U780" s="168"/>
      <c r="V780" s="168"/>
      <c r="W780" s="168"/>
      <c r="X780" s="168"/>
      <c r="Y780" s="168"/>
      <c r="Z780" s="168"/>
    </row>
    <row r="781" customFormat="false" ht="15.75" hidden="false" customHeight="false" outlineLevel="0" collapsed="false">
      <c r="A781" s="168"/>
      <c r="B781" s="168"/>
      <c r="C781" s="168"/>
      <c r="D781" s="168"/>
      <c r="E781" s="168"/>
      <c r="F781" s="168"/>
      <c r="G781" s="168"/>
      <c r="H781" s="168"/>
      <c r="I781" s="168"/>
      <c r="J781" s="168"/>
      <c r="K781" s="168"/>
      <c r="L781" s="168"/>
      <c r="M781" s="168"/>
      <c r="N781" s="168"/>
      <c r="O781" s="168"/>
      <c r="P781" s="168"/>
      <c r="Q781" s="168"/>
      <c r="R781" s="168"/>
      <c r="S781" s="168"/>
      <c r="T781" s="168"/>
      <c r="U781" s="168"/>
      <c r="V781" s="168"/>
      <c r="W781" s="168"/>
      <c r="X781" s="168"/>
      <c r="Y781" s="168"/>
      <c r="Z781" s="168"/>
    </row>
    <row r="782" customFormat="false" ht="15.75" hidden="false" customHeight="false" outlineLevel="0" collapsed="false">
      <c r="A782" s="168"/>
      <c r="B782" s="168"/>
      <c r="C782" s="168"/>
      <c r="D782" s="168"/>
      <c r="E782" s="168"/>
      <c r="F782" s="168"/>
      <c r="G782" s="168"/>
      <c r="H782" s="168"/>
      <c r="I782" s="168"/>
      <c r="J782" s="168"/>
      <c r="K782" s="168"/>
      <c r="L782" s="168"/>
      <c r="M782" s="168"/>
      <c r="N782" s="168"/>
      <c r="O782" s="168"/>
      <c r="P782" s="168"/>
      <c r="Q782" s="168"/>
      <c r="R782" s="168"/>
      <c r="S782" s="168"/>
      <c r="T782" s="168"/>
      <c r="U782" s="168"/>
      <c r="V782" s="168"/>
      <c r="W782" s="168"/>
      <c r="X782" s="168"/>
      <c r="Y782" s="168"/>
      <c r="Z782" s="168"/>
    </row>
    <row r="783" customFormat="false" ht="15.75" hidden="false" customHeight="false" outlineLevel="0" collapsed="false">
      <c r="A783" s="168"/>
      <c r="B783" s="168"/>
      <c r="C783" s="168"/>
      <c r="D783" s="168"/>
      <c r="E783" s="168"/>
      <c r="F783" s="168"/>
      <c r="G783" s="168"/>
      <c r="H783" s="168"/>
      <c r="I783" s="168"/>
      <c r="J783" s="168"/>
      <c r="K783" s="168"/>
      <c r="L783" s="168"/>
      <c r="M783" s="168"/>
      <c r="N783" s="168"/>
      <c r="O783" s="168"/>
      <c r="P783" s="168"/>
      <c r="Q783" s="168"/>
      <c r="R783" s="168"/>
      <c r="S783" s="168"/>
      <c r="T783" s="168"/>
      <c r="U783" s="168"/>
      <c r="V783" s="168"/>
      <c r="W783" s="168"/>
      <c r="X783" s="168"/>
      <c r="Y783" s="168"/>
      <c r="Z783" s="168"/>
    </row>
    <row r="784" customFormat="false" ht="15.75" hidden="false" customHeight="false" outlineLevel="0" collapsed="false">
      <c r="A784" s="168"/>
      <c r="B784" s="168"/>
      <c r="C784" s="168"/>
      <c r="D784" s="168"/>
      <c r="E784" s="168"/>
      <c r="F784" s="168"/>
      <c r="G784" s="168"/>
      <c r="H784" s="168"/>
      <c r="I784" s="168"/>
      <c r="J784" s="168"/>
      <c r="K784" s="168"/>
      <c r="L784" s="168"/>
      <c r="M784" s="168"/>
      <c r="N784" s="168"/>
      <c r="O784" s="168"/>
      <c r="P784" s="168"/>
      <c r="Q784" s="168"/>
      <c r="R784" s="168"/>
      <c r="S784" s="168"/>
      <c r="T784" s="168"/>
      <c r="U784" s="168"/>
      <c r="V784" s="168"/>
      <c r="W784" s="168"/>
      <c r="X784" s="168"/>
      <c r="Y784" s="168"/>
      <c r="Z784" s="168"/>
    </row>
    <row r="785" customFormat="false" ht="15.75" hidden="false" customHeight="false" outlineLevel="0" collapsed="false">
      <c r="A785" s="168"/>
      <c r="B785" s="168"/>
      <c r="C785" s="168"/>
      <c r="D785" s="168"/>
      <c r="E785" s="168"/>
      <c r="F785" s="168"/>
      <c r="G785" s="168"/>
      <c r="H785" s="168"/>
      <c r="I785" s="168"/>
      <c r="J785" s="168"/>
      <c r="K785" s="168"/>
      <c r="L785" s="168"/>
      <c r="M785" s="168"/>
      <c r="N785" s="168"/>
      <c r="O785" s="168"/>
      <c r="P785" s="168"/>
      <c r="Q785" s="168"/>
      <c r="R785" s="168"/>
      <c r="S785" s="168"/>
      <c r="T785" s="168"/>
      <c r="U785" s="168"/>
      <c r="V785" s="168"/>
      <c r="W785" s="168"/>
      <c r="X785" s="168"/>
      <c r="Y785" s="168"/>
      <c r="Z785" s="168"/>
    </row>
    <row r="786" customFormat="false" ht="15.75" hidden="false" customHeight="false" outlineLevel="0" collapsed="false">
      <c r="A786" s="168"/>
      <c r="B786" s="168"/>
      <c r="C786" s="168"/>
      <c r="D786" s="168"/>
      <c r="E786" s="168"/>
      <c r="F786" s="168"/>
      <c r="G786" s="168"/>
      <c r="H786" s="168"/>
      <c r="I786" s="168"/>
      <c r="J786" s="168"/>
      <c r="K786" s="168"/>
      <c r="L786" s="168"/>
      <c r="M786" s="168"/>
      <c r="N786" s="168"/>
      <c r="O786" s="168"/>
      <c r="P786" s="168"/>
      <c r="Q786" s="168"/>
      <c r="R786" s="168"/>
      <c r="S786" s="168"/>
      <c r="T786" s="168"/>
      <c r="U786" s="168"/>
      <c r="V786" s="168"/>
      <c r="W786" s="168"/>
      <c r="X786" s="168"/>
      <c r="Y786" s="168"/>
      <c r="Z786" s="168"/>
    </row>
    <row r="787" customFormat="false" ht="15.75" hidden="false" customHeight="false" outlineLevel="0" collapsed="false">
      <c r="A787" s="168"/>
      <c r="B787" s="168"/>
      <c r="C787" s="168"/>
      <c r="D787" s="168"/>
      <c r="E787" s="168"/>
      <c r="F787" s="168"/>
      <c r="G787" s="168"/>
      <c r="H787" s="168"/>
      <c r="I787" s="168"/>
      <c r="J787" s="168"/>
      <c r="K787" s="168"/>
      <c r="L787" s="168"/>
      <c r="M787" s="168"/>
      <c r="N787" s="168"/>
      <c r="O787" s="168"/>
      <c r="P787" s="168"/>
      <c r="Q787" s="168"/>
      <c r="R787" s="168"/>
      <c r="S787" s="168"/>
      <c r="T787" s="168"/>
      <c r="U787" s="168"/>
      <c r="V787" s="168"/>
      <c r="W787" s="168"/>
      <c r="X787" s="168"/>
      <c r="Y787" s="168"/>
      <c r="Z787" s="168"/>
    </row>
    <row r="788" customFormat="false" ht="15.75" hidden="false" customHeight="false" outlineLevel="0" collapsed="false">
      <c r="A788" s="168"/>
      <c r="B788" s="168"/>
      <c r="C788" s="168"/>
      <c r="D788" s="168"/>
      <c r="E788" s="168"/>
      <c r="F788" s="168"/>
      <c r="G788" s="168"/>
      <c r="H788" s="168"/>
      <c r="I788" s="168"/>
      <c r="J788" s="168"/>
      <c r="K788" s="168"/>
      <c r="L788" s="168"/>
      <c r="M788" s="168"/>
      <c r="N788" s="168"/>
      <c r="O788" s="168"/>
      <c r="P788" s="168"/>
      <c r="Q788" s="168"/>
      <c r="R788" s="168"/>
      <c r="S788" s="168"/>
      <c r="T788" s="168"/>
      <c r="U788" s="168"/>
      <c r="V788" s="168"/>
      <c r="W788" s="168"/>
      <c r="X788" s="168"/>
      <c r="Y788" s="168"/>
      <c r="Z788" s="168"/>
    </row>
    <row r="789" customFormat="false" ht="15.75" hidden="false" customHeight="false" outlineLevel="0" collapsed="false">
      <c r="A789" s="168"/>
      <c r="B789" s="168"/>
      <c r="C789" s="168"/>
      <c r="D789" s="168"/>
      <c r="E789" s="168"/>
      <c r="F789" s="168"/>
      <c r="G789" s="168"/>
      <c r="H789" s="168"/>
      <c r="I789" s="168"/>
      <c r="J789" s="168"/>
      <c r="K789" s="168"/>
      <c r="L789" s="168"/>
      <c r="M789" s="168"/>
      <c r="N789" s="168"/>
      <c r="O789" s="168"/>
      <c r="P789" s="168"/>
      <c r="Q789" s="168"/>
      <c r="R789" s="168"/>
      <c r="S789" s="168"/>
      <c r="T789" s="168"/>
      <c r="U789" s="168"/>
      <c r="V789" s="168"/>
      <c r="W789" s="168"/>
      <c r="X789" s="168"/>
      <c r="Y789" s="168"/>
      <c r="Z789" s="168"/>
    </row>
    <row r="790" customFormat="false" ht="15.75" hidden="false" customHeight="false" outlineLevel="0" collapsed="false">
      <c r="A790" s="168"/>
      <c r="B790" s="168"/>
      <c r="C790" s="168"/>
      <c r="D790" s="168"/>
      <c r="E790" s="168"/>
      <c r="F790" s="168"/>
      <c r="G790" s="168"/>
      <c r="H790" s="168"/>
      <c r="I790" s="168"/>
      <c r="J790" s="168"/>
      <c r="K790" s="168"/>
      <c r="L790" s="168"/>
      <c r="M790" s="168"/>
      <c r="N790" s="168"/>
      <c r="O790" s="168"/>
      <c r="P790" s="168"/>
      <c r="Q790" s="168"/>
      <c r="R790" s="168"/>
      <c r="S790" s="168"/>
      <c r="T790" s="168"/>
      <c r="U790" s="168"/>
      <c r="V790" s="168"/>
      <c r="W790" s="168"/>
      <c r="X790" s="168"/>
      <c r="Y790" s="168"/>
      <c r="Z790" s="168"/>
    </row>
    <row r="791" customFormat="false" ht="15.75" hidden="false" customHeight="false" outlineLevel="0" collapsed="false">
      <c r="A791" s="168"/>
      <c r="B791" s="168"/>
      <c r="C791" s="168"/>
      <c r="D791" s="168"/>
      <c r="E791" s="168"/>
      <c r="F791" s="168"/>
      <c r="G791" s="168"/>
      <c r="H791" s="168"/>
      <c r="I791" s="168"/>
      <c r="J791" s="168"/>
      <c r="K791" s="168"/>
      <c r="L791" s="168"/>
      <c r="M791" s="168"/>
      <c r="N791" s="168"/>
      <c r="O791" s="168"/>
      <c r="P791" s="168"/>
      <c r="Q791" s="168"/>
      <c r="R791" s="168"/>
      <c r="S791" s="168"/>
      <c r="T791" s="168"/>
      <c r="U791" s="168"/>
      <c r="V791" s="168"/>
      <c r="W791" s="168"/>
      <c r="X791" s="168"/>
      <c r="Y791" s="168"/>
      <c r="Z791" s="168"/>
    </row>
    <row r="792" customFormat="false" ht="15.75" hidden="false" customHeight="false" outlineLevel="0" collapsed="false">
      <c r="A792" s="168"/>
      <c r="B792" s="168"/>
      <c r="C792" s="168"/>
      <c r="D792" s="168"/>
      <c r="E792" s="168"/>
      <c r="F792" s="168"/>
      <c r="G792" s="168"/>
      <c r="H792" s="168"/>
      <c r="I792" s="168"/>
      <c r="J792" s="168"/>
      <c r="K792" s="168"/>
      <c r="L792" s="168"/>
      <c r="M792" s="168"/>
      <c r="N792" s="168"/>
      <c r="O792" s="168"/>
      <c r="P792" s="168"/>
      <c r="Q792" s="168"/>
      <c r="R792" s="168"/>
      <c r="S792" s="168"/>
      <c r="T792" s="168"/>
      <c r="U792" s="168"/>
      <c r="V792" s="168"/>
      <c r="W792" s="168"/>
      <c r="X792" s="168"/>
      <c r="Y792" s="168"/>
      <c r="Z792" s="168"/>
    </row>
    <row r="793" customFormat="false" ht="15.75" hidden="false" customHeight="false" outlineLevel="0" collapsed="false">
      <c r="A793" s="168"/>
      <c r="B793" s="168"/>
      <c r="C793" s="168"/>
      <c r="D793" s="168"/>
      <c r="E793" s="168"/>
      <c r="F793" s="168"/>
      <c r="G793" s="168"/>
      <c r="H793" s="168"/>
      <c r="I793" s="168"/>
      <c r="J793" s="168"/>
      <c r="K793" s="168"/>
      <c r="L793" s="168"/>
      <c r="M793" s="168"/>
      <c r="N793" s="168"/>
      <c r="O793" s="168"/>
      <c r="P793" s="168"/>
      <c r="Q793" s="168"/>
      <c r="R793" s="168"/>
      <c r="S793" s="168"/>
      <c r="T793" s="168"/>
      <c r="U793" s="168"/>
      <c r="V793" s="168"/>
      <c r="W793" s="168"/>
      <c r="X793" s="168"/>
      <c r="Y793" s="168"/>
      <c r="Z793" s="168"/>
    </row>
    <row r="794" customFormat="false" ht="15.75" hidden="false" customHeight="false" outlineLevel="0" collapsed="false">
      <c r="A794" s="168"/>
      <c r="B794" s="168"/>
      <c r="C794" s="168"/>
      <c r="D794" s="168"/>
      <c r="E794" s="168"/>
      <c r="F794" s="168"/>
      <c r="G794" s="168"/>
      <c r="H794" s="168"/>
      <c r="I794" s="168"/>
      <c r="J794" s="168"/>
      <c r="K794" s="168"/>
      <c r="L794" s="168"/>
      <c r="M794" s="168"/>
      <c r="N794" s="168"/>
      <c r="O794" s="168"/>
      <c r="P794" s="168"/>
      <c r="Q794" s="168"/>
      <c r="R794" s="168"/>
      <c r="S794" s="168"/>
      <c r="T794" s="168"/>
      <c r="U794" s="168"/>
      <c r="V794" s="168"/>
      <c r="W794" s="168"/>
      <c r="X794" s="168"/>
      <c r="Y794" s="168"/>
      <c r="Z794" s="168"/>
    </row>
    <row r="795" customFormat="false" ht="15.75" hidden="false" customHeight="false" outlineLevel="0" collapsed="false">
      <c r="A795" s="168"/>
      <c r="B795" s="168"/>
      <c r="C795" s="168"/>
      <c r="D795" s="168"/>
      <c r="E795" s="168"/>
      <c r="F795" s="168"/>
      <c r="G795" s="168"/>
      <c r="H795" s="168"/>
      <c r="I795" s="168"/>
      <c r="J795" s="168"/>
      <c r="K795" s="168"/>
      <c r="L795" s="168"/>
      <c r="M795" s="168"/>
      <c r="N795" s="168"/>
      <c r="O795" s="168"/>
      <c r="P795" s="168"/>
      <c r="Q795" s="168"/>
      <c r="R795" s="168"/>
      <c r="S795" s="168"/>
      <c r="T795" s="168"/>
      <c r="U795" s="168"/>
      <c r="V795" s="168"/>
      <c r="W795" s="168"/>
      <c r="X795" s="168"/>
      <c r="Y795" s="168"/>
      <c r="Z795" s="168"/>
    </row>
    <row r="796" customFormat="false" ht="15.75" hidden="false" customHeight="false" outlineLevel="0" collapsed="false">
      <c r="A796" s="168"/>
      <c r="B796" s="168"/>
      <c r="C796" s="168"/>
      <c r="D796" s="168"/>
      <c r="E796" s="168"/>
      <c r="F796" s="168"/>
      <c r="G796" s="168"/>
      <c r="H796" s="168"/>
      <c r="I796" s="168"/>
      <c r="J796" s="168"/>
      <c r="K796" s="168"/>
      <c r="L796" s="168"/>
      <c r="M796" s="168"/>
      <c r="N796" s="168"/>
      <c r="O796" s="168"/>
      <c r="P796" s="168"/>
      <c r="Q796" s="168"/>
      <c r="R796" s="168"/>
      <c r="S796" s="168"/>
      <c r="T796" s="168"/>
      <c r="U796" s="168"/>
      <c r="V796" s="168"/>
      <c r="W796" s="168"/>
      <c r="X796" s="168"/>
      <c r="Y796" s="168"/>
      <c r="Z796" s="168"/>
    </row>
    <row r="797" customFormat="false" ht="15.75" hidden="false" customHeight="false" outlineLevel="0" collapsed="false">
      <c r="A797" s="168"/>
      <c r="B797" s="168"/>
      <c r="C797" s="168"/>
      <c r="D797" s="168"/>
      <c r="E797" s="168"/>
      <c r="F797" s="168"/>
      <c r="G797" s="168"/>
      <c r="H797" s="168"/>
      <c r="I797" s="168"/>
      <c r="J797" s="168"/>
      <c r="K797" s="168"/>
      <c r="L797" s="168"/>
      <c r="M797" s="168"/>
      <c r="N797" s="168"/>
      <c r="O797" s="168"/>
      <c r="P797" s="168"/>
      <c r="Q797" s="168"/>
      <c r="R797" s="168"/>
      <c r="S797" s="168"/>
      <c r="T797" s="168"/>
      <c r="U797" s="168"/>
      <c r="V797" s="168"/>
      <c r="W797" s="168"/>
      <c r="X797" s="168"/>
      <c r="Y797" s="168"/>
      <c r="Z797" s="168"/>
    </row>
    <row r="798" customFormat="false" ht="15.75" hidden="false" customHeight="false" outlineLevel="0" collapsed="false">
      <c r="A798" s="168"/>
      <c r="B798" s="168"/>
      <c r="C798" s="168"/>
      <c r="D798" s="168"/>
      <c r="E798" s="168"/>
      <c r="F798" s="168"/>
      <c r="G798" s="168"/>
      <c r="H798" s="168"/>
      <c r="I798" s="168"/>
      <c r="J798" s="168"/>
      <c r="K798" s="168"/>
      <c r="L798" s="168"/>
      <c r="M798" s="168"/>
      <c r="N798" s="168"/>
      <c r="O798" s="168"/>
      <c r="P798" s="168"/>
      <c r="Q798" s="168"/>
      <c r="R798" s="168"/>
      <c r="S798" s="168"/>
      <c r="T798" s="168"/>
      <c r="U798" s="168"/>
      <c r="V798" s="168"/>
      <c r="W798" s="168"/>
      <c r="X798" s="168"/>
      <c r="Y798" s="168"/>
      <c r="Z798" s="168"/>
    </row>
    <row r="799" customFormat="false" ht="15.75" hidden="false" customHeight="false" outlineLevel="0" collapsed="false">
      <c r="A799" s="168"/>
      <c r="B799" s="168"/>
      <c r="C799" s="168"/>
      <c r="D799" s="168"/>
      <c r="E799" s="168"/>
      <c r="F799" s="168"/>
      <c r="G799" s="168"/>
      <c r="H799" s="168"/>
      <c r="I799" s="168"/>
      <c r="J799" s="168"/>
      <c r="K799" s="168"/>
      <c r="L799" s="168"/>
      <c r="M799" s="168"/>
      <c r="N799" s="168"/>
      <c r="O799" s="168"/>
      <c r="P799" s="168"/>
      <c r="Q799" s="168"/>
      <c r="R799" s="168"/>
      <c r="S799" s="168"/>
      <c r="T799" s="168"/>
      <c r="U799" s="168"/>
      <c r="V799" s="168"/>
      <c r="W799" s="168"/>
      <c r="X799" s="168"/>
      <c r="Y799" s="168"/>
      <c r="Z799" s="168"/>
    </row>
    <row r="800" customFormat="false" ht="15.75" hidden="false" customHeight="false" outlineLevel="0" collapsed="false">
      <c r="A800" s="168"/>
      <c r="B800" s="168"/>
      <c r="C800" s="168"/>
      <c r="D800" s="168"/>
      <c r="E800" s="168"/>
      <c r="F800" s="168"/>
      <c r="G800" s="168"/>
      <c r="H800" s="168"/>
      <c r="I800" s="168"/>
      <c r="J800" s="168"/>
      <c r="K800" s="168"/>
      <c r="L800" s="168"/>
      <c r="M800" s="168"/>
      <c r="N800" s="168"/>
      <c r="O800" s="168"/>
      <c r="P800" s="168"/>
      <c r="Q800" s="168"/>
      <c r="R800" s="168"/>
      <c r="S800" s="168"/>
      <c r="T800" s="168"/>
      <c r="U800" s="168"/>
      <c r="V800" s="168"/>
      <c r="W800" s="168"/>
      <c r="X800" s="168"/>
      <c r="Y800" s="168"/>
      <c r="Z800" s="168"/>
    </row>
    <row r="801" customFormat="false" ht="15.75" hidden="false" customHeight="false" outlineLevel="0" collapsed="false">
      <c r="A801" s="168"/>
      <c r="B801" s="168"/>
      <c r="C801" s="168"/>
      <c r="D801" s="168"/>
      <c r="E801" s="168"/>
      <c r="F801" s="168"/>
      <c r="G801" s="168"/>
      <c r="H801" s="168"/>
      <c r="I801" s="168"/>
      <c r="J801" s="168"/>
      <c r="K801" s="168"/>
      <c r="L801" s="168"/>
      <c r="M801" s="168"/>
      <c r="N801" s="168"/>
      <c r="O801" s="168"/>
      <c r="P801" s="168"/>
      <c r="Q801" s="168"/>
      <c r="R801" s="168"/>
      <c r="S801" s="168"/>
      <c r="T801" s="168"/>
      <c r="U801" s="168"/>
      <c r="V801" s="168"/>
      <c r="W801" s="168"/>
      <c r="X801" s="168"/>
      <c r="Y801" s="168"/>
      <c r="Z801" s="168"/>
    </row>
    <row r="802" customFormat="false" ht="15.75" hidden="false" customHeight="false" outlineLevel="0" collapsed="false">
      <c r="A802" s="168"/>
      <c r="B802" s="168"/>
      <c r="C802" s="168"/>
      <c r="D802" s="168"/>
      <c r="E802" s="168"/>
      <c r="F802" s="168"/>
      <c r="G802" s="168"/>
      <c r="H802" s="168"/>
      <c r="I802" s="168"/>
      <c r="J802" s="168"/>
      <c r="K802" s="168"/>
      <c r="L802" s="168"/>
      <c r="M802" s="168"/>
      <c r="N802" s="168"/>
      <c r="O802" s="168"/>
      <c r="P802" s="168"/>
      <c r="Q802" s="168"/>
      <c r="R802" s="168"/>
      <c r="S802" s="168"/>
      <c r="T802" s="168"/>
      <c r="U802" s="168"/>
      <c r="V802" s="168"/>
      <c r="W802" s="168"/>
      <c r="X802" s="168"/>
      <c r="Y802" s="168"/>
      <c r="Z802" s="168"/>
    </row>
    <row r="803" customFormat="false" ht="15.75" hidden="false" customHeight="false" outlineLevel="0" collapsed="false">
      <c r="A803" s="168"/>
      <c r="B803" s="168"/>
      <c r="C803" s="168"/>
      <c r="D803" s="168"/>
      <c r="E803" s="168"/>
      <c r="F803" s="168"/>
      <c r="G803" s="168"/>
      <c r="H803" s="168"/>
      <c r="I803" s="168"/>
      <c r="J803" s="168"/>
      <c r="K803" s="168"/>
      <c r="L803" s="168"/>
      <c r="M803" s="168"/>
      <c r="N803" s="168"/>
      <c r="O803" s="168"/>
      <c r="P803" s="168"/>
      <c r="Q803" s="168"/>
      <c r="R803" s="168"/>
      <c r="S803" s="168"/>
      <c r="T803" s="168"/>
      <c r="U803" s="168"/>
      <c r="V803" s="168"/>
      <c r="W803" s="168"/>
      <c r="X803" s="168"/>
      <c r="Y803" s="168"/>
      <c r="Z803" s="168"/>
    </row>
    <row r="804" customFormat="false" ht="15.75" hidden="false" customHeight="false" outlineLevel="0" collapsed="false">
      <c r="A804" s="168"/>
      <c r="B804" s="168"/>
      <c r="C804" s="168"/>
      <c r="D804" s="168"/>
      <c r="E804" s="168"/>
      <c r="F804" s="168"/>
      <c r="G804" s="168"/>
      <c r="H804" s="168"/>
      <c r="I804" s="168"/>
      <c r="J804" s="168"/>
      <c r="K804" s="168"/>
      <c r="L804" s="168"/>
      <c r="M804" s="168"/>
      <c r="N804" s="168"/>
      <c r="O804" s="168"/>
      <c r="P804" s="168"/>
      <c r="Q804" s="168"/>
      <c r="R804" s="168"/>
      <c r="S804" s="168"/>
      <c r="T804" s="168"/>
      <c r="U804" s="168"/>
      <c r="V804" s="168"/>
      <c r="W804" s="168"/>
      <c r="X804" s="168"/>
      <c r="Y804" s="168"/>
      <c r="Z804" s="168"/>
    </row>
    <row r="805" customFormat="false" ht="15.75" hidden="false" customHeight="false" outlineLevel="0" collapsed="false">
      <c r="A805" s="168"/>
      <c r="B805" s="168"/>
      <c r="C805" s="168"/>
      <c r="D805" s="168"/>
      <c r="E805" s="168"/>
      <c r="F805" s="168"/>
      <c r="G805" s="168"/>
      <c r="H805" s="168"/>
      <c r="I805" s="168"/>
      <c r="J805" s="168"/>
      <c r="K805" s="168"/>
      <c r="L805" s="168"/>
      <c r="M805" s="168"/>
      <c r="N805" s="168"/>
      <c r="O805" s="168"/>
      <c r="P805" s="168"/>
      <c r="Q805" s="168"/>
      <c r="R805" s="168"/>
      <c r="S805" s="168"/>
      <c r="T805" s="168"/>
      <c r="U805" s="168"/>
      <c r="V805" s="168"/>
      <c r="W805" s="168"/>
      <c r="X805" s="168"/>
      <c r="Y805" s="168"/>
      <c r="Z805" s="168"/>
    </row>
    <row r="806" customFormat="false" ht="15.75" hidden="false" customHeight="false" outlineLevel="0" collapsed="false">
      <c r="A806" s="168"/>
      <c r="B806" s="168"/>
      <c r="C806" s="168"/>
      <c r="D806" s="168"/>
      <c r="E806" s="168"/>
      <c r="F806" s="168"/>
      <c r="G806" s="168"/>
      <c r="H806" s="168"/>
      <c r="I806" s="168"/>
      <c r="J806" s="168"/>
      <c r="K806" s="168"/>
      <c r="L806" s="168"/>
      <c r="M806" s="168"/>
      <c r="N806" s="168"/>
      <c r="O806" s="168"/>
      <c r="P806" s="168"/>
      <c r="Q806" s="168"/>
      <c r="R806" s="168"/>
      <c r="S806" s="168"/>
      <c r="T806" s="168"/>
      <c r="U806" s="168"/>
      <c r="V806" s="168"/>
      <c r="W806" s="168"/>
      <c r="X806" s="168"/>
      <c r="Y806" s="168"/>
      <c r="Z806" s="168"/>
    </row>
    <row r="807" customFormat="false" ht="15.75" hidden="false" customHeight="false" outlineLevel="0" collapsed="false">
      <c r="A807" s="168"/>
      <c r="B807" s="168"/>
      <c r="C807" s="168"/>
      <c r="D807" s="168"/>
      <c r="E807" s="168"/>
      <c r="F807" s="168"/>
      <c r="G807" s="168"/>
      <c r="H807" s="168"/>
      <c r="I807" s="168"/>
      <c r="J807" s="168"/>
      <c r="K807" s="168"/>
      <c r="L807" s="168"/>
      <c r="M807" s="168"/>
      <c r="N807" s="168"/>
      <c r="O807" s="168"/>
      <c r="P807" s="168"/>
      <c r="Q807" s="168"/>
      <c r="R807" s="168"/>
      <c r="S807" s="168"/>
      <c r="T807" s="168"/>
      <c r="U807" s="168"/>
      <c r="V807" s="168"/>
      <c r="W807" s="168"/>
      <c r="X807" s="168"/>
      <c r="Y807" s="168"/>
      <c r="Z807" s="168"/>
    </row>
    <row r="808" customFormat="false" ht="15.75" hidden="false" customHeight="false" outlineLevel="0" collapsed="false">
      <c r="A808" s="168"/>
      <c r="B808" s="168"/>
      <c r="C808" s="168"/>
      <c r="D808" s="168"/>
      <c r="E808" s="168"/>
      <c r="F808" s="168"/>
      <c r="G808" s="168"/>
      <c r="H808" s="168"/>
      <c r="I808" s="168"/>
      <c r="J808" s="168"/>
      <c r="K808" s="168"/>
      <c r="L808" s="168"/>
      <c r="M808" s="168"/>
      <c r="N808" s="168"/>
      <c r="O808" s="168"/>
      <c r="P808" s="168"/>
      <c r="Q808" s="168"/>
      <c r="R808" s="168"/>
      <c r="S808" s="168"/>
      <c r="T808" s="168"/>
      <c r="U808" s="168"/>
      <c r="V808" s="168"/>
      <c r="W808" s="168"/>
      <c r="X808" s="168"/>
      <c r="Y808" s="168"/>
      <c r="Z808" s="168"/>
    </row>
    <row r="809" customFormat="false" ht="15.75" hidden="false" customHeight="false" outlineLevel="0" collapsed="false">
      <c r="A809" s="168"/>
      <c r="B809" s="168"/>
      <c r="C809" s="168"/>
      <c r="D809" s="168"/>
      <c r="E809" s="168"/>
      <c r="F809" s="168"/>
      <c r="G809" s="168"/>
      <c r="H809" s="168"/>
      <c r="I809" s="168"/>
      <c r="J809" s="168"/>
      <c r="K809" s="168"/>
      <c r="L809" s="168"/>
      <c r="M809" s="168"/>
      <c r="N809" s="168"/>
      <c r="O809" s="168"/>
      <c r="P809" s="168"/>
      <c r="Q809" s="168"/>
      <c r="R809" s="168"/>
      <c r="S809" s="168"/>
      <c r="T809" s="168"/>
      <c r="U809" s="168"/>
      <c r="V809" s="168"/>
      <c r="W809" s="168"/>
      <c r="X809" s="168"/>
      <c r="Y809" s="168"/>
      <c r="Z809" s="168"/>
    </row>
    <row r="810" customFormat="false" ht="15.75" hidden="false" customHeight="false" outlineLevel="0" collapsed="false">
      <c r="A810" s="168"/>
      <c r="B810" s="168"/>
      <c r="C810" s="168"/>
      <c r="D810" s="168"/>
      <c r="E810" s="168"/>
      <c r="F810" s="168"/>
      <c r="G810" s="168"/>
      <c r="H810" s="168"/>
      <c r="I810" s="168"/>
      <c r="J810" s="168"/>
      <c r="K810" s="168"/>
      <c r="L810" s="168"/>
      <c r="M810" s="168"/>
      <c r="N810" s="168"/>
      <c r="O810" s="168"/>
      <c r="P810" s="168"/>
      <c r="Q810" s="168"/>
      <c r="R810" s="168"/>
      <c r="S810" s="168"/>
      <c r="T810" s="168"/>
      <c r="U810" s="168"/>
      <c r="V810" s="168"/>
      <c r="W810" s="168"/>
      <c r="X810" s="168"/>
      <c r="Y810" s="168"/>
      <c r="Z810" s="168"/>
    </row>
    <row r="811" customFormat="false" ht="15.75" hidden="false" customHeight="false" outlineLevel="0" collapsed="false">
      <c r="A811" s="168"/>
      <c r="B811" s="168"/>
      <c r="C811" s="168"/>
      <c r="D811" s="168"/>
      <c r="E811" s="168"/>
      <c r="F811" s="168"/>
      <c r="G811" s="168"/>
      <c r="H811" s="168"/>
      <c r="I811" s="168"/>
      <c r="J811" s="168"/>
      <c r="K811" s="168"/>
      <c r="L811" s="168"/>
      <c r="M811" s="168"/>
      <c r="N811" s="168"/>
      <c r="O811" s="168"/>
      <c r="P811" s="168"/>
      <c r="Q811" s="168"/>
      <c r="R811" s="168"/>
      <c r="S811" s="168"/>
      <c r="T811" s="168"/>
      <c r="U811" s="168"/>
      <c r="V811" s="168"/>
      <c r="W811" s="168"/>
      <c r="X811" s="168"/>
      <c r="Y811" s="168"/>
      <c r="Z811" s="168"/>
    </row>
    <row r="812" customFormat="false" ht="15.75" hidden="false" customHeight="false" outlineLevel="0" collapsed="false">
      <c r="A812" s="168"/>
      <c r="B812" s="168"/>
      <c r="C812" s="168"/>
      <c r="D812" s="168"/>
      <c r="E812" s="168"/>
      <c r="F812" s="168"/>
      <c r="G812" s="168"/>
      <c r="H812" s="168"/>
      <c r="I812" s="168"/>
      <c r="J812" s="168"/>
      <c r="K812" s="168"/>
      <c r="L812" s="168"/>
      <c r="M812" s="168"/>
      <c r="N812" s="168"/>
      <c r="O812" s="168"/>
      <c r="P812" s="168"/>
      <c r="Q812" s="168"/>
      <c r="R812" s="168"/>
      <c r="S812" s="168"/>
      <c r="T812" s="168"/>
      <c r="U812" s="168"/>
      <c r="V812" s="168"/>
      <c r="W812" s="168"/>
      <c r="X812" s="168"/>
      <c r="Y812" s="168"/>
      <c r="Z812" s="168"/>
    </row>
    <row r="813" customFormat="false" ht="15.75" hidden="false" customHeight="false" outlineLevel="0" collapsed="false">
      <c r="A813" s="168"/>
      <c r="B813" s="168"/>
      <c r="C813" s="168"/>
      <c r="D813" s="168"/>
      <c r="E813" s="168"/>
      <c r="F813" s="168"/>
      <c r="G813" s="168"/>
      <c r="H813" s="168"/>
      <c r="I813" s="168"/>
      <c r="J813" s="168"/>
      <c r="K813" s="168"/>
      <c r="L813" s="168"/>
      <c r="M813" s="168"/>
      <c r="N813" s="168"/>
      <c r="O813" s="168"/>
      <c r="P813" s="168"/>
      <c r="Q813" s="168"/>
      <c r="R813" s="168"/>
      <c r="S813" s="168"/>
      <c r="T813" s="168"/>
      <c r="U813" s="168"/>
      <c r="V813" s="168"/>
      <c r="W813" s="168"/>
      <c r="X813" s="168"/>
      <c r="Y813" s="168"/>
      <c r="Z813" s="168"/>
    </row>
    <row r="814" customFormat="false" ht="15.75" hidden="false" customHeight="false" outlineLevel="0" collapsed="false">
      <c r="A814" s="168"/>
      <c r="B814" s="168"/>
      <c r="C814" s="168"/>
      <c r="D814" s="168"/>
      <c r="E814" s="168"/>
      <c r="F814" s="168"/>
      <c r="G814" s="168"/>
      <c r="H814" s="168"/>
      <c r="I814" s="168"/>
      <c r="J814" s="168"/>
      <c r="K814" s="168"/>
      <c r="L814" s="168"/>
      <c r="M814" s="168"/>
      <c r="N814" s="168"/>
      <c r="O814" s="168"/>
      <c r="P814" s="168"/>
      <c r="Q814" s="168"/>
      <c r="R814" s="168"/>
      <c r="S814" s="168"/>
      <c r="T814" s="168"/>
      <c r="U814" s="168"/>
      <c r="V814" s="168"/>
      <c r="W814" s="168"/>
      <c r="X814" s="168"/>
      <c r="Y814" s="168"/>
      <c r="Z814" s="168"/>
    </row>
    <row r="815" customFormat="false" ht="15.75" hidden="false" customHeight="false" outlineLevel="0" collapsed="false">
      <c r="A815" s="168"/>
      <c r="B815" s="168"/>
      <c r="C815" s="168"/>
      <c r="D815" s="168"/>
      <c r="E815" s="168"/>
      <c r="F815" s="168"/>
      <c r="G815" s="168"/>
      <c r="H815" s="168"/>
      <c r="I815" s="168"/>
      <c r="J815" s="168"/>
      <c r="K815" s="168"/>
      <c r="L815" s="168"/>
      <c r="M815" s="168"/>
      <c r="N815" s="168"/>
      <c r="O815" s="168"/>
      <c r="P815" s="168"/>
      <c r="Q815" s="168"/>
      <c r="R815" s="168"/>
      <c r="S815" s="168"/>
      <c r="T815" s="168"/>
      <c r="U815" s="168"/>
      <c r="V815" s="168"/>
      <c r="W815" s="168"/>
      <c r="X815" s="168"/>
      <c r="Y815" s="168"/>
      <c r="Z815" s="168"/>
    </row>
    <row r="816" customFormat="false" ht="15.75" hidden="false" customHeight="false" outlineLevel="0" collapsed="false">
      <c r="A816" s="168"/>
      <c r="B816" s="168"/>
      <c r="C816" s="168"/>
      <c r="D816" s="168"/>
      <c r="E816" s="168"/>
      <c r="F816" s="168"/>
      <c r="G816" s="168"/>
      <c r="H816" s="168"/>
      <c r="I816" s="168"/>
      <c r="J816" s="168"/>
      <c r="K816" s="168"/>
      <c r="L816" s="168"/>
      <c r="M816" s="168"/>
      <c r="N816" s="168"/>
      <c r="O816" s="168"/>
      <c r="P816" s="168"/>
      <c r="Q816" s="168"/>
      <c r="R816" s="168"/>
      <c r="S816" s="168"/>
      <c r="T816" s="168"/>
      <c r="U816" s="168"/>
      <c r="V816" s="168"/>
      <c r="W816" s="168"/>
      <c r="X816" s="168"/>
      <c r="Y816" s="168"/>
      <c r="Z816" s="168"/>
    </row>
    <row r="817" customFormat="false" ht="15.75" hidden="false" customHeight="false" outlineLevel="0" collapsed="false">
      <c r="A817" s="168"/>
      <c r="B817" s="168"/>
      <c r="C817" s="168"/>
      <c r="D817" s="168"/>
      <c r="E817" s="168"/>
      <c r="F817" s="168"/>
      <c r="G817" s="168"/>
      <c r="H817" s="168"/>
      <c r="I817" s="168"/>
      <c r="J817" s="168"/>
      <c r="K817" s="168"/>
      <c r="L817" s="168"/>
      <c r="M817" s="168"/>
      <c r="N817" s="168"/>
      <c r="O817" s="168"/>
      <c r="P817" s="168"/>
      <c r="Q817" s="168"/>
      <c r="R817" s="168"/>
      <c r="S817" s="168"/>
      <c r="T817" s="168"/>
      <c r="U817" s="168"/>
      <c r="V817" s="168"/>
      <c r="W817" s="168"/>
      <c r="X817" s="168"/>
      <c r="Y817" s="168"/>
      <c r="Z817" s="168"/>
    </row>
    <row r="818" customFormat="false" ht="15.75" hidden="false" customHeight="false" outlineLevel="0" collapsed="false">
      <c r="A818" s="168"/>
      <c r="B818" s="168"/>
      <c r="C818" s="168"/>
      <c r="D818" s="168"/>
      <c r="E818" s="168"/>
      <c r="F818" s="168"/>
      <c r="G818" s="168"/>
      <c r="H818" s="168"/>
      <c r="I818" s="168"/>
      <c r="J818" s="168"/>
      <c r="K818" s="168"/>
      <c r="L818" s="168"/>
      <c r="M818" s="168"/>
      <c r="N818" s="168"/>
      <c r="O818" s="168"/>
      <c r="P818" s="168"/>
      <c r="Q818" s="168"/>
      <c r="R818" s="168"/>
      <c r="S818" s="168"/>
      <c r="T818" s="168"/>
      <c r="U818" s="168"/>
      <c r="V818" s="168"/>
      <c r="W818" s="168"/>
      <c r="X818" s="168"/>
      <c r="Y818" s="168"/>
      <c r="Z818" s="168"/>
    </row>
    <row r="819" customFormat="false" ht="15.75" hidden="false" customHeight="false" outlineLevel="0" collapsed="false">
      <c r="A819" s="168"/>
      <c r="B819" s="168"/>
      <c r="C819" s="168"/>
      <c r="D819" s="168"/>
      <c r="E819" s="168"/>
      <c r="F819" s="168"/>
      <c r="G819" s="168"/>
      <c r="H819" s="168"/>
      <c r="I819" s="168"/>
      <c r="J819" s="168"/>
      <c r="K819" s="168"/>
      <c r="L819" s="168"/>
      <c r="M819" s="168"/>
      <c r="N819" s="168"/>
      <c r="O819" s="168"/>
      <c r="P819" s="168"/>
      <c r="Q819" s="168"/>
      <c r="R819" s="168"/>
      <c r="S819" s="168"/>
      <c r="T819" s="168"/>
      <c r="U819" s="168"/>
      <c r="V819" s="168"/>
      <c r="W819" s="168"/>
      <c r="X819" s="168"/>
      <c r="Y819" s="168"/>
      <c r="Z819" s="168"/>
    </row>
    <row r="820" customFormat="false" ht="15.75" hidden="false" customHeight="false" outlineLevel="0" collapsed="false">
      <c r="A820" s="168"/>
      <c r="B820" s="168"/>
      <c r="C820" s="168"/>
      <c r="D820" s="168"/>
      <c r="E820" s="168"/>
      <c r="F820" s="168"/>
      <c r="G820" s="168"/>
      <c r="H820" s="168"/>
      <c r="I820" s="168"/>
      <c r="J820" s="168"/>
      <c r="K820" s="168"/>
      <c r="L820" s="168"/>
      <c r="M820" s="168"/>
      <c r="N820" s="168"/>
      <c r="O820" s="168"/>
      <c r="P820" s="168"/>
      <c r="Q820" s="168"/>
      <c r="R820" s="168"/>
      <c r="S820" s="168"/>
      <c r="T820" s="168"/>
      <c r="U820" s="168"/>
      <c r="V820" s="168"/>
      <c r="W820" s="168"/>
      <c r="X820" s="168"/>
      <c r="Y820" s="168"/>
      <c r="Z820" s="168"/>
    </row>
    <row r="821" customFormat="false" ht="15.75" hidden="false" customHeight="false" outlineLevel="0" collapsed="false">
      <c r="A821" s="168"/>
      <c r="B821" s="168"/>
      <c r="C821" s="168"/>
      <c r="D821" s="168"/>
      <c r="E821" s="168"/>
      <c r="F821" s="168"/>
      <c r="G821" s="168"/>
      <c r="H821" s="168"/>
      <c r="I821" s="168"/>
      <c r="J821" s="168"/>
      <c r="K821" s="168"/>
      <c r="L821" s="168"/>
      <c r="M821" s="168"/>
      <c r="N821" s="168"/>
      <c r="O821" s="168"/>
      <c r="P821" s="168"/>
      <c r="Q821" s="168"/>
      <c r="R821" s="168"/>
      <c r="S821" s="168"/>
      <c r="T821" s="168"/>
      <c r="U821" s="168"/>
      <c r="V821" s="168"/>
      <c r="W821" s="168"/>
      <c r="X821" s="168"/>
      <c r="Y821" s="168"/>
      <c r="Z821" s="168"/>
    </row>
    <row r="822" customFormat="false" ht="15.75" hidden="false" customHeight="false" outlineLevel="0" collapsed="false">
      <c r="A822" s="168"/>
      <c r="B822" s="168"/>
      <c r="C822" s="168"/>
      <c r="D822" s="168"/>
      <c r="E822" s="168"/>
      <c r="F822" s="168"/>
      <c r="G822" s="168"/>
      <c r="H822" s="168"/>
      <c r="I822" s="168"/>
      <c r="J822" s="168"/>
      <c r="K822" s="168"/>
      <c r="L822" s="168"/>
      <c r="M822" s="168"/>
      <c r="N822" s="168"/>
      <c r="O822" s="168"/>
      <c r="P822" s="168"/>
      <c r="Q822" s="168"/>
      <c r="R822" s="168"/>
      <c r="S822" s="168"/>
      <c r="T822" s="168"/>
      <c r="U822" s="168"/>
      <c r="V822" s="168"/>
      <c r="W822" s="168"/>
      <c r="X822" s="168"/>
      <c r="Y822" s="168"/>
      <c r="Z822" s="168"/>
    </row>
    <row r="823" customFormat="false" ht="15.75" hidden="false" customHeight="false" outlineLevel="0" collapsed="false">
      <c r="A823" s="168"/>
      <c r="B823" s="168"/>
      <c r="C823" s="168"/>
      <c r="D823" s="168"/>
      <c r="E823" s="168"/>
      <c r="F823" s="168"/>
      <c r="G823" s="168"/>
      <c r="H823" s="168"/>
      <c r="I823" s="168"/>
      <c r="J823" s="168"/>
      <c r="K823" s="168"/>
      <c r="L823" s="168"/>
      <c r="M823" s="168"/>
      <c r="N823" s="168"/>
      <c r="O823" s="168"/>
      <c r="P823" s="168"/>
      <c r="Q823" s="168"/>
      <c r="R823" s="168"/>
      <c r="S823" s="168"/>
      <c r="T823" s="168"/>
      <c r="U823" s="168"/>
      <c r="V823" s="168"/>
      <c r="W823" s="168"/>
      <c r="X823" s="168"/>
      <c r="Y823" s="168"/>
      <c r="Z823" s="168"/>
    </row>
    <row r="824" customFormat="false" ht="15.75" hidden="false" customHeight="false" outlineLevel="0" collapsed="false">
      <c r="A824" s="168"/>
      <c r="B824" s="168"/>
      <c r="C824" s="168"/>
      <c r="D824" s="168"/>
      <c r="E824" s="168"/>
      <c r="F824" s="168"/>
      <c r="G824" s="168"/>
      <c r="H824" s="168"/>
      <c r="I824" s="168"/>
      <c r="J824" s="168"/>
      <c r="K824" s="168"/>
      <c r="L824" s="168"/>
      <c r="M824" s="168"/>
      <c r="N824" s="168"/>
      <c r="O824" s="168"/>
      <c r="P824" s="168"/>
      <c r="Q824" s="168"/>
      <c r="R824" s="168"/>
      <c r="S824" s="168"/>
      <c r="T824" s="168"/>
      <c r="U824" s="168"/>
      <c r="V824" s="168"/>
      <c r="W824" s="168"/>
      <c r="X824" s="168"/>
      <c r="Y824" s="168"/>
      <c r="Z824" s="168"/>
    </row>
    <row r="825" customFormat="false" ht="15.75" hidden="false" customHeight="false" outlineLevel="0" collapsed="false">
      <c r="A825" s="168"/>
      <c r="B825" s="168"/>
      <c r="C825" s="168"/>
      <c r="D825" s="168"/>
      <c r="E825" s="168"/>
      <c r="F825" s="168"/>
      <c r="G825" s="168"/>
      <c r="H825" s="168"/>
      <c r="I825" s="168"/>
      <c r="J825" s="168"/>
      <c r="K825" s="168"/>
      <c r="L825" s="168"/>
      <c r="M825" s="168"/>
      <c r="N825" s="168"/>
      <c r="O825" s="168"/>
      <c r="P825" s="168"/>
      <c r="Q825" s="168"/>
      <c r="R825" s="168"/>
      <c r="S825" s="168"/>
      <c r="T825" s="168"/>
      <c r="U825" s="168"/>
      <c r="V825" s="168"/>
      <c r="W825" s="168"/>
      <c r="X825" s="168"/>
      <c r="Y825" s="168"/>
      <c r="Z825" s="168"/>
    </row>
    <row r="826" customFormat="false" ht="15.75" hidden="false" customHeight="false" outlineLevel="0" collapsed="false">
      <c r="A826" s="168"/>
      <c r="B826" s="168"/>
      <c r="C826" s="168"/>
      <c r="D826" s="168"/>
      <c r="E826" s="168"/>
      <c r="F826" s="168"/>
      <c r="G826" s="168"/>
      <c r="H826" s="168"/>
      <c r="I826" s="168"/>
      <c r="J826" s="168"/>
      <c r="K826" s="168"/>
      <c r="L826" s="168"/>
      <c r="M826" s="168"/>
      <c r="N826" s="168"/>
      <c r="O826" s="168"/>
      <c r="P826" s="168"/>
      <c r="Q826" s="168"/>
      <c r="R826" s="168"/>
      <c r="S826" s="168"/>
      <c r="T826" s="168"/>
      <c r="U826" s="168"/>
      <c r="V826" s="168"/>
      <c r="W826" s="168"/>
      <c r="X826" s="168"/>
      <c r="Y826" s="168"/>
      <c r="Z826" s="168"/>
    </row>
    <row r="827" customFormat="false" ht="15.75" hidden="false" customHeight="false" outlineLevel="0" collapsed="false">
      <c r="A827" s="168"/>
      <c r="B827" s="168"/>
      <c r="C827" s="168"/>
      <c r="D827" s="168"/>
      <c r="E827" s="168"/>
      <c r="F827" s="168"/>
      <c r="G827" s="168"/>
      <c r="H827" s="168"/>
      <c r="I827" s="168"/>
      <c r="J827" s="168"/>
      <c r="K827" s="168"/>
      <c r="L827" s="168"/>
      <c r="M827" s="168"/>
      <c r="N827" s="168"/>
      <c r="O827" s="168"/>
      <c r="P827" s="168"/>
      <c r="Q827" s="168"/>
      <c r="R827" s="168"/>
      <c r="S827" s="168"/>
      <c r="T827" s="168"/>
      <c r="U827" s="168"/>
      <c r="V827" s="168"/>
      <c r="W827" s="168"/>
      <c r="X827" s="168"/>
      <c r="Y827" s="168"/>
      <c r="Z827" s="168"/>
    </row>
    <row r="828" customFormat="false" ht="15.75" hidden="false" customHeight="false" outlineLevel="0" collapsed="false">
      <c r="A828" s="168"/>
      <c r="B828" s="168"/>
      <c r="C828" s="168"/>
      <c r="D828" s="168"/>
      <c r="E828" s="168"/>
      <c r="F828" s="168"/>
      <c r="G828" s="168"/>
      <c r="H828" s="168"/>
      <c r="I828" s="168"/>
      <c r="J828" s="168"/>
      <c r="K828" s="168"/>
      <c r="L828" s="168"/>
      <c r="M828" s="168"/>
      <c r="N828" s="168"/>
      <c r="O828" s="168"/>
      <c r="P828" s="168"/>
      <c r="Q828" s="168"/>
      <c r="R828" s="168"/>
      <c r="S828" s="168"/>
      <c r="T828" s="168"/>
      <c r="U828" s="168"/>
      <c r="V828" s="168"/>
      <c r="W828" s="168"/>
      <c r="X828" s="168"/>
      <c r="Y828" s="168"/>
      <c r="Z828" s="168"/>
    </row>
    <row r="829" customFormat="false" ht="15.75" hidden="false" customHeight="false" outlineLevel="0" collapsed="false">
      <c r="A829" s="168"/>
      <c r="B829" s="168"/>
      <c r="C829" s="168"/>
      <c r="D829" s="168"/>
      <c r="E829" s="168"/>
      <c r="F829" s="168"/>
      <c r="G829" s="168"/>
      <c r="H829" s="168"/>
      <c r="I829" s="168"/>
      <c r="J829" s="168"/>
      <c r="K829" s="168"/>
      <c r="L829" s="168"/>
      <c r="M829" s="168"/>
      <c r="N829" s="168"/>
      <c r="O829" s="168"/>
      <c r="P829" s="168"/>
      <c r="Q829" s="168"/>
      <c r="R829" s="168"/>
      <c r="S829" s="168"/>
      <c r="T829" s="168"/>
      <c r="U829" s="168"/>
      <c r="V829" s="168"/>
      <c r="W829" s="168"/>
      <c r="X829" s="168"/>
      <c r="Y829" s="168"/>
      <c r="Z829" s="168"/>
    </row>
    <row r="830" customFormat="false" ht="15.75" hidden="false" customHeight="false" outlineLevel="0" collapsed="false">
      <c r="A830" s="168"/>
      <c r="B830" s="168"/>
      <c r="C830" s="168"/>
      <c r="D830" s="168"/>
      <c r="E830" s="168"/>
      <c r="F830" s="168"/>
      <c r="G830" s="168"/>
      <c r="H830" s="168"/>
      <c r="I830" s="168"/>
      <c r="J830" s="168"/>
      <c r="K830" s="168"/>
      <c r="L830" s="168"/>
      <c r="M830" s="168"/>
      <c r="N830" s="168"/>
      <c r="O830" s="168"/>
      <c r="P830" s="168"/>
      <c r="Q830" s="168"/>
      <c r="R830" s="168"/>
      <c r="S830" s="168"/>
      <c r="T830" s="168"/>
      <c r="U830" s="168"/>
      <c r="V830" s="168"/>
      <c r="W830" s="168"/>
      <c r="X830" s="168"/>
      <c r="Y830" s="168"/>
      <c r="Z830" s="168"/>
    </row>
    <row r="831" customFormat="false" ht="15.75" hidden="false" customHeight="false" outlineLevel="0" collapsed="false">
      <c r="A831" s="168"/>
      <c r="B831" s="168"/>
      <c r="C831" s="168"/>
      <c r="D831" s="168"/>
      <c r="E831" s="168"/>
      <c r="F831" s="168"/>
      <c r="G831" s="168"/>
      <c r="H831" s="168"/>
      <c r="I831" s="168"/>
      <c r="J831" s="168"/>
      <c r="K831" s="168"/>
      <c r="L831" s="168"/>
      <c r="M831" s="168"/>
      <c r="N831" s="168"/>
      <c r="O831" s="168"/>
      <c r="P831" s="168"/>
      <c r="Q831" s="168"/>
      <c r="R831" s="168"/>
      <c r="S831" s="168"/>
      <c r="T831" s="168"/>
      <c r="U831" s="168"/>
      <c r="V831" s="168"/>
      <c r="W831" s="168"/>
      <c r="X831" s="168"/>
      <c r="Y831" s="168"/>
      <c r="Z831" s="168"/>
    </row>
    <row r="832" customFormat="false" ht="15.75" hidden="false" customHeight="false" outlineLevel="0" collapsed="false">
      <c r="A832" s="168"/>
      <c r="B832" s="168"/>
      <c r="C832" s="168"/>
      <c r="D832" s="168"/>
      <c r="E832" s="168"/>
      <c r="F832" s="168"/>
      <c r="G832" s="168"/>
      <c r="H832" s="168"/>
      <c r="I832" s="168"/>
      <c r="J832" s="168"/>
      <c r="K832" s="168"/>
      <c r="L832" s="168"/>
      <c r="M832" s="168"/>
      <c r="N832" s="168"/>
      <c r="O832" s="168"/>
      <c r="P832" s="168"/>
      <c r="Q832" s="168"/>
      <c r="R832" s="168"/>
      <c r="S832" s="168"/>
      <c r="T832" s="168"/>
      <c r="U832" s="168"/>
      <c r="V832" s="168"/>
      <c r="W832" s="168"/>
      <c r="X832" s="168"/>
      <c r="Y832" s="168"/>
      <c r="Z832" s="168"/>
    </row>
    <row r="833" customFormat="false" ht="15.75" hidden="false" customHeight="false" outlineLevel="0" collapsed="false">
      <c r="A833" s="168"/>
      <c r="B833" s="168"/>
      <c r="C833" s="168"/>
      <c r="D833" s="168"/>
      <c r="E833" s="168"/>
      <c r="F833" s="168"/>
      <c r="G833" s="168"/>
      <c r="H833" s="168"/>
      <c r="I833" s="168"/>
      <c r="J833" s="168"/>
      <c r="K833" s="168"/>
      <c r="L833" s="168"/>
      <c r="M833" s="168"/>
      <c r="N833" s="168"/>
      <c r="O833" s="168"/>
      <c r="P833" s="168"/>
      <c r="Q833" s="168"/>
      <c r="R833" s="168"/>
      <c r="S833" s="168"/>
      <c r="T833" s="168"/>
      <c r="U833" s="168"/>
      <c r="V833" s="168"/>
      <c r="W833" s="168"/>
      <c r="X833" s="168"/>
      <c r="Y833" s="168"/>
      <c r="Z833" s="168"/>
    </row>
    <row r="834" customFormat="false" ht="15.75" hidden="false" customHeight="false" outlineLevel="0" collapsed="false">
      <c r="A834" s="168"/>
      <c r="B834" s="168"/>
      <c r="C834" s="168"/>
      <c r="D834" s="168"/>
      <c r="E834" s="168"/>
      <c r="F834" s="168"/>
      <c r="G834" s="168"/>
      <c r="H834" s="168"/>
      <c r="I834" s="168"/>
      <c r="J834" s="168"/>
      <c r="K834" s="168"/>
      <c r="L834" s="168"/>
      <c r="M834" s="168"/>
      <c r="N834" s="168"/>
      <c r="O834" s="168"/>
      <c r="P834" s="168"/>
      <c r="Q834" s="168"/>
      <c r="R834" s="168"/>
      <c r="S834" s="168"/>
      <c r="T834" s="168"/>
      <c r="U834" s="168"/>
      <c r="V834" s="168"/>
      <c r="W834" s="168"/>
      <c r="X834" s="168"/>
      <c r="Y834" s="168"/>
      <c r="Z834" s="168"/>
    </row>
    <row r="835" customFormat="false" ht="15.75" hidden="false" customHeight="false" outlineLevel="0" collapsed="false">
      <c r="A835" s="168"/>
      <c r="B835" s="168"/>
      <c r="C835" s="168"/>
      <c r="D835" s="168"/>
      <c r="E835" s="168"/>
      <c r="F835" s="168"/>
      <c r="G835" s="168"/>
      <c r="H835" s="168"/>
      <c r="I835" s="168"/>
      <c r="J835" s="168"/>
      <c r="K835" s="168"/>
      <c r="L835" s="168"/>
      <c r="M835" s="168"/>
      <c r="N835" s="168"/>
      <c r="O835" s="168"/>
      <c r="P835" s="168"/>
      <c r="Q835" s="168"/>
      <c r="R835" s="168"/>
      <c r="S835" s="168"/>
      <c r="T835" s="168"/>
      <c r="U835" s="168"/>
      <c r="V835" s="168"/>
      <c r="W835" s="168"/>
      <c r="X835" s="168"/>
      <c r="Y835" s="168"/>
      <c r="Z835" s="168"/>
    </row>
    <row r="836" customFormat="false" ht="15.75" hidden="false" customHeight="false" outlineLevel="0" collapsed="false">
      <c r="A836" s="168"/>
      <c r="B836" s="168"/>
      <c r="C836" s="168"/>
      <c r="D836" s="168"/>
      <c r="E836" s="168"/>
      <c r="F836" s="168"/>
      <c r="G836" s="168"/>
      <c r="H836" s="168"/>
      <c r="I836" s="168"/>
      <c r="J836" s="168"/>
      <c r="K836" s="168"/>
      <c r="L836" s="168"/>
      <c r="M836" s="168"/>
      <c r="N836" s="168"/>
      <c r="O836" s="168"/>
      <c r="P836" s="168"/>
      <c r="Q836" s="168"/>
      <c r="R836" s="168"/>
      <c r="S836" s="168"/>
      <c r="T836" s="168"/>
      <c r="U836" s="168"/>
      <c r="V836" s="168"/>
      <c r="W836" s="168"/>
      <c r="X836" s="168"/>
      <c r="Y836" s="168"/>
      <c r="Z836" s="168"/>
    </row>
    <row r="837" customFormat="false" ht="15.75" hidden="false" customHeight="false" outlineLevel="0" collapsed="false">
      <c r="A837" s="168"/>
      <c r="B837" s="168"/>
      <c r="C837" s="168"/>
      <c r="D837" s="168"/>
      <c r="E837" s="168"/>
      <c r="F837" s="168"/>
      <c r="G837" s="168"/>
      <c r="H837" s="168"/>
      <c r="I837" s="168"/>
      <c r="J837" s="168"/>
      <c r="K837" s="168"/>
      <c r="L837" s="168"/>
      <c r="M837" s="168"/>
      <c r="N837" s="168"/>
      <c r="O837" s="168"/>
      <c r="P837" s="168"/>
      <c r="Q837" s="168"/>
      <c r="R837" s="168"/>
      <c r="S837" s="168"/>
      <c r="T837" s="168"/>
      <c r="U837" s="168"/>
      <c r="V837" s="168"/>
      <c r="W837" s="168"/>
      <c r="X837" s="168"/>
      <c r="Y837" s="168"/>
      <c r="Z837" s="168"/>
    </row>
    <row r="838" customFormat="false" ht="15.75" hidden="false" customHeight="false" outlineLevel="0" collapsed="false">
      <c r="A838" s="168"/>
      <c r="B838" s="168"/>
      <c r="C838" s="168"/>
      <c r="D838" s="168"/>
      <c r="E838" s="168"/>
      <c r="F838" s="168"/>
      <c r="G838" s="168"/>
      <c r="H838" s="168"/>
      <c r="I838" s="168"/>
      <c r="J838" s="168"/>
      <c r="K838" s="168"/>
      <c r="L838" s="168"/>
      <c r="M838" s="168"/>
      <c r="N838" s="168"/>
      <c r="O838" s="168"/>
      <c r="P838" s="168"/>
      <c r="Q838" s="168"/>
      <c r="R838" s="168"/>
      <c r="S838" s="168"/>
      <c r="T838" s="168"/>
      <c r="U838" s="168"/>
      <c r="V838" s="168"/>
      <c r="W838" s="168"/>
      <c r="X838" s="168"/>
      <c r="Y838" s="168"/>
      <c r="Z838" s="168"/>
    </row>
    <row r="839" customFormat="false" ht="15.75" hidden="false" customHeight="false" outlineLevel="0" collapsed="false">
      <c r="A839" s="168"/>
      <c r="B839" s="168"/>
      <c r="C839" s="168"/>
      <c r="D839" s="168"/>
      <c r="E839" s="168"/>
      <c r="F839" s="168"/>
      <c r="G839" s="168"/>
      <c r="H839" s="168"/>
      <c r="I839" s="168"/>
      <c r="J839" s="168"/>
      <c r="K839" s="168"/>
      <c r="L839" s="168"/>
      <c r="M839" s="168"/>
      <c r="N839" s="168"/>
      <c r="O839" s="168"/>
      <c r="P839" s="168"/>
      <c r="Q839" s="168"/>
      <c r="R839" s="168"/>
      <c r="S839" s="168"/>
      <c r="T839" s="168"/>
      <c r="U839" s="168"/>
      <c r="V839" s="168"/>
      <c r="W839" s="168"/>
      <c r="X839" s="168"/>
      <c r="Y839" s="168"/>
      <c r="Z839" s="168"/>
    </row>
    <row r="840" customFormat="false" ht="15.75" hidden="false" customHeight="false" outlineLevel="0" collapsed="false">
      <c r="A840" s="168"/>
      <c r="B840" s="168"/>
      <c r="C840" s="168"/>
      <c r="D840" s="168"/>
      <c r="E840" s="168"/>
      <c r="F840" s="168"/>
      <c r="G840" s="168"/>
      <c r="H840" s="168"/>
      <c r="I840" s="168"/>
      <c r="J840" s="168"/>
      <c r="K840" s="168"/>
      <c r="L840" s="168"/>
      <c r="M840" s="168"/>
      <c r="N840" s="168"/>
      <c r="O840" s="168"/>
      <c r="P840" s="168"/>
      <c r="Q840" s="168"/>
      <c r="R840" s="168"/>
      <c r="S840" s="168"/>
      <c r="T840" s="168"/>
      <c r="U840" s="168"/>
      <c r="V840" s="168"/>
      <c r="W840" s="168"/>
      <c r="X840" s="168"/>
      <c r="Y840" s="168"/>
      <c r="Z840" s="168"/>
    </row>
    <row r="841" customFormat="false" ht="15.75" hidden="false" customHeight="false" outlineLevel="0" collapsed="false">
      <c r="A841" s="168"/>
      <c r="B841" s="168"/>
      <c r="C841" s="168"/>
      <c r="D841" s="168"/>
      <c r="E841" s="168"/>
      <c r="F841" s="168"/>
      <c r="G841" s="168"/>
      <c r="H841" s="168"/>
      <c r="I841" s="168"/>
      <c r="J841" s="168"/>
      <c r="K841" s="168"/>
      <c r="L841" s="168"/>
      <c r="M841" s="168"/>
      <c r="N841" s="168"/>
      <c r="O841" s="168"/>
      <c r="P841" s="168"/>
      <c r="Q841" s="168"/>
      <c r="R841" s="168"/>
      <c r="S841" s="168"/>
      <c r="T841" s="168"/>
      <c r="U841" s="168"/>
      <c r="V841" s="168"/>
      <c r="W841" s="168"/>
      <c r="X841" s="168"/>
      <c r="Y841" s="168"/>
      <c r="Z841" s="168"/>
    </row>
    <row r="842" customFormat="false" ht="15.75" hidden="false" customHeight="false" outlineLevel="0" collapsed="false">
      <c r="A842" s="168"/>
      <c r="B842" s="168"/>
      <c r="C842" s="168"/>
      <c r="D842" s="168"/>
      <c r="E842" s="168"/>
      <c r="F842" s="168"/>
      <c r="G842" s="168"/>
      <c r="H842" s="168"/>
      <c r="I842" s="168"/>
      <c r="J842" s="168"/>
      <c r="K842" s="168"/>
      <c r="L842" s="168"/>
      <c r="M842" s="168"/>
      <c r="N842" s="168"/>
      <c r="O842" s="168"/>
      <c r="P842" s="168"/>
      <c r="Q842" s="168"/>
      <c r="R842" s="168"/>
      <c r="S842" s="168"/>
      <c r="T842" s="168"/>
      <c r="U842" s="168"/>
      <c r="V842" s="168"/>
      <c r="W842" s="168"/>
      <c r="X842" s="168"/>
      <c r="Y842" s="168"/>
      <c r="Z842" s="168"/>
    </row>
    <row r="843" customFormat="false" ht="15.75" hidden="false" customHeight="false" outlineLevel="0" collapsed="false">
      <c r="A843" s="168"/>
      <c r="B843" s="168"/>
      <c r="C843" s="168"/>
      <c r="D843" s="168"/>
      <c r="E843" s="168"/>
      <c r="F843" s="168"/>
      <c r="G843" s="168"/>
      <c r="H843" s="168"/>
      <c r="I843" s="168"/>
      <c r="J843" s="168"/>
      <c r="K843" s="168"/>
      <c r="L843" s="168"/>
      <c r="M843" s="168"/>
      <c r="N843" s="168"/>
      <c r="O843" s="168"/>
      <c r="P843" s="168"/>
      <c r="Q843" s="168"/>
      <c r="R843" s="168"/>
      <c r="S843" s="168"/>
      <c r="T843" s="168"/>
      <c r="U843" s="168"/>
      <c r="V843" s="168"/>
      <c r="W843" s="168"/>
      <c r="X843" s="168"/>
      <c r="Y843" s="168"/>
      <c r="Z843" s="168"/>
    </row>
    <row r="844" customFormat="false" ht="15.75" hidden="false" customHeight="false" outlineLevel="0" collapsed="false">
      <c r="A844" s="168"/>
      <c r="B844" s="168"/>
      <c r="C844" s="168"/>
      <c r="D844" s="168"/>
      <c r="E844" s="168"/>
      <c r="F844" s="168"/>
      <c r="G844" s="168"/>
      <c r="H844" s="168"/>
      <c r="I844" s="168"/>
      <c r="J844" s="168"/>
      <c r="K844" s="168"/>
      <c r="L844" s="168"/>
      <c r="M844" s="168"/>
      <c r="N844" s="168"/>
      <c r="O844" s="168"/>
      <c r="P844" s="168"/>
      <c r="Q844" s="168"/>
      <c r="R844" s="168"/>
      <c r="S844" s="168"/>
      <c r="T844" s="168"/>
      <c r="U844" s="168"/>
      <c r="V844" s="168"/>
      <c r="W844" s="168"/>
      <c r="X844" s="168"/>
      <c r="Y844" s="168"/>
      <c r="Z844" s="168"/>
    </row>
    <row r="845" customFormat="false" ht="15.75" hidden="false" customHeight="false" outlineLevel="0" collapsed="false">
      <c r="A845" s="168"/>
      <c r="B845" s="168"/>
      <c r="C845" s="168"/>
      <c r="D845" s="168"/>
      <c r="E845" s="168"/>
      <c r="F845" s="168"/>
      <c r="G845" s="168"/>
      <c r="H845" s="168"/>
      <c r="I845" s="168"/>
      <c r="J845" s="168"/>
      <c r="K845" s="168"/>
      <c r="L845" s="168"/>
      <c r="M845" s="168"/>
      <c r="N845" s="168"/>
      <c r="O845" s="168"/>
      <c r="P845" s="168"/>
      <c r="Q845" s="168"/>
      <c r="R845" s="168"/>
      <c r="S845" s="168"/>
      <c r="T845" s="168"/>
      <c r="U845" s="168"/>
      <c r="V845" s="168"/>
      <c r="W845" s="168"/>
      <c r="X845" s="168"/>
      <c r="Y845" s="168"/>
      <c r="Z845" s="168"/>
    </row>
    <row r="846" customFormat="false" ht="15.75" hidden="false" customHeight="false" outlineLevel="0" collapsed="false">
      <c r="A846" s="168"/>
      <c r="B846" s="168"/>
      <c r="C846" s="168"/>
      <c r="D846" s="168"/>
      <c r="E846" s="168"/>
      <c r="F846" s="168"/>
      <c r="G846" s="168"/>
      <c r="H846" s="168"/>
      <c r="I846" s="168"/>
      <c r="J846" s="168"/>
      <c r="K846" s="168"/>
      <c r="L846" s="168"/>
      <c r="M846" s="168"/>
      <c r="N846" s="168"/>
      <c r="O846" s="168"/>
      <c r="P846" s="168"/>
      <c r="Q846" s="168"/>
      <c r="R846" s="168"/>
      <c r="S846" s="168"/>
      <c r="T846" s="168"/>
      <c r="U846" s="168"/>
      <c r="V846" s="168"/>
      <c r="W846" s="168"/>
      <c r="X846" s="168"/>
      <c r="Y846" s="168"/>
      <c r="Z846" s="168"/>
    </row>
    <row r="847" customFormat="false" ht="15.75" hidden="false" customHeight="false" outlineLevel="0" collapsed="false">
      <c r="A847" s="168"/>
      <c r="B847" s="168"/>
      <c r="C847" s="168"/>
      <c r="D847" s="168"/>
      <c r="E847" s="168"/>
      <c r="F847" s="168"/>
      <c r="G847" s="168"/>
      <c r="H847" s="168"/>
      <c r="I847" s="168"/>
      <c r="J847" s="168"/>
      <c r="K847" s="168"/>
      <c r="L847" s="168"/>
      <c r="M847" s="168"/>
      <c r="N847" s="168"/>
      <c r="O847" s="168"/>
      <c r="P847" s="168"/>
      <c r="Q847" s="168"/>
      <c r="R847" s="168"/>
      <c r="S847" s="168"/>
      <c r="T847" s="168"/>
      <c r="U847" s="168"/>
      <c r="V847" s="168"/>
      <c r="W847" s="168"/>
      <c r="X847" s="168"/>
      <c r="Y847" s="168"/>
      <c r="Z847" s="168"/>
    </row>
    <row r="848" customFormat="false" ht="15.75" hidden="false" customHeight="false" outlineLevel="0" collapsed="false">
      <c r="A848" s="168"/>
      <c r="B848" s="168"/>
      <c r="C848" s="168"/>
      <c r="D848" s="168"/>
      <c r="E848" s="168"/>
      <c r="F848" s="168"/>
      <c r="G848" s="168"/>
      <c r="H848" s="168"/>
      <c r="I848" s="168"/>
      <c r="J848" s="168"/>
      <c r="K848" s="168"/>
      <c r="L848" s="168"/>
      <c r="M848" s="168"/>
      <c r="N848" s="168"/>
      <c r="O848" s="168"/>
      <c r="P848" s="168"/>
      <c r="Q848" s="168"/>
      <c r="R848" s="168"/>
      <c r="S848" s="168"/>
      <c r="T848" s="168"/>
      <c r="U848" s="168"/>
      <c r="V848" s="168"/>
      <c r="W848" s="168"/>
      <c r="X848" s="168"/>
      <c r="Y848" s="168"/>
      <c r="Z848" s="168"/>
    </row>
    <row r="849" customFormat="false" ht="15.75" hidden="false" customHeight="false" outlineLevel="0" collapsed="false">
      <c r="A849" s="168"/>
      <c r="B849" s="168"/>
      <c r="C849" s="168"/>
      <c r="D849" s="168"/>
      <c r="E849" s="168"/>
      <c r="F849" s="168"/>
      <c r="G849" s="168"/>
      <c r="H849" s="168"/>
      <c r="I849" s="168"/>
      <c r="J849" s="168"/>
      <c r="K849" s="168"/>
      <c r="L849" s="168"/>
      <c r="M849" s="168"/>
      <c r="N849" s="168"/>
      <c r="O849" s="168"/>
      <c r="P849" s="168"/>
      <c r="Q849" s="168"/>
      <c r="R849" s="168"/>
      <c r="S849" s="168"/>
      <c r="T849" s="168"/>
      <c r="U849" s="168"/>
      <c r="V849" s="168"/>
      <c r="W849" s="168"/>
      <c r="X849" s="168"/>
      <c r="Y849" s="168"/>
      <c r="Z849" s="168"/>
    </row>
    <row r="850" customFormat="false" ht="15.75" hidden="false" customHeight="false" outlineLevel="0" collapsed="false">
      <c r="A850" s="168"/>
      <c r="B850" s="168"/>
      <c r="C850" s="168"/>
      <c r="D850" s="168"/>
      <c r="E850" s="168"/>
      <c r="F850" s="168"/>
      <c r="G850" s="168"/>
      <c r="H850" s="168"/>
      <c r="I850" s="168"/>
      <c r="J850" s="168"/>
      <c r="K850" s="168"/>
      <c r="L850" s="168"/>
      <c r="M850" s="168"/>
      <c r="N850" s="168"/>
      <c r="O850" s="168"/>
      <c r="P850" s="168"/>
      <c r="Q850" s="168"/>
      <c r="R850" s="168"/>
      <c r="S850" s="168"/>
      <c r="T850" s="168"/>
      <c r="U850" s="168"/>
      <c r="V850" s="168"/>
      <c r="W850" s="168"/>
      <c r="X850" s="168"/>
      <c r="Y850" s="168"/>
      <c r="Z850" s="168"/>
    </row>
    <row r="851" customFormat="false" ht="15.75" hidden="false" customHeight="false" outlineLevel="0" collapsed="false">
      <c r="A851" s="168"/>
      <c r="B851" s="168"/>
      <c r="C851" s="168"/>
      <c r="D851" s="168"/>
      <c r="E851" s="168"/>
      <c r="F851" s="168"/>
      <c r="G851" s="168"/>
      <c r="H851" s="168"/>
      <c r="I851" s="168"/>
      <c r="J851" s="168"/>
      <c r="K851" s="168"/>
      <c r="L851" s="168"/>
      <c r="M851" s="168"/>
      <c r="N851" s="168"/>
      <c r="O851" s="168"/>
      <c r="P851" s="168"/>
      <c r="Q851" s="168"/>
      <c r="R851" s="168"/>
      <c r="S851" s="168"/>
      <c r="T851" s="168"/>
      <c r="U851" s="168"/>
      <c r="V851" s="168"/>
      <c r="W851" s="168"/>
      <c r="X851" s="168"/>
      <c r="Y851" s="168"/>
      <c r="Z851" s="168"/>
    </row>
    <row r="852" customFormat="false" ht="15.75" hidden="false" customHeight="false" outlineLevel="0" collapsed="false">
      <c r="A852" s="168"/>
      <c r="B852" s="168"/>
      <c r="C852" s="168"/>
      <c r="D852" s="168"/>
      <c r="E852" s="168"/>
      <c r="F852" s="168"/>
      <c r="G852" s="168"/>
      <c r="H852" s="168"/>
      <c r="I852" s="168"/>
      <c r="J852" s="168"/>
      <c r="K852" s="168"/>
      <c r="L852" s="168"/>
      <c r="M852" s="168"/>
      <c r="N852" s="168"/>
      <c r="O852" s="168"/>
      <c r="P852" s="168"/>
      <c r="Q852" s="168"/>
      <c r="R852" s="168"/>
      <c r="S852" s="168"/>
      <c r="T852" s="168"/>
      <c r="U852" s="168"/>
      <c r="V852" s="168"/>
      <c r="W852" s="168"/>
      <c r="X852" s="168"/>
      <c r="Y852" s="168"/>
      <c r="Z852" s="168"/>
    </row>
    <row r="853" customFormat="false" ht="15.75" hidden="false" customHeight="false" outlineLevel="0" collapsed="false">
      <c r="A853" s="168"/>
      <c r="B853" s="168"/>
      <c r="C853" s="168"/>
      <c r="D853" s="168"/>
      <c r="E853" s="168"/>
      <c r="F853" s="168"/>
      <c r="G853" s="168"/>
      <c r="H853" s="168"/>
      <c r="I853" s="168"/>
      <c r="J853" s="168"/>
      <c r="K853" s="168"/>
      <c r="L853" s="168"/>
      <c r="M853" s="168"/>
      <c r="N853" s="168"/>
      <c r="O853" s="168"/>
      <c r="P853" s="168"/>
      <c r="Q853" s="168"/>
      <c r="R853" s="168"/>
      <c r="S853" s="168"/>
      <c r="T853" s="168"/>
      <c r="U853" s="168"/>
      <c r="V853" s="168"/>
      <c r="W853" s="168"/>
      <c r="X853" s="168"/>
      <c r="Y853" s="168"/>
      <c r="Z853" s="168"/>
    </row>
    <row r="854" customFormat="false" ht="15.75" hidden="false" customHeight="false" outlineLevel="0" collapsed="false">
      <c r="A854" s="168"/>
      <c r="B854" s="168"/>
      <c r="C854" s="168"/>
      <c r="D854" s="168"/>
      <c r="E854" s="168"/>
      <c r="F854" s="168"/>
      <c r="G854" s="168"/>
      <c r="H854" s="168"/>
      <c r="I854" s="168"/>
      <c r="J854" s="168"/>
      <c r="K854" s="168"/>
      <c r="L854" s="168"/>
      <c r="M854" s="168"/>
      <c r="N854" s="168"/>
      <c r="O854" s="168"/>
      <c r="P854" s="168"/>
      <c r="Q854" s="168"/>
      <c r="R854" s="168"/>
      <c r="S854" s="168"/>
      <c r="T854" s="168"/>
      <c r="U854" s="168"/>
      <c r="V854" s="168"/>
      <c r="W854" s="168"/>
      <c r="X854" s="168"/>
      <c r="Y854" s="168"/>
      <c r="Z854" s="168"/>
    </row>
    <row r="855" customFormat="false" ht="15.75" hidden="false" customHeight="false" outlineLevel="0" collapsed="false">
      <c r="A855" s="168"/>
      <c r="B855" s="168"/>
      <c r="C855" s="168"/>
      <c r="D855" s="168"/>
      <c r="E855" s="168"/>
      <c r="F855" s="168"/>
      <c r="G855" s="168"/>
      <c r="H855" s="168"/>
      <c r="I855" s="168"/>
      <c r="J855" s="168"/>
      <c r="K855" s="168"/>
      <c r="L855" s="168"/>
      <c r="M855" s="168"/>
      <c r="N855" s="168"/>
      <c r="O855" s="168"/>
      <c r="P855" s="168"/>
      <c r="Q855" s="168"/>
      <c r="R855" s="168"/>
      <c r="S855" s="168"/>
      <c r="T855" s="168"/>
      <c r="U855" s="168"/>
      <c r="V855" s="168"/>
      <c r="W855" s="168"/>
      <c r="X855" s="168"/>
      <c r="Y855" s="168"/>
      <c r="Z855" s="168"/>
    </row>
    <row r="856" customFormat="false" ht="15.75" hidden="false" customHeight="false" outlineLevel="0" collapsed="false">
      <c r="A856" s="168"/>
      <c r="B856" s="168"/>
      <c r="C856" s="168"/>
      <c r="D856" s="168"/>
      <c r="E856" s="168"/>
      <c r="F856" s="168"/>
      <c r="G856" s="168"/>
      <c r="H856" s="168"/>
      <c r="I856" s="168"/>
      <c r="J856" s="168"/>
      <c r="K856" s="168"/>
      <c r="L856" s="168"/>
      <c r="M856" s="168"/>
      <c r="N856" s="168"/>
      <c r="O856" s="168"/>
      <c r="P856" s="168"/>
      <c r="Q856" s="168"/>
      <c r="R856" s="168"/>
      <c r="S856" s="168"/>
      <c r="T856" s="168"/>
      <c r="U856" s="168"/>
      <c r="V856" s="168"/>
      <c r="W856" s="168"/>
      <c r="X856" s="168"/>
      <c r="Y856" s="168"/>
      <c r="Z856" s="168"/>
    </row>
    <row r="857" customFormat="false" ht="15.75" hidden="false" customHeight="false" outlineLevel="0" collapsed="false">
      <c r="A857" s="168"/>
      <c r="B857" s="168"/>
      <c r="C857" s="168"/>
      <c r="D857" s="168"/>
      <c r="E857" s="168"/>
      <c r="F857" s="168"/>
      <c r="G857" s="168"/>
      <c r="H857" s="168"/>
      <c r="I857" s="168"/>
      <c r="J857" s="168"/>
      <c r="K857" s="168"/>
      <c r="L857" s="168"/>
      <c r="M857" s="168"/>
      <c r="N857" s="168"/>
      <c r="O857" s="168"/>
      <c r="P857" s="168"/>
      <c r="Q857" s="168"/>
      <c r="R857" s="168"/>
      <c r="S857" s="168"/>
      <c r="T857" s="168"/>
      <c r="U857" s="168"/>
      <c r="V857" s="168"/>
      <c r="W857" s="168"/>
      <c r="X857" s="168"/>
      <c r="Y857" s="168"/>
      <c r="Z857" s="168"/>
    </row>
    <row r="858" customFormat="false" ht="15.75" hidden="false" customHeight="false" outlineLevel="0" collapsed="false">
      <c r="A858" s="168"/>
      <c r="B858" s="168"/>
      <c r="C858" s="168"/>
      <c r="D858" s="168"/>
      <c r="E858" s="168"/>
      <c r="F858" s="168"/>
      <c r="G858" s="168"/>
      <c r="H858" s="168"/>
      <c r="I858" s="168"/>
      <c r="J858" s="168"/>
      <c r="K858" s="168"/>
      <c r="L858" s="168"/>
      <c r="M858" s="168"/>
      <c r="N858" s="168"/>
      <c r="O858" s="168"/>
      <c r="P858" s="168"/>
      <c r="Q858" s="168"/>
      <c r="R858" s="168"/>
      <c r="S858" s="168"/>
      <c r="T858" s="168"/>
      <c r="U858" s="168"/>
      <c r="V858" s="168"/>
      <c r="W858" s="168"/>
      <c r="X858" s="168"/>
      <c r="Y858" s="168"/>
      <c r="Z858" s="168"/>
    </row>
    <row r="859" customFormat="false" ht="15.75" hidden="false" customHeight="false" outlineLevel="0" collapsed="false">
      <c r="A859" s="168"/>
      <c r="B859" s="168"/>
      <c r="C859" s="168"/>
      <c r="D859" s="168"/>
      <c r="E859" s="168"/>
      <c r="F859" s="168"/>
      <c r="G859" s="168"/>
      <c r="H859" s="168"/>
      <c r="I859" s="168"/>
      <c r="J859" s="168"/>
      <c r="K859" s="168"/>
      <c r="L859" s="168"/>
      <c r="M859" s="168"/>
      <c r="N859" s="168"/>
      <c r="O859" s="168"/>
      <c r="P859" s="168"/>
      <c r="Q859" s="168"/>
      <c r="R859" s="168"/>
      <c r="S859" s="168"/>
      <c r="T859" s="168"/>
      <c r="U859" s="168"/>
      <c r="V859" s="168"/>
      <c r="W859" s="168"/>
      <c r="X859" s="168"/>
      <c r="Y859" s="168"/>
      <c r="Z859" s="168"/>
    </row>
    <row r="860" customFormat="false" ht="15.75" hidden="false" customHeight="false" outlineLevel="0" collapsed="false">
      <c r="A860" s="168"/>
      <c r="B860" s="168"/>
      <c r="C860" s="168"/>
      <c r="D860" s="168"/>
      <c r="E860" s="168"/>
      <c r="F860" s="168"/>
      <c r="G860" s="168"/>
      <c r="H860" s="168"/>
      <c r="I860" s="168"/>
      <c r="J860" s="168"/>
      <c r="K860" s="168"/>
      <c r="L860" s="168"/>
      <c r="M860" s="168"/>
      <c r="N860" s="168"/>
      <c r="O860" s="168"/>
      <c r="P860" s="168"/>
      <c r="Q860" s="168"/>
      <c r="R860" s="168"/>
      <c r="S860" s="168"/>
      <c r="T860" s="168"/>
      <c r="U860" s="168"/>
      <c r="V860" s="168"/>
      <c r="W860" s="168"/>
      <c r="X860" s="168"/>
      <c r="Y860" s="168"/>
      <c r="Z860" s="168"/>
    </row>
    <row r="861" customFormat="false" ht="15.75" hidden="false" customHeight="false" outlineLevel="0" collapsed="false">
      <c r="A861" s="168"/>
      <c r="B861" s="168"/>
      <c r="C861" s="168"/>
      <c r="D861" s="168"/>
      <c r="E861" s="168"/>
      <c r="F861" s="168"/>
      <c r="G861" s="168"/>
      <c r="H861" s="168"/>
      <c r="I861" s="168"/>
      <c r="J861" s="168"/>
      <c r="K861" s="168"/>
      <c r="L861" s="168"/>
      <c r="M861" s="168"/>
      <c r="N861" s="168"/>
      <c r="O861" s="168"/>
      <c r="P861" s="168"/>
      <c r="Q861" s="168"/>
      <c r="R861" s="168"/>
      <c r="S861" s="168"/>
      <c r="T861" s="168"/>
      <c r="U861" s="168"/>
      <c r="V861" s="168"/>
      <c r="W861" s="168"/>
      <c r="X861" s="168"/>
      <c r="Y861" s="168"/>
      <c r="Z861" s="168"/>
    </row>
    <row r="862" customFormat="false" ht="15.75" hidden="false" customHeight="false" outlineLevel="0" collapsed="false">
      <c r="A862" s="168"/>
      <c r="B862" s="168"/>
      <c r="C862" s="168"/>
      <c r="D862" s="168"/>
      <c r="E862" s="168"/>
      <c r="F862" s="168"/>
      <c r="G862" s="168"/>
      <c r="H862" s="168"/>
      <c r="I862" s="168"/>
      <c r="J862" s="168"/>
      <c r="K862" s="168"/>
      <c r="L862" s="168"/>
      <c r="M862" s="168"/>
      <c r="N862" s="168"/>
      <c r="O862" s="168"/>
      <c r="P862" s="168"/>
      <c r="Q862" s="168"/>
      <c r="R862" s="168"/>
      <c r="S862" s="168"/>
      <c r="T862" s="168"/>
      <c r="U862" s="168"/>
      <c r="V862" s="168"/>
      <c r="W862" s="168"/>
      <c r="X862" s="168"/>
      <c r="Y862" s="168"/>
      <c r="Z862" s="168"/>
    </row>
    <row r="863" customFormat="false" ht="15.75" hidden="false" customHeight="false" outlineLevel="0" collapsed="false">
      <c r="A863" s="168"/>
      <c r="B863" s="168"/>
      <c r="C863" s="168"/>
      <c r="D863" s="168"/>
      <c r="E863" s="168"/>
      <c r="F863" s="168"/>
      <c r="G863" s="168"/>
      <c r="H863" s="168"/>
      <c r="I863" s="168"/>
      <c r="J863" s="168"/>
      <c r="K863" s="168"/>
      <c r="L863" s="168"/>
      <c r="M863" s="168"/>
      <c r="N863" s="168"/>
      <c r="O863" s="168"/>
      <c r="P863" s="168"/>
      <c r="Q863" s="168"/>
      <c r="R863" s="168"/>
      <c r="S863" s="168"/>
      <c r="T863" s="168"/>
      <c r="U863" s="168"/>
      <c r="V863" s="168"/>
      <c r="W863" s="168"/>
      <c r="X863" s="168"/>
      <c r="Y863" s="168"/>
      <c r="Z863" s="168"/>
    </row>
    <row r="864" customFormat="false" ht="15.75" hidden="false" customHeight="false" outlineLevel="0" collapsed="false">
      <c r="A864" s="168"/>
      <c r="B864" s="168"/>
      <c r="C864" s="168"/>
      <c r="D864" s="168"/>
      <c r="E864" s="168"/>
      <c r="F864" s="168"/>
      <c r="G864" s="168"/>
      <c r="H864" s="168"/>
      <c r="I864" s="168"/>
      <c r="J864" s="168"/>
      <c r="K864" s="168"/>
      <c r="L864" s="168"/>
      <c r="M864" s="168"/>
      <c r="N864" s="168"/>
      <c r="O864" s="168"/>
      <c r="P864" s="168"/>
      <c r="Q864" s="168"/>
      <c r="R864" s="168"/>
      <c r="S864" s="168"/>
      <c r="T864" s="168"/>
      <c r="U864" s="168"/>
      <c r="V864" s="168"/>
      <c r="W864" s="168"/>
      <c r="X864" s="168"/>
      <c r="Y864" s="168"/>
      <c r="Z864" s="168"/>
    </row>
    <row r="865" customFormat="false" ht="15.75" hidden="false" customHeight="false" outlineLevel="0" collapsed="false">
      <c r="A865" s="168"/>
      <c r="B865" s="168"/>
      <c r="C865" s="168"/>
      <c r="D865" s="168"/>
      <c r="E865" s="168"/>
      <c r="F865" s="168"/>
      <c r="G865" s="168"/>
      <c r="H865" s="168"/>
      <c r="I865" s="168"/>
      <c r="J865" s="168"/>
      <c r="K865" s="168"/>
      <c r="L865" s="168"/>
      <c r="M865" s="168"/>
      <c r="N865" s="168"/>
      <c r="O865" s="168"/>
      <c r="P865" s="168"/>
      <c r="Q865" s="168"/>
      <c r="R865" s="168"/>
      <c r="S865" s="168"/>
      <c r="T865" s="168"/>
      <c r="U865" s="168"/>
      <c r="V865" s="168"/>
      <c r="W865" s="168"/>
      <c r="X865" s="168"/>
      <c r="Y865" s="168"/>
      <c r="Z865" s="168"/>
    </row>
    <row r="866" customFormat="false" ht="15.75" hidden="false" customHeight="false" outlineLevel="0" collapsed="false">
      <c r="A866" s="168"/>
      <c r="B866" s="168"/>
      <c r="C866" s="168"/>
      <c r="D866" s="168"/>
      <c r="E866" s="168"/>
      <c r="F866" s="168"/>
      <c r="G866" s="168"/>
      <c r="H866" s="168"/>
      <c r="I866" s="168"/>
      <c r="J866" s="168"/>
      <c r="K866" s="168"/>
      <c r="L866" s="168"/>
      <c r="M866" s="168"/>
      <c r="N866" s="168"/>
      <c r="O866" s="168"/>
      <c r="P866" s="168"/>
      <c r="Q866" s="168"/>
      <c r="R866" s="168"/>
      <c r="S866" s="168"/>
      <c r="T866" s="168"/>
      <c r="U866" s="168"/>
      <c r="V866" s="168"/>
      <c r="W866" s="168"/>
      <c r="X866" s="168"/>
      <c r="Y866" s="168"/>
      <c r="Z866" s="168"/>
    </row>
    <row r="867" customFormat="false" ht="15.75" hidden="false" customHeight="false" outlineLevel="0" collapsed="false">
      <c r="A867" s="168"/>
      <c r="B867" s="168"/>
      <c r="C867" s="168"/>
      <c r="D867" s="168"/>
      <c r="E867" s="168"/>
      <c r="F867" s="168"/>
      <c r="G867" s="168"/>
      <c r="H867" s="168"/>
      <c r="I867" s="168"/>
      <c r="J867" s="168"/>
      <c r="K867" s="168"/>
      <c r="L867" s="168"/>
      <c r="M867" s="168"/>
      <c r="N867" s="168"/>
      <c r="O867" s="168"/>
      <c r="P867" s="168"/>
      <c r="Q867" s="168"/>
      <c r="R867" s="168"/>
      <c r="S867" s="168"/>
      <c r="T867" s="168"/>
      <c r="U867" s="168"/>
      <c r="V867" s="168"/>
      <c r="W867" s="168"/>
      <c r="X867" s="168"/>
      <c r="Y867" s="168"/>
      <c r="Z867" s="168"/>
    </row>
    <row r="868" customFormat="false" ht="15.75" hidden="false" customHeight="false" outlineLevel="0" collapsed="false">
      <c r="A868" s="168"/>
      <c r="B868" s="168"/>
      <c r="C868" s="168"/>
      <c r="D868" s="168"/>
      <c r="E868" s="168"/>
      <c r="F868" s="168"/>
      <c r="G868" s="168"/>
      <c r="H868" s="168"/>
      <c r="I868" s="168"/>
      <c r="J868" s="168"/>
      <c r="K868" s="168"/>
      <c r="L868" s="168"/>
      <c r="M868" s="168"/>
      <c r="N868" s="168"/>
      <c r="O868" s="168"/>
      <c r="P868" s="168"/>
      <c r="Q868" s="168"/>
      <c r="R868" s="168"/>
      <c r="S868" s="168"/>
      <c r="T868" s="168"/>
      <c r="U868" s="168"/>
      <c r="V868" s="168"/>
      <c r="W868" s="168"/>
      <c r="X868" s="168"/>
      <c r="Y868" s="168"/>
      <c r="Z868" s="168"/>
    </row>
    <row r="869" customFormat="false" ht="15.75" hidden="false" customHeight="false" outlineLevel="0" collapsed="false">
      <c r="A869" s="168"/>
      <c r="B869" s="168"/>
      <c r="C869" s="168"/>
      <c r="D869" s="168"/>
      <c r="E869" s="168"/>
      <c r="F869" s="168"/>
      <c r="G869" s="168"/>
      <c r="H869" s="168"/>
      <c r="I869" s="168"/>
      <c r="J869" s="168"/>
      <c r="K869" s="168"/>
      <c r="L869" s="168"/>
      <c r="M869" s="168"/>
      <c r="N869" s="168"/>
      <c r="O869" s="168"/>
      <c r="P869" s="168"/>
      <c r="Q869" s="168"/>
      <c r="R869" s="168"/>
      <c r="S869" s="168"/>
      <c r="T869" s="168"/>
      <c r="U869" s="168"/>
      <c r="V869" s="168"/>
      <c r="W869" s="168"/>
      <c r="X869" s="168"/>
      <c r="Y869" s="168"/>
      <c r="Z869" s="168"/>
    </row>
    <row r="870" customFormat="false" ht="15.75" hidden="false" customHeight="false" outlineLevel="0" collapsed="false">
      <c r="A870" s="168"/>
      <c r="B870" s="168"/>
      <c r="C870" s="168"/>
      <c r="D870" s="168"/>
      <c r="E870" s="168"/>
      <c r="F870" s="168"/>
      <c r="G870" s="168"/>
      <c r="H870" s="168"/>
      <c r="I870" s="168"/>
      <c r="J870" s="168"/>
      <c r="K870" s="168"/>
      <c r="L870" s="168"/>
      <c r="M870" s="168"/>
      <c r="N870" s="168"/>
      <c r="O870" s="168"/>
      <c r="P870" s="168"/>
      <c r="Q870" s="168"/>
      <c r="R870" s="168"/>
      <c r="S870" s="168"/>
      <c r="T870" s="168"/>
      <c r="U870" s="168"/>
      <c r="V870" s="168"/>
      <c r="W870" s="168"/>
      <c r="X870" s="168"/>
      <c r="Y870" s="168"/>
      <c r="Z870" s="168"/>
    </row>
    <row r="871" customFormat="false" ht="15.75" hidden="false" customHeight="false" outlineLevel="0" collapsed="false">
      <c r="A871" s="168"/>
      <c r="B871" s="168"/>
      <c r="C871" s="168"/>
      <c r="D871" s="168"/>
      <c r="E871" s="168"/>
      <c r="F871" s="168"/>
      <c r="G871" s="168"/>
      <c r="H871" s="168"/>
      <c r="I871" s="168"/>
      <c r="J871" s="168"/>
      <c r="K871" s="168"/>
      <c r="L871" s="168"/>
      <c r="M871" s="168"/>
      <c r="N871" s="168"/>
      <c r="O871" s="168"/>
      <c r="P871" s="168"/>
      <c r="Q871" s="168"/>
      <c r="R871" s="168"/>
      <c r="S871" s="168"/>
      <c r="T871" s="168"/>
      <c r="U871" s="168"/>
      <c r="V871" s="168"/>
      <c r="W871" s="168"/>
      <c r="X871" s="168"/>
      <c r="Y871" s="168"/>
      <c r="Z871" s="168"/>
    </row>
    <row r="872" customFormat="false" ht="15.75" hidden="false" customHeight="false" outlineLevel="0" collapsed="false">
      <c r="A872" s="168"/>
      <c r="B872" s="168"/>
      <c r="C872" s="168"/>
      <c r="D872" s="168"/>
      <c r="E872" s="168"/>
      <c r="F872" s="168"/>
      <c r="G872" s="168"/>
      <c r="H872" s="168"/>
      <c r="I872" s="168"/>
      <c r="J872" s="168"/>
      <c r="K872" s="168"/>
      <c r="L872" s="168"/>
      <c r="M872" s="168"/>
      <c r="N872" s="168"/>
      <c r="O872" s="168"/>
      <c r="P872" s="168"/>
      <c r="Q872" s="168"/>
      <c r="R872" s="168"/>
      <c r="S872" s="168"/>
      <c r="T872" s="168"/>
      <c r="U872" s="168"/>
      <c r="V872" s="168"/>
      <c r="W872" s="168"/>
      <c r="X872" s="168"/>
      <c r="Y872" s="168"/>
      <c r="Z872" s="168"/>
    </row>
    <row r="873" customFormat="false" ht="15.75" hidden="false" customHeight="false" outlineLevel="0" collapsed="false">
      <c r="A873" s="168"/>
      <c r="B873" s="168"/>
      <c r="C873" s="168"/>
      <c r="D873" s="168"/>
      <c r="E873" s="168"/>
      <c r="F873" s="168"/>
      <c r="G873" s="168"/>
      <c r="H873" s="168"/>
      <c r="I873" s="168"/>
      <c r="J873" s="168"/>
      <c r="K873" s="168"/>
      <c r="L873" s="168"/>
      <c r="M873" s="168"/>
      <c r="N873" s="168"/>
      <c r="O873" s="168"/>
      <c r="P873" s="168"/>
      <c r="Q873" s="168"/>
      <c r="R873" s="168"/>
      <c r="S873" s="168"/>
      <c r="T873" s="168"/>
      <c r="U873" s="168"/>
      <c r="V873" s="168"/>
      <c r="W873" s="168"/>
      <c r="X873" s="168"/>
      <c r="Y873" s="168"/>
      <c r="Z873" s="168"/>
    </row>
    <row r="874" customFormat="false" ht="15.75" hidden="false" customHeight="false" outlineLevel="0" collapsed="false">
      <c r="A874" s="168"/>
      <c r="B874" s="168"/>
      <c r="C874" s="168"/>
      <c r="D874" s="168"/>
      <c r="E874" s="168"/>
      <c r="F874" s="168"/>
      <c r="G874" s="168"/>
      <c r="H874" s="168"/>
      <c r="I874" s="168"/>
      <c r="J874" s="168"/>
      <c r="K874" s="168"/>
      <c r="L874" s="168"/>
      <c r="M874" s="168"/>
      <c r="N874" s="168"/>
      <c r="O874" s="168"/>
      <c r="P874" s="168"/>
      <c r="Q874" s="168"/>
      <c r="R874" s="168"/>
      <c r="S874" s="168"/>
      <c r="T874" s="168"/>
      <c r="U874" s="168"/>
      <c r="V874" s="168"/>
      <c r="W874" s="168"/>
      <c r="X874" s="168"/>
      <c r="Y874" s="168"/>
      <c r="Z874" s="168"/>
    </row>
    <row r="875" customFormat="false" ht="15.75" hidden="false" customHeight="false" outlineLevel="0" collapsed="false">
      <c r="A875" s="168"/>
      <c r="B875" s="168"/>
      <c r="C875" s="168"/>
      <c r="D875" s="168"/>
      <c r="E875" s="168"/>
      <c r="F875" s="168"/>
      <c r="G875" s="168"/>
      <c r="H875" s="168"/>
      <c r="I875" s="168"/>
      <c r="J875" s="168"/>
      <c r="K875" s="168"/>
      <c r="L875" s="168"/>
      <c r="M875" s="168"/>
      <c r="N875" s="168"/>
      <c r="O875" s="168"/>
      <c r="P875" s="168"/>
      <c r="Q875" s="168"/>
      <c r="R875" s="168"/>
      <c r="S875" s="168"/>
      <c r="T875" s="168"/>
      <c r="U875" s="168"/>
      <c r="V875" s="168"/>
      <c r="W875" s="168"/>
      <c r="X875" s="168"/>
      <c r="Y875" s="168"/>
      <c r="Z875" s="168"/>
    </row>
    <row r="876" customFormat="false" ht="15.75" hidden="false" customHeight="false" outlineLevel="0" collapsed="false">
      <c r="A876" s="168"/>
      <c r="B876" s="168"/>
      <c r="C876" s="168"/>
      <c r="D876" s="168"/>
      <c r="E876" s="168"/>
      <c r="F876" s="168"/>
      <c r="G876" s="168"/>
      <c r="H876" s="168"/>
      <c r="I876" s="168"/>
      <c r="J876" s="168"/>
      <c r="K876" s="168"/>
      <c r="L876" s="168"/>
      <c r="M876" s="168"/>
      <c r="N876" s="168"/>
      <c r="O876" s="168"/>
      <c r="P876" s="168"/>
      <c r="Q876" s="168"/>
      <c r="R876" s="168"/>
      <c r="S876" s="168"/>
      <c r="T876" s="168"/>
      <c r="U876" s="168"/>
      <c r="V876" s="168"/>
      <c r="W876" s="168"/>
      <c r="X876" s="168"/>
      <c r="Y876" s="168"/>
      <c r="Z876" s="168"/>
    </row>
    <row r="877" customFormat="false" ht="15.75" hidden="false" customHeight="false" outlineLevel="0" collapsed="false">
      <c r="A877" s="168"/>
      <c r="B877" s="168"/>
      <c r="C877" s="168"/>
      <c r="D877" s="168"/>
      <c r="E877" s="168"/>
      <c r="F877" s="168"/>
      <c r="G877" s="168"/>
      <c r="H877" s="168"/>
      <c r="I877" s="168"/>
      <c r="J877" s="168"/>
      <c r="K877" s="168"/>
      <c r="L877" s="168"/>
      <c r="M877" s="168"/>
      <c r="N877" s="168"/>
      <c r="O877" s="168"/>
      <c r="P877" s="168"/>
      <c r="Q877" s="168"/>
      <c r="R877" s="168"/>
      <c r="S877" s="168"/>
      <c r="T877" s="168"/>
      <c r="U877" s="168"/>
      <c r="V877" s="168"/>
      <c r="W877" s="168"/>
      <c r="X877" s="168"/>
      <c r="Y877" s="168"/>
      <c r="Z877" s="168"/>
    </row>
    <row r="878" customFormat="false" ht="15.75" hidden="false" customHeight="false" outlineLevel="0" collapsed="false">
      <c r="A878" s="168"/>
      <c r="B878" s="168"/>
      <c r="C878" s="168"/>
      <c r="D878" s="168"/>
      <c r="E878" s="168"/>
      <c r="F878" s="168"/>
      <c r="G878" s="168"/>
      <c r="H878" s="168"/>
      <c r="I878" s="168"/>
      <c r="J878" s="168"/>
      <c r="K878" s="168"/>
      <c r="L878" s="168"/>
      <c r="M878" s="168"/>
      <c r="N878" s="168"/>
      <c r="O878" s="168"/>
      <c r="P878" s="168"/>
      <c r="Q878" s="168"/>
      <c r="R878" s="168"/>
      <c r="S878" s="168"/>
      <c r="T878" s="168"/>
      <c r="U878" s="168"/>
      <c r="V878" s="168"/>
      <c r="W878" s="168"/>
      <c r="X878" s="168"/>
      <c r="Y878" s="168"/>
      <c r="Z878" s="168"/>
    </row>
    <row r="879" customFormat="false" ht="15.75" hidden="false" customHeight="false" outlineLevel="0" collapsed="false">
      <c r="A879" s="168"/>
      <c r="B879" s="168"/>
      <c r="C879" s="168"/>
      <c r="D879" s="168"/>
      <c r="E879" s="168"/>
      <c r="F879" s="168"/>
      <c r="G879" s="168"/>
      <c r="H879" s="168"/>
      <c r="I879" s="168"/>
      <c r="J879" s="168"/>
      <c r="K879" s="168"/>
      <c r="L879" s="168"/>
      <c r="M879" s="168"/>
      <c r="N879" s="168"/>
      <c r="O879" s="168"/>
      <c r="P879" s="168"/>
      <c r="Q879" s="168"/>
      <c r="R879" s="168"/>
      <c r="S879" s="168"/>
      <c r="T879" s="168"/>
      <c r="U879" s="168"/>
      <c r="V879" s="168"/>
      <c r="W879" s="168"/>
      <c r="X879" s="168"/>
      <c r="Y879" s="168"/>
      <c r="Z879" s="168"/>
    </row>
    <row r="880" customFormat="false" ht="15.75" hidden="false" customHeight="false" outlineLevel="0" collapsed="false">
      <c r="A880" s="168"/>
      <c r="B880" s="168"/>
      <c r="C880" s="168"/>
      <c r="D880" s="168"/>
      <c r="E880" s="168"/>
      <c r="F880" s="168"/>
      <c r="G880" s="168"/>
      <c r="H880" s="168"/>
      <c r="I880" s="168"/>
      <c r="J880" s="168"/>
      <c r="K880" s="168"/>
      <c r="L880" s="168"/>
      <c r="M880" s="168"/>
      <c r="N880" s="168"/>
      <c r="O880" s="168"/>
      <c r="P880" s="168"/>
      <c r="Q880" s="168"/>
      <c r="R880" s="168"/>
      <c r="S880" s="168"/>
      <c r="T880" s="168"/>
      <c r="U880" s="168"/>
      <c r="V880" s="168"/>
      <c r="W880" s="168"/>
      <c r="X880" s="168"/>
      <c r="Y880" s="168"/>
      <c r="Z880" s="168"/>
    </row>
    <row r="881" customFormat="false" ht="15.75" hidden="false" customHeight="false" outlineLevel="0" collapsed="false">
      <c r="A881" s="168"/>
      <c r="B881" s="168"/>
      <c r="C881" s="168"/>
      <c r="D881" s="168"/>
      <c r="E881" s="168"/>
      <c r="F881" s="168"/>
      <c r="G881" s="168"/>
      <c r="H881" s="168"/>
      <c r="I881" s="168"/>
      <c r="J881" s="168"/>
      <c r="K881" s="168"/>
      <c r="L881" s="168"/>
      <c r="M881" s="168"/>
      <c r="N881" s="168"/>
      <c r="O881" s="168"/>
      <c r="P881" s="168"/>
      <c r="Q881" s="168"/>
      <c r="R881" s="168"/>
      <c r="S881" s="168"/>
      <c r="T881" s="168"/>
      <c r="U881" s="168"/>
      <c r="V881" s="168"/>
      <c r="W881" s="168"/>
      <c r="X881" s="168"/>
      <c r="Y881" s="168"/>
      <c r="Z881" s="168"/>
    </row>
    <row r="882" customFormat="false" ht="15.75" hidden="false" customHeight="false" outlineLevel="0" collapsed="false">
      <c r="A882" s="168"/>
      <c r="B882" s="168"/>
      <c r="C882" s="168"/>
      <c r="D882" s="168"/>
      <c r="E882" s="168"/>
      <c r="F882" s="168"/>
      <c r="G882" s="168"/>
      <c r="H882" s="168"/>
      <c r="I882" s="168"/>
      <c r="J882" s="168"/>
      <c r="K882" s="168"/>
      <c r="L882" s="168"/>
      <c r="M882" s="168"/>
      <c r="N882" s="168"/>
      <c r="O882" s="168"/>
      <c r="P882" s="168"/>
      <c r="Q882" s="168"/>
      <c r="R882" s="168"/>
      <c r="S882" s="168"/>
      <c r="T882" s="168"/>
      <c r="U882" s="168"/>
      <c r="V882" s="168"/>
      <c r="W882" s="168"/>
      <c r="X882" s="168"/>
      <c r="Y882" s="168"/>
      <c r="Z882" s="168"/>
    </row>
    <row r="883" customFormat="false" ht="15.75" hidden="false" customHeight="false" outlineLevel="0" collapsed="false">
      <c r="A883" s="168"/>
      <c r="B883" s="168"/>
      <c r="C883" s="168"/>
      <c r="D883" s="168"/>
      <c r="E883" s="168"/>
      <c r="F883" s="168"/>
      <c r="G883" s="168"/>
      <c r="H883" s="168"/>
      <c r="I883" s="168"/>
      <c r="J883" s="168"/>
      <c r="K883" s="168"/>
      <c r="L883" s="168"/>
      <c r="M883" s="168"/>
      <c r="N883" s="168"/>
      <c r="O883" s="168"/>
      <c r="P883" s="168"/>
      <c r="Q883" s="168"/>
      <c r="R883" s="168"/>
      <c r="S883" s="168"/>
      <c r="T883" s="168"/>
      <c r="U883" s="168"/>
      <c r="V883" s="168"/>
      <c r="W883" s="168"/>
      <c r="X883" s="168"/>
      <c r="Y883" s="168"/>
      <c r="Z883" s="168"/>
    </row>
    <row r="884" customFormat="false" ht="15.75" hidden="false" customHeight="false" outlineLevel="0" collapsed="false">
      <c r="A884" s="168"/>
      <c r="B884" s="168"/>
      <c r="C884" s="168"/>
      <c r="D884" s="168"/>
      <c r="E884" s="168"/>
      <c r="F884" s="168"/>
      <c r="G884" s="168"/>
      <c r="H884" s="168"/>
      <c r="I884" s="168"/>
      <c r="J884" s="168"/>
      <c r="K884" s="168"/>
      <c r="L884" s="168"/>
      <c r="M884" s="168"/>
      <c r="N884" s="168"/>
      <c r="O884" s="168"/>
      <c r="P884" s="168"/>
      <c r="Q884" s="168"/>
      <c r="R884" s="168"/>
      <c r="S884" s="168"/>
      <c r="T884" s="168"/>
      <c r="U884" s="168"/>
      <c r="V884" s="168"/>
      <c r="W884" s="168"/>
      <c r="X884" s="168"/>
      <c r="Y884" s="168"/>
      <c r="Z884" s="168"/>
    </row>
    <row r="885" customFormat="false" ht="15.75" hidden="false" customHeight="false" outlineLevel="0" collapsed="false">
      <c r="A885" s="168"/>
      <c r="B885" s="168"/>
      <c r="C885" s="168"/>
      <c r="D885" s="168"/>
      <c r="E885" s="168"/>
      <c r="F885" s="168"/>
      <c r="G885" s="168"/>
      <c r="H885" s="168"/>
      <c r="I885" s="168"/>
      <c r="J885" s="168"/>
      <c r="K885" s="168"/>
      <c r="L885" s="168"/>
      <c r="M885" s="168"/>
      <c r="N885" s="168"/>
      <c r="O885" s="168"/>
      <c r="P885" s="168"/>
      <c r="Q885" s="168"/>
      <c r="R885" s="168"/>
      <c r="S885" s="168"/>
      <c r="T885" s="168"/>
      <c r="U885" s="168"/>
      <c r="V885" s="168"/>
      <c r="W885" s="168"/>
      <c r="X885" s="168"/>
      <c r="Y885" s="168"/>
      <c r="Z885" s="168"/>
    </row>
    <row r="886" customFormat="false" ht="15.75" hidden="false" customHeight="false" outlineLevel="0" collapsed="false">
      <c r="A886" s="168"/>
      <c r="B886" s="168"/>
      <c r="C886" s="168"/>
      <c r="D886" s="168"/>
      <c r="E886" s="168"/>
      <c r="F886" s="168"/>
      <c r="G886" s="168"/>
      <c r="H886" s="168"/>
      <c r="I886" s="168"/>
      <c r="J886" s="168"/>
      <c r="K886" s="168"/>
      <c r="L886" s="168"/>
      <c r="M886" s="168"/>
      <c r="N886" s="168"/>
      <c r="O886" s="168"/>
      <c r="P886" s="168"/>
      <c r="Q886" s="168"/>
      <c r="R886" s="168"/>
      <c r="S886" s="168"/>
      <c r="T886" s="168"/>
      <c r="U886" s="168"/>
      <c r="V886" s="168"/>
      <c r="W886" s="168"/>
      <c r="X886" s="168"/>
      <c r="Y886" s="168"/>
      <c r="Z886" s="168"/>
    </row>
    <row r="887" customFormat="false" ht="15.75" hidden="false" customHeight="false" outlineLevel="0" collapsed="false">
      <c r="A887" s="168"/>
      <c r="B887" s="168"/>
      <c r="C887" s="168"/>
      <c r="D887" s="168"/>
      <c r="E887" s="168"/>
      <c r="F887" s="168"/>
      <c r="G887" s="168"/>
      <c r="H887" s="168"/>
      <c r="I887" s="168"/>
      <c r="J887" s="168"/>
      <c r="K887" s="168"/>
      <c r="L887" s="168"/>
      <c r="M887" s="168"/>
      <c r="N887" s="168"/>
      <c r="O887" s="168"/>
      <c r="P887" s="168"/>
      <c r="Q887" s="168"/>
      <c r="R887" s="168"/>
      <c r="S887" s="168"/>
      <c r="T887" s="168"/>
      <c r="U887" s="168"/>
      <c r="V887" s="168"/>
      <c r="W887" s="168"/>
      <c r="X887" s="168"/>
      <c r="Y887" s="168"/>
      <c r="Z887" s="168"/>
    </row>
    <row r="888" customFormat="false" ht="15.75" hidden="false" customHeight="false" outlineLevel="0" collapsed="false">
      <c r="A888" s="168"/>
      <c r="B888" s="168"/>
      <c r="C888" s="168"/>
      <c r="D888" s="168"/>
      <c r="E888" s="168"/>
      <c r="F888" s="168"/>
      <c r="G888" s="168"/>
      <c r="H888" s="168"/>
      <c r="I888" s="168"/>
      <c r="J888" s="168"/>
      <c r="K888" s="168"/>
      <c r="L888" s="168"/>
      <c r="M888" s="168"/>
      <c r="N888" s="168"/>
      <c r="O888" s="168"/>
      <c r="P888" s="168"/>
      <c r="Q888" s="168"/>
      <c r="R888" s="168"/>
      <c r="S888" s="168"/>
      <c r="T888" s="168"/>
      <c r="U888" s="168"/>
      <c r="V888" s="168"/>
      <c r="W888" s="168"/>
      <c r="X888" s="168"/>
      <c r="Y888" s="168"/>
      <c r="Z888" s="168"/>
    </row>
    <row r="889" customFormat="false" ht="15.75" hidden="false" customHeight="false" outlineLevel="0" collapsed="false">
      <c r="A889" s="168"/>
      <c r="B889" s="168"/>
      <c r="C889" s="168"/>
      <c r="D889" s="168"/>
      <c r="E889" s="168"/>
      <c r="F889" s="168"/>
      <c r="G889" s="168"/>
      <c r="H889" s="168"/>
      <c r="I889" s="168"/>
      <c r="J889" s="168"/>
      <c r="K889" s="168"/>
      <c r="L889" s="168"/>
      <c r="M889" s="168"/>
      <c r="N889" s="168"/>
      <c r="O889" s="168"/>
      <c r="P889" s="168"/>
      <c r="Q889" s="168"/>
      <c r="R889" s="168"/>
      <c r="S889" s="168"/>
      <c r="T889" s="168"/>
      <c r="U889" s="168"/>
      <c r="V889" s="168"/>
      <c r="W889" s="168"/>
      <c r="X889" s="168"/>
      <c r="Y889" s="168"/>
      <c r="Z889" s="168"/>
    </row>
    <row r="890" customFormat="false" ht="15.75" hidden="false" customHeight="false" outlineLevel="0" collapsed="false">
      <c r="A890" s="168"/>
      <c r="B890" s="168"/>
      <c r="C890" s="168"/>
      <c r="D890" s="168"/>
      <c r="E890" s="168"/>
      <c r="F890" s="168"/>
      <c r="G890" s="168"/>
      <c r="H890" s="168"/>
      <c r="I890" s="168"/>
      <c r="J890" s="168"/>
      <c r="K890" s="168"/>
      <c r="L890" s="168"/>
      <c r="M890" s="168"/>
      <c r="N890" s="168"/>
      <c r="O890" s="168"/>
      <c r="P890" s="168"/>
      <c r="Q890" s="168"/>
      <c r="R890" s="168"/>
      <c r="S890" s="168"/>
      <c r="T890" s="168"/>
      <c r="U890" s="168"/>
      <c r="V890" s="168"/>
      <c r="W890" s="168"/>
      <c r="X890" s="168"/>
      <c r="Y890" s="168"/>
      <c r="Z890" s="168"/>
    </row>
    <row r="891" customFormat="false" ht="15.75" hidden="false" customHeight="false" outlineLevel="0" collapsed="false">
      <c r="A891" s="168"/>
      <c r="B891" s="168"/>
      <c r="C891" s="168"/>
      <c r="D891" s="168"/>
      <c r="E891" s="168"/>
      <c r="F891" s="168"/>
      <c r="G891" s="168"/>
      <c r="H891" s="168"/>
      <c r="I891" s="168"/>
      <c r="J891" s="168"/>
      <c r="K891" s="168"/>
      <c r="L891" s="168"/>
      <c r="M891" s="168"/>
      <c r="N891" s="168"/>
      <c r="O891" s="168"/>
      <c r="P891" s="168"/>
      <c r="Q891" s="168"/>
      <c r="R891" s="168"/>
      <c r="S891" s="168"/>
      <c r="T891" s="168"/>
      <c r="U891" s="168"/>
      <c r="V891" s="168"/>
      <c r="W891" s="168"/>
      <c r="X891" s="168"/>
      <c r="Y891" s="168"/>
      <c r="Z891" s="168"/>
    </row>
    <row r="892" customFormat="false" ht="15.75" hidden="false" customHeight="false" outlineLevel="0" collapsed="false">
      <c r="A892" s="168"/>
      <c r="B892" s="168"/>
      <c r="C892" s="168"/>
      <c r="D892" s="168"/>
      <c r="E892" s="168"/>
      <c r="F892" s="168"/>
      <c r="G892" s="168"/>
      <c r="H892" s="168"/>
      <c r="I892" s="168"/>
      <c r="J892" s="168"/>
      <c r="K892" s="168"/>
      <c r="L892" s="168"/>
      <c r="M892" s="168"/>
      <c r="N892" s="168"/>
      <c r="O892" s="168"/>
      <c r="P892" s="168"/>
      <c r="Q892" s="168"/>
      <c r="R892" s="168"/>
      <c r="S892" s="168"/>
      <c r="T892" s="168"/>
      <c r="U892" s="168"/>
      <c r="V892" s="168"/>
      <c r="W892" s="168"/>
      <c r="X892" s="168"/>
      <c r="Y892" s="168"/>
      <c r="Z892" s="168"/>
    </row>
    <row r="893" customFormat="false" ht="15.75" hidden="false" customHeight="false" outlineLevel="0" collapsed="false">
      <c r="A893" s="168"/>
      <c r="B893" s="168"/>
      <c r="C893" s="168"/>
      <c r="D893" s="168"/>
      <c r="E893" s="168"/>
      <c r="F893" s="168"/>
      <c r="G893" s="168"/>
      <c r="H893" s="168"/>
      <c r="I893" s="168"/>
      <c r="J893" s="168"/>
      <c r="K893" s="168"/>
      <c r="L893" s="168"/>
      <c r="M893" s="168"/>
      <c r="N893" s="168"/>
      <c r="O893" s="168"/>
      <c r="P893" s="168"/>
      <c r="Q893" s="168"/>
      <c r="R893" s="168"/>
      <c r="S893" s="168"/>
      <c r="T893" s="168"/>
      <c r="U893" s="168"/>
      <c r="V893" s="168"/>
      <c r="W893" s="168"/>
      <c r="X893" s="168"/>
      <c r="Y893" s="168"/>
      <c r="Z893" s="168"/>
    </row>
    <row r="894" customFormat="false" ht="15.75" hidden="false" customHeight="false" outlineLevel="0" collapsed="false">
      <c r="A894" s="168"/>
      <c r="B894" s="168"/>
      <c r="C894" s="168"/>
      <c r="D894" s="168"/>
      <c r="E894" s="168"/>
      <c r="F894" s="168"/>
      <c r="G894" s="168"/>
      <c r="H894" s="168"/>
      <c r="I894" s="168"/>
      <c r="J894" s="168"/>
      <c r="K894" s="168"/>
      <c r="L894" s="168"/>
      <c r="M894" s="168"/>
      <c r="N894" s="168"/>
      <c r="O894" s="168"/>
      <c r="P894" s="168"/>
      <c r="Q894" s="168"/>
      <c r="R894" s="168"/>
      <c r="S894" s="168"/>
      <c r="T894" s="168"/>
      <c r="U894" s="168"/>
      <c r="V894" s="168"/>
      <c r="W894" s="168"/>
      <c r="X894" s="168"/>
      <c r="Y894" s="168"/>
      <c r="Z894" s="168"/>
    </row>
    <row r="895" customFormat="false" ht="15.75" hidden="false" customHeight="false" outlineLevel="0" collapsed="false">
      <c r="A895" s="168"/>
      <c r="B895" s="168"/>
      <c r="C895" s="168"/>
      <c r="D895" s="168"/>
      <c r="E895" s="168"/>
      <c r="F895" s="168"/>
      <c r="G895" s="168"/>
      <c r="H895" s="168"/>
      <c r="I895" s="168"/>
      <c r="J895" s="168"/>
      <c r="K895" s="168"/>
      <c r="L895" s="168"/>
      <c r="M895" s="168"/>
      <c r="N895" s="168"/>
      <c r="O895" s="168"/>
      <c r="P895" s="168"/>
      <c r="Q895" s="168"/>
      <c r="R895" s="168"/>
      <c r="S895" s="168"/>
      <c r="T895" s="168"/>
      <c r="U895" s="168"/>
      <c r="V895" s="168"/>
      <c r="W895" s="168"/>
      <c r="X895" s="168"/>
      <c r="Y895" s="168"/>
      <c r="Z895" s="168"/>
    </row>
    <row r="896" customFormat="false" ht="15.75" hidden="false" customHeight="false" outlineLevel="0" collapsed="false">
      <c r="A896" s="168"/>
      <c r="B896" s="168"/>
      <c r="C896" s="168"/>
      <c r="D896" s="168"/>
      <c r="E896" s="168"/>
      <c r="F896" s="168"/>
      <c r="G896" s="168"/>
      <c r="H896" s="168"/>
      <c r="I896" s="168"/>
      <c r="J896" s="168"/>
      <c r="K896" s="168"/>
      <c r="L896" s="168"/>
      <c r="M896" s="168"/>
      <c r="N896" s="168"/>
      <c r="O896" s="168"/>
      <c r="P896" s="168"/>
      <c r="Q896" s="168"/>
      <c r="R896" s="168"/>
      <c r="S896" s="168"/>
      <c r="T896" s="168"/>
      <c r="U896" s="168"/>
      <c r="V896" s="168"/>
      <c r="W896" s="168"/>
      <c r="X896" s="168"/>
      <c r="Y896" s="168"/>
      <c r="Z896" s="168"/>
    </row>
    <row r="897" customFormat="false" ht="15.75" hidden="false" customHeight="false" outlineLevel="0" collapsed="false">
      <c r="A897" s="168"/>
      <c r="B897" s="168"/>
      <c r="C897" s="168"/>
      <c r="D897" s="168"/>
      <c r="E897" s="168"/>
      <c r="F897" s="168"/>
      <c r="G897" s="168"/>
      <c r="H897" s="168"/>
      <c r="I897" s="168"/>
      <c r="J897" s="168"/>
      <c r="K897" s="168"/>
      <c r="L897" s="168"/>
      <c r="M897" s="168"/>
      <c r="N897" s="168"/>
      <c r="O897" s="168"/>
      <c r="P897" s="168"/>
      <c r="Q897" s="168"/>
      <c r="R897" s="168"/>
      <c r="S897" s="168"/>
      <c r="T897" s="168"/>
      <c r="U897" s="168"/>
      <c r="V897" s="168"/>
      <c r="W897" s="168"/>
      <c r="X897" s="168"/>
      <c r="Y897" s="168"/>
      <c r="Z897" s="168"/>
    </row>
    <row r="898" customFormat="false" ht="15.75" hidden="false" customHeight="false" outlineLevel="0" collapsed="false">
      <c r="A898" s="168"/>
      <c r="B898" s="168"/>
      <c r="C898" s="168"/>
      <c r="D898" s="168"/>
      <c r="E898" s="168"/>
      <c r="F898" s="168"/>
      <c r="G898" s="168"/>
      <c r="H898" s="168"/>
      <c r="I898" s="168"/>
      <c r="J898" s="168"/>
      <c r="K898" s="168"/>
      <c r="L898" s="168"/>
      <c r="M898" s="168"/>
      <c r="N898" s="168"/>
      <c r="O898" s="168"/>
      <c r="P898" s="168"/>
      <c r="Q898" s="168"/>
      <c r="R898" s="168"/>
      <c r="S898" s="168"/>
      <c r="T898" s="168"/>
      <c r="U898" s="168"/>
      <c r="V898" s="168"/>
      <c r="W898" s="168"/>
      <c r="X898" s="168"/>
      <c r="Y898" s="168"/>
      <c r="Z898" s="168"/>
    </row>
    <row r="899" customFormat="false" ht="15.75" hidden="false" customHeight="false" outlineLevel="0" collapsed="false">
      <c r="A899" s="168"/>
      <c r="B899" s="168"/>
      <c r="C899" s="168"/>
      <c r="D899" s="168"/>
      <c r="E899" s="168"/>
      <c r="F899" s="168"/>
      <c r="G899" s="168"/>
      <c r="H899" s="168"/>
      <c r="I899" s="168"/>
      <c r="J899" s="168"/>
      <c r="K899" s="168"/>
      <c r="L899" s="168"/>
      <c r="M899" s="168"/>
      <c r="N899" s="168"/>
      <c r="O899" s="168"/>
      <c r="P899" s="168"/>
      <c r="Q899" s="168"/>
      <c r="R899" s="168"/>
      <c r="S899" s="168"/>
      <c r="T899" s="168"/>
      <c r="U899" s="168"/>
      <c r="V899" s="168"/>
      <c r="W899" s="168"/>
      <c r="X899" s="168"/>
      <c r="Y899" s="168"/>
      <c r="Z899" s="168"/>
    </row>
    <row r="900" customFormat="false" ht="15.75" hidden="false" customHeight="false" outlineLevel="0" collapsed="false">
      <c r="A900" s="168"/>
      <c r="B900" s="168"/>
      <c r="C900" s="168"/>
      <c r="D900" s="168"/>
      <c r="E900" s="168"/>
      <c r="F900" s="168"/>
      <c r="G900" s="168"/>
      <c r="H900" s="168"/>
      <c r="I900" s="168"/>
      <c r="J900" s="168"/>
      <c r="K900" s="168"/>
      <c r="L900" s="168"/>
      <c r="M900" s="168"/>
      <c r="N900" s="168"/>
      <c r="O900" s="168"/>
      <c r="P900" s="168"/>
      <c r="Q900" s="168"/>
      <c r="R900" s="168"/>
      <c r="S900" s="168"/>
      <c r="T900" s="168"/>
      <c r="U900" s="168"/>
      <c r="V900" s="168"/>
      <c r="W900" s="168"/>
      <c r="X900" s="168"/>
      <c r="Y900" s="168"/>
      <c r="Z900" s="168"/>
    </row>
    <row r="901" customFormat="false" ht="15.75" hidden="false" customHeight="false" outlineLevel="0" collapsed="false">
      <c r="A901" s="168"/>
      <c r="B901" s="168"/>
      <c r="C901" s="168"/>
      <c r="D901" s="168"/>
      <c r="E901" s="168"/>
      <c r="F901" s="168"/>
      <c r="G901" s="168"/>
      <c r="H901" s="168"/>
      <c r="I901" s="168"/>
      <c r="J901" s="168"/>
      <c r="K901" s="168"/>
      <c r="L901" s="168"/>
      <c r="M901" s="168"/>
      <c r="N901" s="168"/>
      <c r="O901" s="168"/>
      <c r="P901" s="168"/>
      <c r="Q901" s="168"/>
      <c r="R901" s="168"/>
      <c r="S901" s="168"/>
      <c r="T901" s="168"/>
      <c r="U901" s="168"/>
      <c r="V901" s="168"/>
      <c r="W901" s="168"/>
      <c r="X901" s="168"/>
      <c r="Y901" s="168"/>
      <c r="Z901" s="168"/>
    </row>
    <row r="902" customFormat="false" ht="15.75" hidden="false" customHeight="false" outlineLevel="0" collapsed="false">
      <c r="A902" s="168"/>
      <c r="B902" s="168"/>
      <c r="C902" s="168"/>
      <c r="D902" s="168"/>
      <c r="E902" s="168"/>
      <c r="F902" s="168"/>
      <c r="G902" s="168"/>
      <c r="H902" s="168"/>
      <c r="I902" s="168"/>
      <c r="J902" s="168"/>
      <c r="K902" s="168"/>
      <c r="L902" s="168"/>
      <c r="M902" s="168"/>
      <c r="N902" s="168"/>
      <c r="O902" s="168"/>
      <c r="P902" s="168"/>
      <c r="Q902" s="168"/>
      <c r="R902" s="168"/>
      <c r="S902" s="168"/>
      <c r="T902" s="168"/>
      <c r="U902" s="168"/>
      <c r="V902" s="168"/>
      <c r="W902" s="168"/>
      <c r="X902" s="168"/>
      <c r="Y902" s="168"/>
      <c r="Z902" s="168"/>
    </row>
    <row r="903" customFormat="false" ht="15.75" hidden="false" customHeight="false" outlineLevel="0" collapsed="false">
      <c r="A903" s="168"/>
      <c r="B903" s="168"/>
      <c r="C903" s="168"/>
      <c r="D903" s="168"/>
      <c r="E903" s="168"/>
      <c r="F903" s="168"/>
      <c r="G903" s="168"/>
      <c r="H903" s="168"/>
      <c r="I903" s="168"/>
      <c r="J903" s="168"/>
      <c r="K903" s="168"/>
      <c r="L903" s="168"/>
      <c r="M903" s="168"/>
      <c r="N903" s="168"/>
      <c r="O903" s="168"/>
      <c r="P903" s="168"/>
      <c r="Q903" s="168"/>
      <c r="R903" s="168"/>
      <c r="S903" s="168"/>
      <c r="T903" s="168"/>
      <c r="U903" s="168"/>
      <c r="V903" s="168"/>
      <c r="W903" s="168"/>
      <c r="X903" s="168"/>
      <c r="Y903" s="168"/>
      <c r="Z903" s="168"/>
    </row>
    <row r="904" customFormat="false" ht="15.75" hidden="false" customHeight="false" outlineLevel="0" collapsed="false">
      <c r="A904" s="168"/>
      <c r="B904" s="168"/>
      <c r="C904" s="168"/>
      <c r="D904" s="168"/>
      <c r="E904" s="168"/>
      <c r="F904" s="168"/>
      <c r="G904" s="168"/>
      <c r="H904" s="168"/>
      <c r="I904" s="168"/>
      <c r="J904" s="168"/>
      <c r="K904" s="168"/>
      <c r="L904" s="168"/>
      <c r="M904" s="168"/>
      <c r="N904" s="168"/>
      <c r="O904" s="168"/>
      <c r="P904" s="168"/>
      <c r="Q904" s="168"/>
      <c r="R904" s="168"/>
      <c r="S904" s="168"/>
      <c r="T904" s="168"/>
      <c r="U904" s="168"/>
      <c r="V904" s="168"/>
      <c r="W904" s="168"/>
      <c r="X904" s="168"/>
      <c r="Y904" s="168"/>
      <c r="Z904" s="168"/>
    </row>
    <row r="905" customFormat="false" ht="15.75" hidden="false" customHeight="false" outlineLevel="0" collapsed="false">
      <c r="A905" s="168"/>
      <c r="B905" s="168"/>
      <c r="C905" s="168"/>
      <c r="D905" s="168"/>
      <c r="E905" s="168"/>
      <c r="F905" s="168"/>
      <c r="G905" s="168"/>
      <c r="H905" s="168"/>
      <c r="I905" s="168"/>
      <c r="J905" s="168"/>
      <c r="K905" s="168"/>
      <c r="L905" s="168"/>
      <c r="M905" s="168"/>
      <c r="N905" s="168"/>
      <c r="O905" s="168"/>
      <c r="P905" s="168"/>
      <c r="Q905" s="168"/>
      <c r="R905" s="168"/>
      <c r="S905" s="168"/>
      <c r="T905" s="168"/>
      <c r="U905" s="168"/>
      <c r="V905" s="168"/>
      <c r="W905" s="168"/>
      <c r="X905" s="168"/>
      <c r="Y905" s="168"/>
      <c r="Z905" s="168"/>
    </row>
    <row r="906" customFormat="false" ht="15.75" hidden="false" customHeight="false" outlineLevel="0" collapsed="false">
      <c r="A906" s="168"/>
      <c r="B906" s="168"/>
      <c r="C906" s="168"/>
      <c r="D906" s="168"/>
      <c r="E906" s="168"/>
      <c r="F906" s="168"/>
      <c r="G906" s="168"/>
      <c r="H906" s="168"/>
      <c r="I906" s="168"/>
      <c r="J906" s="168"/>
      <c r="K906" s="168"/>
      <c r="L906" s="168"/>
      <c r="M906" s="168"/>
      <c r="N906" s="168"/>
      <c r="O906" s="168"/>
      <c r="P906" s="168"/>
      <c r="Q906" s="168"/>
      <c r="R906" s="168"/>
      <c r="S906" s="168"/>
      <c r="T906" s="168"/>
      <c r="U906" s="168"/>
      <c r="V906" s="168"/>
      <c r="W906" s="168"/>
      <c r="X906" s="168"/>
      <c r="Y906" s="168"/>
      <c r="Z906" s="168"/>
    </row>
    <row r="907" customFormat="false" ht="15.75" hidden="false" customHeight="false" outlineLevel="0" collapsed="false">
      <c r="A907" s="168"/>
      <c r="B907" s="168"/>
      <c r="C907" s="168"/>
      <c r="D907" s="168"/>
      <c r="E907" s="168"/>
      <c r="F907" s="168"/>
      <c r="G907" s="168"/>
      <c r="H907" s="168"/>
      <c r="I907" s="168"/>
      <c r="J907" s="168"/>
      <c r="K907" s="168"/>
      <c r="L907" s="168"/>
      <c r="M907" s="168"/>
      <c r="N907" s="168"/>
      <c r="O907" s="168"/>
      <c r="P907" s="168"/>
      <c r="Q907" s="168"/>
      <c r="R907" s="168"/>
      <c r="S907" s="168"/>
      <c r="T907" s="168"/>
      <c r="U907" s="168"/>
      <c r="V907" s="168"/>
      <c r="W907" s="168"/>
      <c r="X907" s="168"/>
      <c r="Y907" s="168"/>
      <c r="Z907" s="168"/>
    </row>
    <row r="908" customFormat="false" ht="15.75" hidden="false" customHeight="false" outlineLevel="0" collapsed="false">
      <c r="A908" s="168"/>
      <c r="B908" s="168"/>
      <c r="C908" s="168"/>
      <c r="D908" s="168"/>
      <c r="E908" s="168"/>
      <c r="F908" s="168"/>
      <c r="G908" s="168"/>
      <c r="H908" s="168"/>
      <c r="I908" s="168"/>
      <c r="J908" s="168"/>
      <c r="K908" s="168"/>
      <c r="L908" s="168"/>
      <c r="M908" s="168"/>
      <c r="N908" s="168"/>
      <c r="O908" s="168"/>
      <c r="P908" s="168"/>
      <c r="Q908" s="168"/>
      <c r="R908" s="168"/>
      <c r="S908" s="168"/>
      <c r="T908" s="168"/>
      <c r="U908" s="168"/>
      <c r="V908" s="168"/>
      <c r="W908" s="168"/>
      <c r="X908" s="168"/>
      <c r="Y908" s="168"/>
      <c r="Z908" s="168"/>
    </row>
    <row r="909" customFormat="false" ht="15.75" hidden="false" customHeight="false" outlineLevel="0" collapsed="false">
      <c r="A909" s="168"/>
      <c r="B909" s="168"/>
      <c r="C909" s="168"/>
      <c r="D909" s="168"/>
      <c r="E909" s="168"/>
      <c r="F909" s="168"/>
      <c r="G909" s="168"/>
      <c r="H909" s="168"/>
      <c r="I909" s="168"/>
      <c r="J909" s="168"/>
      <c r="K909" s="168"/>
      <c r="L909" s="168"/>
      <c r="M909" s="168"/>
      <c r="N909" s="168"/>
      <c r="O909" s="168"/>
      <c r="P909" s="168"/>
      <c r="Q909" s="168"/>
      <c r="R909" s="168"/>
      <c r="S909" s="168"/>
      <c r="T909" s="168"/>
      <c r="U909" s="168"/>
      <c r="V909" s="168"/>
      <c r="W909" s="168"/>
      <c r="X909" s="168"/>
      <c r="Y909" s="168"/>
      <c r="Z909" s="168"/>
    </row>
    <row r="910" customFormat="false" ht="15.75" hidden="false" customHeight="false" outlineLevel="0" collapsed="false">
      <c r="A910" s="168"/>
      <c r="B910" s="168"/>
      <c r="C910" s="168"/>
      <c r="D910" s="168"/>
      <c r="E910" s="168"/>
      <c r="F910" s="168"/>
      <c r="G910" s="168"/>
      <c r="H910" s="168"/>
      <c r="I910" s="168"/>
      <c r="J910" s="168"/>
      <c r="K910" s="168"/>
      <c r="L910" s="168"/>
      <c r="M910" s="168"/>
      <c r="N910" s="168"/>
      <c r="O910" s="168"/>
      <c r="P910" s="168"/>
      <c r="Q910" s="168"/>
      <c r="R910" s="168"/>
      <c r="S910" s="168"/>
      <c r="T910" s="168"/>
      <c r="U910" s="168"/>
      <c r="V910" s="168"/>
      <c r="W910" s="168"/>
      <c r="X910" s="168"/>
      <c r="Y910" s="168"/>
      <c r="Z910" s="168"/>
    </row>
    <row r="911" customFormat="false" ht="15.75" hidden="false" customHeight="false" outlineLevel="0" collapsed="false">
      <c r="A911" s="168"/>
      <c r="B911" s="168"/>
      <c r="C911" s="168"/>
      <c r="D911" s="168"/>
      <c r="E911" s="168"/>
      <c r="F911" s="168"/>
      <c r="G911" s="168"/>
      <c r="H911" s="168"/>
      <c r="I911" s="168"/>
      <c r="J911" s="168"/>
      <c r="K911" s="168"/>
      <c r="L911" s="168"/>
      <c r="M911" s="168"/>
      <c r="N911" s="168"/>
      <c r="O911" s="168"/>
      <c r="P911" s="168"/>
      <c r="Q911" s="168"/>
      <c r="R911" s="168"/>
      <c r="S911" s="168"/>
      <c r="T911" s="168"/>
      <c r="U911" s="168"/>
      <c r="V911" s="168"/>
      <c r="W911" s="168"/>
      <c r="X911" s="168"/>
      <c r="Y911" s="168"/>
      <c r="Z911" s="168"/>
    </row>
    <row r="912" customFormat="false" ht="15.75" hidden="false" customHeight="false" outlineLevel="0" collapsed="false">
      <c r="A912" s="168"/>
      <c r="B912" s="168"/>
      <c r="C912" s="168"/>
      <c r="D912" s="168"/>
      <c r="E912" s="168"/>
      <c r="F912" s="168"/>
      <c r="G912" s="168"/>
      <c r="H912" s="168"/>
      <c r="I912" s="168"/>
      <c r="J912" s="168"/>
      <c r="K912" s="168"/>
      <c r="L912" s="168"/>
      <c r="M912" s="168"/>
      <c r="N912" s="168"/>
      <c r="O912" s="168"/>
      <c r="P912" s="168"/>
      <c r="Q912" s="168"/>
      <c r="R912" s="168"/>
      <c r="S912" s="168"/>
      <c r="T912" s="168"/>
      <c r="U912" s="168"/>
      <c r="V912" s="168"/>
      <c r="W912" s="168"/>
      <c r="X912" s="168"/>
      <c r="Y912" s="168"/>
      <c r="Z912" s="168"/>
    </row>
    <row r="913" customFormat="false" ht="15.75" hidden="false" customHeight="false" outlineLevel="0" collapsed="false">
      <c r="A913" s="168"/>
      <c r="B913" s="168"/>
      <c r="C913" s="168"/>
      <c r="D913" s="168"/>
      <c r="E913" s="168"/>
      <c r="F913" s="168"/>
      <c r="G913" s="168"/>
      <c r="H913" s="168"/>
      <c r="I913" s="168"/>
      <c r="J913" s="168"/>
      <c r="K913" s="168"/>
      <c r="L913" s="168"/>
      <c r="M913" s="168"/>
      <c r="N913" s="168"/>
      <c r="O913" s="168"/>
      <c r="P913" s="168"/>
      <c r="Q913" s="168"/>
      <c r="R913" s="168"/>
      <c r="S913" s="168"/>
      <c r="T913" s="168"/>
      <c r="U913" s="168"/>
      <c r="V913" s="168"/>
      <c r="W913" s="168"/>
      <c r="X913" s="168"/>
      <c r="Y913" s="168"/>
      <c r="Z913" s="168"/>
    </row>
    <row r="914" customFormat="false" ht="15.75" hidden="false" customHeight="false" outlineLevel="0" collapsed="false">
      <c r="A914" s="168"/>
      <c r="B914" s="168"/>
      <c r="C914" s="168"/>
      <c r="D914" s="168"/>
      <c r="E914" s="168"/>
      <c r="F914" s="168"/>
      <c r="G914" s="168"/>
      <c r="H914" s="168"/>
      <c r="I914" s="168"/>
      <c r="J914" s="168"/>
      <c r="K914" s="168"/>
      <c r="L914" s="168"/>
      <c r="M914" s="168"/>
      <c r="N914" s="168"/>
      <c r="O914" s="168"/>
      <c r="P914" s="168"/>
      <c r="Q914" s="168"/>
      <c r="R914" s="168"/>
      <c r="S914" s="168"/>
      <c r="T914" s="168"/>
      <c r="U914" s="168"/>
      <c r="V914" s="168"/>
      <c r="W914" s="168"/>
      <c r="X914" s="168"/>
      <c r="Y914" s="168"/>
      <c r="Z914" s="168"/>
    </row>
    <row r="915" customFormat="false" ht="15.75" hidden="false" customHeight="false" outlineLevel="0" collapsed="false">
      <c r="A915" s="168"/>
      <c r="B915" s="168"/>
      <c r="C915" s="168"/>
      <c r="D915" s="168"/>
      <c r="E915" s="168"/>
      <c r="F915" s="168"/>
      <c r="G915" s="168"/>
      <c r="H915" s="168"/>
      <c r="I915" s="168"/>
      <c r="J915" s="168"/>
      <c r="K915" s="168"/>
      <c r="L915" s="168"/>
      <c r="M915" s="168"/>
      <c r="N915" s="168"/>
      <c r="O915" s="168"/>
      <c r="P915" s="168"/>
      <c r="Q915" s="168"/>
      <c r="R915" s="168"/>
      <c r="S915" s="168"/>
      <c r="T915" s="168"/>
      <c r="U915" s="168"/>
      <c r="V915" s="168"/>
      <c r="W915" s="168"/>
      <c r="X915" s="168"/>
      <c r="Y915" s="168"/>
      <c r="Z915" s="168"/>
    </row>
    <row r="916" customFormat="false" ht="15.75" hidden="false" customHeight="false" outlineLevel="0" collapsed="false">
      <c r="A916" s="168"/>
      <c r="B916" s="168"/>
      <c r="C916" s="168"/>
      <c r="D916" s="168"/>
      <c r="E916" s="168"/>
      <c r="F916" s="168"/>
      <c r="G916" s="168"/>
      <c r="H916" s="168"/>
      <c r="I916" s="168"/>
      <c r="J916" s="168"/>
      <c r="K916" s="168"/>
      <c r="L916" s="168"/>
      <c r="M916" s="168"/>
      <c r="N916" s="168"/>
      <c r="O916" s="168"/>
      <c r="P916" s="168"/>
      <c r="Q916" s="168"/>
      <c r="R916" s="168"/>
      <c r="S916" s="168"/>
      <c r="T916" s="168"/>
      <c r="U916" s="168"/>
      <c r="V916" s="168"/>
      <c r="W916" s="168"/>
      <c r="X916" s="168"/>
      <c r="Y916" s="168"/>
      <c r="Z916" s="168"/>
    </row>
    <row r="917" customFormat="false" ht="15.75" hidden="false" customHeight="false" outlineLevel="0" collapsed="false">
      <c r="A917" s="168"/>
      <c r="B917" s="168"/>
      <c r="C917" s="168"/>
      <c r="D917" s="168"/>
      <c r="E917" s="168"/>
      <c r="F917" s="168"/>
      <c r="G917" s="168"/>
      <c r="H917" s="168"/>
      <c r="I917" s="168"/>
      <c r="J917" s="168"/>
      <c r="K917" s="168"/>
      <c r="L917" s="168"/>
      <c r="M917" s="168"/>
      <c r="N917" s="168"/>
      <c r="O917" s="168"/>
      <c r="P917" s="168"/>
      <c r="Q917" s="168"/>
      <c r="R917" s="168"/>
      <c r="S917" s="168"/>
      <c r="T917" s="168"/>
      <c r="U917" s="168"/>
      <c r="V917" s="168"/>
      <c r="W917" s="168"/>
      <c r="X917" s="168"/>
      <c r="Y917" s="168"/>
      <c r="Z917" s="168"/>
    </row>
    <row r="918" customFormat="false" ht="15.75" hidden="false" customHeight="false" outlineLevel="0" collapsed="false">
      <c r="A918" s="168"/>
      <c r="B918" s="168"/>
      <c r="C918" s="168"/>
      <c r="D918" s="168"/>
      <c r="E918" s="168"/>
      <c r="F918" s="168"/>
      <c r="G918" s="168"/>
      <c r="H918" s="168"/>
      <c r="I918" s="168"/>
      <c r="J918" s="168"/>
      <c r="K918" s="168"/>
      <c r="L918" s="168"/>
      <c r="M918" s="168"/>
      <c r="N918" s="168"/>
      <c r="O918" s="168"/>
      <c r="P918" s="168"/>
      <c r="Q918" s="168"/>
      <c r="R918" s="168"/>
      <c r="S918" s="168"/>
      <c r="T918" s="168"/>
      <c r="U918" s="168"/>
      <c r="V918" s="168"/>
      <c r="W918" s="168"/>
      <c r="X918" s="168"/>
      <c r="Y918" s="168"/>
      <c r="Z918" s="168"/>
    </row>
    <row r="919" customFormat="false" ht="15.75" hidden="false" customHeight="false" outlineLevel="0" collapsed="false">
      <c r="A919" s="168"/>
      <c r="B919" s="168"/>
      <c r="C919" s="168"/>
      <c r="D919" s="168"/>
      <c r="E919" s="168"/>
      <c r="F919" s="168"/>
      <c r="G919" s="168"/>
      <c r="H919" s="168"/>
      <c r="I919" s="168"/>
      <c r="J919" s="168"/>
      <c r="K919" s="168"/>
      <c r="L919" s="168"/>
      <c r="M919" s="168"/>
      <c r="N919" s="168"/>
      <c r="O919" s="168"/>
      <c r="P919" s="168"/>
      <c r="Q919" s="168"/>
      <c r="R919" s="168"/>
      <c r="S919" s="168"/>
      <c r="T919" s="168"/>
      <c r="U919" s="168"/>
      <c r="V919" s="168"/>
      <c r="W919" s="168"/>
      <c r="X919" s="168"/>
      <c r="Y919" s="168"/>
      <c r="Z919" s="168"/>
    </row>
    <row r="920" customFormat="false" ht="15.75" hidden="false" customHeight="false" outlineLevel="0" collapsed="false">
      <c r="A920" s="168"/>
      <c r="B920" s="168"/>
      <c r="C920" s="168"/>
      <c r="D920" s="168"/>
      <c r="E920" s="168"/>
      <c r="F920" s="168"/>
      <c r="G920" s="168"/>
      <c r="H920" s="168"/>
      <c r="I920" s="168"/>
      <c r="J920" s="168"/>
      <c r="K920" s="168"/>
      <c r="L920" s="168"/>
      <c r="M920" s="168"/>
      <c r="N920" s="168"/>
      <c r="O920" s="168"/>
      <c r="P920" s="168"/>
      <c r="Q920" s="168"/>
      <c r="R920" s="168"/>
      <c r="S920" s="168"/>
      <c r="T920" s="168"/>
      <c r="U920" s="168"/>
      <c r="V920" s="168"/>
      <c r="W920" s="168"/>
      <c r="X920" s="168"/>
      <c r="Y920" s="168"/>
      <c r="Z920" s="168"/>
    </row>
    <row r="921" customFormat="false" ht="15.75" hidden="false" customHeight="false" outlineLevel="0" collapsed="false">
      <c r="A921" s="168"/>
      <c r="B921" s="168"/>
      <c r="C921" s="168"/>
      <c r="D921" s="168"/>
      <c r="E921" s="168"/>
      <c r="F921" s="168"/>
      <c r="G921" s="168"/>
      <c r="H921" s="168"/>
      <c r="I921" s="168"/>
      <c r="J921" s="168"/>
      <c r="K921" s="168"/>
      <c r="L921" s="168"/>
      <c r="M921" s="168"/>
      <c r="N921" s="168"/>
      <c r="O921" s="168"/>
      <c r="P921" s="168"/>
      <c r="Q921" s="168"/>
      <c r="R921" s="168"/>
      <c r="S921" s="168"/>
      <c r="T921" s="168"/>
      <c r="U921" s="168"/>
      <c r="V921" s="168"/>
      <c r="W921" s="168"/>
      <c r="X921" s="168"/>
      <c r="Y921" s="168"/>
      <c r="Z921" s="168"/>
    </row>
    <row r="922" customFormat="false" ht="15.75" hidden="false" customHeight="false" outlineLevel="0" collapsed="false">
      <c r="A922" s="168"/>
      <c r="B922" s="168"/>
      <c r="C922" s="168"/>
      <c r="D922" s="168"/>
      <c r="E922" s="168"/>
      <c r="F922" s="168"/>
      <c r="G922" s="168"/>
      <c r="H922" s="168"/>
      <c r="I922" s="168"/>
      <c r="J922" s="168"/>
      <c r="K922" s="168"/>
      <c r="L922" s="168"/>
      <c r="M922" s="168"/>
      <c r="N922" s="168"/>
      <c r="O922" s="168"/>
      <c r="P922" s="168"/>
      <c r="Q922" s="168"/>
      <c r="R922" s="168"/>
      <c r="S922" s="168"/>
      <c r="T922" s="168"/>
      <c r="U922" s="168"/>
      <c r="V922" s="168"/>
      <c r="W922" s="168"/>
      <c r="X922" s="168"/>
      <c r="Y922" s="168"/>
      <c r="Z922" s="168"/>
    </row>
    <row r="923" customFormat="false" ht="15.75" hidden="false" customHeight="false" outlineLevel="0" collapsed="false">
      <c r="A923" s="168"/>
      <c r="B923" s="168"/>
      <c r="C923" s="168"/>
      <c r="D923" s="168"/>
      <c r="E923" s="168"/>
      <c r="F923" s="168"/>
      <c r="G923" s="168"/>
      <c r="H923" s="168"/>
      <c r="I923" s="168"/>
      <c r="J923" s="168"/>
      <c r="K923" s="168"/>
      <c r="L923" s="168"/>
      <c r="M923" s="168"/>
      <c r="N923" s="168"/>
      <c r="O923" s="168"/>
      <c r="P923" s="168"/>
      <c r="Q923" s="168"/>
      <c r="R923" s="168"/>
      <c r="S923" s="168"/>
      <c r="T923" s="168"/>
      <c r="U923" s="168"/>
      <c r="V923" s="168"/>
      <c r="W923" s="168"/>
      <c r="X923" s="168"/>
      <c r="Y923" s="168"/>
      <c r="Z923" s="168"/>
    </row>
    <row r="924" customFormat="false" ht="15.75" hidden="false" customHeight="false" outlineLevel="0" collapsed="false">
      <c r="A924" s="168"/>
      <c r="B924" s="168"/>
      <c r="C924" s="168"/>
      <c r="D924" s="168"/>
      <c r="E924" s="168"/>
      <c r="F924" s="168"/>
      <c r="G924" s="168"/>
      <c r="H924" s="168"/>
      <c r="I924" s="168"/>
      <c r="J924" s="168"/>
      <c r="K924" s="168"/>
      <c r="L924" s="168"/>
      <c r="M924" s="168"/>
      <c r="N924" s="168"/>
      <c r="O924" s="168"/>
      <c r="P924" s="168"/>
      <c r="Q924" s="168"/>
      <c r="R924" s="168"/>
      <c r="S924" s="168"/>
      <c r="T924" s="168"/>
      <c r="U924" s="168"/>
      <c r="V924" s="168"/>
      <c r="W924" s="168"/>
      <c r="X924" s="168"/>
      <c r="Y924" s="168"/>
      <c r="Z924" s="168"/>
    </row>
    <row r="925" customFormat="false" ht="15.75" hidden="false" customHeight="false" outlineLevel="0" collapsed="false">
      <c r="A925" s="168"/>
      <c r="B925" s="168"/>
      <c r="C925" s="168"/>
      <c r="D925" s="168"/>
      <c r="E925" s="168"/>
      <c r="F925" s="168"/>
      <c r="G925" s="168"/>
      <c r="H925" s="168"/>
      <c r="I925" s="168"/>
      <c r="J925" s="168"/>
      <c r="K925" s="168"/>
      <c r="L925" s="168"/>
      <c r="M925" s="168"/>
      <c r="N925" s="168"/>
      <c r="O925" s="168"/>
      <c r="P925" s="168"/>
      <c r="Q925" s="168"/>
      <c r="R925" s="168"/>
      <c r="S925" s="168"/>
      <c r="T925" s="168"/>
      <c r="U925" s="168"/>
      <c r="V925" s="168"/>
      <c r="W925" s="168"/>
      <c r="X925" s="168"/>
      <c r="Y925" s="168"/>
      <c r="Z925" s="168"/>
    </row>
    <row r="926" customFormat="false" ht="15.75" hidden="false" customHeight="false" outlineLevel="0" collapsed="false">
      <c r="A926" s="168"/>
      <c r="B926" s="168"/>
      <c r="C926" s="168"/>
      <c r="D926" s="168"/>
      <c r="E926" s="168"/>
      <c r="F926" s="168"/>
      <c r="G926" s="168"/>
      <c r="H926" s="168"/>
      <c r="I926" s="168"/>
      <c r="J926" s="168"/>
      <c r="K926" s="168"/>
      <c r="L926" s="168"/>
      <c r="M926" s="168"/>
      <c r="N926" s="168"/>
      <c r="O926" s="168"/>
      <c r="P926" s="168"/>
      <c r="Q926" s="168"/>
      <c r="R926" s="168"/>
      <c r="S926" s="168"/>
      <c r="T926" s="168"/>
      <c r="U926" s="168"/>
      <c r="V926" s="168"/>
      <c r="W926" s="168"/>
      <c r="X926" s="168"/>
      <c r="Y926" s="168"/>
      <c r="Z926" s="168"/>
    </row>
    <row r="927" customFormat="false" ht="15.75" hidden="false" customHeight="false" outlineLevel="0" collapsed="false">
      <c r="A927" s="168"/>
      <c r="B927" s="168"/>
      <c r="C927" s="168"/>
      <c r="D927" s="168"/>
      <c r="E927" s="168"/>
      <c r="F927" s="168"/>
      <c r="G927" s="168"/>
      <c r="H927" s="168"/>
      <c r="I927" s="168"/>
      <c r="J927" s="168"/>
      <c r="K927" s="168"/>
      <c r="L927" s="168"/>
      <c r="M927" s="168"/>
      <c r="N927" s="168"/>
      <c r="O927" s="168"/>
      <c r="P927" s="168"/>
      <c r="Q927" s="168"/>
      <c r="R927" s="168"/>
      <c r="S927" s="168"/>
      <c r="T927" s="168"/>
      <c r="U927" s="168"/>
      <c r="V927" s="168"/>
      <c r="W927" s="168"/>
      <c r="X927" s="168"/>
      <c r="Y927" s="168"/>
      <c r="Z927" s="168"/>
    </row>
    <row r="928" customFormat="false" ht="15.75" hidden="false" customHeight="false" outlineLevel="0" collapsed="false">
      <c r="A928" s="168"/>
      <c r="B928" s="168"/>
      <c r="C928" s="168"/>
      <c r="D928" s="168"/>
      <c r="E928" s="168"/>
      <c r="F928" s="168"/>
      <c r="G928" s="168"/>
      <c r="H928" s="168"/>
      <c r="I928" s="168"/>
      <c r="J928" s="168"/>
      <c r="K928" s="168"/>
      <c r="L928" s="168"/>
      <c r="M928" s="168"/>
      <c r="N928" s="168"/>
      <c r="O928" s="168"/>
      <c r="P928" s="168"/>
      <c r="Q928" s="168"/>
      <c r="R928" s="168"/>
      <c r="S928" s="168"/>
      <c r="T928" s="168"/>
      <c r="U928" s="168"/>
      <c r="V928" s="168"/>
      <c r="W928" s="168"/>
      <c r="X928" s="168"/>
      <c r="Y928" s="168"/>
      <c r="Z928" s="168"/>
    </row>
    <row r="929" customFormat="false" ht="15.75" hidden="false" customHeight="false" outlineLevel="0" collapsed="false">
      <c r="A929" s="168"/>
      <c r="B929" s="168"/>
      <c r="C929" s="168"/>
      <c r="D929" s="168"/>
      <c r="E929" s="168"/>
      <c r="F929" s="168"/>
      <c r="G929" s="168"/>
      <c r="H929" s="168"/>
      <c r="I929" s="168"/>
      <c r="J929" s="168"/>
      <c r="K929" s="168"/>
      <c r="L929" s="168"/>
      <c r="M929" s="168"/>
      <c r="N929" s="168"/>
      <c r="O929" s="168"/>
      <c r="P929" s="168"/>
      <c r="Q929" s="168"/>
      <c r="R929" s="168"/>
      <c r="S929" s="168"/>
      <c r="T929" s="168"/>
      <c r="U929" s="168"/>
      <c r="V929" s="168"/>
      <c r="W929" s="168"/>
      <c r="X929" s="168"/>
      <c r="Y929" s="168"/>
      <c r="Z929" s="168"/>
    </row>
    <row r="930" customFormat="false" ht="15.75" hidden="false" customHeight="false" outlineLevel="0" collapsed="false">
      <c r="A930" s="168"/>
      <c r="B930" s="168"/>
      <c r="C930" s="168"/>
      <c r="D930" s="168"/>
      <c r="E930" s="168"/>
      <c r="F930" s="168"/>
      <c r="G930" s="168"/>
      <c r="H930" s="168"/>
      <c r="I930" s="168"/>
      <c r="J930" s="168"/>
      <c r="K930" s="168"/>
      <c r="L930" s="168"/>
      <c r="M930" s="168"/>
      <c r="N930" s="168"/>
      <c r="O930" s="168"/>
      <c r="P930" s="168"/>
      <c r="Q930" s="168"/>
      <c r="R930" s="168"/>
      <c r="S930" s="168"/>
      <c r="T930" s="168"/>
      <c r="U930" s="168"/>
      <c r="V930" s="168"/>
      <c r="W930" s="168"/>
      <c r="X930" s="168"/>
      <c r="Y930" s="168"/>
      <c r="Z930" s="168"/>
    </row>
    <row r="931" customFormat="false" ht="15.75" hidden="false" customHeight="false" outlineLevel="0" collapsed="false">
      <c r="A931" s="168"/>
      <c r="B931" s="168"/>
      <c r="C931" s="168"/>
      <c r="D931" s="168"/>
      <c r="E931" s="168"/>
      <c r="F931" s="168"/>
      <c r="G931" s="168"/>
      <c r="H931" s="168"/>
      <c r="I931" s="168"/>
      <c r="J931" s="168"/>
      <c r="K931" s="168"/>
      <c r="L931" s="168"/>
      <c r="M931" s="168"/>
      <c r="N931" s="168"/>
      <c r="O931" s="168"/>
      <c r="P931" s="168"/>
      <c r="Q931" s="168"/>
      <c r="R931" s="168"/>
      <c r="S931" s="168"/>
      <c r="T931" s="168"/>
      <c r="U931" s="168"/>
      <c r="V931" s="168"/>
      <c r="W931" s="168"/>
      <c r="X931" s="168"/>
      <c r="Y931" s="168"/>
      <c r="Z931" s="168"/>
    </row>
    <row r="932" customFormat="false" ht="15.75" hidden="false" customHeight="false" outlineLevel="0" collapsed="false">
      <c r="A932" s="168"/>
      <c r="B932" s="168"/>
      <c r="C932" s="168"/>
      <c r="D932" s="168"/>
      <c r="E932" s="168"/>
      <c r="F932" s="168"/>
      <c r="G932" s="168"/>
      <c r="H932" s="168"/>
      <c r="I932" s="168"/>
      <c r="J932" s="168"/>
      <c r="K932" s="168"/>
      <c r="L932" s="168"/>
      <c r="M932" s="168"/>
      <c r="N932" s="168"/>
      <c r="O932" s="168"/>
      <c r="P932" s="168"/>
      <c r="Q932" s="168"/>
      <c r="R932" s="168"/>
      <c r="S932" s="168"/>
      <c r="T932" s="168"/>
      <c r="U932" s="168"/>
      <c r="V932" s="168"/>
      <c r="W932" s="168"/>
      <c r="X932" s="168"/>
      <c r="Y932" s="168"/>
      <c r="Z932" s="168"/>
    </row>
    <row r="933" customFormat="false" ht="15.75" hidden="false" customHeight="false" outlineLevel="0" collapsed="false">
      <c r="A933" s="168"/>
      <c r="B933" s="168"/>
      <c r="C933" s="168"/>
      <c r="D933" s="168"/>
      <c r="E933" s="168"/>
      <c r="F933" s="168"/>
      <c r="G933" s="168"/>
      <c r="H933" s="168"/>
      <c r="I933" s="168"/>
      <c r="J933" s="168"/>
      <c r="K933" s="168"/>
      <c r="L933" s="168"/>
      <c r="M933" s="168"/>
      <c r="N933" s="168"/>
      <c r="O933" s="168"/>
      <c r="P933" s="168"/>
      <c r="Q933" s="168"/>
      <c r="R933" s="168"/>
      <c r="S933" s="168"/>
      <c r="T933" s="168"/>
      <c r="U933" s="168"/>
      <c r="V933" s="168"/>
      <c r="W933" s="168"/>
      <c r="X933" s="168"/>
      <c r="Y933" s="168"/>
      <c r="Z933" s="168"/>
    </row>
    <row r="934" customFormat="false" ht="15.75" hidden="false" customHeight="false" outlineLevel="0" collapsed="false">
      <c r="A934" s="168"/>
      <c r="B934" s="168"/>
      <c r="C934" s="168"/>
      <c r="D934" s="168"/>
      <c r="E934" s="168"/>
      <c r="F934" s="168"/>
      <c r="G934" s="168"/>
      <c r="H934" s="168"/>
      <c r="I934" s="168"/>
      <c r="J934" s="168"/>
      <c r="K934" s="168"/>
      <c r="L934" s="168"/>
      <c r="M934" s="168"/>
      <c r="N934" s="168"/>
      <c r="O934" s="168"/>
      <c r="P934" s="168"/>
      <c r="Q934" s="168"/>
      <c r="R934" s="168"/>
      <c r="S934" s="168"/>
      <c r="T934" s="168"/>
      <c r="U934" s="168"/>
      <c r="V934" s="168"/>
      <c r="W934" s="168"/>
      <c r="X934" s="168"/>
      <c r="Y934" s="168"/>
      <c r="Z934" s="168"/>
    </row>
    <row r="935" customFormat="false" ht="15.75" hidden="false" customHeight="false" outlineLevel="0" collapsed="false">
      <c r="A935" s="168"/>
      <c r="B935" s="168"/>
      <c r="C935" s="168"/>
      <c r="D935" s="168"/>
      <c r="E935" s="168"/>
      <c r="F935" s="168"/>
      <c r="G935" s="168"/>
      <c r="H935" s="168"/>
      <c r="I935" s="168"/>
      <c r="J935" s="168"/>
      <c r="K935" s="168"/>
      <c r="L935" s="168"/>
      <c r="M935" s="168"/>
      <c r="N935" s="168"/>
      <c r="O935" s="168"/>
      <c r="P935" s="168"/>
      <c r="Q935" s="168"/>
      <c r="R935" s="168"/>
      <c r="S935" s="168"/>
      <c r="T935" s="168"/>
      <c r="U935" s="168"/>
      <c r="V935" s="168"/>
      <c r="W935" s="168"/>
      <c r="X935" s="168"/>
      <c r="Y935" s="168"/>
      <c r="Z935" s="168"/>
    </row>
    <row r="936" customFormat="false" ht="15.75" hidden="false" customHeight="false" outlineLevel="0" collapsed="false">
      <c r="A936" s="168"/>
      <c r="B936" s="168"/>
      <c r="C936" s="168"/>
      <c r="D936" s="168"/>
      <c r="E936" s="168"/>
      <c r="F936" s="168"/>
      <c r="G936" s="168"/>
      <c r="H936" s="168"/>
      <c r="I936" s="168"/>
      <c r="J936" s="168"/>
      <c r="K936" s="168"/>
      <c r="L936" s="168"/>
      <c r="M936" s="168"/>
      <c r="N936" s="168"/>
      <c r="O936" s="168"/>
      <c r="P936" s="168"/>
      <c r="Q936" s="168"/>
      <c r="R936" s="168"/>
      <c r="S936" s="168"/>
      <c r="T936" s="168"/>
      <c r="U936" s="168"/>
      <c r="V936" s="168"/>
      <c r="W936" s="168"/>
      <c r="X936" s="168"/>
      <c r="Y936" s="168"/>
      <c r="Z936" s="168"/>
    </row>
    <row r="937" customFormat="false" ht="15.75" hidden="false" customHeight="false" outlineLevel="0" collapsed="false">
      <c r="A937" s="168"/>
      <c r="B937" s="168"/>
      <c r="C937" s="168"/>
      <c r="D937" s="168"/>
      <c r="E937" s="168"/>
      <c r="F937" s="168"/>
      <c r="G937" s="168"/>
      <c r="H937" s="168"/>
      <c r="I937" s="168"/>
      <c r="J937" s="168"/>
      <c r="K937" s="168"/>
      <c r="L937" s="168"/>
      <c r="M937" s="168"/>
      <c r="N937" s="168"/>
      <c r="O937" s="168"/>
      <c r="P937" s="168"/>
      <c r="Q937" s="168"/>
      <c r="R937" s="168"/>
      <c r="S937" s="168"/>
      <c r="T937" s="168"/>
      <c r="U937" s="168"/>
      <c r="V937" s="168"/>
      <c r="W937" s="168"/>
      <c r="X937" s="168"/>
      <c r="Y937" s="168"/>
      <c r="Z937" s="168"/>
    </row>
    <row r="938" customFormat="false" ht="15.75" hidden="false" customHeight="false" outlineLevel="0" collapsed="false">
      <c r="A938" s="168"/>
      <c r="B938" s="168"/>
      <c r="C938" s="168"/>
      <c r="D938" s="168"/>
      <c r="E938" s="168"/>
      <c r="F938" s="168"/>
      <c r="G938" s="168"/>
      <c r="H938" s="168"/>
      <c r="I938" s="168"/>
      <c r="J938" s="168"/>
      <c r="K938" s="168"/>
      <c r="L938" s="168"/>
      <c r="M938" s="168"/>
      <c r="N938" s="168"/>
      <c r="O938" s="168"/>
      <c r="P938" s="168"/>
      <c r="Q938" s="168"/>
      <c r="R938" s="168"/>
      <c r="S938" s="168"/>
      <c r="T938" s="168"/>
      <c r="U938" s="168"/>
      <c r="V938" s="168"/>
      <c r="W938" s="168"/>
      <c r="X938" s="168"/>
      <c r="Y938" s="168"/>
      <c r="Z938" s="168"/>
    </row>
    <row r="939" customFormat="false" ht="15.75" hidden="false" customHeight="false" outlineLevel="0" collapsed="false">
      <c r="A939" s="168"/>
      <c r="B939" s="168"/>
      <c r="C939" s="168"/>
      <c r="D939" s="168"/>
      <c r="E939" s="168"/>
      <c r="F939" s="168"/>
      <c r="G939" s="168"/>
      <c r="H939" s="168"/>
      <c r="I939" s="168"/>
      <c r="J939" s="168"/>
      <c r="K939" s="168"/>
      <c r="L939" s="168"/>
      <c r="M939" s="168"/>
      <c r="N939" s="168"/>
      <c r="O939" s="168"/>
      <c r="P939" s="168"/>
      <c r="Q939" s="168"/>
      <c r="R939" s="168"/>
      <c r="S939" s="168"/>
      <c r="T939" s="168"/>
      <c r="U939" s="168"/>
      <c r="V939" s="168"/>
      <c r="W939" s="168"/>
      <c r="X939" s="168"/>
      <c r="Y939" s="168"/>
      <c r="Z939" s="168"/>
    </row>
    <row r="940" customFormat="false" ht="15.75" hidden="false" customHeight="false" outlineLevel="0" collapsed="false">
      <c r="A940" s="168"/>
      <c r="B940" s="168"/>
      <c r="C940" s="168"/>
      <c r="D940" s="168"/>
      <c r="E940" s="168"/>
      <c r="F940" s="168"/>
      <c r="G940" s="168"/>
      <c r="H940" s="168"/>
      <c r="I940" s="168"/>
      <c r="J940" s="168"/>
      <c r="K940" s="168"/>
      <c r="L940" s="168"/>
      <c r="M940" s="168"/>
      <c r="N940" s="168"/>
      <c r="O940" s="168"/>
      <c r="P940" s="168"/>
      <c r="Q940" s="168"/>
      <c r="R940" s="168"/>
      <c r="S940" s="168"/>
      <c r="T940" s="168"/>
      <c r="U940" s="168"/>
      <c r="V940" s="168"/>
      <c r="W940" s="168"/>
      <c r="X940" s="168"/>
      <c r="Y940" s="168"/>
      <c r="Z940" s="168"/>
    </row>
    <row r="941" customFormat="false" ht="15.75" hidden="false" customHeight="false" outlineLevel="0" collapsed="false">
      <c r="A941" s="168"/>
      <c r="B941" s="168"/>
      <c r="C941" s="168"/>
      <c r="D941" s="168"/>
      <c r="E941" s="168"/>
      <c r="F941" s="168"/>
      <c r="G941" s="168"/>
      <c r="H941" s="168"/>
      <c r="I941" s="168"/>
      <c r="J941" s="168"/>
      <c r="K941" s="168"/>
      <c r="L941" s="168"/>
      <c r="M941" s="168"/>
      <c r="N941" s="168"/>
      <c r="O941" s="168"/>
      <c r="P941" s="168"/>
      <c r="Q941" s="168"/>
      <c r="R941" s="168"/>
      <c r="S941" s="168"/>
      <c r="T941" s="168"/>
      <c r="U941" s="168"/>
      <c r="V941" s="168"/>
      <c r="W941" s="168"/>
      <c r="X941" s="168"/>
      <c r="Y941" s="168"/>
      <c r="Z941" s="168"/>
    </row>
    <row r="942" customFormat="false" ht="15.75" hidden="false" customHeight="false" outlineLevel="0" collapsed="false">
      <c r="A942" s="168"/>
      <c r="B942" s="168"/>
      <c r="C942" s="168"/>
      <c r="D942" s="168"/>
      <c r="E942" s="168"/>
      <c r="F942" s="168"/>
      <c r="G942" s="168"/>
      <c r="H942" s="168"/>
      <c r="I942" s="168"/>
      <c r="J942" s="168"/>
      <c r="K942" s="168"/>
      <c r="L942" s="168"/>
      <c r="M942" s="168"/>
      <c r="N942" s="168"/>
      <c r="O942" s="168"/>
      <c r="P942" s="168"/>
      <c r="Q942" s="168"/>
      <c r="R942" s="168"/>
      <c r="S942" s="168"/>
      <c r="T942" s="168"/>
      <c r="U942" s="168"/>
      <c r="V942" s="168"/>
      <c r="W942" s="168"/>
      <c r="X942" s="168"/>
      <c r="Y942" s="168"/>
      <c r="Z942" s="168"/>
    </row>
    <row r="943" customFormat="false" ht="15.75" hidden="false" customHeight="false" outlineLevel="0" collapsed="false">
      <c r="A943" s="168"/>
      <c r="B943" s="168"/>
      <c r="C943" s="168"/>
      <c r="D943" s="168"/>
      <c r="E943" s="168"/>
      <c r="F943" s="168"/>
      <c r="G943" s="168"/>
      <c r="H943" s="168"/>
      <c r="I943" s="168"/>
      <c r="J943" s="168"/>
      <c r="K943" s="168"/>
      <c r="L943" s="168"/>
      <c r="M943" s="168"/>
      <c r="N943" s="168"/>
      <c r="O943" s="168"/>
      <c r="P943" s="168"/>
      <c r="Q943" s="168"/>
      <c r="R943" s="168"/>
      <c r="S943" s="168"/>
      <c r="T943" s="168"/>
      <c r="U943" s="168"/>
      <c r="V943" s="168"/>
      <c r="W943" s="168"/>
      <c r="X943" s="168"/>
      <c r="Y943" s="168"/>
      <c r="Z943" s="168"/>
    </row>
    <row r="944" customFormat="false" ht="15.75" hidden="false" customHeight="false" outlineLevel="0" collapsed="false">
      <c r="A944" s="168"/>
      <c r="B944" s="168"/>
      <c r="C944" s="168"/>
      <c r="D944" s="168"/>
      <c r="E944" s="168"/>
      <c r="F944" s="168"/>
      <c r="G944" s="168"/>
      <c r="H944" s="168"/>
      <c r="I944" s="168"/>
      <c r="J944" s="168"/>
      <c r="K944" s="168"/>
      <c r="L944" s="168"/>
      <c r="M944" s="168"/>
      <c r="N944" s="168"/>
      <c r="O944" s="168"/>
      <c r="P944" s="168"/>
      <c r="Q944" s="168"/>
      <c r="R944" s="168"/>
      <c r="S944" s="168"/>
      <c r="T944" s="168"/>
      <c r="U944" s="168"/>
      <c r="V944" s="168"/>
      <c r="W944" s="168"/>
      <c r="X944" s="168"/>
      <c r="Y944" s="168"/>
      <c r="Z944" s="168"/>
    </row>
    <row r="945" customFormat="false" ht="15.75" hidden="false" customHeight="false" outlineLevel="0" collapsed="false">
      <c r="A945" s="168"/>
      <c r="B945" s="168"/>
      <c r="C945" s="168"/>
      <c r="D945" s="168"/>
      <c r="E945" s="168"/>
      <c r="F945" s="168"/>
      <c r="G945" s="168"/>
      <c r="H945" s="168"/>
      <c r="I945" s="168"/>
      <c r="J945" s="168"/>
      <c r="K945" s="168"/>
      <c r="L945" s="168"/>
      <c r="M945" s="168"/>
      <c r="N945" s="168"/>
      <c r="O945" s="168"/>
      <c r="P945" s="168"/>
      <c r="Q945" s="168"/>
      <c r="R945" s="168"/>
      <c r="S945" s="168"/>
      <c r="T945" s="168"/>
      <c r="U945" s="168"/>
      <c r="V945" s="168"/>
      <c r="W945" s="168"/>
      <c r="X945" s="168"/>
      <c r="Y945" s="168"/>
      <c r="Z945" s="168"/>
    </row>
    <row r="946" customFormat="false" ht="15.75" hidden="false" customHeight="false" outlineLevel="0" collapsed="false">
      <c r="A946" s="168"/>
      <c r="B946" s="168"/>
      <c r="C946" s="168"/>
      <c r="D946" s="168"/>
      <c r="E946" s="168"/>
      <c r="F946" s="168"/>
      <c r="G946" s="168"/>
      <c r="H946" s="168"/>
      <c r="I946" s="168"/>
      <c r="J946" s="168"/>
      <c r="K946" s="168"/>
      <c r="L946" s="168"/>
      <c r="M946" s="168"/>
      <c r="N946" s="168"/>
      <c r="O946" s="168"/>
      <c r="P946" s="168"/>
      <c r="Q946" s="168"/>
      <c r="R946" s="168"/>
      <c r="S946" s="168"/>
      <c r="T946" s="168"/>
      <c r="U946" s="168"/>
      <c r="V946" s="168"/>
      <c r="W946" s="168"/>
      <c r="X946" s="168"/>
      <c r="Y946" s="168"/>
      <c r="Z946" s="168"/>
    </row>
    <row r="947" customFormat="false" ht="15.75" hidden="false" customHeight="false" outlineLevel="0" collapsed="false">
      <c r="A947" s="168"/>
      <c r="B947" s="168"/>
      <c r="C947" s="168"/>
      <c r="D947" s="168"/>
      <c r="E947" s="168"/>
      <c r="F947" s="168"/>
      <c r="G947" s="168"/>
      <c r="H947" s="168"/>
      <c r="I947" s="168"/>
      <c r="J947" s="168"/>
      <c r="K947" s="168"/>
      <c r="L947" s="168"/>
      <c r="M947" s="168"/>
      <c r="N947" s="168"/>
      <c r="O947" s="168"/>
      <c r="P947" s="168"/>
      <c r="Q947" s="168"/>
      <c r="R947" s="168"/>
      <c r="S947" s="168"/>
      <c r="T947" s="168"/>
      <c r="U947" s="168"/>
      <c r="V947" s="168"/>
      <c r="W947" s="168"/>
      <c r="X947" s="168"/>
      <c r="Y947" s="168"/>
      <c r="Z947" s="168"/>
    </row>
    <row r="948" customFormat="false" ht="15.75" hidden="false" customHeight="false" outlineLevel="0" collapsed="false">
      <c r="A948" s="168"/>
      <c r="B948" s="168"/>
      <c r="C948" s="168"/>
      <c r="D948" s="168"/>
      <c r="E948" s="168"/>
      <c r="F948" s="168"/>
      <c r="G948" s="168"/>
      <c r="H948" s="168"/>
      <c r="I948" s="168"/>
      <c r="J948" s="168"/>
      <c r="K948" s="168"/>
      <c r="L948" s="168"/>
      <c r="M948" s="168"/>
      <c r="N948" s="168"/>
      <c r="O948" s="168"/>
      <c r="P948" s="168"/>
      <c r="Q948" s="168"/>
      <c r="R948" s="168"/>
      <c r="S948" s="168"/>
      <c r="T948" s="168"/>
      <c r="U948" s="168"/>
      <c r="V948" s="168"/>
      <c r="W948" s="168"/>
      <c r="X948" s="168"/>
      <c r="Y948" s="168"/>
      <c r="Z948" s="168"/>
    </row>
    <row r="949" customFormat="false" ht="15.75" hidden="false" customHeight="false" outlineLevel="0" collapsed="false">
      <c r="A949" s="168"/>
      <c r="B949" s="168"/>
      <c r="C949" s="168"/>
      <c r="D949" s="168"/>
      <c r="E949" s="168"/>
      <c r="F949" s="168"/>
      <c r="G949" s="168"/>
      <c r="H949" s="168"/>
      <c r="I949" s="168"/>
      <c r="J949" s="168"/>
      <c r="K949" s="168"/>
      <c r="L949" s="168"/>
      <c r="M949" s="168"/>
      <c r="N949" s="168"/>
      <c r="O949" s="168"/>
      <c r="P949" s="168"/>
      <c r="Q949" s="168"/>
      <c r="R949" s="168"/>
      <c r="S949" s="168"/>
      <c r="T949" s="168"/>
      <c r="U949" s="168"/>
      <c r="V949" s="168"/>
      <c r="W949" s="168"/>
      <c r="X949" s="168"/>
      <c r="Y949" s="168"/>
      <c r="Z949" s="168"/>
    </row>
    <row r="950" customFormat="false" ht="15.75" hidden="false" customHeight="false" outlineLevel="0" collapsed="false">
      <c r="A950" s="168"/>
      <c r="B950" s="168"/>
      <c r="C950" s="168"/>
      <c r="D950" s="168"/>
      <c r="E950" s="168"/>
      <c r="F950" s="168"/>
      <c r="G950" s="168"/>
      <c r="H950" s="168"/>
      <c r="I950" s="168"/>
      <c r="J950" s="168"/>
      <c r="K950" s="168"/>
      <c r="L950" s="168"/>
      <c r="M950" s="168"/>
      <c r="N950" s="168"/>
      <c r="O950" s="168"/>
      <c r="P950" s="168"/>
      <c r="Q950" s="168"/>
      <c r="R950" s="168"/>
      <c r="S950" s="168"/>
      <c r="T950" s="168"/>
      <c r="U950" s="168"/>
      <c r="V950" s="168"/>
      <c r="W950" s="168"/>
      <c r="X950" s="168"/>
      <c r="Y950" s="168"/>
      <c r="Z950" s="168"/>
    </row>
    <row r="951" customFormat="false" ht="15.75" hidden="false" customHeight="false" outlineLevel="0" collapsed="false">
      <c r="A951" s="168"/>
      <c r="B951" s="168"/>
      <c r="C951" s="168"/>
      <c r="D951" s="168"/>
      <c r="E951" s="168"/>
      <c r="F951" s="168"/>
      <c r="G951" s="168"/>
      <c r="H951" s="168"/>
      <c r="I951" s="168"/>
      <c r="J951" s="168"/>
      <c r="K951" s="168"/>
      <c r="L951" s="168"/>
      <c r="M951" s="168"/>
      <c r="N951" s="168"/>
      <c r="O951" s="168"/>
      <c r="P951" s="168"/>
      <c r="Q951" s="168"/>
      <c r="R951" s="168"/>
      <c r="S951" s="168"/>
      <c r="T951" s="168"/>
      <c r="U951" s="168"/>
      <c r="V951" s="168"/>
      <c r="W951" s="168"/>
      <c r="X951" s="168"/>
      <c r="Y951" s="168"/>
      <c r="Z951" s="168"/>
    </row>
    <row r="952" customFormat="false" ht="15.75" hidden="false" customHeight="false" outlineLevel="0" collapsed="false">
      <c r="A952" s="168"/>
      <c r="B952" s="168"/>
      <c r="C952" s="168"/>
      <c r="D952" s="168"/>
      <c r="E952" s="168"/>
      <c r="F952" s="168"/>
      <c r="G952" s="168"/>
      <c r="H952" s="168"/>
      <c r="I952" s="168"/>
      <c r="J952" s="168"/>
      <c r="K952" s="168"/>
      <c r="L952" s="168"/>
      <c r="M952" s="168"/>
      <c r="N952" s="168"/>
      <c r="O952" s="168"/>
      <c r="P952" s="168"/>
      <c r="Q952" s="168"/>
      <c r="R952" s="168"/>
      <c r="S952" s="168"/>
      <c r="T952" s="168"/>
      <c r="U952" s="168"/>
      <c r="V952" s="168"/>
      <c r="W952" s="168"/>
      <c r="X952" s="168"/>
      <c r="Y952" s="168"/>
      <c r="Z952" s="168"/>
    </row>
    <row r="953" customFormat="false" ht="15.75" hidden="false" customHeight="false" outlineLevel="0" collapsed="false">
      <c r="A953" s="168"/>
      <c r="B953" s="168"/>
      <c r="C953" s="168"/>
      <c r="D953" s="168"/>
      <c r="E953" s="168"/>
      <c r="F953" s="168"/>
      <c r="G953" s="168"/>
      <c r="H953" s="168"/>
      <c r="I953" s="168"/>
      <c r="J953" s="168"/>
      <c r="K953" s="168"/>
      <c r="L953" s="168"/>
      <c r="M953" s="168"/>
      <c r="N953" s="168"/>
      <c r="O953" s="168"/>
      <c r="P953" s="168"/>
      <c r="Q953" s="168"/>
      <c r="R953" s="168"/>
      <c r="S953" s="168"/>
      <c r="T953" s="168"/>
      <c r="U953" s="168"/>
      <c r="V953" s="168"/>
      <c r="W953" s="168"/>
      <c r="X953" s="168"/>
      <c r="Y953" s="168"/>
      <c r="Z953" s="168"/>
    </row>
    <row r="954" customFormat="false" ht="15.75" hidden="false" customHeight="false" outlineLevel="0" collapsed="false">
      <c r="A954" s="168"/>
      <c r="B954" s="168"/>
      <c r="C954" s="168"/>
      <c r="D954" s="168"/>
      <c r="E954" s="168"/>
      <c r="F954" s="168"/>
      <c r="G954" s="168"/>
      <c r="H954" s="168"/>
      <c r="I954" s="168"/>
      <c r="J954" s="168"/>
      <c r="K954" s="168"/>
      <c r="L954" s="168"/>
      <c r="M954" s="168"/>
      <c r="N954" s="168"/>
      <c r="O954" s="168"/>
      <c r="P954" s="168"/>
      <c r="Q954" s="168"/>
      <c r="R954" s="168"/>
      <c r="S954" s="168"/>
      <c r="T954" s="168"/>
      <c r="U954" s="168"/>
      <c r="V954" s="168"/>
      <c r="W954" s="168"/>
      <c r="X954" s="168"/>
      <c r="Y954" s="168"/>
      <c r="Z954" s="168"/>
    </row>
    <row r="955" customFormat="false" ht="15.75" hidden="false" customHeight="false" outlineLevel="0" collapsed="false">
      <c r="A955" s="168"/>
      <c r="B955" s="168"/>
      <c r="C955" s="168"/>
      <c r="D955" s="168"/>
      <c r="E955" s="168"/>
      <c r="F955" s="168"/>
      <c r="G955" s="168"/>
      <c r="H955" s="168"/>
      <c r="I955" s="168"/>
      <c r="J955" s="168"/>
      <c r="K955" s="168"/>
      <c r="L955" s="168"/>
      <c r="M955" s="168"/>
      <c r="N955" s="168"/>
      <c r="O955" s="168"/>
      <c r="P955" s="168"/>
      <c r="Q955" s="168"/>
      <c r="R955" s="168"/>
      <c r="S955" s="168"/>
      <c r="T955" s="168"/>
      <c r="U955" s="168"/>
      <c r="V955" s="168"/>
      <c r="W955" s="168"/>
      <c r="X955" s="168"/>
      <c r="Y955" s="168"/>
      <c r="Z955" s="168"/>
    </row>
    <row r="956" customFormat="false" ht="15.75" hidden="false" customHeight="false" outlineLevel="0" collapsed="false">
      <c r="A956" s="168"/>
      <c r="B956" s="168"/>
      <c r="C956" s="168"/>
      <c r="D956" s="168"/>
      <c r="E956" s="168"/>
      <c r="F956" s="168"/>
      <c r="G956" s="168"/>
      <c r="H956" s="168"/>
      <c r="I956" s="168"/>
      <c r="J956" s="168"/>
      <c r="K956" s="168"/>
      <c r="L956" s="168"/>
      <c r="M956" s="168"/>
      <c r="N956" s="168"/>
      <c r="O956" s="168"/>
      <c r="P956" s="168"/>
      <c r="Q956" s="168"/>
      <c r="R956" s="168"/>
      <c r="S956" s="168"/>
      <c r="T956" s="168"/>
      <c r="U956" s="168"/>
      <c r="V956" s="168"/>
      <c r="W956" s="168"/>
      <c r="X956" s="168"/>
      <c r="Y956" s="168"/>
      <c r="Z956" s="168"/>
    </row>
    <row r="957" customFormat="false" ht="15.75" hidden="false" customHeight="false" outlineLevel="0" collapsed="false">
      <c r="A957" s="168"/>
      <c r="B957" s="168"/>
      <c r="C957" s="168"/>
      <c r="D957" s="168"/>
      <c r="E957" s="168"/>
      <c r="F957" s="168"/>
      <c r="G957" s="168"/>
      <c r="H957" s="168"/>
      <c r="I957" s="168"/>
      <c r="J957" s="168"/>
      <c r="K957" s="168"/>
      <c r="L957" s="168"/>
      <c r="M957" s="168"/>
      <c r="N957" s="168"/>
      <c r="O957" s="168"/>
      <c r="P957" s="168"/>
      <c r="Q957" s="168"/>
      <c r="R957" s="168"/>
      <c r="S957" s="168"/>
      <c r="T957" s="168"/>
      <c r="U957" s="168"/>
      <c r="V957" s="168"/>
      <c r="W957" s="168"/>
      <c r="X957" s="168"/>
      <c r="Y957" s="168"/>
      <c r="Z957" s="168"/>
    </row>
    <row r="958" customFormat="false" ht="15.75" hidden="false" customHeight="false" outlineLevel="0" collapsed="false">
      <c r="A958" s="168"/>
      <c r="B958" s="168"/>
      <c r="C958" s="168"/>
      <c r="D958" s="168"/>
      <c r="E958" s="168"/>
      <c r="F958" s="168"/>
      <c r="G958" s="168"/>
      <c r="H958" s="168"/>
      <c r="I958" s="168"/>
      <c r="J958" s="168"/>
      <c r="K958" s="168"/>
      <c r="L958" s="168"/>
      <c r="M958" s="168"/>
      <c r="N958" s="168"/>
      <c r="O958" s="168"/>
      <c r="P958" s="168"/>
      <c r="Q958" s="168"/>
      <c r="R958" s="168"/>
      <c r="S958" s="168"/>
      <c r="T958" s="168"/>
      <c r="U958" s="168"/>
      <c r="V958" s="168"/>
      <c r="W958" s="168"/>
      <c r="X958" s="168"/>
      <c r="Y958" s="168"/>
      <c r="Z958" s="168"/>
    </row>
    <row r="959" customFormat="false" ht="15.75" hidden="false" customHeight="false" outlineLevel="0" collapsed="false">
      <c r="A959" s="168"/>
      <c r="B959" s="168"/>
      <c r="C959" s="168"/>
      <c r="D959" s="168"/>
      <c r="E959" s="168"/>
      <c r="F959" s="168"/>
      <c r="G959" s="168"/>
      <c r="H959" s="168"/>
      <c r="I959" s="168"/>
      <c r="J959" s="168"/>
      <c r="K959" s="168"/>
      <c r="L959" s="168"/>
      <c r="M959" s="168"/>
      <c r="N959" s="168"/>
      <c r="O959" s="168"/>
      <c r="P959" s="168"/>
      <c r="Q959" s="168"/>
      <c r="R959" s="168"/>
      <c r="S959" s="168"/>
      <c r="T959" s="168"/>
      <c r="U959" s="168"/>
      <c r="V959" s="168"/>
      <c r="W959" s="168"/>
      <c r="X959" s="168"/>
      <c r="Y959" s="168"/>
      <c r="Z959" s="168"/>
    </row>
    <row r="960" customFormat="false" ht="15.75" hidden="false" customHeight="false" outlineLevel="0" collapsed="false">
      <c r="A960" s="168"/>
      <c r="B960" s="168"/>
      <c r="C960" s="168"/>
      <c r="D960" s="168"/>
      <c r="E960" s="168"/>
      <c r="F960" s="168"/>
      <c r="G960" s="168"/>
      <c r="H960" s="168"/>
      <c r="I960" s="168"/>
      <c r="J960" s="168"/>
      <c r="K960" s="168"/>
      <c r="L960" s="168"/>
      <c r="M960" s="168"/>
      <c r="N960" s="168"/>
      <c r="O960" s="168"/>
      <c r="P960" s="168"/>
      <c r="Q960" s="168"/>
      <c r="R960" s="168"/>
      <c r="S960" s="168"/>
      <c r="T960" s="168"/>
      <c r="U960" s="168"/>
      <c r="V960" s="168"/>
      <c r="W960" s="168"/>
      <c r="X960" s="168"/>
      <c r="Y960" s="168"/>
      <c r="Z960" s="168"/>
    </row>
    <row r="961" customFormat="false" ht="15.75" hidden="false" customHeight="false" outlineLevel="0" collapsed="false">
      <c r="A961" s="168"/>
      <c r="B961" s="168"/>
      <c r="C961" s="168"/>
      <c r="D961" s="168"/>
      <c r="E961" s="168"/>
      <c r="F961" s="168"/>
      <c r="G961" s="168"/>
      <c r="H961" s="168"/>
      <c r="I961" s="168"/>
      <c r="J961" s="168"/>
      <c r="K961" s="168"/>
      <c r="L961" s="168"/>
      <c r="M961" s="168"/>
      <c r="N961" s="168"/>
      <c r="O961" s="168"/>
      <c r="P961" s="168"/>
      <c r="Q961" s="168"/>
      <c r="R961" s="168"/>
      <c r="S961" s="168"/>
      <c r="T961" s="168"/>
      <c r="U961" s="168"/>
      <c r="V961" s="168"/>
      <c r="W961" s="168"/>
      <c r="X961" s="168"/>
      <c r="Y961" s="168"/>
      <c r="Z961" s="168"/>
    </row>
    <row r="962" customFormat="false" ht="15.75" hidden="false" customHeight="false" outlineLevel="0" collapsed="false">
      <c r="A962" s="168"/>
      <c r="B962" s="168"/>
      <c r="C962" s="168"/>
      <c r="D962" s="168"/>
      <c r="E962" s="168"/>
      <c r="F962" s="168"/>
      <c r="G962" s="168"/>
      <c r="H962" s="168"/>
      <c r="I962" s="168"/>
      <c r="J962" s="168"/>
      <c r="K962" s="168"/>
      <c r="L962" s="168"/>
      <c r="M962" s="168"/>
      <c r="N962" s="168"/>
      <c r="O962" s="168"/>
      <c r="P962" s="168"/>
      <c r="Q962" s="168"/>
      <c r="R962" s="168"/>
      <c r="S962" s="168"/>
      <c r="T962" s="168"/>
      <c r="U962" s="168"/>
      <c r="V962" s="168"/>
      <c r="W962" s="168"/>
      <c r="X962" s="168"/>
      <c r="Y962" s="168"/>
      <c r="Z962" s="168"/>
    </row>
    <row r="963" customFormat="false" ht="15.75" hidden="false" customHeight="false" outlineLevel="0" collapsed="false">
      <c r="A963" s="168"/>
      <c r="B963" s="168"/>
      <c r="C963" s="168"/>
      <c r="D963" s="168"/>
      <c r="E963" s="168"/>
      <c r="F963" s="168"/>
      <c r="G963" s="168"/>
      <c r="H963" s="168"/>
      <c r="I963" s="168"/>
      <c r="J963" s="168"/>
      <c r="K963" s="168"/>
      <c r="L963" s="168"/>
      <c r="M963" s="168"/>
      <c r="N963" s="168"/>
      <c r="O963" s="168"/>
      <c r="P963" s="168"/>
      <c r="Q963" s="168"/>
      <c r="R963" s="168"/>
      <c r="S963" s="168"/>
      <c r="T963" s="168"/>
      <c r="U963" s="168"/>
      <c r="V963" s="168"/>
      <c r="W963" s="168"/>
      <c r="X963" s="168"/>
      <c r="Y963" s="168"/>
      <c r="Z963" s="168"/>
    </row>
    <row r="964" customFormat="false" ht="15.75" hidden="false" customHeight="false" outlineLevel="0" collapsed="false">
      <c r="A964" s="168"/>
      <c r="B964" s="168"/>
      <c r="C964" s="168"/>
      <c r="D964" s="168"/>
      <c r="E964" s="168"/>
      <c r="F964" s="168"/>
      <c r="G964" s="168"/>
      <c r="H964" s="168"/>
      <c r="I964" s="168"/>
      <c r="J964" s="168"/>
      <c r="K964" s="168"/>
      <c r="L964" s="168"/>
      <c r="M964" s="168"/>
      <c r="N964" s="168"/>
      <c r="O964" s="168"/>
      <c r="P964" s="168"/>
      <c r="Q964" s="168"/>
      <c r="R964" s="168"/>
      <c r="S964" s="168"/>
      <c r="T964" s="168"/>
      <c r="U964" s="168"/>
      <c r="V964" s="168"/>
      <c r="W964" s="168"/>
      <c r="X964" s="168"/>
      <c r="Y964" s="168"/>
      <c r="Z964" s="168"/>
    </row>
    <row r="965" customFormat="false" ht="15.75" hidden="false" customHeight="false" outlineLevel="0" collapsed="false">
      <c r="A965" s="168"/>
      <c r="B965" s="168"/>
      <c r="C965" s="168"/>
      <c r="D965" s="168"/>
      <c r="E965" s="168"/>
      <c r="F965" s="168"/>
      <c r="G965" s="168"/>
      <c r="H965" s="168"/>
      <c r="I965" s="168"/>
      <c r="J965" s="168"/>
      <c r="K965" s="168"/>
      <c r="L965" s="168"/>
      <c r="M965" s="168"/>
      <c r="N965" s="168"/>
      <c r="O965" s="168"/>
      <c r="P965" s="168"/>
      <c r="Q965" s="168"/>
      <c r="R965" s="168"/>
      <c r="S965" s="168"/>
      <c r="T965" s="168"/>
      <c r="U965" s="168"/>
      <c r="V965" s="168"/>
      <c r="W965" s="168"/>
      <c r="X965" s="168"/>
      <c r="Y965" s="168"/>
      <c r="Z965" s="168"/>
    </row>
    <row r="966" customFormat="false" ht="15.75" hidden="false" customHeight="false" outlineLevel="0" collapsed="false">
      <c r="A966" s="168"/>
      <c r="B966" s="168"/>
      <c r="C966" s="168"/>
      <c r="D966" s="168"/>
      <c r="E966" s="168"/>
      <c r="F966" s="168"/>
      <c r="G966" s="168"/>
      <c r="H966" s="168"/>
      <c r="I966" s="168"/>
      <c r="J966" s="168"/>
      <c r="K966" s="168"/>
      <c r="L966" s="168"/>
      <c r="M966" s="168"/>
      <c r="N966" s="168"/>
      <c r="O966" s="168"/>
      <c r="P966" s="168"/>
      <c r="Q966" s="168"/>
      <c r="R966" s="168"/>
      <c r="S966" s="168"/>
      <c r="T966" s="168"/>
      <c r="U966" s="168"/>
      <c r="V966" s="168"/>
      <c r="W966" s="168"/>
      <c r="X966" s="168"/>
      <c r="Y966" s="168"/>
      <c r="Z966" s="168"/>
    </row>
    <row r="967" customFormat="false" ht="15.75" hidden="false" customHeight="false" outlineLevel="0" collapsed="false">
      <c r="A967" s="168"/>
      <c r="B967" s="168"/>
      <c r="C967" s="168"/>
      <c r="D967" s="168"/>
      <c r="E967" s="168"/>
      <c r="F967" s="168"/>
      <c r="G967" s="168"/>
      <c r="H967" s="168"/>
      <c r="I967" s="168"/>
      <c r="J967" s="168"/>
      <c r="K967" s="168"/>
      <c r="L967" s="168"/>
      <c r="M967" s="168"/>
      <c r="N967" s="168"/>
      <c r="O967" s="168"/>
      <c r="P967" s="168"/>
      <c r="Q967" s="168"/>
      <c r="R967" s="168"/>
      <c r="S967" s="168"/>
      <c r="T967" s="168"/>
      <c r="U967" s="168"/>
      <c r="V967" s="168"/>
      <c r="W967" s="168"/>
      <c r="X967" s="168"/>
      <c r="Y967" s="168"/>
      <c r="Z967" s="168"/>
    </row>
    <row r="968" customFormat="false" ht="15.75" hidden="false" customHeight="false" outlineLevel="0" collapsed="false">
      <c r="A968" s="168"/>
      <c r="B968" s="168"/>
      <c r="C968" s="168"/>
      <c r="D968" s="168"/>
      <c r="E968" s="168"/>
      <c r="F968" s="168"/>
      <c r="G968" s="168"/>
      <c r="H968" s="168"/>
      <c r="I968" s="168"/>
      <c r="J968" s="168"/>
      <c r="K968" s="168"/>
      <c r="L968" s="168"/>
      <c r="M968" s="168"/>
      <c r="N968" s="168"/>
      <c r="O968" s="168"/>
      <c r="P968" s="168"/>
      <c r="Q968" s="168"/>
      <c r="R968" s="168"/>
      <c r="S968" s="168"/>
      <c r="T968" s="168"/>
      <c r="U968" s="168"/>
      <c r="V968" s="168"/>
      <c r="W968" s="168"/>
      <c r="X968" s="168"/>
      <c r="Y968" s="168"/>
      <c r="Z968" s="168"/>
    </row>
    <row r="969" customFormat="false" ht="15.75" hidden="false" customHeight="false" outlineLevel="0" collapsed="false">
      <c r="A969" s="168"/>
      <c r="B969" s="168"/>
      <c r="C969" s="168"/>
      <c r="D969" s="168"/>
      <c r="E969" s="168"/>
      <c r="F969" s="168"/>
      <c r="G969" s="168"/>
      <c r="H969" s="168"/>
      <c r="I969" s="168"/>
      <c r="J969" s="168"/>
      <c r="K969" s="168"/>
      <c r="L969" s="168"/>
      <c r="M969" s="168"/>
      <c r="N969" s="168"/>
      <c r="O969" s="168"/>
      <c r="P969" s="168"/>
      <c r="Q969" s="168"/>
      <c r="R969" s="168"/>
      <c r="S969" s="168"/>
      <c r="T969" s="168"/>
      <c r="U969" s="168"/>
      <c r="V969" s="168"/>
      <c r="W969" s="168"/>
      <c r="X969" s="168"/>
      <c r="Y969" s="168"/>
      <c r="Z969" s="168"/>
    </row>
    <row r="970" customFormat="false" ht="15.75" hidden="false" customHeight="false" outlineLevel="0" collapsed="false">
      <c r="A970" s="168"/>
      <c r="B970" s="168"/>
      <c r="C970" s="168"/>
      <c r="D970" s="168"/>
      <c r="E970" s="168"/>
      <c r="F970" s="168"/>
      <c r="G970" s="168"/>
      <c r="H970" s="168"/>
      <c r="I970" s="168"/>
      <c r="J970" s="168"/>
      <c r="K970" s="168"/>
      <c r="L970" s="168"/>
      <c r="M970" s="168"/>
      <c r="N970" s="168"/>
      <c r="O970" s="168"/>
      <c r="P970" s="168"/>
      <c r="Q970" s="168"/>
      <c r="R970" s="168"/>
      <c r="S970" s="168"/>
      <c r="T970" s="168"/>
      <c r="U970" s="168"/>
      <c r="V970" s="168"/>
      <c r="W970" s="168"/>
      <c r="X970" s="168"/>
      <c r="Y970" s="168"/>
      <c r="Z970" s="168"/>
    </row>
    <row r="971" customFormat="false" ht="15.75" hidden="false" customHeight="false" outlineLevel="0" collapsed="false">
      <c r="A971" s="168"/>
      <c r="B971" s="168"/>
      <c r="C971" s="168"/>
      <c r="D971" s="168"/>
      <c r="E971" s="168"/>
      <c r="F971" s="168"/>
      <c r="G971" s="168"/>
      <c r="H971" s="168"/>
      <c r="I971" s="168"/>
      <c r="J971" s="168"/>
      <c r="K971" s="168"/>
      <c r="L971" s="168"/>
      <c r="M971" s="168"/>
      <c r="N971" s="168"/>
      <c r="O971" s="168"/>
      <c r="P971" s="168"/>
      <c r="Q971" s="168"/>
      <c r="R971" s="168"/>
      <c r="S971" s="168"/>
      <c r="T971" s="168"/>
      <c r="U971" s="168"/>
      <c r="V971" s="168"/>
      <c r="W971" s="168"/>
      <c r="X971" s="168"/>
      <c r="Y971" s="168"/>
      <c r="Z971" s="168"/>
    </row>
    <row r="972" customFormat="false" ht="15.75" hidden="false" customHeight="false" outlineLevel="0" collapsed="false">
      <c r="A972" s="168"/>
      <c r="B972" s="168"/>
      <c r="C972" s="168"/>
      <c r="D972" s="168"/>
      <c r="E972" s="168"/>
      <c r="F972" s="168"/>
      <c r="G972" s="168"/>
      <c r="H972" s="168"/>
      <c r="I972" s="168"/>
      <c r="J972" s="168"/>
      <c r="K972" s="168"/>
      <c r="L972" s="168"/>
      <c r="M972" s="168"/>
      <c r="N972" s="168"/>
      <c r="O972" s="168"/>
      <c r="P972" s="168"/>
      <c r="Q972" s="168"/>
      <c r="R972" s="168"/>
      <c r="S972" s="168"/>
      <c r="T972" s="168"/>
      <c r="U972" s="168"/>
      <c r="V972" s="168"/>
      <c r="W972" s="168"/>
      <c r="X972" s="168"/>
      <c r="Y972" s="168"/>
      <c r="Z972" s="168"/>
    </row>
    <row r="973" customFormat="false" ht="15.75" hidden="false" customHeight="false" outlineLevel="0" collapsed="false">
      <c r="A973" s="168"/>
      <c r="B973" s="168"/>
      <c r="C973" s="168"/>
      <c r="D973" s="168"/>
      <c r="E973" s="168"/>
      <c r="F973" s="168"/>
      <c r="G973" s="168"/>
      <c r="H973" s="168"/>
      <c r="I973" s="168"/>
      <c r="J973" s="168"/>
      <c r="K973" s="168"/>
      <c r="L973" s="168"/>
      <c r="M973" s="168"/>
      <c r="N973" s="168"/>
      <c r="O973" s="168"/>
      <c r="P973" s="168"/>
      <c r="Q973" s="168"/>
      <c r="R973" s="168"/>
      <c r="S973" s="168"/>
      <c r="T973" s="168"/>
      <c r="U973" s="168"/>
      <c r="V973" s="168"/>
      <c r="W973" s="168"/>
      <c r="X973" s="168"/>
      <c r="Y973" s="168"/>
      <c r="Z973" s="168"/>
    </row>
    <row r="974" customFormat="false" ht="15.75" hidden="false" customHeight="false" outlineLevel="0" collapsed="false">
      <c r="A974" s="168"/>
      <c r="B974" s="168"/>
      <c r="C974" s="168"/>
      <c r="D974" s="168"/>
      <c r="E974" s="168"/>
      <c r="F974" s="168"/>
      <c r="G974" s="168"/>
      <c r="H974" s="168"/>
      <c r="I974" s="168"/>
      <c r="J974" s="168"/>
      <c r="K974" s="168"/>
      <c r="L974" s="168"/>
      <c r="M974" s="168"/>
      <c r="N974" s="168"/>
      <c r="O974" s="168"/>
      <c r="P974" s="168"/>
      <c r="Q974" s="168"/>
      <c r="R974" s="168"/>
      <c r="S974" s="168"/>
      <c r="T974" s="168"/>
      <c r="U974" s="168"/>
      <c r="V974" s="168"/>
      <c r="W974" s="168"/>
      <c r="X974" s="168"/>
      <c r="Y974" s="168"/>
      <c r="Z974" s="168"/>
    </row>
    <row r="975" customFormat="false" ht="15.75" hidden="false" customHeight="false" outlineLevel="0" collapsed="false">
      <c r="A975" s="168"/>
      <c r="B975" s="168"/>
      <c r="C975" s="168"/>
      <c r="D975" s="168"/>
      <c r="E975" s="168"/>
      <c r="F975" s="168"/>
      <c r="G975" s="168"/>
      <c r="H975" s="168"/>
      <c r="I975" s="168"/>
      <c r="J975" s="168"/>
      <c r="K975" s="168"/>
      <c r="L975" s="168"/>
      <c r="M975" s="168"/>
      <c r="N975" s="168"/>
      <c r="O975" s="168"/>
      <c r="P975" s="168"/>
      <c r="Q975" s="168"/>
      <c r="R975" s="168"/>
      <c r="S975" s="168"/>
      <c r="T975" s="168"/>
      <c r="U975" s="168"/>
      <c r="V975" s="168"/>
      <c r="W975" s="168"/>
      <c r="X975" s="168"/>
      <c r="Y975" s="168"/>
      <c r="Z975" s="168"/>
    </row>
    <row r="976" customFormat="false" ht="15.75" hidden="false" customHeight="false" outlineLevel="0" collapsed="false">
      <c r="A976" s="168"/>
      <c r="B976" s="168"/>
      <c r="C976" s="168"/>
      <c r="D976" s="168"/>
      <c r="E976" s="168"/>
      <c r="F976" s="168"/>
      <c r="G976" s="168"/>
      <c r="H976" s="168"/>
      <c r="I976" s="168"/>
      <c r="J976" s="168"/>
      <c r="K976" s="168"/>
      <c r="L976" s="168"/>
      <c r="M976" s="168"/>
      <c r="N976" s="168"/>
      <c r="O976" s="168"/>
      <c r="P976" s="168"/>
      <c r="Q976" s="168"/>
      <c r="R976" s="168"/>
      <c r="S976" s="168"/>
      <c r="T976" s="168"/>
      <c r="U976" s="168"/>
      <c r="V976" s="168"/>
      <c r="W976" s="168"/>
      <c r="X976" s="168"/>
      <c r="Y976" s="168"/>
      <c r="Z976" s="168"/>
    </row>
    <row r="977" customFormat="false" ht="15.75" hidden="false" customHeight="false" outlineLevel="0" collapsed="false">
      <c r="A977" s="168"/>
      <c r="B977" s="168"/>
      <c r="C977" s="168"/>
      <c r="D977" s="168"/>
      <c r="E977" s="168"/>
      <c r="F977" s="168"/>
      <c r="G977" s="168"/>
      <c r="H977" s="168"/>
      <c r="I977" s="168"/>
      <c r="J977" s="168"/>
      <c r="K977" s="168"/>
      <c r="L977" s="168"/>
      <c r="M977" s="168"/>
      <c r="N977" s="168"/>
      <c r="O977" s="168"/>
      <c r="P977" s="168"/>
      <c r="Q977" s="168"/>
      <c r="R977" s="168"/>
      <c r="S977" s="168"/>
      <c r="T977" s="168"/>
      <c r="U977" s="168"/>
      <c r="V977" s="168"/>
      <c r="W977" s="168"/>
      <c r="X977" s="168"/>
      <c r="Y977" s="168"/>
      <c r="Z977" s="168"/>
    </row>
    <row r="978" customFormat="false" ht="15.75" hidden="false" customHeight="false" outlineLevel="0" collapsed="false">
      <c r="A978" s="168"/>
      <c r="B978" s="168"/>
      <c r="C978" s="168"/>
      <c r="D978" s="168"/>
      <c r="E978" s="168"/>
      <c r="F978" s="168"/>
      <c r="G978" s="168"/>
      <c r="H978" s="168"/>
      <c r="I978" s="168"/>
      <c r="J978" s="168"/>
      <c r="K978" s="168"/>
      <c r="L978" s="168"/>
      <c r="M978" s="168"/>
      <c r="N978" s="168"/>
      <c r="O978" s="168"/>
      <c r="P978" s="168"/>
      <c r="Q978" s="168"/>
      <c r="R978" s="168"/>
      <c r="S978" s="168"/>
      <c r="T978" s="168"/>
      <c r="U978" s="168"/>
      <c r="V978" s="168"/>
      <c r="W978" s="168"/>
      <c r="X978" s="168"/>
      <c r="Y978" s="168"/>
      <c r="Z978" s="168"/>
    </row>
    <row r="979" customFormat="false" ht="15.75" hidden="false" customHeight="false" outlineLevel="0" collapsed="false">
      <c r="A979" s="168"/>
      <c r="B979" s="168"/>
      <c r="C979" s="168"/>
      <c r="D979" s="168"/>
      <c r="E979" s="168"/>
      <c r="F979" s="168"/>
      <c r="G979" s="168"/>
      <c r="H979" s="168"/>
      <c r="I979" s="168"/>
      <c r="J979" s="168"/>
      <c r="K979" s="168"/>
      <c r="L979" s="168"/>
      <c r="M979" s="168"/>
      <c r="N979" s="168"/>
      <c r="O979" s="168"/>
      <c r="P979" s="168"/>
      <c r="Q979" s="168"/>
      <c r="R979" s="168"/>
      <c r="S979" s="168"/>
      <c r="T979" s="168"/>
      <c r="U979" s="168"/>
      <c r="V979" s="168"/>
      <c r="W979" s="168"/>
      <c r="X979" s="168"/>
      <c r="Y979" s="168"/>
      <c r="Z979" s="168"/>
    </row>
    <row r="980" customFormat="false" ht="15.75" hidden="false" customHeight="false" outlineLevel="0" collapsed="false">
      <c r="A980" s="168"/>
      <c r="B980" s="168"/>
      <c r="C980" s="168"/>
      <c r="D980" s="168"/>
      <c r="E980" s="168"/>
      <c r="F980" s="168"/>
      <c r="G980" s="168"/>
      <c r="H980" s="168"/>
      <c r="I980" s="168"/>
      <c r="J980" s="168"/>
      <c r="K980" s="168"/>
      <c r="L980" s="168"/>
      <c r="M980" s="168"/>
      <c r="N980" s="168"/>
      <c r="O980" s="168"/>
      <c r="P980" s="168"/>
      <c r="Q980" s="168"/>
      <c r="R980" s="168"/>
      <c r="S980" s="168"/>
      <c r="T980" s="168"/>
      <c r="U980" s="168"/>
      <c r="V980" s="168"/>
      <c r="W980" s="168"/>
      <c r="X980" s="168"/>
      <c r="Y980" s="168"/>
      <c r="Z980" s="168"/>
    </row>
    <row r="981" customFormat="false" ht="15.75" hidden="false" customHeight="false" outlineLevel="0" collapsed="false">
      <c r="A981" s="168"/>
      <c r="B981" s="168"/>
      <c r="C981" s="168"/>
      <c r="D981" s="168"/>
      <c r="E981" s="168"/>
      <c r="F981" s="168"/>
      <c r="G981" s="168"/>
      <c r="H981" s="168"/>
      <c r="I981" s="168"/>
      <c r="J981" s="168"/>
      <c r="K981" s="168"/>
      <c r="L981" s="168"/>
      <c r="M981" s="168"/>
      <c r="N981" s="168"/>
      <c r="O981" s="168"/>
      <c r="P981" s="168"/>
      <c r="Q981" s="168"/>
      <c r="R981" s="168"/>
      <c r="S981" s="168"/>
      <c r="T981" s="168"/>
      <c r="U981" s="168"/>
      <c r="V981" s="168"/>
      <c r="W981" s="168"/>
      <c r="X981" s="168"/>
      <c r="Y981" s="168"/>
      <c r="Z981" s="168"/>
    </row>
    <row r="982" customFormat="false" ht="15.75" hidden="false" customHeight="false" outlineLevel="0" collapsed="false">
      <c r="A982" s="168"/>
      <c r="B982" s="168"/>
      <c r="C982" s="168"/>
      <c r="D982" s="168"/>
      <c r="E982" s="168"/>
      <c r="F982" s="168"/>
      <c r="G982" s="168"/>
      <c r="H982" s="168"/>
      <c r="I982" s="168"/>
      <c r="J982" s="168"/>
      <c r="K982" s="168"/>
      <c r="L982" s="168"/>
      <c r="M982" s="168"/>
      <c r="N982" s="168"/>
      <c r="O982" s="168"/>
      <c r="P982" s="168"/>
      <c r="Q982" s="168"/>
      <c r="R982" s="168"/>
      <c r="S982" s="168"/>
      <c r="T982" s="168"/>
      <c r="U982" s="168"/>
      <c r="V982" s="168"/>
      <c r="W982" s="168"/>
      <c r="X982" s="168"/>
      <c r="Y982" s="168"/>
      <c r="Z982" s="168"/>
    </row>
    <row r="983" customFormat="false" ht="15.75" hidden="false" customHeight="false" outlineLevel="0" collapsed="false">
      <c r="A983" s="168"/>
      <c r="B983" s="168"/>
      <c r="C983" s="168"/>
      <c r="D983" s="168"/>
      <c r="E983" s="168"/>
      <c r="F983" s="168"/>
      <c r="G983" s="168"/>
      <c r="H983" s="168"/>
      <c r="I983" s="168"/>
      <c r="J983" s="168"/>
      <c r="K983" s="168"/>
      <c r="L983" s="168"/>
      <c r="M983" s="168"/>
      <c r="N983" s="168"/>
      <c r="O983" s="168"/>
      <c r="P983" s="168"/>
      <c r="Q983" s="168"/>
      <c r="R983" s="168"/>
      <c r="S983" s="168"/>
      <c r="T983" s="168"/>
      <c r="U983" s="168"/>
      <c r="V983" s="168"/>
      <c r="W983" s="168"/>
      <c r="X983" s="168"/>
      <c r="Y983" s="168"/>
      <c r="Z983" s="168"/>
    </row>
    <row r="984" customFormat="false" ht="15.75" hidden="false" customHeight="false" outlineLevel="0" collapsed="false">
      <c r="A984" s="168"/>
      <c r="B984" s="168"/>
      <c r="C984" s="168"/>
      <c r="D984" s="168"/>
      <c r="E984" s="168"/>
      <c r="F984" s="168"/>
      <c r="G984" s="168"/>
      <c r="H984" s="168"/>
      <c r="I984" s="168"/>
      <c r="J984" s="168"/>
      <c r="K984" s="168"/>
      <c r="L984" s="168"/>
      <c r="M984" s="168"/>
      <c r="N984" s="168"/>
      <c r="O984" s="168"/>
      <c r="P984" s="168"/>
      <c r="Q984" s="168"/>
      <c r="R984" s="168"/>
      <c r="S984" s="168"/>
      <c r="T984" s="168"/>
      <c r="U984" s="168"/>
      <c r="V984" s="168"/>
      <c r="W984" s="168"/>
      <c r="X984" s="168"/>
      <c r="Y984" s="168"/>
      <c r="Z984" s="168"/>
    </row>
    <row r="985" customFormat="false" ht="15.75" hidden="false" customHeight="false" outlineLevel="0" collapsed="false">
      <c r="A985" s="168"/>
      <c r="B985" s="168"/>
      <c r="C985" s="168"/>
      <c r="D985" s="168"/>
      <c r="E985" s="168"/>
      <c r="F985" s="168"/>
      <c r="G985" s="168"/>
      <c r="H985" s="168"/>
      <c r="I985" s="168"/>
      <c r="J985" s="168"/>
      <c r="K985" s="168"/>
      <c r="L985" s="168"/>
      <c r="M985" s="168"/>
      <c r="N985" s="168"/>
      <c r="O985" s="168"/>
      <c r="P985" s="168"/>
      <c r="Q985" s="168"/>
      <c r="R985" s="168"/>
      <c r="S985" s="168"/>
      <c r="T985" s="168"/>
      <c r="U985" s="168"/>
      <c r="V985" s="168"/>
      <c r="W985" s="168"/>
      <c r="X985" s="168"/>
      <c r="Y985" s="168"/>
      <c r="Z985" s="168"/>
    </row>
    <row r="986" customFormat="false" ht="15.75" hidden="false" customHeight="false" outlineLevel="0" collapsed="false">
      <c r="A986" s="168"/>
      <c r="B986" s="168"/>
      <c r="C986" s="168"/>
      <c r="D986" s="168"/>
      <c r="E986" s="168"/>
      <c r="F986" s="168"/>
      <c r="G986" s="168"/>
      <c r="H986" s="168"/>
      <c r="I986" s="168"/>
      <c r="J986" s="168"/>
      <c r="K986" s="168"/>
      <c r="L986" s="168"/>
      <c r="M986" s="168"/>
      <c r="N986" s="168"/>
      <c r="O986" s="168"/>
      <c r="P986" s="168"/>
      <c r="Q986" s="168"/>
      <c r="R986" s="168"/>
      <c r="S986" s="168"/>
      <c r="T986" s="168"/>
      <c r="U986" s="168"/>
      <c r="V986" s="168"/>
      <c r="W986" s="168"/>
      <c r="X986" s="168"/>
      <c r="Y986" s="168"/>
      <c r="Z986" s="168"/>
    </row>
    <row r="987" customFormat="false" ht="15.75" hidden="false" customHeight="false" outlineLevel="0" collapsed="false">
      <c r="A987" s="168"/>
      <c r="B987" s="168"/>
      <c r="C987" s="168"/>
      <c r="D987" s="168"/>
      <c r="E987" s="168"/>
      <c r="F987" s="168"/>
      <c r="G987" s="168"/>
      <c r="H987" s="168"/>
      <c r="I987" s="168"/>
      <c r="J987" s="168"/>
      <c r="K987" s="168"/>
      <c r="L987" s="168"/>
      <c r="M987" s="168"/>
      <c r="N987" s="168"/>
      <c r="O987" s="168"/>
      <c r="P987" s="168"/>
      <c r="Q987" s="168"/>
      <c r="R987" s="168"/>
      <c r="S987" s="168"/>
      <c r="T987" s="168"/>
      <c r="U987" s="168"/>
      <c r="V987" s="168"/>
      <c r="W987" s="168"/>
      <c r="X987" s="168"/>
      <c r="Y987" s="168"/>
      <c r="Z987" s="168"/>
    </row>
    <row r="988" customFormat="false" ht="15.75" hidden="false" customHeight="false" outlineLevel="0" collapsed="false">
      <c r="A988" s="168"/>
      <c r="B988" s="168"/>
      <c r="C988" s="168"/>
      <c r="D988" s="168"/>
      <c r="E988" s="168"/>
      <c r="F988" s="168"/>
      <c r="G988" s="168"/>
      <c r="H988" s="168"/>
      <c r="I988" s="168"/>
      <c r="J988" s="168"/>
      <c r="K988" s="168"/>
      <c r="L988" s="168"/>
      <c r="M988" s="168"/>
      <c r="N988" s="168"/>
      <c r="O988" s="168"/>
      <c r="P988" s="168"/>
      <c r="Q988" s="168"/>
      <c r="R988" s="168"/>
      <c r="S988" s="168"/>
      <c r="T988" s="168"/>
      <c r="U988" s="168"/>
      <c r="V988" s="168"/>
      <c r="W988" s="168"/>
      <c r="X988" s="168"/>
      <c r="Y988" s="168"/>
      <c r="Z988" s="168"/>
    </row>
    <row r="989" customFormat="false" ht="15.75" hidden="false" customHeight="false" outlineLevel="0" collapsed="false">
      <c r="A989" s="168"/>
      <c r="B989" s="168"/>
      <c r="C989" s="168"/>
      <c r="D989" s="168"/>
      <c r="E989" s="168"/>
      <c r="F989" s="168"/>
      <c r="G989" s="168"/>
      <c r="H989" s="168"/>
      <c r="I989" s="168"/>
      <c r="J989" s="168"/>
      <c r="K989" s="168"/>
      <c r="L989" s="168"/>
      <c r="M989" s="168"/>
      <c r="N989" s="168"/>
      <c r="O989" s="168"/>
      <c r="P989" s="168"/>
      <c r="Q989" s="168"/>
      <c r="R989" s="168"/>
      <c r="S989" s="168"/>
      <c r="T989" s="168"/>
      <c r="U989" s="168"/>
      <c r="V989" s="168"/>
      <c r="W989" s="168"/>
      <c r="X989" s="168"/>
      <c r="Y989" s="168"/>
      <c r="Z989" s="168"/>
    </row>
    <row r="990" customFormat="false" ht="15.75" hidden="false" customHeight="false" outlineLevel="0" collapsed="false">
      <c r="A990" s="168"/>
      <c r="B990" s="168"/>
      <c r="C990" s="168"/>
      <c r="D990" s="168"/>
      <c r="E990" s="168"/>
      <c r="F990" s="168"/>
      <c r="G990" s="168"/>
      <c r="H990" s="168"/>
      <c r="I990" s="168"/>
      <c r="J990" s="168"/>
      <c r="K990" s="168"/>
      <c r="L990" s="168"/>
      <c r="M990" s="168"/>
      <c r="N990" s="168"/>
      <c r="O990" s="168"/>
      <c r="P990" s="168"/>
      <c r="Q990" s="168"/>
      <c r="R990" s="168"/>
      <c r="S990" s="168"/>
      <c r="T990" s="168"/>
      <c r="U990" s="168"/>
      <c r="V990" s="168"/>
      <c r="W990" s="168"/>
      <c r="X990" s="168"/>
      <c r="Y990" s="168"/>
      <c r="Z990" s="168"/>
    </row>
    <row r="991" customFormat="false" ht="15.75" hidden="false" customHeight="false" outlineLevel="0" collapsed="false">
      <c r="A991" s="168"/>
      <c r="B991" s="168"/>
      <c r="C991" s="168"/>
      <c r="D991" s="168"/>
      <c r="E991" s="168"/>
      <c r="F991" s="168"/>
      <c r="G991" s="168"/>
      <c r="H991" s="168"/>
      <c r="I991" s="168"/>
      <c r="J991" s="168"/>
      <c r="K991" s="168"/>
      <c r="L991" s="168"/>
      <c r="M991" s="168"/>
      <c r="N991" s="168"/>
      <c r="O991" s="168"/>
      <c r="P991" s="168"/>
      <c r="Q991" s="168"/>
      <c r="R991" s="168"/>
      <c r="S991" s="168"/>
      <c r="T991" s="168"/>
      <c r="U991" s="168"/>
      <c r="V991" s="168"/>
      <c r="W991" s="168"/>
      <c r="X991" s="168"/>
      <c r="Y991" s="168"/>
      <c r="Z991" s="168"/>
    </row>
    <row r="992" customFormat="false" ht="15.75" hidden="false" customHeight="false" outlineLevel="0" collapsed="false">
      <c r="A992" s="168"/>
      <c r="B992" s="168"/>
      <c r="C992" s="168"/>
      <c r="D992" s="168"/>
      <c r="E992" s="168"/>
      <c r="F992" s="168"/>
      <c r="G992" s="168"/>
      <c r="H992" s="168"/>
      <c r="I992" s="168"/>
      <c r="J992" s="168"/>
      <c r="K992" s="168"/>
      <c r="L992" s="168"/>
      <c r="M992" s="168"/>
      <c r="N992" s="168"/>
      <c r="O992" s="168"/>
      <c r="P992" s="168"/>
      <c r="Q992" s="168"/>
      <c r="R992" s="168"/>
      <c r="S992" s="168"/>
      <c r="T992" s="168"/>
      <c r="U992" s="168"/>
      <c r="V992" s="168"/>
      <c r="W992" s="168"/>
      <c r="X992" s="168"/>
      <c r="Y992" s="168"/>
      <c r="Z992" s="168"/>
    </row>
    <row r="993" customFormat="false" ht="15.75" hidden="false" customHeight="false" outlineLevel="0" collapsed="false">
      <c r="A993" s="168"/>
      <c r="B993" s="168"/>
      <c r="C993" s="168"/>
      <c r="D993" s="168"/>
      <c r="E993" s="168"/>
      <c r="F993" s="168"/>
      <c r="G993" s="168"/>
      <c r="H993" s="168"/>
      <c r="I993" s="168"/>
      <c r="J993" s="168"/>
      <c r="K993" s="168"/>
      <c r="L993" s="168"/>
      <c r="M993" s="168"/>
      <c r="N993" s="168"/>
      <c r="O993" s="168"/>
      <c r="P993" s="168"/>
      <c r="Q993" s="168"/>
      <c r="R993" s="168"/>
      <c r="S993" s="168"/>
      <c r="T993" s="168"/>
      <c r="U993" s="168"/>
      <c r="V993" s="168"/>
      <c r="W993" s="168"/>
      <c r="X993" s="168"/>
      <c r="Y993" s="168"/>
      <c r="Z993" s="168"/>
    </row>
    <row r="994" customFormat="false" ht="15.75" hidden="false" customHeight="false" outlineLevel="0" collapsed="false">
      <c r="A994" s="168"/>
      <c r="B994" s="168"/>
      <c r="C994" s="168"/>
      <c r="D994" s="168"/>
      <c r="E994" s="168"/>
      <c r="F994" s="168"/>
      <c r="G994" s="168"/>
      <c r="H994" s="168"/>
      <c r="I994" s="168"/>
      <c r="J994" s="168"/>
      <c r="K994" s="168"/>
      <c r="L994" s="168"/>
      <c r="M994" s="168"/>
      <c r="N994" s="168"/>
      <c r="O994" s="168"/>
      <c r="P994" s="168"/>
      <c r="Q994" s="168"/>
      <c r="R994" s="168"/>
      <c r="S994" s="168"/>
      <c r="T994" s="168"/>
      <c r="U994" s="168"/>
      <c r="V994" s="168"/>
      <c r="W994" s="168"/>
      <c r="X994" s="168"/>
      <c r="Y994" s="168"/>
      <c r="Z994" s="168"/>
    </row>
    <row r="995" customFormat="false" ht="15.75" hidden="false" customHeight="false" outlineLevel="0" collapsed="false">
      <c r="A995" s="168"/>
      <c r="B995" s="168"/>
      <c r="C995" s="168"/>
      <c r="D995" s="168"/>
      <c r="E995" s="168"/>
      <c r="F995" s="168"/>
      <c r="G995" s="168"/>
      <c r="H995" s="168"/>
      <c r="I995" s="168"/>
      <c r="J995" s="168"/>
      <c r="K995" s="168"/>
      <c r="L995" s="168"/>
      <c r="M995" s="168"/>
      <c r="N995" s="168"/>
      <c r="O995" s="168"/>
      <c r="P995" s="168"/>
      <c r="Q995" s="168"/>
      <c r="R995" s="168"/>
      <c r="S995" s="168"/>
      <c r="T995" s="168"/>
      <c r="U995" s="168"/>
      <c r="V995" s="168"/>
      <c r="W995" s="168"/>
      <c r="X995" s="168"/>
      <c r="Y995" s="168"/>
      <c r="Z995" s="168"/>
    </row>
    <row r="996" customFormat="false" ht="15.75" hidden="false" customHeight="false" outlineLevel="0" collapsed="false">
      <c r="A996" s="168"/>
      <c r="B996" s="168"/>
      <c r="C996" s="168"/>
      <c r="D996" s="168"/>
      <c r="E996" s="168"/>
      <c r="F996" s="168"/>
      <c r="G996" s="168"/>
      <c r="H996" s="168"/>
      <c r="I996" s="168"/>
      <c r="J996" s="168"/>
      <c r="K996" s="168"/>
      <c r="L996" s="168"/>
      <c r="M996" s="168"/>
      <c r="N996" s="168"/>
      <c r="O996" s="168"/>
      <c r="P996" s="168"/>
      <c r="Q996" s="168"/>
      <c r="R996" s="168"/>
      <c r="S996" s="168"/>
      <c r="T996" s="168"/>
      <c r="U996" s="168"/>
      <c r="V996" s="168"/>
      <c r="W996" s="168"/>
      <c r="X996" s="168"/>
      <c r="Y996" s="168"/>
      <c r="Z996" s="168"/>
    </row>
    <row r="997" customFormat="false" ht="15.75" hidden="false" customHeight="false" outlineLevel="0" collapsed="false">
      <c r="A997" s="168"/>
      <c r="B997" s="168"/>
      <c r="C997" s="168"/>
      <c r="D997" s="168"/>
      <c r="E997" s="168"/>
      <c r="F997" s="168"/>
      <c r="G997" s="168"/>
      <c r="H997" s="168"/>
      <c r="I997" s="168"/>
      <c r="J997" s="168"/>
      <c r="K997" s="168"/>
      <c r="L997" s="168"/>
      <c r="M997" s="168"/>
      <c r="N997" s="168"/>
      <c r="O997" s="168"/>
      <c r="P997" s="168"/>
      <c r="Q997" s="168"/>
      <c r="R997" s="168"/>
      <c r="S997" s="168"/>
      <c r="T997" s="168"/>
      <c r="U997" s="168"/>
      <c r="V997" s="168"/>
      <c r="W997" s="168"/>
      <c r="X997" s="168"/>
      <c r="Y997" s="168"/>
      <c r="Z997" s="168"/>
    </row>
    <row r="998" customFormat="false" ht="15.75" hidden="false" customHeight="false" outlineLevel="0" collapsed="false">
      <c r="A998" s="168"/>
      <c r="B998" s="168"/>
      <c r="C998" s="168"/>
      <c r="D998" s="168"/>
      <c r="E998" s="168"/>
      <c r="F998" s="168"/>
      <c r="G998" s="168"/>
      <c r="H998" s="168"/>
      <c r="I998" s="168"/>
      <c r="J998" s="168"/>
      <c r="K998" s="168"/>
      <c r="L998" s="168"/>
      <c r="M998" s="168"/>
      <c r="N998" s="168"/>
      <c r="O998" s="168"/>
      <c r="P998" s="168"/>
      <c r="Q998" s="168"/>
      <c r="R998" s="168"/>
      <c r="S998" s="168"/>
      <c r="T998" s="168"/>
      <c r="U998" s="168"/>
      <c r="V998" s="168"/>
      <c r="W998" s="168"/>
      <c r="X998" s="168"/>
      <c r="Y998" s="168"/>
      <c r="Z998" s="168"/>
    </row>
    <row r="999" customFormat="false" ht="15.75" hidden="false" customHeight="false" outlineLevel="0" collapsed="false">
      <c r="A999" s="168"/>
      <c r="B999" s="168"/>
      <c r="C999" s="168"/>
      <c r="D999" s="168"/>
      <c r="E999" s="168"/>
      <c r="F999" s="168"/>
      <c r="G999" s="168"/>
      <c r="H999" s="168"/>
      <c r="I999" s="168"/>
      <c r="J999" s="168"/>
      <c r="K999" s="168"/>
      <c r="L999" s="168"/>
      <c r="M999" s="168"/>
      <c r="N999" s="168"/>
      <c r="O999" s="168"/>
      <c r="P999" s="168"/>
      <c r="Q999" s="168"/>
      <c r="R999" s="168"/>
      <c r="S999" s="168"/>
      <c r="T999" s="168"/>
      <c r="U999" s="168"/>
      <c r="V999" s="168"/>
      <c r="W999" s="168"/>
      <c r="X999" s="168"/>
      <c r="Y999" s="168"/>
      <c r="Z999" s="168"/>
    </row>
    <row r="1000" customFormat="false" ht="15.75" hidden="false" customHeight="false" outlineLevel="0" collapsed="false">
      <c r="A1000" s="168"/>
      <c r="B1000" s="168"/>
      <c r="C1000" s="168"/>
      <c r="D1000" s="168"/>
      <c r="E1000" s="168"/>
      <c r="F1000" s="168"/>
      <c r="G1000" s="168"/>
      <c r="H1000" s="168"/>
      <c r="I1000" s="168"/>
      <c r="J1000" s="168"/>
      <c r="K1000" s="168"/>
      <c r="L1000" s="168"/>
      <c r="M1000" s="168"/>
      <c r="N1000" s="168"/>
      <c r="O1000" s="168"/>
      <c r="P1000" s="168"/>
      <c r="Q1000" s="168"/>
      <c r="R1000" s="168"/>
      <c r="S1000" s="168"/>
      <c r="T1000" s="168"/>
      <c r="U1000" s="168"/>
      <c r="V1000" s="168"/>
      <c r="W1000" s="168"/>
      <c r="X1000" s="168"/>
      <c r="Y1000" s="168"/>
      <c r="Z1000" s="168"/>
    </row>
    <row r="1001" customFormat="false" ht="15.75" hidden="false" customHeight="false" outlineLevel="0" collapsed="false">
      <c r="A1001" s="168"/>
      <c r="B1001" s="168"/>
      <c r="C1001" s="168"/>
      <c r="D1001" s="168"/>
      <c r="E1001" s="168"/>
      <c r="F1001" s="168"/>
      <c r="G1001" s="168"/>
      <c r="H1001" s="168"/>
      <c r="I1001" s="168"/>
      <c r="J1001" s="168"/>
      <c r="K1001" s="168"/>
      <c r="L1001" s="168"/>
      <c r="M1001" s="168"/>
      <c r="N1001" s="168"/>
      <c r="O1001" s="168"/>
      <c r="P1001" s="168"/>
      <c r="Q1001" s="168"/>
      <c r="R1001" s="168"/>
      <c r="S1001" s="168"/>
      <c r="T1001" s="168"/>
      <c r="U1001" s="168"/>
      <c r="V1001" s="168"/>
      <c r="W1001" s="168"/>
      <c r="X1001" s="168"/>
      <c r="Y1001" s="168"/>
      <c r="Z1001" s="168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68" t="s">
        <v>125</v>
      </c>
      <c r="B1" s="168" t="s">
        <v>126</v>
      </c>
      <c r="C1" s="168" t="s">
        <v>33</v>
      </c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</row>
    <row r="2" customFormat="false" ht="15.75" hidden="false" customHeight="false" outlineLevel="0" collapsed="false">
      <c r="A2" s="168" t="s">
        <v>127</v>
      </c>
      <c r="B2" s="168" t="s">
        <v>127</v>
      </c>
      <c r="C2" s="168" t="s">
        <v>32</v>
      </c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</row>
    <row r="3" customFormat="false" ht="15.75" hidden="false" customHeight="false" outlineLevel="0" collapsed="false">
      <c r="A3" s="168" t="s">
        <v>128</v>
      </c>
      <c r="B3" s="168" t="s">
        <v>129</v>
      </c>
      <c r="C3" s="168" t="s">
        <v>35</v>
      </c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8"/>
      <c r="W3" s="168"/>
      <c r="X3" s="168"/>
      <c r="Y3" s="168"/>
      <c r="Z3" s="168"/>
    </row>
    <row r="4" customFormat="false" ht="15.75" hidden="false" customHeight="false" outlineLevel="0" collapsed="false">
      <c r="A4" s="168" t="s">
        <v>129</v>
      </c>
      <c r="B4" s="168"/>
      <c r="C4" s="168" t="s">
        <v>29</v>
      </c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  <c r="U4" s="168"/>
      <c r="V4" s="168"/>
      <c r="W4" s="168"/>
      <c r="X4" s="168"/>
      <c r="Y4" s="168"/>
      <c r="Z4" s="168"/>
    </row>
    <row r="5" customFormat="false" ht="15.75" hidden="false" customHeight="false" outlineLevel="0" collapsed="false">
      <c r="A5" s="168"/>
      <c r="B5" s="168"/>
      <c r="C5" s="168" t="s">
        <v>62</v>
      </c>
      <c r="D5" s="168"/>
      <c r="E5" s="168"/>
      <c r="F5" s="168"/>
      <c r="G5" s="168"/>
      <c r="H5" s="168"/>
      <c r="I5" s="168"/>
      <c r="J5" s="168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</row>
    <row r="6" customFormat="false" ht="15.75" hidden="false" customHeight="false" outlineLevel="0" collapsed="false">
      <c r="A6" s="168"/>
      <c r="B6" s="168"/>
      <c r="C6" s="168" t="s">
        <v>34</v>
      </c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68"/>
      <c r="P6" s="168"/>
      <c r="Q6" s="168"/>
      <c r="R6" s="168"/>
      <c r="S6" s="168"/>
      <c r="T6" s="168"/>
      <c r="U6" s="168"/>
      <c r="V6" s="168"/>
      <c r="W6" s="168"/>
      <c r="X6" s="168"/>
      <c r="Y6" s="168"/>
      <c r="Z6" s="168"/>
    </row>
    <row r="7" customFormat="false" ht="15.75" hidden="false" customHeight="false" outlineLevel="0" collapsed="false">
      <c r="A7" s="168"/>
      <c r="B7" s="168"/>
      <c r="C7" s="168" t="s">
        <v>36</v>
      </c>
      <c r="D7" s="168"/>
      <c r="E7" s="168"/>
      <c r="F7" s="168"/>
      <c r="G7" s="168"/>
      <c r="H7" s="168"/>
      <c r="I7" s="168"/>
      <c r="J7" s="168"/>
      <c r="K7" s="168"/>
      <c r="L7" s="168"/>
      <c r="M7" s="168"/>
      <c r="N7" s="168"/>
      <c r="O7" s="168"/>
      <c r="P7" s="168"/>
      <c r="Q7" s="168"/>
      <c r="R7" s="168"/>
      <c r="S7" s="168"/>
      <c r="T7" s="168"/>
      <c r="U7" s="168"/>
      <c r="V7" s="168"/>
      <c r="W7" s="168"/>
      <c r="X7" s="168"/>
      <c r="Y7" s="168"/>
      <c r="Z7" s="168"/>
    </row>
    <row r="8" customFormat="false" ht="15.75" hidden="false" customHeight="false" outlineLevel="0" collapsed="false">
      <c r="A8" s="168"/>
      <c r="B8" s="168"/>
      <c r="C8" s="168" t="s">
        <v>31</v>
      </c>
      <c r="D8" s="168"/>
      <c r="E8" s="168"/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68"/>
    </row>
    <row r="9" customFormat="false" ht="15.75" hidden="false" customHeight="false" outlineLevel="0" collapsed="false">
      <c r="A9" s="168"/>
      <c r="B9" s="168"/>
      <c r="C9" s="168" t="s">
        <v>30</v>
      </c>
      <c r="D9" s="168"/>
      <c r="E9" s="168"/>
      <c r="F9" s="168"/>
      <c r="G9" s="168"/>
      <c r="H9" s="168"/>
      <c r="I9" s="168"/>
      <c r="J9" s="168"/>
      <c r="K9" s="168"/>
      <c r="L9" s="168"/>
      <c r="M9" s="168"/>
      <c r="N9" s="168"/>
      <c r="O9" s="168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</row>
    <row r="10" customFormat="false" ht="15.75" hidden="false" customHeight="false" outlineLevel="0" collapsed="false">
      <c r="A10" s="168"/>
      <c r="B10" s="168"/>
      <c r="C10" s="168"/>
      <c r="D10" s="168"/>
      <c r="E10" s="168"/>
      <c r="F10" s="168"/>
      <c r="G10" s="168"/>
      <c r="H10" s="168"/>
      <c r="I10" s="168"/>
      <c r="J10" s="168"/>
      <c r="K10" s="168"/>
      <c r="L10" s="168"/>
      <c r="M10" s="168"/>
      <c r="N10" s="168"/>
      <c r="O10" s="168"/>
      <c r="P10" s="168"/>
      <c r="Q10" s="168"/>
      <c r="R10" s="168"/>
      <c r="S10" s="168"/>
      <c r="T10" s="168"/>
      <c r="U10" s="168"/>
      <c r="V10" s="168"/>
      <c r="W10" s="168"/>
      <c r="X10" s="168"/>
      <c r="Y10" s="168"/>
      <c r="Z10" s="168"/>
    </row>
    <row r="11" customFormat="false" ht="15.75" hidden="false" customHeight="false" outlineLevel="0" collapsed="false">
      <c r="A11" s="168"/>
      <c r="B11" s="168"/>
      <c r="C11" s="168"/>
      <c r="D11" s="168"/>
      <c r="E11" s="168"/>
      <c r="F11" s="168"/>
      <c r="G11" s="168"/>
      <c r="H11" s="168"/>
      <c r="I11" s="168"/>
      <c r="J11" s="168"/>
      <c r="K11" s="168"/>
      <c r="L11" s="168"/>
      <c r="M11" s="168"/>
      <c r="N11" s="168"/>
      <c r="O11" s="168"/>
      <c r="P11" s="168"/>
      <c r="Q11" s="168"/>
      <c r="R11" s="168"/>
      <c r="S11" s="168"/>
      <c r="T11" s="168"/>
      <c r="U11" s="168"/>
      <c r="V11" s="168"/>
      <c r="W11" s="168"/>
      <c r="X11" s="168"/>
      <c r="Y11" s="168"/>
      <c r="Z11" s="168"/>
    </row>
    <row r="12" customFormat="false" ht="15.75" hidden="false" customHeight="false" outlineLevel="0" collapsed="false">
      <c r="A12" s="168"/>
      <c r="B12" s="168"/>
      <c r="C12" s="168"/>
      <c r="D12" s="168"/>
      <c r="E12" s="168"/>
      <c r="F12" s="168"/>
      <c r="G12" s="168"/>
      <c r="H12" s="168"/>
      <c r="I12" s="168"/>
      <c r="J12" s="168"/>
      <c r="K12" s="168"/>
      <c r="L12" s="168"/>
      <c r="M12" s="168"/>
      <c r="N12" s="168"/>
      <c r="O12" s="168"/>
      <c r="P12" s="168"/>
      <c r="Q12" s="168"/>
      <c r="R12" s="168"/>
      <c r="S12" s="168"/>
      <c r="T12" s="168"/>
      <c r="U12" s="168"/>
      <c r="V12" s="168"/>
      <c r="W12" s="168"/>
      <c r="X12" s="168"/>
      <c r="Y12" s="168"/>
      <c r="Z12" s="168"/>
    </row>
    <row r="13" customFormat="false" ht="15.75" hidden="false" customHeight="false" outlineLevel="0" collapsed="false">
      <c r="A13" s="168"/>
      <c r="B13" s="168"/>
      <c r="C13" s="168"/>
      <c r="D13" s="168"/>
      <c r="E13" s="168"/>
      <c r="F13" s="168"/>
      <c r="G13" s="168"/>
      <c r="H13" s="168"/>
      <c r="I13" s="168"/>
      <c r="J13" s="168"/>
      <c r="K13" s="168"/>
      <c r="L13" s="168"/>
      <c r="M13" s="168"/>
      <c r="N13" s="168"/>
      <c r="O13" s="168"/>
      <c r="P13" s="168"/>
      <c r="Q13" s="168"/>
      <c r="R13" s="168"/>
      <c r="S13" s="168"/>
      <c r="T13" s="168"/>
      <c r="U13" s="168"/>
      <c r="V13" s="168"/>
      <c r="W13" s="168"/>
      <c r="X13" s="168"/>
      <c r="Y13" s="168"/>
      <c r="Z13" s="168"/>
    </row>
    <row r="14" customFormat="false" ht="15.75" hidden="false" customHeight="false" outlineLevel="0" collapsed="false">
      <c r="A14" s="168"/>
      <c r="B14" s="168"/>
      <c r="C14" s="168"/>
      <c r="D14" s="168"/>
      <c r="E14" s="168"/>
      <c r="F14" s="168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68"/>
      <c r="R14" s="168"/>
      <c r="S14" s="168"/>
      <c r="T14" s="168"/>
      <c r="U14" s="168"/>
      <c r="V14" s="168"/>
      <c r="W14" s="168"/>
      <c r="X14" s="168"/>
      <c r="Y14" s="168"/>
      <c r="Z14" s="168"/>
    </row>
    <row r="15" customFormat="false" ht="15.75" hidden="false" customHeight="false" outlineLevel="0" collapsed="false">
      <c r="A15" s="168"/>
      <c r="B15" s="168"/>
      <c r="C15" s="168"/>
      <c r="D15" s="168"/>
      <c r="E15" s="168"/>
      <c r="F15" s="168"/>
      <c r="G15" s="168"/>
      <c r="H15" s="168"/>
      <c r="I15" s="168"/>
      <c r="J15" s="168"/>
      <c r="K15" s="168"/>
      <c r="L15" s="168"/>
      <c r="M15" s="168"/>
      <c r="N15" s="168"/>
      <c r="O15" s="168"/>
      <c r="P15" s="168"/>
      <c r="Q15" s="168"/>
      <c r="R15" s="168"/>
      <c r="S15" s="168"/>
      <c r="T15" s="168"/>
      <c r="U15" s="168"/>
      <c r="V15" s="168"/>
      <c r="W15" s="168"/>
      <c r="X15" s="168"/>
      <c r="Y15" s="168"/>
      <c r="Z15" s="168"/>
    </row>
    <row r="16" customFormat="false" ht="15.75" hidden="false" customHeight="false" outlineLevel="0" collapsed="false">
      <c r="A16" s="168"/>
      <c r="B16" s="168"/>
      <c r="C16" s="168"/>
      <c r="D16" s="168"/>
      <c r="E16" s="168"/>
      <c r="F16" s="168"/>
      <c r="G16" s="168"/>
      <c r="H16" s="168"/>
      <c r="I16" s="168"/>
      <c r="J16" s="168"/>
      <c r="K16" s="168"/>
      <c r="L16" s="168"/>
      <c r="M16" s="168"/>
      <c r="N16" s="168"/>
      <c r="O16" s="168"/>
      <c r="P16" s="168"/>
      <c r="Q16" s="168"/>
      <c r="R16" s="168"/>
      <c r="S16" s="168"/>
      <c r="T16" s="168"/>
      <c r="U16" s="168"/>
      <c r="V16" s="168"/>
      <c r="W16" s="168"/>
      <c r="X16" s="168"/>
      <c r="Y16" s="168"/>
      <c r="Z16" s="168"/>
    </row>
    <row r="17" customFormat="false" ht="15.75" hidden="false" customHeight="false" outlineLevel="0" collapsed="false">
      <c r="A17" s="168"/>
      <c r="B17" s="168"/>
      <c r="C17" s="168"/>
      <c r="D17" s="168"/>
      <c r="E17" s="168"/>
      <c r="F17" s="168"/>
      <c r="G17" s="168"/>
      <c r="H17" s="168"/>
      <c r="I17" s="168"/>
      <c r="J17" s="168"/>
      <c r="K17" s="168"/>
      <c r="L17" s="168"/>
      <c r="M17" s="168"/>
      <c r="N17" s="168"/>
      <c r="O17" s="168"/>
      <c r="P17" s="168"/>
      <c r="Q17" s="168"/>
      <c r="R17" s="168"/>
      <c r="S17" s="168"/>
      <c r="T17" s="168"/>
      <c r="U17" s="168"/>
      <c r="V17" s="168"/>
      <c r="W17" s="168"/>
      <c r="X17" s="168"/>
      <c r="Y17" s="168"/>
      <c r="Z17" s="168"/>
    </row>
    <row r="18" customFormat="false" ht="15.75" hidden="false" customHeight="false" outlineLevel="0" collapsed="false">
      <c r="A18" s="168"/>
      <c r="B18" s="168"/>
      <c r="C18" s="168"/>
      <c r="D18" s="168"/>
      <c r="E18" s="168"/>
      <c r="F18" s="168"/>
      <c r="G18" s="168"/>
      <c r="H18" s="168"/>
      <c r="I18" s="168"/>
      <c r="J18" s="168"/>
      <c r="K18" s="168"/>
      <c r="L18" s="168"/>
      <c r="M18" s="168"/>
      <c r="N18" s="168"/>
      <c r="O18" s="168"/>
      <c r="P18" s="168"/>
      <c r="Q18" s="168"/>
      <c r="R18" s="168"/>
      <c r="S18" s="168"/>
      <c r="T18" s="168"/>
      <c r="U18" s="168"/>
      <c r="V18" s="168"/>
      <c r="W18" s="168"/>
      <c r="X18" s="168"/>
      <c r="Y18" s="168"/>
      <c r="Z18" s="168"/>
    </row>
    <row r="19" customFormat="false" ht="15.75" hidden="false" customHeight="false" outlineLevel="0" collapsed="false">
      <c r="A19" s="168"/>
      <c r="B19" s="168"/>
      <c r="C19" s="168"/>
      <c r="D19" s="168"/>
      <c r="E19" s="168"/>
      <c r="F19" s="168"/>
      <c r="G19" s="168"/>
      <c r="H19" s="168"/>
      <c r="I19" s="168"/>
      <c r="J19" s="168"/>
      <c r="K19" s="168"/>
      <c r="L19" s="168"/>
      <c r="M19" s="168"/>
      <c r="N19" s="168"/>
      <c r="O19" s="168"/>
      <c r="P19" s="168"/>
      <c r="Q19" s="168"/>
      <c r="R19" s="168"/>
      <c r="S19" s="168"/>
      <c r="T19" s="168"/>
      <c r="U19" s="168"/>
      <c r="V19" s="168"/>
      <c r="W19" s="168"/>
      <c r="X19" s="168"/>
      <c r="Y19" s="168"/>
      <c r="Z19" s="168"/>
    </row>
    <row r="20" customFormat="false" ht="15.75" hidden="false" customHeight="false" outlineLevel="0" collapsed="false">
      <c r="A20" s="168"/>
      <c r="B20" s="168"/>
      <c r="C20" s="168"/>
      <c r="D20" s="168"/>
      <c r="E20" s="168"/>
      <c r="F20" s="168"/>
      <c r="G20" s="168"/>
      <c r="H20" s="168"/>
      <c r="I20" s="168"/>
      <c r="J20" s="168"/>
      <c r="K20" s="168"/>
      <c r="L20" s="168"/>
      <c r="M20" s="168"/>
      <c r="N20" s="168"/>
      <c r="O20" s="168"/>
      <c r="P20" s="168"/>
      <c r="Q20" s="168"/>
      <c r="R20" s="168"/>
      <c r="S20" s="168"/>
      <c r="T20" s="168"/>
      <c r="U20" s="168"/>
      <c r="V20" s="168"/>
      <c r="W20" s="168"/>
      <c r="X20" s="168"/>
      <c r="Y20" s="168"/>
      <c r="Z20" s="168"/>
    </row>
    <row r="21" customFormat="false" ht="15.75" hidden="false" customHeight="false" outlineLevel="0" collapsed="false">
      <c r="A21" s="168"/>
      <c r="B21" s="168"/>
      <c r="C21" s="168"/>
      <c r="D21" s="168"/>
      <c r="E21" s="168"/>
      <c r="F21" s="168"/>
      <c r="G21" s="168"/>
      <c r="H21" s="168"/>
      <c r="I21" s="168"/>
      <c r="J21" s="168"/>
      <c r="K21" s="168"/>
      <c r="L21" s="168"/>
      <c r="M21" s="168"/>
      <c r="N21" s="168"/>
      <c r="O21" s="168"/>
      <c r="P21" s="168"/>
      <c r="Q21" s="168"/>
      <c r="R21" s="168"/>
      <c r="S21" s="168"/>
      <c r="T21" s="168"/>
      <c r="U21" s="168"/>
      <c r="V21" s="168"/>
      <c r="W21" s="168"/>
      <c r="X21" s="168"/>
      <c r="Y21" s="168"/>
      <c r="Z21" s="168"/>
    </row>
    <row r="22" customFormat="false" ht="15.75" hidden="false" customHeight="false" outlineLevel="0" collapsed="false">
      <c r="A22" s="168"/>
      <c r="B22" s="168"/>
      <c r="C22" s="168"/>
      <c r="D22" s="168"/>
      <c r="E22" s="168"/>
      <c r="F22" s="168"/>
      <c r="G22" s="168"/>
      <c r="H22" s="168"/>
      <c r="I22" s="168"/>
      <c r="J22" s="168"/>
      <c r="K22" s="168"/>
      <c r="L22" s="168"/>
      <c r="M22" s="168"/>
      <c r="N22" s="168"/>
      <c r="O22" s="168"/>
      <c r="P22" s="168"/>
      <c r="Q22" s="168"/>
      <c r="R22" s="168"/>
      <c r="S22" s="168"/>
      <c r="T22" s="168"/>
      <c r="U22" s="168"/>
      <c r="V22" s="168"/>
      <c r="W22" s="168"/>
      <c r="X22" s="168"/>
      <c r="Y22" s="168"/>
      <c r="Z22" s="168"/>
    </row>
    <row r="23" customFormat="false" ht="15.75" hidden="false" customHeight="false" outlineLevel="0" collapsed="false">
      <c r="A23" s="168"/>
      <c r="B23" s="168"/>
      <c r="C23" s="168"/>
      <c r="D23" s="168"/>
      <c r="E23" s="168"/>
      <c r="F23" s="168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8"/>
      <c r="R23" s="168"/>
      <c r="S23" s="168"/>
      <c r="T23" s="168"/>
      <c r="U23" s="168"/>
      <c r="V23" s="168"/>
      <c r="W23" s="168"/>
      <c r="X23" s="168"/>
      <c r="Y23" s="168"/>
      <c r="Z23" s="168"/>
    </row>
    <row r="24" customFormat="false" ht="15.75" hidden="false" customHeight="false" outlineLevel="0" collapsed="false">
      <c r="A24" s="168"/>
      <c r="B24" s="168"/>
      <c r="C24" s="168"/>
      <c r="D24" s="168"/>
      <c r="E24" s="168"/>
      <c r="F24" s="168"/>
      <c r="G24" s="168"/>
      <c r="H24" s="168"/>
      <c r="I24" s="168"/>
      <c r="J24" s="168"/>
      <c r="K24" s="168"/>
      <c r="L24" s="168"/>
      <c r="M24" s="168"/>
      <c r="N24" s="168"/>
      <c r="O24" s="168"/>
      <c r="P24" s="168"/>
      <c r="Q24" s="168"/>
      <c r="R24" s="168"/>
      <c r="S24" s="168"/>
      <c r="T24" s="168"/>
      <c r="U24" s="168"/>
      <c r="V24" s="168"/>
      <c r="W24" s="168"/>
      <c r="X24" s="168"/>
      <c r="Y24" s="168"/>
      <c r="Z24" s="168"/>
    </row>
    <row r="25" customFormat="false" ht="15.75" hidden="false" customHeight="false" outlineLevel="0" collapsed="false">
      <c r="A25" s="168"/>
      <c r="B25" s="168"/>
      <c r="C25" s="168"/>
      <c r="D25" s="168"/>
      <c r="E25" s="168"/>
      <c r="F25" s="168"/>
      <c r="G25" s="168"/>
      <c r="H25" s="168"/>
      <c r="I25" s="168"/>
      <c r="J25" s="168"/>
      <c r="K25" s="168"/>
      <c r="L25" s="168"/>
      <c r="M25" s="168"/>
      <c r="N25" s="168"/>
      <c r="O25" s="168"/>
      <c r="P25" s="168"/>
      <c r="Q25" s="168"/>
      <c r="R25" s="168"/>
      <c r="S25" s="168"/>
      <c r="T25" s="168"/>
      <c r="U25" s="168"/>
      <c r="V25" s="168"/>
      <c r="W25" s="168"/>
      <c r="X25" s="168"/>
      <c r="Y25" s="168"/>
      <c r="Z25" s="168"/>
    </row>
    <row r="26" customFormat="false" ht="15.75" hidden="false" customHeight="false" outlineLevel="0" collapsed="false">
      <c r="A26" s="168"/>
      <c r="B26" s="168"/>
      <c r="C26" s="168"/>
      <c r="D26" s="168"/>
      <c r="E26" s="168"/>
      <c r="F26" s="168"/>
      <c r="G26" s="168"/>
      <c r="H26" s="168"/>
      <c r="I26" s="168"/>
      <c r="J26" s="168"/>
      <c r="K26" s="168"/>
      <c r="L26" s="168"/>
      <c r="M26" s="168"/>
      <c r="N26" s="168"/>
      <c r="O26" s="168"/>
      <c r="P26" s="168"/>
      <c r="Q26" s="168"/>
      <c r="R26" s="168"/>
      <c r="S26" s="168"/>
      <c r="T26" s="168"/>
      <c r="U26" s="168"/>
      <c r="V26" s="168"/>
      <c r="W26" s="168"/>
      <c r="X26" s="168"/>
      <c r="Y26" s="168"/>
      <c r="Z26" s="168"/>
    </row>
    <row r="27" customFormat="false" ht="15.75" hidden="false" customHeight="false" outlineLevel="0" collapsed="false">
      <c r="A27" s="168"/>
      <c r="B27" s="168"/>
      <c r="C27" s="168"/>
      <c r="D27" s="168"/>
      <c r="E27" s="168"/>
      <c r="F27" s="168"/>
      <c r="G27" s="168"/>
      <c r="H27" s="168"/>
      <c r="I27" s="168"/>
      <c r="J27" s="168"/>
      <c r="K27" s="168"/>
      <c r="L27" s="168"/>
      <c r="M27" s="168"/>
      <c r="N27" s="168"/>
      <c r="O27" s="168"/>
      <c r="P27" s="168"/>
      <c r="Q27" s="168"/>
      <c r="R27" s="168"/>
      <c r="S27" s="168"/>
      <c r="T27" s="168"/>
      <c r="U27" s="168"/>
      <c r="V27" s="168"/>
      <c r="W27" s="168"/>
      <c r="X27" s="168"/>
      <c r="Y27" s="168"/>
      <c r="Z27" s="168"/>
    </row>
    <row r="28" customFormat="false" ht="15.75" hidden="false" customHeight="false" outlineLevel="0" collapsed="false">
      <c r="A28" s="168"/>
      <c r="B28" s="168"/>
      <c r="C28" s="168"/>
      <c r="D28" s="168"/>
      <c r="E28" s="168"/>
      <c r="F28" s="168"/>
      <c r="G28" s="168"/>
      <c r="H28" s="168"/>
      <c r="I28" s="168"/>
      <c r="J28" s="168"/>
      <c r="K28" s="168"/>
      <c r="L28" s="168"/>
      <c r="M28" s="168"/>
      <c r="N28" s="168"/>
      <c r="O28" s="168"/>
      <c r="P28" s="168"/>
      <c r="Q28" s="168"/>
      <c r="R28" s="168"/>
      <c r="S28" s="168"/>
      <c r="T28" s="168"/>
      <c r="U28" s="168"/>
      <c r="V28" s="168"/>
      <c r="W28" s="168"/>
      <c r="X28" s="168"/>
      <c r="Y28" s="168"/>
      <c r="Z28" s="168"/>
    </row>
    <row r="29" customFormat="false" ht="15.75" hidden="false" customHeight="false" outlineLevel="0" collapsed="false">
      <c r="A29" s="168"/>
      <c r="B29" s="168"/>
      <c r="C29" s="168"/>
      <c r="D29" s="168"/>
      <c r="E29" s="168"/>
      <c r="F29" s="168"/>
      <c r="G29" s="168"/>
      <c r="H29" s="168"/>
      <c r="I29" s="168"/>
      <c r="J29" s="168"/>
      <c r="K29" s="168"/>
      <c r="L29" s="168"/>
      <c r="M29" s="168"/>
      <c r="N29" s="168"/>
      <c r="O29" s="168"/>
      <c r="P29" s="168"/>
      <c r="Q29" s="168"/>
      <c r="R29" s="168"/>
      <c r="S29" s="168"/>
      <c r="T29" s="168"/>
      <c r="U29" s="168"/>
      <c r="V29" s="168"/>
      <c r="W29" s="168"/>
      <c r="X29" s="168"/>
      <c r="Y29" s="168"/>
      <c r="Z29" s="168"/>
    </row>
    <row r="30" customFormat="false" ht="15.75" hidden="false" customHeight="false" outlineLevel="0" collapsed="false">
      <c r="A30" s="168"/>
      <c r="B30" s="168"/>
      <c r="C30" s="168"/>
      <c r="D30" s="168"/>
      <c r="E30" s="168"/>
      <c r="F30" s="168"/>
      <c r="G30" s="168"/>
      <c r="H30" s="168"/>
      <c r="I30" s="168"/>
      <c r="J30" s="168"/>
      <c r="K30" s="168"/>
      <c r="L30" s="168"/>
      <c r="M30" s="168"/>
      <c r="N30" s="168"/>
      <c r="O30" s="168"/>
      <c r="P30" s="168"/>
      <c r="Q30" s="168"/>
      <c r="R30" s="168"/>
      <c r="S30" s="168"/>
      <c r="T30" s="168"/>
      <c r="U30" s="168"/>
      <c r="V30" s="168"/>
      <c r="W30" s="168"/>
      <c r="X30" s="168"/>
      <c r="Y30" s="168"/>
      <c r="Z30" s="168"/>
    </row>
    <row r="31" customFormat="false" ht="15.75" hidden="false" customHeight="false" outlineLevel="0" collapsed="false">
      <c r="A31" s="168"/>
      <c r="B31" s="168"/>
      <c r="C31" s="168"/>
      <c r="D31" s="168"/>
      <c r="E31" s="168"/>
      <c r="F31" s="168"/>
      <c r="G31" s="168"/>
      <c r="H31" s="168"/>
      <c r="I31" s="168"/>
      <c r="J31" s="168"/>
      <c r="K31" s="168"/>
      <c r="L31" s="168"/>
      <c r="M31" s="168"/>
      <c r="N31" s="168"/>
      <c r="O31" s="168"/>
      <c r="P31" s="168"/>
      <c r="Q31" s="168"/>
      <c r="R31" s="168"/>
      <c r="S31" s="168"/>
      <c r="T31" s="168"/>
      <c r="U31" s="168"/>
      <c r="V31" s="168"/>
      <c r="W31" s="168"/>
      <c r="X31" s="168"/>
      <c r="Y31" s="168"/>
      <c r="Z31" s="168"/>
    </row>
    <row r="32" customFormat="false" ht="15.75" hidden="false" customHeight="false" outlineLevel="0" collapsed="false">
      <c r="A32" s="168"/>
      <c r="B32" s="168"/>
      <c r="C32" s="168"/>
      <c r="D32" s="168"/>
      <c r="E32" s="168"/>
      <c r="F32" s="168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68"/>
      <c r="R32" s="168"/>
      <c r="S32" s="168"/>
      <c r="T32" s="168"/>
      <c r="U32" s="168"/>
      <c r="V32" s="168"/>
      <c r="W32" s="168"/>
      <c r="X32" s="168"/>
      <c r="Y32" s="168"/>
      <c r="Z32" s="168"/>
    </row>
    <row r="33" customFormat="false" ht="15.75" hidden="false" customHeight="false" outlineLevel="0" collapsed="false">
      <c r="A33" s="168"/>
      <c r="B33" s="168"/>
      <c r="C33" s="168"/>
      <c r="D33" s="168"/>
      <c r="E33" s="168"/>
      <c r="F33" s="168"/>
      <c r="G33" s="168"/>
      <c r="H33" s="168"/>
      <c r="I33" s="168"/>
      <c r="J33" s="168"/>
      <c r="K33" s="168"/>
      <c r="L33" s="168"/>
      <c r="M33" s="168"/>
      <c r="N33" s="168"/>
      <c r="O33" s="168"/>
      <c r="P33" s="168"/>
      <c r="Q33" s="168"/>
      <c r="R33" s="168"/>
      <c r="S33" s="168"/>
      <c r="T33" s="168"/>
      <c r="U33" s="168"/>
      <c r="V33" s="168"/>
      <c r="W33" s="168"/>
      <c r="X33" s="168"/>
      <c r="Y33" s="168"/>
      <c r="Z33" s="168"/>
    </row>
    <row r="34" customFormat="false" ht="15.75" hidden="false" customHeight="false" outlineLevel="0" collapsed="false">
      <c r="A34" s="168"/>
      <c r="B34" s="168"/>
      <c r="C34" s="168"/>
      <c r="D34" s="168"/>
      <c r="E34" s="168"/>
      <c r="F34" s="168"/>
      <c r="G34" s="168"/>
      <c r="H34" s="168"/>
      <c r="I34" s="168"/>
      <c r="J34" s="168"/>
      <c r="K34" s="168"/>
      <c r="L34" s="168"/>
      <c r="M34" s="168"/>
      <c r="N34" s="168"/>
      <c r="O34" s="168"/>
      <c r="P34" s="168"/>
      <c r="Q34" s="168"/>
      <c r="R34" s="168"/>
      <c r="S34" s="168"/>
      <c r="T34" s="168"/>
      <c r="U34" s="168"/>
      <c r="V34" s="168"/>
      <c r="W34" s="168"/>
      <c r="X34" s="168"/>
      <c r="Y34" s="168"/>
      <c r="Z34" s="168"/>
    </row>
    <row r="35" customFormat="false" ht="15.75" hidden="false" customHeight="false" outlineLevel="0" collapsed="false">
      <c r="A35" s="168"/>
      <c r="B35" s="168"/>
      <c r="C35" s="168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8"/>
      <c r="W35" s="168"/>
      <c r="X35" s="168"/>
      <c r="Y35" s="168"/>
      <c r="Z35" s="168"/>
    </row>
    <row r="36" customFormat="false" ht="15.75" hidden="false" customHeight="false" outlineLevel="0" collapsed="false">
      <c r="A36" s="168"/>
      <c r="B36" s="168"/>
      <c r="C36" s="168"/>
      <c r="D36" s="168"/>
      <c r="E36" s="168"/>
      <c r="F36" s="168"/>
      <c r="G36" s="168"/>
      <c r="H36" s="168"/>
      <c r="I36" s="168"/>
      <c r="J36" s="168"/>
      <c r="K36" s="168"/>
      <c r="L36" s="168"/>
      <c r="M36" s="168"/>
      <c r="N36" s="168"/>
      <c r="O36" s="168"/>
      <c r="P36" s="168"/>
      <c r="Q36" s="168"/>
      <c r="R36" s="168"/>
      <c r="S36" s="168"/>
      <c r="T36" s="168"/>
      <c r="U36" s="168"/>
      <c r="V36" s="168"/>
      <c r="W36" s="168"/>
      <c r="X36" s="168"/>
      <c r="Y36" s="168"/>
      <c r="Z36" s="168"/>
    </row>
    <row r="37" customFormat="false" ht="15.75" hidden="false" customHeight="false" outlineLevel="0" collapsed="false">
      <c r="A37" s="168"/>
      <c r="B37" s="168"/>
      <c r="C37" s="168"/>
      <c r="D37" s="168"/>
      <c r="E37" s="168"/>
      <c r="F37" s="168"/>
      <c r="G37" s="168"/>
      <c r="H37" s="168"/>
      <c r="I37" s="168"/>
      <c r="J37" s="168"/>
      <c r="K37" s="168"/>
      <c r="L37" s="168"/>
      <c r="M37" s="168"/>
      <c r="N37" s="168"/>
      <c r="O37" s="168"/>
      <c r="P37" s="168"/>
      <c r="Q37" s="168"/>
      <c r="R37" s="168"/>
      <c r="S37" s="168"/>
      <c r="T37" s="168"/>
      <c r="U37" s="168"/>
      <c r="V37" s="168"/>
      <c r="W37" s="168"/>
      <c r="X37" s="168"/>
      <c r="Y37" s="168"/>
      <c r="Z37" s="168"/>
    </row>
    <row r="38" customFormat="false" ht="15.75" hidden="false" customHeight="false" outlineLevel="0" collapsed="false">
      <c r="A38" s="168"/>
      <c r="B38" s="168"/>
      <c r="C38" s="168"/>
      <c r="D38" s="168"/>
      <c r="E38" s="168"/>
      <c r="F38" s="168"/>
      <c r="G38" s="168"/>
      <c r="H38" s="168"/>
      <c r="I38" s="168"/>
      <c r="J38" s="168"/>
      <c r="K38" s="168"/>
      <c r="L38" s="168"/>
      <c r="M38" s="168"/>
      <c r="N38" s="168"/>
      <c r="O38" s="168"/>
      <c r="P38" s="168"/>
      <c r="Q38" s="168"/>
      <c r="R38" s="168"/>
      <c r="S38" s="168"/>
      <c r="T38" s="168"/>
      <c r="U38" s="168"/>
      <c r="V38" s="168"/>
      <c r="W38" s="168"/>
      <c r="X38" s="168"/>
      <c r="Y38" s="168"/>
      <c r="Z38" s="168"/>
    </row>
    <row r="39" customFormat="false" ht="15.75" hidden="false" customHeight="false" outlineLevel="0" collapsed="false">
      <c r="A39" s="168"/>
      <c r="B39" s="168"/>
      <c r="C39" s="168"/>
      <c r="D39" s="168"/>
      <c r="E39" s="168"/>
      <c r="F39" s="168"/>
      <c r="G39" s="168"/>
      <c r="H39" s="168"/>
      <c r="I39" s="168"/>
      <c r="J39" s="168"/>
      <c r="K39" s="168"/>
      <c r="L39" s="168"/>
      <c r="M39" s="168"/>
      <c r="N39" s="168"/>
      <c r="O39" s="168"/>
      <c r="P39" s="168"/>
      <c r="Q39" s="168"/>
      <c r="R39" s="168"/>
      <c r="S39" s="168"/>
      <c r="T39" s="168"/>
      <c r="U39" s="168"/>
      <c r="V39" s="168"/>
      <c r="W39" s="168"/>
      <c r="X39" s="168"/>
      <c r="Y39" s="168"/>
      <c r="Z39" s="168"/>
    </row>
    <row r="40" customFormat="false" ht="15.75" hidden="false" customHeight="false" outlineLevel="0" collapsed="false">
      <c r="A40" s="168"/>
      <c r="B40" s="168"/>
      <c r="C40" s="168"/>
      <c r="D40" s="168"/>
      <c r="E40" s="168"/>
      <c r="F40" s="168"/>
      <c r="G40" s="168"/>
      <c r="H40" s="168"/>
      <c r="I40" s="168"/>
      <c r="J40" s="168"/>
      <c r="K40" s="168"/>
      <c r="L40" s="168"/>
      <c r="M40" s="168"/>
      <c r="N40" s="168"/>
      <c r="O40" s="168"/>
      <c r="P40" s="168"/>
      <c r="Q40" s="168"/>
      <c r="R40" s="168"/>
      <c r="S40" s="168"/>
      <c r="T40" s="168"/>
      <c r="U40" s="168"/>
      <c r="V40" s="168"/>
      <c r="W40" s="168"/>
      <c r="X40" s="168"/>
      <c r="Y40" s="168"/>
      <c r="Z40" s="168"/>
    </row>
    <row r="41" customFormat="false" ht="15.75" hidden="false" customHeight="false" outlineLevel="0" collapsed="false">
      <c r="A41" s="168"/>
      <c r="B41" s="168"/>
      <c r="C41" s="168"/>
      <c r="D41" s="168"/>
      <c r="E41" s="168"/>
      <c r="F41" s="168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68"/>
      <c r="R41" s="168"/>
      <c r="S41" s="168"/>
      <c r="T41" s="168"/>
      <c r="U41" s="168"/>
      <c r="V41" s="168"/>
      <c r="W41" s="168"/>
      <c r="X41" s="168"/>
      <c r="Y41" s="168"/>
      <c r="Z41" s="168"/>
    </row>
    <row r="42" customFormat="false" ht="15.75" hidden="false" customHeight="false" outlineLevel="0" collapsed="false">
      <c r="A42" s="168"/>
      <c r="B42" s="168"/>
      <c r="C42" s="168"/>
      <c r="D42" s="168"/>
      <c r="E42" s="168"/>
      <c r="F42" s="168"/>
      <c r="G42" s="168"/>
      <c r="H42" s="168"/>
      <c r="I42" s="168"/>
      <c r="J42" s="168"/>
      <c r="K42" s="168"/>
      <c r="L42" s="168"/>
      <c r="M42" s="168"/>
      <c r="N42" s="168"/>
      <c r="O42" s="168"/>
      <c r="P42" s="168"/>
      <c r="Q42" s="168"/>
      <c r="R42" s="168"/>
      <c r="S42" s="168"/>
      <c r="T42" s="168"/>
      <c r="U42" s="168"/>
      <c r="V42" s="168"/>
      <c r="W42" s="168"/>
      <c r="X42" s="168"/>
      <c r="Y42" s="168"/>
      <c r="Z42" s="168"/>
    </row>
    <row r="43" customFormat="false" ht="15.75" hidden="false" customHeight="false" outlineLevel="0" collapsed="false">
      <c r="A43" s="168"/>
      <c r="B43" s="168"/>
      <c r="C43" s="168"/>
      <c r="D43" s="168"/>
      <c r="E43" s="168"/>
      <c r="F43" s="168"/>
      <c r="G43" s="168"/>
      <c r="H43" s="168"/>
      <c r="I43" s="168"/>
      <c r="J43" s="168"/>
      <c r="K43" s="168"/>
      <c r="L43" s="168"/>
      <c r="M43" s="168"/>
      <c r="N43" s="168"/>
      <c r="O43" s="168"/>
      <c r="P43" s="168"/>
      <c r="Q43" s="168"/>
      <c r="R43" s="168"/>
      <c r="S43" s="168"/>
      <c r="T43" s="168"/>
      <c r="U43" s="168"/>
      <c r="V43" s="168"/>
      <c r="W43" s="168"/>
      <c r="X43" s="168"/>
      <c r="Y43" s="168"/>
      <c r="Z43" s="168"/>
    </row>
    <row r="44" customFormat="false" ht="15.75" hidden="false" customHeight="false" outlineLevel="0" collapsed="false">
      <c r="A44" s="168"/>
      <c r="B44" s="168"/>
      <c r="C44" s="168"/>
      <c r="D44" s="168"/>
      <c r="E44" s="168"/>
      <c r="F44" s="168"/>
      <c r="G44" s="168"/>
      <c r="H44" s="168"/>
      <c r="I44" s="168"/>
      <c r="J44" s="168"/>
      <c r="K44" s="168"/>
      <c r="L44" s="168"/>
      <c r="M44" s="168"/>
      <c r="N44" s="168"/>
      <c r="O44" s="168"/>
      <c r="P44" s="168"/>
      <c r="Q44" s="168"/>
      <c r="R44" s="168"/>
      <c r="S44" s="168"/>
      <c r="T44" s="168"/>
      <c r="U44" s="168"/>
      <c r="V44" s="168"/>
      <c r="W44" s="168"/>
      <c r="X44" s="168"/>
      <c r="Y44" s="168"/>
      <c r="Z44" s="168"/>
    </row>
    <row r="45" customFormat="false" ht="15.75" hidden="false" customHeight="false" outlineLevel="0" collapsed="false">
      <c r="A45" s="168"/>
      <c r="B45" s="168"/>
      <c r="C45" s="168"/>
      <c r="D45" s="168"/>
      <c r="E45" s="168"/>
      <c r="F45" s="168"/>
      <c r="G45" s="168"/>
      <c r="H45" s="168"/>
      <c r="I45" s="168"/>
      <c r="J45" s="168"/>
      <c r="K45" s="168"/>
      <c r="L45" s="168"/>
      <c r="M45" s="168"/>
      <c r="N45" s="168"/>
      <c r="O45" s="168"/>
      <c r="P45" s="168"/>
      <c r="Q45" s="168"/>
      <c r="R45" s="168"/>
      <c r="S45" s="168"/>
      <c r="T45" s="168"/>
      <c r="U45" s="168"/>
      <c r="V45" s="168"/>
      <c r="W45" s="168"/>
      <c r="X45" s="168"/>
      <c r="Y45" s="168"/>
      <c r="Z45" s="168"/>
    </row>
    <row r="46" customFormat="false" ht="15.75" hidden="false" customHeight="false" outlineLevel="0" collapsed="false">
      <c r="A46" s="168"/>
      <c r="B46" s="168"/>
      <c r="C46" s="168"/>
      <c r="D46" s="168"/>
      <c r="E46" s="168"/>
      <c r="F46" s="168"/>
      <c r="G46" s="168"/>
      <c r="H46" s="168"/>
      <c r="I46" s="168"/>
      <c r="J46" s="168"/>
      <c r="K46" s="168"/>
      <c r="L46" s="168"/>
      <c r="M46" s="168"/>
      <c r="N46" s="168"/>
      <c r="O46" s="168"/>
      <c r="P46" s="168"/>
      <c r="Q46" s="168"/>
      <c r="R46" s="168"/>
      <c r="S46" s="168"/>
      <c r="T46" s="168"/>
      <c r="U46" s="168"/>
      <c r="V46" s="168"/>
      <c r="W46" s="168"/>
      <c r="X46" s="168"/>
      <c r="Y46" s="168"/>
      <c r="Z46" s="168"/>
    </row>
    <row r="47" customFormat="false" ht="15.75" hidden="false" customHeight="false" outlineLevel="0" collapsed="false">
      <c r="A47" s="168"/>
      <c r="B47" s="168"/>
      <c r="C47" s="168"/>
      <c r="D47" s="16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168"/>
      <c r="S47" s="168"/>
      <c r="T47" s="168"/>
      <c r="U47" s="168"/>
      <c r="V47" s="168"/>
      <c r="W47" s="168"/>
      <c r="X47" s="168"/>
      <c r="Y47" s="168"/>
      <c r="Z47" s="168"/>
    </row>
    <row r="48" customFormat="false" ht="15.75" hidden="false" customHeight="false" outlineLevel="0" collapsed="false">
      <c r="A48" s="168"/>
      <c r="B48" s="168"/>
      <c r="C48" s="168"/>
      <c r="D48" s="16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168"/>
      <c r="S48" s="168"/>
      <c r="T48" s="168"/>
      <c r="U48" s="168"/>
      <c r="V48" s="168"/>
      <c r="W48" s="168"/>
      <c r="X48" s="168"/>
      <c r="Y48" s="168"/>
      <c r="Z48" s="168"/>
    </row>
    <row r="49" customFormat="false" ht="15.75" hidden="false" customHeight="false" outlineLevel="0" collapsed="false">
      <c r="A49" s="168"/>
      <c r="B49" s="168"/>
      <c r="C49" s="168"/>
      <c r="D49" s="168"/>
      <c r="E49" s="168"/>
      <c r="F49" s="168"/>
      <c r="G49" s="168"/>
      <c r="H49" s="168"/>
      <c r="I49" s="168"/>
      <c r="J49" s="168"/>
      <c r="K49" s="168"/>
      <c r="L49" s="168"/>
      <c r="M49" s="168"/>
      <c r="N49" s="168"/>
      <c r="O49" s="168"/>
      <c r="P49" s="168"/>
      <c r="Q49" s="168"/>
      <c r="R49" s="168"/>
      <c r="S49" s="168"/>
      <c r="T49" s="168"/>
      <c r="U49" s="168"/>
      <c r="V49" s="168"/>
      <c r="W49" s="168"/>
      <c r="X49" s="168"/>
      <c r="Y49" s="168"/>
      <c r="Z49" s="168"/>
    </row>
    <row r="50" customFormat="false" ht="15.75" hidden="false" customHeight="false" outlineLevel="0" collapsed="false">
      <c r="A50" s="168"/>
      <c r="B50" s="168"/>
      <c r="C50" s="168"/>
      <c r="D50" s="168"/>
      <c r="E50" s="168"/>
      <c r="F50" s="168"/>
      <c r="G50" s="168"/>
      <c r="H50" s="168"/>
      <c r="I50" s="168"/>
      <c r="J50" s="168"/>
      <c r="K50" s="168"/>
      <c r="L50" s="168"/>
      <c r="M50" s="168"/>
      <c r="N50" s="168"/>
      <c r="O50" s="168"/>
      <c r="P50" s="168"/>
      <c r="Q50" s="168"/>
      <c r="R50" s="168"/>
      <c r="S50" s="168"/>
      <c r="T50" s="168"/>
      <c r="U50" s="168"/>
      <c r="V50" s="168"/>
      <c r="W50" s="168"/>
      <c r="X50" s="168"/>
      <c r="Y50" s="168"/>
      <c r="Z50" s="168"/>
    </row>
    <row r="51" customFormat="false" ht="15.75" hidden="false" customHeight="false" outlineLevel="0" collapsed="false">
      <c r="A51" s="168"/>
      <c r="B51" s="168"/>
      <c r="C51" s="168"/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8"/>
      <c r="P51" s="168"/>
      <c r="Q51" s="168"/>
      <c r="R51" s="168"/>
      <c r="S51" s="168"/>
      <c r="T51" s="168"/>
      <c r="U51" s="168"/>
      <c r="V51" s="168"/>
      <c r="W51" s="168"/>
      <c r="X51" s="168"/>
      <c r="Y51" s="168"/>
      <c r="Z51" s="168"/>
    </row>
    <row r="52" customFormat="false" ht="15.75" hidden="false" customHeight="false" outlineLevel="0" collapsed="false">
      <c r="A52" s="168"/>
      <c r="B52" s="168"/>
      <c r="C52" s="168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8"/>
      <c r="P52" s="168"/>
      <c r="Q52" s="168"/>
      <c r="R52" s="168"/>
      <c r="S52" s="168"/>
      <c r="T52" s="168"/>
      <c r="U52" s="168"/>
      <c r="V52" s="168"/>
      <c r="W52" s="168"/>
      <c r="X52" s="168"/>
      <c r="Y52" s="168"/>
      <c r="Z52" s="168"/>
    </row>
    <row r="53" customFormat="false" ht="15.75" hidden="false" customHeight="false" outlineLevel="0" collapsed="false">
      <c r="A53" s="168"/>
      <c r="B53" s="168"/>
      <c r="C53" s="168"/>
      <c r="D53" s="168"/>
      <c r="E53" s="168"/>
      <c r="F53" s="168"/>
      <c r="G53" s="168"/>
      <c r="H53" s="168"/>
      <c r="I53" s="168"/>
      <c r="J53" s="168"/>
      <c r="K53" s="168"/>
      <c r="L53" s="168"/>
      <c r="M53" s="168"/>
      <c r="N53" s="168"/>
      <c r="O53" s="168"/>
      <c r="P53" s="168"/>
      <c r="Q53" s="168"/>
      <c r="R53" s="168"/>
      <c r="S53" s="168"/>
      <c r="T53" s="168"/>
      <c r="U53" s="168"/>
      <c r="V53" s="168"/>
      <c r="W53" s="168"/>
      <c r="X53" s="168"/>
      <c r="Y53" s="168"/>
      <c r="Z53" s="168"/>
    </row>
    <row r="54" customFormat="false" ht="15.75" hidden="false" customHeight="false" outlineLevel="0" collapsed="false">
      <c r="A54" s="168"/>
      <c r="B54" s="168"/>
      <c r="C54" s="168"/>
      <c r="D54" s="168"/>
      <c r="E54" s="168"/>
      <c r="F54" s="168"/>
      <c r="G54" s="168"/>
      <c r="H54" s="168"/>
      <c r="I54" s="168"/>
      <c r="J54" s="168"/>
      <c r="K54" s="168"/>
      <c r="L54" s="168"/>
      <c r="M54" s="168"/>
      <c r="N54" s="168"/>
      <c r="O54" s="168"/>
      <c r="P54" s="168"/>
      <c r="Q54" s="168"/>
      <c r="R54" s="168"/>
      <c r="S54" s="168"/>
      <c r="T54" s="168"/>
      <c r="U54" s="168"/>
      <c r="V54" s="168"/>
      <c r="W54" s="168"/>
      <c r="X54" s="168"/>
      <c r="Y54" s="168"/>
      <c r="Z54" s="168"/>
    </row>
    <row r="55" customFormat="false" ht="15.75" hidden="false" customHeight="false" outlineLevel="0" collapsed="false">
      <c r="A55" s="168"/>
      <c r="B55" s="168"/>
      <c r="C55" s="168"/>
      <c r="D55" s="168"/>
      <c r="E55" s="168"/>
      <c r="F55" s="168"/>
      <c r="G55" s="168"/>
      <c r="H55" s="168"/>
      <c r="I55" s="168"/>
      <c r="J55" s="168"/>
      <c r="K55" s="168"/>
      <c r="L55" s="168"/>
      <c r="M55" s="168"/>
      <c r="N55" s="168"/>
      <c r="O55" s="168"/>
      <c r="P55" s="168"/>
      <c r="Q55" s="168"/>
      <c r="R55" s="168"/>
      <c r="S55" s="168"/>
      <c r="T55" s="168"/>
      <c r="U55" s="168"/>
      <c r="V55" s="168"/>
      <c r="W55" s="168"/>
      <c r="X55" s="168"/>
      <c r="Y55" s="168"/>
      <c r="Z55" s="168"/>
    </row>
    <row r="56" customFormat="false" ht="15.75" hidden="false" customHeight="false" outlineLevel="0" collapsed="false">
      <c r="A56" s="168"/>
      <c r="B56" s="168"/>
      <c r="C56" s="168"/>
      <c r="D56" s="168"/>
      <c r="E56" s="168"/>
      <c r="F56" s="168"/>
      <c r="G56" s="168"/>
      <c r="H56" s="168"/>
      <c r="I56" s="168"/>
      <c r="J56" s="168"/>
      <c r="K56" s="168"/>
      <c r="L56" s="168"/>
      <c r="M56" s="168"/>
      <c r="N56" s="168"/>
      <c r="O56" s="168"/>
      <c r="P56" s="168"/>
      <c r="Q56" s="168"/>
      <c r="R56" s="168"/>
      <c r="S56" s="168"/>
      <c r="T56" s="168"/>
      <c r="U56" s="168"/>
      <c r="V56" s="168"/>
      <c r="W56" s="168"/>
      <c r="X56" s="168"/>
      <c r="Y56" s="168"/>
      <c r="Z56" s="168"/>
    </row>
    <row r="57" customFormat="false" ht="15.75" hidden="false" customHeight="false" outlineLevel="0" collapsed="false">
      <c r="A57" s="168"/>
      <c r="B57" s="168"/>
      <c r="C57" s="168"/>
      <c r="D57" s="168"/>
      <c r="E57" s="168"/>
      <c r="F57" s="168"/>
      <c r="G57" s="168"/>
      <c r="H57" s="168"/>
      <c r="I57" s="168"/>
      <c r="J57" s="168"/>
      <c r="K57" s="168"/>
      <c r="L57" s="168"/>
      <c r="M57" s="168"/>
      <c r="N57" s="168"/>
      <c r="O57" s="168"/>
      <c r="P57" s="168"/>
      <c r="Q57" s="168"/>
      <c r="R57" s="168"/>
      <c r="S57" s="168"/>
      <c r="T57" s="168"/>
      <c r="U57" s="168"/>
      <c r="V57" s="168"/>
      <c r="W57" s="168"/>
      <c r="X57" s="168"/>
      <c r="Y57" s="168"/>
      <c r="Z57" s="168"/>
    </row>
    <row r="58" customFormat="false" ht="15.75" hidden="false" customHeight="false" outlineLevel="0" collapsed="false">
      <c r="A58" s="168"/>
      <c r="B58" s="168"/>
      <c r="C58" s="168"/>
      <c r="D58" s="168"/>
      <c r="E58" s="168"/>
      <c r="F58" s="168"/>
      <c r="G58" s="168"/>
      <c r="H58" s="168"/>
      <c r="I58" s="168"/>
      <c r="J58" s="168"/>
      <c r="K58" s="168"/>
      <c r="L58" s="168"/>
      <c r="M58" s="168"/>
      <c r="N58" s="168"/>
      <c r="O58" s="168"/>
      <c r="P58" s="168"/>
      <c r="Q58" s="168"/>
      <c r="R58" s="168"/>
      <c r="S58" s="168"/>
      <c r="T58" s="168"/>
      <c r="U58" s="168"/>
      <c r="V58" s="168"/>
      <c r="W58" s="168"/>
      <c r="X58" s="168"/>
      <c r="Y58" s="168"/>
      <c r="Z58" s="168"/>
    </row>
    <row r="59" customFormat="false" ht="15.75" hidden="false" customHeight="false" outlineLevel="0" collapsed="false">
      <c r="A59" s="168"/>
      <c r="B59" s="168"/>
      <c r="C59" s="168"/>
      <c r="D59" s="168"/>
      <c r="E59" s="168"/>
      <c r="F59" s="168"/>
      <c r="G59" s="168"/>
      <c r="H59" s="168"/>
      <c r="I59" s="168"/>
      <c r="J59" s="168"/>
      <c r="K59" s="168"/>
      <c r="L59" s="168"/>
      <c r="M59" s="168"/>
      <c r="N59" s="168"/>
      <c r="O59" s="168"/>
      <c r="P59" s="168"/>
      <c r="Q59" s="168"/>
      <c r="R59" s="168"/>
      <c r="S59" s="168"/>
      <c r="T59" s="168"/>
      <c r="U59" s="168"/>
      <c r="V59" s="168"/>
      <c r="W59" s="168"/>
      <c r="X59" s="168"/>
      <c r="Y59" s="168"/>
      <c r="Z59" s="168"/>
    </row>
    <row r="60" customFormat="false" ht="15.75" hidden="false" customHeight="false" outlineLevel="0" collapsed="false">
      <c r="A60" s="168"/>
      <c r="B60" s="168"/>
      <c r="C60" s="168"/>
      <c r="D60" s="168"/>
      <c r="E60" s="168"/>
      <c r="F60" s="168"/>
      <c r="G60" s="168"/>
      <c r="H60" s="168"/>
      <c r="I60" s="168"/>
      <c r="J60" s="168"/>
      <c r="K60" s="168"/>
      <c r="L60" s="168"/>
      <c r="M60" s="168"/>
      <c r="N60" s="168"/>
      <c r="O60" s="168"/>
      <c r="P60" s="168"/>
      <c r="Q60" s="168"/>
      <c r="R60" s="168"/>
      <c r="S60" s="168"/>
      <c r="T60" s="168"/>
      <c r="U60" s="168"/>
      <c r="V60" s="168"/>
      <c r="W60" s="168"/>
      <c r="X60" s="168"/>
      <c r="Y60" s="168"/>
      <c r="Z60" s="168"/>
    </row>
    <row r="61" customFormat="false" ht="15.75" hidden="false" customHeight="false" outlineLevel="0" collapsed="false">
      <c r="A61" s="168"/>
      <c r="B61" s="168"/>
      <c r="C61" s="168"/>
      <c r="D61" s="168"/>
      <c r="E61" s="168"/>
      <c r="F61" s="168"/>
      <c r="G61" s="168"/>
      <c r="H61" s="168"/>
      <c r="I61" s="168"/>
      <c r="J61" s="168"/>
      <c r="K61" s="168"/>
      <c r="L61" s="168"/>
      <c r="M61" s="168"/>
      <c r="N61" s="168"/>
      <c r="O61" s="168"/>
      <c r="P61" s="168"/>
      <c r="Q61" s="168"/>
      <c r="R61" s="168"/>
      <c r="S61" s="168"/>
      <c r="T61" s="168"/>
      <c r="U61" s="168"/>
      <c r="V61" s="168"/>
      <c r="W61" s="168"/>
      <c r="X61" s="168"/>
      <c r="Y61" s="168"/>
      <c r="Z61" s="168"/>
    </row>
    <row r="62" customFormat="false" ht="15.75" hidden="false" customHeight="false" outlineLevel="0" collapsed="false">
      <c r="A62" s="168"/>
      <c r="B62" s="168"/>
      <c r="C62" s="168"/>
      <c r="D62" s="168"/>
      <c r="E62" s="168"/>
      <c r="F62" s="168"/>
      <c r="G62" s="168"/>
      <c r="H62" s="168"/>
      <c r="I62" s="168"/>
      <c r="J62" s="168"/>
      <c r="K62" s="168"/>
      <c r="L62" s="168"/>
      <c r="M62" s="168"/>
      <c r="N62" s="168"/>
      <c r="O62" s="168"/>
      <c r="P62" s="168"/>
      <c r="Q62" s="168"/>
      <c r="R62" s="168"/>
      <c r="S62" s="168"/>
      <c r="T62" s="168"/>
      <c r="U62" s="168"/>
      <c r="V62" s="168"/>
      <c r="W62" s="168"/>
      <c r="X62" s="168"/>
      <c r="Y62" s="168"/>
      <c r="Z62" s="168"/>
    </row>
    <row r="63" customFormat="false" ht="15.75" hidden="false" customHeight="false" outlineLevel="0" collapsed="false">
      <c r="A63" s="168"/>
      <c r="B63" s="168"/>
      <c r="C63" s="168"/>
      <c r="D63" s="168"/>
      <c r="E63" s="168"/>
      <c r="F63" s="168"/>
      <c r="G63" s="168"/>
      <c r="H63" s="168"/>
      <c r="I63" s="168"/>
      <c r="J63" s="168"/>
      <c r="K63" s="168"/>
      <c r="L63" s="168"/>
      <c r="M63" s="168"/>
      <c r="N63" s="168"/>
      <c r="O63" s="168"/>
      <c r="P63" s="168"/>
      <c r="Q63" s="168"/>
      <c r="R63" s="168"/>
      <c r="S63" s="168"/>
      <c r="T63" s="168"/>
      <c r="U63" s="168"/>
      <c r="V63" s="168"/>
      <c r="W63" s="168"/>
      <c r="X63" s="168"/>
      <c r="Y63" s="168"/>
      <c r="Z63" s="168"/>
    </row>
    <row r="64" customFormat="false" ht="15.75" hidden="false" customHeight="false" outlineLevel="0" collapsed="false">
      <c r="A64" s="168"/>
      <c r="B64" s="168"/>
      <c r="C64" s="168"/>
      <c r="D64" s="168"/>
      <c r="E64" s="168"/>
      <c r="F64" s="168"/>
      <c r="G64" s="168"/>
      <c r="H64" s="168"/>
      <c r="I64" s="168"/>
      <c r="J64" s="168"/>
      <c r="K64" s="168"/>
      <c r="L64" s="168"/>
      <c r="M64" s="168"/>
      <c r="N64" s="168"/>
      <c r="O64" s="168"/>
      <c r="P64" s="168"/>
      <c r="Q64" s="168"/>
      <c r="R64" s="168"/>
      <c r="S64" s="168"/>
      <c r="T64" s="168"/>
      <c r="U64" s="168"/>
      <c r="V64" s="168"/>
      <c r="W64" s="168"/>
      <c r="X64" s="168"/>
      <c r="Y64" s="168"/>
      <c r="Z64" s="168"/>
    </row>
    <row r="65" customFormat="false" ht="15.75" hidden="false" customHeight="false" outlineLevel="0" collapsed="false">
      <c r="A65" s="168"/>
      <c r="B65" s="168"/>
      <c r="C65" s="168"/>
      <c r="D65" s="168"/>
      <c r="E65" s="168"/>
      <c r="F65" s="168"/>
      <c r="G65" s="168"/>
      <c r="H65" s="168"/>
      <c r="I65" s="168"/>
      <c r="J65" s="168"/>
      <c r="K65" s="168"/>
      <c r="L65" s="168"/>
      <c r="M65" s="168"/>
      <c r="N65" s="168"/>
      <c r="O65" s="168"/>
      <c r="P65" s="168"/>
      <c r="Q65" s="168"/>
      <c r="R65" s="168"/>
      <c r="S65" s="168"/>
      <c r="T65" s="168"/>
      <c r="U65" s="168"/>
      <c r="V65" s="168"/>
      <c r="W65" s="168"/>
      <c r="X65" s="168"/>
      <c r="Y65" s="168"/>
      <c r="Z65" s="168"/>
    </row>
    <row r="66" customFormat="false" ht="15.75" hidden="false" customHeight="false" outlineLevel="0" collapsed="false">
      <c r="A66" s="168"/>
      <c r="B66" s="168"/>
      <c r="C66" s="168"/>
      <c r="D66" s="168"/>
      <c r="E66" s="168"/>
      <c r="F66" s="168"/>
      <c r="G66" s="168"/>
      <c r="H66" s="168"/>
      <c r="I66" s="168"/>
      <c r="J66" s="168"/>
      <c r="K66" s="168"/>
      <c r="L66" s="168"/>
      <c r="M66" s="168"/>
      <c r="N66" s="168"/>
      <c r="O66" s="168"/>
      <c r="P66" s="168"/>
      <c r="Q66" s="168"/>
      <c r="R66" s="168"/>
      <c r="S66" s="168"/>
      <c r="T66" s="168"/>
      <c r="U66" s="168"/>
      <c r="V66" s="168"/>
      <c r="W66" s="168"/>
      <c r="X66" s="168"/>
      <c r="Y66" s="168"/>
      <c r="Z66" s="168"/>
    </row>
    <row r="67" customFormat="false" ht="15.75" hidden="false" customHeight="false" outlineLevel="0" collapsed="false">
      <c r="A67" s="168"/>
      <c r="B67" s="168"/>
      <c r="C67" s="168"/>
      <c r="D67" s="168"/>
      <c r="E67" s="168"/>
      <c r="F67" s="168"/>
      <c r="G67" s="168"/>
      <c r="H67" s="168"/>
      <c r="I67" s="168"/>
      <c r="J67" s="168"/>
      <c r="K67" s="168"/>
      <c r="L67" s="168"/>
      <c r="M67" s="168"/>
      <c r="N67" s="168"/>
      <c r="O67" s="168"/>
      <c r="P67" s="168"/>
      <c r="Q67" s="168"/>
      <c r="R67" s="168"/>
      <c r="S67" s="168"/>
      <c r="T67" s="168"/>
      <c r="U67" s="168"/>
      <c r="V67" s="168"/>
      <c r="W67" s="168"/>
      <c r="X67" s="168"/>
      <c r="Y67" s="168"/>
      <c r="Z67" s="168"/>
    </row>
    <row r="68" customFormat="false" ht="15.75" hidden="false" customHeight="false" outlineLevel="0" collapsed="false">
      <c r="A68" s="168"/>
      <c r="B68" s="168"/>
      <c r="C68" s="168"/>
      <c r="D68" s="168"/>
      <c r="E68" s="168"/>
      <c r="F68" s="168"/>
      <c r="G68" s="168"/>
      <c r="H68" s="168"/>
      <c r="I68" s="168"/>
      <c r="J68" s="168"/>
      <c r="K68" s="168"/>
      <c r="L68" s="168"/>
      <c r="M68" s="168"/>
      <c r="N68" s="168"/>
      <c r="O68" s="168"/>
      <c r="P68" s="168"/>
      <c r="Q68" s="168"/>
      <c r="R68" s="168"/>
      <c r="S68" s="168"/>
      <c r="T68" s="168"/>
      <c r="U68" s="168"/>
      <c r="V68" s="168"/>
      <c r="W68" s="168"/>
      <c r="X68" s="168"/>
      <c r="Y68" s="168"/>
      <c r="Z68" s="168"/>
    </row>
    <row r="69" customFormat="false" ht="15.75" hidden="false" customHeight="false" outlineLevel="0" collapsed="false">
      <c r="A69" s="168"/>
      <c r="B69" s="168"/>
      <c r="C69" s="168"/>
      <c r="D69" s="168"/>
      <c r="E69" s="168"/>
      <c r="F69" s="168"/>
      <c r="G69" s="168"/>
      <c r="H69" s="168"/>
      <c r="I69" s="168"/>
      <c r="J69" s="168"/>
      <c r="K69" s="168"/>
      <c r="L69" s="168"/>
      <c r="M69" s="168"/>
      <c r="N69" s="168"/>
      <c r="O69" s="168"/>
      <c r="P69" s="168"/>
      <c r="Q69" s="168"/>
      <c r="R69" s="168"/>
      <c r="S69" s="168"/>
      <c r="T69" s="168"/>
      <c r="U69" s="168"/>
      <c r="V69" s="168"/>
      <c r="W69" s="168"/>
      <c r="X69" s="168"/>
      <c r="Y69" s="168"/>
      <c r="Z69" s="168"/>
    </row>
    <row r="70" customFormat="false" ht="15.75" hidden="false" customHeight="false" outlineLevel="0" collapsed="false">
      <c r="A70" s="168"/>
      <c r="B70" s="168"/>
      <c r="C70" s="168"/>
      <c r="D70" s="168"/>
      <c r="E70" s="168"/>
      <c r="F70" s="168"/>
      <c r="G70" s="168"/>
      <c r="H70" s="168"/>
      <c r="I70" s="168"/>
      <c r="J70" s="168"/>
      <c r="K70" s="168"/>
      <c r="L70" s="168"/>
      <c r="M70" s="168"/>
      <c r="N70" s="168"/>
      <c r="O70" s="168"/>
      <c r="P70" s="168"/>
      <c r="Q70" s="168"/>
      <c r="R70" s="168"/>
      <c r="S70" s="168"/>
      <c r="T70" s="168"/>
      <c r="U70" s="168"/>
      <c r="V70" s="168"/>
      <c r="W70" s="168"/>
      <c r="X70" s="168"/>
      <c r="Y70" s="168"/>
      <c r="Z70" s="168"/>
    </row>
    <row r="71" customFormat="false" ht="15.75" hidden="false" customHeight="false" outlineLevel="0" collapsed="false">
      <c r="A71" s="168"/>
      <c r="B71" s="168"/>
      <c r="C71" s="168"/>
      <c r="D71" s="168"/>
      <c r="E71" s="168"/>
      <c r="F71" s="168"/>
      <c r="G71" s="168"/>
      <c r="H71" s="168"/>
      <c r="I71" s="168"/>
      <c r="J71" s="168"/>
      <c r="K71" s="168"/>
      <c r="L71" s="168"/>
      <c r="M71" s="168"/>
      <c r="N71" s="168"/>
      <c r="O71" s="168"/>
      <c r="P71" s="168"/>
      <c r="Q71" s="168"/>
      <c r="R71" s="168"/>
      <c r="S71" s="168"/>
      <c r="T71" s="168"/>
      <c r="U71" s="168"/>
      <c r="V71" s="168"/>
      <c r="W71" s="168"/>
      <c r="X71" s="168"/>
      <c r="Y71" s="168"/>
      <c r="Z71" s="168"/>
    </row>
    <row r="72" customFormat="false" ht="15.75" hidden="false" customHeight="false" outlineLevel="0" collapsed="false">
      <c r="A72" s="168"/>
      <c r="B72" s="168"/>
      <c r="C72" s="168"/>
      <c r="D72" s="168"/>
      <c r="E72" s="168"/>
      <c r="F72" s="168"/>
      <c r="G72" s="168"/>
      <c r="H72" s="168"/>
      <c r="I72" s="168"/>
      <c r="J72" s="168"/>
      <c r="K72" s="168"/>
      <c r="L72" s="168"/>
      <c r="M72" s="168"/>
      <c r="N72" s="168"/>
      <c r="O72" s="168"/>
      <c r="P72" s="168"/>
      <c r="Q72" s="168"/>
      <c r="R72" s="168"/>
      <c r="S72" s="168"/>
      <c r="T72" s="168"/>
      <c r="U72" s="168"/>
      <c r="V72" s="168"/>
      <c r="W72" s="168"/>
      <c r="X72" s="168"/>
      <c r="Y72" s="168"/>
      <c r="Z72" s="168"/>
    </row>
    <row r="73" customFormat="false" ht="15.75" hidden="false" customHeight="false" outlineLevel="0" collapsed="false">
      <c r="A73" s="168"/>
      <c r="B73" s="168"/>
      <c r="C73" s="168"/>
      <c r="D73" s="168"/>
      <c r="E73" s="168"/>
      <c r="F73" s="168"/>
      <c r="G73" s="168"/>
      <c r="H73" s="168"/>
      <c r="I73" s="168"/>
      <c r="J73" s="168"/>
      <c r="K73" s="168"/>
      <c r="L73" s="168"/>
      <c r="M73" s="168"/>
      <c r="N73" s="168"/>
      <c r="O73" s="168"/>
      <c r="P73" s="168"/>
      <c r="Q73" s="168"/>
      <c r="R73" s="168"/>
      <c r="S73" s="168"/>
      <c r="T73" s="168"/>
      <c r="U73" s="168"/>
      <c r="V73" s="168"/>
      <c r="W73" s="168"/>
      <c r="X73" s="168"/>
      <c r="Y73" s="168"/>
      <c r="Z73" s="168"/>
    </row>
    <row r="74" customFormat="false" ht="15.75" hidden="false" customHeight="false" outlineLevel="0" collapsed="false">
      <c r="A74" s="168"/>
      <c r="B74" s="168"/>
      <c r="C74" s="168"/>
      <c r="D74" s="168"/>
      <c r="E74" s="168"/>
      <c r="F74" s="168"/>
      <c r="G74" s="168"/>
      <c r="H74" s="168"/>
      <c r="I74" s="168"/>
      <c r="J74" s="168"/>
      <c r="K74" s="168"/>
      <c r="L74" s="168"/>
      <c r="M74" s="168"/>
      <c r="N74" s="168"/>
      <c r="O74" s="168"/>
      <c r="P74" s="168"/>
      <c r="Q74" s="168"/>
      <c r="R74" s="168"/>
      <c r="S74" s="168"/>
      <c r="T74" s="168"/>
      <c r="U74" s="168"/>
      <c r="V74" s="168"/>
      <c r="W74" s="168"/>
      <c r="X74" s="168"/>
      <c r="Y74" s="168"/>
      <c r="Z74" s="168"/>
    </row>
    <row r="75" customFormat="false" ht="15.75" hidden="false" customHeight="false" outlineLevel="0" collapsed="false">
      <c r="A75" s="168"/>
      <c r="B75" s="168"/>
      <c r="C75" s="168"/>
      <c r="D75" s="168"/>
      <c r="E75" s="168"/>
      <c r="F75" s="168"/>
      <c r="G75" s="168"/>
      <c r="H75" s="168"/>
      <c r="I75" s="168"/>
      <c r="J75" s="168"/>
      <c r="K75" s="168"/>
      <c r="L75" s="168"/>
      <c r="M75" s="168"/>
      <c r="N75" s="168"/>
      <c r="O75" s="168"/>
      <c r="P75" s="168"/>
      <c r="Q75" s="168"/>
      <c r="R75" s="168"/>
      <c r="S75" s="168"/>
      <c r="T75" s="168"/>
      <c r="U75" s="168"/>
      <c r="V75" s="168"/>
      <c r="W75" s="168"/>
      <c r="X75" s="168"/>
      <c r="Y75" s="168"/>
      <c r="Z75" s="168"/>
    </row>
    <row r="76" customFormat="false" ht="15.75" hidden="false" customHeight="false" outlineLevel="0" collapsed="false">
      <c r="A76" s="168"/>
      <c r="B76" s="168"/>
      <c r="C76" s="168"/>
      <c r="D76" s="168"/>
      <c r="E76" s="168"/>
      <c r="F76" s="168"/>
      <c r="G76" s="168"/>
      <c r="H76" s="168"/>
      <c r="I76" s="168"/>
      <c r="J76" s="168"/>
      <c r="K76" s="168"/>
      <c r="L76" s="168"/>
      <c r="M76" s="168"/>
      <c r="N76" s="168"/>
      <c r="O76" s="168"/>
      <c r="P76" s="168"/>
      <c r="Q76" s="168"/>
      <c r="R76" s="168"/>
      <c r="S76" s="168"/>
      <c r="T76" s="168"/>
      <c r="U76" s="168"/>
      <c r="V76" s="168"/>
      <c r="W76" s="168"/>
      <c r="X76" s="168"/>
      <c r="Y76" s="168"/>
      <c r="Z76" s="168"/>
    </row>
    <row r="77" customFormat="false" ht="15.75" hidden="false" customHeight="false" outlineLevel="0" collapsed="false">
      <c r="A77" s="168"/>
      <c r="B77" s="168"/>
      <c r="C77" s="168"/>
      <c r="D77" s="168"/>
      <c r="E77" s="168"/>
      <c r="F77" s="168"/>
      <c r="G77" s="168"/>
      <c r="H77" s="168"/>
      <c r="I77" s="168"/>
      <c r="J77" s="168"/>
      <c r="K77" s="168"/>
      <c r="L77" s="168"/>
      <c r="M77" s="168"/>
      <c r="N77" s="168"/>
      <c r="O77" s="168"/>
      <c r="P77" s="168"/>
      <c r="Q77" s="168"/>
      <c r="R77" s="168"/>
      <c r="S77" s="168"/>
      <c r="T77" s="168"/>
      <c r="U77" s="168"/>
      <c r="V77" s="168"/>
      <c r="W77" s="168"/>
      <c r="X77" s="168"/>
      <c r="Y77" s="168"/>
      <c r="Z77" s="168"/>
    </row>
    <row r="78" customFormat="false" ht="15.75" hidden="false" customHeight="false" outlineLevel="0" collapsed="false">
      <c r="A78" s="168"/>
      <c r="B78" s="168"/>
      <c r="C78" s="168"/>
      <c r="D78" s="168"/>
      <c r="E78" s="168"/>
      <c r="F78" s="168"/>
      <c r="G78" s="168"/>
      <c r="H78" s="168"/>
      <c r="I78" s="168"/>
      <c r="J78" s="168"/>
      <c r="K78" s="168"/>
      <c r="L78" s="168"/>
      <c r="M78" s="168"/>
      <c r="N78" s="168"/>
      <c r="O78" s="168"/>
      <c r="P78" s="168"/>
      <c r="Q78" s="168"/>
      <c r="R78" s="168"/>
      <c r="S78" s="168"/>
      <c r="T78" s="168"/>
      <c r="U78" s="168"/>
      <c r="V78" s="168"/>
      <c r="W78" s="168"/>
      <c r="X78" s="168"/>
      <c r="Y78" s="168"/>
      <c r="Z78" s="168"/>
    </row>
    <row r="79" customFormat="false" ht="15.75" hidden="false" customHeight="false" outlineLevel="0" collapsed="false">
      <c r="A79" s="168"/>
      <c r="B79" s="168"/>
      <c r="C79" s="168"/>
      <c r="D79" s="168"/>
      <c r="E79" s="168"/>
      <c r="F79" s="168"/>
      <c r="G79" s="168"/>
      <c r="H79" s="168"/>
      <c r="I79" s="168"/>
      <c r="J79" s="168"/>
      <c r="K79" s="168"/>
      <c r="L79" s="168"/>
      <c r="M79" s="168"/>
      <c r="N79" s="168"/>
      <c r="O79" s="168"/>
      <c r="P79" s="168"/>
      <c r="Q79" s="168"/>
      <c r="R79" s="168"/>
      <c r="S79" s="168"/>
      <c r="T79" s="168"/>
      <c r="U79" s="168"/>
      <c r="V79" s="168"/>
      <c r="W79" s="168"/>
      <c r="X79" s="168"/>
      <c r="Y79" s="168"/>
      <c r="Z79" s="168"/>
    </row>
    <row r="80" customFormat="false" ht="15.75" hidden="false" customHeight="false" outlineLevel="0" collapsed="false">
      <c r="A80" s="168"/>
      <c r="B80" s="168"/>
      <c r="C80" s="168"/>
      <c r="D80" s="168"/>
      <c r="E80" s="168"/>
      <c r="F80" s="168"/>
      <c r="G80" s="168"/>
      <c r="H80" s="168"/>
      <c r="I80" s="168"/>
      <c r="J80" s="168"/>
      <c r="K80" s="168"/>
      <c r="L80" s="168"/>
      <c r="M80" s="168"/>
      <c r="N80" s="168"/>
      <c r="O80" s="168"/>
      <c r="P80" s="168"/>
      <c r="Q80" s="168"/>
      <c r="R80" s="168"/>
      <c r="S80" s="168"/>
      <c r="T80" s="168"/>
      <c r="U80" s="168"/>
      <c r="V80" s="168"/>
      <c r="W80" s="168"/>
      <c r="X80" s="168"/>
      <c r="Y80" s="168"/>
      <c r="Z80" s="168"/>
    </row>
    <row r="81" customFormat="false" ht="15.75" hidden="false" customHeight="false" outlineLevel="0" collapsed="false">
      <c r="A81" s="168"/>
      <c r="B81" s="168"/>
      <c r="C81" s="168"/>
      <c r="D81" s="168"/>
      <c r="E81" s="168"/>
      <c r="F81" s="168"/>
      <c r="G81" s="168"/>
      <c r="H81" s="168"/>
      <c r="I81" s="168"/>
      <c r="J81" s="168"/>
      <c r="K81" s="168"/>
      <c r="L81" s="168"/>
      <c r="M81" s="168"/>
      <c r="N81" s="168"/>
      <c r="O81" s="168"/>
      <c r="P81" s="168"/>
      <c r="Q81" s="168"/>
      <c r="R81" s="168"/>
      <c r="S81" s="168"/>
      <c r="T81" s="168"/>
      <c r="U81" s="168"/>
      <c r="V81" s="168"/>
      <c r="W81" s="168"/>
      <c r="X81" s="168"/>
      <c r="Y81" s="168"/>
      <c r="Z81" s="168"/>
    </row>
    <row r="82" customFormat="false" ht="15.75" hidden="false" customHeight="false" outlineLevel="0" collapsed="false">
      <c r="A82" s="168"/>
      <c r="B82" s="168"/>
      <c r="C82" s="168"/>
      <c r="D82" s="168"/>
      <c r="E82" s="168"/>
      <c r="F82" s="168"/>
      <c r="G82" s="168"/>
      <c r="H82" s="168"/>
      <c r="I82" s="168"/>
      <c r="J82" s="168"/>
      <c r="K82" s="168"/>
      <c r="L82" s="168"/>
      <c r="M82" s="168"/>
      <c r="N82" s="168"/>
      <c r="O82" s="168"/>
      <c r="P82" s="168"/>
      <c r="Q82" s="168"/>
      <c r="R82" s="168"/>
      <c r="S82" s="168"/>
      <c r="T82" s="168"/>
      <c r="U82" s="168"/>
      <c r="V82" s="168"/>
      <c r="W82" s="168"/>
      <c r="X82" s="168"/>
      <c r="Y82" s="168"/>
      <c r="Z82" s="168"/>
    </row>
    <row r="83" customFormat="false" ht="15.75" hidden="false" customHeight="false" outlineLevel="0" collapsed="false">
      <c r="A83" s="168"/>
      <c r="B83" s="168"/>
      <c r="C83" s="168"/>
      <c r="D83" s="168"/>
      <c r="E83" s="168"/>
      <c r="F83" s="168"/>
      <c r="G83" s="168"/>
      <c r="H83" s="168"/>
      <c r="I83" s="168"/>
      <c r="J83" s="168"/>
      <c r="K83" s="168"/>
      <c r="L83" s="168"/>
      <c r="M83" s="168"/>
      <c r="N83" s="168"/>
      <c r="O83" s="168"/>
      <c r="P83" s="168"/>
      <c r="Q83" s="168"/>
      <c r="R83" s="168"/>
      <c r="S83" s="168"/>
      <c r="T83" s="168"/>
      <c r="U83" s="168"/>
      <c r="V83" s="168"/>
      <c r="W83" s="168"/>
      <c r="X83" s="168"/>
      <c r="Y83" s="168"/>
      <c r="Z83" s="168"/>
    </row>
    <row r="84" customFormat="false" ht="15.75" hidden="false" customHeight="false" outlineLevel="0" collapsed="false">
      <c r="A84" s="168"/>
      <c r="B84" s="168"/>
      <c r="C84" s="168"/>
      <c r="D84" s="168"/>
      <c r="E84" s="168"/>
      <c r="F84" s="168"/>
      <c r="G84" s="168"/>
      <c r="H84" s="168"/>
      <c r="I84" s="168"/>
      <c r="J84" s="168"/>
      <c r="K84" s="168"/>
      <c r="L84" s="168"/>
      <c r="M84" s="168"/>
      <c r="N84" s="168"/>
      <c r="O84" s="168"/>
      <c r="P84" s="168"/>
      <c r="Q84" s="168"/>
      <c r="R84" s="168"/>
      <c r="S84" s="168"/>
      <c r="T84" s="168"/>
      <c r="U84" s="168"/>
      <c r="V84" s="168"/>
      <c r="W84" s="168"/>
      <c r="X84" s="168"/>
      <c r="Y84" s="168"/>
      <c r="Z84" s="168"/>
    </row>
    <row r="85" customFormat="false" ht="15.75" hidden="false" customHeight="false" outlineLevel="0" collapsed="false">
      <c r="A85" s="168"/>
      <c r="B85" s="168"/>
      <c r="C85" s="168"/>
      <c r="D85" s="168"/>
      <c r="E85" s="168"/>
      <c r="F85" s="168"/>
      <c r="G85" s="168"/>
      <c r="H85" s="168"/>
      <c r="I85" s="168"/>
      <c r="J85" s="168"/>
      <c r="K85" s="168"/>
      <c r="L85" s="168"/>
      <c r="M85" s="168"/>
      <c r="N85" s="168"/>
      <c r="O85" s="168"/>
      <c r="P85" s="168"/>
      <c r="Q85" s="168"/>
      <c r="R85" s="168"/>
      <c r="S85" s="168"/>
      <c r="T85" s="168"/>
      <c r="U85" s="168"/>
      <c r="V85" s="168"/>
      <c r="W85" s="168"/>
      <c r="X85" s="168"/>
      <c r="Y85" s="168"/>
      <c r="Z85" s="168"/>
    </row>
    <row r="86" customFormat="false" ht="15.75" hidden="false" customHeight="false" outlineLevel="0" collapsed="false">
      <c r="A86" s="168"/>
      <c r="B86" s="168"/>
      <c r="C86" s="168"/>
      <c r="D86" s="168"/>
      <c r="E86" s="168"/>
      <c r="F86" s="168"/>
      <c r="G86" s="168"/>
      <c r="H86" s="168"/>
      <c r="I86" s="168"/>
      <c r="J86" s="168"/>
      <c r="K86" s="168"/>
      <c r="L86" s="168"/>
      <c r="M86" s="168"/>
      <c r="N86" s="168"/>
      <c r="O86" s="168"/>
      <c r="P86" s="168"/>
      <c r="Q86" s="168"/>
      <c r="R86" s="168"/>
      <c r="S86" s="168"/>
      <c r="T86" s="168"/>
      <c r="U86" s="168"/>
      <c r="V86" s="168"/>
      <c r="W86" s="168"/>
      <c r="X86" s="168"/>
      <c r="Y86" s="168"/>
      <c r="Z86" s="168"/>
    </row>
    <row r="87" customFormat="false" ht="15.75" hidden="false" customHeight="false" outlineLevel="0" collapsed="false">
      <c r="A87" s="168"/>
      <c r="B87" s="168"/>
      <c r="C87" s="168"/>
      <c r="D87" s="168"/>
      <c r="E87" s="168"/>
      <c r="F87" s="168"/>
      <c r="G87" s="168"/>
      <c r="H87" s="168"/>
      <c r="I87" s="168"/>
      <c r="J87" s="168"/>
      <c r="K87" s="168"/>
      <c r="L87" s="168"/>
      <c r="M87" s="168"/>
      <c r="N87" s="168"/>
      <c r="O87" s="168"/>
      <c r="P87" s="168"/>
      <c r="Q87" s="168"/>
      <c r="R87" s="168"/>
      <c r="S87" s="168"/>
      <c r="T87" s="168"/>
      <c r="U87" s="168"/>
      <c r="V87" s="168"/>
      <c r="W87" s="168"/>
      <c r="X87" s="168"/>
      <c r="Y87" s="168"/>
      <c r="Z87" s="168"/>
    </row>
    <row r="88" customFormat="false" ht="15.75" hidden="false" customHeight="false" outlineLevel="0" collapsed="false">
      <c r="A88" s="168"/>
      <c r="B88" s="168"/>
      <c r="C88" s="168"/>
      <c r="D88" s="168"/>
      <c r="E88" s="168"/>
      <c r="F88" s="168"/>
      <c r="G88" s="168"/>
      <c r="H88" s="168"/>
      <c r="I88" s="168"/>
      <c r="J88" s="168"/>
      <c r="K88" s="168"/>
      <c r="L88" s="168"/>
      <c r="M88" s="168"/>
      <c r="N88" s="168"/>
      <c r="O88" s="168"/>
      <c r="P88" s="168"/>
      <c r="Q88" s="168"/>
      <c r="R88" s="168"/>
      <c r="S88" s="168"/>
      <c r="T88" s="168"/>
      <c r="U88" s="168"/>
      <c r="V88" s="168"/>
      <c r="W88" s="168"/>
      <c r="X88" s="168"/>
      <c r="Y88" s="168"/>
      <c r="Z88" s="168"/>
    </row>
    <row r="89" customFormat="false" ht="15.75" hidden="false" customHeight="false" outlineLevel="0" collapsed="false">
      <c r="A89" s="168"/>
      <c r="B89" s="168"/>
      <c r="C89" s="168"/>
      <c r="D89" s="168"/>
      <c r="E89" s="168"/>
      <c r="F89" s="168"/>
      <c r="G89" s="168"/>
      <c r="H89" s="168"/>
      <c r="I89" s="168"/>
      <c r="J89" s="168"/>
      <c r="K89" s="168"/>
      <c r="L89" s="168"/>
      <c r="M89" s="168"/>
      <c r="N89" s="168"/>
      <c r="O89" s="168"/>
      <c r="P89" s="168"/>
      <c r="Q89" s="168"/>
      <c r="R89" s="168"/>
      <c r="S89" s="168"/>
      <c r="T89" s="168"/>
      <c r="U89" s="168"/>
      <c r="V89" s="168"/>
      <c r="W89" s="168"/>
      <c r="X89" s="168"/>
      <c r="Y89" s="168"/>
      <c r="Z89" s="168"/>
    </row>
    <row r="90" customFormat="false" ht="15.75" hidden="false" customHeight="false" outlineLevel="0" collapsed="false">
      <c r="A90" s="168"/>
      <c r="B90" s="168"/>
      <c r="C90" s="168"/>
      <c r="D90" s="168"/>
      <c r="E90" s="168"/>
      <c r="F90" s="168"/>
      <c r="G90" s="168"/>
      <c r="H90" s="168"/>
      <c r="I90" s="168"/>
      <c r="J90" s="168"/>
      <c r="K90" s="168"/>
      <c r="L90" s="168"/>
      <c r="M90" s="168"/>
      <c r="N90" s="168"/>
      <c r="O90" s="168"/>
      <c r="P90" s="168"/>
      <c r="Q90" s="168"/>
      <c r="R90" s="168"/>
      <c r="S90" s="168"/>
      <c r="T90" s="168"/>
      <c r="U90" s="168"/>
      <c r="V90" s="168"/>
      <c r="W90" s="168"/>
      <c r="X90" s="168"/>
      <c r="Y90" s="168"/>
      <c r="Z90" s="168"/>
    </row>
    <row r="91" customFormat="false" ht="15.75" hidden="false" customHeight="false" outlineLevel="0" collapsed="false">
      <c r="A91" s="168"/>
      <c r="B91" s="168"/>
      <c r="C91" s="168"/>
      <c r="D91" s="168"/>
      <c r="E91" s="168"/>
      <c r="F91" s="168"/>
      <c r="G91" s="168"/>
      <c r="H91" s="168"/>
      <c r="I91" s="168"/>
      <c r="J91" s="168"/>
      <c r="K91" s="168"/>
      <c r="L91" s="168"/>
      <c r="M91" s="168"/>
      <c r="N91" s="168"/>
      <c r="O91" s="168"/>
      <c r="P91" s="168"/>
      <c r="Q91" s="168"/>
      <c r="R91" s="168"/>
      <c r="S91" s="168"/>
      <c r="T91" s="168"/>
      <c r="U91" s="168"/>
      <c r="V91" s="168"/>
      <c r="W91" s="168"/>
      <c r="X91" s="168"/>
      <c r="Y91" s="168"/>
      <c r="Z91" s="168"/>
    </row>
    <row r="92" customFormat="false" ht="15.75" hidden="false" customHeight="false" outlineLevel="0" collapsed="false">
      <c r="A92" s="168"/>
      <c r="B92" s="168"/>
      <c r="C92" s="168"/>
      <c r="D92" s="168"/>
      <c r="E92" s="168"/>
      <c r="F92" s="168"/>
      <c r="G92" s="168"/>
      <c r="H92" s="168"/>
      <c r="I92" s="168"/>
      <c r="J92" s="168"/>
      <c r="K92" s="168"/>
      <c r="L92" s="168"/>
      <c r="M92" s="168"/>
      <c r="N92" s="168"/>
      <c r="O92" s="168"/>
      <c r="P92" s="168"/>
      <c r="Q92" s="168"/>
      <c r="R92" s="168"/>
      <c r="S92" s="168"/>
      <c r="T92" s="168"/>
      <c r="U92" s="168"/>
      <c r="V92" s="168"/>
      <c r="W92" s="168"/>
      <c r="X92" s="168"/>
      <c r="Y92" s="168"/>
      <c r="Z92" s="168"/>
    </row>
    <row r="93" customFormat="false" ht="15.75" hidden="false" customHeight="false" outlineLevel="0" collapsed="false">
      <c r="A93" s="168"/>
      <c r="B93" s="168"/>
      <c r="C93" s="168"/>
      <c r="D93" s="168"/>
      <c r="E93" s="168"/>
      <c r="F93" s="168"/>
      <c r="G93" s="168"/>
      <c r="H93" s="168"/>
      <c r="I93" s="168"/>
      <c r="J93" s="168"/>
      <c r="K93" s="168"/>
      <c r="L93" s="168"/>
      <c r="M93" s="168"/>
      <c r="N93" s="168"/>
      <c r="O93" s="168"/>
      <c r="P93" s="168"/>
      <c r="Q93" s="168"/>
      <c r="R93" s="168"/>
      <c r="S93" s="168"/>
      <c r="T93" s="168"/>
      <c r="U93" s="168"/>
      <c r="V93" s="168"/>
      <c r="W93" s="168"/>
      <c r="X93" s="168"/>
      <c r="Y93" s="168"/>
      <c r="Z93" s="168"/>
    </row>
    <row r="94" customFormat="false" ht="15.75" hidden="false" customHeight="false" outlineLevel="0" collapsed="false">
      <c r="A94" s="168"/>
      <c r="B94" s="168"/>
      <c r="C94" s="168"/>
      <c r="D94" s="168"/>
      <c r="E94" s="168"/>
      <c r="F94" s="168"/>
      <c r="G94" s="168"/>
      <c r="H94" s="168"/>
      <c r="I94" s="168"/>
      <c r="J94" s="168"/>
      <c r="K94" s="168"/>
      <c r="L94" s="168"/>
      <c r="M94" s="168"/>
      <c r="N94" s="168"/>
      <c r="O94" s="168"/>
      <c r="P94" s="168"/>
      <c r="Q94" s="168"/>
      <c r="R94" s="168"/>
      <c r="S94" s="168"/>
      <c r="T94" s="168"/>
      <c r="U94" s="168"/>
      <c r="V94" s="168"/>
      <c r="W94" s="168"/>
      <c r="X94" s="168"/>
      <c r="Y94" s="168"/>
      <c r="Z94" s="168"/>
    </row>
    <row r="95" customFormat="false" ht="15.75" hidden="false" customHeight="false" outlineLevel="0" collapsed="false">
      <c r="A95" s="168"/>
      <c r="B95" s="168"/>
      <c r="C95" s="168"/>
      <c r="D95" s="168"/>
      <c r="E95" s="168"/>
      <c r="F95" s="168"/>
      <c r="G95" s="168"/>
      <c r="H95" s="168"/>
      <c r="I95" s="168"/>
      <c r="J95" s="168"/>
      <c r="K95" s="168"/>
      <c r="L95" s="168"/>
      <c r="M95" s="168"/>
      <c r="N95" s="168"/>
      <c r="O95" s="168"/>
      <c r="P95" s="168"/>
      <c r="Q95" s="168"/>
      <c r="R95" s="168"/>
      <c r="S95" s="168"/>
      <c r="T95" s="168"/>
      <c r="U95" s="168"/>
      <c r="V95" s="168"/>
      <c r="W95" s="168"/>
      <c r="X95" s="168"/>
      <c r="Y95" s="168"/>
      <c r="Z95" s="168"/>
    </row>
    <row r="96" customFormat="false" ht="15.75" hidden="false" customHeight="false" outlineLevel="0" collapsed="false">
      <c r="A96" s="168"/>
      <c r="B96" s="168"/>
      <c r="C96" s="168"/>
      <c r="D96" s="168"/>
      <c r="E96" s="168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8"/>
      <c r="S96" s="168"/>
      <c r="T96" s="168"/>
      <c r="U96" s="168"/>
      <c r="V96" s="168"/>
      <c r="W96" s="168"/>
      <c r="X96" s="168"/>
      <c r="Y96" s="168"/>
      <c r="Z96" s="168"/>
    </row>
    <row r="97" customFormat="false" ht="15.75" hidden="false" customHeight="false" outlineLevel="0" collapsed="false">
      <c r="A97" s="168"/>
      <c r="B97" s="168"/>
      <c r="C97" s="168"/>
      <c r="D97" s="168"/>
      <c r="E97" s="168"/>
      <c r="F97" s="168"/>
      <c r="G97" s="168"/>
      <c r="H97" s="168"/>
      <c r="I97" s="168"/>
      <c r="J97" s="168"/>
      <c r="K97" s="168"/>
      <c r="L97" s="168"/>
      <c r="M97" s="168"/>
      <c r="N97" s="168"/>
      <c r="O97" s="168"/>
      <c r="P97" s="168"/>
      <c r="Q97" s="168"/>
      <c r="R97" s="168"/>
      <c r="S97" s="168"/>
      <c r="T97" s="168"/>
      <c r="U97" s="168"/>
      <c r="V97" s="168"/>
      <c r="W97" s="168"/>
      <c r="X97" s="168"/>
      <c r="Y97" s="168"/>
      <c r="Z97" s="168"/>
    </row>
    <row r="98" customFormat="false" ht="15.75" hidden="false" customHeight="false" outlineLevel="0" collapsed="false">
      <c r="A98" s="168"/>
      <c r="B98" s="168"/>
      <c r="C98" s="168"/>
      <c r="D98" s="168"/>
      <c r="E98" s="168"/>
      <c r="F98" s="168"/>
      <c r="G98" s="168"/>
      <c r="H98" s="168"/>
      <c r="I98" s="168"/>
      <c r="J98" s="168"/>
      <c r="K98" s="168"/>
      <c r="L98" s="168"/>
      <c r="M98" s="168"/>
      <c r="N98" s="168"/>
      <c r="O98" s="168"/>
      <c r="P98" s="168"/>
      <c r="Q98" s="168"/>
      <c r="R98" s="168"/>
      <c r="S98" s="168"/>
      <c r="T98" s="168"/>
      <c r="U98" s="168"/>
      <c r="V98" s="168"/>
      <c r="W98" s="168"/>
      <c r="X98" s="168"/>
      <c r="Y98" s="168"/>
      <c r="Z98" s="168"/>
    </row>
    <row r="99" customFormat="false" ht="15.75" hidden="false" customHeight="false" outlineLevel="0" collapsed="false">
      <c r="A99" s="168"/>
      <c r="B99" s="168"/>
      <c r="C99" s="168"/>
      <c r="D99" s="168"/>
      <c r="E99" s="168"/>
      <c r="F99" s="168"/>
      <c r="G99" s="168"/>
      <c r="H99" s="168"/>
      <c r="I99" s="168"/>
      <c r="J99" s="168"/>
      <c r="K99" s="168"/>
      <c r="L99" s="168"/>
      <c r="M99" s="168"/>
      <c r="N99" s="168"/>
      <c r="O99" s="168"/>
      <c r="P99" s="168"/>
      <c r="Q99" s="168"/>
      <c r="R99" s="168"/>
      <c r="S99" s="168"/>
      <c r="T99" s="168"/>
      <c r="U99" s="168"/>
      <c r="V99" s="168"/>
      <c r="W99" s="168"/>
      <c r="X99" s="168"/>
      <c r="Y99" s="168"/>
      <c r="Z99" s="168"/>
    </row>
    <row r="100" customFormat="false" ht="15.75" hidden="false" customHeight="false" outlineLevel="0" collapsed="false">
      <c r="A100" s="168"/>
      <c r="B100" s="168"/>
      <c r="C100" s="168"/>
      <c r="D100" s="168"/>
      <c r="E100" s="168"/>
      <c r="F100" s="168"/>
      <c r="G100" s="168"/>
      <c r="H100" s="168"/>
      <c r="I100" s="168"/>
      <c r="J100" s="168"/>
      <c r="K100" s="168"/>
      <c r="L100" s="168"/>
      <c r="M100" s="168"/>
      <c r="N100" s="168"/>
      <c r="O100" s="168"/>
      <c r="P100" s="168"/>
      <c r="Q100" s="168"/>
      <c r="R100" s="168"/>
      <c r="S100" s="168"/>
      <c r="T100" s="168"/>
      <c r="U100" s="168"/>
      <c r="V100" s="168"/>
      <c r="W100" s="168"/>
      <c r="X100" s="168"/>
      <c r="Y100" s="168"/>
      <c r="Z100" s="168"/>
    </row>
    <row r="101" customFormat="false" ht="15.75" hidden="false" customHeight="false" outlineLevel="0" collapsed="false">
      <c r="A101" s="168"/>
      <c r="B101" s="168"/>
      <c r="C101" s="168"/>
      <c r="D101" s="168"/>
      <c r="E101" s="168"/>
      <c r="F101" s="168"/>
      <c r="G101" s="168"/>
      <c r="H101" s="168"/>
      <c r="I101" s="168"/>
      <c r="J101" s="168"/>
      <c r="K101" s="168"/>
      <c r="L101" s="168"/>
      <c r="M101" s="168"/>
      <c r="N101" s="168"/>
      <c r="O101" s="168"/>
      <c r="P101" s="168"/>
      <c r="Q101" s="168"/>
      <c r="R101" s="168"/>
      <c r="S101" s="168"/>
      <c r="T101" s="168"/>
      <c r="U101" s="168"/>
      <c r="V101" s="168"/>
      <c r="W101" s="168"/>
      <c r="X101" s="168"/>
      <c r="Y101" s="168"/>
      <c r="Z101" s="168"/>
    </row>
    <row r="102" customFormat="false" ht="15.75" hidden="false" customHeight="false" outlineLevel="0" collapsed="false">
      <c r="A102" s="168"/>
      <c r="B102" s="168"/>
      <c r="C102" s="168"/>
      <c r="D102" s="168"/>
      <c r="E102" s="168"/>
      <c r="F102" s="168"/>
      <c r="G102" s="168"/>
      <c r="H102" s="168"/>
      <c r="I102" s="168"/>
      <c r="J102" s="168"/>
      <c r="K102" s="168"/>
      <c r="L102" s="168"/>
      <c r="M102" s="168"/>
      <c r="N102" s="168"/>
      <c r="O102" s="168"/>
      <c r="P102" s="168"/>
      <c r="Q102" s="168"/>
      <c r="R102" s="168"/>
      <c r="S102" s="168"/>
      <c r="T102" s="168"/>
      <c r="U102" s="168"/>
      <c r="V102" s="168"/>
      <c r="W102" s="168"/>
      <c r="X102" s="168"/>
      <c r="Y102" s="168"/>
      <c r="Z102" s="168"/>
    </row>
    <row r="103" customFormat="false" ht="15.75" hidden="false" customHeight="false" outlineLevel="0" collapsed="false">
      <c r="A103" s="168"/>
      <c r="B103" s="168"/>
      <c r="C103" s="168"/>
      <c r="D103" s="168"/>
      <c r="E103" s="168"/>
      <c r="F103" s="168"/>
      <c r="G103" s="168"/>
      <c r="H103" s="168"/>
      <c r="I103" s="168"/>
      <c r="J103" s="168"/>
      <c r="K103" s="168"/>
      <c r="L103" s="168"/>
      <c r="M103" s="168"/>
      <c r="N103" s="168"/>
      <c r="O103" s="168"/>
      <c r="P103" s="168"/>
      <c r="Q103" s="168"/>
      <c r="R103" s="168"/>
      <c r="S103" s="168"/>
      <c r="T103" s="168"/>
      <c r="U103" s="168"/>
      <c r="V103" s="168"/>
      <c r="W103" s="168"/>
      <c r="X103" s="168"/>
      <c r="Y103" s="168"/>
      <c r="Z103" s="168"/>
    </row>
    <row r="104" customFormat="false" ht="15.75" hidden="false" customHeight="false" outlineLevel="0" collapsed="false">
      <c r="A104" s="168"/>
      <c r="B104" s="168"/>
      <c r="C104" s="168"/>
      <c r="D104" s="168"/>
      <c r="E104" s="168"/>
      <c r="F104" s="168"/>
      <c r="G104" s="168"/>
      <c r="H104" s="168"/>
      <c r="I104" s="168"/>
      <c r="J104" s="168"/>
      <c r="K104" s="168"/>
      <c r="L104" s="168"/>
      <c r="M104" s="168"/>
      <c r="N104" s="168"/>
      <c r="O104" s="168"/>
      <c r="P104" s="168"/>
      <c r="Q104" s="168"/>
      <c r="R104" s="168"/>
      <c r="S104" s="168"/>
      <c r="T104" s="168"/>
      <c r="U104" s="168"/>
      <c r="V104" s="168"/>
      <c r="W104" s="168"/>
      <c r="X104" s="168"/>
      <c r="Y104" s="168"/>
      <c r="Z104" s="168"/>
    </row>
    <row r="105" customFormat="false" ht="15.75" hidden="false" customHeight="false" outlineLevel="0" collapsed="false">
      <c r="A105" s="168"/>
      <c r="B105" s="168"/>
      <c r="C105" s="168"/>
      <c r="D105" s="168"/>
      <c r="E105" s="168"/>
      <c r="F105" s="168"/>
      <c r="G105" s="168"/>
      <c r="H105" s="168"/>
      <c r="I105" s="168"/>
      <c r="J105" s="168"/>
      <c r="K105" s="168"/>
      <c r="L105" s="168"/>
      <c r="M105" s="168"/>
      <c r="N105" s="168"/>
      <c r="O105" s="168"/>
      <c r="P105" s="168"/>
      <c r="Q105" s="168"/>
      <c r="R105" s="168"/>
      <c r="S105" s="168"/>
      <c r="T105" s="168"/>
      <c r="U105" s="168"/>
      <c r="V105" s="168"/>
      <c r="W105" s="168"/>
      <c r="X105" s="168"/>
      <c r="Y105" s="168"/>
      <c r="Z105" s="168"/>
    </row>
    <row r="106" customFormat="false" ht="15.75" hidden="false" customHeight="false" outlineLevel="0" collapsed="false">
      <c r="A106" s="168"/>
      <c r="B106" s="168"/>
      <c r="C106" s="168"/>
      <c r="D106" s="168"/>
      <c r="E106" s="168"/>
      <c r="F106" s="168"/>
      <c r="G106" s="168"/>
      <c r="H106" s="168"/>
      <c r="I106" s="168"/>
      <c r="J106" s="168"/>
      <c r="K106" s="168"/>
      <c r="L106" s="168"/>
      <c r="M106" s="168"/>
      <c r="N106" s="168"/>
      <c r="O106" s="168"/>
      <c r="P106" s="168"/>
      <c r="Q106" s="168"/>
      <c r="R106" s="168"/>
      <c r="S106" s="168"/>
      <c r="T106" s="168"/>
      <c r="U106" s="168"/>
      <c r="V106" s="168"/>
      <c r="W106" s="168"/>
      <c r="X106" s="168"/>
      <c r="Y106" s="168"/>
      <c r="Z106" s="168"/>
    </row>
    <row r="107" customFormat="false" ht="15.75" hidden="false" customHeight="false" outlineLevel="0" collapsed="false">
      <c r="A107" s="168"/>
      <c r="B107" s="168"/>
      <c r="C107" s="168"/>
      <c r="D107" s="168"/>
      <c r="E107" s="168"/>
      <c r="F107" s="168"/>
      <c r="G107" s="168"/>
      <c r="H107" s="168"/>
      <c r="I107" s="168"/>
      <c r="J107" s="168"/>
      <c r="K107" s="168"/>
      <c r="L107" s="168"/>
      <c r="M107" s="168"/>
      <c r="N107" s="168"/>
      <c r="O107" s="168"/>
      <c r="P107" s="168"/>
      <c r="Q107" s="168"/>
      <c r="R107" s="168"/>
      <c r="S107" s="168"/>
      <c r="T107" s="168"/>
      <c r="U107" s="168"/>
      <c r="V107" s="168"/>
      <c r="W107" s="168"/>
      <c r="X107" s="168"/>
      <c r="Y107" s="168"/>
      <c r="Z107" s="168"/>
    </row>
    <row r="108" customFormat="false" ht="15.75" hidden="false" customHeight="false" outlineLevel="0" collapsed="false">
      <c r="A108" s="168"/>
      <c r="B108" s="168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8"/>
      <c r="O108" s="168"/>
      <c r="P108" s="168"/>
      <c r="Q108" s="168"/>
      <c r="R108" s="168"/>
      <c r="S108" s="168"/>
      <c r="T108" s="168"/>
      <c r="U108" s="168"/>
      <c r="V108" s="168"/>
      <c r="W108" s="168"/>
      <c r="X108" s="168"/>
      <c r="Y108" s="168"/>
      <c r="Z108" s="168"/>
    </row>
    <row r="109" customFormat="false" ht="15.75" hidden="false" customHeight="false" outlineLevel="0" collapsed="false">
      <c r="A109" s="168"/>
      <c r="B109" s="168"/>
      <c r="C109" s="168"/>
      <c r="D109" s="168"/>
      <c r="E109" s="168"/>
      <c r="F109" s="168"/>
      <c r="G109" s="168"/>
      <c r="H109" s="168"/>
      <c r="I109" s="168"/>
      <c r="J109" s="168"/>
      <c r="K109" s="168"/>
      <c r="L109" s="168"/>
      <c r="M109" s="168"/>
      <c r="N109" s="168"/>
      <c r="O109" s="168"/>
      <c r="P109" s="168"/>
      <c r="Q109" s="168"/>
      <c r="R109" s="168"/>
      <c r="S109" s="168"/>
      <c r="T109" s="168"/>
      <c r="U109" s="168"/>
      <c r="V109" s="168"/>
      <c r="W109" s="168"/>
      <c r="X109" s="168"/>
      <c r="Y109" s="168"/>
      <c r="Z109" s="168"/>
    </row>
    <row r="110" customFormat="false" ht="15.75" hidden="false" customHeight="false" outlineLevel="0" collapsed="false">
      <c r="A110" s="168"/>
      <c r="B110" s="168"/>
      <c r="C110" s="168"/>
      <c r="D110" s="168"/>
      <c r="E110" s="168"/>
      <c r="F110" s="168"/>
      <c r="G110" s="168"/>
      <c r="H110" s="168"/>
      <c r="I110" s="168"/>
      <c r="J110" s="168"/>
      <c r="K110" s="168"/>
      <c r="L110" s="168"/>
      <c r="M110" s="168"/>
      <c r="N110" s="168"/>
      <c r="O110" s="168"/>
      <c r="P110" s="168"/>
      <c r="Q110" s="168"/>
      <c r="R110" s="168"/>
      <c r="S110" s="168"/>
      <c r="T110" s="168"/>
      <c r="U110" s="168"/>
      <c r="V110" s="168"/>
      <c r="W110" s="168"/>
      <c r="X110" s="168"/>
      <c r="Y110" s="168"/>
      <c r="Z110" s="168"/>
    </row>
    <row r="111" customFormat="false" ht="15.75" hidden="false" customHeight="false" outlineLevel="0" collapsed="false">
      <c r="A111" s="168"/>
      <c r="B111" s="168"/>
      <c r="C111" s="168"/>
      <c r="D111" s="168"/>
      <c r="E111" s="168"/>
      <c r="F111" s="168"/>
      <c r="G111" s="168"/>
      <c r="H111" s="168"/>
      <c r="I111" s="168"/>
      <c r="J111" s="168"/>
      <c r="K111" s="168"/>
      <c r="L111" s="168"/>
      <c r="M111" s="168"/>
      <c r="N111" s="168"/>
      <c r="O111" s="168"/>
      <c r="P111" s="168"/>
      <c r="Q111" s="168"/>
      <c r="R111" s="168"/>
      <c r="S111" s="168"/>
      <c r="T111" s="168"/>
      <c r="U111" s="168"/>
      <c r="V111" s="168"/>
      <c r="W111" s="168"/>
      <c r="X111" s="168"/>
      <c r="Y111" s="168"/>
      <c r="Z111" s="168"/>
    </row>
    <row r="112" customFormat="false" ht="15.75" hidden="false" customHeight="false" outlineLevel="0" collapsed="false">
      <c r="A112" s="168"/>
      <c r="B112" s="168"/>
      <c r="C112" s="168"/>
      <c r="D112" s="168"/>
      <c r="E112" s="168"/>
      <c r="F112" s="168"/>
      <c r="G112" s="168"/>
      <c r="H112" s="168"/>
      <c r="I112" s="168"/>
      <c r="J112" s="168"/>
      <c r="K112" s="168"/>
      <c r="L112" s="168"/>
      <c r="M112" s="168"/>
      <c r="N112" s="168"/>
      <c r="O112" s="168"/>
      <c r="P112" s="168"/>
      <c r="Q112" s="168"/>
      <c r="R112" s="168"/>
      <c r="S112" s="168"/>
      <c r="T112" s="168"/>
      <c r="U112" s="168"/>
      <c r="V112" s="168"/>
      <c r="W112" s="168"/>
      <c r="X112" s="168"/>
      <c r="Y112" s="168"/>
      <c r="Z112" s="168"/>
    </row>
    <row r="113" customFormat="false" ht="15.75" hidden="false" customHeight="false" outlineLevel="0" collapsed="false">
      <c r="A113" s="168"/>
      <c r="B113" s="168"/>
      <c r="C113" s="168"/>
      <c r="D113" s="168"/>
      <c r="E113" s="168"/>
      <c r="F113" s="168"/>
      <c r="G113" s="168"/>
      <c r="H113" s="168"/>
      <c r="I113" s="168"/>
      <c r="J113" s="168"/>
      <c r="K113" s="168"/>
      <c r="L113" s="168"/>
      <c r="M113" s="168"/>
      <c r="N113" s="168"/>
      <c r="O113" s="168"/>
      <c r="P113" s="168"/>
      <c r="Q113" s="168"/>
      <c r="R113" s="168"/>
      <c r="S113" s="168"/>
      <c r="T113" s="168"/>
      <c r="U113" s="168"/>
      <c r="V113" s="168"/>
      <c r="W113" s="168"/>
      <c r="X113" s="168"/>
      <c r="Y113" s="168"/>
      <c r="Z113" s="168"/>
    </row>
    <row r="114" customFormat="false" ht="15.75" hidden="false" customHeight="false" outlineLevel="0" collapsed="false">
      <c r="A114" s="168"/>
      <c r="B114" s="168"/>
      <c r="C114" s="168"/>
      <c r="D114" s="168"/>
      <c r="E114" s="168"/>
      <c r="F114" s="168"/>
      <c r="G114" s="168"/>
      <c r="H114" s="168"/>
      <c r="I114" s="168"/>
      <c r="J114" s="168"/>
      <c r="K114" s="168"/>
      <c r="L114" s="168"/>
      <c r="M114" s="168"/>
      <c r="N114" s="168"/>
      <c r="O114" s="168"/>
      <c r="P114" s="168"/>
      <c r="Q114" s="168"/>
      <c r="R114" s="168"/>
      <c r="S114" s="168"/>
      <c r="T114" s="168"/>
      <c r="U114" s="168"/>
      <c r="V114" s="168"/>
      <c r="W114" s="168"/>
      <c r="X114" s="168"/>
      <c r="Y114" s="168"/>
      <c r="Z114" s="168"/>
    </row>
    <row r="115" customFormat="false" ht="15.75" hidden="false" customHeight="false" outlineLevel="0" collapsed="false">
      <c r="A115" s="168"/>
      <c r="B115" s="168"/>
      <c r="C115" s="168"/>
      <c r="D115" s="168"/>
      <c r="E115" s="168"/>
      <c r="F115" s="168"/>
      <c r="G115" s="168"/>
      <c r="H115" s="168"/>
      <c r="I115" s="168"/>
      <c r="J115" s="168"/>
      <c r="K115" s="168"/>
      <c r="L115" s="168"/>
      <c r="M115" s="168"/>
      <c r="N115" s="168"/>
      <c r="O115" s="168"/>
      <c r="P115" s="168"/>
      <c r="Q115" s="168"/>
      <c r="R115" s="168"/>
      <c r="S115" s="168"/>
      <c r="T115" s="168"/>
      <c r="U115" s="168"/>
      <c r="V115" s="168"/>
      <c r="W115" s="168"/>
      <c r="X115" s="168"/>
      <c r="Y115" s="168"/>
      <c r="Z115" s="168"/>
    </row>
    <row r="116" customFormat="false" ht="15.75" hidden="false" customHeight="false" outlineLevel="0" collapsed="false">
      <c r="A116" s="168"/>
      <c r="B116" s="168"/>
      <c r="C116" s="168"/>
      <c r="D116" s="168"/>
      <c r="E116" s="168"/>
      <c r="F116" s="168"/>
      <c r="G116" s="168"/>
      <c r="H116" s="168"/>
      <c r="I116" s="168"/>
      <c r="J116" s="168"/>
      <c r="K116" s="168"/>
      <c r="L116" s="168"/>
      <c r="M116" s="168"/>
      <c r="N116" s="168"/>
      <c r="O116" s="168"/>
      <c r="P116" s="168"/>
      <c r="Q116" s="168"/>
      <c r="R116" s="168"/>
      <c r="S116" s="168"/>
      <c r="T116" s="168"/>
      <c r="U116" s="168"/>
      <c r="V116" s="168"/>
      <c r="W116" s="168"/>
      <c r="X116" s="168"/>
      <c r="Y116" s="168"/>
      <c r="Z116" s="168"/>
    </row>
    <row r="117" customFormat="false" ht="15.75" hidden="false" customHeight="false" outlineLevel="0" collapsed="false">
      <c r="A117" s="168"/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  <c r="V117" s="168"/>
      <c r="W117" s="168"/>
      <c r="X117" s="168"/>
      <c r="Y117" s="168"/>
      <c r="Z117" s="168"/>
    </row>
    <row r="118" customFormat="false" ht="15.75" hidden="false" customHeight="false" outlineLevel="0" collapsed="false">
      <c r="A118" s="168"/>
      <c r="B118" s="168"/>
      <c r="C118" s="168"/>
      <c r="D118" s="168"/>
      <c r="E118" s="168"/>
      <c r="F118" s="168"/>
      <c r="G118" s="168"/>
      <c r="H118" s="168"/>
      <c r="I118" s="168"/>
      <c r="J118" s="168"/>
      <c r="K118" s="168"/>
      <c r="L118" s="168"/>
      <c r="M118" s="168"/>
      <c r="N118" s="168"/>
      <c r="O118" s="168"/>
      <c r="P118" s="168"/>
      <c r="Q118" s="168"/>
      <c r="R118" s="168"/>
      <c r="S118" s="168"/>
      <c r="T118" s="168"/>
      <c r="U118" s="168"/>
      <c r="V118" s="168"/>
      <c r="W118" s="168"/>
      <c r="X118" s="168"/>
      <c r="Y118" s="168"/>
      <c r="Z118" s="168"/>
    </row>
    <row r="119" customFormat="false" ht="15.75" hidden="false" customHeight="false" outlineLevel="0" collapsed="false">
      <c r="A119" s="168"/>
      <c r="B119" s="168"/>
      <c r="C119" s="168"/>
      <c r="D119" s="168"/>
      <c r="E119" s="168"/>
      <c r="F119" s="168"/>
      <c r="G119" s="168"/>
      <c r="H119" s="168"/>
      <c r="I119" s="168"/>
      <c r="J119" s="168"/>
      <c r="K119" s="168"/>
      <c r="L119" s="168"/>
      <c r="M119" s="168"/>
      <c r="N119" s="168"/>
      <c r="O119" s="168"/>
      <c r="P119" s="168"/>
      <c r="Q119" s="168"/>
      <c r="R119" s="168"/>
      <c r="S119" s="168"/>
      <c r="T119" s="168"/>
      <c r="U119" s="168"/>
      <c r="V119" s="168"/>
      <c r="W119" s="168"/>
      <c r="X119" s="168"/>
      <c r="Y119" s="168"/>
      <c r="Z119" s="168"/>
    </row>
    <row r="120" customFormat="false" ht="15.75" hidden="false" customHeight="false" outlineLevel="0" collapsed="false">
      <c r="A120" s="168"/>
      <c r="B120" s="168"/>
      <c r="C120" s="168"/>
      <c r="D120" s="168"/>
      <c r="E120" s="168"/>
      <c r="F120" s="168"/>
      <c r="G120" s="168"/>
      <c r="H120" s="168"/>
      <c r="I120" s="168"/>
      <c r="J120" s="168"/>
      <c r="K120" s="168"/>
      <c r="L120" s="168"/>
      <c r="M120" s="168"/>
      <c r="N120" s="168"/>
      <c r="O120" s="168"/>
      <c r="P120" s="168"/>
      <c r="Q120" s="168"/>
      <c r="R120" s="168"/>
      <c r="S120" s="168"/>
      <c r="T120" s="168"/>
      <c r="U120" s="168"/>
      <c r="V120" s="168"/>
      <c r="W120" s="168"/>
      <c r="X120" s="168"/>
      <c r="Y120" s="168"/>
      <c r="Z120" s="168"/>
    </row>
    <row r="121" customFormat="false" ht="15.75" hidden="false" customHeight="false" outlineLevel="0" collapsed="false">
      <c r="A121" s="168"/>
      <c r="B121" s="168"/>
      <c r="C121" s="168"/>
      <c r="D121" s="168"/>
      <c r="E121" s="168"/>
      <c r="F121" s="168"/>
      <c r="G121" s="168"/>
      <c r="H121" s="168"/>
      <c r="I121" s="168"/>
      <c r="J121" s="168"/>
      <c r="K121" s="168"/>
      <c r="L121" s="168"/>
      <c r="M121" s="168"/>
      <c r="N121" s="168"/>
      <c r="O121" s="168"/>
      <c r="P121" s="168"/>
      <c r="Q121" s="168"/>
      <c r="R121" s="168"/>
      <c r="S121" s="168"/>
      <c r="T121" s="168"/>
      <c r="U121" s="168"/>
      <c r="V121" s="168"/>
      <c r="W121" s="168"/>
      <c r="X121" s="168"/>
      <c r="Y121" s="168"/>
      <c r="Z121" s="168"/>
    </row>
    <row r="122" customFormat="false" ht="15.75" hidden="false" customHeight="false" outlineLevel="0" collapsed="false">
      <c r="A122" s="168"/>
      <c r="B122" s="168"/>
      <c r="C122" s="168"/>
      <c r="D122" s="168"/>
      <c r="E122" s="168"/>
      <c r="F122" s="168"/>
      <c r="G122" s="168"/>
      <c r="H122" s="168"/>
      <c r="I122" s="168"/>
      <c r="J122" s="168"/>
      <c r="K122" s="168"/>
      <c r="L122" s="168"/>
      <c r="M122" s="168"/>
      <c r="N122" s="168"/>
      <c r="O122" s="168"/>
      <c r="P122" s="168"/>
      <c r="Q122" s="168"/>
      <c r="R122" s="168"/>
      <c r="S122" s="168"/>
      <c r="T122" s="168"/>
      <c r="U122" s="168"/>
      <c r="V122" s="168"/>
      <c r="W122" s="168"/>
      <c r="X122" s="168"/>
      <c r="Y122" s="168"/>
      <c r="Z122" s="168"/>
    </row>
    <row r="123" customFormat="false" ht="15.75" hidden="false" customHeight="false" outlineLevel="0" collapsed="false">
      <c r="A123" s="168"/>
      <c r="B123" s="168"/>
      <c r="C123" s="168"/>
      <c r="D123" s="168"/>
      <c r="E123" s="168"/>
      <c r="F123" s="168"/>
      <c r="G123" s="168"/>
      <c r="H123" s="168"/>
      <c r="I123" s="168"/>
      <c r="J123" s="168"/>
      <c r="K123" s="168"/>
      <c r="L123" s="168"/>
      <c r="M123" s="168"/>
      <c r="N123" s="168"/>
      <c r="O123" s="168"/>
      <c r="P123" s="168"/>
      <c r="Q123" s="168"/>
      <c r="R123" s="168"/>
      <c r="S123" s="168"/>
      <c r="T123" s="168"/>
      <c r="U123" s="168"/>
      <c r="V123" s="168"/>
      <c r="W123" s="168"/>
      <c r="X123" s="168"/>
      <c r="Y123" s="168"/>
      <c r="Z123" s="168"/>
    </row>
    <row r="124" customFormat="false" ht="15.75" hidden="false" customHeight="false" outlineLevel="0" collapsed="false">
      <c r="A124" s="168"/>
      <c r="B124" s="168"/>
      <c r="C124" s="168"/>
      <c r="D124" s="168"/>
      <c r="E124" s="168"/>
      <c r="F124" s="168"/>
      <c r="G124" s="168"/>
      <c r="H124" s="168"/>
      <c r="I124" s="168"/>
      <c r="J124" s="168"/>
      <c r="K124" s="168"/>
      <c r="L124" s="168"/>
      <c r="M124" s="168"/>
      <c r="N124" s="168"/>
      <c r="O124" s="168"/>
      <c r="P124" s="168"/>
      <c r="Q124" s="168"/>
      <c r="R124" s="168"/>
      <c r="S124" s="168"/>
      <c r="T124" s="168"/>
      <c r="U124" s="168"/>
      <c r="V124" s="168"/>
      <c r="W124" s="168"/>
      <c r="X124" s="168"/>
      <c r="Y124" s="168"/>
      <c r="Z124" s="168"/>
    </row>
    <row r="125" customFormat="false" ht="15.75" hidden="false" customHeight="false" outlineLevel="0" collapsed="false">
      <c r="A125" s="168"/>
      <c r="B125" s="168"/>
      <c r="C125" s="168"/>
      <c r="D125" s="168"/>
      <c r="E125" s="168"/>
      <c r="F125" s="168"/>
      <c r="G125" s="168"/>
      <c r="H125" s="168"/>
      <c r="I125" s="168"/>
      <c r="J125" s="168"/>
      <c r="K125" s="168"/>
      <c r="L125" s="168"/>
      <c r="M125" s="168"/>
      <c r="N125" s="168"/>
      <c r="O125" s="168"/>
      <c r="P125" s="168"/>
      <c r="Q125" s="168"/>
      <c r="R125" s="168"/>
      <c r="S125" s="168"/>
      <c r="T125" s="168"/>
      <c r="U125" s="168"/>
      <c r="V125" s="168"/>
      <c r="W125" s="168"/>
      <c r="X125" s="168"/>
      <c r="Y125" s="168"/>
      <c r="Z125" s="168"/>
    </row>
    <row r="126" customFormat="false" ht="15.75" hidden="false" customHeight="false" outlineLevel="0" collapsed="false">
      <c r="A126" s="168"/>
      <c r="B126" s="168"/>
      <c r="C126" s="168"/>
      <c r="D126" s="168"/>
      <c r="E126" s="168"/>
      <c r="F126" s="168"/>
      <c r="G126" s="168"/>
      <c r="H126" s="168"/>
      <c r="I126" s="168"/>
      <c r="J126" s="168"/>
      <c r="K126" s="168"/>
      <c r="L126" s="168"/>
      <c r="M126" s="168"/>
      <c r="N126" s="168"/>
      <c r="O126" s="168"/>
      <c r="P126" s="168"/>
      <c r="Q126" s="168"/>
      <c r="R126" s="168"/>
      <c r="S126" s="168"/>
      <c r="T126" s="168"/>
      <c r="U126" s="168"/>
      <c r="V126" s="168"/>
      <c r="W126" s="168"/>
      <c r="X126" s="168"/>
      <c r="Y126" s="168"/>
      <c r="Z126" s="168"/>
    </row>
    <row r="127" customFormat="false" ht="15.75" hidden="false" customHeight="false" outlineLevel="0" collapsed="false">
      <c r="A127" s="168"/>
      <c r="B127" s="168"/>
      <c r="C127" s="168"/>
      <c r="D127" s="168"/>
      <c r="E127" s="168"/>
      <c r="F127" s="168"/>
      <c r="G127" s="168"/>
      <c r="H127" s="168"/>
      <c r="I127" s="168"/>
      <c r="J127" s="168"/>
      <c r="K127" s="168"/>
      <c r="L127" s="168"/>
      <c r="M127" s="168"/>
      <c r="N127" s="168"/>
      <c r="O127" s="168"/>
      <c r="P127" s="168"/>
      <c r="Q127" s="168"/>
      <c r="R127" s="168"/>
      <c r="S127" s="168"/>
      <c r="T127" s="168"/>
      <c r="U127" s="168"/>
      <c r="V127" s="168"/>
      <c r="W127" s="168"/>
      <c r="X127" s="168"/>
      <c r="Y127" s="168"/>
      <c r="Z127" s="168"/>
    </row>
    <row r="128" customFormat="false" ht="15.75" hidden="false" customHeight="false" outlineLevel="0" collapsed="false">
      <c r="A128" s="168"/>
      <c r="B128" s="168"/>
      <c r="C128" s="168"/>
      <c r="D128" s="168"/>
      <c r="E128" s="168"/>
      <c r="F128" s="168"/>
      <c r="G128" s="168"/>
      <c r="H128" s="168"/>
      <c r="I128" s="168"/>
      <c r="J128" s="168"/>
      <c r="K128" s="168"/>
      <c r="L128" s="168"/>
      <c r="M128" s="168"/>
      <c r="N128" s="168"/>
      <c r="O128" s="168"/>
      <c r="P128" s="168"/>
      <c r="Q128" s="168"/>
      <c r="R128" s="168"/>
      <c r="S128" s="168"/>
      <c r="T128" s="168"/>
      <c r="U128" s="168"/>
      <c r="V128" s="168"/>
      <c r="W128" s="168"/>
      <c r="X128" s="168"/>
      <c r="Y128" s="168"/>
      <c r="Z128" s="168"/>
    </row>
    <row r="129" customFormat="false" ht="15.75" hidden="false" customHeight="false" outlineLevel="0" collapsed="false">
      <c r="A129" s="168"/>
      <c r="B129" s="168"/>
      <c r="C129" s="168"/>
      <c r="D129" s="168"/>
      <c r="E129" s="168"/>
      <c r="F129" s="168"/>
      <c r="G129" s="168"/>
      <c r="H129" s="168"/>
      <c r="I129" s="168"/>
      <c r="J129" s="168"/>
      <c r="K129" s="168"/>
      <c r="L129" s="168"/>
      <c r="M129" s="168"/>
      <c r="N129" s="168"/>
      <c r="O129" s="168"/>
      <c r="P129" s="168"/>
      <c r="Q129" s="168"/>
      <c r="R129" s="168"/>
      <c r="S129" s="168"/>
      <c r="T129" s="168"/>
      <c r="U129" s="168"/>
      <c r="V129" s="168"/>
      <c r="W129" s="168"/>
      <c r="X129" s="168"/>
      <c r="Y129" s="168"/>
      <c r="Z129" s="168"/>
    </row>
    <row r="130" customFormat="false" ht="15.75" hidden="false" customHeight="false" outlineLevel="0" collapsed="false">
      <c r="A130" s="168"/>
      <c r="B130" s="168"/>
      <c r="C130" s="168"/>
      <c r="D130" s="168"/>
      <c r="E130" s="168"/>
      <c r="F130" s="168"/>
      <c r="G130" s="168"/>
      <c r="H130" s="168"/>
      <c r="I130" s="168"/>
      <c r="J130" s="168"/>
      <c r="K130" s="168"/>
      <c r="L130" s="168"/>
      <c r="M130" s="168"/>
      <c r="N130" s="168"/>
      <c r="O130" s="168"/>
      <c r="P130" s="168"/>
      <c r="Q130" s="168"/>
      <c r="R130" s="168"/>
      <c r="S130" s="168"/>
      <c r="T130" s="168"/>
      <c r="U130" s="168"/>
      <c r="V130" s="168"/>
      <c r="W130" s="168"/>
      <c r="X130" s="168"/>
      <c r="Y130" s="168"/>
      <c r="Z130" s="168"/>
    </row>
    <row r="131" customFormat="false" ht="15.75" hidden="false" customHeight="false" outlineLevel="0" collapsed="false">
      <c r="A131" s="168"/>
      <c r="B131" s="168"/>
      <c r="C131" s="168"/>
      <c r="D131" s="168"/>
      <c r="E131" s="168"/>
      <c r="F131" s="168"/>
      <c r="G131" s="168"/>
      <c r="H131" s="168"/>
      <c r="I131" s="168"/>
      <c r="J131" s="168"/>
      <c r="K131" s="168"/>
      <c r="L131" s="168"/>
      <c r="M131" s="168"/>
      <c r="N131" s="168"/>
      <c r="O131" s="168"/>
      <c r="P131" s="168"/>
      <c r="Q131" s="168"/>
      <c r="R131" s="168"/>
      <c r="S131" s="168"/>
      <c r="T131" s="168"/>
      <c r="U131" s="168"/>
      <c r="V131" s="168"/>
      <c r="W131" s="168"/>
      <c r="X131" s="168"/>
      <c r="Y131" s="168"/>
      <c r="Z131" s="168"/>
    </row>
    <row r="132" customFormat="false" ht="15.75" hidden="false" customHeight="false" outlineLevel="0" collapsed="false">
      <c r="A132" s="168"/>
      <c r="B132" s="168"/>
      <c r="C132" s="168"/>
      <c r="D132" s="168"/>
      <c r="E132" s="168"/>
      <c r="F132" s="168"/>
      <c r="G132" s="168"/>
      <c r="H132" s="168"/>
      <c r="I132" s="168"/>
      <c r="J132" s="168"/>
      <c r="K132" s="168"/>
      <c r="L132" s="168"/>
      <c r="M132" s="168"/>
      <c r="N132" s="168"/>
      <c r="O132" s="168"/>
      <c r="P132" s="168"/>
      <c r="Q132" s="168"/>
      <c r="R132" s="168"/>
      <c r="S132" s="168"/>
      <c r="T132" s="168"/>
      <c r="U132" s="168"/>
      <c r="V132" s="168"/>
      <c r="W132" s="168"/>
      <c r="X132" s="168"/>
      <c r="Y132" s="168"/>
      <c r="Z132" s="168"/>
    </row>
    <row r="133" customFormat="false" ht="15.75" hidden="false" customHeight="false" outlineLevel="0" collapsed="false">
      <c r="A133" s="168"/>
      <c r="B133" s="168"/>
      <c r="C133" s="168"/>
      <c r="D133" s="168"/>
      <c r="E133" s="168"/>
      <c r="F133" s="168"/>
      <c r="G133" s="168"/>
      <c r="H133" s="168"/>
      <c r="I133" s="168"/>
      <c r="J133" s="168"/>
      <c r="K133" s="168"/>
      <c r="L133" s="168"/>
      <c r="M133" s="168"/>
      <c r="N133" s="168"/>
      <c r="O133" s="168"/>
      <c r="P133" s="168"/>
      <c r="Q133" s="168"/>
      <c r="R133" s="168"/>
      <c r="S133" s="168"/>
      <c r="T133" s="168"/>
      <c r="U133" s="168"/>
      <c r="V133" s="168"/>
      <c r="W133" s="168"/>
      <c r="X133" s="168"/>
      <c r="Y133" s="168"/>
      <c r="Z133" s="168"/>
    </row>
    <row r="134" customFormat="false" ht="15.75" hidden="false" customHeight="false" outlineLevel="0" collapsed="false">
      <c r="A134" s="168"/>
      <c r="B134" s="168"/>
      <c r="C134" s="168"/>
      <c r="D134" s="168"/>
      <c r="E134" s="168"/>
      <c r="F134" s="168"/>
      <c r="G134" s="168"/>
      <c r="H134" s="168"/>
      <c r="I134" s="168"/>
      <c r="J134" s="168"/>
      <c r="K134" s="168"/>
      <c r="L134" s="168"/>
      <c r="M134" s="168"/>
      <c r="N134" s="168"/>
      <c r="O134" s="168"/>
      <c r="P134" s="168"/>
      <c r="Q134" s="168"/>
      <c r="R134" s="168"/>
      <c r="S134" s="168"/>
      <c r="T134" s="168"/>
      <c r="U134" s="168"/>
      <c r="V134" s="168"/>
      <c r="W134" s="168"/>
      <c r="X134" s="168"/>
      <c r="Y134" s="168"/>
      <c r="Z134" s="168"/>
    </row>
    <row r="135" customFormat="false" ht="15.75" hidden="false" customHeight="false" outlineLevel="0" collapsed="false">
      <c r="A135" s="168"/>
      <c r="B135" s="168"/>
      <c r="C135" s="168"/>
      <c r="D135" s="168"/>
      <c r="E135" s="168"/>
      <c r="F135" s="168"/>
      <c r="G135" s="168"/>
      <c r="H135" s="168"/>
      <c r="I135" s="168"/>
      <c r="J135" s="168"/>
      <c r="K135" s="168"/>
      <c r="L135" s="168"/>
      <c r="M135" s="168"/>
      <c r="N135" s="168"/>
      <c r="O135" s="168"/>
      <c r="P135" s="168"/>
      <c r="Q135" s="168"/>
      <c r="R135" s="168"/>
      <c r="S135" s="168"/>
      <c r="T135" s="168"/>
      <c r="U135" s="168"/>
      <c r="V135" s="168"/>
      <c r="W135" s="168"/>
      <c r="X135" s="168"/>
      <c r="Y135" s="168"/>
      <c r="Z135" s="168"/>
    </row>
    <row r="136" customFormat="false" ht="15.75" hidden="false" customHeight="false" outlineLevel="0" collapsed="false">
      <c r="A136" s="168"/>
      <c r="B136" s="168"/>
      <c r="C136" s="168"/>
      <c r="D136" s="168"/>
      <c r="E136" s="168"/>
      <c r="F136" s="168"/>
      <c r="G136" s="168"/>
      <c r="H136" s="168"/>
      <c r="I136" s="168"/>
      <c r="J136" s="168"/>
      <c r="K136" s="168"/>
      <c r="L136" s="168"/>
      <c r="M136" s="168"/>
      <c r="N136" s="168"/>
      <c r="O136" s="168"/>
      <c r="P136" s="168"/>
      <c r="Q136" s="168"/>
      <c r="R136" s="168"/>
      <c r="S136" s="168"/>
      <c r="T136" s="168"/>
      <c r="U136" s="168"/>
      <c r="V136" s="168"/>
      <c r="W136" s="168"/>
      <c r="X136" s="168"/>
      <c r="Y136" s="168"/>
      <c r="Z136" s="168"/>
    </row>
    <row r="137" customFormat="false" ht="15.75" hidden="false" customHeight="false" outlineLevel="0" collapsed="false">
      <c r="A137" s="168"/>
      <c r="B137" s="168"/>
      <c r="C137" s="168"/>
      <c r="D137" s="168"/>
      <c r="E137" s="168"/>
      <c r="F137" s="168"/>
      <c r="G137" s="168"/>
      <c r="H137" s="168"/>
      <c r="I137" s="168"/>
      <c r="J137" s="168"/>
      <c r="K137" s="168"/>
      <c r="L137" s="168"/>
      <c r="M137" s="168"/>
      <c r="N137" s="168"/>
      <c r="O137" s="168"/>
      <c r="P137" s="168"/>
      <c r="Q137" s="168"/>
      <c r="R137" s="168"/>
      <c r="S137" s="168"/>
      <c r="T137" s="168"/>
      <c r="U137" s="168"/>
      <c r="V137" s="168"/>
      <c r="W137" s="168"/>
      <c r="X137" s="168"/>
      <c r="Y137" s="168"/>
      <c r="Z137" s="168"/>
    </row>
    <row r="138" customFormat="false" ht="15.75" hidden="false" customHeight="false" outlineLevel="0" collapsed="false">
      <c r="A138" s="168"/>
      <c r="B138" s="168"/>
      <c r="C138" s="168"/>
      <c r="D138" s="168"/>
      <c r="E138" s="168"/>
      <c r="F138" s="168"/>
      <c r="G138" s="168"/>
      <c r="H138" s="168"/>
      <c r="I138" s="168"/>
      <c r="J138" s="168"/>
      <c r="K138" s="168"/>
      <c r="L138" s="168"/>
      <c r="M138" s="168"/>
      <c r="N138" s="168"/>
      <c r="O138" s="168"/>
      <c r="P138" s="168"/>
      <c r="Q138" s="168"/>
      <c r="R138" s="168"/>
      <c r="S138" s="168"/>
      <c r="T138" s="168"/>
      <c r="U138" s="168"/>
      <c r="V138" s="168"/>
      <c r="W138" s="168"/>
      <c r="X138" s="168"/>
      <c r="Y138" s="168"/>
      <c r="Z138" s="168"/>
    </row>
    <row r="139" customFormat="false" ht="15.75" hidden="false" customHeight="false" outlineLevel="0" collapsed="false">
      <c r="A139" s="168"/>
      <c r="B139" s="168"/>
      <c r="C139" s="168"/>
      <c r="D139" s="168"/>
      <c r="E139" s="168"/>
      <c r="F139" s="168"/>
      <c r="G139" s="168"/>
      <c r="H139" s="168"/>
      <c r="I139" s="168"/>
      <c r="J139" s="168"/>
      <c r="K139" s="168"/>
      <c r="L139" s="168"/>
      <c r="M139" s="168"/>
      <c r="N139" s="168"/>
      <c r="O139" s="168"/>
      <c r="P139" s="168"/>
      <c r="Q139" s="168"/>
      <c r="R139" s="168"/>
      <c r="S139" s="168"/>
      <c r="T139" s="168"/>
      <c r="U139" s="168"/>
      <c r="V139" s="168"/>
      <c r="W139" s="168"/>
      <c r="X139" s="168"/>
      <c r="Y139" s="168"/>
      <c r="Z139" s="168"/>
    </row>
    <row r="140" customFormat="false" ht="15.75" hidden="false" customHeight="false" outlineLevel="0" collapsed="false">
      <c r="A140" s="168"/>
      <c r="B140" s="168"/>
      <c r="C140" s="168"/>
      <c r="D140" s="168"/>
      <c r="E140" s="168"/>
      <c r="F140" s="168"/>
      <c r="G140" s="168"/>
      <c r="H140" s="168"/>
      <c r="I140" s="168"/>
      <c r="J140" s="168"/>
      <c r="K140" s="168"/>
      <c r="L140" s="168"/>
      <c r="M140" s="168"/>
      <c r="N140" s="168"/>
      <c r="O140" s="168"/>
      <c r="P140" s="168"/>
      <c r="Q140" s="168"/>
      <c r="R140" s="168"/>
      <c r="S140" s="168"/>
      <c r="T140" s="168"/>
      <c r="U140" s="168"/>
      <c r="V140" s="168"/>
      <c r="W140" s="168"/>
      <c r="X140" s="168"/>
      <c r="Y140" s="168"/>
      <c r="Z140" s="168"/>
    </row>
    <row r="141" customFormat="false" ht="15.75" hidden="false" customHeight="false" outlineLevel="0" collapsed="false">
      <c r="A141" s="168"/>
      <c r="B141" s="168"/>
      <c r="C141" s="168"/>
      <c r="D141" s="168"/>
      <c r="E141" s="168"/>
      <c r="F141" s="168"/>
      <c r="G141" s="168"/>
      <c r="H141" s="168"/>
      <c r="I141" s="168"/>
      <c r="J141" s="168"/>
      <c r="K141" s="168"/>
      <c r="L141" s="168"/>
      <c r="M141" s="168"/>
      <c r="N141" s="168"/>
      <c r="O141" s="168"/>
      <c r="P141" s="168"/>
      <c r="Q141" s="168"/>
      <c r="R141" s="168"/>
      <c r="S141" s="168"/>
      <c r="T141" s="168"/>
      <c r="U141" s="168"/>
      <c r="V141" s="168"/>
      <c r="W141" s="168"/>
      <c r="X141" s="168"/>
      <c r="Y141" s="168"/>
      <c r="Z141" s="168"/>
    </row>
    <row r="142" customFormat="false" ht="15.75" hidden="false" customHeight="false" outlineLevel="0" collapsed="false">
      <c r="A142" s="168"/>
      <c r="B142" s="168"/>
      <c r="C142" s="168"/>
      <c r="D142" s="168"/>
      <c r="E142" s="168"/>
      <c r="F142" s="168"/>
      <c r="G142" s="168"/>
      <c r="H142" s="168"/>
      <c r="I142" s="168"/>
      <c r="J142" s="168"/>
      <c r="K142" s="168"/>
      <c r="L142" s="168"/>
      <c r="M142" s="168"/>
      <c r="N142" s="168"/>
      <c r="O142" s="168"/>
      <c r="P142" s="168"/>
      <c r="Q142" s="168"/>
      <c r="R142" s="168"/>
      <c r="S142" s="168"/>
      <c r="T142" s="168"/>
      <c r="U142" s="168"/>
      <c r="V142" s="168"/>
      <c r="W142" s="168"/>
      <c r="X142" s="168"/>
      <c r="Y142" s="168"/>
      <c r="Z142" s="168"/>
    </row>
    <row r="143" customFormat="false" ht="15.75" hidden="false" customHeight="false" outlineLevel="0" collapsed="false">
      <c r="A143" s="168"/>
      <c r="B143" s="168"/>
      <c r="C143" s="168"/>
      <c r="D143" s="168"/>
      <c r="E143" s="168"/>
      <c r="F143" s="168"/>
      <c r="G143" s="168"/>
      <c r="H143" s="168"/>
      <c r="I143" s="168"/>
      <c r="J143" s="168"/>
      <c r="K143" s="168"/>
      <c r="L143" s="168"/>
      <c r="M143" s="168"/>
      <c r="N143" s="168"/>
      <c r="O143" s="168"/>
      <c r="P143" s="168"/>
      <c r="Q143" s="168"/>
      <c r="R143" s="168"/>
      <c r="S143" s="168"/>
      <c r="T143" s="168"/>
      <c r="U143" s="168"/>
      <c r="V143" s="168"/>
      <c r="W143" s="168"/>
      <c r="X143" s="168"/>
      <c r="Y143" s="168"/>
      <c r="Z143" s="168"/>
    </row>
    <row r="144" customFormat="false" ht="15.75" hidden="false" customHeight="false" outlineLevel="0" collapsed="false">
      <c r="A144" s="168"/>
      <c r="B144" s="168"/>
      <c r="C144" s="168"/>
      <c r="D144" s="168"/>
      <c r="E144" s="168"/>
      <c r="F144" s="168"/>
      <c r="G144" s="168"/>
      <c r="H144" s="168"/>
      <c r="I144" s="168"/>
      <c r="J144" s="168"/>
      <c r="K144" s="168"/>
      <c r="L144" s="168"/>
      <c r="M144" s="168"/>
      <c r="N144" s="168"/>
      <c r="O144" s="168"/>
      <c r="P144" s="168"/>
      <c r="Q144" s="168"/>
      <c r="R144" s="168"/>
      <c r="S144" s="168"/>
      <c r="T144" s="168"/>
      <c r="U144" s="168"/>
      <c r="V144" s="168"/>
      <c r="W144" s="168"/>
      <c r="X144" s="168"/>
      <c r="Y144" s="168"/>
      <c r="Z144" s="168"/>
    </row>
    <row r="145" customFormat="false" ht="15.75" hidden="false" customHeight="false" outlineLevel="0" collapsed="false">
      <c r="A145" s="168"/>
      <c r="B145" s="168"/>
      <c r="C145" s="168"/>
      <c r="D145" s="168"/>
      <c r="E145" s="168"/>
      <c r="F145" s="168"/>
      <c r="G145" s="168"/>
      <c r="H145" s="168"/>
      <c r="I145" s="168"/>
      <c r="J145" s="168"/>
      <c r="K145" s="168"/>
      <c r="L145" s="168"/>
      <c r="M145" s="168"/>
      <c r="N145" s="168"/>
      <c r="O145" s="168"/>
      <c r="P145" s="168"/>
      <c r="Q145" s="168"/>
      <c r="R145" s="168"/>
      <c r="S145" s="168"/>
      <c r="T145" s="168"/>
      <c r="U145" s="168"/>
      <c r="V145" s="168"/>
      <c r="W145" s="168"/>
      <c r="X145" s="168"/>
      <c r="Y145" s="168"/>
      <c r="Z145" s="168"/>
    </row>
    <row r="146" customFormat="false" ht="15.75" hidden="false" customHeight="false" outlineLevel="0" collapsed="false">
      <c r="A146" s="168"/>
      <c r="B146" s="168"/>
      <c r="C146" s="168"/>
      <c r="D146" s="168"/>
      <c r="E146" s="168"/>
      <c r="F146" s="168"/>
      <c r="G146" s="168"/>
      <c r="H146" s="168"/>
      <c r="I146" s="168"/>
      <c r="J146" s="168"/>
      <c r="K146" s="168"/>
      <c r="L146" s="168"/>
      <c r="M146" s="168"/>
      <c r="N146" s="168"/>
      <c r="O146" s="168"/>
      <c r="P146" s="168"/>
      <c r="Q146" s="168"/>
      <c r="R146" s="168"/>
      <c r="S146" s="168"/>
      <c r="T146" s="168"/>
      <c r="U146" s="168"/>
      <c r="V146" s="168"/>
      <c r="W146" s="168"/>
      <c r="X146" s="168"/>
      <c r="Y146" s="168"/>
      <c r="Z146" s="168"/>
    </row>
    <row r="147" customFormat="false" ht="15.75" hidden="false" customHeight="false" outlineLevel="0" collapsed="false">
      <c r="A147" s="168"/>
      <c r="B147" s="168"/>
      <c r="C147" s="168"/>
      <c r="D147" s="168"/>
      <c r="E147" s="168"/>
      <c r="F147" s="168"/>
      <c r="G147" s="168"/>
      <c r="H147" s="168"/>
      <c r="I147" s="168"/>
      <c r="J147" s="168"/>
      <c r="K147" s="168"/>
      <c r="L147" s="168"/>
      <c r="M147" s="168"/>
      <c r="N147" s="168"/>
      <c r="O147" s="168"/>
      <c r="P147" s="168"/>
      <c r="Q147" s="168"/>
      <c r="R147" s="168"/>
      <c r="S147" s="168"/>
      <c r="T147" s="168"/>
      <c r="U147" s="168"/>
      <c r="V147" s="168"/>
      <c r="W147" s="168"/>
      <c r="X147" s="168"/>
      <c r="Y147" s="168"/>
      <c r="Z147" s="168"/>
    </row>
    <row r="148" customFormat="false" ht="15.75" hidden="false" customHeight="false" outlineLevel="0" collapsed="false">
      <c r="A148" s="168"/>
      <c r="B148" s="168"/>
      <c r="C148" s="168"/>
      <c r="D148" s="168"/>
      <c r="E148" s="168"/>
      <c r="F148" s="168"/>
      <c r="G148" s="168"/>
      <c r="H148" s="168"/>
      <c r="I148" s="168"/>
      <c r="J148" s="168"/>
      <c r="K148" s="168"/>
      <c r="L148" s="168"/>
      <c r="M148" s="168"/>
      <c r="N148" s="168"/>
      <c r="O148" s="168"/>
      <c r="P148" s="168"/>
      <c r="Q148" s="168"/>
      <c r="R148" s="168"/>
      <c r="S148" s="168"/>
      <c r="T148" s="168"/>
      <c r="U148" s="168"/>
      <c r="V148" s="168"/>
      <c r="W148" s="168"/>
      <c r="X148" s="168"/>
      <c r="Y148" s="168"/>
      <c r="Z148" s="168"/>
    </row>
    <row r="149" customFormat="false" ht="15.75" hidden="false" customHeight="false" outlineLevel="0" collapsed="false">
      <c r="A149" s="168"/>
      <c r="B149" s="168"/>
      <c r="C149" s="168"/>
      <c r="D149" s="168"/>
      <c r="E149" s="168"/>
      <c r="F149" s="168"/>
      <c r="G149" s="168"/>
      <c r="H149" s="168"/>
      <c r="I149" s="168"/>
      <c r="J149" s="168"/>
      <c r="K149" s="168"/>
      <c r="L149" s="168"/>
      <c r="M149" s="168"/>
      <c r="N149" s="168"/>
      <c r="O149" s="168"/>
      <c r="P149" s="168"/>
      <c r="Q149" s="168"/>
      <c r="R149" s="168"/>
      <c r="S149" s="168"/>
      <c r="T149" s="168"/>
      <c r="U149" s="168"/>
      <c r="V149" s="168"/>
      <c r="W149" s="168"/>
      <c r="X149" s="168"/>
      <c r="Y149" s="168"/>
      <c r="Z149" s="168"/>
    </row>
    <row r="150" customFormat="false" ht="15.75" hidden="false" customHeight="false" outlineLevel="0" collapsed="false">
      <c r="A150" s="168"/>
      <c r="B150" s="168"/>
      <c r="C150" s="168"/>
      <c r="D150" s="168"/>
      <c r="E150" s="168"/>
      <c r="F150" s="168"/>
      <c r="G150" s="168"/>
      <c r="H150" s="168"/>
      <c r="I150" s="168"/>
      <c r="J150" s="168"/>
      <c r="K150" s="168"/>
      <c r="L150" s="168"/>
      <c r="M150" s="168"/>
      <c r="N150" s="168"/>
      <c r="O150" s="168"/>
      <c r="P150" s="168"/>
      <c r="Q150" s="168"/>
      <c r="R150" s="168"/>
      <c r="S150" s="168"/>
      <c r="T150" s="168"/>
      <c r="U150" s="168"/>
      <c r="V150" s="168"/>
      <c r="W150" s="168"/>
      <c r="X150" s="168"/>
      <c r="Y150" s="168"/>
      <c r="Z150" s="168"/>
    </row>
    <row r="151" customFormat="false" ht="15.75" hidden="false" customHeight="false" outlineLevel="0" collapsed="false">
      <c r="A151" s="168"/>
      <c r="B151" s="168"/>
      <c r="C151" s="168"/>
      <c r="D151" s="168"/>
      <c r="E151" s="168"/>
      <c r="F151" s="168"/>
      <c r="G151" s="168"/>
      <c r="H151" s="168"/>
      <c r="I151" s="168"/>
      <c r="J151" s="168"/>
      <c r="K151" s="168"/>
      <c r="L151" s="168"/>
      <c r="M151" s="168"/>
      <c r="N151" s="168"/>
      <c r="O151" s="168"/>
      <c r="P151" s="168"/>
      <c r="Q151" s="168"/>
      <c r="R151" s="168"/>
      <c r="S151" s="168"/>
      <c r="T151" s="168"/>
      <c r="U151" s="168"/>
      <c r="V151" s="168"/>
      <c r="W151" s="168"/>
      <c r="X151" s="168"/>
      <c r="Y151" s="168"/>
      <c r="Z151" s="168"/>
    </row>
    <row r="152" customFormat="false" ht="15.75" hidden="false" customHeight="false" outlineLevel="0" collapsed="false">
      <c r="A152" s="168"/>
      <c r="B152" s="168"/>
      <c r="C152" s="168"/>
      <c r="D152" s="168"/>
      <c r="E152" s="168"/>
      <c r="F152" s="168"/>
      <c r="G152" s="168"/>
      <c r="H152" s="168"/>
      <c r="I152" s="168"/>
      <c r="J152" s="168"/>
      <c r="K152" s="168"/>
      <c r="L152" s="168"/>
      <c r="M152" s="168"/>
      <c r="N152" s="168"/>
      <c r="O152" s="168"/>
      <c r="P152" s="168"/>
      <c r="Q152" s="168"/>
      <c r="R152" s="168"/>
      <c r="S152" s="168"/>
      <c r="T152" s="168"/>
      <c r="U152" s="168"/>
      <c r="V152" s="168"/>
      <c r="W152" s="168"/>
      <c r="X152" s="168"/>
      <c r="Y152" s="168"/>
      <c r="Z152" s="168"/>
    </row>
    <row r="153" customFormat="false" ht="15.75" hidden="false" customHeight="false" outlineLevel="0" collapsed="false">
      <c r="A153" s="168"/>
      <c r="B153" s="168"/>
      <c r="C153" s="168"/>
      <c r="D153" s="168"/>
      <c r="E153" s="168"/>
      <c r="F153" s="168"/>
      <c r="G153" s="168"/>
      <c r="H153" s="168"/>
      <c r="I153" s="168"/>
      <c r="J153" s="168"/>
      <c r="K153" s="168"/>
      <c r="L153" s="168"/>
      <c r="M153" s="168"/>
      <c r="N153" s="168"/>
      <c r="O153" s="168"/>
      <c r="P153" s="168"/>
      <c r="Q153" s="168"/>
      <c r="R153" s="168"/>
      <c r="S153" s="168"/>
      <c r="T153" s="168"/>
      <c r="U153" s="168"/>
      <c r="V153" s="168"/>
      <c r="W153" s="168"/>
      <c r="X153" s="168"/>
      <c r="Y153" s="168"/>
      <c r="Z153" s="168"/>
    </row>
    <row r="154" customFormat="false" ht="15.75" hidden="false" customHeight="false" outlineLevel="0" collapsed="false">
      <c r="A154" s="168"/>
      <c r="B154" s="168"/>
      <c r="C154" s="168"/>
      <c r="D154" s="168"/>
      <c r="E154" s="168"/>
      <c r="F154" s="168"/>
      <c r="G154" s="168"/>
      <c r="H154" s="168"/>
      <c r="I154" s="168"/>
      <c r="J154" s="168"/>
      <c r="K154" s="168"/>
      <c r="L154" s="168"/>
      <c r="M154" s="168"/>
      <c r="N154" s="168"/>
      <c r="O154" s="168"/>
      <c r="P154" s="168"/>
      <c r="Q154" s="168"/>
      <c r="R154" s="168"/>
      <c r="S154" s="168"/>
      <c r="T154" s="168"/>
      <c r="U154" s="168"/>
      <c r="V154" s="168"/>
      <c r="W154" s="168"/>
      <c r="X154" s="168"/>
      <c r="Y154" s="168"/>
      <c r="Z154" s="168"/>
    </row>
    <row r="155" customFormat="false" ht="15.75" hidden="false" customHeight="false" outlineLevel="0" collapsed="false">
      <c r="A155" s="168"/>
      <c r="B155" s="168"/>
      <c r="C155" s="168"/>
      <c r="D155" s="168"/>
      <c r="E155" s="168"/>
      <c r="F155" s="168"/>
      <c r="G155" s="168"/>
      <c r="H155" s="168"/>
      <c r="I155" s="168"/>
      <c r="J155" s="168"/>
      <c r="K155" s="168"/>
      <c r="L155" s="168"/>
      <c r="M155" s="168"/>
      <c r="N155" s="168"/>
      <c r="O155" s="168"/>
      <c r="P155" s="168"/>
      <c r="Q155" s="168"/>
      <c r="R155" s="168"/>
      <c r="S155" s="168"/>
      <c r="T155" s="168"/>
      <c r="U155" s="168"/>
      <c r="V155" s="168"/>
      <c r="W155" s="168"/>
      <c r="X155" s="168"/>
      <c r="Y155" s="168"/>
      <c r="Z155" s="168"/>
    </row>
    <row r="156" customFormat="false" ht="15.75" hidden="false" customHeight="false" outlineLevel="0" collapsed="false">
      <c r="A156" s="168"/>
      <c r="B156" s="168"/>
      <c r="C156" s="168"/>
      <c r="D156" s="168"/>
      <c r="E156" s="168"/>
      <c r="F156" s="168"/>
      <c r="G156" s="168"/>
      <c r="H156" s="168"/>
      <c r="I156" s="168"/>
      <c r="J156" s="168"/>
      <c r="K156" s="168"/>
      <c r="L156" s="168"/>
      <c r="M156" s="168"/>
      <c r="N156" s="168"/>
      <c r="O156" s="168"/>
      <c r="P156" s="168"/>
      <c r="Q156" s="168"/>
      <c r="R156" s="168"/>
      <c r="S156" s="168"/>
      <c r="T156" s="168"/>
      <c r="U156" s="168"/>
      <c r="V156" s="168"/>
      <c r="W156" s="168"/>
      <c r="X156" s="168"/>
      <c r="Y156" s="168"/>
      <c r="Z156" s="168"/>
    </row>
    <row r="157" customFormat="false" ht="15.75" hidden="false" customHeight="false" outlineLevel="0" collapsed="false">
      <c r="A157" s="168"/>
      <c r="B157" s="168"/>
      <c r="C157" s="168"/>
      <c r="D157" s="168"/>
      <c r="E157" s="168"/>
      <c r="F157" s="168"/>
      <c r="G157" s="168"/>
      <c r="H157" s="168"/>
      <c r="I157" s="168"/>
      <c r="J157" s="168"/>
      <c r="K157" s="168"/>
      <c r="L157" s="168"/>
      <c r="M157" s="168"/>
      <c r="N157" s="168"/>
      <c r="O157" s="168"/>
      <c r="P157" s="168"/>
      <c r="Q157" s="168"/>
      <c r="R157" s="168"/>
      <c r="S157" s="168"/>
      <c r="T157" s="168"/>
      <c r="U157" s="168"/>
      <c r="V157" s="168"/>
      <c r="W157" s="168"/>
      <c r="X157" s="168"/>
      <c r="Y157" s="168"/>
      <c r="Z157" s="168"/>
    </row>
    <row r="158" customFormat="false" ht="15.75" hidden="false" customHeight="false" outlineLevel="0" collapsed="false">
      <c r="A158" s="168"/>
      <c r="B158" s="168"/>
      <c r="C158" s="168"/>
      <c r="D158" s="168"/>
      <c r="E158" s="168"/>
      <c r="F158" s="168"/>
      <c r="G158" s="168"/>
      <c r="H158" s="168"/>
      <c r="I158" s="168"/>
      <c r="J158" s="168"/>
      <c r="K158" s="168"/>
      <c r="L158" s="168"/>
      <c r="M158" s="168"/>
      <c r="N158" s="168"/>
      <c r="O158" s="168"/>
      <c r="P158" s="168"/>
      <c r="Q158" s="168"/>
      <c r="R158" s="168"/>
      <c r="S158" s="168"/>
      <c r="T158" s="168"/>
      <c r="U158" s="168"/>
      <c r="V158" s="168"/>
      <c r="W158" s="168"/>
      <c r="X158" s="168"/>
      <c r="Y158" s="168"/>
      <c r="Z158" s="168"/>
    </row>
    <row r="159" customFormat="false" ht="15.75" hidden="false" customHeight="false" outlineLevel="0" collapsed="false">
      <c r="A159" s="168"/>
      <c r="B159" s="168"/>
      <c r="C159" s="168"/>
      <c r="D159" s="168"/>
      <c r="E159" s="168"/>
      <c r="F159" s="168"/>
      <c r="G159" s="168"/>
      <c r="H159" s="168"/>
      <c r="I159" s="168"/>
      <c r="J159" s="168"/>
      <c r="K159" s="168"/>
      <c r="L159" s="168"/>
      <c r="M159" s="168"/>
      <c r="N159" s="168"/>
      <c r="O159" s="168"/>
      <c r="P159" s="168"/>
      <c r="Q159" s="168"/>
      <c r="R159" s="168"/>
      <c r="S159" s="168"/>
      <c r="T159" s="168"/>
      <c r="U159" s="168"/>
      <c r="V159" s="168"/>
      <c r="W159" s="168"/>
      <c r="X159" s="168"/>
      <c r="Y159" s="168"/>
      <c r="Z159" s="168"/>
    </row>
    <row r="160" customFormat="false" ht="15.75" hidden="false" customHeight="false" outlineLevel="0" collapsed="false">
      <c r="A160" s="168"/>
      <c r="B160" s="168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8"/>
      <c r="O160" s="168"/>
      <c r="P160" s="168"/>
      <c r="Q160" s="168"/>
      <c r="R160" s="168"/>
      <c r="S160" s="168"/>
      <c r="T160" s="168"/>
      <c r="U160" s="168"/>
      <c r="V160" s="168"/>
      <c r="W160" s="168"/>
      <c r="X160" s="168"/>
      <c r="Y160" s="168"/>
      <c r="Z160" s="168"/>
    </row>
    <row r="161" customFormat="false" ht="15.75" hidden="false" customHeight="false" outlineLevel="0" collapsed="false">
      <c r="A161" s="168"/>
      <c r="B161" s="168"/>
      <c r="C161" s="168"/>
      <c r="D161" s="168"/>
      <c r="E161" s="168"/>
      <c r="F161" s="168"/>
      <c r="G161" s="168"/>
      <c r="H161" s="168"/>
      <c r="I161" s="168"/>
      <c r="J161" s="168"/>
      <c r="K161" s="168"/>
      <c r="L161" s="168"/>
      <c r="M161" s="168"/>
      <c r="N161" s="168"/>
      <c r="O161" s="168"/>
      <c r="P161" s="168"/>
      <c r="Q161" s="168"/>
      <c r="R161" s="168"/>
      <c r="S161" s="168"/>
      <c r="T161" s="168"/>
      <c r="U161" s="168"/>
      <c r="V161" s="168"/>
      <c r="W161" s="168"/>
      <c r="X161" s="168"/>
      <c r="Y161" s="168"/>
      <c r="Z161" s="168"/>
    </row>
    <row r="162" customFormat="false" ht="15.75" hidden="false" customHeight="false" outlineLevel="0" collapsed="false">
      <c r="A162" s="168"/>
      <c r="B162" s="168"/>
      <c r="C162" s="168"/>
      <c r="D162" s="168"/>
      <c r="E162" s="168"/>
      <c r="F162" s="168"/>
      <c r="G162" s="168"/>
      <c r="H162" s="168"/>
      <c r="I162" s="168"/>
      <c r="J162" s="168"/>
      <c r="K162" s="168"/>
      <c r="L162" s="168"/>
      <c r="M162" s="168"/>
      <c r="N162" s="168"/>
      <c r="O162" s="168"/>
      <c r="P162" s="168"/>
      <c r="Q162" s="168"/>
      <c r="R162" s="168"/>
      <c r="S162" s="168"/>
      <c r="T162" s="168"/>
      <c r="U162" s="168"/>
      <c r="V162" s="168"/>
      <c r="W162" s="168"/>
      <c r="X162" s="168"/>
      <c r="Y162" s="168"/>
      <c r="Z162" s="168"/>
    </row>
    <row r="163" customFormat="false" ht="15.75" hidden="false" customHeight="false" outlineLevel="0" collapsed="false">
      <c r="A163" s="168"/>
      <c r="B163" s="168"/>
      <c r="C163" s="168"/>
      <c r="D163" s="168"/>
      <c r="E163" s="168"/>
      <c r="F163" s="168"/>
      <c r="G163" s="168"/>
      <c r="H163" s="168"/>
      <c r="I163" s="168"/>
      <c r="J163" s="168"/>
      <c r="K163" s="168"/>
      <c r="L163" s="168"/>
      <c r="M163" s="168"/>
      <c r="N163" s="168"/>
      <c r="O163" s="168"/>
      <c r="P163" s="168"/>
      <c r="Q163" s="168"/>
      <c r="R163" s="168"/>
      <c r="S163" s="168"/>
      <c r="T163" s="168"/>
      <c r="U163" s="168"/>
      <c r="V163" s="168"/>
      <c r="W163" s="168"/>
      <c r="X163" s="168"/>
      <c r="Y163" s="168"/>
      <c r="Z163" s="168"/>
    </row>
    <row r="164" customFormat="false" ht="15.75" hidden="false" customHeight="false" outlineLevel="0" collapsed="false">
      <c r="A164" s="168"/>
      <c r="B164" s="168"/>
      <c r="C164" s="168"/>
      <c r="D164" s="168"/>
      <c r="E164" s="168"/>
      <c r="F164" s="168"/>
      <c r="G164" s="168"/>
      <c r="H164" s="168"/>
      <c r="I164" s="168"/>
      <c r="J164" s="168"/>
      <c r="K164" s="168"/>
      <c r="L164" s="168"/>
      <c r="M164" s="168"/>
      <c r="N164" s="168"/>
      <c r="O164" s="168"/>
      <c r="P164" s="168"/>
      <c r="Q164" s="168"/>
      <c r="R164" s="168"/>
      <c r="S164" s="168"/>
      <c r="T164" s="168"/>
      <c r="U164" s="168"/>
      <c r="V164" s="168"/>
      <c r="W164" s="168"/>
      <c r="X164" s="168"/>
      <c r="Y164" s="168"/>
      <c r="Z164" s="168"/>
    </row>
    <row r="165" customFormat="false" ht="15.75" hidden="false" customHeight="false" outlineLevel="0" collapsed="false">
      <c r="A165" s="168"/>
      <c r="B165" s="168"/>
      <c r="C165" s="168"/>
      <c r="D165" s="168"/>
      <c r="E165" s="168"/>
      <c r="F165" s="168"/>
      <c r="G165" s="168"/>
      <c r="H165" s="168"/>
      <c r="I165" s="168"/>
      <c r="J165" s="168"/>
      <c r="K165" s="168"/>
      <c r="L165" s="168"/>
      <c r="M165" s="168"/>
      <c r="N165" s="168"/>
      <c r="O165" s="168"/>
      <c r="P165" s="168"/>
      <c r="Q165" s="168"/>
      <c r="R165" s="168"/>
      <c r="S165" s="168"/>
      <c r="T165" s="168"/>
      <c r="U165" s="168"/>
      <c r="V165" s="168"/>
      <c r="W165" s="168"/>
      <c r="X165" s="168"/>
      <c r="Y165" s="168"/>
      <c r="Z165" s="168"/>
    </row>
    <row r="166" customFormat="false" ht="15.75" hidden="false" customHeight="false" outlineLevel="0" collapsed="false">
      <c r="A166" s="168"/>
      <c r="B166" s="168"/>
      <c r="C166" s="168"/>
      <c r="D166" s="168"/>
      <c r="E166" s="168"/>
      <c r="F166" s="168"/>
      <c r="G166" s="168"/>
      <c r="H166" s="168"/>
      <c r="I166" s="168"/>
      <c r="J166" s="168"/>
      <c r="K166" s="168"/>
      <c r="L166" s="168"/>
      <c r="M166" s="168"/>
      <c r="N166" s="168"/>
      <c r="O166" s="168"/>
      <c r="P166" s="168"/>
      <c r="Q166" s="168"/>
      <c r="R166" s="168"/>
      <c r="S166" s="168"/>
      <c r="T166" s="168"/>
      <c r="U166" s="168"/>
      <c r="V166" s="168"/>
      <c r="W166" s="168"/>
      <c r="X166" s="168"/>
      <c r="Y166" s="168"/>
      <c r="Z166" s="168"/>
    </row>
    <row r="167" customFormat="false" ht="15.75" hidden="false" customHeight="false" outlineLevel="0" collapsed="false">
      <c r="A167" s="168"/>
      <c r="B167" s="168"/>
      <c r="C167" s="168"/>
      <c r="D167" s="168"/>
      <c r="E167" s="168"/>
      <c r="F167" s="168"/>
      <c r="G167" s="168"/>
      <c r="H167" s="168"/>
      <c r="I167" s="168"/>
      <c r="J167" s="168"/>
      <c r="K167" s="168"/>
      <c r="L167" s="168"/>
      <c r="M167" s="168"/>
      <c r="N167" s="168"/>
      <c r="O167" s="168"/>
      <c r="P167" s="168"/>
      <c r="Q167" s="168"/>
      <c r="R167" s="168"/>
      <c r="S167" s="168"/>
      <c r="T167" s="168"/>
      <c r="U167" s="168"/>
      <c r="V167" s="168"/>
      <c r="W167" s="168"/>
      <c r="X167" s="168"/>
      <c r="Y167" s="168"/>
      <c r="Z167" s="168"/>
    </row>
    <row r="168" customFormat="false" ht="15.75" hidden="false" customHeight="false" outlineLevel="0" collapsed="false">
      <c r="A168" s="168"/>
      <c r="B168" s="168"/>
      <c r="C168" s="168"/>
      <c r="D168" s="168"/>
      <c r="E168" s="168"/>
      <c r="F168" s="168"/>
      <c r="G168" s="168"/>
      <c r="H168" s="168"/>
      <c r="I168" s="168"/>
      <c r="J168" s="168"/>
      <c r="K168" s="168"/>
      <c r="L168" s="168"/>
      <c r="M168" s="168"/>
      <c r="N168" s="168"/>
      <c r="O168" s="168"/>
      <c r="P168" s="168"/>
      <c r="Q168" s="168"/>
      <c r="R168" s="168"/>
      <c r="S168" s="168"/>
      <c r="T168" s="168"/>
      <c r="U168" s="168"/>
      <c r="V168" s="168"/>
      <c r="W168" s="168"/>
      <c r="X168" s="168"/>
      <c r="Y168" s="168"/>
      <c r="Z168" s="168"/>
    </row>
    <row r="169" customFormat="false" ht="15.75" hidden="false" customHeight="false" outlineLevel="0" collapsed="false">
      <c r="A169" s="168"/>
      <c r="B169" s="168"/>
      <c r="C169" s="168"/>
      <c r="D169" s="168"/>
      <c r="E169" s="168"/>
      <c r="F169" s="168"/>
      <c r="G169" s="168"/>
      <c r="H169" s="168"/>
      <c r="I169" s="168"/>
      <c r="J169" s="168"/>
      <c r="K169" s="168"/>
      <c r="L169" s="168"/>
      <c r="M169" s="168"/>
      <c r="N169" s="168"/>
      <c r="O169" s="168"/>
      <c r="P169" s="168"/>
      <c r="Q169" s="168"/>
      <c r="R169" s="168"/>
      <c r="S169" s="168"/>
      <c r="T169" s="168"/>
      <c r="U169" s="168"/>
      <c r="V169" s="168"/>
      <c r="W169" s="168"/>
      <c r="X169" s="168"/>
      <c r="Y169" s="168"/>
      <c r="Z169" s="168"/>
    </row>
    <row r="170" customFormat="false" ht="15.75" hidden="false" customHeight="false" outlineLevel="0" collapsed="false">
      <c r="A170" s="168"/>
      <c r="B170" s="168"/>
      <c r="C170" s="168"/>
      <c r="D170" s="168"/>
      <c r="E170" s="168"/>
      <c r="F170" s="168"/>
      <c r="G170" s="168"/>
      <c r="H170" s="168"/>
      <c r="I170" s="168"/>
      <c r="J170" s="168"/>
      <c r="K170" s="168"/>
      <c r="L170" s="168"/>
      <c r="M170" s="168"/>
      <c r="N170" s="168"/>
      <c r="O170" s="168"/>
      <c r="P170" s="168"/>
      <c r="Q170" s="168"/>
      <c r="R170" s="168"/>
      <c r="S170" s="168"/>
      <c r="T170" s="168"/>
      <c r="U170" s="168"/>
      <c r="V170" s="168"/>
      <c r="W170" s="168"/>
      <c r="X170" s="168"/>
      <c r="Y170" s="168"/>
      <c r="Z170" s="168"/>
    </row>
    <row r="171" customFormat="false" ht="15.75" hidden="false" customHeight="false" outlineLevel="0" collapsed="false">
      <c r="A171" s="168"/>
      <c r="B171" s="168"/>
      <c r="C171" s="168"/>
      <c r="D171" s="168"/>
      <c r="E171" s="168"/>
      <c r="F171" s="168"/>
      <c r="G171" s="168"/>
      <c r="H171" s="168"/>
      <c r="I171" s="168"/>
      <c r="J171" s="168"/>
      <c r="K171" s="168"/>
      <c r="L171" s="168"/>
      <c r="M171" s="168"/>
      <c r="N171" s="168"/>
      <c r="O171" s="168"/>
      <c r="P171" s="168"/>
      <c r="Q171" s="168"/>
      <c r="R171" s="168"/>
      <c r="S171" s="168"/>
      <c r="T171" s="168"/>
      <c r="U171" s="168"/>
      <c r="V171" s="168"/>
      <c r="W171" s="168"/>
      <c r="X171" s="168"/>
      <c r="Y171" s="168"/>
      <c r="Z171" s="168"/>
    </row>
    <row r="172" customFormat="false" ht="15.75" hidden="false" customHeight="false" outlineLevel="0" collapsed="false">
      <c r="A172" s="168"/>
      <c r="B172" s="168"/>
      <c r="C172" s="168"/>
      <c r="D172" s="168"/>
      <c r="E172" s="168"/>
      <c r="F172" s="168"/>
      <c r="G172" s="168"/>
      <c r="H172" s="168"/>
      <c r="I172" s="168"/>
      <c r="J172" s="168"/>
      <c r="K172" s="168"/>
      <c r="L172" s="168"/>
      <c r="M172" s="168"/>
      <c r="N172" s="168"/>
      <c r="O172" s="168"/>
      <c r="P172" s="168"/>
      <c r="Q172" s="168"/>
      <c r="R172" s="168"/>
      <c r="S172" s="168"/>
      <c r="T172" s="168"/>
      <c r="U172" s="168"/>
      <c r="V172" s="168"/>
      <c r="W172" s="168"/>
      <c r="X172" s="168"/>
      <c r="Y172" s="168"/>
      <c r="Z172" s="168"/>
    </row>
    <row r="173" customFormat="false" ht="15.75" hidden="false" customHeight="false" outlineLevel="0" collapsed="false">
      <c r="A173" s="168"/>
      <c r="B173" s="168"/>
      <c r="C173" s="168"/>
      <c r="D173" s="168"/>
      <c r="E173" s="168"/>
      <c r="F173" s="168"/>
      <c r="G173" s="168"/>
      <c r="H173" s="168"/>
      <c r="I173" s="168"/>
      <c r="J173" s="168"/>
      <c r="K173" s="168"/>
      <c r="L173" s="168"/>
      <c r="M173" s="168"/>
      <c r="N173" s="168"/>
      <c r="O173" s="168"/>
      <c r="P173" s="168"/>
      <c r="Q173" s="168"/>
      <c r="R173" s="168"/>
      <c r="S173" s="168"/>
      <c r="T173" s="168"/>
      <c r="U173" s="168"/>
      <c r="V173" s="168"/>
      <c r="W173" s="168"/>
      <c r="X173" s="168"/>
      <c r="Y173" s="168"/>
      <c r="Z173" s="168"/>
    </row>
    <row r="174" customFormat="false" ht="15.75" hidden="false" customHeight="false" outlineLevel="0" collapsed="false">
      <c r="A174" s="168"/>
      <c r="B174" s="168"/>
      <c r="C174" s="168"/>
      <c r="D174" s="168"/>
      <c r="E174" s="168"/>
      <c r="F174" s="168"/>
      <c r="G174" s="168"/>
      <c r="H174" s="168"/>
      <c r="I174" s="168"/>
      <c r="J174" s="168"/>
      <c r="K174" s="168"/>
      <c r="L174" s="168"/>
      <c r="M174" s="168"/>
      <c r="N174" s="168"/>
      <c r="O174" s="168"/>
      <c r="P174" s="168"/>
      <c r="Q174" s="168"/>
      <c r="R174" s="168"/>
      <c r="S174" s="168"/>
      <c r="T174" s="168"/>
      <c r="U174" s="168"/>
      <c r="V174" s="168"/>
      <c r="W174" s="168"/>
      <c r="X174" s="168"/>
      <c r="Y174" s="168"/>
      <c r="Z174" s="168"/>
    </row>
    <row r="175" customFormat="false" ht="15.75" hidden="false" customHeight="false" outlineLevel="0" collapsed="false">
      <c r="A175" s="168"/>
      <c r="B175" s="168"/>
      <c r="C175" s="168"/>
      <c r="D175" s="168"/>
      <c r="E175" s="168"/>
      <c r="F175" s="168"/>
      <c r="G175" s="168"/>
      <c r="H175" s="168"/>
      <c r="I175" s="168"/>
      <c r="J175" s="168"/>
      <c r="K175" s="168"/>
      <c r="L175" s="168"/>
      <c r="M175" s="168"/>
      <c r="N175" s="168"/>
      <c r="O175" s="168"/>
      <c r="P175" s="168"/>
      <c r="Q175" s="168"/>
      <c r="R175" s="168"/>
      <c r="S175" s="168"/>
      <c r="T175" s="168"/>
      <c r="U175" s="168"/>
      <c r="V175" s="168"/>
      <c r="W175" s="168"/>
      <c r="X175" s="168"/>
      <c r="Y175" s="168"/>
      <c r="Z175" s="168"/>
    </row>
    <row r="176" customFormat="false" ht="15.75" hidden="false" customHeight="false" outlineLevel="0" collapsed="false">
      <c r="A176" s="168"/>
      <c r="B176" s="168"/>
      <c r="C176" s="168"/>
      <c r="D176" s="168"/>
      <c r="E176" s="168"/>
      <c r="F176" s="168"/>
      <c r="G176" s="168"/>
      <c r="H176" s="168"/>
      <c r="I176" s="168"/>
      <c r="J176" s="168"/>
      <c r="K176" s="168"/>
      <c r="L176" s="168"/>
      <c r="M176" s="168"/>
      <c r="N176" s="168"/>
      <c r="O176" s="168"/>
      <c r="P176" s="168"/>
      <c r="Q176" s="168"/>
      <c r="R176" s="168"/>
      <c r="S176" s="168"/>
      <c r="T176" s="168"/>
      <c r="U176" s="168"/>
      <c r="V176" s="168"/>
      <c r="W176" s="168"/>
      <c r="X176" s="168"/>
      <c r="Y176" s="168"/>
      <c r="Z176" s="168"/>
    </row>
    <row r="177" customFormat="false" ht="15.75" hidden="false" customHeight="false" outlineLevel="0" collapsed="false">
      <c r="A177" s="168"/>
      <c r="B177" s="168"/>
      <c r="C177" s="168"/>
      <c r="D177" s="168"/>
      <c r="E177" s="168"/>
      <c r="F177" s="168"/>
      <c r="G177" s="168"/>
      <c r="H177" s="168"/>
      <c r="I177" s="168"/>
      <c r="J177" s="168"/>
      <c r="K177" s="168"/>
      <c r="L177" s="168"/>
      <c r="M177" s="168"/>
      <c r="N177" s="168"/>
      <c r="O177" s="168"/>
      <c r="P177" s="168"/>
      <c r="Q177" s="168"/>
      <c r="R177" s="168"/>
      <c r="S177" s="168"/>
      <c r="T177" s="168"/>
      <c r="U177" s="168"/>
      <c r="V177" s="168"/>
      <c r="W177" s="168"/>
      <c r="X177" s="168"/>
      <c r="Y177" s="168"/>
      <c r="Z177" s="168"/>
    </row>
    <row r="178" customFormat="false" ht="15.75" hidden="false" customHeight="false" outlineLevel="0" collapsed="false">
      <c r="A178" s="168"/>
      <c r="B178" s="168"/>
      <c r="C178" s="168"/>
      <c r="D178" s="168"/>
      <c r="E178" s="168"/>
      <c r="F178" s="168"/>
      <c r="G178" s="168"/>
      <c r="H178" s="168"/>
      <c r="I178" s="168"/>
      <c r="J178" s="168"/>
      <c r="K178" s="168"/>
      <c r="L178" s="168"/>
      <c r="M178" s="168"/>
      <c r="N178" s="168"/>
      <c r="O178" s="168"/>
      <c r="P178" s="168"/>
      <c r="Q178" s="168"/>
      <c r="R178" s="168"/>
      <c r="S178" s="168"/>
      <c r="T178" s="168"/>
      <c r="U178" s="168"/>
      <c r="V178" s="168"/>
      <c r="W178" s="168"/>
      <c r="X178" s="168"/>
      <c r="Y178" s="168"/>
      <c r="Z178" s="168"/>
    </row>
    <row r="179" customFormat="false" ht="15.75" hidden="false" customHeight="false" outlineLevel="0" collapsed="false">
      <c r="A179" s="168"/>
      <c r="B179" s="168"/>
      <c r="C179" s="168"/>
      <c r="D179" s="168"/>
      <c r="E179" s="168"/>
      <c r="F179" s="168"/>
      <c r="G179" s="168"/>
      <c r="H179" s="168"/>
      <c r="I179" s="168"/>
      <c r="J179" s="168"/>
      <c r="K179" s="168"/>
      <c r="L179" s="168"/>
      <c r="M179" s="168"/>
      <c r="N179" s="168"/>
      <c r="O179" s="168"/>
      <c r="P179" s="168"/>
      <c r="Q179" s="168"/>
      <c r="R179" s="168"/>
      <c r="S179" s="168"/>
      <c r="T179" s="168"/>
      <c r="U179" s="168"/>
      <c r="V179" s="168"/>
      <c r="W179" s="168"/>
      <c r="X179" s="168"/>
      <c r="Y179" s="168"/>
      <c r="Z179" s="168"/>
    </row>
    <row r="180" customFormat="false" ht="15.75" hidden="false" customHeight="false" outlineLevel="0" collapsed="false">
      <c r="A180" s="168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</row>
    <row r="181" customFormat="false" ht="15.75" hidden="false" customHeight="false" outlineLevel="0" collapsed="false">
      <c r="A181" s="168"/>
      <c r="B181" s="168"/>
      <c r="C181" s="168"/>
      <c r="D181" s="168"/>
      <c r="E181" s="168"/>
      <c r="F181" s="168"/>
      <c r="G181" s="168"/>
      <c r="H181" s="168"/>
      <c r="I181" s="168"/>
      <c r="J181" s="168"/>
      <c r="K181" s="168"/>
      <c r="L181" s="168"/>
      <c r="M181" s="168"/>
      <c r="N181" s="168"/>
      <c r="O181" s="168"/>
      <c r="P181" s="168"/>
      <c r="Q181" s="168"/>
      <c r="R181" s="168"/>
      <c r="S181" s="168"/>
      <c r="T181" s="168"/>
      <c r="U181" s="168"/>
      <c r="V181" s="168"/>
      <c r="W181" s="168"/>
      <c r="X181" s="168"/>
      <c r="Y181" s="168"/>
      <c r="Z181" s="168"/>
    </row>
    <row r="182" customFormat="false" ht="15.75" hidden="false" customHeight="false" outlineLevel="0" collapsed="false">
      <c r="A182" s="168"/>
      <c r="B182" s="168"/>
      <c r="C182" s="168"/>
      <c r="D182" s="168"/>
      <c r="E182" s="168"/>
      <c r="F182" s="168"/>
      <c r="G182" s="168"/>
      <c r="H182" s="168"/>
      <c r="I182" s="168"/>
      <c r="J182" s="168"/>
      <c r="K182" s="168"/>
      <c r="L182" s="168"/>
      <c r="M182" s="168"/>
      <c r="N182" s="168"/>
      <c r="O182" s="168"/>
      <c r="P182" s="168"/>
      <c r="Q182" s="168"/>
      <c r="R182" s="168"/>
      <c r="S182" s="168"/>
      <c r="T182" s="168"/>
      <c r="U182" s="168"/>
      <c r="V182" s="168"/>
      <c r="W182" s="168"/>
      <c r="X182" s="168"/>
      <c r="Y182" s="168"/>
      <c r="Z182" s="168"/>
    </row>
    <row r="183" customFormat="false" ht="15.75" hidden="false" customHeight="false" outlineLevel="0" collapsed="false">
      <c r="A183" s="168"/>
      <c r="B183" s="168"/>
      <c r="C183" s="168"/>
      <c r="D183" s="168"/>
      <c r="E183" s="168"/>
      <c r="F183" s="168"/>
      <c r="G183" s="168"/>
      <c r="H183" s="168"/>
      <c r="I183" s="168"/>
      <c r="J183" s="168"/>
      <c r="K183" s="168"/>
      <c r="L183" s="168"/>
      <c r="M183" s="168"/>
      <c r="N183" s="168"/>
      <c r="O183" s="168"/>
      <c r="P183" s="168"/>
      <c r="Q183" s="168"/>
      <c r="R183" s="168"/>
      <c r="S183" s="168"/>
      <c r="T183" s="168"/>
      <c r="U183" s="168"/>
      <c r="V183" s="168"/>
      <c r="W183" s="168"/>
      <c r="X183" s="168"/>
      <c r="Y183" s="168"/>
      <c r="Z183" s="168"/>
    </row>
    <row r="184" customFormat="false" ht="15.75" hidden="false" customHeight="false" outlineLevel="0" collapsed="false">
      <c r="A184" s="168"/>
      <c r="B184" s="168"/>
      <c r="C184" s="168"/>
      <c r="D184" s="168"/>
      <c r="E184" s="168"/>
      <c r="F184" s="168"/>
      <c r="G184" s="168"/>
      <c r="H184" s="168"/>
      <c r="I184" s="168"/>
      <c r="J184" s="168"/>
      <c r="K184" s="168"/>
      <c r="L184" s="168"/>
      <c r="M184" s="168"/>
      <c r="N184" s="168"/>
      <c r="O184" s="168"/>
      <c r="P184" s="168"/>
      <c r="Q184" s="168"/>
      <c r="R184" s="168"/>
      <c r="S184" s="168"/>
      <c r="T184" s="168"/>
      <c r="U184" s="168"/>
      <c r="V184" s="168"/>
      <c r="W184" s="168"/>
      <c r="X184" s="168"/>
      <c r="Y184" s="168"/>
      <c r="Z184" s="168"/>
    </row>
    <row r="185" customFormat="false" ht="15.75" hidden="false" customHeight="false" outlineLevel="0" collapsed="false">
      <c r="A185" s="168"/>
      <c r="B185" s="168"/>
      <c r="C185" s="168"/>
      <c r="D185" s="168"/>
      <c r="E185" s="168"/>
      <c r="F185" s="168"/>
      <c r="G185" s="168"/>
      <c r="H185" s="168"/>
      <c r="I185" s="168"/>
      <c r="J185" s="168"/>
      <c r="K185" s="168"/>
      <c r="L185" s="168"/>
      <c r="M185" s="168"/>
      <c r="N185" s="168"/>
      <c r="O185" s="168"/>
      <c r="P185" s="168"/>
      <c r="Q185" s="168"/>
      <c r="R185" s="168"/>
      <c r="S185" s="168"/>
      <c r="T185" s="168"/>
      <c r="U185" s="168"/>
      <c r="V185" s="168"/>
      <c r="W185" s="168"/>
      <c r="X185" s="168"/>
      <c r="Y185" s="168"/>
      <c r="Z185" s="168"/>
    </row>
    <row r="186" customFormat="false" ht="15.75" hidden="false" customHeight="false" outlineLevel="0" collapsed="false">
      <c r="A186" s="168"/>
      <c r="B186" s="168"/>
      <c r="C186" s="168"/>
      <c r="D186" s="168"/>
      <c r="E186" s="168"/>
      <c r="F186" s="168"/>
      <c r="G186" s="168"/>
      <c r="H186" s="168"/>
      <c r="I186" s="168"/>
      <c r="J186" s="168"/>
      <c r="K186" s="168"/>
      <c r="L186" s="168"/>
      <c r="M186" s="168"/>
      <c r="N186" s="168"/>
      <c r="O186" s="168"/>
      <c r="P186" s="168"/>
      <c r="Q186" s="168"/>
      <c r="R186" s="168"/>
      <c r="S186" s="168"/>
      <c r="T186" s="168"/>
      <c r="U186" s="168"/>
      <c r="V186" s="168"/>
      <c r="W186" s="168"/>
      <c r="X186" s="168"/>
      <c r="Y186" s="168"/>
      <c r="Z186" s="168"/>
    </row>
    <row r="187" customFormat="false" ht="15.75" hidden="false" customHeight="false" outlineLevel="0" collapsed="false">
      <c r="A187" s="168"/>
      <c r="B187" s="168"/>
      <c r="C187" s="168"/>
      <c r="D187" s="168"/>
      <c r="E187" s="168"/>
      <c r="F187" s="168"/>
      <c r="G187" s="168"/>
      <c r="H187" s="168"/>
      <c r="I187" s="168"/>
      <c r="J187" s="168"/>
      <c r="K187" s="168"/>
      <c r="L187" s="168"/>
      <c r="M187" s="168"/>
      <c r="N187" s="168"/>
      <c r="O187" s="168"/>
      <c r="P187" s="168"/>
      <c r="Q187" s="168"/>
      <c r="R187" s="168"/>
      <c r="S187" s="168"/>
      <c r="T187" s="168"/>
      <c r="U187" s="168"/>
      <c r="V187" s="168"/>
      <c r="W187" s="168"/>
      <c r="X187" s="168"/>
      <c r="Y187" s="168"/>
      <c r="Z187" s="168"/>
    </row>
    <row r="188" customFormat="false" ht="15.75" hidden="false" customHeight="false" outlineLevel="0" collapsed="false">
      <c r="A188" s="168"/>
      <c r="B188" s="168"/>
      <c r="C188" s="168"/>
      <c r="D188" s="168"/>
      <c r="E188" s="168"/>
      <c r="F188" s="168"/>
      <c r="G188" s="168"/>
      <c r="H188" s="168"/>
      <c r="I188" s="168"/>
      <c r="J188" s="168"/>
      <c r="K188" s="168"/>
      <c r="L188" s="168"/>
      <c r="M188" s="168"/>
      <c r="N188" s="168"/>
      <c r="O188" s="168"/>
      <c r="P188" s="168"/>
      <c r="Q188" s="168"/>
      <c r="R188" s="168"/>
      <c r="S188" s="168"/>
      <c r="T188" s="168"/>
      <c r="U188" s="168"/>
      <c r="V188" s="168"/>
      <c r="W188" s="168"/>
      <c r="X188" s="168"/>
      <c r="Y188" s="168"/>
      <c r="Z188" s="168"/>
    </row>
    <row r="189" customFormat="false" ht="15.75" hidden="false" customHeight="false" outlineLevel="0" collapsed="false">
      <c r="A189" s="168"/>
      <c r="B189" s="168"/>
      <c r="C189" s="168"/>
      <c r="D189" s="168"/>
      <c r="E189" s="168"/>
      <c r="F189" s="168"/>
      <c r="G189" s="168"/>
      <c r="H189" s="168"/>
      <c r="I189" s="168"/>
      <c r="J189" s="168"/>
      <c r="K189" s="168"/>
      <c r="L189" s="168"/>
      <c r="M189" s="168"/>
      <c r="N189" s="168"/>
      <c r="O189" s="168"/>
      <c r="P189" s="168"/>
      <c r="Q189" s="168"/>
      <c r="R189" s="168"/>
      <c r="S189" s="168"/>
      <c r="T189" s="168"/>
      <c r="U189" s="168"/>
      <c r="V189" s="168"/>
      <c r="W189" s="168"/>
      <c r="X189" s="168"/>
      <c r="Y189" s="168"/>
      <c r="Z189" s="168"/>
    </row>
    <row r="190" customFormat="false" ht="15.75" hidden="false" customHeight="false" outlineLevel="0" collapsed="false">
      <c r="A190" s="168"/>
      <c r="B190" s="168"/>
      <c r="C190" s="168"/>
      <c r="D190" s="168"/>
      <c r="E190" s="168"/>
      <c r="F190" s="168"/>
      <c r="G190" s="168"/>
      <c r="H190" s="168"/>
      <c r="I190" s="168"/>
      <c r="J190" s="168"/>
      <c r="K190" s="168"/>
      <c r="L190" s="168"/>
      <c r="M190" s="168"/>
      <c r="N190" s="168"/>
      <c r="O190" s="168"/>
      <c r="P190" s="168"/>
      <c r="Q190" s="168"/>
      <c r="R190" s="168"/>
      <c r="S190" s="168"/>
      <c r="T190" s="168"/>
      <c r="U190" s="168"/>
      <c r="V190" s="168"/>
      <c r="W190" s="168"/>
      <c r="X190" s="168"/>
      <c r="Y190" s="168"/>
      <c r="Z190" s="168"/>
    </row>
    <row r="191" customFormat="false" ht="15.75" hidden="false" customHeight="false" outlineLevel="0" collapsed="false">
      <c r="A191" s="168"/>
      <c r="B191" s="168"/>
      <c r="C191" s="168"/>
      <c r="D191" s="168"/>
      <c r="E191" s="168"/>
      <c r="F191" s="168"/>
      <c r="G191" s="168"/>
      <c r="H191" s="168"/>
      <c r="I191" s="168"/>
      <c r="J191" s="168"/>
      <c r="K191" s="168"/>
      <c r="L191" s="168"/>
      <c r="M191" s="168"/>
      <c r="N191" s="168"/>
      <c r="O191" s="168"/>
      <c r="P191" s="168"/>
      <c r="Q191" s="168"/>
      <c r="R191" s="168"/>
      <c r="S191" s="168"/>
      <c r="T191" s="168"/>
      <c r="U191" s="168"/>
      <c r="V191" s="168"/>
      <c r="W191" s="168"/>
      <c r="X191" s="168"/>
      <c r="Y191" s="168"/>
      <c r="Z191" s="168"/>
    </row>
    <row r="192" customFormat="false" ht="15.75" hidden="false" customHeight="false" outlineLevel="0" collapsed="false">
      <c r="A192" s="168"/>
      <c r="B192" s="168"/>
      <c r="C192" s="168"/>
      <c r="D192" s="168"/>
      <c r="E192" s="168"/>
      <c r="F192" s="168"/>
      <c r="G192" s="168"/>
      <c r="H192" s="168"/>
      <c r="I192" s="168"/>
      <c r="J192" s="168"/>
      <c r="K192" s="168"/>
      <c r="L192" s="168"/>
      <c r="M192" s="168"/>
      <c r="N192" s="168"/>
      <c r="O192" s="168"/>
      <c r="P192" s="168"/>
      <c r="Q192" s="168"/>
      <c r="R192" s="168"/>
      <c r="S192" s="168"/>
      <c r="T192" s="168"/>
      <c r="U192" s="168"/>
      <c r="V192" s="168"/>
      <c r="W192" s="168"/>
      <c r="X192" s="168"/>
      <c r="Y192" s="168"/>
      <c r="Z192" s="168"/>
    </row>
    <row r="193" customFormat="false" ht="15.75" hidden="false" customHeight="false" outlineLevel="0" collapsed="false">
      <c r="A193" s="168"/>
      <c r="B193" s="168"/>
      <c r="C193" s="168"/>
      <c r="D193" s="168"/>
      <c r="E193" s="168"/>
      <c r="F193" s="168"/>
      <c r="G193" s="168"/>
      <c r="H193" s="168"/>
      <c r="I193" s="168"/>
      <c r="J193" s="168"/>
      <c r="K193" s="168"/>
      <c r="L193" s="168"/>
      <c r="M193" s="168"/>
      <c r="N193" s="168"/>
      <c r="O193" s="168"/>
      <c r="P193" s="168"/>
      <c r="Q193" s="168"/>
      <c r="R193" s="168"/>
      <c r="S193" s="168"/>
      <c r="T193" s="168"/>
      <c r="U193" s="168"/>
      <c r="V193" s="168"/>
      <c r="W193" s="168"/>
      <c r="X193" s="168"/>
      <c r="Y193" s="168"/>
      <c r="Z193" s="168"/>
    </row>
    <row r="194" customFormat="false" ht="15.75" hidden="false" customHeight="false" outlineLevel="0" collapsed="false">
      <c r="A194" s="168"/>
      <c r="B194" s="168"/>
      <c r="C194" s="168"/>
      <c r="D194" s="168"/>
      <c r="E194" s="168"/>
      <c r="F194" s="168"/>
      <c r="G194" s="168"/>
      <c r="H194" s="168"/>
      <c r="I194" s="168"/>
      <c r="J194" s="168"/>
      <c r="K194" s="168"/>
      <c r="L194" s="168"/>
      <c r="M194" s="168"/>
      <c r="N194" s="168"/>
      <c r="O194" s="168"/>
      <c r="P194" s="168"/>
      <c r="Q194" s="168"/>
      <c r="R194" s="168"/>
      <c r="S194" s="168"/>
      <c r="T194" s="168"/>
      <c r="U194" s="168"/>
      <c r="V194" s="168"/>
      <c r="W194" s="168"/>
      <c r="X194" s="168"/>
      <c r="Y194" s="168"/>
      <c r="Z194" s="168"/>
    </row>
    <row r="195" customFormat="false" ht="15.75" hidden="false" customHeight="false" outlineLevel="0" collapsed="false">
      <c r="A195" s="168"/>
      <c r="B195" s="168"/>
      <c r="C195" s="168"/>
      <c r="D195" s="168"/>
      <c r="E195" s="168"/>
      <c r="F195" s="168"/>
      <c r="G195" s="168"/>
      <c r="H195" s="168"/>
      <c r="I195" s="168"/>
      <c r="J195" s="168"/>
      <c r="K195" s="168"/>
      <c r="L195" s="168"/>
      <c r="M195" s="168"/>
      <c r="N195" s="168"/>
      <c r="O195" s="168"/>
      <c r="P195" s="168"/>
      <c r="Q195" s="168"/>
      <c r="R195" s="168"/>
      <c r="S195" s="168"/>
      <c r="T195" s="168"/>
      <c r="U195" s="168"/>
      <c r="V195" s="168"/>
      <c r="W195" s="168"/>
      <c r="X195" s="168"/>
      <c r="Y195" s="168"/>
      <c r="Z195" s="168"/>
    </row>
    <row r="196" customFormat="false" ht="15.75" hidden="false" customHeight="false" outlineLevel="0" collapsed="false">
      <c r="A196" s="168"/>
      <c r="B196" s="168"/>
      <c r="C196" s="168"/>
      <c r="D196" s="168"/>
      <c r="E196" s="168"/>
      <c r="F196" s="168"/>
      <c r="G196" s="168"/>
      <c r="H196" s="168"/>
      <c r="I196" s="168"/>
      <c r="J196" s="168"/>
      <c r="K196" s="168"/>
      <c r="L196" s="168"/>
      <c r="M196" s="168"/>
      <c r="N196" s="168"/>
      <c r="O196" s="168"/>
      <c r="P196" s="168"/>
      <c r="Q196" s="168"/>
      <c r="R196" s="168"/>
      <c r="S196" s="168"/>
      <c r="T196" s="168"/>
      <c r="U196" s="168"/>
      <c r="V196" s="168"/>
      <c r="W196" s="168"/>
      <c r="X196" s="168"/>
      <c r="Y196" s="168"/>
      <c r="Z196" s="168"/>
    </row>
    <row r="197" customFormat="false" ht="15.75" hidden="false" customHeight="false" outlineLevel="0" collapsed="false">
      <c r="A197" s="168"/>
      <c r="B197" s="168"/>
      <c r="C197" s="168"/>
      <c r="D197" s="168"/>
      <c r="E197" s="168"/>
      <c r="F197" s="168"/>
      <c r="G197" s="168"/>
      <c r="H197" s="168"/>
      <c r="I197" s="168"/>
      <c r="J197" s="168"/>
      <c r="K197" s="168"/>
      <c r="L197" s="168"/>
      <c r="M197" s="168"/>
      <c r="N197" s="168"/>
      <c r="O197" s="168"/>
      <c r="P197" s="168"/>
      <c r="Q197" s="168"/>
      <c r="R197" s="168"/>
      <c r="S197" s="168"/>
      <c r="T197" s="168"/>
      <c r="U197" s="168"/>
      <c r="V197" s="168"/>
      <c r="W197" s="168"/>
      <c r="X197" s="168"/>
      <c r="Y197" s="168"/>
      <c r="Z197" s="168"/>
    </row>
    <row r="198" customFormat="false" ht="15.75" hidden="false" customHeight="false" outlineLevel="0" collapsed="false">
      <c r="A198" s="168"/>
      <c r="B198" s="168"/>
      <c r="C198" s="168"/>
      <c r="D198" s="168"/>
      <c r="E198" s="168"/>
      <c r="F198" s="168"/>
      <c r="G198" s="168"/>
      <c r="H198" s="168"/>
      <c r="I198" s="168"/>
      <c r="J198" s="168"/>
      <c r="K198" s="168"/>
      <c r="L198" s="168"/>
      <c r="M198" s="168"/>
      <c r="N198" s="168"/>
      <c r="O198" s="168"/>
      <c r="P198" s="168"/>
      <c r="Q198" s="168"/>
      <c r="R198" s="168"/>
      <c r="S198" s="168"/>
      <c r="T198" s="168"/>
      <c r="U198" s="168"/>
      <c r="V198" s="168"/>
      <c r="W198" s="168"/>
      <c r="X198" s="168"/>
      <c r="Y198" s="168"/>
      <c r="Z198" s="168"/>
    </row>
    <row r="199" customFormat="false" ht="15.75" hidden="false" customHeight="false" outlineLevel="0" collapsed="false">
      <c r="A199" s="168"/>
      <c r="B199" s="168"/>
      <c r="C199" s="168"/>
      <c r="D199" s="168"/>
      <c r="E199" s="168"/>
      <c r="F199" s="168"/>
      <c r="G199" s="168"/>
      <c r="H199" s="168"/>
      <c r="I199" s="168"/>
      <c r="J199" s="168"/>
      <c r="K199" s="168"/>
      <c r="L199" s="168"/>
      <c r="M199" s="168"/>
      <c r="N199" s="168"/>
      <c r="O199" s="168"/>
      <c r="P199" s="168"/>
      <c r="Q199" s="168"/>
      <c r="R199" s="168"/>
      <c r="S199" s="168"/>
      <c r="T199" s="168"/>
      <c r="U199" s="168"/>
      <c r="V199" s="168"/>
      <c r="W199" s="168"/>
      <c r="X199" s="168"/>
      <c r="Y199" s="168"/>
      <c r="Z199" s="168"/>
    </row>
    <row r="200" customFormat="false" ht="15.75" hidden="false" customHeight="false" outlineLevel="0" collapsed="false">
      <c r="A200" s="168"/>
      <c r="B200" s="168"/>
      <c r="C200" s="168"/>
      <c r="D200" s="168"/>
      <c r="E200" s="168"/>
      <c r="F200" s="168"/>
      <c r="G200" s="168"/>
      <c r="H200" s="168"/>
      <c r="I200" s="168"/>
      <c r="J200" s="168"/>
      <c r="K200" s="168"/>
      <c r="L200" s="168"/>
      <c r="M200" s="168"/>
      <c r="N200" s="168"/>
      <c r="O200" s="168"/>
      <c r="P200" s="168"/>
      <c r="Q200" s="168"/>
      <c r="R200" s="168"/>
      <c r="S200" s="168"/>
      <c r="T200" s="168"/>
      <c r="U200" s="168"/>
      <c r="V200" s="168"/>
      <c r="W200" s="168"/>
      <c r="X200" s="168"/>
      <c r="Y200" s="168"/>
      <c r="Z200" s="168"/>
    </row>
    <row r="201" customFormat="false" ht="15.75" hidden="false" customHeight="false" outlineLevel="0" collapsed="false">
      <c r="A201" s="168"/>
      <c r="B201" s="168"/>
      <c r="C201" s="168"/>
      <c r="D201" s="168"/>
      <c r="E201" s="168"/>
      <c r="F201" s="168"/>
      <c r="G201" s="168"/>
      <c r="H201" s="168"/>
      <c r="I201" s="168"/>
      <c r="J201" s="168"/>
      <c r="K201" s="168"/>
      <c r="L201" s="168"/>
      <c r="M201" s="168"/>
      <c r="N201" s="168"/>
      <c r="O201" s="168"/>
      <c r="P201" s="168"/>
      <c r="Q201" s="168"/>
      <c r="R201" s="168"/>
      <c r="S201" s="168"/>
      <c r="T201" s="168"/>
      <c r="U201" s="168"/>
      <c r="V201" s="168"/>
      <c r="W201" s="168"/>
      <c r="X201" s="168"/>
      <c r="Y201" s="168"/>
      <c r="Z201" s="168"/>
    </row>
    <row r="202" customFormat="false" ht="15.75" hidden="false" customHeight="false" outlineLevel="0" collapsed="false">
      <c r="A202" s="168"/>
      <c r="B202" s="168"/>
      <c r="C202" s="168"/>
      <c r="D202" s="168"/>
      <c r="E202" s="168"/>
      <c r="F202" s="168"/>
      <c r="G202" s="168"/>
      <c r="H202" s="168"/>
      <c r="I202" s="168"/>
      <c r="J202" s="168"/>
      <c r="K202" s="168"/>
      <c r="L202" s="168"/>
      <c r="M202" s="168"/>
      <c r="N202" s="168"/>
      <c r="O202" s="168"/>
      <c r="P202" s="168"/>
      <c r="Q202" s="168"/>
      <c r="R202" s="168"/>
      <c r="S202" s="168"/>
      <c r="T202" s="168"/>
      <c r="U202" s="168"/>
      <c r="V202" s="168"/>
      <c r="W202" s="168"/>
      <c r="X202" s="168"/>
      <c r="Y202" s="168"/>
      <c r="Z202" s="168"/>
    </row>
    <row r="203" customFormat="false" ht="15.75" hidden="false" customHeight="false" outlineLevel="0" collapsed="false">
      <c r="A203" s="168"/>
      <c r="B203" s="168"/>
      <c r="C203" s="168"/>
      <c r="D203" s="168"/>
      <c r="E203" s="168"/>
      <c r="F203" s="168"/>
      <c r="G203" s="168"/>
      <c r="H203" s="168"/>
      <c r="I203" s="168"/>
      <c r="J203" s="168"/>
      <c r="K203" s="168"/>
      <c r="L203" s="168"/>
      <c r="M203" s="168"/>
      <c r="N203" s="168"/>
      <c r="O203" s="168"/>
      <c r="P203" s="168"/>
      <c r="Q203" s="168"/>
      <c r="R203" s="168"/>
      <c r="S203" s="168"/>
      <c r="T203" s="168"/>
      <c r="U203" s="168"/>
      <c r="V203" s="168"/>
      <c r="W203" s="168"/>
      <c r="X203" s="168"/>
      <c r="Y203" s="168"/>
      <c r="Z203" s="168"/>
    </row>
    <row r="204" customFormat="false" ht="15.75" hidden="false" customHeight="false" outlineLevel="0" collapsed="false">
      <c r="A204" s="168"/>
      <c r="B204" s="168"/>
      <c r="C204" s="168"/>
      <c r="D204" s="168"/>
      <c r="E204" s="168"/>
      <c r="F204" s="168"/>
      <c r="G204" s="168"/>
      <c r="H204" s="168"/>
      <c r="I204" s="168"/>
      <c r="J204" s="168"/>
      <c r="K204" s="168"/>
      <c r="L204" s="168"/>
      <c r="M204" s="168"/>
      <c r="N204" s="168"/>
      <c r="O204" s="168"/>
      <c r="P204" s="168"/>
      <c r="Q204" s="168"/>
      <c r="R204" s="168"/>
      <c r="S204" s="168"/>
      <c r="T204" s="168"/>
      <c r="U204" s="168"/>
      <c r="V204" s="168"/>
      <c r="W204" s="168"/>
      <c r="X204" s="168"/>
      <c r="Y204" s="168"/>
      <c r="Z204" s="168"/>
    </row>
    <row r="205" customFormat="false" ht="15.75" hidden="false" customHeight="false" outlineLevel="0" collapsed="false">
      <c r="A205" s="168"/>
      <c r="B205" s="168"/>
      <c r="C205" s="168"/>
      <c r="D205" s="168"/>
      <c r="E205" s="168"/>
      <c r="F205" s="168"/>
      <c r="G205" s="168"/>
      <c r="H205" s="168"/>
      <c r="I205" s="168"/>
      <c r="J205" s="168"/>
      <c r="K205" s="168"/>
      <c r="L205" s="168"/>
      <c r="M205" s="168"/>
      <c r="N205" s="168"/>
      <c r="O205" s="168"/>
      <c r="P205" s="168"/>
      <c r="Q205" s="168"/>
      <c r="R205" s="168"/>
      <c r="S205" s="168"/>
      <c r="T205" s="168"/>
      <c r="U205" s="168"/>
      <c r="V205" s="168"/>
      <c r="W205" s="168"/>
      <c r="X205" s="168"/>
      <c r="Y205" s="168"/>
      <c r="Z205" s="168"/>
    </row>
    <row r="206" customFormat="false" ht="15.75" hidden="false" customHeight="false" outlineLevel="0" collapsed="false">
      <c r="A206" s="168"/>
      <c r="B206" s="168"/>
      <c r="C206" s="168"/>
      <c r="D206" s="168"/>
      <c r="E206" s="168"/>
      <c r="F206" s="168"/>
      <c r="G206" s="168"/>
      <c r="H206" s="168"/>
      <c r="I206" s="168"/>
      <c r="J206" s="168"/>
      <c r="K206" s="168"/>
      <c r="L206" s="168"/>
      <c r="M206" s="168"/>
      <c r="N206" s="168"/>
      <c r="O206" s="168"/>
      <c r="P206" s="168"/>
      <c r="Q206" s="168"/>
      <c r="R206" s="168"/>
      <c r="S206" s="168"/>
      <c r="T206" s="168"/>
      <c r="U206" s="168"/>
      <c r="V206" s="168"/>
      <c r="W206" s="168"/>
      <c r="X206" s="168"/>
      <c r="Y206" s="168"/>
      <c r="Z206" s="168"/>
    </row>
    <row r="207" customFormat="false" ht="15.75" hidden="false" customHeight="false" outlineLevel="0" collapsed="false">
      <c r="A207" s="168"/>
      <c r="B207" s="168"/>
      <c r="C207" s="168"/>
      <c r="D207" s="168"/>
      <c r="E207" s="168"/>
      <c r="F207" s="168"/>
      <c r="G207" s="168"/>
      <c r="H207" s="168"/>
      <c r="I207" s="168"/>
      <c r="J207" s="168"/>
      <c r="K207" s="168"/>
      <c r="L207" s="168"/>
      <c r="M207" s="168"/>
      <c r="N207" s="168"/>
      <c r="O207" s="168"/>
      <c r="P207" s="168"/>
      <c r="Q207" s="168"/>
      <c r="R207" s="168"/>
      <c r="S207" s="168"/>
      <c r="T207" s="168"/>
      <c r="U207" s="168"/>
      <c r="V207" s="168"/>
      <c r="W207" s="168"/>
      <c r="X207" s="168"/>
      <c r="Y207" s="168"/>
      <c r="Z207" s="168"/>
    </row>
    <row r="208" customFormat="false" ht="15.75" hidden="false" customHeight="false" outlineLevel="0" collapsed="false">
      <c r="A208" s="168"/>
      <c r="B208" s="168"/>
      <c r="C208" s="168"/>
      <c r="D208" s="168"/>
      <c r="E208" s="168"/>
      <c r="F208" s="168"/>
      <c r="G208" s="168"/>
      <c r="H208" s="168"/>
      <c r="I208" s="168"/>
      <c r="J208" s="168"/>
      <c r="K208" s="168"/>
      <c r="L208" s="168"/>
      <c r="M208" s="168"/>
      <c r="N208" s="168"/>
      <c r="O208" s="168"/>
      <c r="P208" s="168"/>
      <c r="Q208" s="168"/>
      <c r="R208" s="168"/>
      <c r="S208" s="168"/>
      <c r="T208" s="168"/>
      <c r="U208" s="168"/>
      <c r="V208" s="168"/>
      <c r="W208" s="168"/>
      <c r="X208" s="168"/>
      <c r="Y208" s="168"/>
      <c r="Z208" s="168"/>
    </row>
    <row r="209" customFormat="false" ht="15.75" hidden="false" customHeight="false" outlineLevel="0" collapsed="false">
      <c r="A209" s="168"/>
      <c r="B209" s="168"/>
      <c r="C209" s="168"/>
      <c r="D209" s="168"/>
      <c r="E209" s="168"/>
      <c r="F209" s="168"/>
      <c r="G209" s="168"/>
      <c r="H209" s="168"/>
      <c r="I209" s="168"/>
      <c r="J209" s="168"/>
      <c r="K209" s="168"/>
      <c r="L209" s="168"/>
      <c r="M209" s="168"/>
      <c r="N209" s="168"/>
      <c r="O209" s="168"/>
      <c r="P209" s="168"/>
      <c r="Q209" s="168"/>
      <c r="R209" s="168"/>
      <c r="S209" s="168"/>
      <c r="T209" s="168"/>
      <c r="U209" s="168"/>
      <c r="V209" s="168"/>
      <c r="W209" s="168"/>
      <c r="X209" s="168"/>
      <c r="Y209" s="168"/>
      <c r="Z209" s="168"/>
    </row>
    <row r="210" customFormat="false" ht="15.75" hidden="false" customHeight="false" outlineLevel="0" collapsed="false">
      <c r="A210" s="168"/>
      <c r="B210" s="168"/>
      <c r="C210" s="168"/>
      <c r="D210" s="168"/>
      <c r="E210" s="168"/>
      <c r="F210" s="168"/>
      <c r="G210" s="168"/>
      <c r="H210" s="168"/>
      <c r="I210" s="168"/>
      <c r="J210" s="168"/>
      <c r="K210" s="168"/>
      <c r="L210" s="168"/>
      <c r="M210" s="168"/>
      <c r="N210" s="168"/>
      <c r="O210" s="168"/>
      <c r="P210" s="168"/>
      <c r="Q210" s="168"/>
      <c r="R210" s="168"/>
      <c r="S210" s="168"/>
      <c r="T210" s="168"/>
      <c r="U210" s="168"/>
      <c r="V210" s="168"/>
      <c r="W210" s="168"/>
      <c r="X210" s="168"/>
      <c r="Y210" s="168"/>
      <c r="Z210" s="168"/>
    </row>
    <row r="211" customFormat="false" ht="15.75" hidden="false" customHeight="false" outlineLevel="0" collapsed="false">
      <c r="A211" s="168"/>
      <c r="B211" s="168"/>
      <c r="C211" s="168"/>
      <c r="D211" s="168"/>
      <c r="E211" s="168"/>
      <c r="F211" s="168"/>
      <c r="G211" s="168"/>
      <c r="H211" s="168"/>
      <c r="I211" s="168"/>
      <c r="J211" s="168"/>
      <c r="K211" s="168"/>
      <c r="L211" s="168"/>
      <c r="M211" s="168"/>
      <c r="N211" s="168"/>
      <c r="O211" s="168"/>
      <c r="P211" s="168"/>
      <c r="Q211" s="168"/>
      <c r="R211" s="168"/>
      <c r="S211" s="168"/>
      <c r="T211" s="168"/>
      <c r="U211" s="168"/>
      <c r="V211" s="168"/>
      <c r="W211" s="168"/>
      <c r="X211" s="168"/>
      <c r="Y211" s="168"/>
      <c r="Z211" s="168"/>
    </row>
    <row r="212" customFormat="false" ht="15.75" hidden="false" customHeight="false" outlineLevel="0" collapsed="false">
      <c r="A212" s="168"/>
      <c r="B212" s="168"/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8"/>
      <c r="O212" s="168"/>
      <c r="P212" s="168"/>
      <c r="Q212" s="168"/>
      <c r="R212" s="168"/>
      <c r="S212" s="168"/>
      <c r="T212" s="168"/>
      <c r="U212" s="168"/>
      <c r="V212" s="168"/>
      <c r="W212" s="168"/>
      <c r="X212" s="168"/>
      <c r="Y212" s="168"/>
      <c r="Z212" s="168"/>
    </row>
    <row r="213" customFormat="false" ht="15.75" hidden="false" customHeight="false" outlineLevel="0" collapsed="false">
      <c r="A213" s="168"/>
      <c r="B213" s="168"/>
      <c r="C213" s="168"/>
      <c r="D213" s="168"/>
      <c r="E213" s="168"/>
      <c r="F213" s="168"/>
      <c r="G213" s="168"/>
      <c r="H213" s="168"/>
      <c r="I213" s="168"/>
      <c r="J213" s="168"/>
      <c r="K213" s="168"/>
      <c r="L213" s="168"/>
      <c r="M213" s="168"/>
      <c r="N213" s="168"/>
      <c r="O213" s="168"/>
      <c r="P213" s="168"/>
      <c r="Q213" s="168"/>
      <c r="R213" s="168"/>
      <c r="S213" s="168"/>
      <c r="T213" s="168"/>
      <c r="U213" s="168"/>
      <c r="V213" s="168"/>
      <c r="W213" s="168"/>
      <c r="X213" s="168"/>
      <c r="Y213" s="168"/>
      <c r="Z213" s="168"/>
    </row>
    <row r="214" customFormat="false" ht="15.75" hidden="false" customHeight="false" outlineLevel="0" collapsed="false">
      <c r="A214" s="168"/>
      <c r="B214" s="168"/>
      <c r="C214" s="168"/>
      <c r="D214" s="168"/>
      <c r="E214" s="168"/>
      <c r="F214" s="168"/>
      <c r="G214" s="168"/>
      <c r="H214" s="168"/>
      <c r="I214" s="168"/>
      <c r="J214" s="168"/>
      <c r="K214" s="168"/>
      <c r="L214" s="168"/>
      <c r="M214" s="168"/>
      <c r="N214" s="168"/>
      <c r="O214" s="168"/>
      <c r="P214" s="168"/>
      <c r="Q214" s="168"/>
      <c r="R214" s="168"/>
      <c r="S214" s="168"/>
      <c r="T214" s="168"/>
      <c r="U214" s="168"/>
      <c r="V214" s="168"/>
      <c r="W214" s="168"/>
      <c r="X214" s="168"/>
      <c r="Y214" s="168"/>
      <c r="Z214" s="168"/>
    </row>
    <row r="215" customFormat="false" ht="15.75" hidden="false" customHeight="false" outlineLevel="0" collapsed="false">
      <c r="A215" s="168"/>
      <c r="B215" s="168"/>
      <c r="C215" s="168"/>
      <c r="D215" s="168"/>
      <c r="E215" s="168"/>
      <c r="F215" s="168"/>
      <c r="G215" s="168"/>
      <c r="H215" s="168"/>
      <c r="I215" s="168"/>
      <c r="J215" s="168"/>
      <c r="K215" s="168"/>
      <c r="L215" s="168"/>
      <c r="M215" s="168"/>
      <c r="N215" s="168"/>
      <c r="O215" s="168"/>
      <c r="P215" s="168"/>
      <c r="Q215" s="168"/>
      <c r="R215" s="168"/>
      <c r="S215" s="168"/>
      <c r="T215" s="168"/>
      <c r="U215" s="168"/>
      <c r="V215" s="168"/>
      <c r="W215" s="168"/>
      <c r="X215" s="168"/>
      <c r="Y215" s="168"/>
      <c r="Z215" s="168"/>
    </row>
    <row r="216" customFormat="false" ht="15.75" hidden="false" customHeight="false" outlineLevel="0" collapsed="false">
      <c r="A216" s="168"/>
      <c r="B216" s="168"/>
      <c r="C216" s="168"/>
      <c r="D216" s="168"/>
      <c r="E216" s="168"/>
      <c r="F216" s="168"/>
      <c r="G216" s="168"/>
      <c r="H216" s="168"/>
      <c r="I216" s="168"/>
      <c r="J216" s="168"/>
      <c r="K216" s="168"/>
      <c r="L216" s="168"/>
      <c r="M216" s="168"/>
      <c r="N216" s="168"/>
      <c r="O216" s="168"/>
      <c r="P216" s="168"/>
      <c r="Q216" s="168"/>
      <c r="R216" s="168"/>
      <c r="S216" s="168"/>
      <c r="T216" s="168"/>
      <c r="U216" s="168"/>
      <c r="V216" s="168"/>
      <c r="W216" s="168"/>
      <c r="X216" s="168"/>
      <c r="Y216" s="168"/>
      <c r="Z216" s="168"/>
    </row>
    <row r="217" customFormat="false" ht="15.75" hidden="false" customHeight="false" outlineLevel="0" collapsed="false">
      <c r="A217" s="168"/>
      <c r="B217" s="168"/>
      <c r="C217" s="168"/>
      <c r="D217" s="168"/>
      <c r="E217" s="168"/>
      <c r="F217" s="168"/>
      <c r="G217" s="168"/>
      <c r="H217" s="168"/>
      <c r="I217" s="168"/>
      <c r="J217" s="168"/>
      <c r="K217" s="168"/>
      <c r="L217" s="168"/>
      <c r="M217" s="168"/>
      <c r="N217" s="168"/>
      <c r="O217" s="168"/>
      <c r="P217" s="168"/>
      <c r="Q217" s="168"/>
      <c r="R217" s="168"/>
      <c r="S217" s="168"/>
      <c r="T217" s="168"/>
      <c r="U217" s="168"/>
      <c r="V217" s="168"/>
      <c r="W217" s="168"/>
      <c r="X217" s="168"/>
      <c r="Y217" s="168"/>
      <c r="Z217" s="168"/>
    </row>
    <row r="218" customFormat="false" ht="15.75" hidden="false" customHeight="false" outlineLevel="0" collapsed="false">
      <c r="A218" s="168"/>
      <c r="B218" s="168"/>
      <c r="C218" s="168"/>
      <c r="D218" s="168"/>
      <c r="E218" s="168"/>
      <c r="F218" s="168"/>
      <c r="G218" s="168"/>
      <c r="H218" s="168"/>
      <c r="I218" s="168"/>
      <c r="J218" s="168"/>
      <c r="K218" s="168"/>
      <c r="L218" s="168"/>
      <c r="M218" s="168"/>
      <c r="N218" s="168"/>
      <c r="O218" s="168"/>
      <c r="P218" s="168"/>
      <c r="Q218" s="168"/>
      <c r="R218" s="168"/>
      <c r="S218" s="168"/>
      <c r="T218" s="168"/>
      <c r="U218" s="168"/>
      <c r="V218" s="168"/>
      <c r="W218" s="168"/>
      <c r="X218" s="168"/>
      <c r="Y218" s="168"/>
      <c r="Z218" s="168"/>
    </row>
    <row r="219" customFormat="false" ht="15.75" hidden="false" customHeight="false" outlineLevel="0" collapsed="false">
      <c r="A219" s="168"/>
      <c r="B219" s="168"/>
      <c r="C219" s="168"/>
      <c r="D219" s="168"/>
      <c r="E219" s="168"/>
      <c r="F219" s="168"/>
      <c r="G219" s="168"/>
      <c r="H219" s="168"/>
      <c r="I219" s="168"/>
      <c r="J219" s="168"/>
      <c r="K219" s="168"/>
      <c r="L219" s="168"/>
      <c r="M219" s="168"/>
      <c r="N219" s="168"/>
      <c r="O219" s="168"/>
      <c r="P219" s="168"/>
      <c r="Q219" s="168"/>
      <c r="R219" s="168"/>
      <c r="S219" s="168"/>
      <c r="T219" s="168"/>
      <c r="U219" s="168"/>
      <c r="V219" s="168"/>
      <c r="W219" s="168"/>
      <c r="X219" s="168"/>
      <c r="Y219" s="168"/>
      <c r="Z219" s="168"/>
    </row>
    <row r="220" customFormat="false" ht="15.75" hidden="false" customHeight="false" outlineLevel="0" collapsed="false">
      <c r="A220" s="168"/>
      <c r="B220" s="168"/>
      <c r="C220" s="168"/>
      <c r="D220" s="168"/>
      <c r="E220" s="168"/>
      <c r="F220" s="168"/>
      <c r="G220" s="168"/>
      <c r="H220" s="168"/>
      <c r="I220" s="168"/>
      <c r="J220" s="168"/>
      <c r="K220" s="168"/>
      <c r="L220" s="168"/>
      <c r="M220" s="168"/>
      <c r="N220" s="168"/>
      <c r="O220" s="168"/>
      <c r="P220" s="168"/>
      <c r="Q220" s="168"/>
      <c r="R220" s="168"/>
      <c r="S220" s="168"/>
      <c r="T220" s="168"/>
      <c r="U220" s="168"/>
      <c r="V220" s="168"/>
      <c r="W220" s="168"/>
      <c r="X220" s="168"/>
      <c r="Y220" s="168"/>
      <c r="Z220" s="168"/>
    </row>
    <row r="221" customFormat="false" ht="15.75" hidden="false" customHeight="false" outlineLevel="0" collapsed="false">
      <c r="A221" s="168"/>
      <c r="B221" s="168"/>
      <c r="C221" s="168"/>
      <c r="D221" s="168"/>
      <c r="E221" s="168"/>
      <c r="F221" s="168"/>
      <c r="G221" s="168"/>
      <c r="H221" s="168"/>
      <c r="I221" s="168"/>
      <c r="J221" s="168"/>
      <c r="K221" s="168"/>
      <c r="L221" s="168"/>
      <c r="M221" s="168"/>
      <c r="N221" s="168"/>
      <c r="O221" s="168"/>
      <c r="P221" s="168"/>
      <c r="Q221" s="168"/>
      <c r="R221" s="168"/>
      <c r="S221" s="168"/>
      <c r="T221" s="168"/>
      <c r="U221" s="168"/>
      <c r="V221" s="168"/>
      <c r="W221" s="168"/>
      <c r="X221" s="168"/>
      <c r="Y221" s="168"/>
      <c r="Z221" s="168"/>
    </row>
    <row r="222" customFormat="false" ht="15.75" hidden="false" customHeight="false" outlineLevel="0" collapsed="false">
      <c r="A222" s="168"/>
      <c r="B222" s="168"/>
      <c r="C222" s="168"/>
      <c r="D222" s="168"/>
      <c r="E222" s="168"/>
      <c r="F222" s="168"/>
      <c r="G222" s="168"/>
      <c r="H222" s="168"/>
      <c r="I222" s="168"/>
      <c r="J222" s="168"/>
      <c r="K222" s="168"/>
      <c r="L222" s="168"/>
      <c r="M222" s="168"/>
      <c r="N222" s="168"/>
      <c r="O222" s="168"/>
      <c r="P222" s="168"/>
      <c r="Q222" s="168"/>
      <c r="R222" s="168"/>
      <c r="S222" s="168"/>
      <c r="T222" s="168"/>
      <c r="U222" s="168"/>
      <c r="V222" s="168"/>
      <c r="W222" s="168"/>
      <c r="X222" s="168"/>
      <c r="Y222" s="168"/>
      <c r="Z222" s="168"/>
    </row>
    <row r="223" customFormat="false" ht="15.75" hidden="false" customHeight="false" outlineLevel="0" collapsed="false">
      <c r="A223" s="168"/>
      <c r="B223" s="168"/>
      <c r="C223" s="168"/>
      <c r="D223" s="168"/>
      <c r="E223" s="168"/>
      <c r="F223" s="168"/>
      <c r="G223" s="168"/>
      <c r="H223" s="168"/>
      <c r="I223" s="168"/>
      <c r="J223" s="168"/>
      <c r="K223" s="168"/>
      <c r="L223" s="168"/>
      <c r="M223" s="168"/>
      <c r="N223" s="168"/>
      <c r="O223" s="168"/>
      <c r="P223" s="168"/>
      <c r="Q223" s="168"/>
      <c r="R223" s="168"/>
      <c r="S223" s="168"/>
      <c r="T223" s="168"/>
      <c r="U223" s="168"/>
      <c r="V223" s="168"/>
      <c r="W223" s="168"/>
      <c r="X223" s="168"/>
      <c r="Y223" s="168"/>
      <c r="Z223" s="168"/>
    </row>
    <row r="224" customFormat="false" ht="15.75" hidden="false" customHeight="false" outlineLevel="0" collapsed="false">
      <c r="A224" s="168"/>
      <c r="B224" s="168"/>
      <c r="C224" s="168"/>
      <c r="D224" s="168"/>
      <c r="E224" s="168"/>
      <c r="F224" s="168"/>
      <c r="G224" s="168"/>
      <c r="H224" s="168"/>
      <c r="I224" s="168"/>
      <c r="J224" s="168"/>
      <c r="K224" s="168"/>
      <c r="L224" s="168"/>
      <c r="M224" s="168"/>
      <c r="N224" s="168"/>
      <c r="O224" s="168"/>
      <c r="P224" s="168"/>
      <c r="Q224" s="168"/>
      <c r="R224" s="168"/>
      <c r="S224" s="168"/>
      <c r="T224" s="168"/>
      <c r="U224" s="168"/>
      <c r="V224" s="168"/>
      <c r="W224" s="168"/>
      <c r="X224" s="168"/>
      <c r="Y224" s="168"/>
      <c r="Z224" s="168"/>
    </row>
    <row r="225" customFormat="false" ht="15.75" hidden="false" customHeight="false" outlineLevel="0" collapsed="false">
      <c r="A225" s="168"/>
      <c r="B225" s="168"/>
      <c r="C225" s="168"/>
      <c r="D225" s="168"/>
      <c r="E225" s="168"/>
      <c r="F225" s="168"/>
      <c r="G225" s="168"/>
      <c r="H225" s="168"/>
      <c r="I225" s="168"/>
      <c r="J225" s="168"/>
      <c r="K225" s="168"/>
      <c r="L225" s="168"/>
      <c r="M225" s="168"/>
      <c r="N225" s="168"/>
      <c r="O225" s="168"/>
      <c r="P225" s="168"/>
      <c r="Q225" s="168"/>
      <c r="R225" s="168"/>
      <c r="S225" s="168"/>
      <c r="T225" s="168"/>
      <c r="U225" s="168"/>
      <c r="V225" s="168"/>
      <c r="W225" s="168"/>
      <c r="X225" s="168"/>
      <c r="Y225" s="168"/>
      <c r="Z225" s="168"/>
    </row>
    <row r="226" customFormat="false" ht="15.75" hidden="false" customHeight="false" outlineLevel="0" collapsed="false">
      <c r="A226" s="168"/>
      <c r="B226" s="168"/>
      <c r="C226" s="168"/>
      <c r="D226" s="168"/>
      <c r="E226" s="168"/>
      <c r="F226" s="168"/>
      <c r="G226" s="168"/>
      <c r="H226" s="168"/>
      <c r="I226" s="168"/>
      <c r="J226" s="168"/>
      <c r="K226" s="168"/>
      <c r="L226" s="168"/>
      <c r="M226" s="168"/>
      <c r="N226" s="168"/>
      <c r="O226" s="168"/>
      <c r="P226" s="168"/>
      <c r="Q226" s="168"/>
      <c r="R226" s="168"/>
      <c r="S226" s="168"/>
      <c r="T226" s="168"/>
      <c r="U226" s="168"/>
      <c r="V226" s="168"/>
      <c r="W226" s="168"/>
      <c r="X226" s="168"/>
      <c r="Y226" s="168"/>
      <c r="Z226" s="168"/>
    </row>
    <row r="227" customFormat="false" ht="15.75" hidden="false" customHeight="false" outlineLevel="0" collapsed="false">
      <c r="A227" s="168"/>
      <c r="B227" s="168"/>
      <c r="C227" s="168"/>
      <c r="D227" s="168"/>
      <c r="E227" s="168"/>
      <c r="F227" s="168"/>
      <c r="G227" s="168"/>
      <c r="H227" s="168"/>
      <c r="I227" s="168"/>
      <c r="J227" s="168"/>
      <c r="K227" s="168"/>
      <c r="L227" s="168"/>
      <c r="M227" s="168"/>
      <c r="N227" s="168"/>
      <c r="O227" s="168"/>
      <c r="P227" s="168"/>
      <c r="Q227" s="168"/>
      <c r="R227" s="168"/>
      <c r="S227" s="168"/>
      <c r="T227" s="168"/>
      <c r="U227" s="168"/>
      <c r="V227" s="168"/>
      <c r="W227" s="168"/>
      <c r="X227" s="168"/>
      <c r="Y227" s="168"/>
      <c r="Z227" s="168"/>
    </row>
    <row r="228" customFormat="false" ht="15.75" hidden="false" customHeight="false" outlineLevel="0" collapsed="false">
      <c r="A228" s="168"/>
      <c r="B228" s="168"/>
      <c r="C228" s="168"/>
      <c r="D228" s="168"/>
      <c r="E228" s="168"/>
      <c r="F228" s="168"/>
      <c r="G228" s="168"/>
      <c r="H228" s="168"/>
      <c r="I228" s="168"/>
      <c r="J228" s="168"/>
      <c r="K228" s="168"/>
      <c r="L228" s="168"/>
      <c r="M228" s="168"/>
      <c r="N228" s="168"/>
      <c r="O228" s="168"/>
      <c r="P228" s="168"/>
      <c r="Q228" s="168"/>
      <c r="R228" s="168"/>
      <c r="S228" s="168"/>
      <c r="T228" s="168"/>
      <c r="U228" s="168"/>
      <c r="V228" s="168"/>
      <c r="W228" s="168"/>
      <c r="X228" s="168"/>
      <c r="Y228" s="168"/>
      <c r="Z228" s="168"/>
    </row>
    <row r="229" customFormat="false" ht="15.75" hidden="false" customHeight="false" outlineLevel="0" collapsed="false">
      <c r="A229" s="168"/>
      <c r="B229" s="168"/>
      <c r="C229" s="168"/>
      <c r="D229" s="168"/>
      <c r="E229" s="168"/>
      <c r="F229" s="168"/>
      <c r="G229" s="168"/>
      <c r="H229" s="168"/>
      <c r="I229" s="168"/>
      <c r="J229" s="168"/>
      <c r="K229" s="168"/>
      <c r="L229" s="168"/>
      <c r="M229" s="168"/>
      <c r="N229" s="168"/>
      <c r="O229" s="168"/>
      <c r="P229" s="168"/>
      <c r="Q229" s="168"/>
      <c r="R229" s="168"/>
      <c r="S229" s="168"/>
      <c r="T229" s="168"/>
      <c r="U229" s="168"/>
      <c r="V229" s="168"/>
      <c r="W229" s="168"/>
      <c r="X229" s="168"/>
      <c r="Y229" s="168"/>
      <c r="Z229" s="168"/>
    </row>
    <row r="230" customFormat="false" ht="15.75" hidden="false" customHeight="false" outlineLevel="0" collapsed="false">
      <c r="A230" s="168"/>
      <c r="B230" s="168"/>
      <c r="C230" s="168"/>
      <c r="D230" s="168"/>
      <c r="E230" s="168"/>
      <c r="F230" s="168"/>
      <c r="G230" s="168"/>
      <c r="H230" s="168"/>
      <c r="I230" s="168"/>
      <c r="J230" s="168"/>
      <c r="K230" s="168"/>
      <c r="L230" s="168"/>
      <c r="M230" s="168"/>
      <c r="N230" s="168"/>
      <c r="O230" s="168"/>
      <c r="P230" s="168"/>
      <c r="Q230" s="168"/>
      <c r="R230" s="168"/>
      <c r="S230" s="168"/>
      <c r="T230" s="168"/>
      <c r="U230" s="168"/>
      <c r="V230" s="168"/>
      <c r="W230" s="168"/>
      <c r="X230" s="168"/>
      <c r="Y230" s="168"/>
      <c r="Z230" s="168"/>
    </row>
    <row r="231" customFormat="false" ht="15.75" hidden="false" customHeight="false" outlineLevel="0" collapsed="false">
      <c r="A231" s="168"/>
      <c r="B231" s="168"/>
      <c r="C231" s="168"/>
      <c r="D231" s="168"/>
      <c r="E231" s="168"/>
      <c r="F231" s="168"/>
      <c r="G231" s="168"/>
      <c r="H231" s="168"/>
      <c r="I231" s="168"/>
      <c r="J231" s="168"/>
      <c r="K231" s="168"/>
      <c r="L231" s="168"/>
      <c r="M231" s="168"/>
      <c r="N231" s="168"/>
      <c r="O231" s="168"/>
      <c r="P231" s="168"/>
      <c r="Q231" s="168"/>
      <c r="R231" s="168"/>
      <c r="S231" s="168"/>
      <c r="T231" s="168"/>
      <c r="U231" s="168"/>
      <c r="V231" s="168"/>
      <c r="W231" s="168"/>
      <c r="X231" s="168"/>
      <c r="Y231" s="168"/>
      <c r="Z231" s="168"/>
    </row>
    <row r="232" customFormat="false" ht="15.75" hidden="false" customHeight="false" outlineLevel="0" collapsed="false">
      <c r="A232" s="168"/>
      <c r="B232" s="168"/>
      <c r="C232" s="168"/>
      <c r="D232" s="168"/>
      <c r="E232" s="168"/>
      <c r="F232" s="168"/>
      <c r="G232" s="168"/>
      <c r="H232" s="168"/>
      <c r="I232" s="168"/>
      <c r="J232" s="168"/>
      <c r="K232" s="168"/>
      <c r="L232" s="168"/>
      <c r="M232" s="168"/>
      <c r="N232" s="168"/>
      <c r="O232" s="168"/>
      <c r="P232" s="168"/>
      <c r="Q232" s="168"/>
      <c r="R232" s="168"/>
      <c r="S232" s="168"/>
      <c r="T232" s="168"/>
      <c r="U232" s="168"/>
      <c r="V232" s="168"/>
      <c r="W232" s="168"/>
      <c r="X232" s="168"/>
      <c r="Y232" s="168"/>
      <c r="Z232" s="168"/>
    </row>
    <row r="233" customFormat="false" ht="15.75" hidden="false" customHeight="false" outlineLevel="0" collapsed="false">
      <c r="A233" s="168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</row>
    <row r="234" customFormat="false" ht="15.75" hidden="false" customHeight="false" outlineLevel="0" collapsed="false">
      <c r="A234" s="168"/>
      <c r="B234" s="168"/>
      <c r="C234" s="168"/>
      <c r="D234" s="168"/>
      <c r="E234" s="168"/>
      <c r="F234" s="168"/>
      <c r="G234" s="168"/>
      <c r="H234" s="168"/>
      <c r="I234" s="168"/>
      <c r="J234" s="168"/>
      <c r="K234" s="168"/>
      <c r="L234" s="168"/>
      <c r="M234" s="168"/>
      <c r="N234" s="168"/>
      <c r="O234" s="168"/>
      <c r="P234" s="168"/>
      <c r="Q234" s="168"/>
      <c r="R234" s="168"/>
      <c r="S234" s="168"/>
      <c r="T234" s="168"/>
      <c r="U234" s="168"/>
      <c r="V234" s="168"/>
      <c r="W234" s="168"/>
      <c r="X234" s="168"/>
      <c r="Y234" s="168"/>
      <c r="Z234" s="168"/>
    </row>
    <row r="235" customFormat="false" ht="15.75" hidden="false" customHeight="false" outlineLevel="0" collapsed="false">
      <c r="A235" s="168"/>
      <c r="B235" s="168"/>
      <c r="C235" s="168"/>
      <c r="D235" s="168"/>
      <c r="E235" s="168"/>
      <c r="F235" s="168"/>
      <c r="G235" s="168"/>
      <c r="H235" s="168"/>
      <c r="I235" s="168"/>
      <c r="J235" s="168"/>
      <c r="K235" s="168"/>
      <c r="L235" s="168"/>
      <c r="M235" s="168"/>
      <c r="N235" s="168"/>
      <c r="O235" s="168"/>
      <c r="P235" s="168"/>
      <c r="Q235" s="168"/>
      <c r="R235" s="168"/>
      <c r="S235" s="168"/>
      <c r="T235" s="168"/>
      <c r="U235" s="168"/>
      <c r="V235" s="168"/>
      <c r="W235" s="168"/>
      <c r="X235" s="168"/>
      <c r="Y235" s="168"/>
      <c r="Z235" s="168"/>
    </row>
    <row r="236" customFormat="false" ht="15.75" hidden="false" customHeight="false" outlineLevel="0" collapsed="false">
      <c r="A236" s="168"/>
      <c r="B236" s="168"/>
      <c r="C236" s="168"/>
      <c r="D236" s="168"/>
      <c r="E236" s="168"/>
      <c r="F236" s="168"/>
      <c r="G236" s="168"/>
      <c r="H236" s="168"/>
      <c r="I236" s="168"/>
      <c r="J236" s="168"/>
      <c r="K236" s="168"/>
      <c r="L236" s="168"/>
      <c r="M236" s="168"/>
      <c r="N236" s="168"/>
      <c r="O236" s="168"/>
      <c r="P236" s="168"/>
      <c r="Q236" s="168"/>
      <c r="R236" s="168"/>
      <c r="S236" s="168"/>
      <c r="T236" s="168"/>
      <c r="U236" s="168"/>
      <c r="V236" s="168"/>
      <c r="W236" s="168"/>
      <c r="X236" s="168"/>
      <c r="Y236" s="168"/>
      <c r="Z236" s="168"/>
    </row>
    <row r="237" customFormat="false" ht="15.75" hidden="false" customHeight="false" outlineLevel="0" collapsed="false">
      <c r="A237" s="168"/>
      <c r="B237" s="168"/>
      <c r="C237" s="168"/>
      <c r="D237" s="168"/>
      <c r="E237" s="168"/>
      <c r="F237" s="168"/>
      <c r="G237" s="168"/>
      <c r="H237" s="168"/>
      <c r="I237" s="168"/>
      <c r="J237" s="168"/>
      <c r="K237" s="168"/>
      <c r="L237" s="168"/>
      <c r="M237" s="168"/>
      <c r="N237" s="168"/>
      <c r="O237" s="168"/>
      <c r="P237" s="168"/>
      <c r="Q237" s="168"/>
      <c r="R237" s="168"/>
      <c r="S237" s="168"/>
      <c r="T237" s="168"/>
      <c r="U237" s="168"/>
      <c r="V237" s="168"/>
      <c r="W237" s="168"/>
      <c r="X237" s="168"/>
      <c r="Y237" s="168"/>
      <c r="Z237" s="168"/>
    </row>
    <row r="238" customFormat="false" ht="15.75" hidden="false" customHeight="false" outlineLevel="0" collapsed="false">
      <c r="A238" s="168"/>
      <c r="B238" s="168"/>
      <c r="C238" s="168"/>
      <c r="D238" s="168"/>
      <c r="E238" s="168"/>
      <c r="F238" s="168"/>
      <c r="G238" s="168"/>
      <c r="H238" s="168"/>
      <c r="I238" s="168"/>
      <c r="J238" s="168"/>
      <c r="K238" s="168"/>
      <c r="L238" s="168"/>
      <c r="M238" s="168"/>
      <c r="N238" s="168"/>
      <c r="O238" s="168"/>
      <c r="P238" s="168"/>
      <c r="Q238" s="168"/>
      <c r="R238" s="168"/>
      <c r="S238" s="168"/>
      <c r="T238" s="168"/>
      <c r="U238" s="168"/>
      <c r="V238" s="168"/>
      <c r="W238" s="168"/>
      <c r="X238" s="168"/>
      <c r="Y238" s="168"/>
      <c r="Z238" s="168"/>
    </row>
    <row r="239" customFormat="false" ht="15.75" hidden="false" customHeight="false" outlineLevel="0" collapsed="false">
      <c r="A239" s="168"/>
      <c r="B239" s="168"/>
      <c r="C239" s="168"/>
      <c r="D239" s="168"/>
      <c r="E239" s="168"/>
      <c r="F239" s="168"/>
      <c r="G239" s="168"/>
      <c r="H239" s="168"/>
      <c r="I239" s="168"/>
      <c r="J239" s="168"/>
      <c r="K239" s="168"/>
      <c r="L239" s="168"/>
      <c r="M239" s="168"/>
      <c r="N239" s="168"/>
      <c r="O239" s="168"/>
      <c r="P239" s="168"/>
      <c r="Q239" s="168"/>
      <c r="R239" s="168"/>
      <c r="S239" s="168"/>
      <c r="T239" s="168"/>
      <c r="U239" s="168"/>
      <c r="V239" s="168"/>
      <c r="W239" s="168"/>
      <c r="X239" s="168"/>
      <c r="Y239" s="168"/>
      <c r="Z239" s="168"/>
    </row>
    <row r="240" customFormat="false" ht="15.75" hidden="false" customHeight="false" outlineLevel="0" collapsed="false">
      <c r="A240" s="168"/>
      <c r="B240" s="168"/>
      <c r="C240" s="168"/>
      <c r="D240" s="168"/>
      <c r="E240" s="168"/>
      <c r="F240" s="168"/>
      <c r="G240" s="168"/>
      <c r="H240" s="168"/>
      <c r="I240" s="168"/>
      <c r="J240" s="168"/>
      <c r="K240" s="168"/>
      <c r="L240" s="168"/>
      <c r="M240" s="168"/>
      <c r="N240" s="168"/>
      <c r="O240" s="168"/>
      <c r="P240" s="168"/>
      <c r="Q240" s="168"/>
      <c r="R240" s="168"/>
      <c r="S240" s="168"/>
      <c r="T240" s="168"/>
      <c r="U240" s="168"/>
      <c r="V240" s="168"/>
      <c r="W240" s="168"/>
      <c r="X240" s="168"/>
      <c r="Y240" s="168"/>
      <c r="Z240" s="168"/>
    </row>
    <row r="241" customFormat="false" ht="15.75" hidden="false" customHeight="false" outlineLevel="0" collapsed="false">
      <c r="A241" s="168"/>
      <c r="B241" s="168"/>
      <c r="C241" s="168"/>
      <c r="D241" s="168"/>
      <c r="E241" s="168"/>
      <c r="F241" s="168"/>
      <c r="G241" s="168"/>
      <c r="H241" s="168"/>
      <c r="I241" s="168"/>
      <c r="J241" s="168"/>
      <c r="K241" s="168"/>
      <c r="L241" s="168"/>
      <c r="M241" s="168"/>
      <c r="N241" s="168"/>
      <c r="O241" s="168"/>
      <c r="P241" s="168"/>
      <c r="Q241" s="168"/>
      <c r="R241" s="168"/>
      <c r="S241" s="168"/>
      <c r="T241" s="168"/>
      <c r="U241" s="168"/>
      <c r="V241" s="168"/>
      <c r="W241" s="168"/>
      <c r="X241" s="168"/>
      <c r="Y241" s="168"/>
      <c r="Z241" s="168"/>
    </row>
    <row r="242" customFormat="false" ht="15.75" hidden="false" customHeight="false" outlineLevel="0" collapsed="false">
      <c r="A242" s="168"/>
      <c r="B242" s="168"/>
      <c r="C242" s="168"/>
      <c r="D242" s="168"/>
      <c r="E242" s="168"/>
      <c r="F242" s="168"/>
      <c r="G242" s="168"/>
      <c r="H242" s="168"/>
      <c r="I242" s="168"/>
      <c r="J242" s="168"/>
      <c r="K242" s="168"/>
      <c r="L242" s="168"/>
      <c r="M242" s="168"/>
      <c r="N242" s="168"/>
      <c r="O242" s="168"/>
      <c r="P242" s="168"/>
      <c r="Q242" s="168"/>
      <c r="R242" s="168"/>
      <c r="S242" s="168"/>
      <c r="T242" s="168"/>
      <c r="U242" s="168"/>
      <c r="V242" s="168"/>
      <c r="W242" s="168"/>
      <c r="X242" s="168"/>
      <c r="Y242" s="168"/>
      <c r="Z242" s="168"/>
    </row>
    <row r="243" customFormat="false" ht="15.75" hidden="false" customHeight="false" outlineLevel="0" collapsed="false">
      <c r="A243" s="168"/>
      <c r="B243" s="168"/>
      <c r="C243" s="168"/>
      <c r="D243" s="168"/>
      <c r="E243" s="168"/>
      <c r="F243" s="168"/>
      <c r="G243" s="168"/>
      <c r="H243" s="168"/>
      <c r="I243" s="168"/>
      <c r="J243" s="168"/>
      <c r="K243" s="168"/>
      <c r="L243" s="168"/>
      <c r="M243" s="168"/>
      <c r="N243" s="168"/>
      <c r="O243" s="168"/>
      <c r="P243" s="168"/>
      <c r="Q243" s="168"/>
      <c r="R243" s="168"/>
      <c r="S243" s="168"/>
      <c r="T243" s="168"/>
      <c r="U243" s="168"/>
      <c r="V243" s="168"/>
      <c r="W243" s="168"/>
      <c r="X243" s="168"/>
      <c r="Y243" s="168"/>
      <c r="Z243" s="168"/>
    </row>
    <row r="244" customFormat="false" ht="15.75" hidden="false" customHeight="false" outlineLevel="0" collapsed="false">
      <c r="A244" s="168"/>
      <c r="B244" s="168"/>
      <c r="C244" s="168"/>
      <c r="D244" s="168"/>
      <c r="E244" s="168"/>
      <c r="F244" s="168"/>
      <c r="G244" s="168"/>
      <c r="H244" s="168"/>
      <c r="I244" s="168"/>
      <c r="J244" s="168"/>
      <c r="K244" s="168"/>
      <c r="L244" s="168"/>
      <c r="M244" s="168"/>
      <c r="N244" s="168"/>
      <c r="O244" s="168"/>
      <c r="P244" s="168"/>
      <c r="Q244" s="168"/>
      <c r="R244" s="168"/>
      <c r="S244" s="168"/>
      <c r="T244" s="168"/>
      <c r="U244" s="168"/>
      <c r="V244" s="168"/>
      <c r="W244" s="168"/>
      <c r="X244" s="168"/>
      <c r="Y244" s="168"/>
      <c r="Z244" s="168"/>
    </row>
    <row r="245" customFormat="false" ht="15.75" hidden="false" customHeight="false" outlineLevel="0" collapsed="false">
      <c r="A245" s="168"/>
      <c r="B245" s="168"/>
      <c r="C245" s="168"/>
      <c r="D245" s="168"/>
      <c r="E245" s="168"/>
      <c r="F245" s="168"/>
      <c r="G245" s="168"/>
      <c r="H245" s="168"/>
      <c r="I245" s="168"/>
      <c r="J245" s="168"/>
      <c r="K245" s="168"/>
      <c r="L245" s="168"/>
      <c r="M245" s="168"/>
      <c r="N245" s="168"/>
      <c r="O245" s="168"/>
      <c r="P245" s="168"/>
      <c r="Q245" s="168"/>
      <c r="R245" s="168"/>
      <c r="S245" s="168"/>
      <c r="T245" s="168"/>
      <c r="U245" s="168"/>
      <c r="V245" s="168"/>
      <c r="W245" s="168"/>
      <c r="X245" s="168"/>
      <c r="Y245" s="168"/>
      <c r="Z245" s="168"/>
    </row>
    <row r="246" customFormat="false" ht="15.75" hidden="false" customHeight="false" outlineLevel="0" collapsed="false">
      <c r="A246" s="168"/>
      <c r="B246" s="168"/>
      <c r="C246" s="168"/>
      <c r="D246" s="168"/>
      <c r="E246" s="168"/>
      <c r="F246" s="168"/>
      <c r="G246" s="168"/>
      <c r="H246" s="168"/>
      <c r="I246" s="168"/>
      <c r="J246" s="168"/>
      <c r="K246" s="168"/>
      <c r="L246" s="168"/>
      <c r="M246" s="168"/>
      <c r="N246" s="168"/>
      <c r="O246" s="168"/>
      <c r="P246" s="168"/>
      <c r="Q246" s="168"/>
      <c r="R246" s="168"/>
      <c r="S246" s="168"/>
      <c r="T246" s="168"/>
      <c r="U246" s="168"/>
      <c r="V246" s="168"/>
      <c r="W246" s="168"/>
      <c r="X246" s="168"/>
      <c r="Y246" s="168"/>
      <c r="Z246" s="168"/>
    </row>
    <row r="247" customFormat="false" ht="15.75" hidden="false" customHeight="false" outlineLevel="0" collapsed="false">
      <c r="A247" s="168"/>
      <c r="B247" s="168"/>
      <c r="C247" s="168"/>
      <c r="D247" s="168"/>
      <c r="E247" s="168"/>
      <c r="F247" s="168"/>
      <c r="G247" s="168"/>
      <c r="H247" s="168"/>
      <c r="I247" s="168"/>
      <c r="J247" s="168"/>
      <c r="K247" s="168"/>
      <c r="L247" s="168"/>
      <c r="M247" s="168"/>
      <c r="N247" s="168"/>
      <c r="O247" s="168"/>
      <c r="P247" s="168"/>
      <c r="Q247" s="168"/>
      <c r="R247" s="168"/>
      <c r="S247" s="168"/>
      <c r="T247" s="168"/>
      <c r="U247" s="168"/>
      <c r="V247" s="168"/>
      <c r="W247" s="168"/>
      <c r="X247" s="168"/>
      <c r="Y247" s="168"/>
      <c r="Z247" s="168"/>
    </row>
    <row r="248" customFormat="false" ht="15.75" hidden="false" customHeight="false" outlineLevel="0" collapsed="false">
      <c r="A248" s="168"/>
      <c r="B248" s="168"/>
      <c r="C248" s="168"/>
      <c r="D248" s="168"/>
      <c r="E248" s="168"/>
      <c r="F248" s="168"/>
      <c r="G248" s="168"/>
      <c r="H248" s="168"/>
      <c r="I248" s="168"/>
      <c r="J248" s="168"/>
      <c r="K248" s="168"/>
      <c r="L248" s="168"/>
      <c r="M248" s="168"/>
      <c r="N248" s="168"/>
      <c r="O248" s="168"/>
      <c r="P248" s="168"/>
      <c r="Q248" s="168"/>
      <c r="R248" s="168"/>
      <c r="S248" s="168"/>
      <c r="T248" s="168"/>
      <c r="U248" s="168"/>
      <c r="V248" s="168"/>
      <c r="W248" s="168"/>
      <c r="X248" s="168"/>
      <c r="Y248" s="168"/>
      <c r="Z248" s="168"/>
    </row>
    <row r="249" customFormat="false" ht="15.75" hidden="false" customHeight="false" outlineLevel="0" collapsed="false">
      <c r="A249" s="168"/>
      <c r="B249" s="168"/>
      <c r="C249" s="168"/>
      <c r="D249" s="168"/>
      <c r="E249" s="168"/>
      <c r="F249" s="168"/>
      <c r="G249" s="168"/>
      <c r="H249" s="168"/>
      <c r="I249" s="168"/>
      <c r="J249" s="168"/>
      <c r="K249" s="168"/>
      <c r="L249" s="168"/>
      <c r="M249" s="168"/>
      <c r="N249" s="168"/>
      <c r="O249" s="168"/>
      <c r="P249" s="168"/>
      <c r="Q249" s="168"/>
      <c r="R249" s="168"/>
      <c r="S249" s="168"/>
      <c r="T249" s="168"/>
      <c r="U249" s="168"/>
      <c r="V249" s="168"/>
      <c r="W249" s="168"/>
      <c r="X249" s="168"/>
      <c r="Y249" s="168"/>
      <c r="Z249" s="168"/>
    </row>
    <row r="250" customFormat="false" ht="15.75" hidden="false" customHeight="false" outlineLevel="0" collapsed="false">
      <c r="A250" s="168"/>
      <c r="B250" s="168"/>
      <c r="C250" s="168"/>
      <c r="D250" s="168"/>
      <c r="E250" s="168"/>
      <c r="F250" s="168"/>
      <c r="G250" s="168"/>
      <c r="H250" s="168"/>
      <c r="I250" s="168"/>
      <c r="J250" s="168"/>
      <c r="K250" s="168"/>
      <c r="L250" s="168"/>
      <c r="M250" s="168"/>
      <c r="N250" s="168"/>
      <c r="O250" s="168"/>
      <c r="P250" s="168"/>
      <c r="Q250" s="168"/>
      <c r="R250" s="168"/>
      <c r="S250" s="168"/>
      <c r="T250" s="168"/>
      <c r="U250" s="168"/>
      <c r="V250" s="168"/>
      <c r="W250" s="168"/>
      <c r="X250" s="168"/>
      <c r="Y250" s="168"/>
      <c r="Z250" s="168"/>
    </row>
    <row r="251" customFormat="false" ht="15.75" hidden="false" customHeight="false" outlineLevel="0" collapsed="false">
      <c r="A251" s="168"/>
      <c r="B251" s="168"/>
      <c r="C251" s="168"/>
      <c r="D251" s="168"/>
      <c r="E251" s="168"/>
      <c r="F251" s="168"/>
      <c r="G251" s="168"/>
      <c r="H251" s="168"/>
      <c r="I251" s="168"/>
      <c r="J251" s="168"/>
      <c r="K251" s="168"/>
      <c r="L251" s="168"/>
      <c r="M251" s="168"/>
      <c r="N251" s="168"/>
      <c r="O251" s="168"/>
      <c r="P251" s="168"/>
      <c r="Q251" s="168"/>
      <c r="R251" s="168"/>
      <c r="S251" s="168"/>
      <c r="T251" s="168"/>
      <c r="U251" s="168"/>
      <c r="V251" s="168"/>
      <c r="W251" s="168"/>
      <c r="X251" s="168"/>
      <c r="Y251" s="168"/>
      <c r="Z251" s="168"/>
    </row>
    <row r="252" customFormat="false" ht="15.75" hidden="false" customHeight="false" outlineLevel="0" collapsed="false">
      <c r="A252" s="168"/>
      <c r="B252" s="168"/>
      <c r="C252" s="168"/>
      <c r="D252" s="168"/>
      <c r="E252" s="168"/>
      <c r="F252" s="168"/>
      <c r="G252" s="168"/>
      <c r="H252" s="168"/>
      <c r="I252" s="168"/>
      <c r="J252" s="168"/>
      <c r="K252" s="168"/>
      <c r="L252" s="168"/>
      <c r="M252" s="168"/>
      <c r="N252" s="168"/>
      <c r="O252" s="168"/>
      <c r="P252" s="168"/>
      <c r="Q252" s="168"/>
      <c r="R252" s="168"/>
      <c r="S252" s="168"/>
      <c r="T252" s="168"/>
      <c r="U252" s="168"/>
      <c r="V252" s="168"/>
      <c r="W252" s="168"/>
      <c r="X252" s="168"/>
      <c r="Y252" s="168"/>
      <c r="Z252" s="168"/>
    </row>
    <row r="253" customFormat="false" ht="15.75" hidden="false" customHeight="false" outlineLevel="0" collapsed="false">
      <c r="A253" s="168"/>
      <c r="B253" s="168"/>
      <c r="C253" s="168"/>
      <c r="D253" s="168"/>
      <c r="E253" s="168"/>
      <c r="F253" s="168"/>
      <c r="G253" s="168"/>
      <c r="H253" s="168"/>
      <c r="I253" s="168"/>
      <c r="J253" s="168"/>
      <c r="K253" s="168"/>
      <c r="L253" s="168"/>
      <c r="M253" s="168"/>
      <c r="N253" s="168"/>
      <c r="O253" s="168"/>
      <c r="P253" s="168"/>
      <c r="Q253" s="168"/>
      <c r="R253" s="168"/>
      <c r="S253" s="168"/>
      <c r="T253" s="168"/>
      <c r="U253" s="168"/>
      <c r="V253" s="168"/>
      <c r="W253" s="168"/>
      <c r="X253" s="168"/>
      <c r="Y253" s="168"/>
      <c r="Z253" s="168"/>
    </row>
    <row r="254" customFormat="false" ht="15.75" hidden="false" customHeight="false" outlineLevel="0" collapsed="false">
      <c r="A254" s="168"/>
      <c r="B254" s="168"/>
      <c r="C254" s="168"/>
      <c r="D254" s="168"/>
      <c r="E254" s="168"/>
      <c r="F254" s="168"/>
      <c r="G254" s="168"/>
      <c r="H254" s="168"/>
      <c r="I254" s="168"/>
      <c r="J254" s="168"/>
      <c r="K254" s="168"/>
      <c r="L254" s="168"/>
      <c r="M254" s="168"/>
      <c r="N254" s="168"/>
      <c r="O254" s="168"/>
      <c r="P254" s="168"/>
      <c r="Q254" s="168"/>
      <c r="R254" s="168"/>
      <c r="S254" s="168"/>
      <c r="T254" s="168"/>
      <c r="U254" s="168"/>
      <c r="V254" s="168"/>
      <c r="W254" s="168"/>
      <c r="X254" s="168"/>
      <c r="Y254" s="168"/>
      <c r="Z254" s="168"/>
    </row>
    <row r="255" customFormat="false" ht="15.75" hidden="false" customHeight="false" outlineLevel="0" collapsed="false">
      <c r="A255" s="168"/>
      <c r="B255" s="168"/>
      <c r="C255" s="168"/>
      <c r="D255" s="168"/>
      <c r="E255" s="168"/>
      <c r="F255" s="168"/>
      <c r="G255" s="168"/>
      <c r="H255" s="168"/>
      <c r="I255" s="168"/>
      <c r="J255" s="168"/>
      <c r="K255" s="168"/>
      <c r="L255" s="168"/>
      <c r="M255" s="168"/>
      <c r="N255" s="168"/>
      <c r="O255" s="168"/>
      <c r="P255" s="168"/>
      <c r="Q255" s="168"/>
      <c r="R255" s="168"/>
      <c r="S255" s="168"/>
      <c r="T255" s="168"/>
      <c r="U255" s="168"/>
      <c r="V255" s="168"/>
      <c r="W255" s="168"/>
      <c r="X255" s="168"/>
      <c r="Y255" s="168"/>
      <c r="Z255" s="168"/>
    </row>
    <row r="256" customFormat="false" ht="15.75" hidden="false" customHeight="false" outlineLevel="0" collapsed="false">
      <c r="A256" s="168"/>
      <c r="B256" s="168"/>
      <c r="C256" s="168"/>
      <c r="D256" s="168"/>
      <c r="E256" s="168"/>
      <c r="F256" s="168"/>
      <c r="G256" s="168"/>
      <c r="H256" s="168"/>
      <c r="I256" s="168"/>
      <c r="J256" s="168"/>
      <c r="K256" s="168"/>
      <c r="L256" s="168"/>
      <c r="M256" s="168"/>
      <c r="N256" s="168"/>
      <c r="O256" s="168"/>
      <c r="P256" s="168"/>
      <c r="Q256" s="168"/>
      <c r="R256" s="168"/>
      <c r="S256" s="168"/>
      <c r="T256" s="168"/>
      <c r="U256" s="168"/>
      <c r="V256" s="168"/>
      <c r="W256" s="168"/>
      <c r="X256" s="168"/>
      <c r="Y256" s="168"/>
      <c r="Z256" s="168"/>
    </row>
    <row r="257" customFormat="false" ht="15.75" hidden="false" customHeight="false" outlineLevel="0" collapsed="false">
      <c r="A257" s="168"/>
      <c r="B257" s="168"/>
      <c r="C257" s="168"/>
      <c r="D257" s="168"/>
      <c r="E257" s="168"/>
      <c r="F257" s="168"/>
      <c r="G257" s="168"/>
      <c r="H257" s="168"/>
      <c r="I257" s="168"/>
      <c r="J257" s="168"/>
      <c r="K257" s="168"/>
      <c r="L257" s="168"/>
      <c r="M257" s="168"/>
      <c r="N257" s="168"/>
      <c r="O257" s="168"/>
      <c r="P257" s="168"/>
      <c r="Q257" s="168"/>
      <c r="R257" s="168"/>
      <c r="S257" s="168"/>
      <c r="T257" s="168"/>
      <c r="U257" s="168"/>
      <c r="V257" s="168"/>
      <c r="W257" s="168"/>
      <c r="X257" s="168"/>
      <c r="Y257" s="168"/>
      <c r="Z257" s="168"/>
    </row>
    <row r="258" customFormat="false" ht="15.75" hidden="false" customHeight="false" outlineLevel="0" collapsed="false">
      <c r="A258" s="168"/>
      <c r="B258" s="168"/>
      <c r="C258" s="168"/>
      <c r="D258" s="168"/>
      <c r="E258" s="168"/>
      <c r="F258" s="168"/>
      <c r="G258" s="168"/>
      <c r="H258" s="168"/>
      <c r="I258" s="168"/>
      <c r="J258" s="168"/>
      <c r="K258" s="168"/>
      <c r="L258" s="168"/>
      <c r="M258" s="168"/>
      <c r="N258" s="168"/>
      <c r="O258" s="168"/>
      <c r="P258" s="168"/>
      <c r="Q258" s="168"/>
      <c r="R258" s="168"/>
      <c r="S258" s="168"/>
      <c r="T258" s="168"/>
      <c r="U258" s="168"/>
      <c r="V258" s="168"/>
      <c r="W258" s="168"/>
      <c r="X258" s="168"/>
      <c r="Y258" s="168"/>
      <c r="Z258" s="168"/>
    </row>
    <row r="259" customFormat="false" ht="15.75" hidden="false" customHeight="false" outlineLevel="0" collapsed="false">
      <c r="A259" s="168"/>
      <c r="B259" s="168"/>
      <c r="C259" s="168"/>
      <c r="D259" s="168"/>
      <c r="E259" s="168"/>
      <c r="F259" s="168"/>
      <c r="G259" s="168"/>
      <c r="H259" s="168"/>
      <c r="I259" s="168"/>
      <c r="J259" s="168"/>
      <c r="K259" s="168"/>
      <c r="L259" s="168"/>
      <c r="M259" s="168"/>
      <c r="N259" s="168"/>
      <c r="O259" s="168"/>
      <c r="P259" s="168"/>
      <c r="Q259" s="168"/>
      <c r="R259" s="168"/>
      <c r="S259" s="168"/>
      <c r="T259" s="168"/>
      <c r="U259" s="168"/>
      <c r="V259" s="168"/>
      <c r="W259" s="168"/>
      <c r="X259" s="168"/>
      <c r="Y259" s="168"/>
      <c r="Z259" s="168"/>
    </row>
    <row r="260" customFormat="false" ht="15.75" hidden="false" customHeight="false" outlineLevel="0" collapsed="false">
      <c r="A260" s="168"/>
      <c r="B260" s="168"/>
      <c r="C260" s="168"/>
      <c r="D260" s="168"/>
      <c r="E260" s="168"/>
      <c r="F260" s="168"/>
      <c r="G260" s="168"/>
      <c r="H260" s="168"/>
      <c r="I260" s="168"/>
      <c r="J260" s="168"/>
      <c r="K260" s="168"/>
      <c r="L260" s="168"/>
      <c r="M260" s="168"/>
      <c r="N260" s="168"/>
      <c r="O260" s="168"/>
      <c r="P260" s="168"/>
      <c r="Q260" s="168"/>
      <c r="R260" s="168"/>
      <c r="S260" s="168"/>
      <c r="T260" s="168"/>
      <c r="U260" s="168"/>
      <c r="V260" s="168"/>
      <c r="W260" s="168"/>
      <c r="X260" s="168"/>
      <c r="Y260" s="168"/>
      <c r="Z260" s="168"/>
    </row>
    <row r="261" customFormat="false" ht="15.75" hidden="false" customHeight="false" outlineLevel="0" collapsed="false">
      <c r="A261" s="168"/>
      <c r="B261" s="168"/>
      <c r="C261" s="168"/>
      <c r="D261" s="168"/>
      <c r="E261" s="168"/>
      <c r="F261" s="168"/>
      <c r="G261" s="168"/>
      <c r="H261" s="168"/>
      <c r="I261" s="168"/>
      <c r="J261" s="168"/>
      <c r="K261" s="168"/>
      <c r="L261" s="168"/>
      <c r="M261" s="168"/>
      <c r="N261" s="168"/>
      <c r="O261" s="168"/>
      <c r="P261" s="168"/>
      <c r="Q261" s="168"/>
      <c r="R261" s="168"/>
      <c r="S261" s="168"/>
      <c r="T261" s="168"/>
      <c r="U261" s="168"/>
      <c r="V261" s="168"/>
      <c r="W261" s="168"/>
      <c r="X261" s="168"/>
      <c r="Y261" s="168"/>
      <c r="Z261" s="168"/>
    </row>
    <row r="262" customFormat="false" ht="15.75" hidden="false" customHeight="false" outlineLevel="0" collapsed="false">
      <c r="A262" s="168"/>
      <c r="B262" s="168"/>
      <c r="C262" s="168"/>
      <c r="D262" s="168"/>
      <c r="E262" s="168"/>
      <c r="F262" s="168"/>
      <c r="G262" s="168"/>
      <c r="H262" s="168"/>
      <c r="I262" s="168"/>
      <c r="J262" s="168"/>
      <c r="K262" s="168"/>
      <c r="L262" s="168"/>
      <c r="M262" s="168"/>
      <c r="N262" s="168"/>
      <c r="O262" s="168"/>
      <c r="P262" s="168"/>
      <c r="Q262" s="168"/>
      <c r="R262" s="168"/>
      <c r="S262" s="168"/>
      <c r="T262" s="168"/>
      <c r="U262" s="168"/>
      <c r="V262" s="168"/>
      <c r="W262" s="168"/>
      <c r="X262" s="168"/>
      <c r="Y262" s="168"/>
      <c r="Z262" s="168"/>
    </row>
    <row r="263" customFormat="false" ht="15.75" hidden="false" customHeight="false" outlineLevel="0" collapsed="false">
      <c r="A263" s="168"/>
      <c r="B263" s="168"/>
      <c r="C263" s="168"/>
      <c r="D263" s="168"/>
      <c r="E263" s="168"/>
      <c r="F263" s="168"/>
      <c r="G263" s="168"/>
      <c r="H263" s="168"/>
      <c r="I263" s="168"/>
      <c r="J263" s="168"/>
      <c r="K263" s="168"/>
      <c r="L263" s="168"/>
      <c r="M263" s="168"/>
      <c r="N263" s="168"/>
      <c r="O263" s="168"/>
      <c r="P263" s="168"/>
      <c r="Q263" s="168"/>
      <c r="R263" s="168"/>
      <c r="S263" s="168"/>
      <c r="T263" s="168"/>
      <c r="U263" s="168"/>
      <c r="V263" s="168"/>
      <c r="W263" s="168"/>
      <c r="X263" s="168"/>
      <c r="Y263" s="168"/>
      <c r="Z263" s="168"/>
    </row>
    <row r="264" customFormat="false" ht="15.75" hidden="false" customHeight="false" outlineLevel="0" collapsed="false">
      <c r="A264" s="168"/>
      <c r="B264" s="168"/>
      <c r="C264" s="168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  <c r="N264" s="168"/>
      <c r="O264" s="168"/>
      <c r="P264" s="168"/>
      <c r="Q264" s="168"/>
      <c r="R264" s="168"/>
      <c r="S264" s="168"/>
      <c r="T264" s="168"/>
      <c r="U264" s="168"/>
      <c r="V264" s="168"/>
      <c r="W264" s="168"/>
      <c r="X264" s="168"/>
      <c r="Y264" s="168"/>
      <c r="Z264" s="168"/>
    </row>
    <row r="265" customFormat="false" ht="15.75" hidden="false" customHeight="false" outlineLevel="0" collapsed="false">
      <c r="A265" s="168"/>
      <c r="B265" s="168"/>
      <c r="C265" s="168"/>
      <c r="D265" s="168"/>
      <c r="E265" s="168"/>
      <c r="F265" s="168"/>
      <c r="G265" s="168"/>
      <c r="H265" s="168"/>
      <c r="I265" s="168"/>
      <c r="J265" s="168"/>
      <c r="K265" s="168"/>
      <c r="L265" s="168"/>
      <c r="M265" s="168"/>
      <c r="N265" s="168"/>
      <c r="O265" s="168"/>
      <c r="P265" s="168"/>
      <c r="Q265" s="168"/>
      <c r="R265" s="168"/>
      <c r="S265" s="168"/>
      <c r="T265" s="168"/>
      <c r="U265" s="168"/>
      <c r="V265" s="168"/>
      <c r="W265" s="168"/>
      <c r="X265" s="168"/>
      <c r="Y265" s="168"/>
      <c r="Z265" s="168"/>
    </row>
    <row r="266" customFormat="false" ht="15.75" hidden="false" customHeight="false" outlineLevel="0" collapsed="false">
      <c r="A266" s="168"/>
      <c r="B266" s="168"/>
      <c r="C266" s="168"/>
      <c r="D266" s="168"/>
      <c r="E266" s="168"/>
      <c r="F266" s="168"/>
      <c r="G266" s="168"/>
      <c r="H266" s="168"/>
      <c r="I266" s="168"/>
      <c r="J266" s="168"/>
      <c r="K266" s="168"/>
      <c r="L266" s="168"/>
      <c r="M266" s="168"/>
      <c r="N266" s="168"/>
      <c r="O266" s="168"/>
      <c r="P266" s="168"/>
      <c r="Q266" s="168"/>
      <c r="R266" s="168"/>
      <c r="S266" s="168"/>
      <c r="T266" s="168"/>
      <c r="U266" s="168"/>
      <c r="V266" s="168"/>
      <c r="W266" s="168"/>
      <c r="X266" s="168"/>
      <c r="Y266" s="168"/>
      <c r="Z266" s="168"/>
    </row>
    <row r="267" customFormat="false" ht="15.75" hidden="false" customHeight="false" outlineLevel="0" collapsed="false">
      <c r="A267" s="168"/>
      <c r="B267" s="168"/>
      <c r="C267" s="168"/>
      <c r="D267" s="168"/>
      <c r="E267" s="168"/>
      <c r="F267" s="168"/>
      <c r="G267" s="168"/>
      <c r="H267" s="168"/>
      <c r="I267" s="168"/>
      <c r="J267" s="168"/>
      <c r="K267" s="168"/>
      <c r="L267" s="168"/>
      <c r="M267" s="168"/>
      <c r="N267" s="168"/>
      <c r="O267" s="168"/>
      <c r="P267" s="168"/>
      <c r="Q267" s="168"/>
      <c r="R267" s="168"/>
      <c r="S267" s="168"/>
      <c r="T267" s="168"/>
      <c r="U267" s="168"/>
      <c r="V267" s="168"/>
      <c r="W267" s="168"/>
      <c r="X267" s="168"/>
      <c r="Y267" s="168"/>
      <c r="Z267" s="168"/>
    </row>
    <row r="268" customFormat="false" ht="15.75" hidden="false" customHeight="false" outlineLevel="0" collapsed="false">
      <c r="A268" s="168"/>
      <c r="B268" s="168"/>
      <c r="C268" s="168"/>
      <c r="D268" s="168"/>
      <c r="E268" s="168"/>
      <c r="F268" s="168"/>
      <c r="G268" s="168"/>
      <c r="H268" s="168"/>
      <c r="I268" s="168"/>
      <c r="J268" s="168"/>
      <c r="K268" s="168"/>
      <c r="L268" s="168"/>
      <c r="M268" s="168"/>
      <c r="N268" s="168"/>
      <c r="O268" s="168"/>
      <c r="P268" s="168"/>
      <c r="Q268" s="168"/>
      <c r="R268" s="168"/>
      <c r="S268" s="168"/>
      <c r="T268" s="168"/>
      <c r="U268" s="168"/>
      <c r="V268" s="168"/>
      <c r="W268" s="168"/>
      <c r="X268" s="168"/>
      <c r="Y268" s="168"/>
      <c r="Z268" s="168"/>
    </row>
    <row r="269" customFormat="false" ht="15.75" hidden="false" customHeight="false" outlineLevel="0" collapsed="false">
      <c r="A269" s="168"/>
      <c r="B269" s="168"/>
      <c r="C269" s="168"/>
      <c r="D269" s="168"/>
      <c r="E269" s="168"/>
      <c r="F269" s="168"/>
      <c r="G269" s="168"/>
      <c r="H269" s="168"/>
      <c r="I269" s="168"/>
      <c r="J269" s="168"/>
      <c r="K269" s="168"/>
      <c r="L269" s="168"/>
      <c r="M269" s="168"/>
      <c r="N269" s="168"/>
      <c r="O269" s="168"/>
      <c r="P269" s="168"/>
      <c r="Q269" s="168"/>
      <c r="R269" s="168"/>
      <c r="S269" s="168"/>
      <c r="T269" s="168"/>
      <c r="U269" s="168"/>
      <c r="V269" s="168"/>
      <c r="W269" s="168"/>
      <c r="X269" s="168"/>
      <c r="Y269" s="168"/>
      <c r="Z269" s="168"/>
    </row>
    <row r="270" customFormat="false" ht="15.75" hidden="false" customHeight="false" outlineLevel="0" collapsed="false">
      <c r="A270" s="168"/>
      <c r="B270" s="168"/>
      <c r="C270" s="168"/>
      <c r="D270" s="168"/>
      <c r="E270" s="168"/>
      <c r="F270" s="168"/>
      <c r="G270" s="168"/>
      <c r="H270" s="168"/>
      <c r="I270" s="168"/>
      <c r="J270" s="168"/>
      <c r="K270" s="168"/>
      <c r="L270" s="168"/>
      <c r="M270" s="168"/>
      <c r="N270" s="168"/>
      <c r="O270" s="168"/>
      <c r="P270" s="168"/>
      <c r="Q270" s="168"/>
      <c r="R270" s="168"/>
      <c r="S270" s="168"/>
      <c r="T270" s="168"/>
      <c r="U270" s="168"/>
      <c r="V270" s="168"/>
      <c r="W270" s="168"/>
      <c r="X270" s="168"/>
      <c r="Y270" s="168"/>
      <c r="Z270" s="168"/>
    </row>
    <row r="271" customFormat="false" ht="15.75" hidden="false" customHeight="false" outlineLevel="0" collapsed="false">
      <c r="A271" s="168"/>
      <c r="B271" s="168"/>
      <c r="C271" s="168"/>
      <c r="D271" s="168"/>
      <c r="E271" s="168"/>
      <c r="F271" s="168"/>
      <c r="G271" s="168"/>
      <c r="H271" s="168"/>
      <c r="I271" s="168"/>
      <c r="J271" s="168"/>
      <c r="K271" s="168"/>
      <c r="L271" s="168"/>
      <c r="M271" s="168"/>
      <c r="N271" s="168"/>
      <c r="O271" s="168"/>
      <c r="P271" s="168"/>
      <c r="Q271" s="168"/>
      <c r="R271" s="168"/>
      <c r="S271" s="168"/>
      <c r="T271" s="168"/>
      <c r="U271" s="168"/>
      <c r="V271" s="168"/>
      <c r="W271" s="168"/>
      <c r="X271" s="168"/>
      <c r="Y271" s="168"/>
      <c r="Z271" s="168"/>
    </row>
    <row r="272" customFormat="false" ht="15.75" hidden="false" customHeight="false" outlineLevel="0" collapsed="false">
      <c r="A272" s="168"/>
      <c r="B272" s="168"/>
      <c r="C272" s="168"/>
      <c r="D272" s="168"/>
      <c r="E272" s="168"/>
      <c r="F272" s="168"/>
      <c r="G272" s="168"/>
      <c r="H272" s="168"/>
      <c r="I272" s="168"/>
      <c r="J272" s="168"/>
      <c r="K272" s="168"/>
      <c r="L272" s="168"/>
      <c r="M272" s="168"/>
      <c r="N272" s="168"/>
      <c r="O272" s="168"/>
      <c r="P272" s="168"/>
      <c r="Q272" s="168"/>
      <c r="R272" s="168"/>
      <c r="S272" s="168"/>
      <c r="T272" s="168"/>
      <c r="U272" s="168"/>
      <c r="V272" s="168"/>
      <c r="W272" s="168"/>
      <c r="X272" s="168"/>
      <c r="Y272" s="168"/>
      <c r="Z272" s="168"/>
    </row>
    <row r="273" customFormat="false" ht="15.75" hidden="false" customHeight="false" outlineLevel="0" collapsed="false">
      <c r="A273" s="168"/>
      <c r="B273" s="168"/>
      <c r="C273" s="168"/>
      <c r="D273" s="168"/>
      <c r="E273" s="168"/>
      <c r="F273" s="168"/>
      <c r="G273" s="168"/>
      <c r="H273" s="168"/>
      <c r="I273" s="168"/>
      <c r="J273" s="168"/>
      <c r="K273" s="168"/>
      <c r="L273" s="168"/>
      <c r="M273" s="168"/>
      <c r="N273" s="168"/>
      <c r="O273" s="168"/>
      <c r="P273" s="168"/>
      <c r="Q273" s="168"/>
      <c r="R273" s="168"/>
      <c r="S273" s="168"/>
      <c r="T273" s="168"/>
      <c r="U273" s="168"/>
      <c r="V273" s="168"/>
      <c r="W273" s="168"/>
      <c r="X273" s="168"/>
      <c r="Y273" s="168"/>
      <c r="Z273" s="168"/>
    </row>
    <row r="274" customFormat="false" ht="15.75" hidden="false" customHeight="false" outlineLevel="0" collapsed="false">
      <c r="A274" s="168"/>
      <c r="B274" s="168"/>
      <c r="C274" s="168"/>
      <c r="D274" s="168"/>
      <c r="E274" s="168"/>
      <c r="F274" s="168"/>
      <c r="G274" s="168"/>
      <c r="H274" s="168"/>
      <c r="I274" s="168"/>
      <c r="J274" s="168"/>
      <c r="K274" s="168"/>
      <c r="L274" s="168"/>
      <c r="M274" s="168"/>
      <c r="N274" s="168"/>
      <c r="O274" s="168"/>
      <c r="P274" s="168"/>
      <c r="Q274" s="168"/>
      <c r="R274" s="168"/>
      <c r="S274" s="168"/>
      <c r="T274" s="168"/>
      <c r="U274" s="168"/>
      <c r="V274" s="168"/>
      <c r="W274" s="168"/>
      <c r="X274" s="168"/>
      <c r="Y274" s="168"/>
      <c r="Z274" s="168"/>
    </row>
    <row r="275" customFormat="false" ht="15.75" hidden="false" customHeight="false" outlineLevel="0" collapsed="false">
      <c r="A275" s="168"/>
      <c r="B275" s="168"/>
      <c r="C275" s="168"/>
      <c r="D275" s="168"/>
      <c r="E275" s="168"/>
      <c r="F275" s="168"/>
      <c r="G275" s="168"/>
      <c r="H275" s="168"/>
      <c r="I275" s="168"/>
      <c r="J275" s="168"/>
      <c r="K275" s="168"/>
      <c r="L275" s="168"/>
      <c r="M275" s="168"/>
      <c r="N275" s="168"/>
      <c r="O275" s="168"/>
      <c r="P275" s="168"/>
      <c r="Q275" s="168"/>
      <c r="R275" s="168"/>
      <c r="S275" s="168"/>
      <c r="T275" s="168"/>
      <c r="U275" s="168"/>
      <c r="V275" s="168"/>
      <c r="W275" s="168"/>
      <c r="X275" s="168"/>
      <c r="Y275" s="168"/>
      <c r="Z275" s="168"/>
    </row>
    <row r="276" customFormat="false" ht="15.75" hidden="false" customHeight="false" outlineLevel="0" collapsed="false">
      <c r="A276" s="168"/>
      <c r="B276" s="168"/>
      <c r="C276" s="168"/>
      <c r="D276" s="168"/>
      <c r="E276" s="168"/>
      <c r="F276" s="168"/>
      <c r="G276" s="168"/>
      <c r="H276" s="168"/>
      <c r="I276" s="168"/>
      <c r="J276" s="168"/>
      <c r="K276" s="168"/>
      <c r="L276" s="168"/>
      <c r="M276" s="168"/>
      <c r="N276" s="168"/>
      <c r="O276" s="168"/>
      <c r="P276" s="168"/>
      <c r="Q276" s="168"/>
      <c r="R276" s="168"/>
      <c r="S276" s="168"/>
      <c r="T276" s="168"/>
      <c r="U276" s="168"/>
      <c r="V276" s="168"/>
      <c r="W276" s="168"/>
      <c r="X276" s="168"/>
      <c r="Y276" s="168"/>
      <c r="Z276" s="168"/>
    </row>
    <row r="277" customFormat="false" ht="15.75" hidden="false" customHeight="false" outlineLevel="0" collapsed="false">
      <c r="A277" s="168"/>
      <c r="B277" s="168"/>
      <c r="C277" s="168"/>
      <c r="D277" s="168"/>
      <c r="E277" s="168"/>
      <c r="F277" s="168"/>
      <c r="G277" s="168"/>
      <c r="H277" s="168"/>
      <c r="I277" s="168"/>
      <c r="J277" s="168"/>
      <c r="K277" s="168"/>
      <c r="L277" s="168"/>
      <c r="M277" s="168"/>
      <c r="N277" s="168"/>
      <c r="O277" s="168"/>
      <c r="P277" s="168"/>
      <c r="Q277" s="168"/>
      <c r="R277" s="168"/>
      <c r="S277" s="168"/>
      <c r="T277" s="168"/>
      <c r="U277" s="168"/>
      <c r="V277" s="168"/>
      <c r="W277" s="168"/>
      <c r="X277" s="168"/>
      <c r="Y277" s="168"/>
      <c r="Z277" s="168"/>
    </row>
    <row r="278" customFormat="false" ht="15.75" hidden="false" customHeight="false" outlineLevel="0" collapsed="false">
      <c r="A278" s="168"/>
      <c r="B278" s="168"/>
      <c r="C278" s="168"/>
      <c r="D278" s="168"/>
      <c r="E278" s="168"/>
      <c r="F278" s="168"/>
      <c r="G278" s="168"/>
      <c r="H278" s="168"/>
      <c r="I278" s="168"/>
      <c r="J278" s="168"/>
      <c r="K278" s="168"/>
      <c r="L278" s="168"/>
      <c r="M278" s="168"/>
      <c r="N278" s="168"/>
      <c r="O278" s="168"/>
      <c r="P278" s="168"/>
      <c r="Q278" s="168"/>
      <c r="R278" s="168"/>
      <c r="S278" s="168"/>
      <c r="T278" s="168"/>
      <c r="U278" s="168"/>
      <c r="V278" s="168"/>
      <c r="W278" s="168"/>
      <c r="X278" s="168"/>
      <c r="Y278" s="168"/>
      <c r="Z278" s="168"/>
    </row>
    <row r="279" customFormat="false" ht="15.75" hidden="false" customHeight="false" outlineLevel="0" collapsed="false">
      <c r="A279" s="168"/>
      <c r="B279" s="168"/>
      <c r="C279" s="168"/>
      <c r="D279" s="168"/>
      <c r="E279" s="168"/>
      <c r="F279" s="168"/>
      <c r="G279" s="168"/>
      <c r="H279" s="168"/>
      <c r="I279" s="168"/>
      <c r="J279" s="168"/>
      <c r="K279" s="168"/>
      <c r="L279" s="168"/>
      <c r="M279" s="168"/>
      <c r="N279" s="168"/>
      <c r="O279" s="168"/>
      <c r="P279" s="168"/>
      <c r="Q279" s="168"/>
      <c r="R279" s="168"/>
      <c r="S279" s="168"/>
      <c r="T279" s="168"/>
      <c r="U279" s="168"/>
      <c r="V279" s="168"/>
      <c r="W279" s="168"/>
      <c r="X279" s="168"/>
      <c r="Y279" s="168"/>
      <c r="Z279" s="168"/>
    </row>
    <row r="280" customFormat="false" ht="15.75" hidden="false" customHeight="false" outlineLevel="0" collapsed="false">
      <c r="A280" s="168"/>
      <c r="B280" s="168"/>
      <c r="C280" s="168"/>
      <c r="D280" s="168"/>
      <c r="E280" s="168"/>
      <c r="F280" s="168"/>
      <c r="G280" s="168"/>
      <c r="H280" s="168"/>
      <c r="I280" s="168"/>
      <c r="J280" s="168"/>
      <c r="K280" s="168"/>
      <c r="L280" s="168"/>
      <c r="M280" s="168"/>
      <c r="N280" s="168"/>
      <c r="O280" s="168"/>
      <c r="P280" s="168"/>
      <c r="Q280" s="168"/>
      <c r="R280" s="168"/>
      <c r="S280" s="168"/>
      <c r="T280" s="168"/>
      <c r="U280" s="168"/>
      <c r="V280" s="168"/>
      <c r="W280" s="168"/>
      <c r="X280" s="168"/>
      <c r="Y280" s="168"/>
      <c r="Z280" s="168"/>
    </row>
    <row r="281" customFormat="false" ht="15.75" hidden="false" customHeight="false" outlineLevel="0" collapsed="false">
      <c r="A281" s="168"/>
      <c r="B281" s="168"/>
      <c r="C281" s="168"/>
      <c r="D281" s="168"/>
      <c r="E281" s="168"/>
      <c r="F281" s="168"/>
      <c r="G281" s="168"/>
      <c r="H281" s="168"/>
      <c r="I281" s="168"/>
      <c r="J281" s="168"/>
      <c r="K281" s="168"/>
      <c r="L281" s="168"/>
      <c r="M281" s="168"/>
      <c r="N281" s="168"/>
      <c r="O281" s="168"/>
      <c r="P281" s="168"/>
      <c r="Q281" s="168"/>
      <c r="R281" s="168"/>
      <c r="S281" s="168"/>
      <c r="T281" s="168"/>
      <c r="U281" s="168"/>
      <c r="V281" s="168"/>
      <c r="W281" s="168"/>
      <c r="X281" s="168"/>
      <c r="Y281" s="168"/>
      <c r="Z281" s="168"/>
    </row>
    <row r="282" customFormat="false" ht="15.75" hidden="false" customHeight="false" outlineLevel="0" collapsed="false">
      <c r="A282" s="168"/>
      <c r="B282" s="168"/>
      <c r="C282" s="168"/>
      <c r="D282" s="168"/>
      <c r="E282" s="168"/>
      <c r="F282" s="168"/>
      <c r="G282" s="168"/>
      <c r="H282" s="168"/>
      <c r="I282" s="168"/>
      <c r="J282" s="168"/>
      <c r="K282" s="168"/>
      <c r="L282" s="168"/>
      <c r="M282" s="168"/>
      <c r="N282" s="168"/>
      <c r="O282" s="168"/>
      <c r="P282" s="168"/>
      <c r="Q282" s="168"/>
      <c r="R282" s="168"/>
      <c r="S282" s="168"/>
      <c r="T282" s="168"/>
      <c r="U282" s="168"/>
      <c r="V282" s="168"/>
      <c r="W282" s="168"/>
      <c r="X282" s="168"/>
      <c r="Y282" s="168"/>
      <c r="Z282" s="168"/>
    </row>
    <row r="283" customFormat="false" ht="15.75" hidden="false" customHeight="false" outlineLevel="0" collapsed="false">
      <c r="A283" s="168"/>
      <c r="B283" s="168"/>
      <c r="C283" s="168"/>
      <c r="D283" s="168"/>
      <c r="E283" s="168"/>
      <c r="F283" s="168"/>
      <c r="G283" s="168"/>
      <c r="H283" s="168"/>
      <c r="I283" s="168"/>
      <c r="J283" s="168"/>
      <c r="K283" s="168"/>
      <c r="L283" s="168"/>
      <c r="M283" s="168"/>
      <c r="N283" s="168"/>
      <c r="O283" s="168"/>
      <c r="P283" s="168"/>
      <c r="Q283" s="168"/>
      <c r="R283" s="168"/>
      <c r="S283" s="168"/>
      <c r="T283" s="168"/>
      <c r="U283" s="168"/>
      <c r="V283" s="168"/>
      <c r="W283" s="168"/>
      <c r="X283" s="168"/>
      <c r="Y283" s="168"/>
      <c r="Z283" s="168"/>
    </row>
    <row r="284" customFormat="false" ht="15.75" hidden="false" customHeight="false" outlineLevel="0" collapsed="false">
      <c r="A284" s="168"/>
      <c r="B284" s="168"/>
      <c r="C284" s="168"/>
      <c r="D284" s="168"/>
      <c r="E284" s="168"/>
      <c r="F284" s="168"/>
      <c r="G284" s="168"/>
      <c r="H284" s="168"/>
      <c r="I284" s="168"/>
      <c r="J284" s="168"/>
      <c r="K284" s="168"/>
      <c r="L284" s="168"/>
      <c r="M284" s="168"/>
      <c r="N284" s="168"/>
      <c r="O284" s="168"/>
      <c r="P284" s="168"/>
      <c r="Q284" s="168"/>
      <c r="R284" s="168"/>
      <c r="S284" s="168"/>
      <c r="T284" s="168"/>
      <c r="U284" s="168"/>
      <c r="V284" s="168"/>
      <c r="W284" s="168"/>
      <c r="X284" s="168"/>
      <c r="Y284" s="168"/>
      <c r="Z284" s="168"/>
    </row>
    <row r="285" customFormat="false" ht="15.75" hidden="false" customHeight="false" outlineLevel="0" collapsed="false">
      <c r="A285" s="168"/>
      <c r="B285" s="168"/>
      <c r="C285" s="168"/>
      <c r="D285" s="168"/>
      <c r="E285" s="168"/>
      <c r="F285" s="168"/>
      <c r="G285" s="168"/>
      <c r="H285" s="168"/>
      <c r="I285" s="168"/>
      <c r="J285" s="168"/>
      <c r="K285" s="168"/>
      <c r="L285" s="168"/>
      <c r="M285" s="168"/>
      <c r="N285" s="168"/>
      <c r="O285" s="168"/>
      <c r="P285" s="168"/>
      <c r="Q285" s="168"/>
      <c r="R285" s="168"/>
      <c r="S285" s="168"/>
      <c r="T285" s="168"/>
      <c r="U285" s="168"/>
      <c r="V285" s="168"/>
      <c r="W285" s="168"/>
      <c r="X285" s="168"/>
      <c r="Y285" s="168"/>
      <c r="Z285" s="168"/>
    </row>
    <row r="286" customFormat="false" ht="15.75" hidden="false" customHeight="false" outlineLevel="0" collapsed="false">
      <c r="A286" s="168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</row>
    <row r="287" customFormat="false" ht="15.75" hidden="false" customHeight="false" outlineLevel="0" collapsed="false">
      <c r="A287" s="168"/>
      <c r="B287" s="168"/>
      <c r="C287" s="168"/>
      <c r="D287" s="168"/>
      <c r="E287" s="168"/>
      <c r="F287" s="168"/>
      <c r="G287" s="168"/>
      <c r="H287" s="168"/>
      <c r="I287" s="168"/>
      <c r="J287" s="168"/>
      <c r="K287" s="168"/>
      <c r="L287" s="168"/>
      <c r="M287" s="168"/>
      <c r="N287" s="168"/>
      <c r="O287" s="168"/>
      <c r="P287" s="168"/>
      <c r="Q287" s="168"/>
      <c r="R287" s="168"/>
      <c r="S287" s="168"/>
      <c r="T287" s="168"/>
      <c r="U287" s="168"/>
      <c r="V287" s="168"/>
      <c r="W287" s="168"/>
      <c r="X287" s="168"/>
      <c r="Y287" s="168"/>
      <c r="Z287" s="168"/>
    </row>
    <row r="288" customFormat="false" ht="15.75" hidden="false" customHeight="false" outlineLevel="0" collapsed="false">
      <c r="A288" s="168"/>
      <c r="B288" s="168"/>
      <c r="C288" s="168"/>
      <c r="D288" s="168"/>
      <c r="E288" s="168"/>
      <c r="F288" s="168"/>
      <c r="G288" s="168"/>
      <c r="H288" s="168"/>
      <c r="I288" s="168"/>
      <c r="J288" s="168"/>
      <c r="K288" s="168"/>
      <c r="L288" s="168"/>
      <c r="M288" s="168"/>
      <c r="N288" s="168"/>
      <c r="O288" s="168"/>
      <c r="P288" s="168"/>
      <c r="Q288" s="168"/>
      <c r="R288" s="168"/>
      <c r="S288" s="168"/>
      <c r="T288" s="168"/>
      <c r="U288" s="168"/>
      <c r="V288" s="168"/>
      <c r="W288" s="168"/>
      <c r="X288" s="168"/>
      <c r="Y288" s="168"/>
      <c r="Z288" s="168"/>
    </row>
    <row r="289" customFormat="false" ht="15.75" hidden="false" customHeight="false" outlineLevel="0" collapsed="false">
      <c r="A289" s="168"/>
      <c r="B289" s="168"/>
      <c r="C289" s="168"/>
      <c r="D289" s="168"/>
      <c r="E289" s="168"/>
      <c r="F289" s="168"/>
      <c r="G289" s="168"/>
      <c r="H289" s="168"/>
      <c r="I289" s="168"/>
      <c r="J289" s="168"/>
      <c r="K289" s="168"/>
      <c r="L289" s="168"/>
      <c r="M289" s="168"/>
      <c r="N289" s="168"/>
      <c r="O289" s="168"/>
      <c r="P289" s="168"/>
      <c r="Q289" s="168"/>
      <c r="R289" s="168"/>
      <c r="S289" s="168"/>
      <c r="T289" s="168"/>
      <c r="U289" s="168"/>
      <c r="V289" s="168"/>
      <c r="W289" s="168"/>
      <c r="X289" s="168"/>
      <c r="Y289" s="168"/>
      <c r="Z289" s="168"/>
    </row>
    <row r="290" customFormat="false" ht="15.75" hidden="false" customHeight="false" outlineLevel="0" collapsed="false">
      <c r="A290" s="168"/>
      <c r="B290" s="168"/>
      <c r="C290" s="168"/>
      <c r="D290" s="168"/>
      <c r="E290" s="168"/>
      <c r="F290" s="168"/>
      <c r="G290" s="168"/>
      <c r="H290" s="168"/>
      <c r="I290" s="168"/>
      <c r="J290" s="168"/>
      <c r="K290" s="168"/>
      <c r="L290" s="168"/>
      <c r="M290" s="168"/>
      <c r="N290" s="168"/>
      <c r="O290" s="168"/>
      <c r="P290" s="168"/>
      <c r="Q290" s="168"/>
      <c r="R290" s="168"/>
      <c r="S290" s="168"/>
      <c r="T290" s="168"/>
      <c r="U290" s="168"/>
      <c r="V290" s="168"/>
      <c r="W290" s="168"/>
      <c r="X290" s="168"/>
      <c r="Y290" s="168"/>
      <c r="Z290" s="168"/>
    </row>
    <row r="291" customFormat="false" ht="15.75" hidden="false" customHeight="false" outlineLevel="0" collapsed="false">
      <c r="A291" s="168"/>
      <c r="B291" s="168"/>
      <c r="C291" s="168"/>
      <c r="D291" s="168"/>
      <c r="E291" s="168"/>
      <c r="F291" s="168"/>
      <c r="G291" s="168"/>
      <c r="H291" s="168"/>
      <c r="I291" s="168"/>
      <c r="J291" s="168"/>
      <c r="K291" s="168"/>
      <c r="L291" s="168"/>
      <c r="M291" s="168"/>
      <c r="N291" s="168"/>
      <c r="O291" s="168"/>
      <c r="P291" s="168"/>
      <c r="Q291" s="168"/>
      <c r="R291" s="168"/>
      <c r="S291" s="168"/>
      <c r="T291" s="168"/>
      <c r="U291" s="168"/>
      <c r="V291" s="168"/>
      <c r="W291" s="168"/>
      <c r="X291" s="168"/>
      <c r="Y291" s="168"/>
      <c r="Z291" s="168"/>
    </row>
    <row r="292" customFormat="false" ht="15.75" hidden="false" customHeight="false" outlineLevel="0" collapsed="false">
      <c r="A292" s="168"/>
      <c r="B292" s="168"/>
      <c r="C292" s="168"/>
      <c r="D292" s="168"/>
      <c r="E292" s="168"/>
      <c r="F292" s="168"/>
      <c r="G292" s="168"/>
      <c r="H292" s="168"/>
      <c r="I292" s="168"/>
      <c r="J292" s="168"/>
      <c r="K292" s="168"/>
      <c r="L292" s="168"/>
      <c r="M292" s="168"/>
      <c r="N292" s="168"/>
      <c r="O292" s="168"/>
      <c r="P292" s="168"/>
      <c r="Q292" s="168"/>
      <c r="R292" s="168"/>
      <c r="S292" s="168"/>
      <c r="T292" s="168"/>
      <c r="U292" s="168"/>
      <c r="V292" s="168"/>
      <c r="W292" s="168"/>
      <c r="X292" s="168"/>
      <c r="Y292" s="168"/>
      <c r="Z292" s="168"/>
    </row>
    <row r="293" customFormat="false" ht="15.75" hidden="false" customHeight="false" outlineLevel="0" collapsed="false">
      <c r="A293" s="168"/>
      <c r="B293" s="168"/>
      <c r="C293" s="168"/>
      <c r="D293" s="168"/>
      <c r="E293" s="168"/>
      <c r="F293" s="168"/>
      <c r="G293" s="168"/>
      <c r="H293" s="168"/>
      <c r="I293" s="168"/>
      <c r="J293" s="168"/>
      <c r="K293" s="168"/>
      <c r="L293" s="168"/>
      <c r="M293" s="168"/>
      <c r="N293" s="168"/>
      <c r="O293" s="168"/>
      <c r="P293" s="168"/>
      <c r="Q293" s="168"/>
      <c r="R293" s="168"/>
      <c r="S293" s="168"/>
      <c r="T293" s="168"/>
      <c r="U293" s="168"/>
      <c r="V293" s="168"/>
      <c r="W293" s="168"/>
      <c r="X293" s="168"/>
      <c r="Y293" s="168"/>
      <c r="Z293" s="168"/>
    </row>
    <row r="294" customFormat="false" ht="15.75" hidden="false" customHeight="false" outlineLevel="0" collapsed="false">
      <c r="A294" s="168"/>
      <c r="B294" s="168"/>
      <c r="C294" s="168"/>
      <c r="D294" s="168"/>
      <c r="E294" s="168"/>
      <c r="F294" s="168"/>
      <c r="G294" s="168"/>
      <c r="H294" s="168"/>
      <c r="I294" s="168"/>
      <c r="J294" s="168"/>
      <c r="K294" s="168"/>
      <c r="L294" s="168"/>
      <c r="M294" s="168"/>
      <c r="N294" s="168"/>
      <c r="O294" s="168"/>
      <c r="P294" s="168"/>
      <c r="Q294" s="168"/>
      <c r="R294" s="168"/>
      <c r="S294" s="168"/>
      <c r="T294" s="168"/>
      <c r="U294" s="168"/>
      <c r="V294" s="168"/>
      <c r="W294" s="168"/>
      <c r="X294" s="168"/>
      <c r="Y294" s="168"/>
      <c r="Z294" s="168"/>
    </row>
    <row r="295" customFormat="false" ht="15.75" hidden="false" customHeight="false" outlineLevel="0" collapsed="false">
      <c r="A295" s="168"/>
      <c r="B295" s="168"/>
      <c r="C295" s="168"/>
      <c r="D295" s="168"/>
      <c r="E295" s="168"/>
      <c r="F295" s="168"/>
      <c r="G295" s="168"/>
      <c r="H295" s="168"/>
      <c r="I295" s="168"/>
      <c r="J295" s="168"/>
      <c r="K295" s="168"/>
      <c r="L295" s="168"/>
      <c r="M295" s="168"/>
      <c r="N295" s="168"/>
      <c r="O295" s="168"/>
      <c r="P295" s="168"/>
      <c r="Q295" s="168"/>
      <c r="R295" s="168"/>
      <c r="S295" s="168"/>
      <c r="T295" s="168"/>
      <c r="U295" s="168"/>
      <c r="V295" s="168"/>
      <c r="W295" s="168"/>
      <c r="X295" s="168"/>
      <c r="Y295" s="168"/>
      <c r="Z295" s="168"/>
    </row>
    <row r="296" customFormat="false" ht="15.75" hidden="false" customHeight="false" outlineLevel="0" collapsed="false">
      <c r="A296" s="168"/>
      <c r="B296" s="168"/>
      <c r="C296" s="168"/>
      <c r="D296" s="168"/>
      <c r="E296" s="168"/>
      <c r="F296" s="168"/>
      <c r="G296" s="168"/>
      <c r="H296" s="168"/>
      <c r="I296" s="168"/>
      <c r="J296" s="168"/>
      <c r="K296" s="168"/>
      <c r="L296" s="168"/>
      <c r="M296" s="168"/>
      <c r="N296" s="168"/>
      <c r="O296" s="168"/>
      <c r="P296" s="168"/>
      <c r="Q296" s="168"/>
      <c r="R296" s="168"/>
      <c r="S296" s="168"/>
      <c r="T296" s="168"/>
      <c r="U296" s="168"/>
      <c r="V296" s="168"/>
      <c r="W296" s="168"/>
      <c r="X296" s="168"/>
      <c r="Y296" s="168"/>
      <c r="Z296" s="168"/>
    </row>
    <row r="297" customFormat="false" ht="15.75" hidden="false" customHeight="false" outlineLevel="0" collapsed="false">
      <c r="A297" s="168"/>
      <c r="B297" s="168"/>
      <c r="C297" s="168"/>
      <c r="D297" s="168"/>
      <c r="E297" s="168"/>
      <c r="F297" s="168"/>
      <c r="G297" s="168"/>
      <c r="H297" s="168"/>
      <c r="I297" s="168"/>
      <c r="J297" s="168"/>
      <c r="K297" s="168"/>
      <c r="L297" s="168"/>
      <c r="M297" s="168"/>
      <c r="N297" s="168"/>
      <c r="O297" s="168"/>
      <c r="P297" s="168"/>
      <c r="Q297" s="168"/>
      <c r="R297" s="168"/>
      <c r="S297" s="168"/>
      <c r="T297" s="168"/>
      <c r="U297" s="168"/>
      <c r="V297" s="168"/>
      <c r="W297" s="168"/>
      <c r="X297" s="168"/>
      <c r="Y297" s="168"/>
      <c r="Z297" s="168"/>
    </row>
    <row r="298" customFormat="false" ht="15.75" hidden="false" customHeight="false" outlineLevel="0" collapsed="false">
      <c r="A298" s="168"/>
      <c r="B298" s="168"/>
      <c r="C298" s="168"/>
      <c r="D298" s="168"/>
      <c r="E298" s="168"/>
      <c r="F298" s="168"/>
      <c r="G298" s="168"/>
      <c r="H298" s="168"/>
      <c r="I298" s="168"/>
      <c r="J298" s="168"/>
      <c r="K298" s="168"/>
      <c r="L298" s="168"/>
      <c r="M298" s="168"/>
      <c r="N298" s="168"/>
      <c r="O298" s="168"/>
      <c r="P298" s="168"/>
      <c r="Q298" s="168"/>
      <c r="R298" s="168"/>
      <c r="S298" s="168"/>
      <c r="T298" s="168"/>
      <c r="U298" s="168"/>
      <c r="V298" s="168"/>
      <c r="W298" s="168"/>
      <c r="X298" s="168"/>
      <c r="Y298" s="168"/>
      <c r="Z298" s="168"/>
    </row>
    <row r="299" customFormat="false" ht="15.75" hidden="false" customHeight="false" outlineLevel="0" collapsed="false">
      <c r="A299" s="168"/>
      <c r="B299" s="168"/>
      <c r="C299" s="168"/>
      <c r="D299" s="168"/>
      <c r="E299" s="168"/>
      <c r="F299" s="168"/>
      <c r="G299" s="168"/>
      <c r="H299" s="168"/>
      <c r="I299" s="168"/>
      <c r="J299" s="168"/>
      <c r="K299" s="168"/>
      <c r="L299" s="168"/>
      <c r="M299" s="168"/>
      <c r="N299" s="168"/>
      <c r="O299" s="168"/>
      <c r="P299" s="168"/>
      <c r="Q299" s="168"/>
      <c r="R299" s="168"/>
      <c r="S299" s="168"/>
      <c r="T299" s="168"/>
      <c r="U299" s="168"/>
      <c r="V299" s="168"/>
      <c r="W299" s="168"/>
      <c r="X299" s="168"/>
      <c r="Y299" s="168"/>
      <c r="Z299" s="168"/>
    </row>
    <row r="300" customFormat="false" ht="15.75" hidden="false" customHeight="false" outlineLevel="0" collapsed="false">
      <c r="A300" s="168"/>
      <c r="B300" s="168"/>
      <c r="C300" s="168"/>
      <c r="D300" s="168"/>
      <c r="E300" s="168"/>
      <c r="F300" s="168"/>
      <c r="G300" s="168"/>
      <c r="H300" s="168"/>
      <c r="I300" s="168"/>
      <c r="J300" s="168"/>
      <c r="K300" s="168"/>
      <c r="L300" s="168"/>
      <c r="M300" s="168"/>
      <c r="N300" s="168"/>
      <c r="O300" s="168"/>
      <c r="P300" s="168"/>
      <c r="Q300" s="168"/>
      <c r="R300" s="168"/>
      <c r="S300" s="168"/>
      <c r="T300" s="168"/>
      <c r="U300" s="168"/>
      <c r="V300" s="168"/>
      <c r="W300" s="168"/>
      <c r="X300" s="168"/>
      <c r="Y300" s="168"/>
      <c r="Z300" s="168"/>
    </row>
    <row r="301" customFormat="false" ht="15.75" hidden="false" customHeight="false" outlineLevel="0" collapsed="false">
      <c r="A301" s="168"/>
      <c r="B301" s="168"/>
      <c r="C301" s="168"/>
      <c r="D301" s="168"/>
      <c r="E301" s="168"/>
      <c r="F301" s="168"/>
      <c r="G301" s="168"/>
      <c r="H301" s="168"/>
      <c r="I301" s="168"/>
      <c r="J301" s="168"/>
      <c r="K301" s="168"/>
      <c r="L301" s="168"/>
      <c r="M301" s="168"/>
      <c r="N301" s="168"/>
      <c r="O301" s="168"/>
      <c r="P301" s="168"/>
      <c r="Q301" s="168"/>
      <c r="R301" s="168"/>
      <c r="S301" s="168"/>
      <c r="T301" s="168"/>
      <c r="U301" s="168"/>
      <c r="V301" s="168"/>
      <c r="W301" s="168"/>
      <c r="X301" s="168"/>
      <c r="Y301" s="168"/>
      <c r="Z301" s="168"/>
    </row>
    <row r="302" customFormat="false" ht="15.75" hidden="false" customHeight="false" outlineLevel="0" collapsed="false">
      <c r="A302" s="168"/>
      <c r="B302" s="168"/>
      <c r="C302" s="168"/>
      <c r="D302" s="168"/>
      <c r="E302" s="168"/>
      <c r="F302" s="168"/>
      <c r="G302" s="168"/>
      <c r="H302" s="168"/>
      <c r="I302" s="168"/>
      <c r="J302" s="168"/>
      <c r="K302" s="168"/>
      <c r="L302" s="168"/>
      <c r="M302" s="168"/>
      <c r="N302" s="168"/>
      <c r="O302" s="168"/>
      <c r="P302" s="168"/>
      <c r="Q302" s="168"/>
      <c r="R302" s="168"/>
      <c r="S302" s="168"/>
      <c r="T302" s="168"/>
      <c r="U302" s="168"/>
      <c r="V302" s="168"/>
      <c r="W302" s="168"/>
      <c r="X302" s="168"/>
      <c r="Y302" s="168"/>
      <c r="Z302" s="168"/>
    </row>
    <row r="303" customFormat="false" ht="15.75" hidden="false" customHeight="false" outlineLevel="0" collapsed="false">
      <c r="A303" s="168"/>
      <c r="B303" s="168"/>
      <c r="C303" s="168"/>
      <c r="D303" s="168"/>
      <c r="E303" s="168"/>
      <c r="F303" s="168"/>
      <c r="G303" s="168"/>
      <c r="H303" s="168"/>
      <c r="I303" s="168"/>
      <c r="J303" s="168"/>
      <c r="K303" s="168"/>
      <c r="L303" s="168"/>
      <c r="M303" s="168"/>
      <c r="N303" s="168"/>
      <c r="O303" s="168"/>
      <c r="P303" s="168"/>
      <c r="Q303" s="168"/>
      <c r="R303" s="168"/>
      <c r="S303" s="168"/>
      <c r="T303" s="168"/>
      <c r="U303" s="168"/>
      <c r="V303" s="168"/>
      <c r="W303" s="168"/>
      <c r="X303" s="168"/>
      <c r="Y303" s="168"/>
      <c r="Z303" s="168"/>
    </row>
    <row r="304" customFormat="false" ht="15.75" hidden="false" customHeight="false" outlineLevel="0" collapsed="false">
      <c r="A304" s="168"/>
      <c r="B304" s="168"/>
      <c r="C304" s="168"/>
      <c r="D304" s="168"/>
      <c r="E304" s="168"/>
      <c r="F304" s="168"/>
      <c r="G304" s="168"/>
      <c r="H304" s="168"/>
      <c r="I304" s="168"/>
      <c r="J304" s="168"/>
      <c r="K304" s="168"/>
      <c r="L304" s="168"/>
      <c r="M304" s="168"/>
      <c r="N304" s="168"/>
      <c r="O304" s="168"/>
      <c r="P304" s="168"/>
      <c r="Q304" s="168"/>
      <c r="R304" s="168"/>
      <c r="S304" s="168"/>
      <c r="T304" s="168"/>
      <c r="U304" s="168"/>
      <c r="V304" s="168"/>
      <c r="W304" s="168"/>
      <c r="X304" s="168"/>
      <c r="Y304" s="168"/>
      <c r="Z304" s="168"/>
    </row>
    <row r="305" customFormat="false" ht="15.75" hidden="false" customHeight="false" outlineLevel="0" collapsed="false">
      <c r="A305" s="168"/>
      <c r="B305" s="168"/>
      <c r="C305" s="168"/>
      <c r="D305" s="168"/>
      <c r="E305" s="168"/>
      <c r="F305" s="168"/>
      <c r="G305" s="168"/>
      <c r="H305" s="168"/>
      <c r="I305" s="168"/>
      <c r="J305" s="168"/>
      <c r="K305" s="168"/>
      <c r="L305" s="168"/>
      <c r="M305" s="168"/>
      <c r="N305" s="168"/>
      <c r="O305" s="168"/>
      <c r="P305" s="168"/>
      <c r="Q305" s="168"/>
      <c r="R305" s="168"/>
      <c r="S305" s="168"/>
      <c r="T305" s="168"/>
      <c r="U305" s="168"/>
      <c r="V305" s="168"/>
      <c r="W305" s="168"/>
      <c r="X305" s="168"/>
      <c r="Y305" s="168"/>
      <c r="Z305" s="168"/>
    </row>
    <row r="306" customFormat="false" ht="15.75" hidden="false" customHeight="false" outlineLevel="0" collapsed="false">
      <c r="A306" s="168"/>
      <c r="B306" s="168"/>
      <c r="C306" s="168"/>
      <c r="D306" s="168"/>
      <c r="E306" s="168"/>
      <c r="F306" s="168"/>
      <c r="G306" s="168"/>
      <c r="H306" s="168"/>
      <c r="I306" s="168"/>
      <c r="J306" s="168"/>
      <c r="K306" s="168"/>
      <c r="L306" s="168"/>
      <c r="M306" s="168"/>
      <c r="N306" s="168"/>
      <c r="O306" s="168"/>
      <c r="P306" s="168"/>
      <c r="Q306" s="168"/>
      <c r="R306" s="168"/>
      <c r="S306" s="168"/>
      <c r="T306" s="168"/>
      <c r="U306" s="168"/>
      <c r="V306" s="168"/>
      <c r="W306" s="168"/>
      <c r="X306" s="168"/>
      <c r="Y306" s="168"/>
      <c r="Z306" s="168"/>
    </row>
    <row r="307" customFormat="false" ht="15.75" hidden="false" customHeight="false" outlineLevel="0" collapsed="false">
      <c r="A307" s="168"/>
      <c r="B307" s="168"/>
      <c r="C307" s="168"/>
      <c r="D307" s="168"/>
      <c r="E307" s="168"/>
      <c r="F307" s="168"/>
      <c r="G307" s="168"/>
      <c r="H307" s="168"/>
      <c r="I307" s="168"/>
      <c r="J307" s="168"/>
      <c r="K307" s="168"/>
      <c r="L307" s="168"/>
      <c r="M307" s="168"/>
      <c r="N307" s="168"/>
      <c r="O307" s="168"/>
      <c r="P307" s="168"/>
      <c r="Q307" s="168"/>
      <c r="R307" s="168"/>
      <c r="S307" s="168"/>
      <c r="T307" s="168"/>
      <c r="U307" s="168"/>
      <c r="V307" s="168"/>
      <c r="W307" s="168"/>
      <c r="X307" s="168"/>
      <c r="Y307" s="168"/>
      <c r="Z307" s="168"/>
    </row>
    <row r="308" customFormat="false" ht="15.75" hidden="false" customHeight="false" outlineLevel="0" collapsed="false">
      <c r="A308" s="168"/>
      <c r="B308" s="168"/>
      <c r="C308" s="168"/>
      <c r="D308" s="168"/>
      <c r="E308" s="168"/>
      <c r="F308" s="168"/>
      <c r="G308" s="168"/>
      <c r="H308" s="168"/>
      <c r="I308" s="168"/>
      <c r="J308" s="168"/>
      <c r="K308" s="168"/>
      <c r="L308" s="168"/>
      <c r="M308" s="168"/>
      <c r="N308" s="168"/>
      <c r="O308" s="168"/>
      <c r="P308" s="168"/>
      <c r="Q308" s="168"/>
      <c r="R308" s="168"/>
      <c r="S308" s="168"/>
      <c r="T308" s="168"/>
      <c r="U308" s="168"/>
      <c r="V308" s="168"/>
      <c r="W308" s="168"/>
      <c r="X308" s="168"/>
      <c r="Y308" s="168"/>
      <c r="Z308" s="168"/>
    </row>
    <row r="309" customFormat="false" ht="15.75" hidden="false" customHeight="false" outlineLevel="0" collapsed="false">
      <c r="A309" s="168"/>
      <c r="B309" s="168"/>
      <c r="C309" s="168"/>
      <c r="D309" s="168"/>
      <c r="E309" s="168"/>
      <c r="F309" s="168"/>
      <c r="G309" s="168"/>
      <c r="H309" s="168"/>
      <c r="I309" s="168"/>
      <c r="J309" s="168"/>
      <c r="K309" s="168"/>
      <c r="L309" s="168"/>
      <c r="M309" s="168"/>
      <c r="N309" s="168"/>
      <c r="O309" s="168"/>
      <c r="P309" s="168"/>
      <c r="Q309" s="168"/>
      <c r="R309" s="168"/>
      <c r="S309" s="168"/>
      <c r="T309" s="168"/>
      <c r="U309" s="168"/>
      <c r="V309" s="168"/>
      <c r="W309" s="168"/>
      <c r="X309" s="168"/>
      <c r="Y309" s="168"/>
      <c r="Z309" s="168"/>
    </row>
    <row r="310" customFormat="false" ht="15.75" hidden="false" customHeight="false" outlineLevel="0" collapsed="false">
      <c r="A310" s="168"/>
      <c r="B310" s="168"/>
      <c r="C310" s="168"/>
      <c r="D310" s="168"/>
      <c r="E310" s="168"/>
      <c r="F310" s="168"/>
      <c r="G310" s="168"/>
      <c r="H310" s="168"/>
      <c r="I310" s="168"/>
      <c r="J310" s="168"/>
      <c r="K310" s="168"/>
      <c r="L310" s="168"/>
      <c r="M310" s="168"/>
      <c r="N310" s="168"/>
      <c r="O310" s="168"/>
      <c r="P310" s="168"/>
      <c r="Q310" s="168"/>
      <c r="R310" s="168"/>
      <c r="S310" s="168"/>
      <c r="T310" s="168"/>
      <c r="U310" s="168"/>
      <c r="V310" s="168"/>
      <c r="W310" s="168"/>
      <c r="X310" s="168"/>
      <c r="Y310" s="168"/>
      <c r="Z310" s="168"/>
    </row>
    <row r="311" customFormat="false" ht="15.75" hidden="false" customHeight="false" outlineLevel="0" collapsed="false">
      <c r="A311" s="168"/>
      <c r="B311" s="168"/>
      <c r="C311" s="168"/>
      <c r="D311" s="168"/>
      <c r="E311" s="168"/>
      <c r="F311" s="168"/>
      <c r="G311" s="168"/>
      <c r="H311" s="168"/>
      <c r="I311" s="168"/>
      <c r="J311" s="168"/>
      <c r="K311" s="168"/>
      <c r="L311" s="168"/>
      <c r="M311" s="168"/>
      <c r="N311" s="168"/>
      <c r="O311" s="168"/>
      <c r="P311" s="168"/>
      <c r="Q311" s="168"/>
      <c r="R311" s="168"/>
      <c r="S311" s="168"/>
      <c r="T311" s="168"/>
      <c r="U311" s="168"/>
      <c r="V311" s="168"/>
      <c r="W311" s="168"/>
      <c r="X311" s="168"/>
      <c r="Y311" s="168"/>
      <c r="Z311" s="168"/>
    </row>
    <row r="312" customFormat="false" ht="15.75" hidden="false" customHeight="false" outlineLevel="0" collapsed="false">
      <c r="A312" s="168"/>
      <c r="B312" s="168"/>
      <c r="C312" s="168"/>
      <c r="D312" s="168"/>
      <c r="E312" s="168"/>
      <c r="F312" s="168"/>
      <c r="G312" s="168"/>
      <c r="H312" s="168"/>
      <c r="I312" s="168"/>
      <c r="J312" s="168"/>
      <c r="K312" s="168"/>
      <c r="L312" s="168"/>
      <c r="M312" s="168"/>
      <c r="N312" s="168"/>
      <c r="O312" s="168"/>
      <c r="P312" s="168"/>
      <c r="Q312" s="168"/>
      <c r="R312" s="168"/>
      <c r="S312" s="168"/>
      <c r="T312" s="168"/>
      <c r="U312" s="168"/>
      <c r="V312" s="168"/>
      <c r="W312" s="168"/>
      <c r="X312" s="168"/>
      <c r="Y312" s="168"/>
      <c r="Z312" s="168"/>
    </row>
    <row r="313" customFormat="false" ht="15.75" hidden="false" customHeight="false" outlineLevel="0" collapsed="false">
      <c r="A313" s="168"/>
      <c r="B313" s="168"/>
      <c r="C313" s="168"/>
      <c r="D313" s="168"/>
      <c r="E313" s="168"/>
      <c r="F313" s="168"/>
      <c r="G313" s="168"/>
      <c r="H313" s="168"/>
      <c r="I313" s="168"/>
      <c r="J313" s="168"/>
      <c r="K313" s="168"/>
      <c r="L313" s="168"/>
      <c r="M313" s="168"/>
      <c r="N313" s="168"/>
      <c r="O313" s="168"/>
      <c r="P313" s="168"/>
      <c r="Q313" s="168"/>
      <c r="R313" s="168"/>
      <c r="S313" s="168"/>
      <c r="T313" s="168"/>
      <c r="U313" s="168"/>
      <c r="V313" s="168"/>
      <c r="W313" s="168"/>
      <c r="X313" s="168"/>
      <c r="Y313" s="168"/>
      <c r="Z313" s="168"/>
    </row>
    <row r="314" customFormat="false" ht="15.75" hidden="false" customHeight="false" outlineLevel="0" collapsed="false">
      <c r="A314" s="168"/>
      <c r="B314" s="168"/>
      <c r="C314" s="168"/>
      <c r="D314" s="168"/>
      <c r="E314" s="168"/>
      <c r="F314" s="168"/>
      <c r="G314" s="168"/>
      <c r="H314" s="168"/>
      <c r="I314" s="168"/>
      <c r="J314" s="168"/>
      <c r="K314" s="168"/>
      <c r="L314" s="168"/>
      <c r="M314" s="168"/>
      <c r="N314" s="168"/>
      <c r="O314" s="168"/>
      <c r="P314" s="168"/>
      <c r="Q314" s="168"/>
      <c r="R314" s="168"/>
      <c r="S314" s="168"/>
      <c r="T314" s="168"/>
      <c r="U314" s="168"/>
      <c r="V314" s="168"/>
      <c r="W314" s="168"/>
      <c r="X314" s="168"/>
      <c r="Y314" s="168"/>
      <c r="Z314" s="168"/>
    </row>
    <row r="315" customFormat="false" ht="15.75" hidden="false" customHeight="false" outlineLevel="0" collapsed="false">
      <c r="A315" s="168"/>
      <c r="B315" s="168"/>
      <c r="C315" s="168"/>
      <c r="D315" s="168"/>
      <c r="E315" s="168"/>
      <c r="F315" s="168"/>
      <c r="G315" s="168"/>
      <c r="H315" s="168"/>
      <c r="I315" s="168"/>
      <c r="J315" s="168"/>
      <c r="K315" s="168"/>
      <c r="L315" s="168"/>
      <c r="M315" s="168"/>
      <c r="N315" s="168"/>
      <c r="O315" s="168"/>
      <c r="P315" s="168"/>
      <c r="Q315" s="168"/>
      <c r="R315" s="168"/>
      <c r="S315" s="168"/>
      <c r="T315" s="168"/>
      <c r="U315" s="168"/>
      <c r="V315" s="168"/>
      <c r="W315" s="168"/>
      <c r="X315" s="168"/>
      <c r="Y315" s="168"/>
      <c r="Z315" s="168"/>
    </row>
    <row r="316" customFormat="false" ht="15.75" hidden="false" customHeight="false" outlineLevel="0" collapsed="false">
      <c r="A316" s="168"/>
      <c r="B316" s="168"/>
      <c r="C316" s="168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8"/>
      <c r="O316" s="168"/>
      <c r="P316" s="168"/>
      <c r="Q316" s="168"/>
      <c r="R316" s="168"/>
      <c r="S316" s="168"/>
      <c r="T316" s="168"/>
      <c r="U316" s="168"/>
      <c r="V316" s="168"/>
      <c r="W316" s="168"/>
      <c r="X316" s="168"/>
      <c r="Y316" s="168"/>
      <c r="Z316" s="168"/>
    </row>
    <row r="317" customFormat="false" ht="15.75" hidden="false" customHeight="false" outlineLevel="0" collapsed="false">
      <c r="A317" s="168"/>
      <c r="B317" s="168"/>
      <c r="C317" s="168"/>
      <c r="D317" s="168"/>
      <c r="E317" s="168"/>
      <c r="F317" s="168"/>
      <c r="G317" s="168"/>
      <c r="H317" s="168"/>
      <c r="I317" s="168"/>
      <c r="J317" s="168"/>
      <c r="K317" s="168"/>
      <c r="L317" s="168"/>
      <c r="M317" s="168"/>
      <c r="N317" s="168"/>
      <c r="O317" s="168"/>
      <c r="P317" s="168"/>
      <c r="Q317" s="168"/>
      <c r="R317" s="168"/>
      <c r="S317" s="168"/>
      <c r="T317" s="168"/>
      <c r="U317" s="168"/>
      <c r="V317" s="168"/>
      <c r="W317" s="168"/>
      <c r="X317" s="168"/>
      <c r="Y317" s="168"/>
      <c r="Z317" s="168"/>
    </row>
    <row r="318" customFormat="false" ht="15.75" hidden="false" customHeight="false" outlineLevel="0" collapsed="false">
      <c r="A318" s="168"/>
      <c r="B318" s="168"/>
      <c r="C318" s="168"/>
      <c r="D318" s="168"/>
      <c r="E318" s="168"/>
      <c r="F318" s="168"/>
      <c r="G318" s="168"/>
      <c r="H318" s="168"/>
      <c r="I318" s="168"/>
      <c r="J318" s="168"/>
      <c r="K318" s="168"/>
      <c r="L318" s="168"/>
      <c r="M318" s="168"/>
      <c r="N318" s="168"/>
      <c r="O318" s="168"/>
      <c r="P318" s="168"/>
      <c r="Q318" s="168"/>
      <c r="R318" s="168"/>
      <c r="S318" s="168"/>
      <c r="T318" s="168"/>
      <c r="U318" s="168"/>
      <c r="V318" s="168"/>
      <c r="W318" s="168"/>
      <c r="X318" s="168"/>
      <c r="Y318" s="168"/>
      <c r="Z318" s="168"/>
    </row>
    <row r="319" customFormat="false" ht="15.75" hidden="false" customHeight="false" outlineLevel="0" collapsed="false">
      <c r="A319" s="168"/>
      <c r="B319" s="168"/>
      <c r="C319" s="168"/>
      <c r="D319" s="168"/>
      <c r="E319" s="168"/>
      <c r="F319" s="168"/>
      <c r="G319" s="168"/>
      <c r="H319" s="168"/>
      <c r="I319" s="168"/>
      <c r="J319" s="168"/>
      <c r="K319" s="168"/>
      <c r="L319" s="168"/>
      <c r="M319" s="168"/>
      <c r="N319" s="168"/>
      <c r="O319" s="168"/>
      <c r="P319" s="168"/>
      <c r="Q319" s="168"/>
      <c r="R319" s="168"/>
      <c r="S319" s="168"/>
      <c r="T319" s="168"/>
      <c r="U319" s="168"/>
      <c r="V319" s="168"/>
      <c r="W319" s="168"/>
      <c r="X319" s="168"/>
      <c r="Y319" s="168"/>
      <c r="Z319" s="168"/>
    </row>
    <row r="320" customFormat="false" ht="15.75" hidden="false" customHeight="false" outlineLevel="0" collapsed="false">
      <c r="A320" s="168"/>
      <c r="B320" s="168"/>
      <c r="C320" s="168"/>
      <c r="D320" s="168"/>
      <c r="E320" s="168"/>
      <c r="F320" s="168"/>
      <c r="G320" s="168"/>
      <c r="H320" s="168"/>
      <c r="I320" s="168"/>
      <c r="J320" s="168"/>
      <c r="K320" s="168"/>
      <c r="L320" s="168"/>
      <c r="M320" s="168"/>
      <c r="N320" s="168"/>
      <c r="O320" s="168"/>
      <c r="P320" s="168"/>
      <c r="Q320" s="168"/>
      <c r="R320" s="168"/>
      <c r="S320" s="168"/>
      <c r="T320" s="168"/>
      <c r="U320" s="168"/>
      <c r="V320" s="168"/>
      <c r="W320" s="168"/>
      <c r="X320" s="168"/>
      <c r="Y320" s="168"/>
      <c r="Z320" s="168"/>
    </row>
    <row r="321" customFormat="false" ht="15.75" hidden="false" customHeight="false" outlineLevel="0" collapsed="false">
      <c r="A321" s="168"/>
      <c r="B321" s="168"/>
      <c r="C321" s="168"/>
      <c r="D321" s="168"/>
      <c r="E321" s="168"/>
      <c r="F321" s="168"/>
      <c r="G321" s="168"/>
      <c r="H321" s="168"/>
      <c r="I321" s="168"/>
      <c r="J321" s="168"/>
      <c r="K321" s="168"/>
      <c r="L321" s="168"/>
      <c r="M321" s="168"/>
      <c r="N321" s="168"/>
      <c r="O321" s="168"/>
      <c r="P321" s="168"/>
      <c r="Q321" s="168"/>
      <c r="R321" s="168"/>
      <c r="S321" s="168"/>
      <c r="T321" s="168"/>
      <c r="U321" s="168"/>
      <c r="V321" s="168"/>
      <c r="W321" s="168"/>
      <c r="X321" s="168"/>
      <c r="Y321" s="168"/>
      <c r="Z321" s="168"/>
    </row>
    <row r="322" customFormat="false" ht="15.75" hidden="false" customHeight="false" outlineLevel="0" collapsed="false">
      <c r="A322" s="168"/>
      <c r="B322" s="168"/>
      <c r="C322" s="168"/>
      <c r="D322" s="168"/>
      <c r="E322" s="168"/>
      <c r="F322" s="168"/>
      <c r="G322" s="168"/>
      <c r="H322" s="168"/>
      <c r="I322" s="168"/>
      <c r="J322" s="168"/>
      <c r="K322" s="168"/>
      <c r="L322" s="168"/>
      <c r="M322" s="168"/>
      <c r="N322" s="168"/>
      <c r="O322" s="168"/>
      <c r="P322" s="168"/>
      <c r="Q322" s="168"/>
      <c r="R322" s="168"/>
      <c r="S322" s="168"/>
      <c r="T322" s="168"/>
      <c r="U322" s="168"/>
      <c r="V322" s="168"/>
      <c r="W322" s="168"/>
      <c r="X322" s="168"/>
      <c r="Y322" s="168"/>
      <c r="Z322" s="168"/>
    </row>
    <row r="323" customFormat="false" ht="15.75" hidden="false" customHeight="false" outlineLevel="0" collapsed="false">
      <c r="A323" s="168"/>
      <c r="B323" s="168"/>
      <c r="C323" s="168"/>
      <c r="D323" s="168"/>
      <c r="E323" s="168"/>
      <c r="F323" s="168"/>
      <c r="G323" s="168"/>
      <c r="H323" s="168"/>
      <c r="I323" s="168"/>
      <c r="J323" s="168"/>
      <c r="K323" s="168"/>
      <c r="L323" s="168"/>
      <c r="M323" s="168"/>
      <c r="N323" s="168"/>
      <c r="O323" s="168"/>
      <c r="P323" s="168"/>
      <c r="Q323" s="168"/>
      <c r="R323" s="168"/>
      <c r="S323" s="168"/>
      <c r="T323" s="168"/>
      <c r="U323" s="168"/>
      <c r="V323" s="168"/>
      <c r="W323" s="168"/>
      <c r="X323" s="168"/>
      <c r="Y323" s="168"/>
      <c r="Z323" s="168"/>
    </row>
    <row r="324" customFormat="false" ht="15.75" hidden="false" customHeight="false" outlineLevel="0" collapsed="false">
      <c r="A324" s="168"/>
      <c r="B324" s="168"/>
      <c r="C324" s="168"/>
      <c r="D324" s="168"/>
      <c r="E324" s="168"/>
      <c r="F324" s="168"/>
      <c r="G324" s="168"/>
      <c r="H324" s="168"/>
      <c r="I324" s="168"/>
      <c r="J324" s="168"/>
      <c r="K324" s="168"/>
      <c r="L324" s="168"/>
      <c r="M324" s="168"/>
      <c r="N324" s="168"/>
      <c r="O324" s="168"/>
      <c r="P324" s="168"/>
      <c r="Q324" s="168"/>
      <c r="R324" s="168"/>
      <c r="S324" s="168"/>
      <c r="T324" s="168"/>
      <c r="U324" s="168"/>
      <c r="V324" s="168"/>
      <c r="W324" s="168"/>
      <c r="X324" s="168"/>
      <c r="Y324" s="168"/>
      <c r="Z324" s="168"/>
    </row>
    <row r="325" customFormat="false" ht="15.75" hidden="false" customHeight="false" outlineLevel="0" collapsed="false">
      <c r="A325" s="168"/>
      <c r="B325" s="168"/>
      <c r="C325" s="168"/>
      <c r="D325" s="168"/>
      <c r="E325" s="168"/>
      <c r="F325" s="168"/>
      <c r="G325" s="168"/>
      <c r="H325" s="168"/>
      <c r="I325" s="168"/>
      <c r="J325" s="168"/>
      <c r="K325" s="168"/>
      <c r="L325" s="168"/>
      <c r="M325" s="168"/>
      <c r="N325" s="168"/>
      <c r="O325" s="168"/>
      <c r="P325" s="168"/>
      <c r="Q325" s="168"/>
      <c r="R325" s="168"/>
      <c r="S325" s="168"/>
      <c r="T325" s="168"/>
      <c r="U325" s="168"/>
      <c r="V325" s="168"/>
      <c r="W325" s="168"/>
      <c r="X325" s="168"/>
      <c r="Y325" s="168"/>
      <c r="Z325" s="168"/>
    </row>
    <row r="326" customFormat="false" ht="15.75" hidden="false" customHeight="false" outlineLevel="0" collapsed="false">
      <c r="A326" s="168"/>
      <c r="B326" s="168"/>
      <c r="C326" s="168"/>
      <c r="D326" s="168"/>
      <c r="E326" s="168"/>
      <c r="F326" s="168"/>
      <c r="G326" s="168"/>
      <c r="H326" s="168"/>
      <c r="I326" s="168"/>
      <c r="J326" s="168"/>
      <c r="K326" s="168"/>
      <c r="L326" s="168"/>
      <c r="M326" s="168"/>
      <c r="N326" s="168"/>
      <c r="O326" s="168"/>
      <c r="P326" s="168"/>
      <c r="Q326" s="168"/>
      <c r="R326" s="168"/>
      <c r="S326" s="168"/>
      <c r="T326" s="168"/>
      <c r="U326" s="168"/>
      <c r="V326" s="168"/>
      <c r="W326" s="168"/>
      <c r="X326" s="168"/>
      <c r="Y326" s="168"/>
      <c r="Z326" s="168"/>
    </row>
    <row r="327" customFormat="false" ht="15.75" hidden="false" customHeight="false" outlineLevel="0" collapsed="false">
      <c r="A327" s="168"/>
      <c r="B327" s="168"/>
      <c r="C327" s="168"/>
      <c r="D327" s="168"/>
      <c r="E327" s="168"/>
      <c r="F327" s="168"/>
      <c r="G327" s="168"/>
      <c r="H327" s="168"/>
      <c r="I327" s="168"/>
      <c r="J327" s="168"/>
      <c r="K327" s="168"/>
      <c r="L327" s="168"/>
      <c r="M327" s="168"/>
      <c r="N327" s="168"/>
      <c r="O327" s="168"/>
      <c r="P327" s="168"/>
      <c r="Q327" s="168"/>
      <c r="R327" s="168"/>
      <c r="S327" s="168"/>
      <c r="T327" s="168"/>
      <c r="U327" s="168"/>
      <c r="V327" s="168"/>
      <c r="W327" s="168"/>
      <c r="X327" s="168"/>
      <c r="Y327" s="168"/>
      <c r="Z327" s="168"/>
    </row>
    <row r="328" customFormat="false" ht="15.75" hidden="false" customHeight="false" outlineLevel="0" collapsed="false">
      <c r="A328" s="168"/>
      <c r="B328" s="168"/>
      <c r="C328" s="168"/>
      <c r="D328" s="168"/>
      <c r="E328" s="168"/>
      <c r="F328" s="168"/>
      <c r="G328" s="168"/>
      <c r="H328" s="168"/>
      <c r="I328" s="168"/>
      <c r="J328" s="168"/>
      <c r="K328" s="168"/>
      <c r="L328" s="168"/>
      <c r="M328" s="168"/>
      <c r="N328" s="168"/>
      <c r="O328" s="168"/>
      <c r="P328" s="168"/>
      <c r="Q328" s="168"/>
      <c r="R328" s="168"/>
      <c r="S328" s="168"/>
      <c r="T328" s="168"/>
      <c r="U328" s="168"/>
      <c r="V328" s="168"/>
      <c r="W328" s="168"/>
      <c r="X328" s="168"/>
      <c r="Y328" s="168"/>
      <c r="Z328" s="168"/>
    </row>
    <row r="329" customFormat="false" ht="15.75" hidden="false" customHeight="false" outlineLevel="0" collapsed="false">
      <c r="A329" s="168"/>
      <c r="B329" s="168"/>
      <c r="C329" s="168"/>
      <c r="D329" s="168"/>
      <c r="E329" s="168"/>
      <c r="F329" s="168"/>
      <c r="G329" s="168"/>
      <c r="H329" s="168"/>
      <c r="I329" s="168"/>
      <c r="J329" s="168"/>
      <c r="K329" s="168"/>
      <c r="L329" s="168"/>
      <c r="M329" s="168"/>
      <c r="N329" s="168"/>
      <c r="O329" s="168"/>
      <c r="P329" s="168"/>
      <c r="Q329" s="168"/>
      <c r="R329" s="168"/>
      <c r="S329" s="168"/>
      <c r="T329" s="168"/>
      <c r="U329" s="168"/>
      <c r="V329" s="168"/>
      <c r="W329" s="168"/>
      <c r="X329" s="168"/>
      <c r="Y329" s="168"/>
      <c r="Z329" s="168"/>
    </row>
    <row r="330" customFormat="false" ht="15.75" hidden="false" customHeight="false" outlineLevel="0" collapsed="false">
      <c r="A330" s="168"/>
      <c r="B330" s="168"/>
      <c r="C330" s="168"/>
      <c r="D330" s="168"/>
      <c r="E330" s="168"/>
      <c r="F330" s="168"/>
      <c r="G330" s="168"/>
      <c r="H330" s="168"/>
      <c r="I330" s="168"/>
      <c r="J330" s="168"/>
      <c r="K330" s="168"/>
      <c r="L330" s="168"/>
      <c r="M330" s="168"/>
      <c r="N330" s="168"/>
      <c r="O330" s="168"/>
      <c r="P330" s="168"/>
      <c r="Q330" s="168"/>
      <c r="R330" s="168"/>
      <c r="S330" s="168"/>
      <c r="T330" s="168"/>
      <c r="U330" s="168"/>
      <c r="V330" s="168"/>
      <c r="W330" s="168"/>
      <c r="X330" s="168"/>
      <c r="Y330" s="168"/>
      <c r="Z330" s="168"/>
    </row>
    <row r="331" customFormat="false" ht="15.75" hidden="false" customHeight="false" outlineLevel="0" collapsed="false">
      <c r="A331" s="168"/>
      <c r="B331" s="168"/>
      <c r="C331" s="168"/>
      <c r="D331" s="168"/>
      <c r="E331" s="168"/>
      <c r="F331" s="168"/>
      <c r="G331" s="168"/>
      <c r="H331" s="168"/>
      <c r="I331" s="168"/>
      <c r="J331" s="168"/>
      <c r="K331" s="168"/>
      <c r="L331" s="168"/>
      <c r="M331" s="168"/>
      <c r="N331" s="168"/>
      <c r="O331" s="168"/>
      <c r="P331" s="168"/>
      <c r="Q331" s="168"/>
      <c r="R331" s="168"/>
      <c r="S331" s="168"/>
      <c r="T331" s="168"/>
      <c r="U331" s="168"/>
      <c r="V331" s="168"/>
      <c r="W331" s="168"/>
      <c r="X331" s="168"/>
      <c r="Y331" s="168"/>
      <c r="Z331" s="168"/>
    </row>
    <row r="332" customFormat="false" ht="15.75" hidden="false" customHeight="false" outlineLevel="0" collapsed="false">
      <c r="A332" s="168"/>
      <c r="B332" s="168"/>
      <c r="C332" s="168"/>
      <c r="D332" s="168"/>
      <c r="E332" s="168"/>
      <c r="F332" s="168"/>
      <c r="G332" s="168"/>
      <c r="H332" s="168"/>
      <c r="I332" s="168"/>
      <c r="J332" s="168"/>
      <c r="K332" s="168"/>
      <c r="L332" s="168"/>
      <c r="M332" s="168"/>
      <c r="N332" s="168"/>
      <c r="O332" s="168"/>
      <c r="P332" s="168"/>
      <c r="Q332" s="168"/>
      <c r="R332" s="168"/>
      <c r="S332" s="168"/>
      <c r="T332" s="168"/>
      <c r="U332" s="168"/>
      <c r="V332" s="168"/>
      <c r="W332" s="168"/>
      <c r="X332" s="168"/>
      <c r="Y332" s="168"/>
      <c r="Z332" s="168"/>
    </row>
    <row r="333" customFormat="false" ht="15.75" hidden="false" customHeight="false" outlineLevel="0" collapsed="false">
      <c r="A333" s="168"/>
      <c r="B333" s="168"/>
      <c r="C333" s="168"/>
      <c r="D333" s="168"/>
      <c r="E333" s="168"/>
      <c r="F333" s="168"/>
      <c r="G333" s="168"/>
      <c r="H333" s="168"/>
      <c r="I333" s="168"/>
      <c r="J333" s="168"/>
      <c r="K333" s="168"/>
      <c r="L333" s="168"/>
      <c r="M333" s="168"/>
      <c r="N333" s="168"/>
      <c r="O333" s="168"/>
      <c r="P333" s="168"/>
      <c r="Q333" s="168"/>
      <c r="R333" s="168"/>
      <c r="S333" s="168"/>
      <c r="T333" s="168"/>
      <c r="U333" s="168"/>
      <c r="V333" s="168"/>
      <c r="W333" s="168"/>
      <c r="X333" s="168"/>
      <c r="Y333" s="168"/>
      <c r="Z333" s="168"/>
    </row>
    <row r="334" customFormat="false" ht="15.75" hidden="false" customHeight="false" outlineLevel="0" collapsed="false">
      <c r="A334" s="168"/>
      <c r="B334" s="168"/>
      <c r="C334" s="168"/>
      <c r="D334" s="168"/>
      <c r="E334" s="168"/>
      <c r="F334" s="168"/>
      <c r="G334" s="168"/>
      <c r="H334" s="168"/>
      <c r="I334" s="168"/>
      <c r="J334" s="168"/>
      <c r="K334" s="168"/>
      <c r="L334" s="168"/>
      <c r="M334" s="168"/>
      <c r="N334" s="168"/>
      <c r="O334" s="168"/>
      <c r="P334" s="168"/>
      <c r="Q334" s="168"/>
      <c r="R334" s="168"/>
      <c r="S334" s="168"/>
      <c r="T334" s="168"/>
      <c r="U334" s="168"/>
      <c r="V334" s="168"/>
      <c r="W334" s="168"/>
      <c r="X334" s="168"/>
      <c r="Y334" s="168"/>
      <c r="Z334" s="168"/>
    </row>
    <row r="335" customFormat="false" ht="15.75" hidden="false" customHeight="false" outlineLevel="0" collapsed="false">
      <c r="A335" s="168"/>
      <c r="B335" s="168"/>
      <c r="C335" s="168"/>
      <c r="D335" s="168"/>
      <c r="E335" s="168"/>
      <c r="F335" s="168"/>
      <c r="G335" s="168"/>
      <c r="H335" s="168"/>
      <c r="I335" s="168"/>
      <c r="J335" s="168"/>
      <c r="K335" s="168"/>
      <c r="L335" s="168"/>
      <c r="M335" s="168"/>
      <c r="N335" s="168"/>
      <c r="O335" s="168"/>
      <c r="P335" s="168"/>
      <c r="Q335" s="168"/>
      <c r="R335" s="168"/>
      <c r="S335" s="168"/>
      <c r="T335" s="168"/>
      <c r="U335" s="168"/>
      <c r="V335" s="168"/>
      <c r="W335" s="168"/>
      <c r="X335" s="168"/>
      <c r="Y335" s="168"/>
      <c r="Z335" s="168"/>
    </row>
    <row r="336" customFormat="false" ht="15.75" hidden="false" customHeight="false" outlineLevel="0" collapsed="false">
      <c r="A336" s="168"/>
      <c r="B336" s="168"/>
      <c r="C336" s="168"/>
      <c r="D336" s="168"/>
      <c r="E336" s="168"/>
      <c r="F336" s="168"/>
      <c r="G336" s="168"/>
      <c r="H336" s="168"/>
      <c r="I336" s="168"/>
      <c r="J336" s="168"/>
      <c r="K336" s="168"/>
      <c r="L336" s="168"/>
      <c r="M336" s="168"/>
      <c r="N336" s="168"/>
      <c r="O336" s="168"/>
      <c r="P336" s="168"/>
      <c r="Q336" s="168"/>
      <c r="R336" s="168"/>
      <c r="S336" s="168"/>
      <c r="T336" s="168"/>
      <c r="U336" s="168"/>
      <c r="V336" s="168"/>
      <c r="W336" s="168"/>
      <c r="X336" s="168"/>
      <c r="Y336" s="168"/>
      <c r="Z336" s="168"/>
    </row>
    <row r="337" customFormat="false" ht="15.75" hidden="false" customHeight="false" outlineLevel="0" collapsed="false">
      <c r="A337" s="168"/>
      <c r="B337" s="168"/>
      <c r="C337" s="168"/>
      <c r="D337" s="168"/>
      <c r="E337" s="168"/>
      <c r="F337" s="168"/>
      <c r="G337" s="168"/>
      <c r="H337" s="168"/>
      <c r="I337" s="168"/>
      <c r="J337" s="168"/>
      <c r="K337" s="168"/>
      <c r="L337" s="168"/>
      <c r="M337" s="168"/>
      <c r="N337" s="168"/>
      <c r="O337" s="168"/>
      <c r="P337" s="168"/>
      <c r="Q337" s="168"/>
      <c r="R337" s="168"/>
      <c r="S337" s="168"/>
      <c r="T337" s="168"/>
      <c r="U337" s="168"/>
      <c r="V337" s="168"/>
      <c r="W337" s="168"/>
      <c r="X337" s="168"/>
      <c r="Y337" s="168"/>
      <c r="Z337" s="168"/>
    </row>
    <row r="338" customFormat="false" ht="15.75" hidden="false" customHeight="false" outlineLevel="0" collapsed="false">
      <c r="A338" s="168"/>
      <c r="B338" s="168"/>
      <c r="C338" s="168"/>
      <c r="D338" s="168"/>
      <c r="E338" s="168"/>
      <c r="F338" s="168"/>
      <c r="G338" s="168"/>
      <c r="H338" s="168"/>
      <c r="I338" s="168"/>
      <c r="J338" s="168"/>
      <c r="K338" s="168"/>
      <c r="L338" s="168"/>
      <c r="M338" s="168"/>
      <c r="N338" s="168"/>
      <c r="O338" s="168"/>
      <c r="P338" s="168"/>
      <c r="Q338" s="168"/>
      <c r="R338" s="168"/>
      <c r="S338" s="168"/>
      <c r="T338" s="168"/>
      <c r="U338" s="168"/>
      <c r="V338" s="168"/>
      <c r="W338" s="168"/>
      <c r="X338" s="168"/>
      <c r="Y338" s="168"/>
      <c r="Z338" s="168"/>
    </row>
    <row r="339" customFormat="false" ht="15.75" hidden="false" customHeight="false" outlineLevel="0" collapsed="false">
      <c r="A339" s="168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</row>
    <row r="340" customFormat="false" ht="15.75" hidden="false" customHeight="false" outlineLevel="0" collapsed="false">
      <c r="A340" s="168"/>
      <c r="B340" s="168"/>
      <c r="C340" s="168"/>
      <c r="D340" s="168"/>
      <c r="E340" s="168"/>
      <c r="F340" s="168"/>
      <c r="G340" s="168"/>
      <c r="H340" s="168"/>
      <c r="I340" s="168"/>
      <c r="J340" s="168"/>
      <c r="K340" s="168"/>
      <c r="L340" s="168"/>
      <c r="M340" s="168"/>
      <c r="N340" s="168"/>
      <c r="O340" s="168"/>
      <c r="P340" s="168"/>
      <c r="Q340" s="168"/>
      <c r="R340" s="168"/>
      <c r="S340" s="168"/>
      <c r="T340" s="168"/>
      <c r="U340" s="168"/>
      <c r="V340" s="168"/>
      <c r="W340" s="168"/>
      <c r="X340" s="168"/>
      <c r="Y340" s="168"/>
      <c r="Z340" s="168"/>
    </row>
    <row r="341" customFormat="false" ht="15.75" hidden="false" customHeight="false" outlineLevel="0" collapsed="false">
      <c r="A341" s="168"/>
      <c r="B341" s="168"/>
      <c r="C341" s="168"/>
      <c r="D341" s="168"/>
      <c r="E341" s="168"/>
      <c r="F341" s="168"/>
      <c r="G341" s="168"/>
      <c r="H341" s="168"/>
      <c r="I341" s="168"/>
      <c r="J341" s="168"/>
      <c r="K341" s="168"/>
      <c r="L341" s="168"/>
      <c r="M341" s="168"/>
      <c r="N341" s="168"/>
      <c r="O341" s="168"/>
      <c r="P341" s="168"/>
      <c r="Q341" s="168"/>
      <c r="R341" s="168"/>
      <c r="S341" s="168"/>
      <c r="T341" s="168"/>
      <c r="U341" s="168"/>
      <c r="V341" s="168"/>
      <c r="W341" s="168"/>
      <c r="X341" s="168"/>
      <c r="Y341" s="168"/>
      <c r="Z341" s="168"/>
    </row>
    <row r="342" customFormat="false" ht="15.75" hidden="false" customHeight="false" outlineLevel="0" collapsed="false">
      <c r="A342" s="168"/>
      <c r="B342" s="168"/>
      <c r="C342" s="168"/>
      <c r="D342" s="168"/>
      <c r="E342" s="168"/>
      <c r="F342" s="168"/>
      <c r="G342" s="168"/>
      <c r="H342" s="168"/>
      <c r="I342" s="168"/>
      <c r="J342" s="168"/>
      <c r="K342" s="168"/>
      <c r="L342" s="168"/>
      <c r="M342" s="168"/>
      <c r="N342" s="168"/>
      <c r="O342" s="168"/>
      <c r="P342" s="168"/>
      <c r="Q342" s="168"/>
      <c r="R342" s="168"/>
      <c r="S342" s="168"/>
      <c r="T342" s="168"/>
      <c r="U342" s="168"/>
      <c r="V342" s="168"/>
      <c r="W342" s="168"/>
      <c r="X342" s="168"/>
      <c r="Y342" s="168"/>
      <c r="Z342" s="168"/>
    </row>
    <row r="343" customFormat="false" ht="15.75" hidden="false" customHeight="false" outlineLevel="0" collapsed="false">
      <c r="A343" s="168"/>
      <c r="B343" s="168"/>
      <c r="C343" s="168"/>
      <c r="D343" s="168"/>
      <c r="E343" s="168"/>
      <c r="F343" s="168"/>
      <c r="G343" s="168"/>
      <c r="H343" s="168"/>
      <c r="I343" s="168"/>
      <c r="J343" s="168"/>
      <c r="K343" s="168"/>
      <c r="L343" s="168"/>
      <c r="M343" s="168"/>
      <c r="N343" s="168"/>
      <c r="O343" s="168"/>
      <c r="P343" s="168"/>
      <c r="Q343" s="168"/>
      <c r="R343" s="168"/>
      <c r="S343" s="168"/>
      <c r="T343" s="168"/>
      <c r="U343" s="168"/>
      <c r="V343" s="168"/>
      <c r="W343" s="168"/>
      <c r="X343" s="168"/>
      <c r="Y343" s="168"/>
      <c r="Z343" s="168"/>
    </row>
    <row r="344" customFormat="false" ht="15.75" hidden="false" customHeight="false" outlineLevel="0" collapsed="false">
      <c r="A344" s="168"/>
      <c r="B344" s="168"/>
      <c r="C344" s="168"/>
      <c r="D344" s="168"/>
      <c r="E344" s="168"/>
      <c r="F344" s="168"/>
      <c r="G344" s="168"/>
      <c r="H344" s="168"/>
      <c r="I344" s="168"/>
      <c r="J344" s="168"/>
      <c r="K344" s="168"/>
      <c r="L344" s="168"/>
      <c r="M344" s="168"/>
      <c r="N344" s="168"/>
      <c r="O344" s="168"/>
      <c r="P344" s="168"/>
      <c r="Q344" s="168"/>
      <c r="R344" s="168"/>
      <c r="S344" s="168"/>
      <c r="T344" s="168"/>
      <c r="U344" s="168"/>
      <c r="V344" s="168"/>
      <c r="W344" s="168"/>
      <c r="X344" s="168"/>
      <c r="Y344" s="168"/>
      <c r="Z344" s="168"/>
    </row>
    <row r="345" customFormat="false" ht="15.75" hidden="false" customHeight="false" outlineLevel="0" collapsed="false">
      <c r="A345" s="168"/>
      <c r="B345" s="168"/>
      <c r="C345" s="168"/>
      <c r="D345" s="168"/>
      <c r="E345" s="168"/>
      <c r="F345" s="168"/>
      <c r="G345" s="168"/>
      <c r="H345" s="168"/>
      <c r="I345" s="168"/>
      <c r="J345" s="168"/>
      <c r="K345" s="168"/>
      <c r="L345" s="168"/>
      <c r="M345" s="168"/>
      <c r="N345" s="168"/>
      <c r="O345" s="168"/>
      <c r="P345" s="168"/>
      <c r="Q345" s="168"/>
      <c r="R345" s="168"/>
      <c r="S345" s="168"/>
      <c r="T345" s="168"/>
      <c r="U345" s="168"/>
      <c r="V345" s="168"/>
      <c r="W345" s="168"/>
      <c r="X345" s="168"/>
      <c r="Y345" s="168"/>
      <c r="Z345" s="168"/>
    </row>
    <row r="346" customFormat="false" ht="15.75" hidden="false" customHeight="false" outlineLevel="0" collapsed="false">
      <c r="A346" s="168"/>
      <c r="B346" s="168"/>
      <c r="C346" s="168"/>
      <c r="D346" s="168"/>
      <c r="E346" s="168"/>
      <c r="F346" s="168"/>
      <c r="G346" s="168"/>
      <c r="H346" s="168"/>
      <c r="I346" s="168"/>
      <c r="J346" s="168"/>
      <c r="K346" s="168"/>
      <c r="L346" s="168"/>
      <c r="M346" s="168"/>
      <c r="N346" s="168"/>
      <c r="O346" s="168"/>
      <c r="P346" s="168"/>
      <c r="Q346" s="168"/>
      <c r="R346" s="168"/>
      <c r="S346" s="168"/>
      <c r="T346" s="168"/>
      <c r="U346" s="168"/>
      <c r="V346" s="168"/>
      <c r="W346" s="168"/>
      <c r="X346" s="168"/>
      <c r="Y346" s="168"/>
      <c r="Z346" s="168"/>
    </row>
    <row r="347" customFormat="false" ht="15.75" hidden="false" customHeight="false" outlineLevel="0" collapsed="false">
      <c r="A347" s="168"/>
      <c r="B347" s="168"/>
      <c r="C347" s="168"/>
      <c r="D347" s="168"/>
      <c r="E347" s="168"/>
      <c r="F347" s="168"/>
      <c r="G347" s="168"/>
      <c r="H347" s="168"/>
      <c r="I347" s="168"/>
      <c r="J347" s="168"/>
      <c r="K347" s="168"/>
      <c r="L347" s="168"/>
      <c r="M347" s="168"/>
      <c r="N347" s="168"/>
      <c r="O347" s="168"/>
      <c r="P347" s="168"/>
      <c r="Q347" s="168"/>
      <c r="R347" s="168"/>
      <c r="S347" s="168"/>
      <c r="T347" s="168"/>
      <c r="U347" s="168"/>
      <c r="V347" s="168"/>
      <c r="W347" s="168"/>
      <c r="X347" s="168"/>
      <c r="Y347" s="168"/>
      <c r="Z347" s="168"/>
    </row>
    <row r="348" customFormat="false" ht="15.75" hidden="false" customHeight="false" outlineLevel="0" collapsed="false">
      <c r="A348" s="168"/>
      <c r="B348" s="168"/>
      <c r="C348" s="168"/>
      <c r="D348" s="168"/>
      <c r="E348" s="168"/>
      <c r="F348" s="168"/>
      <c r="G348" s="168"/>
      <c r="H348" s="168"/>
      <c r="I348" s="168"/>
      <c r="J348" s="168"/>
      <c r="K348" s="168"/>
      <c r="L348" s="168"/>
      <c r="M348" s="168"/>
      <c r="N348" s="168"/>
      <c r="O348" s="168"/>
      <c r="P348" s="168"/>
      <c r="Q348" s="168"/>
      <c r="R348" s="168"/>
      <c r="S348" s="168"/>
      <c r="T348" s="168"/>
      <c r="U348" s="168"/>
      <c r="V348" s="168"/>
      <c r="W348" s="168"/>
      <c r="X348" s="168"/>
      <c r="Y348" s="168"/>
      <c r="Z348" s="168"/>
    </row>
    <row r="349" customFormat="false" ht="15.75" hidden="false" customHeight="false" outlineLevel="0" collapsed="false">
      <c r="A349" s="168"/>
      <c r="B349" s="168"/>
      <c r="C349" s="168"/>
      <c r="D349" s="168"/>
      <c r="E349" s="168"/>
      <c r="F349" s="168"/>
      <c r="G349" s="168"/>
      <c r="H349" s="168"/>
      <c r="I349" s="168"/>
      <c r="J349" s="168"/>
      <c r="K349" s="168"/>
      <c r="L349" s="168"/>
      <c r="M349" s="168"/>
      <c r="N349" s="168"/>
      <c r="O349" s="168"/>
      <c r="P349" s="168"/>
      <c r="Q349" s="168"/>
      <c r="R349" s="168"/>
      <c r="S349" s="168"/>
      <c r="T349" s="168"/>
      <c r="U349" s="168"/>
      <c r="V349" s="168"/>
      <c r="W349" s="168"/>
      <c r="X349" s="168"/>
      <c r="Y349" s="168"/>
      <c r="Z349" s="168"/>
    </row>
    <row r="350" customFormat="false" ht="15.75" hidden="false" customHeight="false" outlineLevel="0" collapsed="false">
      <c r="A350" s="168"/>
      <c r="B350" s="168"/>
      <c r="C350" s="168"/>
      <c r="D350" s="168"/>
      <c r="E350" s="168"/>
      <c r="F350" s="168"/>
      <c r="G350" s="168"/>
      <c r="H350" s="168"/>
      <c r="I350" s="168"/>
      <c r="J350" s="168"/>
      <c r="K350" s="168"/>
      <c r="L350" s="168"/>
      <c r="M350" s="168"/>
      <c r="N350" s="168"/>
      <c r="O350" s="168"/>
      <c r="P350" s="168"/>
      <c r="Q350" s="168"/>
      <c r="R350" s="168"/>
      <c r="S350" s="168"/>
      <c r="T350" s="168"/>
      <c r="U350" s="168"/>
      <c r="V350" s="168"/>
      <c r="W350" s="168"/>
      <c r="X350" s="168"/>
      <c r="Y350" s="168"/>
      <c r="Z350" s="168"/>
    </row>
    <row r="351" customFormat="false" ht="15.75" hidden="false" customHeight="false" outlineLevel="0" collapsed="false">
      <c r="A351" s="168"/>
      <c r="B351" s="168"/>
      <c r="C351" s="168"/>
      <c r="D351" s="168"/>
      <c r="E351" s="168"/>
      <c r="F351" s="168"/>
      <c r="G351" s="168"/>
      <c r="H351" s="168"/>
      <c r="I351" s="168"/>
      <c r="J351" s="168"/>
      <c r="K351" s="168"/>
      <c r="L351" s="168"/>
      <c r="M351" s="168"/>
      <c r="N351" s="168"/>
      <c r="O351" s="168"/>
      <c r="P351" s="168"/>
      <c r="Q351" s="168"/>
      <c r="R351" s="168"/>
      <c r="S351" s="168"/>
      <c r="T351" s="168"/>
      <c r="U351" s="168"/>
      <c r="V351" s="168"/>
      <c r="W351" s="168"/>
      <c r="X351" s="168"/>
      <c r="Y351" s="168"/>
      <c r="Z351" s="168"/>
    </row>
    <row r="352" customFormat="false" ht="15.75" hidden="false" customHeight="false" outlineLevel="0" collapsed="false">
      <c r="A352" s="168"/>
      <c r="B352" s="168"/>
      <c r="C352" s="168"/>
      <c r="D352" s="168"/>
      <c r="E352" s="168"/>
      <c r="F352" s="168"/>
      <c r="G352" s="168"/>
      <c r="H352" s="168"/>
      <c r="I352" s="168"/>
      <c r="J352" s="168"/>
      <c r="K352" s="168"/>
      <c r="L352" s="168"/>
      <c r="M352" s="168"/>
      <c r="N352" s="168"/>
      <c r="O352" s="168"/>
      <c r="P352" s="168"/>
      <c r="Q352" s="168"/>
      <c r="R352" s="168"/>
      <c r="S352" s="168"/>
      <c r="T352" s="168"/>
      <c r="U352" s="168"/>
      <c r="V352" s="168"/>
      <c r="W352" s="168"/>
      <c r="X352" s="168"/>
      <c r="Y352" s="168"/>
      <c r="Z352" s="168"/>
    </row>
    <row r="353" customFormat="false" ht="15.75" hidden="false" customHeight="false" outlineLevel="0" collapsed="false">
      <c r="A353" s="168"/>
      <c r="B353" s="168"/>
      <c r="C353" s="168"/>
      <c r="D353" s="168"/>
      <c r="E353" s="168"/>
      <c r="F353" s="168"/>
      <c r="G353" s="168"/>
      <c r="H353" s="168"/>
      <c r="I353" s="168"/>
      <c r="J353" s="168"/>
      <c r="K353" s="168"/>
      <c r="L353" s="168"/>
      <c r="M353" s="168"/>
      <c r="N353" s="168"/>
      <c r="O353" s="168"/>
      <c r="P353" s="168"/>
      <c r="Q353" s="168"/>
      <c r="R353" s="168"/>
      <c r="S353" s="168"/>
      <c r="T353" s="168"/>
      <c r="U353" s="168"/>
      <c r="V353" s="168"/>
      <c r="W353" s="168"/>
      <c r="X353" s="168"/>
      <c r="Y353" s="168"/>
      <c r="Z353" s="168"/>
    </row>
    <row r="354" customFormat="false" ht="15.75" hidden="false" customHeight="false" outlineLevel="0" collapsed="false">
      <c r="A354" s="168"/>
      <c r="B354" s="168"/>
      <c r="C354" s="168"/>
      <c r="D354" s="168"/>
      <c r="E354" s="168"/>
      <c r="F354" s="168"/>
      <c r="G354" s="168"/>
      <c r="H354" s="168"/>
      <c r="I354" s="168"/>
      <c r="J354" s="168"/>
      <c r="K354" s="168"/>
      <c r="L354" s="168"/>
      <c r="M354" s="168"/>
      <c r="N354" s="168"/>
      <c r="O354" s="168"/>
      <c r="P354" s="168"/>
      <c r="Q354" s="168"/>
      <c r="R354" s="168"/>
      <c r="S354" s="168"/>
      <c r="T354" s="168"/>
      <c r="U354" s="168"/>
      <c r="V354" s="168"/>
      <c r="W354" s="168"/>
      <c r="X354" s="168"/>
      <c r="Y354" s="168"/>
      <c r="Z354" s="168"/>
    </row>
    <row r="355" customFormat="false" ht="15.75" hidden="false" customHeight="false" outlineLevel="0" collapsed="false">
      <c r="A355" s="168"/>
      <c r="B355" s="168"/>
      <c r="C355" s="168"/>
      <c r="D355" s="168"/>
      <c r="E355" s="168"/>
      <c r="F355" s="168"/>
      <c r="G355" s="168"/>
      <c r="H355" s="168"/>
      <c r="I355" s="168"/>
      <c r="J355" s="168"/>
      <c r="K355" s="168"/>
      <c r="L355" s="168"/>
      <c r="M355" s="168"/>
      <c r="N355" s="168"/>
      <c r="O355" s="168"/>
      <c r="P355" s="168"/>
      <c r="Q355" s="168"/>
      <c r="R355" s="168"/>
      <c r="S355" s="168"/>
      <c r="T355" s="168"/>
      <c r="U355" s="168"/>
      <c r="V355" s="168"/>
      <c r="W355" s="168"/>
      <c r="X355" s="168"/>
      <c r="Y355" s="168"/>
      <c r="Z355" s="168"/>
    </row>
    <row r="356" customFormat="false" ht="15.75" hidden="false" customHeight="false" outlineLevel="0" collapsed="false">
      <c r="A356" s="168"/>
      <c r="B356" s="168"/>
      <c r="C356" s="168"/>
      <c r="D356" s="168"/>
      <c r="E356" s="168"/>
      <c r="F356" s="168"/>
      <c r="G356" s="168"/>
      <c r="H356" s="168"/>
      <c r="I356" s="168"/>
      <c r="J356" s="168"/>
      <c r="K356" s="168"/>
      <c r="L356" s="168"/>
      <c r="M356" s="168"/>
      <c r="N356" s="168"/>
      <c r="O356" s="168"/>
      <c r="P356" s="168"/>
      <c r="Q356" s="168"/>
      <c r="R356" s="168"/>
      <c r="S356" s="168"/>
      <c r="T356" s="168"/>
      <c r="U356" s="168"/>
      <c r="V356" s="168"/>
      <c r="W356" s="168"/>
      <c r="X356" s="168"/>
      <c r="Y356" s="168"/>
      <c r="Z356" s="168"/>
    </row>
    <row r="357" customFormat="false" ht="15.75" hidden="false" customHeight="false" outlineLevel="0" collapsed="false">
      <c r="A357" s="168"/>
      <c r="B357" s="168"/>
      <c r="C357" s="168"/>
      <c r="D357" s="168"/>
      <c r="E357" s="168"/>
      <c r="F357" s="168"/>
      <c r="G357" s="168"/>
      <c r="H357" s="168"/>
      <c r="I357" s="168"/>
      <c r="J357" s="168"/>
      <c r="K357" s="168"/>
      <c r="L357" s="168"/>
      <c r="M357" s="168"/>
      <c r="N357" s="168"/>
      <c r="O357" s="168"/>
      <c r="P357" s="168"/>
      <c r="Q357" s="168"/>
      <c r="R357" s="168"/>
      <c r="S357" s="168"/>
      <c r="T357" s="168"/>
      <c r="U357" s="168"/>
      <c r="V357" s="168"/>
      <c r="W357" s="168"/>
      <c r="X357" s="168"/>
      <c r="Y357" s="168"/>
      <c r="Z357" s="168"/>
    </row>
    <row r="358" customFormat="false" ht="15.75" hidden="false" customHeight="false" outlineLevel="0" collapsed="false">
      <c r="A358" s="168"/>
      <c r="B358" s="168"/>
      <c r="C358" s="168"/>
      <c r="D358" s="168"/>
      <c r="E358" s="168"/>
      <c r="F358" s="168"/>
      <c r="G358" s="168"/>
      <c r="H358" s="168"/>
      <c r="I358" s="168"/>
      <c r="J358" s="168"/>
      <c r="K358" s="168"/>
      <c r="L358" s="168"/>
      <c r="M358" s="168"/>
      <c r="N358" s="168"/>
      <c r="O358" s="168"/>
      <c r="P358" s="168"/>
      <c r="Q358" s="168"/>
      <c r="R358" s="168"/>
      <c r="S358" s="168"/>
      <c r="T358" s="168"/>
      <c r="U358" s="168"/>
      <c r="V358" s="168"/>
      <c r="W358" s="168"/>
      <c r="X358" s="168"/>
      <c r="Y358" s="168"/>
      <c r="Z358" s="168"/>
    </row>
    <row r="359" customFormat="false" ht="15.75" hidden="false" customHeight="false" outlineLevel="0" collapsed="false">
      <c r="A359" s="168"/>
      <c r="B359" s="168"/>
      <c r="C359" s="168"/>
      <c r="D359" s="168"/>
      <c r="E359" s="168"/>
      <c r="F359" s="168"/>
      <c r="G359" s="168"/>
      <c r="H359" s="168"/>
      <c r="I359" s="168"/>
      <c r="J359" s="168"/>
      <c r="K359" s="168"/>
      <c r="L359" s="168"/>
      <c r="M359" s="168"/>
      <c r="N359" s="168"/>
      <c r="O359" s="168"/>
      <c r="P359" s="168"/>
      <c r="Q359" s="168"/>
      <c r="R359" s="168"/>
      <c r="S359" s="168"/>
      <c r="T359" s="168"/>
      <c r="U359" s="168"/>
      <c r="V359" s="168"/>
      <c r="W359" s="168"/>
      <c r="X359" s="168"/>
      <c r="Y359" s="168"/>
      <c r="Z359" s="168"/>
    </row>
    <row r="360" customFormat="false" ht="15.75" hidden="false" customHeight="false" outlineLevel="0" collapsed="false">
      <c r="A360" s="168"/>
      <c r="B360" s="168"/>
      <c r="C360" s="168"/>
      <c r="D360" s="168"/>
      <c r="E360" s="168"/>
      <c r="F360" s="168"/>
      <c r="G360" s="168"/>
      <c r="H360" s="168"/>
      <c r="I360" s="168"/>
      <c r="J360" s="168"/>
      <c r="K360" s="168"/>
      <c r="L360" s="168"/>
      <c r="M360" s="168"/>
      <c r="N360" s="168"/>
      <c r="O360" s="168"/>
      <c r="P360" s="168"/>
      <c r="Q360" s="168"/>
      <c r="R360" s="168"/>
      <c r="S360" s="168"/>
      <c r="T360" s="168"/>
      <c r="U360" s="168"/>
      <c r="V360" s="168"/>
      <c r="W360" s="168"/>
      <c r="X360" s="168"/>
      <c r="Y360" s="168"/>
      <c r="Z360" s="168"/>
    </row>
    <row r="361" customFormat="false" ht="15.75" hidden="false" customHeight="false" outlineLevel="0" collapsed="false">
      <c r="A361" s="168"/>
      <c r="B361" s="168"/>
      <c r="C361" s="168"/>
      <c r="D361" s="168"/>
      <c r="E361" s="168"/>
      <c r="F361" s="168"/>
      <c r="G361" s="168"/>
      <c r="H361" s="168"/>
      <c r="I361" s="168"/>
      <c r="J361" s="168"/>
      <c r="K361" s="168"/>
      <c r="L361" s="168"/>
      <c r="M361" s="168"/>
      <c r="N361" s="168"/>
      <c r="O361" s="168"/>
      <c r="P361" s="168"/>
      <c r="Q361" s="168"/>
      <c r="R361" s="168"/>
      <c r="S361" s="168"/>
      <c r="T361" s="168"/>
      <c r="U361" s="168"/>
      <c r="V361" s="168"/>
      <c r="W361" s="168"/>
      <c r="X361" s="168"/>
      <c r="Y361" s="168"/>
      <c r="Z361" s="168"/>
    </row>
    <row r="362" customFormat="false" ht="15.75" hidden="false" customHeight="false" outlineLevel="0" collapsed="false">
      <c r="A362" s="168"/>
      <c r="B362" s="168"/>
      <c r="C362" s="168"/>
      <c r="D362" s="168"/>
      <c r="E362" s="168"/>
      <c r="F362" s="168"/>
      <c r="G362" s="168"/>
      <c r="H362" s="168"/>
      <c r="I362" s="168"/>
      <c r="J362" s="168"/>
      <c r="K362" s="168"/>
      <c r="L362" s="168"/>
      <c r="M362" s="168"/>
      <c r="N362" s="168"/>
      <c r="O362" s="168"/>
      <c r="P362" s="168"/>
      <c r="Q362" s="168"/>
      <c r="R362" s="168"/>
      <c r="S362" s="168"/>
      <c r="T362" s="168"/>
      <c r="U362" s="168"/>
      <c r="V362" s="168"/>
      <c r="W362" s="168"/>
      <c r="X362" s="168"/>
      <c r="Y362" s="168"/>
      <c r="Z362" s="168"/>
    </row>
    <row r="363" customFormat="false" ht="15.75" hidden="false" customHeight="false" outlineLevel="0" collapsed="false">
      <c r="A363" s="168"/>
      <c r="B363" s="168"/>
      <c r="C363" s="168"/>
      <c r="D363" s="168"/>
      <c r="E363" s="168"/>
      <c r="F363" s="168"/>
      <c r="G363" s="168"/>
      <c r="H363" s="168"/>
      <c r="I363" s="168"/>
      <c r="J363" s="168"/>
      <c r="K363" s="168"/>
      <c r="L363" s="168"/>
      <c r="M363" s="168"/>
      <c r="N363" s="168"/>
      <c r="O363" s="168"/>
      <c r="P363" s="168"/>
      <c r="Q363" s="168"/>
      <c r="R363" s="168"/>
      <c r="S363" s="168"/>
      <c r="T363" s="168"/>
      <c r="U363" s="168"/>
      <c r="V363" s="168"/>
      <c r="W363" s="168"/>
      <c r="X363" s="168"/>
      <c r="Y363" s="168"/>
      <c r="Z363" s="168"/>
    </row>
    <row r="364" customFormat="false" ht="15.75" hidden="false" customHeight="false" outlineLevel="0" collapsed="false">
      <c r="A364" s="168"/>
      <c r="B364" s="168"/>
      <c r="C364" s="168"/>
      <c r="D364" s="168"/>
      <c r="E364" s="168"/>
      <c r="F364" s="168"/>
      <c r="G364" s="168"/>
      <c r="H364" s="168"/>
      <c r="I364" s="168"/>
      <c r="J364" s="168"/>
      <c r="K364" s="168"/>
      <c r="L364" s="168"/>
      <c r="M364" s="168"/>
      <c r="N364" s="168"/>
      <c r="O364" s="168"/>
      <c r="P364" s="168"/>
      <c r="Q364" s="168"/>
      <c r="R364" s="168"/>
      <c r="S364" s="168"/>
      <c r="T364" s="168"/>
      <c r="U364" s="168"/>
      <c r="V364" s="168"/>
      <c r="W364" s="168"/>
      <c r="X364" s="168"/>
      <c r="Y364" s="168"/>
      <c r="Z364" s="168"/>
    </row>
    <row r="365" customFormat="false" ht="15.75" hidden="false" customHeight="false" outlineLevel="0" collapsed="false">
      <c r="A365" s="168"/>
      <c r="B365" s="168"/>
      <c r="C365" s="168"/>
      <c r="D365" s="168"/>
      <c r="E365" s="168"/>
      <c r="F365" s="168"/>
      <c r="G365" s="168"/>
      <c r="H365" s="168"/>
      <c r="I365" s="168"/>
      <c r="J365" s="168"/>
      <c r="K365" s="168"/>
      <c r="L365" s="168"/>
      <c r="M365" s="168"/>
      <c r="N365" s="168"/>
      <c r="O365" s="168"/>
      <c r="P365" s="168"/>
      <c r="Q365" s="168"/>
      <c r="R365" s="168"/>
      <c r="S365" s="168"/>
      <c r="T365" s="168"/>
      <c r="U365" s="168"/>
      <c r="V365" s="168"/>
      <c r="W365" s="168"/>
      <c r="X365" s="168"/>
      <c r="Y365" s="168"/>
      <c r="Z365" s="168"/>
    </row>
    <row r="366" customFormat="false" ht="15.75" hidden="false" customHeight="false" outlineLevel="0" collapsed="false">
      <c r="A366" s="168"/>
      <c r="B366" s="168"/>
      <c r="C366" s="168"/>
      <c r="D366" s="168"/>
      <c r="E366" s="168"/>
      <c r="F366" s="168"/>
      <c r="G366" s="168"/>
      <c r="H366" s="168"/>
      <c r="I366" s="168"/>
      <c r="J366" s="168"/>
      <c r="K366" s="168"/>
      <c r="L366" s="168"/>
      <c r="M366" s="168"/>
      <c r="N366" s="168"/>
      <c r="O366" s="168"/>
      <c r="P366" s="168"/>
      <c r="Q366" s="168"/>
      <c r="R366" s="168"/>
      <c r="S366" s="168"/>
      <c r="T366" s="168"/>
      <c r="U366" s="168"/>
      <c r="V366" s="168"/>
      <c r="W366" s="168"/>
      <c r="X366" s="168"/>
      <c r="Y366" s="168"/>
      <c r="Z366" s="168"/>
    </row>
    <row r="367" customFormat="false" ht="15.75" hidden="false" customHeight="false" outlineLevel="0" collapsed="false">
      <c r="A367" s="168"/>
      <c r="B367" s="168"/>
      <c r="C367" s="168"/>
      <c r="D367" s="168"/>
      <c r="E367" s="168"/>
      <c r="F367" s="168"/>
      <c r="G367" s="168"/>
      <c r="H367" s="168"/>
      <c r="I367" s="168"/>
      <c r="J367" s="168"/>
      <c r="K367" s="168"/>
      <c r="L367" s="168"/>
      <c r="M367" s="168"/>
      <c r="N367" s="168"/>
      <c r="O367" s="168"/>
      <c r="P367" s="168"/>
      <c r="Q367" s="168"/>
      <c r="R367" s="168"/>
      <c r="S367" s="168"/>
      <c r="T367" s="168"/>
      <c r="U367" s="168"/>
      <c r="V367" s="168"/>
      <c r="W367" s="168"/>
      <c r="X367" s="168"/>
      <c r="Y367" s="168"/>
      <c r="Z367" s="168"/>
    </row>
    <row r="368" customFormat="false" ht="15.75" hidden="false" customHeight="false" outlineLevel="0" collapsed="false">
      <c r="A368" s="168"/>
      <c r="B368" s="168"/>
      <c r="C368" s="168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8"/>
      <c r="O368" s="168"/>
      <c r="P368" s="168"/>
      <c r="Q368" s="168"/>
      <c r="R368" s="168"/>
      <c r="S368" s="168"/>
      <c r="T368" s="168"/>
      <c r="U368" s="168"/>
      <c r="V368" s="168"/>
      <c r="W368" s="168"/>
      <c r="X368" s="168"/>
      <c r="Y368" s="168"/>
      <c r="Z368" s="168"/>
    </row>
    <row r="369" customFormat="false" ht="15.75" hidden="false" customHeight="false" outlineLevel="0" collapsed="false">
      <c r="A369" s="168"/>
      <c r="B369" s="168"/>
      <c r="C369" s="168"/>
      <c r="D369" s="168"/>
      <c r="E369" s="168"/>
      <c r="F369" s="168"/>
      <c r="G369" s="168"/>
      <c r="H369" s="168"/>
      <c r="I369" s="168"/>
      <c r="J369" s="168"/>
      <c r="K369" s="168"/>
      <c r="L369" s="168"/>
      <c r="M369" s="168"/>
      <c r="N369" s="168"/>
      <c r="O369" s="168"/>
      <c r="P369" s="168"/>
      <c r="Q369" s="168"/>
      <c r="R369" s="168"/>
      <c r="S369" s="168"/>
      <c r="T369" s="168"/>
      <c r="U369" s="168"/>
      <c r="V369" s="168"/>
      <c r="W369" s="168"/>
      <c r="X369" s="168"/>
      <c r="Y369" s="168"/>
      <c r="Z369" s="168"/>
    </row>
    <row r="370" customFormat="false" ht="15.75" hidden="false" customHeight="false" outlineLevel="0" collapsed="false">
      <c r="A370" s="168"/>
      <c r="B370" s="168"/>
      <c r="C370" s="168"/>
      <c r="D370" s="168"/>
      <c r="E370" s="168"/>
      <c r="F370" s="168"/>
      <c r="G370" s="168"/>
      <c r="H370" s="168"/>
      <c r="I370" s="168"/>
      <c r="J370" s="168"/>
      <c r="K370" s="168"/>
      <c r="L370" s="168"/>
      <c r="M370" s="168"/>
      <c r="N370" s="168"/>
      <c r="O370" s="168"/>
      <c r="P370" s="168"/>
      <c r="Q370" s="168"/>
      <c r="R370" s="168"/>
      <c r="S370" s="168"/>
      <c r="T370" s="168"/>
      <c r="U370" s="168"/>
      <c r="V370" s="168"/>
      <c r="W370" s="168"/>
      <c r="X370" s="168"/>
      <c r="Y370" s="168"/>
      <c r="Z370" s="168"/>
    </row>
    <row r="371" customFormat="false" ht="15.75" hidden="false" customHeight="false" outlineLevel="0" collapsed="false">
      <c r="A371" s="168"/>
      <c r="B371" s="168"/>
      <c r="C371" s="168"/>
      <c r="D371" s="168"/>
      <c r="E371" s="168"/>
      <c r="F371" s="168"/>
      <c r="G371" s="168"/>
      <c r="H371" s="168"/>
      <c r="I371" s="168"/>
      <c r="J371" s="168"/>
      <c r="K371" s="168"/>
      <c r="L371" s="168"/>
      <c r="M371" s="168"/>
      <c r="N371" s="168"/>
      <c r="O371" s="168"/>
      <c r="P371" s="168"/>
      <c r="Q371" s="168"/>
      <c r="R371" s="168"/>
      <c r="S371" s="168"/>
      <c r="T371" s="168"/>
      <c r="U371" s="168"/>
      <c r="V371" s="168"/>
      <c r="W371" s="168"/>
      <c r="X371" s="168"/>
      <c r="Y371" s="168"/>
      <c r="Z371" s="168"/>
    </row>
    <row r="372" customFormat="false" ht="15.75" hidden="false" customHeight="false" outlineLevel="0" collapsed="false">
      <c r="A372" s="168"/>
      <c r="B372" s="168"/>
      <c r="C372" s="168"/>
      <c r="D372" s="168"/>
      <c r="E372" s="168"/>
      <c r="F372" s="168"/>
      <c r="G372" s="168"/>
      <c r="H372" s="168"/>
      <c r="I372" s="168"/>
      <c r="J372" s="168"/>
      <c r="K372" s="168"/>
      <c r="L372" s="168"/>
      <c r="M372" s="168"/>
      <c r="N372" s="168"/>
      <c r="O372" s="168"/>
      <c r="P372" s="168"/>
      <c r="Q372" s="168"/>
      <c r="R372" s="168"/>
      <c r="S372" s="168"/>
      <c r="T372" s="168"/>
      <c r="U372" s="168"/>
      <c r="V372" s="168"/>
      <c r="W372" s="168"/>
      <c r="X372" s="168"/>
      <c r="Y372" s="168"/>
      <c r="Z372" s="168"/>
    </row>
    <row r="373" customFormat="false" ht="15.75" hidden="false" customHeight="false" outlineLevel="0" collapsed="false">
      <c r="A373" s="168"/>
      <c r="B373" s="168"/>
      <c r="C373" s="168"/>
      <c r="D373" s="168"/>
      <c r="E373" s="168"/>
      <c r="F373" s="168"/>
      <c r="G373" s="168"/>
      <c r="H373" s="168"/>
      <c r="I373" s="168"/>
      <c r="J373" s="168"/>
      <c r="K373" s="168"/>
      <c r="L373" s="168"/>
      <c r="M373" s="168"/>
      <c r="N373" s="168"/>
      <c r="O373" s="168"/>
      <c r="P373" s="168"/>
      <c r="Q373" s="168"/>
      <c r="R373" s="168"/>
      <c r="S373" s="168"/>
      <c r="T373" s="168"/>
      <c r="U373" s="168"/>
      <c r="V373" s="168"/>
      <c r="W373" s="168"/>
      <c r="X373" s="168"/>
      <c r="Y373" s="168"/>
      <c r="Z373" s="168"/>
    </row>
    <row r="374" customFormat="false" ht="15.75" hidden="false" customHeight="false" outlineLevel="0" collapsed="false">
      <c r="A374" s="168"/>
      <c r="B374" s="168"/>
      <c r="C374" s="168"/>
      <c r="D374" s="168"/>
      <c r="E374" s="168"/>
      <c r="F374" s="168"/>
      <c r="G374" s="168"/>
      <c r="H374" s="168"/>
      <c r="I374" s="168"/>
      <c r="J374" s="168"/>
      <c r="K374" s="168"/>
      <c r="L374" s="168"/>
      <c r="M374" s="168"/>
      <c r="N374" s="168"/>
      <c r="O374" s="168"/>
      <c r="P374" s="168"/>
      <c r="Q374" s="168"/>
      <c r="R374" s="168"/>
      <c r="S374" s="168"/>
      <c r="T374" s="168"/>
      <c r="U374" s="168"/>
      <c r="V374" s="168"/>
      <c r="W374" s="168"/>
      <c r="X374" s="168"/>
      <c r="Y374" s="168"/>
      <c r="Z374" s="168"/>
    </row>
    <row r="375" customFormat="false" ht="15.75" hidden="false" customHeight="false" outlineLevel="0" collapsed="false">
      <c r="A375" s="168"/>
      <c r="B375" s="168"/>
      <c r="C375" s="168"/>
      <c r="D375" s="168"/>
      <c r="E375" s="168"/>
      <c r="F375" s="168"/>
      <c r="G375" s="168"/>
      <c r="H375" s="168"/>
      <c r="I375" s="168"/>
      <c r="J375" s="168"/>
      <c r="K375" s="168"/>
      <c r="L375" s="168"/>
      <c r="M375" s="168"/>
      <c r="N375" s="168"/>
      <c r="O375" s="168"/>
      <c r="P375" s="168"/>
      <c r="Q375" s="168"/>
      <c r="R375" s="168"/>
      <c r="S375" s="168"/>
      <c r="T375" s="168"/>
      <c r="U375" s="168"/>
      <c r="V375" s="168"/>
      <c r="W375" s="168"/>
      <c r="X375" s="168"/>
      <c r="Y375" s="168"/>
      <c r="Z375" s="168"/>
    </row>
    <row r="376" customFormat="false" ht="15.75" hidden="false" customHeight="false" outlineLevel="0" collapsed="false">
      <c r="A376" s="168"/>
      <c r="B376" s="168"/>
      <c r="C376" s="168"/>
      <c r="D376" s="168"/>
      <c r="E376" s="168"/>
      <c r="F376" s="168"/>
      <c r="G376" s="168"/>
      <c r="H376" s="168"/>
      <c r="I376" s="168"/>
      <c r="J376" s="168"/>
      <c r="K376" s="168"/>
      <c r="L376" s="168"/>
      <c r="M376" s="168"/>
      <c r="N376" s="168"/>
      <c r="O376" s="168"/>
      <c r="P376" s="168"/>
      <c r="Q376" s="168"/>
      <c r="R376" s="168"/>
      <c r="S376" s="168"/>
      <c r="T376" s="168"/>
      <c r="U376" s="168"/>
      <c r="V376" s="168"/>
      <c r="W376" s="168"/>
      <c r="X376" s="168"/>
      <c r="Y376" s="168"/>
      <c r="Z376" s="168"/>
    </row>
    <row r="377" customFormat="false" ht="15.75" hidden="false" customHeight="false" outlineLevel="0" collapsed="false">
      <c r="A377" s="168"/>
      <c r="B377" s="168"/>
      <c r="C377" s="168"/>
      <c r="D377" s="168"/>
      <c r="E377" s="168"/>
      <c r="F377" s="168"/>
      <c r="G377" s="168"/>
      <c r="H377" s="168"/>
      <c r="I377" s="168"/>
      <c r="J377" s="168"/>
      <c r="K377" s="168"/>
      <c r="L377" s="168"/>
      <c r="M377" s="168"/>
      <c r="N377" s="168"/>
      <c r="O377" s="168"/>
      <c r="P377" s="168"/>
      <c r="Q377" s="168"/>
      <c r="R377" s="168"/>
      <c r="S377" s="168"/>
      <c r="T377" s="168"/>
      <c r="U377" s="168"/>
      <c r="V377" s="168"/>
      <c r="W377" s="168"/>
      <c r="X377" s="168"/>
      <c r="Y377" s="168"/>
      <c r="Z377" s="168"/>
    </row>
    <row r="378" customFormat="false" ht="15.75" hidden="false" customHeight="false" outlineLevel="0" collapsed="false">
      <c r="A378" s="168"/>
      <c r="B378" s="168"/>
      <c r="C378" s="168"/>
      <c r="D378" s="168"/>
      <c r="E378" s="168"/>
      <c r="F378" s="168"/>
      <c r="G378" s="168"/>
      <c r="H378" s="168"/>
      <c r="I378" s="168"/>
      <c r="J378" s="168"/>
      <c r="K378" s="168"/>
      <c r="L378" s="168"/>
      <c r="M378" s="168"/>
      <c r="N378" s="168"/>
      <c r="O378" s="168"/>
      <c r="P378" s="168"/>
      <c r="Q378" s="168"/>
      <c r="R378" s="168"/>
      <c r="S378" s="168"/>
      <c r="T378" s="168"/>
      <c r="U378" s="168"/>
      <c r="V378" s="168"/>
      <c r="W378" s="168"/>
      <c r="X378" s="168"/>
      <c r="Y378" s="168"/>
      <c r="Z378" s="168"/>
    </row>
    <row r="379" customFormat="false" ht="15.75" hidden="false" customHeight="false" outlineLevel="0" collapsed="false">
      <c r="A379" s="168"/>
      <c r="B379" s="168"/>
      <c r="C379" s="168"/>
      <c r="D379" s="168"/>
      <c r="E379" s="168"/>
      <c r="F379" s="168"/>
      <c r="G379" s="168"/>
      <c r="H379" s="168"/>
      <c r="I379" s="168"/>
      <c r="J379" s="168"/>
      <c r="K379" s="168"/>
      <c r="L379" s="168"/>
      <c r="M379" s="168"/>
      <c r="N379" s="168"/>
      <c r="O379" s="168"/>
      <c r="P379" s="168"/>
      <c r="Q379" s="168"/>
      <c r="R379" s="168"/>
      <c r="S379" s="168"/>
      <c r="T379" s="168"/>
      <c r="U379" s="168"/>
      <c r="V379" s="168"/>
      <c r="W379" s="168"/>
      <c r="X379" s="168"/>
      <c r="Y379" s="168"/>
      <c r="Z379" s="168"/>
    </row>
    <row r="380" customFormat="false" ht="15.75" hidden="false" customHeight="false" outlineLevel="0" collapsed="false">
      <c r="A380" s="168"/>
      <c r="B380" s="168"/>
      <c r="C380" s="168"/>
      <c r="D380" s="168"/>
      <c r="E380" s="168"/>
      <c r="F380" s="168"/>
      <c r="G380" s="168"/>
      <c r="H380" s="168"/>
      <c r="I380" s="168"/>
      <c r="J380" s="168"/>
      <c r="K380" s="168"/>
      <c r="L380" s="168"/>
      <c r="M380" s="168"/>
      <c r="N380" s="168"/>
      <c r="O380" s="168"/>
      <c r="P380" s="168"/>
      <c r="Q380" s="168"/>
      <c r="R380" s="168"/>
      <c r="S380" s="168"/>
      <c r="T380" s="168"/>
      <c r="U380" s="168"/>
      <c r="V380" s="168"/>
      <c r="W380" s="168"/>
      <c r="X380" s="168"/>
      <c r="Y380" s="168"/>
      <c r="Z380" s="168"/>
    </row>
    <row r="381" customFormat="false" ht="15.75" hidden="false" customHeight="false" outlineLevel="0" collapsed="false">
      <c r="A381" s="168"/>
      <c r="B381" s="168"/>
      <c r="C381" s="168"/>
      <c r="D381" s="168"/>
      <c r="E381" s="168"/>
      <c r="F381" s="168"/>
      <c r="G381" s="168"/>
      <c r="H381" s="168"/>
      <c r="I381" s="168"/>
      <c r="J381" s="168"/>
      <c r="K381" s="168"/>
      <c r="L381" s="168"/>
      <c r="M381" s="168"/>
      <c r="N381" s="168"/>
      <c r="O381" s="168"/>
      <c r="P381" s="168"/>
      <c r="Q381" s="168"/>
      <c r="R381" s="168"/>
      <c r="S381" s="168"/>
      <c r="T381" s="168"/>
      <c r="U381" s="168"/>
      <c r="V381" s="168"/>
      <c r="W381" s="168"/>
      <c r="X381" s="168"/>
      <c r="Y381" s="168"/>
      <c r="Z381" s="168"/>
    </row>
    <row r="382" customFormat="false" ht="15.75" hidden="false" customHeight="false" outlineLevel="0" collapsed="false">
      <c r="A382" s="168"/>
      <c r="B382" s="168"/>
      <c r="C382" s="168"/>
      <c r="D382" s="168"/>
      <c r="E382" s="168"/>
      <c r="F382" s="168"/>
      <c r="G382" s="168"/>
      <c r="H382" s="168"/>
      <c r="I382" s="168"/>
      <c r="J382" s="168"/>
      <c r="K382" s="168"/>
      <c r="L382" s="168"/>
      <c r="M382" s="168"/>
      <c r="N382" s="168"/>
      <c r="O382" s="168"/>
      <c r="P382" s="168"/>
      <c r="Q382" s="168"/>
      <c r="R382" s="168"/>
      <c r="S382" s="168"/>
      <c r="T382" s="168"/>
      <c r="U382" s="168"/>
      <c r="V382" s="168"/>
      <c r="W382" s="168"/>
      <c r="X382" s="168"/>
      <c r="Y382" s="168"/>
      <c r="Z382" s="168"/>
    </row>
    <row r="383" customFormat="false" ht="15.75" hidden="false" customHeight="false" outlineLevel="0" collapsed="false">
      <c r="A383" s="168"/>
      <c r="B383" s="168"/>
      <c r="C383" s="168"/>
      <c r="D383" s="168"/>
      <c r="E383" s="168"/>
      <c r="F383" s="168"/>
      <c r="G383" s="168"/>
      <c r="H383" s="168"/>
      <c r="I383" s="168"/>
      <c r="J383" s="168"/>
      <c r="K383" s="168"/>
      <c r="L383" s="168"/>
      <c r="M383" s="168"/>
      <c r="N383" s="168"/>
      <c r="O383" s="168"/>
      <c r="P383" s="168"/>
      <c r="Q383" s="168"/>
      <c r="R383" s="168"/>
      <c r="S383" s="168"/>
      <c r="T383" s="168"/>
      <c r="U383" s="168"/>
      <c r="V383" s="168"/>
      <c r="W383" s="168"/>
      <c r="X383" s="168"/>
      <c r="Y383" s="168"/>
      <c r="Z383" s="168"/>
    </row>
    <row r="384" customFormat="false" ht="15.75" hidden="false" customHeight="false" outlineLevel="0" collapsed="false">
      <c r="A384" s="168"/>
      <c r="B384" s="168"/>
      <c r="C384" s="168"/>
      <c r="D384" s="168"/>
      <c r="E384" s="168"/>
      <c r="F384" s="168"/>
      <c r="G384" s="168"/>
      <c r="H384" s="168"/>
      <c r="I384" s="168"/>
      <c r="J384" s="168"/>
      <c r="K384" s="168"/>
      <c r="L384" s="168"/>
      <c r="M384" s="168"/>
      <c r="N384" s="168"/>
      <c r="O384" s="168"/>
      <c r="P384" s="168"/>
      <c r="Q384" s="168"/>
      <c r="R384" s="168"/>
      <c r="S384" s="168"/>
      <c r="T384" s="168"/>
      <c r="U384" s="168"/>
      <c r="V384" s="168"/>
      <c r="W384" s="168"/>
      <c r="X384" s="168"/>
      <c r="Y384" s="168"/>
      <c r="Z384" s="168"/>
    </row>
    <row r="385" customFormat="false" ht="15.75" hidden="false" customHeight="false" outlineLevel="0" collapsed="false">
      <c r="A385" s="168"/>
      <c r="B385" s="168"/>
      <c r="C385" s="168"/>
      <c r="D385" s="168"/>
      <c r="E385" s="168"/>
      <c r="F385" s="168"/>
      <c r="G385" s="168"/>
      <c r="H385" s="168"/>
      <c r="I385" s="168"/>
      <c r="J385" s="168"/>
      <c r="K385" s="168"/>
      <c r="L385" s="168"/>
      <c r="M385" s="168"/>
      <c r="N385" s="168"/>
      <c r="O385" s="168"/>
      <c r="P385" s="168"/>
      <c r="Q385" s="168"/>
      <c r="R385" s="168"/>
      <c r="S385" s="168"/>
      <c r="T385" s="168"/>
      <c r="U385" s="168"/>
      <c r="V385" s="168"/>
      <c r="W385" s="168"/>
      <c r="X385" s="168"/>
      <c r="Y385" s="168"/>
      <c r="Z385" s="168"/>
    </row>
    <row r="386" customFormat="false" ht="15.75" hidden="false" customHeight="false" outlineLevel="0" collapsed="false">
      <c r="A386" s="168"/>
      <c r="B386" s="168"/>
      <c r="C386" s="168"/>
      <c r="D386" s="168"/>
      <c r="E386" s="168"/>
      <c r="F386" s="168"/>
      <c r="G386" s="168"/>
      <c r="H386" s="168"/>
      <c r="I386" s="168"/>
      <c r="J386" s="168"/>
      <c r="K386" s="168"/>
      <c r="L386" s="168"/>
      <c r="M386" s="168"/>
      <c r="N386" s="168"/>
      <c r="O386" s="168"/>
      <c r="P386" s="168"/>
      <c r="Q386" s="168"/>
      <c r="R386" s="168"/>
      <c r="S386" s="168"/>
      <c r="T386" s="168"/>
      <c r="U386" s="168"/>
      <c r="V386" s="168"/>
      <c r="W386" s="168"/>
      <c r="X386" s="168"/>
      <c r="Y386" s="168"/>
      <c r="Z386" s="168"/>
    </row>
    <row r="387" customFormat="false" ht="15.75" hidden="false" customHeight="false" outlineLevel="0" collapsed="false">
      <c r="A387" s="168"/>
      <c r="B387" s="168"/>
      <c r="C387" s="168"/>
      <c r="D387" s="168"/>
      <c r="E387" s="168"/>
      <c r="F387" s="168"/>
      <c r="G387" s="168"/>
      <c r="H387" s="168"/>
      <c r="I387" s="168"/>
      <c r="J387" s="168"/>
      <c r="K387" s="168"/>
      <c r="L387" s="168"/>
      <c r="M387" s="168"/>
      <c r="N387" s="168"/>
      <c r="O387" s="168"/>
      <c r="P387" s="168"/>
      <c r="Q387" s="168"/>
      <c r="R387" s="168"/>
      <c r="S387" s="168"/>
      <c r="T387" s="168"/>
      <c r="U387" s="168"/>
      <c r="V387" s="168"/>
      <c r="W387" s="168"/>
      <c r="X387" s="168"/>
      <c r="Y387" s="168"/>
      <c r="Z387" s="168"/>
    </row>
    <row r="388" customFormat="false" ht="15.75" hidden="false" customHeight="false" outlineLevel="0" collapsed="false">
      <c r="A388" s="168"/>
      <c r="B388" s="168"/>
      <c r="C388" s="168"/>
      <c r="D388" s="168"/>
      <c r="E388" s="168"/>
      <c r="F388" s="168"/>
      <c r="G388" s="168"/>
      <c r="H388" s="168"/>
      <c r="I388" s="168"/>
      <c r="J388" s="168"/>
      <c r="K388" s="168"/>
      <c r="L388" s="168"/>
      <c r="M388" s="168"/>
      <c r="N388" s="168"/>
      <c r="O388" s="168"/>
      <c r="P388" s="168"/>
      <c r="Q388" s="168"/>
      <c r="R388" s="168"/>
      <c r="S388" s="168"/>
      <c r="T388" s="168"/>
      <c r="U388" s="168"/>
      <c r="V388" s="168"/>
      <c r="W388" s="168"/>
      <c r="X388" s="168"/>
      <c r="Y388" s="168"/>
      <c r="Z388" s="168"/>
    </row>
    <row r="389" customFormat="false" ht="15.75" hidden="false" customHeight="false" outlineLevel="0" collapsed="false">
      <c r="A389" s="168"/>
      <c r="B389" s="168"/>
      <c r="C389" s="168"/>
      <c r="D389" s="168"/>
      <c r="E389" s="168"/>
      <c r="F389" s="168"/>
      <c r="G389" s="168"/>
      <c r="H389" s="168"/>
      <c r="I389" s="168"/>
      <c r="J389" s="168"/>
      <c r="K389" s="168"/>
      <c r="L389" s="168"/>
      <c r="M389" s="168"/>
      <c r="N389" s="168"/>
      <c r="O389" s="168"/>
      <c r="P389" s="168"/>
      <c r="Q389" s="168"/>
      <c r="R389" s="168"/>
      <c r="S389" s="168"/>
      <c r="T389" s="168"/>
      <c r="U389" s="168"/>
      <c r="V389" s="168"/>
      <c r="W389" s="168"/>
      <c r="X389" s="168"/>
      <c r="Y389" s="168"/>
      <c r="Z389" s="168"/>
    </row>
    <row r="390" customFormat="false" ht="15.75" hidden="false" customHeight="false" outlineLevel="0" collapsed="false">
      <c r="A390" s="168"/>
      <c r="B390" s="168"/>
      <c r="C390" s="168"/>
      <c r="D390" s="168"/>
      <c r="E390" s="168"/>
      <c r="F390" s="168"/>
      <c r="G390" s="168"/>
      <c r="H390" s="168"/>
      <c r="I390" s="168"/>
      <c r="J390" s="168"/>
      <c r="K390" s="168"/>
      <c r="L390" s="168"/>
      <c r="M390" s="168"/>
      <c r="N390" s="168"/>
      <c r="O390" s="168"/>
      <c r="P390" s="168"/>
      <c r="Q390" s="168"/>
      <c r="R390" s="168"/>
      <c r="S390" s="168"/>
      <c r="T390" s="168"/>
      <c r="U390" s="168"/>
      <c r="V390" s="168"/>
      <c r="W390" s="168"/>
      <c r="X390" s="168"/>
      <c r="Y390" s="168"/>
      <c r="Z390" s="168"/>
    </row>
    <row r="391" customFormat="false" ht="15.75" hidden="false" customHeight="false" outlineLevel="0" collapsed="false">
      <c r="A391" s="168"/>
      <c r="B391" s="168"/>
      <c r="C391" s="168"/>
      <c r="D391" s="168"/>
      <c r="E391" s="168"/>
      <c r="F391" s="168"/>
      <c r="G391" s="168"/>
      <c r="H391" s="168"/>
      <c r="I391" s="168"/>
      <c r="J391" s="168"/>
      <c r="K391" s="168"/>
      <c r="L391" s="168"/>
      <c r="M391" s="168"/>
      <c r="N391" s="168"/>
      <c r="O391" s="168"/>
      <c r="P391" s="168"/>
      <c r="Q391" s="168"/>
      <c r="R391" s="168"/>
      <c r="S391" s="168"/>
      <c r="T391" s="168"/>
      <c r="U391" s="168"/>
      <c r="V391" s="168"/>
      <c r="W391" s="168"/>
      <c r="X391" s="168"/>
      <c r="Y391" s="168"/>
      <c r="Z391" s="168"/>
    </row>
    <row r="392" customFormat="false" ht="15.75" hidden="false" customHeight="false" outlineLevel="0" collapsed="false">
      <c r="A392" s="168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</row>
    <row r="393" customFormat="false" ht="15.75" hidden="false" customHeight="false" outlineLevel="0" collapsed="false">
      <c r="A393" s="168"/>
      <c r="B393" s="168"/>
      <c r="C393" s="168"/>
      <c r="D393" s="168"/>
      <c r="E393" s="168"/>
      <c r="F393" s="168"/>
      <c r="G393" s="168"/>
      <c r="H393" s="168"/>
      <c r="I393" s="168"/>
      <c r="J393" s="168"/>
      <c r="K393" s="168"/>
      <c r="L393" s="168"/>
      <c r="M393" s="168"/>
      <c r="N393" s="168"/>
      <c r="O393" s="168"/>
      <c r="P393" s="168"/>
      <c r="Q393" s="168"/>
      <c r="R393" s="168"/>
      <c r="S393" s="168"/>
      <c r="T393" s="168"/>
      <c r="U393" s="168"/>
      <c r="V393" s="168"/>
      <c r="W393" s="168"/>
      <c r="X393" s="168"/>
      <c r="Y393" s="168"/>
      <c r="Z393" s="168"/>
    </row>
    <row r="394" customFormat="false" ht="15.75" hidden="false" customHeight="false" outlineLevel="0" collapsed="false">
      <c r="A394" s="168"/>
      <c r="B394" s="168"/>
      <c r="C394" s="168"/>
      <c r="D394" s="168"/>
      <c r="E394" s="168"/>
      <c r="F394" s="168"/>
      <c r="G394" s="168"/>
      <c r="H394" s="168"/>
      <c r="I394" s="168"/>
      <c r="J394" s="168"/>
      <c r="K394" s="168"/>
      <c r="L394" s="168"/>
      <c r="M394" s="168"/>
      <c r="N394" s="168"/>
      <c r="O394" s="168"/>
      <c r="P394" s="168"/>
      <c r="Q394" s="168"/>
      <c r="R394" s="168"/>
      <c r="S394" s="168"/>
      <c r="T394" s="168"/>
      <c r="U394" s="168"/>
      <c r="V394" s="168"/>
      <c r="W394" s="168"/>
      <c r="X394" s="168"/>
      <c r="Y394" s="168"/>
      <c r="Z394" s="168"/>
    </row>
    <row r="395" customFormat="false" ht="15.75" hidden="false" customHeight="false" outlineLevel="0" collapsed="false">
      <c r="A395" s="168"/>
      <c r="B395" s="168"/>
      <c r="C395" s="168"/>
      <c r="D395" s="168"/>
      <c r="E395" s="168"/>
      <c r="F395" s="168"/>
      <c r="G395" s="168"/>
      <c r="H395" s="168"/>
      <c r="I395" s="168"/>
      <c r="J395" s="168"/>
      <c r="K395" s="168"/>
      <c r="L395" s="168"/>
      <c r="M395" s="168"/>
      <c r="N395" s="168"/>
      <c r="O395" s="168"/>
      <c r="P395" s="168"/>
      <c r="Q395" s="168"/>
      <c r="R395" s="168"/>
      <c r="S395" s="168"/>
      <c r="T395" s="168"/>
      <c r="U395" s="168"/>
      <c r="V395" s="168"/>
      <c r="W395" s="168"/>
      <c r="X395" s="168"/>
      <c r="Y395" s="168"/>
      <c r="Z395" s="168"/>
    </row>
    <row r="396" customFormat="false" ht="15.75" hidden="false" customHeight="false" outlineLevel="0" collapsed="false">
      <c r="A396" s="168"/>
      <c r="B396" s="168"/>
      <c r="C396" s="168"/>
      <c r="D396" s="168"/>
      <c r="E396" s="168"/>
      <c r="F396" s="168"/>
      <c r="G396" s="168"/>
      <c r="H396" s="168"/>
      <c r="I396" s="168"/>
      <c r="J396" s="168"/>
      <c r="K396" s="168"/>
      <c r="L396" s="168"/>
      <c r="M396" s="168"/>
      <c r="N396" s="168"/>
      <c r="O396" s="168"/>
      <c r="P396" s="168"/>
      <c r="Q396" s="168"/>
      <c r="R396" s="168"/>
      <c r="S396" s="168"/>
      <c r="T396" s="168"/>
      <c r="U396" s="168"/>
      <c r="V396" s="168"/>
      <c r="W396" s="168"/>
      <c r="X396" s="168"/>
      <c r="Y396" s="168"/>
      <c r="Z396" s="168"/>
    </row>
    <row r="397" customFormat="false" ht="15.75" hidden="false" customHeight="false" outlineLevel="0" collapsed="false">
      <c r="A397" s="168"/>
      <c r="B397" s="168"/>
      <c r="C397" s="168"/>
      <c r="D397" s="168"/>
      <c r="E397" s="168"/>
      <c r="F397" s="168"/>
      <c r="G397" s="168"/>
      <c r="H397" s="168"/>
      <c r="I397" s="168"/>
      <c r="J397" s="168"/>
      <c r="K397" s="168"/>
      <c r="L397" s="168"/>
      <c r="M397" s="168"/>
      <c r="N397" s="168"/>
      <c r="O397" s="168"/>
      <c r="P397" s="168"/>
      <c r="Q397" s="168"/>
      <c r="R397" s="168"/>
      <c r="S397" s="168"/>
      <c r="T397" s="168"/>
      <c r="U397" s="168"/>
      <c r="V397" s="168"/>
      <c r="W397" s="168"/>
      <c r="X397" s="168"/>
      <c r="Y397" s="168"/>
      <c r="Z397" s="168"/>
    </row>
    <row r="398" customFormat="false" ht="15.75" hidden="false" customHeight="false" outlineLevel="0" collapsed="false">
      <c r="A398" s="168"/>
      <c r="B398" s="168"/>
      <c r="C398" s="168"/>
      <c r="D398" s="168"/>
      <c r="E398" s="168"/>
      <c r="F398" s="168"/>
      <c r="G398" s="168"/>
      <c r="H398" s="168"/>
      <c r="I398" s="168"/>
      <c r="J398" s="168"/>
      <c r="K398" s="168"/>
      <c r="L398" s="168"/>
      <c r="M398" s="168"/>
      <c r="N398" s="168"/>
      <c r="O398" s="168"/>
      <c r="P398" s="168"/>
      <c r="Q398" s="168"/>
      <c r="R398" s="168"/>
      <c r="S398" s="168"/>
      <c r="T398" s="168"/>
      <c r="U398" s="168"/>
      <c r="V398" s="168"/>
      <c r="W398" s="168"/>
      <c r="X398" s="168"/>
      <c r="Y398" s="168"/>
      <c r="Z398" s="168"/>
    </row>
    <row r="399" customFormat="false" ht="15.75" hidden="false" customHeight="false" outlineLevel="0" collapsed="false">
      <c r="A399" s="168"/>
      <c r="B399" s="168"/>
      <c r="C399" s="168"/>
      <c r="D399" s="168"/>
      <c r="E399" s="168"/>
      <c r="F399" s="168"/>
      <c r="G399" s="168"/>
      <c r="H399" s="168"/>
      <c r="I399" s="168"/>
      <c r="J399" s="168"/>
      <c r="K399" s="168"/>
      <c r="L399" s="168"/>
      <c r="M399" s="168"/>
      <c r="N399" s="168"/>
      <c r="O399" s="168"/>
      <c r="P399" s="168"/>
      <c r="Q399" s="168"/>
      <c r="R399" s="168"/>
      <c r="S399" s="168"/>
      <c r="T399" s="168"/>
      <c r="U399" s="168"/>
      <c r="V399" s="168"/>
      <c r="W399" s="168"/>
      <c r="X399" s="168"/>
      <c r="Y399" s="168"/>
      <c r="Z399" s="168"/>
    </row>
    <row r="400" customFormat="false" ht="15.75" hidden="false" customHeight="false" outlineLevel="0" collapsed="false">
      <c r="A400" s="168"/>
      <c r="B400" s="168"/>
      <c r="C400" s="168"/>
      <c r="D400" s="168"/>
      <c r="E400" s="168"/>
      <c r="F400" s="168"/>
      <c r="G400" s="168"/>
      <c r="H400" s="168"/>
      <c r="I400" s="168"/>
      <c r="J400" s="168"/>
      <c r="K400" s="168"/>
      <c r="L400" s="168"/>
      <c r="M400" s="168"/>
      <c r="N400" s="168"/>
      <c r="O400" s="168"/>
      <c r="P400" s="168"/>
      <c r="Q400" s="168"/>
      <c r="R400" s="168"/>
      <c r="S400" s="168"/>
      <c r="T400" s="168"/>
      <c r="U400" s="168"/>
      <c r="V400" s="168"/>
      <c r="W400" s="168"/>
      <c r="X400" s="168"/>
      <c r="Y400" s="168"/>
      <c r="Z400" s="168"/>
    </row>
    <row r="401" customFormat="false" ht="15.75" hidden="false" customHeight="false" outlineLevel="0" collapsed="false">
      <c r="A401" s="168"/>
      <c r="B401" s="168"/>
      <c r="C401" s="168"/>
      <c r="D401" s="168"/>
      <c r="E401" s="168"/>
      <c r="F401" s="168"/>
      <c r="G401" s="168"/>
      <c r="H401" s="168"/>
      <c r="I401" s="168"/>
      <c r="J401" s="168"/>
      <c r="K401" s="168"/>
      <c r="L401" s="168"/>
      <c r="M401" s="168"/>
      <c r="N401" s="168"/>
      <c r="O401" s="168"/>
      <c r="P401" s="168"/>
      <c r="Q401" s="168"/>
      <c r="R401" s="168"/>
      <c r="S401" s="168"/>
      <c r="T401" s="168"/>
      <c r="U401" s="168"/>
      <c r="V401" s="168"/>
      <c r="W401" s="168"/>
      <c r="X401" s="168"/>
      <c r="Y401" s="168"/>
      <c r="Z401" s="168"/>
    </row>
    <row r="402" customFormat="false" ht="15.75" hidden="false" customHeight="false" outlineLevel="0" collapsed="false">
      <c r="A402" s="168"/>
      <c r="B402" s="168"/>
      <c r="C402" s="168"/>
      <c r="D402" s="168"/>
      <c r="E402" s="168"/>
      <c r="F402" s="168"/>
      <c r="G402" s="168"/>
      <c r="H402" s="168"/>
      <c r="I402" s="168"/>
      <c r="J402" s="168"/>
      <c r="K402" s="168"/>
      <c r="L402" s="168"/>
      <c r="M402" s="168"/>
      <c r="N402" s="168"/>
      <c r="O402" s="168"/>
      <c r="P402" s="168"/>
      <c r="Q402" s="168"/>
      <c r="R402" s="168"/>
      <c r="S402" s="168"/>
      <c r="T402" s="168"/>
      <c r="U402" s="168"/>
      <c r="V402" s="168"/>
      <c r="W402" s="168"/>
      <c r="X402" s="168"/>
      <c r="Y402" s="168"/>
      <c r="Z402" s="168"/>
    </row>
    <row r="403" customFormat="false" ht="15.75" hidden="false" customHeight="false" outlineLevel="0" collapsed="false">
      <c r="A403" s="168"/>
      <c r="B403" s="168"/>
      <c r="C403" s="168"/>
      <c r="D403" s="168"/>
      <c r="E403" s="168"/>
      <c r="F403" s="168"/>
      <c r="G403" s="168"/>
      <c r="H403" s="168"/>
      <c r="I403" s="168"/>
      <c r="J403" s="168"/>
      <c r="K403" s="168"/>
      <c r="L403" s="168"/>
      <c r="M403" s="168"/>
      <c r="N403" s="168"/>
      <c r="O403" s="168"/>
      <c r="P403" s="168"/>
      <c r="Q403" s="168"/>
      <c r="R403" s="168"/>
      <c r="S403" s="168"/>
      <c r="T403" s="168"/>
      <c r="U403" s="168"/>
      <c r="V403" s="168"/>
      <c r="W403" s="168"/>
      <c r="X403" s="168"/>
      <c r="Y403" s="168"/>
      <c r="Z403" s="168"/>
    </row>
    <row r="404" customFormat="false" ht="15.75" hidden="false" customHeight="false" outlineLevel="0" collapsed="false">
      <c r="A404" s="168"/>
      <c r="B404" s="168"/>
      <c r="C404" s="168"/>
      <c r="D404" s="168"/>
      <c r="E404" s="168"/>
      <c r="F404" s="168"/>
      <c r="G404" s="168"/>
      <c r="H404" s="168"/>
      <c r="I404" s="168"/>
      <c r="J404" s="168"/>
      <c r="K404" s="168"/>
      <c r="L404" s="168"/>
      <c r="M404" s="168"/>
      <c r="N404" s="168"/>
      <c r="O404" s="168"/>
      <c r="P404" s="168"/>
      <c r="Q404" s="168"/>
      <c r="R404" s="168"/>
      <c r="S404" s="168"/>
      <c r="T404" s="168"/>
      <c r="U404" s="168"/>
      <c r="V404" s="168"/>
      <c r="W404" s="168"/>
      <c r="X404" s="168"/>
      <c r="Y404" s="168"/>
      <c r="Z404" s="168"/>
    </row>
    <row r="405" customFormat="false" ht="15.75" hidden="false" customHeight="false" outlineLevel="0" collapsed="false">
      <c r="A405" s="168"/>
      <c r="B405" s="168"/>
      <c r="C405" s="168"/>
      <c r="D405" s="168"/>
      <c r="E405" s="168"/>
      <c r="F405" s="168"/>
      <c r="G405" s="168"/>
      <c r="H405" s="168"/>
      <c r="I405" s="168"/>
      <c r="J405" s="168"/>
      <c r="K405" s="168"/>
      <c r="L405" s="168"/>
      <c r="M405" s="168"/>
      <c r="N405" s="168"/>
      <c r="O405" s="168"/>
      <c r="P405" s="168"/>
      <c r="Q405" s="168"/>
      <c r="R405" s="168"/>
      <c r="S405" s="168"/>
      <c r="T405" s="168"/>
      <c r="U405" s="168"/>
      <c r="V405" s="168"/>
      <c r="W405" s="168"/>
      <c r="X405" s="168"/>
      <c r="Y405" s="168"/>
      <c r="Z405" s="168"/>
    </row>
    <row r="406" customFormat="false" ht="15.75" hidden="false" customHeight="false" outlineLevel="0" collapsed="false">
      <c r="A406" s="168"/>
      <c r="B406" s="168"/>
      <c r="C406" s="168"/>
      <c r="D406" s="168"/>
      <c r="E406" s="168"/>
      <c r="F406" s="168"/>
      <c r="G406" s="168"/>
      <c r="H406" s="168"/>
      <c r="I406" s="168"/>
      <c r="J406" s="168"/>
      <c r="K406" s="168"/>
      <c r="L406" s="168"/>
      <c r="M406" s="168"/>
      <c r="N406" s="168"/>
      <c r="O406" s="168"/>
      <c r="P406" s="168"/>
      <c r="Q406" s="168"/>
      <c r="R406" s="168"/>
      <c r="S406" s="168"/>
      <c r="T406" s="168"/>
      <c r="U406" s="168"/>
      <c r="V406" s="168"/>
      <c r="W406" s="168"/>
      <c r="X406" s="168"/>
      <c r="Y406" s="168"/>
      <c r="Z406" s="168"/>
    </row>
    <row r="407" customFormat="false" ht="15.75" hidden="false" customHeight="false" outlineLevel="0" collapsed="false">
      <c r="A407" s="168"/>
      <c r="B407" s="168"/>
      <c r="C407" s="168"/>
      <c r="D407" s="168"/>
      <c r="E407" s="168"/>
      <c r="F407" s="168"/>
      <c r="G407" s="168"/>
      <c r="H407" s="168"/>
      <c r="I407" s="168"/>
      <c r="J407" s="168"/>
      <c r="K407" s="168"/>
      <c r="L407" s="168"/>
      <c r="M407" s="168"/>
      <c r="N407" s="168"/>
      <c r="O407" s="168"/>
      <c r="P407" s="168"/>
      <c r="Q407" s="168"/>
      <c r="R407" s="168"/>
      <c r="S407" s="168"/>
      <c r="T407" s="168"/>
      <c r="U407" s="168"/>
      <c r="V407" s="168"/>
      <c r="W407" s="168"/>
      <c r="X407" s="168"/>
      <c r="Y407" s="168"/>
      <c r="Z407" s="168"/>
    </row>
    <row r="408" customFormat="false" ht="15.75" hidden="false" customHeight="false" outlineLevel="0" collapsed="false">
      <c r="A408" s="168"/>
      <c r="B408" s="168"/>
      <c r="C408" s="168"/>
      <c r="D408" s="168"/>
      <c r="E408" s="168"/>
      <c r="F408" s="168"/>
      <c r="G408" s="168"/>
      <c r="H408" s="168"/>
      <c r="I408" s="168"/>
      <c r="J408" s="168"/>
      <c r="K408" s="168"/>
      <c r="L408" s="168"/>
      <c r="M408" s="168"/>
      <c r="N408" s="168"/>
      <c r="O408" s="168"/>
      <c r="P408" s="168"/>
      <c r="Q408" s="168"/>
      <c r="R408" s="168"/>
      <c r="S408" s="168"/>
      <c r="T408" s="168"/>
      <c r="U408" s="168"/>
      <c r="V408" s="168"/>
      <c r="W408" s="168"/>
      <c r="X408" s="168"/>
      <c r="Y408" s="168"/>
      <c r="Z408" s="168"/>
    </row>
    <row r="409" customFormat="false" ht="15.75" hidden="false" customHeight="false" outlineLevel="0" collapsed="false">
      <c r="A409" s="168"/>
      <c r="B409" s="168"/>
      <c r="C409" s="168"/>
      <c r="D409" s="168"/>
      <c r="E409" s="168"/>
      <c r="F409" s="168"/>
      <c r="G409" s="168"/>
      <c r="H409" s="168"/>
      <c r="I409" s="168"/>
      <c r="J409" s="168"/>
      <c r="K409" s="168"/>
      <c r="L409" s="168"/>
      <c r="M409" s="168"/>
      <c r="N409" s="168"/>
      <c r="O409" s="168"/>
      <c r="P409" s="168"/>
      <c r="Q409" s="168"/>
      <c r="R409" s="168"/>
      <c r="S409" s="168"/>
      <c r="T409" s="168"/>
      <c r="U409" s="168"/>
      <c r="V409" s="168"/>
      <c r="W409" s="168"/>
      <c r="X409" s="168"/>
      <c r="Y409" s="168"/>
      <c r="Z409" s="168"/>
    </row>
    <row r="410" customFormat="false" ht="15.75" hidden="false" customHeight="false" outlineLevel="0" collapsed="false">
      <c r="A410" s="168"/>
      <c r="B410" s="168"/>
      <c r="C410" s="168"/>
      <c r="D410" s="168"/>
      <c r="E410" s="168"/>
      <c r="F410" s="168"/>
      <c r="G410" s="168"/>
      <c r="H410" s="168"/>
      <c r="I410" s="168"/>
      <c r="J410" s="168"/>
      <c r="K410" s="168"/>
      <c r="L410" s="168"/>
      <c r="M410" s="168"/>
      <c r="N410" s="168"/>
      <c r="O410" s="168"/>
      <c r="P410" s="168"/>
      <c r="Q410" s="168"/>
      <c r="R410" s="168"/>
      <c r="S410" s="168"/>
      <c r="T410" s="168"/>
      <c r="U410" s="168"/>
      <c r="V410" s="168"/>
      <c r="W410" s="168"/>
      <c r="X410" s="168"/>
      <c r="Y410" s="168"/>
      <c r="Z410" s="168"/>
    </row>
    <row r="411" customFormat="false" ht="15.75" hidden="false" customHeight="false" outlineLevel="0" collapsed="false">
      <c r="A411" s="168"/>
      <c r="B411" s="168"/>
      <c r="C411" s="168"/>
      <c r="D411" s="168"/>
      <c r="E411" s="168"/>
      <c r="F411" s="168"/>
      <c r="G411" s="168"/>
      <c r="H411" s="168"/>
      <c r="I411" s="168"/>
      <c r="J411" s="168"/>
      <c r="K411" s="168"/>
      <c r="L411" s="168"/>
      <c r="M411" s="168"/>
      <c r="N411" s="168"/>
      <c r="O411" s="168"/>
      <c r="P411" s="168"/>
      <c r="Q411" s="168"/>
      <c r="R411" s="168"/>
      <c r="S411" s="168"/>
      <c r="T411" s="168"/>
      <c r="U411" s="168"/>
      <c r="V411" s="168"/>
      <c r="W411" s="168"/>
      <c r="X411" s="168"/>
      <c r="Y411" s="168"/>
      <c r="Z411" s="168"/>
    </row>
    <row r="412" customFormat="false" ht="15.75" hidden="false" customHeight="false" outlineLevel="0" collapsed="false">
      <c r="A412" s="168"/>
      <c r="B412" s="168"/>
      <c r="C412" s="168"/>
      <c r="D412" s="168"/>
      <c r="E412" s="168"/>
      <c r="F412" s="168"/>
      <c r="G412" s="168"/>
      <c r="H412" s="168"/>
      <c r="I412" s="168"/>
      <c r="J412" s="168"/>
      <c r="K412" s="168"/>
      <c r="L412" s="168"/>
      <c r="M412" s="168"/>
      <c r="N412" s="168"/>
      <c r="O412" s="168"/>
      <c r="P412" s="168"/>
      <c r="Q412" s="168"/>
      <c r="R412" s="168"/>
      <c r="S412" s="168"/>
      <c r="T412" s="168"/>
      <c r="U412" s="168"/>
      <c r="V412" s="168"/>
      <c r="W412" s="168"/>
      <c r="X412" s="168"/>
      <c r="Y412" s="168"/>
      <c r="Z412" s="168"/>
    </row>
    <row r="413" customFormat="false" ht="15.75" hidden="false" customHeight="false" outlineLevel="0" collapsed="false">
      <c r="A413" s="168"/>
      <c r="B413" s="168"/>
      <c r="C413" s="168"/>
      <c r="D413" s="168"/>
      <c r="E413" s="168"/>
      <c r="F413" s="168"/>
      <c r="G413" s="168"/>
      <c r="H413" s="168"/>
      <c r="I413" s="168"/>
      <c r="J413" s="168"/>
      <c r="K413" s="168"/>
      <c r="L413" s="168"/>
      <c r="M413" s="168"/>
      <c r="N413" s="168"/>
      <c r="O413" s="168"/>
      <c r="P413" s="168"/>
      <c r="Q413" s="168"/>
      <c r="R413" s="168"/>
      <c r="S413" s="168"/>
      <c r="T413" s="168"/>
      <c r="U413" s="168"/>
      <c r="V413" s="168"/>
      <c r="W413" s="168"/>
      <c r="X413" s="168"/>
      <c r="Y413" s="168"/>
      <c r="Z413" s="168"/>
    </row>
    <row r="414" customFormat="false" ht="15.75" hidden="false" customHeight="false" outlineLevel="0" collapsed="false">
      <c r="A414" s="168"/>
      <c r="B414" s="168"/>
      <c r="C414" s="168"/>
      <c r="D414" s="168"/>
      <c r="E414" s="168"/>
      <c r="F414" s="168"/>
      <c r="G414" s="168"/>
      <c r="H414" s="168"/>
      <c r="I414" s="168"/>
      <c r="J414" s="168"/>
      <c r="K414" s="168"/>
      <c r="L414" s="168"/>
      <c r="M414" s="168"/>
      <c r="N414" s="168"/>
      <c r="O414" s="168"/>
      <c r="P414" s="168"/>
      <c r="Q414" s="168"/>
      <c r="R414" s="168"/>
      <c r="S414" s="168"/>
      <c r="T414" s="168"/>
      <c r="U414" s="168"/>
      <c r="V414" s="168"/>
      <c r="W414" s="168"/>
      <c r="X414" s="168"/>
      <c r="Y414" s="168"/>
      <c r="Z414" s="168"/>
    </row>
    <row r="415" customFormat="false" ht="15.75" hidden="false" customHeight="false" outlineLevel="0" collapsed="false">
      <c r="A415" s="168"/>
      <c r="B415" s="168"/>
      <c r="C415" s="168"/>
      <c r="D415" s="168"/>
      <c r="E415" s="168"/>
      <c r="F415" s="168"/>
      <c r="G415" s="168"/>
      <c r="H415" s="168"/>
      <c r="I415" s="168"/>
      <c r="J415" s="168"/>
      <c r="K415" s="168"/>
      <c r="L415" s="168"/>
      <c r="M415" s="168"/>
      <c r="N415" s="168"/>
      <c r="O415" s="168"/>
      <c r="P415" s="168"/>
      <c r="Q415" s="168"/>
      <c r="R415" s="168"/>
      <c r="S415" s="168"/>
      <c r="T415" s="168"/>
      <c r="U415" s="168"/>
      <c r="V415" s="168"/>
      <c r="W415" s="168"/>
      <c r="X415" s="168"/>
      <c r="Y415" s="168"/>
      <c r="Z415" s="168"/>
    </row>
    <row r="416" customFormat="false" ht="15.75" hidden="false" customHeight="false" outlineLevel="0" collapsed="false">
      <c r="A416" s="168"/>
      <c r="B416" s="168"/>
      <c r="C416" s="168"/>
      <c r="D416" s="168"/>
      <c r="E416" s="168"/>
      <c r="F416" s="168"/>
      <c r="G416" s="168"/>
      <c r="H416" s="168"/>
      <c r="I416" s="168"/>
      <c r="J416" s="168"/>
      <c r="K416" s="168"/>
      <c r="L416" s="168"/>
      <c r="M416" s="168"/>
      <c r="N416" s="168"/>
      <c r="O416" s="168"/>
      <c r="P416" s="168"/>
      <c r="Q416" s="168"/>
      <c r="R416" s="168"/>
      <c r="S416" s="168"/>
      <c r="T416" s="168"/>
      <c r="U416" s="168"/>
      <c r="V416" s="168"/>
      <c r="W416" s="168"/>
      <c r="X416" s="168"/>
      <c r="Y416" s="168"/>
      <c r="Z416" s="168"/>
    </row>
    <row r="417" customFormat="false" ht="15.75" hidden="false" customHeight="false" outlineLevel="0" collapsed="false">
      <c r="A417" s="168"/>
      <c r="B417" s="168"/>
      <c r="C417" s="168"/>
      <c r="D417" s="168"/>
      <c r="E417" s="168"/>
      <c r="F417" s="168"/>
      <c r="G417" s="168"/>
      <c r="H417" s="168"/>
      <c r="I417" s="168"/>
      <c r="J417" s="168"/>
      <c r="K417" s="168"/>
      <c r="L417" s="168"/>
      <c r="M417" s="168"/>
      <c r="N417" s="168"/>
      <c r="O417" s="168"/>
      <c r="P417" s="168"/>
      <c r="Q417" s="168"/>
      <c r="R417" s="168"/>
      <c r="S417" s="168"/>
      <c r="T417" s="168"/>
      <c r="U417" s="168"/>
      <c r="V417" s="168"/>
      <c r="W417" s="168"/>
      <c r="X417" s="168"/>
      <c r="Y417" s="168"/>
      <c r="Z417" s="168"/>
    </row>
    <row r="418" customFormat="false" ht="15.75" hidden="false" customHeight="false" outlineLevel="0" collapsed="false">
      <c r="A418" s="168"/>
      <c r="B418" s="168"/>
      <c r="C418" s="168"/>
      <c r="D418" s="168"/>
      <c r="E418" s="168"/>
      <c r="F418" s="168"/>
      <c r="G418" s="168"/>
      <c r="H418" s="168"/>
      <c r="I418" s="168"/>
      <c r="J418" s="168"/>
      <c r="K418" s="168"/>
      <c r="L418" s="168"/>
      <c r="M418" s="168"/>
      <c r="N418" s="168"/>
      <c r="O418" s="168"/>
      <c r="P418" s="168"/>
      <c r="Q418" s="168"/>
      <c r="R418" s="168"/>
      <c r="S418" s="168"/>
      <c r="T418" s="168"/>
      <c r="U418" s="168"/>
      <c r="V418" s="168"/>
      <c r="W418" s="168"/>
      <c r="X418" s="168"/>
      <c r="Y418" s="168"/>
      <c r="Z418" s="168"/>
    </row>
    <row r="419" customFormat="false" ht="15.75" hidden="false" customHeight="false" outlineLevel="0" collapsed="false">
      <c r="A419" s="168"/>
      <c r="B419" s="168"/>
      <c r="C419" s="168"/>
      <c r="D419" s="168"/>
      <c r="E419" s="168"/>
      <c r="F419" s="168"/>
      <c r="G419" s="168"/>
      <c r="H419" s="168"/>
      <c r="I419" s="168"/>
      <c r="J419" s="168"/>
      <c r="K419" s="168"/>
      <c r="L419" s="168"/>
      <c r="M419" s="168"/>
      <c r="N419" s="168"/>
      <c r="O419" s="168"/>
      <c r="P419" s="168"/>
      <c r="Q419" s="168"/>
      <c r="R419" s="168"/>
      <c r="S419" s="168"/>
      <c r="T419" s="168"/>
      <c r="U419" s="168"/>
      <c r="V419" s="168"/>
      <c r="W419" s="168"/>
      <c r="X419" s="168"/>
      <c r="Y419" s="168"/>
      <c r="Z419" s="168"/>
    </row>
    <row r="420" customFormat="false" ht="15.75" hidden="false" customHeight="false" outlineLevel="0" collapsed="false">
      <c r="A420" s="168"/>
      <c r="B420" s="168"/>
      <c r="C420" s="168"/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8"/>
      <c r="O420" s="168"/>
      <c r="P420" s="168"/>
      <c r="Q420" s="168"/>
      <c r="R420" s="168"/>
      <c r="S420" s="168"/>
      <c r="T420" s="168"/>
      <c r="U420" s="168"/>
      <c r="V420" s="168"/>
      <c r="W420" s="168"/>
      <c r="X420" s="168"/>
      <c r="Y420" s="168"/>
      <c r="Z420" s="168"/>
    </row>
    <row r="421" customFormat="false" ht="15.75" hidden="false" customHeight="false" outlineLevel="0" collapsed="false">
      <c r="A421" s="168"/>
      <c r="B421" s="168"/>
      <c r="C421" s="168"/>
      <c r="D421" s="168"/>
      <c r="E421" s="168"/>
      <c r="F421" s="168"/>
      <c r="G421" s="168"/>
      <c r="H421" s="168"/>
      <c r="I421" s="168"/>
      <c r="J421" s="168"/>
      <c r="K421" s="168"/>
      <c r="L421" s="168"/>
      <c r="M421" s="168"/>
      <c r="N421" s="168"/>
      <c r="O421" s="168"/>
      <c r="P421" s="168"/>
      <c r="Q421" s="168"/>
      <c r="R421" s="168"/>
      <c r="S421" s="168"/>
      <c r="T421" s="168"/>
      <c r="U421" s="168"/>
      <c r="V421" s="168"/>
      <c r="W421" s="168"/>
      <c r="X421" s="168"/>
      <c r="Y421" s="168"/>
      <c r="Z421" s="168"/>
    </row>
    <row r="422" customFormat="false" ht="15.75" hidden="false" customHeight="false" outlineLevel="0" collapsed="false">
      <c r="A422" s="168"/>
      <c r="B422" s="168"/>
      <c r="C422" s="168"/>
      <c r="D422" s="168"/>
      <c r="E422" s="168"/>
      <c r="F422" s="168"/>
      <c r="G422" s="168"/>
      <c r="H422" s="168"/>
      <c r="I422" s="168"/>
      <c r="J422" s="168"/>
      <c r="K422" s="168"/>
      <c r="L422" s="168"/>
      <c r="M422" s="168"/>
      <c r="N422" s="168"/>
      <c r="O422" s="168"/>
      <c r="P422" s="168"/>
      <c r="Q422" s="168"/>
      <c r="R422" s="168"/>
      <c r="S422" s="168"/>
      <c r="T422" s="168"/>
      <c r="U422" s="168"/>
      <c r="V422" s="168"/>
      <c r="W422" s="168"/>
      <c r="X422" s="168"/>
      <c r="Y422" s="168"/>
      <c r="Z422" s="168"/>
    </row>
    <row r="423" customFormat="false" ht="15.75" hidden="false" customHeight="false" outlineLevel="0" collapsed="false">
      <c r="A423" s="168"/>
      <c r="B423" s="168"/>
      <c r="C423" s="168"/>
      <c r="D423" s="168"/>
      <c r="E423" s="168"/>
      <c r="F423" s="168"/>
      <c r="G423" s="168"/>
      <c r="H423" s="168"/>
      <c r="I423" s="168"/>
      <c r="J423" s="168"/>
      <c r="K423" s="168"/>
      <c r="L423" s="168"/>
      <c r="M423" s="168"/>
      <c r="N423" s="168"/>
      <c r="O423" s="168"/>
      <c r="P423" s="168"/>
      <c r="Q423" s="168"/>
      <c r="R423" s="168"/>
      <c r="S423" s="168"/>
      <c r="T423" s="168"/>
      <c r="U423" s="168"/>
      <c r="V423" s="168"/>
      <c r="W423" s="168"/>
      <c r="X423" s="168"/>
      <c r="Y423" s="168"/>
      <c r="Z423" s="168"/>
    </row>
    <row r="424" customFormat="false" ht="15.75" hidden="false" customHeight="false" outlineLevel="0" collapsed="false">
      <c r="A424" s="168"/>
      <c r="B424" s="168"/>
      <c r="C424" s="168"/>
      <c r="D424" s="168"/>
      <c r="E424" s="168"/>
      <c r="F424" s="168"/>
      <c r="G424" s="168"/>
      <c r="H424" s="168"/>
      <c r="I424" s="168"/>
      <c r="J424" s="168"/>
      <c r="K424" s="168"/>
      <c r="L424" s="168"/>
      <c r="M424" s="168"/>
      <c r="N424" s="168"/>
      <c r="O424" s="168"/>
      <c r="P424" s="168"/>
      <c r="Q424" s="168"/>
      <c r="R424" s="168"/>
      <c r="S424" s="168"/>
      <c r="T424" s="168"/>
      <c r="U424" s="168"/>
      <c r="V424" s="168"/>
      <c r="W424" s="168"/>
      <c r="X424" s="168"/>
      <c r="Y424" s="168"/>
      <c r="Z424" s="168"/>
    </row>
    <row r="425" customFormat="false" ht="15.75" hidden="false" customHeight="false" outlineLevel="0" collapsed="false">
      <c r="A425" s="168"/>
      <c r="B425" s="168"/>
      <c r="C425" s="168"/>
      <c r="D425" s="168"/>
      <c r="E425" s="168"/>
      <c r="F425" s="168"/>
      <c r="G425" s="168"/>
      <c r="H425" s="168"/>
      <c r="I425" s="168"/>
      <c r="J425" s="168"/>
      <c r="K425" s="168"/>
      <c r="L425" s="168"/>
      <c r="M425" s="168"/>
      <c r="N425" s="168"/>
      <c r="O425" s="168"/>
      <c r="P425" s="168"/>
      <c r="Q425" s="168"/>
      <c r="R425" s="168"/>
      <c r="S425" s="168"/>
      <c r="T425" s="168"/>
      <c r="U425" s="168"/>
      <c r="V425" s="168"/>
      <c r="W425" s="168"/>
      <c r="X425" s="168"/>
      <c r="Y425" s="168"/>
      <c r="Z425" s="168"/>
    </row>
    <row r="426" customFormat="false" ht="15.75" hidden="false" customHeight="false" outlineLevel="0" collapsed="false">
      <c r="A426" s="168"/>
      <c r="B426" s="168"/>
      <c r="C426" s="168"/>
      <c r="D426" s="168"/>
      <c r="E426" s="168"/>
      <c r="F426" s="168"/>
      <c r="G426" s="168"/>
      <c r="H426" s="168"/>
      <c r="I426" s="168"/>
      <c r="J426" s="168"/>
      <c r="K426" s="168"/>
      <c r="L426" s="168"/>
      <c r="M426" s="168"/>
      <c r="N426" s="168"/>
      <c r="O426" s="168"/>
      <c r="P426" s="168"/>
      <c r="Q426" s="168"/>
      <c r="R426" s="168"/>
      <c r="S426" s="168"/>
      <c r="T426" s="168"/>
      <c r="U426" s="168"/>
      <c r="V426" s="168"/>
      <c r="W426" s="168"/>
      <c r="X426" s="168"/>
      <c r="Y426" s="168"/>
      <c r="Z426" s="168"/>
    </row>
    <row r="427" customFormat="false" ht="15.75" hidden="false" customHeight="false" outlineLevel="0" collapsed="false">
      <c r="A427" s="168"/>
      <c r="B427" s="168"/>
      <c r="C427" s="168"/>
      <c r="D427" s="168"/>
      <c r="E427" s="168"/>
      <c r="F427" s="168"/>
      <c r="G427" s="168"/>
      <c r="H427" s="168"/>
      <c r="I427" s="168"/>
      <c r="J427" s="168"/>
      <c r="K427" s="168"/>
      <c r="L427" s="168"/>
      <c r="M427" s="168"/>
      <c r="N427" s="168"/>
      <c r="O427" s="168"/>
      <c r="P427" s="168"/>
      <c r="Q427" s="168"/>
      <c r="R427" s="168"/>
      <c r="S427" s="168"/>
      <c r="T427" s="168"/>
      <c r="U427" s="168"/>
      <c r="V427" s="168"/>
      <c r="W427" s="168"/>
      <c r="X427" s="168"/>
      <c r="Y427" s="168"/>
      <c r="Z427" s="168"/>
    </row>
    <row r="428" customFormat="false" ht="15.75" hidden="false" customHeight="false" outlineLevel="0" collapsed="false">
      <c r="A428" s="168"/>
      <c r="B428" s="168"/>
      <c r="C428" s="168"/>
      <c r="D428" s="168"/>
      <c r="E428" s="168"/>
      <c r="F428" s="168"/>
      <c r="G428" s="168"/>
      <c r="H428" s="168"/>
      <c r="I428" s="168"/>
      <c r="J428" s="168"/>
      <c r="K428" s="168"/>
      <c r="L428" s="168"/>
      <c r="M428" s="168"/>
      <c r="N428" s="168"/>
      <c r="O428" s="168"/>
      <c r="P428" s="168"/>
      <c r="Q428" s="168"/>
      <c r="R428" s="168"/>
      <c r="S428" s="168"/>
      <c r="T428" s="168"/>
      <c r="U428" s="168"/>
      <c r="V428" s="168"/>
      <c r="W428" s="168"/>
      <c r="X428" s="168"/>
      <c r="Y428" s="168"/>
      <c r="Z428" s="168"/>
    </row>
    <row r="429" customFormat="false" ht="15.75" hidden="false" customHeight="false" outlineLevel="0" collapsed="false">
      <c r="A429" s="168"/>
      <c r="B429" s="168"/>
      <c r="C429" s="168"/>
      <c r="D429" s="168"/>
      <c r="E429" s="168"/>
      <c r="F429" s="168"/>
      <c r="G429" s="168"/>
      <c r="H429" s="168"/>
      <c r="I429" s="168"/>
      <c r="J429" s="168"/>
      <c r="K429" s="168"/>
      <c r="L429" s="168"/>
      <c r="M429" s="168"/>
      <c r="N429" s="168"/>
      <c r="O429" s="168"/>
      <c r="P429" s="168"/>
      <c r="Q429" s="168"/>
      <c r="R429" s="168"/>
      <c r="S429" s="168"/>
      <c r="T429" s="168"/>
      <c r="U429" s="168"/>
      <c r="V429" s="168"/>
      <c r="W429" s="168"/>
      <c r="X429" s="168"/>
      <c r="Y429" s="168"/>
      <c r="Z429" s="168"/>
    </row>
    <row r="430" customFormat="false" ht="15.75" hidden="false" customHeight="false" outlineLevel="0" collapsed="false">
      <c r="A430" s="168"/>
      <c r="B430" s="168"/>
      <c r="C430" s="168"/>
      <c r="D430" s="168"/>
      <c r="E430" s="168"/>
      <c r="F430" s="168"/>
      <c r="G430" s="168"/>
      <c r="H430" s="168"/>
      <c r="I430" s="168"/>
      <c r="J430" s="168"/>
      <c r="K430" s="168"/>
      <c r="L430" s="168"/>
      <c r="M430" s="168"/>
      <c r="N430" s="168"/>
      <c r="O430" s="168"/>
      <c r="P430" s="168"/>
      <c r="Q430" s="168"/>
      <c r="R430" s="168"/>
      <c r="S430" s="168"/>
      <c r="T430" s="168"/>
      <c r="U430" s="168"/>
      <c r="V430" s="168"/>
      <c r="W430" s="168"/>
      <c r="X430" s="168"/>
      <c r="Y430" s="168"/>
      <c r="Z430" s="168"/>
    </row>
    <row r="431" customFormat="false" ht="15.75" hidden="false" customHeight="false" outlineLevel="0" collapsed="false">
      <c r="A431" s="168"/>
      <c r="B431" s="168"/>
      <c r="C431" s="168"/>
      <c r="D431" s="168"/>
      <c r="E431" s="168"/>
      <c r="F431" s="168"/>
      <c r="G431" s="168"/>
      <c r="H431" s="168"/>
      <c r="I431" s="168"/>
      <c r="J431" s="168"/>
      <c r="K431" s="168"/>
      <c r="L431" s="168"/>
      <c r="M431" s="168"/>
      <c r="N431" s="168"/>
      <c r="O431" s="168"/>
      <c r="P431" s="168"/>
      <c r="Q431" s="168"/>
      <c r="R431" s="168"/>
      <c r="S431" s="168"/>
      <c r="T431" s="168"/>
      <c r="U431" s="168"/>
      <c r="V431" s="168"/>
      <c r="W431" s="168"/>
      <c r="X431" s="168"/>
      <c r="Y431" s="168"/>
      <c r="Z431" s="168"/>
    </row>
    <row r="432" customFormat="false" ht="15.75" hidden="false" customHeight="false" outlineLevel="0" collapsed="false">
      <c r="A432" s="168"/>
      <c r="B432" s="168"/>
      <c r="C432" s="168"/>
      <c r="D432" s="168"/>
      <c r="E432" s="168"/>
      <c r="F432" s="168"/>
      <c r="G432" s="168"/>
      <c r="H432" s="168"/>
      <c r="I432" s="168"/>
      <c r="J432" s="168"/>
      <c r="K432" s="168"/>
      <c r="L432" s="168"/>
      <c r="M432" s="168"/>
      <c r="N432" s="168"/>
      <c r="O432" s="168"/>
      <c r="P432" s="168"/>
      <c r="Q432" s="168"/>
      <c r="R432" s="168"/>
      <c r="S432" s="168"/>
      <c r="T432" s="168"/>
      <c r="U432" s="168"/>
      <c r="V432" s="168"/>
      <c r="W432" s="168"/>
      <c r="X432" s="168"/>
      <c r="Y432" s="168"/>
      <c r="Z432" s="168"/>
    </row>
    <row r="433" customFormat="false" ht="15.75" hidden="false" customHeight="false" outlineLevel="0" collapsed="false">
      <c r="A433" s="168"/>
      <c r="B433" s="168"/>
      <c r="C433" s="168"/>
      <c r="D433" s="168"/>
      <c r="E433" s="168"/>
      <c r="F433" s="168"/>
      <c r="G433" s="168"/>
      <c r="H433" s="168"/>
      <c r="I433" s="168"/>
      <c r="J433" s="168"/>
      <c r="K433" s="168"/>
      <c r="L433" s="168"/>
      <c r="M433" s="168"/>
      <c r="N433" s="168"/>
      <c r="O433" s="168"/>
      <c r="P433" s="168"/>
      <c r="Q433" s="168"/>
      <c r="R433" s="168"/>
      <c r="S433" s="168"/>
      <c r="T433" s="168"/>
      <c r="U433" s="168"/>
      <c r="V433" s="168"/>
      <c r="W433" s="168"/>
      <c r="X433" s="168"/>
      <c r="Y433" s="168"/>
      <c r="Z433" s="168"/>
    </row>
    <row r="434" customFormat="false" ht="15.75" hidden="false" customHeight="false" outlineLevel="0" collapsed="false">
      <c r="A434" s="168"/>
      <c r="B434" s="168"/>
      <c r="C434" s="168"/>
      <c r="D434" s="168"/>
      <c r="E434" s="168"/>
      <c r="F434" s="168"/>
      <c r="G434" s="168"/>
      <c r="H434" s="168"/>
      <c r="I434" s="168"/>
      <c r="J434" s="168"/>
      <c r="K434" s="168"/>
      <c r="L434" s="168"/>
      <c r="M434" s="168"/>
      <c r="N434" s="168"/>
      <c r="O434" s="168"/>
      <c r="P434" s="168"/>
      <c r="Q434" s="168"/>
      <c r="R434" s="168"/>
      <c r="S434" s="168"/>
      <c r="T434" s="168"/>
      <c r="U434" s="168"/>
      <c r="V434" s="168"/>
      <c r="W434" s="168"/>
      <c r="X434" s="168"/>
      <c r="Y434" s="168"/>
      <c r="Z434" s="168"/>
    </row>
    <row r="435" customFormat="false" ht="15.75" hidden="false" customHeight="false" outlineLevel="0" collapsed="false">
      <c r="A435" s="168"/>
      <c r="B435" s="168"/>
      <c r="C435" s="168"/>
      <c r="D435" s="168"/>
      <c r="E435" s="168"/>
      <c r="F435" s="168"/>
      <c r="G435" s="168"/>
      <c r="H435" s="168"/>
      <c r="I435" s="168"/>
      <c r="J435" s="168"/>
      <c r="K435" s="168"/>
      <c r="L435" s="168"/>
      <c r="M435" s="168"/>
      <c r="N435" s="168"/>
      <c r="O435" s="168"/>
      <c r="P435" s="168"/>
      <c r="Q435" s="168"/>
      <c r="R435" s="168"/>
      <c r="S435" s="168"/>
      <c r="T435" s="168"/>
      <c r="U435" s="168"/>
      <c r="V435" s="168"/>
      <c r="W435" s="168"/>
      <c r="X435" s="168"/>
      <c r="Y435" s="168"/>
      <c r="Z435" s="168"/>
    </row>
    <row r="436" customFormat="false" ht="15.75" hidden="false" customHeight="false" outlineLevel="0" collapsed="false">
      <c r="A436" s="168"/>
      <c r="B436" s="168"/>
      <c r="C436" s="168"/>
      <c r="D436" s="168"/>
      <c r="E436" s="168"/>
      <c r="F436" s="168"/>
      <c r="G436" s="168"/>
      <c r="H436" s="168"/>
      <c r="I436" s="168"/>
      <c r="J436" s="168"/>
      <c r="K436" s="168"/>
      <c r="L436" s="168"/>
      <c r="M436" s="168"/>
      <c r="N436" s="168"/>
      <c r="O436" s="168"/>
      <c r="P436" s="168"/>
      <c r="Q436" s="168"/>
      <c r="R436" s="168"/>
      <c r="S436" s="168"/>
      <c r="T436" s="168"/>
      <c r="U436" s="168"/>
      <c r="V436" s="168"/>
      <c r="W436" s="168"/>
      <c r="X436" s="168"/>
      <c r="Y436" s="168"/>
      <c r="Z436" s="168"/>
    </row>
    <row r="437" customFormat="false" ht="15.75" hidden="false" customHeight="false" outlineLevel="0" collapsed="false">
      <c r="A437" s="168"/>
      <c r="B437" s="168"/>
      <c r="C437" s="168"/>
      <c r="D437" s="168"/>
      <c r="E437" s="168"/>
      <c r="F437" s="168"/>
      <c r="G437" s="168"/>
      <c r="H437" s="168"/>
      <c r="I437" s="168"/>
      <c r="J437" s="168"/>
      <c r="K437" s="168"/>
      <c r="L437" s="168"/>
      <c r="M437" s="168"/>
      <c r="N437" s="168"/>
      <c r="O437" s="168"/>
      <c r="P437" s="168"/>
      <c r="Q437" s="168"/>
      <c r="R437" s="168"/>
      <c r="S437" s="168"/>
      <c r="T437" s="168"/>
      <c r="U437" s="168"/>
      <c r="V437" s="168"/>
      <c r="W437" s="168"/>
      <c r="X437" s="168"/>
      <c r="Y437" s="168"/>
      <c r="Z437" s="168"/>
    </row>
    <row r="438" customFormat="false" ht="15.75" hidden="false" customHeight="false" outlineLevel="0" collapsed="false">
      <c r="A438" s="168"/>
      <c r="B438" s="168"/>
      <c r="C438" s="168"/>
      <c r="D438" s="168"/>
      <c r="E438" s="168"/>
      <c r="F438" s="168"/>
      <c r="G438" s="168"/>
      <c r="H438" s="168"/>
      <c r="I438" s="168"/>
      <c r="J438" s="168"/>
      <c r="K438" s="168"/>
      <c r="L438" s="168"/>
      <c r="M438" s="168"/>
      <c r="N438" s="168"/>
      <c r="O438" s="168"/>
      <c r="P438" s="168"/>
      <c r="Q438" s="168"/>
      <c r="R438" s="168"/>
      <c r="S438" s="168"/>
      <c r="T438" s="168"/>
      <c r="U438" s="168"/>
      <c r="V438" s="168"/>
      <c r="W438" s="168"/>
      <c r="X438" s="168"/>
      <c r="Y438" s="168"/>
      <c r="Z438" s="168"/>
    </row>
    <row r="439" customFormat="false" ht="15.75" hidden="false" customHeight="false" outlineLevel="0" collapsed="false">
      <c r="A439" s="168"/>
      <c r="B439" s="168"/>
      <c r="C439" s="168"/>
      <c r="D439" s="168"/>
      <c r="E439" s="168"/>
      <c r="F439" s="168"/>
      <c r="G439" s="168"/>
      <c r="H439" s="168"/>
      <c r="I439" s="168"/>
      <c r="J439" s="168"/>
      <c r="K439" s="168"/>
      <c r="L439" s="168"/>
      <c r="M439" s="168"/>
      <c r="N439" s="168"/>
      <c r="O439" s="168"/>
      <c r="P439" s="168"/>
      <c r="Q439" s="168"/>
      <c r="R439" s="168"/>
      <c r="S439" s="168"/>
      <c r="T439" s="168"/>
      <c r="U439" s="168"/>
      <c r="V439" s="168"/>
      <c r="W439" s="168"/>
      <c r="X439" s="168"/>
      <c r="Y439" s="168"/>
      <c r="Z439" s="168"/>
    </row>
    <row r="440" customFormat="false" ht="15.75" hidden="false" customHeight="false" outlineLevel="0" collapsed="false">
      <c r="A440" s="168"/>
      <c r="B440" s="168"/>
      <c r="C440" s="168"/>
      <c r="D440" s="168"/>
      <c r="E440" s="168"/>
      <c r="F440" s="168"/>
      <c r="G440" s="168"/>
      <c r="H440" s="168"/>
      <c r="I440" s="168"/>
      <c r="J440" s="168"/>
      <c r="K440" s="168"/>
      <c r="L440" s="168"/>
      <c r="M440" s="168"/>
      <c r="N440" s="168"/>
      <c r="O440" s="168"/>
      <c r="P440" s="168"/>
      <c r="Q440" s="168"/>
      <c r="R440" s="168"/>
      <c r="S440" s="168"/>
      <c r="T440" s="168"/>
      <c r="U440" s="168"/>
      <c r="V440" s="168"/>
      <c r="W440" s="168"/>
      <c r="X440" s="168"/>
      <c r="Y440" s="168"/>
      <c r="Z440" s="168"/>
    </row>
    <row r="441" customFormat="false" ht="15.75" hidden="false" customHeight="false" outlineLevel="0" collapsed="false">
      <c r="A441" s="168"/>
      <c r="B441" s="168"/>
      <c r="C441" s="168"/>
      <c r="D441" s="168"/>
      <c r="E441" s="168"/>
      <c r="F441" s="168"/>
      <c r="G441" s="168"/>
      <c r="H441" s="168"/>
      <c r="I441" s="168"/>
      <c r="J441" s="168"/>
      <c r="K441" s="168"/>
      <c r="L441" s="168"/>
      <c r="M441" s="168"/>
      <c r="N441" s="168"/>
      <c r="O441" s="168"/>
      <c r="P441" s="168"/>
      <c r="Q441" s="168"/>
      <c r="R441" s="168"/>
      <c r="S441" s="168"/>
      <c r="T441" s="168"/>
      <c r="U441" s="168"/>
      <c r="V441" s="168"/>
      <c r="W441" s="168"/>
      <c r="X441" s="168"/>
      <c r="Y441" s="168"/>
      <c r="Z441" s="168"/>
    </row>
    <row r="442" customFormat="false" ht="15.75" hidden="false" customHeight="false" outlineLevel="0" collapsed="false">
      <c r="A442" s="168"/>
      <c r="B442" s="168"/>
      <c r="C442" s="168"/>
      <c r="D442" s="168"/>
      <c r="E442" s="168"/>
      <c r="F442" s="168"/>
      <c r="G442" s="168"/>
      <c r="H442" s="168"/>
      <c r="I442" s="168"/>
      <c r="J442" s="168"/>
      <c r="K442" s="168"/>
      <c r="L442" s="168"/>
      <c r="M442" s="168"/>
      <c r="N442" s="168"/>
      <c r="O442" s="168"/>
      <c r="P442" s="168"/>
      <c r="Q442" s="168"/>
      <c r="R442" s="168"/>
      <c r="S442" s="168"/>
      <c r="T442" s="168"/>
      <c r="U442" s="168"/>
      <c r="V442" s="168"/>
      <c r="W442" s="168"/>
      <c r="X442" s="168"/>
      <c r="Y442" s="168"/>
      <c r="Z442" s="168"/>
    </row>
    <row r="443" customFormat="false" ht="15.75" hidden="false" customHeight="false" outlineLevel="0" collapsed="false">
      <c r="A443" s="168"/>
      <c r="B443" s="168"/>
      <c r="C443" s="168"/>
      <c r="D443" s="168"/>
      <c r="E443" s="168"/>
      <c r="F443" s="168"/>
      <c r="G443" s="168"/>
      <c r="H443" s="168"/>
      <c r="I443" s="168"/>
      <c r="J443" s="168"/>
      <c r="K443" s="168"/>
      <c r="L443" s="168"/>
      <c r="M443" s="168"/>
      <c r="N443" s="168"/>
      <c r="O443" s="168"/>
      <c r="P443" s="168"/>
      <c r="Q443" s="168"/>
      <c r="R443" s="168"/>
      <c r="S443" s="168"/>
      <c r="T443" s="168"/>
      <c r="U443" s="168"/>
      <c r="V443" s="168"/>
      <c r="W443" s="168"/>
      <c r="X443" s="168"/>
      <c r="Y443" s="168"/>
      <c r="Z443" s="168"/>
    </row>
    <row r="444" customFormat="false" ht="15.75" hidden="false" customHeight="false" outlineLevel="0" collapsed="false">
      <c r="A444" s="168"/>
      <c r="B444" s="168"/>
      <c r="C444" s="168"/>
      <c r="D444" s="168"/>
      <c r="E444" s="168"/>
      <c r="F444" s="168"/>
      <c r="G444" s="168"/>
      <c r="H444" s="168"/>
      <c r="I444" s="168"/>
      <c r="J444" s="168"/>
      <c r="K444" s="168"/>
      <c r="L444" s="168"/>
      <c r="M444" s="168"/>
      <c r="N444" s="168"/>
      <c r="O444" s="168"/>
      <c r="P444" s="168"/>
      <c r="Q444" s="168"/>
      <c r="R444" s="168"/>
      <c r="S444" s="168"/>
      <c r="T444" s="168"/>
      <c r="U444" s="168"/>
      <c r="V444" s="168"/>
      <c r="W444" s="168"/>
      <c r="X444" s="168"/>
      <c r="Y444" s="168"/>
      <c r="Z444" s="168"/>
    </row>
    <row r="445" customFormat="false" ht="15.75" hidden="false" customHeight="false" outlineLevel="0" collapsed="false">
      <c r="A445" s="168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</row>
    <row r="446" customFormat="false" ht="15.75" hidden="false" customHeight="false" outlineLevel="0" collapsed="false">
      <c r="A446" s="168"/>
      <c r="B446" s="168"/>
      <c r="C446" s="168"/>
      <c r="D446" s="168"/>
      <c r="E446" s="168"/>
      <c r="F446" s="168"/>
      <c r="G446" s="168"/>
      <c r="H446" s="168"/>
      <c r="I446" s="168"/>
      <c r="J446" s="168"/>
      <c r="K446" s="168"/>
      <c r="L446" s="168"/>
      <c r="M446" s="168"/>
      <c r="N446" s="168"/>
      <c r="O446" s="168"/>
      <c r="P446" s="168"/>
      <c r="Q446" s="168"/>
      <c r="R446" s="168"/>
      <c r="S446" s="168"/>
      <c r="T446" s="168"/>
      <c r="U446" s="168"/>
      <c r="V446" s="168"/>
      <c r="W446" s="168"/>
      <c r="X446" s="168"/>
      <c r="Y446" s="168"/>
      <c r="Z446" s="168"/>
    </row>
    <row r="447" customFormat="false" ht="15.75" hidden="false" customHeight="false" outlineLevel="0" collapsed="false">
      <c r="A447" s="168"/>
      <c r="B447" s="168"/>
      <c r="C447" s="168"/>
      <c r="D447" s="168"/>
      <c r="E447" s="168"/>
      <c r="F447" s="168"/>
      <c r="G447" s="168"/>
      <c r="H447" s="168"/>
      <c r="I447" s="168"/>
      <c r="J447" s="168"/>
      <c r="K447" s="168"/>
      <c r="L447" s="168"/>
      <c r="M447" s="168"/>
      <c r="N447" s="168"/>
      <c r="O447" s="168"/>
      <c r="P447" s="168"/>
      <c r="Q447" s="168"/>
      <c r="R447" s="168"/>
      <c r="S447" s="168"/>
      <c r="T447" s="168"/>
      <c r="U447" s="168"/>
      <c r="V447" s="168"/>
      <c r="W447" s="168"/>
      <c r="X447" s="168"/>
      <c r="Y447" s="168"/>
      <c r="Z447" s="168"/>
    </row>
    <row r="448" customFormat="false" ht="15.75" hidden="false" customHeight="false" outlineLevel="0" collapsed="false">
      <c r="A448" s="168"/>
      <c r="B448" s="168"/>
      <c r="C448" s="168"/>
      <c r="D448" s="168"/>
      <c r="E448" s="168"/>
      <c r="F448" s="168"/>
      <c r="G448" s="168"/>
      <c r="H448" s="168"/>
      <c r="I448" s="168"/>
      <c r="J448" s="168"/>
      <c r="K448" s="168"/>
      <c r="L448" s="168"/>
      <c r="M448" s="168"/>
      <c r="N448" s="168"/>
      <c r="O448" s="168"/>
      <c r="P448" s="168"/>
      <c r="Q448" s="168"/>
      <c r="R448" s="168"/>
      <c r="S448" s="168"/>
      <c r="T448" s="168"/>
      <c r="U448" s="168"/>
      <c r="V448" s="168"/>
      <c r="W448" s="168"/>
      <c r="X448" s="168"/>
      <c r="Y448" s="168"/>
      <c r="Z448" s="168"/>
    </row>
    <row r="449" customFormat="false" ht="15.75" hidden="false" customHeight="false" outlineLevel="0" collapsed="false">
      <c r="A449" s="168"/>
      <c r="B449" s="168"/>
      <c r="C449" s="168"/>
      <c r="D449" s="168"/>
      <c r="E449" s="168"/>
      <c r="F449" s="168"/>
      <c r="G449" s="168"/>
      <c r="H449" s="168"/>
      <c r="I449" s="168"/>
      <c r="J449" s="168"/>
      <c r="K449" s="168"/>
      <c r="L449" s="168"/>
      <c r="M449" s="168"/>
      <c r="N449" s="168"/>
      <c r="O449" s="168"/>
      <c r="P449" s="168"/>
      <c r="Q449" s="168"/>
      <c r="R449" s="168"/>
      <c r="S449" s="168"/>
      <c r="T449" s="168"/>
      <c r="U449" s="168"/>
      <c r="V449" s="168"/>
      <c r="W449" s="168"/>
      <c r="X449" s="168"/>
      <c r="Y449" s="168"/>
      <c r="Z449" s="168"/>
    </row>
    <row r="450" customFormat="false" ht="15.75" hidden="false" customHeight="false" outlineLevel="0" collapsed="false">
      <c r="A450" s="168"/>
      <c r="B450" s="168"/>
      <c r="C450" s="168"/>
      <c r="D450" s="168"/>
      <c r="E450" s="168"/>
      <c r="F450" s="168"/>
      <c r="G450" s="168"/>
      <c r="H450" s="168"/>
      <c r="I450" s="168"/>
      <c r="J450" s="168"/>
      <c r="K450" s="168"/>
      <c r="L450" s="168"/>
      <c r="M450" s="168"/>
      <c r="N450" s="168"/>
      <c r="O450" s="168"/>
      <c r="P450" s="168"/>
      <c r="Q450" s="168"/>
      <c r="R450" s="168"/>
      <c r="S450" s="168"/>
      <c r="T450" s="168"/>
      <c r="U450" s="168"/>
      <c r="V450" s="168"/>
      <c r="W450" s="168"/>
      <c r="X450" s="168"/>
      <c r="Y450" s="168"/>
      <c r="Z450" s="168"/>
    </row>
    <row r="451" customFormat="false" ht="15.75" hidden="false" customHeight="false" outlineLevel="0" collapsed="false">
      <c r="A451" s="168"/>
      <c r="B451" s="168"/>
      <c r="C451" s="168"/>
      <c r="D451" s="168"/>
      <c r="E451" s="168"/>
      <c r="F451" s="168"/>
      <c r="G451" s="168"/>
      <c r="H451" s="168"/>
      <c r="I451" s="168"/>
      <c r="J451" s="168"/>
      <c r="K451" s="168"/>
      <c r="L451" s="168"/>
      <c r="M451" s="168"/>
      <c r="N451" s="168"/>
      <c r="O451" s="168"/>
      <c r="P451" s="168"/>
      <c r="Q451" s="168"/>
      <c r="R451" s="168"/>
      <c r="S451" s="168"/>
      <c r="T451" s="168"/>
      <c r="U451" s="168"/>
      <c r="V451" s="168"/>
      <c r="W451" s="168"/>
      <c r="X451" s="168"/>
      <c r="Y451" s="168"/>
      <c r="Z451" s="168"/>
    </row>
    <row r="452" customFormat="false" ht="15.75" hidden="false" customHeight="false" outlineLevel="0" collapsed="false">
      <c r="A452" s="168"/>
      <c r="B452" s="168"/>
      <c r="C452" s="168"/>
      <c r="D452" s="168"/>
      <c r="E452" s="168"/>
      <c r="F452" s="168"/>
      <c r="G452" s="168"/>
      <c r="H452" s="168"/>
      <c r="I452" s="168"/>
      <c r="J452" s="168"/>
      <c r="K452" s="168"/>
      <c r="L452" s="168"/>
      <c r="M452" s="168"/>
      <c r="N452" s="168"/>
      <c r="O452" s="168"/>
      <c r="P452" s="168"/>
      <c r="Q452" s="168"/>
      <c r="R452" s="168"/>
      <c r="S452" s="168"/>
      <c r="T452" s="168"/>
      <c r="U452" s="168"/>
      <c r="V452" s="168"/>
      <c r="W452" s="168"/>
      <c r="X452" s="168"/>
      <c r="Y452" s="168"/>
      <c r="Z452" s="168"/>
    </row>
    <row r="453" customFormat="false" ht="15.75" hidden="false" customHeight="false" outlineLevel="0" collapsed="false">
      <c r="A453" s="168"/>
      <c r="B453" s="168"/>
      <c r="C453" s="168"/>
      <c r="D453" s="168"/>
      <c r="E453" s="168"/>
      <c r="F453" s="168"/>
      <c r="G453" s="168"/>
      <c r="H453" s="168"/>
      <c r="I453" s="168"/>
      <c r="J453" s="168"/>
      <c r="K453" s="168"/>
      <c r="L453" s="168"/>
      <c r="M453" s="168"/>
      <c r="N453" s="168"/>
      <c r="O453" s="168"/>
      <c r="P453" s="168"/>
      <c r="Q453" s="168"/>
      <c r="R453" s="168"/>
      <c r="S453" s="168"/>
      <c r="T453" s="168"/>
      <c r="U453" s="168"/>
      <c r="V453" s="168"/>
      <c r="W453" s="168"/>
      <c r="X453" s="168"/>
      <c r="Y453" s="168"/>
      <c r="Z453" s="168"/>
    </row>
    <row r="454" customFormat="false" ht="15.75" hidden="false" customHeight="false" outlineLevel="0" collapsed="false">
      <c r="A454" s="168"/>
      <c r="B454" s="168"/>
      <c r="C454" s="168"/>
      <c r="D454" s="168"/>
      <c r="E454" s="168"/>
      <c r="F454" s="168"/>
      <c r="G454" s="168"/>
      <c r="H454" s="168"/>
      <c r="I454" s="168"/>
      <c r="J454" s="168"/>
      <c r="K454" s="168"/>
      <c r="L454" s="168"/>
      <c r="M454" s="168"/>
      <c r="N454" s="168"/>
      <c r="O454" s="168"/>
      <c r="P454" s="168"/>
      <c r="Q454" s="168"/>
      <c r="R454" s="168"/>
      <c r="S454" s="168"/>
      <c r="T454" s="168"/>
      <c r="U454" s="168"/>
      <c r="V454" s="168"/>
      <c r="W454" s="168"/>
      <c r="X454" s="168"/>
      <c r="Y454" s="168"/>
      <c r="Z454" s="168"/>
    </row>
    <row r="455" customFormat="false" ht="15.75" hidden="false" customHeight="false" outlineLevel="0" collapsed="false">
      <c r="A455" s="168"/>
      <c r="B455" s="168"/>
      <c r="C455" s="168"/>
      <c r="D455" s="168"/>
      <c r="E455" s="168"/>
      <c r="F455" s="168"/>
      <c r="G455" s="168"/>
      <c r="H455" s="168"/>
      <c r="I455" s="168"/>
      <c r="J455" s="168"/>
      <c r="K455" s="168"/>
      <c r="L455" s="168"/>
      <c r="M455" s="168"/>
      <c r="N455" s="168"/>
      <c r="O455" s="168"/>
      <c r="P455" s="168"/>
      <c r="Q455" s="168"/>
      <c r="R455" s="168"/>
      <c r="S455" s="168"/>
      <c r="T455" s="168"/>
      <c r="U455" s="168"/>
      <c r="V455" s="168"/>
      <c r="W455" s="168"/>
      <c r="X455" s="168"/>
      <c r="Y455" s="168"/>
      <c r="Z455" s="168"/>
    </row>
    <row r="456" customFormat="false" ht="15.75" hidden="false" customHeight="false" outlineLevel="0" collapsed="false">
      <c r="A456" s="168"/>
      <c r="B456" s="168"/>
      <c r="C456" s="168"/>
      <c r="D456" s="168"/>
      <c r="E456" s="168"/>
      <c r="F456" s="168"/>
      <c r="G456" s="168"/>
      <c r="H456" s="168"/>
      <c r="I456" s="168"/>
      <c r="J456" s="168"/>
      <c r="K456" s="168"/>
      <c r="L456" s="168"/>
      <c r="M456" s="168"/>
      <c r="N456" s="168"/>
      <c r="O456" s="168"/>
      <c r="P456" s="168"/>
      <c r="Q456" s="168"/>
      <c r="R456" s="168"/>
      <c r="S456" s="168"/>
      <c r="T456" s="168"/>
      <c r="U456" s="168"/>
      <c r="V456" s="168"/>
      <c r="W456" s="168"/>
      <c r="X456" s="168"/>
      <c r="Y456" s="168"/>
      <c r="Z456" s="168"/>
    </row>
    <row r="457" customFormat="false" ht="15.75" hidden="false" customHeight="false" outlineLevel="0" collapsed="false">
      <c r="A457" s="168"/>
      <c r="B457" s="168"/>
      <c r="C457" s="168"/>
      <c r="D457" s="168"/>
      <c r="E457" s="168"/>
      <c r="F457" s="168"/>
      <c r="G457" s="168"/>
      <c r="H457" s="168"/>
      <c r="I457" s="168"/>
      <c r="J457" s="168"/>
      <c r="K457" s="168"/>
      <c r="L457" s="168"/>
      <c r="M457" s="168"/>
      <c r="N457" s="168"/>
      <c r="O457" s="168"/>
      <c r="P457" s="168"/>
      <c r="Q457" s="168"/>
      <c r="R457" s="168"/>
      <c r="S457" s="168"/>
      <c r="T457" s="168"/>
      <c r="U457" s="168"/>
      <c r="V457" s="168"/>
      <c r="W457" s="168"/>
      <c r="X457" s="168"/>
      <c r="Y457" s="168"/>
      <c r="Z457" s="168"/>
    </row>
    <row r="458" customFormat="false" ht="15.75" hidden="false" customHeight="false" outlineLevel="0" collapsed="false">
      <c r="A458" s="168"/>
      <c r="B458" s="168"/>
      <c r="C458" s="168"/>
      <c r="D458" s="168"/>
      <c r="E458" s="168"/>
      <c r="F458" s="168"/>
      <c r="G458" s="168"/>
      <c r="H458" s="168"/>
      <c r="I458" s="168"/>
      <c r="J458" s="168"/>
      <c r="K458" s="168"/>
      <c r="L458" s="168"/>
      <c r="M458" s="168"/>
      <c r="N458" s="168"/>
      <c r="O458" s="168"/>
      <c r="P458" s="168"/>
      <c r="Q458" s="168"/>
      <c r="R458" s="168"/>
      <c r="S458" s="168"/>
      <c r="T458" s="168"/>
      <c r="U458" s="168"/>
      <c r="V458" s="168"/>
      <c r="W458" s="168"/>
      <c r="X458" s="168"/>
      <c r="Y458" s="168"/>
      <c r="Z458" s="168"/>
    </row>
    <row r="459" customFormat="false" ht="15.75" hidden="false" customHeight="false" outlineLevel="0" collapsed="false">
      <c r="A459" s="168"/>
      <c r="B459" s="168"/>
      <c r="C459" s="168"/>
      <c r="D459" s="168"/>
      <c r="E459" s="168"/>
      <c r="F459" s="168"/>
      <c r="G459" s="168"/>
      <c r="H459" s="168"/>
      <c r="I459" s="168"/>
      <c r="J459" s="168"/>
      <c r="K459" s="168"/>
      <c r="L459" s="168"/>
      <c r="M459" s="168"/>
      <c r="N459" s="168"/>
      <c r="O459" s="168"/>
      <c r="P459" s="168"/>
      <c r="Q459" s="168"/>
      <c r="R459" s="168"/>
      <c r="S459" s="168"/>
      <c r="T459" s="168"/>
      <c r="U459" s="168"/>
      <c r="V459" s="168"/>
      <c r="W459" s="168"/>
      <c r="X459" s="168"/>
      <c r="Y459" s="168"/>
      <c r="Z459" s="168"/>
    </row>
    <row r="460" customFormat="false" ht="15.75" hidden="false" customHeight="false" outlineLevel="0" collapsed="false">
      <c r="A460" s="168"/>
      <c r="B460" s="168"/>
      <c r="C460" s="168"/>
      <c r="D460" s="168"/>
      <c r="E460" s="168"/>
      <c r="F460" s="168"/>
      <c r="G460" s="168"/>
      <c r="H460" s="168"/>
      <c r="I460" s="168"/>
      <c r="J460" s="168"/>
      <c r="K460" s="168"/>
      <c r="L460" s="168"/>
      <c r="M460" s="168"/>
      <c r="N460" s="168"/>
      <c r="O460" s="168"/>
      <c r="P460" s="168"/>
      <c r="Q460" s="168"/>
      <c r="R460" s="168"/>
      <c r="S460" s="168"/>
      <c r="T460" s="168"/>
      <c r="U460" s="168"/>
      <c r="V460" s="168"/>
      <c r="W460" s="168"/>
      <c r="X460" s="168"/>
      <c r="Y460" s="168"/>
      <c r="Z460" s="168"/>
    </row>
    <row r="461" customFormat="false" ht="15.75" hidden="false" customHeight="false" outlineLevel="0" collapsed="false">
      <c r="A461" s="168"/>
      <c r="B461" s="168"/>
      <c r="C461" s="168"/>
      <c r="D461" s="168"/>
      <c r="E461" s="168"/>
      <c r="F461" s="168"/>
      <c r="G461" s="168"/>
      <c r="H461" s="168"/>
      <c r="I461" s="168"/>
      <c r="J461" s="168"/>
      <c r="K461" s="168"/>
      <c r="L461" s="168"/>
      <c r="M461" s="168"/>
      <c r="N461" s="168"/>
      <c r="O461" s="168"/>
      <c r="P461" s="168"/>
      <c r="Q461" s="168"/>
      <c r="R461" s="168"/>
      <c r="S461" s="168"/>
      <c r="T461" s="168"/>
      <c r="U461" s="168"/>
      <c r="V461" s="168"/>
      <c r="W461" s="168"/>
      <c r="X461" s="168"/>
      <c r="Y461" s="168"/>
      <c r="Z461" s="168"/>
    </row>
    <row r="462" customFormat="false" ht="15.75" hidden="false" customHeight="false" outlineLevel="0" collapsed="false">
      <c r="A462" s="168"/>
      <c r="B462" s="168"/>
      <c r="C462" s="168"/>
      <c r="D462" s="168"/>
      <c r="E462" s="168"/>
      <c r="F462" s="168"/>
      <c r="G462" s="168"/>
      <c r="H462" s="168"/>
      <c r="I462" s="168"/>
      <c r="J462" s="168"/>
      <c r="K462" s="168"/>
      <c r="L462" s="168"/>
      <c r="M462" s="168"/>
      <c r="N462" s="168"/>
      <c r="O462" s="168"/>
      <c r="P462" s="168"/>
      <c r="Q462" s="168"/>
      <c r="R462" s="168"/>
      <c r="S462" s="168"/>
      <c r="T462" s="168"/>
      <c r="U462" s="168"/>
      <c r="V462" s="168"/>
      <c r="W462" s="168"/>
      <c r="X462" s="168"/>
      <c r="Y462" s="168"/>
      <c r="Z462" s="168"/>
    </row>
    <row r="463" customFormat="false" ht="15.75" hidden="false" customHeight="false" outlineLevel="0" collapsed="false">
      <c r="A463" s="168"/>
      <c r="B463" s="168"/>
      <c r="C463" s="168"/>
      <c r="D463" s="168"/>
      <c r="E463" s="168"/>
      <c r="F463" s="168"/>
      <c r="G463" s="168"/>
      <c r="H463" s="168"/>
      <c r="I463" s="168"/>
      <c r="J463" s="168"/>
      <c r="K463" s="168"/>
      <c r="L463" s="168"/>
      <c r="M463" s="168"/>
      <c r="N463" s="168"/>
      <c r="O463" s="168"/>
      <c r="P463" s="168"/>
      <c r="Q463" s="168"/>
      <c r="R463" s="168"/>
      <c r="S463" s="168"/>
      <c r="T463" s="168"/>
      <c r="U463" s="168"/>
      <c r="V463" s="168"/>
      <c r="W463" s="168"/>
      <c r="X463" s="168"/>
      <c r="Y463" s="168"/>
      <c r="Z463" s="168"/>
    </row>
    <row r="464" customFormat="false" ht="15.75" hidden="false" customHeight="false" outlineLevel="0" collapsed="false">
      <c r="A464" s="168"/>
      <c r="B464" s="168"/>
      <c r="C464" s="168"/>
      <c r="D464" s="168"/>
      <c r="E464" s="168"/>
      <c r="F464" s="168"/>
      <c r="G464" s="168"/>
      <c r="H464" s="168"/>
      <c r="I464" s="168"/>
      <c r="J464" s="168"/>
      <c r="K464" s="168"/>
      <c r="L464" s="168"/>
      <c r="M464" s="168"/>
      <c r="N464" s="168"/>
      <c r="O464" s="168"/>
      <c r="P464" s="168"/>
      <c r="Q464" s="168"/>
      <c r="R464" s="168"/>
      <c r="S464" s="168"/>
      <c r="T464" s="168"/>
      <c r="U464" s="168"/>
      <c r="V464" s="168"/>
      <c r="W464" s="168"/>
      <c r="X464" s="168"/>
      <c r="Y464" s="168"/>
      <c r="Z464" s="168"/>
    </row>
    <row r="465" customFormat="false" ht="15.75" hidden="false" customHeight="false" outlineLevel="0" collapsed="false">
      <c r="A465" s="168"/>
      <c r="B465" s="168"/>
      <c r="C465" s="168"/>
      <c r="D465" s="168"/>
      <c r="E465" s="168"/>
      <c r="F465" s="168"/>
      <c r="G465" s="168"/>
      <c r="H465" s="168"/>
      <c r="I465" s="168"/>
      <c r="J465" s="168"/>
      <c r="K465" s="168"/>
      <c r="L465" s="168"/>
      <c r="M465" s="168"/>
      <c r="N465" s="168"/>
      <c r="O465" s="168"/>
      <c r="P465" s="168"/>
      <c r="Q465" s="168"/>
      <c r="R465" s="168"/>
      <c r="S465" s="168"/>
      <c r="T465" s="168"/>
      <c r="U465" s="168"/>
      <c r="V465" s="168"/>
      <c r="W465" s="168"/>
      <c r="X465" s="168"/>
      <c r="Y465" s="168"/>
      <c r="Z465" s="168"/>
    </row>
    <row r="466" customFormat="false" ht="15.75" hidden="false" customHeight="false" outlineLevel="0" collapsed="false">
      <c r="A466" s="168"/>
      <c r="B466" s="168"/>
      <c r="C466" s="168"/>
      <c r="D466" s="168"/>
      <c r="E466" s="168"/>
      <c r="F466" s="168"/>
      <c r="G466" s="168"/>
      <c r="H466" s="168"/>
      <c r="I466" s="168"/>
      <c r="J466" s="168"/>
      <c r="K466" s="168"/>
      <c r="L466" s="168"/>
      <c r="M466" s="168"/>
      <c r="N466" s="168"/>
      <c r="O466" s="168"/>
      <c r="P466" s="168"/>
      <c r="Q466" s="168"/>
      <c r="R466" s="168"/>
      <c r="S466" s="168"/>
      <c r="T466" s="168"/>
      <c r="U466" s="168"/>
      <c r="V466" s="168"/>
      <c r="W466" s="168"/>
      <c r="X466" s="168"/>
      <c r="Y466" s="168"/>
      <c r="Z466" s="168"/>
    </row>
    <row r="467" customFormat="false" ht="15.75" hidden="false" customHeight="false" outlineLevel="0" collapsed="false">
      <c r="A467" s="168"/>
      <c r="B467" s="168"/>
      <c r="C467" s="168"/>
      <c r="D467" s="168"/>
      <c r="E467" s="168"/>
      <c r="F467" s="168"/>
      <c r="G467" s="168"/>
      <c r="H467" s="168"/>
      <c r="I467" s="168"/>
      <c r="J467" s="168"/>
      <c r="K467" s="168"/>
      <c r="L467" s="168"/>
      <c r="M467" s="168"/>
      <c r="N467" s="168"/>
      <c r="O467" s="168"/>
      <c r="P467" s="168"/>
      <c r="Q467" s="168"/>
      <c r="R467" s="168"/>
      <c r="S467" s="168"/>
      <c r="T467" s="168"/>
      <c r="U467" s="168"/>
      <c r="V467" s="168"/>
      <c r="W467" s="168"/>
      <c r="X467" s="168"/>
      <c r="Y467" s="168"/>
      <c r="Z467" s="168"/>
    </row>
    <row r="468" customFormat="false" ht="15.75" hidden="false" customHeight="false" outlineLevel="0" collapsed="false">
      <c r="A468" s="168"/>
      <c r="B468" s="168"/>
      <c r="C468" s="168"/>
      <c r="D468" s="168"/>
      <c r="E468" s="168"/>
      <c r="F468" s="168"/>
      <c r="G468" s="168"/>
      <c r="H468" s="168"/>
      <c r="I468" s="168"/>
      <c r="J468" s="168"/>
      <c r="K468" s="168"/>
      <c r="L468" s="168"/>
      <c r="M468" s="168"/>
      <c r="N468" s="168"/>
      <c r="O468" s="168"/>
      <c r="P468" s="168"/>
      <c r="Q468" s="168"/>
      <c r="R468" s="168"/>
      <c r="S468" s="168"/>
      <c r="T468" s="168"/>
      <c r="U468" s="168"/>
      <c r="V468" s="168"/>
      <c r="W468" s="168"/>
      <c r="X468" s="168"/>
      <c r="Y468" s="168"/>
      <c r="Z468" s="168"/>
    </row>
    <row r="469" customFormat="false" ht="15.75" hidden="false" customHeight="false" outlineLevel="0" collapsed="false">
      <c r="A469" s="168"/>
      <c r="B469" s="168"/>
      <c r="C469" s="168"/>
      <c r="D469" s="168"/>
      <c r="E469" s="168"/>
      <c r="F469" s="168"/>
      <c r="G469" s="168"/>
      <c r="H469" s="168"/>
      <c r="I469" s="168"/>
      <c r="J469" s="168"/>
      <c r="K469" s="168"/>
      <c r="L469" s="168"/>
      <c r="M469" s="168"/>
      <c r="N469" s="168"/>
      <c r="O469" s="168"/>
      <c r="P469" s="168"/>
      <c r="Q469" s="168"/>
      <c r="R469" s="168"/>
      <c r="S469" s="168"/>
      <c r="T469" s="168"/>
      <c r="U469" s="168"/>
      <c r="V469" s="168"/>
      <c r="W469" s="168"/>
      <c r="X469" s="168"/>
      <c r="Y469" s="168"/>
      <c r="Z469" s="168"/>
    </row>
    <row r="470" customFormat="false" ht="15.75" hidden="false" customHeight="false" outlineLevel="0" collapsed="false">
      <c r="A470" s="168"/>
      <c r="B470" s="168"/>
      <c r="C470" s="168"/>
      <c r="D470" s="168"/>
      <c r="E470" s="168"/>
      <c r="F470" s="168"/>
      <c r="G470" s="168"/>
      <c r="H470" s="168"/>
      <c r="I470" s="168"/>
      <c r="J470" s="168"/>
      <c r="K470" s="168"/>
      <c r="L470" s="168"/>
      <c r="M470" s="168"/>
      <c r="N470" s="168"/>
      <c r="O470" s="168"/>
      <c r="P470" s="168"/>
      <c r="Q470" s="168"/>
      <c r="R470" s="168"/>
      <c r="S470" s="168"/>
      <c r="T470" s="168"/>
      <c r="U470" s="168"/>
      <c r="V470" s="168"/>
      <c r="W470" s="168"/>
      <c r="X470" s="168"/>
      <c r="Y470" s="168"/>
      <c r="Z470" s="168"/>
    </row>
    <row r="471" customFormat="false" ht="15.75" hidden="false" customHeight="false" outlineLevel="0" collapsed="false">
      <c r="A471" s="168"/>
      <c r="B471" s="168"/>
      <c r="C471" s="168"/>
      <c r="D471" s="168"/>
      <c r="E471" s="168"/>
      <c r="F471" s="168"/>
      <c r="G471" s="168"/>
      <c r="H471" s="168"/>
      <c r="I471" s="168"/>
      <c r="J471" s="168"/>
      <c r="K471" s="168"/>
      <c r="L471" s="168"/>
      <c r="M471" s="168"/>
      <c r="N471" s="168"/>
      <c r="O471" s="168"/>
      <c r="P471" s="168"/>
      <c r="Q471" s="168"/>
      <c r="R471" s="168"/>
      <c r="S471" s="168"/>
      <c r="T471" s="168"/>
      <c r="U471" s="168"/>
      <c r="V471" s="168"/>
      <c r="W471" s="168"/>
      <c r="X471" s="168"/>
      <c r="Y471" s="168"/>
      <c r="Z471" s="168"/>
    </row>
    <row r="472" customFormat="false" ht="15.75" hidden="false" customHeight="false" outlineLevel="0" collapsed="false">
      <c r="A472" s="168"/>
      <c r="B472" s="168"/>
      <c r="C472" s="168"/>
      <c r="D472" s="168"/>
      <c r="E472" s="168"/>
      <c r="F472" s="168"/>
      <c r="G472" s="168"/>
      <c r="H472" s="168"/>
      <c r="I472" s="168"/>
      <c r="J472" s="168"/>
      <c r="K472" s="168"/>
      <c r="L472" s="168"/>
      <c r="M472" s="168"/>
      <c r="N472" s="168"/>
      <c r="O472" s="168"/>
      <c r="P472" s="168"/>
      <c r="Q472" s="168"/>
      <c r="R472" s="168"/>
      <c r="S472" s="168"/>
      <c r="T472" s="168"/>
      <c r="U472" s="168"/>
      <c r="V472" s="168"/>
      <c r="W472" s="168"/>
      <c r="X472" s="168"/>
      <c r="Y472" s="168"/>
      <c r="Z472" s="168"/>
    </row>
    <row r="473" customFormat="false" ht="15.75" hidden="false" customHeight="false" outlineLevel="0" collapsed="false">
      <c r="A473" s="168"/>
      <c r="B473" s="168"/>
      <c r="C473" s="168"/>
      <c r="D473" s="168"/>
      <c r="E473" s="168"/>
      <c r="F473" s="168"/>
      <c r="G473" s="168"/>
      <c r="H473" s="168"/>
      <c r="I473" s="168"/>
      <c r="J473" s="168"/>
      <c r="K473" s="168"/>
      <c r="L473" s="168"/>
      <c r="M473" s="168"/>
      <c r="N473" s="168"/>
      <c r="O473" s="168"/>
      <c r="P473" s="168"/>
      <c r="Q473" s="168"/>
      <c r="R473" s="168"/>
      <c r="S473" s="168"/>
      <c r="T473" s="168"/>
      <c r="U473" s="168"/>
      <c r="V473" s="168"/>
      <c r="W473" s="168"/>
      <c r="X473" s="168"/>
      <c r="Y473" s="168"/>
      <c r="Z473" s="168"/>
    </row>
    <row r="474" customFormat="false" ht="15.75" hidden="false" customHeight="false" outlineLevel="0" collapsed="false">
      <c r="A474" s="168"/>
      <c r="B474" s="168"/>
      <c r="C474" s="168"/>
      <c r="D474" s="168"/>
      <c r="E474" s="168"/>
      <c r="F474" s="168"/>
      <c r="G474" s="168"/>
      <c r="H474" s="168"/>
      <c r="I474" s="168"/>
      <c r="J474" s="168"/>
      <c r="K474" s="168"/>
      <c r="L474" s="168"/>
      <c r="M474" s="168"/>
      <c r="N474" s="168"/>
      <c r="O474" s="168"/>
      <c r="P474" s="168"/>
      <c r="Q474" s="168"/>
      <c r="R474" s="168"/>
      <c r="S474" s="168"/>
      <c r="T474" s="168"/>
      <c r="U474" s="168"/>
      <c r="V474" s="168"/>
      <c r="W474" s="168"/>
      <c r="X474" s="168"/>
      <c r="Y474" s="168"/>
      <c r="Z474" s="168"/>
    </row>
    <row r="475" customFormat="false" ht="15.75" hidden="false" customHeight="false" outlineLevel="0" collapsed="false">
      <c r="A475" s="168"/>
      <c r="B475" s="168"/>
      <c r="C475" s="168"/>
      <c r="D475" s="168"/>
      <c r="E475" s="168"/>
      <c r="F475" s="168"/>
      <c r="G475" s="168"/>
      <c r="H475" s="168"/>
      <c r="I475" s="168"/>
      <c r="J475" s="168"/>
      <c r="K475" s="168"/>
      <c r="L475" s="168"/>
      <c r="M475" s="168"/>
      <c r="N475" s="168"/>
      <c r="O475" s="168"/>
      <c r="P475" s="168"/>
      <c r="Q475" s="168"/>
      <c r="R475" s="168"/>
      <c r="S475" s="168"/>
      <c r="T475" s="168"/>
      <c r="U475" s="168"/>
      <c r="V475" s="168"/>
      <c r="W475" s="168"/>
      <c r="X475" s="168"/>
      <c r="Y475" s="168"/>
      <c r="Z475" s="168"/>
    </row>
    <row r="476" customFormat="false" ht="15.75" hidden="false" customHeight="false" outlineLevel="0" collapsed="false">
      <c r="A476" s="168"/>
      <c r="B476" s="168"/>
      <c r="C476" s="168"/>
      <c r="D476" s="168"/>
      <c r="E476" s="168"/>
      <c r="F476" s="168"/>
      <c r="G476" s="168"/>
      <c r="H476" s="168"/>
      <c r="I476" s="168"/>
      <c r="J476" s="168"/>
      <c r="K476" s="168"/>
      <c r="L476" s="168"/>
      <c r="M476" s="168"/>
      <c r="N476" s="168"/>
      <c r="O476" s="168"/>
      <c r="P476" s="168"/>
      <c r="Q476" s="168"/>
      <c r="R476" s="168"/>
      <c r="S476" s="168"/>
      <c r="T476" s="168"/>
      <c r="U476" s="168"/>
      <c r="V476" s="168"/>
      <c r="W476" s="168"/>
      <c r="X476" s="168"/>
      <c r="Y476" s="168"/>
      <c r="Z476" s="168"/>
    </row>
    <row r="477" customFormat="false" ht="15.75" hidden="false" customHeight="false" outlineLevel="0" collapsed="false">
      <c r="A477" s="168"/>
      <c r="B477" s="168"/>
      <c r="C477" s="168"/>
      <c r="D477" s="168"/>
      <c r="E477" s="168"/>
      <c r="F477" s="168"/>
      <c r="G477" s="168"/>
      <c r="H477" s="168"/>
      <c r="I477" s="168"/>
      <c r="J477" s="168"/>
      <c r="K477" s="168"/>
      <c r="L477" s="168"/>
      <c r="M477" s="168"/>
      <c r="N477" s="168"/>
      <c r="O477" s="168"/>
      <c r="P477" s="168"/>
      <c r="Q477" s="168"/>
      <c r="R477" s="168"/>
      <c r="S477" s="168"/>
      <c r="T477" s="168"/>
      <c r="U477" s="168"/>
      <c r="V477" s="168"/>
      <c r="W477" s="168"/>
      <c r="X477" s="168"/>
      <c r="Y477" s="168"/>
      <c r="Z477" s="168"/>
    </row>
    <row r="478" customFormat="false" ht="15.75" hidden="false" customHeight="false" outlineLevel="0" collapsed="false">
      <c r="A478" s="168"/>
      <c r="B478" s="168"/>
      <c r="C478" s="168"/>
      <c r="D478" s="168"/>
      <c r="E478" s="168"/>
      <c r="F478" s="168"/>
      <c r="G478" s="168"/>
      <c r="H478" s="168"/>
      <c r="I478" s="168"/>
      <c r="J478" s="168"/>
      <c r="K478" s="168"/>
      <c r="L478" s="168"/>
      <c r="M478" s="168"/>
      <c r="N478" s="168"/>
      <c r="O478" s="168"/>
      <c r="P478" s="168"/>
      <c r="Q478" s="168"/>
      <c r="R478" s="168"/>
      <c r="S478" s="168"/>
      <c r="T478" s="168"/>
      <c r="U478" s="168"/>
      <c r="V478" s="168"/>
      <c r="W478" s="168"/>
      <c r="X478" s="168"/>
      <c r="Y478" s="168"/>
      <c r="Z478" s="168"/>
    </row>
    <row r="479" customFormat="false" ht="15.75" hidden="false" customHeight="false" outlineLevel="0" collapsed="false">
      <c r="A479" s="168"/>
      <c r="B479" s="168"/>
      <c r="C479" s="168"/>
      <c r="D479" s="168"/>
      <c r="E479" s="168"/>
      <c r="F479" s="168"/>
      <c r="G479" s="168"/>
      <c r="H479" s="168"/>
      <c r="I479" s="168"/>
      <c r="J479" s="168"/>
      <c r="K479" s="168"/>
      <c r="L479" s="168"/>
      <c r="M479" s="168"/>
      <c r="N479" s="168"/>
      <c r="O479" s="168"/>
      <c r="P479" s="168"/>
      <c r="Q479" s="168"/>
      <c r="R479" s="168"/>
      <c r="S479" s="168"/>
      <c r="T479" s="168"/>
      <c r="U479" s="168"/>
      <c r="V479" s="168"/>
      <c r="W479" s="168"/>
      <c r="X479" s="168"/>
      <c r="Y479" s="168"/>
      <c r="Z479" s="168"/>
    </row>
    <row r="480" customFormat="false" ht="15.75" hidden="false" customHeight="false" outlineLevel="0" collapsed="false">
      <c r="A480" s="168"/>
      <c r="B480" s="168"/>
      <c r="C480" s="168"/>
      <c r="D480" s="168"/>
      <c r="E480" s="168"/>
      <c r="F480" s="168"/>
      <c r="G480" s="168"/>
      <c r="H480" s="168"/>
      <c r="I480" s="168"/>
      <c r="J480" s="168"/>
      <c r="K480" s="168"/>
      <c r="L480" s="168"/>
      <c r="M480" s="168"/>
      <c r="N480" s="168"/>
      <c r="O480" s="168"/>
      <c r="P480" s="168"/>
      <c r="Q480" s="168"/>
      <c r="R480" s="168"/>
      <c r="S480" s="168"/>
      <c r="T480" s="168"/>
      <c r="U480" s="168"/>
      <c r="V480" s="168"/>
      <c r="W480" s="168"/>
      <c r="X480" s="168"/>
      <c r="Y480" s="168"/>
      <c r="Z480" s="168"/>
    </row>
    <row r="481" customFormat="false" ht="15.75" hidden="false" customHeight="false" outlineLevel="0" collapsed="false">
      <c r="A481" s="168"/>
      <c r="B481" s="168"/>
      <c r="C481" s="168"/>
      <c r="D481" s="168"/>
      <c r="E481" s="168"/>
      <c r="F481" s="168"/>
      <c r="G481" s="168"/>
      <c r="H481" s="168"/>
      <c r="I481" s="168"/>
      <c r="J481" s="168"/>
      <c r="K481" s="168"/>
      <c r="L481" s="168"/>
      <c r="M481" s="168"/>
      <c r="N481" s="168"/>
      <c r="O481" s="168"/>
      <c r="P481" s="168"/>
      <c r="Q481" s="168"/>
      <c r="R481" s="168"/>
      <c r="S481" s="168"/>
      <c r="T481" s="168"/>
      <c r="U481" s="168"/>
      <c r="V481" s="168"/>
      <c r="W481" s="168"/>
      <c r="X481" s="168"/>
      <c r="Y481" s="168"/>
      <c r="Z481" s="168"/>
    </row>
    <row r="482" customFormat="false" ht="15.75" hidden="false" customHeight="false" outlineLevel="0" collapsed="false">
      <c r="A482" s="168"/>
      <c r="B482" s="168"/>
      <c r="C482" s="168"/>
      <c r="D482" s="168"/>
      <c r="E482" s="168"/>
      <c r="F482" s="168"/>
      <c r="G482" s="168"/>
      <c r="H482" s="168"/>
      <c r="I482" s="168"/>
      <c r="J482" s="168"/>
      <c r="K482" s="168"/>
      <c r="L482" s="168"/>
      <c r="M482" s="168"/>
      <c r="N482" s="168"/>
      <c r="O482" s="168"/>
      <c r="P482" s="168"/>
      <c r="Q482" s="168"/>
      <c r="R482" s="168"/>
      <c r="S482" s="168"/>
      <c r="T482" s="168"/>
      <c r="U482" s="168"/>
      <c r="V482" s="168"/>
      <c r="W482" s="168"/>
      <c r="X482" s="168"/>
      <c r="Y482" s="168"/>
      <c r="Z482" s="168"/>
    </row>
    <row r="483" customFormat="false" ht="15.75" hidden="false" customHeight="false" outlineLevel="0" collapsed="false">
      <c r="A483" s="168"/>
      <c r="B483" s="168"/>
      <c r="C483" s="168"/>
      <c r="D483" s="168"/>
      <c r="E483" s="168"/>
      <c r="F483" s="168"/>
      <c r="G483" s="168"/>
      <c r="H483" s="168"/>
      <c r="I483" s="168"/>
      <c r="J483" s="168"/>
      <c r="K483" s="168"/>
      <c r="L483" s="168"/>
      <c r="M483" s="168"/>
      <c r="N483" s="168"/>
      <c r="O483" s="168"/>
      <c r="P483" s="168"/>
      <c r="Q483" s="168"/>
      <c r="R483" s="168"/>
      <c r="S483" s="168"/>
      <c r="T483" s="168"/>
      <c r="U483" s="168"/>
      <c r="V483" s="168"/>
      <c r="W483" s="168"/>
      <c r="X483" s="168"/>
      <c r="Y483" s="168"/>
      <c r="Z483" s="168"/>
    </row>
    <row r="484" customFormat="false" ht="15.75" hidden="false" customHeight="false" outlineLevel="0" collapsed="false">
      <c r="A484" s="168"/>
      <c r="B484" s="168"/>
      <c r="C484" s="168"/>
      <c r="D484" s="168"/>
      <c r="E484" s="168"/>
      <c r="F484" s="168"/>
      <c r="G484" s="168"/>
      <c r="H484" s="168"/>
      <c r="I484" s="168"/>
      <c r="J484" s="168"/>
      <c r="K484" s="168"/>
      <c r="L484" s="168"/>
      <c r="M484" s="168"/>
      <c r="N484" s="168"/>
      <c r="O484" s="168"/>
      <c r="P484" s="168"/>
      <c r="Q484" s="168"/>
      <c r="R484" s="168"/>
      <c r="S484" s="168"/>
      <c r="T484" s="168"/>
      <c r="U484" s="168"/>
      <c r="V484" s="168"/>
      <c r="W484" s="168"/>
      <c r="X484" s="168"/>
      <c r="Y484" s="168"/>
      <c r="Z484" s="168"/>
    </row>
    <row r="485" customFormat="false" ht="15.75" hidden="false" customHeight="false" outlineLevel="0" collapsed="false">
      <c r="A485" s="168"/>
      <c r="B485" s="168"/>
      <c r="C485" s="168"/>
      <c r="D485" s="168"/>
      <c r="E485" s="168"/>
      <c r="F485" s="168"/>
      <c r="G485" s="168"/>
      <c r="H485" s="168"/>
      <c r="I485" s="168"/>
      <c r="J485" s="168"/>
      <c r="K485" s="168"/>
      <c r="L485" s="168"/>
      <c r="M485" s="168"/>
      <c r="N485" s="168"/>
      <c r="O485" s="168"/>
      <c r="P485" s="168"/>
      <c r="Q485" s="168"/>
      <c r="R485" s="168"/>
      <c r="S485" s="168"/>
      <c r="T485" s="168"/>
      <c r="U485" s="168"/>
      <c r="V485" s="168"/>
      <c r="W485" s="168"/>
      <c r="X485" s="168"/>
      <c r="Y485" s="168"/>
      <c r="Z485" s="168"/>
    </row>
    <row r="486" customFormat="false" ht="15.75" hidden="false" customHeight="false" outlineLevel="0" collapsed="false">
      <c r="A486" s="168"/>
      <c r="B486" s="168"/>
      <c r="C486" s="168"/>
      <c r="D486" s="168"/>
      <c r="E486" s="168"/>
      <c r="F486" s="168"/>
      <c r="G486" s="168"/>
      <c r="H486" s="168"/>
      <c r="I486" s="168"/>
      <c r="J486" s="168"/>
      <c r="K486" s="168"/>
      <c r="L486" s="168"/>
      <c r="M486" s="168"/>
      <c r="N486" s="168"/>
      <c r="O486" s="168"/>
      <c r="P486" s="168"/>
      <c r="Q486" s="168"/>
      <c r="R486" s="168"/>
      <c r="S486" s="168"/>
      <c r="T486" s="168"/>
      <c r="U486" s="168"/>
      <c r="V486" s="168"/>
      <c r="W486" s="168"/>
      <c r="X486" s="168"/>
      <c r="Y486" s="168"/>
      <c r="Z486" s="168"/>
    </row>
    <row r="487" customFormat="false" ht="15.75" hidden="false" customHeight="false" outlineLevel="0" collapsed="false">
      <c r="A487" s="168"/>
      <c r="B487" s="168"/>
      <c r="C487" s="168"/>
      <c r="D487" s="168"/>
      <c r="E487" s="168"/>
      <c r="F487" s="168"/>
      <c r="G487" s="168"/>
      <c r="H487" s="168"/>
      <c r="I487" s="168"/>
      <c r="J487" s="168"/>
      <c r="K487" s="168"/>
      <c r="L487" s="168"/>
      <c r="M487" s="168"/>
      <c r="N487" s="168"/>
      <c r="O487" s="168"/>
      <c r="P487" s="168"/>
      <c r="Q487" s="168"/>
      <c r="R487" s="168"/>
      <c r="S487" s="168"/>
      <c r="T487" s="168"/>
      <c r="U487" s="168"/>
      <c r="V487" s="168"/>
      <c r="W487" s="168"/>
      <c r="X487" s="168"/>
      <c r="Y487" s="168"/>
      <c r="Z487" s="168"/>
    </row>
    <row r="488" customFormat="false" ht="15.75" hidden="false" customHeight="false" outlineLevel="0" collapsed="false">
      <c r="A488" s="168"/>
      <c r="B488" s="168"/>
      <c r="C488" s="168"/>
      <c r="D488" s="168"/>
      <c r="E488" s="168"/>
      <c r="F488" s="168"/>
      <c r="G488" s="168"/>
      <c r="H488" s="168"/>
      <c r="I488" s="168"/>
      <c r="J488" s="168"/>
      <c r="K488" s="168"/>
      <c r="L488" s="168"/>
      <c r="M488" s="168"/>
      <c r="N488" s="168"/>
      <c r="O488" s="168"/>
      <c r="P488" s="168"/>
      <c r="Q488" s="168"/>
      <c r="R488" s="168"/>
      <c r="S488" s="168"/>
      <c r="T488" s="168"/>
      <c r="U488" s="168"/>
      <c r="V488" s="168"/>
      <c r="W488" s="168"/>
      <c r="X488" s="168"/>
      <c r="Y488" s="168"/>
      <c r="Z488" s="168"/>
    </row>
    <row r="489" customFormat="false" ht="15.75" hidden="false" customHeight="false" outlineLevel="0" collapsed="false">
      <c r="A489" s="168"/>
      <c r="B489" s="168"/>
      <c r="C489" s="168"/>
      <c r="D489" s="168"/>
      <c r="E489" s="168"/>
      <c r="F489" s="168"/>
      <c r="G489" s="168"/>
      <c r="H489" s="168"/>
      <c r="I489" s="168"/>
      <c r="J489" s="168"/>
      <c r="K489" s="168"/>
      <c r="L489" s="168"/>
      <c r="M489" s="168"/>
      <c r="N489" s="168"/>
      <c r="O489" s="168"/>
      <c r="P489" s="168"/>
      <c r="Q489" s="168"/>
      <c r="R489" s="168"/>
      <c r="S489" s="168"/>
      <c r="T489" s="168"/>
      <c r="U489" s="168"/>
      <c r="V489" s="168"/>
      <c r="W489" s="168"/>
      <c r="X489" s="168"/>
      <c r="Y489" s="168"/>
      <c r="Z489" s="168"/>
    </row>
    <row r="490" customFormat="false" ht="15.75" hidden="false" customHeight="false" outlineLevel="0" collapsed="false">
      <c r="A490" s="168"/>
      <c r="B490" s="168"/>
      <c r="C490" s="168"/>
      <c r="D490" s="168"/>
      <c r="E490" s="168"/>
      <c r="F490" s="168"/>
      <c r="G490" s="168"/>
      <c r="H490" s="168"/>
      <c r="I490" s="168"/>
      <c r="J490" s="168"/>
      <c r="K490" s="168"/>
      <c r="L490" s="168"/>
      <c r="M490" s="168"/>
      <c r="N490" s="168"/>
      <c r="O490" s="168"/>
      <c r="P490" s="168"/>
      <c r="Q490" s="168"/>
      <c r="R490" s="168"/>
      <c r="S490" s="168"/>
      <c r="T490" s="168"/>
      <c r="U490" s="168"/>
      <c r="V490" s="168"/>
      <c r="W490" s="168"/>
      <c r="X490" s="168"/>
      <c r="Y490" s="168"/>
      <c r="Z490" s="168"/>
    </row>
    <row r="491" customFormat="false" ht="15.75" hidden="false" customHeight="false" outlineLevel="0" collapsed="false">
      <c r="A491" s="168"/>
      <c r="B491" s="168"/>
      <c r="C491" s="168"/>
      <c r="D491" s="168"/>
      <c r="E491" s="168"/>
      <c r="F491" s="168"/>
      <c r="G491" s="168"/>
      <c r="H491" s="168"/>
      <c r="I491" s="168"/>
      <c r="J491" s="168"/>
      <c r="K491" s="168"/>
      <c r="L491" s="168"/>
      <c r="M491" s="168"/>
      <c r="N491" s="168"/>
      <c r="O491" s="168"/>
      <c r="P491" s="168"/>
      <c r="Q491" s="168"/>
      <c r="R491" s="168"/>
      <c r="S491" s="168"/>
      <c r="T491" s="168"/>
      <c r="U491" s="168"/>
      <c r="V491" s="168"/>
      <c r="W491" s="168"/>
      <c r="X491" s="168"/>
      <c r="Y491" s="168"/>
      <c r="Z491" s="168"/>
    </row>
    <row r="492" customFormat="false" ht="15.75" hidden="false" customHeight="false" outlineLevel="0" collapsed="false">
      <c r="A492" s="168"/>
      <c r="B492" s="168"/>
      <c r="C492" s="168"/>
      <c r="D492" s="168"/>
      <c r="E492" s="168"/>
      <c r="F492" s="168"/>
      <c r="G492" s="168"/>
      <c r="H492" s="168"/>
      <c r="I492" s="168"/>
      <c r="J492" s="168"/>
      <c r="K492" s="168"/>
      <c r="L492" s="168"/>
      <c r="M492" s="168"/>
      <c r="N492" s="168"/>
      <c r="O492" s="168"/>
      <c r="P492" s="168"/>
      <c r="Q492" s="168"/>
      <c r="R492" s="168"/>
      <c r="S492" s="168"/>
      <c r="T492" s="168"/>
      <c r="U492" s="168"/>
      <c r="V492" s="168"/>
      <c r="W492" s="168"/>
      <c r="X492" s="168"/>
      <c r="Y492" s="168"/>
      <c r="Z492" s="168"/>
    </row>
    <row r="493" customFormat="false" ht="15.75" hidden="false" customHeight="false" outlineLevel="0" collapsed="false">
      <c r="A493" s="168"/>
      <c r="B493" s="168"/>
      <c r="C493" s="168"/>
      <c r="D493" s="168"/>
      <c r="E493" s="168"/>
      <c r="F493" s="168"/>
      <c r="G493" s="168"/>
      <c r="H493" s="168"/>
      <c r="I493" s="168"/>
      <c r="J493" s="168"/>
      <c r="K493" s="168"/>
      <c r="L493" s="168"/>
      <c r="M493" s="168"/>
      <c r="N493" s="168"/>
      <c r="O493" s="168"/>
      <c r="P493" s="168"/>
      <c r="Q493" s="168"/>
      <c r="R493" s="168"/>
      <c r="S493" s="168"/>
      <c r="T493" s="168"/>
      <c r="U493" s="168"/>
      <c r="V493" s="168"/>
      <c r="W493" s="168"/>
      <c r="X493" s="168"/>
      <c r="Y493" s="168"/>
      <c r="Z493" s="168"/>
    </row>
    <row r="494" customFormat="false" ht="15.75" hidden="false" customHeight="false" outlineLevel="0" collapsed="false">
      <c r="A494" s="168"/>
      <c r="B494" s="168"/>
      <c r="C494" s="168"/>
      <c r="D494" s="168"/>
      <c r="E494" s="168"/>
      <c r="F494" s="168"/>
      <c r="G494" s="168"/>
      <c r="H494" s="168"/>
      <c r="I494" s="168"/>
      <c r="J494" s="168"/>
      <c r="K494" s="168"/>
      <c r="L494" s="168"/>
      <c r="M494" s="168"/>
      <c r="N494" s="168"/>
      <c r="O494" s="168"/>
      <c r="P494" s="168"/>
      <c r="Q494" s="168"/>
      <c r="R494" s="168"/>
      <c r="S494" s="168"/>
      <c r="T494" s="168"/>
      <c r="U494" s="168"/>
      <c r="V494" s="168"/>
      <c r="W494" s="168"/>
      <c r="X494" s="168"/>
      <c r="Y494" s="168"/>
      <c r="Z494" s="168"/>
    </row>
    <row r="495" customFormat="false" ht="15.75" hidden="false" customHeight="false" outlineLevel="0" collapsed="false">
      <c r="A495" s="168"/>
      <c r="B495" s="168"/>
      <c r="C495" s="168"/>
      <c r="D495" s="168"/>
      <c r="E495" s="168"/>
      <c r="F495" s="168"/>
      <c r="G495" s="168"/>
      <c r="H495" s="168"/>
      <c r="I495" s="168"/>
      <c r="J495" s="168"/>
      <c r="K495" s="168"/>
      <c r="L495" s="168"/>
      <c r="M495" s="168"/>
      <c r="N495" s="168"/>
      <c r="O495" s="168"/>
      <c r="P495" s="168"/>
      <c r="Q495" s="168"/>
      <c r="R495" s="168"/>
      <c r="S495" s="168"/>
      <c r="T495" s="168"/>
      <c r="U495" s="168"/>
      <c r="V495" s="168"/>
      <c r="W495" s="168"/>
      <c r="X495" s="168"/>
      <c r="Y495" s="168"/>
      <c r="Z495" s="168"/>
    </row>
    <row r="496" customFormat="false" ht="15.75" hidden="false" customHeight="false" outlineLevel="0" collapsed="false">
      <c r="A496" s="168"/>
      <c r="B496" s="168"/>
      <c r="C496" s="168"/>
      <c r="D496" s="168"/>
      <c r="E496" s="168"/>
      <c r="F496" s="168"/>
      <c r="G496" s="168"/>
      <c r="H496" s="168"/>
      <c r="I496" s="168"/>
      <c r="J496" s="168"/>
      <c r="K496" s="168"/>
      <c r="L496" s="168"/>
      <c r="M496" s="168"/>
      <c r="N496" s="168"/>
      <c r="O496" s="168"/>
      <c r="P496" s="168"/>
      <c r="Q496" s="168"/>
      <c r="R496" s="168"/>
      <c r="S496" s="168"/>
      <c r="T496" s="168"/>
      <c r="U496" s="168"/>
      <c r="V496" s="168"/>
      <c r="W496" s="168"/>
      <c r="X496" s="168"/>
      <c r="Y496" s="168"/>
      <c r="Z496" s="168"/>
    </row>
    <row r="497" customFormat="false" ht="15.75" hidden="false" customHeight="false" outlineLevel="0" collapsed="false">
      <c r="A497" s="168"/>
      <c r="B497" s="168"/>
      <c r="C497" s="168"/>
      <c r="D497" s="168"/>
      <c r="E497" s="168"/>
      <c r="F497" s="168"/>
      <c r="G497" s="168"/>
      <c r="H497" s="168"/>
      <c r="I497" s="168"/>
      <c r="J497" s="168"/>
      <c r="K497" s="168"/>
      <c r="L497" s="168"/>
      <c r="M497" s="168"/>
      <c r="N497" s="168"/>
      <c r="O497" s="168"/>
      <c r="P497" s="168"/>
      <c r="Q497" s="168"/>
      <c r="R497" s="168"/>
      <c r="S497" s="168"/>
      <c r="T497" s="168"/>
      <c r="U497" s="168"/>
      <c r="V497" s="168"/>
      <c r="W497" s="168"/>
      <c r="X497" s="168"/>
      <c r="Y497" s="168"/>
      <c r="Z497" s="168"/>
    </row>
    <row r="498" customFormat="false" ht="15.75" hidden="false" customHeight="false" outlineLevel="0" collapsed="false">
      <c r="A498" s="168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</row>
    <row r="499" customFormat="false" ht="15.75" hidden="false" customHeight="false" outlineLevel="0" collapsed="false">
      <c r="A499" s="168"/>
      <c r="B499" s="168"/>
      <c r="C499" s="168"/>
      <c r="D499" s="168"/>
      <c r="E499" s="168"/>
      <c r="F499" s="168"/>
      <c r="G499" s="168"/>
      <c r="H499" s="168"/>
      <c r="I499" s="168"/>
      <c r="J499" s="168"/>
      <c r="K499" s="168"/>
      <c r="L499" s="168"/>
      <c r="M499" s="168"/>
      <c r="N499" s="168"/>
      <c r="O499" s="168"/>
      <c r="P499" s="168"/>
      <c r="Q499" s="168"/>
      <c r="R499" s="168"/>
      <c r="S499" s="168"/>
      <c r="T499" s="168"/>
      <c r="U499" s="168"/>
      <c r="V499" s="168"/>
      <c r="W499" s="168"/>
      <c r="X499" s="168"/>
      <c r="Y499" s="168"/>
      <c r="Z499" s="168"/>
    </row>
    <row r="500" customFormat="false" ht="15.75" hidden="false" customHeight="false" outlineLevel="0" collapsed="false">
      <c r="A500" s="168"/>
      <c r="B500" s="168"/>
      <c r="C500" s="168"/>
      <c r="D500" s="168"/>
      <c r="E500" s="168"/>
      <c r="F500" s="168"/>
      <c r="G500" s="168"/>
      <c r="H500" s="168"/>
      <c r="I500" s="168"/>
      <c r="J500" s="168"/>
      <c r="K500" s="168"/>
      <c r="L500" s="168"/>
      <c r="M500" s="168"/>
      <c r="N500" s="168"/>
      <c r="O500" s="168"/>
      <c r="P500" s="168"/>
      <c r="Q500" s="168"/>
      <c r="R500" s="168"/>
      <c r="S500" s="168"/>
      <c r="T500" s="168"/>
      <c r="U500" s="168"/>
      <c r="V500" s="168"/>
      <c r="W500" s="168"/>
      <c r="X500" s="168"/>
      <c r="Y500" s="168"/>
      <c r="Z500" s="168"/>
    </row>
    <row r="501" customFormat="false" ht="15.75" hidden="false" customHeight="false" outlineLevel="0" collapsed="false">
      <c r="A501" s="168"/>
      <c r="B501" s="168"/>
      <c r="C501" s="168"/>
      <c r="D501" s="168"/>
      <c r="E501" s="168"/>
      <c r="F501" s="168"/>
      <c r="G501" s="168"/>
      <c r="H501" s="168"/>
      <c r="I501" s="168"/>
      <c r="J501" s="168"/>
      <c r="K501" s="168"/>
      <c r="L501" s="168"/>
      <c r="M501" s="168"/>
      <c r="N501" s="168"/>
      <c r="O501" s="168"/>
      <c r="P501" s="168"/>
      <c r="Q501" s="168"/>
      <c r="R501" s="168"/>
      <c r="S501" s="168"/>
      <c r="T501" s="168"/>
      <c r="U501" s="168"/>
      <c r="V501" s="168"/>
      <c r="W501" s="168"/>
      <c r="X501" s="168"/>
      <c r="Y501" s="168"/>
      <c r="Z501" s="168"/>
    </row>
    <row r="502" customFormat="false" ht="15.75" hidden="false" customHeight="false" outlineLevel="0" collapsed="false">
      <c r="A502" s="168"/>
      <c r="B502" s="168"/>
      <c r="C502" s="168"/>
      <c r="D502" s="168"/>
      <c r="E502" s="168"/>
      <c r="F502" s="168"/>
      <c r="G502" s="168"/>
      <c r="H502" s="168"/>
      <c r="I502" s="168"/>
      <c r="J502" s="168"/>
      <c r="K502" s="168"/>
      <c r="L502" s="168"/>
      <c r="M502" s="168"/>
      <c r="N502" s="168"/>
      <c r="O502" s="168"/>
      <c r="P502" s="168"/>
      <c r="Q502" s="168"/>
      <c r="R502" s="168"/>
      <c r="S502" s="168"/>
      <c r="T502" s="168"/>
      <c r="U502" s="168"/>
      <c r="V502" s="168"/>
      <c r="W502" s="168"/>
      <c r="X502" s="168"/>
      <c r="Y502" s="168"/>
      <c r="Z502" s="168"/>
    </row>
    <row r="503" customFormat="false" ht="15.75" hidden="false" customHeight="false" outlineLevel="0" collapsed="false">
      <c r="A503" s="168"/>
      <c r="B503" s="168"/>
      <c r="C503" s="168"/>
      <c r="D503" s="168"/>
      <c r="E503" s="168"/>
      <c r="F503" s="168"/>
      <c r="G503" s="168"/>
      <c r="H503" s="168"/>
      <c r="I503" s="168"/>
      <c r="J503" s="168"/>
      <c r="K503" s="168"/>
      <c r="L503" s="168"/>
      <c r="M503" s="168"/>
      <c r="N503" s="168"/>
      <c r="O503" s="168"/>
      <c r="P503" s="168"/>
      <c r="Q503" s="168"/>
      <c r="R503" s="168"/>
      <c r="S503" s="168"/>
      <c r="T503" s="168"/>
      <c r="U503" s="168"/>
      <c r="V503" s="168"/>
      <c r="W503" s="168"/>
      <c r="X503" s="168"/>
      <c r="Y503" s="168"/>
      <c r="Z503" s="168"/>
    </row>
    <row r="504" customFormat="false" ht="15.75" hidden="false" customHeight="false" outlineLevel="0" collapsed="false">
      <c r="A504" s="168"/>
      <c r="B504" s="168"/>
      <c r="C504" s="168"/>
      <c r="D504" s="168"/>
      <c r="E504" s="168"/>
      <c r="F504" s="168"/>
      <c r="G504" s="168"/>
      <c r="H504" s="168"/>
      <c r="I504" s="168"/>
      <c r="J504" s="168"/>
      <c r="K504" s="168"/>
      <c r="L504" s="168"/>
      <c r="M504" s="168"/>
      <c r="N504" s="168"/>
      <c r="O504" s="168"/>
      <c r="P504" s="168"/>
      <c r="Q504" s="168"/>
      <c r="R504" s="168"/>
      <c r="S504" s="168"/>
      <c r="T504" s="168"/>
      <c r="U504" s="168"/>
      <c r="V504" s="168"/>
      <c r="W504" s="168"/>
      <c r="X504" s="168"/>
      <c r="Y504" s="168"/>
      <c r="Z504" s="168"/>
    </row>
    <row r="505" customFormat="false" ht="15.75" hidden="false" customHeight="false" outlineLevel="0" collapsed="false">
      <c r="A505" s="168"/>
      <c r="B505" s="168"/>
      <c r="C505" s="168"/>
      <c r="D505" s="168"/>
      <c r="E505" s="168"/>
      <c r="F505" s="168"/>
      <c r="G505" s="168"/>
      <c r="H505" s="168"/>
      <c r="I505" s="168"/>
      <c r="J505" s="168"/>
      <c r="K505" s="168"/>
      <c r="L505" s="168"/>
      <c r="M505" s="168"/>
      <c r="N505" s="168"/>
      <c r="O505" s="168"/>
      <c r="P505" s="168"/>
      <c r="Q505" s="168"/>
      <c r="R505" s="168"/>
      <c r="S505" s="168"/>
      <c r="T505" s="168"/>
      <c r="U505" s="168"/>
      <c r="V505" s="168"/>
      <c r="W505" s="168"/>
      <c r="X505" s="168"/>
      <c r="Y505" s="168"/>
      <c r="Z505" s="168"/>
    </row>
    <row r="506" customFormat="false" ht="15.75" hidden="false" customHeight="false" outlineLevel="0" collapsed="false">
      <c r="A506" s="168"/>
      <c r="B506" s="168"/>
      <c r="C506" s="168"/>
      <c r="D506" s="168"/>
      <c r="E506" s="168"/>
      <c r="F506" s="168"/>
      <c r="G506" s="168"/>
      <c r="H506" s="168"/>
      <c r="I506" s="168"/>
      <c r="J506" s="168"/>
      <c r="K506" s="168"/>
      <c r="L506" s="168"/>
      <c r="M506" s="168"/>
      <c r="N506" s="168"/>
      <c r="O506" s="168"/>
      <c r="P506" s="168"/>
      <c r="Q506" s="168"/>
      <c r="R506" s="168"/>
      <c r="S506" s="168"/>
      <c r="T506" s="168"/>
      <c r="U506" s="168"/>
      <c r="V506" s="168"/>
      <c r="W506" s="168"/>
      <c r="X506" s="168"/>
      <c r="Y506" s="168"/>
      <c r="Z506" s="168"/>
    </row>
    <row r="507" customFormat="false" ht="15.75" hidden="false" customHeight="false" outlineLevel="0" collapsed="false">
      <c r="A507" s="168"/>
      <c r="B507" s="168"/>
      <c r="C507" s="168"/>
      <c r="D507" s="168"/>
      <c r="E507" s="168"/>
      <c r="F507" s="168"/>
      <c r="G507" s="168"/>
      <c r="H507" s="168"/>
      <c r="I507" s="168"/>
      <c r="J507" s="168"/>
      <c r="K507" s="168"/>
      <c r="L507" s="168"/>
      <c r="M507" s="168"/>
      <c r="N507" s="168"/>
      <c r="O507" s="168"/>
      <c r="P507" s="168"/>
      <c r="Q507" s="168"/>
      <c r="R507" s="168"/>
      <c r="S507" s="168"/>
      <c r="T507" s="168"/>
      <c r="U507" s="168"/>
      <c r="V507" s="168"/>
      <c r="W507" s="168"/>
      <c r="X507" s="168"/>
      <c r="Y507" s="168"/>
      <c r="Z507" s="168"/>
    </row>
    <row r="508" customFormat="false" ht="15.75" hidden="false" customHeight="false" outlineLevel="0" collapsed="false">
      <c r="A508" s="168"/>
      <c r="B508" s="168"/>
      <c r="C508" s="168"/>
      <c r="D508" s="168"/>
      <c r="E508" s="168"/>
      <c r="F508" s="168"/>
      <c r="G508" s="168"/>
      <c r="H508" s="168"/>
      <c r="I508" s="168"/>
      <c r="J508" s="168"/>
      <c r="K508" s="168"/>
      <c r="L508" s="168"/>
      <c r="M508" s="168"/>
      <c r="N508" s="168"/>
      <c r="O508" s="168"/>
      <c r="P508" s="168"/>
      <c r="Q508" s="168"/>
      <c r="R508" s="168"/>
      <c r="S508" s="168"/>
      <c r="T508" s="168"/>
      <c r="U508" s="168"/>
      <c r="V508" s="168"/>
      <c r="W508" s="168"/>
      <c r="X508" s="168"/>
      <c r="Y508" s="168"/>
      <c r="Z508" s="168"/>
    </row>
    <row r="509" customFormat="false" ht="15.75" hidden="false" customHeight="false" outlineLevel="0" collapsed="false">
      <c r="A509" s="168"/>
      <c r="B509" s="168"/>
      <c r="C509" s="168"/>
      <c r="D509" s="168"/>
      <c r="E509" s="168"/>
      <c r="F509" s="168"/>
      <c r="G509" s="168"/>
      <c r="H509" s="168"/>
      <c r="I509" s="168"/>
      <c r="J509" s="168"/>
      <c r="K509" s="168"/>
      <c r="L509" s="168"/>
      <c r="M509" s="168"/>
      <c r="N509" s="168"/>
      <c r="O509" s="168"/>
      <c r="P509" s="168"/>
      <c r="Q509" s="168"/>
      <c r="R509" s="168"/>
      <c r="S509" s="168"/>
      <c r="T509" s="168"/>
      <c r="U509" s="168"/>
      <c r="V509" s="168"/>
      <c r="W509" s="168"/>
      <c r="X509" s="168"/>
      <c r="Y509" s="168"/>
      <c r="Z509" s="168"/>
    </row>
    <row r="510" customFormat="false" ht="15.75" hidden="false" customHeight="false" outlineLevel="0" collapsed="false">
      <c r="A510" s="168"/>
      <c r="B510" s="168"/>
      <c r="C510" s="168"/>
      <c r="D510" s="168"/>
      <c r="E510" s="168"/>
      <c r="F510" s="168"/>
      <c r="G510" s="168"/>
      <c r="H510" s="168"/>
      <c r="I510" s="168"/>
      <c r="J510" s="168"/>
      <c r="K510" s="168"/>
      <c r="L510" s="168"/>
      <c r="M510" s="168"/>
      <c r="N510" s="168"/>
      <c r="O510" s="168"/>
      <c r="P510" s="168"/>
      <c r="Q510" s="168"/>
      <c r="R510" s="168"/>
      <c r="S510" s="168"/>
      <c r="T510" s="168"/>
      <c r="U510" s="168"/>
      <c r="V510" s="168"/>
      <c r="W510" s="168"/>
      <c r="X510" s="168"/>
      <c r="Y510" s="168"/>
      <c r="Z510" s="168"/>
    </row>
    <row r="511" customFormat="false" ht="15.75" hidden="false" customHeight="false" outlineLevel="0" collapsed="false">
      <c r="A511" s="168"/>
      <c r="B511" s="168"/>
      <c r="C511" s="168"/>
      <c r="D511" s="168"/>
      <c r="E511" s="168"/>
      <c r="F511" s="168"/>
      <c r="G511" s="168"/>
      <c r="H511" s="168"/>
      <c r="I511" s="168"/>
      <c r="J511" s="168"/>
      <c r="K511" s="168"/>
      <c r="L511" s="168"/>
      <c r="M511" s="168"/>
      <c r="N511" s="168"/>
      <c r="O511" s="168"/>
      <c r="P511" s="168"/>
      <c r="Q511" s="168"/>
      <c r="R511" s="168"/>
      <c r="S511" s="168"/>
      <c r="T511" s="168"/>
      <c r="U511" s="168"/>
      <c r="V511" s="168"/>
      <c r="W511" s="168"/>
      <c r="X511" s="168"/>
      <c r="Y511" s="168"/>
      <c r="Z511" s="168"/>
    </row>
    <row r="512" customFormat="false" ht="15.75" hidden="false" customHeight="false" outlineLevel="0" collapsed="false">
      <c r="A512" s="168"/>
      <c r="B512" s="168"/>
      <c r="C512" s="168"/>
      <c r="D512" s="168"/>
      <c r="E512" s="168"/>
      <c r="F512" s="168"/>
      <c r="G512" s="168"/>
      <c r="H512" s="168"/>
      <c r="I512" s="168"/>
      <c r="J512" s="168"/>
      <c r="K512" s="168"/>
      <c r="L512" s="168"/>
      <c r="M512" s="168"/>
      <c r="N512" s="168"/>
      <c r="O512" s="168"/>
      <c r="P512" s="168"/>
      <c r="Q512" s="168"/>
      <c r="R512" s="168"/>
      <c r="S512" s="168"/>
      <c r="T512" s="168"/>
      <c r="U512" s="168"/>
      <c r="V512" s="168"/>
      <c r="W512" s="168"/>
      <c r="X512" s="168"/>
      <c r="Y512" s="168"/>
      <c r="Z512" s="168"/>
    </row>
    <row r="513" customFormat="false" ht="15.75" hidden="false" customHeight="false" outlineLevel="0" collapsed="false">
      <c r="A513" s="168"/>
      <c r="B513" s="168"/>
      <c r="C513" s="168"/>
      <c r="D513" s="168"/>
      <c r="E513" s="168"/>
      <c r="F513" s="168"/>
      <c r="G513" s="168"/>
      <c r="H513" s="168"/>
      <c r="I513" s="168"/>
      <c r="J513" s="168"/>
      <c r="K513" s="168"/>
      <c r="L513" s="168"/>
      <c r="M513" s="168"/>
      <c r="N513" s="168"/>
      <c r="O513" s="168"/>
      <c r="P513" s="168"/>
      <c r="Q513" s="168"/>
      <c r="R513" s="168"/>
      <c r="S513" s="168"/>
      <c r="T513" s="168"/>
      <c r="U513" s="168"/>
      <c r="V513" s="168"/>
      <c r="W513" s="168"/>
      <c r="X513" s="168"/>
      <c r="Y513" s="168"/>
      <c r="Z513" s="168"/>
    </row>
    <row r="514" customFormat="false" ht="15.75" hidden="false" customHeight="false" outlineLevel="0" collapsed="false">
      <c r="A514" s="168"/>
      <c r="B514" s="168"/>
      <c r="C514" s="168"/>
      <c r="D514" s="168"/>
      <c r="E514" s="168"/>
      <c r="F514" s="168"/>
      <c r="G514" s="168"/>
      <c r="H514" s="168"/>
      <c r="I514" s="168"/>
      <c r="J514" s="168"/>
      <c r="K514" s="168"/>
      <c r="L514" s="168"/>
      <c r="M514" s="168"/>
      <c r="N514" s="168"/>
      <c r="O514" s="168"/>
      <c r="P514" s="168"/>
      <c r="Q514" s="168"/>
      <c r="R514" s="168"/>
      <c r="S514" s="168"/>
      <c r="T514" s="168"/>
      <c r="U514" s="168"/>
      <c r="V514" s="168"/>
      <c r="W514" s="168"/>
      <c r="X514" s="168"/>
      <c r="Y514" s="168"/>
      <c r="Z514" s="168"/>
    </row>
    <row r="515" customFormat="false" ht="15.75" hidden="false" customHeight="false" outlineLevel="0" collapsed="false">
      <c r="A515" s="168"/>
      <c r="B515" s="168"/>
      <c r="C515" s="168"/>
      <c r="D515" s="168"/>
      <c r="E515" s="168"/>
      <c r="F515" s="168"/>
      <c r="G515" s="168"/>
      <c r="H515" s="168"/>
      <c r="I515" s="168"/>
      <c r="J515" s="168"/>
      <c r="K515" s="168"/>
      <c r="L515" s="168"/>
      <c r="M515" s="168"/>
      <c r="N515" s="168"/>
      <c r="O515" s="168"/>
      <c r="P515" s="168"/>
      <c r="Q515" s="168"/>
      <c r="R515" s="168"/>
      <c r="S515" s="168"/>
      <c r="T515" s="168"/>
      <c r="U515" s="168"/>
      <c r="V515" s="168"/>
      <c r="W515" s="168"/>
      <c r="X515" s="168"/>
      <c r="Y515" s="168"/>
      <c r="Z515" s="168"/>
    </row>
    <row r="516" customFormat="false" ht="15.75" hidden="false" customHeight="false" outlineLevel="0" collapsed="false">
      <c r="A516" s="168"/>
      <c r="B516" s="168"/>
      <c r="C516" s="168"/>
      <c r="D516" s="168"/>
      <c r="E516" s="168"/>
      <c r="F516" s="168"/>
      <c r="G516" s="168"/>
      <c r="H516" s="168"/>
      <c r="I516" s="168"/>
      <c r="J516" s="168"/>
      <c r="K516" s="168"/>
      <c r="L516" s="168"/>
      <c r="M516" s="168"/>
      <c r="N516" s="168"/>
      <c r="O516" s="168"/>
      <c r="P516" s="168"/>
      <c r="Q516" s="168"/>
      <c r="R516" s="168"/>
      <c r="S516" s="168"/>
      <c r="T516" s="168"/>
      <c r="U516" s="168"/>
      <c r="V516" s="168"/>
      <c r="W516" s="168"/>
      <c r="X516" s="168"/>
      <c r="Y516" s="168"/>
      <c r="Z516" s="168"/>
    </row>
    <row r="517" customFormat="false" ht="15.75" hidden="false" customHeight="false" outlineLevel="0" collapsed="false">
      <c r="A517" s="168"/>
      <c r="B517" s="168"/>
      <c r="C517" s="168"/>
      <c r="D517" s="168"/>
      <c r="E517" s="168"/>
      <c r="F517" s="168"/>
      <c r="G517" s="168"/>
      <c r="H517" s="168"/>
      <c r="I517" s="168"/>
      <c r="J517" s="168"/>
      <c r="K517" s="168"/>
      <c r="L517" s="168"/>
      <c r="M517" s="168"/>
      <c r="N517" s="168"/>
      <c r="O517" s="168"/>
      <c r="P517" s="168"/>
      <c r="Q517" s="168"/>
      <c r="R517" s="168"/>
      <c r="S517" s="168"/>
      <c r="T517" s="168"/>
      <c r="U517" s="168"/>
      <c r="V517" s="168"/>
      <c r="W517" s="168"/>
      <c r="X517" s="168"/>
      <c r="Y517" s="168"/>
      <c r="Z517" s="168"/>
    </row>
    <row r="518" customFormat="false" ht="15.75" hidden="false" customHeight="false" outlineLevel="0" collapsed="false">
      <c r="A518" s="168"/>
      <c r="B518" s="168"/>
      <c r="C518" s="168"/>
      <c r="D518" s="168"/>
      <c r="E518" s="168"/>
      <c r="F518" s="168"/>
      <c r="G518" s="168"/>
      <c r="H518" s="168"/>
      <c r="I518" s="168"/>
      <c r="J518" s="168"/>
      <c r="K518" s="168"/>
      <c r="L518" s="168"/>
      <c r="M518" s="168"/>
      <c r="N518" s="168"/>
      <c r="O518" s="168"/>
      <c r="P518" s="168"/>
      <c r="Q518" s="168"/>
      <c r="R518" s="168"/>
      <c r="S518" s="168"/>
      <c r="T518" s="168"/>
      <c r="U518" s="168"/>
      <c r="V518" s="168"/>
      <c r="W518" s="168"/>
      <c r="X518" s="168"/>
      <c r="Y518" s="168"/>
      <c r="Z518" s="168"/>
    </row>
    <row r="519" customFormat="false" ht="15.75" hidden="false" customHeight="false" outlineLevel="0" collapsed="false">
      <c r="A519" s="168"/>
      <c r="B519" s="168"/>
      <c r="C519" s="168"/>
      <c r="D519" s="168"/>
      <c r="E519" s="168"/>
      <c r="F519" s="168"/>
      <c r="G519" s="168"/>
      <c r="H519" s="168"/>
      <c r="I519" s="168"/>
      <c r="J519" s="168"/>
      <c r="K519" s="168"/>
      <c r="L519" s="168"/>
      <c r="M519" s="168"/>
      <c r="N519" s="168"/>
      <c r="O519" s="168"/>
      <c r="P519" s="168"/>
      <c r="Q519" s="168"/>
      <c r="R519" s="168"/>
      <c r="S519" s="168"/>
      <c r="T519" s="168"/>
      <c r="U519" s="168"/>
      <c r="V519" s="168"/>
      <c r="W519" s="168"/>
      <c r="X519" s="168"/>
      <c r="Y519" s="168"/>
      <c r="Z519" s="168"/>
    </row>
    <row r="520" customFormat="false" ht="15.75" hidden="false" customHeight="false" outlineLevel="0" collapsed="false">
      <c r="A520" s="168"/>
      <c r="B520" s="168"/>
      <c r="C520" s="168"/>
      <c r="D520" s="168"/>
      <c r="E520" s="168"/>
      <c r="F520" s="168"/>
      <c r="G520" s="168"/>
      <c r="H520" s="168"/>
      <c r="I520" s="168"/>
      <c r="J520" s="168"/>
      <c r="K520" s="168"/>
      <c r="L520" s="168"/>
      <c r="M520" s="168"/>
      <c r="N520" s="168"/>
      <c r="O520" s="168"/>
      <c r="P520" s="168"/>
      <c r="Q520" s="168"/>
      <c r="R520" s="168"/>
      <c r="S520" s="168"/>
      <c r="T520" s="168"/>
      <c r="U520" s="168"/>
      <c r="V520" s="168"/>
      <c r="W520" s="168"/>
      <c r="X520" s="168"/>
      <c r="Y520" s="168"/>
      <c r="Z520" s="168"/>
    </row>
    <row r="521" customFormat="false" ht="15.75" hidden="false" customHeight="false" outlineLevel="0" collapsed="false">
      <c r="A521" s="168"/>
      <c r="B521" s="168"/>
      <c r="C521" s="168"/>
      <c r="D521" s="168"/>
      <c r="E521" s="168"/>
      <c r="F521" s="168"/>
      <c r="G521" s="168"/>
      <c r="H521" s="168"/>
      <c r="I521" s="168"/>
      <c r="J521" s="168"/>
      <c r="K521" s="168"/>
      <c r="L521" s="168"/>
      <c r="M521" s="168"/>
      <c r="N521" s="168"/>
      <c r="O521" s="168"/>
      <c r="P521" s="168"/>
      <c r="Q521" s="168"/>
      <c r="R521" s="168"/>
      <c r="S521" s="168"/>
      <c r="T521" s="168"/>
      <c r="U521" s="168"/>
      <c r="V521" s="168"/>
      <c r="W521" s="168"/>
      <c r="X521" s="168"/>
      <c r="Y521" s="168"/>
      <c r="Z521" s="168"/>
    </row>
    <row r="522" customFormat="false" ht="15.75" hidden="false" customHeight="false" outlineLevel="0" collapsed="false">
      <c r="A522" s="168"/>
      <c r="B522" s="168"/>
      <c r="C522" s="168"/>
      <c r="D522" s="168"/>
      <c r="E522" s="168"/>
      <c r="F522" s="168"/>
      <c r="G522" s="168"/>
      <c r="H522" s="168"/>
      <c r="I522" s="168"/>
      <c r="J522" s="168"/>
      <c r="K522" s="168"/>
      <c r="L522" s="168"/>
      <c r="M522" s="168"/>
      <c r="N522" s="168"/>
      <c r="O522" s="168"/>
      <c r="P522" s="168"/>
      <c r="Q522" s="168"/>
      <c r="R522" s="168"/>
      <c r="S522" s="168"/>
      <c r="T522" s="168"/>
      <c r="U522" s="168"/>
      <c r="V522" s="168"/>
      <c r="W522" s="168"/>
      <c r="X522" s="168"/>
      <c r="Y522" s="168"/>
      <c r="Z522" s="168"/>
    </row>
    <row r="523" customFormat="false" ht="15.75" hidden="false" customHeight="false" outlineLevel="0" collapsed="false">
      <c r="A523" s="168"/>
      <c r="B523" s="168"/>
      <c r="C523" s="168"/>
      <c r="D523" s="168"/>
      <c r="E523" s="168"/>
      <c r="F523" s="168"/>
      <c r="G523" s="168"/>
      <c r="H523" s="168"/>
      <c r="I523" s="168"/>
      <c r="J523" s="168"/>
      <c r="K523" s="168"/>
      <c r="L523" s="168"/>
      <c r="M523" s="168"/>
      <c r="N523" s="168"/>
      <c r="O523" s="168"/>
      <c r="P523" s="168"/>
      <c r="Q523" s="168"/>
      <c r="R523" s="168"/>
      <c r="S523" s="168"/>
      <c r="T523" s="168"/>
      <c r="U523" s="168"/>
      <c r="V523" s="168"/>
      <c r="W523" s="168"/>
      <c r="X523" s="168"/>
      <c r="Y523" s="168"/>
      <c r="Z523" s="168"/>
    </row>
    <row r="524" customFormat="false" ht="15.75" hidden="false" customHeight="false" outlineLevel="0" collapsed="false">
      <c r="A524" s="168"/>
      <c r="B524" s="168"/>
      <c r="C524" s="168"/>
      <c r="D524" s="168"/>
      <c r="E524" s="168"/>
      <c r="F524" s="168"/>
      <c r="G524" s="168"/>
      <c r="H524" s="168"/>
      <c r="I524" s="168"/>
      <c r="J524" s="168"/>
      <c r="K524" s="168"/>
      <c r="L524" s="168"/>
      <c r="M524" s="168"/>
      <c r="N524" s="168"/>
      <c r="O524" s="168"/>
      <c r="P524" s="168"/>
      <c r="Q524" s="168"/>
      <c r="R524" s="168"/>
      <c r="S524" s="168"/>
      <c r="T524" s="168"/>
      <c r="U524" s="168"/>
      <c r="V524" s="168"/>
      <c r="W524" s="168"/>
      <c r="X524" s="168"/>
      <c r="Y524" s="168"/>
      <c r="Z524" s="168"/>
    </row>
    <row r="525" customFormat="false" ht="15.75" hidden="false" customHeight="false" outlineLevel="0" collapsed="false">
      <c r="A525" s="168"/>
      <c r="B525" s="168"/>
      <c r="C525" s="168"/>
      <c r="D525" s="168"/>
      <c r="E525" s="168"/>
      <c r="F525" s="168"/>
      <c r="G525" s="168"/>
      <c r="H525" s="168"/>
      <c r="I525" s="168"/>
      <c r="J525" s="168"/>
      <c r="K525" s="168"/>
      <c r="L525" s="168"/>
      <c r="M525" s="168"/>
      <c r="N525" s="168"/>
      <c r="O525" s="168"/>
      <c r="P525" s="168"/>
      <c r="Q525" s="168"/>
      <c r="R525" s="168"/>
      <c r="S525" s="168"/>
      <c r="T525" s="168"/>
      <c r="U525" s="168"/>
      <c r="V525" s="168"/>
      <c r="W525" s="168"/>
      <c r="X525" s="168"/>
      <c r="Y525" s="168"/>
      <c r="Z525" s="168"/>
    </row>
    <row r="526" customFormat="false" ht="15.75" hidden="false" customHeight="false" outlineLevel="0" collapsed="false">
      <c r="A526" s="168"/>
      <c r="B526" s="168"/>
      <c r="C526" s="168"/>
      <c r="D526" s="168"/>
      <c r="E526" s="168"/>
      <c r="F526" s="168"/>
      <c r="G526" s="168"/>
      <c r="H526" s="168"/>
      <c r="I526" s="168"/>
      <c r="J526" s="168"/>
      <c r="K526" s="168"/>
      <c r="L526" s="168"/>
      <c r="M526" s="168"/>
      <c r="N526" s="168"/>
      <c r="O526" s="168"/>
      <c r="P526" s="168"/>
      <c r="Q526" s="168"/>
      <c r="R526" s="168"/>
      <c r="S526" s="168"/>
      <c r="T526" s="168"/>
      <c r="U526" s="168"/>
      <c r="V526" s="168"/>
      <c r="W526" s="168"/>
      <c r="X526" s="168"/>
      <c r="Y526" s="168"/>
      <c r="Z526" s="168"/>
    </row>
    <row r="527" customFormat="false" ht="15.75" hidden="false" customHeight="false" outlineLevel="0" collapsed="false">
      <c r="A527" s="168"/>
      <c r="B527" s="168"/>
      <c r="C527" s="168"/>
      <c r="D527" s="168"/>
      <c r="E527" s="168"/>
      <c r="F527" s="168"/>
      <c r="G527" s="168"/>
      <c r="H527" s="168"/>
      <c r="I527" s="168"/>
      <c r="J527" s="168"/>
      <c r="K527" s="168"/>
      <c r="L527" s="168"/>
      <c r="M527" s="168"/>
      <c r="N527" s="168"/>
      <c r="O527" s="168"/>
      <c r="P527" s="168"/>
      <c r="Q527" s="168"/>
      <c r="R527" s="168"/>
      <c r="S527" s="168"/>
      <c r="T527" s="168"/>
      <c r="U527" s="168"/>
      <c r="V527" s="168"/>
      <c r="W527" s="168"/>
      <c r="X527" s="168"/>
      <c r="Y527" s="168"/>
      <c r="Z527" s="168"/>
    </row>
    <row r="528" customFormat="false" ht="15.75" hidden="false" customHeight="false" outlineLevel="0" collapsed="false">
      <c r="A528" s="168"/>
      <c r="B528" s="168"/>
      <c r="C528" s="168"/>
      <c r="D528" s="168"/>
      <c r="E528" s="168"/>
      <c r="F528" s="168"/>
      <c r="G528" s="168"/>
      <c r="H528" s="168"/>
      <c r="I528" s="168"/>
      <c r="J528" s="168"/>
      <c r="K528" s="168"/>
      <c r="L528" s="168"/>
      <c r="M528" s="168"/>
      <c r="N528" s="168"/>
      <c r="O528" s="168"/>
      <c r="P528" s="168"/>
      <c r="Q528" s="168"/>
      <c r="R528" s="168"/>
      <c r="S528" s="168"/>
      <c r="T528" s="168"/>
      <c r="U528" s="168"/>
      <c r="V528" s="168"/>
      <c r="W528" s="168"/>
      <c r="X528" s="168"/>
      <c r="Y528" s="168"/>
      <c r="Z528" s="168"/>
    </row>
    <row r="529" customFormat="false" ht="15.75" hidden="false" customHeight="false" outlineLevel="0" collapsed="false">
      <c r="A529" s="168"/>
      <c r="B529" s="168"/>
      <c r="C529" s="168"/>
      <c r="D529" s="168"/>
      <c r="E529" s="168"/>
      <c r="F529" s="168"/>
      <c r="G529" s="168"/>
      <c r="H529" s="168"/>
      <c r="I529" s="168"/>
      <c r="J529" s="168"/>
      <c r="K529" s="168"/>
      <c r="L529" s="168"/>
      <c r="M529" s="168"/>
      <c r="N529" s="168"/>
      <c r="O529" s="168"/>
      <c r="P529" s="168"/>
      <c r="Q529" s="168"/>
      <c r="R529" s="168"/>
      <c r="S529" s="168"/>
      <c r="T529" s="168"/>
      <c r="U529" s="168"/>
      <c r="V529" s="168"/>
      <c r="W529" s="168"/>
      <c r="X529" s="168"/>
      <c r="Y529" s="168"/>
      <c r="Z529" s="168"/>
    </row>
    <row r="530" customFormat="false" ht="15.75" hidden="false" customHeight="false" outlineLevel="0" collapsed="false">
      <c r="A530" s="168"/>
      <c r="B530" s="168"/>
      <c r="C530" s="168"/>
      <c r="D530" s="168"/>
      <c r="E530" s="168"/>
      <c r="F530" s="168"/>
      <c r="G530" s="168"/>
      <c r="H530" s="168"/>
      <c r="I530" s="168"/>
      <c r="J530" s="168"/>
      <c r="K530" s="168"/>
      <c r="L530" s="168"/>
      <c r="M530" s="168"/>
      <c r="N530" s="168"/>
      <c r="O530" s="168"/>
      <c r="P530" s="168"/>
      <c r="Q530" s="168"/>
      <c r="R530" s="168"/>
      <c r="S530" s="168"/>
      <c r="T530" s="168"/>
      <c r="U530" s="168"/>
      <c r="V530" s="168"/>
      <c r="W530" s="168"/>
      <c r="X530" s="168"/>
      <c r="Y530" s="168"/>
      <c r="Z530" s="168"/>
    </row>
    <row r="531" customFormat="false" ht="15.75" hidden="false" customHeight="false" outlineLevel="0" collapsed="false">
      <c r="A531" s="168"/>
      <c r="B531" s="168"/>
      <c r="C531" s="168"/>
      <c r="D531" s="168"/>
      <c r="E531" s="168"/>
      <c r="F531" s="168"/>
      <c r="G531" s="168"/>
      <c r="H531" s="168"/>
      <c r="I531" s="168"/>
      <c r="J531" s="168"/>
      <c r="K531" s="168"/>
      <c r="L531" s="168"/>
      <c r="M531" s="168"/>
      <c r="N531" s="168"/>
      <c r="O531" s="168"/>
      <c r="P531" s="168"/>
      <c r="Q531" s="168"/>
      <c r="R531" s="168"/>
      <c r="S531" s="168"/>
      <c r="T531" s="168"/>
      <c r="U531" s="168"/>
      <c r="V531" s="168"/>
      <c r="W531" s="168"/>
      <c r="X531" s="168"/>
      <c r="Y531" s="168"/>
      <c r="Z531" s="168"/>
    </row>
    <row r="532" customFormat="false" ht="15.75" hidden="false" customHeight="false" outlineLevel="0" collapsed="false">
      <c r="A532" s="168"/>
      <c r="B532" s="168"/>
      <c r="C532" s="168"/>
      <c r="D532" s="168"/>
      <c r="E532" s="168"/>
      <c r="F532" s="168"/>
      <c r="G532" s="168"/>
      <c r="H532" s="168"/>
      <c r="I532" s="168"/>
      <c r="J532" s="168"/>
      <c r="K532" s="168"/>
      <c r="L532" s="168"/>
      <c r="M532" s="168"/>
      <c r="N532" s="168"/>
      <c r="O532" s="168"/>
      <c r="P532" s="168"/>
      <c r="Q532" s="168"/>
      <c r="R532" s="168"/>
      <c r="S532" s="168"/>
      <c r="T532" s="168"/>
      <c r="U532" s="168"/>
      <c r="V532" s="168"/>
      <c r="W532" s="168"/>
      <c r="X532" s="168"/>
      <c r="Y532" s="168"/>
      <c r="Z532" s="168"/>
    </row>
    <row r="533" customFormat="false" ht="15.75" hidden="false" customHeight="false" outlineLevel="0" collapsed="false">
      <c r="A533" s="168"/>
      <c r="B533" s="168"/>
      <c r="C533" s="168"/>
      <c r="D533" s="168"/>
      <c r="E533" s="168"/>
      <c r="F533" s="168"/>
      <c r="G533" s="168"/>
      <c r="H533" s="168"/>
      <c r="I533" s="168"/>
      <c r="J533" s="168"/>
      <c r="K533" s="168"/>
      <c r="L533" s="168"/>
      <c r="M533" s="168"/>
      <c r="N533" s="168"/>
      <c r="O533" s="168"/>
      <c r="P533" s="168"/>
      <c r="Q533" s="168"/>
      <c r="R533" s="168"/>
      <c r="S533" s="168"/>
      <c r="T533" s="168"/>
      <c r="U533" s="168"/>
      <c r="V533" s="168"/>
      <c r="W533" s="168"/>
      <c r="X533" s="168"/>
      <c r="Y533" s="168"/>
      <c r="Z533" s="168"/>
    </row>
    <row r="534" customFormat="false" ht="15.75" hidden="false" customHeight="false" outlineLevel="0" collapsed="false">
      <c r="A534" s="168"/>
      <c r="B534" s="168"/>
      <c r="C534" s="168"/>
      <c r="D534" s="168"/>
      <c r="E534" s="168"/>
      <c r="F534" s="168"/>
      <c r="G534" s="168"/>
      <c r="H534" s="168"/>
      <c r="I534" s="168"/>
      <c r="J534" s="168"/>
      <c r="K534" s="168"/>
      <c r="L534" s="168"/>
      <c r="M534" s="168"/>
      <c r="N534" s="168"/>
      <c r="O534" s="168"/>
      <c r="P534" s="168"/>
      <c r="Q534" s="168"/>
      <c r="R534" s="168"/>
      <c r="S534" s="168"/>
      <c r="T534" s="168"/>
      <c r="U534" s="168"/>
      <c r="V534" s="168"/>
      <c r="W534" s="168"/>
      <c r="X534" s="168"/>
      <c r="Y534" s="168"/>
      <c r="Z534" s="168"/>
    </row>
    <row r="535" customFormat="false" ht="15.75" hidden="false" customHeight="false" outlineLevel="0" collapsed="false">
      <c r="A535" s="168"/>
      <c r="B535" s="168"/>
      <c r="C535" s="168"/>
      <c r="D535" s="168"/>
      <c r="E535" s="168"/>
      <c r="F535" s="168"/>
      <c r="G535" s="168"/>
      <c r="H535" s="168"/>
      <c r="I535" s="168"/>
      <c r="J535" s="168"/>
      <c r="K535" s="168"/>
      <c r="L535" s="168"/>
      <c r="M535" s="168"/>
      <c r="N535" s="168"/>
      <c r="O535" s="168"/>
      <c r="P535" s="168"/>
      <c r="Q535" s="168"/>
      <c r="R535" s="168"/>
      <c r="S535" s="168"/>
      <c r="T535" s="168"/>
      <c r="U535" s="168"/>
      <c r="V535" s="168"/>
      <c r="W535" s="168"/>
      <c r="X535" s="168"/>
      <c r="Y535" s="168"/>
      <c r="Z535" s="168"/>
    </row>
    <row r="536" customFormat="false" ht="15.75" hidden="false" customHeight="false" outlineLevel="0" collapsed="false">
      <c r="A536" s="168"/>
      <c r="B536" s="168"/>
      <c r="C536" s="168"/>
      <c r="D536" s="168"/>
      <c r="E536" s="168"/>
      <c r="F536" s="168"/>
      <c r="G536" s="168"/>
      <c r="H536" s="168"/>
      <c r="I536" s="168"/>
      <c r="J536" s="168"/>
      <c r="K536" s="168"/>
      <c r="L536" s="168"/>
      <c r="M536" s="168"/>
      <c r="N536" s="168"/>
      <c r="O536" s="168"/>
      <c r="P536" s="168"/>
      <c r="Q536" s="168"/>
      <c r="R536" s="168"/>
      <c r="S536" s="168"/>
      <c r="T536" s="168"/>
      <c r="U536" s="168"/>
      <c r="V536" s="168"/>
      <c r="W536" s="168"/>
      <c r="X536" s="168"/>
      <c r="Y536" s="168"/>
      <c r="Z536" s="168"/>
    </row>
    <row r="537" customFormat="false" ht="15.75" hidden="false" customHeight="false" outlineLevel="0" collapsed="false">
      <c r="A537" s="168"/>
      <c r="B537" s="168"/>
      <c r="C537" s="168"/>
      <c r="D537" s="168"/>
      <c r="E537" s="168"/>
      <c r="F537" s="168"/>
      <c r="G537" s="168"/>
      <c r="H537" s="168"/>
      <c r="I537" s="168"/>
      <c r="J537" s="168"/>
      <c r="K537" s="168"/>
      <c r="L537" s="168"/>
      <c r="M537" s="168"/>
      <c r="N537" s="168"/>
      <c r="O537" s="168"/>
      <c r="P537" s="168"/>
      <c r="Q537" s="168"/>
      <c r="R537" s="168"/>
      <c r="S537" s="168"/>
      <c r="T537" s="168"/>
      <c r="U537" s="168"/>
      <c r="V537" s="168"/>
      <c r="W537" s="168"/>
      <c r="X537" s="168"/>
      <c r="Y537" s="168"/>
      <c r="Z537" s="168"/>
    </row>
    <row r="538" customFormat="false" ht="15.75" hidden="false" customHeight="false" outlineLevel="0" collapsed="false">
      <c r="A538" s="168"/>
      <c r="B538" s="168"/>
      <c r="C538" s="168"/>
      <c r="D538" s="168"/>
      <c r="E538" s="168"/>
      <c r="F538" s="168"/>
      <c r="G538" s="168"/>
      <c r="H538" s="168"/>
      <c r="I538" s="168"/>
      <c r="J538" s="168"/>
      <c r="K538" s="168"/>
      <c r="L538" s="168"/>
      <c r="M538" s="168"/>
      <c r="N538" s="168"/>
      <c r="O538" s="168"/>
      <c r="P538" s="168"/>
      <c r="Q538" s="168"/>
      <c r="R538" s="168"/>
      <c r="S538" s="168"/>
      <c r="T538" s="168"/>
      <c r="U538" s="168"/>
      <c r="V538" s="168"/>
      <c r="W538" s="168"/>
      <c r="X538" s="168"/>
      <c r="Y538" s="168"/>
      <c r="Z538" s="168"/>
    </row>
    <row r="539" customFormat="false" ht="15.75" hidden="false" customHeight="false" outlineLevel="0" collapsed="false">
      <c r="A539" s="168"/>
      <c r="B539" s="168"/>
      <c r="C539" s="168"/>
      <c r="D539" s="168"/>
      <c r="E539" s="168"/>
      <c r="F539" s="168"/>
      <c r="G539" s="168"/>
      <c r="H539" s="168"/>
      <c r="I539" s="168"/>
      <c r="J539" s="168"/>
      <c r="K539" s="168"/>
      <c r="L539" s="168"/>
      <c r="M539" s="168"/>
      <c r="N539" s="168"/>
      <c r="O539" s="168"/>
      <c r="P539" s="168"/>
      <c r="Q539" s="168"/>
      <c r="R539" s="168"/>
      <c r="S539" s="168"/>
      <c r="T539" s="168"/>
      <c r="U539" s="168"/>
      <c r="V539" s="168"/>
      <c r="W539" s="168"/>
      <c r="X539" s="168"/>
      <c r="Y539" s="168"/>
      <c r="Z539" s="168"/>
    </row>
    <row r="540" customFormat="false" ht="15.75" hidden="false" customHeight="false" outlineLevel="0" collapsed="false">
      <c r="A540" s="168"/>
      <c r="B540" s="168"/>
      <c r="C540" s="168"/>
      <c r="D540" s="168"/>
      <c r="E540" s="168"/>
      <c r="F540" s="168"/>
      <c r="G540" s="168"/>
      <c r="H540" s="168"/>
      <c r="I540" s="168"/>
      <c r="J540" s="168"/>
      <c r="K540" s="168"/>
      <c r="L540" s="168"/>
      <c r="M540" s="168"/>
      <c r="N540" s="168"/>
      <c r="O540" s="168"/>
      <c r="P540" s="168"/>
      <c r="Q540" s="168"/>
      <c r="R540" s="168"/>
      <c r="S540" s="168"/>
      <c r="T540" s="168"/>
      <c r="U540" s="168"/>
      <c r="V540" s="168"/>
      <c r="W540" s="168"/>
      <c r="X540" s="168"/>
      <c r="Y540" s="168"/>
      <c r="Z540" s="168"/>
    </row>
    <row r="541" customFormat="false" ht="15.75" hidden="false" customHeight="false" outlineLevel="0" collapsed="false">
      <c r="A541" s="168"/>
      <c r="B541" s="168"/>
      <c r="C541" s="168"/>
      <c r="D541" s="168"/>
      <c r="E541" s="168"/>
      <c r="F541" s="168"/>
      <c r="G541" s="168"/>
      <c r="H541" s="168"/>
      <c r="I541" s="168"/>
      <c r="J541" s="168"/>
      <c r="K541" s="168"/>
      <c r="L541" s="168"/>
      <c r="M541" s="168"/>
      <c r="N541" s="168"/>
      <c r="O541" s="168"/>
      <c r="P541" s="168"/>
      <c r="Q541" s="168"/>
      <c r="R541" s="168"/>
      <c r="S541" s="168"/>
      <c r="T541" s="168"/>
      <c r="U541" s="168"/>
      <c r="V541" s="168"/>
      <c r="W541" s="168"/>
      <c r="X541" s="168"/>
      <c r="Y541" s="168"/>
      <c r="Z541" s="168"/>
    </row>
    <row r="542" customFormat="false" ht="15.75" hidden="false" customHeight="false" outlineLevel="0" collapsed="false">
      <c r="A542" s="168"/>
      <c r="B542" s="168"/>
      <c r="C542" s="168"/>
      <c r="D542" s="168"/>
      <c r="E542" s="168"/>
      <c r="F542" s="168"/>
      <c r="G542" s="168"/>
      <c r="H542" s="168"/>
      <c r="I542" s="168"/>
      <c r="J542" s="168"/>
      <c r="K542" s="168"/>
      <c r="L542" s="168"/>
      <c r="M542" s="168"/>
      <c r="N542" s="168"/>
      <c r="O542" s="168"/>
      <c r="P542" s="168"/>
      <c r="Q542" s="168"/>
      <c r="R542" s="168"/>
      <c r="S542" s="168"/>
      <c r="T542" s="168"/>
      <c r="U542" s="168"/>
      <c r="V542" s="168"/>
      <c r="W542" s="168"/>
      <c r="X542" s="168"/>
      <c r="Y542" s="168"/>
      <c r="Z542" s="168"/>
    </row>
    <row r="543" customFormat="false" ht="15.75" hidden="false" customHeight="false" outlineLevel="0" collapsed="false">
      <c r="A543" s="168"/>
      <c r="B543" s="168"/>
      <c r="C543" s="168"/>
      <c r="D543" s="168"/>
      <c r="E543" s="168"/>
      <c r="F543" s="168"/>
      <c r="G543" s="168"/>
      <c r="H543" s="168"/>
      <c r="I543" s="168"/>
      <c r="J543" s="168"/>
      <c r="K543" s="168"/>
      <c r="L543" s="168"/>
      <c r="M543" s="168"/>
      <c r="N543" s="168"/>
      <c r="O543" s="168"/>
      <c r="P543" s="168"/>
      <c r="Q543" s="168"/>
      <c r="R543" s="168"/>
      <c r="S543" s="168"/>
      <c r="T543" s="168"/>
      <c r="U543" s="168"/>
      <c r="V543" s="168"/>
      <c r="W543" s="168"/>
      <c r="X543" s="168"/>
      <c r="Y543" s="168"/>
      <c r="Z543" s="168"/>
    </row>
    <row r="544" customFormat="false" ht="15.75" hidden="false" customHeight="false" outlineLevel="0" collapsed="false">
      <c r="A544" s="168"/>
      <c r="B544" s="168"/>
      <c r="C544" s="168"/>
      <c r="D544" s="168"/>
      <c r="E544" s="168"/>
      <c r="F544" s="168"/>
      <c r="G544" s="168"/>
      <c r="H544" s="168"/>
      <c r="I544" s="168"/>
      <c r="J544" s="168"/>
      <c r="K544" s="168"/>
      <c r="L544" s="168"/>
      <c r="M544" s="168"/>
      <c r="N544" s="168"/>
      <c r="O544" s="168"/>
      <c r="P544" s="168"/>
      <c r="Q544" s="168"/>
      <c r="R544" s="168"/>
      <c r="S544" s="168"/>
      <c r="T544" s="168"/>
      <c r="U544" s="168"/>
      <c r="V544" s="168"/>
      <c r="W544" s="168"/>
      <c r="X544" s="168"/>
      <c r="Y544" s="168"/>
      <c r="Z544" s="168"/>
    </row>
    <row r="545" customFormat="false" ht="15.75" hidden="false" customHeight="false" outlineLevel="0" collapsed="false">
      <c r="A545" s="168"/>
      <c r="B545" s="168"/>
      <c r="C545" s="168"/>
      <c r="D545" s="168"/>
      <c r="E545" s="168"/>
      <c r="F545" s="168"/>
      <c r="G545" s="168"/>
      <c r="H545" s="168"/>
      <c r="I545" s="168"/>
      <c r="J545" s="168"/>
      <c r="K545" s="168"/>
      <c r="L545" s="168"/>
      <c r="M545" s="168"/>
      <c r="N545" s="168"/>
      <c r="O545" s="168"/>
      <c r="P545" s="168"/>
      <c r="Q545" s="168"/>
      <c r="R545" s="168"/>
      <c r="S545" s="168"/>
      <c r="T545" s="168"/>
      <c r="U545" s="168"/>
      <c r="V545" s="168"/>
      <c r="W545" s="168"/>
      <c r="X545" s="168"/>
      <c r="Y545" s="168"/>
      <c r="Z545" s="168"/>
    </row>
    <row r="546" customFormat="false" ht="15.75" hidden="false" customHeight="false" outlineLevel="0" collapsed="false">
      <c r="A546" s="168"/>
      <c r="B546" s="168"/>
      <c r="C546" s="168"/>
      <c r="D546" s="168"/>
      <c r="E546" s="168"/>
      <c r="F546" s="168"/>
      <c r="G546" s="168"/>
      <c r="H546" s="168"/>
      <c r="I546" s="168"/>
      <c r="J546" s="168"/>
      <c r="K546" s="168"/>
      <c r="L546" s="168"/>
      <c r="M546" s="168"/>
      <c r="N546" s="168"/>
      <c r="O546" s="168"/>
      <c r="P546" s="168"/>
      <c r="Q546" s="168"/>
      <c r="R546" s="168"/>
      <c r="S546" s="168"/>
      <c r="T546" s="168"/>
      <c r="U546" s="168"/>
      <c r="V546" s="168"/>
      <c r="W546" s="168"/>
      <c r="X546" s="168"/>
      <c r="Y546" s="168"/>
      <c r="Z546" s="168"/>
    </row>
    <row r="547" customFormat="false" ht="15.75" hidden="false" customHeight="false" outlineLevel="0" collapsed="false">
      <c r="A547" s="168"/>
      <c r="B547" s="168"/>
      <c r="C547" s="168"/>
      <c r="D547" s="168"/>
      <c r="E547" s="168"/>
      <c r="F547" s="168"/>
      <c r="G547" s="168"/>
      <c r="H547" s="168"/>
      <c r="I547" s="168"/>
      <c r="J547" s="168"/>
      <c r="K547" s="168"/>
      <c r="L547" s="168"/>
      <c r="M547" s="168"/>
      <c r="N547" s="168"/>
      <c r="O547" s="168"/>
      <c r="P547" s="168"/>
      <c r="Q547" s="168"/>
      <c r="R547" s="168"/>
      <c r="S547" s="168"/>
      <c r="T547" s="168"/>
      <c r="U547" s="168"/>
      <c r="V547" s="168"/>
      <c r="W547" s="168"/>
      <c r="X547" s="168"/>
      <c r="Y547" s="168"/>
      <c r="Z547" s="168"/>
    </row>
    <row r="548" customFormat="false" ht="15.75" hidden="false" customHeight="false" outlineLevel="0" collapsed="false">
      <c r="A548" s="168"/>
      <c r="B548" s="168"/>
      <c r="C548" s="168"/>
      <c r="D548" s="168"/>
      <c r="E548" s="168"/>
      <c r="F548" s="168"/>
      <c r="G548" s="168"/>
      <c r="H548" s="168"/>
      <c r="I548" s="168"/>
      <c r="J548" s="168"/>
      <c r="K548" s="168"/>
      <c r="L548" s="168"/>
      <c r="M548" s="168"/>
      <c r="N548" s="168"/>
      <c r="O548" s="168"/>
      <c r="P548" s="168"/>
      <c r="Q548" s="168"/>
      <c r="R548" s="168"/>
      <c r="S548" s="168"/>
      <c r="T548" s="168"/>
      <c r="U548" s="168"/>
      <c r="V548" s="168"/>
      <c r="W548" s="168"/>
      <c r="X548" s="168"/>
      <c r="Y548" s="168"/>
      <c r="Z548" s="168"/>
    </row>
    <row r="549" customFormat="false" ht="15.75" hidden="false" customHeight="false" outlineLevel="0" collapsed="false">
      <c r="A549" s="168"/>
      <c r="B549" s="168"/>
      <c r="C549" s="168"/>
      <c r="D549" s="168"/>
      <c r="E549" s="168"/>
      <c r="F549" s="168"/>
      <c r="G549" s="168"/>
      <c r="H549" s="168"/>
      <c r="I549" s="168"/>
      <c r="J549" s="168"/>
      <c r="K549" s="168"/>
      <c r="L549" s="168"/>
      <c r="M549" s="168"/>
      <c r="N549" s="168"/>
      <c r="O549" s="168"/>
      <c r="P549" s="168"/>
      <c r="Q549" s="168"/>
      <c r="R549" s="168"/>
      <c r="S549" s="168"/>
      <c r="T549" s="168"/>
      <c r="U549" s="168"/>
      <c r="V549" s="168"/>
      <c r="W549" s="168"/>
      <c r="X549" s="168"/>
      <c r="Y549" s="168"/>
      <c r="Z549" s="168"/>
    </row>
    <row r="550" customFormat="false" ht="15.75" hidden="false" customHeight="false" outlineLevel="0" collapsed="false">
      <c r="A550" s="168"/>
      <c r="B550" s="168"/>
      <c r="C550" s="168"/>
      <c r="D550" s="168"/>
      <c r="E550" s="168"/>
      <c r="F550" s="168"/>
      <c r="G550" s="168"/>
      <c r="H550" s="168"/>
      <c r="I550" s="168"/>
      <c r="J550" s="168"/>
      <c r="K550" s="168"/>
      <c r="L550" s="168"/>
      <c r="M550" s="168"/>
      <c r="N550" s="168"/>
      <c r="O550" s="168"/>
      <c r="P550" s="168"/>
      <c r="Q550" s="168"/>
      <c r="R550" s="168"/>
      <c r="S550" s="168"/>
      <c r="T550" s="168"/>
      <c r="U550" s="168"/>
      <c r="V550" s="168"/>
      <c r="W550" s="168"/>
      <c r="X550" s="168"/>
      <c r="Y550" s="168"/>
      <c r="Z550" s="168"/>
    </row>
    <row r="551" customFormat="false" ht="15.75" hidden="false" customHeight="false" outlineLevel="0" collapsed="false">
      <c r="A551" s="168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</row>
    <row r="552" customFormat="false" ht="15.75" hidden="false" customHeight="false" outlineLevel="0" collapsed="false">
      <c r="A552" s="168"/>
      <c r="B552" s="168"/>
      <c r="C552" s="168"/>
      <c r="D552" s="168"/>
      <c r="E552" s="168"/>
      <c r="F552" s="168"/>
      <c r="G552" s="168"/>
      <c r="H552" s="168"/>
      <c r="I552" s="168"/>
      <c r="J552" s="168"/>
      <c r="K552" s="168"/>
      <c r="L552" s="168"/>
      <c r="M552" s="168"/>
      <c r="N552" s="168"/>
      <c r="O552" s="168"/>
      <c r="P552" s="168"/>
      <c r="Q552" s="168"/>
      <c r="R552" s="168"/>
      <c r="S552" s="168"/>
      <c r="T552" s="168"/>
      <c r="U552" s="168"/>
      <c r="V552" s="168"/>
      <c r="W552" s="168"/>
      <c r="X552" s="168"/>
      <c r="Y552" s="168"/>
      <c r="Z552" s="168"/>
    </row>
    <row r="553" customFormat="false" ht="15.75" hidden="false" customHeight="false" outlineLevel="0" collapsed="false">
      <c r="A553" s="168"/>
      <c r="B553" s="168"/>
      <c r="C553" s="168"/>
      <c r="D553" s="168"/>
      <c r="E553" s="168"/>
      <c r="F553" s="168"/>
      <c r="G553" s="168"/>
      <c r="H553" s="168"/>
      <c r="I553" s="168"/>
      <c r="J553" s="168"/>
      <c r="K553" s="168"/>
      <c r="L553" s="168"/>
      <c r="M553" s="168"/>
      <c r="N553" s="168"/>
      <c r="O553" s="168"/>
      <c r="P553" s="168"/>
      <c r="Q553" s="168"/>
      <c r="R553" s="168"/>
      <c r="S553" s="168"/>
      <c r="T553" s="168"/>
      <c r="U553" s="168"/>
      <c r="V553" s="168"/>
      <c r="W553" s="168"/>
      <c r="X553" s="168"/>
      <c r="Y553" s="168"/>
      <c r="Z553" s="168"/>
    </row>
    <row r="554" customFormat="false" ht="15.75" hidden="false" customHeight="false" outlineLevel="0" collapsed="false">
      <c r="A554" s="168"/>
      <c r="B554" s="168"/>
      <c r="C554" s="168"/>
      <c r="D554" s="168"/>
      <c r="E554" s="168"/>
      <c r="F554" s="168"/>
      <c r="G554" s="168"/>
      <c r="H554" s="168"/>
      <c r="I554" s="168"/>
      <c r="J554" s="168"/>
      <c r="K554" s="168"/>
      <c r="L554" s="168"/>
      <c r="M554" s="168"/>
      <c r="N554" s="168"/>
      <c r="O554" s="168"/>
      <c r="P554" s="168"/>
      <c r="Q554" s="168"/>
      <c r="R554" s="168"/>
      <c r="S554" s="168"/>
      <c r="T554" s="168"/>
      <c r="U554" s="168"/>
      <c r="V554" s="168"/>
      <c r="W554" s="168"/>
      <c r="X554" s="168"/>
      <c r="Y554" s="168"/>
      <c r="Z554" s="168"/>
    </row>
    <row r="555" customFormat="false" ht="15.75" hidden="false" customHeight="false" outlineLevel="0" collapsed="false">
      <c r="A555" s="168"/>
      <c r="B555" s="168"/>
      <c r="C555" s="168"/>
      <c r="D555" s="168"/>
      <c r="E555" s="168"/>
      <c r="F555" s="168"/>
      <c r="G555" s="168"/>
      <c r="H555" s="168"/>
      <c r="I555" s="168"/>
      <c r="J555" s="168"/>
      <c r="K555" s="168"/>
      <c r="L555" s="168"/>
      <c r="M555" s="168"/>
      <c r="N555" s="168"/>
      <c r="O555" s="168"/>
      <c r="P555" s="168"/>
      <c r="Q555" s="168"/>
      <c r="R555" s="168"/>
      <c r="S555" s="168"/>
      <c r="T555" s="168"/>
      <c r="U555" s="168"/>
      <c r="V555" s="168"/>
      <c r="W555" s="168"/>
      <c r="X555" s="168"/>
      <c r="Y555" s="168"/>
      <c r="Z555" s="168"/>
    </row>
    <row r="556" customFormat="false" ht="15.75" hidden="false" customHeight="false" outlineLevel="0" collapsed="false">
      <c r="A556" s="168"/>
      <c r="B556" s="168"/>
      <c r="C556" s="168"/>
      <c r="D556" s="168"/>
      <c r="E556" s="168"/>
      <c r="F556" s="168"/>
      <c r="G556" s="168"/>
      <c r="H556" s="168"/>
      <c r="I556" s="168"/>
      <c r="J556" s="168"/>
      <c r="K556" s="168"/>
      <c r="L556" s="168"/>
      <c r="M556" s="168"/>
      <c r="N556" s="168"/>
      <c r="O556" s="168"/>
      <c r="P556" s="168"/>
      <c r="Q556" s="168"/>
      <c r="R556" s="168"/>
      <c r="S556" s="168"/>
      <c r="T556" s="168"/>
      <c r="U556" s="168"/>
      <c r="V556" s="168"/>
      <c r="W556" s="168"/>
      <c r="X556" s="168"/>
      <c r="Y556" s="168"/>
      <c r="Z556" s="168"/>
    </row>
    <row r="557" customFormat="false" ht="15.75" hidden="false" customHeight="false" outlineLevel="0" collapsed="false">
      <c r="A557" s="168"/>
      <c r="B557" s="168"/>
      <c r="C557" s="168"/>
      <c r="D557" s="168"/>
      <c r="E557" s="168"/>
      <c r="F557" s="168"/>
      <c r="G557" s="168"/>
      <c r="H557" s="168"/>
      <c r="I557" s="168"/>
      <c r="J557" s="168"/>
      <c r="K557" s="168"/>
      <c r="L557" s="168"/>
      <c r="M557" s="168"/>
      <c r="N557" s="168"/>
      <c r="O557" s="168"/>
      <c r="P557" s="168"/>
      <c r="Q557" s="168"/>
      <c r="R557" s="168"/>
      <c r="S557" s="168"/>
      <c r="T557" s="168"/>
      <c r="U557" s="168"/>
      <c r="V557" s="168"/>
      <c r="W557" s="168"/>
      <c r="X557" s="168"/>
      <c r="Y557" s="168"/>
      <c r="Z557" s="168"/>
    </row>
    <row r="558" customFormat="false" ht="15.75" hidden="false" customHeight="false" outlineLevel="0" collapsed="false">
      <c r="A558" s="168"/>
      <c r="B558" s="168"/>
      <c r="C558" s="168"/>
      <c r="D558" s="168"/>
      <c r="E558" s="168"/>
      <c r="F558" s="168"/>
      <c r="G558" s="168"/>
      <c r="H558" s="168"/>
      <c r="I558" s="168"/>
      <c r="J558" s="168"/>
      <c r="K558" s="168"/>
      <c r="L558" s="168"/>
      <c r="M558" s="168"/>
      <c r="N558" s="168"/>
      <c r="O558" s="168"/>
      <c r="P558" s="168"/>
      <c r="Q558" s="168"/>
      <c r="R558" s="168"/>
      <c r="S558" s="168"/>
      <c r="T558" s="168"/>
      <c r="U558" s="168"/>
      <c r="V558" s="168"/>
      <c r="W558" s="168"/>
      <c r="X558" s="168"/>
      <c r="Y558" s="168"/>
      <c r="Z558" s="168"/>
    </row>
    <row r="559" customFormat="false" ht="15.75" hidden="false" customHeight="false" outlineLevel="0" collapsed="false">
      <c r="A559" s="168"/>
      <c r="B559" s="168"/>
      <c r="C559" s="168"/>
      <c r="D559" s="168"/>
      <c r="E559" s="168"/>
      <c r="F559" s="168"/>
      <c r="G559" s="168"/>
      <c r="H559" s="168"/>
      <c r="I559" s="168"/>
      <c r="J559" s="168"/>
      <c r="K559" s="168"/>
      <c r="L559" s="168"/>
      <c r="M559" s="168"/>
      <c r="N559" s="168"/>
      <c r="O559" s="168"/>
      <c r="P559" s="168"/>
      <c r="Q559" s="168"/>
      <c r="R559" s="168"/>
      <c r="S559" s="168"/>
      <c r="T559" s="168"/>
      <c r="U559" s="168"/>
      <c r="V559" s="168"/>
      <c r="W559" s="168"/>
      <c r="X559" s="168"/>
      <c r="Y559" s="168"/>
      <c r="Z559" s="168"/>
    </row>
    <row r="560" customFormat="false" ht="15.75" hidden="false" customHeight="false" outlineLevel="0" collapsed="false">
      <c r="A560" s="168"/>
      <c r="B560" s="168"/>
      <c r="C560" s="168"/>
      <c r="D560" s="168"/>
      <c r="E560" s="168"/>
      <c r="F560" s="168"/>
      <c r="G560" s="168"/>
      <c r="H560" s="168"/>
      <c r="I560" s="168"/>
      <c r="J560" s="168"/>
      <c r="K560" s="168"/>
      <c r="L560" s="168"/>
      <c r="M560" s="168"/>
      <c r="N560" s="168"/>
      <c r="O560" s="168"/>
      <c r="P560" s="168"/>
      <c r="Q560" s="168"/>
      <c r="R560" s="168"/>
      <c r="S560" s="168"/>
      <c r="T560" s="168"/>
      <c r="U560" s="168"/>
      <c r="V560" s="168"/>
      <c r="W560" s="168"/>
      <c r="X560" s="168"/>
      <c r="Y560" s="168"/>
      <c r="Z560" s="168"/>
    </row>
    <row r="561" customFormat="false" ht="15.75" hidden="false" customHeight="false" outlineLevel="0" collapsed="false">
      <c r="A561" s="168"/>
      <c r="B561" s="168"/>
      <c r="C561" s="168"/>
      <c r="D561" s="168"/>
      <c r="E561" s="168"/>
      <c r="F561" s="168"/>
      <c r="G561" s="168"/>
      <c r="H561" s="168"/>
      <c r="I561" s="168"/>
      <c r="J561" s="168"/>
      <c r="K561" s="168"/>
      <c r="L561" s="168"/>
      <c r="M561" s="168"/>
      <c r="N561" s="168"/>
      <c r="O561" s="168"/>
      <c r="P561" s="168"/>
      <c r="Q561" s="168"/>
      <c r="R561" s="168"/>
      <c r="S561" s="168"/>
      <c r="T561" s="168"/>
      <c r="U561" s="168"/>
      <c r="V561" s="168"/>
      <c r="W561" s="168"/>
      <c r="X561" s="168"/>
      <c r="Y561" s="168"/>
      <c r="Z561" s="168"/>
    </row>
    <row r="562" customFormat="false" ht="15.75" hidden="false" customHeight="false" outlineLevel="0" collapsed="false">
      <c r="A562" s="168"/>
      <c r="B562" s="168"/>
      <c r="C562" s="168"/>
      <c r="D562" s="168"/>
      <c r="E562" s="168"/>
      <c r="F562" s="168"/>
      <c r="G562" s="168"/>
      <c r="H562" s="168"/>
      <c r="I562" s="168"/>
      <c r="J562" s="168"/>
      <c r="K562" s="168"/>
      <c r="L562" s="168"/>
      <c r="M562" s="168"/>
      <c r="N562" s="168"/>
      <c r="O562" s="168"/>
      <c r="P562" s="168"/>
      <c r="Q562" s="168"/>
      <c r="R562" s="168"/>
      <c r="S562" s="168"/>
      <c r="T562" s="168"/>
      <c r="U562" s="168"/>
      <c r="V562" s="168"/>
      <c r="W562" s="168"/>
      <c r="X562" s="168"/>
      <c r="Y562" s="168"/>
      <c r="Z562" s="168"/>
    </row>
    <row r="563" customFormat="false" ht="15.75" hidden="false" customHeight="false" outlineLevel="0" collapsed="false">
      <c r="A563" s="168"/>
      <c r="B563" s="168"/>
      <c r="C563" s="168"/>
      <c r="D563" s="168"/>
      <c r="E563" s="168"/>
      <c r="F563" s="168"/>
      <c r="G563" s="168"/>
      <c r="H563" s="168"/>
      <c r="I563" s="168"/>
      <c r="J563" s="168"/>
      <c r="K563" s="168"/>
      <c r="L563" s="168"/>
      <c r="M563" s="168"/>
      <c r="N563" s="168"/>
      <c r="O563" s="168"/>
      <c r="P563" s="168"/>
      <c r="Q563" s="168"/>
      <c r="R563" s="168"/>
      <c r="S563" s="168"/>
      <c r="T563" s="168"/>
      <c r="U563" s="168"/>
      <c r="V563" s="168"/>
      <c r="W563" s="168"/>
      <c r="X563" s="168"/>
      <c r="Y563" s="168"/>
      <c r="Z563" s="168"/>
    </row>
    <row r="564" customFormat="false" ht="15.75" hidden="false" customHeight="false" outlineLevel="0" collapsed="false">
      <c r="A564" s="168"/>
      <c r="B564" s="168"/>
      <c r="C564" s="168"/>
      <c r="D564" s="168"/>
      <c r="E564" s="168"/>
      <c r="F564" s="168"/>
      <c r="G564" s="168"/>
      <c r="H564" s="168"/>
      <c r="I564" s="168"/>
      <c r="J564" s="168"/>
      <c r="K564" s="168"/>
      <c r="L564" s="168"/>
      <c r="M564" s="168"/>
      <c r="N564" s="168"/>
      <c r="O564" s="168"/>
      <c r="P564" s="168"/>
      <c r="Q564" s="168"/>
      <c r="R564" s="168"/>
      <c r="S564" s="168"/>
      <c r="T564" s="168"/>
      <c r="U564" s="168"/>
      <c r="V564" s="168"/>
      <c r="W564" s="168"/>
      <c r="X564" s="168"/>
      <c r="Y564" s="168"/>
      <c r="Z564" s="168"/>
    </row>
    <row r="565" customFormat="false" ht="15.75" hidden="false" customHeight="false" outlineLevel="0" collapsed="false">
      <c r="A565" s="168"/>
      <c r="B565" s="168"/>
      <c r="C565" s="168"/>
      <c r="D565" s="168"/>
      <c r="E565" s="168"/>
      <c r="F565" s="168"/>
      <c r="G565" s="168"/>
      <c r="H565" s="168"/>
      <c r="I565" s="168"/>
      <c r="J565" s="168"/>
      <c r="K565" s="168"/>
      <c r="L565" s="168"/>
      <c r="M565" s="168"/>
      <c r="N565" s="168"/>
      <c r="O565" s="168"/>
      <c r="P565" s="168"/>
      <c r="Q565" s="168"/>
      <c r="R565" s="168"/>
      <c r="S565" s="168"/>
      <c r="T565" s="168"/>
      <c r="U565" s="168"/>
      <c r="V565" s="168"/>
      <c r="W565" s="168"/>
      <c r="X565" s="168"/>
      <c r="Y565" s="168"/>
      <c r="Z565" s="168"/>
    </row>
    <row r="566" customFormat="false" ht="15.75" hidden="false" customHeight="false" outlineLevel="0" collapsed="false">
      <c r="A566" s="168"/>
      <c r="B566" s="168"/>
      <c r="C566" s="168"/>
      <c r="D566" s="168"/>
      <c r="E566" s="168"/>
      <c r="F566" s="168"/>
      <c r="G566" s="168"/>
      <c r="H566" s="168"/>
      <c r="I566" s="168"/>
      <c r="J566" s="168"/>
      <c r="K566" s="168"/>
      <c r="L566" s="168"/>
      <c r="M566" s="168"/>
      <c r="N566" s="168"/>
      <c r="O566" s="168"/>
      <c r="P566" s="168"/>
      <c r="Q566" s="168"/>
      <c r="R566" s="168"/>
      <c r="S566" s="168"/>
      <c r="T566" s="168"/>
      <c r="U566" s="168"/>
      <c r="V566" s="168"/>
      <c r="W566" s="168"/>
      <c r="X566" s="168"/>
      <c r="Y566" s="168"/>
      <c r="Z566" s="168"/>
    </row>
    <row r="567" customFormat="false" ht="15.75" hidden="false" customHeight="false" outlineLevel="0" collapsed="false">
      <c r="A567" s="168"/>
      <c r="B567" s="168"/>
      <c r="C567" s="168"/>
      <c r="D567" s="168"/>
      <c r="E567" s="168"/>
      <c r="F567" s="168"/>
      <c r="G567" s="168"/>
      <c r="H567" s="168"/>
      <c r="I567" s="168"/>
      <c r="J567" s="168"/>
      <c r="K567" s="168"/>
      <c r="L567" s="168"/>
      <c r="M567" s="168"/>
      <c r="N567" s="168"/>
      <c r="O567" s="168"/>
      <c r="P567" s="168"/>
      <c r="Q567" s="168"/>
      <c r="R567" s="168"/>
      <c r="S567" s="168"/>
      <c r="T567" s="168"/>
      <c r="U567" s="168"/>
      <c r="V567" s="168"/>
      <c r="W567" s="168"/>
      <c r="X567" s="168"/>
      <c r="Y567" s="168"/>
      <c r="Z567" s="168"/>
    </row>
    <row r="568" customFormat="false" ht="15.75" hidden="false" customHeight="false" outlineLevel="0" collapsed="false">
      <c r="A568" s="168"/>
      <c r="B568" s="168"/>
      <c r="C568" s="168"/>
      <c r="D568" s="168"/>
      <c r="E568" s="168"/>
      <c r="F568" s="168"/>
      <c r="G568" s="168"/>
      <c r="H568" s="168"/>
      <c r="I568" s="168"/>
      <c r="J568" s="168"/>
      <c r="K568" s="168"/>
      <c r="L568" s="168"/>
      <c r="M568" s="168"/>
      <c r="N568" s="168"/>
      <c r="O568" s="168"/>
      <c r="P568" s="168"/>
      <c r="Q568" s="168"/>
      <c r="R568" s="168"/>
      <c r="S568" s="168"/>
      <c r="T568" s="168"/>
      <c r="U568" s="168"/>
      <c r="V568" s="168"/>
      <c r="W568" s="168"/>
      <c r="X568" s="168"/>
      <c r="Y568" s="168"/>
      <c r="Z568" s="168"/>
    </row>
    <row r="569" customFormat="false" ht="15.75" hidden="false" customHeight="false" outlineLevel="0" collapsed="false">
      <c r="A569" s="168"/>
      <c r="B569" s="168"/>
      <c r="C569" s="168"/>
      <c r="D569" s="168"/>
      <c r="E569" s="168"/>
      <c r="F569" s="168"/>
      <c r="G569" s="168"/>
      <c r="H569" s="168"/>
      <c r="I569" s="168"/>
      <c r="J569" s="168"/>
      <c r="K569" s="168"/>
      <c r="L569" s="168"/>
      <c r="M569" s="168"/>
      <c r="N569" s="168"/>
      <c r="O569" s="168"/>
      <c r="P569" s="168"/>
      <c r="Q569" s="168"/>
      <c r="R569" s="168"/>
      <c r="S569" s="168"/>
      <c r="T569" s="168"/>
      <c r="U569" s="168"/>
      <c r="V569" s="168"/>
      <c r="W569" s="168"/>
      <c r="X569" s="168"/>
      <c r="Y569" s="168"/>
      <c r="Z569" s="168"/>
    </row>
    <row r="570" customFormat="false" ht="15.75" hidden="false" customHeight="false" outlineLevel="0" collapsed="false">
      <c r="A570" s="168"/>
      <c r="B570" s="168"/>
      <c r="C570" s="168"/>
      <c r="D570" s="168"/>
      <c r="E570" s="168"/>
      <c r="F570" s="168"/>
      <c r="G570" s="168"/>
      <c r="H570" s="168"/>
      <c r="I570" s="168"/>
      <c r="J570" s="168"/>
      <c r="K570" s="168"/>
      <c r="L570" s="168"/>
      <c r="M570" s="168"/>
      <c r="N570" s="168"/>
      <c r="O570" s="168"/>
      <c r="P570" s="168"/>
      <c r="Q570" s="168"/>
      <c r="R570" s="168"/>
      <c r="S570" s="168"/>
      <c r="T570" s="168"/>
      <c r="U570" s="168"/>
      <c r="V570" s="168"/>
      <c r="W570" s="168"/>
      <c r="X570" s="168"/>
      <c r="Y570" s="168"/>
      <c r="Z570" s="168"/>
    </row>
    <row r="571" customFormat="false" ht="15.75" hidden="false" customHeight="false" outlineLevel="0" collapsed="false">
      <c r="A571" s="168"/>
      <c r="B571" s="168"/>
      <c r="C571" s="168"/>
      <c r="D571" s="168"/>
      <c r="E571" s="168"/>
      <c r="F571" s="168"/>
      <c r="G571" s="168"/>
      <c r="H571" s="168"/>
      <c r="I571" s="168"/>
      <c r="J571" s="168"/>
      <c r="K571" s="168"/>
      <c r="L571" s="168"/>
      <c r="M571" s="168"/>
      <c r="N571" s="168"/>
      <c r="O571" s="168"/>
      <c r="P571" s="168"/>
      <c r="Q571" s="168"/>
      <c r="R571" s="168"/>
      <c r="S571" s="168"/>
      <c r="T571" s="168"/>
      <c r="U571" s="168"/>
      <c r="V571" s="168"/>
      <c r="W571" s="168"/>
      <c r="X571" s="168"/>
      <c r="Y571" s="168"/>
      <c r="Z571" s="168"/>
    </row>
    <row r="572" customFormat="false" ht="15.75" hidden="false" customHeight="false" outlineLevel="0" collapsed="false">
      <c r="A572" s="168"/>
      <c r="B572" s="168"/>
      <c r="C572" s="168"/>
      <c r="D572" s="168"/>
      <c r="E572" s="168"/>
      <c r="F572" s="168"/>
      <c r="G572" s="168"/>
      <c r="H572" s="168"/>
      <c r="I572" s="168"/>
      <c r="J572" s="168"/>
      <c r="K572" s="168"/>
      <c r="L572" s="168"/>
      <c r="M572" s="168"/>
      <c r="N572" s="168"/>
      <c r="O572" s="168"/>
      <c r="P572" s="168"/>
      <c r="Q572" s="168"/>
      <c r="R572" s="168"/>
      <c r="S572" s="168"/>
      <c r="T572" s="168"/>
      <c r="U572" s="168"/>
      <c r="V572" s="168"/>
      <c r="W572" s="168"/>
      <c r="X572" s="168"/>
      <c r="Y572" s="168"/>
      <c r="Z572" s="168"/>
    </row>
    <row r="573" customFormat="false" ht="15.75" hidden="false" customHeight="false" outlineLevel="0" collapsed="false">
      <c r="A573" s="168"/>
      <c r="B573" s="168"/>
      <c r="C573" s="168"/>
      <c r="D573" s="168"/>
      <c r="E573" s="168"/>
      <c r="F573" s="168"/>
      <c r="G573" s="168"/>
      <c r="H573" s="168"/>
      <c r="I573" s="168"/>
      <c r="J573" s="168"/>
      <c r="K573" s="168"/>
      <c r="L573" s="168"/>
      <c r="M573" s="168"/>
      <c r="N573" s="168"/>
      <c r="O573" s="168"/>
      <c r="P573" s="168"/>
      <c r="Q573" s="168"/>
      <c r="R573" s="168"/>
      <c r="S573" s="168"/>
      <c r="T573" s="168"/>
      <c r="U573" s="168"/>
      <c r="V573" s="168"/>
      <c r="W573" s="168"/>
      <c r="X573" s="168"/>
      <c r="Y573" s="168"/>
      <c r="Z573" s="168"/>
    </row>
    <row r="574" customFormat="false" ht="15.75" hidden="false" customHeight="false" outlineLevel="0" collapsed="false">
      <c r="A574" s="168"/>
      <c r="B574" s="168"/>
      <c r="C574" s="168"/>
      <c r="D574" s="168"/>
      <c r="E574" s="168"/>
      <c r="F574" s="168"/>
      <c r="G574" s="168"/>
      <c r="H574" s="168"/>
      <c r="I574" s="168"/>
      <c r="J574" s="168"/>
      <c r="K574" s="168"/>
      <c r="L574" s="168"/>
      <c r="M574" s="168"/>
      <c r="N574" s="168"/>
      <c r="O574" s="168"/>
      <c r="P574" s="168"/>
      <c r="Q574" s="168"/>
      <c r="R574" s="168"/>
      <c r="S574" s="168"/>
      <c r="T574" s="168"/>
      <c r="U574" s="168"/>
      <c r="V574" s="168"/>
      <c r="W574" s="168"/>
      <c r="X574" s="168"/>
      <c r="Y574" s="168"/>
      <c r="Z574" s="168"/>
    </row>
    <row r="575" customFormat="false" ht="15.75" hidden="false" customHeight="false" outlineLevel="0" collapsed="false">
      <c r="A575" s="168"/>
      <c r="B575" s="168"/>
      <c r="C575" s="168"/>
      <c r="D575" s="168"/>
      <c r="E575" s="168"/>
      <c r="F575" s="168"/>
      <c r="G575" s="168"/>
      <c r="H575" s="168"/>
      <c r="I575" s="168"/>
      <c r="J575" s="168"/>
      <c r="K575" s="168"/>
      <c r="L575" s="168"/>
      <c r="M575" s="168"/>
      <c r="N575" s="168"/>
      <c r="O575" s="168"/>
      <c r="P575" s="168"/>
      <c r="Q575" s="168"/>
      <c r="R575" s="168"/>
      <c r="S575" s="168"/>
      <c r="T575" s="168"/>
      <c r="U575" s="168"/>
      <c r="V575" s="168"/>
      <c r="W575" s="168"/>
      <c r="X575" s="168"/>
      <c r="Y575" s="168"/>
      <c r="Z575" s="168"/>
    </row>
    <row r="576" customFormat="false" ht="15.75" hidden="false" customHeight="false" outlineLevel="0" collapsed="false">
      <c r="A576" s="168"/>
      <c r="B576" s="168"/>
      <c r="C576" s="168"/>
      <c r="D576" s="168"/>
      <c r="E576" s="168"/>
      <c r="F576" s="168"/>
      <c r="G576" s="168"/>
      <c r="H576" s="168"/>
      <c r="I576" s="168"/>
      <c r="J576" s="168"/>
      <c r="K576" s="168"/>
      <c r="L576" s="168"/>
      <c r="M576" s="168"/>
      <c r="N576" s="168"/>
      <c r="O576" s="168"/>
      <c r="P576" s="168"/>
      <c r="Q576" s="168"/>
      <c r="R576" s="168"/>
      <c r="S576" s="168"/>
      <c r="T576" s="168"/>
      <c r="U576" s="168"/>
      <c r="V576" s="168"/>
      <c r="W576" s="168"/>
      <c r="X576" s="168"/>
      <c r="Y576" s="168"/>
      <c r="Z576" s="168"/>
    </row>
    <row r="577" customFormat="false" ht="15.75" hidden="false" customHeight="false" outlineLevel="0" collapsed="false">
      <c r="A577" s="168"/>
      <c r="B577" s="168"/>
      <c r="C577" s="168"/>
      <c r="D577" s="168"/>
      <c r="E577" s="168"/>
      <c r="F577" s="168"/>
      <c r="G577" s="168"/>
      <c r="H577" s="168"/>
      <c r="I577" s="168"/>
      <c r="J577" s="168"/>
      <c r="K577" s="168"/>
      <c r="L577" s="168"/>
      <c r="M577" s="168"/>
      <c r="N577" s="168"/>
      <c r="O577" s="168"/>
      <c r="P577" s="168"/>
      <c r="Q577" s="168"/>
      <c r="R577" s="168"/>
      <c r="S577" s="168"/>
      <c r="T577" s="168"/>
      <c r="U577" s="168"/>
      <c r="V577" s="168"/>
      <c r="W577" s="168"/>
      <c r="X577" s="168"/>
      <c r="Y577" s="168"/>
      <c r="Z577" s="168"/>
    </row>
    <row r="578" customFormat="false" ht="15.75" hidden="false" customHeight="false" outlineLevel="0" collapsed="false">
      <c r="A578" s="168"/>
      <c r="B578" s="168"/>
      <c r="C578" s="168"/>
      <c r="D578" s="168"/>
      <c r="E578" s="168"/>
      <c r="F578" s="168"/>
      <c r="G578" s="168"/>
      <c r="H578" s="168"/>
      <c r="I578" s="168"/>
      <c r="J578" s="168"/>
      <c r="K578" s="168"/>
      <c r="L578" s="168"/>
      <c r="M578" s="168"/>
      <c r="N578" s="168"/>
      <c r="O578" s="168"/>
      <c r="P578" s="168"/>
      <c r="Q578" s="168"/>
      <c r="R578" s="168"/>
      <c r="S578" s="168"/>
      <c r="T578" s="168"/>
      <c r="U578" s="168"/>
      <c r="V578" s="168"/>
      <c r="W578" s="168"/>
      <c r="X578" s="168"/>
      <c r="Y578" s="168"/>
      <c r="Z578" s="168"/>
    </row>
    <row r="579" customFormat="false" ht="15.75" hidden="false" customHeight="false" outlineLevel="0" collapsed="false">
      <c r="A579" s="168"/>
      <c r="B579" s="168"/>
      <c r="C579" s="168"/>
      <c r="D579" s="168"/>
      <c r="E579" s="168"/>
      <c r="F579" s="168"/>
      <c r="G579" s="168"/>
      <c r="H579" s="168"/>
      <c r="I579" s="168"/>
      <c r="J579" s="168"/>
      <c r="K579" s="168"/>
      <c r="L579" s="168"/>
      <c r="M579" s="168"/>
      <c r="N579" s="168"/>
      <c r="O579" s="168"/>
      <c r="P579" s="168"/>
      <c r="Q579" s="168"/>
      <c r="R579" s="168"/>
      <c r="S579" s="168"/>
      <c r="T579" s="168"/>
      <c r="U579" s="168"/>
      <c r="V579" s="168"/>
      <c r="W579" s="168"/>
      <c r="X579" s="168"/>
      <c r="Y579" s="168"/>
      <c r="Z579" s="168"/>
    </row>
    <row r="580" customFormat="false" ht="15.75" hidden="false" customHeight="false" outlineLevel="0" collapsed="false">
      <c r="A580" s="168"/>
      <c r="B580" s="168"/>
      <c r="C580" s="168"/>
      <c r="D580" s="168"/>
      <c r="E580" s="168"/>
      <c r="F580" s="168"/>
      <c r="G580" s="168"/>
      <c r="H580" s="168"/>
      <c r="I580" s="168"/>
      <c r="J580" s="168"/>
      <c r="K580" s="168"/>
      <c r="L580" s="168"/>
      <c r="M580" s="168"/>
      <c r="N580" s="168"/>
      <c r="O580" s="168"/>
      <c r="P580" s="168"/>
      <c r="Q580" s="168"/>
      <c r="R580" s="168"/>
      <c r="S580" s="168"/>
      <c r="T580" s="168"/>
      <c r="U580" s="168"/>
      <c r="V580" s="168"/>
      <c r="W580" s="168"/>
      <c r="X580" s="168"/>
      <c r="Y580" s="168"/>
      <c r="Z580" s="168"/>
    </row>
    <row r="581" customFormat="false" ht="15.75" hidden="false" customHeight="false" outlineLevel="0" collapsed="false">
      <c r="A581" s="168"/>
      <c r="B581" s="168"/>
      <c r="C581" s="168"/>
      <c r="D581" s="168"/>
      <c r="E581" s="168"/>
      <c r="F581" s="168"/>
      <c r="G581" s="168"/>
      <c r="H581" s="168"/>
      <c r="I581" s="168"/>
      <c r="J581" s="168"/>
      <c r="K581" s="168"/>
      <c r="L581" s="168"/>
      <c r="M581" s="168"/>
      <c r="N581" s="168"/>
      <c r="O581" s="168"/>
      <c r="P581" s="168"/>
      <c r="Q581" s="168"/>
      <c r="R581" s="168"/>
      <c r="S581" s="168"/>
      <c r="T581" s="168"/>
      <c r="U581" s="168"/>
      <c r="V581" s="168"/>
      <c r="W581" s="168"/>
      <c r="X581" s="168"/>
      <c r="Y581" s="168"/>
      <c r="Z581" s="168"/>
    </row>
    <row r="582" customFormat="false" ht="15.75" hidden="false" customHeight="false" outlineLevel="0" collapsed="false">
      <c r="A582" s="168"/>
      <c r="B582" s="168"/>
      <c r="C582" s="168"/>
      <c r="D582" s="168"/>
      <c r="E582" s="168"/>
      <c r="F582" s="168"/>
      <c r="G582" s="168"/>
      <c r="H582" s="168"/>
      <c r="I582" s="168"/>
      <c r="J582" s="168"/>
      <c r="K582" s="168"/>
      <c r="L582" s="168"/>
      <c r="M582" s="168"/>
      <c r="N582" s="168"/>
      <c r="O582" s="168"/>
      <c r="P582" s="168"/>
      <c r="Q582" s="168"/>
      <c r="R582" s="168"/>
      <c r="S582" s="168"/>
      <c r="T582" s="168"/>
      <c r="U582" s="168"/>
      <c r="V582" s="168"/>
      <c r="W582" s="168"/>
      <c r="X582" s="168"/>
      <c r="Y582" s="168"/>
      <c r="Z582" s="168"/>
    </row>
    <row r="583" customFormat="false" ht="15.75" hidden="false" customHeight="false" outlineLevel="0" collapsed="false">
      <c r="A583" s="168"/>
      <c r="B583" s="168"/>
      <c r="C583" s="168"/>
      <c r="D583" s="168"/>
      <c r="E583" s="168"/>
      <c r="F583" s="168"/>
      <c r="G583" s="168"/>
      <c r="H583" s="168"/>
      <c r="I583" s="168"/>
      <c r="J583" s="168"/>
      <c r="K583" s="168"/>
      <c r="L583" s="168"/>
      <c r="M583" s="168"/>
      <c r="N583" s="168"/>
      <c r="O583" s="168"/>
      <c r="P583" s="168"/>
      <c r="Q583" s="168"/>
      <c r="R583" s="168"/>
      <c r="S583" s="168"/>
      <c r="T583" s="168"/>
      <c r="U583" s="168"/>
      <c r="V583" s="168"/>
      <c r="W583" s="168"/>
      <c r="X583" s="168"/>
      <c r="Y583" s="168"/>
      <c r="Z583" s="168"/>
    </row>
    <row r="584" customFormat="false" ht="15.75" hidden="false" customHeight="false" outlineLevel="0" collapsed="false">
      <c r="A584" s="168"/>
      <c r="B584" s="168"/>
      <c r="C584" s="168"/>
      <c r="D584" s="168"/>
      <c r="E584" s="168"/>
      <c r="F584" s="168"/>
      <c r="G584" s="168"/>
      <c r="H584" s="168"/>
      <c r="I584" s="168"/>
      <c r="J584" s="168"/>
      <c r="K584" s="168"/>
      <c r="L584" s="168"/>
      <c r="M584" s="168"/>
      <c r="N584" s="168"/>
      <c r="O584" s="168"/>
      <c r="P584" s="168"/>
      <c r="Q584" s="168"/>
      <c r="R584" s="168"/>
      <c r="S584" s="168"/>
      <c r="T584" s="168"/>
      <c r="U584" s="168"/>
      <c r="V584" s="168"/>
      <c r="W584" s="168"/>
      <c r="X584" s="168"/>
      <c r="Y584" s="168"/>
      <c r="Z584" s="168"/>
    </row>
    <row r="585" customFormat="false" ht="15.75" hidden="false" customHeight="false" outlineLevel="0" collapsed="false">
      <c r="A585" s="168"/>
      <c r="B585" s="168"/>
      <c r="C585" s="168"/>
      <c r="D585" s="168"/>
      <c r="E585" s="168"/>
      <c r="F585" s="168"/>
      <c r="G585" s="168"/>
      <c r="H585" s="168"/>
      <c r="I585" s="168"/>
      <c r="J585" s="168"/>
      <c r="K585" s="168"/>
      <c r="L585" s="168"/>
      <c r="M585" s="168"/>
      <c r="N585" s="168"/>
      <c r="O585" s="168"/>
      <c r="P585" s="168"/>
      <c r="Q585" s="168"/>
      <c r="R585" s="168"/>
      <c r="S585" s="168"/>
      <c r="T585" s="168"/>
      <c r="U585" s="168"/>
      <c r="V585" s="168"/>
      <c r="W585" s="168"/>
      <c r="X585" s="168"/>
      <c r="Y585" s="168"/>
      <c r="Z585" s="168"/>
    </row>
    <row r="586" customFormat="false" ht="15.75" hidden="false" customHeight="false" outlineLevel="0" collapsed="false">
      <c r="A586" s="168"/>
      <c r="B586" s="168"/>
      <c r="C586" s="168"/>
      <c r="D586" s="168"/>
      <c r="E586" s="168"/>
      <c r="F586" s="168"/>
      <c r="G586" s="168"/>
      <c r="H586" s="168"/>
      <c r="I586" s="168"/>
      <c r="J586" s="168"/>
      <c r="K586" s="168"/>
      <c r="L586" s="168"/>
      <c r="M586" s="168"/>
      <c r="N586" s="168"/>
      <c r="O586" s="168"/>
      <c r="P586" s="168"/>
      <c r="Q586" s="168"/>
      <c r="R586" s="168"/>
      <c r="S586" s="168"/>
      <c r="T586" s="168"/>
      <c r="U586" s="168"/>
      <c r="V586" s="168"/>
      <c r="W586" s="168"/>
      <c r="X586" s="168"/>
      <c r="Y586" s="168"/>
      <c r="Z586" s="168"/>
    </row>
    <row r="587" customFormat="false" ht="15.75" hidden="false" customHeight="false" outlineLevel="0" collapsed="false">
      <c r="A587" s="168"/>
      <c r="B587" s="168"/>
      <c r="C587" s="168"/>
      <c r="D587" s="168"/>
      <c r="E587" s="168"/>
      <c r="F587" s="168"/>
      <c r="G587" s="168"/>
      <c r="H587" s="168"/>
      <c r="I587" s="168"/>
      <c r="J587" s="168"/>
      <c r="K587" s="168"/>
      <c r="L587" s="168"/>
      <c r="M587" s="168"/>
      <c r="N587" s="168"/>
      <c r="O587" s="168"/>
      <c r="P587" s="168"/>
      <c r="Q587" s="168"/>
      <c r="R587" s="168"/>
      <c r="S587" s="168"/>
      <c r="T587" s="168"/>
      <c r="U587" s="168"/>
      <c r="V587" s="168"/>
      <c r="W587" s="168"/>
      <c r="X587" s="168"/>
      <c r="Y587" s="168"/>
      <c r="Z587" s="168"/>
    </row>
    <row r="588" customFormat="false" ht="15.75" hidden="false" customHeight="false" outlineLevel="0" collapsed="false">
      <c r="A588" s="168"/>
      <c r="B588" s="168"/>
      <c r="C588" s="168"/>
      <c r="D588" s="168"/>
      <c r="E588" s="168"/>
      <c r="F588" s="168"/>
      <c r="G588" s="168"/>
      <c r="H588" s="168"/>
      <c r="I588" s="168"/>
      <c r="J588" s="168"/>
      <c r="K588" s="168"/>
      <c r="L588" s="168"/>
      <c r="M588" s="168"/>
      <c r="N588" s="168"/>
      <c r="O588" s="168"/>
      <c r="P588" s="168"/>
      <c r="Q588" s="168"/>
      <c r="R588" s="168"/>
      <c r="S588" s="168"/>
      <c r="T588" s="168"/>
      <c r="U588" s="168"/>
      <c r="V588" s="168"/>
      <c r="W588" s="168"/>
      <c r="X588" s="168"/>
      <c r="Y588" s="168"/>
      <c r="Z588" s="168"/>
    </row>
    <row r="589" customFormat="false" ht="15.75" hidden="false" customHeight="false" outlineLevel="0" collapsed="false">
      <c r="A589" s="168"/>
      <c r="B589" s="168"/>
      <c r="C589" s="168"/>
      <c r="D589" s="168"/>
      <c r="E589" s="168"/>
      <c r="F589" s="168"/>
      <c r="G589" s="168"/>
      <c r="H589" s="168"/>
      <c r="I589" s="168"/>
      <c r="J589" s="168"/>
      <c r="K589" s="168"/>
      <c r="L589" s="168"/>
      <c r="M589" s="168"/>
      <c r="N589" s="168"/>
      <c r="O589" s="168"/>
      <c r="P589" s="168"/>
      <c r="Q589" s="168"/>
      <c r="R589" s="168"/>
      <c r="S589" s="168"/>
      <c r="T589" s="168"/>
      <c r="U589" s="168"/>
      <c r="V589" s="168"/>
      <c r="W589" s="168"/>
      <c r="X589" s="168"/>
      <c r="Y589" s="168"/>
      <c r="Z589" s="168"/>
    </row>
    <row r="590" customFormat="false" ht="15.75" hidden="false" customHeight="false" outlineLevel="0" collapsed="false">
      <c r="A590" s="168"/>
      <c r="B590" s="168"/>
      <c r="C590" s="168"/>
      <c r="D590" s="168"/>
      <c r="E590" s="168"/>
      <c r="F590" s="168"/>
      <c r="G590" s="168"/>
      <c r="H590" s="168"/>
      <c r="I590" s="168"/>
      <c r="J590" s="168"/>
      <c r="K590" s="168"/>
      <c r="L590" s="168"/>
      <c r="M590" s="168"/>
      <c r="N590" s="168"/>
      <c r="O590" s="168"/>
      <c r="P590" s="168"/>
      <c r="Q590" s="168"/>
      <c r="R590" s="168"/>
      <c r="S590" s="168"/>
      <c r="T590" s="168"/>
      <c r="U590" s="168"/>
      <c r="V590" s="168"/>
      <c r="W590" s="168"/>
      <c r="X590" s="168"/>
      <c r="Y590" s="168"/>
      <c r="Z590" s="168"/>
    </row>
    <row r="591" customFormat="false" ht="15.75" hidden="false" customHeight="false" outlineLevel="0" collapsed="false">
      <c r="A591" s="168"/>
      <c r="B591" s="168"/>
      <c r="C591" s="168"/>
      <c r="D591" s="168"/>
      <c r="E591" s="168"/>
      <c r="F591" s="168"/>
      <c r="G591" s="168"/>
      <c r="H591" s="168"/>
      <c r="I591" s="168"/>
      <c r="J591" s="168"/>
      <c r="K591" s="168"/>
      <c r="L591" s="168"/>
      <c r="M591" s="168"/>
      <c r="N591" s="168"/>
      <c r="O591" s="168"/>
      <c r="P591" s="168"/>
      <c r="Q591" s="168"/>
      <c r="R591" s="168"/>
      <c r="S591" s="168"/>
      <c r="T591" s="168"/>
      <c r="U591" s="168"/>
      <c r="V591" s="168"/>
      <c r="W591" s="168"/>
      <c r="X591" s="168"/>
      <c r="Y591" s="168"/>
      <c r="Z591" s="168"/>
    </row>
    <row r="592" customFormat="false" ht="15.75" hidden="false" customHeight="false" outlineLevel="0" collapsed="false">
      <c r="A592" s="168"/>
      <c r="B592" s="168"/>
      <c r="C592" s="168"/>
      <c r="D592" s="168"/>
      <c r="E592" s="168"/>
      <c r="F592" s="168"/>
      <c r="G592" s="168"/>
      <c r="H592" s="168"/>
      <c r="I592" s="168"/>
      <c r="J592" s="168"/>
      <c r="K592" s="168"/>
      <c r="L592" s="168"/>
      <c r="M592" s="168"/>
      <c r="N592" s="168"/>
      <c r="O592" s="168"/>
      <c r="P592" s="168"/>
      <c r="Q592" s="168"/>
      <c r="R592" s="168"/>
      <c r="S592" s="168"/>
      <c r="T592" s="168"/>
      <c r="U592" s="168"/>
      <c r="V592" s="168"/>
      <c r="W592" s="168"/>
      <c r="X592" s="168"/>
      <c r="Y592" s="168"/>
      <c r="Z592" s="168"/>
    </row>
    <row r="593" customFormat="false" ht="15.75" hidden="false" customHeight="false" outlineLevel="0" collapsed="false">
      <c r="A593" s="168"/>
      <c r="B593" s="168"/>
      <c r="C593" s="168"/>
      <c r="D593" s="168"/>
      <c r="E593" s="168"/>
      <c r="F593" s="168"/>
      <c r="G593" s="168"/>
      <c r="H593" s="168"/>
      <c r="I593" s="168"/>
      <c r="J593" s="168"/>
      <c r="K593" s="168"/>
      <c r="L593" s="168"/>
      <c r="M593" s="168"/>
      <c r="N593" s="168"/>
      <c r="O593" s="168"/>
      <c r="P593" s="168"/>
      <c r="Q593" s="168"/>
      <c r="R593" s="168"/>
      <c r="S593" s="168"/>
      <c r="T593" s="168"/>
      <c r="U593" s="168"/>
      <c r="V593" s="168"/>
      <c r="W593" s="168"/>
      <c r="X593" s="168"/>
      <c r="Y593" s="168"/>
      <c r="Z593" s="168"/>
    </row>
    <row r="594" customFormat="false" ht="15.75" hidden="false" customHeight="false" outlineLevel="0" collapsed="false">
      <c r="A594" s="168"/>
      <c r="B594" s="168"/>
      <c r="C594" s="168"/>
      <c r="D594" s="168"/>
      <c r="E594" s="168"/>
      <c r="F594" s="168"/>
      <c r="G594" s="168"/>
      <c r="H594" s="168"/>
      <c r="I594" s="168"/>
      <c r="J594" s="168"/>
      <c r="K594" s="168"/>
      <c r="L594" s="168"/>
      <c r="M594" s="168"/>
      <c r="N594" s="168"/>
      <c r="O594" s="168"/>
      <c r="P594" s="168"/>
      <c r="Q594" s="168"/>
      <c r="R594" s="168"/>
      <c r="S594" s="168"/>
      <c r="T594" s="168"/>
      <c r="U594" s="168"/>
      <c r="V594" s="168"/>
      <c r="W594" s="168"/>
      <c r="X594" s="168"/>
      <c r="Y594" s="168"/>
      <c r="Z594" s="168"/>
    </row>
    <row r="595" customFormat="false" ht="15.75" hidden="false" customHeight="false" outlineLevel="0" collapsed="false">
      <c r="A595" s="168"/>
      <c r="B595" s="168"/>
      <c r="C595" s="168"/>
      <c r="D595" s="168"/>
      <c r="E595" s="168"/>
      <c r="F595" s="168"/>
      <c r="G595" s="168"/>
      <c r="H595" s="168"/>
      <c r="I595" s="168"/>
      <c r="J595" s="168"/>
      <c r="K595" s="168"/>
      <c r="L595" s="168"/>
      <c r="M595" s="168"/>
      <c r="N595" s="168"/>
      <c r="O595" s="168"/>
      <c r="P595" s="168"/>
      <c r="Q595" s="168"/>
      <c r="R595" s="168"/>
      <c r="S595" s="168"/>
      <c r="T595" s="168"/>
      <c r="U595" s="168"/>
      <c r="V595" s="168"/>
      <c r="W595" s="168"/>
      <c r="X595" s="168"/>
      <c r="Y595" s="168"/>
      <c r="Z595" s="168"/>
    </row>
    <row r="596" customFormat="false" ht="15.75" hidden="false" customHeight="false" outlineLevel="0" collapsed="false">
      <c r="A596" s="168"/>
      <c r="B596" s="168"/>
      <c r="C596" s="168"/>
      <c r="D596" s="168"/>
      <c r="E596" s="168"/>
      <c r="F596" s="168"/>
      <c r="G596" s="168"/>
      <c r="H596" s="168"/>
      <c r="I596" s="168"/>
      <c r="J596" s="168"/>
      <c r="K596" s="168"/>
      <c r="L596" s="168"/>
      <c r="M596" s="168"/>
      <c r="N596" s="168"/>
      <c r="O596" s="168"/>
      <c r="P596" s="168"/>
      <c r="Q596" s="168"/>
      <c r="R596" s="168"/>
      <c r="S596" s="168"/>
      <c r="T596" s="168"/>
      <c r="U596" s="168"/>
      <c r="V596" s="168"/>
      <c r="W596" s="168"/>
      <c r="X596" s="168"/>
      <c r="Y596" s="168"/>
      <c r="Z596" s="168"/>
    </row>
    <row r="597" customFormat="false" ht="15.75" hidden="false" customHeight="false" outlineLevel="0" collapsed="false">
      <c r="A597" s="168"/>
      <c r="B597" s="168"/>
      <c r="C597" s="168"/>
      <c r="D597" s="168"/>
      <c r="E597" s="168"/>
      <c r="F597" s="168"/>
      <c r="G597" s="168"/>
      <c r="H597" s="168"/>
      <c r="I597" s="168"/>
      <c r="J597" s="168"/>
      <c r="K597" s="168"/>
      <c r="L597" s="168"/>
      <c r="M597" s="168"/>
      <c r="N597" s="168"/>
      <c r="O597" s="168"/>
      <c r="P597" s="168"/>
      <c r="Q597" s="168"/>
      <c r="R597" s="168"/>
      <c r="S597" s="168"/>
      <c r="T597" s="168"/>
      <c r="U597" s="168"/>
      <c r="V597" s="168"/>
      <c r="W597" s="168"/>
      <c r="X597" s="168"/>
      <c r="Y597" s="168"/>
      <c r="Z597" s="168"/>
    </row>
    <row r="598" customFormat="false" ht="15.75" hidden="false" customHeight="false" outlineLevel="0" collapsed="false">
      <c r="A598" s="168"/>
      <c r="B598" s="168"/>
      <c r="C598" s="168"/>
      <c r="D598" s="168"/>
      <c r="E598" s="168"/>
      <c r="F598" s="168"/>
      <c r="G598" s="168"/>
      <c r="H598" s="168"/>
      <c r="I598" s="168"/>
      <c r="J598" s="168"/>
      <c r="K598" s="168"/>
      <c r="L598" s="168"/>
      <c r="M598" s="168"/>
      <c r="N598" s="168"/>
      <c r="O598" s="168"/>
      <c r="P598" s="168"/>
      <c r="Q598" s="168"/>
      <c r="R598" s="168"/>
      <c r="S598" s="168"/>
      <c r="T598" s="168"/>
      <c r="U598" s="168"/>
      <c r="V598" s="168"/>
      <c r="W598" s="168"/>
      <c r="X598" s="168"/>
      <c r="Y598" s="168"/>
      <c r="Z598" s="168"/>
    </row>
    <row r="599" customFormat="false" ht="15.75" hidden="false" customHeight="false" outlineLevel="0" collapsed="false">
      <c r="A599" s="168"/>
      <c r="B599" s="168"/>
      <c r="C599" s="168"/>
      <c r="D599" s="168"/>
      <c r="E599" s="168"/>
      <c r="F599" s="168"/>
      <c r="G599" s="168"/>
      <c r="H599" s="168"/>
      <c r="I599" s="168"/>
      <c r="J599" s="168"/>
      <c r="K599" s="168"/>
      <c r="L599" s="168"/>
      <c r="M599" s="168"/>
      <c r="N599" s="168"/>
      <c r="O599" s="168"/>
      <c r="P599" s="168"/>
      <c r="Q599" s="168"/>
      <c r="R599" s="168"/>
      <c r="S599" s="168"/>
      <c r="T599" s="168"/>
      <c r="U599" s="168"/>
      <c r="V599" s="168"/>
      <c r="W599" s="168"/>
      <c r="X599" s="168"/>
      <c r="Y599" s="168"/>
      <c r="Z599" s="168"/>
    </row>
    <row r="600" customFormat="false" ht="15.75" hidden="false" customHeight="false" outlineLevel="0" collapsed="false">
      <c r="A600" s="168"/>
      <c r="B600" s="168"/>
      <c r="C600" s="168"/>
      <c r="D600" s="168"/>
      <c r="E600" s="168"/>
      <c r="F600" s="168"/>
      <c r="G600" s="168"/>
      <c r="H600" s="168"/>
      <c r="I600" s="168"/>
      <c r="J600" s="168"/>
      <c r="K600" s="168"/>
      <c r="L600" s="168"/>
      <c r="M600" s="168"/>
      <c r="N600" s="168"/>
      <c r="O600" s="168"/>
      <c r="P600" s="168"/>
      <c r="Q600" s="168"/>
      <c r="R600" s="168"/>
      <c r="S600" s="168"/>
      <c r="T600" s="168"/>
      <c r="U600" s="168"/>
      <c r="V600" s="168"/>
      <c r="W600" s="168"/>
      <c r="X600" s="168"/>
      <c r="Y600" s="168"/>
      <c r="Z600" s="168"/>
    </row>
    <row r="601" customFormat="false" ht="15.75" hidden="false" customHeight="false" outlineLevel="0" collapsed="false">
      <c r="A601" s="168"/>
      <c r="B601" s="168"/>
      <c r="C601" s="168"/>
      <c r="D601" s="168"/>
      <c r="E601" s="168"/>
      <c r="F601" s="168"/>
      <c r="G601" s="168"/>
      <c r="H601" s="168"/>
      <c r="I601" s="168"/>
      <c r="J601" s="168"/>
      <c r="K601" s="168"/>
      <c r="L601" s="168"/>
      <c r="M601" s="168"/>
      <c r="N601" s="168"/>
      <c r="O601" s="168"/>
      <c r="P601" s="168"/>
      <c r="Q601" s="168"/>
      <c r="R601" s="168"/>
      <c r="S601" s="168"/>
      <c r="T601" s="168"/>
      <c r="U601" s="168"/>
      <c r="V601" s="168"/>
      <c r="W601" s="168"/>
      <c r="X601" s="168"/>
      <c r="Y601" s="168"/>
      <c r="Z601" s="168"/>
    </row>
    <row r="602" customFormat="false" ht="15.75" hidden="false" customHeight="false" outlineLevel="0" collapsed="false">
      <c r="A602" s="168"/>
      <c r="B602" s="168"/>
      <c r="C602" s="168"/>
      <c r="D602" s="168"/>
      <c r="E602" s="168"/>
      <c r="F602" s="168"/>
      <c r="G602" s="168"/>
      <c r="H602" s="168"/>
      <c r="I602" s="168"/>
      <c r="J602" s="168"/>
      <c r="K602" s="168"/>
      <c r="L602" s="168"/>
      <c r="M602" s="168"/>
      <c r="N602" s="168"/>
      <c r="O602" s="168"/>
      <c r="P602" s="168"/>
      <c r="Q602" s="168"/>
      <c r="R602" s="168"/>
      <c r="S602" s="168"/>
      <c r="T602" s="168"/>
      <c r="U602" s="168"/>
      <c r="V602" s="168"/>
      <c r="W602" s="168"/>
      <c r="X602" s="168"/>
      <c r="Y602" s="168"/>
      <c r="Z602" s="168"/>
    </row>
    <row r="603" customFormat="false" ht="15.75" hidden="false" customHeight="false" outlineLevel="0" collapsed="false">
      <c r="A603" s="168"/>
      <c r="B603" s="168"/>
      <c r="C603" s="168"/>
      <c r="D603" s="168"/>
      <c r="E603" s="168"/>
      <c r="F603" s="168"/>
      <c r="G603" s="168"/>
      <c r="H603" s="168"/>
      <c r="I603" s="168"/>
      <c r="J603" s="168"/>
      <c r="K603" s="168"/>
      <c r="L603" s="168"/>
      <c r="M603" s="168"/>
      <c r="N603" s="168"/>
      <c r="O603" s="168"/>
      <c r="P603" s="168"/>
      <c r="Q603" s="168"/>
      <c r="R603" s="168"/>
      <c r="S603" s="168"/>
      <c r="T603" s="168"/>
      <c r="U603" s="168"/>
      <c r="V603" s="168"/>
      <c r="W603" s="168"/>
      <c r="X603" s="168"/>
      <c r="Y603" s="168"/>
      <c r="Z603" s="168"/>
    </row>
    <row r="604" customFormat="false" ht="15.75" hidden="false" customHeight="false" outlineLevel="0" collapsed="false">
      <c r="A604" s="168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</row>
    <row r="605" customFormat="false" ht="15.75" hidden="false" customHeight="false" outlineLevel="0" collapsed="false">
      <c r="A605" s="168"/>
      <c r="B605" s="168"/>
      <c r="C605" s="168"/>
      <c r="D605" s="168"/>
      <c r="E605" s="168"/>
      <c r="F605" s="168"/>
      <c r="G605" s="168"/>
      <c r="H605" s="168"/>
      <c r="I605" s="168"/>
      <c r="J605" s="168"/>
      <c r="K605" s="168"/>
      <c r="L605" s="168"/>
      <c r="M605" s="168"/>
      <c r="N605" s="168"/>
      <c r="O605" s="168"/>
      <c r="P605" s="168"/>
      <c r="Q605" s="168"/>
      <c r="R605" s="168"/>
      <c r="S605" s="168"/>
      <c r="T605" s="168"/>
      <c r="U605" s="168"/>
      <c r="V605" s="168"/>
      <c r="W605" s="168"/>
      <c r="X605" s="168"/>
      <c r="Y605" s="168"/>
      <c r="Z605" s="168"/>
    </row>
    <row r="606" customFormat="false" ht="15.75" hidden="false" customHeight="false" outlineLevel="0" collapsed="false">
      <c r="A606" s="168"/>
      <c r="B606" s="168"/>
      <c r="C606" s="168"/>
      <c r="D606" s="168"/>
      <c r="E606" s="168"/>
      <c r="F606" s="168"/>
      <c r="G606" s="168"/>
      <c r="H606" s="168"/>
      <c r="I606" s="168"/>
      <c r="J606" s="168"/>
      <c r="K606" s="168"/>
      <c r="L606" s="168"/>
      <c r="M606" s="168"/>
      <c r="N606" s="168"/>
      <c r="O606" s="168"/>
      <c r="P606" s="168"/>
      <c r="Q606" s="168"/>
      <c r="R606" s="168"/>
      <c r="S606" s="168"/>
      <c r="T606" s="168"/>
      <c r="U606" s="168"/>
      <c r="V606" s="168"/>
      <c r="W606" s="168"/>
      <c r="X606" s="168"/>
      <c r="Y606" s="168"/>
      <c r="Z606" s="168"/>
    </row>
    <row r="607" customFormat="false" ht="15.75" hidden="false" customHeight="false" outlineLevel="0" collapsed="false">
      <c r="A607" s="168"/>
      <c r="B607" s="168"/>
      <c r="C607" s="168"/>
      <c r="D607" s="168"/>
      <c r="E607" s="168"/>
      <c r="F607" s="168"/>
      <c r="G607" s="168"/>
      <c r="H607" s="168"/>
      <c r="I607" s="168"/>
      <c r="J607" s="168"/>
      <c r="K607" s="168"/>
      <c r="L607" s="168"/>
      <c r="M607" s="168"/>
      <c r="N607" s="168"/>
      <c r="O607" s="168"/>
      <c r="P607" s="168"/>
      <c r="Q607" s="168"/>
      <c r="R607" s="168"/>
      <c r="S607" s="168"/>
      <c r="T607" s="168"/>
      <c r="U607" s="168"/>
      <c r="V607" s="168"/>
      <c r="W607" s="168"/>
      <c r="X607" s="168"/>
      <c r="Y607" s="168"/>
      <c r="Z607" s="168"/>
    </row>
    <row r="608" customFormat="false" ht="15.75" hidden="false" customHeight="false" outlineLevel="0" collapsed="false">
      <c r="A608" s="168"/>
      <c r="B608" s="168"/>
      <c r="C608" s="168"/>
      <c r="D608" s="168"/>
      <c r="E608" s="168"/>
      <c r="F608" s="168"/>
      <c r="G608" s="168"/>
      <c r="H608" s="168"/>
      <c r="I608" s="168"/>
      <c r="J608" s="168"/>
      <c r="K608" s="168"/>
      <c r="L608" s="168"/>
      <c r="M608" s="168"/>
      <c r="N608" s="168"/>
      <c r="O608" s="168"/>
      <c r="P608" s="168"/>
      <c r="Q608" s="168"/>
      <c r="R608" s="168"/>
      <c r="S608" s="168"/>
      <c r="T608" s="168"/>
      <c r="U608" s="168"/>
      <c r="V608" s="168"/>
      <c r="W608" s="168"/>
      <c r="X608" s="168"/>
      <c r="Y608" s="168"/>
      <c r="Z608" s="168"/>
    </row>
    <row r="609" customFormat="false" ht="15.75" hidden="false" customHeight="false" outlineLevel="0" collapsed="false">
      <c r="A609" s="168"/>
      <c r="B609" s="168"/>
      <c r="C609" s="168"/>
      <c r="D609" s="168"/>
      <c r="E609" s="168"/>
      <c r="F609" s="168"/>
      <c r="G609" s="168"/>
      <c r="H609" s="168"/>
      <c r="I609" s="168"/>
      <c r="J609" s="168"/>
      <c r="K609" s="168"/>
      <c r="L609" s="168"/>
      <c r="M609" s="168"/>
      <c r="N609" s="168"/>
      <c r="O609" s="168"/>
      <c r="P609" s="168"/>
      <c r="Q609" s="168"/>
      <c r="R609" s="168"/>
      <c r="S609" s="168"/>
      <c r="T609" s="168"/>
      <c r="U609" s="168"/>
      <c r="V609" s="168"/>
      <c r="W609" s="168"/>
      <c r="X609" s="168"/>
      <c r="Y609" s="168"/>
      <c r="Z609" s="168"/>
    </row>
    <row r="610" customFormat="false" ht="15.75" hidden="false" customHeight="false" outlineLevel="0" collapsed="false">
      <c r="A610" s="168"/>
      <c r="B610" s="168"/>
      <c r="C610" s="168"/>
      <c r="D610" s="168"/>
      <c r="E610" s="168"/>
      <c r="F610" s="168"/>
      <c r="G610" s="168"/>
      <c r="H610" s="168"/>
      <c r="I610" s="168"/>
      <c r="J610" s="168"/>
      <c r="K610" s="168"/>
      <c r="L610" s="168"/>
      <c r="M610" s="168"/>
      <c r="N610" s="168"/>
      <c r="O610" s="168"/>
      <c r="P610" s="168"/>
      <c r="Q610" s="168"/>
      <c r="R610" s="168"/>
      <c r="S610" s="168"/>
      <c r="T610" s="168"/>
      <c r="U610" s="168"/>
      <c r="V610" s="168"/>
      <c r="W610" s="168"/>
      <c r="X610" s="168"/>
      <c r="Y610" s="168"/>
      <c r="Z610" s="168"/>
    </row>
    <row r="611" customFormat="false" ht="15.75" hidden="false" customHeight="false" outlineLevel="0" collapsed="false">
      <c r="A611" s="168"/>
      <c r="B611" s="168"/>
      <c r="C611" s="168"/>
      <c r="D611" s="168"/>
      <c r="E611" s="168"/>
      <c r="F611" s="168"/>
      <c r="G611" s="168"/>
      <c r="H611" s="168"/>
      <c r="I611" s="168"/>
      <c r="J611" s="168"/>
      <c r="K611" s="168"/>
      <c r="L611" s="168"/>
      <c r="M611" s="168"/>
      <c r="N611" s="168"/>
      <c r="O611" s="168"/>
      <c r="P611" s="168"/>
      <c r="Q611" s="168"/>
      <c r="R611" s="168"/>
      <c r="S611" s="168"/>
      <c r="T611" s="168"/>
      <c r="U611" s="168"/>
      <c r="V611" s="168"/>
      <c r="W611" s="168"/>
      <c r="X611" s="168"/>
      <c r="Y611" s="168"/>
      <c r="Z611" s="168"/>
    </row>
    <row r="612" customFormat="false" ht="15.75" hidden="false" customHeight="false" outlineLevel="0" collapsed="false">
      <c r="A612" s="168"/>
      <c r="B612" s="168"/>
      <c r="C612" s="168"/>
      <c r="D612" s="168"/>
      <c r="E612" s="168"/>
      <c r="F612" s="168"/>
      <c r="G612" s="168"/>
      <c r="H612" s="168"/>
      <c r="I612" s="168"/>
      <c r="J612" s="168"/>
      <c r="K612" s="168"/>
      <c r="L612" s="168"/>
      <c r="M612" s="168"/>
      <c r="N612" s="168"/>
      <c r="O612" s="168"/>
      <c r="P612" s="168"/>
      <c r="Q612" s="168"/>
      <c r="R612" s="168"/>
      <c r="S612" s="168"/>
      <c r="T612" s="168"/>
      <c r="U612" s="168"/>
      <c r="V612" s="168"/>
      <c r="W612" s="168"/>
      <c r="X612" s="168"/>
      <c r="Y612" s="168"/>
      <c r="Z612" s="168"/>
    </row>
    <row r="613" customFormat="false" ht="15.75" hidden="false" customHeight="false" outlineLevel="0" collapsed="false">
      <c r="A613" s="168"/>
      <c r="B613" s="168"/>
      <c r="C613" s="168"/>
      <c r="D613" s="168"/>
      <c r="E613" s="168"/>
      <c r="F613" s="168"/>
      <c r="G613" s="168"/>
      <c r="H613" s="168"/>
      <c r="I613" s="168"/>
      <c r="J613" s="168"/>
      <c r="K613" s="168"/>
      <c r="L613" s="168"/>
      <c r="M613" s="168"/>
      <c r="N613" s="168"/>
      <c r="O613" s="168"/>
      <c r="P613" s="168"/>
      <c r="Q613" s="168"/>
      <c r="R613" s="168"/>
      <c r="S613" s="168"/>
      <c r="T613" s="168"/>
      <c r="U613" s="168"/>
      <c r="V613" s="168"/>
      <c r="W613" s="168"/>
      <c r="X613" s="168"/>
      <c r="Y613" s="168"/>
      <c r="Z613" s="168"/>
    </row>
    <row r="614" customFormat="false" ht="15.75" hidden="false" customHeight="false" outlineLevel="0" collapsed="false">
      <c r="A614" s="168"/>
      <c r="B614" s="168"/>
      <c r="C614" s="168"/>
      <c r="D614" s="168"/>
      <c r="E614" s="168"/>
      <c r="F614" s="168"/>
      <c r="G614" s="168"/>
      <c r="H614" s="168"/>
      <c r="I614" s="168"/>
      <c r="J614" s="168"/>
      <c r="K614" s="168"/>
      <c r="L614" s="168"/>
      <c r="M614" s="168"/>
      <c r="N614" s="168"/>
      <c r="O614" s="168"/>
      <c r="P614" s="168"/>
      <c r="Q614" s="168"/>
      <c r="R614" s="168"/>
      <c r="S614" s="168"/>
      <c r="T614" s="168"/>
      <c r="U614" s="168"/>
      <c r="V614" s="168"/>
      <c r="W614" s="168"/>
      <c r="X614" s="168"/>
      <c r="Y614" s="168"/>
      <c r="Z614" s="168"/>
    </row>
    <row r="615" customFormat="false" ht="15.75" hidden="false" customHeight="false" outlineLevel="0" collapsed="false">
      <c r="A615" s="168"/>
      <c r="B615" s="168"/>
      <c r="C615" s="168"/>
      <c r="D615" s="168"/>
      <c r="E615" s="168"/>
      <c r="F615" s="168"/>
      <c r="G615" s="168"/>
      <c r="H615" s="168"/>
      <c r="I615" s="168"/>
      <c r="J615" s="168"/>
      <c r="K615" s="168"/>
      <c r="L615" s="168"/>
      <c r="M615" s="168"/>
      <c r="N615" s="168"/>
      <c r="O615" s="168"/>
      <c r="P615" s="168"/>
      <c r="Q615" s="168"/>
      <c r="R615" s="168"/>
      <c r="S615" s="168"/>
      <c r="T615" s="168"/>
      <c r="U615" s="168"/>
      <c r="V615" s="168"/>
      <c r="W615" s="168"/>
      <c r="X615" s="168"/>
      <c r="Y615" s="168"/>
      <c r="Z615" s="168"/>
    </row>
    <row r="616" customFormat="false" ht="15.75" hidden="false" customHeight="false" outlineLevel="0" collapsed="false">
      <c r="A616" s="168"/>
      <c r="B616" s="168"/>
      <c r="C616" s="168"/>
      <c r="D616" s="168"/>
      <c r="E616" s="168"/>
      <c r="F616" s="168"/>
      <c r="G616" s="168"/>
      <c r="H616" s="168"/>
      <c r="I616" s="168"/>
      <c r="J616" s="168"/>
      <c r="K616" s="168"/>
      <c r="L616" s="168"/>
      <c r="M616" s="168"/>
      <c r="N616" s="168"/>
      <c r="O616" s="168"/>
      <c r="P616" s="168"/>
      <c r="Q616" s="168"/>
      <c r="R616" s="168"/>
      <c r="S616" s="168"/>
      <c r="T616" s="168"/>
      <c r="U616" s="168"/>
      <c r="V616" s="168"/>
      <c r="W616" s="168"/>
      <c r="X616" s="168"/>
      <c r="Y616" s="168"/>
      <c r="Z616" s="168"/>
    </row>
    <row r="617" customFormat="false" ht="15.75" hidden="false" customHeight="false" outlineLevel="0" collapsed="false">
      <c r="A617" s="168"/>
      <c r="B617" s="168"/>
      <c r="C617" s="168"/>
      <c r="D617" s="168"/>
      <c r="E617" s="168"/>
      <c r="F617" s="168"/>
      <c r="G617" s="168"/>
      <c r="H617" s="168"/>
      <c r="I617" s="168"/>
      <c r="J617" s="168"/>
      <c r="K617" s="168"/>
      <c r="L617" s="168"/>
      <c r="M617" s="168"/>
      <c r="N617" s="168"/>
      <c r="O617" s="168"/>
      <c r="P617" s="168"/>
      <c r="Q617" s="168"/>
      <c r="R617" s="168"/>
      <c r="S617" s="168"/>
      <c r="T617" s="168"/>
      <c r="U617" s="168"/>
      <c r="V617" s="168"/>
      <c r="W617" s="168"/>
      <c r="X617" s="168"/>
      <c r="Y617" s="168"/>
      <c r="Z617" s="168"/>
    </row>
    <row r="618" customFormat="false" ht="15.75" hidden="false" customHeight="false" outlineLevel="0" collapsed="false">
      <c r="A618" s="168"/>
      <c r="B618" s="168"/>
      <c r="C618" s="168"/>
      <c r="D618" s="168"/>
      <c r="E618" s="168"/>
      <c r="F618" s="168"/>
      <c r="G618" s="168"/>
      <c r="H618" s="168"/>
      <c r="I618" s="168"/>
      <c r="J618" s="168"/>
      <c r="K618" s="168"/>
      <c r="L618" s="168"/>
      <c r="M618" s="168"/>
      <c r="N618" s="168"/>
      <c r="O618" s="168"/>
      <c r="P618" s="168"/>
      <c r="Q618" s="168"/>
      <c r="R618" s="168"/>
      <c r="S618" s="168"/>
      <c r="T618" s="168"/>
      <c r="U618" s="168"/>
      <c r="V618" s="168"/>
      <c r="W618" s="168"/>
      <c r="X618" s="168"/>
      <c r="Y618" s="168"/>
      <c r="Z618" s="168"/>
    </row>
    <row r="619" customFormat="false" ht="15.75" hidden="false" customHeight="false" outlineLevel="0" collapsed="false">
      <c r="A619" s="168"/>
      <c r="B619" s="168"/>
      <c r="C619" s="168"/>
      <c r="D619" s="168"/>
      <c r="E619" s="168"/>
      <c r="F619" s="168"/>
      <c r="G619" s="168"/>
      <c r="H619" s="168"/>
      <c r="I619" s="168"/>
      <c r="J619" s="168"/>
      <c r="K619" s="168"/>
      <c r="L619" s="168"/>
      <c r="M619" s="168"/>
      <c r="N619" s="168"/>
      <c r="O619" s="168"/>
      <c r="P619" s="168"/>
      <c r="Q619" s="168"/>
      <c r="R619" s="168"/>
      <c r="S619" s="168"/>
      <c r="T619" s="168"/>
      <c r="U619" s="168"/>
      <c r="V619" s="168"/>
      <c r="W619" s="168"/>
      <c r="X619" s="168"/>
      <c r="Y619" s="168"/>
      <c r="Z619" s="168"/>
    </row>
    <row r="620" customFormat="false" ht="15.75" hidden="false" customHeight="false" outlineLevel="0" collapsed="false">
      <c r="A620" s="168"/>
      <c r="B620" s="168"/>
      <c r="C620" s="168"/>
      <c r="D620" s="168"/>
      <c r="E620" s="168"/>
      <c r="F620" s="168"/>
      <c r="G620" s="168"/>
      <c r="H620" s="168"/>
      <c r="I620" s="168"/>
      <c r="J620" s="168"/>
      <c r="K620" s="168"/>
      <c r="L620" s="168"/>
      <c r="M620" s="168"/>
      <c r="N620" s="168"/>
      <c r="O620" s="168"/>
      <c r="P620" s="168"/>
      <c r="Q620" s="168"/>
      <c r="R620" s="168"/>
      <c r="S620" s="168"/>
      <c r="T620" s="168"/>
      <c r="U620" s="168"/>
      <c r="V620" s="168"/>
      <c r="W620" s="168"/>
      <c r="X620" s="168"/>
      <c r="Y620" s="168"/>
      <c r="Z620" s="168"/>
    </row>
    <row r="621" customFormat="false" ht="15.75" hidden="false" customHeight="false" outlineLevel="0" collapsed="false">
      <c r="A621" s="168"/>
      <c r="B621" s="168"/>
      <c r="C621" s="168"/>
      <c r="D621" s="168"/>
      <c r="E621" s="168"/>
      <c r="F621" s="168"/>
      <c r="G621" s="168"/>
      <c r="H621" s="168"/>
      <c r="I621" s="168"/>
      <c r="J621" s="168"/>
      <c r="K621" s="168"/>
      <c r="L621" s="168"/>
      <c r="M621" s="168"/>
      <c r="N621" s="168"/>
      <c r="O621" s="168"/>
      <c r="P621" s="168"/>
      <c r="Q621" s="168"/>
      <c r="R621" s="168"/>
      <c r="S621" s="168"/>
      <c r="T621" s="168"/>
      <c r="U621" s="168"/>
      <c r="V621" s="168"/>
      <c r="W621" s="168"/>
      <c r="X621" s="168"/>
      <c r="Y621" s="168"/>
      <c r="Z621" s="168"/>
    </row>
    <row r="622" customFormat="false" ht="15.75" hidden="false" customHeight="false" outlineLevel="0" collapsed="false">
      <c r="A622" s="168"/>
      <c r="B622" s="168"/>
      <c r="C622" s="168"/>
      <c r="D622" s="168"/>
      <c r="E622" s="168"/>
      <c r="F622" s="168"/>
      <c r="G622" s="168"/>
      <c r="H622" s="168"/>
      <c r="I622" s="168"/>
      <c r="J622" s="168"/>
      <c r="K622" s="168"/>
      <c r="L622" s="168"/>
      <c r="M622" s="168"/>
      <c r="N622" s="168"/>
      <c r="O622" s="168"/>
      <c r="P622" s="168"/>
      <c r="Q622" s="168"/>
      <c r="R622" s="168"/>
      <c r="S622" s="168"/>
      <c r="T622" s="168"/>
      <c r="U622" s="168"/>
      <c r="V622" s="168"/>
      <c r="W622" s="168"/>
      <c r="X622" s="168"/>
      <c r="Y622" s="168"/>
      <c r="Z622" s="168"/>
    </row>
    <row r="623" customFormat="false" ht="15.75" hidden="false" customHeight="false" outlineLevel="0" collapsed="false">
      <c r="A623" s="168"/>
      <c r="B623" s="168"/>
      <c r="C623" s="168"/>
      <c r="D623" s="168"/>
      <c r="E623" s="168"/>
      <c r="F623" s="168"/>
      <c r="G623" s="168"/>
      <c r="H623" s="168"/>
      <c r="I623" s="168"/>
      <c r="J623" s="168"/>
      <c r="K623" s="168"/>
      <c r="L623" s="168"/>
      <c r="M623" s="168"/>
      <c r="N623" s="168"/>
      <c r="O623" s="168"/>
      <c r="P623" s="168"/>
      <c r="Q623" s="168"/>
      <c r="R623" s="168"/>
      <c r="S623" s="168"/>
      <c r="T623" s="168"/>
      <c r="U623" s="168"/>
      <c r="V623" s="168"/>
      <c r="W623" s="168"/>
      <c r="X623" s="168"/>
      <c r="Y623" s="168"/>
      <c r="Z623" s="168"/>
    </row>
    <row r="624" customFormat="false" ht="15.75" hidden="false" customHeight="false" outlineLevel="0" collapsed="false">
      <c r="A624" s="168"/>
      <c r="B624" s="168"/>
      <c r="C624" s="168"/>
      <c r="D624" s="168"/>
      <c r="E624" s="168"/>
      <c r="F624" s="168"/>
      <c r="G624" s="168"/>
      <c r="H624" s="168"/>
      <c r="I624" s="168"/>
      <c r="J624" s="168"/>
      <c r="K624" s="168"/>
      <c r="L624" s="168"/>
      <c r="M624" s="168"/>
      <c r="N624" s="168"/>
      <c r="O624" s="168"/>
      <c r="P624" s="168"/>
      <c r="Q624" s="168"/>
      <c r="R624" s="168"/>
      <c r="S624" s="168"/>
      <c r="T624" s="168"/>
      <c r="U624" s="168"/>
      <c r="V624" s="168"/>
      <c r="W624" s="168"/>
      <c r="X624" s="168"/>
      <c r="Y624" s="168"/>
      <c r="Z624" s="168"/>
    </row>
    <row r="625" customFormat="false" ht="15.75" hidden="false" customHeight="false" outlineLevel="0" collapsed="false">
      <c r="A625" s="168"/>
      <c r="B625" s="168"/>
      <c r="C625" s="168"/>
      <c r="D625" s="168"/>
      <c r="E625" s="168"/>
      <c r="F625" s="168"/>
      <c r="G625" s="168"/>
      <c r="H625" s="168"/>
      <c r="I625" s="168"/>
      <c r="J625" s="168"/>
      <c r="K625" s="168"/>
      <c r="L625" s="168"/>
      <c r="M625" s="168"/>
      <c r="N625" s="168"/>
      <c r="O625" s="168"/>
      <c r="P625" s="168"/>
      <c r="Q625" s="168"/>
      <c r="R625" s="168"/>
      <c r="S625" s="168"/>
      <c r="T625" s="168"/>
      <c r="U625" s="168"/>
      <c r="V625" s="168"/>
      <c r="W625" s="168"/>
      <c r="X625" s="168"/>
      <c r="Y625" s="168"/>
      <c r="Z625" s="168"/>
    </row>
    <row r="626" customFormat="false" ht="15.75" hidden="false" customHeight="false" outlineLevel="0" collapsed="false">
      <c r="A626" s="168"/>
      <c r="B626" s="168"/>
      <c r="C626" s="168"/>
      <c r="D626" s="168"/>
      <c r="E626" s="168"/>
      <c r="F626" s="168"/>
      <c r="G626" s="168"/>
      <c r="H626" s="168"/>
      <c r="I626" s="168"/>
      <c r="J626" s="168"/>
      <c r="K626" s="168"/>
      <c r="L626" s="168"/>
      <c r="M626" s="168"/>
      <c r="N626" s="168"/>
      <c r="O626" s="168"/>
      <c r="P626" s="168"/>
      <c r="Q626" s="168"/>
      <c r="R626" s="168"/>
      <c r="S626" s="168"/>
      <c r="T626" s="168"/>
      <c r="U626" s="168"/>
      <c r="V626" s="168"/>
      <c r="W626" s="168"/>
      <c r="X626" s="168"/>
      <c r="Y626" s="168"/>
      <c r="Z626" s="168"/>
    </row>
    <row r="627" customFormat="false" ht="15.75" hidden="false" customHeight="false" outlineLevel="0" collapsed="false">
      <c r="A627" s="168"/>
      <c r="B627" s="168"/>
      <c r="C627" s="168"/>
      <c r="D627" s="168"/>
      <c r="E627" s="168"/>
      <c r="F627" s="168"/>
      <c r="G627" s="168"/>
      <c r="H627" s="168"/>
      <c r="I627" s="168"/>
      <c r="J627" s="168"/>
      <c r="K627" s="168"/>
      <c r="L627" s="168"/>
      <c r="M627" s="168"/>
      <c r="N627" s="168"/>
      <c r="O627" s="168"/>
      <c r="P627" s="168"/>
      <c r="Q627" s="168"/>
      <c r="R627" s="168"/>
      <c r="S627" s="168"/>
      <c r="T627" s="168"/>
      <c r="U627" s="168"/>
      <c r="V627" s="168"/>
      <c r="W627" s="168"/>
      <c r="X627" s="168"/>
      <c r="Y627" s="168"/>
      <c r="Z627" s="168"/>
    </row>
    <row r="628" customFormat="false" ht="15.75" hidden="false" customHeight="false" outlineLevel="0" collapsed="false">
      <c r="A628" s="168"/>
      <c r="B628" s="168"/>
      <c r="C628" s="168"/>
      <c r="D628" s="168"/>
      <c r="E628" s="168"/>
      <c r="F628" s="168"/>
      <c r="G628" s="168"/>
      <c r="H628" s="168"/>
      <c r="I628" s="168"/>
      <c r="J628" s="168"/>
      <c r="K628" s="168"/>
      <c r="L628" s="168"/>
      <c r="M628" s="168"/>
      <c r="N628" s="168"/>
      <c r="O628" s="168"/>
      <c r="P628" s="168"/>
      <c r="Q628" s="168"/>
      <c r="R628" s="168"/>
      <c r="S628" s="168"/>
      <c r="T628" s="168"/>
      <c r="U628" s="168"/>
      <c r="V628" s="168"/>
      <c r="W628" s="168"/>
      <c r="X628" s="168"/>
      <c r="Y628" s="168"/>
      <c r="Z628" s="168"/>
    </row>
    <row r="629" customFormat="false" ht="15.75" hidden="false" customHeight="false" outlineLevel="0" collapsed="false">
      <c r="A629" s="168"/>
      <c r="B629" s="168"/>
      <c r="C629" s="168"/>
      <c r="D629" s="168"/>
      <c r="E629" s="168"/>
      <c r="F629" s="168"/>
      <c r="G629" s="168"/>
      <c r="H629" s="168"/>
      <c r="I629" s="168"/>
      <c r="J629" s="168"/>
      <c r="K629" s="168"/>
      <c r="L629" s="168"/>
      <c r="M629" s="168"/>
      <c r="N629" s="168"/>
      <c r="O629" s="168"/>
      <c r="P629" s="168"/>
      <c r="Q629" s="168"/>
      <c r="R629" s="168"/>
      <c r="S629" s="168"/>
      <c r="T629" s="168"/>
      <c r="U629" s="168"/>
      <c r="V629" s="168"/>
      <c r="W629" s="168"/>
      <c r="X629" s="168"/>
      <c r="Y629" s="168"/>
      <c r="Z629" s="168"/>
    </row>
    <row r="630" customFormat="false" ht="15.75" hidden="false" customHeight="false" outlineLevel="0" collapsed="false">
      <c r="A630" s="168"/>
      <c r="B630" s="168"/>
      <c r="C630" s="168"/>
      <c r="D630" s="168"/>
      <c r="E630" s="168"/>
      <c r="F630" s="168"/>
      <c r="G630" s="168"/>
      <c r="H630" s="168"/>
      <c r="I630" s="168"/>
      <c r="J630" s="168"/>
      <c r="K630" s="168"/>
      <c r="L630" s="168"/>
      <c r="M630" s="168"/>
      <c r="N630" s="168"/>
      <c r="O630" s="168"/>
      <c r="P630" s="168"/>
      <c r="Q630" s="168"/>
      <c r="R630" s="168"/>
      <c r="S630" s="168"/>
      <c r="T630" s="168"/>
      <c r="U630" s="168"/>
      <c r="V630" s="168"/>
      <c r="W630" s="168"/>
      <c r="X630" s="168"/>
      <c r="Y630" s="168"/>
      <c r="Z630" s="168"/>
    </row>
    <row r="631" customFormat="false" ht="15.75" hidden="false" customHeight="false" outlineLevel="0" collapsed="false">
      <c r="A631" s="168"/>
      <c r="B631" s="168"/>
      <c r="C631" s="168"/>
      <c r="D631" s="168"/>
      <c r="E631" s="168"/>
      <c r="F631" s="168"/>
      <c r="G631" s="168"/>
      <c r="H631" s="168"/>
      <c r="I631" s="168"/>
      <c r="J631" s="168"/>
      <c r="K631" s="168"/>
      <c r="L631" s="168"/>
      <c r="M631" s="168"/>
      <c r="N631" s="168"/>
      <c r="O631" s="168"/>
      <c r="P631" s="168"/>
      <c r="Q631" s="168"/>
      <c r="R631" s="168"/>
      <c r="S631" s="168"/>
      <c r="T631" s="168"/>
      <c r="U631" s="168"/>
      <c r="V631" s="168"/>
      <c r="W631" s="168"/>
      <c r="X631" s="168"/>
      <c r="Y631" s="168"/>
      <c r="Z631" s="168"/>
    </row>
    <row r="632" customFormat="false" ht="15.75" hidden="false" customHeight="false" outlineLevel="0" collapsed="false">
      <c r="A632" s="168"/>
      <c r="B632" s="168"/>
      <c r="C632" s="168"/>
      <c r="D632" s="168"/>
      <c r="E632" s="168"/>
      <c r="F632" s="168"/>
      <c r="G632" s="168"/>
      <c r="H632" s="168"/>
      <c r="I632" s="168"/>
      <c r="J632" s="168"/>
      <c r="K632" s="168"/>
      <c r="L632" s="168"/>
      <c r="M632" s="168"/>
      <c r="N632" s="168"/>
      <c r="O632" s="168"/>
      <c r="P632" s="168"/>
      <c r="Q632" s="168"/>
      <c r="R632" s="168"/>
      <c r="S632" s="168"/>
      <c r="T632" s="168"/>
      <c r="U632" s="168"/>
      <c r="V632" s="168"/>
      <c r="W632" s="168"/>
      <c r="X632" s="168"/>
      <c r="Y632" s="168"/>
      <c r="Z632" s="168"/>
    </row>
    <row r="633" customFormat="false" ht="15.75" hidden="false" customHeight="false" outlineLevel="0" collapsed="false">
      <c r="A633" s="168"/>
      <c r="B633" s="168"/>
      <c r="C633" s="168"/>
      <c r="D633" s="168"/>
      <c r="E633" s="168"/>
      <c r="F633" s="168"/>
      <c r="G633" s="168"/>
      <c r="H633" s="168"/>
      <c r="I633" s="168"/>
      <c r="J633" s="168"/>
      <c r="K633" s="168"/>
      <c r="L633" s="168"/>
      <c r="M633" s="168"/>
      <c r="N633" s="168"/>
      <c r="O633" s="168"/>
      <c r="P633" s="168"/>
      <c r="Q633" s="168"/>
      <c r="R633" s="168"/>
      <c r="S633" s="168"/>
      <c r="T633" s="168"/>
      <c r="U633" s="168"/>
      <c r="V633" s="168"/>
      <c r="W633" s="168"/>
      <c r="X633" s="168"/>
      <c r="Y633" s="168"/>
      <c r="Z633" s="168"/>
    </row>
    <row r="634" customFormat="false" ht="15.75" hidden="false" customHeight="false" outlineLevel="0" collapsed="false">
      <c r="A634" s="168"/>
      <c r="B634" s="168"/>
      <c r="C634" s="168"/>
      <c r="D634" s="168"/>
      <c r="E634" s="168"/>
      <c r="F634" s="168"/>
      <c r="G634" s="168"/>
      <c r="H634" s="168"/>
      <c r="I634" s="168"/>
      <c r="J634" s="168"/>
      <c r="K634" s="168"/>
      <c r="L634" s="168"/>
      <c r="M634" s="168"/>
      <c r="N634" s="168"/>
      <c r="O634" s="168"/>
      <c r="P634" s="168"/>
      <c r="Q634" s="168"/>
      <c r="R634" s="168"/>
      <c r="S634" s="168"/>
      <c r="T634" s="168"/>
      <c r="U634" s="168"/>
      <c r="V634" s="168"/>
      <c r="W634" s="168"/>
      <c r="X634" s="168"/>
      <c r="Y634" s="168"/>
      <c r="Z634" s="168"/>
    </row>
    <row r="635" customFormat="false" ht="15.75" hidden="false" customHeight="false" outlineLevel="0" collapsed="false">
      <c r="A635" s="168"/>
      <c r="B635" s="168"/>
      <c r="C635" s="168"/>
      <c r="D635" s="168"/>
      <c r="E635" s="168"/>
      <c r="F635" s="168"/>
      <c r="G635" s="168"/>
      <c r="H635" s="168"/>
      <c r="I635" s="168"/>
      <c r="J635" s="168"/>
      <c r="K635" s="168"/>
      <c r="L635" s="168"/>
      <c r="M635" s="168"/>
      <c r="N635" s="168"/>
      <c r="O635" s="168"/>
      <c r="P635" s="168"/>
      <c r="Q635" s="168"/>
      <c r="R635" s="168"/>
      <c r="S635" s="168"/>
      <c r="T635" s="168"/>
      <c r="U635" s="168"/>
      <c r="V635" s="168"/>
      <c r="W635" s="168"/>
      <c r="X635" s="168"/>
      <c r="Y635" s="168"/>
      <c r="Z635" s="168"/>
    </row>
    <row r="636" customFormat="false" ht="15.75" hidden="false" customHeight="false" outlineLevel="0" collapsed="false">
      <c r="A636" s="168"/>
      <c r="B636" s="168"/>
      <c r="C636" s="168"/>
      <c r="D636" s="168"/>
      <c r="E636" s="168"/>
      <c r="F636" s="168"/>
      <c r="G636" s="168"/>
      <c r="H636" s="168"/>
      <c r="I636" s="168"/>
      <c r="J636" s="168"/>
      <c r="K636" s="168"/>
      <c r="L636" s="168"/>
      <c r="M636" s="168"/>
      <c r="N636" s="168"/>
      <c r="O636" s="168"/>
      <c r="P636" s="168"/>
      <c r="Q636" s="168"/>
      <c r="R636" s="168"/>
      <c r="S636" s="168"/>
      <c r="T636" s="168"/>
      <c r="U636" s="168"/>
      <c r="V636" s="168"/>
      <c r="W636" s="168"/>
      <c r="X636" s="168"/>
      <c r="Y636" s="168"/>
      <c r="Z636" s="168"/>
    </row>
    <row r="637" customFormat="false" ht="15.75" hidden="false" customHeight="false" outlineLevel="0" collapsed="false">
      <c r="A637" s="168"/>
      <c r="B637" s="168"/>
      <c r="C637" s="168"/>
      <c r="D637" s="168"/>
      <c r="E637" s="168"/>
      <c r="F637" s="168"/>
      <c r="G637" s="168"/>
      <c r="H637" s="168"/>
      <c r="I637" s="168"/>
      <c r="J637" s="168"/>
      <c r="K637" s="168"/>
      <c r="L637" s="168"/>
      <c r="M637" s="168"/>
      <c r="N637" s="168"/>
      <c r="O637" s="168"/>
      <c r="P637" s="168"/>
      <c r="Q637" s="168"/>
      <c r="R637" s="168"/>
      <c r="S637" s="168"/>
      <c r="T637" s="168"/>
      <c r="U637" s="168"/>
      <c r="V637" s="168"/>
      <c r="W637" s="168"/>
      <c r="X637" s="168"/>
      <c r="Y637" s="168"/>
      <c r="Z637" s="168"/>
    </row>
    <row r="638" customFormat="false" ht="15.75" hidden="false" customHeight="false" outlineLevel="0" collapsed="false">
      <c r="A638" s="168"/>
      <c r="B638" s="168"/>
      <c r="C638" s="168"/>
      <c r="D638" s="168"/>
      <c r="E638" s="168"/>
      <c r="F638" s="168"/>
      <c r="G638" s="168"/>
      <c r="H638" s="168"/>
      <c r="I638" s="168"/>
      <c r="J638" s="168"/>
      <c r="K638" s="168"/>
      <c r="L638" s="168"/>
      <c r="M638" s="168"/>
      <c r="N638" s="168"/>
      <c r="O638" s="168"/>
      <c r="P638" s="168"/>
      <c r="Q638" s="168"/>
      <c r="R638" s="168"/>
      <c r="S638" s="168"/>
      <c r="T638" s="168"/>
      <c r="U638" s="168"/>
      <c r="V638" s="168"/>
      <c r="W638" s="168"/>
      <c r="X638" s="168"/>
      <c r="Y638" s="168"/>
      <c r="Z638" s="168"/>
    </row>
    <row r="639" customFormat="false" ht="15.75" hidden="false" customHeight="false" outlineLevel="0" collapsed="false">
      <c r="A639" s="168"/>
      <c r="B639" s="168"/>
      <c r="C639" s="168"/>
      <c r="D639" s="168"/>
      <c r="E639" s="168"/>
      <c r="F639" s="168"/>
      <c r="G639" s="168"/>
      <c r="H639" s="168"/>
      <c r="I639" s="168"/>
      <c r="J639" s="168"/>
      <c r="K639" s="168"/>
      <c r="L639" s="168"/>
      <c r="M639" s="168"/>
      <c r="N639" s="168"/>
      <c r="O639" s="168"/>
      <c r="P639" s="168"/>
      <c r="Q639" s="168"/>
      <c r="R639" s="168"/>
      <c r="S639" s="168"/>
      <c r="T639" s="168"/>
      <c r="U639" s="168"/>
      <c r="V639" s="168"/>
      <c r="W639" s="168"/>
      <c r="X639" s="168"/>
      <c r="Y639" s="168"/>
      <c r="Z639" s="168"/>
    </row>
    <row r="640" customFormat="false" ht="15.75" hidden="false" customHeight="false" outlineLevel="0" collapsed="false">
      <c r="A640" s="168"/>
      <c r="B640" s="168"/>
      <c r="C640" s="168"/>
      <c r="D640" s="168"/>
      <c r="E640" s="168"/>
      <c r="F640" s="168"/>
      <c r="G640" s="168"/>
      <c r="H640" s="168"/>
      <c r="I640" s="168"/>
      <c r="J640" s="168"/>
      <c r="K640" s="168"/>
      <c r="L640" s="168"/>
      <c r="M640" s="168"/>
      <c r="N640" s="168"/>
      <c r="O640" s="168"/>
      <c r="P640" s="168"/>
      <c r="Q640" s="168"/>
      <c r="R640" s="168"/>
      <c r="S640" s="168"/>
      <c r="T640" s="168"/>
      <c r="U640" s="168"/>
      <c r="V640" s="168"/>
      <c r="W640" s="168"/>
      <c r="X640" s="168"/>
      <c r="Y640" s="168"/>
      <c r="Z640" s="168"/>
    </row>
    <row r="641" customFormat="false" ht="15.75" hidden="false" customHeight="false" outlineLevel="0" collapsed="false">
      <c r="A641" s="168"/>
      <c r="B641" s="168"/>
      <c r="C641" s="168"/>
      <c r="D641" s="168"/>
      <c r="E641" s="168"/>
      <c r="F641" s="168"/>
      <c r="G641" s="168"/>
      <c r="H641" s="168"/>
      <c r="I641" s="168"/>
      <c r="J641" s="168"/>
      <c r="K641" s="168"/>
      <c r="L641" s="168"/>
      <c r="M641" s="168"/>
      <c r="N641" s="168"/>
      <c r="O641" s="168"/>
      <c r="P641" s="168"/>
      <c r="Q641" s="168"/>
      <c r="R641" s="168"/>
      <c r="S641" s="168"/>
      <c r="T641" s="168"/>
      <c r="U641" s="168"/>
      <c r="V641" s="168"/>
      <c r="W641" s="168"/>
      <c r="X641" s="168"/>
      <c r="Y641" s="168"/>
      <c r="Z641" s="168"/>
    </row>
    <row r="642" customFormat="false" ht="15.75" hidden="false" customHeight="false" outlineLevel="0" collapsed="false">
      <c r="A642" s="168"/>
      <c r="B642" s="168"/>
      <c r="C642" s="168"/>
      <c r="D642" s="168"/>
      <c r="E642" s="168"/>
      <c r="F642" s="168"/>
      <c r="G642" s="168"/>
      <c r="H642" s="168"/>
      <c r="I642" s="168"/>
      <c r="J642" s="168"/>
      <c r="K642" s="168"/>
      <c r="L642" s="168"/>
      <c r="M642" s="168"/>
      <c r="N642" s="168"/>
      <c r="O642" s="168"/>
      <c r="P642" s="168"/>
      <c r="Q642" s="168"/>
      <c r="R642" s="168"/>
      <c r="S642" s="168"/>
      <c r="T642" s="168"/>
      <c r="U642" s="168"/>
      <c r="V642" s="168"/>
      <c r="W642" s="168"/>
      <c r="X642" s="168"/>
      <c r="Y642" s="168"/>
      <c r="Z642" s="168"/>
    </row>
    <row r="643" customFormat="false" ht="15.75" hidden="false" customHeight="false" outlineLevel="0" collapsed="false">
      <c r="A643" s="168"/>
      <c r="B643" s="168"/>
      <c r="C643" s="168"/>
      <c r="D643" s="168"/>
      <c r="E643" s="168"/>
      <c r="F643" s="168"/>
      <c r="G643" s="168"/>
      <c r="H643" s="168"/>
      <c r="I643" s="168"/>
      <c r="J643" s="168"/>
      <c r="K643" s="168"/>
      <c r="L643" s="168"/>
      <c r="M643" s="168"/>
      <c r="N643" s="168"/>
      <c r="O643" s="168"/>
      <c r="P643" s="168"/>
      <c r="Q643" s="168"/>
      <c r="R643" s="168"/>
      <c r="S643" s="168"/>
      <c r="T643" s="168"/>
      <c r="U643" s="168"/>
      <c r="V643" s="168"/>
      <c r="W643" s="168"/>
      <c r="X643" s="168"/>
      <c r="Y643" s="168"/>
      <c r="Z643" s="168"/>
    </row>
    <row r="644" customFormat="false" ht="15.75" hidden="false" customHeight="false" outlineLevel="0" collapsed="false">
      <c r="A644" s="168"/>
      <c r="B644" s="168"/>
      <c r="C644" s="168"/>
      <c r="D644" s="168"/>
      <c r="E644" s="168"/>
      <c r="F644" s="168"/>
      <c r="G644" s="168"/>
      <c r="H644" s="168"/>
      <c r="I644" s="168"/>
      <c r="J644" s="168"/>
      <c r="K644" s="168"/>
      <c r="L644" s="168"/>
      <c r="M644" s="168"/>
      <c r="N644" s="168"/>
      <c r="O644" s="168"/>
      <c r="P644" s="168"/>
      <c r="Q644" s="168"/>
      <c r="R644" s="168"/>
      <c r="S644" s="168"/>
      <c r="T644" s="168"/>
      <c r="U644" s="168"/>
      <c r="V644" s="168"/>
      <c r="W644" s="168"/>
      <c r="X644" s="168"/>
      <c r="Y644" s="168"/>
      <c r="Z644" s="168"/>
    </row>
    <row r="645" customFormat="false" ht="15.75" hidden="false" customHeight="false" outlineLevel="0" collapsed="false">
      <c r="A645" s="168"/>
      <c r="B645" s="168"/>
      <c r="C645" s="168"/>
      <c r="D645" s="168"/>
      <c r="E645" s="168"/>
      <c r="F645" s="168"/>
      <c r="G645" s="168"/>
      <c r="H645" s="168"/>
      <c r="I645" s="168"/>
      <c r="J645" s="168"/>
      <c r="K645" s="168"/>
      <c r="L645" s="168"/>
      <c r="M645" s="168"/>
      <c r="N645" s="168"/>
      <c r="O645" s="168"/>
      <c r="P645" s="168"/>
      <c r="Q645" s="168"/>
      <c r="R645" s="168"/>
      <c r="S645" s="168"/>
      <c r="T645" s="168"/>
      <c r="U645" s="168"/>
      <c r="V645" s="168"/>
      <c r="W645" s="168"/>
      <c r="X645" s="168"/>
      <c r="Y645" s="168"/>
      <c r="Z645" s="168"/>
    </row>
    <row r="646" customFormat="false" ht="15.75" hidden="false" customHeight="false" outlineLevel="0" collapsed="false">
      <c r="A646" s="168"/>
      <c r="B646" s="168"/>
      <c r="C646" s="168"/>
      <c r="D646" s="168"/>
      <c r="E646" s="168"/>
      <c r="F646" s="168"/>
      <c r="G646" s="168"/>
      <c r="H646" s="168"/>
      <c r="I646" s="168"/>
      <c r="J646" s="168"/>
      <c r="K646" s="168"/>
      <c r="L646" s="168"/>
      <c r="M646" s="168"/>
      <c r="N646" s="168"/>
      <c r="O646" s="168"/>
      <c r="P646" s="168"/>
      <c r="Q646" s="168"/>
      <c r="R646" s="168"/>
      <c r="S646" s="168"/>
      <c r="T646" s="168"/>
      <c r="U646" s="168"/>
      <c r="V646" s="168"/>
      <c r="W646" s="168"/>
      <c r="X646" s="168"/>
      <c r="Y646" s="168"/>
      <c r="Z646" s="168"/>
    </row>
    <row r="647" customFormat="false" ht="15.75" hidden="false" customHeight="false" outlineLevel="0" collapsed="false">
      <c r="A647" s="168"/>
      <c r="B647" s="168"/>
      <c r="C647" s="168"/>
      <c r="D647" s="168"/>
      <c r="E647" s="168"/>
      <c r="F647" s="168"/>
      <c r="G647" s="168"/>
      <c r="H647" s="168"/>
      <c r="I647" s="168"/>
      <c r="J647" s="168"/>
      <c r="K647" s="168"/>
      <c r="L647" s="168"/>
      <c r="M647" s="168"/>
      <c r="N647" s="168"/>
      <c r="O647" s="168"/>
      <c r="P647" s="168"/>
      <c r="Q647" s="168"/>
      <c r="R647" s="168"/>
      <c r="S647" s="168"/>
      <c r="T647" s="168"/>
      <c r="U647" s="168"/>
      <c r="V647" s="168"/>
      <c r="W647" s="168"/>
      <c r="X647" s="168"/>
      <c r="Y647" s="168"/>
      <c r="Z647" s="168"/>
    </row>
    <row r="648" customFormat="false" ht="15.75" hidden="false" customHeight="false" outlineLevel="0" collapsed="false">
      <c r="A648" s="168"/>
      <c r="B648" s="168"/>
      <c r="C648" s="168"/>
      <c r="D648" s="168"/>
      <c r="E648" s="168"/>
      <c r="F648" s="168"/>
      <c r="G648" s="168"/>
      <c r="H648" s="168"/>
      <c r="I648" s="168"/>
      <c r="J648" s="168"/>
      <c r="K648" s="168"/>
      <c r="L648" s="168"/>
      <c r="M648" s="168"/>
      <c r="N648" s="168"/>
      <c r="O648" s="168"/>
      <c r="P648" s="168"/>
      <c r="Q648" s="168"/>
      <c r="R648" s="168"/>
      <c r="S648" s="168"/>
      <c r="T648" s="168"/>
      <c r="U648" s="168"/>
      <c r="V648" s="168"/>
      <c r="W648" s="168"/>
      <c r="X648" s="168"/>
      <c r="Y648" s="168"/>
      <c r="Z648" s="168"/>
    </row>
    <row r="649" customFormat="false" ht="15.75" hidden="false" customHeight="false" outlineLevel="0" collapsed="false">
      <c r="A649" s="168"/>
      <c r="B649" s="168"/>
      <c r="C649" s="168"/>
      <c r="D649" s="168"/>
      <c r="E649" s="168"/>
      <c r="F649" s="168"/>
      <c r="G649" s="168"/>
      <c r="H649" s="168"/>
      <c r="I649" s="168"/>
      <c r="J649" s="168"/>
      <c r="K649" s="168"/>
      <c r="L649" s="168"/>
      <c r="M649" s="168"/>
      <c r="N649" s="168"/>
      <c r="O649" s="168"/>
      <c r="P649" s="168"/>
      <c r="Q649" s="168"/>
      <c r="R649" s="168"/>
      <c r="S649" s="168"/>
      <c r="T649" s="168"/>
      <c r="U649" s="168"/>
      <c r="V649" s="168"/>
      <c r="W649" s="168"/>
      <c r="X649" s="168"/>
      <c r="Y649" s="168"/>
      <c r="Z649" s="168"/>
    </row>
    <row r="650" customFormat="false" ht="15.75" hidden="false" customHeight="false" outlineLevel="0" collapsed="false">
      <c r="A650" s="168"/>
      <c r="B650" s="168"/>
      <c r="C650" s="168"/>
      <c r="D650" s="168"/>
      <c r="E650" s="168"/>
      <c r="F650" s="168"/>
      <c r="G650" s="168"/>
      <c r="H650" s="168"/>
      <c r="I650" s="168"/>
      <c r="J650" s="168"/>
      <c r="K650" s="168"/>
      <c r="L650" s="168"/>
      <c r="M650" s="168"/>
      <c r="N650" s="168"/>
      <c r="O650" s="168"/>
      <c r="P650" s="168"/>
      <c r="Q650" s="168"/>
      <c r="R650" s="168"/>
      <c r="S650" s="168"/>
      <c r="T650" s="168"/>
      <c r="U650" s="168"/>
      <c r="V650" s="168"/>
      <c r="W650" s="168"/>
      <c r="X650" s="168"/>
      <c r="Y650" s="168"/>
      <c r="Z650" s="168"/>
    </row>
    <row r="651" customFormat="false" ht="15.75" hidden="false" customHeight="false" outlineLevel="0" collapsed="false">
      <c r="A651" s="168"/>
      <c r="B651" s="168"/>
      <c r="C651" s="168"/>
      <c r="D651" s="168"/>
      <c r="E651" s="168"/>
      <c r="F651" s="168"/>
      <c r="G651" s="168"/>
      <c r="H651" s="168"/>
      <c r="I651" s="168"/>
      <c r="J651" s="168"/>
      <c r="K651" s="168"/>
      <c r="L651" s="168"/>
      <c r="M651" s="168"/>
      <c r="N651" s="168"/>
      <c r="O651" s="168"/>
      <c r="P651" s="168"/>
      <c r="Q651" s="168"/>
      <c r="R651" s="168"/>
      <c r="S651" s="168"/>
      <c r="T651" s="168"/>
      <c r="U651" s="168"/>
      <c r="V651" s="168"/>
      <c r="W651" s="168"/>
      <c r="X651" s="168"/>
      <c r="Y651" s="168"/>
      <c r="Z651" s="168"/>
    </row>
    <row r="652" customFormat="false" ht="15.75" hidden="false" customHeight="false" outlineLevel="0" collapsed="false">
      <c r="A652" s="168"/>
      <c r="B652" s="168"/>
      <c r="C652" s="168"/>
      <c r="D652" s="168"/>
      <c r="E652" s="168"/>
      <c r="F652" s="168"/>
      <c r="G652" s="168"/>
      <c r="H652" s="168"/>
      <c r="I652" s="168"/>
      <c r="J652" s="168"/>
      <c r="K652" s="168"/>
      <c r="L652" s="168"/>
      <c r="M652" s="168"/>
      <c r="N652" s="168"/>
      <c r="O652" s="168"/>
      <c r="P652" s="168"/>
      <c r="Q652" s="168"/>
      <c r="R652" s="168"/>
      <c r="S652" s="168"/>
      <c r="T652" s="168"/>
      <c r="U652" s="168"/>
      <c r="V652" s="168"/>
      <c r="W652" s="168"/>
      <c r="X652" s="168"/>
      <c r="Y652" s="168"/>
      <c r="Z652" s="168"/>
    </row>
    <row r="653" customFormat="false" ht="15.75" hidden="false" customHeight="false" outlineLevel="0" collapsed="false">
      <c r="A653" s="168"/>
      <c r="B653" s="168"/>
      <c r="C653" s="168"/>
      <c r="D653" s="168"/>
      <c r="E653" s="168"/>
      <c r="F653" s="168"/>
      <c r="G653" s="168"/>
      <c r="H653" s="168"/>
      <c r="I653" s="168"/>
      <c r="J653" s="168"/>
      <c r="K653" s="168"/>
      <c r="L653" s="168"/>
      <c r="M653" s="168"/>
      <c r="N653" s="168"/>
      <c r="O653" s="168"/>
      <c r="P653" s="168"/>
      <c r="Q653" s="168"/>
      <c r="R653" s="168"/>
      <c r="S653" s="168"/>
      <c r="T653" s="168"/>
      <c r="U653" s="168"/>
      <c r="V653" s="168"/>
      <c r="W653" s="168"/>
      <c r="X653" s="168"/>
      <c r="Y653" s="168"/>
      <c r="Z653" s="168"/>
    </row>
    <row r="654" customFormat="false" ht="15.75" hidden="false" customHeight="false" outlineLevel="0" collapsed="false">
      <c r="A654" s="168"/>
      <c r="B654" s="168"/>
      <c r="C654" s="168"/>
      <c r="D654" s="168"/>
      <c r="E654" s="168"/>
      <c r="F654" s="168"/>
      <c r="G654" s="168"/>
      <c r="H654" s="168"/>
      <c r="I654" s="168"/>
      <c r="J654" s="168"/>
      <c r="K654" s="168"/>
      <c r="L654" s="168"/>
      <c r="M654" s="168"/>
      <c r="N654" s="168"/>
      <c r="O654" s="168"/>
      <c r="P654" s="168"/>
      <c r="Q654" s="168"/>
      <c r="R654" s="168"/>
      <c r="S654" s="168"/>
      <c r="T654" s="168"/>
      <c r="U654" s="168"/>
      <c r="V654" s="168"/>
      <c r="W654" s="168"/>
      <c r="X654" s="168"/>
      <c r="Y654" s="168"/>
      <c r="Z654" s="168"/>
    </row>
    <row r="655" customFormat="false" ht="15.75" hidden="false" customHeight="false" outlineLevel="0" collapsed="false">
      <c r="A655" s="168"/>
      <c r="B655" s="168"/>
      <c r="C655" s="168"/>
      <c r="D655" s="168"/>
      <c r="E655" s="168"/>
      <c r="F655" s="168"/>
      <c r="G655" s="168"/>
      <c r="H655" s="168"/>
      <c r="I655" s="168"/>
      <c r="J655" s="168"/>
      <c r="K655" s="168"/>
      <c r="L655" s="168"/>
      <c r="M655" s="168"/>
      <c r="N655" s="168"/>
      <c r="O655" s="168"/>
      <c r="P655" s="168"/>
      <c r="Q655" s="168"/>
      <c r="R655" s="168"/>
      <c r="S655" s="168"/>
      <c r="T655" s="168"/>
      <c r="U655" s="168"/>
      <c r="V655" s="168"/>
      <c r="W655" s="168"/>
      <c r="X655" s="168"/>
      <c r="Y655" s="168"/>
      <c r="Z655" s="168"/>
    </row>
    <row r="656" customFormat="false" ht="15.75" hidden="false" customHeight="false" outlineLevel="0" collapsed="false">
      <c r="A656" s="168"/>
      <c r="B656" s="168"/>
      <c r="C656" s="168"/>
      <c r="D656" s="168"/>
      <c r="E656" s="168"/>
      <c r="F656" s="168"/>
      <c r="G656" s="168"/>
      <c r="H656" s="168"/>
      <c r="I656" s="168"/>
      <c r="J656" s="168"/>
      <c r="K656" s="168"/>
      <c r="L656" s="168"/>
      <c r="M656" s="168"/>
      <c r="N656" s="168"/>
      <c r="O656" s="168"/>
      <c r="P656" s="168"/>
      <c r="Q656" s="168"/>
      <c r="R656" s="168"/>
      <c r="S656" s="168"/>
      <c r="T656" s="168"/>
      <c r="U656" s="168"/>
      <c r="V656" s="168"/>
      <c r="W656" s="168"/>
      <c r="X656" s="168"/>
      <c r="Y656" s="168"/>
      <c r="Z656" s="168"/>
    </row>
    <row r="657" customFormat="false" ht="15.75" hidden="false" customHeight="false" outlineLevel="0" collapsed="false">
      <c r="A657" s="168"/>
      <c r="B657" s="168"/>
      <c r="C657" s="168"/>
      <c r="D657" s="168"/>
      <c r="E657" s="168"/>
      <c r="F657" s="168"/>
      <c r="G657" s="168"/>
      <c r="H657" s="168"/>
      <c r="I657" s="168"/>
      <c r="J657" s="168"/>
      <c r="K657" s="168"/>
      <c r="L657" s="168"/>
      <c r="M657" s="168"/>
      <c r="N657" s="168"/>
      <c r="O657" s="168"/>
      <c r="P657" s="168"/>
      <c r="Q657" s="168"/>
      <c r="R657" s="168"/>
      <c r="S657" s="168"/>
      <c r="T657" s="168"/>
      <c r="U657" s="168"/>
      <c r="V657" s="168"/>
      <c r="W657" s="168"/>
      <c r="X657" s="168"/>
      <c r="Y657" s="168"/>
      <c r="Z657" s="168"/>
    </row>
    <row r="658" customFormat="false" ht="15.75" hidden="false" customHeight="false" outlineLevel="0" collapsed="false">
      <c r="A658" s="168"/>
      <c r="B658" s="168"/>
      <c r="C658" s="168"/>
      <c r="D658" s="168"/>
      <c r="E658" s="168"/>
      <c r="F658" s="168"/>
      <c r="G658" s="168"/>
      <c r="H658" s="168"/>
      <c r="I658" s="168"/>
      <c r="J658" s="168"/>
      <c r="K658" s="168"/>
      <c r="L658" s="168"/>
      <c r="M658" s="168"/>
      <c r="N658" s="168"/>
      <c r="O658" s="168"/>
      <c r="P658" s="168"/>
      <c r="Q658" s="168"/>
      <c r="R658" s="168"/>
      <c r="S658" s="168"/>
      <c r="T658" s="168"/>
      <c r="U658" s="168"/>
      <c r="V658" s="168"/>
      <c r="W658" s="168"/>
      <c r="X658" s="168"/>
      <c r="Y658" s="168"/>
      <c r="Z658" s="168"/>
    </row>
    <row r="659" customFormat="false" ht="15.75" hidden="false" customHeight="false" outlineLevel="0" collapsed="false">
      <c r="A659" s="168"/>
      <c r="B659" s="168"/>
      <c r="C659" s="168"/>
      <c r="D659" s="168"/>
      <c r="E659" s="168"/>
      <c r="F659" s="168"/>
      <c r="G659" s="168"/>
      <c r="H659" s="168"/>
      <c r="I659" s="168"/>
      <c r="J659" s="168"/>
      <c r="K659" s="168"/>
      <c r="L659" s="168"/>
      <c r="M659" s="168"/>
      <c r="N659" s="168"/>
      <c r="O659" s="168"/>
      <c r="P659" s="168"/>
      <c r="Q659" s="168"/>
      <c r="R659" s="168"/>
      <c r="S659" s="168"/>
      <c r="T659" s="168"/>
      <c r="U659" s="168"/>
      <c r="V659" s="168"/>
      <c r="W659" s="168"/>
      <c r="X659" s="168"/>
      <c r="Y659" s="168"/>
      <c r="Z659" s="168"/>
    </row>
    <row r="660" customFormat="false" ht="15.75" hidden="false" customHeight="false" outlineLevel="0" collapsed="false">
      <c r="A660" s="168"/>
      <c r="B660" s="168"/>
      <c r="C660" s="168"/>
      <c r="D660" s="168"/>
      <c r="E660" s="168"/>
      <c r="F660" s="168"/>
      <c r="G660" s="168"/>
      <c r="H660" s="168"/>
      <c r="I660" s="168"/>
      <c r="J660" s="168"/>
      <c r="K660" s="168"/>
      <c r="L660" s="168"/>
      <c r="M660" s="168"/>
      <c r="N660" s="168"/>
      <c r="O660" s="168"/>
      <c r="P660" s="168"/>
      <c r="Q660" s="168"/>
      <c r="R660" s="168"/>
      <c r="S660" s="168"/>
      <c r="T660" s="168"/>
      <c r="U660" s="168"/>
      <c r="V660" s="168"/>
      <c r="W660" s="168"/>
      <c r="X660" s="168"/>
      <c r="Y660" s="168"/>
      <c r="Z660" s="168"/>
    </row>
    <row r="661" customFormat="false" ht="15.75" hidden="false" customHeight="false" outlineLevel="0" collapsed="false">
      <c r="A661" s="168"/>
      <c r="B661" s="168"/>
      <c r="C661" s="168"/>
      <c r="D661" s="168"/>
      <c r="E661" s="168"/>
      <c r="F661" s="168"/>
      <c r="G661" s="168"/>
      <c r="H661" s="168"/>
      <c r="I661" s="168"/>
      <c r="J661" s="168"/>
      <c r="K661" s="168"/>
      <c r="L661" s="168"/>
      <c r="M661" s="168"/>
      <c r="N661" s="168"/>
      <c r="O661" s="168"/>
      <c r="P661" s="168"/>
      <c r="Q661" s="168"/>
      <c r="R661" s="168"/>
      <c r="S661" s="168"/>
      <c r="T661" s="168"/>
      <c r="U661" s="168"/>
      <c r="V661" s="168"/>
      <c r="W661" s="168"/>
      <c r="X661" s="168"/>
      <c r="Y661" s="168"/>
      <c r="Z661" s="168"/>
    </row>
    <row r="662" customFormat="false" ht="15.75" hidden="false" customHeight="false" outlineLevel="0" collapsed="false">
      <c r="A662" s="168"/>
      <c r="B662" s="168"/>
      <c r="C662" s="168"/>
      <c r="D662" s="168"/>
      <c r="E662" s="168"/>
      <c r="F662" s="168"/>
      <c r="G662" s="168"/>
      <c r="H662" s="168"/>
      <c r="I662" s="168"/>
      <c r="J662" s="168"/>
      <c r="K662" s="168"/>
      <c r="L662" s="168"/>
      <c r="M662" s="168"/>
      <c r="N662" s="168"/>
      <c r="O662" s="168"/>
      <c r="P662" s="168"/>
      <c r="Q662" s="168"/>
      <c r="R662" s="168"/>
      <c r="S662" s="168"/>
      <c r="T662" s="168"/>
      <c r="U662" s="168"/>
      <c r="V662" s="168"/>
      <c r="W662" s="168"/>
      <c r="X662" s="168"/>
      <c r="Y662" s="168"/>
      <c r="Z662" s="168"/>
    </row>
    <row r="663" customFormat="false" ht="15.75" hidden="false" customHeight="false" outlineLevel="0" collapsed="false">
      <c r="A663" s="168"/>
      <c r="B663" s="168"/>
      <c r="C663" s="168"/>
      <c r="D663" s="168"/>
      <c r="E663" s="168"/>
      <c r="F663" s="168"/>
      <c r="G663" s="168"/>
      <c r="H663" s="168"/>
      <c r="I663" s="168"/>
      <c r="J663" s="168"/>
      <c r="K663" s="168"/>
      <c r="L663" s="168"/>
      <c r="M663" s="168"/>
      <c r="N663" s="168"/>
      <c r="O663" s="168"/>
      <c r="P663" s="168"/>
      <c r="Q663" s="168"/>
      <c r="R663" s="168"/>
      <c r="S663" s="168"/>
      <c r="T663" s="168"/>
      <c r="U663" s="168"/>
      <c r="V663" s="168"/>
      <c r="W663" s="168"/>
      <c r="X663" s="168"/>
      <c r="Y663" s="168"/>
      <c r="Z663" s="168"/>
    </row>
    <row r="664" customFormat="false" ht="15.75" hidden="false" customHeight="false" outlineLevel="0" collapsed="false">
      <c r="A664" s="168"/>
      <c r="B664" s="168"/>
      <c r="C664" s="168"/>
      <c r="D664" s="168"/>
      <c r="E664" s="168"/>
      <c r="F664" s="168"/>
      <c r="G664" s="168"/>
      <c r="H664" s="168"/>
      <c r="I664" s="168"/>
      <c r="J664" s="168"/>
      <c r="K664" s="168"/>
      <c r="L664" s="168"/>
      <c r="M664" s="168"/>
      <c r="N664" s="168"/>
      <c r="O664" s="168"/>
      <c r="P664" s="168"/>
      <c r="Q664" s="168"/>
      <c r="R664" s="168"/>
      <c r="S664" s="168"/>
      <c r="T664" s="168"/>
      <c r="U664" s="168"/>
      <c r="V664" s="168"/>
      <c r="W664" s="168"/>
      <c r="X664" s="168"/>
      <c r="Y664" s="168"/>
      <c r="Z664" s="168"/>
    </row>
    <row r="665" customFormat="false" ht="15.75" hidden="false" customHeight="false" outlineLevel="0" collapsed="false">
      <c r="A665" s="168"/>
      <c r="B665" s="168"/>
      <c r="C665" s="168"/>
      <c r="D665" s="168"/>
      <c r="E665" s="168"/>
      <c r="F665" s="168"/>
      <c r="G665" s="168"/>
      <c r="H665" s="168"/>
      <c r="I665" s="168"/>
      <c r="J665" s="168"/>
      <c r="K665" s="168"/>
      <c r="L665" s="168"/>
      <c r="M665" s="168"/>
      <c r="N665" s="168"/>
      <c r="O665" s="168"/>
      <c r="P665" s="168"/>
      <c r="Q665" s="168"/>
      <c r="R665" s="168"/>
      <c r="S665" s="168"/>
      <c r="T665" s="168"/>
      <c r="U665" s="168"/>
      <c r="V665" s="168"/>
      <c r="W665" s="168"/>
      <c r="X665" s="168"/>
      <c r="Y665" s="168"/>
      <c r="Z665" s="168"/>
    </row>
    <row r="666" customFormat="false" ht="15.75" hidden="false" customHeight="false" outlineLevel="0" collapsed="false">
      <c r="A666" s="168"/>
      <c r="B666" s="168"/>
      <c r="C666" s="168"/>
      <c r="D666" s="168"/>
      <c r="E666" s="168"/>
      <c r="F666" s="168"/>
      <c r="G666" s="168"/>
      <c r="H666" s="168"/>
      <c r="I666" s="168"/>
      <c r="J666" s="168"/>
      <c r="K666" s="168"/>
      <c r="L666" s="168"/>
      <c r="M666" s="168"/>
      <c r="N666" s="168"/>
      <c r="O666" s="168"/>
      <c r="P666" s="168"/>
      <c r="Q666" s="168"/>
      <c r="R666" s="168"/>
      <c r="S666" s="168"/>
      <c r="T666" s="168"/>
      <c r="U666" s="168"/>
      <c r="V666" s="168"/>
      <c r="W666" s="168"/>
      <c r="X666" s="168"/>
      <c r="Y666" s="168"/>
      <c r="Z666" s="168"/>
    </row>
    <row r="667" customFormat="false" ht="15.75" hidden="false" customHeight="false" outlineLevel="0" collapsed="false">
      <c r="A667" s="168"/>
      <c r="B667" s="168"/>
      <c r="C667" s="168"/>
      <c r="D667" s="168"/>
      <c r="E667" s="168"/>
      <c r="F667" s="168"/>
      <c r="G667" s="168"/>
      <c r="H667" s="168"/>
      <c r="I667" s="168"/>
      <c r="J667" s="168"/>
      <c r="K667" s="168"/>
      <c r="L667" s="168"/>
      <c r="M667" s="168"/>
      <c r="N667" s="168"/>
      <c r="O667" s="168"/>
      <c r="P667" s="168"/>
      <c r="Q667" s="168"/>
      <c r="R667" s="168"/>
      <c r="S667" s="168"/>
      <c r="T667" s="168"/>
      <c r="U667" s="168"/>
      <c r="V667" s="168"/>
      <c r="W667" s="168"/>
      <c r="X667" s="168"/>
      <c r="Y667" s="168"/>
      <c r="Z667" s="168"/>
    </row>
    <row r="668" customFormat="false" ht="15.75" hidden="false" customHeight="false" outlineLevel="0" collapsed="false">
      <c r="A668" s="168"/>
      <c r="B668" s="168"/>
      <c r="C668" s="168"/>
      <c r="D668" s="168"/>
      <c r="E668" s="168"/>
      <c r="F668" s="168"/>
      <c r="G668" s="168"/>
      <c r="H668" s="168"/>
      <c r="I668" s="168"/>
      <c r="J668" s="168"/>
      <c r="K668" s="168"/>
      <c r="L668" s="168"/>
      <c r="M668" s="168"/>
      <c r="N668" s="168"/>
      <c r="O668" s="168"/>
      <c r="P668" s="168"/>
      <c r="Q668" s="168"/>
      <c r="R668" s="168"/>
      <c r="S668" s="168"/>
      <c r="T668" s="168"/>
      <c r="U668" s="168"/>
      <c r="V668" s="168"/>
      <c r="W668" s="168"/>
      <c r="X668" s="168"/>
      <c r="Y668" s="168"/>
      <c r="Z668" s="168"/>
    </row>
    <row r="669" customFormat="false" ht="15.75" hidden="false" customHeight="false" outlineLevel="0" collapsed="false">
      <c r="A669" s="168"/>
      <c r="B669" s="168"/>
      <c r="C669" s="168"/>
      <c r="D669" s="168"/>
      <c r="E669" s="168"/>
      <c r="F669" s="168"/>
      <c r="G669" s="168"/>
      <c r="H669" s="168"/>
      <c r="I669" s="168"/>
      <c r="J669" s="168"/>
      <c r="K669" s="168"/>
      <c r="L669" s="168"/>
      <c r="M669" s="168"/>
      <c r="N669" s="168"/>
      <c r="O669" s="168"/>
      <c r="P669" s="168"/>
      <c r="Q669" s="168"/>
      <c r="R669" s="168"/>
      <c r="S669" s="168"/>
      <c r="T669" s="168"/>
      <c r="U669" s="168"/>
      <c r="V669" s="168"/>
      <c r="W669" s="168"/>
      <c r="X669" s="168"/>
      <c r="Y669" s="168"/>
      <c r="Z669" s="168"/>
    </row>
    <row r="670" customFormat="false" ht="15.75" hidden="false" customHeight="false" outlineLevel="0" collapsed="false">
      <c r="A670" s="168"/>
      <c r="B670" s="168"/>
      <c r="C670" s="168"/>
      <c r="D670" s="168"/>
      <c r="E670" s="168"/>
      <c r="F670" s="168"/>
      <c r="G670" s="168"/>
      <c r="H670" s="168"/>
      <c r="I670" s="168"/>
      <c r="J670" s="168"/>
      <c r="K670" s="168"/>
      <c r="L670" s="168"/>
      <c r="M670" s="168"/>
      <c r="N670" s="168"/>
      <c r="O670" s="168"/>
      <c r="P670" s="168"/>
      <c r="Q670" s="168"/>
      <c r="R670" s="168"/>
      <c r="S670" s="168"/>
      <c r="T670" s="168"/>
      <c r="U670" s="168"/>
      <c r="V670" s="168"/>
      <c r="W670" s="168"/>
      <c r="X670" s="168"/>
      <c r="Y670" s="168"/>
      <c r="Z670" s="168"/>
    </row>
    <row r="671" customFormat="false" ht="15.75" hidden="false" customHeight="false" outlineLevel="0" collapsed="false">
      <c r="A671" s="168"/>
      <c r="B671" s="168"/>
      <c r="C671" s="168"/>
      <c r="D671" s="168"/>
      <c r="E671" s="168"/>
      <c r="F671" s="168"/>
      <c r="G671" s="168"/>
      <c r="H671" s="168"/>
      <c r="I671" s="168"/>
      <c r="J671" s="168"/>
      <c r="K671" s="168"/>
      <c r="L671" s="168"/>
      <c r="M671" s="168"/>
      <c r="N671" s="168"/>
      <c r="O671" s="168"/>
      <c r="P671" s="168"/>
      <c r="Q671" s="168"/>
      <c r="R671" s="168"/>
      <c r="S671" s="168"/>
      <c r="T671" s="168"/>
      <c r="U671" s="168"/>
      <c r="V671" s="168"/>
      <c r="W671" s="168"/>
      <c r="X671" s="168"/>
      <c r="Y671" s="168"/>
      <c r="Z671" s="168"/>
    </row>
    <row r="672" customFormat="false" ht="15.75" hidden="false" customHeight="false" outlineLevel="0" collapsed="false">
      <c r="A672" s="168"/>
      <c r="B672" s="168"/>
      <c r="C672" s="168"/>
      <c r="D672" s="168"/>
      <c r="E672" s="168"/>
      <c r="F672" s="168"/>
      <c r="G672" s="168"/>
      <c r="H672" s="168"/>
      <c r="I672" s="168"/>
      <c r="J672" s="168"/>
      <c r="K672" s="168"/>
      <c r="L672" s="168"/>
      <c r="M672" s="168"/>
      <c r="N672" s="168"/>
      <c r="O672" s="168"/>
      <c r="P672" s="168"/>
      <c r="Q672" s="168"/>
      <c r="R672" s="168"/>
      <c r="S672" s="168"/>
      <c r="T672" s="168"/>
      <c r="U672" s="168"/>
      <c r="V672" s="168"/>
      <c r="W672" s="168"/>
      <c r="X672" s="168"/>
      <c r="Y672" s="168"/>
      <c r="Z672" s="168"/>
    </row>
    <row r="673" customFormat="false" ht="15.75" hidden="false" customHeight="false" outlineLevel="0" collapsed="false">
      <c r="A673" s="168"/>
      <c r="B673" s="168"/>
      <c r="C673" s="168"/>
      <c r="D673" s="168"/>
      <c r="E673" s="168"/>
      <c r="F673" s="168"/>
      <c r="G673" s="168"/>
      <c r="H673" s="168"/>
      <c r="I673" s="168"/>
      <c r="J673" s="168"/>
      <c r="K673" s="168"/>
      <c r="L673" s="168"/>
      <c r="M673" s="168"/>
      <c r="N673" s="168"/>
      <c r="O673" s="168"/>
      <c r="P673" s="168"/>
      <c r="Q673" s="168"/>
      <c r="R673" s="168"/>
      <c r="S673" s="168"/>
      <c r="T673" s="168"/>
      <c r="U673" s="168"/>
      <c r="V673" s="168"/>
      <c r="W673" s="168"/>
      <c r="X673" s="168"/>
      <c r="Y673" s="168"/>
      <c r="Z673" s="168"/>
    </row>
    <row r="674" customFormat="false" ht="15.75" hidden="false" customHeight="false" outlineLevel="0" collapsed="false">
      <c r="A674" s="168"/>
      <c r="B674" s="168"/>
      <c r="C674" s="168"/>
      <c r="D674" s="168"/>
      <c r="E674" s="168"/>
      <c r="F674" s="168"/>
      <c r="G674" s="168"/>
      <c r="H674" s="168"/>
      <c r="I674" s="168"/>
      <c r="J674" s="168"/>
      <c r="K674" s="168"/>
      <c r="L674" s="168"/>
      <c r="M674" s="168"/>
      <c r="N674" s="168"/>
      <c r="O674" s="168"/>
      <c r="P674" s="168"/>
      <c r="Q674" s="168"/>
      <c r="R674" s="168"/>
      <c r="S674" s="168"/>
      <c r="T674" s="168"/>
      <c r="U674" s="168"/>
      <c r="V674" s="168"/>
      <c r="W674" s="168"/>
      <c r="X674" s="168"/>
      <c r="Y674" s="168"/>
      <c r="Z674" s="168"/>
    </row>
    <row r="675" customFormat="false" ht="15.75" hidden="false" customHeight="false" outlineLevel="0" collapsed="false">
      <c r="A675" s="168"/>
      <c r="B675" s="168"/>
      <c r="C675" s="168"/>
      <c r="D675" s="168"/>
      <c r="E675" s="168"/>
      <c r="F675" s="168"/>
      <c r="G675" s="168"/>
      <c r="H675" s="168"/>
      <c r="I675" s="168"/>
      <c r="J675" s="168"/>
      <c r="K675" s="168"/>
      <c r="L675" s="168"/>
      <c r="M675" s="168"/>
      <c r="N675" s="168"/>
      <c r="O675" s="168"/>
      <c r="P675" s="168"/>
      <c r="Q675" s="168"/>
      <c r="R675" s="168"/>
      <c r="S675" s="168"/>
      <c r="T675" s="168"/>
      <c r="U675" s="168"/>
      <c r="V675" s="168"/>
      <c r="W675" s="168"/>
      <c r="X675" s="168"/>
      <c r="Y675" s="168"/>
      <c r="Z675" s="168"/>
    </row>
    <row r="676" customFormat="false" ht="15.75" hidden="false" customHeight="false" outlineLevel="0" collapsed="false">
      <c r="A676" s="168"/>
      <c r="B676" s="168"/>
      <c r="C676" s="168"/>
      <c r="D676" s="168"/>
      <c r="E676" s="168"/>
      <c r="F676" s="168"/>
      <c r="G676" s="168"/>
      <c r="H676" s="168"/>
      <c r="I676" s="168"/>
      <c r="J676" s="168"/>
      <c r="K676" s="168"/>
      <c r="L676" s="168"/>
      <c r="M676" s="168"/>
      <c r="N676" s="168"/>
      <c r="O676" s="168"/>
      <c r="P676" s="168"/>
      <c r="Q676" s="168"/>
      <c r="R676" s="168"/>
      <c r="S676" s="168"/>
      <c r="T676" s="168"/>
      <c r="U676" s="168"/>
      <c r="V676" s="168"/>
      <c r="W676" s="168"/>
      <c r="X676" s="168"/>
      <c r="Y676" s="168"/>
      <c r="Z676" s="168"/>
    </row>
    <row r="677" customFormat="false" ht="15.75" hidden="false" customHeight="false" outlineLevel="0" collapsed="false">
      <c r="A677" s="168"/>
      <c r="B677" s="168"/>
      <c r="C677" s="168"/>
      <c r="D677" s="168"/>
      <c r="E677" s="168"/>
      <c r="F677" s="168"/>
      <c r="G677" s="168"/>
      <c r="H677" s="168"/>
      <c r="I677" s="168"/>
      <c r="J677" s="168"/>
      <c r="K677" s="168"/>
      <c r="L677" s="168"/>
      <c r="M677" s="168"/>
      <c r="N677" s="168"/>
      <c r="O677" s="168"/>
      <c r="P677" s="168"/>
      <c r="Q677" s="168"/>
      <c r="R677" s="168"/>
      <c r="S677" s="168"/>
      <c r="T677" s="168"/>
      <c r="U677" s="168"/>
      <c r="V677" s="168"/>
      <c r="W677" s="168"/>
      <c r="X677" s="168"/>
      <c r="Y677" s="168"/>
      <c r="Z677" s="168"/>
    </row>
    <row r="678" customFormat="false" ht="15.75" hidden="false" customHeight="false" outlineLevel="0" collapsed="false">
      <c r="A678" s="168"/>
      <c r="B678" s="168"/>
      <c r="C678" s="168"/>
      <c r="D678" s="168"/>
      <c r="E678" s="168"/>
      <c r="F678" s="168"/>
      <c r="G678" s="168"/>
      <c r="H678" s="168"/>
      <c r="I678" s="168"/>
      <c r="J678" s="168"/>
      <c r="K678" s="168"/>
      <c r="L678" s="168"/>
      <c r="M678" s="168"/>
      <c r="N678" s="168"/>
      <c r="O678" s="168"/>
      <c r="P678" s="168"/>
      <c r="Q678" s="168"/>
      <c r="R678" s="168"/>
      <c r="S678" s="168"/>
      <c r="T678" s="168"/>
      <c r="U678" s="168"/>
      <c r="V678" s="168"/>
      <c r="W678" s="168"/>
      <c r="X678" s="168"/>
      <c r="Y678" s="168"/>
      <c r="Z678" s="168"/>
    </row>
    <row r="679" customFormat="false" ht="15.75" hidden="false" customHeight="false" outlineLevel="0" collapsed="false">
      <c r="A679" s="168"/>
      <c r="B679" s="168"/>
      <c r="C679" s="168"/>
      <c r="D679" s="168"/>
      <c r="E679" s="168"/>
      <c r="F679" s="168"/>
      <c r="G679" s="168"/>
      <c r="H679" s="168"/>
      <c r="I679" s="168"/>
      <c r="J679" s="168"/>
      <c r="K679" s="168"/>
      <c r="L679" s="168"/>
      <c r="M679" s="168"/>
      <c r="N679" s="168"/>
      <c r="O679" s="168"/>
      <c r="P679" s="168"/>
      <c r="Q679" s="168"/>
      <c r="R679" s="168"/>
      <c r="S679" s="168"/>
      <c r="T679" s="168"/>
      <c r="U679" s="168"/>
      <c r="V679" s="168"/>
      <c r="W679" s="168"/>
      <c r="X679" s="168"/>
      <c r="Y679" s="168"/>
      <c r="Z679" s="168"/>
    </row>
    <row r="680" customFormat="false" ht="15.75" hidden="false" customHeight="false" outlineLevel="0" collapsed="false">
      <c r="A680" s="168"/>
      <c r="B680" s="168"/>
      <c r="C680" s="168"/>
      <c r="D680" s="168"/>
      <c r="E680" s="168"/>
      <c r="F680" s="168"/>
      <c r="G680" s="168"/>
      <c r="H680" s="168"/>
      <c r="I680" s="168"/>
      <c r="J680" s="168"/>
      <c r="K680" s="168"/>
      <c r="L680" s="168"/>
      <c r="M680" s="168"/>
      <c r="N680" s="168"/>
      <c r="O680" s="168"/>
      <c r="P680" s="168"/>
      <c r="Q680" s="168"/>
      <c r="R680" s="168"/>
      <c r="S680" s="168"/>
      <c r="T680" s="168"/>
      <c r="U680" s="168"/>
      <c r="V680" s="168"/>
      <c r="W680" s="168"/>
      <c r="X680" s="168"/>
      <c r="Y680" s="168"/>
      <c r="Z680" s="168"/>
    </row>
    <row r="681" customFormat="false" ht="15.75" hidden="false" customHeight="false" outlineLevel="0" collapsed="false">
      <c r="A681" s="168"/>
      <c r="B681" s="168"/>
      <c r="C681" s="168"/>
      <c r="D681" s="168"/>
      <c r="E681" s="168"/>
      <c r="F681" s="168"/>
      <c r="G681" s="168"/>
      <c r="H681" s="168"/>
      <c r="I681" s="168"/>
      <c r="J681" s="168"/>
      <c r="K681" s="168"/>
      <c r="L681" s="168"/>
      <c r="M681" s="168"/>
      <c r="N681" s="168"/>
      <c r="O681" s="168"/>
      <c r="P681" s="168"/>
      <c r="Q681" s="168"/>
      <c r="R681" s="168"/>
      <c r="S681" s="168"/>
      <c r="T681" s="168"/>
      <c r="U681" s="168"/>
      <c r="V681" s="168"/>
      <c r="W681" s="168"/>
      <c r="X681" s="168"/>
      <c r="Y681" s="168"/>
      <c r="Z681" s="168"/>
    </row>
    <row r="682" customFormat="false" ht="15.75" hidden="false" customHeight="false" outlineLevel="0" collapsed="false">
      <c r="A682" s="168"/>
      <c r="B682" s="168"/>
      <c r="C682" s="168"/>
      <c r="D682" s="168"/>
      <c r="E682" s="168"/>
      <c r="F682" s="168"/>
      <c r="G682" s="168"/>
      <c r="H682" s="168"/>
      <c r="I682" s="168"/>
      <c r="J682" s="168"/>
      <c r="K682" s="168"/>
      <c r="L682" s="168"/>
      <c r="M682" s="168"/>
      <c r="N682" s="168"/>
      <c r="O682" s="168"/>
      <c r="P682" s="168"/>
      <c r="Q682" s="168"/>
      <c r="R682" s="168"/>
      <c r="S682" s="168"/>
      <c r="T682" s="168"/>
      <c r="U682" s="168"/>
      <c r="V682" s="168"/>
      <c r="W682" s="168"/>
      <c r="X682" s="168"/>
      <c r="Y682" s="168"/>
      <c r="Z682" s="168"/>
    </row>
    <row r="683" customFormat="false" ht="15.75" hidden="false" customHeight="false" outlineLevel="0" collapsed="false">
      <c r="A683" s="168"/>
      <c r="B683" s="168"/>
      <c r="C683" s="168"/>
      <c r="D683" s="168"/>
      <c r="E683" s="168"/>
      <c r="F683" s="168"/>
      <c r="G683" s="168"/>
      <c r="H683" s="168"/>
      <c r="I683" s="168"/>
      <c r="J683" s="168"/>
      <c r="K683" s="168"/>
      <c r="L683" s="168"/>
      <c r="M683" s="168"/>
      <c r="N683" s="168"/>
      <c r="O683" s="168"/>
      <c r="P683" s="168"/>
      <c r="Q683" s="168"/>
      <c r="R683" s="168"/>
      <c r="S683" s="168"/>
      <c r="T683" s="168"/>
      <c r="U683" s="168"/>
      <c r="V683" s="168"/>
      <c r="W683" s="168"/>
      <c r="X683" s="168"/>
      <c r="Y683" s="168"/>
      <c r="Z683" s="168"/>
    </row>
    <row r="684" customFormat="false" ht="15.75" hidden="false" customHeight="false" outlineLevel="0" collapsed="false">
      <c r="A684" s="168"/>
      <c r="B684" s="168"/>
      <c r="C684" s="168"/>
      <c r="D684" s="168"/>
      <c r="E684" s="168"/>
      <c r="F684" s="168"/>
      <c r="G684" s="168"/>
      <c r="H684" s="168"/>
      <c r="I684" s="168"/>
      <c r="J684" s="168"/>
      <c r="K684" s="168"/>
      <c r="L684" s="168"/>
      <c r="M684" s="168"/>
      <c r="N684" s="168"/>
      <c r="O684" s="168"/>
      <c r="P684" s="168"/>
      <c r="Q684" s="168"/>
      <c r="R684" s="168"/>
      <c r="S684" s="168"/>
      <c r="T684" s="168"/>
      <c r="U684" s="168"/>
      <c r="V684" s="168"/>
      <c r="W684" s="168"/>
      <c r="X684" s="168"/>
      <c r="Y684" s="168"/>
      <c r="Z684" s="168"/>
    </row>
    <row r="685" customFormat="false" ht="15.75" hidden="false" customHeight="false" outlineLevel="0" collapsed="false">
      <c r="A685" s="168"/>
      <c r="B685" s="168"/>
      <c r="C685" s="168"/>
      <c r="D685" s="168"/>
      <c r="E685" s="168"/>
      <c r="F685" s="168"/>
      <c r="G685" s="168"/>
      <c r="H685" s="168"/>
      <c r="I685" s="168"/>
      <c r="J685" s="168"/>
      <c r="K685" s="168"/>
      <c r="L685" s="168"/>
      <c r="M685" s="168"/>
      <c r="N685" s="168"/>
      <c r="O685" s="168"/>
      <c r="P685" s="168"/>
      <c r="Q685" s="168"/>
      <c r="R685" s="168"/>
      <c r="S685" s="168"/>
      <c r="T685" s="168"/>
      <c r="U685" s="168"/>
      <c r="V685" s="168"/>
      <c r="W685" s="168"/>
      <c r="X685" s="168"/>
      <c r="Y685" s="168"/>
      <c r="Z685" s="168"/>
    </row>
    <row r="686" customFormat="false" ht="15.75" hidden="false" customHeight="false" outlineLevel="0" collapsed="false">
      <c r="A686" s="168"/>
      <c r="B686" s="168"/>
      <c r="C686" s="168"/>
      <c r="D686" s="168"/>
      <c r="E686" s="168"/>
      <c r="F686" s="168"/>
      <c r="G686" s="168"/>
      <c r="H686" s="168"/>
      <c r="I686" s="168"/>
      <c r="J686" s="168"/>
      <c r="K686" s="168"/>
      <c r="L686" s="168"/>
      <c r="M686" s="168"/>
      <c r="N686" s="168"/>
      <c r="O686" s="168"/>
      <c r="P686" s="168"/>
      <c r="Q686" s="168"/>
      <c r="R686" s="168"/>
      <c r="S686" s="168"/>
      <c r="T686" s="168"/>
      <c r="U686" s="168"/>
      <c r="V686" s="168"/>
      <c r="W686" s="168"/>
      <c r="X686" s="168"/>
      <c r="Y686" s="168"/>
      <c r="Z686" s="168"/>
    </row>
    <row r="687" customFormat="false" ht="15.75" hidden="false" customHeight="false" outlineLevel="0" collapsed="false">
      <c r="A687" s="168"/>
      <c r="B687" s="168"/>
      <c r="C687" s="168"/>
      <c r="D687" s="168"/>
      <c r="E687" s="168"/>
      <c r="F687" s="168"/>
      <c r="G687" s="168"/>
      <c r="H687" s="168"/>
      <c r="I687" s="168"/>
      <c r="J687" s="168"/>
      <c r="K687" s="168"/>
      <c r="L687" s="168"/>
      <c r="M687" s="168"/>
      <c r="N687" s="168"/>
      <c r="O687" s="168"/>
      <c r="P687" s="168"/>
      <c r="Q687" s="168"/>
      <c r="R687" s="168"/>
      <c r="S687" s="168"/>
      <c r="T687" s="168"/>
      <c r="U687" s="168"/>
      <c r="V687" s="168"/>
      <c r="W687" s="168"/>
      <c r="X687" s="168"/>
      <c r="Y687" s="168"/>
      <c r="Z687" s="168"/>
    </row>
    <row r="688" customFormat="false" ht="15.75" hidden="false" customHeight="false" outlineLevel="0" collapsed="false">
      <c r="A688" s="168"/>
      <c r="B688" s="168"/>
      <c r="C688" s="168"/>
      <c r="D688" s="168"/>
      <c r="E688" s="168"/>
      <c r="F688" s="168"/>
      <c r="G688" s="168"/>
      <c r="H688" s="168"/>
      <c r="I688" s="168"/>
      <c r="J688" s="168"/>
      <c r="K688" s="168"/>
      <c r="L688" s="168"/>
      <c r="M688" s="168"/>
      <c r="N688" s="168"/>
      <c r="O688" s="168"/>
      <c r="P688" s="168"/>
      <c r="Q688" s="168"/>
      <c r="R688" s="168"/>
      <c r="S688" s="168"/>
      <c r="T688" s="168"/>
      <c r="U688" s="168"/>
      <c r="V688" s="168"/>
      <c r="W688" s="168"/>
      <c r="X688" s="168"/>
      <c r="Y688" s="168"/>
      <c r="Z688" s="168"/>
    </row>
    <row r="689" customFormat="false" ht="15.75" hidden="false" customHeight="false" outlineLevel="0" collapsed="false">
      <c r="A689" s="168"/>
      <c r="B689" s="168"/>
      <c r="C689" s="168"/>
      <c r="D689" s="168"/>
      <c r="E689" s="168"/>
      <c r="F689" s="168"/>
      <c r="G689" s="168"/>
      <c r="H689" s="168"/>
      <c r="I689" s="168"/>
      <c r="J689" s="168"/>
      <c r="K689" s="168"/>
      <c r="L689" s="168"/>
      <c r="M689" s="168"/>
      <c r="N689" s="168"/>
      <c r="O689" s="168"/>
      <c r="P689" s="168"/>
      <c r="Q689" s="168"/>
      <c r="R689" s="168"/>
      <c r="S689" s="168"/>
      <c r="T689" s="168"/>
      <c r="U689" s="168"/>
      <c r="V689" s="168"/>
      <c r="W689" s="168"/>
      <c r="X689" s="168"/>
      <c r="Y689" s="168"/>
      <c r="Z689" s="168"/>
    </row>
    <row r="690" customFormat="false" ht="15.75" hidden="false" customHeight="false" outlineLevel="0" collapsed="false">
      <c r="A690" s="168"/>
      <c r="B690" s="168"/>
      <c r="C690" s="168"/>
      <c r="D690" s="168"/>
      <c r="E690" s="168"/>
      <c r="F690" s="168"/>
      <c r="G690" s="168"/>
      <c r="H690" s="168"/>
      <c r="I690" s="168"/>
      <c r="J690" s="168"/>
      <c r="K690" s="168"/>
      <c r="L690" s="168"/>
      <c r="M690" s="168"/>
      <c r="N690" s="168"/>
      <c r="O690" s="168"/>
      <c r="P690" s="168"/>
      <c r="Q690" s="168"/>
      <c r="R690" s="168"/>
      <c r="S690" s="168"/>
      <c r="T690" s="168"/>
      <c r="U690" s="168"/>
      <c r="V690" s="168"/>
      <c r="W690" s="168"/>
      <c r="X690" s="168"/>
      <c r="Y690" s="168"/>
      <c r="Z690" s="168"/>
    </row>
    <row r="691" customFormat="false" ht="15.75" hidden="false" customHeight="false" outlineLevel="0" collapsed="false">
      <c r="A691" s="168"/>
      <c r="B691" s="168"/>
      <c r="C691" s="168"/>
      <c r="D691" s="168"/>
      <c r="E691" s="168"/>
      <c r="F691" s="168"/>
      <c r="G691" s="168"/>
      <c r="H691" s="168"/>
      <c r="I691" s="168"/>
      <c r="J691" s="168"/>
      <c r="K691" s="168"/>
      <c r="L691" s="168"/>
      <c r="M691" s="168"/>
      <c r="N691" s="168"/>
      <c r="O691" s="168"/>
      <c r="P691" s="168"/>
      <c r="Q691" s="168"/>
      <c r="R691" s="168"/>
      <c r="S691" s="168"/>
      <c r="T691" s="168"/>
      <c r="U691" s="168"/>
      <c r="V691" s="168"/>
      <c r="W691" s="168"/>
      <c r="X691" s="168"/>
      <c r="Y691" s="168"/>
      <c r="Z691" s="168"/>
    </row>
    <row r="692" customFormat="false" ht="15.75" hidden="false" customHeight="false" outlineLevel="0" collapsed="false">
      <c r="A692" s="168"/>
      <c r="B692" s="168"/>
      <c r="C692" s="168"/>
      <c r="D692" s="168"/>
      <c r="E692" s="168"/>
      <c r="F692" s="168"/>
      <c r="G692" s="168"/>
      <c r="H692" s="168"/>
      <c r="I692" s="168"/>
      <c r="J692" s="168"/>
      <c r="K692" s="168"/>
      <c r="L692" s="168"/>
      <c r="M692" s="168"/>
      <c r="N692" s="168"/>
      <c r="O692" s="168"/>
      <c r="P692" s="168"/>
      <c r="Q692" s="168"/>
      <c r="R692" s="168"/>
      <c r="S692" s="168"/>
      <c r="T692" s="168"/>
      <c r="U692" s="168"/>
      <c r="V692" s="168"/>
      <c r="W692" s="168"/>
      <c r="X692" s="168"/>
      <c r="Y692" s="168"/>
      <c r="Z692" s="168"/>
    </row>
    <row r="693" customFormat="false" ht="15.75" hidden="false" customHeight="false" outlineLevel="0" collapsed="false">
      <c r="A693" s="168"/>
      <c r="B693" s="168"/>
      <c r="C693" s="168"/>
      <c r="D693" s="168"/>
      <c r="E693" s="168"/>
      <c r="F693" s="168"/>
      <c r="G693" s="168"/>
      <c r="H693" s="168"/>
      <c r="I693" s="168"/>
      <c r="J693" s="168"/>
      <c r="K693" s="168"/>
      <c r="L693" s="168"/>
      <c r="M693" s="168"/>
      <c r="N693" s="168"/>
      <c r="O693" s="168"/>
      <c r="P693" s="168"/>
      <c r="Q693" s="168"/>
      <c r="R693" s="168"/>
      <c r="S693" s="168"/>
      <c r="T693" s="168"/>
      <c r="U693" s="168"/>
      <c r="V693" s="168"/>
      <c r="W693" s="168"/>
      <c r="X693" s="168"/>
      <c r="Y693" s="168"/>
      <c r="Z693" s="168"/>
    </row>
    <row r="694" customFormat="false" ht="15.75" hidden="false" customHeight="false" outlineLevel="0" collapsed="false">
      <c r="A694" s="168"/>
      <c r="B694" s="168"/>
      <c r="C694" s="168"/>
      <c r="D694" s="168"/>
      <c r="E694" s="168"/>
      <c r="F694" s="168"/>
      <c r="G694" s="168"/>
      <c r="H694" s="168"/>
      <c r="I694" s="168"/>
      <c r="J694" s="168"/>
      <c r="K694" s="168"/>
      <c r="L694" s="168"/>
      <c r="M694" s="168"/>
      <c r="N694" s="168"/>
      <c r="O694" s="168"/>
      <c r="P694" s="168"/>
      <c r="Q694" s="168"/>
      <c r="R694" s="168"/>
      <c r="S694" s="168"/>
      <c r="T694" s="168"/>
      <c r="U694" s="168"/>
      <c r="V694" s="168"/>
      <c r="W694" s="168"/>
      <c r="X694" s="168"/>
      <c r="Y694" s="168"/>
      <c r="Z694" s="168"/>
    </row>
    <row r="695" customFormat="false" ht="15.75" hidden="false" customHeight="false" outlineLevel="0" collapsed="false">
      <c r="A695" s="168"/>
      <c r="B695" s="168"/>
      <c r="C695" s="168"/>
      <c r="D695" s="168"/>
      <c r="E695" s="168"/>
      <c r="F695" s="168"/>
      <c r="G695" s="168"/>
      <c r="H695" s="168"/>
      <c r="I695" s="168"/>
      <c r="J695" s="168"/>
      <c r="K695" s="168"/>
      <c r="L695" s="168"/>
      <c r="M695" s="168"/>
      <c r="N695" s="168"/>
      <c r="O695" s="168"/>
      <c r="P695" s="168"/>
      <c r="Q695" s="168"/>
      <c r="R695" s="168"/>
      <c r="S695" s="168"/>
      <c r="T695" s="168"/>
      <c r="U695" s="168"/>
      <c r="V695" s="168"/>
      <c r="W695" s="168"/>
      <c r="X695" s="168"/>
      <c r="Y695" s="168"/>
      <c r="Z695" s="168"/>
    </row>
    <row r="696" customFormat="false" ht="15.75" hidden="false" customHeight="false" outlineLevel="0" collapsed="false">
      <c r="A696" s="168"/>
      <c r="B696" s="168"/>
      <c r="C696" s="168"/>
      <c r="D696" s="168"/>
      <c r="E696" s="168"/>
      <c r="F696" s="168"/>
      <c r="G696" s="168"/>
      <c r="H696" s="168"/>
      <c r="I696" s="168"/>
      <c r="J696" s="168"/>
      <c r="K696" s="168"/>
      <c r="L696" s="168"/>
      <c r="M696" s="168"/>
      <c r="N696" s="168"/>
      <c r="O696" s="168"/>
      <c r="P696" s="168"/>
      <c r="Q696" s="168"/>
      <c r="R696" s="168"/>
      <c r="S696" s="168"/>
      <c r="T696" s="168"/>
      <c r="U696" s="168"/>
      <c r="V696" s="168"/>
      <c r="W696" s="168"/>
      <c r="X696" s="168"/>
      <c r="Y696" s="168"/>
      <c r="Z696" s="168"/>
    </row>
    <row r="697" customFormat="false" ht="15.75" hidden="false" customHeight="false" outlineLevel="0" collapsed="false">
      <c r="A697" s="168"/>
      <c r="B697" s="168"/>
      <c r="C697" s="168"/>
      <c r="D697" s="168"/>
      <c r="E697" s="168"/>
      <c r="F697" s="168"/>
      <c r="G697" s="168"/>
      <c r="H697" s="168"/>
      <c r="I697" s="168"/>
      <c r="J697" s="168"/>
      <c r="K697" s="168"/>
      <c r="L697" s="168"/>
      <c r="M697" s="168"/>
      <c r="N697" s="168"/>
      <c r="O697" s="168"/>
      <c r="P697" s="168"/>
      <c r="Q697" s="168"/>
      <c r="R697" s="168"/>
      <c r="S697" s="168"/>
      <c r="T697" s="168"/>
      <c r="U697" s="168"/>
      <c r="V697" s="168"/>
      <c r="W697" s="168"/>
      <c r="X697" s="168"/>
      <c r="Y697" s="168"/>
      <c r="Z697" s="168"/>
    </row>
    <row r="698" customFormat="false" ht="15.75" hidden="false" customHeight="false" outlineLevel="0" collapsed="false">
      <c r="A698" s="168"/>
      <c r="B698" s="168"/>
      <c r="C698" s="168"/>
      <c r="D698" s="168"/>
      <c r="E698" s="168"/>
      <c r="F698" s="168"/>
      <c r="G698" s="168"/>
      <c r="H698" s="168"/>
      <c r="I698" s="168"/>
      <c r="J698" s="168"/>
      <c r="K698" s="168"/>
      <c r="L698" s="168"/>
      <c r="M698" s="168"/>
      <c r="N698" s="168"/>
      <c r="O698" s="168"/>
      <c r="P698" s="168"/>
      <c r="Q698" s="168"/>
      <c r="R698" s="168"/>
      <c r="S698" s="168"/>
      <c r="T698" s="168"/>
      <c r="U698" s="168"/>
      <c r="V698" s="168"/>
      <c r="W698" s="168"/>
      <c r="X698" s="168"/>
      <c r="Y698" s="168"/>
      <c r="Z698" s="168"/>
    </row>
    <row r="699" customFormat="false" ht="15.75" hidden="false" customHeight="false" outlineLevel="0" collapsed="false">
      <c r="A699" s="168"/>
      <c r="B699" s="168"/>
      <c r="C699" s="168"/>
      <c r="D699" s="168"/>
      <c r="E699" s="168"/>
      <c r="F699" s="168"/>
      <c r="G699" s="168"/>
      <c r="H699" s="168"/>
      <c r="I699" s="168"/>
      <c r="J699" s="168"/>
      <c r="K699" s="168"/>
      <c r="L699" s="168"/>
      <c r="M699" s="168"/>
      <c r="N699" s="168"/>
      <c r="O699" s="168"/>
      <c r="P699" s="168"/>
      <c r="Q699" s="168"/>
      <c r="R699" s="168"/>
      <c r="S699" s="168"/>
      <c r="T699" s="168"/>
      <c r="U699" s="168"/>
      <c r="V699" s="168"/>
      <c r="W699" s="168"/>
      <c r="X699" s="168"/>
      <c r="Y699" s="168"/>
      <c r="Z699" s="168"/>
    </row>
    <row r="700" customFormat="false" ht="15.75" hidden="false" customHeight="false" outlineLevel="0" collapsed="false">
      <c r="A700" s="168"/>
      <c r="B700" s="168"/>
      <c r="C700" s="168"/>
      <c r="D700" s="168"/>
      <c r="E700" s="168"/>
      <c r="F700" s="168"/>
      <c r="G700" s="168"/>
      <c r="H700" s="168"/>
      <c r="I700" s="168"/>
      <c r="J700" s="168"/>
      <c r="K700" s="168"/>
      <c r="L700" s="168"/>
      <c r="M700" s="168"/>
      <c r="N700" s="168"/>
      <c r="O700" s="168"/>
      <c r="P700" s="168"/>
      <c r="Q700" s="168"/>
      <c r="R700" s="168"/>
      <c r="S700" s="168"/>
      <c r="T700" s="168"/>
      <c r="U700" s="168"/>
      <c r="V700" s="168"/>
      <c r="W700" s="168"/>
      <c r="X700" s="168"/>
      <c r="Y700" s="168"/>
      <c r="Z700" s="168"/>
    </row>
    <row r="701" customFormat="false" ht="15.75" hidden="false" customHeight="false" outlineLevel="0" collapsed="false">
      <c r="A701" s="168"/>
      <c r="B701" s="168"/>
      <c r="C701" s="168"/>
      <c r="D701" s="168"/>
      <c r="E701" s="168"/>
      <c r="F701" s="168"/>
      <c r="G701" s="168"/>
      <c r="H701" s="168"/>
      <c r="I701" s="168"/>
      <c r="J701" s="168"/>
      <c r="K701" s="168"/>
      <c r="L701" s="168"/>
      <c r="M701" s="168"/>
      <c r="N701" s="168"/>
      <c r="O701" s="168"/>
      <c r="P701" s="168"/>
      <c r="Q701" s="168"/>
      <c r="R701" s="168"/>
      <c r="S701" s="168"/>
      <c r="T701" s="168"/>
      <c r="U701" s="168"/>
      <c r="V701" s="168"/>
      <c r="W701" s="168"/>
      <c r="X701" s="168"/>
      <c r="Y701" s="168"/>
      <c r="Z701" s="168"/>
    </row>
    <row r="702" customFormat="false" ht="15.75" hidden="false" customHeight="false" outlineLevel="0" collapsed="false">
      <c r="A702" s="168"/>
      <c r="B702" s="168"/>
      <c r="C702" s="168"/>
      <c r="D702" s="168"/>
      <c r="E702" s="168"/>
      <c r="F702" s="168"/>
      <c r="G702" s="168"/>
      <c r="H702" s="168"/>
      <c r="I702" s="168"/>
      <c r="J702" s="168"/>
      <c r="K702" s="168"/>
      <c r="L702" s="168"/>
      <c r="M702" s="168"/>
      <c r="N702" s="168"/>
      <c r="O702" s="168"/>
      <c r="P702" s="168"/>
      <c r="Q702" s="168"/>
      <c r="R702" s="168"/>
      <c r="S702" s="168"/>
      <c r="T702" s="168"/>
      <c r="U702" s="168"/>
      <c r="V702" s="168"/>
      <c r="W702" s="168"/>
      <c r="X702" s="168"/>
      <c r="Y702" s="168"/>
      <c r="Z702" s="168"/>
    </row>
    <row r="703" customFormat="false" ht="15.75" hidden="false" customHeight="false" outlineLevel="0" collapsed="false">
      <c r="A703" s="168"/>
      <c r="B703" s="168"/>
      <c r="C703" s="168"/>
      <c r="D703" s="168"/>
      <c r="E703" s="168"/>
      <c r="F703" s="168"/>
      <c r="G703" s="168"/>
      <c r="H703" s="168"/>
      <c r="I703" s="168"/>
      <c r="J703" s="168"/>
      <c r="K703" s="168"/>
      <c r="L703" s="168"/>
      <c r="M703" s="168"/>
      <c r="N703" s="168"/>
      <c r="O703" s="168"/>
      <c r="P703" s="168"/>
      <c r="Q703" s="168"/>
      <c r="R703" s="168"/>
      <c r="S703" s="168"/>
      <c r="T703" s="168"/>
      <c r="U703" s="168"/>
      <c r="V703" s="168"/>
      <c r="W703" s="168"/>
      <c r="X703" s="168"/>
      <c r="Y703" s="168"/>
      <c r="Z703" s="168"/>
    </row>
    <row r="704" customFormat="false" ht="15.75" hidden="false" customHeight="false" outlineLevel="0" collapsed="false">
      <c r="A704" s="168"/>
      <c r="B704" s="168"/>
      <c r="C704" s="168"/>
      <c r="D704" s="168"/>
      <c r="E704" s="168"/>
      <c r="F704" s="168"/>
      <c r="G704" s="168"/>
      <c r="H704" s="168"/>
      <c r="I704" s="168"/>
      <c r="J704" s="168"/>
      <c r="K704" s="168"/>
      <c r="L704" s="168"/>
      <c r="M704" s="168"/>
      <c r="N704" s="168"/>
      <c r="O704" s="168"/>
      <c r="P704" s="168"/>
      <c r="Q704" s="168"/>
      <c r="R704" s="168"/>
      <c r="S704" s="168"/>
      <c r="T704" s="168"/>
      <c r="U704" s="168"/>
      <c r="V704" s="168"/>
      <c r="W704" s="168"/>
      <c r="X704" s="168"/>
      <c r="Y704" s="168"/>
      <c r="Z704" s="168"/>
    </row>
    <row r="705" customFormat="false" ht="15.75" hidden="false" customHeight="false" outlineLevel="0" collapsed="false">
      <c r="A705" s="168"/>
      <c r="B705" s="168"/>
      <c r="C705" s="168"/>
      <c r="D705" s="168"/>
      <c r="E705" s="168"/>
      <c r="F705" s="168"/>
      <c r="G705" s="168"/>
      <c r="H705" s="168"/>
      <c r="I705" s="168"/>
      <c r="J705" s="168"/>
      <c r="K705" s="168"/>
      <c r="L705" s="168"/>
      <c r="M705" s="168"/>
      <c r="N705" s="168"/>
      <c r="O705" s="168"/>
      <c r="P705" s="168"/>
      <c r="Q705" s="168"/>
      <c r="R705" s="168"/>
      <c r="S705" s="168"/>
      <c r="T705" s="168"/>
      <c r="U705" s="168"/>
      <c r="V705" s="168"/>
      <c r="W705" s="168"/>
      <c r="X705" s="168"/>
      <c r="Y705" s="168"/>
      <c r="Z705" s="168"/>
    </row>
    <row r="706" customFormat="false" ht="15.75" hidden="false" customHeight="false" outlineLevel="0" collapsed="false">
      <c r="A706" s="168"/>
      <c r="B706" s="168"/>
      <c r="C706" s="168"/>
      <c r="D706" s="168"/>
      <c r="E706" s="168"/>
      <c r="F706" s="168"/>
      <c r="G706" s="168"/>
      <c r="H706" s="168"/>
      <c r="I706" s="168"/>
      <c r="J706" s="168"/>
      <c r="K706" s="168"/>
      <c r="L706" s="168"/>
      <c r="M706" s="168"/>
      <c r="N706" s="168"/>
      <c r="O706" s="168"/>
      <c r="P706" s="168"/>
      <c r="Q706" s="168"/>
      <c r="R706" s="168"/>
      <c r="S706" s="168"/>
      <c r="T706" s="168"/>
      <c r="U706" s="168"/>
      <c r="V706" s="168"/>
      <c r="W706" s="168"/>
      <c r="X706" s="168"/>
      <c r="Y706" s="168"/>
      <c r="Z706" s="168"/>
    </row>
    <row r="707" customFormat="false" ht="15.75" hidden="false" customHeight="false" outlineLevel="0" collapsed="false">
      <c r="A707" s="168"/>
      <c r="B707" s="168"/>
      <c r="C707" s="168"/>
      <c r="D707" s="168"/>
      <c r="E707" s="168"/>
      <c r="F707" s="168"/>
      <c r="G707" s="168"/>
      <c r="H707" s="168"/>
      <c r="I707" s="168"/>
      <c r="J707" s="168"/>
      <c r="K707" s="168"/>
      <c r="L707" s="168"/>
      <c r="M707" s="168"/>
      <c r="N707" s="168"/>
      <c r="O707" s="168"/>
      <c r="P707" s="168"/>
      <c r="Q707" s="168"/>
      <c r="R707" s="168"/>
      <c r="S707" s="168"/>
      <c r="T707" s="168"/>
      <c r="U707" s="168"/>
      <c r="V707" s="168"/>
      <c r="W707" s="168"/>
      <c r="X707" s="168"/>
      <c r="Y707" s="168"/>
      <c r="Z707" s="168"/>
    </row>
    <row r="708" customFormat="false" ht="15.75" hidden="false" customHeight="false" outlineLevel="0" collapsed="false">
      <c r="A708" s="168"/>
      <c r="B708" s="168"/>
      <c r="C708" s="168"/>
      <c r="D708" s="168"/>
      <c r="E708" s="168"/>
      <c r="F708" s="168"/>
      <c r="G708" s="168"/>
      <c r="H708" s="168"/>
      <c r="I708" s="168"/>
      <c r="J708" s="168"/>
      <c r="K708" s="168"/>
      <c r="L708" s="168"/>
      <c r="M708" s="168"/>
      <c r="N708" s="168"/>
      <c r="O708" s="168"/>
      <c r="P708" s="168"/>
      <c r="Q708" s="168"/>
      <c r="R708" s="168"/>
      <c r="S708" s="168"/>
      <c r="T708" s="168"/>
      <c r="U708" s="168"/>
      <c r="V708" s="168"/>
      <c r="W708" s="168"/>
      <c r="X708" s="168"/>
      <c r="Y708" s="168"/>
      <c r="Z708" s="168"/>
    </row>
    <row r="709" customFormat="false" ht="15.75" hidden="false" customHeight="false" outlineLevel="0" collapsed="false">
      <c r="A709" s="168"/>
      <c r="B709" s="168"/>
      <c r="C709" s="168"/>
      <c r="D709" s="168"/>
      <c r="E709" s="168"/>
      <c r="F709" s="168"/>
      <c r="G709" s="168"/>
      <c r="H709" s="168"/>
      <c r="I709" s="168"/>
      <c r="J709" s="168"/>
      <c r="K709" s="168"/>
      <c r="L709" s="168"/>
      <c r="M709" s="168"/>
      <c r="N709" s="168"/>
      <c r="O709" s="168"/>
      <c r="P709" s="168"/>
      <c r="Q709" s="168"/>
      <c r="R709" s="168"/>
      <c r="S709" s="168"/>
      <c r="T709" s="168"/>
      <c r="U709" s="168"/>
      <c r="V709" s="168"/>
      <c r="W709" s="168"/>
      <c r="X709" s="168"/>
      <c r="Y709" s="168"/>
      <c r="Z709" s="168"/>
    </row>
    <row r="710" customFormat="false" ht="15.75" hidden="false" customHeight="false" outlineLevel="0" collapsed="false">
      <c r="A710" s="168"/>
      <c r="B710" s="168"/>
      <c r="C710" s="168"/>
      <c r="D710" s="168"/>
      <c r="E710" s="168"/>
      <c r="F710" s="168"/>
      <c r="G710" s="168"/>
      <c r="H710" s="168"/>
      <c r="I710" s="168"/>
      <c r="J710" s="168"/>
      <c r="K710" s="168"/>
      <c r="L710" s="168"/>
      <c r="M710" s="168"/>
      <c r="N710" s="168"/>
      <c r="O710" s="168"/>
      <c r="P710" s="168"/>
      <c r="Q710" s="168"/>
      <c r="R710" s="168"/>
      <c r="S710" s="168"/>
      <c r="T710" s="168"/>
      <c r="U710" s="168"/>
      <c r="V710" s="168"/>
      <c r="W710" s="168"/>
      <c r="X710" s="168"/>
      <c r="Y710" s="168"/>
      <c r="Z710" s="168"/>
    </row>
    <row r="711" customFormat="false" ht="15.75" hidden="false" customHeight="false" outlineLevel="0" collapsed="false">
      <c r="A711" s="168"/>
      <c r="B711" s="168"/>
      <c r="C711" s="168"/>
      <c r="D711" s="168"/>
      <c r="E711" s="168"/>
      <c r="F711" s="168"/>
      <c r="G711" s="168"/>
      <c r="H711" s="168"/>
      <c r="I711" s="168"/>
      <c r="J711" s="168"/>
      <c r="K711" s="168"/>
      <c r="L711" s="168"/>
      <c r="M711" s="168"/>
      <c r="N711" s="168"/>
      <c r="O711" s="168"/>
      <c r="P711" s="168"/>
      <c r="Q711" s="168"/>
      <c r="R711" s="168"/>
      <c r="S711" s="168"/>
      <c r="T711" s="168"/>
      <c r="U711" s="168"/>
      <c r="V711" s="168"/>
      <c r="W711" s="168"/>
      <c r="X711" s="168"/>
      <c r="Y711" s="168"/>
      <c r="Z711" s="168"/>
    </row>
    <row r="712" customFormat="false" ht="15.75" hidden="false" customHeight="false" outlineLevel="0" collapsed="false">
      <c r="A712" s="168"/>
      <c r="B712" s="168"/>
      <c r="C712" s="168"/>
      <c r="D712" s="168"/>
      <c r="E712" s="168"/>
      <c r="F712" s="168"/>
      <c r="G712" s="168"/>
      <c r="H712" s="168"/>
      <c r="I712" s="168"/>
      <c r="J712" s="168"/>
      <c r="K712" s="168"/>
      <c r="L712" s="168"/>
      <c r="M712" s="168"/>
      <c r="N712" s="168"/>
      <c r="O712" s="168"/>
      <c r="P712" s="168"/>
      <c r="Q712" s="168"/>
      <c r="R712" s="168"/>
      <c r="S712" s="168"/>
      <c r="T712" s="168"/>
      <c r="U712" s="168"/>
      <c r="V712" s="168"/>
      <c r="W712" s="168"/>
      <c r="X712" s="168"/>
      <c r="Y712" s="168"/>
      <c r="Z712" s="168"/>
    </row>
    <row r="713" customFormat="false" ht="15.75" hidden="false" customHeight="false" outlineLevel="0" collapsed="false">
      <c r="A713" s="168"/>
      <c r="B713" s="168"/>
      <c r="C713" s="168"/>
      <c r="D713" s="168"/>
      <c r="E713" s="168"/>
      <c r="F713" s="168"/>
      <c r="G713" s="168"/>
      <c r="H713" s="168"/>
      <c r="I713" s="168"/>
      <c r="J713" s="168"/>
      <c r="K713" s="168"/>
      <c r="L713" s="168"/>
      <c r="M713" s="168"/>
      <c r="N713" s="168"/>
      <c r="O713" s="168"/>
      <c r="P713" s="168"/>
      <c r="Q713" s="168"/>
      <c r="R713" s="168"/>
      <c r="S713" s="168"/>
      <c r="T713" s="168"/>
      <c r="U713" s="168"/>
      <c r="V713" s="168"/>
      <c r="W713" s="168"/>
      <c r="X713" s="168"/>
      <c r="Y713" s="168"/>
      <c r="Z713" s="168"/>
    </row>
    <row r="714" customFormat="false" ht="15.75" hidden="false" customHeight="false" outlineLevel="0" collapsed="false">
      <c r="A714" s="168"/>
      <c r="B714" s="168"/>
      <c r="C714" s="168"/>
      <c r="D714" s="168"/>
      <c r="E714" s="168"/>
      <c r="F714" s="168"/>
      <c r="G714" s="168"/>
      <c r="H714" s="168"/>
      <c r="I714" s="168"/>
      <c r="J714" s="168"/>
      <c r="K714" s="168"/>
      <c r="L714" s="168"/>
      <c r="M714" s="168"/>
      <c r="N714" s="168"/>
      <c r="O714" s="168"/>
      <c r="P714" s="168"/>
      <c r="Q714" s="168"/>
      <c r="R714" s="168"/>
      <c r="S714" s="168"/>
      <c r="T714" s="168"/>
      <c r="U714" s="168"/>
      <c r="V714" s="168"/>
      <c r="W714" s="168"/>
      <c r="X714" s="168"/>
      <c r="Y714" s="168"/>
      <c r="Z714" s="168"/>
    </row>
    <row r="715" customFormat="false" ht="15.75" hidden="false" customHeight="false" outlineLevel="0" collapsed="false">
      <c r="A715" s="168"/>
      <c r="B715" s="168"/>
      <c r="C715" s="168"/>
      <c r="D715" s="168"/>
      <c r="E715" s="168"/>
      <c r="F715" s="168"/>
      <c r="G715" s="168"/>
      <c r="H715" s="168"/>
      <c r="I715" s="168"/>
      <c r="J715" s="168"/>
      <c r="K715" s="168"/>
      <c r="L715" s="168"/>
      <c r="M715" s="168"/>
      <c r="N715" s="168"/>
      <c r="O715" s="168"/>
      <c r="P715" s="168"/>
      <c r="Q715" s="168"/>
      <c r="R715" s="168"/>
      <c r="S715" s="168"/>
      <c r="T715" s="168"/>
      <c r="U715" s="168"/>
      <c r="V715" s="168"/>
      <c r="W715" s="168"/>
      <c r="X715" s="168"/>
      <c r="Y715" s="168"/>
      <c r="Z715" s="168"/>
    </row>
    <row r="716" customFormat="false" ht="15.75" hidden="false" customHeight="false" outlineLevel="0" collapsed="false">
      <c r="A716" s="168"/>
      <c r="B716" s="168"/>
      <c r="C716" s="168"/>
      <c r="D716" s="168"/>
      <c r="E716" s="168"/>
      <c r="F716" s="168"/>
      <c r="G716" s="168"/>
      <c r="H716" s="168"/>
      <c r="I716" s="168"/>
      <c r="J716" s="168"/>
      <c r="K716" s="168"/>
      <c r="L716" s="168"/>
      <c r="M716" s="168"/>
      <c r="N716" s="168"/>
      <c r="O716" s="168"/>
      <c r="P716" s="168"/>
      <c r="Q716" s="168"/>
      <c r="R716" s="168"/>
      <c r="S716" s="168"/>
      <c r="T716" s="168"/>
      <c r="U716" s="168"/>
      <c r="V716" s="168"/>
      <c r="W716" s="168"/>
      <c r="X716" s="168"/>
      <c r="Y716" s="168"/>
      <c r="Z716" s="168"/>
    </row>
    <row r="717" customFormat="false" ht="15.75" hidden="false" customHeight="false" outlineLevel="0" collapsed="false">
      <c r="A717" s="168"/>
      <c r="B717" s="168"/>
      <c r="C717" s="168"/>
      <c r="D717" s="168"/>
      <c r="E717" s="168"/>
      <c r="F717" s="168"/>
      <c r="G717" s="168"/>
      <c r="H717" s="168"/>
      <c r="I717" s="168"/>
      <c r="J717" s="168"/>
      <c r="K717" s="168"/>
      <c r="L717" s="168"/>
      <c r="M717" s="168"/>
      <c r="N717" s="168"/>
      <c r="O717" s="168"/>
      <c r="P717" s="168"/>
      <c r="Q717" s="168"/>
      <c r="R717" s="168"/>
      <c r="S717" s="168"/>
      <c r="T717" s="168"/>
      <c r="U717" s="168"/>
      <c r="V717" s="168"/>
      <c r="W717" s="168"/>
      <c r="X717" s="168"/>
      <c r="Y717" s="168"/>
      <c r="Z717" s="168"/>
    </row>
    <row r="718" customFormat="false" ht="15.75" hidden="false" customHeight="false" outlineLevel="0" collapsed="false">
      <c r="A718" s="168"/>
      <c r="B718" s="168"/>
      <c r="C718" s="168"/>
      <c r="D718" s="168"/>
      <c r="E718" s="168"/>
      <c r="F718" s="168"/>
      <c r="G718" s="168"/>
      <c r="H718" s="168"/>
      <c r="I718" s="168"/>
      <c r="J718" s="168"/>
      <c r="K718" s="168"/>
      <c r="L718" s="168"/>
      <c r="M718" s="168"/>
      <c r="N718" s="168"/>
      <c r="O718" s="168"/>
      <c r="P718" s="168"/>
      <c r="Q718" s="168"/>
      <c r="R718" s="168"/>
      <c r="S718" s="168"/>
      <c r="T718" s="168"/>
      <c r="U718" s="168"/>
      <c r="V718" s="168"/>
      <c r="W718" s="168"/>
      <c r="X718" s="168"/>
      <c r="Y718" s="168"/>
      <c r="Z718" s="168"/>
    </row>
    <row r="719" customFormat="false" ht="15.75" hidden="false" customHeight="false" outlineLevel="0" collapsed="false">
      <c r="A719" s="168"/>
      <c r="B719" s="168"/>
      <c r="C719" s="168"/>
      <c r="D719" s="168"/>
      <c r="E719" s="168"/>
      <c r="F719" s="168"/>
      <c r="G719" s="168"/>
      <c r="H719" s="168"/>
      <c r="I719" s="168"/>
      <c r="J719" s="168"/>
      <c r="K719" s="168"/>
      <c r="L719" s="168"/>
      <c r="M719" s="168"/>
      <c r="N719" s="168"/>
      <c r="O719" s="168"/>
      <c r="P719" s="168"/>
      <c r="Q719" s="168"/>
      <c r="R719" s="168"/>
      <c r="S719" s="168"/>
      <c r="T719" s="168"/>
      <c r="U719" s="168"/>
      <c r="V719" s="168"/>
      <c r="W719" s="168"/>
      <c r="X719" s="168"/>
      <c r="Y719" s="168"/>
      <c r="Z719" s="168"/>
    </row>
    <row r="720" customFormat="false" ht="15.75" hidden="false" customHeight="false" outlineLevel="0" collapsed="false">
      <c r="A720" s="168"/>
      <c r="B720" s="168"/>
      <c r="C720" s="168"/>
      <c r="D720" s="168"/>
      <c r="E720" s="168"/>
      <c r="F720" s="168"/>
      <c r="G720" s="168"/>
      <c r="H720" s="168"/>
      <c r="I720" s="168"/>
      <c r="J720" s="168"/>
      <c r="K720" s="168"/>
      <c r="L720" s="168"/>
      <c r="M720" s="168"/>
      <c r="N720" s="168"/>
      <c r="O720" s="168"/>
      <c r="P720" s="168"/>
      <c r="Q720" s="168"/>
      <c r="R720" s="168"/>
      <c r="S720" s="168"/>
      <c r="T720" s="168"/>
      <c r="U720" s="168"/>
      <c r="V720" s="168"/>
      <c r="W720" s="168"/>
      <c r="X720" s="168"/>
      <c r="Y720" s="168"/>
      <c r="Z720" s="168"/>
    </row>
    <row r="721" customFormat="false" ht="15.75" hidden="false" customHeight="false" outlineLevel="0" collapsed="false">
      <c r="A721" s="168"/>
      <c r="B721" s="168"/>
      <c r="C721" s="168"/>
      <c r="D721" s="168"/>
      <c r="E721" s="168"/>
      <c r="F721" s="168"/>
      <c r="G721" s="168"/>
      <c r="H721" s="168"/>
      <c r="I721" s="168"/>
      <c r="J721" s="168"/>
      <c r="K721" s="168"/>
      <c r="L721" s="168"/>
      <c r="M721" s="168"/>
      <c r="N721" s="168"/>
      <c r="O721" s="168"/>
      <c r="P721" s="168"/>
      <c r="Q721" s="168"/>
      <c r="R721" s="168"/>
      <c r="S721" s="168"/>
      <c r="T721" s="168"/>
      <c r="U721" s="168"/>
      <c r="V721" s="168"/>
      <c r="W721" s="168"/>
      <c r="X721" s="168"/>
      <c r="Y721" s="168"/>
      <c r="Z721" s="168"/>
    </row>
    <row r="722" customFormat="false" ht="15.75" hidden="false" customHeight="false" outlineLevel="0" collapsed="false">
      <c r="A722" s="168"/>
      <c r="B722" s="168"/>
      <c r="C722" s="168"/>
      <c r="D722" s="168"/>
      <c r="E722" s="168"/>
      <c r="F722" s="168"/>
      <c r="G722" s="168"/>
      <c r="H722" s="168"/>
      <c r="I722" s="168"/>
      <c r="J722" s="168"/>
      <c r="K722" s="168"/>
      <c r="L722" s="168"/>
      <c r="M722" s="168"/>
      <c r="N722" s="168"/>
      <c r="O722" s="168"/>
      <c r="P722" s="168"/>
      <c r="Q722" s="168"/>
      <c r="R722" s="168"/>
      <c r="S722" s="168"/>
      <c r="T722" s="168"/>
      <c r="U722" s="168"/>
      <c r="V722" s="168"/>
      <c r="W722" s="168"/>
      <c r="X722" s="168"/>
      <c r="Y722" s="168"/>
      <c r="Z722" s="168"/>
    </row>
    <row r="723" customFormat="false" ht="15.75" hidden="false" customHeight="false" outlineLevel="0" collapsed="false">
      <c r="A723" s="168"/>
      <c r="B723" s="168"/>
      <c r="C723" s="168"/>
      <c r="D723" s="168"/>
      <c r="E723" s="168"/>
      <c r="F723" s="168"/>
      <c r="G723" s="168"/>
      <c r="H723" s="168"/>
      <c r="I723" s="168"/>
      <c r="J723" s="168"/>
      <c r="K723" s="168"/>
      <c r="L723" s="168"/>
      <c r="M723" s="168"/>
      <c r="N723" s="168"/>
      <c r="O723" s="168"/>
      <c r="P723" s="168"/>
      <c r="Q723" s="168"/>
      <c r="R723" s="168"/>
      <c r="S723" s="168"/>
      <c r="T723" s="168"/>
      <c r="U723" s="168"/>
      <c r="V723" s="168"/>
      <c r="W723" s="168"/>
      <c r="X723" s="168"/>
      <c r="Y723" s="168"/>
      <c r="Z723" s="168"/>
    </row>
    <row r="724" customFormat="false" ht="15.75" hidden="false" customHeight="false" outlineLevel="0" collapsed="false">
      <c r="A724" s="168"/>
      <c r="B724" s="168"/>
      <c r="C724" s="168"/>
      <c r="D724" s="168"/>
      <c r="E724" s="168"/>
      <c r="F724" s="168"/>
      <c r="G724" s="168"/>
      <c r="H724" s="168"/>
      <c r="I724" s="168"/>
      <c r="J724" s="168"/>
      <c r="K724" s="168"/>
      <c r="L724" s="168"/>
      <c r="M724" s="168"/>
      <c r="N724" s="168"/>
      <c r="O724" s="168"/>
      <c r="P724" s="168"/>
      <c r="Q724" s="168"/>
      <c r="R724" s="168"/>
      <c r="S724" s="168"/>
      <c r="T724" s="168"/>
      <c r="U724" s="168"/>
      <c r="V724" s="168"/>
      <c r="W724" s="168"/>
      <c r="X724" s="168"/>
      <c r="Y724" s="168"/>
      <c r="Z724" s="168"/>
    </row>
    <row r="725" customFormat="false" ht="15.75" hidden="false" customHeight="false" outlineLevel="0" collapsed="false">
      <c r="A725" s="168"/>
      <c r="B725" s="168"/>
      <c r="C725" s="168"/>
      <c r="D725" s="168"/>
      <c r="E725" s="168"/>
      <c r="F725" s="168"/>
      <c r="G725" s="168"/>
      <c r="H725" s="168"/>
      <c r="I725" s="168"/>
      <c r="J725" s="168"/>
      <c r="K725" s="168"/>
      <c r="L725" s="168"/>
      <c r="M725" s="168"/>
      <c r="N725" s="168"/>
      <c r="O725" s="168"/>
      <c r="P725" s="168"/>
      <c r="Q725" s="168"/>
      <c r="R725" s="168"/>
      <c r="S725" s="168"/>
      <c r="T725" s="168"/>
      <c r="U725" s="168"/>
      <c r="V725" s="168"/>
      <c r="W725" s="168"/>
      <c r="X725" s="168"/>
      <c r="Y725" s="168"/>
      <c r="Z725" s="168"/>
    </row>
    <row r="726" customFormat="false" ht="15.75" hidden="false" customHeight="false" outlineLevel="0" collapsed="false">
      <c r="A726" s="168"/>
      <c r="B726" s="168"/>
      <c r="C726" s="168"/>
      <c r="D726" s="168"/>
      <c r="E726" s="168"/>
      <c r="F726" s="168"/>
      <c r="G726" s="168"/>
      <c r="H726" s="168"/>
      <c r="I726" s="168"/>
      <c r="J726" s="168"/>
      <c r="K726" s="168"/>
      <c r="L726" s="168"/>
      <c r="M726" s="168"/>
      <c r="N726" s="168"/>
      <c r="O726" s="168"/>
      <c r="P726" s="168"/>
      <c r="Q726" s="168"/>
      <c r="R726" s="168"/>
      <c r="S726" s="168"/>
      <c r="T726" s="168"/>
      <c r="U726" s="168"/>
      <c r="V726" s="168"/>
      <c r="W726" s="168"/>
      <c r="X726" s="168"/>
      <c r="Y726" s="168"/>
      <c r="Z726" s="168"/>
    </row>
    <row r="727" customFormat="false" ht="15.75" hidden="false" customHeight="false" outlineLevel="0" collapsed="false">
      <c r="A727" s="168"/>
      <c r="B727" s="168"/>
      <c r="C727" s="168"/>
      <c r="D727" s="168"/>
      <c r="E727" s="168"/>
      <c r="F727" s="168"/>
      <c r="G727" s="168"/>
      <c r="H727" s="168"/>
      <c r="I727" s="168"/>
      <c r="J727" s="168"/>
      <c r="K727" s="168"/>
      <c r="L727" s="168"/>
      <c r="M727" s="168"/>
      <c r="N727" s="168"/>
      <c r="O727" s="168"/>
      <c r="P727" s="168"/>
      <c r="Q727" s="168"/>
      <c r="R727" s="168"/>
      <c r="S727" s="168"/>
      <c r="T727" s="168"/>
      <c r="U727" s="168"/>
      <c r="V727" s="168"/>
      <c r="W727" s="168"/>
      <c r="X727" s="168"/>
      <c r="Y727" s="168"/>
      <c r="Z727" s="168"/>
    </row>
    <row r="728" customFormat="false" ht="15.75" hidden="false" customHeight="false" outlineLevel="0" collapsed="false">
      <c r="A728" s="168"/>
      <c r="B728" s="168"/>
      <c r="C728" s="168"/>
      <c r="D728" s="168"/>
      <c r="E728" s="168"/>
      <c r="F728" s="168"/>
      <c r="G728" s="168"/>
      <c r="H728" s="168"/>
      <c r="I728" s="168"/>
      <c r="J728" s="168"/>
      <c r="K728" s="168"/>
      <c r="L728" s="168"/>
      <c r="M728" s="168"/>
      <c r="N728" s="168"/>
      <c r="O728" s="168"/>
      <c r="P728" s="168"/>
      <c r="Q728" s="168"/>
      <c r="R728" s="168"/>
      <c r="S728" s="168"/>
      <c r="T728" s="168"/>
      <c r="U728" s="168"/>
      <c r="V728" s="168"/>
      <c r="W728" s="168"/>
      <c r="X728" s="168"/>
      <c r="Y728" s="168"/>
      <c r="Z728" s="168"/>
    </row>
    <row r="729" customFormat="false" ht="15.75" hidden="false" customHeight="false" outlineLevel="0" collapsed="false">
      <c r="A729" s="168"/>
      <c r="B729" s="168"/>
      <c r="C729" s="168"/>
      <c r="D729" s="168"/>
      <c r="E729" s="168"/>
      <c r="F729" s="168"/>
      <c r="G729" s="168"/>
      <c r="H729" s="168"/>
      <c r="I729" s="168"/>
      <c r="J729" s="168"/>
      <c r="K729" s="168"/>
      <c r="L729" s="168"/>
      <c r="M729" s="168"/>
      <c r="N729" s="168"/>
      <c r="O729" s="168"/>
      <c r="P729" s="168"/>
      <c r="Q729" s="168"/>
      <c r="R729" s="168"/>
      <c r="S729" s="168"/>
      <c r="T729" s="168"/>
      <c r="U729" s="168"/>
      <c r="V729" s="168"/>
      <c r="W729" s="168"/>
      <c r="X729" s="168"/>
      <c r="Y729" s="168"/>
      <c r="Z729" s="168"/>
    </row>
    <row r="730" customFormat="false" ht="15.75" hidden="false" customHeight="false" outlineLevel="0" collapsed="false">
      <c r="A730" s="168"/>
      <c r="B730" s="168"/>
      <c r="C730" s="168"/>
      <c r="D730" s="168"/>
      <c r="E730" s="168"/>
      <c r="F730" s="168"/>
      <c r="G730" s="168"/>
      <c r="H730" s="168"/>
      <c r="I730" s="168"/>
      <c r="J730" s="168"/>
      <c r="K730" s="168"/>
      <c r="L730" s="168"/>
      <c r="M730" s="168"/>
      <c r="N730" s="168"/>
      <c r="O730" s="168"/>
      <c r="P730" s="168"/>
      <c r="Q730" s="168"/>
      <c r="R730" s="168"/>
      <c r="S730" s="168"/>
      <c r="T730" s="168"/>
      <c r="U730" s="168"/>
      <c r="V730" s="168"/>
      <c r="W730" s="168"/>
      <c r="X730" s="168"/>
      <c r="Y730" s="168"/>
      <c r="Z730" s="168"/>
    </row>
    <row r="731" customFormat="false" ht="15.75" hidden="false" customHeight="false" outlineLevel="0" collapsed="false">
      <c r="A731" s="168"/>
      <c r="B731" s="168"/>
      <c r="C731" s="168"/>
      <c r="D731" s="168"/>
      <c r="E731" s="168"/>
      <c r="F731" s="168"/>
      <c r="G731" s="168"/>
      <c r="H731" s="168"/>
      <c r="I731" s="168"/>
      <c r="J731" s="168"/>
      <c r="K731" s="168"/>
      <c r="L731" s="168"/>
      <c r="M731" s="168"/>
      <c r="N731" s="168"/>
      <c r="O731" s="168"/>
      <c r="P731" s="168"/>
      <c r="Q731" s="168"/>
      <c r="R731" s="168"/>
      <c r="S731" s="168"/>
      <c r="T731" s="168"/>
      <c r="U731" s="168"/>
      <c r="V731" s="168"/>
      <c r="W731" s="168"/>
      <c r="X731" s="168"/>
      <c r="Y731" s="168"/>
      <c r="Z731" s="168"/>
    </row>
    <row r="732" customFormat="false" ht="15.75" hidden="false" customHeight="false" outlineLevel="0" collapsed="false">
      <c r="A732" s="168"/>
      <c r="B732" s="168"/>
      <c r="C732" s="168"/>
      <c r="D732" s="168"/>
      <c r="E732" s="168"/>
      <c r="F732" s="168"/>
      <c r="G732" s="168"/>
      <c r="H732" s="168"/>
      <c r="I732" s="168"/>
      <c r="J732" s="168"/>
      <c r="K732" s="168"/>
      <c r="L732" s="168"/>
      <c r="M732" s="168"/>
      <c r="N732" s="168"/>
      <c r="O732" s="168"/>
      <c r="P732" s="168"/>
      <c r="Q732" s="168"/>
      <c r="R732" s="168"/>
      <c r="S732" s="168"/>
      <c r="T732" s="168"/>
      <c r="U732" s="168"/>
      <c r="V732" s="168"/>
      <c r="W732" s="168"/>
      <c r="X732" s="168"/>
      <c r="Y732" s="168"/>
      <c r="Z732" s="168"/>
    </row>
    <row r="733" customFormat="false" ht="15.75" hidden="false" customHeight="false" outlineLevel="0" collapsed="false">
      <c r="A733" s="168"/>
      <c r="B733" s="168"/>
      <c r="C733" s="168"/>
      <c r="D733" s="168"/>
      <c r="E733" s="168"/>
      <c r="F733" s="168"/>
      <c r="G733" s="168"/>
      <c r="H733" s="168"/>
      <c r="I733" s="168"/>
      <c r="J733" s="168"/>
      <c r="K733" s="168"/>
      <c r="L733" s="168"/>
      <c r="M733" s="168"/>
      <c r="N733" s="168"/>
      <c r="O733" s="168"/>
      <c r="P733" s="168"/>
      <c r="Q733" s="168"/>
      <c r="R733" s="168"/>
      <c r="S733" s="168"/>
      <c r="T733" s="168"/>
      <c r="U733" s="168"/>
      <c r="V733" s="168"/>
      <c r="W733" s="168"/>
      <c r="X733" s="168"/>
      <c r="Y733" s="168"/>
      <c r="Z733" s="168"/>
    </row>
    <row r="734" customFormat="false" ht="15.75" hidden="false" customHeight="false" outlineLevel="0" collapsed="false">
      <c r="A734" s="168"/>
      <c r="B734" s="168"/>
      <c r="C734" s="168"/>
      <c r="D734" s="168"/>
      <c r="E734" s="168"/>
      <c r="F734" s="168"/>
      <c r="G734" s="168"/>
      <c r="H734" s="168"/>
      <c r="I734" s="168"/>
      <c r="J734" s="168"/>
      <c r="K734" s="168"/>
      <c r="L734" s="168"/>
      <c r="M734" s="168"/>
      <c r="N734" s="168"/>
      <c r="O734" s="168"/>
      <c r="P734" s="168"/>
      <c r="Q734" s="168"/>
      <c r="R734" s="168"/>
      <c r="S734" s="168"/>
      <c r="T734" s="168"/>
      <c r="U734" s="168"/>
      <c r="V734" s="168"/>
      <c r="W734" s="168"/>
      <c r="X734" s="168"/>
      <c r="Y734" s="168"/>
      <c r="Z734" s="168"/>
    </row>
    <row r="735" customFormat="false" ht="15.75" hidden="false" customHeight="false" outlineLevel="0" collapsed="false">
      <c r="A735" s="168"/>
      <c r="B735" s="168"/>
      <c r="C735" s="168"/>
      <c r="D735" s="168"/>
      <c r="E735" s="168"/>
      <c r="F735" s="168"/>
      <c r="G735" s="168"/>
      <c r="H735" s="168"/>
      <c r="I735" s="168"/>
      <c r="J735" s="168"/>
      <c r="K735" s="168"/>
      <c r="L735" s="168"/>
      <c r="M735" s="168"/>
      <c r="N735" s="168"/>
      <c r="O735" s="168"/>
      <c r="P735" s="168"/>
      <c r="Q735" s="168"/>
      <c r="R735" s="168"/>
      <c r="S735" s="168"/>
      <c r="T735" s="168"/>
      <c r="U735" s="168"/>
      <c r="V735" s="168"/>
      <c r="W735" s="168"/>
      <c r="X735" s="168"/>
      <c r="Y735" s="168"/>
      <c r="Z735" s="168"/>
    </row>
    <row r="736" customFormat="false" ht="15.75" hidden="false" customHeight="false" outlineLevel="0" collapsed="false">
      <c r="A736" s="168"/>
      <c r="B736" s="168"/>
      <c r="C736" s="168"/>
      <c r="D736" s="168"/>
      <c r="E736" s="168"/>
      <c r="F736" s="168"/>
      <c r="G736" s="168"/>
      <c r="H736" s="168"/>
      <c r="I736" s="168"/>
      <c r="J736" s="168"/>
      <c r="K736" s="168"/>
      <c r="L736" s="168"/>
      <c r="M736" s="168"/>
      <c r="N736" s="168"/>
      <c r="O736" s="168"/>
      <c r="P736" s="168"/>
      <c r="Q736" s="168"/>
      <c r="R736" s="168"/>
      <c r="S736" s="168"/>
      <c r="T736" s="168"/>
      <c r="U736" s="168"/>
      <c r="V736" s="168"/>
      <c r="W736" s="168"/>
      <c r="X736" s="168"/>
      <c r="Y736" s="168"/>
      <c r="Z736" s="168"/>
    </row>
    <row r="737" customFormat="false" ht="15.75" hidden="false" customHeight="false" outlineLevel="0" collapsed="false">
      <c r="A737" s="168"/>
      <c r="B737" s="168"/>
      <c r="C737" s="168"/>
      <c r="D737" s="168"/>
      <c r="E737" s="168"/>
      <c r="F737" s="168"/>
      <c r="G737" s="168"/>
      <c r="H737" s="168"/>
      <c r="I737" s="168"/>
      <c r="J737" s="168"/>
      <c r="K737" s="168"/>
      <c r="L737" s="168"/>
      <c r="M737" s="168"/>
      <c r="N737" s="168"/>
      <c r="O737" s="168"/>
      <c r="P737" s="168"/>
      <c r="Q737" s="168"/>
      <c r="R737" s="168"/>
      <c r="S737" s="168"/>
      <c r="T737" s="168"/>
      <c r="U737" s="168"/>
      <c r="V737" s="168"/>
      <c r="W737" s="168"/>
      <c r="X737" s="168"/>
      <c r="Y737" s="168"/>
      <c r="Z737" s="168"/>
    </row>
    <row r="738" customFormat="false" ht="15.75" hidden="false" customHeight="false" outlineLevel="0" collapsed="false">
      <c r="A738" s="168"/>
      <c r="B738" s="168"/>
      <c r="C738" s="168"/>
      <c r="D738" s="168"/>
      <c r="E738" s="168"/>
      <c r="F738" s="168"/>
      <c r="G738" s="168"/>
      <c r="H738" s="168"/>
      <c r="I738" s="168"/>
      <c r="J738" s="168"/>
      <c r="K738" s="168"/>
      <c r="L738" s="168"/>
      <c r="M738" s="168"/>
      <c r="N738" s="168"/>
      <c r="O738" s="168"/>
      <c r="P738" s="168"/>
      <c r="Q738" s="168"/>
      <c r="R738" s="168"/>
      <c r="S738" s="168"/>
      <c r="T738" s="168"/>
      <c r="U738" s="168"/>
      <c r="V738" s="168"/>
      <c r="W738" s="168"/>
      <c r="X738" s="168"/>
      <c r="Y738" s="168"/>
      <c r="Z738" s="168"/>
    </row>
    <row r="739" customFormat="false" ht="15.75" hidden="false" customHeight="false" outlineLevel="0" collapsed="false">
      <c r="A739" s="168"/>
      <c r="B739" s="168"/>
      <c r="C739" s="168"/>
      <c r="D739" s="168"/>
      <c r="E739" s="168"/>
      <c r="F739" s="168"/>
      <c r="G739" s="168"/>
      <c r="H739" s="168"/>
      <c r="I739" s="168"/>
      <c r="J739" s="168"/>
      <c r="K739" s="168"/>
      <c r="L739" s="168"/>
      <c r="M739" s="168"/>
      <c r="N739" s="168"/>
      <c r="O739" s="168"/>
      <c r="P739" s="168"/>
      <c r="Q739" s="168"/>
      <c r="R739" s="168"/>
      <c r="S739" s="168"/>
      <c r="T739" s="168"/>
      <c r="U739" s="168"/>
      <c r="V739" s="168"/>
      <c r="W739" s="168"/>
      <c r="X739" s="168"/>
      <c r="Y739" s="168"/>
      <c r="Z739" s="168"/>
    </row>
    <row r="740" customFormat="false" ht="15.75" hidden="false" customHeight="false" outlineLevel="0" collapsed="false">
      <c r="A740" s="168"/>
      <c r="B740" s="168"/>
      <c r="C740" s="168"/>
      <c r="D740" s="168"/>
      <c r="E740" s="168"/>
      <c r="F740" s="168"/>
      <c r="G740" s="168"/>
      <c r="H740" s="168"/>
      <c r="I740" s="168"/>
      <c r="J740" s="168"/>
      <c r="K740" s="168"/>
      <c r="L740" s="168"/>
      <c r="M740" s="168"/>
      <c r="N740" s="168"/>
      <c r="O740" s="168"/>
      <c r="P740" s="168"/>
      <c r="Q740" s="168"/>
      <c r="R740" s="168"/>
      <c r="S740" s="168"/>
      <c r="T740" s="168"/>
      <c r="U740" s="168"/>
      <c r="V740" s="168"/>
      <c r="W740" s="168"/>
      <c r="X740" s="168"/>
      <c r="Y740" s="168"/>
      <c r="Z740" s="168"/>
    </row>
    <row r="741" customFormat="false" ht="15.75" hidden="false" customHeight="false" outlineLevel="0" collapsed="false">
      <c r="A741" s="168"/>
      <c r="B741" s="168"/>
      <c r="C741" s="168"/>
      <c r="D741" s="168"/>
      <c r="E741" s="168"/>
      <c r="F741" s="168"/>
      <c r="G741" s="168"/>
      <c r="H741" s="168"/>
      <c r="I741" s="168"/>
      <c r="J741" s="168"/>
      <c r="K741" s="168"/>
      <c r="L741" s="168"/>
      <c r="M741" s="168"/>
      <c r="N741" s="168"/>
      <c r="O741" s="168"/>
      <c r="P741" s="168"/>
      <c r="Q741" s="168"/>
      <c r="R741" s="168"/>
      <c r="S741" s="168"/>
      <c r="T741" s="168"/>
      <c r="U741" s="168"/>
      <c r="V741" s="168"/>
      <c r="W741" s="168"/>
      <c r="X741" s="168"/>
      <c r="Y741" s="168"/>
      <c r="Z741" s="168"/>
    </row>
    <row r="742" customFormat="false" ht="15.75" hidden="false" customHeight="false" outlineLevel="0" collapsed="false">
      <c r="A742" s="168"/>
      <c r="B742" s="168"/>
      <c r="C742" s="168"/>
      <c r="D742" s="168"/>
      <c r="E742" s="168"/>
      <c r="F742" s="168"/>
      <c r="G742" s="168"/>
      <c r="H742" s="168"/>
      <c r="I742" s="168"/>
      <c r="J742" s="168"/>
      <c r="K742" s="168"/>
      <c r="L742" s="168"/>
      <c r="M742" s="168"/>
      <c r="N742" s="168"/>
      <c r="O742" s="168"/>
      <c r="P742" s="168"/>
      <c r="Q742" s="168"/>
      <c r="R742" s="168"/>
      <c r="S742" s="168"/>
      <c r="T742" s="168"/>
      <c r="U742" s="168"/>
      <c r="V742" s="168"/>
      <c r="W742" s="168"/>
      <c r="X742" s="168"/>
      <c r="Y742" s="168"/>
      <c r="Z742" s="168"/>
    </row>
    <row r="743" customFormat="false" ht="15.75" hidden="false" customHeight="false" outlineLevel="0" collapsed="false">
      <c r="A743" s="168"/>
      <c r="B743" s="168"/>
      <c r="C743" s="168"/>
      <c r="D743" s="168"/>
      <c r="E743" s="168"/>
      <c r="F743" s="168"/>
      <c r="G743" s="168"/>
      <c r="H743" s="168"/>
      <c r="I743" s="168"/>
      <c r="J743" s="168"/>
      <c r="K743" s="168"/>
      <c r="L743" s="168"/>
      <c r="M743" s="168"/>
      <c r="N743" s="168"/>
      <c r="O743" s="168"/>
      <c r="P743" s="168"/>
      <c r="Q743" s="168"/>
      <c r="R743" s="168"/>
      <c r="S743" s="168"/>
      <c r="T743" s="168"/>
      <c r="U743" s="168"/>
      <c r="V743" s="168"/>
      <c r="W743" s="168"/>
      <c r="X743" s="168"/>
      <c r="Y743" s="168"/>
      <c r="Z743" s="168"/>
    </row>
    <row r="744" customFormat="false" ht="15.75" hidden="false" customHeight="false" outlineLevel="0" collapsed="false">
      <c r="A744" s="168"/>
      <c r="B744" s="168"/>
      <c r="C744" s="168"/>
      <c r="D744" s="168"/>
      <c r="E744" s="168"/>
      <c r="F744" s="168"/>
      <c r="G744" s="168"/>
      <c r="H744" s="168"/>
      <c r="I744" s="168"/>
      <c r="J744" s="168"/>
      <c r="K744" s="168"/>
      <c r="L744" s="168"/>
      <c r="M744" s="168"/>
      <c r="N744" s="168"/>
      <c r="O744" s="168"/>
      <c r="P744" s="168"/>
      <c r="Q744" s="168"/>
      <c r="R744" s="168"/>
      <c r="S744" s="168"/>
      <c r="T744" s="168"/>
      <c r="U744" s="168"/>
      <c r="V744" s="168"/>
      <c r="W744" s="168"/>
      <c r="X744" s="168"/>
      <c r="Y744" s="168"/>
      <c r="Z744" s="168"/>
    </row>
    <row r="745" customFormat="false" ht="15.75" hidden="false" customHeight="false" outlineLevel="0" collapsed="false">
      <c r="A745" s="168"/>
      <c r="B745" s="168"/>
      <c r="C745" s="168"/>
      <c r="D745" s="168"/>
      <c r="E745" s="168"/>
      <c r="F745" s="168"/>
      <c r="G745" s="168"/>
      <c r="H745" s="168"/>
      <c r="I745" s="168"/>
      <c r="J745" s="168"/>
      <c r="K745" s="168"/>
      <c r="L745" s="168"/>
      <c r="M745" s="168"/>
      <c r="N745" s="168"/>
      <c r="O745" s="168"/>
      <c r="P745" s="168"/>
      <c r="Q745" s="168"/>
      <c r="R745" s="168"/>
      <c r="S745" s="168"/>
      <c r="T745" s="168"/>
      <c r="U745" s="168"/>
      <c r="V745" s="168"/>
      <c r="W745" s="168"/>
      <c r="X745" s="168"/>
      <c r="Y745" s="168"/>
      <c r="Z745" s="168"/>
    </row>
    <row r="746" customFormat="false" ht="15.75" hidden="false" customHeight="false" outlineLevel="0" collapsed="false">
      <c r="A746" s="168"/>
      <c r="B746" s="168"/>
      <c r="C746" s="168"/>
      <c r="D746" s="168"/>
      <c r="E746" s="168"/>
      <c r="F746" s="168"/>
      <c r="G746" s="168"/>
      <c r="H746" s="168"/>
      <c r="I746" s="168"/>
      <c r="J746" s="168"/>
      <c r="K746" s="168"/>
      <c r="L746" s="168"/>
      <c r="M746" s="168"/>
      <c r="N746" s="168"/>
      <c r="O746" s="168"/>
      <c r="P746" s="168"/>
      <c r="Q746" s="168"/>
      <c r="R746" s="168"/>
      <c r="S746" s="168"/>
      <c r="T746" s="168"/>
      <c r="U746" s="168"/>
      <c r="V746" s="168"/>
      <c r="W746" s="168"/>
      <c r="X746" s="168"/>
      <c r="Y746" s="168"/>
      <c r="Z746" s="168"/>
    </row>
    <row r="747" customFormat="false" ht="15.75" hidden="false" customHeight="false" outlineLevel="0" collapsed="false">
      <c r="A747" s="168"/>
      <c r="B747" s="168"/>
      <c r="C747" s="168"/>
      <c r="D747" s="168"/>
      <c r="E747" s="168"/>
      <c r="F747" s="168"/>
      <c r="G747" s="168"/>
      <c r="H747" s="168"/>
      <c r="I747" s="168"/>
      <c r="J747" s="168"/>
      <c r="K747" s="168"/>
      <c r="L747" s="168"/>
      <c r="M747" s="168"/>
      <c r="N747" s="168"/>
      <c r="O747" s="168"/>
      <c r="P747" s="168"/>
      <c r="Q747" s="168"/>
      <c r="R747" s="168"/>
      <c r="S747" s="168"/>
      <c r="T747" s="168"/>
      <c r="U747" s="168"/>
      <c r="V747" s="168"/>
      <c r="W747" s="168"/>
      <c r="X747" s="168"/>
      <c r="Y747" s="168"/>
      <c r="Z747" s="168"/>
    </row>
    <row r="748" customFormat="false" ht="15.75" hidden="false" customHeight="false" outlineLevel="0" collapsed="false">
      <c r="A748" s="168"/>
      <c r="B748" s="168"/>
      <c r="C748" s="168"/>
      <c r="D748" s="168"/>
      <c r="E748" s="168"/>
      <c r="F748" s="168"/>
      <c r="G748" s="168"/>
      <c r="H748" s="168"/>
      <c r="I748" s="168"/>
      <c r="J748" s="168"/>
      <c r="K748" s="168"/>
      <c r="L748" s="168"/>
      <c r="M748" s="168"/>
      <c r="N748" s="168"/>
      <c r="O748" s="168"/>
      <c r="P748" s="168"/>
      <c r="Q748" s="168"/>
      <c r="R748" s="168"/>
      <c r="S748" s="168"/>
      <c r="T748" s="168"/>
      <c r="U748" s="168"/>
      <c r="V748" s="168"/>
      <c r="W748" s="168"/>
      <c r="X748" s="168"/>
      <c r="Y748" s="168"/>
      <c r="Z748" s="168"/>
    </row>
    <row r="749" customFormat="false" ht="15.75" hidden="false" customHeight="false" outlineLevel="0" collapsed="false">
      <c r="A749" s="168"/>
      <c r="B749" s="168"/>
      <c r="C749" s="168"/>
      <c r="D749" s="168"/>
      <c r="E749" s="168"/>
      <c r="F749" s="168"/>
      <c r="G749" s="168"/>
      <c r="H749" s="168"/>
      <c r="I749" s="168"/>
      <c r="J749" s="168"/>
      <c r="K749" s="168"/>
      <c r="L749" s="168"/>
      <c r="M749" s="168"/>
      <c r="N749" s="168"/>
      <c r="O749" s="168"/>
      <c r="P749" s="168"/>
      <c r="Q749" s="168"/>
      <c r="R749" s="168"/>
      <c r="S749" s="168"/>
      <c r="T749" s="168"/>
      <c r="U749" s="168"/>
      <c r="V749" s="168"/>
      <c r="W749" s="168"/>
      <c r="X749" s="168"/>
      <c r="Y749" s="168"/>
      <c r="Z749" s="168"/>
    </row>
    <row r="750" customFormat="false" ht="15.75" hidden="false" customHeight="false" outlineLevel="0" collapsed="false">
      <c r="A750" s="168"/>
      <c r="B750" s="168"/>
      <c r="C750" s="168"/>
      <c r="D750" s="168"/>
      <c r="E750" s="168"/>
      <c r="F750" s="168"/>
      <c r="G750" s="168"/>
      <c r="H750" s="168"/>
      <c r="I750" s="168"/>
      <c r="J750" s="168"/>
      <c r="K750" s="168"/>
      <c r="L750" s="168"/>
      <c r="M750" s="168"/>
      <c r="N750" s="168"/>
      <c r="O750" s="168"/>
      <c r="P750" s="168"/>
      <c r="Q750" s="168"/>
      <c r="R750" s="168"/>
      <c r="S750" s="168"/>
      <c r="T750" s="168"/>
      <c r="U750" s="168"/>
      <c r="V750" s="168"/>
      <c r="W750" s="168"/>
      <c r="X750" s="168"/>
      <c r="Y750" s="168"/>
      <c r="Z750" s="168"/>
    </row>
    <row r="751" customFormat="false" ht="15.75" hidden="false" customHeight="false" outlineLevel="0" collapsed="false">
      <c r="A751" s="168"/>
      <c r="B751" s="168"/>
      <c r="C751" s="168"/>
      <c r="D751" s="168"/>
      <c r="E751" s="168"/>
      <c r="F751" s="168"/>
      <c r="G751" s="168"/>
      <c r="H751" s="168"/>
      <c r="I751" s="168"/>
      <c r="J751" s="168"/>
      <c r="K751" s="168"/>
      <c r="L751" s="168"/>
      <c r="M751" s="168"/>
      <c r="N751" s="168"/>
      <c r="O751" s="168"/>
      <c r="P751" s="168"/>
      <c r="Q751" s="168"/>
      <c r="R751" s="168"/>
      <c r="S751" s="168"/>
      <c r="T751" s="168"/>
      <c r="U751" s="168"/>
      <c r="V751" s="168"/>
      <c r="W751" s="168"/>
      <c r="X751" s="168"/>
      <c r="Y751" s="168"/>
      <c r="Z751" s="168"/>
    </row>
    <row r="752" customFormat="false" ht="15.75" hidden="false" customHeight="false" outlineLevel="0" collapsed="false">
      <c r="A752" s="168"/>
      <c r="B752" s="168"/>
      <c r="C752" s="168"/>
      <c r="D752" s="168"/>
      <c r="E752" s="168"/>
      <c r="F752" s="168"/>
      <c r="G752" s="168"/>
      <c r="H752" s="168"/>
      <c r="I752" s="168"/>
      <c r="J752" s="168"/>
      <c r="K752" s="168"/>
      <c r="L752" s="168"/>
      <c r="M752" s="168"/>
      <c r="N752" s="168"/>
      <c r="O752" s="168"/>
      <c r="P752" s="168"/>
      <c r="Q752" s="168"/>
      <c r="R752" s="168"/>
      <c r="S752" s="168"/>
      <c r="T752" s="168"/>
      <c r="U752" s="168"/>
      <c r="V752" s="168"/>
      <c r="W752" s="168"/>
      <c r="X752" s="168"/>
      <c r="Y752" s="168"/>
      <c r="Z752" s="168"/>
    </row>
    <row r="753" customFormat="false" ht="15.75" hidden="false" customHeight="false" outlineLevel="0" collapsed="false">
      <c r="A753" s="168"/>
      <c r="B753" s="168"/>
      <c r="C753" s="168"/>
      <c r="D753" s="168"/>
      <c r="E753" s="168"/>
      <c r="F753" s="168"/>
      <c r="G753" s="168"/>
      <c r="H753" s="168"/>
      <c r="I753" s="168"/>
      <c r="J753" s="168"/>
      <c r="K753" s="168"/>
      <c r="L753" s="168"/>
      <c r="M753" s="168"/>
      <c r="N753" s="168"/>
      <c r="O753" s="168"/>
      <c r="P753" s="168"/>
      <c r="Q753" s="168"/>
      <c r="R753" s="168"/>
      <c r="S753" s="168"/>
      <c r="T753" s="168"/>
      <c r="U753" s="168"/>
      <c r="V753" s="168"/>
      <c r="W753" s="168"/>
      <c r="X753" s="168"/>
      <c r="Y753" s="168"/>
      <c r="Z753" s="168"/>
    </row>
    <row r="754" customFormat="false" ht="15.75" hidden="false" customHeight="false" outlineLevel="0" collapsed="false">
      <c r="A754" s="168"/>
      <c r="B754" s="168"/>
      <c r="C754" s="168"/>
      <c r="D754" s="168"/>
      <c r="E754" s="168"/>
      <c r="F754" s="168"/>
      <c r="G754" s="168"/>
      <c r="H754" s="168"/>
      <c r="I754" s="168"/>
      <c r="J754" s="168"/>
      <c r="K754" s="168"/>
      <c r="L754" s="168"/>
      <c r="M754" s="168"/>
      <c r="N754" s="168"/>
      <c r="O754" s="168"/>
      <c r="P754" s="168"/>
      <c r="Q754" s="168"/>
      <c r="R754" s="168"/>
      <c r="S754" s="168"/>
      <c r="T754" s="168"/>
      <c r="U754" s="168"/>
      <c r="V754" s="168"/>
      <c r="W754" s="168"/>
      <c r="X754" s="168"/>
      <c r="Y754" s="168"/>
      <c r="Z754" s="168"/>
    </row>
    <row r="755" customFormat="false" ht="15.75" hidden="false" customHeight="false" outlineLevel="0" collapsed="false">
      <c r="A755" s="168"/>
      <c r="B755" s="168"/>
      <c r="C755" s="168"/>
      <c r="D755" s="168"/>
      <c r="E755" s="168"/>
      <c r="F755" s="168"/>
      <c r="G755" s="168"/>
      <c r="H755" s="168"/>
      <c r="I755" s="168"/>
      <c r="J755" s="168"/>
      <c r="K755" s="168"/>
      <c r="L755" s="168"/>
      <c r="M755" s="168"/>
      <c r="N755" s="168"/>
      <c r="O755" s="168"/>
      <c r="P755" s="168"/>
      <c r="Q755" s="168"/>
      <c r="R755" s="168"/>
      <c r="S755" s="168"/>
      <c r="T755" s="168"/>
      <c r="U755" s="168"/>
      <c r="V755" s="168"/>
      <c r="W755" s="168"/>
      <c r="X755" s="168"/>
      <c r="Y755" s="168"/>
      <c r="Z755" s="168"/>
    </row>
    <row r="756" customFormat="false" ht="15.75" hidden="false" customHeight="false" outlineLevel="0" collapsed="false">
      <c r="A756" s="168"/>
      <c r="B756" s="168"/>
      <c r="C756" s="168"/>
      <c r="D756" s="168"/>
      <c r="E756" s="168"/>
      <c r="F756" s="168"/>
      <c r="G756" s="168"/>
      <c r="H756" s="168"/>
      <c r="I756" s="168"/>
      <c r="J756" s="168"/>
      <c r="K756" s="168"/>
      <c r="L756" s="168"/>
      <c r="M756" s="168"/>
      <c r="N756" s="168"/>
      <c r="O756" s="168"/>
      <c r="P756" s="168"/>
      <c r="Q756" s="168"/>
      <c r="R756" s="168"/>
      <c r="S756" s="168"/>
      <c r="T756" s="168"/>
      <c r="U756" s="168"/>
      <c r="V756" s="168"/>
      <c r="W756" s="168"/>
      <c r="X756" s="168"/>
      <c r="Y756" s="168"/>
      <c r="Z756" s="168"/>
    </row>
    <row r="757" customFormat="false" ht="15.75" hidden="false" customHeight="false" outlineLevel="0" collapsed="false">
      <c r="A757" s="168"/>
      <c r="B757" s="168"/>
      <c r="C757" s="168"/>
      <c r="D757" s="168"/>
      <c r="E757" s="168"/>
      <c r="F757" s="168"/>
      <c r="G757" s="168"/>
      <c r="H757" s="168"/>
      <c r="I757" s="168"/>
      <c r="J757" s="168"/>
      <c r="K757" s="168"/>
      <c r="L757" s="168"/>
      <c r="M757" s="168"/>
      <c r="N757" s="168"/>
      <c r="O757" s="168"/>
      <c r="P757" s="168"/>
      <c r="Q757" s="168"/>
      <c r="R757" s="168"/>
      <c r="S757" s="168"/>
      <c r="T757" s="168"/>
      <c r="U757" s="168"/>
      <c r="V757" s="168"/>
      <c r="W757" s="168"/>
      <c r="X757" s="168"/>
      <c r="Y757" s="168"/>
      <c r="Z757" s="168"/>
    </row>
    <row r="758" customFormat="false" ht="15.75" hidden="false" customHeight="false" outlineLevel="0" collapsed="false">
      <c r="A758" s="168"/>
      <c r="B758" s="168"/>
      <c r="C758" s="168"/>
      <c r="D758" s="168"/>
      <c r="E758" s="168"/>
      <c r="F758" s="168"/>
      <c r="G758" s="168"/>
      <c r="H758" s="168"/>
      <c r="I758" s="168"/>
      <c r="J758" s="168"/>
      <c r="K758" s="168"/>
      <c r="L758" s="168"/>
      <c r="M758" s="168"/>
      <c r="N758" s="168"/>
      <c r="O758" s="168"/>
      <c r="P758" s="168"/>
      <c r="Q758" s="168"/>
      <c r="R758" s="168"/>
      <c r="S758" s="168"/>
      <c r="T758" s="168"/>
      <c r="U758" s="168"/>
      <c r="V758" s="168"/>
      <c r="W758" s="168"/>
      <c r="X758" s="168"/>
      <c r="Y758" s="168"/>
      <c r="Z758" s="168"/>
    </row>
    <row r="759" customFormat="false" ht="15.75" hidden="false" customHeight="false" outlineLevel="0" collapsed="false">
      <c r="A759" s="168"/>
      <c r="B759" s="168"/>
      <c r="C759" s="168"/>
      <c r="D759" s="168"/>
      <c r="E759" s="168"/>
      <c r="F759" s="168"/>
      <c r="G759" s="168"/>
      <c r="H759" s="168"/>
      <c r="I759" s="168"/>
      <c r="J759" s="168"/>
      <c r="K759" s="168"/>
      <c r="L759" s="168"/>
      <c r="M759" s="168"/>
      <c r="N759" s="168"/>
      <c r="O759" s="168"/>
      <c r="P759" s="168"/>
      <c r="Q759" s="168"/>
      <c r="R759" s="168"/>
      <c r="S759" s="168"/>
      <c r="T759" s="168"/>
      <c r="U759" s="168"/>
      <c r="V759" s="168"/>
      <c r="W759" s="168"/>
      <c r="X759" s="168"/>
      <c r="Y759" s="168"/>
      <c r="Z759" s="168"/>
    </row>
    <row r="760" customFormat="false" ht="15.75" hidden="false" customHeight="false" outlineLevel="0" collapsed="false">
      <c r="A760" s="168"/>
      <c r="B760" s="168"/>
      <c r="C760" s="168"/>
      <c r="D760" s="168"/>
      <c r="E760" s="168"/>
      <c r="F760" s="168"/>
      <c r="G760" s="168"/>
      <c r="H760" s="168"/>
      <c r="I760" s="168"/>
      <c r="J760" s="168"/>
      <c r="K760" s="168"/>
      <c r="L760" s="168"/>
      <c r="M760" s="168"/>
      <c r="N760" s="168"/>
      <c r="O760" s="168"/>
      <c r="P760" s="168"/>
      <c r="Q760" s="168"/>
      <c r="R760" s="168"/>
      <c r="S760" s="168"/>
      <c r="T760" s="168"/>
      <c r="U760" s="168"/>
      <c r="V760" s="168"/>
      <c r="W760" s="168"/>
      <c r="X760" s="168"/>
      <c r="Y760" s="168"/>
      <c r="Z760" s="168"/>
    </row>
    <row r="761" customFormat="false" ht="15.75" hidden="false" customHeight="false" outlineLevel="0" collapsed="false">
      <c r="A761" s="168"/>
      <c r="B761" s="168"/>
      <c r="C761" s="168"/>
      <c r="D761" s="168"/>
      <c r="E761" s="168"/>
      <c r="F761" s="168"/>
      <c r="G761" s="168"/>
      <c r="H761" s="168"/>
      <c r="I761" s="168"/>
      <c r="J761" s="168"/>
      <c r="K761" s="168"/>
      <c r="L761" s="168"/>
      <c r="M761" s="168"/>
      <c r="N761" s="168"/>
      <c r="O761" s="168"/>
      <c r="P761" s="168"/>
      <c r="Q761" s="168"/>
      <c r="R761" s="168"/>
      <c r="S761" s="168"/>
      <c r="T761" s="168"/>
      <c r="U761" s="168"/>
      <c r="V761" s="168"/>
      <c r="W761" s="168"/>
      <c r="X761" s="168"/>
      <c r="Y761" s="168"/>
      <c r="Z761" s="168"/>
    </row>
    <row r="762" customFormat="false" ht="15.75" hidden="false" customHeight="false" outlineLevel="0" collapsed="false">
      <c r="A762" s="168"/>
      <c r="B762" s="168"/>
      <c r="C762" s="168"/>
      <c r="D762" s="168"/>
      <c r="E762" s="168"/>
      <c r="F762" s="168"/>
      <c r="G762" s="168"/>
      <c r="H762" s="168"/>
      <c r="I762" s="168"/>
      <c r="J762" s="168"/>
      <c r="K762" s="168"/>
      <c r="L762" s="168"/>
      <c r="M762" s="168"/>
      <c r="N762" s="168"/>
      <c r="O762" s="168"/>
      <c r="P762" s="168"/>
      <c r="Q762" s="168"/>
      <c r="R762" s="168"/>
      <c r="S762" s="168"/>
      <c r="T762" s="168"/>
      <c r="U762" s="168"/>
      <c r="V762" s="168"/>
      <c r="W762" s="168"/>
      <c r="X762" s="168"/>
      <c r="Y762" s="168"/>
      <c r="Z762" s="168"/>
    </row>
    <row r="763" customFormat="false" ht="15.75" hidden="false" customHeight="false" outlineLevel="0" collapsed="false">
      <c r="A763" s="168"/>
      <c r="B763" s="168"/>
      <c r="C763" s="168"/>
      <c r="D763" s="168"/>
      <c r="E763" s="168"/>
      <c r="F763" s="168"/>
      <c r="G763" s="168"/>
      <c r="H763" s="168"/>
      <c r="I763" s="168"/>
      <c r="J763" s="168"/>
      <c r="K763" s="168"/>
      <c r="L763" s="168"/>
      <c r="M763" s="168"/>
      <c r="N763" s="168"/>
      <c r="O763" s="168"/>
      <c r="P763" s="168"/>
      <c r="Q763" s="168"/>
      <c r="R763" s="168"/>
      <c r="S763" s="168"/>
      <c r="T763" s="168"/>
      <c r="U763" s="168"/>
      <c r="V763" s="168"/>
      <c r="W763" s="168"/>
      <c r="X763" s="168"/>
      <c r="Y763" s="168"/>
      <c r="Z763" s="168"/>
    </row>
    <row r="764" customFormat="false" ht="15.75" hidden="false" customHeight="false" outlineLevel="0" collapsed="false">
      <c r="A764" s="168"/>
      <c r="B764" s="168"/>
      <c r="C764" s="168"/>
      <c r="D764" s="168"/>
      <c r="E764" s="168"/>
      <c r="F764" s="168"/>
      <c r="G764" s="168"/>
      <c r="H764" s="168"/>
      <c r="I764" s="168"/>
      <c r="J764" s="168"/>
      <c r="K764" s="168"/>
      <c r="L764" s="168"/>
      <c r="M764" s="168"/>
      <c r="N764" s="168"/>
      <c r="O764" s="168"/>
      <c r="P764" s="168"/>
      <c r="Q764" s="168"/>
      <c r="R764" s="168"/>
      <c r="S764" s="168"/>
      <c r="T764" s="168"/>
      <c r="U764" s="168"/>
      <c r="V764" s="168"/>
      <c r="W764" s="168"/>
      <c r="X764" s="168"/>
      <c r="Y764" s="168"/>
      <c r="Z764" s="168"/>
    </row>
    <row r="765" customFormat="false" ht="15.75" hidden="false" customHeight="false" outlineLevel="0" collapsed="false">
      <c r="A765" s="168"/>
      <c r="B765" s="168"/>
      <c r="C765" s="168"/>
      <c r="D765" s="168"/>
      <c r="E765" s="168"/>
      <c r="F765" s="168"/>
      <c r="G765" s="168"/>
      <c r="H765" s="168"/>
      <c r="I765" s="168"/>
      <c r="J765" s="168"/>
      <c r="K765" s="168"/>
      <c r="L765" s="168"/>
      <c r="M765" s="168"/>
      <c r="N765" s="168"/>
      <c r="O765" s="168"/>
      <c r="P765" s="168"/>
      <c r="Q765" s="168"/>
      <c r="R765" s="168"/>
      <c r="S765" s="168"/>
      <c r="T765" s="168"/>
      <c r="U765" s="168"/>
      <c r="V765" s="168"/>
      <c r="W765" s="168"/>
      <c r="X765" s="168"/>
      <c r="Y765" s="168"/>
      <c r="Z765" s="168"/>
    </row>
    <row r="766" customFormat="false" ht="15.75" hidden="false" customHeight="false" outlineLevel="0" collapsed="false">
      <c r="A766" s="168"/>
      <c r="B766" s="168"/>
      <c r="C766" s="168"/>
      <c r="D766" s="168"/>
      <c r="E766" s="168"/>
      <c r="F766" s="168"/>
      <c r="G766" s="168"/>
      <c r="H766" s="168"/>
      <c r="I766" s="168"/>
      <c r="J766" s="168"/>
      <c r="K766" s="168"/>
      <c r="L766" s="168"/>
      <c r="M766" s="168"/>
      <c r="N766" s="168"/>
      <c r="O766" s="168"/>
      <c r="P766" s="168"/>
      <c r="Q766" s="168"/>
      <c r="R766" s="168"/>
      <c r="S766" s="168"/>
      <c r="T766" s="168"/>
      <c r="U766" s="168"/>
      <c r="V766" s="168"/>
      <c r="W766" s="168"/>
      <c r="X766" s="168"/>
      <c r="Y766" s="168"/>
      <c r="Z766" s="168"/>
    </row>
    <row r="767" customFormat="false" ht="15.75" hidden="false" customHeight="false" outlineLevel="0" collapsed="false">
      <c r="A767" s="168"/>
      <c r="B767" s="168"/>
      <c r="C767" s="168"/>
      <c r="D767" s="168"/>
      <c r="E767" s="168"/>
      <c r="F767" s="168"/>
      <c r="G767" s="168"/>
      <c r="H767" s="168"/>
      <c r="I767" s="168"/>
      <c r="J767" s="168"/>
      <c r="K767" s="168"/>
      <c r="L767" s="168"/>
      <c r="M767" s="168"/>
      <c r="N767" s="168"/>
      <c r="O767" s="168"/>
      <c r="P767" s="168"/>
      <c r="Q767" s="168"/>
      <c r="R767" s="168"/>
      <c r="S767" s="168"/>
      <c r="T767" s="168"/>
      <c r="U767" s="168"/>
      <c r="V767" s="168"/>
      <c r="W767" s="168"/>
      <c r="X767" s="168"/>
      <c r="Y767" s="168"/>
      <c r="Z767" s="168"/>
    </row>
    <row r="768" customFormat="false" ht="15.75" hidden="false" customHeight="false" outlineLevel="0" collapsed="false">
      <c r="A768" s="168"/>
      <c r="B768" s="168"/>
      <c r="C768" s="168"/>
      <c r="D768" s="168"/>
      <c r="E768" s="168"/>
      <c r="F768" s="168"/>
      <c r="G768" s="168"/>
      <c r="H768" s="168"/>
      <c r="I768" s="168"/>
      <c r="J768" s="168"/>
      <c r="K768" s="168"/>
      <c r="L768" s="168"/>
      <c r="M768" s="168"/>
      <c r="N768" s="168"/>
      <c r="O768" s="168"/>
      <c r="P768" s="168"/>
      <c r="Q768" s="168"/>
      <c r="R768" s="168"/>
      <c r="S768" s="168"/>
      <c r="T768" s="168"/>
      <c r="U768" s="168"/>
      <c r="V768" s="168"/>
      <c r="W768" s="168"/>
      <c r="X768" s="168"/>
      <c r="Y768" s="168"/>
      <c r="Z768" s="168"/>
    </row>
    <row r="769" customFormat="false" ht="15.75" hidden="false" customHeight="false" outlineLevel="0" collapsed="false">
      <c r="A769" s="168"/>
      <c r="B769" s="168"/>
      <c r="C769" s="168"/>
      <c r="D769" s="168"/>
      <c r="E769" s="168"/>
      <c r="F769" s="168"/>
      <c r="G769" s="168"/>
      <c r="H769" s="168"/>
      <c r="I769" s="168"/>
      <c r="J769" s="168"/>
      <c r="K769" s="168"/>
      <c r="L769" s="168"/>
      <c r="M769" s="168"/>
      <c r="N769" s="168"/>
      <c r="O769" s="168"/>
      <c r="P769" s="168"/>
      <c r="Q769" s="168"/>
      <c r="R769" s="168"/>
      <c r="S769" s="168"/>
      <c r="T769" s="168"/>
      <c r="U769" s="168"/>
      <c r="V769" s="168"/>
      <c r="W769" s="168"/>
      <c r="X769" s="168"/>
      <c r="Y769" s="168"/>
      <c r="Z769" s="168"/>
    </row>
    <row r="770" customFormat="false" ht="15.75" hidden="false" customHeight="false" outlineLevel="0" collapsed="false">
      <c r="A770" s="168"/>
      <c r="B770" s="168"/>
      <c r="C770" s="168"/>
      <c r="D770" s="168"/>
      <c r="E770" s="168"/>
      <c r="F770" s="168"/>
      <c r="G770" s="168"/>
      <c r="H770" s="168"/>
      <c r="I770" s="168"/>
      <c r="J770" s="168"/>
      <c r="K770" s="168"/>
      <c r="L770" s="168"/>
      <c r="M770" s="168"/>
      <c r="N770" s="168"/>
      <c r="O770" s="168"/>
      <c r="P770" s="168"/>
      <c r="Q770" s="168"/>
      <c r="R770" s="168"/>
      <c r="S770" s="168"/>
      <c r="T770" s="168"/>
      <c r="U770" s="168"/>
      <c r="V770" s="168"/>
      <c r="W770" s="168"/>
      <c r="X770" s="168"/>
      <c r="Y770" s="168"/>
      <c r="Z770" s="168"/>
    </row>
    <row r="771" customFormat="false" ht="15.75" hidden="false" customHeight="false" outlineLevel="0" collapsed="false">
      <c r="A771" s="168"/>
      <c r="B771" s="168"/>
      <c r="C771" s="168"/>
      <c r="D771" s="168"/>
      <c r="E771" s="168"/>
      <c r="F771" s="168"/>
      <c r="G771" s="168"/>
      <c r="H771" s="168"/>
      <c r="I771" s="168"/>
      <c r="J771" s="168"/>
      <c r="K771" s="168"/>
      <c r="L771" s="168"/>
      <c r="M771" s="168"/>
      <c r="N771" s="168"/>
      <c r="O771" s="168"/>
      <c r="P771" s="168"/>
      <c r="Q771" s="168"/>
      <c r="R771" s="168"/>
      <c r="S771" s="168"/>
      <c r="T771" s="168"/>
      <c r="U771" s="168"/>
      <c r="V771" s="168"/>
      <c r="W771" s="168"/>
      <c r="X771" s="168"/>
      <c r="Y771" s="168"/>
      <c r="Z771" s="168"/>
    </row>
    <row r="772" customFormat="false" ht="15.75" hidden="false" customHeight="false" outlineLevel="0" collapsed="false">
      <c r="A772" s="168"/>
      <c r="B772" s="168"/>
      <c r="C772" s="168"/>
      <c r="D772" s="168"/>
      <c r="E772" s="168"/>
      <c r="F772" s="168"/>
      <c r="G772" s="168"/>
      <c r="H772" s="168"/>
      <c r="I772" s="168"/>
      <c r="J772" s="168"/>
      <c r="K772" s="168"/>
      <c r="L772" s="168"/>
      <c r="M772" s="168"/>
      <c r="N772" s="168"/>
      <c r="O772" s="168"/>
      <c r="P772" s="168"/>
      <c r="Q772" s="168"/>
      <c r="R772" s="168"/>
      <c r="S772" s="168"/>
      <c r="T772" s="168"/>
      <c r="U772" s="168"/>
      <c r="V772" s="168"/>
      <c r="W772" s="168"/>
      <c r="X772" s="168"/>
      <c r="Y772" s="168"/>
      <c r="Z772" s="168"/>
    </row>
    <row r="773" customFormat="false" ht="15.75" hidden="false" customHeight="false" outlineLevel="0" collapsed="false">
      <c r="A773" s="168"/>
      <c r="B773" s="168"/>
      <c r="C773" s="168"/>
      <c r="D773" s="168"/>
      <c r="E773" s="168"/>
      <c r="F773" s="168"/>
      <c r="G773" s="168"/>
      <c r="H773" s="168"/>
      <c r="I773" s="168"/>
      <c r="J773" s="168"/>
      <c r="K773" s="168"/>
      <c r="L773" s="168"/>
      <c r="M773" s="168"/>
      <c r="N773" s="168"/>
      <c r="O773" s="168"/>
      <c r="P773" s="168"/>
      <c r="Q773" s="168"/>
      <c r="R773" s="168"/>
      <c r="S773" s="168"/>
      <c r="T773" s="168"/>
      <c r="U773" s="168"/>
      <c r="V773" s="168"/>
      <c r="W773" s="168"/>
      <c r="X773" s="168"/>
      <c r="Y773" s="168"/>
      <c r="Z773" s="168"/>
    </row>
    <row r="774" customFormat="false" ht="15.75" hidden="false" customHeight="false" outlineLevel="0" collapsed="false">
      <c r="A774" s="168"/>
      <c r="B774" s="168"/>
      <c r="C774" s="168"/>
      <c r="D774" s="168"/>
      <c r="E774" s="168"/>
      <c r="F774" s="168"/>
      <c r="G774" s="168"/>
      <c r="H774" s="168"/>
      <c r="I774" s="168"/>
      <c r="J774" s="168"/>
      <c r="K774" s="168"/>
      <c r="L774" s="168"/>
      <c r="M774" s="168"/>
      <c r="N774" s="168"/>
      <c r="O774" s="168"/>
      <c r="P774" s="168"/>
      <c r="Q774" s="168"/>
      <c r="R774" s="168"/>
      <c r="S774" s="168"/>
      <c r="T774" s="168"/>
      <c r="U774" s="168"/>
      <c r="V774" s="168"/>
      <c r="W774" s="168"/>
      <c r="X774" s="168"/>
      <c r="Y774" s="168"/>
      <c r="Z774" s="168"/>
    </row>
    <row r="775" customFormat="false" ht="15.75" hidden="false" customHeight="false" outlineLevel="0" collapsed="false">
      <c r="A775" s="168"/>
      <c r="B775" s="168"/>
      <c r="C775" s="168"/>
      <c r="D775" s="168"/>
      <c r="E775" s="168"/>
      <c r="F775" s="168"/>
      <c r="G775" s="168"/>
      <c r="H775" s="168"/>
      <c r="I775" s="168"/>
      <c r="J775" s="168"/>
      <c r="K775" s="168"/>
      <c r="L775" s="168"/>
      <c r="M775" s="168"/>
      <c r="N775" s="168"/>
      <c r="O775" s="168"/>
      <c r="P775" s="168"/>
      <c r="Q775" s="168"/>
      <c r="R775" s="168"/>
      <c r="S775" s="168"/>
      <c r="T775" s="168"/>
      <c r="U775" s="168"/>
      <c r="V775" s="168"/>
      <c r="W775" s="168"/>
      <c r="X775" s="168"/>
      <c r="Y775" s="168"/>
      <c r="Z775" s="168"/>
    </row>
    <row r="776" customFormat="false" ht="15.75" hidden="false" customHeight="false" outlineLevel="0" collapsed="false">
      <c r="A776" s="168"/>
      <c r="B776" s="168"/>
      <c r="C776" s="168"/>
      <c r="D776" s="168"/>
      <c r="E776" s="168"/>
      <c r="F776" s="168"/>
      <c r="G776" s="168"/>
      <c r="H776" s="168"/>
      <c r="I776" s="168"/>
      <c r="J776" s="168"/>
      <c r="K776" s="168"/>
      <c r="L776" s="168"/>
      <c r="M776" s="168"/>
      <c r="N776" s="168"/>
      <c r="O776" s="168"/>
      <c r="P776" s="168"/>
      <c r="Q776" s="168"/>
      <c r="R776" s="168"/>
      <c r="S776" s="168"/>
      <c r="T776" s="168"/>
      <c r="U776" s="168"/>
      <c r="V776" s="168"/>
      <c r="W776" s="168"/>
      <c r="X776" s="168"/>
      <c r="Y776" s="168"/>
      <c r="Z776" s="168"/>
    </row>
    <row r="777" customFormat="false" ht="15.75" hidden="false" customHeight="false" outlineLevel="0" collapsed="false">
      <c r="A777" s="168"/>
      <c r="B777" s="168"/>
      <c r="C777" s="168"/>
      <c r="D777" s="168"/>
      <c r="E777" s="168"/>
      <c r="F777" s="168"/>
      <c r="G777" s="168"/>
      <c r="H777" s="168"/>
      <c r="I777" s="168"/>
      <c r="J777" s="168"/>
      <c r="K777" s="168"/>
      <c r="L777" s="168"/>
      <c r="M777" s="168"/>
      <c r="N777" s="168"/>
      <c r="O777" s="168"/>
      <c r="P777" s="168"/>
      <c r="Q777" s="168"/>
      <c r="R777" s="168"/>
      <c r="S777" s="168"/>
      <c r="T777" s="168"/>
      <c r="U777" s="168"/>
      <c r="V777" s="168"/>
      <c r="W777" s="168"/>
      <c r="X777" s="168"/>
      <c r="Y777" s="168"/>
      <c r="Z777" s="168"/>
    </row>
    <row r="778" customFormat="false" ht="15.75" hidden="false" customHeight="false" outlineLevel="0" collapsed="false">
      <c r="A778" s="168"/>
      <c r="B778" s="168"/>
      <c r="C778" s="168"/>
      <c r="D778" s="168"/>
      <c r="E778" s="168"/>
      <c r="F778" s="168"/>
      <c r="G778" s="168"/>
      <c r="H778" s="168"/>
      <c r="I778" s="168"/>
      <c r="J778" s="168"/>
      <c r="K778" s="168"/>
      <c r="L778" s="168"/>
      <c r="M778" s="168"/>
      <c r="N778" s="168"/>
      <c r="O778" s="168"/>
      <c r="P778" s="168"/>
      <c r="Q778" s="168"/>
      <c r="R778" s="168"/>
      <c r="S778" s="168"/>
      <c r="T778" s="168"/>
      <c r="U778" s="168"/>
      <c r="V778" s="168"/>
      <c r="W778" s="168"/>
      <c r="X778" s="168"/>
      <c r="Y778" s="168"/>
      <c r="Z778" s="168"/>
    </row>
    <row r="779" customFormat="false" ht="15.75" hidden="false" customHeight="false" outlineLevel="0" collapsed="false">
      <c r="A779" s="168"/>
      <c r="B779" s="168"/>
      <c r="C779" s="168"/>
      <c r="D779" s="168"/>
      <c r="E779" s="168"/>
      <c r="F779" s="168"/>
      <c r="G779" s="168"/>
      <c r="H779" s="168"/>
      <c r="I779" s="168"/>
      <c r="J779" s="168"/>
      <c r="K779" s="168"/>
      <c r="L779" s="168"/>
      <c r="M779" s="168"/>
      <c r="N779" s="168"/>
      <c r="O779" s="168"/>
      <c r="P779" s="168"/>
      <c r="Q779" s="168"/>
      <c r="R779" s="168"/>
      <c r="S779" s="168"/>
      <c r="T779" s="168"/>
      <c r="U779" s="168"/>
      <c r="V779" s="168"/>
      <c r="W779" s="168"/>
      <c r="X779" s="168"/>
      <c r="Y779" s="168"/>
      <c r="Z779" s="168"/>
    </row>
    <row r="780" customFormat="false" ht="15.75" hidden="false" customHeight="false" outlineLevel="0" collapsed="false">
      <c r="A780" s="168"/>
      <c r="B780" s="168"/>
      <c r="C780" s="168"/>
      <c r="D780" s="168"/>
      <c r="E780" s="168"/>
      <c r="F780" s="168"/>
      <c r="G780" s="168"/>
      <c r="H780" s="168"/>
      <c r="I780" s="168"/>
      <c r="J780" s="168"/>
      <c r="K780" s="168"/>
      <c r="L780" s="168"/>
      <c r="M780" s="168"/>
      <c r="N780" s="168"/>
      <c r="O780" s="168"/>
      <c r="P780" s="168"/>
      <c r="Q780" s="168"/>
      <c r="R780" s="168"/>
      <c r="S780" s="168"/>
      <c r="T780" s="168"/>
      <c r="U780" s="168"/>
      <c r="V780" s="168"/>
      <c r="W780" s="168"/>
      <c r="X780" s="168"/>
      <c r="Y780" s="168"/>
      <c r="Z780" s="168"/>
    </row>
    <row r="781" customFormat="false" ht="15.75" hidden="false" customHeight="false" outlineLevel="0" collapsed="false">
      <c r="A781" s="168"/>
      <c r="B781" s="168"/>
      <c r="C781" s="168"/>
      <c r="D781" s="168"/>
      <c r="E781" s="168"/>
      <c r="F781" s="168"/>
      <c r="G781" s="168"/>
      <c r="H781" s="168"/>
      <c r="I781" s="168"/>
      <c r="J781" s="168"/>
      <c r="K781" s="168"/>
      <c r="L781" s="168"/>
      <c r="M781" s="168"/>
      <c r="N781" s="168"/>
      <c r="O781" s="168"/>
      <c r="P781" s="168"/>
      <c r="Q781" s="168"/>
      <c r="R781" s="168"/>
      <c r="S781" s="168"/>
      <c r="T781" s="168"/>
      <c r="U781" s="168"/>
      <c r="V781" s="168"/>
      <c r="W781" s="168"/>
      <c r="X781" s="168"/>
      <c r="Y781" s="168"/>
      <c r="Z781" s="168"/>
    </row>
    <row r="782" customFormat="false" ht="15.75" hidden="false" customHeight="false" outlineLevel="0" collapsed="false">
      <c r="A782" s="168"/>
      <c r="B782" s="168"/>
      <c r="C782" s="168"/>
      <c r="D782" s="168"/>
      <c r="E782" s="168"/>
      <c r="F782" s="168"/>
      <c r="G782" s="168"/>
      <c r="H782" s="168"/>
      <c r="I782" s="168"/>
      <c r="J782" s="168"/>
      <c r="K782" s="168"/>
      <c r="L782" s="168"/>
      <c r="M782" s="168"/>
      <c r="N782" s="168"/>
      <c r="O782" s="168"/>
      <c r="P782" s="168"/>
      <c r="Q782" s="168"/>
      <c r="R782" s="168"/>
      <c r="S782" s="168"/>
      <c r="T782" s="168"/>
      <c r="U782" s="168"/>
      <c r="V782" s="168"/>
      <c r="W782" s="168"/>
      <c r="X782" s="168"/>
      <c r="Y782" s="168"/>
      <c r="Z782" s="168"/>
    </row>
    <row r="783" customFormat="false" ht="15.75" hidden="false" customHeight="false" outlineLevel="0" collapsed="false">
      <c r="A783" s="168"/>
      <c r="B783" s="168"/>
      <c r="C783" s="168"/>
      <c r="D783" s="168"/>
      <c r="E783" s="168"/>
      <c r="F783" s="168"/>
      <c r="G783" s="168"/>
      <c r="H783" s="168"/>
      <c r="I783" s="168"/>
      <c r="J783" s="168"/>
      <c r="K783" s="168"/>
      <c r="L783" s="168"/>
      <c r="M783" s="168"/>
      <c r="N783" s="168"/>
      <c r="O783" s="168"/>
      <c r="P783" s="168"/>
      <c r="Q783" s="168"/>
      <c r="R783" s="168"/>
      <c r="S783" s="168"/>
      <c r="T783" s="168"/>
      <c r="U783" s="168"/>
      <c r="V783" s="168"/>
      <c r="W783" s="168"/>
      <c r="X783" s="168"/>
      <c r="Y783" s="168"/>
      <c r="Z783" s="168"/>
    </row>
    <row r="784" customFormat="false" ht="15.75" hidden="false" customHeight="false" outlineLevel="0" collapsed="false">
      <c r="A784" s="168"/>
      <c r="B784" s="168"/>
      <c r="C784" s="168"/>
      <c r="D784" s="168"/>
      <c r="E784" s="168"/>
      <c r="F784" s="168"/>
      <c r="G784" s="168"/>
      <c r="H784" s="168"/>
      <c r="I784" s="168"/>
      <c r="J784" s="168"/>
      <c r="K784" s="168"/>
      <c r="L784" s="168"/>
      <c r="M784" s="168"/>
      <c r="N784" s="168"/>
      <c r="O784" s="168"/>
      <c r="P784" s="168"/>
      <c r="Q784" s="168"/>
      <c r="R784" s="168"/>
      <c r="S784" s="168"/>
      <c r="T784" s="168"/>
      <c r="U784" s="168"/>
      <c r="V784" s="168"/>
      <c r="W784" s="168"/>
      <c r="X784" s="168"/>
      <c r="Y784" s="168"/>
      <c r="Z784" s="168"/>
    </row>
    <row r="785" customFormat="false" ht="15.75" hidden="false" customHeight="false" outlineLevel="0" collapsed="false">
      <c r="A785" s="168"/>
      <c r="B785" s="168"/>
      <c r="C785" s="168"/>
      <c r="D785" s="168"/>
      <c r="E785" s="168"/>
      <c r="F785" s="168"/>
      <c r="G785" s="168"/>
      <c r="H785" s="168"/>
      <c r="I785" s="168"/>
      <c r="J785" s="168"/>
      <c r="K785" s="168"/>
      <c r="L785" s="168"/>
      <c r="M785" s="168"/>
      <c r="N785" s="168"/>
      <c r="O785" s="168"/>
      <c r="P785" s="168"/>
      <c r="Q785" s="168"/>
      <c r="R785" s="168"/>
      <c r="S785" s="168"/>
      <c r="T785" s="168"/>
      <c r="U785" s="168"/>
      <c r="V785" s="168"/>
      <c r="W785" s="168"/>
      <c r="X785" s="168"/>
      <c r="Y785" s="168"/>
      <c r="Z785" s="168"/>
    </row>
    <row r="786" customFormat="false" ht="15.75" hidden="false" customHeight="false" outlineLevel="0" collapsed="false">
      <c r="A786" s="168"/>
      <c r="B786" s="168"/>
      <c r="C786" s="168"/>
      <c r="D786" s="168"/>
      <c r="E786" s="168"/>
      <c r="F786" s="168"/>
      <c r="G786" s="168"/>
      <c r="H786" s="168"/>
      <c r="I786" s="168"/>
      <c r="J786" s="168"/>
      <c r="K786" s="168"/>
      <c r="L786" s="168"/>
      <c r="M786" s="168"/>
      <c r="N786" s="168"/>
      <c r="O786" s="168"/>
      <c r="P786" s="168"/>
      <c r="Q786" s="168"/>
      <c r="R786" s="168"/>
      <c r="S786" s="168"/>
      <c r="T786" s="168"/>
      <c r="U786" s="168"/>
      <c r="V786" s="168"/>
      <c r="W786" s="168"/>
      <c r="X786" s="168"/>
      <c r="Y786" s="168"/>
      <c r="Z786" s="168"/>
    </row>
    <row r="787" customFormat="false" ht="15.75" hidden="false" customHeight="false" outlineLevel="0" collapsed="false">
      <c r="A787" s="168"/>
      <c r="B787" s="168"/>
      <c r="C787" s="168"/>
      <c r="D787" s="168"/>
      <c r="E787" s="168"/>
      <c r="F787" s="168"/>
      <c r="G787" s="168"/>
      <c r="H787" s="168"/>
      <c r="I787" s="168"/>
      <c r="J787" s="168"/>
      <c r="K787" s="168"/>
      <c r="L787" s="168"/>
      <c r="M787" s="168"/>
      <c r="N787" s="168"/>
      <c r="O787" s="168"/>
      <c r="P787" s="168"/>
      <c r="Q787" s="168"/>
      <c r="R787" s="168"/>
      <c r="S787" s="168"/>
      <c r="T787" s="168"/>
      <c r="U787" s="168"/>
      <c r="V787" s="168"/>
      <c r="W787" s="168"/>
      <c r="X787" s="168"/>
      <c r="Y787" s="168"/>
      <c r="Z787" s="168"/>
    </row>
    <row r="788" customFormat="false" ht="15.75" hidden="false" customHeight="false" outlineLevel="0" collapsed="false">
      <c r="A788" s="168"/>
      <c r="B788" s="168"/>
      <c r="C788" s="168"/>
      <c r="D788" s="168"/>
      <c r="E788" s="168"/>
      <c r="F788" s="168"/>
      <c r="G788" s="168"/>
      <c r="H788" s="168"/>
      <c r="I788" s="168"/>
      <c r="J788" s="168"/>
      <c r="K788" s="168"/>
      <c r="L788" s="168"/>
      <c r="M788" s="168"/>
      <c r="N788" s="168"/>
      <c r="O788" s="168"/>
      <c r="P788" s="168"/>
      <c r="Q788" s="168"/>
      <c r="R788" s="168"/>
      <c r="S788" s="168"/>
      <c r="T788" s="168"/>
      <c r="U788" s="168"/>
      <c r="V788" s="168"/>
      <c r="W788" s="168"/>
      <c r="X788" s="168"/>
      <c r="Y788" s="168"/>
      <c r="Z788" s="168"/>
    </row>
    <row r="789" customFormat="false" ht="15.75" hidden="false" customHeight="false" outlineLevel="0" collapsed="false">
      <c r="A789" s="168"/>
      <c r="B789" s="168"/>
      <c r="C789" s="168"/>
      <c r="D789" s="168"/>
      <c r="E789" s="168"/>
      <c r="F789" s="168"/>
      <c r="G789" s="168"/>
      <c r="H789" s="168"/>
      <c r="I789" s="168"/>
      <c r="J789" s="168"/>
      <c r="K789" s="168"/>
      <c r="L789" s="168"/>
      <c r="M789" s="168"/>
      <c r="N789" s="168"/>
      <c r="O789" s="168"/>
      <c r="P789" s="168"/>
      <c r="Q789" s="168"/>
      <c r="R789" s="168"/>
      <c r="S789" s="168"/>
      <c r="T789" s="168"/>
      <c r="U789" s="168"/>
      <c r="V789" s="168"/>
      <c r="W789" s="168"/>
      <c r="X789" s="168"/>
      <c r="Y789" s="168"/>
      <c r="Z789" s="168"/>
    </row>
    <row r="790" customFormat="false" ht="15.75" hidden="false" customHeight="false" outlineLevel="0" collapsed="false">
      <c r="A790" s="168"/>
      <c r="B790" s="168"/>
      <c r="C790" s="168"/>
      <c r="D790" s="168"/>
      <c r="E790" s="168"/>
      <c r="F790" s="168"/>
      <c r="G790" s="168"/>
      <c r="H790" s="168"/>
      <c r="I790" s="168"/>
      <c r="J790" s="168"/>
      <c r="K790" s="168"/>
      <c r="L790" s="168"/>
      <c r="M790" s="168"/>
      <c r="N790" s="168"/>
      <c r="O790" s="168"/>
      <c r="P790" s="168"/>
      <c r="Q790" s="168"/>
      <c r="R790" s="168"/>
      <c r="S790" s="168"/>
      <c r="T790" s="168"/>
      <c r="U790" s="168"/>
      <c r="V790" s="168"/>
      <c r="W790" s="168"/>
      <c r="X790" s="168"/>
      <c r="Y790" s="168"/>
      <c r="Z790" s="168"/>
    </row>
    <row r="791" customFormat="false" ht="15.75" hidden="false" customHeight="false" outlineLevel="0" collapsed="false">
      <c r="A791" s="168"/>
      <c r="B791" s="168"/>
      <c r="C791" s="168"/>
      <c r="D791" s="168"/>
      <c r="E791" s="168"/>
      <c r="F791" s="168"/>
      <c r="G791" s="168"/>
      <c r="H791" s="168"/>
      <c r="I791" s="168"/>
      <c r="J791" s="168"/>
      <c r="K791" s="168"/>
      <c r="L791" s="168"/>
      <c r="M791" s="168"/>
      <c r="N791" s="168"/>
      <c r="O791" s="168"/>
      <c r="P791" s="168"/>
      <c r="Q791" s="168"/>
      <c r="R791" s="168"/>
      <c r="S791" s="168"/>
      <c r="T791" s="168"/>
      <c r="U791" s="168"/>
      <c r="V791" s="168"/>
      <c r="W791" s="168"/>
      <c r="X791" s="168"/>
      <c r="Y791" s="168"/>
      <c r="Z791" s="168"/>
    </row>
    <row r="792" customFormat="false" ht="15.75" hidden="false" customHeight="false" outlineLevel="0" collapsed="false">
      <c r="A792" s="168"/>
      <c r="B792" s="168"/>
      <c r="C792" s="168"/>
      <c r="D792" s="168"/>
      <c r="E792" s="168"/>
      <c r="F792" s="168"/>
      <c r="G792" s="168"/>
      <c r="H792" s="168"/>
      <c r="I792" s="168"/>
      <c r="J792" s="168"/>
      <c r="K792" s="168"/>
      <c r="L792" s="168"/>
      <c r="M792" s="168"/>
      <c r="N792" s="168"/>
      <c r="O792" s="168"/>
      <c r="P792" s="168"/>
      <c r="Q792" s="168"/>
      <c r="R792" s="168"/>
      <c r="S792" s="168"/>
      <c r="T792" s="168"/>
      <c r="U792" s="168"/>
      <c r="V792" s="168"/>
      <c r="W792" s="168"/>
      <c r="X792" s="168"/>
      <c r="Y792" s="168"/>
      <c r="Z792" s="168"/>
    </row>
    <row r="793" customFormat="false" ht="15.75" hidden="false" customHeight="false" outlineLevel="0" collapsed="false">
      <c r="A793" s="168"/>
      <c r="B793" s="168"/>
      <c r="C793" s="168"/>
      <c r="D793" s="168"/>
      <c r="E793" s="168"/>
      <c r="F793" s="168"/>
      <c r="G793" s="168"/>
      <c r="H793" s="168"/>
      <c r="I793" s="168"/>
      <c r="J793" s="168"/>
      <c r="K793" s="168"/>
      <c r="L793" s="168"/>
      <c r="M793" s="168"/>
      <c r="N793" s="168"/>
      <c r="O793" s="168"/>
      <c r="P793" s="168"/>
      <c r="Q793" s="168"/>
      <c r="R793" s="168"/>
      <c r="S793" s="168"/>
      <c r="T793" s="168"/>
      <c r="U793" s="168"/>
      <c r="V793" s="168"/>
      <c r="W793" s="168"/>
      <c r="X793" s="168"/>
      <c r="Y793" s="168"/>
      <c r="Z793" s="168"/>
    </row>
    <row r="794" customFormat="false" ht="15.75" hidden="false" customHeight="false" outlineLevel="0" collapsed="false">
      <c r="A794" s="168"/>
      <c r="B794" s="168"/>
      <c r="C794" s="168"/>
      <c r="D794" s="168"/>
      <c r="E794" s="168"/>
      <c r="F794" s="168"/>
      <c r="G794" s="168"/>
      <c r="H794" s="168"/>
      <c r="I794" s="168"/>
      <c r="J794" s="168"/>
      <c r="K794" s="168"/>
      <c r="L794" s="168"/>
      <c r="M794" s="168"/>
      <c r="N794" s="168"/>
      <c r="O794" s="168"/>
      <c r="P794" s="168"/>
      <c r="Q794" s="168"/>
      <c r="R794" s="168"/>
      <c r="S794" s="168"/>
      <c r="T794" s="168"/>
      <c r="U794" s="168"/>
      <c r="V794" s="168"/>
      <c r="W794" s="168"/>
      <c r="X794" s="168"/>
      <c r="Y794" s="168"/>
      <c r="Z794" s="168"/>
    </row>
    <row r="795" customFormat="false" ht="15.75" hidden="false" customHeight="false" outlineLevel="0" collapsed="false">
      <c r="A795" s="168"/>
      <c r="B795" s="168"/>
      <c r="C795" s="168"/>
      <c r="D795" s="168"/>
      <c r="E795" s="168"/>
      <c r="F795" s="168"/>
      <c r="G795" s="168"/>
      <c r="H795" s="168"/>
      <c r="I795" s="168"/>
      <c r="J795" s="168"/>
      <c r="K795" s="168"/>
      <c r="L795" s="168"/>
      <c r="M795" s="168"/>
      <c r="N795" s="168"/>
      <c r="O795" s="168"/>
      <c r="P795" s="168"/>
      <c r="Q795" s="168"/>
      <c r="R795" s="168"/>
      <c r="S795" s="168"/>
      <c r="T795" s="168"/>
      <c r="U795" s="168"/>
      <c r="V795" s="168"/>
      <c r="W795" s="168"/>
      <c r="X795" s="168"/>
      <c r="Y795" s="168"/>
      <c r="Z795" s="168"/>
    </row>
    <row r="796" customFormat="false" ht="15.75" hidden="false" customHeight="false" outlineLevel="0" collapsed="false">
      <c r="A796" s="168"/>
      <c r="B796" s="168"/>
      <c r="C796" s="168"/>
      <c r="D796" s="168"/>
      <c r="E796" s="168"/>
      <c r="F796" s="168"/>
      <c r="G796" s="168"/>
      <c r="H796" s="168"/>
      <c r="I796" s="168"/>
      <c r="J796" s="168"/>
      <c r="K796" s="168"/>
      <c r="L796" s="168"/>
      <c r="M796" s="168"/>
      <c r="N796" s="168"/>
      <c r="O796" s="168"/>
      <c r="P796" s="168"/>
      <c r="Q796" s="168"/>
      <c r="R796" s="168"/>
      <c r="S796" s="168"/>
      <c r="T796" s="168"/>
      <c r="U796" s="168"/>
      <c r="V796" s="168"/>
      <c r="W796" s="168"/>
      <c r="X796" s="168"/>
      <c r="Y796" s="168"/>
      <c r="Z796" s="168"/>
    </row>
    <row r="797" customFormat="false" ht="15.75" hidden="false" customHeight="false" outlineLevel="0" collapsed="false">
      <c r="A797" s="168"/>
      <c r="B797" s="168"/>
      <c r="C797" s="168"/>
      <c r="D797" s="168"/>
      <c r="E797" s="168"/>
      <c r="F797" s="168"/>
      <c r="G797" s="168"/>
      <c r="H797" s="168"/>
      <c r="I797" s="168"/>
      <c r="J797" s="168"/>
      <c r="K797" s="168"/>
      <c r="L797" s="168"/>
      <c r="M797" s="168"/>
      <c r="N797" s="168"/>
      <c r="O797" s="168"/>
      <c r="P797" s="168"/>
      <c r="Q797" s="168"/>
      <c r="R797" s="168"/>
      <c r="S797" s="168"/>
      <c r="T797" s="168"/>
      <c r="U797" s="168"/>
      <c r="V797" s="168"/>
      <c r="W797" s="168"/>
      <c r="X797" s="168"/>
      <c r="Y797" s="168"/>
      <c r="Z797" s="168"/>
    </row>
    <row r="798" customFormat="false" ht="15.75" hidden="false" customHeight="false" outlineLevel="0" collapsed="false">
      <c r="A798" s="168"/>
      <c r="B798" s="168"/>
      <c r="C798" s="168"/>
      <c r="D798" s="168"/>
      <c r="E798" s="168"/>
      <c r="F798" s="168"/>
      <c r="G798" s="168"/>
      <c r="H798" s="168"/>
      <c r="I798" s="168"/>
      <c r="J798" s="168"/>
      <c r="K798" s="168"/>
      <c r="L798" s="168"/>
      <c r="M798" s="168"/>
      <c r="N798" s="168"/>
      <c r="O798" s="168"/>
      <c r="P798" s="168"/>
      <c r="Q798" s="168"/>
      <c r="R798" s="168"/>
      <c r="S798" s="168"/>
      <c r="T798" s="168"/>
      <c r="U798" s="168"/>
      <c r="V798" s="168"/>
      <c r="W798" s="168"/>
      <c r="X798" s="168"/>
      <c r="Y798" s="168"/>
      <c r="Z798" s="168"/>
    </row>
    <row r="799" customFormat="false" ht="15.75" hidden="false" customHeight="false" outlineLevel="0" collapsed="false">
      <c r="A799" s="168"/>
      <c r="B799" s="168"/>
      <c r="C799" s="168"/>
      <c r="D799" s="168"/>
      <c r="E799" s="168"/>
      <c r="F799" s="168"/>
      <c r="G799" s="168"/>
      <c r="H799" s="168"/>
      <c r="I799" s="168"/>
      <c r="J799" s="168"/>
      <c r="K799" s="168"/>
      <c r="L799" s="168"/>
      <c r="M799" s="168"/>
      <c r="N799" s="168"/>
      <c r="O799" s="168"/>
      <c r="P799" s="168"/>
      <c r="Q799" s="168"/>
      <c r="R799" s="168"/>
      <c r="S799" s="168"/>
      <c r="T799" s="168"/>
      <c r="U799" s="168"/>
      <c r="V799" s="168"/>
      <c r="W799" s="168"/>
      <c r="X799" s="168"/>
      <c r="Y799" s="168"/>
      <c r="Z799" s="168"/>
    </row>
    <row r="800" customFormat="false" ht="15.75" hidden="false" customHeight="false" outlineLevel="0" collapsed="false">
      <c r="A800" s="168"/>
      <c r="B800" s="168"/>
      <c r="C800" s="168"/>
      <c r="D800" s="168"/>
      <c r="E800" s="168"/>
      <c r="F800" s="168"/>
      <c r="G800" s="168"/>
      <c r="H800" s="168"/>
      <c r="I800" s="168"/>
      <c r="J800" s="168"/>
      <c r="K800" s="168"/>
      <c r="L800" s="168"/>
      <c r="M800" s="168"/>
      <c r="N800" s="168"/>
      <c r="O800" s="168"/>
      <c r="P800" s="168"/>
      <c r="Q800" s="168"/>
      <c r="R800" s="168"/>
      <c r="S800" s="168"/>
      <c r="T800" s="168"/>
      <c r="U800" s="168"/>
      <c r="V800" s="168"/>
      <c r="W800" s="168"/>
      <c r="X800" s="168"/>
      <c r="Y800" s="168"/>
      <c r="Z800" s="168"/>
    </row>
    <row r="801" customFormat="false" ht="15.75" hidden="false" customHeight="false" outlineLevel="0" collapsed="false">
      <c r="A801" s="168"/>
      <c r="B801" s="168"/>
      <c r="C801" s="168"/>
      <c r="D801" s="168"/>
      <c r="E801" s="168"/>
      <c r="F801" s="168"/>
      <c r="G801" s="168"/>
      <c r="H801" s="168"/>
      <c r="I801" s="168"/>
      <c r="J801" s="168"/>
      <c r="K801" s="168"/>
      <c r="L801" s="168"/>
      <c r="M801" s="168"/>
      <c r="N801" s="168"/>
      <c r="O801" s="168"/>
      <c r="P801" s="168"/>
      <c r="Q801" s="168"/>
      <c r="R801" s="168"/>
      <c r="S801" s="168"/>
      <c r="T801" s="168"/>
      <c r="U801" s="168"/>
      <c r="V801" s="168"/>
      <c r="W801" s="168"/>
      <c r="X801" s="168"/>
      <c r="Y801" s="168"/>
      <c r="Z801" s="168"/>
    </row>
    <row r="802" customFormat="false" ht="15.75" hidden="false" customHeight="false" outlineLevel="0" collapsed="false">
      <c r="A802" s="168"/>
      <c r="B802" s="168"/>
      <c r="C802" s="168"/>
      <c r="D802" s="168"/>
      <c r="E802" s="168"/>
      <c r="F802" s="168"/>
      <c r="G802" s="168"/>
      <c r="H802" s="168"/>
      <c r="I802" s="168"/>
      <c r="J802" s="168"/>
      <c r="K802" s="168"/>
      <c r="L802" s="168"/>
      <c r="M802" s="168"/>
      <c r="N802" s="168"/>
      <c r="O802" s="168"/>
      <c r="P802" s="168"/>
      <c r="Q802" s="168"/>
      <c r="R802" s="168"/>
      <c r="S802" s="168"/>
      <c r="T802" s="168"/>
      <c r="U802" s="168"/>
      <c r="V802" s="168"/>
      <c r="W802" s="168"/>
      <c r="X802" s="168"/>
      <c r="Y802" s="168"/>
      <c r="Z802" s="168"/>
    </row>
    <row r="803" customFormat="false" ht="15.75" hidden="false" customHeight="false" outlineLevel="0" collapsed="false">
      <c r="A803" s="168"/>
      <c r="B803" s="168"/>
      <c r="C803" s="168"/>
      <c r="D803" s="168"/>
      <c r="E803" s="168"/>
      <c r="F803" s="168"/>
      <c r="G803" s="168"/>
      <c r="H803" s="168"/>
      <c r="I803" s="168"/>
      <c r="J803" s="168"/>
      <c r="K803" s="168"/>
      <c r="L803" s="168"/>
      <c r="M803" s="168"/>
      <c r="N803" s="168"/>
      <c r="O803" s="168"/>
      <c r="P803" s="168"/>
      <c r="Q803" s="168"/>
      <c r="R803" s="168"/>
      <c r="S803" s="168"/>
      <c r="T803" s="168"/>
      <c r="U803" s="168"/>
      <c r="V803" s="168"/>
      <c r="W803" s="168"/>
      <c r="X803" s="168"/>
      <c r="Y803" s="168"/>
      <c r="Z803" s="168"/>
    </row>
    <row r="804" customFormat="false" ht="15.75" hidden="false" customHeight="false" outlineLevel="0" collapsed="false">
      <c r="A804" s="168"/>
      <c r="B804" s="168"/>
      <c r="C804" s="168"/>
      <c r="D804" s="168"/>
      <c r="E804" s="168"/>
      <c r="F804" s="168"/>
      <c r="G804" s="168"/>
      <c r="H804" s="168"/>
      <c r="I804" s="168"/>
      <c r="J804" s="168"/>
      <c r="K804" s="168"/>
      <c r="L804" s="168"/>
      <c r="M804" s="168"/>
      <c r="N804" s="168"/>
      <c r="O804" s="168"/>
      <c r="P804" s="168"/>
      <c r="Q804" s="168"/>
      <c r="R804" s="168"/>
      <c r="S804" s="168"/>
      <c r="T804" s="168"/>
      <c r="U804" s="168"/>
      <c r="V804" s="168"/>
      <c r="W804" s="168"/>
      <c r="X804" s="168"/>
      <c r="Y804" s="168"/>
      <c r="Z804" s="168"/>
    </row>
    <row r="805" customFormat="false" ht="15.75" hidden="false" customHeight="false" outlineLevel="0" collapsed="false">
      <c r="A805" s="168"/>
      <c r="B805" s="168"/>
      <c r="C805" s="168"/>
      <c r="D805" s="168"/>
      <c r="E805" s="168"/>
      <c r="F805" s="168"/>
      <c r="G805" s="168"/>
      <c r="H805" s="168"/>
      <c r="I805" s="168"/>
      <c r="J805" s="168"/>
      <c r="K805" s="168"/>
      <c r="L805" s="168"/>
      <c r="M805" s="168"/>
      <c r="N805" s="168"/>
      <c r="O805" s="168"/>
      <c r="P805" s="168"/>
      <c r="Q805" s="168"/>
      <c r="R805" s="168"/>
      <c r="S805" s="168"/>
      <c r="T805" s="168"/>
      <c r="U805" s="168"/>
      <c r="V805" s="168"/>
      <c r="W805" s="168"/>
      <c r="X805" s="168"/>
      <c r="Y805" s="168"/>
      <c r="Z805" s="168"/>
    </row>
    <row r="806" customFormat="false" ht="15.75" hidden="false" customHeight="false" outlineLevel="0" collapsed="false">
      <c r="A806" s="168"/>
      <c r="B806" s="168"/>
      <c r="C806" s="168"/>
      <c r="D806" s="168"/>
      <c r="E806" s="168"/>
      <c r="F806" s="168"/>
      <c r="G806" s="168"/>
      <c r="H806" s="168"/>
      <c r="I806" s="168"/>
      <c r="J806" s="168"/>
      <c r="K806" s="168"/>
      <c r="L806" s="168"/>
      <c r="M806" s="168"/>
      <c r="N806" s="168"/>
      <c r="O806" s="168"/>
      <c r="P806" s="168"/>
      <c r="Q806" s="168"/>
      <c r="R806" s="168"/>
      <c r="S806" s="168"/>
      <c r="T806" s="168"/>
      <c r="U806" s="168"/>
      <c r="V806" s="168"/>
      <c r="W806" s="168"/>
      <c r="X806" s="168"/>
      <c r="Y806" s="168"/>
      <c r="Z806" s="168"/>
    </row>
    <row r="807" customFormat="false" ht="15.75" hidden="false" customHeight="false" outlineLevel="0" collapsed="false">
      <c r="A807" s="168"/>
      <c r="B807" s="168"/>
      <c r="C807" s="168"/>
      <c r="D807" s="168"/>
      <c r="E807" s="168"/>
      <c r="F807" s="168"/>
      <c r="G807" s="168"/>
      <c r="H807" s="168"/>
      <c r="I807" s="168"/>
      <c r="J807" s="168"/>
      <c r="K807" s="168"/>
      <c r="L807" s="168"/>
      <c r="M807" s="168"/>
      <c r="N807" s="168"/>
      <c r="O807" s="168"/>
      <c r="P807" s="168"/>
      <c r="Q807" s="168"/>
      <c r="R807" s="168"/>
      <c r="S807" s="168"/>
      <c r="T807" s="168"/>
      <c r="U807" s="168"/>
      <c r="V807" s="168"/>
      <c r="W807" s="168"/>
      <c r="X807" s="168"/>
      <c r="Y807" s="168"/>
      <c r="Z807" s="168"/>
    </row>
    <row r="808" customFormat="false" ht="15.75" hidden="false" customHeight="false" outlineLevel="0" collapsed="false">
      <c r="A808" s="168"/>
      <c r="B808" s="168"/>
      <c r="C808" s="168"/>
      <c r="D808" s="168"/>
      <c r="E808" s="168"/>
      <c r="F808" s="168"/>
      <c r="G808" s="168"/>
      <c r="H808" s="168"/>
      <c r="I808" s="168"/>
      <c r="J808" s="168"/>
      <c r="K808" s="168"/>
      <c r="L808" s="168"/>
      <c r="M808" s="168"/>
      <c r="N808" s="168"/>
      <c r="O808" s="168"/>
      <c r="P808" s="168"/>
      <c r="Q808" s="168"/>
      <c r="R808" s="168"/>
      <c r="S808" s="168"/>
      <c r="T808" s="168"/>
      <c r="U808" s="168"/>
      <c r="V808" s="168"/>
      <c r="W808" s="168"/>
      <c r="X808" s="168"/>
      <c r="Y808" s="168"/>
      <c r="Z808" s="168"/>
    </row>
    <row r="809" customFormat="false" ht="15.75" hidden="false" customHeight="false" outlineLevel="0" collapsed="false">
      <c r="A809" s="168"/>
      <c r="B809" s="168"/>
      <c r="C809" s="168"/>
      <c r="D809" s="168"/>
      <c r="E809" s="168"/>
      <c r="F809" s="168"/>
      <c r="G809" s="168"/>
      <c r="H809" s="168"/>
      <c r="I809" s="168"/>
      <c r="J809" s="168"/>
      <c r="K809" s="168"/>
      <c r="L809" s="168"/>
      <c r="M809" s="168"/>
      <c r="N809" s="168"/>
      <c r="O809" s="168"/>
      <c r="P809" s="168"/>
      <c r="Q809" s="168"/>
      <c r="R809" s="168"/>
      <c r="S809" s="168"/>
      <c r="T809" s="168"/>
      <c r="U809" s="168"/>
      <c r="V809" s="168"/>
      <c r="W809" s="168"/>
      <c r="X809" s="168"/>
      <c r="Y809" s="168"/>
      <c r="Z809" s="168"/>
    </row>
    <row r="810" customFormat="false" ht="15.75" hidden="false" customHeight="false" outlineLevel="0" collapsed="false">
      <c r="A810" s="168"/>
      <c r="B810" s="168"/>
      <c r="C810" s="168"/>
      <c r="D810" s="168"/>
      <c r="E810" s="168"/>
      <c r="F810" s="168"/>
      <c r="G810" s="168"/>
      <c r="H810" s="168"/>
      <c r="I810" s="168"/>
      <c r="J810" s="168"/>
      <c r="K810" s="168"/>
      <c r="L810" s="168"/>
      <c r="M810" s="168"/>
      <c r="N810" s="168"/>
      <c r="O810" s="168"/>
      <c r="P810" s="168"/>
      <c r="Q810" s="168"/>
      <c r="R810" s="168"/>
      <c r="S810" s="168"/>
      <c r="T810" s="168"/>
      <c r="U810" s="168"/>
      <c r="V810" s="168"/>
      <c r="W810" s="168"/>
      <c r="X810" s="168"/>
      <c r="Y810" s="168"/>
      <c r="Z810" s="168"/>
    </row>
    <row r="811" customFormat="false" ht="15.75" hidden="false" customHeight="false" outlineLevel="0" collapsed="false">
      <c r="A811" s="168"/>
      <c r="B811" s="168"/>
      <c r="C811" s="168"/>
      <c r="D811" s="168"/>
      <c r="E811" s="168"/>
      <c r="F811" s="168"/>
      <c r="G811" s="168"/>
      <c r="H811" s="168"/>
      <c r="I811" s="168"/>
      <c r="J811" s="168"/>
      <c r="K811" s="168"/>
      <c r="L811" s="168"/>
      <c r="M811" s="168"/>
      <c r="N811" s="168"/>
      <c r="O811" s="168"/>
      <c r="P811" s="168"/>
      <c r="Q811" s="168"/>
      <c r="R811" s="168"/>
      <c r="S811" s="168"/>
      <c r="T811" s="168"/>
      <c r="U811" s="168"/>
      <c r="V811" s="168"/>
      <c r="W811" s="168"/>
      <c r="X811" s="168"/>
      <c r="Y811" s="168"/>
      <c r="Z811" s="168"/>
    </row>
    <row r="812" customFormat="false" ht="15.75" hidden="false" customHeight="false" outlineLevel="0" collapsed="false">
      <c r="A812" s="168"/>
      <c r="B812" s="168"/>
      <c r="C812" s="168"/>
      <c r="D812" s="168"/>
      <c r="E812" s="168"/>
      <c r="F812" s="168"/>
      <c r="G812" s="168"/>
      <c r="H812" s="168"/>
      <c r="I812" s="168"/>
      <c r="J812" s="168"/>
      <c r="K812" s="168"/>
      <c r="L812" s="168"/>
      <c r="M812" s="168"/>
      <c r="N812" s="168"/>
      <c r="O812" s="168"/>
      <c r="P812" s="168"/>
      <c r="Q812" s="168"/>
      <c r="R812" s="168"/>
      <c r="S812" s="168"/>
      <c r="T812" s="168"/>
      <c r="U812" s="168"/>
      <c r="V812" s="168"/>
      <c r="W812" s="168"/>
      <c r="X812" s="168"/>
      <c r="Y812" s="168"/>
      <c r="Z812" s="168"/>
    </row>
    <row r="813" customFormat="false" ht="15.75" hidden="false" customHeight="false" outlineLevel="0" collapsed="false">
      <c r="A813" s="168"/>
      <c r="B813" s="168"/>
      <c r="C813" s="168"/>
      <c r="D813" s="168"/>
      <c r="E813" s="168"/>
      <c r="F813" s="168"/>
      <c r="G813" s="168"/>
      <c r="H813" s="168"/>
      <c r="I813" s="168"/>
      <c r="J813" s="168"/>
      <c r="K813" s="168"/>
      <c r="L813" s="168"/>
      <c r="M813" s="168"/>
      <c r="N813" s="168"/>
      <c r="O813" s="168"/>
      <c r="P813" s="168"/>
      <c r="Q813" s="168"/>
      <c r="R813" s="168"/>
      <c r="S813" s="168"/>
      <c r="T813" s="168"/>
      <c r="U813" s="168"/>
      <c r="V813" s="168"/>
      <c r="W813" s="168"/>
      <c r="X813" s="168"/>
      <c r="Y813" s="168"/>
      <c r="Z813" s="168"/>
    </row>
    <row r="814" customFormat="false" ht="15.75" hidden="false" customHeight="false" outlineLevel="0" collapsed="false">
      <c r="A814" s="168"/>
      <c r="B814" s="168"/>
      <c r="C814" s="168"/>
      <c r="D814" s="168"/>
      <c r="E814" s="168"/>
      <c r="F814" s="168"/>
      <c r="G814" s="168"/>
      <c r="H814" s="168"/>
      <c r="I814" s="168"/>
      <c r="J814" s="168"/>
      <c r="K814" s="168"/>
      <c r="L814" s="168"/>
      <c r="M814" s="168"/>
      <c r="N814" s="168"/>
      <c r="O814" s="168"/>
      <c r="P814" s="168"/>
      <c r="Q814" s="168"/>
      <c r="R814" s="168"/>
      <c r="S814" s="168"/>
      <c r="T814" s="168"/>
      <c r="U814" s="168"/>
      <c r="V814" s="168"/>
      <c r="W814" s="168"/>
      <c r="X814" s="168"/>
      <c r="Y814" s="168"/>
      <c r="Z814" s="168"/>
    </row>
    <row r="815" customFormat="false" ht="15.75" hidden="false" customHeight="false" outlineLevel="0" collapsed="false">
      <c r="A815" s="168"/>
      <c r="B815" s="168"/>
      <c r="C815" s="168"/>
      <c r="D815" s="168"/>
      <c r="E815" s="168"/>
      <c r="F815" s="168"/>
      <c r="G815" s="168"/>
      <c r="H815" s="168"/>
      <c r="I815" s="168"/>
      <c r="J815" s="168"/>
      <c r="K815" s="168"/>
      <c r="L815" s="168"/>
      <c r="M815" s="168"/>
      <c r="N815" s="168"/>
      <c r="O815" s="168"/>
      <c r="P815" s="168"/>
      <c r="Q815" s="168"/>
      <c r="R815" s="168"/>
      <c r="S815" s="168"/>
      <c r="T815" s="168"/>
      <c r="U815" s="168"/>
      <c r="V815" s="168"/>
      <c r="W815" s="168"/>
      <c r="X815" s="168"/>
      <c r="Y815" s="168"/>
      <c r="Z815" s="168"/>
    </row>
    <row r="816" customFormat="false" ht="15.75" hidden="false" customHeight="false" outlineLevel="0" collapsed="false">
      <c r="A816" s="168"/>
      <c r="B816" s="168"/>
      <c r="C816" s="168"/>
      <c r="D816" s="168"/>
      <c r="E816" s="168"/>
      <c r="F816" s="168"/>
      <c r="G816" s="168"/>
      <c r="H816" s="168"/>
      <c r="I816" s="168"/>
      <c r="J816" s="168"/>
      <c r="K816" s="168"/>
      <c r="L816" s="168"/>
      <c r="M816" s="168"/>
      <c r="N816" s="168"/>
      <c r="O816" s="168"/>
      <c r="P816" s="168"/>
      <c r="Q816" s="168"/>
      <c r="R816" s="168"/>
      <c r="S816" s="168"/>
      <c r="T816" s="168"/>
      <c r="U816" s="168"/>
      <c r="V816" s="168"/>
      <c r="W816" s="168"/>
      <c r="X816" s="168"/>
      <c r="Y816" s="168"/>
      <c r="Z816" s="168"/>
    </row>
    <row r="817" customFormat="false" ht="15.75" hidden="false" customHeight="false" outlineLevel="0" collapsed="false">
      <c r="A817" s="168"/>
      <c r="B817" s="168"/>
      <c r="C817" s="168"/>
      <c r="D817" s="168"/>
      <c r="E817" s="168"/>
      <c r="F817" s="168"/>
      <c r="G817" s="168"/>
      <c r="H817" s="168"/>
      <c r="I817" s="168"/>
      <c r="J817" s="168"/>
      <c r="K817" s="168"/>
      <c r="L817" s="168"/>
      <c r="M817" s="168"/>
      <c r="N817" s="168"/>
      <c r="O817" s="168"/>
      <c r="P817" s="168"/>
      <c r="Q817" s="168"/>
      <c r="R817" s="168"/>
      <c r="S817" s="168"/>
      <c r="T817" s="168"/>
      <c r="U817" s="168"/>
      <c r="V817" s="168"/>
      <c r="W817" s="168"/>
      <c r="X817" s="168"/>
      <c r="Y817" s="168"/>
      <c r="Z817" s="168"/>
    </row>
    <row r="818" customFormat="false" ht="15.75" hidden="false" customHeight="false" outlineLevel="0" collapsed="false">
      <c r="A818" s="168"/>
      <c r="B818" s="168"/>
      <c r="C818" s="168"/>
      <c r="D818" s="168"/>
      <c r="E818" s="168"/>
      <c r="F818" s="168"/>
      <c r="G818" s="168"/>
      <c r="H818" s="168"/>
      <c r="I818" s="168"/>
      <c r="J818" s="168"/>
      <c r="K818" s="168"/>
      <c r="L818" s="168"/>
      <c r="M818" s="168"/>
      <c r="N818" s="168"/>
      <c r="O818" s="168"/>
      <c r="P818" s="168"/>
      <c r="Q818" s="168"/>
      <c r="R818" s="168"/>
      <c r="S818" s="168"/>
      <c r="T818" s="168"/>
      <c r="U818" s="168"/>
      <c r="V818" s="168"/>
      <c r="W818" s="168"/>
      <c r="X818" s="168"/>
      <c r="Y818" s="168"/>
      <c r="Z818" s="168"/>
    </row>
    <row r="819" customFormat="false" ht="15.75" hidden="false" customHeight="false" outlineLevel="0" collapsed="false">
      <c r="A819" s="168"/>
      <c r="B819" s="168"/>
      <c r="C819" s="168"/>
      <c r="D819" s="168"/>
      <c r="E819" s="168"/>
      <c r="F819" s="168"/>
      <c r="G819" s="168"/>
      <c r="H819" s="168"/>
      <c r="I819" s="168"/>
      <c r="J819" s="168"/>
      <c r="K819" s="168"/>
      <c r="L819" s="168"/>
      <c r="M819" s="168"/>
      <c r="N819" s="168"/>
      <c r="O819" s="168"/>
      <c r="P819" s="168"/>
      <c r="Q819" s="168"/>
      <c r="R819" s="168"/>
      <c r="S819" s="168"/>
      <c r="T819" s="168"/>
      <c r="U819" s="168"/>
      <c r="V819" s="168"/>
      <c r="W819" s="168"/>
      <c r="X819" s="168"/>
      <c r="Y819" s="168"/>
      <c r="Z819" s="168"/>
    </row>
    <row r="820" customFormat="false" ht="15.75" hidden="false" customHeight="false" outlineLevel="0" collapsed="false">
      <c r="A820" s="168"/>
      <c r="B820" s="168"/>
      <c r="C820" s="168"/>
      <c r="D820" s="168"/>
      <c r="E820" s="168"/>
      <c r="F820" s="168"/>
      <c r="G820" s="168"/>
      <c r="H820" s="168"/>
      <c r="I820" s="168"/>
      <c r="J820" s="168"/>
      <c r="K820" s="168"/>
      <c r="L820" s="168"/>
      <c r="M820" s="168"/>
      <c r="N820" s="168"/>
      <c r="O820" s="168"/>
      <c r="P820" s="168"/>
      <c r="Q820" s="168"/>
      <c r="R820" s="168"/>
      <c r="S820" s="168"/>
      <c r="T820" s="168"/>
      <c r="U820" s="168"/>
      <c r="V820" s="168"/>
      <c r="W820" s="168"/>
      <c r="X820" s="168"/>
      <c r="Y820" s="168"/>
      <c r="Z820" s="168"/>
    </row>
    <row r="821" customFormat="false" ht="15.75" hidden="false" customHeight="false" outlineLevel="0" collapsed="false">
      <c r="A821" s="168"/>
      <c r="B821" s="168"/>
      <c r="C821" s="168"/>
      <c r="D821" s="168"/>
      <c r="E821" s="168"/>
      <c r="F821" s="168"/>
      <c r="G821" s="168"/>
      <c r="H821" s="168"/>
      <c r="I821" s="168"/>
      <c r="J821" s="168"/>
      <c r="K821" s="168"/>
      <c r="L821" s="168"/>
      <c r="M821" s="168"/>
      <c r="N821" s="168"/>
      <c r="O821" s="168"/>
      <c r="P821" s="168"/>
      <c r="Q821" s="168"/>
      <c r="R821" s="168"/>
      <c r="S821" s="168"/>
      <c r="T821" s="168"/>
      <c r="U821" s="168"/>
      <c r="V821" s="168"/>
      <c r="W821" s="168"/>
      <c r="X821" s="168"/>
      <c r="Y821" s="168"/>
      <c r="Z821" s="168"/>
    </row>
    <row r="822" customFormat="false" ht="15.75" hidden="false" customHeight="false" outlineLevel="0" collapsed="false">
      <c r="A822" s="168"/>
      <c r="B822" s="168"/>
      <c r="C822" s="168"/>
      <c r="D822" s="168"/>
      <c r="E822" s="168"/>
      <c r="F822" s="168"/>
      <c r="G822" s="168"/>
      <c r="H822" s="168"/>
      <c r="I822" s="168"/>
      <c r="J822" s="168"/>
      <c r="K822" s="168"/>
      <c r="L822" s="168"/>
      <c r="M822" s="168"/>
      <c r="N822" s="168"/>
      <c r="O822" s="168"/>
      <c r="P822" s="168"/>
      <c r="Q822" s="168"/>
      <c r="R822" s="168"/>
      <c r="S822" s="168"/>
      <c r="T822" s="168"/>
      <c r="U822" s="168"/>
      <c r="V822" s="168"/>
      <c r="W822" s="168"/>
      <c r="X822" s="168"/>
      <c r="Y822" s="168"/>
      <c r="Z822" s="168"/>
    </row>
    <row r="823" customFormat="false" ht="15.75" hidden="false" customHeight="false" outlineLevel="0" collapsed="false">
      <c r="A823" s="168"/>
      <c r="B823" s="168"/>
      <c r="C823" s="168"/>
      <c r="D823" s="168"/>
      <c r="E823" s="168"/>
      <c r="F823" s="168"/>
      <c r="G823" s="168"/>
      <c r="H823" s="168"/>
      <c r="I823" s="168"/>
      <c r="J823" s="168"/>
      <c r="K823" s="168"/>
      <c r="L823" s="168"/>
      <c r="M823" s="168"/>
      <c r="N823" s="168"/>
      <c r="O823" s="168"/>
      <c r="P823" s="168"/>
      <c r="Q823" s="168"/>
      <c r="R823" s="168"/>
      <c r="S823" s="168"/>
      <c r="T823" s="168"/>
      <c r="U823" s="168"/>
      <c r="V823" s="168"/>
      <c r="W823" s="168"/>
      <c r="X823" s="168"/>
      <c r="Y823" s="168"/>
      <c r="Z823" s="168"/>
    </row>
    <row r="824" customFormat="false" ht="15.75" hidden="false" customHeight="false" outlineLevel="0" collapsed="false">
      <c r="A824" s="168"/>
      <c r="B824" s="168"/>
      <c r="C824" s="168"/>
      <c r="D824" s="168"/>
      <c r="E824" s="168"/>
      <c r="F824" s="168"/>
      <c r="G824" s="168"/>
      <c r="H824" s="168"/>
      <c r="I824" s="168"/>
      <c r="J824" s="168"/>
      <c r="K824" s="168"/>
      <c r="L824" s="168"/>
      <c r="M824" s="168"/>
      <c r="N824" s="168"/>
      <c r="O824" s="168"/>
      <c r="P824" s="168"/>
      <c r="Q824" s="168"/>
      <c r="R824" s="168"/>
      <c r="S824" s="168"/>
      <c r="T824" s="168"/>
      <c r="U824" s="168"/>
      <c r="V824" s="168"/>
      <c r="W824" s="168"/>
      <c r="X824" s="168"/>
      <c r="Y824" s="168"/>
      <c r="Z824" s="168"/>
    </row>
    <row r="825" customFormat="false" ht="15.75" hidden="false" customHeight="false" outlineLevel="0" collapsed="false">
      <c r="A825" s="168"/>
      <c r="B825" s="168"/>
      <c r="C825" s="168"/>
      <c r="D825" s="168"/>
      <c r="E825" s="168"/>
      <c r="F825" s="168"/>
      <c r="G825" s="168"/>
      <c r="H825" s="168"/>
      <c r="I825" s="168"/>
      <c r="J825" s="168"/>
      <c r="K825" s="168"/>
      <c r="L825" s="168"/>
      <c r="M825" s="168"/>
      <c r="N825" s="168"/>
      <c r="O825" s="168"/>
      <c r="P825" s="168"/>
      <c r="Q825" s="168"/>
      <c r="R825" s="168"/>
      <c r="S825" s="168"/>
      <c r="T825" s="168"/>
      <c r="U825" s="168"/>
      <c r="V825" s="168"/>
      <c r="W825" s="168"/>
      <c r="X825" s="168"/>
      <c r="Y825" s="168"/>
      <c r="Z825" s="168"/>
    </row>
    <row r="826" customFormat="false" ht="15.75" hidden="false" customHeight="false" outlineLevel="0" collapsed="false">
      <c r="A826" s="168"/>
      <c r="B826" s="168"/>
      <c r="C826" s="168"/>
      <c r="D826" s="168"/>
      <c r="E826" s="168"/>
      <c r="F826" s="168"/>
      <c r="G826" s="168"/>
      <c r="H826" s="168"/>
      <c r="I826" s="168"/>
      <c r="J826" s="168"/>
      <c r="K826" s="168"/>
      <c r="L826" s="168"/>
      <c r="M826" s="168"/>
      <c r="N826" s="168"/>
      <c r="O826" s="168"/>
      <c r="P826" s="168"/>
      <c r="Q826" s="168"/>
      <c r="R826" s="168"/>
      <c r="S826" s="168"/>
      <c r="T826" s="168"/>
      <c r="U826" s="168"/>
      <c r="V826" s="168"/>
      <c r="W826" s="168"/>
      <c r="X826" s="168"/>
      <c r="Y826" s="168"/>
      <c r="Z826" s="168"/>
    </row>
    <row r="827" customFormat="false" ht="15.75" hidden="false" customHeight="false" outlineLevel="0" collapsed="false">
      <c r="A827" s="168"/>
      <c r="B827" s="168"/>
      <c r="C827" s="168"/>
      <c r="D827" s="168"/>
      <c r="E827" s="168"/>
      <c r="F827" s="168"/>
      <c r="G827" s="168"/>
      <c r="H827" s="168"/>
      <c r="I827" s="168"/>
      <c r="J827" s="168"/>
      <c r="K827" s="168"/>
      <c r="L827" s="168"/>
      <c r="M827" s="168"/>
      <c r="N827" s="168"/>
      <c r="O827" s="168"/>
      <c r="P827" s="168"/>
      <c r="Q827" s="168"/>
      <c r="R827" s="168"/>
      <c r="S827" s="168"/>
      <c r="T827" s="168"/>
      <c r="U827" s="168"/>
      <c r="V827" s="168"/>
      <c r="W827" s="168"/>
      <c r="X827" s="168"/>
      <c r="Y827" s="168"/>
      <c r="Z827" s="168"/>
    </row>
    <row r="828" customFormat="false" ht="15.75" hidden="false" customHeight="false" outlineLevel="0" collapsed="false">
      <c r="A828" s="168"/>
      <c r="B828" s="168"/>
      <c r="C828" s="168"/>
      <c r="D828" s="168"/>
      <c r="E828" s="168"/>
      <c r="F828" s="168"/>
      <c r="G828" s="168"/>
      <c r="H828" s="168"/>
      <c r="I828" s="168"/>
      <c r="J828" s="168"/>
      <c r="K828" s="168"/>
      <c r="L828" s="168"/>
      <c r="M828" s="168"/>
      <c r="N828" s="168"/>
      <c r="O828" s="168"/>
      <c r="P828" s="168"/>
      <c r="Q828" s="168"/>
      <c r="R828" s="168"/>
      <c r="S828" s="168"/>
      <c r="T828" s="168"/>
      <c r="U828" s="168"/>
      <c r="V828" s="168"/>
      <c r="W828" s="168"/>
      <c r="X828" s="168"/>
      <c r="Y828" s="168"/>
      <c r="Z828" s="168"/>
    </row>
    <row r="829" customFormat="false" ht="15.75" hidden="false" customHeight="false" outlineLevel="0" collapsed="false">
      <c r="A829" s="168"/>
      <c r="B829" s="168"/>
      <c r="C829" s="168"/>
      <c r="D829" s="168"/>
      <c r="E829" s="168"/>
      <c r="F829" s="168"/>
      <c r="G829" s="168"/>
      <c r="H829" s="168"/>
      <c r="I829" s="168"/>
      <c r="J829" s="168"/>
      <c r="K829" s="168"/>
      <c r="L829" s="168"/>
      <c r="M829" s="168"/>
      <c r="N829" s="168"/>
      <c r="O829" s="168"/>
      <c r="P829" s="168"/>
      <c r="Q829" s="168"/>
      <c r="R829" s="168"/>
      <c r="S829" s="168"/>
      <c r="T829" s="168"/>
      <c r="U829" s="168"/>
      <c r="V829" s="168"/>
      <c r="W829" s="168"/>
      <c r="X829" s="168"/>
      <c r="Y829" s="168"/>
      <c r="Z829" s="168"/>
    </row>
    <row r="830" customFormat="false" ht="15.75" hidden="false" customHeight="false" outlineLevel="0" collapsed="false">
      <c r="A830" s="168"/>
      <c r="B830" s="168"/>
      <c r="C830" s="168"/>
      <c r="D830" s="168"/>
      <c r="E830" s="168"/>
      <c r="F830" s="168"/>
      <c r="G830" s="168"/>
      <c r="H830" s="168"/>
      <c r="I830" s="168"/>
      <c r="J830" s="168"/>
      <c r="K830" s="168"/>
      <c r="L830" s="168"/>
      <c r="M830" s="168"/>
      <c r="N830" s="168"/>
      <c r="O830" s="168"/>
      <c r="P830" s="168"/>
      <c r="Q830" s="168"/>
      <c r="R830" s="168"/>
      <c r="S830" s="168"/>
      <c r="T830" s="168"/>
      <c r="U830" s="168"/>
      <c r="V830" s="168"/>
      <c r="W830" s="168"/>
      <c r="X830" s="168"/>
      <c r="Y830" s="168"/>
      <c r="Z830" s="168"/>
    </row>
    <row r="831" customFormat="false" ht="15.75" hidden="false" customHeight="false" outlineLevel="0" collapsed="false">
      <c r="A831" s="168"/>
      <c r="B831" s="168"/>
      <c r="C831" s="168"/>
      <c r="D831" s="168"/>
      <c r="E831" s="168"/>
      <c r="F831" s="168"/>
      <c r="G831" s="168"/>
      <c r="H831" s="168"/>
      <c r="I831" s="168"/>
      <c r="J831" s="168"/>
      <c r="K831" s="168"/>
      <c r="L831" s="168"/>
      <c r="M831" s="168"/>
      <c r="N831" s="168"/>
      <c r="O831" s="168"/>
      <c r="P831" s="168"/>
      <c r="Q831" s="168"/>
      <c r="R831" s="168"/>
      <c r="S831" s="168"/>
      <c r="T831" s="168"/>
      <c r="U831" s="168"/>
      <c r="V831" s="168"/>
      <c r="W831" s="168"/>
      <c r="X831" s="168"/>
      <c r="Y831" s="168"/>
      <c r="Z831" s="168"/>
    </row>
    <row r="832" customFormat="false" ht="15.75" hidden="false" customHeight="false" outlineLevel="0" collapsed="false">
      <c r="A832" s="168"/>
      <c r="B832" s="168"/>
      <c r="C832" s="168"/>
      <c r="D832" s="168"/>
      <c r="E832" s="168"/>
      <c r="F832" s="168"/>
      <c r="G832" s="168"/>
      <c r="H832" s="168"/>
      <c r="I832" s="168"/>
      <c r="J832" s="168"/>
      <c r="K832" s="168"/>
      <c r="L832" s="168"/>
      <c r="M832" s="168"/>
      <c r="N832" s="168"/>
      <c r="O832" s="168"/>
      <c r="P832" s="168"/>
      <c r="Q832" s="168"/>
      <c r="R832" s="168"/>
      <c r="S832" s="168"/>
      <c r="T832" s="168"/>
      <c r="U832" s="168"/>
      <c r="V832" s="168"/>
      <c r="W832" s="168"/>
      <c r="X832" s="168"/>
      <c r="Y832" s="168"/>
      <c r="Z832" s="168"/>
    </row>
    <row r="833" customFormat="false" ht="15.75" hidden="false" customHeight="false" outlineLevel="0" collapsed="false">
      <c r="A833" s="168"/>
      <c r="B833" s="168"/>
      <c r="C833" s="168"/>
      <c r="D833" s="168"/>
      <c r="E833" s="168"/>
      <c r="F833" s="168"/>
      <c r="G833" s="168"/>
      <c r="H833" s="168"/>
      <c r="I833" s="168"/>
      <c r="J833" s="168"/>
      <c r="K833" s="168"/>
      <c r="L833" s="168"/>
      <c r="M833" s="168"/>
      <c r="N833" s="168"/>
      <c r="O833" s="168"/>
      <c r="P833" s="168"/>
      <c r="Q833" s="168"/>
      <c r="R833" s="168"/>
      <c r="S833" s="168"/>
      <c r="T833" s="168"/>
      <c r="U833" s="168"/>
      <c r="V833" s="168"/>
      <c r="W833" s="168"/>
      <c r="X833" s="168"/>
      <c r="Y833" s="168"/>
      <c r="Z833" s="168"/>
    </row>
    <row r="834" customFormat="false" ht="15.75" hidden="false" customHeight="false" outlineLevel="0" collapsed="false">
      <c r="A834" s="168"/>
      <c r="B834" s="168"/>
      <c r="C834" s="168"/>
      <c r="D834" s="168"/>
      <c r="E834" s="168"/>
      <c r="F834" s="168"/>
      <c r="G834" s="168"/>
      <c r="H834" s="168"/>
      <c r="I834" s="168"/>
      <c r="J834" s="168"/>
      <c r="K834" s="168"/>
      <c r="L834" s="168"/>
      <c r="M834" s="168"/>
      <c r="N834" s="168"/>
      <c r="O834" s="168"/>
      <c r="P834" s="168"/>
      <c r="Q834" s="168"/>
      <c r="R834" s="168"/>
      <c r="S834" s="168"/>
      <c r="T834" s="168"/>
      <c r="U834" s="168"/>
      <c r="V834" s="168"/>
      <c r="W834" s="168"/>
      <c r="X834" s="168"/>
      <c r="Y834" s="168"/>
      <c r="Z834" s="168"/>
    </row>
    <row r="835" customFormat="false" ht="15.75" hidden="false" customHeight="false" outlineLevel="0" collapsed="false">
      <c r="A835" s="168"/>
      <c r="B835" s="168"/>
      <c r="C835" s="168"/>
      <c r="D835" s="168"/>
      <c r="E835" s="168"/>
      <c r="F835" s="168"/>
      <c r="G835" s="168"/>
      <c r="H835" s="168"/>
      <c r="I835" s="168"/>
      <c r="J835" s="168"/>
      <c r="K835" s="168"/>
      <c r="L835" s="168"/>
      <c r="M835" s="168"/>
      <c r="N835" s="168"/>
      <c r="O835" s="168"/>
      <c r="P835" s="168"/>
      <c r="Q835" s="168"/>
      <c r="R835" s="168"/>
      <c r="S835" s="168"/>
      <c r="T835" s="168"/>
      <c r="U835" s="168"/>
      <c r="V835" s="168"/>
      <c r="W835" s="168"/>
      <c r="X835" s="168"/>
      <c r="Y835" s="168"/>
      <c r="Z835" s="168"/>
    </row>
    <row r="836" customFormat="false" ht="15.75" hidden="false" customHeight="false" outlineLevel="0" collapsed="false">
      <c r="A836" s="168"/>
      <c r="B836" s="168"/>
      <c r="C836" s="168"/>
      <c r="D836" s="168"/>
      <c r="E836" s="168"/>
      <c r="F836" s="168"/>
      <c r="G836" s="168"/>
      <c r="H836" s="168"/>
      <c r="I836" s="168"/>
      <c r="J836" s="168"/>
      <c r="K836" s="168"/>
      <c r="L836" s="168"/>
      <c r="M836" s="168"/>
      <c r="N836" s="168"/>
      <c r="O836" s="168"/>
      <c r="P836" s="168"/>
      <c r="Q836" s="168"/>
      <c r="R836" s="168"/>
      <c r="S836" s="168"/>
      <c r="T836" s="168"/>
      <c r="U836" s="168"/>
      <c r="V836" s="168"/>
      <c r="W836" s="168"/>
      <c r="X836" s="168"/>
      <c r="Y836" s="168"/>
      <c r="Z836" s="168"/>
    </row>
    <row r="837" customFormat="false" ht="15.75" hidden="false" customHeight="false" outlineLevel="0" collapsed="false">
      <c r="A837" s="168"/>
      <c r="B837" s="168"/>
      <c r="C837" s="168"/>
      <c r="D837" s="168"/>
      <c r="E837" s="168"/>
      <c r="F837" s="168"/>
      <c r="G837" s="168"/>
      <c r="H837" s="168"/>
      <c r="I837" s="168"/>
      <c r="J837" s="168"/>
      <c r="K837" s="168"/>
      <c r="L837" s="168"/>
      <c r="M837" s="168"/>
      <c r="N837" s="168"/>
      <c r="O837" s="168"/>
      <c r="P837" s="168"/>
      <c r="Q837" s="168"/>
      <c r="R837" s="168"/>
      <c r="S837" s="168"/>
      <c r="T837" s="168"/>
      <c r="U837" s="168"/>
      <c r="V837" s="168"/>
      <c r="W837" s="168"/>
      <c r="X837" s="168"/>
      <c r="Y837" s="168"/>
      <c r="Z837" s="168"/>
    </row>
    <row r="838" customFormat="false" ht="15.75" hidden="false" customHeight="false" outlineLevel="0" collapsed="false">
      <c r="A838" s="168"/>
      <c r="B838" s="168"/>
      <c r="C838" s="168"/>
      <c r="D838" s="168"/>
      <c r="E838" s="168"/>
      <c r="F838" s="168"/>
      <c r="G838" s="168"/>
      <c r="H838" s="168"/>
      <c r="I838" s="168"/>
      <c r="J838" s="168"/>
      <c r="K838" s="168"/>
      <c r="L838" s="168"/>
      <c r="M838" s="168"/>
      <c r="N838" s="168"/>
      <c r="O838" s="168"/>
      <c r="P838" s="168"/>
      <c r="Q838" s="168"/>
      <c r="R838" s="168"/>
      <c r="S838" s="168"/>
      <c r="T838" s="168"/>
      <c r="U838" s="168"/>
      <c r="V838" s="168"/>
      <c r="W838" s="168"/>
      <c r="X838" s="168"/>
      <c r="Y838" s="168"/>
      <c r="Z838" s="168"/>
    </row>
    <row r="839" customFormat="false" ht="15.75" hidden="false" customHeight="false" outlineLevel="0" collapsed="false">
      <c r="A839" s="168"/>
      <c r="B839" s="168"/>
      <c r="C839" s="168"/>
      <c r="D839" s="168"/>
      <c r="E839" s="168"/>
      <c r="F839" s="168"/>
      <c r="G839" s="168"/>
      <c r="H839" s="168"/>
      <c r="I839" s="168"/>
      <c r="J839" s="168"/>
      <c r="K839" s="168"/>
      <c r="L839" s="168"/>
      <c r="M839" s="168"/>
      <c r="N839" s="168"/>
      <c r="O839" s="168"/>
      <c r="P839" s="168"/>
      <c r="Q839" s="168"/>
      <c r="R839" s="168"/>
      <c r="S839" s="168"/>
      <c r="T839" s="168"/>
      <c r="U839" s="168"/>
      <c r="V839" s="168"/>
      <c r="W839" s="168"/>
      <c r="X839" s="168"/>
      <c r="Y839" s="168"/>
      <c r="Z839" s="168"/>
    </row>
    <row r="840" customFormat="false" ht="15.75" hidden="false" customHeight="false" outlineLevel="0" collapsed="false">
      <c r="A840" s="168"/>
      <c r="B840" s="168"/>
      <c r="C840" s="168"/>
      <c r="D840" s="168"/>
      <c r="E840" s="168"/>
      <c r="F840" s="168"/>
      <c r="G840" s="168"/>
      <c r="H840" s="168"/>
      <c r="I840" s="168"/>
      <c r="J840" s="168"/>
      <c r="K840" s="168"/>
      <c r="L840" s="168"/>
      <c r="M840" s="168"/>
      <c r="N840" s="168"/>
      <c r="O840" s="168"/>
      <c r="P840" s="168"/>
      <c r="Q840" s="168"/>
      <c r="R840" s="168"/>
      <c r="S840" s="168"/>
      <c r="T840" s="168"/>
      <c r="U840" s="168"/>
      <c r="V840" s="168"/>
      <c r="W840" s="168"/>
      <c r="X840" s="168"/>
      <c r="Y840" s="168"/>
      <c r="Z840" s="168"/>
    </row>
    <row r="841" customFormat="false" ht="15.75" hidden="false" customHeight="false" outlineLevel="0" collapsed="false">
      <c r="A841" s="168"/>
      <c r="B841" s="168"/>
      <c r="C841" s="168"/>
      <c r="D841" s="168"/>
      <c r="E841" s="168"/>
      <c r="F841" s="168"/>
      <c r="G841" s="168"/>
      <c r="H841" s="168"/>
      <c r="I841" s="168"/>
      <c r="J841" s="168"/>
      <c r="K841" s="168"/>
      <c r="L841" s="168"/>
      <c r="M841" s="168"/>
      <c r="N841" s="168"/>
      <c r="O841" s="168"/>
      <c r="P841" s="168"/>
      <c r="Q841" s="168"/>
      <c r="R841" s="168"/>
      <c r="S841" s="168"/>
      <c r="T841" s="168"/>
      <c r="U841" s="168"/>
      <c r="V841" s="168"/>
      <c r="W841" s="168"/>
      <c r="X841" s="168"/>
      <c r="Y841" s="168"/>
      <c r="Z841" s="168"/>
    </row>
    <row r="842" customFormat="false" ht="15.75" hidden="false" customHeight="false" outlineLevel="0" collapsed="false">
      <c r="A842" s="168"/>
      <c r="B842" s="168"/>
      <c r="C842" s="168"/>
      <c r="D842" s="168"/>
      <c r="E842" s="168"/>
      <c r="F842" s="168"/>
      <c r="G842" s="168"/>
      <c r="H842" s="168"/>
      <c r="I842" s="168"/>
      <c r="J842" s="168"/>
      <c r="K842" s="168"/>
      <c r="L842" s="168"/>
      <c r="M842" s="168"/>
      <c r="N842" s="168"/>
      <c r="O842" s="168"/>
      <c r="P842" s="168"/>
      <c r="Q842" s="168"/>
      <c r="R842" s="168"/>
      <c r="S842" s="168"/>
      <c r="T842" s="168"/>
      <c r="U842" s="168"/>
      <c r="V842" s="168"/>
      <c r="W842" s="168"/>
      <c r="X842" s="168"/>
      <c r="Y842" s="168"/>
      <c r="Z842" s="168"/>
    </row>
    <row r="843" customFormat="false" ht="15.75" hidden="false" customHeight="false" outlineLevel="0" collapsed="false">
      <c r="A843" s="168"/>
      <c r="B843" s="168"/>
      <c r="C843" s="168"/>
      <c r="D843" s="168"/>
      <c r="E843" s="168"/>
      <c r="F843" s="168"/>
      <c r="G843" s="168"/>
      <c r="H843" s="168"/>
      <c r="I843" s="168"/>
      <c r="J843" s="168"/>
      <c r="K843" s="168"/>
      <c r="L843" s="168"/>
      <c r="M843" s="168"/>
      <c r="N843" s="168"/>
      <c r="O843" s="168"/>
      <c r="P843" s="168"/>
      <c r="Q843" s="168"/>
      <c r="R843" s="168"/>
      <c r="S843" s="168"/>
      <c r="T843" s="168"/>
      <c r="U843" s="168"/>
      <c r="V843" s="168"/>
      <c r="W843" s="168"/>
      <c r="X843" s="168"/>
      <c r="Y843" s="168"/>
      <c r="Z843" s="168"/>
    </row>
    <row r="844" customFormat="false" ht="15.75" hidden="false" customHeight="false" outlineLevel="0" collapsed="false">
      <c r="A844" s="168"/>
      <c r="B844" s="168"/>
      <c r="C844" s="168"/>
      <c r="D844" s="168"/>
      <c r="E844" s="168"/>
      <c r="F844" s="168"/>
      <c r="G844" s="168"/>
      <c r="H844" s="168"/>
      <c r="I844" s="168"/>
      <c r="J844" s="168"/>
      <c r="K844" s="168"/>
      <c r="L844" s="168"/>
      <c r="M844" s="168"/>
      <c r="N844" s="168"/>
      <c r="O844" s="168"/>
      <c r="P844" s="168"/>
      <c r="Q844" s="168"/>
      <c r="R844" s="168"/>
      <c r="S844" s="168"/>
      <c r="T844" s="168"/>
      <c r="U844" s="168"/>
      <c r="V844" s="168"/>
      <c r="W844" s="168"/>
      <c r="X844" s="168"/>
      <c r="Y844" s="168"/>
      <c r="Z844" s="168"/>
    </row>
    <row r="845" customFormat="false" ht="15.75" hidden="false" customHeight="false" outlineLevel="0" collapsed="false">
      <c r="A845" s="168"/>
      <c r="B845" s="168"/>
      <c r="C845" s="168"/>
      <c r="D845" s="168"/>
      <c r="E845" s="168"/>
      <c r="F845" s="168"/>
      <c r="G845" s="168"/>
      <c r="H845" s="168"/>
      <c r="I845" s="168"/>
      <c r="J845" s="168"/>
      <c r="K845" s="168"/>
      <c r="L845" s="168"/>
      <c r="M845" s="168"/>
      <c r="N845" s="168"/>
      <c r="O845" s="168"/>
      <c r="P845" s="168"/>
      <c r="Q845" s="168"/>
      <c r="R845" s="168"/>
      <c r="S845" s="168"/>
      <c r="T845" s="168"/>
      <c r="U845" s="168"/>
      <c r="V845" s="168"/>
      <c r="W845" s="168"/>
      <c r="X845" s="168"/>
      <c r="Y845" s="168"/>
      <c r="Z845" s="168"/>
    </row>
    <row r="846" customFormat="false" ht="15.75" hidden="false" customHeight="false" outlineLevel="0" collapsed="false">
      <c r="A846" s="168"/>
      <c r="B846" s="168"/>
      <c r="C846" s="168"/>
      <c r="D846" s="168"/>
      <c r="E846" s="168"/>
      <c r="F846" s="168"/>
      <c r="G846" s="168"/>
      <c r="H846" s="168"/>
      <c r="I846" s="168"/>
      <c r="J846" s="168"/>
      <c r="K846" s="168"/>
      <c r="L846" s="168"/>
      <c r="M846" s="168"/>
      <c r="N846" s="168"/>
      <c r="O846" s="168"/>
      <c r="P846" s="168"/>
      <c r="Q846" s="168"/>
      <c r="R846" s="168"/>
      <c r="S846" s="168"/>
      <c r="T846" s="168"/>
      <c r="U846" s="168"/>
      <c r="V846" s="168"/>
      <c r="W846" s="168"/>
      <c r="X846" s="168"/>
      <c r="Y846" s="168"/>
      <c r="Z846" s="168"/>
    </row>
    <row r="847" customFormat="false" ht="15.75" hidden="false" customHeight="false" outlineLevel="0" collapsed="false">
      <c r="A847" s="168"/>
      <c r="B847" s="168"/>
      <c r="C847" s="168"/>
      <c r="D847" s="168"/>
      <c r="E847" s="168"/>
      <c r="F847" s="168"/>
      <c r="G847" s="168"/>
      <c r="H847" s="168"/>
      <c r="I847" s="168"/>
      <c r="J847" s="168"/>
      <c r="K847" s="168"/>
      <c r="L847" s="168"/>
      <c r="M847" s="168"/>
      <c r="N847" s="168"/>
      <c r="O847" s="168"/>
      <c r="P847" s="168"/>
      <c r="Q847" s="168"/>
      <c r="R847" s="168"/>
      <c r="S847" s="168"/>
      <c r="T847" s="168"/>
      <c r="U847" s="168"/>
      <c r="V847" s="168"/>
      <c r="W847" s="168"/>
      <c r="X847" s="168"/>
      <c r="Y847" s="168"/>
      <c r="Z847" s="168"/>
    </row>
    <row r="848" customFormat="false" ht="15.75" hidden="false" customHeight="false" outlineLevel="0" collapsed="false">
      <c r="A848" s="168"/>
      <c r="B848" s="168"/>
      <c r="C848" s="168"/>
      <c r="D848" s="168"/>
      <c r="E848" s="168"/>
      <c r="F848" s="168"/>
      <c r="G848" s="168"/>
      <c r="H848" s="168"/>
      <c r="I848" s="168"/>
      <c r="J848" s="168"/>
      <c r="K848" s="168"/>
      <c r="L848" s="168"/>
      <c r="M848" s="168"/>
      <c r="N848" s="168"/>
      <c r="O848" s="168"/>
      <c r="P848" s="168"/>
      <c r="Q848" s="168"/>
      <c r="R848" s="168"/>
      <c r="S848" s="168"/>
      <c r="T848" s="168"/>
      <c r="U848" s="168"/>
      <c r="V848" s="168"/>
      <c r="W848" s="168"/>
      <c r="X848" s="168"/>
      <c r="Y848" s="168"/>
      <c r="Z848" s="168"/>
    </row>
    <row r="849" customFormat="false" ht="15.75" hidden="false" customHeight="false" outlineLevel="0" collapsed="false">
      <c r="A849" s="168"/>
      <c r="B849" s="168"/>
      <c r="C849" s="168"/>
      <c r="D849" s="168"/>
      <c r="E849" s="168"/>
      <c r="F849" s="168"/>
      <c r="G849" s="168"/>
      <c r="H849" s="168"/>
      <c r="I849" s="168"/>
      <c r="J849" s="168"/>
      <c r="K849" s="168"/>
      <c r="L849" s="168"/>
      <c r="M849" s="168"/>
      <c r="N849" s="168"/>
      <c r="O849" s="168"/>
      <c r="P849" s="168"/>
      <c r="Q849" s="168"/>
      <c r="R849" s="168"/>
      <c r="S849" s="168"/>
      <c r="T849" s="168"/>
      <c r="U849" s="168"/>
      <c r="V849" s="168"/>
      <c r="W849" s="168"/>
      <c r="X849" s="168"/>
      <c r="Y849" s="168"/>
      <c r="Z849" s="168"/>
    </row>
    <row r="850" customFormat="false" ht="15.75" hidden="false" customHeight="false" outlineLevel="0" collapsed="false">
      <c r="A850" s="168"/>
      <c r="B850" s="168"/>
      <c r="C850" s="168"/>
      <c r="D850" s="168"/>
      <c r="E850" s="168"/>
      <c r="F850" s="168"/>
      <c r="G850" s="168"/>
      <c r="H850" s="168"/>
      <c r="I850" s="168"/>
      <c r="J850" s="168"/>
      <c r="K850" s="168"/>
      <c r="L850" s="168"/>
      <c r="M850" s="168"/>
      <c r="N850" s="168"/>
      <c r="O850" s="168"/>
      <c r="P850" s="168"/>
      <c r="Q850" s="168"/>
      <c r="R850" s="168"/>
      <c r="S850" s="168"/>
      <c r="T850" s="168"/>
      <c r="U850" s="168"/>
      <c r="V850" s="168"/>
      <c r="W850" s="168"/>
      <c r="X850" s="168"/>
      <c r="Y850" s="168"/>
      <c r="Z850" s="168"/>
    </row>
    <row r="851" customFormat="false" ht="15.75" hidden="false" customHeight="false" outlineLevel="0" collapsed="false">
      <c r="A851" s="168"/>
      <c r="B851" s="168"/>
      <c r="C851" s="168"/>
      <c r="D851" s="168"/>
      <c r="E851" s="168"/>
      <c r="F851" s="168"/>
      <c r="G851" s="168"/>
      <c r="H851" s="168"/>
      <c r="I851" s="168"/>
      <c r="J851" s="168"/>
      <c r="K851" s="168"/>
      <c r="L851" s="168"/>
      <c r="M851" s="168"/>
      <c r="N851" s="168"/>
      <c r="O851" s="168"/>
      <c r="P851" s="168"/>
      <c r="Q851" s="168"/>
      <c r="R851" s="168"/>
      <c r="S851" s="168"/>
      <c r="T851" s="168"/>
      <c r="U851" s="168"/>
      <c r="V851" s="168"/>
      <c r="W851" s="168"/>
      <c r="X851" s="168"/>
      <c r="Y851" s="168"/>
      <c r="Z851" s="168"/>
    </row>
    <row r="852" customFormat="false" ht="15.75" hidden="false" customHeight="false" outlineLevel="0" collapsed="false">
      <c r="A852" s="168"/>
      <c r="B852" s="168"/>
      <c r="C852" s="168"/>
      <c r="D852" s="168"/>
      <c r="E852" s="168"/>
      <c r="F852" s="168"/>
      <c r="G852" s="168"/>
      <c r="H852" s="168"/>
      <c r="I852" s="168"/>
      <c r="J852" s="168"/>
      <c r="K852" s="168"/>
      <c r="L852" s="168"/>
      <c r="M852" s="168"/>
      <c r="N852" s="168"/>
      <c r="O852" s="168"/>
      <c r="P852" s="168"/>
      <c r="Q852" s="168"/>
      <c r="R852" s="168"/>
      <c r="S852" s="168"/>
      <c r="T852" s="168"/>
      <c r="U852" s="168"/>
      <c r="V852" s="168"/>
      <c r="W852" s="168"/>
      <c r="X852" s="168"/>
      <c r="Y852" s="168"/>
      <c r="Z852" s="168"/>
    </row>
    <row r="853" customFormat="false" ht="15.75" hidden="false" customHeight="false" outlineLevel="0" collapsed="false">
      <c r="A853" s="168"/>
      <c r="B853" s="168"/>
      <c r="C853" s="168"/>
      <c r="D853" s="168"/>
      <c r="E853" s="168"/>
      <c r="F853" s="168"/>
      <c r="G853" s="168"/>
      <c r="H853" s="168"/>
      <c r="I853" s="168"/>
      <c r="J853" s="168"/>
      <c r="K853" s="168"/>
      <c r="L853" s="168"/>
      <c r="M853" s="168"/>
      <c r="N853" s="168"/>
      <c r="O853" s="168"/>
      <c r="P853" s="168"/>
      <c r="Q853" s="168"/>
      <c r="R853" s="168"/>
      <c r="S853" s="168"/>
      <c r="T853" s="168"/>
      <c r="U853" s="168"/>
      <c r="V853" s="168"/>
      <c r="W853" s="168"/>
      <c r="X853" s="168"/>
      <c r="Y853" s="168"/>
      <c r="Z853" s="168"/>
    </row>
    <row r="854" customFormat="false" ht="15.75" hidden="false" customHeight="false" outlineLevel="0" collapsed="false">
      <c r="A854" s="168"/>
      <c r="B854" s="168"/>
      <c r="C854" s="168"/>
      <c r="D854" s="168"/>
      <c r="E854" s="168"/>
      <c r="F854" s="168"/>
      <c r="G854" s="168"/>
      <c r="H854" s="168"/>
      <c r="I854" s="168"/>
      <c r="J854" s="168"/>
      <c r="K854" s="168"/>
      <c r="L854" s="168"/>
      <c r="M854" s="168"/>
      <c r="N854" s="168"/>
      <c r="O854" s="168"/>
      <c r="P854" s="168"/>
      <c r="Q854" s="168"/>
      <c r="R854" s="168"/>
      <c r="S854" s="168"/>
      <c r="T854" s="168"/>
      <c r="U854" s="168"/>
      <c r="V854" s="168"/>
      <c r="W854" s="168"/>
      <c r="X854" s="168"/>
      <c r="Y854" s="168"/>
      <c r="Z854" s="168"/>
    </row>
    <row r="855" customFormat="false" ht="15.75" hidden="false" customHeight="false" outlineLevel="0" collapsed="false">
      <c r="A855" s="168"/>
      <c r="B855" s="168"/>
      <c r="C855" s="168"/>
      <c r="D855" s="168"/>
      <c r="E855" s="168"/>
      <c r="F855" s="168"/>
      <c r="G855" s="168"/>
      <c r="H855" s="168"/>
      <c r="I855" s="168"/>
      <c r="J855" s="168"/>
      <c r="K855" s="168"/>
      <c r="L855" s="168"/>
      <c r="M855" s="168"/>
      <c r="N855" s="168"/>
      <c r="O855" s="168"/>
      <c r="P855" s="168"/>
      <c r="Q855" s="168"/>
      <c r="R855" s="168"/>
      <c r="S855" s="168"/>
      <c r="T855" s="168"/>
      <c r="U855" s="168"/>
      <c r="V855" s="168"/>
      <c r="W855" s="168"/>
      <c r="X855" s="168"/>
      <c r="Y855" s="168"/>
      <c r="Z855" s="168"/>
    </row>
    <row r="856" customFormat="false" ht="15.75" hidden="false" customHeight="false" outlineLevel="0" collapsed="false">
      <c r="A856" s="168"/>
      <c r="B856" s="168"/>
      <c r="C856" s="168"/>
      <c r="D856" s="168"/>
      <c r="E856" s="168"/>
      <c r="F856" s="168"/>
      <c r="G856" s="168"/>
      <c r="H856" s="168"/>
      <c r="I856" s="168"/>
      <c r="J856" s="168"/>
      <c r="K856" s="168"/>
      <c r="L856" s="168"/>
      <c r="M856" s="168"/>
      <c r="N856" s="168"/>
      <c r="O856" s="168"/>
      <c r="P856" s="168"/>
      <c r="Q856" s="168"/>
      <c r="R856" s="168"/>
      <c r="S856" s="168"/>
      <c r="T856" s="168"/>
      <c r="U856" s="168"/>
      <c r="V856" s="168"/>
      <c r="W856" s="168"/>
      <c r="X856" s="168"/>
      <c r="Y856" s="168"/>
      <c r="Z856" s="168"/>
    </row>
    <row r="857" customFormat="false" ht="15.75" hidden="false" customHeight="false" outlineLevel="0" collapsed="false">
      <c r="A857" s="168"/>
      <c r="B857" s="168"/>
      <c r="C857" s="168"/>
      <c r="D857" s="168"/>
      <c r="E857" s="168"/>
      <c r="F857" s="168"/>
      <c r="G857" s="168"/>
      <c r="H857" s="168"/>
      <c r="I857" s="168"/>
      <c r="J857" s="168"/>
      <c r="K857" s="168"/>
      <c r="L857" s="168"/>
      <c r="M857" s="168"/>
      <c r="N857" s="168"/>
      <c r="O857" s="168"/>
      <c r="P857" s="168"/>
      <c r="Q857" s="168"/>
      <c r="R857" s="168"/>
      <c r="S857" s="168"/>
      <c r="T857" s="168"/>
      <c r="U857" s="168"/>
      <c r="V857" s="168"/>
      <c r="W857" s="168"/>
      <c r="X857" s="168"/>
      <c r="Y857" s="168"/>
      <c r="Z857" s="168"/>
    </row>
    <row r="858" customFormat="false" ht="15.75" hidden="false" customHeight="false" outlineLevel="0" collapsed="false">
      <c r="A858" s="168"/>
      <c r="B858" s="168"/>
      <c r="C858" s="168"/>
      <c r="D858" s="168"/>
      <c r="E858" s="168"/>
      <c r="F858" s="168"/>
      <c r="G858" s="168"/>
      <c r="H858" s="168"/>
      <c r="I858" s="168"/>
      <c r="J858" s="168"/>
      <c r="K858" s="168"/>
      <c r="L858" s="168"/>
      <c r="M858" s="168"/>
      <c r="N858" s="168"/>
      <c r="O858" s="168"/>
      <c r="P858" s="168"/>
      <c r="Q858" s="168"/>
      <c r="R858" s="168"/>
      <c r="S858" s="168"/>
      <c r="T858" s="168"/>
      <c r="U858" s="168"/>
      <c r="V858" s="168"/>
      <c r="W858" s="168"/>
      <c r="X858" s="168"/>
      <c r="Y858" s="168"/>
      <c r="Z858" s="168"/>
    </row>
    <row r="859" customFormat="false" ht="15.75" hidden="false" customHeight="false" outlineLevel="0" collapsed="false">
      <c r="A859" s="168"/>
      <c r="B859" s="168"/>
      <c r="C859" s="168"/>
      <c r="D859" s="168"/>
      <c r="E859" s="168"/>
      <c r="F859" s="168"/>
      <c r="G859" s="168"/>
      <c r="H859" s="168"/>
      <c r="I859" s="168"/>
      <c r="J859" s="168"/>
      <c r="K859" s="168"/>
      <c r="L859" s="168"/>
      <c r="M859" s="168"/>
      <c r="N859" s="168"/>
      <c r="O859" s="168"/>
      <c r="P859" s="168"/>
      <c r="Q859" s="168"/>
      <c r="R859" s="168"/>
      <c r="S859" s="168"/>
      <c r="T859" s="168"/>
      <c r="U859" s="168"/>
      <c r="V859" s="168"/>
      <c r="W859" s="168"/>
      <c r="X859" s="168"/>
      <c r="Y859" s="168"/>
      <c r="Z859" s="168"/>
    </row>
    <row r="860" customFormat="false" ht="15.75" hidden="false" customHeight="false" outlineLevel="0" collapsed="false">
      <c r="A860" s="168"/>
      <c r="B860" s="168"/>
      <c r="C860" s="168"/>
      <c r="D860" s="168"/>
      <c r="E860" s="168"/>
      <c r="F860" s="168"/>
      <c r="G860" s="168"/>
      <c r="H860" s="168"/>
      <c r="I860" s="168"/>
      <c r="J860" s="168"/>
      <c r="K860" s="168"/>
      <c r="L860" s="168"/>
      <c r="M860" s="168"/>
      <c r="N860" s="168"/>
      <c r="O860" s="168"/>
      <c r="P860" s="168"/>
      <c r="Q860" s="168"/>
      <c r="R860" s="168"/>
      <c r="S860" s="168"/>
      <c r="T860" s="168"/>
      <c r="U860" s="168"/>
      <c r="V860" s="168"/>
      <c r="W860" s="168"/>
      <c r="X860" s="168"/>
      <c r="Y860" s="168"/>
      <c r="Z860" s="168"/>
    </row>
    <row r="861" customFormat="false" ht="15.75" hidden="false" customHeight="false" outlineLevel="0" collapsed="false">
      <c r="A861" s="168"/>
      <c r="B861" s="168"/>
      <c r="C861" s="168"/>
      <c r="D861" s="168"/>
      <c r="E861" s="168"/>
      <c r="F861" s="168"/>
      <c r="G861" s="168"/>
      <c r="H861" s="168"/>
      <c r="I861" s="168"/>
      <c r="J861" s="168"/>
      <c r="K861" s="168"/>
      <c r="L861" s="168"/>
      <c r="M861" s="168"/>
      <c r="N861" s="168"/>
      <c r="O861" s="168"/>
      <c r="P861" s="168"/>
      <c r="Q861" s="168"/>
      <c r="R861" s="168"/>
      <c r="S861" s="168"/>
      <c r="T861" s="168"/>
      <c r="U861" s="168"/>
      <c r="V861" s="168"/>
      <c r="W861" s="168"/>
      <c r="X861" s="168"/>
      <c r="Y861" s="168"/>
      <c r="Z861" s="168"/>
    </row>
    <row r="862" customFormat="false" ht="15.75" hidden="false" customHeight="false" outlineLevel="0" collapsed="false">
      <c r="A862" s="168"/>
      <c r="B862" s="168"/>
      <c r="C862" s="168"/>
      <c r="D862" s="168"/>
      <c r="E862" s="168"/>
      <c r="F862" s="168"/>
      <c r="G862" s="168"/>
      <c r="H862" s="168"/>
      <c r="I862" s="168"/>
      <c r="J862" s="168"/>
      <c r="K862" s="168"/>
      <c r="L862" s="168"/>
      <c r="M862" s="168"/>
      <c r="N862" s="168"/>
      <c r="O862" s="168"/>
      <c r="P862" s="168"/>
      <c r="Q862" s="168"/>
      <c r="R862" s="168"/>
      <c r="S862" s="168"/>
      <c r="T862" s="168"/>
      <c r="U862" s="168"/>
      <c r="V862" s="168"/>
      <c r="W862" s="168"/>
      <c r="X862" s="168"/>
      <c r="Y862" s="168"/>
      <c r="Z862" s="168"/>
    </row>
    <row r="863" customFormat="false" ht="15.75" hidden="false" customHeight="false" outlineLevel="0" collapsed="false">
      <c r="A863" s="168"/>
      <c r="B863" s="168"/>
      <c r="C863" s="168"/>
      <c r="D863" s="168"/>
      <c r="E863" s="168"/>
      <c r="F863" s="168"/>
      <c r="G863" s="168"/>
      <c r="H863" s="168"/>
      <c r="I863" s="168"/>
      <c r="J863" s="168"/>
      <c r="K863" s="168"/>
      <c r="L863" s="168"/>
      <c r="M863" s="168"/>
      <c r="N863" s="168"/>
      <c r="O863" s="168"/>
      <c r="P863" s="168"/>
      <c r="Q863" s="168"/>
      <c r="R863" s="168"/>
      <c r="S863" s="168"/>
      <c r="T863" s="168"/>
      <c r="U863" s="168"/>
      <c r="V863" s="168"/>
      <c r="W863" s="168"/>
      <c r="X863" s="168"/>
      <c r="Y863" s="168"/>
      <c r="Z863" s="168"/>
    </row>
    <row r="864" customFormat="false" ht="15.75" hidden="false" customHeight="false" outlineLevel="0" collapsed="false">
      <c r="A864" s="168"/>
      <c r="B864" s="168"/>
      <c r="C864" s="168"/>
      <c r="D864" s="168"/>
      <c r="E864" s="168"/>
      <c r="F864" s="168"/>
      <c r="G864" s="168"/>
      <c r="H864" s="168"/>
      <c r="I864" s="168"/>
      <c r="J864" s="168"/>
      <c r="K864" s="168"/>
      <c r="L864" s="168"/>
      <c r="M864" s="168"/>
      <c r="N864" s="168"/>
      <c r="O864" s="168"/>
      <c r="P864" s="168"/>
      <c r="Q864" s="168"/>
      <c r="R864" s="168"/>
      <c r="S864" s="168"/>
      <c r="T864" s="168"/>
      <c r="U864" s="168"/>
      <c r="V864" s="168"/>
      <c r="W864" s="168"/>
      <c r="X864" s="168"/>
      <c r="Y864" s="168"/>
      <c r="Z864" s="168"/>
    </row>
    <row r="865" customFormat="false" ht="15.75" hidden="false" customHeight="false" outlineLevel="0" collapsed="false">
      <c r="A865" s="168"/>
      <c r="B865" s="168"/>
      <c r="C865" s="168"/>
      <c r="D865" s="168"/>
      <c r="E865" s="168"/>
      <c r="F865" s="168"/>
      <c r="G865" s="168"/>
      <c r="H865" s="168"/>
      <c r="I865" s="168"/>
      <c r="J865" s="168"/>
      <c r="K865" s="168"/>
      <c r="L865" s="168"/>
      <c r="M865" s="168"/>
      <c r="N865" s="168"/>
      <c r="O865" s="168"/>
      <c r="P865" s="168"/>
      <c r="Q865" s="168"/>
      <c r="R865" s="168"/>
      <c r="S865" s="168"/>
      <c r="T865" s="168"/>
      <c r="U865" s="168"/>
      <c r="V865" s="168"/>
      <c r="W865" s="168"/>
      <c r="X865" s="168"/>
      <c r="Y865" s="168"/>
      <c r="Z865" s="168"/>
    </row>
    <row r="866" customFormat="false" ht="15.75" hidden="false" customHeight="false" outlineLevel="0" collapsed="false">
      <c r="A866" s="168"/>
      <c r="B866" s="168"/>
      <c r="C866" s="168"/>
      <c r="D866" s="168"/>
      <c r="E866" s="168"/>
      <c r="F866" s="168"/>
      <c r="G866" s="168"/>
      <c r="H866" s="168"/>
      <c r="I866" s="168"/>
      <c r="J866" s="168"/>
      <c r="K866" s="168"/>
      <c r="L866" s="168"/>
      <c r="M866" s="168"/>
      <c r="N866" s="168"/>
      <c r="O866" s="168"/>
      <c r="P866" s="168"/>
      <c r="Q866" s="168"/>
      <c r="R866" s="168"/>
      <c r="S866" s="168"/>
      <c r="T866" s="168"/>
      <c r="U866" s="168"/>
      <c r="V866" s="168"/>
      <c r="W866" s="168"/>
      <c r="X866" s="168"/>
      <c r="Y866" s="168"/>
      <c r="Z866" s="168"/>
    </row>
    <row r="867" customFormat="false" ht="15.75" hidden="false" customHeight="false" outlineLevel="0" collapsed="false">
      <c r="A867" s="168"/>
      <c r="B867" s="168"/>
      <c r="C867" s="168"/>
      <c r="D867" s="168"/>
      <c r="E867" s="168"/>
      <c r="F867" s="168"/>
      <c r="G867" s="168"/>
      <c r="H867" s="168"/>
      <c r="I867" s="168"/>
      <c r="J867" s="168"/>
      <c r="K867" s="168"/>
      <c r="L867" s="168"/>
      <c r="M867" s="168"/>
      <c r="N867" s="168"/>
      <c r="O867" s="168"/>
      <c r="P867" s="168"/>
      <c r="Q867" s="168"/>
      <c r="R867" s="168"/>
      <c r="S867" s="168"/>
      <c r="T867" s="168"/>
      <c r="U867" s="168"/>
      <c r="V867" s="168"/>
      <c r="W867" s="168"/>
      <c r="X867" s="168"/>
      <c r="Y867" s="168"/>
      <c r="Z867" s="168"/>
    </row>
    <row r="868" customFormat="false" ht="15.75" hidden="false" customHeight="false" outlineLevel="0" collapsed="false">
      <c r="A868" s="168"/>
      <c r="B868" s="168"/>
      <c r="C868" s="168"/>
      <c r="D868" s="168"/>
      <c r="E868" s="168"/>
      <c r="F868" s="168"/>
      <c r="G868" s="168"/>
      <c r="H868" s="168"/>
      <c r="I868" s="168"/>
      <c r="J868" s="168"/>
      <c r="K868" s="168"/>
      <c r="L868" s="168"/>
      <c r="M868" s="168"/>
      <c r="N868" s="168"/>
      <c r="O868" s="168"/>
      <c r="P868" s="168"/>
      <c r="Q868" s="168"/>
      <c r="R868" s="168"/>
      <c r="S868" s="168"/>
      <c r="T868" s="168"/>
      <c r="U868" s="168"/>
      <c r="V868" s="168"/>
      <c r="W868" s="168"/>
      <c r="X868" s="168"/>
      <c r="Y868" s="168"/>
      <c r="Z868" s="168"/>
    </row>
    <row r="869" customFormat="false" ht="15.75" hidden="false" customHeight="false" outlineLevel="0" collapsed="false">
      <c r="A869" s="168"/>
      <c r="B869" s="168"/>
      <c r="C869" s="168"/>
      <c r="D869" s="168"/>
      <c r="E869" s="168"/>
      <c r="F869" s="168"/>
      <c r="G869" s="168"/>
      <c r="H869" s="168"/>
      <c r="I869" s="168"/>
      <c r="J869" s="168"/>
      <c r="K869" s="168"/>
      <c r="L869" s="168"/>
      <c r="M869" s="168"/>
      <c r="N869" s="168"/>
      <c r="O869" s="168"/>
      <c r="P869" s="168"/>
      <c r="Q869" s="168"/>
      <c r="R869" s="168"/>
      <c r="S869" s="168"/>
      <c r="T869" s="168"/>
      <c r="U869" s="168"/>
      <c r="V869" s="168"/>
      <c r="W869" s="168"/>
      <c r="X869" s="168"/>
      <c r="Y869" s="168"/>
      <c r="Z869" s="168"/>
    </row>
    <row r="870" customFormat="false" ht="15.75" hidden="false" customHeight="false" outlineLevel="0" collapsed="false">
      <c r="A870" s="168"/>
      <c r="B870" s="168"/>
      <c r="C870" s="168"/>
      <c r="D870" s="168"/>
      <c r="E870" s="168"/>
      <c r="F870" s="168"/>
      <c r="G870" s="168"/>
      <c r="H870" s="168"/>
      <c r="I870" s="168"/>
      <c r="J870" s="168"/>
      <c r="K870" s="168"/>
      <c r="L870" s="168"/>
      <c r="M870" s="168"/>
      <c r="N870" s="168"/>
      <c r="O870" s="168"/>
      <c r="P870" s="168"/>
      <c r="Q870" s="168"/>
      <c r="R870" s="168"/>
      <c r="S870" s="168"/>
      <c r="T870" s="168"/>
      <c r="U870" s="168"/>
      <c r="V870" s="168"/>
      <c r="W870" s="168"/>
      <c r="X870" s="168"/>
      <c r="Y870" s="168"/>
      <c r="Z870" s="168"/>
    </row>
    <row r="871" customFormat="false" ht="15.75" hidden="false" customHeight="false" outlineLevel="0" collapsed="false">
      <c r="A871" s="168"/>
      <c r="B871" s="168"/>
      <c r="C871" s="168"/>
      <c r="D871" s="168"/>
      <c r="E871" s="168"/>
      <c r="F871" s="168"/>
      <c r="G871" s="168"/>
      <c r="H871" s="168"/>
      <c r="I871" s="168"/>
      <c r="J871" s="168"/>
      <c r="K871" s="168"/>
      <c r="L871" s="168"/>
      <c r="M871" s="168"/>
      <c r="N871" s="168"/>
      <c r="O871" s="168"/>
      <c r="P871" s="168"/>
      <c r="Q871" s="168"/>
      <c r="R871" s="168"/>
      <c r="S871" s="168"/>
      <c r="T871" s="168"/>
      <c r="U871" s="168"/>
      <c r="V871" s="168"/>
      <c r="W871" s="168"/>
      <c r="X871" s="168"/>
      <c r="Y871" s="168"/>
      <c r="Z871" s="168"/>
    </row>
    <row r="872" customFormat="false" ht="15.75" hidden="false" customHeight="false" outlineLevel="0" collapsed="false">
      <c r="A872" s="168"/>
      <c r="B872" s="168"/>
      <c r="C872" s="168"/>
      <c r="D872" s="168"/>
      <c r="E872" s="168"/>
      <c r="F872" s="168"/>
      <c r="G872" s="168"/>
      <c r="H872" s="168"/>
      <c r="I872" s="168"/>
      <c r="J872" s="168"/>
      <c r="K872" s="168"/>
      <c r="L872" s="168"/>
      <c r="M872" s="168"/>
      <c r="N872" s="168"/>
      <c r="O872" s="168"/>
      <c r="P872" s="168"/>
      <c r="Q872" s="168"/>
      <c r="R872" s="168"/>
      <c r="S872" s="168"/>
      <c r="T872" s="168"/>
      <c r="U872" s="168"/>
      <c r="V872" s="168"/>
      <c r="W872" s="168"/>
      <c r="X872" s="168"/>
      <c r="Y872" s="168"/>
      <c r="Z872" s="168"/>
    </row>
    <row r="873" customFormat="false" ht="15.75" hidden="false" customHeight="false" outlineLevel="0" collapsed="false">
      <c r="A873" s="168"/>
      <c r="B873" s="168"/>
      <c r="C873" s="168"/>
      <c r="D873" s="168"/>
      <c r="E873" s="168"/>
      <c r="F873" s="168"/>
      <c r="G873" s="168"/>
      <c r="H873" s="168"/>
      <c r="I873" s="168"/>
      <c r="J873" s="168"/>
      <c r="K873" s="168"/>
      <c r="L873" s="168"/>
      <c r="M873" s="168"/>
      <c r="N873" s="168"/>
      <c r="O873" s="168"/>
      <c r="P873" s="168"/>
      <c r="Q873" s="168"/>
      <c r="R873" s="168"/>
      <c r="S873" s="168"/>
      <c r="T873" s="168"/>
      <c r="U873" s="168"/>
      <c r="V873" s="168"/>
      <c r="W873" s="168"/>
      <c r="X873" s="168"/>
      <c r="Y873" s="168"/>
      <c r="Z873" s="168"/>
    </row>
    <row r="874" customFormat="false" ht="15.75" hidden="false" customHeight="false" outlineLevel="0" collapsed="false">
      <c r="A874" s="168"/>
      <c r="B874" s="168"/>
      <c r="C874" s="168"/>
      <c r="D874" s="168"/>
      <c r="E874" s="168"/>
      <c r="F874" s="168"/>
      <c r="G874" s="168"/>
      <c r="H874" s="168"/>
      <c r="I874" s="168"/>
      <c r="J874" s="168"/>
      <c r="K874" s="168"/>
      <c r="L874" s="168"/>
      <c r="M874" s="168"/>
      <c r="N874" s="168"/>
      <c r="O874" s="168"/>
      <c r="P874" s="168"/>
      <c r="Q874" s="168"/>
      <c r="R874" s="168"/>
      <c r="S874" s="168"/>
      <c r="T874" s="168"/>
      <c r="U874" s="168"/>
      <c r="V874" s="168"/>
      <c r="W874" s="168"/>
      <c r="X874" s="168"/>
      <c r="Y874" s="168"/>
      <c r="Z874" s="168"/>
    </row>
    <row r="875" customFormat="false" ht="15.75" hidden="false" customHeight="false" outlineLevel="0" collapsed="false">
      <c r="A875" s="168"/>
      <c r="B875" s="168"/>
      <c r="C875" s="168"/>
      <c r="D875" s="168"/>
      <c r="E875" s="168"/>
      <c r="F875" s="168"/>
      <c r="G875" s="168"/>
      <c r="H875" s="168"/>
      <c r="I875" s="168"/>
      <c r="J875" s="168"/>
      <c r="K875" s="168"/>
      <c r="L875" s="168"/>
      <c r="M875" s="168"/>
      <c r="N875" s="168"/>
      <c r="O875" s="168"/>
      <c r="P875" s="168"/>
      <c r="Q875" s="168"/>
      <c r="R875" s="168"/>
      <c r="S875" s="168"/>
      <c r="T875" s="168"/>
      <c r="U875" s="168"/>
      <c r="V875" s="168"/>
      <c r="W875" s="168"/>
      <c r="X875" s="168"/>
      <c r="Y875" s="168"/>
      <c r="Z875" s="168"/>
    </row>
    <row r="876" customFormat="false" ht="15.75" hidden="false" customHeight="false" outlineLevel="0" collapsed="false">
      <c r="A876" s="168"/>
      <c r="B876" s="168"/>
      <c r="C876" s="168"/>
      <c r="D876" s="168"/>
      <c r="E876" s="168"/>
      <c r="F876" s="168"/>
      <c r="G876" s="168"/>
      <c r="H876" s="168"/>
      <c r="I876" s="168"/>
      <c r="J876" s="168"/>
      <c r="K876" s="168"/>
      <c r="L876" s="168"/>
      <c r="M876" s="168"/>
      <c r="N876" s="168"/>
      <c r="O876" s="168"/>
      <c r="P876" s="168"/>
      <c r="Q876" s="168"/>
      <c r="R876" s="168"/>
      <c r="S876" s="168"/>
      <c r="T876" s="168"/>
      <c r="U876" s="168"/>
      <c r="V876" s="168"/>
      <c r="W876" s="168"/>
      <c r="X876" s="168"/>
      <c r="Y876" s="168"/>
      <c r="Z876" s="168"/>
    </row>
    <row r="877" customFormat="false" ht="15.75" hidden="false" customHeight="false" outlineLevel="0" collapsed="false">
      <c r="A877" s="168"/>
      <c r="B877" s="168"/>
      <c r="C877" s="168"/>
      <c r="D877" s="168"/>
      <c r="E877" s="168"/>
      <c r="F877" s="168"/>
      <c r="G877" s="168"/>
      <c r="H877" s="168"/>
      <c r="I877" s="168"/>
      <c r="J877" s="168"/>
      <c r="K877" s="168"/>
      <c r="L877" s="168"/>
      <c r="M877" s="168"/>
      <c r="N877" s="168"/>
      <c r="O877" s="168"/>
      <c r="P877" s="168"/>
      <c r="Q877" s="168"/>
      <c r="R877" s="168"/>
      <c r="S877" s="168"/>
      <c r="T877" s="168"/>
      <c r="U877" s="168"/>
      <c r="V877" s="168"/>
      <c r="W877" s="168"/>
      <c r="X877" s="168"/>
      <c r="Y877" s="168"/>
      <c r="Z877" s="168"/>
    </row>
    <row r="878" customFormat="false" ht="15.75" hidden="false" customHeight="false" outlineLevel="0" collapsed="false">
      <c r="A878" s="168"/>
      <c r="B878" s="168"/>
      <c r="C878" s="168"/>
      <c r="D878" s="168"/>
      <c r="E878" s="168"/>
      <c r="F878" s="168"/>
      <c r="G878" s="168"/>
      <c r="H878" s="168"/>
      <c r="I878" s="168"/>
      <c r="J878" s="168"/>
      <c r="K878" s="168"/>
      <c r="L878" s="168"/>
      <c r="M878" s="168"/>
      <c r="N878" s="168"/>
      <c r="O878" s="168"/>
      <c r="P878" s="168"/>
      <c r="Q878" s="168"/>
      <c r="R878" s="168"/>
      <c r="S878" s="168"/>
      <c r="T878" s="168"/>
      <c r="U878" s="168"/>
      <c r="V878" s="168"/>
      <c r="W878" s="168"/>
      <c r="X878" s="168"/>
      <c r="Y878" s="168"/>
      <c r="Z878" s="168"/>
    </row>
    <row r="879" customFormat="false" ht="15.75" hidden="false" customHeight="false" outlineLevel="0" collapsed="false">
      <c r="A879" s="168"/>
      <c r="B879" s="168"/>
      <c r="C879" s="168"/>
      <c r="D879" s="168"/>
      <c r="E879" s="168"/>
      <c r="F879" s="168"/>
      <c r="G879" s="168"/>
      <c r="H879" s="168"/>
      <c r="I879" s="168"/>
      <c r="J879" s="168"/>
      <c r="K879" s="168"/>
      <c r="L879" s="168"/>
      <c r="M879" s="168"/>
      <c r="N879" s="168"/>
      <c r="O879" s="168"/>
      <c r="P879" s="168"/>
      <c r="Q879" s="168"/>
      <c r="R879" s="168"/>
      <c r="S879" s="168"/>
      <c r="T879" s="168"/>
      <c r="U879" s="168"/>
      <c r="V879" s="168"/>
      <c r="W879" s="168"/>
      <c r="X879" s="168"/>
      <c r="Y879" s="168"/>
      <c r="Z879" s="168"/>
    </row>
    <row r="880" customFormat="false" ht="15.75" hidden="false" customHeight="false" outlineLevel="0" collapsed="false">
      <c r="A880" s="168"/>
      <c r="B880" s="168"/>
      <c r="C880" s="168"/>
      <c r="D880" s="168"/>
      <c r="E880" s="168"/>
      <c r="F880" s="168"/>
      <c r="G880" s="168"/>
      <c r="H880" s="168"/>
      <c r="I880" s="168"/>
      <c r="J880" s="168"/>
      <c r="K880" s="168"/>
      <c r="L880" s="168"/>
      <c r="M880" s="168"/>
      <c r="N880" s="168"/>
      <c r="O880" s="168"/>
      <c r="P880" s="168"/>
      <c r="Q880" s="168"/>
      <c r="R880" s="168"/>
      <c r="S880" s="168"/>
      <c r="T880" s="168"/>
      <c r="U880" s="168"/>
      <c r="V880" s="168"/>
      <c r="W880" s="168"/>
      <c r="X880" s="168"/>
      <c r="Y880" s="168"/>
      <c r="Z880" s="168"/>
    </row>
    <row r="881" customFormat="false" ht="15.75" hidden="false" customHeight="false" outlineLevel="0" collapsed="false">
      <c r="A881" s="168"/>
      <c r="B881" s="168"/>
      <c r="C881" s="168"/>
      <c r="D881" s="168"/>
      <c r="E881" s="168"/>
      <c r="F881" s="168"/>
      <c r="G881" s="168"/>
      <c r="H881" s="168"/>
      <c r="I881" s="168"/>
      <c r="J881" s="168"/>
      <c r="K881" s="168"/>
      <c r="L881" s="168"/>
      <c r="M881" s="168"/>
      <c r="N881" s="168"/>
      <c r="O881" s="168"/>
      <c r="P881" s="168"/>
      <c r="Q881" s="168"/>
      <c r="R881" s="168"/>
      <c r="S881" s="168"/>
      <c r="T881" s="168"/>
      <c r="U881" s="168"/>
      <c r="V881" s="168"/>
      <c r="W881" s="168"/>
      <c r="X881" s="168"/>
      <c r="Y881" s="168"/>
      <c r="Z881" s="168"/>
    </row>
    <row r="882" customFormat="false" ht="15.75" hidden="false" customHeight="false" outlineLevel="0" collapsed="false">
      <c r="A882" s="168"/>
      <c r="B882" s="168"/>
      <c r="C882" s="168"/>
      <c r="D882" s="168"/>
      <c r="E882" s="168"/>
      <c r="F882" s="168"/>
      <c r="G882" s="168"/>
      <c r="H882" s="168"/>
      <c r="I882" s="168"/>
      <c r="J882" s="168"/>
      <c r="K882" s="168"/>
      <c r="L882" s="168"/>
      <c r="M882" s="168"/>
      <c r="N882" s="168"/>
      <c r="O882" s="168"/>
      <c r="P882" s="168"/>
      <c r="Q882" s="168"/>
      <c r="R882" s="168"/>
      <c r="S882" s="168"/>
      <c r="T882" s="168"/>
      <c r="U882" s="168"/>
      <c r="V882" s="168"/>
      <c r="W882" s="168"/>
      <c r="X882" s="168"/>
      <c r="Y882" s="168"/>
      <c r="Z882" s="168"/>
    </row>
    <row r="883" customFormat="false" ht="15.75" hidden="false" customHeight="false" outlineLevel="0" collapsed="false">
      <c r="A883" s="168"/>
      <c r="B883" s="168"/>
      <c r="C883" s="168"/>
      <c r="D883" s="168"/>
      <c r="E883" s="168"/>
      <c r="F883" s="168"/>
      <c r="G883" s="168"/>
      <c r="H883" s="168"/>
      <c r="I883" s="168"/>
      <c r="J883" s="168"/>
      <c r="K883" s="168"/>
      <c r="L883" s="168"/>
      <c r="M883" s="168"/>
      <c r="N883" s="168"/>
      <c r="O883" s="168"/>
      <c r="P883" s="168"/>
      <c r="Q883" s="168"/>
      <c r="R883" s="168"/>
      <c r="S883" s="168"/>
      <c r="T883" s="168"/>
      <c r="U883" s="168"/>
      <c r="V883" s="168"/>
      <c r="W883" s="168"/>
      <c r="X883" s="168"/>
      <c r="Y883" s="168"/>
      <c r="Z883" s="168"/>
    </row>
    <row r="884" customFormat="false" ht="15.75" hidden="false" customHeight="false" outlineLevel="0" collapsed="false">
      <c r="A884" s="168"/>
      <c r="B884" s="168"/>
      <c r="C884" s="168"/>
      <c r="D884" s="168"/>
      <c r="E884" s="168"/>
      <c r="F884" s="168"/>
      <c r="G884" s="168"/>
      <c r="H884" s="168"/>
      <c r="I884" s="168"/>
      <c r="J884" s="168"/>
      <c r="K884" s="168"/>
      <c r="L884" s="168"/>
      <c r="M884" s="168"/>
      <c r="N884" s="168"/>
      <c r="O884" s="168"/>
      <c r="P884" s="168"/>
      <c r="Q884" s="168"/>
      <c r="R884" s="168"/>
      <c r="S884" s="168"/>
      <c r="T884" s="168"/>
      <c r="U884" s="168"/>
      <c r="V884" s="168"/>
      <c r="W884" s="168"/>
      <c r="X884" s="168"/>
      <c r="Y884" s="168"/>
      <c r="Z884" s="168"/>
    </row>
    <row r="885" customFormat="false" ht="15.75" hidden="false" customHeight="false" outlineLevel="0" collapsed="false">
      <c r="A885" s="168"/>
      <c r="B885" s="168"/>
      <c r="C885" s="168"/>
      <c r="D885" s="168"/>
      <c r="E885" s="168"/>
      <c r="F885" s="168"/>
      <c r="G885" s="168"/>
      <c r="H885" s="168"/>
      <c r="I885" s="168"/>
      <c r="J885" s="168"/>
      <c r="K885" s="168"/>
      <c r="L885" s="168"/>
      <c r="M885" s="168"/>
      <c r="N885" s="168"/>
      <c r="O885" s="168"/>
      <c r="P885" s="168"/>
      <c r="Q885" s="168"/>
      <c r="R885" s="168"/>
      <c r="S885" s="168"/>
      <c r="T885" s="168"/>
      <c r="U885" s="168"/>
      <c r="V885" s="168"/>
      <c r="W885" s="168"/>
      <c r="X885" s="168"/>
      <c r="Y885" s="168"/>
      <c r="Z885" s="168"/>
    </row>
    <row r="886" customFormat="false" ht="15.75" hidden="false" customHeight="false" outlineLevel="0" collapsed="false">
      <c r="A886" s="168"/>
      <c r="B886" s="168"/>
      <c r="C886" s="168"/>
      <c r="D886" s="168"/>
      <c r="E886" s="168"/>
      <c r="F886" s="168"/>
      <c r="G886" s="168"/>
      <c r="H886" s="168"/>
      <c r="I886" s="168"/>
      <c r="J886" s="168"/>
      <c r="K886" s="168"/>
      <c r="L886" s="168"/>
      <c r="M886" s="168"/>
      <c r="N886" s="168"/>
      <c r="O886" s="168"/>
      <c r="P886" s="168"/>
      <c r="Q886" s="168"/>
      <c r="R886" s="168"/>
      <c r="S886" s="168"/>
      <c r="T886" s="168"/>
      <c r="U886" s="168"/>
      <c r="V886" s="168"/>
      <c r="W886" s="168"/>
      <c r="X886" s="168"/>
      <c r="Y886" s="168"/>
      <c r="Z886" s="168"/>
    </row>
    <row r="887" customFormat="false" ht="15.75" hidden="false" customHeight="false" outlineLevel="0" collapsed="false">
      <c r="A887" s="168"/>
      <c r="B887" s="168"/>
      <c r="C887" s="168"/>
      <c r="D887" s="168"/>
      <c r="E887" s="168"/>
      <c r="F887" s="168"/>
      <c r="G887" s="168"/>
      <c r="H887" s="168"/>
      <c r="I887" s="168"/>
      <c r="J887" s="168"/>
      <c r="K887" s="168"/>
      <c r="L887" s="168"/>
      <c r="M887" s="168"/>
      <c r="N887" s="168"/>
      <c r="O887" s="168"/>
      <c r="P887" s="168"/>
      <c r="Q887" s="168"/>
      <c r="R887" s="168"/>
      <c r="S887" s="168"/>
      <c r="T887" s="168"/>
      <c r="U887" s="168"/>
      <c r="V887" s="168"/>
      <c r="W887" s="168"/>
      <c r="X887" s="168"/>
      <c r="Y887" s="168"/>
      <c r="Z887" s="168"/>
    </row>
    <row r="888" customFormat="false" ht="15.75" hidden="false" customHeight="false" outlineLevel="0" collapsed="false">
      <c r="A888" s="168"/>
      <c r="B888" s="168"/>
      <c r="C888" s="168"/>
      <c r="D888" s="168"/>
      <c r="E888" s="168"/>
      <c r="F888" s="168"/>
      <c r="G888" s="168"/>
      <c r="H888" s="168"/>
      <c r="I888" s="168"/>
      <c r="J888" s="168"/>
      <c r="K888" s="168"/>
      <c r="L888" s="168"/>
      <c r="M888" s="168"/>
      <c r="N888" s="168"/>
      <c r="O888" s="168"/>
      <c r="P888" s="168"/>
      <c r="Q888" s="168"/>
      <c r="R888" s="168"/>
      <c r="S888" s="168"/>
      <c r="T888" s="168"/>
      <c r="U888" s="168"/>
      <c r="V888" s="168"/>
      <c r="W888" s="168"/>
      <c r="X888" s="168"/>
      <c r="Y888" s="168"/>
      <c r="Z888" s="168"/>
    </row>
    <row r="889" customFormat="false" ht="15.75" hidden="false" customHeight="false" outlineLevel="0" collapsed="false">
      <c r="A889" s="168"/>
      <c r="B889" s="168"/>
      <c r="C889" s="168"/>
      <c r="D889" s="168"/>
      <c r="E889" s="168"/>
      <c r="F889" s="168"/>
      <c r="G889" s="168"/>
      <c r="H889" s="168"/>
      <c r="I889" s="168"/>
      <c r="J889" s="168"/>
      <c r="K889" s="168"/>
      <c r="L889" s="168"/>
      <c r="M889" s="168"/>
      <c r="N889" s="168"/>
      <c r="O889" s="168"/>
      <c r="P889" s="168"/>
      <c r="Q889" s="168"/>
      <c r="R889" s="168"/>
      <c r="S889" s="168"/>
      <c r="T889" s="168"/>
      <c r="U889" s="168"/>
      <c r="V889" s="168"/>
      <c r="W889" s="168"/>
      <c r="X889" s="168"/>
      <c r="Y889" s="168"/>
      <c r="Z889" s="168"/>
    </row>
    <row r="890" customFormat="false" ht="15.75" hidden="false" customHeight="false" outlineLevel="0" collapsed="false">
      <c r="A890" s="168"/>
      <c r="B890" s="168"/>
      <c r="C890" s="168"/>
      <c r="D890" s="168"/>
      <c r="E890" s="168"/>
      <c r="F890" s="168"/>
      <c r="G890" s="168"/>
      <c r="H890" s="168"/>
      <c r="I890" s="168"/>
      <c r="J890" s="168"/>
      <c r="K890" s="168"/>
      <c r="L890" s="168"/>
      <c r="M890" s="168"/>
      <c r="N890" s="168"/>
      <c r="O890" s="168"/>
      <c r="P890" s="168"/>
      <c r="Q890" s="168"/>
      <c r="R890" s="168"/>
      <c r="S890" s="168"/>
      <c r="T890" s="168"/>
      <c r="U890" s="168"/>
      <c r="V890" s="168"/>
      <c r="W890" s="168"/>
      <c r="X890" s="168"/>
      <c r="Y890" s="168"/>
      <c r="Z890" s="168"/>
    </row>
    <row r="891" customFormat="false" ht="15.75" hidden="false" customHeight="false" outlineLevel="0" collapsed="false">
      <c r="A891" s="168"/>
      <c r="B891" s="168"/>
      <c r="C891" s="168"/>
      <c r="D891" s="168"/>
      <c r="E891" s="168"/>
      <c r="F891" s="168"/>
      <c r="G891" s="168"/>
      <c r="H891" s="168"/>
      <c r="I891" s="168"/>
      <c r="J891" s="168"/>
      <c r="K891" s="168"/>
      <c r="L891" s="168"/>
      <c r="M891" s="168"/>
      <c r="N891" s="168"/>
      <c r="O891" s="168"/>
      <c r="P891" s="168"/>
      <c r="Q891" s="168"/>
      <c r="R891" s="168"/>
      <c r="S891" s="168"/>
      <c r="T891" s="168"/>
      <c r="U891" s="168"/>
      <c r="V891" s="168"/>
      <c r="W891" s="168"/>
      <c r="X891" s="168"/>
      <c r="Y891" s="168"/>
      <c r="Z891" s="168"/>
    </row>
    <row r="892" customFormat="false" ht="15.75" hidden="false" customHeight="false" outlineLevel="0" collapsed="false">
      <c r="A892" s="168"/>
      <c r="B892" s="168"/>
      <c r="C892" s="168"/>
      <c r="D892" s="168"/>
      <c r="E892" s="168"/>
      <c r="F892" s="168"/>
      <c r="G892" s="168"/>
      <c r="H892" s="168"/>
      <c r="I892" s="168"/>
      <c r="J892" s="168"/>
      <c r="K892" s="168"/>
      <c r="L892" s="168"/>
      <c r="M892" s="168"/>
      <c r="N892" s="168"/>
      <c r="O892" s="168"/>
      <c r="P892" s="168"/>
      <c r="Q892" s="168"/>
      <c r="R892" s="168"/>
      <c r="S892" s="168"/>
      <c r="T892" s="168"/>
      <c r="U892" s="168"/>
      <c r="V892" s="168"/>
      <c r="W892" s="168"/>
      <c r="X892" s="168"/>
      <c r="Y892" s="168"/>
      <c r="Z892" s="168"/>
    </row>
    <row r="893" customFormat="false" ht="15.75" hidden="false" customHeight="false" outlineLevel="0" collapsed="false">
      <c r="A893" s="168"/>
      <c r="B893" s="168"/>
      <c r="C893" s="168"/>
      <c r="D893" s="168"/>
      <c r="E893" s="168"/>
      <c r="F893" s="168"/>
      <c r="G893" s="168"/>
      <c r="H893" s="168"/>
      <c r="I893" s="168"/>
      <c r="J893" s="168"/>
      <c r="K893" s="168"/>
      <c r="L893" s="168"/>
      <c r="M893" s="168"/>
      <c r="N893" s="168"/>
      <c r="O893" s="168"/>
      <c r="P893" s="168"/>
      <c r="Q893" s="168"/>
      <c r="R893" s="168"/>
      <c r="S893" s="168"/>
      <c r="T893" s="168"/>
      <c r="U893" s="168"/>
      <c r="V893" s="168"/>
      <c r="W893" s="168"/>
      <c r="X893" s="168"/>
      <c r="Y893" s="168"/>
      <c r="Z893" s="168"/>
    </row>
    <row r="894" customFormat="false" ht="15.75" hidden="false" customHeight="false" outlineLevel="0" collapsed="false">
      <c r="A894" s="168"/>
      <c r="B894" s="168"/>
      <c r="C894" s="168"/>
      <c r="D894" s="168"/>
      <c r="E894" s="168"/>
      <c r="F894" s="168"/>
      <c r="G894" s="168"/>
      <c r="H894" s="168"/>
      <c r="I894" s="168"/>
      <c r="J894" s="168"/>
      <c r="K894" s="168"/>
      <c r="L894" s="168"/>
      <c r="M894" s="168"/>
      <c r="N894" s="168"/>
      <c r="O894" s="168"/>
      <c r="P894" s="168"/>
      <c r="Q894" s="168"/>
      <c r="R894" s="168"/>
      <c r="S894" s="168"/>
      <c r="T894" s="168"/>
      <c r="U894" s="168"/>
      <c r="V894" s="168"/>
      <c r="W894" s="168"/>
      <c r="X894" s="168"/>
      <c r="Y894" s="168"/>
      <c r="Z894" s="168"/>
    </row>
    <row r="895" customFormat="false" ht="15.75" hidden="false" customHeight="false" outlineLevel="0" collapsed="false">
      <c r="A895" s="168"/>
      <c r="B895" s="168"/>
      <c r="C895" s="168"/>
      <c r="D895" s="168"/>
      <c r="E895" s="168"/>
      <c r="F895" s="168"/>
      <c r="G895" s="168"/>
      <c r="H895" s="168"/>
      <c r="I895" s="168"/>
      <c r="J895" s="168"/>
      <c r="K895" s="168"/>
      <c r="L895" s="168"/>
      <c r="M895" s="168"/>
      <c r="N895" s="168"/>
      <c r="O895" s="168"/>
      <c r="P895" s="168"/>
      <c r="Q895" s="168"/>
      <c r="R895" s="168"/>
      <c r="S895" s="168"/>
      <c r="T895" s="168"/>
      <c r="U895" s="168"/>
      <c r="V895" s="168"/>
      <c r="W895" s="168"/>
      <c r="X895" s="168"/>
      <c r="Y895" s="168"/>
      <c r="Z895" s="168"/>
    </row>
    <row r="896" customFormat="false" ht="15.75" hidden="false" customHeight="false" outlineLevel="0" collapsed="false">
      <c r="A896" s="168"/>
      <c r="B896" s="168"/>
      <c r="C896" s="168"/>
      <c r="D896" s="168"/>
      <c r="E896" s="168"/>
      <c r="F896" s="168"/>
      <c r="G896" s="168"/>
      <c r="H896" s="168"/>
      <c r="I896" s="168"/>
      <c r="J896" s="168"/>
      <c r="K896" s="168"/>
      <c r="L896" s="168"/>
      <c r="M896" s="168"/>
      <c r="N896" s="168"/>
      <c r="O896" s="168"/>
      <c r="P896" s="168"/>
      <c r="Q896" s="168"/>
      <c r="R896" s="168"/>
      <c r="S896" s="168"/>
      <c r="T896" s="168"/>
      <c r="U896" s="168"/>
      <c r="V896" s="168"/>
      <c r="W896" s="168"/>
      <c r="X896" s="168"/>
      <c r="Y896" s="168"/>
      <c r="Z896" s="168"/>
    </row>
    <row r="897" customFormat="false" ht="15.75" hidden="false" customHeight="false" outlineLevel="0" collapsed="false">
      <c r="A897" s="168"/>
      <c r="B897" s="168"/>
      <c r="C897" s="168"/>
      <c r="D897" s="168"/>
      <c r="E897" s="168"/>
      <c r="F897" s="168"/>
      <c r="G897" s="168"/>
      <c r="H897" s="168"/>
      <c r="I897" s="168"/>
      <c r="J897" s="168"/>
      <c r="K897" s="168"/>
      <c r="L897" s="168"/>
      <c r="M897" s="168"/>
      <c r="N897" s="168"/>
      <c r="O897" s="168"/>
      <c r="P897" s="168"/>
      <c r="Q897" s="168"/>
      <c r="R897" s="168"/>
      <c r="S897" s="168"/>
      <c r="T897" s="168"/>
      <c r="U897" s="168"/>
      <c r="V897" s="168"/>
      <c r="W897" s="168"/>
      <c r="X897" s="168"/>
      <c r="Y897" s="168"/>
      <c r="Z897" s="168"/>
    </row>
    <row r="898" customFormat="false" ht="15.75" hidden="false" customHeight="false" outlineLevel="0" collapsed="false">
      <c r="A898" s="168"/>
      <c r="B898" s="168"/>
      <c r="C898" s="168"/>
      <c r="D898" s="168"/>
      <c r="E898" s="168"/>
      <c r="F898" s="168"/>
      <c r="G898" s="168"/>
      <c r="H898" s="168"/>
      <c r="I898" s="168"/>
      <c r="J898" s="168"/>
      <c r="K898" s="168"/>
      <c r="L898" s="168"/>
      <c r="M898" s="168"/>
      <c r="N898" s="168"/>
      <c r="O898" s="168"/>
      <c r="P898" s="168"/>
      <c r="Q898" s="168"/>
      <c r="R898" s="168"/>
      <c r="S898" s="168"/>
      <c r="T898" s="168"/>
      <c r="U898" s="168"/>
      <c r="V898" s="168"/>
      <c r="W898" s="168"/>
      <c r="X898" s="168"/>
      <c r="Y898" s="168"/>
      <c r="Z898" s="168"/>
    </row>
    <row r="899" customFormat="false" ht="15.75" hidden="false" customHeight="false" outlineLevel="0" collapsed="false">
      <c r="A899" s="168"/>
      <c r="B899" s="168"/>
      <c r="C899" s="168"/>
      <c r="D899" s="168"/>
      <c r="E899" s="168"/>
      <c r="F899" s="168"/>
      <c r="G899" s="168"/>
      <c r="H899" s="168"/>
      <c r="I899" s="168"/>
      <c r="J899" s="168"/>
      <c r="K899" s="168"/>
      <c r="L899" s="168"/>
      <c r="M899" s="168"/>
      <c r="N899" s="168"/>
      <c r="O899" s="168"/>
      <c r="P899" s="168"/>
      <c r="Q899" s="168"/>
      <c r="R899" s="168"/>
      <c r="S899" s="168"/>
      <c r="T899" s="168"/>
      <c r="U899" s="168"/>
      <c r="V899" s="168"/>
      <c r="W899" s="168"/>
      <c r="X899" s="168"/>
      <c r="Y899" s="168"/>
      <c r="Z899" s="168"/>
    </row>
    <row r="900" customFormat="false" ht="15.75" hidden="false" customHeight="false" outlineLevel="0" collapsed="false">
      <c r="A900" s="168"/>
      <c r="B900" s="168"/>
      <c r="C900" s="168"/>
      <c r="D900" s="168"/>
      <c r="E900" s="168"/>
      <c r="F900" s="168"/>
      <c r="G900" s="168"/>
      <c r="H900" s="168"/>
      <c r="I900" s="168"/>
      <c r="J900" s="168"/>
      <c r="K900" s="168"/>
      <c r="L900" s="168"/>
      <c r="M900" s="168"/>
      <c r="N900" s="168"/>
      <c r="O900" s="168"/>
      <c r="P900" s="168"/>
      <c r="Q900" s="168"/>
      <c r="R900" s="168"/>
      <c r="S900" s="168"/>
      <c r="T900" s="168"/>
      <c r="U900" s="168"/>
      <c r="V900" s="168"/>
      <c r="W900" s="168"/>
      <c r="X900" s="168"/>
      <c r="Y900" s="168"/>
      <c r="Z900" s="168"/>
    </row>
    <row r="901" customFormat="false" ht="15.75" hidden="false" customHeight="false" outlineLevel="0" collapsed="false">
      <c r="A901" s="168"/>
      <c r="B901" s="168"/>
      <c r="C901" s="168"/>
      <c r="D901" s="168"/>
      <c r="E901" s="168"/>
      <c r="F901" s="168"/>
      <c r="G901" s="168"/>
      <c r="H901" s="168"/>
      <c r="I901" s="168"/>
      <c r="J901" s="168"/>
      <c r="K901" s="168"/>
      <c r="L901" s="168"/>
      <c r="M901" s="168"/>
      <c r="N901" s="168"/>
      <c r="O901" s="168"/>
      <c r="P901" s="168"/>
      <c r="Q901" s="168"/>
      <c r="R901" s="168"/>
      <c r="S901" s="168"/>
      <c r="T901" s="168"/>
      <c r="U901" s="168"/>
      <c r="V901" s="168"/>
      <c r="W901" s="168"/>
      <c r="X901" s="168"/>
      <c r="Y901" s="168"/>
      <c r="Z901" s="168"/>
    </row>
    <row r="902" customFormat="false" ht="15.75" hidden="false" customHeight="false" outlineLevel="0" collapsed="false">
      <c r="A902" s="168"/>
      <c r="B902" s="168"/>
      <c r="C902" s="168"/>
      <c r="D902" s="168"/>
      <c r="E902" s="168"/>
      <c r="F902" s="168"/>
      <c r="G902" s="168"/>
      <c r="H902" s="168"/>
      <c r="I902" s="168"/>
      <c r="J902" s="168"/>
      <c r="K902" s="168"/>
      <c r="L902" s="168"/>
      <c r="M902" s="168"/>
      <c r="N902" s="168"/>
      <c r="O902" s="168"/>
      <c r="P902" s="168"/>
      <c r="Q902" s="168"/>
      <c r="R902" s="168"/>
      <c r="S902" s="168"/>
      <c r="T902" s="168"/>
      <c r="U902" s="168"/>
      <c r="V902" s="168"/>
      <c r="W902" s="168"/>
      <c r="X902" s="168"/>
      <c r="Y902" s="168"/>
      <c r="Z902" s="168"/>
    </row>
    <row r="903" customFormat="false" ht="15.75" hidden="false" customHeight="false" outlineLevel="0" collapsed="false">
      <c r="A903" s="168"/>
      <c r="B903" s="168"/>
      <c r="C903" s="168"/>
      <c r="D903" s="168"/>
      <c r="E903" s="168"/>
      <c r="F903" s="168"/>
      <c r="G903" s="168"/>
      <c r="H903" s="168"/>
      <c r="I903" s="168"/>
      <c r="J903" s="168"/>
      <c r="K903" s="168"/>
      <c r="L903" s="168"/>
      <c r="M903" s="168"/>
      <c r="N903" s="168"/>
      <c r="O903" s="168"/>
      <c r="P903" s="168"/>
      <c r="Q903" s="168"/>
      <c r="R903" s="168"/>
      <c r="S903" s="168"/>
      <c r="T903" s="168"/>
      <c r="U903" s="168"/>
      <c r="V903" s="168"/>
      <c r="W903" s="168"/>
      <c r="X903" s="168"/>
      <c r="Y903" s="168"/>
      <c r="Z903" s="168"/>
    </row>
    <row r="904" customFormat="false" ht="15.75" hidden="false" customHeight="false" outlineLevel="0" collapsed="false">
      <c r="A904" s="168"/>
      <c r="B904" s="168"/>
      <c r="C904" s="168"/>
      <c r="D904" s="168"/>
      <c r="E904" s="168"/>
      <c r="F904" s="168"/>
      <c r="G904" s="168"/>
      <c r="H904" s="168"/>
      <c r="I904" s="168"/>
      <c r="J904" s="168"/>
      <c r="K904" s="168"/>
      <c r="L904" s="168"/>
      <c r="M904" s="168"/>
      <c r="N904" s="168"/>
      <c r="O904" s="168"/>
      <c r="P904" s="168"/>
      <c r="Q904" s="168"/>
      <c r="R904" s="168"/>
      <c r="S904" s="168"/>
      <c r="T904" s="168"/>
      <c r="U904" s="168"/>
      <c r="V904" s="168"/>
      <c r="W904" s="168"/>
      <c r="X904" s="168"/>
      <c r="Y904" s="168"/>
      <c r="Z904" s="168"/>
    </row>
    <row r="905" customFormat="false" ht="15.75" hidden="false" customHeight="false" outlineLevel="0" collapsed="false">
      <c r="A905" s="168"/>
      <c r="B905" s="168"/>
      <c r="C905" s="168"/>
      <c r="D905" s="168"/>
      <c r="E905" s="168"/>
      <c r="F905" s="168"/>
      <c r="G905" s="168"/>
      <c r="H905" s="168"/>
      <c r="I905" s="168"/>
      <c r="J905" s="168"/>
      <c r="K905" s="168"/>
      <c r="L905" s="168"/>
      <c r="M905" s="168"/>
      <c r="N905" s="168"/>
      <c r="O905" s="168"/>
      <c r="P905" s="168"/>
      <c r="Q905" s="168"/>
      <c r="R905" s="168"/>
      <c r="S905" s="168"/>
      <c r="T905" s="168"/>
      <c r="U905" s="168"/>
      <c r="V905" s="168"/>
      <c r="W905" s="168"/>
      <c r="X905" s="168"/>
      <c r="Y905" s="168"/>
      <c r="Z905" s="168"/>
    </row>
    <row r="906" customFormat="false" ht="15.75" hidden="false" customHeight="false" outlineLevel="0" collapsed="false">
      <c r="A906" s="168"/>
      <c r="B906" s="168"/>
      <c r="C906" s="168"/>
      <c r="D906" s="168"/>
      <c r="E906" s="168"/>
      <c r="F906" s="168"/>
      <c r="G906" s="168"/>
      <c r="H906" s="168"/>
      <c r="I906" s="168"/>
      <c r="J906" s="168"/>
      <c r="K906" s="168"/>
      <c r="L906" s="168"/>
      <c r="M906" s="168"/>
      <c r="N906" s="168"/>
      <c r="O906" s="168"/>
      <c r="P906" s="168"/>
      <c r="Q906" s="168"/>
      <c r="R906" s="168"/>
      <c r="S906" s="168"/>
      <c r="T906" s="168"/>
      <c r="U906" s="168"/>
      <c r="V906" s="168"/>
      <c r="W906" s="168"/>
      <c r="X906" s="168"/>
      <c r="Y906" s="168"/>
      <c r="Z906" s="168"/>
    </row>
    <row r="907" customFormat="false" ht="15.75" hidden="false" customHeight="false" outlineLevel="0" collapsed="false">
      <c r="A907" s="168"/>
      <c r="B907" s="168"/>
      <c r="C907" s="168"/>
      <c r="D907" s="168"/>
      <c r="E907" s="168"/>
      <c r="F907" s="168"/>
      <c r="G907" s="168"/>
      <c r="H907" s="168"/>
      <c r="I907" s="168"/>
      <c r="J907" s="168"/>
      <c r="K907" s="168"/>
      <c r="L907" s="168"/>
      <c r="M907" s="168"/>
      <c r="N907" s="168"/>
      <c r="O907" s="168"/>
      <c r="P907" s="168"/>
      <c r="Q907" s="168"/>
      <c r="R907" s="168"/>
      <c r="S907" s="168"/>
      <c r="T907" s="168"/>
      <c r="U907" s="168"/>
      <c r="V907" s="168"/>
      <c r="W907" s="168"/>
      <c r="X907" s="168"/>
      <c r="Y907" s="168"/>
      <c r="Z907" s="168"/>
    </row>
    <row r="908" customFormat="false" ht="15.75" hidden="false" customHeight="false" outlineLevel="0" collapsed="false">
      <c r="A908" s="168"/>
      <c r="B908" s="168"/>
      <c r="C908" s="168"/>
      <c r="D908" s="168"/>
      <c r="E908" s="168"/>
      <c r="F908" s="168"/>
      <c r="G908" s="168"/>
      <c r="H908" s="168"/>
      <c r="I908" s="168"/>
      <c r="J908" s="168"/>
      <c r="K908" s="168"/>
      <c r="L908" s="168"/>
      <c r="M908" s="168"/>
      <c r="N908" s="168"/>
      <c r="O908" s="168"/>
      <c r="P908" s="168"/>
      <c r="Q908" s="168"/>
      <c r="R908" s="168"/>
      <c r="S908" s="168"/>
      <c r="T908" s="168"/>
      <c r="U908" s="168"/>
      <c r="V908" s="168"/>
      <c r="W908" s="168"/>
      <c r="X908" s="168"/>
      <c r="Y908" s="168"/>
      <c r="Z908" s="168"/>
    </row>
    <row r="909" customFormat="false" ht="15.75" hidden="false" customHeight="false" outlineLevel="0" collapsed="false">
      <c r="A909" s="168"/>
      <c r="B909" s="168"/>
      <c r="C909" s="168"/>
      <c r="D909" s="168"/>
      <c r="E909" s="168"/>
      <c r="F909" s="168"/>
      <c r="G909" s="168"/>
      <c r="H909" s="168"/>
      <c r="I909" s="168"/>
      <c r="J909" s="168"/>
      <c r="K909" s="168"/>
      <c r="L909" s="168"/>
      <c r="M909" s="168"/>
      <c r="N909" s="168"/>
      <c r="O909" s="168"/>
      <c r="P909" s="168"/>
      <c r="Q909" s="168"/>
      <c r="R909" s="168"/>
      <c r="S909" s="168"/>
      <c r="T909" s="168"/>
      <c r="U909" s="168"/>
      <c r="V909" s="168"/>
      <c r="W909" s="168"/>
      <c r="X909" s="168"/>
      <c r="Y909" s="168"/>
      <c r="Z909" s="168"/>
    </row>
    <row r="910" customFormat="false" ht="15.75" hidden="false" customHeight="false" outlineLevel="0" collapsed="false">
      <c r="A910" s="168"/>
      <c r="B910" s="168"/>
      <c r="C910" s="168"/>
      <c r="D910" s="168"/>
      <c r="E910" s="168"/>
      <c r="F910" s="168"/>
      <c r="G910" s="168"/>
      <c r="H910" s="168"/>
      <c r="I910" s="168"/>
      <c r="J910" s="168"/>
      <c r="K910" s="168"/>
      <c r="L910" s="168"/>
      <c r="M910" s="168"/>
      <c r="N910" s="168"/>
      <c r="O910" s="168"/>
      <c r="P910" s="168"/>
      <c r="Q910" s="168"/>
      <c r="R910" s="168"/>
      <c r="S910" s="168"/>
      <c r="T910" s="168"/>
      <c r="U910" s="168"/>
      <c r="V910" s="168"/>
      <c r="W910" s="168"/>
      <c r="X910" s="168"/>
      <c r="Y910" s="168"/>
      <c r="Z910" s="168"/>
    </row>
    <row r="911" customFormat="false" ht="15.75" hidden="false" customHeight="false" outlineLevel="0" collapsed="false">
      <c r="A911" s="168"/>
      <c r="B911" s="168"/>
      <c r="C911" s="168"/>
      <c r="D911" s="168"/>
      <c r="E911" s="168"/>
      <c r="F911" s="168"/>
      <c r="G911" s="168"/>
      <c r="H911" s="168"/>
      <c r="I911" s="168"/>
      <c r="J911" s="168"/>
      <c r="K911" s="168"/>
      <c r="L911" s="168"/>
      <c r="M911" s="168"/>
      <c r="N911" s="168"/>
      <c r="O911" s="168"/>
      <c r="P911" s="168"/>
      <c r="Q911" s="168"/>
      <c r="R911" s="168"/>
      <c r="S911" s="168"/>
      <c r="T911" s="168"/>
      <c r="U911" s="168"/>
      <c r="V911" s="168"/>
      <c r="W911" s="168"/>
      <c r="X911" s="168"/>
      <c r="Y911" s="168"/>
      <c r="Z911" s="168"/>
    </row>
    <row r="912" customFormat="false" ht="15.75" hidden="false" customHeight="false" outlineLevel="0" collapsed="false">
      <c r="A912" s="168"/>
      <c r="B912" s="168"/>
      <c r="C912" s="168"/>
      <c r="D912" s="168"/>
      <c r="E912" s="168"/>
      <c r="F912" s="168"/>
      <c r="G912" s="168"/>
      <c r="H912" s="168"/>
      <c r="I912" s="168"/>
      <c r="J912" s="168"/>
      <c r="K912" s="168"/>
      <c r="L912" s="168"/>
      <c r="M912" s="168"/>
      <c r="N912" s="168"/>
      <c r="O912" s="168"/>
      <c r="P912" s="168"/>
      <c r="Q912" s="168"/>
      <c r="R912" s="168"/>
      <c r="S912" s="168"/>
      <c r="T912" s="168"/>
      <c r="U912" s="168"/>
      <c r="V912" s="168"/>
      <c r="W912" s="168"/>
      <c r="X912" s="168"/>
      <c r="Y912" s="168"/>
      <c r="Z912" s="168"/>
    </row>
    <row r="913" customFormat="false" ht="15.75" hidden="false" customHeight="false" outlineLevel="0" collapsed="false">
      <c r="A913" s="168"/>
      <c r="B913" s="168"/>
      <c r="C913" s="168"/>
      <c r="D913" s="168"/>
      <c r="E913" s="168"/>
      <c r="F913" s="168"/>
      <c r="G913" s="168"/>
      <c r="H913" s="168"/>
      <c r="I913" s="168"/>
      <c r="J913" s="168"/>
      <c r="K913" s="168"/>
      <c r="L913" s="168"/>
      <c r="M913" s="168"/>
      <c r="N913" s="168"/>
      <c r="O913" s="168"/>
      <c r="P913" s="168"/>
      <c r="Q913" s="168"/>
      <c r="R913" s="168"/>
      <c r="S913" s="168"/>
      <c r="T913" s="168"/>
      <c r="U913" s="168"/>
      <c r="V913" s="168"/>
      <c r="W913" s="168"/>
      <c r="X913" s="168"/>
      <c r="Y913" s="168"/>
      <c r="Z913" s="168"/>
    </row>
    <row r="914" customFormat="false" ht="15.75" hidden="false" customHeight="false" outlineLevel="0" collapsed="false">
      <c r="A914" s="168"/>
      <c r="B914" s="168"/>
      <c r="C914" s="168"/>
      <c r="D914" s="168"/>
      <c r="E914" s="168"/>
      <c r="F914" s="168"/>
      <c r="G914" s="168"/>
      <c r="H914" s="168"/>
      <c r="I914" s="168"/>
      <c r="J914" s="168"/>
      <c r="K914" s="168"/>
      <c r="L914" s="168"/>
      <c r="M914" s="168"/>
      <c r="N914" s="168"/>
      <c r="O914" s="168"/>
      <c r="P914" s="168"/>
      <c r="Q914" s="168"/>
      <c r="R914" s="168"/>
      <c r="S914" s="168"/>
      <c r="T914" s="168"/>
      <c r="U914" s="168"/>
      <c r="V914" s="168"/>
      <c r="W914" s="168"/>
      <c r="X914" s="168"/>
      <c r="Y914" s="168"/>
      <c r="Z914" s="168"/>
    </row>
    <row r="915" customFormat="false" ht="15.75" hidden="false" customHeight="false" outlineLevel="0" collapsed="false">
      <c r="A915" s="168"/>
      <c r="B915" s="168"/>
      <c r="C915" s="168"/>
      <c r="D915" s="168"/>
      <c r="E915" s="168"/>
      <c r="F915" s="168"/>
      <c r="G915" s="168"/>
      <c r="H915" s="168"/>
      <c r="I915" s="168"/>
      <c r="J915" s="168"/>
      <c r="K915" s="168"/>
      <c r="L915" s="168"/>
      <c r="M915" s="168"/>
      <c r="N915" s="168"/>
      <c r="O915" s="168"/>
      <c r="P915" s="168"/>
      <c r="Q915" s="168"/>
      <c r="R915" s="168"/>
      <c r="S915" s="168"/>
      <c r="T915" s="168"/>
      <c r="U915" s="168"/>
      <c r="V915" s="168"/>
      <c r="W915" s="168"/>
      <c r="X915" s="168"/>
      <c r="Y915" s="168"/>
      <c r="Z915" s="168"/>
    </row>
    <row r="916" customFormat="false" ht="15.75" hidden="false" customHeight="false" outlineLevel="0" collapsed="false">
      <c r="A916" s="168"/>
      <c r="B916" s="168"/>
      <c r="C916" s="168"/>
      <c r="D916" s="168"/>
      <c r="E916" s="168"/>
      <c r="F916" s="168"/>
      <c r="G916" s="168"/>
      <c r="H916" s="168"/>
      <c r="I916" s="168"/>
      <c r="J916" s="168"/>
      <c r="K916" s="168"/>
      <c r="L916" s="168"/>
      <c r="M916" s="168"/>
      <c r="N916" s="168"/>
      <c r="O916" s="168"/>
      <c r="P916" s="168"/>
      <c r="Q916" s="168"/>
      <c r="R916" s="168"/>
      <c r="S916" s="168"/>
      <c r="T916" s="168"/>
      <c r="U916" s="168"/>
      <c r="V916" s="168"/>
      <c r="W916" s="168"/>
      <c r="X916" s="168"/>
      <c r="Y916" s="168"/>
      <c r="Z916" s="168"/>
    </row>
    <row r="917" customFormat="false" ht="15.75" hidden="false" customHeight="false" outlineLevel="0" collapsed="false">
      <c r="A917" s="168"/>
      <c r="B917" s="168"/>
      <c r="C917" s="168"/>
      <c r="D917" s="168"/>
      <c r="E917" s="168"/>
      <c r="F917" s="168"/>
      <c r="G917" s="168"/>
      <c r="H917" s="168"/>
      <c r="I917" s="168"/>
      <c r="J917" s="168"/>
      <c r="K917" s="168"/>
      <c r="L917" s="168"/>
      <c r="M917" s="168"/>
      <c r="N917" s="168"/>
      <c r="O917" s="168"/>
      <c r="P917" s="168"/>
      <c r="Q917" s="168"/>
      <c r="R917" s="168"/>
      <c r="S917" s="168"/>
      <c r="T917" s="168"/>
      <c r="U917" s="168"/>
      <c r="V917" s="168"/>
      <c r="W917" s="168"/>
      <c r="X917" s="168"/>
      <c r="Y917" s="168"/>
      <c r="Z917" s="168"/>
    </row>
    <row r="918" customFormat="false" ht="15.75" hidden="false" customHeight="false" outlineLevel="0" collapsed="false">
      <c r="A918" s="168"/>
      <c r="B918" s="168"/>
      <c r="C918" s="168"/>
      <c r="D918" s="168"/>
      <c r="E918" s="168"/>
      <c r="F918" s="168"/>
      <c r="G918" s="168"/>
      <c r="H918" s="168"/>
      <c r="I918" s="168"/>
      <c r="J918" s="168"/>
      <c r="K918" s="168"/>
      <c r="L918" s="168"/>
      <c r="M918" s="168"/>
      <c r="N918" s="168"/>
      <c r="O918" s="168"/>
      <c r="P918" s="168"/>
      <c r="Q918" s="168"/>
      <c r="R918" s="168"/>
      <c r="S918" s="168"/>
      <c r="T918" s="168"/>
      <c r="U918" s="168"/>
      <c r="V918" s="168"/>
      <c r="W918" s="168"/>
      <c r="X918" s="168"/>
      <c r="Y918" s="168"/>
      <c r="Z918" s="168"/>
    </row>
    <row r="919" customFormat="false" ht="15.75" hidden="false" customHeight="false" outlineLevel="0" collapsed="false">
      <c r="A919" s="168"/>
      <c r="B919" s="168"/>
      <c r="C919" s="168"/>
      <c r="D919" s="168"/>
      <c r="E919" s="168"/>
      <c r="F919" s="168"/>
      <c r="G919" s="168"/>
      <c r="H919" s="168"/>
      <c r="I919" s="168"/>
      <c r="J919" s="168"/>
      <c r="K919" s="168"/>
      <c r="L919" s="168"/>
      <c r="M919" s="168"/>
      <c r="N919" s="168"/>
      <c r="O919" s="168"/>
      <c r="P919" s="168"/>
      <c r="Q919" s="168"/>
      <c r="R919" s="168"/>
      <c r="S919" s="168"/>
      <c r="T919" s="168"/>
      <c r="U919" s="168"/>
      <c r="V919" s="168"/>
      <c r="W919" s="168"/>
      <c r="X919" s="168"/>
      <c r="Y919" s="168"/>
      <c r="Z919" s="168"/>
    </row>
    <row r="920" customFormat="false" ht="15.75" hidden="false" customHeight="false" outlineLevel="0" collapsed="false">
      <c r="A920" s="168"/>
      <c r="B920" s="168"/>
      <c r="C920" s="168"/>
      <c r="D920" s="168"/>
      <c r="E920" s="168"/>
      <c r="F920" s="168"/>
      <c r="G920" s="168"/>
      <c r="H920" s="168"/>
      <c r="I920" s="168"/>
      <c r="J920" s="168"/>
      <c r="K920" s="168"/>
      <c r="L920" s="168"/>
      <c r="M920" s="168"/>
      <c r="N920" s="168"/>
      <c r="O920" s="168"/>
      <c r="P920" s="168"/>
      <c r="Q920" s="168"/>
      <c r="R920" s="168"/>
      <c r="S920" s="168"/>
      <c r="T920" s="168"/>
      <c r="U920" s="168"/>
      <c r="V920" s="168"/>
      <c r="W920" s="168"/>
      <c r="X920" s="168"/>
      <c r="Y920" s="168"/>
      <c r="Z920" s="168"/>
    </row>
    <row r="921" customFormat="false" ht="15.75" hidden="false" customHeight="false" outlineLevel="0" collapsed="false">
      <c r="A921" s="168"/>
      <c r="B921" s="168"/>
      <c r="C921" s="168"/>
      <c r="D921" s="168"/>
      <c r="E921" s="168"/>
      <c r="F921" s="168"/>
      <c r="G921" s="168"/>
      <c r="H921" s="168"/>
      <c r="I921" s="168"/>
      <c r="J921" s="168"/>
      <c r="K921" s="168"/>
      <c r="L921" s="168"/>
      <c r="M921" s="168"/>
      <c r="N921" s="168"/>
      <c r="O921" s="168"/>
      <c r="P921" s="168"/>
      <c r="Q921" s="168"/>
      <c r="R921" s="168"/>
      <c r="S921" s="168"/>
      <c r="T921" s="168"/>
      <c r="U921" s="168"/>
      <c r="V921" s="168"/>
      <c r="W921" s="168"/>
      <c r="X921" s="168"/>
      <c r="Y921" s="168"/>
      <c r="Z921" s="168"/>
    </row>
    <row r="922" customFormat="false" ht="15.75" hidden="false" customHeight="false" outlineLevel="0" collapsed="false">
      <c r="A922" s="168"/>
      <c r="B922" s="168"/>
      <c r="C922" s="168"/>
      <c r="D922" s="168"/>
      <c r="E922" s="168"/>
      <c r="F922" s="168"/>
      <c r="G922" s="168"/>
      <c r="H922" s="168"/>
      <c r="I922" s="168"/>
      <c r="J922" s="168"/>
      <c r="K922" s="168"/>
      <c r="L922" s="168"/>
      <c r="M922" s="168"/>
      <c r="N922" s="168"/>
      <c r="O922" s="168"/>
      <c r="P922" s="168"/>
      <c r="Q922" s="168"/>
      <c r="R922" s="168"/>
      <c r="S922" s="168"/>
      <c r="T922" s="168"/>
      <c r="U922" s="168"/>
      <c r="V922" s="168"/>
      <c r="W922" s="168"/>
      <c r="X922" s="168"/>
      <c r="Y922" s="168"/>
      <c r="Z922" s="168"/>
    </row>
    <row r="923" customFormat="false" ht="15.75" hidden="false" customHeight="false" outlineLevel="0" collapsed="false">
      <c r="A923" s="168"/>
      <c r="B923" s="168"/>
      <c r="C923" s="168"/>
      <c r="D923" s="168"/>
      <c r="E923" s="168"/>
      <c r="F923" s="168"/>
      <c r="G923" s="168"/>
      <c r="H923" s="168"/>
      <c r="I923" s="168"/>
      <c r="J923" s="168"/>
      <c r="K923" s="168"/>
      <c r="L923" s="168"/>
      <c r="M923" s="168"/>
      <c r="N923" s="168"/>
      <c r="O923" s="168"/>
      <c r="P923" s="168"/>
      <c r="Q923" s="168"/>
      <c r="R923" s="168"/>
      <c r="S923" s="168"/>
      <c r="T923" s="168"/>
      <c r="U923" s="168"/>
      <c r="V923" s="168"/>
      <c r="W923" s="168"/>
      <c r="X923" s="168"/>
      <c r="Y923" s="168"/>
      <c r="Z923" s="168"/>
    </row>
    <row r="924" customFormat="false" ht="15.75" hidden="false" customHeight="false" outlineLevel="0" collapsed="false">
      <c r="A924" s="168"/>
      <c r="B924" s="168"/>
      <c r="C924" s="168"/>
      <c r="D924" s="168"/>
      <c r="E924" s="168"/>
      <c r="F924" s="168"/>
      <c r="G924" s="168"/>
      <c r="H924" s="168"/>
      <c r="I924" s="168"/>
      <c r="J924" s="168"/>
      <c r="K924" s="168"/>
      <c r="L924" s="168"/>
      <c r="M924" s="168"/>
      <c r="N924" s="168"/>
      <c r="O924" s="168"/>
      <c r="P924" s="168"/>
      <c r="Q924" s="168"/>
      <c r="R924" s="168"/>
      <c r="S924" s="168"/>
      <c r="T924" s="168"/>
      <c r="U924" s="168"/>
      <c r="V924" s="168"/>
      <c r="W924" s="168"/>
      <c r="X924" s="168"/>
      <c r="Y924" s="168"/>
      <c r="Z924" s="168"/>
    </row>
    <row r="925" customFormat="false" ht="15.75" hidden="false" customHeight="false" outlineLevel="0" collapsed="false">
      <c r="A925" s="168"/>
      <c r="B925" s="168"/>
      <c r="C925" s="168"/>
      <c r="D925" s="168"/>
      <c r="E925" s="168"/>
      <c r="F925" s="168"/>
      <c r="G925" s="168"/>
      <c r="H925" s="168"/>
      <c r="I925" s="168"/>
      <c r="J925" s="168"/>
      <c r="K925" s="168"/>
      <c r="L925" s="168"/>
      <c r="M925" s="168"/>
      <c r="N925" s="168"/>
      <c r="O925" s="168"/>
      <c r="P925" s="168"/>
      <c r="Q925" s="168"/>
      <c r="R925" s="168"/>
      <c r="S925" s="168"/>
      <c r="T925" s="168"/>
      <c r="U925" s="168"/>
      <c r="V925" s="168"/>
      <c r="W925" s="168"/>
      <c r="X925" s="168"/>
      <c r="Y925" s="168"/>
      <c r="Z925" s="168"/>
    </row>
    <row r="926" customFormat="false" ht="15.75" hidden="false" customHeight="false" outlineLevel="0" collapsed="false">
      <c r="A926" s="168"/>
      <c r="B926" s="168"/>
      <c r="C926" s="168"/>
      <c r="D926" s="168"/>
      <c r="E926" s="168"/>
      <c r="F926" s="168"/>
      <c r="G926" s="168"/>
      <c r="H926" s="168"/>
      <c r="I926" s="168"/>
      <c r="J926" s="168"/>
      <c r="K926" s="168"/>
      <c r="L926" s="168"/>
      <c r="M926" s="168"/>
      <c r="N926" s="168"/>
      <c r="O926" s="168"/>
      <c r="P926" s="168"/>
      <c r="Q926" s="168"/>
      <c r="R926" s="168"/>
      <c r="S926" s="168"/>
      <c r="T926" s="168"/>
      <c r="U926" s="168"/>
      <c r="V926" s="168"/>
      <c r="W926" s="168"/>
      <c r="X926" s="168"/>
      <c r="Y926" s="168"/>
      <c r="Z926" s="168"/>
    </row>
    <row r="927" customFormat="false" ht="15.75" hidden="false" customHeight="false" outlineLevel="0" collapsed="false">
      <c r="A927" s="168"/>
      <c r="B927" s="168"/>
      <c r="C927" s="168"/>
      <c r="D927" s="168"/>
      <c r="E927" s="168"/>
      <c r="F927" s="168"/>
      <c r="G927" s="168"/>
      <c r="H927" s="168"/>
      <c r="I927" s="168"/>
      <c r="J927" s="168"/>
      <c r="K927" s="168"/>
      <c r="L927" s="168"/>
      <c r="M927" s="168"/>
      <c r="N927" s="168"/>
      <c r="O927" s="168"/>
      <c r="P927" s="168"/>
      <c r="Q927" s="168"/>
      <c r="R927" s="168"/>
      <c r="S927" s="168"/>
      <c r="T927" s="168"/>
      <c r="U927" s="168"/>
      <c r="V927" s="168"/>
      <c r="W927" s="168"/>
      <c r="X927" s="168"/>
      <c r="Y927" s="168"/>
      <c r="Z927" s="168"/>
    </row>
    <row r="928" customFormat="false" ht="15.75" hidden="false" customHeight="false" outlineLevel="0" collapsed="false">
      <c r="A928" s="168"/>
      <c r="B928" s="168"/>
      <c r="C928" s="168"/>
      <c r="D928" s="168"/>
      <c r="E928" s="168"/>
      <c r="F928" s="168"/>
      <c r="G928" s="168"/>
      <c r="H928" s="168"/>
      <c r="I928" s="168"/>
      <c r="J928" s="168"/>
      <c r="K928" s="168"/>
      <c r="L928" s="168"/>
      <c r="M928" s="168"/>
      <c r="N928" s="168"/>
      <c r="O928" s="168"/>
      <c r="P928" s="168"/>
      <c r="Q928" s="168"/>
      <c r="R928" s="168"/>
      <c r="S928" s="168"/>
      <c r="T928" s="168"/>
      <c r="U928" s="168"/>
      <c r="V928" s="168"/>
      <c r="W928" s="168"/>
      <c r="X928" s="168"/>
      <c r="Y928" s="168"/>
      <c r="Z928" s="168"/>
    </row>
    <row r="929" customFormat="false" ht="15.75" hidden="false" customHeight="false" outlineLevel="0" collapsed="false">
      <c r="A929" s="168"/>
      <c r="B929" s="168"/>
      <c r="C929" s="168"/>
      <c r="D929" s="168"/>
      <c r="E929" s="168"/>
      <c r="F929" s="168"/>
      <c r="G929" s="168"/>
      <c r="H929" s="168"/>
      <c r="I929" s="168"/>
      <c r="J929" s="168"/>
      <c r="K929" s="168"/>
      <c r="L929" s="168"/>
      <c r="M929" s="168"/>
      <c r="N929" s="168"/>
      <c r="O929" s="168"/>
      <c r="P929" s="168"/>
      <c r="Q929" s="168"/>
      <c r="R929" s="168"/>
      <c r="S929" s="168"/>
      <c r="T929" s="168"/>
      <c r="U929" s="168"/>
      <c r="V929" s="168"/>
      <c r="W929" s="168"/>
      <c r="X929" s="168"/>
      <c r="Y929" s="168"/>
      <c r="Z929" s="168"/>
    </row>
    <row r="930" customFormat="false" ht="15.75" hidden="false" customHeight="false" outlineLevel="0" collapsed="false">
      <c r="A930" s="168"/>
      <c r="B930" s="168"/>
      <c r="C930" s="168"/>
      <c r="D930" s="168"/>
      <c r="E930" s="168"/>
      <c r="F930" s="168"/>
      <c r="G930" s="168"/>
      <c r="H930" s="168"/>
      <c r="I930" s="168"/>
      <c r="J930" s="168"/>
      <c r="K930" s="168"/>
      <c r="L930" s="168"/>
      <c r="M930" s="168"/>
      <c r="N930" s="168"/>
      <c r="O930" s="168"/>
      <c r="P930" s="168"/>
      <c r="Q930" s="168"/>
      <c r="R930" s="168"/>
      <c r="S930" s="168"/>
      <c r="T930" s="168"/>
      <c r="U930" s="168"/>
      <c r="V930" s="168"/>
      <c r="W930" s="168"/>
      <c r="X930" s="168"/>
      <c r="Y930" s="168"/>
      <c r="Z930" s="168"/>
    </row>
    <row r="931" customFormat="false" ht="15.75" hidden="false" customHeight="false" outlineLevel="0" collapsed="false">
      <c r="A931" s="168"/>
      <c r="B931" s="168"/>
      <c r="C931" s="168"/>
      <c r="D931" s="168"/>
      <c r="E931" s="168"/>
      <c r="F931" s="168"/>
      <c r="G931" s="168"/>
      <c r="H931" s="168"/>
      <c r="I931" s="168"/>
      <c r="J931" s="168"/>
      <c r="K931" s="168"/>
      <c r="L931" s="168"/>
      <c r="M931" s="168"/>
      <c r="N931" s="168"/>
      <c r="O931" s="168"/>
      <c r="P931" s="168"/>
      <c r="Q931" s="168"/>
      <c r="R931" s="168"/>
      <c r="S931" s="168"/>
      <c r="T931" s="168"/>
      <c r="U931" s="168"/>
      <c r="V931" s="168"/>
      <c r="W931" s="168"/>
      <c r="X931" s="168"/>
      <c r="Y931" s="168"/>
      <c r="Z931" s="168"/>
    </row>
    <row r="932" customFormat="false" ht="15.75" hidden="false" customHeight="false" outlineLevel="0" collapsed="false">
      <c r="A932" s="168"/>
      <c r="B932" s="168"/>
      <c r="C932" s="168"/>
      <c r="D932" s="168"/>
      <c r="E932" s="168"/>
      <c r="F932" s="168"/>
      <c r="G932" s="168"/>
      <c r="H932" s="168"/>
      <c r="I932" s="168"/>
      <c r="J932" s="168"/>
      <c r="K932" s="168"/>
      <c r="L932" s="168"/>
      <c r="M932" s="168"/>
      <c r="N932" s="168"/>
      <c r="O932" s="168"/>
      <c r="P932" s="168"/>
      <c r="Q932" s="168"/>
      <c r="R932" s="168"/>
      <c r="S932" s="168"/>
      <c r="T932" s="168"/>
      <c r="U932" s="168"/>
      <c r="V932" s="168"/>
      <c r="W932" s="168"/>
      <c r="X932" s="168"/>
      <c r="Y932" s="168"/>
      <c r="Z932" s="168"/>
    </row>
    <row r="933" customFormat="false" ht="15.75" hidden="false" customHeight="false" outlineLevel="0" collapsed="false">
      <c r="A933" s="168"/>
      <c r="B933" s="168"/>
      <c r="C933" s="168"/>
      <c r="D933" s="168"/>
      <c r="E933" s="168"/>
      <c r="F933" s="168"/>
      <c r="G933" s="168"/>
      <c r="H933" s="168"/>
      <c r="I933" s="168"/>
      <c r="J933" s="168"/>
      <c r="K933" s="168"/>
      <c r="L933" s="168"/>
      <c r="M933" s="168"/>
      <c r="N933" s="168"/>
      <c r="O933" s="168"/>
      <c r="P933" s="168"/>
      <c r="Q933" s="168"/>
      <c r="R933" s="168"/>
      <c r="S933" s="168"/>
      <c r="T933" s="168"/>
      <c r="U933" s="168"/>
      <c r="V933" s="168"/>
      <c r="W933" s="168"/>
      <c r="X933" s="168"/>
      <c r="Y933" s="168"/>
      <c r="Z933" s="168"/>
    </row>
    <row r="934" customFormat="false" ht="15.75" hidden="false" customHeight="false" outlineLevel="0" collapsed="false">
      <c r="A934" s="168"/>
      <c r="B934" s="168"/>
      <c r="C934" s="168"/>
      <c r="D934" s="168"/>
      <c r="E934" s="168"/>
      <c r="F934" s="168"/>
      <c r="G934" s="168"/>
      <c r="H934" s="168"/>
      <c r="I934" s="168"/>
      <c r="J934" s="168"/>
      <c r="K934" s="168"/>
      <c r="L934" s="168"/>
      <c r="M934" s="168"/>
      <c r="N934" s="168"/>
      <c r="O934" s="168"/>
      <c r="P934" s="168"/>
      <c r="Q934" s="168"/>
      <c r="R934" s="168"/>
      <c r="S934" s="168"/>
      <c r="T934" s="168"/>
      <c r="U934" s="168"/>
      <c r="V934" s="168"/>
      <c r="W934" s="168"/>
      <c r="X934" s="168"/>
      <c r="Y934" s="168"/>
      <c r="Z934" s="168"/>
    </row>
    <row r="935" customFormat="false" ht="15.75" hidden="false" customHeight="false" outlineLevel="0" collapsed="false">
      <c r="A935" s="168"/>
      <c r="B935" s="168"/>
      <c r="C935" s="168"/>
      <c r="D935" s="168"/>
      <c r="E935" s="168"/>
      <c r="F935" s="168"/>
      <c r="G935" s="168"/>
      <c r="H935" s="168"/>
      <c r="I935" s="168"/>
      <c r="J935" s="168"/>
      <c r="K935" s="168"/>
      <c r="L935" s="168"/>
      <c r="M935" s="168"/>
      <c r="N935" s="168"/>
      <c r="O935" s="168"/>
      <c r="P935" s="168"/>
      <c r="Q935" s="168"/>
      <c r="R935" s="168"/>
      <c r="S935" s="168"/>
      <c r="T935" s="168"/>
      <c r="U935" s="168"/>
      <c r="V935" s="168"/>
      <c r="W935" s="168"/>
      <c r="X935" s="168"/>
      <c r="Y935" s="168"/>
      <c r="Z935" s="168"/>
    </row>
    <row r="936" customFormat="false" ht="15.75" hidden="false" customHeight="false" outlineLevel="0" collapsed="false">
      <c r="A936" s="168"/>
      <c r="B936" s="168"/>
      <c r="C936" s="168"/>
      <c r="D936" s="168"/>
      <c r="E936" s="168"/>
      <c r="F936" s="168"/>
      <c r="G936" s="168"/>
      <c r="H936" s="168"/>
      <c r="I936" s="168"/>
      <c r="J936" s="168"/>
      <c r="K936" s="168"/>
      <c r="L936" s="168"/>
      <c r="M936" s="168"/>
      <c r="N936" s="168"/>
      <c r="O936" s="168"/>
      <c r="P936" s="168"/>
      <c r="Q936" s="168"/>
      <c r="R936" s="168"/>
      <c r="S936" s="168"/>
      <c r="T936" s="168"/>
      <c r="U936" s="168"/>
      <c r="V936" s="168"/>
      <c r="W936" s="168"/>
      <c r="X936" s="168"/>
      <c r="Y936" s="168"/>
      <c r="Z936" s="168"/>
    </row>
    <row r="937" customFormat="false" ht="15.75" hidden="false" customHeight="false" outlineLevel="0" collapsed="false">
      <c r="A937" s="168"/>
      <c r="B937" s="168"/>
      <c r="C937" s="168"/>
      <c r="D937" s="168"/>
      <c r="E937" s="168"/>
      <c r="F937" s="168"/>
      <c r="G937" s="168"/>
      <c r="H937" s="168"/>
      <c r="I937" s="168"/>
      <c r="J937" s="168"/>
      <c r="K937" s="168"/>
      <c r="L937" s="168"/>
      <c r="M937" s="168"/>
      <c r="N937" s="168"/>
      <c r="O937" s="168"/>
      <c r="P937" s="168"/>
      <c r="Q937" s="168"/>
      <c r="R937" s="168"/>
      <c r="S937" s="168"/>
      <c r="T937" s="168"/>
      <c r="U937" s="168"/>
      <c r="V937" s="168"/>
      <c r="W937" s="168"/>
      <c r="X937" s="168"/>
      <c r="Y937" s="168"/>
      <c r="Z937" s="168"/>
    </row>
    <row r="938" customFormat="false" ht="15.75" hidden="false" customHeight="false" outlineLevel="0" collapsed="false">
      <c r="A938" s="168"/>
      <c r="B938" s="168"/>
      <c r="C938" s="168"/>
      <c r="D938" s="168"/>
      <c r="E938" s="168"/>
      <c r="F938" s="168"/>
      <c r="G938" s="168"/>
      <c r="H938" s="168"/>
      <c r="I938" s="168"/>
      <c r="J938" s="168"/>
      <c r="K938" s="168"/>
      <c r="L938" s="168"/>
      <c r="M938" s="168"/>
      <c r="N938" s="168"/>
      <c r="O938" s="168"/>
      <c r="P938" s="168"/>
      <c r="Q938" s="168"/>
      <c r="R938" s="168"/>
      <c r="S938" s="168"/>
      <c r="T938" s="168"/>
      <c r="U938" s="168"/>
      <c r="V938" s="168"/>
      <c r="W938" s="168"/>
      <c r="X938" s="168"/>
      <c r="Y938" s="168"/>
      <c r="Z938" s="168"/>
    </row>
    <row r="939" customFormat="false" ht="15.75" hidden="false" customHeight="false" outlineLevel="0" collapsed="false">
      <c r="A939" s="168"/>
      <c r="B939" s="168"/>
      <c r="C939" s="168"/>
      <c r="D939" s="168"/>
      <c r="E939" s="168"/>
      <c r="F939" s="168"/>
      <c r="G939" s="168"/>
      <c r="H939" s="168"/>
      <c r="I939" s="168"/>
      <c r="J939" s="168"/>
      <c r="K939" s="168"/>
      <c r="L939" s="168"/>
      <c r="M939" s="168"/>
      <c r="N939" s="168"/>
      <c r="O939" s="168"/>
      <c r="P939" s="168"/>
      <c r="Q939" s="168"/>
      <c r="R939" s="168"/>
      <c r="S939" s="168"/>
      <c r="T939" s="168"/>
      <c r="U939" s="168"/>
      <c r="V939" s="168"/>
      <c r="W939" s="168"/>
      <c r="X939" s="168"/>
      <c r="Y939" s="168"/>
      <c r="Z939" s="168"/>
    </row>
    <row r="940" customFormat="false" ht="15.75" hidden="false" customHeight="false" outlineLevel="0" collapsed="false">
      <c r="A940" s="168"/>
      <c r="B940" s="168"/>
      <c r="C940" s="168"/>
      <c r="D940" s="168"/>
      <c r="E940" s="168"/>
      <c r="F940" s="168"/>
      <c r="G940" s="168"/>
      <c r="H940" s="168"/>
      <c r="I940" s="168"/>
      <c r="J940" s="168"/>
      <c r="K940" s="168"/>
      <c r="L940" s="168"/>
      <c r="M940" s="168"/>
      <c r="N940" s="168"/>
      <c r="O940" s="168"/>
      <c r="P940" s="168"/>
      <c r="Q940" s="168"/>
      <c r="R940" s="168"/>
      <c r="S940" s="168"/>
      <c r="T940" s="168"/>
      <c r="U940" s="168"/>
      <c r="V940" s="168"/>
      <c r="W940" s="168"/>
      <c r="X940" s="168"/>
      <c r="Y940" s="168"/>
      <c r="Z940" s="168"/>
    </row>
    <row r="941" customFormat="false" ht="15.75" hidden="false" customHeight="false" outlineLevel="0" collapsed="false">
      <c r="A941" s="168"/>
      <c r="B941" s="168"/>
      <c r="C941" s="168"/>
      <c r="D941" s="168"/>
      <c r="E941" s="168"/>
      <c r="F941" s="168"/>
      <c r="G941" s="168"/>
      <c r="H941" s="168"/>
      <c r="I941" s="168"/>
      <c r="J941" s="168"/>
      <c r="K941" s="168"/>
      <c r="L941" s="168"/>
      <c r="M941" s="168"/>
      <c r="N941" s="168"/>
      <c r="O941" s="168"/>
      <c r="P941" s="168"/>
      <c r="Q941" s="168"/>
      <c r="R941" s="168"/>
      <c r="S941" s="168"/>
      <c r="T941" s="168"/>
      <c r="U941" s="168"/>
      <c r="V941" s="168"/>
      <c r="W941" s="168"/>
      <c r="X941" s="168"/>
      <c r="Y941" s="168"/>
      <c r="Z941" s="168"/>
    </row>
    <row r="942" customFormat="false" ht="15.75" hidden="false" customHeight="false" outlineLevel="0" collapsed="false">
      <c r="A942" s="168"/>
      <c r="B942" s="168"/>
      <c r="C942" s="168"/>
      <c r="D942" s="168"/>
      <c r="E942" s="168"/>
      <c r="F942" s="168"/>
      <c r="G942" s="168"/>
      <c r="H942" s="168"/>
      <c r="I942" s="168"/>
      <c r="J942" s="168"/>
      <c r="K942" s="168"/>
      <c r="L942" s="168"/>
      <c r="M942" s="168"/>
      <c r="N942" s="168"/>
      <c r="O942" s="168"/>
      <c r="P942" s="168"/>
      <c r="Q942" s="168"/>
      <c r="R942" s="168"/>
      <c r="S942" s="168"/>
      <c r="T942" s="168"/>
      <c r="U942" s="168"/>
      <c r="V942" s="168"/>
      <c r="W942" s="168"/>
      <c r="X942" s="168"/>
      <c r="Y942" s="168"/>
      <c r="Z942" s="168"/>
    </row>
    <row r="943" customFormat="false" ht="15.75" hidden="false" customHeight="false" outlineLevel="0" collapsed="false">
      <c r="A943" s="168"/>
      <c r="B943" s="168"/>
      <c r="C943" s="168"/>
      <c r="D943" s="168"/>
      <c r="E943" s="168"/>
      <c r="F943" s="168"/>
      <c r="G943" s="168"/>
      <c r="H943" s="168"/>
      <c r="I943" s="168"/>
      <c r="J943" s="168"/>
      <c r="K943" s="168"/>
      <c r="L943" s="168"/>
      <c r="M943" s="168"/>
      <c r="N943" s="168"/>
      <c r="O943" s="168"/>
      <c r="P943" s="168"/>
      <c r="Q943" s="168"/>
      <c r="R943" s="168"/>
      <c r="S943" s="168"/>
      <c r="T943" s="168"/>
      <c r="U943" s="168"/>
      <c r="V943" s="168"/>
      <c r="W943" s="168"/>
      <c r="X943" s="168"/>
      <c r="Y943" s="168"/>
      <c r="Z943" s="168"/>
    </row>
    <row r="944" customFormat="false" ht="15.75" hidden="false" customHeight="false" outlineLevel="0" collapsed="false">
      <c r="A944" s="168"/>
      <c r="B944" s="168"/>
      <c r="C944" s="168"/>
      <c r="D944" s="168"/>
      <c r="E944" s="168"/>
      <c r="F944" s="168"/>
      <c r="G944" s="168"/>
      <c r="H944" s="168"/>
      <c r="I944" s="168"/>
      <c r="J944" s="168"/>
      <c r="K944" s="168"/>
      <c r="L944" s="168"/>
      <c r="M944" s="168"/>
      <c r="N944" s="168"/>
      <c r="O944" s="168"/>
      <c r="P944" s="168"/>
      <c r="Q944" s="168"/>
      <c r="R944" s="168"/>
      <c r="S944" s="168"/>
      <c r="T944" s="168"/>
      <c r="U944" s="168"/>
      <c r="V944" s="168"/>
      <c r="W944" s="168"/>
      <c r="X944" s="168"/>
      <c r="Y944" s="168"/>
      <c r="Z944" s="168"/>
    </row>
    <row r="945" customFormat="false" ht="15.75" hidden="false" customHeight="false" outlineLevel="0" collapsed="false">
      <c r="A945" s="168"/>
      <c r="B945" s="168"/>
      <c r="C945" s="168"/>
      <c r="D945" s="168"/>
      <c r="E945" s="168"/>
      <c r="F945" s="168"/>
      <c r="G945" s="168"/>
      <c r="H945" s="168"/>
      <c r="I945" s="168"/>
      <c r="J945" s="168"/>
      <c r="K945" s="168"/>
      <c r="L945" s="168"/>
      <c r="M945" s="168"/>
      <c r="N945" s="168"/>
      <c r="O945" s="168"/>
      <c r="P945" s="168"/>
      <c r="Q945" s="168"/>
      <c r="R945" s="168"/>
      <c r="S945" s="168"/>
      <c r="T945" s="168"/>
      <c r="U945" s="168"/>
      <c r="V945" s="168"/>
      <c r="W945" s="168"/>
      <c r="X945" s="168"/>
      <c r="Y945" s="168"/>
      <c r="Z945" s="168"/>
    </row>
    <row r="946" customFormat="false" ht="15.75" hidden="false" customHeight="false" outlineLevel="0" collapsed="false">
      <c r="A946" s="168"/>
      <c r="B946" s="168"/>
      <c r="C946" s="168"/>
      <c r="D946" s="168"/>
      <c r="E946" s="168"/>
      <c r="F946" s="168"/>
      <c r="G946" s="168"/>
      <c r="H946" s="168"/>
      <c r="I946" s="168"/>
      <c r="J946" s="168"/>
      <c r="K946" s="168"/>
      <c r="L946" s="168"/>
      <c r="M946" s="168"/>
      <c r="N946" s="168"/>
      <c r="O946" s="168"/>
      <c r="P946" s="168"/>
      <c r="Q946" s="168"/>
      <c r="R946" s="168"/>
      <c r="S946" s="168"/>
      <c r="T946" s="168"/>
      <c r="U946" s="168"/>
      <c r="V946" s="168"/>
      <c r="W946" s="168"/>
      <c r="X946" s="168"/>
      <c r="Y946" s="168"/>
      <c r="Z946" s="168"/>
    </row>
    <row r="947" customFormat="false" ht="15.75" hidden="false" customHeight="false" outlineLevel="0" collapsed="false">
      <c r="A947" s="168"/>
      <c r="B947" s="168"/>
      <c r="C947" s="168"/>
      <c r="D947" s="168"/>
      <c r="E947" s="168"/>
      <c r="F947" s="168"/>
      <c r="G947" s="168"/>
      <c r="H947" s="168"/>
      <c r="I947" s="168"/>
      <c r="J947" s="168"/>
      <c r="K947" s="168"/>
      <c r="L947" s="168"/>
      <c r="M947" s="168"/>
      <c r="N947" s="168"/>
      <c r="O947" s="168"/>
      <c r="P947" s="168"/>
      <c r="Q947" s="168"/>
      <c r="R947" s="168"/>
      <c r="S947" s="168"/>
      <c r="T947" s="168"/>
      <c r="U947" s="168"/>
      <c r="V947" s="168"/>
      <c r="W947" s="168"/>
      <c r="X947" s="168"/>
      <c r="Y947" s="168"/>
      <c r="Z947" s="168"/>
    </row>
    <row r="948" customFormat="false" ht="15.75" hidden="false" customHeight="false" outlineLevel="0" collapsed="false">
      <c r="A948" s="168"/>
      <c r="B948" s="168"/>
      <c r="C948" s="168"/>
      <c r="D948" s="168"/>
      <c r="E948" s="168"/>
      <c r="F948" s="168"/>
      <c r="G948" s="168"/>
      <c r="H948" s="168"/>
      <c r="I948" s="168"/>
      <c r="J948" s="168"/>
      <c r="K948" s="168"/>
      <c r="L948" s="168"/>
      <c r="M948" s="168"/>
      <c r="N948" s="168"/>
      <c r="O948" s="168"/>
      <c r="P948" s="168"/>
      <c r="Q948" s="168"/>
      <c r="R948" s="168"/>
      <c r="S948" s="168"/>
      <c r="T948" s="168"/>
      <c r="U948" s="168"/>
      <c r="V948" s="168"/>
      <c r="W948" s="168"/>
      <c r="X948" s="168"/>
      <c r="Y948" s="168"/>
      <c r="Z948" s="168"/>
    </row>
    <row r="949" customFormat="false" ht="15.75" hidden="false" customHeight="false" outlineLevel="0" collapsed="false">
      <c r="A949" s="168"/>
      <c r="B949" s="168"/>
      <c r="C949" s="168"/>
      <c r="D949" s="168"/>
      <c r="E949" s="168"/>
      <c r="F949" s="168"/>
      <c r="G949" s="168"/>
      <c r="H949" s="168"/>
      <c r="I949" s="168"/>
      <c r="J949" s="168"/>
      <c r="K949" s="168"/>
      <c r="L949" s="168"/>
      <c r="M949" s="168"/>
      <c r="N949" s="168"/>
      <c r="O949" s="168"/>
      <c r="P949" s="168"/>
      <c r="Q949" s="168"/>
      <c r="R949" s="168"/>
      <c r="S949" s="168"/>
      <c r="T949" s="168"/>
      <c r="U949" s="168"/>
      <c r="V949" s="168"/>
      <c r="W949" s="168"/>
      <c r="X949" s="168"/>
      <c r="Y949" s="168"/>
      <c r="Z949" s="168"/>
    </row>
    <row r="950" customFormat="false" ht="15.75" hidden="false" customHeight="false" outlineLevel="0" collapsed="false">
      <c r="A950" s="168"/>
      <c r="B950" s="168"/>
      <c r="C950" s="168"/>
      <c r="D950" s="168"/>
      <c r="E950" s="168"/>
      <c r="F950" s="168"/>
      <c r="G950" s="168"/>
      <c r="H950" s="168"/>
      <c r="I950" s="168"/>
      <c r="J950" s="168"/>
      <c r="K950" s="168"/>
      <c r="L950" s="168"/>
      <c r="M950" s="168"/>
      <c r="N950" s="168"/>
      <c r="O950" s="168"/>
      <c r="P950" s="168"/>
      <c r="Q950" s="168"/>
      <c r="R950" s="168"/>
      <c r="S950" s="168"/>
      <c r="T950" s="168"/>
      <c r="U950" s="168"/>
      <c r="V950" s="168"/>
      <c r="W950" s="168"/>
      <c r="X950" s="168"/>
      <c r="Y950" s="168"/>
      <c r="Z950" s="168"/>
    </row>
    <row r="951" customFormat="false" ht="15.75" hidden="false" customHeight="false" outlineLevel="0" collapsed="false">
      <c r="A951" s="168"/>
      <c r="B951" s="168"/>
      <c r="C951" s="168"/>
      <c r="D951" s="168"/>
      <c r="E951" s="168"/>
      <c r="F951" s="168"/>
      <c r="G951" s="168"/>
      <c r="H951" s="168"/>
      <c r="I951" s="168"/>
      <c r="J951" s="168"/>
      <c r="K951" s="168"/>
      <c r="L951" s="168"/>
      <c r="M951" s="168"/>
      <c r="N951" s="168"/>
      <c r="O951" s="168"/>
      <c r="P951" s="168"/>
      <c r="Q951" s="168"/>
      <c r="R951" s="168"/>
      <c r="S951" s="168"/>
      <c r="T951" s="168"/>
      <c r="U951" s="168"/>
      <c r="V951" s="168"/>
      <c r="W951" s="168"/>
      <c r="X951" s="168"/>
      <c r="Y951" s="168"/>
      <c r="Z951" s="168"/>
    </row>
    <row r="952" customFormat="false" ht="15.75" hidden="false" customHeight="false" outlineLevel="0" collapsed="false">
      <c r="A952" s="168"/>
      <c r="B952" s="168"/>
      <c r="C952" s="168"/>
      <c r="D952" s="168"/>
      <c r="E952" s="168"/>
      <c r="F952" s="168"/>
      <c r="G952" s="168"/>
      <c r="H952" s="168"/>
      <c r="I952" s="168"/>
      <c r="J952" s="168"/>
      <c r="K952" s="168"/>
      <c r="L952" s="168"/>
      <c r="M952" s="168"/>
      <c r="N952" s="168"/>
      <c r="O952" s="168"/>
      <c r="P952" s="168"/>
      <c r="Q952" s="168"/>
      <c r="R952" s="168"/>
      <c r="S952" s="168"/>
      <c r="T952" s="168"/>
      <c r="U952" s="168"/>
      <c r="V952" s="168"/>
      <c r="W952" s="168"/>
      <c r="X952" s="168"/>
      <c r="Y952" s="168"/>
      <c r="Z952" s="168"/>
    </row>
    <row r="953" customFormat="false" ht="15.75" hidden="false" customHeight="false" outlineLevel="0" collapsed="false">
      <c r="A953" s="168"/>
      <c r="B953" s="168"/>
      <c r="C953" s="168"/>
      <c r="D953" s="168"/>
      <c r="E953" s="168"/>
      <c r="F953" s="168"/>
      <c r="G953" s="168"/>
      <c r="H953" s="168"/>
      <c r="I953" s="168"/>
      <c r="J953" s="168"/>
      <c r="K953" s="168"/>
      <c r="L953" s="168"/>
      <c r="M953" s="168"/>
      <c r="N953" s="168"/>
      <c r="O953" s="168"/>
      <c r="P953" s="168"/>
      <c r="Q953" s="168"/>
      <c r="R953" s="168"/>
      <c r="S953" s="168"/>
      <c r="T953" s="168"/>
      <c r="U953" s="168"/>
      <c r="V953" s="168"/>
      <c r="W953" s="168"/>
      <c r="X953" s="168"/>
      <c r="Y953" s="168"/>
      <c r="Z953" s="168"/>
    </row>
    <row r="954" customFormat="false" ht="15.75" hidden="false" customHeight="false" outlineLevel="0" collapsed="false">
      <c r="A954" s="168"/>
      <c r="B954" s="168"/>
      <c r="C954" s="168"/>
      <c r="D954" s="168"/>
      <c r="E954" s="168"/>
      <c r="F954" s="168"/>
      <c r="G954" s="168"/>
      <c r="H954" s="168"/>
      <c r="I954" s="168"/>
      <c r="J954" s="168"/>
      <c r="K954" s="168"/>
      <c r="L954" s="168"/>
      <c r="M954" s="168"/>
      <c r="N954" s="168"/>
      <c r="O954" s="168"/>
      <c r="P954" s="168"/>
      <c r="Q954" s="168"/>
      <c r="R954" s="168"/>
      <c r="S954" s="168"/>
      <c r="T954" s="168"/>
      <c r="U954" s="168"/>
      <c r="V954" s="168"/>
      <c r="W954" s="168"/>
      <c r="X954" s="168"/>
      <c r="Y954" s="168"/>
      <c r="Z954" s="168"/>
    </row>
    <row r="955" customFormat="false" ht="15.75" hidden="false" customHeight="false" outlineLevel="0" collapsed="false">
      <c r="A955" s="168"/>
      <c r="B955" s="168"/>
      <c r="C955" s="168"/>
      <c r="D955" s="168"/>
      <c r="E955" s="168"/>
      <c r="F955" s="168"/>
      <c r="G955" s="168"/>
      <c r="H955" s="168"/>
      <c r="I955" s="168"/>
      <c r="J955" s="168"/>
      <c r="K955" s="168"/>
      <c r="L955" s="168"/>
      <c r="M955" s="168"/>
      <c r="N955" s="168"/>
      <c r="O955" s="168"/>
      <c r="P955" s="168"/>
      <c r="Q955" s="168"/>
      <c r="R955" s="168"/>
      <c r="S955" s="168"/>
      <c r="T955" s="168"/>
      <c r="U955" s="168"/>
      <c r="V955" s="168"/>
      <c r="W955" s="168"/>
      <c r="X955" s="168"/>
      <c r="Y955" s="168"/>
      <c r="Z955" s="168"/>
    </row>
    <row r="956" customFormat="false" ht="15.75" hidden="false" customHeight="false" outlineLevel="0" collapsed="false">
      <c r="A956" s="168"/>
      <c r="B956" s="168"/>
      <c r="C956" s="168"/>
      <c r="D956" s="168"/>
      <c r="E956" s="168"/>
      <c r="F956" s="168"/>
      <c r="G956" s="168"/>
      <c r="H956" s="168"/>
      <c r="I956" s="168"/>
      <c r="J956" s="168"/>
      <c r="K956" s="168"/>
      <c r="L956" s="168"/>
      <c r="M956" s="168"/>
      <c r="N956" s="168"/>
      <c r="O956" s="168"/>
      <c r="P956" s="168"/>
      <c r="Q956" s="168"/>
      <c r="R956" s="168"/>
      <c r="S956" s="168"/>
      <c r="T956" s="168"/>
      <c r="U956" s="168"/>
      <c r="V956" s="168"/>
      <c r="W956" s="168"/>
      <c r="X956" s="168"/>
      <c r="Y956" s="168"/>
      <c r="Z956" s="168"/>
    </row>
    <row r="957" customFormat="false" ht="15.75" hidden="false" customHeight="false" outlineLevel="0" collapsed="false">
      <c r="A957" s="168"/>
      <c r="B957" s="168"/>
      <c r="C957" s="168"/>
      <c r="D957" s="168"/>
      <c r="E957" s="168"/>
      <c r="F957" s="168"/>
      <c r="G957" s="168"/>
      <c r="H957" s="168"/>
      <c r="I957" s="168"/>
      <c r="J957" s="168"/>
      <c r="K957" s="168"/>
      <c r="L957" s="168"/>
      <c r="M957" s="168"/>
      <c r="N957" s="168"/>
      <c r="O957" s="168"/>
      <c r="P957" s="168"/>
      <c r="Q957" s="168"/>
      <c r="R957" s="168"/>
      <c r="S957" s="168"/>
      <c r="T957" s="168"/>
      <c r="U957" s="168"/>
      <c r="V957" s="168"/>
      <c r="W957" s="168"/>
      <c r="X957" s="168"/>
      <c r="Y957" s="168"/>
      <c r="Z957" s="168"/>
    </row>
    <row r="958" customFormat="false" ht="15.75" hidden="false" customHeight="false" outlineLevel="0" collapsed="false">
      <c r="A958" s="168"/>
      <c r="B958" s="168"/>
      <c r="C958" s="168"/>
      <c r="D958" s="168"/>
      <c r="E958" s="168"/>
      <c r="F958" s="168"/>
      <c r="G958" s="168"/>
      <c r="H958" s="168"/>
      <c r="I958" s="168"/>
      <c r="J958" s="168"/>
      <c r="K958" s="168"/>
      <c r="L958" s="168"/>
      <c r="M958" s="168"/>
      <c r="N958" s="168"/>
      <c r="O958" s="168"/>
      <c r="P958" s="168"/>
      <c r="Q958" s="168"/>
      <c r="R958" s="168"/>
      <c r="S958" s="168"/>
      <c r="T958" s="168"/>
      <c r="U958" s="168"/>
      <c r="V958" s="168"/>
      <c r="W958" s="168"/>
      <c r="X958" s="168"/>
      <c r="Y958" s="168"/>
      <c r="Z958" s="168"/>
    </row>
    <row r="959" customFormat="false" ht="15.75" hidden="false" customHeight="false" outlineLevel="0" collapsed="false">
      <c r="A959" s="168"/>
      <c r="B959" s="168"/>
      <c r="C959" s="168"/>
      <c r="D959" s="168"/>
      <c r="E959" s="168"/>
      <c r="F959" s="168"/>
      <c r="G959" s="168"/>
      <c r="H959" s="168"/>
      <c r="I959" s="168"/>
      <c r="J959" s="168"/>
      <c r="K959" s="168"/>
      <c r="L959" s="168"/>
      <c r="M959" s="168"/>
      <c r="N959" s="168"/>
      <c r="O959" s="168"/>
      <c r="P959" s="168"/>
      <c r="Q959" s="168"/>
      <c r="R959" s="168"/>
      <c r="S959" s="168"/>
      <c r="T959" s="168"/>
      <c r="U959" s="168"/>
      <c r="V959" s="168"/>
      <c r="W959" s="168"/>
      <c r="X959" s="168"/>
      <c r="Y959" s="168"/>
      <c r="Z959" s="168"/>
    </row>
    <row r="960" customFormat="false" ht="15.75" hidden="false" customHeight="false" outlineLevel="0" collapsed="false">
      <c r="A960" s="168"/>
      <c r="B960" s="168"/>
      <c r="C960" s="168"/>
      <c r="D960" s="168"/>
      <c r="E960" s="168"/>
      <c r="F960" s="168"/>
      <c r="G960" s="168"/>
      <c r="H960" s="168"/>
      <c r="I960" s="168"/>
      <c r="J960" s="168"/>
      <c r="K960" s="168"/>
      <c r="L960" s="168"/>
      <c r="M960" s="168"/>
      <c r="N960" s="168"/>
      <c r="O960" s="168"/>
      <c r="P960" s="168"/>
      <c r="Q960" s="168"/>
      <c r="R960" s="168"/>
      <c r="S960" s="168"/>
      <c r="T960" s="168"/>
      <c r="U960" s="168"/>
      <c r="V960" s="168"/>
      <c r="W960" s="168"/>
      <c r="X960" s="168"/>
      <c r="Y960" s="168"/>
      <c r="Z960" s="168"/>
    </row>
    <row r="961" customFormat="false" ht="15.75" hidden="false" customHeight="false" outlineLevel="0" collapsed="false">
      <c r="A961" s="168"/>
      <c r="B961" s="168"/>
      <c r="C961" s="168"/>
      <c r="D961" s="168"/>
      <c r="E961" s="168"/>
      <c r="F961" s="168"/>
      <c r="G961" s="168"/>
      <c r="H961" s="168"/>
      <c r="I961" s="168"/>
      <c r="J961" s="168"/>
      <c r="K961" s="168"/>
      <c r="L961" s="168"/>
      <c r="M961" s="168"/>
      <c r="N961" s="168"/>
      <c r="O961" s="168"/>
      <c r="P961" s="168"/>
      <c r="Q961" s="168"/>
      <c r="R961" s="168"/>
      <c r="S961" s="168"/>
      <c r="T961" s="168"/>
      <c r="U961" s="168"/>
      <c r="V961" s="168"/>
      <c r="W961" s="168"/>
      <c r="X961" s="168"/>
      <c r="Y961" s="168"/>
      <c r="Z961" s="168"/>
    </row>
    <row r="962" customFormat="false" ht="15.75" hidden="false" customHeight="false" outlineLevel="0" collapsed="false">
      <c r="A962" s="168"/>
      <c r="B962" s="168"/>
      <c r="C962" s="168"/>
      <c r="D962" s="168"/>
      <c r="E962" s="168"/>
      <c r="F962" s="168"/>
      <c r="G962" s="168"/>
      <c r="H962" s="168"/>
      <c r="I962" s="168"/>
      <c r="J962" s="168"/>
      <c r="K962" s="168"/>
      <c r="L962" s="168"/>
      <c r="M962" s="168"/>
      <c r="N962" s="168"/>
      <c r="O962" s="168"/>
      <c r="P962" s="168"/>
      <c r="Q962" s="168"/>
      <c r="R962" s="168"/>
      <c r="S962" s="168"/>
      <c r="T962" s="168"/>
      <c r="U962" s="168"/>
      <c r="V962" s="168"/>
      <c r="W962" s="168"/>
      <c r="X962" s="168"/>
      <c r="Y962" s="168"/>
      <c r="Z962" s="168"/>
    </row>
    <row r="963" customFormat="false" ht="15.75" hidden="false" customHeight="false" outlineLevel="0" collapsed="false">
      <c r="A963" s="168"/>
      <c r="B963" s="168"/>
      <c r="C963" s="168"/>
      <c r="D963" s="168"/>
      <c r="E963" s="168"/>
      <c r="F963" s="168"/>
      <c r="G963" s="168"/>
      <c r="H963" s="168"/>
      <c r="I963" s="168"/>
      <c r="J963" s="168"/>
      <c r="K963" s="168"/>
      <c r="L963" s="168"/>
      <c r="M963" s="168"/>
      <c r="N963" s="168"/>
      <c r="O963" s="168"/>
      <c r="P963" s="168"/>
      <c r="Q963" s="168"/>
      <c r="R963" s="168"/>
      <c r="S963" s="168"/>
      <c r="T963" s="168"/>
      <c r="U963" s="168"/>
      <c r="V963" s="168"/>
      <c r="W963" s="168"/>
      <c r="X963" s="168"/>
      <c r="Y963" s="168"/>
      <c r="Z963" s="168"/>
    </row>
    <row r="964" customFormat="false" ht="15.75" hidden="false" customHeight="false" outlineLevel="0" collapsed="false">
      <c r="A964" s="168"/>
      <c r="B964" s="168"/>
      <c r="C964" s="168"/>
      <c r="D964" s="168"/>
      <c r="E964" s="168"/>
      <c r="F964" s="168"/>
      <c r="G964" s="168"/>
      <c r="H964" s="168"/>
      <c r="I964" s="168"/>
      <c r="J964" s="168"/>
      <c r="K964" s="168"/>
      <c r="L964" s="168"/>
      <c r="M964" s="168"/>
      <c r="N964" s="168"/>
      <c r="O964" s="168"/>
      <c r="P964" s="168"/>
      <c r="Q964" s="168"/>
      <c r="R964" s="168"/>
      <c r="S964" s="168"/>
      <c r="T964" s="168"/>
      <c r="U964" s="168"/>
      <c r="V964" s="168"/>
      <c r="W964" s="168"/>
      <c r="X964" s="168"/>
      <c r="Y964" s="168"/>
      <c r="Z964" s="168"/>
    </row>
    <row r="965" customFormat="false" ht="15.75" hidden="false" customHeight="false" outlineLevel="0" collapsed="false">
      <c r="A965" s="168"/>
      <c r="B965" s="168"/>
      <c r="C965" s="168"/>
      <c r="D965" s="168"/>
      <c r="E965" s="168"/>
      <c r="F965" s="168"/>
      <c r="G965" s="168"/>
      <c r="H965" s="168"/>
      <c r="I965" s="168"/>
      <c r="J965" s="168"/>
      <c r="K965" s="168"/>
      <c r="L965" s="168"/>
      <c r="M965" s="168"/>
      <c r="N965" s="168"/>
      <c r="O965" s="168"/>
      <c r="P965" s="168"/>
      <c r="Q965" s="168"/>
      <c r="R965" s="168"/>
      <c r="S965" s="168"/>
      <c r="T965" s="168"/>
      <c r="U965" s="168"/>
      <c r="V965" s="168"/>
      <c r="W965" s="168"/>
      <c r="X965" s="168"/>
      <c r="Y965" s="168"/>
      <c r="Z965" s="168"/>
    </row>
    <row r="966" customFormat="false" ht="15.75" hidden="false" customHeight="false" outlineLevel="0" collapsed="false">
      <c r="A966" s="168"/>
      <c r="B966" s="168"/>
      <c r="C966" s="168"/>
      <c r="D966" s="168"/>
      <c r="E966" s="168"/>
      <c r="F966" s="168"/>
      <c r="G966" s="168"/>
      <c r="H966" s="168"/>
      <c r="I966" s="168"/>
      <c r="J966" s="168"/>
      <c r="K966" s="168"/>
      <c r="L966" s="168"/>
      <c r="M966" s="168"/>
      <c r="N966" s="168"/>
      <c r="O966" s="168"/>
      <c r="P966" s="168"/>
      <c r="Q966" s="168"/>
      <c r="R966" s="168"/>
      <c r="S966" s="168"/>
      <c r="T966" s="168"/>
      <c r="U966" s="168"/>
      <c r="V966" s="168"/>
      <c r="W966" s="168"/>
      <c r="X966" s="168"/>
      <c r="Y966" s="168"/>
      <c r="Z966" s="168"/>
    </row>
    <row r="967" customFormat="false" ht="15.75" hidden="false" customHeight="false" outlineLevel="0" collapsed="false">
      <c r="A967" s="168"/>
      <c r="B967" s="168"/>
      <c r="C967" s="168"/>
      <c r="D967" s="168"/>
      <c r="E967" s="168"/>
      <c r="F967" s="168"/>
      <c r="G967" s="168"/>
      <c r="H967" s="168"/>
      <c r="I967" s="168"/>
      <c r="J967" s="168"/>
      <c r="K967" s="168"/>
      <c r="L967" s="168"/>
      <c r="M967" s="168"/>
      <c r="N967" s="168"/>
      <c r="O967" s="168"/>
      <c r="P967" s="168"/>
      <c r="Q967" s="168"/>
      <c r="R967" s="168"/>
      <c r="S967" s="168"/>
      <c r="T967" s="168"/>
      <c r="U967" s="168"/>
      <c r="V967" s="168"/>
      <c r="W967" s="168"/>
      <c r="X967" s="168"/>
      <c r="Y967" s="168"/>
      <c r="Z967" s="168"/>
    </row>
    <row r="968" customFormat="false" ht="15.75" hidden="false" customHeight="false" outlineLevel="0" collapsed="false">
      <c r="A968" s="168"/>
      <c r="B968" s="168"/>
      <c r="C968" s="168"/>
      <c r="D968" s="168"/>
      <c r="E968" s="168"/>
      <c r="F968" s="168"/>
      <c r="G968" s="168"/>
      <c r="H968" s="168"/>
      <c r="I968" s="168"/>
      <c r="J968" s="168"/>
      <c r="K968" s="168"/>
      <c r="L968" s="168"/>
      <c r="M968" s="168"/>
      <c r="N968" s="168"/>
      <c r="O968" s="168"/>
      <c r="P968" s="168"/>
      <c r="Q968" s="168"/>
      <c r="R968" s="168"/>
      <c r="S968" s="168"/>
      <c r="T968" s="168"/>
      <c r="U968" s="168"/>
      <c r="V968" s="168"/>
      <c r="W968" s="168"/>
      <c r="X968" s="168"/>
      <c r="Y968" s="168"/>
      <c r="Z968" s="168"/>
    </row>
    <row r="969" customFormat="false" ht="15.75" hidden="false" customHeight="false" outlineLevel="0" collapsed="false">
      <c r="A969" s="168"/>
      <c r="B969" s="168"/>
      <c r="C969" s="168"/>
      <c r="D969" s="168"/>
      <c r="E969" s="168"/>
      <c r="F969" s="168"/>
      <c r="G969" s="168"/>
      <c r="H969" s="168"/>
      <c r="I969" s="168"/>
      <c r="J969" s="168"/>
      <c r="K969" s="168"/>
      <c r="L969" s="168"/>
      <c r="M969" s="168"/>
      <c r="N969" s="168"/>
      <c r="O969" s="168"/>
      <c r="P969" s="168"/>
      <c r="Q969" s="168"/>
      <c r="R969" s="168"/>
      <c r="S969" s="168"/>
      <c r="T969" s="168"/>
      <c r="U969" s="168"/>
      <c r="V969" s="168"/>
      <c r="W969" s="168"/>
      <c r="X969" s="168"/>
      <c r="Y969" s="168"/>
      <c r="Z969" s="168"/>
    </row>
    <row r="970" customFormat="false" ht="15.75" hidden="false" customHeight="false" outlineLevel="0" collapsed="false">
      <c r="A970" s="168"/>
      <c r="B970" s="168"/>
      <c r="C970" s="168"/>
      <c r="D970" s="168"/>
      <c r="E970" s="168"/>
      <c r="F970" s="168"/>
      <c r="G970" s="168"/>
      <c r="H970" s="168"/>
      <c r="I970" s="168"/>
      <c r="J970" s="168"/>
      <c r="K970" s="168"/>
      <c r="L970" s="168"/>
      <c r="M970" s="168"/>
      <c r="N970" s="168"/>
      <c r="O970" s="168"/>
      <c r="P970" s="168"/>
      <c r="Q970" s="168"/>
      <c r="R970" s="168"/>
      <c r="S970" s="168"/>
      <c r="T970" s="168"/>
      <c r="U970" s="168"/>
      <c r="V970" s="168"/>
      <c r="W970" s="168"/>
      <c r="X970" s="168"/>
      <c r="Y970" s="168"/>
      <c r="Z970" s="168"/>
    </row>
    <row r="971" customFormat="false" ht="15.75" hidden="false" customHeight="false" outlineLevel="0" collapsed="false">
      <c r="A971" s="168"/>
      <c r="B971" s="168"/>
      <c r="C971" s="168"/>
      <c r="D971" s="168"/>
      <c r="E971" s="168"/>
      <c r="F971" s="168"/>
      <c r="G971" s="168"/>
      <c r="H971" s="168"/>
      <c r="I971" s="168"/>
      <c r="J971" s="168"/>
      <c r="K971" s="168"/>
      <c r="L971" s="168"/>
      <c r="M971" s="168"/>
      <c r="N971" s="168"/>
      <c r="O971" s="168"/>
      <c r="P971" s="168"/>
      <c r="Q971" s="168"/>
      <c r="R971" s="168"/>
      <c r="S971" s="168"/>
      <c r="T971" s="168"/>
      <c r="U971" s="168"/>
      <c r="V971" s="168"/>
      <c r="W971" s="168"/>
      <c r="X971" s="168"/>
      <c r="Y971" s="168"/>
      <c r="Z971" s="168"/>
    </row>
    <row r="972" customFormat="false" ht="15.75" hidden="false" customHeight="false" outlineLevel="0" collapsed="false">
      <c r="A972" s="168"/>
      <c r="B972" s="168"/>
      <c r="C972" s="168"/>
      <c r="D972" s="168"/>
      <c r="E972" s="168"/>
      <c r="F972" s="168"/>
      <c r="G972" s="168"/>
      <c r="H972" s="168"/>
      <c r="I972" s="168"/>
      <c r="J972" s="168"/>
      <c r="K972" s="168"/>
      <c r="L972" s="168"/>
      <c r="M972" s="168"/>
      <c r="N972" s="168"/>
      <c r="O972" s="168"/>
      <c r="P972" s="168"/>
      <c r="Q972" s="168"/>
      <c r="R972" s="168"/>
      <c r="S972" s="168"/>
      <c r="T972" s="168"/>
      <c r="U972" s="168"/>
      <c r="V972" s="168"/>
      <c r="W972" s="168"/>
      <c r="X972" s="168"/>
      <c r="Y972" s="168"/>
      <c r="Z972" s="168"/>
    </row>
    <row r="973" customFormat="false" ht="15.75" hidden="false" customHeight="false" outlineLevel="0" collapsed="false">
      <c r="A973" s="168"/>
      <c r="B973" s="168"/>
      <c r="C973" s="168"/>
      <c r="D973" s="168"/>
      <c r="E973" s="168"/>
      <c r="F973" s="168"/>
      <c r="G973" s="168"/>
      <c r="H973" s="168"/>
      <c r="I973" s="168"/>
      <c r="J973" s="168"/>
      <c r="K973" s="168"/>
      <c r="L973" s="168"/>
      <c r="M973" s="168"/>
      <c r="N973" s="168"/>
      <c r="O973" s="168"/>
      <c r="P973" s="168"/>
      <c r="Q973" s="168"/>
      <c r="R973" s="168"/>
      <c r="S973" s="168"/>
      <c r="T973" s="168"/>
      <c r="U973" s="168"/>
      <c r="V973" s="168"/>
      <c r="W973" s="168"/>
      <c r="X973" s="168"/>
      <c r="Y973" s="168"/>
      <c r="Z973" s="168"/>
    </row>
    <row r="974" customFormat="false" ht="15.75" hidden="false" customHeight="false" outlineLevel="0" collapsed="false">
      <c r="A974" s="168"/>
      <c r="B974" s="168"/>
      <c r="C974" s="168"/>
      <c r="D974" s="168"/>
      <c r="E974" s="168"/>
      <c r="F974" s="168"/>
      <c r="G974" s="168"/>
      <c r="H974" s="168"/>
      <c r="I974" s="168"/>
      <c r="J974" s="168"/>
      <c r="K974" s="168"/>
      <c r="L974" s="168"/>
      <c r="M974" s="168"/>
      <c r="N974" s="168"/>
      <c r="O974" s="168"/>
      <c r="P974" s="168"/>
      <c r="Q974" s="168"/>
      <c r="R974" s="168"/>
      <c r="S974" s="168"/>
      <c r="T974" s="168"/>
      <c r="U974" s="168"/>
      <c r="V974" s="168"/>
      <c r="W974" s="168"/>
      <c r="X974" s="168"/>
      <c r="Y974" s="168"/>
      <c r="Z974" s="168"/>
    </row>
    <row r="975" customFormat="false" ht="15.75" hidden="false" customHeight="false" outlineLevel="0" collapsed="false">
      <c r="A975" s="168"/>
      <c r="B975" s="168"/>
      <c r="C975" s="168"/>
      <c r="D975" s="168"/>
      <c r="E975" s="168"/>
      <c r="F975" s="168"/>
      <c r="G975" s="168"/>
      <c r="H975" s="168"/>
      <c r="I975" s="168"/>
      <c r="J975" s="168"/>
      <c r="K975" s="168"/>
      <c r="L975" s="168"/>
      <c r="M975" s="168"/>
      <c r="N975" s="168"/>
      <c r="O975" s="168"/>
      <c r="P975" s="168"/>
      <c r="Q975" s="168"/>
      <c r="R975" s="168"/>
      <c r="S975" s="168"/>
      <c r="T975" s="168"/>
      <c r="U975" s="168"/>
      <c r="V975" s="168"/>
      <c r="W975" s="168"/>
      <c r="X975" s="168"/>
      <c r="Y975" s="168"/>
      <c r="Z975" s="168"/>
    </row>
    <row r="976" customFormat="false" ht="15.75" hidden="false" customHeight="false" outlineLevel="0" collapsed="false">
      <c r="A976" s="168"/>
      <c r="B976" s="168"/>
      <c r="C976" s="168"/>
      <c r="D976" s="168"/>
      <c r="E976" s="168"/>
      <c r="F976" s="168"/>
      <c r="G976" s="168"/>
      <c r="H976" s="168"/>
      <c r="I976" s="168"/>
      <c r="J976" s="168"/>
      <c r="K976" s="168"/>
      <c r="L976" s="168"/>
      <c r="M976" s="168"/>
      <c r="N976" s="168"/>
      <c r="O976" s="168"/>
      <c r="P976" s="168"/>
      <c r="Q976" s="168"/>
      <c r="R976" s="168"/>
      <c r="S976" s="168"/>
      <c r="T976" s="168"/>
      <c r="U976" s="168"/>
      <c r="V976" s="168"/>
      <c r="W976" s="168"/>
      <c r="X976" s="168"/>
      <c r="Y976" s="168"/>
      <c r="Z976" s="168"/>
    </row>
    <row r="977" customFormat="false" ht="15.75" hidden="false" customHeight="false" outlineLevel="0" collapsed="false">
      <c r="A977" s="168"/>
      <c r="B977" s="168"/>
      <c r="C977" s="168"/>
      <c r="D977" s="168"/>
      <c r="E977" s="168"/>
      <c r="F977" s="168"/>
      <c r="G977" s="168"/>
      <c r="H977" s="168"/>
      <c r="I977" s="168"/>
      <c r="J977" s="168"/>
      <c r="K977" s="168"/>
      <c r="L977" s="168"/>
      <c r="M977" s="168"/>
      <c r="N977" s="168"/>
      <c r="O977" s="168"/>
      <c r="P977" s="168"/>
      <c r="Q977" s="168"/>
      <c r="R977" s="168"/>
      <c r="S977" s="168"/>
      <c r="T977" s="168"/>
      <c r="U977" s="168"/>
      <c r="V977" s="168"/>
      <c r="W977" s="168"/>
      <c r="X977" s="168"/>
      <c r="Y977" s="168"/>
      <c r="Z977" s="168"/>
    </row>
    <row r="978" customFormat="false" ht="15.75" hidden="false" customHeight="false" outlineLevel="0" collapsed="false">
      <c r="A978" s="168"/>
      <c r="B978" s="168"/>
      <c r="C978" s="168"/>
      <c r="D978" s="168"/>
      <c r="E978" s="168"/>
      <c r="F978" s="168"/>
      <c r="G978" s="168"/>
      <c r="H978" s="168"/>
      <c r="I978" s="168"/>
      <c r="J978" s="168"/>
      <c r="K978" s="168"/>
      <c r="L978" s="168"/>
      <c r="M978" s="168"/>
      <c r="N978" s="168"/>
      <c r="O978" s="168"/>
      <c r="P978" s="168"/>
      <c r="Q978" s="168"/>
      <c r="R978" s="168"/>
      <c r="S978" s="168"/>
      <c r="T978" s="168"/>
      <c r="U978" s="168"/>
      <c r="V978" s="168"/>
      <c r="W978" s="168"/>
      <c r="X978" s="168"/>
      <c r="Y978" s="168"/>
      <c r="Z978" s="168"/>
    </row>
    <row r="979" customFormat="false" ht="15.75" hidden="false" customHeight="false" outlineLevel="0" collapsed="false">
      <c r="A979" s="168"/>
      <c r="B979" s="168"/>
      <c r="C979" s="168"/>
      <c r="D979" s="168"/>
      <c r="E979" s="168"/>
      <c r="F979" s="168"/>
      <c r="G979" s="168"/>
      <c r="H979" s="168"/>
      <c r="I979" s="168"/>
      <c r="J979" s="168"/>
      <c r="K979" s="168"/>
      <c r="L979" s="168"/>
      <c r="M979" s="168"/>
      <c r="N979" s="168"/>
      <c r="O979" s="168"/>
      <c r="P979" s="168"/>
      <c r="Q979" s="168"/>
      <c r="R979" s="168"/>
      <c r="S979" s="168"/>
      <c r="T979" s="168"/>
      <c r="U979" s="168"/>
      <c r="V979" s="168"/>
      <c r="W979" s="168"/>
      <c r="X979" s="168"/>
      <c r="Y979" s="168"/>
      <c r="Z979" s="168"/>
    </row>
    <row r="980" customFormat="false" ht="15.75" hidden="false" customHeight="false" outlineLevel="0" collapsed="false">
      <c r="A980" s="168"/>
      <c r="B980" s="168"/>
      <c r="C980" s="168"/>
      <c r="D980" s="168"/>
      <c r="E980" s="168"/>
      <c r="F980" s="168"/>
      <c r="G980" s="168"/>
      <c r="H980" s="168"/>
      <c r="I980" s="168"/>
      <c r="J980" s="168"/>
      <c r="K980" s="168"/>
      <c r="L980" s="168"/>
      <c r="M980" s="168"/>
      <c r="N980" s="168"/>
      <c r="O980" s="168"/>
      <c r="P980" s="168"/>
      <c r="Q980" s="168"/>
      <c r="R980" s="168"/>
      <c r="S980" s="168"/>
      <c r="T980" s="168"/>
      <c r="U980" s="168"/>
      <c r="V980" s="168"/>
      <c r="W980" s="168"/>
      <c r="X980" s="168"/>
      <c r="Y980" s="168"/>
      <c r="Z980" s="168"/>
    </row>
    <row r="981" customFormat="false" ht="15.75" hidden="false" customHeight="false" outlineLevel="0" collapsed="false">
      <c r="A981" s="168"/>
      <c r="B981" s="168"/>
      <c r="C981" s="168"/>
      <c r="D981" s="168"/>
      <c r="E981" s="168"/>
      <c r="F981" s="168"/>
      <c r="G981" s="168"/>
      <c r="H981" s="168"/>
      <c r="I981" s="168"/>
      <c r="J981" s="168"/>
      <c r="K981" s="168"/>
      <c r="L981" s="168"/>
      <c r="M981" s="168"/>
      <c r="N981" s="168"/>
      <c r="O981" s="168"/>
      <c r="P981" s="168"/>
      <c r="Q981" s="168"/>
      <c r="R981" s="168"/>
      <c r="S981" s="168"/>
      <c r="T981" s="168"/>
      <c r="U981" s="168"/>
      <c r="V981" s="168"/>
      <c r="W981" s="168"/>
      <c r="X981" s="168"/>
      <c r="Y981" s="168"/>
      <c r="Z981" s="168"/>
    </row>
    <row r="982" customFormat="false" ht="15.75" hidden="false" customHeight="false" outlineLevel="0" collapsed="false">
      <c r="A982" s="168"/>
      <c r="B982" s="168"/>
      <c r="C982" s="168"/>
      <c r="D982" s="168"/>
      <c r="E982" s="168"/>
      <c r="F982" s="168"/>
      <c r="G982" s="168"/>
      <c r="H982" s="168"/>
      <c r="I982" s="168"/>
      <c r="J982" s="168"/>
      <c r="K982" s="168"/>
      <c r="L982" s="168"/>
      <c r="M982" s="168"/>
      <c r="N982" s="168"/>
      <c r="O982" s="168"/>
      <c r="P982" s="168"/>
      <c r="Q982" s="168"/>
      <c r="R982" s="168"/>
      <c r="S982" s="168"/>
      <c r="T982" s="168"/>
      <c r="U982" s="168"/>
      <c r="V982" s="168"/>
      <c r="W982" s="168"/>
      <c r="X982" s="168"/>
      <c r="Y982" s="168"/>
      <c r="Z982" s="168"/>
    </row>
    <row r="983" customFormat="false" ht="15.75" hidden="false" customHeight="false" outlineLevel="0" collapsed="false">
      <c r="A983" s="168"/>
      <c r="B983" s="168"/>
      <c r="C983" s="168"/>
      <c r="D983" s="168"/>
      <c r="E983" s="168"/>
      <c r="F983" s="168"/>
      <c r="G983" s="168"/>
      <c r="H983" s="168"/>
      <c r="I983" s="168"/>
      <c r="J983" s="168"/>
      <c r="K983" s="168"/>
      <c r="L983" s="168"/>
      <c r="M983" s="168"/>
      <c r="N983" s="168"/>
      <c r="O983" s="168"/>
      <c r="P983" s="168"/>
      <c r="Q983" s="168"/>
      <c r="R983" s="168"/>
      <c r="S983" s="168"/>
      <c r="T983" s="168"/>
      <c r="U983" s="168"/>
      <c r="V983" s="168"/>
      <c r="W983" s="168"/>
      <c r="X983" s="168"/>
      <c r="Y983" s="168"/>
      <c r="Z983" s="168"/>
    </row>
    <row r="984" customFormat="false" ht="15.75" hidden="false" customHeight="false" outlineLevel="0" collapsed="false">
      <c r="A984" s="168"/>
      <c r="B984" s="168"/>
      <c r="C984" s="168"/>
      <c r="D984" s="168"/>
      <c r="E984" s="168"/>
      <c r="F984" s="168"/>
      <c r="G984" s="168"/>
      <c r="H984" s="168"/>
      <c r="I984" s="168"/>
      <c r="J984" s="168"/>
      <c r="K984" s="168"/>
      <c r="L984" s="168"/>
      <c r="M984" s="168"/>
      <c r="N984" s="168"/>
      <c r="O984" s="168"/>
      <c r="P984" s="168"/>
      <c r="Q984" s="168"/>
      <c r="R984" s="168"/>
      <c r="S984" s="168"/>
      <c r="T984" s="168"/>
      <c r="U984" s="168"/>
      <c r="V984" s="168"/>
      <c r="W984" s="168"/>
      <c r="X984" s="168"/>
      <c r="Y984" s="168"/>
      <c r="Z984" s="168"/>
    </row>
    <row r="985" customFormat="false" ht="15.75" hidden="false" customHeight="false" outlineLevel="0" collapsed="false">
      <c r="A985" s="168"/>
      <c r="B985" s="168"/>
      <c r="C985" s="168"/>
      <c r="D985" s="168"/>
      <c r="E985" s="168"/>
      <c r="F985" s="168"/>
      <c r="G985" s="168"/>
      <c r="H985" s="168"/>
      <c r="I985" s="168"/>
      <c r="J985" s="168"/>
      <c r="K985" s="168"/>
      <c r="L985" s="168"/>
      <c r="M985" s="168"/>
      <c r="N985" s="168"/>
      <c r="O985" s="168"/>
      <c r="P985" s="168"/>
      <c r="Q985" s="168"/>
      <c r="R985" s="168"/>
      <c r="S985" s="168"/>
      <c r="T985" s="168"/>
      <c r="U985" s="168"/>
      <c r="V985" s="168"/>
      <c r="W985" s="168"/>
      <c r="X985" s="168"/>
      <c r="Y985" s="168"/>
      <c r="Z985" s="168"/>
    </row>
    <row r="986" customFormat="false" ht="15.75" hidden="false" customHeight="false" outlineLevel="0" collapsed="false">
      <c r="A986" s="168"/>
      <c r="B986" s="168"/>
      <c r="C986" s="168"/>
      <c r="D986" s="168"/>
      <c r="E986" s="168"/>
      <c r="F986" s="168"/>
      <c r="G986" s="168"/>
      <c r="H986" s="168"/>
      <c r="I986" s="168"/>
      <c r="J986" s="168"/>
      <c r="K986" s="168"/>
      <c r="L986" s="168"/>
      <c r="M986" s="168"/>
      <c r="N986" s="168"/>
      <c r="O986" s="168"/>
      <c r="P986" s="168"/>
      <c r="Q986" s="168"/>
      <c r="R986" s="168"/>
      <c r="S986" s="168"/>
      <c r="T986" s="168"/>
      <c r="U986" s="168"/>
      <c r="V986" s="168"/>
      <c r="W986" s="168"/>
      <c r="X986" s="168"/>
      <c r="Y986" s="168"/>
      <c r="Z986" s="168"/>
    </row>
    <row r="987" customFormat="false" ht="15.75" hidden="false" customHeight="false" outlineLevel="0" collapsed="false">
      <c r="A987" s="168"/>
      <c r="B987" s="168"/>
      <c r="C987" s="168"/>
      <c r="D987" s="168"/>
      <c r="E987" s="168"/>
      <c r="F987" s="168"/>
      <c r="G987" s="168"/>
      <c r="H987" s="168"/>
      <c r="I987" s="168"/>
      <c r="J987" s="168"/>
      <c r="K987" s="168"/>
      <c r="L987" s="168"/>
      <c r="M987" s="168"/>
      <c r="N987" s="168"/>
      <c r="O987" s="168"/>
      <c r="P987" s="168"/>
      <c r="Q987" s="168"/>
      <c r="R987" s="168"/>
      <c r="S987" s="168"/>
      <c r="T987" s="168"/>
      <c r="U987" s="168"/>
      <c r="V987" s="168"/>
      <c r="W987" s="168"/>
      <c r="X987" s="168"/>
      <c r="Y987" s="168"/>
      <c r="Z987" s="168"/>
    </row>
    <row r="988" customFormat="false" ht="15.75" hidden="false" customHeight="false" outlineLevel="0" collapsed="false">
      <c r="A988" s="168"/>
      <c r="B988" s="168"/>
      <c r="C988" s="168"/>
      <c r="D988" s="168"/>
      <c r="E988" s="168"/>
      <c r="F988" s="168"/>
      <c r="G988" s="168"/>
      <c r="H988" s="168"/>
      <c r="I988" s="168"/>
      <c r="J988" s="168"/>
      <c r="K988" s="168"/>
      <c r="L988" s="168"/>
      <c r="M988" s="168"/>
      <c r="N988" s="168"/>
      <c r="O988" s="168"/>
      <c r="P988" s="168"/>
      <c r="Q988" s="168"/>
      <c r="R988" s="168"/>
      <c r="S988" s="168"/>
      <c r="T988" s="168"/>
      <c r="U988" s="168"/>
      <c r="V988" s="168"/>
      <c r="W988" s="168"/>
      <c r="X988" s="168"/>
      <c r="Y988" s="168"/>
      <c r="Z988" s="168"/>
    </row>
    <row r="989" customFormat="false" ht="15.75" hidden="false" customHeight="false" outlineLevel="0" collapsed="false">
      <c r="A989" s="168"/>
      <c r="B989" s="168"/>
      <c r="C989" s="168"/>
      <c r="D989" s="168"/>
      <c r="E989" s="168"/>
      <c r="F989" s="168"/>
      <c r="G989" s="168"/>
      <c r="H989" s="168"/>
      <c r="I989" s="168"/>
      <c r="J989" s="168"/>
      <c r="K989" s="168"/>
      <c r="L989" s="168"/>
      <c r="M989" s="168"/>
      <c r="N989" s="168"/>
      <c r="O989" s="168"/>
      <c r="P989" s="168"/>
      <c r="Q989" s="168"/>
      <c r="R989" s="168"/>
      <c r="S989" s="168"/>
      <c r="T989" s="168"/>
      <c r="U989" s="168"/>
      <c r="V989" s="168"/>
      <c r="W989" s="168"/>
      <c r="X989" s="168"/>
      <c r="Y989" s="168"/>
      <c r="Z989" s="168"/>
    </row>
    <row r="990" customFormat="false" ht="15.75" hidden="false" customHeight="false" outlineLevel="0" collapsed="false">
      <c r="A990" s="168"/>
      <c r="B990" s="168"/>
      <c r="C990" s="168"/>
      <c r="D990" s="168"/>
      <c r="E990" s="168"/>
      <c r="F990" s="168"/>
      <c r="G990" s="168"/>
      <c r="H990" s="168"/>
      <c r="I990" s="168"/>
      <c r="J990" s="168"/>
      <c r="K990" s="168"/>
      <c r="L990" s="168"/>
      <c r="M990" s="168"/>
      <c r="N990" s="168"/>
      <c r="O990" s="168"/>
      <c r="P990" s="168"/>
      <c r="Q990" s="168"/>
      <c r="R990" s="168"/>
      <c r="S990" s="168"/>
      <c r="T990" s="168"/>
      <c r="U990" s="168"/>
      <c r="V990" s="168"/>
      <c r="W990" s="168"/>
      <c r="X990" s="168"/>
      <c r="Y990" s="168"/>
      <c r="Z990" s="168"/>
    </row>
    <row r="991" customFormat="false" ht="15.75" hidden="false" customHeight="false" outlineLevel="0" collapsed="false">
      <c r="A991" s="168"/>
      <c r="B991" s="168"/>
      <c r="C991" s="168"/>
      <c r="D991" s="168"/>
      <c r="E991" s="168"/>
      <c r="F991" s="168"/>
      <c r="G991" s="168"/>
      <c r="H991" s="168"/>
      <c r="I991" s="168"/>
      <c r="J991" s="168"/>
      <c r="K991" s="168"/>
      <c r="L991" s="168"/>
      <c r="M991" s="168"/>
      <c r="N991" s="168"/>
      <c r="O991" s="168"/>
      <c r="P991" s="168"/>
      <c r="Q991" s="168"/>
      <c r="R991" s="168"/>
      <c r="S991" s="168"/>
      <c r="T991" s="168"/>
      <c r="U991" s="168"/>
      <c r="V991" s="168"/>
      <c r="W991" s="168"/>
      <c r="X991" s="168"/>
      <c r="Y991" s="168"/>
      <c r="Z991" s="168"/>
    </row>
    <row r="992" customFormat="false" ht="15.75" hidden="false" customHeight="false" outlineLevel="0" collapsed="false">
      <c r="A992" s="168"/>
      <c r="B992" s="168"/>
      <c r="C992" s="168"/>
      <c r="D992" s="168"/>
      <c r="E992" s="168"/>
      <c r="F992" s="168"/>
      <c r="G992" s="168"/>
      <c r="H992" s="168"/>
      <c r="I992" s="168"/>
      <c r="J992" s="168"/>
      <c r="K992" s="168"/>
      <c r="L992" s="168"/>
      <c r="M992" s="168"/>
      <c r="N992" s="168"/>
      <c r="O992" s="168"/>
      <c r="P992" s="168"/>
      <c r="Q992" s="168"/>
      <c r="R992" s="168"/>
      <c r="S992" s="168"/>
      <c r="T992" s="168"/>
      <c r="U992" s="168"/>
      <c r="V992" s="168"/>
      <c r="W992" s="168"/>
      <c r="X992" s="168"/>
      <c r="Y992" s="168"/>
      <c r="Z992" s="168"/>
    </row>
    <row r="993" customFormat="false" ht="15.75" hidden="false" customHeight="false" outlineLevel="0" collapsed="false">
      <c r="A993" s="168"/>
      <c r="B993" s="168"/>
      <c r="C993" s="168"/>
      <c r="D993" s="168"/>
      <c r="E993" s="168"/>
      <c r="F993" s="168"/>
      <c r="G993" s="168"/>
      <c r="H993" s="168"/>
      <c r="I993" s="168"/>
      <c r="J993" s="168"/>
      <c r="K993" s="168"/>
      <c r="L993" s="168"/>
      <c r="M993" s="168"/>
      <c r="N993" s="168"/>
      <c r="O993" s="168"/>
      <c r="P993" s="168"/>
      <c r="Q993" s="168"/>
      <c r="R993" s="168"/>
      <c r="S993" s="168"/>
      <c r="T993" s="168"/>
      <c r="U993" s="168"/>
      <c r="V993" s="168"/>
      <c r="W993" s="168"/>
      <c r="X993" s="168"/>
      <c r="Y993" s="168"/>
      <c r="Z993" s="168"/>
    </row>
    <row r="994" customFormat="false" ht="15.75" hidden="false" customHeight="false" outlineLevel="0" collapsed="false">
      <c r="A994" s="168"/>
      <c r="B994" s="168"/>
      <c r="C994" s="168"/>
      <c r="D994" s="168"/>
      <c r="E994" s="168"/>
      <c r="F994" s="168"/>
      <c r="G994" s="168"/>
      <c r="H994" s="168"/>
      <c r="I994" s="168"/>
      <c r="J994" s="168"/>
      <c r="K994" s="168"/>
      <c r="L994" s="168"/>
      <c r="M994" s="168"/>
      <c r="N994" s="168"/>
      <c r="O994" s="168"/>
      <c r="P994" s="168"/>
      <c r="Q994" s="168"/>
      <c r="R994" s="168"/>
      <c r="S994" s="168"/>
      <c r="T994" s="168"/>
      <c r="U994" s="168"/>
      <c r="V994" s="168"/>
      <c r="W994" s="168"/>
      <c r="X994" s="168"/>
      <c r="Y994" s="168"/>
      <c r="Z994" s="168"/>
    </row>
    <row r="995" customFormat="false" ht="15.75" hidden="false" customHeight="false" outlineLevel="0" collapsed="false">
      <c r="A995" s="168"/>
      <c r="B995" s="168"/>
      <c r="C995" s="168"/>
      <c r="D995" s="168"/>
      <c r="E995" s="168"/>
      <c r="F995" s="168"/>
      <c r="G995" s="168"/>
      <c r="H995" s="168"/>
      <c r="I995" s="168"/>
      <c r="J995" s="168"/>
      <c r="K995" s="168"/>
      <c r="L995" s="168"/>
      <c r="M995" s="168"/>
      <c r="N995" s="168"/>
      <c r="O995" s="168"/>
      <c r="P995" s="168"/>
      <c r="Q995" s="168"/>
      <c r="R995" s="168"/>
      <c r="S995" s="168"/>
      <c r="T995" s="168"/>
      <c r="U995" s="168"/>
      <c r="V995" s="168"/>
      <c r="W995" s="168"/>
      <c r="X995" s="168"/>
      <c r="Y995" s="168"/>
      <c r="Z995" s="168"/>
    </row>
    <row r="996" customFormat="false" ht="15.75" hidden="false" customHeight="false" outlineLevel="0" collapsed="false">
      <c r="A996" s="168"/>
      <c r="B996" s="168"/>
      <c r="C996" s="168"/>
      <c r="D996" s="168"/>
      <c r="E996" s="168"/>
      <c r="F996" s="168"/>
      <c r="G996" s="168"/>
      <c r="H996" s="168"/>
      <c r="I996" s="168"/>
      <c r="J996" s="168"/>
      <c r="K996" s="168"/>
      <c r="L996" s="168"/>
      <c r="M996" s="168"/>
      <c r="N996" s="168"/>
      <c r="O996" s="168"/>
      <c r="P996" s="168"/>
      <c r="Q996" s="168"/>
      <c r="R996" s="168"/>
      <c r="S996" s="168"/>
      <c r="T996" s="168"/>
      <c r="U996" s="168"/>
      <c r="V996" s="168"/>
      <c r="W996" s="168"/>
      <c r="X996" s="168"/>
      <c r="Y996" s="168"/>
      <c r="Z996" s="168"/>
    </row>
    <row r="997" customFormat="false" ht="15.75" hidden="false" customHeight="false" outlineLevel="0" collapsed="false">
      <c r="A997" s="168"/>
      <c r="B997" s="168"/>
      <c r="C997" s="168"/>
      <c r="D997" s="168"/>
      <c r="E997" s="168"/>
      <c r="F997" s="168"/>
      <c r="G997" s="168"/>
      <c r="H997" s="168"/>
      <c r="I997" s="168"/>
      <c r="J997" s="168"/>
      <c r="K997" s="168"/>
      <c r="L997" s="168"/>
      <c r="M997" s="168"/>
      <c r="N997" s="168"/>
      <c r="O997" s="168"/>
      <c r="P997" s="168"/>
      <c r="Q997" s="168"/>
      <c r="R997" s="168"/>
      <c r="S997" s="168"/>
      <c r="T997" s="168"/>
      <c r="U997" s="168"/>
      <c r="V997" s="168"/>
      <c r="W997" s="168"/>
      <c r="X997" s="168"/>
      <c r="Y997" s="168"/>
      <c r="Z997" s="168"/>
    </row>
    <row r="998" customFormat="false" ht="15.75" hidden="false" customHeight="false" outlineLevel="0" collapsed="false">
      <c r="A998" s="168"/>
      <c r="B998" s="168"/>
      <c r="C998" s="168"/>
      <c r="D998" s="168"/>
      <c r="E998" s="168"/>
      <c r="F998" s="168"/>
      <c r="G998" s="168"/>
      <c r="H998" s="168"/>
      <c r="I998" s="168"/>
      <c r="J998" s="168"/>
      <c r="K998" s="168"/>
      <c r="L998" s="168"/>
      <c r="M998" s="168"/>
      <c r="N998" s="168"/>
      <c r="O998" s="168"/>
      <c r="P998" s="168"/>
      <c r="Q998" s="168"/>
      <c r="R998" s="168"/>
      <c r="S998" s="168"/>
      <c r="T998" s="168"/>
      <c r="U998" s="168"/>
      <c r="V998" s="168"/>
      <c r="W998" s="168"/>
      <c r="X998" s="168"/>
      <c r="Y998" s="168"/>
      <c r="Z998" s="168"/>
    </row>
    <row r="999" customFormat="false" ht="15.75" hidden="false" customHeight="false" outlineLevel="0" collapsed="false">
      <c r="A999" s="168"/>
      <c r="B999" s="168"/>
      <c r="C999" s="168"/>
      <c r="D999" s="168"/>
      <c r="E999" s="168"/>
      <c r="F999" s="168"/>
      <c r="G999" s="168"/>
      <c r="H999" s="168"/>
      <c r="I999" s="168"/>
      <c r="J999" s="168"/>
      <c r="K999" s="168"/>
      <c r="L999" s="168"/>
      <c r="M999" s="168"/>
      <c r="N999" s="168"/>
      <c r="O999" s="168"/>
      <c r="P999" s="168"/>
      <c r="Q999" s="168"/>
      <c r="R999" s="168"/>
      <c r="S999" s="168"/>
      <c r="T999" s="168"/>
      <c r="U999" s="168"/>
      <c r="V999" s="168"/>
      <c r="W999" s="168"/>
      <c r="X999" s="168"/>
      <c r="Y999" s="168"/>
      <c r="Z999" s="168"/>
    </row>
    <row r="1000" customFormat="false" ht="15.75" hidden="false" customHeight="false" outlineLevel="0" collapsed="false">
      <c r="A1000" s="168"/>
      <c r="B1000" s="168"/>
      <c r="C1000" s="168"/>
      <c r="D1000" s="168"/>
      <c r="E1000" s="168"/>
      <c r="F1000" s="168"/>
      <c r="G1000" s="168"/>
      <c r="H1000" s="168"/>
      <c r="I1000" s="168"/>
      <c r="J1000" s="168"/>
      <c r="K1000" s="168"/>
      <c r="L1000" s="168"/>
      <c r="M1000" s="168"/>
      <c r="N1000" s="168"/>
      <c r="O1000" s="168"/>
      <c r="P1000" s="168"/>
      <c r="Q1000" s="168"/>
      <c r="R1000" s="168"/>
      <c r="S1000" s="168"/>
      <c r="T1000" s="168"/>
      <c r="U1000" s="168"/>
      <c r="V1000" s="168"/>
      <c r="W1000" s="168"/>
      <c r="X1000" s="168"/>
      <c r="Y1000" s="168"/>
      <c r="Z1000" s="168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I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6" t="s">
        <v>33</v>
      </c>
      <c r="B1" s="6" t="s">
        <v>32</v>
      </c>
      <c r="C1" s="6" t="s">
        <v>35</v>
      </c>
      <c r="D1" s="6" t="s">
        <v>29</v>
      </c>
      <c r="E1" s="6" t="s">
        <v>62</v>
      </c>
      <c r="F1" s="6" t="s">
        <v>34</v>
      </c>
      <c r="G1" s="6" t="s">
        <v>36</v>
      </c>
      <c r="H1" s="6" t="s">
        <v>31</v>
      </c>
      <c r="I1" s="6" t="s">
        <v>30</v>
      </c>
    </row>
    <row r="2" customFormat="false" ht="15.75" hidden="false" customHeight="false" outlineLevel="0" collapsed="false">
      <c r="A2" s="6" t="str">
        <f aca="false">Scoring!CM9</f>
        <v/>
      </c>
      <c r="B2" s="6" t="str">
        <f aca="false">Scoring!CL9</f>
        <v/>
      </c>
      <c r="C2" s="6" t="n">
        <f aca="false">Scoring!C9</f>
        <v>0</v>
      </c>
      <c r="D2" s="178" t="str">
        <f aca="false">Scoring!CI9</f>
        <v/>
      </c>
      <c r="E2" s="6" t="str">
        <f aca="false">Scoring!BL9</f>
        <v/>
      </c>
      <c r="F2" s="6" t="n">
        <f aca="false">Scoring!B9</f>
        <v>0</v>
      </c>
      <c r="G2" s="6" t="n">
        <f aca="false">Scoring!D9</f>
        <v>0</v>
      </c>
      <c r="H2" s="6" t="str">
        <f aca="false">Scoring!CK9</f>
        <v/>
      </c>
      <c r="I2" s="179" t="str">
        <f aca="false">Scoring!CJ9</f>
        <v/>
      </c>
    </row>
    <row r="3" customFormat="false" ht="15.75" hidden="false" customHeight="false" outlineLevel="0" collapsed="false">
      <c r="A3" s="6" t="str">
        <f aca="false">Scoring!CM10</f>
        <v/>
      </c>
      <c r="B3" s="6" t="str">
        <f aca="false">Scoring!CL10</f>
        <v/>
      </c>
      <c r="C3" s="6" t="n">
        <f aca="false">Scoring!C10</f>
        <v>0</v>
      </c>
      <c r="D3" s="178" t="str">
        <f aca="false">Scoring!CI10</f>
        <v/>
      </c>
      <c r="E3" s="6" t="str">
        <f aca="false">Scoring!BL10</f>
        <v/>
      </c>
      <c r="F3" s="6" t="n">
        <f aca="false">Scoring!B10</f>
        <v>0</v>
      </c>
      <c r="G3" s="6" t="n">
        <f aca="false">Scoring!D10</f>
        <v>0</v>
      </c>
      <c r="H3" s="6" t="str">
        <f aca="false">Scoring!CK10</f>
        <v/>
      </c>
      <c r="I3" s="179" t="str">
        <f aca="false">Scoring!CJ10</f>
        <v/>
      </c>
    </row>
    <row r="4" customFormat="false" ht="15.75" hidden="false" customHeight="false" outlineLevel="0" collapsed="false">
      <c r="A4" s="6" t="str">
        <f aca="false">Scoring!CM11</f>
        <v/>
      </c>
      <c r="B4" s="6" t="str">
        <f aca="false">Scoring!CL11</f>
        <v/>
      </c>
      <c r="C4" s="6" t="n">
        <f aca="false">Scoring!C11</f>
        <v>0</v>
      </c>
      <c r="D4" s="178" t="str">
        <f aca="false">Scoring!CI11</f>
        <v/>
      </c>
      <c r="E4" s="6" t="str">
        <f aca="false">Scoring!BL11</f>
        <v/>
      </c>
      <c r="F4" s="6" t="n">
        <f aca="false">Scoring!B11</f>
        <v>0</v>
      </c>
      <c r="G4" s="6" t="n">
        <f aca="false">Scoring!D11</f>
        <v>0</v>
      </c>
      <c r="H4" s="6" t="str">
        <f aca="false">Scoring!CK11</f>
        <v/>
      </c>
      <c r="I4" s="179" t="str">
        <f aca="false">Scoring!CJ11</f>
        <v/>
      </c>
    </row>
    <row r="5" customFormat="false" ht="15.75" hidden="false" customHeight="false" outlineLevel="0" collapsed="false">
      <c r="A5" s="6" t="str">
        <f aca="false">Scoring!CM12</f>
        <v/>
      </c>
      <c r="B5" s="6" t="str">
        <f aca="false">Scoring!CL12</f>
        <v/>
      </c>
      <c r="C5" s="6" t="n">
        <f aca="false">Scoring!C12</f>
        <v>0</v>
      </c>
      <c r="D5" s="178" t="str">
        <f aca="false">Scoring!CI12</f>
        <v/>
      </c>
      <c r="E5" s="6" t="str">
        <f aca="false">Scoring!BL12</f>
        <v/>
      </c>
      <c r="F5" s="6" t="n">
        <f aca="false">Scoring!B12</f>
        <v>0</v>
      </c>
      <c r="G5" s="6" t="n">
        <f aca="false">Scoring!D12</f>
        <v>0</v>
      </c>
      <c r="H5" s="6" t="str">
        <f aca="false">Scoring!CK12</f>
        <v/>
      </c>
      <c r="I5" s="179" t="str">
        <f aca="false">Scoring!CJ12</f>
        <v/>
      </c>
    </row>
    <row r="6" customFormat="false" ht="15.75" hidden="false" customHeight="false" outlineLevel="0" collapsed="false">
      <c r="A6" s="6" t="str">
        <f aca="false">Scoring!CM13</f>
        <v/>
      </c>
      <c r="B6" s="6" t="str">
        <f aca="false">Scoring!CL13</f>
        <v/>
      </c>
      <c r="C6" s="6" t="n">
        <f aca="false">Scoring!C13</f>
        <v>0</v>
      </c>
      <c r="D6" s="178" t="str">
        <f aca="false">Scoring!CI13</f>
        <v/>
      </c>
      <c r="E6" s="6" t="str">
        <f aca="false">Scoring!BL13</f>
        <v/>
      </c>
      <c r="F6" s="6" t="n">
        <f aca="false">Scoring!B13</f>
        <v>0</v>
      </c>
      <c r="G6" s="6" t="n">
        <f aca="false">Scoring!D13</f>
        <v>0</v>
      </c>
      <c r="H6" s="6" t="str">
        <f aca="false">Scoring!CK13</f>
        <v/>
      </c>
      <c r="I6" s="179" t="str">
        <f aca="false">Scoring!CJ13</f>
        <v/>
      </c>
    </row>
    <row r="7" customFormat="false" ht="15.75" hidden="false" customHeight="false" outlineLevel="0" collapsed="false">
      <c r="A7" s="6" t="str">
        <f aca="false">Scoring!CM14</f>
        <v/>
      </c>
      <c r="B7" s="6" t="str">
        <f aca="false">Scoring!CL14</f>
        <v/>
      </c>
      <c r="C7" s="6" t="n">
        <f aca="false">Scoring!C14</f>
        <v>0</v>
      </c>
      <c r="D7" s="178" t="str">
        <f aca="false">Scoring!CI14</f>
        <v/>
      </c>
      <c r="E7" s="6" t="str">
        <f aca="false">Scoring!BL14</f>
        <v/>
      </c>
      <c r="F7" s="6" t="n">
        <f aca="false">Scoring!B14</f>
        <v>0</v>
      </c>
      <c r="G7" s="6" t="n">
        <f aca="false">Scoring!D14</f>
        <v>0</v>
      </c>
      <c r="H7" s="6" t="str">
        <f aca="false">Scoring!CK14</f>
        <v/>
      </c>
      <c r="I7" s="179" t="str">
        <f aca="false">Scoring!CJ14</f>
        <v/>
      </c>
    </row>
    <row r="8" customFormat="false" ht="15.75" hidden="false" customHeight="false" outlineLevel="0" collapsed="false">
      <c r="A8" s="6" t="str">
        <f aca="false">Scoring!CM15</f>
        <v/>
      </c>
      <c r="B8" s="6" t="str">
        <f aca="false">Scoring!CL15</f>
        <v/>
      </c>
      <c r="C8" s="6" t="n">
        <f aca="false">Scoring!C15</f>
        <v>0</v>
      </c>
      <c r="D8" s="178" t="str">
        <f aca="false">Scoring!CI15</f>
        <v/>
      </c>
      <c r="E8" s="6" t="str">
        <f aca="false">Scoring!BL15</f>
        <v/>
      </c>
      <c r="F8" s="6" t="n">
        <f aca="false">Scoring!B15</f>
        <v>0</v>
      </c>
      <c r="G8" s="6" t="n">
        <f aca="false">Scoring!D15</f>
        <v>0</v>
      </c>
      <c r="H8" s="6" t="str">
        <f aca="false">Scoring!CK15</f>
        <v/>
      </c>
      <c r="I8" s="179" t="str">
        <f aca="false">Scoring!CJ15</f>
        <v/>
      </c>
    </row>
    <row r="9" customFormat="false" ht="15.75" hidden="false" customHeight="false" outlineLevel="0" collapsed="false">
      <c r="A9" s="6" t="str">
        <f aca="false">Scoring!CM16</f>
        <v/>
      </c>
      <c r="B9" s="6" t="str">
        <f aca="false">Scoring!CL16</f>
        <v/>
      </c>
      <c r="C9" s="6" t="n">
        <f aca="false">Scoring!C16</f>
        <v>0</v>
      </c>
      <c r="D9" s="178" t="str">
        <f aca="false">Scoring!CI16</f>
        <v/>
      </c>
      <c r="E9" s="6" t="str">
        <f aca="false">Scoring!BL16</f>
        <v/>
      </c>
      <c r="F9" s="6" t="n">
        <f aca="false">Scoring!B16</f>
        <v>0</v>
      </c>
      <c r="G9" s="6" t="n">
        <f aca="false">Scoring!D16</f>
        <v>0</v>
      </c>
      <c r="H9" s="6" t="str">
        <f aca="false">Scoring!CK16</f>
        <v/>
      </c>
      <c r="I9" s="179" t="str">
        <f aca="false">Scoring!CJ16</f>
        <v/>
      </c>
    </row>
    <row r="10" customFormat="false" ht="15.75" hidden="false" customHeight="false" outlineLevel="0" collapsed="false">
      <c r="A10" s="6" t="str">
        <f aca="false">Scoring!CM17</f>
        <v/>
      </c>
      <c r="B10" s="6" t="str">
        <f aca="false">Scoring!CL17</f>
        <v/>
      </c>
      <c r="C10" s="6" t="n">
        <f aca="false">Scoring!C17</f>
        <v>0</v>
      </c>
      <c r="D10" s="178" t="str">
        <f aca="false">Scoring!CI17</f>
        <v/>
      </c>
      <c r="E10" s="6" t="str">
        <f aca="false">Scoring!BL17</f>
        <v/>
      </c>
      <c r="F10" s="6" t="n">
        <f aca="false">Scoring!B17</f>
        <v>0</v>
      </c>
      <c r="G10" s="6" t="n">
        <f aca="false">Scoring!D17</f>
        <v>0</v>
      </c>
      <c r="H10" s="6" t="str">
        <f aca="false">Scoring!CK17</f>
        <v/>
      </c>
      <c r="I10" s="179" t="str">
        <f aca="false">Scoring!CJ17</f>
        <v/>
      </c>
    </row>
    <row r="11" customFormat="false" ht="15.75" hidden="false" customHeight="false" outlineLevel="0" collapsed="false">
      <c r="A11" s="6" t="str">
        <f aca="false">Scoring!CM18</f>
        <v/>
      </c>
      <c r="B11" s="6" t="str">
        <f aca="false">Scoring!CL18</f>
        <v/>
      </c>
      <c r="C11" s="6" t="n">
        <f aca="false">Scoring!C18</f>
        <v>0</v>
      </c>
      <c r="D11" s="178" t="str">
        <f aca="false">Scoring!CI18</f>
        <v/>
      </c>
      <c r="E11" s="6" t="str">
        <f aca="false">Scoring!BL18</f>
        <v/>
      </c>
      <c r="F11" s="6" t="n">
        <f aca="false">Scoring!B18</f>
        <v>0</v>
      </c>
      <c r="G11" s="6" t="n">
        <f aca="false">Scoring!D18</f>
        <v>0</v>
      </c>
      <c r="H11" s="6" t="str">
        <f aca="false">Scoring!CK18</f>
        <v/>
      </c>
      <c r="I11" s="179" t="str">
        <f aca="false">Scoring!CJ18</f>
        <v/>
      </c>
    </row>
    <row r="12" customFormat="false" ht="15.75" hidden="false" customHeight="false" outlineLevel="0" collapsed="false">
      <c r="A12" s="6" t="str">
        <f aca="false">Scoring!CM19</f>
        <v/>
      </c>
      <c r="B12" s="6" t="str">
        <f aca="false">Scoring!CL19</f>
        <v/>
      </c>
      <c r="C12" s="6" t="n">
        <f aca="false">Scoring!C19</f>
        <v>0</v>
      </c>
      <c r="D12" s="178" t="str">
        <f aca="false">Scoring!CI19</f>
        <v/>
      </c>
      <c r="E12" s="6" t="str">
        <f aca="false">Scoring!BL19</f>
        <v/>
      </c>
      <c r="F12" s="6" t="n">
        <f aca="false">Scoring!B19</f>
        <v>0</v>
      </c>
      <c r="G12" s="6" t="n">
        <f aca="false">Scoring!D19</f>
        <v>0</v>
      </c>
      <c r="H12" s="6" t="str">
        <f aca="false">Scoring!CK19</f>
        <v/>
      </c>
      <c r="I12" s="179" t="str">
        <f aca="false">Scoring!CJ19</f>
        <v/>
      </c>
    </row>
    <row r="13" customFormat="false" ht="15.75" hidden="false" customHeight="false" outlineLevel="0" collapsed="false">
      <c r="A13" s="6" t="str">
        <f aca="false">Scoring!CM20</f>
        <v/>
      </c>
      <c r="B13" s="6" t="str">
        <f aca="false">Scoring!CL20</f>
        <v/>
      </c>
      <c r="C13" s="6" t="n">
        <f aca="false">Scoring!C20</f>
        <v>0</v>
      </c>
      <c r="D13" s="178" t="str">
        <f aca="false">Scoring!CI20</f>
        <v/>
      </c>
      <c r="E13" s="6" t="str">
        <f aca="false">Scoring!BL20</f>
        <v/>
      </c>
      <c r="F13" s="6" t="n">
        <f aca="false">Scoring!B20</f>
        <v>0</v>
      </c>
      <c r="G13" s="6" t="n">
        <f aca="false">Scoring!D20</f>
        <v>0</v>
      </c>
      <c r="H13" s="6" t="str">
        <f aca="false">Scoring!CK20</f>
        <v/>
      </c>
      <c r="I13" s="179" t="str">
        <f aca="false">Scoring!CJ20</f>
        <v/>
      </c>
    </row>
    <row r="14" customFormat="false" ht="15.75" hidden="false" customHeight="false" outlineLevel="0" collapsed="false">
      <c r="A14" s="6" t="str">
        <f aca="false">Scoring!CM21</f>
        <v/>
      </c>
      <c r="B14" s="6" t="str">
        <f aca="false">Scoring!CL21</f>
        <v/>
      </c>
      <c r="C14" s="6" t="n">
        <f aca="false">Scoring!C21</f>
        <v>0</v>
      </c>
      <c r="D14" s="178" t="str">
        <f aca="false">Scoring!CI21</f>
        <v/>
      </c>
      <c r="E14" s="6" t="str">
        <f aca="false">Scoring!BL21</f>
        <v/>
      </c>
      <c r="F14" s="6" t="n">
        <f aca="false">Scoring!B21</f>
        <v>0</v>
      </c>
      <c r="G14" s="6" t="n">
        <f aca="false">Scoring!D21</f>
        <v>0</v>
      </c>
      <c r="H14" s="6" t="str">
        <f aca="false">Scoring!CK21</f>
        <v/>
      </c>
      <c r="I14" s="179" t="str">
        <f aca="false">Scoring!CJ21</f>
        <v/>
      </c>
    </row>
    <row r="15" customFormat="false" ht="15.75" hidden="false" customHeight="false" outlineLevel="0" collapsed="false">
      <c r="A15" s="6" t="str">
        <f aca="false">Scoring!CM22</f>
        <v/>
      </c>
      <c r="B15" s="6" t="str">
        <f aca="false">Scoring!CL22</f>
        <v/>
      </c>
      <c r="C15" s="6" t="n">
        <f aca="false">Scoring!C22</f>
        <v>0</v>
      </c>
      <c r="D15" s="178" t="str">
        <f aca="false">Scoring!CI22</f>
        <v/>
      </c>
      <c r="E15" s="6" t="str">
        <f aca="false">Scoring!BL22</f>
        <v/>
      </c>
      <c r="F15" s="6" t="n">
        <f aca="false">Scoring!B22</f>
        <v>0</v>
      </c>
      <c r="G15" s="6" t="n">
        <f aca="false">Scoring!D22</f>
        <v>0</v>
      </c>
      <c r="H15" s="6" t="str">
        <f aca="false">Scoring!CK22</f>
        <v/>
      </c>
      <c r="I15" s="179" t="str">
        <f aca="false">Scoring!CJ22</f>
        <v/>
      </c>
    </row>
    <row r="16" customFormat="false" ht="15.75" hidden="false" customHeight="false" outlineLevel="0" collapsed="false">
      <c r="A16" s="6" t="str">
        <f aca="false">Scoring!CM23</f>
        <v/>
      </c>
      <c r="B16" s="6" t="str">
        <f aca="false">Scoring!CL23</f>
        <v/>
      </c>
      <c r="C16" s="6" t="n">
        <f aca="false">Scoring!C23</f>
        <v>0</v>
      </c>
      <c r="D16" s="178" t="str">
        <f aca="false">Scoring!CI23</f>
        <v/>
      </c>
      <c r="E16" s="6" t="str">
        <f aca="false">Scoring!BL23</f>
        <v/>
      </c>
      <c r="F16" s="6" t="n">
        <f aca="false">Scoring!B23</f>
        <v>0</v>
      </c>
      <c r="G16" s="6" t="n">
        <f aca="false">Scoring!D23</f>
        <v>0</v>
      </c>
      <c r="H16" s="6" t="str">
        <f aca="false">Scoring!CK23</f>
        <v/>
      </c>
      <c r="I16" s="179" t="str">
        <f aca="false">Scoring!CJ23</f>
        <v/>
      </c>
    </row>
    <row r="17" customFormat="false" ht="15.75" hidden="false" customHeight="false" outlineLevel="0" collapsed="false">
      <c r="A17" s="6" t="str">
        <f aca="false">Scoring!CM24</f>
        <v/>
      </c>
      <c r="B17" s="6" t="str">
        <f aca="false">Scoring!CL24</f>
        <v/>
      </c>
      <c r="C17" s="6" t="n">
        <f aca="false">Scoring!C24</f>
        <v>0</v>
      </c>
      <c r="D17" s="178" t="str">
        <f aca="false">Scoring!CI24</f>
        <v/>
      </c>
      <c r="E17" s="6" t="str">
        <f aca="false">Scoring!BL24</f>
        <v/>
      </c>
      <c r="F17" s="6" t="n">
        <f aca="false">Scoring!B24</f>
        <v>0</v>
      </c>
      <c r="G17" s="6" t="n">
        <f aca="false">Scoring!D24</f>
        <v>0</v>
      </c>
      <c r="H17" s="6" t="str">
        <f aca="false">Scoring!CK24</f>
        <v/>
      </c>
      <c r="I17" s="179" t="str">
        <f aca="false">Scoring!CJ24</f>
        <v/>
      </c>
    </row>
    <row r="18" customFormat="false" ht="15.75" hidden="false" customHeight="false" outlineLevel="0" collapsed="false">
      <c r="A18" s="6" t="str">
        <f aca="false">Scoring!CM25</f>
        <v/>
      </c>
      <c r="B18" s="6" t="str">
        <f aca="false">Scoring!CL25</f>
        <v/>
      </c>
      <c r="C18" s="6" t="n">
        <f aca="false">Scoring!C25</f>
        <v>0</v>
      </c>
      <c r="D18" s="178" t="str">
        <f aca="false">Scoring!CI25</f>
        <v/>
      </c>
      <c r="E18" s="6" t="str">
        <f aca="false">Scoring!BL25</f>
        <v/>
      </c>
      <c r="F18" s="6" t="n">
        <f aca="false">Scoring!B25</f>
        <v>0</v>
      </c>
      <c r="G18" s="6" t="n">
        <f aca="false">Scoring!D25</f>
        <v>0</v>
      </c>
      <c r="H18" s="6" t="str">
        <f aca="false">Scoring!CK25</f>
        <v/>
      </c>
      <c r="I18" s="179" t="str">
        <f aca="false">Scoring!CJ25</f>
        <v/>
      </c>
    </row>
    <row r="19" customFormat="false" ht="15.75" hidden="false" customHeight="false" outlineLevel="0" collapsed="false">
      <c r="A19" s="6" t="str">
        <f aca="false">Scoring!CM26</f>
        <v/>
      </c>
      <c r="B19" s="6" t="str">
        <f aca="false">Scoring!CL26</f>
        <v/>
      </c>
      <c r="C19" s="6" t="n">
        <f aca="false">Scoring!C26</f>
        <v>0</v>
      </c>
      <c r="D19" s="178" t="str">
        <f aca="false">Scoring!CI26</f>
        <v/>
      </c>
      <c r="E19" s="6" t="str">
        <f aca="false">Scoring!BL26</f>
        <v/>
      </c>
      <c r="F19" s="6" t="n">
        <f aca="false">Scoring!B26</f>
        <v>0</v>
      </c>
      <c r="G19" s="6" t="n">
        <f aca="false">Scoring!D26</f>
        <v>0</v>
      </c>
      <c r="H19" s="6" t="str">
        <f aca="false">Scoring!CK26</f>
        <v/>
      </c>
      <c r="I19" s="179" t="str">
        <f aca="false">Scoring!CJ26</f>
        <v/>
      </c>
    </row>
    <row r="20" customFormat="false" ht="15.75" hidden="false" customHeight="false" outlineLevel="0" collapsed="false">
      <c r="A20" s="6" t="str">
        <f aca="false">Scoring!CM27</f>
        <v/>
      </c>
      <c r="B20" s="6" t="str">
        <f aca="false">Scoring!CL27</f>
        <v/>
      </c>
      <c r="C20" s="6" t="n">
        <f aca="false">Scoring!C27</f>
        <v>0</v>
      </c>
      <c r="D20" s="178" t="str">
        <f aca="false">Scoring!CI27</f>
        <v/>
      </c>
      <c r="E20" s="6" t="str">
        <f aca="false">Scoring!BL27</f>
        <v/>
      </c>
      <c r="F20" s="6" t="n">
        <f aca="false">Scoring!B27</f>
        <v>0</v>
      </c>
      <c r="G20" s="6" t="n">
        <f aca="false">Scoring!D27</f>
        <v>0</v>
      </c>
      <c r="H20" s="6" t="str">
        <f aca="false">Scoring!CK27</f>
        <v/>
      </c>
      <c r="I20" s="179" t="str">
        <f aca="false">Scoring!CJ27</f>
        <v/>
      </c>
    </row>
    <row r="21" customFormat="false" ht="15.75" hidden="false" customHeight="false" outlineLevel="0" collapsed="false">
      <c r="A21" s="6" t="str">
        <f aca="false">Scoring!CM28</f>
        <v/>
      </c>
      <c r="B21" s="6" t="str">
        <f aca="false">Scoring!CL28</f>
        <v/>
      </c>
      <c r="C21" s="6" t="n">
        <f aca="false">Scoring!C28</f>
        <v>0</v>
      </c>
      <c r="D21" s="178" t="str">
        <f aca="false">Scoring!CI28</f>
        <v/>
      </c>
      <c r="E21" s="6" t="str">
        <f aca="false">Scoring!BL28</f>
        <v/>
      </c>
      <c r="F21" s="6" t="n">
        <f aca="false">Scoring!B28</f>
        <v>0</v>
      </c>
      <c r="G21" s="6" t="n">
        <f aca="false">Scoring!D28</f>
        <v>0</v>
      </c>
      <c r="H21" s="6" t="str">
        <f aca="false">Scoring!CK28</f>
        <v/>
      </c>
      <c r="I21" s="179" t="str">
        <f aca="false">Scoring!CJ28</f>
        <v/>
      </c>
    </row>
    <row r="22" customFormat="false" ht="15.75" hidden="false" customHeight="false" outlineLevel="0" collapsed="false">
      <c r="A22" s="6" t="str">
        <f aca="false">Scoring!CM29</f>
        <v/>
      </c>
      <c r="B22" s="6" t="str">
        <f aca="false">Scoring!CL29</f>
        <v/>
      </c>
      <c r="C22" s="6" t="n">
        <f aca="false">Scoring!C29</f>
        <v>0</v>
      </c>
      <c r="D22" s="178" t="str">
        <f aca="false">Scoring!CI29</f>
        <v/>
      </c>
      <c r="E22" s="6" t="str">
        <f aca="false">Scoring!BL29</f>
        <v/>
      </c>
      <c r="F22" s="6" t="n">
        <f aca="false">Scoring!B29</f>
        <v>0</v>
      </c>
      <c r="G22" s="6" t="n">
        <f aca="false">Scoring!D29</f>
        <v>0</v>
      </c>
      <c r="H22" s="6" t="str">
        <f aca="false">Scoring!CK29</f>
        <v/>
      </c>
      <c r="I22" s="179" t="str">
        <f aca="false">Scoring!CJ29</f>
        <v/>
      </c>
    </row>
    <row r="23" customFormat="false" ht="15.75" hidden="false" customHeight="false" outlineLevel="0" collapsed="false">
      <c r="A23" s="6" t="str">
        <f aca="false">Scoring!CM30</f>
        <v/>
      </c>
      <c r="B23" s="6" t="str">
        <f aca="false">Scoring!CL30</f>
        <v/>
      </c>
      <c r="C23" s="6" t="n">
        <f aca="false">Scoring!C30</f>
        <v>0</v>
      </c>
      <c r="D23" s="178" t="str">
        <f aca="false">Scoring!CI30</f>
        <v/>
      </c>
      <c r="E23" s="6" t="str">
        <f aca="false">Scoring!BL30</f>
        <v/>
      </c>
      <c r="F23" s="6" t="n">
        <f aca="false">Scoring!B30</f>
        <v>0</v>
      </c>
      <c r="G23" s="6" t="n">
        <f aca="false">Scoring!D30</f>
        <v>0</v>
      </c>
      <c r="H23" s="6" t="str">
        <f aca="false">Scoring!CK30</f>
        <v/>
      </c>
      <c r="I23" s="179" t="str">
        <f aca="false">Scoring!CJ30</f>
        <v/>
      </c>
    </row>
    <row r="24" customFormat="false" ht="15.75" hidden="false" customHeight="false" outlineLevel="0" collapsed="false">
      <c r="A24" s="6" t="str">
        <f aca="false">Scoring!CM31</f>
        <v/>
      </c>
      <c r="B24" s="6" t="str">
        <f aca="false">Scoring!CL31</f>
        <v/>
      </c>
      <c r="C24" s="6" t="n">
        <f aca="false">Scoring!C31</f>
        <v>0</v>
      </c>
      <c r="D24" s="178" t="str">
        <f aca="false">Scoring!CI31</f>
        <v/>
      </c>
      <c r="E24" s="6" t="str">
        <f aca="false">Scoring!BL31</f>
        <v/>
      </c>
      <c r="F24" s="6" t="n">
        <f aca="false">Scoring!B31</f>
        <v>0</v>
      </c>
      <c r="G24" s="6" t="n">
        <f aca="false">Scoring!D31</f>
        <v>0</v>
      </c>
      <c r="H24" s="6" t="str">
        <f aca="false">Scoring!CK31</f>
        <v/>
      </c>
      <c r="I24" s="179" t="str">
        <f aca="false">Scoring!CJ31</f>
        <v/>
      </c>
    </row>
    <row r="25" customFormat="false" ht="15.75" hidden="false" customHeight="false" outlineLevel="0" collapsed="false">
      <c r="A25" s="6" t="str">
        <f aca="false">Scoring!CM32</f>
        <v/>
      </c>
      <c r="B25" s="6" t="str">
        <f aca="false">Scoring!CL32</f>
        <v/>
      </c>
      <c r="C25" s="6" t="n">
        <f aca="false">Scoring!C32</f>
        <v>0</v>
      </c>
      <c r="D25" s="178" t="str">
        <f aca="false">Scoring!CI32</f>
        <v/>
      </c>
      <c r="E25" s="6" t="str">
        <f aca="false">Scoring!BL32</f>
        <v/>
      </c>
      <c r="F25" s="6" t="n">
        <f aca="false">Scoring!B32</f>
        <v>0</v>
      </c>
      <c r="G25" s="6" t="n">
        <f aca="false">Scoring!D32</f>
        <v>0</v>
      </c>
      <c r="H25" s="6" t="str">
        <f aca="false">Scoring!CK32</f>
        <v/>
      </c>
      <c r="I25" s="179" t="str">
        <f aca="false">Scoring!CJ32</f>
        <v/>
      </c>
    </row>
    <row r="26" customFormat="false" ht="15.75" hidden="false" customHeight="false" outlineLevel="0" collapsed="false">
      <c r="A26" s="6" t="str">
        <f aca="false">Scoring!CM33</f>
        <v/>
      </c>
      <c r="B26" s="6" t="str">
        <f aca="false">Scoring!CL33</f>
        <v/>
      </c>
      <c r="C26" s="6" t="n">
        <f aca="false">Scoring!C33</f>
        <v>0</v>
      </c>
      <c r="D26" s="178" t="str">
        <f aca="false">Scoring!CI33</f>
        <v/>
      </c>
      <c r="E26" s="6" t="str">
        <f aca="false">Scoring!BL33</f>
        <v/>
      </c>
      <c r="F26" s="6" t="n">
        <f aca="false">Scoring!B33</f>
        <v>0</v>
      </c>
      <c r="G26" s="6" t="n">
        <f aca="false">Scoring!D33</f>
        <v>0</v>
      </c>
      <c r="H26" s="6" t="str">
        <f aca="false">Scoring!CK33</f>
        <v/>
      </c>
      <c r="I26" s="179" t="str">
        <f aca="false">Scoring!CJ33</f>
        <v/>
      </c>
    </row>
    <row r="27" customFormat="false" ht="15.75" hidden="false" customHeight="false" outlineLevel="0" collapsed="false">
      <c r="A27" s="6" t="str">
        <f aca="false">Scoring!CM34</f>
        <v/>
      </c>
      <c r="B27" s="6" t="str">
        <f aca="false">Scoring!CL34</f>
        <v/>
      </c>
      <c r="C27" s="6" t="n">
        <f aca="false">Scoring!C34</f>
        <v>0</v>
      </c>
      <c r="D27" s="178" t="str">
        <f aca="false">Scoring!CI34</f>
        <v/>
      </c>
      <c r="E27" s="6" t="str">
        <f aca="false">Scoring!BL34</f>
        <v/>
      </c>
      <c r="F27" s="6" t="n">
        <f aca="false">Scoring!B34</f>
        <v>0</v>
      </c>
      <c r="G27" s="6" t="n">
        <f aca="false">Scoring!D34</f>
        <v>0</v>
      </c>
      <c r="H27" s="6" t="str">
        <f aca="false">Scoring!CK34</f>
        <v/>
      </c>
      <c r="I27" s="179" t="str">
        <f aca="false">Scoring!CJ34</f>
        <v/>
      </c>
    </row>
    <row r="28" customFormat="false" ht="15.75" hidden="false" customHeight="false" outlineLevel="0" collapsed="false">
      <c r="A28" s="6" t="str">
        <f aca="false">Scoring!CM35</f>
        <v/>
      </c>
      <c r="B28" s="6" t="str">
        <f aca="false">Scoring!CL35</f>
        <v/>
      </c>
      <c r="C28" s="6" t="n">
        <f aca="false">Scoring!C35</f>
        <v>0</v>
      </c>
      <c r="D28" s="178" t="str">
        <f aca="false">Scoring!CI35</f>
        <v/>
      </c>
      <c r="E28" s="6" t="str">
        <f aca="false">Scoring!BL35</f>
        <v/>
      </c>
      <c r="F28" s="6" t="n">
        <f aca="false">Scoring!B35</f>
        <v>0</v>
      </c>
      <c r="G28" s="6" t="n">
        <f aca="false">Scoring!D35</f>
        <v>0</v>
      </c>
      <c r="H28" s="6" t="str">
        <f aca="false">Scoring!CK35</f>
        <v/>
      </c>
      <c r="I28" s="179" t="str">
        <f aca="false">Scoring!CJ35</f>
        <v/>
      </c>
    </row>
    <row r="29" customFormat="false" ht="15.75" hidden="false" customHeight="false" outlineLevel="0" collapsed="false">
      <c r="A29" s="6" t="str">
        <f aca="false">Scoring!CM36</f>
        <v/>
      </c>
      <c r="B29" s="6" t="str">
        <f aca="false">Scoring!CL36</f>
        <v/>
      </c>
      <c r="C29" s="6" t="n">
        <f aca="false">Scoring!C36</f>
        <v>0</v>
      </c>
      <c r="D29" s="178" t="str">
        <f aca="false">Scoring!CI36</f>
        <v/>
      </c>
      <c r="E29" s="6" t="str">
        <f aca="false">Scoring!BL36</f>
        <v/>
      </c>
      <c r="F29" s="6" t="n">
        <f aca="false">Scoring!B36</f>
        <v>0</v>
      </c>
      <c r="G29" s="6" t="n">
        <f aca="false">Scoring!D36</f>
        <v>0</v>
      </c>
      <c r="H29" s="6" t="str">
        <f aca="false">Scoring!CK36</f>
        <v/>
      </c>
      <c r="I29" s="179" t="str">
        <f aca="false">Scoring!CJ36</f>
        <v/>
      </c>
    </row>
    <row r="30" customFormat="false" ht="15.75" hidden="false" customHeight="false" outlineLevel="0" collapsed="false">
      <c r="A30" s="6" t="str">
        <f aca="false">Scoring!CM37</f>
        <v/>
      </c>
      <c r="B30" s="6" t="str">
        <f aca="false">Scoring!CL37</f>
        <v/>
      </c>
      <c r="C30" s="6" t="n">
        <f aca="false">Scoring!C37</f>
        <v>0</v>
      </c>
      <c r="D30" s="178" t="str">
        <f aca="false">Scoring!CI37</f>
        <v/>
      </c>
      <c r="E30" s="6" t="str">
        <f aca="false">Scoring!BL37</f>
        <v/>
      </c>
      <c r="F30" s="6" t="n">
        <f aca="false">Scoring!B37</f>
        <v>0</v>
      </c>
      <c r="G30" s="6" t="n">
        <f aca="false">Scoring!D37</f>
        <v>0</v>
      </c>
      <c r="H30" s="6" t="str">
        <f aca="false">Scoring!CK37</f>
        <v/>
      </c>
      <c r="I30" s="179" t="str">
        <f aca="false">Scoring!CJ37</f>
        <v/>
      </c>
    </row>
    <row r="31" customFormat="false" ht="15.75" hidden="false" customHeight="false" outlineLevel="0" collapsed="false">
      <c r="A31" s="6" t="str">
        <f aca="false">Scoring!CM38</f>
        <v/>
      </c>
      <c r="B31" s="6" t="str">
        <f aca="false">Scoring!CL38</f>
        <v/>
      </c>
      <c r="C31" s="6" t="n">
        <f aca="false">Scoring!C38</f>
        <v>0</v>
      </c>
      <c r="D31" s="178" t="str">
        <f aca="false">Scoring!CI38</f>
        <v/>
      </c>
      <c r="E31" s="6" t="str">
        <f aca="false">Scoring!BL38</f>
        <v/>
      </c>
      <c r="F31" s="6" t="n">
        <f aca="false">Scoring!B38</f>
        <v>0</v>
      </c>
      <c r="G31" s="6" t="n">
        <f aca="false">Scoring!D38</f>
        <v>0</v>
      </c>
      <c r="H31" s="6" t="str">
        <f aca="false">Scoring!CK38</f>
        <v/>
      </c>
      <c r="I31" s="179" t="str">
        <f aca="false">Scoring!CJ38</f>
        <v/>
      </c>
    </row>
    <row r="32" customFormat="false" ht="15.75" hidden="false" customHeight="false" outlineLevel="0" collapsed="false">
      <c r="A32" s="6" t="str">
        <f aca="false">Scoring!CM39</f>
        <v/>
      </c>
      <c r="B32" s="6" t="str">
        <f aca="false">Scoring!CL39</f>
        <v/>
      </c>
      <c r="C32" s="6" t="n">
        <f aca="false">Scoring!C39</f>
        <v>0</v>
      </c>
      <c r="D32" s="178" t="str">
        <f aca="false">Scoring!CI39</f>
        <v/>
      </c>
      <c r="E32" s="6" t="str">
        <f aca="false">Scoring!BL39</f>
        <v/>
      </c>
      <c r="F32" s="6" t="n">
        <f aca="false">Scoring!B39</f>
        <v>0</v>
      </c>
      <c r="G32" s="6" t="n">
        <f aca="false">Scoring!D39</f>
        <v>0</v>
      </c>
      <c r="H32" s="6" t="str">
        <f aca="false">Scoring!CK39</f>
        <v/>
      </c>
      <c r="I32" s="179" t="str">
        <f aca="false">Scoring!CJ39</f>
        <v/>
      </c>
    </row>
    <row r="33" customFormat="false" ht="15.75" hidden="false" customHeight="false" outlineLevel="0" collapsed="false">
      <c r="A33" s="6" t="str">
        <f aca="false">Scoring!CM40</f>
        <v/>
      </c>
      <c r="B33" s="6" t="str">
        <f aca="false">Scoring!CL40</f>
        <v/>
      </c>
      <c r="C33" s="6" t="n">
        <f aca="false">Scoring!C40</f>
        <v>0</v>
      </c>
      <c r="D33" s="178" t="str">
        <f aca="false">Scoring!CI40</f>
        <v/>
      </c>
      <c r="E33" s="6" t="str">
        <f aca="false">Scoring!BL40</f>
        <v/>
      </c>
      <c r="F33" s="6" t="n">
        <f aca="false">Scoring!B40</f>
        <v>0</v>
      </c>
      <c r="G33" s="6" t="n">
        <f aca="false">Scoring!D40</f>
        <v>0</v>
      </c>
      <c r="H33" s="6" t="str">
        <f aca="false">Scoring!CK40</f>
        <v/>
      </c>
      <c r="I33" s="179" t="str">
        <f aca="false">Scoring!CJ40</f>
        <v/>
      </c>
    </row>
    <row r="34" customFormat="false" ht="15.75" hidden="false" customHeight="false" outlineLevel="0" collapsed="false">
      <c r="A34" s="6" t="str">
        <f aca="false">Scoring!CM41</f>
        <v/>
      </c>
      <c r="B34" s="6" t="str">
        <f aca="false">Scoring!CL41</f>
        <v/>
      </c>
      <c r="C34" s="6" t="n">
        <f aca="false">Scoring!C41</f>
        <v>0</v>
      </c>
      <c r="D34" s="178" t="str">
        <f aca="false">Scoring!CI41</f>
        <v/>
      </c>
      <c r="E34" s="6" t="str">
        <f aca="false">Scoring!BL41</f>
        <v/>
      </c>
      <c r="F34" s="6" t="n">
        <f aca="false">Scoring!B41</f>
        <v>0</v>
      </c>
      <c r="G34" s="6" t="n">
        <f aca="false">Scoring!D41</f>
        <v>0</v>
      </c>
      <c r="H34" s="6" t="str">
        <f aca="false">Scoring!CK41</f>
        <v/>
      </c>
      <c r="I34" s="179" t="str">
        <f aca="false">Scoring!CJ41</f>
        <v/>
      </c>
    </row>
    <row r="35" customFormat="false" ht="15.75" hidden="false" customHeight="false" outlineLevel="0" collapsed="false">
      <c r="A35" s="6" t="str">
        <f aca="false">Scoring!CM42</f>
        <v/>
      </c>
      <c r="B35" s="6" t="str">
        <f aca="false">Scoring!CL42</f>
        <v/>
      </c>
      <c r="C35" s="6" t="n">
        <f aca="false">Scoring!C42</f>
        <v>0</v>
      </c>
      <c r="D35" s="178" t="str">
        <f aca="false">Scoring!CI42</f>
        <v/>
      </c>
      <c r="E35" s="6" t="str">
        <f aca="false">Scoring!BL42</f>
        <v/>
      </c>
      <c r="F35" s="6" t="n">
        <f aca="false">Scoring!B42</f>
        <v>0</v>
      </c>
      <c r="G35" s="6" t="n">
        <f aca="false">Scoring!D42</f>
        <v>0</v>
      </c>
      <c r="H35" s="6" t="str">
        <f aca="false">Scoring!CK42</f>
        <v/>
      </c>
      <c r="I35" s="179" t="str">
        <f aca="false">Scoring!CJ42</f>
        <v/>
      </c>
    </row>
    <row r="36" customFormat="false" ht="15.75" hidden="false" customHeight="false" outlineLevel="0" collapsed="false">
      <c r="A36" s="6" t="str">
        <f aca="false">Scoring!CM43</f>
        <v/>
      </c>
      <c r="B36" s="6" t="str">
        <f aca="false">Scoring!CL43</f>
        <v/>
      </c>
      <c r="C36" s="6" t="n">
        <f aca="false">Scoring!C43</f>
        <v>0</v>
      </c>
      <c r="D36" s="178" t="str">
        <f aca="false">Scoring!CI43</f>
        <v/>
      </c>
      <c r="E36" s="6" t="str">
        <f aca="false">Scoring!BL43</f>
        <v/>
      </c>
      <c r="F36" s="6" t="n">
        <f aca="false">Scoring!B43</f>
        <v>0</v>
      </c>
      <c r="G36" s="6" t="n">
        <f aca="false">Scoring!D43</f>
        <v>0</v>
      </c>
      <c r="H36" s="6" t="str">
        <f aca="false">Scoring!CK43</f>
        <v/>
      </c>
      <c r="I36" s="179" t="str">
        <f aca="false">Scoring!CJ43</f>
        <v/>
      </c>
    </row>
    <row r="37" customFormat="false" ht="15.75" hidden="false" customHeight="false" outlineLevel="0" collapsed="false">
      <c r="A37" s="6" t="str">
        <f aca="false">Scoring!CM44</f>
        <v/>
      </c>
      <c r="B37" s="6" t="str">
        <f aca="false">Scoring!CL44</f>
        <v/>
      </c>
      <c r="C37" s="6" t="n">
        <f aca="false">Scoring!C44</f>
        <v>0</v>
      </c>
      <c r="D37" s="178" t="str">
        <f aca="false">Scoring!CI44</f>
        <v/>
      </c>
      <c r="E37" s="6" t="str">
        <f aca="false">Scoring!BL44</f>
        <v/>
      </c>
      <c r="F37" s="6" t="n">
        <f aca="false">Scoring!B44</f>
        <v>0</v>
      </c>
      <c r="G37" s="6" t="n">
        <f aca="false">Scoring!D44</f>
        <v>0</v>
      </c>
      <c r="H37" s="6" t="str">
        <f aca="false">Scoring!CK44</f>
        <v/>
      </c>
      <c r="I37" s="179" t="str">
        <f aca="false">Scoring!CJ44</f>
        <v/>
      </c>
    </row>
    <row r="38" customFormat="false" ht="15.75" hidden="false" customHeight="false" outlineLevel="0" collapsed="false">
      <c r="A38" s="6" t="str">
        <f aca="false">Scoring!CM45</f>
        <v/>
      </c>
      <c r="B38" s="6" t="str">
        <f aca="false">Scoring!CL45</f>
        <v/>
      </c>
      <c r="C38" s="6" t="n">
        <f aca="false">Scoring!C45</f>
        <v>0</v>
      </c>
      <c r="D38" s="178" t="str">
        <f aca="false">Scoring!CI45</f>
        <v/>
      </c>
      <c r="E38" s="6" t="str">
        <f aca="false">Scoring!BL45</f>
        <v/>
      </c>
      <c r="F38" s="6" t="n">
        <f aca="false">Scoring!B45</f>
        <v>0</v>
      </c>
      <c r="G38" s="6" t="n">
        <f aca="false">Scoring!D45</f>
        <v>0</v>
      </c>
      <c r="H38" s="6" t="str">
        <f aca="false">Scoring!CK45</f>
        <v/>
      </c>
      <c r="I38" s="179" t="str">
        <f aca="false">Scoring!CJ45</f>
        <v/>
      </c>
    </row>
    <row r="39" customFormat="false" ht="15.75" hidden="false" customHeight="false" outlineLevel="0" collapsed="false">
      <c r="A39" s="6" t="str">
        <f aca="false">Scoring!CM46</f>
        <v/>
      </c>
      <c r="B39" s="6" t="str">
        <f aca="false">Scoring!CL46</f>
        <v/>
      </c>
      <c r="C39" s="6" t="n">
        <f aca="false">Scoring!C46</f>
        <v>0</v>
      </c>
      <c r="D39" s="178" t="str">
        <f aca="false">Scoring!CI46</f>
        <v/>
      </c>
      <c r="E39" s="6" t="str">
        <f aca="false">Scoring!BL46</f>
        <v/>
      </c>
      <c r="F39" s="6" t="n">
        <f aca="false">Scoring!B46</f>
        <v>0</v>
      </c>
      <c r="G39" s="6" t="n">
        <f aca="false">Scoring!D46</f>
        <v>0</v>
      </c>
      <c r="H39" s="6" t="str">
        <f aca="false">Scoring!CK46</f>
        <v/>
      </c>
      <c r="I39" s="179" t="str">
        <f aca="false">Scoring!CJ46</f>
        <v/>
      </c>
    </row>
    <row r="40" customFormat="false" ht="15.75" hidden="false" customHeight="false" outlineLevel="0" collapsed="false">
      <c r="A40" s="6" t="str">
        <f aca="false">Scoring!CM47</f>
        <v/>
      </c>
      <c r="B40" s="6" t="str">
        <f aca="false">Scoring!CL47</f>
        <v/>
      </c>
      <c r="C40" s="6" t="n">
        <f aca="false">Scoring!C47</f>
        <v>0</v>
      </c>
      <c r="D40" s="178" t="str">
        <f aca="false">Scoring!CI47</f>
        <v/>
      </c>
      <c r="E40" s="6" t="str">
        <f aca="false">Scoring!BL47</f>
        <v/>
      </c>
      <c r="F40" s="6" t="n">
        <f aca="false">Scoring!B47</f>
        <v>0</v>
      </c>
      <c r="G40" s="6" t="n">
        <f aca="false">Scoring!D47</f>
        <v>0</v>
      </c>
      <c r="H40" s="6" t="str">
        <f aca="false">Scoring!CK47</f>
        <v/>
      </c>
      <c r="I40" s="179" t="str">
        <f aca="false">Scoring!CJ47</f>
        <v/>
      </c>
    </row>
    <row r="41" customFormat="false" ht="15.75" hidden="false" customHeight="false" outlineLevel="0" collapsed="false">
      <c r="A41" s="6" t="str">
        <f aca="false">Scoring!CM48</f>
        <v/>
      </c>
      <c r="B41" s="6" t="str">
        <f aca="false">Scoring!CL48</f>
        <v/>
      </c>
      <c r="C41" s="6" t="n">
        <f aca="false">Scoring!C48</f>
        <v>0</v>
      </c>
      <c r="D41" s="178" t="str">
        <f aca="false">Scoring!CI48</f>
        <v/>
      </c>
      <c r="E41" s="6" t="str">
        <f aca="false">Scoring!BL48</f>
        <v/>
      </c>
      <c r="F41" s="6" t="n">
        <f aca="false">Scoring!B48</f>
        <v>0</v>
      </c>
      <c r="G41" s="6" t="n">
        <f aca="false">Scoring!D48</f>
        <v>0</v>
      </c>
      <c r="H41" s="6" t="str">
        <f aca="false">Scoring!CK48</f>
        <v/>
      </c>
      <c r="I41" s="179" t="str">
        <f aca="false">Scoring!CJ48</f>
        <v/>
      </c>
    </row>
    <row r="42" customFormat="false" ht="15.75" hidden="false" customHeight="false" outlineLevel="0" collapsed="false">
      <c r="A42" s="6" t="str">
        <f aca="false">Scoring!CM49</f>
        <v/>
      </c>
      <c r="B42" s="6" t="str">
        <f aca="false">Scoring!CL49</f>
        <v/>
      </c>
      <c r="C42" s="6" t="n">
        <f aca="false">Scoring!C49</f>
        <v>0</v>
      </c>
      <c r="D42" s="178" t="str">
        <f aca="false">Scoring!CI49</f>
        <v/>
      </c>
      <c r="E42" s="6" t="str">
        <f aca="false">Scoring!BL49</f>
        <v/>
      </c>
      <c r="F42" s="6" t="n">
        <f aca="false">Scoring!B49</f>
        <v>0</v>
      </c>
      <c r="G42" s="6" t="n">
        <f aca="false">Scoring!D49</f>
        <v>0</v>
      </c>
      <c r="H42" s="6" t="str">
        <f aca="false">Scoring!CK49</f>
        <v/>
      </c>
      <c r="I42" s="179" t="str">
        <f aca="false">Scoring!CJ49</f>
        <v/>
      </c>
    </row>
    <row r="43" customFormat="false" ht="15.75" hidden="false" customHeight="false" outlineLevel="0" collapsed="false">
      <c r="A43" s="6" t="str">
        <f aca="false">Scoring!CM50</f>
        <v/>
      </c>
      <c r="B43" s="6" t="str">
        <f aca="false">Scoring!CL50</f>
        <v/>
      </c>
      <c r="C43" s="6" t="n">
        <f aca="false">Scoring!C50</f>
        <v>0</v>
      </c>
      <c r="D43" s="178" t="str">
        <f aca="false">Scoring!CI50</f>
        <v/>
      </c>
      <c r="E43" s="6" t="str">
        <f aca="false">Scoring!BL50</f>
        <v/>
      </c>
      <c r="F43" s="6" t="n">
        <f aca="false">Scoring!B50</f>
        <v>0</v>
      </c>
      <c r="G43" s="6" t="n">
        <f aca="false">Scoring!D50</f>
        <v>0</v>
      </c>
      <c r="H43" s="6" t="str">
        <f aca="false">Scoring!CK50</f>
        <v/>
      </c>
      <c r="I43" s="179" t="str">
        <f aca="false">Scoring!CJ50</f>
        <v/>
      </c>
    </row>
    <row r="44" customFormat="false" ht="15.75" hidden="false" customHeight="false" outlineLevel="0" collapsed="false">
      <c r="A44" s="6" t="str">
        <f aca="false">Scoring!CM51</f>
        <v/>
      </c>
      <c r="B44" s="6" t="str">
        <f aca="false">Scoring!CL51</f>
        <v/>
      </c>
      <c r="C44" s="6" t="n">
        <f aca="false">Scoring!C51</f>
        <v>0</v>
      </c>
      <c r="D44" s="178" t="str">
        <f aca="false">Scoring!CI51</f>
        <v/>
      </c>
      <c r="E44" s="6" t="str">
        <f aca="false">Scoring!BL51</f>
        <v/>
      </c>
      <c r="F44" s="6" t="n">
        <f aca="false">Scoring!B51</f>
        <v>0</v>
      </c>
      <c r="G44" s="6" t="n">
        <f aca="false">Scoring!D51</f>
        <v>0</v>
      </c>
      <c r="H44" s="6" t="str">
        <f aca="false">Scoring!CK51</f>
        <v/>
      </c>
      <c r="I44" s="179" t="str">
        <f aca="false">Scoring!CJ51</f>
        <v/>
      </c>
    </row>
    <row r="45" customFormat="false" ht="15.75" hidden="false" customHeight="false" outlineLevel="0" collapsed="false">
      <c r="A45" s="6" t="str">
        <f aca="false">Scoring!CM52</f>
        <v/>
      </c>
      <c r="B45" s="6" t="str">
        <f aca="false">Scoring!CL52</f>
        <v/>
      </c>
      <c r="C45" s="6" t="n">
        <f aca="false">Scoring!C52</f>
        <v>0</v>
      </c>
      <c r="D45" s="178" t="str">
        <f aca="false">Scoring!CI52</f>
        <v/>
      </c>
      <c r="E45" s="6" t="str">
        <f aca="false">Scoring!BL52</f>
        <v/>
      </c>
      <c r="F45" s="6" t="n">
        <f aca="false">Scoring!B52</f>
        <v>0</v>
      </c>
      <c r="G45" s="6" t="n">
        <f aca="false">Scoring!D52</f>
        <v>0</v>
      </c>
      <c r="H45" s="6" t="str">
        <f aca="false">Scoring!CK52</f>
        <v/>
      </c>
      <c r="I45" s="179" t="str">
        <f aca="false">Scoring!CJ52</f>
        <v/>
      </c>
    </row>
    <row r="46" customFormat="false" ht="15.75" hidden="false" customHeight="false" outlineLevel="0" collapsed="false">
      <c r="A46" s="6" t="str">
        <f aca="false">Scoring!CM53</f>
        <v/>
      </c>
      <c r="B46" s="6" t="str">
        <f aca="false">Scoring!CL53</f>
        <v/>
      </c>
      <c r="C46" s="6" t="n">
        <f aca="false">Scoring!C53</f>
        <v>0</v>
      </c>
      <c r="D46" s="178" t="str">
        <f aca="false">Scoring!CI53</f>
        <v/>
      </c>
      <c r="E46" s="6" t="str">
        <f aca="false">Scoring!BL53</f>
        <v/>
      </c>
      <c r="F46" s="6" t="n">
        <f aca="false">Scoring!B53</f>
        <v>0</v>
      </c>
      <c r="G46" s="6" t="n">
        <f aca="false">Scoring!D53</f>
        <v>0</v>
      </c>
      <c r="H46" s="6" t="str">
        <f aca="false">Scoring!CK53</f>
        <v/>
      </c>
      <c r="I46" s="179" t="str">
        <f aca="false">Scoring!CJ53</f>
        <v/>
      </c>
    </row>
    <row r="47" customFormat="false" ht="15.75" hidden="false" customHeight="false" outlineLevel="0" collapsed="false">
      <c r="A47" s="6" t="str">
        <f aca="false">Scoring!CM54</f>
        <v/>
      </c>
      <c r="B47" s="6" t="str">
        <f aca="false">Scoring!CL54</f>
        <v/>
      </c>
      <c r="C47" s="6" t="n">
        <f aca="false">Scoring!C54</f>
        <v>0</v>
      </c>
      <c r="D47" s="178" t="str">
        <f aca="false">Scoring!CI54</f>
        <v/>
      </c>
      <c r="E47" s="6" t="str">
        <f aca="false">Scoring!BL54</f>
        <v/>
      </c>
      <c r="F47" s="6" t="n">
        <f aca="false">Scoring!B54</f>
        <v>0</v>
      </c>
      <c r="G47" s="6" t="n">
        <f aca="false">Scoring!D54</f>
        <v>0</v>
      </c>
      <c r="H47" s="6" t="str">
        <f aca="false">Scoring!CK54</f>
        <v/>
      </c>
      <c r="I47" s="179" t="str">
        <f aca="false">Scoring!CJ54</f>
        <v/>
      </c>
    </row>
    <row r="48" customFormat="false" ht="15.75" hidden="false" customHeight="false" outlineLevel="0" collapsed="false">
      <c r="A48" s="6" t="str">
        <f aca="false">Scoring!CM55</f>
        <v/>
      </c>
      <c r="B48" s="6" t="str">
        <f aca="false">Scoring!CL55</f>
        <v/>
      </c>
      <c r="C48" s="6" t="n">
        <f aca="false">Scoring!C55</f>
        <v>0</v>
      </c>
      <c r="D48" s="178" t="str">
        <f aca="false">Scoring!CI55</f>
        <v/>
      </c>
      <c r="E48" s="6" t="str">
        <f aca="false">Scoring!BL55</f>
        <v/>
      </c>
      <c r="F48" s="6" t="n">
        <f aca="false">Scoring!B55</f>
        <v>0</v>
      </c>
      <c r="G48" s="6" t="n">
        <f aca="false">Scoring!D55</f>
        <v>0</v>
      </c>
      <c r="H48" s="6" t="str">
        <f aca="false">Scoring!CK55</f>
        <v/>
      </c>
      <c r="I48" s="179" t="str">
        <f aca="false">Scoring!CJ55</f>
        <v/>
      </c>
    </row>
    <row r="49" customFormat="false" ht="15.75" hidden="false" customHeight="false" outlineLevel="0" collapsed="false">
      <c r="A49" s="6" t="str">
        <f aca="false">Scoring!CM56</f>
        <v/>
      </c>
      <c r="B49" s="6" t="str">
        <f aca="false">Scoring!CL56</f>
        <v/>
      </c>
      <c r="C49" s="6" t="n">
        <f aca="false">Scoring!C56</f>
        <v>0</v>
      </c>
      <c r="D49" s="178" t="str">
        <f aca="false">Scoring!CI56</f>
        <v/>
      </c>
      <c r="E49" s="6" t="str">
        <f aca="false">Scoring!BL56</f>
        <v/>
      </c>
      <c r="F49" s="6" t="n">
        <f aca="false">Scoring!B56</f>
        <v>0</v>
      </c>
      <c r="G49" s="6" t="n">
        <f aca="false">Scoring!D56</f>
        <v>0</v>
      </c>
      <c r="H49" s="6" t="str">
        <f aca="false">Scoring!CK56</f>
        <v/>
      </c>
      <c r="I49" s="179" t="str">
        <f aca="false">Scoring!CJ56</f>
        <v/>
      </c>
    </row>
    <row r="50" customFormat="false" ht="15.75" hidden="false" customHeight="false" outlineLevel="0" collapsed="false">
      <c r="A50" s="6" t="str">
        <f aca="false">Scoring!CM57</f>
        <v/>
      </c>
      <c r="B50" s="6" t="str">
        <f aca="false">Scoring!CL57</f>
        <v/>
      </c>
      <c r="C50" s="6" t="n">
        <f aca="false">Scoring!C57</f>
        <v>0</v>
      </c>
      <c r="D50" s="178" t="str">
        <f aca="false">Scoring!CI57</f>
        <v/>
      </c>
      <c r="E50" s="6" t="str">
        <f aca="false">Scoring!BL57</f>
        <v/>
      </c>
      <c r="F50" s="6" t="n">
        <f aca="false">Scoring!B57</f>
        <v>0</v>
      </c>
      <c r="G50" s="6" t="n">
        <f aca="false">Scoring!D57</f>
        <v>0</v>
      </c>
      <c r="H50" s="6" t="str">
        <f aca="false">Scoring!CK57</f>
        <v/>
      </c>
      <c r="I50" s="179" t="str">
        <f aca="false">Scoring!CJ57</f>
        <v/>
      </c>
    </row>
    <row r="51" customFormat="false" ht="15.75" hidden="false" customHeight="false" outlineLevel="0" collapsed="false">
      <c r="A51" s="6" t="str">
        <f aca="false">Scoring!CM58</f>
        <v/>
      </c>
      <c r="B51" s="6" t="str">
        <f aca="false">Scoring!CL58</f>
        <v/>
      </c>
      <c r="C51" s="6" t="n">
        <f aca="false">Scoring!C58</f>
        <v>0</v>
      </c>
      <c r="D51" s="178" t="str">
        <f aca="false">Scoring!CI58</f>
        <v/>
      </c>
      <c r="E51" s="6" t="str">
        <f aca="false">Scoring!BL58</f>
        <v/>
      </c>
      <c r="F51" s="6" t="n">
        <f aca="false">Scoring!B58</f>
        <v>0</v>
      </c>
      <c r="G51" s="6" t="n">
        <f aca="false">Scoring!D58</f>
        <v>0</v>
      </c>
      <c r="H51" s="6" t="str">
        <f aca="false">Scoring!CK58</f>
        <v/>
      </c>
      <c r="I51" s="179" t="str">
        <f aca="false">Scoring!CJ58</f>
        <v/>
      </c>
    </row>
    <row r="52" customFormat="false" ht="15.75" hidden="false" customHeight="false" outlineLevel="0" collapsed="false">
      <c r="A52" s="6" t="str">
        <f aca="false">Scoring!CM59</f>
        <v/>
      </c>
      <c r="B52" s="6" t="str">
        <f aca="false">Scoring!CL59</f>
        <v/>
      </c>
      <c r="C52" s="6" t="n">
        <f aca="false">Scoring!C59</f>
        <v>0</v>
      </c>
      <c r="D52" s="178" t="str">
        <f aca="false">Scoring!CI59</f>
        <v/>
      </c>
      <c r="E52" s="6" t="str">
        <f aca="false">Scoring!BL59</f>
        <v/>
      </c>
      <c r="F52" s="6" t="n">
        <f aca="false">Scoring!B59</f>
        <v>0</v>
      </c>
      <c r="G52" s="6" t="n">
        <f aca="false">Scoring!D59</f>
        <v>0</v>
      </c>
      <c r="H52" s="6" t="str">
        <f aca="false">Scoring!CK59</f>
        <v/>
      </c>
      <c r="I52" s="179" t="str">
        <f aca="false">Scoring!CJ59</f>
        <v/>
      </c>
    </row>
    <row r="53" customFormat="false" ht="15.75" hidden="false" customHeight="false" outlineLevel="0" collapsed="false">
      <c r="A53" s="6" t="str">
        <f aca="false">Scoring!CM60</f>
        <v/>
      </c>
      <c r="B53" s="6" t="str">
        <f aca="false">Scoring!CL60</f>
        <v/>
      </c>
      <c r="C53" s="6" t="n">
        <f aca="false">Scoring!C60</f>
        <v>0</v>
      </c>
      <c r="D53" s="178" t="str">
        <f aca="false">Scoring!CI60</f>
        <v/>
      </c>
      <c r="E53" s="6" t="str">
        <f aca="false">Scoring!BL60</f>
        <v/>
      </c>
      <c r="F53" s="6" t="n">
        <f aca="false">Scoring!B60</f>
        <v>0</v>
      </c>
      <c r="G53" s="6" t="n">
        <f aca="false">Scoring!D60</f>
        <v>0</v>
      </c>
      <c r="H53" s="6" t="str">
        <f aca="false">Scoring!CK60</f>
        <v/>
      </c>
      <c r="I53" s="179" t="str">
        <f aca="false">Scoring!CJ60</f>
        <v/>
      </c>
    </row>
    <row r="54" customFormat="false" ht="15.75" hidden="false" customHeight="false" outlineLevel="0" collapsed="false">
      <c r="A54" s="6" t="str">
        <f aca="false">Scoring!CM61</f>
        <v/>
      </c>
      <c r="B54" s="6" t="str">
        <f aca="false">Scoring!CL61</f>
        <v/>
      </c>
      <c r="C54" s="6" t="n">
        <f aca="false">Scoring!C61</f>
        <v>0</v>
      </c>
      <c r="D54" s="178" t="str">
        <f aca="false">Scoring!CI61</f>
        <v/>
      </c>
      <c r="E54" s="6" t="str">
        <f aca="false">Scoring!BL61</f>
        <v/>
      </c>
      <c r="F54" s="6" t="n">
        <f aca="false">Scoring!B61</f>
        <v>0</v>
      </c>
      <c r="G54" s="6" t="n">
        <f aca="false">Scoring!D61</f>
        <v>0</v>
      </c>
      <c r="H54" s="6" t="str">
        <f aca="false">Scoring!CK61</f>
        <v/>
      </c>
      <c r="I54" s="179" t="str">
        <f aca="false">Scoring!CJ61</f>
        <v/>
      </c>
    </row>
    <row r="55" customFormat="false" ht="15.75" hidden="false" customHeight="false" outlineLevel="0" collapsed="false">
      <c r="A55" s="6" t="str">
        <f aca="false">Scoring!CM62</f>
        <v/>
      </c>
      <c r="B55" s="6" t="str">
        <f aca="false">Scoring!CL62</f>
        <v/>
      </c>
      <c r="C55" s="6" t="n">
        <f aca="false">Scoring!C62</f>
        <v>0</v>
      </c>
      <c r="D55" s="178" t="str">
        <f aca="false">Scoring!CI62</f>
        <v/>
      </c>
      <c r="E55" s="6" t="str">
        <f aca="false">Scoring!BL62</f>
        <v/>
      </c>
      <c r="F55" s="6" t="n">
        <f aca="false">Scoring!B62</f>
        <v>0</v>
      </c>
      <c r="G55" s="6" t="n">
        <f aca="false">Scoring!D62</f>
        <v>0</v>
      </c>
      <c r="H55" s="6" t="str">
        <f aca="false">Scoring!CK62</f>
        <v/>
      </c>
      <c r="I55" s="179" t="str">
        <f aca="false">Scoring!CJ62</f>
        <v/>
      </c>
    </row>
    <row r="56" customFormat="false" ht="15.75" hidden="false" customHeight="false" outlineLevel="0" collapsed="false">
      <c r="A56" s="6" t="str">
        <f aca="false">Scoring!CM63</f>
        <v/>
      </c>
      <c r="B56" s="6" t="str">
        <f aca="false">Scoring!CL63</f>
        <v/>
      </c>
      <c r="C56" s="6" t="n">
        <f aca="false">Scoring!C63</f>
        <v>0</v>
      </c>
      <c r="D56" s="178" t="str">
        <f aca="false">Scoring!CI63</f>
        <v/>
      </c>
      <c r="E56" s="6" t="str">
        <f aca="false">Scoring!BL63</f>
        <v/>
      </c>
      <c r="F56" s="6" t="n">
        <f aca="false">Scoring!B63</f>
        <v>0</v>
      </c>
      <c r="G56" s="6" t="n">
        <f aca="false">Scoring!D63</f>
        <v>0</v>
      </c>
      <c r="H56" s="6" t="str">
        <f aca="false">Scoring!CK63</f>
        <v/>
      </c>
      <c r="I56" s="179" t="str">
        <f aca="false">Scoring!CJ63</f>
        <v/>
      </c>
    </row>
    <row r="57" customFormat="false" ht="15.75" hidden="false" customHeight="false" outlineLevel="0" collapsed="false">
      <c r="A57" s="6" t="str">
        <f aca="false">Scoring!CM64</f>
        <v/>
      </c>
      <c r="B57" s="6" t="str">
        <f aca="false">Scoring!CL64</f>
        <v/>
      </c>
      <c r="C57" s="6" t="n">
        <f aca="false">Scoring!C64</f>
        <v>0</v>
      </c>
      <c r="D57" s="178" t="str">
        <f aca="false">Scoring!CI64</f>
        <v/>
      </c>
      <c r="E57" s="6" t="str">
        <f aca="false">Scoring!BL64</f>
        <v/>
      </c>
      <c r="F57" s="6" t="n">
        <f aca="false">Scoring!B64</f>
        <v>0</v>
      </c>
      <c r="G57" s="6" t="n">
        <f aca="false">Scoring!D64</f>
        <v>0</v>
      </c>
      <c r="H57" s="6" t="str">
        <f aca="false">Scoring!CK64</f>
        <v/>
      </c>
      <c r="I57" s="179" t="str">
        <f aca="false">Scoring!CJ64</f>
        <v/>
      </c>
    </row>
    <row r="58" customFormat="false" ht="15.75" hidden="false" customHeight="false" outlineLevel="0" collapsed="false">
      <c r="A58" s="6" t="str">
        <f aca="false">Scoring!CM65</f>
        <v/>
      </c>
      <c r="B58" s="6" t="str">
        <f aca="false">Scoring!CL65</f>
        <v/>
      </c>
      <c r="C58" s="6" t="n">
        <f aca="false">Scoring!C65</f>
        <v>0</v>
      </c>
      <c r="D58" s="178" t="str">
        <f aca="false">Scoring!CI65</f>
        <v/>
      </c>
      <c r="E58" s="6" t="str">
        <f aca="false">Scoring!BL65</f>
        <v/>
      </c>
      <c r="F58" s="6" t="n">
        <f aca="false">Scoring!B65</f>
        <v>0</v>
      </c>
      <c r="G58" s="6" t="n">
        <f aca="false">Scoring!D65</f>
        <v>0</v>
      </c>
      <c r="H58" s="6" t="str">
        <f aca="false">Scoring!CK65</f>
        <v/>
      </c>
      <c r="I58" s="179" t="str">
        <f aca="false">Scoring!CJ65</f>
        <v/>
      </c>
    </row>
    <row r="59" customFormat="false" ht="15.75" hidden="false" customHeight="false" outlineLevel="0" collapsed="false">
      <c r="A59" s="6" t="str">
        <f aca="false">Scoring!CM66</f>
        <v/>
      </c>
      <c r="B59" s="6" t="str">
        <f aca="false">Scoring!CL66</f>
        <v/>
      </c>
      <c r="C59" s="6" t="n">
        <f aca="false">Scoring!C66</f>
        <v>0</v>
      </c>
      <c r="D59" s="178" t="str">
        <f aca="false">Scoring!CI66</f>
        <v/>
      </c>
      <c r="E59" s="6" t="str">
        <f aca="false">Scoring!BL66</f>
        <v/>
      </c>
      <c r="F59" s="6" t="n">
        <f aca="false">Scoring!B66</f>
        <v>0</v>
      </c>
      <c r="G59" s="6" t="n">
        <f aca="false">Scoring!D66</f>
        <v>0</v>
      </c>
      <c r="H59" s="6" t="str">
        <f aca="false">Scoring!CK66</f>
        <v/>
      </c>
      <c r="I59" s="179" t="str">
        <f aca="false">Scoring!CJ66</f>
        <v/>
      </c>
    </row>
    <row r="60" customFormat="false" ht="15.75" hidden="false" customHeight="false" outlineLevel="0" collapsed="false">
      <c r="A60" s="6" t="str">
        <f aca="false">Scoring!CM67</f>
        <v/>
      </c>
      <c r="B60" s="6" t="str">
        <f aca="false">Scoring!CL67</f>
        <v/>
      </c>
      <c r="C60" s="6" t="n">
        <f aca="false">Scoring!C67</f>
        <v>0</v>
      </c>
      <c r="D60" s="178" t="str">
        <f aca="false">Scoring!CI67</f>
        <v/>
      </c>
      <c r="E60" s="6" t="str">
        <f aca="false">Scoring!BL67</f>
        <v/>
      </c>
      <c r="F60" s="6" t="n">
        <f aca="false">Scoring!B67</f>
        <v>0</v>
      </c>
      <c r="G60" s="6" t="n">
        <f aca="false">Scoring!D67</f>
        <v>0</v>
      </c>
      <c r="H60" s="6" t="str">
        <f aca="false">Scoring!CK67</f>
        <v/>
      </c>
      <c r="I60" s="179" t="str">
        <f aca="false">Scoring!CJ67</f>
        <v/>
      </c>
    </row>
    <row r="61" customFormat="false" ht="15.75" hidden="false" customHeight="false" outlineLevel="0" collapsed="false">
      <c r="A61" s="6" t="str">
        <f aca="false">Scoring!CM68</f>
        <v/>
      </c>
      <c r="B61" s="6" t="str">
        <f aca="false">Scoring!CL68</f>
        <v/>
      </c>
      <c r="C61" s="6" t="n">
        <f aca="false">Scoring!C68</f>
        <v>0</v>
      </c>
      <c r="D61" s="178" t="str">
        <f aca="false">Scoring!CI68</f>
        <v/>
      </c>
      <c r="E61" s="6" t="str">
        <f aca="false">Scoring!BL68</f>
        <v/>
      </c>
      <c r="F61" s="6" t="n">
        <f aca="false">Scoring!B68</f>
        <v>0</v>
      </c>
      <c r="G61" s="6" t="n">
        <f aca="false">Scoring!D68</f>
        <v>0</v>
      </c>
      <c r="H61" s="6" t="str">
        <f aca="false">Scoring!CK68</f>
        <v/>
      </c>
      <c r="I61" s="179" t="str">
        <f aca="false">Scoring!CJ68</f>
        <v/>
      </c>
    </row>
    <row r="62" customFormat="false" ht="15.75" hidden="false" customHeight="false" outlineLevel="0" collapsed="false">
      <c r="A62" s="6" t="str">
        <f aca="false">Scoring!CM69</f>
        <v/>
      </c>
      <c r="B62" s="6" t="str">
        <f aca="false">Scoring!CL69</f>
        <v/>
      </c>
      <c r="C62" s="6" t="n">
        <f aca="false">Scoring!C69</f>
        <v>0</v>
      </c>
      <c r="D62" s="178" t="str">
        <f aca="false">Scoring!CI69</f>
        <v/>
      </c>
      <c r="E62" s="6" t="str">
        <f aca="false">Scoring!BL69</f>
        <v/>
      </c>
      <c r="F62" s="6" t="n">
        <f aca="false">Scoring!B69</f>
        <v>0</v>
      </c>
      <c r="G62" s="6" t="n">
        <f aca="false">Scoring!D69</f>
        <v>0</v>
      </c>
      <c r="H62" s="6" t="str">
        <f aca="false">Scoring!CK69</f>
        <v/>
      </c>
      <c r="I62" s="179" t="str">
        <f aca="false">Scoring!CJ69</f>
        <v/>
      </c>
    </row>
    <row r="63" customFormat="false" ht="15.75" hidden="false" customHeight="false" outlineLevel="0" collapsed="false">
      <c r="A63" s="6" t="str">
        <f aca="false">Scoring!CM70</f>
        <v/>
      </c>
      <c r="B63" s="6" t="str">
        <f aca="false">Scoring!CL70</f>
        <v/>
      </c>
      <c r="C63" s="6" t="n">
        <f aca="false">Scoring!C70</f>
        <v>0</v>
      </c>
      <c r="D63" s="178" t="str">
        <f aca="false">Scoring!CI70</f>
        <v/>
      </c>
      <c r="E63" s="6" t="str">
        <f aca="false">Scoring!BL70</f>
        <v/>
      </c>
      <c r="F63" s="6" t="n">
        <f aca="false">Scoring!B70</f>
        <v>0</v>
      </c>
      <c r="G63" s="6" t="n">
        <f aca="false">Scoring!D70</f>
        <v>0</v>
      </c>
      <c r="H63" s="6" t="str">
        <f aca="false">Scoring!CK70</f>
        <v/>
      </c>
      <c r="I63" s="179" t="str">
        <f aca="false">Scoring!CJ70</f>
        <v/>
      </c>
    </row>
    <row r="64" customFormat="false" ht="15.75" hidden="false" customHeight="false" outlineLevel="0" collapsed="false">
      <c r="A64" s="6" t="str">
        <f aca="false">Scoring!CM71</f>
        <v/>
      </c>
      <c r="B64" s="6" t="str">
        <f aca="false">Scoring!CL71</f>
        <v/>
      </c>
      <c r="C64" s="6" t="n">
        <f aca="false">Scoring!C71</f>
        <v>0</v>
      </c>
      <c r="D64" s="178" t="str">
        <f aca="false">Scoring!CI71</f>
        <v/>
      </c>
      <c r="E64" s="6" t="str">
        <f aca="false">Scoring!BL71</f>
        <v/>
      </c>
      <c r="F64" s="6" t="n">
        <f aca="false">Scoring!B71</f>
        <v>0</v>
      </c>
      <c r="G64" s="6" t="n">
        <f aca="false">Scoring!D71</f>
        <v>0</v>
      </c>
      <c r="H64" s="6" t="str">
        <f aca="false">Scoring!CK71</f>
        <v/>
      </c>
      <c r="I64" s="179" t="str">
        <f aca="false">Scoring!CJ71</f>
        <v/>
      </c>
    </row>
    <row r="65" customFormat="false" ht="15.75" hidden="false" customHeight="false" outlineLevel="0" collapsed="false">
      <c r="A65" s="6" t="str">
        <f aca="false">Scoring!CM72</f>
        <v/>
      </c>
      <c r="B65" s="6" t="str">
        <f aca="false">Scoring!CL72</f>
        <v/>
      </c>
      <c r="C65" s="6" t="n">
        <f aca="false">Scoring!C72</f>
        <v>0</v>
      </c>
      <c r="D65" s="178" t="str">
        <f aca="false">Scoring!CI72</f>
        <v/>
      </c>
      <c r="E65" s="6" t="str">
        <f aca="false">Scoring!BL72</f>
        <v/>
      </c>
      <c r="F65" s="6" t="n">
        <f aca="false">Scoring!B72</f>
        <v>0</v>
      </c>
      <c r="G65" s="6" t="n">
        <f aca="false">Scoring!D72</f>
        <v>0</v>
      </c>
      <c r="H65" s="6" t="str">
        <f aca="false">Scoring!CK72</f>
        <v/>
      </c>
      <c r="I65" s="179" t="str">
        <f aca="false">Scoring!CJ72</f>
        <v/>
      </c>
    </row>
    <row r="66" customFormat="false" ht="15.75" hidden="false" customHeight="false" outlineLevel="0" collapsed="false">
      <c r="A66" s="6" t="str">
        <f aca="false">Scoring!CM73</f>
        <v/>
      </c>
      <c r="B66" s="6" t="str">
        <f aca="false">Scoring!CL73</f>
        <v/>
      </c>
      <c r="C66" s="6" t="n">
        <f aca="false">Scoring!C73</f>
        <v>0</v>
      </c>
      <c r="D66" s="178" t="str">
        <f aca="false">Scoring!CI73</f>
        <v/>
      </c>
      <c r="E66" s="6" t="str">
        <f aca="false">Scoring!BL73</f>
        <v/>
      </c>
      <c r="F66" s="6" t="n">
        <f aca="false">Scoring!B73</f>
        <v>0</v>
      </c>
      <c r="G66" s="6" t="n">
        <f aca="false">Scoring!D73</f>
        <v>0</v>
      </c>
      <c r="H66" s="6" t="str">
        <f aca="false">Scoring!CK73</f>
        <v/>
      </c>
      <c r="I66" s="179" t="str">
        <f aca="false">Scoring!CJ73</f>
        <v/>
      </c>
    </row>
    <row r="67" customFormat="false" ht="15.75" hidden="false" customHeight="false" outlineLevel="0" collapsed="false">
      <c r="A67" s="6" t="str">
        <f aca="false">Scoring!CM74</f>
        <v/>
      </c>
      <c r="B67" s="6" t="str">
        <f aca="false">Scoring!CL74</f>
        <v/>
      </c>
      <c r="C67" s="6" t="n">
        <f aca="false">Scoring!C74</f>
        <v>0</v>
      </c>
      <c r="D67" s="178" t="str">
        <f aca="false">Scoring!CI74</f>
        <v/>
      </c>
      <c r="E67" s="6" t="str">
        <f aca="false">Scoring!BL74</f>
        <v/>
      </c>
      <c r="F67" s="6" t="n">
        <f aca="false">Scoring!B74</f>
        <v>0</v>
      </c>
      <c r="G67" s="6" t="n">
        <f aca="false">Scoring!D74</f>
        <v>0</v>
      </c>
      <c r="H67" s="6" t="str">
        <f aca="false">Scoring!CK74</f>
        <v/>
      </c>
      <c r="I67" s="179" t="str">
        <f aca="false">Scoring!CJ74</f>
        <v/>
      </c>
    </row>
    <row r="68" customFormat="false" ht="15.75" hidden="false" customHeight="false" outlineLevel="0" collapsed="false">
      <c r="A68" s="6" t="str">
        <f aca="false">Scoring!CM75</f>
        <v/>
      </c>
      <c r="B68" s="6" t="str">
        <f aca="false">Scoring!CL75</f>
        <v/>
      </c>
      <c r="C68" s="6" t="n">
        <f aca="false">Scoring!C75</f>
        <v>0</v>
      </c>
      <c r="D68" s="178" t="str">
        <f aca="false">Scoring!CI75</f>
        <v/>
      </c>
      <c r="E68" s="6" t="str">
        <f aca="false">Scoring!BL75</f>
        <v/>
      </c>
      <c r="F68" s="6" t="n">
        <f aca="false">Scoring!B75</f>
        <v>0</v>
      </c>
      <c r="G68" s="6" t="n">
        <f aca="false">Scoring!D75</f>
        <v>0</v>
      </c>
      <c r="H68" s="6" t="str">
        <f aca="false">Scoring!CK75</f>
        <v/>
      </c>
      <c r="I68" s="179" t="str">
        <f aca="false">Scoring!CJ75</f>
        <v/>
      </c>
    </row>
    <row r="69" customFormat="false" ht="15.75" hidden="false" customHeight="false" outlineLevel="0" collapsed="false">
      <c r="A69" s="6" t="str">
        <f aca="false">Scoring!CM76</f>
        <v/>
      </c>
      <c r="B69" s="6" t="str">
        <f aca="false">Scoring!CL76</f>
        <v/>
      </c>
      <c r="C69" s="6" t="n">
        <f aca="false">Scoring!C76</f>
        <v>0</v>
      </c>
      <c r="D69" s="178" t="str">
        <f aca="false">Scoring!CI76</f>
        <v/>
      </c>
      <c r="E69" s="6" t="str">
        <f aca="false">Scoring!BL76</f>
        <v/>
      </c>
      <c r="F69" s="6" t="n">
        <f aca="false">Scoring!B76</f>
        <v>0</v>
      </c>
      <c r="G69" s="6" t="n">
        <f aca="false">Scoring!D76</f>
        <v>0</v>
      </c>
      <c r="H69" s="6" t="str">
        <f aca="false">Scoring!CK76</f>
        <v/>
      </c>
      <c r="I69" s="179" t="str">
        <f aca="false">Scoring!CJ76</f>
        <v/>
      </c>
    </row>
    <row r="70" customFormat="false" ht="15.75" hidden="false" customHeight="false" outlineLevel="0" collapsed="false">
      <c r="A70" s="6" t="str">
        <f aca="false">Scoring!CM77</f>
        <v/>
      </c>
      <c r="B70" s="6" t="str">
        <f aca="false">Scoring!CL77</f>
        <v/>
      </c>
      <c r="C70" s="6" t="n">
        <f aca="false">Scoring!C77</f>
        <v>0</v>
      </c>
      <c r="D70" s="178" t="str">
        <f aca="false">Scoring!CI77</f>
        <v/>
      </c>
      <c r="E70" s="6" t="str">
        <f aca="false">Scoring!BL77</f>
        <v/>
      </c>
      <c r="F70" s="6" t="n">
        <f aca="false">Scoring!B77</f>
        <v>0</v>
      </c>
      <c r="G70" s="6" t="n">
        <f aca="false">Scoring!D77</f>
        <v>0</v>
      </c>
      <c r="H70" s="6" t="str">
        <f aca="false">Scoring!CK77</f>
        <v/>
      </c>
      <c r="I70" s="179" t="str">
        <f aca="false">Scoring!CJ77</f>
        <v/>
      </c>
    </row>
    <row r="71" customFormat="false" ht="15.75" hidden="false" customHeight="false" outlineLevel="0" collapsed="false">
      <c r="A71" s="6" t="str">
        <f aca="false">Scoring!CM78</f>
        <v/>
      </c>
      <c r="B71" s="6" t="str">
        <f aca="false">Scoring!CL78</f>
        <v/>
      </c>
      <c r="C71" s="6" t="n">
        <f aca="false">Scoring!C78</f>
        <v>0</v>
      </c>
      <c r="D71" s="178" t="str">
        <f aca="false">Scoring!CI78</f>
        <v/>
      </c>
      <c r="E71" s="6" t="str">
        <f aca="false">Scoring!BL78</f>
        <v/>
      </c>
      <c r="F71" s="6" t="n">
        <f aca="false">Scoring!B78</f>
        <v>0</v>
      </c>
      <c r="G71" s="6" t="n">
        <f aca="false">Scoring!D78</f>
        <v>0</v>
      </c>
      <c r="H71" s="6" t="str">
        <f aca="false">Scoring!CK78</f>
        <v/>
      </c>
      <c r="I71" s="179" t="str">
        <f aca="false">Scoring!CJ78</f>
        <v/>
      </c>
    </row>
    <row r="72" customFormat="false" ht="15.75" hidden="false" customHeight="false" outlineLevel="0" collapsed="false">
      <c r="A72" s="6" t="str">
        <f aca="false">Scoring!CM79</f>
        <v/>
      </c>
      <c r="B72" s="6" t="str">
        <f aca="false">Scoring!CL79</f>
        <v/>
      </c>
      <c r="C72" s="6" t="n">
        <f aca="false">Scoring!C79</f>
        <v>0</v>
      </c>
      <c r="D72" s="178" t="str">
        <f aca="false">Scoring!CI79</f>
        <v/>
      </c>
      <c r="E72" s="6" t="str">
        <f aca="false">Scoring!BL79</f>
        <v/>
      </c>
      <c r="F72" s="6" t="n">
        <f aca="false">Scoring!B79</f>
        <v>0</v>
      </c>
      <c r="G72" s="6" t="n">
        <f aca="false">Scoring!D79</f>
        <v>0</v>
      </c>
      <c r="H72" s="6" t="str">
        <f aca="false">Scoring!CK79</f>
        <v/>
      </c>
      <c r="I72" s="179" t="str">
        <f aca="false">Scoring!CJ79</f>
        <v/>
      </c>
    </row>
    <row r="73" customFormat="false" ht="15.75" hidden="false" customHeight="false" outlineLevel="0" collapsed="false">
      <c r="A73" s="6" t="str">
        <f aca="false">Scoring!CM80</f>
        <v/>
      </c>
      <c r="B73" s="6" t="str">
        <f aca="false">Scoring!CL80</f>
        <v/>
      </c>
      <c r="C73" s="6" t="n">
        <f aca="false">Scoring!C80</f>
        <v>0</v>
      </c>
      <c r="D73" s="178" t="str">
        <f aca="false">Scoring!CI80</f>
        <v/>
      </c>
      <c r="E73" s="6" t="str">
        <f aca="false">Scoring!BL80</f>
        <v/>
      </c>
      <c r="F73" s="6" t="n">
        <f aca="false">Scoring!B80</f>
        <v>0</v>
      </c>
      <c r="G73" s="6" t="n">
        <f aca="false">Scoring!D80</f>
        <v>0</v>
      </c>
      <c r="H73" s="6" t="str">
        <f aca="false">Scoring!CK80</f>
        <v/>
      </c>
      <c r="I73" s="179" t="str">
        <f aca="false">Scoring!CJ80</f>
        <v/>
      </c>
    </row>
    <row r="74" customFormat="false" ht="15.75" hidden="false" customHeight="false" outlineLevel="0" collapsed="false">
      <c r="A74" s="6" t="str">
        <f aca="false">Scoring!CM81</f>
        <v/>
      </c>
      <c r="B74" s="6" t="str">
        <f aca="false">Scoring!CL81</f>
        <v/>
      </c>
      <c r="C74" s="6" t="n">
        <f aca="false">Scoring!C81</f>
        <v>0</v>
      </c>
      <c r="D74" s="178" t="str">
        <f aca="false">Scoring!CI81</f>
        <v/>
      </c>
      <c r="E74" s="6" t="str">
        <f aca="false">Scoring!BL81</f>
        <v/>
      </c>
      <c r="F74" s="6" t="n">
        <f aca="false">Scoring!B81</f>
        <v>0</v>
      </c>
      <c r="G74" s="6" t="n">
        <f aca="false">Scoring!D81</f>
        <v>0</v>
      </c>
      <c r="H74" s="6" t="str">
        <f aca="false">Scoring!CK81</f>
        <v/>
      </c>
      <c r="I74" s="179" t="str">
        <f aca="false">Scoring!CJ81</f>
        <v/>
      </c>
    </row>
    <row r="75" customFormat="false" ht="15.75" hidden="false" customHeight="false" outlineLevel="0" collapsed="false">
      <c r="A75" s="6" t="str">
        <f aca="false">Scoring!CM82</f>
        <v/>
      </c>
      <c r="B75" s="6" t="str">
        <f aca="false">Scoring!CL82</f>
        <v/>
      </c>
      <c r="C75" s="6" t="n">
        <f aca="false">Scoring!C82</f>
        <v>0</v>
      </c>
      <c r="D75" s="178" t="str">
        <f aca="false">Scoring!CI82</f>
        <v/>
      </c>
      <c r="E75" s="6" t="str">
        <f aca="false">Scoring!BL82</f>
        <v/>
      </c>
      <c r="F75" s="6" t="n">
        <f aca="false">Scoring!B82</f>
        <v>0</v>
      </c>
      <c r="G75" s="6" t="n">
        <f aca="false">Scoring!D82</f>
        <v>0</v>
      </c>
      <c r="H75" s="6" t="str">
        <f aca="false">Scoring!CK82</f>
        <v/>
      </c>
      <c r="I75" s="179" t="str">
        <f aca="false">Scoring!CJ82</f>
        <v/>
      </c>
    </row>
    <row r="76" customFormat="false" ht="15.75" hidden="false" customHeight="false" outlineLevel="0" collapsed="false">
      <c r="A76" s="6" t="str">
        <f aca="false">Scoring!CM83</f>
        <v/>
      </c>
      <c r="B76" s="6" t="str">
        <f aca="false">Scoring!CL83</f>
        <v/>
      </c>
      <c r="C76" s="6" t="n">
        <f aca="false">Scoring!C83</f>
        <v>0</v>
      </c>
      <c r="D76" s="178" t="str">
        <f aca="false">Scoring!CI83</f>
        <v/>
      </c>
      <c r="E76" s="6" t="str">
        <f aca="false">Scoring!BL83</f>
        <v/>
      </c>
      <c r="F76" s="6" t="n">
        <f aca="false">Scoring!B83</f>
        <v>0</v>
      </c>
      <c r="G76" s="6" t="n">
        <f aca="false">Scoring!D83</f>
        <v>0</v>
      </c>
      <c r="H76" s="6" t="str">
        <f aca="false">Scoring!CK83</f>
        <v/>
      </c>
      <c r="I76" s="179" t="str">
        <f aca="false">Scoring!CJ83</f>
        <v/>
      </c>
    </row>
    <row r="77" customFormat="false" ht="15.75" hidden="false" customHeight="false" outlineLevel="0" collapsed="false">
      <c r="A77" s="6" t="str">
        <f aca="false">Scoring!CM84</f>
        <v/>
      </c>
      <c r="B77" s="6" t="str">
        <f aca="false">Scoring!CL84</f>
        <v/>
      </c>
      <c r="C77" s="6" t="n">
        <f aca="false">Scoring!C84</f>
        <v>0</v>
      </c>
      <c r="D77" s="178" t="str">
        <f aca="false">Scoring!CI84</f>
        <v/>
      </c>
      <c r="E77" s="6" t="str">
        <f aca="false">Scoring!BL84</f>
        <v/>
      </c>
      <c r="F77" s="6" t="n">
        <f aca="false">Scoring!B84</f>
        <v>0</v>
      </c>
      <c r="G77" s="6" t="n">
        <f aca="false">Scoring!D84</f>
        <v>0</v>
      </c>
      <c r="H77" s="6" t="str">
        <f aca="false">Scoring!CK84</f>
        <v/>
      </c>
      <c r="I77" s="179" t="str">
        <f aca="false">Scoring!CJ84</f>
        <v/>
      </c>
    </row>
    <row r="78" customFormat="false" ht="15.75" hidden="false" customHeight="false" outlineLevel="0" collapsed="false">
      <c r="A78" s="6" t="str">
        <f aca="false">Scoring!CM85</f>
        <v/>
      </c>
      <c r="B78" s="6" t="str">
        <f aca="false">Scoring!CL85</f>
        <v/>
      </c>
      <c r="C78" s="6" t="n">
        <f aca="false">Scoring!C85</f>
        <v>0</v>
      </c>
      <c r="D78" s="178" t="str">
        <f aca="false">Scoring!CI85</f>
        <v/>
      </c>
      <c r="E78" s="6" t="str">
        <f aca="false">Scoring!BL85</f>
        <v/>
      </c>
      <c r="F78" s="6" t="n">
        <f aca="false">Scoring!B85</f>
        <v>0</v>
      </c>
      <c r="G78" s="6" t="n">
        <f aca="false">Scoring!D85</f>
        <v>0</v>
      </c>
      <c r="H78" s="6" t="str">
        <f aca="false">Scoring!CK85</f>
        <v/>
      </c>
      <c r="I78" s="179" t="str">
        <f aca="false">Scoring!CJ85</f>
        <v/>
      </c>
    </row>
    <row r="79" customFormat="false" ht="15.75" hidden="false" customHeight="false" outlineLevel="0" collapsed="false">
      <c r="A79" s="6" t="str">
        <f aca="false">Scoring!CM86</f>
        <v/>
      </c>
      <c r="B79" s="6" t="str">
        <f aca="false">Scoring!CL86</f>
        <v/>
      </c>
      <c r="C79" s="6" t="n">
        <f aca="false">Scoring!C86</f>
        <v>0</v>
      </c>
      <c r="D79" s="178" t="str">
        <f aca="false">Scoring!CI86</f>
        <v/>
      </c>
      <c r="E79" s="6" t="str">
        <f aca="false">Scoring!BL86</f>
        <v/>
      </c>
      <c r="F79" s="6" t="n">
        <f aca="false">Scoring!B86</f>
        <v>0</v>
      </c>
      <c r="G79" s="6" t="n">
        <f aca="false">Scoring!D86</f>
        <v>0</v>
      </c>
      <c r="H79" s="6" t="str">
        <f aca="false">Scoring!CK86</f>
        <v/>
      </c>
      <c r="I79" s="179" t="str">
        <f aca="false">Scoring!CJ86</f>
        <v/>
      </c>
    </row>
    <row r="80" customFormat="false" ht="15.75" hidden="false" customHeight="false" outlineLevel="0" collapsed="false">
      <c r="A80" s="6" t="str">
        <f aca="false">Scoring!CM87</f>
        <v/>
      </c>
      <c r="B80" s="6" t="str">
        <f aca="false">Scoring!CL87</f>
        <v/>
      </c>
      <c r="C80" s="6" t="n">
        <f aca="false">Scoring!C87</f>
        <v>0</v>
      </c>
      <c r="D80" s="178" t="str">
        <f aca="false">Scoring!CI87</f>
        <v/>
      </c>
      <c r="E80" s="6" t="str">
        <f aca="false">Scoring!BL87</f>
        <v/>
      </c>
      <c r="F80" s="6" t="n">
        <f aca="false">Scoring!B87</f>
        <v>0</v>
      </c>
      <c r="G80" s="6" t="n">
        <f aca="false">Scoring!D87</f>
        <v>0</v>
      </c>
      <c r="H80" s="6" t="str">
        <f aca="false">Scoring!CK87</f>
        <v/>
      </c>
      <c r="I80" s="179" t="str">
        <f aca="false">Scoring!CJ87</f>
        <v/>
      </c>
    </row>
    <row r="81" customFormat="false" ht="15.75" hidden="false" customHeight="false" outlineLevel="0" collapsed="false">
      <c r="A81" s="6" t="str">
        <f aca="false">Scoring!CM88</f>
        <v/>
      </c>
      <c r="B81" s="6" t="str">
        <f aca="false">Scoring!CL88</f>
        <v/>
      </c>
      <c r="C81" s="6" t="n">
        <f aca="false">Scoring!C88</f>
        <v>0</v>
      </c>
      <c r="D81" s="178" t="str">
        <f aca="false">Scoring!CI88</f>
        <v/>
      </c>
      <c r="E81" s="6" t="str">
        <f aca="false">Scoring!BL88</f>
        <v/>
      </c>
      <c r="F81" s="6" t="n">
        <f aca="false">Scoring!B88</f>
        <v>0</v>
      </c>
      <c r="G81" s="6" t="n">
        <f aca="false">Scoring!D88</f>
        <v>0</v>
      </c>
      <c r="H81" s="6" t="str">
        <f aca="false">Scoring!CK88</f>
        <v/>
      </c>
      <c r="I81" s="179" t="str">
        <f aca="false">Scoring!CJ88</f>
        <v/>
      </c>
    </row>
    <row r="82" customFormat="false" ht="15.75" hidden="false" customHeight="false" outlineLevel="0" collapsed="false">
      <c r="A82" s="6" t="str">
        <f aca="false">Scoring!CM89</f>
        <v/>
      </c>
      <c r="B82" s="6" t="str">
        <f aca="false">Scoring!CL89</f>
        <v/>
      </c>
      <c r="C82" s="6" t="n">
        <f aca="false">Scoring!C89</f>
        <v>0</v>
      </c>
      <c r="D82" s="178" t="str">
        <f aca="false">Scoring!CI89</f>
        <v/>
      </c>
      <c r="E82" s="6" t="str">
        <f aca="false">Scoring!BL89</f>
        <v/>
      </c>
      <c r="F82" s="6" t="n">
        <f aca="false">Scoring!B89</f>
        <v>0</v>
      </c>
      <c r="G82" s="6" t="n">
        <f aca="false">Scoring!D89</f>
        <v>0</v>
      </c>
      <c r="H82" s="6" t="str">
        <f aca="false">Scoring!CK89</f>
        <v/>
      </c>
      <c r="I82" s="179" t="str">
        <f aca="false">Scoring!CJ89</f>
        <v/>
      </c>
    </row>
    <row r="83" customFormat="false" ht="15.75" hidden="false" customHeight="false" outlineLevel="0" collapsed="false">
      <c r="A83" s="6" t="str">
        <f aca="false">Scoring!CM90</f>
        <v/>
      </c>
      <c r="B83" s="6" t="str">
        <f aca="false">Scoring!CL90</f>
        <v/>
      </c>
      <c r="C83" s="6" t="n">
        <f aca="false">Scoring!C90</f>
        <v>0</v>
      </c>
      <c r="D83" s="178" t="str">
        <f aca="false">Scoring!CI90</f>
        <v/>
      </c>
      <c r="E83" s="6" t="str">
        <f aca="false">Scoring!BL90</f>
        <v/>
      </c>
      <c r="F83" s="6" t="n">
        <f aca="false">Scoring!B90</f>
        <v>0</v>
      </c>
      <c r="G83" s="6" t="n">
        <f aca="false">Scoring!D90</f>
        <v>0</v>
      </c>
      <c r="H83" s="6" t="str">
        <f aca="false">Scoring!CK90</f>
        <v/>
      </c>
      <c r="I83" s="179" t="str">
        <f aca="false">Scoring!CJ90</f>
        <v/>
      </c>
    </row>
    <row r="84" customFormat="false" ht="15.75" hidden="false" customHeight="false" outlineLevel="0" collapsed="false">
      <c r="A84" s="6" t="str">
        <f aca="false">Scoring!CM91</f>
        <v/>
      </c>
      <c r="B84" s="6" t="str">
        <f aca="false">Scoring!CL91</f>
        <v/>
      </c>
      <c r="C84" s="6" t="n">
        <f aca="false">Scoring!C91</f>
        <v>0</v>
      </c>
      <c r="D84" s="178" t="str">
        <f aca="false">Scoring!CI91</f>
        <v/>
      </c>
      <c r="E84" s="6" t="str">
        <f aca="false">Scoring!BL91</f>
        <v/>
      </c>
      <c r="F84" s="6" t="n">
        <f aca="false">Scoring!B91</f>
        <v>0</v>
      </c>
      <c r="G84" s="6" t="n">
        <f aca="false">Scoring!D91</f>
        <v>0</v>
      </c>
      <c r="H84" s="6" t="str">
        <f aca="false">Scoring!CK91</f>
        <v/>
      </c>
      <c r="I84" s="179" t="str">
        <f aca="false">Scoring!CJ91</f>
        <v/>
      </c>
    </row>
    <row r="85" customFormat="false" ht="15.75" hidden="false" customHeight="false" outlineLevel="0" collapsed="false">
      <c r="A85" s="6" t="str">
        <f aca="false">Scoring!CM92</f>
        <v/>
      </c>
      <c r="B85" s="6" t="str">
        <f aca="false">Scoring!CL92</f>
        <v/>
      </c>
      <c r="C85" s="6" t="n">
        <f aca="false">Scoring!C92</f>
        <v>0</v>
      </c>
      <c r="D85" s="178" t="str">
        <f aca="false">Scoring!CI92</f>
        <v/>
      </c>
      <c r="E85" s="6" t="str">
        <f aca="false">Scoring!BL92</f>
        <v/>
      </c>
      <c r="F85" s="6" t="n">
        <f aca="false">Scoring!B92</f>
        <v>0</v>
      </c>
      <c r="G85" s="6" t="n">
        <f aca="false">Scoring!D92</f>
        <v>0</v>
      </c>
      <c r="H85" s="6" t="str">
        <f aca="false">Scoring!CK92</f>
        <v/>
      </c>
      <c r="I85" s="179" t="str">
        <f aca="false">Scoring!CJ92</f>
        <v/>
      </c>
    </row>
    <row r="86" customFormat="false" ht="15.75" hidden="false" customHeight="false" outlineLevel="0" collapsed="false">
      <c r="A86" s="6" t="str">
        <f aca="false">Scoring!CM93</f>
        <v/>
      </c>
      <c r="B86" s="6" t="str">
        <f aca="false">Scoring!CL93</f>
        <v/>
      </c>
      <c r="C86" s="6" t="n">
        <f aca="false">Scoring!C93</f>
        <v>0</v>
      </c>
      <c r="D86" s="178" t="str">
        <f aca="false">Scoring!CI93</f>
        <v/>
      </c>
      <c r="E86" s="6" t="str">
        <f aca="false">Scoring!BL93</f>
        <v/>
      </c>
      <c r="F86" s="6" t="n">
        <f aca="false">Scoring!B93</f>
        <v>0</v>
      </c>
      <c r="G86" s="6" t="n">
        <f aca="false">Scoring!D93</f>
        <v>0</v>
      </c>
      <c r="H86" s="6" t="str">
        <f aca="false">Scoring!CK93</f>
        <v/>
      </c>
      <c r="I86" s="179" t="str">
        <f aca="false">Scoring!CJ93</f>
        <v/>
      </c>
    </row>
    <row r="87" customFormat="false" ht="15.75" hidden="false" customHeight="false" outlineLevel="0" collapsed="false">
      <c r="A87" s="6" t="str">
        <f aca="false">Scoring!CM94</f>
        <v/>
      </c>
      <c r="B87" s="6" t="str">
        <f aca="false">Scoring!CL94</f>
        <v/>
      </c>
      <c r="C87" s="6" t="n">
        <f aca="false">Scoring!C94</f>
        <v>0</v>
      </c>
      <c r="D87" s="178" t="str">
        <f aca="false">Scoring!CI94</f>
        <v/>
      </c>
      <c r="E87" s="6" t="str">
        <f aca="false">Scoring!BL94</f>
        <v/>
      </c>
      <c r="F87" s="6" t="n">
        <f aca="false">Scoring!B94</f>
        <v>0</v>
      </c>
      <c r="G87" s="6" t="n">
        <f aca="false">Scoring!D94</f>
        <v>0</v>
      </c>
      <c r="H87" s="6" t="str">
        <f aca="false">Scoring!CK94</f>
        <v/>
      </c>
      <c r="I87" s="179" t="str">
        <f aca="false">Scoring!CJ94</f>
        <v/>
      </c>
    </row>
    <row r="88" customFormat="false" ht="15.75" hidden="false" customHeight="false" outlineLevel="0" collapsed="false">
      <c r="A88" s="6" t="str">
        <f aca="false">Scoring!CM95</f>
        <v/>
      </c>
      <c r="B88" s="6" t="str">
        <f aca="false">Scoring!CL95</f>
        <v/>
      </c>
      <c r="C88" s="6" t="n">
        <f aca="false">Scoring!C95</f>
        <v>0</v>
      </c>
      <c r="D88" s="178" t="str">
        <f aca="false">Scoring!CI95</f>
        <v/>
      </c>
      <c r="E88" s="6" t="str">
        <f aca="false">Scoring!BL95</f>
        <v/>
      </c>
      <c r="F88" s="6" t="n">
        <f aca="false">Scoring!B95</f>
        <v>0</v>
      </c>
      <c r="G88" s="6" t="n">
        <f aca="false">Scoring!D95</f>
        <v>0</v>
      </c>
      <c r="H88" s="6" t="str">
        <f aca="false">Scoring!CK95</f>
        <v/>
      </c>
      <c r="I88" s="179" t="str">
        <f aca="false">Scoring!CJ95</f>
        <v/>
      </c>
    </row>
    <row r="89" customFormat="false" ht="15.75" hidden="false" customHeight="false" outlineLevel="0" collapsed="false">
      <c r="A89" s="6" t="str">
        <f aca="false">Scoring!CM96</f>
        <v/>
      </c>
      <c r="B89" s="6" t="str">
        <f aca="false">Scoring!CL96</f>
        <v/>
      </c>
      <c r="C89" s="6" t="n">
        <f aca="false">Scoring!C96</f>
        <v>0</v>
      </c>
      <c r="D89" s="178" t="str">
        <f aca="false">Scoring!CI96</f>
        <v/>
      </c>
      <c r="E89" s="6" t="str">
        <f aca="false">Scoring!BL96</f>
        <v/>
      </c>
      <c r="F89" s="6" t="n">
        <f aca="false">Scoring!B96</f>
        <v>0</v>
      </c>
      <c r="G89" s="6" t="n">
        <f aca="false">Scoring!D96</f>
        <v>0</v>
      </c>
      <c r="H89" s="6" t="str">
        <f aca="false">Scoring!CK96</f>
        <v/>
      </c>
      <c r="I89" s="179" t="str">
        <f aca="false">Scoring!CJ96</f>
        <v/>
      </c>
    </row>
    <row r="90" customFormat="false" ht="15.75" hidden="false" customHeight="false" outlineLevel="0" collapsed="false">
      <c r="A90" s="6" t="str">
        <f aca="false">Scoring!CM97</f>
        <v/>
      </c>
      <c r="B90" s="6" t="str">
        <f aca="false">Scoring!CL97</f>
        <v/>
      </c>
      <c r="C90" s="6" t="n">
        <f aca="false">Scoring!C97</f>
        <v>0</v>
      </c>
      <c r="D90" s="178" t="str">
        <f aca="false">Scoring!CI97</f>
        <v/>
      </c>
      <c r="E90" s="6" t="str">
        <f aca="false">Scoring!BL97</f>
        <v/>
      </c>
      <c r="F90" s="6" t="n">
        <f aca="false">Scoring!B97</f>
        <v>0</v>
      </c>
      <c r="G90" s="6" t="n">
        <f aca="false">Scoring!D97</f>
        <v>0</v>
      </c>
      <c r="H90" s="6" t="str">
        <f aca="false">Scoring!CK97</f>
        <v/>
      </c>
      <c r="I90" s="179" t="str">
        <f aca="false">Scoring!CJ97</f>
        <v/>
      </c>
    </row>
    <row r="91" customFormat="false" ht="15.75" hidden="false" customHeight="false" outlineLevel="0" collapsed="false">
      <c r="A91" s="6" t="str">
        <f aca="false">Scoring!CM98</f>
        <v/>
      </c>
      <c r="B91" s="6" t="str">
        <f aca="false">Scoring!CL98</f>
        <v/>
      </c>
      <c r="C91" s="6" t="n">
        <f aca="false">Scoring!C98</f>
        <v>0</v>
      </c>
      <c r="D91" s="178" t="str">
        <f aca="false">Scoring!CI98</f>
        <v/>
      </c>
      <c r="E91" s="6" t="str">
        <f aca="false">Scoring!BL98</f>
        <v/>
      </c>
      <c r="F91" s="6" t="n">
        <f aca="false">Scoring!B98</f>
        <v>0</v>
      </c>
      <c r="G91" s="6" t="n">
        <f aca="false">Scoring!D98</f>
        <v>0</v>
      </c>
      <c r="H91" s="6" t="str">
        <f aca="false">Scoring!CK98</f>
        <v/>
      </c>
      <c r="I91" s="179" t="str">
        <f aca="false">Scoring!CJ98</f>
        <v/>
      </c>
    </row>
    <row r="92" customFormat="false" ht="15.75" hidden="false" customHeight="false" outlineLevel="0" collapsed="false">
      <c r="A92" s="6" t="str">
        <f aca="false">Scoring!CM99</f>
        <v/>
      </c>
      <c r="B92" s="6" t="str">
        <f aca="false">Scoring!CL99</f>
        <v/>
      </c>
      <c r="C92" s="6" t="n">
        <f aca="false">Scoring!C99</f>
        <v>0</v>
      </c>
      <c r="D92" s="178" t="str">
        <f aca="false">Scoring!CI99</f>
        <v/>
      </c>
      <c r="E92" s="6" t="str">
        <f aca="false">Scoring!BL99</f>
        <v/>
      </c>
      <c r="F92" s="6" t="n">
        <f aca="false">Scoring!B99</f>
        <v>0</v>
      </c>
      <c r="G92" s="6" t="n">
        <f aca="false">Scoring!D99</f>
        <v>0</v>
      </c>
      <c r="H92" s="6" t="str">
        <f aca="false">Scoring!CK99</f>
        <v/>
      </c>
      <c r="I92" s="179" t="str">
        <f aca="false">Scoring!CJ99</f>
        <v/>
      </c>
    </row>
    <row r="93" customFormat="false" ht="15.75" hidden="false" customHeight="false" outlineLevel="0" collapsed="false">
      <c r="A93" s="6" t="str">
        <f aca="false">Scoring!CM100</f>
        <v/>
      </c>
      <c r="B93" s="6" t="str">
        <f aca="false">Scoring!CL100</f>
        <v/>
      </c>
      <c r="C93" s="6" t="n">
        <f aca="false">Scoring!C100</f>
        <v>0</v>
      </c>
      <c r="D93" s="178" t="str">
        <f aca="false">Scoring!CI100</f>
        <v/>
      </c>
      <c r="E93" s="6" t="str">
        <f aca="false">Scoring!BL100</f>
        <v/>
      </c>
      <c r="F93" s="6" t="n">
        <f aca="false">Scoring!B100</f>
        <v>0</v>
      </c>
      <c r="G93" s="6" t="n">
        <f aca="false">Scoring!D100</f>
        <v>0</v>
      </c>
      <c r="H93" s="6" t="str">
        <f aca="false">Scoring!CK100</f>
        <v/>
      </c>
      <c r="I93" s="179" t="str">
        <f aca="false">Scoring!CJ100</f>
        <v/>
      </c>
    </row>
    <row r="94" customFormat="false" ht="15.75" hidden="false" customHeight="false" outlineLevel="0" collapsed="false">
      <c r="A94" s="6" t="str">
        <f aca="false">Scoring!CM101</f>
        <v/>
      </c>
      <c r="B94" s="6" t="str">
        <f aca="false">Scoring!CL101</f>
        <v/>
      </c>
      <c r="C94" s="6" t="n">
        <f aca="false">Scoring!C101</f>
        <v>0</v>
      </c>
      <c r="D94" s="178" t="str">
        <f aca="false">Scoring!CI101</f>
        <v/>
      </c>
      <c r="E94" s="6" t="str">
        <f aca="false">Scoring!BL101</f>
        <v/>
      </c>
      <c r="F94" s="6" t="n">
        <f aca="false">Scoring!B101</f>
        <v>0</v>
      </c>
      <c r="G94" s="6" t="n">
        <f aca="false">Scoring!D101</f>
        <v>0</v>
      </c>
      <c r="H94" s="6" t="str">
        <f aca="false">Scoring!CK101</f>
        <v/>
      </c>
      <c r="I94" s="179" t="str">
        <f aca="false">Scoring!CJ101</f>
        <v/>
      </c>
    </row>
    <row r="95" customFormat="false" ht="15.75" hidden="false" customHeight="false" outlineLevel="0" collapsed="false">
      <c r="A95" s="6" t="str">
        <f aca="false">Scoring!CM102</f>
        <v/>
      </c>
      <c r="B95" s="6" t="str">
        <f aca="false">Scoring!CL102</f>
        <v/>
      </c>
      <c r="C95" s="6" t="n">
        <f aca="false">Scoring!C102</f>
        <v>0</v>
      </c>
      <c r="D95" s="178" t="str">
        <f aca="false">Scoring!CI102</f>
        <v/>
      </c>
      <c r="E95" s="6" t="str">
        <f aca="false">Scoring!BL102</f>
        <v/>
      </c>
      <c r="F95" s="6" t="n">
        <f aca="false">Scoring!B102</f>
        <v>0</v>
      </c>
      <c r="G95" s="6" t="n">
        <f aca="false">Scoring!D102</f>
        <v>0</v>
      </c>
      <c r="H95" s="6" t="str">
        <f aca="false">Scoring!CK102</f>
        <v/>
      </c>
      <c r="I95" s="179" t="str">
        <f aca="false">Scoring!CJ102</f>
        <v/>
      </c>
    </row>
    <row r="96" customFormat="false" ht="15.75" hidden="false" customHeight="false" outlineLevel="0" collapsed="false">
      <c r="A96" s="6" t="str">
        <f aca="false">Scoring!CM103</f>
        <v/>
      </c>
      <c r="B96" s="6" t="str">
        <f aca="false">Scoring!CL103</f>
        <v/>
      </c>
      <c r="C96" s="6" t="n">
        <f aca="false">Scoring!C103</f>
        <v>0</v>
      </c>
      <c r="D96" s="178" t="str">
        <f aca="false">Scoring!CI103</f>
        <v/>
      </c>
      <c r="E96" s="6" t="str">
        <f aca="false">Scoring!BL103</f>
        <v/>
      </c>
      <c r="F96" s="6" t="n">
        <f aca="false">Scoring!B103</f>
        <v>0</v>
      </c>
      <c r="G96" s="6" t="n">
        <f aca="false">Scoring!D103</f>
        <v>0</v>
      </c>
      <c r="H96" s="6" t="str">
        <f aca="false">Scoring!CK103</f>
        <v/>
      </c>
      <c r="I96" s="179" t="str">
        <f aca="false">Scoring!CJ103</f>
        <v/>
      </c>
    </row>
    <row r="97" customFormat="false" ht="15.75" hidden="false" customHeight="false" outlineLevel="0" collapsed="false">
      <c r="A97" s="6" t="str">
        <f aca="false">Scoring!CM104</f>
        <v/>
      </c>
      <c r="B97" s="6" t="str">
        <f aca="false">Scoring!CL104</f>
        <v/>
      </c>
      <c r="C97" s="6" t="n">
        <f aca="false">Scoring!C104</f>
        <v>0</v>
      </c>
      <c r="D97" s="178" t="str">
        <f aca="false">Scoring!CI104</f>
        <v/>
      </c>
      <c r="E97" s="6" t="str">
        <f aca="false">Scoring!BL104</f>
        <v/>
      </c>
      <c r="F97" s="6" t="n">
        <f aca="false">Scoring!B104</f>
        <v>0</v>
      </c>
      <c r="G97" s="6" t="n">
        <f aca="false">Scoring!D104</f>
        <v>0</v>
      </c>
      <c r="H97" s="6" t="str">
        <f aca="false">Scoring!CK104</f>
        <v/>
      </c>
      <c r="I97" s="179" t="str">
        <f aca="false">Scoring!CJ104</f>
        <v/>
      </c>
    </row>
    <row r="98" customFormat="false" ht="15.75" hidden="false" customHeight="false" outlineLevel="0" collapsed="false">
      <c r="A98" s="6" t="str">
        <f aca="false">Scoring!CM105</f>
        <v/>
      </c>
      <c r="B98" s="6" t="str">
        <f aca="false">Scoring!CL105</f>
        <v/>
      </c>
      <c r="C98" s="6" t="n">
        <f aca="false">Scoring!C105</f>
        <v>0</v>
      </c>
      <c r="D98" s="178" t="str">
        <f aca="false">Scoring!CI105</f>
        <v/>
      </c>
      <c r="E98" s="6" t="str">
        <f aca="false">Scoring!BL105</f>
        <v/>
      </c>
      <c r="F98" s="6" t="n">
        <f aca="false">Scoring!B105</f>
        <v>0</v>
      </c>
      <c r="G98" s="6" t="n">
        <f aca="false">Scoring!D105</f>
        <v>0</v>
      </c>
      <c r="H98" s="6" t="str">
        <f aca="false">Scoring!CK105</f>
        <v/>
      </c>
      <c r="I98" s="179" t="str">
        <f aca="false">Scoring!CJ105</f>
        <v/>
      </c>
    </row>
    <row r="99" customFormat="false" ht="15.75" hidden="false" customHeight="false" outlineLevel="0" collapsed="false">
      <c r="A99" s="6" t="str">
        <f aca="false">Scoring!CM106</f>
        <v/>
      </c>
      <c r="B99" s="6" t="str">
        <f aca="false">Scoring!CL106</f>
        <v/>
      </c>
      <c r="C99" s="6" t="n">
        <f aca="false">Scoring!C106</f>
        <v>0</v>
      </c>
      <c r="D99" s="178" t="str">
        <f aca="false">Scoring!CI106</f>
        <v/>
      </c>
      <c r="E99" s="6" t="str">
        <f aca="false">Scoring!BL106</f>
        <v/>
      </c>
      <c r="F99" s="6" t="n">
        <f aca="false">Scoring!B106</f>
        <v>0</v>
      </c>
      <c r="G99" s="6" t="n">
        <f aca="false">Scoring!D106</f>
        <v>0</v>
      </c>
      <c r="H99" s="6" t="str">
        <f aca="false">Scoring!CK106</f>
        <v/>
      </c>
      <c r="I99" s="179" t="str">
        <f aca="false">Scoring!CJ106</f>
        <v/>
      </c>
    </row>
    <row r="100" customFormat="false" ht="15.75" hidden="false" customHeight="false" outlineLevel="0" collapsed="false">
      <c r="A100" s="6" t="str">
        <f aca="false">Scoring!CM107</f>
        <v/>
      </c>
      <c r="B100" s="6" t="str">
        <f aca="false">Scoring!CL107</f>
        <v/>
      </c>
      <c r="C100" s="6" t="n">
        <f aca="false">Scoring!C107</f>
        <v>0</v>
      </c>
      <c r="D100" s="178" t="str">
        <f aca="false">Scoring!CI107</f>
        <v/>
      </c>
      <c r="E100" s="6" t="str">
        <f aca="false">Scoring!BL107</f>
        <v/>
      </c>
      <c r="F100" s="6" t="n">
        <f aca="false">Scoring!B107</f>
        <v>0</v>
      </c>
      <c r="G100" s="6" t="n">
        <f aca="false">Scoring!D107</f>
        <v>0</v>
      </c>
      <c r="H100" s="6" t="str">
        <f aca="false">Scoring!CK107</f>
        <v/>
      </c>
      <c r="I100" s="179" t="str">
        <f aca="false">Scoring!CJ107</f>
        <v/>
      </c>
    </row>
    <row r="101" customFormat="false" ht="15.75" hidden="false" customHeight="false" outlineLevel="0" collapsed="false">
      <c r="A101" s="6" t="str">
        <f aca="false">Scoring!CM108</f>
        <v/>
      </c>
      <c r="B101" s="6" t="str">
        <f aca="false">Scoring!CL108</f>
        <v/>
      </c>
      <c r="C101" s="6" t="n">
        <f aca="false">Scoring!C108</f>
        <v>0</v>
      </c>
      <c r="D101" s="178" t="str">
        <f aca="false">Scoring!CI108</f>
        <v/>
      </c>
      <c r="E101" s="6" t="str">
        <f aca="false">Scoring!BL108</f>
        <v/>
      </c>
      <c r="F101" s="6" t="n">
        <f aca="false">Scoring!B108</f>
        <v>0</v>
      </c>
      <c r="G101" s="6" t="n">
        <f aca="false">Scoring!D108</f>
        <v>0</v>
      </c>
      <c r="H101" s="6" t="str">
        <f aca="false">Scoring!CK108</f>
        <v/>
      </c>
      <c r="I101" s="179" t="str">
        <f aca="false">Scoring!CJ108</f>
        <v/>
      </c>
    </row>
    <row r="102" customFormat="false" ht="15.75" hidden="false" customHeight="false" outlineLevel="0" collapsed="false">
      <c r="A102" s="6" t="str">
        <f aca="false">Scoring!CM109</f>
        <v/>
      </c>
      <c r="B102" s="6" t="str">
        <f aca="false">Scoring!CL109</f>
        <v/>
      </c>
      <c r="C102" s="6" t="n">
        <f aca="false">Scoring!C109</f>
        <v>0</v>
      </c>
      <c r="D102" s="178" t="str">
        <f aca="false">Scoring!CI109</f>
        <v/>
      </c>
      <c r="E102" s="6" t="str">
        <f aca="false">Scoring!BL109</f>
        <v/>
      </c>
      <c r="F102" s="6" t="n">
        <f aca="false">Scoring!B109</f>
        <v>0</v>
      </c>
      <c r="G102" s="6" t="n">
        <f aca="false">Scoring!D109</f>
        <v>0</v>
      </c>
      <c r="H102" s="6" t="str">
        <f aca="false">Scoring!CK109</f>
        <v/>
      </c>
      <c r="I102" s="179" t="str">
        <f aca="false">Scoring!CJ109</f>
        <v/>
      </c>
    </row>
    <row r="103" customFormat="false" ht="15.75" hidden="false" customHeight="false" outlineLevel="0" collapsed="false">
      <c r="A103" s="6" t="str">
        <f aca="false">Scoring!CM110</f>
        <v/>
      </c>
      <c r="B103" s="6" t="str">
        <f aca="false">Scoring!CL110</f>
        <v/>
      </c>
      <c r="C103" s="6" t="n">
        <f aca="false">Scoring!C110</f>
        <v>0</v>
      </c>
      <c r="D103" s="178" t="str">
        <f aca="false">Scoring!CI110</f>
        <v/>
      </c>
      <c r="E103" s="6" t="str">
        <f aca="false">Scoring!BL110</f>
        <v/>
      </c>
      <c r="F103" s="6" t="n">
        <f aca="false">Scoring!B110</f>
        <v>0</v>
      </c>
      <c r="G103" s="6" t="n">
        <f aca="false">Scoring!D110</f>
        <v>0</v>
      </c>
      <c r="H103" s="6" t="str">
        <f aca="false">Scoring!CK110</f>
        <v/>
      </c>
      <c r="I103" s="179" t="str">
        <f aca="false">Scoring!CJ110</f>
        <v/>
      </c>
    </row>
    <row r="104" customFormat="false" ht="15.75" hidden="false" customHeight="false" outlineLevel="0" collapsed="false">
      <c r="A104" s="6" t="str">
        <f aca="false">Scoring!CM111</f>
        <v/>
      </c>
      <c r="B104" s="6" t="str">
        <f aca="false">Scoring!CL111</f>
        <v/>
      </c>
      <c r="C104" s="6" t="n">
        <f aca="false">Scoring!C111</f>
        <v>0</v>
      </c>
      <c r="D104" s="178" t="str">
        <f aca="false">Scoring!CI111</f>
        <v/>
      </c>
      <c r="E104" s="6" t="str">
        <f aca="false">Scoring!BL111</f>
        <v/>
      </c>
      <c r="F104" s="6" t="n">
        <f aca="false">Scoring!B111</f>
        <v>0</v>
      </c>
      <c r="G104" s="6" t="n">
        <f aca="false">Scoring!D111</f>
        <v>0</v>
      </c>
      <c r="H104" s="6" t="str">
        <f aca="false">Scoring!CK111</f>
        <v/>
      </c>
      <c r="I104" s="179" t="str">
        <f aca="false">Scoring!CJ111</f>
        <v/>
      </c>
    </row>
    <row r="105" customFormat="false" ht="15.75" hidden="false" customHeight="false" outlineLevel="0" collapsed="false">
      <c r="A105" s="6" t="str">
        <f aca="false">Scoring!CM112</f>
        <v/>
      </c>
      <c r="B105" s="6" t="str">
        <f aca="false">Scoring!CL112</f>
        <v/>
      </c>
      <c r="C105" s="6" t="n">
        <f aca="false">Scoring!C112</f>
        <v>0</v>
      </c>
      <c r="D105" s="178" t="str">
        <f aca="false">Scoring!CI112</f>
        <v/>
      </c>
      <c r="E105" s="6" t="str">
        <f aca="false">Scoring!BL112</f>
        <v/>
      </c>
      <c r="F105" s="6" t="n">
        <f aca="false">Scoring!B112</f>
        <v>0</v>
      </c>
      <c r="G105" s="6" t="n">
        <f aca="false">Scoring!D112</f>
        <v>0</v>
      </c>
      <c r="H105" s="6" t="str">
        <f aca="false">Scoring!CK112</f>
        <v/>
      </c>
      <c r="I105" s="179" t="str">
        <f aca="false">Scoring!CJ112</f>
        <v/>
      </c>
    </row>
    <row r="106" customFormat="false" ht="15.75" hidden="false" customHeight="false" outlineLevel="0" collapsed="false">
      <c r="A106" s="6" t="str">
        <f aca="false">Scoring!CM113</f>
        <v/>
      </c>
      <c r="B106" s="6" t="str">
        <f aca="false">Scoring!CL113</f>
        <v/>
      </c>
      <c r="C106" s="6" t="n">
        <f aca="false">Scoring!C113</f>
        <v>0</v>
      </c>
      <c r="D106" s="178" t="str">
        <f aca="false">Scoring!CI113</f>
        <v/>
      </c>
      <c r="E106" s="6" t="str">
        <f aca="false">Scoring!BL113</f>
        <v/>
      </c>
      <c r="F106" s="6" t="n">
        <f aca="false">Scoring!B113</f>
        <v>0</v>
      </c>
      <c r="G106" s="6" t="n">
        <f aca="false">Scoring!D113</f>
        <v>0</v>
      </c>
      <c r="H106" s="6" t="str">
        <f aca="false">Scoring!CK113</f>
        <v/>
      </c>
      <c r="I106" s="179" t="str">
        <f aca="false">Scoring!CJ113</f>
        <v/>
      </c>
    </row>
    <row r="107" customFormat="false" ht="15.75" hidden="false" customHeight="false" outlineLevel="0" collapsed="false">
      <c r="A107" s="6" t="str">
        <f aca="false">Scoring!CM114</f>
        <v/>
      </c>
      <c r="B107" s="6" t="str">
        <f aca="false">Scoring!CL114</f>
        <v/>
      </c>
      <c r="C107" s="6" t="n">
        <f aca="false">Scoring!C114</f>
        <v>0</v>
      </c>
      <c r="D107" s="178" t="str">
        <f aca="false">Scoring!CI114</f>
        <v/>
      </c>
      <c r="E107" s="6" t="str">
        <f aca="false">Scoring!BL114</f>
        <v/>
      </c>
      <c r="F107" s="6" t="n">
        <f aca="false">Scoring!B114</f>
        <v>0</v>
      </c>
      <c r="G107" s="6" t="n">
        <f aca="false">Scoring!D114</f>
        <v>0</v>
      </c>
      <c r="H107" s="6" t="str">
        <f aca="false">Scoring!CK114</f>
        <v/>
      </c>
      <c r="I107" s="179" t="str">
        <f aca="false">Scoring!CJ114</f>
        <v/>
      </c>
    </row>
    <row r="108" customFormat="false" ht="15.75" hidden="false" customHeight="false" outlineLevel="0" collapsed="false">
      <c r="A108" s="6" t="str">
        <f aca="false">Scoring!CM115</f>
        <v/>
      </c>
      <c r="B108" s="6" t="str">
        <f aca="false">Scoring!CL115</f>
        <v/>
      </c>
      <c r="C108" s="6" t="n">
        <f aca="false">Scoring!C115</f>
        <v>0</v>
      </c>
      <c r="D108" s="178" t="str">
        <f aca="false">Scoring!CI115</f>
        <v/>
      </c>
      <c r="E108" s="6" t="str">
        <f aca="false">Scoring!BL115</f>
        <v/>
      </c>
      <c r="F108" s="6" t="n">
        <f aca="false">Scoring!B115</f>
        <v>0</v>
      </c>
      <c r="G108" s="6" t="n">
        <f aca="false">Scoring!D115</f>
        <v>0</v>
      </c>
      <c r="H108" s="6" t="str">
        <f aca="false">Scoring!CK115</f>
        <v/>
      </c>
      <c r="I108" s="179" t="str">
        <f aca="false">Scoring!CJ115</f>
        <v/>
      </c>
    </row>
    <row r="109" customFormat="false" ht="15.75" hidden="false" customHeight="false" outlineLevel="0" collapsed="false">
      <c r="A109" s="6" t="str">
        <f aca="false">Scoring!CM116</f>
        <v/>
      </c>
      <c r="B109" s="6" t="str">
        <f aca="false">Scoring!CL116</f>
        <v/>
      </c>
      <c r="C109" s="6" t="n">
        <f aca="false">Scoring!C116</f>
        <v>0</v>
      </c>
      <c r="D109" s="178" t="str">
        <f aca="false">Scoring!CI116</f>
        <v/>
      </c>
      <c r="E109" s="6" t="str">
        <f aca="false">Scoring!BL116</f>
        <v/>
      </c>
      <c r="F109" s="6" t="n">
        <f aca="false">Scoring!B116</f>
        <v>0</v>
      </c>
      <c r="G109" s="6" t="n">
        <f aca="false">Scoring!D116</f>
        <v>0</v>
      </c>
      <c r="H109" s="6" t="str">
        <f aca="false">Scoring!CK116</f>
        <v/>
      </c>
      <c r="I109" s="179" t="str">
        <f aca="false">Scoring!CJ116</f>
        <v/>
      </c>
    </row>
    <row r="110" customFormat="false" ht="15.75" hidden="false" customHeight="false" outlineLevel="0" collapsed="false">
      <c r="A110" s="6" t="str">
        <f aca="false">Scoring!CM117</f>
        <v/>
      </c>
      <c r="B110" s="6" t="str">
        <f aca="false">Scoring!CL117</f>
        <v/>
      </c>
      <c r="C110" s="6" t="n">
        <f aca="false">Scoring!C117</f>
        <v>0</v>
      </c>
      <c r="D110" s="178" t="str">
        <f aca="false">Scoring!CI117</f>
        <v/>
      </c>
      <c r="E110" s="6" t="str">
        <f aca="false">Scoring!BL117</f>
        <v/>
      </c>
      <c r="F110" s="6" t="n">
        <f aca="false">Scoring!B117</f>
        <v>0</v>
      </c>
      <c r="G110" s="6" t="n">
        <f aca="false">Scoring!D117</f>
        <v>0</v>
      </c>
      <c r="H110" s="6" t="str">
        <f aca="false">Scoring!CK117</f>
        <v/>
      </c>
      <c r="I110" s="179" t="str">
        <f aca="false">Scoring!CJ117</f>
        <v/>
      </c>
    </row>
    <row r="111" customFormat="false" ht="15.75" hidden="false" customHeight="false" outlineLevel="0" collapsed="false">
      <c r="A111" s="6" t="str">
        <f aca="false">Scoring!CM118</f>
        <v/>
      </c>
      <c r="B111" s="6" t="str">
        <f aca="false">Scoring!CL118</f>
        <v/>
      </c>
      <c r="C111" s="6" t="n">
        <f aca="false">Scoring!C118</f>
        <v>0</v>
      </c>
      <c r="D111" s="178" t="str">
        <f aca="false">Scoring!CI118</f>
        <v/>
      </c>
      <c r="E111" s="6" t="str">
        <f aca="false">Scoring!BL118</f>
        <v/>
      </c>
      <c r="F111" s="6" t="n">
        <f aca="false">Scoring!B118</f>
        <v>0</v>
      </c>
      <c r="G111" s="6" t="n">
        <f aca="false">Scoring!D118</f>
        <v>0</v>
      </c>
      <c r="H111" s="6" t="str">
        <f aca="false">Scoring!CK118</f>
        <v/>
      </c>
      <c r="I111" s="179" t="str">
        <f aca="false">Scoring!CJ118</f>
        <v/>
      </c>
    </row>
    <row r="112" customFormat="false" ht="15.75" hidden="false" customHeight="false" outlineLevel="0" collapsed="false">
      <c r="A112" s="6" t="str">
        <f aca="false">Scoring!CM119</f>
        <v/>
      </c>
      <c r="B112" s="6" t="str">
        <f aca="false">Scoring!CL119</f>
        <v/>
      </c>
      <c r="C112" s="6" t="n">
        <f aca="false">Scoring!C119</f>
        <v>0</v>
      </c>
      <c r="D112" s="178" t="str">
        <f aca="false">Scoring!CI119</f>
        <v/>
      </c>
      <c r="E112" s="6" t="str">
        <f aca="false">Scoring!BL119</f>
        <v/>
      </c>
      <c r="F112" s="6" t="n">
        <f aca="false">Scoring!B119</f>
        <v>0</v>
      </c>
      <c r="G112" s="6" t="n">
        <f aca="false">Scoring!D119</f>
        <v>0</v>
      </c>
      <c r="H112" s="6" t="str">
        <f aca="false">Scoring!CK119</f>
        <v/>
      </c>
      <c r="I112" s="179" t="str">
        <f aca="false">Scoring!CJ119</f>
        <v/>
      </c>
    </row>
    <row r="113" customFormat="false" ht="15.75" hidden="false" customHeight="false" outlineLevel="0" collapsed="false">
      <c r="A113" s="6" t="str">
        <f aca="false">Scoring!CM120</f>
        <v/>
      </c>
      <c r="B113" s="6" t="str">
        <f aca="false">Scoring!CL120</f>
        <v/>
      </c>
      <c r="C113" s="6" t="n">
        <f aca="false">Scoring!C120</f>
        <v>0</v>
      </c>
      <c r="D113" s="178" t="str">
        <f aca="false">Scoring!CI120</f>
        <v/>
      </c>
      <c r="E113" s="6" t="str">
        <f aca="false">Scoring!BL120</f>
        <v/>
      </c>
      <c r="F113" s="6" t="n">
        <f aca="false">Scoring!B120</f>
        <v>0</v>
      </c>
      <c r="G113" s="6" t="n">
        <f aca="false">Scoring!D120</f>
        <v>0</v>
      </c>
      <c r="H113" s="6" t="str">
        <f aca="false">Scoring!CK120</f>
        <v/>
      </c>
      <c r="I113" s="179" t="str">
        <f aca="false">Scoring!CJ120</f>
        <v/>
      </c>
    </row>
    <row r="114" customFormat="false" ht="15.75" hidden="false" customHeight="false" outlineLevel="0" collapsed="false">
      <c r="A114" s="6" t="str">
        <f aca="false">Scoring!CM121</f>
        <v/>
      </c>
      <c r="B114" s="6" t="str">
        <f aca="false">Scoring!CL121</f>
        <v/>
      </c>
      <c r="C114" s="6" t="n">
        <f aca="false">Scoring!C121</f>
        <v>0</v>
      </c>
      <c r="D114" s="178" t="str">
        <f aca="false">Scoring!CI121</f>
        <v/>
      </c>
      <c r="E114" s="6" t="str">
        <f aca="false">Scoring!BL121</f>
        <v/>
      </c>
      <c r="F114" s="6" t="n">
        <f aca="false">Scoring!B121</f>
        <v>0</v>
      </c>
      <c r="G114" s="6" t="n">
        <f aca="false">Scoring!D121</f>
        <v>0</v>
      </c>
      <c r="H114" s="6" t="str">
        <f aca="false">Scoring!CK121</f>
        <v/>
      </c>
      <c r="I114" s="179" t="str">
        <f aca="false">Scoring!CJ121</f>
        <v/>
      </c>
    </row>
    <row r="115" customFormat="false" ht="15.75" hidden="false" customHeight="false" outlineLevel="0" collapsed="false">
      <c r="A115" s="6" t="str">
        <f aca="false">Scoring!CM122</f>
        <v/>
      </c>
      <c r="B115" s="6" t="str">
        <f aca="false">Scoring!CL122</f>
        <v/>
      </c>
      <c r="C115" s="6" t="n">
        <f aca="false">Scoring!C122</f>
        <v>0</v>
      </c>
      <c r="D115" s="178" t="str">
        <f aca="false">Scoring!CI122</f>
        <v/>
      </c>
      <c r="E115" s="6" t="str">
        <f aca="false">Scoring!BL122</f>
        <v/>
      </c>
      <c r="F115" s="6" t="n">
        <f aca="false">Scoring!B122</f>
        <v>0</v>
      </c>
      <c r="G115" s="6" t="n">
        <f aca="false">Scoring!D122</f>
        <v>0</v>
      </c>
      <c r="H115" s="6" t="str">
        <f aca="false">Scoring!CK122</f>
        <v/>
      </c>
      <c r="I115" s="179" t="str">
        <f aca="false">Scoring!CJ122</f>
        <v/>
      </c>
    </row>
    <row r="116" customFormat="false" ht="15.75" hidden="false" customHeight="false" outlineLevel="0" collapsed="false">
      <c r="A116" s="6" t="str">
        <f aca="false">Scoring!CM123</f>
        <v/>
      </c>
      <c r="B116" s="6" t="str">
        <f aca="false">Scoring!CL123</f>
        <v/>
      </c>
      <c r="C116" s="6" t="n">
        <f aca="false">Scoring!C123</f>
        <v>0</v>
      </c>
      <c r="D116" s="178" t="str">
        <f aca="false">Scoring!CI123</f>
        <v/>
      </c>
      <c r="E116" s="6" t="str">
        <f aca="false">Scoring!BL123</f>
        <v/>
      </c>
      <c r="F116" s="6" t="n">
        <f aca="false">Scoring!B123</f>
        <v>0</v>
      </c>
      <c r="G116" s="6" t="n">
        <f aca="false">Scoring!D123</f>
        <v>0</v>
      </c>
      <c r="H116" s="6" t="str">
        <f aca="false">Scoring!CK123</f>
        <v/>
      </c>
      <c r="I116" s="179" t="str">
        <f aca="false">Scoring!CJ123</f>
        <v/>
      </c>
    </row>
    <row r="117" customFormat="false" ht="15.75" hidden="false" customHeight="false" outlineLevel="0" collapsed="false">
      <c r="A117" s="6" t="str">
        <f aca="false">Scoring!CM124</f>
        <v/>
      </c>
      <c r="B117" s="6" t="str">
        <f aca="false">Scoring!CL124</f>
        <v/>
      </c>
      <c r="C117" s="6" t="n">
        <f aca="false">Scoring!C124</f>
        <v>0</v>
      </c>
      <c r="D117" s="178" t="str">
        <f aca="false">Scoring!CI124</f>
        <v/>
      </c>
      <c r="E117" s="6" t="str">
        <f aca="false">Scoring!BL124</f>
        <v/>
      </c>
      <c r="F117" s="6" t="n">
        <f aca="false">Scoring!B124</f>
        <v>0</v>
      </c>
      <c r="G117" s="6" t="n">
        <f aca="false">Scoring!D124</f>
        <v>0</v>
      </c>
      <c r="H117" s="6" t="str">
        <f aca="false">Scoring!CK124</f>
        <v/>
      </c>
      <c r="I117" s="179" t="str">
        <f aca="false">Scoring!CJ124</f>
        <v/>
      </c>
    </row>
    <row r="118" customFormat="false" ht="15.75" hidden="false" customHeight="false" outlineLevel="0" collapsed="false">
      <c r="A118" s="6" t="str">
        <f aca="false">Scoring!CM125</f>
        <v/>
      </c>
      <c r="B118" s="6" t="str">
        <f aca="false">Scoring!CL125</f>
        <v/>
      </c>
      <c r="C118" s="6" t="n">
        <f aca="false">Scoring!C125</f>
        <v>0</v>
      </c>
      <c r="D118" s="178" t="str">
        <f aca="false">Scoring!CI125</f>
        <v/>
      </c>
      <c r="E118" s="6" t="str">
        <f aca="false">Scoring!BL125</f>
        <v/>
      </c>
      <c r="F118" s="6" t="n">
        <f aca="false">Scoring!B125</f>
        <v>0</v>
      </c>
      <c r="G118" s="6" t="n">
        <f aca="false">Scoring!D125</f>
        <v>0</v>
      </c>
      <c r="H118" s="6" t="str">
        <f aca="false">Scoring!CK125</f>
        <v/>
      </c>
      <c r="I118" s="179" t="str">
        <f aca="false">Scoring!CJ125</f>
        <v/>
      </c>
    </row>
    <row r="119" customFormat="false" ht="15.75" hidden="false" customHeight="false" outlineLevel="0" collapsed="false">
      <c r="A119" s="6" t="str">
        <f aca="false">Scoring!CM126</f>
        <v/>
      </c>
      <c r="B119" s="6" t="str">
        <f aca="false">Scoring!CL126</f>
        <v/>
      </c>
      <c r="C119" s="6" t="n">
        <f aca="false">Scoring!C126</f>
        <v>0</v>
      </c>
      <c r="D119" s="178" t="str">
        <f aca="false">Scoring!CI126</f>
        <v/>
      </c>
      <c r="E119" s="6" t="str">
        <f aca="false">Scoring!BL126</f>
        <v/>
      </c>
      <c r="F119" s="6" t="n">
        <f aca="false">Scoring!B126</f>
        <v>0</v>
      </c>
      <c r="G119" s="6" t="n">
        <f aca="false">Scoring!D126</f>
        <v>0</v>
      </c>
      <c r="H119" s="6" t="str">
        <f aca="false">Scoring!CK126</f>
        <v/>
      </c>
      <c r="I119" s="179" t="str">
        <f aca="false">Scoring!CJ126</f>
        <v/>
      </c>
    </row>
    <row r="120" customFormat="false" ht="15.75" hidden="false" customHeight="false" outlineLevel="0" collapsed="false">
      <c r="A120" s="6" t="str">
        <f aca="false">Scoring!CM127</f>
        <v/>
      </c>
      <c r="B120" s="6" t="str">
        <f aca="false">Scoring!CL127</f>
        <v/>
      </c>
      <c r="C120" s="6" t="n">
        <f aca="false">Scoring!C127</f>
        <v>0</v>
      </c>
      <c r="D120" s="178" t="str">
        <f aca="false">Scoring!CI127</f>
        <v/>
      </c>
      <c r="E120" s="6" t="str">
        <f aca="false">Scoring!BL127</f>
        <v/>
      </c>
      <c r="F120" s="6" t="n">
        <f aca="false">Scoring!B127</f>
        <v>0</v>
      </c>
      <c r="G120" s="6" t="n">
        <f aca="false">Scoring!D127</f>
        <v>0</v>
      </c>
      <c r="H120" s="6" t="str">
        <f aca="false">Scoring!CK127</f>
        <v/>
      </c>
      <c r="I120" s="179" t="str">
        <f aca="false">Scoring!CJ127</f>
        <v/>
      </c>
    </row>
    <row r="121" customFormat="false" ht="15.75" hidden="false" customHeight="false" outlineLevel="0" collapsed="false">
      <c r="A121" s="6" t="str">
        <f aca="false">Scoring!CM128</f>
        <v/>
      </c>
      <c r="B121" s="6" t="str">
        <f aca="false">Scoring!CL128</f>
        <v/>
      </c>
      <c r="C121" s="6" t="n">
        <f aca="false">Scoring!C128</f>
        <v>0</v>
      </c>
      <c r="D121" s="178" t="str">
        <f aca="false">Scoring!CI128</f>
        <v/>
      </c>
      <c r="E121" s="6" t="str">
        <f aca="false">Scoring!BL128</f>
        <v/>
      </c>
      <c r="F121" s="6" t="n">
        <f aca="false">Scoring!B128</f>
        <v>0</v>
      </c>
      <c r="G121" s="6" t="n">
        <f aca="false">Scoring!D128</f>
        <v>0</v>
      </c>
      <c r="H121" s="6" t="str">
        <f aca="false">Scoring!CK128</f>
        <v/>
      </c>
      <c r="I121" s="179" t="str">
        <f aca="false">Scoring!CJ128</f>
        <v/>
      </c>
    </row>
    <row r="122" customFormat="false" ht="15.75" hidden="false" customHeight="false" outlineLevel="0" collapsed="false">
      <c r="A122" s="6" t="str">
        <f aca="false">Scoring!CM129</f>
        <v/>
      </c>
      <c r="B122" s="6" t="str">
        <f aca="false">Scoring!CL129</f>
        <v/>
      </c>
      <c r="C122" s="6" t="n">
        <f aca="false">Scoring!C129</f>
        <v>0</v>
      </c>
      <c r="D122" s="178" t="str">
        <f aca="false">Scoring!CI129</f>
        <v/>
      </c>
      <c r="E122" s="6" t="str">
        <f aca="false">Scoring!BL129</f>
        <v/>
      </c>
      <c r="F122" s="6" t="n">
        <f aca="false">Scoring!B129</f>
        <v>0</v>
      </c>
      <c r="G122" s="6" t="n">
        <f aca="false">Scoring!D129</f>
        <v>0</v>
      </c>
      <c r="H122" s="6" t="str">
        <f aca="false">Scoring!CK129</f>
        <v/>
      </c>
      <c r="I122" s="179" t="str">
        <f aca="false">Scoring!CJ129</f>
        <v/>
      </c>
    </row>
    <row r="123" customFormat="false" ht="15.75" hidden="false" customHeight="false" outlineLevel="0" collapsed="false">
      <c r="A123" s="6" t="str">
        <f aca="false">Scoring!CM130</f>
        <v/>
      </c>
      <c r="B123" s="6" t="str">
        <f aca="false">Scoring!CL130</f>
        <v/>
      </c>
      <c r="C123" s="6" t="n">
        <f aca="false">Scoring!C130</f>
        <v>0</v>
      </c>
      <c r="D123" s="178" t="str">
        <f aca="false">Scoring!CI130</f>
        <v/>
      </c>
      <c r="E123" s="6" t="str">
        <f aca="false">Scoring!BL130</f>
        <v/>
      </c>
      <c r="F123" s="6" t="n">
        <f aca="false">Scoring!B130</f>
        <v>0</v>
      </c>
      <c r="G123" s="6" t="n">
        <f aca="false">Scoring!D130</f>
        <v>0</v>
      </c>
      <c r="H123" s="6" t="str">
        <f aca="false">Scoring!CK130</f>
        <v/>
      </c>
      <c r="I123" s="179" t="str">
        <f aca="false">Scoring!CJ130</f>
        <v/>
      </c>
    </row>
    <row r="124" customFormat="false" ht="15.75" hidden="false" customHeight="false" outlineLevel="0" collapsed="false">
      <c r="A124" s="6" t="str">
        <f aca="false">Scoring!CM131</f>
        <v/>
      </c>
      <c r="B124" s="6" t="str">
        <f aca="false">Scoring!CL131</f>
        <v/>
      </c>
      <c r="C124" s="6" t="n">
        <f aca="false">Scoring!C131</f>
        <v>0</v>
      </c>
      <c r="D124" s="178" t="str">
        <f aca="false">Scoring!CI131</f>
        <v/>
      </c>
      <c r="E124" s="6" t="str">
        <f aca="false">Scoring!BL131</f>
        <v/>
      </c>
      <c r="F124" s="6" t="n">
        <f aca="false">Scoring!B131</f>
        <v>0</v>
      </c>
      <c r="G124" s="6" t="n">
        <f aca="false">Scoring!D131</f>
        <v>0</v>
      </c>
      <c r="H124" s="6" t="str">
        <f aca="false">Scoring!CK131</f>
        <v/>
      </c>
      <c r="I124" s="179" t="str">
        <f aca="false">Scoring!CJ131</f>
        <v/>
      </c>
    </row>
    <row r="125" customFormat="false" ht="15.75" hidden="false" customHeight="false" outlineLevel="0" collapsed="false">
      <c r="A125" s="6" t="str">
        <f aca="false">Scoring!CM132</f>
        <v/>
      </c>
      <c r="B125" s="6" t="str">
        <f aca="false">Scoring!CL132</f>
        <v/>
      </c>
      <c r="C125" s="6" t="n">
        <f aca="false">Scoring!C132</f>
        <v>0</v>
      </c>
      <c r="D125" s="178" t="str">
        <f aca="false">Scoring!CI132</f>
        <v/>
      </c>
      <c r="E125" s="6" t="str">
        <f aca="false">Scoring!BL132</f>
        <v/>
      </c>
      <c r="F125" s="6" t="n">
        <f aca="false">Scoring!B132</f>
        <v>0</v>
      </c>
      <c r="G125" s="6" t="n">
        <f aca="false">Scoring!D132</f>
        <v>0</v>
      </c>
      <c r="H125" s="6" t="str">
        <f aca="false">Scoring!CK132</f>
        <v/>
      </c>
      <c r="I125" s="179" t="str">
        <f aca="false">Scoring!CJ132</f>
        <v/>
      </c>
    </row>
    <row r="126" customFormat="false" ht="15.75" hidden="false" customHeight="false" outlineLevel="0" collapsed="false">
      <c r="A126" s="6" t="str">
        <f aca="false">Scoring!CM133</f>
        <v/>
      </c>
      <c r="B126" s="6" t="str">
        <f aca="false">Scoring!CL133</f>
        <v/>
      </c>
      <c r="C126" s="6" t="n">
        <f aca="false">Scoring!C133</f>
        <v>0</v>
      </c>
      <c r="D126" s="178" t="str">
        <f aca="false">Scoring!CI133</f>
        <v/>
      </c>
      <c r="E126" s="6" t="str">
        <f aca="false">Scoring!BL133</f>
        <v/>
      </c>
      <c r="F126" s="6" t="n">
        <f aca="false">Scoring!B133</f>
        <v>0</v>
      </c>
      <c r="G126" s="6" t="n">
        <f aca="false">Scoring!D133</f>
        <v>0</v>
      </c>
      <c r="H126" s="6" t="str">
        <f aca="false">Scoring!CK133</f>
        <v/>
      </c>
      <c r="I126" s="179" t="str">
        <f aca="false">Scoring!CJ133</f>
        <v/>
      </c>
    </row>
    <row r="127" customFormat="false" ht="15.75" hidden="false" customHeight="false" outlineLevel="0" collapsed="false">
      <c r="A127" s="6" t="str">
        <f aca="false">Scoring!CM134</f>
        <v/>
      </c>
      <c r="B127" s="6" t="str">
        <f aca="false">Scoring!CL134</f>
        <v/>
      </c>
      <c r="C127" s="6" t="n">
        <f aca="false">Scoring!C134</f>
        <v>0</v>
      </c>
      <c r="D127" s="178" t="str">
        <f aca="false">Scoring!CI134</f>
        <v/>
      </c>
      <c r="E127" s="6" t="str">
        <f aca="false">Scoring!BL134</f>
        <v/>
      </c>
      <c r="F127" s="6" t="n">
        <f aca="false">Scoring!B134</f>
        <v>0</v>
      </c>
      <c r="G127" s="6" t="n">
        <f aca="false">Scoring!D134</f>
        <v>0</v>
      </c>
      <c r="H127" s="6" t="str">
        <f aca="false">Scoring!CK134</f>
        <v/>
      </c>
      <c r="I127" s="179" t="str">
        <f aca="false">Scoring!CJ134</f>
        <v/>
      </c>
    </row>
    <row r="128" customFormat="false" ht="15.75" hidden="false" customHeight="false" outlineLevel="0" collapsed="false">
      <c r="A128" s="6" t="str">
        <f aca="false">Scoring!CM135</f>
        <v/>
      </c>
      <c r="B128" s="6" t="str">
        <f aca="false">Scoring!CL135</f>
        <v/>
      </c>
      <c r="C128" s="6" t="n">
        <f aca="false">Scoring!C135</f>
        <v>0</v>
      </c>
      <c r="D128" s="178" t="str">
        <f aca="false">Scoring!CI135</f>
        <v/>
      </c>
      <c r="E128" s="6" t="str">
        <f aca="false">Scoring!BL135</f>
        <v/>
      </c>
      <c r="F128" s="6" t="n">
        <f aca="false">Scoring!B135</f>
        <v>0</v>
      </c>
      <c r="G128" s="6" t="n">
        <f aca="false">Scoring!D135</f>
        <v>0</v>
      </c>
      <c r="H128" s="6" t="str">
        <f aca="false">Scoring!CK135</f>
        <v/>
      </c>
      <c r="I128" s="179" t="str">
        <f aca="false">Scoring!CJ135</f>
        <v/>
      </c>
    </row>
    <row r="129" customFormat="false" ht="15.75" hidden="false" customHeight="false" outlineLevel="0" collapsed="false">
      <c r="A129" s="6" t="str">
        <f aca="false">Scoring!CM136</f>
        <v/>
      </c>
      <c r="B129" s="6" t="str">
        <f aca="false">Scoring!CL136</f>
        <v/>
      </c>
      <c r="C129" s="6" t="n">
        <f aca="false">Scoring!C136</f>
        <v>0</v>
      </c>
      <c r="D129" s="178" t="str">
        <f aca="false">Scoring!CI136</f>
        <v/>
      </c>
      <c r="E129" s="6" t="str">
        <f aca="false">Scoring!BL136</f>
        <v/>
      </c>
      <c r="F129" s="6" t="n">
        <f aca="false">Scoring!B136</f>
        <v>0</v>
      </c>
      <c r="G129" s="6" t="n">
        <f aca="false">Scoring!D136</f>
        <v>0</v>
      </c>
      <c r="H129" s="6" t="str">
        <f aca="false">Scoring!CK136</f>
        <v/>
      </c>
      <c r="I129" s="179" t="str">
        <f aca="false">Scoring!CJ136</f>
        <v/>
      </c>
    </row>
    <row r="130" customFormat="false" ht="15.75" hidden="false" customHeight="false" outlineLevel="0" collapsed="false">
      <c r="A130" s="6" t="str">
        <f aca="false">Scoring!CM137</f>
        <v/>
      </c>
      <c r="B130" s="6" t="str">
        <f aca="false">Scoring!CL137</f>
        <v/>
      </c>
      <c r="C130" s="6" t="n">
        <f aca="false">Scoring!C137</f>
        <v>0</v>
      </c>
      <c r="D130" s="178" t="str">
        <f aca="false">Scoring!CI137</f>
        <v/>
      </c>
      <c r="E130" s="6" t="str">
        <f aca="false">Scoring!BL137</f>
        <v/>
      </c>
      <c r="F130" s="6" t="n">
        <f aca="false">Scoring!B137</f>
        <v>0</v>
      </c>
      <c r="G130" s="6" t="n">
        <f aca="false">Scoring!D137</f>
        <v>0</v>
      </c>
      <c r="H130" s="6" t="str">
        <f aca="false">Scoring!CK137</f>
        <v/>
      </c>
      <c r="I130" s="179" t="str">
        <f aca="false">Scoring!CJ137</f>
        <v/>
      </c>
    </row>
    <row r="131" customFormat="false" ht="15.75" hidden="false" customHeight="false" outlineLevel="0" collapsed="false">
      <c r="A131" s="6" t="str">
        <f aca="false">Scoring!CM138</f>
        <v/>
      </c>
      <c r="B131" s="6" t="str">
        <f aca="false">Scoring!CL138</f>
        <v/>
      </c>
      <c r="C131" s="6" t="n">
        <f aca="false">Scoring!C138</f>
        <v>0</v>
      </c>
      <c r="D131" s="178" t="str">
        <f aca="false">Scoring!CI138</f>
        <v/>
      </c>
      <c r="E131" s="6" t="str">
        <f aca="false">Scoring!BL138</f>
        <v/>
      </c>
      <c r="F131" s="6" t="n">
        <f aca="false">Scoring!B138</f>
        <v>0</v>
      </c>
      <c r="G131" s="6" t="n">
        <f aca="false">Scoring!D138</f>
        <v>0</v>
      </c>
      <c r="H131" s="6" t="str">
        <f aca="false">Scoring!CK138</f>
        <v/>
      </c>
      <c r="I131" s="179" t="str">
        <f aca="false">Scoring!CJ138</f>
        <v/>
      </c>
    </row>
    <row r="132" customFormat="false" ht="15.75" hidden="false" customHeight="false" outlineLevel="0" collapsed="false">
      <c r="A132" s="6" t="str">
        <f aca="false">Scoring!CM139</f>
        <v/>
      </c>
      <c r="B132" s="6" t="str">
        <f aca="false">Scoring!CL139</f>
        <v/>
      </c>
      <c r="C132" s="6" t="n">
        <f aca="false">Scoring!C139</f>
        <v>0</v>
      </c>
      <c r="D132" s="178" t="str">
        <f aca="false">Scoring!CI139</f>
        <v/>
      </c>
      <c r="E132" s="6" t="str">
        <f aca="false">Scoring!BL139</f>
        <v/>
      </c>
      <c r="F132" s="6" t="n">
        <f aca="false">Scoring!B139</f>
        <v>0</v>
      </c>
      <c r="G132" s="6" t="n">
        <f aca="false">Scoring!D139</f>
        <v>0</v>
      </c>
      <c r="H132" s="6" t="str">
        <f aca="false">Scoring!CK139</f>
        <v/>
      </c>
      <c r="I132" s="179" t="str">
        <f aca="false">Scoring!CJ139</f>
        <v/>
      </c>
    </row>
    <row r="133" customFormat="false" ht="15.75" hidden="false" customHeight="false" outlineLevel="0" collapsed="false">
      <c r="A133" s="6" t="str">
        <f aca="false">Scoring!CM140</f>
        <v/>
      </c>
      <c r="B133" s="6" t="str">
        <f aca="false">Scoring!CL140</f>
        <v/>
      </c>
      <c r="C133" s="6" t="n">
        <f aca="false">Scoring!C140</f>
        <v>0</v>
      </c>
      <c r="D133" s="178" t="str">
        <f aca="false">Scoring!CI140</f>
        <v/>
      </c>
      <c r="E133" s="6" t="str">
        <f aca="false">Scoring!BL140</f>
        <v/>
      </c>
      <c r="F133" s="6" t="n">
        <f aca="false">Scoring!B140</f>
        <v>0</v>
      </c>
      <c r="G133" s="6" t="n">
        <f aca="false">Scoring!D140</f>
        <v>0</v>
      </c>
      <c r="H133" s="6" t="str">
        <f aca="false">Scoring!CK140</f>
        <v/>
      </c>
      <c r="I133" s="179" t="str">
        <f aca="false">Scoring!CJ140</f>
        <v/>
      </c>
    </row>
    <row r="134" customFormat="false" ht="15.75" hidden="false" customHeight="false" outlineLevel="0" collapsed="false">
      <c r="A134" s="6" t="str">
        <f aca="false">Scoring!CM141</f>
        <v/>
      </c>
      <c r="B134" s="6" t="str">
        <f aca="false">Scoring!CL141</f>
        <v/>
      </c>
      <c r="C134" s="6" t="n">
        <f aca="false">Scoring!C141</f>
        <v>0</v>
      </c>
      <c r="D134" s="178" t="str">
        <f aca="false">Scoring!CI141</f>
        <v/>
      </c>
      <c r="E134" s="6" t="str">
        <f aca="false">Scoring!BL141</f>
        <v/>
      </c>
      <c r="F134" s="6" t="n">
        <f aca="false">Scoring!B141</f>
        <v>0</v>
      </c>
      <c r="G134" s="6" t="n">
        <f aca="false">Scoring!D141</f>
        <v>0</v>
      </c>
      <c r="H134" s="6" t="str">
        <f aca="false">Scoring!CK141</f>
        <v/>
      </c>
      <c r="I134" s="179" t="str">
        <f aca="false">Scoring!CJ141</f>
        <v/>
      </c>
    </row>
    <row r="135" customFormat="false" ht="15.75" hidden="false" customHeight="false" outlineLevel="0" collapsed="false">
      <c r="A135" s="6" t="str">
        <f aca="false">Scoring!CM142</f>
        <v/>
      </c>
      <c r="B135" s="6" t="str">
        <f aca="false">Scoring!CL142</f>
        <v/>
      </c>
      <c r="C135" s="6" t="n">
        <f aca="false">Scoring!C142</f>
        <v>0</v>
      </c>
      <c r="D135" s="178" t="str">
        <f aca="false">Scoring!CI142</f>
        <v/>
      </c>
      <c r="E135" s="6" t="str">
        <f aca="false">Scoring!BL142</f>
        <v/>
      </c>
      <c r="F135" s="6" t="n">
        <f aca="false">Scoring!B142</f>
        <v>0</v>
      </c>
      <c r="G135" s="6" t="n">
        <f aca="false">Scoring!D142</f>
        <v>0</v>
      </c>
      <c r="H135" s="6" t="str">
        <f aca="false">Scoring!CK142</f>
        <v/>
      </c>
      <c r="I135" s="179" t="str">
        <f aca="false">Scoring!CJ142</f>
        <v/>
      </c>
    </row>
    <row r="136" customFormat="false" ht="15.75" hidden="false" customHeight="false" outlineLevel="0" collapsed="false">
      <c r="A136" s="6" t="str">
        <f aca="false">Scoring!CM143</f>
        <v/>
      </c>
      <c r="B136" s="6" t="str">
        <f aca="false">Scoring!CL143</f>
        <v/>
      </c>
      <c r="C136" s="6" t="n">
        <f aca="false">Scoring!C143</f>
        <v>0</v>
      </c>
      <c r="D136" s="178" t="str">
        <f aca="false">Scoring!CI143</f>
        <v/>
      </c>
      <c r="E136" s="6" t="str">
        <f aca="false">Scoring!BL143</f>
        <v/>
      </c>
      <c r="F136" s="6" t="n">
        <f aca="false">Scoring!B143</f>
        <v>0</v>
      </c>
      <c r="G136" s="6" t="n">
        <f aca="false">Scoring!D143</f>
        <v>0</v>
      </c>
      <c r="H136" s="6" t="str">
        <f aca="false">Scoring!CK143</f>
        <v/>
      </c>
      <c r="I136" s="179" t="str">
        <f aca="false">Scoring!CJ143</f>
        <v/>
      </c>
    </row>
    <row r="137" customFormat="false" ht="15.75" hidden="false" customHeight="false" outlineLevel="0" collapsed="false">
      <c r="A137" s="6" t="str">
        <f aca="false">Scoring!CM144</f>
        <v/>
      </c>
      <c r="B137" s="6" t="str">
        <f aca="false">Scoring!CL144</f>
        <v/>
      </c>
      <c r="C137" s="6" t="n">
        <f aca="false">Scoring!C144</f>
        <v>0</v>
      </c>
      <c r="D137" s="178" t="str">
        <f aca="false">Scoring!CI144</f>
        <v/>
      </c>
      <c r="E137" s="6" t="str">
        <f aca="false">Scoring!BL144</f>
        <v/>
      </c>
      <c r="F137" s="6" t="n">
        <f aca="false">Scoring!B144</f>
        <v>0</v>
      </c>
      <c r="G137" s="6" t="n">
        <f aca="false">Scoring!D144</f>
        <v>0</v>
      </c>
      <c r="H137" s="6" t="str">
        <f aca="false">Scoring!CK144</f>
        <v/>
      </c>
      <c r="I137" s="179" t="str">
        <f aca="false">Scoring!CJ144</f>
        <v/>
      </c>
    </row>
    <row r="138" customFormat="false" ht="15.75" hidden="false" customHeight="false" outlineLevel="0" collapsed="false">
      <c r="A138" s="6" t="str">
        <f aca="false">Scoring!CM145</f>
        <v/>
      </c>
      <c r="B138" s="6" t="str">
        <f aca="false">Scoring!CL145</f>
        <v/>
      </c>
      <c r="C138" s="6" t="n">
        <f aca="false">Scoring!C145</f>
        <v>0</v>
      </c>
      <c r="D138" s="178" t="str">
        <f aca="false">Scoring!CI145</f>
        <v/>
      </c>
      <c r="E138" s="6" t="str">
        <f aca="false">Scoring!BL145</f>
        <v/>
      </c>
      <c r="F138" s="6" t="n">
        <f aca="false">Scoring!B145</f>
        <v>0</v>
      </c>
      <c r="G138" s="6" t="n">
        <f aca="false">Scoring!D145</f>
        <v>0</v>
      </c>
      <c r="H138" s="6" t="str">
        <f aca="false">Scoring!CK145</f>
        <v/>
      </c>
      <c r="I138" s="179" t="str">
        <f aca="false">Scoring!CJ145</f>
        <v/>
      </c>
    </row>
    <row r="139" customFormat="false" ht="15.75" hidden="false" customHeight="false" outlineLevel="0" collapsed="false">
      <c r="A139" s="6" t="str">
        <f aca="false">Scoring!CM146</f>
        <v/>
      </c>
      <c r="B139" s="6" t="str">
        <f aca="false">Scoring!CL146</f>
        <v/>
      </c>
      <c r="C139" s="6" t="n">
        <f aca="false">Scoring!C146</f>
        <v>0</v>
      </c>
      <c r="D139" s="178" t="str">
        <f aca="false">Scoring!CI146</f>
        <v/>
      </c>
      <c r="E139" s="6" t="str">
        <f aca="false">Scoring!BL146</f>
        <v/>
      </c>
      <c r="F139" s="6" t="n">
        <f aca="false">Scoring!B146</f>
        <v>0</v>
      </c>
      <c r="G139" s="6" t="n">
        <f aca="false">Scoring!D146</f>
        <v>0</v>
      </c>
      <c r="H139" s="6" t="str">
        <f aca="false">Scoring!CK146</f>
        <v/>
      </c>
      <c r="I139" s="179" t="str">
        <f aca="false">Scoring!CJ146</f>
        <v/>
      </c>
    </row>
    <row r="140" customFormat="false" ht="15.75" hidden="false" customHeight="false" outlineLevel="0" collapsed="false">
      <c r="A140" s="6" t="str">
        <f aca="false">Scoring!CM147</f>
        <v/>
      </c>
      <c r="B140" s="6" t="str">
        <f aca="false">Scoring!CL147</f>
        <v/>
      </c>
      <c r="C140" s="6" t="n">
        <f aca="false">Scoring!C147</f>
        <v>0</v>
      </c>
      <c r="D140" s="178" t="str">
        <f aca="false">Scoring!CI147</f>
        <v/>
      </c>
      <c r="E140" s="6" t="str">
        <f aca="false">Scoring!BL147</f>
        <v/>
      </c>
      <c r="F140" s="6" t="n">
        <f aca="false">Scoring!B147</f>
        <v>0</v>
      </c>
      <c r="G140" s="6" t="n">
        <f aca="false">Scoring!D147</f>
        <v>0</v>
      </c>
      <c r="H140" s="6" t="str">
        <f aca="false">Scoring!CK147</f>
        <v/>
      </c>
      <c r="I140" s="179" t="str">
        <f aca="false">Scoring!CJ147</f>
        <v/>
      </c>
    </row>
    <row r="141" customFormat="false" ht="15.75" hidden="false" customHeight="false" outlineLevel="0" collapsed="false">
      <c r="A141" s="6" t="str">
        <f aca="false">Scoring!CM148</f>
        <v/>
      </c>
      <c r="B141" s="6" t="str">
        <f aca="false">Scoring!CL148</f>
        <v/>
      </c>
      <c r="C141" s="6" t="n">
        <f aca="false">Scoring!C148</f>
        <v>0</v>
      </c>
      <c r="D141" s="178" t="str">
        <f aca="false">Scoring!CI148</f>
        <v/>
      </c>
      <c r="E141" s="6" t="str">
        <f aca="false">Scoring!BL148</f>
        <v/>
      </c>
      <c r="F141" s="6" t="n">
        <f aca="false">Scoring!B148</f>
        <v>0</v>
      </c>
      <c r="G141" s="6" t="n">
        <f aca="false">Scoring!D148</f>
        <v>0</v>
      </c>
      <c r="H141" s="6" t="str">
        <f aca="false">Scoring!CK148</f>
        <v/>
      </c>
      <c r="I141" s="179" t="str">
        <f aca="false">Scoring!CJ148</f>
        <v/>
      </c>
    </row>
    <row r="142" customFormat="false" ht="15.75" hidden="false" customHeight="false" outlineLevel="0" collapsed="false">
      <c r="A142" s="6" t="str">
        <f aca="false">Scoring!CM149</f>
        <v/>
      </c>
      <c r="B142" s="6" t="str">
        <f aca="false">Scoring!CL149</f>
        <v/>
      </c>
      <c r="C142" s="6" t="n">
        <f aca="false">Scoring!C149</f>
        <v>0</v>
      </c>
      <c r="D142" s="178" t="str">
        <f aca="false">Scoring!CI149</f>
        <v/>
      </c>
      <c r="E142" s="6" t="str">
        <f aca="false">Scoring!BL149</f>
        <v/>
      </c>
      <c r="F142" s="6" t="n">
        <f aca="false">Scoring!B149</f>
        <v>0</v>
      </c>
      <c r="G142" s="6" t="n">
        <f aca="false">Scoring!D149</f>
        <v>0</v>
      </c>
      <c r="H142" s="6" t="str">
        <f aca="false">Scoring!CK149</f>
        <v/>
      </c>
      <c r="I142" s="179" t="str">
        <f aca="false">Scoring!CJ149</f>
        <v/>
      </c>
    </row>
    <row r="143" customFormat="false" ht="15.75" hidden="false" customHeight="false" outlineLevel="0" collapsed="false">
      <c r="A143" s="6" t="str">
        <f aca="false">Scoring!CM150</f>
        <v/>
      </c>
      <c r="B143" s="6" t="str">
        <f aca="false">Scoring!CL150</f>
        <v/>
      </c>
      <c r="C143" s="6" t="n">
        <f aca="false">Scoring!C150</f>
        <v>0</v>
      </c>
      <c r="D143" s="178" t="str">
        <f aca="false">Scoring!CI150</f>
        <v/>
      </c>
      <c r="E143" s="6" t="str">
        <f aca="false">Scoring!BL150</f>
        <v/>
      </c>
      <c r="F143" s="6" t="n">
        <f aca="false">Scoring!B150</f>
        <v>0</v>
      </c>
      <c r="G143" s="6" t="n">
        <f aca="false">Scoring!D150</f>
        <v>0</v>
      </c>
      <c r="H143" s="6" t="str">
        <f aca="false">Scoring!CK150</f>
        <v/>
      </c>
      <c r="I143" s="179" t="str">
        <f aca="false">Scoring!CJ150</f>
        <v/>
      </c>
    </row>
    <row r="144" customFormat="false" ht="15.75" hidden="false" customHeight="false" outlineLevel="0" collapsed="false">
      <c r="A144" s="6" t="str">
        <f aca="false">Scoring!CM151</f>
        <v/>
      </c>
      <c r="B144" s="6" t="str">
        <f aca="false">Scoring!CL151</f>
        <v/>
      </c>
      <c r="C144" s="6" t="n">
        <f aca="false">Scoring!C151</f>
        <v>0</v>
      </c>
      <c r="D144" s="178" t="str">
        <f aca="false">Scoring!CI151</f>
        <v/>
      </c>
      <c r="E144" s="6" t="str">
        <f aca="false">Scoring!BL151</f>
        <v/>
      </c>
      <c r="F144" s="6" t="n">
        <f aca="false">Scoring!B151</f>
        <v>0</v>
      </c>
      <c r="G144" s="6" t="n">
        <f aca="false">Scoring!D151</f>
        <v>0</v>
      </c>
      <c r="H144" s="6" t="str">
        <f aca="false">Scoring!CK151</f>
        <v/>
      </c>
      <c r="I144" s="179" t="str">
        <f aca="false">Scoring!CJ151</f>
        <v/>
      </c>
    </row>
    <row r="145" customFormat="false" ht="15.75" hidden="false" customHeight="false" outlineLevel="0" collapsed="false">
      <c r="A145" s="6" t="str">
        <f aca="false">Scoring!CM152</f>
        <v/>
      </c>
      <c r="B145" s="6" t="str">
        <f aca="false">Scoring!CL152</f>
        <v/>
      </c>
      <c r="C145" s="6" t="n">
        <f aca="false">Scoring!C152</f>
        <v>0</v>
      </c>
      <c r="D145" s="178" t="str">
        <f aca="false">Scoring!CI152</f>
        <v/>
      </c>
      <c r="E145" s="6" t="str">
        <f aca="false">Scoring!BL152</f>
        <v/>
      </c>
      <c r="F145" s="6" t="n">
        <f aca="false">Scoring!B152</f>
        <v>0</v>
      </c>
      <c r="G145" s="6" t="n">
        <f aca="false">Scoring!D152</f>
        <v>0</v>
      </c>
      <c r="H145" s="6" t="str">
        <f aca="false">Scoring!CK152</f>
        <v/>
      </c>
      <c r="I145" s="179" t="str">
        <f aca="false">Scoring!CJ152</f>
        <v/>
      </c>
    </row>
    <row r="146" customFormat="false" ht="15.75" hidden="false" customHeight="false" outlineLevel="0" collapsed="false">
      <c r="A146" s="6" t="str">
        <f aca="false">Scoring!CM153</f>
        <v/>
      </c>
      <c r="B146" s="6" t="str">
        <f aca="false">Scoring!CL153</f>
        <v/>
      </c>
      <c r="C146" s="6" t="n">
        <f aca="false">Scoring!C153</f>
        <v>0</v>
      </c>
      <c r="D146" s="178" t="str">
        <f aca="false">Scoring!CI153</f>
        <v/>
      </c>
      <c r="E146" s="6" t="str">
        <f aca="false">Scoring!BL153</f>
        <v/>
      </c>
      <c r="F146" s="6" t="n">
        <f aca="false">Scoring!B153</f>
        <v>0</v>
      </c>
      <c r="G146" s="6" t="n">
        <f aca="false">Scoring!D153</f>
        <v>0</v>
      </c>
      <c r="H146" s="6" t="str">
        <f aca="false">Scoring!CK153</f>
        <v/>
      </c>
      <c r="I146" s="179" t="str">
        <f aca="false">Scoring!CJ153</f>
        <v/>
      </c>
    </row>
    <row r="147" customFormat="false" ht="15.75" hidden="false" customHeight="false" outlineLevel="0" collapsed="false">
      <c r="A147" s="6" t="str">
        <f aca="false">Scoring!CM154</f>
        <v/>
      </c>
      <c r="B147" s="6" t="str">
        <f aca="false">Scoring!CL154</f>
        <v/>
      </c>
      <c r="C147" s="6" t="n">
        <f aca="false">Scoring!C154</f>
        <v>0</v>
      </c>
      <c r="D147" s="178" t="str">
        <f aca="false">Scoring!CI154</f>
        <v/>
      </c>
      <c r="E147" s="6" t="str">
        <f aca="false">Scoring!BL154</f>
        <v/>
      </c>
      <c r="F147" s="6" t="n">
        <f aca="false">Scoring!B154</f>
        <v>0</v>
      </c>
      <c r="G147" s="6" t="n">
        <f aca="false">Scoring!D154</f>
        <v>0</v>
      </c>
      <c r="H147" s="6" t="str">
        <f aca="false">Scoring!CK154</f>
        <v/>
      </c>
      <c r="I147" s="179" t="str">
        <f aca="false">Scoring!CJ154</f>
        <v/>
      </c>
    </row>
    <row r="148" customFormat="false" ht="15.75" hidden="false" customHeight="false" outlineLevel="0" collapsed="false">
      <c r="A148" s="6" t="str">
        <f aca="false">Scoring!CM155</f>
        <v/>
      </c>
      <c r="B148" s="6" t="str">
        <f aca="false">Scoring!CL155</f>
        <v/>
      </c>
      <c r="C148" s="6" t="n">
        <f aca="false">Scoring!C155</f>
        <v>0</v>
      </c>
      <c r="D148" s="178" t="str">
        <f aca="false">Scoring!CI155</f>
        <v/>
      </c>
      <c r="E148" s="6" t="str">
        <f aca="false">Scoring!BL155</f>
        <v/>
      </c>
      <c r="F148" s="6" t="n">
        <f aca="false">Scoring!B155</f>
        <v>0</v>
      </c>
      <c r="G148" s="6" t="n">
        <f aca="false">Scoring!D155</f>
        <v>0</v>
      </c>
      <c r="H148" s="6" t="str">
        <f aca="false">Scoring!CK155</f>
        <v/>
      </c>
      <c r="I148" s="179" t="str">
        <f aca="false">Scoring!CJ155</f>
        <v/>
      </c>
    </row>
    <row r="149" customFormat="false" ht="15.75" hidden="false" customHeight="false" outlineLevel="0" collapsed="false">
      <c r="A149" s="6" t="str">
        <f aca="false">Scoring!CM156</f>
        <v/>
      </c>
      <c r="B149" s="6" t="str">
        <f aca="false">Scoring!CL156</f>
        <v/>
      </c>
      <c r="C149" s="6" t="n">
        <f aca="false">Scoring!C156</f>
        <v>0</v>
      </c>
      <c r="D149" s="178" t="str">
        <f aca="false">Scoring!CI156</f>
        <v/>
      </c>
      <c r="E149" s="6" t="str">
        <f aca="false">Scoring!BL156</f>
        <v/>
      </c>
      <c r="F149" s="6" t="n">
        <f aca="false">Scoring!B156</f>
        <v>0</v>
      </c>
      <c r="G149" s="6" t="n">
        <f aca="false">Scoring!D156</f>
        <v>0</v>
      </c>
      <c r="H149" s="6" t="str">
        <f aca="false">Scoring!CK156</f>
        <v/>
      </c>
      <c r="I149" s="179" t="str">
        <f aca="false">Scoring!CJ156</f>
        <v/>
      </c>
    </row>
    <row r="150" customFormat="false" ht="15.75" hidden="false" customHeight="false" outlineLevel="0" collapsed="false">
      <c r="A150" s="6" t="str">
        <f aca="false">Scoring!CM157</f>
        <v/>
      </c>
      <c r="B150" s="6" t="str">
        <f aca="false">Scoring!CL157</f>
        <v/>
      </c>
      <c r="C150" s="6" t="n">
        <f aca="false">Scoring!C157</f>
        <v>0</v>
      </c>
      <c r="D150" s="178" t="str">
        <f aca="false">Scoring!CI157</f>
        <v/>
      </c>
      <c r="E150" s="6" t="str">
        <f aca="false">Scoring!BL157</f>
        <v/>
      </c>
      <c r="F150" s="6" t="n">
        <f aca="false">Scoring!B157</f>
        <v>0</v>
      </c>
      <c r="G150" s="6" t="n">
        <f aca="false">Scoring!D157</f>
        <v>0</v>
      </c>
      <c r="H150" s="6" t="str">
        <f aca="false">Scoring!CK157</f>
        <v/>
      </c>
      <c r="I150" s="179" t="str">
        <f aca="false">Scoring!CJ157</f>
        <v/>
      </c>
    </row>
    <row r="151" customFormat="false" ht="15.75" hidden="false" customHeight="false" outlineLevel="0" collapsed="false">
      <c r="A151" s="6" t="str">
        <f aca="false">Scoring!CM158</f>
        <v/>
      </c>
      <c r="B151" s="6" t="str">
        <f aca="false">Scoring!CL158</f>
        <v/>
      </c>
      <c r="C151" s="6" t="n">
        <f aca="false">Scoring!C158</f>
        <v>0</v>
      </c>
      <c r="D151" s="178" t="str">
        <f aca="false">Scoring!CI158</f>
        <v/>
      </c>
      <c r="E151" s="6" t="str">
        <f aca="false">Scoring!BL158</f>
        <v/>
      </c>
      <c r="F151" s="6" t="n">
        <f aca="false">Scoring!B158</f>
        <v>0</v>
      </c>
      <c r="G151" s="6" t="n">
        <f aca="false">Scoring!D158</f>
        <v>0</v>
      </c>
      <c r="H151" s="6" t="str">
        <f aca="false">Scoring!CK158</f>
        <v/>
      </c>
      <c r="I151" s="179" t="str">
        <f aca="false">Scoring!CJ158</f>
        <v/>
      </c>
    </row>
    <row r="152" customFormat="false" ht="15.75" hidden="false" customHeight="false" outlineLevel="0" collapsed="false">
      <c r="A152" s="6" t="str">
        <f aca="false">Scoring!CM159</f>
        <v/>
      </c>
      <c r="B152" s="6" t="str">
        <f aca="false">Scoring!CL159</f>
        <v/>
      </c>
      <c r="C152" s="6" t="n">
        <f aca="false">Scoring!C159</f>
        <v>0</v>
      </c>
      <c r="D152" s="178" t="str">
        <f aca="false">Scoring!CI159</f>
        <v/>
      </c>
      <c r="E152" s="6" t="str">
        <f aca="false">Scoring!BL159</f>
        <v/>
      </c>
      <c r="F152" s="6" t="n">
        <f aca="false">Scoring!B159</f>
        <v>0</v>
      </c>
      <c r="G152" s="6" t="n">
        <f aca="false">Scoring!D159</f>
        <v>0</v>
      </c>
      <c r="H152" s="6" t="str">
        <f aca="false">Scoring!CK159</f>
        <v/>
      </c>
      <c r="I152" s="179" t="str">
        <f aca="false">Scoring!CJ159</f>
        <v/>
      </c>
    </row>
    <row r="153" customFormat="false" ht="15.75" hidden="false" customHeight="false" outlineLevel="0" collapsed="false">
      <c r="A153" s="6" t="str">
        <f aca="false">Scoring!CM160</f>
        <v/>
      </c>
      <c r="B153" s="6" t="str">
        <f aca="false">Scoring!CL160</f>
        <v/>
      </c>
      <c r="C153" s="6" t="n">
        <f aca="false">Scoring!C160</f>
        <v>0</v>
      </c>
      <c r="D153" s="178" t="str">
        <f aca="false">Scoring!CI160</f>
        <v/>
      </c>
      <c r="E153" s="6" t="str">
        <f aca="false">Scoring!BL160</f>
        <v/>
      </c>
      <c r="F153" s="6" t="n">
        <f aca="false">Scoring!B160</f>
        <v>0</v>
      </c>
      <c r="G153" s="6" t="n">
        <f aca="false">Scoring!D160</f>
        <v>0</v>
      </c>
      <c r="H153" s="6" t="str">
        <f aca="false">Scoring!CK160</f>
        <v/>
      </c>
      <c r="I153" s="179" t="str">
        <f aca="false">Scoring!CJ160</f>
        <v/>
      </c>
    </row>
    <row r="154" customFormat="false" ht="15.75" hidden="false" customHeight="false" outlineLevel="0" collapsed="false">
      <c r="A154" s="6" t="str">
        <f aca="false">Scoring!CM161</f>
        <v/>
      </c>
      <c r="B154" s="6" t="str">
        <f aca="false">Scoring!CL161</f>
        <v/>
      </c>
      <c r="C154" s="6" t="n">
        <f aca="false">Scoring!C161</f>
        <v>0</v>
      </c>
      <c r="D154" s="178" t="str">
        <f aca="false">Scoring!CI161</f>
        <v/>
      </c>
      <c r="E154" s="6" t="str">
        <f aca="false">Scoring!BL161</f>
        <v/>
      </c>
      <c r="F154" s="6" t="n">
        <f aca="false">Scoring!B161</f>
        <v>0</v>
      </c>
      <c r="G154" s="6" t="n">
        <f aca="false">Scoring!D161</f>
        <v>0</v>
      </c>
      <c r="H154" s="6" t="str">
        <f aca="false">Scoring!CK161</f>
        <v/>
      </c>
      <c r="I154" s="179" t="str">
        <f aca="false">Scoring!CJ161</f>
        <v/>
      </c>
    </row>
    <row r="155" customFormat="false" ht="15.75" hidden="false" customHeight="false" outlineLevel="0" collapsed="false">
      <c r="A155" s="6" t="str">
        <f aca="false">Scoring!CM162</f>
        <v/>
      </c>
      <c r="B155" s="6" t="str">
        <f aca="false">Scoring!CL162</f>
        <v/>
      </c>
      <c r="C155" s="6" t="n">
        <f aca="false">Scoring!C162</f>
        <v>0</v>
      </c>
      <c r="D155" s="178" t="str">
        <f aca="false">Scoring!CI162</f>
        <v/>
      </c>
      <c r="E155" s="6" t="str">
        <f aca="false">Scoring!BL162</f>
        <v/>
      </c>
      <c r="F155" s="6" t="n">
        <f aca="false">Scoring!B162</f>
        <v>0</v>
      </c>
      <c r="G155" s="6" t="n">
        <f aca="false">Scoring!D162</f>
        <v>0</v>
      </c>
      <c r="H155" s="6" t="str">
        <f aca="false">Scoring!CK162</f>
        <v/>
      </c>
      <c r="I155" s="179" t="str">
        <f aca="false">Scoring!CJ162</f>
        <v/>
      </c>
    </row>
    <row r="156" customFormat="false" ht="15.75" hidden="false" customHeight="false" outlineLevel="0" collapsed="false">
      <c r="A156" s="6" t="str">
        <f aca="false">Scoring!CM163</f>
        <v/>
      </c>
      <c r="B156" s="6" t="str">
        <f aca="false">Scoring!CL163</f>
        <v/>
      </c>
      <c r="C156" s="6" t="n">
        <f aca="false">Scoring!C163</f>
        <v>0</v>
      </c>
      <c r="D156" s="178" t="str">
        <f aca="false">Scoring!CI163</f>
        <v/>
      </c>
      <c r="E156" s="6" t="str">
        <f aca="false">Scoring!BL163</f>
        <v/>
      </c>
      <c r="F156" s="6" t="n">
        <f aca="false">Scoring!B163</f>
        <v>0</v>
      </c>
      <c r="G156" s="6" t="n">
        <f aca="false">Scoring!D163</f>
        <v>0</v>
      </c>
      <c r="H156" s="6" t="str">
        <f aca="false">Scoring!CK163</f>
        <v/>
      </c>
      <c r="I156" s="179" t="str">
        <f aca="false">Scoring!CJ163</f>
        <v/>
      </c>
    </row>
    <row r="157" customFormat="false" ht="15.75" hidden="false" customHeight="false" outlineLevel="0" collapsed="false">
      <c r="A157" s="6" t="str">
        <f aca="false">Scoring!CM164</f>
        <v/>
      </c>
      <c r="B157" s="6" t="str">
        <f aca="false">Scoring!CL164</f>
        <v/>
      </c>
      <c r="C157" s="6" t="n">
        <f aca="false">Scoring!C164</f>
        <v>0</v>
      </c>
      <c r="D157" s="178" t="str">
        <f aca="false">Scoring!CI164</f>
        <v/>
      </c>
      <c r="E157" s="6" t="str">
        <f aca="false">Scoring!BL164</f>
        <v/>
      </c>
      <c r="F157" s="6" t="n">
        <f aca="false">Scoring!B164</f>
        <v>0</v>
      </c>
      <c r="G157" s="6" t="n">
        <f aca="false">Scoring!D164</f>
        <v>0</v>
      </c>
      <c r="H157" s="6" t="str">
        <f aca="false">Scoring!CK164</f>
        <v/>
      </c>
      <c r="I157" s="179" t="str">
        <f aca="false">Scoring!CJ164</f>
        <v/>
      </c>
    </row>
    <row r="158" customFormat="false" ht="15.75" hidden="false" customHeight="false" outlineLevel="0" collapsed="false">
      <c r="A158" s="6" t="str">
        <f aca="false">Scoring!CM165</f>
        <v/>
      </c>
      <c r="B158" s="6" t="str">
        <f aca="false">Scoring!CL165</f>
        <v/>
      </c>
      <c r="C158" s="6" t="n">
        <f aca="false">Scoring!C165</f>
        <v>0</v>
      </c>
      <c r="D158" s="178" t="str">
        <f aca="false">Scoring!CI165</f>
        <v/>
      </c>
      <c r="E158" s="6" t="str">
        <f aca="false">Scoring!BL165</f>
        <v/>
      </c>
      <c r="F158" s="6" t="n">
        <f aca="false">Scoring!B165</f>
        <v>0</v>
      </c>
      <c r="G158" s="6" t="n">
        <f aca="false">Scoring!D165</f>
        <v>0</v>
      </c>
      <c r="H158" s="6" t="str">
        <f aca="false">Scoring!CK165</f>
        <v/>
      </c>
      <c r="I158" s="179" t="str">
        <f aca="false">Scoring!CJ165</f>
        <v/>
      </c>
    </row>
    <row r="159" customFormat="false" ht="15.75" hidden="false" customHeight="false" outlineLevel="0" collapsed="false">
      <c r="A159" s="6" t="str">
        <f aca="false">Scoring!CM166</f>
        <v/>
      </c>
      <c r="B159" s="6" t="str">
        <f aca="false">Scoring!CL166</f>
        <v/>
      </c>
      <c r="C159" s="6" t="n">
        <f aca="false">Scoring!C166</f>
        <v>0</v>
      </c>
      <c r="D159" s="178" t="str">
        <f aca="false">Scoring!CI166</f>
        <v/>
      </c>
      <c r="E159" s="6" t="str">
        <f aca="false">Scoring!BL166</f>
        <v/>
      </c>
      <c r="F159" s="6" t="n">
        <f aca="false">Scoring!B166</f>
        <v>0</v>
      </c>
      <c r="G159" s="6" t="n">
        <f aca="false">Scoring!D166</f>
        <v>0</v>
      </c>
      <c r="H159" s="6" t="str">
        <f aca="false">Scoring!CK166</f>
        <v/>
      </c>
      <c r="I159" s="179" t="str">
        <f aca="false">Scoring!CJ166</f>
        <v/>
      </c>
    </row>
    <row r="160" customFormat="false" ht="15.75" hidden="false" customHeight="false" outlineLevel="0" collapsed="false">
      <c r="A160" s="6" t="str">
        <f aca="false">Scoring!CM167</f>
        <v/>
      </c>
      <c r="B160" s="6" t="str">
        <f aca="false">Scoring!CL167</f>
        <v/>
      </c>
      <c r="C160" s="6" t="n">
        <f aca="false">Scoring!C167</f>
        <v>0</v>
      </c>
      <c r="D160" s="178" t="str">
        <f aca="false">Scoring!CI167</f>
        <v/>
      </c>
      <c r="E160" s="6" t="str">
        <f aca="false">Scoring!BL167</f>
        <v/>
      </c>
      <c r="F160" s="6" t="n">
        <f aca="false">Scoring!B167</f>
        <v>0</v>
      </c>
      <c r="G160" s="6" t="n">
        <f aca="false">Scoring!D167</f>
        <v>0</v>
      </c>
      <c r="H160" s="6" t="str">
        <f aca="false">Scoring!CK167</f>
        <v/>
      </c>
      <c r="I160" s="179" t="str">
        <f aca="false">Scoring!CJ167</f>
        <v/>
      </c>
    </row>
    <row r="161" customFormat="false" ht="15.75" hidden="false" customHeight="false" outlineLevel="0" collapsed="false">
      <c r="A161" s="6" t="str">
        <f aca="false">Scoring!CM168</f>
        <v/>
      </c>
      <c r="B161" s="6" t="str">
        <f aca="false">Scoring!CL168</f>
        <v/>
      </c>
      <c r="C161" s="6" t="n">
        <f aca="false">Scoring!C168</f>
        <v>0</v>
      </c>
      <c r="D161" s="178" t="str">
        <f aca="false">Scoring!CI168</f>
        <v/>
      </c>
      <c r="E161" s="6" t="str">
        <f aca="false">Scoring!BL168</f>
        <v/>
      </c>
      <c r="F161" s="6" t="n">
        <f aca="false">Scoring!B168</f>
        <v>0</v>
      </c>
      <c r="G161" s="6" t="n">
        <f aca="false">Scoring!D168</f>
        <v>0</v>
      </c>
      <c r="H161" s="6" t="str">
        <f aca="false">Scoring!CK168</f>
        <v/>
      </c>
      <c r="I161" s="179" t="str">
        <f aca="false">Scoring!CJ168</f>
        <v/>
      </c>
    </row>
    <row r="162" customFormat="false" ht="15.75" hidden="false" customHeight="false" outlineLevel="0" collapsed="false">
      <c r="A162" s="6" t="str">
        <f aca="false">Scoring!CM169</f>
        <v/>
      </c>
      <c r="B162" s="6" t="str">
        <f aca="false">Scoring!CL169</f>
        <v/>
      </c>
      <c r="C162" s="6" t="n">
        <f aca="false">Scoring!C169</f>
        <v>0</v>
      </c>
      <c r="D162" s="178" t="str">
        <f aca="false">Scoring!CI169</f>
        <v/>
      </c>
      <c r="E162" s="6" t="str">
        <f aca="false">Scoring!BL169</f>
        <v/>
      </c>
      <c r="F162" s="6" t="n">
        <f aca="false">Scoring!B169</f>
        <v>0</v>
      </c>
      <c r="G162" s="6" t="n">
        <f aca="false">Scoring!D169</f>
        <v>0</v>
      </c>
      <c r="H162" s="6" t="str">
        <f aca="false">Scoring!CK169</f>
        <v/>
      </c>
      <c r="I162" s="179" t="str">
        <f aca="false">Scoring!CJ169</f>
        <v/>
      </c>
    </row>
    <row r="163" customFormat="false" ht="15.75" hidden="false" customHeight="false" outlineLevel="0" collapsed="false">
      <c r="A163" s="6" t="str">
        <f aca="false">Scoring!CM170</f>
        <v/>
      </c>
      <c r="B163" s="6" t="str">
        <f aca="false">Scoring!CL170</f>
        <v/>
      </c>
      <c r="C163" s="6" t="n">
        <f aca="false">Scoring!C170</f>
        <v>0</v>
      </c>
      <c r="D163" s="178" t="str">
        <f aca="false">Scoring!CI170</f>
        <v/>
      </c>
      <c r="E163" s="6" t="str">
        <f aca="false">Scoring!BL170</f>
        <v/>
      </c>
      <c r="F163" s="6" t="n">
        <f aca="false">Scoring!B170</f>
        <v>0</v>
      </c>
      <c r="G163" s="6" t="n">
        <f aca="false">Scoring!D170</f>
        <v>0</v>
      </c>
      <c r="H163" s="6" t="str">
        <f aca="false">Scoring!CK170</f>
        <v/>
      </c>
      <c r="I163" s="179" t="str">
        <f aca="false">Scoring!CJ170</f>
        <v/>
      </c>
    </row>
    <row r="164" customFormat="false" ht="15.75" hidden="false" customHeight="false" outlineLevel="0" collapsed="false">
      <c r="A164" s="6" t="str">
        <f aca="false">Scoring!CM171</f>
        <v/>
      </c>
      <c r="B164" s="6" t="str">
        <f aca="false">Scoring!CL171</f>
        <v/>
      </c>
      <c r="C164" s="6" t="n">
        <f aca="false">Scoring!C171</f>
        <v>0</v>
      </c>
      <c r="D164" s="178" t="str">
        <f aca="false">Scoring!CI171</f>
        <v/>
      </c>
      <c r="E164" s="6" t="str">
        <f aca="false">Scoring!BL171</f>
        <v/>
      </c>
      <c r="F164" s="6" t="n">
        <f aca="false">Scoring!B171</f>
        <v>0</v>
      </c>
      <c r="G164" s="6" t="n">
        <f aca="false">Scoring!D171</f>
        <v>0</v>
      </c>
      <c r="H164" s="6" t="str">
        <f aca="false">Scoring!CK171</f>
        <v/>
      </c>
      <c r="I164" s="179" t="str">
        <f aca="false">Scoring!CJ171</f>
        <v/>
      </c>
    </row>
    <row r="165" customFormat="false" ht="15.75" hidden="false" customHeight="false" outlineLevel="0" collapsed="false">
      <c r="A165" s="6" t="str">
        <f aca="false">Scoring!CM172</f>
        <v/>
      </c>
      <c r="B165" s="6" t="str">
        <f aca="false">Scoring!CL172</f>
        <v/>
      </c>
      <c r="C165" s="6" t="n">
        <f aca="false">Scoring!C172</f>
        <v>0</v>
      </c>
      <c r="D165" s="178" t="str">
        <f aca="false">Scoring!CI172</f>
        <v/>
      </c>
      <c r="E165" s="6" t="str">
        <f aca="false">Scoring!BL172</f>
        <v/>
      </c>
      <c r="F165" s="6" t="n">
        <f aca="false">Scoring!B172</f>
        <v>0</v>
      </c>
      <c r="G165" s="6" t="n">
        <f aca="false">Scoring!D172</f>
        <v>0</v>
      </c>
      <c r="H165" s="6" t="str">
        <f aca="false">Scoring!CK172</f>
        <v/>
      </c>
      <c r="I165" s="179" t="str">
        <f aca="false">Scoring!CJ172</f>
        <v/>
      </c>
    </row>
    <row r="166" customFormat="false" ht="15.75" hidden="false" customHeight="false" outlineLevel="0" collapsed="false">
      <c r="A166" s="6" t="str">
        <f aca="false">Scoring!CM173</f>
        <v/>
      </c>
      <c r="B166" s="6" t="str">
        <f aca="false">Scoring!CL173</f>
        <v/>
      </c>
      <c r="C166" s="6" t="n">
        <f aca="false">Scoring!C173</f>
        <v>0</v>
      </c>
      <c r="D166" s="178" t="str">
        <f aca="false">Scoring!CI173</f>
        <v/>
      </c>
      <c r="E166" s="6" t="str">
        <f aca="false">Scoring!BL173</f>
        <v/>
      </c>
      <c r="F166" s="6" t="n">
        <f aca="false">Scoring!B173</f>
        <v>0</v>
      </c>
      <c r="G166" s="6" t="n">
        <f aca="false">Scoring!D173</f>
        <v>0</v>
      </c>
      <c r="H166" s="6" t="str">
        <f aca="false">Scoring!CK173</f>
        <v/>
      </c>
      <c r="I166" s="179" t="str">
        <f aca="false">Scoring!CJ173</f>
        <v/>
      </c>
    </row>
    <row r="167" customFormat="false" ht="15.75" hidden="false" customHeight="false" outlineLevel="0" collapsed="false">
      <c r="A167" s="6" t="str">
        <f aca="false">Scoring!CM174</f>
        <v/>
      </c>
      <c r="B167" s="6" t="str">
        <f aca="false">Scoring!CL174</f>
        <v/>
      </c>
      <c r="C167" s="6" t="n">
        <f aca="false">Scoring!C174</f>
        <v>0</v>
      </c>
      <c r="D167" s="178" t="str">
        <f aca="false">Scoring!CI174</f>
        <v/>
      </c>
      <c r="E167" s="6" t="str">
        <f aca="false">Scoring!BL174</f>
        <v/>
      </c>
      <c r="F167" s="6" t="n">
        <f aca="false">Scoring!B174</f>
        <v>0</v>
      </c>
      <c r="G167" s="6" t="n">
        <f aca="false">Scoring!D174</f>
        <v>0</v>
      </c>
      <c r="H167" s="6" t="str">
        <f aca="false">Scoring!CK174</f>
        <v/>
      </c>
      <c r="I167" s="179" t="str">
        <f aca="false">Scoring!CJ174</f>
        <v/>
      </c>
    </row>
    <row r="168" customFormat="false" ht="15.75" hidden="false" customHeight="false" outlineLevel="0" collapsed="false">
      <c r="A168" s="6" t="str">
        <f aca="false">Scoring!CM175</f>
        <v/>
      </c>
      <c r="B168" s="6" t="str">
        <f aca="false">Scoring!CL175</f>
        <v/>
      </c>
      <c r="C168" s="6" t="n">
        <f aca="false">Scoring!C175</f>
        <v>0</v>
      </c>
      <c r="D168" s="178" t="str">
        <f aca="false">Scoring!CI175</f>
        <v/>
      </c>
      <c r="E168" s="6" t="str">
        <f aca="false">Scoring!BL175</f>
        <v/>
      </c>
      <c r="F168" s="6" t="n">
        <f aca="false">Scoring!B175</f>
        <v>0</v>
      </c>
      <c r="G168" s="6" t="n">
        <f aca="false">Scoring!D175</f>
        <v>0</v>
      </c>
      <c r="H168" s="6" t="str">
        <f aca="false">Scoring!CK175</f>
        <v/>
      </c>
      <c r="I168" s="179" t="str">
        <f aca="false">Scoring!CJ175</f>
        <v/>
      </c>
    </row>
    <row r="169" customFormat="false" ht="15.75" hidden="false" customHeight="false" outlineLevel="0" collapsed="false">
      <c r="A169" s="6" t="str">
        <f aca="false">Scoring!CM176</f>
        <v/>
      </c>
      <c r="B169" s="6" t="str">
        <f aca="false">Scoring!CL176</f>
        <v/>
      </c>
      <c r="C169" s="6" t="n">
        <f aca="false">Scoring!C176</f>
        <v>0</v>
      </c>
      <c r="D169" s="178" t="str">
        <f aca="false">Scoring!CI176</f>
        <v/>
      </c>
      <c r="E169" s="6" t="str">
        <f aca="false">Scoring!BL176</f>
        <v/>
      </c>
      <c r="F169" s="6" t="n">
        <f aca="false">Scoring!B176</f>
        <v>0</v>
      </c>
      <c r="G169" s="6" t="n">
        <f aca="false">Scoring!D176</f>
        <v>0</v>
      </c>
      <c r="H169" s="6" t="str">
        <f aca="false">Scoring!CK176</f>
        <v/>
      </c>
      <c r="I169" s="179" t="str">
        <f aca="false">Scoring!CJ176</f>
        <v/>
      </c>
    </row>
    <row r="170" customFormat="false" ht="15.75" hidden="false" customHeight="false" outlineLevel="0" collapsed="false">
      <c r="A170" s="6" t="str">
        <f aca="false">Scoring!CM177</f>
        <v/>
      </c>
      <c r="B170" s="6" t="str">
        <f aca="false">Scoring!CL177</f>
        <v/>
      </c>
      <c r="C170" s="6" t="n">
        <f aca="false">Scoring!C177</f>
        <v>0</v>
      </c>
      <c r="D170" s="178" t="str">
        <f aca="false">Scoring!CI177</f>
        <v/>
      </c>
      <c r="E170" s="6" t="str">
        <f aca="false">Scoring!BL177</f>
        <v/>
      </c>
      <c r="F170" s="6" t="n">
        <f aca="false">Scoring!B177</f>
        <v>0</v>
      </c>
      <c r="G170" s="6" t="n">
        <f aca="false">Scoring!D177</f>
        <v>0</v>
      </c>
      <c r="H170" s="6" t="str">
        <f aca="false">Scoring!CK177</f>
        <v/>
      </c>
      <c r="I170" s="179" t="str">
        <f aca="false">Scoring!CJ177</f>
        <v/>
      </c>
    </row>
    <row r="171" customFormat="false" ht="15.75" hidden="false" customHeight="false" outlineLevel="0" collapsed="false">
      <c r="A171" s="6" t="str">
        <f aca="false">Scoring!CM178</f>
        <v/>
      </c>
      <c r="B171" s="6" t="str">
        <f aca="false">Scoring!CL178</f>
        <v/>
      </c>
      <c r="C171" s="6" t="n">
        <f aca="false">Scoring!C178</f>
        <v>0</v>
      </c>
      <c r="D171" s="178" t="str">
        <f aca="false">Scoring!CI178</f>
        <v/>
      </c>
      <c r="E171" s="6" t="str">
        <f aca="false">Scoring!BL178</f>
        <v/>
      </c>
      <c r="F171" s="6" t="n">
        <f aca="false">Scoring!B178</f>
        <v>0</v>
      </c>
      <c r="G171" s="6" t="n">
        <f aca="false">Scoring!D178</f>
        <v>0</v>
      </c>
      <c r="H171" s="6" t="str">
        <f aca="false">Scoring!CK178</f>
        <v/>
      </c>
      <c r="I171" s="179" t="str">
        <f aca="false">Scoring!CJ178</f>
        <v/>
      </c>
    </row>
    <row r="172" customFormat="false" ht="15.75" hidden="false" customHeight="false" outlineLevel="0" collapsed="false">
      <c r="A172" s="6" t="str">
        <f aca="false">Scoring!CM179</f>
        <v/>
      </c>
      <c r="B172" s="6" t="str">
        <f aca="false">Scoring!CL179</f>
        <v/>
      </c>
      <c r="C172" s="6" t="n">
        <f aca="false">Scoring!C179</f>
        <v>0</v>
      </c>
      <c r="D172" s="178" t="str">
        <f aca="false">Scoring!CI179</f>
        <v/>
      </c>
      <c r="E172" s="6" t="str">
        <f aca="false">Scoring!BL179</f>
        <v/>
      </c>
      <c r="F172" s="6" t="n">
        <f aca="false">Scoring!B179</f>
        <v>0</v>
      </c>
      <c r="G172" s="6" t="n">
        <f aca="false">Scoring!D179</f>
        <v>0</v>
      </c>
      <c r="H172" s="6" t="str">
        <f aca="false">Scoring!CK179</f>
        <v/>
      </c>
      <c r="I172" s="179" t="str">
        <f aca="false">Scoring!CJ179</f>
        <v/>
      </c>
    </row>
    <row r="173" customFormat="false" ht="15.75" hidden="false" customHeight="false" outlineLevel="0" collapsed="false">
      <c r="A173" s="6" t="str">
        <f aca="false">Scoring!CM180</f>
        <v/>
      </c>
      <c r="B173" s="6" t="str">
        <f aca="false">Scoring!CL180</f>
        <v/>
      </c>
      <c r="C173" s="6" t="n">
        <f aca="false">Scoring!C180</f>
        <v>0</v>
      </c>
      <c r="D173" s="178" t="str">
        <f aca="false">Scoring!CI180</f>
        <v/>
      </c>
      <c r="E173" s="6" t="str">
        <f aca="false">Scoring!BL180</f>
        <v/>
      </c>
      <c r="F173" s="6" t="n">
        <f aca="false">Scoring!B180</f>
        <v>0</v>
      </c>
      <c r="G173" s="6" t="n">
        <f aca="false">Scoring!D180</f>
        <v>0</v>
      </c>
      <c r="H173" s="6" t="str">
        <f aca="false">Scoring!CK180</f>
        <v/>
      </c>
      <c r="I173" s="179" t="str">
        <f aca="false">Scoring!CJ180</f>
        <v/>
      </c>
    </row>
    <row r="174" customFormat="false" ht="15.75" hidden="false" customHeight="false" outlineLevel="0" collapsed="false">
      <c r="A174" s="6" t="str">
        <f aca="false">Scoring!CM181</f>
        <v/>
      </c>
      <c r="B174" s="6" t="str">
        <f aca="false">Scoring!CL181</f>
        <v/>
      </c>
      <c r="C174" s="6" t="n">
        <f aca="false">Scoring!C181</f>
        <v>0</v>
      </c>
      <c r="D174" s="178" t="str">
        <f aca="false">Scoring!CI181</f>
        <v/>
      </c>
      <c r="E174" s="6" t="str">
        <f aca="false">Scoring!BL181</f>
        <v/>
      </c>
      <c r="F174" s="6" t="n">
        <f aca="false">Scoring!B181</f>
        <v>0</v>
      </c>
      <c r="G174" s="6" t="n">
        <f aca="false">Scoring!D181</f>
        <v>0</v>
      </c>
      <c r="H174" s="6" t="str">
        <f aca="false">Scoring!CK181</f>
        <v/>
      </c>
      <c r="I174" s="179" t="str">
        <f aca="false">Scoring!CJ181</f>
        <v/>
      </c>
    </row>
    <row r="175" customFormat="false" ht="15.75" hidden="false" customHeight="false" outlineLevel="0" collapsed="false">
      <c r="A175" s="6" t="str">
        <f aca="false">Scoring!CM182</f>
        <v/>
      </c>
      <c r="B175" s="6" t="str">
        <f aca="false">Scoring!CL182</f>
        <v/>
      </c>
      <c r="C175" s="6" t="n">
        <f aca="false">Scoring!C182</f>
        <v>0</v>
      </c>
      <c r="D175" s="178" t="str">
        <f aca="false">Scoring!CI182</f>
        <v/>
      </c>
      <c r="E175" s="6" t="str">
        <f aca="false">Scoring!BL182</f>
        <v/>
      </c>
      <c r="F175" s="6" t="n">
        <f aca="false">Scoring!B182</f>
        <v>0</v>
      </c>
      <c r="G175" s="6" t="n">
        <f aca="false">Scoring!D182</f>
        <v>0</v>
      </c>
      <c r="H175" s="6" t="str">
        <f aca="false">Scoring!CK182</f>
        <v/>
      </c>
      <c r="I175" s="179" t="str">
        <f aca="false">Scoring!CJ182</f>
        <v/>
      </c>
    </row>
    <row r="176" customFormat="false" ht="15.75" hidden="false" customHeight="false" outlineLevel="0" collapsed="false">
      <c r="A176" s="6" t="str">
        <f aca="false">Scoring!CM183</f>
        <v/>
      </c>
      <c r="B176" s="6" t="str">
        <f aca="false">Scoring!CL183</f>
        <v/>
      </c>
      <c r="C176" s="6" t="n">
        <f aca="false">Scoring!C183</f>
        <v>0</v>
      </c>
      <c r="D176" s="178" t="str">
        <f aca="false">Scoring!CI183</f>
        <v/>
      </c>
      <c r="E176" s="6" t="str">
        <f aca="false">Scoring!BL183</f>
        <v/>
      </c>
      <c r="F176" s="6" t="n">
        <f aca="false">Scoring!B183</f>
        <v>0</v>
      </c>
      <c r="G176" s="6" t="n">
        <f aca="false">Scoring!D183</f>
        <v>0</v>
      </c>
      <c r="H176" s="6" t="str">
        <f aca="false">Scoring!CK183</f>
        <v/>
      </c>
      <c r="I176" s="179" t="str">
        <f aca="false">Scoring!CJ183</f>
        <v/>
      </c>
    </row>
    <row r="177" customFormat="false" ht="15.75" hidden="false" customHeight="false" outlineLevel="0" collapsed="false">
      <c r="A177" s="6" t="str">
        <f aca="false">Scoring!CM184</f>
        <v/>
      </c>
      <c r="B177" s="6" t="str">
        <f aca="false">Scoring!CL184</f>
        <v/>
      </c>
      <c r="C177" s="6" t="n">
        <f aca="false">Scoring!C184</f>
        <v>0</v>
      </c>
      <c r="D177" s="178" t="str">
        <f aca="false">Scoring!CI184</f>
        <v/>
      </c>
      <c r="E177" s="6" t="str">
        <f aca="false">Scoring!BL184</f>
        <v/>
      </c>
      <c r="F177" s="6" t="n">
        <f aca="false">Scoring!B184</f>
        <v>0</v>
      </c>
      <c r="G177" s="6" t="n">
        <f aca="false">Scoring!D184</f>
        <v>0</v>
      </c>
      <c r="H177" s="6" t="str">
        <f aca="false">Scoring!CK184</f>
        <v/>
      </c>
      <c r="I177" s="179" t="str">
        <f aca="false">Scoring!CJ184</f>
        <v/>
      </c>
    </row>
    <row r="178" customFormat="false" ht="15.75" hidden="false" customHeight="false" outlineLevel="0" collapsed="false">
      <c r="A178" s="6" t="str">
        <f aca="false">Scoring!CM185</f>
        <v/>
      </c>
      <c r="B178" s="6" t="str">
        <f aca="false">Scoring!CL185</f>
        <v/>
      </c>
      <c r="C178" s="6" t="n">
        <f aca="false">Scoring!C185</f>
        <v>0</v>
      </c>
      <c r="D178" s="178" t="str">
        <f aca="false">Scoring!CI185</f>
        <v/>
      </c>
      <c r="E178" s="6" t="str">
        <f aca="false">Scoring!BL185</f>
        <v/>
      </c>
      <c r="F178" s="6" t="n">
        <f aca="false">Scoring!B185</f>
        <v>0</v>
      </c>
      <c r="G178" s="6" t="n">
        <f aca="false">Scoring!D185</f>
        <v>0</v>
      </c>
      <c r="H178" s="6" t="str">
        <f aca="false">Scoring!CK185</f>
        <v/>
      </c>
      <c r="I178" s="179" t="str">
        <f aca="false">Scoring!CJ185</f>
        <v/>
      </c>
    </row>
    <row r="179" customFormat="false" ht="15.75" hidden="false" customHeight="false" outlineLevel="0" collapsed="false">
      <c r="A179" s="6" t="str">
        <f aca="false">Scoring!CM186</f>
        <v/>
      </c>
      <c r="B179" s="6" t="str">
        <f aca="false">Scoring!CL186</f>
        <v/>
      </c>
      <c r="C179" s="6" t="n">
        <f aca="false">Scoring!C186</f>
        <v>0</v>
      </c>
      <c r="D179" s="178" t="str">
        <f aca="false">Scoring!CI186</f>
        <v/>
      </c>
      <c r="E179" s="6" t="str">
        <f aca="false">Scoring!BL186</f>
        <v/>
      </c>
      <c r="F179" s="6" t="n">
        <f aca="false">Scoring!B186</f>
        <v>0</v>
      </c>
      <c r="G179" s="6" t="n">
        <f aca="false">Scoring!D186</f>
        <v>0</v>
      </c>
      <c r="H179" s="6" t="str">
        <f aca="false">Scoring!CK186</f>
        <v/>
      </c>
      <c r="I179" s="179" t="str">
        <f aca="false">Scoring!CJ186</f>
        <v/>
      </c>
    </row>
    <row r="180" customFormat="false" ht="15.75" hidden="false" customHeight="false" outlineLevel="0" collapsed="false">
      <c r="A180" s="6" t="str">
        <f aca="false">Scoring!CM187</f>
        <v/>
      </c>
      <c r="B180" s="6" t="str">
        <f aca="false">Scoring!CL187</f>
        <v/>
      </c>
      <c r="C180" s="6" t="n">
        <f aca="false">Scoring!C187</f>
        <v>0</v>
      </c>
      <c r="D180" s="178" t="str">
        <f aca="false">Scoring!CI187</f>
        <v/>
      </c>
      <c r="E180" s="6" t="str">
        <f aca="false">Scoring!BL187</f>
        <v/>
      </c>
      <c r="F180" s="6" t="n">
        <f aca="false">Scoring!B187</f>
        <v>0</v>
      </c>
      <c r="G180" s="6" t="n">
        <f aca="false">Scoring!D187</f>
        <v>0</v>
      </c>
      <c r="H180" s="6" t="str">
        <f aca="false">Scoring!CK187</f>
        <v/>
      </c>
      <c r="I180" s="179" t="str">
        <f aca="false">Scoring!CJ187</f>
        <v/>
      </c>
    </row>
    <row r="181" customFormat="false" ht="15.75" hidden="false" customHeight="false" outlineLevel="0" collapsed="false">
      <c r="A181" s="6" t="str">
        <f aca="false">Scoring!CM188</f>
        <v/>
      </c>
      <c r="B181" s="6" t="str">
        <f aca="false">Scoring!CL188</f>
        <v/>
      </c>
      <c r="C181" s="6" t="n">
        <f aca="false">Scoring!C188</f>
        <v>0</v>
      </c>
      <c r="D181" s="178" t="str">
        <f aca="false">Scoring!CI188</f>
        <v/>
      </c>
      <c r="E181" s="6" t="str">
        <f aca="false">Scoring!BL188</f>
        <v/>
      </c>
      <c r="F181" s="6" t="n">
        <f aca="false">Scoring!B188</f>
        <v>0</v>
      </c>
      <c r="G181" s="6" t="n">
        <f aca="false">Scoring!D188</f>
        <v>0</v>
      </c>
      <c r="H181" s="6" t="str">
        <f aca="false">Scoring!CK188</f>
        <v/>
      </c>
      <c r="I181" s="179" t="str">
        <f aca="false">Scoring!CJ188</f>
        <v/>
      </c>
    </row>
    <row r="182" customFormat="false" ht="15.75" hidden="false" customHeight="false" outlineLevel="0" collapsed="false">
      <c r="A182" s="6" t="str">
        <f aca="false">Scoring!CM189</f>
        <v/>
      </c>
      <c r="B182" s="6" t="str">
        <f aca="false">Scoring!CL189</f>
        <v/>
      </c>
      <c r="C182" s="6" t="n">
        <f aca="false">Scoring!C189</f>
        <v>0</v>
      </c>
      <c r="D182" s="178" t="str">
        <f aca="false">Scoring!CI189</f>
        <v/>
      </c>
      <c r="E182" s="6" t="str">
        <f aca="false">Scoring!BL189</f>
        <v/>
      </c>
      <c r="F182" s="6" t="n">
        <f aca="false">Scoring!B189</f>
        <v>0</v>
      </c>
      <c r="G182" s="6" t="n">
        <f aca="false">Scoring!D189</f>
        <v>0</v>
      </c>
      <c r="H182" s="6" t="str">
        <f aca="false">Scoring!CK189</f>
        <v/>
      </c>
      <c r="I182" s="179" t="str">
        <f aca="false">Scoring!CJ189</f>
        <v/>
      </c>
    </row>
    <row r="183" customFormat="false" ht="15.75" hidden="false" customHeight="false" outlineLevel="0" collapsed="false">
      <c r="A183" s="6" t="str">
        <f aca="false">Scoring!CM190</f>
        <v/>
      </c>
      <c r="B183" s="6" t="str">
        <f aca="false">Scoring!CL190</f>
        <v/>
      </c>
      <c r="C183" s="6" t="n">
        <f aca="false">Scoring!C190</f>
        <v>0</v>
      </c>
      <c r="D183" s="178" t="str">
        <f aca="false">Scoring!CI190</f>
        <v/>
      </c>
      <c r="E183" s="6" t="str">
        <f aca="false">Scoring!BL190</f>
        <v/>
      </c>
      <c r="F183" s="6" t="n">
        <f aca="false">Scoring!B190</f>
        <v>0</v>
      </c>
      <c r="G183" s="6" t="n">
        <f aca="false">Scoring!D190</f>
        <v>0</v>
      </c>
      <c r="H183" s="6" t="str">
        <f aca="false">Scoring!CK190</f>
        <v/>
      </c>
      <c r="I183" s="179" t="str">
        <f aca="false">Scoring!CJ190</f>
        <v/>
      </c>
    </row>
    <row r="184" customFormat="false" ht="15.75" hidden="false" customHeight="false" outlineLevel="0" collapsed="false">
      <c r="A184" s="6" t="str">
        <f aca="false">Scoring!CM191</f>
        <v/>
      </c>
      <c r="B184" s="6" t="str">
        <f aca="false">Scoring!CL191</f>
        <v/>
      </c>
      <c r="C184" s="6" t="n">
        <f aca="false">Scoring!C191</f>
        <v>0</v>
      </c>
      <c r="D184" s="178" t="str">
        <f aca="false">Scoring!CI191</f>
        <v/>
      </c>
      <c r="E184" s="6" t="str">
        <f aca="false">Scoring!BL191</f>
        <v/>
      </c>
      <c r="F184" s="6" t="n">
        <f aca="false">Scoring!B191</f>
        <v>0</v>
      </c>
      <c r="G184" s="6" t="n">
        <f aca="false">Scoring!D191</f>
        <v>0</v>
      </c>
      <c r="H184" s="6" t="str">
        <f aca="false">Scoring!CK191</f>
        <v/>
      </c>
      <c r="I184" s="179" t="str">
        <f aca="false">Scoring!CJ191</f>
        <v/>
      </c>
    </row>
    <row r="185" customFormat="false" ht="15.75" hidden="false" customHeight="false" outlineLevel="0" collapsed="false">
      <c r="A185" s="6" t="str">
        <f aca="false">Scoring!CM192</f>
        <v/>
      </c>
      <c r="B185" s="6" t="str">
        <f aca="false">Scoring!CL192</f>
        <v/>
      </c>
      <c r="C185" s="6" t="n">
        <f aca="false">Scoring!C192</f>
        <v>0</v>
      </c>
      <c r="D185" s="178" t="str">
        <f aca="false">Scoring!CI192</f>
        <v/>
      </c>
      <c r="E185" s="6" t="str">
        <f aca="false">Scoring!BL192</f>
        <v/>
      </c>
      <c r="F185" s="6" t="n">
        <f aca="false">Scoring!B192</f>
        <v>0</v>
      </c>
      <c r="G185" s="6" t="n">
        <f aca="false">Scoring!D192</f>
        <v>0</v>
      </c>
      <c r="H185" s="6" t="str">
        <f aca="false">Scoring!CK192</f>
        <v/>
      </c>
      <c r="I185" s="179" t="str">
        <f aca="false">Scoring!CJ192</f>
        <v/>
      </c>
    </row>
    <row r="186" customFormat="false" ht="15.75" hidden="false" customHeight="false" outlineLevel="0" collapsed="false">
      <c r="A186" s="6" t="str">
        <f aca="false">Scoring!CM193</f>
        <v/>
      </c>
      <c r="B186" s="6" t="str">
        <f aca="false">Scoring!CL193</f>
        <v/>
      </c>
      <c r="C186" s="6" t="n">
        <f aca="false">Scoring!C193</f>
        <v>0</v>
      </c>
      <c r="D186" s="178" t="str">
        <f aca="false">Scoring!CI193</f>
        <v/>
      </c>
      <c r="E186" s="6" t="str">
        <f aca="false">Scoring!BL193</f>
        <v/>
      </c>
      <c r="F186" s="6" t="n">
        <f aca="false">Scoring!B193</f>
        <v>0</v>
      </c>
      <c r="G186" s="6" t="n">
        <f aca="false">Scoring!D193</f>
        <v>0</v>
      </c>
      <c r="H186" s="6" t="str">
        <f aca="false">Scoring!CK193</f>
        <v/>
      </c>
      <c r="I186" s="179" t="str">
        <f aca="false">Scoring!CJ193</f>
        <v/>
      </c>
    </row>
    <row r="187" customFormat="false" ht="15.75" hidden="false" customHeight="false" outlineLevel="0" collapsed="false">
      <c r="A187" s="6" t="str">
        <f aca="false">Scoring!CM194</f>
        <v/>
      </c>
      <c r="B187" s="6" t="str">
        <f aca="false">Scoring!CL194</f>
        <v/>
      </c>
      <c r="C187" s="6" t="n">
        <f aca="false">Scoring!C194</f>
        <v>0</v>
      </c>
      <c r="D187" s="178" t="str">
        <f aca="false">Scoring!CI194</f>
        <v/>
      </c>
      <c r="E187" s="6" t="str">
        <f aca="false">Scoring!BL194</f>
        <v/>
      </c>
      <c r="F187" s="6" t="n">
        <f aca="false">Scoring!B194</f>
        <v>0</v>
      </c>
      <c r="G187" s="6" t="n">
        <f aca="false">Scoring!D194</f>
        <v>0</v>
      </c>
      <c r="H187" s="6" t="str">
        <f aca="false">Scoring!CK194</f>
        <v/>
      </c>
      <c r="I187" s="179" t="str">
        <f aca="false">Scoring!CJ194</f>
        <v/>
      </c>
    </row>
    <row r="188" customFormat="false" ht="15.75" hidden="false" customHeight="false" outlineLevel="0" collapsed="false">
      <c r="A188" s="6" t="str">
        <f aca="false">Scoring!CM195</f>
        <v/>
      </c>
      <c r="B188" s="6" t="str">
        <f aca="false">Scoring!CL195</f>
        <v/>
      </c>
      <c r="C188" s="6" t="n">
        <f aca="false">Scoring!C195</f>
        <v>0</v>
      </c>
      <c r="D188" s="178" t="str">
        <f aca="false">Scoring!CI195</f>
        <v/>
      </c>
      <c r="E188" s="6" t="str">
        <f aca="false">Scoring!BL195</f>
        <v/>
      </c>
      <c r="F188" s="6" t="n">
        <f aca="false">Scoring!B195</f>
        <v>0</v>
      </c>
      <c r="G188" s="6" t="n">
        <f aca="false">Scoring!D195</f>
        <v>0</v>
      </c>
      <c r="H188" s="6" t="str">
        <f aca="false">Scoring!CK195</f>
        <v/>
      </c>
      <c r="I188" s="179" t="str">
        <f aca="false">Scoring!CJ195</f>
        <v/>
      </c>
    </row>
    <row r="189" customFormat="false" ht="15.75" hidden="false" customHeight="false" outlineLevel="0" collapsed="false">
      <c r="A189" s="6" t="str">
        <f aca="false">Scoring!CM196</f>
        <v/>
      </c>
      <c r="B189" s="6" t="str">
        <f aca="false">Scoring!CL196</f>
        <v/>
      </c>
      <c r="C189" s="6" t="n">
        <f aca="false">Scoring!C196</f>
        <v>0</v>
      </c>
      <c r="D189" s="178" t="str">
        <f aca="false">Scoring!CI196</f>
        <v/>
      </c>
      <c r="E189" s="6" t="str">
        <f aca="false">Scoring!BL196</f>
        <v/>
      </c>
      <c r="F189" s="6" t="n">
        <f aca="false">Scoring!B196</f>
        <v>0</v>
      </c>
      <c r="G189" s="6" t="n">
        <f aca="false">Scoring!D196</f>
        <v>0</v>
      </c>
      <c r="H189" s="6" t="str">
        <f aca="false">Scoring!CK196</f>
        <v/>
      </c>
      <c r="I189" s="179" t="str">
        <f aca="false">Scoring!CJ196</f>
        <v/>
      </c>
    </row>
    <row r="190" customFormat="false" ht="15.75" hidden="false" customHeight="false" outlineLevel="0" collapsed="false">
      <c r="A190" s="6" t="str">
        <f aca="false">Scoring!CM197</f>
        <v/>
      </c>
      <c r="B190" s="6" t="str">
        <f aca="false">Scoring!CL197</f>
        <v/>
      </c>
      <c r="C190" s="6" t="n">
        <f aca="false">Scoring!C197</f>
        <v>0</v>
      </c>
      <c r="D190" s="178" t="str">
        <f aca="false">Scoring!CI197</f>
        <v/>
      </c>
      <c r="E190" s="6" t="str">
        <f aca="false">Scoring!BL197</f>
        <v/>
      </c>
      <c r="F190" s="6" t="n">
        <f aca="false">Scoring!B197</f>
        <v>0</v>
      </c>
      <c r="G190" s="6" t="n">
        <f aca="false">Scoring!D197</f>
        <v>0</v>
      </c>
      <c r="H190" s="6" t="str">
        <f aca="false">Scoring!CK197</f>
        <v/>
      </c>
      <c r="I190" s="179" t="str">
        <f aca="false">Scoring!CJ197</f>
        <v/>
      </c>
    </row>
    <row r="191" customFormat="false" ht="15.75" hidden="false" customHeight="false" outlineLevel="0" collapsed="false">
      <c r="A191" s="6" t="str">
        <f aca="false">Scoring!CM198</f>
        <v/>
      </c>
      <c r="B191" s="6" t="str">
        <f aca="false">Scoring!CL198</f>
        <v/>
      </c>
      <c r="C191" s="6" t="n">
        <f aca="false">Scoring!C198</f>
        <v>0</v>
      </c>
      <c r="D191" s="178" t="str">
        <f aca="false">Scoring!CI198</f>
        <v/>
      </c>
      <c r="E191" s="6" t="str">
        <f aca="false">Scoring!BL198</f>
        <v/>
      </c>
      <c r="F191" s="6" t="n">
        <f aca="false">Scoring!B198</f>
        <v>0</v>
      </c>
      <c r="G191" s="6" t="n">
        <f aca="false">Scoring!D198</f>
        <v>0</v>
      </c>
      <c r="H191" s="6" t="str">
        <f aca="false">Scoring!CK198</f>
        <v/>
      </c>
      <c r="I191" s="179" t="str">
        <f aca="false">Scoring!CJ198</f>
        <v/>
      </c>
    </row>
    <row r="192" customFormat="false" ht="15.75" hidden="false" customHeight="false" outlineLevel="0" collapsed="false">
      <c r="A192" s="6" t="str">
        <f aca="false">Scoring!CM199</f>
        <v/>
      </c>
      <c r="B192" s="6" t="str">
        <f aca="false">Scoring!CL199</f>
        <v/>
      </c>
      <c r="C192" s="6" t="n">
        <f aca="false">Scoring!C199</f>
        <v>0</v>
      </c>
      <c r="D192" s="178" t="str">
        <f aca="false">Scoring!CI199</f>
        <v/>
      </c>
      <c r="E192" s="6" t="str">
        <f aca="false">Scoring!BL199</f>
        <v/>
      </c>
      <c r="F192" s="6" t="n">
        <f aca="false">Scoring!B199</f>
        <v>0</v>
      </c>
      <c r="G192" s="6" t="n">
        <f aca="false">Scoring!D199</f>
        <v>0</v>
      </c>
      <c r="H192" s="6" t="str">
        <f aca="false">Scoring!CK199</f>
        <v/>
      </c>
      <c r="I192" s="179" t="str">
        <f aca="false">Scoring!CJ199</f>
        <v/>
      </c>
    </row>
    <row r="193" customFormat="false" ht="15.75" hidden="false" customHeight="false" outlineLevel="0" collapsed="false">
      <c r="A193" s="6" t="str">
        <f aca="false">Scoring!CM200</f>
        <v/>
      </c>
      <c r="B193" s="6" t="str">
        <f aca="false">Scoring!CL200</f>
        <v/>
      </c>
      <c r="C193" s="6" t="n">
        <f aca="false">Scoring!C200</f>
        <v>0</v>
      </c>
      <c r="D193" s="178" t="str">
        <f aca="false">Scoring!CI200</f>
        <v/>
      </c>
      <c r="E193" s="6" t="str">
        <f aca="false">Scoring!BL200</f>
        <v/>
      </c>
      <c r="F193" s="6" t="n">
        <f aca="false">Scoring!B200</f>
        <v>0</v>
      </c>
      <c r="G193" s="6" t="n">
        <f aca="false">Scoring!D200</f>
        <v>0</v>
      </c>
      <c r="H193" s="6" t="str">
        <f aca="false">Scoring!CK200</f>
        <v/>
      </c>
      <c r="I193" s="179" t="str">
        <f aca="false">Scoring!CJ200</f>
        <v/>
      </c>
    </row>
    <row r="194" customFormat="false" ht="15.75" hidden="false" customHeight="false" outlineLevel="0" collapsed="false">
      <c r="A194" s="6" t="str">
        <f aca="false">Scoring!CM201</f>
        <v/>
      </c>
      <c r="B194" s="6" t="str">
        <f aca="false">Scoring!CL201</f>
        <v/>
      </c>
      <c r="C194" s="6" t="n">
        <f aca="false">Scoring!C201</f>
        <v>0</v>
      </c>
      <c r="D194" s="178" t="str">
        <f aca="false">Scoring!CI201</f>
        <v/>
      </c>
      <c r="E194" s="6" t="str">
        <f aca="false">Scoring!BL201</f>
        <v/>
      </c>
      <c r="F194" s="6" t="n">
        <f aca="false">Scoring!B201</f>
        <v>0</v>
      </c>
      <c r="G194" s="6" t="n">
        <f aca="false">Scoring!D201</f>
        <v>0</v>
      </c>
      <c r="H194" s="6" t="str">
        <f aca="false">Scoring!CK201</f>
        <v/>
      </c>
      <c r="I194" s="179" t="str">
        <f aca="false">Scoring!CJ201</f>
        <v/>
      </c>
    </row>
    <row r="195" customFormat="false" ht="15.75" hidden="false" customHeight="false" outlineLevel="0" collapsed="false">
      <c r="A195" s="6" t="str">
        <f aca="false">Scoring!CM202</f>
        <v/>
      </c>
      <c r="B195" s="6" t="str">
        <f aca="false">Scoring!CL202</f>
        <v/>
      </c>
      <c r="C195" s="6" t="n">
        <f aca="false">Scoring!C202</f>
        <v>0</v>
      </c>
      <c r="D195" s="178" t="str">
        <f aca="false">Scoring!CI202</f>
        <v/>
      </c>
      <c r="E195" s="6" t="str">
        <f aca="false">Scoring!BL202</f>
        <v/>
      </c>
      <c r="F195" s="6" t="n">
        <f aca="false">Scoring!B202</f>
        <v>0</v>
      </c>
      <c r="G195" s="6" t="n">
        <f aca="false">Scoring!D202</f>
        <v>0</v>
      </c>
      <c r="H195" s="6" t="str">
        <f aca="false">Scoring!CK202</f>
        <v/>
      </c>
      <c r="I195" s="179" t="str">
        <f aca="false">Scoring!CJ202</f>
        <v/>
      </c>
    </row>
    <row r="196" customFormat="false" ht="15.75" hidden="false" customHeight="false" outlineLevel="0" collapsed="false">
      <c r="A196" s="6" t="str">
        <f aca="false">Scoring!CM203</f>
        <v/>
      </c>
      <c r="B196" s="6" t="str">
        <f aca="false">Scoring!CL203</f>
        <v/>
      </c>
      <c r="C196" s="6" t="n">
        <f aca="false">Scoring!C203</f>
        <v>0</v>
      </c>
      <c r="D196" s="178" t="str">
        <f aca="false">Scoring!CI203</f>
        <v/>
      </c>
      <c r="E196" s="6" t="str">
        <f aca="false">Scoring!BL203</f>
        <v/>
      </c>
      <c r="F196" s="6" t="n">
        <f aca="false">Scoring!B203</f>
        <v>0</v>
      </c>
      <c r="G196" s="6" t="n">
        <f aca="false">Scoring!D203</f>
        <v>0</v>
      </c>
      <c r="H196" s="6" t="str">
        <f aca="false">Scoring!CK203</f>
        <v/>
      </c>
      <c r="I196" s="179" t="str">
        <f aca="false">Scoring!CJ203</f>
        <v/>
      </c>
    </row>
    <row r="197" customFormat="false" ht="15.75" hidden="false" customHeight="false" outlineLevel="0" collapsed="false">
      <c r="A197" s="6" t="str">
        <f aca="false">Scoring!CM204</f>
        <v/>
      </c>
      <c r="B197" s="6" t="str">
        <f aca="false">Scoring!CL204</f>
        <v/>
      </c>
      <c r="C197" s="6" t="n">
        <f aca="false">Scoring!C204</f>
        <v>0</v>
      </c>
      <c r="D197" s="178" t="str">
        <f aca="false">Scoring!CI204</f>
        <v/>
      </c>
      <c r="E197" s="6" t="str">
        <f aca="false">Scoring!BL204</f>
        <v/>
      </c>
      <c r="F197" s="6" t="n">
        <f aca="false">Scoring!B204</f>
        <v>0</v>
      </c>
      <c r="G197" s="6" t="n">
        <f aca="false">Scoring!D204</f>
        <v>0</v>
      </c>
      <c r="H197" s="6" t="str">
        <f aca="false">Scoring!CK204</f>
        <v/>
      </c>
      <c r="I197" s="179" t="str">
        <f aca="false">Scoring!CJ204</f>
        <v/>
      </c>
    </row>
    <row r="198" customFormat="false" ht="15.75" hidden="false" customHeight="false" outlineLevel="0" collapsed="false">
      <c r="A198" s="6" t="str">
        <f aca="false">Scoring!CM205</f>
        <v/>
      </c>
      <c r="B198" s="6" t="str">
        <f aca="false">Scoring!CL205</f>
        <v/>
      </c>
      <c r="C198" s="6" t="n">
        <f aca="false">Scoring!C205</f>
        <v>0</v>
      </c>
      <c r="D198" s="178" t="str">
        <f aca="false">Scoring!CI205</f>
        <v/>
      </c>
      <c r="E198" s="6" t="str">
        <f aca="false">Scoring!BL205</f>
        <v/>
      </c>
      <c r="F198" s="6" t="n">
        <f aca="false">Scoring!B205</f>
        <v>0</v>
      </c>
      <c r="G198" s="6" t="n">
        <f aca="false">Scoring!D205</f>
        <v>0</v>
      </c>
      <c r="H198" s="6" t="str">
        <f aca="false">Scoring!CK205</f>
        <v/>
      </c>
      <c r="I198" s="179" t="str">
        <f aca="false">Scoring!CJ205</f>
        <v/>
      </c>
    </row>
    <row r="199" customFormat="false" ht="15.75" hidden="false" customHeight="false" outlineLevel="0" collapsed="false">
      <c r="A199" s="6" t="str">
        <f aca="false">Scoring!CM206</f>
        <v/>
      </c>
      <c r="B199" s="6" t="str">
        <f aca="false">Scoring!CL206</f>
        <v/>
      </c>
      <c r="C199" s="6" t="n">
        <f aca="false">Scoring!C206</f>
        <v>0</v>
      </c>
      <c r="D199" s="178" t="str">
        <f aca="false">Scoring!CI206</f>
        <v/>
      </c>
      <c r="E199" s="6" t="str">
        <f aca="false">Scoring!BL206</f>
        <v/>
      </c>
      <c r="F199" s="6" t="n">
        <f aca="false">Scoring!B206</f>
        <v>0</v>
      </c>
      <c r="G199" s="6" t="n">
        <f aca="false">Scoring!D206</f>
        <v>0</v>
      </c>
      <c r="H199" s="6" t="str">
        <f aca="false">Scoring!CK206</f>
        <v/>
      </c>
      <c r="I199" s="179" t="str">
        <f aca="false">Scoring!CJ206</f>
        <v/>
      </c>
    </row>
    <row r="200" customFormat="false" ht="15.75" hidden="false" customHeight="false" outlineLevel="0" collapsed="false">
      <c r="A200" s="6" t="str">
        <f aca="false">Scoring!CM207</f>
        <v/>
      </c>
      <c r="B200" s="6" t="str">
        <f aca="false">Scoring!CL207</f>
        <v/>
      </c>
      <c r="C200" s="6" t="n">
        <f aca="false">Scoring!C207</f>
        <v>0</v>
      </c>
      <c r="D200" s="178" t="str">
        <f aca="false">Scoring!CI207</f>
        <v/>
      </c>
      <c r="E200" s="6" t="str">
        <f aca="false">Scoring!BL207</f>
        <v/>
      </c>
      <c r="F200" s="6" t="n">
        <f aca="false">Scoring!B207</f>
        <v>0</v>
      </c>
      <c r="G200" s="6" t="n">
        <f aca="false">Scoring!D207</f>
        <v>0</v>
      </c>
      <c r="H200" s="6" t="str">
        <f aca="false">Scoring!CK207</f>
        <v/>
      </c>
      <c r="I200" s="179" t="str">
        <f aca="false">Scoring!CJ207</f>
        <v/>
      </c>
    </row>
    <row r="201" customFormat="false" ht="15.75" hidden="false" customHeight="false" outlineLevel="0" collapsed="false">
      <c r="A201" s="6" t="str">
        <f aca="false">Scoring!CM208</f>
        <v/>
      </c>
      <c r="B201" s="6" t="str">
        <f aca="false">Scoring!CL208</f>
        <v/>
      </c>
      <c r="C201" s="6" t="n">
        <f aca="false">Scoring!C208</f>
        <v>0</v>
      </c>
      <c r="D201" s="178" t="str">
        <f aca="false">Scoring!CI208</f>
        <v/>
      </c>
      <c r="E201" s="6" t="str">
        <f aca="false">Scoring!BL208</f>
        <v/>
      </c>
      <c r="F201" s="6" t="n">
        <f aca="false">Scoring!B208</f>
        <v>0</v>
      </c>
      <c r="G201" s="6" t="n">
        <f aca="false">Scoring!D208</f>
        <v>0</v>
      </c>
      <c r="H201" s="6" t="str">
        <f aca="false">Scoring!CK208</f>
        <v/>
      </c>
      <c r="I201" s="179" t="str">
        <f aca="false">Scoring!CJ208</f>
        <v/>
      </c>
    </row>
    <row r="202" customFormat="false" ht="15.75" hidden="false" customHeight="false" outlineLevel="0" collapsed="false">
      <c r="A202" s="6" t="str">
        <f aca="false">Scoring!CM209</f>
        <v/>
      </c>
      <c r="B202" s="6" t="str">
        <f aca="false">Scoring!CL209</f>
        <v/>
      </c>
      <c r="C202" s="6" t="n">
        <f aca="false">Scoring!C209</f>
        <v>0</v>
      </c>
      <c r="D202" s="178" t="str">
        <f aca="false">Scoring!CI209</f>
        <v/>
      </c>
      <c r="E202" s="6" t="str">
        <f aca="false">Scoring!BL209</f>
        <v/>
      </c>
      <c r="F202" s="6" t="n">
        <f aca="false">Scoring!B209</f>
        <v>0</v>
      </c>
      <c r="G202" s="6" t="n">
        <f aca="false">Scoring!D209</f>
        <v>0</v>
      </c>
      <c r="H202" s="6" t="str">
        <f aca="false">Scoring!CK209</f>
        <v/>
      </c>
      <c r="I202" s="179" t="str">
        <f aca="false">Scoring!CJ209</f>
        <v/>
      </c>
    </row>
    <row r="203" customFormat="false" ht="15.75" hidden="false" customHeight="false" outlineLevel="0" collapsed="false">
      <c r="A203" s="6" t="str">
        <f aca="false">Scoring!CM210</f>
        <v/>
      </c>
      <c r="B203" s="6" t="str">
        <f aca="false">Scoring!CL210</f>
        <v/>
      </c>
      <c r="C203" s="6" t="n">
        <f aca="false">Scoring!C210</f>
        <v>0</v>
      </c>
      <c r="D203" s="178" t="str">
        <f aca="false">Scoring!CI210</f>
        <v/>
      </c>
      <c r="E203" s="6" t="str">
        <f aca="false">Scoring!BL210</f>
        <v/>
      </c>
      <c r="F203" s="6" t="n">
        <f aca="false">Scoring!B210</f>
        <v>0</v>
      </c>
      <c r="G203" s="6" t="n">
        <f aca="false">Scoring!D210</f>
        <v>0</v>
      </c>
      <c r="H203" s="6" t="str">
        <f aca="false">Scoring!CK210</f>
        <v/>
      </c>
      <c r="I203" s="179" t="str">
        <f aca="false">Scoring!CJ210</f>
        <v/>
      </c>
    </row>
    <row r="204" customFormat="false" ht="15.75" hidden="false" customHeight="false" outlineLevel="0" collapsed="false">
      <c r="A204" s="6" t="str">
        <f aca="false">Scoring!CM211</f>
        <v/>
      </c>
      <c r="B204" s="6" t="str">
        <f aca="false">Scoring!CL211</f>
        <v/>
      </c>
      <c r="C204" s="6" t="n">
        <f aca="false">Scoring!C211</f>
        <v>0</v>
      </c>
      <c r="D204" s="178" t="str">
        <f aca="false">Scoring!CI211</f>
        <v/>
      </c>
      <c r="E204" s="6" t="str">
        <f aca="false">Scoring!BL211</f>
        <v/>
      </c>
      <c r="F204" s="6" t="n">
        <f aca="false">Scoring!B211</f>
        <v>0</v>
      </c>
      <c r="G204" s="6" t="n">
        <f aca="false">Scoring!D211</f>
        <v>0</v>
      </c>
      <c r="H204" s="6" t="str">
        <f aca="false">Scoring!CK211</f>
        <v/>
      </c>
      <c r="I204" s="179" t="str">
        <f aca="false">Scoring!CJ211</f>
        <v/>
      </c>
    </row>
    <row r="205" customFormat="false" ht="15.75" hidden="false" customHeight="false" outlineLevel="0" collapsed="false">
      <c r="A205" s="6" t="str">
        <f aca="false">Scoring!CM212</f>
        <v/>
      </c>
      <c r="B205" s="6" t="str">
        <f aca="false">Scoring!CL212</f>
        <v/>
      </c>
      <c r="C205" s="6" t="n">
        <f aca="false">Scoring!C212</f>
        <v>0</v>
      </c>
      <c r="D205" s="178" t="str">
        <f aca="false">Scoring!CI212</f>
        <v/>
      </c>
      <c r="E205" s="6" t="str">
        <f aca="false">Scoring!BL212</f>
        <v/>
      </c>
      <c r="F205" s="6" t="n">
        <f aca="false">Scoring!B212</f>
        <v>0</v>
      </c>
      <c r="G205" s="6" t="n">
        <f aca="false">Scoring!D212</f>
        <v>0</v>
      </c>
      <c r="H205" s="6" t="str">
        <f aca="false">Scoring!CK212</f>
        <v/>
      </c>
      <c r="I205" s="179" t="str">
        <f aca="false">Scoring!CJ212</f>
        <v/>
      </c>
    </row>
    <row r="206" customFormat="false" ht="15.75" hidden="false" customHeight="false" outlineLevel="0" collapsed="false">
      <c r="A206" s="6" t="str">
        <f aca="false">Scoring!CM213</f>
        <v/>
      </c>
      <c r="B206" s="6" t="str">
        <f aca="false">Scoring!CL213</f>
        <v/>
      </c>
      <c r="C206" s="6" t="n">
        <f aca="false">Scoring!C213</f>
        <v>0</v>
      </c>
      <c r="D206" s="178" t="str">
        <f aca="false">Scoring!CI213</f>
        <v/>
      </c>
      <c r="E206" s="6" t="str">
        <f aca="false">Scoring!BL213</f>
        <v/>
      </c>
      <c r="F206" s="6" t="n">
        <f aca="false">Scoring!B213</f>
        <v>0</v>
      </c>
      <c r="G206" s="6" t="n">
        <f aca="false">Scoring!D213</f>
        <v>0</v>
      </c>
      <c r="H206" s="6" t="str">
        <f aca="false">Scoring!CK213</f>
        <v/>
      </c>
      <c r="I206" s="179" t="str">
        <f aca="false">Scoring!CJ213</f>
        <v/>
      </c>
    </row>
    <row r="207" customFormat="false" ht="15.75" hidden="false" customHeight="false" outlineLevel="0" collapsed="false">
      <c r="A207" s="6" t="str">
        <f aca="false">Scoring!CM214</f>
        <v/>
      </c>
      <c r="B207" s="6" t="str">
        <f aca="false">Scoring!CL214</f>
        <v/>
      </c>
      <c r="C207" s="6" t="n">
        <f aca="false">Scoring!C214</f>
        <v>0</v>
      </c>
      <c r="D207" s="178" t="str">
        <f aca="false">Scoring!CI214</f>
        <v/>
      </c>
      <c r="E207" s="6" t="str">
        <f aca="false">Scoring!BL214</f>
        <v/>
      </c>
      <c r="F207" s="6" t="n">
        <f aca="false">Scoring!B214</f>
        <v>0</v>
      </c>
      <c r="G207" s="6" t="n">
        <f aca="false">Scoring!D214</f>
        <v>0</v>
      </c>
      <c r="H207" s="6" t="str">
        <f aca="false">Scoring!CK214</f>
        <v/>
      </c>
      <c r="I207" s="179" t="str">
        <f aca="false">Scoring!CJ214</f>
        <v/>
      </c>
    </row>
    <row r="208" customFormat="false" ht="15.75" hidden="false" customHeight="false" outlineLevel="0" collapsed="false">
      <c r="A208" s="6" t="str">
        <f aca="false">Scoring!CM215</f>
        <v/>
      </c>
      <c r="B208" s="6" t="str">
        <f aca="false">Scoring!CL215</f>
        <v/>
      </c>
      <c r="C208" s="6" t="n">
        <f aca="false">Scoring!C215</f>
        <v>0</v>
      </c>
      <c r="D208" s="178" t="str">
        <f aca="false">Scoring!CI215</f>
        <v/>
      </c>
      <c r="E208" s="6" t="str">
        <f aca="false">Scoring!BL215</f>
        <v/>
      </c>
      <c r="F208" s="6" t="n">
        <f aca="false">Scoring!B215</f>
        <v>0</v>
      </c>
      <c r="G208" s="6" t="n">
        <f aca="false">Scoring!D215</f>
        <v>0</v>
      </c>
      <c r="H208" s="6" t="str">
        <f aca="false">Scoring!CK215</f>
        <v/>
      </c>
      <c r="I208" s="179" t="str">
        <f aca="false">Scoring!CJ215</f>
        <v/>
      </c>
    </row>
    <row r="209" customFormat="false" ht="15.75" hidden="false" customHeight="false" outlineLevel="0" collapsed="false">
      <c r="A209" s="6" t="str">
        <f aca="false">Scoring!CM216</f>
        <v/>
      </c>
      <c r="B209" s="6" t="str">
        <f aca="false">Scoring!CL216</f>
        <v/>
      </c>
      <c r="C209" s="6" t="n">
        <f aca="false">Scoring!C216</f>
        <v>0</v>
      </c>
      <c r="D209" s="178" t="str">
        <f aca="false">Scoring!CI216</f>
        <v/>
      </c>
      <c r="E209" s="6" t="str">
        <f aca="false">Scoring!BL216</f>
        <v/>
      </c>
      <c r="F209" s="6" t="n">
        <f aca="false">Scoring!B216</f>
        <v>0</v>
      </c>
      <c r="G209" s="6" t="n">
        <f aca="false">Scoring!D216</f>
        <v>0</v>
      </c>
      <c r="H209" s="6" t="str">
        <f aca="false">Scoring!CK216</f>
        <v/>
      </c>
      <c r="I209" s="179" t="str">
        <f aca="false">Scoring!CJ216</f>
        <v/>
      </c>
    </row>
    <row r="210" customFormat="false" ht="15.75" hidden="false" customHeight="false" outlineLevel="0" collapsed="false">
      <c r="A210" s="6" t="str">
        <f aca="false">Scoring!CM217</f>
        <v/>
      </c>
      <c r="B210" s="6" t="str">
        <f aca="false">Scoring!CL217</f>
        <v/>
      </c>
      <c r="C210" s="6" t="n">
        <f aca="false">Scoring!C217</f>
        <v>0</v>
      </c>
      <c r="D210" s="178" t="str">
        <f aca="false">Scoring!CI217</f>
        <v/>
      </c>
      <c r="E210" s="6" t="str">
        <f aca="false">Scoring!BL217</f>
        <v/>
      </c>
      <c r="F210" s="6" t="n">
        <f aca="false">Scoring!B217</f>
        <v>0</v>
      </c>
      <c r="G210" s="6" t="n">
        <f aca="false">Scoring!D217</f>
        <v>0</v>
      </c>
      <c r="H210" s="6" t="str">
        <f aca="false">Scoring!CK217</f>
        <v/>
      </c>
      <c r="I210" s="179" t="str">
        <f aca="false">Scoring!CJ217</f>
        <v/>
      </c>
    </row>
    <row r="211" customFormat="false" ht="15.75" hidden="false" customHeight="false" outlineLevel="0" collapsed="false">
      <c r="A211" s="6" t="str">
        <f aca="false">Scoring!CM218</f>
        <v/>
      </c>
      <c r="B211" s="6" t="str">
        <f aca="false">Scoring!CL218</f>
        <v/>
      </c>
      <c r="C211" s="6" t="n">
        <f aca="false">Scoring!C218</f>
        <v>0</v>
      </c>
      <c r="D211" s="178" t="str">
        <f aca="false">Scoring!CI218</f>
        <v/>
      </c>
      <c r="E211" s="6" t="str">
        <f aca="false">Scoring!BL218</f>
        <v/>
      </c>
      <c r="F211" s="6" t="n">
        <f aca="false">Scoring!B218</f>
        <v>0</v>
      </c>
      <c r="G211" s="6" t="n">
        <f aca="false">Scoring!D218</f>
        <v>0</v>
      </c>
      <c r="H211" s="6" t="str">
        <f aca="false">Scoring!CK218</f>
        <v/>
      </c>
      <c r="I211" s="179" t="str">
        <f aca="false">Scoring!CJ218</f>
        <v/>
      </c>
    </row>
    <row r="212" customFormat="false" ht="15.75" hidden="false" customHeight="false" outlineLevel="0" collapsed="false">
      <c r="A212" s="6" t="str">
        <f aca="false">Scoring!CM219</f>
        <v/>
      </c>
      <c r="B212" s="6" t="str">
        <f aca="false">Scoring!CL219</f>
        <v/>
      </c>
      <c r="C212" s="6" t="n">
        <f aca="false">Scoring!C219</f>
        <v>0</v>
      </c>
      <c r="D212" s="178" t="str">
        <f aca="false">Scoring!CI219</f>
        <v/>
      </c>
      <c r="E212" s="6" t="str">
        <f aca="false">Scoring!BL219</f>
        <v/>
      </c>
      <c r="F212" s="6" t="n">
        <f aca="false">Scoring!B219</f>
        <v>0</v>
      </c>
      <c r="G212" s="6" t="n">
        <f aca="false">Scoring!D219</f>
        <v>0</v>
      </c>
      <c r="H212" s="6" t="str">
        <f aca="false">Scoring!CK219</f>
        <v/>
      </c>
      <c r="I212" s="179" t="str">
        <f aca="false">Scoring!CJ219</f>
        <v/>
      </c>
    </row>
    <row r="213" customFormat="false" ht="15.75" hidden="false" customHeight="false" outlineLevel="0" collapsed="false">
      <c r="A213" s="6" t="str">
        <f aca="false">Scoring!CM220</f>
        <v/>
      </c>
      <c r="B213" s="6" t="str">
        <f aca="false">Scoring!CL220</f>
        <v/>
      </c>
      <c r="C213" s="6" t="n">
        <f aca="false">Scoring!C220</f>
        <v>0</v>
      </c>
      <c r="D213" s="178" t="str">
        <f aca="false">Scoring!CI220</f>
        <v/>
      </c>
      <c r="E213" s="6" t="str">
        <f aca="false">Scoring!BL220</f>
        <v/>
      </c>
      <c r="F213" s="6" t="n">
        <f aca="false">Scoring!B220</f>
        <v>0</v>
      </c>
      <c r="G213" s="6" t="n">
        <f aca="false">Scoring!D220</f>
        <v>0</v>
      </c>
      <c r="H213" s="6" t="str">
        <f aca="false">Scoring!CK220</f>
        <v/>
      </c>
      <c r="I213" s="179" t="str">
        <f aca="false">Scoring!CJ220</f>
        <v/>
      </c>
    </row>
    <row r="214" customFormat="false" ht="15.75" hidden="false" customHeight="false" outlineLevel="0" collapsed="false">
      <c r="A214" s="6" t="str">
        <f aca="false">Scoring!CM221</f>
        <v/>
      </c>
      <c r="B214" s="6" t="str">
        <f aca="false">Scoring!CL221</f>
        <v/>
      </c>
      <c r="C214" s="6" t="n">
        <f aca="false">Scoring!C221</f>
        <v>0</v>
      </c>
      <c r="D214" s="178" t="str">
        <f aca="false">Scoring!CI221</f>
        <v/>
      </c>
      <c r="E214" s="6" t="str">
        <f aca="false">Scoring!BL221</f>
        <v/>
      </c>
      <c r="F214" s="6" t="n">
        <f aca="false">Scoring!B221</f>
        <v>0</v>
      </c>
      <c r="G214" s="6" t="n">
        <f aca="false">Scoring!D221</f>
        <v>0</v>
      </c>
      <c r="H214" s="6" t="str">
        <f aca="false">Scoring!CK221</f>
        <v/>
      </c>
      <c r="I214" s="179" t="str">
        <f aca="false">Scoring!CJ221</f>
        <v/>
      </c>
    </row>
    <row r="215" customFormat="false" ht="15.75" hidden="false" customHeight="false" outlineLevel="0" collapsed="false">
      <c r="A215" s="6" t="str">
        <f aca="false">Scoring!CM222</f>
        <v/>
      </c>
      <c r="B215" s="6" t="str">
        <f aca="false">Scoring!CL222</f>
        <v/>
      </c>
      <c r="C215" s="6" t="n">
        <f aca="false">Scoring!C222</f>
        <v>0</v>
      </c>
      <c r="D215" s="178" t="str">
        <f aca="false">Scoring!CI222</f>
        <v/>
      </c>
      <c r="E215" s="6" t="str">
        <f aca="false">Scoring!BL222</f>
        <v/>
      </c>
      <c r="F215" s="6" t="n">
        <f aca="false">Scoring!B222</f>
        <v>0</v>
      </c>
      <c r="G215" s="6" t="n">
        <f aca="false">Scoring!D222</f>
        <v>0</v>
      </c>
      <c r="H215" s="6" t="str">
        <f aca="false">Scoring!CK222</f>
        <v/>
      </c>
      <c r="I215" s="179" t="str">
        <f aca="false">Scoring!CJ222</f>
        <v/>
      </c>
    </row>
    <row r="216" customFormat="false" ht="15.75" hidden="false" customHeight="false" outlineLevel="0" collapsed="false">
      <c r="A216" s="6" t="str">
        <f aca="false">Scoring!CM223</f>
        <v/>
      </c>
      <c r="B216" s="6" t="str">
        <f aca="false">Scoring!CL223</f>
        <v/>
      </c>
      <c r="C216" s="6" t="n">
        <f aca="false">Scoring!C223</f>
        <v>0</v>
      </c>
      <c r="D216" s="178" t="str">
        <f aca="false">Scoring!CI223</f>
        <v/>
      </c>
      <c r="E216" s="6" t="str">
        <f aca="false">Scoring!BL223</f>
        <v/>
      </c>
      <c r="F216" s="6" t="n">
        <f aca="false">Scoring!B223</f>
        <v>0</v>
      </c>
      <c r="G216" s="6" t="n">
        <f aca="false">Scoring!D223</f>
        <v>0</v>
      </c>
      <c r="H216" s="6" t="str">
        <f aca="false">Scoring!CK223</f>
        <v/>
      </c>
      <c r="I216" s="179" t="str">
        <f aca="false">Scoring!CJ223</f>
        <v/>
      </c>
    </row>
    <row r="217" customFormat="false" ht="15.75" hidden="false" customHeight="false" outlineLevel="0" collapsed="false">
      <c r="A217" s="6" t="str">
        <f aca="false">Scoring!CM224</f>
        <v/>
      </c>
      <c r="B217" s="6" t="str">
        <f aca="false">Scoring!CL224</f>
        <v/>
      </c>
      <c r="C217" s="6" t="n">
        <f aca="false">Scoring!C224</f>
        <v>0</v>
      </c>
      <c r="D217" s="178" t="str">
        <f aca="false">Scoring!CI224</f>
        <v/>
      </c>
      <c r="E217" s="6" t="str">
        <f aca="false">Scoring!BL224</f>
        <v/>
      </c>
      <c r="F217" s="6" t="n">
        <f aca="false">Scoring!B224</f>
        <v>0</v>
      </c>
      <c r="G217" s="6" t="n">
        <f aca="false">Scoring!D224</f>
        <v>0</v>
      </c>
      <c r="H217" s="6" t="str">
        <f aca="false">Scoring!CK224</f>
        <v/>
      </c>
      <c r="I217" s="179" t="str">
        <f aca="false">Scoring!CJ224</f>
        <v/>
      </c>
    </row>
    <row r="218" customFormat="false" ht="15.75" hidden="false" customHeight="false" outlineLevel="0" collapsed="false">
      <c r="A218" s="6" t="str">
        <f aca="false">Scoring!CM225</f>
        <v/>
      </c>
      <c r="B218" s="6" t="str">
        <f aca="false">Scoring!CL225</f>
        <v/>
      </c>
      <c r="C218" s="6" t="n">
        <f aca="false">Scoring!C225</f>
        <v>0</v>
      </c>
      <c r="D218" s="178" t="str">
        <f aca="false">Scoring!CI225</f>
        <v/>
      </c>
      <c r="E218" s="6" t="str">
        <f aca="false">Scoring!BL225</f>
        <v/>
      </c>
      <c r="F218" s="6" t="n">
        <f aca="false">Scoring!B225</f>
        <v>0</v>
      </c>
      <c r="G218" s="6" t="n">
        <f aca="false">Scoring!D225</f>
        <v>0</v>
      </c>
      <c r="H218" s="6" t="str">
        <f aca="false">Scoring!CK225</f>
        <v/>
      </c>
      <c r="I218" s="179" t="str">
        <f aca="false">Scoring!CJ225</f>
        <v/>
      </c>
    </row>
    <row r="219" customFormat="false" ht="15.75" hidden="false" customHeight="false" outlineLevel="0" collapsed="false">
      <c r="A219" s="6" t="str">
        <f aca="false">Scoring!CM226</f>
        <v/>
      </c>
      <c r="B219" s="6" t="str">
        <f aca="false">Scoring!CL226</f>
        <v/>
      </c>
      <c r="C219" s="6" t="n">
        <f aca="false">Scoring!C226</f>
        <v>0</v>
      </c>
      <c r="D219" s="178" t="str">
        <f aca="false">Scoring!CI226</f>
        <v/>
      </c>
      <c r="E219" s="6" t="str">
        <f aca="false">Scoring!BL226</f>
        <v/>
      </c>
      <c r="F219" s="6" t="n">
        <f aca="false">Scoring!B226</f>
        <v>0</v>
      </c>
      <c r="G219" s="6" t="n">
        <f aca="false">Scoring!D226</f>
        <v>0</v>
      </c>
      <c r="H219" s="6" t="str">
        <f aca="false">Scoring!CK226</f>
        <v/>
      </c>
      <c r="I219" s="179" t="str">
        <f aca="false">Scoring!CJ226</f>
        <v/>
      </c>
    </row>
    <row r="220" customFormat="false" ht="15.75" hidden="false" customHeight="false" outlineLevel="0" collapsed="false">
      <c r="A220" s="6" t="str">
        <f aca="false">Scoring!CM227</f>
        <v/>
      </c>
      <c r="B220" s="6" t="str">
        <f aca="false">Scoring!CL227</f>
        <v/>
      </c>
      <c r="C220" s="6" t="n">
        <f aca="false">Scoring!C227</f>
        <v>0</v>
      </c>
      <c r="D220" s="178" t="str">
        <f aca="false">Scoring!CI227</f>
        <v/>
      </c>
      <c r="E220" s="6" t="str">
        <f aca="false">Scoring!BL227</f>
        <v/>
      </c>
      <c r="F220" s="6" t="n">
        <f aca="false">Scoring!B227</f>
        <v>0</v>
      </c>
      <c r="G220" s="6" t="n">
        <f aca="false">Scoring!D227</f>
        <v>0</v>
      </c>
      <c r="H220" s="6" t="str">
        <f aca="false">Scoring!CK227</f>
        <v/>
      </c>
      <c r="I220" s="179" t="str">
        <f aca="false">Scoring!CJ227</f>
        <v/>
      </c>
    </row>
    <row r="221" customFormat="false" ht="15.75" hidden="false" customHeight="false" outlineLevel="0" collapsed="false">
      <c r="A221" s="6" t="str">
        <f aca="false">Scoring!CM228</f>
        <v/>
      </c>
      <c r="B221" s="6" t="str">
        <f aca="false">Scoring!CL228</f>
        <v/>
      </c>
      <c r="C221" s="6" t="n">
        <f aca="false">Scoring!C228</f>
        <v>0</v>
      </c>
      <c r="D221" s="178" t="str">
        <f aca="false">Scoring!CI228</f>
        <v/>
      </c>
      <c r="E221" s="6" t="str">
        <f aca="false">Scoring!BL228</f>
        <v/>
      </c>
      <c r="F221" s="6" t="n">
        <f aca="false">Scoring!B228</f>
        <v>0</v>
      </c>
      <c r="G221" s="6" t="n">
        <f aca="false">Scoring!D228</f>
        <v>0</v>
      </c>
      <c r="H221" s="6" t="str">
        <f aca="false">Scoring!CK228</f>
        <v/>
      </c>
      <c r="I221" s="179" t="str">
        <f aca="false">Scoring!CJ228</f>
        <v/>
      </c>
    </row>
    <row r="222" customFormat="false" ht="15.75" hidden="false" customHeight="false" outlineLevel="0" collapsed="false">
      <c r="A222" s="6" t="str">
        <f aca="false">Scoring!CM229</f>
        <v/>
      </c>
      <c r="B222" s="6" t="str">
        <f aca="false">Scoring!CL229</f>
        <v/>
      </c>
      <c r="C222" s="6" t="n">
        <f aca="false">Scoring!C229</f>
        <v>0</v>
      </c>
      <c r="D222" s="178" t="str">
        <f aca="false">Scoring!CI229</f>
        <v/>
      </c>
      <c r="E222" s="6" t="str">
        <f aca="false">Scoring!BL229</f>
        <v/>
      </c>
      <c r="F222" s="6" t="n">
        <f aca="false">Scoring!B229</f>
        <v>0</v>
      </c>
      <c r="G222" s="6" t="n">
        <f aca="false">Scoring!D229</f>
        <v>0</v>
      </c>
      <c r="H222" s="6" t="str">
        <f aca="false">Scoring!CK229</f>
        <v/>
      </c>
      <c r="I222" s="179" t="str">
        <f aca="false">Scoring!CJ229</f>
        <v/>
      </c>
    </row>
    <row r="223" customFormat="false" ht="15.75" hidden="false" customHeight="false" outlineLevel="0" collapsed="false">
      <c r="A223" s="6" t="str">
        <f aca="false">Scoring!CM230</f>
        <v/>
      </c>
      <c r="B223" s="6" t="str">
        <f aca="false">Scoring!CL230</f>
        <v/>
      </c>
      <c r="C223" s="6" t="n">
        <f aca="false">Scoring!C230</f>
        <v>0</v>
      </c>
      <c r="D223" s="178" t="str">
        <f aca="false">Scoring!CI230</f>
        <v/>
      </c>
      <c r="E223" s="6" t="str">
        <f aca="false">Scoring!BL230</f>
        <v/>
      </c>
      <c r="F223" s="6" t="n">
        <f aca="false">Scoring!B230</f>
        <v>0</v>
      </c>
      <c r="G223" s="6" t="n">
        <f aca="false">Scoring!D230</f>
        <v>0</v>
      </c>
      <c r="H223" s="6" t="str">
        <f aca="false">Scoring!CK230</f>
        <v/>
      </c>
      <c r="I223" s="179" t="str">
        <f aca="false">Scoring!CJ230</f>
        <v/>
      </c>
    </row>
    <row r="224" customFormat="false" ht="15.75" hidden="false" customHeight="false" outlineLevel="0" collapsed="false">
      <c r="A224" s="6" t="str">
        <f aca="false">Scoring!CM231</f>
        <v/>
      </c>
      <c r="B224" s="6" t="str">
        <f aca="false">Scoring!CL231</f>
        <v/>
      </c>
      <c r="C224" s="6" t="n">
        <f aca="false">Scoring!C231</f>
        <v>0</v>
      </c>
      <c r="D224" s="178" t="str">
        <f aca="false">Scoring!CI231</f>
        <v/>
      </c>
      <c r="E224" s="6" t="str">
        <f aca="false">Scoring!BL231</f>
        <v/>
      </c>
      <c r="F224" s="6" t="n">
        <f aca="false">Scoring!B231</f>
        <v>0</v>
      </c>
      <c r="G224" s="6" t="n">
        <f aca="false">Scoring!D231</f>
        <v>0</v>
      </c>
      <c r="H224" s="6" t="str">
        <f aca="false">Scoring!CK231</f>
        <v/>
      </c>
      <c r="I224" s="179" t="str">
        <f aca="false">Scoring!CJ231</f>
        <v/>
      </c>
    </row>
    <row r="225" customFormat="false" ht="15.75" hidden="false" customHeight="false" outlineLevel="0" collapsed="false">
      <c r="A225" s="6" t="str">
        <f aca="false">Scoring!CM232</f>
        <v/>
      </c>
      <c r="B225" s="6" t="str">
        <f aca="false">Scoring!CL232</f>
        <v/>
      </c>
      <c r="C225" s="6" t="n">
        <f aca="false">Scoring!C232</f>
        <v>0</v>
      </c>
      <c r="D225" s="178" t="str">
        <f aca="false">Scoring!CI232</f>
        <v/>
      </c>
      <c r="E225" s="6" t="str">
        <f aca="false">Scoring!BL232</f>
        <v/>
      </c>
      <c r="F225" s="6" t="n">
        <f aca="false">Scoring!B232</f>
        <v>0</v>
      </c>
      <c r="G225" s="6" t="n">
        <f aca="false">Scoring!D232</f>
        <v>0</v>
      </c>
      <c r="H225" s="6" t="str">
        <f aca="false">Scoring!CK232</f>
        <v/>
      </c>
      <c r="I225" s="179" t="str">
        <f aca="false">Scoring!CJ232</f>
        <v/>
      </c>
    </row>
    <row r="226" customFormat="false" ht="15.75" hidden="false" customHeight="false" outlineLevel="0" collapsed="false">
      <c r="A226" s="6" t="str">
        <f aca="false">Scoring!CM233</f>
        <v/>
      </c>
      <c r="B226" s="6" t="str">
        <f aca="false">Scoring!CL233</f>
        <v/>
      </c>
      <c r="C226" s="6" t="n">
        <f aca="false">Scoring!C233</f>
        <v>0</v>
      </c>
      <c r="D226" s="178" t="str">
        <f aca="false">Scoring!CI233</f>
        <v/>
      </c>
      <c r="E226" s="6" t="str">
        <f aca="false">Scoring!BL233</f>
        <v/>
      </c>
      <c r="F226" s="6" t="n">
        <f aca="false">Scoring!B233</f>
        <v>0</v>
      </c>
      <c r="G226" s="6" t="n">
        <f aca="false">Scoring!D233</f>
        <v>0</v>
      </c>
      <c r="H226" s="6" t="str">
        <f aca="false">Scoring!CK233</f>
        <v/>
      </c>
      <c r="I226" s="179" t="str">
        <f aca="false">Scoring!CJ233</f>
        <v/>
      </c>
    </row>
    <row r="227" customFormat="false" ht="15.75" hidden="false" customHeight="false" outlineLevel="0" collapsed="false">
      <c r="A227" s="6" t="str">
        <f aca="false">Scoring!CM234</f>
        <v/>
      </c>
      <c r="B227" s="6" t="str">
        <f aca="false">Scoring!CL234</f>
        <v/>
      </c>
      <c r="C227" s="6" t="n">
        <f aca="false">Scoring!C234</f>
        <v>0</v>
      </c>
      <c r="D227" s="178" t="str">
        <f aca="false">Scoring!CI234</f>
        <v/>
      </c>
      <c r="E227" s="6" t="str">
        <f aca="false">Scoring!BL234</f>
        <v/>
      </c>
      <c r="F227" s="6" t="n">
        <f aca="false">Scoring!B234</f>
        <v>0</v>
      </c>
      <c r="G227" s="6" t="n">
        <f aca="false">Scoring!D234</f>
        <v>0</v>
      </c>
      <c r="H227" s="6" t="str">
        <f aca="false">Scoring!CK234</f>
        <v/>
      </c>
      <c r="I227" s="179" t="str">
        <f aca="false">Scoring!CJ234</f>
        <v/>
      </c>
    </row>
    <row r="228" customFormat="false" ht="15.75" hidden="false" customHeight="false" outlineLevel="0" collapsed="false">
      <c r="A228" s="6" t="str">
        <f aca="false">Scoring!CM235</f>
        <v/>
      </c>
      <c r="B228" s="6" t="str">
        <f aca="false">Scoring!CL235</f>
        <v/>
      </c>
      <c r="C228" s="6" t="n">
        <f aca="false">Scoring!C235</f>
        <v>0</v>
      </c>
      <c r="D228" s="178" t="str">
        <f aca="false">Scoring!CI235</f>
        <v/>
      </c>
      <c r="E228" s="6" t="str">
        <f aca="false">Scoring!BL235</f>
        <v/>
      </c>
      <c r="F228" s="6" t="n">
        <f aca="false">Scoring!B235</f>
        <v>0</v>
      </c>
      <c r="G228" s="6" t="n">
        <f aca="false">Scoring!D235</f>
        <v>0</v>
      </c>
      <c r="H228" s="6" t="str">
        <f aca="false">Scoring!CK235</f>
        <v/>
      </c>
      <c r="I228" s="179" t="str">
        <f aca="false">Scoring!CJ235</f>
        <v/>
      </c>
    </row>
    <row r="229" customFormat="false" ht="15.75" hidden="false" customHeight="false" outlineLevel="0" collapsed="false">
      <c r="A229" s="6" t="str">
        <f aca="false">Scoring!CM236</f>
        <v/>
      </c>
      <c r="B229" s="6" t="str">
        <f aca="false">Scoring!CL236</f>
        <v/>
      </c>
      <c r="C229" s="6" t="n">
        <f aca="false">Scoring!C236</f>
        <v>0</v>
      </c>
      <c r="D229" s="178" t="str">
        <f aca="false">Scoring!CI236</f>
        <v/>
      </c>
      <c r="E229" s="6" t="str">
        <f aca="false">Scoring!BL236</f>
        <v/>
      </c>
      <c r="F229" s="6" t="n">
        <f aca="false">Scoring!B236</f>
        <v>0</v>
      </c>
      <c r="G229" s="6" t="n">
        <f aca="false">Scoring!D236</f>
        <v>0</v>
      </c>
      <c r="H229" s="6" t="str">
        <f aca="false">Scoring!CK236</f>
        <v/>
      </c>
      <c r="I229" s="179" t="str">
        <f aca="false">Scoring!CJ236</f>
        <v/>
      </c>
    </row>
    <row r="230" customFormat="false" ht="15.75" hidden="false" customHeight="false" outlineLevel="0" collapsed="false">
      <c r="A230" s="6" t="str">
        <f aca="false">Scoring!CM237</f>
        <v/>
      </c>
      <c r="B230" s="6" t="str">
        <f aca="false">Scoring!CL237</f>
        <v/>
      </c>
      <c r="C230" s="6" t="n">
        <f aca="false">Scoring!C237</f>
        <v>0</v>
      </c>
      <c r="D230" s="178" t="str">
        <f aca="false">Scoring!CI237</f>
        <v/>
      </c>
      <c r="E230" s="6" t="str">
        <f aca="false">Scoring!BL237</f>
        <v/>
      </c>
      <c r="F230" s="6" t="n">
        <f aca="false">Scoring!B237</f>
        <v>0</v>
      </c>
      <c r="G230" s="6" t="n">
        <f aca="false">Scoring!D237</f>
        <v>0</v>
      </c>
      <c r="H230" s="6" t="str">
        <f aca="false">Scoring!CK237</f>
        <v/>
      </c>
      <c r="I230" s="179" t="str">
        <f aca="false">Scoring!CJ237</f>
        <v/>
      </c>
    </row>
    <row r="231" customFormat="false" ht="15.75" hidden="false" customHeight="false" outlineLevel="0" collapsed="false">
      <c r="A231" s="6" t="str">
        <f aca="false">Scoring!CM238</f>
        <v/>
      </c>
      <c r="B231" s="6" t="str">
        <f aca="false">Scoring!CL238</f>
        <v/>
      </c>
      <c r="C231" s="6" t="n">
        <f aca="false">Scoring!C238</f>
        <v>0</v>
      </c>
      <c r="D231" s="178" t="str">
        <f aca="false">Scoring!CI238</f>
        <v/>
      </c>
      <c r="E231" s="6" t="str">
        <f aca="false">Scoring!BL238</f>
        <v/>
      </c>
      <c r="F231" s="6" t="n">
        <f aca="false">Scoring!B238</f>
        <v>0</v>
      </c>
      <c r="G231" s="6" t="n">
        <f aca="false">Scoring!D238</f>
        <v>0</v>
      </c>
      <c r="H231" s="6" t="str">
        <f aca="false">Scoring!CK238</f>
        <v/>
      </c>
      <c r="I231" s="179" t="str">
        <f aca="false">Scoring!CJ238</f>
        <v/>
      </c>
    </row>
    <row r="232" customFormat="false" ht="15.75" hidden="false" customHeight="false" outlineLevel="0" collapsed="false">
      <c r="A232" s="6" t="str">
        <f aca="false">Scoring!CM239</f>
        <v/>
      </c>
      <c r="B232" s="6" t="str">
        <f aca="false">Scoring!CL239</f>
        <v/>
      </c>
      <c r="C232" s="6" t="n">
        <f aca="false">Scoring!C239</f>
        <v>0</v>
      </c>
      <c r="D232" s="178" t="str">
        <f aca="false">Scoring!CI239</f>
        <v/>
      </c>
      <c r="E232" s="6" t="str">
        <f aca="false">Scoring!BL239</f>
        <v/>
      </c>
      <c r="F232" s="6" t="n">
        <f aca="false">Scoring!B239</f>
        <v>0</v>
      </c>
      <c r="G232" s="6" t="n">
        <f aca="false">Scoring!D239</f>
        <v>0</v>
      </c>
      <c r="H232" s="6" t="str">
        <f aca="false">Scoring!CK239</f>
        <v/>
      </c>
      <c r="I232" s="179" t="str">
        <f aca="false">Scoring!CJ239</f>
        <v/>
      </c>
    </row>
    <row r="233" customFormat="false" ht="15.75" hidden="false" customHeight="false" outlineLevel="0" collapsed="false">
      <c r="A233" s="6" t="str">
        <f aca="false">Scoring!CM240</f>
        <v/>
      </c>
      <c r="B233" s="6" t="str">
        <f aca="false">Scoring!CL240</f>
        <v/>
      </c>
      <c r="C233" s="6" t="n">
        <f aca="false">Scoring!C240</f>
        <v>0</v>
      </c>
      <c r="D233" s="178" t="str">
        <f aca="false">Scoring!CI240</f>
        <v/>
      </c>
      <c r="E233" s="6" t="str">
        <f aca="false">Scoring!BL240</f>
        <v/>
      </c>
      <c r="F233" s="6" t="n">
        <f aca="false">Scoring!B240</f>
        <v>0</v>
      </c>
      <c r="G233" s="6" t="n">
        <f aca="false">Scoring!D240</f>
        <v>0</v>
      </c>
      <c r="H233" s="6" t="str">
        <f aca="false">Scoring!CK240</f>
        <v/>
      </c>
      <c r="I233" s="179" t="str">
        <f aca="false">Scoring!CJ240</f>
        <v/>
      </c>
    </row>
    <row r="234" customFormat="false" ht="15.75" hidden="false" customHeight="false" outlineLevel="0" collapsed="false">
      <c r="A234" s="6" t="str">
        <f aca="false">Scoring!CM241</f>
        <v/>
      </c>
      <c r="B234" s="6" t="str">
        <f aca="false">Scoring!CL241</f>
        <v/>
      </c>
      <c r="C234" s="6" t="n">
        <f aca="false">Scoring!C241</f>
        <v>0</v>
      </c>
      <c r="D234" s="178" t="str">
        <f aca="false">Scoring!CI241</f>
        <v/>
      </c>
      <c r="E234" s="6" t="str">
        <f aca="false">Scoring!BL241</f>
        <v/>
      </c>
      <c r="F234" s="6" t="n">
        <f aca="false">Scoring!B241</f>
        <v>0</v>
      </c>
      <c r="G234" s="6" t="n">
        <f aca="false">Scoring!D241</f>
        <v>0</v>
      </c>
      <c r="H234" s="6" t="str">
        <f aca="false">Scoring!CK241</f>
        <v/>
      </c>
      <c r="I234" s="179" t="str">
        <f aca="false">Scoring!CJ241</f>
        <v/>
      </c>
    </row>
    <row r="235" customFormat="false" ht="15.75" hidden="false" customHeight="false" outlineLevel="0" collapsed="false">
      <c r="A235" s="6" t="str">
        <f aca="false">Scoring!CM242</f>
        <v/>
      </c>
      <c r="B235" s="6" t="str">
        <f aca="false">Scoring!CL242</f>
        <v/>
      </c>
      <c r="C235" s="6" t="n">
        <f aca="false">Scoring!C242</f>
        <v>0</v>
      </c>
      <c r="D235" s="178" t="str">
        <f aca="false">Scoring!CI242</f>
        <v/>
      </c>
      <c r="E235" s="6" t="str">
        <f aca="false">Scoring!BL242</f>
        <v/>
      </c>
      <c r="F235" s="6" t="n">
        <f aca="false">Scoring!B242</f>
        <v>0</v>
      </c>
      <c r="G235" s="6" t="n">
        <f aca="false">Scoring!D242</f>
        <v>0</v>
      </c>
      <c r="H235" s="6" t="str">
        <f aca="false">Scoring!CK242</f>
        <v/>
      </c>
      <c r="I235" s="179" t="str">
        <f aca="false">Scoring!CJ242</f>
        <v/>
      </c>
    </row>
    <row r="236" customFormat="false" ht="15.75" hidden="false" customHeight="false" outlineLevel="0" collapsed="false">
      <c r="A236" s="6" t="str">
        <f aca="false">Scoring!CM243</f>
        <v/>
      </c>
      <c r="B236" s="6" t="str">
        <f aca="false">Scoring!CL243</f>
        <v/>
      </c>
      <c r="C236" s="6" t="n">
        <f aca="false">Scoring!C243</f>
        <v>0</v>
      </c>
      <c r="D236" s="178" t="str">
        <f aca="false">Scoring!CI243</f>
        <v/>
      </c>
      <c r="E236" s="6" t="str">
        <f aca="false">Scoring!BL243</f>
        <v/>
      </c>
      <c r="F236" s="6" t="n">
        <f aca="false">Scoring!B243</f>
        <v>0</v>
      </c>
      <c r="G236" s="6" t="n">
        <f aca="false">Scoring!D243</f>
        <v>0</v>
      </c>
      <c r="H236" s="6" t="str">
        <f aca="false">Scoring!CK243</f>
        <v/>
      </c>
      <c r="I236" s="179" t="str">
        <f aca="false">Scoring!CJ243</f>
        <v/>
      </c>
    </row>
    <row r="237" customFormat="false" ht="15.75" hidden="false" customHeight="false" outlineLevel="0" collapsed="false">
      <c r="A237" s="6" t="str">
        <f aca="false">Scoring!CM244</f>
        <v/>
      </c>
      <c r="B237" s="6" t="str">
        <f aca="false">Scoring!CL244</f>
        <v/>
      </c>
      <c r="C237" s="6" t="n">
        <f aca="false">Scoring!C244</f>
        <v>0</v>
      </c>
      <c r="D237" s="178" t="str">
        <f aca="false">Scoring!CI244</f>
        <v/>
      </c>
      <c r="E237" s="6" t="str">
        <f aca="false">Scoring!BL244</f>
        <v/>
      </c>
      <c r="F237" s="6" t="n">
        <f aca="false">Scoring!B244</f>
        <v>0</v>
      </c>
      <c r="G237" s="6" t="n">
        <f aca="false">Scoring!D244</f>
        <v>0</v>
      </c>
      <c r="H237" s="6" t="str">
        <f aca="false">Scoring!CK244</f>
        <v/>
      </c>
      <c r="I237" s="179" t="str">
        <f aca="false">Scoring!CJ244</f>
        <v/>
      </c>
    </row>
    <row r="238" customFormat="false" ht="15.75" hidden="false" customHeight="false" outlineLevel="0" collapsed="false">
      <c r="A238" s="6" t="str">
        <f aca="false">Scoring!CM245</f>
        <v/>
      </c>
      <c r="B238" s="6" t="str">
        <f aca="false">Scoring!CL245</f>
        <v/>
      </c>
      <c r="C238" s="6" t="n">
        <f aca="false">Scoring!C245</f>
        <v>0</v>
      </c>
      <c r="D238" s="178" t="str">
        <f aca="false">Scoring!CI245</f>
        <v/>
      </c>
      <c r="E238" s="6" t="str">
        <f aca="false">Scoring!BL245</f>
        <v/>
      </c>
      <c r="F238" s="6" t="n">
        <f aca="false">Scoring!B245</f>
        <v>0</v>
      </c>
      <c r="G238" s="6" t="n">
        <f aca="false">Scoring!D245</f>
        <v>0</v>
      </c>
      <c r="H238" s="6" t="str">
        <f aca="false">Scoring!CK245</f>
        <v/>
      </c>
      <c r="I238" s="179" t="str">
        <f aca="false">Scoring!CJ245</f>
        <v/>
      </c>
    </row>
    <row r="239" customFormat="false" ht="15.75" hidden="false" customHeight="false" outlineLevel="0" collapsed="false">
      <c r="A239" s="6" t="str">
        <f aca="false">Scoring!CM246</f>
        <v/>
      </c>
      <c r="B239" s="6" t="str">
        <f aca="false">Scoring!CL246</f>
        <v/>
      </c>
      <c r="C239" s="6" t="n">
        <f aca="false">Scoring!C246</f>
        <v>0</v>
      </c>
      <c r="D239" s="178" t="str">
        <f aca="false">Scoring!CI246</f>
        <v/>
      </c>
      <c r="E239" s="6" t="str">
        <f aca="false">Scoring!BL246</f>
        <v/>
      </c>
      <c r="F239" s="6" t="n">
        <f aca="false">Scoring!B246</f>
        <v>0</v>
      </c>
      <c r="G239" s="6" t="n">
        <f aca="false">Scoring!D246</f>
        <v>0</v>
      </c>
      <c r="H239" s="6" t="str">
        <f aca="false">Scoring!CK246</f>
        <v/>
      </c>
      <c r="I239" s="179" t="str">
        <f aca="false">Scoring!CJ246</f>
        <v/>
      </c>
    </row>
    <row r="240" customFormat="false" ht="15.75" hidden="false" customHeight="false" outlineLevel="0" collapsed="false">
      <c r="A240" s="6" t="str">
        <f aca="false">Scoring!CM247</f>
        <v/>
      </c>
      <c r="B240" s="6" t="str">
        <f aca="false">Scoring!CL247</f>
        <v/>
      </c>
      <c r="C240" s="6" t="n">
        <f aca="false">Scoring!C247</f>
        <v>0</v>
      </c>
      <c r="D240" s="178" t="str">
        <f aca="false">Scoring!CI247</f>
        <v/>
      </c>
      <c r="E240" s="6" t="str">
        <f aca="false">Scoring!BL247</f>
        <v/>
      </c>
      <c r="F240" s="6" t="n">
        <f aca="false">Scoring!B247</f>
        <v>0</v>
      </c>
      <c r="G240" s="6" t="n">
        <f aca="false">Scoring!D247</f>
        <v>0</v>
      </c>
      <c r="H240" s="6" t="str">
        <f aca="false">Scoring!CK247</f>
        <v/>
      </c>
      <c r="I240" s="179" t="str">
        <f aca="false">Scoring!CJ247</f>
        <v/>
      </c>
    </row>
    <row r="241" customFormat="false" ht="15.75" hidden="false" customHeight="false" outlineLevel="0" collapsed="false">
      <c r="A241" s="6" t="str">
        <f aca="false">Scoring!CM248</f>
        <v/>
      </c>
      <c r="B241" s="6" t="str">
        <f aca="false">Scoring!CL248</f>
        <v/>
      </c>
      <c r="C241" s="6" t="n">
        <f aca="false">Scoring!C248</f>
        <v>0</v>
      </c>
      <c r="D241" s="178" t="str">
        <f aca="false">Scoring!CI248</f>
        <v/>
      </c>
      <c r="E241" s="6" t="str">
        <f aca="false">Scoring!BL248</f>
        <v/>
      </c>
      <c r="F241" s="6" t="n">
        <f aca="false">Scoring!B248</f>
        <v>0</v>
      </c>
      <c r="G241" s="6" t="n">
        <f aca="false">Scoring!D248</f>
        <v>0</v>
      </c>
      <c r="H241" s="6" t="str">
        <f aca="false">Scoring!CK248</f>
        <v/>
      </c>
      <c r="I241" s="179" t="str">
        <f aca="false">Scoring!CJ248</f>
        <v/>
      </c>
    </row>
    <row r="242" customFormat="false" ht="15.75" hidden="false" customHeight="false" outlineLevel="0" collapsed="false">
      <c r="A242" s="6" t="str">
        <f aca="false">Scoring!CM249</f>
        <v/>
      </c>
      <c r="B242" s="6" t="str">
        <f aca="false">Scoring!CL249</f>
        <v/>
      </c>
      <c r="C242" s="6" t="n">
        <f aca="false">Scoring!C249</f>
        <v>0</v>
      </c>
      <c r="D242" s="178" t="str">
        <f aca="false">Scoring!CI249</f>
        <v/>
      </c>
      <c r="E242" s="6" t="str">
        <f aca="false">Scoring!BL249</f>
        <v/>
      </c>
      <c r="F242" s="6" t="n">
        <f aca="false">Scoring!B249</f>
        <v>0</v>
      </c>
      <c r="G242" s="6" t="n">
        <f aca="false">Scoring!D249</f>
        <v>0</v>
      </c>
      <c r="H242" s="6" t="str">
        <f aca="false">Scoring!CK249</f>
        <v/>
      </c>
      <c r="I242" s="179" t="str">
        <f aca="false">Scoring!CJ249</f>
        <v/>
      </c>
    </row>
    <row r="243" customFormat="false" ht="15.75" hidden="false" customHeight="false" outlineLevel="0" collapsed="false">
      <c r="A243" s="6" t="str">
        <f aca="false">Scoring!CM250</f>
        <v/>
      </c>
      <c r="B243" s="6" t="str">
        <f aca="false">Scoring!CL250</f>
        <v/>
      </c>
      <c r="C243" s="6" t="n">
        <f aca="false">Scoring!C250</f>
        <v>0</v>
      </c>
      <c r="D243" s="178" t="str">
        <f aca="false">Scoring!CI250</f>
        <v/>
      </c>
      <c r="E243" s="6" t="str">
        <f aca="false">Scoring!BL250</f>
        <v/>
      </c>
      <c r="F243" s="6" t="n">
        <f aca="false">Scoring!B250</f>
        <v>0</v>
      </c>
      <c r="G243" s="6" t="n">
        <f aca="false">Scoring!D250</f>
        <v>0</v>
      </c>
      <c r="H243" s="6" t="str">
        <f aca="false">Scoring!CK250</f>
        <v/>
      </c>
      <c r="I243" s="179" t="str">
        <f aca="false">Scoring!CJ250</f>
        <v/>
      </c>
    </row>
    <row r="244" customFormat="false" ht="15.75" hidden="false" customHeight="false" outlineLevel="0" collapsed="false">
      <c r="A244" s="6" t="str">
        <f aca="false">Scoring!CM251</f>
        <v/>
      </c>
      <c r="B244" s="6" t="str">
        <f aca="false">Scoring!CL251</f>
        <v/>
      </c>
      <c r="C244" s="6" t="n">
        <f aca="false">Scoring!C251</f>
        <v>0</v>
      </c>
      <c r="D244" s="178" t="str">
        <f aca="false">Scoring!CI251</f>
        <v/>
      </c>
      <c r="E244" s="6" t="str">
        <f aca="false">Scoring!BL251</f>
        <v/>
      </c>
      <c r="F244" s="6" t="n">
        <f aca="false">Scoring!B251</f>
        <v>0</v>
      </c>
      <c r="G244" s="6" t="n">
        <f aca="false">Scoring!D251</f>
        <v>0</v>
      </c>
      <c r="H244" s="6" t="str">
        <f aca="false">Scoring!CK251</f>
        <v/>
      </c>
      <c r="I244" s="179" t="str">
        <f aca="false">Scoring!CJ251</f>
        <v/>
      </c>
    </row>
    <row r="245" customFormat="false" ht="15.75" hidden="false" customHeight="false" outlineLevel="0" collapsed="false">
      <c r="A245" s="6" t="str">
        <f aca="false">Scoring!CM252</f>
        <v/>
      </c>
      <c r="B245" s="6" t="str">
        <f aca="false">Scoring!CL252</f>
        <v/>
      </c>
      <c r="C245" s="6" t="n">
        <f aca="false">Scoring!C252</f>
        <v>0</v>
      </c>
      <c r="D245" s="178" t="str">
        <f aca="false">Scoring!CI252</f>
        <v/>
      </c>
      <c r="E245" s="6" t="str">
        <f aca="false">Scoring!BL252</f>
        <v/>
      </c>
      <c r="F245" s="6" t="n">
        <f aca="false">Scoring!B252</f>
        <v>0</v>
      </c>
      <c r="G245" s="6" t="n">
        <f aca="false">Scoring!D252</f>
        <v>0</v>
      </c>
      <c r="H245" s="6" t="str">
        <f aca="false">Scoring!CK252</f>
        <v/>
      </c>
      <c r="I245" s="179" t="str">
        <f aca="false">Scoring!CJ252</f>
        <v/>
      </c>
    </row>
    <row r="246" customFormat="false" ht="15.75" hidden="false" customHeight="false" outlineLevel="0" collapsed="false">
      <c r="A246" s="6" t="str">
        <f aca="false">Scoring!CM253</f>
        <v/>
      </c>
      <c r="B246" s="6" t="str">
        <f aca="false">Scoring!CL253</f>
        <v/>
      </c>
      <c r="C246" s="6" t="n">
        <f aca="false">Scoring!C253</f>
        <v>0</v>
      </c>
      <c r="D246" s="178" t="str">
        <f aca="false">Scoring!CI253</f>
        <v/>
      </c>
      <c r="E246" s="6" t="str">
        <f aca="false">Scoring!BL253</f>
        <v/>
      </c>
      <c r="F246" s="6" t="n">
        <f aca="false">Scoring!B253</f>
        <v>0</v>
      </c>
      <c r="G246" s="6" t="n">
        <f aca="false">Scoring!D253</f>
        <v>0</v>
      </c>
      <c r="H246" s="6" t="str">
        <f aca="false">Scoring!CK253</f>
        <v/>
      </c>
      <c r="I246" s="179" t="str">
        <f aca="false">Scoring!CJ253</f>
        <v/>
      </c>
    </row>
    <row r="247" customFormat="false" ht="15.75" hidden="false" customHeight="false" outlineLevel="0" collapsed="false">
      <c r="A247" s="6" t="str">
        <f aca="false">Scoring!CM254</f>
        <v/>
      </c>
      <c r="B247" s="6" t="str">
        <f aca="false">Scoring!CL254</f>
        <v/>
      </c>
      <c r="C247" s="6" t="n">
        <f aca="false">Scoring!C254</f>
        <v>0</v>
      </c>
      <c r="D247" s="178" t="str">
        <f aca="false">Scoring!CI254</f>
        <v/>
      </c>
      <c r="E247" s="6" t="str">
        <f aca="false">Scoring!BL254</f>
        <v/>
      </c>
      <c r="F247" s="6" t="n">
        <f aca="false">Scoring!B254</f>
        <v>0</v>
      </c>
      <c r="G247" s="6" t="n">
        <f aca="false">Scoring!D254</f>
        <v>0</v>
      </c>
      <c r="H247" s="6" t="str">
        <f aca="false">Scoring!CK254</f>
        <v/>
      </c>
      <c r="I247" s="179" t="str">
        <f aca="false">Scoring!CJ254</f>
        <v/>
      </c>
    </row>
    <row r="248" customFormat="false" ht="15.75" hidden="false" customHeight="false" outlineLevel="0" collapsed="false">
      <c r="A248" s="6" t="str">
        <f aca="false">Scoring!CM255</f>
        <v/>
      </c>
      <c r="B248" s="6" t="str">
        <f aca="false">Scoring!CL255</f>
        <v/>
      </c>
      <c r="C248" s="6" t="n">
        <f aca="false">Scoring!C255</f>
        <v>0</v>
      </c>
      <c r="D248" s="178" t="str">
        <f aca="false">Scoring!CI255</f>
        <v/>
      </c>
      <c r="E248" s="6" t="str">
        <f aca="false">Scoring!BL255</f>
        <v/>
      </c>
      <c r="F248" s="6" t="n">
        <f aca="false">Scoring!B255</f>
        <v>0</v>
      </c>
      <c r="G248" s="6" t="n">
        <f aca="false">Scoring!D255</f>
        <v>0</v>
      </c>
      <c r="H248" s="6" t="str">
        <f aca="false">Scoring!CK255</f>
        <v/>
      </c>
      <c r="I248" s="179" t="str">
        <f aca="false">Scoring!CJ255</f>
        <v/>
      </c>
    </row>
    <row r="249" customFormat="false" ht="15.75" hidden="false" customHeight="false" outlineLevel="0" collapsed="false">
      <c r="A249" s="6" t="str">
        <f aca="false">Scoring!CM256</f>
        <v/>
      </c>
      <c r="B249" s="6" t="str">
        <f aca="false">Scoring!CL256</f>
        <v/>
      </c>
      <c r="C249" s="6" t="n">
        <f aca="false">Scoring!C256</f>
        <v>0</v>
      </c>
      <c r="D249" s="178" t="str">
        <f aca="false">Scoring!CI256</f>
        <v/>
      </c>
      <c r="E249" s="6" t="str">
        <f aca="false">Scoring!BL256</f>
        <v/>
      </c>
      <c r="F249" s="6" t="n">
        <f aca="false">Scoring!B256</f>
        <v>0</v>
      </c>
      <c r="G249" s="6" t="n">
        <f aca="false">Scoring!D256</f>
        <v>0</v>
      </c>
      <c r="H249" s="6" t="str">
        <f aca="false">Scoring!CK256</f>
        <v/>
      </c>
      <c r="I249" s="179" t="str">
        <f aca="false">Scoring!CJ256</f>
        <v/>
      </c>
    </row>
    <row r="250" customFormat="false" ht="15.75" hidden="false" customHeight="false" outlineLevel="0" collapsed="false">
      <c r="A250" s="6" t="str">
        <f aca="false">Scoring!CM257</f>
        <v/>
      </c>
      <c r="B250" s="6" t="str">
        <f aca="false">Scoring!CL257</f>
        <v/>
      </c>
      <c r="C250" s="6" t="n">
        <f aca="false">Scoring!C257</f>
        <v>0</v>
      </c>
      <c r="D250" s="178" t="str">
        <f aca="false">Scoring!CI257</f>
        <v/>
      </c>
      <c r="E250" s="6" t="str">
        <f aca="false">Scoring!BL257</f>
        <v/>
      </c>
      <c r="F250" s="6" t="n">
        <f aca="false">Scoring!B257</f>
        <v>0</v>
      </c>
      <c r="G250" s="6" t="n">
        <f aca="false">Scoring!D257</f>
        <v>0</v>
      </c>
      <c r="H250" s="6" t="str">
        <f aca="false">Scoring!CK257</f>
        <v/>
      </c>
      <c r="I250" s="179" t="str">
        <f aca="false">Scoring!CJ257</f>
        <v/>
      </c>
    </row>
    <row r="251" customFormat="false" ht="15.75" hidden="false" customHeight="false" outlineLevel="0" collapsed="false">
      <c r="A251" s="6" t="str">
        <f aca="false">Scoring!CM258</f>
        <v/>
      </c>
      <c r="B251" s="6" t="str">
        <f aca="false">Scoring!CL258</f>
        <v/>
      </c>
      <c r="C251" s="6" t="n">
        <f aca="false">Scoring!C258</f>
        <v>0</v>
      </c>
      <c r="D251" s="178" t="str">
        <f aca="false">Scoring!CI258</f>
        <v/>
      </c>
      <c r="E251" s="6" t="str">
        <f aca="false">Scoring!BL258</f>
        <v/>
      </c>
      <c r="F251" s="6" t="n">
        <f aca="false">Scoring!B258</f>
        <v>0</v>
      </c>
      <c r="G251" s="6" t="n">
        <f aca="false">Scoring!D258</f>
        <v>0</v>
      </c>
      <c r="H251" s="6" t="str">
        <f aca="false">Scoring!CK258</f>
        <v/>
      </c>
      <c r="I251" s="179" t="str">
        <f aca="false">Scoring!CJ258</f>
        <v/>
      </c>
    </row>
    <row r="252" customFormat="false" ht="15.75" hidden="false" customHeight="false" outlineLevel="0" collapsed="false">
      <c r="A252" s="6" t="str">
        <f aca="false">Scoring!CM259</f>
        <v/>
      </c>
      <c r="B252" s="6" t="str">
        <f aca="false">Scoring!CL259</f>
        <v/>
      </c>
      <c r="C252" s="6" t="n">
        <f aca="false">Scoring!C259</f>
        <v>0</v>
      </c>
      <c r="D252" s="178" t="str">
        <f aca="false">Scoring!CI259</f>
        <v/>
      </c>
      <c r="E252" s="6" t="str">
        <f aca="false">Scoring!BL259</f>
        <v/>
      </c>
      <c r="F252" s="6" t="n">
        <f aca="false">Scoring!B259</f>
        <v>0</v>
      </c>
      <c r="G252" s="6" t="n">
        <f aca="false">Scoring!D259</f>
        <v>0</v>
      </c>
      <c r="H252" s="6" t="str">
        <f aca="false">Scoring!CK259</f>
        <v/>
      </c>
      <c r="I252" s="179" t="str">
        <f aca="false">Scoring!CJ259</f>
        <v/>
      </c>
    </row>
    <row r="253" customFormat="false" ht="15.75" hidden="false" customHeight="false" outlineLevel="0" collapsed="false">
      <c r="A253" s="6" t="str">
        <f aca="false">Scoring!CM260</f>
        <v/>
      </c>
      <c r="B253" s="6" t="str">
        <f aca="false">Scoring!CL260</f>
        <v/>
      </c>
      <c r="C253" s="6" t="n">
        <f aca="false">Scoring!C260</f>
        <v>0</v>
      </c>
      <c r="D253" s="178" t="str">
        <f aca="false">Scoring!CI260</f>
        <v/>
      </c>
      <c r="E253" s="6" t="str">
        <f aca="false">Scoring!BL260</f>
        <v/>
      </c>
      <c r="F253" s="6" t="n">
        <f aca="false">Scoring!B260</f>
        <v>0</v>
      </c>
      <c r="G253" s="6" t="n">
        <f aca="false">Scoring!D260</f>
        <v>0</v>
      </c>
      <c r="H253" s="6" t="str">
        <f aca="false">Scoring!CK260</f>
        <v/>
      </c>
      <c r="I253" s="179" t="str">
        <f aca="false">Scoring!CJ260</f>
        <v/>
      </c>
    </row>
    <row r="254" customFormat="false" ht="15.75" hidden="false" customHeight="false" outlineLevel="0" collapsed="false">
      <c r="A254" s="6" t="str">
        <f aca="false">Scoring!CM261</f>
        <v/>
      </c>
      <c r="B254" s="6" t="str">
        <f aca="false">Scoring!CL261</f>
        <v/>
      </c>
      <c r="C254" s="6" t="n">
        <f aca="false">Scoring!C261</f>
        <v>0</v>
      </c>
      <c r="D254" s="178" t="str">
        <f aca="false">Scoring!CI261</f>
        <v/>
      </c>
      <c r="E254" s="6" t="str">
        <f aca="false">Scoring!BL261</f>
        <v/>
      </c>
      <c r="F254" s="6" t="n">
        <f aca="false">Scoring!B261</f>
        <v>0</v>
      </c>
      <c r="G254" s="6" t="n">
        <f aca="false">Scoring!D261</f>
        <v>0</v>
      </c>
      <c r="H254" s="6" t="str">
        <f aca="false">Scoring!CK261</f>
        <v/>
      </c>
      <c r="I254" s="179" t="str">
        <f aca="false">Scoring!CJ261</f>
        <v/>
      </c>
    </row>
    <row r="255" customFormat="false" ht="15.75" hidden="false" customHeight="false" outlineLevel="0" collapsed="false">
      <c r="A255" s="6" t="str">
        <f aca="false">Scoring!CM262</f>
        <v/>
      </c>
      <c r="B255" s="6" t="str">
        <f aca="false">Scoring!CL262</f>
        <v/>
      </c>
      <c r="C255" s="6" t="n">
        <f aca="false">Scoring!C262</f>
        <v>0</v>
      </c>
      <c r="D255" s="178" t="str">
        <f aca="false">Scoring!CI262</f>
        <v/>
      </c>
      <c r="E255" s="6" t="str">
        <f aca="false">Scoring!BL262</f>
        <v/>
      </c>
      <c r="F255" s="6" t="n">
        <f aca="false">Scoring!B262</f>
        <v>0</v>
      </c>
      <c r="G255" s="6" t="n">
        <f aca="false">Scoring!D262</f>
        <v>0</v>
      </c>
      <c r="H255" s="6" t="str">
        <f aca="false">Scoring!CK262</f>
        <v/>
      </c>
      <c r="I255" s="179" t="str">
        <f aca="false">Scoring!CJ262</f>
        <v/>
      </c>
    </row>
    <row r="256" customFormat="false" ht="15.75" hidden="false" customHeight="false" outlineLevel="0" collapsed="false">
      <c r="A256" s="6" t="str">
        <f aca="false">Scoring!CM263</f>
        <v/>
      </c>
      <c r="B256" s="6" t="str">
        <f aca="false">Scoring!CL263</f>
        <v/>
      </c>
      <c r="C256" s="6" t="n">
        <f aca="false">Scoring!C263</f>
        <v>0</v>
      </c>
      <c r="D256" s="178" t="str">
        <f aca="false">Scoring!CI263</f>
        <v/>
      </c>
      <c r="E256" s="6" t="str">
        <f aca="false">Scoring!BL263</f>
        <v/>
      </c>
      <c r="F256" s="6" t="n">
        <f aca="false">Scoring!B263</f>
        <v>0</v>
      </c>
      <c r="G256" s="6" t="n">
        <f aca="false">Scoring!D263</f>
        <v>0</v>
      </c>
      <c r="H256" s="6" t="str">
        <f aca="false">Scoring!CK263</f>
        <v/>
      </c>
      <c r="I256" s="179" t="str">
        <f aca="false">Scoring!CJ263</f>
        <v/>
      </c>
    </row>
    <row r="257" customFormat="false" ht="15.75" hidden="false" customHeight="false" outlineLevel="0" collapsed="false">
      <c r="A257" s="6" t="str">
        <f aca="false">Scoring!CM264</f>
        <v/>
      </c>
      <c r="B257" s="6" t="str">
        <f aca="false">Scoring!CL264</f>
        <v/>
      </c>
      <c r="C257" s="6" t="n">
        <f aca="false">Scoring!C264</f>
        <v>0</v>
      </c>
      <c r="D257" s="178" t="str">
        <f aca="false">Scoring!CI264</f>
        <v/>
      </c>
      <c r="E257" s="6" t="str">
        <f aca="false">Scoring!BL264</f>
        <v/>
      </c>
      <c r="F257" s="6" t="n">
        <f aca="false">Scoring!B264</f>
        <v>0</v>
      </c>
      <c r="G257" s="6" t="n">
        <f aca="false">Scoring!D264</f>
        <v>0</v>
      </c>
      <c r="H257" s="6" t="str">
        <f aca="false">Scoring!CK264</f>
        <v/>
      </c>
      <c r="I257" s="179" t="str">
        <f aca="false">Scoring!CJ264</f>
        <v/>
      </c>
    </row>
    <row r="258" customFormat="false" ht="15.75" hidden="false" customHeight="false" outlineLevel="0" collapsed="false">
      <c r="A258" s="6" t="str">
        <f aca="false">Scoring!CM265</f>
        <v/>
      </c>
      <c r="B258" s="6" t="str">
        <f aca="false">Scoring!CL265</f>
        <v/>
      </c>
      <c r="C258" s="6" t="n">
        <f aca="false">Scoring!C265</f>
        <v>0</v>
      </c>
      <c r="D258" s="178" t="str">
        <f aca="false">Scoring!CI265</f>
        <v/>
      </c>
      <c r="E258" s="6" t="str">
        <f aca="false">Scoring!BL265</f>
        <v/>
      </c>
      <c r="F258" s="6" t="n">
        <f aca="false">Scoring!B265</f>
        <v>0</v>
      </c>
      <c r="G258" s="6" t="n">
        <f aca="false">Scoring!D265</f>
        <v>0</v>
      </c>
      <c r="H258" s="6" t="str">
        <f aca="false">Scoring!CK265</f>
        <v/>
      </c>
      <c r="I258" s="179" t="str">
        <f aca="false">Scoring!CJ265</f>
        <v/>
      </c>
    </row>
    <row r="259" customFormat="false" ht="15.75" hidden="false" customHeight="false" outlineLevel="0" collapsed="false">
      <c r="A259" s="6" t="str">
        <f aca="false">Scoring!CM266</f>
        <v/>
      </c>
      <c r="B259" s="6" t="str">
        <f aca="false">Scoring!CL266</f>
        <v/>
      </c>
      <c r="C259" s="6" t="n">
        <f aca="false">Scoring!C266</f>
        <v>0</v>
      </c>
      <c r="D259" s="178" t="str">
        <f aca="false">Scoring!CI266</f>
        <v/>
      </c>
      <c r="E259" s="6" t="str">
        <f aca="false">Scoring!BL266</f>
        <v/>
      </c>
      <c r="F259" s="6" t="n">
        <f aca="false">Scoring!B266</f>
        <v>0</v>
      </c>
      <c r="G259" s="6" t="n">
        <f aca="false">Scoring!D266</f>
        <v>0</v>
      </c>
      <c r="H259" s="6" t="str">
        <f aca="false">Scoring!CK266</f>
        <v/>
      </c>
      <c r="I259" s="179" t="str">
        <f aca="false">Scoring!CJ266</f>
        <v/>
      </c>
    </row>
    <row r="260" customFormat="false" ht="15.75" hidden="false" customHeight="false" outlineLevel="0" collapsed="false">
      <c r="A260" s="6" t="str">
        <f aca="false">Scoring!CM267</f>
        <v/>
      </c>
      <c r="B260" s="6" t="str">
        <f aca="false">Scoring!CL267</f>
        <v/>
      </c>
      <c r="C260" s="6" t="n">
        <f aca="false">Scoring!C267</f>
        <v>0</v>
      </c>
      <c r="D260" s="178" t="str">
        <f aca="false">Scoring!CI267</f>
        <v/>
      </c>
      <c r="E260" s="6" t="str">
        <f aca="false">Scoring!BL267</f>
        <v/>
      </c>
      <c r="F260" s="6" t="n">
        <f aca="false">Scoring!B267</f>
        <v>0</v>
      </c>
      <c r="G260" s="6" t="n">
        <f aca="false">Scoring!D267</f>
        <v>0</v>
      </c>
      <c r="H260" s="6" t="str">
        <f aca="false">Scoring!CK267</f>
        <v/>
      </c>
      <c r="I260" s="179" t="str">
        <f aca="false">Scoring!CJ267</f>
        <v/>
      </c>
    </row>
    <row r="261" customFormat="false" ht="15.75" hidden="false" customHeight="false" outlineLevel="0" collapsed="false">
      <c r="A261" s="6" t="str">
        <f aca="false">Scoring!CM268</f>
        <v/>
      </c>
      <c r="B261" s="6" t="str">
        <f aca="false">Scoring!CL268</f>
        <v/>
      </c>
      <c r="C261" s="6" t="n">
        <f aca="false">Scoring!C268</f>
        <v>0</v>
      </c>
      <c r="D261" s="178" t="str">
        <f aca="false">Scoring!CI268</f>
        <v/>
      </c>
      <c r="E261" s="6" t="str">
        <f aca="false">Scoring!BL268</f>
        <v/>
      </c>
      <c r="F261" s="6" t="n">
        <f aca="false">Scoring!B268</f>
        <v>0</v>
      </c>
      <c r="G261" s="6" t="n">
        <f aca="false">Scoring!D268</f>
        <v>0</v>
      </c>
      <c r="H261" s="6" t="str">
        <f aca="false">Scoring!CK268</f>
        <v/>
      </c>
      <c r="I261" s="179" t="str">
        <f aca="false">Scoring!CJ268</f>
        <v/>
      </c>
    </row>
    <row r="262" customFormat="false" ht="15.75" hidden="false" customHeight="false" outlineLevel="0" collapsed="false">
      <c r="A262" s="6" t="str">
        <f aca="false">Scoring!CM269</f>
        <v/>
      </c>
      <c r="B262" s="6" t="str">
        <f aca="false">Scoring!CL269</f>
        <v/>
      </c>
      <c r="C262" s="6" t="n">
        <f aca="false">Scoring!C269</f>
        <v>0</v>
      </c>
      <c r="D262" s="178" t="str">
        <f aca="false">Scoring!CI269</f>
        <v/>
      </c>
      <c r="E262" s="6" t="str">
        <f aca="false">Scoring!BL269</f>
        <v/>
      </c>
      <c r="F262" s="6" t="n">
        <f aca="false">Scoring!B269</f>
        <v>0</v>
      </c>
      <c r="G262" s="6" t="n">
        <f aca="false">Scoring!D269</f>
        <v>0</v>
      </c>
      <c r="H262" s="6" t="str">
        <f aca="false">Scoring!CK269</f>
        <v/>
      </c>
      <c r="I262" s="179" t="str">
        <f aca="false">Scoring!CJ269</f>
        <v/>
      </c>
    </row>
    <row r="263" customFormat="false" ht="15.75" hidden="false" customHeight="false" outlineLevel="0" collapsed="false">
      <c r="A263" s="6" t="str">
        <f aca="false">Scoring!CM270</f>
        <v/>
      </c>
      <c r="B263" s="6" t="str">
        <f aca="false">Scoring!CL270</f>
        <v/>
      </c>
      <c r="C263" s="6" t="n">
        <f aca="false">Scoring!C270</f>
        <v>0</v>
      </c>
      <c r="D263" s="178" t="str">
        <f aca="false">Scoring!CI270</f>
        <v/>
      </c>
      <c r="E263" s="6" t="str">
        <f aca="false">Scoring!BL270</f>
        <v/>
      </c>
      <c r="F263" s="6" t="n">
        <f aca="false">Scoring!B270</f>
        <v>0</v>
      </c>
      <c r="G263" s="6" t="n">
        <f aca="false">Scoring!D270</f>
        <v>0</v>
      </c>
      <c r="H263" s="6" t="str">
        <f aca="false">Scoring!CK270</f>
        <v/>
      </c>
      <c r="I263" s="179" t="str">
        <f aca="false">Scoring!CJ270</f>
        <v/>
      </c>
    </row>
    <row r="264" customFormat="false" ht="15.75" hidden="false" customHeight="false" outlineLevel="0" collapsed="false">
      <c r="A264" s="6" t="str">
        <f aca="false">Scoring!CM271</f>
        <v/>
      </c>
      <c r="B264" s="6" t="str">
        <f aca="false">Scoring!CL271</f>
        <v/>
      </c>
      <c r="C264" s="6" t="n">
        <f aca="false">Scoring!C271</f>
        <v>0</v>
      </c>
      <c r="D264" s="178" t="str">
        <f aca="false">Scoring!CI271</f>
        <v/>
      </c>
      <c r="E264" s="6" t="str">
        <f aca="false">Scoring!BL271</f>
        <v/>
      </c>
      <c r="F264" s="6" t="n">
        <f aca="false">Scoring!B271</f>
        <v>0</v>
      </c>
      <c r="G264" s="6" t="n">
        <f aca="false">Scoring!D271</f>
        <v>0</v>
      </c>
      <c r="H264" s="6" t="str">
        <f aca="false">Scoring!CK271</f>
        <v/>
      </c>
      <c r="I264" s="179" t="str">
        <f aca="false">Scoring!CJ271</f>
        <v/>
      </c>
    </row>
    <row r="265" customFormat="false" ht="15.75" hidden="false" customHeight="false" outlineLevel="0" collapsed="false">
      <c r="A265" s="6" t="str">
        <f aca="false">Scoring!CM272</f>
        <v/>
      </c>
      <c r="B265" s="6" t="str">
        <f aca="false">Scoring!CL272</f>
        <v/>
      </c>
      <c r="C265" s="6" t="n">
        <f aca="false">Scoring!C272</f>
        <v>0</v>
      </c>
      <c r="D265" s="178" t="str">
        <f aca="false">Scoring!CI272</f>
        <v/>
      </c>
      <c r="E265" s="6" t="str">
        <f aca="false">Scoring!BL272</f>
        <v/>
      </c>
      <c r="F265" s="6" t="n">
        <f aca="false">Scoring!B272</f>
        <v>0</v>
      </c>
      <c r="G265" s="6" t="n">
        <f aca="false">Scoring!D272</f>
        <v>0</v>
      </c>
      <c r="H265" s="6" t="str">
        <f aca="false">Scoring!CK272</f>
        <v/>
      </c>
      <c r="I265" s="179" t="str">
        <f aca="false">Scoring!CJ272</f>
        <v/>
      </c>
    </row>
    <row r="266" customFormat="false" ht="15.75" hidden="false" customHeight="false" outlineLevel="0" collapsed="false">
      <c r="A266" s="6" t="str">
        <f aca="false">Scoring!CM273</f>
        <v/>
      </c>
      <c r="B266" s="6" t="str">
        <f aca="false">Scoring!CL273</f>
        <v/>
      </c>
      <c r="C266" s="6" t="n">
        <f aca="false">Scoring!C273</f>
        <v>0</v>
      </c>
      <c r="D266" s="178" t="str">
        <f aca="false">Scoring!CI273</f>
        <v/>
      </c>
      <c r="E266" s="6" t="str">
        <f aca="false">Scoring!BL273</f>
        <v/>
      </c>
      <c r="F266" s="6" t="n">
        <f aca="false">Scoring!B273</f>
        <v>0</v>
      </c>
      <c r="G266" s="6" t="n">
        <f aca="false">Scoring!D273</f>
        <v>0</v>
      </c>
      <c r="H266" s="6" t="str">
        <f aca="false">Scoring!CK273</f>
        <v/>
      </c>
      <c r="I266" s="179" t="str">
        <f aca="false">Scoring!CJ273</f>
        <v/>
      </c>
    </row>
    <row r="267" customFormat="false" ht="15.75" hidden="false" customHeight="false" outlineLevel="0" collapsed="false">
      <c r="A267" s="6" t="str">
        <f aca="false">Scoring!CM274</f>
        <v/>
      </c>
      <c r="B267" s="6" t="str">
        <f aca="false">Scoring!CL274</f>
        <v/>
      </c>
      <c r="C267" s="6" t="n">
        <f aca="false">Scoring!C274</f>
        <v>0</v>
      </c>
      <c r="D267" s="178" t="str">
        <f aca="false">Scoring!CI274</f>
        <v/>
      </c>
      <c r="E267" s="6" t="str">
        <f aca="false">Scoring!BL274</f>
        <v/>
      </c>
      <c r="F267" s="6" t="n">
        <f aca="false">Scoring!B274</f>
        <v>0</v>
      </c>
      <c r="G267" s="6" t="n">
        <f aca="false">Scoring!D274</f>
        <v>0</v>
      </c>
      <c r="H267" s="6" t="str">
        <f aca="false">Scoring!CK274</f>
        <v/>
      </c>
      <c r="I267" s="179" t="str">
        <f aca="false">Scoring!CJ274</f>
        <v/>
      </c>
    </row>
    <row r="268" customFormat="false" ht="15.75" hidden="false" customHeight="false" outlineLevel="0" collapsed="false">
      <c r="A268" s="6" t="str">
        <f aca="false">Scoring!CM275</f>
        <v/>
      </c>
      <c r="B268" s="6" t="str">
        <f aca="false">Scoring!CL275</f>
        <v/>
      </c>
      <c r="C268" s="6" t="n">
        <f aca="false">Scoring!C275</f>
        <v>0</v>
      </c>
      <c r="D268" s="178" t="str">
        <f aca="false">Scoring!CI275</f>
        <v/>
      </c>
      <c r="E268" s="6" t="str">
        <f aca="false">Scoring!BL275</f>
        <v/>
      </c>
      <c r="F268" s="6" t="n">
        <f aca="false">Scoring!B275</f>
        <v>0</v>
      </c>
      <c r="G268" s="6" t="n">
        <f aca="false">Scoring!D275</f>
        <v>0</v>
      </c>
      <c r="H268" s="6" t="str">
        <f aca="false">Scoring!CK275</f>
        <v/>
      </c>
      <c r="I268" s="179" t="str">
        <f aca="false">Scoring!CJ275</f>
        <v/>
      </c>
    </row>
    <row r="269" customFormat="false" ht="15.75" hidden="false" customHeight="false" outlineLevel="0" collapsed="false">
      <c r="A269" s="6" t="str">
        <f aca="false">Scoring!CM276</f>
        <v/>
      </c>
      <c r="B269" s="6" t="str">
        <f aca="false">Scoring!CL276</f>
        <v/>
      </c>
      <c r="C269" s="6" t="n">
        <f aca="false">Scoring!C276</f>
        <v>0</v>
      </c>
      <c r="D269" s="178" t="str">
        <f aca="false">Scoring!CI276</f>
        <v/>
      </c>
      <c r="E269" s="6" t="str">
        <f aca="false">Scoring!BL276</f>
        <v/>
      </c>
      <c r="F269" s="6" t="n">
        <f aca="false">Scoring!B276</f>
        <v>0</v>
      </c>
      <c r="G269" s="6" t="n">
        <f aca="false">Scoring!D276</f>
        <v>0</v>
      </c>
      <c r="H269" s="6" t="str">
        <f aca="false">Scoring!CK276</f>
        <v/>
      </c>
      <c r="I269" s="179" t="str">
        <f aca="false">Scoring!CJ276</f>
        <v/>
      </c>
    </row>
    <row r="270" customFormat="false" ht="15.75" hidden="false" customHeight="false" outlineLevel="0" collapsed="false">
      <c r="A270" s="6" t="str">
        <f aca="false">Scoring!CM277</f>
        <v/>
      </c>
      <c r="B270" s="6" t="str">
        <f aca="false">Scoring!CL277</f>
        <v/>
      </c>
      <c r="C270" s="6" t="n">
        <f aca="false">Scoring!C277</f>
        <v>0</v>
      </c>
      <c r="D270" s="178" t="str">
        <f aca="false">Scoring!CI277</f>
        <v/>
      </c>
      <c r="E270" s="6" t="str">
        <f aca="false">Scoring!BL277</f>
        <v/>
      </c>
      <c r="F270" s="6" t="n">
        <f aca="false">Scoring!B277</f>
        <v>0</v>
      </c>
      <c r="G270" s="6" t="n">
        <f aca="false">Scoring!D277</f>
        <v>0</v>
      </c>
      <c r="H270" s="6" t="str">
        <f aca="false">Scoring!CK277</f>
        <v/>
      </c>
      <c r="I270" s="179" t="str">
        <f aca="false">Scoring!CJ277</f>
        <v/>
      </c>
    </row>
    <row r="271" customFormat="false" ht="15.75" hidden="false" customHeight="false" outlineLevel="0" collapsed="false">
      <c r="A271" s="6" t="str">
        <f aca="false">Scoring!CM278</f>
        <v/>
      </c>
      <c r="B271" s="6" t="str">
        <f aca="false">Scoring!CL278</f>
        <v/>
      </c>
      <c r="C271" s="6" t="n">
        <f aca="false">Scoring!C278</f>
        <v>0</v>
      </c>
      <c r="D271" s="178" t="str">
        <f aca="false">Scoring!CI278</f>
        <v/>
      </c>
      <c r="E271" s="6" t="str">
        <f aca="false">Scoring!BL278</f>
        <v/>
      </c>
      <c r="F271" s="6" t="n">
        <f aca="false">Scoring!B278</f>
        <v>0</v>
      </c>
      <c r="G271" s="6" t="n">
        <f aca="false">Scoring!D278</f>
        <v>0</v>
      </c>
      <c r="H271" s="6" t="str">
        <f aca="false">Scoring!CK278</f>
        <v/>
      </c>
      <c r="I271" s="179" t="str">
        <f aca="false">Scoring!CJ278</f>
        <v/>
      </c>
    </row>
    <row r="272" customFormat="false" ht="15.75" hidden="false" customHeight="false" outlineLevel="0" collapsed="false">
      <c r="A272" s="6" t="str">
        <f aca="false">Scoring!CM279</f>
        <v/>
      </c>
      <c r="B272" s="6" t="str">
        <f aca="false">Scoring!CL279</f>
        <v/>
      </c>
      <c r="C272" s="6" t="n">
        <f aca="false">Scoring!C279</f>
        <v>0</v>
      </c>
      <c r="D272" s="178" t="str">
        <f aca="false">Scoring!CI279</f>
        <v/>
      </c>
      <c r="E272" s="6" t="str">
        <f aca="false">Scoring!BL279</f>
        <v/>
      </c>
      <c r="F272" s="6" t="n">
        <f aca="false">Scoring!B279</f>
        <v>0</v>
      </c>
      <c r="G272" s="6" t="n">
        <f aca="false">Scoring!D279</f>
        <v>0</v>
      </c>
      <c r="H272" s="6" t="str">
        <f aca="false">Scoring!CK279</f>
        <v/>
      </c>
      <c r="I272" s="179" t="str">
        <f aca="false">Scoring!CJ279</f>
        <v/>
      </c>
    </row>
    <row r="273" customFormat="false" ht="15.75" hidden="false" customHeight="false" outlineLevel="0" collapsed="false">
      <c r="A273" s="6" t="str">
        <f aca="false">Scoring!CM280</f>
        <v/>
      </c>
      <c r="B273" s="6" t="str">
        <f aca="false">Scoring!CL280</f>
        <v/>
      </c>
      <c r="C273" s="6" t="n">
        <f aca="false">Scoring!C280</f>
        <v>0</v>
      </c>
      <c r="D273" s="178" t="str">
        <f aca="false">Scoring!CI280</f>
        <v/>
      </c>
      <c r="E273" s="6" t="str">
        <f aca="false">Scoring!BL280</f>
        <v/>
      </c>
      <c r="F273" s="6" t="n">
        <f aca="false">Scoring!B280</f>
        <v>0</v>
      </c>
      <c r="G273" s="6" t="n">
        <f aca="false">Scoring!D280</f>
        <v>0</v>
      </c>
      <c r="H273" s="6" t="str">
        <f aca="false">Scoring!CK280</f>
        <v/>
      </c>
      <c r="I273" s="179" t="str">
        <f aca="false">Scoring!CJ280</f>
        <v/>
      </c>
    </row>
    <row r="274" customFormat="false" ht="15.75" hidden="false" customHeight="false" outlineLevel="0" collapsed="false">
      <c r="A274" s="6" t="str">
        <f aca="false">Scoring!CM281</f>
        <v/>
      </c>
      <c r="B274" s="6" t="str">
        <f aca="false">Scoring!CL281</f>
        <v/>
      </c>
      <c r="C274" s="6" t="n">
        <f aca="false">Scoring!C281</f>
        <v>0</v>
      </c>
      <c r="D274" s="178" t="str">
        <f aca="false">Scoring!CI281</f>
        <v/>
      </c>
      <c r="E274" s="6" t="str">
        <f aca="false">Scoring!BL281</f>
        <v/>
      </c>
      <c r="F274" s="6" t="n">
        <f aca="false">Scoring!B281</f>
        <v>0</v>
      </c>
      <c r="G274" s="6" t="n">
        <f aca="false">Scoring!D281</f>
        <v>0</v>
      </c>
      <c r="H274" s="6" t="str">
        <f aca="false">Scoring!CK281</f>
        <v/>
      </c>
      <c r="I274" s="179" t="str">
        <f aca="false">Scoring!CJ281</f>
        <v/>
      </c>
    </row>
    <row r="275" customFormat="false" ht="15.75" hidden="false" customHeight="false" outlineLevel="0" collapsed="false">
      <c r="A275" s="6" t="str">
        <f aca="false">Scoring!CM282</f>
        <v/>
      </c>
      <c r="B275" s="6" t="str">
        <f aca="false">Scoring!CL282</f>
        <v/>
      </c>
      <c r="C275" s="6" t="n">
        <f aca="false">Scoring!C282</f>
        <v>0</v>
      </c>
      <c r="D275" s="178" t="str">
        <f aca="false">Scoring!CI282</f>
        <v/>
      </c>
      <c r="E275" s="6" t="str">
        <f aca="false">Scoring!BL282</f>
        <v/>
      </c>
      <c r="F275" s="6" t="n">
        <f aca="false">Scoring!B282</f>
        <v>0</v>
      </c>
      <c r="G275" s="6" t="n">
        <f aca="false">Scoring!D282</f>
        <v>0</v>
      </c>
      <c r="H275" s="6" t="str">
        <f aca="false">Scoring!CK282</f>
        <v/>
      </c>
      <c r="I275" s="179" t="str">
        <f aca="false">Scoring!CJ282</f>
        <v/>
      </c>
    </row>
    <row r="276" customFormat="false" ht="15.75" hidden="false" customHeight="false" outlineLevel="0" collapsed="false">
      <c r="A276" s="6" t="str">
        <f aca="false">Scoring!CM283</f>
        <v/>
      </c>
      <c r="B276" s="6" t="str">
        <f aca="false">Scoring!CL283</f>
        <v/>
      </c>
      <c r="C276" s="6" t="n">
        <f aca="false">Scoring!C283</f>
        <v>0</v>
      </c>
      <c r="D276" s="178" t="str">
        <f aca="false">Scoring!CI283</f>
        <v/>
      </c>
      <c r="E276" s="6" t="str">
        <f aca="false">Scoring!BL283</f>
        <v/>
      </c>
      <c r="F276" s="6" t="n">
        <f aca="false">Scoring!B283</f>
        <v>0</v>
      </c>
      <c r="G276" s="6" t="n">
        <f aca="false">Scoring!D283</f>
        <v>0</v>
      </c>
      <c r="H276" s="6" t="str">
        <f aca="false">Scoring!CK283</f>
        <v/>
      </c>
      <c r="I276" s="179" t="str">
        <f aca="false">Scoring!CJ283</f>
        <v/>
      </c>
    </row>
    <row r="277" customFormat="false" ht="15.75" hidden="false" customHeight="false" outlineLevel="0" collapsed="false">
      <c r="A277" s="6" t="str">
        <f aca="false">Scoring!CM284</f>
        <v/>
      </c>
      <c r="B277" s="6" t="str">
        <f aca="false">Scoring!CL284</f>
        <v/>
      </c>
      <c r="C277" s="6" t="n">
        <f aca="false">Scoring!C284</f>
        <v>0</v>
      </c>
      <c r="D277" s="178" t="str">
        <f aca="false">Scoring!CI284</f>
        <v/>
      </c>
      <c r="E277" s="6" t="str">
        <f aca="false">Scoring!BL284</f>
        <v/>
      </c>
      <c r="F277" s="6" t="n">
        <f aca="false">Scoring!B284</f>
        <v>0</v>
      </c>
      <c r="G277" s="6" t="n">
        <f aca="false">Scoring!D284</f>
        <v>0</v>
      </c>
      <c r="H277" s="6" t="str">
        <f aca="false">Scoring!CK284</f>
        <v/>
      </c>
      <c r="I277" s="179" t="str">
        <f aca="false">Scoring!CJ284</f>
        <v/>
      </c>
    </row>
    <row r="278" customFormat="false" ht="15.75" hidden="false" customHeight="false" outlineLevel="0" collapsed="false">
      <c r="A278" s="6" t="str">
        <f aca="false">Scoring!CM285</f>
        <v/>
      </c>
      <c r="B278" s="6" t="str">
        <f aca="false">Scoring!CL285</f>
        <v/>
      </c>
      <c r="C278" s="6" t="n">
        <f aca="false">Scoring!C285</f>
        <v>0</v>
      </c>
      <c r="D278" s="178" t="str">
        <f aca="false">Scoring!CI285</f>
        <v/>
      </c>
      <c r="E278" s="6" t="str">
        <f aca="false">Scoring!BL285</f>
        <v/>
      </c>
      <c r="F278" s="6" t="n">
        <f aca="false">Scoring!B285</f>
        <v>0</v>
      </c>
      <c r="G278" s="6" t="n">
        <f aca="false">Scoring!D285</f>
        <v>0</v>
      </c>
      <c r="H278" s="6" t="str">
        <f aca="false">Scoring!CK285</f>
        <v/>
      </c>
      <c r="I278" s="179" t="str">
        <f aca="false">Scoring!CJ285</f>
        <v/>
      </c>
    </row>
    <row r="279" customFormat="false" ht="15.75" hidden="false" customHeight="false" outlineLevel="0" collapsed="false">
      <c r="A279" s="6" t="str">
        <f aca="false">Scoring!CM286</f>
        <v/>
      </c>
      <c r="B279" s="6" t="str">
        <f aca="false">Scoring!CL286</f>
        <v/>
      </c>
      <c r="C279" s="6" t="n">
        <f aca="false">Scoring!C286</f>
        <v>0</v>
      </c>
      <c r="D279" s="178" t="str">
        <f aca="false">Scoring!CI286</f>
        <v/>
      </c>
      <c r="E279" s="6" t="str">
        <f aca="false">Scoring!BL286</f>
        <v/>
      </c>
      <c r="F279" s="6" t="n">
        <f aca="false">Scoring!B286</f>
        <v>0</v>
      </c>
      <c r="G279" s="6" t="n">
        <f aca="false">Scoring!D286</f>
        <v>0</v>
      </c>
      <c r="H279" s="6" t="str">
        <f aca="false">Scoring!CK286</f>
        <v/>
      </c>
      <c r="I279" s="179" t="str">
        <f aca="false">Scoring!CJ286</f>
        <v/>
      </c>
    </row>
    <row r="280" customFormat="false" ht="15.75" hidden="false" customHeight="false" outlineLevel="0" collapsed="false">
      <c r="A280" s="6" t="str">
        <f aca="false">Scoring!CM287</f>
        <v/>
      </c>
      <c r="B280" s="6" t="str">
        <f aca="false">Scoring!CL287</f>
        <v/>
      </c>
      <c r="C280" s="6" t="n">
        <f aca="false">Scoring!C287</f>
        <v>0</v>
      </c>
      <c r="D280" s="178" t="str">
        <f aca="false">Scoring!CI287</f>
        <v/>
      </c>
      <c r="E280" s="6" t="str">
        <f aca="false">Scoring!BL287</f>
        <v/>
      </c>
      <c r="F280" s="6" t="n">
        <f aca="false">Scoring!B287</f>
        <v>0</v>
      </c>
      <c r="G280" s="6" t="n">
        <f aca="false">Scoring!D287</f>
        <v>0</v>
      </c>
      <c r="H280" s="6" t="str">
        <f aca="false">Scoring!CK287</f>
        <v/>
      </c>
      <c r="I280" s="179" t="str">
        <f aca="false">Scoring!CJ287</f>
        <v/>
      </c>
    </row>
    <row r="281" customFormat="false" ht="15.75" hidden="false" customHeight="false" outlineLevel="0" collapsed="false">
      <c r="A281" s="6" t="str">
        <f aca="false">Scoring!CM288</f>
        <v/>
      </c>
      <c r="B281" s="6" t="str">
        <f aca="false">Scoring!CL288</f>
        <v/>
      </c>
      <c r="C281" s="6" t="n">
        <f aca="false">Scoring!C288</f>
        <v>0</v>
      </c>
      <c r="D281" s="178" t="str">
        <f aca="false">Scoring!CI288</f>
        <v/>
      </c>
      <c r="E281" s="6" t="str">
        <f aca="false">Scoring!BL288</f>
        <v/>
      </c>
      <c r="F281" s="6" t="n">
        <f aca="false">Scoring!B288</f>
        <v>0</v>
      </c>
      <c r="G281" s="6" t="n">
        <f aca="false">Scoring!D288</f>
        <v>0</v>
      </c>
      <c r="H281" s="6" t="str">
        <f aca="false">Scoring!CK288</f>
        <v/>
      </c>
      <c r="I281" s="179" t="str">
        <f aca="false">Scoring!CJ288</f>
        <v/>
      </c>
    </row>
    <row r="282" customFormat="false" ht="15.75" hidden="false" customHeight="false" outlineLevel="0" collapsed="false">
      <c r="A282" s="6" t="str">
        <f aca="false">Scoring!CM289</f>
        <v/>
      </c>
      <c r="B282" s="6" t="str">
        <f aca="false">Scoring!CL289</f>
        <v/>
      </c>
      <c r="C282" s="6" t="n">
        <f aca="false">Scoring!C289</f>
        <v>0</v>
      </c>
      <c r="D282" s="178" t="str">
        <f aca="false">Scoring!CI289</f>
        <v/>
      </c>
      <c r="E282" s="6" t="str">
        <f aca="false">Scoring!BL289</f>
        <v/>
      </c>
      <c r="F282" s="6" t="n">
        <f aca="false">Scoring!B289</f>
        <v>0</v>
      </c>
      <c r="G282" s="6" t="n">
        <f aca="false">Scoring!D289</f>
        <v>0</v>
      </c>
      <c r="H282" s="6" t="str">
        <f aca="false">Scoring!CK289</f>
        <v/>
      </c>
      <c r="I282" s="179" t="str">
        <f aca="false">Scoring!CJ289</f>
        <v/>
      </c>
    </row>
    <row r="283" customFormat="false" ht="15.75" hidden="false" customHeight="false" outlineLevel="0" collapsed="false">
      <c r="A283" s="6" t="str">
        <f aca="false">Scoring!CM290</f>
        <v/>
      </c>
      <c r="B283" s="6" t="str">
        <f aca="false">Scoring!CL290</f>
        <v/>
      </c>
      <c r="C283" s="6" t="n">
        <f aca="false">Scoring!C290</f>
        <v>0</v>
      </c>
      <c r="D283" s="178" t="str">
        <f aca="false">Scoring!CI290</f>
        <v/>
      </c>
      <c r="E283" s="6" t="str">
        <f aca="false">Scoring!BL290</f>
        <v/>
      </c>
      <c r="F283" s="6" t="n">
        <f aca="false">Scoring!B290</f>
        <v>0</v>
      </c>
      <c r="G283" s="6" t="n">
        <f aca="false">Scoring!D290</f>
        <v>0</v>
      </c>
      <c r="H283" s="6" t="str">
        <f aca="false">Scoring!CK290</f>
        <v/>
      </c>
      <c r="I283" s="179" t="str">
        <f aca="false">Scoring!CJ290</f>
        <v/>
      </c>
    </row>
    <row r="284" customFormat="false" ht="15.75" hidden="false" customHeight="false" outlineLevel="0" collapsed="false">
      <c r="A284" s="6" t="str">
        <f aca="false">Scoring!CM291</f>
        <v/>
      </c>
      <c r="B284" s="6" t="str">
        <f aca="false">Scoring!CL291</f>
        <v/>
      </c>
      <c r="C284" s="6" t="n">
        <f aca="false">Scoring!C291</f>
        <v>0</v>
      </c>
      <c r="D284" s="178" t="str">
        <f aca="false">Scoring!CI291</f>
        <v/>
      </c>
      <c r="E284" s="6" t="str">
        <f aca="false">Scoring!BL291</f>
        <v/>
      </c>
      <c r="F284" s="6" t="n">
        <f aca="false">Scoring!B291</f>
        <v>0</v>
      </c>
      <c r="G284" s="6" t="n">
        <f aca="false">Scoring!D291</f>
        <v>0</v>
      </c>
      <c r="H284" s="6" t="str">
        <f aca="false">Scoring!CK291</f>
        <v/>
      </c>
      <c r="I284" s="179" t="str">
        <f aca="false">Scoring!CJ291</f>
        <v/>
      </c>
    </row>
    <row r="285" customFormat="false" ht="15.75" hidden="false" customHeight="false" outlineLevel="0" collapsed="false">
      <c r="A285" s="6" t="str">
        <f aca="false">Scoring!CM292</f>
        <v/>
      </c>
      <c r="B285" s="6" t="str">
        <f aca="false">Scoring!CL292</f>
        <v/>
      </c>
      <c r="C285" s="6" t="n">
        <f aca="false">Scoring!C292</f>
        <v>0</v>
      </c>
      <c r="D285" s="178" t="str">
        <f aca="false">Scoring!CI292</f>
        <v/>
      </c>
      <c r="E285" s="6" t="str">
        <f aca="false">Scoring!BL292</f>
        <v/>
      </c>
      <c r="F285" s="6" t="n">
        <f aca="false">Scoring!B292</f>
        <v>0</v>
      </c>
      <c r="G285" s="6" t="n">
        <f aca="false">Scoring!D292</f>
        <v>0</v>
      </c>
      <c r="H285" s="6" t="str">
        <f aca="false">Scoring!CK292</f>
        <v/>
      </c>
      <c r="I285" s="179" t="str">
        <f aca="false">Scoring!CJ292</f>
        <v/>
      </c>
    </row>
    <row r="286" customFormat="false" ht="15.75" hidden="false" customHeight="false" outlineLevel="0" collapsed="false">
      <c r="A286" s="6" t="str">
        <f aca="false">Scoring!CM293</f>
        <v/>
      </c>
      <c r="B286" s="6" t="str">
        <f aca="false">Scoring!CL293</f>
        <v/>
      </c>
      <c r="C286" s="6" t="n">
        <f aca="false">Scoring!C293</f>
        <v>0</v>
      </c>
      <c r="D286" s="178" t="str">
        <f aca="false">Scoring!CI293</f>
        <v/>
      </c>
      <c r="E286" s="6" t="str">
        <f aca="false">Scoring!BL293</f>
        <v/>
      </c>
      <c r="F286" s="6" t="n">
        <f aca="false">Scoring!B293</f>
        <v>0</v>
      </c>
      <c r="G286" s="6" t="n">
        <f aca="false">Scoring!D293</f>
        <v>0</v>
      </c>
      <c r="H286" s="6" t="str">
        <f aca="false">Scoring!CK293</f>
        <v/>
      </c>
      <c r="I286" s="179" t="str">
        <f aca="false">Scoring!CJ293</f>
        <v/>
      </c>
    </row>
    <row r="287" customFormat="false" ht="15.75" hidden="false" customHeight="false" outlineLevel="0" collapsed="false">
      <c r="A287" s="6" t="str">
        <f aca="false">Scoring!CM294</f>
        <v/>
      </c>
      <c r="B287" s="6" t="str">
        <f aca="false">Scoring!CL294</f>
        <v/>
      </c>
      <c r="C287" s="6" t="n">
        <f aca="false">Scoring!C294</f>
        <v>0</v>
      </c>
      <c r="D287" s="178" t="str">
        <f aca="false">Scoring!CI294</f>
        <v/>
      </c>
      <c r="E287" s="6" t="str">
        <f aca="false">Scoring!BL294</f>
        <v/>
      </c>
      <c r="F287" s="6" t="n">
        <f aca="false">Scoring!B294</f>
        <v>0</v>
      </c>
      <c r="G287" s="6" t="n">
        <f aca="false">Scoring!D294</f>
        <v>0</v>
      </c>
      <c r="H287" s="6" t="str">
        <f aca="false">Scoring!CK294</f>
        <v/>
      </c>
      <c r="I287" s="179" t="str">
        <f aca="false">Scoring!CJ294</f>
        <v/>
      </c>
    </row>
    <row r="288" customFormat="false" ht="15.75" hidden="false" customHeight="false" outlineLevel="0" collapsed="false">
      <c r="A288" s="6" t="str">
        <f aca="false">Scoring!CM295</f>
        <v/>
      </c>
      <c r="B288" s="6" t="str">
        <f aca="false">Scoring!CL295</f>
        <v/>
      </c>
      <c r="C288" s="6" t="n">
        <f aca="false">Scoring!C295</f>
        <v>0</v>
      </c>
      <c r="D288" s="178" t="str">
        <f aca="false">Scoring!CI295</f>
        <v/>
      </c>
      <c r="E288" s="6" t="str">
        <f aca="false">Scoring!BL295</f>
        <v/>
      </c>
      <c r="F288" s="6" t="n">
        <f aca="false">Scoring!B295</f>
        <v>0</v>
      </c>
      <c r="G288" s="6" t="n">
        <f aca="false">Scoring!D295</f>
        <v>0</v>
      </c>
      <c r="H288" s="6" t="str">
        <f aca="false">Scoring!CK295</f>
        <v/>
      </c>
      <c r="I288" s="179" t="str">
        <f aca="false">Scoring!CJ295</f>
        <v/>
      </c>
    </row>
    <row r="289" customFormat="false" ht="15.75" hidden="false" customHeight="false" outlineLevel="0" collapsed="false">
      <c r="A289" s="6" t="str">
        <f aca="false">Scoring!CM296</f>
        <v/>
      </c>
      <c r="B289" s="6" t="str">
        <f aca="false">Scoring!CL296</f>
        <v/>
      </c>
      <c r="C289" s="6" t="n">
        <f aca="false">Scoring!C296</f>
        <v>0</v>
      </c>
      <c r="D289" s="178" t="str">
        <f aca="false">Scoring!CI296</f>
        <v/>
      </c>
      <c r="E289" s="6" t="str">
        <f aca="false">Scoring!BL296</f>
        <v/>
      </c>
      <c r="F289" s="6" t="n">
        <f aca="false">Scoring!B296</f>
        <v>0</v>
      </c>
      <c r="G289" s="6" t="n">
        <f aca="false">Scoring!D296</f>
        <v>0</v>
      </c>
      <c r="H289" s="6" t="str">
        <f aca="false">Scoring!CK296</f>
        <v/>
      </c>
      <c r="I289" s="179" t="str">
        <f aca="false">Scoring!CJ296</f>
        <v/>
      </c>
    </row>
    <row r="290" customFormat="false" ht="15.75" hidden="false" customHeight="false" outlineLevel="0" collapsed="false">
      <c r="A290" s="6" t="str">
        <f aca="false">Scoring!CM297</f>
        <v/>
      </c>
      <c r="B290" s="6" t="str">
        <f aca="false">Scoring!CL297</f>
        <v/>
      </c>
      <c r="C290" s="6" t="n">
        <f aca="false">Scoring!C297</f>
        <v>0</v>
      </c>
      <c r="D290" s="178" t="str">
        <f aca="false">Scoring!CI297</f>
        <v/>
      </c>
      <c r="E290" s="6" t="str">
        <f aca="false">Scoring!BL297</f>
        <v/>
      </c>
      <c r="F290" s="6" t="n">
        <f aca="false">Scoring!B297</f>
        <v>0</v>
      </c>
      <c r="G290" s="6" t="n">
        <f aca="false">Scoring!D297</f>
        <v>0</v>
      </c>
      <c r="H290" s="6" t="str">
        <f aca="false">Scoring!CK297</f>
        <v/>
      </c>
      <c r="I290" s="179" t="str">
        <f aca="false">Scoring!CJ297</f>
        <v/>
      </c>
    </row>
    <row r="291" customFormat="false" ht="15.75" hidden="false" customHeight="false" outlineLevel="0" collapsed="false">
      <c r="A291" s="6" t="str">
        <f aca="false">Scoring!CM298</f>
        <v/>
      </c>
      <c r="B291" s="6" t="str">
        <f aca="false">Scoring!CL298</f>
        <v/>
      </c>
      <c r="C291" s="6" t="n">
        <f aca="false">Scoring!C298</f>
        <v>0</v>
      </c>
      <c r="D291" s="178" t="str">
        <f aca="false">Scoring!CI298</f>
        <v/>
      </c>
      <c r="E291" s="6" t="str">
        <f aca="false">Scoring!BL298</f>
        <v/>
      </c>
      <c r="F291" s="6" t="n">
        <f aca="false">Scoring!B298</f>
        <v>0</v>
      </c>
      <c r="G291" s="6" t="n">
        <f aca="false">Scoring!D298</f>
        <v>0</v>
      </c>
      <c r="H291" s="6" t="str">
        <f aca="false">Scoring!CK298</f>
        <v/>
      </c>
      <c r="I291" s="179" t="str">
        <f aca="false">Scoring!CJ298</f>
        <v/>
      </c>
    </row>
    <row r="292" customFormat="false" ht="15.75" hidden="false" customHeight="false" outlineLevel="0" collapsed="false">
      <c r="A292" s="6" t="str">
        <f aca="false">Scoring!CM299</f>
        <v/>
      </c>
      <c r="B292" s="6" t="str">
        <f aca="false">Scoring!CL299</f>
        <v/>
      </c>
      <c r="C292" s="6" t="n">
        <f aca="false">Scoring!C299</f>
        <v>0</v>
      </c>
      <c r="D292" s="178" t="str">
        <f aca="false">Scoring!CI299</f>
        <v/>
      </c>
      <c r="E292" s="6" t="str">
        <f aca="false">Scoring!BL299</f>
        <v/>
      </c>
      <c r="F292" s="6" t="n">
        <f aca="false">Scoring!B299</f>
        <v>0</v>
      </c>
      <c r="G292" s="6" t="n">
        <f aca="false">Scoring!D299</f>
        <v>0</v>
      </c>
      <c r="H292" s="6" t="str">
        <f aca="false">Scoring!CK299</f>
        <v/>
      </c>
      <c r="I292" s="179" t="str">
        <f aca="false">Scoring!CJ299</f>
        <v/>
      </c>
    </row>
    <row r="293" customFormat="false" ht="15.75" hidden="false" customHeight="false" outlineLevel="0" collapsed="false">
      <c r="A293" s="6" t="str">
        <f aca="false">Scoring!CM300</f>
        <v/>
      </c>
      <c r="B293" s="6" t="str">
        <f aca="false">Scoring!CL300</f>
        <v/>
      </c>
      <c r="C293" s="6" t="n">
        <f aca="false">Scoring!C300</f>
        <v>0</v>
      </c>
      <c r="D293" s="178" t="str">
        <f aca="false">Scoring!CI300</f>
        <v/>
      </c>
      <c r="E293" s="6" t="str">
        <f aca="false">Scoring!BL300</f>
        <v/>
      </c>
      <c r="F293" s="6" t="n">
        <f aca="false">Scoring!B300</f>
        <v>0</v>
      </c>
      <c r="G293" s="6" t="n">
        <f aca="false">Scoring!D300</f>
        <v>0</v>
      </c>
      <c r="H293" s="6" t="str">
        <f aca="false">Scoring!CK300</f>
        <v/>
      </c>
      <c r="I293" s="179" t="str">
        <f aca="false">Scoring!CJ300</f>
        <v/>
      </c>
    </row>
    <row r="294" customFormat="false" ht="15.75" hidden="false" customHeight="false" outlineLevel="0" collapsed="false">
      <c r="A294" s="6" t="str">
        <f aca="false">Scoring!CM301</f>
        <v/>
      </c>
      <c r="B294" s="6" t="str">
        <f aca="false">Scoring!CL301</f>
        <v/>
      </c>
      <c r="C294" s="6" t="n">
        <f aca="false">Scoring!C301</f>
        <v>0</v>
      </c>
      <c r="D294" s="178" t="str">
        <f aca="false">Scoring!CI301</f>
        <v/>
      </c>
      <c r="E294" s="6" t="str">
        <f aca="false">Scoring!BL301</f>
        <v/>
      </c>
      <c r="F294" s="6" t="n">
        <f aca="false">Scoring!B301</f>
        <v>0</v>
      </c>
      <c r="G294" s="6" t="n">
        <f aca="false">Scoring!D301</f>
        <v>0</v>
      </c>
      <c r="H294" s="6" t="str">
        <f aca="false">Scoring!CK301</f>
        <v/>
      </c>
      <c r="I294" s="179" t="str">
        <f aca="false">Scoring!CJ301</f>
        <v/>
      </c>
    </row>
    <row r="295" customFormat="false" ht="15.75" hidden="false" customHeight="false" outlineLevel="0" collapsed="false">
      <c r="A295" s="6" t="str">
        <f aca="false">Scoring!CM302</f>
        <v/>
      </c>
      <c r="B295" s="6" t="str">
        <f aca="false">Scoring!CL302</f>
        <v/>
      </c>
      <c r="C295" s="6" t="n">
        <f aca="false">Scoring!C302</f>
        <v>0</v>
      </c>
      <c r="D295" s="178" t="str">
        <f aca="false">Scoring!CI302</f>
        <v/>
      </c>
      <c r="E295" s="6" t="str">
        <f aca="false">Scoring!BL302</f>
        <v/>
      </c>
      <c r="F295" s="6" t="n">
        <f aca="false">Scoring!B302</f>
        <v>0</v>
      </c>
      <c r="G295" s="6" t="n">
        <f aca="false">Scoring!D302</f>
        <v>0</v>
      </c>
      <c r="H295" s="6" t="str">
        <f aca="false">Scoring!CK302</f>
        <v/>
      </c>
      <c r="I295" s="179" t="str">
        <f aca="false">Scoring!CJ302</f>
        <v/>
      </c>
    </row>
    <row r="296" customFormat="false" ht="15.75" hidden="false" customHeight="false" outlineLevel="0" collapsed="false">
      <c r="A296" s="6" t="str">
        <f aca="false">Scoring!CM303</f>
        <v/>
      </c>
      <c r="B296" s="6" t="str">
        <f aca="false">Scoring!CL303</f>
        <v/>
      </c>
      <c r="C296" s="6" t="n">
        <f aca="false">Scoring!C303</f>
        <v>0</v>
      </c>
      <c r="D296" s="178" t="str">
        <f aca="false">Scoring!CI303</f>
        <v/>
      </c>
      <c r="E296" s="6" t="str">
        <f aca="false">Scoring!BL303</f>
        <v/>
      </c>
      <c r="F296" s="6" t="n">
        <f aca="false">Scoring!B303</f>
        <v>0</v>
      </c>
      <c r="G296" s="6" t="n">
        <f aca="false">Scoring!D303</f>
        <v>0</v>
      </c>
      <c r="H296" s="6" t="str">
        <f aca="false">Scoring!CK303</f>
        <v/>
      </c>
      <c r="I296" s="179" t="str">
        <f aca="false">Scoring!CJ303</f>
        <v/>
      </c>
    </row>
    <row r="297" customFormat="false" ht="15.75" hidden="false" customHeight="false" outlineLevel="0" collapsed="false">
      <c r="A297" s="6" t="str">
        <f aca="false">Scoring!CM304</f>
        <v/>
      </c>
      <c r="B297" s="6" t="str">
        <f aca="false">Scoring!CL304</f>
        <v/>
      </c>
      <c r="C297" s="6" t="n">
        <f aca="false">Scoring!C304</f>
        <v>0</v>
      </c>
      <c r="D297" s="178" t="str">
        <f aca="false">Scoring!CI304</f>
        <v/>
      </c>
      <c r="E297" s="6" t="str">
        <f aca="false">Scoring!BL304</f>
        <v/>
      </c>
      <c r="F297" s="6" t="n">
        <f aca="false">Scoring!B304</f>
        <v>0</v>
      </c>
      <c r="G297" s="6" t="n">
        <f aca="false">Scoring!D304</f>
        <v>0</v>
      </c>
      <c r="H297" s="6" t="str">
        <f aca="false">Scoring!CK304</f>
        <v/>
      </c>
      <c r="I297" s="179" t="str">
        <f aca="false">Scoring!CJ304</f>
        <v/>
      </c>
    </row>
    <row r="298" customFormat="false" ht="15.75" hidden="false" customHeight="false" outlineLevel="0" collapsed="false">
      <c r="A298" s="6" t="str">
        <f aca="false">Scoring!CM305</f>
        <v/>
      </c>
      <c r="B298" s="6" t="str">
        <f aca="false">Scoring!CL305</f>
        <v/>
      </c>
      <c r="C298" s="6" t="n">
        <f aca="false">Scoring!C305</f>
        <v>0</v>
      </c>
      <c r="D298" s="178" t="str">
        <f aca="false">Scoring!CI305</f>
        <v/>
      </c>
      <c r="E298" s="6" t="str">
        <f aca="false">Scoring!BL305</f>
        <v/>
      </c>
      <c r="F298" s="6" t="n">
        <f aca="false">Scoring!B305</f>
        <v>0</v>
      </c>
      <c r="G298" s="6" t="n">
        <f aca="false">Scoring!D305</f>
        <v>0</v>
      </c>
      <c r="H298" s="6" t="str">
        <f aca="false">Scoring!CK305</f>
        <v/>
      </c>
      <c r="I298" s="179" t="str">
        <f aca="false">Scoring!CJ305</f>
        <v/>
      </c>
    </row>
    <row r="299" customFormat="false" ht="15.75" hidden="false" customHeight="false" outlineLevel="0" collapsed="false">
      <c r="A299" s="6" t="str">
        <f aca="false">Scoring!CM306</f>
        <v/>
      </c>
      <c r="B299" s="6" t="str">
        <f aca="false">Scoring!CL306</f>
        <v/>
      </c>
      <c r="C299" s="6" t="n">
        <f aca="false">Scoring!C306</f>
        <v>0</v>
      </c>
      <c r="D299" s="178" t="str">
        <f aca="false">Scoring!CI306</f>
        <v/>
      </c>
      <c r="E299" s="6" t="str">
        <f aca="false">Scoring!BL306</f>
        <v/>
      </c>
      <c r="F299" s="6" t="n">
        <f aca="false">Scoring!B306</f>
        <v>0</v>
      </c>
      <c r="G299" s="6" t="n">
        <f aca="false">Scoring!D306</f>
        <v>0</v>
      </c>
      <c r="H299" s="6" t="str">
        <f aca="false">Scoring!CK306</f>
        <v/>
      </c>
      <c r="I299" s="179" t="str">
        <f aca="false">Scoring!CJ306</f>
        <v/>
      </c>
    </row>
    <row r="300" customFormat="false" ht="15.75" hidden="false" customHeight="false" outlineLevel="0" collapsed="false">
      <c r="A300" s="6" t="str">
        <f aca="false">Scoring!CM307</f>
        <v/>
      </c>
      <c r="B300" s="6" t="str">
        <f aca="false">Scoring!CL307</f>
        <v/>
      </c>
      <c r="C300" s="6" t="n">
        <f aca="false">Scoring!C307</f>
        <v>0</v>
      </c>
      <c r="D300" s="178" t="str">
        <f aca="false">Scoring!CI307</f>
        <v/>
      </c>
      <c r="E300" s="6" t="str">
        <f aca="false">Scoring!BL307</f>
        <v/>
      </c>
      <c r="F300" s="6" t="n">
        <f aca="false">Scoring!B307</f>
        <v>0</v>
      </c>
      <c r="G300" s="6" t="n">
        <f aca="false">Scoring!D307</f>
        <v>0</v>
      </c>
      <c r="H300" s="6" t="str">
        <f aca="false">Scoring!CK307</f>
        <v/>
      </c>
      <c r="I300" s="179" t="str">
        <f aca="false">Scoring!CJ307</f>
        <v/>
      </c>
    </row>
    <row r="301" customFormat="false" ht="15.75" hidden="false" customHeight="false" outlineLevel="0" collapsed="false">
      <c r="A301" s="6" t="str">
        <f aca="false">Scoring!CM308</f>
        <v/>
      </c>
      <c r="B301" s="6" t="str">
        <f aca="false">Scoring!CL308</f>
        <v/>
      </c>
      <c r="C301" s="6" t="n">
        <f aca="false">Scoring!C308</f>
        <v>0</v>
      </c>
      <c r="D301" s="178" t="str">
        <f aca="false">Scoring!CI308</f>
        <v/>
      </c>
      <c r="E301" s="6" t="str">
        <f aca="false">Scoring!BL308</f>
        <v/>
      </c>
      <c r="F301" s="6" t="n">
        <f aca="false">Scoring!B308</f>
        <v>0</v>
      </c>
      <c r="G301" s="6" t="n">
        <f aca="false">Scoring!D308</f>
        <v>0</v>
      </c>
      <c r="H301" s="6" t="str">
        <f aca="false">Scoring!CK308</f>
        <v/>
      </c>
      <c r="I301" s="179" t="str">
        <f aca="false">Scoring!CJ308</f>
        <v/>
      </c>
    </row>
    <row r="302" customFormat="false" ht="15.75" hidden="false" customHeight="false" outlineLevel="0" collapsed="false">
      <c r="A302" s="6" t="str">
        <f aca="false">Scoring!CM309</f>
        <v/>
      </c>
      <c r="B302" s="6" t="str">
        <f aca="false">Scoring!CL309</f>
        <v/>
      </c>
      <c r="C302" s="6" t="n">
        <f aca="false">Scoring!C309</f>
        <v>0</v>
      </c>
      <c r="D302" s="178" t="str">
        <f aca="false">Scoring!CI309</f>
        <v/>
      </c>
      <c r="E302" s="6" t="str">
        <f aca="false">Scoring!BL309</f>
        <v/>
      </c>
      <c r="F302" s="6" t="n">
        <f aca="false">Scoring!B309</f>
        <v>0</v>
      </c>
      <c r="G302" s="6" t="n">
        <f aca="false">Scoring!D309</f>
        <v>0</v>
      </c>
      <c r="H302" s="6" t="str">
        <f aca="false">Scoring!CK309</f>
        <v/>
      </c>
      <c r="I302" s="179" t="str">
        <f aca="false">Scoring!CJ309</f>
        <v/>
      </c>
    </row>
    <row r="303" customFormat="false" ht="15.75" hidden="false" customHeight="false" outlineLevel="0" collapsed="false">
      <c r="A303" s="6" t="str">
        <f aca="false">Scoring!CM310</f>
        <v/>
      </c>
      <c r="B303" s="6" t="str">
        <f aca="false">Scoring!CL310</f>
        <v/>
      </c>
      <c r="C303" s="6" t="n">
        <f aca="false">Scoring!C310</f>
        <v>0</v>
      </c>
      <c r="D303" s="178" t="str">
        <f aca="false">Scoring!CI310</f>
        <v/>
      </c>
      <c r="E303" s="6" t="str">
        <f aca="false">Scoring!BL310</f>
        <v/>
      </c>
      <c r="F303" s="6" t="n">
        <f aca="false">Scoring!B310</f>
        <v>0</v>
      </c>
      <c r="G303" s="6" t="n">
        <f aca="false">Scoring!D310</f>
        <v>0</v>
      </c>
      <c r="H303" s="6" t="str">
        <f aca="false">Scoring!CK310</f>
        <v/>
      </c>
      <c r="I303" s="179" t="str">
        <f aca="false">Scoring!CJ310</f>
        <v/>
      </c>
    </row>
    <row r="304" customFormat="false" ht="15.75" hidden="false" customHeight="false" outlineLevel="0" collapsed="false">
      <c r="A304" s="6" t="str">
        <f aca="false">Scoring!CM311</f>
        <v/>
      </c>
      <c r="B304" s="6" t="str">
        <f aca="false">Scoring!CL311</f>
        <v/>
      </c>
      <c r="C304" s="6" t="n">
        <f aca="false">Scoring!C311</f>
        <v>0</v>
      </c>
      <c r="D304" s="178" t="str">
        <f aca="false">Scoring!CI311</f>
        <v/>
      </c>
      <c r="E304" s="6" t="str">
        <f aca="false">Scoring!BL311</f>
        <v/>
      </c>
      <c r="F304" s="6" t="n">
        <f aca="false">Scoring!B311</f>
        <v>0</v>
      </c>
      <c r="G304" s="6" t="n">
        <f aca="false">Scoring!D311</f>
        <v>0</v>
      </c>
      <c r="H304" s="6" t="str">
        <f aca="false">Scoring!CK311</f>
        <v/>
      </c>
      <c r="I304" s="179" t="str">
        <f aca="false">Scoring!CJ311</f>
        <v/>
      </c>
    </row>
    <row r="305" customFormat="false" ht="15.75" hidden="false" customHeight="false" outlineLevel="0" collapsed="false">
      <c r="A305" s="6" t="str">
        <f aca="false">Scoring!CM312</f>
        <v/>
      </c>
      <c r="B305" s="6" t="str">
        <f aca="false">Scoring!CL312</f>
        <v/>
      </c>
      <c r="C305" s="6" t="n">
        <f aca="false">Scoring!C312</f>
        <v>0</v>
      </c>
      <c r="D305" s="178" t="str">
        <f aca="false">Scoring!CI312</f>
        <v/>
      </c>
      <c r="E305" s="6" t="str">
        <f aca="false">Scoring!BL312</f>
        <v/>
      </c>
      <c r="F305" s="6" t="n">
        <f aca="false">Scoring!B312</f>
        <v>0</v>
      </c>
      <c r="G305" s="6" t="n">
        <f aca="false">Scoring!D312</f>
        <v>0</v>
      </c>
      <c r="H305" s="6" t="str">
        <f aca="false">Scoring!CK312</f>
        <v/>
      </c>
      <c r="I305" s="179" t="str">
        <f aca="false">Scoring!CJ312</f>
        <v/>
      </c>
    </row>
    <row r="306" customFormat="false" ht="15.75" hidden="false" customHeight="false" outlineLevel="0" collapsed="false">
      <c r="A306" s="6" t="str">
        <f aca="false">Scoring!CM313</f>
        <v/>
      </c>
      <c r="B306" s="6" t="str">
        <f aca="false">Scoring!CL313</f>
        <v/>
      </c>
      <c r="C306" s="6" t="n">
        <f aca="false">Scoring!C313</f>
        <v>0</v>
      </c>
      <c r="D306" s="178" t="str">
        <f aca="false">Scoring!CI313</f>
        <v/>
      </c>
      <c r="E306" s="6" t="str">
        <f aca="false">Scoring!BL313</f>
        <v/>
      </c>
      <c r="F306" s="6" t="n">
        <f aca="false">Scoring!B313</f>
        <v>0</v>
      </c>
      <c r="G306" s="6" t="n">
        <f aca="false">Scoring!D313</f>
        <v>0</v>
      </c>
      <c r="H306" s="6" t="str">
        <f aca="false">Scoring!CK313</f>
        <v/>
      </c>
      <c r="I306" s="179" t="str">
        <f aca="false">Scoring!CJ313</f>
        <v/>
      </c>
    </row>
    <row r="307" customFormat="false" ht="15.75" hidden="false" customHeight="false" outlineLevel="0" collapsed="false">
      <c r="A307" s="6" t="str">
        <f aca="false">Scoring!CM314</f>
        <v/>
      </c>
      <c r="B307" s="6" t="str">
        <f aca="false">Scoring!CL314</f>
        <v/>
      </c>
      <c r="C307" s="6" t="n">
        <f aca="false">Scoring!C314</f>
        <v>0</v>
      </c>
      <c r="D307" s="178" t="str">
        <f aca="false">Scoring!CI314</f>
        <v/>
      </c>
      <c r="E307" s="6" t="str">
        <f aca="false">Scoring!BL314</f>
        <v/>
      </c>
      <c r="F307" s="6" t="n">
        <f aca="false">Scoring!B314</f>
        <v>0</v>
      </c>
      <c r="G307" s="6" t="n">
        <f aca="false">Scoring!D314</f>
        <v>0</v>
      </c>
      <c r="H307" s="6" t="str">
        <f aca="false">Scoring!CK314</f>
        <v/>
      </c>
      <c r="I307" s="179" t="str">
        <f aca="false">Scoring!CJ314</f>
        <v/>
      </c>
    </row>
    <row r="308" customFormat="false" ht="15.75" hidden="false" customHeight="false" outlineLevel="0" collapsed="false">
      <c r="A308" s="6" t="str">
        <f aca="false">Scoring!CM315</f>
        <v/>
      </c>
      <c r="B308" s="6" t="str">
        <f aca="false">Scoring!CL315</f>
        <v/>
      </c>
      <c r="C308" s="6" t="n">
        <f aca="false">Scoring!C315</f>
        <v>0</v>
      </c>
      <c r="D308" s="178" t="str">
        <f aca="false">Scoring!CI315</f>
        <v/>
      </c>
      <c r="E308" s="6" t="str">
        <f aca="false">Scoring!BL315</f>
        <v/>
      </c>
      <c r="F308" s="6" t="n">
        <f aca="false">Scoring!B315</f>
        <v>0</v>
      </c>
      <c r="G308" s="6" t="n">
        <f aca="false">Scoring!D315</f>
        <v>0</v>
      </c>
      <c r="H308" s="6" t="str">
        <f aca="false">Scoring!CK315</f>
        <v/>
      </c>
      <c r="I308" s="179" t="str">
        <f aca="false">Scoring!CJ315</f>
        <v/>
      </c>
    </row>
    <row r="309" customFormat="false" ht="15.75" hidden="false" customHeight="false" outlineLevel="0" collapsed="false">
      <c r="A309" s="6" t="str">
        <f aca="false">Scoring!CM316</f>
        <v/>
      </c>
      <c r="B309" s="6" t="str">
        <f aca="false">Scoring!CL316</f>
        <v/>
      </c>
      <c r="C309" s="6" t="n">
        <f aca="false">Scoring!C316</f>
        <v>0</v>
      </c>
      <c r="D309" s="178" t="str">
        <f aca="false">Scoring!CI316</f>
        <v/>
      </c>
      <c r="E309" s="6" t="str">
        <f aca="false">Scoring!BL316</f>
        <v/>
      </c>
      <c r="F309" s="6" t="n">
        <f aca="false">Scoring!B316</f>
        <v>0</v>
      </c>
      <c r="G309" s="6" t="n">
        <f aca="false">Scoring!D316</f>
        <v>0</v>
      </c>
      <c r="H309" s="6" t="str">
        <f aca="false">Scoring!CK316</f>
        <v/>
      </c>
      <c r="I309" s="179" t="str">
        <f aca="false">Scoring!CJ316</f>
        <v/>
      </c>
    </row>
    <row r="310" customFormat="false" ht="15.75" hidden="false" customHeight="false" outlineLevel="0" collapsed="false">
      <c r="A310" s="6" t="str">
        <f aca="false">Scoring!CM317</f>
        <v/>
      </c>
      <c r="B310" s="6" t="str">
        <f aca="false">Scoring!CL317</f>
        <v/>
      </c>
      <c r="C310" s="6" t="n">
        <f aca="false">Scoring!C317</f>
        <v>0</v>
      </c>
      <c r="D310" s="178" t="str">
        <f aca="false">Scoring!CI317</f>
        <v/>
      </c>
      <c r="E310" s="6" t="str">
        <f aca="false">Scoring!BL317</f>
        <v/>
      </c>
      <c r="F310" s="6" t="n">
        <f aca="false">Scoring!B317</f>
        <v>0</v>
      </c>
      <c r="G310" s="6" t="n">
        <f aca="false">Scoring!D317</f>
        <v>0</v>
      </c>
      <c r="H310" s="6" t="str">
        <f aca="false">Scoring!CK317</f>
        <v/>
      </c>
      <c r="I310" s="179" t="str">
        <f aca="false">Scoring!CJ317</f>
        <v/>
      </c>
    </row>
    <row r="311" customFormat="false" ht="15.75" hidden="false" customHeight="false" outlineLevel="0" collapsed="false">
      <c r="A311" s="6" t="str">
        <f aca="false">Scoring!CM318</f>
        <v/>
      </c>
      <c r="B311" s="6" t="str">
        <f aca="false">Scoring!CL318</f>
        <v/>
      </c>
      <c r="C311" s="6" t="n">
        <f aca="false">Scoring!C318</f>
        <v>0</v>
      </c>
      <c r="D311" s="178" t="str">
        <f aca="false">Scoring!CI318</f>
        <v/>
      </c>
      <c r="E311" s="6" t="str">
        <f aca="false">Scoring!BL318</f>
        <v/>
      </c>
      <c r="F311" s="6" t="n">
        <f aca="false">Scoring!B318</f>
        <v>0</v>
      </c>
      <c r="G311" s="6" t="n">
        <f aca="false">Scoring!D318</f>
        <v>0</v>
      </c>
      <c r="H311" s="6" t="str">
        <f aca="false">Scoring!CK318</f>
        <v/>
      </c>
      <c r="I311" s="179" t="str">
        <f aca="false">Scoring!CJ318</f>
        <v/>
      </c>
    </row>
    <row r="312" customFormat="false" ht="15.75" hidden="false" customHeight="false" outlineLevel="0" collapsed="false">
      <c r="A312" s="6" t="str">
        <f aca="false">Scoring!CM319</f>
        <v/>
      </c>
      <c r="B312" s="6" t="str">
        <f aca="false">Scoring!CL319</f>
        <v/>
      </c>
      <c r="C312" s="6" t="n">
        <f aca="false">Scoring!C319</f>
        <v>0</v>
      </c>
      <c r="D312" s="178" t="str">
        <f aca="false">Scoring!CI319</f>
        <v/>
      </c>
      <c r="E312" s="6" t="str">
        <f aca="false">Scoring!BL319</f>
        <v/>
      </c>
      <c r="F312" s="6" t="n">
        <f aca="false">Scoring!B319</f>
        <v>0</v>
      </c>
      <c r="G312" s="6" t="n">
        <f aca="false">Scoring!D319</f>
        <v>0</v>
      </c>
      <c r="H312" s="6" t="str">
        <f aca="false">Scoring!CK319</f>
        <v/>
      </c>
      <c r="I312" s="179" t="str">
        <f aca="false">Scoring!CJ319</f>
        <v/>
      </c>
    </row>
    <row r="313" customFormat="false" ht="15.75" hidden="false" customHeight="false" outlineLevel="0" collapsed="false">
      <c r="A313" s="6" t="str">
        <f aca="false">Scoring!CM320</f>
        <v/>
      </c>
      <c r="B313" s="6" t="str">
        <f aca="false">Scoring!CL320</f>
        <v/>
      </c>
      <c r="C313" s="6" t="n">
        <f aca="false">Scoring!C320</f>
        <v>0</v>
      </c>
      <c r="D313" s="178" t="str">
        <f aca="false">Scoring!CI320</f>
        <v/>
      </c>
      <c r="E313" s="6" t="str">
        <f aca="false">Scoring!BL320</f>
        <v/>
      </c>
      <c r="F313" s="6" t="n">
        <f aca="false">Scoring!B320</f>
        <v>0</v>
      </c>
      <c r="G313" s="6" t="n">
        <f aca="false">Scoring!D320</f>
        <v>0</v>
      </c>
      <c r="H313" s="6" t="str">
        <f aca="false">Scoring!CK320</f>
        <v/>
      </c>
      <c r="I313" s="179" t="str">
        <f aca="false">Scoring!CJ320</f>
        <v/>
      </c>
    </row>
    <row r="314" customFormat="false" ht="15.75" hidden="false" customHeight="false" outlineLevel="0" collapsed="false">
      <c r="A314" s="6" t="str">
        <f aca="false">Scoring!CM321</f>
        <v/>
      </c>
      <c r="B314" s="6" t="str">
        <f aca="false">Scoring!CL321</f>
        <v/>
      </c>
      <c r="C314" s="6" t="n">
        <f aca="false">Scoring!C321</f>
        <v>0</v>
      </c>
      <c r="D314" s="178" t="str">
        <f aca="false">Scoring!CI321</f>
        <v/>
      </c>
      <c r="E314" s="6" t="str">
        <f aca="false">Scoring!BL321</f>
        <v/>
      </c>
      <c r="F314" s="6" t="n">
        <f aca="false">Scoring!B321</f>
        <v>0</v>
      </c>
      <c r="G314" s="6" t="n">
        <f aca="false">Scoring!D321</f>
        <v>0</v>
      </c>
      <c r="H314" s="6" t="str">
        <f aca="false">Scoring!CK321</f>
        <v/>
      </c>
      <c r="I314" s="179" t="str">
        <f aca="false">Scoring!CJ321</f>
        <v/>
      </c>
    </row>
    <row r="315" customFormat="false" ht="15.75" hidden="false" customHeight="false" outlineLevel="0" collapsed="false">
      <c r="A315" s="6" t="str">
        <f aca="false">Scoring!CM322</f>
        <v/>
      </c>
      <c r="B315" s="6" t="str">
        <f aca="false">Scoring!CL322</f>
        <v/>
      </c>
      <c r="C315" s="6" t="n">
        <f aca="false">Scoring!C322</f>
        <v>0</v>
      </c>
      <c r="D315" s="178" t="str">
        <f aca="false">Scoring!CI322</f>
        <v/>
      </c>
      <c r="E315" s="6" t="str">
        <f aca="false">Scoring!BL322</f>
        <v/>
      </c>
      <c r="F315" s="6" t="n">
        <f aca="false">Scoring!B322</f>
        <v>0</v>
      </c>
      <c r="G315" s="6" t="n">
        <f aca="false">Scoring!D322</f>
        <v>0</v>
      </c>
      <c r="H315" s="6" t="str">
        <f aca="false">Scoring!CK322</f>
        <v/>
      </c>
      <c r="I315" s="179" t="str">
        <f aca="false">Scoring!CJ322</f>
        <v/>
      </c>
    </row>
    <row r="316" customFormat="false" ht="15.75" hidden="false" customHeight="false" outlineLevel="0" collapsed="false">
      <c r="A316" s="6" t="str">
        <f aca="false">Scoring!CM323</f>
        <v/>
      </c>
      <c r="B316" s="6" t="str">
        <f aca="false">Scoring!CL323</f>
        <v/>
      </c>
      <c r="C316" s="6" t="n">
        <f aca="false">Scoring!C323</f>
        <v>0</v>
      </c>
      <c r="D316" s="178" t="str">
        <f aca="false">Scoring!CI323</f>
        <v/>
      </c>
      <c r="E316" s="6" t="str">
        <f aca="false">Scoring!BL323</f>
        <v/>
      </c>
      <c r="F316" s="6" t="n">
        <f aca="false">Scoring!B323</f>
        <v>0</v>
      </c>
      <c r="G316" s="6" t="n">
        <f aca="false">Scoring!D323</f>
        <v>0</v>
      </c>
      <c r="H316" s="6" t="str">
        <f aca="false">Scoring!CK323</f>
        <v/>
      </c>
      <c r="I316" s="179" t="str">
        <f aca="false">Scoring!CJ323</f>
        <v/>
      </c>
    </row>
    <row r="317" customFormat="false" ht="15.75" hidden="false" customHeight="false" outlineLevel="0" collapsed="false">
      <c r="A317" s="6" t="str">
        <f aca="false">Scoring!CM324</f>
        <v/>
      </c>
      <c r="B317" s="6" t="str">
        <f aca="false">Scoring!CL324</f>
        <v/>
      </c>
      <c r="C317" s="6" t="n">
        <f aca="false">Scoring!C324</f>
        <v>0</v>
      </c>
      <c r="D317" s="178" t="str">
        <f aca="false">Scoring!CI324</f>
        <v/>
      </c>
      <c r="E317" s="6" t="str">
        <f aca="false">Scoring!BL324</f>
        <v/>
      </c>
      <c r="F317" s="6" t="n">
        <f aca="false">Scoring!B324</f>
        <v>0</v>
      </c>
      <c r="G317" s="6" t="n">
        <f aca="false">Scoring!D324</f>
        <v>0</v>
      </c>
      <c r="H317" s="6" t="str">
        <f aca="false">Scoring!CK324</f>
        <v/>
      </c>
      <c r="I317" s="179" t="str">
        <f aca="false">Scoring!CJ324</f>
        <v/>
      </c>
    </row>
    <row r="318" customFormat="false" ht="15.75" hidden="false" customHeight="false" outlineLevel="0" collapsed="false">
      <c r="A318" s="6" t="str">
        <f aca="false">Scoring!CM325</f>
        <v/>
      </c>
      <c r="B318" s="6" t="str">
        <f aca="false">Scoring!CL325</f>
        <v/>
      </c>
      <c r="C318" s="6" t="n">
        <f aca="false">Scoring!C325</f>
        <v>0</v>
      </c>
      <c r="D318" s="178" t="str">
        <f aca="false">Scoring!CI325</f>
        <v/>
      </c>
      <c r="E318" s="6" t="str">
        <f aca="false">Scoring!BL325</f>
        <v/>
      </c>
      <c r="F318" s="6" t="n">
        <f aca="false">Scoring!B325</f>
        <v>0</v>
      </c>
      <c r="G318" s="6" t="n">
        <f aca="false">Scoring!D325</f>
        <v>0</v>
      </c>
      <c r="H318" s="6" t="str">
        <f aca="false">Scoring!CK325</f>
        <v/>
      </c>
      <c r="I318" s="179" t="str">
        <f aca="false">Scoring!CJ325</f>
        <v/>
      </c>
    </row>
    <row r="319" customFormat="false" ht="15.75" hidden="false" customHeight="false" outlineLevel="0" collapsed="false">
      <c r="A319" s="6" t="str">
        <f aca="false">Scoring!CM326</f>
        <v/>
      </c>
      <c r="B319" s="6" t="str">
        <f aca="false">Scoring!CL326</f>
        <v/>
      </c>
      <c r="C319" s="6" t="n">
        <f aca="false">Scoring!C326</f>
        <v>0</v>
      </c>
      <c r="D319" s="178" t="str">
        <f aca="false">Scoring!CI326</f>
        <v/>
      </c>
      <c r="E319" s="6" t="str">
        <f aca="false">Scoring!BL326</f>
        <v/>
      </c>
      <c r="F319" s="6" t="n">
        <f aca="false">Scoring!B326</f>
        <v>0</v>
      </c>
      <c r="G319" s="6" t="n">
        <f aca="false">Scoring!D326</f>
        <v>0</v>
      </c>
      <c r="H319" s="6" t="str">
        <f aca="false">Scoring!CK326</f>
        <v/>
      </c>
      <c r="I319" s="179" t="str">
        <f aca="false">Scoring!CJ326</f>
        <v/>
      </c>
    </row>
    <row r="320" customFormat="false" ht="15.75" hidden="false" customHeight="false" outlineLevel="0" collapsed="false">
      <c r="A320" s="6" t="str">
        <f aca="false">Scoring!CM327</f>
        <v/>
      </c>
      <c r="B320" s="6" t="str">
        <f aca="false">Scoring!CL327</f>
        <v/>
      </c>
      <c r="C320" s="6" t="n">
        <f aca="false">Scoring!C327</f>
        <v>0</v>
      </c>
      <c r="D320" s="178" t="str">
        <f aca="false">Scoring!CI327</f>
        <v/>
      </c>
      <c r="E320" s="6" t="str">
        <f aca="false">Scoring!BL327</f>
        <v/>
      </c>
      <c r="F320" s="6" t="n">
        <f aca="false">Scoring!B327</f>
        <v>0</v>
      </c>
      <c r="G320" s="6" t="n">
        <f aca="false">Scoring!D327</f>
        <v>0</v>
      </c>
      <c r="H320" s="6" t="str">
        <f aca="false">Scoring!CK327</f>
        <v/>
      </c>
      <c r="I320" s="179" t="str">
        <f aca="false">Scoring!CJ327</f>
        <v/>
      </c>
    </row>
    <row r="321" customFormat="false" ht="15.75" hidden="false" customHeight="false" outlineLevel="0" collapsed="false">
      <c r="A321" s="6" t="str">
        <f aca="false">Scoring!CM328</f>
        <v/>
      </c>
      <c r="B321" s="6" t="str">
        <f aca="false">Scoring!CL328</f>
        <v/>
      </c>
      <c r="C321" s="6" t="n">
        <f aca="false">Scoring!C328</f>
        <v>0</v>
      </c>
      <c r="D321" s="178" t="str">
        <f aca="false">Scoring!CI328</f>
        <v/>
      </c>
      <c r="E321" s="6" t="str">
        <f aca="false">Scoring!BL328</f>
        <v/>
      </c>
      <c r="F321" s="6" t="n">
        <f aca="false">Scoring!B328</f>
        <v>0</v>
      </c>
      <c r="G321" s="6" t="n">
        <f aca="false">Scoring!D328</f>
        <v>0</v>
      </c>
      <c r="H321" s="6" t="str">
        <f aca="false">Scoring!CK328</f>
        <v/>
      </c>
      <c r="I321" s="179" t="str">
        <f aca="false">Scoring!CJ328</f>
        <v/>
      </c>
    </row>
    <row r="322" customFormat="false" ht="15.75" hidden="false" customHeight="false" outlineLevel="0" collapsed="false">
      <c r="A322" s="6" t="str">
        <f aca="false">Scoring!CM329</f>
        <v/>
      </c>
      <c r="B322" s="6" t="str">
        <f aca="false">Scoring!CL329</f>
        <v/>
      </c>
      <c r="C322" s="6" t="n">
        <f aca="false">Scoring!C329</f>
        <v>0</v>
      </c>
      <c r="D322" s="178" t="str">
        <f aca="false">Scoring!CI329</f>
        <v/>
      </c>
      <c r="E322" s="6" t="str">
        <f aca="false">Scoring!BL329</f>
        <v/>
      </c>
      <c r="F322" s="6" t="n">
        <f aca="false">Scoring!B329</f>
        <v>0</v>
      </c>
      <c r="G322" s="6" t="n">
        <f aca="false">Scoring!D329</f>
        <v>0</v>
      </c>
      <c r="H322" s="6" t="str">
        <f aca="false">Scoring!CK329</f>
        <v/>
      </c>
      <c r="I322" s="179" t="str">
        <f aca="false">Scoring!CJ329</f>
        <v/>
      </c>
    </row>
    <row r="323" customFormat="false" ht="15.75" hidden="false" customHeight="false" outlineLevel="0" collapsed="false">
      <c r="A323" s="6" t="str">
        <f aca="false">Scoring!CM330</f>
        <v/>
      </c>
      <c r="B323" s="6" t="str">
        <f aca="false">Scoring!CL330</f>
        <v/>
      </c>
      <c r="C323" s="6" t="n">
        <f aca="false">Scoring!C330</f>
        <v>0</v>
      </c>
      <c r="D323" s="178" t="str">
        <f aca="false">Scoring!CI330</f>
        <v/>
      </c>
      <c r="E323" s="6" t="str">
        <f aca="false">Scoring!BL330</f>
        <v/>
      </c>
      <c r="F323" s="6" t="n">
        <f aca="false">Scoring!B330</f>
        <v>0</v>
      </c>
      <c r="G323" s="6" t="n">
        <f aca="false">Scoring!D330</f>
        <v>0</v>
      </c>
      <c r="H323" s="6" t="str">
        <f aca="false">Scoring!CK330</f>
        <v/>
      </c>
      <c r="I323" s="179" t="str">
        <f aca="false">Scoring!CJ330</f>
        <v/>
      </c>
    </row>
    <row r="324" customFormat="false" ht="15.75" hidden="false" customHeight="false" outlineLevel="0" collapsed="false">
      <c r="A324" s="6" t="str">
        <f aca="false">Scoring!CM331</f>
        <v/>
      </c>
      <c r="B324" s="6" t="str">
        <f aca="false">Scoring!CL331</f>
        <v/>
      </c>
      <c r="C324" s="6" t="n">
        <f aca="false">Scoring!C331</f>
        <v>0</v>
      </c>
      <c r="D324" s="178" t="str">
        <f aca="false">Scoring!CI331</f>
        <v/>
      </c>
      <c r="E324" s="6" t="str">
        <f aca="false">Scoring!BL331</f>
        <v/>
      </c>
      <c r="F324" s="6" t="n">
        <f aca="false">Scoring!B331</f>
        <v>0</v>
      </c>
      <c r="G324" s="6" t="n">
        <f aca="false">Scoring!D331</f>
        <v>0</v>
      </c>
      <c r="H324" s="6" t="str">
        <f aca="false">Scoring!CK331</f>
        <v/>
      </c>
      <c r="I324" s="179" t="str">
        <f aca="false">Scoring!CJ331</f>
        <v/>
      </c>
    </row>
    <row r="325" customFormat="false" ht="15.75" hidden="false" customHeight="false" outlineLevel="0" collapsed="false">
      <c r="A325" s="6" t="str">
        <f aca="false">Scoring!CM332</f>
        <v/>
      </c>
      <c r="B325" s="6" t="str">
        <f aca="false">Scoring!CL332</f>
        <v/>
      </c>
      <c r="C325" s="6" t="n">
        <f aca="false">Scoring!C332</f>
        <v>0</v>
      </c>
      <c r="D325" s="178" t="str">
        <f aca="false">Scoring!CI332</f>
        <v/>
      </c>
      <c r="E325" s="6" t="str">
        <f aca="false">Scoring!BL332</f>
        <v/>
      </c>
      <c r="F325" s="6" t="n">
        <f aca="false">Scoring!B332</f>
        <v>0</v>
      </c>
      <c r="G325" s="6" t="n">
        <f aca="false">Scoring!D332</f>
        <v>0</v>
      </c>
      <c r="H325" s="6" t="str">
        <f aca="false">Scoring!CK332</f>
        <v/>
      </c>
      <c r="I325" s="179" t="str">
        <f aca="false">Scoring!CJ332</f>
        <v/>
      </c>
    </row>
    <row r="326" customFormat="false" ht="15.75" hidden="false" customHeight="false" outlineLevel="0" collapsed="false">
      <c r="A326" s="6" t="str">
        <f aca="false">Scoring!CM333</f>
        <v/>
      </c>
      <c r="B326" s="6" t="str">
        <f aca="false">Scoring!CL333</f>
        <v/>
      </c>
      <c r="C326" s="6" t="n">
        <f aca="false">Scoring!C333</f>
        <v>0</v>
      </c>
      <c r="D326" s="178" t="str">
        <f aca="false">Scoring!CI333</f>
        <v/>
      </c>
      <c r="E326" s="6" t="str">
        <f aca="false">Scoring!BL333</f>
        <v/>
      </c>
      <c r="F326" s="6" t="n">
        <f aca="false">Scoring!B333</f>
        <v>0</v>
      </c>
      <c r="G326" s="6" t="n">
        <f aca="false">Scoring!D333</f>
        <v>0</v>
      </c>
      <c r="H326" s="6" t="str">
        <f aca="false">Scoring!CK333</f>
        <v/>
      </c>
      <c r="I326" s="179" t="str">
        <f aca="false">Scoring!CJ333</f>
        <v/>
      </c>
    </row>
    <row r="327" customFormat="false" ht="15.75" hidden="false" customHeight="false" outlineLevel="0" collapsed="false">
      <c r="A327" s="6" t="str">
        <f aca="false">Scoring!CM334</f>
        <v/>
      </c>
      <c r="B327" s="6" t="str">
        <f aca="false">Scoring!CL334</f>
        <v/>
      </c>
      <c r="C327" s="6" t="n">
        <f aca="false">Scoring!C334</f>
        <v>0</v>
      </c>
      <c r="D327" s="178" t="str">
        <f aca="false">Scoring!CI334</f>
        <v/>
      </c>
      <c r="E327" s="6" t="str">
        <f aca="false">Scoring!BL334</f>
        <v/>
      </c>
      <c r="F327" s="6" t="n">
        <f aca="false">Scoring!B334</f>
        <v>0</v>
      </c>
      <c r="G327" s="6" t="n">
        <f aca="false">Scoring!D334</f>
        <v>0</v>
      </c>
      <c r="H327" s="6" t="str">
        <f aca="false">Scoring!CK334</f>
        <v/>
      </c>
      <c r="I327" s="179" t="str">
        <f aca="false">Scoring!CJ334</f>
        <v/>
      </c>
    </row>
    <row r="328" customFormat="false" ht="15.75" hidden="false" customHeight="false" outlineLevel="0" collapsed="false">
      <c r="A328" s="6" t="str">
        <f aca="false">Scoring!CM335</f>
        <v/>
      </c>
      <c r="B328" s="6" t="str">
        <f aca="false">Scoring!CL335</f>
        <v/>
      </c>
      <c r="C328" s="6" t="n">
        <f aca="false">Scoring!C335</f>
        <v>0</v>
      </c>
      <c r="D328" s="178" t="str">
        <f aca="false">Scoring!CI335</f>
        <v/>
      </c>
      <c r="E328" s="6" t="str">
        <f aca="false">Scoring!BL335</f>
        <v/>
      </c>
      <c r="F328" s="6" t="n">
        <f aca="false">Scoring!B335</f>
        <v>0</v>
      </c>
      <c r="G328" s="6" t="n">
        <f aca="false">Scoring!D335</f>
        <v>0</v>
      </c>
      <c r="H328" s="6" t="str">
        <f aca="false">Scoring!CK335</f>
        <v/>
      </c>
      <c r="I328" s="179" t="str">
        <f aca="false">Scoring!CJ335</f>
        <v/>
      </c>
    </row>
    <row r="329" customFormat="false" ht="15.75" hidden="false" customHeight="false" outlineLevel="0" collapsed="false">
      <c r="A329" s="6" t="str">
        <f aca="false">Scoring!CM336</f>
        <v/>
      </c>
      <c r="B329" s="6" t="str">
        <f aca="false">Scoring!CL336</f>
        <v/>
      </c>
      <c r="C329" s="6" t="n">
        <f aca="false">Scoring!C336</f>
        <v>0</v>
      </c>
      <c r="D329" s="178" t="str">
        <f aca="false">Scoring!CI336</f>
        <v/>
      </c>
      <c r="E329" s="6" t="str">
        <f aca="false">Scoring!BL336</f>
        <v/>
      </c>
      <c r="F329" s="6" t="n">
        <f aca="false">Scoring!B336</f>
        <v>0</v>
      </c>
      <c r="G329" s="6" t="n">
        <f aca="false">Scoring!D336</f>
        <v>0</v>
      </c>
      <c r="H329" s="6" t="str">
        <f aca="false">Scoring!CK336</f>
        <v/>
      </c>
      <c r="I329" s="179" t="str">
        <f aca="false">Scoring!CJ336</f>
        <v/>
      </c>
    </row>
    <row r="330" customFormat="false" ht="15.75" hidden="false" customHeight="false" outlineLevel="0" collapsed="false">
      <c r="A330" s="6" t="str">
        <f aca="false">Scoring!CM337</f>
        <v/>
      </c>
      <c r="B330" s="6" t="str">
        <f aca="false">Scoring!CL337</f>
        <v/>
      </c>
      <c r="C330" s="6" t="n">
        <f aca="false">Scoring!C337</f>
        <v>0</v>
      </c>
      <c r="D330" s="178" t="str">
        <f aca="false">Scoring!CI337</f>
        <v/>
      </c>
      <c r="E330" s="6" t="str">
        <f aca="false">Scoring!BL337</f>
        <v/>
      </c>
      <c r="F330" s="6" t="n">
        <f aca="false">Scoring!B337</f>
        <v>0</v>
      </c>
      <c r="G330" s="6" t="n">
        <f aca="false">Scoring!D337</f>
        <v>0</v>
      </c>
      <c r="H330" s="6" t="str">
        <f aca="false">Scoring!CK337</f>
        <v/>
      </c>
      <c r="I330" s="179" t="str">
        <f aca="false">Scoring!CJ337</f>
        <v/>
      </c>
    </row>
    <row r="331" customFormat="false" ht="15.75" hidden="false" customHeight="false" outlineLevel="0" collapsed="false">
      <c r="A331" s="6" t="str">
        <f aca="false">Scoring!CM338</f>
        <v/>
      </c>
      <c r="B331" s="6" t="str">
        <f aca="false">Scoring!CL338</f>
        <v/>
      </c>
      <c r="C331" s="6" t="n">
        <f aca="false">Scoring!C338</f>
        <v>0</v>
      </c>
      <c r="D331" s="178" t="str">
        <f aca="false">Scoring!CI338</f>
        <v/>
      </c>
      <c r="E331" s="6" t="str">
        <f aca="false">Scoring!BL338</f>
        <v/>
      </c>
      <c r="F331" s="6" t="n">
        <f aca="false">Scoring!B338</f>
        <v>0</v>
      </c>
      <c r="G331" s="6" t="n">
        <f aca="false">Scoring!D338</f>
        <v>0</v>
      </c>
      <c r="H331" s="6" t="str">
        <f aca="false">Scoring!CK338</f>
        <v/>
      </c>
      <c r="I331" s="179" t="str">
        <f aca="false">Scoring!CJ338</f>
        <v/>
      </c>
    </row>
    <row r="332" customFormat="false" ht="15.75" hidden="false" customHeight="false" outlineLevel="0" collapsed="false">
      <c r="A332" s="6" t="str">
        <f aca="false">Scoring!CM339</f>
        <v/>
      </c>
      <c r="B332" s="6" t="str">
        <f aca="false">Scoring!CL339</f>
        <v/>
      </c>
      <c r="C332" s="6" t="n">
        <f aca="false">Scoring!C339</f>
        <v>0</v>
      </c>
      <c r="D332" s="178" t="str">
        <f aca="false">Scoring!CI339</f>
        <v/>
      </c>
      <c r="E332" s="6" t="str">
        <f aca="false">Scoring!BL339</f>
        <v/>
      </c>
      <c r="F332" s="6" t="n">
        <f aca="false">Scoring!B339</f>
        <v>0</v>
      </c>
      <c r="G332" s="6" t="n">
        <f aca="false">Scoring!D339</f>
        <v>0</v>
      </c>
      <c r="H332" s="6" t="str">
        <f aca="false">Scoring!CK339</f>
        <v/>
      </c>
      <c r="I332" s="179" t="str">
        <f aca="false">Scoring!CJ339</f>
        <v/>
      </c>
    </row>
    <row r="333" customFormat="false" ht="15.75" hidden="false" customHeight="false" outlineLevel="0" collapsed="false">
      <c r="A333" s="6" t="str">
        <f aca="false">Scoring!CM340</f>
        <v/>
      </c>
      <c r="B333" s="6" t="str">
        <f aca="false">Scoring!CL340</f>
        <v/>
      </c>
      <c r="C333" s="6" t="n">
        <f aca="false">Scoring!C340</f>
        <v>0</v>
      </c>
      <c r="D333" s="178" t="str">
        <f aca="false">Scoring!CI340</f>
        <v/>
      </c>
      <c r="E333" s="6" t="str">
        <f aca="false">Scoring!BL340</f>
        <v/>
      </c>
      <c r="F333" s="6" t="n">
        <f aca="false">Scoring!B340</f>
        <v>0</v>
      </c>
      <c r="G333" s="6" t="n">
        <f aca="false">Scoring!D340</f>
        <v>0</v>
      </c>
      <c r="H333" s="6" t="str">
        <f aca="false">Scoring!CK340</f>
        <v/>
      </c>
      <c r="I333" s="179" t="str">
        <f aca="false">Scoring!CJ340</f>
        <v/>
      </c>
    </row>
    <row r="334" customFormat="false" ht="15.75" hidden="false" customHeight="false" outlineLevel="0" collapsed="false">
      <c r="A334" s="6" t="str">
        <f aca="false">Scoring!CM341</f>
        <v/>
      </c>
      <c r="B334" s="6" t="str">
        <f aca="false">Scoring!CL341</f>
        <v/>
      </c>
      <c r="C334" s="6" t="n">
        <f aca="false">Scoring!C341</f>
        <v>0</v>
      </c>
      <c r="D334" s="178" t="str">
        <f aca="false">Scoring!CI341</f>
        <v/>
      </c>
      <c r="E334" s="6" t="str">
        <f aca="false">Scoring!BL341</f>
        <v/>
      </c>
      <c r="F334" s="6" t="n">
        <f aca="false">Scoring!B341</f>
        <v>0</v>
      </c>
      <c r="G334" s="6" t="n">
        <f aca="false">Scoring!D341</f>
        <v>0</v>
      </c>
      <c r="H334" s="6" t="str">
        <f aca="false">Scoring!CK341</f>
        <v/>
      </c>
      <c r="I334" s="179" t="str">
        <f aca="false">Scoring!CJ341</f>
        <v/>
      </c>
    </row>
    <row r="335" customFormat="false" ht="15.75" hidden="false" customHeight="false" outlineLevel="0" collapsed="false">
      <c r="A335" s="6" t="str">
        <f aca="false">Scoring!CM342</f>
        <v/>
      </c>
      <c r="B335" s="6" t="str">
        <f aca="false">Scoring!CL342</f>
        <v/>
      </c>
      <c r="C335" s="6" t="n">
        <f aca="false">Scoring!C342</f>
        <v>0</v>
      </c>
      <c r="D335" s="178" t="str">
        <f aca="false">Scoring!CI342</f>
        <v/>
      </c>
      <c r="E335" s="6" t="str">
        <f aca="false">Scoring!BL342</f>
        <v/>
      </c>
      <c r="F335" s="6" t="n">
        <f aca="false">Scoring!B342</f>
        <v>0</v>
      </c>
      <c r="G335" s="6" t="n">
        <f aca="false">Scoring!D342</f>
        <v>0</v>
      </c>
      <c r="H335" s="6" t="str">
        <f aca="false">Scoring!CK342</f>
        <v/>
      </c>
      <c r="I335" s="179" t="str">
        <f aca="false">Scoring!CJ342</f>
        <v/>
      </c>
    </row>
    <row r="336" customFormat="false" ht="15.75" hidden="false" customHeight="false" outlineLevel="0" collapsed="false">
      <c r="A336" s="6" t="str">
        <f aca="false">Scoring!CM343</f>
        <v/>
      </c>
      <c r="B336" s="6" t="str">
        <f aca="false">Scoring!CL343</f>
        <v/>
      </c>
      <c r="C336" s="6" t="n">
        <f aca="false">Scoring!C343</f>
        <v>0</v>
      </c>
      <c r="D336" s="178" t="str">
        <f aca="false">Scoring!CI343</f>
        <v/>
      </c>
      <c r="E336" s="6" t="str">
        <f aca="false">Scoring!BL343</f>
        <v/>
      </c>
      <c r="F336" s="6" t="n">
        <f aca="false">Scoring!B343</f>
        <v>0</v>
      </c>
      <c r="G336" s="6" t="n">
        <f aca="false">Scoring!D343</f>
        <v>0</v>
      </c>
      <c r="H336" s="6" t="str">
        <f aca="false">Scoring!CK343</f>
        <v/>
      </c>
      <c r="I336" s="179" t="str">
        <f aca="false">Scoring!CJ343</f>
        <v/>
      </c>
    </row>
    <row r="337" customFormat="false" ht="15.75" hidden="false" customHeight="false" outlineLevel="0" collapsed="false">
      <c r="A337" s="6" t="str">
        <f aca="false">Scoring!CM344</f>
        <v/>
      </c>
      <c r="B337" s="6" t="str">
        <f aca="false">Scoring!CL344</f>
        <v/>
      </c>
      <c r="C337" s="6" t="n">
        <f aca="false">Scoring!C344</f>
        <v>0</v>
      </c>
      <c r="D337" s="178" t="str">
        <f aca="false">Scoring!CI344</f>
        <v/>
      </c>
      <c r="E337" s="6" t="str">
        <f aca="false">Scoring!BL344</f>
        <v/>
      </c>
      <c r="F337" s="6" t="n">
        <f aca="false">Scoring!B344</f>
        <v>0</v>
      </c>
      <c r="G337" s="6" t="n">
        <f aca="false">Scoring!D344</f>
        <v>0</v>
      </c>
      <c r="H337" s="6" t="str">
        <f aca="false">Scoring!CK344</f>
        <v/>
      </c>
      <c r="I337" s="179" t="str">
        <f aca="false">Scoring!CJ344</f>
        <v/>
      </c>
    </row>
    <row r="338" customFormat="false" ht="15.75" hidden="false" customHeight="false" outlineLevel="0" collapsed="false">
      <c r="A338" s="6" t="str">
        <f aca="false">Scoring!CM345</f>
        <v/>
      </c>
      <c r="B338" s="6" t="str">
        <f aca="false">Scoring!CL345</f>
        <v/>
      </c>
      <c r="C338" s="6" t="n">
        <f aca="false">Scoring!C345</f>
        <v>0</v>
      </c>
      <c r="D338" s="178" t="str">
        <f aca="false">Scoring!CI345</f>
        <v/>
      </c>
      <c r="E338" s="6" t="str">
        <f aca="false">Scoring!BL345</f>
        <v/>
      </c>
      <c r="F338" s="6" t="n">
        <f aca="false">Scoring!B345</f>
        <v>0</v>
      </c>
      <c r="G338" s="6" t="n">
        <f aca="false">Scoring!D345</f>
        <v>0</v>
      </c>
      <c r="H338" s="6" t="str">
        <f aca="false">Scoring!CK345</f>
        <v/>
      </c>
      <c r="I338" s="179" t="str">
        <f aca="false">Scoring!CJ345</f>
        <v/>
      </c>
    </row>
    <row r="339" customFormat="false" ht="15.75" hidden="false" customHeight="false" outlineLevel="0" collapsed="false">
      <c r="A339" s="6" t="str">
        <f aca="false">Scoring!CM346</f>
        <v/>
      </c>
      <c r="B339" s="6" t="str">
        <f aca="false">Scoring!CL346</f>
        <v/>
      </c>
      <c r="C339" s="6" t="n">
        <f aca="false">Scoring!C346</f>
        <v>0</v>
      </c>
      <c r="D339" s="178" t="str">
        <f aca="false">Scoring!CI346</f>
        <v/>
      </c>
      <c r="E339" s="6" t="str">
        <f aca="false">Scoring!BL346</f>
        <v/>
      </c>
      <c r="F339" s="6" t="n">
        <f aca="false">Scoring!B346</f>
        <v>0</v>
      </c>
      <c r="G339" s="6" t="n">
        <f aca="false">Scoring!D346</f>
        <v>0</v>
      </c>
      <c r="H339" s="6" t="str">
        <f aca="false">Scoring!CK346</f>
        <v/>
      </c>
      <c r="I339" s="179" t="str">
        <f aca="false">Scoring!CJ346</f>
        <v/>
      </c>
    </row>
    <row r="340" customFormat="false" ht="15.75" hidden="false" customHeight="false" outlineLevel="0" collapsed="false">
      <c r="A340" s="6" t="str">
        <f aca="false">Scoring!CM347</f>
        <v/>
      </c>
      <c r="B340" s="6" t="str">
        <f aca="false">Scoring!CL347</f>
        <v/>
      </c>
      <c r="C340" s="6" t="n">
        <f aca="false">Scoring!C347</f>
        <v>0</v>
      </c>
      <c r="D340" s="178" t="str">
        <f aca="false">Scoring!CI347</f>
        <v/>
      </c>
      <c r="E340" s="6" t="str">
        <f aca="false">Scoring!BL347</f>
        <v/>
      </c>
      <c r="F340" s="6" t="n">
        <f aca="false">Scoring!B347</f>
        <v>0</v>
      </c>
      <c r="G340" s="6" t="n">
        <f aca="false">Scoring!D347</f>
        <v>0</v>
      </c>
      <c r="H340" s="6" t="str">
        <f aca="false">Scoring!CK347</f>
        <v/>
      </c>
      <c r="I340" s="179" t="str">
        <f aca="false">Scoring!CJ347</f>
        <v/>
      </c>
    </row>
    <row r="341" customFormat="false" ht="15.75" hidden="false" customHeight="false" outlineLevel="0" collapsed="false">
      <c r="A341" s="6" t="str">
        <f aca="false">Scoring!CM348</f>
        <v/>
      </c>
      <c r="B341" s="6" t="str">
        <f aca="false">Scoring!CL348</f>
        <v/>
      </c>
      <c r="C341" s="6" t="n">
        <f aca="false">Scoring!C348</f>
        <v>0</v>
      </c>
      <c r="D341" s="178" t="str">
        <f aca="false">Scoring!CI348</f>
        <v/>
      </c>
      <c r="E341" s="6" t="str">
        <f aca="false">Scoring!BL348</f>
        <v/>
      </c>
      <c r="F341" s="6" t="n">
        <f aca="false">Scoring!B348</f>
        <v>0</v>
      </c>
      <c r="G341" s="6" t="n">
        <f aca="false">Scoring!D348</f>
        <v>0</v>
      </c>
      <c r="H341" s="6" t="str">
        <f aca="false">Scoring!CK348</f>
        <v/>
      </c>
      <c r="I341" s="179" t="str">
        <f aca="false">Scoring!CJ348</f>
        <v/>
      </c>
    </row>
    <row r="342" customFormat="false" ht="15.75" hidden="false" customHeight="false" outlineLevel="0" collapsed="false">
      <c r="A342" s="6" t="str">
        <f aca="false">Scoring!CM349</f>
        <v/>
      </c>
      <c r="B342" s="6" t="str">
        <f aca="false">Scoring!CL349</f>
        <v/>
      </c>
      <c r="C342" s="6" t="n">
        <f aca="false">Scoring!C349</f>
        <v>0</v>
      </c>
      <c r="D342" s="178" t="str">
        <f aca="false">Scoring!CI349</f>
        <v/>
      </c>
      <c r="E342" s="6" t="str">
        <f aca="false">Scoring!BL349</f>
        <v/>
      </c>
      <c r="F342" s="6" t="n">
        <f aca="false">Scoring!B349</f>
        <v>0</v>
      </c>
      <c r="G342" s="6" t="n">
        <f aca="false">Scoring!D349</f>
        <v>0</v>
      </c>
      <c r="H342" s="6" t="str">
        <f aca="false">Scoring!CK349</f>
        <v/>
      </c>
      <c r="I342" s="179" t="str">
        <f aca="false">Scoring!CJ349</f>
        <v/>
      </c>
    </row>
    <row r="343" customFormat="false" ht="15.75" hidden="false" customHeight="false" outlineLevel="0" collapsed="false">
      <c r="A343" s="6" t="str">
        <f aca="false">Scoring!CM350</f>
        <v/>
      </c>
      <c r="B343" s="6" t="str">
        <f aca="false">Scoring!CL350</f>
        <v/>
      </c>
      <c r="C343" s="6" t="n">
        <f aca="false">Scoring!C350</f>
        <v>0</v>
      </c>
      <c r="D343" s="178" t="str">
        <f aca="false">Scoring!CI350</f>
        <v/>
      </c>
      <c r="E343" s="6" t="str">
        <f aca="false">Scoring!BL350</f>
        <v/>
      </c>
      <c r="F343" s="6" t="n">
        <f aca="false">Scoring!B350</f>
        <v>0</v>
      </c>
      <c r="G343" s="6" t="n">
        <f aca="false">Scoring!D350</f>
        <v>0</v>
      </c>
      <c r="H343" s="6" t="str">
        <f aca="false">Scoring!CK350</f>
        <v/>
      </c>
      <c r="I343" s="179" t="str">
        <f aca="false">Scoring!CJ350</f>
        <v/>
      </c>
    </row>
    <row r="344" customFormat="false" ht="15.75" hidden="false" customHeight="false" outlineLevel="0" collapsed="false">
      <c r="A344" s="6" t="str">
        <f aca="false">Scoring!CM351</f>
        <v/>
      </c>
      <c r="B344" s="6" t="str">
        <f aca="false">Scoring!CL351</f>
        <v/>
      </c>
      <c r="C344" s="6" t="n">
        <f aca="false">Scoring!C351</f>
        <v>0</v>
      </c>
      <c r="D344" s="178" t="str">
        <f aca="false">Scoring!CI351</f>
        <v/>
      </c>
      <c r="E344" s="6" t="str">
        <f aca="false">Scoring!BL351</f>
        <v/>
      </c>
      <c r="F344" s="6" t="n">
        <f aca="false">Scoring!B351</f>
        <v>0</v>
      </c>
      <c r="G344" s="6" t="n">
        <f aca="false">Scoring!D351</f>
        <v>0</v>
      </c>
      <c r="H344" s="6" t="str">
        <f aca="false">Scoring!CK351</f>
        <v/>
      </c>
      <c r="I344" s="179" t="str">
        <f aca="false">Scoring!CJ351</f>
        <v/>
      </c>
    </row>
    <row r="345" customFormat="false" ht="15.75" hidden="false" customHeight="false" outlineLevel="0" collapsed="false">
      <c r="A345" s="6" t="str">
        <f aca="false">Scoring!CM352</f>
        <v/>
      </c>
      <c r="B345" s="6" t="str">
        <f aca="false">Scoring!CL352</f>
        <v/>
      </c>
      <c r="C345" s="6" t="n">
        <f aca="false">Scoring!C352</f>
        <v>0</v>
      </c>
      <c r="D345" s="178" t="str">
        <f aca="false">Scoring!CI352</f>
        <v/>
      </c>
      <c r="E345" s="6" t="str">
        <f aca="false">Scoring!BL352</f>
        <v/>
      </c>
      <c r="F345" s="6" t="n">
        <f aca="false">Scoring!B352</f>
        <v>0</v>
      </c>
      <c r="G345" s="6" t="n">
        <f aca="false">Scoring!D352</f>
        <v>0</v>
      </c>
      <c r="H345" s="6" t="str">
        <f aca="false">Scoring!CK352</f>
        <v/>
      </c>
      <c r="I345" s="179" t="str">
        <f aca="false">Scoring!CJ352</f>
        <v/>
      </c>
    </row>
    <row r="346" customFormat="false" ht="15.75" hidden="false" customHeight="false" outlineLevel="0" collapsed="false">
      <c r="A346" s="6" t="str">
        <f aca="false">Scoring!CM353</f>
        <v/>
      </c>
      <c r="B346" s="6" t="str">
        <f aca="false">Scoring!CL353</f>
        <v/>
      </c>
      <c r="C346" s="6" t="n">
        <f aca="false">Scoring!C353</f>
        <v>0</v>
      </c>
      <c r="D346" s="178" t="str">
        <f aca="false">Scoring!CI353</f>
        <v/>
      </c>
      <c r="E346" s="6" t="str">
        <f aca="false">Scoring!BL353</f>
        <v/>
      </c>
      <c r="F346" s="6" t="n">
        <f aca="false">Scoring!B353</f>
        <v>0</v>
      </c>
      <c r="G346" s="6" t="n">
        <f aca="false">Scoring!D353</f>
        <v>0</v>
      </c>
      <c r="H346" s="6" t="str">
        <f aca="false">Scoring!CK353</f>
        <v/>
      </c>
      <c r="I346" s="179" t="str">
        <f aca="false">Scoring!CJ353</f>
        <v/>
      </c>
    </row>
    <row r="347" customFormat="false" ht="15.75" hidden="false" customHeight="false" outlineLevel="0" collapsed="false">
      <c r="A347" s="6" t="str">
        <f aca="false">Scoring!CM354</f>
        <v/>
      </c>
      <c r="B347" s="6" t="str">
        <f aca="false">Scoring!CL354</f>
        <v/>
      </c>
      <c r="C347" s="6" t="n">
        <f aca="false">Scoring!C354</f>
        <v>0</v>
      </c>
      <c r="D347" s="178" t="str">
        <f aca="false">Scoring!CI354</f>
        <v/>
      </c>
      <c r="E347" s="6" t="str">
        <f aca="false">Scoring!BL354</f>
        <v/>
      </c>
      <c r="F347" s="6" t="n">
        <f aca="false">Scoring!B354</f>
        <v>0</v>
      </c>
      <c r="G347" s="6" t="n">
        <f aca="false">Scoring!D354</f>
        <v>0</v>
      </c>
      <c r="H347" s="6" t="str">
        <f aca="false">Scoring!CK354</f>
        <v/>
      </c>
      <c r="I347" s="179" t="str">
        <f aca="false">Scoring!CJ354</f>
        <v/>
      </c>
    </row>
    <row r="348" customFormat="false" ht="15.75" hidden="false" customHeight="false" outlineLevel="0" collapsed="false">
      <c r="A348" s="6" t="str">
        <f aca="false">Scoring!CM355</f>
        <v/>
      </c>
      <c r="B348" s="6" t="str">
        <f aca="false">Scoring!CL355</f>
        <v/>
      </c>
      <c r="C348" s="6" t="n">
        <f aca="false">Scoring!C355</f>
        <v>0</v>
      </c>
      <c r="D348" s="178" t="str">
        <f aca="false">Scoring!CI355</f>
        <v/>
      </c>
      <c r="E348" s="6" t="str">
        <f aca="false">Scoring!BL355</f>
        <v/>
      </c>
      <c r="F348" s="6" t="n">
        <f aca="false">Scoring!B355</f>
        <v>0</v>
      </c>
      <c r="G348" s="6" t="n">
        <f aca="false">Scoring!D355</f>
        <v>0</v>
      </c>
      <c r="H348" s="6" t="str">
        <f aca="false">Scoring!CK355</f>
        <v/>
      </c>
      <c r="I348" s="179" t="str">
        <f aca="false">Scoring!CJ355</f>
        <v/>
      </c>
    </row>
    <row r="349" customFormat="false" ht="15.75" hidden="false" customHeight="false" outlineLevel="0" collapsed="false">
      <c r="A349" s="6" t="str">
        <f aca="false">Scoring!CM356</f>
        <v/>
      </c>
      <c r="B349" s="6" t="str">
        <f aca="false">Scoring!CL356</f>
        <v/>
      </c>
      <c r="C349" s="6" t="n">
        <f aca="false">Scoring!C356</f>
        <v>0</v>
      </c>
      <c r="D349" s="178" t="str">
        <f aca="false">Scoring!CI356</f>
        <v/>
      </c>
      <c r="E349" s="6" t="str">
        <f aca="false">Scoring!BL356</f>
        <v/>
      </c>
      <c r="F349" s="6" t="n">
        <f aca="false">Scoring!B356</f>
        <v>0</v>
      </c>
      <c r="G349" s="6" t="n">
        <f aca="false">Scoring!D356</f>
        <v>0</v>
      </c>
      <c r="H349" s="6" t="str">
        <f aca="false">Scoring!CK356</f>
        <v/>
      </c>
      <c r="I349" s="179" t="str">
        <f aca="false">Scoring!CJ356</f>
        <v/>
      </c>
    </row>
    <row r="350" customFormat="false" ht="15.75" hidden="false" customHeight="false" outlineLevel="0" collapsed="false">
      <c r="A350" s="6" t="str">
        <f aca="false">Scoring!CM357</f>
        <v/>
      </c>
      <c r="B350" s="6" t="str">
        <f aca="false">Scoring!CL357</f>
        <v/>
      </c>
      <c r="C350" s="6" t="n">
        <f aca="false">Scoring!C357</f>
        <v>0</v>
      </c>
      <c r="D350" s="178" t="str">
        <f aca="false">Scoring!CI357</f>
        <v/>
      </c>
      <c r="E350" s="6" t="str">
        <f aca="false">Scoring!BL357</f>
        <v/>
      </c>
      <c r="F350" s="6" t="n">
        <f aca="false">Scoring!B357</f>
        <v>0</v>
      </c>
      <c r="G350" s="6" t="n">
        <f aca="false">Scoring!D357</f>
        <v>0</v>
      </c>
      <c r="H350" s="6" t="str">
        <f aca="false">Scoring!CK357</f>
        <v/>
      </c>
      <c r="I350" s="179" t="str">
        <f aca="false">Scoring!CJ357</f>
        <v/>
      </c>
    </row>
    <row r="351" customFormat="false" ht="15.75" hidden="false" customHeight="false" outlineLevel="0" collapsed="false">
      <c r="A351" s="6" t="str">
        <f aca="false">Scoring!CM358</f>
        <v/>
      </c>
      <c r="B351" s="6" t="str">
        <f aca="false">Scoring!CL358</f>
        <v/>
      </c>
      <c r="C351" s="6" t="n">
        <f aca="false">Scoring!C358</f>
        <v>0</v>
      </c>
      <c r="D351" s="178" t="str">
        <f aca="false">Scoring!CI358</f>
        <v/>
      </c>
      <c r="E351" s="6" t="str">
        <f aca="false">Scoring!BL358</f>
        <v/>
      </c>
      <c r="F351" s="6" t="n">
        <f aca="false">Scoring!B358</f>
        <v>0</v>
      </c>
      <c r="G351" s="6" t="n">
        <f aca="false">Scoring!D358</f>
        <v>0</v>
      </c>
      <c r="H351" s="6" t="str">
        <f aca="false">Scoring!CK358</f>
        <v/>
      </c>
      <c r="I351" s="179" t="str">
        <f aca="false">Scoring!CJ358</f>
        <v/>
      </c>
    </row>
    <row r="352" customFormat="false" ht="15.75" hidden="false" customHeight="false" outlineLevel="0" collapsed="false">
      <c r="A352" s="6" t="str">
        <f aca="false">Scoring!CM359</f>
        <v/>
      </c>
      <c r="B352" s="6" t="str">
        <f aca="false">Scoring!CL359</f>
        <v/>
      </c>
      <c r="C352" s="6" t="n">
        <f aca="false">Scoring!C359</f>
        <v>0</v>
      </c>
      <c r="D352" s="178" t="str">
        <f aca="false">Scoring!CI359</f>
        <v/>
      </c>
      <c r="E352" s="6" t="str">
        <f aca="false">Scoring!BL359</f>
        <v/>
      </c>
      <c r="F352" s="6" t="n">
        <f aca="false">Scoring!B359</f>
        <v>0</v>
      </c>
      <c r="G352" s="6" t="n">
        <f aca="false">Scoring!D359</f>
        <v>0</v>
      </c>
      <c r="H352" s="6" t="str">
        <f aca="false">Scoring!CK359</f>
        <v/>
      </c>
      <c r="I352" s="179" t="str">
        <f aca="false">Scoring!CJ359</f>
        <v/>
      </c>
    </row>
    <row r="353" customFormat="false" ht="15.75" hidden="false" customHeight="false" outlineLevel="0" collapsed="false">
      <c r="A353" s="6" t="str">
        <f aca="false">Scoring!CM360</f>
        <v/>
      </c>
      <c r="B353" s="6" t="str">
        <f aca="false">Scoring!CL360</f>
        <v/>
      </c>
      <c r="C353" s="6" t="n">
        <f aca="false">Scoring!C360</f>
        <v>0</v>
      </c>
      <c r="D353" s="178" t="str">
        <f aca="false">Scoring!CI360</f>
        <v/>
      </c>
      <c r="E353" s="6" t="str">
        <f aca="false">Scoring!BL360</f>
        <v/>
      </c>
      <c r="F353" s="6" t="n">
        <f aca="false">Scoring!B360</f>
        <v>0</v>
      </c>
      <c r="G353" s="6" t="n">
        <f aca="false">Scoring!D360</f>
        <v>0</v>
      </c>
      <c r="H353" s="6" t="str">
        <f aca="false">Scoring!CK360</f>
        <v/>
      </c>
      <c r="I353" s="179" t="str">
        <f aca="false">Scoring!CJ360</f>
        <v/>
      </c>
    </row>
    <row r="354" customFormat="false" ht="15.75" hidden="false" customHeight="false" outlineLevel="0" collapsed="false">
      <c r="A354" s="6" t="str">
        <f aca="false">Scoring!CM361</f>
        <v/>
      </c>
      <c r="B354" s="6" t="str">
        <f aca="false">Scoring!CL361</f>
        <v/>
      </c>
      <c r="C354" s="6" t="n">
        <f aca="false">Scoring!C361</f>
        <v>0</v>
      </c>
      <c r="D354" s="178" t="str">
        <f aca="false">Scoring!CI361</f>
        <v/>
      </c>
      <c r="E354" s="6" t="str">
        <f aca="false">Scoring!BL361</f>
        <v/>
      </c>
      <c r="F354" s="6" t="n">
        <f aca="false">Scoring!B361</f>
        <v>0</v>
      </c>
      <c r="G354" s="6" t="n">
        <f aca="false">Scoring!D361</f>
        <v>0</v>
      </c>
      <c r="H354" s="6" t="str">
        <f aca="false">Scoring!CK361</f>
        <v/>
      </c>
      <c r="I354" s="179" t="str">
        <f aca="false">Scoring!CJ361</f>
        <v/>
      </c>
    </row>
    <row r="355" customFormat="false" ht="15.75" hidden="false" customHeight="false" outlineLevel="0" collapsed="false">
      <c r="A355" s="6" t="str">
        <f aca="false">Scoring!CM362</f>
        <v/>
      </c>
      <c r="B355" s="6" t="str">
        <f aca="false">Scoring!CL362</f>
        <v/>
      </c>
      <c r="C355" s="6" t="n">
        <f aca="false">Scoring!C362</f>
        <v>0</v>
      </c>
      <c r="D355" s="178" t="str">
        <f aca="false">Scoring!CI362</f>
        <v/>
      </c>
      <c r="E355" s="6" t="str">
        <f aca="false">Scoring!BL362</f>
        <v/>
      </c>
      <c r="F355" s="6" t="n">
        <f aca="false">Scoring!B362</f>
        <v>0</v>
      </c>
      <c r="G355" s="6" t="n">
        <f aca="false">Scoring!D362</f>
        <v>0</v>
      </c>
      <c r="H355" s="6" t="str">
        <f aca="false">Scoring!CK362</f>
        <v/>
      </c>
      <c r="I355" s="179" t="str">
        <f aca="false">Scoring!CJ362</f>
        <v/>
      </c>
    </row>
    <row r="356" customFormat="false" ht="15.75" hidden="false" customHeight="false" outlineLevel="0" collapsed="false">
      <c r="A356" s="6" t="str">
        <f aca="false">Scoring!CM363</f>
        <v/>
      </c>
      <c r="B356" s="6" t="str">
        <f aca="false">Scoring!CL363</f>
        <v/>
      </c>
      <c r="C356" s="6" t="n">
        <f aca="false">Scoring!C363</f>
        <v>0</v>
      </c>
      <c r="D356" s="178" t="str">
        <f aca="false">Scoring!CI363</f>
        <v/>
      </c>
      <c r="E356" s="6" t="str">
        <f aca="false">Scoring!BL363</f>
        <v/>
      </c>
      <c r="F356" s="6" t="n">
        <f aca="false">Scoring!B363</f>
        <v>0</v>
      </c>
      <c r="G356" s="6" t="n">
        <f aca="false">Scoring!D363</f>
        <v>0</v>
      </c>
      <c r="H356" s="6" t="str">
        <f aca="false">Scoring!CK363</f>
        <v/>
      </c>
      <c r="I356" s="179" t="str">
        <f aca="false">Scoring!CJ363</f>
        <v/>
      </c>
    </row>
    <row r="357" customFormat="false" ht="15.75" hidden="false" customHeight="false" outlineLevel="0" collapsed="false">
      <c r="A357" s="6" t="str">
        <f aca="false">Scoring!CM364</f>
        <v/>
      </c>
      <c r="B357" s="6" t="str">
        <f aca="false">Scoring!CL364</f>
        <v/>
      </c>
      <c r="C357" s="6" t="n">
        <f aca="false">Scoring!C364</f>
        <v>0</v>
      </c>
      <c r="D357" s="178" t="str">
        <f aca="false">Scoring!CI364</f>
        <v/>
      </c>
      <c r="E357" s="6" t="str">
        <f aca="false">Scoring!BL364</f>
        <v/>
      </c>
      <c r="F357" s="6" t="n">
        <f aca="false">Scoring!B364</f>
        <v>0</v>
      </c>
      <c r="G357" s="6" t="n">
        <f aca="false">Scoring!D364</f>
        <v>0</v>
      </c>
      <c r="H357" s="6" t="str">
        <f aca="false">Scoring!CK364</f>
        <v/>
      </c>
      <c r="I357" s="179" t="str">
        <f aca="false">Scoring!CJ364</f>
        <v/>
      </c>
    </row>
    <row r="358" customFormat="false" ht="15.75" hidden="false" customHeight="false" outlineLevel="0" collapsed="false">
      <c r="A358" s="6" t="str">
        <f aca="false">Scoring!CM365</f>
        <v/>
      </c>
      <c r="B358" s="6" t="str">
        <f aca="false">Scoring!CL365</f>
        <v/>
      </c>
      <c r="C358" s="6" t="n">
        <f aca="false">Scoring!C365</f>
        <v>0</v>
      </c>
      <c r="D358" s="178" t="str">
        <f aca="false">Scoring!CI365</f>
        <v/>
      </c>
      <c r="E358" s="6" t="str">
        <f aca="false">Scoring!BL365</f>
        <v/>
      </c>
      <c r="F358" s="6" t="n">
        <f aca="false">Scoring!B365</f>
        <v>0</v>
      </c>
      <c r="G358" s="6" t="n">
        <f aca="false">Scoring!D365</f>
        <v>0</v>
      </c>
      <c r="H358" s="6" t="str">
        <f aca="false">Scoring!CK365</f>
        <v/>
      </c>
      <c r="I358" s="179" t="str">
        <f aca="false">Scoring!CJ365</f>
        <v/>
      </c>
    </row>
    <row r="359" customFormat="false" ht="15.75" hidden="false" customHeight="false" outlineLevel="0" collapsed="false">
      <c r="A359" s="6" t="str">
        <f aca="false">Scoring!CM366</f>
        <v/>
      </c>
      <c r="B359" s="6" t="str">
        <f aca="false">Scoring!CL366</f>
        <v/>
      </c>
      <c r="C359" s="6" t="n">
        <f aca="false">Scoring!C366</f>
        <v>0</v>
      </c>
      <c r="D359" s="178" t="str">
        <f aca="false">Scoring!CI366</f>
        <v/>
      </c>
      <c r="E359" s="6" t="str">
        <f aca="false">Scoring!BL366</f>
        <v/>
      </c>
      <c r="F359" s="6" t="n">
        <f aca="false">Scoring!B366</f>
        <v>0</v>
      </c>
      <c r="G359" s="6" t="n">
        <f aca="false">Scoring!D366</f>
        <v>0</v>
      </c>
      <c r="H359" s="6" t="str">
        <f aca="false">Scoring!CK366</f>
        <v/>
      </c>
      <c r="I359" s="179" t="str">
        <f aca="false">Scoring!CJ366</f>
        <v/>
      </c>
    </row>
    <row r="360" customFormat="false" ht="15.75" hidden="false" customHeight="false" outlineLevel="0" collapsed="false">
      <c r="A360" s="6" t="str">
        <f aca="false">Scoring!CM367</f>
        <v/>
      </c>
      <c r="B360" s="6" t="str">
        <f aca="false">Scoring!CL367</f>
        <v/>
      </c>
      <c r="C360" s="6" t="n">
        <f aca="false">Scoring!C367</f>
        <v>0</v>
      </c>
      <c r="D360" s="178" t="str">
        <f aca="false">Scoring!CI367</f>
        <v/>
      </c>
      <c r="E360" s="6" t="str">
        <f aca="false">Scoring!BL367</f>
        <v/>
      </c>
      <c r="F360" s="6" t="n">
        <f aca="false">Scoring!B367</f>
        <v>0</v>
      </c>
      <c r="G360" s="6" t="n">
        <f aca="false">Scoring!D367</f>
        <v>0</v>
      </c>
      <c r="H360" s="6" t="str">
        <f aca="false">Scoring!CK367</f>
        <v/>
      </c>
      <c r="I360" s="179" t="str">
        <f aca="false">Scoring!CJ367</f>
        <v/>
      </c>
    </row>
    <row r="361" customFormat="false" ht="15.75" hidden="false" customHeight="false" outlineLevel="0" collapsed="false">
      <c r="A361" s="6" t="str">
        <f aca="false">Scoring!CM368</f>
        <v/>
      </c>
      <c r="B361" s="6" t="str">
        <f aca="false">Scoring!CL368</f>
        <v/>
      </c>
      <c r="C361" s="6" t="n">
        <f aca="false">Scoring!C368</f>
        <v>0</v>
      </c>
      <c r="D361" s="178" t="str">
        <f aca="false">Scoring!CI368</f>
        <v/>
      </c>
      <c r="E361" s="6" t="str">
        <f aca="false">Scoring!BL368</f>
        <v/>
      </c>
      <c r="F361" s="6" t="n">
        <f aca="false">Scoring!B368</f>
        <v>0</v>
      </c>
      <c r="G361" s="6" t="n">
        <f aca="false">Scoring!D368</f>
        <v>0</v>
      </c>
      <c r="H361" s="6" t="str">
        <f aca="false">Scoring!CK368</f>
        <v/>
      </c>
      <c r="I361" s="179" t="str">
        <f aca="false">Scoring!CJ368</f>
        <v/>
      </c>
    </row>
    <row r="362" customFormat="false" ht="15.75" hidden="false" customHeight="false" outlineLevel="0" collapsed="false">
      <c r="A362" s="6" t="str">
        <f aca="false">Scoring!CM369</f>
        <v/>
      </c>
      <c r="B362" s="6" t="str">
        <f aca="false">Scoring!CL369</f>
        <v/>
      </c>
      <c r="C362" s="6" t="n">
        <f aca="false">Scoring!C369</f>
        <v>0</v>
      </c>
      <c r="D362" s="178" t="str">
        <f aca="false">Scoring!CI369</f>
        <v/>
      </c>
      <c r="E362" s="6" t="str">
        <f aca="false">Scoring!BL369</f>
        <v/>
      </c>
      <c r="F362" s="6" t="n">
        <f aca="false">Scoring!B369</f>
        <v>0</v>
      </c>
      <c r="G362" s="6" t="n">
        <f aca="false">Scoring!D369</f>
        <v>0</v>
      </c>
      <c r="H362" s="6" t="str">
        <f aca="false">Scoring!CK369</f>
        <v/>
      </c>
      <c r="I362" s="179" t="str">
        <f aca="false">Scoring!CJ369</f>
        <v/>
      </c>
    </row>
    <row r="363" customFormat="false" ht="15.75" hidden="false" customHeight="false" outlineLevel="0" collapsed="false">
      <c r="A363" s="6" t="str">
        <f aca="false">Scoring!CM370</f>
        <v/>
      </c>
      <c r="B363" s="6" t="str">
        <f aca="false">Scoring!CL370</f>
        <v/>
      </c>
      <c r="C363" s="6" t="n">
        <f aca="false">Scoring!C370</f>
        <v>0</v>
      </c>
      <c r="D363" s="178" t="str">
        <f aca="false">Scoring!CI370</f>
        <v/>
      </c>
      <c r="E363" s="6" t="str">
        <f aca="false">Scoring!BL370</f>
        <v/>
      </c>
      <c r="F363" s="6" t="n">
        <f aca="false">Scoring!B370</f>
        <v>0</v>
      </c>
      <c r="G363" s="6" t="n">
        <f aca="false">Scoring!D370</f>
        <v>0</v>
      </c>
      <c r="H363" s="6" t="str">
        <f aca="false">Scoring!CK370</f>
        <v/>
      </c>
      <c r="I363" s="179" t="str">
        <f aca="false">Scoring!CJ370</f>
        <v/>
      </c>
    </row>
    <row r="364" customFormat="false" ht="15.75" hidden="false" customHeight="false" outlineLevel="0" collapsed="false">
      <c r="A364" s="6" t="str">
        <f aca="false">Scoring!CM371</f>
        <v/>
      </c>
      <c r="B364" s="6" t="str">
        <f aca="false">Scoring!CL371</f>
        <v/>
      </c>
      <c r="C364" s="6" t="n">
        <f aca="false">Scoring!C371</f>
        <v>0</v>
      </c>
      <c r="D364" s="178" t="str">
        <f aca="false">Scoring!CI371</f>
        <v/>
      </c>
      <c r="E364" s="6" t="str">
        <f aca="false">Scoring!BL371</f>
        <v/>
      </c>
      <c r="F364" s="6" t="n">
        <f aca="false">Scoring!B371</f>
        <v>0</v>
      </c>
      <c r="G364" s="6" t="n">
        <f aca="false">Scoring!D371</f>
        <v>0</v>
      </c>
      <c r="H364" s="6" t="str">
        <f aca="false">Scoring!CK371</f>
        <v/>
      </c>
      <c r="I364" s="179" t="str">
        <f aca="false">Scoring!CJ371</f>
        <v/>
      </c>
    </row>
    <row r="365" customFormat="false" ht="15.75" hidden="false" customHeight="false" outlineLevel="0" collapsed="false">
      <c r="A365" s="6" t="str">
        <f aca="false">Scoring!CM372</f>
        <v/>
      </c>
      <c r="B365" s="6" t="str">
        <f aca="false">Scoring!CL372</f>
        <v/>
      </c>
      <c r="C365" s="6" t="n">
        <f aca="false">Scoring!C372</f>
        <v>0</v>
      </c>
      <c r="D365" s="178" t="str">
        <f aca="false">Scoring!CI372</f>
        <v/>
      </c>
      <c r="E365" s="6" t="str">
        <f aca="false">Scoring!BL372</f>
        <v/>
      </c>
      <c r="F365" s="6" t="n">
        <f aca="false">Scoring!B372</f>
        <v>0</v>
      </c>
      <c r="G365" s="6" t="n">
        <f aca="false">Scoring!D372</f>
        <v>0</v>
      </c>
      <c r="H365" s="6" t="str">
        <f aca="false">Scoring!CK372</f>
        <v/>
      </c>
      <c r="I365" s="179" t="str">
        <f aca="false">Scoring!CJ372</f>
        <v/>
      </c>
    </row>
    <row r="366" customFormat="false" ht="15.75" hidden="false" customHeight="false" outlineLevel="0" collapsed="false">
      <c r="A366" s="6" t="str">
        <f aca="false">Scoring!CM373</f>
        <v/>
      </c>
      <c r="B366" s="6" t="str">
        <f aca="false">Scoring!CL373</f>
        <v/>
      </c>
      <c r="C366" s="6" t="n">
        <f aca="false">Scoring!C373</f>
        <v>0</v>
      </c>
      <c r="D366" s="178" t="str">
        <f aca="false">Scoring!CI373</f>
        <v/>
      </c>
      <c r="E366" s="6" t="str">
        <f aca="false">Scoring!BL373</f>
        <v/>
      </c>
      <c r="F366" s="6" t="n">
        <f aca="false">Scoring!B373</f>
        <v>0</v>
      </c>
      <c r="G366" s="6" t="n">
        <f aca="false">Scoring!D373</f>
        <v>0</v>
      </c>
      <c r="H366" s="6" t="str">
        <f aca="false">Scoring!CK373</f>
        <v/>
      </c>
      <c r="I366" s="179" t="str">
        <f aca="false">Scoring!CJ373</f>
        <v/>
      </c>
    </row>
    <row r="367" customFormat="false" ht="15.75" hidden="false" customHeight="false" outlineLevel="0" collapsed="false">
      <c r="A367" s="6" t="str">
        <f aca="false">Scoring!CM374</f>
        <v/>
      </c>
      <c r="B367" s="6" t="str">
        <f aca="false">Scoring!CL374</f>
        <v/>
      </c>
      <c r="C367" s="6" t="n">
        <f aca="false">Scoring!C374</f>
        <v>0</v>
      </c>
      <c r="D367" s="178" t="str">
        <f aca="false">Scoring!CI374</f>
        <v/>
      </c>
      <c r="E367" s="6" t="str">
        <f aca="false">Scoring!BL374</f>
        <v/>
      </c>
      <c r="F367" s="6" t="n">
        <f aca="false">Scoring!B374</f>
        <v>0</v>
      </c>
      <c r="G367" s="6" t="n">
        <f aca="false">Scoring!D374</f>
        <v>0</v>
      </c>
      <c r="H367" s="6" t="str">
        <f aca="false">Scoring!CK374</f>
        <v/>
      </c>
      <c r="I367" s="179" t="str">
        <f aca="false">Scoring!CJ374</f>
        <v/>
      </c>
    </row>
    <row r="368" customFormat="false" ht="15.75" hidden="false" customHeight="false" outlineLevel="0" collapsed="false">
      <c r="A368" s="6" t="str">
        <f aca="false">Scoring!CM375</f>
        <v/>
      </c>
      <c r="B368" s="6" t="str">
        <f aca="false">Scoring!CL375</f>
        <v/>
      </c>
      <c r="C368" s="6" t="n">
        <f aca="false">Scoring!C375</f>
        <v>0</v>
      </c>
      <c r="D368" s="178" t="str">
        <f aca="false">Scoring!CI375</f>
        <v/>
      </c>
      <c r="E368" s="6" t="str">
        <f aca="false">Scoring!BL375</f>
        <v/>
      </c>
      <c r="F368" s="6" t="n">
        <f aca="false">Scoring!B375</f>
        <v>0</v>
      </c>
      <c r="G368" s="6" t="n">
        <f aca="false">Scoring!D375</f>
        <v>0</v>
      </c>
      <c r="H368" s="6" t="str">
        <f aca="false">Scoring!CK375</f>
        <v/>
      </c>
      <c r="I368" s="179" t="str">
        <f aca="false">Scoring!CJ375</f>
        <v/>
      </c>
    </row>
    <row r="369" customFormat="false" ht="15.75" hidden="false" customHeight="false" outlineLevel="0" collapsed="false">
      <c r="A369" s="6" t="str">
        <f aca="false">Scoring!CM376</f>
        <v/>
      </c>
      <c r="B369" s="6" t="str">
        <f aca="false">Scoring!CL376</f>
        <v/>
      </c>
      <c r="C369" s="6" t="n">
        <f aca="false">Scoring!C376</f>
        <v>0</v>
      </c>
      <c r="D369" s="178" t="str">
        <f aca="false">Scoring!CI376</f>
        <v/>
      </c>
      <c r="E369" s="6" t="str">
        <f aca="false">Scoring!BL376</f>
        <v/>
      </c>
      <c r="F369" s="6" t="n">
        <f aca="false">Scoring!B376</f>
        <v>0</v>
      </c>
      <c r="G369" s="6" t="n">
        <f aca="false">Scoring!D376</f>
        <v>0</v>
      </c>
      <c r="H369" s="6" t="str">
        <f aca="false">Scoring!CK376</f>
        <v/>
      </c>
      <c r="I369" s="179" t="str">
        <f aca="false">Scoring!CJ376</f>
        <v/>
      </c>
    </row>
    <row r="370" customFormat="false" ht="15.75" hidden="false" customHeight="false" outlineLevel="0" collapsed="false">
      <c r="A370" s="6" t="str">
        <f aca="false">Scoring!CM377</f>
        <v/>
      </c>
      <c r="B370" s="6" t="str">
        <f aca="false">Scoring!CL377</f>
        <v/>
      </c>
      <c r="C370" s="6" t="n">
        <f aca="false">Scoring!C377</f>
        <v>0</v>
      </c>
      <c r="D370" s="178" t="str">
        <f aca="false">Scoring!CI377</f>
        <v/>
      </c>
      <c r="E370" s="6" t="str">
        <f aca="false">Scoring!BL377</f>
        <v/>
      </c>
      <c r="F370" s="6" t="n">
        <f aca="false">Scoring!B377</f>
        <v>0</v>
      </c>
      <c r="G370" s="6" t="n">
        <f aca="false">Scoring!D377</f>
        <v>0</v>
      </c>
      <c r="H370" s="6" t="str">
        <f aca="false">Scoring!CK377</f>
        <v/>
      </c>
      <c r="I370" s="179" t="str">
        <f aca="false">Scoring!CJ377</f>
        <v/>
      </c>
    </row>
    <row r="371" customFormat="false" ht="15.75" hidden="false" customHeight="false" outlineLevel="0" collapsed="false">
      <c r="A371" s="6" t="str">
        <f aca="false">Scoring!CM378</f>
        <v/>
      </c>
      <c r="B371" s="6" t="str">
        <f aca="false">Scoring!CL378</f>
        <v/>
      </c>
      <c r="C371" s="6" t="n">
        <f aca="false">Scoring!C378</f>
        <v>0</v>
      </c>
      <c r="D371" s="178" t="str">
        <f aca="false">Scoring!CI378</f>
        <v/>
      </c>
      <c r="E371" s="6" t="str">
        <f aca="false">Scoring!BL378</f>
        <v/>
      </c>
      <c r="F371" s="6" t="n">
        <f aca="false">Scoring!B378</f>
        <v>0</v>
      </c>
      <c r="G371" s="6" t="n">
        <f aca="false">Scoring!D378</f>
        <v>0</v>
      </c>
      <c r="H371" s="6" t="str">
        <f aca="false">Scoring!CK378</f>
        <v/>
      </c>
      <c r="I371" s="179" t="str">
        <f aca="false">Scoring!CJ378</f>
        <v/>
      </c>
    </row>
    <row r="372" customFormat="false" ht="15.75" hidden="false" customHeight="false" outlineLevel="0" collapsed="false">
      <c r="A372" s="6" t="str">
        <f aca="false">Scoring!CM379</f>
        <v/>
      </c>
      <c r="B372" s="6" t="str">
        <f aca="false">Scoring!CL379</f>
        <v/>
      </c>
      <c r="C372" s="6" t="n">
        <f aca="false">Scoring!C379</f>
        <v>0</v>
      </c>
      <c r="D372" s="178" t="str">
        <f aca="false">Scoring!CI379</f>
        <v/>
      </c>
      <c r="E372" s="6" t="str">
        <f aca="false">Scoring!BL379</f>
        <v/>
      </c>
      <c r="F372" s="6" t="n">
        <f aca="false">Scoring!B379</f>
        <v>0</v>
      </c>
      <c r="G372" s="6" t="n">
        <f aca="false">Scoring!D379</f>
        <v>0</v>
      </c>
      <c r="H372" s="6" t="str">
        <f aca="false">Scoring!CK379</f>
        <v/>
      </c>
      <c r="I372" s="179" t="str">
        <f aca="false">Scoring!CJ379</f>
        <v/>
      </c>
    </row>
    <row r="373" customFormat="false" ht="15.75" hidden="false" customHeight="false" outlineLevel="0" collapsed="false">
      <c r="A373" s="6" t="str">
        <f aca="false">Scoring!CM380</f>
        <v/>
      </c>
      <c r="B373" s="6" t="str">
        <f aca="false">Scoring!CL380</f>
        <v/>
      </c>
      <c r="C373" s="6" t="n">
        <f aca="false">Scoring!C380</f>
        <v>0</v>
      </c>
      <c r="D373" s="178" t="str">
        <f aca="false">Scoring!CI380</f>
        <v/>
      </c>
      <c r="E373" s="6" t="str">
        <f aca="false">Scoring!BL380</f>
        <v/>
      </c>
      <c r="F373" s="6" t="n">
        <f aca="false">Scoring!B380</f>
        <v>0</v>
      </c>
      <c r="G373" s="6" t="n">
        <f aca="false">Scoring!D380</f>
        <v>0</v>
      </c>
      <c r="H373" s="6" t="str">
        <f aca="false">Scoring!CK380</f>
        <v/>
      </c>
      <c r="I373" s="179" t="str">
        <f aca="false">Scoring!CJ380</f>
        <v/>
      </c>
    </row>
    <row r="374" customFormat="false" ht="15.75" hidden="false" customHeight="false" outlineLevel="0" collapsed="false">
      <c r="A374" s="6" t="str">
        <f aca="false">Scoring!CM381</f>
        <v/>
      </c>
      <c r="B374" s="6" t="str">
        <f aca="false">Scoring!CL381</f>
        <v/>
      </c>
      <c r="C374" s="6" t="n">
        <f aca="false">Scoring!C381</f>
        <v>0</v>
      </c>
      <c r="D374" s="178" t="str">
        <f aca="false">Scoring!CI381</f>
        <v/>
      </c>
      <c r="E374" s="6" t="str">
        <f aca="false">Scoring!BL381</f>
        <v/>
      </c>
      <c r="F374" s="6" t="n">
        <f aca="false">Scoring!B381</f>
        <v>0</v>
      </c>
      <c r="G374" s="6" t="n">
        <f aca="false">Scoring!D381</f>
        <v>0</v>
      </c>
      <c r="H374" s="6" t="str">
        <f aca="false">Scoring!CK381</f>
        <v/>
      </c>
      <c r="I374" s="179" t="str">
        <f aca="false">Scoring!CJ381</f>
        <v/>
      </c>
    </row>
    <row r="375" customFormat="false" ht="15.75" hidden="false" customHeight="false" outlineLevel="0" collapsed="false">
      <c r="A375" s="6" t="str">
        <f aca="false">Scoring!CM382</f>
        <v/>
      </c>
      <c r="B375" s="6" t="str">
        <f aca="false">Scoring!CL382</f>
        <v/>
      </c>
      <c r="C375" s="6" t="n">
        <f aca="false">Scoring!C382</f>
        <v>0</v>
      </c>
      <c r="D375" s="178" t="str">
        <f aca="false">Scoring!CI382</f>
        <v/>
      </c>
      <c r="E375" s="6" t="str">
        <f aca="false">Scoring!BL382</f>
        <v/>
      </c>
      <c r="F375" s="6" t="n">
        <f aca="false">Scoring!B382</f>
        <v>0</v>
      </c>
      <c r="G375" s="6" t="n">
        <f aca="false">Scoring!D382</f>
        <v>0</v>
      </c>
      <c r="H375" s="6" t="str">
        <f aca="false">Scoring!CK382</f>
        <v/>
      </c>
      <c r="I375" s="179" t="str">
        <f aca="false">Scoring!CJ382</f>
        <v/>
      </c>
    </row>
    <row r="376" customFormat="false" ht="15.75" hidden="false" customHeight="false" outlineLevel="0" collapsed="false">
      <c r="A376" s="6" t="str">
        <f aca="false">Scoring!CM383</f>
        <v/>
      </c>
      <c r="B376" s="6" t="str">
        <f aca="false">Scoring!CL383</f>
        <v/>
      </c>
      <c r="C376" s="6" t="n">
        <f aca="false">Scoring!C383</f>
        <v>0</v>
      </c>
      <c r="D376" s="178" t="str">
        <f aca="false">Scoring!CI383</f>
        <v/>
      </c>
      <c r="E376" s="6" t="str">
        <f aca="false">Scoring!BL383</f>
        <v/>
      </c>
      <c r="F376" s="6" t="n">
        <f aca="false">Scoring!B383</f>
        <v>0</v>
      </c>
      <c r="G376" s="6" t="n">
        <f aca="false">Scoring!D383</f>
        <v>0</v>
      </c>
      <c r="H376" s="6" t="str">
        <f aca="false">Scoring!CK383</f>
        <v/>
      </c>
      <c r="I376" s="179" t="str">
        <f aca="false">Scoring!CJ383</f>
        <v/>
      </c>
    </row>
    <row r="377" customFormat="false" ht="15.75" hidden="false" customHeight="false" outlineLevel="0" collapsed="false">
      <c r="A377" s="6" t="str">
        <f aca="false">Scoring!CM384</f>
        <v/>
      </c>
      <c r="B377" s="6" t="str">
        <f aca="false">Scoring!CL384</f>
        <v/>
      </c>
      <c r="C377" s="6" t="n">
        <f aca="false">Scoring!C384</f>
        <v>0</v>
      </c>
      <c r="D377" s="178" t="str">
        <f aca="false">Scoring!CI384</f>
        <v/>
      </c>
      <c r="E377" s="6" t="str">
        <f aca="false">Scoring!BL384</f>
        <v/>
      </c>
      <c r="F377" s="6" t="n">
        <f aca="false">Scoring!B384</f>
        <v>0</v>
      </c>
      <c r="G377" s="6" t="n">
        <f aca="false">Scoring!D384</f>
        <v>0</v>
      </c>
      <c r="H377" s="6" t="str">
        <f aca="false">Scoring!CK384</f>
        <v/>
      </c>
      <c r="I377" s="179" t="str">
        <f aca="false">Scoring!CJ384</f>
        <v/>
      </c>
    </row>
    <row r="378" customFormat="false" ht="15.75" hidden="false" customHeight="false" outlineLevel="0" collapsed="false">
      <c r="A378" s="6" t="str">
        <f aca="false">Scoring!CM385</f>
        <v/>
      </c>
      <c r="B378" s="6" t="str">
        <f aca="false">Scoring!CL385</f>
        <v/>
      </c>
      <c r="C378" s="6" t="n">
        <f aca="false">Scoring!C385</f>
        <v>0</v>
      </c>
      <c r="D378" s="178" t="str">
        <f aca="false">Scoring!CI385</f>
        <v/>
      </c>
      <c r="E378" s="6" t="str">
        <f aca="false">Scoring!BL385</f>
        <v/>
      </c>
      <c r="F378" s="6" t="n">
        <f aca="false">Scoring!B385</f>
        <v>0</v>
      </c>
      <c r="G378" s="6" t="n">
        <f aca="false">Scoring!D385</f>
        <v>0</v>
      </c>
      <c r="H378" s="6" t="str">
        <f aca="false">Scoring!CK385</f>
        <v/>
      </c>
      <c r="I378" s="179" t="str">
        <f aca="false">Scoring!CJ385</f>
        <v/>
      </c>
    </row>
    <row r="379" customFormat="false" ht="15.75" hidden="false" customHeight="false" outlineLevel="0" collapsed="false">
      <c r="A379" s="6" t="str">
        <f aca="false">Scoring!CM386</f>
        <v/>
      </c>
      <c r="B379" s="6" t="str">
        <f aca="false">Scoring!CL386</f>
        <v/>
      </c>
      <c r="C379" s="6" t="n">
        <f aca="false">Scoring!C386</f>
        <v>0</v>
      </c>
      <c r="D379" s="178" t="str">
        <f aca="false">Scoring!CI386</f>
        <v/>
      </c>
      <c r="E379" s="6" t="str">
        <f aca="false">Scoring!BL386</f>
        <v/>
      </c>
      <c r="F379" s="6" t="n">
        <f aca="false">Scoring!B386</f>
        <v>0</v>
      </c>
      <c r="G379" s="6" t="n">
        <f aca="false">Scoring!D386</f>
        <v>0</v>
      </c>
      <c r="H379" s="6" t="str">
        <f aca="false">Scoring!CK386</f>
        <v/>
      </c>
      <c r="I379" s="179" t="str">
        <f aca="false">Scoring!CJ386</f>
        <v/>
      </c>
    </row>
    <row r="380" customFormat="false" ht="15.75" hidden="false" customHeight="false" outlineLevel="0" collapsed="false">
      <c r="A380" s="6" t="str">
        <f aca="false">Scoring!CM387</f>
        <v/>
      </c>
      <c r="B380" s="6" t="str">
        <f aca="false">Scoring!CL387</f>
        <v/>
      </c>
      <c r="C380" s="6" t="n">
        <f aca="false">Scoring!C387</f>
        <v>0</v>
      </c>
      <c r="D380" s="178" t="str">
        <f aca="false">Scoring!CI387</f>
        <v/>
      </c>
      <c r="E380" s="6" t="str">
        <f aca="false">Scoring!BL387</f>
        <v/>
      </c>
      <c r="F380" s="6" t="n">
        <f aca="false">Scoring!B387</f>
        <v>0</v>
      </c>
      <c r="G380" s="6" t="n">
        <f aca="false">Scoring!D387</f>
        <v>0</v>
      </c>
      <c r="H380" s="6" t="str">
        <f aca="false">Scoring!CK387</f>
        <v/>
      </c>
      <c r="I380" s="179" t="str">
        <f aca="false">Scoring!CJ387</f>
        <v/>
      </c>
    </row>
    <row r="381" customFormat="false" ht="15.75" hidden="false" customHeight="false" outlineLevel="0" collapsed="false">
      <c r="A381" s="6" t="str">
        <f aca="false">Scoring!CM388</f>
        <v/>
      </c>
      <c r="B381" s="6" t="str">
        <f aca="false">Scoring!CL388</f>
        <v/>
      </c>
      <c r="C381" s="6" t="n">
        <f aca="false">Scoring!C388</f>
        <v>0</v>
      </c>
      <c r="D381" s="178" t="str">
        <f aca="false">Scoring!CI388</f>
        <v/>
      </c>
      <c r="E381" s="6" t="str">
        <f aca="false">Scoring!BL388</f>
        <v/>
      </c>
      <c r="F381" s="6" t="n">
        <f aca="false">Scoring!B388</f>
        <v>0</v>
      </c>
      <c r="G381" s="6" t="n">
        <f aca="false">Scoring!D388</f>
        <v>0</v>
      </c>
      <c r="H381" s="6" t="str">
        <f aca="false">Scoring!CK388</f>
        <v/>
      </c>
      <c r="I381" s="179" t="str">
        <f aca="false">Scoring!CJ388</f>
        <v/>
      </c>
    </row>
    <row r="382" customFormat="false" ht="15.75" hidden="false" customHeight="false" outlineLevel="0" collapsed="false">
      <c r="A382" s="6" t="str">
        <f aca="false">Scoring!CM389</f>
        <v/>
      </c>
      <c r="B382" s="6" t="str">
        <f aca="false">Scoring!CL389</f>
        <v/>
      </c>
      <c r="C382" s="6" t="n">
        <f aca="false">Scoring!C389</f>
        <v>0</v>
      </c>
      <c r="D382" s="178" t="str">
        <f aca="false">Scoring!CI389</f>
        <v/>
      </c>
      <c r="E382" s="6" t="str">
        <f aca="false">Scoring!BL389</f>
        <v/>
      </c>
      <c r="F382" s="6" t="n">
        <f aca="false">Scoring!B389</f>
        <v>0</v>
      </c>
      <c r="G382" s="6" t="n">
        <f aca="false">Scoring!D389</f>
        <v>0</v>
      </c>
      <c r="H382" s="6" t="str">
        <f aca="false">Scoring!CK389</f>
        <v/>
      </c>
      <c r="I382" s="179" t="str">
        <f aca="false">Scoring!CJ389</f>
        <v/>
      </c>
    </row>
    <row r="383" customFormat="false" ht="15.75" hidden="false" customHeight="false" outlineLevel="0" collapsed="false">
      <c r="A383" s="6" t="str">
        <f aca="false">Scoring!CM390</f>
        <v/>
      </c>
      <c r="B383" s="6" t="str">
        <f aca="false">Scoring!CL390</f>
        <v/>
      </c>
      <c r="C383" s="6" t="n">
        <f aca="false">Scoring!C390</f>
        <v>0</v>
      </c>
      <c r="D383" s="178" t="str">
        <f aca="false">Scoring!CI390</f>
        <v/>
      </c>
      <c r="E383" s="6" t="str">
        <f aca="false">Scoring!BL390</f>
        <v/>
      </c>
      <c r="F383" s="6" t="n">
        <f aca="false">Scoring!B390</f>
        <v>0</v>
      </c>
      <c r="G383" s="6" t="n">
        <f aca="false">Scoring!D390</f>
        <v>0</v>
      </c>
      <c r="H383" s="6" t="str">
        <f aca="false">Scoring!CK390</f>
        <v/>
      </c>
      <c r="I383" s="179" t="str">
        <f aca="false">Scoring!CJ390</f>
        <v/>
      </c>
    </row>
    <row r="384" customFormat="false" ht="15.75" hidden="false" customHeight="false" outlineLevel="0" collapsed="false">
      <c r="A384" s="6" t="str">
        <f aca="false">Scoring!CM391</f>
        <v/>
      </c>
      <c r="B384" s="6" t="str">
        <f aca="false">Scoring!CL391</f>
        <v/>
      </c>
      <c r="C384" s="6" t="n">
        <f aca="false">Scoring!C391</f>
        <v>0</v>
      </c>
      <c r="D384" s="178" t="str">
        <f aca="false">Scoring!CI391</f>
        <v/>
      </c>
      <c r="E384" s="6" t="str">
        <f aca="false">Scoring!BL391</f>
        <v/>
      </c>
      <c r="F384" s="6" t="n">
        <f aca="false">Scoring!B391</f>
        <v>0</v>
      </c>
      <c r="G384" s="6" t="n">
        <f aca="false">Scoring!D391</f>
        <v>0</v>
      </c>
      <c r="H384" s="6" t="str">
        <f aca="false">Scoring!CK391</f>
        <v/>
      </c>
      <c r="I384" s="179" t="str">
        <f aca="false">Scoring!CJ391</f>
        <v/>
      </c>
    </row>
    <row r="385" customFormat="false" ht="15.75" hidden="false" customHeight="false" outlineLevel="0" collapsed="false">
      <c r="A385" s="6" t="str">
        <f aca="false">Scoring!CM392</f>
        <v/>
      </c>
      <c r="B385" s="6" t="str">
        <f aca="false">Scoring!CL392</f>
        <v/>
      </c>
      <c r="C385" s="6" t="n">
        <f aca="false">Scoring!C392</f>
        <v>0</v>
      </c>
      <c r="D385" s="178" t="str">
        <f aca="false">Scoring!CI392</f>
        <v/>
      </c>
      <c r="E385" s="6" t="str">
        <f aca="false">Scoring!BL392</f>
        <v/>
      </c>
      <c r="F385" s="6" t="n">
        <f aca="false">Scoring!B392</f>
        <v>0</v>
      </c>
      <c r="G385" s="6" t="n">
        <f aca="false">Scoring!D392</f>
        <v>0</v>
      </c>
      <c r="H385" s="6" t="str">
        <f aca="false">Scoring!CK392</f>
        <v/>
      </c>
      <c r="I385" s="179" t="str">
        <f aca="false">Scoring!CJ392</f>
        <v/>
      </c>
    </row>
    <row r="386" customFormat="false" ht="15.75" hidden="false" customHeight="false" outlineLevel="0" collapsed="false">
      <c r="A386" s="6" t="str">
        <f aca="false">Scoring!CM393</f>
        <v/>
      </c>
      <c r="B386" s="6" t="str">
        <f aca="false">Scoring!CL393</f>
        <v/>
      </c>
      <c r="C386" s="6" t="n">
        <f aca="false">Scoring!C393</f>
        <v>0</v>
      </c>
      <c r="D386" s="178" t="str">
        <f aca="false">Scoring!CI393</f>
        <v/>
      </c>
      <c r="E386" s="6" t="str">
        <f aca="false">Scoring!BL393</f>
        <v/>
      </c>
      <c r="F386" s="6" t="n">
        <f aca="false">Scoring!B393</f>
        <v>0</v>
      </c>
      <c r="G386" s="6" t="n">
        <f aca="false">Scoring!D393</f>
        <v>0</v>
      </c>
      <c r="H386" s="6" t="str">
        <f aca="false">Scoring!CK393</f>
        <v/>
      </c>
      <c r="I386" s="179" t="str">
        <f aca="false">Scoring!CJ393</f>
        <v/>
      </c>
    </row>
    <row r="387" customFormat="false" ht="15.75" hidden="false" customHeight="false" outlineLevel="0" collapsed="false">
      <c r="A387" s="6" t="str">
        <f aca="false">Scoring!CM394</f>
        <v/>
      </c>
      <c r="B387" s="6" t="str">
        <f aca="false">Scoring!CL394</f>
        <v/>
      </c>
      <c r="C387" s="6" t="n">
        <f aca="false">Scoring!C394</f>
        <v>0</v>
      </c>
      <c r="D387" s="178" t="str">
        <f aca="false">Scoring!CI394</f>
        <v/>
      </c>
      <c r="E387" s="6" t="str">
        <f aca="false">Scoring!BL394</f>
        <v/>
      </c>
      <c r="F387" s="6" t="n">
        <f aca="false">Scoring!B394</f>
        <v>0</v>
      </c>
      <c r="G387" s="6" t="n">
        <f aca="false">Scoring!D394</f>
        <v>0</v>
      </c>
      <c r="H387" s="6" t="str">
        <f aca="false">Scoring!CK394</f>
        <v/>
      </c>
      <c r="I387" s="179" t="str">
        <f aca="false">Scoring!CJ394</f>
        <v/>
      </c>
    </row>
    <row r="388" customFormat="false" ht="15.75" hidden="false" customHeight="false" outlineLevel="0" collapsed="false">
      <c r="A388" s="6" t="str">
        <f aca="false">Scoring!CM395</f>
        <v/>
      </c>
      <c r="B388" s="6" t="str">
        <f aca="false">Scoring!CL395</f>
        <v/>
      </c>
      <c r="C388" s="6" t="n">
        <f aca="false">Scoring!C395</f>
        <v>0</v>
      </c>
      <c r="D388" s="178" t="str">
        <f aca="false">Scoring!CI395</f>
        <v/>
      </c>
      <c r="E388" s="6" t="str">
        <f aca="false">Scoring!BL395</f>
        <v/>
      </c>
      <c r="F388" s="6" t="n">
        <f aca="false">Scoring!B395</f>
        <v>0</v>
      </c>
      <c r="G388" s="6" t="n">
        <f aca="false">Scoring!D395</f>
        <v>0</v>
      </c>
      <c r="H388" s="6" t="str">
        <f aca="false">Scoring!CK395</f>
        <v/>
      </c>
      <c r="I388" s="179" t="str">
        <f aca="false">Scoring!CJ395</f>
        <v/>
      </c>
    </row>
    <row r="389" customFormat="false" ht="15.75" hidden="false" customHeight="false" outlineLevel="0" collapsed="false">
      <c r="A389" s="6" t="str">
        <f aca="false">Scoring!CM396</f>
        <v/>
      </c>
      <c r="B389" s="6" t="str">
        <f aca="false">Scoring!CL396</f>
        <v/>
      </c>
      <c r="C389" s="6" t="n">
        <f aca="false">Scoring!C396</f>
        <v>0</v>
      </c>
      <c r="D389" s="178" t="str">
        <f aca="false">Scoring!CI396</f>
        <v/>
      </c>
      <c r="E389" s="6" t="str">
        <f aca="false">Scoring!BL396</f>
        <v/>
      </c>
      <c r="F389" s="6" t="n">
        <f aca="false">Scoring!B396</f>
        <v>0</v>
      </c>
      <c r="G389" s="6" t="n">
        <f aca="false">Scoring!D396</f>
        <v>0</v>
      </c>
      <c r="H389" s="6" t="str">
        <f aca="false">Scoring!CK396</f>
        <v/>
      </c>
      <c r="I389" s="179" t="str">
        <f aca="false">Scoring!CJ396</f>
        <v/>
      </c>
    </row>
    <row r="390" customFormat="false" ht="15.75" hidden="false" customHeight="false" outlineLevel="0" collapsed="false">
      <c r="A390" s="6" t="str">
        <f aca="false">Scoring!CM397</f>
        <v/>
      </c>
      <c r="B390" s="6" t="str">
        <f aca="false">Scoring!CL397</f>
        <v/>
      </c>
      <c r="C390" s="6" t="n">
        <f aca="false">Scoring!C397</f>
        <v>0</v>
      </c>
      <c r="D390" s="178" t="str">
        <f aca="false">Scoring!CI397</f>
        <v/>
      </c>
      <c r="E390" s="6" t="str">
        <f aca="false">Scoring!BL397</f>
        <v/>
      </c>
      <c r="F390" s="6" t="n">
        <f aca="false">Scoring!B397</f>
        <v>0</v>
      </c>
      <c r="G390" s="6" t="n">
        <f aca="false">Scoring!D397</f>
        <v>0</v>
      </c>
      <c r="H390" s="6" t="str">
        <f aca="false">Scoring!CK397</f>
        <v/>
      </c>
      <c r="I390" s="179" t="str">
        <f aca="false">Scoring!CJ397</f>
        <v/>
      </c>
    </row>
    <row r="391" customFormat="false" ht="15.75" hidden="false" customHeight="false" outlineLevel="0" collapsed="false">
      <c r="A391" s="6" t="str">
        <f aca="false">Scoring!CM398</f>
        <v/>
      </c>
      <c r="B391" s="6" t="str">
        <f aca="false">Scoring!CL398</f>
        <v/>
      </c>
      <c r="C391" s="6" t="n">
        <f aca="false">Scoring!C398</f>
        <v>0</v>
      </c>
      <c r="D391" s="178" t="str">
        <f aca="false">Scoring!CI398</f>
        <v/>
      </c>
      <c r="E391" s="6" t="str">
        <f aca="false">Scoring!BL398</f>
        <v/>
      </c>
      <c r="F391" s="6" t="n">
        <f aca="false">Scoring!B398</f>
        <v>0</v>
      </c>
      <c r="G391" s="6" t="n">
        <f aca="false">Scoring!D398</f>
        <v>0</v>
      </c>
      <c r="H391" s="6" t="str">
        <f aca="false">Scoring!CK398</f>
        <v/>
      </c>
      <c r="I391" s="179" t="str">
        <f aca="false">Scoring!CJ398</f>
        <v/>
      </c>
    </row>
    <row r="392" customFormat="false" ht="15.75" hidden="false" customHeight="false" outlineLevel="0" collapsed="false">
      <c r="A392" s="6" t="str">
        <f aca="false">Scoring!CM399</f>
        <v/>
      </c>
      <c r="B392" s="6" t="str">
        <f aca="false">Scoring!CL399</f>
        <v/>
      </c>
      <c r="C392" s="6" t="n">
        <f aca="false">Scoring!C399</f>
        <v>0</v>
      </c>
      <c r="D392" s="178" t="str">
        <f aca="false">Scoring!CI399</f>
        <v/>
      </c>
      <c r="E392" s="6" t="str">
        <f aca="false">Scoring!BL399</f>
        <v/>
      </c>
      <c r="F392" s="6" t="n">
        <f aca="false">Scoring!B399</f>
        <v>0</v>
      </c>
      <c r="G392" s="6" t="n">
        <f aca="false">Scoring!D399</f>
        <v>0</v>
      </c>
      <c r="H392" s="6" t="str">
        <f aca="false">Scoring!CK399</f>
        <v/>
      </c>
      <c r="I392" s="179" t="str">
        <f aca="false">Scoring!CJ399</f>
        <v/>
      </c>
    </row>
    <row r="393" customFormat="false" ht="15.75" hidden="false" customHeight="false" outlineLevel="0" collapsed="false">
      <c r="A393" s="6" t="str">
        <f aca="false">Scoring!CM400</f>
        <v/>
      </c>
      <c r="B393" s="6" t="str">
        <f aca="false">Scoring!CL400</f>
        <v/>
      </c>
      <c r="C393" s="6" t="n">
        <f aca="false">Scoring!C400</f>
        <v>0</v>
      </c>
      <c r="D393" s="178" t="str">
        <f aca="false">Scoring!CI400</f>
        <v/>
      </c>
      <c r="E393" s="6" t="str">
        <f aca="false">Scoring!BL400</f>
        <v/>
      </c>
      <c r="F393" s="6" t="n">
        <f aca="false">Scoring!B400</f>
        <v>0</v>
      </c>
      <c r="G393" s="6" t="n">
        <f aca="false">Scoring!D400</f>
        <v>0</v>
      </c>
      <c r="H393" s="6" t="str">
        <f aca="false">Scoring!CK400</f>
        <v/>
      </c>
      <c r="I393" s="179" t="str">
        <f aca="false">Scoring!CJ400</f>
        <v/>
      </c>
    </row>
    <row r="394" customFormat="false" ht="15.75" hidden="false" customHeight="false" outlineLevel="0" collapsed="false">
      <c r="A394" s="6" t="str">
        <f aca="false">Scoring!CM401</f>
        <v/>
      </c>
      <c r="B394" s="6" t="str">
        <f aca="false">Scoring!CL401</f>
        <v/>
      </c>
      <c r="C394" s="6" t="n">
        <f aca="false">Scoring!C401</f>
        <v>0</v>
      </c>
      <c r="D394" s="178" t="str">
        <f aca="false">Scoring!CI401</f>
        <v/>
      </c>
      <c r="E394" s="6" t="str">
        <f aca="false">Scoring!BL401</f>
        <v/>
      </c>
      <c r="F394" s="6" t="n">
        <f aca="false">Scoring!B401</f>
        <v>0</v>
      </c>
      <c r="G394" s="6" t="n">
        <f aca="false">Scoring!D401</f>
        <v>0</v>
      </c>
      <c r="H394" s="6" t="str">
        <f aca="false">Scoring!CK401</f>
        <v/>
      </c>
      <c r="I394" s="179" t="str">
        <f aca="false">Scoring!CJ401</f>
        <v/>
      </c>
    </row>
    <row r="395" customFormat="false" ht="15.75" hidden="false" customHeight="false" outlineLevel="0" collapsed="false">
      <c r="A395" s="6" t="str">
        <f aca="false">Scoring!CM402</f>
        <v/>
      </c>
      <c r="B395" s="6" t="str">
        <f aca="false">Scoring!CL402</f>
        <v/>
      </c>
      <c r="C395" s="6" t="n">
        <f aca="false">Scoring!C402</f>
        <v>0</v>
      </c>
      <c r="D395" s="178" t="str">
        <f aca="false">Scoring!CI402</f>
        <v/>
      </c>
      <c r="E395" s="6" t="str">
        <f aca="false">Scoring!BL402</f>
        <v/>
      </c>
      <c r="F395" s="6" t="n">
        <f aca="false">Scoring!B402</f>
        <v>0</v>
      </c>
      <c r="G395" s="6" t="n">
        <f aca="false">Scoring!D402</f>
        <v>0</v>
      </c>
      <c r="H395" s="6" t="str">
        <f aca="false">Scoring!CK402</f>
        <v/>
      </c>
      <c r="I395" s="179" t="str">
        <f aca="false">Scoring!CJ402</f>
        <v/>
      </c>
    </row>
    <row r="396" customFormat="false" ht="15.75" hidden="false" customHeight="false" outlineLevel="0" collapsed="false">
      <c r="A396" s="6" t="str">
        <f aca="false">Scoring!CM403</f>
        <v/>
      </c>
      <c r="B396" s="6" t="str">
        <f aca="false">Scoring!CL403</f>
        <v/>
      </c>
      <c r="C396" s="6" t="n">
        <f aca="false">Scoring!C403</f>
        <v>0</v>
      </c>
      <c r="D396" s="178" t="str">
        <f aca="false">Scoring!CI403</f>
        <v/>
      </c>
      <c r="E396" s="6" t="str">
        <f aca="false">Scoring!BL403</f>
        <v/>
      </c>
      <c r="F396" s="6" t="n">
        <f aca="false">Scoring!B403</f>
        <v>0</v>
      </c>
      <c r="G396" s="6" t="n">
        <f aca="false">Scoring!D403</f>
        <v>0</v>
      </c>
      <c r="H396" s="6" t="str">
        <f aca="false">Scoring!CK403</f>
        <v/>
      </c>
      <c r="I396" s="179" t="str">
        <f aca="false">Scoring!CJ403</f>
        <v/>
      </c>
    </row>
    <row r="397" customFormat="false" ht="15.75" hidden="false" customHeight="false" outlineLevel="0" collapsed="false">
      <c r="A397" s="6" t="str">
        <f aca="false">Scoring!CM404</f>
        <v/>
      </c>
      <c r="B397" s="6" t="str">
        <f aca="false">Scoring!CL404</f>
        <v/>
      </c>
      <c r="C397" s="6" t="n">
        <f aca="false">Scoring!C404</f>
        <v>0</v>
      </c>
      <c r="D397" s="178" t="str">
        <f aca="false">Scoring!CI404</f>
        <v/>
      </c>
      <c r="E397" s="6" t="str">
        <f aca="false">Scoring!BL404</f>
        <v/>
      </c>
      <c r="F397" s="6" t="n">
        <f aca="false">Scoring!B404</f>
        <v>0</v>
      </c>
      <c r="G397" s="6" t="n">
        <f aca="false">Scoring!D404</f>
        <v>0</v>
      </c>
      <c r="H397" s="6" t="str">
        <f aca="false">Scoring!CK404</f>
        <v/>
      </c>
      <c r="I397" s="179" t="str">
        <f aca="false">Scoring!CJ404</f>
        <v/>
      </c>
    </row>
    <row r="398" customFormat="false" ht="15.75" hidden="false" customHeight="false" outlineLevel="0" collapsed="false">
      <c r="A398" s="6" t="str">
        <f aca="false">Scoring!CM405</f>
        <v/>
      </c>
      <c r="B398" s="6" t="str">
        <f aca="false">Scoring!CL405</f>
        <v/>
      </c>
      <c r="C398" s="6" t="n">
        <f aca="false">Scoring!C405</f>
        <v>0</v>
      </c>
      <c r="D398" s="178" t="str">
        <f aca="false">Scoring!CI405</f>
        <v/>
      </c>
      <c r="E398" s="6" t="str">
        <f aca="false">Scoring!BL405</f>
        <v/>
      </c>
      <c r="F398" s="6" t="n">
        <f aca="false">Scoring!B405</f>
        <v>0</v>
      </c>
      <c r="G398" s="6" t="n">
        <f aca="false">Scoring!D405</f>
        <v>0</v>
      </c>
      <c r="H398" s="6" t="str">
        <f aca="false">Scoring!CK405</f>
        <v/>
      </c>
      <c r="I398" s="179" t="str">
        <f aca="false">Scoring!CJ405</f>
        <v/>
      </c>
    </row>
    <row r="399" customFormat="false" ht="15.75" hidden="false" customHeight="false" outlineLevel="0" collapsed="false">
      <c r="A399" s="6" t="str">
        <f aca="false">Scoring!CM406</f>
        <v/>
      </c>
      <c r="B399" s="6" t="str">
        <f aca="false">Scoring!CL406</f>
        <v/>
      </c>
      <c r="C399" s="6" t="n">
        <f aca="false">Scoring!C406</f>
        <v>0</v>
      </c>
      <c r="D399" s="178" t="str">
        <f aca="false">Scoring!CI406</f>
        <v/>
      </c>
      <c r="E399" s="6" t="str">
        <f aca="false">Scoring!BL406</f>
        <v/>
      </c>
      <c r="F399" s="6" t="n">
        <f aca="false">Scoring!B406</f>
        <v>0</v>
      </c>
      <c r="G399" s="6" t="n">
        <f aca="false">Scoring!D406</f>
        <v>0</v>
      </c>
      <c r="H399" s="6" t="str">
        <f aca="false">Scoring!CK406</f>
        <v/>
      </c>
      <c r="I399" s="179" t="str">
        <f aca="false">Scoring!CJ406</f>
        <v/>
      </c>
    </row>
    <row r="400" customFormat="false" ht="15.75" hidden="false" customHeight="false" outlineLevel="0" collapsed="false">
      <c r="A400" s="6" t="str">
        <f aca="false">Scoring!CM407</f>
        <v/>
      </c>
      <c r="B400" s="6" t="str">
        <f aca="false">Scoring!CL407</f>
        <v/>
      </c>
      <c r="C400" s="6" t="n">
        <f aca="false">Scoring!C407</f>
        <v>0</v>
      </c>
      <c r="D400" s="178" t="str">
        <f aca="false">Scoring!CI407</f>
        <v/>
      </c>
      <c r="E400" s="6" t="str">
        <f aca="false">Scoring!BL407</f>
        <v/>
      </c>
      <c r="F400" s="6" t="n">
        <f aca="false">Scoring!B407</f>
        <v>0</v>
      </c>
      <c r="G400" s="6" t="n">
        <f aca="false">Scoring!D407</f>
        <v>0</v>
      </c>
      <c r="H400" s="6" t="str">
        <f aca="false">Scoring!CK407</f>
        <v/>
      </c>
      <c r="I400" s="179" t="str">
        <f aca="false">Scoring!CJ407</f>
        <v/>
      </c>
    </row>
    <row r="401" customFormat="false" ht="15.75" hidden="false" customHeight="false" outlineLevel="0" collapsed="false">
      <c r="A401" s="6" t="str">
        <f aca="false">Scoring!CM408</f>
        <v/>
      </c>
      <c r="B401" s="6" t="str">
        <f aca="false">Scoring!CL408</f>
        <v/>
      </c>
      <c r="C401" s="6" t="n">
        <f aca="false">Scoring!C408</f>
        <v>0</v>
      </c>
      <c r="D401" s="178" t="str">
        <f aca="false">Scoring!CI408</f>
        <v/>
      </c>
      <c r="E401" s="6" t="str">
        <f aca="false">Scoring!BL408</f>
        <v/>
      </c>
      <c r="F401" s="6" t="n">
        <f aca="false">Scoring!B408</f>
        <v>0</v>
      </c>
      <c r="G401" s="6" t="n">
        <f aca="false">Scoring!D408</f>
        <v>0</v>
      </c>
      <c r="H401" s="6" t="str">
        <f aca="false">Scoring!CK408</f>
        <v/>
      </c>
      <c r="I401" s="179" t="str">
        <f aca="false">Scoring!CJ408</f>
        <v/>
      </c>
    </row>
    <row r="402" customFormat="false" ht="15.75" hidden="false" customHeight="false" outlineLevel="0" collapsed="false">
      <c r="A402" s="6" t="str">
        <f aca="false">Scoring!CM409</f>
        <v/>
      </c>
      <c r="B402" s="6" t="str">
        <f aca="false">Scoring!CL409</f>
        <v/>
      </c>
      <c r="C402" s="6" t="n">
        <f aca="false">Scoring!C409</f>
        <v>0</v>
      </c>
      <c r="D402" s="178" t="str">
        <f aca="false">Scoring!CI409</f>
        <v/>
      </c>
      <c r="E402" s="6" t="str">
        <f aca="false">Scoring!BL409</f>
        <v/>
      </c>
      <c r="F402" s="6" t="n">
        <f aca="false">Scoring!B409</f>
        <v>0</v>
      </c>
      <c r="G402" s="6" t="n">
        <f aca="false">Scoring!D409</f>
        <v>0</v>
      </c>
      <c r="H402" s="6" t="str">
        <f aca="false">Scoring!CK409</f>
        <v/>
      </c>
      <c r="I402" s="179" t="str">
        <f aca="false">Scoring!CJ409</f>
        <v/>
      </c>
    </row>
    <row r="403" customFormat="false" ht="15.75" hidden="false" customHeight="false" outlineLevel="0" collapsed="false">
      <c r="A403" s="6" t="str">
        <f aca="false">Scoring!CM410</f>
        <v/>
      </c>
      <c r="B403" s="6" t="str">
        <f aca="false">Scoring!CL410</f>
        <v/>
      </c>
      <c r="C403" s="6" t="n">
        <f aca="false">Scoring!C410</f>
        <v>0</v>
      </c>
      <c r="D403" s="178" t="str">
        <f aca="false">Scoring!CI410</f>
        <v/>
      </c>
      <c r="E403" s="6" t="str">
        <f aca="false">Scoring!BL410</f>
        <v/>
      </c>
      <c r="F403" s="6" t="n">
        <f aca="false">Scoring!B410</f>
        <v>0</v>
      </c>
      <c r="G403" s="6" t="n">
        <f aca="false">Scoring!D410</f>
        <v>0</v>
      </c>
      <c r="H403" s="6" t="str">
        <f aca="false">Scoring!CK410</f>
        <v/>
      </c>
      <c r="I403" s="179" t="str">
        <f aca="false">Scoring!CJ410</f>
        <v/>
      </c>
    </row>
    <row r="404" customFormat="false" ht="15.75" hidden="false" customHeight="false" outlineLevel="0" collapsed="false">
      <c r="A404" s="6" t="str">
        <f aca="false">Scoring!CM411</f>
        <v/>
      </c>
      <c r="B404" s="6" t="str">
        <f aca="false">Scoring!CL411</f>
        <v/>
      </c>
      <c r="C404" s="6" t="n">
        <f aca="false">Scoring!C411</f>
        <v>0</v>
      </c>
      <c r="D404" s="178" t="str">
        <f aca="false">Scoring!CI411</f>
        <v/>
      </c>
      <c r="E404" s="6" t="str">
        <f aca="false">Scoring!BL411</f>
        <v/>
      </c>
      <c r="F404" s="6" t="n">
        <f aca="false">Scoring!B411</f>
        <v>0</v>
      </c>
      <c r="G404" s="6" t="n">
        <f aca="false">Scoring!D411</f>
        <v>0</v>
      </c>
      <c r="H404" s="6" t="str">
        <f aca="false">Scoring!CK411</f>
        <v/>
      </c>
      <c r="I404" s="179" t="str">
        <f aca="false">Scoring!CJ411</f>
        <v/>
      </c>
    </row>
    <row r="405" customFormat="false" ht="15.75" hidden="false" customHeight="false" outlineLevel="0" collapsed="false">
      <c r="A405" s="6" t="str">
        <f aca="false">Scoring!CM412</f>
        <v/>
      </c>
      <c r="B405" s="6" t="str">
        <f aca="false">Scoring!CL412</f>
        <v/>
      </c>
      <c r="C405" s="6" t="n">
        <f aca="false">Scoring!C412</f>
        <v>0</v>
      </c>
      <c r="D405" s="178" t="str">
        <f aca="false">Scoring!CI412</f>
        <v/>
      </c>
      <c r="E405" s="6" t="str">
        <f aca="false">Scoring!BL412</f>
        <v/>
      </c>
      <c r="F405" s="6" t="n">
        <f aca="false">Scoring!B412</f>
        <v>0</v>
      </c>
      <c r="G405" s="6" t="n">
        <f aca="false">Scoring!D412</f>
        <v>0</v>
      </c>
      <c r="H405" s="6" t="str">
        <f aca="false">Scoring!CK412</f>
        <v/>
      </c>
      <c r="I405" s="179" t="str">
        <f aca="false">Scoring!CJ412</f>
        <v/>
      </c>
    </row>
    <row r="406" customFormat="false" ht="15.75" hidden="false" customHeight="false" outlineLevel="0" collapsed="false">
      <c r="A406" s="6" t="str">
        <f aca="false">Scoring!CM413</f>
        <v/>
      </c>
      <c r="B406" s="6" t="str">
        <f aca="false">Scoring!CL413</f>
        <v/>
      </c>
      <c r="C406" s="6" t="n">
        <f aca="false">Scoring!C413</f>
        <v>0</v>
      </c>
      <c r="D406" s="178" t="str">
        <f aca="false">Scoring!CI413</f>
        <v/>
      </c>
      <c r="E406" s="6" t="str">
        <f aca="false">Scoring!BL413</f>
        <v/>
      </c>
      <c r="F406" s="6" t="n">
        <f aca="false">Scoring!B413</f>
        <v>0</v>
      </c>
      <c r="G406" s="6" t="n">
        <f aca="false">Scoring!D413</f>
        <v>0</v>
      </c>
      <c r="H406" s="6" t="str">
        <f aca="false">Scoring!CK413</f>
        <v/>
      </c>
      <c r="I406" s="179" t="str">
        <f aca="false">Scoring!CJ413</f>
        <v/>
      </c>
    </row>
    <row r="407" customFormat="false" ht="15.75" hidden="false" customHeight="false" outlineLevel="0" collapsed="false">
      <c r="A407" s="6" t="str">
        <f aca="false">Scoring!CM414</f>
        <v/>
      </c>
      <c r="B407" s="6" t="str">
        <f aca="false">Scoring!CL414</f>
        <v/>
      </c>
      <c r="C407" s="6" t="n">
        <f aca="false">Scoring!C414</f>
        <v>0</v>
      </c>
      <c r="D407" s="178" t="str">
        <f aca="false">Scoring!CI414</f>
        <v/>
      </c>
      <c r="E407" s="6" t="str">
        <f aca="false">Scoring!BL414</f>
        <v/>
      </c>
      <c r="F407" s="6" t="n">
        <f aca="false">Scoring!B414</f>
        <v>0</v>
      </c>
      <c r="G407" s="6" t="n">
        <f aca="false">Scoring!D414</f>
        <v>0</v>
      </c>
      <c r="H407" s="6" t="str">
        <f aca="false">Scoring!CK414</f>
        <v/>
      </c>
      <c r="I407" s="179" t="str">
        <f aca="false">Scoring!CJ414</f>
        <v/>
      </c>
    </row>
    <row r="408" customFormat="false" ht="15.75" hidden="false" customHeight="false" outlineLevel="0" collapsed="false">
      <c r="A408" s="6" t="str">
        <f aca="false">Scoring!CM415</f>
        <v/>
      </c>
      <c r="B408" s="6" t="str">
        <f aca="false">Scoring!CL415</f>
        <v/>
      </c>
      <c r="C408" s="6" t="n">
        <f aca="false">Scoring!C415</f>
        <v>0</v>
      </c>
      <c r="D408" s="178" t="str">
        <f aca="false">Scoring!CI415</f>
        <v/>
      </c>
      <c r="E408" s="6" t="str">
        <f aca="false">Scoring!BL415</f>
        <v/>
      </c>
      <c r="F408" s="6" t="n">
        <f aca="false">Scoring!B415</f>
        <v>0</v>
      </c>
      <c r="G408" s="6" t="n">
        <f aca="false">Scoring!D415</f>
        <v>0</v>
      </c>
      <c r="H408" s="6" t="str">
        <f aca="false">Scoring!CK415</f>
        <v/>
      </c>
      <c r="I408" s="179" t="str">
        <f aca="false">Scoring!CJ415</f>
        <v/>
      </c>
    </row>
    <row r="409" customFormat="false" ht="15.75" hidden="false" customHeight="false" outlineLevel="0" collapsed="false">
      <c r="A409" s="6" t="str">
        <f aca="false">Scoring!CM416</f>
        <v/>
      </c>
      <c r="B409" s="6" t="str">
        <f aca="false">Scoring!CL416</f>
        <v/>
      </c>
      <c r="C409" s="6" t="n">
        <f aca="false">Scoring!C416</f>
        <v>0</v>
      </c>
      <c r="D409" s="178" t="str">
        <f aca="false">Scoring!CI416</f>
        <v/>
      </c>
      <c r="E409" s="6" t="str">
        <f aca="false">Scoring!BL416</f>
        <v/>
      </c>
      <c r="F409" s="6" t="n">
        <f aca="false">Scoring!B416</f>
        <v>0</v>
      </c>
      <c r="G409" s="6" t="n">
        <f aca="false">Scoring!D416</f>
        <v>0</v>
      </c>
      <c r="H409" s="6" t="str">
        <f aca="false">Scoring!CK416</f>
        <v/>
      </c>
      <c r="I409" s="179" t="str">
        <f aca="false">Scoring!CJ416</f>
        <v/>
      </c>
    </row>
    <row r="410" customFormat="false" ht="15.75" hidden="false" customHeight="false" outlineLevel="0" collapsed="false">
      <c r="A410" s="6" t="str">
        <f aca="false">Scoring!CM417</f>
        <v/>
      </c>
      <c r="B410" s="6" t="str">
        <f aca="false">Scoring!CL417</f>
        <v/>
      </c>
      <c r="C410" s="6" t="n">
        <f aca="false">Scoring!C417</f>
        <v>0</v>
      </c>
      <c r="D410" s="178" t="str">
        <f aca="false">Scoring!CI417</f>
        <v/>
      </c>
      <c r="E410" s="6" t="str">
        <f aca="false">Scoring!BL417</f>
        <v/>
      </c>
      <c r="F410" s="6" t="n">
        <f aca="false">Scoring!B417</f>
        <v>0</v>
      </c>
      <c r="G410" s="6" t="n">
        <f aca="false">Scoring!D417</f>
        <v>0</v>
      </c>
      <c r="H410" s="6" t="str">
        <f aca="false">Scoring!CK417</f>
        <v/>
      </c>
      <c r="I410" s="179" t="str">
        <f aca="false">Scoring!CJ417</f>
        <v/>
      </c>
    </row>
    <row r="411" customFormat="false" ht="15.75" hidden="false" customHeight="false" outlineLevel="0" collapsed="false">
      <c r="A411" s="6" t="str">
        <f aca="false">Scoring!CM418</f>
        <v/>
      </c>
      <c r="B411" s="6" t="str">
        <f aca="false">Scoring!CL418</f>
        <v/>
      </c>
      <c r="C411" s="6" t="n">
        <f aca="false">Scoring!C418</f>
        <v>0</v>
      </c>
      <c r="D411" s="178" t="str">
        <f aca="false">Scoring!CI418</f>
        <v/>
      </c>
      <c r="E411" s="6" t="str">
        <f aca="false">Scoring!BL418</f>
        <v/>
      </c>
      <c r="F411" s="6" t="n">
        <f aca="false">Scoring!B418</f>
        <v>0</v>
      </c>
      <c r="G411" s="6" t="n">
        <f aca="false">Scoring!D418</f>
        <v>0</v>
      </c>
      <c r="H411" s="6" t="str">
        <f aca="false">Scoring!CK418</f>
        <v/>
      </c>
      <c r="I411" s="179" t="str">
        <f aca="false">Scoring!CJ418</f>
        <v/>
      </c>
    </row>
    <row r="412" customFormat="false" ht="15.75" hidden="false" customHeight="false" outlineLevel="0" collapsed="false">
      <c r="A412" s="6" t="str">
        <f aca="false">Scoring!CM419</f>
        <v/>
      </c>
      <c r="B412" s="6" t="str">
        <f aca="false">Scoring!CL419</f>
        <v/>
      </c>
      <c r="C412" s="6" t="n">
        <f aca="false">Scoring!C419</f>
        <v>0</v>
      </c>
      <c r="D412" s="178" t="str">
        <f aca="false">Scoring!CI419</f>
        <v/>
      </c>
      <c r="E412" s="6" t="str">
        <f aca="false">Scoring!BL419</f>
        <v/>
      </c>
      <c r="F412" s="6" t="n">
        <f aca="false">Scoring!B419</f>
        <v>0</v>
      </c>
      <c r="G412" s="6" t="n">
        <f aca="false">Scoring!D419</f>
        <v>0</v>
      </c>
      <c r="H412" s="6" t="str">
        <f aca="false">Scoring!CK419</f>
        <v/>
      </c>
      <c r="I412" s="179" t="str">
        <f aca="false">Scoring!CJ419</f>
        <v/>
      </c>
    </row>
    <row r="413" customFormat="false" ht="15.75" hidden="false" customHeight="false" outlineLevel="0" collapsed="false">
      <c r="A413" s="6" t="str">
        <f aca="false">Scoring!CM420</f>
        <v/>
      </c>
      <c r="B413" s="6" t="str">
        <f aca="false">Scoring!CL420</f>
        <v/>
      </c>
      <c r="C413" s="6" t="n">
        <f aca="false">Scoring!C420</f>
        <v>0</v>
      </c>
      <c r="D413" s="178" t="str">
        <f aca="false">Scoring!CI420</f>
        <v/>
      </c>
      <c r="E413" s="6" t="str">
        <f aca="false">Scoring!BL420</f>
        <v/>
      </c>
      <c r="F413" s="6" t="n">
        <f aca="false">Scoring!B420</f>
        <v>0</v>
      </c>
      <c r="G413" s="6" t="n">
        <f aca="false">Scoring!D420</f>
        <v>0</v>
      </c>
      <c r="H413" s="6" t="str">
        <f aca="false">Scoring!CK420</f>
        <v/>
      </c>
      <c r="I413" s="179" t="str">
        <f aca="false">Scoring!CJ420</f>
        <v/>
      </c>
    </row>
    <row r="414" customFormat="false" ht="15.75" hidden="false" customHeight="false" outlineLevel="0" collapsed="false">
      <c r="A414" s="6" t="str">
        <f aca="false">Scoring!CM421</f>
        <v/>
      </c>
      <c r="B414" s="6" t="str">
        <f aca="false">Scoring!CL421</f>
        <v/>
      </c>
      <c r="C414" s="6" t="n">
        <f aca="false">Scoring!C421</f>
        <v>0</v>
      </c>
      <c r="D414" s="178" t="str">
        <f aca="false">Scoring!CI421</f>
        <v/>
      </c>
      <c r="E414" s="6" t="str">
        <f aca="false">Scoring!BL421</f>
        <v/>
      </c>
      <c r="F414" s="6" t="n">
        <f aca="false">Scoring!B421</f>
        <v>0</v>
      </c>
      <c r="G414" s="6" t="n">
        <f aca="false">Scoring!D421</f>
        <v>0</v>
      </c>
      <c r="H414" s="6" t="str">
        <f aca="false">Scoring!CK421</f>
        <v/>
      </c>
      <c r="I414" s="179" t="str">
        <f aca="false">Scoring!CJ421</f>
        <v/>
      </c>
    </row>
    <row r="415" customFormat="false" ht="15.75" hidden="false" customHeight="false" outlineLevel="0" collapsed="false">
      <c r="A415" s="6" t="str">
        <f aca="false">Scoring!CM422</f>
        <v/>
      </c>
      <c r="B415" s="6" t="str">
        <f aca="false">Scoring!CL422</f>
        <v/>
      </c>
      <c r="C415" s="6" t="n">
        <f aca="false">Scoring!C422</f>
        <v>0</v>
      </c>
      <c r="D415" s="178" t="str">
        <f aca="false">Scoring!CI422</f>
        <v/>
      </c>
      <c r="E415" s="6" t="str">
        <f aca="false">Scoring!BL422</f>
        <v/>
      </c>
      <c r="F415" s="6" t="n">
        <f aca="false">Scoring!B422</f>
        <v>0</v>
      </c>
      <c r="G415" s="6" t="n">
        <f aca="false">Scoring!D422</f>
        <v>0</v>
      </c>
      <c r="H415" s="6" t="str">
        <f aca="false">Scoring!CK422</f>
        <v/>
      </c>
      <c r="I415" s="179" t="str">
        <f aca="false">Scoring!CJ422</f>
        <v/>
      </c>
    </row>
    <row r="416" customFormat="false" ht="15.75" hidden="false" customHeight="false" outlineLevel="0" collapsed="false">
      <c r="A416" s="6" t="str">
        <f aca="false">Scoring!CM423</f>
        <v/>
      </c>
      <c r="B416" s="6" t="str">
        <f aca="false">Scoring!CL423</f>
        <v/>
      </c>
      <c r="C416" s="6" t="n">
        <f aca="false">Scoring!C423</f>
        <v>0</v>
      </c>
      <c r="D416" s="178" t="str">
        <f aca="false">Scoring!CI423</f>
        <v/>
      </c>
      <c r="E416" s="6" t="str">
        <f aca="false">Scoring!BL423</f>
        <v/>
      </c>
      <c r="F416" s="6" t="n">
        <f aca="false">Scoring!B423</f>
        <v>0</v>
      </c>
      <c r="G416" s="6" t="n">
        <f aca="false">Scoring!D423</f>
        <v>0</v>
      </c>
      <c r="H416" s="6" t="str">
        <f aca="false">Scoring!CK423</f>
        <v/>
      </c>
      <c r="I416" s="179" t="str">
        <f aca="false">Scoring!CJ423</f>
        <v/>
      </c>
    </row>
    <row r="417" customFormat="false" ht="15.75" hidden="false" customHeight="false" outlineLevel="0" collapsed="false">
      <c r="A417" s="6" t="str">
        <f aca="false">Scoring!CM424</f>
        <v/>
      </c>
      <c r="B417" s="6" t="str">
        <f aca="false">Scoring!CL424</f>
        <v/>
      </c>
      <c r="C417" s="6" t="n">
        <f aca="false">Scoring!C424</f>
        <v>0</v>
      </c>
      <c r="D417" s="178" t="str">
        <f aca="false">Scoring!CI424</f>
        <v/>
      </c>
      <c r="E417" s="6" t="str">
        <f aca="false">Scoring!BL424</f>
        <v/>
      </c>
      <c r="F417" s="6" t="n">
        <f aca="false">Scoring!B424</f>
        <v>0</v>
      </c>
      <c r="G417" s="6" t="n">
        <f aca="false">Scoring!D424</f>
        <v>0</v>
      </c>
      <c r="H417" s="6" t="str">
        <f aca="false">Scoring!CK424</f>
        <v/>
      </c>
      <c r="I417" s="179" t="str">
        <f aca="false">Scoring!CJ424</f>
        <v/>
      </c>
    </row>
    <row r="418" customFormat="false" ht="15.75" hidden="false" customHeight="false" outlineLevel="0" collapsed="false">
      <c r="A418" s="6" t="str">
        <f aca="false">Scoring!CM425</f>
        <v/>
      </c>
      <c r="B418" s="6" t="str">
        <f aca="false">Scoring!CL425</f>
        <v/>
      </c>
      <c r="C418" s="6" t="n">
        <f aca="false">Scoring!C425</f>
        <v>0</v>
      </c>
      <c r="D418" s="178" t="str">
        <f aca="false">Scoring!CI425</f>
        <v/>
      </c>
      <c r="E418" s="6" t="str">
        <f aca="false">Scoring!BL425</f>
        <v/>
      </c>
      <c r="F418" s="6" t="n">
        <f aca="false">Scoring!B425</f>
        <v>0</v>
      </c>
      <c r="G418" s="6" t="n">
        <f aca="false">Scoring!D425</f>
        <v>0</v>
      </c>
      <c r="H418" s="6" t="str">
        <f aca="false">Scoring!CK425</f>
        <v/>
      </c>
      <c r="I418" s="179" t="str">
        <f aca="false">Scoring!CJ425</f>
        <v/>
      </c>
    </row>
    <row r="419" customFormat="false" ht="15.75" hidden="false" customHeight="false" outlineLevel="0" collapsed="false">
      <c r="A419" s="6" t="str">
        <f aca="false">Scoring!CM426</f>
        <v/>
      </c>
      <c r="B419" s="6" t="str">
        <f aca="false">Scoring!CL426</f>
        <v/>
      </c>
      <c r="C419" s="6" t="n">
        <f aca="false">Scoring!C426</f>
        <v>0</v>
      </c>
      <c r="D419" s="178" t="str">
        <f aca="false">Scoring!CI426</f>
        <v/>
      </c>
      <c r="E419" s="6" t="str">
        <f aca="false">Scoring!BL426</f>
        <v/>
      </c>
      <c r="F419" s="6" t="n">
        <f aca="false">Scoring!B426</f>
        <v>0</v>
      </c>
      <c r="G419" s="6" t="n">
        <f aca="false">Scoring!D426</f>
        <v>0</v>
      </c>
      <c r="H419" s="6" t="str">
        <f aca="false">Scoring!CK426</f>
        <v/>
      </c>
      <c r="I419" s="179" t="str">
        <f aca="false">Scoring!CJ426</f>
        <v/>
      </c>
    </row>
    <row r="420" customFormat="false" ht="15.75" hidden="false" customHeight="false" outlineLevel="0" collapsed="false">
      <c r="A420" s="6" t="str">
        <f aca="false">Scoring!CM427</f>
        <v/>
      </c>
      <c r="B420" s="6" t="str">
        <f aca="false">Scoring!CL427</f>
        <v/>
      </c>
      <c r="C420" s="6" t="n">
        <f aca="false">Scoring!C427</f>
        <v>0</v>
      </c>
      <c r="D420" s="178" t="str">
        <f aca="false">Scoring!CI427</f>
        <v/>
      </c>
      <c r="E420" s="6" t="str">
        <f aca="false">Scoring!BL427</f>
        <v/>
      </c>
      <c r="F420" s="6" t="n">
        <f aca="false">Scoring!B427</f>
        <v>0</v>
      </c>
      <c r="G420" s="6" t="n">
        <f aca="false">Scoring!D427</f>
        <v>0</v>
      </c>
      <c r="H420" s="6" t="str">
        <f aca="false">Scoring!CK427</f>
        <v/>
      </c>
      <c r="I420" s="179" t="str">
        <f aca="false">Scoring!CJ427</f>
        <v/>
      </c>
    </row>
    <row r="421" customFormat="false" ht="15.75" hidden="false" customHeight="false" outlineLevel="0" collapsed="false">
      <c r="A421" s="6" t="str">
        <f aca="false">Scoring!CM428</f>
        <v/>
      </c>
      <c r="B421" s="6" t="str">
        <f aca="false">Scoring!CL428</f>
        <v/>
      </c>
      <c r="C421" s="6" t="n">
        <f aca="false">Scoring!C428</f>
        <v>0</v>
      </c>
      <c r="D421" s="178" t="str">
        <f aca="false">Scoring!CI428</f>
        <v/>
      </c>
      <c r="E421" s="6" t="str">
        <f aca="false">Scoring!BL428</f>
        <v/>
      </c>
      <c r="F421" s="6" t="n">
        <f aca="false">Scoring!B428</f>
        <v>0</v>
      </c>
      <c r="G421" s="6" t="n">
        <f aca="false">Scoring!D428</f>
        <v>0</v>
      </c>
      <c r="H421" s="6" t="str">
        <f aca="false">Scoring!CK428</f>
        <v/>
      </c>
      <c r="I421" s="179" t="str">
        <f aca="false">Scoring!CJ428</f>
        <v/>
      </c>
    </row>
    <row r="422" customFormat="false" ht="15.75" hidden="false" customHeight="false" outlineLevel="0" collapsed="false">
      <c r="A422" s="6" t="str">
        <f aca="false">Scoring!CM429</f>
        <v/>
      </c>
      <c r="B422" s="6" t="str">
        <f aca="false">Scoring!CL429</f>
        <v/>
      </c>
      <c r="C422" s="6" t="n">
        <f aca="false">Scoring!C429</f>
        <v>0</v>
      </c>
      <c r="D422" s="178" t="str">
        <f aca="false">Scoring!CI429</f>
        <v/>
      </c>
      <c r="E422" s="6" t="str">
        <f aca="false">Scoring!BL429</f>
        <v/>
      </c>
      <c r="F422" s="6" t="n">
        <f aca="false">Scoring!B429</f>
        <v>0</v>
      </c>
      <c r="G422" s="6" t="n">
        <f aca="false">Scoring!D429</f>
        <v>0</v>
      </c>
      <c r="H422" s="6" t="str">
        <f aca="false">Scoring!CK429</f>
        <v/>
      </c>
      <c r="I422" s="179" t="str">
        <f aca="false">Scoring!CJ429</f>
        <v/>
      </c>
    </row>
    <row r="423" customFormat="false" ht="15.75" hidden="false" customHeight="false" outlineLevel="0" collapsed="false">
      <c r="A423" s="6" t="str">
        <f aca="false">Scoring!CM430</f>
        <v/>
      </c>
      <c r="B423" s="6" t="str">
        <f aca="false">Scoring!CL430</f>
        <v/>
      </c>
      <c r="C423" s="6" t="n">
        <f aca="false">Scoring!C430</f>
        <v>0</v>
      </c>
      <c r="D423" s="178" t="str">
        <f aca="false">Scoring!CI430</f>
        <v/>
      </c>
      <c r="E423" s="6" t="str">
        <f aca="false">Scoring!BL430</f>
        <v/>
      </c>
      <c r="F423" s="6" t="n">
        <f aca="false">Scoring!B430</f>
        <v>0</v>
      </c>
      <c r="G423" s="6" t="n">
        <f aca="false">Scoring!D430</f>
        <v>0</v>
      </c>
      <c r="H423" s="6" t="str">
        <f aca="false">Scoring!CK430</f>
        <v/>
      </c>
      <c r="I423" s="179" t="str">
        <f aca="false">Scoring!CJ430</f>
        <v/>
      </c>
    </row>
    <row r="424" customFormat="false" ht="15.75" hidden="false" customHeight="false" outlineLevel="0" collapsed="false">
      <c r="A424" s="6" t="str">
        <f aca="false">Scoring!CM431</f>
        <v/>
      </c>
      <c r="B424" s="6" t="str">
        <f aca="false">Scoring!CL431</f>
        <v/>
      </c>
      <c r="C424" s="6" t="n">
        <f aca="false">Scoring!C431</f>
        <v>0</v>
      </c>
      <c r="D424" s="178" t="str">
        <f aca="false">Scoring!CI431</f>
        <v/>
      </c>
      <c r="E424" s="6" t="str">
        <f aca="false">Scoring!BL431</f>
        <v/>
      </c>
      <c r="F424" s="6" t="n">
        <f aca="false">Scoring!B431</f>
        <v>0</v>
      </c>
      <c r="G424" s="6" t="n">
        <f aca="false">Scoring!D431</f>
        <v>0</v>
      </c>
      <c r="H424" s="6" t="str">
        <f aca="false">Scoring!CK431</f>
        <v/>
      </c>
      <c r="I424" s="179" t="str">
        <f aca="false">Scoring!CJ431</f>
        <v/>
      </c>
    </row>
    <row r="425" customFormat="false" ht="15.75" hidden="false" customHeight="false" outlineLevel="0" collapsed="false">
      <c r="A425" s="6" t="str">
        <f aca="false">Scoring!CM432</f>
        <v/>
      </c>
      <c r="B425" s="6" t="str">
        <f aca="false">Scoring!CL432</f>
        <v/>
      </c>
      <c r="C425" s="6" t="n">
        <f aca="false">Scoring!C432</f>
        <v>0</v>
      </c>
      <c r="D425" s="178" t="str">
        <f aca="false">Scoring!CI432</f>
        <v/>
      </c>
      <c r="E425" s="6" t="str">
        <f aca="false">Scoring!BL432</f>
        <v/>
      </c>
      <c r="F425" s="6" t="n">
        <f aca="false">Scoring!B432</f>
        <v>0</v>
      </c>
      <c r="G425" s="6" t="n">
        <f aca="false">Scoring!D432</f>
        <v>0</v>
      </c>
      <c r="H425" s="6" t="str">
        <f aca="false">Scoring!CK432</f>
        <v/>
      </c>
      <c r="I425" s="179" t="str">
        <f aca="false">Scoring!CJ432</f>
        <v/>
      </c>
    </row>
    <row r="426" customFormat="false" ht="15.75" hidden="false" customHeight="false" outlineLevel="0" collapsed="false">
      <c r="A426" s="6" t="str">
        <f aca="false">Scoring!CM433</f>
        <v/>
      </c>
      <c r="B426" s="6" t="str">
        <f aca="false">Scoring!CL433</f>
        <v/>
      </c>
      <c r="C426" s="6" t="n">
        <f aca="false">Scoring!C433</f>
        <v>0</v>
      </c>
      <c r="D426" s="178" t="str">
        <f aca="false">Scoring!CI433</f>
        <v/>
      </c>
      <c r="E426" s="6" t="str">
        <f aca="false">Scoring!BL433</f>
        <v/>
      </c>
      <c r="F426" s="6" t="n">
        <f aca="false">Scoring!B433</f>
        <v>0</v>
      </c>
      <c r="G426" s="6" t="n">
        <f aca="false">Scoring!D433</f>
        <v>0</v>
      </c>
      <c r="H426" s="6" t="str">
        <f aca="false">Scoring!CK433</f>
        <v/>
      </c>
      <c r="I426" s="179" t="str">
        <f aca="false">Scoring!CJ433</f>
        <v/>
      </c>
    </row>
    <row r="427" customFormat="false" ht="15.75" hidden="false" customHeight="false" outlineLevel="0" collapsed="false">
      <c r="A427" s="6" t="str">
        <f aca="false">Scoring!CM434</f>
        <v/>
      </c>
      <c r="B427" s="6" t="str">
        <f aca="false">Scoring!CL434</f>
        <v/>
      </c>
      <c r="C427" s="6" t="n">
        <f aca="false">Scoring!C434</f>
        <v>0</v>
      </c>
      <c r="D427" s="178" t="str">
        <f aca="false">Scoring!CI434</f>
        <v/>
      </c>
      <c r="E427" s="6" t="str">
        <f aca="false">Scoring!BL434</f>
        <v/>
      </c>
      <c r="F427" s="6" t="n">
        <f aca="false">Scoring!B434</f>
        <v>0</v>
      </c>
      <c r="G427" s="6" t="n">
        <f aca="false">Scoring!D434</f>
        <v>0</v>
      </c>
      <c r="H427" s="6" t="str">
        <f aca="false">Scoring!CK434</f>
        <v/>
      </c>
      <c r="I427" s="179" t="str">
        <f aca="false">Scoring!CJ434</f>
        <v/>
      </c>
    </row>
    <row r="428" customFormat="false" ht="15.75" hidden="false" customHeight="false" outlineLevel="0" collapsed="false">
      <c r="A428" s="6" t="str">
        <f aca="false">Scoring!CM435</f>
        <v/>
      </c>
      <c r="B428" s="6" t="str">
        <f aca="false">Scoring!CL435</f>
        <v/>
      </c>
      <c r="C428" s="6" t="n">
        <f aca="false">Scoring!C435</f>
        <v>0</v>
      </c>
      <c r="D428" s="178" t="str">
        <f aca="false">Scoring!CI435</f>
        <v/>
      </c>
      <c r="E428" s="6" t="str">
        <f aca="false">Scoring!BL435</f>
        <v/>
      </c>
      <c r="F428" s="6" t="n">
        <f aca="false">Scoring!B435</f>
        <v>0</v>
      </c>
      <c r="G428" s="6" t="n">
        <f aca="false">Scoring!D435</f>
        <v>0</v>
      </c>
      <c r="H428" s="6" t="str">
        <f aca="false">Scoring!CK435</f>
        <v/>
      </c>
      <c r="I428" s="179" t="str">
        <f aca="false">Scoring!CJ435</f>
        <v/>
      </c>
    </row>
    <row r="429" customFormat="false" ht="15.75" hidden="false" customHeight="false" outlineLevel="0" collapsed="false">
      <c r="A429" s="6" t="str">
        <f aca="false">Scoring!CM436</f>
        <v/>
      </c>
      <c r="B429" s="6" t="str">
        <f aca="false">Scoring!CL436</f>
        <v/>
      </c>
      <c r="C429" s="6" t="n">
        <f aca="false">Scoring!C436</f>
        <v>0</v>
      </c>
      <c r="D429" s="178" t="str">
        <f aca="false">Scoring!CI436</f>
        <v/>
      </c>
      <c r="E429" s="6" t="str">
        <f aca="false">Scoring!BL436</f>
        <v/>
      </c>
      <c r="F429" s="6" t="n">
        <f aca="false">Scoring!B436</f>
        <v>0</v>
      </c>
      <c r="G429" s="6" t="n">
        <f aca="false">Scoring!D436</f>
        <v>0</v>
      </c>
      <c r="H429" s="6" t="str">
        <f aca="false">Scoring!CK436</f>
        <v/>
      </c>
      <c r="I429" s="179" t="str">
        <f aca="false">Scoring!CJ436</f>
        <v/>
      </c>
    </row>
    <row r="430" customFormat="false" ht="15.75" hidden="false" customHeight="false" outlineLevel="0" collapsed="false">
      <c r="A430" s="6" t="str">
        <f aca="false">Scoring!CM437</f>
        <v/>
      </c>
      <c r="B430" s="6" t="str">
        <f aca="false">Scoring!CL437</f>
        <v/>
      </c>
      <c r="C430" s="6" t="n">
        <f aca="false">Scoring!C437</f>
        <v>0</v>
      </c>
      <c r="D430" s="178" t="str">
        <f aca="false">Scoring!CI437</f>
        <v/>
      </c>
      <c r="E430" s="6" t="str">
        <f aca="false">Scoring!BL437</f>
        <v/>
      </c>
      <c r="F430" s="6" t="n">
        <f aca="false">Scoring!B437</f>
        <v>0</v>
      </c>
      <c r="G430" s="6" t="n">
        <f aca="false">Scoring!D437</f>
        <v>0</v>
      </c>
      <c r="H430" s="6" t="str">
        <f aca="false">Scoring!CK437</f>
        <v/>
      </c>
      <c r="I430" s="179" t="str">
        <f aca="false">Scoring!CJ437</f>
        <v/>
      </c>
    </row>
    <row r="431" customFormat="false" ht="15.75" hidden="false" customHeight="false" outlineLevel="0" collapsed="false">
      <c r="A431" s="6" t="str">
        <f aca="false">Scoring!CM438</f>
        <v/>
      </c>
      <c r="B431" s="6" t="str">
        <f aca="false">Scoring!CL438</f>
        <v/>
      </c>
      <c r="C431" s="6" t="n">
        <f aca="false">Scoring!C438</f>
        <v>0</v>
      </c>
      <c r="D431" s="178" t="str">
        <f aca="false">Scoring!CI438</f>
        <v/>
      </c>
      <c r="E431" s="6" t="str">
        <f aca="false">Scoring!BL438</f>
        <v/>
      </c>
      <c r="F431" s="6" t="n">
        <f aca="false">Scoring!B438</f>
        <v>0</v>
      </c>
      <c r="G431" s="6" t="n">
        <f aca="false">Scoring!D438</f>
        <v>0</v>
      </c>
      <c r="H431" s="6" t="str">
        <f aca="false">Scoring!CK438</f>
        <v/>
      </c>
      <c r="I431" s="179" t="str">
        <f aca="false">Scoring!CJ438</f>
        <v/>
      </c>
    </row>
    <row r="432" customFormat="false" ht="15.75" hidden="false" customHeight="false" outlineLevel="0" collapsed="false">
      <c r="A432" s="6" t="str">
        <f aca="false">Scoring!CM439</f>
        <v/>
      </c>
      <c r="B432" s="6" t="str">
        <f aca="false">Scoring!CL439</f>
        <v/>
      </c>
      <c r="C432" s="6" t="n">
        <f aca="false">Scoring!C439</f>
        <v>0</v>
      </c>
      <c r="D432" s="178" t="str">
        <f aca="false">Scoring!CI439</f>
        <v/>
      </c>
      <c r="E432" s="6" t="str">
        <f aca="false">Scoring!BL439</f>
        <v/>
      </c>
      <c r="F432" s="6" t="n">
        <f aca="false">Scoring!B439</f>
        <v>0</v>
      </c>
      <c r="G432" s="6" t="n">
        <f aca="false">Scoring!D439</f>
        <v>0</v>
      </c>
      <c r="H432" s="6" t="str">
        <f aca="false">Scoring!CK439</f>
        <v/>
      </c>
      <c r="I432" s="179" t="str">
        <f aca="false">Scoring!CJ439</f>
        <v/>
      </c>
    </row>
    <row r="433" customFormat="false" ht="15.75" hidden="false" customHeight="false" outlineLevel="0" collapsed="false">
      <c r="A433" s="6" t="str">
        <f aca="false">Scoring!CM440</f>
        <v/>
      </c>
      <c r="B433" s="6" t="str">
        <f aca="false">Scoring!CL440</f>
        <v/>
      </c>
      <c r="C433" s="6" t="n">
        <f aca="false">Scoring!C440</f>
        <v>0</v>
      </c>
      <c r="D433" s="178" t="str">
        <f aca="false">Scoring!CI440</f>
        <v/>
      </c>
      <c r="E433" s="6" t="str">
        <f aca="false">Scoring!BL440</f>
        <v/>
      </c>
      <c r="F433" s="6" t="n">
        <f aca="false">Scoring!B440</f>
        <v>0</v>
      </c>
      <c r="G433" s="6" t="n">
        <f aca="false">Scoring!D440</f>
        <v>0</v>
      </c>
      <c r="H433" s="6" t="str">
        <f aca="false">Scoring!CK440</f>
        <v/>
      </c>
      <c r="I433" s="179" t="str">
        <f aca="false">Scoring!CJ440</f>
        <v/>
      </c>
    </row>
    <row r="434" customFormat="false" ht="15.75" hidden="false" customHeight="false" outlineLevel="0" collapsed="false">
      <c r="A434" s="6" t="str">
        <f aca="false">Scoring!CM441</f>
        <v/>
      </c>
      <c r="B434" s="6" t="str">
        <f aca="false">Scoring!CL441</f>
        <v/>
      </c>
      <c r="C434" s="6" t="n">
        <f aca="false">Scoring!C441</f>
        <v>0</v>
      </c>
      <c r="D434" s="178" t="str">
        <f aca="false">Scoring!CI441</f>
        <v/>
      </c>
      <c r="E434" s="6" t="str">
        <f aca="false">Scoring!BL441</f>
        <v/>
      </c>
      <c r="F434" s="6" t="n">
        <f aca="false">Scoring!B441</f>
        <v>0</v>
      </c>
      <c r="G434" s="6" t="n">
        <f aca="false">Scoring!D441</f>
        <v>0</v>
      </c>
      <c r="H434" s="6" t="str">
        <f aca="false">Scoring!CK441</f>
        <v/>
      </c>
      <c r="I434" s="179" t="str">
        <f aca="false">Scoring!CJ441</f>
        <v/>
      </c>
    </row>
    <row r="435" customFormat="false" ht="15.75" hidden="false" customHeight="false" outlineLevel="0" collapsed="false">
      <c r="A435" s="6" t="str">
        <f aca="false">Scoring!CM442</f>
        <v/>
      </c>
      <c r="B435" s="6" t="str">
        <f aca="false">Scoring!CL442</f>
        <v/>
      </c>
      <c r="C435" s="6" t="n">
        <f aca="false">Scoring!C442</f>
        <v>0</v>
      </c>
      <c r="D435" s="178" t="str">
        <f aca="false">Scoring!CI442</f>
        <v/>
      </c>
      <c r="E435" s="6" t="str">
        <f aca="false">Scoring!BL442</f>
        <v/>
      </c>
      <c r="F435" s="6" t="n">
        <f aca="false">Scoring!B442</f>
        <v>0</v>
      </c>
      <c r="G435" s="6" t="n">
        <f aca="false">Scoring!D442</f>
        <v>0</v>
      </c>
      <c r="H435" s="6" t="str">
        <f aca="false">Scoring!CK442</f>
        <v/>
      </c>
      <c r="I435" s="179" t="str">
        <f aca="false">Scoring!CJ442</f>
        <v/>
      </c>
    </row>
    <row r="436" customFormat="false" ht="15.75" hidden="false" customHeight="false" outlineLevel="0" collapsed="false">
      <c r="A436" s="6" t="str">
        <f aca="false">Scoring!CM443</f>
        <v/>
      </c>
      <c r="B436" s="6" t="str">
        <f aca="false">Scoring!CL443</f>
        <v/>
      </c>
      <c r="C436" s="6" t="n">
        <f aca="false">Scoring!C443</f>
        <v>0</v>
      </c>
      <c r="D436" s="178" t="str">
        <f aca="false">Scoring!CI443</f>
        <v/>
      </c>
      <c r="E436" s="6" t="str">
        <f aca="false">Scoring!BL443</f>
        <v/>
      </c>
      <c r="F436" s="6" t="n">
        <f aca="false">Scoring!B443</f>
        <v>0</v>
      </c>
      <c r="G436" s="6" t="n">
        <f aca="false">Scoring!D443</f>
        <v>0</v>
      </c>
      <c r="H436" s="6" t="str">
        <f aca="false">Scoring!CK443</f>
        <v/>
      </c>
      <c r="I436" s="179" t="str">
        <f aca="false">Scoring!CJ443</f>
        <v/>
      </c>
    </row>
    <row r="437" customFormat="false" ht="15.75" hidden="false" customHeight="false" outlineLevel="0" collapsed="false">
      <c r="A437" s="6" t="str">
        <f aca="false">Scoring!CM444</f>
        <v/>
      </c>
      <c r="B437" s="6" t="str">
        <f aca="false">Scoring!CL444</f>
        <v/>
      </c>
      <c r="C437" s="6" t="n">
        <f aca="false">Scoring!C444</f>
        <v>0</v>
      </c>
      <c r="D437" s="178" t="str">
        <f aca="false">Scoring!CI444</f>
        <v/>
      </c>
      <c r="E437" s="6" t="str">
        <f aca="false">Scoring!BL444</f>
        <v/>
      </c>
      <c r="F437" s="6" t="n">
        <f aca="false">Scoring!B444</f>
        <v>0</v>
      </c>
      <c r="G437" s="6" t="n">
        <f aca="false">Scoring!D444</f>
        <v>0</v>
      </c>
      <c r="H437" s="6" t="str">
        <f aca="false">Scoring!CK444</f>
        <v/>
      </c>
      <c r="I437" s="179" t="str">
        <f aca="false">Scoring!CJ444</f>
        <v/>
      </c>
    </row>
    <row r="438" customFormat="false" ht="15.75" hidden="false" customHeight="false" outlineLevel="0" collapsed="false">
      <c r="A438" s="6" t="str">
        <f aca="false">Scoring!CM445</f>
        <v/>
      </c>
      <c r="B438" s="6" t="str">
        <f aca="false">Scoring!CL445</f>
        <v/>
      </c>
      <c r="C438" s="6" t="n">
        <f aca="false">Scoring!C445</f>
        <v>0</v>
      </c>
      <c r="D438" s="178" t="str">
        <f aca="false">Scoring!CI445</f>
        <v/>
      </c>
      <c r="E438" s="6" t="str">
        <f aca="false">Scoring!BL445</f>
        <v/>
      </c>
      <c r="F438" s="6" t="n">
        <f aca="false">Scoring!B445</f>
        <v>0</v>
      </c>
      <c r="G438" s="6" t="n">
        <f aca="false">Scoring!D445</f>
        <v>0</v>
      </c>
      <c r="H438" s="6" t="str">
        <f aca="false">Scoring!CK445</f>
        <v/>
      </c>
      <c r="I438" s="179" t="str">
        <f aca="false">Scoring!CJ445</f>
        <v/>
      </c>
    </row>
    <row r="439" customFormat="false" ht="15.75" hidden="false" customHeight="false" outlineLevel="0" collapsed="false">
      <c r="A439" s="6" t="str">
        <f aca="false">Scoring!CM446</f>
        <v/>
      </c>
      <c r="B439" s="6" t="str">
        <f aca="false">Scoring!CL446</f>
        <v/>
      </c>
      <c r="C439" s="6" t="n">
        <f aca="false">Scoring!C446</f>
        <v>0</v>
      </c>
      <c r="D439" s="178" t="str">
        <f aca="false">Scoring!CI446</f>
        <v/>
      </c>
      <c r="E439" s="6" t="str">
        <f aca="false">Scoring!BL446</f>
        <v/>
      </c>
      <c r="F439" s="6" t="n">
        <f aca="false">Scoring!B446</f>
        <v>0</v>
      </c>
      <c r="G439" s="6" t="n">
        <f aca="false">Scoring!D446</f>
        <v>0</v>
      </c>
      <c r="H439" s="6" t="str">
        <f aca="false">Scoring!CK446</f>
        <v/>
      </c>
      <c r="I439" s="179" t="str">
        <f aca="false">Scoring!CJ446</f>
        <v/>
      </c>
    </row>
    <row r="440" customFormat="false" ht="15.75" hidden="false" customHeight="false" outlineLevel="0" collapsed="false">
      <c r="A440" s="6" t="str">
        <f aca="false">Scoring!CM447</f>
        <v/>
      </c>
      <c r="B440" s="6" t="str">
        <f aca="false">Scoring!CL447</f>
        <v/>
      </c>
      <c r="C440" s="6" t="n">
        <f aca="false">Scoring!C447</f>
        <v>0</v>
      </c>
      <c r="D440" s="178" t="str">
        <f aca="false">Scoring!CI447</f>
        <v/>
      </c>
      <c r="E440" s="6" t="str">
        <f aca="false">Scoring!BL447</f>
        <v/>
      </c>
      <c r="F440" s="6" t="n">
        <f aca="false">Scoring!B447</f>
        <v>0</v>
      </c>
      <c r="G440" s="6" t="n">
        <f aca="false">Scoring!D447</f>
        <v>0</v>
      </c>
      <c r="H440" s="6" t="str">
        <f aca="false">Scoring!CK447</f>
        <v/>
      </c>
      <c r="I440" s="179" t="str">
        <f aca="false">Scoring!CJ447</f>
        <v/>
      </c>
    </row>
    <row r="441" customFormat="false" ht="15.75" hidden="false" customHeight="false" outlineLevel="0" collapsed="false">
      <c r="A441" s="6" t="str">
        <f aca="false">Scoring!CM448</f>
        <v/>
      </c>
      <c r="B441" s="6" t="str">
        <f aca="false">Scoring!CL448</f>
        <v/>
      </c>
      <c r="C441" s="6" t="n">
        <f aca="false">Scoring!C448</f>
        <v>0</v>
      </c>
      <c r="D441" s="178" t="str">
        <f aca="false">Scoring!CI448</f>
        <v/>
      </c>
      <c r="E441" s="6" t="str">
        <f aca="false">Scoring!BL448</f>
        <v/>
      </c>
      <c r="F441" s="6" t="n">
        <f aca="false">Scoring!B448</f>
        <v>0</v>
      </c>
      <c r="G441" s="6" t="n">
        <f aca="false">Scoring!D448</f>
        <v>0</v>
      </c>
      <c r="H441" s="6" t="str">
        <f aca="false">Scoring!CK448</f>
        <v/>
      </c>
      <c r="I441" s="179" t="str">
        <f aca="false">Scoring!CJ448</f>
        <v/>
      </c>
    </row>
    <row r="442" customFormat="false" ht="15.75" hidden="false" customHeight="false" outlineLevel="0" collapsed="false">
      <c r="A442" s="6" t="str">
        <f aca="false">Scoring!CM449</f>
        <v/>
      </c>
      <c r="B442" s="6" t="str">
        <f aca="false">Scoring!CL449</f>
        <v/>
      </c>
      <c r="C442" s="6" t="n">
        <f aca="false">Scoring!C449</f>
        <v>0</v>
      </c>
      <c r="D442" s="178" t="str">
        <f aca="false">Scoring!CI449</f>
        <v/>
      </c>
      <c r="E442" s="6" t="str">
        <f aca="false">Scoring!BL449</f>
        <v/>
      </c>
      <c r="F442" s="6" t="n">
        <f aca="false">Scoring!B449</f>
        <v>0</v>
      </c>
      <c r="G442" s="6" t="n">
        <f aca="false">Scoring!D449</f>
        <v>0</v>
      </c>
      <c r="H442" s="6" t="str">
        <f aca="false">Scoring!CK449</f>
        <v/>
      </c>
      <c r="I442" s="179" t="str">
        <f aca="false">Scoring!CJ449</f>
        <v/>
      </c>
    </row>
    <row r="443" customFormat="false" ht="15.75" hidden="false" customHeight="false" outlineLevel="0" collapsed="false">
      <c r="A443" s="6" t="str">
        <f aca="false">Scoring!CM450</f>
        <v/>
      </c>
      <c r="B443" s="6" t="str">
        <f aca="false">Scoring!CL450</f>
        <v/>
      </c>
      <c r="C443" s="6" t="n">
        <f aca="false">Scoring!C450</f>
        <v>0</v>
      </c>
      <c r="D443" s="178" t="str">
        <f aca="false">Scoring!CI450</f>
        <v/>
      </c>
      <c r="E443" s="6" t="str">
        <f aca="false">Scoring!BL450</f>
        <v/>
      </c>
      <c r="F443" s="6" t="n">
        <f aca="false">Scoring!B450</f>
        <v>0</v>
      </c>
      <c r="G443" s="6" t="n">
        <f aca="false">Scoring!D450</f>
        <v>0</v>
      </c>
      <c r="H443" s="6" t="str">
        <f aca="false">Scoring!CK450</f>
        <v/>
      </c>
      <c r="I443" s="179" t="str">
        <f aca="false">Scoring!CJ450</f>
        <v/>
      </c>
    </row>
    <row r="444" customFormat="false" ht="15.75" hidden="false" customHeight="false" outlineLevel="0" collapsed="false">
      <c r="A444" s="6" t="str">
        <f aca="false">Scoring!CM451</f>
        <v/>
      </c>
      <c r="B444" s="6" t="str">
        <f aca="false">Scoring!CL451</f>
        <v/>
      </c>
      <c r="C444" s="6" t="n">
        <f aca="false">Scoring!C451</f>
        <v>0</v>
      </c>
      <c r="D444" s="178" t="str">
        <f aca="false">Scoring!CI451</f>
        <v/>
      </c>
      <c r="E444" s="6" t="str">
        <f aca="false">Scoring!BL451</f>
        <v/>
      </c>
      <c r="F444" s="6" t="n">
        <f aca="false">Scoring!B451</f>
        <v>0</v>
      </c>
      <c r="G444" s="6" t="n">
        <f aca="false">Scoring!D451</f>
        <v>0</v>
      </c>
      <c r="H444" s="6" t="str">
        <f aca="false">Scoring!CK451</f>
        <v/>
      </c>
      <c r="I444" s="179" t="str">
        <f aca="false">Scoring!CJ451</f>
        <v/>
      </c>
    </row>
    <row r="445" customFormat="false" ht="15.75" hidden="false" customHeight="false" outlineLevel="0" collapsed="false">
      <c r="A445" s="6" t="str">
        <f aca="false">Scoring!CM452</f>
        <v/>
      </c>
      <c r="B445" s="6" t="str">
        <f aca="false">Scoring!CL452</f>
        <v/>
      </c>
      <c r="C445" s="6" t="n">
        <f aca="false">Scoring!C452</f>
        <v>0</v>
      </c>
      <c r="D445" s="178" t="str">
        <f aca="false">Scoring!CI452</f>
        <v/>
      </c>
      <c r="E445" s="6" t="str">
        <f aca="false">Scoring!BL452</f>
        <v/>
      </c>
      <c r="F445" s="6" t="n">
        <f aca="false">Scoring!B452</f>
        <v>0</v>
      </c>
      <c r="G445" s="6" t="n">
        <f aca="false">Scoring!D452</f>
        <v>0</v>
      </c>
      <c r="H445" s="6" t="str">
        <f aca="false">Scoring!CK452</f>
        <v/>
      </c>
      <c r="I445" s="179" t="str">
        <f aca="false">Scoring!CJ452</f>
        <v/>
      </c>
    </row>
    <row r="446" customFormat="false" ht="15.75" hidden="false" customHeight="false" outlineLevel="0" collapsed="false">
      <c r="A446" s="6" t="str">
        <f aca="false">Scoring!CM453</f>
        <v/>
      </c>
      <c r="B446" s="6" t="str">
        <f aca="false">Scoring!CL453</f>
        <v/>
      </c>
      <c r="C446" s="6" t="n">
        <f aca="false">Scoring!C453</f>
        <v>0</v>
      </c>
      <c r="D446" s="178" t="str">
        <f aca="false">Scoring!CI453</f>
        <v/>
      </c>
      <c r="E446" s="6" t="str">
        <f aca="false">Scoring!BL453</f>
        <v/>
      </c>
      <c r="F446" s="6" t="n">
        <f aca="false">Scoring!B453</f>
        <v>0</v>
      </c>
      <c r="G446" s="6" t="n">
        <f aca="false">Scoring!D453</f>
        <v>0</v>
      </c>
      <c r="H446" s="6" t="str">
        <f aca="false">Scoring!CK453</f>
        <v/>
      </c>
      <c r="I446" s="179" t="str">
        <f aca="false">Scoring!CJ453</f>
        <v/>
      </c>
    </row>
    <row r="447" customFormat="false" ht="15.75" hidden="false" customHeight="false" outlineLevel="0" collapsed="false">
      <c r="A447" s="6" t="str">
        <f aca="false">Scoring!CM454</f>
        <v/>
      </c>
      <c r="B447" s="6" t="str">
        <f aca="false">Scoring!CL454</f>
        <v/>
      </c>
      <c r="C447" s="6" t="n">
        <f aca="false">Scoring!C454</f>
        <v>0</v>
      </c>
      <c r="D447" s="178" t="str">
        <f aca="false">Scoring!CI454</f>
        <v/>
      </c>
      <c r="E447" s="6" t="str">
        <f aca="false">Scoring!BL454</f>
        <v/>
      </c>
      <c r="F447" s="6" t="n">
        <f aca="false">Scoring!B454</f>
        <v>0</v>
      </c>
      <c r="G447" s="6" t="n">
        <f aca="false">Scoring!D454</f>
        <v>0</v>
      </c>
      <c r="H447" s="6" t="str">
        <f aca="false">Scoring!CK454</f>
        <v/>
      </c>
      <c r="I447" s="179" t="str">
        <f aca="false">Scoring!CJ454</f>
        <v/>
      </c>
    </row>
    <row r="448" customFormat="false" ht="15.75" hidden="false" customHeight="false" outlineLevel="0" collapsed="false">
      <c r="A448" s="6" t="str">
        <f aca="false">Scoring!CM455</f>
        <v/>
      </c>
      <c r="B448" s="6" t="str">
        <f aca="false">Scoring!CL455</f>
        <v/>
      </c>
      <c r="C448" s="6" t="n">
        <f aca="false">Scoring!C455</f>
        <v>0</v>
      </c>
      <c r="D448" s="178" t="str">
        <f aca="false">Scoring!CI455</f>
        <v/>
      </c>
      <c r="E448" s="6" t="str">
        <f aca="false">Scoring!BL455</f>
        <v/>
      </c>
      <c r="F448" s="6" t="n">
        <f aca="false">Scoring!B455</f>
        <v>0</v>
      </c>
      <c r="G448" s="6" t="n">
        <f aca="false">Scoring!D455</f>
        <v>0</v>
      </c>
      <c r="H448" s="6" t="str">
        <f aca="false">Scoring!CK455</f>
        <v/>
      </c>
      <c r="I448" s="179" t="str">
        <f aca="false">Scoring!CJ455</f>
        <v/>
      </c>
    </row>
    <row r="449" customFormat="false" ht="15.75" hidden="false" customHeight="false" outlineLevel="0" collapsed="false">
      <c r="A449" s="6" t="str">
        <f aca="false">Scoring!CM456</f>
        <v/>
      </c>
      <c r="B449" s="6" t="str">
        <f aca="false">Scoring!CL456</f>
        <v/>
      </c>
      <c r="C449" s="6" t="n">
        <f aca="false">Scoring!C456</f>
        <v>0</v>
      </c>
      <c r="D449" s="178" t="str">
        <f aca="false">Scoring!CI456</f>
        <v/>
      </c>
      <c r="E449" s="6" t="str">
        <f aca="false">Scoring!BL456</f>
        <v/>
      </c>
      <c r="F449" s="6" t="n">
        <f aca="false">Scoring!B456</f>
        <v>0</v>
      </c>
      <c r="G449" s="6" t="n">
        <f aca="false">Scoring!D456</f>
        <v>0</v>
      </c>
      <c r="H449" s="6" t="str">
        <f aca="false">Scoring!CK456</f>
        <v/>
      </c>
      <c r="I449" s="179" t="str">
        <f aca="false">Scoring!CJ456</f>
        <v/>
      </c>
    </row>
    <row r="450" customFormat="false" ht="15.75" hidden="false" customHeight="false" outlineLevel="0" collapsed="false">
      <c r="A450" s="6" t="str">
        <f aca="false">Scoring!CM457</f>
        <v/>
      </c>
      <c r="B450" s="6" t="str">
        <f aca="false">Scoring!CL457</f>
        <v/>
      </c>
      <c r="C450" s="6" t="n">
        <f aca="false">Scoring!C457</f>
        <v>0</v>
      </c>
      <c r="D450" s="178" t="str">
        <f aca="false">Scoring!CI457</f>
        <v/>
      </c>
      <c r="E450" s="6" t="str">
        <f aca="false">Scoring!BL457</f>
        <v/>
      </c>
      <c r="F450" s="6" t="n">
        <f aca="false">Scoring!B457</f>
        <v>0</v>
      </c>
      <c r="G450" s="6" t="n">
        <f aca="false">Scoring!D457</f>
        <v>0</v>
      </c>
      <c r="H450" s="6" t="str">
        <f aca="false">Scoring!CK457</f>
        <v/>
      </c>
      <c r="I450" s="179" t="str">
        <f aca="false">Scoring!CJ457</f>
        <v/>
      </c>
    </row>
    <row r="451" customFormat="false" ht="15.75" hidden="false" customHeight="false" outlineLevel="0" collapsed="false">
      <c r="A451" s="6" t="str">
        <f aca="false">Scoring!CM458</f>
        <v/>
      </c>
      <c r="B451" s="6" t="str">
        <f aca="false">Scoring!CL458</f>
        <v/>
      </c>
      <c r="C451" s="6" t="n">
        <f aca="false">Scoring!C458</f>
        <v>0</v>
      </c>
      <c r="D451" s="178" t="str">
        <f aca="false">Scoring!CI458</f>
        <v/>
      </c>
      <c r="E451" s="6" t="str">
        <f aca="false">Scoring!BL458</f>
        <v/>
      </c>
      <c r="F451" s="6" t="n">
        <f aca="false">Scoring!B458</f>
        <v>0</v>
      </c>
      <c r="G451" s="6" t="n">
        <f aca="false">Scoring!D458</f>
        <v>0</v>
      </c>
      <c r="H451" s="6" t="str">
        <f aca="false">Scoring!CK458</f>
        <v/>
      </c>
      <c r="I451" s="179" t="str">
        <f aca="false">Scoring!CJ458</f>
        <v/>
      </c>
    </row>
    <row r="452" customFormat="false" ht="15.75" hidden="false" customHeight="false" outlineLevel="0" collapsed="false">
      <c r="A452" s="6" t="str">
        <f aca="false">Scoring!CM459</f>
        <v/>
      </c>
      <c r="B452" s="6" t="str">
        <f aca="false">Scoring!CL459</f>
        <v/>
      </c>
      <c r="C452" s="6" t="n">
        <f aca="false">Scoring!C459</f>
        <v>0</v>
      </c>
      <c r="D452" s="178" t="str">
        <f aca="false">Scoring!CI459</f>
        <v/>
      </c>
      <c r="E452" s="6" t="str">
        <f aca="false">Scoring!BL459</f>
        <v/>
      </c>
      <c r="F452" s="6" t="n">
        <f aca="false">Scoring!B459</f>
        <v>0</v>
      </c>
      <c r="G452" s="6" t="n">
        <f aca="false">Scoring!D459</f>
        <v>0</v>
      </c>
      <c r="H452" s="6" t="str">
        <f aca="false">Scoring!CK459</f>
        <v/>
      </c>
      <c r="I452" s="179" t="str">
        <f aca="false">Scoring!CJ459</f>
        <v/>
      </c>
    </row>
    <row r="453" customFormat="false" ht="15.75" hidden="false" customHeight="false" outlineLevel="0" collapsed="false">
      <c r="A453" s="6" t="str">
        <f aca="false">Scoring!CM460</f>
        <v/>
      </c>
      <c r="B453" s="6" t="str">
        <f aca="false">Scoring!CL460</f>
        <v/>
      </c>
      <c r="C453" s="6" t="n">
        <f aca="false">Scoring!C460</f>
        <v>0</v>
      </c>
      <c r="D453" s="178" t="str">
        <f aca="false">Scoring!CI460</f>
        <v/>
      </c>
      <c r="E453" s="6" t="str">
        <f aca="false">Scoring!BL460</f>
        <v/>
      </c>
      <c r="F453" s="6" t="n">
        <f aca="false">Scoring!B460</f>
        <v>0</v>
      </c>
      <c r="G453" s="6" t="n">
        <f aca="false">Scoring!D460</f>
        <v>0</v>
      </c>
      <c r="H453" s="6" t="str">
        <f aca="false">Scoring!CK460</f>
        <v/>
      </c>
      <c r="I453" s="179" t="str">
        <f aca="false">Scoring!CJ460</f>
        <v/>
      </c>
    </row>
    <row r="454" customFormat="false" ht="15.75" hidden="false" customHeight="false" outlineLevel="0" collapsed="false">
      <c r="A454" s="6" t="str">
        <f aca="false">Scoring!CM461</f>
        <v/>
      </c>
      <c r="B454" s="6" t="str">
        <f aca="false">Scoring!CL461</f>
        <v/>
      </c>
      <c r="C454" s="6" t="n">
        <f aca="false">Scoring!C461</f>
        <v>0</v>
      </c>
      <c r="D454" s="178" t="str">
        <f aca="false">Scoring!CI461</f>
        <v/>
      </c>
      <c r="E454" s="6" t="str">
        <f aca="false">Scoring!BL461</f>
        <v/>
      </c>
      <c r="F454" s="6" t="n">
        <f aca="false">Scoring!B461</f>
        <v>0</v>
      </c>
      <c r="G454" s="6" t="n">
        <f aca="false">Scoring!D461</f>
        <v>0</v>
      </c>
      <c r="H454" s="6" t="str">
        <f aca="false">Scoring!CK461</f>
        <v/>
      </c>
      <c r="I454" s="179" t="str">
        <f aca="false">Scoring!CJ461</f>
        <v/>
      </c>
    </row>
    <row r="455" customFormat="false" ht="15.75" hidden="false" customHeight="false" outlineLevel="0" collapsed="false">
      <c r="A455" s="6" t="str">
        <f aca="false">Scoring!CM462</f>
        <v/>
      </c>
      <c r="B455" s="6" t="str">
        <f aca="false">Scoring!CL462</f>
        <v/>
      </c>
      <c r="C455" s="6" t="n">
        <f aca="false">Scoring!C462</f>
        <v>0</v>
      </c>
      <c r="D455" s="178" t="str">
        <f aca="false">Scoring!CI462</f>
        <v/>
      </c>
      <c r="E455" s="6" t="str">
        <f aca="false">Scoring!BL462</f>
        <v/>
      </c>
      <c r="F455" s="6" t="n">
        <f aca="false">Scoring!B462</f>
        <v>0</v>
      </c>
      <c r="G455" s="6" t="n">
        <f aca="false">Scoring!D462</f>
        <v>0</v>
      </c>
      <c r="H455" s="6" t="str">
        <f aca="false">Scoring!CK462</f>
        <v/>
      </c>
      <c r="I455" s="179" t="str">
        <f aca="false">Scoring!CJ462</f>
        <v/>
      </c>
    </row>
    <row r="456" customFormat="false" ht="15.75" hidden="false" customHeight="false" outlineLevel="0" collapsed="false">
      <c r="A456" s="6" t="str">
        <f aca="false">Scoring!CM463</f>
        <v/>
      </c>
      <c r="B456" s="6" t="str">
        <f aca="false">Scoring!CL463</f>
        <v/>
      </c>
      <c r="C456" s="6" t="n">
        <f aca="false">Scoring!C463</f>
        <v>0</v>
      </c>
      <c r="D456" s="178" t="str">
        <f aca="false">Scoring!CI463</f>
        <v/>
      </c>
      <c r="E456" s="6" t="str">
        <f aca="false">Scoring!BL463</f>
        <v/>
      </c>
      <c r="F456" s="6" t="n">
        <f aca="false">Scoring!B463</f>
        <v>0</v>
      </c>
      <c r="G456" s="6" t="n">
        <f aca="false">Scoring!D463</f>
        <v>0</v>
      </c>
      <c r="H456" s="6" t="str">
        <f aca="false">Scoring!CK463</f>
        <v/>
      </c>
      <c r="I456" s="179" t="str">
        <f aca="false">Scoring!CJ463</f>
        <v/>
      </c>
    </row>
    <row r="457" customFormat="false" ht="15.75" hidden="false" customHeight="false" outlineLevel="0" collapsed="false">
      <c r="A457" s="6" t="str">
        <f aca="false">Scoring!CM464</f>
        <v/>
      </c>
      <c r="B457" s="6" t="str">
        <f aca="false">Scoring!CL464</f>
        <v/>
      </c>
      <c r="C457" s="6" t="n">
        <f aca="false">Scoring!C464</f>
        <v>0</v>
      </c>
      <c r="D457" s="178" t="str">
        <f aca="false">Scoring!CI464</f>
        <v/>
      </c>
      <c r="E457" s="6" t="str">
        <f aca="false">Scoring!BL464</f>
        <v/>
      </c>
      <c r="F457" s="6" t="n">
        <f aca="false">Scoring!B464</f>
        <v>0</v>
      </c>
      <c r="G457" s="6" t="n">
        <f aca="false">Scoring!D464</f>
        <v>0</v>
      </c>
      <c r="H457" s="6" t="str">
        <f aca="false">Scoring!CK464</f>
        <v/>
      </c>
      <c r="I457" s="179" t="str">
        <f aca="false">Scoring!CJ464</f>
        <v/>
      </c>
    </row>
    <row r="458" customFormat="false" ht="15.75" hidden="false" customHeight="false" outlineLevel="0" collapsed="false">
      <c r="A458" s="6" t="str">
        <f aca="false">Scoring!CM465</f>
        <v/>
      </c>
      <c r="B458" s="6" t="str">
        <f aca="false">Scoring!CL465</f>
        <v/>
      </c>
      <c r="C458" s="6" t="n">
        <f aca="false">Scoring!C465</f>
        <v>0</v>
      </c>
      <c r="D458" s="178" t="str">
        <f aca="false">Scoring!CI465</f>
        <v/>
      </c>
      <c r="E458" s="6" t="str">
        <f aca="false">Scoring!BL465</f>
        <v/>
      </c>
      <c r="F458" s="6" t="n">
        <f aca="false">Scoring!B465</f>
        <v>0</v>
      </c>
      <c r="G458" s="6" t="n">
        <f aca="false">Scoring!D465</f>
        <v>0</v>
      </c>
      <c r="H458" s="6" t="str">
        <f aca="false">Scoring!CK465</f>
        <v/>
      </c>
      <c r="I458" s="179" t="str">
        <f aca="false">Scoring!CJ465</f>
        <v/>
      </c>
    </row>
    <row r="459" customFormat="false" ht="15.75" hidden="false" customHeight="false" outlineLevel="0" collapsed="false">
      <c r="A459" s="6" t="str">
        <f aca="false">Scoring!CM466</f>
        <v/>
      </c>
      <c r="B459" s="6" t="str">
        <f aca="false">Scoring!CL466</f>
        <v/>
      </c>
      <c r="C459" s="6" t="n">
        <f aca="false">Scoring!C466</f>
        <v>0</v>
      </c>
      <c r="D459" s="178" t="str">
        <f aca="false">Scoring!CI466</f>
        <v/>
      </c>
      <c r="E459" s="6" t="str">
        <f aca="false">Scoring!BL466</f>
        <v/>
      </c>
      <c r="F459" s="6" t="n">
        <f aca="false">Scoring!B466</f>
        <v>0</v>
      </c>
      <c r="G459" s="6" t="n">
        <f aca="false">Scoring!D466</f>
        <v>0</v>
      </c>
      <c r="H459" s="6" t="str">
        <f aca="false">Scoring!CK466</f>
        <v/>
      </c>
      <c r="I459" s="179" t="str">
        <f aca="false">Scoring!CJ466</f>
        <v/>
      </c>
    </row>
    <row r="460" customFormat="false" ht="15.75" hidden="false" customHeight="false" outlineLevel="0" collapsed="false">
      <c r="A460" s="6" t="str">
        <f aca="false">Scoring!CM467</f>
        <v/>
      </c>
      <c r="B460" s="6" t="str">
        <f aca="false">Scoring!CL467</f>
        <v/>
      </c>
      <c r="C460" s="6" t="n">
        <f aca="false">Scoring!C467</f>
        <v>0</v>
      </c>
      <c r="D460" s="178" t="str">
        <f aca="false">Scoring!CI467</f>
        <v/>
      </c>
      <c r="E460" s="6" t="str">
        <f aca="false">Scoring!BL467</f>
        <v/>
      </c>
      <c r="F460" s="6" t="n">
        <f aca="false">Scoring!B467</f>
        <v>0</v>
      </c>
      <c r="G460" s="6" t="n">
        <f aca="false">Scoring!D467</f>
        <v>0</v>
      </c>
      <c r="H460" s="6" t="str">
        <f aca="false">Scoring!CK467</f>
        <v/>
      </c>
      <c r="I460" s="179" t="str">
        <f aca="false">Scoring!CJ467</f>
        <v/>
      </c>
    </row>
    <row r="461" customFormat="false" ht="15.75" hidden="false" customHeight="false" outlineLevel="0" collapsed="false">
      <c r="A461" s="6" t="str">
        <f aca="false">Scoring!CM468</f>
        <v/>
      </c>
      <c r="B461" s="6" t="str">
        <f aca="false">Scoring!CL468</f>
        <v/>
      </c>
      <c r="C461" s="6" t="n">
        <f aca="false">Scoring!C468</f>
        <v>0</v>
      </c>
      <c r="D461" s="178" t="str">
        <f aca="false">Scoring!CI468</f>
        <v/>
      </c>
      <c r="E461" s="6" t="str">
        <f aca="false">Scoring!BL468</f>
        <v/>
      </c>
      <c r="F461" s="6" t="n">
        <f aca="false">Scoring!B468</f>
        <v>0</v>
      </c>
      <c r="G461" s="6" t="n">
        <f aca="false">Scoring!D468</f>
        <v>0</v>
      </c>
      <c r="H461" s="6" t="str">
        <f aca="false">Scoring!CK468</f>
        <v/>
      </c>
      <c r="I461" s="179" t="str">
        <f aca="false">Scoring!CJ468</f>
        <v/>
      </c>
    </row>
    <row r="462" customFormat="false" ht="15.75" hidden="false" customHeight="false" outlineLevel="0" collapsed="false">
      <c r="A462" s="6" t="str">
        <f aca="false">Scoring!CM469</f>
        <v/>
      </c>
      <c r="B462" s="6" t="str">
        <f aca="false">Scoring!CL469</f>
        <v/>
      </c>
      <c r="C462" s="6" t="n">
        <f aca="false">Scoring!C469</f>
        <v>0</v>
      </c>
      <c r="D462" s="178" t="str">
        <f aca="false">Scoring!CI469</f>
        <v/>
      </c>
      <c r="E462" s="6" t="str">
        <f aca="false">Scoring!BL469</f>
        <v/>
      </c>
      <c r="F462" s="6" t="n">
        <f aca="false">Scoring!B469</f>
        <v>0</v>
      </c>
      <c r="G462" s="6" t="n">
        <f aca="false">Scoring!D469</f>
        <v>0</v>
      </c>
      <c r="H462" s="6" t="str">
        <f aca="false">Scoring!CK469</f>
        <v/>
      </c>
      <c r="I462" s="179" t="str">
        <f aca="false">Scoring!CJ469</f>
        <v/>
      </c>
    </row>
    <row r="463" customFormat="false" ht="15.75" hidden="false" customHeight="false" outlineLevel="0" collapsed="false">
      <c r="A463" s="6" t="str">
        <f aca="false">Scoring!CM470</f>
        <v/>
      </c>
      <c r="B463" s="6" t="str">
        <f aca="false">Scoring!CL470</f>
        <v/>
      </c>
      <c r="C463" s="6" t="n">
        <f aca="false">Scoring!C470</f>
        <v>0</v>
      </c>
      <c r="D463" s="178" t="str">
        <f aca="false">Scoring!CI470</f>
        <v/>
      </c>
      <c r="E463" s="6" t="str">
        <f aca="false">Scoring!BL470</f>
        <v/>
      </c>
      <c r="F463" s="6" t="n">
        <f aca="false">Scoring!B470</f>
        <v>0</v>
      </c>
      <c r="G463" s="6" t="n">
        <f aca="false">Scoring!D470</f>
        <v>0</v>
      </c>
      <c r="H463" s="6" t="str">
        <f aca="false">Scoring!CK470</f>
        <v/>
      </c>
      <c r="I463" s="179" t="str">
        <f aca="false">Scoring!CJ470</f>
        <v/>
      </c>
    </row>
    <row r="464" customFormat="false" ht="15.75" hidden="false" customHeight="false" outlineLevel="0" collapsed="false">
      <c r="A464" s="6" t="str">
        <f aca="false">Scoring!CM471</f>
        <v/>
      </c>
      <c r="B464" s="6" t="str">
        <f aca="false">Scoring!CL471</f>
        <v/>
      </c>
      <c r="C464" s="6" t="n">
        <f aca="false">Scoring!C471</f>
        <v>0</v>
      </c>
      <c r="D464" s="178" t="str">
        <f aca="false">Scoring!CI471</f>
        <v/>
      </c>
      <c r="E464" s="6" t="str">
        <f aca="false">Scoring!BL471</f>
        <v/>
      </c>
      <c r="F464" s="6" t="n">
        <f aca="false">Scoring!B471</f>
        <v>0</v>
      </c>
      <c r="G464" s="6" t="n">
        <f aca="false">Scoring!D471</f>
        <v>0</v>
      </c>
      <c r="H464" s="6" t="str">
        <f aca="false">Scoring!CK471</f>
        <v/>
      </c>
      <c r="I464" s="179" t="str">
        <f aca="false">Scoring!CJ471</f>
        <v/>
      </c>
    </row>
    <row r="465" customFormat="false" ht="15.75" hidden="false" customHeight="false" outlineLevel="0" collapsed="false">
      <c r="A465" s="6" t="str">
        <f aca="false">Scoring!CM472</f>
        <v/>
      </c>
      <c r="B465" s="6" t="str">
        <f aca="false">Scoring!CL472</f>
        <v/>
      </c>
      <c r="C465" s="6" t="n">
        <f aca="false">Scoring!C472</f>
        <v>0</v>
      </c>
      <c r="D465" s="178" t="str">
        <f aca="false">Scoring!CI472</f>
        <v/>
      </c>
      <c r="E465" s="6" t="str">
        <f aca="false">Scoring!BL472</f>
        <v/>
      </c>
      <c r="F465" s="6" t="n">
        <f aca="false">Scoring!B472</f>
        <v>0</v>
      </c>
      <c r="G465" s="6" t="n">
        <f aca="false">Scoring!D472</f>
        <v>0</v>
      </c>
      <c r="H465" s="6" t="str">
        <f aca="false">Scoring!CK472</f>
        <v/>
      </c>
      <c r="I465" s="179" t="str">
        <f aca="false">Scoring!CJ472</f>
        <v/>
      </c>
    </row>
    <row r="466" customFormat="false" ht="15.75" hidden="false" customHeight="false" outlineLevel="0" collapsed="false">
      <c r="A466" s="6" t="str">
        <f aca="false">Scoring!CM473</f>
        <v/>
      </c>
      <c r="B466" s="6" t="str">
        <f aca="false">Scoring!CL473</f>
        <v/>
      </c>
      <c r="C466" s="6" t="n">
        <f aca="false">Scoring!C473</f>
        <v>0</v>
      </c>
      <c r="D466" s="178" t="str">
        <f aca="false">Scoring!CI473</f>
        <v/>
      </c>
      <c r="E466" s="6" t="str">
        <f aca="false">Scoring!BL473</f>
        <v/>
      </c>
      <c r="F466" s="6" t="n">
        <f aca="false">Scoring!B473</f>
        <v>0</v>
      </c>
      <c r="G466" s="6" t="n">
        <f aca="false">Scoring!D473</f>
        <v>0</v>
      </c>
      <c r="H466" s="6" t="str">
        <f aca="false">Scoring!CK473</f>
        <v/>
      </c>
      <c r="I466" s="179" t="str">
        <f aca="false">Scoring!CJ473</f>
        <v/>
      </c>
    </row>
    <row r="467" customFormat="false" ht="15.75" hidden="false" customHeight="false" outlineLevel="0" collapsed="false">
      <c r="A467" s="6" t="str">
        <f aca="false">Scoring!CM474</f>
        <v/>
      </c>
      <c r="B467" s="6" t="str">
        <f aca="false">Scoring!CL474</f>
        <v/>
      </c>
      <c r="C467" s="6" t="n">
        <f aca="false">Scoring!C474</f>
        <v>0</v>
      </c>
      <c r="D467" s="178" t="str">
        <f aca="false">Scoring!CI474</f>
        <v/>
      </c>
      <c r="E467" s="6" t="str">
        <f aca="false">Scoring!BL474</f>
        <v/>
      </c>
      <c r="F467" s="6" t="n">
        <f aca="false">Scoring!B474</f>
        <v>0</v>
      </c>
      <c r="G467" s="6" t="n">
        <f aca="false">Scoring!D474</f>
        <v>0</v>
      </c>
      <c r="H467" s="6" t="str">
        <f aca="false">Scoring!CK474</f>
        <v/>
      </c>
      <c r="I467" s="179" t="str">
        <f aca="false">Scoring!CJ474</f>
        <v/>
      </c>
    </row>
    <row r="468" customFormat="false" ht="15.75" hidden="false" customHeight="false" outlineLevel="0" collapsed="false">
      <c r="A468" s="6" t="str">
        <f aca="false">Scoring!CM475</f>
        <v/>
      </c>
      <c r="B468" s="6" t="str">
        <f aca="false">Scoring!CL475</f>
        <v/>
      </c>
      <c r="C468" s="6" t="n">
        <f aca="false">Scoring!C475</f>
        <v>0</v>
      </c>
      <c r="D468" s="178" t="str">
        <f aca="false">Scoring!CI475</f>
        <v/>
      </c>
      <c r="E468" s="6" t="str">
        <f aca="false">Scoring!BL475</f>
        <v/>
      </c>
      <c r="F468" s="6" t="n">
        <f aca="false">Scoring!B475</f>
        <v>0</v>
      </c>
      <c r="G468" s="6" t="n">
        <f aca="false">Scoring!D475</f>
        <v>0</v>
      </c>
      <c r="H468" s="6" t="str">
        <f aca="false">Scoring!CK475</f>
        <v/>
      </c>
      <c r="I468" s="179" t="str">
        <f aca="false">Scoring!CJ475</f>
        <v/>
      </c>
    </row>
    <row r="469" customFormat="false" ht="15.75" hidden="false" customHeight="false" outlineLevel="0" collapsed="false">
      <c r="A469" s="6" t="str">
        <f aca="false">Scoring!CM476</f>
        <v/>
      </c>
      <c r="B469" s="6" t="str">
        <f aca="false">Scoring!CL476</f>
        <v/>
      </c>
      <c r="C469" s="6" t="n">
        <f aca="false">Scoring!C476</f>
        <v>0</v>
      </c>
      <c r="D469" s="178" t="str">
        <f aca="false">Scoring!CI476</f>
        <v/>
      </c>
      <c r="E469" s="6" t="str">
        <f aca="false">Scoring!BL476</f>
        <v/>
      </c>
      <c r="F469" s="6" t="n">
        <f aca="false">Scoring!B476</f>
        <v>0</v>
      </c>
      <c r="G469" s="6" t="n">
        <f aca="false">Scoring!D476</f>
        <v>0</v>
      </c>
      <c r="H469" s="6" t="str">
        <f aca="false">Scoring!CK476</f>
        <v/>
      </c>
      <c r="I469" s="179" t="str">
        <f aca="false">Scoring!CJ476</f>
        <v/>
      </c>
    </row>
    <row r="470" customFormat="false" ht="15.75" hidden="false" customHeight="false" outlineLevel="0" collapsed="false">
      <c r="A470" s="6" t="str">
        <f aca="false">Scoring!CM477</f>
        <v/>
      </c>
      <c r="B470" s="6" t="str">
        <f aca="false">Scoring!CL477</f>
        <v/>
      </c>
      <c r="C470" s="6" t="n">
        <f aca="false">Scoring!C477</f>
        <v>0</v>
      </c>
      <c r="D470" s="178" t="str">
        <f aca="false">Scoring!CI477</f>
        <v/>
      </c>
      <c r="E470" s="6" t="str">
        <f aca="false">Scoring!BL477</f>
        <v/>
      </c>
      <c r="F470" s="6" t="n">
        <f aca="false">Scoring!B477</f>
        <v>0</v>
      </c>
      <c r="G470" s="6" t="n">
        <f aca="false">Scoring!D477</f>
        <v>0</v>
      </c>
      <c r="H470" s="6" t="str">
        <f aca="false">Scoring!CK477</f>
        <v/>
      </c>
      <c r="I470" s="179" t="str">
        <f aca="false">Scoring!CJ477</f>
        <v/>
      </c>
    </row>
    <row r="471" customFormat="false" ht="15.75" hidden="false" customHeight="false" outlineLevel="0" collapsed="false">
      <c r="A471" s="6" t="str">
        <f aca="false">Scoring!CM478</f>
        <v/>
      </c>
      <c r="B471" s="6" t="str">
        <f aca="false">Scoring!CL478</f>
        <v/>
      </c>
      <c r="C471" s="6" t="n">
        <f aca="false">Scoring!C478</f>
        <v>0</v>
      </c>
      <c r="D471" s="178" t="str">
        <f aca="false">Scoring!CI478</f>
        <v/>
      </c>
      <c r="E471" s="6" t="str">
        <f aca="false">Scoring!BL478</f>
        <v/>
      </c>
      <c r="F471" s="6" t="n">
        <f aca="false">Scoring!B478</f>
        <v>0</v>
      </c>
      <c r="G471" s="6" t="n">
        <f aca="false">Scoring!D478</f>
        <v>0</v>
      </c>
      <c r="H471" s="6" t="str">
        <f aca="false">Scoring!CK478</f>
        <v/>
      </c>
      <c r="I471" s="179" t="str">
        <f aca="false">Scoring!CJ478</f>
        <v/>
      </c>
    </row>
    <row r="472" customFormat="false" ht="15.75" hidden="false" customHeight="false" outlineLevel="0" collapsed="false">
      <c r="A472" s="6" t="str">
        <f aca="false">Scoring!CM479</f>
        <v/>
      </c>
      <c r="B472" s="6" t="str">
        <f aca="false">Scoring!CL479</f>
        <v/>
      </c>
      <c r="C472" s="6" t="n">
        <f aca="false">Scoring!C479</f>
        <v>0</v>
      </c>
      <c r="D472" s="178" t="str">
        <f aca="false">Scoring!CI479</f>
        <v/>
      </c>
      <c r="E472" s="6" t="str">
        <f aca="false">Scoring!BL479</f>
        <v/>
      </c>
      <c r="F472" s="6" t="n">
        <f aca="false">Scoring!B479</f>
        <v>0</v>
      </c>
      <c r="G472" s="6" t="n">
        <f aca="false">Scoring!D479</f>
        <v>0</v>
      </c>
      <c r="H472" s="6" t="str">
        <f aca="false">Scoring!CK479</f>
        <v/>
      </c>
      <c r="I472" s="179" t="str">
        <f aca="false">Scoring!CJ479</f>
        <v/>
      </c>
    </row>
    <row r="473" customFormat="false" ht="15.75" hidden="false" customHeight="false" outlineLevel="0" collapsed="false">
      <c r="A473" s="6" t="str">
        <f aca="false">Scoring!CM480</f>
        <v/>
      </c>
      <c r="B473" s="6" t="str">
        <f aca="false">Scoring!CL480</f>
        <v/>
      </c>
      <c r="C473" s="6" t="n">
        <f aca="false">Scoring!C480</f>
        <v>0</v>
      </c>
      <c r="D473" s="178" t="str">
        <f aca="false">Scoring!CI480</f>
        <v/>
      </c>
      <c r="E473" s="6" t="str">
        <f aca="false">Scoring!BL480</f>
        <v/>
      </c>
      <c r="F473" s="6" t="n">
        <f aca="false">Scoring!B480</f>
        <v>0</v>
      </c>
      <c r="G473" s="6" t="n">
        <f aca="false">Scoring!D480</f>
        <v>0</v>
      </c>
      <c r="H473" s="6" t="str">
        <f aca="false">Scoring!CK480</f>
        <v/>
      </c>
      <c r="I473" s="179" t="str">
        <f aca="false">Scoring!CJ480</f>
        <v/>
      </c>
    </row>
    <row r="474" customFormat="false" ht="15.75" hidden="false" customHeight="false" outlineLevel="0" collapsed="false">
      <c r="A474" s="6" t="str">
        <f aca="false">Scoring!CM481</f>
        <v/>
      </c>
      <c r="B474" s="6" t="str">
        <f aca="false">Scoring!CL481</f>
        <v/>
      </c>
      <c r="C474" s="6" t="n">
        <f aca="false">Scoring!C481</f>
        <v>0</v>
      </c>
      <c r="D474" s="178" t="str">
        <f aca="false">Scoring!CI481</f>
        <v/>
      </c>
      <c r="E474" s="6" t="str">
        <f aca="false">Scoring!BL481</f>
        <v/>
      </c>
      <c r="F474" s="6" t="n">
        <f aca="false">Scoring!B481</f>
        <v>0</v>
      </c>
      <c r="G474" s="6" t="n">
        <f aca="false">Scoring!D481</f>
        <v>0</v>
      </c>
      <c r="H474" s="6" t="str">
        <f aca="false">Scoring!CK481</f>
        <v/>
      </c>
      <c r="I474" s="179" t="str">
        <f aca="false">Scoring!CJ481</f>
        <v/>
      </c>
    </row>
    <row r="475" customFormat="false" ht="15.75" hidden="false" customHeight="false" outlineLevel="0" collapsed="false">
      <c r="A475" s="6" t="str">
        <f aca="false">Scoring!CM482</f>
        <v/>
      </c>
      <c r="B475" s="6" t="str">
        <f aca="false">Scoring!CL482</f>
        <v/>
      </c>
      <c r="C475" s="6" t="n">
        <f aca="false">Scoring!C482</f>
        <v>0</v>
      </c>
      <c r="D475" s="178" t="str">
        <f aca="false">Scoring!CI482</f>
        <v/>
      </c>
      <c r="E475" s="6" t="str">
        <f aca="false">Scoring!BL482</f>
        <v/>
      </c>
      <c r="F475" s="6" t="n">
        <f aca="false">Scoring!B482</f>
        <v>0</v>
      </c>
      <c r="G475" s="6" t="n">
        <f aca="false">Scoring!D482</f>
        <v>0</v>
      </c>
      <c r="H475" s="6" t="str">
        <f aca="false">Scoring!CK482</f>
        <v/>
      </c>
      <c r="I475" s="179" t="str">
        <f aca="false">Scoring!CJ482</f>
        <v/>
      </c>
    </row>
    <row r="476" customFormat="false" ht="15.75" hidden="false" customHeight="false" outlineLevel="0" collapsed="false">
      <c r="A476" s="6" t="str">
        <f aca="false">Scoring!CM483</f>
        <v/>
      </c>
      <c r="B476" s="6" t="str">
        <f aca="false">Scoring!CL483</f>
        <v/>
      </c>
      <c r="C476" s="6" t="n">
        <f aca="false">Scoring!C483</f>
        <v>0</v>
      </c>
      <c r="D476" s="178" t="str">
        <f aca="false">Scoring!CI483</f>
        <v/>
      </c>
      <c r="E476" s="6" t="str">
        <f aca="false">Scoring!BL483</f>
        <v/>
      </c>
      <c r="F476" s="6" t="n">
        <f aca="false">Scoring!B483</f>
        <v>0</v>
      </c>
      <c r="G476" s="6" t="n">
        <f aca="false">Scoring!D483</f>
        <v>0</v>
      </c>
      <c r="H476" s="6" t="str">
        <f aca="false">Scoring!CK483</f>
        <v/>
      </c>
      <c r="I476" s="179" t="str">
        <f aca="false">Scoring!CJ483</f>
        <v/>
      </c>
    </row>
    <row r="477" customFormat="false" ht="15.75" hidden="false" customHeight="false" outlineLevel="0" collapsed="false">
      <c r="A477" s="6" t="str">
        <f aca="false">Scoring!CM484</f>
        <v/>
      </c>
      <c r="B477" s="6" t="str">
        <f aca="false">Scoring!CL484</f>
        <v/>
      </c>
      <c r="C477" s="6" t="n">
        <f aca="false">Scoring!C484</f>
        <v>0</v>
      </c>
      <c r="D477" s="178" t="str">
        <f aca="false">Scoring!CI484</f>
        <v/>
      </c>
      <c r="E477" s="6" t="str">
        <f aca="false">Scoring!BL484</f>
        <v/>
      </c>
      <c r="F477" s="6" t="n">
        <f aca="false">Scoring!B484</f>
        <v>0</v>
      </c>
      <c r="G477" s="6" t="n">
        <f aca="false">Scoring!D484</f>
        <v>0</v>
      </c>
      <c r="H477" s="6" t="str">
        <f aca="false">Scoring!CK484</f>
        <v/>
      </c>
      <c r="I477" s="179" t="str">
        <f aca="false">Scoring!CJ484</f>
        <v/>
      </c>
    </row>
    <row r="478" customFormat="false" ht="15.75" hidden="false" customHeight="false" outlineLevel="0" collapsed="false">
      <c r="A478" s="6" t="str">
        <f aca="false">Scoring!CM485</f>
        <v/>
      </c>
      <c r="B478" s="6" t="str">
        <f aca="false">Scoring!CL485</f>
        <v/>
      </c>
      <c r="C478" s="6" t="n">
        <f aca="false">Scoring!C485</f>
        <v>0</v>
      </c>
      <c r="D478" s="178" t="str">
        <f aca="false">Scoring!CI485</f>
        <v/>
      </c>
      <c r="E478" s="6" t="str">
        <f aca="false">Scoring!BL485</f>
        <v/>
      </c>
      <c r="F478" s="6" t="n">
        <f aca="false">Scoring!B485</f>
        <v>0</v>
      </c>
      <c r="G478" s="6" t="n">
        <f aca="false">Scoring!D485</f>
        <v>0</v>
      </c>
      <c r="H478" s="6" t="str">
        <f aca="false">Scoring!CK485</f>
        <v/>
      </c>
      <c r="I478" s="179" t="str">
        <f aca="false">Scoring!CJ485</f>
        <v/>
      </c>
    </row>
    <row r="479" customFormat="false" ht="15.75" hidden="false" customHeight="false" outlineLevel="0" collapsed="false">
      <c r="A479" s="6" t="str">
        <f aca="false">Scoring!CM486</f>
        <v/>
      </c>
      <c r="B479" s="6" t="str">
        <f aca="false">Scoring!CL486</f>
        <v/>
      </c>
      <c r="C479" s="6" t="n">
        <f aca="false">Scoring!C486</f>
        <v>0</v>
      </c>
      <c r="D479" s="178" t="str">
        <f aca="false">Scoring!CI486</f>
        <v/>
      </c>
      <c r="E479" s="6" t="str">
        <f aca="false">Scoring!BL486</f>
        <v/>
      </c>
      <c r="F479" s="6" t="n">
        <f aca="false">Scoring!B486</f>
        <v>0</v>
      </c>
      <c r="G479" s="6" t="n">
        <f aca="false">Scoring!D486</f>
        <v>0</v>
      </c>
      <c r="H479" s="6" t="str">
        <f aca="false">Scoring!CK486</f>
        <v/>
      </c>
      <c r="I479" s="179" t="str">
        <f aca="false">Scoring!CJ486</f>
        <v/>
      </c>
    </row>
    <row r="480" customFormat="false" ht="15.75" hidden="false" customHeight="false" outlineLevel="0" collapsed="false">
      <c r="A480" s="6" t="str">
        <f aca="false">Scoring!CM487</f>
        <v/>
      </c>
      <c r="B480" s="6" t="str">
        <f aca="false">Scoring!CL487</f>
        <v/>
      </c>
      <c r="C480" s="6" t="n">
        <f aca="false">Scoring!C487</f>
        <v>0</v>
      </c>
      <c r="D480" s="178" t="str">
        <f aca="false">Scoring!CI487</f>
        <v/>
      </c>
      <c r="E480" s="6" t="str">
        <f aca="false">Scoring!BL487</f>
        <v/>
      </c>
      <c r="F480" s="6" t="n">
        <f aca="false">Scoring!B487</f>
        <v>0</v>
      </c>
      <c r="G480" s="6" t="n">
        <f aca="false">Scoring!D487</f>
        <v>0</v>
      </c>
      <c r="H480" s="6" t="str">
        <f aca="false">Scoring!CK487</f>
        <v/>
      </c>
      <c r="I480" s="179" t="str">
        <f aca="false">Scoring!CJ487</f>
        <v/>
      </c>
    </row>
    <row r="481" customFormat="false" ht="15.75" hidden="false" customHeight="false" outlineLevel="0" collapsed="false">
      <c r="A481" s="6" t="str">
        <f aca="false">Scoring!CM488</f>
        <v/>
      </c>
      <c r="B481" s="6" t="str">
        <f aca="false">Scoring!CL488</f>
        <v/>
      </c>
      <c r="C481" s="6" t="n">
        <f aca="false">Scoring!C488</f>
        <v>0</v>
      </c>
      <c r="D481" s="178" t="str">
        <f aca="false">Scoring!CI488</f>
        <v/>
      </c>
      <c r="E481" s="6" t="str">
        <f aca="false">Scoring!BL488</f>
        <v/>
      </c>
      <c r="F481" s="6" t="n">
        <f aca="false">Scoring!B488</f>
        <v>0</v>
      </c>
      <c r="G481" s="6" t="n">
        <f aca="false">Scoring!D488</f>
        <v>0</v>
      </c>
      <c r="H481" s="6" t="str">
        <f aca="false">Scoring!CK488</f>
        <v/>
      </c>
      <c r="I481" s="179" t="str">
        <f aca="false">Scoring!CJ488</f>
        <v/>
      </c>
    </row>
    <row r="482" customFormat="false" ht="15.75" hidden="false" customHeight="false" outlineLevel="0" collapsed="false">
      <c r="A482" s="6" t="str">
        <f aca="false">Scoring!CM489</f>
        <v/>
      </c>
      <c r="B482" s="6" t="str">
        <f aca="false">Scoring!CL489</f>
        <v/>
      </c>
      <c r="C482" s="6" t="n">
        <f aca="false">Scoring!C489</f>
        <v>0</v>
      </c>
      <c r="D482" s="178" t="str">
        <f aca="false">Scoring!CI489</f>
        <v/>
      </c>
      <c r="E482" s="6" t="str">
        <f aca="false">Scoring!BL489</f>
        <v/>
      </c>
      <c r="F482" s="6" t="n">
        <f aca="false">Scoring!B489</f>
        <v>0</v>
      </c>
      <c r="G482" s="6" t="n">
        <f aca="false">Scoring!D489</f>
        <v>0</v>
      </c>
      <c r="H482" s="6" t="str">
        <f aca="false">Scoring!CK489</f>
        <v/>
      </c>
      <c r="I482" s="179" t="str">
        <f aca="false">Scoring!CJ489</f>
        <v/>
      </c>
    </row>
    <row r="483" customFormat="false" ht="15.75" hidden="false" customHeight="false" outlineLevel="0" collapsed="false">
      <c r="A483" s="6" t="str">
        <f aca="false">Scoring!CM490</f>
        <v/>
      </c>
      <c r="B483" s="6" t="str">
        <f aca="false">Scoring!CL490</f>
        <v/>
      </c>
      <c r="C483" s="6" t="n">
        <f aca="false">Scoring!C490</f>
        <v>0</v>
      </c>
      <c r="D483" s="178" t="str">
        <f aca="false">Scoring!CI490</f>
        <v/>
      </c>
      <c r="E483" s="6" t="str">
        <f aca="false">Scoring!BL490</f>
        <v/>
      </c>
      <c r="F483" s="6" t="n">
        <f aca="false">Scoring!B490</f>
        <v>0</v>
      </c>
      <c r="G483" s="6" t="n">
        <f aca="false">Scoring!D490</f>
        <v>0</v>
      </c>
      <c r="H483" s="6" t="str">
        <f aca="false">Scoring!CK490</f>
        <v/>
      </c>
      <c r="I483" s="179" t="str">
        <f aca="false">Scoring!CJ490</f>
        <v/>
      </c>
    </row>
    <row r="484" customFormat="false" ht="15.75" hidden="false" customHeight="false" outlineLevel="0" collapsed="false">
      <c r="A484" s="6" t="str">
        <f aca="false">Scoring!CM491</f>
        <v/>
      </c>
      <c r="B484" s="6" t="str">
        <f aca="false">Scoring!CL491</f>
        <v/>
      </c>
      <c r="C484" s="6" t="n">
        <f aca="false">Scoring!C491</f>
        <v>0</v>
      </c>
      <c r="D484" s="178" t="str">
        <f aca="false">Scoring!CI491</f>
        <v/>
      </c>
      <c r="E484" s="6" t="str">
        <f aca="false">Scoring!BL491</f>
        <v/>
      </c>
      <c r="F484" s="6" t="n">
        <f aca="false">Scoring!B491</f>
        <v>0</v>
      </c>
      <c r="G484" s="6" t="n">
        <f aca="false">Scoring!D491</f>
        <v>0</v>
      </c>
      <c r="H484" s="6" t="str">
        <f aca="false">Scoring!CK491</f>
        <v/>
      </c>
      <c r="I484" s="179" t="str">
        <f aca="false">Scoring!CJ491</f>
        <v/>
      </c>
    </row>
    <row r="485" customFormat="false" ht="15.75" hidden="false" customHeight="false" outlineLevel="0" collapsed="false">
      <c r="A485" s="6" t="str">
        <f aca="false">Scoring!CM492</f>
        <v/>
      </c>
      <c r="B485" s="6" t="str">
        <f aca="false">Scoring!CL492</f>
        <v/>
      </c>
      <c r="C485" s="6" t="n">
        <f aca="false">Scoring!C492</f>
        <v>0</v>
      </c>
      <c r="D485" s="178" t="str">
        <f aca="false">Scoring!CI492</f>
        <v/>
      </c>
      <c r="E485" s="6" t="str">
        <f aca="false">Scoring!BL492</f>
        <v/>
      </c>
      <c r="F485" s="6" t="n">
        <f aca="false">Scoring!B492</f>
        <v>0</v>
      </c>
      <c r="G485" s="6" t="n">
        <f aca="false">Scoring!D492</f>
        <v>0</v>
      </c>
      <c r="H485" s="6" t="str">
        <f aca="false">Scoring!CK492</f>
        <v/>
      </c>
      <c r="I485" s="179" t="str">
        <f aca="false">Scoring!CJ492</f>
        <v/>
      </c>
    </row>
    <row r="486" customFormat="false" ht="15.75" hidden="false" customHeight="false" outlineLevel="0" collapsed="false">
      <c r="A486" s="6" t="str">
        <f aca="false">Scoring!CM493</f>
        <v/>
      </c>
      <c r="B486" s="6" t="str">
        <f aca="false">Scoring!CL493</f>
        <v/>
      </c>
      <c r="C486" s="6" t="n">
        <f aca="false">Scoring!C493</f>
        <v>0</v>
      </c>
      <c r="D486" s="178" t="str">
        <f aca="false">Scoring!CI493</f>
        <v/>
      </c>
      <c r="E486" s="6" t="str">
        <f aca="false">Scoring!BL493</f>
        <v/>
      </c>
      <c r="F486" s="6" t="n">
        <f aca="false">Scoring!B493</f>
        <v>0</v>
      </c>
      <c r="G486" s="6" t="n">
        <f aca="false">Scoring!D493</f>
        <v>0</v>
      </c>
      <c r="H486" s="6" t="str">
        <f aca="false">Scoring!CK493</f>
        <v/>
      </c>
      <c r="I486" s="179" t="str">
        <f aca="false">Scoring!CJ493</f>
        <v/>
      </c>
    </row>
    <row r="487" customFormat="false" ht="15.75" hidden="false" customHeight="false" outlineLevel="0" collapsed="false">
      <c r="A487" s="6" t="str">
        <f aca="false">Scoring!CM494</f>
        <v/>
      </c>
      <c r="B487" s="6" t="str">
        <f aca="false">Scoring!CL494</f>
        <v/>
      </c>
      <c r="C487" s="6" t="n">
        <f aca="false">Scoring!C494</f>
        <v>0</v>
      </c>
      <c r="D487" s="178" t="str">
        <f aca="false">Scoring!CI494</f>
        <v/>
      </c>
      <c r="E487" s="6" t="str">
        <f aca="false">Scoring!BL494</f>
        <v/>
      </c>
      <c r="F487" s="6" t="n">
        <f aca="false">Scoring!B494</f>
        <v>0</v>
      </c>
      <c r="G487" s="6" t="n">
        <f aca="false">Scoring!D494</f>
        <v>0</v>
      </c>
      <c r="H487" s="6" t="str">
        <f aca="false">Scoring!CK494</f>
        <v/>
      </c>
      <c r="I487" s="179" t="str">
        <f aca="false">Scoring!CJ494</f>
        <v/>
      </c>
    </row>
    <row r="488" customFormat="false" ht="15.75" hidden="false" customHeight="false" outlineLevel="0" collapsed="false">
      <c r="A488" s="6" t="str">
        <f aca="false">Scoring!CM495</f>
        <v/>
      </c>
      <c r="B488" s="6" t="str">
        <f aca="false">Scoring!CL495</f>
        <v/>
      </c>
      <c r="C488" s="6" t="n">
        <f aca="false">Scoring!C495</f>
        <v>0</v>
      </c>
      <c r="D488" s="178" t="str">
        <f aca="false">Scoring!CI495</f>
        <v/>
      </c>
      <c r="E488" s="6" t="str">
        <f aca="false">Scoring!BL495</f>
        <v/>
      </c>
      <c r="F488" s="6" t="n">
        <f aca="false">Scoring!B495</f>
        <v>0</v>
      </c>
      <c r="G488" s="6" t="n">
        <f aca="false">Scoring!D495</f>
        <v>0</v>
      </c>
      <c r="H488" s="6" t="str">
        <f aca="false">Scoring!CK495</f>
        <v/>
      </c>
      <c r="I488" s="179" t="str">
        <f aca="false">Scoring!CJ495</f>
        <v/>
      </c>
    </row>
    <row r="489" customFormat="false" ht="15.75" hidden="false" customHeight="false" outlineLevel="0" collapsed="false">
      <c r="A489" s="6" t="str">
        <f aca="false">Scoring!CM496</f>
        <v/>
      </c>
      <c r="B489" s="6" t="str">
        <f aca="false">Scoring!CL496</f>
        <v/>
      </c>
      <c r="C489" s="6" t="n">
        <f aca="false">Scoring!C496</f>
        <v>0</v>
      </c>
      <c r="D489" s="178" t="str">
        <f aca="false">Scoring!CI496</f>
        <v/>
      </c>
      <c r="E489" s="6" t="str">
        <f aca="false">Scoring!BL496</f>
        <v/>
      </c>
      <c r="F489" s="6" t="n">
        <f aca="false">Scoring!B496</f>
        <v>0</v>
      </c>
      <c r="G489" s="6" t="n">
        <f aca="false">Scoring!D496</f>
        <v>0</v>
      </c>
      <c r="H489" s="6" t="str">
        <f aca="false">Scoring!CK496</f>
        <v/>
      </c>
      <c r="I489" s="179" t="str">
        <f aca="false">Scoring!CJ496</f>
        <v/>
      </c>
    </row>
    <row r="490" customFormat="false" ht="15.75" hidden="false" customHeight="false" outlineLevel="0" collapsed="false">
      <c r="A490" s="6" t="str">
        <f aca="false">Scoring!CM497</f>
        <v/>
      </c>
      <c r="B490" s="6" t="str">
        <f aca="false">Scoring!CL497</f>
        <v/>
      </c>
      <c r="C490" s="6" t="n">
        <f aca="false">Scoring!C497</f>
        <v>0</v>
      </c>
      <c r="D490" s="178" t="str">
        <f aca="false">Scoring!CI497</f>
        <v/>
      </c>
      <c r="E490" s="6" t="str">
        <f aca="false">Scoring!BL497</f>
        <v/>
      </c>
      <c r="F490" s="6" t="n">
        <f aca="false">Scoring!B497</f>
        <v>0</v>
      </c>
      <c r="G490" s="6" t="n">
        <f aca="false">Scoring!D497</f>
        <v>0</v>
      </c>
      <c r="H490" s="6" t="str">
        <f aca="false">Scoring!CK497</f>
        <v/>
      </c>
      <c r="I490" s="179" t="str">
        <f aca="false">Scoring!CJ497</f>
        <v/>
      </c>
    </row>
    <row r="491" customFormat="false" ht="15.75" hidden="false" customHeight="false" outlineLevel="0" collapsed="false">
      <c r="A491" s="6" t="str">
        <f aca="false">Scoring!CM498</f>
        <v/>
      </c>
      <c r="B491" s="6" t="str">
        <f aca="false">Scoring!CL498</f>
        <v/>
      </c>
      <c r="C491" s="6" t="n">
        <f aca="false">Scoring!C498</f>
        <v>0</v>
      </c>
      <c r="D491" s="178" t="str">
        <f aca="false">Scoring!CI498</f>
        <v/>
      </c>
      <c r="E491" s="6" t="str">
        <f aca="false">Scoring!BL498</f>
        <v/>
      </c>
      <c r="F491" s="6" t="n">
        <f aca="false">Scoring!B498</f>
        <v>0</v>
      </c>
      <c r="G491" s="6" t="n">
        <f aca="false">Scoring!D498</f>
        <v>0</v>
      </c>
      <c r="H491" s="6" t="str">
        <f aca="false">Scoring!CK498</f>
        <v/>
      </c>
      <c r="I491" s="179" t="str">
        <f aca="false">Scoring!CJ498</f>
        <v/>
      </c>
    </row>
    <row r="492" customFormat="false" ht="15.75" hidden="false" customHeight="false" outlineLevel="0" collapsed="false">
      <c r="A492" s="6" t="str">
        <f aca="false">Scoring!CM499</f>
        <v/>
      </c>
      <c r="B492" s="6" t="str">
        <f aca="false">Scoring!CL499</f>
        <v/>
      </c>
      <c r="C492" s="6" t="n">
        <f aca="false">Scoring!C499</f>
        <v>0</v>
      </c>
      <c r="D492" s="178" t="str">
        <f aca="false">Scoring!CI499</f>
        <v/>
      </c>
      <c r="E492" s="6" t="str">
        <f aca="false">Scoring!BL499</f>
        <v/>
      </c>
      <c r="F492" s="6" t="n">
        <f aca="false">Scoring!B499</f>
        <v>0</v>
      </c>
      <c r="G492" s="6" t="n">
        <f aca="false">Scoring!D499</f>
        <v>0</v>
      </c>
      <c r="H492" s="6" t="str">
        <f aca="false">Scoring!CK499</f>
        <v/>
      </c>
      <c r="I492" s="179" t="str">
        <f aca="false">Scoring!CJ499</f>
        <v/>
      </c>
    </row>
    <row r="493" customFormat="false" ht="15.75" hidden="false" customHeight="false" outlineLevel="0" collapsed="false">
      <c r="A493" s="6" t="str">
        <f aca="false">Scoring!CM500</f>
        <v/>
      </c>
      <c r="B493" s="6" t="str">
        <f aca="false">Scoring!CL500</f>
        <v/>
      </c>
      <c r="C493" s="6" t="n">
        <f aca="false">Scoring!C500</f>
        <v>0</v>
      </c>
      <c r="D493" s="178" t="str">
        <f aca="false">Scoring!CI500</f>
        <v/>
      </c>
      <c r="E493" s="6" t="str">
        <f aca="false">Scoring!BL500</f>
        <v/>
      </c>
      <c r="F493" s="6" t="n">
        <f aca="false">Scoring!B500</f>
        <v>0</v>
      </c>
      <c r="G493" s="6" t="n">
        <f aca="false">Scoring!D500</f>
        <v>0</v>
      </c>
      <c r="H493" s="6" t="str">
        <f aca="false">Scoring!CK500</f>
        <v/>
      </c>
      <c r="I493" s="179" t="str">
        <f aca="false">Scoring!CJ500</f>
        <v/>
      </c>
    </row>
    <row r="494" customFormat="false" ht="15.75" hidden="false" customHeight="false" outlineLevel="0" collapsed="false">
      <c r="A494" s="6" t="str">
        <f aca="false">Scoring!CM501</f>
        <v/>
      </c>
      <c r="B494" s="6" t="str">
        <f aca="false">Scoring!CL501</f>
        <v/>
      </c>
      <c r="C494" s="6" t="n">
        <f aca="false">Scoring!C501</f>
        <v>0</v>
      </c>
      <c r="D494" s="178" t="str">
        <f aca="false">Scoring!CI501</f>
        <v/>
      </c>
      <c r="E494" s="6" t="str">
        <f aca="false">Scoring!BL501</f>
        <v/>
      </c>
      <c r="F494" s="6" t="n">
        <f aca="false">Scoring!B501</f>
        <v>0</v>
      </c>
      <c r="G494" s="6" t="n">
        <f aca="false">Scoring!D501</f>
        <v>0</v>
      </c>
      <c r="H494" s="6" t="str">
        <f aca="false">Scoring!CK501</f>
        <v/>
      </c>
      <c r="I494" s="179" t="str">
        <f aca="false">Scoring!CJ501</f>
        <v/>
      </c>
    </row>
    <row r="495" customFormat="false" ht="15.75" hidden="false" customHeight="false" outlineLevel="0" collapsed="false">
      <c r="A495" s="6" t="str">
        <f aca="false">Scoring!CM502</f>
        <v/>
      </c>
      <c r="B495" s="6" t="str">
        <f aca="false">Scoring!CL502</f>
        <v/>
      </c>
      <c r="C495" s="6" t="n">
        <f aca="false">Scoring!C502</f>
        <v>0</v>
      </c>
      <c r="D495" s="178" t="str">
        <f aca="false">Scoring!CI502</f>
        <v/>
      </c>
      <c r="E495" s="6" t="str">
        <f aca="false">Scoring!BL502</f>
        <v/>
      </c>
      <c r="F495" s="6" t="n">
        <f aca="false">Scoring!B502</f>
        <v>0</v>
      </c>
      <c r="G495" s="6" t="n">
        <f aca="false">Scoring!D502</f>
        <v>0</v>
      </c>
      <c r="H495" s="6" t="str">
        <f aca="false">Scoring!CK502</f>
        <v/>
      </c>
      <c r="I495" s="179" t="str">
        <f aca="false">Scoring!CJ502</f>
        <v/>
      </c>
    </row>
    <row r="496" customFormat="false" ht="15.75" hidden="false" customHeight="false" outlineLevel="0" collapsed="false">
      <c r="A496" s="6" t="str">
        <f aca="false">Scoring!CM503</f>
        <v/>
      </c>
      <c r="B496" s="6" t="str">
        <f aca="false">Scoring!CL503</f>
        <v/>
      </c>
      <c r="C496" s="6" t="n">
        <f aca="false">Scoring!C503</f>
        <v>0</v>
      </c>
      <c r="D496" s="178" t="str">
        <f aca="false">Scoring!CI503</f>
        <v/>
      </c>
      <c r="E496" s="6" t="str">
        <f aca="false">Scoring!BL503</f>
        <v/>
      </c>
      <c r="F496" s="6" t="n">
        <f aca="false">Scoring!B503</f>
        <v>0</v>
      </c>
      <c r="G496" s="6" t="n">
        <f aca="false">Scoring!D503</f>
        <v>0</v>
      </c>
      <c r="H496" s="6" t="str">
        <f aca="false">Scoring!CK503</f>
        <v/>
      </c>
      <c r="I496" s="179" t="str">
        <f aca="false">Scoring!CJ503</f>
        <v/>
      </c>
    </row>
    <row r="497" customFormat="false" ht="15.75" hidden="false" customHeight="false" outlineLevel="0" collapsed="false">
      <c r="A497" s="6" t="str">
        <f aca="false">Scoring!CM504</f>
        <v/>
      </c>
      <c r="B497" s="6" t="str">
        <f aca="false">Scoring!CL504</f>
        <v/>
      </c>
      <c r="C497" s="6" t="n">
        <f aca="false">Scoring!C504</f>
        <v>0</v>
      </c>
      <c r="D497" s="178" t="str">
        <f aca="false">Scoring!CI504</f>
        <v/>
      </c>
      <c r="E497" s="6" t="str">
        <f aca="false">Scoring!BL504</f>
        <v/>
      </c>
      <c r="F497" s="6" t="n">
        <f aca="false">Scoring!B504</f>
        <v>0</v>
      </c>
      <c r="G497" s="6" t="n">
        <f aca="false">Scoring!D504</f>
        <v>0</v>
      </c>
      <c r="H497" s="6" t="str">
        <f aca="false">Scoring!CK504</f>
        <v/>
      </c>
      <c r="I497" s="179" t="str">
        <f aca="false">Scoring!CJ504</f>
        <v/>
      </c>
    </row>
    <row r="498" customFormat="false" ht="15.75" hidden="false" customHeight="false" outlineLevel="0" collapsed="false">
      <c r="A498" s="6" t="str">
        <f aca="false">Scoring!CM505</f>
        <v/>
      </c>
      <c r="B498" s="6" t="str">
        <f aca="false">Scoring!CL505</f>
        <v/>
      </c>
      <c r="C498" s="6" t="n">
        <f aca="false">Scoring!C505</f>
        <v>0</v>
      </c>
      <c r="D498" s="178" t="str">
        <f aca="false">Scoring!CI505</f>
        <v/>
      </c>
      <c r="E498" s="6" t="str">
        <f aca="false">Scoring!BL505</f>
        <v/>
      </c>
      <c r="F498" s="6" t="n">
        <f aca="false">Scoring!B505</f>
        <v>0</v>
      </c>
      <c r="G498" s="6" t="n">
        <f aca="false">Scoring!D505</f>
        <v>0</v>
      </c>
      <c r="H498" s="6" t="str">
        <f aca="false">Scoring!CK505</f>
        <v/>
      </c>
      <c r="I498" s="179" t="str">
        <f aca="false">Scoring!CJ505</f>
        <v/>
      </c>
    </row>
    <row r="499" customFormat="false" ht="15.75" hidden="false" customHeight="false" outlineLevel="0" collapsed="false">
      <c r="A499" s="6" t="str">
        <f aca="false">Scoring!CM506</f>
        <v/>
      </c>
      <c r="B499" s="6" t="str">
        <f aca="false">Scoring!CL506</f>
        <v/>
      </c>
      <c r="C499" s="6" t="n">
        <f aca="false">Scoring!C506</f>
        <v>0</v>
      </c>
      <c r="D499" s="178" t="str">
        <f aca="false">Scoring!CI506</f>
        <v/>
      </c>
      <c r="E499" s="6" t="str">
        <f aca="false">Scoring!BL506</f>
        <v/>
      </c>
      <c r="F499" s="6" t="n">
        <f aca="false">Scoring!B506</f>
        <v>0</v>
      </c>
      <c r="G499" s="6" t="n">
        <f aca="false">Scoring!D506</f>
        <v>0</v>
      </c>
      <c r="H499" s="6" t="str">
        <f aca="false">Scoring!CK506</f>
        <v/>
      </c>
      <c r="I499" s="179" t="str">
        <f aca="false">Scoring!CJ506</f>
        <v/>
      </c>
    </row>
    <row r="500" customFormat="false" ht="15.75" hidden="false" customHeight="false" outlineLevel="0" collapsed="false">
      <c r="A500" s="6" t="str">
        <f aca="false">Scoring!CM507</f>
        <v/>
      </c>
      <c r="B500" s="6" t="str">
        <f aca="false">Scoring!CL507</f>
        <v/>
      </c>
      <c r="C500" s="6" t="n">
        <f aca="false">Scoring!C507</f>
        <v>0</v>
      </c>
      <c r="D500" s="178" t="str">
        <f aca="false">Scoring!CI507</f>
        <v/>
      </c>
      <c r="E500" s="6" t="str">
        <f aca="false">Scoring!BL507</f>
        <v/>
      </c>
      <c r="F500" s="6" t="n">
        <f aca="false">Scoring!B507</f>
        <v>0</v>
      </c>
      <c r="G500" s="6" t="n">
        <f aca="false">Scoring!D507</f>
        <v>0</v>
      </c>
      <c r="H500" s="6" t="str">
        <f aca="false">Scoring!CK507</f>
        <v/>
      </c>
      <c r="I500" s="179" t="str">
        <f aca="false">Scoring!CJ507</f>
        <v/>
      </c>
    </row>
    <row r="501" customFormat="false" ht="15.75" hidden="false" customHeight="false" outlineLevel="0" collapsed="false">
      <c r="A501" s="6" t="str">
        <f aca="false">Scoring!CM508</f>
        <v/>
      </c>
      <c r="B501" s="6" t="str">
        <f aca="false">Scoring!CL508</f>
        <v/>
      </c>
      <c r="C501" s="6" t="n">
        <f aca="false">Scoring!C508</f>
        <v>0</v>
      </c>
      <c r="D501" s="178" t="str">
        <f aca="false">Scoring!CI508</f>
        <v/>
      </c>
      <c r="E501" s="6" t="str">
        <f aca="false">Scoring!BL508</f>
        <v/>
      </c>
      <c r="F501" s="6" t="n">
        <f aca="false">Scoring!B508</f>
        <v>0</v>
      </c>
      <c r="G501" s="6" t="n">
        <f aca="false">Scoring!D508</f>
        <v>0</v>
      </c>
      <c r="H501" s="6" t="str">
        <f aca="false">Scoring!CK508</f>
        <v/>
      </c>
      <c r="I501" s="179" t="str">
        <f aca="false">Scoring!CJ508</f>
        <v/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2026-10-01T22:44:42Z</dcterms:modified>
  <cp:revision>39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